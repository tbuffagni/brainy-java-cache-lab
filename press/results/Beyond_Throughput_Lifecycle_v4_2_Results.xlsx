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7b61f6748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-Protocol" sheetId="1" r:id="Rb71f264118a6470a"/>
    <x:sheet xmlns:r="http://schemas.openxmlformats.org/officeDocument/2006/relationships" name="Runs" sheetId="2" r:id="R00030eae945c44b2"/>
    <x:sheet xmlns:r="http://schemas.openxmlformats.org/officeDocument/2006/relationships" name="Workloads Raw" sheetId="3" r:id="R1cbaf8566d434dae"/>
    <x:sheet xmlns:r="http://schemas.openxmlformats.org/officeDocument/2006/relationships" name="Snapshots Raw" sheetId="4" r:id="Ra80232f0d2304199"/>
    <x:sheet xmlns:r="http://schemas.openxmlformats.org/officeDocument/2006/relationships" name="Thread Evidence" sheetId="5" r:id="R3dd11d7c25434f2b"/>
    <x:sheet xmlns:r="http://schemas.openxmlformats.org/officeDocument/2006/relationships" name="Events-Warnings" sheetId="6" r:id="Rc8a0349a853a430b"/>
    <x:sheet xmlns:r="http://schemas.openxmlformats.org/officeDocument/2006/relationships" name="QC Gates" sheetId="7" r:id="Rfd00585f4cac4897"/>
    <x:sheet xmlns:r="http://schemas.openxmlformats.org/officeDocument/2006/relationships" name="Performance" sheetId="8" r:id="R1f85a7de76674ad8"/>
    <x:sheet xmlns:r="http://schemas.openxmlformats.org/officeDocument/2006/relationships" name="Lifecycle" sheetId="9" r:id="R873e59a1f41f46eb"/>
    <x:sheet xmlns:r="http://schemas.openxmlformats.org/officeDocument/2006/relationships" name="JCS-248" sheetId="10" r:id="R0b9a462a8ef64770"/>
    <x:sheet xmlns:r="http://schemas.openxmlformats.org/officeDocument/2006/relationships" name="Figures" sheetId="11" r:id="R932e5b3895a64dc8"/>
    <x:sheet xmlns:r="http://schemas.openxmlformats.org/officeDocument/2006/relationships" name="Dictionary" sheetId="12" r:id="Rf64ba211efda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yyyy-mm-dd hh:mm:ss"/>
    <x:numFmt numFmtId="201" formatCode="#,##0"/>
    <x:numFmt numFmtId="202" formatCode="0.000"/>
    <x:numFmt numFmtId="203" formatCode="0.00"/>
    <x:numFmt numFmtId="204" formatCode="0"/>
    <x:numFmt numFmtId="205" formatCode="#,##0.0"/>
    <x:numFmt numFmtId="206" formatCode="0.0"/>
    <x:numFmt numFmtId="207" formatCode="0.000%"/>
    <x:numFmt numFmtId="208" formatCode="+0;-0;0"/>
    <x:numFmt numFmtId="209" formatCode="#,##0.000"/>
    <x:numFmt numFmtId="210" formatCode="0.00x"/>
    <x:numFmt numFmtId="211" formatCode="0.0%"/>
    <x:numFmt numFmtId="212" formatCode="+#,##0;-#,##0;0"/>
  </x:numFmts>
  <x:fonts count="7">
    <x:font>
      <x:sz val="11"/>
      <x:name val="Carlito"/>
    </x:font>
    <x:font>
      <x:b/>
      <x:sz val="16"/>
      <x:color rgb="FFFFFFFF"/>
      <x:name val="Aptos Display"/>
    </x:font>
    <x:font>
      <x:i/>
      <x:sz val="9"/>
      <x:color rgb="FF5C6B77"/>
      <x:name val="Aptos"/>
    </x:font>
    <x:font>
      <x:b/>
      <x:sz val="10"/>
      <x:color rgb="FFFFFFFF"/>
      <x:name val="Aptos"/>
    </x:font>
    <x:font>
      <x:b/>
      <x:sz val="9"/>
      <x:color rgb="FF24313D"/>
      <x:name val="Aptos"/>
    </x:font>
    <x:font>
      <x:sz val="9"/>
      <x:color rgb="FF24313D"/>
      <x:name val="Aptos"/>
    </x:font>
    <x:font>
      <x:b/>
      <x:sz val="9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5"/>
      </x:patternFill>
    </x:fill>
    <x:fill>
      <x:patternFill patternType="solid">
        <x:fgColor rgb="FF176B73"/>
      </x:patternFill>
    </x:fill>
    <x:fill>
      <x:patternFill patternType="solid">
        <x:fgColor rgb="FFE7F1F1"/>
      </x:patternFill>
    </x:fill>
    <x:fill>
      <x:patternFill patternType="solid">
        <x:fgColor rgb="FFFFF4D6"/>
      </x:patternFill>
    </x:fill>
  </x:fills>
  <x:borders count="2">
    <x:border/>
    <x:border>
      <x:bottom style="medium">
        <x:color rgb="FFCCD6DE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2" fontId="5" fillId="0" borderId="0" xfId="0" applyNumberFormat="1" applyFont="1" applyFill="1" applyBorder="1" applyAlignment="1">
      <x:alignment vertical="top"/>
    </x:xf>
    <x:xf numFmtId="203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left" vertical="top"/>
    </x:xf>
    <x:xf numFmtId="204" fontId="5" fillId="0" borderId="0" xfId="0" applyNumberFormat="1" applyFont="1" applyFill="1" applyBorder="1" applyAlignment="1">
      <x:alignment vertical="top"/>
    </x:xf>
    <x:xf numFmtId="204" fontId="5" fillId="0" borderId="0" xfId="0" applyNumberFormat="1" applyFont="1" applyFill="1" applyBorder="1" applyAlignment="1">
      <x:alignment horizontal="right" vertical="top"/>
    </x:xf>
    <x:xf numFmtId="20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horizontal="left" vertical="top"/>
    </x:xf>
    <x:xf numFmtId="205" fontId="5" fillId="0" borderId="0" xfId="0" applyNumberFormat="1" applyFont="1" applyFill="1" applyBorder="1" applyAlignment="1">
      <x:alignment vertical="top"/>
    </x:xf>
    <x:xf numFmtId="205" fontId="5" fillId="0" borderId="0" xfId="0" applyNumberFormat="1" applyFont="1" applyFill="1" applyBorder="1" applyAlignment="1">
      <x:alignment horizontal="right" vertical="top"/>
    </x:xf>
    <x:xf numFmtId="206" fontId="5" fillId="0" borderId="0" xfId="0" applyNumberFormat="1" applyFont="1" applyFill="1" applyBorder="1" applyAlignment="1">
      <x:alignment vertical="top"/>
    </x:xf>
    <x:xf numFmtId="206" fontId="5" fillId="0" borderId="0" xfId="0" applyNumberFormat="1" applyFont="1" applyFill="1" applyBorder="1" applyAlignment="1">
      <x:alignment horizontal="right" vertical="top"/>
    </x:xf>
    <x:xf numFmtId="201" fontId="5" fillId="0" borderId="0" xfId="0" applyNumberFormat="1" applyFont="1" applyFill="1" applyBorder="1" applyAlignment="1">
      <x:alignment horizontal="right" vertical="top"/>
    </x:xf>
    <x:xf numFmtId="0" fontId="5" fillId="0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0" xfId="0" applyNumberFormat="1" applyFont="1" applyFill="1" applyBorder="1" applyAlignment="1">
      <x:alignment horizontal="right" vertical="top"/>
    </x:xf>
    <x:xf numFmtId="207" fontId="5" fillId="0" borderId="0" xfId="0" applyNumberFormat="1" applyFont="1" applyFill="1" applyBorder="1" applyAlignment="1">
      <x:alignment vertical="top"/>
    </x:xf>
    <x:xf numFmtId="207" fontId="5" fillId="0" borderId="0" xfId="0" applyNumberFormat="1" applyFont="1" applyFill="1" applyBorder="1" applyAlignment="1">
      <x:alignment horizontal="right" vertical="top"/>
    </x:xf>
    <x:xf numFmtId="0" fontId="5" fillId="0" borderId="0" xfId="0" applyNumberFormat="1" applyFont="1" applyFill="1" applyBorder="1" applyAlignment="1">
      <x:alignment horizontal="center" vertical="top"/>
    </x:xf>
    <x:xf numFmtId="208" fontId="5" fillId="0" borderId="0" xfId="0" applyNumberFormat="1" applyFont="1" applyFill="1" applyBorder="1" applyAlignment="1">
      <x:alignment vertical="top"/>
    </x:xf>
    <x:xf numFmtId="208" fontId="5" fillId="0" borderId="0" xfId="0" applyNumberFormat="1" applyFont="1" applyFill="1" applyBorder="1" applyAlignment="1">
      <x:alignment horizontal="right" vertical="top"/>
    </x:xf>
    <x:xf numFmtId="209" fontId="5" fillId="0" borderId="0" xfId="0" applyNumberFormat="1" applyFont="1" applyFill="1" applyBorder="1" applyAlignment="1">
      <x:alignment vertical="top"/>
    </x:xf>
    <x:xf numFmtId="209" fontId="5" fillId="0" borderId="0" xfId="0" applyNumberFormat="1" applyFont="1" applyFill="1" applyBorder="1" applyAlignment="1">
      <x:alignment horizontal="right" vertical="top"/>
    </x:xf>
    <x:xf numFmtId="210" fontId="5" fillId="0" borderId="0" xfId="0" applyNumberFormat="1" applyFont="1" applyFill="1" applyBorder="1" applyAlignment="1">
      <x:alignment vertical="top"/>
    </x:xf>
    <x:xf numFmtId="210" fontId="5" fillId="0" borderId="0" xfId="0" applyNumberFormat="1" applyFont="1" applyFill="1" applyBorder="1" applyAlignment="1">
      <x:alignment horizontal="right" vertical="top"/>
    </x:xf>
    <x:xf numFmtId="203" fontId="5" fillId="0" borderId="0" xfId="0" applyNumberFormat="1" applyFont="1" applyFill="1" applyBorder="1" applyAlignment="1">
      <x:alignment horizontal="right" vertical="top"/>
    </x:xf>
    <x:xf numFmtId="211" fontId="5" fillId="0" borderId="0" xfId="0" applyNumberFormat="1" applyFont="1" applyFill="1" applyBorder="1" applyAlignment="1">
      <x:alignment vertical="top"/>
    </x:xf>
    <x:xf numFmtId="211" fontId="5" fillId="0" borderId="0" xfId="0" applyNumberFormat="1" applyFont="1" applyFill="1" applyBorder="1" applyAlignment="1">
      <x:alignment horizontal="right" vertical="top"/>
    </x:xf>
    <x:xf numFmtId="0" fontId="5" fillId="0" borderId="0" xfId="0" applyNumberFormat="1" applyFont="1" applyFill="1" applyBorder="1" applyAlignment="1">
      <x:alignment vertical="top" wrapText="0"/>
    </x:xf>
    <x:xf numFmtId="212" fontId="5" fillId="0" borderId="0" xfId="0" applyNumberFormat="1" applyFont="1" applyFill="1" applyBorder="1" applyAlignment="1">
      <x:alignment vertical="top"/>
    </x:xf>
    <x:xf numFmtId="212" fontId="5" fillId="0" borderId="0" xfId="0" applyNumberFormat="1" applyFont="1" applyFill="1" applyBorder="1" applyAlignment="1">
      <x:alignment horizontal="right"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77c4a5b984dae" /><Relationship Type="http://schemas.openxmlformats.org/officeDocument/2006/relationships/theme" Target="/xl/theme/theme1.xml" Id="R7ecfb01ea27e4ba2" /><Relationship Type="http://schemas.microsoft.com/office/2022/11/relationships/FeaturePropertyBag" Target="/xl/featurePropertyBag/featurePropertyBag.xml" Id="Rfce06b47cb404ba5" /><Relationship Type="http://schemas.openxmlformats.org/officeDocument/2006/relationships/sharedStrings" Target="/xl/sharedStrings.xml" Id="R358686aedc164a7f" /><Relationship Type="http://schemas.openxmlformats.org/officeDocument/2006/relationships/worksheet" Target="/xl/worksheets/sheet1.xml" Id="Rb71f264118a6470a" /><Relationship Type="http://schemas.openxmlformats.org/officeDocument/2006/relationships/worksheet" Target="/xl/worksheets/sheet2.xml" Id="R00030eae945c44b2" /><Relationship Type="http://schemas.openxmlformats.org/officeDocument/2006/relationships/worksheet" Target="/xl/worksheets/sheet3.xml" Id="R1cbaf8566d434dae" /><Relationship Type="http://schemas.openxmlformats.org/officeDocument/2006/relationships/worksheet" Target="/xl/worksheets/sheet4.xml" Id="Ra80232f0d2304199" /><Relationship Type="http://schemas.openxmlformats.org/officeDocument/2006/relationships/worksheet" Target="/xl/worksheets/sheet5.xml" Id="R3dd11d7c25434f2b" /><Relationship Type="http://schemas.openxmlformats.org/officeDocument/2006/relationships/worksheet" Target="/xl/worksheets/sheet6.xml" Id="Rc8a0349a853a430b" /><Relationship Type="http://schemas.openxmlformats.org/officeDocument/2006/relationships/worksheet" Target="/xl/worksheets/sheet7.xml" Id="Rfd00585f4cac4897" /><Relationship Type="http://schemas.openxmlformats.org/officeDocument/2006/relationships/worksheet" Target="/xl/worksheets/sheet8.xml" Id="R1f85a7de76674ad8" /><Relationship Type="http://schemas.openxmlformats.org/officeDocument/2006/relationships/worksheet" Target="/xl/worksheets/sheet9.xml" Id="R873e59a1f41f46eb" /><Relationship Type="http://schemas.openxmlformats.org/officeDocument/2006/relationships/worksheet" Target="/xl/worksheets/sheet10.xml" Id="R0b9a462a8ef64770" /><Relationship Type="http://schemas.openxmlformats.org/officeDocument/2006/relationships/worksheet" Target="/xl/worksheets/sheet11.xml" Id="R932e5b3895a64dc8" /><Relationship Type="http://schemas.openxmlformats.org/officeDocument/2006/relationships/worksheet" Target="/xl/worksheets/sheet12.xml" Id="Rf64ba211efda46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3545bd3cba4665" /><Relationship Type="http://schemas.openxmlformats.org/officeDocument/2006/relationships/chart" Target="/xl/drawings/charts/chart2.xml" Id="R66f61547c9e041de" /><Relationship Type="http://schemas.openxmlformats.org/officeDocument/2006/relationships/chart" Target="/xl/drawings/charts/chart3.xml" Id="R0b78cb07124840b1" /><Relationship Type="http://schemas.openxmlformats.org/officeDocument/2006/relationships/chart" Target="/xl/drawings/charts/chart4.xml" Id="R445264a7faf94af6" /><Relationship Type="http://schemas.openxmlformats.org/officeDocument/2006/relationships/chart" Target="/xl/drawings/charts/chart5.xml" Id="Rff13557e289d4594" /><Relationship Type="http://schemas.openxmlformats.org/officeDocument/2006/relationships/chart" Target="/xl/drawings/charts/chart6.xml" Id="R7514bb3b441243c4" /><Relationship Type="http://schemas.openxmlformats.org/officeDocument/2006/relationships/chart" Target="/xl/drawings/charts/chart7.xml" Id="R05a4c0cb5b864967" /><Relationship Type="http://schemas.openxmlformats.org/officeDocument/2006/relationships/chart" Target="/xl/drawings/charts/chart8.xml" Id="R4b51649ea7fe4b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Throughput per JVM e fase (ops/s)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initial (ops/s)</c:v>
          </c:tx>
          <c:spPr>
            <a:solidFill xmlns:a="http://schemas.openxmlformats.org/drawingml/2006/main">
              <a:srgbClr val="2B6F9E"/>
            </a:solidFill>
          </c:spPr>
          <c:cat>
            <c:strRef>
              <c:f>'Figures'!$A$6:$A$29</c:f>
              <c:strCache>
                <c:ptCount val="0"/>
              </c:strCache>
            </c:strRef>
          </c:cat>
          <c:val>
            <c:numRef>
              <c:f>'Figures'!$B$6:$B$29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redeploy (ops/s)</c:v>
          </c:tx>
          <c:spPr>
            <a:solidFill xmlns:a="http://schemas.openxmlformats.org/drawingml/2006/main">
              <a:srgbClr val="176B73"/>
            </a:solidFill>
          </c:spPr>
          <c:cat>
            <c:strRef>
              <c:f>'Figures'!$A$6:$A$29</c:f>
              <c:strCache>
                <c:ptCount val="0"/>
              </c:strCache>
            </c:strRef>
          </c:cat>
          <c:val>
            <c:numRef>
              <c:f>'Figures'!$C$6:$C$29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Latenza p99 per JVM e fase (µs)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initial p99 (µs)</c:v>
          </c:tx>
          <c:spPr>
            <a:solidFill xmlns:a="http://schemas.openxmlformats.org/drawingml/2006/main">
              <a:srgbClr val="2B6F9E"/>
            </a:solidFill>
          </c:spPr>
          <c:cat>
            <c:strRef>
              <c:f>'Figures'!$A$34:$A$57</c:f>
              <c:strCache>
                <c:ptCount val="0"/>
              </c:strCache>
            </c:strRef>
          </c:cat>
          <c:val>
            <c:numRef>
              <c:f>'Figures'!$B$34:$B$57</c:f>
              <c:numCache>
                <c:formatCode>#,##0.000</c:formatCode>
                <c:ptCount val="0"/>
              </c:numCache>
            </c:numRef>
          </c:val>
        </c:ser>
        <c:ser>
          <c:idx val="1"/>
          <c:order val="1"/>
          <c:tx>
            <c:v>redeploy p99 (µs)</c:v>
          </c:tx>
          <c:spPr>
            <a:solidFill xmlns:a="http://schemas.openxmlformats.org/drawingml/2006/main">
              <a:srgbClr val="176B73"/>
            </a:solidFill>
          </c:spPr>
          <c:cat>
            <c:strRef>
              <c:f>'Figures'!$A$34:$A$57</c:f>
              <c:strCache>
                <c:ptCount val="0"/>
              </c:strCache>
            </c:strRef>
          </c:cat>
          <c:val>
            <c:numRef>
              <c:f>'Figures'!$C$34:$C$57</c:f>
              <c:numCache>
                <c:formatCode>#,##0.000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Apache Commons JCS 3.2.1: firme thread per singola JVM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fork 1</c:v>
          </c:tx>
          <c:spPr>
            <a:solidFill xmlns:a="http://schemas.openxmlformats.org/drawingml/2006/main">
              <a:srgbClr val="A63D40"/>
            </a:solidFill>
          </c:spPr>
          <c:marker>
            <c:symbol val="none"/>
          </c:marker>
          <c:cat>
            <c:strRef>
              <c:f>'Figures'!$A$62:$A$66</c:f>
              <c:strCache>
                <c:ptCount val="0"/>
              </c:strCache>
            </c:strRef>
          </c:cat>
          <c:val>
            <c:numRef>
              <c:f>'Figures'!$B$62:$B$66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fork 2</c:v>
          </c:tx>
          <c:spPr>
            <a:solidFill xmlns:a="http://schemas.openxmlformats.org/drawingml/2006/main">
              <a:srgbClr val="C65D60"/>
            </a:solidFill>
          </c:spPr>
          <c:marker>
            <c:symbol val="none"/>
          </c:marker>
          <c:cat>
            <c:strRef>
              <c:f>'Figures'!$A$62:$A$66</c:f>
              <c:strCache>
                <c:ptCount val="0"/>
              </c:strCache>
            </c:strRef>
          </c:cat>
          <c:val>
            <c:numRef>
              <c:f>'Figures'!$C$62:$C$66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fork 3</c:v>
          </c:tx>
          <c:spPr>
            <a:solidFill xmlns:a="http://schemas.openxmlformats.org/drawingml/2006/main">
              <a:srgbClr val="D97A7D"/>
            </a:solidFill>
          </c:spPr>
          <c:marker>
            <c:symbol val="none"/>
          </c:marker>
          <c:cat>
            <c:strRef>
              <c:f>'Figures'!$A$62:$A$66</c:f>
              <c:strCache>
                <c:ptCount val="0"/>
              </c:strCache>
            </c:strRef>
          </c:cat>
          <c:val>
            <c:numRef>
              <c:f>'Figures'!$D$62:$D$66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fork 4</c:v>
          </c:tx>
          <c:spPr>
            <a:solidFill xmlns:a="http://schemas.openxmlformats.org/drawingml/2006/main">
              <a:srgbClr val="B7791F"/>
            </a:solidFill>
          </c:spPr>
          <c:marker>
            <c:symbol val="none"/>
          </c:marker>
          <c:cat>
            <c:strRef>
              <c:f>'Figures'!$A$62:$A$66</c:f>
              <c:strCache>
                <c:ptCount val="0"/>
              </c:strCache>
            </c:strRef>
          </c:cat>
          <c:val>
            <c:numRef>
              <c:f>'Figures'!$E$62:$E$66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fork 5</c:v>
          </c:tx>
          <c:spPr>
            <a:solidFill xmlns:a="http://schemas.openxmlformats.org/drawingml/2006/main">
              <a:srgbClr val="E4B766"/>
            </a:solidFill>
          </c:spPr>
          <c:marker>
            <c:symbol val="none"/>
          </c:marker>
          <c:cat>
            <c:strRef>
              <c:f>'Figures'!$A$62:$A$66</c:f>
              <c:strCache>
                <c:ptCount val="0"/>
              </c:strCache>
            </c:strRef>
          </c:cat>
          <c:val>
            <c:numRef>
              <c:f>'Figures'!$F$62:$F$66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fork 6</c:v>
          </c:tx>
          <c:spPr>
            <a:solidFill xmlns:a="http://schemas.openxmlformats.org/drawingml/2006/main">
              <a:srgbClr val="176B73"/>
            </a:solidFill>
          </c:spPr>
          <c:marker>
            <c:symbol val="none"/>
          </c:marker>
          <c:cat>
            <c:strRef>
              <c:f>'Figures'!$A$62:$A$66</c:f>
              <c:strCache>
                <c:ptCount val="0"/>
              </c:strCache>
            </c:strRef>
          </c:cat>
          <c:val>
            <c:numRef>
              <c:f>'Figures'!$G$62:$G$66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Apache Commons JCS 4.0.0-SNAPSHOT: firme thread per singola JVM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fork 1</c:v>
          </c:tx>
          <c:spPr>
            <a:solidFill xmlns:a="http://schemas.openxmlformats.org/drawingml/2006/main">
              <a:srgbClr val="A63D40"/>
            </a:solidFill>
          </c:spPr>
          <c:marker>
            <c:symbol val="none"/>
          </c:marker>
          <c:cat>
            <c:strRef>
              <c:f>'Figures'!$A$71:$A$75</c:f>
              <c:strCache>
                <c:ptCount val="0"/>
              </c:strCache>
            </c:strRef>
          </c:cat>
          <c:val>
            <c:numRef>
              <c:f>'Figures'!$B$71:$B$75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fork 2</c:v>
          </c:tx>
          <c:spPr>
            <a:solidFill xmlns:a="http://schemas.openxmlformats.org/drawingml/2006/main">
              <a:srgbClr val="C65D60"/>
            </a:solidFill>
          </c:spPr>
          <c:marker>
            <c:symbol val="none"/>
          </c:marker>
          <c:cat>
            <c:strRef>
              <c:f>'Figures'!$A$71:$A$75</c:f>
              <c:strCache>
                <c:ptCount val="0"/>
              </c:strCache>
            </c:strRef>
          </c:cat>
          <c:val>
            <c:numRef>
              <c:f>'Figures'!$C$71:$C$75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fork 3</c:v>
          </c:tx>
          <c:spPr>
            <a:solidFill xmlns:a="http://schemas.openxmlformats.org/drawingml/2006/main">
              <a:srgbClr val="D97A7D"/>
            </a:solidFill>
          </c:spPr>
          <c:marker>
            <c:symbol val="none"/>
          </c:marker>
          <c:cat>
            <c:strRef>
              <c:f>'Figures'!$A$71:$A$75</c:f>
              <c:strCache>
                <c:ptCount val="0"/>
              </c:strCache>
            </c:strRef>
          </c:cat>
          <c:val>
            <c:numRef>
              <c:f>'Figures'!$D$71:$D$75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fork 4</c:v>
          </c:tx>
          <c:spPr>
            <a:solidFill xmlns:a="http://schemas.openxmlformats.org/drawingml/2006/main">
              <a:srgbClr val="B7791F"/>
            </a:solidFill>
          </c:spPr>
          <c:marker>
            <c:symbol val="none"/>
          </c:marker>
          <c:cat>
            <c:strRef>
              <c:f>'Figures'!$A$71:$A$75</c:f>
              <c:strCache>
                <c:ptCount val="0"/>
              </c:strCache>
            </c:strRef>
          </c:cat>
          <c:val>
            <c:numRef>
              <c:f>'Figures'!$E$71:$E$75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fork 5</c:v>
          </c:tx>
          <c:spPr>
            <a:solidFill xmlns:a="http://schemas.openxmlformats.org/drawingml/2006/main">
              <a:srgbClr val="E4B766"/>
            </a:solidFill>
          </c:spPr>
          <c:marker>
            <c:symbol val="none"/>
          </c:marker>
          <c:cat>
            <c:strRef>
              <c:f>'Figures'!$A$71:$A$75</c:f>
              <c:strCache>
                <c:ptCount val="0"/>
              </c:strCache>
            </c:strRef>
          </c:cat>
          <c:val>
            <c:numRef>
              <c:f>'Figures'!$F$71:$F$75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fork 6</c:v>
          </c:tx>
          <c:spPr>
            <a:solidFill xmlns:a="http://schemas.openxmlformats.org/drawingml/2006/main">
              <a:srgbClr val="176B73"/>
            </a:solidFill>
          </c:spPr>
          <c:marker>
            <c:symbol val="none"/>
          </c:marker>
          <c:cat>
            <c:strRef>
              <c:f>'Figures'!$A$71:$A$75</c:f>
              <c:strCache>
                <c:ptCount val="0"/>
              </c:strCache>
            </c:strRef>
          </c:cat>
          <c:val>
            <c:numRef>
              <c:f>'Figures'!$G$71:$G$75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Pendenza heap post-undeploy per singola JVM (MiB/ciclo)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heap slope (MiB/cycle)</c:v>
          </c:tx>
          <c:spPr>
            <a:solidFill xmlns:a="http://schemas.openxmlformats.org/drawingml/2006/main">
              <a:srgbClr val="2B6F9E"/>
            </a:solidFill>
          </c:spPr>
          <c:cat>
            <c:strRef>
              <c:f>'Figures'!$A$80:$A$115</c:f>
              <c:strCache>
                <c:ptCount val="0"/>
              </c:strCache>
            </c:strRef>
          </c:cat>
          <c:val>
            <c:numRef>
              <c:f>'Figures'!$B$80:$B$115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Pendenza NMT post-undeploy per singola JVM (MiB/ciclo)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NMT slope (MiB/cycle)</c:v>
          </c:tx>
          <c:spPr>
            <a:solidFill xmlns:a="http://schemas.openxmlformats.org/drawingml/2006/main">
              <a:srgbClr val="176B73"/>
            </a:solidFill>
          </c:spPr>
          <c:cat>
            <c:strRef>
              <c:f>'Figures'!$A$120:$A$155</c:f>
              <c:strCache>
                <c:ptCount val="0"/>
              </c:strCache>
            </c:strRef>
          </c:cat>
          <c:val>
            <c:numRef>
              <c:f>'Figures'!$B$120:$B$155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Pendenza righe classloader per singola JVM (righe/ciclo)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classloader-row slope (rows/cycle)</c:v>
          </c:tx>
          <c:spPr>
            <a:solidFill xmlns:a="http://schemas.openxmlformats.org/drawingml/2006/main">
              <a:srgbClr val="B7791F"/>
            </a:solidFill>
          </c:spPr>
          <c:cat>
            <c:strRef>
              <c:f>'Figures'!$A$160:$A$195</c:f>
              <c:strCache>
                <c:ptCount val="0"/>
              </c:strCache>
            </c:strRef>
          </c:cat>
          <c:val>
            <c:numRef>
              <c:f>'Figures'!$B$160:$B$195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JCS-248: corroborazione per JVM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corroborated undeploy intervals</c:v>
          </c:tx>
          <c:spPr>
            <a:solidFill xmlns:a="http://schemas.openxmlformats.org/drawingml/2006/main">
              <a:srgbClr val="A63D40"/>
            </a:solidFill>
          </c:spPr>
          <c:cat>
            <c:strRef>
              <c:f>'Figures'!$A$200:$A$211</c:f>
              <c:strCache>
                <c:ptCount val="0"/>
              </c:strCache>
            </c:strRef>
          </c:cat>
          <c:val>
            <c:numRef>
              <c:f>'Figures'!$B$200:$B$211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3545bd3cba4665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f61547c9e041de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78cb07124840b1"/>
        </a:graphicData>
      </a:graphic>
    </xdr:graphicFrame>
    <xdr:clientData/>
  </xdr:twoCellAnchor>
  <xdr:twoCellAnchor>
    <xdr:from>
      <xdr:col>18</xdr:col>
      <xdr:colOff>0</xdr:colOff>
      <xdr:row>31</xdr:row>
      <xdr:rowOff>0</xdr:rowOff>
    </xdr:from>
    <xdr:to>
      <xdr:col>27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5264a7faf94af6"/>
        </a:graphicData>
      </a:graphic>
    </xdr:graphicFrame>
    <xdr:clientData/>
  </xdr:twoCellAnchor>
  <xdr:twoCellAnchor>
    <xdr:from>
      <xdr:col>8</xdr:col>
      <xdr:colOff>0</xdr:colOff>
      <xdr:row>51</xdr:row>
      <xdr:rowOff>0</xdr:rowOff>
    </xdr:from>
    <xdr:to>
      <xdr:col>17</xdr:col>
      <xdr:colOff>0</xdr:colOff>
      <xdr:row>70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13557e289d4594"/>
        </a:graphicData>
      </a:graphic>
    </xdr:graphicFrame>
    <xdr:clientData/>
  </xdr:twoCellAnchor>
  <xdr:twoCellAnchor>
    <xdr:from>
      <xdr:col>18</xdr:col>
      <xdr:colOff>0</xdr:colOff>
      <xdr:row>51</xdr:row>
      <xdr:rowOff>0</xdr:rowOff>
    </xdr:from>
    <xdr:to>
      <xdr:col>27</xdr:col>
      <xdr:colOff>0</xdr:colOff>
      <xdr:row>70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14bb3b441243c4"/>
        </a:graphicData>
      </a:graphic>
    </xdr:graphicFrame>
    <xdr:clientData/>
  </xdr:twoCellAnchor>
  <xdr:twoCellAnchor>
    <xdr:from>
      <xdr:col>8</xdr:col>
      <xdr:colOff>0</xdr:colOff>
      <xdr:row>71</xdr:row>
      <xdr:rowOff>0</xdr:rowOff>
    </xdr:from>
    <xdr:to>
      <xdr:col>17</xdr:col>
      <xdr:colOff>0</xdr:colOff>
      <xdr:row>90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a4c0cb5b864967"/>
        </a:graphicData>
      </a:graphic>
    </xdr:graphicFrame>
    <xdr:clientData/>
  </xdr:twoCellAnchor>
  <xdr:twoCellAnchor>
    <xdr:from>
      <xdr:col>18</xdr:col>
      <xdr:colOff>0</xdr:colOff>
      <xdr:row>71</xdr:row>
      <xdr:rowOff>0</xdr:rowOff>
    </xdr:from>
    <xdr:to>
      <xdr:col>27</xdr:col>
      <xdr:colOff>0</xdr:colOff>
      <xdr:row>90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51649ea7fe4b9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unsV4" displayName="RunsV4" ref="A1:BY37" headerRowCount="1" totalsRowCount="0" totalsRowShown="0">
  <x:autoFilter ref="A1:BY37"/>
  <x:tableColumns count="77">
    <x:tableColumn id="1" name="processRunId"/>
    <x:tableColumn id="2" name="scenario"/>
    <x:tableColumn id="3" name="provider"/>
    <x:tableColumn id="4" name="engineProvider"/>
    <x:tableColumn id="5" name="studyRole"/>
    <x:tableColumn id="6" name="fork"/>
    <x:tableColumn id="7" name="Williams block"/>
    <x:tableColumn id="8" name="orderPosition"/>
    <x:tableColumn id="9" name="Williams row"/>
    <x:tableColumn id="10" name="startedAt (UTC)"/>
    <x:tableColumn id="11" name="finishedAt (UTC)"/>
    <x:tableColumn id="12" name="duration (s, formula)"/>
    <x:tableColumn id="13" name="containerId"/>
    <x:tableColumn id="14" name="dockerImageId"/>
    <x:tableColumn id="15" name="container image"/>
    <x:tableColumn id="16" name="containerStartedAt (UTC)"/>
    <x:tableColumn id="17" name="CPU limit (cores)"/>
    <x:tableColumn id="18" name="CPU model"/>
    <x:tableColumn id="19" name="visible processors"/>
    <x:tableColumn id="20" name="memory limit (bytes)"/>
    <x:tableColumn id="21" name="memory limit (MiB, formula)"/>
    <x:tableColumn id="22" name="container OS"/>
    <x:tableColumn id="23" name="container kernel (uname -a)"/>
    <x:tableColumn id="24" name="Docker server version"/>
    <x:tableColumn id="25" name="Docker server OS"/>
    <x:tableColumn id="26" name="Docker server kernel"/>
    <x:tableColumn id="27" name="Docker server architecture"/>
    <x:tableColumn id="28" name="Docker server name"/>
    <x:tableColumn id="29" name="Tomcat version"/>
    <x:tableColumn id="30" name="kernel OS"/>
    <x:tableColumn id="31" name="kernel version"/>
    <x:tableColumn id="32" name="architecture"/>
    <x:tableColumn id="33" name="JVM version"/>
    <x:tableColumn id="34" name="JVM vendor"/>
    <x:tableColumn id="35" name="Java options"/>
    <x:tableColumn id="36" name="JVM command line"/>
    <x:tableColumn id="37" name="JVM flags"/>
    <x:tableColumn id="38" name="provider version (runtime field)"/>
    <x:tableColumn id="39" name="provider version (prespecificata)"/>
    <x:tableColumn id="40" name="provider-version evidence"/>
    <x:tableColumn id="41" name="image JCS4 revision label"/>
    <x:tableColumn id="42" name="requested runtime image"/>
    <x:tableColumn id="43" name="runtime image immutable reference"/>
    <x:tableColumn id="44" name="runtime image pinned digest"/>
    <x:tableColumn id="45" name="runtime image inspected"/>
    <x:tableColumn id="46" name="runtime base image ID"/>
    <x:tableColumn id="47" name="requested build image"/>
    <x:tableColumn id="48" name="build image immutable reference"/>
    <x:tableColumn id="49" name="build image pinned digest"/>
    <x:tableColumn id="50" name="build image inspected"/>
    <x:tableColumn id="51" name="build base image ID"/>
    <x:tableColumn id="52" name="JCS4 version"/>
    <x:tableColumn id="53" name="JCS4 source commit"/>
    <x:tableColumn id="54" name="JCS4 artifact SHA-256"/>
    <x:tableColumn id="55" name="JCS 3 version"/>
    <x:tableColumn id="56" name="JCS 3 artifact SHA-256"/>
    <x:tableColumn id="57" name="WAR SHA-256"/>
    <x:tableColumn id="58" name="artifact manifest: basename + SHA-256 (JSON)"/>
    <x:tableColumn id="59" name="effective POM file"/>
    <x:tableColumn id="60" name="effective POM SHA-256"/>
    <x:tableColumn id="61" name="effective POM size (bytes)"/>
    <x:tableColumn id="62" name="dependency tree file"/>
    <x:tableColumn id="63" name="dependency tree SHA-256"/>
    <x:tableColumn id="64" name="dependency tree size (bytes)"/>
    <x:tableColumn id="65" name="build provenance file"/>
    <x:tableColumn id="66" name="build provenance SHA-256"/>
    <x:tableColumn id="67" name="build provenance size (bytes)"/>
    <x:tableColumn id="68" name="provenance valid"/>
    <x:tableColumn id="69" name="provenance errors"/>
    <x:tableColumn id="70" name="cycles"/>
    <x:tableColumn id="71" name="warnings"/>
    <x:tableColumn id="72" name="leak warnings"/>
    <x:tableColumn id="73" name="thread-leak warnings"/>
    <x:tableColumn id="74" name="heap-dump policy"/>
    <x:tableColumn id="75" name="final heap dump"/>
    <x:tableColumn id="76" name="heap dump SHA-256"/>
    <x:tableColumn id="77" name="heap dump size (byte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loadsRawV4" displayName="WorkloadsRawV4" ref="A1:BM361" headerRowCount="1" totalsRowCount="0" totalsRowShown="0">
  <x:autoFilter ref="A1:BM361"/>
  <x:tableColumns count="65">
    <x:tableColumn id="1" name="processRunId"/>
    <x:tableColumn id="2" name="scenario"/>
    <x:tableColumn id="3" name="provider"/>
    <x:tableColumn id="4" name="engineProvider"/>
    <x:tableColumn id="5" name="studyRole"/>
    <x:tableColumn id="6" name="fork"/>
    <x:tableColumn id="7" name="Williams block"/>
    <x:tableColumn id="8" name="orderPosition"/>
    <x:tableColumn id="9" name="cycle"/>
    <x:tableColumn id="10" name="phase"/>
    <x:tableColumn id="11" name="gateType"/>
    <x:tableColumn id="12" name="performance eligible"/>
    <x:tableColumn id="13" name="requestSeed"/>
    <x:tableColumn id="14" name="access-plan SHA-256"/>
    <x:tableColumn id="15" name="cache size (entries)"/>
    <x:tableColumn id="16" name="operation-plan size (configured)"/>
    <x:tableColumn id="17" name="client workers"/>
    <x:tableColumn id="18" name="target hit rate (%)"/>
    <x:tableColumn id="19" name="payload (bytes)"/>
    <x:tableColumn id="20" name="warmup operations requested"/>
    <x:tableColumn id="21" name="warmup requested (s)"/>
    <x:tableColumn id="22" name="measurement requested (s)"/>
    <x:tableColumn id="23" name="TTL (s)"/>
    <x:tableColumn id="24" name="workload"/>
    <x:tableColumn id="25" name="writePercent configured (%)"/>
    <x:tableColumn id="26" name="JCS memory mode"/>
    <x:tableColumn id="27" name="latency sample 1/N"/>
    <x:tableColumn id="28" name="warmup operations executed"/>
    <x:tableColumn id="29" name="warmup (ns)"/>
    <x:tableColumn id="30" name="warmup overshoot (ns)"/>
    <x:tableColumn id="31" name="fill throughput (ops/s)"/>
    <x:tableColumn id="32" name="throughput (ops/s)"/>
    <x:tableColumn id="33" name="measured operations"/>
    <x:tableColumn id="34" name="measurement (ns)"/>
    <x:tableColumn id="35" name="measurement overshoot (ns)"/>
    <x:tableColumn id="36" name="read throughput (ops/s)"/>
    <x:tableColumn id="37" name="read operations"/>
    <x:tableColumn id="38" name="timed concurrent writes (uniform=0)"/>
    <x:tableColumn id="39" name="write-probe throughput (ops/s)"/>
    <x:tableColumn id="40" name="latency p50 (ns)"/>
    <x:tableColumn id="41" name="latency p95 (ns)"/>
    <x:tableColumn id="42" name="latency p99 (ns)"/>
    <x:tableColumn id="43" name="latency samples"/>
    <x:tableColumn id="44" name="loader calls under contention"/>
    <x:tableColumn id="45" name="single-flight passed"/>
    <x:tableColumn id="46" name="entries after workload"/>
    <x:tableColumn id="47" name="hit rate after workload"/>
    <x:tableColumn id="48" name="entries after write probe"/>
    <x:tableColumn id="49" name="hit rate after write probe"/>
    <x:tableColumn id="50" name="legacy metrics = post-write"/>
    <x:tableColumn id="51" name="metrics after workload (JSON)"/>
    <x:tableColumn id="52" name="metrics after write probe (JSON)"/>
    <x:tableColumn id="53" name="legacy alias entries (post-write)"/>
    <x:tableColumn id="54" name="provider requests"/>
    <x:tableColumn id="55" name="hits"/>
    <x:tableColumn id="56" name="misses"/>
    <x:tableColumn id="57" name="legacy alias hit rate (post-write)"/>
    <x:tableColumn id="58" name="load successes"/>
    <x:tableColumn id="59" name="load failures"/>
    <x:tableColumn id="60" name="total load time (ns)"/>
    <x:tableColumn id="61" name="evictions"/>
    <x:tableColumn id="62" name="expirations"/>
    <x:tableColumn id="63" name="puts"/>
    <x:tableColumn id="64" name="removes"/>
    <x:tableColumn id="65" name="native provider metrics (JS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napshotsRawV4" displayName="SnapshotsRawV4" ref="A1:AI1477" headerRowCount="1" totalsRowCount="0" totalsRowShown="0">
  <x:autoFilter ref="A1:AI1477"/>
  <x:tableColumns count="35">
    <x:tableColumn id="1" name="processRunId"/>
    <x:tableColumn id="2" name="scenario"/>
    <x:tableColumn id="3" name="provider"/>
    <x:tableColumn id="4" name="engineProvider"/>
    <x:tableColumn id="5" name="fork"/>
    <x:tableColumn id="6" name="Williams block"/>
    <x:tableColumn id="7" name="orderPosition"/>
    <x:tableColumn id="8" name="cycle"/>
    <x:tableColumn id="9" name="snapshot JSON key"/>
    <x:tableColumn id="10" name="lifecycle stage"/>
    <x:tableColumn id="11" name="undeploy ordinal"/>
    <x:tableColumn id="12" name="observation timing"/>
    <x:tableColumn id="13" name="full snapshot label"/>
    <x:tableColumn id="14" name="capturedAt (UTC)"/>
    <x:tableColumn id="15" name="forced GC count"/>
    <x:tableColumn id="16" name="heap used (bytes)"/>
    <x:tableColumn id="17" name="heap committed (bytes)"/>
    <x:tableColumn id="18" name="NMT committed (bytes)"/>
    <x:tableColumn id="19" name="webapp classloader rows"/>
    <x:tableColumn id="20" name="classloader rows (text)"/>
    <x:tableColumn id="21" name="live threads"/>
    <x:tableColumn id="22" name="JCS thread signatures"/>
    <x:tableColumn id="23" name="JCS thread evidence"/>
    <x:tableColumn id="24" name="findleaks checkpoint occurrences"/>
    <x:tableColumn id="25" name="positive target-context occurrences"/>
    <x:tableColumn id="26" name="positive findleaks contexts"/>
    <x:tableColumn id="27" name="findleaks checkpoint positive"/>
    <x:tableColumn id="28" name="Tomcat log lines since undeploy"/>
    <x:tableColumn id="29" name="heap-info artifact"/>
    <x:tableColumn id="30" name="classloader artifact"/>
    <x:tableColumn id="31" name="thread-dump artifact"/>
    <x:tableColumn id="32" name="Tomcat log artifact"/>
    <x:tableColumn id="33" name="NMT artifact"/>
    <x:tableColumn id="34" name="class-histogram artifact"/>
    <x:tableColumn id="35" name="findleaks artifa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readEvidenceV4" displayName="ThreadEvidenceV4" ref="A1:Y721" headerRowCount="1" totalsRowCount="0" totalsRowShown="0">
  <x:autoFilter ref="A1:Y721"/>
  <x:tableColumns count="25">
    <x:tableColumn id="1" name="processRunId"/>
    <x:tableColumn id="2" name="scenario"/>
    <x:tableColumn id="3" name="provider"/>
    <x:tableColumn id="4" name="fork"/>
    <x:tableColumn id="5" name="Williams block"/>
    <x:tableColumn id="6" name="orderPosition"/>
    <x:tableColumn id="7" name="cycle"/>
    <x:tableColumn id="8" name="evidence source"/>
    <x:tableColumn id="9" name="undeploy ordinal"/>
    <x:tableColumn id="10" name="timing"/>
    <x:tableColumn id="11" name="thread stock"/>
    <x:tableColumn id="12" name="Δ threads vs process baseline"/>
    <x:tableColumn id="13" name="Δ threads vs cycle baseline"/>
    <x:tableColumn id="14" name="new vs process count"/>
    <x:tableColumn id="15" name="new vs process threads"/>
    <x:tableColumn id="16" name="new vs cycle count"/>
    <x:tableColumn id="17" name="new vs cycle threads"/>
    <x:tableColumn id="18" name="candidate app threads vs process"/>
    <x:tableColumn id="19" name="candidate app thread names vs process"/>
    <x:tableColumn id="20" name="candidate app threads vs cycle"/>
    <x:tableColumn id="21" name="candidate app thread names vs cycle"/>
    <x:tableColumn id="22" name="JCS signature count"/>
    <x:tableColumn id="23" name="JCS signatures"/>
    <x:tableColumn id="24" name="classification"/>
    <x:tableColumn id="25" name="classification bas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entsWarningsV4" displayName="EventsWarningsV4" ref="A1:N1213" headerRowCount="1" totalsRowCount="0" totalsRowShown="0">
  <x:autoFilter ref="A1:N1213"/>
  <x:tableColumns count="14">
    <x:tableColumn id="1" name="eventId"/>
    <x:tableColumn id="2" name="processRunId"/>
    <x:tableColumn id="3" name="scenario"/>
    <x:tableColumn id="4" name="provider"/>
    <x:tableColumn id="5" name="fork"/>
    <x:tableColumn id="6" name="Williams block"/>
    <x:tableColumn id="7" name="cycle"/>
    <x:tableColumn id="8" name="aggregation level"/>
    <x:tableColumn id="9" name="undeploy ordinal"/>
    <x:tableColumn id="10" name="event category"/>
    <x:tableColumn id="11" name="source field"/>
    <x:tableColumn id="12" name="occurrence index"/>
    <x:tableColumn id="13" name="context"/>
    <x:tableColumn id="14" name="raw message / payloa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GatesV4" displayName="QualityGatesV4" ref="A1:BI361" headerRowCount="1" totalsRowCount="0" totalsRowShown="0">
  <x:autoFilter ref="A1:BI361"/>
  <x:tableColumns count="61">
    <x:tableColumn id="1" name="processRunId"/>
    <x:tableColumn id="2" name="scenario"/>
    <x:tableColumn id="3" name="provider"/>
    <x:tableColumn id="4" name="fork"/>
    <x:tableColumn id="5" name="Williams block"/>
    <x:tableColumn id="6" name="orderPosition"/>
    <x:tableColumn id="7" name="cycle"/>
    <x:tableColumn id="8" name="phase"/>
    <x:tableColumn id="9" name="gateType"/>
    <x:tableColumn id="10" name="block valid"/>
    <x:tableColumn id="11" name="performance eligible"/>
    <x:tableColumn id="12" name="operations completed (runner)"/>
    <x:tableColumn id="13" name="required operations (runner)"/>
    <x:tableColumn id="14" name="measured operations"/>
    <x:tableColumn id="15" name="throughput (ops/s)"/>
    <x:tableColumn id="16" name="operation measurements valid (runner)"/>
    <x:tableColumn id="17" name="metric checkpoints valid (runner)"/>
    <x:tableColumn id="18" name="legacy metrics = post-write"/>
    <x:tableColumn id="19" name="requested duration (ns)"/>
    <x:tableColumn id="20" name="observed duration (ns)"/>
    <x:tableColumn id="21" name="duration gate (runner)"/>
    <x:tableColumn id="22" name="workload"/>
    <x:tableColumn id="23" name="target hit rate (%)"/>
    <x:tableColumn id="24" name="expected hit rate"/>
    <x:tableColumn id="25" name="observed hit rate"/>
    <x:tableColumn id="26" name="hit-rate gate (runner)"/>
    <x:tableColumn id="27" name="configured entries"/>
    <x:tableColumn id="28" name="minimum entries after workload"/>
    <x:tableColumn id="29" name="entries after workload"/>
    <x:tableColumn id="30" name="post-workload capacity (runner)"/>
    <x:tableColumn id="31" name="minimum entries after write probe"/>
    <x:tableColumn id="32" name="expected stored entries"/>
    <x:tableColumn id="33" name="entries after write probe"/>
    <x:tableColumn id="34" name="post-write capacity (runner)"/>
    <x:tableColumn id="35" name="both capacity gates (runner)"/>
    <x:tableColumn id="36" name="no entries retained (runner)"/>
    <x:tableColumn id="37" name="no-store hit rate"/>
    <x:tableColumn id="38" name="zero-hits gate (runner)"/>
    <x:tableColumn id="39" name="single-flight applicable"/>
    <x:tableColumn id="40" name="loader calls under contention"/>
    <x:tableColumn id="41" name="single-flight gate (runner)"/>
    <x:tableColumn id="42" name="runner gate result"/>
    <x:tableColumn id="43" name="observed duration (s, formula)"/>
    <x:tableColumn id="44" name="observed/requested (formula)"/>
    <x:tableColumn id="45" name="|hit-rate Δ| (pp, formula)"/>
    <x:tableColumn id="46" name="operation measurements valid (formula)"/>
    <x:tableColumn id="47" name="operations completed (numeric formula)"/>
    <x:tableColumn id="48" name="duration gate (numeric formula)"/>
    <x:tableColumn id="49" name="hit-rate gate (numeric formula)"/>
    <x:tableColumn id="50" name="minimum entries (numeric formula)"/>
    <x:tableColumn id="51" name="post-workload minimum = runner"/>
    <x:tableColumn id="52" name="post-write minimum = runner"/>
    <x:tableColumn id="53" name="post-workload capacity (formula)"/>
    <x:tableColumn id="54" name="post-write capacity (formula)"/>
    <x:tableColumn id="55" name="both capacity gates (formula)"/>
    <x:tableColumn id="56" name="no-store empty at both checkpoints (formula)"/>
    <x:tableColumn id="57" name="no-store zero hits (numeric formula)"/>
    <x:tableColumn id="58" name="single-flight (numeric formula)"/>
    <x:tableColumn id="59" name="recomputed gate (numeric formula)"/>
    <x:tableColumn id="60" name="all numeric gates = runner"/>
    <x:tableColumn id="61" name="expected performance inclu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rformanceSummaryV4" displayName="PerformanceSummaryV4" ref="A5:AG29" headerRowCount="1" totalsRowCount="0" totalsRowShown="0">
  <x:autoFilter ref="A5:AG29"/>
  <x:tableColumns count="33">
    <x:tableColumn id="1" name="scenario"/>
    <x:tableColumn id="2" name="provider"/>
    <x:tableColumn id="3" name="phase"/>
    <x:tableColumn id="4" name="analysis set"/>
    <x:tableColumn id="5" name="statistical unit"/>
    <x:tableColumn id="6" name="study role"/>
    <x:tableColumn id="7" name="valid forks"/>
    <x:tableColumn id="8" name="observed forks"/>
    <x:tableColumn id="9" name="invalid-block forks"/>
    <x:tableColumn id="10" name="semantic-gate forks"/>
    <x:tableColumn id="11" name="performance eligible"/>
    <x:tableColumn id="12" name="included forks"/>
    <x:tableColumn id="13" name="throughput N"/>
    <x:tableColumn id="14" name="throughput median (ops/s)"/>
    <x:tableColumn id="15" name="throughput mean (ops/s)"/>
    <x:tableColumn id="16" name="throughput sample SD"/>
    <x:tableColumn id="17" name="throughput Q1 (ops/s)"/>
    <x:tableColumn id="18" name="throughput Q3 (ops/s)"/>
    <x:tableColumn id="19" name="throughput min (ops/s)"/>
    <x:tableColumn id="20" name="throughput max (ops/s)"/>
    <x:tableColumn id="21" name="fill median (ops/s)"/>
    <x:tableColumn id="22" name="p50 median (ns)"/>
    <x:tableColumn id="23" name="p95 median (ns)"/>
    <x:tableColumn id="24" name="p99 N"/>
    <x:tableColumn id="25" name="p99 median (raw ns)"/>
    <x:tableColumn id="26" name="p99 median (µs, formula)"/>
    <x:tableColumn id="27" name="p99 mean (ns)"/>
    <x:tableColumn id="28" name="p99 sample SD (ns)"/>
    <x:tableColumn id="29" name="p99 Q1 (ns)"/>
    <x:tableColumn id="30" name="p99 Q3 (ns)"/>
    <x:tableColumn id="31" name="p99 min (ns)"/>
    <x:tableColumn id="32" name="p99 max (ns)"/>
    <x:tableColumn id="33" name="latency samples media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rformanceForksV4" displayName="PerformanceForksV4" ref="A33:AA177" headerRowCount="1" totalsRowCount="0" totalsRowShown="0">
  <x:autoFilter ref="A33:AA177"/>
  <x:tableColumns count="27">
    <x:tableColumn id="1" name="processRunId"/>
    <x:tableColumn id="2" name="scenario"/>
    <x:tableColumn id="3" name="provider"/>
    <x:tableColumn id="4" name="fork"/>
    <x:tableColumn id="5" name="Williams block"/>
    <x:tableColumn id="6" name="orderPosition"/>
    <x:tableColumn id="7" name="phase"/>
    <x:tableColumn id="8" name="analysis set"/>
    <x:tableColumn id="9" name="cycle observations"/>
    <x:tableColumn id="10" name="block valid"/>
    <x:tableColumn id="11" name="semantic gate"/>
    <x:tableColumn id="12" name="performance eligible"/>
    <x:tableColumn id="13" name="included in summary"/>
    <x:tableColumn id="14" name="redeploy ready all cycles"/>
    <x:tableColumn id="15" name="observed median throughput (ops/s)"/>
    <x:tableColumn id="16" name="comparison median throughput (ops/s)"/>
    <x:tableColumn id="17" name="observed fill median (ops/s)"/>
    <x:tableColumn id="18" name="comparison fill median (ops/s)"/>
    <x:tableColumn id="19" name="observed p50 median (ns)"/>
    <x:tableColumn id="20" name="comparison p50 median (ns)"/>
    <x:tableColumn id="21" name="observed p95 median (ns)"/>
    <x:tableColumn id="22" name="comparison p95 median (ns)"/>
    <x:tableColumn id="23" name="observed p99 median (ns)"/>
    <x:tableColumn id="24" name="comparison p99 median (raw ns)"/>
    <x:tableColumn id="25" name="comparison p99 median (µs, formula)"/>
    <x:tableColumn id="26" name="observed latency samples median"/>
    <x:tableColumn id="27" name="comparison latency samples media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iredRatiosV4" displayName="PairedRatiosV4" ref="A181:P193" headerRowCount="1" totalsRowCount="0" totalsRowShown="0">
  <x:autoFilter ref="A181:P193"/>
  <x:tableColumns count="16">
    <x:tableColumn id="1" name="scenario"/>
    <x:tableColumn id="2" name="provider"/>
    <x:tableColumn id="3" name="reference provider"/>
    <x:tableColumn id="4" name="phase"/>
    <x:tableColumn id="5" name="analysis set"/>
    <x:tableColumn id="6" name="pairing unit"/>
    <x:tableColumn id="7" name="provider/JCS4 ratio metric"/>
    <x:tableColumn id="8" name="paired N"/>
    <x:tableColumn id="9" name="provider/JCS4 median"/>
    <x:tableColumn id="10" name="provider/JCS4 mean"/>
    <x:tableColumn id="11" name="provider/JCS4 sample SD"/>
    <x:tableColumn id="12" name="provider/JCS4 Q1"/>
    <x:tableColumn id="13" name="provider/JCS4 Q3"/>
    <x:tableColumn id="14" name="provider/JCS4 min"/>
    <x:tableColumn id="15" name="provider/JCS4 max"/>
    <x:tableColumn id="16" name="values by Williams block (JSON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ifecycleSummaryV4" displayName="LifecycleSummaryV4" ref="A5:V11" headerRowCount="1" totalsRowCount="0" totalsRowShown="0">
  <x:autoFilter ref="A5:V11"/>
  <x:tableColumns count="22">
    <x:tableColumn id="1" name="scenario"/>
    <x:tableColumn id="2" name="provider"/>
    <x:tableColumn id="3" name="statistical unit"/>
    <x:tableColumn id="4" name="study role"/>
    <x:tableColumn id="5" name="valid forks"/>
    <x:tableColumn id="6" name="observed forks"/>
    <x:tableColumn id="7" name="invalid-block forks"/>
    <x:tableColumn id="8" name="redeploy-ready forks"/>
    <x:tableColumn id="9" name="forks with positive findleaks checkpoint"/>
    <x:tableColumn id="10" name="forks with thread-leak warning"/>
    <x:tableColumn id="11" name="forks with JCS signature"/>
    <x:tableColumn id="12" name="forks with corroborated JCS-248 signal"/>
    <x:tableColumn id="13" name="JCS-248 positive-control criterion"/>
    <x:tableColumn id="14" name="positive findleaks checkpoints median"/>
    <x:tableColumn id="15" name="thread-leak warning median"/>
    <x:tableColumn id="16" name="JCS signature median"/>
    <x:tableColumn id="17" name="heap slope median (bytes/cycle)"/>
    <x:tableColumn id="18" name="NMT slope median (bytes/cycle)"/>
    <x:tableColumn id="19" name="classloader-row slope median"/>
    <x:tableColumn id="20" name="thread slope median"/>
    <x:tableColumn id="21" name="redeploy-ready rate (formula)"/>
    <x:tableColumn id="22" name="JCS-signature fork rate (formula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ifecycleForksV4" displayName="LifecycleForksV4" ref="A15:AF51" headerRowCount="1" totalsRowCount="0" totalsRowShown="0">
  <x:autoFilter ref="A15:AF51"/>
  <x:tableColumns count="32">
    <x:tableColumn id="1" name="processRunId"/>
    <x:tableColumn id="2" name="scenario"/>
    <x:tableColumn id="3" name="provider"/>
    <x:tableColumn id="4" name="fork"/>
    <x:tableColumn id="5" name="Williams block"/>
    <x:tableColumn id="6" name="orderPosition"/>
    <x:tableColumn id="7" name="block valid"/>
    <x:tableColumn id="8" name="cycles"/>
    <x:tableColumn id="9" name="redeploy ready all cycles"/>
    <x:tableColumn id="10" name="positive findleaks checkpoints: first undeploy"/>
    <x:tableColumn id="11" name="positive findleaks checkpoints: final undeploy"/>
    <x:tableColumn id="12" name="positive findleaks checkpoints: total"/>
    <x:tableColumn id="13" name="thread warnings first"/>
    <x:tableColumn id="14" name="thread warnings final"/>
    <x:tableColumn id="15" name="thread warnings total"/>
    <x:tableColumn id="16" name="JCS signature observations"/>
    <x:tableColumn id="17" name="JCS signature observed"/>
    <x:tableColumn id="18" name="corroborated undeploy intervals"/>
    <x:tableColumn id="19" name="corroborated interval details (JSON)"/>
    <x:tableColumn id="20" name="JCS-248 signal corroborated"/>
    <x:tableColumn id="21" name="heap slope (bytes/cycle)"/>
    <x:tableColumn id="22" name="NMT slope (bytes/cycle)"/>
    <x:tableColumn id="23" name="classloader-row slope"/>
    <x:tableColumn id="24" name="thread slope"/>
    <x:tableColumn id="25" name="heap first (bytes)"/>
    <x:tableColumn id="26" name="heap last (bytes)"/>
    <x:tableColumn id="27" name="NMT first (bytes)"/>
    <x:tableColumn id="28" name="NMT last (bytes)"/>
    <x:tableColumn id="29" name="classloader rows first"/>
    <x:tableColumn id="30" name="classloader rows last"/>
    <x:tableColumn id="31" name="threads first"/>
    <x:tableColumn id="32" name="threads las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ifecycleCyclesV4" displayName="LifecycleCyclesV4" ref="A55:AK235" headerRowCount="1" totalsRowCount="0" totalsRowShown="0">
  <x:autoFilter ref="A55:AK235"/>
  <x:tableColumns count="37">
    <x:tableColumn id="1" name="processRunId"/>
    <x:tableColumn id="2" name="scenario"/>
    <x:tableColumn id="3" name="provider"/>
    <x:tableColumn id="4" name="fork"/>
    <x:tableColumn id="5" name="Williams block"/>
    <x:tableColumn id="6" name="orderPosition"/>
    <x:tableColumn id="7" name="cycle"/>
    <x:tableColumn id="8" name="deploy (ms)"/>
    <x:tableColumn id="9" name="undeploy (ms)"/>
    <x:tableColumn id="10" name="redeploy (ms)"/>
    <x:tableColumn id="11" name="second undeploy (ms)"/>
    <x:tableColumn id="12" name="redeploy ready"/>
    <x:tableColumn id="13" name="redeploy workload gate"/>
    <x:tableColumn id="14" name="redeploy passed"/>
    <x:tableColumn id="15" name="first undeploy: early target (s)"/>
    <x:tableColumn id="16" name="first undeploy: early start (s)"/>
    <x:tableColumn id="17" name="first undeploy: early complete (s)"/>
    <x:tableColumn id="18" name="first undeploy: final target (s)"/>
    <x:tableColumn id="19" name="first undeploy: final start (s)"/>
    <x:tableColumn id="20" name="first undeploy: findleaks complete (s)"/>
    <x:tableColumn id="21" name="first undeploy: snapshot complete (s)"/>
    <x:tableColumn id="22" name="final undeploy: early target (s)"/>
    <x:tableColumn id="23" name="final undeploy: early start (s)"/>
    <x:tableColumn id="24" name="final undeploy: early complete (s)"/>
    <x:tableColumn id="25" name="final undeploy: final target (s)"/>
    <x:tableColumn id="26" name="final undeploy: final start (s)"/>
    <x:tableColumn id="27" name="final undeploy: findleaks complete (s)"/>
    <x:tableColumn id="28" name="final undeploy: snapshot complete (s)"/>
    <x:tableColumn id="29" name="loaded-idle heap Δ (bytes)"/>
    <x:tableColumn id="30" name="final-baseline heap Δ (bytes)"/>
    <x:tableColumn id="31" name="final classloader rows ≤ baseline"/>
    <x:tableColumn id="32" name="findleaks checkpoint positive after first"/>
    <x:tableColumn id="33" name="findleaks checkpoint positive after final"/>
    <x:tableColumn id="34" name="final threads ≤ baseline"/>
    <x:tableColumn id="35" name="candidate app thread count"/>
    <x:tableColumn id="36" name="candidate app thread names"/>
    <x:tableColumn id="37" name="no candidate-thread signa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Jcs248ControlContrastV4" displayName="Jcs248ControlContrastV4" ref="A6:K8" headerRowCount="1" totalsRowCount="0" totalsRowShown="0">
  <x:autoFilter ref="A6:K8"/>
  <x:tableColumns count="11">
    <x:tableColumn id="1" name="provider"/>
    <x:tableColumn id="2" name="study role"/>
    <x:tableColumn id="3" name="valid forks"/>
    <x:tableColumn id="4" name="observed forks"/>
    <x:tableColumn id="5" name="redeploy-ready forks"/>
    <x:tableColumn id="6" name="thread-warning forks"/>
    <x:tableColumn id="7" name="JCS-signature forks"/>
    <x:tableColumn id="8" name="corroborated-signal forks"/>
    <x:tableColumn id="9" name="runner criterion"/>
    <x:tableColumn id="10" name="recomputed criterion"/>
    <x:tableColumn id="11" name="formula = runn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Jcs248IntervalsV4" displayName="Jcs248IntervalsV4" ref="A12:G24" headerRowCount="1" totalsRowCount="0" totalsRowShown="0">
  <x:autoFilter ref="A12:G24"/>
  <x:tableColumns count="7">
    <x:tableColumn id="1" name="processRunId"/>
    <x:tableColumn id="2" name="provider"/>
    <x:tableColumn id="3" name="fork"/>
    <x:tableColumn id="4" name="Williams block"/>
    <x:tableColumn id="5" name="corroborated intervals"/>
    <x:tableColumn id="6" name="corroborated signal observed"/>
    <x:tableColumn id="7" name="interval details (JSON)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Jcs248EvidenceV4" displayName="Jcs248EvidenceV4" ref="A28:L148" headerRowCount="1" totalsRowCount="0" totalsRowShown="0">
  <x:autoFilter ref="A28:L148"/>
  <x:tableColumns count="12">
    <x:tableColumn id="1" name="processRunId"/>
    <x:tableColumn id="2" name="provider"/>
    <x:tableColumn id="3" name="fork"/>
    <x:tableColumn id="4" name="Williams block"/>
    <x:tableColumn id="5" name="cycle"/>
    <x:tableColumn id="6" name="phase"/>
    <x:tableColumn id="7" name="early JCS signatures"/>
    <x:tableColumn id="8" name="final JCS signatures"/>
    <x:tableColumn id="9" name="thread-leak warnings"/>
    <x:tableColumn id="10" name="positive findleaks target occurrences"/>
    <x:tableColumn id="11" name="semantic gate"/>
    <x:tableColumn id="12" name="block vali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DictionaryV4" displayName="DataDictionaryV4" ref="A1:H481" headerRowCount="1" totalsRowCount="0" totalsRowShown="0">
  <x:autoFilter ref="A1:H481"/>
  <x:tableColumns count="8">
    <x:tableColumn id="1" name="sheet"/>
    <x:tableColumn id="2" name="table / section"/>
    <x:tableColumn id="3" name="column header"/>
    <x:tableColumn id="4" name="JSON field / formula key"/>
    <x:tableColumn id="5" name="unit"/>
    <x:tableColumn id="6" name="data type"/>
    <x:tableColumn id="7" name="source"/>
    <x:tableColumn id="8" name="definition /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167c2325504d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74c270f66d44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f85d4712d14d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32873ce13b48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89664da1be41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0948020ae44f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9007ba1eeb4c18" /><Relationship Type="http://schemas.openxmlformats.org/officeDocument/2006/relationships/table" Target="/xl/tables/table8.xml" Id="Ra259127611a844af" /><Relationship Type="http://schemas.openxmlformats.org/officeDocument/2006/relationships/table" Target="/xl/tables/table9.xml" Id="R801ada9d54074e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48ff8ce5e164c20" /><Relationship Type="http://schemas.openxmlformats.org/officeDocument/2006/relationships/table" Target="/xl/tables/table11.xml" Id="R685ad48fbd53420b" /><Relationship Type="http://schemas.openxmlformats.org/officeDocument/2006/relationships/table" Target="/xl/tables/table12.xml" Id="R315c9d24e99c48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15f46971fcc64584" /><Relationship Type="http://schemas.openxmlformats.org/officeDocument/2006/relationships/table" Target="/xl/tables/table14.xml" Id="Rdcb75c9dcfc74a09" /><Relationship Type="http://schemas.openxmlformats.org/officeDocument/2006/relationships/table" Target="/xl/tables/table15.xml" Id="R366d8578bc2544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cd1cac7dc240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11743437e21941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16" hidden="0" customWidth="1"/>
    <x:col min="4" max="4" width="48" hidden="0" customWidth="1"/>
    <x:col min="5" max="5" width="3" hidden="0" customWidth="1"/>
    <x:col min="6" max="6" width="34" hidden="0" customWidth="1"/>
    <x:col min="7" max="7" width="48" hidden="0" customWidth="1"/>
    <x:col min="8" max="8" width="16" hidden="0" customWidth="1"/>
    <x:col min="9" max="9" width="42" hidden="0" customWidth="1"/>
  </x:cols>
  <x:sheetData>
    <x:row r="1" ht="30" customHeight="1">
      <x:c r="A1" s="3" t="str">
        <x:v>Beyond Throughput — dataset e protocollo v4.2</x:v>
      </x:c>
      <x:c r="B1" s="3" t="str">
        <x:v>Beyond Throughput — dataset e protocollo v4.2</x:v>
      </x:c>
      <x:c r="C1" s="3" t="str">
        <x:v>Beyond Throughput — dataset e protocollo v4.2</x:v>
      </x:c>
      <x:c r="D1" s="3" t="str">
        <x:v>Beyond Throughput — dataset e protocollo v4.2</x:v>
      </x:c>
      <x:c r="E1" s="3" t="str">
        <x:v>Beyond Throughput — dataset e protocollo v4.2</x:v>
      </x:c>
      <x:c r="F1" s="3" t="str">
        <x:v>Beyond Throughput — dataset e protocollo v4.2</x:v>
      </x:c>
      <x:c r="G1" s="3" t="str">
        <x:v>Beyond Throughput — dataset e protocollo v4.2</x:v>
      </x:c>
      <x:c r="H1" s="3" t="str">
        <x:v>Beyond Throughput — dataset e protocollo v4.2</x:v>
      </x:c>
      <x:c r="I1" s="3" t="str">
        <x:v>Beyond Throughput — dataset e protocollo v4.2</x:v>
      </x:c>
    </x:row>
    <x:row r="2" ht="28" customHeight="1">
      <x:c r="A2" s="7" t="str">
        <x:v>Workbook scientifico riproducibile. Nessuna classifica: prestazioni, correttezza e lifecycle sono riportati come dimensioni distinte.</x:v>
      </x:c>
      <x:c r="B2" s="7" t="str">
        <x:v>Workbook scientifico riproducibile. Nessuna classifica: prestazioni, correttezza e lifecycle sono riportati come dimensioni distinte.</x:v>
      </x:c>
      <x:c r="C2" s="7" t="str">
        <x:v>Workbook scientifico riproducibile. Nessuna classifica: prestazioni, correttezza e lifecycle sono riportati come dimensioni distinte.</x:v>
      </x:c>
      <x:c r="D2" s="7" t="str">
        <x:v>Workbook scientifico riproducibile. Nessuna classifica: prestazioni, correttezza e lifecycle sono riportati come dimensioni distinte.</x:v>
      </x:c>
      <x:c r="E2" s="7" t="str">
        <x:v>Workbook scientifico riproducibile. Nessuna classifica: prestazioni, correttezza e lifecycle sono riportati come dimensioni distinte.</x:v>
      </x:c>
      <x:c r="F2" s="7" t="str">
        <x:v>Workbook scientifico riproducibile. Nessuna classifica: prestazioni, correttezza e lifecycle sono riportati come dimensioni distinte.</x:v>
      </x:c>
      <x:c r="G2" s="7" t="str">
        <x:v>Workbook scientifico riproducibile. Nessuna classifica: prestazioni, correttezza e lifecycle sono riportati come dimensioni distinte.</x:v>
      </x:c>
      <x:c r="H2" s="7" t="str">
        <x:v>Workbook scientifico riproducibile. Nessuna classifica: prestazioni, correttezza e lifecycle sono riportati come dimensioni distinte.</x:v>
      </x:c>
      <x:c r="I2" s="7" t="str">
        <x:v>Workbook scientifico riproducibile. Nessuna classifica: prestazioni, correttezza e lifecycle sono riportati come dimensioni distinte.</x:v>
      </x:c>
    </x:row>
    <x:row r="4" ht="23" customHeight="1">
      <x:c r="A4" s="10" t="str">
        <x:v>Tracciabilità della campagna finale</x:v>
      </x:c>
      <x:c r="B4" s="10" t="str">
        <x:v>Tracciabilità della campagna finale</x:v>
      </x:c>
      <x:c r="C4" s="10" t="str">
        <x:v>Tracciabilità della campagna finale</x:v>
      </x:c>
      <x:c r="D4" s="10" t="str">
        <x:v>Tracciabilità della campagna finale</x:v>
      </x:c>
      <x:c r="F4" s="10" t="str">
        <x:v>Provenienza e archivio diagnostico</x:v>
      </x:c>
      <x:c r="G4" s="10" t="str">
        <x:v>Provenienza e archivio diagnostico</x:v>
      </x:c>
      <x:c r="H4" s="10" t="str">
        <x:v>Provenienza e archivio diagnostico</x:v>
      </x:c>
      <x:c r="I4" s="10" t="str">
        <x:v>Provenienza e archivio diagnostico</x:v>
      </x:c>
    </x:row>
    <x:row r="5">
      <x:c r="A5" s="12" t="str">
        <x:v>Campaign</x:v>
      </x:c>
      <x:c r="B5" s="15" t="str">
        <x:v>article1-unified-v4-2-fb3f101b-20260903-000401</x:v>
      </x:c>
      <x:c r="C5" s="15"/>
      <x:c r="D5" s="15"/>
      <x:c r="F5" s="19" t="str">
        <x:v>Source manifest SHA-256</x:v>
      </x:c>
      <x:c r="G5" s="15" t="str">
        <x:v>2c91dbdac114b5b879050b8cce04752b00512c3548beda516354f61bedd28778</x:v>
      </x:c>
      <x:c r="H5" s="15"/>
      <x:c r="I5" s="15" t="str">
        <x:v>results.sourceProvenance</x:v>
      </x:c>
    </x:row>
    <x:row r="6">
      <x:c r="A6" s="12" t="str">
        <x:v>Results JSON</x:v>
      </x:c>
      <x:c r="B6" s="15" t="str">
        <x:v>output/data/article1-unified-v4-2-fb3f101b-20260903-000401-results.json</x:v>
      </x:c>
      <x:c r="C6" s="15"/>
      <x:c r="D6" s="15"/>
      <x:c r="F6" s="19" t="str">
        <x:v>Frozen protocol</x:v>
      </x:c>
      <x:c r="G6" s="15" t="str">
        <x:v>press/article/protocollo-campagna-v4-2.md</x:v>
      </x:c>
      <x:c r="H6" s="15"/>
      <x:c r="I6" s="15" t="str">
        <x:v>results.sourceProvenance.files</x:v>
      </x:c>
    </x:row>
    <x:row r="7">
      <x:c r="A7" s="12" t="str">
        <x:v>Results SHA-256</x:v>
      </x:c>
      <x:c r="B7" s="15" t="str">
        <x:v>3310442a66811adbd0adb7fe215b377b16122ddae11f79a69bde31bce8c976f6</x:v>
      </x:c>
      <x:c r="C7" s="15"/>
      <x:c r="D7" s="15"/>
      <x:c r="F7" s="19" t="str">
        <x:v>Frozen protocol SHA-256</x:v>
      </x:c>
      <x:c r="G7" s="15" t="str">
        <x:v>4f364de62f696c687d3175931f29c69013f4ad9d96303558e2444bfc5c73596f</x:v>
      </x:c>
      <x:c r="H7" s="15"/>
      <x:c r="I7" s="15" t="str">
        <x:v>results.sourceProvenance.files</x:v>
      </x:c>
    </x:row>
    <x:row r="8">
      <x:c r="A8" s="12" t="str">
        <x:v>Analysis JSON</x:v>
      </x:c>
      <x:c r="B8" s="15" t="str">
        <x:v>output/data/article1-unified-v4-2-fb3f101b-20260903-000401-analysis.json</x:v>
      </x:c>
      <x:c r="C8" s="15"/>
      <x:c r="D8" s="15"/>
      <x:c r="F8" s="19" t="str">
        <x:v>Diagnostic archive</x:v>
      </x:c>
      <x:c r="G8" s="15" t="str">
        <x:v>article1-unified-v4-2-fb3f101b-20260903-000401-diagnostics.zip</x:v>
      </x:c>
      <x:c r="H8" s="15"/>
      <x:c r="I8" s="15" t="str">
        <x:v>results.diagnosticArchive</x:v>
      </x:c>
    </x:row>
    <x:row r="9">
      <x:c r="A9" s="12" t="str">
        <x:v>Analysis SHA-256</x:v>
      </x:c>
      <x:c r="B9" s="15" t="str">
        <x:v>2200cae6c38e2017f6643f63a7d21f5f533612dad3ed2384d3e53b5abedcb154</x:v>
      </x:c>
      <x:c r="C9" s="15"/>
      <x:c r="D9" s="15"/>
      <x:c r="F9" s="19" t="str">
        <x:v>Diagnostic archive SHA-256</x:v>
      </x:c>
      <x:c r="G9" s="15" t="str">
        <x:v>e876d7bee356ff5ffe46006db8ed0e759f5ed2603479d63e5daf824a5ad6d58d</x:v>
      </x:c>
      <x:c r="H9" s="15"/>
      <x:c r="I9" s="15" t="str">
        <x:v>results.diagnosticArchive</x:v>
      </x:c>
    </x:row>
    <x:row r="10">
      <x:c r="A10" s="12" t="str">
        <x:v>Protocol / JSON schema</x:v>
      </x:c>
      <x:c r="B10" s="15" t="str">
        <x:v>4.2 (JSON schemaVersion 4)</x:v>
      </x:c>
      <x:c r="C10" s="15"/>
      <x:c r="D10" s="15"/>
      <x:c r="F10" s="19" t="str">
        <x:v>Diagnostic archive size</x:v>
      </x:c>
      <x:c r="G10" s="15" t="n">
        <x:v>193543445</x:v>
      </x:c>
      <x:c r="H10" s="15" t="str">
        <x:v>byte</x:v>
      </x:c>
      <x:c r="I10" s="15" t="str">
        <x:v>results.diagnosticArchive</x:v>
      </x:c>
    </x:row>
    <x:row r="11">
      <x:c r="A11" s="12" t="str">
        <x:v>Started at</x:v>
      </x:c>
      <x:c r="B11" s="17" t="n">
        <x:v>46267.92367365741</x:v>
      </x:c>
      <x:c r="C11" s="15"/>
      <x:c r="D11" s="15"/>
      <x:c r="F11" s="19" t="str">
        <x:v>Analysis reference in results</x:v>
      </x:c>
      <x:c r="G11" s="15" t="str">
        <x:v>article1-unified-v4-2-fb3f101b-20260903-000401-analysis.json</x:v>
      </x:c>
      <x:c r="H11" s="15"/>
      <x:c r="I11" s="15" t="str">
        <x:v>results.analysisFile</x:v>
      </x:c>
    </x:row>
    <x:row r="12">
      <x:c r="A12" s="12" t="str">
        <x:v>Finished at</x:v>
      </x:c>
      <x:c r="B12" s="17" t="n">
        <x:v>46268.125462731485</x:v>
      </x:c>
      <x:c r="C12" s="15"/>
      <x:c r="D12" s="15"/>
      <x:c r="F12" s="19" t="str">
        <x:v>Paper-values JSON</x:v>
      </x:c>
      <x:c r="G12" s="15" t="str">
        <x:v>output/data/article1-unified-v4-2-fb3f101b-20260903-000401-paper-values.json</x:v>
      </x:c>
      <x:c r="H12" s="15"/>
      <x:c r="I12" s="15" t="str">
        <x:v>paper-values.json</x:v>
      </x:c>
    </x:row>
    <x:row r="13">
      <x:c r="A13" s="12" t="str">
        <x:v>Independent process runs</x:v>
      </x:c>
      <x:c r="B13" s="15" t="n">
        <x:v>36</x:v>
      </x:c>
      <x:c r="C13" s="15"/>
      <x:c r="D13" s="15"/>
      <x:c r="F13" s="19" t="str">
        <x:v>Paper-values SHA-256</x:v>
      </x:c>
      <x:c r="G13" s="15" t="str">
        <x:v>8ccee077efd8611ebb18b939359f9ff7aae11e61fd2d32fc1fa0469c039238b5</x:v>
      </x:c>
      <x:c r="H13" s="15"/>
      <x:c r="I13" s="15" t="str">
        <x:v>paper-values.json</x:v>
      </x:c>
    </x:row>
    <x:row r="14">
      <x:c r="A14" s="12" t="str">
        <x:v>Lifecycle cycles</x:v>
      </x:c>
      <x:c r="B14" s="15" t="n">
        <x:v>180</x:v>
      </x:c>
      <x:c r="C14" s="15"/>
      <x:c r="D14" s="15"/>
      <x:c r="F14" s="19" t="str">
        <x:v>Paper-values status</x:v>
      </x:c>
      <x:c r="G14" s="15" t="str">
        <x:v>complete-and-accepted</x:v>
      </x:c>
      <x:c r="H14" s="15"/>
      <x:c r="I14" s="15" t="str">
        <x:v>paper-values.json</x:v>
      </x:c>
    </x:row>
    <x:row r="15">
      <x:c r="A15" s="12" t="str">
        <x:v>Timed workload windows</x:v>
      </x:c>
      <x:c r="B15" s="15" t="n">
        <x:v>360</x:v>
      </x:c>
      <x:c r="C15" s="15"/>
      <x:c r="D15" s="15"/>
      <x:c r="F15" s="19" t="str">
        <x:v>Timed undeploy intervals</x:v>
      </x:c>
      <x:c r="G15" s="15" t="n">
        <x:v>360</x:v>
      </x:c>
      <x:c r="H15" s="15" t="str">
        <x:v>interval</x:v>
      </x:c>
      <x:c r="I15" s="15" t="str">
        <x:v>paper-values.json</x:v>
      </x:c>
    </x:row>
    <x:row r="16" ht="30" customHeight="1">
      <x:c r="A16" s="12" t="str">
        <x:v>Invalid Williams blocks</x:v>
      </x:c>
      <x:c r="B16" s="15" t="n">
        <x:v>0</x:v>
      </x:c>
      <x:c r="C16" s="15"/>
      <x:c r="D16" s="15"/>
      <x:c r="F16" s="19" t="str">
        <x:v>Timing reference</x:v>
      </x:c>
      <x:c r="G16" s="15" t="str">
        <x:v>monotonic elapsed seconds; origin: return of the undeploy request</x:v>
      </x:c>
      <x:c r="H16" s="15"/>
      <x:c r="I16" s="15" t="str">
        <x:v>paper-values.json</x:v>
      </x:c>
    </x:row>
    <x:row r="17" ht="30" customHeight="1">
      <x:c r="A17" s="12" t="str">
        <x:v>Statistical unit</x:v>
      </x:c>
      <x:c r="B17" s="15" t="str">
        <x:v>independent process run (fork); cycles are repeated observations</x:v>
      </x:c>
      <x:c r="C17" s="15"/>
      <x:c r="D17" s="15"/>
      <x:c r="F17" s="19" t="str">
        <x:v>Infrastructure failures</x:v>
      </x:c>
      <x:c r="G17" s="15" t="n">
        <x:v>0</x:v>
      </x:c>
      <x:c r="H17" s="15" t="str">
        <x:v>event</x:v>
      </x:c>
      <x:c r="I17" s="15" t="str">
        <x:v>results.infrastructureFailures</x:v>
      </x:c>
    </x:row>
    <x:row r="18" ht="30" customHeight="1">
      <x:c r="A18" s="12" t="str">
        <x:v>Primary analysis</x:v>
      </x:c>
      <x:c r="B18" s="15" t="str">
        <x:v>all configured cycles, including cycle 1</x:v>
      </x:c>
      <x:c r="C18" s="15"/>
      <x:c r="D18" s="15"/>
      <x:c r="F18" s="19" t="str">
        <x:v>Raw invalid blocks</x:v>
      </x:c>
      <x:c r="G18" s="15" t="n">
        <x:v>0</x:v>
      </x:c>
      <x:c r="H18" s="15" t="str">
        <x:v>block</x:v>
      </x:c>
      <x:c r="I18" s="15" t="str">
        <x:v>results.invalidBlocks</x:v>
      </x:c>
    </x:row>
    <x:row r="19" ht="42" customHeight="1">
      <x:c r="A19" s="12" t="str">
        <x:v>Sensitivity analysis</x:v>
      </x:c>
      <x:c r="B19" s="15" t="str">
        <x:v>same fork-level summaries after omitting cycle 1</x:v>
      </x:c>
      <x:c r="C19" s="15"/>
      <x:c r="D19" s="15"/>
      <x:c r="F19" s="19" t="str">
        <x:v>Performance exclusions</x:v>
      </x:c>
      <x:c r="G19" s="15" t="str">
        <x:v>{"jcs321":"JCS-248 positive control; analysed separately from current providers","nostore":"negative lifecycle control; no cache semantics and no performance comparison","semanticGateFailure":"run retained in observations but excluded from performance summary","invalidBlock":"all runs in a Williams block are retained but excluded after an infrastructure failure or incomplete block"}</x:v>
      </x:c>
      <x:c r="H19" s="15"/>
      <x:c r="I19" s="15" t="str">
        <x:v>analysis.performanceExclusions</x:v>
      </x:c>
    </x:row>
    <x:row r="20">
      <x:c r="A20" s="12" t="str">
        <x:v>Ranking produced</x:v>
      </x:c>
      <x:c r="B20" s="16" t="b">
        <x:v>0</x:v>
      </x:c>
      <x:c r="C20" s="15"/>
      <x:c r="D20" s="15"/>
    </x:row>
    <x:row r="22" ht="23" customHeight="1">
      <x:c r="A22" s="10" t="str">
        <x:v>Costanti visibili usate dalle formule</x:v>
      </x:c>
      <x:c r="B22" s="10" t="str">
        <x:v>Costanti visibili usate dalle formule</x:v>
      </x:c>
      <x:c r="C22" s="10" t="str">
        <x:v>Costanti visibili usate dalle formule</x:v>
      </x:c>
      <x:c r="D22" s="10" t="str">
        <x:v>Costanti visibili usate dalle formule</x:v>
      </x:c>
    </x:row>
    <x:row r="23" ht="31" customHeight="1">
      <x:c r="A23" s="23" t="str">
        <x:v>Constant</x:v>
      </x:c>
      <x:c r="B23" s="23" t="str">
        <x:v>Value</x:v>
      </x:c>
      <x:c r="C23" s="23" t="str">
        <x:v>Unit</x:v>
      </x:c>
      <x:c r="D23" s="23" t="str">
        <x:v>Purpose</x:v>
      </x:c>
    </x:row>
    <x:row r="24">
      <x:c r="A24" s="24" t="str">
        <x:v>Nanoseconds per second</x:v>
      </x:c>
      <x:c r="B24" s="25" t="n">
        <x:v>1000000000</x:v>
      </x:c>
      <x:c r="C24" s="24" t="str">
        <x:v>ns/s</x:v>
      </x:c>
      <x:c r="D24" s="24" t="str">
        <x:v>Conversione delle durate</x:v>
      </x:c>
    </x:row>
    <x:row r="25">
      <x:c r="A25" s="24" t="str">
        <x:v>Nanoseconds per microsecond</x:v>
      </x:c>
      <x:c r="B25" s="25" t="n">
        <x:v>1000</x:v>
      </x:c>
      <x:c r="C25" s="24" t="str">
        <x:v>ns/µs</x:v>
      </x:c>
      <x:c r="D25" s="24" t="str">
        <x:v>Presentazione della latenza p99 in microsecondi</x:v>
      </x:c>
    </x:row>
    <x:row r="26">
      <x:c r="A26" s="24" t="str">
        <x:v>Bytes per MiB</x:v>
      </x:c>
      <x:c r="B26" s="25" t="n">
        <x:v>1048576</x:v>
      </x:c>
      <x:c r="C26" s="24" t="str">
        <x:v>byte/MiB</x:v>
      </x:c>
      <x:c r="D26" s="24" t="str">
        <x:v>Conversione di heap, NMT e limiti container</x:v>
      </x:c>
    </x:row>
    <x:row r="27">
      <x:c r="A27" s="24" t="str">
        <x:v>Percentage points per unit</x:v>
      </x:c>
      <x:c r="B27" s="25" t="n">
        <x:v>100</x:v>
      </x:c>
      <x:c r="C27" s="24" t="str">
        <x:v>pp</x:v>
      </x:c>
      <x:c r="D27" s="24" t="str">
        <x:v>Differenza assoluta tra tassi</x:v>
      </x:c>
    </x:row>
    <x:row r="28">
      <x:c r="A28" s="24" t="str">
        <x:v>Hit-rate tolerance</x:v>
      </x:c>
      <x:c r="B28" s="26" t="n">
        <x:v>0.005</x:v>
      </x:c>
      <x:c r="C28" s="24" t="str">
        <x:v>fraction</x:v>
      </x:c>
      <x:c r="D28" s="24" t="str">
        <x:v>Soglia numerica prespecificata: mezzo punto percentuale</x:v>
      </x:c>
    </x:row>
    <x:row r="29">
      <x:c r="A29" s="24" t="str">
        <x:v>JCS-248 required valid forks</x:v>
      </x:c>
      <x:c r="B29" s="25" t="n">
        <x:v>6</x:v>
      </x:c>
      <x:c r="C29" s="24" t="str">
        <x:v>fork</x:v>
      </x:c>
      <x:c r="D29" s="24" t="str">
        <x:v>Criterio prespecificato del controllo positivo</x:v>
      </x:c>
    </x:row>
    <x:row r="30">
      <x:c r="A30" s="24" t="str">
        <x:v>JCS-248 minimum corroborated forks</x:v>
      </x:c>
      <x:c r="B30" s="25" t="n">
        <x:v>5</x:v>
      </x:c>
      <x:c r="C30" s="24" t="str">
        <x:v>fork</x:v>
      </x:c>
      <x:c r="D30" s="24" t="str">
        <x:v>Criterio prespecificato del controllo positivo</x:v>
      </x:c>
    </x:row>
    <x:row r="31">
      <x:c r="A31" s="24" t="str">
        <x:v>Seconds per day</x:v>
      </x:c>
      <x:c r="B31" s="25" t="n">
        <x:v>86400</x:v>
      </x:c>
      <x:c r="C31" s="24" t="str">
        <x:v>s/day</x:v>
      </x:c>
      <x:c r="D31" s="24" t="str">
        <x:v>Conversione delle date Excel in secondi</x:v>
      </x:c>
    </x:row>
    <x:row r="32">
      <x:c r="A32" s="24" t="str">
        <x:v>Minimum capacity fraction</x:v>
      </x:c>
      <x:c r="B32" s="27" t="n">
        <x:v>0.99</x:v>
      </x:c>
      <x:c r="C32" s="24" t="str">
        <x:v>fraction</x:v>
      </x:c>
      <x:c r="D32" s="24" t="str">
        <x:v>Soglia applicata a entrambi i checkpoint di capacità</x:v>
      </x:c>
    </x:row>
    <x:row r="34" ht="23" customHeight="1">
      <x:c r="A34" s="10" t="str">
        <x:v>Parametri del workload</x:v>
      </x:c>
      <x:c r="B34" s="10" t="str">
        <x:v>Parametri del workload</x:v>
      </x:c>
      <x:c r="C34" s="10" t="str">
        <x:v>Parametri del workload</x:v>
      </x:c>
      <x:c r="D34" s="10" t="str">
        <x:v>Parametri del workload</x:v>
      </x:c>
      <x:c r="F34" s="10" t="str">
        <x:v>Protocollo lifecycle</x:v>
      </x:c>
      <x:c r="G34" s="10" t="str">
        <x:v>Protocollo lifecycle</x:v>
      </x:c>
      <x:c r="H34" s="10" t="str">
        <x:v>Protocollo lifecycle</x:v>
      </x:c>
      <x:c r="I34" s="10" t="str">
        <x:v>Protocollo lifecycle</x:v>
      </x:c>
    </x:row>
    <x:row r="35" ht="31" customHeight="1">
      <x:c r="A35" s="23" t="str">
        <x:v>Parameter</x:v>
      </x:c>
      <x:c r="B35" s="23" t="str">
        <x:v>Value</x:v>
      </x:c>
      <x:c r="C35" s="23" t="str">
        <x:v>Unit</x:v>
      </x:c>
      <x:c r="D35" s="23" t="str">
        <x:v>Source</x:v>
      </x:c>
      <x:c r="F35" s="23" t="str">
        <x:v>Protocol field</x:v>
      </x:c>
      <x:c r="G35" s="23" t="str">
        <x:v>Value</x:v>
      </x:c>
      <x:c r="H35" s="23" t="str">
        <x:v>Unit</x:v>
      </x:c>
      <x:c r="I35" s="23" t="str">
        <x:v>Source</x:v>
      </x:c>
    </x:row>
    <x:row r="36">
      <x:c r="A36" s="24" t="str">
        <x:v>entries</x:v>
      </x:c>
      <x:c r="B36" s="24" t="n">
        <x:v>10000</x:v>
      </x:c>
      <x:c r="C36" s="24"/>
      <x:c r="D36" s="24" t="str">
        <x:v>results.configuration</x:v>
      </x:c>
      <x:c r="F36" s="24" t="str">
        <x:v>freshContainerPerProcessRun</x:v>
      </x:c>
      <x:c r="G36" s="28" t="b">
        <x:v>1</x:v>
      </x:c>
      <x:c r="H36" s="24"/>
      <x:c r="I36" s="24" t="str">
        <x:v>results.lifecycleProtocol</x:v>
      </x:c>
    </x:row>
    <x:row r="37">
      <x:c r="A37" s="24" t="str">
        <x:v>operations</x:v>
      </x:c>
      <x:c r="B37" s="24" t="n">
        <x:v>400000</x:v>
      </x:c>
      <x:c r="C37" s="24"/>
      <x:c r="D37" s="24" t="str">
        <x:v>results.configuration</x:v>
      </x:c>
      <x:c r="F37" s="24" t="str">
        <x:v>composeRecreateFlag</x:v>
      </x:c>
      <x:c r="G37" s="24" t="str">
        <x:v>'--force-recreate</x:v>
      </x:c>
      <x:c r="H37" s="24"/>
      <x:c r="I37" s="24" t="str">
        <x:v>results.lifecycleProtocol</x:v>
      </x:c>
    </x:row>
    <x:row r="38">
      <x:c r="A38" s="24" t="str">
        <x:v>threads</x:v>
      </x:c>
      <x:c r="B38" s="24" t="n">
        <x:v>8</x:v>
      </x:c>
      <x:c r="C38" s="24"/>
      <x:c r="D38" s="24" t="str">
        <x:v>results.configuration</x:v>
      </x:c>
      <x:c r="F38" s="24" t="str">
        <x:v>redeployExecutesSameSeededFullWorkload</x:v>
      </x:c>
      <x:c r="G38" s="28" t="b">
        <x:v>1</x:v>
      </x:c>
      <x:c r="H38" s="24"/>
      <x:c r="I38" s="24" t="str">
        <x:v>results.lifecycleProtocol</x:v>
      </x:c>
    </x:row>
    <x:row r="39">
      <x:c r="A39" s="24" t="str">
        <x:v>hitPercent</x:v>
      </x:c>
      <x:c r="B39" s="24" t="n">
        <x:v>95</x:v>
      </x:c>
      <x:c r="C39" s="24"/>
      <x:c r="D39" s="24" t="str">
        <x:v>results.configuration</x:v>
      </x:c>
      <x:c r="F39" s="24" t="str">
        <x:v>earlyThreadObservationSeconds</x:v>
      </x:c>
      <x:c r="G39" s="24" t="n">
        <x:v>2</x:v>
      </x:c>
      <x:c r="H39" s="24"/>
      <x:c r="I39" s="24" t="str">
        <x:v>results.lifecycleProtocol</x:v>
      </x:c>
    </x:row>
    <x:row r="40">
      <x:c r="A40" s="24" t="str">
        <x:v>payloadBytes</x:v>
      </x:c>
      <x:c r="B40" s="24" t="n">
        <x:v>512</x:v>
      </x:c>
      <x:c r="C40" s="24"/>
      <x:c r="D40" s="24" t="str">
        <x:v>results.configuration</x:v>
      </x:c>
      <x:c r="F40" s="24" t="str">
        <x:v>finalObservationAndFindleaksSeconds</x:v>
      </x:c>
      <x:c r="G40" s="24" t="n">
        <x:v>10</x:v>
      </x:c>
      <x:c r="H40" s="24"/>
      <x:c r="I40" s="24" t="str">
        <x:v>results.lifecycleProtocol</x:v>
      </x:c>
    </x:row>
    <x:row r="41">
      <x:c r="A41" s="24" t="str">
        <x:v>warmupOperations</x:v>
      </x:c>
      <x:c r="B41" s="24" t="n">
        <x:v>50000</x:v>
      </x:c>
      <x:c r="C41" s="24"/>
      <x:c r="D41" s="24" t="str">
        <x:v>results.configuration</x:v>
      </x:c>
      <x:c r="F41" s="24" t="str">
        <x:v>earlyThreadTargetSecondsAfterUndeploy</x:v>
      </x:c>
      <x:c r="G41" s="24" t="n">
        <x:v>2</x:v>
      </x:c>
      <x:c r="H41" s="24"/>
      <x:c r="I41" s="24" t="str">
        <x:v>results.lifecycleProtocol</x:v>
      </x:c>
    </x:row>
    <x:row r="42">
      <x:c r="A42" s="24" t="str">
        <x:v>warmupSeconds</x:v>
      </x:c>
      <x:c r="B42" s="24" t="n">
        <x:v>3</x:v>
      </x:c>
      <x:c r="C42" s="24"/>
      <x:c r="D42" s="24" t="str">
        <x:v>results.configuration</x:v>
      </x:c>
      <x:c r="F42" s="24" t="str">
        <x:v>finalDiagnosticTargetSecondsAfterUndeploy</x:v>
      </x:c>
      <x:c r="G42" s="24" t="n">
        <x:v>10</x:v>
      </x:c>
      <x:c r="H42" s="24"/>
      <x:c r="I42" s="24" t="str">
        <x:v>results.lifecycleProtocol</x:v>
      </x:c>
    </x:row>
    <x:row r="43">
      <x:c r="A43" s="24" t="str">
        <x:v>measurementSeconds</x:v>
      </x:c>
      <x:c r="B43" s="24" t="n">
        <x:v>5</x:v>
      </x:c>
      <x:c r="C43" s="24"/>
      <x:c r="D43" s="24" t="str">
        <x:v>results.configuration</x:v>
      </x:c>
      <x:c r="F43" s="24" t="str">
        <x:v>finalDiagnosticTargetIsMinimumStart</x:v>
      </x:c>
      <x:c r="G43" s="28" t="b">
        <x:v>1</x:v>
      </x:c>
      <x:c r="H43" s="24"/>
      <x:c r="I43" s="24" t="str">
        <x:v>results.lifecycleProtocol</x:v>
      </x:c>
    </x:row>
    <x:row r="44">
      <x:c r="A44" s="24" t="str">
        <x:v>ttlSeconds</x:v>
      </x:c>
      <x:c r="B44" s="24" t="n">
        <x:v>300</x:v>
      </x:c>
      <x:c r="C44" s="24"/>
      <x:c r="D44" s="24" t="str">
        <x:v>results.configuration</x:v>
      </x:c>
      <x:c r="F44" s="24" t="str">
        <x:v>diagnosticTimingOrigin</x:v>
      </x:c>
      <x:c r="G44" s="24" t="str">
        <x:v>monotonic elapsed time starting immediately after undeploy returned</x:v>
      </x:c>
      <x:c r="H44" s="24"/>
      <x:c r="I44" s="24" t="str">
        <x:v>results.lifecycleProtocol</x:v>
      </x:c>
    </x:row>
    <x:row r="45">
      <x:c r="A45" s="24" t="str">
        <x:v>workload</x:v>
      </x:c>
      <x:c r="B45" s="24" t="str">
        <x:v>uniform</x:v>
      </x:c>
      <x:c r="C45" s="24"/>
      <x:c r="D45" s="24" t="str">
        <x:v>results.configuration</x:v>
      </x:c>
      <x:c r="F45" s="24" t="str">
        <x:v>forcedGcCountPerFinalSnapshot</x:v>
      </x:c>
      <x:c r="G45" s="24" t="n">
        <x:v>2</x:v>
      </x:c>
      <x:c r="H45" s="24"/>
      <x:c r="I45" s="24" t="str">
        <x:v>results.lifecycleProtocol</x:v>
      </x:c>
    </x:row>
    <x:row r="46">
      <x:c r="A46" s="24" t="str">
        <x:v>writePercent</x:v>
      </x:c>
      <x:c r="B46" s="24" t="n">
        <x:v>10</x:v>
      </x:c>
      <x:c r="C46" s="24"/>
      <x:c r="D46" s="24" t="str">
        <x:v>results.configuration</x:v>
      </x:c>
      <x:c r="F46" s="24" t="str">
        <x:v>forcedGcAtBaselineIdleOrLoadedSnapshots</x:v>
      </x:c>
      <x:c r="G46" s="28" t="b">
        <x:v>0</x:v>
      </x:c>
      <x:c r="H46" s="24"/>
      <x:c r="I46" s="24" t="str">
        <x:v>results.lifecycleProtocol</x:v>
      </x:c>
    </x:row>
    <x:row r="47">
      <x:c r="A47" s="24" t="str">
        <x:v>jcsMemoryMode</x:v>
      </x:c>
      <x:c r="B47" s="24" t="str">
        <x:v>strict</x:v>
      </x:c>
      <x:c r="C47" s="24"/>
      <x:c r="D47" s="24" t="str">
        <x:v>results.configuration</x:v>
      </x:c>
      <x:c r="F47" s="24" t="str">
        <x:v>findleaksOccurrencesPreserved</x:v>
      </x:c>
      <x:c r="G47" s="28" t="b">
        <x:v>1</x:v>
      </x:c>
      <x:c r="H47" s="24"/>
      <x:c r="I47" s="24" t="str">
        <x:v>results.lifecycleProtocol</x:v>
      </x:c>
    </x:row>
    <x:row r="48">
      <x:c r="A48" s="24" t="str">
        <x:v>seed</x:v>
      </x:c>
      <x:c r="B48" s="24" t="n">
        <x:v>24301</x:v>
      </x:c>
      <x:c r="C48" s="24"/>
      <x:c r="D48" s="24" t="str">
        <x:v>results.configuration</x:v>
      </x:c>
      <x:c r="F48" s="24" t="str">
        <x:v>finalHeapDumpPolicy</x:v>
      </x:c>
      <x:c r="G48" s="24" t="str">
        <x:v>jcs</x:v>
      </x:c>
      <x:c r="H48" s="24"/>
      <x:c r="I48" s="24" t="str">
        <x:v>results.lifecycleProtocol</x:v>
      </x:c>
    </x:row>
    <x:row r="49">
      <x:c r="A49" s="24" t="str">
        <x:v>latencySampleRate</x:v>
      </x:c>
      <x:c r="B49" s="24" t="n">
        <x:v>64</x:v>
      </x:c>
      <x:c r="C49" s="24"/>
      <x:c r="D49" s="24" t="str">
        <x:v>results.configuration</x:v>
      </x:c>
      <x:c r="F49" s="24" t="str">
        <x:v>archivedAfterEveryUndeploy</x:v>
      </x:c>
      <x:c r="G49" s="24" t="str">
        <x:v>["early Thread.print","early Tomcat log","Tomcat Manager findleaks","GC.heap_info (after two forced GC.run commands)","VM.classloader_stats","final Thread.print","VM.native_memory summary","GC.class_histogram"]</x:v>
      </x:c>
      <x:c r="H49" s="24"/>
      <x:c r="I49" s="24" t="str">
        <x:v>results.lifecycleProtocol</x:v>
      </x:c>
    </x:row>
    <x:row r="50">
      <x:c r="F50" s="24" t="str">
        <x:v>finalDiagnosticCommandOrder</x:v>
      </x:c>
      <x:c r="G50" s="24" t="str">
        <x:v>["Tomcat Manager findleaks","GC.run","GC.run","GC.heap_info","VM.classloader_stats","Thread.print","VM.native_memory summary","GC.class_histogram"]</x:v>
      </x:c>
      <x:c r="H50" s="24"/>
      <x:c r="I50" s="24" t="str">
        <x:v>results.lifecycleProtocol</x:v>
      </x:c>
    </x:row>
    <x:row r="51" ht="23" customHeight="1">
      <x:c r="A51" s="10" t="str">
        <x:v>Ordine Williams prespecificato (non ordinamento per risultato)</x:v>
      </x:c>
      <x:c r="B51" s="10" t="str">
        <x:v>Ordine Williams prespecificato (non ordinamento per risultato)</x:v>
      </x:c>
      <x:c r="C51" s="10" t="str">
        <x:v>Ordine Williams prespecificato (non ordinamento per risultato)</x:v>
      </x:c>
      <x:c r="D51" s="10" t="str">
        <x:v>Ordine Williams prespecificato (non ordinamento per risultato)</x:v>
      </x:c>
      <x:c r="E51" s="10" t="str">
        <x:v>Ordine Williams prespecificato (non ordinamento per risultato)</x:v>
      </x:c>
      <x:c r="F51" s="10" t="str">
        <x:v>Ordine Williams prespecificato (non ordinamento per risultato)</x:v>
      </x:c>
      <x:c r="G51" s="10" t="str">
        <x:v>Ordine Williams prespecificato (non ordinamento per risultato)</x:v>
      </x:c>
      <x:c r="H51" s="10" t="str">
        <x:v>Ordine Williams prespecificato (non ordinamento per risultato)</x:v>
      </x:c>
      <x:c r="I51" s="10" t="str">
        <x:v>Ordine Williams prespecificato (non ordinamento per risultato)</x:v>
      </x:c>
    </x:row>
    <x:row r="52" ht="31" customHeight="1">
      <x:c r="A52" s="23" t="str">
        <x:v>Row</x:v>
      </x:c>
      <x:c r="B52" s="23" t="str">
        <x:v>1</x:v>
      </x:c>
      <x:c r="C52" s="23" t="str">
        <x:v>2</x:v>
      </x:c>
      <x:c r="D52" s="23" t="str">
        <x:v>3</x:v>
      </x:c>
      <x:c r="E52" s="23" t="str">
        <x:v>4</x:v>
      </x:c>
      <x:c r="F52" s="23" t="str">
        <x:v>5</x:v>
      </x:c>
      <x:c r="G52" s="23" t="str">
        <x:v>6</x:v>
      </x:c>
    </x:row>
    <x:row r="53">
      <x:c r="A53" s="24" t="n">
        <x:v>1</x:v>
      </x:c>
      <x:c r="B53" s="24" t="str">
        <x:v>caffeine</x:v>
      </x:c>
      <x:c r="C53" s="24" t="str">
        <x:v>ehcache</x:v>
      </x:c>
      <x:c r="D53" s="24" t="str">
        <x:v>nostore</x:v>
      </x:c>
      <x:c r="E53" s="24" t="str">
        <x:v>cache2k</x:v>
      </x:c>
      <x:c r="F53" s="24" t="str">
        <x:v>jcs321</x:v>
      </x:c>
      <x:c r="G53" s="24" t="str">
        <x:v>jcs4</x:v>
      </x:c>
    </x:row>
    <x:row r="54">
      <x:c r="A54" s="24" t="n">
        <x:v>2</x:v>
      </x:c>
      <x:c r="B54" s="24" t="str">
        <x:v>ehcache</x:v>
      </x:c>
      <x:c r="C54" s="24" t="str">
        <x:v>cache2k</x:v>
      </x:c>
      <x:c r="D54" s="24" t="str">
        <x:v>caffeine</x:v>
      </x:c>
      <x:c r="E54" s="24" t="str">
        <x:v>jcs4</x:v>
      </x:c>
      <x:c r="F54" s="24" t="str">
        <x:v>nostore</x:v>
      </x:c>
      <x:c r="G54" s="24" t="str">
        <x:v>jcs321</x:v>
      </x:c>
    </x:row>
    <x:row r="55">
      <x:c r="A55" s="24" t="n">
        <x:v>3</x:v>
      </x:c>
      <x:c r="B55" s="24" t="str">
        <x:v>cache2k</x:v>
      </x:c>
      <x:c r="C55" s="24" t="str">
        <x:v>jcs4</x:v>
      </x:c>
      <x:c r="D55" s="24" t="str">
        <x:v>ehcache</x:v>
      </x:c>
      <x:c r="E55" s="24" t="str">
        <x:v>jcs321</x:v>
      </x:c>
      <x:c r="F55" s="24" t="str">
        <x:v>caffeine</x:v>
      </x:c>
      <x:c r="G55" s="24" t="str">
        <x:v>nostore</x:v>
      </x:c>
    </x:row>
    <x:row r="56">
      <x:c r="A56" s="24" t="n">
        <x:v>4</x:v>
      </x:c>
      <x:c r="B56" s="24" t="str">
        <x:v>jcs4</x:v>
      </x:c>
      <x:c r="C56" s="24" t="str">
        <x:v>jcs321</x:v>
      </x:c>
      <x:c r="D56" s="24" t="str">
        <x:v>cache2k</x:v>
      </x:c>
      <x:c r="E56" s="24" t="str">
        <x:v>nostore</x:v>
      </x:c>
      <x:c r="F56" s="24" t="str">
        <x:v>ehcache</x:v>
      </x:c>
      <x:c r="G56" s="24" t="str">
        <x:v>caffeine</x:v>
      </x:c>
    </x:row>
    <x:row r="57">
      <x:c r="A57" s="24" t="n">
        <x:v>5</x:v>
      </x:c>
      <x:c r="B57" s="24" t="str">
        <x:v>jcs321</x:v>
      </x:c>
      <x:c r="C57" s="24" t="str">
        <x:v>nostore</x:v>
      </x:c>
      <x:c r="D57" s="24" t="str">
        <x:v>jcs4</x:v>
      </x:c>
      <x:c r="E57" s="24" t="str">
        <x:v>caffeine</x:v>
      </x:c>
      <x:c r="F57" s="24" t="str">
        <x:v>cache2k</x:v>
      </x:c>
      <x:c r="G57" s="24" t="str">
        <x:v>ehcache</x:v>
      </x:c>
    </x:row>
    <x:row r="58">
      <x:c r="A58" s="24" t="n">
        <x:v>6</x:v>
      </x:c>
      <x:c r="B58" s="24" t="str">
        <x:v>nostore</x:v>
      </x:c>
      <x:c r="C58" s="24" t="str">
        <x:v>caffeine</x:v>
      </x:c>
      <x:c r="D58" s="24" t="str">
        <x:v>jcs321</x:v>
      </x:c>
      <x:c r="E58" s="24" t="str">
        <x:v>ehcache</x:v>
      </x:c>
      <x:c r="F58" s="24" t="str">
        <x:v>jcs4</x:v>
      </x:c>
      <x:c r="G58" s="24" t="str">
        <x:v>cache2k</x:v>
      </x:c>
    </x:row>
    <x:row r="61" ht="23" customHeight="1">
      <x:c r="A61" s="10" t="str">
        <x:v>Ruoli delle condizioni</x:v>
      </x:c>
      <x:c r="B61" s="10" t="str">
        <x:v>Ruoli delle condizioni</x:v>
      </x:c>
      <x:c r="C61" s="10" t="str">
        <x:v>Ruoli delle condizioni</x:v>
      </x:c>
      <x:c r="D61" s="10" t="str">
        <x:v>Ruoli delle condizioni</x:v>
      </x:c>
      <x:c r="F61" s="10" t="str">
        <x:v>Versioni provider prespecificate</x:v>
      </x:c>
      <x:c r="G61" s="10" t="str">
        <x:v>Versioni provider prespecificate</x:v>
      </x:c>
      <x:c r="H61" s="10" t="str">
        <x:v>Versioni provider prespecificate</x:v>
      </x:c>
      <x:c r="I61" s="10" t="str">
        <x:v>Versioni provider prespecificate</x:v>
      </x:c>
    </x:row>
    <x:row r="62" ht="31" customHeight="1">
      <x:c r="A62" s="23" t="str">
        <x:v>Role</x:v>
      </x:c>
      <x:c r="B62" s="23" t="str">
        <x:v>Conditions</x:v>
      </x:c>
      <x:c r="C62" s="23" t="str">
        <x:v>Performance comparison</x:v>
      </x:c>
      <x:c r="D62" s="23" t="str">
        <x:v>Meaning</x:v>
      </x:c>
      <x:c r="F62" s="23" t="str">
        <x:v>Provider</x:v>
      </x:c>
      <x:c r="G62" s="23" t="str">
        <x:v>Version</x:v>
      </x:c>
      <x:c r="H62" s="23" t="str">
        <x:v>Status</x:v>
      </x:c>
      <x:c r="I62" s="23" t="str">
        <x:v>Evidence / limit</x:v>
      </x:c>
    </x:row>
    <x:row r="63">
      <x:c r="A63" s="24" t="str">
        <x:v>current-provider-primary-comparison</x:v>
      </x:c>
      <x:c r="B63" s="24" t="str">
        <x:v>caffeine, ehcache, cache2k, jcs4</x:v>
      </x:c>
      <x:c r="C63" s="24" t="str">
        <x:v>Eligible if QC passes</x:v>
      </x:c>
      <x:c r="D63" s="24" t="str">
        <x:v>Provider correnti nel confronto applicativo</x:v>
      </x:c>
      <x:c r="F63" s="24" t="str">
        <x:v>caffeine</x:v>
      </x:c>
      <x:c r="G63" s="24" t="str">
        <x:v>3.2.4</x:v>
      </x:c>
      <x:c r="H63" s="24" t="str">
        <x:v>prespecificata</x:v>
      </x:c>
      <x:c r="I63" s="29" t="str">
        <x:v>Protocollo v4.2; verificabile nell'effective POM quando presente nell'archivio</x:v>
      </x:c>
    </x:row>
    <x:row r="64">
      <x:c r="A64" s="24" t="str">
        <x:v>JCS-248-positive-control</x:v>
      </x:c>
      <x:c r="B64" s="24" t="str">
        <x:v>jcs321</x:v>
      </x:c>
      <x:c r="C64" s="24" t="str">
        <x:v>Excluded</x:v>
      </x:c>
      <x:c r="D64" s="24" t="str">
        <x:v>Controllo positivo per la firma diagnostica storica</x:v>
      </x:c>
      <x:c r="F64" s="24" t="str">
        <x:v>ehcache</x:v>
      </x:c>
      <x:c r="G64" s="24" t="str">
        <x:v>3.12.0</x:v>
      </x:c>
      <x:c r="H64" s="24" t="str">
        <x:v>prespecificata</x:v>
      </x:c>
      <x:c r="I64" s="29" t="str">
        <x:v>Protocollo v4.2; verificabile nell'effective POM quando presente nell'archivio</x:v>
      </x:c>
    </x:row>
    <x:row r="65">
      <x:c r="A65" s="24" t="str">
        <x:v>lifecycle-negative-control</x:v>
      </x:c>
      <x:c r="B65" s="24" t="str">
        <x:v>nostore</x:v>
      </x:c>
      <x:c r="C65" s="24" t="str">
        <x:v>Excluded</x:v>
      </x:c>
      <x:c r="D65" s="24" t="str">
        <x:v>Controllo del percorso di deploy/undeploy senza storage</x:v>
      </x:c>
      <x:c r="F65" s="24" t="str">
        <x:v>cache2k</x:v>
      </x:c>
      <x:c r="G65" s="24" t="str">
        <x:v>2.6.1.Final</x:v>
      </x:c>
      <x:c r="H65" s="24" t="str">
        <x:v>prespecificata</x:v>
      </x:c>
      <x:c r="I65" s="29" t="str">
        <x:v>Protocollo v4.2; verificabile nell'effective POM quando presente nell'archivio</x:v>
      </x:c>
    </x:row>
    <x:row r="66">
      <x:c r="F66" s="24" t="str">
        <x:v>jcs4</x:v>
      </x:c>
      <x:c r="G66" s="24" t="str">
        <x:v>4.0.0-SNAPSHOT</x:v>
      </x:c>
      <x:c r="H66" s="24" t="str">
        <x:v>prespecificata</x:v>
      </x:c>
      <x:c r="I66" s="29" t="str">
        <x:v>Protocollo v4.2; valore runtime in environment.jcs4Version</x:v>
      </x:c>
    </x:row>
    <x:row r="67">
      <x:c r="F67" s="24" t="str">
        <x:v>jcs321</x:v>
      </x:c>
      <x:c r="G67" s="24" t="str">
        <x:v>3.2.1</x:v>
      </x:c>
      <x:c r="H67" s="24" t="str">
        <x:v>prespecificata</x:v>
      </x:c>
      <x:c r="I67" s="29" t="str">
        <x:v>Protocollo v4.2; valore runtime in environment.jcs321Version</x:v>
      </x:c>
    </x:row>
    <x:row r="68">
      <x:c r="F68" s="24" t="str">
        <x:v>nostore</x:v>
      </x:c>
      <x:c r="G68" s="24"/>
      <x:c r="H68" s="24" t="str">
        <x:v>non applicabile</x:v>
      </x:c>
      <x:c r="I68" s="29" t="str">
        <x:v>Non applicabile: controllo senza motore di cache</x:v>
      </x:c>
    </x:row>
    <x:row r="70" ht="23" customHeight="1">
      <x:c r="A70" s="10" t="str">
        <x:v>Lettura corretta del workbook</x:v>
      </x:c>
      <x:c r="B70" s="10" t="str">
        <x:v>Lettura corretta del workbook</x:v>
      </x:c>
      <x:c r="C70" s="10" t="str">
        <x:v>Lettura corretta del workbook</x:v>
      </x:c>
      <x:c r="D70" s="10" t="str">
        <x:v>Lettura corretta del workbook</x:v>
      </x:c>
      <x:c r="E70" s="10" t="str">
        <x:v>Lettura corretta del workbook</x:v>
      </x:c>
      <x:c r="F70" s="10" t="str">
        <x:v>Lettura corretta del workbook</x:v>
      </x:c>
      <x:c r="G70" s="10" t="str">
        <x:v>Lettura corretta del workbook</x:v>
      </x:c>
      <x:c r="H70" s="10" t="str">
        <x:v>Lettura corretta del workbook</x:v>
      </x:c>
      <x:c r="I70" s="10" t="str">
        <x:v>Lettura corretta del workbook</x:v>
      </x:c>
    </x:row>
    <x:row r="71" ht="25" customHeight="1">
      <x:c r="A71" s="15" t="str">
        <x:v>• La JVM/container indipendente è l'unità statistica; i cicli interni sono osservazioni ripetute, non repliche indipendenti.</x:v>
      </x:c>
      <x:c r="B71" s="15" t="str">
        <x:v>• La JVM/container indipendente è l'unità statistica; i cicli interni sono osservazioni ripetute, non repliche indipendenti.</x:v>
      </x:c>
      <x:c r="C71" s="15" t="str">
        <x:v>• La JVM/container indipendente è l'unità statistica; i cicli interni sono osservazioni ripetute, non repliche indipendenti.</x:v>
      </x:c>
      <x:c r="D71" s="15" t="str">
        <x:v>• La JVM/container indipendente è l'unità statistica; i cicli interni sono osservazioni ripetute, non repliche indipendenti.</x:v>
      </x:c>
      <x:c r="E71" s="15" t="str">
        <x:v>• La JVM/container indipendente è l'unità statistica; i cicli interni sono osservazioni ripetute, non repliche indipendenti.</x:v>
      </x:c>
      <x:c r="F71" s="15" t="str">
        <x:v>• La JVM/container indipendente è l'unità statistica; i cicli interni sono osservazioni ripetute, non repliche indipendenti.</x:v>
      </x:c>
      <x:c r="G71" s="15" t="str">
        <x:v>• La JVM/container indipendente è l'unità statistica; i cicli interni sono osservazioni ripetute, non repliche indipendenti.</x:v>
      </x:c>
      <x:c r="H71" s="15" t="str">
        <x:v>• La JVM/container indipendente è l'unità statistica; i cicli interni sono osservazioni ripetute, non repliche indipendenti.</x:v>
      </x:c>
      <x:c r="I71" s="15" t="str">
        <x:v>• La JVM/container indipendente è l'unità statistica; i cicli interni sono osservazioni ripetute, non repliche indipendenti.</x:v>
      </x:c>
    </x:row>
    <x:row r="72" ht="25" customHeight="1">
      <x:c r="A72" s="15" t="str">
        <x:v>• La tabella primaria include il ciclo 1; sensitivity-without-cycle-1 lo omette. Entrambe sono prespecificate e conservate senza scegliere ex post il risultato più favorevole.</x:v>
      </x:c>
      <x:c r="B72" s="15" t="str">
        <x:v>• La tabella primaria include il ciclo 1; sensitivity-without-cycle-1 lo omette. Entrambe sono prespecificate e conservate senza scegliere ex post il risultato più favorevole.</x:v>
      </x:c>
      <x:c r="C72" s="15" t="str">
        <x:v>• La tabella primaria include il ciclo 1; sensitivity-without-cycle-1 lo omette. Entrambe sono prespecificate e conservate senza scegliere ex post il risultato più favorevole.</x:v>
      </x:c>
      <x:c r="D72" s="15" t="str">
        <x:v>• La tabella primaria include il ciclo 1; sensitivity-without-cycle-1 lo omette. Entrambe sono prespecificate e conservate senza scegliere ex post il risultato più favorevole.</x:v>
      </x:c>
      <x:c r="E72" s="15" t="str">
        <x:v>• La tabella primaria include il ciclo 1; sensitivity-without-cycle-1 lo omette. Entrambe sono prespecificate e conservate senza scegliere ex post il risultato più favorevole.</x:v>
      </x:c>
      <x:c r="F72" s="15" t="str">
        <x:v>• La tabella primaria include il ciclo 1; sensitivity-without-cycle-1 lo omette. Entrambe sono prespecificate e conservate senza scegliere ex post il risultato più favorevole.</x:v>
      </x:c>
      <x:c r="G72" s="15" t="str">
        <x:v>• La tabella primaria include il ciclo 1; sensitivity-without-cycle-1 lo omette. Entrambe sono prespecificate e conservate senza scegliere ex post il risultato più favorevole.</x:v>
      </x:c>
      <x:c r="H72" s="15" t="str">
        <x:v>• La tabella primaria include il ciclo 1; sensitivity-without-cycle-1 lo omette. Entrambe sono prespecificate e conservate senza scegliere ex post il risultato più favorevole.</x:v>
      </x:c>
      <x:c r="I72" s="15" t="str">
        <x:v>• La tabella primaria include il ciclo 1; sensitivity-without-cycle-1 lo omette. Entrambe sono prespecificate e conservate senza scegliere ex post il risultato più favorevole.</x:v>
      </x:c>
    </x:row>
    <x:row r="73" ht="25" customHeight="1">
      <x:c r="A73" s="15" t="str">
        <x:v>• JCS 3.2.1 e nostore sono controlli di lifecycle e non entrano nel confronto prestazionale.</x:v>
      </x:c>
      <x:c r="B73" s="15" t="str">
        <x:v>• JCS 3.2.1 e nostore sono controlli di lifecycle e non entrano nel confronto prestazionale.</x:v>
      </x:c>
      <x:c r="C73" s="15" t="str">
        <x:v>• JCS 3.2.1 e nostore sono controlli di lifecycle e non entrano nel confronto prestazionale.</x:v>
      </x:c>
      <x:c r="D73" s="15" t="str">
        <x:v>• JCS 3.2.1 e nostore sono controlli di lifecycle e non entrano nel confronto prestazionale.</x:v>
      </x:c>
      <x:c r="E73" s="15" t="str">
        <x:v>• JCS 3.2.1 e nostore sono controlli di lifecycle e non entrano nel confronto prestazionale.</x:v>
      </x:c>
      <x:c r="F73" s="15" t="str">
        <x:v>• JCS 3.2.1 e nostore sono controlli di lifecycle e non entrano nel confronto prestazionale.</x:v>
      </x:c>
      <x:c r="G73" s="15" t="str">
        <x:v>• JCS 3.2.1 e nostore sono controlli di lifecycle e non entrano nel confronto prestazionale.</x:v>
      </x:c>
      <x:c r="H73" s="15" t="str">
        <x:v>• JCS 3.2.1 e nostore sono controlli di lifecycle e non entrano nel confronto prestazionale.</x:v>
      </x:c>
      <x:c r="I73" s="15" t="str">
        <x:v>• JCS 3.2.1 e nostore sono controlli di lifecycle e non entrano nel confronto prestazionale.</x:v>
      </x:c>
    </x:row>
    <x:row r="74" ht="25" customHeight="1">
      <x:c r="A74" s="15" t="str">
        <x:v>• Il conteggio delle righe classloader è un indicatore diagnostico testuale; non equivale da solo a una prova di leak.</x:v>
      </x:c>
      <x:c r="B74" s="15" t="str">
        <x:v>• Il conteggio delle righe classloader è un indicatore diagnostico testuale; non equivale da solo a una prova di leak.</x:v>
      </x:c>
      <x:c r="C74" s="15" t="str">
        <x:v>• Il conteggio delle righe classloader è un indicatore diagnostico testuale; non equivale da solo a una prova di leak.</x:v>
      </x:c>
      <x:c r="D74" s="15" t="str">
        <x:v>• Il conteggio delle righe classloader è un indicatore diagnostico testuale; non equivale da solo a una prova di leak.</x:v>
      </x:c>
      <x:c r="E74" s="15" t="str">
        <x:v>• Il conteggio delle righe classloader è un indicatore diagnostico testuale; non equivale da solo a una prova di leak.</x:v>
      </x:c>
      <x:c r="F74" s="15" t="str">
        <x:v>• Il conteggio delle righe classloader è un indicatore diagnostico testuale; non equivale da solo a una prova di leak.</x:v>
      </x:c>
      <x:c r="G74" s="15" t="str">
        <x:v>• Il conteggio delle righe classloader è un indicatore diagnostico testuale; non equivale da solo a una prova di leak.</x:v>
      </x:c>
      <x:c r="H74" s="15" t="str">
        <x:v>• Il conteggio delle righe classloader è un indicatore diagnostico testuale; non equivale da solo a una prova di leak.</x:v>
      </x:c>
      <x:c r="I74" s="15" t="str">
        <x:v>• Il conteggio delle righe classloader è un indicatore diagnostico testuale; non equivale da solo a una prova di leak.</x:v>
      </x:c>
    </x:row>
    <x:row r="75" ht="25" customHeight="1">
      <x:c r="A75" s="15" t="str">
        <x:v>• I grafici mostrano l'ordine del protocollo o del fork, mai un ranking per velocità.</x:v>
      </x:c>
      <x:c r="B75" s="15" t="str">
        <x:v>• I grafici mostrano l'ordine del protocollo o del fork, mai un ranking per velocità.</x:v>
      </x:c>
      <x:c r="C75" s="15" t="str">
        <x:v>• I grafici mostrano l'ordine del protocollo o del fork, mai un ranking per velocità.</x:v>
      </x:c>
      <x:c r="D75" s="15" t="str">
        <x:v>• I grafici mostrano l'ordine del protocollo o del fork, mai un ranking per velocità.</x:v>
      </x:c>
      <x:c r="E75" s="15" t="str">
        <x:v>• I grafici mostrano l'ordine del protocollo o del fork, mai un ranking per velocità.</x:v>
      </x:c>
      <x:c r="F75" s="15" t="str">
        <x:v>• I grafici mostrano l'ordine del protocollo o del fork, mai un ranking per velocità.</x:v>
      </x:c>
      <x:c r="G75" s="15" t="str">
        <x:v>• I grafici mostrano l'ordine del protocollo o del fork, mai un ranking per velocità.</x:v>
      </x:c>
      <x:c r="H75" s="15" t="str">
        <x:v>• I grafici mostrano l'ordine del protocollo o del fork, mai un ranking per velocità.</x:v>
      </x:c>
      <x:c r="I75" s="15" t="str">
        <x:v>• I grafici mostrano l'ordine del protocollo o del fork, mai un ranking per velocità.</x:v>
      </x:c>
    </x:row>
    <x:row r="76" ht="25" customHeight="1">
      <x:c r="A76" s="15" t="str">
        <x:v>• Per JCS-248 la conclusione richiede corroborazione fra firma del thread e warning Tomcat; heap/NMT/classloader restano evidenze complementari.</x:v>
      </x:c>
      <x:c r="B76" s="15" t="str">
        <x:v>• Per JCS-248 la conclusione richiede corroborazione fra firma del thread e warning Tomcat; heap/NMT/classloader restano evidenze complementari.</x:v>
      </x:c>
      <x:c r="C76" s="15" t="str">
        <x:v>• Per JCS-248 la conclusione richiede corroborazione fra firma del thread e warning Tomcat; heap/NMT/classloader restano evidenze complementari.</x:v>
      </x:c>
      <x:c r="D76" s="15" t="str">
        <x:v>• Per JCS-248 la conclusione richiede corroborazione fra firma del thread e warning Tomcat; heap/NMT/classloader restano evidenze complementari.</x:v>
      </x:c>
      <x:c r="E76" s="15" t="str">
        <x:v>• Per JCS-248 la conclusione richiede corroborazione fra firma del thread e warning Tomcat; heap/NMT/classloader restano evidenze complementari.</x:v>
      </x:c>
      <x:c r="F76" s="15" t="str">
        <x:v>• Per JCS-248 la conclusione richiede corroborazione fra firma del thread e warning Tomcat; heap/NMT/classloader restano evidenze complementari.</x:v>
      </x:c>
      <x:c r="G76" s="15" t="str">
        <x:v>• Per JCS-248 la conclusione richiede corroborazione fra firma del thread e warning Tomcat; heap/NMT/classloader restano evidenze complementari.</x:v>
      </x:c>
      <x:c r="H76" s="15" t="str">
        <x:v>• Per JCS-248 la conclusione richiede corroborazione fra firma del thread e warning Tomcat; heap/NMT/classloader restano evidenze complementari.</x:v>
      </x:c>
      <x:c r="I76" s="15" t="str">
        <x:v>• Per JCS-248 la conclusione richiede corroborazione fra firma del thread e warning Tomcat; heap/NMT/classloader restano evidenze complementari.</x:v>
      </x:c>
    </x:row>
    <x:row r="77" ht="25" customHeight="1">
      <x:c r="A77" s="15" t="str">
        <x:v>• Le 36 JVM indipendenti sono state eseguite in sequenza sullo stesso host Docker; questo controlla l'hardware, ma non elimina variazioni temporali dell'host.</x:v>
      </x:c>
      <x:c r="B77" s="15" t="str">
        <x:v>• Le 36 JVM indipendenti sono state eseguite in sequenza sullo stesso host Docker; questo controlla l'hardware, ma non elimina variazioni temporali dell'host.</x:v>
      </x:c>
      <x:c r="C77" s="15" t="str">
        <x:v>• Le 36 JVM indipendenti sono state eseguite in sequenza sullo stesso host Docker; questo controlla l'hardware, ma non elimina variazioni temporali dell'host.</x:v>
      </x:c>
      <x:c r="D77" s="15" t="str">
        <x:v>• Le 36 JVM indipendenti sono state eseguite in sequenza sullo stesso host Docker; questo controlla l'hardware, ma non elimina variazioni temporali dell'host.</x:v>
      </x:c>
      <x:c r="E77" s="15" t="str">
        <x:v>• Le 36 JVM indipendenti sono state eseguite in sequenza sullo stesso host Docker; questo controlla l'hardware, ma non elimina variazioni temporali dell'host.</x:v>
      </x:c>
      <x:c r="F77" s="15" t="str">
        <x:v>• Le 36 JVM indipendenti sono state eseguite in sequenza sullo stesso host Docker; questo controlla l'hardware, ma non elimina variazioni temporali dell'host.</x:v>
      </x:c>
      <x:c r="G77" s="15" t="str">
        <x:v>• Le 36 JVM indipendenti sono state eseguite in sequenza sullo stesso host Docker; questo controlla l'hardware, ma non elimina variazioni temporali dell'host.</x:v>
      </x:c>
      <x:c r="H77" s="15" t="str">
        <x:v>• Le 36 JVM indipendenti sono state eseguite in sequenza sullo stesso host Docker; questo controlla l'hardware, ma non elimina variazioni temporali dell'host.</x:v>
      </x:c>
      <x:c r="I77" s="15" t="str">
        <x:v>• Le 36 JVM indipendenti sono state eseguite in sequenza sullo stesso host Docker; questo controlla l'hardware, ma non elimina variazioni temporali dell'host.</x:v>
      </x:c>
    </x:row>
    <x:row r="78" ht="25" customHeight="1">
      <x:c r="A78" s="15" t="str">
        <x:v>• writePercent è registrato nella configurazione, ma con workload=uniform non governa la finestra cronometrata: concurrentWriteOperations deve essere 0; la write probe è separata.</x:v>
      </x:c>
      <x:c r="B78" s="15" t="str">
        <x:v>• writePercent è registrato nella configurazione, ma con workload=uniform non governa la finestra cronometrata: concurrentWriteOperations deve essere 0; la write probe è separata.</x:v>
      </x:c>
      <x:c r="C78" s="15" t="str">
        <x:v>• writePercent è registrato nella configurazione, ma con workload=uniform non governa la finestra cronometrata: concurrentWriteOperations deve essere 0; la write probe è separata.</x:v>
      </x:c>
      <x:c r="D78" s="15" t="str">
        <x:v>• writePercent è registrato nella configurazione, ma con workload=uniform non governa la finestra cronometrata: concurrentWriteOperations deve essere 0; la write probe è separata.</x:v>
      </x:c>
      <x:c r="E78" s="15" t="str">
        <x:v>• writePercent è registrato nella configurazione, ma con workload=uniform non governa la finestra cronometrata: concurrentWriteOperations deve essere 0; la write probe è separata.</x:v>
      </x:c>
      <x:c r="F78" s="15" t="str">
        <x:v>• writePercent è registrato nella configurazione, ma con workload=uniform non governa la finestra cronometrata: concurrentWriteOperations deve essere 0; la write probe è separata.</x:v>
      </x:c>
      <x:c r="G78" s="15" t="str">
        <x:v>• writePercent è registrato nella configurazione, ma con workload=uniform non governa la finestra cronometrata: concurrentWriteOperations deve essere 0; la write probe è separata.</x:v>
      </x:c>
      <x:c r="H78" s="15" t="str">
        <x:v>• writePercent è registrato nella configurazione, ma con workload=uniform non governa la finestra cronometrata: concurrentWriteOperations deve essere 0; la write probe è separata.</x:v>
      </x:c>
      <x:c r="I78" s="15" t="str">
        <x:v>• writePercent è registrato nella configurazione, ma con workload=uniform non governa la finestra cronometrata: concurrentWriteOperations deve essere 0; la write probe è separata.</x:v>
      </x:c>
    </x:row>
    <x:row r="79" ht="25" customHeight="1">
      <x:c r="A79" s="15" t="str">
        <x:v>• I fogli Raw sono viste appiattite di comodo e possono perdere struttura annidata; i JSON, identificati dai rispettivi SHA-256, restano la fonte autorevole.</x:v>
      </x:c>
      <x:c r="B79" s="15" t="str">
        <x:v>• I fogli Raw sono viste appiattite di comodo e possono perdere struttura annidata; i JSON, identificati dai rispettivi SHA-256, restano la fonte autorevole.</x:v>
      </x:c>
      <x:c r="C79" s="15" t="str">
        <x:v>• I fogli Raw sono viste appiattite di comodo e possono perdere struttura annidata; i JSON, identificati dai rispettivi SHA-256, restano la fonte autorevole.</x:v>
      </x:c>
      <x:c r="D79" s="15" t="str">
        <x:v>• I fogli Raw sono viste appiattite di comodo e possono perdere struttura annidata; i JSON, identificati dai rispettivi SHA-256, restano la fonte autorevole.</x:v>
      </x:c>
      <x:c r="E79" s="15" t="str">
        <x:v>• I fogli Raw sono viste appiattite di comodo e possono perdere struttura annidata; i JSON, identificati dai rispettivi SHA-256, restano la fonte autorevole.</x:v>
      </x:c>
      <x:c r="F79" s="15" t="str">
        <x:v>• I fogli Raw sono viste appiattite di comodo e possono perdere struttura annidata; i JSON, identificati dai rispettivi SHA-256, restano la fonte autorevole.</x:v>
      </x:c>
      <x:c r="G79" s="15" t="str">
        <x:v>• I fogli Raw sono viste appiattite di comodo e possono perdere struttura annidata; i JSON, identificati dai rispettivi SHA-256, restano la fonte autorevole.</x:v>
      </x:c>
      <x:c r="H79" s="15" t="str">
        <x:v>• I fogli Raw sono viste appiattite di comodo e possono perdere struttura annidata; i JSON, identificati dai rispettivi SHA-256, restano la fonte autorevole.</x:v>
      </x:c>
      <x:c r="I79" s="15" t="str">
        <x:v>• I fogli Raw sono viste appiattite di comodo e possono perdere struttura annidata; i JSON, identificati dai rispettivi SHA-256, restano la fonte autorevole.</x:v>
      </x:c>
    </x:row>
    <x:row r="80" ht="25" customHeight="1">
      <x:c r="A80" s="15" t="str">
        <x:v>• Un checkpoint findleaks positivo è evidenza diagnostica da corroborare, non un verdetto autonomo di memory leak.</x:v>
      </x:c>
      <x:c r="B80" s="15" t="str">
        <x:v>• Un checkpoint findleaks positivo è evidenza diagnostica da corroborare, non un verdetto autonomo di memory leak.</x:v>
      </x:c>
      <x:c r="C80" s="15" t="str">
        <x:v>• Un checkpoint findleaks positivo è evidenza diagnostica da corroborare, non un verdetto autonomo di memory leak.</x:v>
      </x:c>
      <x:c r="D80" s="15" t="str">
        <x:v>• Un checkpoint findleaks positivo è evidenza diagnostica da corroborare, non un verdetto autonomo di memory leak.</x:v>
      </x:c>
      <x:c r="E80" s="15" t="str">
        <x:v>• Un checkpoint findleaks positivo è evidenza diagnostica da corroborare, non un verdetto autonomo di memory leak.</x:v>
      </x:c>
      <x:c r="F80" s="15" t="str">
        <x:v>• Un checkpoint findleaks positivo è evidenza diagnostica da corroborare, non un verdetto autonomo di memory leak.</x:v>
      </x:c>
      <x:c r="G80" s="15" t="str">
        <x:v>• Un checkpoint findleaks positivo è evidenza diagnostica da corroborare, non un verdetto autonomo di memory leak.</x:v>
      </x:c>
      <x:c r="H80" s="15" t="str">
        <x:v>• Un checkpoint findleaks positivo è evidenza diagnostica da corroborare, non un verdetto autonomo di memory leak.</x:v>
      </x:c>
      <x:c r="I80" s="15" t="str">
        <x:v>• Un checkpoint findleaks positivo è evidenza diagnostica da corroborare, non un verdetto autonomo di memory leak.</x:v>
      </x:c>
    </x:row>
    <x:row r="81" ht="25" customHeight="1">
      <x:c r="A81" s="15" t="str">
        <x:v>• Per nostore il single-flight non è applicabile: loaderInvocationsUnderContention resta visibile (16 chiamanti nel controllo), ma non entra nel gate negativo.</x:v>
      </x:c>
      <x:c r="B81" s="15" t="str">
        <x:v>• Per nostore il single-flight non è applicabile: loaderInvocationsUnderContention resta visibile (16 chiamanti nel controllo), ma non entra nel gate negativo.</x:v>
      </x:c>
      <x:c r="C81" s="15" t="str">
        <x:v>• Per nostore il single-flight non è applicabile: loaderInvocationsUnderContention resta visibile (16 chiamanti nel controllo), ma non entra nel gate negativo.</x:v>
      </x:c>
      <x:c r="D81" s="15" t="str">
        <x:v>• Per nostore il single-flight non è applicabile: loaderInvocationsUnderContention resta visibile (16 chiamanti nel controllo), ma non entra nel gate negativo.</x:v>
      </x:c>
      <x:c r="E81" s="15" t="str">
        <x:v>• Per nostore il single-flight non è applicabile: loaderInvocationsUnderContention resta visibile (16 chiamanti nel controllo), ma non entra nel gate negativo.</x:v>
      </x:c>
      <x:c r="F81" s="15" t="str">
        <x:v>• Per nostore il single-flight non è applicabile: loaderInvocationsUnderContention resta visibile (16 chiamanti nel controllo), ma non entra nel gate negativo.</x:v>
      </x:c>
      <x:c r="G81" s="15" t="str">
        <x:v>• Per nostore il single-flight non è applicabile: loaderInvocationsUnderContention resta visibile (16 chiamanti nel controllo), ma non entra nel gate negativo.</x:v>
      </x:c>
      <x:c r="H81" s="15" t="str">
        <x:v>• Per nostore il single-flight non è applicabile: loaderInvocationsUnderContention resta visibile (16 chiamanti nel controllo), ma non entra nel gate negativo.</x:v>
      </x:c>
      <x:c r="I81" s="15" t="str">
        <x:v>• Per nostore il single-flight non è applicabile: loaderInvocationsUnderContention resta visibile (16 chiamanti nel controllo), ma non entra nel gate negativo.</x:v>
      </x:c>
    </x:row>
    <x:row r="82" ht="25" customHeight="1">
      <x:c r="A82" s="15" t="str">
        <x:v>• Il gate di capacità v4.2 verifica due checkpoint distinti: subito dopo il workload e dopo la write probe; providerMetrics resta solo un alias compatibile del secondo.</x:v>
      </x:c>
      <x:c r="B82" s="15" t="str">
        <x:v>• Il gate di capacità v4.2 verifica due checkpoint distinti: subito dopo il workload e dopo la write probe; providerMetrics resta solo un alias compatibile del secondo.</x:v>
      </x:c>
      <x:c r="C82" s="15" t="str">
        <x:v>• Il gate di capacità v4.2 verifica due checkpoint distinti: subito dopo il workload e dopo la write probe; providerMetrics resta solo un alias compatibile del secondo.</x:v>
      </x:c>
      <x:c r="D82" s="15" t="str">
        <x:v>• Il gate di capacità v4.2 verifica due checkpoint distinti: subito dopo il workload e dopo la write probe; providerMetrics resta solo un alias compatibile del secondo.</x:v>
      </x:c>
      <x:c r="E82" s="15" t="str">
        <x:v>• Il gate di capacità v4.2 verifica due checkpoint distinti: subito dopo il workload e dopo la write probe; providerMetrics resta solo un alias compatibile del secondo.</x:v>
      </x:c>
      <x:c r="F82" s="15" t="str">
        <x:v>• Il gate di capacità v4.2 verifica due checkpoint distinti: subito dopo il workload e dopo la write probe; providerMetrics resta solo un alias compatibile del secondo.</x:v>
      </x:c>
      <x:c r="G82" s="15" t="str">
        <x:v>• Il gate di capacità v4.2 verifica due checkpoint distinti: subito dopo il workload e dopo la write probe; providerMetrics resta solo un alias compatibile del secondo.</x:v>
      </x:c>
      <x:c r="H82" s="15" t="str">
        <x:v>• Il gate di capacità v4.2 verifica due checkpoint distinti: subito dopo il workload e dopo la write probe; providerMetrics resta solo un alias compatibile del secondo.</x:v>
      </x:c>
      <x:c r="I82" s="15" t="str">
        <x:v>• Il gate di capacità v4.2 verifica due checkpoint distinti: subito dopo il workload e dopo la write probe; providerMetrics resta solo un alias compatibile del secondo.</x:v>
      </x:c>
    </x:row>
    <x:row r="83" ht="25" customHeight="1">
      <x:c r="A83" s="15" t="str">
        <x:v>• I valori 2 s e 10 s sono soglie minime di avvio. Il foglio Lifecycle riporta i tempi monotonic effettivi di avvio e completamento delle diagnostiche, senza presentarli come istanti esatti.</x:v>
      </x:c>
      <x:c r="B83" s="15" t="str">
        <x:v>• I valori 2 s e 10 s sono soglie minime di avvio. Il foglio Lifecycle riporta i tempi monotonic effettivi di avvio e completamento delle diagnostiche, senza presentarli come istanti esatti.</x:v>
      </x:c>
      <x:c r="C83" s="15" t="str">
        <x:v>• I valori 2 s e 10 s sono soglie minime di avvio. Il foglio Lifecycle riporta i tempi monotonic effettivi di avvio e completamento delle diagnostiche, senza presentarli come istanti esatti.</x:v>
      </x:c>
      <x:c r="D83" s="15" t="str">
        <x:v>• I valori 2 s e 10 s sono soglie minime di avvio. Il foglio Lifecycle riporta i tempi monotonic effettivi di avvio e completamento delle diagnostiche, senza presentarli come istanti esatti.</x:v>
      </x:c>
      <x:c r="E83" s="15" t="str">
        <x:v>• I valori 2 s e 10 s sono soglie minime di avvio. Il foglio Lifecycle riporta i tempi monotonic effettivi di avvio e completamento delle diagnostiche, senza presentarli come istanti esatti.</x:v>
      </x:c>
      <x:c r="F83" s="15" t="str">
        <x:v>• I valori 2 s e 10 s sono soglie minime di avvio. Il foglio Lifecycle riporta i tempi monotonic effettivi di avvio e completamento delle diagnostiche, senza presentarli come istanti esatti.</x:v>
      </x:c>
      <x:c r="G83" s="15" t="str">
        <x:v>• I valori 2 s e 10 s sono soglie minime di avvio. Il foglio Lifecycle riporta i tempi monotonic effettivi di avvio e completamento delle diagnostiche, senza presentarli come istanti esatti.</x:v>
      </x:c>
      <x:c r="H83" s="15" t="str">
        <x:v>• I valori 2 s e 10 s sono soglie minime di avvio. Il foglio Lifecycle riporta i tempi monotonic effettivi di avvio e completamento delle diagnostiche, senza presentarli come istanti esatti.</x:v>
      </x:c>
      <x:c r="I83" s="15" t="str">
        <x:v>• I valori 2 s e 10 s sono soglie minime di avvio. Il foglio Lifecycle riporta i tempi monotonic effettivi di avvio e completamento delle diagnostiche, senza presentarli come istanti esatti.</x:v>
      </x:c>
    </x:row>
  </x:sheetData>
  <x:mergeCells>
    <x:mergeCell ref="A1:I1"/>
    <x:mergeCell ref="A2:I2"/>
    <x:mergeCell ref="A4:D4"/>
    <x:mergeCell ref="F4:I4"/>
    <x:mergeCell ref="A22:D22"/>
    <x:mergeCell ref="A34:D34"/>
    <x:mergeCell ref="F34:I34"/>
    <x:mergeCell ref="A51:I51"/>
    <x:mergeCell ref="A61:D61"/>
    <x:mergeCell ref="F61:I61"/>
    <x:mergeCell ref="A70:I70"/>
    <x:mergeCell ref="A71:I71"/>
    <x:mergeCell ref="A72:I72"/>
    <x:mergeCell ref="A73:I73"/>
    <x:mergeCell ref="A74:I74"/>
    <x:mergeCell ref="A75:I75"/>
    <x:mergeCell ref="A76:I76"/>
    <x:mergeCell ref="A77:I77"/>
    <x:mergeCell ref="A78:I78"/>
    <x:mergeCell ref="A79:I79"/>
    <x:mergeCell ref="A80:I80"/>
    <x:mergeCell ref="A81:I81"/>
    <x:mergeCell ref="A82:I82"/>
    <x:mergeCell ref="A83:I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2" hidden="0" customWidth="1"/>
    <x:col min="3" max="3" width="13" hidden="0" customWidth="1"/>
    <x:col min="4" max="4" width="14" hidden="0" customWidth="1"/>
    <x:col min="5" max="5" width="34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22" hidden="0" customWidth="1"/>
    <x:col min="11" max="11" width="22" hidden="0" customWidth="1"/>
    <x:col min="12" max="12" width="15" hidden="0" customWidth="1"/>
    <x:col min="13" max="13" width="38" hidden="0" customWidth="1"/>
    <x:col min="14" max="14" width="38" hidden="0" customWidth="1"/>
    <x:col min="15" max="15" width="24" hidden="0" customWidth="1"/>
    <x:col min="16" max="16" width="22" hidden="0" customWidth="1"/>
    <x:col min="17" max="17" width="13" hidden="0" customWidth="1"/>
    <x:col min="18" max="18" width="38" hidden="0" customWidth="1"/>
    <x:col min="19" max="19" width="16" hidden="0" customWidth="1"/>
    <x:col min="20" max="20" width="18" hidden="0" customWidth="1"/>
    <x:col min="21" max="21" width="18" hidden="0" customWidth="1"/>
    <x:col min="22" max="22" width="24" hidden="0" customWidth="1"/>
    <x:col min="23" max="23" width="52" hidden="0" customWidth="1"/>
    <x:col min="24" max="24" width="19" hidden="0" customWidth="1"/>
    <x:col min="25" max="25" width="30" hidden="0" customWidth="1"/>
    <x:col min="26" max="26" width="30" hidden="0" customWidth="1"/>
    <x:col min="27" max="27" width="18" hidden="0" customWidth="1"/>
    <x:col min="28" max="28" width="22" hidden="0" customWidth="1"/>
    <x:col min="29" max="29" width="24" hidden="0" customWidth="1"/>
    <x:col min="30" max="30" width="14" hidden="0" customWidth="1"/>
    <x:col min="31" max="31" width="32" hidden="0" customWidth="1"/>
    <x:col min="32" max="32" width="12" hidden="0" customWidth="1"/>
    <x:col min="33" max="33" width="20" hidden="0" customWidth="1"/>
    <x:col min="34" max="34" width="20" hidden="0" customWidth="1"/>
    <x:col min="35" max="35" width="46" hidden="0" customWidth="1"/>
    <x:col min="36" max="36" width="72" hidden="0" customWidth="1"/>
    <x:col min="37" max="37" width="72" hidden="0" customWidth="1"/>
    <x:col min="38" max="38" width="24" hidden="0" customWidth="1"/>
    <x:col min="39" max="39" width="25" hidden="0" customWidth="1"/>
    <x:col min="40" max="40" width="48" hidden="0" customWidth="1"/>
    <x:col min="41" max="41" width="40" hidden="0" customWidth="1"/>
    <x:col min="42" max="42" width="34" hidden="0" customWidth="1"/>
    <x:col min="43" max="43" width="58" hidden="0" customWidth="1"/>
    <x:col min="44" max="44" width="48" hidden="0" customWidth="1"/>
    <x:col min="45" max="45" width="18" hidden="0" customWidth="1"/>
    <x:col min="46" max="46" width="42" hidden="0" customWidth="1"/>
    <x:col min="47" max="47" width="34" hidden="0" customWidth="1"/>
    <x:col min="48" max="48" width="58" hidden="0" customWidth="1"/>
    <x:col min="49" max="49" width="48" hidden="0" customWidth="1"/>
    <x:col min="50" max="50" width="18" hidden="0" customWidth="1"/>
    <x:col min="51" max="51" width="42" hidden="0" customWidth="1"/>
    <x:col min="52" max="52" width="18" hidden="0" customWidth="1"/>
    <x:col min="53" max="53" width="40" hidden="0" customWidth="1"/>
    <x:col min="54" max="54" width="40" hidden="0" customWidth="1"/>
    <x:col min="55" max="55" width="14" hidden="0" customWidth="1"/>
    <x:col min="56" max="56" width="40" hidden="0" customWidth="1"/>
    <x:col min="57" max="57" width="40" hidden="0" customWidth="1"/>
    <x:col min="58" max="58" width="72" hidden="0" customWidth="1"/>
    <x:col min="59" max="59" width="22" hidden="0" customWidth="1"/>
    <x:col min="60" max="60" width="40" hidden="0" customWidth="1"/>
    <x:col min="61" max="61" width="19" hidden="0" customWidth="1"/>
    <x:col min="62" max="62" width="22" hidden="0" customWidth="1"/>
    <x:col min="63" max="63" width="40" hidden="0" customWidth="1"/>
    <x:col min="64" max="64" width="20" hidden="0" customWidth="1"/>
    <x:col min="65" max="65" width="25" hidden="0" customWidth="1"/>
    <x:col min="66" max="66" width="40" hidden="0" customWidth="1"/>
    <x:col min="67" max="67" width="21" hidden="0" customWidth="1"/>
    <x:col min="68" max="68" width="14" hidden="0" customWidth="1"/>
    <x:col min="69" max="69" width="42" hidden="0" customWidth="1"/>
    <x:col min="70" max="70" width="9" hidden="0" customWidth="1"/>
    <x:col min="71" max="71" width="10" hidden="0" customWidth="1"/>
    <x:col min="72" max="72" width="12" hidden="0" customWidth="1"/>
    <x:col min="73" max="73" width="15" hidden="0" customWidth="1"/>
    <x:col min="74" max="74" width="14" hidden="0" customWidth="1"/>
    <x:col min="75" max="75" width="46" hidden="0" customWidth="1"/>
    <x:col min="76" max="76" width="40" hidden="0" customWidth="1"/>
    <x:col min="77" max="77" width="18" hidden="0" customWidth="1"/>
  </x:cols>
  <x:sheetData>
    <x:row r="1" ht="31" customHeight="1">
      <x:c r="A1" s="23" t="str">
        <x:v>processRunId</x:v>
      </x:c>
      <x:c r="B1" s="23" t="str">
        <x:v>scenario</x:v>
      </x:c>
      <x:c r="C1" s="23" t="str">
        <x:v>provider</x:v>
      </x:c>
      <x:c r="D1" s="23" t="str">
        <x:v>engineProvider</x:v>
      </x:c>
      <x:c r="E1" s="23" t="str">
        <x:v>studyRole</x:v>
      </x:c>
      <x:c r="F1" s="23" t="str">
        <x:v>fork</x:v>
      </x:c>
      <x:c r="G1" s="23" t="str">
        <x:v>Williams block</x:v>
      </x:c>
      <x:c r="H1" s="23" t="str">
        <x:v>orderPosition</x:v>
      </x:c>
      <x:c r="I1" s="23" t="str">
        <x:v>Williams row</x:v>
      </x:c>
      <x:c r="J1" s="23" t="str">
        <x:v>startedAt (UTC)</x:v>
      </x:c>
      <x:c r="K1" s="23" t="str">
        <x:v>finishedAt (UTC)</x:v>
      </x:c>
      <x:c r="L1" s="23" t="str">
        <x:v>duration (s, formula)</x:v>
      </x:c>
      <x:c r="M1" s="23" t="str">
        <x:v>containerId</x:v>
      </x:c>
      <x:c r="N1" s="23" t="str">
        <x:v>dockerImageId</x:v>
      </x:c>
      <x:c r="O1" s="23" t="str">
        <x:v>container image</x:v>
      </x:c>
      <x:c r="P1" s="23" t="str">
        <x:v>containerStartedAt (UTC)</x:v>
      </x:c>
      <x:c r="Q1" s="23" t="str">
        <x:v>CPU limit (cores)</x:v>
      </x:c>
      <x:c r="R1" s="23" t="str">
        <x:v>CPU model</x:v>
      </x:c>
      <x:c r="S1" s="23" t="str">
        <x:v>visible processors</x:v>
      </x:c>
      <x:c r="T1" s="23" t="str">
        <x:v>memory limit (bytes)</x:v>
      </x:c>
      <x:c r="U1" s="23" t="str">
        <x:v>memory limit (MiB, formula)</x:v>
      </x:c>
      <x:c r="V1" s="23" t="str">
        <x:v>container OS</x:v>
      </x:c>
      <x:c r="W1" s="23" t="str">
        <x:v>container kernel (uname -a)</x:v>
      </x:c>
      <x:c r="X1" s="23" t="str">
        <x:v>Docker server version</x:v>
      </x:c>
      <x:c r="Y1" s="23" t="str">
        <x:v>Docker server OS</x:v>
      </x:c>
      <x:c r="Z1" s="23" t="str">
        <x:v>Docker server kernel</x:v>
      </x:c>
      <x:c r="AA1" s="23" t="str">
        <x:v>Docker server architecture</x:v>
      </x:c>
      <x:c r="AB1" s="23" t="str">
        <x:v>Docker server name</x:v>
      </x:c>
      <x:c r="AC1" s="23" t="str">
        <x:v>Tomcat version</x:v>
      </x:c>
      <x:c r="AD1" s="23" t="str">
        <x:v>kernel OS</x:v>
      </x:c>
      <x:c r="AE1" s="23" t="str">
        <x:v>kernel version</x:v>
      </x:c>
      <x:c r="AF1" s="23" t="str">
        <x:v>architecture</x:v>
      </x:c>
      <x:c r="AG1" s="23" t="str">
        <x:v>JVM version</x:v>
      </x:c>
      <x:c r="AH1" s="23" t="str">
        <x:v>JVM vendor</x:v>
      </x:c>
      <x:c r="AI1" s="23" t="str">
        <x:v>Java options</x:v>
      </x:c>
      <x:c r="AJ1" s="23" t="str">
        <x:v>JVM command line</x:v>
      </x:c>
      <x:c r="AK1" s="23" t="str">
        <x:v>JVM flags</x:v>
      </x:c>
      <x:c r="AL1" s="23" t="str">
        <x:v>provider version (runtime field)</x:v>
      </x:c>
      <x:c r="AM1" s="23" t="str">
        <x:v>provider version (prespecificata)</x:v>
      </x:c>
      <x:c r="AN1" s="23" t="str">
        <x:v>provider-version evidence</x:v>
      </x:c>
      <x:c r="AO1" s="23" t="str">
        <x:v>image JCS4 revision label</x:v>
      </x:c>
      <x:c r="AP1" s="23" t="str">
        <x:v>requested runtime image</x:v>
      </x:c>
      <x:c r="AQ1" s="23" t="str">
        <x:v>runtime image immutable reference</x:v>
      </x:c>
      <x:c r="AR1" s="23" t="str">
        <x:v>runtime image pinned digest</x:v>
      </x:c>
      <x:c r="AS1" s="23" t="str">
        <x:v>runtime image inspected</x:v>
      </x:c>
      <x:c r="AT1" s="23" t="str">
        <x:v>runtime base image ID</x:v>
      </x:c>
      <x:c r="AU1" s="23" t="str">
        <x:v>requested build image</x:v>
      </x:c>
      <x:c r="AV1" s="23" t="str">
        <x:v>build image immutable reference</x:v>
      </x:c>
      <x:c r="AW1" s="23" t="str">
        <x:v>build image pinned digest</x:v>
      </x:c>
      <x:c r="AX1" s="23" t="str">
        <x:v>build image inspected</x:v>
      </x:c>
      <x:c r="AY1" s="23" t="str">
        <x:v>build base image ID</x:v>
      </x:c>
      <x:c r="AZ1" s="23" t="str">
        <x:v>JCS4 version</x:v>
      </x:c>
      <x:c r="BA1" s="23" t="str">
        <x:v>JCS4 source commit</x:v>
      </x:c>
      <x:c r="BB1" s="23" t="str">
        <x:v>JCS4 artifact SHA-256</x:v>
      </x:c>
      <x:c r="BC1" s="23" t="str">
        <x:v>JCS 3 version</x:v>
      </x:c>
      <x:c r="BD1" s="23" t="str">
        <x:v>JCS 3 artifact SHA-256</x:v>
      </x:c>
      <x:c r="BE1" s="23" t="str">
        <x:v>WAR SHA-256</x:v>
      </x:c>
      <x:c r="BF1" s="23" t="str">
        <x:v>artifact manifest: basename + SHA-256 (JSON)</x:v>
      </x:c>
      <x:c r="BG1" s="23" t="str">
        <x:v>effective POM file</x:v>
      </x:c>
      <x:c r="BH1" s="23" t="str">
        <x:v>effective POM SHA-256</x:v>
      </x:c>
      <x:c r="BI1" s="23" t="str">
        <x:v>effective POM size (bytes)</x:v>
      </x:c>
      <x:c r="BJ1" s="23" t="str">
        <x:v>dependency tree file</x:v>
      </x:c>
      <x:c r="BK1" s="23" t="str">
        <x:v>dependency tree SHA-256</x:v>
      </x:c>
      <x:c r="BL1" s="23" t="str">
        <x:v>dependency tree size (bytes)</x:v>
      </x:c>
      <x:c r="BM1" s="23" t="str">
        <x:v>build provenance file</x:v>
      </x:c>
      <x:c r="BN1" s="23" t="str">
        <x:v>build provenance SHA-256</x:v>
      </x:c>
      <x:c r="BO1" s="23" t="str">
        <x:v>build provenance size (bytes)</x:v>
      </x:c>
      <x:c r="BP1" s="23" t="str">
        <x:v>provenance valid</x:v>
      </x:c>
      <x:c r="BQ1" s="23" t="str">
        <x:v>provenance errors</x:v>
      </x:c>
      <x:c r="BR1" s="23" t="str">
        <x:v>cycles</x:v>
      </x:c>
      <x:c r="BS1" s="23" t="str">
        <x:v>warnings</x:v>
      </x:c>
      <x:c r="BT1" s="23" t="str">
        <x:v>leak warnings</x:v>
      </x:c>
      <x:c r="BU1" s="23" t="str">
        <x:v>thread-leak warnings</x:v>
      </x:c>
      <x:c r="BV1" s="23" t="str">
        <x:v>heap-dump policy</x:v>
      </x:c>
      <x:c r="BW1" s="23" t="str">
        <x:v>final heap dump</x:v>
      </x:c>
      <x:c r="BX1" s="23" t="str">
        <x:v>heap dump SHA-256</x:v>
      </x:c>
      <x:c r="BY1" s="23" t="str">
        <x:v>heap dump size (bytes)</x:v>
      </x:c>
    </x:row>
    <x:row r="2">
      <x:c r="A2" s="34" t="str">
        <x:v>article1-unified-v4-2-fb3f101b-20260903-000401-default-f01-p1-caffeine</x:v>
      </x:c>
      <x:c r="B2" s="34" t="str">
        <x:v>default</x:v>
      </x:c>
      <x:c r="C2" s="34" t="str">
        <x:v>caffeine</x:v>
      </x:c>
      <x:c r="D2" s="34" t="str">
        <x:v>caffeine</x:v>
      </x:c>
      <x:c r="E2" s="34" t="str">
        <x:v>current-provider-primary-comparison</x:v>
      </x:c>
      <x:c r="F2" s="36" t="n">
        <x:v>1</x:v>
      </x:c>
      <x:c r="G2" s="36" t="n">
        <x:v>1</x:v>
      </x:c>
      <x:c r="H2" s="36" t="n">
        <x:v>1</x:v>
      </x:c>
      <x:c r="I2" s="36" t="n">
        <x:v>1</x:v>
      </x:c>
      <x:c r="J2" s="38" t="n">
        <x:v>46267.923899166664</x:v>
      </x:c>
      <x:c r="K2" s="38" t="n">
        <x:v>46267.929292326386</x:v>
      </x:c>
      <x:c r="L2" s="40" t="n">
        <x:f>IF(OR(J2="",K2=""),"",(K2-J2)*'Readme-Protocol'!$B$31)</x:f>
        <x:v>465.96899991855025</x:v>
      </x:c>
      <x:c r="M2" s="34" t="str">
        <x:v>99d8fafc2b9946102b4066592148160021b63b121ba1a051d87ad03976081867</x:v>
      </x:c>
      <x:c r="N2" s="34" t="str">
        <x:v>sha256:968b00243361bf927f9e7c869f896ff64c87584edb860fd6b1465d54a1735581</x:v>
      </x:c>
      <x:c r="O2" s="34" t="str">
        <x:v>testcache-benchmark:v4</x:v>
      </x:c>
      <x:c r="P2" s="38" t="n">
        <x:v>46267.92369171296</x:v>
      </x:c>
      <x:c r="Q2" s="42" t="n">
        <x:v>4</x:v>
      </x:c>
      <x:c r="R2" s="34" t="str">
        <x:v>AMD Ryzen 7 PRO 7840U w/ Radeon 780M Graphics</x:v>
      </x:c>
      <x:c r="S2" s="36" t="n">
        <x:v>16</x:v>
      </x:c>
      <x:c r="T2" s="43" t="n">
        <x:v>1610612736</x:v>
      </x:c>
      <x:c r="U2" s="40" t="n">
        <x:f>IF(T2="","",T2/'Readme-Protocol'!$B$26)</x:f>
        <x:v>1536</x:v>
      </x:c>
      <x:c r="V2" s="34" t="str">
        <x:v>Ubuntu 24.04.4 LTS</x:v>
      </x:c>
      <x:c r="W2" s="44" t="str">
        <x:v>Linux 99d8fafc2b99 6.18.33.2-microsoft-standard-WSL2 #1 SMP PREEMPT_DYNAMIC Thu Jun 18 21:54:43 UTC 2026 x86_64 x86_64 x86_64 GNU/Linux</x:v>
      </x:c>
      <x:c r="X2" s="34" t="str">
        <x:v>29.7.2</x:v>
      </x:c>
      <x:c r="Y2" s="34" t="str">
        <x:v>Docker Desktop</x:v>
      </x:c>
      <x:c r="Z2" s="34" t="str">
        <x:v>6.18.33.2-microsoft-standard-WSL2</x:v>
      </x:c>
      <x:c r="AA2" s="34" t="str">
        <x:v>x86_64</x:v>
      </x:c>
      <x:c r="AB2" s="34" t="str">
        <x:v>docker-desktop</x:v>
      </x:c>
      <x:c r="AC2" s="34" t="str">
        <x:v>Apache Tomcat/11.0.24</x:v>
      </x:c>
      <x:c r="AD2" s="34" t="str">
        <x:v>Linux</x:v>
      </x:c>
      <x:c r="AE2" s="34" t="str">
        <x:v>6.18.33.2-microsoft-standard-WSL2</x:v>
      </x:c>
      <x:c r="AF2" s="34" t="str">
        <x:v>amd64</x:v>
      </x:c>
      <x:c r="AG2" s="34" t="str">
        <x:v>25.0.3+9-LTS</x:v>
      </x:c>
      <x:c r="AH2" s="34" t="str">
        <x:v>Eclipse Adoptium</x:v>
      </x:c>
      <x:c r="AI2" s="44" t="str">
        <x:v>'-Xms256m -Xmx768m -XX:+UseG1GC -XX:NativeMemoryTracking=summary -Djava.awt.headless=true</x:v>
      </x:c>
      <x:c r="AJ2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" s="34"/>
      <x:c r="AM2" s="34" t="str">
        <x:v>3.2.4</x:v>
      </x:c>
      <x:c r="AN2" s="44" t="str">
        <x:v>Protocollo v4.2; verificabile nell'effective POM quando presente nell'archivio</x:v>
      </x:c>
      <x:c r="AO2" s="34" t="str">
        <x:v>fb3f101b87709b713468e8d827b8612e6e65f29b</x:v>
      </x:c>
      <x:c r="AP2" s="34" t="str">
        <x:v>tomcat:11.0.24-jdk25-temurin-noble@sha256:6d673ad42da6498f05755cae67f85f2128bdfd88943c9bdb22e0965f8d4c3182</x:v>
      </x:c>
      <x:c r="AQ2" s="34" t="str">
        <x:v>tomcat:11.0.24-jdk25-temurin-noble@sha256:6d673ad42da6498f05755cae67f85f2128bdfd88943c9bdb22e0965f8d4c3182</x:v>
      </x:c>
      <x:c r="AR2" s="34" t="str">
        <x:v>sha256:6d673ad42da6498f05755cae67f85f2128bdfd88943c9bdb22e0965f8d4c3182</x:v>
      </x:c>
      <x:c r="AS2" s="45" t="b">
        <x:v>1</x:v>
      </x:c>
      <x:c r="AT2" s="34" t="str">
        <x:v>sha256:6d673ad42da6498f05755cae67f85f2128bdfd88943c9bdb22e0965f8d4c3182</x:v>
      </x:c>
      <x:c r="AU2" s="34" t="str">
        <x:v>maven:3.9.11-eclipse-temurin-25@sha256:407c4423cec0cf2981055bc2c6c0dc211d9605b6669279b95997f2d1c7e91e2c</x:v>
      </x:c>
      <x:c r="AV2" s="34" t="str">
        <x:v>maven:3.9.11-eclipse-temurin-25@sha256:407c4423cec0cf2981055bc2c6c0dc211d9605b6669279b95997f2d1c7e91e2c</x:v>
      </x:c>
      <x:c r="AW2" s="34" t="str">
        <x:v>sha256:407c4423cec0cf2981055bc2c6c0dc211d9605b6669279b95997f2d1c7e91e2c</x:v>
      </x:c>
      <x:c r="AX2" s="45" t="b">
        <x:v>1</x:v>
      </x:c>
      <x:c r="AY2" s="34" t="str">
        <x:v>sha256:407c4423cec0cf2981055bc2c6c0dc211d9605b6669279b95997f2d1c7e91e2c</x:v>
      </x:c>
      <x:c r="AZ2" s="34" t="str">
        <x:v>4.0.0-SNAPSHOT</x:v>
      </x:c>
      <x:c r="BA2" s="34" t="str">
        <x:v>fb3f101b87709b713468e8d827b8612e6e65f29b</x:v>
      </x:c>
      <x:c r="BB2" s="34" t="str">
        <x:v>cdbbde2db6e49e3c2f44c6caffd6fbefa85fe06e4a383b5d0b53f2747392edae</x:v>
      </x:c>
      <x:c r="BC2" s="34" t="str">
        <x:v>3.2.1</x:v>
      </x:c>
      <x:c r="BD2" s="34" t="str">
        <x:v>12c6fe08223820089f60969b6088e6ac5d358aa872de78357585cdacb6c61049</x:v>
      </x:c>
      <x:c r="BE2" s="34" t="str">
        <x:v>1805b8a170fa5ea5dc1b8ba79328a9c1e83ee1f9b510fe4f427f07dba6f95bc9</x:v>
      </x:c>
      <x:c r="BF2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" s="34" t="str">
        <x:v>effective-pom.xml</x:v>
      </x:c>
      <x:c r="BH2" s="34" t="str">
        <x:v>0b744edc69da4e049fb2928c5434a331cf225aef38e3bfc5326c536a2f472d50</x:v>
      </x:c>
      <x:c r="BI2" s="43" t="n">
        <x:v>307699</x:v>
      </x:c>
      <x:c r="BJ2" s="34" t="str">
        <x:v>dependency-tree.txt</x:v>
      </x:c>
      <x:c r="BK2" s="34" t="str">
        <x:v>9277aea2be08f606ce4aa1e69c205c6e757280570cfc16abce613bf0a0ccf079</x:v>
      </x:c>
      <x:c r="BL2" s="43" t="n">
        <x:v>4634</x:v>
      </x:c>
      <x:c r="BM2" s="34" t="str">
        <x:v>build-provenance.properties</x:v>
      </x:c>
      <x:c r="BN2" s="34" t="str">
        <x:v>560565500c374b553afc554badb4427f7ae79b50a847971eb93f2b9b35c53317</x:v>
      </x:c>
      <x:c r="BO2" s="43" t="n">
        <x:v>189</x:v>
      </x:c>
      <x:c r="BP2" s="45" t="b">
        <x:v>1</x:v>
      </x:c>
      <x:c r="BQ2" s="44"/>
      <x:c r="BR2" s="36" t="n">
        <x:v>5</x:v>
      </x:c>
      <x:c r="BS2" s="36" t="n">
        <x:v>0</x:v>
      </x:c>
      <x:c r="BT2" s="36" t="n">
        <x:v>0</x:v>
      </x:c>
      <x:c r="BU2" s="36" t="n">
        <x:v>0</x:v>
      </x:c>
      <x:c r="BV2" s="34"/>
      <x:c r="BW2" s="34"/>
      <x:c r="BX2" s="34"/>
      <x:c r="BY2" s="43"/>
    </x:row>
    <x:row r="3">
      <x:c r="A3" s="34" t="str">
        <x:v>article1-unified-v4-2-fb3f101b-20260903-000401-default-f01-p2-ehcache</x:v>
      </x:c>
      <x:c r="B3" s="34" t="str">
        <x:v>default</x:v>
      </x:c>
      <x:c r="C3" s="34" t="str">
        <x:v>ehcache</x:v>
      </x:c>
      <x:c r="D3" s="34" t="str">
        <x:v>ehcache</x:v>
      </x:c>
      <x:c r="E3" s="34" t="str">
        <x:v>current-provider-primary-comparison</x:v>
      </x:c>
      <x:c r="F3" s="36" t="n">
        <x:v>1</x:v>
      </x:c>
      <x:c r="G3" s="36" t="n">
        <x:v>1</x:v>
      </x:c>
      <x:c r="H3" s="36" t="n">
        <x:v>2</x:v>
      </x:c>
      <x:c r="I3" s="36" t="n">
        <x:v>1</x:v>
      </x:c>
      <x:c r="J3" s="38" t="n">
        <x:v>46267.92951533565</x:v>
      </x:c>
      <x:c r="K3" s="38" t="n">
        <x:v>46267.9349000463</x:v>
      </x:c>
      <x:c r="L3" s="40" t="n">
        <x:f>IF(OR(J3="",K3=""),"",(K3-J3)*'Readme-Protocol'!$B$31)</x:f>
        <x:v>465.2389998547733</x:v>
      </x:c>
      <x:c r="M3" s="34" t="str">
        <x:v>01ce48110ee3a9b567aaa55e7a6f2bc67aaa6f17a4915be600163b1bf3fbd59a</x:v>
      </x:c>
      <x:c r="N3" s="34" t="str">
        <x:v>sha256:968b00243361bf927f9e7c869f896ff64c87584edb860fd6b1465d54a1735581</x:v>
      </x:c>
      <x:c r="O3" s="34" t="str">
        <x:v>testcache-benchmark:v4</x:v>
      </x:c>
      <x:c r="P3" s="38" t="n">
        <x:v>46267.92931140046</x:v>
      </x:c>
      <x:c r="Q3" s="42" t="n">
        <x:v>4</x:v>
      </x:c>
      <x:c r="R3" s="34" t="str">
        <x:v>AMD Ryzen 7 PRO 7840U w/ Radeon 780M Graphics</x:v>
      </x:c>
      <x:c r="S3" s="36" t="n">
        <x:v>16</x:v>
      </x:c>
      <x:c r="T3" s="43" t="n">
        <x:v>1610612736</x:v>
      </x:c>
      <x:c r="U3" s="40" t="n">
        <x:f>IF(T3="","",T3/'Readme-Protocol'!$B$26)</x:f>
        <x:v>1536</x:v>
      </x:c>
      <x:c r="V3" s="34" t="str">
        <x:v>Ubuntu 24.04.4 LTS</x:v>
      </x:c>
      <x:c r="W3" s="44" t="str">
        <x:v>Linux 01ce48110ee3 6.18.33.2-microsoft-standard-WSL2 #1 SMP PREEMPT_DYNAMIC Thu Jun 18 21:54:43 UTC 2026 x86_64 x86_64 x86_64 GNU/Linux</x:v>
      </x:c>
      <x:c r="X3" s="34" t="str">
        <x:v>29.7.2</x:v>
      </x:c>
      <x:c r="Y3" s="34" t="str">
        <x:v>Docker Desktop</x:v>
      </x:c>
      <x:c r="Z3" s="34" t="str">
        <x:v>6.18.33.2-microsoft-standard-WSL2</x:v>
      </x:c>
      <x:c r="AA3" s="34" t="str">
        <x:v>x86_64</x:v>
      </x:c>
      <x:c r="AB3" s="34" t="str">
        <x:v>docker-desktop</x:v>
      </x:c>
      <x:c r="AC3" s="34" t="str">
        <x:v>Apache Tomcat/11.0.24</x:v>
      </x:c>
      <x:c r="AD3" s="34" t="str">
        <x:v>Linux</x:v>
      </x:c>
      <x:c r="AE3" s="34" t="str">
        <x:v>6.18.33.2-microsoft-standard-WSL2</x:v>
      </x:c>
      <x:c r="AF3" s="34" t="str">
        <x:v>amd64</x:v>
      </x:c>
      <x:c r="AG3" s="34" t="str">
        <x:v>25.0.3+9-LTS</x:v>
      </x:c>
      <x:c r="AH3" s="34" t="str">
        <x:v>Eclipse Adoptium</x:v>
      </x:c>
      <x:c r="AI3" s="44" t="str">
        <x:v>'-Xms256m -Xmx768m -XX:+UseG1GC -XX:NativeMemoryTracking=summary -Djava.awt.headless=true</x:v>
      </x:c>
      <x:c r="AJ3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" s="34"/>
      <x:c r="AM3" s="34" t="str">
        <x:v>3.12.0</x:v>
      </x:c>
      <x:c r="AN3" s="44" t="str">
        <x:v>Protocollo v4.2; verificabile nell'effective POM quando presente nell'archivio</x:v>
      </x:c>
      <x:c r="AO3" s="34" t="str">
        <x:v>fb3f101b87709b713468e8d827b8612e6e65f29b</x:v>
      </x:c>
      <x:c r="AP3" s="34" t="str">
        <x:v>tomcat:11.0.24-jdk25-temurin-noble@sha256:6d673ad42da6498f05755cae67f85f2128bdfd88943c9bdb22e0965f8d4c3182</x:v>
      </x:c>
      <x:c r="AQ3" s="34" t="str">
        <x:v>tomcat:11.0.24-jdk25-temurin-noble@sha256:6d673ad42da6498f05755cae67f85f2128bdfd88943c9bdb22e0965f8d4c3182</x:v>
      </x:c>
      <x:c r="AR3" s="34" t="str">
        <x:v>sha256:6d673ad42da6498f05755cae67f85f2128bdfd88943c9bdb22e0965f8d4c3182</x:v>
      </x:c>
      <x:c r="AS3" s="45" t="b">
        <x:v>1</x:v>
      </x:c>
      <x:c r="AT3" s="34" t="str">
        <x:v>sha256:6d673ad42da6498f05755cae67f85f2128bdfd88943c9bdb22e0965f8d4c3182</x:v>
      </x:c>
      <x:c r="AU3" s="34" t="str">
        <x:v>maven:3.9.11-eclipse-temurin-25@sha256:407c4423cec0cf2981055bc2c6c0dc211d9605b6669279b95997f2d1c7e91e2c</x:v>
      </x:c>
      <x:c r="AV3" s="34" t="str">
        <x:v>maven:3.9.11-eclipse-temurin-25@sha256:407c4423cec0cf2981055bc2c6c0dc211d9605b6669279b95997f2d1c7e91e2c</x:v>
      </x:c>
      <x:c r="AW3" s="34" t="str">
        <x:v>sha256:407c4423cec0cf2981055bc2c6c0dc211d9605b6669279b95997f2d1c7e91e2c</x:v>
      </x:c>
      <x:c r="AX3" s="45" t="b">
        <x:v>1</x:v>
      </x:c>
      <x:c r="AY3" s="34" t="str">
        <x:v>sha256:407c4423cec0cf2981055bc2c6c0dc211d9605b6669279b95997f2d1c7e91e2c</x:v>
      </x:c>
      <x:c r="AZ3" s="34" t="str">
        <x:v>4.0.0-SNAPSHOT</x:v>
      </x:c>
      <x:c r="BA3" s="34" t="str">
        <x:v>fb3f101b87709b713468e8d827b8612e6e65f29b</x:v>
      </x:c>
      <x:c r="BB3" s="34" t="str">
        <x:v>cdbbde2db6e49e3c2f44c6caffd6fbefa85fe06e4a383b5d0b53f2747392edae</x:v>
      </x:c>
      <x:c r="BC3" s="34" t="str">
        <x:v>3.2.1</x:v>
      </x:c>
      <x:c r="BD3" s="34" t="str">
        <x:v>12c6fe08223820089f60969b6088e6ac5d358aa872de78357585cdacb6c61049</x:v>
      </x:c>
      <x:c r="BE3" s="34" t="str">
        <x:v>1805b8a170fa5ea5dc1b8ba79328a9c1e83ee1f9b510fe4f427f07dba6f95bc9</x:v>
      </x:c>
      <x:c r="BF3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" s="34" t="str">
        <x:v>effective-pom.xml</x:v>
      </x:c>
      <x:c r="BH3" s="34" t="str">
        <x:v>0b744edc69da4e049fb2928c5434a331cf225aef38e3bfc5326c536a2f472d50</x:v>
      </x:c>
      <x:c r="BI3" s="43" t="n">
        <x:v>307699</x:v>
      </x:c>
      <x:c r="BJ3" s="34" t="str">
        <x:v>dependency-tree.txt</x:v>
      </x:c>
      <x:c r="BK3" s="34" t="str">
        <x:v>9277aea2be08f606ce4aa1e69c205c6e757280570cfc16abce613bf0a0ccf079</x:v>
      </x:c>
      <x:c r="BL3" s="43" t="n">
        <x:v>4634</x:v>
      </x:c>
      <x:c r="BM3" s="34" t="str">
        <x:v>build-provenance.properties</x:v>
      </x:c>
      <x:c r="BN3" s="34" t="str">
        <x:v>560565500c374b553afc554badb4427f7ae79b50a847971eb93f2b9b35c53317</x:v>
      </x:c>
      <x:c r="BO3" s="43" t="n">
        <x:v>189</x:v>
      </x:c>
      <x:c r="BP3" s="45" t="b">
        <x:v>1</x:v>
      </x:c>
      <x:c r="BQ3" s="44"/>
      <x:c r="BR3" s="36" t="n">
        <x:v>5</x:v>
      </x:c>
      <x:c r="BS3" s="36" t="n">
        <x:v>4</x:v>
      </x:c>
      <x:c r="BT3" s="36" t="n">
        <x:v>0</x:v>
      </x:c>
      <x:c r="BU3" s="36" t="n">
        <x:v>0</x:v>
      </x:c>
      <x:c r="BV3" s="34"/>
      <x:c r="BW3" s="34"/>
      <x:c r="BX3" s="34"/>
      <x:c r="BY3" s="43"/>
    </x:row>
    <x:row r="4">
      <x:c r="A4" s="34" t="str">
        <x:v>article1-unified-v4-2-fb3f101b-20260903-000401-default-f01-p3-nostore</x:v>
      </x:c>
      <x:c r="B4" s="34" t="str">
        <x:v>default</x:v>
      </x:c>
      <x:c r="C4" s="34" t="str">
        <x:v>nostore</x:v>
      </x:c>
      <x:c r="D4" s="34" t="str">
        <x:v>nostore</x:v>
      </x:c>
      <x:c r="E4" s="34" t="str">
        <x:v>lifecycle-negative-control</x:v>
      </x:c>
      <x:c r="F4" s="36" t="n">
        <x:v>1</x:v>
      </x:c>
      <x:c r="G4" s="36" t="n">
        <x:v>1</x:v>
      </x:c>
      <x:c r="H4" s="36" t="n">
        <x:v>3</x:v>
      </x:c>
      <x:c r="I4" s="36" t="n">
        <x:v>1</x:v>
      </x:c>
      <x:c r="J4" s="38" t="n">
        <x:v>46267.935116967594</x:v>
      </x:c>
      <x:c r="K4" s="38" t="n">
        <x:v>46267.94053613426</x:v>
      </x:c>
      <x:c r="L4" s="40" t="n">
        <x:f>IF(OR(J4="",K4=""),"",(K4-J4)*'Readme-Protocol'!$B$31)</x:f>
        <x:v>468.21599977556616</x:v>
      </x:c>
      <x:c r="M4" s="34" t="str">
        <x:v>2ba0878fabfba99454797230c414dba0c20cc800337527b9b6a516dfef3ca38f</x:v>
      </x:c>
      <x:c r="N4" s="34" t="str">
        <x:v>sha256:968b00243361bf927f9e7c869f896ff64c87584edb860fd6b1465d54a1735581</x:v>
      </x:c>
      <x:c r="O4" s="34" t="str">
        <x:v>testcache-benchmark:v4</x:v>
      </x:c>
      <x:c r="P4" s="38" t="n">
        <x:v>46267.934912060184</x:v>
      </x:c>
      <x:c r="Q4" s="42" t="n">
        <x:v>4</x:v>
      </x:c>
      <x:c r="R4" s="34" t="str">
        <x:v>AMD Ryzen 7 PRO 7840U w/ Radeon 780M Graphics</x:v>
      </x:c>
      <x:c r="S4" s="36" t="n">
        <x:v>16</x:v>
      </x:c>
      <x:c r="T4" s="43" t="n">
        <x:v>1610612736</x:v>
      </x:c>
      <x:c r="U4" s="40" t="n">
        <x:f>IF(T4="","",T4/'Readme-Protocol'!$B$26)</x:f>
        <x:v>1536</x:v>
      </x:c>
      <x:c r="V4" s="34" t="str">
        <x:v>Ubuntu 24.04.4 LTS</x:v>
      </x:c>
      <x:c r="W4" s="44" t="str">
        <x:v>Linux 2ba0878fabfb 6.18.33.2-microsoft-standard-WSL2 #1 SMP PREEMPT_DYNAMIC Thu Jun 18 21:54:43 UTC 2026 x86_64 x86_64 x86_64 GNU/Linux</x:v>
      </x:c>
      <x:c r="X4" s="34" t="str">
        <x:v>29.7.2</x:v>
      </x:c>
      <x:c r="Y4" s="34" t="str">
        <x:v>Docker Desktop</x:v>
      </x:c>
      <x:c r="Z4" s="34" t="str">
        <x:v>6.18.33.2-microsoft-standard-WSL2</x:v>
      </x:c>
      <x:c r="AA4" s="34" t="str">
        <x:v>x86_64</x:v>
      </x:c>
      <x:c r="AB4" s="34" t="str">
        <x:v>docker-desktop</x:v>
      </x:c>
      <x:c r="AC4" s="34" t="str">
        <x:v>Apache Tomcat/11.0.24</x:v>
      </x:c>
      <x:c r="AD4" s="34" t="str">
        <x:v>Linux</x:v>
      </x:c>
      <x:c r="AE4" s="34" t="str">
        <x:v>6.18.33.2-microsoft-standard-WSL2</x:v>
      </x:c>
      <x:c r="AF4" s="34" t="str">
        <x:v>amd64</x:v>
      </x:c>
      <x:c r="AG4" s="34" t="str">
        <x:v>25.0.3+9-LTS</x:v>
      </x:c>
      <x:c r="AH4" s="34" t="str">
        <x:v>Eclipse Adoptium</x:v>
      </x:c>
      <x:c r="AI4" s="44" t="str">
        <x:v>'-Xms256m -Xmx768m -XX:+UseG1GC -XX:NativeMemoryTracking=summary -Djava.awt.headless=true</x:v>
      </x:c>
      <x:c r="AJ4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4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4" s="34"/>
      <x:c r="AM4" s="34"/>
      <x:c r="AN4" s="44" t="str">
        <x:v>Non applicabile: controllo senza motore di cache</x:v>
      </x:c>
      <x:c r="AO4" s="34" t="str">
        <x:v>fb3f101b87709b713468e8d827b8612e6e65f29b</x:v>
      </x:c>
      <x:c r="AP4" s="34" t="str">
        <x:v>tomcat:11.0.24-jdk25-temurin-noble@sha256:6d673ad42da6498f05755cae67f85f2128bdfd88943c9bdb22e0965f8d4c3182</x:v>
      </x:c>
      <x:c r="AQ4" s="34" t="str">
        <x:v>tomcat:11.0.24-jdk25-temurin-noble@sha256:6d673ad42da6498f05755cae67f85f2128bdfd88943c9bdb22e0965f8d4c3182</x:v>
      </x:c>
      <x:c r="AR4" s="34" t="str">
        <x:v>sha256:6d673ad42da6498f05755cae67f85f2128bdfd88943c9bdb22e0965f8d4c3182</x:v>
      </x:c>
      <x:c r="AS4" s="45" t="b">
        <x:v>1</x:v>
      </x:c>
      <x:c r="AT4" s="34" t="str">
        <x:v>sha256:6d673ad42da6498f05755cae67f85f2128bdfd88943c9bdb22e0965f8d4c3182</x:v>
      </x:c>
      <x:c r="AU4" s="34" t="str">
        <x:v>maven:3.9.11-eclipse-temurin-25@sha256:407c4423cec0cf2981055bc2c6c0dc211d9605b6669279b95997f2d1c7e91e2c</x:v>
      </x:c>
      <x:c r="AV4" s="34" t="str">
        <x:v>maven:3.9.11-eclipse-temurin-25@sha256:407c4423cec0cf2981055bc2c6c0dc211d9605b6669279b95997f2d1c7e91e2c</x:v>
      </x:c>
      <x:c r="AW4" s="34" t="str">
        <x:v>sha256:407c4423cec0cf2981055bc2c6c0dc211d9605b6669279b95997f2d1c7e91e2c</x:v>
      </x:c>
      <x:c r="AX4" s="45" t="b">
        <x:v>1</x:v>
      </x:c>
      <x:c r="AY4" s="34" t="str">
        <x:v>sha256:407c4423cec0cf2981055bc2c6c0dc211d9605b6669279b95997f2d1c7e91e2c</x:v>
      </x:c>
      <x:c r="AZ4" s="34" t="str">
        <x:v>4.0.0-SNAPSHOT</x:v>
      </x:c>
      <x:c r="BA4" s="34" t="str">
        <x:v>fb3f101b87709b713468e8d827b8612e6e65f29b</x:v>
      </x:c>
      <x:c r="BB4" s="34" t="str">
        <x:v>cdbbde2db6e49e3c2f44c6caffd6fbefa85fe06e4a383b5d0b53f2747392edae</x:v>
      </x:c>
      <x:c r="BC4" s="34" t="str">
        <x:v>3.2.1</x:v>
      </x:c>
      <x:c r="BD4" s="34" t="str">
        <x:v>12c6fe08223820089f60969b6088e6ac5d358aa872de78357585cdacb6c61049</x:v>
      </x:c>
      <x:c r="BE4" s="34" t="str">
        <x:v>1805b8a170fa5ea5dc1b8ba79328a9c1e83ee1f9b510fe4f427f07dba6f95bc9</x:v>
      </x:c>
      <x:c r="BF4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4" s="34" t="str">
        <x:v>effective-pom.xml</x:v>
      </x:c>
      <x:c r="BH4" s="34" t="str">
        <x:v>0b744edc69da4e049fb2928c5434a331cf225aef38e3bfc5326c536a2f472d50</x:v>
      </x:c>
      <x:c r="BI4" s="43" t="n">
        <x:v>307699</x:v>
      </x:c>
      <x:c r="BJ4" s="34" t="str">
        <x:v>dependency-tree.txt</x:v>
      </x:c>
      <x:c r="BK4" s="34" t="str">
        <x:v>9277aea2be08f606ce4aa1e69c205c6e757280570cfc16abce613bf0a0ccf079</x:v>
      </x:c>
      <x:c r="BL4" s="43" t="n">
        <x:v>4634</x:v>
      </x:c>
      <x:c r="BM4" s="34" t="str">
        <x:v>build-provenance.properties</x:v>
      </x:c>
      <x:c r="BN4" s="34" t="str">
        <x:v>560565500c374b553afc554badb4427f7ae79b50a847971eb93f2b9b35c53317</x:v>
      </x:c>
      <x:c r="BO4" s="43" t="n">
        <x:v>189</x:v>
      </x:c>
      <x:c r="BP4" s="45" t="b">
        <x:v>1</x:v>
      </x:c>
      <x:c r="BQ4" s="44"/>
      <x:c r="BR4" s="36" t="n">
        <x:v>5</x:v>
      </x:c>
      <x:c r="BS4" s="36" t="n">
        <x:v>0</x:v>
      </x:c>
      <x:c r="BT4" s="36" t="n">
        <x:v>0</x:v>
      </x:c>
      <x:c r="BU4" s="36" t="n">
        <x:v>0</x:v>
      </x:c>
      <x:c r="BV4" s="34"/>
      <x:c r="BW4" s="34"/>
      <x:c r="BX4" s="34"/>
      <x:c r="BY4" s="43"/>
    </x:row>
    <x:row r="5">
      <x:c r="A5" s="34" t="str">
        <x:v>article1-unified-v4-2-fb3f101b-20260903-000401-default-f01-p4-cache2k</x:v>
      </x:c>
      <x:c r="B5" s="34" t="str">
        <x:v>default</x:v>
      </x:c>
      <x:c r="C5" s="34" t="str">
        <x:v>cache2k</x:v>
      </x:c>
      <x:c r="D5" s="34" t="str">
        <x:v>cache2k</x:v>
      </x:c>
      <x:c r="E5" s="34" t="str">
        <x:v>current-provider-primary-comparison</x:v>
      </x:c>
      <x:c r="F5" s="36" t="n">
        <x:v>1</x:v>
      </x:c>
      <x:c r="G5" s="36" t="n">
        <x:v>1</x:v>
      </x:c>
      <x:c r="H5" s="36" t="n">
        <x:v>4</x:v>
      </x:c>
      <x:c r="I5" s="36" t="n">
        <x:v>1</x:v>
      </x:c>
      <x:c r="J5" s="38" t="n">
        <x:v>46267.94075317129</x:v>
      </x:c>
      <x:c r="K5" s="38" t="n">
        <x:v>46267.94609228009</x:v>
      </x:c>
      <x:c r="L5" s="40" t="n">
        <x:f>IF(OR(J5="",K5=""),"",(K5-J5)*'Readme-Protocol'!$B$31)</x:f>
        <x:v>461.2990003544837</x:v>
      </x:c>
      <x:c r="M5" s="34" t="str">
        <x:v>387850327f24b76edfce9a964720e5c63d6b596466ebdae4dcddf572b36b3842</x:v>
      </x:c>
      <x:c r="N5" s="34" t="str">
        <x:v>sha256:968b00243361bf927f9e7c869f896ff64c87584edb860fd6b1465d54a1735581</x:v>
      </x:c>
      <x:c r="O5" s="34" t="str">
        <x:v>testcache-benchmark:v4</x:v>
      </x:c>
      <x:c r="P5" s="38" t="n">
        <x:v>46267.940552002314</x:v>
      </x:c>
      <x:c r="Q5" s="42" t="n">
        <x:v>4</x:v>
      </x:c>
      <x:c r="R5" s="34" t="str">
        <x:v>AMD Ryzen 7 PRO 7840U w/ Radeon 780M Graphics</x:v>
      </x:c>
      <x:c r="S5" s="36" t="n">
        <x:v>16</x:v>
      </x:c>
      <x:c r="T5" s="43" t="n">
        <x:v>1610612736</x:v>
      </x:c>
      <x:c r="U5" s="40" t="n">
        <x:f>IF(T5="","",T5/'Readme-Protocol'!$B$26)</x:f>
        <x:v>1536</x:v>
      </x:c>
      <x:c r="V5" s="34" t="str">
        <x:v>Ubuntu 24.04.4 LTS</x:v>
      </x:c>
      <x:c r="W5" s="44" t="str">
        <x:v>Linux 387850327f24 6.18.33.2-microsoft-standard-WSL2 #1 SMP PREEMPT_DYNAMIC Thu Jun 18 21:54:43 UTC 2026 x86_64 x86_64 x86_64 GNU/Linux</x:v>
      </x:c>
      <x:c r="X5" s="34" t="str">
        <x:v>29.7.2</x:v>
      </x:c>
      <x:c r="Y5" s="34" t="str">
        <x:v>Docker Desktop</x:v>
      </x:c>
      <x:c r="Z5" s="34" t="str">
        <x:v>6.18.33.2-microsoft-standard-WSL2</x:v>
      </x:c>
      <x:c r="AA5" s="34" t="str">
        <x:v>x86_64</x:v>
      </x:c>
      <x:c r="AB5" s="34" t="str">
        <x:v>docker-desktop</x:v>
      </x:c>
      <x:c r="AC5" s="34" t="str">
        <x:v>Apache Tomcat/11.0.24</x:v>
      </x:c>
      <x:c r="AD5" s="34" t="str">
        <x:v>Linux</x:v>
      </x:c>
      <x:c r="AE5" s="34" t="str">
        <x:v>6.18.33.2-microsoft-standard-WSL2</x:v>
      </x:c>
      <x:c r="AF5" s="34" t="str">
        <x:v>amd64</x:v>
      </x:c>
      <x:c r="AG5" s="34" t="str">
        <x:v>25.0.3+9-LTS</x:v>
      </x:c>
      <x:c r="AH5" s="34" t="str">
        <x:v>Eclipse Adoptium</x:v>
      </x:c>
      <x:c r="AI5" s="44" t="str">
        <x:v>'-Xms256m -Xmx768m -XX:+UseG1GC -XX:NativeMemoryTracking=summary -Djava.awt.headless=true</x:v>
      </x:c>
      <x:c r="AJ5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5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5" s="34"/>
      <x:c r="AM5" s="34" t="str">
        <x:v>2.6.1.Final</x:v>
      </x:c>
      <x:c r="AN5" s="44" t="str">
        <x:v>Protocollo v4.2; verificabile nell'effective POM quando presente nell'archivio</x:v>
      </x:c>
      <x:c r="AO5" s="34" t="str">
        <x:v>fb3f101b87709b713468e8d827b8612e6e65f29b</x:v>
      </x:c>
      <x:c r="AP5" s="34" t="str">
        <x:v>tomcat:11.0.24-jdk25-temurin-noble@sha256:6d673ad42da6498f05755cae67f85f2128bdfd88943c9bdb22e0965f8d4c3182</x:v>
      </x:c>
      <x:c r="AQ5" s="34" t="str">
        <x:v>tomcat:11.0.24-jdk25-temurin-noble@sha256:6d673ad42da6498f05755cae67f85f2128bdfd88943c9bdb22e0965f8d4c3182</x:v>
      </x:c>
      <x:c r="AR5" s="34" t="str">
        <x:v>sha256:6d673ad42da6498f05755cae67f85f2128bdfd88943c9bdb22e0965f8d4c3182</x:v>
      </x:c>
      <x:c r="AS5" s="45" t="b">
        <x:v>1</x:v>
      </x:c>
      <x:c r="AT5" s="34" t="str">
        <x:v>sha256:6d673ad42da6498f05755cae67f85f2128bdfd88943c9bdb22e0965f8d4c3182</x:v>
      </x:c>
      <x:c r="AU5" s="34" t="str">
        <x:v>maven:3.9.11-eclipse-temurin-25@sha256:407c4423cec0cf2981055bc2c6c0dc211d9605b6669279b95997f2d1c7e91e2c</x:v>
      </x:c>
      <x:c r="AV5" s="34" t="str">
        <x:v>maven:3.9.11-eclipse-temurin-25@sha256:407c4423cec0cf2981055bc2c6c0dc211d9605b6669279b95997f2d1c7e91e2c</x:v>
      </x:c>
      <x:c r="AW5" s="34" t="str">
        <x:v>sha256:407c4423cec0cf2981055bc2c6c0dc211d9605b6669279b95997f2d1c7e91e2c</x:v>
      </x:c>
      <x:c r="AX5" s="45" t="b">
        <x:v>1</x:v>
      </x:c>
      <x:c r="AY5" s="34" t="str">
        <x:v>sha256:407c4423cec0cf2981055bc2c6c0dc211d9605b6669279b95997f2d1c7e91e2c</x:v>
      </x:c>
      <x:c r="AZ5" s="34" t="str">
        <x:v>4.0.0-SNAPSHOT</x:v>
      </x:c>
      <x:c r="BA5" s="34" t="str">
        <x:v>fb3f101b87709b713468e8d827b8612e6e65f29b</x:v>
      </x:c>
      <x:c r="BB5" s="34" t="str">
        <x:v>cdbbde2db6e49e3c2f44c6caffd6fbefa85fe06e4a383b5d0b53f2747392edae</x:v>
      </x:c>
      <x:c r="BC5" s="34" t="str">
        <x:v>3.2.1</x:v>
      </x:c>
      <x:c r="BD5" s="34" t="str">
        <x:v>12c6fe08223820089f60969b6088e6ac5d358aa872de78357585cdacb6c61049</x:v>
      </x:c>
      <x:c r="BE5" s="34" t="str">
        <x:v>1805b8a170fa5ea5dc1b8ba79328a9c1e83ee1f9b510fe4f427f07dba6f95bc9</x:v>
      </x:c>
      <x:c r="BF5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5" s="34" t="str">
        <x:v>effective-pom.xml</x:v>
      </x:c>
      <x:c r="BH5" s="34" t="str">
        <x:v>0b744edc69da4e049fb2928c5434a331cf225aef38e3bfc5326c536a2f472d50</x:v>
      </x:c>
      <x:c r="BI5" s="43" t="n">
        <x:v>307699</x:v>
      </x:c>
      <x:c r="BJ5" s="34" t="str">
        <x:v>dependency-tree.txt</x:v>
      </x:c>
      <x:c r="BK5" s="34" t="str">
        <x:v>9277aea2be08f606ce4aa1e69c205c6e757280570cfc16abce613bf0a0ccf079</x:v>
      </x:c>
      <x:c r="BL5" s="43" t="n">
        <x:v>4634</x:v>
      </x:c>
      <x:c r="BM5" s="34" t="str">
        <x:v>build-provenance.properties</x:v>
      </x:c>
      <x:c r="BN5" s="34" t="str">
        <x:v>560565500c374b553afc554badb4427f7ae79b50a847971eb93f2b9b35c53317</x:v>
      </x:c>
      <x:c r="BO5" s="43" t="n">
        <x:v>189</x:v>
      </x:c>
      <x:c r="BP5" s="45" t="b">
        <x:v>1</x:v>
      </x:c>
      <x:c r="BQ5" s="44"/>
      <x:c r="BR5" s="36" t="n">
        <x:v>5</x:v>
      </x:c>
      <x:c r="BS5" s="36" t="n">
        <x:v>0</x:v>
      </x:c>
      <x:c r="BT5" s="36" t="n">
        <x:v>0</x:v>
      </x:c>
      <x:c r="BU5" s="36" t="n">
        <x:v>0</x:v>
      </x:c>
      <x:c r="BV5" s="34"/>
      <x:c r="BW5" s="34"/>
      <x:c r="BX5" s="34"/>
      <x:c r="BY5" s="43"/>
    </x:row>
    <x:row r="6">
      <x:c r="A6" s="34" t="str">
        <x:v>article1-unified-v4-2-fb3f101b-20260903-000401-default-f01-p5-jcs321</x:v>
      </x:c>
      <x:c r="B6" s="34" t="str">
        <x:v>default</x:v>
      </x:c>
      <x:c r="C6" s="34" t="str">
        <x:v>jcs321</x:v>
      </x:c>
      <x:c r="D6" s="34" t="str">
        <x:v>jcs321</x:v>
      </x:c>
      <x:c r="E6" s="34" t="str">
        <x:v>JCS-248-positive-control</x:v>
      </x:c>
      <x:c r="F6" s="36" t="n">
        <x:v>1</x:v>
      </x:c>
      <x:c r="G6" s="36" t="n">
        <x:v>1</x:v>
      </x:c>
      <x:c r="H6" s="36" t="n">
        <x:v>5</x:v>
      </x:c>
      <x:c r="I6" s="36" t="n">
        <x:v>1</x:v>
      </x:c>
      <x:c r="J6" s="38" t="n">
        <x:v>46267.94631616898</x:v>
      </x:c>
      <x:c r="K6" s="38" t="n">
        <x:v>46267.951718125</x:v>
      </x:c>
      <x:c r="L6" s="40" t="n">
        <x:f>IF(OR(J6="",K6=""),"",(K6-J6)*'Readme-Protocol'!$B$31)</x:f>
        <x:v>466.72900007106364</x:v>
      </x:c>
      <x:c r="M6" s="34" t="str">
        <x:v>2aaf975918803568f81137da9ef3240888937ee2317275497a8433913267ec11</x:v>
      </x:c>
      <x:c r="N6" s="34" t="str">
        <x:v>sha256:968b00243361bf927f9e7c869f896ff64c87584edb860fd6b1465d54a1735581</x:v>
      </x:c>
      <x:c r="O6" s="34" t="str">
        <x:v>testcache-benchmark:v4</x:v>
      </x:c>
      <x:c r="P6" s="38" t="n">
        <x:v>46267.946110868055</x:v>
      </x:c>
      <x:c r="Q6" s="42" t="n">
        <x:v>4</x:v>
      </x:c>
      <x:c r="R6" s="34" t="str">
        <x:v>AMD Ryzen 7 PRO 7840U w/ Radeon 780M Graphics</x:v>
      </x:c>
      <x:c r="S6" s="36" t="n">
        <x:v>16</x:v>
      </x:c>
      <x:c r="T6" s="43" t="n">
        <x:v>1610612736</x:v>
      </x:c>
      <x:c r="U6" s="40" t="n">
        <x:f>IF(T6="","",T6/'Readme-Protocol'!$B$26)</x:f>
        <x:v>1536</x:v>
      </x:c>
      <x:c r="V6" s="34" t="str">
        <x:v>Ubuntu 24.04.4 LTS</x:v>
      </x:c>
      <x:c r="W6" s="44" t="str">
        <x:v>Linux 2aaf97591880 6.18.33.2-microsoft-standard-WSL2 #1 SMP PREEMPT_DYNAMIC Thu Jun 18 21:54:43 UTC 2026 x86_64 x86_64 x86_64 GNU/Linux</x:v>
      </x:c>
      <x:c r="X6" s="34" t="str">
        <x:v>29.7.2</x:v>
      </x:c>
      <x:c r="Y6" s="34" t="str">
        <x:v>Docker Desktop</x:v>
      </x:c>
      <x:c r="Z6" s="34" t="str">
        <x:v>6.18.33.2-microsoft-standard-WSL2</x:v>
      </x:c>
      <x:c r="AA6" s="34" t="str">
        <x:v>x86_64</x:v>
      </x:c>
      <x:c r="AB6" s="34" t="str">
        <x:v>docker-desktop</x:v>
      </x:c>
      <x:c r="AC6" s="34" t="str">
        <x:v>Apache Tomcat/11.0.24</x:v>
      </x:c>
      <x:c r="AD6" s="34" t="str">
        <x:v>Linux</x:v>
      </x:c>
      <x:c r="AE6" s="34" t="str">
        <x:v>6.18.33.2-microsoft-standard-WSL2</x:v>
      </x:c>
      <x:c r="AF6" s="34" t="str">
        <x:v>amd64</x:v>
      </x:c>
      <x:c r="AG6" s="34" t="str">
        <x:v>25.0.3+9-LTS</x:v>
      </x:c>
      <x:c r="AH6" s="34" t="str">
        <x:v>Eclipse Adoptium</x:v>
      </x:c>
      <x:c r="AI6" s="44" t="str">
        <x:v>'-Xms256m -Xmx768m -XX:+UseG1GC -XX:NativeMemoryTracking=summary -Djava.awt.headless=true</x:v>
      </x:c>
      <x:c r="AJ6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6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6" s="34" t="str">
        <x:v>3.2.1</x:v>
      </x:c>
      <x:c r="AM6" s="34" t="str">
        <x:v>3.2.1</x:v>
      </x:c>
      <x:c r="AN6" s="44" t="str">
        <x:v>Protocollo v4.2; valore runtime in environment.jcs321Version</x:v>
      </x:c>
      <x:c r="AO6" s="34" t="str">
        <x:v>fb3f101b87709b713468e8d827b8612e6e65f29b</x:v>
      </x:c>
      <x:c r="AP6" s="34" t="str">
        <x:v>tomcat:11.0.24-jdk25-temurin-noble@sha256:6d673ad42da6498f05755cae67f85f2128bdfd88943c9bdb22e0965f8d4c3182</x:v>
      </x:c>
      <x:c r="AQ6" s="34" t="str">
        <x:v>tomcat:11.0.24-jdk25-temurin-noble@sha256:6d673ad42da6498f05755cae67f85f2128bdfd88943c9bdb22e0965f8d4c3182</x:v>
      </x:c>
      <x:c r="AR6" s="34" t="str">
        <x:v>sha256:6d673ad42da6498f05755cae67f85f2128bdfd88943c9bdb22e0965f8d4c3182</x:v>
      </x:c>
      <x:c r="AS6" s="45" t="b">
        <x:v>1</x:v>
      </x:c>
      <x:c r="AT6" s="34" t="str">
        <x:v>sha256:6d673ad42da6498f05755cae67f85f2128bdfd88943c9bdb22e0965f8d4c3182</x:v>
      </x:c>
      <x:c r="AU6" s="34" t="str">
        <x:v>maven:3.9.11-eclipse-temurin-25@sha256:407c4423cec0cf2981055bc2c6c0dc211d9605b6669279b95997f2d1c7e91e2c</x:v>
      </x:c>
      <x:c r="AV6" s="34" t="str">
        <x:v>maven:3.9.11-eclipse-temurin-25@sha256:407c4423cec0cf2981055bc2c6c0dc211d9605b6669279b95997f2d1c7e91e2c</x:v>
      </x:c>
      <x:c r="AW6" s="34" t="str">
        <x:v>sha256:407c4423cec0cf2981055bc2c6c0dc211d9605b6669279b95997f2d1c7e91e2c</x:v>
      </x:c>
      <x:c r="AX6" s="45" t="b">
        <x:v>1</x:v>
      </x:c>
      <x:c r="AY6" s="34" t="str">
        <x:v>sha256:407c4423cec0cf2981055bc2c6c0dc211d9605b6669279b95997f2d1c7e91e2c</x:v>
      </x:c>
      <x:c r="AZ6" s="34" t="str">
        <x:v>4.0.0-SNAPSHOT</x:v>
      </x:c>
      <x:c r="BA6" s="34" t="str">
        <x:v>fb3f101b87709b713468e8d827b8612e6e65f29b</x:v>
      </x:c>
      <x:c r="BB6" s="34" t="str">
        <x:v>cdbbde2db6e49e3c2f44c6caffd6fbefa85fe06e4a383b5d0b53f2747392edae</x:v>
      </x:c>
      <x:c r="BC6" s="34" t="str">
        <x:v>3.2.1</x:v>
      </x:c>
      <x:c r="BD6" s="34" t="str">
        <x:v>12c6fe08223820089f60969b6088e6ac5d358aa872de78357585cdacb6c61049</x:v>
      </x:c>
      <x:c r="BE6" s="34" t="str">
        <x:v>1805b8a170fa5ea5dc1b8ba79328a9c1e83ee1f9b510fe4f427f07dba6f95bc9</x:v>
      </x:c>
      <x:c r="BF6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6" s="34" t="str">
        <x:v>effective-pom.xml</x:v>
      </x:c>
      <x:c r="BH6" s="34" t="str">
        <x:v>0b744edc69da4e049fb2928c5434a331cf225aef38e3bfc5326c536a2f472d50</x:v>
      </x:c>
      <x:c r="BI6" s="43" t="n">
        <x:v>307699</x:v>
      </x:c>
      <x:c r="BJ6" s="34" t="str">
        <x:v>dependency-tree.txt</x:v>
      </x:c>
      <x:c r="BK6" s="34" t="str">
        <x:v>9277aea2be08f606ce4aa1e69c205c6e757280570cfc16abce613bf0a0ccf079</x:v>
      </x:c>
      <x:c r="BL6" s="43" t="n">
        <x:v>4634</x:v>
      </x:c>
      <x:c r="BM6" s="34" t="str">
        <x:v>build-provenance.properties</x:v>
      </x:c>
      <x:c r="BN6" s="34" t="str">
        <x:v>560565500c374b553afc554badb4427f7ae79b50a847971eb93f2b9b35c53317</x:v>
      </x:c>
      <x:c r="BO6" s="43" t="n">
        <x:v>189</x:v>
      </x:c>
      <x:c r="BP6" s="45" t="b">
        <x:v>1</x:v>
      </x:c>
      <x:c r="BQ6" s="44"/>
      <x:c r="BR6" s="36" t="n">
        <x:v>5</x:v>
      </x:c>
      <x:c r="BS6" s="36" t="n">
        <x:v>20</x:v>
      </x:c>
      <x:c r="BT6" s="36" t="n">
        <x:v>10</x:v>
      </x:c>
      <x:c r="BU6" s="36" t="n">
        <x:v>10</x:v>
      </x:c>
      <x:c r="BV6" s="34" t="str">
        <x:v>jcs</x:v>
      </x:c>
      <x:c r="BW6" s="34" t="str">
        <x:v>article1-unified-v4-2-fb3f101b-20260903-000401-default-f01-p5-jcs321-final.hprof</x:v>
      </x:c>
      <x:c r="BX6" s="34" t="str">
        <x:v>86a2dd61f6d8f184875a06e0e885f186b0ca0a3c55dbfee2a68ba8193bb4443c</x:v>
      </x:c>
      <x:c r="BY6" s="43" t="n">
        <x:v>89012742</x:v>
      </x:c>
    </x:row>
    <x:row r="7">
      <x:c r="A7" s="34" t="str">
        <x:v>article1-unified-v4-2-fb3f101b-20260903-000401-default-f01-p6-jcs4</x:v>
      </x:c>
      <x:c r="B7" s="34" t="str">
        <x:v>default</x:v>
      </x:c>
      <x:c r="C7" s="34" t="str">
        <x:v>jcs4</x:v>
      </x:c>
      <x:c r="D7" s="34" t="str">
        <x:v>jcs4</x:v>
      </x:c>
      <x:c r="E7" s="34" t="str">
        <x:v>current-provider-primary-comparison</x:v>
      </x:c>
      <x:c r="F7" s="36" t="n">
        <x:v>1</x:v>
      </x:c>
      <x:c r="G7" s="36" t="n">
        <x:v>1</x:v>
      </x:c>
      <x:c r="H7" s="36" t="n">
        <x:v>6</x:v>
      </x:c>
      <x:c r="I7" s="36" t="n">
        <x:v>1</x:v>
      </x:c>
      <x:c r="J7" s="38" t="n">
        <x:v>46267.951942997686</x:v>
      </x:c>
      <x:c r="K7" s="38" t="n">
        <x:v>46267.95727195602</x:v>
      </x:c>
      <x:c r="L7" s="40" t="n">
        <x:f>IF(OR(J7="",K7=""),"",(K7-J7)*'Readme-Protocol'!$B$31)</x:f>
        <x:v>460.4219997301698</x:v>
      </x:c>
      <x:c r="M7" s="34" t="str">
        <x:v>03dc51c0780015c0fc579a9f87feef5524334a3186206c8b7e881407bf341aed</x:v>
      </x:c>
      <x:c r="N7" s="34" t="str">
        <x:v>sha256:968b00243361bf927f9e7c869f896ff64c87584edb860fd6b1465d54a1735581</x:v>
      </x:c>
      <x:c r="O7" s="34" t="str">
        <x:v>testcache-benchmark:v4</x:v>
      </x:c>
      <x:c r="P7" s="38" t="n">
        <x:v>46267.95173291667</x:v>
      </x:c>
      <x:c r="Q7" s="42" t="n">
        <x:v>4</x:v>
      </x:c>
      <x:c r="R7" s="34" t="str">
        <x:v>AMD Ryzen 7 PRO 7840U w/ Radeon 780M Graphics</x:v>
      </x:c>
      <x:c r="S7" s="36" t="n">
        <x:v>16</x:v>
      </x:c>
      <x:c r="T7" s="43" t="n">
        <x:v>1610612736</x:v>
      </x:c>
      <x:c r="U7" s="40" t="n">
        <x:f>IF(T7="","",T7/'Readme-Protocol'!$B$26)</x:f>
        <x:v>1536</x:v>
      </x:c>
      <x:c r="V7" s="34" t="str">
        <x:v>Ubuntu 24.04.4 LTS</x:v>
      </x:c>
      <x:c r="W7" s="44" t="str">
        <x:v>Linux 03dc51c07800 6.18.33.2-microsoft-standard-WSL2 #1 SMP PREEMPT_DYNAMIC Thu Jun 18 21:54:43 UTC 2026 x86_64 x86_64 x86_64 GNU/Linux</x:v>
      </x:c>
      <x:c r="X7" s="34" t="str">
        <x:v>29.7.2</x:v>
      </x:c>
      <x:c r="Y7" s="34" t="str">
        <x:v>Docker Desktop</x:v>
      </x:c>
      <x:c r="Z7" s="34" t="str">
        <x:v>6.18.33.2-microsoft-standard-WSL2</x:v>
      </x:c>
      <x:c r="AA7" s="34" t="str">
        <x:v>x86_64</x:v>
      </x:c>
      <x:c r="AB7" s="34" t="str">
        <x:v>docker-desktop</x:v>
      </x:c>
      <x:c r="AC7" s="34" t="str">
        <x:v>Apache Tomcat/11.0.24</x:v>
      </x:c>
      <x:c r="AD7" s="34" t="str">
        <x:v>Linux</x:v>
      </x:c>
      <x:c r="AE7" s="34" t="str">
        <x:v>6.18.33.2-microsoft-standard-WSL2</x:v>
      </x:c>
      <x:c r="AF7" s="34" t="str">
        <x:v>amd64</x:v>
      </x:c>
      <x:c r="AG7" s="34" t="str">
        <x:v>25.0.3+9-LTS</x:v>
      </x:c>
      <x:c r="AH7" s="34" t="str">
        <x:v>Eclipse Adoptium</x:v>
      </x:c>
      <x:c r="AI7" s="44" t="str">
        <x:v>'-Xms256m -Xmx768m -XX:+UseG1GC -XX:NativeMemoryTracking=summary -Djava.awt.headless=true</x:v>
      </x:c>
      <x:c r="AJ7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7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7" s="34" t="str">
        <x:v>4.0.0-SNAPSHOT</x:v>
      </x:c>
      <x:c r="AM7" s="34" t="str">
        <x:v>4.0.0-SNAPSHOT</x:v>
      </x:c>
      <x:c r="AN7" s="44" t="str">
        <x:v>Protocollo v4.2; valore runtime in environment.jcs4Version</x:v>
      </x:c>
      <x:c r="AO7" s="34" t="str">
        <x:v>fb3f101b87709b713468e8d827b8612e6e65f29b</x:v>
      </x:c>
      <x:c r="AP7" s="34" t="str">
        <x:v>tomcat:11.0.24-jdk25-temurin-noble@sha256:6d673ad42da6498f05755cae67f85f2128bdfd88943c9bdb22e0965f8d4c3182</x:v>
      </x:c>
      <x:c r="AQ7" s="34" t="str">
        <x:v>tomcat:11.0.24-jdk25-temurin-noble@sha256:6d673ad42da6498f05755cae67f85f2128bdfd88943c9bdb22e0965f8d4c3182</x:v>
      </x:c>
      <x:c r="AR7" s="34" t="str">
        <x:v>sha256:6d673ad42da6498f05755cae67f85f2128bdfd88943c9bdb22e0965f8d4c3182</x:v>
      </x:c>
      <x:c r="AS7" s="45" t="b">
        <x:v>1</x:v>
      </x:c>
      <x:c r="AT7" s="34" t="str">
        <x:v>sha256:6d673ad42da6498f05755cae67f85f2128bdfd88943c9bdb22e0965f8d4c3182</x:v>
      </x:c>
      <x:c r="AU7" s="34" t="str">
        <x:v>maven:3.9.11-eclipse-temurin-25@sha256:407c4423cec0cf2981055bc2c6c0dc211d9605b6669279b95997f2d1c7e91e2c</x:v>
      </x:c>
      <x:c r="AV7" s="34" t="str">
        <x:v>maven:3.9.11-eclipse-temurin-25@sha256:407c4423cec0cf2981055bc2c6c0dc211d9605b6669279b95997f2d1c7e91e2c</x:v>
      </x:c>
      <x:c r="AW7" s="34" t="str">
        <x:v>sha256:407c4423cec0cf2981055bc2c6c0dc211d9605b6669279b95997f2d1c7e91e2c</x:v>
      </x:c>
      <x:c r="AX7" s="45" t="b">
        <x:v>1</x:v>
      </x:c>
      <x:c r="AY7" s="34" t="str">
        <x:v>sha256:407c4423cec0cf2981055bc2c6c0dc211d9605b6669279b95997f2d1c7e91e2c</x:v>
      </x:c>
      <x:c r="AZ7" s="34" t="str">
        <x:v>4.0.0-SNAPSHOT</x:v>
      </x:c>
      <x:c r="BA7" s="34" t="str">
        <x:v>fb3f101b87709b713468e8d827b8612e6e65f29b</x:v>
      </x:c>
      <x:c r="BB7" s="34" t="str">
        <x:v>cdbbde2db6e49e3c2f44c6caffd6fbefa85fe06e4a383b5d0b53f2747392edae</x:v>
      </x:c>
      <x:c r="BC7" s="34" t="str">
        <x:v>3.2.1</x:v>
      </x:c>
      <x:c r="BD7" s="34" t="str">
        <x:v>12c6fe08223820089f60969b6088e6ac5d358aa872de78357585cdacb6c61049</x:v>
      </x:c>
      <x:c r="BE7" s="34" t="str">
        <x:v>1805b8a170fa5ea5dc1b8ba79328a9c1e83ee1f9b510fe4f427f07dba6f95bc9</x:v>
      </x:c>
      <x:c r="BF7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7" s="34" t="str">
        <x:v>effective-pom.xml</x:v>
      </x:c>
      <x:c r="BH7" s="34" t="str">
        <x:v>0b744edc69da4e049fb2928c5434a331cf225aef38e3bfc5326c536a2f472d50</x:v>
      </x:c>
      <x:c r="BI7" s="43" t="n">
        <x:v>307699</x:v>
      </x:c>
      <x:c r="BJ7" s="34" t="str">
        <x:v>dependency-tree.txt</x:v>
      </x:c>
      <x:c r="BK7" s="34" t="str">
        <x:v>9277aea2be08f606ce4aa1e69c205c6e757280570cfc16abce613bf0a0ccf079</x:v>
      </x:c>
      <x:c r="BL7" s="43" t="n">
        <x:v>4634</x:v>
      </x:c>
      <x:c r="BM7" s="34" t="str">
        <x:v>build-provenance.properties</x:v>
      </x:c>
      <x:c r="BN7" s="34" t="str">
        <x:v>560565500c374b553afc554badb4427f7ae79b50a847971eb93f2b9b35c53317</x:v>
      </x:c>
      <x:c r="BO7" s="43" t="n">
        <x:v>189</x:v>
      </x:c>
      <x:c r="BP7" s="45" t="b">
        <x:v>1</x:v>
      </x:c>
      <x:c r="BQ7" s="44"/>
      <x:c r="BR7" s="36" t="n">
        <x:v>5</x:v>
      </x:c>
      <x:c r="BS7" s="36" t="n">
        <x:v>20</x:v>
      </x:c>
      <x:c r="BT7" s="36" t="n">
        <x:v>0</x:v>
      </x:c>
      <x:c r="BU7" s="36" t="n">
        <x:v>0</x:v>
      </x:c>
      <x:c r="BV7" s="34" t="str">
        <x:v>jcs</x:v>
      </x:c>
      <x:c r="BW7" s="34" t="str">
        <x:v>article1-unified-v4-2-fb3f101b-20260903-000401-default-f01-p6-jcs4-final.hprof</x:v>
      </x:c>
      <x:c r="BX7" s="34" t="str">
        <x:v>0b7d4413a41b6eec25d639465ff1aa3e4c018c137d95e8b47fbcee4ba34c593a</x:v>
      </x:c>
      <x:c r="BY7" s="43" t="n">
        <x:v>31196337</x:v>
      </x:c>
    </x:row>
    <x:row r="8">
      <x:c r="A8" s="34" t="str">
        <x:v>article1-unified-v4-2-fb3f101b-20260903-000401-default-f02-p1-ehcache</x:v>
      </x:c>
      <x:c r="B8" s="34" t="str">
        <x:v>default</x:v>
      </x:c>
      <x:c r="C8" s="34" t="str">
        <x:v>ehcache</x:v>
      </x:c>
      <x:c r="D8" s="34" t="str">
        <x:v>ehcache</x:v>
      </x:c>
      <x:c r="E8" s="34" t="str">
        <x:v>current-provider-primary-comparison</x:v>
      </x:c>
      <x:c r="F8" s="36" t="n">
        <x:v>2</x:v>
      </x:c>
      <x:c r="G8" s="36" t="n">
        <x:v>2</x:v>
      </x:c>
      <x:c r="H8" s="36" t="n">
        <x:v>1</x:v>
      </x:c>
      <x:c r="I8" s="36" t="n">
        <x:v>2</x:v>
      </x:c>
      <x:c r="J8" s="38" t="n">
        <x:v>46267.95749663194</x:v>
      </x:c>
      <x:c r="K8" s="38" t="n">
        <x:v>46267.962955497685</x:v>
      </x:c>
      <x:c r="L8" s="40" t="n">
        <x:f>IF(OR(J8="",K8=""),"",(K8-J8)*'Readme-Protocol'!$B$31)</x:f>
        <x:v>471.6460002819076</x:v>
      </x:c>
      <x:c r="M8" s="34" t="str">
        <x:v>370e27c0c007b26a7ae25243d3fcf0a871470c27abaaadecfea123ea4b8f34fa</x:v>
      </x:c>
      <x:c r="N8" s="34" t="str">
        <x:v>sha256:968b00243361bf927f9e7c869f896ff64c87584edb860fd6b1465d54a1735581</x:v>
      </x:c>
      <x:c r="O8" s="34" t="str">
        <x:v>testcache-benchmark:v4</x:v>
      </x:c>
      <x:c r="P8" s="38" t="n">
        <x:v>46267.95728996528</x:v>
      </x:c>
      <x:c r="Q8" s="42" t="n">
        <x:v>4</x:v>
      </x:c>
      <x:c r="R8" s="34" t="str">
        <x:v>AMD Ryzen 7 PRO 7840U w/ Radeon 780M Graphics</x:v>
      </x:c>
      <x:c r="S8" s="36" t="n">
        <x:v>16</x:v>
      </x:c>
      <x:c r="T8" s="43" t="n">
        <x:v>1610612736</x:v>
      </x:c>
      <x:c r="U8" s="40" t="n">
        <x:f>IF(T8="","",T8/'Readme-Protocol'!$B$26)</x:f>
        <x:v>1536</x:v>
      </x:c>
      <x:c r="V8" s="34" t="str">
        <x:v>Ubuntu 24.04.4 LTS</x:v>
      </x:c>
      <x:c r="W8" s="44" t="str">
        <x:v>Linux 370e27c0c007 6.18.33.2-microsoft-standard-WSL2 #1 SMP PREEMPT_DYNAMIC Thu Jun 18 21:54:43 UTC 2026 x86_64 x86_64 x86_64 GNU/Linux</x:v>
      </x:c>
      <x:c r="X8" s="34" t="str">
        <x:v>29.7.2</x:v>
      </x:c>
      <x:c r="Y8" s="34" t="str">
        <x:v>Docker Desktop</x:v>
      </x:c>
      <x:c r="Z8" s="34" t="str">
        <x:v>6.18.33.2-microsoft-standard-WSL2</x:v>
      </x:c>
      <x:c r="AA8" s="34" t="str">
        <x:v>x86_64</x:v>
      </x:c>
      <x:c r="AB8" s="34" t="str">
        <x:v>docker-desktop</x:v>
      </x:c>
      <x:c r="AC8" s="34" t="str">
        <x:v>Apache Tomcat/11.0.24</x:v>
      </x:c>
      <x:c r="AD8" s="34" t="str">
        <x:v>Linux</x:v>
      </x:c>
      <x:c r="AE8" s="34" t="str">
        <x:v>6.18.33.2-microsoft-standard-WSL2</x:v>
      </x:c>
      <x:c r="AF8" s="34" t="str">
        <x:v>amd64</x:v>
      </x:c>
      <x:c r="AG8" s="34" t="str">
        <x:v>25.0.3+9-LTS</x:v>
      </x:c>
      <x:c r="AH8" s="34" t="str">
        <x:v>Eclipse Adoptium</x:v>
      </x:c>
      <x:c r="AI8" s="44" t="str">
        <x:v>'-Xms256m -Xmx768m -XX:+UseG1GC -XX:NativeMemoryTracking=summary -Djava.awt.headless=true</x:v>
      </x:c>
      <x:c r="AJ8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8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8" s="34"/>
      <x:c r="AM8" s="34" t="str">
        <x:v>3.12.0</x:v>
      </x:c>
      <x:c r="AN8" s="44" t="str">
        <x:v>Protocollo v4.2; verificabile nell'effective POM quando presente nell'archivio</x:v>
      </x:c>
      <x:c r="AO8" s="34" t="str">
        <x:v>fb3f101b87709b713468e8d827b8612e6e65f29b</x:v>
      </x:c>
      <x:c r="AP8" s="34" t="str">
        <x:v>tomcat:11.0.24-jdk25-temurin-noble@sha256:6d673ad42da6498f05755cae67f85f2128bdfd88943c9bdb22e0965f8d4c3182</x:v>
      </x:c>
      <x:c r="AQ8" s="34" t="str">
        <x:v>tomcat:11.0.24-jdk25-temurin-noble@sha256:6d673ad42da6498f05755cae67f85f2128bdfd88943c9bdb22e0965f8d4c3182</x:v>
      </x:c>
      <x:c r="AR8" s="34" t="str">
        <x:v>sha256:6d673ad42da6498f05755cae67f85f2128bdfd88943c9bdb22e0965f8d4c3182</x:v>
      </x:c>
      <x:c r="AS8" s="45" t="b">
        <x:v>1</x:v>
      </x:c>
      <x:c r="AT8" s="34" t="str">
        <x:v>sha256:6d673ad42da6498f05755cae67f85f2128bdfd88943c9bdb22e0965f8d4c3182</x:v>
      </x:c>
      <x:c r="AU8" s="34" t="str">
        <x:v>maven:3.9.11-eclipse-temurin-25@sha256:407c4423cec0cf2981055bc2c6c0dc211d9605b6669279b95997f2d1c7e91e2c</x:v>
      </x:c>
      <x:c r="AV8" s="34" t="str">
        <x:v>maven:3.9.11-eclipse-temurin-25@sha256:407c4423cec0cf2981055bc2c6c0dc211d9605b6669279b95997f2d1c7e91e2c</x:v>
      </x:c>
      <x:c r="AW8" s="34" t="str">
        <x:v>sha256:407c4423cec0cf2981055bc2c6c0dc211d9605b6669279b95997f2d1c7e91e2c</x:v>
      </x:c>
      <x:c r="AX8" s="45" t="b">
        <x:v>1</x:v>
      </x:c>
      <x:c r="AY8" s="34" t="str">
        <x:v>sha256:407c4423cec0cf2981055bc2c6c0dc211d9605b6669279b95997f2d1c7e91e2c</x:v>
      </x:c>
      <x:c r="AZ8" s="34" t="str">
        <x:v>4.0.0-SNAPSHOT</x:v>
      </x:c>
      <x:c r="BA8" s="34" t="str">
        <x:v>fb3f101b87709b713468e8d827b8612e6e65f29b</x:v>
      </x:c>
      <x:c r="BB8" s="34" t="str">
        <x:v>cdbbde2db6e49e3c2f44c6caffd6fbefa85fe06e4a383b5d0b53f2747392edae</x:v>
      </x:c>
      <x:c r="BC8" s="34" t="str">
        <x:v>3.2.1</x:v>
      </x:c>
      <x:c r="BD8" s="34" t="str">
        <x:v>12c6fe08223820089f60969b6088e6ac5d358aa872de78357585cdacb6c61049</x:v>
      </x:c>
      <x:c r="BE8" s="34" t="str">
        <x:v>1805b8a170fa5ea5dc1b8ba79328a9c1e83ee1f9b510fe4f427f07dba6f95bc9</x:v>
      </x:c>
      <x:c r="BF8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8" s="34" t="str">
        <x:v>effective-pom.xml</x:v>
      </x:c>
      <x:c r="BH8" s="34" t="str">
        <x:v>0b744edc69da4e049fb2928c5434a331cf225aef38e3bfc5326c536a2f472d50</x:v>
      </x:c>
      <x:c r="BI8" s="43" t="n">
        <x:v>307699</x:v>
      </x:c>
      <x:c r="BJ8" s="34" t="str">
        <x:v>dependency-tree.txt</x:v>
      </x:c>
      <x:c r="BK8" s="34" t="str">
        <x:v>9277aea2be08f606ce4aa1e69c205c6e757280570cfc16abce613bf0a0ccf079</x:v>
      </x:c>
      <x:c r="BL8" s="43" t="n">
        <x:v>4634</x:v>
      </x:c>
      <x:c r="BM8" s="34" t="str">
        <x:v>build-provenance.properties</x:v>
      </x:c>
      <x:c r="BN8" s="34" t="str">
        <x:v>560565500c374b553afc554badb4427f7ae79b50a847971eb93f2b9b35c53317</x:v>
      </x:c>
      <x:c r="BO8" s="43" t="n">
        <x:v>189</x:v>
      </x:c>
      <x:c r="BP8" s="45" t="b">
        <x:v>1</x:v>
      </x:c>
      <x:c r="BQ8" s="44"/>
      <x:c r="BR8" s="36" t="n">
        <x:v>5</x:v>
      </x:c>
      <x:c r="BS8" s="36" t="n">
        <x:v>5</x:v>
      </x:c>
      <x:c r="BT8" s="36" t="n">
        <x:v>1</x:v>
      </x:c>
      <x:c r="BU8" s="36" t="n">
        <x:v>1</x:v>
      </x:c>
      <x:c r="BV8" s="34"/>
      <x:c r="BW8" s="34"/>
      <x:c r="BX8" s="34"/>
      <x:c r="BY8" s="43"/>
    </x:row>
    <x:row r="9">
      <x:c r="A9" s="34" t="str">
        <x:v>article1-unified-v4-2-fb3f101b-20260903-000401-default-f02-p2-cache2k</x:v>
      </x:c>
      <x:c r="B9" s="34" t="str">
        <x:v>default</x:v>
      </x:c>
      <x:c r="C9" s="34" t="str">
        <x:v>cache2k</x:v>
      </x:c>
      <x:c r="D9" s="34" t="str">
        <x:v>cache2k</x:v>
      </x:c>
      <x:c r="E9" s="34" t="str">
        <x:v>current-provider-primary-comparison</x:v>
      </x:c>
      <x:c r="F9" s="36" t="n">
        <x:v>2</x:v>
      </x:c>
      <x:c r="G9" s="36" t="n">
        <x:v>2</x:v>
      </x:c>
      <x:c r="H9" s="36" t="n">
        <x:v>2</x:v>
      </x:c>
      <x:c r="I9" s="36" t="n">
        <x:v>2</x:v>
      </x:c>
      <x:c r="J9" s="38" t="n">
        <x:v>46267.96318074074</x:v>
      </x:c>
      <x:c r="K9" s="38" t="n">
        <x:v>46267.96859587963</x:v>
      </x:c>
      <x:c r="L9" s="40" t="n">
        <x:f>IF(OR(J9="",K9=""),"",(K9-J9)*'Readme-Protocol'!$B$31)</x:f>
        <x:v>467.86800012923777</x:v>
      </x:c>
      <x:c r="M9" s="34" t="str">
        <x:v>fe21cc30706cf74f91347c93cdc5f23c637d7ea0e56e241611f88e3090b921c6</x:v>
      </x:c>
      <x:c r="N9" s="34" t="str">
        <x:v>sha256:968b00243361bf927f9e7c869f896ff64c87584edb860fd6b1465d54a1735581</x:v>
      </x:c>
      <x:c r="O9" s="34" t="str">
        <x:v>testcache-benchmark:v4</x:v>
      </x:c>
      <x:c r="P9" s="38" t="n">
        <x:v>46267.96297201389</x:v>
      </x:c>
      <x:c r="Q9" s="42" t="n">
        <x:v>4</x:v>
      </x:c>
      <x:c r="R9" s="34" t="str">
        <x:v>AMD Ryzen 7 PRO 7840U w/ Radeon 780M Graphics</x:v>
      </x:c>
      <x:c r="S9" s="36" t="n">
        <x:v>16</x:v>
      </x:c>
      <x:c r="T9" s="43" t="n">
        <x:v>1610612736</x:v>
      </x:c>
      <x:c r="U9" s="40" t="n">
        <x:f>IF(T9="","",T9/'Readme-Protocol'!$B$26)</x:f>
        <x:v>1536</x:v>
      </x:c>
      <x:c r="V9" s="34" t="str">
        <x:v>Ubuntu 24.04.4 LTS</x:v>
      </x:c>
      <x:c r="W9" s="44" t="str">
        <x:v>Linux fe21cc30706c 6.18.33.2-microsoft-standard-WSL2 #1 SMP PREEMPT_DYNAMIC Thu Jun 18 21:54:43 UTC 2026 x86_64 x86_64 x86_64 GNU/Linux</x:v>
      </x:c>
      <x:c r="X9" s="34" t="str">
        <x:v>29.7.2</x:v>
      </x:c>
      <x:c r="Y9" s="34" t="str">
        <x:v>Docker Desktop</x:v>
      </x:c>
      <x:c r="Z9" s="34" t="str">
        <x:v>6.18.33.2-microsoft-standard-WSL2</x:v>
      </x:c>
      <x:c r="AA9" s="34" t="str">
        <x:v>x86_64</x:v>
      </x:c>
      <x:c r="AB9" s="34" t="str">
        <x:v>docker-desktop</x:v>
      </x:c>
      <x:c r="AC9" s="34" t="str">
        <x:v>Apache Tomcat/11.0.24</x:v>
      </x:c>
      <x:c r="AD9" s="34" t="str">
        <x:v>Linux</x:v>
      </x:c>
      <x:c r="AE9" s="34" t="str">
        <x:v>6.18.33.2-microsoft-standard-WSL2</x:v>
      </x:c>
      <x:c r="AF9" s="34" t="str">
        <x:v>amd64</x:v>
      </x:c>
      <x:c r="AG9" s="34" t="str">
        <x:v>25.0.3+9-LTS</x:v>
      </x:c>
      <x:c r="AH9" s="34" t="str">
        <x:v>Eclipse Adoptium</x:v>
      </x:c>
      <x:c r="AI9" s="44" t="str">
        <x:v>'-Xms256m -Xmx768m -XX:+UseG1GC -XX:NativeMemoryTracking=summary -Djava.awt.headless=true</x:v>
      </x:c>
      <x:c r="AJ9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9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9" s="34"/>
      <x:c r="AM9" s="34" t="str">
        <x:v>2.6.1.Final</x:v>
      </x:c>
      <x:c r="AN9" s="44" t="str">
        <x:v>Protocollo v4.2; verificabile nell'effective POM quando presente nell'archivio</x:v>
      </x:c>
      <x:c r="AO9" s="34" t="str">
        <x:v>fb3f101b87709b713468e8d827b8612e6e65f29b</x:v>
      </x:c>
      <x:c r="AP9" s="34" t="str">
        <x:v>tomcat:11.0.24-jdk25-temurin-noble@sha256:6d673ad42da6498f05755cae67f85f2128bdfd88943c9bdb22e0965f8d4c3182</x:v>
      </x:c>
      <x:c r="AQ9" s="34" t="str">
        <x:v>tomcat:11.0.24-jdk25-temurin-noble@sha256:6d673ad42da6498f05755cae67f85f2128bdfd88943c9bdb22e0965f8d4c3182</x:v>
      </x:c>
      <x:c r="AR9" s="34" t="str">
        <x:v>sha256:6d673ad42da6498f05755cae67f85f2128bdfd88943c9bdb22e0965f8d4c3182</x:v>
      </x:c>
      <x:c r="AS9" s="45" t="b">
        <x:v>1</x:v>
      </x:c>
      <x:c r="AT9" s="34" t="str">
        <x:v>sha256:6d673ad42da6498f05755cae67f85f2128bdfd88943c9bdb22e0965f8d4c3182</x:v>
      </x:c>
      <x:c r="AU9" s="34" t="str">
        <x:v>maven:3.9.11-eclipse-temurin-25@sha256:407c4423cec0cf2981055bc2c6c0dc211d9605b6669279b95997f2d1c7e91e2c</x:v>
      </x:c>
      <x:c r="AV9" s="34" t="str">
        <x:v>maven:3.9.11-eclipse-temurin-25@sha256:407c4423cec0cf2981055bc2c6c0dc211d9605b6669279b95997f2d1c7e91e2c</x:v>
      </x:c>
      <x:c r="AW9" s="34" t="str">
        <x:v>sha256:407c4423cec0cf2981055bc2c6c0dc211d9605b6669279b95997f2d1c7e91e2c</x:v>
      </x:c>
      <x:c r="AX9" s="45" t="b">
        <x:v>1</x:v>
      </x:c>
      <x:c r="AY9" s="34" t="str">
        <x:v>sha256:407c4423cec0cf2981055bc2c6c0dc211d9605b6669279b95997f2d1c7e91e2c</x:v>
      </x:c>
      <x:c r="AZ9" s="34" t="str">
        <x:v>4.0.0-SNAPSHOT</x:v>
      </x:c>
      <x:c r="BA9" s="34" t="str">
        <x:v>fb3f101b87709b713468e8d827b8612e6e65f29b</x:v>
      </x:c>
      <x:c r="BB9" s="34" t="str">
        <x:v>cdbbde2db6e49e3c2f44c6caffd6fbefa85fe06e4a383b5d0b53f2747392edae</x:v>
      </x:c>
      <x:c r="BC9" s="34" t="str">
        <x:v>3.2.1</x:v>
      </x:c>
      <x:c r="BD9" s="34" t="str">
        <x:v>12c6fe08223820089f60969b6088e6ac5d358aa872de78357585cdacb6c61049</x:v>
      </x:c>
      <x:c r="BE9" s="34" t="str">
        <x:v>1805b8a170fa5ea5dc1b8ba79328a9c1e83ee1f9b510fe4f427f07dba6f95bc9</x:v>
      </x:c>
      <x:c r="BF9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9" s="34" t="str">
        <x:v>effective-pom.xml</x:v>
      </x:c>
      <x:c r="BH9" s="34" t="str">
        <x:v>0b744edc69da4e049fb2928c5434a331cf225aef38e3bfc5326c536a2f472d50</x:v>
      </x:c>
      <x:c r="BI9" s="43" t="n">
        <x:v>307699</x:v>
      </x:c>
      <x:c r="BJ9" s="34" t="str">
        <x:v>dependency-tree.txt</x:v>
      </x:c>
      <x:c r="BK9" s="34" t="str">
        <x:v>9277aea2be08f606ce4aa1e69c205c6e757280570cfc16abce613bf0a0ccf079</x:v>
      </x:c>
      <x:c r="BL9" s="43" t="n">
        <x:v>4634</x:v>
      </x:c>
      <x:c r="BM9" s="34" t="str">
        <x:v>build-provenance.properties</x:v>
      </x:c>
      <x:c r="BN9" s="34" t="str">
        <x:v>560565500c374b553afc554badb4427f7ae79b50a847971eb93f2b9b35c53317</x:v>
      </x:c>
      <x:c r="BO9" s="43" t="n">
        <x:v>189</x:v>
      </x:c>
      <x:c r="BP9" s="45" t="b">
        <x:v>1</x:v>
      </x:c>
      <x:c r="BQ9" s="44"/>
      <x:c r="BR9" s="36" t="n">
        <x:v>5</x:v>
      </x:c>
      <x:c r="BS9" s="36" t="n">
        <x:v>0</x:v>
      </x:c>
      <x:c r="BT9" s="36" t="n">
        <x:v>0</x:v>
      </x:c>
      <x:c r="BU9" s="36" t="n">
        <x:v>0</x:v>
      </x:c>
      <x:c r="BV9" s="34"/>
      <x:c r="BW9" s="34"/>
      <x:c r="BX9" s="34"/>
      <x:c r="BY9" s="43"/>
    </x:row>
    <x:row r="10">
      <x:c r="A10" s="34" t="str">
        <x:v>article1-unified-v4-2-fb3f101b-20260903-000401-default-f02-p3-caffeine</x:v>
      </x:c>
      <x:c r="B10" s="34" t="str">
        <x:v>default</x:v>
      </x:c>
      <x:c r="C10" s="34" t="str">
        <x:v>caffeine</x:v>
      </x:c>
      <x:c r="D10" s="34" t="str">
        <x:v>caffeine</x:v>
      </x:c>
      <x:c r="E10" s="34" t="str">
        <x:v>current-provider-primary-comparison</x:v>
      </x:c>
      <x:c r="F10" s="36" t="n">
        <x:v>2</x:v>
      </x:c>
      <x:c r="G10" s="36" t="n">
        <x:v>2</x:v>
      </x:c>
      <x:c r="H10" s="36" t="n">
        <x:v>3</x:v>
      </x:c>
      <x:c r="I10" s="36" t="n">
        <x:v>2</x:v>
      </x:c>
      <x:c r="J10" s="38" t="n">
        <x:v>46267.96881505787</x:v>
      </x:c>
      <x:c r="K10" s="38" t="n">
        <x:v>46267.974267997684</x:v>
      </x:c>
      <x:c r="L10" s="40" t="n">
        <x:f>IF(OR(J10="",K10=""),"",(K10-J10)*'Readme-Protocol'!$B$31)</x:f>
        <x:v>471.13399968948215</x:v>
      </x:c>
      <x:c r="M10" s="34" t="str">
        <x:v>77e47113fccd12325b52180a108f8831586f5dfd09608f34c53856c5f2a0e538</x:v>
      </x:c>
      <x:c r="N10" s="34" t="str">
        <x:v>sha256:968b00243361bf927f9e7c869f896ff64c87584edb860fd6b1465d54a1735581</x:v>
      </x:c>
      <x:c r="O10" s="34" t="str">
        <x:v>testcache-benchmark:v4</x:v>
      </x:c>
      <x:c r="P10" s="38" t="n">
        <x:v>46267.96860961805</x:v>
      </x:c>
      <x:c r="Q10" s="42" t="n">
        <x:v>4</x:v>
      </x:c>
      <x:c r="R10" s="34" t="str">
        <x:v>AMD Ryzen 7 PRO 7840U w/ Radeon 780M Graphics</x:v>
      </x:c>
      <x:c r="S10" s="36" t="n">
        <x:v>16</x:v>
      </x:c>
      <x:c r="T10" s="43" t="n">
        <x:v>1610612736</x:v>
      </x:c>
      <x:c r="U10" s="40" t="n">
        <x:f>IF(T10="","",T10/'Readme-Protocol'!$B$26)</x:f>
        <x:v>1536</x:v>
      </x:c>
      <x:c r="V10" s="34" t="str">
        <x:v>Ubuntu 24.04.4 LTS</x:v>
      </x:c>
      <x:c r="W10" s="44" t="str">
        <x:v>Linux 77e47113fccd 6.18.33.2-microsoft-standard-WSL2 #1 SMP PREEMPT_DYNAMIC Thu Jun 18 21:54:43 UTC 2026 x86_64 x86_64 x86_64 GNU/Linux</x:v>
      </x:c>
      <x:c r="X10" s="34" t="str">
        <x:v>29.7.2</x:v>
      </x:c>
      <x:c r="Y10" s="34" t="str">
        <x:v>Docker Desktop</x:v>
      </x:c>
      <x:c r="Z10" s="34" t="str">
        <x:v>6.18.33.2-microsoft-standard-WSL2</x:v>
      </x:c>
      <x:c r="AA10" s="34" t="str">
        <x:v>x86_64</x:v>
      </x:c>
      <x:c r="AB10" s="34" t="str">
        <x:v>docker-desktop</x:v>
      </x:c>
      <x:c r="AC10" s="34" t="str">
        <x:v>Apache Tomcat/11.0.24</x:v>
      </x:c>
      <x:c r="AD10" s="34" t="str">
        <x:v>Linux</x:v>
      </x:c>
      <x:c r="AE10" s="34" t="str">
        <x:v>6.18.33.2-microsoft-standard-WSL2</x:v>
      </x:c>
      <x:c r="AF10" s="34" t="str">
        <x:v>amd64</x:v>
      </x:c>
      <x:c r="AG10" s="34" t="str">
        <x:v>25.0.3+9-LTS</x:v>
      </x:c>
      <x:c r="AH10" s="34" t="str">
        <x:v>Eclipse Adoptium</x:v>
      </x:c>
      <x:c r="AI10" s="44" t="str">
        <x:v>'-Xms256m -Xmx768m -XX:+UseG1GC -XX:NativeMemoryTracking=summary -Djava.awt.headless=true</x:v>
      </x:c>
      <x:c r="AJ10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0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0" s="34"/>
      <x:c r="AM10" s="34" t="str">
        <x:v>3.2.4</x:v>
      </x:c>
      <x:c r="AN10" s="44" t="str">
        <x:v>Protocollo v4.2; verificabile nell'effective POM quando presente nell'archivio</x:v>
      </x:c>
      <x:c r="AO10" s="34" t="str">
        <x:v>fb3f101b87709b713468e8d827b8612e6e65f29b</x:v>
      </x:c>
      <x:c r="AP10" s="34" t="str">
        <x:v>tomcat:11.0.24-jdk25-temurin-noble@sha256:6d673ad42da6498f05755cae67f85f2128bdfd88943c9bdb22e0965f8d4c3182</x:v>
      </x:c>
      <x:c r="AQ10" s="34" t="str">
        <x:v>tomcat:11.0.24-jdk25-temurin-noble@sha256:6d673ad42da6498f05755cae67f85f2128bdfd88943c9bdb22e0965f8d4c3182</x:v>
      </x:c>
      <x:c r="AR10" s="34" t="str">
        <x:v>sha256:6d673ad42da6498f05755cae67f85f2128bdfd88943c9bdb22e0965f8d4c3182</x:v>
      </x:c>
      <x:c r="AS10" s="45" t="b">
        <x:v>1</x:v>
      </x:c>
      <x:c r="AT10" s="34" t="str">
        <x:v>sha256:6d673ad42da6498f05755cae67f85f2128bdfd88943c9bdb22e0965f8d4c3182</x:v>
      </x:c>
      <x:c r="AU10" s="34" t="str">
        <x:v>maven:3.9.11-eclipse-temurin-25@sha256:407c4423cec0cf2981055bc2c6c0dc211d9605b6669279b95997f2d1c7e91e2c</x:v>
      </x:c>
      <x:c r="AV10" s="34" t="str">
        <x:v>maven:3.9.11-eclipse-temurin-25@sha256:407c4423cec0cf2981055bc2c6c0dc211d9605b6669279b95997f2d1c7e91e2c</x:v>
      </x:c>
      <x:c r="AW10" s="34" t="str">
        <x:v>sha256:407c4423cec0cf2981055bc2c6c0dc211d9605b6669279b95997f2d1c7e91e2c</x:v>
      </x:c>
      <x:c r="AX10" s="45" t="b">
        <x:v>1</x:v>
      </x:c>
      <x:c r="AY10" s="34" t="str">
        <x:v>sha256:407c4423cec0cf2981055bc2c6c0dc211d9605b6669279b95997f2d1c7e91e2c</x:v>
      </x:c>
      <x:c r="AZ10" s="34" t="str">
        <x:v>4.0.0-SNAPSHOT</x:v>
      </x:c>
      <x:c r="BA10" s="34" t="str">
        <x:v>fb3f101b87709b713468e8d827b8612e6e65f29b</x:v>
      </x:c>
      <x:c r="BB10" s="34" t="str">
        <x:v>cdbbde2db6e49e3c2f44c6caffd6fbefa85fe06e4a383b5d0b53f2747392edae</x:v>
      </x:c>
      <x:c r="BC10" s="34" t="str">
        <x:v>3.2.1</x:v>
      </x:c>
      <x:c r="BD10" s="34" t="str">
        <x:v>12c6fe08223820089f60969b6088e6ac5d358aa872de78357585cdacb6c61049</x:v>
      </x:c>
      <x:c r="BE10" s="34" t="str">
        <x:v>1805b8a170fa5ea5dc1b8ba79328a9c1e83ee1f9b510fe4f427f07dba6f95bc9</x:v>
      </x:c>
      <x:c r="BF10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0" s="34" t="str">
        <x:v>effective-pom.xml</x:v>
      </x:c>
      <x:c r="BH10" s="34" t="str">
        <x:v>0b744edc69da4e049fb2928c5434a331cf225aef38e3bfc5326c536a2f472d50</x:v>
      </x:c>
      <x:c r="BI10" s="43" t="n">
        <x:v>307699</x:v>
      </x:c>
      <x:c r="BJ10" s="34" t="str">
        <x:v>dependency-tree.txt</x:v>
      </x:c>
      <x:c r="BK10" s="34" t="str">
        <x:v>9277aea2be08f606ce4aa1e69c205c6e757280570cfc16abce613bf0a0ccf079</x:v>
      </x:c>
      <x:c r="BL10" s="43" t="n">
        <x:v>4634</x:v>
      </x:c>
      <x:c r="BM10" s="34" t="str">
        <x:v>build-provenance.properties</x:v>
      </x:c>
      <x:c r="BN10" s="34" t="str">
        <x:v>560565500c374b553afc554badb4427f7ae79b50a847971eb93f2b9b35c53317</x:v>
      </x:c>
      <x:c r="BO10" s="43" t="n">
        <x:v>189</x:v>
      </x:c>
      <x:c r="BP10" s="45" t="b">
        <x:v>1</x:v>
      </x:c>
      <x:c r="BQ10" s="44"/>
      <x:c r="BR10" s="36" t="n">
        <x:v>5</x:v>
      </x:c>
      <x:c r="BS10" s="36" t="n">
        <x:v>0</x:v>
      </x:c>
      <x:c r="BT10" s="36" t="n">
        <x:v>0</x:v>
      </x:c>
      <x:c r="BU10" s="36" t="n">
        <x:v>0</x:v>
      </x:c>
      <x:c r="BV10" s="34"/>
      <x:c r="BW10" s="34"/>
      <x:c r="BX10" s="34"/>
      <x:c r="BY10" s="43"/>
    </x:row>
    <x:row r="11">
      <x:c r="A11" s="34" t="str">
        <x:v>article1-unified-v4-2-fb3f101b-20260903-000401-default-f02-p4-jcs4</x:v>
      </x:c>
      <x:c r="B11" s="34" t="str">
        <x:v>default</x:v>
      </x:c>
      <x:c r="C11" s="34" t="str">
        <x:v>jcs4</x:v>
      </x:c>
      <x:c r="D11" s="34" t="str">
        <x:v>jcs4</x:v>
      </x:c>
      <x:c r="E11" s="34" t="str">
        <x:v>current-provider-primary-comparison</x:v>
      </x:c>
      <x:c r="F11" s="36" t="n">
        <x:v>2</x:v>
      </x:c>
      <x:c r="G11" s="36" t="n">
        <x:v>2</x:v>
      </x:c>
      <x:c r="H11" s="36" t="n">
        <x:v>4</x:v>
      </x:c>
      <x:c r="I11" s="36" t="n">
        <x:v>2</x:v>
      </x:c>
      <x:c r="J11" s="38" t="n">
        <x:v>46267.974489409724</x:v>
      </x:c>
      <x:c r="K11" s="38" t="n">
        <x:v>46267.979920729165</x:v>
      </x:c>
      <x:c r="L11" s="40" t="n">
        <x:f>IF(OR(J11="",K11=""),"",(K11-J11)*'Readme-Protocol'!$B$31)</x:f>
        <x:v>469.265999738127</x:v>
      </x:c>
      <x:c r="M11" s="34" t="str">
        <x:v>0ebcac7b3daf7650700e1b2347972143956e20d03284c3010d24613c716768e5</x:v>
      </x:c>
      <x:c r="N11" s="34" t="str">
        <x:v>sha256:968b00243361bf927f9e7c869f896ff64c87584edb860fd6b1465d54a1735581</x:v>
      </x:c>
      <x:c r="O11" s="34" t="str">
        <x:v>testcache-benchmark:v4</x:v>
      </x:c>
      <x:c r="P11" s="38" t="n">
        <x:v>46267.97428550926</x:v>
      </x:c>
      <x:c r="Q11" s="42" t="n">
        <x:v>4</x:v>
      </x:c>
      <x:c r="R11" s="34" t="str">
        <x:v>AMD Ryzen 7 PRO 7840U w/ Radeon 780M Graphics</x:v>
      </x:c>
      <x:c r="S11" s="36" t="n">
        <x:v>16</x:v>
      </x:c>
      <x:c r="T11" s="43" t="n">
        <x:v>1610612736</x:v>
      </x:c>
      <x:c r="U11" s="40" t="n">
        <x:f>IF(T11="","",T11/'Readme-Protocol'!$B$26)</x:f>
        <x:v>1536</x:v>
      </x:c>
      <x:c r="V11" s="34" t="str">
        <x:v>Ubuntu 24.04.4 LTS</x:v>
      </x:c>
      <x:c r="W11" s="44" t="str">
        <x:v>Linux 0ebcac7b3daf 6.18.33.2-microsoft-standard-WSL2 #1 SMP PREEMPT_DYNAMIC Thu Jun 18 21:54:43 UTC 2026 x86_64 x86_64 x86_64 GNU/Linux</x:v>
      </x:c>
      <x:c r="X11" s="34" t="str">
        <x:v>29.7.2</x:v>
      </x:c>
      <x:c r="Y11" s="34" t="str">
        <x:v>Docker Desktop</x:v>
      </x:c>
      <x:c r="Z11" s="34" t="str">
        <x:v>6.18.33.2-microsoft-standard-WSL2</x:v>
      </x:c>
      <x:c r="AA11" s="34" t="str">
        <x:v>x86_64</x:v>
      </x:c>
      <x:c r="AB11" s="34" t="str">
        <x:v>docker-desktop</x:v>
      </x:c>
      <x:c r="AC11" s="34" t="str">
        <x:v>Apache Tomcat/11.0.24</x:v>
      </x:c>
      <x:c r="AD11" s="34" t="str">
        <x:v>Linux</x:v>
      </x:c>
      <x:c r="AE11" s="34" t="str">
        <x:v>6.18.33.2-microsoft-standard-WSL2</x:v>
      </x:c>
      <x:c r="AF11" s="34" t="str">
        <x:v>amd64</x:v>
      </x:c>
      <x:c r="AG11" s="34" t="str">
        <x:v>25.0.3+9-LTS</x:v>
      </x:c>
      <x:c r="AH11" s="34" t="str">
        <x:v>Eclipse Adoptium</x:v>
      </x:c>
      <x:c r="AI11" s="44" t="str">
        <x:v>'-Xms256m -Xmx768m -XX:+UseG1GC -XX:NativeMemoryTracking=summary -Djava.awt.headless=true</x:v>
      </x:c>
      <x:c r="AJ11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1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1" s="34" t="str">
        <x:v>4.0.0-SNAPSHOT</x:v>
      </x:c>
      <x:c r="AM11" s="34" t="str">
        <x:v>4.0.0-SNAPSHOT</x:v>
      </x:c>
      <x:c r="AN11" s="44" t="str">
        <x:v>Protocollo v4.2; valore runtime in environment.jcs4Version</x:v>
      </x:c>
      <x:c r="AO11" s="34" t="str">
        <x:v>fb3f101b87709b713468e8d827b8612e6e65f29b</x:v>
      </x:c>
      <x:c r="AP11" s="34" t="str">
        <x:v>tomcat:11.0.24-jdk25-temurin-noble@sha256:6d673ad42da6498f05755cae67f85f2128bdfd88943c9bdb22e0965f8d4c3182</x:v>
      </x:c>
      <x:c r="AQ11" s="34" t="str">
        <x:v>tomcat:11.0.24-jdk25-temurin-noble@sha256:6d673ad42da6498f05755cae67f85f2128bdfd88943c9bdb22e0965f8d4c3182</x:v>
      </x:c>
      <x:c r="AR11" s="34" t="str">
        <x:v>sha256:6d673ad42da6498f05755cae67f85f2128bdfd88943c9bdb22e0965f8d4c3182</x:v>
      </x:c>
      <x:c r="AS11" s="45" t="b">
        <x:v>1</x:v>
      </x:c>
      <x:c r="AT11" s="34" t="str">
        <x:v>sha256:6d673ad42da6498f05755cae67f85f2128bdfd88943c9bdb22e0965f8d4c3182</x:v>
      </x:c>
      <x:c r="AU11" s="34" t="str">
        <x:v>maven:3.9.11-eclipse-temurin-25@sha256:407c4423cec0cf2981055bc2c6c0dc211d9605b6669279b95997f2d1c7e91e2c</x:v>
      </x:c>
      <x:c r="AV11" s="34" t="str">
        <x:v>maven:3.9.11-eclipse-temurin-25@sha256:407c4423cec0cf2981055bc2c6c0dc211d9605b6669279b95997f2d1c7e91e2c</x:v>
      </x:c>
      <x:c r="AW11" s="34" t="str">
        <x:v>sha256:407c4423cec0cf2981055bc2c6c0dc211d9605b6669279b95997f2d1c7e91e2c</x:v>
      </x:c>
      <x:c r="AX11" s="45" t="b">
        <x:v>1</x:v>
      </x:c>
      <x:c r="AY11" s="34" t="str">
        <x:v>sha256:407c4423cec0cf2981055bc2c6c0dc211d9605b6669279b95997f2d1c7e91e2c</x:v>
      </x:c>
      <x:c r="AZ11" s="34" t="str">
        <x:v>4.0.0-SNAPSHOT</x:v>
      </x:c>
      <x:c r="BA11" s="34" t="str">
        <x:v>fb3f101b87709b713468e8d827b8612e6e65f29b</x:v>
      </x:c>
      <x:c r="BB11" s="34" t="str">
        <x:v>cdbbde2db6e49e3c2f44c6caffd6fbefa85fe06e4a383b5d0b53f2747392edae</x:v>
      </x:c>
      <x:c r="BC11" s="34" t="str">
        <x:v>3.2.1</x:v>
      </x:c>
      <x:c r="BD11" s="34" t="str">
        <x:v>12c6fe08223820089f60969b6088e6ac5d358aa872de78357585cdacb6c61049</x:v>
      </x:c>
      <x:c r="BE11" s="34" t="str">
        <x:v>1805b8a170fa5ea5dc1b8ba79328a9c1e83ee1f9b510fe4f427f07dba6f95bc9</x:v>
      </x:c>
      <x:c r="BF11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1" s="34" t="str">
        <x:v>effective-pom.xml</x:v>
      </x:c>
      <x:c r="BH11" s="34" t="str">
        <x:v>0b744edc69da4e049fb2928c5434a331cf225aef38e3bfc5326c536a2f472d50</x:v>
      </x:c>
      <x:c r="BI11" s="43" t="n">
        <x:v>307699</x:v>
      </x:c>
      <x:c r="BJ11" s="34" t="str">
        <x:v>dependency-tree.txt</x:v>
      </x:c>
      <x:c r="BK11" s="34" t="str">
        <x:v>9277aea2be08f606ce4aa1e69c205c6e757280570cfc16abce613bf0a0ccf079</x:v>
      </x:c>
      <x:c r="BL11" s="43" t="n">
        <x:v>4634</x:v>
      </x:c>
      <x:c r="BM11" s="34" t="str">
        <x:v>build-provenance.properties</x:v>
      </x:c>
      <x:c r="BN11" s="34" t="str">
        <x:v>560565500c374b553afc554badb4427f7ae79b50a847971eb93f2b9b35c53317</x:v>
      </x:c>
      <x:c r="BO11" s="43" t="n">
        <x:v>189</x:v>
      </x:c>
      <x:c r="BP11" s="45" t="b">
        <x:v>1</x:v>
      </x:c>
      <x:c r="BQ11" s="44"/>
      <x:c r="BR11" s="36" t="n">
        <x:v>5</x:v>
      </x:c>
      <x:c r="BS11" s="36" t="n">
        <x:v>20</x:v>
      </x:c>
      <x:c r="BT11" s="36" t="n">
        <x:v>0</x:v>
      </x:c>
      <x:c r="BU11" s="36" t="n">
        <x:v>0</x:v>
      </x:c>
      <x:c r="BV11" s="34" t="str">
        <x:v>jcs</x:v>
      </x:c>
      <x:c r="BW11" s="34" t="str">
        <x:v>article1-unified-v4-2-fb3f101b-20260903-000401-default-f02-p4-jcs4-final.hprof</x:v>
      </x:c>
      <x:c r="BX11" s="34" t="str">
        <x:v>7cf9c962df1eadd3fc5561d69a6144e38ac83e7b2697f801574b8c2cb3685329</x:v>
      </x:c>
      <x:c r="BY11" s="43" t="n">
        <x:v>31360453</x:v>
      </x:c>
    </x:row>
    <x:row r="12">
      <x:c r="A12" s="34" t="str">
        <x:v>article1-unified-v4-2-fb3f101b-20260903-000401-default-f02-p5-nostore</x:v>
      </x:c>
      <x:c r="B12" s="34" t="str">
        <x:v>default</x:v>
      </x:c>
      <x:c r="C12" s="34" t="str">
        <x:v>nostore</x:v>
      </x:c>
      <x:c r="D12" s="34" t="str">
        <x:v>nostore</x:v>
      </x:c>
      <x:c r="E12" s="34" t="str">
        <x:v>lifecycle-negative-control</x:v>
      </x:c>
      <x:c r="F12" s="36" t="n">
        <x:v>2</x:v>
      </x:c>
      <x:c r="G12" s="36" t="n">
        <x:v>2</x:v>
      </x:c>
      <x:c r="H12" s="36" t="n">
        <x:v>5</x:v>
      </x:c>
      <x:c r="I12" s="36" t="n">
        <x:v>2</x:v>
      </x:c>
      <x:c r="J12" s="38" t="n">
        <x:v>46267.980145381945</x:v>
      </x:c>
      <x:c r="K12" s="38" t="n">
        <x:v>46267.985548125</x:v>
      </x:c>
      <x:c r="L12" s="40" t="n">
        <x:f>IF(OR(J12="",K12=""),"",(K12-J12)*'Readme-Protocol'!$B$31)</x:f>
        <x:v>466.7969997273758</x:v>
      </x:c>
      <x:c r="M12" s="34" t="str">
        <x:v>6bda9aaf22ccd586584d0ba5fcd83bc1929c27fbbd332a7049be97382a35bc07</x:v>
      </x:c>
      <x:c r="N12" s="34" t="str">
        <x:v>sha256:968b00243361bf927f9e7c869f896ff64c87584edb860fd6b1465d54a1735581</x:v>
      </x:c>
      <x:c r="O12" s="34" t="str">
        <x:v>testcache-benchmark:v4</x:v>
      </x:c>
      <x:c r="P12" s="38" t="n">
        <x:v>46267.97994012731</x:v>
      </x:c>
      <x:c r="Q12" s="42" t="n">
        <x:v>4</x:v>
      </x:c>
      <x:c r="R12" s="34" t="str">
        <x:v>AMD Ryzen 7 PRO 7840U w/ Radeon 780M Graphics</x:v>
      </x:c>
      <x:c r="S12" s="36" t="n">
        <x:v>16</x:v>
      </x:c>
      <x:c r="T12" s="43" t="n">
        <x:v>1610612736</x:v>
      </x:c>
      <x:c r="U12" s="40" t="n">
        <x:f>IF(T12="","",T12/'Readme-Protocol'!$B$26)</x:f>
        <x:v>1536</x:v>
      </x:c>
      <x:c r="V12" s="34" t="str">
        <x:v>Ubuntu 24.04.4 LTS</x:v>
      </x:c>
      <x:c r="W12" s="44" t="str">
        <x:v>Linux 6bda9aaf22cc 6.18.33.2-microsoft-standard-WSL2 #1 SMP PREEMPT_DYNAMIC Thu Jun 18 21:54:43 UTC 2026 x86_64 x86_64 x86_64 GNU/Linux</x:v>
      </x:c>
      <x:c r="X12" s="34" t="str">
        <x:v>29.7.2</x:v>
      </x:c>
      <x:c r="Y12" s="34" t="str">
        <x:v>Docker Desktop</x:v>
      </x:c>
      <x:c r="Z12" s="34" t="str">
        <x:v>6.18.33.2-microsoft-standard-WSL2</x:v>
      </x:c>
      <x:c r="AA12" s="34" t="str">
        <x:v>x86_64</x:v>
      </x:c>
      <x:c r="AB12" s="34" t="str">
        <x:v>docker-desktop</x:v>
      </x:c>
      <x:c r="AC12" s="34" t="str">
        <x:v>Apache Tomcat/11.0.24</x:v>
      </x:c>
      <x:c r="AD12" s="34" t="str">
        <x:v>Linux</x:v>
      </x:c>
      <x:c r="AE12" s="34" t="str">
        <x:v>6.18.33.2-microsoft-standard-WSL2</x:v>
      </x:c>
      <x:c r="AF12" s="34" t="str">
        <x:v>amd64</x:v>
      </x:c>
      <x:c r="AG12" s="34" t="str">
        <x:v>25.0.3+9-LTS</x:v>
      </x:c>
      <x:c r="AH12" s="34" t="str">
        <x:v>Eclipse Adoptium</x:v>
      </x:c>
      <x:c r="AI12" s="44" t="str">
        <x:v>'-Xms256m -Xmx768m -XX:+UseG1GC -XX:NativeMemoryTracking=summary -Djava.awt.headless=true</x:v>
      </x:c>
      <x:c r="AJ12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2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2" s="34"/>
      <x:c r="AM12" s="34"/>
      <x:c r="AN12" s="44" t="str">
        <x:v>Non applicabile: controllo senza motore di cache</x:v>
      </x:c>
      <x:c r="AO12" s="34" t="str">
        <x:v>fb3f101b87709b713468e8d827b8612e6e65f29b</x:v>
      </x:c>
      <x:c r="AP12" s="34" t="str">
        <x:v>tomcat:11.0.24-jdk25-temurin-noble@sha256:6d673ad42da6498f05755cae67f85f2128bdfd88943c9bdb22e0965f8d4c3182</x:v>
      </x:c>
      <x:c r="AQ12" s="34" t="str">
        <x:v>tomcat:11.0.24-jdk25-temurin-noble@sha256:6d673ad42da6498f05755cae67f85f2128bdfd88943c9bdb22e0965f8d4c3182</x:v>
      </x:c>
      <x:c r="AR12" s="34" t="str">
        <x:v>sha256:6d673ad42da6498f05755cae67f85f2128bdfd88943c9bdb22e0965f8d4c3182</x:v>
      </x:c>
      <x:c r="AS12" s="45" t="b">
        <x:v>1</x:v>
      </x:c>
      <x:c r="AT12" s="34" t="str">
        <x:v>sha256:6d673ad42da6498f05755cae67f85f2128bdfd88943c9bdb22e0965f8d4c3182</x:v>
      </x:c>
      <x:c r="AU12" s="34" t="str">
        <x:v>maven:3.9.11-eclipse-temurin-25@sha256:407c4423cec0cf2981055bc2c6c0dc211d9605b6669279b95997f2d1c7e91e2c</x:v>
      </x:c>
      <x:c r="AV12" s="34" t="str">
        <x:v>maven:3.9.11-eclipse-temurin-25@sha256:407c4423cec0cf2981055bc2c6c0dc211d9605b6669279b95997f2d1c7e91e2c</x:v>
      </x:c>
      <x:c r="AW12" s="34" t="str">
        <x:v>sha256:407c4423cec0cf2981055bc2c6c0dc211d9605b6669279b95997f2d1c7e91e2c</x:v>
      </x:c>
      <x:c r="AX12" s="45" t="b">
        <x:v>1</x:v>
      </x:c>
      <x:c r="AY12" s="34" t="str">
        <x:v>sha256:407c4423cec0cf2981055bc2c6c0dc211d9605b6669279b95997f2d1c7e91e2c</x:v>
      </x:c>
      <x:c r="AZ12" s="34" t="str">
        <x:v>4.0.0-SNAPSHOT</x:v>
      </x:c>
      <x:c r="BA12" s="34" t="str">
        <x:v>fb3f101b87709b713468e8d827b8612e6e65f29b</x:v>
      </x:c>
      <x:c r="BB12" s="34" t="str">
        <x:v>cdbbde2db6e49e3c2f44c6caffd6fbefa85fe06e4a383b5d0b53f2747392edae</x:v>
      </x:c>
      <x:c r="BC12" s="34" t="str">
        <x:v>3.2.1</x:v>
      </x:c>
      <x:c r="BD12" s="34" t="str">
        <x:v>12c6fe08223820089f60969b6088e6ac5d358aa872de78357585cdacb6c61049</x:v>
      </x:c>
      <x:c r="BE12" s="34" t="str">
        <x:v>1805b8a170fa5ea5dc1b8ba79328a9c1e83ee1f9b510fe4f427f07dba6f95bc9</x:v>
      </x:c>
      <x:c r="BF12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2" s="34" t="str">
        <x:v>effective-pom.xml</x:v>
      </x:c>
      <x:c r="BH12" s="34" t="str">
        <x:v>0b744edc69da4e049fb2928c5434a331cf225aef38e3bfc5326c536a2f472d50</x:v>
      </x:c>
      <x:c r="BI12" s="43" t="n">
        <x:v>307699</x:v>
      </x:c>
      <x:c r="BJ12" s="34" t="str">
        <x:v>dependency-tree.txt</x:v>
      </x:c>
      <x:c r="BK12" s="34" t="str">
        <x:v>9277aea2be08f606ce4aa1e69c205c6e757280570cfc16abce613bf0a0ccf079</x:v>
      </x:c>
      <x:c r="BL12" s="43" t="n">
        <x:v>4634</x:v>
      </x:c>
      <x:c r="BM12" s="34" t="str">
        <x:v>build-provenance.properties</x:v>
      </x:c>
      <x:c r="BN12" s="34" t="str">
        <x:v>560565500c374b553afc554badb4427f7ae79b50a847971eb93f2b9b35c53317</x:v>
      </x:c>
      <x:c r="BO12" s="43" t="n">
        <x:v>189</x:v>
      </x:c>
      <x:c r="BP12" s="45" t="b">
        <x:v>1</x:v>
      </x:c>
      <x:c r="BQ12" s="44"/>
      <x:c r="BR12" s="36" t="n">
        <x:v>5</x:v>
      </x:c>
      <x:c r="BS12" s="36" t="n">
        <x:v>0</x:v>
      </x:c>
      <x:c r="BT12" s="36" t="n">
        <x:v>0</x:v>
      </x:c>
      <x:c r="BU12" s="36" t="n">
        <x:v>0</x:v>
      </x:c>
      <x:c r="BV12" s="34"/>
      <x:c r="BW12" s="34"/>
      <x:c r="BX12" s="34"/>
      <x:c r="BY12" s="43"/>
    </x:row>
    <x:row r="13">
      <x:c r="A13" s="34" t="str">
        <x:v>article1-unified-v4-2-fb3f101b-20260903-000401-default-f02-p6-jcs321</x:v>
      </x:c>
      <x:c r="B13" s="34" t="str">
        <x:v>default</x:v>
      </x:c>
      <x:c r="C13" s="34" t="str">
        <x:v>jcs321</x:v>
      </x:c>
      <x:c r="D13" s="34" t="str">
        <x:v>jcs321</x:v>
      </x:c>
      <x:c r="E13" s="34" t="str">
        <x:v>JCS-248-positive-control</x:v>
      </x:c>
      <x:c r="F13" s="36" t="n">
        <x:v>2</x:v>
      </x:c>
      <x:c r="G13" s="36" t="n">
        <x:v>2</x:v>
      </x:c>
      <x:c r="H13" s="36" t="n">
        <x:v>6</x:v>
      </x:c>
      <x:c r="I13" s="36" t="n">
        <x:v>2</x:v>
      </x:c>
      <x:c r="J13" s="38" t="n">
        <x:v>46267.98577252315</x:v>
      </x:c>
      <x:c r="K13" s="38" t="n">
        <x:v>46267.99119407407</x:v>
      </x:c>
      <x:c r="L13" s="40" t="n">
        <x:f>IF(OR(J13="",K13=""),"",(K13-J13)*'Readme-Protocol'!$B$31)</x:f>
        <x:v>468.4219997143373</x:v>
      </x:c>
      <x:c r="M13" s="34" t="str">
        <x:v>b5e100187a710240439e951f54dc3b21fde129dab4bc000adcda0734acedbb24</x:v>
      </x:c>
      <x:c r="N13" s="34" t="str">
        <x:v>sha256:968b00243361bf927f9e7c869f896ff64c87584edb860fd6b1465d54a1735581</x:v>
      </x:c>
      <x:c r="O13" s="34" t="str">
        <x:v>testcache-benchmark:v4</x:v>
      </x:c>
      <x:c r="P13" s="38" t="n">
        <x:v>46267.98556232639</x:v>
      </x:c>
      <x:c r="Q13" s="42" t="n">
        <x:v>4</x:v>
      </x:c>
      <x:c r="R13" s="34" t="str">
        <x:v>AMD Ryzen 7 PRO 7840U w/ Radeon 780M Graphics</x:v>
      </x:c>
      <x:c r="S13" s="36" t="n">
        <x:v>16</x:v>
      </x:c>
      <x:c r="T13" s="43" t="n">
        <x:v>1610612736</x:v>
      </x:c>
      <x:c r="U13" s="40" t="n">
        <x:f>IF(T13="","",T13/'Readme-Protocol'!$B$26)</x:f>
        <x:v>1536</x:v>
      </x:c>
      <x:c r="V13" s="34" t="str">
        <x:v>Ubuntu 24.04.4 LTS</x:v>
      </x:c>
      <x:c r="W13" s="44" t="str">
        <x:v>Linux b5e100187a71 6.18.33.2-microsoft-standard-WSL2 #1 SMP PREEMPT_DYNAMIC Thu Jun 18 21:54:43 UTC 2026 x86_64 x86_64 x86_64 GNU/Linux</x:v>
      </x:c>
      <x:c r="X13" s="34" t="str">
        <x:v>29.7.2</x:v>
      </x:c>
      <x:c r="Y13" s="34" t="str">
        <x:v>Docker Desktop</x:v>
      </x:c>
      <x:c r="Z13" s="34" t="str">
        <x:v>6.18.33.2-microsoft-standard-WSL2</x:v>
      </x:c>
      <x:c r="AA13" s="34" t="str">
        <x:v>x86_64</x:v>
      </x:c>
      <x:c r="AB13" s="34" t="str">
        <x:v>docker-desktop</x:v>
      </x:c>
      <x:c r="AC13" s="34" t="str">
        <x:v>Apache Tomcat/11.0.24</x:v>
      </x:c>
      <x:c r="AD13" s="34" t="str">
        <x:v>Linux</x:v>
      </x:c>
      <x:c r="AE13" s="34" t="str">
        <x:v>6.18.33.2-microsoft-standard-WSL2</x:v>
      </x:c>
      <x:c r="AF13" s="34" t="str">
        <x:v>amd64</x:v>
      </x:c>
      <x:c r="AG13" s="34" t="str">
        <x:v>25.0.3+9-LTS</x:v>
      </x:c>
      <x:c r="AH13" s="34" t="str">
        <x:v>Eclipse Adoptium</x:v>
      </x:c>
      <x:c r="AI13" s="44" t="str">
        <x:v>'-Xms256m -Xmx768m -XX:+UseG1GC -XX:NativeMemoryTracking=summary -Djava.awt.headless=true</x:v>
      </x:c>
      <x:c r="AJ13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3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3" s="34" t="str">
        <x:v>3.2.1</x:v>
      </x:c>
      <x:c r="AM13" s="34" t="str">
        <x:v>3.2.1</x:v>
      </x:c>
      <x:c r="AN13" s="44" t="str">
        <x:v>Protocollo v4.2; valore runtime in environment.jcs321Version</x:v>
      </x:c>
      <x:c r="AO13" s="34" t="str">
        <x:v>fb3f101b87709b713468e8d827b8612e6e65f29b</x:v>
      </x:c>
      <x:c r="AP13" s="34" t="str">
        <x:v>tomcat:11.0.24-jdk25-temurin-noble@sha256:6d673ad42da6498f05755cae67f85f2128bdfd88943c9bdb22e0965f8d4c3182</x:v>
      </x:c>
      <x:c r="AQ13" s="34" t="str">
        <x:v>tomcat:11.0.24-jdk25-temurin-noble@sha256:6d673ad42da6498f05755cae67f85f2128bdfd88943c9bdb22e0965f8d4c3182</x:v>
      </x:c>
      <x:c r="AR13" s="34" t="str">
        <x:v>sha256:6d673ad42da6498f05755cae67f85f2128bdfd88943c9bdb22e0965f8d4c3182</x:v>
      </x:c>
      <x:c r="AS13" s="45" t="b">
        <x:v>1</x:v>
      </x:c>
      <x:c r="AT13" s="34" t="str">
        <x:v>sha256:6d673ad42da6498f05755cae67f85f2128bdfd88943c9bdb22e0965f8d4c3182</x:v>
      </x:c>
      <x:c r="AU13" s="34" t="str">
        <x:v>maven:3.9.11-eclipse-temurin-25@sha256:407c4423cec0cf2981055bc2c6c0dc211d9605b6669279b95997f2d1c7e91e2c</x:v>
      </x:c>
      <x:c r="AV13" s="34" t="str">
        <x:v>maven:3.9.11-eclipse-temurin-25@sha256:407c4423cec0cf2981055bc2c6c0dc211d9605b6669279b95997f2d1c7e91e2c</x:v>
      </x:c>
      <x:c r="AW13" s="34" t="str">
        <x:v>sha256:407c4423cec0cf2981055bc2c6c0dc211d9605b6669279b95997f2d1c7e91e2c</x:v>
      </x:c>
      <x:c r="AX13" s="45" t="b">
        <x:v>1</x:v>
      </x:c>
      <x:c r="AY13" s="34" t="str">
        <x:v>sha256:407c4423cec0cf2981055bc2c6c0dc211d9605b6669279b95997f2d1c7e91e2c</x:v>
      </x:c>
      <x:c r="AZ13" s="34" t="str">
        <x:v>4.0.0-SNAPSHOT</x:v>
      </x:c>
      <x:c r="BA13" s="34" t="str">
        <x:v>fb3f101b87709b713468e8d827b8612e6e65f29b</x:v>
      </x:c>
      <x:c r="BB13" s="34" t="str">
        <x:v>cdbbde2db6e49e3c2f44c6caffd6fbefa85fe06e4a383b5d0b53f2747392edae</x:v>
      </x:c>
      <x:c r="BC13" s="34" t="str">
        <x:v>3.2.1</x:v>
      </x:c>
      <x:c r="BD13" s="34" t="str">
        <x:v>12c6fe08223820089f60969b6088e6ac5d358aa872de78357585cdacb6c61049</x:v>
      </x:c>
      <x:c r="BE13" s="34" t="str">
        <x:v>1805b8a170fa5ea5dc1b8ba79328a9c1e83ee1f9b510fe4f427f07dba6f95bc9</x:v>
      </x:c>
      <x:c r="BF13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3" s="34" t="str">
        <x:v>effective-pom.xml</x:v>
      </x:c>
      <x:c r="BH13" s="34" t="str">
        <x:v>0b744edc69da4e049fb2928c5434a331cf225aef38e3bfc5326c536a2f472d50</x:v>
      </x:c>
      <x:c r="BI13" s="43" t="n">
        <x:v>307699</x:v>
      </x:c>
      <x:c r="BJ13" s="34" t="str">
        <x:v>dependency-tree.txt</x:v>
      </x:c>
      <x:c r="BK13" s="34" t="str">
        <x:v>9277aea2be08f606ce4aa1e69c205c6e757280570cfc16abce613bf0a0ccf079</x:v>
      </x:c>
      <x:c r="BL13" s="43" t="n">
        <x:v>4634</x:v>
      </x:c>
      <x:c r="BM13" s="34" t="str">
        <x:v>build-provenance.properties</x:v>
      </x:c>
      <x:c r="BN13" s="34" t="str">
        <x:v>560565500c374b553afc554badb4427f7ae79b50a847971eb93f2b9b35c53317</x:v>
      </x:c>
      <x:c r="BO13" s="43" t="n">
        <x:v>189</x:v>
      </x:c>
      <x:c r="BP13" s="45" t="b">
        <x:v>1</x:v>
      </x:c>
      <x:c r="BQ13" s="44"/>
      <x:c r="BR13" s="36" t="n">
        <x:v>5</x:v>
      </x:c>
      <x:c r="BS13" s="36" t="n">
        <x:v>20</x:v>
      </x:c>
      <x:c r="BT13" s="36" t="n">
        <x:v>10</x:v>
      </x:c>
      <x:c r="BU13" s="36" t="n">
        <x:v>10</x:v>
      </x:c>
      <x:c r="BV13" s="34" t="str">
        <x:v>jcs</x:v>
      </x:c>
      <x:c r="BW13" s="34" t="str">
        <x:v>article1-unified-v4-2-fb3f101b-20260903-000401-default-f02-p6-jcs321-final.hprof</x:v>
      </x:c>
      <x:c r="BX13" s="34" t="str">
        <x:v>ad9ef90ca106ffc04499b08d4873e0ec2712f0ff46e256962dc86675cfd84d16</x:v>
      </x:c>
      <x:c r="BY13" s="43" t="n">
        <x:v>89063407</x:v>
      </x:c>
    </x:row>
    <x:row r="14">
      <x:c r="A14" s="34" t="str">
        <x:v>article1-unified-v4-2-fb3f101b-20260903-000401-default-f03-p1-cache2k</x:v>
      </x:c>
      <x:c r="B14" s="34" t="str">
        <x:v>default</x:v>
      </x:c>
      <x:c r="C14" s="34" t="str">
        <x:v>cache2k</x:v>
      </x:c>
      <x:c r="D14" s="34" t="str">
        <x:v>cache2k</x:v>
      </x:c>
      <x:c r="E14" s="34" t="str">
        <x:v>current-provider-primary-comparison</x:v>
      </x:c>
      <x:c r="F14" s="36" t="n">
        <x:v>3</x:v>
      </x:c>
      <x:c r="G14" s="36" t="n">
        <x:v>3</x:v>
      </x:c>
      <x:c r="H14" s="36" t="n">
        <x:v>1</x:v>
      </x:c>
      <x:c r="I14" s="36" t="n">
        <x:v>3</x:v>
      </x:c>
      <x:c r="J14" s="38" t="n">
        <x:v>46267.991418819445</x:v>
      </x:c>
      <x:c r="K14" s="38" t="n">
        <x:v>46267.99681511574</x:v>
      </x:c>
      <x:c r="L14" s="40" t="n">
        <x:f>IF(OR(J14="",K14=""),"",(K14-J14)*'Readme-Protocol'!$B$31)</x:f>
        <x:v>466.23999963048846</x:v>
      </x:c>
      <x:c r="M14" s="34" t="str">
        <x:v>fbe79036e1d2903412caa15e743d427f213581689381b8be0e1a5f5d43e34f9f</x:v>
      </x:c>
      <x:c r="N14" s="34" t="str">
        <x:v>sha256:968b00243361bf927f9e7c869f896ff64c87584edb860fd6b1465d54a1735581</x:v>
      </x:c>
      <x:c r="O14" s="34" t="str">
        <x:v>testcache-benchmark:v4</x:v>
      </x:c>
      <x:c r="P14" s="38" t="n">
        <x:v>46267.9912096412</x:v>
      </x:c>
      <x:c r="Q14" s="42" t="n">
        <x:v>4</x:v>
      </x:c>
      <x:c r="R14" s="34" t="str">
        <x:v>AMD Ryzen 7 PRO 7840U w/ Radeon 780M Graphics</x:v>
      </x:c>
      <x:c r="S14" s="36" t="n">
        <x:v>16</x:v>
      </x:c>
      <x:c r="T14" s="43" t="n">
        <x:v>1610612736</x:v>
      </x:c>
      <x:c r="U14" s="40" t="n">
        <x:f>IF(T14="","",T14/'Readme-Protocol'!$B$26)</x:f>
        <x:v>1536</x:v>
      </x:c>
      <x:c r="V14" s="34" t="str">
        <x:v>Ubuntu 24.04.4 LTS</x:v>
      </x:c>
      <x:c r="W14" s="44" t="str">
        <x:v>Linux fbe79036e1d2 6.18.33.2-microsoft-standard-WSL2 #1 SMP PREEMPT_DYNAMIC Thu Jun 18 21:54:43 UTC 2026 x86_64 x86_64 x86_64 GNU/Linux</x:v>
      </x:c>
      <x:c r="X14" s="34" t="str">
        <x:v>29.7.2</x:v>
      </x:c>
      <x:c r="Y14" s="34" t="str">
        <x:v>Docker Desktop</x:v>
      </x:c>
      <x:c r="Z14" s="34" t="str">
        <x:v>6.18.33.2-microsoft-standard-WSL2</x:v>
      </x:c>
      <x:c r="AA14" s="34" t="str">
        <x:v>x86_64</x:v>
      </x:c>
      <x:c r="AB14" s="34" t="str">
        <x:v>docker-desktop</x:v>
      </x:c>
      <x:c r="AC14" s="34" t="str">
        <x:v>Apache Tomcat/11.0.24</x:v>
      </x:c>
      <x:c r="AD14" s="34" t="str">
        <x:v>Linux</x:v>
      </x:c>
      <x:c r="AE14" s="34" t="str">
        <x:v>6.18.33.2-microsoft-standard-WSL2</x:v>
      </x:c>
      <x:c r="AF14" s="34" t="str">
        <x:v>amd64</x:v>
      </x:c>
      <x:c r="AG14" s="34" t="str">
        <x:v>25.0.3+9-LTS</x:v>
      </x:c>
      <x:c r="AH14" s="34" t="str">
        <x:v>Eclipse Adoptium</x:v>
      </x:c>
      <x:c r="AI14" s="44" t="str">
        <x:v>'-Xms256m -Xmx768m -XX:+UseG1GC -XX:NativeMemoryTracking=summary -Djava.awt.headless=true</x:v>
      </x:c>
      <x:c r="AJ14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4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4" s="34"/>
      <x:c r="AM14" s="34" t="str">
        <x:v>2.6.1.Final</x:v>
      </x:c>
      <x:c r="AN14" s="44" t="str">
        <x:v>Protocollo v4.2; verificabile nell'effective POM quando presente nell'archivio</x:v>
      </x:c>
      <x:c r="AO14" s="34" t="str">
        <x:v>fb3f101b87709b713468e8d827b8612e6e65f29b</x:v>
      </x:c>
      <x:c r="AP14" s="34" t="str">
        <x:v>tomcat:11.0.24-jdk25-temurin-noble@sha256:6d673ad42da6498f05755cae67f85f2128bdfd88943c9bdb22e0965f8d4c3182</x:v>
      </x:c>
      <x:c r="AQ14" s="34" t="str">
        <x:v>tomcat:11.0.24-jdk25-temurin-noble@sha256:6d673ad42da6498f05755cae67f85f2128bdfd88943c9bdb22e0965f8d4c3182</x:v>
      </x:c>
      <x:c r="AR14" s="34" t="str">
        <x:v>sha256:6d673ad42da6498f05755cae67f85f2128bdfd88943c9bdb22e0965f8d4c3182</x:v>
      </x:c>
      <x:c r="AS14" s="45" t="b">
        <x:v>1</x:v>
      </x:c>
      <x:c r="AT14" s="34" t="str">
        <x:v>sha256:6d673ad42da6498f05755cae67f85f2128bdfd88943c9bdb22e0965f8d4c3182</x:v>
      </x:c>
      <x:c r="AU14" s="34" t="str">
        <x:v>maven:3.9.11-eclipse-temurin-25@sha256:407c4423cec0cf2981055bc2c6c0dc211d9605b6669279b95997f2d1c7e91e2c</x:v>
      </x:c>
      <x:c r="AV14" s="34" t="str">
        <x:v>maven:3.9.11-eclipse-temurin-25@sha256:407c4423cec0cf2981055bc2c6c0dc211d9605b6669279b95997f2d1c7e91e2c</x:v>
      </x:c>
      <x:c r="AW14" s="34" t="str">
        <x:v>sha256:407c4423cec0cf2981055bc2c6c0dc211d9605b6669279b95997f2d1c7e91e2c</x:v>
      </x:c>
      <x:c r="AX14" s="45" t="b">
        <x:v>1</x:v>
      </x:c>
      <x:c r="AY14" s="34" t="str">
        <x:v>sha256:407c4423cec0cf2981055bc2c6c0dc211d9605b6669279b95997f2d1c7e91e2c</x:v>
      </x:c>
      <x:c r="AZ14" s="34" t="str">
        <x:v>4.0.0-SNAPSHOT</x:v>
      </x:c>
      <x:c r="BA14" s="34" t="str">
        <x:v>fb3f101b87709b713468e8d827b8612e6e65f29b</x:v>
      </x:c>
      <x:c r="BB14" s="34" t="str">
        <x:v>cdbbde2db6e49e3c2f44c6caffd6fbefa85fe06e4a383b5d0b53f2747392edae</x:v>
      </x:c>
      <x:c r="BC14" s="34" t="str">
        <x:v>3.2.1</x:v>
      </x:c>
      <x:c r="BD14" s="34" t="str">
        <x:v>12c6fe08223820089f60969b6088e6ac5d358aa872de78357585cdacb6c61049</x:v>
      </x:c>
      <x:c r="BE14" s="34" t="str">
        <x:v>1805b8a170fa5ea5dc1b8ba79328a9c1e83ee1f9b510fe4f427f07dba6f95bc9</x:v>
      </x:c>
      <x:c r="BF14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4" s="34" t="str">
        <x:v>effective-pom.xml</x:v>
      </x:c>
      <x:c r="BH14" s="34" t="str">
        <x:v>0b744edc69da4e049fb2928c5434a331cf225aef38e3bfc5326c536a2f472d50</x:v>
      </x:c>
      <x:c r="BI14" s="43" t="n">
        <x:v>307699</x:v>
      </x:c>
      <x:c r="BJ14" s="34" t="str">
        <x:v>dependency-tree.txt</x:v>
      </x:c>
      <x:c r="BK14" s="34" t="str">
        <x:v>9277aea2be08f606ce4aa1e69c205c6e757280570cfc16abce613bf0a0ccf079</x:v>
      </x:c>
      <x:c r="BL14" s="43" t="n">
        <x:v>4634</x:v>
      </x:c>
      <x:c r="BM14" s="34" t="str">
        <x:v>build-provenance.properties</x:v>
      </x:c>
      <x:c r="BN14" s="34" t="str">
        <x:v>560565500c374b553afc554badb4427f7ae79b50a847971eb93f2b9b35c53317</x:v>
      </x:c>
      <x:c r="BO14" s="43" t="n">
        <x:v>189</x:v>
      </x:c>
      <x:c r="BP14" s="45" t="b">
        <x:v>1</x:v>
      </x:c>
      <x:c r="BQ14" s="44"/>
      <x:c r="BR14" s="36" t="n">
        <x:v>5</x:v>
      </x:c>
      <x:c r="BS14" s="36" t="n">
        <x:v>0</x:v>
      </x:c>
      <x:c r="BT14" s="36" t="n">
        <x:v>0</x:v>
      </x:c>
      <x:c r="BU14" s="36" t="n">
        <x:v>0</x:v>
      </x:c>
      <x:c r="BV14" s="34"/>
      <x:c r="BW14" s="34"/>
      <x:c r="BX14" s="34"/>
      <x:c r="BY14" s="43"/>
    </x:row>
    <x:row r="15">
      <x:c r="A15" s="34" t="str">
        <x:v>article1-unified-v4-2-fb3f101b-20260903-000401-default-f03-p2-jcs4</x:v>
      </x:c>
      <x:c r="B15" s="34" t="str">
        <x:v>default</x:v>
      </x:c>
      <x:c r="C15" s="34" t="str">
        <x:v>jcs4</x:v>
      </x:c>
      <x:c r="D15" s="34" t="str">
        <x:v>jcs4</x:v>
      </x:c>
      <x:c r="E15" s="34" t="str">
        <x:v>current-provider-primary-comparison</x:v>
      </x:c>
      <x:c r="F15" s="36" t="n">
        <x:v>3</x:v>
      </x:c>
      <x:c r="G15" s="36" t="n">
        <x:v>3</x:v>
      </x:c>
      <x:c r="H15" s="36" t="n">
        <x:v>2</x:v>
      </x:c>
      <x:c r="I15" s="36" t="n">
        <x:v>3</x:v>
      </x:c>
      <x:c r="J15" s="38" t="n">
        <x:v>46267.9970374537</x:v>
      </x:c>
      <x:c r="K15" s="38" t="n">
        <x:v>46268.002391469905</x:v>
      </x:c>
      <x:c r="L15" s="40" t="n">
        <x:f>IF(OR(J15="",K15=""),"",(K15-J15)*'Readme-Protocol'!$B$31)</x:f>
        <x:v>462.58700005710125</x:v>
      </x:c>
      <x:c r="M15" s="34" t="str">
        <x:v>3a0b354489ba8d0eb284c5db798319f062828635874e57f4a6c74d9409c9bd06</x:v>
      </x:c>
      <x:c r="N15" s="34" t="str">
        <x:v>sha256:968b00243361bf927f9e7c869f896ff64c87584edb860fd6b1465d54a1735581</x:v>
      </x:c>
      <x:c r="O15" s="34" t="str">
        <x:v>testcache-benchmark:v4</x:v>
      </x:c>
      <x:c r="P15" s="38" t="n">
        <x:v>46267.99683340278</x:v>
      </x:c>
      <x:c r="Q15" s="42" t="n">
        <x:v>4</x:v>
      </x:c>
      <x:c r="R15" s="34" t="str">
        <x:v>AMD Ryzen 7 PRO 7840U w/ Radeon 780M Graphics</x:v>
      </x:c>
      <x:c r="S15" s="36" t="n">
        <x:v>16</x:v>
      </x:c>
      <x:c r="T15" s="43" t="n">
        <x:v>1610612736</x:v>
      </x:c>
      <x:c r="U15" s="40" t="n">
        <x:f>IF(T15="","",T15/'Readme-Protocol'!$B$26)</x:f>
        <x:v>1536</x:v>
      </x:c>
      <x:c r="V15" s="34" t="str">
        <x:v>Ubuntu 24.04.4 LTS</x:v>
      </x:c>
      <x:c r="W15" s="44" t="str">
        <x:v>Linux 3a0b354489ba 6.18.33.2-microsoft-standard-WSL2 #1 SMP PREEMPT_DYNAMIC Thu Jun 18 21:54:43 UTC 2026 x86_64 x86_64 x86_64 GNU/Linux</x:v>
      </x:c>
      <x:c r="X15" s="34" t="str">
        <x:v>29.7.2</x:v>
      </x:c>
      <x:c r="Y15" s="34" t="str">
        <x:v>Docker Desktop</x:v>
      </x:c>
      <x:c r="Z15" s="34" t="str">
        <x:v>6.18.33.2-microsoft-standard-WSL2</x:v>
      </x:c>
      <x:c r="AA15" s="34" t="str">
        <x:v>x86_64</x:v>
      </x:c>
      <x:c r="AB15" s="34" t="str">
        <x:v>docker-desktop</x:v>
      </x:c>
      <x:c r="AC15" s="34" t="str">
        <x:v>Apache Tomcat/11.0.24</x:v>
      </x:c>
      <x:c r="AD15" s="34" t="str">
        <x:v>Linux</x:v>
      </x:c>
      <x:c r="AE15" s="34" t="str">
        <x:v>6.18.33.2-microsoft-standard-WSL2</x:v>
      </x:c>
      <x:c r="AF15" s="34" t="str">
        <x:v>amd64</x:v>
      </x:c>
      <x:c r="AG15" s="34" t="str">
        <x:v>25.0.3+9-LTS</x:v>
      </x:c>
      <x:c r="AH15" s="34" t="str">
        <x:v>Eclipse Adoptium</x:v>
      </x:c>
      <x:c r="AI15" s="44" t="str">
        <x:v>'-Xms256m -Xmx768m -XX:+UseG1GC -XX:NativeMemoryTracking=summary -Djava.awt.headless=true</x:v>
      </x:c>
      <x:c r="AJ15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5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5" s="34" t="str">
        <x:v>4.0.0-SNAPSHOT</x:v>
      </x:c>
      <x:c r="AM15" s="34" t="str">
        <x:v>4.0.0-SNAPSHOT</x:v>
      </x:c>
      <x:c r="AN15" s="44" t="str">
        <x:v>Protocollo v4.2; valore runtime in environment.jcs4Version</x:v>
      </x:c>
      <x:c r="AO15" s="34" t="str">
        <x:v>fb3f101b87709b713468e8d827b8612e6e65f29b</x:v>
      </x:c>
      <x:c r="AP15" s="34" t="str">
        <x:v>tomcat:11.0.24-jdk25-temurin-noble@sha256:6d673ad42da6498f05755cae67f85f2128bdfd88943c9bdb22e0965f8d4c3182</x:v>
      </x:c>
      <x:c r="AQ15" s="34" t="str">
        <x:v>tomcat:11.0.24-jdk25-temurin-noble@sha256:6d673ad42da6498f05755cae67f85f2128bdfd88943c9bdb22e0965f8d4c3182</x:v>
      </x:c>
      <x:c r="AR15" s="34" t="str">
        <x:v>sha256:6d673ad42da6498f05755cae67f85f2128bdfd88943c9bdb22e0965f8d4c3182</x:v>
      </x:c>
      <x:c r="AS15" s="45" t="b">
        <x:v>1</x:v>
      </x:c>
      <x:c r="AT15" s="34" t="str">
        <x:v>sha256:6d673ad42da6498f05755cae67f85f2128bdfd88943c9bdb22e0965f8d4c3182</x:v>
      </x:c>
      <x:c r="AU15" s="34" t="str">
        <x:v>maven:3.9.11-eclipse-temurin-25@sha256:407c4423cec0cf2981055bc2c6c0dc211d9605b6669279b95997f2d1c7e91e2c</x:v>
      </x:c>
      <x:c r="AV15" s="34" t="str">
        <x:v>maven:3.9.11-eclipse-temurin-25@sha256:407c4423cec0cf2981055bc2c6c0dc211d9605b6669279b95997f2d1c7e91e2c</x:v>
      </x:c>
      <x:c r="AW15" s="34" t="str">
        <x:v>sha256:407c4423cec0cf2981055bc2c6c0dc211d9605b6669279b95997f2d1c7e91e2c</x:v>
      </x:c>
      <x:c r="AX15" s="45" t="b">
        <x:v>1</x:v>
      </x:c>
      <x:c r="AY15" s="34" t="str">
        <x:v>sha256:407c4423cec0cf2981055bc2c6c0dc211d9605b6669279b95997f2d1c7e91e2c</x:v>
      </x:c>
      <x:c r="AZ15" s="34" t="str">
        <x:v>4.0.0-SNAPSHOT</x:v>
      </x:c>
      <x:c r="BA15" s="34" t="str">
        <x:v>fb3f101b87709b713468e8d827b8612e6e65f29b</x:v>
      </x:c>
      <x:c r="BB15" s="34" t="str">
        <x:v>cdbbde2db6e49e3c2f44c6caffd6fbefa85fe06e4a383b5d0b53f2747392edae</x:v>
      </x:c>
      <x:c r="BC15" s="34" t="str">
        <x:v>3.2.1</x:v>
      </x:c>
      <x:c r="BD15" s="34" t="str">
        <x:v>12c6fe08223820089f60969b6088e6ac5d358aa872de78357585cdacb6c61049</x:v>
      </x:c>
      <x:c r="BE15" s="34" t="str">
        <x:v>1805b8a170fa5ea5dc1b8ba79328a9c1e83ee1f9b510fe4f427f07dba6f95bc9</x:v>
      </x:c>
      <x:c r="BF15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5" s="34" t="str">
        <x:v>effective-pom.xml</x:v>
      </x:c>
      <x:c r="BH15" s="34" t="str">
        <x:v>0b744edc69da4e049fb2928c5434a331cf225aef38e3bfc5326c536a2f472d50</x:v>
      </x:c>
      <x:c r="BI15" s="43" t="n">
        <x:v>307699</x:v>
      </x:c>
      <x:c r="BJ15" s="34" t="str">
        <x:v>dependency-tree.txt</x:v>
      </x:c>
      <x:c r="BK15" s="34" t="str">
        <x:v>9277aea2be08f606ce4aa1e69c205c6e757280570cfc16abce613bf0a0ccf079</x:v>
      </x:c>
      <x:c r="BL15" s="43" t="n">
        <x:v>4634</x:v>
      </x:c>
      <x:c r="BM15" s="34" t="str">
        <x:v>build-provenance.properties</x:v>
      </x:c>
      <x:c r="BN15" s="34" t="str">
        <x:v>560565500c374b553afc554badb4427f7ae79b50a847971eb93f2b9b35c53317</x:v>
      </x:c>
      <x:c r="BO15" s="43" t="n">
        <x:v>189</x:v>
      </x:c>
      <x:c r="BP15" s="45" t="b">
        <x:v>1</x:v>
      </x:c>
      <x:c r="BQ15" s="44"/>
      <x:c r="BR15" s="36" t="n">
        <x:v>5</x:v>
      </x:c>
      <x:c r="BS15" s="36" t="n">
        <x:v>20</x:v>
      </x:c>
      <x:c r="BT15" s="36" t="n">
        <x:v>0</x:v>
      </x:c>
      <x:c r="BU15" s="36" t="n">
        <x:v>0</x:v>
      </x:c>
      <x:c r="BV15" s="34" t="str">
        <x:v>jcs</x:v>
      </x:c>
      <x:c r="BW15" s="34" t="str">
        <x:v>article1-unified-v4-2-fb3f101b-20260903-000401-default-f03-p2-jcs4-final.hprof</x:v>
      </x:c>
      <x:c r="BX15" s="34" t="str">
        <x:v>0e12e374d336ea8edbbb774a6e4489c243091005f205ac60e22b2b5cdbeedb68</x:v>
      </x:c>
      <x:c r="BY15" s="43" t="n">
        <x:v>31222825</x:v>
      </x:c>
    </x:row>
    <x:row r="16">
      <x:c r="A16" s="34" t="str">
        <x:v>article1-unified-v4-2-fb3f101b-20260903-000401-default-f03-p3-ehcache</x:v>
      </x:c>
      <x:c r="B16" s="34" t="str">
        <x:v>default</x:v>
      </x:c>
      <x:c r="C16" s="34" t="str">
        <x:v>ehcache</x:v>
      </x:c>
      <x:c r="D16" s="34" t="str">
        <x:v>ehcache</x:v>
      </x:c>
      <x:c r="E16" s="34" t="str">
        <x:v>current-provider-primary-comparison</x:v>
      </x:c>
      <x:c r="F16" s="36" t="n">
        <x:v>3</x:v>
      </x:c>
      <x:c r="G16" s="36" t="n">
        <x:v>3</x:v>
      </x:c>
      <x:c r="H16" s="36" t="n">
        <x:v>3</x:v>
      </x:c>
      <x:c r="I16" s="36" t="n">
        <x:v>3</x:v>
      </x:c>
      <x:c r="J16" s="38" t="n">
        <x:v>46268.00260836806</x:v>
      </x:c>
      <x:c r="K16" s="38" t="n">
        <x:v>46268.007976064815</x:v>
      </x:c>
      <x:c r="L16" s="40" t="n">
        <x:f>IF(OR(J16="",K16=""),"",(K16-J16)*'Readme-Protocol'!$B$31)</x:f>
        <x:v>463.7689999071881</x:v>
      </x:c>
      <x:c r="M16" s="34" t="str">
        <x:v>7b82ad4a9e8c67fbfa07c0e4e41ed1365275d39dc43526740fbc8baecfccb5b9</x:v>
      </x:c>
      <x:c r="N16" s="34" t="str">
        <x:v>sha256:968b00243361bf927f9e7c869f896ff64c87584edb860fd6b1465d54a1735581</x:v>
      </x:c>
      <x:c r="O16" s="34" t="str">
        <x:v>testcache-benchmark:v4</x:v>
      </x:c>
      <x:c r="P16" s="38" t="n">
        <x:v>46268.00240613426</x:v>
      </x:c>
      <x:c r="Q16" s="42" t="n">
        <x:v>4</x:v>
      </x:c>
      <x:c r="R16" s="34" t="str">
        <x:v>AMD Ryzen 7 PRO 7840U w/ Radeon 780M Graphics</x:v>
      </x:c>
      <x:c r="S16" s="36" t="n">
        <x:v>16</x:v>
      </x:c>
      <x:c r="T16" s="43" t="n">
        <x:v>1610612736</x:v>
      </x:c>
      <x:c r="U16" s="40" t="n">
        <x:f>IF(T16="","",T16/'Readme-Protocol'!$B$26)</x:f>
        <x:v>1536</x:v>
      </x:c>
      <x:c r="V16" s="34" t="str">
        <x:v>Ubuntu 24.04.4 LTS</x:v>
      </x:c>
      <x:c r="W16" s="44" t="str">
        <x:v>Linux 7b82ad4a9e8c 6.18.33.2-microsoft-standard-WSL2 #1 SMP PREEMPT_DYNAMIC Thu Jun 18 21:54:43 UTC 2026 x86_64 x86_64 x86_64 GNU/Linux</x:v>
      </x:c>
      <x:c r="X16" s="34" t="str">
        <x:v>29.7.2</x:v>
      </x:c>
      <x:c r="Y16" s="34" t="str">
        <x:v>Docker Desktop</x:v>
      </x:c>
      <x:c r="Z16" s="34" t="str">
        <x:v>6.18.33.2-microsoft-standard-WSL2</x:v>
      </x:c>
      <x:c r="AA16" s="34" t="str">
        <x:v>x86_64</x:v>
      </x:c>
      <x:c r="AB16" s="34" t="str">
        <x:v>docker-desktop</x:v>
      </x:c>
      <x:c r="AC16" s="34" t="str">
        <x:v>Apache Tomcat/11.0.24</x:v>
      </x:c>
      <x:c r="AD16" s="34" t="str">
        <x:v>Linux</x:v>
      </x:c>
      <x:c r="AE16" s="34" t="str">
        <x:v>6.18.33.2-microsoft-standard-WSL2</x:v>
      </x:c>
      <x:c r="AF16" s="34" t="str">
        <x:v>amd64</x:v>
      </x:c>
      <x:c r="AG16" s="34" t="str">
        <x:v>25.0.3+9-LTS</x:v>
      </x:c>
      <x:c r="AH16" s="34" t="str">
        <x:v>Eclipse Adoptium</x:v>
      </x:c>
      <x:c r="AI16" s="44" t="str">
        <x:v>'-Xms256m -Xmx768m -XX:+UseG1GC -XX:NativeMemoryTracking=summary -Djava.awt.headless=true</x:v>
      </x:c>
      <x:c r="AJ16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6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6" s="34"/>
      <x:c r="AM16" s="34" t="str">
        <x:v>3.12.0</x:v>
      </x:c>
      <x:c r="AN16" s="44" t="str">
        <x:v>Protocollo v4.2; verificabile nell'effective POM quando presente nell'archivio</x:v>
      </x:c>
      <x:c r="AO16" s="34" t="str">
        <x:v>fb3f101b87709b713468e8d827b8612e6e65f29b</x:v>
      </x:c>
      <x:c r="AP16" s="34" t="str">
        <x:v>tomcat:11.0.24-jdk25-temurin-noble@sha256:6d673ad42da6498f05755cae67f85f2128bdfd88943c9bdb22e0965f8d4c3182</x:v>
      </x:c>
      <x:c r="AQ16" s="34" t="str">
        <x:v>tomcat:11.0.24-jdk25-temurin-noble@sha256:6d673ad42da6498f05755cae67f85f2128bdfd88943c9bdb22e0965f8d4c3182</x:v>
      </x:c>
      <x:c r="AR16" s="34" t="str">
        <x:v>sha256:6d673ad42da6498f05755cae67f85f2128bdfd88943c9bdb22e0965f8d4c3182</x:v>
      </x:c>
      <x:c r="AS16" s="45" t="b">
        <x:v>1</x:v>
      </x:c>
      <x:c r="AT16" s="34" t="str">
        <x:v>sha256:6d673ad42da6498f05755cae67f85f2128bdfd88943c9bdb22e0965f8d4c3182</x:v>
      </x:c>
      <x:c r="AU16" s="34" t="str">
        <x:v>maven:3.9.11-eclipse-temurin-25@sha256:407c4423cec0cf2981055bc2c6c0dc211d9605b6669279b95997f2d1c7e91e2c</x:v>
      </x:c>
      <x:c r="AV16" s="34" t="str">
        <x:v>maven:3.9.11-eclipse-temurin-25@sha256:407c4423cec0cf2981055bc2c6c0dc211d9605b6669279b95997f2d1c7e91e2c</x:v>
      </x:c>
      <x:c r="AW16" s="34" t="str">
        <x:v>sha256:407c4423cec0cf2981055bc2c6c0dc211d9605b6669279b95997f2d1c7e91e2c</x:v>
      </x:c>
      <x:c r="AX16" s="45" t="b">
        <x:v>1</x:v>
      </x:c>
      <x:c r="AY16" s="34" t="str">
        <x:v>sha256:407c4423cec0cf2981055bc2c6c0dc211d9605b6669279b95997f2d1c7e91e2c</x:v>
      </x:c>
      <x:c r="AZ16" s="34" t="str">
        <x:v>4.0.0-SNAPSHOT</x:v>
      </x:c>
      <x:c r="BA16" s="34" t="str">
        <x:v>fb3f101b87709b713468e8d827b8612e6e65f29b</x:v>
      </x:c>
      <x:c r="BB16" s="34" t="str">
        <x:v>cdbbde2db6e49e3c2f44c6caffd6fbefa85fe06e4a383b5d0b53f2747392edae</x:v>
      </x:c>
      <x:c r="BC16" s="34" t="str">
        <x:v>3.2.1</x:v>
      </x:c>
      <x:c r="BD16" s="34" t="str">
        <x:v>12c6fe08223820089f60969b6088e6ac5d358aa872de78357585cdacb6c61049</x:v>
      </x:c>
      <x:c r="BE16" s="34" t="str">
        <x:v>1805b8a170fa5ea5dc1b8ba79328a9c1e83ee1f9b510fe4f427f07dba6f95bc9</x:v>
      </x:c>
      <x:c r="BF16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6" s="34" t="str">
        <x:v>effective-pom.xml</x:v>
      </x:c>
      <x:c r="BH16" s="34" t="str">
        <x:v>0b744edc69da4e049fb2928c5434a331cf225aef38e3bfc5326c536a2f472d50</x:v>
      </x:c>
      <x:c r="BI16" s="43" t="n">
        <x:v>307699</x:v>
      </x:c>
      <x:c r="BJ16" s="34" t="str">
        <x:v>dependency-tree.txt</x:v>
      </x:c>
      <x:c r="BK16" s="34" t="str">
        <x:v>9277aea2be08f606ce4aa1e69c205c6e757280570cfc16abce613bf0a0ccf079</x:v>
      </x:c>
      <x:c r="BL16" s="43" t="n">
        <x:v>4634</x:v>
      </x:c>
      <x:c r="BM16" s="34" t="str">
        <x:v>build-provenance.properties</x:v>
      </x:c>
      <x:c r="BN16" s="34" t="str">
        <x:v>560565500c374b553afc554badb4427f7ae79b50a847971eb93f2b9b35c53317</x:v>
      </x:c>
      <x:c r="BO16" s="43" t="n">
        <x:v>189</x:v>
      </x:c>
      <x:c r="BP16" s="45" t="b">
        <x:v>1</x:v>
      </x:c>
      <x:c r="BQ16" s="44"/>
      <x:c r="BR16" s="36" t="n">
        <x:v>5</x:v>
      </x:c>
      <x:c r="BS16" s="36" t="n">
        <x:v>4</x:v>
      </x:c>
      <x:c r="BT16" s="36" t="n">
        <x:v>0</x:v>
      </x:c>
      <x:c r="BU16" s="36" t="n">
        <x:v>0</x:v>
      </x:c>
      <x:c r="BV16" s="34"/>
      <x:c r="BW16" s="34"/>
      <x:c r="BX16" s="34"/>
      <x:c r="BY16" s="43"/>
    </x:row>
    <x:row r="17">
      <x:c r="A17" s="34" t="str">
        <x:v>article1-unified-v4-2-fb3f101b-20260903-000401-default-f03-p4-jcs321</x:v>
      </x:c>
      <x:c r="B17" s="34" t="str">
        <x:v>default</x:v>
      </x:c>
      <x:c r="C17" s="34" t="str">
        <x:v>jcs321</x:v>
      </x:c>
      <x:c r="D17" s="34" t="str">
        <x:v>jcs321</x:v>
      </x:c>
      <x:c r="E17" s="34" t="str">
        <x:v>JCS-248-positive-control</x:v>
      </x:c>
      <x:c r="F17" s="36" t="n">
        <x:v>3</x:v>
      </x:c>
      <x:c r="G17" s="36" t="n">
        <x:v>3</x:v>
      </x:c>
      <x:c r="H17" s="36" t="n">
        <x:v>4</x:v>
      </x:c>
      <x:c r="I17" s="36" t="n">
        <x:v>3</x:v>
      </x:c>
      <x:c r="J17" s="38" t="n">
        <x:v>46268.008199606484</x:v>
      </x:c>
      <x:c r="K17" s="38" t="n">
        <x:v>46268.01353553241</x:v>
      </x:c>
      <x:c r="L17" s="40" t="n">
        <x:f>IF(OR(J17="",K17=""),"",(K17-J17)*'Readme-Protocol'!$B$31)</x:f>
        <x:v>461.02399996016175</x:v>
      </x:c>
      <x:c r="M17" s="34" t="str">
        <x:v>43c50bd87bb406d7208eb86583c29ab9289987b9c92e28c4e2c49cb4cb9320a7</x:v>
      </x:c>
      <x:c r="N17" s="34" t="str">
        <x:v>sha256:968b00243361bf927f9e7c869f896ff64c87584edb860fd6b1465d54a1735581</x:v>
      </x:c>
      <x:c r="O17" s="34" t="str">
        <x:v>testcache-benchmark:v4</x:v>
      </x:c>
      <x:c r="P17" s="38" t="n">
        <x:v>46268.00799494213</x:v>
      </x:c>
      <x:c r="Q17" s="42" t="n">
        <x:v>4</x:v>
      </x:c>
      <x:c r="R17" s="34" t="str">
        <x:v>AMD Ryzen 7 PRO 7840U w/ Radeon 780M Graphics</x:v>
      </x:c>
      <x:c r="S17" s="36" t="n">
        <x:v>16</x:v>
      </x:c>
      <x:c r="T17" s="43" t="n">
        <x:v>1610612736</x:v>
      </x:c>
      <x:c r="U17" s="40" t="n">
        <x:f>IF(T17="","",T17/'Readme-Protocol'!$B$26)</x:f>
        <x:v>1536</x:v>
      </x:c>
      <x:c r="V17" s="34" t="str">
        <x:v>Ubuntu 24.04.4 LTS</x:v>
      </x:c>
      <x:c r="W17" s="44" t="str">
        <x:v>Linux 43c50bd87bb4 6.18.33.2-microsoft-standard-WSL2 #1 SMP PREEMPT_DYNAMIC Thu Jun 18 21:54:43 UTC 2026 x86_64 x86_64 x86_64 GNU/Linux</x:v>
      </x:c>
      <x:c r="X17" s="34" t="str">
        <x:v>29.7.2</x:v>
      </x:c>
      <x:c r="Y17" s="34" t="str">
        <x:v>Docker Desktop</x:v>
      </x:c>
      <x:c r="Z17" s="34" t="str">
        <x:v>6.18.33.2-microsoft-standard-WSL2</x:v>
      </x:c>
      <x:c r="AA17" s="34" t="str">
        <x:v>x86_64</x:v>
      </x:c>
      <x:c r="AB17" s="34" t="str">
        <x:v>docker-desktop</x:v>
      </x:c>
      <x:c r="AC17" s="34" t="str">
        <x:v>Apache Tomcat/11.0.24</x:v>
      </x:c>
      <x:c r="AD17" s="34" t="str">
        <x:v>Linux</x:v>
      </x:c>
      <x:c r="AE17" s="34" t="str">
        <x:v>6.18.33.2-microsoft-standard-WSL2</x:v>
      </x:c>
      <x:c r="AF17" s="34" t="str">
        <x:v>amd64</x:v>
      </x:c>
      <x:c r="AG17" s="34" t="str">
        <x:v>25.0.3+9-LTS</x:v>
      </x:c>
      <x:c r="AH17" s="34" t="str">
        <x:v>Eclipse Adoptium</x:v>
      </x:c>
      <x:c r="AI17" s="44" t="str">
        <x:v>'-Xms256m -Xmx768m -XX:+UseG1GC -XX:NativeMemoryTracking=summary -Djava.awt.headless=true</x:v>
      </x:c>
      <x:c r="AJ17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7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7" s="34" t="str">
        <x:v>3.2.1</x:v>
      </x:c>
      <x:c r="AM17" s="34" t="str">
        <x:v>3.2.1</x:v>
      </x:c>
      <x:c r="AN17" s="44" t="str">
        <x:v>Protocollo v4.2; valore runtime in environment.jcs321Version</x:v>
      </x:c>
      <x:c r="AO17" s="34" t="str">
        <x:v>fb3f101b87709b713468e8d827b8612e6e65f29b</x:v>
      </x:c>
      <x:c r="AP17" s="34" t="str">
        <x:v>tomcat:11.0.24-jdk25-temurin-noble@sha256:6d673ad42da6498f05755cae67f85f2128bdfd88943c9bdb22e0965f8d4c3182</x:v>
      </x:c>
      <x:c r="AQ17" s="34" t="str">
        <x:v>tomcat:11.0.24-jdk25-temurin-noble@sha256:6d673ad42da6498f05755cae67f85f2128bdfd88943c9bdb22e0965f8d4c3182</x:v>
      </x:c>
      <x:c r="AR17" s="34" t="str">
        <x:v>sha256:6d673ad42da6498f05755cae67f85f2128bdfd88943c9bdb22e0965f8d4c3182</x:v>
      </x:c>
      <x:c r="AS17" s="45" t="b">
        <x:v>1</x:v>
      </x:c>
      <x:c r="AT17" s="34" t="str">
        <x:v>sha256:6d673ad42da6498f05755cae67f85f2128bdfd88943c9bdb22e0965f8d4c3182</x:v>
      </x:c>
      <x:c r="AU17" s="34" t="str">
        <x:v>maven:3.9.11-eclipse-temurin-25@sha256:407c4423cec0cf2981055bc2c6c0dc211d9605b6669279b95997f2d1c7e91e2c</x:v>
      </x:c>
      <x:c r="AV17" s="34" t="str">
        <x:v>maven:3.9.11-eclipse-temurin-25@sha256:407c4423cec0cf2981055bc2c6c0dc211d9605b6669279b95997f2d1c7e91e2c</x:v>
      </x:c>
      <x:c r="AW17" s="34" t="str">
        <x:v>sha256:407c4423cec0cf2981055bc2c6c0dc211d9605b6669279b95997f2d1c7e91e2c</x:v>
      </x:c>
      <x:c r="AX17" s="45" t="b">
        <x:v>1</x:v>
      </x:c>
      <x:c r="AY17" s="34" t="str">
        <x:v>sha256:407c4423cec0cf2981055bc2c6c0dc211d9605b6669279b95997f2d1c7e91e2c</x:v>
      </x:c>
      <x:c r="AZ17" s="34" t="str">
        <x:v>4.0.0-SNAPSHOT</x:v>
      </x:c>
      <x:c r="BA17" s="34" t="str">
        <x:v>fb3f101b87709b713468e8d827b8612e6e65f29b</x:v>
      </x:c>
      <x:c r="BB17" s="34" t="str">
        <x:v>cdbbde2db6e49e3c2f44c6caffd6fbefa85fe06e4a383b5d0b53f2747392edae</x:v>
      </x:c>
      <x:c r="BC17" s="34" t="str">
        <x:v>3.2.1</x:v>
      </x:c>
      <x:c r="BD17" s="34" t="str">
        <x:v>12c6fe08223820089f60969b6088e6ac5d358aa872de78357585cdacb6c61049</x:v>
      </x:c>
      <x:c r="BE17" s="34" t="str">
        <x:v>1805b8a170fa5ea5dc1b8ba79328a9c1e83ee1f9b510fe4f427f07dba6f95bc9</x:v>
      </x:c>
      <x:c r="BF17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7" s="34" t="str">
        <x:v>effective-pom.xml</x:v>
      </x:c>
      <x:c r="BH17" s="34" t="str">
        <x:v>0b744edc69da4e049fb2928c5434a331cf225aef38e3bfc5326c536a2f472d50</x:v>
      </x:c>
      <x:c r="BI17" s="43" t="n">
        <x:v>307699</x:v>
      </x:c>
      <x:c r="BJ17" s="34" t="str">
        <x:v>dependency-tree.txt</x:v>
      </x:c>
      <x:c r="BK17" s="34" t="str">
        <x:v>9277aea2be08f606ce4aa1e69c205c6e757280570cfc16abce613bf0a0ccf079</x:v>
      </x:c>
      <x:c r="BL17" s="43" t="n">
        <x:v>4634</x:v>
      </x:c>
      <x:c r="BM17" s="34" t="str">
        <x:v>build-provenance.properties</x:v>
      </x:c>
      <x:c r="BN17" s="34" t="str">
        <x:v>560565500c374b553afc554badb4427f7ae79b50a847971eb93f2b9b35c53317</x:v>
      </x:c>
      <x:c r="BO17" s="43" t="n">
        <x:v>189</x:v>
      </x:c>
      <x:c r="BP17" s="45" t="b">
        <x:v>1</x:v>
      </x:c>
      <x:c r="BQ17" s="44"/>
      <x:c r="BR17" s="36" t="n">
        <x:v>5</x:v>
      </x:c>
      <x:c r="BS17" s="36" t="n">
        <x:v>20</x:v>
      </x:c>
      <x:c r="BT17" s="36" t="n">
        <x:v>10</x:v>
      </x:c>
      <x:c r="BU17" s="36" t="n">
        <x:v>10</x:v>
      </x:c>
      <x:c r="BV17" s="34" t="str">
        <x:v>jcs</x:v>
      </x:c>
      <x:c r="BW17" s="34" t="str">
        <x:v>article1-unified-v4-2-fb3f101b-20260903-000401-default-f03-p4-jcs321-final.hprof</x:v>
      </x:c>
      <x:c r="BX17" s="34" t="str">
        <x:v>718b2944edc041ed0aa393a34b9a41d0ff74ee7783e0ac7914b7e44908ad0b01</x:v>
      </x:c>
      <x:c r="BY17" s="43" t="n">
        <x:v>88967872</x:v>
      </x:c>
    </x:row>
    <x:row r="18">
      <x:c r="A18" s="34" t="str">
        <x:v>article1-unified-v4-2-fb3f101b-20260903-000401-default-f03-p5-caffeine</x:v>
      </x:c>
      <x:c r="B18" s="34" t="str">
        <x:v>default</x:v>
      </x:c>
      <x:c r="C18" s="34" t="str">
        <x:v>caffeine</x:v>
      </x:c>
      <x:c r="D18" s="34" t="str">
        <x:v>caffeine</x:v>
      </x:c>
      <x:c r="E18" s="34" t="str">
        <x:v>current-provider-primary-comparison</x:v>
      </x:c>
      <x:c r="F18" s="36" t="n">
        <x:v>3</x:v>
      </x:c>
      <x:c r="G18" s="36" t="n">
        <x:v>3</x:v>
      </x:c>
      <x:c r="H18" s="36" t="n">
        <x:v>5</x:v>
      </x:c>
      <x:c r="I18" s="36" t="n">
        <x:v>3</x:v>
      </x:c>
      <x:c r="J18" s="38" t="n">
        <x:v>46268.01375994213</x:v>
      </x:c>
      <x:c r="K18" s="38" t="n">
        <x:v>46268.01903707176</x:v>
      </x:c>
      <x:c r="L18" s="40" t="n">
        <x:f>IF(OR(J18="",K18=""),"",(K18-J18)*'Readme-Protocol'!$B$31)</x:f>
        <x:v>455.9440002311021</x:v>
      </x:c>
      <x:c r="M18" s="34" t="str">
        <x:v>258852e80ce91a7d14334bf85a5eb7dcc24abee1bc713b29f10cbdddcbe4a82d</x:v>
      </x:c>
      <x:c r="N18" s="34" t="str">
        <x:v>sha256:968b00243361bf927f9e7c869f896ff64c87584edb860fd6b1465d54a1735581</x:v>
      </x:c>
      <x:c r="O18" s="34" t="str">
        <x:v>testcache-benchmark:v4</x:v>
      </x:c>
      <x:c r="P18" s="38" t="n">
        <x:v>46268.01355590278</x:v>
      </x:c>
      <x:c r="Q18" s="42" t="n">
        <x:v>4</x:v>
      </x:c>
      <x:c r="R18" s="34" t="str">
        <x:v>AMD Ryzen 7 PRO 7840U w/ Radeon 780M Graphics</x:v>
      </x:c>
      <x:c r="S18" s="36" t="n">
        <x:v>16</x:v>
      </x:c>
      <x:c r="T18" s="43" t="n">
        <x:v>1610612736</x:v>
      </x:c>
      <x:c r="U18" s="40" t="n">
        <x:f>IF(T18="","",T18/'Readme-Protocol'!$B$26)</x:f>
        <x:v>1536</x:v>
      </x:c>
      <x:c r="V18" s="34" t="str">
        <x:v>Ubuntu 24.04.4 LTS</x:v>
      </x:c>
      <x:c r="W18" s="44" t="str">
        <x:v>Linux 258852e80ce9 6.18.33.2-microsoft-standard-WSL2 #1 SMP PREEMPT_DYNAMIC Thu Jun 18 21:54:43 UTC 2026 x86_64 x86_64 x86_64 GNU/Linux</x:v>
      </x:c>
      <x:c r="X18" s="34" t="str">
        <x:v>29.7.2</x:v>
      </x:c>
      <x:c r="Y18" s="34" t="str">
        <x:v>Docker Desktop</x:v>
      </x:c>
      <x:c r="Z18" s="34" t="str">
        <x:v>6.18.33.2-microsoft-standard-WSL2</x:v>
      </x:c>
      <x:c r="AA18" s="34" t="str">
        <x:v>x86_64</x:v>
      </x:c>
      <x:c r="AB18" s="34" t="str">
        <x:v>docker-desktop</x:v>
      </x:c>
      <x:c r="AC18" s="34" t="str">
        <x:v>Apache Tomcat/11.0.24</x:v>
      </x:c>
      <x:c r="AD18" s="34" t="str">
        <x:v>Linux</x:v>
      </x:c>
      <x:c r="AE18" s="34" t="str">
        <x:v>6.18.33.2-microsoft-standard-WSL2</x:v>
      </x:c>
      <x:c r="AF18" s="34" t="str">
        <x:v>amd64</x:v>
      </x:c>
      <x:c r="AG18" s="34" t="str">
        <x:v>25.0.3+9-LTS</x:v>
      </x:c>
      <x:c r="AH18" s="34" t="str">
        <x:v>Eclipse Adoptium</x:v>
      </x:c>
      <x:c r="AI18" s="44" t="str">
        <x:v>'-Xms256m -Xmx768m -XX:+UseG1GC -XX:NativeMemoryTracking=summary -Djava.awt.headless=true</x:v>
      </x:c>
      <x:c r="AJ18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8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8" s="34"/>
      <x:c r="AM18" s="34" t="str">
        <x:v>3.2.4</x:v>
      </x:c>
      <x:c r="AN18" s="44" t="str">
        <x:v>Protocollo v4.2; verificabile nell'effective POM quando presente nell'archivio</x:v>
      </x:c>
      <x:c r="AO18" s="34" t="str">
        <x:v>fb3f101b87709b713468e8d827b8612e6e65f29b</x:v>
      </x:c>
      <x:c r="AP18" s="34" t="str">
        <x:v>tomcat:11.0.24-jdk25-temurin-noble@sha256:6d673ad42da6498f05755cae67f85f2128bdfd88943c9bdb22e0965f8d4c3182</x:v>
      </x:c>
      <x:c r="AQ18" s="34" t="str">
        <x:v>tomcat:11.0.24-jdk25-temurin-noble@sha256:6d673ad42da6498f05755cae67f85f2128bdfd88943c9bdb22e0965f8d4c3182</x:v>
      </x:c>
      <x:c r="AR18" s="34" t="str">
        <x:v>sha256:6d673ad42da6498f05755cae67f85f2128bdfd88943c9bdb22e0965f8d4c3182</x:v>
      </x:c>
      <x:c r="AS18" s="45" t="b">
        <x:v>1</x:v>
      </x:c>
      <x:c r="AT18" s="34" t="str">
        <x:v>sha256:6d673ad42da6498f05755cae67f85f2128bdfd88943c9bdb22e0965f8d4c3182</x:v>
      </x:c>
      <x:c r="AU18" s="34" t="str">
        <x:v>maven:3.9.11-eclipse-temurin-25@sha256:407c4423cec0cf2981055bc2c6c0dc211d9605b6669279b95997f2d1c7e91e2c</x:v>
      </x:c>
      <x:c r="AV18" s="34" t="str">
        <x:v>maven:3.9.11-eclipse-temurin-25@sha256:407c4423cec0cf2981055bc2c6c0dc211d9605b6669279b95997f2d1c7e91e2c</x:v>
      </x:c>
      <x:c r="AW18" s="34" t="str">
        <x:v>sha256:407c4423cec0cf2981055bc2c6c0dc211d9605b6669279b95997f2d1c7e91e2c</x:v>
      </x:c>
      <x:c r="AX18" s="45" t="b">
        <x:v>1</x:v>
      </x:c>
      <x:c r="AY18" s="34" t="str">
        <x:v>sha256:407c4423cec0cf2981055bc2c6c0dc211d9605b6669279b95997f2d1c7e91e2c</x:v>
      </x:c>
      <x:c r="AZ18" s="34" t="str">
        <x:v>4.0.0-SNAPSHOT</x:v>
      </x:c>
      <x:c r="BA18" s="34" t="str">
        <x:v>fb3f101b87709b713468e8d827b8612e6e65f29b</x:v>
      </x:c>
      <x:c r="BB18" s="34" t="str">
        <x:v>cdbbde2db6e49e3c2f44c6caffd6fbefa85fe06e4a383b5d0b53f2747392edae</x:v>
      </x:c>
      <x:c r="BC18" s="34" t="str">
        <x:v>3.2.1</x:v>
      </x:c>
      <x:c r="BD18" s="34" t="str">
        <x:v>12c6fe08223820089f60969b6088e6ac5d358aa872de78357585cdacb6c61049</x:v>
      </x:c>
      <x:c r="BE18" s="34" t="str">
        <x:v>1805b8a170fa5ea5dc1b8ba79328a9c1e83ee1f9b510fe4f427f07dba6f95bc9</x:v>
      </x:c>
      <x:c r="BF18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8" s="34" t="str">
        <x:v>effective-pom.xml</x:v>
      </x:c>
      <x:c r="BH18" s="34" t="str">
        <x:v>0b744edc69da4e049fb2928c5434a331cf225aef38e3bfc5326c536a2f472d50</x:v>
      </x:c>
      <x:c r="BI18" s="43" t="n">
        <x:v>307699</x:v>
      </x:c>
      <x:c r="BJ18" s="34" t="str">
        <x:v>dependency-tree.txt</x:v>
      </x:c>
      <x:c r="BK18" s="34" t="str">
        <x:v>9277aea2be08f606ce4aa1e69c205c6e757280570cfc16abce613bf0a0ccf079</x:v>
      </x:c>
      <x:c r="BL18" s="43" t="n">
        <x:v>4634</x:v>
      </x:c>
      <x:c r="BM18" s="34" t="str">
        <x:v>build-provenance.properties</x:v>
      </x:c>
      <x:c r="BN18" s="34" t="str">
        <x:v>560565500c374b553afc554badb4427f7ae79b50a847971eb93f2b9b35c53317</x:v>
      </x:c>
      <x:c r="BO18" s="43" t="n">
        <x:v>189</x:v>
      </x:c>
      <x:c r="BP18" s="45" t="b">
        <x:v>1</x:v>
      </x:c>
      <x:c r="BQ18" s="44"/>
      <x:c r="BR18" s="36" t="n">
        <x:v>5</x:v>
      </x:c>
      <x:c r="BS18" s="36" t="n">
        <x:v>0</x:v>
      </x:c>
      <x:c r="BT18" s="36" t="n">
        <x:v>0</x:v>
      </x:c>
      <x:c r="BU18" s="36" t="n">
        <x:v>0</x:v>
      </x:c>
      <x:c r="BV18" s="34"/>
      <x:c r="BW18" s="34"/>
      <x:c r="BX18" s="34"/>
      <x:c r="BY18" s="43"/>
    </x:row>
    <x:row r="19">
      <x:c r="A19" s="34" t="str">
        <x:v>article1-unified-v4-2-fb3f101b-20260903-000401-default-f03-p6-nostore</x:v>
      </x:c>
      <x:c r="B19" s="34" t="str">
        <x:v>default</x:v>
      </x:c>
      <x:c r="C19" s="34" t="str">
        <x:v>nostore</x:v>
      </x:c>
      <x:c r="D19" s="34" t="str">
        <x:v>nostore</x:v>
      </x:c>
      <x:c r="E19" s="34" t="str">
        <x:v>lifecycle-negative-control</x:v>
      </x:c>
      <x:c r="F19" s="36" t="n">
        <x:v>3</x:v>
      </x:c>
      <x:c r="G19" s="36" t="n">
        <x:v>3</x:v>
      </x:c>
      <x:c r="H19" s="36" t="n">
        <x:v>6</x:v>
      </x:c>
      <x:c r="I19" s="36" t="n">
        <x:v>3</x:v>
      </x:c>
      <x:c r="J19" s="38" t="n">
        <x:v>46268.019255914354</x:v>
      </x:c>
      <x:c r="K19" s="38" t="n">
        <x:v>46268.02460806713</x:v>
      </x:c>
      <x:c r="L19" s="40" t="n">
        <x:f>IF(OR(J19="",K19=""),"",(K19-J19)*'Readme-Protocol'!$B$31)</x:f>
        <x:v>462.425999622792</x:v>
      </x:c>
      <x:c r="M19" s="34" t="str">
        <x:v>40a3e0706f9a1a44249bed00608077d6b435903d764ecf2e6ebe6b0ac93d8bf8</x:v>
      </x:c>
      <x:c r="N19" s="34" t="str">
        <x:v>sha256:968b00243361bf927f9e7c869f896ff64c87584edb860fd6b1465d54a1735581</x:v>
      </x:c>
      <x:c r="O19" s="34" t="str">
        <x:v>testcache-benchmark:v4</x:v>
      </x:c>
      <x:c r="P19" s="38" t="n">
        <x:v>46268.019052511576</x:v>
      </x:c>
      <x:c r="Q19" s="42" t="n">
        <x:v>4</x:v>
      </x:c>
      <x:c r="R19" s="34" t="str">
        <x:v>AMD Ryzen 7 PRO 7840U w/ Radeon 780M Graphics</x:v>
      </x:c>
      <x:c r="S19" s="36" t="n">
        <x:v>16</x:v>
      </x:c>
      <x:c r="T19" s="43" t="n">
        <x:v>1610612736</x:v>
      </x:c>
      <x:c r="U19" s="40" t="n">
        <x:f>IF(T19="","",T19/'Readme-Protocol'!$B$26)</x:f>
        <x:v>1536</x:v>
      </x:c>
      <x:c r="V19" s="34" t="str">
        <x:v>Ubuntu 24.04.4 LTS</x:v>
      </x:c>
      <x:c r="W19" s="44" t="str">
        <x:v>Linux 40a3e0706f9a 6.18.33.2-microsoft-standard-WSL2 #1 SMP PREEMPT_DYNAMIC Thu Jun 18 21:54:43 UTC 2026 x86_64 x86_64 x86_64 GNU/Linux</x:v>
      </x:c>
      <x:c r="X19" s="34" t="str">
        <x:v>29.7.2</x:v>
      </x:c>
      <x:c r="Y19" s="34" t="str">
        <x:v>Docker Desktop</x:v>
      </x:c>
      <x:c r="Z19" s="34" t="str">
        <x:v>6.18.33.2-microsoft-standard-WSL2</x:v>
      </x:c>
      <x:c r="AA19" s="34" t="str">
        <x:v>x86_64</x:v>
      </x:c>
      <x:c r="AB19" s="34" t="str">
        <x:v>docker-desktop</x:v>
      </x:c>
      <x:c r="AC19" s="34" t="str">
        <x:v>Apache Tomcat/11.0.24</x:v>
      </x:c>
      <x:c r="AD19" s="34" t="str">
        <x:v>Linux</x:v>
      </x:c>
      <x:c r="AE19" s="34" t="str">
        <x:v>6.18.33.2-microsoft-standard-WSL2</x:v>
      </x:c>
      <x:c r="AF19" s="34" t="str">
        <x:v>amd64</x:v>
      </x:c>
      <x:c r="AG19" s="34" t="str">
        <x:v>25.0.3+9-LTS</x:v>
      </x:c>
      <x:c r="AH19" s="34" t="str">
        <x:v>Eclipse Adoptium</x:v>
      </x:c>
      <x:c r="AI19" s="44" t="str">
        <x:v>'-Xms256m -Xmx768m -XX:+UseG1GC -XX:NativeMemoryTracking=summary -Djava.awt.headless=true</x:v>
      </x:c>
      <x:c r="AJ19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19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19" s="34"/>
      <x:c r="AM19" s="34"/>
      <x:c r="AN19" s="44" t="str">
        <x:v>Non applicabile: controllo senza motore di cache</x:v>
      </x:c>
      <x:c r="AO19" s="34" t="str">
        <x:v>fb3f101b87709b713468e8d827b8612e6e65f29b</x:v>
      </x:c>
      <x:c r="AP19" s="34" t="str">
        <x:v>tomcat:11.0.24-jdk25-temurin-noble@sha256:6d673ad42da6498f05755cae67f85f2128bdfd88943c9bdb22e0965f8d4c3182</x:v>
      </x:c>
      <x:c r="AQ19" s="34" t="str">
        <x:v>tomcat:11.0.24-jdk25-temurin-noble@sha256:6d673ad42da6498f05755cae67f85f2128bdfd88943c9bdb22e0965f8d4c3182</x:v>
      </x:c>
      <x:c r="AR19" s="34" t="str">
        <x:v>sha256:6d673ad42da6498f05755cae67f85f2128bdfd88943c9bdb22e0965f8d4c3182</x:v>
      </x:c>
      <x:c r="AS19" s="45" t="b">
        <x:v>1</x:v>
      </x:c>
      <x:c r="AT19" s="34" t="str">
        <x:v>sha256:6d673ad42da6498f05755cae67f85f2128bdfd88943c9bdb22e0965f8d4c3182</x:v>
      </x:c>
      <x:c r="AU19" s="34" t="str">
        <x:v>maven:3.9.11-eclipse-temurin-25@sha256:407c4423cec0cf2981055bc2c6c0dc211d9605b6669279b95997f2d1c7e91e2c</x:v>
      </x:c>
      <x:c r="AV19" s="34" t="str">
        <x:v>maven:3.9.11-eclipse-temurin-25@sha256:407c4423cec0cf2981055bc2c6c0dc211d9605b6669279b95997f2d1c7e91e2c</x:v>
      </x:c>
      <x:c r="AW19" s="34" t="str">
        <x:v>sha256:407c4423cec0cf2981055bc2c6c0dc211d9605b6669279b95997f2d1c7e91e2c</x:v>
      </x:c>
      <x:c r="AX19" s="45" t="b">
        <x:v>1</x:v>
      </x:c>
      <x:c r="AY19" s="34" t="str">
        <x:v>sha256:407c4423cec0cf2981055bc2c6c0dc211d9605b6669279b95997f2d1c7e91e2c</x:v>
      </x:c>
      <x:c r="AZ19" s="34" t="str">
        <x:v>4.0.0-SNAPSHOT</x:v>
      </x:c>
      <x:c r="BA19" s="34" t="str">
        <x:v>fb3f101b87709b713468e8d827b8612e6e65f29b</x:v>
      </x:c>
      <x:c r="BB19" s="34" t="str">
        <x:v>cdbbde2db6e49e3c2f44c6caffd6fbefa85fe06e4a383b5d0b53f2747392edae</x:v>
      </x:c>
      <x:c r="BC19" s="34" t="str">
        <x:v>3.2.1</x:v>
      </x:c>
      <x:c r="BD19" s="34" t="str">
        <x:v>12c6fe08223820089f60969b6088e6ac5d358aa872de78357585cdacb6c61049</x:v>
      </x:c>
      <x:c r="BE19" s="34" t="str">
        <x:v>1805b8a170fa5ea5dc1b8ba79328a9c1e83ee1f9b510fe4f427f07dba6f95bc9</x:v>
      </x:c>
      <x:c r="BF19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19" s="34" t="str">
        <x:v>effective-pom.xml</x:v>
      </x:c>
      <x:c r="BH19" s="34" t="str">
        <x:v>0b744edc69da4e049fb2928c5434a331cf225aef38e3bfc5326c536a2f472d50</x:v>
      </x:c>
      <x:c r="BI19" s="43" t="n">
        <x:v>307699</x:v>
      </x:c>
      <x:c r="BJ19" s="34" t="str">
        <x:v>dependency-tree.txt</x:v>
      </x:c>
      <x:c r="BK19" s="34" t="str">
        <x:v>9277aea2be08f606ce4aa1e69c205c6e757280570cfc16abce613bf0a0ccf079</x:v>
      </x:c>
      <x:c r="BL19" s="43" t="n">
        <x:v>4634</x:v>
      </x:c>
      <x:c r="BM19" s="34" t="str">
        <x:v>build-provenance.properties</x:v>
      </x:c>
      <x:c r="BN19" s="34" t="str">
        <x:v>560565500c374b553afc554badb4427f7ae79b50a847971eb93f2b9b35c53317</x:v>
      </x:c>
      <x:c r="BO19" s="43" t="n">
        <x:v>189</x:v>
      </x:c>
      <x:c r="BP19" s="45" t="b">
        <x:v>1</x:v>
      </x:c>
      <x:c r="BQ19" s="44"/>
      <x:c r="BR19" s="36" t="n">
        <x:v>5</x:v>
      </x:c>
      <x:c r="BS19" s="36" t="n">
        <x:v>0</x:v>
      </x:c>
      <x:c r="BT19" s="36" t="n">
        <x:v>0</x:v>
      </x:c>
      <x:c r="BU19" s="36" t="n">
        <x:v>0</x:v>
      </x:c>
      <x:c r="BV19" s="34"/>
      <x:c r="BW19" s="34"/>
      <x:c r="BX19" s="34"/>
      <x:c r="BY19" s="43"/>
    </x:row>
    <x:row r="20">
      <x:c r="A20" s="34" t="str">
        <x:v>article1-unified-v4-2-fb3f101b-20260903-000401-default-f04-p1-jcs4</x:v>
      </x:c>
      <x:c r="B20" s="34" t="str">
        <x:v>default</x:v>
      </x:c>
      <x:c r="C20" s="34" t="str">
        <x:v>jcs4</x:v>
      </x:c>
      <x:c r="D20" s="34" t="str">
        <x:v>jcs4</x:v>
      </x:c>
      <x:c r="E20" s="34" t="str">
        <x:v>current-provider-primary-comparison</x:v>
      </x:c>
      <x:c r="F20" s="36" t="n">
        <x:v>4</x:v>
      </x:c>
      <x:c r="G20" s="36" t="n">
        <x:v>4</x:v>
      </x:c>
      <x:c r="H20" s="36" t="n">
        <x:v>1</x:v>
      </x:c>
      <x:c r="I20" s="36" t="n">
        <x:v>4</x:v>
      </x:c>
      <x:c r="J20" s="38" t="n">
        <x:v>46268.02483108796</x:v>
      </x:c>
      <x:c r="K20" s="38" t="n">
        <x:v>46268.03019269676</x:v>
      </x:c>
      <x:c r="L20" s="40" t="n">
        <x:f>IF(OR(J20="",K20=""),"",(K20-J20)*'Readme-Protocol'!$B$31)</x:f>
        <x:v>463.2430000696331</x:v>
      </x:c>
      <x:c r="M20" s="34" t="str">
        <x:v>d17c052d942e66c5484179d520bbc089ae8a6df031c8a6dba42bba1820081e76</x:v>
      </x:c>
      <x:c r="N20" s="34" t="str">
        <x:v>sha256:968b00243361bf927f9e7c869f896ff64c87584edb860fd6b1465d54a1735581</x:v>
      </x:c>
      <x:c r="O20" s="34" t="str">
        <x:v>testcache-benchmark:v4</x:v>
      </x:c>
      <x:c r="P20" s="38" t="n">
        <x:v>46268.024626412036</x:v>
      </x:c>
      <x:c r="Q20" s="42" t="n">
        <x:v>4</x:v>
      </x:c>
      <x:c r="R20" s="34" t="str">
        <x:v>AMD Ryzen 7 PRO 7840U w/ Radeon 780M Graphics</x:v>
      </x:c>
      <x:c r="S20" s="36" t="n">
        <x:v>16</x:v>
      </x:c>
      <x:c r="T20" s="43" t="n">
        <x:v>1610612736</x:v>
      </x:c>
      <x:c r="U20" s="40" t="n">
        <x:f>IF(T20="","",T20/'Readme-Protocol'!$B$26)</x:f>
        <x:v>1536</x:v>
      </x:c>
      <x:c r="V20" s="34" t="str">
        <x:v>Ubuntu 24.04.4 LTS</x:v>
      </x:c>
      <x:c r="W20" s="44" t="str">
        <x:v>Linux d17c052d942e 6.18.33.2-microsoft-standard-WSL2 #1 SMP PREEMPT_DYNAMIC Thu Jun 18 21:54:43 UTC 2026 x86_64 x86_64 x86_64 GNU/Linux</x:v>
      </x:c>
      <x:c r="X20" s="34" t="str">
        <x:v>29.7.2</x:v>
      </x:c>
      <x:c r="Y20" s="34" t="str">
        <x:v>Docker Desktop</x:v>
      </x:c>
      <x:c r="Z20" s="34" t="str">
        <x:v>6.18.33.2-microsoft-standard-WSL2</x:v>
      </x:c>
      <x:c r="AA20" s="34" t="str">
        <x:v>x86_64</x:v>
      </x:c>
      <x:c r="AB20" s="34" t="str">
        <x:v>docker-desktop</x:v>
      </x:c>
      <x:c r="AC20" s="34" t="str">
        <x:v>Apache Tomcat/11.0.24</x:v>
      </x:c>
      <x:c r="AD20" s="34" t="str">
        <x:v>Linux</x:v>
      </x:c>
      <x:c r="AE20" s="34" t="str">
        <x:v>6.18.33.2-microsoft-standard-WSL2</x:v>
      </x:c>
      <x:c r="AF20" s="34" t="str">
        <x:v>amd64</x:v>
      </x:c>
      <x:c r="AG20" s="34" t="str">
        <x:v>25.0.3+9-LTS</x:v>
      </x:c>
      <x:c r="AH20" s="34" t="str">
        <x:v>Eclipse Adoptium</x:v>
      </x:c>
      <x:c r="AI20" s="44" t="str">
        <x:v>'-Xms256m -Xmx768m -XX:+UseG1GC -XX:NativeMemoryTracking=summary -Djava.awt.headless=true</x:v>
      </x:c>
      <x:c r="AJ20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0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0" s="34" t="str">
        <x:v>4.0.0-SNAPSHOT</x:v>
      </x:c>
      <x:c r="AM20" s="34" t="str">
        <x:v>4.0.0-SNAPSHOT</x:v>
      </x:c>
      <x:c r="AN20" s="44" t="str">
        <x:v>Protocollo v4.2; valore runtime in environment.jcs4Version</x:v>
      </x:c>
      <x:c r="AO20" s="34" t="str">
        <x:v>fb3f101b87709b713468e8d827b8612e6e65f29b</x:v>
      </x:c>
      <x:c r="AP20" s="34" t="str">
        <x:v>tomcat:11.0.24-jdk25-temurin-noble@sha256:6d673ad42da6498f05755cae67f85f2128bdfd88943c9bdb22e0965f8d4c3182</x:v>
      </x:c>
      <x:c r="AQ20" s="34" t="str">
        <x:v>tomcat:11.0.24-jdk25-temurin-noble@sha256:6d673ad42da6498f05755cae67f85f2128bdfd88943c9bdb22e0965f8d4c3182</x:v>
      </x:c>
      <x:c r="AR20" s="34" t="str">
        <x:v>sha256:6d673ad42da6498f05755cae67f85f2128bdfd88943c9bdb22e0965f8d4c3182</x:v>
      </x:c>
      <x:c r="AS20" s="45" t="b">
        <x:v>1</x:v>
      </x:c>
      <x:c r="AT20" s="34" t="str">
        <x:v>sha256:6d673ad42da6498f05755cae67f85f2128bdfd88943c9bdb22e0965f8d4c3182</x:v>
      </x:c>
      <x:c r="AU20" s="34" t="str">
        <x:v>maven:3.9.11-eclipse-temurin-25@sha256:407c4423cec0cf2981055bc2c6c0dc211d9605b6669279b95997f2d1c7e91e2c</x:v>
      </x:c>
      <x:c r="AV20" s="34" t="str">
        <x:v>maven:3.9.11-eclipse-temurin-25@sha256:407c4423cec0cf2981055bc2c6c0dc211d9605b6669279b95997f2d1c7e91e2c</x:v>
      </x:c>
      <x:c r="AW20" s="34" t="str">
        <x:v>sha256:407c4423cec0cf2981055bc2c6c0dc211d9605b6669279b95997f2d1c7e91e2c</x:v>
      </x:c>
      <x:c r="AX20" s="45" t="b">
        <x:v>1</x:v>
      </x:c>
      <x:c r="AY20" s="34" t="str">
        <x:v>sha256:407c4423cec0cf2981055bc2c6c0dc211d9605b6669279b95997f2d1c7e91e2c</x:v>
      </x:c>
      <x:c r="AZ20" s="34" t="str">
        <x:v>4.0.0-SNAPSHOT</x:v>
      </x:c>
      <x:c r="BA20" s="34" t="str">
        <x:v>fb3f101b87709b713468e8d827b8612e6e65f29b</x:v>
      </x:c>
      <x:c r="BB20" s="34" t="str">
        <x:v>cdbbde2db6e49e3c2f44c6caffd6fbefa85fe06e4a383b5d0b53f2747392edae</x:v>
      </x:c>
      <x:c r="BC20" s="34" t="str">
        <x:v>3.2.1</x:v>
      </x:c>
      <x:c r="BD20" s="34" t="str">
        <x:v>12c6fe08223820089f60969b6088e6ac5d358aa872de78357585cdacb6c61049</x:v>
      </x:c>
      <x:c r="BE20" s="34" t="str">
        <x:v>1805b8a170fa5ea5dc1b8ba79328a9c1e83ee1f9b510fe4f427f07dba6f95bc9</x:v>
      </x:c>
      <x:c r="BF20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0" s="34" t="str">
        <x:v>effective-pom.xml</x:v>
      </x:c>
      <x:c r="BH20" s="34" t="str">
        <x:v>0b744edc69da4e049fb2928c5434a331cf225aef38e3bfc5326c536a2f472d50</x:v>
      </x:c>
      <x:c r="BI20" s="43" t="n">
        <x:v>307699</x:v>
      </x:c>
      <x:c r="BJ20" s="34" t="str">
        <x:v>dependency-tree.txt</x:v>
      </x:c>
      <x:c r="BK20" s="34" t="str">
        <x:v>9277aea2be08f606ce4aa1e69c205c6e757280570cfc16abce613bf0a0ccf079</x:v>
      </x:c>
      <x:c r="BL20" s="43" t="n">
        <x:v>4634</x:v>
      </x:c>
      <x:c r="BM20" s="34" t="str">
        <x:v>build-provenance.properties</x:v>
      </x:c>
      <x:c r="BN20" s="34" t="str">
        <x:v>560565500c374b553afc554badb4427f7ae79b50a847971eb93f2b9b35c53317</x:v>
      </x:c>
      <x:c r="BO20" s="43" t="n">
        <x:v>189</x:v>
      </x:c>
      <x:c r="BP20" s="45" t="b">
        <x:v>1</x:v>
      </x:c>
      <x:c r="BQ20" s="44"/>
      <x:c r="BR20" s="36" t="n">
        <x:v>5</x:v>
      </x:c>
      <x:c r="BS20" s="36" t="n">
        <x:v>20</x:v>
      </x:c>
      <x:c r="BT20" s="36" t="n">
        <x:v>0</x:v>
      </x:c>
      <x:c r="BU20" s="36" t="n">
        <x:v>0</x:v>
      </x:c>
      <x:c r="BV20" s="34" t="str">
        <x:v>jcs</x:v>
      </x:c>
      <x:c r="BW20" s="34" t="str">
        <x:v>article1-unified-v4-2-fb3f101b-20260903-000401-default-f04-p1-jcs4-final.hprof</x:v>
      </x:c>
      <x:c r="BX20" s="34" t="str">
        <x:v>772f883d34ee1912478569d0530cc9e0c5497be83bd42c48b267dbc38f06eeda</x:v>
      </x:c>
      <x:c r="BY20" s="43" t="n">
        <x:v>31319660</x:v>
      </x:c>
    </x:row>
    <x:row r="21">
      <x:c r="A21" s="34" t="str">
        <x:v>article1-unified-v4-2-fb3f101b-20260903-000401-default-f04-p2-jcs321</x:v>
      </x:c>
      <x:c r="B21" s="34" t="str">
        <x:v>default</x:v>
      </x:c>
      <x:c r="C21" s="34" t="str">
        <x:v>jcs321</x:v>
      </x:c>
      <x:c r="D21" s="34" t="str">
        <x:v>jcs321</x:v>
      </x:c>
      <x:c r="E21" s="34" t="str">
        <x:v>JCS-248-positive-control</x:v>
      </x:c>
      <x:c r="F21" s="36" t="n">
        <x:v>4</x:v>
      </x:c>
      <x:c r="G21" s="36" t="n">
        <x:v>4</x:v>
      </x:c>
      <x:c r="H21" s="36" t="n">
        <x:v>2</x:v>
      </x:c>
      <x:c r="I21" s="36" t="n">
        <x:v>4</x:v>
      </x:c>
      <x:c r="J21" s="38" t="n">
        <x:v>46268.030416469905</x:v>
      </x:c>
      <x:c r="K21" s="38" t="n">
        <x:v>46268.03578456018</x:v>
      </x:c>
      <x:c r="L21" s="40" t="n">
        <x:f>IF(OR(J21="",K21=""),"",(K21-J21)*'Readme-Protocol'!$B$31)</x:f>
        <x:v>463.80300004966557</x:v>
      </x:c>
      <x:c r="M21" s="34" t="str">
        <x:v>64ec487a1cd1147a84671afc8d4a9b31c56c99e9cd08081e787ccbf8d6bfd4d0</x:v>
      </x:c>
      <x:c r="N21" s="34" t="str">
        <x:v>sha256:968b00243361bf927f9e7c869f896ff64c87584edb860fd6b1465d54a1735581</x:v>
      </x:c>
      <x:c r="O21" s="34" t="str">
        <x:v>testcache-benchmark:v4</x:v>
      </x:c>
      <x:c r="P21" s="38" t="n">
        <x:v>46268.030212060185</x:v>
      </x:c>
      <x:c r="Q21" s="42" t="n">
        <x:v>4</x:v>
      </x:c>
      <x:c r="R21" s="34" t="str">
        <x:v>AMD Ryzen 7 PRO 7840U w/ Radeon 780M Graphics</x:v>
      </x:c>
      <x:c r="S21" s="36" t="n">
        <x:v>16</x:v>
      </x:c>
      <x:c r="T21" s="43" t="n">
        <x:v>1610612736</x:v>
      </x:c>
      <x:c r="U21" s="40" t="n">
        <x:f>IF(T21="","",T21/'Readme-Protocol'!$B$26)</x:f>
        <x:v>1536</x:v>
      </x:c>
      <x:c r="V21" s="34" t="str">
        <x:v>Ubuntu 24.04.4 LTS</x:v>
      </x:c>
      <x:c r="W21" s="44" t="str">
        <x:v>Linux 64ec487a1cd1 6.18.33.2-microsoft-standard-WSL2 #1 SMP PREEMPT_DYNAMIC Thu Jun 18 21:54:43 UTC 2026 x86_64 x86_64 x86_64 GNU/Linux</x:v>
      </x:c>
      <x:c r="X21" s="34" t="str">
        <x:v>29.7.2</x:v>
      </x:c>
      <x:c r="Y21" s="34" t="str">
        <x:v>Docker Desktop</x:v>
      </x:c>
      <x:c r="Z21" s="34" t="str">
        <x:v>6.18.33.2-microsoft-standard-WSL2</x:v>
      </x:c>
      <x:c r="AA21" s="34" t="str">
        <x:v>x86_64</x:v>
      </x:c>
      <x:c r="AB21" s="34" t="str">
        <x:v>docker-desktop</x:v>
      </x:c>
      <x:c r="AC21" s="34" t="str">
        <x:v>Apache Tomcat/11.0.24</x:v>
      </x:c>
      <x:c r="AD21" s="34" t="str">
        <x:v>Linux</x:v>
      </x:c>
      <x:c r="AE21" s="34" t="str">
        <x:v>6.18.33.2-microsoft-standard-WSL2</x:v>
      </x:c>
      <x:c r="AF21" s="34" t="str">
        <x:v>amd64</x:v>
      </x:c>
      <x:c r="AG21" s="34" t="str">
        <x:v>25.0.3+9-LTS</x:v>
      </x:c>
      <x:c r="AH21" s="34" t="str">
        <x:v>Eclipse Adoptium</x:v>
      </x:c>
      <x:c r="AI21" s="44" t="str">
        <x:v>'-Xms256m -Xmx768m -XX:+UseG1GC -XX:NativeMemoryTracking=summary -Djava.awt.headless=true</x:v>
      </x:c>
      <x:c r="AJ21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1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1" s="34" t="str">
        <x:v>3.2.1</x:v>
      </x:c>
      <x:c r="AM21" s="34" t="str">
        <x:v>3.2.1</x:v>
      </x:c>
      <x:c r="AN21" s="44" t="str">
        <x:v>Protocollo v4.2; valore runtime in environment.jcs321Version</x:v>
      </x:c>
      <x:c r="AO21" s="34" t="str">
        <x:v>fb3f101b87709b713468e8d827b8612e6e65f29b</x:v>
      </x:c>
      <x:c r="AP21" s="34" t="str">
        <x:v>tomcat:11.0.24-jdk25-temurin-noble@sha256:6d673ad42da6498f05755cae67f85f2128bdfd88943c9bdb22e0965f8d4c3182</x:v>
      </x:c>
      <x:c r="AQ21" s="34" t="str">
        <x:v>tomcat:11.0.24-jdk25-temurin-noble@sha256:6d673ad42da6498f05755cae67f85f2128bdfd88943c9bdb22e0965f8d4c3182</x:v>
      </x:c>
      <x:c r="AR21" s="34" t="str">
        <x:v>sha256:6d673ad42da6498f05755cae67f85f2128bdfd88943c9bdb22e0965f8d4c3182</x:v>
      </x:c>
      <x:c r="AS21" s="45" t="b">
        <x:v>1</x:v>
      </x:c>
      <x:c r="AT21" s="34" t="str">
        <x:v>sha256:6d673ad42da6498f05755cae67f85f2128bdfd88943c9bdb22e0965f8d4c3182</x:v>
      </x:c>
      <x:c r="AU21" s="34" t="str">
        <x:v>maven:3.9.11-eclipse-temurin-25@sha256:407c4423cec0cf2981055bc2c6c0dc211d9605b6669279b95997f2d1c7e91e2c</x:v>
      </x:c>
      <x:c r="AV21" s="34" t="str">
        <x:v>maven:3.9.11-eclipse-temurin-25@sha256:407c4423cec0cf2981055bc2c6c0dc211d9605b6669279b95997f2d1c7e91e2c</x:v>
      </x:c>
      <x:c r="AW21" s="34" t="str">
        <x:v>sha256:407c4423cec0cf2981055bc2c6c0dc211d9605b6669279b95997f2d1c7e91e2c</x:v>
      </x:c>
      <x:c r="AX21" s="45" t="b">
        <x:v>1</x:v>
      </x:c>
      <x:c r="AY21" s="34" t="str">
        <x:v>sha256:407c4423cec0cf2981055bc2c6c0dc211d9605b6669279b95997f2d1c7e91e2c</x:v>
      </x:c>
      <x:c r="AZ21" s="34" t="str">
        <x:v>4.0.0-SNAPSHOT</x:v>
      </x:c>
      <x:c r="BA21" s="34" t="str">
        <x:v>fb3f101b87709b713468e8d827b8612e6e65f29b</x:v>
      </x:c>
      <x:c r="BB21" s="34" t="str">
        <x:v>cdbbde2db6e49e3c2f44c6caffd6fbefa85fe06e4a383b5d0b53f2747392edae</x:v>
      </x:c>
      <x:c r="BC21" s="34" t="str">
        <x:v>3.2.1</x:v>
      </x:c>
      <x:c r="BD21" s="34" t="str">
        <x:v>12c6fe08223820089f60969b6088e6ac5d358aa872de78357585cdacb6c61049</x:v>
      </x:c>
      <x:c r="BE21" s="34" t="str">
        <x:v>1805b8a170fa5ea5dc1b8ba79328a9c1e83ee1f9b510fe4f427f07dba6f95bc9</x:v>
      </x:c>
      <x:c r="BF21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1" s="34" t="str">
        <x:v>effective-pom.xml</x:v>
      </x:c>
      <x:c r="BH21" s="34" t="str">
        <x:v>0b744edc69da4e049fb2928c5434a331cf225aef38e3bfc5326c536a2f472d50</x:v>
      </x:c>
      <x:c r="BI21" s="43" t="n">
        <x:v>307699</x:v>
      </x:c>
      <x:c r="BJ21" s="34" t="str">
        <x:v>dependency-tree.txt</x:v>
      </x:c>
      <x:c r="BK21" s="34" t="str">
        <x:v>9277aea2be08f606ce4aa1e69c205c6e757280570cfc16abce613bf0a0ccf079</x:v>
      </x:c>
      <x:c r="BL21" s="43" t="n">
        <x:v>4634</x:v>
      </x:c>
      <x:c r="BM21" s="34" t="str">
        <x:v>build-provenance.properties</x:v>
      </x:c>
      <x:c r="BN21" s="34" t="str">
        <x:v>560565500c374b553afc554badb4427f7ae79b50a847971eb93f2b9b35c53317</x:v>
      </x:c>
      <x:c r="BO21" s="43" t="n">
        <x:v>189</x:v>
      </x:c>
      <x:c r="BP21" s="45" t="b">
        <x:v>1</x:v>
      </x:c>
      <x:c r="BQ21" s="44"/>
      <x:c r="BR21" s="36" t="n">
        <x:v>5</x:v>
      </x:c>
      <x:c r="BS21" s="36" t="n">
        <x:v>20</x:v>
      </x:c>
      <x:c r="BT21" s="36" t="n">
        <x:v>10</x:v>
      </x:c>
      <x:c r="BU21" s="36" t="n">
        <x:v>10</x:v>
      </x:c>
      <x:c r="BV21" s="34" t="str">
        <x:v>jcs</x:v>
      </x:c>
      <x:c r="BW21" s="34" t="str">
        <x:v>article1-unified-v4-2-fb3f101b-20260903-000401-default-f04-p2-jcs321-final.hprof</x:v>
      </x:c>
      <x:c r="BX21" s="34" t="str">
        <x:v>08e3cb07e0f3ea3385fa2f154cb9f8103fde5815cf8363a31c790fdad33ed6b8</x:v>
      </x:c>
      <x:c r="BY21" s="43" t="n">
        <x:v>89069669</x:v>
      </x:c>
    </x:row>
    <x:row r="22">
      <x:c r="A22" s="34" t="str">
        <x:v>article1-unified-v4-2-fb3f101b-20260903-000401-default-f04-p3-cache2k</x:v>
      </x:c>
      <x:c r="B22" s="34" t="str">
        <x:v>default</x:v>
      </x:c>
      <x:c r="C22" s="34" t="str">
        <x:v>cache2k</x:v>
      </x:c>
      <x:c r="D22" s="34" t="str">
        <x:v>cache2k</x:v>
      </x:c>
      <x:c r="E22" s="34" t="str">
        <x:v>current-provider-primary-comparison</x:v>
      </x:c>
      <x:c r="F22" s="36" t="n">
        <x:v>4</x:v>
      </x:c>
      <x:c r="G22" s="36" t="n">
        <x:v>4</x:v>
      </x:c>
      <x:c r="H22" s="36" t="n">
        <x:v>3</x:v>
      </x:c>
      <x:c r="I22" s="36" t="n">
        <x:v>4</x:v>
      </x:c>
      <x:c r="J22" s="38" t="n">
        <x:v>46268.03600318287</x:v>
      </x:c>
      <x:c r="K22" s="38" t="n">
        <x:v>46268.04132863426</x:v>
      </x:c>
      <x:c r="L22" s="40" t="n">
        <x:f>IF(OR(J22="",K22=""),"",(K22-J22)*'Readme-Protocol'!$B$31)</x:f>
        <x:v>460.119000216946</x:v>
      </x:c>
      <x:c r="M22" s="34" t="str">
        <x:v>ea37dd49ce91089a226c41de6dcee74339e85054b480c57f6830d81fda405f00</x:v>
      </x:c>
      <x:c r="N22" s="34" t="str">
        <x:v>sha256:968b00243361bf927f9e7c869f896ff64c87584edb860fd6b1465d54a1735581</x:v>
      </x:c>
      <x:c r="O22" s="34" t="str">
        <x:v>testcache-benchmark:v4</x:v>
      </x:c>
      <x:c r="P22" s="38" t="n">
        <x:v>46268.03580039352</x:v>
      </x:c>
      <x:c r="Q22" s="42" t="n">
        <x:v>4</x:v>
      </x:c>
      <x:c r="R22" s="34" t="str">
        <x:v>AMD Ryzen 7 PRO 7840U w/ Radeon 780M Graphics</x:v>
      </x:c>
      <x:c r="S22" s="36" t="n">
        <x:v>16</x:v>
      </x:c>
      <x:c r="T22" s="43" t="n">
        <x:v>1610612736</x:v>
      </x:c>
      <x:c r="U22" s="40" t="n">
        <x:f>IF(T22="","",T22/'Readme-Protocol'!$B$26)</x:f>
        <x:v>1536</x:v>
      </x:c>
      <x:c r="V22" s="34" t="str">
        <x:v>Ubuntu 24.04.4 LTS</x:v>
      </x:c>
      <x:c r="W22" s="44" t="str">
        <x:v>Linux ea37dd49ce91 6.18.33.2-microsoft-standard-WSL2 #1 SMP PREEMPT_DYNAMIC Thu Jun 18 21:54:43 UTC 2026 x86_64 x86_64 x86_64 GNU/Linux</x:v>
      </x:c>
      <x:c r="X22" s="34" t="str">
        <x:v>29.7.2</x:v>
      </x:c>
      <x:c r="Y22" s="34" t="str">
        <x:v>Docker Desktop</x:v>
      </x:c>
      <x:c r="Z22" s="34" t="str">
        <x:v>6.18.33.2-microsoft-standard-WSL2</x:v>
      </x:c>
      <x:c r="AA22" s="34" t="str">
        <x:v>x86_64</x:v>
      </x:c>
      <x:c r="AB22" s="34" t="str">
        <x:v>docker-desktop</x:v>
      </x:c>
      <x:c r="AC22" s="34" t="str">
        <x:v>Apache Tomcat/11.0.24</x:v>
      </x:c>
      <x:c r="AD22" s="34" t="str">
        <x:v>Linux</x:v>
      </x:c>
      <x:c r="AE22" s="34" t="str">
        <x:v>6.18.33.2-microsoft-standard-WSL2</x:v>
      </x:c>
      <x:c r="AF22" s="34" t="str">
        <x:v>amd64</x:v>
      </x:c>
      <x:c r="AG22" s="34" t="str">
        <x:v>25.0.3+9-LTS</x:v>
      </x:c>
      <x:c r="AH22" s="34" t="str">
        <x:v>Eclipse Adoptium</x:v>
      </x:c>
      <x:c r="AI22" s="44" t="str">
        <x:v>'-Xms256m -Xmx768m -XX:+UseG1GC -XX:NativeMemoryTracking=summary -Djava.awt.headless=true</x:v>
      </x:c>
      <x:c r="AJ22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2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2" s="34"/>
      <x:c r="AM22" s="34" t="str">
        <x:v>2.6.1.Final</x:v>
      </x:c>
      <x:c r="AN22" s="44" t="str">
        <x:v>Protocollo v4.2; verificabile nell'effective POM quando presente nell'archivio</x:v>
      </x:c>
      <x:c r="AO22" s="34" t="str">
        <x:v>fb3f101b87709b713468e8d827b8612e6e65f29b</x:v>
      </x:c>
      <x:c r="AP22" s="34" t="str">
        <x:v>tomcat:11.0.24-jdk25-temurin-noble@sha256:6d673ad42da6498f05755cae67f85f2128bdfd88943c9bdb22e0965f8d4c3182</x:v>
      </x:c>
      <x:c r="AQ22" s="34" t="str">
        <x:v>tomcat:11.0.24-jdk25-temurin-noble@sha256:6d673ad42da6498f05755cae67f85f2128bdfd88943c9bdb22e0965f8d4c3182</x:v>
      </x:c>
      <x:c r="AR22" s="34" t="str">
        <x:v>sha256:6d673ad42da6498f05755cae67f85f2128bdfd88943c9bdb22e0965f8d4c3182</x:v>
      </x:c>
      <x:c r="AS22" s="45" t="b">
        <x:v>1</x:v>
      </x:c>
      <x:c r="AT22" s="34" t="str">
        <x:v>sha256:6d673ad42da6498f05755cae67f85f2128bdfd88943c9bdb22e0965f8d4c3182</x:v>
      </x:c>
      <x:c r="AU22" s="34" t="str">
        <x:v>maven:3.9.11-eclipse-temurin-25@sha256:407c4423cec0cf2981055bc2c6c0dc211d9605b6669279b95997f2d1c7e91e2c</x:v>
      </x:c>
      <x:c r="AV22" s="34" t="str">
        <x:v>maven:3.9.11-eclipse-temurin-25@sha256:407c4423cec0cf2981055bc2c6c0dc211d9605b6669279b95997f2d1c7e91e2c</x:v>
      </x:c>
      <x:c r="AW22" s="34" t="str">
        <x:v>sha256:407c4423cec0cf2981055bc2c6c0dc211d9605b6669279b95997f2d1c7e91e2c</x:v>
      </x:c>
      <x:c r="AX22" s="45" t="b">
        <x:v>1</x:v>
      </x:c>
      <x:c r="AY22" s="34" t="str">
        <x:v>sha256:407c4423cec0cf2981055bc2c6c0dc211d9605b6669279b95997f2d1c7e91e2c</x:v>
      </x:c>
      <x:c r="AZ22" s="34" t="str">
        <x:v>4.0.0-SNAPSHOT</x:v>
      </x:c>
      <x:c r="BA22" s="34" t="str">
        <x:v>fb3f101b87709b713468e8d827b8612e6e65f29b</x:v>
      </x:c>
      <x:c r="BB22" s="34" t="str">
        <x:v>cdbbde2db6e49e3c2f44c6caffd6fbefa85fe06e4a383b5d0b53f2747392edae</x:v>
      </x:c>
      <x:c r="BC22" s="34" t="str">
        <x:v>3.2.1</x:v>
      </x:c>
      <x:c r="BD22" s="34" t="str">
        <x:v>12c6fe08223820089f60969b6088e6ac5d358aa872de78357585cdacb6c61049</x:v>
      </x:c>
      <x:c r="BE22" s="34" t="str">
        <x:v>1805b8a170fa5ea5dc1b8ba79328a9c1e83ee1f9b510fe4f427f07dba6f95bc9</x:v>
      </x:c>
      <x:c r="BF22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2" s="34" t="str">
        <x:v>effective-pom.xml</x:v>
      </x:c>
      <x:c r="BH22" s="34" t="str">
        <x:v>0b744edc69da4e049fb2928c5434a331cf225aef38e3bfc5326c536a2f472d50</x:v>
      </x:c>
      <x:c r="BI22" s="43" t="n">
        <x:v>307699</x:v>
      </x:c>
      <x:c r="BJ22" s="34" t="str">
        <x:v>dependency-tree.txt</x:v>
      </x:c>
      <x:c r="BK22" s="34" t="str">
        <x:v>9277aea2be08f606ce4aa1e69c205c6e757280570cfc16abce613bf0a0ccf079</x:v>
      </x:c>
      <x:c r="BL22" s="43" t="n">
        <x:v>4634</x:v>
      </x:c>
      <x:c r="BM22" s="34" t="str">
        <x:v>build-provenance.properties</x:v>
      </x:c>
      <x:c r="BN22" s="34" t="str">
        <x:v>560565500c374b553afc554badb4427f7ae79b50a847971eb93f2b9b35c53317</x:v>
      </x:c>
      <x:c r="BO22" s="43" t="n">
        <x:v>189</x:v>
      </x:c>
      <x:c r="BP22" s="45" t="b">
        <x:v>1</x:v>
      </x:c>
      <x:c r="BQ22" s="44"/>
      <x:c r="BR22" s="36" t="n">
        <x:v>5</x:v>
      </x:c>
      <x:c r="BS22" s="36" t="n">
        <x:v>0</x:v>
      </x:c>
      <x:c r="BT22" s="36" t="n">
        <x:v>0</x:v>
      </x:c>
      <x:c r="BU22" s="36" t="n">
        <x:v>0</x:v>
      </x:c>
      <x:c r="BV22" s="34"/>
      <x:c r="BW22" s="34"/>
      <x:c r="BX22" s="34"/>
      <x:c r="BY22" s="43"/>
    </x:row>
    <x:row r="23">
      <x:c r="A23" s="34" t="str">
        <x:v>article1-unified-v4-2-fb3f101b-20260903-000401-default-f04-p4-nostore</x:v>
      </x:c>
      <x:c r="B23" s="34" t="str">
        <x:v>default</x:v>
      </x:c>
      <x:c r="C23" s="34" t="str">
        <x:v>nostore</x:v>
      </x:c>
      <x:c r="D23" s="34" t="str">
        <x:v>nostore</x:v>
      </x:c>
      <x:c r="E23" s="34" t="str">
        <x:v>lifecycle-negative-control</x:v>
      </x:c>
      <x:c r="F23" s="36" t="n">
        <x:v>4</x:v>
      </x:c>
      <x:c r="G23" s="36" t="n">
        <x:v>4</x:v>
      </x:c>
      <x:c r="H23" s="36" t="n">
        <x:v>4</x:v>
      </x:c>
      <x:c r="I23" s="36" t="n">
        <x:v>4</x:v>
      </x:c>
      <x:c r="J23" s="38" t="n">
        <x:v>46268.04154938657</x:v>
      </x:c>
      <x:c r="K23" s="38" t="n">
        <x:v>46268.046940277774</x:v>
      </x:c>
      <x:c r="L23" s="40" t="n">
        <x:f>IF(OR(J23="",K23=""),"",(K23-J23)*'Readme-Protocol'!$B$31)</x:f>
        <x:v>465.77299979981035</x:v>
      </x:c>
      <x:c r="M23" s="34" t="str">
        <x:v>fe34692d09abc57de04c7a35750adf3bf38fecf1918434867c7f45a4090dc916</x:v>
      </x:c>
      <x:c r="N23" s="34" t="str">
        <x:v>sha256:968b00243361bf927f9e7c869f896ff64c87584edb860fd6b1465d54a1735581</x:v>
      </x:c>
      <x:c r="O23" s="34" t="str">
        <x:v>testcache-benchmark:v4</x:v>
      </x:c>
      <x:c r="P23" s="38" t="n">
        <x:v>46268.04134685185</x:v>
      </x:c>
      <x:c r="Q23" s="42" t="n">
        <x:v>4</x:v>
      </x:c>
      <x:c r="R23" s="34" t="str">
        <x:v>AMD Ryzen 7 PRO 7840U w/ Radeon 780M Graphics</x:v>
      </x:c>
      <x:c r="S23" s="36" t="n">
        <x:v>16</x:v>
      </x:c>
      <x:c r="T23" s="43" t="n">
        <x:v>1610612736</x:v>
      </x:c>
      <x:c r="U23" s="40" t="n">
        <x:f>IF(T23="","",T23/'Readme-Protocol'!$B$26)</x:f>
        <x:v>1536</x:v>
      </x:c>
      <x:c r="V23" s="34" t="str">
        <x:v>Ubuntu 24.04.4 LTS</x:v>
      </x:c>
      <x:c r="W23" s="44" t="str">
        <x:v>Linux fe34692d09ab 6.18.33.2-microsoft-standard-WSL2 #1 SMP PREEMPT_DYNAMIC Thu Jun 18 21:54:43 UTC 2026 x86_64 x86_64 x86_64 GNU/Linux</x:v>
      </x:c>
      <x:c r="X23" s="34" t="str">
        <x:v>29.7.2</x:v>
      </x:c>
      <x:c r="Y23" s="34" t="str">
        <x:v>Docker Desktop</x:v>
      </x:c>
      <x:c r="Z23" s="34" t="str">
        <x:v>6.18.33.2-microsoft-standard-WSL2</x:v>
      </x:c>
      <x:c r="AA23" s="34" t="str">
        <x:v>x86_64</x:v>
      </x:c>
      <x:c r="AB23" s="34" t="str">
        <x:v>docker-desktop</x:v>
      </x:c>
      <x:c r="AC23" s="34" t="str">
        <x:v>Apache Tomcat/11.0.24</x:v>
      </x:c>
      <x:c r="AD23" s="34" t="str">
        <x:v>Linux</x:v>
      </x:c>
      <x:c r="AE23" s="34" t="str">
        <x:v>6.18.33.2-microsoft-standard-WSL2</x:v>
      </x:c>
      <x:c r="AF23" s="34" t="str">
        <x:v>amd64</x:v>
      </x:c>
      <x:c r="AG23" s="34" t="str">
        <x:v>25.0.3+9-LTS</x:v>
      </x:c>
      <x:c r="AH23" s="34" t="str">
        <x:v>Eclipse Adoptium</x:v>
      </x:c>
      <x:c r="AI23" s="44" t="str">
        <x:v>'-Xms256m -Xmx768m -XX:+UseG1GC -XX:NativeMemoryTracking=summary -Djava.awt.headless=true</x:v>
      </x:c>
      <x:c r="AJ23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3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3" s="34"/>
      <x:c r="AM23" s="34"/>
      <x:c r="AN23" s="44" t="str">
        <x:v>Non applicabile: controllo senza motore di cache</x:v>
      </x:c>
      <x:c r="AO23" s="34" t="str">
        <x:v>fb3f101b87709b713468e8d827b8612e6e65f29b</x:v>
      </x:c>
      <x:c r="AP23" s="34" t="str">
        <x:v>tomcat:11.0.24-jdk25-temurin-noble@sha256:6d673ad42da6498f05755cae67f85f2128bdfd88943c9bdb22e0965f8d4c3182</x:v>
      </x:c>
      <x:c r="AQ23" s="34" t="str">
        <x:v>tomcat:11.0.24-jdk25-temurin-noble@sha256:6d673ad42da6498f05755cae67f85f2128bdfd88943c9bdb22e0965f8d4c3182</x:v>
      </x:c>
      <x:c r="AR23" s="34" t="str">
        <x:v>sha256:6d673ad42da6498f05755cae67f85f2128bdfd88943c9bdb22e0965f8d4c3182</x:v>
      </x:c>
      <x:c r="AS23" s="45" t="b">
        <x:v>1</x:v>
      </x:c>
      <x:c r="AT23" s="34" t="str">
        <x:v>sha256:6d673ad42da6498f05755cae67f85f2128bdfd88943c9bdb22e0965f8d4c3182</x:v>
      </x:c>
      <x:c r="AU23" s="34" t="str">
        <x:v>maven:3.9.11-eclipse-temurin-25@sha256:407c4423cec0cf2981055bc2c6c0dc211d9605b6669279b95997f2d1c7e91e2c</x:v>
      </x:c>
      <x:c r="AV23" s="34" t="str">
        <x:v>maven:3.9.11-eclipse-temurin-25@sha256:407c4423cec0cf2981055bc2c6c0dc211d9605b6669279b95997f2d1c7e91e2c</x:v>
      </x:c>
      <x:c r="AW23" s="34" t="str">
        <x:v>sha256:407c4423cec0cf2981055bc2c6c0dc211d9605b6669279b95997f2d1c7e91e2c</x:v>
      </x:c>
      <x:c r="AX23" s="45" t="b">
        <x:v>1</x:v>
      </x:c>
      <x:c r="AY23" s="34" t="str">
        <x:v>sha256:407c4423cec0cf2981055bc2c6c0dc211d9605b6669279b95997f2d1c7e91e2c</x:v>
      </x:c>
      <x:c r="AZ23" s="34" t="str">
        <x:v>4.0.0-SNAPSHOT</x:v>
      </x:c>
      <x:c r="BA23" s="34" t="str">
        <x:v>fb3f101b87709b713468e8d827b8612e6e65f29b</x:v>
      </x:c>
      <x:c r="BB23" s="34" t="str">
        <x:v>cdbbde2db6e49e3c2f44c6caffd6fbefa85fe06e4a383b5d0b53f2747392edae</x:v>
      </x:c>
      <x:c r="BC23" s="34" t="str">
        <x:v>3.2.1</x:v>
      </x:c>
      <x:c r="BD23" s="34" t="str">
        <x:v>12c6fe08223820089f60969b6088e6ac5d358aa872de78357585cdacb6c61049</x:v>
      </x:c>
      <x:c r="BE23" s="34" t="str">
        <x:v>1805b8a170fa5ea5dc1b8ba79328a9c1e83ee1f9b510fe4f427f07dba6f95bc9</x:v>
      </x:c>
      <x:c r="BF23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3" s="34" t="str">
        <x:v>effective-pom.xml</x:v>
      </x:c>
      <x:c r="BH23" s="34" t="str">
        <x:v>0b744edc69da4e049fb2928c5434a331cf225aef38e3bfc5326c536a2f472d50</x:v>
      </x:c>
      <x:c r="BI23" s="43" t="n">
        <x:v>307699</x:v>
      </x:c>
      <x:c r="BJ23" s="34" t="str">
        <x:v>dependency-tree.txt</x:v>
      </x:c>
      <x:c r="BK23" s="34" t="str">
        <x:v>9277aea2be08f606ce4aa1e69c205c6e757280570cfc16abce613bf0a0ccf079</x:v>
      </x:c>
      <x:c r="BL23" s="43" t="n">
        <x:v>4634</x:v>
      </x:c>
      <x:c r="BM23" s="34" t="str">
        <x:v>build-provenance.properties</x:v>
      </x:c>
      <x:c r="BN23" s="34" t="str">
        <x:v>560565500c374b553afc554badb4427f7ae79b50a847971eb93f2b9b35c53317</x:v>
      </x:c>
      <x:c r="BO23" s="43" t="n">
        <x:v>189</x:v>
      </x:c>
      <x:c r="BP23" s="45" t="b">
        <x:v>1</x:v>
      </x:c>
      <x:c r="BQ23" s="44"/>
      <x:c r="BR23" s="36" t="n">
        <x:v>5</x:v>
      </x:c>
      <x:c r="BS23" s="36" t="n">
        <x:v>0</x:v>
      </x:c>
      <x:c r="BT23" s="36" t="n">
        <x:v>0</x:v>
      </x:c>
      <x:c r="BU23" s="36" t="n">
        <x:v>0</x:v>
      </x:c>
      <x:c r="BV23" s="34"/>
      <x:c r="BW23" s="34"/>
      <x:c r="BX23" s="34"/>
      <x:c r="BY23" s="43"/>
    </x:row>
    <x:row r="24">
      <x:c r="A24" s="34" t="str">
        <x:v>article1-unified-v4-2-fb3f101b-20260903-000401-default-f04-p5-ehcache</x:v>
      </x:c>
      <x:c r="B24" s="34" t="str">
        <x:v>default</x:v>
      </x:c>
      <x:c r="C24" s="34" t="str">
        <x:v>ehcache</x:v>
      </x:c>
      <x:c r="D24" s="34" t="str">
        <x:v>ehcache</x:v>
      </x:c>
      <x:c r="E24" s="34" t="str">
        <x:v>current-provider-primary-comparison</x:v>
      </x:c>
      <x:c r="F24" s="36" t="n">
        <x:v>4</x:v>
      </x:c>
      <x:c r="G24" s="36" t="n">
        <x:v>4</x:v>
      </x:c>
      <x:c r="H24" s="36" t="n">
        <x:v>5</x:v>
      </x:c>
      <x:c r="I24" s="36" t="n">
        <x:v>4</x:v>
      </x:c>
      <x:c r="J24" s="38" t="n">
        <x:v>46268.047164247684</x:v>
      </x:c>
      <x:c r="K24" s="38" t="n">
        <x:v>46268.05247449074</x:v>
      </x:c>
      <x:c r="L24" s="40" t="n">
        <x:f>IF(OR(J24="",K24=""),"",(K24-J24)*'Readme-Protocol'!$B$31)</x:f>
        <x:v>458.80499985069036</x:v>
      </x:c>
      <x:c r="M24" s="34" t="str">
        <x:v>74e1317586569900364a74962827d9ad877d29edb1c92ecd6b10a133f38c3243</x:v>
      </x:c>
      <x:c r="N24" s="34" t="str">
        <x:v>sha256:968b00243361bf927f9e7c869f896ff64c87584edb860fd6b1465d54a1735581</x:v>
      </x:c>
      <x:c r="O24" s="34" t="str">
        <x:v>testcache-benchmark:v4</x:v>
      </x:c>
      <x:c r="P24" s="38" t="n">
        <x:v>46268.046958530096</x:v>
      </x:c>
      <x:c r="Q24" s="42" t="n">
        <x:v>4</x:v>
      </x:c>
      <x:c r="R24" s="34" t="str">
        <x:v>AMD Ryzen 7 PRO 7840U w/ Radeon 780M Graphics</x:v>
      </x:c>
      <x:c r="S24" s="36" t="n">
        <x:v>16</x:v>
      </x:c>
      <x:c r="T24" s="43" t="n">
        <x:v>1610612736</x:v>
      </x:c>
      <x:c r="U24" s="40" t="n">
        <x:f>IF(T24="","",T24/'Readme-Protocol'!$B$26)</x:f>
        <x:v>1536</x:v>
      </x:c>
      <x:c r="V24" s="34" t="str">
        <x:v>Ubuntu 24.04.4 LTS</x:v>
      </x:c>
      <x:c r="W24" s="44" t="str">
        <x:v>Linux 74e131758656 6.18.33.2-microsoft-standard-WSL2 #1 SMP PREEMPT_DYNAMIC Thu Jun 18 21:54:43 UTC 2026 x86_64 x86_64 x86_64 GNU/Linux</x:v>
      </x:c>
      <x:c r="X24" s="34" t="str">
        <x:v>29.7.2</x:v>
      </x:c>
      <x:c r="Y24" s="34" t="str">
        <x:v>Docker Desktop</x:v>
      </x:c>
      <x:c r="Z24" s="34" t="str">
        <x:v>6.18.33.2-microsoft-standard-WSL2</x:v>
      </x:c>
      <x:c r="AA24" s="34" t="str">
        <x:v>x86_64</x:v>
      </x:c>
      <x:c r="AB24" s="34" t="str">
        <x:v>docker-desktop</x:v>
      </x:c>
      <x:c r="AC24" s="34" t="str">
        <x:v>Apache Tomcat/11.0.24</x:v>
      </x:c>
      <x:c r="AD24" s="34" t="str">
        <x:v>Linux</x:v>
      </x:c>
      <x:c r="AE24" s="34" t="str">
        <x:v>6.18.33.2-microsoft-standard-WSL2</x:v>
      </x:c>
      <x:c r="AF24" s="34" t="str">
        <x:v>amd64</x:v>
      </x:c>
      <x:c r="AG24" s="34" t="str">
        <x:v>25.0.3+9-LTS</x:v>
      </x:c>
      <x:c r="AH24" s="34" t="str">
        <x:v>Eclipse Adoptium</x:v>
      </x:c>
      <x:c r="AI24" s="44" t="str">
        <x:v>'-Xms256m -Xmx768m -XX:+UseG1GC -XX:NativeMemoryTracking=summary -Djava.awt.headless=true</x:v>
      </x:c>
      <x:c r="AJ24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4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4" s="34"/>
      <x:c r="AM24" s="34" t="str">
        <x:v>3.12.0</x:v>
      </x:c>
      <x:c r="AN24" s="44" t="str">
        <x:v>Protocollo v4.2; verificabile nell'effective POM quando presente nell'archivio</x:v>
      </x:c>
      <x:c r="AO24" s="34" t="str">
        <x:v>fb3f101b87709b713468e8d827b8612e6e65f29b</x:v>
      </x:c>
      <x:c r="AP24" s="34" t="str">
        <x:v>tomcat:11.0.24-jdk25-temurin-noble@sha256:6d673ad42da6498f05755cae67f85f2128bdfd88943c9bdb22e0965f8d4c3182</x:v>
      </x:c>
      <x:c r="AQ24" s="34" t="str">
        <x:v>tomcat:11.0.24-jdk25-temurin-noble@sha256:6d673ad42da6498f05755cae67f85f2128bdfd88943c9bdb22e0965f8d4c3182</x:v>
      </x:c>
      <x:c r="AR24" s="34" t="str">
        <x:v>sha256:6d673ad42da6498f05755cae67f85f2128bdfd88943c9bdb22e0965f8d4c3182</x:v>
      </x:c>
      <x:c r="AS24" s="45" t="b">
        <x:v>1</x:v>
      </x:c>
      <x:c r="AT24" s="34" t="str">
        <x:v>sha256:6d673ad42da6498f05755cae67f85f2128bdfd88943c9bdb22e0965f8d4c3182</x:v>
      </x:c>
      <x:c r="AU24" s="34" t="str">
        <x:v>maven:3.9.11-eclipse-temurin-25@sha256:407c4423cec0cf2981055bc2c6c0dc211d9605b6669279b95997f2d1c7e91e2c</x:v>
      </x:c>
      <x:c r="AV24" s="34" t="str">
        <x:v>maven:3.9.11-eclipse-temurin-25@sha256:407c4423cec0cf2981055bc2c6c0dc211d9605b6669279b95997f2d1c7e91e2c</x:v>
      </x:c>
      <x:c r="AW24" s="34" t="str">
        <x:v>sha256:407c4423cec0cf2981055bc2c6c0dc211d9605b6669279b95997f2d1c7e91e2c</x:v>
      </x:c>
      <x:c r="AX24" s="45" t="b">
        <x:v>1</x:v>
      </x:c>
      <x:c r="AY24" s="34" t="str">
        <x:v>sha256:407c4423cec0cf2981055bc2c6c0dc211d9605b6669279b95997f2d1c7e91e2c</x:v>
      </x:c>
      <x:c r="AZ24" s="34" t="str">
        <x:v>4.0.0-SNAPSHOT</x:v>
      </x:c>
      <x:c r="BA24" s="34" t="str">
        <x:v>fb3f101b87709b713468e8d827b8612e6e65f29b</x:v>
      </x:c>
      <x:c r="BB24" s="34" t="str">
        <x:v>cdbbde2db6e49e3c2f44c6caffd6fbefa85fe06e4a383b5d0b53f2747392edae</x:v>
      </x:c>
      <x:c r="BC24" s="34" t="str">
        <x:v>3.2.1</x:v>
      </x:c>
      <x:c r="BD24" s="34" t="str">
        <x:v>12c6fe08223820089f60969b6088e6ac5d358aa872de78357585cdacb6c61049</x:v>
      </x:c>
      <x:c r="BE24" s="34" t="str">
        <x:v>1805b8a170fa5ea5dc1b8ba79328a9c1e83ee1f9b510fe4f427f07dba6f95bc9</x:v>
      </x:c>
      <x:c r="BF24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4" s="34" t="str">
        <x:v>effective-pom.xml</x:v>
      </x:c>
      <x:c r="BH24" s="34" t="str">
        <x:v>0b744edc69da4e049fb2928c5434a331cf225aef38e3bfc5326c536a2f472d50</x:v>
      </x:c>
      <x:c r="BI24" s="43" t="n">
        <x:v>307699</x:v>
      </x:c>
      <x:c r="BJ24" s="34" t="str">
        <x:v>dependency-tree.txt</x:v>
      </x:c>
      <x:c r="BK24" s="34" t="str">
        <x:v>9277aea2be08f606ce4aa1e69c205c6e757280570cfc16abce613bf0a0ccf079</x:v>
      </x:c>
      <x:c r="BL24" s="43" t="n">
        <x:v>4634</x:v>
      </x:c>
      <x:c r="BM24" s="34" t="str">
        <x:v>build-provenance.properties</x:v>
      </x:c>
      <x:c r="BN24" s="34" t="str">
        <x:v>560565500c374b553afc554badb4427f7ae79b50a847971eb93f2b9b35c53317</x:v>
      </x:c>
      <x:c r="BO24" s="43" t="n">
        <x:v>189</x:v>
      </x:c>
      <x:c r="BP24" s="45" t="b">
        <x:v>1</x:v>
      </x:c>
      <x:c r="BQ24" s="44"/>
      <x:c r="BR24" s="36" t="n">
        <x:v>5</x:v>
      </x:c>
      <x:c r="BS24" s="36" t="n">
        <x:v>4</x:v>
      </x:c>
      <x:c r="BT24" s="36" t="n">
        <x:v>0</x:v>
      </x:c>
      <x:c r="BU24" s="36" t="n">
        <x:v>0</x:v>
      </x:c>
      <x:c r="BV24" s="34"/>
      <x:c r="BW24" s="34"/>
      <x:c r="BX24" s="34"/>
      <x:c r="BY24" s="43"/>
    </x:row>
    <x:row r="25">
      <x:c r="A25" s="34" t="str">
        <x:v>article1-unified-v4-2-fb3f101b-20260903-000401-default-f04-p6-caffeine</x:v>
      </x:c>
      <x:c r="B25" s="34" t="str">
        <x:v>default</x:v>
      </x:c>
      <x:c r="C25" s="34" t="str">
        <x:v>caffeine</x:v>
      </x:c>
      <x:c r="D25" s="34" t="str">
        <x:v>caffeine</x:v>
      </x:c>
      <x:c r="E25" s="34" t="str">
        <x:v>current-provider-primary-comparison</x:v>
      </x:c>
      <x:c r="F25" s="36" t="n">
        <x:v>4</x:v>
      </x:c>
      <x:c r="G25" s="36" t="n">
        <x:v>4</x:v>
      </x:c>
      <x:c r="H25" s="36" t="n">
        <x:v>6</x:v>
      </x:c>
      <x:c r="I25" s="36" t="n">
        <x:v>4</x:v>
      </x:c>
      <x:c r="J25" s="38" t="n">
        <x:v>46268.05269039352</x:v>
      </x:c>
      <x:c r="K25" s="38" t="n">
        <x:v>46268.05803827546</x:v>
      </x:c>
      <x:c r="L25" s="40" t="n">
        <x:f>IF(OR(J25="",K25=""),"",(K25-J25)*'Readme-Protocol'!$B$31)</x:f>
        <x:v>462.0570001658052</x:v>
      </x:c>
      <x:c r="M25" s="34" t="str">
        <x:v>9efe1b547f8d752bd1b0c51bf2822f654d674a99e08c6ebaa56e1ae6921e4095</x:v>
      </x:c>
      <x:c r="N25" s="34" t="str">
        <x:v>sha256:968b00243361bf927f9e7c869f896ff64c87584edb860fd6b1465d54a1735581</x:v>
      </x:c>
      <x:c r="O25" s="34" t="str">
        <x:v>testcache-benchmark:v4</x:v>
      </x:c>
      <x:c r="P25" s="38" t="n">
        <x:v>46268.05248986111</x:v>
      </x:c>
      <x:c r="Q25" s="42" t="n">
        <x:v>4</x:v>
      </x:c>
      <x:c r="R25" s="34" t="str">
        <x:v>AMD Ryzen 7 PRO 7840U w/ Radeon 780M Graphics</x:v>
      </x:c>
      <x:c r="S25" s="36" t="n">
        <x:v>16</x:v>
      </x:c>
      <x:c r="T25" s="43" t="n">
        <x:v>1610612736</x:v>
      </x:c>
      <x:c r="U25" s="40" t="n">
        <x:f>IF(T25="","",T25/'Readme-Protocol'!$B$26)</x:f>
        <x:v>1536</x:v>
      </x:c>
      <x:c r="V25" s="34" t="str">
        <x:v>Ubuntu 24.04.4 LTS</x:v>
      </x:c>
      <x:c r="W25" s="44" t="str">
        <x:v>Linux 9efe1b547f8d 6.18.33.2-microsoft-standard-WSL2 #1 SMP PREEMPT_DYNAMIC Thu Jun 18 21:54:43 UTC 2026 x86_64 x86_64 x86_64 GNU/Linux</x:v>
      </x:c>
      <x:c r="X25" s="34" t="str">
        <x:v>29.7.2</x:v>
      </x:c>
      <x:c r="Y25" s="34" t="str">
        <x:v>Docker Desktop</x:v>
      </x:c>
      <x:c r="Z25" s="34" t="str">
        <x:v>6.18.33.2-microsoft-standard-WSL2</x:v>
      </x:c>
      <x:c r="AA25" s="34" t="str">
        <x:v>x86_64</x:v>
      </x:c>
      <x:c r="AB25" s="34" t="str">
        <x:v>docker-desktop</x:v>
      </x:c>
      <x:c r="AC25" s="34" t="str">
        <x:v>Apache Tomcat/11.0.24</x:v>
      </x:c>
      <x:c r="AD25" s="34" t="str">
        <x:v>Linux</x:v>
      </x:c>
      <x:c r="AE25" s="34" t="str">
        <x:v>6.18.33.2-microsoft-standard-WSL2</x:v>
      </x:c>
      <x:c r="AF25" s="34" t="str">
        <x:v>amd64</x:v>
      </x:c>
      <x:c r="AG25" s="34" t="str">
        <x:v>25.0.3+9-LTS</x:v>
      </x:c>
      <x:c r="AH25" s="34" t="str">
        <x:v>Eclipse Adoptium</x:v>
      </x:c>
      <x:c r="AI25" s="44" t="str">
        <x:v>'-Xms256m -Xmx768m -XX:+UseG1GC -XX:NativeMemoryTracking=summary -Djava.awt.headless=true</x:v>
      </x:c>
      <x:c r="AJ25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5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5" s="34"/>
      <x:c r="AM25" s="34" t="str">
        <x:v>3.2.4</x:v>
      </x:c>
      <x:c r="AN25" s="44" t="str">
        <x:v>Protocollo v4.2; verificabile nell'effective POM quando presente nell'archivio</x:v>
      </x:c>
      <x:c r="AO25" s="34" t="str">
        <x:v>fb3f101b87709b713468e8d827b8612e6e65f29b</x:v>
      </x:c>
      <x:c r="AP25" s="34" t="str">
        <x:v>tomcat:11.0.24-jdk25-temurin-noble@sha256:6d673ad42da6498f05755cae67f85f2128bdfd88943c9bdb22e0965f8d4c3182</x:v>
      </x:c>
      <x:c r="AQ25" s="34" t="str">
        <x:v>tomcat:11.0.24-jdk25-temurin-noble@sha256:6d673ad42da6498f05755cae67f85f2128bdfd88943c9bdb22e0965f8d4c3182</x:v>
      </x:c>
      <x:c r="AR25" s="34" t="str">
        <x:v>sha256:6d673ad42da6498f05755cae67f85f2128bdfd88943c9bdb22e0965f8d4c3182</x:v>
      </x:c>
      <x:c r="AS25" s="45" t="b">
        <x:v>1</x:v>
      </x:c>
      <x:c r="AT25" s="34" t="str">
        <x:v>sha256:6d673ad42da6498f05755cae67f85f2128bdfd88943c9bdb22e0965f8d4c3182</x:v>
      </x:c>
      <x:c r="AU25" s="34" t="str">
        <x:v>maven:3.9.11-eclipse-temurin-25@sha256:407c4423cec0cf2981055bc2c6c0dc211d9605b6669279b95997f2d1c7e91e2c</x:v>
      </x:c>
      <x:c r="AV25" s="34" t="str">
        <x:v>maven:3.9.11-eclipse-temurin-25@sha256:407c4423cec0cf2981055bc2c6c0dc211d9605b6669279b95997f2d1c7e91e2c</x:v>
      </x:c>
      <x:c r="AW25" s="34" t="str">
        <x:v>sha256:407c4423cec0cf2981055bc2c6c0dc211d9605b6669279b95997f2d1c7e91e2c</x:v>
      </x:c>
      <x:c r="AX25" s="45" t="b">
        <x:v>1</x:v>
      </x:c>
      <x:c r="AY25" s="34" t="str">
        <x:v>sha256:407c4423cec0cf2981055bc2c6c0dc211d9605b6669279b95997f2d1c7e91e2c</x:v>
      </x:c>
      <x:c r="AZ25" s="34" t="str">
        <x:v>4.0.0-SNAPSHOT</x:v>
      </x:c>
      <x:c r="BA25" s="34" t="str">
        <x:v>fb3f101b87709b713468e8d827b8612e6e65f29b</x:v>
      </x:c>
      <x:c r="BB25" s="34" t="str">
        <x:v>cdbbde2db6e49e3c2f44c6caffd6fbefa85fe06e4a383b5d0b53f2747392edae</x:v>
      </x:c>
      <x:c r="BC25" s="34" t="str">
        <x:v>3.2.1</x:v>
      </x:c>
      <x:c r="BD25" s="34" t="str">
        <x:v>12c6fe08223820089f60969b6088e6ac5d358aa872de78357585cdacb6c61049</x:v>
      </x:c>
      <x:c r="BE25" s="34" t="str">
        <x:v>1805b8a170fa5ea5dc1b8ba79328a9c1e83ee1f9b510fe4f427f07dba6f95bc9</x:v>
      </x:c>
      <x:c r="BF25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5" s="34" t="str">
        <x:v>effective-pom.xml</x:v>
      </x:c>
      <x:c r="BH25" s="34" t="str">
        <x:v>0b744edc69da4e049fb2928c5434a331cf225aef38e3bfc5326c536a2f472d50</x:v>
      </x:c>
      <x:c r="BI25" s="43" t="n">
        <x:v>307699</x:v>
      </x:c>
      <x:c r="BJ25" s="34" t="str">
        <x:v>dependency-tree.txt</x:v>
      </x:c>
      <x:c r="BK25" s="34" t="str">
        <x:v>9277aea2be08f606ce4aa1e69c205c6e757280570cfc16abce613bf0a0ccf079</x:v>
      </x:c>
      <x:c r="BL25" s="43" t="n">
        <x:v>4634</x:v>
      </x:c>
      <x:c r="BM25" s="34" t="str">
        <x:v>build-provenance.properties</x:v>
      </x:c>
      <x:c r="BN25" s="34" t="str">
        <x:v>560565500c374b553afc554badb4427f7ae79b50a847971eb93f2b9b35c53317</x:v>
      </x:c>
      <x:c r="BO25" s="43" t="n">
        <x:v>189</x:v>
      </x:c>
      <x:c r="BP25" s="45" t="b">
        <x:v>1</x:v>
      </x:c>
      <x:c r="BQ25" s="44"/>
      <x:c r="BR25" s="36" t="n">
        <x:v>5</x:v>
      </x:c>
      <x:c r="BS25" s="36" t="n">
        <x:v>0</x:v>
      </x:c>
      <x:c r="BT25" s="36" t="n">
        <x:v>0</x:v>
      </x:c>
      <x:c r="BU25" s="36" t="n">
        <x:v>0</x:v>
      </x:c>
      <x:c r="BV25" s="34"/>
      <x:c r="BW25" s="34"/>
      <x:c r="BX25" s="34"/>
      <x:c r="BY25" s="43"/>
    </x:row>
    <x:row r="26">
      <x:c r="A26" s="34" t="str">
        <x:v>article1-unified-v4-2-fb3f101b-20260903-000401-default-f05-p1-jcs321</x:v>
      </x:c>
      <x:c r="B26" s="34" t="str">
        <x:v>default</x:v>
      </x:c>
      <x:c r="C26" s="34" t="str">
        <x:v>jcs321</x:v>
      </x:c>
      <x:c r="D26" s="34" t="str">
        <x:v>jcs321</x:v>
      </x:c>
      <x:c r="E26" s="34" t="str">
        <x:v>JCS-248-positive-control</x:v>
      </x:c>
      <x:c r="F26" s="36" t="n">
        <x:v>5</x:v>
      </x:c>
      <x:c r="G26" s="36" t="n">
        <x:v>5</x:v>
      </x:c>
      <x:c r="H26" s="36" t="n">
        <x:v>1</x:v>
      </x:c>
      <x:c r="I26" s="36" t="n">
        <x:v>5</x:v>
      </x:c>
      <x:c r="J26" s="38" t="n">
        <x:v>46268.05826946759</x:v>
      </x:c>
      <x:c r="K26" s="38" t="n">
        <x:v>46268.063636875</x:v>
      </x:c>
      <x:c r="L26" s="40" t="n">
        <x:f>IF(OR(J26="",K26=""),"",(K26-J26)*'Readme-Protocol'!$B$31)</x:f>
        <x:v>463.7440000427887</x:v>
      </x:c>
      <x:c r="M26" s="34" t="str">
        <x:v>4f0f54fb3f85a6c6de3c7ab97d08970d5e8194645dafb8bfcbe132ba4912c69e</x:v>
      </x:c>
      <x:c r="N26" s="34" t="str">
        <x:v>sha256:968b00243361bf927f9e7c869f896ff64c87584edb860fd6b1465d54a1735581</x:v>
      </x:c>
      <x:c r="O26" s="34" t="str">
        <x:v>testcache-benchmark:v4</x:v>
      </x:c>
      <x:c r="P26" s="38" t="n">
        <x:v>46268.05805770833</x:v>
      </x:c>
      <x:c r="Q26" s="42" t="n">
        <x:v>4</x:v>
      </x:c>
      <x:c r="R26" s="34" t="str">
        <x:v>AMD Ryzen 7 PRO 7840U w/ Radeon 780M Graphics</x:v>
      </x:c>
      <x:c r="S26" s="36" t="n">
        <x:v>16</x:v>
      </x:c>
      <x:c r="T26" s="43" t="n">
        <x:v>1610612736</x:v>
      </x:c>
      <x:c r="U26" s="40" t="n">
        <x:f>IF(T26="","",T26/'Readme-Protocol'!$B$26)</x:f>
        <x:v>1536</x:v>
      </x:c>
      <x:c r="V26" s="34" t="str">
        <x:v>Ubuntu 24.04.4 LTS</x:v>
      </x:c>
      <x:c r="W26" s="44" t="str">
        <x:v>Linux 4f0f54fb3f85 6.18.33.2-microsoft-standard-WSL2 #1 SMP PREEMPT_DYNAMIC Thu Jun 18 21:54:43 UTC 2026 x86_64 x86_64 x86_64 GNU/Linux</x:v>
      </x:c>
      <x:c r="X26" s="34" t="str">
        <x:v>29.7.2</x:v>
      </x:c>
      <x:c r="Y26" s="34" t="str">
        <x:v>Docker Desktop</x:v>
      </x:c>
      <x:c r="Z26" s="34" t="str">
        <x:v>6.18.33.2-microsoft-standard-WSL2</x:v>
      </x:c>
      <x:c r="AA26" s="34" t="str">
        <x:v>x86_64</x:v>
      </x:c>
      <x:c r="AB26" s="34" t="str">
        <x:v>docker-desktop</x:v>
      </x:c>
      <x:c r="AC26" s="34" t="str">
        <x:v>Apache Tomcat/11.0.24</x:v>
      </x:c>
      <x:c r="AD26" s="34" t="str">
        <x:v>Linux</x:v>
      </x:c>
      <x:c r="AE26" s="34" t="str">
        <x:v>6.18.33.2-microsoft-standard-WSL2</x:v>
      </x:c>
      <x:c r="AF26" s="34" t="str">
        <x:v>amd64</x:v>
      </x:c>
      <x:c r="AG26" s="34" t="str">
        <x:v>25.0.3+9-LTS</x:v>
      </x:c>
      <x:c r="AH26" s="34" t="str">
        <x:v>Eclipse Adoptium</x:v>
      </x:c>
      <x:c r="AI26" s="44" t="str">
        <x:v>'-Xms256m -Xmx768m -XX:+UseG1GC -XX:NativeMemoryTracking=summary -Djava.awt.headless=true</x:v>
      </x:c>
      <x:c r="AJ26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6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6" s="34" t="str">
        <x:v>3.2.1</x:v>
      </x:c>
      <x:c r="AM26" s="34" t="str">
        <x:v>3.2.1</x:v>
      </x:c>
      <x:c r="AN26" s="44" t="str">
        <x:v>Protocollo v4.2; valore runtime in environment.jcs321Version</x:v>
      </x:c>
      <x:c r="AO26" s="34" t="str">
        <x:v>fb3f101b87709b713468e8d827b8612e6e65f29b</x:v>
      </x:c>
      <x:c r="AP26" s="34" t="str">
        <x:v>tomcat:11.0.24-jdk25-temurin-noble@sha256:6d673ad42da6498f05755cae67f85f2128bdfd88943c9bdb22e0965f8d4c3182</x:v>
      </x:c>
      <x:c r="AQ26" s="34" t="str">
        <x:v>tomcat:11.0.24-jdk25-temurin-noble@sha256:6d673ad42da6498f05755cae67f85f2128bdfd88943c9bdb22e0965f8d4c3182</x:v>
      </x:c>
      <x:c r="AR26" s="34" t="str">
        <x:v>sha256:6d673ad42da6498f05755cae67f85f2128bdfd88943c9bdb22e0965f8d4c3182</x:v>
      </x:c>
      <x:c r="AS26" s="45" t="b">
        <x:v>1</x:v>
      </x:c>
      <x:c r="AT26" s="34" t="str">
        <x:v>sha256:6d673ad42da6498f05755cae67f85f2128bdfd88943c9bdb22e0965f8d4c3182</x:v>
      </x:c>
      <x:c r="AU26" s="34" t="str">
        <x:v>maven:3.9.11-eclipse-temurin-25@sha256:407c4423cec0cf2981055bc2c6c0dc211d9605b6669279b95997f2d1c7e91e2c</x:v>
      </x:c>
      <x:c r="AV26" s="34" t="str">
        <x:v>maven:3.9.11-eclipse-temurin-25@sha256:407c4423cec0cf2981055bc2c6c0dc211d9605b6669279b95997f2d1c7e91e2c</x:v>
      </x:c>
      <x:c r="AW26" s="34" t="str">
        <x:v>sha256:407c4423cec0cf2981055bc2c6c0dc211d9605b6669279b95997f2d1c7e91e2c</x:v>
      </x:c>
      <x:c r="AX26" s="45" t="b">
        <x:v>1</x:v>
      </x:c>
      <x:c r="AY26" s="34" t="str">
        <x:v>sha256:407c4423cec0cf2981055bc2c6c0dc211d9605b6669279b95997f2d1c7e91e2c</x:v>
      </x:c>
      <x:c r="AZ26" s="34" t="str">
        <x:v>4.0.0-SNAPSHOT</x:v>
      </x:c>
      <x:c r="BA26" s="34" t="str">
        <x:v>fb3f101b87709b713468e8d827b8612e6e65f29b</x:v>
      </x:c>
      <x:c r="BB26" s="34" t="str">
        <x:v>cdbbde2db6e49e3c2f44c6caffd6fbefa85fe06e4a383b5d0b53f2747392edae</x:v>
      </x:c>
      <x:c r="BC26" s="34" t="str">
        <x:v>3.2.1</x:v>
      </x:c>
      <x:c r="BD26" s="34" t="str">
        <x:v>12c6fe08223820089f60969b6088e6ac5d358aa872de78357585cdacb6c61049</x:v>
      </x:c>
      <x:c r="BE26" s="34" t="str">
        <x:v>1805b8a170fa5ea5dc1b8ba79328a9c1e83ee1f9b510fe4f427f07dba6f95bc9</x:v>
      </x:c>
      <x:c r="BF26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6" s="34" t="str">
        <x:v>effective-pom.xml</x:v>
      </x:c>
      <x:c r="BH26" s="34" t="str">
        <x:v>0b744edc69da4e049fb2928c5434a331cf225aef38e3bfc5326c536a2f472d50</x:v>
      </x:c>
      <x:c r="BI26" s="43" t="n">
        <x:v>307699</x:v>
      </x:c>
      <x:c r="BJ26" s="34" t="str">
        <x:v>dependency-tree.txt</x:v>
      </x:c>
      <x:c r="BK26" s="34" t="str">
        <x:v>9277aea2be08f606ce4aa1e69c205c6e757280570cfc16abce613bf0a0ccf079</x:v>
      </x:c>
      <x:c r="BL26" s="43" t="n">
        <x:v>4634</x:v>
      </x:c>
      <x:c r="BM26" s="34" t="str">
        <x:v>build-provenance.properties</x:v>
      </x:c>
      <x:c r="BN26" s="34" t="str">
        <x:v>560565500c374b553afc554badb4427f7ae79b50a847971eb93f2b9b35c53317</x:v>
      </x:c>
      <x:c r="BO26" s="43" t="n">
        <x:v>189</x:v>
      </x:c>
      <x:c r="BP26" s="45" t="b">
        <x:v>1</x:v>
      </x:c>
      <x:c r="BQ26" s="44"/>
      <x:c r="BR26" s="36" t="n">
        <x:v>5</x:v>
      </x:c>
      <x:c r="BS26" s="36" t="n">
        <x:v>20</x:v>
      </x:c>
      <x:c r="BT26" s="36" t="n">
        <x:v>10</x:v>
      </x:c>
      <x:c r="BU26" s="36" t="n">
        <x:v>10</x:v>
      </x:c>
      <x:c r="BV26" s="34" t="str">
        <x:v>jcs</x:v>
      </x:c>
      <x:c r="BW26" s="34" t="str">
        <x:v>article1-unified-v4-2-fb3f101b-20260903-000401-default-f05-p1-jcs321-final.hprof</x:v>
      </x:c>
      <x:c r="BX26" s="34" t="str">
        <x:v>53053e865c1dd545dd92c7ba17532017e9d8ccf340baa57d6dea8cfbf007012a</x:v>
      </x:c>
      <x:c r="BY26" s="43" t="n">
        <x:v>89054228</x:v>
      </x:c>
    </x:row>
    <x:row r="27">
      <x:c r="A27" s="34" t="str">
        <x:v>article1-unified-v4-2-fb3f101b-20260903-000401-default-f05-p2-nostore</x:v>
      </x:c>
      <x:c r="B27" s="34" t="str">
        <x:v>default</x:v>
      </x:c>
      <x:c r="C27" s="34" t="str">
        <x:v>nostore</x:v>
      </x:c>
      <x:c r="D27" s="34" t="str">
        <x:v>nostore</x:v>
      </x:c>
      <x:c r="E27" s="34" t="str">
        <x:v>lifecycle-negative-control</x:v>
      </x:c>
      <x:c r="F27" s="36" t="n">
        <x:v>5</x:v>
      </x:c>
      <x:c r="G27" s="36" t="n">
        <x:v>5</x:v>
      </x:c>
      <x:c r="H27" s="36" t="n">
        <x:v>2</x:v>
      </x:c>
      <x:c r="I27" s="36" t="n">
        <x:v>5</x:v>
      </x:c>
      <x:c r="J27" s="38" t="n">
        <x:v>46268.06386195602</x:v>
      </x:c>
      <x:c r="K27" s="38" t="n">
        <x:v>46268.069233368056</x:v>
      </x:c>
      <x:c r="L27" s="40" t="n">
        <x:f>IF(OR(J27="",K27=""),"",(K27-J27)*'Readme-Protocol'!$B$31)</x:f>
        <x:v>464.0899999765679</x:v>
      </x:c>
      <x:c r="M27" s="34" t="str">
        <x:v>a9169bb26873330cc58c265fbf9341aafd3973187f4d40634c3453b92935483d</x:v>
      </x:c>
      <x:c r="N27" s="34" t="str">
        <x:v>sha256:968b00243361bf927f9e7c869f896ff64c87584edb860fd6b1465d54a1735581</x:v>
      </x:c>
      <x:c r="O27" s="34" t="str">
        <x:v>testcache-benchmark:v4</x:v>
      </x:c>
      <x:c r="P27" s="38" t="n">
        <x:v>46268.06365930555</x:v>
      </x:c>
      <x:c r="Q27" s="42" t="n">
        <x:v>4</x:v>
      </x:c>
      <x:c r="R27" s="34" t="str">
        <x:v>AMD Ryzen 7 PRO 7840U w/ Radeon 780M Graphics</x:v>
      </x:c>
      <x:c r="S27" s="36" t="n">
        <x:v>16</x:v>
      </x:c>
      <x:c r="T27" s="43" t="n">
        <x:v>1610612736</x:v>
      </x:c>
      <x:c r="U27" s="40" t="n">
        <x:f>IF(T27="","",T27/'Readme-Protocol'!$B$26)</x:f>
        <x:v>1536</x:v>
      </x:c>
      <x:c r="V27" s="34" t="str">
        <x:v>Ubuntu 24.04.4 LTS</x:v>
      </x:c>
      <x:c r="W27" s="44" t="str">
        <x:v>Linux a9169bb26873 6.18.33.2-microsoft-standard-WSL2 #1 SMP PREEMPT_DYNAMIC Thu Jun 18 21:54:43 UTC 2026 x86_64 x86_64 x86_64 GNU/Linux</x:v>
      </x:c>
      <x:c r="X27" s="34" t="str">
        <x:v>29.7.2</x:v>
      </x:c>
      <x:c r="Y27" s="34" t="str">
        <x:v>Docker Desktop</x:v>
      </x:c>
      <x:c r="Z27" s="34" t="str">
        <x:v>6.18.33.2-microsoft-standard-WSL2</x:v>
      </x:c>
      <x:c r="AA27" s="34" t="str">
        <x:v>x86_64</x:v>
      </x:c>
      <x:c r="AB27" s="34" t="str">
        <x:v>docker-desktop</x:v>
      </x:c>
      <x:c r="AC27" s="34" t="str">
        <x:v>Apache Tomcat/11.0.24</x:v>
      </x:c>
      <x:c r="AD27" s="34" t="str">
        <x:v>Linux</x:v>
      </x:c>
      <x:c r="AE27" s="34" t="str">
        <x:v>6.18.33.2-microsoft-standard-WSL2</x:v>
      </x:c>
      <x:c r="AF27" s="34" t="str">
        <x:v>amd64</x:v>
      </x:c>
      <x:c r="AG27" s="34" t="str">
        <x:v>25.0.3+9-LTS</x:v>
      </x:c>
      <x:c r="AH27" s="34" t="str">
        <x:v>Eclipse Adoptium</x:v>
      </x:c>
      <x:c r="AI27" s="44" t="str">
        <x:v>'-Xms256m -Xmx768m -XX:+UseG1GC -XX:NativeMemoryTracking=summary -Djava.awt.headless=true</x:v>
      </x:c>
      <x:c r="AJ27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7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7" s="34"/>
      <x:c r="AM27" s="34"/>
      <x:c r="AN27" s="44" t="str">
        <x:v>Non applicabile: controllo senza motore di cache</x:v>
      </x:c>
      <x:c r="AO27" s="34" t="str">
        <x:v>fb3f101b87709b713468e8d827b8612e6e65f29b</x:v>
      </x:c>
      <x:c r="AP27" s="34" t="str">
        <x:v>tomcat:11.0.24-jdk25-temurin-noble@sha256:6d673ad42da6498f05755cae67f85f2128bdfd88943c9bdb22e0965f8d4c3182</x:v>
      </x:c>
      <x:c r="AQ27" s="34" t="str">
        <x:v>tomcat:11.0.24-jdk25-temurin-noble@sha256:6d673ad42da6498f05755cae67f85f2128bdfd88943c9bdb22e0965f8d4c3182</x:v>
      </x:c>
      <x:c r="AR27" s="34" t="str">
        <x:v>sha256:6d673ad42da6498f05755cae67f85f2128bdfd88943c9bdb22e0965f8d4c3182</x:v>
      </x:c>
      <x:c r="AS27" s="45" t="b">
        <x:v>1</x:v>
      </x:c>
      <x:c r="AT27" s="34" t="str">
        <x:v>sha256:6d673ad42da6498f05755cae67f85f2128bdfd88943c9bdb22e0965f8d4c3182</x:v>
      </x:c>
      <x:c r="AU27" s="34" t="str">
        <x:v>maven:3.9.11-eclipse-temurin-25@sha256:407c4423cec0cf2981055bc2c6c0dc211d9605b6669279b95997f2d1c7e91e2c</x:v>
      </x:c>
      <x:c r="AV27" s="34" t="str">
        <x:v>maven:3.9.11-eclipse-temurin-25@sha256:407c4423cec0cf2981055bc2c6c0dc211d9605b6669279b95997f2d1c7e91e2c</x:v>
      </x:c>
      <x:c r="AW27" s="34" t="str">
        <x:v>sha256:407c4423cec0cf2981055bc2c6c0dc211d9605b6669279b95997f2d1c7e91e2c</x:v>
      </x:c>
      <x:c r="AX27" s="45" t="b">
        <x:v>1</x:v>
      </x:c>
      <x:c r="AY27" s="34" t="str">
        <x:v>sha256:407c4423cec0cf2981055bc2c6c0dc211d9605b6669279b95997f2d1c7e91e2c</x:v>
      </x:c>
      <x:c r="AZ27" s="34" t="str">
        <x:v>4.0.0-SNAPSHOT</x:v>
      </x:c>
      <x:c r="BA27" s="34" t="str">
        <x:v>fb3f101b87709b713468e8d827b8612e6e65f29b</x:v>
      </x:c>
      <x:c r="BB27" s="34" t="str">
        <x:v>cdbbde2db6e49e3c2f44c6caffd6fbefa85fe06e4a383b5d0b53f2747392edae</x:v>
      </x:c>
      <x:c r="BC27" s="34" t="str">
        <x:v>3.2.1</x:v>
      </x:c>
      <x:c r="BD27" s="34" t="str">
        <x:v>12c6fe08223820089f60969b6088e6ac5d358aa872de78357585cdacb6c61049</x:v>
      </x:c>
      <x:c r="BE27" s="34" t="str">
        <x:v>1805b8a170fa5ea5dc1b8ba79328a9c1e83ee1f9b510fe4f427f07dba6f95bc9</x:v>
      </x:c>
      <x:c r="BF27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7" s="34" t="str">
        <x:v>effective-pom.xml</x:v>
      </x:c>
      <x:c r="BH27" s="34" t="str">
        <x:v>0b744edc69da4e049fb2928c5434a331cf225aef38e3bfc5326c536a2f472d50</x:v>
      </x:c>
      <x:c r="BI27" s="43" t="n">
        <x:v>307699</x:v>
      </x:c>
      <x:c r="BJ27" s="34" t="str">
        <x:v>dependency-tree.txt</x:v>
      </x:c>
      <x:c r="BK27" s="34" t="str">
        <x:v>9277aea2be08f606ce4aa1e69c205c6e757280570cfc16abce613bf0a0ccf079</x:v>
      </x:c>
      <x:c r="BL27" s="43" t="n">
        <x:v>4634</x:v>
      </x:c>
      <x:c r="BM27" s="34" t="str">
        <x:v>build-provenance.properties</x:v>
      </x:c>
      <x:c r="BN27" s="34" t="str">
        <x:v>560565500c374b553afc554badb4427f7ae79b50a847971eb93f2b9b35c53317</x:v>
      </x:c>
      <x:c r="BO27" s="43" t="n">
        <x:v>189</x:v>
      </x:c>
      <x:c r="BP27" s="45" t="b">
        <x:v>1</x:v>
      </x:c>
      <x:c r="BQ27" s="44"/>
      <x:c r="BR27" s="36" t="n">
        <x:v>5</x:v>
      </x:c>
      <x:c r="BS27" s="36" t="n">
        <x:v>0</x:v>
      </x:c>
      <x:c r="BT27" s="36" t="n">
        <x:v>0</x:v>
      </x:c>
      <x:c r="BU27" s="36" t="n">
        <x:v>0</x:v>
      </x:c>
      <x:c r="BV27" s="34"/>
      <x:c r="BW27" s="34"/>
      <x:c r="BX27" s="34"/>
      <x:c r="BY27" s="43"/>
    </x:row>
    <x:row r="28">
      <x:c r="A28" s="34" t="str">
        <x:v>article1-unified-v4-2-fb3f101b-20260903-000401-default-f05-p3-jcs4</x:v>
      </x:c>
      <x:c r="B28" s="34" t="str">
        <x:v>default</x:v>
      </x:c>
      <x:c r="C28" s="34" t="str">
        <x:v>jcs4</x:v>
      </x:c>
      <x:c r="D28" s="34" t="str">
        <x:v>jcs4</x:v>
      </x:c>
      <x:c r="E28" s="34" t="str">
        <x:v>current-provider-primary-comparison</x:v>
      </x:c>
      <x:c r="F28" s="36" t="n">
        <x:v>5</x:v>
      </x:c>
      <x:c r="G28" s="36" t="n">
        <x:v>5</x:v>
      </x:c>
      <x:c r="H28" s="36" t="n">
        <x:v>3</x:v>
      </x:c>
      <x:c r="I28" s="36" t="n">
        <x:v>5</x:v>
      </x:c>
      <x:c r="J28" s="38" t="n">
        <x:v>46268.06945569444</x:v>
      </x:c>
      <x:c r="K28" s="38" t="n">
        <x:v>46268.074769652776</x:v>
      </x:c>
      <x:c r="L28" s="40" t="n">
        <x:f>IF(OR(J28="",K28=""),"",(K28-J28)*'Readme-Protocol'!$B$31)</x:f>
        <x:v>459.12599992007017</x:v>
      </x:c>
      <x:c r="M28" s="34" t="str">
        <x:v>c382eb349eae374f0d100a01d412cd7d4d5b6e0d92c52dada88b110b013176cf</x:v>
      </x:c>
      <x:c r="N28" s="34" t="str">
        <x:v>sha256:968b00243361bf927f9e7c869f896ff64c87584edb860fd6b1465d54a1735581</x:v>
      </x:c>
      <x:c r="O28" s="34" t="str">
        <x:v>testcache-benchmark:v4</x:v>
      </x:c>
      <x:c r="P28" s="38" t="n">
        <x:v>46268.069249328706</x:v>
      </x:c>
      <x:c r="Q28" s="42" t="n">
        <x:v>4</x:v>
      </x:c>
      <x:c r="R28" s="34" t="str">
        <x:v>AMD Ryzen 7 PRO 7840U w/ Radeon 780M Graphics</x:v>
      </x:c>
      <x:c r="S28" s="36" t="n">
        <x:v>16</x:v>
      </x:c>
      <x:c r="T28" s="43" t="n">
        <x:v>1610612736</x:v>
      </x:c>
      <x:c r="U28" s="40" t="n">
        <x:f>IF(T28="","",T28/'Readme-Protocol'!$B$26)</x:f>
        <x:v>1536</x:v>
      </x:c>
      <x:c r="V28" s="34" t="str">
        <x:v>Ubuntu 24.04.4 LTS</x:v>
      </x:c>
      <x:c r="W28" s="44" t="str">
        <x:v>Linux c382eb349eae 6.18.33.2-microsoft-standard-WSL2 #1 SMP PREEMPT_DYNAMIC Thu Jun 18 21:54:43 UTC 2026 x86_64 x86_64 x86_64 GNU/Linux</x:v>
      </x:c>
      <x:c r="X28" s="34" t="str">
        <x:v>29.7.2</x:v>
      </x:c>
      <x:c r="Y28" s="34" t="str">
        <x:v>Docker Desktop</x:v>
      </x:c>
      <x:c r="Z28" s="34" t="str">
        <x:v>6.18.33.2-microsoft-standard-WSL2</x:v>
      </x:c>
      <x:c r="AA28" s="34" t="str">
        <x:v>x86_64</x:v>
      </x:c>
      <x:c r="AB28" s="34" t="str">
        <x:v>docker-desktop</x:v>
      </x:c>
      <x:c r="AC28" s="34" t="str">
        <x:v>Apache Tomcat/11.0.24</x:v>
      </x:c>
      <x:c r="AD28" s="34" t="str">
        <x:v>Linux</x:v>
      </x:c>
      <x:c r="AE28" s="34" t="str">
        <x:v>6.18.33.2-microsoft-standard-WSL2</x:v>
      </x:c>
      <x:c r="AF28" s="34" t="str">
        <x:v>amd64</x:v>
      </x:c>
      <x:c r="AG28" s="34" t="str">
        <x:v>25.0.3+9-LTS</x:v>
      </x:c>
      <x:c r="AH28" s="34" t="str">
        <x:v>Eclipse Adoptium</x:v>
      </x:c>
      <x:c r="AI28" s="44" t="str">
        <x:v>'-Xms256m -Xmx768m -XX:+UseG1GC -XX:NativeMemoryTracking=summary -Djava.awt.headless=true</x:v>
      </x:c>
      <x:c r="AJ28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8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8" s="34" t="str">
        <x:v>4.0.0-SNAPSHOT</x:v>
      </x:c>
      <x:c r="AM28" s="34" t="str">
        <x:v>4.0.0-SNAPSHOT</x:v>
      </x:c>
      <x:c r="AN28" s="44" t="str">
        <x:v>Protocollo v4.2; valore runtime in environment.jcs4Version</x:v>
      </x:c>
      <x:c r="AO28" s="34" t="str">
        <x:v>fb3f101b87709b713468e8d827b8612e6e65f29b</x:v>
      </x:c>
      <x:c r="AP28" s="34" t="str">
        <x:v>tomcat:11.0.24-jdk25-temurin-noble@sha256:6d673ad42da6498f05755cae67f85f2128bdfd88943c9bdb22e0965f8d4c3182</x:v>
      </x:c>
      <x:c r="AQ28" s="34" t="str">
        <x:v>tomcat:11.0.24-jdk25-temurin-noble@sha256:6d673ad42da6498f05755cae67f85f2128bdfd88943c9bdb22e0965f8d4c3182</x:v>
      </x:c>
      <x:c r="AR28" s="34" t="str">
        <x:v>sha256:6d673ad42da6498f05755cae67f85f2128bdfd88943c9bdb22e0965f8d4c3182</x:v>
      </x:c>
      <x:c r="AS28" s="45" t="b">
        <x:v>1</x:v>
      </x:c>
      <x:c r="AT28" s="34" t="str">
        <x:v>sha256:6d673ad42da6498f05755cae67f85f2128bdfd88943c9bdb22e0965f8d4c3182</x:v>
      </x:c>
      <x:c r="AU28" s="34" t="str">
        <x:v>maven:3.9.11-eclipse-temurin-25@sha256:407c4423cec0cf2981055bc2c6c0dc211d9605b6669279b95997f2d1c7e91e2c</x:v>
      </x:c>
      <x:c r="AV28" s="34" t="str">
        <x:v>maven:3.9.11-eclipse-temurin-25@sha256:407c4423cec0cf2981055bc2c6c0dc211d9605b6669279b95997f2d1c7e91e2c</x:v>
      </x:c>
      <x:c r="AW28" s="34" t="str">
        <x:v>sha256:407c4423cec0cf2981055bc2c6c0dc211d9605b6669279b95997f2d1c7e91e2c</x:v>
      </x:c>
      <x:c r="AX28" s="45" t="b">
        <x:v>1</x:v>
      </x:c>
      <x:c r="AY28" s="34" t="str">
        <x:v>sha256:407c4423cec0cf2981055bc2c6c0dc211d9605b6669279b95997f2d1c7e91e2c</x:v>
      </x:c>
      <x:c r="AZ28" s="34" t="str">
        <x:v>4.0.0-SNAPSHOT</x:v>
      </x:c>
      <x:c r="BA28" s="34" t="str">
        <x:v>fb3f101b87709b713468e8d827b8612e6e65f29b</x:v>
      </x:c>
      <x:c r="BB28" s="34" t="str">
        <x:v>cdbbde2db6e49e3c2f44c6caffd6fbefa85fe06e4a383b5d0b53f2747392edae</x:v>
      </x:c>
      <x:c r="BC28" s="34" t="str">
        <x:v>3.2.1</x:v>
      </x:c>
      <x:c r="BD28" s="34" t="str">
        <x:v>12c6fe08223820089f60969b6088e6ac5d358aa872de78357585cdacb6c61049</x:v>
      </x:c>
      <x:c r="BE28" s="34" t="str">
        <x:v>1805b8a170fa5ea5dc1b8ba79328a9c1e83ee1f9b510fe4f427f07dba6f95bc9</x:v>
      </x:c>
      <x:c r="BF28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8" s="34" t="str">
        <x:v>effective-pom.xml</x:v>
      </x:c>
      <x:c r="BH28" s="34" t="str">
        <x:v>0b744edc69da4e049fb2928c5434a331cf225aef38e3bfc5326c536a2f472d50</x:v>
      </x:c>
      <x:c r="BI28" s="43" t="n">
        <x:v>307699</x:v>
      </x:c>
      <x:c r="BJ28" s="34" t="str">
        <x:v>dependency-tree.txt</x:v>
      </x:c>
      <x:c r="BK28" s="34" t="str">
        <x:v>9277aea2be08f606ce4aa1e69c205c6e757280570cfc16abce613bf0a0ccf079</x:v>
      </x:c>
      <x:c r="BL28" s="43" t="n">
        <x:v>4634</x:v>
      </x:c>
      <x:c r="BM28" s="34" t="str">
        <x:v>build-provenance.properties</x:v>
      </x:c>
      <x:c r="BN28" s="34" t="str">
        <x:v>560565500c374b553afc554badb4427f7ae79b50a847971eb93f2b9b35c53317</x:v>
      </x:c>
      <x:c r="BO28" s="43" t="n">
        <x:v>189</x:v>
      </x:c>
      <x:c r="BP28" s="45" t="b">
        <x:v>1</x:v>
      </x:c>
      <x:c r="BQ28" s="44"/>
      <x:c r="BR28" s="36" t="n">
        <x:v>5</x:v>
      </x:c>
      <x:c r="BS28" s="36" t="n">
        <x:v>20</x:v>
      </x:c>
      <x:c r="BT28" s="36" t="n">
        <x:v>0</x:v>
      </x:c>
      <x:c r="BU28" s="36" t="n">
        <x:v>0</x:v>
      </x:c>
      <x:c r="BV28" s="34" t="str">
        <x:v>jcs</x:v>
      </x:c>
      <x:c r="BW28" s="34" t="str">
        <x:v>article1-unified-v4-2-fb3f101b-20260903-000401-default-f05-p3-jcs4-final.hprof</x:v>
      </x:c>
      <x:c r="BX28" s="34" t="str">
        <x:v>18b97c7119e3c9b161bcbf41beed3e85515204ebf7c98fb267060d006ddac58b</x:v>
      </x:c>
      <x:c r="BY28" s="43" t="n">
        <x:v>31337750</x:v>
      </x:c>
    </x:row>
    <x:row r="29">
      <x:c r="A29" s="34" t="str">
        <x:v>article1-unified-v4-2-fb3f101b-20260903-000401-default-f05-p4-caffeine</x:v>
      </x:c>
      <x:c r="B29" s="34" t="str">
        <x:v>default</x:v>
      </x:c>
      <x:c r="C29" s="34" t="str">
        <x:v>caffeine</x:v>
      </x:c>
      <x:c r="D29" s="34" t="str">
        <x:v>caffeine</x:v>
      </x:c>
      <x:c r="E29" s="34" t="str">
        <x:v>current-provider-primary-comparison</x:v>
      </x:c>
      <x:c r="F29" s="36" t="n">
        <x:v>5</x:v>
      </x:c>
      <x:c r="G29" s="36" t="n">
        <x:v>5</x:v>
      </x:c>
      <x:c r="H29" s="36" t="n">
        <x:v>4</x:v>
      </x:c>
      <x:c r="I29" s="36" t="n">
        <x:v>5</x:v>
      </x:c>
      <x:c r="J29" s="38" t="n">
        <x:v>46268.074993125</x:v>
      </x:c>
      <x:c r="K29" s="38" t="n">
        <x:v>46268.0803175</x:v>
      </x:c>
      <x:c r="L29" s="40" t="n">
        <x:f>IF(OR(J29="",K29=""),"",(K29-J29)*'Readme-Protocol'!$B$31)</x:f>
        <x:v>460.02599943894893</x:v>
      </x:c>
      <x:c r="M29" s="34" t="str">
        <x:v>0523ad6e027460231730700a0d90db7c33f4f0225e352c4a2e16f47860df6394</x:v>
      </x:c>
      <x:c r="N29" s="34" t="str">
        <x:v>sha256:968b00243361bf927f9e7c869f896ff64c87584edb860fd6b1465d54a1735581</x:v>
      </x:c>
      <x:c r="O29" s="34" t="str">
        <x:v>testcache-benchmark:v4</x:v>
      </x:c>
      <x:c r="P29" s="38" t="n">
        <x:v>46268.07478945602</x:v>
      </x:c>
      <x:c r="Q29" s="42" t="n">
        <x:v>4</x:v>
      </x:c>
      <x:c r="R29" s="34" t="str">
        <x:v>AMD Ryzen 7 PRO 7840U w/ Radeon 780M Graphics</x:v>
      </x:c>
      <x:c r="S29" s="36" t="n">
        <x:v>16</x:v>
      </x:c>
      <x:c r="T29" s="43" t="n">
        <x:v>1610612736</x:v>
      </x:c>
      <x:c r="U29" s="40" t="n">
        <x:f>IF(T29="","",T29/'Readme-Protocol'!$B$26)</x:f>
        <x:v>1536</x:v>
      </x:c>
      <x:c r="V29" s="34" t="str">
        <x:v>Ubuntu 24.04.4 LTS</x:v>
      </x:c>
      <x:c r="W29" s="44" t="str">
        <x:v>Linux 0523ad6e0274 6.18.33.2-microsoft-standard-WSL2 #1 SMP PREEMPT_DYNAMIC Thu Jun 18 21:54:43 UTC 2026 x86_64 x86_64 x86_64 GNU/Linux</x:v>
      </x:c>
      <x:c r="X29" s="34" t="str">
        <x:v>29.7.2</x:v>
      </x:c>
      <x:c r="Y29" s="34" t="str">
        <x:v>Docker Desktop</x:v>
      </x:c>
      <x:c r="Z29" s="34" t="str">
        <x:v>6.18.33.2-microsoft-standard-WSL2</x:v>
      </x:c>
      <x:c r="AA29" s="34" t="str">
        <x:v>x86_64</x:v>
      </x:c>
      <x:c r="AB29" s="34" t="str">
        <x:v>docker-desktop</x:v>
      </x:c>
      <x:c r="AC29" s="34" t="str">
        <x:v>Apache Tomcat/11.0.24</x:v>
      </x:c>
      <x:c r="AD29" s="34" t="str">
        <x:v>Linux</x:v>
      </x:c>
      <x:c r="AE29" s="34" t="str">
        <x:v>6.18.33.2-microsoft-standard-WSL2</x:v>
      </x:c>
      <x:c r="AF29" s="34" t="str">
        <x:v>amd64</x:v>
      </x:c>
      <x:c r="AG29" s="34" t="str">
        <x:v>25.0.3+9-LTS</x:v>
      </x:c>
      <x:c r="AH29" s="34" t="str">
        <x:v>Eclipse Adoptium</x:v>
      </x:c>
      <x:c r="AI29" s="44" t="str">
        <x:v>'-Xms256m -Xmx768m -XX:+UseG1GC -XX:NativeMemoryTracking=summary -Djava.awt.headless=true</x:v>
      </x:c>
      <x:c r="AJ29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29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29" s="34"/>
      <x:c r="AM29" s="34" t="str">
        <x:v>3.2.4</x:v>
      </x:c>
      <x:c r="AN29" s="44" t="str">
        <x:v>Protocollo v4.2; verificabile nell'effective POM quando presente nell'archivio</x:v>
      </x:c>
      <x:c r="AO29" s="34" t="str">
        <x:v>fb3f101b87709b713468e8d827b8612e6e65f29b</x:v>
      </x:c>
      <x:c r="AP29" s="34" t="str">
        <x:v>tomcat:11.0.24-jdk25-temurin-noble@sha256:6d673ad42da6498f05755cae67f85f2128bdfd88943c9bdb22e0965f8d4c3182</x:v>
      </x:c>
      <x:c r="AQ29" s="34" t="str">
        <x:v>tomcat:11.0.24-jdk25-temurin-noble@sha256:6d673ad42da6498f05755cae67f85f2128bdfd88943c9bdb22e0965f8d4c3182</x:v>
      </x:c>
      <x:c r="AR29" s="34" t="str">
        <x:v>sha256:6d673ad42da6498f05755cae67f85f2128bdfd88943c9bdb22e0965f8d4c3182</x:v>
      </x:c>
      <x:c r="AS29" s="45" t="b">
        <x:v>1</x:v>
      </x:c>
      <x:c r="AT29" s="34" t="str">
        <x:v>sha256:6d673ad42da6498f05755cae67f85f2128bdfd88943c9bdb22e0965f8d4c3182</x:v>
      </x:c>
      <x:c r="AU29" s="34" t="str">
        <x:v>maven:3.9.11-eclipse-temurin-25@sha256:407c4423cec0cf2981055bc2c6c0dc211d9605b6669279b95997f2d1c7e91e2c</x:v>
      </x:c>
      <x:c r="AV29" s="34" t="str">
        <x:v>maven:3.9.11-eclipse-temurin-25@sha256:407c4423cec0cf2981055bc2c6c0dc211d9605b6669279b95997f2d1c7e91e2c</x:v>
      </x:c>
      <x:c r="AW29" s="34" t="str">
        <x:v>sha256:407c4423cec0cf2981055bc2c6c0dc211d9605b6669279b95997f2d1c7e91e2c</x:v>
      </x:c>
      <x:c r="AX29" s="45" t="b">
        <x:v>1</x:v>
      </x:c>
      <x:c r="AY29" s="34" t="str">
        <x:v>sha256:407c4423cec0cf2981055bc2c6c0dc211d9605b6669279b95997f2d1c7e91e2c</x:v>
      </x:c>
      <x:c r="AZ29" s="34" t="str">
        <x:v>4.0.0-SNAPSHOT</x:v>
      </x:c>
      <x:c r="BA29" s="34" t="str">
        <x:v>fb3f101b87709b713468e8d827b8612e6e65f29b</x:v>
      </x:c>
      <x:c r="BB29" s="34" t="str">
        <x:v>cdbbde2db6e49e3c2f44c6caffd6fbefa85fe06e4a383b5d0b53f2747392edae</x:v>
      </x:c>
      <x:c r="BC29" s="34" t="str">
        <x:v>3.2.1</x:v>
      </x:c>
      <x:c r="BD29" s="34" t="str">
        <x:v>12c6fe08223820089f60969b6088e6ac5d358aa872de78357585cdacb6c61049</x:v>
      </x:c>
      <x:c r="BE29" s="34" t="str">
        <x:v>1805b8a170fa5ea5dc1b8ba79328a9c1e83ee1f9b510fe4f427f07dba6f95bc9</x:v>
      </x:c>
      <x:c r="BF29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29" s="34" t="str">
        <x:v>effective-pom.xml</x:v>
      </x:c>
      <x:c r="BH29" s="34" t="str">
        <x:v>0b744edc69da4e049fb2928c5434a331cf225aef38e3bfc5326c536a2f472d50</x:v>
      </x:c>
      <x:c r="BI29" s="43" t="n">
        <x:v>307699</x:v>
      </x:c>
      <x:c r="BJ29" s="34" t="str">
        <x:v>dependency-tree.txt</x:v>
      </x:c>
      <x:c r="BK29" s="34" t="str">
        <x:v>9277aea2be08f606ce4aa1e69c205c6e757280570cfc16abce613bf0a0ccf079</x:v>
      </x:c>
      <x:c r="BL29" s="43" t="n">
        <x:v>4634</x:v>
      </x:c>
      <x:c r="BM29" s="34" t="str">
        <x:v>build-provenance.properties</x:v>
      </x:c>
      <x:c r="BN29" s="34" t="str">
        <x:v>560565500c374b553afc554badb4427f7ae79b50a847971eb93f2b9b35c53317</x:v>
      </x:c>
      <x:c r="BO29" s="43" t="n">
        <x:v>189</x:v>
      </x:c>
      <x:c r="BP29" s="45" t="b">
        <x:v>1</x:v>
      </x:c>
      <x:c r="BQ29" s="44"/>
      <x:c r="BR29" s="36" t="n">
        <x:v>5</x:v>
      </x:c>
      <x:c r="BS29" s="36" t="n">
        <x:v>0</x:v>
      </x:c>
      <x:c r="BT29" s="36" t="n">
        <x:v>0</x:v>
      </x:c>
      <x:c r="BU29" s="36" t="n">
        <x:v>0</x:v>
      </x:c>
      <x:c r="BV29" s="34"/>
      <x:c r="BW29" s="34"/>
      <x:c r="BX29" s="34"/>
      <x:c r="BY29" s="43"/>
    </x:row>
    <x:row r="30">
      <x:c r="A30" s="34" t="str">
        <x:v>article1-unified-v4-2-fb3f101b-20260903-000401-default-f05-p5-cache2k</x:v>
      </x:c>
      <x:c r="B30" s="34" t="str">
        <x:v>default</x:v>
      </x:c>
      <x:c r="C30" s="34" t="str">
        <x:v>cache2k</x:v>
      </x:c>
      <x:c r="D30" s="34" t="str">
        <x:v>cache2k</x:v>
      </x:c>
      <x:c r="E30" s="34" t="str">
        <x:v>current-provider-primary-comparison</x:v>
      </x:c>
      <x:c r="F30" s="36" t="n">
        <x:v>5</x:v>
      </x:c>
      <x:c r="G30" s="36" t="n">
        <x:v>5</x:v>
      </x:c>
      <x:c r="H30" s="36" t="n">
        <x:v>5</x:v>
      </x:c>
      <x:c r="I30" s="36" t="n">
        <x:v>5</x:v>
      </x:c>
      <x:c r="J30" s="38" t="n">
        <x:v>46268.080540891206</x:v>
      </x:c>
      <x:c r="K30" s="38" t="n">
        <x:v>46268.08589430556</x:v>
      </x:c>
      <x:c r="L30" s="40" t="n">
        <x:f>IF(OR(J30="",K30=""),"",(K30-J30)*'Readme-Protocol'!$B$31)</x:f>
        <x:v>462.5349999871105</x:v>
      </x:c>
      <x:c r="M30" s="34" t="str">
        <x:v>b4e5181d55fe42fc0c2afdd6684f36b251d06195444be2eda052ef2cd100840a</x:v>
      </x:c>
      <x:c r="N30" s="34" t="str">
        <x:v>sha256:968b00243361bf927f9e7c869f896ff64c87584edb860fd6b1465d54a1735581</x:v>
      </x:c>
      <x:c r="O30" s="34" t="str">
        <x:v>testcache-benchmark:v4</x:v>
      </x:c>
      <x:c r="P30" s="38" t="n">
        <x:v>46268.08033675926</x:v>
      </x:c>
      <x:c r="Q30" s="42" t="n">
        <x:v>4</x:v>
      </x:c>
      <x:c r="R30" s="34" t="str">
        <x:v>AMD Ryzen 7 PRO 7840U w/ Radeon 780M Graphics</x:v>
      </x:c>
      <x:c r="S30" s="36" t="n">
        <x:v>16</x:v>
      </x:c>
      <x:c r="T30" s="43" t="n">
        <x:v>1610612736</x:v>
      </x:c>
      <x:c r="U30" s="40" t="n">
        <x:f>IF(T30="","",T30/'Readme-Protocol'!$B$26)</x:f>
        <x:v>1536</x:v>
      </x:c>
      <x:c r="V30" s="34" t="str">
        <x:v>Ubuntu 24.04.4 LTS</x:v>
      </x:c>
      <x:c r="W30" s="44" t="str">
        <x:v>Linux b4e5181d55fe 6.18.33.2-microsoft-standard-WSL2 #1 SMP PREEMPT_DYNAMIC Thu Jun 18 21:54:43 UTC 2026 x86_64 x86_64 x86_64 GNU/Linux</x:v>
      </x:c>
      <x:c r="X30" s="34" t="str">
        <x:v>29.7.2</x:v>
      </x:c>
      <x:c r="Y30" s="34" t="str">
        <x:v>Docker Desktop</x:v>
      </x:c>
      <x:c r="Z30" s="34" t="str">
        <x:v>6.18.33.2-microsoft-standard-WSL2</x:v>
      </x:c>
      <x:c r="AA30" s="34" t="str">
        <x:v>x86_64</x:v>
      </x:c>
      <x:c r="AB30" s="34" t="str">
        <x:v>docker-desktop</x:v>
      </x:c>
      <x:c r="AC30" s="34" t="str">
        <x:v>Apache Tomcat/11.0.24</x:v>
      </x:c>
      <x:c r="AD30" s="34" t="str">
        <x:v>Linux</x:v>
      </x:c>
      <x:c r="AE30" s="34" t="str">
        <x:v>6.18.33.2-microsoft-standard-WSL2</x:v>
      </x:c>
      <x:c r="AF30" s="34" t="str">
        <x:v>amd64</x:v>
      </x:c>
      <x:c r="AG30" s="34" t="str">
        <x:v>25.0.3+9-LTS</x:v>
      </x:c>
      <x:c r="AH30" s="34" t="str">
        <x:v>Eclipse Adoptium</x:v>
      </x:c>
      <x:c r="AI30" s="44" t="str">
        <x:v>'-Xms256m -Xmx768m -XX:+UseG1GC -XX:NativeMemoryTracking=summary -Djava.awt.headless=true</x:v>
      </x:c>
      <x:c r="AJ30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0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0" s="34"/>
      <x:c r="AM30" s="34" t="str">
        <x:v>2.6.1.Final</x:v>
      </x:c>
      <x:c r="AN30" s="44" t="str">
        <x:v>Protocollo v4.2; verificabile nell'effective POM quando presente nell'archivio</x:v>
      </x:c>
      <x:c r="AO30" s="34" t="str">
        <x:v>fb3f101b87709b713468e8d827b8612e6e65f29b</x:v>
      </x:c>
      <x:c r="AP30" s="34" t="str">
        <x:v>tomcat:11.0.24-jdk25-temurin-noble@sha256:6d673ad42da6498f05755cae67f85f2128bdfd88943c9bdb22e0965f8d4c3182</x:v>
      </x:c>
      <x:c r="AQ30" s="34" t="str">
        <x:v>tomcat:11.0.24-jdk25-temurin-noble@sha256:6d673ad42da6498f05755cae67f85f2128bdfd88943c9bdb22e0965f8d4c3182</x:v>
      </x:c>
      <x:c r="AR30" s="34" t="str">
        <x:v>sha256:6d673ad42da6498f05755cae67f85f2128bdfd88943c9bdb22e0965f8d4c3182</x:v>
      </x:c>
      <x:c r="AS30" s="45" t="b">
        <x:v>1</x:v>
      </x:c>
      <x:c r="AT30" s="34" t="str">
        <x:v>sha256:6d673ad42da6498f05755cae67f85f2128bdfd88943c9bdb22e0965f8d4c3182</x:v>
      </x:c>
      <x:c r="AU30" s="34" t="str">
        <x:v>maven:3.9.11-eclipse-temurin-25@sha256:407c4423cec0cf2981055bc2c6c0dc211d9605b6669279b95997f2d1c7e91e2c</x:v>
      </x:c>
      <x:c r="AV30" s="34" t="str">
        <x:v>maven:3.9.11-eclipse-temurin-25@sha256:407c4423cec0cf2981055bc2c6c0dc211d9605b6669279b95997f2d1c7e91e2c</x:v>
      </x:c>
      <x:c r="AW30" s="34" t="str">
        <x:v>sha256:407c4423cec0cf2981055bc2c6c0dc211d9605b6669279b95997f2d1c7e91e2c</x:v>
      </x:c>
      <x:c r="AX30" s="45" t="b">
        <x:v>1</x:v>
      </x:c>
      <x:c r="AY30" s="34" t="str">
        <x:v>sha256:407c4423cec0cf2981055bc2c6c0dc211d9605b6669279b95997f2d1c7e91e2c</x:v>
      </x:c>
      <x:c r="AZ30" s="34" t="str">
        <x:v>4.0.0-SNAPSHOT</x:v>
      </x:c>
      <x:c r="BA30" s="34" t="str">
        <x:v>fb3f101b87709b713468e8d827b8612e6e65f29b</x:v>
      </x:c>
      <x:c r="BB30" s="34" t="str">
        <x:v>cdbbde2db6e49e3c2f44c6caffd6fbefa85fe06e4a383b5d0b53f2747392edae</x:v>
      </x:c>
      <x:c r="BC30" s="34" t="str">
        <x:v>3.2.1</x:v>
      </x:c>
      <x:c r="BD30" s="34" t="str">
        <x:v>12c6fe08223820089f60969b6088e6ac5d358aa872de78357585cdacb6c61049</x:v>
      </x:c>
      <x:c r="BE30" s="34" t="str">
        <x:v>1805b8a170fa5ea5dc1b8ba79328a9c1e83ee1f9b510fe4f427f07dba6f95bc9</x:v>
      </x:c>
      <x:c r="BF30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0" s="34" t="str">
        <x:v>effective-pom.xml</x:v>
      </x:c>
      <x:c r="BH30" s="34" t="str">
        <x:v>0b744edc69da4e049fb2928c5434a331cf225aef38e3bfc5326c536a2f472d50</x:v>
      </x:c>
      <x:c r="BI30" s="43" t="n">
        <x:v>307699</x:v>
      </x:c>
      <x:c r="BJ30" s="34" t="str">
        <x:v>dependency-tree.txt</x:v>
      </x:c>
      <x:c r="BK30" s="34" t="str">
        <x:v>9277aea2be08f606ce4aa1e69c205c6e757280570cfc16abce613bf0a0ccf079</x:v>
      </x:c>
      <x:c r="BL30" s="43" t="n">
        <x:v>4634</x:v>
      </x:c>
      <x:c r="BM30" s="34" t="str">
        <x:v>build-provenance.properties</x:v>
      </x:c>
      <x:c r="BN30" s="34" t="str">
        <x:v>560565500c374b553afc554badb4427f7ae79b50a847971eb93f2b9b35c53317</x:v>
      </x:c>
      <x:c r="BO30" s="43" t="n">
        <x:v>189</x:v>
      </x:c>
      <x:c r="BP30" s="45" t="b">
        <x:v>1</x:v>
      </x:c>
      <x:c r="BQ30" s="44"/>
      <x:c r="BR30" s="36" t="n">
        <x:v>5</x:v>
      </x:c>
      <x:c r="BS30" s="36" t="n">
        <x:v>0</x:v>
      </x:c>
      <x:c r="BT30" s="36" t="n">
        <x:v>0</x:v>
      </x:c>
      <x:c r="BU30" s="36" t="n">
        <x:v>0</x:v>
      </x:c>
      <x:c r="BV30" s="34"/>
      <x:c r="BW30" s="34"/>
      <x:c r="BX30" s="34"/>
      <x:c r="BY30" s="43"/>
    </x:row>
    <x:row r="31">
      <x:c r="A31" s="34" t="str">
        <x:v>article1-unified-v4-2-fb3f101b-20260903-000401-default-f05-p6-ehcache</x:v>
      </x:c>
      <x:c r="B31" s="34" t="str">
        <x:v>default</x:v>
      </x:c>
      <x:c r="C31" s="34" t="str">
        <x:v>ehcache</x:v>
      </x:c>
      <x:c r="D31" s="34" t="str">
        <x:v>ehcache</x:v>
      </x:c>
      <x:c r="E31" s="34" t="str">
        <x:v>current-provider-primary-comparison</x:v>
      </x:c>
      <x:c r="F31" s="36" t="n">
        <x:v>5</x:v>
      </x:c>
      <x:c r="G31" s="36" t="n">
        <x:v>5</x:v>
      </x:c>
      <x:c r="H31" s="36" t="n">
        <x:v>6</x:v>
      </x:c>
      <x:c r="I31" s="36" t="n">
        <x:v>5</x:v>
      </x:c>
      <x:c r="J31" s="38" t="n">
        <x:v>46268.08611107639</x:v>
      </x:c>
      <x:c r="K31" s="38" t="n">
        <x:v>46268.09150596065</x:v>
      </x:c>
      <x:c r="L31" s="40" t="n">
        <x:f>IF(OR(J31="",K31=""),"",(K31-J31)*'Readme-Protocol'!$B$31)</x:f>
        <x:v>466.1180001916364</x:v>
      </x:c>
      <x:c r="M31" s="34" t="str">
        <x:v>8ee7ea2296b4473ab0a331704984297c45844b879d7d668aeb639aa19e5d1e24</x:v>
      </x:c>
      <x:c r="N31" s="34" t="str">
        <x:v>sha256:968b00243361bf927f9e7c869f896ff64c87584edb860fd6b1465d54a1735581</x:v>
      </x:c>
      <x:c r="O31" s="34" t="str">
        <x:v>testcache-benchmark:v4</x:v>
      </x:c>
      <x:c r="P31" s="38" t="n">
        <x:v>46268.08590954861</x:v>
      </x:c>
      <x:c r="Q31" s="42" t="n">
        <x:v>4</x:v>
      </x:c>
      <x:c r="R31" s="34" t="str">
        <x:v>AMD Ryzen 7 PRO 7840U w/ Radeon 780M Graphics</x:v>
      </x:c>
      <x:c r="S31" s="36" t="n">
        <x:v>16</x:v>
      </x:c>
      <x:c r="T31" s="43" t="n">
        <x:v>1610612736</x:v>
      </x:c>
      <x:c r="U31" s="40" t="n">
        <x:f>IF(T31="","",T31/'Readme-Protocol'!$B$26)</x:f>
        <x:v>1536</x:v>
      </x:c>
      <x:c r="V31" s="34" t="str">
        <x:v>Ubuntu 24.04.4 LTS</x:v>
      </x:c>
      <x:c r="W31" s="44" t="str">
        <x:v>Linux 8ee7ea2296b4 6.18.33.2-microsoft-standard-WSL2 #1 SMP PREEMPT_DYNAMIC Thu Jun 18 21:54:43 UTC 2026 x86_64 x86_64 x86_64 GNU/Linux</x:v>
      </x:c>
      <x:c r="X31" s="34" t="str">
        <x:v>29.7.2</x:v>
      </x:c>
      <x:c r="Y31" s="34" t="str">
        <x:v>Docker Desktop</x:v>
      </x:c>
      <x:c r="Z31" s="34" t="str">
        <x:v>6.18.33.2-microsoft-standard-WSL2</x:v>
      </x:c>
      <x:c r="AA31" s="34" t="str">
        <x:v>x86_64</x:v>
      </x:c>
      <x:c r="AB31" s="34" t="str">
        <x:v>docker-desktop</x:v>
      </x:c>
      <x:c r="AC31" s="34" t="str">
        <x:v>Apache Tomcat/11.0.24</x:v>
      </x:c>
      <x:c r="AD31" s="34" t="str">
        <x:v>Linux</x:v>
      </x:c>
      <x:c r="AE31" s="34" t="str">
        <x:v>6.18.33.2-microsoft-standard-WSL2</x:v>
      </x:c>
      <x:c r="AF31" s="34" t="str">
        <x:v>amd64</x:v>
      </x:c>
      <x:c r="AG31" s="34" t="str">
        <x:v>25.0.3+9-LTS</x:v>
      </x:c>
      <x:c r="AH31" s="34" t="str">
        <x:v>Eclipse Adoptium</x:v>
      </x:c>
      <x:c r="AI31" s="44" t="str">
        <x:v>'-Xms256m -Xmx768m -XX:+UseG1GC -XX:NativeMemoryTracking=summary -Djava.awt.headless=true</x:v>
      </x:c>
      <x:c r="AJ31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1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1" s="34"/>
      <x:c r="AM31" s="34" t="str">
        <x:v>3.12.0</x:v>
      </x:c>
      <x:c r="AN31" s="44" t="str">
        <x:v>Protocollo v4.2; verificabile nell'effective POM quando presente nell'archivio</x:v>
      </x:c>
      <x:c r="AO31" s="34" t="str">
        <x:v>fb3f101b87709b713468e8d827b8612e6e65f29b</x:v>
      </x:c>
      <x:c r="AP31" s="34" t="str">
        <x:v>tomcat:11.0.24-jdk25-temurin-noble@sha256:6d673ad42da6498f05755cae67f85f2128bdfd88943c9bdb22e0965f8d4c3182</x:v>
      </x:c>
      <x:c r="AQ31" s="34" t="str">
        <x:v>tomcat:11.0.24-jdk25-temurin-noble@sha256:6d673ad42da6498f05755cae67f85f2128bdfd88943c9bdb22e0965f8d4c3182</x:v>
      </x:c>
      <x:c r="AR31" s="34" t="str">
        <x:v>sha256:6d673ad42da6498f05755cae67f85f2128bdfd88943c9bdb22e0965f8d4c3182</x:v>
      </x:c>
      <x:c r="AS31" s="45" t="b">
        <x:v>1</x:v>
      </x:c>
      <x:c r="AT31" s="34" t="str">
        <x:v>sha256:6d673ad42da6498f05755cae67f85f2128bdfd88943c9bdb22e0965f8d4c3182</x:v>
      </x:c>
      <x:c r="AU31" s="34" t="str">
        <x:v>maven:3.9.11-eclipse-temurin-25@sha256:407c4423cec0cf2981055bc2c6c0dc211d9605b6669279b95997f2d1c7e91e2c</x:v>
      </x:c>
      <x:c r="AV31" s="34" t="str">
        <x:v>maven:3.9.11-eclipse-temurin-25@sha256:407c4423cec0cf2981055bc2c6c0dc211d9605b6669279b95997f2d1c7e91e2c</x:v>
      </x:c>
      <x:c r="AW31" s="34" t="str">
        <x:v>sha256:407c4423cec0cf2981055bc2c6c0dc211d9605b6669279b95997f2d1c7e91e2c</x:v>
      </x:c>
      <x:c r="AX31" s="45" t="b">
        <x:v>1</x:v>
      </x:c>
      <x:c r="AY31" s="34" t="str">
        <x:v>sha256:407c4423cec0cf2981055bc2c6c0dc211d9605b6669279b95997f2d1c7e91e2c</x:v>
      </x:c>
      <x:c r="AZ31" s="34" t="str">
        <x:v>4.0.0-SNAPSHOT</x:v>
      </x:c>
      <x:c r="BA31" s="34" t="str">
        <x:v>fb3f101b87709b713468e8d827b8612e6e65f29b</x:v>
      </x:c>
      <x:c r="BB31" s="34" t="str">
        <x:v>cdbbde2db6e49e3c2f44c6caffd6fbefa85fe06e4a383b5d0b53f2747392edae</x:v>
      </x:c>
      <x:c r="BC31" s="34" t="str">
        <x:v>3.2.1</x:v>
      </x:c>
      <x:c r="BD31" s="34" t="str">
        <x:v>12c6fe08223820089f60969b6088e6ac5d358aa872de78357585cdacb6c61049</x:v>
      </x:c>
      <x:c r="BE31" s="34" t="str">
        <x:v>1805b8a170fa5ea5dc1b8ba79328a9c1e83ee1f9b510fe4f427f07dba6f95bc9</x:v>
      </x:c>
      <x:c r="BF31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1" s="34" t="str">
        <x:v>effective-pom.xml</x:v>
      </x:c>
      <x:c r="BH31" s="34" t="str">
        <x:v>0b744edc69da4e049fb2928c5434a331cf225aef38e3bfc5326c536a2f472d50</x:v>
      </x:c>
      <x:c r="BI31" s="43" t="n">
        <x:v>307699</x:v>
      </x:c>
      <x:c r="BJ31" s="34" t="str">
        <x:v>dependency-tree.txt</x:v>
      </x:c>
      <x:c r="BK31" s="34" t="str">
        <x:v>9277aea2be08f606ce4aa1e69c205c6e757280570cfc16abce613bf0a0ccf079</x:v>
      </x:c>
      <x:c r="BL31" s="43" t="n">
        <x:v>4634</x:v>
      </x:c>
      <x:c r="BM31" s="34" t="str">
        <x:v>build-provenance.properties</x:v>
      </x:c>
      <x:c r="BN31" s="34" t="str">
        <x:v>560565500c374b553afc554badb4427f7ae79b50a847971eb93f2b9b35c53317</x:v>
      </x:c>
      <x:c r="BO31" s="43" t="n">
        <x:v>189</x:v>
      </x:c>
      <x:c r="BP31" s="45" t="b">
        <x:v>1</x:v>
      </x:c>
      <x:c r="BQ31" s="44"/>
      <x:c r="BR31" s="36" t="n">
        <x:v>5</x:v>
      </x:c>
      <x:c r="BS31" s="36" t="n">
        <x:v>4</x:v>
      </x:c>
      <x:c r="BT31" s="36" t="n">
        <x:v>0</x:v>
      </x:c>
      <x:c r="BU31" s="36" t="n">
        <x:v>0</x:v>
      </x:c>
      <x:c r="BV31" s="34"/>
      <x:c r="BW31" s="34"/>
      <x:c r="BX31" s="34"/>
      <x:c r="BY31" s="43"/>
    </x:row>
    <x:row r="32">
      <x:c r="A32" s="34" t="str">
        <x:v>article1-unified-v4-2-fb3f101b-20260903-000401-default-f06-p1-nostore</x:v>
      </x:c>
      <x:c r="B32" s="34" t="str">
        <x:v>default</x:v>
      </x:c>
      <x:c r="C32" s="34" t="str">
        <x:v>nostore</x:v>
      </x:c>
      <x:c r="D32" s="34" t="str">
        <x:v>nostore</x:v>
      </x:c>
      <x:c r="E32" s="34" t="str">
        <x:v>lifecycle-negative-control</x:v>
      </x:c>
      <x:c r="F32" s="36" t="n">
        <x:v>6</x:v>
      </x:c>
      <x:c r="G32" s="36" t="n">
        <x:v>6</x:v>
      </x:c>
      <x:c r="H32" s="36" t="n">
        <x:v>1</x:v>
      </x:c>
      <x:c r="I32" s="36" t="n">
        <x:v>6</x:v>
      </x:c>
      <x:c r="J32" s="38" t="n">
        <x:v>46268.09173458334</x:v>
      </x:c>
      <x:c r="K32" s="38" t="n">
        <x:v>46268.09710212963</x:v>
      </x:c>
      <x:c r="L32" s="40" t="n">
        <x:f>IF(OR(J32="",K32=""),"",(K32-J32)*'Readme-Protocol'!$B$31)</x:f>
        <x:v>463.75599957536906</x:v>
      </x:c>
      <x:c r="M32" s="34" t="str">
        <x:v>e7ecff52b97011b1ac3ae2aada4a747c6eac687e7e1eaa20eb996c1d1186c178</x:v>
      </x:c>
      <x:c r="N32" s="34" t="str">
        <x:v>sha256:968b00243361bf927f9e7c869f896ff64c87584edb860fd6b1465d54a1735581</x:v>
      </x:c>
      <x:c r="O32" s="34" t="str">
        <x:v>testcache-benchmark:v4</x:v>
      </x:c>
      <x:c r="P32" s="38" t="n">
        <x:v>46268.09152592593</x:v>
      </x:c>
      <x:c r="Q32" s="42" t="n">
        <x:v>4</x:v>
      </x:c>
      <x:c r="R32" s="34" t="str">
        <x:v>AMD Ryzen 7 PRO 7840U w/ Radeon 780M Graphics</x:v>
      </x:c>
      <x:c r="S32" s="36" t="n">
        <x:v>16</x:v>
      </x:c>
      <x:c r="T32" s="43" t="n">
        <x:v>1610612736</x:v>
      </x:c>
      <x:c r="U32" s="40" t="n">
        <x:f>IF(T32="","",T32/'Readme-Protocol'!$B$26)</x:f>
        <x:v>1536</x:v>
      </x:c>
      <x:c r="V32" s="34" t="str">
        <x:v>Ubuntu 24.04.4 LTS</x:v>
      </x:c>
      <x:c r="W32" s="44" t="str">
        <x:v>Linux e7ecff52b970 6.18.33.2-microsoft-standard-WSL2 #1 SMP PREEMPT_DYNAMIC Thu Jun 18 21:54:43 UTC 2026 x86_64 x86_64 x86_64 GNU/Linux</x:v>
      </x:c>
      <x:c r="X32" s="34" t="str">
        <x:v>29.7.2</x:v>
      </x:c>
      <x:c r="Y32" s="34" t="str">
        <x:v>Docker Desktop</x:v>
      </x:c>
      <x:c r="Z32" s="34" t="str">
        <x:v>6.18.33.2-microsoft-standard-WSL2</x:v>
      </x:c>
      <x:c r="AA32" s="34" t="str">
        <x:v>x86_64</x:v>
      </x:c>
      <x:c r="AB32" s="34" t="str">
        <x:v>docker-desktop</x:v>
      </x:c>
      <x:c r="AC32" s="34" t="str">
        <x:v>Apache Tomcat/11.0.24</x:v>
      </x:c>
      <x:c r="AD32" s="34" t="str">
        <x:v>Linux</x:v>
      </x:c>
      <x:c r="AE32" s="34" t="str">
        <x:v>6.18.33.2-microsoft-standard-WSL2</x:v>
      </x:c>
      <x:c r="AF32" s="34" t="str">
        <x:v>amd64</x:v>
      </x:c>
      <x:c r="AG32" s="34" t="str">
        <x:v>25.0.3+9-LTS</x:v>
      </x:c>
      <x:c r="AH32" s="34" t="str">
        <x:v>Eclipse Adoptium</x:v>
      </x:c>
      <x:c r="AI32" s="44" t="str">
        <x:v>'-Xms256m -Xmx768m -XX:+UseG1GC -XX:NativeMemoryTracking=summary -Djava.awt.headless=true</x:v>
      </x:c>
      <x:c r="AJ32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2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2" s="34"/>
      <x:c r="AM32" s="34"/>
      <x:c r="AN32" s="44" t="str">
        <x:v>Non applicabile: controllo senza motore di cache</x:v>
      </x:c>
      <x:c r="AO32" s="34" t="str">
        <x:v>fb3f101b87709b713468e8d827b8612e6e65f29b</x:v>
      </x:c>
      <x:c r="AP32" s="34" t="str">
        <x:v>tomcat:11.0.24-jdk25-temurin-noble@sha256:6d673ad42da6498f05755cae67f85f2128bdfd88943c9bdb22e0965f8d4c3182</x:v>
      </x:c>
      <x:c r="AQ32" s="34" t="str">
        <x:v>tomcat:11.0.24-jdk25-temurin-noble@sha256:6d673ad42da6498f05755cae67f85f2128bdfd88943c9bdb22e0965f8d4c3182</x:v>
      </x:c>
      <x:c r="AR32" s="34" t="str">
        <x:v>sha256:6d673ad42da6498f05755cae67f85f2128bdfd88943c9bdb22e0965f8d4c3182</x:v>
      </x:c>
      <x:c r="AS32" s="45" t="b">
        <x:v>1</x:v>
      </x:c>
      <x:c r="AT32" s="34" t="str">
        <x:v>sha256:6d673ad42da6498f05755cae67f85f2128bdfd88943c9bdb22e0965f8d4c3182</x:v>
      </x:c>
      <x:c r="AU32" s="34" t="str">
        <x:v>maven:3.9.11-eclipse-temurin-25@sha256:407c4423cec0cf2981055bc2c6c0dc211d9605b6669279b95997f2d1c7e91e2c</x:v>
      </x:c>
      <x:c r="AV32" s="34" t="str">
        <x:v>maven:3.9.11-eclipse-temurin-25@sha256:407c4423cec0cf2981055bc2c6c0dc211d9605b6669279b95997f2d1c7e91e2c</x:v>
      </x:c>
      <x:c r="AW32" s="34" t="str">
        <x:v>sha256:407c4423cec0cf2981055bc2c6c0dc211d9605b6669279b95997f2d1c7e91e2c</x:v>
      </x:c>
      <x:c r="AX32" s="45" t="b">
        <x:v>1</x:v>
      </x:c>
      <x:c r="AY32" s="34" t="str">
        <x:v>sha256:407c4423cec0cf2981055bc2c6c0dc211d9605b6669279b95997f2d1c7e91e2c</x:v>
      </x:c>
      <x:c r="AZ32" s="34" t="str">
        <x:v>4.0.0-SNAPSHOT</x:v>
      </x:c>
      <x:c r="BA32" s="34" t="str">
        <x:v>fb3f101b87709b713468e8d827b8612e6e65f29b</x:v>
      </x:c>
      <x:c r="BB32" s="34" t="str">
        <x:v>cdbbde2db6e49e3c2f44c6caffd6fbefa85fe06e4a383b5d0b53f2747392edae</x:v>
      </x:c>
      <x:c r="BC32" s="34" t="str">
        <x:v>3.2.1</x:v>
      </x:c>
      <x:c r="BD32" s="34" t="str">
        <x:v>12c6fe08223820089f60969b6088e6ac5d358aa872de78357585cdacb6c61049</x:v>
      </x:c>
      <x:c r="BE32" s="34" t="str">
        <x:v>1805b8a170fa5ea5dc1b8ba79328a9c1e83ee1f9b510fe4f427f07dba6f95bc9</x:v>
      </x:c>
      <x:c r="BF32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2" s="34" t="str">
        <x:v>effective-pom.xml</x:v>
      </x:c>
      <x:c r="BH32" s="34" t="str">
        <x:v>0b744edc69da4e049fb2928c5434a331cf225aef38e3bfc5326c536a2f472d50</x:v>
      </x:c>
      <x:c r="BI32" s="43" t="n">
        <x:v>307699</x:v>
      </x:c>
      <x:c r="BJ32" s="34" t="str">
        <x:v>dependency-tree.txt</x:v>
      </x:c>
      <x:c r="BK32" s="34" t="str">
        <x:v>9277aea2be08f606ce4aa1e69c205c6e757280570cfc16abce613bf0a0ccf079</x:v>
      </x:c>
      <x:c r="BL32" s="43" t="n">
        <x:v>4634</x:v>
      </x:c>
      <x:c r="BM32" s="34" t="str">
        <x:v>build-provenance.properties</x:v>
      </x:c>
      <x:c r="BN32" s="34" t="str">
        <x:v>560565500c374b553afc554badb4427f7ae79b50a847971eb93f2b9b35c53317</x:v>
      </x:c>
      <x:c r="BO32" s="43" t="n">
        <x:v>189</x:v>
      </x:c>
      <x:c r="BP32" s="45" t="b">
        <x:v>1</x:v>
      </x:c>
      <x:c r="BQ32" s="44"/>
      <x:c r="BR32" s="36" t="n">
        <x:v>5</x:v>
      </x:c>
      <x:c r="BS32" s="36" t="n">
        <x:v>0</x:v>
      </x:c>
      <x:c r="BT32" s="36" t="n">
        <x:v>0</x:v>
      </x:c>
      <x:c r="BU32" s="36" t="n">
        <x:v>0</x:v>
      </x:c>
      <x:c r="BV32" s="34"/>
      <x:c r="BW32" s="34"/>
      <x:c r="BX32" s="34"/>
      <x:c r="BY32" s="43"/>
    </x:row>
    <x:row r="33">
      <x:c r="A33" s="34" t="str">
        <x:v>article1-unified-v4-2-fb3f101b-20260903-000401-default-f06-p2-caffeine</x:v>
      </x:c>
      <x:c r="B33" s="34" t="str">
        <x:v>default</x:v>
      </x:c>
      <x:c r="C33" s="34" t="str">
        <x:v>caffeine</x:v>
      </x:c>
      <x:c r="D33" s="34" t="str">
        <x:v>caffeine</x:v>
      </x:c>
      <x:c r="E33" s="34" t="str">
        <x:v>current-provider-primary-comparison</x:v>
      </x:c>
      <x:c r="F33" s="36" t="n">
        <x:v>6</x:v>
      </x:c>
      <x:c r="G33" s="36" t="n">
        <x:v>6</x:v>
      </x:c>
      <x:c r="H33" s="36" t="n">
        <x:v>2</x:v>
      </x:c>
      <x:c r="I33" s="36" t="n">
        <x:v>6</x:v>
      </x:c>
      <x:c r="J33" s="38" t="n">
        <x:v>46268.097327407406</x:v>
      </x:c>
      <x:c r="K33" s="38" t="n">
        <x:v>46268.102716863425</x:v>
      </x:c>
      <x:c r="L33" s="40" t="n">
        <x:f>IF(OR(J33="",K33=""),"",(K33-J33)*'Readme-Protocol'!$B$31)</x:f>
        <x:v>465.6490000197664</x:v>
      </x:c>
      <x:c r="M33" s="34" t="str">
        <x:v>d89c81f862b30b873ca8e3751dea02274f664a55741130b5e7dd8987729b163a</x:v>
      </x:c>
      <x:c r="N33" s="34" t="str">
        <x:v>sha256:968b00243361bf927f9e7c869f896ff64c87584edb860fd6b1465d54a1735581</x:v>
      </x:c>
      <x:c r="O33" s="34" t="str">
        <x:v>testcache-benchmark:v4</x:v>
      </x:c>
      <x:c r="P33" s="38" t="n">
        <x:v>46268.09712283565</x:v>
      </x:c>
      <x:c r="Q33" s="42" t="n">
        <x:v>4</x:v>
      </x:c>
      <x:c r="R33" s="34" t="str">
        <x:v>AMD Ryzen 7 PRO 7840U w/ Radeon 780M Graphics</x:v>
      </x:c>
      <x:c r="S33" s="36" t="n">
        <x:v>16</x:v>
      </x:c>
      <x:c r="T33" s="43" t="n">
        <x:v>1610612736</x:v>
      </x:c>
      <x:c r="U33" s="40" t="n">
        <x:f>IF(T33="","",T33/'Readme-Protocol'!$B$26)</x:f>
        <x:v>1536</x:v>
      </x:c>
      <x:c r="V33" s="34" t="str">
        <x:v>Ubuntu 24.04.4 LTS</x:v>
      </x:c>
      <x:c r="W33" s="44" t="str">
        <x:v>Linux d89c81f862b3 6.18.33.2-microsoft-standard-WSL2 #1 SMP PREEMPT_DYNAMIC Thu Jun 18 21:54:43 UTC 2026 x86_64 x86_64 x86_64 GNU/Linux</x:v>
      </x:c>
      <x:c r="X33" s="34" t="str">
        <x:v>29.7.2</x:v>
      </x:c>
      <x:c r="Y33" s="34" t="str">
        <x:v>Docker Desktop</x:v>
      </x:c>
      <x:c r="Z33" s="34" t="str">
        <x:v>6.18.33.2-microsoft-standard-WSL2</x:v>
      </x:c>
      <x:c r="AA33" s="34" t="str">
        <x:v>x86_64</x:v>
      </x:c>
      <x:c r="AB33" s="34" t="str">
        <x:v>docker-desktop</x:v>
      </x:c>
      <x:c r="AC33" s="34" t="str">
        <x:v>Apache Tomcat/11.0.24</x:v>
      </x:c>
      <x:c r="AD33" s="34" t="str">
        <x:v>Linux</x:v>
      </x:c>
      <x:c r="AE33" s="34" t="str">
        <x:v>6.18.33.2-microsoft-standard-WSL2</x:v>
      </x:c>
      <x:c r="AF33" s="34" t="str">
        <x:v>amd64</x:v>
      </x:c>
      <x:c r="AG33" s="34" t="str">
        <x:v>25.0.3+9-LTS</x:v>
      </x:c>
      <x:c r="AH33" s="34" t="str">
        <x:v>Eclipse Adoptium</x:v>
      </x:c>
      <x:c r="AI33" s="44" t="str">
        <x:v>'-Xms256m -Xmx768m -XX:+UseG1GC -XX:NativeMemoryTracking=summary -Djava.awt.headless=true</x:v>
      </x:c>
      <x:c r="AJ33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3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3" s="34"/>
      <x:c r="AM33" s="34" t="str">
        <x:v>3.2.4</x:v>
      </x:c>
      <x:c r="AN33" s="44" t="str">
        <x:v>Protocollo v4.2; verificabile nell'effective POM quando presente nell'archivio</x:v>
      </x:c>
      <x:c r="AO33" s="34" t="str">
        <x:v>fb3f101b87709b713468e8d827b8612e6e65f29b</x:v>
      </x:c>
      <x:c r="AP33" s="34" t="str">
        <x:v>tomcat:11.0.24-jdk25-temurin-noble@sha256:6d673ad42da6498f05755cae67f85f2128bdfd88943c9bdb22e0965f8d4c3182</x:v>
      </x:c>
      <x:c r="AQ33" s="34" t="str">
        <x:v>tomcat:11.0.24-jdk25-temurin-noble@sha256:6d673ad42da6498f05755cae67f85f2128bdfd88943c9bdb22e0965f8d4c3182</x:v>
      </x:c>
      <x:c r="AR33" s="34" t="str">
        <x:v>sha256:6d673ad42da6498f05755cae67f85f2128bdfd88943c9bdb22e0965f8d4c3182</x:v>
      </x:c>
      <x:c r="AS33" s="45" t="b">
        <x:v>1</x:v>
      </x:c>
      <x:c r="AT33" s="34" t="str">
        <x:v>sha256:6d673ad42da6498f05755cae67f85f2128bdfd88943c9bdb22e0965f8d4c3182</x:v>
      </x:c>
      <x:c r="AU33" s="34" t="str">
        <x:v>maven:3.9.11-eclipse-temurin-25@sha256:407c4423cec0cf2981055bc2c6c0dc211d9605b6669279b95997f2d1c7e91e2c</x:v>
      </x:c>
      <x:c r="AV33" s="34" t="str">
        <x:v>maven:3.9.11-eclipse-temurin-25@sha256:407c4423cec0cf2981055bc2c6c0dc211d9605b6669279b95997f2d1c7e91e2c</x:v>
      </x:c>
      <x:c r="AW33" s="34" t="str">
        <x:v>sha256:407c4423cec0cf2981055bc2c6c0dc211d9605b6669279b95997f2d1c7e91e2c</x:v>
      </x:c>
      <x:c r="AX33" s="45" t="b">
        <x:v>1</x:v>
      </x:c>
      <x:c r="AY33" s="34" t="str">
        <x:v>sha256:407c4423cec0cf2981055bc2c6c0dc211d9605b6669279b95997f2d1c7e91e2c</x:v>
      </x:c>
      <x:c r="AZ33" s="34" t="str">
        <x:v>4.0.0-SNAPSHOT</x:v>
      </x:c>
      <x:c r="BA33" s="34" t="str">
        <x:v>fb3f101b87709b713468e8d827b8612e6e65f29b</x:v>
      </x:c>
      <x:c r="BB33" s="34" t="str">
        <x:v>cdbbde2db6e49e3c2f44c6caffd6fbefa85fe06e4a383b5d0b53f2747392edae</x:v>
      </x:c>
      <x:c r="BC33" s="34" t="str">
        <x:v>3.2.1</x:v>
      </x:c>
      <x:c r="BD33" s="34" t="str">
        <x:v>12c6fe08223820089f60969b6088e6ac5d358aa872de78357585cdacb6c61049</x:v>
      </x:c>
      <x:c r="BE33" s="34" t="str">
        <x:v>1805b8a170fa5ea5dc1b8ba79328a9c1e83ee1f9b510fe4f427f07dba6f95bc9</x:v>
      </x:c>
      <x:c r="BF33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3" s="34" t="str">
        <x:v>effective-pom.xml</x:v>
      </x:c>
      <x:c r="BH33" s="34" t="str">
        <x:v>0b744edc69da4e049fb2928c5434a331cf225aef38e3bfc5326c536a2f472d50</x:v>
      </x:c>
      <x:c r="BI33" s="43" t="n">
        <x:v>307699</x:v>
      </x:c>
      <x:c r="BJ33" s="34" t="str">
        <x:v>dependency-tree.txt</x:v>
      </x:c>
      <x:c r="BK33" s="34" t="str">
        <x:v>9277aea2be08f606ce4aa1e69c205c6e757280570cfc16abce613bf0a0ccf079</x:v>
      </x:c>
      <x:c r="BL33" s="43" t="n">
        <x:v>4634</x:v>
      </x:c>
      <x:c r="BM33" s="34" t="str">
        <x:v>build-provenance.properties</x:v>
      </x:c>
      <x:c r="BN33" s="34" t="str">
        <x:v>560565500c374b553afc554badb4427f7ae79b50a847971eb93f2b9b35c53317</x:v>
      </x:c>
      <x:c r="BO33" s="43" t="n">
        <x:v>189</x:v>
      </x:c>
      <x:c r="BP33" s="45" t="b">
        <x:v>1</x:v>
      </x:c>
      <x:c r="BQ33" s="44"/>
      <x:c r="BR33" s="36" t="n">
        <x:v>5</x:v>
      </x:c>
      <x:c r="BS33" s="36" t="n">
        <x:v>0</x:v>
      </x:c>
      <x:c r="BT33" s="36" t="n">
        <x:v>0</x:v>
      </x:c>
      <x:c r="BU33" s="36" t="n">
        <x:v>0</x:v>
      </x:c>
      <x:c r="BV33" s="34"/>
      <x:c r="BW33" s="34"/>
      <x:c r="BX33" s="34"/>
      <x:c r="BY33" s="43"/>
    </x:row>
    <x:row r="34">
      <x:c r="A34" s="34" t="str">
        <x:v>article1-unified-v4-2-fb3f101b-20260903-000401-default-f06-p3-jcs321</x:v>
      </x:c>
      <x:c r="B34" s="34" t="str">
        <x:v>default</x:v>
      </x:c>
      <x:c r="C34" s="34" t="str">
        <x:v>jcs321</x:v>
      </x:c>
      <x:c r="D34" s="34" t="str">
        <x:v>jcs321</x:v>
      </x:c>
      <x:c r="E34" s="34" t="str">
        <x:v>JCS-248-positive-control</x:v>
      </x:c>
      <x:c r="F34" s="36" t="n">
        <x:v>6</x:v>
      </x:c>
      <x:c r="G34" s="36" t="n">
        <x:v>6</x:v>
      </x:c>
      <x:c r="H34" s="36" t="n">
        <x:v>3</x:v>
      </x:c>
      <x:c r="I34" s="36" t="n">
        <x:v>6</x:v>
      </x:c>
      <x:c r="J34" s="38" t="n">
        <x:v>46268.10293616898</x:v>
      </x:c>
      <x:c r="K34" s="38" t="n">
        <x:v>46268.10828314815</x:v>
      </x:c>
      <x:c r="L34" s="40" t="n">
        <x:f>IF(OR(J34="",K34=""),"",(K34-J34)*'Readme-Protocol'!$B$31)</x:f>
        <x:v>461.9790000608191</x:v>
      </x:c>
      <x:c r="M34" s="34" t="str">
        <x:v>00e494a06238eed94154cc9298c8873b8b292bc17dc50e219d24851946f99ccb</x:v>
      </x:c>
      <x:c r="N34" s="34" t="str">
        <x:v>sha256:968b00243361bf927f9e7c869f896ff64c87584edb860fd6b1465d54a1735581</x:v>
      </x:c>
      <x:c r="O34" s="34" t="str">
        <x:v>testcache-benchmark:v4</x:v>
      </x:c>
      <x:c r="P34" s="38" t="n">
        <x:v>46268.102732534724</x:v>
      </x:c>
      <x:c r="Q34" s="42" t="n">
        <x:v>4</x:v>
      </x:c>
      <x:c r="R34" s="34" t="str">
        <x:v>AMD Ryzen 7 PRO 7840U w/ Radeon 780M Graphics</x:v>
      </x:c>
      <x:c r="S34" s="36" t="n">
        <x:v>16</x:v>
      </x:c>
      <x:c r="T34" s="43" t="n">
        <x:v>1610612736</x:v>
      </x:c>
      <x:c r="U34" s="40" t="n">
        <x:f>IF(T34="","",T34/'Readme-Protocol'!$B$26)</x:f>
        <x:v>1536</x:v>
      </x:c>
      <x:c r="V34" s="34" t="str">
        <x:v>Ubuntu 24.04.4 LTS</x:v>
      </x:c>
      <x:c r="W34" s="44" t="str">
        <x:v>Linux 00e494a06238 6.18.33.2-microsoft-standard-WSL2 #1 SMP PREEMPT_DYNAMIC Thu Jun 18 21:54:43 UTC 2026 x86_64 x86_64 x86_64 GNU/Linux</x:v>
      </x:c>
      <x:c r="X34" s="34" t="str">
        <x:v>29.7.2</x:v>
      </x:c>
      <x:c r="Y34" s="34" t="str">
        <x:v>Docker Desktop</x:v>
      </x:c>
      <x:c r="Z34" s="34" t="str">
        <x:v>6.18.33.2-microsoft-standard-WSL2</x:v>
      </x:c>
      <x:c r="AA34" s="34" t="str">
        <x:v>x86_64</x:v>
      </x:c>
      <x:c r="AB34" s="34" t="str">
        <x:v>docker-desktop</x:v>
      </x:c>
      <x:c r="AC34" s="34" t="str">
        <x:v>Apache Tomcat/11.0.24</x:v>
      </x:c>
      <x:c r="AD34" s="34" t="str">
        <x:v>Linux</x:v>
      </x:c>
      <x:c r="AE34" s="34" t="str">
        <x:v>6.18.33.2-microsoft-standard-WSL2</x:v>
      </x:c>
      <x:c r="AF34" s="34" t="str">
        <x:v>amd64</x:v>
      </x:c>
      <x:c r="AG34" s="34" t="str">
        <x:v>25.0.3+9-LTS</x:v>
      </x:c>
      <x:c r="AH34" s="34" t="str">
        <x:v>Eclipse Adoptium</x:v>
      </x:c>
      <x:c r="AI34" s="44" t="str">
        <x:v>'-Xms256m -Xmx768m -XX:+UseG1GC -XX:NativeMemoryTracking=summary -Djava.awt.headless=true</x:v>
      </x:c>
      <x:c r="AJ34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4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4" s="34" t="str">
        <x:v>3.2.1</x:v>
      </x:c>
      <x:c r="AM34" s="34" t="str">
        <x:v>3.2.1</x:v>
      </x:c>
      <x:c r="AN34" s="44" t="str">
        <x:v>Protocollo v4.2; valore runtime in environment.jcs321Version</x:v>
      </x:c>
      <x:c r="AO34" s="34" t="str">
        <x:v>fb3f101b87709b713468e8d827b8612e6e65f29b</x:v>
      </x:c>
      <x:c r="AP34" s="34" t="str">
        <x:v>tomcat:11.0.24-jdk25-temurin-noble@sha256:6d673ad42da6498f05755cae67f85f2128bdfd88943c9bdb22e0965f8d4c3182</x:v>
      </x:c>
      <x:c r="AQ34" s="34" t="str">
        <x:v>tomcat:11.0.24-jdk25-temurin-noble@sha256:6d673ad42da6498f05755cae67f85f2128bdfd88943c9bdb22e0965f8d4c3182</x:v>
      </x:c>
      <x:c r="AR34" s="34" t="str">
        <x:v>sha256:6d673ad42da6498f05755cae67f85f2128bdfd88943c9bdb22e0965f8d4c3182</x:v>
      </x:c>
      <x:c r="AS34" s="45" t="b">
        <x:v>1</x:v>
      </x:c>
      <x:c r="AT34" s="34" t="str">
        <x:v>sha256:6d673ad42da6498f05755cae67f85f2128bdfd88943c9bdb22e0965f8d4c3182</x:v>
      </x:c>
      <x:c r="AU34" s="34" t="str">
        <x:v>maven:3.9.11-eclipse-temurin-25@sha256:407c4423cec0cf2981055bc2c6c0dc211d9605b6669279b95997f2d1c7e91e2c</x:v>
      </x:c>
      <x:c r="AV34" s="34" t="str">
        <x:v>maven:3.9.11-eclipse-temurin-25@sha256:407c4423cec0cf2981055bc2c6c0dc211d9605b6669279b95997f2d1c7e91e2c</x:v>
      </x:c>
      <x:c r="AW34" s="34" t="str">
        <x:v>sha256:407c4423cec0cf2981055bc2c6c0dc211d9605b6669279b95997f2d1c7e91e2c</x:v>
      </x:c>
      <x:c r="AX34" s="45" t="b">
        <x:v>1</x:v>
      </x:c>
      <x:c r="AY34" s="34" t="str">
        <x:v>sha256:407c4423cec0cf2981055bc2c6c0dc211d9605b6669279b95997f2d1c7e91e2c</x:v>
      </x:c>
      <x:c r="AZ34" s="34" t="str">
        <x:v>4.0.0-SNAPSHOT</x:v>
      </x:c>
      <x:c r="BA34" s="34" t="str">
        <x:v>fb3f101b87709b713468e8d827b8612e6e65f29b</x:v>
      </x:c>
      <x:c r="BB34" s="34" t="str">
        <x:v>cdbbde2db6e49e3c2f44c6caffd6fbefa85fe06e4a383b5d0b53f2747392edae</x:v>
      </x:c>
      <x:c r="BC34" s="34" t="str">
        <x:v>3.2.1</x:v>
      </x:c>
      <x:c r="BD34" s="34" t="str">
        <x:v>12c6fe08223820089f60969b6088e6ac5d358aa872de78357585cdacb6c61049</x:v>
      </x:c>
      <x:c r="BE34" s="34" t="str">
        <x:v>1805b8a170fa5ea5dc1b8ba79328a9c1e83ee1f9b510fe4f427f07dba6f95bc9</x:v>
      </x:c>
      <x:c r="BF34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4" s="34" t="str">
        <x:v>effective-pom.xml</x:v>
      </x:c>
      <x:c r="BH34" s="34" t="str">
        <x:v>0b744edc69da4e049fb2928c5434a331cf225aef38e3bfc5326c536a2f472d50</x:v>
      </x:c>
      <x:c r="BI34" s="43" t="n">
        <x:v>307699</x:v>
      </x:c>
      <x:c r="BJ34" s="34" t="str">
        <x:v>dependency-tree.txt</x:v>
      </x:c>
      <x:c r="BK34" s="34" t="str">
        <x:v>9277aea2be08f606ce4aa1e69c205c6e757280570cfc16abce613bf0a0ccf079</x:v>
      </x:c>
      <x:c r="BL34" s="43" t="n">
        <x:v>4634</x:v>
      </x:c>
      <x:c r="BM34" s="34" t="str">
        <x:v>build-provenance.properties</x:v>
      </x:c>
      <x:c r="BN34" s="34" t="str">
        <x:v>560565500c374b553afc554badb4427f7ae79b50a847971eb93f2b9b35c53317</x:v>
      </x:c>
      <x:c r="BO34" s="43" t="n">
        <x:v>189</x:v>
      </x:c>
      <x:c r="BP34" s="45" t="b">
        <x:v>1</x:v>
      </x:c>
      <x:c r="BQ34" s="44"/>
      <x:c r="BR34" s="36" t="n">
        <x:v>5</x:v>
      </x:c>
      <x:c r="BS34" s="36" t="n">
        <x:v>20</x:v>
      </x:c>
      <x:c r="BT34" s="36" t="n">
        <x:v>10</x:v>
      </x:c>
      <x:c r="BU34" s="36" t="n">
        <x:v>10</x:v>
      </x:c>
      <x:c r="BV34" s="34" t="str">
        <x:v>jcs</x:v>
      </x:c>
      <x:c r="BW34" s="34" t="str">
        <x:v>article1-unified-v4-2-fb3f101b-20260903-000401-default-f06-p3-jcs321-final.hprof</x:v>
      </x:c>
      <x:c r="BX34" s="34" t="str">
        <x:v>f411cd8d2d4a2713cea37297c2bf60ea4fa3405d371f5376747bdee9610b70dd</x:v>
      </x:c>
      <x:c r="BY34" s="43" t="n">
        <x:v>89038774</x:v>
      </x:c>
    </x:row>
    <x:row r="35">
      <x:c r="A35" s="34" t="str">
        <x:v>article1-unified-v4-2-fb3f101b-20260903-000401-default-f06-p4-ehcache</x:v>
      </x:c>
      <x:c r="B35" s="34" t="str">
        <x:v>default</x:v>
      </x:c>
      <x:c r="C35" s="34" t="str">
        <x:v>ehcache</x:v>
      </x:c>
      <x:c r="D35" s="34" t="str">
        <x:v>ehcache</x:v>
      </x:c>
      <x:c r="E35" s="34" t="str">
        <x:v>current-provider-primary-comparison</x:v>
      </x:c>
      <x:c r="F35" s="36" t="n">
        <x:v>6</x:v>
      </x:c>
      <x:c r="G35" s="36" t="n">
        <x:v>6</x:v>
      </x:c>
      <x:c r="H35" s="36" t="n">
        <x:v>4</x:v>
      </x:c>
      <x:c r="I35" s="36" t="n">
        <x:v>6</x:v>
      </x:c>
      <x:c r="J35" s="38" t="n">
        <x:v>46268.10851024306</x:v>
      </x:c>
      <x:c r="K35" s="38" t="n">
        <x:v>46268.113827685185</x:v>
      </x:c>
      <x:c r="L35" s="40" t="n">
        <x:f>IF(OR(J35="",K35=""),"",(K35-J35)*'Readme-Protocol'!$B$31)</x:f>
        <x:v>459.4269997207448</x:v>
      </x:c>
      <x:c r="M35" s="34" t="str">
        <x:v>7a2e97f14e9fc3de6410903529b15dc987f4f660f858d53b1eb6bbc6d334acda</x:v>
      </x:c>
      <x:c r="N35" s="34" t="str">
        <x:v>sha256:968b00243361bf927f9e7c869f896ff64c87584edb860fd6b1465d54a1735581</x:v>
      </x:c>
      <x:c r="O35" s="34" t="str">
        <x:v>testcache-benchmark:v4</x:v>
      </x:c>
      <x:c r="P35" s="38" t="n">
        <x:v>46268.10830550926</x:v>
      </x:c>
      <x:c r="Q35" s="42" t="n">
        <x:v>4</x:v>
      </x:c>
      <x:c r="R35" s="34" t="str">
        <x:v>AMD Ryzen 7 PRO 7840U w/ Radeon 780M Graphics</x:v>
      </x:c>
      <x:c r="S35" s="36" t="n">
        <x:v>16</x:v>
      </x:c>
      <x:c r="T35" s="43" t="n">
        <x:v>1610612736</x:v>
      </x:c>
      <x:c r="U35" s="40" t="n">
        <x:f>IF(T35="","",T35/'Readme-Protocol'!$B$26)</x:f>
        <x:v>1536</x:v>
      </x:c>
      <x:c r="V35" s="34" t="str">
        <x:v>Ubuntu 24.04.4 LTS</x:v>
      </x:c>
      <x:c r="W35" s="44" t="str">
        <x:v>Linux 7a2e97f14e9f 6.18.33.2-microsoft-standard-WSL2 #1 SMP PREEMPT_DYNAMIC Thu Jun 18 21:54:43 UTC 2026 x86_64 x86_64 x86_64 GNU/Linux</x:v>
      </x:c>
      <x:c r="X35" s="34" t="str">
        <x:v>29.7.2</x:v>
      </x:c>
      <x:c r="Y35" s="34" t="str">
        <x:v>Docker Desktop</x:v>
      </x:c>
      <x:c r="Z35" s="34" t="str">
        <x:v>6.18.33.2-microsoft-standard-WSL2</x:v>
      </x:c>
      <x:c r="AA35" s="34" t="str">
        <x:v>x86_64</x:v>
      </x:c>
      <x:c r="AB35" s="34" t="str">
        <x:v>docker-desktop</x:v>
      </x:c>
      <x:c r="AC35" s="34" t="str">
        <x:v>Apache Tomcat/11.0.24</x:v>
      </x:c>
      <x:c r="AD35" s="34" t="str">
        <x:v>Linux</x:v>
      </x:c>
      <x:c r="AE35" s="34" t="str">
        <x:v>6.18.33.2-microsoft-standard-WSL2</x:v>
      </x:c>
      <x:c r="AF35" s="34" t="str">
        <x:v>amd64</x:v>
      </x:c>
      <x:c r="AG35" s="34" t="str">
        <x:v>25.0.3+9-LTS</x:v>
      </x:c>
      <x:c r="AH35" s="34" t="str">
        <x:v>Eclipse Adoptium</x:v>
      </x:c>
      <x:c r="AI35" s="44" t="str">
        <x:v>'-Xms256m -Xmx768m -XX:+UseG1GC -XX:NativeMemoryTracking=summary -Djava.awt.headless=true</x:v>
      </x:c>
      <x:c r="AJ35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5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5" s="34"/>
      <x:c r="AM35" s="34" t="str">
        <x:v>3.12.0</x:v>
      </x:c>
      <x:c r="AN35" s="44" t="str">
        <x:v>Protocollo v4.2; verificabile nell'effective POM quando presente nell'archivio</x:v>
      </x:c>
      <x:c r="AO35" s="34" t="str">
        <x:v>fb3f101b87709b713468e8d827b8612e6e65f29b</x:v>
      </x:c>
      <x:c r="AP35" s="34" t="str">
        <x:v>tomcat:11.0.24-jdk25-temurin-noble@sha256:6d673ad42da6498f05755cae67f85f2128bdfd88943c9bdb22e0965f8d4c3182</x:v>
      </x:c>
      <x:c r="AQ35" s="34" t="str">
        <x:v>tomcat:11.0.24-jdk25-temurin-noble@sha256:6d673ad42da6498f05755cae67f85f2128bdfd88943c9bdb22e0965f8d4c3182</x:v>
      </x:c>
      <x:c r="AR35" s="34" t="str">
        <x:v>sha256:6d673ad42da6498f05755cae67f85f2128bdfd88943c9bdb22e0965f8d4c3182</x:v>
      </x:c>
      <x:c r="AS35" s="45" t="b">
        <x:v>1</x:v>
      </x:c>
      <x:c r="AT35" s="34" t="str">
        <x:v>sha256:6d673ad42da6498f05755cae67f85f2128bdfd88943c9bdb22e0965f8d4c3182</x:v>
      </x:c>
      <x:c r="AU35" s="34" t="str">
        <x:v>maven:3.9.11-eclipse-temurin-25@sha256:407c4423cec0cf2981055bc2c6c0dc211d9605b6669279b95997f2d1c7e91e2c</x:v>
      </x:c>
      <x:c r="AV35" s="34" t="str">
        <x:v>maven:3.9.11-eclipse-temurin-25@sha256:407c4423cec0cf2981055bc2c6c0dc211d9605b6669279b95997f2d1c7e91e2c</x:v>
      </x:c>
      <x:c r="AW35" s="34" t="str">
        <x:v>sha256:407c4423cec0cf2981055bc2c6c0dc211d9605b6669279b95997f2d1c7e91e2c</x:v>
      </x:c>
      <x:c r="AX35" s="45" t="b">
        <x:v>1</x:v>
      </x:c>
      <x:c r="AY35" s="34" t="str">
        <x:v>sha256:407c4423cec0cf2981055bc2c6c0dc211d9605b6669279b95997f2d1c7e91e2c</x:v>
      </x:c>
      <x:c r="AZ35" s="34" t="str">
        <x:v>4.0.0-SNAPSHOT</x:v>
      </x:c>
      <x:c r="BA35" s="34" t="str">
        <x:v>fb3f101b87709b713468e8d827b8612e6e65f29b</x:v>
      </x:c>
      <x:c r="BB35" s="34" t="str">
        <x:v>cdbbde2db6e49e3c2f44c6caffd6fbefa85fe06e4a383b5d0b53f2747392edae</x:v>
      </x:c>
      <x:c r="BC35" s="34" t="str">
        <x:v>3.2.1</x:v>
      </x:c>
      <x:c r="BD35" s="34" t="str">
        <x:v>12c6fe08223820089f60969b6088e6ac5d358aa872de78357585cdacb6c61049</x:v>
      </x:c>
      <x:c r="BE35" s="34" t="str">
        <x:v>1805b8a170fa5ea5dc1b8ba79328a9c1e83ee1f9b510fe4f427f07dba6f95bc9</x:v>
      </x:c>
      <x:c r="BF35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5" s="34" t="str">
        <x:v>effective-pom.xml</x:v>
      </x:c>
      <x:c r="BH35" s="34" t="str">
        <x:v>0b744edc69da4e049fb2928c5434a331cf225aef38e3bfc5326c536a2f472d50</x:v>
      </x:c>
      <x:c r="BI35" s="43" t="n">
        <x:v>307699</x:v>
      </x:c>
      <x:c r="BJ35" s="34" t="str">
        <x:v>dependency-tree.txt</x:v>
      </x:c>
      <x:c r="BK35" s="34" t="str">
        <x:v>9277aea2be08f606ce4aa1e69c205c6e757280570cfc16abce613bf0a0ccf079</x:v>
      </x:c>
      <x:c r="BL35" s="43" t="n">
        <x:v>4634</x:v>
      </x:c>
      <x:c r="BM35" s="34" t="str">
        <x:v>build-provenance.properties</x:v>
      </x:c>
      <x:c r="BN35" s="34" t="str">
        <x:v>560565500c374b553afc554badb4427f7ae79b50a847971eb93f2b9b35c53317</x:v>
      </x:c>
      <x:c r="BO35" s="43" t="n">
        <x:v>189</x:v>
      </x:c>
      <x:c r="BP35" s="45" t="b">
        <x:v>1</x:v>
      </x:c>
      <x:c r="BQ35" s="44"/>
      <x:c r="BR35" s="36" t="n">
        <x:v>5</x:v>
      </x:c>
      <x:c r="BS35" s="36" t="n">
        <x:v>4</x:v>
      </x:c>
      <x:c r="BT35" s="36" t="n">
        <x:v>0</x:v>
      </x:c>
      <x:c r="BU35" s="36" t="n">
        <x:v>0</x:v>
      </x:c>
      <x:c r="BV35" s="34"/>
      <x:c r="BW35" s="34"/>
      <x:c r="BX35" s="34"/>
      <x:c r="BY35" s="43"/>
    </x:row>
    <x:row r="36">
      <x:c r="A36" s="34" t="str">
        <x:v>article1-unified-v4-2-fb3f101b-20260903-000401-default-f06-p5-jcs4</x:v>
      </x:c>
      <x:c r="B36" s="34" t="str">
        <x:v>default</x:v>
      </x:c>
      <x:c r="C36" s="34" t="str">
        <x:v>jcs4</x:v>
      </x:c>
      <x:c r="D36" s="34" t="str">
        <x:v>jcs4</x:v>
      </x:c>
      <x:c r="E36" s="34" t="str">
        <x:v>current-provider-primary-comparison</x:v>
      </x:c>
      <x:c r="F36" s="36" t="n">
        <x:v>6</x:v>
      </x:c>
      <x:c r="G36" s="36" t="n">
        <x:v>6</x:v>
      </x:c>
      <x:c r="H36" s="36" t="n">
        <x:v>5</x:v>
      </x:c>
      <x:c r="I36" s="36" t="n">
        <x:v>6</x:v>
      </x:c>
      <x:c r="J36" s="38" t="n">
        <x:v>46268.11405167824</x:v>
      </x:c>
      <x:c r="K36" s="38" t="n">
        <x:v>46268.11934203704</x:v>
      </x:c>
      <x:c r="L36" s="40" t="n">
        <x:f>IF(OR(J36="",K36=""),"",(K36-J36)*'Readme-Protocol'!$B$31)</x:f>
        <x:v>457.0870003430173</x:v>
      </x:c>
      <x:c r="M36" s="34" t="str">
        <x:v>d91b58595b4ee37164985b91561b85cfef26e5cdcb372ffb6df317eea19602f0</x:v>
      </x:c>
      <x:c r="N36" s="34" t="str">
        <x:v>sha256:968b00243361bf927f9e7c869f896ff64c87584edb860fd6b1465d54a1735581</x:v>
      </x:c>
      <x:c r="O36" s="34" t="str">
        <x:v>testcache-benchmark:v4</x:v>
      </x:c>
      <x:c r="P36" s="38" t="n">
        <x:v>46268.113848368055</x:v>
      </x:c>
      <x:c r="Q36" s="42" t="n">
        <x:v>4</x:v>
      </x:c>
      <x:c r="R36" s="34" t="str">
        <x:v>AMD Ryzen 7 PRO 7840U w/ Radeon 780M Graphics</x:v>
      </x:c>
      <x:c r="S36" s="36" t="n">
        <x:v>16</x:v>
      </x:c>
      <x:c r="T36" s="43" t="n">
        <x:v>1610612736</x:v>
      </x:c>
      <x:c r="U36" s="40" t="n">
        <x:f>IF(T36="","",T36/'Readme-Protocol'!$B$26)</x:f>
        <x:v>1536</x:v>
      </x:c>
      <x:c r="V36" s="34" t="str">
        <x:v>Ubuntu 24.04.4 LTS</x:v>
      </x:c>
      <x:c r="W36" s="44" t="str">
        <x:v>Linux d91b58595b4e 6.18.33.2-microsoft-standard-WSL2 #1 SMP PREEMPT_DYNAMIC Thu Jun 18 21:54:43 UTC 2026 x86_64 x86_64 x86_64 GNU/Linux</x:v>
      </x:c>
      <x:c r="X36" s="34" t="str">
        <x:v>29.7.2</x:v>
      </x:c>
      <x:c r="Y36" s="34" t="str">
        <x:v>Docker Desktop</x:v>
      </x:c>
      <x:c r="Z36" s="34" t="str">
        <x:v>6.18.33.2-microsoft-standard-WSL2</x:v>
      </x:c>
      <x:c r="AA36" s="34" t="str">
        <x:v>x86_64</x:v>
      </x:c>
      <x:c r="AB36" s="34" t="str">
        <x:v>docker-desktop</x:v>
      </x:c>
      <x:c r="AC36" s="34" t="str">
        <x:v>Apache Tomcat/11.0.24</x:v>
      </x:c>
      <x:c r="AD36" s="34" t="str">
        <x:v>Linux</x:v>
      </x:c>
      <x:c r="AE36" s="34" t="str">
        <x:v>6.18.33.2-microsoft-standard-WSL2</x:v>
      </x:c>
      <x:c r="AF36" s="34" t="str">
        <x:v>amd64</x:v>
      </x:c>
      <x:c r="AG36" s="34" t="str">
        <x:v>25.0.3+9-LTS</x:v>
      </x:c>
      <x:c r="AH36" s="34" t="str">
        <x:v>Eclipse Adoptium</x:v>
      </x:c>
      <x:c r="AI36" s="44" t="str">
        <x:v>'-Xms256m -Xmx768m -XX:+UseG1GC -XX:NativeMemoryTracking=summary -Djava.awt.headless=true</x:v>
      </x:c>
      <x:c r="AJ36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6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6" s="34" t="str">
        <x:v>4.0.0-SNAPSHOT</x:v>
      </x:c>
      <x:c r="AM36" s="34" t="str">
        <x:v>4.0.0-SNAPSHOT</x:v>
      </x:c>
      <x:c r="AN36" s="44" t="str">
        <x:v>Protocollo v4.2; valore runtime in environment.jcs4Version</x:v>
      </x:c>
      <x:c r="AO36" s="34" t="str">
        <x:v>fb3f101b87709b713468e8d827b8612e6e65f29b</x:v>
      </x:c>
      <x:c r="AP36" s="34" t="str">
        <x:v>tomcat:11.0.24-jdk25-temurin-noble@sha256:6d673ad42da6498f05755cae67f85f2128bdfd88943c9bdb22e0965f8d4c3182</x:v>
      </x:c>
      <x:c r="AQ36" s="34" t="str">
        <x:v>tomcat:11.0.24-jdk25-temurin-noble@sha256:6d673ad42da6498f05755cae67f85f2128bdfd88943c9bdb22e0965f8d4c3182</x:v>
      </x:c>
      <x:c r="AR36" s="34" t="str">
        <x:v>sha256:6d673ad42da6498f05755cae67f85f2128bdfd88943c9bdb22e0965f8d4c3182</x:v>
      </x:c>
      <x:c r="AS36" s="45" t="b">
        <x:v>1</x:v>
      </x:c>
      <x:c r="AT36" s="34" t="str">
        <x:v>sha256:6d673ad42da6498f05755cae67f85f2128bdfd88943c9bdb22e0965f8d4c3182</x:v>
      </x:c>
      <x:c r="AU36" s="34" t="str">
        <x:v>maven:3.9.11-eclipse-temurin-25@sha256:407c4423cec0cf2981055bc2c6c0dc211d9605b6669279b95997f2d1c7e91e2c</x:v>
      </x:c>
      <x:c r="AV36" s="34" t="str">
        <x:v>maven:3.9.11-eclipse-temurin-25@sha256:407c4423cec0cf2981055bc2c6c0dc211d9605b6669279b95997f2d1c7e91e2c</x:v>
      </x:c>
      <x:c r="AW36" s="34" t="str">
        <x:v>sha256:407c4423cec0cf2981055bc2c6c0dc211d9605b6669279b95997f2d1c7e91e2c</x:v>
      </x:c>
      <x:c r="AX36" s="45" t="b">
        <x:v>1</x:v>
      </x:c>
      <x:c r="AY36" s="34" t="str">
        <x:v>sha256:407c4423cec0cf2981055bc2c6c0dc211d9605b6669279b95997f2d1c7e91e2c</x:v>
      </x:c>
      <x:c r="AZ36" s="34" t="str">
        <x:v>4.0.0-SNAPSHOT</x:v>
      </x:c>
      <x:c r="BA36" s="34" t="str">
        <x:v>fb3f101b87709b713468e8d827b8612e6e65f29b</x:v>
      </x:c>
      <x:c r="BB36" s="34" t="str">
        <x:v>cdbbde2db6e49e3c2f44c6caffd6fbefa85fe06e4a383b5d0b53f2747392edae</x:v>
      </x:c>
      <x:c r="BC36" s="34" t="str">
        <x:v>3.2.1</x:v>
      </x:c>
      <x:c r="BD36" s="34" t="str">
        <x:v>12c6fe08223820089f60969b6088e6ac5d358aa872de78357585cdacb6c61049</x:v>
      </x:c>
      <x:c r="BE36" s="34" t="str">
        <x:v>1805b8a170fa5ea5dc1b8ba79328a9c1e83ee1f9b510fe4f427f07dba6f95bc9</x:v>
      </x:c>
      <x:c r="BF36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6" s="34" t="str">
        <x:v>effective-pom.xml</x:v>
      </x:c>
      <x:c r="BH36" s="34" t="str">
        <x:v>0b744edc69da4e049fb2928c5434a331cf225aef38e3bfc5326c536a2f472d50</x:v>
      </x:c>
      <x:c r="BI36" s="43" t="n">
        <x:v>307699</x:v>
      </x:c>
      <x:c r="BJ36" s="34" t="str">
        <x:v>dependency-tree.txt</x:v>
      </x:c>
      <x:c r="BK36" s="34" t="str">
        <x:v>9277aea2be08f606ce4aa1e69c205c6e757280570cfc16abce613bf0a0ccf079</x:v>
      </x:c>
      <x:c r="BL36" s="43" t="n">
        <x:v>4634</x:v>
      </x:c>
      <x:c r="BM36" s="34" t="str">
        <x:v>build-provenance.properties</x:v>
      </x:c>
      <x:c r="BN36" s="34" t="str">
        <x:v>560565500c374b553afc554badb4427f7ae79b50a847971eb93f2b9b35c53317</x:v>
      </x:c>
      <x:c r="BO36" s="43" t="n">
        <x:v>189</x:v>
      </x:c>
      <x:c r="BP36" s="45" t="b">
        <x:v>1</x:v>
      </x:c>
      <x:c r="BQ36" s="44"/>
      <x:c r="BR36" s="36" t="n">
        <x:v>5</x:v>
      </x:c>
      <x:c r="BS36" s="36" t="n">
        <x:v>20</x:v>
      </x:c>
      <x:c r="BT36" s="36" t="n">
        <x:v>0</x:v>
      </x:c>
      <x:c r="BU36" s="36" t="n">
        <x:v>0</x:v>
      </x:c>
      <x:c r="BV36" s="34" t="str">
        <x:v>jcs</x:v>
      </x:c>
      <x:c r="BW36" s="34" t="str">
        <x:v>article1-unified-v4-2-fb3f101b-20260903-000401-default-f06-p5-jcs4-final.hprof</x:v>
      </x:c>
      <x:c r="BX36" s="34" t="str">
        <x:v>5b79129725108050eb95f1c15761fee17eeccf9f0de35e38d447f798765c958e</x:v>
      </x:c>
      <x:c r="BY36" s="43" t="n">
        <x:v>31306442</x:v>
      </x:c>
    </x:row>
    <x:row r="37">
      <x:c r="A37" s="34" t="str">
        <x:v>article1-unified-v4-2-fb3f101b-20260903-000401-default-f06-p6-cache2k</x:v>
      </x:c>
      <x:c r="B37" s="34" t="str">
        <x:v>default</x:v>
      </x:c>
      <x:c r="C37" s="34" t="str">
        <x:v>cache2k</x:v>
      </x:c>
      <x:c r="D37" s="34" t="str">
        <x:v>cache2k</x:v>
      </x:c>
      <x:c r="E37" s="34" t="str">
        <x:v>current-provider-primary-comparison</x:v>
      </x:c>
      <x:c r="F37" s="36" t="n">
        <x:v>6</x:v>
      </x:c>
      <x:c r="G37" s="36" t="n">
        <x:v>6</x:v>
      </x:c>
      <x:c r="H37" s="36" t="n">
        <x:v>6</x:v>
      </x:c>
      <x:c r="I37" s="36" t="n">
        <x:v>6</x:v>
      </x:c>
      <x:c r="J37" s="38" t="n">
        <x:v>46268.119559189814</x:v>
      </x:c>
      <x:c r="K37" s="38" t="n">
        <x:v>46268.12492834491</x:v>
      </x:c>
      <x:c r="L37" s="40" t="n">
        <x:f>IF(OR(J37="",K37=""),"",(K37-J37)*'Readme-Protocol'!$B$31)</x:f>
        <x:v>463.89500002842396</x:v>
      </x:c>
      <x:c r="M37" s="34" t="str">
        <x:v>f96d5a18bf8838d84bd38e9dcb8ccccd4d29a602832423120974385908cb09eb</x:v>
      </x:c>
      <x:c r="N37" s="34" t="str">
        <x:v>sha256:968b00243361bf927f9e7c869f896ff64c87584edb860fd6b1465d54a1735581</x:v>
      </x:c>
      <x:c r="O37" s="34" t="str">
        <x:v>testcache-benchmark:v4</x:v>
      </x:c>
      <x:c r="P37" s="38" t="n">
        <x:v>46268.11935940972</x:v>
      </x:c>
      <x:c r="Q37" s="42" t="n">
        <x:v>4</x:v>
      </x:c>
      <x:c r="R37" s="34" t="str">
        <x:v>AMD Ryzen 7 PRO 7840U w/ Radeon 780M Graphics</x:v>
      </x:c>
      <x:c r="S37" s="36" t="n">
        <x:v>16</x:v>
      </x:c>
      <x:c r="T37" s="43" t="n">
        <x:v>1610612736</x:v>
      </x:c>
      <x:c r="U37" s="40" t="n">
        <x:f>IF(T37="","",T37/'Readme-Protocol'!$B$26)</x:f>
        <x:v>1536</x:v>
      </x:c>
      <x:c r="V37" s="34" t="str">
        <x:v>Ubuntu 24.04.4 LTS</x:v>
      </x:c>
      <x:c r="W37" s="44" t="str">
        <x:v>Linux f96d5a18bf88 6.18.33.2-microsoft-standard-WSL2 #1 SMP PREEMPT_DYNAMIC Thu Jun 18 21:54:43 UTC 2026 x86_64 x86_64 x86_64 GNU/Linux</x:v>
      </x:c>
      <x:c r="X37" s="34" t="str">
        <x:v>29.7.2</x:v>
      </x:c>
      <x:c r="Y37" s="34" t="str">
        <x:v>Docker Desktop</x:v>
      </x:c>
      <x:c r="Z37" s="34" t="str">
        <x:v>6.18.33.2-microsoft-standard-WSL2</x:v>
      </x:c>
      <x:c r="AA37" s="34" t="str">
        <x:v>x86_64</x:v>
      </x:c>
      <x:c r="AB37" s="34" t="str">
        <x:v>docker-desktop</x:v>
      </x:c>
      <x:c r="AC37" s="34" t="str">
        <x:v>Apache Tomcat/11.0.24</x:v>
      </x:c>
      <x:c r="AD37" s="34" t="str">
        <x:v>Linux</x:v>
      </x:c>
      <x:c r="AE37" s="34" t="str">
        <x:v>6.18.33.2-microsoft-standard-WSL2</x:v>
      </x:c>
      <x:c r="AF37" s="34" t="str">
        <x:v>amd64</x:v>
      </x:c>
      <x:c r="AG37" s="34" t="str">
        <x:v>25.0.3+9-LTS</x:v>
      </x:c>
      <x:c r="AH37" s="34" t="str">
        <x:v>Eclipse Adoptium</x:v>
      </x:c>
      <x:c r="AI37" s="44" t="str">
        <x:v>'-Xms256m -Xmx768m -XX:+UseG1GC -XX:NativeMemoryTracking=summary -Djava.awt.headless=true</x:v>
      </x:c>
      <x:c r="AJ37" s="44" t="str">
        <x:v>1:
VM Arguments:
jvm_args: -Djava.util.logging.config.file=/usr/local/tomcat/conf/logging.properties -Djava.util.logging.manager=org.apache.juli.ClassLoaderLogManager -Xms256m -Xmx768m -XX:+UseG1GC -XX:NativeMemoryTracking=summary -Djava.awt.headless=true -Djdk.tls.ephemeralDHKeySize=2048 -Dorg.apache.catalina.security.SecurityListener.UMASK=0027 --add-opens=java.base/java.lang=ALL-UNNAMED --add-opens=java.base/java.lang.reflect=ALL-UNNAMED --add-opens=java.base/java.io=ALL-UNNAMED --add-opens=java.base/java.util=ALL-UNNAMED --add-opens=java.base/java.util.concurrent=ALL-UNNAMED --add-opens=java.rmi/sun.rmi.transport=ALL-UNNAMED --enable-native-access=ALL-UNNAMED -Dcatalina.base=/usr/local/tomcat -Dcatalina.home=/usr/local/tomcat -Djava.io.tmpdir=/usr/local/tomcat/temp 
java_command: org.apache.catalina.startup.Bootstrap start
java_class_path (initial): /usr/local/tomcat/bin/bootstrap.jar:/usr/local/tomcat/bin/tomcat-juli.jar
Launcher Type: SUN_STANDARD
</x:v>
      </x:c>
      <x:c r="AK37" s="44" t="str">
        <x:v>1:
-XX:-AOTInvokeDynamicLinking -XX:-AOTRecordTraining -XX:-AOTReplayTraining -XX:CICompilerCount=3 -XX:ConcGCThreads=1 -XX:G1ConcRefinementThreads=4 -XX:G1EagerReclaimRemSetThreshold=10 -XX:G1HeapRegionSize=1048576 -XX:G1RemSetArrayOfCardsEntries=10 -XX:G1RemSetHowlMaxNumBuckets=8 -XX:G1RemSetHowlNumBuckets=4 -XX:InitialHeapSize=268435456 -XX:-IntelJccErratumMitigation -XX:MarkStackSize=4194304 -XX:MarkStackSizeMax=536870912 -XX:MaxHeapSize=805306368 -XX:MaxNewSize=482344960 -XX:MinHeapDeltaBytes=1048576 -XX:MinHeapSize=268435456 -XX:NativeMemoryTracking=summary -XX:NonNMethodCodeHeapSize=5836800 -XX:NonProfiledCodeHeapSize=122912768 -XX:ProfiledCodeHeapSize=122912768 -XX:ReservedCodeCacheSize=251662336 -XX:+SegmentedCodeCache -XX:SoftMaxHeapSize=805306368 -XX:-THPStackMitigation -XX:+UseCompressedOops -XX:+UseG1GC -XX:X86ICacheSync=3 
</x:v>
      </x:c>
      <x:c r="AL37" s="34"/>
      <x:c r="AM37" s="34" t="str">
        <x:v>2.6.1.Final</x:v>
      </x:c>
      <x:c r="AN37" s="44" t="str">
        <x:v>Protocollo v4.2; verificabile nell'effective POM quando presente nell'archivio</x:v>
      </x:c>
      <x:c r="AO37" s="34" t="str">
        <x:v>fb3f101b87709b713468e8d827b8612e6e65f29b</x:v>
      </x:c>
      <x:c r="AP37" s="34" t="str">
        <x:v>tomcat:11.0.24-jdk25-temurin-noble@sha256:6d673ad42da6498f05755cae67f85f2128bdfd88943c9bdb22e0965f8d4c3182</x:v>
      </x:c>
      <x:c r="AQ37" s="34" t="str">
        <x:v>tomcat:11.0.24-jdk25-temurin-noble@sha256:6d673ad42da6498f05755cae67f85f2128bdfd88943c9bdb22e0965f8d4c3182</x:v>
      </x:c>
      <x:c r="AR37" s="34" t="str">
        <x:v>sha256:6d673ad42da6498f05755cae67f85f2128bdfd88943c9bdb22e0965f8d4c3182</x:v>
      </x:c>
      <x:c r="AS37" s="45" t="b">
        <x:v>1</x:v>
      </x:c>
      <x:c r="AT37" s="34" t="str">
        <x:v>sha256:6d673ad42da6498f05755cae67f85f2128bdfd88943c9bdb22e0965f8d4c3182</x:v>
      </x:c>
      <x:c r="AU37" s="34" t="str">
        <x:v>maven:3.9.11-eclipse-temurin-25@sha256:407c4423cec0cf2981055bc2c6c0dc211d9605b6669279b95997f2d1c7e91e2c</x:v>
      </x:c>
      <x:c r="AV37" s="34" t="str">
        <x:v>maven:3.9.11-eclipse-temurin-25@sha256:407c4423cec0cf2981055bc2c6c0dc211d9605b6669279b95997f2d1c7e91e2c</x:v>
      </x:c>
      <x:c r="AW37" s="34" t="str">
        <x:v>sha256:407c4423cec0cf2981055bc2c6c0dc211d9605b6669279b95997f2d1c7e91e2c</x:v>
      </x:c>
      <x:c r="AX37" s="45" t="b">
        <x:v>1</x:v>
      </x:c>
      <x:c r="AY37" s="34" t="str">
        <x:v>sha256:407c4423cec0cf2981055bc2c6c0dc211d9605b6669279b95997f2d1c7e91e2c</x:v>
      </x:c>
      <x:c r="AZ37" s="34" t="str">
        <x:v>4.0.0-SNAPSHOT</x:v>
      </x:c>
      <x:c r="BA37" s="34" t="str">
        <x:v>fb3f101b87709b713468e8d827b8612e6e65f29b</x:v>
      </x:c>
      <x:c r="BB37" s="34" t="str">
        <x:v>cdbbde2db6e49e3c2f44c6caffd6fbefa85fe06e4a383b5d0b53f2747392edae</x:v>
      </x:c>
      <x:c r="BC37" s="34" t="str">
        <x:v>3.2.1</x:v>
      </x:c>
      <x:c r="BD37" s="34" t="str">
        <x:v>12c6fe08223820089f60969b6088e6ac5d358aa872de78357585cdacb6c61049</x:v>
      </x:c>
      <x:c r="BE37" s="34" t="str">
        <x:v>1805b8a170fa5ea5dc1b8ba79328a9c1e83ee1f9b510fe4f427f07dba6f95bc9</x:v>
      </x:c>
      <x:c r="BF37" s="44" t="str">
        <x:v>[{"file":"cache-benchmark.war","sha256":"1805b8a170fa5ea5dc1b8ba79328a9c1e83ee1f9b510fe4f427f07dba6f95bc9"},{"file":"commons-jcs3-core-3.2.1.jar","sha256":"12c6fe08223820089f60969b6088e6ac5d358aa872de78357585cdacb6c61049"},{"file":"commons-jcs4-core-4.0.0-SNAPSHOT.jar","sha256":"cdbbde2db6e49e3c2f44c6caffd6fbefa85fe06e4a383b5d0b53f2747392edae"}]</x:v>
      </x:c>
      <x:c r="BG37" s="34" t="str">
        <x:v>effective-pom.xml</x:v>
      </x:c>
      <x:c r="BH37" s="34" t="str">
        <x:v>0b744edc69da4e049fb2928c5434a331cf225aef38e3bfc5326c536a2f472d50</x:v>
      </x:c>
      <x:c r="BI37" s="43" t="n">
        <x:v>307699</x:v>
      </x:c>
      <x:c r="BJ37" s="34" t="str">
        <x:v>dependency-tree.txt</x:v>
      </x:c>
      <x:c r="BK37" s="34" t="str">
        <x:v>9277aea2be08f606ce4aa1e69c205c6e757280570cfc16abce613bf0a0ccf079</x:v>
      </x:c>
      <x:c r="BL37" s="43" t="n">
        <x:v>4634</x:v>
      </x:c>
      <x:c r="BM37" s="34" t="str">
        <x:v>build-provenance.properties</x:v>
      </x:c>
      <x:c r="BN37" s="34" t="str">
        <x:v>560565500c374b553afc554badb4427f7ae79b50a847971eb93f2b9b35c53317</x:v>
      </x:c>
      <x:c r="BO37" s="43" t="n">
        <x:v>189</x:v>
      </x:c>
      <x:c r="BP37" s="45" t="b">
        <x:v>1</x:v>
      </x:c>
      <x:c r="BQ37" s="44"/>
      <x:c r="BR37" s="36" t="n">
        <x:v>5</x:v>
      </x:c>
      <x:c r="BS37" s="36" t="n">
        <x:v>0</x:v>
      </x:c>
      <x:c r="BT37" s="36" t="n">
        <x:v>0</x:v>
      </x:c>
      <x:c r="BU37" s="36" t="n">
        <x:v>0</x:v>
      </x:c>
      <x:c r="BV37" s="34"/>
      <x:c r="BW37" s="34"/>
      <x:c r="BX37" s="34"/>
      <x:c r="BY37" s="43"/>
    </x:row>
  </x:sheetData>
  <x:pageMargins left="0.7" right="0.7" top="0.75" bottom="0.75" header="0.3" footer="0.3"/>
  <x:tableParts count="1">
    <x:tablePart xmlns:r="http://schemas.openxmlformats.org/officeDocument/2006/relationships" r:id="Rc3167c2325504d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2" hidden="0" customWidth="1"/>
    <x:col min="3" max="3" width="13" hidden="0" customWidth="1"/>
    <x:col min="4" max="4" width="14" hidden="0" customWidth="1"/>
    <x:col min="5" max="5" width="34" hidden="0" customWidth="1"/>
    <x:col min="6" max="6" width="8" hidden="0" customWidth="1"/>
    <x:col min="7" max="7" width="12" hidden="0" customWidth="1"/>
    <x:col min="8" max="8" width="12" hidden="0" customWidth="1"/>
    <x:col min="9" max="9" width="8" hidden="0" customWidth="1"/>
    <x:col min="10" max="10" width="11" hidden="0" customWidth="1"/>
    <x:col min="11" max="11" width="20" hidden="0" customWidth="1"/>
    <x:col min="12" max="12" width="16" hidden="0" customWidth="1"/>
    <x:col min="13" max="13" width="14" hidden="0" customWidth="1"/>
    <x:col min="14" max="14" width="40" hidden="0" customWidth="1"/>
    <x:col min="15" max="15" width="15" hidden="0" customWidth="1"/>
    <x:col min="16" max="16" width="23" hidden="0" customWidth="1"/>
    <x:col min="17" max="17" width="13" hidden="0" customWidth="1"/>
    <x:col min="18" max="18" width="15" hidden="0" customWidth="1"/>
    <x:col min="19" max="19" width="14" hidden="0" customWidth="1"/>
    <x:col min="20" max="20" width="19" hidden="0" customWidth="1"/>
    <x:col min="21" max="21" width="16" hidden="0" customWidth="1"/>
    <x:col min="22" max="22" width="18" hidden="0" customWidth="1"/>
    <x:col min="23" max="23" width="10" hidden="0" customWidth="1"/>
    <x:col min="24" max="24" width="12" hidden="0" customWidth="1"/>
    <x:col min="25" max="25" width="21" hidden="0" customWidth="1"/>
    <x:col min="26" max="26" width="16" hidden="0" customWidth="1"/>
    <x:col min="27" max="27" width="15" hidden="0" customWidth="1"/>
    <x:col min="28" max="28" width="20" hidden="0" customWidth="1"/>
    <x:col min="29" max="29" width="1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21" hidden="0" customWidth="1"/>
    <x:col min="36" max="36" width="19" hidden="0" customWidth="1"/>
    <x:col min="37" max="37" width="16" hidden="0" customWidth="1"/>
    <x:col min="38" max="38" width="24" hidden="0" customWidth="1"/>
    <x:col min="39" max="39" width="21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20" hidden="0" customWidth="1"/>
    <x:col min="45" max="45" width="16" hidden="0" customWidth="1"/>
    <x:col min="46" max="46" width="18" hidden="0" customWidth="1"/>
    <x:col min="47" max="47" width="18" hidden="0" customWidth="1"/>
    <x:col min="48" max="48" width="19" hidden="0" customWidth="1"/>
    <x:col min="49" max="49" width="19" hidden="0" customWidth="1"/>
    <x:col min="50" max="50" width="19" hidden="0" customWidth="1"/>
    <x:col min="51" max="51" width="54" hidden="0" customWidth="1"/>
    <x:col min="52" max="52" width="54" hidden="0" customWidth="1"/>
    <x:col min="53" max="53" width="20" hidden="0" customWidth="1"/>
    <x:col min="54" max="54" width="16" hidden="0" customWidth="1"/>
    <x:col min="55" max="55" width="13" hidden="0" customWidth="1"/>
    <x:col min="56" max="56" width="13" hidden="0" customWidth="1"/>
    <x:col min="57" max="57" width="20" hidden="0" customWidth="1"/>
    <x:col min="58" max="58" width="15" hidden="0" customWidth="1"/>
    <x:col min="59" max="59" width="14" hidden="0" customWidth="1"/>
    <x:col min="60" max="60" width="17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54" hidden="0" customWidth="1"/>
  </x:cols>
  <x:sheetData>
    <x:row r="1" ht="31" customHeight="1">
      <x:c r="A1" s="23" t="str">
        <x:v>processRunId</x:v>
      </x:c>
      <x:c r="B1" s="23" t="str">
        <x:v>scenario</x:v>
      </x:c>
      <x:c r="C1" s="23" t="str">
        <x:v>provider</x:v>
      </x:c>
      <x:c r="D1" s="23" t="str">
        <x:v>engineProvider</x:v>
      </x:c>
      <x:c r="E1" s="23" t="str">
        <x:v>studyRole</x:v>
      </x:c>
      <x:c r="F1" s="23" t="str">
        <x:v>fork</x:v>
      </x:c>
      <x:c r="G1" s="23" t="str">
        <x:v>Williams block</x:v>
      </x:c>
      <x:c r="H1" s="23" t="str">
        <x:v>orderPosition</x:v>
      </x:c>
      <x:c r="I1" s="23" t="str">
        <x:v>cycle</x:v>
      </x:c>
      <x:c r="J1" s="23" t="str">
        <x:v>phase</x:v>
      </x:c>
      <x:c r="K1" s="23" t="str">
        <x:v>gateType</x:v>
      </x:c>
      <x:c r="L1" s="23" t="str">
        <x:v>performance eligible</x:v>
      </x:c>
      <x:c r="M1" s="23" t="str">
        <x:v>requestSeed</x:v>
      </x:c>
      <x:c r="N1" s="23" t="str">
        <x:v>access-plan SHA-256</x:v>
      </x:c>
      <x:c r="O1" s="23" t="str">
        <x:v>cache size (entries)</x:v>
      </x:c>
      <x:c r="P1" s="23" t="str">
        <x:v>operation-plan size (configured)</x:v>
      </x:c>
      <x:c r="Q1" s="23" t="str">
        <x:v>client workers</x:v>
      </x:c>
      <x:c r="R1" s="23" t="str">
        <x:v>target hit rate (%)</x:v>
      </x:c>
      <x:c r="S1" s="23" t="str">
        <x:v>payload (bytes)</x:v>
      </x:c>
      <x:c r="T1" s="23" t="str">
        <x:v>warmup operations requested</x:v>
      </x:c>
      <x:c r="U1" s="23" t="str">
        <x:v>warmup requested (s)</x:v>
      </x:c>
      <x:c r="V1" s="23" t="str">
        <x:v>measurement requested (s)</x:v>
      </x:c>
      <x:c r="W1" s="23" t="str">
        <x:v>TTL (s)</x:v>
      </x:c>
      <x:c r="X1" s="23" t="str">
        <x:v>workload</x:v>
      </x:c>
      <x:c r="Y1" s="23" t="str">
        <x:v>writePercent configured (%)</x:v>
      </x:c>
      <x:c r="Z1" s="23" t="str">
        <x:v>JCS memory mode</x:v>
      </x:c>
      <x:c r="AA1" s="23" t="str">
        <x:v>latency sample 1/N</x:v>
      </x:c>
      <x:c r="AB1" s="23" t="str">
        <x:v>warmup operations executed</x:v>
      </x:c>
      <x:c r="AC1" s="23" t="str">
        <x:v>warmup (ns)</x:v>
      </x:c>
      <x:c r="AD1" s="23" t="str">
        <x:v>warmup overshoot (ns)</x:v>
      </x:c>
      <x:c r="AE1" s="23" t="str">
        <x:v>fill throughput (ops/s)</x:v>
      </x:c>
      <x:c r="AF1" s="23" t="str">
        <x:v>throughput (ops/s)</x:v>
      </x:c>
      <x:c r="AG1" s="23" t="str">
        <x:v>measured operations</x:v>
      </x:c>
      <x:c r="AH1" s="23" t="str">
        <x:v>measurement (ns)</x:v>
      </x:c>
      <x:c r="AI1" s="23" t="str">
        <x:v>measurement overshoot (ns)</x:v>
      </x:c>
      <x:c r="AJ1" s="23" t="str">
        <x:v>read throughput (ops/s)</x:v>
      </x:c>
      <x:c r="AK1" s="23" t="str">
        <x:v>read operations</x:v>
      </x:c>
      <x:c r="AL1" s="23" t="str">
        <x:v>timed concurrent writes (uniform=0)</x:v>
      </x:c>
      <x:c r="AM1" s="23" t="str">
        <x:v>write-probe throughput (ops/s)</x:v>
      </x:c>
      <x:c r="AN1" s="23" t="str">
        <x:v>latency p50 (ns)</x:v>
      </x:c>
      <x:c r="AO1" s="23" t="str">
        <x:v>latency p95 (ns)</x:v>
      </x:c>
      <x:c r="AP1" s="23" t="str">
        <x:v>latency p99 (ns)</x:v>
      </x:c>
      <x:c r="AQ1" s="23" t="str">
        <x:v>latency samples</x:v>
      </x:c>
      <x:c r="AR1" s="23" t="str">
        <x:v>loader calls under contention</x:v>
      </x:c>
      <x:c r="AS1" s="23" t="str">
        <x:v>single-flight passed</x:v>
      </x:c>
      <x:c r="AT1" s="23" t="str">
        <x:v>entries after workload</x:v>
      </x:c>
      <x:c r="AU1" s="23" t="str">
        <x:v>hit rate after workload</x:v>
      </x:c>
      <x:c r="AV1" s="23" t="str">
        <x:v>entries after write probe</x:v>
      </x:c>
      <x:c r="AW1" s="23" t="str">
        <x:v>hit rate after write probe</x:v>
      </x:c>
      <x:c r="AX1" s="23" t="str">
        <x:v>legacy metrics = post-write</x:v>
      </x:c>
      <x:c r="AY1" s="23" t="str">
        <x:v>metrics after workload (JSON)</x:v>
      </x:c>
      <x:c r="AZ1" s="23" t="str">
        <x:v>metrics after write probe (JSON)</x:v>
      </x:c>
      <x:c r="BA1" s="23" t="str">
        <x:v>legacy alias entries (post-write)</x:v>
      </x:c>
      <x:c r="BB1" s="23" t="str">
        <x:v>provider requests</x:v>
      </x:c>
      <x:c r="BC1" s="23" t="str">
        <x:v>hits</x:v>
      </x:c>
      <x:c r="BD1" s="23" t="str">
        <x:v>misses</x:v>
      </x:c>
      <x:c r="BE1" s="23" t="str">
        <x:v>legacy alias hit rate (post-write)</x:v>
      </x:c>
      <x:c r="BF1" s="23" t="str">
        <x:v>load successes</x:v>
      </x:c>
      <x:c r="BG1" s="23" t="str">
        <x:v>load failures</x:v>
      </x:c>
      <x:c r="BH1" s="23" t="str">
        <x:v>total load time (ns)</x:v>
      </x:c>
      <x:c r="BI1" s="23" t="str">
        <x:v>evictions</x:v>
      </x:c>
      <x:c r="BJ1" s="23" t="str">
        <x:v>expirations</x:v>
      </x:c>
      <x:c r="BK1" s="23" t="str">
        <x:v>puts</x:v>
      </x:c>
      <x:c r="BL1" s="23" t="str">
        <x:v>removes</x:v>
      </x:c>
      <x:c r="BM1" s="23" t="str">
        <x:v>native provider metrics (JSON)</x:v>
      </x:c>
    </x:row>
    <x:row r="2">
      <x:c r="A2" s="34" t="str">
        <x:v>article1-unified-v4-2-fb3f101b-20260903-000401-default-f01-p1-caffeine</x:v>
      </x:c>
      <x:c r="B2" s="34" t="str">
        <x:v>default</x:v>
      </x:c>
      <x:c r="C2" s="34" t="str">
        <x:v>caffeine</x:v>
      </x:c>
      <x:c r="D2" s="34" t="str">
        <x:v>caffeine</x:v>
      </x:c>
      <x:c r="E2" s="34" t="str">
        <x:v>current-provider-primary-comparison</x:v>
      </x:c>
      <x:c r="F2" s="36" t="n">
        <x:v>1</x:v>
      </x:c>
      <x:c r="G2" s="36" t="n">
        <x:v>1</x:v>
      </x:c>
      <x:c r="H2" s="36" t="n">
        <x:v>1</x:v>
      </x:c>
      <x:c r="I2" s="36" t="n">
        <x:v>1</x:v>
      </x:c>
      <x:c r="J2" s="34" t="str">
        <x:v>initial</x:v>
      </x:c>
      <x:c r="K2" s="34" t="str">
        <x:v>cache-semantics</x:v>
      </x:c>
      <x:c r="L2" s="45" t="b">
        <x:v>1</x:v>
      </x:c>
      <x:c r="M2" s="36" t="n">
        <x:v>106301548</x:v>
      </x:c>
      <x:c r="N2" s="34" t="str">
        <x:v>fa65b2a625504511da06f56a3e8d6510b1104618fae5e2432265db137bc093a0</x:v>
      </x:c>
      <x:c r="O2" s="43" t="n">
        <x:v>10000</x:v>
      </x:c>
      <x:c r="P2" s="43" t="n">
        <x:v>400000</x:v>
      </x:c>
      <x:c r="Q2" s="36" t="n">
        <x:v>8</x:v>
      </x:c>
      <x:c r="R2" s="42" t="n">
        <x:v>95</x:v>
      </x:c>
      <x:c r="S2" s="43" t="n">
        <x:v>512</x:v>
      </x:c>
      <x:c r="T2" s="43" t="n">
        <x:v>50000</x:v>
      </x:c>
      <x:c r="U2" s="46" t="n">
        <x:v>3</x:v>
      </x:c>
      <x:c r="V2" s="46" t="n">
        <x:v>5</x:v>
      </x:c>
      <x:c r="W2" s="43" t="n">
        <x:v>300</x:v>
      </x:c>
      <x:c r="X2" s="34" t="str">
        <x:v>uniform</x:v>
      </x:c>
      <x:c r="Y2" s="42" t="n">
        <x:v>10</x:v>
      </x:c>
      <x:c r="Z2" s="34" t="str">
        <x:v>strict</x:v>
      </x:c>
      <x:c r="AA2" s="36" t="n">
        <x:v>64</x:v>
      </x:c>
      <x:c r="AB2" s="43" t="n">
        <x:v>71919616</x:v>
      </x:c>
      <x:c r="AC2" s="43" t="n">
        <x:v>3005605511</x:v>
      </x:c>
      <x:c r="AD2" s="43" t="n">
        <x:v>5605511</x:v>
      </x:c>
      <x:c r="AE2" s="43" t="n">
        <x:v>1384144.9244028488</x:v>
      </x:c>
      <x:c r="AF2" s="43" t="n">
        <x:v>25497637.617392696</x:v>
      </x:c>
      <x:c r="AG2" s="43" t="n">
        <x:v>127727872</x:v>
      </x:c>
      <x:c r="AH2" s="43" t="n">
        <x:v>5009400240</x:v>
      </x:c>
      <x:c r="AI2" s="43" t="n">
        <x:v>9400240</x:v>
      </x:c>
      <x:c r="AJ2" s="43" t="n">
        <x:v>25497637.617392696</x:v>
      </x:c>
      <x:c r="AK2" s="43" t="n">
        <x:v>127727872</x:v>
      </x:c>
      <x:c r="AL2" s="43" t="n">
        <x:v>0</x:v>
      </x:c>
      <x:c r="AM2" s="43" t="n">
        <x:v>268334.375544048</x:v>
      </x:c>
      <x:c r="AN2" s="43" t="n">
        <x:v>150</x:v>
      </x:c>
      <x:c r="AO2" s="43" t="n">
        <x:v>321</x:v>
      </x:c>
      <x:c r="AP2" s="43" t="n">
        <x:v>521</x:v>
      </x:c>
      <x:c r="AQ2" s="43" t="n">
        <x:v>1995748</x:v>
      </x:c>
      <x:c r="AR2" s="43" t="n">
        <x:v>1</x:v>
      </x:c>
      <x:c r="AS2" s="45" t="b">
        <x:v>1</x:v>
      </x:c>
      <x:c r="AT2" s="43" t="n">
        <x:v>10000</x:v>
      </x:c>
      <x:c r="AU2" s="48" t="n">
        <x:v>0.9496100976300615</x:v>
      </x:c>
      <x:c r="AV2" s="43" t="n">
        <x:v>10000</x:v>
      </x:c>
      <x:c r="AW2" s="48" t="n">
        <x:v>0.9496100976300615</x:v>
      </x:c>
      <x:c r="AX2" s="45" t="b">
        <x:v>1</x:v>
      </x:c>
      <x:c r="AY2" s="44" t="str">
        <x:v>{"provider":"caffeine","currentEntries":10000,"requestCount":127727872,"hitCount":121291677,"missCount":6436195,"hitRate":0.9496100976300615,"loadSuccessCount":0,"loadFailureCount":0,"totalLoadTimeNanos":0,"evictionCount":-1,"expirationCount":-1,"putCount":10000,"removeCount":0,"nativeMetrics":{"statisticsEnabled":0}}</x:v>
      </x:c>
      <x:c r="AZ2" s="44" t="str">
        <x:v>{"provider":"caffeine","currentEntries":10000,"requestCount":127727872,"hitCount":121291677,"missCount":6436195,"hitRate":0.9496100976300615,"loadSuccessCount":0,"loadFailureCount":0,"totalLoadTimeNanos":0,"evictionCount":-1,"expirationCount":-1,"putCount":15000,"removeCount":0,"nativeMetrics":{"statisticsEnabled":0}}</x:v>
      </x:c>
      <x:c r="BA2" s="43" t="n">
        <x:v>10000</x:v>
      </x:c>
      <x:c r="BB2" s="43" t="n">
        <x:v>127727872</x:v>
      </x:c>
      <x:c r="BC2" s="43" t="n">
        <x:v>121291677</x:v>
      </x:c>
      <x:c r="BD2" s="43" t="n">
        <x:v>6436195</x:v>
      </x:c>
      <x:c r="BE2" s="48" t="n">
        <x:v>0.9496100976300615</x:v>
      </x:c>
      <x:c r="BF2" s="43" t="n">
        <x:v>0</x:v>
      </x:c>
      <x:c r="BG2" s="43" t="n">
        <x:v>0</x:v>
      </x:c>
      <x:c r="BH2" s="43" t="n">
        <x:v>0</x:v>
      </x:c>
      <x:c r="BI2" s="43" t="n">
        <x:v>-1</x:v>
      </x:c>
      <x:c r="BJ2" s="43" t="n">
        <x:v>-1</x:v>
      </x:c>
      <x:c r="BK2" s="43" t="n">
        <x:v>15000</x:v>
      </x:c>
      <x:c r="BL2" s="43" t="n">
        <x:v>0</x:v>
      </x:c>
      <x:c r="BM2" s="44" t="str">
        <x:v>{"statisticsEnabled":0}</x:v>
      </x:c>
    </x:row>
    <x:row r="3">
      <x:c r="A3" s="34" t="str">
        <x:v>article1-unified-v4-2-fb3f101b-20260903-000401-default-f01-p1-caffeine</x:v>
      </x:c>
      <x:c r="B3" s="34" t="str">
        <x:v>default</x:v>
      </x:c>
      <x:c r="C3" s="34" t="str">
        <x:v>caffeine</x:v>
      </x:c>
      <x:c r="D3" s="34" t="str">
        <x:v>caffeine</x:v>
      </x:c>
      <x:c r="E3" s="34" t="str">
        <x:v>current-provider-primary-comparison</x:v>
      </x:c>
      <x:c r="F3" s="36" t="n">
        <x:v>1</x:v>
      </x:c>
      <x:c r="G3" s="36" t="n">
        <x:v>1</x:v>
      </x:c>
      <x:c r="H3" s="36" t="n">
        <x:v>1</x:v>
      </x:c>
      <x:c r="I3" s="36" t="n">
        <x:v>1</x:v>
      </x:c>
      <x:c r="J3" s="34" t="str">
        <x:v>redeploy</x:v>
      </x:c>
      <x:c r="K3" s="34" t="str">
        <x:v>cache-semantics</x:v>
      </x:c>
      <x:c r="L3" s="45" t="b">
        <x:v>1</x:v>
      </x:c>
      <x:c r="M3" s="36" t="n">
        <x:v>106301548</x:v>
      </x:c>
      <x:c r="N3" s="34" t="str">
        <x:v>fa65b2a625504511da06f56a3e8d6510b1104618fae5e2432265db137bc093a0</x:v>
      </x:c>
      <x:c r="O3" s="43" t="n">
        <x:v>10000</x:v>
      </x:c>
      <x:c r="P3" s="43" t="n">
        <x:v>400000</x:v>
      </x:c>
      <x:c r="Q3" s="36" t="n">
        <x:v>8</x:v>
      </x:c>
      <x:c r="R3" s="42" t="n">
        <x:v>95</x:v>
      </x:c>
      <x:c r="S3" s="43" t="n">
        <x:v>512</x:v>
      </x:c>
      <x:c r="T3" s="43" t="n">
        <x:v>50000</x:v>
      </x:c>
      <x:c r="U3" s="46" t="n">
        <x:v>3</x:v>
      </x:c>
      <x:c r="V3" s="46" t="n">
        <x:v>5</x:v>
      </x:c>
      <x:c r="W3" s="43" t="n">
        <x:v>300</x:v>
      </x:c>
      <x:c r="X3" s="34" t="str">
        <x:v>uniform</x:v>
      </x:c>
      <x:c r="Y3" s="42" t="n">
        <x:v>10</x:v>
      </x:c>
      <x:c r="Z3" s="34" t="str">
        <x:v>strict</x:v>
      </x:c>
      <x:c r="AA3" s="36" t="n">
        <x:v>64</x:v>
      </x:c>
      <x:c r="AB3" s="43" t="n">
        <x:v>81305344</x:v>
      </x:c>
      <x:c r="AC3" s="43" t="n">
        <x:v>3013052091</x:v>
      </x:c>
      <x:c r="AD3" s="43" t="n">
        <x:v>13052091</x:v>
      </x:c>
      <x:c r="AE3" s="43" t="n">
        <x:v>1077546.0311501317</x:v>
      </x:c>
      <x:c r="AF3" s="43" t="n">
        <x:v>26040304.053950172</x:v>
      </x:c>
      <x:c r="AG3" s="43" t="n">
        <x:v>130263808</x:v>
      </x:c>
      <x:c r="AH3" s="43" t="n">
        <x:v>5002391974</x:v>
      </x:c>
      <x:c r="AI3" s="43" t="n">
        <x:v>2391974</x:v>
      </x:c>
      <x:c r="AJ3" s="43" t="n">
        <x:v>26040304.053950172</x:v>
      </x:c>
      <x:c r="AK3" s="43" t="n">
        <x:v>130263808</x:v>
      </x:c>
      <x:c r="AL3" s="43" t="n">
        <x:v>0</x:v>
      </x:c>
      <x:c r="AM3" s="43" t="n">
        <x:v>462373.69337817986</x:v>
      </x:c>
      <x:c r="AN3" s="43" t="n">
        <x:v>141</x:v>
      </x:c>
      <x:c r="AO3" s="43" t="n">
        <x:v>290</x:v>
      </x:c>
      <x:c r="AP3" s="43" t="n">
        <x:v>491</x:v>
      </x:c>
      <x:c r="AQ3" s="43" t="n">
        <x:v>2035372</x:v>
      </x:c>
      <x:c r="AR3" s="43" t="n">
        <x:v>1</x:v>
      </x:c>
      <x:c r="AS3" s="45" t="b">
        <x:v>1</x:v>
      </x:c>
      <x:c r="AT3" s="43" t="n">
        <x:v>10000</x:v>
      </x:c>
      <x:c r="AU3" s="48" t="n">
        <x:v>0.9495616464705223</x:v>
      </x:c>
      <x:c r="AV3" s="43" t="n">
        <x:v>10000</x:v>
      </x:c>
      <x:c r="AW3" s="48" t="n">
        <x:v>0.9495616464705223</x:v>
      </x:c>
      <x:c r="AX3" s="45" t="b">
        <x:v>1</x:v>
      </x:c>
      <x:c r="AY3" s="44" t="str">
        <x:v>{"provider":"caffeine","currentEntries":10000,"requestCount":130263808,"hitCount":123693516,"missCount":6570292,"hitRate":0.9495616464705223,"loadSuccessCount":0,"loadFailureCount":0,"totalLoadTimeNanos":0,"evictionCount":-1,"expirationCount":-1,"putCount":10000,"removeCount":0,"nativeMetrics":{"statisticsEnabled":0}}</x:v>
      </x:c>
      <x:c r="AZ3" s="44" t="str">
        <x:v>{"provider":"caffeine","currentEntries":10000,"requestCount":130263808,"hitCount":123693516,"missCount":6570292,"hitRate":0.9495616464705223,"loadSuccessCount":0,"loadFailureCount":0,"totalLoadTimeNanos":0,"evictionCount":-1,"expirationCount":-1,"putCount":15000,"removeCount":0,"nativeMetrics":{"statisticsEnabled":0}}</x:v>
      </x:c>
      <x:c r="BA3" s="43" t="n">
        <x:v>10000</x:v>
      </x:c>
      <x:c r="BB3" s="43" t="n">
        <x:v>130263808</x:v>
      </x:c>
      <x:c r="BC3" s="43" t="n">
        <x:v>123693516</x:v>
      </x:c>
      <x:c r="BD3" s="43" t="n">
        <x:v>6570292</x:v>
      </x:c>
      <x:c r="BE3" s="48" t="n">
        <x:v>0.9495616464705223</x:v>
      </x:c>
      <x:c r="BF3" s="43" t="n">
        <x:v>0</x:v>
      </x:c>
      <x:c r="BG3" s="43" t="n">
        <x:v>0</x:v>
      </x:c>
      <x:c r="BH3" s="43" t="n">
        <x:v>0</x:v>
      </x:c>
      <x:c r="BI3" s="43" t="n">
        <x:v>-1</x:v>
      </x:c>
      <x:c r="BJ3" s="43" t="n">
        <x:v>-1</x:v>
      </x:c>
      <x:c r="BK3" s="43" t="n">
        <x:v>15000</x:v>
      </x:c>
      <x:c r="BL3" s="43" t="n">
        <x:v>0</x:v>
      </x:c>
      <x:c r="BM3" s="44" t="str">
        <x:v>{"statisticsEnabled":0}</x:v>
      </x:c>
    </x:row>
    <x:row r="4">
      <x:c r="A4" s="34" t="str">
        <x:v>article1-unified-v4-2-fb3f101b-20260903-000401-default-f01-p1-caffeine</x:v>
      </x:c>
      <x:c r="B4" s="34" t="str">
        <x:v>default</x:v>
      </x:c>
      <x:c r="C4" s="34" t="str">
        <x:v>caffeine</x:v>
      </x:c>
      <x:c r="D4" s="34" t="str">
        <x:v>caffeine</x:v>
      </x:c>
      <x:c r="E4" s="34" t="str">
        <x:v>current-provider-primary-comparison</x:v>
      </x:c>
      <x:c r="F4" s="36" t="n">
        <x:v>1</x:v>
      </x:c>
      <x:c r="G4" s="36" t="n">
        <x:v>1</x:v>
      </x:c>
      <x:c r="H4" s="36" t="n">
        <x:v>1</x:v>
      </x:c>
      <x:c r="I4" s="36" t="n">
        <x:v>2</x:v>
      </x:c>
      <x:c r="J4" s="34" t="str">
        <x:v>initial</x:v>
      </x:c>
      <x:c r="K4" s="34" t="str">
        <x:v>cache-semantics</x:v>
      </x:c>
      <x:c r="L4" s="45" t="b">
        <x:v>1</x:v>
      </x:c>
      <x:c r="M4" s="36" t="n">
        <x:v>309808933</x:v>
      </x:c>
      <x:c r="N4" s="34" t="str">
        <x:v>b0f93ea0f1c077db50e7c1bad3e775d71788ff94e4a876cc76b8b1613dc18177</x:v>
      </x:c>
      <x:c r="O4" s="43" t="n">
        <x:v>10000</x:v>
      </x:c>
      <x:c r="P4" s="43" t="n">
        <x:v>400000</x:v>
      </x:c>
      <x:c r="Q4" s="36" t="n">
        <x:v>8</x:v>
      </x:c>
      <x:c r="R4" s="42" t="n">
        <x:v>95</x:v>
      </x:c>
      <x:c r="S4" s="43" t="n">
        <x:v>512</x:v>
      </x:c>
      <x:c r="T4" s="43" t="n">
        <x:v>50000</x:v>
      </x:c>
      <x:c r="U4" s="46" t="n">
        <x:v>3</x:v>
      </x:c>
      <x:c r="V4" s="46" t="n">
        <x:v>5</x:v>
      </x:c>
      <x:c r="W4" s="43" t="n">
        <x:v>300</x:v>
      </x:c>
      <x:c r="X4" s="34" t="str">
        <x:v>uniform</x:v>
      </x:c>
      <x:c r="Y4" s="42" t="n">
        <x:v>10</x:v>
      </x:c>
      <x:c r="Z4" s="34" t="str">
        <x:v>strict</x:v>
      </x:c>
      <x:c r="AA4" s="36" t="n">
        <x:v>64</x:v>
      </x:c>
      <x:c r="AB4" s="43" t="n">
        <x:v>76273920</x:v>
      </x:c>
      <x:c r="AC4" s="43" t="n">
        <x:v>3034514532</x:v>
      </x:c>
      <x:c r="AD4" s="43" t="n">
        <x:v>34514532</x:v>
      </x:c>
      <x:c r="AE4" s="43" t="n">
        <x:v>1372658.724646307</x:v>
      </x:c>
      <x:c r="AF4" s="43" t="n">
        <x:v>25185288.95959526</x:v>
      </x:c>
      <x:c r="AG4" s="43" t="n">
        <x:v>125983744</x:v>
      </x:c>
      <x:c r="AH4" s="43" t="n">
        <x:v>5002275106</x:v>
      </x:c>
      <x:c r="AI4" s="43" t="n">
        <x:v>2275106</x:v>
      </x:c>
      <x:c r="AJ4" s="43" t="n">
        <x:v>25185288.95959526</x:v>
      </x:c>
      <x:c r="AK4" s="43" t="n">
        <x:v>125983744</x:v>
      </x:c>
      <x:c r="AL4" s="43" t="n">
        <x:v>0</x:v>
      </x:c>
      <x:c r="AM4" s="43" t="n">
        <x:v>449290.26963975816</x:v>
      </x:c>
      <x:c r="AN4" s="43" t="n">
        <x:v>150</x:v>
      </x:c>
      <x:c r="AO4" s="43" t="n">
        <x:v>311</x:v>
      </x:c>
      <x:c r="AP4" s="43" t="n">
        <x:v>521</x:v>
      </x:c>
      <x:c r="AQ4" s="43" t="n">
        <x:v>1968496</x:v>
      </x:c>
      <x:c r="AR4" s="43" t="n">
        <x:v>1</x:v>
      </x:c>
      <x:c r="AS4" s="45" t="b">
        <x:v>1</x:v>
      </x:c>
      <x:c r="AT4" s="43" t="n">
        <x:v>10000</x:v>
      </x:c>
      <x:c r="AU4" s="48" t="n">
        <x:v>0.9503731370294886</x:v>
      </x:c>
      <x:c r="AV4" s="43" t="n">
        <x:v>10000</x:v>
      </x:c>
      <x:c r="AW4" s="48" t="n">
        <x:v>0.9503731370294886</x:v>
      </x:c>
      <x:c r="AX4" s="45" t="b">
        <x:v>1</x:v>
      </x:c>
      <x:c r="AY4" s="44" t="str">
        <x:v>{"provider":"caffeine","currentEntries":10000,"requestCount":125983744,"hitCount":119731566,"missCount":6252178,"hitRate":0.9503731370294886,"loadSuccessCount":0,"loadFailureCount":0,"totalLoadTimeNanos":0,"evictionCount":-1,"expirationCount":-1,"putCount":10000,"removeCount":0,"nativeMetrics":{"statisticsEnabled":0}}</x:v>
      </x:c>
      <x:c r="AZ4" s="44" t="str">
        <x:v>{"provider":"caffeine","currentEntries":10000,"requestCount":125983744,"hitCount":119731566,"missCount":6252178,"hitRate":0.9503731370294886,"loadSuccessCount":0,"loadFailureCount":0,"totalLoadTimeNanos":0,"evictionCount":-1,"expirationCount":-1,"putCount":15000,"removeCount":0,"nativeMetrics":{"statisticsEnabled":0}}</x:v>
      </x:c>
      <x:c r="BA4" s="43" t="n">
        <x:v>10000</x:v>
      </x:c>
      <x:c r="BB4" s="43" t="n">
        <x:v>125983744</x:v>
      </x:c>
      <x:c r="BC4" s="43" t="n">
        <x:v>119731566</x:v>
      </x:c>
      <x:c r="BD4" s="43" t="n">
        <x:v>6252178</x:v>
      </x:c>
      <x:c r="BE4" s="48" t="n">
        <x:v>0.9503731370294886</x:v>
      </x:c>
      <x:c r="BF4" s="43" t="n">
        <x:v>0</x:v>
      </x:c>
      <x:c r="BG4" s="43" t="n">
        <x:v>0</x:v>
      </x:c>
      <x:c r="BH4" s="43" t="n">
        <x:v>0</x:v>
      </x:c>
      <x:c r="BI4" s="43" t="n">
        <x:v>-1</x:v>
      </x:c>
      <x:c r="BJ4" s="43" t="n">
        <x:v>-1</x:v>
      </x:c>
      <x:c r="BK4" s="43" t="n">
        <x:v>15000</x:v>
      </x:c>
      <x:c r="BL4" s="43" t="n">
        <x:v>0</x:v>
      </x:c>
      <x:c r="BM4" s="44" t="str">
        <x:v>{"statisticsEnabled":0}</x:v>
      </x:c>
    </x:row>
    <x:row r="5">
      <x:c r="A5" s="34" t="str">
        <x:v>article1-unified-v4-2-fb3f101b-20260903-000401-default-f01-p1-caffeine</x:v>
      </x:c>
      <x:c r="B5" s="34" t="str">
        <x:v>default</x:v>
      </x:c>
      <x:c r="C5" s="34" t="str">
        <x:v>caffeine</x:v>
      </x:c>
      <x:c r="D5" s="34" t="str">
        <x:v>caffeine</x:v>
      </x:c>
      <x:c r="E5" s="34" t="str">
        <x:v>current-provider-primary-comparison</x:v>
      </x:c>
      <x:c r="F5" s="36" t="n">
        <x:v>1</x:v>
      </x:c>
      <x:c r="G5" s="36" t="n">
        <x:v>1</x:v>
      </x:c>
      <x:c r="H5" s="36" t="n">
        <x:v>1</x:v>
      </x:c>
      <x:c r="I5" s="36" t="n">
        <x:v>2</x:v>
      </x:c>
      <x:c r="J5" s="34" t="str">
        <x:v>redeploy</x:v>
      </x:c>
      <x:c r="K5" s="34" t="str">
        <x:v>cache-semantics</x:v>
      </x:c>
      <x:c r="L5" s="45" t="b">
        <x:v>1</x:v>
      </x:c>
      <x:c r="M5" s="36" t="n">
        <x:v>309808933</x:v>
      </x:c>
      <x:c r="N5" s="34" t="str">
        <x:v>b0f93ea0f1c077db50e7c1bad3e775d71788ff94e4a876cc76b8b1613dc18177</x:v>
      </x:c>
      <x:c r="O5" s="43" t="n">
        <x:v>10000</x:v>
      </x:c>
      <x:c r="P5" s="43" t="n">
        <x:v>400000</x:v>
      </x:c>
      <x:c r="Q5" s="36" t="n">
        <x:v>8</x:v>
      </x:c>
      <x:c r="R5" s="42" t="n">
        <x:v>95</x:v>
      </x:c>
      <x:c r="S5" s="43" t="n">
        <x:v>512</x:v>
      </x:c>
      <x:c r="T5" s="43" t="n">
        <x:v>50000</x:v>
      </x:c>
      <x:c r="U5" s="46" t="n">
        <x:v>3</x:v>
      </x:c>
      <x:c r="V5" s="46" t="n">
        <x:v>5</x:v>
      </x:c>
      <x:c r="W5" s="43" t="n">
        <x:v>300</x:v>
      </x:c>
      <x:c r="X5" s="34" t="str">
        <x:v>uniform</x:v>
      </x:c>
      <x:c r="Y5" s="42" t="n">
        <x:v>10</x:v>
      </x:c>
      <x:c r="Z5" s="34" t="str">
        <x:v>strict</x:v>
      </x:c>
      <x:c r="AA5" s="36" t="n">
        <x:v>64</x:v>
      </x:c>
      <x:c r="AB5" s="43" t="n">
        <x:v>77897216</x:v>
      </x:c>
      <x:c r="AC5" s="43" t="n">
        <x:v>3013222293</x:v>
      </x:c>
      <x:c r="AD5" s="43" t="n">
        <x:v>13222293</x:v>
      </x:c>
      <x:c r="AE5" s="43" t="n">
        <x:v>1423753.041492435</x:v>
      </x:c>
      <x:c r="AF5" s="43" t="n">
        <x:v>24719726.27702385</x:v>
      </x:c>
      <x:c r="AG5" s="43" t="n">
        <x:v>123697408</x:v>
      </x:c>
      <x:c r="AH5" s="43" t="n">
        <x:v>5003995862</x:v>
      </x:c>
      <x:c r="AI5" s="43" t="n">
        <x:v>3995862</x:v>
      </x:c>
      <x:c r="AJ5" s="43" t="n">
        <x:v>24719726.27702385</x:v>
      </x:c>
      <x:c r="AK5" s="43" t="n">
        <x:v>123697408</x:v>
      </x:c>
      <x:c r="AL5" s="43" t="n">
        <x:v>0</x:v>
      </x:c>
      <x:c r="AM5" s="43" t="n">
        <x:v>126228.88872327658</x:v>
      </x:c>
      <x:c r="AN5" s="43" t="n">
        <x:v>150</x:v>
      </x:c>
      <x:c r="AO5" s="43" t="n">
        <x:v>311</x:v>
      </x:c>
      <x:c r="AP5" s="43" t="n">
        <x:v>511</x:v>
      </x:c>
      <x:c r="AQ5" s="43" t="n">
        <x:v>1932772</x:v>
      </x:c>
      <x:c r="AR5" s="43" t="n">
        <x:v>1</x:v>
      </x:c>
      <x:c r="AS5" s="45" t="b">
        <x:v>1</x:v>
      </x:c>
      <x:c r="AT5" s="43" t="n">
        <x:v>10000</x:v>
      </x:c>
      <x:c r="AU5" s="48" t="n">
        <x:v>0.9503651200193297</x:v>
      </x:c>
      <x:c r="AV5" s="43" t="n">
        <x:v>10000</x:v>
      </x:c>
      <x:c r="AW5" s="48" t="n">
        <x:v>0.9503651200193297</x:v>
      </x:c>
      <x:c r="AX5" s="45" t="b">
        <x:v>1</x:v>
      </x:c>
      <x:c r="AY5" s="44" t="str">
        <x:v>{"provider":"caffeine","currentEntries":10000,"requestCount":123697408,"hitCount":117557702,"missCount":6139706,"hitRate":0.9503651200193297,"loadSuccessCount":0,"loadFailureCount":0,"totalLoadTimeNanos":0,"evictionCount":-1,"expirationCount":-1,"putCount":10000,"removeCount":0,"nativeMetrics":{"statisticsEnabled":0}}</x:v>
      </x:c>
      <x:c r="AZ5" s="44" t="str">
        <x:v>{"provider":"caffeine","currentEntries":10000,"requestCount":123697408,"hitCount":117557702,"missCount":6139706,"hitRate":0.9503651200193297,"loadSuccessCount":0,"loadFailureCount":0,"totalLoadTimeNanos":0,"evictionCount":-1,"expirationCount":-1,"putCount":15000,"removeCount":0,"nativeMetrics":{"statisticsEnabled":0}}</x:v>
      </x:c>
      <x:c r="BA5" s="43" t="n">
        <x:v>10000</x:v>
      </x:c>
      <x:c r="BB5" s="43" t="n">
        <x:v>123697408</x:v>
      </x:c>
      <x:c r="BC5" s="43" t="n">
        <x:v>117557702</x:v>
      </x:c>
      <x:c r="BD5" s="43" t="n">
        <x:v>6139706</x:v>
      </x:c>
      <x:c r="BE5" s="48" t="n">
        <x:v>0.9503651200193297</x:v>
      </x:c>
      <x:c r="BF5" s="43" t="n">
        <x:v>0</x:v>
      </x:c>
      <x:c r="BG5" s="43" t="n">
        <x:v>0</x:v>
      </x:c>
      <x:c r="BH5" s="43" t="n">
        <x:v>0</x:v>
      </x:c>
      <x:c r="BI5" s="43" t="n">
        <x:v>-1</x:v>
      </x:c>
      <x:c r="BJ5" s="43" t="n">
        <x:v>-1</x:v>
      </x:c>
      <x:c r="BK5" s="43" t="n">
        <x:v>15000</x:v>
      </x:c>
      <x:c r="BL5" s="43" t="n">
        <x:v>0</x:v>
      </x:c>
      <x:c r="BM5" s="44" t="str">
        <x:v>{"statisticsEnabled":0}</x:v>
      </x:c>
    </x:row>
    <x:row r="6">
      <x:c r="A6" s="34" t="str">
        <x:v>article1-unified-v4-2-fb3f101b-20260903-000401-default-f01-p1-caffeine</x:v>
      </x:c>
      <x:c r="B6" s="34" t="str">
        <x:v>default</x:v>
      </x:c>
      <x:c r="C6" s="34" t="str">
        <x:v>caffeine</x:v>
      </x:c>
      <x:c r="D6" s="34" t="str">
        <x:v>caffeine</x:v>
      </x:c>
      <x:c r="E6" s="34" t="str">
        <x:v>current-provider-primary-comparison</x:v>
      </x:c>
      <x:c r="F6" s="36" t="n">
        <x:v>1</x:v>
      </x:c>
      <x:c r="G6" s="36" t="n">
        <x:v>1</x:v>
      </x:c>
      <x:c r="H6" s="36" t="n">
        <x:v>1</x:v>
      </x:c>
      <x:c r="I6" s="36" t="n">
        <x:v>3</x:v>
      </x:c>
      <x:c r="J6" s="34" t="str">
        <x:v>initial</x:v>
      </x:c>
      <x:c r="K6" s="34" t="str">
        <x:v>cache-semantics</x:v>
      </x:c>
      <x:c r="L6" s="45" t="b">
        <x:v>1</x:v>
      </x:c>
      <x:c r="M6" s="36" t="n">
        <x:v>1346581378</x:v>
      </x:c>
      <x:c r="N6" s="34" t="str">
        <x:v>2bf58a45a91aaa1defb64a6c1f623f67f3c75e3e966112109387a96ba1d5e699</x:v>
      </x:c>
      <x:c r="O6" s="43" t="n">
        <x:v>10000</x:v>
      </x:c>
      <x:c r="P6" s="43" t="n">
        <x:v>400000</x:v>
      </x:c>
      <x:c r="Q6" s="36" t="n">
        <x:v>8</x:v>
      </x:c>
      <x:c r="R6" s="42" t="n">
        <x:v>95</x:v>
      </x:c>
      <x:c r="S6" s="43" t="n">
        <x:v>512</x:v>
      </x:c>
      <x:c r="T6" s="43" t="n">
        <x:v>50000</x:v>
      </x:c>
      <x:c r="U6" s="46" t="n">
        <x:v>3</x:v>
      </x:c>
      <x:c r="V6" s="46" t="n">
        <x:v>5</x:v>
      </x:c>
      <x:c r="W6" s="43" t="n">
        <x:v>300</x:v>
      </x:c>
      <x:c r="X6" s="34" t="str">
        <x:v>uniform</x:v>
      </x:c>
      <x:c r="Y6" s="42" t="n">
        <x:v>10</x:v>
      </x:c>
      <x:c r="Z6" s="34" t="str">
        <x:v>strict</x:v>
      </x:c>
      <x:c r="AA6" s="36" t="n">
        <x:v>64</x:v>
      </x:c>
      <x:c r="AB6" s="43" t="n">
        <x:v>76108544</x:v>
      </x:c>
      <x:c r="AC6" s="43" t="n">
        <x:v>3001361293</x:v>
      </x:c>
      <x:c r="AD6" s="43" t="n">
        <x:v>1361293</x:v>
      </x:c>
      <x:c r="AE6" s="43" t="n">
        <x:v>988189.9443372368</x:v>
      </x:c>
      <x:c r="AF6" s="43" t="n">
        <x:v>24561463.13996571</x:v>
      </x:c>
      <x:c r="AG6" s="43" t="n">
        <x:v>122910720</x:v>
      </x:c>
      <x:c r="AH6" s="43" t="n">
        <x:v>5004210022</x:v>
      </x:c>
      <x:c r="AI6" s="43" t="n">
        <x:v>4210022</x:v>
      </x:c>
      <x:c r="AJ6" s="43" t="n">
        <x:v>24561463.13996571</x:v>
      </x:c>
      <x:c r="AK6" s="43" t="n">
        <x:v>122910720</x:v>
      </x:c>
      <x:c r="AL6" s="43" t="n">
        <x:v>0</x:v>
      </x:c>
      <x:c r="AM6" s="43" t="n">
        <x:v>454449.5656870946</x:v>
      </x:c>
      <x:c r="AN6" s="43" t="n">
        <x:v>141</x:v>
      </x:c>
      <x:c r="AO6" s="43" t="n">
        <x:v>320</x:v>
      </x:c>
      <x:c r="AP6" s="43" t="n">
        <x:v>541</x:v>
      </x:c>
      <x:c r="AQ6" s="43" t="n">
        <x:v>1920480</x:v>
      </x:c>
      <x:c r="AR6" s="43" t="n">
        <x:v>1</x:v>
      </x:c>
      <x:c r="AS6" s="45" t="b">
        <x:v>1</x:v>
      </x:c>
      <x:c r="AT6" s="43" t="n">
        <x:v>10000</x:v>
      </x:c>
      <x:c r="AU6" s="48" t="n">
        <x:v>0.9498783751327793</x:v>
      </x:c>
      <x:c r="AV6" s="43" t="n">
        <x:v>10000</x:v>
      </x:c>
      <x:c r="AW6" s="48" t="n">
        <x:v>0.9498783751327793</x:v>
      </x:c>
      <x:c r="AX6" s="45" t="b">
        <x:v>1</x:v>
      </x:c>
      <x:c r="AY6" s="44" t="str">
        <x:v>{"provider":"caffeine","currentEntries":10000,"requestCount":122910720,"hitCount":116750235,"missCount":6160485,"hitRate":0.9498783751327793,"loadSuccessCount":0,"loadFailureCount":0,"totalLoadTimeNanos":0,"evictionCount":-1,"expirationCount":-1,"putCount":10000,"removeCount":0,"nativeMetrics":{"statisticsEnabled":0}}</x:v>
      </x:c>
      <x:c r="AZ6" s="44" t="str">
        <x:v>{"provider":"caffeine","currentEntries":10000,"requestCount":122910720,"hitCount":116750235,"missCount":6160485,"hitRate":0.9498783751327793,"loadSuccessCount":0,"loadFailureCount":0,"totalLoadTimeNanos":0,"evictionCount":-1,"expirationCount":-1,"putCount":15000,"removeCount":0,"nativeMetrics":{"statisticsEnabled":0}}</x:v>
      </x:c>
      <x:c r="BA6" s="43" t="n">
        <x:v>10000</x:v>
      </x:c>
      <x:c r="BB6" s="43" t="n">
        <x:v>122910720</x:v>
      </x:c>
      <x:c r="BC6" s="43" t="n">
        <x:v>116750235</x:v>
      </x:c>
      <x:c r="BD6" s="43" t="n">
        <x:v>6160485</x:v>
      </x:c>
      <x:c r="BE6" s="48" t="n">
        <x:v>0.9498783751327793</x:v>
      </x:c>
      <x:c r="BF6" s="43" t="n">
        <x:v>0</x:v>
      </x:c>
      <x:c r="BG6" s="43" t="n">
        <x:v>0</x:v>
      </x:c>
      <x:c r="BH6" s="43" t="n">
        <x:v>0</x:v>
      </x:c>
      <x:c r="BI6" s="43" t="n">
        <x:v>-1</x:v>
      </x:c>
      <x:c r="BJ6" s="43" t="n">
        <x:v>-1</x:v>
      </x:c>
      <x:c r="BK6" s="43" t="n">
        <x:v>15000</x:v>
      </x:c>
      <x:c r="BL6" s="43" t="n">
        <x:v>0</x:v>
      </x:c>
      <x:c r="BM6" s="44" t="str">
        <x:v>{"statisticsEnabled":0}</x:v>
      </x:c>
    </x:row>
    <x:row r="7">
      <x:c r="A7" s="34" t="str">
        <x:v>article1-unified-v4-2-fb3f101b-20260903-000401-default-f01-p1-caffeine</x:v>
      </x:c>
      <x:c r="B7" s="34" t="str">
        <x:v>default</x:v>
      </x:c>
      <x:c r="C7" s="34" t="str">
        <x:v>caffeine</x:v>
      </x:c>
      <x:c r="D7" s="34" t="str">
        <x:v>caffeine</x:v>
      </x:c>
      <x:c r="E7" s="34" t="str">
        <x:v>current-provider-primary-comparison</x:v>
      </x:c>
      <x:c r="F7" s="36" t="n">
        <x:v>1</x:v>
      </x:c>
      <x:c r="G7" s="36" t="n">
        <x:v>1</x:v>
      </x:c>
      <x:c r="H7" s="36" t="n">
        <x:v>1</x:v>
      </x:c>
      <x:c r="I7" s="36" t="n">
        <x:v>3</x:v>
      </x:c>
      <x:c r="J7" s="34" t="str">
        <x:v>redeploy</x:v>
      </x:c>
      <x:c r="K7" s="34" t="str">
        <x:v>cache-semantics</x:v>
      </x:c>
      <x:c r="L7" s="45" t="b">
        <x:v>1</x:v>
      </x:c>
      <x:c r="M7" s="36" t="n">
        <x:v>1346581378</x:v>
      </x:c>
      <x:c r="N7" s="34" t="str">
        <x:v>2bf58a45a91aaa1defb64a6c1f623f67f3c75e3e966112109387a96ba1d5e699</x:v>
      </x:c>
      <x:c r="O7" s="43" t="n">
        <x:v>10000</x:v>
      </x:c>
      <x:c r="P7" s="43" t="n">
        <x:v>400000</x:v>
      </x:c>
      <x:c r="Q7" s="36" t="n">
        <x:v>8</x:v>
      </x:c>
      <x:c r="R7" s="42" t="n">
        <x:v>95</x:v>
      </x:c>
      <x:c r="S7" s="43" t="n">
        <x:v>512</x:v>
      </x:c>
      <x:c r="T7" s="43" t="n">
        <x:v>50000</x:v>
      </x:c>
      <x:c r="U7" s="46" t="n">
        <x:v>3</x:v>
      </x:c>
      <x:c r="V7" s="46" t="n">
        <x:v>5</x:v>
      </x:c>
      <x:c r="W7" s="43" t="n">
        <x:v>300</x:v>
      </x:c>
      <x:c r="X7" s="34" t="str">
        <x:v>uniform</x:v>
      </x:c>
      <x:c r="Y7" s="42" t="n">
        <x:v>10</x:v>
      </x:c>
      <x:c r="Z7" s="34" t="str">
        <x:v>strict</x:v>
      </x:c>
      <x:c r="AA7" s="36" t="n">
        <x:v>64</x:v>
      </x:c>
      <x:c r="AB7" s="43" t="n">
        <x:v>70767616</x:v>
      </x:c>
      <x:c r="AC7" s="43" t="n">
        <x:v>3028265831</x:v>
      </x:c>
      <x:c r="AD7" s="43" t="n">
        <x:v>28265831</x:v>
      </x:c>
      <x:c r="AE7" s="43" t="n">
        <x:v>1391223.8262105456</x:v>
      </x:c>
      <x:c r="AF7" s="43" t="n">
        <x:v>23554608.6944006</x:v>
      </x:c>
      <x:c r="AG7" s="43" t="n">
        <x:v>117862400</x:v>
      </x:c>
      <x:c r="AH7" s="43" t="n">
        <x:v>5003793590</x:v>
      </x:c>
      <x:c r="AI7" s="43" t="n">
        <x:v>3793590</x:v>
      </x:c>
      <x:c r="AJ7" s="43" t="n">
        <x:v>23554608.6944006</x:v>
      </x:c>
      <x:c r="AK7" s="43" t="n">
        <x:v>117862400</x:v>
      </x:c>
      <x:c r="AL7" s="43" t="n">
        <x:v>0</x:v>
      </x:c>
      <x:c r="AM7" s="43" t="n">
        <x:v>444552.08532270393</x:v>
      </x:c>
      <x:c r="AN7" s="43" t="n">
        <x:v>160</x:v>
      </x:c>
      <x:c r="AO7" s="43" t="n">
        <x:v>351</x:v>
      </x:c>
      <x:c r="AP7" s="43" t="n">
        <x:v>551</x:v>
      </x:c>
      <x:c r="AQ7" s="43" t="n">
        <x:v>1841600</x:v>
      </x:c>
      <x:c r="AR7" s="43" t="n">
        <x:v>1</x:v>
      </x:c>
      <x:c r="AS7" s="45" t="b">
        <x:v>1</x:v>
      </x:c>
      <x:c r="AT7" s="43" t="n">
        <x:v>10000</x:v>
      </x:c>
      <x:c r="AU7" s="48" t="n">
        <x:v>0.94987956294798</x:v>
      </x:c>
      <x:c r="AV7" s="43" t="n">
        <x:v>10000</x:v>
      </x:c>
      <x:c r="AW7" s="48" t="n">
        <x:v>0.94987956294798</x:v>
      </x:c>
      <x:c r="AX7" s="45" t="b">
        <x:v>1</x:v>
      </x:c>
      <x:c r="AY7" s="44" t="str">
        <x:v>{"provider":"caffeine","currentEntries":10000,"requestCount":117862400,"hitCount":111955085,"missCount":5907315,"hitRate":0.94987956294798,"loadSuccessCount":0,"loadFailureCount":0,"totalLoadTimeNanos":0,"evictionCount":-1,"expirationCount":-1,"putCount":10000,"removeCount":0,"nativeMetrics":{"statisticsEnabled":0}}</x:v>
      </x:c>
      <x:c r="AZ7" s="44" t="str">
        <x:v>{"provider":"caffeine","currentEntries":10000,"requestCount":117862400,"hitCount":111955085,"missCount":5907315,"hitRate":0.94987956294798,"loadSuccessCount":0,"loadFailureCount":0,"totalLoadTimeNanos":0,"evictionCount":-1,"expirationCount":-1,"putCount":15000,"removeCount":0,"nativeMetrics":{"statisticsEnabled":0}}</x:v>
      </x:c>
      <x:c r="BA7" s="43" t="n">
        <x:v>10000</x:v>
      </x:c>
      <x:c r="BB7" s="43" t="n">
        <x:v>117862400</x:v>
      </x:c>
      <x:c r="BC7" s="43" t="n">
        <x:v>111955085</x:v>
      </x:c>
      <x:c r="BD7" s="43" t="n">
        <x:v>5907315</x:v>
      </x:c>
      <x:c r="BE7" s="48" t="n">
        <x:v>0.94987956294798</x:v>
      </x:c>
      <x:c r="BF7" s="43" t="n">
        <x:v>0</x:v>
      </x:c>
      <x:c r="BG7" s="43" t="n">
        <x:v>0</x:v>
      </x:c>
      <x:c r="BH7" s="43" t="n">
        <x:v>0</x:v>
      </x:c>
      <x:c r="BI7" s="43" t="n">
        <x:v>-1</x:v>
      </x:c>
      <x:c r="BJ7" s="43" t="n">
        <x:v>-1</x:v>
      </x:c>
      <x:c r="BK7" s="43" t="n">
        <x:v>15000</x:v>
      </x:c>
      <x:c r="BL7" s="43" t="n">
        <x:v>0</x:v>
      </x:c>
      <x:c r="BM7" s="44" t="str">
        <x:v>{"statisticsEnabled":0}</x:v>
      </x:c>
    </x:row>
    <x:row r="8">
      <x:c r="A8" s="34" t="str">
        <x:v>article1-unified-v4-2-fb3f101b-20260903-000401-default-f01-p1-caffeine</x:v>
      </x:c>
      <x:c r="B8" s="34" t="str">
        <x:v>default</x:v>
      </x:c>
      <x:c r="C8" s="34" t="str">
        <x:v>caffeine</x:v>
      </x:c>
      <x:c r="D8" s="34" t="str">
        <x:v>caffeine</x:v>
      </x:c>
      <x:c r="E8" s="34" t="str">
        <x:v>current-provider-primary-comparison</x:v>
      </x:c>
      <x:c r="F8" s="36" t="n">
        <x:v>1</x:v>
      </x:c>
      <x:c r="G8" s="36" t="n">
        <x:v>1</x:v>
      </x:c>
      <x:c r="H8" s="36" t="n">
        <x:v>1</x:v>
      </x:c>
      <x:c r="I8" s="36" t="n">
        <x:v>4</x:v>
      </x:c>
      <x:c r="J8" s="34" t="str">
        <x:v>initial</x:v>
      </x:c>
      <x:c r="K8" s="34" t="str">
        <x:v>cache-semantics</x:v>
      </x:c>
      <x:c r="L8" s="45" t="b">
        <x:v>1</x:v>
      </x:c>
      <x:c r="M8" s="36" t="n">
        <x:v>584767396</x:v>
      </x:c>
      <x:c r="N8" s="34" t="str">
        <x:v>8b3eab7a458105f79edbbcdf72ca6cd4f7d0bb6ba737ed58e05821db7c3517a5</x:v>
      </x:c>
      <x:c r="O8" s="43" t="n">
        <x:v>10000</x:v>
      </x:c>
      <x:c r="P8" s="43" t="n">
        <x:v>400000</x:v>
      </x:c>
      <x:c r="Q8" s="36" t="n">
        <x:v>8</x:v>
      </x:c>
      <x:c r="R8" s="42" t="n">
        <x:v>95</x:v>
      </x:c>
      <x:c r="S8" s="43" t="n">
        <x:v>512</x:v>
      </x:c>
      <x:c r="T8" s="43" t="n">
        <x:v>50000</x:v>
      </x:c>
      <x:c r="U8" s="46" t="n">
        <x:v>3</x:v>
      </x:c>
      <x:c r="V8" s="46" t="n">
        <x:v>5</x:v>
      </x:c>
      <x:c r="W8" s="43" t="n">
        <x:v>300</x:v>
      </x:c>
      <x:c r="X8" s="34" t="str">
        <x:v>uniform</x:v>
      </x:c>
      <x:c r="Y8" s="42" t="n">
        <x:v>10</x:v>
      </x:c>
      <x:c r="Z8" s="34" t="str">
        <x:v>strict</x:v>
      </x:c>
      <x:c r="AA8" s="36" t="n">
        <x:v>64</x:v>
      </x:c>
      <x:c r="AB8" s="43" t="n">
        <x:v>79990784</x:v>
      </x:c>
      <x:c r="AC8" s="43" t="n">
        <x:v>3006776816</x:v>
      </x:c>
      <x:c r="AD8" s="43" t="n">
        <x:v>6776816</x:v>
      </x:c>
      <x:c r="AE8" s="43" t="n">
        <x:v>2154478.244617305</x:v>
      </x:c>
      <x:c r="AF8" s="43" t="n">
        <x:v>27158228.902955752</x:v>
      </x:c>
      <x:c r="AG8" s="43" t="n">
        <x:v>135844096</x:v>
      </x:c>
      <x:c r="AH8" s="43" t="n">
        <x:v>5001949740</x:v>
      </x:c>
      <x:c r="AI8" s="43" t="n">
        <x:v>1949740</x:v>
      </x:c>
      <x:c r="AJ8" s="43" t="n">
        <x:v>27158228.902955752</x:v>
      </x:c>
      <x:c r="AK8" s="43" t="n">
        <x:v>135844096</x:v>
      </x:c>
      <x:c r="AL8" s="43" t="n">
        <x:v>0</x:v>
      </x:c>
      <x:c r="AM8" s="43" t="n">
        <x:v>444817.37933527917</x:v>
      </x:c>
      <x:c r="AN8" s="43" t="n">
        <x:v>140</x:v>
      </x:c>
      <x:c r="AO8" s="43" t="n">
        <x:v>290</x:v>
      </x:c>
      <x:c r="AP8" s="43" t="n">
        <x:v>481</x:v>
      </x:c>
      <x:c r="AQ8" s="43" t="n">
        <x:v>2122564</x:v>
      </x:c>
      <x:c r="AR8" s="43" t="n">
        <x:v>1</x:v>
      </x:c>
      <x:c r="AS8" s="45" t="b">
        <x:v>1</x:v>
      </x:c>
      <x:c r="AT8" s="43" t="n">
        <x:v>10000</x:v>
      </x:c>
      <x:c r="AU8" s="48" t="n">
        <x:v>0.9499705382853002</x:v>
      </x:c>
      <x:c r="AV8" s="43" t="n">
        <x:v>10000</x:v>
      </x:c>
      <x:c r="AW8" s="48" t="n">
        <x:v>0.9499705382853002</x:v>
      </x:c>
      <x:c r="AX8" s="45" t="b">
        <x:v>1</x:v>
      </x:c>
      <x:c r="AY8" s="44" t="str">
        <x:v>{"provider":"caffeine","currentEntries":10000,"requestCount":135844096,"hitCount":129047889,"missCount":6796207,"hitRate":0.9499705382853002,"loadSuccessCount":0,"loadFailureCount":0,"totalLoadTimeNanos":0,"evictionCount":-1,"expirationCount":-1,"putCount":10000,"removeCount":0,"nativeMetrics":{"statisticsEnabled":0}}</x:v>
      </x:c>
      <x:c r="AZ8" s="44" t="str">
        <x:v>{"provider":"caffeine","currentEntries":10000,"requestCount":135844096,"hitCount":129047889,"missCount":6796207,"hitRate":0.9499705382853002,"loadSuccessCount":0,"loadFailureCount":0,"totalLoadTimeNanos":0,"evictionCount":-1,"expirationCount":-1,"putCount":15000,"removeCount":0,"nativeMetrics":{"statisticsEnabled":0}}</x:v>
      </x:c>
      <x:c r="BA8" s="43" t="n">
        <x:v>10000</x:v>
      </x:c>
      <x:c r="BB8" s="43" t="n">
        <x:v>135844096</x:v>
      </x:c>
      <x:c r="BC8" s="43" t="n">
        <x:v>129047889</x:v>
      </x:c>
      <x:c r="BD8" s="43" t="n">
        <x:v>6796207</x:v>
      </x:c>
      <x:c r="BE8" s="48" t="n">
        <x:v>0.9499705382853002</x:v>
      </x:c>
      <x:c r="BF8" s="43" t="n">
        <x:v>0</x:v>
      </x:c>
      <x:c r="BG8" s="43" t="n">
        <x:v>0</x:v>
      </x:c>
      <x:c r="BH8" s="43" t="n">
        <x:v>0</x:v>
      </x:c>
      <x:c r="BI8" s="43" t="n">
        <x:v>-1</x:v>
      </x:c>
      <x:c r="BJ8" s="43" t="n">
        <x:v>-1</x:v>
      </x:c>
      <x:c r="BK8" s="43" t="n">
        <x:v>15000</x:v>
      </x:c>
      <x:c r="BL8" s="43" t="n">
        <x:v>0</x:v>
      </x:c>
      <x:c r="BM8" s="44" t="str">
        <x:v>{"statisticsEnabled":0}</x:v>
      </x:c>
    </x:row>
    <x:row r="9">
      <x:c r="A9" s="34" t="str">
        <x:v>article1-unified-v4-2-fb3f101b-20260903-000401-default-f01-p1-caffeine</x:v>
      </x:c>
      <x:c r="B9" s="34" t="str">
        <x:v>default</x:v>
      </x:c>
      <x:c r="C9" s="34" t="str">
        <x:v>caffeine</x:v>
      </x:c>
      <x:c r="D9" s="34" t="str">
        <x:v>caffeine</x:v>
      </x:c>
      <x:c r="E9" s="34" t="str">
        <x:v>current-provider-primary-comparison</x:v>
      </x:c>
      <x:c r="F9" s="36" t="n">
        <x:v>1</x:v>
      </x:c>
      <x:c r="G9" s="36" t="n">
        <x:v>1</x:v>
      </x:c>
      <x:c r="H9" s="36" t="n">
        <x:v>1</x:v>
      </x:c>
      <x:c r="I9" s="36" t="n">
        <x:v>4</x:v>
      </x:c>
      <x:c r="J9" s="34" t="str">
        <x:v>redeploy</x:v>
      </x:c>
      <x:c r="K9" s="34" t="str">
        <x:v>cache-semantics</x:v>
      </x:c>
      <x:c r="L9" s="45" t="b">
        <x:v>1</x:v>
      </x:c>
      <x:c r="M9" s="36" t="n">
        <x:v>584767396</x:v>
      </x:c>
      <x:c r="N9" s="34" t="str">
        <x:v>8b3eab7a458105f79edbbcdf72ca6cd4f7d0bb6ba737ed58e05821db7c3517a5</x:v>
      </x:c>
      <x:c r="O9" s="43" t="n">
        <x:v>10000</x:v>
      </x:c>
      <x:c r="P9" s="43" t="n">
        <x:v>400000</x:v>
      </x:c>
      <x:c r="Q9" s="36" t="n">
        <x:v>8</x:v>
      </x:c>
      <x:c r="R9" s="42" t="n">
        <x:v>95</x:v>
      </x:c>
      <x:c r="S9" s="43" t="n">
        <x:v>512</x:v>
      </x:c>
      <x:c r="T9" s="43" t="n">
        <x:v>50000</x:v>
      </x:c>
      <x:c r="U9" s="46" t="n">
        <x:v>3</x:v>
      </x:c>
      <x:c r="V9" s="46" t="n">
        <x:v>5</x:v>
      </x:c>
      <x:c r="W9" s="43" t="n">
        <x:v>300</x:v>
      </x:c>
      <x:c r="X9" s="34" t="str">
        <x:v>uniform</x:v>
      </x:c>
      <x:c r="Y9" s="42" t="n">
        <x:v>10</x:v>
      </x:c>
      <x:c r="Z9" s="34" t="str">
        <x:v>strict</x:v>
      </x:c>
      <x:c r="AA9" s="36" t="n">
        <x:v>64</x:v>
      </x:c>
      <x:c r="AB9" s="43" t="n">
        <x:v>70033920</x:v>
      </x:c>
      <x:c r="AC9" s="43" t="n">
        <x:v>3012411576</x:v>
      </x:c>
      <x:c r="AD9" s="43" t="n">
        <x:v>12411576</x:v>
      </x:c>
      <x:c r="AE9" s="43" t="n">
        <x:v>1059208.146581697</x:v>
      </x:c>
      <x:c r="AF9" s="43" t="n">
        <x:v>24482085.654691976</x:v>
      </x:c>
      <x:c r="AG9" s="43" t="n">
        <x:v>122483200</x:v>
      </x:c>
      <x:c r="AH9" s="43" t="n">
        <x:v>5002972448</x:v>
      </x:c>
      <x:c r="AI9" s="43" t="n">
        <x:v>2972448</x:v>
      </x:c>
      <x:c r="AJ9" s="43" t="n">
        <x:v>24482085.654691976</x:v>
      </x:c>
      <x:c r="AK9" s="43" t="n">
        <x:v>122483200</x:v>
      </x:c>
      <x:c r="AL9" s="43" t="n">
        <x:v>0</x:v>
      </x:c>
      <x:c r="AM9" s="43" t="n">
        <x:v>135098.01604240306</x:v>
      </x:c>
      <x:c r="AN9" s="43" t="n">
        <x:v>141</x:v>
      </x:c>
      <x:c r="AO9" s="43" t="n">
        <x:v>301</x:v>
      </x:c>
      <x:c r="AP9" s="43" t="n">
        <x:v>501</x:v>
      </x:c>
      <x:c r="AQ9" s="43" t="n">
        <x:v>1913800</x:v>
      </x:c>
      <x:c r="AR9" s="43" t="n">
        <x:v>1</x:v>
      </x:c>
      <x:c r="AS9" s="45" t="b">
        <x:v>1</x:v>
      </x:c>
      <x:c r="AT9" s="43" t="n">
        <x:v>10000</x:v>
      </x:c>
      <x:c r="AU9" s="48" t="n">
        <x:v>0.9499459762645</x:v>
      </x:c>
      <x:c r="AV9" s="43" t="n">
        <x:v>10000</x:v>
      </x:c>
      <x:c r="AW9" s="48" t="n">
        <x:v>0.9499459762645</x:v>
      </x:c>
      <x:c r="AX9" s="45" t="b">
        <x:v>1</x:v>
      </x:c>
      <x:c r="AY9" s="44" t="str">
        <x:v>{"provider":"caffeine","currentEntries":10000,"requestCount":122483200,"hitCount":116352423,"missCount":6130777,"hitRate":0.9499459762645,"loadSuccessCount":0,"loadFailureCount":0,"totalLoadTimeNanos":0,"evictionCount":-1,"expirationCount":-1,"putCount":10000,"removeCount":0,"nativeMetrics":{"statisticsEnabled":0}}</x:v>
      </x:c>
      <x:c r="AZ9" s="44" t="str">
        <x:v>{"provider":"caffeine","currentEntries":10000,"requestCount":122483200,"hitCount":116352423,"missCount":6130777,"hitRate":0.9499459762645,"loadSuccessCount":0,"loadFailureCount":0,"totalLoadTimeNanos":0,"evictionCount":-1,"expirationCount":-1,"putCount":15000,"removeCount":0,"nativeMetrics":{"statisticsEnabled":0}}</x:v>
      </x:c>
      <x:c r="BA9" s="43" t="n">
        <x:v>10000</x:v>
      </x:c>
      <x:c r="BB9" s="43" t="n">
        <x:v>122483200</x:v>
      </x:c>
      <x:c r="BC9" s="43" t="n">
        <x:v>116352423</x:v>
      </x:c>
      <x:c r="BD9" s="43" t="n">
        <x:v>6130777</x:v>
      </x:c>
      <x:c r="BE9" s="48" t="n">
        <x:v>0.9499459762645</x:v>
      </x:c>
      <x:c r="BF9" s="43" t="n">
        <x:v>0</x:v>
      </x:c>
      <x:c r="BG9" s="43" t="n">
        <x:v>0</x:v>
      </x:c>
      <x:c r="BH9" s="43" t="n">
        <x:v>0</x:v>
      </x:c>
      <x:c r="BI9" s="43" t="n">
        <x:v>-1</x:v>
      </x:c>
      <x:c r="BJ9" s="43" t="n">
        <x:v>-1</x:v>
      </x:c>
      <x:c r="BK9" s="43" t="n">
        <x:v>15000</x:v>
      </x:c>
      <x:c r="BL9" s="43" t="n">
        <x:v>0</x:v>
      </x:c>
      <x:c r="BM9" s="44" t="str">
        <x:v>{"statisticsEnabled":0}</x:v>
      </x:c>
    </x:row>
    <x:row r="10">
      <x:c r="A10" s="34" t="str">
        <x:v>article1-unified-v4-2-fb3f101b-20260903-000401-default-f01-p1-caffeine</x:v>
      </x:c>
      <x:c r="B10" s="34" t="str">
        <x:v>default</x:v>
      </x:c>
      <x:c r="C10" s="34" t="str">
        <x:v>caffeine</x:v>
      </x:c>
      <x:c r="D10" s="34" t="str">
        <x:v>caffeine</x:v>
      </x:c>
      <x:c r="E10" s="34" t="str">
        <x:v>current-provider-primary-comparison</x:v>
      </x:c>
      <x:c r="F10" s="36" t="n">
        <x:v>1</x:v>
      </x:c>
      <x:c r="G10" s="36" t="n">
        <x:v>1</x:v>
      </x:c>
      <x:c r="H10" s="36" t="n">
        <x:v>1</x:v>
      </x:c>
      <x:c r="I10" s="36" t="n">
        <x:v>5</x:v>
      </x:c>
      <x:c r="J10" s="34" t="str">
        <x:v>initial</x:v>
      </x:c>
      <x:c r="K10" s="34" t="str">
        <x:v>cache-semantics</x:v>
      </x:c>
      <x:c r="L10" s="45" t="b">
        <x:v>1</x:v>
      </x:c>
      <x:c r="M10" s="36" t="n">
        <x:v>990445241</x:v>
      </x:c>
      <x:c r="N10" s="34" t="str">
        <x:v>c8c0b067bf711230321b1ae1f036e3e36ec57e928c071e76bd188cc45e5bf206</x:v>
      </x:c>
      <x:c r="O10" s="43" t="n">
        <x:v>10000</x:v>
      </x:c>
      <x:c r="P10" s="43" t="n">
        <x:v>400000</x:v>
      </x:c>
      <x:c r="Q10" s="36" t="n">
        <x:v>8</x:v>
      </x:c>
      <x:c r="R10" s="42" t="n">
        <x:v>95</x:v>
      </x:c>
      <x:c r="S10" s="43" t="n">
        <x:v>512</x:v>
      </x:c>
      <x:c r="T10" s="43" t="n">
        <x:v>50000</x:v>
      </x:c>
      <x:c r="U10" s="46" t="n">
        <x:v>3</x:v>
      </x:c>
      <x:c r="V10" s="46" t="n">
        <x:v>5</x:v>
      </x:c>
      <x:c r="W10" s="43" t="n">
        <x:v>300</x:v>
      </x:c>
      <x:c r="X10" s="34" t="str">
        <x:v>uniform</x:v>
      </x:c>
      <x:c r="Y10" s="42" t="n">
        <x:v>10</x:v>
      </x:c>
      <x:c r="Z10" s="34" t="str">
        <x:v>strict</x:v>
      </x:c>
      <x:c r="AA10" s="36" t="n">
        <x:v>64</x:v>
      </x:c>
      <x:c r="AB10" s="43" t="n">
        <x:v>75711488</x:v>
      </x:c>
      <x:c r="AC10" s="43" t="n">
        <x:v>3000462965</x:v>
      </x:c>
      <x:c r="AD10" s="43" t="n">
        <x:v>462965</x:v>
      </x:c>
      <x:c r="AE10" s="43" t="n">
        <x:v>1621014.5735694221</x:v>
      </x:c>
      <x:c r="AF10" s="43" t="n">
        <x:v>24666890.78026443</x:v>
      </x:c>
      <x:c r="AG10" s="43" t="n">
        <x:v>123397632</x:v>
      </x:c>
      <x:c r="AH10" s="43" t="n">
        <x:v>5002561251</x:v>
      </x:c>
      <x:c r="AI10" s="43" t="n">
        <x:v>2561251</x:v>
      </x:c>
      <x:c r="AJ10" s="43" t="n">
        <x:v>24666890.78026443</x:v>
      </x:c>
      <x:c r="AK10" s="43" t="n">
        <x:v>123397632</x:v>
      </x:c>
      <x:c r="AL10" s="43" t="n">
        <x:v>0</x:v>
      </x:c>
      <x:c r="AM10" s="43" t="n">
        <x:v>476902.1504567149</x:v>
      </x:c>
      <x:c r="AN10" s="43" t="n">
        <x:v>150</x:v>
      </x:c>
      <x:c r="AO10" s="43" t="n">
        <x:v>341</x:v>
      </x:c>
      <x:c r="AP10" s="43" t="n">
        <x:v>521</x:v>
      </x:c>
      <x:c r="AQ10" s="43" t="n">
        <x:v>1928088</x:v>
      </x:c>
      <x:c r="AR10" s="43" t="n">
        <x:v>1</x:v>
      </x:c>
      <x:c r="AS10" s="45" t="b">
        <x:v>1</x:v>
      </x:c>
      <x:c r="AT10" s="43" t="n">
        <x:v>10000</x:v>
      </x:c>
      <x:c r="AU10" s="48" t="n">
        <x:v>0.9504922590410811</x:v>
      </x:c>
      <x:c r="AV10" s="43" t="n">
        <x:v>10000</x:v>
      </x:c>
      <x:c r="AW10" s="48" t="n">
        <x:v>0.9504922590410811</x:v>
      </x:c>
      <x:c r="AX10" s="45" t="b">
        <x:v>1</x:v>
      </x:c>
      <x:c r="AY10" s="44" t="str">
        <x:v>{"provider":"caffeine","currentEntries":10000,"requestCount":123397632,"hitCount":117288494,"missCount":6109138,"hitRate":0.9504922590410811,"loadSuccessCount":0,"loadFailureCount":0,"totalLoadTimeNanos":0,"evictionCount":-1,"expirationCount":-1,"putCount":10000,"removeCount":0,"nativeMetrics":{"statisticsEnabled":0}}</x:v>
      </x:c>
      <x:c r="AZ10" s="44" t="str">
        <x:v>{"provider":"caffeine","currentEntries":10000,"requestCount":123397632,"hitCount":117288494,"missCount":6109138,"hitRate":0.9504922590410811,"loadSuccessCount":0,"loadFailureCount":0,"totalLoadTimeNanos":0,"evictionCount":-1,"expirationCount":-1,"putCount":15000,"removeCount":0,"nativeMetrics":{"statisticsEnabled":0}}</x:v>
      </x:c>
      <x:c r="BA10" s="43" t="n">
        <x:v>10000</x:v>
      </x:c>
      <x:c r="BB10" s="43" t="n">
        <x:v>123397632</x:v>
      </x:c>
      <x:c r="BC10" s="43" t="n">
        <x:v>117288494</x:v>
      </x:c>
      <x:c r="BD10" s="43" t="n">
        <x:v>6109138</x:v>
      </x:c>
      <x:c r="BE10" s="48" t="n">
        <x:v>0.9504922590410811</x:v>
      </x:c>
      <x:c r="BF10" s="43" t="n">
        <x:v>0</x:v>
      </x:c>
      <x:c r="BG10" s="43" t="n">
        <x:v>0</x:v>
      </x:c>
      <x:c r="BH10" s="43" t="n">
        <x:v>0</x:v>
      </x:c>
      <x:c r="BI10" s="43" t="n">
        <x:v>-1</x:v>
      </x:c>
      <x:c r="BJ10" s="43" t="n">
        <x:v>-1</x:v>
      </x:c>
      <x:c r="BK10" s="43" t="n">
        <x:v>15000</x:v>
      </x:c>
      <x:c r="BL10" s="43" t="n">
        <x:v>0</x:v>
      </x:c>
      <x:c r="BM10" s="44" t="str">
        <x:v>{"statisticsEnabled":0}</x:v>
      </x:c>
    </x:row>
    <x:row r="11">
      <x:c r="A11" s="34" t="str">
        <x:v>article1-unified-v4-2-fb3f101b-20260903-000401-default-f01-p1-caffeine</x:v>
      </x:c>
      <x:c r="B11" s="34" t="str">
        <x:v>default</x:v>
      </x:c>
      <x:c r="C11" s="34" t="str">
        <x:v>caffeine</x:v>
      </x:c>
      <x:c r="D11" s="34" t="str">
        <x:v>caffeine</x:v>
      </x:c>
      <x:c r="E11" s="34" t="str">
        <x:v>current-provider-primary-comparison</x:v>
      </x:c>
      <x:c r="F11" s="36" t="n">
        <x:v>1</x:v>
      </x:c>
      <x:c r="G11" s="36" t="n">
        <x:v>1</x:v>
      </x:c>
      <x:c r="H11" s="36" t="n">
        <x:v>1</x:v>
      </x:c>
      <x:c r="I11" s="36" t="n">
        <x:v>5</x:v>
      </x:c>
      <x:c r="J11" s="34" t="str">
        <x:v>redeploy</x:v>
      </x:c>
      <x:c r="K11" s="34" t="str">
        <x:v>cache-semantics</x:v>
      </x:c>
      <x:c r="L11" s="45" t="b">
        <x:v>1</x:v>
      </x:c>
      <x:c r="M11" s="36" t="n">
        <x:v>990445241</x:v>
      </x:c>
      <x:c r="N11" s="34" t="str">
        <x:v>c8c0b067bf711230321b1ae1f036e3e36ec57e928c071e76bd188cc45e5bf206</x:v>
      </x:c>
      <x:c r="O11" s="43" t="n">
        <x:v>10000</x:v>
      </x:c>
      <x:c r="P11" s="43" t="n">
        <x:v>400000</x:v>
      </x:c>
      <x:c r="Q11" s="36" t="n">
        <x:v>8</x:v>
      </x:c>
      <x:c r="R11" s="42" t="n">
        <x:v>95</x:v>
      </x:c>
      <x:c r="S11" s="43" t="n">
        <x:v>512</x:v>
      </x:c>
      <x:c r="T11" s="43" t="n">
        <x:v>50000</x:v>
      </x:c>
      <x:c r="U11" s="46" t="n">
        <x:v>3</x:v>
      </x:c>
      <x:c r="V11" s="46" t="n">
        <x:v>5</x:v>
      </x:c>
      <x:c r="W11" s="43" t="n">
        <x:v>300</x:v>
      </x:c>
      <x:c r="X11" s="34" t="str">
        <x:v>uniform</x:v>
      </x:c>
      <x:c r="Y11" s="42" t="n">
        <x:v>10</x:v>
      </x:c>
      <x:c r="Z11" s="34" t="str">
        <x:v>strict</x:v>
      </x:c>
      <x:c r="AA11" s="36" t="n">
        <x:v>64</x:v>
      </x:c>
      <x:c r="AB11" s="43" t="n">
        <x:v>80339200</x:v>
      </x:c>
      <x:c r="AC11" s="43" t="n">
        <x:v>3000388610</x:v>
      </x:c>
      <x:c r="AD11" s="43" t="n">
        <x:v>388610</x:v>
      </x:c>
      <x:c r="AE11" s="43" t="n">
        <x:v>1254486.5142072479</x:v>
      </x:c>
      <x:c r="AF11" s="43" t="n">
        <x:v>28086758.611704685</x:v>
      </x:c>
      <x:c r="AG11" s="43" t="n">
        <x:v>141737984</x:v>
      </x:c>
      <x:c r="AH11" s="43" t="n">
        <x:v>5046434370</x:v>
      </x:c>
      <x:c r="AI11" s="43" t="n">
        <x:v>46434370</x:v>
      </x:c>
      <x:c r="AJ11" s="43" t="n">
        <x:v>28086758.611704685</x:v>
      </x:c>
      <x:c r="AK11" s="43" t="n">
        <x:v>141737984</x:v>
      </x:c>
      <x:c r="AL11" s="43" t="n">
        <x:v>0</x:v>
      </x:c>
      <x:c r="AM11" s="43" t="n">
        <x:v>525695.2477359882</x:v>
      </x:c>
      <x:c r="AN11" s="43" t="n">
        <x:v>140</x:v>
      </x:c>
      <x:c r="AO11" s="43" t="n">
        <x:v>270</x:v>
      </x:c>
      <x:c r="AP11" s="43" t="n">
        <x:v>461</x:v>
      </x:c>
      <x:c r="AQ11" s="43" t="n">
        <x:v>2214656</x:v>
      </x:c>
      <x:c r="AR11" s="43" t="n">
        <x:v>1</x:v>
      </x:c>
      <x:c r="AS11" s="45" t="b">
        <x:v>1</x:v>
      </x:c>
      <x:c r="AT11" s="43" t="n">
        <x:v>10000</x:v>
      </x:c>
      <x:c r="AU11" s="48" t="n">
        <x:v>0.9505094766975097</x:v>
      </x:c>
      <x:c r="AV11" s="43" t="n">
        <x:v>10000</x:v>
      </x:c>
      <x:c r="AW11" s="48" t="n">
        <x:v>0.9505094766975097</x:v>
      </x:c>
      <x:c r="AX11" s="45" t="b">
        <x:v>1</x:v>
      </x:c>
      <x:c r="AY11" s="44" t="str">
        <x:v>{"provider":"caffeine","currentEntries":10000,"requestCount":141737984,"hitCount":134723297,"missCount":7014687,"hitRate":0.9505094766975097,"loadSuccessCount":0,"loadFailureCount":0,"totalLoadTimeNanos":0,"evictionCount":-1,"expirationCount":-1,"putCount":10000,"removeCount":0,"nativeMetrics":{"statisticsEnabled":0}}</x:v>
      </x:c>
      <x:c r="AZ11" s="44" t="str">
        <x:v>{"provider":"caffeine","currentEntries":10000,"requestCount":141737984,"hitCount":134723297,"missCount":7014687,"hitRate":0.9505094766975097,"loadSuccessCount":0,"loadFailureCount":0,"totalLoadTimeNanos":0,"evictionCount":-1,"expirationCount":-1,"putCount":15000,"removeCount":0,"nativeMetrics":{"statisticsEnabled":0}}</x:v>
      </x:c>
      <x:c r="BA11" s="43" t="n">
        <x:v>10000</x:v>
      </x:c>
      <x:c r="BB11" s="43" t="n">
        <x:v>141737984</x:v>
      </x:c>
      <x:c r="BC11" s="43" t="n">
        <x:v>134723297</x:v>
      </x:c>
      <x:c r="BD11" s="43" t="n">
        <x:v>7014687</x:v>
      </x:c>
      <x:c r="BE11" s="48" t="n">
        <x:v>0.9505094766975097</x:v>
      </x:c>
      <x:c r="BF11" s="43" t="n">
        <x:v>0</x:v>
      </x:c>
      <x:c r="BG11" s="43" t="n">
        <x:v>0</x:v>
      </x:c>
      <x:c r="BH11" s="43" t="n">
        <x:v>0</x:v>
      </x:c>
      <x:c r="BI11" s="43" t="n">
        <x:v>-1</x:v>
      </x:c>
      <x:c r="BJ11" s="43" t="n">
        <x:v>-1</x:v>
      </x:c>
      <x:c r="BK11" s="43" t="n">
        <x:v>15000</x:v>
      </x:c>
      <x:c r="BL11" s="43" t="n">
        <x:v>0</x:v>
      </x:c>
      <x:c r="BM11" s="44" t="str">
        <x:v>{"statisticsEnabled":0}</x:v>
      </x:c>
    </x:row>
    <x:row r="12">
      <x:c r="A12" s="34" t="str">
        <x:v>article1-unified-v4-2-fb3f101b-20260903-000401-default-f01-p2-ehcache</x:v>
      </x:c>
      <x:c r="B12" s="34" t="str">
        <x:v>default</x:v>
      </x:c>
      <x:c r="C12" s="34" t="str">
        <x:v>ehcache</x:v>
      </x:c>
      <x:c r="D12" s="34" t="str">
        <x:v>ehcache</x:v>
      </x:c>
      <x:c r="E12" s="34" t="str">
        <x:v>current-provider-primary-comparison</x:v>
      </x:c>
      <x:c r="F12" s="36" t="n">
        <x:v>1</x:v>
      </x:c>
      <x:c r="G12" s="36" t="n">
        <x:v>1</x:v>
      </x:c>
      <x:c r="H12" s="36" t="n">
        <x:v>2</x:v>
      </x:c>
      <x:c r="I12" s="36" t="n">
        <x:v>1</x:v>
      </x:c>
      <x:c r="J12" s="34" t="str">
        <x:v>initial</x:v>
      </x:c>
      <x:c r="K12" s="34" t="str">
        <x:v>cache-semantics</x:v>
      </x:c>
      <x:c r="L12" s="45" t="b">
        <x:v>1</x:v>
      </x:c>
      <x:c r="M12" s="36" t="n">
        <x:v>106301548</x:v>
      </x:c>
      <x:c r="N12" s="34" t="str">
        <x:v>fa65b2a625504511da06f56a3e8d6510b1104618fae5e2432265db137bc093a0</x:v>
      </x:c>
      <x:c r="O12" s="43" t="n">
        <x:v>10000</x:v>
      </x:c>
      <x:c r="P12" s="43" t="n">
        <x:v>400000</x:v>
      </x:c>
      <x:c r="Q12" s="36" t="n">
        <x:v>8</x:v>
      </x:c>
      <x:c r="R12" s="42" t="n">
        <x:v>95</x:v>
      </x:c>
      <x:c r="S12" s="43" t="n">
        <x:v>512</x:v>
      </x:c>
      <x:c r="T12" s="43" t="n">
        <x:v>50000</x:v>
      </x:c>
      <x:c r="U12" s="46" t="n">
        <x:v>3</x:v>
      </x:c>
      <x:c r="V12" s="46" t="n">
        <x:v>5</x:v>
      </x:c>
      <x:c r="W12" s="43" t="n">
        <x:v>300</x:v>
      </x:c>
      <x:c r="X12" s="34" t="str">
        <x:v>uniform</x:v>
      </x:c>
      <x:c r="Y12" s="42" t="n">
        <x:v>10</x:v>
      </x:c>
      <x:c r="Z12" s="34" t="str">
        <x:v>strict</x:v>
      </x:c>
      <x:c r="AA12" s="36" t="n">
        <x:v>64</x:v>
      </x:c>
      <x:c r="AB12" s="43" t="n">
        <x:v>78092288</x:v>
      </x:c>
      <x:c r="AC12" s="43" t="n">
        <x:v>3005464202</x:v>
      </x:c>
      <x:c r="AD12" s="43" t="n">
        <x:v>5464202</x:v>
      </x:c>
      <x:c r="AE12" s="43" t="n">
        <x:v>1447738.6611660318</x:v>
      </x:c>
      <x:c r="AF12" s="43" t="n">
        <x:v>23608772.313130178</x:v>
      </x:c>
      <x:c r="AG12" s="43" t="n">
        <x:v>118110208</x:v>
      </x:c>
      <x:c r="AH12" s="43" t="n">
        <x:v>5002810245</x:v>
      </x:c>
      <x:c r="AI12" s="43" t="n">
        <x:v>2810245</x:v>
      </x:c>
      <x:c r="AJ12" s="43" t="n">
        <x:v>23608772.313130178</x:v>
      </x:c>
      <x:c r="AK12" s="43" t="n">
        <x:v>118110208</x:v>
      </x:c>
      <x:c r="AL12" s="43" t="n">
        <x:v>0</x:v>
      </x:c>
      <x:c r="AM12" s="43" t="n">
        <x:v>232657.327305213</x:v>
      </x:c>
      <x:c r="AN12" s="43" t="n">
        <x:v>180</x:v>
      </x:c>
      <x:c r="AO12" s="43" t="n">
        <x:v>311</x:v>
      </x:c>
      <x:c r="AP12" s="43" t="n">
        <x:v>551</x:v>
      </x:c>
      <x:c r="AQ12" s="43" t="n">
        <x:v>1845472</x:v>
      </x:c>
      <x:c r="AR12" s="43" t="n">
        <x:v>1</x:v>
      </x:c>
      <x:c r="AS12" s="45" t="b">
        <x:v>1</x:v>
      </x:c>
      <x:c r="AT12" s="43" t="n">
        <x:v>10000</x:v>
      </x:c>
      <x:c r="AU12" s="48" t="n">
        <x:v>0.9495638090824461</x:v>
      </x:c>
      <x:c r="AV12" s="43" t="n">
        <x:v>10000</x:v>
      </x:c>
      <x:c r="AW12" s="48" t="n">
        <x:v>0.9495638090824461</x:v>
      </x:c>
      <x:c r="AX12" s="45" t="b">
        <x:v>1</x:v>
      </x:c>
      <x:c r="AY12" s="44" t="str">
        <x:v>{"provider":"ehcache","currentEntries":10000,"requestCount":118110208,"hitCount":112153179,"missCount":5957029,"hitRate":0.9495638090824461,"loadSuccessCount":0,"loadFailureCount":0,"totalLoadTimeNanos":0,"evictionCount":-1,"expirationCount":-1,"putCount":10000,"removeCount":0,"nativeMetrics":{"mappings":10000}}</x:v>
      </x:c>
      <x:c r="AZ12" s="44" t="str">
        <x:v>{"provider":"ehcache","currentEntries":10000,"requestCount":118110208,"hitCount":112153179,"missCount":5957029,"hitRate":0.9495638090824461,"loadSuccessCount":0,"loadFailureCount":0,"totalLoadTimeNanos":0,"evictionCount":-1,"expirationCount":-1,"putCount":15000,"removeCount":0,"nativeMetrics":{"mappings":10000}}</x:v>
      </x:c>
      <x:c r="BA12" s="43" t="n">
        <x:v>10000</x:v>
      </x:c>
      <x:c r="BB12" s="43" t="n">
        <x:v>118110208</x:v>
      </x:c>
      <x:c r="BC12" s="43" t="n">
        <x:v>112153179</x:v>
      </x:c>
      <x:c r="BD12" s="43" t="n">
        <x:v>5957029</x:v>
      </x:c>
      <x:c r="BE12" s="48" t="n">
        <x:v>0.9495638090824461</x:v>
      </x:c>
      <x:c r="BF12" s="43" t="n">
        <x:v>0</x:v>
      </x:c>
      <x:c r="BG12" s="43" t="n">
        <x:v>0</x:v>
      </x:c>
      <x:c r="BH12" s="43" t="n">
        <x:v>0</x:v>
      </x:c>
      <x:c r="BI12" s="43" t="n">
        <x:v>-1</x:v>
      </x:c>
      <x:c r="BJ12" s="43" t="n">
        <x:v>-1</x:v>
      </x:c>
      <x:c r="BK12" s="43" t="n">
        <x:v>15000</x:v>
      </x:c>
      <x:c r="BL12" s="43" t="n">
        <x:v>0</x:v>
      </x:c>
      <x:c r="BM12" s="44" t="str">
        <x:v>{"mappings":10000}</x:v>
      </x:c>
    </x:row>
    <x:row r="13">
      <x:c r="A13" s="34" t="str">
        <x:v>article1-unified-v4-2-fb3f101b-20260903-000401-default-f01-p2-ehcache</x:v>
      </x:c>
      <x:c r="B13" s="34" t="str">
        <x:v>default</x:v>
      </x:c>
      <x:c r="C13" s="34" t="str">
        <x:v>ehcache</x:v>
      </x:c>
      <x:c r="D13" s="34" t="str">
        <x:v>ehcache</x:v>
      </x:c>
      <x:c r="E13" s="34" t="str">
        <x:v>current-provider-primary-comparison</x:v>
      </x:c>
      <x:c r="F13" s="36" t="n">
        <x:v>1</x:v>
      </x:c>
      <x:c r="G13" s="36" t="n">
        <x:v>1</x:v>
      </x:c>
      <x:c r="H13" s="36" t="n">
        <x:v>2</x:v>
      </x:c>
      <x:c r="I13" s="36" t="n">
        <x:v>1</x:v>
      </x:c>
      <x:c r="J13" s="34" t="str">
        <x:v>redeploy</x:v>
      </x:c>
      <x:c r="K13" s="34" t="str">
        <x:v>cache-semantics</x:v>
      </x:c>
      <x:c r="L13" s="45" t="b">
        <x:v>1</x:v>
      </x:c>
      <x:c r="M13" s="36" t="n">
        <x:v>106301548</x:v>
      </x:c>
      <x:c r="N13" s="34" t="str">
        <x:v>fa65b2a625504511da06f56a3e8d6510b1104618fae5e2432265db137bc093a0</x:v>
      </x:c>
      <x:c r="O13" s="43" t="n">
        <x:v>10000</x:v>
      </x:c>
      <x:c r="P13" s="43" t="n">
        <x:v>400000</x:v>
      </x:c>
      <x:c r="Q13" s="36" t="n">
        <x:v>8</x:v>
      </x:c>
      <x:c r="R13" s="42" t="n">
        <x:v>95</x:v>
      </x:c>
      <x:c r="S13" s="43" t="n">
        <x:v>512</x:v>
      </x:c>
      <x:c r="T13" s="43" t="n">
        <x:v>50000</x:v>
      </x:c>
      <x:c r="U13" s="46" t="n">
        <x:v>3</x:v>
      </x:c>
      <x:c r="V13" s="46" t="n">
        <x:v>5</x:v>
      </x:c>
      <x:c r="W13" s="43" t="n">
        <x:v>300</x:v>
      </x:c>
      <x:c r="X13" s="34" t="str">
        <x:v>uniform</x:v>
      </x:c>
      <x:c r="Y13" s="42" t="n">
        <x:v>10</x:v>
      </x:c>
      <x:c r="Z13" s="34" t="str">
        <x:v>strict</x:v>
      </x:c>
      <x:c r="AA13" s="36" t="n">
        <x:v>64</x:v>
      </x:c>
      <x:c r="AB13" s="43" t="n">
        <x:v>68655872</x:v>
      </x:c>
      <x:c r="AC13" s="43" t="n">
        <x:v>3026598564</x:v>
      </x:c>
      <x:c r="AD13" s="43" t="n">
        <x:v>26598564</x:v>
      </x:c>
      <x:c r="AE13" s="43" t="n">
        <x:v>1705701.0670183594</x:v>
      </x:c>
      <x:c r="AF13" s="43" t="n">
        <x:v>20035599.990813468</x:v>
      </x:c>
      <x:c r="AG13" s="43" t="n">
        <x:v>100211456</x:v>
      </x:c>
      <x:c r="AH13" s="43" t="n">
        <x:v>5001669830</x:v>
      </x:c>
      <x:c r="AI13" s="43" t="n">
        <x:v>1669830</x:v>
      </x:c>
      <x:c r="AJ13" s="43" t="n">
        <x:v>20035599.990813468</x:v>
      </x:c>
      <x:c r="AK13" s="43" t="n">
        <x:v>100211456</x:v>
      </x:c>
      <x:c r="AL13" s="43" t="n">
        <x:v>0</x:v>
      </x:c>
      <x:c r="AM13" s="43" t="n">
        <x:v>216308.23958750538</x:v>
      </x:c>
      <x:c r="AN13" s="43" t="n">
        <x:v>180</x:v>
      </x:c>
      <x:c r="AO13" s="43" t="n">
        <x:v>391</x:v>
      </x:c>
      <x:c r="AP13" s="43" t="n">
        <x:v>681</x:v>
      </x:c>
      <x:c r="AQ13" s="43" t="n">
        <x:v>1565804</x:v>
      </x:c>
      <x:c r="AR13" s="43" t="n">
        <x:v>1</x:v>
      </x:c>
      <x:c r="AS13" s="45" t="b">
        <x:v>1</x:v>
      </x:c>
      <x:c r="AT13" s="43" t="n">
        <x:v>10000</x:v>
      </x:c>
      <x:c r="AU13" s="48" t="n">
        <x:v>0.949587610023349</x:v>
      </x:c>
      <x:c r="AV13" s="43" t="n">
        <x:v>10000</x:v>
      </x:c>
      <x:c r="AW13" s="48" t="n">
        <x:v>0.949587610023349</x:v>
      </x:c>
      <x:c r="AX13" s="45" t="b">
        <x:v>1</x:v>
      </x:c>
      <x:c r="AY13" s="44" t="str">
        <x:v>{"provider":"ehcache","currentEntries":10000,"requestCount":100211456,"hitCount":95159557,"missCount":5051899,"hitRate":0.949587610023349,"loadSuccessCount":0,"loadFailureCount":0,"totalLoadTimeNanos":0,"evictionCount":-1,"expirationCount":-1,"putCount":10000,"removeCount":0,"nativeMetrics":{"mappings":10000}}</x:v>
      </x:c>
      <x:c r="AZ13" s="44" t="str">
        <x:v>{"provider":"ehcache","currentEntries":10000,"requestCount":100211456,"hitCount":95159557,"missCount":5051899,"hitRate":0.949587610023349,"loadSuccessCount":0,"loadFailureCount":0,"totalLoadTimeNanos":0,"evictionCount":-1,"expirationCount":-1,"putCount":15000,"removeCount":0,"nativeMetrics":{"mappings":10000}}</x:v>
      </x:c>
      <x:c r="BA13" s="43" t="n">
        <x:v>10000</x:v>
      </x:c>
      <x:c r="BB13" s="43" t="n">
        <x:v>100211456</x:v>
      </x:c>
      <x:c r="BC13" s="43" t="n">
        <x:v>95159557</x:v>
      </x:c>
      <x:c r="BD13" s="43" t="n">
        <x:v>5051899</x:v>
      </x:c>
      <x:c r="BE13" s="48" t="n">
        <x:v>0.949587610023349</x:v>
      </x:c>
      <x:c r="BF13" s="43" t="n">
        <x:v>0</x:v>
      </x:c>
      <x:c r="BG13" s="43" t="n">
        <x:v>0</x:v>
      </x:c>
      <x:c r="BH13" s="43" t="n">
        <x:v>0</x:v>
      </x:c>
      <x:c r="BI13" s="43" t="n">
        <x:v>-1</x:v>
      </x:c>
      <x:c r="BJ13" s="43" t="n">
        <x:v>-1</x:v>
      </x:c>
      <x:c r="BK13" s="43" t="n">
        <x:v>15000</x:v>
      </x:c>
      <x:c r="BL13" s="43" t="n">
        <x:v>0</x:v>
      </x:c>
      <x:c r="BM13" s="44" t="str">
        <x:v>{"mappings":10000}</x:v>
      </x:c>
    </x:row>
    <x:row r="14">
      <x:c r="A14" s="34" t="str">
        <x:v>article1-unified-v4-2-fb3f101b-20260903-000401-default-f01-p2-ehcache</x:v>
      </x:c>
      <x:c r="B14" s="34" t="str">
        <x:v>default</x:v>
      </x:c>
      <x:c r="C14" s="34" t="str">
        <x:v>ehcache</x:v>
      </x:c>
      <x:c r="D14" s="34" t="str">
        <x:v>ehcache</x:v>
      </x:c>
      <x:c r="E14" s="34" t="str">
        <x:v>current-provider-primary-comparison</x:v>
      </x:c>
      <x:c r="F14" s="36" t="n">
        <x:v>1</x:v>
      </x:c>
      <x:c r="G14" s="36" t="n">
        <x:v>1</x:v>
      </x:c>
      <x:c r="H14" s="36" t="n">
        <x:v>2</x:v>
      </x:c>
      <x:c r="I14" s="36" t="n">
        <x:v>2</x:v>
      </x:c>
      <x:c r="J14" s="34" t="str">
        <x:v>initial</x:v>
      </x:c>
      <x:c r="K14" s="34" t="str">
        <x:v>cache-semantics</x:v>
      </x:c>
      <x:c r="L14" s="45" t="b">
        <x:v>1</x:v>
      </x:c>
      <x:c r="M14" s="36" t="n">
        <x:v>309808933</x:v>
      </x:c>
      <x:c r="N14" s="34" t="str">
        <x:v>b0f93ea0f1c077db50e7c1bad3e775d71788ff94e4a876cc76b8b1613dc18177</x:v>
      </x:c>
      <x:c r="O14" s="43" t="n">
        <x:v>10000</x:v>
      </x:c>
      <x:c r="P14" s="43" t="n">
        <x:v>400000</x:v>
      </x:c>
      <x:c r="Q14" s="36" t="n">
        <x:v>8</x:v>
      </x:c>
      <x:c r="R14" s="42" t="n">
        <x:v>95</x:v>
      </x:c>
      <x:c r="S14" s="43" t="n">
        <x:v>512</x:v>
      </x:c>
      <x:c r="T14" s="43" t="n">
        <x:v>50000</x:v>
      </x:c>
      <x:c r="U14" s="46" t="n">
        <x:v>3</x:v>
      </x:c>
      <x:c r="V14" s="46" t="n">
        <x:v>5</x:v>
      </x:c>
      <x:c r="W14" s="43" t="n">
        <x:v>300</x:v>
      </x:c>
      <x:c r="X14" s="34" t="str">
        <x:v>uniform</x:v>
      </x:c>
      <x:c r="Y14" s="42" t="n">
        <x:v>10</x:v>
      </x:c>
      <x:c r="Z14" s="34" t="str">
        <x:v>strict</x:v>
      </x:c>
      <x:c r="AA14" s="36" t="n">
        <x:v>64</x:v>
      </x:c>
      <x:c r="AB14" s="43" t="n">
        <x:v>68104960</x:v>
      </x:c>
      <x:c r="AC14" s="43" t="n">
        <x:v>3000456039</x:v>
      </x:c>
      <x:c r="AD14" s="43" t="n">
        <x:v>456039</x:v>
      </x:c>
      <x:c r="AE14" s="43" t="n">
        <x:v>903079.7638879896</x:v>
      </x:c>
      <x:c r="AF14" s="43" t="n">
        <x:v>22998772.95841226</x:v>
      </x:c>
      <x:c r="AG14" s="43" t="n">
        <x:v>115061248</x:v>
      </x:c>
      <x:c r="AH14" s="43" t="n">
        <x:v>5002929861</x:v>
      </x:c>
      <x:c r="AI14" s="43" t="n">
        <x:v>2929861</x:v>
      </x:c>
      <x:c r="AJ14" s="43" t="n">
        <x:v>22998772.95841226</x:v>
      </x:c>
      <x:c r="AK14" s="43" t="n">
        <x:v>115061248</x:v>
      </x:c>
      <x:c r="AL14" s="43" t="n">
        <x:v>0</x:v>
      </x:c>
      <x:c r="AM14" s="43" t="n">
        <x:v>152222.8215742117</x:v>
      </x:c>
      <x:c r="AN14" s="43" t="n">
        <x:v>181</x:v>
      </x:c>
      <x:c r="AO14" s="43" t="n">
        <x:v>341</x:v>
      </x:c>
      <x:c r="AP14" s="43" t="n">
        <x:v>571</x:v>
      </x:c>
      <x:c r="AQ14" s="43" t="n">
        <x:v>1797832</x:v>
      </x:c>
      <x:c r="AR14" s="43" t="n">
        <x:v>1</x:v>
      </x:c>
      <x:c r="AS14" s="45" t="b">
        <x:v>1</x:v>
      </x:c>
      <x:c r="AT14" s="43" t="n">
        <x:v>10000</x:v>
      </x:c>
      <x:c r="AU14" s="48" t="n">
        <x:v>0.9503748733891709</x:v>
      </x:c>
      <x:c r="AV14" s="43" t="n">
        <x:v>10000</x:v>
      </x:c>
      <x:c r="AW14" s="48" t="n">
        <x:v>0.9503748733891709</x:v>
      </x:c>
      <x:c r="AX14" s="45" t="b">
        <x:v>1</x:v>
      </x:c>
      <x:c r="AY14" s="44" t="str">
        <x:v>{"provider":"ehcache","currentEntries":10000,"requestCount":115061248,"hitCount":109351319,"missCount":5709929,"hitRate":0.9503748733891709,"loadSuccessCount":0,"loadFailureCount":0,"totalLoadTimeNanos":0,"evictionCount":-1,"expirationCount":-1,"putCount":10000,"removeCount":0,"nativeMetrics":{"mappings":10000}}</x:v>
      </x:c>
      <x:c r="AZ14" s="44" t="str">
        <x:v>{"provider":"ehcache","currentEntries":10000,"requestCount":115061248,"hitCount":109351319,"missCount":5709929,"hitRate":0.9503748733891709,"loadSuccessCount":0,"loadFailureCount":0,"totalLoadTimeNanos":0,"evictionCount":-1,"expirationCount":-1,"putCount":15000,"removeCount":0,"nativeMetrics":{"mappings":10000}}</x:v>
      </x:c>
      <x:c r="BA14" s="43" t="n">
        <x:v>10000</x:v>
      </x:c>
      <x:c r="BB14" s="43" t="n">
        <x:v>115061248</x:v>
      </x:c>
      <x:c r="BC14" s="43" t="n">
        <x:v>109351319</x:v>
      </x:c>
      <x:c r="BD14" s="43" t="n">
        <x:v>5709929</x:v>
      </x:c>
      <x:c r="BE14" s="48" t="n">
        <x:v>0.9503748733891709</x:v>
      </x:c>
      <x:c r="BF14" s="43" t="n">
        <x:v>0</x:v>
      </x:c>
      <x:c r="BG14" s="43" t="n">
        <x:v>0</x:v>
      </x:c>
      <x:c r="BH14" s="43" t="n">
        <x:v>0</x:v>
      </x:c>
      <x:c r="BI14" s="43" t="n">
        <x:v>-1</x:v>
      </x:c>
      <x:c r="BJ14" s="43" t="n">
        <x:v>-1</x:v>
      </x:c>
      <x:c r="BK14" s="43" t="n">
        <x:v>15000</x:v>
      </x:c>
      <x:c r="BL14" s="43" t="n">
        <x:v>0</x:v>
      </x:c>
      <x:c r="BM14" s="44" t="str">
        <x:v>{"mappings":10000}</x:v>
      </x:c>
    </x:row>
    <x:row r="15">
      <x:c r="A15" s="34" t="str">
        <x:v>article1-unified-v4-2-fb3f101b-20260903-000401-default-f01-p2-ehcache</x:v>
      </x:c>
      <x:c r="B15" s="34" t="str">
        <x:v>default</x:v>
      </x:c>
      <x:c r="C15" s="34" t="str">
        <x:v>ehcache</x:v>
      </x:c>
      <x:c r="D15" s="34" t="str">
        <x:v>ehcache</x:v>
      </x:c>
      <x:c r="E15" s="34" t="str">
        <x:v>current-provider-primary-comparison</x:v>
      </x:c>
      <x:c r="F15" s="36" t="n">
        <x:v>1</x:v>
      </x:c>
      <x:c r="G15" s="36" t="n">
        <x:v>1</x:v>
      </x:c>
      <x:c r="H15" s="36" t="n">
        <x:v>2</x:v>
      </x:c>
      <x:c r="I15" s="36" t="n">
        <x:v>2</x:v>
      </x:c>
      <x:c r="J15" s="34" t="str">
        <x:v>redeploy</x:v>
      </x:c>
      <x:c r="K15" s="34" t="str">
        <x:v>cache-semantics</x:v>
      </x:c>
      <x:c r="L15" s="45" t="b">
        <x:v>1</x:v>
      </x:c>
      <x:c r="M15" s="36" t="n">
        <x:v>309808933</x:v>
      </x:c>
      <x:c r="N15" s="34" t="str">
        <x:v>b0f93ea0f1c077db50e7c1bad3e775d71788ff94e4a876cc76b8b1613dc18177</x:v>
      </x:c>
      <x:c r="O15" s="43" t="n">
        <x:v>10000</x:v>
      </x:c>
      <x:c r="P15" s="43" t="n">
        <x:v>400000</x:v>
      </x:c>
      <x:c r="Q15" s="36" t="n">
        <x:v>8</x:v>
      </x:c>
      <x:c r="R15" s="42" t="n">
        <x:v>95</x:v>
      </x:c>
      <x:c r="S15" s="43" t="n">
        <x:v>512</x:v>
      </x:c>
      <x:c r="T15" s="43" t="n">
        <x:v>50000</x:v>
      </x:c>
      <x:c r="U15" s="46" t="n">
        <x:v>3</x:v>
      </x:c>
      <x:c r="V15" s="46" t="n">
        <x:v>5</x:v>
      </x:c>
      <x:c r="W15" s="43" t="n">
        <x:v>300</x:v>
      </x:c>
      <x:c r="X15" s="34" t="str">
        <x:v>uniform</x:v>
      </x:c>
      <x:c r="Y15" s="42" t="n">
        <x:v>10</x:v>
      </x:c>
      <x:c r="Z15" s="34" t="str">
        <x:v>strict</x:v>
      </x:c>
      <x:c r="AA15" s="36" t="n">
        <x:v>64</x:v>
      </x:c>
      <x:c r="AB15" s="43" t="n">
        <x:v>67183872</x:v>
      </x:c>
      <x:c r="AC15" s="43" t="n">
        <x:v>3028957953</x:v>
      </x:c>
      <x:c r="AD15" s="43" t="n">
        <x:v>28957953</x:v>
      </x:c>
      <x:c r="AE15" s="43" t="n">
        <x:v>1464614.5464052134</x:v>
      </x:c>
      <x:c r="AF15" s="43" t="n">
        <x:v>23507840.561815243</x:v>
      </x:c>
      <x:c r="AG15" s="43" t="n">
        <x:v>117641216</x:v>
      </x:c>
      <x:c r="AH15" s="43" t="n">
        <x:v>5004339539</x:v>
      </x:c>
      <x:c r="AI15" s="43" t="n">
        <x:v>4339539</x:v>
      </x:c>
      <x:c r="AJ15" s="43" t="n">
        <x:v>23507840.561815243</x:v>
      </x:c>
      <x:c r="AK15" s="43" t="n">
        <x:v>117641216</x:v>
      </x:c>
      <x:c r="AL15" s="43" t="n">
        <x:v>0</x:v>
      </x:c>
      <x:c r="AM15" s="43" t="n">
        <x:v>239088.5256826025</x:v>
      </x:c>
      <x:c r="AN15" s="43" t="n">
        <x:v>171</x:v>
      </x:c>
      <x:c r="AO15" s="43" t="n">
        <x:v>310</x:v>
      </x:c>
      <x:c r="AP15" s="43" t="n">
        <x:v>541</x:v>
      </x:c>
      <x:c r="AQ15" s="43" t="n">
        <x:v>1838144</x:v>
      </x:c>
      <x:c r="AR15" s="43" t="n">
        <x:v>1</x:v>
      </x:c>
      <x:c r="AS15" s="45" t="b">
        <x:v>1</x:v>
      </x:c>
      <x:c r="AT15" s="43" t="n">
        <x:v>10000</x:v>
      </x:c>
      <x:c r="AU15" s="48" t="n">
        <x:v>0.9503776465554385</x:v>
      </x:c>
      <x:c r="AV15" s="43" t="n">
        <x:v>10000</x:v>
      </x:c>
      <x:c r="AW15" s="48" t="n">
        <x:v>0.9503776465554385</x:v>
      </x:c>
      <x:c r="AX15" s="45" t="b">
        <x:v>1</x:v>
      </x:c>
      <x:c r="AY15" s="44" t="str">
        <x:v>{"provider":"ehcache","currentEntries":10000,"requestCount":117641216,"hitCount":111803582,"missCount":5837634,"hitRate":0.9503776465554385,"loadSuccessCount":0,"loadFailureCount":0,"totalLoadTimeNanos":0,"evictionCount":-1,"expirationCount":-1,"putCount":10000,"removeCount":0,"nativeMetrics":{"mappings":10000}}</x:v>
      </x:c>
      <x:c r="AZ15" s="44" t="str">
        <x:v>{"provider":"ehcache","currentEntries":10000,"requestCount":117641216,"hitCount":111803582,"missCount":5837634,"hitRate":0.9503776465554385,"loadSuccessCount":0,"loadFailureCount":0,"totalLoadTimeNanos":0,"evictionCount":-1,"expirationCount":-1,"putCount":15000,"removeCount":0,"nativeMetrics":{"mappings":10000}}</x:v>
      </x:c>
      <x:c r="BA15" s="43" t="n">
        <x:v>10000</x:v>
      </x:c>
      <x:c r="BB15" s="43" t="n">
        <x:v>117641216</x:v>
      </x:c>
      <x:c r="BC15" s="43" t="n">
        <x:v>111803582</x:v>
      </x:c>
      <x:c r="BD15" s="43" t="n">
        <x:v>5837634</x:v>
      </x:c>
      <x:c r="BE15" s="48" t="n">
        <x:v>0.9503776465554385</x:v>
      </x:c>
      <x:c r="BF15" s="43" t="n">
        <x:v>0</x:v>
      </x:c>
      <x:c r="BG15" s="43" t="n">
        <x:v>0</x:v>
      </x:c>
      <x:c r="BH15" s="43" t="n">
        <x:v>0</x:v>
      </x:c>
      <x:c r="BI15" s="43" t="n">
        <x:v>-1</x:v>
      </x:c>
      <x:c r="BJ15" s="43" t="n">
        <x:v>-1</x:v>
      </x:c>
      <x:c r="BK15" s="43" t="n">
        <x:v>15000</x:v>
      </x:c>
      <x:c r="BL15" s="43" t="n">
        <x:v>0</x:v>
      </x:c>
      <x:c r="BM15" s="44" t="str">
        <x:v>{"mappings":10000}</x:v>
      </x:c>
    </x:row>
    <x:row r="16">
      <x:c r="A16" s="34" t="str">
        <x:v>article1-unified-v4-2-fb3f101b-20260903-000401-default-f01-p2-ehcache</x:v>
      </x:c>
      <x:c r="B16" s="34" t="str">
        <x:v>default</x:v>
      </x:c>
      <x:c r="C16" s="34" t="str">
        <x:v>ehcache</x:v>
      </x:c>
      <x:c r="D16" s="34" t="str">
        <x:v>ehcache</x:v>
      </x:c>
      <x:c r="E16" s="34" t="str">
        <x:v>current-provider-primary-comparison</x:v>
      </x:c>
      <x:c r="F16" s="36" t="n">
        <x:v>1</x:v>
      </x:c>
      <x:c r="G16" s="36" t="n">
        <x:v>1</x:v>
      </x:c>
      <x:c r="H16" s="36" t="n">
        <x:v>2</x:v>
      </x:c>
      <x:c r="I16" s="36" t="n">
        <x:v>3</x:v>
      </x:c>
      <x:c r="J16" s="34" t="str">
        <x:v>initial</x:v>
      </x:c>
      <x:c r="K16" s="34" t="str">
        <x:v>cache-semantics</x:v>
      </x:c>
      <x:c r="L16" s="45" t="b">
        <x:v>1</x:v>
      </x:c>
      <x:c r="M16" s="36" t="n">
        <x:v>1346581378</x:v>
      </x:c>
      <x:c r="N16" s="34" t="str">
        <x:v>2bf58a45a91aaa1defb64a6c1f623f67f3c75e3e966112109387a96ba1d5e699</x:v>
      </x:c>
      <x:c r="O16" s="43" t="n">
        <x:v>10000</x:v>
      </x:c>
      <x:c r="P16" s="43" t="n">
        <x:v>400000</x:v>
      </x:c>
      <x:c r="Q16" s="36" t="n">
        <x:v>8</x:v>
      </x:c>
      <x:c r="R16" s="42" t="n">
        <x:v>95</x:v>
      </x:c>
      <x:c r="S16" s="43" t="n">
        <x:v>512</x:v>
      </x:c>
      <x:c r="T16" s="43" t="n">
        <x:v>50000</x:v>
      </x:c>
      <x:c r="U16" s="46" t="n">
        <x:v>3</x:v>
      </x:c>
      <x:c r="V16" s="46" t="n">
        <x:v>5</x:v>
      </x:c>
      <x:c r="W16" s="43" t="n">
        <x:v>300</x:v>
      </x:c>
      <x:c r="X16" s="34" t="str">
        <x:v>uniform</x:v>
      </x:c>
      <x:c r="Y16" s="42" t="n">
        <x:v>10</x:v>
      </x:c>
      <x:c r="Z16" s="34" t="str">
        <x:v>strict</x:v>
      </x:c>
      <x:c r="AA16" s="36" t="n">
        <x:v>64</x:v>
      </x:c>
      <x:c r="AB16" s="43" t="n">
        <x:v>73791488</x:v>
      </x:c>
      <x:c r="AC16" s="43" t="n">
        <x:v>3050067371</x:v>
      </x:c>
      <x:c r="AD16" s="43" t="n">
        <x:v>50067371</x:v>
      </x:c>
      <x:c r="AE16" s="43" t="n">
        <x:v>2046181.0792500256</x:v>
      </x:c>
      <x:c r="AF16" s="43" t="n">
        <x:v>23482757.92055727</x:v>
      </x:c>
      <x:c r="AG16" s="43" t="n">
        <x:v>117463296</x:v>
      </x:c>
      <x:c r="AH16" s="43" t="n">
        <x:v>5002108202</x:v>
      </x:c>
      <x:c r="AI16" s="43" t="n">
        <x:v>2108202</x:v>
      </x:c>
      <x:c r="AJ16" s="43" t="n">
        <x:v>23482757.92055727</x:v>
      </x:c>
      <x:c r="AK16" s="43" t="n">
        <x:v>117463296</x:v>
      </x:c>
      <x:c r="AL16" s="43" t="n">
        <x:v>0</x:v>
      </x:c>
      <x:c r="AM16" s="43" t="n">
        <x:v>368945.3939418133</x:v>
      </x:c>
      <x:c r="AN16" s="43" t="n">
        <x:v>180</x:v>
      </x:c>
      <x:c r="AO16" s="43" t="n">
        <x:v>311</x:v>
      </x:c>
      <x:c r="AP16" s="43" t="n">
        <x:v>561</x:v>
      </x:c>
      <x:c r="AQ16" s="43" t="n">
        <x:v>1835364</x:v>
      </x:c>
      <x:c r="AR16" s="43" t="n">
        <x:v>1</x:v>
      </x:c>
      <x:c r="AS16" s="45" t="b">
        <x:v>1</x:v>
      </x:c>
      <x:c r="AT16" s="43" t="n">
        <x:v>10000</x:v>
      </x:c>
      <x:c r="AU16" s="48" t="n">
        <x:v>0.9498683997425034</x:v>
      </x:c>
      <x:c r="AV16" s="43" t="n">
        <x:v>10000</x:v>
      </x:c>
      <x:c r="AW16" s="48" t="n">
        <x:v>0.9498683997425034</x:v>
      </x:c>
      <x:c r="AX16" s="45" t="b">
        <x:v>1</x:v>
      </x:c>
      <x:c r="AY16" s="44" t="str">
        <x:v>{"provider":"ehcache","currentEntries":10000,"requestCount":117463296,"hitCount":111574673,"missCount":5888623,"hitRate":0.9498683997425034,"loadSuccessCount":0,"loadFailureCount":0,"totalLoadTimeNanos":0,"evictionCount":-1,"expirationCount":-1,"putCount":10000,"removeCount":0,"nativeMetrics":{"mappings":10000}}</x:v>
      </x:c>
      <x:c r="AZ16" s="44" t="str">
        <x:v>{"provider":"ehcache","currentEntries":10000,"requestCount":117463296,"hitCount":111574673,"missCount":5888623,"hitRate":0.9498683997425034,"loadSuccessCount":0,"loadFailureCount":0,"totalLoadTimeNanos":0,"evictionCount":-1,"expirationCount":-1,"putCount":15000,"removeCount":0,"nativeMetrics":{"mappings":10000}}</x:v>
      </x:c>
      <x:c r="BA16" s="43" t="n">
        <x:v>10000</x:v>
      </x:c>
      <x:c r="BB16" s="43" t="n">
        <x:v>117463296</x:v>
      </x:c>
      <x:c r="BC16" s="43" t="n">
        <x:v>111574673</x:v>
      </x:c>
      <x:c r="BD16" s="43" t="n">
        <x:v>5888623</x:v>
      </x:c>
      <x:c r="BE16" s="48" t="n">
        <x:v>0.9498683997425034</x:v>
      </x:c>
      <x:c r="BF16" s="43" t="n">
        <x:v>0</x:v>
      </x:c>
      <x:c r="BG16" s="43" t="n">
        <x:v>0</x:v>
      </x:c>
      <x:c r="BH16" s="43" t="n">
        <x:v>0</x:v>
      </x:c>
      <x:c r="BI16" s="43" t="n">
        <x:v>-1</x:v>
      </x:c>
      <x:c r="BJ16" s="43" t="n">
        <x:v>-1</x:v>
      </x:c>
      <x:c r="BK16" s="43" t="n">
        <x:v>15000</x:v>
      </x:c>
      <x:c r="BL16" s="43" t="n">
        <x:v>0</x:v>
      </x:c>
      <x:c r="BM16" s="44" t="str">
        <x:v>{"mappings":10000}</x:v>
      </x:c>
    </x:row>
    <x:row r="17">
      <x:c r="A17" s="34" t="str">
        <x:v>article1-unified-v4-2-fb3f101b-20260903-000401-default-f01-p2-ehcache</x:v>
      </x:c>
      <x:c r="B17" s="34" t="str">
        <x:v>default</x:v>
      </x:c>
      <x:c r="C17" s="34" t="str">
        <x:v>ehcache</x:v>
      </x:c>
      <x:c r="D17" s="34" t="str">
        <x:v>ehcache</x:v>
      </x:c>
      <x:c r="E17" s="34" t="str">
        <x:v>current-provider-primary-comparison</x:v>
      </x:c>
      <x:c r="F17" s="36" t="n">
        <x:v>1</x:v>
      </x:c>
      <x:c r="G17" s="36" t="n">
        <x:v>1</x:v>
      </x:c>
      <x:c r="H17" s="36" t="n">
        <x:v>2</x:v>
      </x:c>
      <x:c r="I17" s="36" t="n">
        <x:v>3</x:v>
      </x:c>
      <x:c r="J17" s="34" t="str">
        <x:v>redeploy</x:v>
      </x:c>
      <x:c r="K17" s="34" t="str">
        <x:v>cache-semantics</x:v>
      </x:c>
      <x:c r="L17" s="45" t="b">
        <x:v>1</x:v>
      </x:c>
      <x:c r="M17" s="36" t="n">
        <x:v>1346581378</x:v>
      </x:c>
      <x:c r="N17" s="34" t="str">
        <x:v>2bf58a45a91aaa1defb64a6c1f623f67f3c75e3e966112109387a96ba1d5e699</x:v>
      </x:c>
      <x:c r="O17" s="43" t="n">
        <x:v>10000</x:v>
      </x:c>
      <x:c r="P17" s="43" t="n">
        <x:v>400000</x:v>
      </x:c>
      <x:c r="Q17" s="36" t="n">
        <x:v>8</x:v>
      </x:c>
      <x:c r="R17" s="42" t="n">
        <x:v>95</x:v>
      </x:c>
      <x:c r="S17" s="43" t="n">
        <x:v>512</x:v>
      </x:c>
      <x:c r="T17" s="43" t="n">
        <x:v>50000</x:v>
      </x:c>
      <x:c r="U17" s="46" t="n">
        <x:v>3</x:v>
      </x:c>
      <x:c r="V17" s="46" t="n">
        <x:v>5</x:v>
      </x:c>
      <x:c r="W17" s="43" t="n">
        <x:v>300</x:v>
      </x:c>
      <x:c r="X17" s="34" t="str">
        <x:v>uniform</x:v>
      </x:c>
      <x:c r="Y17" s="42" t="n">
        <x:v>10</x:v>
      </x:c>
      <x:c r="Z17" s="34" t="str">
        <x:v>strict</x:v>
      </x:c>
      <x:c r="AA17" s="36" t="n">
        <x:v>64</x:v>
      </x:c>
      <x:c r="AB17" s="43" t="n">
        <x:v>69536768</x:v>
      </x:c>
      <x:c r="AC17" s="43" t="n">
        <x:v>3000406577</x:v>
      </x:c>
      <x:c r="AD17" s="43" t="n">
        <x:v>406577</x:v>
      </x:c>
      <x:c r="AE17" s="43" t="n">
        <x:v>1537865.5564097543</x:v>
      </x:c>
      <x:c r="AF17" s="43" t="n">
        <x:v>21755866.48225494</x:v>
      </x:c>
      <x:c r="AG17" s="43" t="n">
        <x:v>108933632</x:v>
      </x:c>
      <x:c r="AH17" s="43" t="n">
        <x:v>5007092321</x:v>
      </x:c>
      <x:c r="AI17" s="43" t="n">
        <x:v>7092321</x:v>
      </x:c>
      <x:c r="AJ17" s="43" t="n">
        <x:v>21755866.48225494</x:v>
      </x:c>
      <x:c r="AK17" s="43" t="n">
        <x:v>108933632</x:v>
      </x:c>
      <x:c r="AL17" s="43" t="n">
        <x:v>0</x:v>
      </x:c>
      <x:c r="AM17" s="43" t="n">
        <x:v>281682.79328826524</x:v>
      </x:c>
      <x:c r="AN17" s="43" t="n">
        <x:v>190</x:v>
      </x:c>
      <x:c r="AO17" s="43" t="n">
        <x:v>360</x:v>
      </x:c>
      <x:c r="AP17" s="43" t="n">
        <x:v>591</x:v>
      </x:c>
      <x:c r="AQ17" s="43" t="n">
        <x:v>1702088</x:v>
      </x:c>
      <x:c r="AR17" s="43" t="n">
        <x:v>1</x:v>
      </x:c>
      <x:c r="AS17" s="45" t="b">
        <x:v>1</x:v>
      </x:c>
      <x:c r="AT17" s="43" t="n">
        <x:v>10000</x:v>
      </x:c>
      <x:c r="AU17" s="48" t="n">
        <x:v>0.9498747365735497</x:v>
      </x:c>
      <x:c r="AV17" s="43" t="n">
        <x:v>10000</x:v>
      </x:c>
      <x:c r="AW17" s="48" t="n">
        <x:v>0.9498747365735497</x:v>
      </x:c>
      <x:c r="AX17" s="45" t="b">
        <x:v>1</x:v>
      </x:c>
      <x:c r="AY17" s="44" t="str">
        <x:v>{"provider":"ehcache","currentEntries":10000,"requestCount":108933632,"hitCount":103473305,"missCount":5460327,"hitRate":0.9498747365735497,"loadSuccessCount":0,"loadFailureCount":0,"totalLoadTimeNanos":0,"evictionCount":-1,"expirationCount":-1,"putCount":10000,"removeCount":0,"nativeMetrics":{"mappings":10000}}</x:v>
      </x:c>
      <x:c r="AZ17" s="44" t="str">
        <x:v>{"provider":"ehcache","currentEntries":10000,"requestCount":108933632,"hitCount":103473305,"missCount":5460327,"hitRate":0.9498747365735497,"loadSuccessCount":0,"loadFailureCount":0,"totalLoadTimeNanos":0,"evictionCount":-1,"expirationCount":-1,"putCount":15000,"removeCount":0,"nativeMetrics":{"mappings":10000}}</x:v>
      </x:c>
      <x:c r="BA17" s="43" t="n">
        <x:v>10000</x:v>
      </x:c>
      <x:c r="BB17" s="43" t="n">
        <x:v>108933632</x:v>
      </x:c>
      <x:c r="BC17" s="43" t="n">
        <x:v>103473305</x:v>
      </x:c>
      <x:c r="BD17" s="43" t="n">
        <x:v>5460327</x:v>
      </x:c>
      <x:c r="BE17" s="48" t="n">
        <x:v>0.9498747365735497</x:v>
      </x:c>
      <x:c r="BF17" s="43" t="n">
        <x:v>0</x:v>
      </x:c>
      <x:c r="BG17" s="43" t="n">
        <x:v>0</x:v>
      </x:c>
      <x:c r="BH17" s="43" t="n">
        <x:v>0</x:v>
      </x:c>
      <x:c r="BI17" s="43" t="n">
        <x:v>-1</x:v>
      </x:c>
      <x:c r="BJ17" s="43" t="n">
        <x:v>-1</x:v>
      </x:c>
      <x:c r="BK17" s="43" t="n">
        <x:v>15000</x:v>
      </x:c>
      <x:c r="BL17" s="43" t="n">
        <x:v>0</x:v>
      </x:c>
      <x:c r="BM17" s="44" t="str">
        <x:v>{"mappings":10000}</x:v>
      </x:c>
    </x:row>
    <x:row r="18">
      <x:c r="A18" s="34" t="str">
        <x:v>article1-unified-v4-2-fb3f101b-20260903-000401-default-f01-p2-ehcache</x:v>
      </x:c>
      <x:c r="B18" s="34" t="str">
        <x:v>default</x:v>
      </x:c>
      <x:c r="C18" s="34" t="str">
        <x:v>ehcache</x:v>
      </x:c>
      <x:c r="D18" s="34" t="str">
        <x:v>ehcache</x:v>
      </x:c>
      <x:c r="E18" s="34" t="str">
        <x:v>current-provider-primary-comparison</x:v>
      </x:c>
      <x:c r="F18" s="36" t="n">
        <x:v>1</x:v>
      </x:c>
      <x:c r="G18" s="36" t="n">
        <x:v>1</x:v>
      </x:c>
      <x:c r="H18" s="36" t="n">
        <x:v>2</x:v>
      </x:c>
      <x:c r="I18" s="36" t="n">
        <x:v>4</x:v>
      </x:c>
      <x:c r="J18" s="34" t="str">
        <x:v>initial</x:v>
      </x:c>
      <x:c r="K18" s="34" t="str">
        <x:v>cache-semantics</x:v>
      </x:c>
      <x:c r="L18" s="45" t="b">
        <x:v>1</x:v>
      </x:c>
      <x:c r="M18" s="36" t="n">
        <x:v>584767396</x:v>
      </x:c>
      <x:c r="N18" s="34" t="str">
        <x:v>8b3eab7a458105f79edbbcdf72ca6cd4f7d0bb6ba737ed58e05821db7c3517a5</x:v>
      </x:c>
      <x:c r="O18" s="43" t="n">
        <x:v>10000</x:v>
      </x:c>
      <x:c r="P18" s="43" t="n">
        <x:v>400000</x:v>
      </x:c>
      <x:c r="Q18" s="36" t="n">
        <x:v>8</x:v>
      </x:c>
      <x:c r="R18" s="42" t="n">
        <x:v>95</x:v>
      </x:c>
      <x:c r="S18" s="43" t="n">
        <x:v>512</x:v>
      </x:c>
      <x:c r="T18" s="43" t="n">
        <x:v>50000</x:v>
      </x:c>
      <x:c r="U18" s="46" t="n">
        <x:v>3</x:v>
      </x:c>
      <x:c r="V18" s="46" t="n">
        <x:v>5</x:v>
      </x:c>
      <x:c r="W18" s="43" t="n">
        <x:v>300</x:v>
      </x:c>
      <x:c r="X18" s="34" t="str">
        <x:v>uniform</x:v>
      </x:c>
      <x:c r="Y18" s="42" t="n">
        <x:v>10</x:v>
      </x:c>
      <x:c r="Z18" s="34" t="str">
        <x:v>strict</x:v>
      </x:c>
      <x:c r="AA18" s="36" t="n">
        <x:v>64</x:v>
      </x:c>
      <x:c r="AB18" s="43" t="n">
        <x:v>75127296</x:v>
      </x:c>
      <x:c r="AC18" s="43" t="n">
        <x:v>3044520595</x:v>
      </x:c>
      <x:c r="AD18" s="43" t="n">
        <x:v>44520595</x:v>
      </x:c>
      <x:c r="AE18" s="43" t="n">
        <x:v>1521626.0339258697</x:v>
      </x:c>
      <x:c r="AF18" s="43" t="n">
        <x:v>26055851.999058347</x:v>
      </x:c>
      <x:c r="AG18" s="43" t="n">
        <x:v>130341376</x:v>
      </x:c>
      <x:c r="AH18" s="43" t="n">
        <x:v>5002383956</x:v>
      </x:c>
      <x:c r="AI18" s="43" t="n">
        <x:v>2383956</x:v>
      </x:c>
      <x:c r="AJ18" s="43" t="n">
        <x:v>26055851.999058347</x:v>
      </x:c>
      <x:c r="AK18" s="43" t="n">
        <x:v>130341376</x:v>
      </x:c>
      <x:c r="AL18" s="43" t="n">
        <x:v>0</x:v>
      </x:c>
      <x:c r="AM18" s="43" t="n">
        <x:v>373469.586989694</x:v>
      </x:c>
      <x:c r="AN18" s="43" t="n">
        <x:v>170</x:v>
      </x:c>
      <x:c r="AO18" s="43" t="n">
        <x:v>270</x:v>
      </x:c>
      <x:c r="AP18" s="43" t="n">
        <x:v>461</x:v>
      </x:c>
      <x:c r="AQ18" s="43" t="n">
        <x:v>2036584</x:v>
      </x:c>
      <x:c r="AR18" s="43" t="n">
        <x:v>1</x:v>
      </x:c>
      <x:c r="AS18" s="45" t="b">
        <x:v>1</x:v>
      </x:c>
      <x:c r="AT18" s="43" t="n">
        <x:v>10000</x:v>
      </x:c>
      <x:c r="AU18" s="48" t="n">
        <x:v>0.9499694325768051</x:v>
      </x:c>
      <x:c r="AV18" s="43" t="n">
        <x:v>10000</x:v>
      </x:c>
      <x:c r="AW18" s="48" t="n">
        <x:v>0.9499694325768051</x:v>
      </x:c>
      <x:c r="AX18" s="45" t="b">
        <x:v>1</x:v>
      </x:c>
      <x:c r="AY18" s="44" t="str">
        <x:v>{"provider":"ehcache","currentEntries":10000,"requestCount":130341376,"hitCount":123820323,"missCount":6521053,"hitRate":0.9499694325768051,"loadSuccessCount":0,"loadFailureCount":0,"totalLoadTimeNanos":0,"evictionCount":-1,"expirationCount":-1,"putCount":10000,"removeCount":0,"nativeMetrics":{"mappings":10000}}</x:v>
      </x:c>
      <x:c r="AZ18" s="44" t="str">
        <x:v>{"provider":"ehcache","currentEntries":10000,"requestCount":130341376,"hitCount":123820323,"missCount":6521053,"hitRate":0.9499694325768051,"loadSuccessCount":0,"loadFailureCount":0,"totalLoadTimeNanos":0,"evictionCount":-1,"expirationCount":-1,"putCount":15000,"removeCount":0,"nativeMetrics":{"mappings":10000}}</x:v>
      </x:c>
      <x:c r="BA18" s="43" t="n">
        <x:v>10000</x:v>
      </x:c>
      <x:c r="BB18" s="43" t="n">
        <x:v>130341376</x:v>
      </x:c>
      <x:c r="BC18" s="43" t="n">
        <x:v>123820323</x:v>
      </x:c>
      <x:c r="BD18" s="43" t="n">
        <x:v>6521053</x:v>
      </x:c>
      <x:c r="BE18" s="48" t="n">
        <x:v>0.9499694325768051</x:v>
      </x:c>
      <x:c r="BF18" s="43" t="n">
        <x:v>0</x:v>
      </x:c>
      <x:c r="BG18" s="43" t="n">
        <x:v>0</x:v>
      </x:c>
      <x:c r="BH18" s="43" t="n">
        <x:v>0</x:v>
      </x:c>
      <x:c r="BI18" s="43" t="n">
        <x:v>-1</x:v>
      </x:c>
      <x:c r="BJ18" s="43" t="n">
        <x:v>-1</x:v>
      </x:c>
      <x:c r="BK18" s="43" t="n">
        <x:v>15000</x:v>
      </x:c>
      <x:c r="BL18" s="43" t="n">
        <x:v>0</x:v>
      </x:c>
      <x:c r="BM18" s="44" t="str">
        <x:v>{"mappings":10000}</x:v>
      </x:c>
    </x:row>
    <x:row r="19">
      <x:c r="A19" s="34" t="str">
        <x:v>article1-unified-v4-2-fb3f101b-20260903-000401-default-f01-p2-ehcache</x:v>
      </x:c>
      <x:c r="B19" s="34" t="str">
        <x:v>default</x:v>
      </x:c>
      <x:c r="C19" s="34" t="str">
        <x:v>ehcache</x:v>
      </x:c>
      <x:c r="D19" s="34" t="str">
        <x:v>ehcache</x:v>
      </x:c>
      <x:c r="E19" s="34" t="str">
        <x:v>current-provider-primary-comparison</x:v>
      </x:c>
      <x:c r="F19" s="36" t="n">
        <x:v>1</x:v>
      </x:c>
      <x:c r="G19" s="36" t="n">
        <x:v>1</x:v>
      </x:c>
      <x:c r="H19" s="36" t="n">
        <x:v>2</x:v>
      </x:c>
      <x:c r="I19" s="36" t="n">
        <x:v>4</x:v>
      </x:c>
      <x:c r="J19" s="34" t="str">
        <x:v>redeploy</x:v>
      </x:c>
      <x:c r="K19" s="34" t="str">
        <x:v>cache-semantics</x:v>
      </x:c>
      <x:c r="L19" s="45" t="b">
        <x:v>1</x:v>
      </x:c>
      <x:c r="M19" s="36" t="n">
        <x:v>584767396</x:v>
      </x:c>
      <x:c r="N19" s="34" t="str">
        <x:v>8b3eab7a458105f79edbbcdf72ca6cd4f7d0bb6ba737ed58e05821db7c3517a5</x:v>
      </x:c>
      <x:c r="O19" s="43" t="n">
        <x:v>10000</x:v>
      </x:c>
      <x:c r="P19" s="43" t="n">
        <x:v>400000</x:v>
      </x:c>
      <x:c r="Q19" s="36" t="n">
        <x:v>8</x:v>
      </x:c>
      <x:c r="R19" s="42" t="n">
        <x:v>95</x:v>
      </x:c>
      <x:c r="S19" s="43" t="n">
        <x:v>512</x:v>
      </x:c>
      <x:c r="T19" s="43" t="n">
        <x:v>50000</x:v>
      </x:c>
      <x:c r="U19" s="46" t="n">
        <x:v>3</x:v>
      </x:c>
      <x:c r="V19" s="46" t="n">
        <x:v>5</x:v>
      </x:c>
      <x:c r="W19" s="43" t="n">
        <x:v>300</x:v>
      </x:c>
      <x:c r="X19" s="34" t="str">
        <x:v>uniform</x:v>
      </x:c>
      <x:c r="Y19" s="42" t="n">
        <x:v>10</x:v>
      </x:c>
      <x:c r="Z19" s="34" t="str">
        <x:v>strict</x:v>
      </x:c>
      <x:c r="AA19" s="36" t="n">
        <x:v>64</x:v>
      </x:c>
      <x:c r="AB19" s="43" t="n">
        <x:v>76862976</x:v>
      </x:c>
      <x:c r="AC19" s="43" t="n">
        <x:v>3000603414</x:v>
      </x:c>
      <x:c r="AD19" s="43" t="n">
        <x:v>603414</x:v>
      </x:c>
      <x:c r="AE19" s="43" t="n">
        <x:v>1739525.5339734554</x:v>
      </x:c>
      <x:c r="AF19" s="43" t="n">
        <x:v>26636565.198330842</x:v>
      </x:c>
      <x:c r="AG19" s="43" t="n">
        <x:v>133260288</x:v>
      </x:c>
      <x:c r="AH19" s="43" t="n">
        <x:v>5002908108</x:v>
      </x:c>
      <x:c r="AI19" s="43" t="n">
        <x:v>2908108</x:v>
      </x:c>
      <x:c r="AJ19" s="43" t="n">
        <x:v>26636565.198330842</x:v>
      </x:c>
      <x:c r="AK19" s="43" t="n">
        <x:v>133260288</x:v>
      </x:c>
      <x:c r="AL19" s="43" t="n">
        <x:v>0</x:v>
      </x:c>
      <x:c r="AM19" s="43" t="n">
        <x:v>383444.16914857295</x:v>
      </x:c>
      <x:c r="AN19" s="43" t="n">
        <x:v>161</x:v>
      </x:c>
      <x:c r="AO19" s="43" t="n">
        <x:v>261</x:v>
      </x:c>
      <x:c r="AP19" s="43" t="n">
        <x:v>451</x:v>
      </x:c>
      <x:c r="AQ19" s="43" t="n">
        <x:v>2082192</x:v>
      </x:c>
      <x:c r="AR19" s="43" t="n">
        <x:v>1</x:v>
      </x:c>
      <x:c r="AS19" s="45" t="b">
        <x:v>1</x:v>
      </x:c>
      <x:c r="AT19" s="43" t="n">
        <x:v>10000</x:v>
      </x:c>
      <x:c r="AU19" s="48" t="n">
        <x:v>0.9499753820132821</x:v>
      </x:c>
      <x:c r="AV19" s="43" t="n">
        <x:v>10000</x:v>
      </x:c>
      <x:c r="AW19" s="48" t="n">
        <x:v>0.9499753820132821</x:v>
      </x:c>
      <x:c r="AX19" s="45" t="b">
        <x:v>1</x:v>
      </x:c>
      <x:c r="AY19" s="44" t="str">
        <x:v>{"provider":"ehcache","currentEntries":10000,"requestCount":133260288,"hitCount":126593993,"missCount":6666295,"hitRate":0.9499753820132821,"loadSuccessCount":0,"loadFailureCount":0,"totalLoadTimeNanos":0,"evictionCount":-1,"expirationCount":-1,"putCount":10000,"removeCount":0,"nativeMetrics":{"mappings":10000}}</x:v>
      </x:c>
      <x:c r="AZ19" s="44" t="str">
        <x:v>{"provider":"ehcache","currentEntries":10000,"requestCount":133260288,"hitCount":126593993,"missCount":6666295,"hitRate":0.9499753820132821,"loadSuccessCount":0,"loadFailureCount":0,"totalLoadTimeNanos":0,"evictionCount":-1,"expirationCount":-1,"putCount":15000,"removeCount":0,"nativeMetrics":{"mappings":10000}}</x:v>
      </x:c>
      <x:c r="BA19" s="43" t="n">
        <x:v>10000</x:v>
      </x:c>
      <x:c r="BB19" s="43" t="n">
        <x:v>133260288</x:v>
      </x:c>
      <x:c r="BC19" s="43" t="n">
        <x:v>126593993</x:v>
      </x:c>
      <x:c r="BD19" s="43" t="n">
        <x:v>6666295</x:v>
      </x:c>
      <x:c r="BE19" s="48" t="n">
        <x:v>0.9499753820132821</x:v>
      </x:c>
      <x:c r="BF19" s="43" t="n">
        <x:v>0</x:v>
      </x:c>
      <x:c r="BG19" s="43" t="n">
        <x:v>0</x:v>
      </x:c>
      <x:c r="BH19" s="43" t="n">
        <x:v>0</x:v>
      </x:c>
      <x:c r="BI19" s="43" t="n">
        <x:v>-1</x:v>
      </x:c>
      <x:c r="BJ19" s="43" t="n">
        <x:v>-1</x:v>
      </x:c>
      <x:c r="BK19" s="43" t="n">
        <x:v>15000</x:v>
      </x:c>
      <x:c r="BL19" s="43" t="n">
        <x:v>0</x:v>
      </x:c>
      <x:c r="BM19" s="44" t="str">
        <x:v>{"mappings":10000}</x:v>
      </x:c>
    </x:row>
    <x:row r="20">
      <x:c r="A20" s="34" t="str">
        <x:v>article1-unified-v4-2-fb3f101b-20260903-000401-default-f01-p2-ehcache</x:v>
      </x:c>
      <x:c r="B20" s="34" t="str">
        <x:v>default</x:v>
      </x:c>
      <x:c r="C20" s="34" t="str">
        <x:v>ehcache</x:v>
      </x:c>
      <x:c r="D20" s="34" t="str">
        <x:v>ehcache</x:v>
      </x:c>
      <x:c r="E20" s="34" t="str">
        <x:v>current-provider-primary-comparison</x:v>
      </x:c>
      <x:c r="F20" s="36" t="n">
        <x:v>1</x:v>
      </x:c>
      <x:c r="G20" s="36" t="n">
        <x:v>1</x:v>
      </x:c>
      <x:c r="H20" s="36" t="n">
        <x:v>2</x:v>
      </x:c>
      <x:c r="I20" s="36" t="n">
        <x:v>5</x:v>
      </x:c>
      <x:c r="J20" s="34" t="str">
        <x:v>initial</x:v>
      </x:c>
      <x:c r="K20" s="34" t="str">
        <x:v>cache-semantics</x:v>
      </x:c>
      <x:c r="L20" s="45" t="b">
        <x:v>1</x:v>
      </x:c>
      <x:c r="M20" s="36" t="n">
        <x:v>990445241</x:v>
      </x:c>
      <x:c r="N20" s="34" t="str">
        <x:v>c8c0b067bf711230321b1ae1f036e3e36ec57e928c071e76bd188cc45e5bf206</x:v>
      </x:c>
      <x:c r="O20" s="43" t="n">
        <x:v>10000</x:v>
      </x:c>
      <x:c r="P20" s="43" t="n">
        <x:v>400000</x:v>
      </x:c>
      <x:c r="Q20" s="36" t="n">
        <x:v>8</x:v>
      </x:c>
      <x:c r="R20" s="42" t="n">
        <x:v>95</x:v>
      </x:c>
      <x:c r="S20" s="43" t="n">
        <x:v>512</x:v>
      </x:c>
      <x:c r="T20" s="43" t="n">
        <x:v>50000</x:v>
      </x:c>
      <x:c r="U20" s="46" t="n">
        <x:v>3</x:v>
      </x:c>
      <x:c r="V20" s="46" t="n">
        <x:v>5</x:v>
      </x:c>
      <x:c r="W20" s="43" t="n">
        <x:v>300</x:v>
      </x:c>
      <x:c r="X20" s="34" t="str">
        <x:v>uniform</x:v>
      </x:c>
      <x:c r="Y20" s="42" t="n">
        <x:v>10</x:v>
      </x:c>
      <x:c r="Z20" s="34" t="str">
        <x:v>strict</x:v>
      </x:c>
      <x:c r="AA20" s="36" t="n">
        <x:v>64</x:v>
      </x:c>
      <x:c r="AB20" s="43" t="n">
        <x:v>60185856</x:v>
      </x:c>
      <x:c r="AC20" s="43" t="n">
        <x:v>3022420637</x:v>
      </x:c>
      <x:c r="AD20" s="43" t="n">
        <x:v>22420637</x:v>
      </x:c>
      <x:c r="AE20" s="43" t="n">
        <x:v>1885760.97715608</x:v>
      </x:c>
      <x:c r="AF20" s="43" t="n">
        <x:v>22529862.983907975</x:v>
      </x:c>
      <x:c r="AG20" s="43" t="n">
        <x:v>112688384</x:v>
      </x:c>
      <x:c r="AH20" s="43" t="n">
        <x:v>5001734102</x:v>
      </x:c>
      <x:c r="AI20" s="43" t="n">
        <x:v>1734102</x:v>
      </x:c>
      <x:c r="AJ20" s="43" t="n">
        <x:v>22529862.983907975</x:v>
      </x:c>
      <x:c r="AK20" s="43" t="n">
        <x:v>112688384</x:v>
      </x:c>
      <x:c r="AL20" s="43" t="n">
        <x:v>0</x:v>
      </x:c>
      <x:c r="AM20" s="43" t="n">
        <x:v>293234.734522279</x:v>
      </x:c>
      <x:c r="AN20" s="43" t="n">
        <x:v>180</x:v>
      </x:c>
      <x:c r="AO20" s="43" t="n">
        <x:v>330</x:v>
      </x:c>
      <x:c r="AP20" s="43" t="n">
        <x:v>571</x:v>
      </x:c>
      <x:c r="AQ20" s="43" t="n">
        <x:v>1760756</x:v>
      </x:c>
      <x:c r="AR20" s="43" t="n">
        <x:v>1</x:v>
      </x:c>
      <x:c r="AS20" s="45" t="b">
        <x:v>1</x:v>
      </x:c>
      <x:c r="AT20" s="43" t="n">
        <x:v>10000</x:v>
      </x:c>
      <x:c r="AU20" s="48" t="n">
        <x:v>0.950501588522203</x:v>
      </x:c>
      <x:c r="AV20" s="43" t="n">
        <x:v>10000</x:v>
      </x:c>
      <x:c r="AW20" s="48" t="n">
        <x:v>0.950501588522203</x:v>
      </x:c>
      <x:c r="AX20" s="45" t="b">
        <x:v>1</x:v>
      </x:c>
      <x:c r="AY20" s="44" t="str">
        <x:v>{"provider":"ehcache","currentEntries":10000,"requestCount":112688384,"hitCount":107110488,"missCount":5577896,"hitRate":0.950501588522203,"loadSuccessCount":0,"loadFailureCount":0,"totalLoadTimeNanos":0,"evictionCount":-1,"expirationCount":-1,"putCount":10000,"removeCount":0,"nativeMetrics":{"mappings":10000}}</x:v>
      </x:c>
      <x:c r="AZ20" s="44" t="str">
        <x:v>{"provider":"ehcache","currentEntries":10000,"requestCount":112688384,"hitCount":107110488,"missCount":5577896,"hitRate":0.950501588522203,"loadSuccessCount":0,"loadFailureCount":0,"totalLoadTimeNanos":0,"evictionCount":-1,"expirationCount":-1,"putCount":15000,"removeCount":0,"nativeMetrics":{"mappings":10000}}</x:v>
      </x:c>
      <x:c r="BA20" s="43" t="n">
        <x:v>10000</x:v>
      </x:c>
      <x:c r="BB20" s="43" t="n">
        <x:v>112688384</x:v>
      </x:c>
      <x:c r="BC20" s="43" t="n">
        <x:v>107110488</x:v>
      </x:c>
      <x:c r="BD20" s="43" t="n">
        <x:v>5577896</x:v>
      </x:c>
      <x:c r="BE20" s="48" t="n">
        <x:v>0.950501588522203</x:v>
      </x:c>
      <x:c r="BF20" s="43" t="n">
        <x:v>0</x:v>
      </x:c>
      <x:c r="BG20" s="43" t="n">
        <x:v>0</x:v>
      </x:c>
      <x:c r="BH20" s="43" t="n">
        <x:v>0</x:v>
      </x:c>
      <x:c r="BI20" s="43" t="n">
        <x:v>-1</x:v>
      </x:c>
      <x:c r="BJ20" s="43" t="n">
        <x:v>-1</x:v>
      </x:c>
      <x:c r="BK20" s="43" t="n">
        <x:v>15000</x:v>
      </x:c>
      <x:c r="BL20" s="43" t="n">
        <x:v>0</x:v>
      </x:c>
      <x:c r="BM20" s="44" t="str">
        <x:v>{"mappings":10000}</x:v>
      </x:c>
    </x:row>
    <x:row r="21">
      <x:c r="A21" s="34" t="str">
        <x:v>article1-unified-v4-2-fb3f101b-20260903-000401-default-f01-p2-ehcache</x:v>
      </x:c>
      <x:c r="B21" s="34" t="str">
        <x:v>default</x:v>
      </x:c>
      <x:c r="C21" s="34" t="str">
        <x:v>ehcache</x:v>
      </x:c>
      <x:c r="D21" s="34" t="str">
        <x:v>ehcache</x:v>
      </x:c>
      <x:c r="E21" s="34" t="str">
        <x:v>current-provider-primary-comparison</x:v>
      </x:c>
      <x:c r="F21" s="36" t="n">
        <x:v>1</x:v>
      </x:c>
      <x:c r="G21" s="36" t="n">
        <x:v>1</x:v>
      </x:c>
      <x:c r="H21" s="36" t="n">
        <x:v>2</x:v>
      </x:c>
      <x:c r="I21" s="36" t="n">
        <x:v>5</x:v>
      </x:c>
      <x:c r="J21" s="34" t="str">
        <x:v>redeploy</x:v>
      </x:c>
      <x:c r="K21" s="34" t="str">
        <x:v>cache-semantics</x:v>
      </x:c>
      <x:c r="L21" s="45" t="b">
        <x:v>1</x:v>
      </x:c>
      <x:c r="M21" s="36" t="n">
        <x:v>990445241</x:v>
      </x:c>
      <x:c r="N21" s="34" t="str">
        <x:v>c8c0b067bf711230321b1ae1f036e3e36ec57e928c071e76bd188cc45e5bf206</x:v>
      </x:c>
      <x:c r="O21" s="43" t="n">
        <x:v>10000</x:v>
      </x:c>
      <x:c r="P21" s="43" t="n">
        <x:v>400000</x:v>
      </x:c>
      <x:c r="Q21" s="36" t="n">
        <x:v>8</x:v>
      </x:c>
      <x:c r="R21" s="42" t="n">
        <x:v>95</x:v>
      </x:c>
      <x:c r="S21" s="43" t="n">
        <x:v>512</x:v>
      </x:c>
      <x:c r="T21" s="43" t="n">
        <x:v>50000</x:v>
      </x:c>
      <x:c r="U21" s="46" t="n">
        <x:v>3</x:v>
      </x:c>
      <x:c r="V21" s="46" t="n">
        <x:v>5</x:v>
      </x:c>
      <x:c r="W21" s="43" t="n">
        <x:v>300</x:v>
      </x:c>
      <x:c r="X21" s="34" t="str">
        <x:v>uniform</x:v>
      </x:c>
      <x:c r="Y21" s="42" t="n">
        <x:v>10</x:v>
      </x:c>
      <x:c r="Z21" s="34" t="str">
        <x:v>strict</x:v>
      </x:c>
      <x:c r="AA21" s="36" t="n">
        <x:v>64</x:v>
      </x:c>
      <x:c r="AB21" s="43" t="n">
        <x:v>72412672</x:v>
      </x:c>
      <x:c r="AC21" s="43" t="n">
        <x:v>3002281538</x:v>
      </x:c>
      <x:c r="AD21" s="43" t="n">
        <x:v>2281538</x:v>
      </x:c>
      <x:c r="AE21" s="43" t="n">
        <x:v>2028773.691511976</x:v>
      </x:c>
      <x:c r="AF21" s="43" t="n">
        <x:v>26001197.267081887</x:v>
      </x:c>
      <x:c r="AG21" s="43" t="n">
        <x:v>130064896</x:v>
      </x:c>
      <x:c r="AH21" s="43" t="n">
        <x:v>5002265652</x:v>
      </x:c>
      <x:c r="AI21" s="43" t="n">
        <x:v>2265652</x:v>
      </x:c>
      <x:c r="AJ21" s="43" t="n">
        <x:v>26001197.267081887</x:v>
      </x:c>
      <x:c r="AK21" s="43" t="n">
        <x:v>130064896</x:v>
      </x:c>
      <x:c r="AL21" s="43" t="n">
        <x:v>0</x:v>
      </x:c>
      <x:c r="AM21" s="43" t="n">
        <x:v>340483.20832151856</x:v>
      </x:c>
      <x:c r="AN21" s="43" t="n">
        <x:v>161</x:v>
      </x:c>
      <x:c r="AO21" s="43" t="n">
        <x:v>281</x:v>
      </x:c>
      <x:c r="AP21" s="43" t="n">
        <x:v>501</x:v>
      </x:c>
      <x:c r="AQ21" s="43" t="n">
        <x:v>2032264</x:v>
      </x:c>
      <x:c r="AR21" s="43" t="n">
        <x:v>1</x:v>
      </x:c>
      <x:c r="AS21" s="45" t="b">
        <x:v>1</x:v>
      </x:c>
      <x:c r="AT21" s="43" t="n">
        <x:v>10000</x:v>
      </x:c>
      <x:c r="AU21" s="48" t="n">
        <x:v>0.9504923834329595</x:v>
      </x:c>
      <x:c r="AV21" s="43" t="n">
        <x:v>10000</x:v>
      </x:c>
      <x:c r="AW21" s="48" t="n">
        <x:v>0.9504923834329595</x:v>
      </x:c>
      <x:c r="AX21" s="45" t="b">
        <x:v>1</x:v>
      </x:c>
      <x:c r="AY21" s="44" t="str">
        <x:v>{"provider":"ehcache","currentEntries":10000,"requestCount":130064896,"hitCount":123625693,"missCount":6439203,"hitRate":0.9504923834329595,"loadSuccessCount":0,"loadFailureCount":0,"totalLoadTimeNanos":0,"evictionCount":-1,"expirationCount":-1,"putCount":10000,"removeCount":0,"nativeMetrics":{"mappings":10000}}</x:v>
      </x:c>
      <x:c r="AZ21" s="44" t="str">
        <x:v>{"provider":"ehcache","currentEntries":10000,"requestCount":130064896,"hitCount":123625693,"missCount":6439203,"hitRate":0.9504923834329595,"loadSuccessCount":0,"loadFailureCount":0,"totalLoadTimeNanos":0,"evictionCount":-1,"expirationCount":-1,"putCount":15000,"removeCount":0,"nativeMetrics":{"mappings":10000}}</x:v>
      </x:c>
      <x:c r="BA21" s="43" t="n">
        <x:v>10000</x:v>
      </x:c>
      <x:c r="BB21" s="43" t="n">
        <x:v>130064896</x:v>
      </x:c>
      <x:c r="BC21" s="43" t="n">
        <x:v>123625693</x:v>
      </x:c>
      <x:c r="BD21" s="43" t="n">
        <x:v>6439203</x:v>
      </x:c>
      <x:c r="BE21" s="48" t="n">
        <x:v>0.9504923834329595</x:v>
      </x:c>
      <x:c r="BF21" s="43" t="n">
        <x:v>0</x:v>
      </x:c>
      <x:c r="BG21" s="43" t="n">
        <x:v>0</x:v>
      </x:c>
      <x:c r="BH21" s="43" t="n">
        <x:v>0</x:v>
      </x:c>
      <x:c r="BI21" s="43" t="n">
        <x:v>-1</x:v>
      </x:c>
      <x:c r="BJ21" s="43" t="n">
        <x:v>-1</x:v>
      </x:c>
      <x:c r="BK21" s="43" t="n">
        <x:v>15000</x:v>
      </x:c>
      <x:c r="BL21" s="43" t="n">
        <x:v>0</x:v>
      </x:c>
      <x:c r="BM21" s="44" t="str">
        <x:v>{"mappings":10000}</x:v>
      </x:c>
    </x:row>
    <x:row r="22">
      <x:c r="A22" s="34" t="str">
        <x:v>article1-unified-v4-2-fb3f101b-20260903-000401-default-f01-p3-nostore</x:v>
      </x:c>
      <x:c r="B22" s="34" t="str">
        <x:v>default</x:v>
      </x:c>
      <x:c r="C22" s="34" t="str">
        <x:v>nostore</x:v>
      </x:c>
      <x:c r="D22" s="34" t="str">
        <x:v>nostore</x:v>
      </x:c>
      <x:c r="E22" s="34" t="str">
        <x:v>lifecycle-negative-control</x:v>
      </x:c>
      <x:c r="F22" s="36" t="n">
        <x:v>1</x:v>
      </x:c>
      <x:c r="G22" s="36" t="n">
        <x:v>1</x:v>
      </x:c>
      <x:c r="H22" s="36" t="n">
        <x:v>3</x:v>
      </x:c>
      <x:c r="I22" s="36" t="n">
        <x:v>1</x:v>
      </x:c>
      <x:c r="J22" s="34" t="str">
        <x:v>initial</x:v>
      </x:c>
      <x:c r="K22" s="34" t="str">
        <x:v>no-store-control</x:v>
      </x:c>
      <x:c r="L22" s="45" t="b">
        <x:v>0</x:v>
      </x:c>
      <x:c r="M22" s="36" t="n">
        <x:v>106301548</x:v>
      </x:c>
      <x:c r="N22" s="34" t="str">
        <x:v>fa65b2a625504511da06f56a3e8d6510b1104618fae5e2432265db137bc093a0</x:v>
      </x:c>
      <x:c r="O22" s="43" t="n">
        <x:v>10000</x:v>
      </x:c>
      <x:c r="P22" s="43" t="n">
        <x:v>400000</x:v>
      </x:c>
      <x:c r="Q22" s="36" t="n">
        <x:v>8</x:v>
      </x:c>
      <x:c r="R22" s="42" t="n">
        <x:v>95</x:v>
      </x:c>
      <x:c r="S22" s="43" t="n">
        <x:v>512</x:v>
      </x:c>
      <x:c r="T22" s="43" t="n">
        <x:v>50000</x:v>
      </x:c>
      <x:c r="U22" s="46" t="n">
        <x:v>3</x:v>
      </x:c>
      <x:c r="V22" s="46" t="n">
        <x:v>5</x:v>
      </x:c>
      <x:c r="W22" s="43" t="n">
        <x:v>300</x:v>
      </x:c>
      <x:c r="X22" s="34" t="str">
        <x:v>uniform</x:v>
      </x:c>
      <x:c r="Y22" s="42" t="n">
        <x:v>10</x:v>
      </x:c>
      <x:c r="Z22" s="34" t="str">
        <x:v>strict</x:v>
      </x:c>
      <x:c r="AA22" s="36" t="n">
        <x:v>64</x:v>
      </x:c>
      <x:c r="AB22" s="43" t="n">
        <x:v>358787072</x:v>
      </x:c>
      <x:c r="AC22" s="43" t="n">
        <x:v>3000629204</x:v>
      </x:c>
      <x:c r="AD22" s="43" t="n">
        <x:v>629204</x:v>
      </x:c>
      <x:c r="AE22" s="43" t="n">
        <x:v>12063322.794010319</x:v>
      </x:c>
      <x:c r="AF22" s="43" t="n">
        <x:v>102716556.75041923</x:v>
      </x:c>
      <x:c r="AG22" s="43" t="n">
        <x:v>516009984</x:v>
      </x:c>
      <x:c r="AH22" s="43" t="n">
        <x:v>5023630078</x:v>
      </x:c>
      <x:c r="AI22" s="43" t="n">
        <x:v>23630078</x:v>
      </x:c>
      <x:c r="AJ22" s="43" t="n">
        <x:v>102716556.75041923</x:v>
      </x:c>
      <x:c r="AK22" s="43" t="n">
        <x:v>516009984</x:v>
      </x:c>
      <x:c r="AL22" s="43" t="n">
        <x:v>0</x:v>
      </x:c>
      <x:c r="AM22" s="43" t="n">
        <x:v>20382040.97605518</x:v>
      </x:c>
      <x:c r="AN22" s="43" t="n">
        <x:v>40</x:v>
      </x:c>
      <x:c r="AO22" s="43" t="n">
        <x:v>170</x:v>
      </x:c>
      <x:c r="AP22" s="43" t="n">
        <x:v>290</x:v>
      </x:c>
      <x:c r="AQ22" s="43" t="n">
        <x:v>8062656</x:v>
      </x:c>
      <x:c r="AR22" s="43" t="n">
        <x:v>16</x:v>
      </x:c>
      <x:c r="AS22" s="45" t="b">
        <x:v>0</x:v>
      </x:c>
      <x:c r="AT22" s="43" t="n">
        <x:v>0</x:v>
      </x:c>
      <x:c r="AU22" s="48" t="n">
        <x:v>0</x:v>
      </x:c>
      <x:c r="AV22" s="43" t="n">
        <x:v>0</x:v>
      </x:c>
      <x:c r="AW22" s="48" t="n">
        <x:v>0</x:v>
      </x:c>
      <x:c r="AX22" s="45" t="b">
        <x:v>1</x:v>
      </x:c>
      <x:c r="AY22" s="44" t="str">
        <x:v>{"provider":"nostore","currentEntries":0,"requestCount":516009984,"hitCount":0,"missCount":516009984,"hitRate":0,"loadSuccessCount":0,"loadFailureCount":0,"totalLoadTimeNanos":0,"evictionCount":0,"expirationCount":0,"putCount":10000,"removeCount":0,"nativeMetrics":{"storageEnabled":0}}</x:v>
      </x:c>
      <x:c r="AZ22" s="44" t="str">
        <x:v>{"provider":"nostore","currentEntries":0,"requestCount":516009984,"hitCount":0,"missCount":516009984,"hitRate":0,"loadSuccessCount":0,"loadFailureCount":0,"totalLoadTimeNanos":0,"evictionCount":0,"expirationCount":0,"putCount":15000,"removeCount":0,"nativeMetrics":{"storageEnabled":0}}</x:v>
      </x:c>
      <x:c r="BA22" s="43" t="n">
        <x:v>0</x:v>
      </x:c>
      <x:c r="BB22" s="43" t="n">
        <x:v>516009984</x:v>
      </x:c>
      <x:c r="BC22" s="43" t="n">
        <x:v>0</x:v>
      </x:c>
      <x:c r="BD22" s="43" t="n">
        <x:v>516009984</x:v>
      </x:c>
      <x:c r="BE22" s="48" t="n">
        <x:v>0</x:v>
      </x:c>
      <x:c r="BF22" s="43" t="n">
        <x:v>0</x:v>
      </x:c>
      <x:c r="BG22" s="43" t="n">
        <x:v>0</x:v>
      </x:c>
      <x:c r="BH22" s="43" t="n">
        <x:v>0</x:v>
      </x:c>
      <x:c r="BI22" s="43" t="n">
        <x:v>0</x:v>
      </x:c>
      <x:c r="BJ22" s="43" t="n">
        <x:v>0</x:v>
      </x:c>
      <x:c r="BK22" s="43" t="n">
        <x:v>15000</x:v>
      </x:c>
      <x:c r="BL22" s="43" t="n">
        <x:v>0</x:v>
      </x:c>
      <x:c r="BM22" s="44" t="str">
        <x:v>{"storageEnabled":0}</x:v>
      </x:c>
    </x:row>
    <x:row r="23">
      <x:c r="A23" s="34" t="str">
        <x:v>article1-unified-v4-2-fb3f101b-20260903-000401-default-f01-p3-nostore</x:v>
      </x:c>
      <x:c r="B23" s="34" t="str">
        <x:v>default</x:v>
      </x:c>
      <x:c r="C23" s="34" t="str">
        <x:v>nostore</x:v>
      </x:c>
      <x:c r="D23" s="34" t="str">
        <x:v>nostore</x:v>
      </x:c>
      <x:c r="E23" s="34" t="str">
        <x:v>lifecycle-negative-control</x:v>
      </x:c>
      <x:c r="F23" s="36" t="n">
        <x:v>1</x:v>
      </x:c>
      <x:c r="G23" s="36" t="n">
        <x:v>1</x:v>
      </x:c>
      <x:c r="H23" s="36" t="n">
        <x:v>3</x:v>
      </x:c>
      <x:c r="I23" s="36" t="n">
        <x:v>1</x:v>
      </x:c>
      <x:c r="J23" s="34" t="str">
        <x:v>redeploy</x:v>
      </x:c>
      <x:c r="K23" s="34" t="str">
        <x:v>no-store-control</x:v>
      </x:c>
      <x:c r="L23" s="45" t="b">
        <x:v>0</x:v>
      </x:c>
      <x:c r="M23" s="36" t="n">
        <x:v>106301548</x:v>
      </x:c>
      <x:c r="N23" s="34" t="str">
        <x:v>fa65b2a625504511da06f56a3e8d6510b1104618fae5e2432265db137bc093a0</x:v>
      </x:c>
      <x:c r="O23" s="43" t="n">
        <x:v>10000</x:v>
      </x:c>
      <x:c r="P23" s="43" t="n">
        <x:v>400000</x:v>
      </x:c>
      <x:c r="Q23" s="36" t="n">
        <x:v>8</x:v>
      </x:c>
      <x:c r="R23" s="42" t="n">
        <x:v>95</x:v>
      </x:c>
      <x:c r="S23" s="43" t="n">
        <x:v>512</x:v>
      </x:c>
      <x:c r="T23" s="43" t="n">
        <x:v>50000</x:v>
      </x:c>
      <x:c r="U23" s="46" t="n">
        <x:v>3</x:v>
      </x:c>
      <x:c r="V23" s="46" t="n">
        <x:v>5</x:v>
      </x:c>
      <x:c r="W23" s="43" t="n">
        <x:v>300</x:v>
      </x:c>
      <x:c r="X23" s="34" t="str">
        <x:v>uniform</x:v>
      </x:c>
      <x:c r="Y23" s="42" t="n">
        <x:v>10</x:v>
      </x:c>
      <x:c r="Z23" s="34" t="str">
        <x:v>strict</x:v>
      </x:c>
      <x:c r="AA23" s="36" t="n">
        <x:v>64</x:v>
      </x:c>
      <x:c r="AB23" s="43" t="n">
        <x:v>337632512</x:v>
      </x:c>
      <x:c r="AC23" s="43" t="n">
        <x:v>3022486115</x:v>
      </x:c>
      <x:c r="AD23" s="43" t="n">
        <x:v>22486115</x:v>
      </x:c>
      <x:c r="AE23" s="43" t="n">
        <x:v>10937747.808348782</x:v>
      </x:c>
      <x:c r="AF23" s="43" t="n">
        <x:v>97905760.49469715</x:v>
      </x:c>
      <x:c r="AG23" s="43" t="n">
        <x:v>490322944</x:v>
      </x:c>
      <x:c r="AH23" s="43" t="n">
        <x:v>5008111285</x:v>
      </x:c>
      <x:c r="AI23" s="43" t="n">
        <x:v>8111285</x:v>
      </x:c>
      <x:c r="AJ23" s="43" t="n">
        <x:v>97905760.49469715</x:v>
      </x:c>
      <x:c r="AK23" s="43" t="n">
        <x:v>490322944</x:v>
      </x:c>
      <x:c r="AL23" s="43" t="n">
        <x:v>0</x:v>
      </x:c>
      <x:c r="AM23" s="43" t="n">
        <x:v>20162265.916092712</x:v>
      </x:c>
      <x:c r="AN23" s="43" t="n">
        <x:v>40</x:v>
      </x:c>
      <x:c r="AO23" s="43" t="n">
        <x:v>170</x:v>
      </x:c>
      <x:c r="AP23" s="43" t="n">
        <x:v>301</x:v>
      </x:c>
      <x:c r="AQ23" s="43" t="n">
        <x:v>7661296</x:v>
      </x:c>
      <x:c r="AR23" s="43" t="n">
        <x:v>16</x:v>
      </x:c>
      <x:c r="AS23" s="45" t="b">
        <x:v>0</x:v>
      </x:c>
      <x:c r="AT23" s="43" t="n">
        <x:v>0</x:v>
      </x:c>
      <x:c r="AU23" s="48" t="n">
        <x:v>0</x:v>
      </x:c>
      <x:c r="AV23" s="43" t="n">
        <x:v>0</x:v>
      </x:c>
      <x:c r="AW23" s="48" t="n">
        <x:v>0</x:v>
      </x:c>
      <x:c r="AX23" s="45" t="b">
        <x:v>1</x:v>
      </x:c>
      <x:c r="AY23" s="44" t="str">
        <x:v>{"provider":"nostore","currentEntries":0,"requestCount":490322944,"hitCount":0,"missCount":490322944,"hitRate":0,"loadSuccessCount":0,"loadFailureCount":0,"totalLoadTimeNanos":0,"evictionCount":0,"expirationCount":0,"putCount":10000,"removeCount":0,"nativeMetrics":{"storageEnabled":0}}</x:v>
      </x:c>
      <x:c r="AZ23" s="44" t="str">
        <x:v>{"provider":"nostore","currentEntries":0,"requestCount":490322944,"hitCount":0,"missCount":490322944,"hitRate":0,"loadSuccessCount":0,"loadFailureCount":0,"totalLoadTimeNanos":0,"evictionCount":0,"expirationCount":0,"putCount":15000,"removeCount":0,"nativeMetrics":{"storageEnabled":0}}</x:v>
      </x:c>
      <x:c r="BA23" s="43" t="n">
        <x:v>0</x:v>
      </x:c>
      <x:c r="BB23" s="43" t="n">
        <x:v>490322944</x:v>
      </x:c>
      <x:c r="BC23" s="43" t="n">
        <x:v>0</x:v>
      </x:c>
      <x:c r="BD23" s="43" t="n">
        <x:v>490322944</x:v>
      </x:c>
      <x:c r="BE23" s="48" t="n">
        <x:v>0</x:v>
      </x:c>
      <x:c r="BF23" s="43" t="n">
        <x:v>0</x:v>
      </x:c>
      <x:c r="BG23" s="43" t="n">
        <x:v>0</x:v>
      </x:c>
      <x:c r="BH23" s="43" t="n">
        <x:v>0</x:v>
      </x:c>
      <x:c r="BI23" s="43" t="n">
        <x:v>0</x:v>
      </x:c>
      <x:c r="BJ23" s="43" t="n">
        <x:v>0</x:v>
      </x:c>
      <x:c r="BK23" s="43" t="n">
        <x:v>15000</x:v>
      </x:c>
      <x:c r="BL23" s="43" t="n">
        <x:v>0</x:v>
      </x:c>
      <x:c r="BM23" s="44" t="str">
        <x:v>{"storageEnabled":0}</x:v>
      </x:c>
    </x:row>
    <x:row r="24">
      <x:c r="A24" s="34" t="str">
        <x:v>article1-unified-v4-2-fb3f101b-20260903-000401-default-f01-p3-nostore</x:v>
      </x:c>
      <x:c r="B24" s="34" t="str">
        <x:v>default</x:v>
      </x:c>
      <x:c r="C24" s="34" t="str">
        <x:v>nostore</x:v>
      </x:c>
      <x:c r="D24" s="34" t="str">
        <x:v>nostore</x:v>
      </x:c>
      <x:c r="E24" s="34" t="str">
        <x:v>lifecycle-negative-control</x:v>
      </x:c>
      <x:c r="F24" s="36" t="n">
        <x:v>1</x:v>
      </x:c>
      <x:c r="G24" s="36" t="n">
        <x:v>1</x:v>
      </x:c>
      <x:c r="H24" s="36" t="n">
        <x:v>3</x:v>
      </x:c>
      <x:c r="I24" s="36" t="n">
        <x:v>2</x:v>
      </x:c>
      <x:c r="J24" s="34" t="str">
        <x:v>initial</x:v>
      </x:c>
      <x:c r="K24" s="34" t="str">
        <x:v>no-store-control</x:v>
      </x:c>
      <x:c r="L24" s="45" t="b">
        <x:v>0</x:v>
      </x:c>
      <x:c r="M24" s="36" t="n">
        <x:v>309808933</x:v>
      </x:c>
      <x:c r="N24" s="34" t="str">
        <x:v>b0f93ea0f1c077db50e7c1bad3e775d71788ff94e4a876cc76b8b1613dc18177</x:v>
      </x:c>
      <x:c r="O24" s="43" t="n">
        <x:v>10000</x:v>
      </x:c>
      <x:c r="P24" s="43" t="n">
        <x:v>400000</x:v>
      </x:c>
      <x:c r="Q24" s="36" t="n">
        <x:v>8</x:v>
      </x:c>
      <x:c r="R24" s="42" t="n">
        <x:v>95</x:v>
      </x:c>
      <x:c r="S24" s="43" t="n">
        <x:v>512</x:v>
      </x:c>
      <x:c r="T24" s="43" t="n">
        <x:v>50000</x:v>
      </x:c>
      <x:c r="U24" s="46" t="n">
        <x:v>3</x:v>
      </x:c>
      <x:c r="V24" s="46" t="n">
        <x:v>5</x:v>
      </x:c>
      <x:c r="W24" s="43" t="n">
        <x:v>300</x:v>
      </x:c>
      <x:c r="X24" s="34" t="str">
        <x:v>uniform</x:v>
      </x:c>
      <x:c r="Y24" s="42" t="n">
        <x:v>10</x:v>
      </x:c>
      <x:c r="Z24" s="34" t="str">
        <x:v>strict</x:v>
      </x:c>
      <x:c r="AA24" s="36" t="n">
        <x:v>64</x:v>
      </x:c>
      <x:c r="AB24" s="43" t="n">
        <x:v>363866880</x:v>
      </x:c>
      <x:c r="AC24" s="43" t="n">
        <x:v>3002259761</x:v>
      </x:c>
      <x:c r="AD24" s="43" t="n">
        <x:v>2259761</x:v>
      </x:c>
      <x:c r="AE24" s="43" t="n">
        <x:v>16110115.863953294</x:v>
      </x:c>
      <x:c r="AF24" s="43" t="n">
        <x:v>95160338.11126383</x:v>
      </x:c>
      <x:c r="AG24" s="43" t="n">
        <x:v>476399360</x:v>
      </x:c>
      <x:c r="AH24" s="43" t="n">
        <x:v>5006280657</x:v>
      </x:c>
      <x:c r="AI24" s="43" t="n">
        <x:v>6280657</x:v>
      </x:c>
      <x:c r="AJ24" s="43" t="n">
        <x:v>95160338.11126383</x:v>
      </x:c>
      <x:c r="AK24" s="43" t="n">
        <x:v>476399360</x:v>
      </x:c>
      <x:c r="AL24" s="43" t="n">
        <x:v>0</x:v>
      </x:c>
      <x:c r="AM24" s="43" t="n">
        <x:v>16825725.86181368</x:v>
      </x:c>
      <x:c r="AN24" s="43" t="n">
        <x:v>40</x:v>
      </x:c>
      <x:c r="AO24" s="43" t="n">
        <x:v>180</x:v>
      </x:c>
      <x:c r="AP24" s="43" t="n">
        <x:v>311</x:v>
      </x:c>
      <x:c r="AQ24" s="43" t="n">
        <x:v>7443740</x:v>
      </x:c>
      <x:c r="AR24" s="43" t="n">
        <x:v>16</x:v>
      </x:c>
      <x:c r="AS24" s="45" t="b">
        <x:v>0</x:v>
      </x:c>
      <x:c r="AT24" s="43" t="n">
        <x:v>0</x:v>
      </x:c>
      <x:c r="AU24" s="48" t="n">
        <x:v>0</x:v>
      </x:c>
      <x:c r="AV24" s="43" t="n">
        <x:v>0</x:v>
      </x:c>
      <x:c r="AW24" s="48" t="n">
        <x:v>0</x:v>
      </x:c>
      <x:c r="AX24" s="45" t="b">
        <x:v>1</x:v>
      </x:c>
      <x:c r="AY24" s="44" t="str">
        <x:v>{"provider":"nostore","currentEntries":0,"requestCount":476399360,"hitCount":0,"missCount":476399360,"hitRate":0,"loadSuccessCount":0,"loadFailureCount":0,"totalLoadTimeNanos":0,"evictionCount":0,"expirationCount":0,"putCount":10000,"removeCount":0,"nativeMetrics":{"storageEnabled":0}}</x:v>
      </x:c>
      <x:c r="AZ24" s="44" t="str">
        <x:v>{"provider":"nostore","currentEntries":0,"requestCount":476399360,"hitCount":0,"missCount":476399360,"hitRate":0,"loadSuccessCount":0,"loadFailureCount":0,"totalLoadTimeNanos":0,"evictionCount":0,"expirationCount":0,"putCount":15000,"removeCount":0,"nativeMetrics":{"storageEnabled":0}}</x:v>
      </x:c>
      <x:c r="BA24" s="43" t="n">
        <x:v>0</x:v>
      </x:c>
      <x:c r="BB24" s="43" t="n">
        <x:v>476399360</x:v>
      </x:c>
      <x:c r="BC24" s="43" t="n">
        <x:v>0</x:v>
      </x:c>
      <x:c r="BD24" s="43" t="n">
        <x:v>476399360</x:v>
      </x:c>
      <x:c r="BE24" s="48" t="n">
        <x:v>0</x:v>
      </x:c>
      <x:c r="BF24" s="43" t="n">
        <x:v>0</x:v>
      </x:c>
      <x:c r="BG24" s="43" t="n">
        <x:v>0</x:v>
      </x:c>
      <x:c r="BH24" s="43" t="n">
        <x:v>0</x:v>
      </x:c>
      <x:c r="BI24" s="43" t="n">
        <x:v>0</x:v>
      </x:c>
      <x:c r="BJ24" s="43" t="n">
        <x:v>0</x:v>
      </x:c>
      <x:c r="BK24" s="43" t="n">
        <x:v>15000</x:v>
      </x:c>
      <x:c r="BL24" s="43" t="n">
        <x:v>0</x:v>
      </x:c>
      <x:c r="BM24" s="44" t="str">
        <x:v>{"storageEnabled":0}</x:v>
      </x:c>
    </x:row>
    <x:row r="25">
      <x:c r="A25" s="34" t="str">
        <x:v>article1-unified-v4-2-fb3f101b-20260903-000401-default-f01-p3-nostore</x:v>
      </x:c>
      <x:c r="B25" s="34" t="str">
        <x:v>default</x:v>
      </x:c>
      <x:c r="C25" s="34" t="str">
        <x:v>nostore</x:v>
      </x:c>
      <x:c r="D25" s="34" t="str">
        <x:v>nostore</x:v>
      </x:c>
      <x:c r="E25" s="34" t="str">
        <x:v>lifecycle-negative-control</x:v>
      </x:c>
      <x:c r="F25" s="36" t="n">
        <x:v>1</x:v>
      </x:c>
      <x:c r="G25" s="36" t="n">
        <x:v>1</x:v>
      </x:c>
      <x:c r="H25" s="36" t="n">
        <x:v>3</x:v>
      </x:c>
      <x:c r="I25" s="36" t="n">
        <x:v>2</x:v>
      </x:c>
      <x:c r="J25" s="34" t="str">
        <x:v>redeploy</x:v>
      </x:c>
      <x:c r="K25" s="34" t="str">
        <x:v>no-store-control</x:v>
      </x:c>
      <x:c r="L25" s="45" t="b">
        <x:v>0</x:v>
      </x:c>
      <x:c r="M25" s="36" t="n">
        <x:v>309808933</x:v>
      </x:c>
      <x:c r="N25" s="34" t="str">
        <x:v>b0f93ea0f1c077db50e7c1bad3e775d71788ff94e4a876cc76b8b1613dc18177</x:v>
      </x:c>
      <x:c r="O25" s="43" t="n">
        <x:v>10000</x:v>
      </x:c>
      <x:c r="P25" s="43" t="n">
        <x:v>400000</x:v>
      </x:c>
      <x:c r="Q25" s="36" t="n">
        <x:v>8</x:v>
      </x:c>
      <x:c r="R25" s="42" t="n">
        <x:v>95</x:v>
      </x:c>
      <x:c r="S25" s="43" t="n">
        <x:v>512</x:v>
      </x:c>
      <x:c r="T25" s="43" t="n">
        <x:v>50000</x:v>
      </x:c>
      <x:c r="U25" s="46" t="n">
        <x:v>3</x:v>
      </x:c>
      <x:c r="V25" s="46" t="n">
        <x:v>5</x:v>
      </x:c>
      <x:c r="W25" s="43" t="n">
        <x:v>300</x:v>
      </x:c>
      <x:c r="X25" s="34" t="str">
        <x:v>uniform</x:v>
      </x:c>
      <x:c r="Y25" s="42" t="n">
        <x:v>10</x:v>
      </x:c>
      <x:c r="Z25" s="34" t="str">
        <x:v>strict</x:v>
      </x:c>
      <x:c r="AA25" s="36" t="n">
        <x:v>64</x:v>
      </x:c>
      <x:c r="AB25" s="43" t="n">
        <x:v>353679360</x:v>
      </x:c>
      <x:c r="AC25" s="43" t="n">
        <x:v>3000691479</x:v>
      </x:c>
      <x:c r="AD25" s="43" t="n">
        <x:v>691479</x:v>
      </x:c>
      <x:c r="AE25" s="43" t="n">
        <x:v>13198932.99825642</x:v>
      </x:c>
      <x:c r="AF25" s="43" t="n">
        <x:v>102575747.49378376</x:v>
      </x:c>
      <x:c r="AG25" s="43" t="n">
        <x:v>514107136</x:v>
      </x:c>
      <x:c r="AH25" s="43" t="n">
        <x:v>5011975526</x:v>
      </x:c>
      <x:c r="AI25" s="43" t="n">
        <x:v>11975526</x:v>
      </x:c>
      <x:c r="AJ25" s="43" t="n">
        <x:v>102575747.49378376</x:v>
      </x:c>
      <x:c r="AK25" s="43" t="n">
        <x:v>514107136</x:v>
      </x:c>
      <x:c r="AL25" s="43" t="n">
        <x:v>0</x:v>
      </x:c>
      <x:c r="AM25" s="43" t="n">
        <x:v>17926865.559264425</x:v>
      </x:c>
      <x:c r="AN25" s="43" t="n">
        <x:v>40</x:v>
      </x:c>
      <x:c r="AO25" s="43" t="n">
        <x:v>170</x:v>
      </x:c>
      <x:c r="AP25" s="43" t="n">
        <x:v>291</x:v>
      </x:c>
      <x:c r="AQ25" s="43" t="n">
        <x:v>8032924</x:v>
      </x:c>
      <x:c r="AR25" s="43" t="n">
        <x:v>16</x:v>
      </x:c>
      <x:c r="AS25" s="45" t="b">
        <x:v>0</x:v>
      </x:c>
      <x:c r="AT25" s="43" t="n">
        <x:v>0</x:v>
      </x:c>
      <x:c r="AU25" s="48" t="n">
        <x:v>0</x:v>
      </x:c>
      <x:c r="AV25" s="43" t="n">
        <x:v>0</x:v>
      </x:c>
      <x:c r="AW25" s="48" t="n">
        <x:v>0</x:v>
      </x:c>
      <x:c r="AX25" s="45" t="b">
        <x:v>1</x:v>
      </x:c>
      <x:c r="AY25" s="44" t="str">
        <x:v>{"provider":"nostore","currentEntries":0,"requestCount":514107136,"hitCount":0,"missCount":514107136,"hitRate":0,"loadSuccessCount":0,"loadFailureCount":0,"totalLoadTimeNanos":0,"evictionCount":0,"expirationCount":0,"putCount":10000,"removeCount":0,"nativeMetrics":{"storageEnabled":0}}</x:v>
      </x:c>
      <x:c r="AZ25" s="44" t="str">
        <x:v>{"provider":"nostore","currentEntries":0,"requestCount":514107136,"hitCount":0,"missCount":514107136,"hitRate":0,"loadSuccessCount":0,"loadFailureCount":0,"totalLoadTimeNanos":0,"evictionCount":0,"expirationCount":0,"putCount":15000,"removeCount":0,"nativeMetrics":{"storageEnabled":0}}</x:v>
      </x:c>
      <x:c r="BA25" s="43" t="n">
        <x:v>0</x:v>
      </x:c>
      <x:c r="BB25" s="43" t="n">
        <x:v>514107136</x:v>
      </x:c>
      <x:c r="BC25" s="43" t="n">
        <x:v>0</x:v>
      </x:c>
      <x:c r="BD25" s="43" t="n">
        <x:v>514107136</x:v>
      </x:c>
      <x:c r="BE25" s="48" t="n">
        <x:v>0</x:v>
      </x:c>
      <x:c r="BF25" s="43" t="n">
        <x:v>0</x:v>
      </x:c>
      <x:c r="BG25" s="43" t="n">
        <x:v>0</x:v>
      </x:c>
      <x:c r="BH25" s="43" t="n">
        <x:v>0</x:v>
      </x:c>
      <x:c r="BI25" s="43" t="n">
        <x:v>0</x:v>
      </x:c>
      <x:c r="BJ25" s="43" t="n">
        <x:v>0</x:v>
      </x:c>
      <x:c r="BK25" s="43" t="n">
        <x:v>15000</x:v>
      </x:c>
      <x:c r="BL25" s="43" t="n">
        <x:v>0</x:v>
      </x:c>
      <x:c r="BM25" s="44" t="str">
        <x:v>{"storageEnabled":0}</x:v>
      </x:c>
    </x:row>
    <x:row r="26">
      <x:c r="A26" s="34" t="str">
        <x:v>article1-unified-v4-2-fb3f101b-20260903-000401-default-f01-p3-nostore</x:v>
      </x:c>
      <x:c r="B26" s="34" t="str">
        <x:v>default</x:v>
      </x:c>
      <x:c r="C26" s="34" t="str">
        <x:v>nostore</x:v>
      </x:c>
      <x:c r="D26" s="34" t="str">
        <x:v>nostore</x:v>
      </x:c>
      <x:c r="E26" s="34" t="str">
        <x:v>lifecycle-negative-control</x:v>
      </x:c>
      <x:c r="F26" s="36" t="n">
        <x:v>1</x:v>
      </x:c>
      <x:c r="G26" s="36" t="n">
        <x:v>1</x:v>
      </x:c>
      <x:c r="H26" s="36" t="n">
        <x:v>3</x:v>
      </x:c>
      <x:c r="I26" s="36" t="n">
        <x:v>3</x:v>
      </x:c>
      <x:c r="J26" s="34" t="str">
        <x:v>initial</x:v>
      </x:c>
      <x:c r="K26" s="34" t="str">
        <x:v>no-store-control</x:v>
      </x:c>
      <x:c r="L26" s="45" t="b">
        <x:v>0</x:v>
      </x:c>
      <x:c r="M26" s="36" t="n">
        <x:v>1346581378</x:v>
      </x:c>
      <x:c r="N26" s="34" t="str">
        <x:v>2bf58a45a91aaa1defb64a6c1f623f67f3c75e3e966112109387a96ba1d5e699</x:v>
      </x:c>
      <x:c r="O26" s="43" t="n">
        <x:v>10000</x:v>
      </x:c>
      <x:c r="P26" s="43" t="n">
        <x:v>400000</x:v>
      </x:c>
      <x:c r="Q26" s="36" t="n">
        <x:v>8</x:v>
      </x:c>
      <x:c r="R26" s="42" t="n">
        <x:v>95</x:v>
      </x:c>
      <x:c r="S26" s="43" t="n">
        <x:v>512</x:v>
      </x:c>
      <x:c r="T26" s="43" t="n">
        <x:v>50000</x:v>
      </x:c>
      <x:c r="U26" s="46" t="n">
        <x:v>3</x:v>
      </x:c>
      <x:c r="V26" s="46" t="n">
        <x:v>5</x:v>
      </x:c>
      <x:c r="W26" s="43" t="n">
        <x:v>300</x:v>
      </x:c>
      <x:c r="X26" s="34" t="str">
        <x:v>uniform</x:v>
      </x:c>
      <x:c r="Y26" s="42" t="n">
        <x:v>10</x:v>
      </x:c>
      <x:c r="Z26" s="34" t="str">
        <x:v>strict</x:v>
      </x:c>
      <x:c r="AA26" s="36" t="n">
        <x:v>64</x:v>
      </x:c>
      <x:c r="AB26" s="43" t="n">
        <x:v>368032768</x:v>
      </x:c>
      <x:c r="AC26" s="43" t="n">
        <x:v>3000499327</x:v>
      </x:c>
      <x:c r="AD26" s="43" t="n">
        <x:v>499327</x:v>
      </x:c>
      <x:c r="AE26" s="43" t="n">
        <x:v>8829944.106453806</x:v>
      </x:c>
      <x:c r="AF26" s="43" t="n">
        <x:v>101230185.53489691</x:v>
      </x:c>
      <x:c r="AG26" s="43" t="n">
        <x:v>506749184</x:v>
      </x:c>
      <x:c r="AH26" s="43" t="n">
        <x:v>5005909861</x:v>
      </x:c>
      <x:c r="AI26" s="43" t="n">
        <x:v>5909861</x:v>
      </x:c>
      <x:c r="AJ26" s="43" t="n">
        <x:v>101230185.53489691</x:v>
      </x:c>
      <x:c r="AK26" s="43" t="n">
        <x:v>506749184</x:v>
      </x:c>
      <x:c r="AL26" s="43" t="n">
        <x:v>0</x:v>
      </x:c>
      <x:c r="AM26" s="43" t="n">
        <x:v>18001216.882261243</x:v>
      </x:c>
      <x:c r="AN26" s="43" t="n">
        <x:v>31</x:v>
      </x:c>
      <x:c r="AO26" s="43" t="n">
        <x:v>170</x:v>
      </x:c>
      <x:c r="AP26" s="43" t="n">
        <x:v>291</x:v>
      </x:c>
      <x:c r="AQ26" s="43" t="n">
        <x:v>7917956</x:v>
      </x:c>
      <x:c r="AR26" s="43" t="n">
        <x:v>16</x:v>
      </x:c>
      <x:c r="AS26" s="45" t="b">
        <x:v>0</x:v>
      </x:c>
      <x:c r="AT26" s="43" t="n">
        <x:v>0</x:v>
      </x:c>
      <x:c r="AU26" s="48" t="n">
        <x:v>0</x:v>
      </x:c>
      <x:c r="AV26" s="43" t="n">
        <x:v>0</x:v>
      </x:c>
      <x:c r="AW26" s="48" t="n">
        <x:v>0</x:v>
      </x:c>
      <x:c r="AX26" s="45" t="b">
        <x:v>1</x:v>
      </x:c>
      <x:c r="AY26" s="44" t="str">
        <x:v>{"provider":"nostore","currentEntries":0,"requestCount":506749184,"hitCount":0,"missCount":506749184,"hitRate":0,"loadSuccessCount":0,"loadFailureCount":0,"totalLoadTimeNanos":0,"evictionCount":0,"expirationCount":0,"putCount":10000,"removeCount":0,"nativeMetrics":{"storageEnabled":0}}</x:v>
      </x:c>
      <x:c r="AZ26" s="44" t="str">
        <x:v>{"provider":"nostore","currentEntries":0,"requestCount":506749184,"hitCount":0,"missCount":506749184,"hitRate":0,"loadSuccessCount":0,"loadFailureCount":0,"totalLoadTimeNanos":0,"evictionCount":0,"expirationCount":0,"putCount":15000,"removeCount":0,"nativeMetrics":{"storageEnabled":0}}</x:v>
      </x:c>
      <x:c r="BA26" s="43" t="n">
        <x:v>0</x:v>
      </x:c>
      <x:c r="BB26" s="43" t="n">
        <x:v>506749184</x:v>
      </x:c>
      <x:c r="BC26" s="43" t="n">
        <x:v>0</x:v>
      </x:c>
      <x:c r="BD26" s="43" t="n">
        <x:v>506749184</x:v>
      </x:c>
      <x:c r="BE26" s="48" t="n">
        <x:v>0</x:v>
      </x:c>
      <x:c r="BF26" s="43" t="n">
        <x:v>0</x:v>
      </x:c>
      <x:c r="BG26" s="43" t="n">
        <x:v>0</x:v>
      </x:c>
      <x:c r="BH26" s="43" t="n">
        <x:v>0</x:v>
      </x:c>
      <x:c r="BI26" s="43" t="n">
        <x:v>0</x:v>
      </x:c>
      <x:c r="BJ26" s="43" t="n">
        <x:v>0</x:v>
      </x:c>
      <x:c r="BK26" s="43" t="n">
        <x:v>15000</x:v>
      </x:c>
      <x:c r="BL26" s="43" t="n">
        <x:v>0</x:v>
      </x:c>
      <x:c r="BM26" s="44" t="str">
        <x:v>{"storageEnabled":0}</x:v>
      </x:c>
    </x:row>
    <x:row r="27">
      <x:c r="A27" s="34" t="str">
        <x:v>article1-unified-v4-2-fb3f101b-20260903-000401-default-f01-p3-nostore</x:v>
      </x:c>
      <x:c r="B27" s="34" t="str">
        <x:v>default</x:v>
      </x:c>
      <x:c r="C27" s="34" t="str">
        <x:v>nostore</x:v>
      </x:c>
      <x:c r="D27" s="34" t="str">
        <x:v>nostore</x:v>
      </x:c>
      <x:c r="E27" s="34" t="str">
        <x:v>lifecycle-negative-control</x:v>
      </x:c>
      <x:c r="F27" s="36" t="n">
        <x:v>1</x:v>
      </x:c>
      <x:c r="G27" s="36" t="n">
        <x:v>1</x:v>
      </x:c>
      <x:c r="H27" s="36" t="n">
        <x:v>3</x:v>
      </x:c>
      <x:c r="I27" s="36" t="n">
        <x:v>3</x:v>
      </x:c>
      <x:c r="J27" s="34" t="str">
        <x:v>redeploy</x:v>
      </x:c>
      <x:c r="K27" s="34" t="str">
        <x:v>no-store-control</x:v>
      </x:c>
      <x:c r="L27" s="45" t="b">
        <x:v>0</x:v>
      </x:c>
      <x:c r="M27" s="36" t="n">
        <x:v>1346581378</x:v>
      </x:c>
      <x:c r="N27" s="34" t="str">
        <x:v>2bf58a45a91aaa1defb64a6c1f623f67f3c75e3e966112109387a96ba1d5e699</x:v>
      </x:c>
      <x:c r="O27" s="43" t="n">
        <x:v>10000</x:v>
      </x:c>
      <x:c r="P27" s="43" t="n">
        <x:v>400000</x:v>
      </x:c>
      <x:c r="Q27" s="36" t="n">
        <x:v>8</x:v>
      </x:c>
      <x:c r="R27" s="42" t="n">
        <x:v>95</x:v>
      </x:c>
      <x:c r="S27" s="43" t="n">
        <x:v>512</x:v>
      </x:c>
      <x:c r="T27" s="43" t="n">
        <x:v>50000</x:v>
      </x:c>
      <x:c r="U27" s="46" t="n">
        <x:v>3</x:v>
      </x:c>
      <x:c r="V27" s="46" t="n">
        <x:v>5</x:v>
      </x:c>
      <x:c r="W27" s="43" t="n">
        <x:v>300</x:v>
      </x:c>
      <x:c r="X27" s="34" t="str">
        <x:v>uniform</x:v>
      </x:c>
      <x:c r="Y27" s="42" t="n">
        <x:v>10</x:v>
      </x:c>
      <x:c r="Z27" s="34" t="str">
        <x:v>strict</x:v>
      </x:c>
      <x:c r="AA27" s="36" t="n">
        <x:v>64</x:v>
      </x:c>
      <x:c r="AB27" s="43" t="n">
        <x:v>351831040</x:v>
      </x:c>
      <x:c r="AC27" s="43" t="n">
        <x:v>3000546721</x:v>
      </x:c>
      <x:c r="AD27" s="43" t="n">
        <x:v>546721</x:v>
      </x:c>
      <x:c r="AE27" s="43" t="n">
        <x:v>13112432.552925056</x:v>
      </x:c>
      <x:c r="AF27" s="43" t="n">
        <x:v>97940439.87647513</x:v>
      </x:c>
      <x:c r="AG27" s="43" t="n">
        <x:v>490262528</x:v>
      </x:c>
      <x:c r="AH27" s="43" t="n">
        <x:v>5005721116</x:v>
      </x:c>
      <x:c r="AI27" s="43" t="n">
        <x:v>5721116</x:v>
      </x:c>
      <x:c r="AJ27" s="43" t="n">
        <x:v>97940439.87647513</x:v>
      </x:c>
      <x:c r="AK27" s="43" t="n">
        <x:v>490262528</x:v>
      </x:c>
      <x:c r="AL27" s="43" t="n">
        <x:v>0</x:v>
      </x:c>
      <x:c r="AM27" s="43" t="n">
        <x:v>20254313.155986566</x:v>
      </x:c>
      <x:c r="AN27" s="43" t="n">
        <x:v>40</x:v>
      </x:c>
      <x:c r="AO27" s="43" t="n">
        <x:v>171</x:v>
      </x:c>
      <x:c r="AP27" s="43" t="n">
        <x:v>301</x:v>
      </x:c>
      <x:c r="AQ27" s="43" t="n">
        <x:v>7660352</x:v>
      </x:c>
      <x:c r="AR27" s="43" t="n">
        <x:v>16</x:v>
      </x:c>
      <x:c r="AS27" s="45" t="b">
        <x:v>0</x:v>
      </x:c>
      <x:c r="AT27" s="43" t="n">
        <x:v>0</x:v>
      </x:c>
      <x:c r="AU27" s="48" t="n">
        <x:v>0</x:v>
      </x:c>
      <x:c r="AV27" s="43" t="n">
        <x:v>0</x:v>
      </x:c>
      <x:c r="AW27" s="48" t="n">
        <x:v>0</x:v>
      </x:c>
      <x:c r="AX27" s="45" t="b">
        <x:v>1</x:v>
      </x:c>
      <x:c r="AY27" s="44" t="str">
        <x:v>{"provider":"nostore","currentEntries":0,"requestCount":490262528,"hitCount":0,"missCount":490262528,"hitRate":0,"loadSuccessCount":0,"loadFailureCount":0,"totalLoadTimeNanos":0,"evictionCount":0,"expirationCount":0,"putCount":10000,"removeCount":0,"nativeMetrics":{"storageEnabled":0}}</x:v>
      </x:c>
      <x:c r="AZ27" s="44" t="str">
        <x:v>{"provider":"nostore","currentEntries":0,"requestCount":490262528,"hitCount":0,"missCount":490262528,"hitRate":0,"loadSuccessCount":0,"loadFailureCount":0,"totalLoadTimeNanos":0,"evictionCount":0,"expirationCount":0,"putCount":15000,"removeCount":0,"nativeMetrics":{"storageEnabled":0}}</x:v>
      </x:c>
      <x:c r="BA27" s="43" t="n">
        <x:v>0</x:v>
      </x:c>
      <x:c r="BB27" s="43" t="n">
        <x:v>490262528</x:v>
      </x:c>
      <x:c r="BC27" s="43" t="n">
        <x:v>0</x:v>
      </x:c>
      <x:c r="BD27" s="43" t="n">
        <x:v>490262528</x:v>
      </x:c>
      <x:c r="BE27" s="48" t="n">
        <x:v>0</x:v>
      </x:c>
      <x:c r="BF27" s="43" t="n">
        <x:v>0</x:v>
      </x:c>
      <x:c r="BG27" s="43" t="n">
        <x:v>0</x:v>
      </x:c>
      <x:c r="BH27" s="43" t="n">
        <x:v>0</x:v>
      </x:c>
      <x:c r="BI27" s="43" t="n">
        <x:v>0</x:v>
      </x:c>
      <x:c r="BJ27" s="43" t="n">
        <x:v>0</x:v>
      </x:c>
      <x:c r="BK27" s="43" t="n">
        <x:v>15000</x:v>
      </x:c>
      <x:c r="BL27" s="43" t="n">
        <x:v>0</x:v>
      </x:c>
      <x:c r="BM27" s="44" t="str">
        <x:v>{"storageEnabled":0}</x:v>
      </x:c>
    </x:row>
    <x:row r="28">
      <x:c r="A28" s="34" t="str">
        <x:v>article1-unified-v4-2-fb3f101b-20260903-000401-default-f01-p3-nostore</x:v>
      </x:c>
      <x:c r="B28" s="34" t="str">
        <x:v>default</x:v>
      </x:c>
      <x:c r="C28" s="34" t="str">
        <x:v>nostore</x:v>
      </x:c>
      <x:c r="D28" s="34" t="str">
        <x:v>nostore</x:v>
      </x:c>
      <x:c r="E28" s="34" t="str">
        <x:v>lifecycle-negative-control</x:v>
      </x:c>
      <x:c r="F28" s="36" t="n">
        <x:v>1</x:v>
      </x:c>
      <x:c r="G28" s="36" t="n">
        <x:v>1</x:v>
      </x:c>
      <x:c r="H28" s="36" t="n">
        <x:v>3</x:v>
      </x:c>
      <x:c r="I28" s="36" t="n">
        <x:v>4</x:v>
      </x:c>
      <x:c r="J28" s="34" t="str">
        <x:v>initial</x:v>
      </x:c>
      <x:c r="K28" s="34" t="str">
        <x:v>no-store-control</x:v>
      </x:c>
      <x:c r="L28" s="45" t="b">
        <x:v>0</x:v>
      </x:c>
      <x:c r="M28" s="36" t="n">
        <x:v>584767396</x:v>
      </x:c>
      <x:c r="N28" s="34" t="str">
        <x:v>8b3eab7a458105f79edbbcdf72ca6cd4f7d0bb6ba737ed58e05821db7c3517a5</x:v>
      </x:c>
      <x:c r="O28" s="43" t="n">
        <x:v>10000</x:v>
      </x:c>
      <x:c r="P28" s="43" t="n">
        <x:v>400000</x:v>
      </x:c>
      <x:c r="Q28" s="36" t="n">
        <x:v>8</x:v>
      </x:c>
      <x:c r="R28" s="42" t="n">
        <x:v>95</x:v>
      </x:c>
      <x:c r="S28" s="43" t="n">
        <x:v>512</x:v>
      </x:c>
      <x:c r="T28" s="43" t="n">
        <x:v>50000</x:v>
      </x:c>
      <x:c r="U28" s="46" t="n">
        <x:v>3</x:v>
      </x:c>
      <x:c r="V28" s="46" t="n">
        <x:v>5</x:v>
      </x:c>
      <x:c r="W28" s="43" t="n">
        <x:v>300</x:v>
      </x:c>
      <x:c r="X28" s="34" t="str">
        <x:v>uniform</x:v>
      </x:c>
      <x:c r="Y28" s="42" t="n">
        <x:v>10</x:v>
      </x:c>
      <x:c r="Z28" s="34" t="str">
        <x:v>strict</x:v>
      </x:c>
      <x:c r="AA28" s="36" t="n">
        <x:v>64</x:v>
      </x:c>
      <x:c r="AB28" s="43" t="n">
        <x:v>367920896</x:v>
      </x:c>
      <x:c r="AC28" s="43" t="n">
        <x:v>3002126096</x:v>
      </x:c>
      <x:c r="AD28" s="43" t="n">
        <x:v>2126096</x:v>
      </x:c>
      <x:c r="AE28" s="43" t="n">
        <x:v>12799819.778537517</x:v>
      </x:c>
      <x:c r="AF28" s="43" t="n">
        <x:v>100243896.25827317</x:v>
      </x:c>
      <x:c r="AG28" s="43" t="n">
        <x:v>501791488</x:v>
      </x:c>
      <x:c r="AH28" s="43" t="n">
        <x:v>5005706150</x:v>
      </x:c>
      <x:c r="AI28" s="43" t="n">
        <x:v>5706150</x:v>
      </x:c>
      <x:c r="AJ28" s="43" t="n">
        <x:v>100243896.25827317</x:v>
      </x:c>
      <x:c r="AK28" s="43" t="n">
        <x:v>501791488</x:v>
      </x:c>
      <x:c r="AL28" s="43" t="n">
        <x:v>0</x:v>
      </x:c>
      <x:c r="AM28" s="43" t="n">
        <x:v>18784916.463476487</x:v>
      </x:c>
      <x:c r="AN28" s="43" t="n">
        <x:v>40</x:v>
      </x:c>
      <x:c r="AO28" s="43" t="n">
        <x:v>170</x:v>
      </x:c>
      <x:c r="AP28" s="43" t="n">
        <x:v>291</x:v>
      </x:c>
      <x:c r="AQ28" s="43" t="n">
        <x:v>7840492</x:v>
      </x:c>
      <x:c r="AR28" s="43" t="n">
        <x:v>16</x:v>
      </x:c>
      <x:c r="AS28" s="45" t="b">
        <x:v>0</x:v>
      </x:c>
      <x:c r="AT28" s="43" t="n">
        <x:v>0</x:v>
      </x:c>
      <x:c r="AU28" s="48" t="n">
        <x:v>0</x:v>
      </x:c>
      <x:c r="AV28" s="43" t="n">
        <x:v>0</x:v>
      </x:c>
      <x:c r="AW28" s="48" t="n">
        <x:v>0</x:v>
      </x:c>
      <x:c r="AX28" s="45" t="b">
        <x:v>1</x:v>
      </x:c>
      <x:c r="AY28" s="44" t="str">
        <x:v>{"provider":"nostore","currentEntries":0,"requestCount":501791488,"hitCount":0,"missCount":501791488,"hitRate":0,"loadSuccessCount":0,"loadFailureCount":0,"totalLoadTimeNanos":0,"evictionCount":0,"expirationCount":0,"putCount":10000,"removeCount":0,"nativeMetrics":{"storageEnabled":0}}</x:v>
      </x:c>
      <x:c r="AZ28" s="44" t="str">
        <x:v>{"provider":"nostore","currentEntries":0,"requestCount":501791488,"hitCount":0,"missCount":501791488,"hitRate":0,"loadSuccessCount":0,"loadFailureCount":0,"totalLoadTimeNanos":0,"evictionCount":0,"expirationCount":0,"putCount":15000,"removeCount":0,"nativeMetrics":{"storageEnabled":0}}</x:v>
      </x:c>
      <x:c r="BA28" s="43" t="n">
        <x:v>0</x:v>
      </x:c>
      <x:c r="BB28" s="43" t="n">
        <x:v>501791488</x:v>
      </x:c>
      <x:c r="BC28" s="43" t="n">
        <x:v>0</x:v>
      </x:c>
      <x:c r="BD28" s="43" t="n">
        <x:v>501791488</x:v>
      </x:c>
      <x:c r="BE28" s="48" t="n">
        <x:v>0</x:v>
      </x:c>
      <x:c r="BF28" s="43" t="n">
        <x:v>0</x:v>
      </x:c>
      <x:c r="BG28" s="43" t="n">
        <x:v>0</x:v>
      </x:c>
      <x:c r="BH28" s="43" t="n">
        <x:v>0</x:v>
      </x:c>
      <x:c r="BI28" s="43" t="n">
        <x:v>0</x:v>
      </x:c>
      <x:c r="BJ28" s="43" t="n">
        <x:v>0</x:v>
      </x:c>
      <x:c r="BK28" s="43" t="n">
        <x:v>15000</x:v>
      </x:c>
      <x:c r="BL28" s="43" t="n">
        <x:v>0</x:v>
      </x:c>
      <x:c r="BM28" s="44" t="str">
        <x:v>{"storageEnabled":0}</x:v>
      </x:c>
    </x:row>
    <x:row r="29">
      <x:c r="A29" s="34" t="str">
        <x:v>article1-unified-v4-2-fb3f101b-20260903-000401-default-f01-p3-nostore</x:v>
      </x:c>
      <x:c r="B29" s="34" t="str">
        <x:v>default</x:v>
      </x:c>
      <x:c r="C29" s="34" t="str">
        <x:v>nostore</x:v>
      </x:c>
      <x:c r="D29" s="34" t="str">
        <x:v>nostore</x:v>
      </x:c>
      <x:c r="E29" s="34" t="str">
        <x:v>lifecycle-negative-control</x:v>
      </x:c>
      <x:c r="F29" s="36" t="n">
        <x:v>1</x:v>
      </x:c>
      <x:c r="G29" s="36" t="n">
        <x:v>1</x:v>
      </x:c>
      <x:c r="H29" s="36" t="n">
        <x:v>3</x:v>
      </x:c>
      <x:c r="I29" s="36" t="n">
        <x:v>4</x:v>
      </x:c>
      <x:c r="J29" s="34" t="str">
        <x:v>redeploy</x:v>
      </x:c>
      <x:c r="K29" s="34" t="str">
        <x:v>no-store-control</x:v>
      </x:c>
      <x:c r="L29" s="45" t="b">
        <x:v>0</x:v>
      </x:c>
      <x:c r="M29" s="36" t="n">
        <x:v>584767396</x:v>
      </x:c>
      <x:c r="N29" s="34" t="str">
        <x:v>8b3eab7a458105f79edbbcdf72ca6cd4f7d0bb6ba737ed58e05821db7c3517a5</x:v>
      </x:c>
      <x:c r="O29" s="43" t="n">
        <x:v>10000</x:v>
      </x:c>
      <x:c r="P29" s="43" t="n">
        <x:v>400000</x:v>
      </x:c>
      <x:c r="Q29" s="36" t="n">
        <x:v>8</x:v>
      </x:c>
      <x:c r="R29" s="42" t="n">
        <x:v>95</x:v>
      </x:c>
      <x:c r="S29" s="43" t="n">
        <x:v>512</x:v>
      </x:c>
      <x:c r="T29" s="43" t="n">
        <x:v>50000</x:v>
      </x:c>
      <x:c r="U29" s="46" t="n">
        <x:v>3</x:v>
      </x:c>
      <x:c r="V29" s="46" t="n">
        <x:v>5</x:v>
      </x:c>
      <x:c r="W29" s="43" t="n">
        <x:v>300</x:v>
      </x:c>
      <x:c r="X29" s="34" t="str">
        <x:v>uniform</x:v>
      </x:c>
      <x:c r="Y29" s="42" t="n">
        <x:v>10</x:v>
      </x:c>
      <x:c r="Z29" s="34" t="str">
        <x:v>strict</x:v>
      </x:c>
      <x:c r="AA29" s="36" t="n">
        <x:v>64</x:v>
      </x:c>
      <x:c r="AB29" s="43" t="n">
        <x:v>382502656</x:v>
      </x:c>
      <x:c r="AC29" s="43" t="n">
        <x:v>3034363954</x:v>
      </x:c>
      <x:c r="AD29" s="43" t="n">
        <x:v>34363954</x:v>
      </x:c>
      <x:c r="AE29" s="43" t="n">
        <x:v>15355935.222522857</x:v>
      </x:c>
      <x:c r="AF29" s="43" t="n">
        <x:v>102824031.67584932</x:v>
      </x:c>
      <x:c r="AG29" s="43" t="n">
        <x:v>514722048</x:v>
      </x:c>
      <x:c r="AH29" s="43" t="n">
        <x:v>5005853589</x:v>
      </x:c>
      <x:c r="AI29" s="43" t="n">
        <x:v>5853589</x:v>
      </x:c>
      <x:c r="AJ29" s="43" t="n">
        <x:v>102824031.67584932</x:v>
      </x:c>
      <x:c r="AK29" s="43" t="n">
        <x:v>514722048</x:v>
      </x:c>
      <x:c r="AL29" s="43" t="n">
        <x:v>0</x:v>
      </x:c>
      <x:c r="AM29" s="43" t="n">
        <x:v>20063722.382286143</x:v>
      </x:c>
      <x:c r="AN29" s="43" t="n">
        <x:v>31</x:v>
      </x:c>
      <x:c r="AO29" s="43" t="n">
        <x:v>170</x:v>
      </x:c>
      <x:c r="AP29" s="43" t="n">
        <x:v>290</x:v>
      </x:c>
      <x:c r="AQ29" s="43" t="n">
        <x:v>8042532</x:v>
      </x:c>
      <x:c r="AR29" s="43" t="n">
        <x:v>16</x:v>
      </x:c>
      <x:c r="AS29" s="45" t="b">
        <x:v>0</x:v>
      </x:c>
      <x:c r="AT29" s="43" t="n">
        <x:v>0</x:v>
      </x:c>
      <x:c r="AU29" s="48" t="n">
        <x:v>0</x:v>
      </x:c>
      <x:c r="AV29" s="43" t="n">
        <x:v>0</x:v>
      </x:c>
      <x:c r="AW29" s="48" t="n">
        <x:v>0</x:v>
      </x:c>
      <x:c r="AX29" s="45" t="b">
        <x:v>1</x:v>
      </x:c>
      <x:c r="AY29" s="44" t="str">
        <x:v>{"provider":"nostore","currentEntries":0,"requestCount":514722048,"hitCount":0,"missCount":514722048,"hitRate":0,"loadSuccessCount":0,"loadFailureCount":0,"totalLoadTimeNanos":0,"evictionCount":0,"expirationCount":0,"putCount":10000,"removeCount":0,"nativeMetrics":{"storageEnabled":0}}</x:v>
      </x:c>
      <x:c r="AZ29" s="44" t="str">
        <x:v>{"provider":"nostore","currentEntries":0,"requestCount":514722048,"hitCount":0,"missCount":514722048,"hitRate":0,"loadSuccessCount":0,"loadFailureCount":0,"totalLoadTimeNanos":0,"evictionCount":0,"expirationCount":0,"putCount":15000,"removeCount":0,"nativeMetrics":{"storageEnabled":0}}</x:v>
      </x:c>
      <x:c r="BA29" s="43" t="n">
        <x:v>0</x:v>
      </x:c>
      <x:c r="BB29" s="43" t="n">
        <x:v>514722048</x:v>
      </x:c>
      <x:c r="BC29" s="43" t="n">
        <x:v>0</x:v>
      </x:c>
      <x:c r="BD29" s="43" t="n">
        <x:v>514722048</x:v>
      </x:c>
      <x:c r="BE29" s="48" t="n">
        <x:v>0</x:v>
      </x:c>
      <x:c r="BF29" s="43" t="n">
        <x:v>0</x:v>
      </x:c>
      <x:c r="BG29" s="43" t="n">
        <x:v>0</x:v>
      </x:c>
      <x:c r="BH29" s="43" t="n">
        <x:v>0</x:v>
      </x:c>
      <x:c r="BI29" s="43" t="n">
        <x:v>0</x:v>
      </x:c>
      <x:c r="BJ29" s="43" t="n">
        <x:v>0</x:v>
      </x:c>
      <x:c r="BK29" s="43" t="n">
        <x:v>15000</x:v>
      </x:c>
      <x:c r="BL29" s="43" t="n">
        <x:v>0</x:v>
      </x:c>
      <x:c r="BM29" s="44" t="str">
        <x:v>{"storageEnabled":0}</x:v>
      </x:c>
    </x:row>
    <x:row r="30">
      <x:c r="A30" s="34" t="str">
        <x:v>article1-unified-v4-2-fb3f101b-20260903-000401-default-f01-p3-nostore</x:v>
      </x:c>
      <x:c r="B30" s="34" t="str">
        <x:v>default</x:v>
      </x:c>
      <x:c r="C30" s="34" t="str">
        <x:v>nostore</x:v>
      </x:c>
      <x:c r="D30" s="34" t="str">
        <x:v>nostore</x:v>
      </x:c>
      <x:c r="E30" s="34" t="str">
        <x:v>lifecycle-negative-control</x:v>
      </x:c>
      <x:c r="F30" s="36" t="n">
        <x:v>1</x:v>
      </x:c>
      <x:c r="G30" s="36" t="n">
        <x:v>1</x:v>
      </x:c>
      <x:c r="H30" s="36" t="n">
        <x:v>3</x:v>
      </x:c>
      <x:c r="I30" s="36" t="n">
        <x:v>5</x:v>
      </x:c>
      <x:c r="J30" s="34" t="str">
        <x:v>initial</x:v>
      </x:c>
      <x:c r="K30" s="34" t="str">
        <x:v>no-store-control</x:v>
      </x:c>
      <x:c r="L30" s="45" t="b">
        <x:v>0</x:v>
      </x:c>
      <x:c r="M30" s="36" t="n">
        <x:v>990445241</x:v>
      </x:c>
      <x:c r="N30" s="34" t="str">
        <x:v>c8c0b067bf711230321b1ae1f036e3e36ec57e928c071e76bd188cc45e5bf206</x:v>
      </x:c>
      <x:c r="O30" s="43" t="n">
        <x:v>10000</x:v>
      </x:c>
      <x:c r="P30" s="43" t="n">
        <x:v>400000</x:v>
      </x:c>
      <x:c r="Q30" s="36" t="n">
        <x:v>8</x:v>
      </x:c>
      <x:c r="R30" s="42" t="n">
        <x:v>95</x:v>
      </x:c>
      <x:c r="S30" s="43" t="n">
        <x:v>512</x:v>
      </x:c>
      <x:c r="T30" s="43" t="n">
        <x:v>50000</x:v>
      </x:c>
      <x:c r="U30" s="46" t="n">
        <x:v>3</x:v>
      </x:c>
      <x:c r="V30" s="46" t="n">
        <x:v>5</x:v>
      </x:c>
      <x:c r="W30" s="43" t="n">
        <x:v>300</x:v>
      </x:c>
      <x:c r="X30" s="34" t="str">
        <x:v>uniform</x:v>
      </x:c>
      <x:c r="Y30" s="42" t="n">
        <x:v>10</x:v>
      </x:c>
      <x:c r="Z30" s="34" t="str">
        <x:v>strict</x:v>
      </x:c>
      <x:c r="AA30" s="36" t="n">
        <x:v>64</x:v>
      </x:c>
      <x:c r="AB30" s="43" t="n">
        <x:v>368679168</x:v>
      </x:c>
      <x:c r="AC30" s="43" t="n">
        <x:v>3013610829</x:v>
      </x:c>
      <x:c r="AD30" s="43" t="n">
        <x:v>13610829</x:v>
      </x:c>
      <x:c r="AE30" s="43" t="n">
        <x:v>16711983.996604124</x:v>
      </x:c>
      <x:c r="AF30" s="43" t="n">
        <x:v>99861417.13306756</x:v>
      </x:c>
      <x:c r="AG30" s="43" t="n">
        <x:v>500219904</x:v>
      </x:c>
      <x:c r="AH30" s="43" t="n">
        <x:v>5009140851</x:v>
      </x:c>
      <x:c r="AI30" s="43" t="n">
        <x:v>9140851</x:v>
      </x:c>
      <x:c r="AJ30" s="43" t="n">
        <x:v>99861417.13306756</x:v>
      </x:c>
      <x:c r="AK30" s="43" t="n">
        <x:v>500219904</x:v>
      </x:c>
      <x:c r="AL30" s="43" t="n">
        <x:v>0</x:v>
      </x:c>
      <x:c r="AM30" s="43" t="n">
        <x:v>20282247.759825736</x:v>
      </x:c>
      <x:c r="AN30" s="43" t="n">
        <x:v>40</x:v>
      </x:c>
      <x:c r="AO30" s="43" t="n">
        <x:v>170</x:v>
      </x:c>
      <x:c r="AP30" s="43" t="n">
        <x:v>291</x:v>
      </x:c>
      <x:c r="AQ30" s="43" t="n">
        <x:v>7815936</x:v>
      </x:c>
      <x:c r="AR30" s="43" t="n">
        <x:v>16</x:v>
      </x:c>
      <x:c r="AS30" s="45" t="b">
        <x:v>0</x:v>
      </x:c>
      <x:c r="AT30" s="43" t="n">
        <x:v>0</x:v>
      </x:c>
      <x:c r="AU30" s="48" t="n">
        <x:v>0</x:v>
      </x:c>
      <x:c r="AV30" s="43" t="n">
        <x:v>0</x:v>
      </x:c>
      <x:c r="AW30" s="48" t="n">
        <x:v>0</x:v>
      </x:c>
      <x:c r="AX30" s="45" t="b">
        <x:v>1</x:v>
      </x:c>
      <x:c r="AY30" s="44" t="str">
        <x:v>{"provider":"nostore","currentEntries":0,"requestCount":500219904,"hitCount":0,"missCount":500219904,"hitRate":0,"loadSuccessCount":0,"loadFailureCount":0,"totalLoadTimeNanos":0,"evictionCount":0,"expirationCount":0,"putCount":10000,"removeCount":0,"nativeMetrics":{"storageEnabled":0}}</x:v>
      </x:c>
      <x:c r="AZ30" s="44" t="str">
        <x:v>{"provider":"nostore","currentEntries":0,"requestCount":500219904,"hitCount":0,"missCount":500219904,"hitRate":0,"loadSuccessCount":0,"loadFailureCount":0,"totalLoadTimeNanos":0,"evictionCount":0,"expirationCount":0,"putCount":15000,"removeCount":0,"nativeMetrics":{"storageEnabled":0}}</x:v>
      </x:c>
      <x:c r="BA30" s="43" t="n">
        <x:v>0</x:v>
      </x:c>
      <x:c r="BB30" s="43" t="n">
        <x:v>500219904</x:v>
      </x:c>
      <x:c r="BC30" s="43" t="n">
        <x:v>0</x:v>
      </x:c>
      <x:c r="BD30" s="43" t="n">
        <x:v>500219904</x:v>
      </x:c>
      <x:c r="BE30" s="48" t="n">
        <x:v>0</x:v>
      </x:c>
      <x:c r="BF30" s="43" t="n">
        <x:v>0</x:v>
      </x:c>
      <x:c r="BG30" s="43" t="n">
        <x:v>0</x:v>
      </x:c>
      <x:c r="BH30" s="43" t="n">
        <x:v>0</x:v>
      </x:c>
      <x:c r="BI30" s="43" t="n">
        <x:v>0</x:v>
      </x:c>
      <x:c r="BJ30" s="43" t="n">
        <x:v>0</x:v>
      </x:c>
      <x:c r="BK30" s="43" t="n">
        <x:v>15000</x:v>
      </x:c>
      <x:c r="BL30" s="43" t="n">
        <x:v>0</x:v>
      </x:c>
      <x:c r="BM30" s="44" t="str">
        <x:v>{"storageEnabled":0}</x:v>
      </x:c>
    </x:row>
    <x:row r="31">
      <x:c r="A31" s="34" t="str">
        <x:v>article1-unified-v4-2-fb3f101b-20260903-000401-default-f01-p3-nostore</x:v>
      </x:c>
      <x:c r="B31" s="34" t="str">
        <x:v>default</x:v>
      </x:c>
      <x:c r="C31" s="34" t="str">
        <x:v>nostore</x:v>
      </x:c>
      <x:c r="D31" s="34" t="str">
        <x:v>nostore</x:v>
      </x:c>
      <x:c r="E31" s="34" t="str">
        <x:v>lifecycle-negative-control</x:v>
      </x:c>
      <x:c r="F31" s="36" t="n">
        <x:v>1</x:v>
      </x:c>
      <x:c r="G31" s="36" t="n">
        <x:v>1</x:v>
      </x:c>
      <x:c r="H31" s="36" t="n">
        <x:v>3</x:v>
      </x:c>
      <x:c r="I31" s="36" t="n">
        <x:v>5</x:v>
      </x:c>
      <x:c r="J31" s="34" t="str">
        <x:v>redeploy</x:v>
      </x:c>
      <x:c r="K31" s="34" t="str">
        <x:v>no-store-control</x:v>
      </x:c>
      <x:c r="L31" s="45" t="b">
        <x:v>0</x:v>
      </x:c>
      <x:c r="M31" s="36" t="n">
        <x:v>990445241</x:v>
      </x:c>
      <x:c r="N31" s="34" t="str">
        <x:v>c8c0b067bf711230321b1ae1f036e3e36ec57e928c071e76bd188cc45e5bf206</x:v>
      </x:c>
      <x:c r="O31" s="43" t="n">
        <x:v>10000</x:v>
      </x:c>
      <x:c r="P31" s="43" t="n">
        <x:v>400000</x:v>
      </x:c>
      <x:c r="Q31" s="36" t="n">
        <x:v>8</x:v>
      </x:c>
      <x:c r="R31" s="42" t="n">
        <x:v>95</x:v>
      </x:c>
      <x:c r="S31" s="43" t="n">
        <x:v>512</x:v>
      </x:c>
      <x:c r="T31" s="43" t="n">
        <x:v>50000</x:v>
      </x:c>
      <x:c r="U31" s="46" t="n">
        <x:v>3</x:v>
      </x:c>
      <x:c r="V31" s="46" t="n">
        <x:v>5</x:v>
      </x:c>
      <x:c r="W31" s="43" t="n">
        <x:v>300</x:v>
      </x:c>
      <x:c r="X31" s="34" t="str">
        <x:v>uniform</x:v>
      </x:c>
      <x:c r="Y31" s="42" t="n">
        <x:v>10</x:v>
      </x:c>
      <x:c r="Z31" s="34" t="str">
        <x:v>strict</x:v>
      </x:c>
      <x:c r="AA31" s="36" t="n">
        <x:v>64</x:v>
      </x:c>
      <x:c r="AB31" s="43" t="n">
        <x:v>356092416</x:v>
      </x:c>
      <x:c r="AC31" s="43" t="n">
        <x:v>3032833447</x:v>
      </x:c>
      <x:c r="AD31" s="43" t="n">
        <x:v>32833447</x:v>
      </x:c>
      <x:c r="AE31" s="43" t="n">
        <x:v>13054233.814381849</x:v>
      </x:c>
      <x:c r="AF31" s="43" t="n">
        <x:v>91126995.06401266</x:v>
      </x:c>
      <x:c r="AG31" s="43" t="n">
        <x:v>456135424</x:v>
      </x:c>
      <x:c r="AH31" s="43" t="n">
        <x:v>5005491772</x:v>
      </x:c>
      <x:c r="AI31" s="43" t="n">
        <x:v>5491772</x:v>
      </x:c>
      <x:c r="AJ31" s="43" t="n">
        <x:v>91126995.06401266</x:v>
      </x:c>
      <x:c r="AK31" s="43" t="n">
        <x:v>456135424</x:v>
      </x:c>
      <x:c r="AL31" s="43" t="n">
        <x:v>0</x:v>
      </x:c>
      <x:c r="AM31" s="43" t="n">
        <x:v>17611028.73063227</x:v>
      </x:c>
      <x:c r="AN31" s="43" t="n">
        <x:v>40</x:v>
      </x:c>
      <x:c r="AO31" s="43" t="n">
        <x:v>181</x:v>
      </x:c>
      <x:c r="AP31" s="43" t="n">
        <x:v>320</x:v>
      </x:c>
      <x:c r="AQ31" s="43" t="n">
        <x:v>7127116</x:v>
      </x:c>
      <x:c r="AR31" s="43" t="n">
        <x:v>16</x:v>
      </x:c>
      <x:c r="AS31" s="45" t="b">
        <x:v>0</x:v>
      </x:c>
      <x:c r="AT31" s="43" t="n">
        <x:v>0</x:v>
      </x:c>
      <x:c r="AU31" s="48" t="n">
        <x:v>0</x:v>
      </x:c>
      <x:c r="AV31" s="43" t="n">
        <x:v>0</x:v>
      </x:c>
      <x:c r="AW31" s="48" t="n">
        <x:v>0</x:v>
      </x:c>
      <x:c r="AX31" s="45" t="b">
        <x:v>1</x:v>
      </x:c>
      <x:c r="AY31" s="44" t="str">
        <x:v>{"provider":"nostore","currentEntries":0,"requestCount":456135424,"hitCount":0,"missCount":456135424,"hitRate":0,"loadSuccessCount":0,"loadFailureCount":0,"totalLoadTimeNanos":0,"evictionCount":0,"expirationCount":0,"putCount":10000,"removeCount":0,"nativeMetrics":{"storageEnabled":0}}</x:v>
      </x:c>
      <x:c r="AZ31" s="44" t="str">
        <x:v>{"provider":"nostore","currentEntries":0,"requestCount":456135424,"hitCount":0,"missCount":456135424,"hitRate":0,"loadSuccessCount":0,"loadFailureCount":0,"totalLoadTimeNanos":0,"evictionCount":0,"expirationCount":0,"putCount":15000,"removeCount":0,"nativeMetrics":{"storageEnabled":0}}</x:v>
      </x:c>
      <x:c r="BA31" s="43" t="n">
        <x:v>0</x:v>
      </x:c>
      <x:c r="BB31" s="43" t="n">
        <x:v>456135424</x:v>
      </x:c>
      <x:c r="BC31" s="43" t="n">
        <x:v>0</x:v>
      </x:c>
      <x:c r="BD31" s="43" t="n">
        <x:v>456135424</x:v>
      </x:c>
      <x:c r="BE31" s="48" t="n">
        <x:v>0</x:v>
      </x:c>
      <x:c r="BF31" s="43" t="n">
        <x:v>0</x:v>
      </x:c>
      <x:c r="BG31" s="43" t="n">
        <x:v>0</x:v>
      </x:c>
      <x:c r="BH31" s="43" t="n">
        <x:v>0</x:v>
      </x:c>
      <x:c r="BI31" s="43" t="n">
        <x:v>0</x:v>
      </x:c>
      <x:c r="BJ31" s="43" t="n">
        <x:v>0</x:v>
      </x:c>
      <x:c r="BK31" s="43" t="n">
        <x:v>15000</x:v>
      </x:c>
      <x:c r="BL31" s="43" t="n">
        <x:v>0</x:v>
      </x:c>
      <x:c r="BM31" s="44" t="str">
        <x:v>{"storageEnabled":0}</x:v>
      </x:c>
    </x:row>
    <x:row r="32">
      <x:c r="A32" s="34" t="str">
        <x:v>article1-unified-v4-2-fb3f101b-20260903-000401-default-f01-p4-cache2k</x:v>
      </x:c>
      <x:c r="B32" s="34" t="str">
        <x:v>default</x:v>
      </x:c>
      <x:c r="C32" s="34" t="str">
        <x:v>cache2k</x:v>
      </x:c>
      <x:c r="D32" s="34" t="str">
        <x:v>cache2k</x:v>
      </x:c>
      <x:c r="E32" s="34" t="str">
        <x:v>current-provider-primary-comparison</x:v>
      </x:c>
      <x:c r="F32" s="36" t="n">
        <x:v>1</x:v>
      </x:c>
      <x:c r="G32" s="36" t="n">
        <x:v>1</x:v>
      </x:c>
      <x:c r="H32" s="36" t="n">
        <x:v>4</x:v>
      </x:c>
      <x:c r="I32" s="36" t="n">
        <x:v>1</x:v>
      </x:c>
      <x:c r="J32" s="34" t="str">
        <x:v>initial</x:v>
      </x:c>
      <x:c r="K32" s="34" t="str">
        <x:v>cache-semantics</x:v>
      </x:c>
      <x:c r="L32" s="45" t="b">
        <x:v>1</x:v>
      </x:c>
      <x:c r="M32" s="36" t="n">
        <x:v>106301548</x:v>
      </x:c>
      <x:c r="N32" s="34" t="str">
        <x:v>fa65b2a625504511da06f56a3e8d6510b1104618fae5e2432265db137bc093a0</x:v>
      </x:c>
      <x:c r="O32" s="43" t="n">
        <x:v>10000</x:v>
      </x:c>
      <x:c r="P32" s="43" t="n">
        <x:v>400000</x:v>
      </x:c>
      <x:c r="Q32" s="36" t="n">
        <x:v>8</x:v>
      </x:c>
      <x:c r="R32" s="42" t="n">
        <x:v>95</x:v>
      </x:c>
      <x:c r="S32" s="43" t="n">
        <x:v>512</x:v>
      </x:c>
      <x:c r="T32" s="43" t="n">
        <x:v>50000</x:v>
      </x:c>
      <x:c r="U32" s="46" t="n">
        <x:v>3</x:v>
      </x:c>
      <x:c r="V32" s="46" t="n">
        <x:v>5</x:v>
      </x:c>
      <x:c r="W32" s="43" t="n">
        <x:v>300</x:v>
      </x:c>
      <x:c r="X32" s="34" t="str">
        <x:v>uniform</x:v>
      </x:c>
      <x:c r="Y32" s="42" t="n">
        <x:v>10</x:v>
      </x:c>
      <x:c r="Z32" s="34" t="str">
        <x:v>strict</x:v>
      </x:c>
      <x:c r="AA32" s="36" t="n">
        <x:v>64</x:v>
      </x:c>
      <x:c r="AB32" s="43" t="n">
        <x:v>92810240</x:v>
      </x:c>
      <x:c r="AC32" s="43" t="n">
        <x:v>3000664489</x:v>
      </x:c>
      <x:c r="AD32" s="43" t="n">
        <x:v>664489</x:v>
      </x:c>
      <x:c r="AE32" s="43" t="n">
        <x:v>1652070.895648759</x:v>
      </x:c>
      <x:c r="AF32" s="43" t="n">
        <x:v>30183092.686770067</x:v>
      </x:c>
      <x:c r="AG32" s="43" t="n">
        <x:v>151060992</x:v>
      </x:c>
      <x:c r="AH32" s="43" t="n">
        <x:v>5004821526</x:v>
      </x:c>
      <x:c r="AI32" s="43" t="n">
        <x:v>4821526</x:v>
      </x:c>
      <x:c r="AJ32" s="43" t="n">
        <x:v>30183092.686770067</x:v>
      </x:c>
      <x:c r="AK32" s="43" t="n">
        <x:v>151060992</x:v>
      </x:c>
      <x:c r="AL32" s="43" t="n">
        <x:v>0</x:v>
      </x:c>
      <x:c r="AM32" s="43" t="n">
        <x:v>512390.892764272</x:v>
      </x:c>
      <x:c r="AN32" s="43" t="n">
        <x:v>141</x:v>
      </x:c>
      <x:c r="AO32" s="43" t="n">
        <x:v>321</x:v>
      </x:c>
      <x:c r="AP32" s="43" t="n">
        <x:v>511</x:v>
      </x:c>
      <x:c r="AQ32" s="43" t="n">
        <x:v>2360328</x:v>
      </x:c>
      <x:c r="AR32" s="43" t="n">
        <x:v>1</x:v>
      </x:c>
      <x:c r="AS32" s="45" t="b">
        <x:v>1</x:v>
      </x:c>
      <x:c r="AT32" s="43" t="n">
        <x:v>9979</x:v>
      </x:c>
      <x:c r="AU32" s="48" t="n">
        <x:v>0.947603746703848</x:v>
      </x:c>
      <x:c r="AV32" s="43" t="n">
        <x:v>9993</x:v>
      </x:c>
      <x:c r="AW32" s="48" t="n">
        <x:v>0.947603746703848</x:v>
      </x:c>
      <x:c r="AX32" s="45" t="b">
        <x:v>1</x:v>
      </x:c>
      <x:c r="AY32" s="44" t="str">
        <x:v>{"provider":"cache2k","currentEntries":9979,"requestCount":151060992,"hitCount":143145962,"missCount":7915030,"hitRate":0.947603746703848,"loadSuccessCount":0,"loadFailureCount":0,"totalLoadTimeNanos":0,"evictionCount":21,"expirationCount":0,"putCount":10000,"removeCount":0,"nativeMetrics":{"getCount":151060992,"missCount":7915030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2" s="44" t="str">
        <x:v>{"provider":"cache2k","currentEntries":9993,"requestCount":151060992,"hitCount":143145962,"missCount":7915030,"hitRate":0.947603746703848,"loadSuccessCount":0,"loadFailureCount":0,"totalLoadTimeNanos":0,"evictionCount":5007,"expirationCount":0,"putCount":15000,"removeCount":0,"nativeMetrics":{"getCount":151060992,"missCount":7915030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32" s="43" t="n">
        <x:v>9993</x:v>
      </x:c>
      <x:c r="BB32" s="43" t="n">
        <x:v>151060992</x:v>
      </x:c>
      <x:c r="BC32" s="43" t="n">
        <x:v>143145962</x:v>
      </x:c>
      <x:c r="BD32" s="43" t="n">
        <x:v>7915030</x:v>
      </x:c>
      <x:c r="BE32" s="48" t="n">
        <x:v>0.947603746703848</x:v>
      </x:c>
      <x:c r="BF32" s="43" t="n">
        <x:v>0</x:v>
      </x:c>
      <x:c r="BG32" s="43" t="n">
        <x:v>0</x:v>
      </x:c>
      <x:c r="BH32" s="43" t="n">
        <x:v>0</x:v>
      </x:c>
      <x:c r="BI32" s="43" t="n">
        <x:v>5007</x:v>
      </x:c>
      <x:c r="BJ32" s="43" t="n">
        <x:v>0</x:v>
      </x:c>
      <x:c r="BK32" s="43" t="n">
        <x:v>15000</x:v>
      </x:c>
      <x:c r="BL32" s="43" t="n">
        <x:v>0</x:v>
      </x:c>
      <x:c r="BM32" s="44" t="str">
        <x:v>{"getCount":151060992,"missCount":7915030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33">
      <x:c r="A33" s="34" t="str">
        <x:v>article1-unified-v4-2-fb3f101b-20260903-000401-default-f01-p4-cache2k</x:v>
      </x:c>
      <x:c r="B33" s="34" t="str">
        <x:v>default</x:v>
      </x:c>
      <x:c r="C33" s="34" t="str">
        <x:v>cache2k</x:v>
      </x:c>
      <x:c r="D33" s="34" t="str">
        <x:v>cache2k</x:v>
      </x:c>
      <x:c r="E33" s="34" t="str">
        <x:v>current-provider-primary-comparison</x:v>
      </x:c>
      <x:c r="F33" s="36" t="n">
        <x:v>1</x:v>
      </x:c>
      <x:c r="G33" s="36" t="n">
        <x:v>1</x:v>
      </x:c>
      <x:c r="H33" s="36" t="n">
        <x:v>4</x:v>
      </x:c>
      <x:c r="I33" s="36" t="n">
        <x:v>1</x:v>
      </x:c>
      <x:c r="J33" s="34" t="str">
        <x:v>redeploy</x:v>
      </x:c>
      <x:c r="K33" s="34" t="str">
        <x:v>cache-semantics</x:v>
      </x:c>
      <x:c r="L33" s="45" t="b">
        <x:v>1</x:v>
      </x:c>
      <x:c r="M33" s="36" t="n">
        <x:v>106301548</x:v>
      </x:c>
      <x:c r="N33" s="34" t="str">
        <x:v>fa65b2a625504511da06f56a3e8d6510b1104618fae5e2432265db137bc093a0</x:v>
      </x:c>
      <x:c r="O33" s="43" t="n">
        <x:v>10000</x:v>
      </x:c>
      <x:c r="P33" s="43" t="n">
        <x:v>400000</x:v>
      </x:c>
      <x:c r="Q33" s="36" t="n">
        <x:v>8</x:v>
      </x:c>
      <x:c r="R33" s="42" t="n">
        <x:v>95</x:v>
      </x:c>
      <x:c r="S33" s="43" t="n">
        <x:v>512</x:v>
      </x:c>
      <x:c r="T33" s="43" t="n">
        <x:v>50000</x:v>
      </x:c>
      <x:c r="U33" s="46" t="n">
        <x:v>3</x:v>
      </x:c>
      <x:c r="V33" s="46" t="n">
        <x:v>5</x:v>
      </x:c>
      <x:c r="W33" s="43" t="n">
        <x:v>300</x:v>
      </x:c>
      <x:c r="X33" s="34" t="str">
        <x:v>uniform</x:v>
      </x:c>
      <x:c r="Y33" s="42" t="n">
        <x:v>10</x:v>
      </x:c>
      <x:c r="Z33" s="34" t="str">
        <x:v>strict</x:v>
      </x:c>
      <x:c r="AA33" s="36" t="n">
        <x:v>64</x:v>
      </x:c>
      <x:c r="AB33" s="43" t="n">
        <x:v>97111040</x:v>
      </x:c>
      <x:c r="AC33" s="43" t="n">
        <x:v>3038483913</x:v>
      </x:c>
      <x:c r="AD33" s="43" t="n">
        <x:v>38483913</x:v>
      </x:c>
      <x:c r="AE33" s="43" t="n">
        <x:v>1329923.4097108347</x:v>
      </x:c>
      <x:c r="AF33" s="43" t="n">
        <x:v>30748390.297081206</x:v>
      </x:c>
      <x:c r="AG33" s="43" t="n">
        <x:v>153852416</x:v>
      </x:c>
      <x:c r="AH33" s="43" t="n">
        <x:v>5003592530</x:v>
      </x:c>
      <x:c r="AI33" s="43" t="n">
        <x:v>3592530</x:v>
      </x:c>
      <x:c r="AJ33" s="43" t="n">
        <x:v>30748390.297081206</x:v>
      </x:c>
      <x:c r="AK33" s="43" t="n">
        <x:v>153852416</x:v>
      </x:c>
      <x:c r="AL33" s="43" t="n">
        <x:v>0</x:v>
      </x:c>
      <x:c r="AM33" s="43" t="n">
        <x:v>470850.8038600349</x:v>
      </x:c>
      <x:c r="AN33" s="43" t="n">
        <x:v>150</x:v>
      </x:c>
      <x:c r="AO33" s="43" t="n">
        <x:v>321</x:v>
      </x:c>
      <x:c r="AP33" s="43" t="n">
        <x:v>511</x:v>
      </x:c>
      <x:c r="AQ33" s="43" t="n">
        <x:v>2403944</x:v>
      </x:c>
      <x:c r="AR33" s="43" t="n">
        <x:v>1</x:v>
      </x:c>
      <x:c r="AS33" s="45" t="b">
        <x:v>1</x:v>
      </x:c>
      <x:c r="AT33" s="43" t="n">
        <x:v>9979</x:v>
      </x:c>
      <x:c r="AU33" s="48" t="n">
        <x:v>0.947597241501882</x:v>
      </x:c>
      <x:c r="AV33" s="43" t="n">
        <x:v>9993</x:v>
      </x:c>
      <x:c r="AW33" s="48" t="n">
        <x:v>0.947597241501882</x:v>
      </x:c>
      <x:c r="AX33" s="45" t="b">
        <x:v>1</x:v>
      </x:c>
      <x:c r="AY33" s="44" t="str">
        <x:v>{"provider":"cache2k","currentEntries":9979,"requestCount":153852416,"hitCount":145790125,"missCount":8062291,"hitRate":0.947597241501882,"loadSuccessCount":0,"loadFailureCount":0,"totalLoadTimeNanos":0,"evictionCount":21,"expirationCount":0,"putCount":10000,"removeCount":0,"nativeMetrics":{"getCount":153852416,"missCount":8062291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3" s="44" t="str">
        <x:v>{"provider":"cache2k","currentEntries":9993,"requestCount":153852416,"hitCount":145790125,"missCount":8062291,"hitRate":0.947597241501882,"loadSuccessCount":0,"loadFailureCount":0,"totalLoadTimeNanos":0,"evictionCount":5007,"expirationCount":0,"putCount":15000,"removeCount":0,"nativeMetrics":{"getCount":153852416,"missCount":8062291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33" s="43" t="n">
        <x:v>9993</x:v>
      </x:c>
      <x:c r="BB33" s="43" t="n">
        <x:v>153852416</x:v>
      </x:c>
      <x:c r="BC33" s="43" t="n">
        <x:v>145790125</x:v>
      </x:c>
      <x:c r="BD33" s="43" t="n">
        <x:v>8062291</x:v>
      </x:c>
      <x:c r="BE33" s="48" t="n">
        <x:v>0.947597241501882</x:v>
      </x:c>
      <x:c r="BF33" s="43" t="n">
        <x:v>0</x:v>
      </x:c>
      <x:c r="BG33" s="43" t="n">
        <x:v>0</x:v>
      </x:c>
      <x:c r="BH33" s="43" t="n">
        <x:v>0</x:v>
      </x:c>
      <x:c r="BI33" s="43" t="n">
        <x:v>5007</x:v>
      </x:c>
      <x:c r="BJ33" s="43" t="n">
        <x:v>0</x:v>
      </x:c>
      <x:c r="BK33" s="43" t="n">
        <x:v>15000</x:v>
      </x:c>
      <x:c r="BL33" s="43" t="n">
        <x:v>0</x:v>
      </x:c>
      <x:c r="BM33" s="44" t="str">
        <x:v>{"getCount":153852416,"missCount":8062291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34">
      <x:c r="A34" s="34" t="str">
        <x:v>article1-unified-v4-2-fb3f101b-20260903-000401-default-f01-p4-cache2k</x:v>
      </x:c>
      <x:c r="B34" s="34" t="str">
        <x:v>default</x:v>
      </x:c>
      <x:c r="C34" s="34" t="str">
        <x:v>cache2k</x:v>
      </x:c>
      <x:c r="D34" s="34" t="str">
        <x:v>cache2k</x:v>
      </x:c>
      <x:c r="E34" s="34" t="str">
        <x:v>current-provider-primary-comparison</x:v>
      </x:c>
      <x:c r="F34" s="36" t="n">
        <x:v>1</x:v>
      </x:c>
      <x:c r="G34" s="36" t="n">
        <x:v>1</x:v>
      </x:c>
      <x:c r="H34" s="36" t="n">
        <x:v>4</x:v>
      </x:c>
      <x:c r="I34" s="36" t="n">
        <x:v>2</x:v>
      </x:c>
      <x:c r="J34" s="34" t="str">
        <x:v>initial</x:v>
      </x:c>
      <x:c r="K34" s="34" t="str">
        <x:v>cache-semantics</x:v>
      </x:c>
      <x:c r="L34" s="45" t="b">
        <x:v>1</x:v>
      </x:c>
      <x:c r="M34" s="36" t="n">
        <x:v>309808933</x:v>
      </x:c>
      <x:c r="N34" s="34" t="str">
        <x:v>b0f93ea0f1c077db50e7c1bad3e775d71788ff94e4a876cc76b8b1613dc18177</x:v>
      </x:c>
      <x:c r="O34" s="43" t="n">
        <x:v>10000</x:v>
      </x:c>
      <x:c r="P34" s="43" t="n">
        <x:v>400000</x:v>
      </x:c>
      <x:c r="Q34" s="36" t="n">
        <x:v>8</x:v>
      </x:c>
      <x:c r="R34" s="42" t="n">
        <x:v>95</x:v>
      </x:c>
      <x:c r="S34" s="43" t="n">
        <x:v>512</x:v>
      </x:c>
      <x:c r="T34" s="43" t="n">
        <x:v>50000</x:v>
      </x:c>
      <x:c r="U34" s="46" t="n">
        <x:v>3</x:v>
      </x:c>
      <x:c r="V34" s="46" t="n">
        <x:v>5</x:v>
      </x:c>
      <x:c r="W34" s="43" t="n">
        <x:v>300</x:v>
      </x:c>
      <x:c r="X34" s="34" t="str">
        <x:v>uniform</x:v>
      </x:c>
      <x:c r="Y34" s="42" t="n">
        <x:v>10</x:v>
      </x:c>
      <x:c r="Z34" s="34" t="str">
        <x:v>strict</x:v>
      </x:c>
      <x:c r="AA34" s="36" t="n">
        <x:v>64</x:v>
      </x:c>
      <x:c r="AB34" s="43" t="n">
        <x:v>88092928</x:v>
      </x:c>
      <x:c r="AC34" s="43" t="n">
        <x:v>3000593165</x:v>
      </x:c>
      <x:c r="AD34" s="43" t="n">
        <x:v>593165</x:v>
      </x:c>
      <x:c r="AE34" s="43" t="n">
        <x:v>1691007.0217375571</x:v>
      </x:c>
      <x:c r="AF34" s="43" t="n">
        <x:v>30409487.391101297</x:v>
      </x:c>
      <x:c r="AG34" s="43" t="n">
        <x:v>153775616</x:v>
      </x:c>
      <x:c r="AH34" s="43" t="n">
        <x:v>5056830259</x:v>
      </x:c>
      <x:c r="AI34" s="43" t="n">
        <x:v>56830259</x:v>
      </x:c>
      <x:c r="AJ34" s="43" t="n">
        <x:v>30409487.391101297</x:v>
      </x:c>
      <x:c r="AK34" s="43" t="n">
        <x:v>153775616</x:v>
      </x:c>
      <x:c r="AL34" s="43" t="n">
        <x:v>0</x:v>
      </x:c>
      <x:c r="AM34" s="43" t="n">
        <x:v>378069.00349101354</x:v>
      </x:c>
      <x:c r="AN34" s="43" t="n">
        <x:v>150</x:v>
      </x:c>
      <x:c r="AO34" s="43" t="n">
        <x:v>330</x:v>
      </x:c>
      <x:c r="AP34" s="43" t="n">
        <x:v>501</x:v>
      </x:c>
      <x:c r="AQ34" s="43" t="n">
        <x:v>2402744</x:v>
      </x:c>
      <x:c r="AR34" s="43" t="n">
        <x:v>1</x:v>
      </x:c>
      <x:c r="AS34" s="45" t="b">
        <x:v>1</x:v>
      </x:c>
      <x:c r="AT34" s="43" t="n">
        <x:v>9979</x:v>
      </x:c>
      <x:c r="AU34" s="48" t="n">
        <x:v>0.9484430288349487</x:v>
      </x:c>
      <x:c r="AV34" s="43" t="n">
        <x:v>9996</x:v>
      </x:c>
      <x:c r="AW34" s="48" t="n">
        <x:v>0.9484430288349487</x:v>
      </x:c>
      <x:c r="AX34" s="45" t="b">
        <x:v>1</x:v>
      </x:c>
      <x:c r="AY34" s="44" t="str">
        <x:v>{"provider":"cache2k","currentEntries":9979,"requestCount":153775616,"hitCount":145847411,"missCount":7928205,"hitRate":0.9484430288349487,"loadSuccessCount":0,"loadFailureCount":0,"totalLoadTimeNanos":0,"evictionCount":21,"expirationCount":0,"putCount":10000,"removeCount":0,"nativeMetrics":{"getCount":153775616,"missCount":7928205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4" s="44" t="str">
        <x:v>{"provider":"cache2k","currentEntries":9996,"requestCount":153775616,"hitCount":145847411,"missCount":7928205,"hitRate":0.9484430288349487,"loadSuccessCount":0,"loadFailureCount":0,"totalLoadTimeNanos":0,"evictionCount":5004,"expirationCount":0,"putCount":15000,"removeCount":0,"nativeMetrics":{"getCount":153775616,"missCount":7928205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34" s="43" t="n">
        <x:v>9996</x:v>
      </x:c>
      <x:c r="BB34" s="43" t="n">
        <x:v>153775616</x:v>
      </x:c>
      <x:c r="BC34" s="43" t="n">
        <x:v>145847411</x:v>
      </x:c>
      <x:c r="BD34" s="43" t="n">
        <x:v>7928205</x:v>
      </x:c>
      <x:c r="BE34" s="48" t="n">
        <x:v>0.9484430288349487</x:v>
      </x:c>
      <x:c r="BF34" s="43" t="n">
        <x:v>0</x:v>
      </x:c>
      <x:c r="BG34" s="43" t="n">
        <x:v>0</x:v>
      </x:c>
      <x:c r="BH34" s="43" t="n">
        <x:v>0</x:v>
      </x:c>
      <x:c r="BI34" s="43" t="n">
        <x:v>5004</x:v>
      </x:c>
      <x:c r="BJ34" s="43" t="n">
        <x:v>0</x:v>
      </x:c>
      <x:c r="BK34" s="43" t="n">
        <x:v>15000</x:v>
      </x:c>
      <x:c r="BL34" s="43" t="n">
        <x:v>0</x:v>
      </x:c>
      <x:c r="BM34" s="44" t="str">
        <x:v>{"getCount":153775616,"missCount":7928205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35">
      <x:c r="A35" s="34" t="str">
        <x:v>article1-unified-v4-2-fb3f101b-20260903-000401-default-f01-p4-cache2k</x:v>
      </x:c>
      <x:c r="B35" s="34" t="str">
        <x:v>default</x:v>
      </x:c>
      <x:c r="C35" s="34" t="str">
        <x:v>cache2k</x:v>
      </x:c>
      <x:c r="D35" s="34" t="str">
        <x:v>cache2k</x:v>
      </x:c>
      <x:c r="E35" s="34" t="str">
        <x:v>current-provider-primary-comparison</x:v>
      </x:c>
      <x:c r="F35" s="36" t="n">
        <x:v>1</x:v>
      </x:c>
      <x:c r="G35" s="36" t="n">
        <x:v>1</x:v>
      </x:c>
      <x:c r="H35" s="36" t="n">
        <x:v>4</x:v>
      </x:c>
      <x:c r="I35" s="36" t="n">
        <x:v>2</x:v>
      </x:c>
      <x:c r="J35" s="34" t="str">
        <x:v>redeploy</x:v>
      </x:c>
      <x:c r="K35" s="34" t="str">
        <x:v>cache-semantics</x:v>
      </x:c>
      <x:c r="L35" s="45" t="b">
        <x:v>1</x:v>
      </x:c>
      <x:c r="M35" s="36" t="n">
        <x:v>309808933</x:v>
      </x:c>
      <x:c r="N35" s="34" t="str">
        <x:v>b0f93ea0f1c077db50e7c1bad3e775d71788ff94e4a876cc76b8b1613dc18177</x:v>
      </x:c>
      <x:c r="O35" s="43" t="n">
        <x:v>10000</x:v>
      </x:c>
      <x:c r="P35" s="43" t="n">
        <x:v>400000</x:v>
      </x:c>
      <x:c r="Q35" s="36" t="n">
        <x:v>8</x:v>
      </x:c>
      <x:c r="R35" s="42" t="n">
        <x:v>95</x:v>
      </x:c>
      <x:c r="S35" s="43" t="n">
        <x:v>512</x:v>
      </x:c>
      <x:c r="T35" s="43" t="n">
        <x:v>50000</x:v>
      </x:c>
      <x:c r="U35" s="46" t="n">
        <x:v>3</x:v>
      </x:c>
      <x:c r="V35" s="46" t="n">
        <x:v>5</x:v>
      </x:c>
      <x:c r="W35" s="43" t="n">
        <x:v>300</x:v>
      </x:c>
      <x:c r="X35" s="34" t="str">
        <x:v>uniform</x:v>
      </x:c>
      <x:c r="Y35" s="42" t="n">
        <x:v>10</x:v>
      </x:c>
      <x:c r="Z35" s="34" t="str">
        <x:v>strict</x:v>
      </x:c>
      <x:c r="AA35" s="36" t="n">
        <x:v>64</x:v>
      </x:c>
      <x:c r="AB35" s="43" t="n">
        <x:v>84346112</x:v>
      </x:c>
      <x:c r="AC35" s="43" t="n">
        <x:v>3000640032</x:v>
      </x:c>
      <x:c r="AD35" s="43" t="n">
        <x:v>640032</x:v>
      </x:c>
      <x:c r="AE35" s="43" t="n">
        <x:v>1195494.277706865</x:v>
      </x:c>
      <x:c r="AF35" s="43" t="n">
        <x:v>28185452.15289101</x:v>
      </x:c>
      <x:c r="AG35" s="43" t="n">
        <x:v>140993280</x:v>
      </x:c>
      <x:c r="AH35" s="43" t="n">
        <x:v>5002342316</x:v>
      </x:c>
      <x:c r="AI35" s="43" t="n">
        <x:v>2342316</x:v>
      </x:c>
      <x:c r="AJ35" s="43" t="n">
        <x:v>28185452.15289101</x:v>
      </x:c>
      <x:c r="AK35" s="43" t="n">
        <x:v>140993280</x:v>
      </x:c>
      <x:c r="AL35" s="43" t="n">
        <x:v>0</x:v>
      </x:c>
      <x:c r="AM35" s="43" t="n">
        <x:v>163870.00114151844</x:v>
      </x:c>
      <x:c r="AN35" s="43" t="n">
        <x:v>150</x:v>
      </x:c>
      <x:c r="AO35" s="43" t="n">
        <x:v>341</x:v>
      </x:c>
      <x:c r="AP35" s="43" t="n">
        <x:v>551</x:v>
      </x:c>
      <x:c r="AQ35" s="43" t="n">
        <x:v>2203020</x:v>
      </x:c>
      <x:c r="AR35" s="43" t="n">
        <x:v>1</x:v>
      </x:c>
      <x:c r="AS35" s="45" t="b">
        <x:v>1</x:v>
      </x:c>
      <x:c r="AT35" s="43" t="n">
        <x:v>9979</x:v>
      </x:c>
      <x:c r="AU35" s="48" t="n">
        <x:v>0.9484397554266416</x:v>
      </x:c>
      <x:c r="AV35" s="43" t="n">
        <x:v>9996</x:v>
      </x:c>
      <x:c r="AW35" s="48" t="n">
        <x:v>0.9484397554266416</x:v>
      </x:c>
      <x:c r="AX35" s="45" t="b">
        <x:v>1</x:v>
      </x:c>
      <x:c r="AY35" s="44" t="str">
        <x:v>{"provider":"cache2k","currentEntries":9979,"requestCount":140993280,"hitCount":133723632,"missCount":7269648,"hitRate":0.9484397554266416,"loadSuccessCount":0,"loadFailureCount":0,"totalLoadTimeNanos":0,"evictionCount":21,"expirationCount":0,"putCount":10000,"removeCount":0,"nativeMetrics":{"getCount":140993280,"missCount":7269648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" s="44" t="str">
        <x:v>{"provider":"cache2k","currentEntries":9996,"requestCount":140993280,"hitCount":133723632,"missCount":7269648,"hitRate":0.9484397554266416,"loadSuccessCount":0,"loadFailureCount":0,"totalLoadTimeNanos":0,"evictionCount":5004,"expirationCount":0,"putCount":15000,"removeCount":0,"nativeMetrics":{"getCount":140993280,"missCount":7269648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35" s="43" t="n">
        <x:v>9996</x:v>
      </x:c>
      <x:c r="BB35" s="43" t="n">
        <x:v>140993280</x:v>
      </x:c>
      <x:c r="BC35" s="43" t="n">
        <x:v>133723632</x:v>
      </x:c>
      <x:c r="BD35" s="43" t="n">
        <x:v>7269648</x:v>
      </x:c>
      <x:c r="BE35" s="48" t="n">
        <x:v>0.9484397554266416</x:v>
      </x:c>
      <x:c r="BF35" s="43" t="n">
        <x:v>0</x:v>
      </x:c>
      <x:c r="BG35" s="43" t="n">
        <x:v>0</x:v>
      </x:c>
      <x:c r="BH35" s="43" t="n">
        <x:v>0</x:v>
      </x:c>
      <x:c r="BI35" s="43" t="n">
        <x:v>5004</x:v>
      </x:c>
      <x:c r="BJ35" s="43" t="n">
        <x:v>0</x:v>
      </x:c>
      <x:c r="BK35" s="43" t="n">
        <x:v>15000</x:v>
      </x:c>
      <x:c r="BL35" s="43" t="n">
        <x:v>0</x:v>
      </x:c>
      <x:c r="BM35" s="44" t="str">
        <x:v>{"getCount":140993280,"missCount":7269648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36">
      <x:c r="A36" s="34" t="str">
        <x:v>article1-unified-v4-2-fb3f101b-20260903-000401-default-f01-p4-cache2k</x:v>
      </x:c>
      <x:c r="B36" s="34" t="str">
        <x:v>default</x:v>
      </x:c>
      <x:c r="C36" s="34" t="str">
        <x:v>cache2k</x:v>
      </x:c>
      <x:c r="D36" s="34" t="str">
        <x:v>cache2k</x:v>
      </x:c>
      <x:c r="E36" s="34" t="str">
        <x:v>current-provider-primary-comparison</x:v>
      </x:c>
      <x:c r="F36" s="36" t="n">
        <x:v>1</x:v>
      </x:c>
      <x:c r="G36" s="36" t="n">
        <x:v>1</x:v>
      </x:c>
      <x:c r="H36" s="36" t="n">
        <x:v>4</x:v>
      </x:c>
      <x:c r="I36" s="36" t="n">
        <x:v>3</x:v>
      </x:c>
      <x:c r="J36" s="34" t="str">
        <x:v>initial</x:v>
      </x:c>
      <x:c r="K36" s="34" t="str">
        <x:v>cache-semantics</x:v>
      </x:c>
      <x:c r="L36" s="45" t="b">
        <x:v>1</x:v>
      </x:c>
      <x:c r="M36" s="36" t="n">
        <x:v>1346581378</x:v>
      </x:c>
      <x:c r="N36" s="34" t="str">
        <x:v>2bf58a45a91aaa1defb64a6c1f623f67f3c75e3e966112109387a96ba1d5e699</x:v>
      </x:c>
      <x:c r="O36" s="43" t="n">
        <x:v>10000</x:v>
      </x:c>
      <x:c r="P36" s="43" t="n">
        <x:v>400000</x:v>
      </x:c>
      <x:c r="Q36" s="36" t="n">
        <x:v>8</x:v>
      </x:c>
      <x:c r="R36" s="42" t="n">
        <x:v>95</x:v>
      </x:c>
      <x:c r="S36" s="43" t="n">
        <x:v>512</x:v>
      </x:c>
      <x:c r="T36" s="43" t="n">
        <x:v>50000</x:v>
      </x:c>
      <x:c r="U36" s="46" t="n">
        <x:v>3</x:v>
      </x:c>
      <x:c r="V36" s="46" t="n">
        <x:v>5</x:v>
      </x:c>
      <x:c r="W36" s="43" t="n">
        <x:v>300</x:v>
      </x:c>
      <x:c r="X36" s="34" t="str">
        <x:v>uniform</x:v>
      </x:c>
      <x:c r="Y36" s="42" t="n">
        <x:v>10</x:v>
      </x:c>
      <x:c r="Z36" s="34" t="str">
        <x:v>strict</x:v>
      </x:c>
      <x:c r="AA36" s="36" t="n">
        <x:v>64</x:v>
      </x:c>
      <x:c r="AB36" s="43" t="n">
        <x:v>84030720</x:v>
      </x:c>
      <x:c r="AC36" s="43" t="n">
        <x:v>3034086768</x:v>
      </x:c>
      <x:c r="AD36" s="43" t="n">
        <x:v>34086768</x:v>
      </x:c>
      <x:c r="AE36" s="43" t="n">
        <x:v>1025991.9675088864</x:v>
      </x:c>
      <x:c r="AF36" s="43" t="n">
        <x:v>28865870.43043782</x:v>
      </x:c>
      <x:c r="AG36" s="43" t="n">
        <x:v>144398080</x:v>
      </x:c>
      <x:c r="AH36" s="43" t="n">
        <x:v>5002380938</x:v>
      </x:c>
      <x:c r="AI36" s="43" t="n">
        <x:v>2380938</x:v>
      </x:c>
      <x:c r="AJ36" s="43" t="n">
        <x:v>28865870.43043782</x:v>
      </x:c>
      <x:c r="AK36" s="43" t="n">
        <x:v>144398080</x:v>
      </x:c>
      <x:c r="AL36" s="43" t="n">
        <x:v>0</x:v>
      </x:c>
      <x:c r="AM36" s="43" t="n">
        <x:v>457103.44698966754</x:v>
      </x:c>
      <x:c r="AN36" s="43" t="n">
        <x:v>150</x:v>
      </x:c>
      <x:c r="AO36" s="43" t="n">
        <x:v>341</x:v>
      </x:c>
      <x:c r="AP36" s="43" t="n">
        <x:v>531</x:v>
      </x:c>
      <x:c r="AQ36" s="43" t="n">
        <x:v>2256220</x:v>
      </x:c>
      <x:c r="AR36" s="43" t="n">
        <x:v>1</x:v>
      </x:c>
      <x:c r="AS36" s="45" t="b">
        <x:v>1</x:v>
      </x:c>
      <x:c r="AT36" s="43" t="n">
        <x:v>9979</x:v>
      </x:c>
      <x:c r="AU36" s="48" t="n">
        <x:v>0.9479537747316308</x:v>
      </x:c>
      <x:c r="AV36" s="43" t="n">
        <x:v>9993</x:v>
      </x:c>
      <x:c r="AW36" s="48" t="n">
        <x:v>0.9479537747316308</x:v>
      </x:c>
      <x:c r="AX36" s="45" t="b">
        <x:v>1</x:v>
      </x:c>
      <x:c r="AY36" s="44" t="str">
        <x:v>{"provider":"cache2k","currentEntries":9979,"requestCount":144398080,"hitCount":136882705,"missCount":7515375,"hitRate":0.9479537747316308,"loadSuccessCount":0,"loadFailureCount":0,"totalLoadTimeNanos":0,"evictionCount":21,"expirationCount":0,"putCount":10000,"removeCount":0,"nativeMetrics":{"getCount":144398080,"missCount":7515375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6" s="44" t="str">
        <x:v>{"provider":"cache2k","currentEntries":9993,"requestCount":144398080,"hitCount":136882705,"missCount":7515375,"hitRate":0.9479537747316308,"loadSuccessCount":0,"loadFailureCount":0,"totalLoadTimeNanos":0,"evictionCount":5007,"expirationCount":0,"putCount":15000,"removeCount":0,"nativeMetrics":{"getCount":144398080,"missCount":7515375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36" s="43" t="n">
        <x:v>9993</x:v>
      </x:c>
      <x:c r="BB36" s="43" t="n">
        <x:v>144398080</x:v>
      </x:c>
      <x:c r="BC36" s="43" t="n">
        <x:v>136882705</x:v>
      </x:c>
      <x:c r="BD36" s="43" t="n">
        <x:v>7515375</x:v>
      </x:c>
      <x:c r="BE36" s="48" t="n">
        <x:v>0.9479537747316308</x:v>
      </x:c>
      <x:c r="BF36" s="43" t="n">
        <x:v>0</x:v>
      </x:c>
      <x:c r="BG36" s="43" t="n">
        <x:v>0</x:v>
      </x:c>
      <x:c r="BH36" s="43" t="n">
        <x:v>0</x:v>
      </x:c>
      <x:c r="BI36" s="43" t="n">
        <x:v>5007</x:v>
      </x:c>
      <x:c r="BJ36" s="43" t="n">
        <x:v>0</x:v>
      </x:c>
      <x:c r="BK36" s="43" t="n">
        <x:v>15000</x:v>
      </x:c>
      <x:c r="BL36" s="43" t="n">
        <x:v>0</x:v>
      </x:c>
      <x:c r="BM36" s="44" t="str">
        <x:v>{"getCount":144398080,"missCount":7515375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37">
      <x:c r="A37" s="34" t="str">
        <x:v>article1-unified-v4-2-fb3f101b-20260903-000401-default-f01-p4-cache2k</x:v>
      </x:c>
      <x:c r="B37" s="34" t="str">
        <x:v>default</x:v>
      </x:c>
      <x:c r="C37" s="34" t="str">
        <x:v>cache2k</x:v>
      </x:c>
      <x:c r="D37" s="34" t="str">
        <x:v>cache2k</x:v>
      </x:c>
      <x:c r="E37" s="34" t="str">
        <x:v>current-provider-primary-comparison</x:v>
      </x:c>
      <x:c r="F37" s="36" t="n">
        <x:v>1</x:v>
      </x:c>
      <x:c r="G37" s="36" t="n">
        <x:v>1</x:v>
      </x:c>
      <x:c r="H37" s="36" t="n">
        <x:v>4</x:v>
      </x:c>
      <x:c r="I37" s="36" t="n">
        <x:v>3</x:v>
      </x:c>
      <x:c r="J37" s="34" t="str">
        <x:v>redeploy</x:v>
      </x:c>
      <x:c r="K37" s="34" t="str">
        <x:v>cache-semantics</x:v>
      </x:c>
      <x:c r="L37" s="45" t="b">
        <x:v>1</x:v>
      </x:c>
      <x:c r="M37" s="36" t="n">
        <x:v>1346581378</x:v>
      </x:c>
      <x:c r="N37" s="34" t="str">
        <x:v>2bf58a45a91aaa1defb64a6c1f623f67f3c75e3e966112109387a96ba1d5e699</x:v>
      </x:c>
      <x:c r="O37" s="43" t="n">
        <x:v>10000</x:v>
      </x:c>
      <x:c r="P37" s="43" t="n">
        <x:v>400000</x:v>
      </x:c>
      <x:c r="Q37" s="36" t="n">
        <x:v>8</x:v>
      </x:c>
      <x:c r="R37" s="42" t="n">
        <x:v>95</x:v>
      </x:c>
      <x:c r="S37" s="43" t="n">
        <x:v>512</x:v>
      </x:c>
      <x:c r="T37" s="43" t="n">
        <x:v>50000</x:v>
      </x:c>
      <x:c r="U37" s="46" t="n">
        <x:v>3</x:v>
      </x:c>
      <x:c r="V37" s="46" t="n">
        <x:v>5</x:v>
      </x:c>
      <x:c r="W37" s="43" t="n">
        <x:v>300</x:v>
      </x:c>
      <x:c r="X37" s="34" t="str">
        <x:v>uniform</x:v>
      </x:c>
      <x:c r="Y37" s="42" t="n">
        <x:v>10</x:v>
      </x:c>
      <x:c r="Z37" s="34" t="str">
        <x:v>strict</x:v>
      </x:c>
      <x:c r="AA37" s="36" t="n">
        <x:v>64</x:v>
      </x:c>
      <x:c r="AB37" s="43" t="n">
        <x:v>92082944</x:v>
      </x:c>
      <x:c r="AC37" s="43" t="n">
        <x:v>3023630943</x:v>
      </x:c>
      <x:c r="AD37" s="43" t="n">
        <x:v>23630943</x:v>
      </x:c>
      <x:c r="AE37" s="43" t="n">
        <x:v>1488542.4653627332</x:v>
      </x:c>
      <x:c r="AF37" s="43" t="n">
        <x:v>31872765.439801216</x:v>
      </x:c>
      <x:c r="AG37" s="43" t="n">
        <x:v>159457792</x:v>
      </x:c>
      <x:c r="AH37" s="43" t="n">
        <x:v>5002948122</x:v>
      </x:c>
      <x:c r="AI37" s="43" t="n">
        <x:v>2948122</x:v>
      </x:c>
      <x:c r="AJ37" s="43" t="n">
        <x:v>31872765.439801216</x:v>
      </x:c>
      <x:c r="AK37" s="43" t="n">
        <x:v>159457792</x:v>
      </x:c>
      <x:c r="AL37" s="43" t="n">
        <x:v>0</x:v>
      </x:c>
      <x:c r="AM37" s="43" t="n">
        <x:v>506237.29913896124</x:v>
      </x:c>
      <x:c r="AN37" s="43" t="n">
        <x:v>140</x:v>
      </x:c>
      <x:c r="AO37" s="43" t="n">
        <x:v>310</x:v>
      </x:c>
      <x:c r="AP37" s="43" t="n">
        <x:v>481</x:v>
      </x:c>
      <x:c r="AQ37" s="43" t="n">
        <x:v>2491528</x:v>
      </x:c>
      <x:c r="AR37" s="43" t="n">
        <x:v>1</x:v>
      </x:c>
      <x:c r="AS37" s="45" t="b">
        <x:v>1</x:v>
      </x:c>
      <x:c r="AT37" s="43" t="n">
        <x:v>9979</x:v>
      </x:c>
      <x:c r="AU37" s="48" t="n">
        <x:v>0.9479361221808464</x:v>
      </x:c>
      <x:c r="AV37" s="43" t="n">
        <x:v>9991</x:v>
      </x:c>
      <x:c r="AW37" s="48" t="n">
        <x:v>0.9479361221808464</x:v>
      </x:c>
      <x:c r="AX37" s="45" t="b">
        <x:v>1</x:v>
      </x:c>
      <x:c r="AY37" s="44" t="str">
        <x:v>{"provider":"cache2k","currentEntries":9979,"requestCount":159457792,"hitCount":151155801,"missCount":8301991,"hitRate":0.9479361221808464,"loadSuccessCount":0,"loadFailureCount":0,"totalLoadTimeNanos":0,"evictionCount":21,"expirationCount":0,"putCount":10000,"removeCount":0,"nativeMetrics":{"getCount":159457792,"missCount":8301991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7" s="44" t="str">
        <x:v>{"provider":"cache2k","currentEntries":9991,"requestCount":159457792,"hitCount":151155801,"missCount":8301991,"hitRate":0.9479361221808464,"loadSuccessCount":0,"loadFailureCount":0,"totalLoadTimeNanos":0,"evictionCount":5009,"expirationCount":0,"putCount":15000,"removeCount":0,"nativeMetrics":{"getCount":159457792,"missCount":8301991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37" s="43" t="n">
        <x:v>9991</x:v>
      </x:c>
      <x:c r="BB37" s="43" t="n">
        <x:v>159457792</x:v>
      </x:c>
      <x:c r="BC37" s="43" t="n">
        <x:v>151155801</x:v>
      </x:c>
      <x:c r="BD37" s="43" t="n">
        <x:v>8301991</x:v>
      </x:c>
      <x:c r="BE37" s="48" t="n">
        <x:v>0.9479361221808464</x:v>
      </x:c>
      <x:c r="BF37" s="43" t="n">
        <x:v>0</x:v>
      </x:c>
      <x:c r="BG37" s="43" t="n">
        <x:v>0</x:v>
      </x:c>
      <x:c r="BH37" s="43" t="n">
        <x:v>0</x:v>
      </x:c>
      <x:c r="BI37" s="43" t="n">
        <x:v>5009</x:v>
      </x:c>
      <x:c r="BJ37" s="43" t="n">
        <x:v>0</x:v>
      </x:c>
      <x:c r="BK37" s="43" t="n">
        <x:v>15000</x:v>
      </x:c>
      <x:c r="BL37" s="43" t="n">
        <x:v>0</x:v>
      </x:c>
      <x:c r="BM37" s="44" t="str">
        <x:v>{"getCount":159457792,"missCount":8301991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38">
      <x:c r="A38" s="34" t="str">
        <x:v>article1-unified-v4-2-fb3f101b-20260903-000401-default-f01-p4-cache2k</x:v>
      </x:c>
      <x:c r="B38" s="34" t="str">
        <x:v>default</x:v>
      </x:c>
      <x:c r="C38" s="34" t="str">
        <x:v>cache2k</x:v>
      </x:c>
      <x:c r="D38" s="34" t="str">
        <x:v>cache2k</x:v>
      </x:c>
      <x:c r="E38" s="34" t="str">
        <x:v>current-provider-primary-comparison</x:v>
      </x:c>
      <x:c r="F38" s="36" t="n">
        <x:v>1</x:v>
      </x:c>
      <x:c r="G38" s="36" t="n">
        <x:v>1</x:v>
      </x:c>
      <x:c r="H38" s="36" t="n">
        <x:v>4</x:v>
      </x:c>
      <x:c r="I38" s="36" t="n">
        <x:v>4</x:v>
      </x:c>
      <x:c r="J38" s="34" t="str">
        <x:v>initial</x:v>
      </x:c>
      <x:c r="K38" s="34" t="str">
        <x:v>cache-semantics</x:v>
      </x:c>
      <x:c r="L38" s="45" t="b">
        <x:v>1</x:v>
      </x:c>
      <x:c r="M38" s="36" t="n">
        <x:v>584767396</x:v>
      </x:c>
      <x:c r="N38" s="34" t="str">
        <x:v>8b3eab7a458105f79edbbcdf72ca6cd4f7d0bb6ba737ed58e05821db7c3517a5</x:v>
      </x:c>
      <x:c r="O38" s="43" t="n">
        <x:v>10000</x:v>
      </x:c>
      <x:c r="P38" s="43" t="n">
        <x:v>400000</x:v>
      </x:c>
      <x:c r="Q38" s="36" t="n">
        <x:v>8</x:v>
      </x:c>
      <x:c r="R38" s="42" t="n">
        <x:v>95</x:v>
      </x:c>
      <x:c r="S38" s="43" t="n">
        <x:v>512</x:v>
      </x:c>
      <x:c r="T38" s="43" t="n">
        <x:v>50000</x:v>
      </x:c>
      <x:c r="U38" s="46" t="n">
        <x:v>3</x:v>
      </x:c>
      <x:c r="V38" s="46" t="n">
        <x:v>5</x:v>
      </x:c>
      <x:c r="W38" s="43" t="n">
        <x:v>300</x:v>
      </x:c>
      <x:c r="X38" s="34" t="str">
        <x:v>uniform</x:v>
      </x:c>
      <x:c r="Y38" s="42" t="n">
        <x:v>10</x:v>
      </x:c>
      <x:c r="Z38" s="34" t="str">
        <x:v>strict</x:v>
      </x:c>
      <x:c r="AA38" s="36" t="n">
        <x:v>64</x:v>
      </x:c>
      <x:c r="AB38" s="43" t="n">
        <x:v>95803392</x:v>
      </x:c>
      <x:c r="AC38" s="43" t="n">
        <x:v>3012642849</x:v>
      </x:c>
      <x:c r="AD38" s="43" t="n">
        <x:v>12642849</x:v>
      </x:c>
      <x:c r="AE38" s="43" t="n">
        <x:v>1471807.454616449</x:v>
      </x:c>
      <x:c r="AF38" s="43" t="n">
        <x:v>24887178.431712747</x:v>
      </x:c>
      <x:c r="AG38" s="43" t="n">
        <x:v>124628992</x:v>
      </x:c>
      <x:c r="AH38" s="43" t="n">
        <x:v>5007759009</x:v>
      </x:c>
      <x:c r="AI38" s="43" t="n">
        <x:v>7759009</x:v>
      </x:c>
      <x:c r="AJ38" s="43" t="n">
        <x:v>24887178.431712747</x:v>
      </x:c>
      <x:c r="AK38" s="43" t="n">
        <x:v>124628992</x:v>
      </x:c>
      <x:c r="AL38" s="43" t="n">
        <x:v>0</x:v>
      </x:c>
      <x:c r="AM38" s="43" t="n">
        <x:v>132041.99431897243</x:v>
      </x:c>
      <x:c r="AN38" s="43" t="n">
        <x:v>151</x:v>
      </x:c>
      <x:c r="AO38" s="43" t="n">
        <x:v>361</x:v>
      </x:c>
      <x:c r="AP38" s="43" t="n">
        <x:v>601</x:v>
      </x:c>
      <x:c r="AQ38" s="43" t="n">
        <x:v>1947328</x:v>
      </x:c>
      <x:c r="AR38" s="43" t="n">
        <x:v>1</x:v>
      </x:c>
      <x:c r="AS38" s="45" t="b">
        <x:v>1</x:v>
      </x:c>
      <x:c r="AT38" s="43" t="n">
        <x:v>9979</x:v>
      </x:c>
      <x:c r="AU38" s="48" t="n">
        <x:v>0.9479800815527738</x:v>
      </x:c>
      <x:c r="AV38" s="43" t="n">
        <x:v>9990</x:v>
      </x:c>
      <x:c r="AW38" s="48" t="n">
        <x:v>0.9479800815527738</x:v>
      </x:c>
      <x:c r="AX38" s="45" t="b">
        <x:v>1</x:v>
      </x:c>
      <x:c r="AY38" s="44" t="str">
        <x:v>{"provider":"cache2k","currentEntries":9979,"requestCount":124628992,"hitCount":118145802,"missCount":6483190,"hitRate":0.9479800815527738,"loadSuccessCount":0,"loadFailureCount":0,"totalLoadTimeNanos":0,"evictionCount":21,"expirationCount":0,"putCount":10000,"removeCount":0,"nativeMetrics":{"getCount":124628992,"missCount":6483190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8" s="44" t="str">
        <x:v>{"provider":"cache2k","currentEntries":9990,"requestCount":124628992,"hitCount":118145802,"missCount":6483190,"hitRate":0.9479800815527738,"loadSuccessCount":0,"loadFailureCount":0,"totalLoadTimeNanos":0,"evictionCount":5010,"expirationCount":0,"putCount":15000,"removeCount":0,"nativeMetrics":{"getCount":124628992,"missCount":6483190,"loadCount":0,"loadExceptionCount":0,"suppressedLoadExceptionCount":0,"refreshCount":0,"refreshFailedCount":0,"refreshedHitCount":0,"expiredCount":0,"evictedCount":5010,"putCount":15000,"removeCount":0,"keyMutationCount":0,"totalLoadMillis":0}}</x:v>
      </x:c>
      <x:c r="BA38" s="43" t="n">
        <x:v>9990</x:v>
      </x:c>
      <x:c r="BB38" s="43" t="n">
        <x:v>124628992</x:v>
      </x:c>
      <x:c r="BC38" s="43" t="n">
        <x:v>118145802</x:v>
      </x:c>
      <x:c r="BD38" s="43" t="n">
        <x:v>6483190</x:v>
      </x:c>
      <x:c r="BE38" s="48" t="n">
        <x:v>0.9479800815527738</x:v>
      </x:c>
      <x:c r="BF38" s="43" t="n">
        <x:v>0</x:v>
      </x:c>
      <x:c r="BG38" s="43" t="n">
        <x:v>0</x:v>
      </x:c>
      <x:c r="BH38" s="43" t="n">
        <x:v>0</x:v>
      </x:c>
      <x:c r="BI38" s="43" t="n">
        <x:v>5010</x:v>
      </x:c>
      <x:c r="BJ38" s="43" t="n">
        <x:v>0</x:v>
      </x:c>
      <x:c r="BK38" s="43" t="n">
        <x:v>15000</x:v>
      </x:c>
      <x:c r="BL38" s="43" t="n">
        <x:v>0</x:v>
      </x:c>
      <x:c r="BM38" s="44" t="str">
        <x:v>{"getCount":124628992,"missCount":6483190,"loadCount":0,"loadExceptionCount":0,"suppressedLoadExceptionCount":0,"refreshCount":0,"refreshFailedCount":0,"refreshedHitCount":0,"expiredCount":0,"evictedCount":5010,"putCount":15000,"removeCount":0,"keyMutationCount":0,"totalLoadMillis":0}</x:v>
      </x:c>
    </x:row>
    <x:row r="39">
      <x:c r="A39" s="34" t="str">
        <x:v>article1-unified-v4-2-fb3f101b-20260903-000401-default-f01-p4-cache2k</x:v>
      </x:c>
      <x:c r="B39" s="34" t="str">
        <x:v>default</x:v>
      </x:c>
      <x:c r="C39" s="34" t="str">
        <x:v>cache2k</x:v>
      </x:c>
      <x:c r="D39" s="34" t="str">
        <x:v>cache2k</x:v>
      </x:c>
      <x:c r="E39" s="34" t="str">
        <x:v>current-provider-primary-comparison</x:v>
      </x:c>
      <x:c r="F39" s="36" t="n">
        <x:v>1</x:v>
      </x:c>
      <x:c r="G39" s="36" t="n">
        <x:v>1</x:v>
      </x:c>
      <x:c r="H39" s="36" t="n">
        <x:v>4</x:v>
      </x:c>
      <x:c r="I39" s="36" t="n">
        <x:v>4</x:v>
      </x:c>
      <x:c r="J39" s="34" t="str">
        <x:v>redeploy</x:v>
      </x:c>
      <x:c r="K39" s="34" t="str">
        <x:v>cache-semantics</x:v>
      </x:c>
      <x:c r="L39" s="45" t="b">
        <x:v>1</x:v>
      </x:c>
      <x:c r="M39" s="36" t="n">
        <x:v>584767396</x:v>
      </x:c>
      <x:c r="N39" s="34" t="str">
        <x:v>8b3eab7a458105f79edbbcdf72ca6cd4f7d0bb6ba737ed58e05821db7c3517a5</x:v>
      </x:c>
      <x:c r="O39" s="43" t="n">
        <x:v>10000</x:v>
      </x:c>
      <x:c r="P39" s="43" t="n">
        <x:v>400000</x:v>
      </x:c>
      <x:c r="Q39" s="36" t="n">
        <x:v>8</x:v>
      </x:c>
      <x:c r="R39" s="42" t="n">
        <x:v>95</x:v>
      </x:c>
      <x:c r="S39" s="43" t="n">
        <x:v>512</x:v>
      </x:c>
      <x:c r="T39" s="43" t="n">
        <x:v>50000</x:v>
      </x:c>
      <x:c r="U39" s="46" t="n">
        <x:v>3</x:v>
      </x:c>
      <x:c r="V39" s="46" t="n">
        <x:v>5</x:v>
      </x:c>
      <x:c r="W39" s="43" t="n">
        <x:v>300</x:v>
      </x:c>
      <x:c r="X39" s="34" t="str">
        <x:v>uniform</x:v>
      </x:c>
      <x:c r="Y39" s="42" t="n">
        <x:v>10</x:v>
      </x:c>
      <x:c r="Z39" s="34" t="str">
        <x:v>strict</x:v>
      </x:c>
      <x:c r="AA39" s="36" t="n">
        <x:v>64</x:v>
      </x:c>
      <x:c r="AB39" s="43" t="n">
        <x:v>99175680</x:v>
      </x:c>
      <x:c r="AC39" s="43" t="n">
        <x:v>3052514135</x:v>
      </x:c>
      <x:c r="AD39" s="43" t="n">
        <x:v>52514135</x:v>
      </x:c>
      <x:c r="AE39" s="43" t="n">
        <x:v>1865438.8099694273</x:v>
      </x:c>
      <x:c r="AF39" s="43" t="n">
        <x:v>29802588.72899847</x:v>
      </x:c>
      <x:c r="AG39" s="43" t="n">
        <x:v>149089536</x:v>
      </x:c>
      <x:c r="AH39" s="43" t="n">
        <x:v>5002569990</x:v>
      </x:c>
      <x:c r="AI39" s="43" t="n">
        <x:v>2569990</x:v>
      </x:c>
      <x:c r="AJ39" s="43" t="n">
        <x:v>29802588.72899847</x:v>
      </x:c>
      <x:c r="AK39" s="43" t="n">
        <x:v>149089536</x:v>
      </x:c>
      <x:c r="AL39" s="43" t="n">
        <x:v>0</x:v>
      </x:c>
      <x:c r="AM39" s="43" t="n">
        <x:v>464045.60714474315</x:v>
      </x:c>
      <x:c r="AN39" s="43" t="n">
        <x:v>151</x:v>
      </x:c>
      <x:c r="AO39" s="43" t="n">
        <x:v>351</x:v>
      </x:c>
      <x:c r="AP39" s="43" t="n">
        <x:v>551</x:v>
      </x:c>
      <x:c r="AQ39" s="43" t="n">
        <x:v>2329524</x:v>
      </x:c>
      <x:c r="AR39" s="43" t="n">
        <x:v>1</x:v>
      </x:c>
      <x:c r="AS39" s="45" t="b">
        <x:v>1</x:v>
      </x:c>
      <x:c r="AT39" s="43" t="n">
        <x:v>9979</x:v>
      </x:c>
      <x:c r="AU39" s="48" t="n">
        <x:v>0.947995954592011</x:v>
      </x:c>
      <x:c r="AV39" s="43" t="n">
        <x:v>9990</x:v>
      </x:c>
      <x:c r="AW39" s="48" t="n">
        <x:v>0.947995954592011</x:v>
      </x:c>
      <x:c r="AX39" s="45" t="b">
        <x:v>1</x:v>
      </x:c>
      <x:c r="AY39" s="44" t="str">
        <x:v>{"provider":"cache2k","currentEntries":9979,"requestCount":149089536,"hitCount":141336277,"missCount":7753259,"hitRate":0.947995954592011,"loadSuccessCount":0,"loadFailureCount":0,"totalLoadTimeNanos":0,"evictionCount":21,"expirationCount":0,"putCount":10000,"removeCount":0,"nativeMetrics":{"getCount":149089536,"missCount":7753259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9" s="44" t="str">
        <x:v>{"provider":"cache2k","currentEntries":9990,"requestCount":149089536,"hitCount":141336277,"missCount":7753259,"hitRate":0.947995954592011,"loadSuccessCount":0,"loadFailureCount":0,"totalLoadTimeNanos":0,"evictionCount":5010,"expirationCount":0,"putCount":15000,"removeCount":0,"nativeMetrics":{"getCount":149089536,"missCount":7753259,"loadCount":0,"loadExceptionCount":0,"suppressedLoadExceptionCount":0,"refreshCount":0,"refreshFailedCount":0,"refreshedHitCount":0,"expiredCount":0,"evictedCount":5010,"putCount":15000,"removeCount":0,"keyMutationCount":0,"totalLoadMillis":0}}</x:v>
      </x:c>
      <x:c r="BA39" s="43" t="n">
        <x:v>9990</x:v>
      </x:c>
      <x:c r="BB39" s="43" t="n">
        <x:v>149089536</x:v>
      </x:c>
      <x:c r="BC39" s="43" t="n">
        <x:v>141336277</x:v>
      </x:c>
      <x:c r="BD39" s="43" t="n">
        <x:v>7753259</x:v>
      </x:c>
      <x:c r="BE39" s="48" t="n">
        <x:v>0.947995954592011</x:v>
      </x:c>
      <x:c r="BF39" s="43" t="n">
        <x:v>0</x:v>
      </x:c>
      <x:c r="BG39" s="43" t="n">
        <x:v>0</x:v>
      </x:c>
      <x:c r="BH39" s="43" t="n">
        <x:v>0</x:v>
      </x:c>
      <x:c r="BI39" s="43" t="n">
        <x:v>5010</x:v>
      </x:c>
      <x:c r="BJ39" s="43" t="n">
        <x:v>0</x:v>
      </x:c>
      <x:c r="BK39" s="43" t="n">
        <x:v>15000</x:v>
      </x:c>
      <x:c r="BL39" s="43" t="n">
        <x:v>0</x:v>
      </x:c>
      <x:c r="BM39" s="44" t="str">
        <x:v>{"getCount":149089536,"missCount":7753259,"loadCount":0,"loadExceptionCount":0,"suppressedLoadExceptionCount":0,"refreshCount":0,"refreshFailedCount":0,"refreshedHitCount":0,"expiredCount":0,"evictedCount":5010,"putCount":15000,"removeCount":0,"keyMutationCount":0,"totalLoadMillis":0}</x:v>
      </x:c>
    </x:row>
    <x:row r="40">
      <x:c r="A40" s="34" t="str">
        <x:v>article1-unified-v4-2-fb3f101b-20260903-000401-default-f01-p4-cache2k</x:v>
      </x:c>
      <x:c r="B40" s="34" t="str">
        <x:v>default</x:v>
      </x:c>
      <x:c r="C40" s="34" t="str">
        <x:v>cache2k</x:v>
      </x:c>
      <x:c r="D40" s="34" t="str">
        <x:v>cache2k</x:v>
      </x:c>
      <x:c r="E40" s="34" t="str">
        <x:v>current-provider-primary-comparison</x:v>
      </x:c>
      <x:c r="F40" s="36" t="n">
        <x:v>1</x:v>
      </x:c>
      <x:c r="G40" s="36" t="n">
        <x:v>1</x:v>
      </x:c>
      <x:c r="H40" s="36" t="n">
        <x:v>4</x:v>
      </x:c>
      <x:c r="I40" s="36" t="n">
        <x:v>5</x:v>
      </x:c>
      <x:c r="J40" s="34" t="str">
        <x:v>initial</x:v>
      </x:c>
      <x:c r="K40" s="34" t="str">
        <x:v>cache-semantics</x:v>
      </x:c>
      <x:c r="L40" s="45" t="b">
        <x:v>1</x:v>
      </x:c>
      <x:c r="M40" s="36" t="n">
        <x:v>990445241</x:v>
      </x:c>
      <x:c r="N40" s="34" t="str">
        <x:v>c8c0b067bf711230321b1ae1f036e3e36ec57e928c071e76bd188cc45e5bf206</x:v>
      </x:c>
      <x:c r="O40" s="43" t="n">
        <x:v>10000</x:v>
      </x:c>
      <x:c r="P40" s="43" t="n">
        <x:v>400000</x:v>
      </x:c>
      <x:c r="Q40" s="36" t="n">
        <x:v>8</x:v>
      </x:c>
      <x:c r="R40" s="42" t="n">
        <x:v>95</x:v>
      </x:c>
      <x:c r="S40" s="43" t="n">
        <x:v>512</x:v>
      </x:c>
      <x:c r="T40" s="43" t="n">
        <x:v>50000</x:v>
      </x:c>
      <x:c r="U40" s="46" t="n">
        <x:v>3</x:v>
      </x:c>
      <x:c r="V40" s="46" t="n">
        <x:v>5</x:v>
      </x:c>
      <x:c r="W40" s="43" t="n">
        <x:v>300</x:v>
      </x:c>
      <x:c r="X40" s="34" t="str">
        <x:v>uniform</x:v>
      </x:c>
      <x:c r="Y40" s="42" t="n">
        <x:v>10</x:v>
      </x:c>
      <x:c r="Z40" s="34" t="str">
        <x:v>strict</x:v>
      </x:c>
      <x:c r="AA40" s="36" t="n">
        <x:v>64</x:v>
      </x:c>
      <x:c r="AB40" s="43" t="n">
        <x:v>93605888</x:v>
      </x:c>
      <x:c r="AC40" s="43" t="n">
        <x:v>3047822192</x:v>
      </x:c>
      <x:c r="AD40" s="43" t="n">
        <x:v>47822192</x:v>
      </x:c>
      <x:c r="AE40" s="43" t="n">
        <x:v>1689726.362333431</x:v>
      </x:c>
      <x:c r="AF40" s="43" t="n">
        <x:v>31630481.818104453</x:v>
      </x:c>
      <x:c r="AG40" s="43" t="n">
        <x:v>158227712</x:v>
      </x:c>
      <x:c r="AH40" s="43" t="n">
        <x:v>5002380707</x:v>
      </x:c>
      <x:c r="AI40" s="43" t="n">
        <x:v>2380707</x:v>
      </x:c>
      <x:c r="AJ40" s="43" t="n">
        <x:v>31630481.818104453</x:v>
      </x:c>
      <x:c r="AK40" s="43" t="n">
        <x:v>158227712</x:v>
      </x:c>
      <x:c r="AL40" s="43" t="n">
        <x:v>0</x:v>
      </x:c>
      <x:c r="AM40" s="43" t="n">
        <x:v>480958.8858067975</x:v>
      </x:c>
      <x:c r="AN40" s="43" t="n">
        <x:v>141</x:v>
      </x:c>
      <x:c r="AO40" s="43" t="n">
        <x:v>311</x:v>
      </x:c>
      <x:c r="AP40" s="43" t="n">
        <x:v>480</x:v>
      </x:c>
      <x:c r="AQ40" s="43" t="n">
        <x:v>2472308</x:v>
      </x:c>
      <x:c r="AR40" s="43" t="n">
        <x:v>1</x:v>
      </x:c>
      <x:c r="AS40" s="45" t="b">
        <x:v>1</x:v>
      </x:c>
      <x:c r="AT40" s="43" t="n">
        <x:v>9979</x:v>
      </x:c>
      <x:c r="AU40" s="48" t="n">
        <x:v>0.9484212790740474</x:v>
      </x:c>
      <x:c r="AV40" s="43" t="n">
        <x:v>9992</x:v>
      </x:c>
      <x:c r="AW40" s="48" t="n">
        <x:v>0.9484212790740474</x:v>
      </x:c>
      <x:c r="AX40" s="45" t="b">
        <x:v>1</x:v>
      </x:c>
      <x:c r="AY40" s="44" t="str">
        <x:v>{"provider":"cache2k","currentEntries":9979,"requestCount":158227712,"hitCount":150066529,"missCount":8161183,"hitRate":0.9484212790740474,"loadSuccessCount":0,"loadFailureCount":0,"totalLoadTimeNanos":0,"evictionCount":21,"expirationCount":0,"putCount":10000,"removeCount":0,"nativeMetrics":{"getCount":158227712,"missCount":8161183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40" s="44" t="str">
        <x:v>{"provider":"cache2k","currentEntries":9992,"requestCount":158227712,"hitCount":150066529,"missCount":8161183,"hitRate":0.9484212790740474,"loadSuccessCount":0,"loadFailureCount":0,"totalLoadTimeNanos":0,"evictionCount":5008,"expirationCount":0,"putCount":15000,"removeCount":0,"nativeMetrics":{"getCount":158227712,"missCount":8161183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40" s="43" t="n">
        <x:v>9992</x:v>
      </x:c>
      <x:c r="BB40" s="43" t="n">
        <x:v>158227712</x:v>
      </x:c>
      <x:c r="BC40" s="43" t="n">
        <x:v>150066529</x:v>
      </x:c>
      <x:c r="BD40" s="43" t="n">
        <x:v>8161183</x:v>
      </x:c>
      <x:c r="BE40" s="48" t="n">
        <x:v>0.9484212790740474</x:v>
      </x:c>
      <x:c r="BF40" s="43" t="n">
        <x:v>0</x:v>
      </x:c>
      <x:c r="BG40" s="43" t="n">
        <x:v>0</x:v>
      </x:c>
      <x:c r="BH40" s="43" t="n">
        <x:v>0</x:v>
      </x:c>
      <x:c r="BI40" s="43" t="n">
        <x:v>5008</x:v>
      </x:c>
      <x:c r="BJ40" s="43" t="n">
        <x:v>0</x:v>
      </x:c>
      <x:c r="BK40" s="43" t="n">
        <x:v>15000</x:v>
      </x:c>
      <x:c r="BL40" s="43" t="n">
        <x:v>0</x:v>
      </x:c>
      <x:c r="BM40" s="44" t="str">
        <x:v>{"getCount":158227712,"missCount":8161183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41">
      <x:c r="A41" s="34" t="str">
        <x:v>article1-unified-v4-2-fb3f101b-20260903-000401-default-f01-p4-cache2k</x:v>
      </x:c>
      <x:c r="B41" s="34" t="str">
        <x:v>default</x:v>
      </x:c>
      <x:c r="C41" s="34" t="str">
        <x:v>cache2k</x:v>
      </x:c>
      <x:c r="D41" s="34" t="str">
        <x:v>cache2k</x:v>
      </x:c>
      <x:c r="E41" s="34" t="str">
        <x:v>current-provider-primary-comparison</x:v>
      </x:c>
      <x:c r="F41" s="36" t="n">
        <x:v>1</x:v>
      </x:c>
      <x:c r="G41" s="36" t="n">
        <x:v>1</x:v>
      </x:c>
      <x:c r="H41" s="36" t="n">
        <x:v>4</x:v>
      </x:c>
      <x:c r="I41" s="36" t="n">
        <x:v>5</x:v>
      </x:c>
      <x:c r="J41" s="34" t="str">
        <x:v>redeploy</x:v>
      </x:c>
      <x:c r="K41" s="34" t="str">
        <x:v>cache-semantics</x:v>
      </x:c>
      <x:c r="L41" s="45" t="b">
        <x:v>1</x:v>
      </x:c>
      <x:c r="M41" s="36" t="n">
        <x:v>990445241</x:v>
      </x:c>
      <x:c r="N41" s="34" t="str">
        <x:v>c8c0b067bf711230321b1ae1f036e3e36ec57e928c071e76bd188cc45e5bf206</x:v>
      </x:c>
      <x:c r="O41" s="43" t="n">
        <x:v>10000</x:v>
      </x:c>
      <x:c r="P41" s="43" t="n">
        <x:v>400000</x:v>
      </x:c>
      <x:c r="Q41" s="36" t="n">
        <x:v>8</x:v>
      </x:c>
      <x:c r="R41" s="42" t="n">
        <x:v>95</x:v>
      </x:c>
      <x:c r="S41" s="43" t="n">
        <x:v>512</x:v>
      </x:c>
      <x:c r="T41" s="43" t="n">
        <x:v>50000</x:v>
      </x:c>
      <x:c r="U41" s="46" t="n">
        <x:v>3</x:v>
      </x:c>
      <x:c r="V41" s="46" t="n">
        <x:v>5</x:v>
      </x:c>
      <x:c r="W41" s="43" t="n">
        <x:v>300</x:v>
      </x:c>
      <x:c r="X41" s="34" t="str">
        <x:v>uniform</x:v>
      </x:c>
      <x:c r="Y41" s="42" t="n">
        <x:v>10</x:v>
      </x:c>
      <x:c r="Z41" s="34" t="str">
        <x:v>strict</x:v>
      </x:c>
      <x:c r="AA41" s="36" t="n">
        <x:v>64</x:v>
      </x:c>
      <x:c r="AB41" s="43" t="n">
        <x:v>99999744</x:v>
      </x:c>
      <x:c r="AC41" s="43" t="n">
        <x:v>3023662748</x:v>
      </x:c>
      <x:c r="AD41" s="43" t="n">
        <x:v>23662748</x:v>
      </x:c>
      <x:c r="AE41" s="43" t="n">
        <x:v>1711337.715042419</x:v>
      </x:c>
      <x:c r="AF41" s="43" t="n">
        <x:v>29335358.27215445</x:v>
      </x:c>
      <x:c r="AG41" s="43" t="n">
        <x:v>146758912</x:v>
      </x:c>
      <x:c r="AH41" s="43" t="n">
        <x:v>5002799374</x:v>
      </x:c>
      <x:c r="AI41" s="43" t="n">
        <x:v>2799374</x:v>
      </x:c>
      <x:c r="AJ41" s="43" t="n">
        <x:v>29335358.27215445</x:v>
      </x:c>
      <x:c r="AK41" s="43" t="n">
        <x:v>146758912</x:v>
      </x:c>
      <x:c r="AL41" s="43" t="n">
        <x:v>0</x:v>
      </x:c>
      <x:c r="AM41" s="43" t="n">
        <x:v>636246.8561452221</x:v>
      </x:c>
      <x:c r="AN41" s="43" t="n">
        <x:v>150</x:v>
      </x:c>
      <x:c r="AO41" s="43" t="n">
        <x:v>341</x:v>
      </x:c>
      <x:c r="AP41" s="43" t="n">
        <x:v>531</x:v>
      </x:c>
      <x:c r="AQ41" s="43" t="n">
        <x:v>2293108</x:v>
      </x:c>
      <x:c r="AR41" s="43" t="n">
        <x:v>1</x:v>
      </x:c>
      <x:c r="AS41" s="45" t="b">
        <x:v>1</x:v>
      </x:c>
      <x:c r="AT41" s="43" t="n">
        <x:v>9979</x:v>
      </x:c>
      <x:c r="AU41" s="48" t="n">
        <x:v>0.9484189825555535</x:v>
      </x:c>
      <x:c r="AV41" s="43" t="n">
        <x:v>9991</x:v>
      </x:c>
      <x:c r="AW41" s="48" t="n">
        <x:v>0.9484189825555535</x:v>
      </x:c>
      <x:c r="AX41" s="45" t="b">
        <x:v>1</x:v>
      </x:c>
      <x:c r="AY41" s="44" t="str">
        <x:v>{"provider":"cache2k","currentEntries":9979,"requestCount":146758912,"hitCount":139188938,"missCount":7569974,"hitRate":0.9484189825555535,"loadSuccessCount":0,"loadFailureCount":0,"totalLoadTimeNanos":0,"evictionCount":21,"expirationCount":0,"putCount":10000,"removeCount":0,"nativeMetrics":{"getCount":146758912,"missCount":7569974,"loadCount":0,"loadExceptionCount":0,"suppressedLoadExceptionCount":0,"refreshCount":0,"refreshFailedCount":0,"refreshedHitCount":0,"expiredCount":0,"evictedCount":21,"putCount":10000,"removeCount":0,"keyMutationCount":0,"totalLoadMillis":0}}</x:v>
      </x:c>
      <x:c r="AZ41" s="44" t="str">
        <x:v>{"provider":"cache2k","currentEntries":9991,"requestCount":146758912,"hitCount":139188938,"missCount":7569974,"hitRate":0.9484189825555535,"loadSuccessCount":0,"loadFailureCount":0,"totalLoadTimeNanos":0,"evictionCount":5009,"expirationCount":0,"putCount":15000,"removeCount":0,"nativeMetrics":{"getCount":146758912,"missCount":7569974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41" s="43" t="n">
        <x:v>9991</x:v>
      </x:c>
      <x:c r="BB41" s="43" t="n">
        <x:v>146758912</x:v>
      </x:c>
      <x:c r="BC41" s="43" t="n">
        <x:v>139188938</x:v>
      </x:c>
      <x:c r="BD41" s="43" t="n">
        <x:v>7569974</x:v>
      </x:c>
      <x:c r="BE41" s="48" t="n">
        <x:v>0.9484189825555535</x:v>
      </x:c>
      <x:c r="BF41" s="43" t="n">
        <x:v>0</x:v>
      </x:c>
      <x:c r="BG41" s="43" t="n">
        <x:v>0</x:v>
      </x:c>
      <x:c r="BH41" s="43" t="n">
        <x:v>0</x:v>
      </x:c>
      <x:c r="BI41" s="43" t="n">
        <x:v>5009</x:v>
      </x:c>
      <x:c r="BJ41" s="43" t="n">
        <x:v>0</x:v>
      </x:c>
      <x:c r="BK41" s="43" t="n">
        <x:v>15000</x:v>
      </x:c>
      <x:c r="BL41" s="43" t="n">
        <x:v>0</x:v>
      </x:c>
      <x:c r="BM41" s="44" t="str">
        <x:v>{"getCount":146758912,"missCount":7569974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42">
      <x:c r="A42" s="34" t="str">
        <x:v>article1-unified-v4-2-fb3f101b-20260903-000401-default-f01-p5-jcs321</x:v>
      </x:c>
      <x:c r="B42" s="34" t="str">
        <x:v>default</x:v>
      </x:c>
      <x:c r="C42" s="34" t="str">
        <x:v>jcs321</x:v>
      </x:c>
      <x:c r="D42" s="34" t="str">
        <x:v>jcs321</x:v>
      </x:c>
      <x:c r="E42" s="34" t="str">
        <x:v>JCS-248-positive-control</x:v>
      </x:c>
      <x:c r="F42" s="36" t="n">
        <x:v>1</x:v>
      </x:c>
      <x:c r="G42" s="36" t="n">
        <x:v>1</x:v>
      </x:c>
      <x:c r="H42" s="36" t="n">
        <x:v>5</x:v>
      </x:c>
      <x:c r="I42" s="36" t="n">
        <x:v>1</x:v>
      </x:c>
      <x:c r="J42" s="34" t="str">
        <x:v>initial</x:v>
      </x:c>
      <x:c r="K42" s="34" t="str">
        <x:v>cache-semantics</x:v>
      </x:c>
      <x:c r="L42" s="45" t="b">
        <x:v>0</x:v>
      </x:c>
      <x:c r="M42" s="36" t="n">
        <x:v>106301548</x:v>
      </x:c>
      <x:c r="N42" s="34" t="str">
        <x:v>fa65b2a625504511da06f56a3e8d6510b1104618fae5e2432265db137bc093a0</x:v>
      </x:c>
      <x:c r="O42" s="43" t="n">
        <x:v>10000</x:v>
      </x:c>
      <x:c r="P42" s="43" t="n">
        <x:v>400000</x:v>
      </x:c>
      <x:c r="Q42" s="36" t="n">
        <x:v>8</x:v>
      </x:c>
      <x:c r="R42" s="42" t="n">
        <x:v>95</x:v>
      </x:c>
      <x:c r="S42" s="43" t="n">
        <x:v>512</x:v>
      </x:c>
      <x:c r="T42" s="43" t="n">
        <x:v>50000</x:v>
      </x:c>
      <x:c r="U42" s="46" t="n">
        <x:v>3</x:v>
      </x:c>
      <x:c r="V42" s="46" t="n">
        <x:v>5</x:v>
      </x:c>
      <x:c r="W42" s="43" t="n">
        <x:v>300</x:v>
      </x:c>
      <x:c r="X42" s="34" t="str">
        <x:v>uniform</x:v>
      </x:c>
      <x:c r="Y42" s="42" t="n">
        <x:v>10</x:v>
      </x:c>
      <x:c r="Z42" s="34" t="str">
        <x:v>strict</x:v>
      </x:c>
      <x:c r="AA42" s="36" t="n">
        <x:v>64</x:v>
      </x:c>
      <x:c r="AB42" s="43" t="n">
        <x:v>5618432</x:v>
      </x:c>
      <x:c r="AC42" s="43" t="n">
        <x:v>3000752891</x:v>
      </x:c>
      <x:c r="AD42" s="43" t="n">
        <x:v>752891</x:v>
      </x:c>
      <x:c r="AE42" s="43" t="n">
        <x:v>2531878.8870670614</x:v>
      </x:c>
      <x:c r="AF42" s="43" t="n">
        <x:v>1930487.552162667</x:v>
      </x:c>
      <x:c r="AG42" s="43" t="n">
        <x:v>9653760</x:v>
      </x:c>
      <x:c r="AH42" s="43" t="n">
        <x:v>5000684925</x:v>
      </x:c>
      <x:c r="AI42" s="43" t="n">
        <x:v>684925</x:v>
      </x:c>
      <x:c r="AJ42" s="43" t="n">
        <x:v>1930487.552162667</x:v>
      </x:c>
      <x:c r="AK42" s="43" t="n">
        <x:v>9653760</x:v>
      </x:c>
      <x:c r="AL42" s="43" t="n">
        <x:v>0</x:v>
      </x:c>
      <x:c r="AM42" s="43" t="n">
        <x:v>494270.661625765</x:v>
      </x:c>
      <x:c r="AN42" s="43" t="n">
        <x:v>541</x:v>
      </x:c>
      <x:c r="AO42" s="43" t="n">
        <x:v>1282</x:v>
      </x:c>
      <x:c r="AP42" s="43" t="n">
        <x:v>223970</x:v>
      </x:c>
      <x:c r="AQ42" s="43" t="n">
        <x:v>150840</x:v>
      </x:c>
      <x:c r="AR42" s="43" t="n">
        <x:v>1</x:v>
      </x:c>
      <x:c r="AS42" s="45" t="b">
        <x:v>1</x:v>
      </x:c>
      <x:c r="AT42" s="43" t="n">
        <x:v>10000</x:v>
      </x:c>
      <x:c r="AU42" s="48" t="n">
        <x:v>0.9495555099774595</x:v>
      </x:c>
      <x:c r="AV42" s="43" t="n">
        <x:v>10000</x:v>
      </x:c>
      <x:c r="AW42" s="48" t="n">
        <x:v>0.9495555099774595</x:v>
      </x:c>
      <x:c r="AX42" s="45" t="b">
        <x:v>1</x:v>
      </x:c>
      <x:c r="AY42" s="44" t="str">
        <x:v>{"provider":"jcs321","currentEntries":10000,"requestCount":9653760,"hitCount":9166781,"missCount":486979,"hitRate":0.9495555099774595,"loadSuccessCount":0,"loadFailureCount":0,"totalLoadTimeNanos":0,"evictionCount":-1,"expirationCount":-1,"putCount":10000,"removeCount":0,"nativeMetrics":{"HitCountRam":9166781,"Composite.HitCountRam":9166781,"HitCountAux":0,"Composite.HitCountAux":0,"Put Count":10000,"Memory Cache.Put Count":10000,"Hit Count":9166781,"Memory Cache.Hit Count":9166781,"Miss Count":486979,"Memory Cache.Miss Count":486979,"Map Size":10000,"Memory Cache.Map Size":10000,"List Size":10000,"Memory Cache.List Size":10000}}</x:v>
      </x:c>
      <x:c r="AZ42" s="44" t="str">
        <x:v>{"provider":"jcs321","currentEntries":10000,"requestCount":9653760,"hitCount":9166781,"missCount":486979,"hitRate":0.9495555099774595,"loadSuccessCount":0,"loadFailureCount":0,"totalLoadTimeNanos":0,"evictionCount":-1,"expirationCount":-1,"putCount":15000,"removeCount":0,"nativeMetrics":{"HitCountRam":9166781,"Composite.HitCountRam":9166781,"HitCountAux":0,"Composite.HitCountAux":0,"Put Count":15000,"Memory Cache.Put Count":15000,"Hit Count":9166781,"Memory Cache.Hit Count":9166781,"Miss Count":486979,"Memory Cache.Miss Count":486979,"Map Size":10000,"Memory Cache.Map Size":10000,"List Size":10000,"Memory Cache.List Size":10000}}</x:v>
      </x:c>
      <x:c r="BA42" s="43" t="n">
        <x:v>10000</x:v>
      </x:c>
      <x:c r="BB42" s="43" t="n">
        <x:v>9653760</x:v>
      </x:c>
      <x:c r="BC42" s="43" t="n">
        <x:v>9166781</x:v>
      </x:c>
      <x:c r="BD42" s="43" t="n">
        <x:v>486979</x:v>
      </x:c>
      <x:c r="BE42" s="48" t="n">
        <x:v>0.9495555099774595</x:v>
      </x:c>
      <x:c r="BF42" s="43" t="n">
        <x:v>0</x:v>
      </x:c>
      <x:c r="BG42" s="43" t="n">
        <x:v>0</x:v>
      </x:c>
      <x:c r="BH42" s="43" t="n">
        <x:v>0</x:v>
      </x:c>
      <x:c r="BI42" s="43" t="n">
        <x:v>-1</x:v>
      </x:c>
      <x:c r="BJ42" s="43" t="n">
        <x:v>-1</x:v>
      </x:c>
      <x:c r="BK42" s="43" t="n">
        <x:v>15000</x:v>
      </x:c>
      <x:c r="BL42" s="43" t="n">
        <x:v>0</x:v>
      </x:c>
      <x:c r="BM42" s="44" t="str">
        <x:v>{"HitCountRam":9166781,"Composite.HitCountRam":9166781,"HitCountAux":0,"Composite.HitCountAux":0,"Put Count":15000,"Memory Cache.Put Count":15000,"Hit Count":9166781,"Memory Cache.Hit Count":9166781,"Miss Count":486979,"Memory Cache.Miss Count":486979,"Map Size":10000,"Memory Cache.Map Size":10000,"List Size":10000,"Memory Cache.List Size":10000}</x:v>
      </x:c>
    </x:row>
    <x:row r="43">
      <x:c r="A43" s="34" t="str">
        <x:v>article1-unified-v4-2-fb3f101b-20260903-000401-default-f01-p5-jcs321</x:v>
      </x:c>
      <x:c r="B43" s="34" t="str">
        <x:v>default</x:v>
      </x:c>
      <x:c r="C43" s="34" t="str">
        <x:v>jcs321</x:v>
      </x:c>
      <x:c r="D43" s="34" t="str">
        <x:v>jcs321</x:v>
      </x:c>
      <x:c r="E43" s="34" t="str">
        <x:v>JCS-248-positive-control</x:v>
      </x:c>
      <x:c r="F43" s="36" t="n">
        <x:v>1</x:v>
      </x:c>
      <x:c r="G43" s="36" t="n">
        <x:v>1</x:v>
      </x:c>
      <x:c r="H43" s="36" t="n">
        <x:v>5</x:v>
      </x:c>
      <x:c r="I43" s="36" t="n">
        <x:v>1</x:v>
      </x:c>
      <x:c r="J43" s="34" t="str">
        <x:v>redeploy</x:v>
      </x:c>
      <x:c r="K43" s="34" t="str">
        <x:v>cache-semantics</x:v>
      </x:c>
      <x:c r="L43" s="45" t="b">
        <x:v>0</x:v>
      </x:c>
      <x:c r="M43" s="36" t="n">
        <x:v>106301548</x:v>
      </x:c>
      <x:c r="N43" s="34" t="str">
        <x:v>fa65b2a625504511da06f56a3e8d6510b1104618fae5e2432265db137bc093a0</x:v>
      </x:c>
      <x:c r="O43" s="43" t="n">
        <x:v>10000</x:v>
      </x:c>
      <x:c r="P43" s="43" t="n">
        <x:v>400000</x:v>
      </x:c>
      <x:c r="Q43" s="36" t="n">
        <x:v>8</x:v>
      </x:c>
      <x:c r="R43" s="42" t="n">
        <x:v>95</x:v>
      </x:c>
      <x:c r="S43" s="43" t="n">
        <x:v>512</x:v>
      </x:c>
      <x:c r="T43" s="43" t="n">
        <x:v>50000</x:v>
      </x:c>
      <x:c r="U43" s="46" t="n">
        <x:v>3</x:v>
      </x:c>
      <x:c r="V43" s="46" t="n">
        <x:v>5</x:v>
      </x:c>
      <x:c r="W43" s="43" t="n">
        <x:v>300</x:v>
      </x:c>
      <x:c r="X43" s="34" t="str">
        <x:v>uniform</x:v>
      </x:c>
      <x:c r="Y43" s="42" t="n">
        <x:v>10</x:v>
      </x:c>
      <x:c r="Z43" s="34" t="str">
        <x:v>strict</x:v>
      </x:c>
      <x:c r="AA43" s="36" t="n">
        <x:v>64</x:v>
      </x:c>
      <x:c r="AB43" s="43" t="n">
        <x:v>7301888</x:v>
      </x:c>
      <x:c r="AC43" s="43" t="n">
        <x:v>3000553081</x:v>
      </x:c>
      <x:c r="AD43" s="43" t="n">
        <x:v>553081</x:v>
      </x:c>
      <x:c r="AE43" s="43" t="n">
        <x:v>3557632.580514562</x:v>
      </x:c>
      <x:c r="AF43" s="43" t="n">
        <x:v>2244704.4706340367</x:v>
      </x:c>
      <x:c r="AG43" s="43" t="n">
        <x:v>11225600</x:v>
      </x:c>
      <x:c r="AH43" s="43" t="n">
        <x:v>5000925577</x:v>
      </x:c>
      <x:c r="AI43" s="43" t="n">
        <x:v>925577</x:v>
      </x:c>
      <x:c r="AJ43" s="43" t="n">
        <x:v>2244704.4706340367</x:v>
      </x:c>
      <x:c r="AK43" s="43" t="n">
        <x:v>11225600</x:v>
      </x:c>
      <x:c r="AL43" s="43" t="n">
        <x:v>0</x:v>
      </x:c>
      <x:c r="AM43" s="43" t="n">
        <x:v>394268.9693446414</x:v>
      </x:c>
      <x:c r="AN43" s="43" t="n">
        <x:v>441</x:v>
      </x:c>
      <x:c r="AO43" s="43" t="n">
        <x:v>1162</x:v>
      </x:c>
      <x:c r="AP43" s="43" t="n">
        <x:v>216315</x:v>
      </x:c>
      <x:c r="AQ43" s="43" t="n">
        <x:v>175400</x:v>
      </x:c>
      <x:c r="AR43" s="43" t="n">
        <x:v>1</x:v>
      </x:c>
      <x:c r="AS43" s="45" t="b">
        <x:v>1</x:v>
      </x:c>
      <x:c r="AT43" s="43" t="n">
        <x:v>10000</x:v>
      </x:c>
      <x:c r="AU43" s="48" t="n">
        <x:v>0.9495579746294185</x:v>
      </x:c>
      <x:c r="AV43" s="43" t="n">
        <x:v>10000</x:v>
      </x:c>
      <x:c r="AW43" s="48" t="n">
        <x:v>0.9495579746294185</x:v>
      </x:c>
      <x:c r="AX43" s="45" t="b">
        <x:v>1</x:v>
      </x:c>
      <x:c r="AY43" s="44" t="str">
        <x:v>{"provider":"jcs321","currentEntries":10000,"requestCount":11225600,"hitCount":10659358,"missCount":566242,"hitRate":0.9495579746294185,"loadSuccessCount":0,"loadFailureCount":0,"totalLoadTimeNanos":0,"evictionCount":-1,"expirationCount":-1,"putCount":10000,"removeCount":0,"nativeMetrics":{"HitCountRam":10659358,"Composite.HitCountRam":10659358,"HitCountAux":0,"Composite.HitCountAux":0,"Put Count":10000,"Memory Cache.Put Count":10000,"Hit Count":10659358,"Memory Cache.Hit Count":10659358,"Miss Count":566242,"Memory Cache.Miss Count":566242,"Map Size":10000,"Memory Cache.Map Size":10000,"List Size":10000,"Memory Cache.List Size":10000}}</x:v>
      </x:c>
      <x:c r="AZ43" s="44" t="str">
        <x:v>{"provider":"jcs321","currentEntries":10000,"requestCount":11225600,"hitCount":10659358,"missCount":566242,"hitRate":0.9495579746294185,"loadSuccessCount":0,"loadFailureCount":0,"totalLoadTimeNanos":0,"evictionCount":-1,"expirationCount":-1,"putCount":15000,"removeCount":0,"nativeMetrics":{"HitCountRam":10659358,"Composite.HitCountRam":10659358,"HitCountAux":0,"Composite.HitCountAux":0,"Put Count":15000,"Memory Cache.Put Count":15000,"Hit Count":10659358,"Memory Cache.Hit Count":10659358,"Miss Count":566242,"Memory Cache.Miss Count":566242,"Map Size":10000,"Memory Cache.Map Size":10000,"List Size":10000,"Memory Cache.List Size":10000}}</x:v>
      </x:c>
      <x:c r="BA43" s="43" t="n">
        <x:v>10000</x:v>
      </x:c>
      <x:c r="BB43" s="43" t="n">
        <x:v>11225600</x:v>
      </x:c>
      <x:c r="BC43" s="43" t="n">
        <x:v>10659358</x:v>
      </x:c>
      <x:c r="BD43" s="43" t="n">
        <x:v>566242</x:v>
      </x:c>
      <x:c r="BE43" s="48" t="n">
        <x:v>0.9495579746294185</x:v>
      </x:c>
      <x:c r="BF43" s="43" t="n">
        <x:v>0</x:v>
      </x:c>
      <x:c r="BG43" s="43" t="n">
        <x:v>0</x:v>
      </x:c>
      <x:c r="BH43" s="43" t="n">
        <x:v>0</x:v>
      </x:c>
      <x:c r="BI43" s="43" t="n">
        <x:v>-1</x:v>
      </x:c>
      <x:c r="BJ43" s="43" t="n">
        <x:v>-1</x:v>
      </x:c>
      <x:c r="BK43" s="43" t="n">
        <x:v>15000</x:v>
      </x:c>
      <x:c r="BL43" s="43" t="n">
        <x:v>0</x:v>
      </x:c>
      <x:c r="BM43" s="44" t="str">
        <x:v>{"HitCountRam":10659358,"Composite.HitCountRam":10659358,"HitCountAux":0,"Composite.HitCountAux":0,"Put Count":15000,"Memory Cache.Put Count":15000,"Hit Count":10659358,"Memory Cache.Hit Count":10659358,"Miss Count":566242,"Memory Cache.Miss Count":566242,"Map Size":10000,"Memory Cache.Map Size":10000,"List Size":10000,"Memory Cache.List Size":10000}</x:v>
      </x:c>
    </x:row>
    <x:row r="44">
      <x:c r="A44" s="34" t="str">
        <x:v>article1-unified-v4-2-fb3f101b-20260903-000401-default-f01-p5-jcs321</x:v>
      </x:c>
      <x:c r="B44" s="34" t="str">
        <x:v>default</x:v>
      </x:c>
      <x:c r="C44" s="34" t="str">
        <x:v>jcs321</x:v>
      </x:c>
      <x:c r="D44" s="34" t="str">
        <x:v>jcs321</x:v>
      </x:c>
      <x:c r="E44" s="34" t="str">
        <x:v>JCS-248-positive-control</x:v>
      </x:c>
      <x:c r="F44" s="36" t="n">
        <x:v>1</x:v>
      </x:c>
      <x:c r="G44" s="36" t="n">
        <x:v>1</x:v>
      </x:c>
      <x:c r="H44" s="36" t="n">
        <x:v>5</x:v>
      </x:c>
      <x:c r="I44" s="36" t="n">
        <x:v>2</x:v>
      </x:c>
      <x:c r="J44" s="34" t="str">
        <x:v>initial</x:v>
      </x:c>
      <x:c r="K44" s="34" t="str">
        <x:v>cache-semantics</x:v>
      </x:c>
      <x:c r="L44" s="45" t="b">
        <x:v>0</x:v>
      </x:c>
      <x:c r="M44" s="36" t="n">
        <x:v>309808933</x:v>
      </x:c>
      <x:c r="N44" s="34" t="str">
        <x:v>b0f93ea0f1c077db50e7c1bad3e775d71788ff94e4a876cc76b8b1613dc18177</x:v>
      </x:c>
      <x:c r="O44" s="43" t="n">
        <x:v>10000</x:v>
      </x:c>
      <x:c r="P44" s="43" t="n">
        <x:v>400000</x:v>
      </x:c>
      <x:c r="Q44" s="36" t="n">
        <x:v>8</x:v>
      </x:c>
      <x:c r="R44" s="42" t="n">
        <x:v>95</x:v>
      </x:c>
      <x:c r="S44" s="43" t="n">
        <x:v>512</x:v>
      </x:c>
      <x:c r="T44" s="43" t="n">
        <x:v>50000</x:v>
      </x:c>
      <x:c r="U44" s="46" t="n">
        <x:v>3</x:v>
      </x:c>
      <x:c r="V44" s="46" t="n">
        <x:v>5</x:v>
      </x:c>
      <x:c r="W44" s="43" t="n">
        <x:v>300</x:v>
      </x:c>
      <x:c r="X44" s="34" t="str">
        <x:v>uniform</x:v>
      </x:c>
      <x:c r="Y44" s="42" t="n">
        <x:v>10</x:v>
      </x:c>
      <x:c r="Z44" s="34" t="str">
        <x:v>strict</x:v>
      </x:c>
      <x:c r="AA44" s="36" t="n">
        <x:v>64</x:v>
      </x:c>
      <x:c r="AB44" s="43" t="n">
        <x:v>5724672</x:v>
      </x:c>
      <x:c r="AC44" s="43" t="n">
        <x:v>3000598855</x:v>
      </x:c>
      <x:c r="AD44" s="43" t="n">
        <x:v>598855</x:v>
      </x:c>
      <x:c r="AE44" s="43" t="n">
        <x:v>3402952.060912842</x:v>
      </x:c>
      <x:c r="AF44" s="43" t="n">
        <x:v>2534929.771346905</x:v>
      </x:c>
      <x:c r="AG44" s="43" t="n">
        <x:v>12676352</x:v>
      </x:c>
      <x:c r="AH44" s="43" t="n">
        <x:v>5000671870</x:v>
      </x:c>
      <x:c r="AI44" s="43" t="n">
        <x:v>671870</x:v>
      </x:c>
      <x:c r="AJ44" s="43" t="n">
        <x:v>2534929.771346905</x:v>
      </x:c>
      <x:c r="AK44" s="43" t="n">
        <x:v>12676352</x:v>
      </x:c>
      <x:c r="AL44" s="43" t="n">
        <x:v>0</x:v>
      </x:c>
      <x:c r="AM44" s="43" t="n">
        <x:v>599314.5040702445</x:v>
      </x:c>
      <x:c r="AN44" s="43" t="n">
        <x:v>350</x:v>
      </x:c>
      <x:c r="AO44" s="43" t="n">
        <x:v>1032</x:v>
      </x:c>
      <x:c r="AP44" s="43" t="n">
        <x:v>203689</x:v>
      </x:c>
      <x:c r="AQ44" s="43" t="n">
        <x:v>198068</x:v>
      </x:c>
      <x:c r="AR44" s="43" t="n">
        <x:v>1</x:v>
      </x:c>
      <x:c r="AS44" s="45" t="b">
        <x:v>1</x:v>
      </x:c>
      <x:c r="AT44" s="43" t="n">
        <x:v>10000</x:v>
      </x:c>
      <x:c r="AU44" s="48" t="n">
        <x:v>0.9503665565613829</x:v>
      </x:c>
      <x:c r="AV44" s="43" t="n">
        <x:v>10000</x:v>
      </x:c>
      <x:c r="AW44" s="48" t="n">
        <x:v>0.9503665565613829</x:v>
      </x:c>
      <x:c r="AX44" s="45" t="b">
        <x:v>1</x:v>
      </x:c>
      <x:c r="AY44" s="44" t="str">
        <x:v>{"provider":"jcs321","currentEntries":10000,"requestCount":12676352,"hitCount":12047181,"missCount":629171,"hitRate":0.9503665565613829,"loadSuccessCount":0,"loadFailureCount":0,"totalLoadTimeNanos":0,"evictionCount":-1,"expirationCount":-1,"putCount":10000,"removeCount":0,"nativeMetrics":{"HitCountRam":12047181,"Composite.HitCountRam":12047181,"HitCountAux":0,"Composite.HitCountAux":0,"Put Count":10000,"Memory Cache.Put Count":10000,"Hit Count":12047181,"Memory Cache.Hit Count":12047181,"Miss Count":629171,"Memory Cache.Miss Count":629171,"Map Size":10000,"Memory Cache.Map Size":10000,"List Size":10000,"Memory Cache.List Size":10000}}</x:v>
      </x:c>
      <x:c r="AZ44" s="44" t="str">
        <x:v>{"provider":"jcs321","currentEntries":10000,"requestCount":12676352,"hitCount":12047181,"missCount":629171,"hitRate":0.9503665565613829,"loadSuccessCount":0,"loadFailureCount":0,"totalLoadTimeNanos":0,"evictionCount":-1,"expirationCount":-1,"putCount":15000,"removeCount":0,"nativeMetrics":{"HitCountRam":12047181,"Composite.HitCountRam":12047181,"HitCountAux":0,"Composite.HitCountAux":0,"Put Count":15000,"Memory Cache.Put Count":15000,"Hit Count":12047181,"Memory Cache.Hit Count":12047181,"Miss Count":629171,"Memory Cache.Miss Count":629171,"Map Size":10000,"Memory Cache.Map Size":10000,"List Size":10000,"Memory Cache.List Size":10000}}</x:v>
      </x:c>
      <x:c r="BA44" s="43" t="n">
        <x:v>10000</x:v>
      </x:c>
      <x:c r="BB44" s="43" t="n">
        <x:v>12676352</x:v>
      </x:c>
      <x:c r="BC44" s="43" t="n">
        <x:v>12047181</x:v>
      </x:c>
      <x:c r="BD44" s="43" t="n">
        <x:v>629171</x:v>
      </x:c>
      <x:c r="BE44" s="48" t="n">
        <x:v>0.9503665565613829</x:v>
      </x:c>
      <x:c r="BF44" s="43" t="n">
        <x:v>0</x:v>
      </x:c>
      <x:c r="BG44" s="43" t="n">
        <x:v>0</x:v>
      </x:c>
      <x:c r="BH44" s="43" t="n">
        <x:v>0</x:v>
      </x:c>
      <x:c r="BI44" s="43" t="n">
        <x:v>-1</x:v>
      </x:c>
      <x:c r="BJ44" s="43" t="n">
        <x:v>-1</x:v>
      </x:c>
      <x:c r="BK44" s="43" t="n">
        <x:v>15000</x:v>
      </x:c>
      <x:c r="BL44" s="43" t="n">
        <x:v>0</x:v>
      </x:c>
      <x:c r="BM44" s="44" t="str">
        <x:v>{"HitCountRam":12047181,"Composite.HitCountRam":12047181,"HitCountAux":0,"Composite.HitCountAux":0,"Put Count":15000,"Memory Cache.Put Count":15000,"Hit Count":12047181,"Memory Cache.Hit Count":12047181,"Miss Count":629171,"Memory Cache.Miss Count":629171,"Map Size":10000,"Memory Cache.Map Size":10000,"List Size":10000,"Memory Cache.List Size":10000}</x:v>
      </x:c>
    </x:row>
    <x:row r="45">
      <x:c r="A45" s="34" t="str">
        <x:v>article1-unified-v4-2-fb3f101b-20260903-000401-default-f01-p5-jcs321</x:v>
      </x:c>
      <x:c r="B45" s="34" t="str">
        <x:v>default</x:v>
      </x:c>
      <x:c r="C45" s="34" t="str">
        <x:v>jcs321</x:v>
      </x:c>
      <x:c r="D45" s="34" t="str">
        <x:v>jcs321</x:v>
      </x:c>
      <x:c r="E45" s="34" t="str">
        <x:v>JCS-248-positive-control</x:v>
      </x:c>
      <x:c r="F45" s="36" t="n">
        <x:v>1</x:v>
      </x:c>
      <x:c r="G45" s="36" t="n">
        <x:v>1</x:v>
      </x:c>
      <x:c r="H45" s="36" t="n">
        <x:v>5</x:v>
      </x:c>
      <x:c r="I45" s="36" t="n">
        <x:v>2</x:v>
      </x:c>
      <x:c r="J45" s="34" t="str">
        <x:v>redeploy</x:v>
      </x:c>
      <x:c r="K45" s="34" t="str">
        <x:v>cache-semantics</x:v>
      </x:c>
      <x:c r="L45" s="45" t="b">
        <x:v>0</x:v>
      </x:c>
      <x:c r="M45" s="36" t="n">
        <x:v>309808933</x:v>
      </x:c>
      <x:c r="N45" s="34" t="str">
        <x:v>b0f93ea0f1c077db50e7c1bad3e775d71788ff94e4a876cc76b8b1613dc18177</x:v>
      </x:c>
      <x:c r="O45" s="43" t="n">
        <x:v>10000</x:v>
      </x:c>
      <x:c r="P45" s="43" t="n">
        <x:v>400000</x:v>
      </x:c>
      <x:c r="Q45" s="36" t="n">
        <x:v>8</x:v>
      </x:c>
      <x:c r="R45" s="42" t="n">
        <x:v>95</x:v>
      </x:c>
      <x:c r="S45" s="43" t="n">
        <x:v>512</x:v>
      </x:c>
      <x:c r="T45" s="43" t="n">
        <x:v>50000</x:v>
      </x:c>
      <x:c r="U45" s="46" t="n">
        <x:v>3</x:v>
      </x:c>
      <x:c r="V45" s="46" t="n">
        <x:v>5</x:v>
      </x:c>
      <x:c r="W45" s="43" t="n">
        <x:v>300</x:v>
      </x:c>
      <x:c r="X45" s="34" t="str">
        <x:v>uniform</x:v>
      </x:c>
      <x:c r="Y45" s="42" t="n">
        <x:v>10</x:v>
      </x:c>
      <x:c r="Z45" s="34" t="str">
        <x:v>strict</x:v>
      </x:c>
      <x:c r="AA45" s="36" t="n">
        <x:v>64</x:v>
      </x:c>
      <x:c r="AB45" s="43" t="n">
        <x:v>5506816</x:v>
      </x:c>
      <x:c r="AC45" s="43" t="n">
        <x:v>3000706441</x:v>
      </x:c>
      <x:c r="AD45" s="43" t="n">
        <x:v>706441</x:v>
      </x:c>
      <x:c r="AE45" s="43" t="n">
        <x:v>3489631.6065705577</x:v>
      </x:c>
      <x:c r="AF45" s="43" t="n">
        <x:v>2117772.985232944</x:v>
      </x:c>
      <x:c r="AG45" s="43" t="n">
        <x:v>10590720</x:v>
      </x:c>
      <x:c r="AH45" s="43" t="n">
        <x:v>5000875955</x:v>
      </x:c>
      <x:c r="AI45" s="43" t="n">
        <x:v>875955</x:v>
      </x:c>
      <x:c r="AJ45" s="43" t="n">
        <x:v>2117772.985232944</x:v>
      </x:c>
      <x:c r="AK45" s="43" t="n">
        <x:v>10590720</x:v>
      </x:c>
      <x:c r="AL45" s="43" t="n">
        <x:v>0</x:v>
      </x:c>
      <x:c r="AM45" s="43" t="n">
        <x:v>528172.2872648789</x:v>
      </x:c>
      <x:c r="AN45" s="43" t="n">
        <x:v>471</x:v>
      </x:c>
      <x:c r="AO45" s="43" t="n">
        <x:v>1132</x:v>
      </x:c>
      <x:c r="AP45" s="43" t="n">
        <x:v>218229</x:v>
      </x:c>
      <x:c r="AQ45" s="43" t="n">
        <x:v>165480</x:v>
      </x:c>
      <x:c r="AR45" s="43" t="n">
        <x:v>1</x:v>
      </x:c>
      <x:c r="AS45" s="45" t="b">
        <x:v>1</x:v>
      </x:c>
      <x:c r="AT45" s="43" t="n">
        <x:v>10000</x:v>
      </x:c>
      <x:c r="AU45" s="48" t="n">
        <x:v>0.9503680580734832</x:v>
      </x:c>
      <x:c r="AV45" s="43" t="n">
        <x:v>10000</x:v>
      </x:c>
      <x:c r="AW45" s="48" t="n">
        <x:v>0.9503680580734832</x:v>
      </x:c>
      <x:c r="AX45" s="45" t="b">
        <x:v>1</x:v>
      </x:c>
      <x:c r="AY45" s="44" t="str">
        <x:v>{"provider":"jcs321","currentEntries":10000,"requestCount":10590720,"hitCount":10065082,"missCount":525638,"hitRate":0.9503680580734832,"loadSuccessCount":0,"loadFailureCount":0,"totalLoadTimeNanos":0,"evictionCount":-1,"expirationCount":-1,"putCount":10000,"removeCount":0,"nativeMetrics":{"HitCountRam":10065082,"Composite.HitCountRam":10065082,"HitCountAux":0,"Composite.HitCountAux":0,"Put Count":10000,"Memory Cache.Put Count":10000,"Hit Count":10065082,"Memory Cache.Hit Count":10065082,"Miss Count":525638,"Memory Cache.Miss Count":525638,"Map Size":10000,"Memory Cache.Map Size":10000,"List Size":10000,"Memory Cache.List Size":10000}}</x:v>
      </x:c>
      <x:c r="AZ45" s="44" t="str">
        <x:v>{"provider":"jcs321","currentEntries":10000,"requestCount":10590720,"hitCount":10065082,"missCount":525638,"hitRate":0.9503680580734832,"loadSuccessCount":0,"loadFailureCount":0,"totalLoadTimeNanos":0,"evictionCount":-1,"expirationCount":-1,"putCount":15000,"removeCount":0,"nativeMetrics":{"HitCountRam":10065082,"Composite.HitCountRam":10065082,"HitCountAux":0,"Composite.HitCountAux":0,"Put Count":15000,"Memory Cache.Put Count":15000,"Hit Count":10065082,"Memory Cache.Hit Count":10065082,"Miss Count":525638,"Memory Cache.Miss Count":525638,"Map Size":10000,"Memory Cache.Map Size":10000,"List Size":10000,"Memory Cache.List Size":10000}}</x:v>
      </x:c>
      <x:c r="BA45" s="43" t="n">
        <x:v>10000</x:v>
      </x:c>
      <x:c r="BB45" s="43" t="n">
        <x:v>10590720</x:v>
      </x:c>
      <x:c r="BC45" s="43" t="n">
        <x:v>10065082</x:v>
      </x:c>
      <x:c r="BD45" s="43" t="n">
        <x:v>525638</x:v>
      </x:c>
      <x:c r="BE45" s="48" t="n">
        <x:v>0.9503680580734832</x:v>
      </x:c>
      <x:c r="BF45" s="43" t="n">
        <x:v>0</x:v>
      </x:c>
      <x:c r="BG45" s="43" t="n">
        <x:v>0</x:v>
      </x:c>
      <x:c r="BH45" s="43" t="n">
        <x:v>0</x:v>
      </x:c>
      <x:c r="BI45" s="43" t="n">
        <x:v>-1</x:v>
      </x:c>
      <x:c r="BJ45" s="43" t="n">
        <x:v>-1</x:v>
      </x:c>
      <x:c r="BK45" s="43" t="n">
        <x:v>15000</x:v>
      </x:c>
      <x:c r="BL45" s="43" t="n">
        <x:v>0</x:v>
      </x:c>
      <x:c r="BM45" s="44" t="str">
        <x:v>{"HitCountRam":10065082,"Composite.HitCountRam":10065082,"HitCountAux":0,"Composite.HitCountAux":0,"Put Count":15000,"Memory Cache.Put Count":15000,"Hit Count":10065082,"Memory Cache.Hit Count":10065082,"Miss Count":525638,"Memory Cache.Miss Count":525638,"Map Size":10000,"Memory Cache.Map Size":10000,"List Size":10000,"Memory Cache.List Size":10000}</x:v>
      </x:c>
    </x:row>
    <x:row r="46">
      <x:c r="A46" s="34" t="str">
        <x:v>article1-unified-v4-2-fb3f101b-20260903-000401-default-f01-p5-jcs321</x:v>
      </x:c>
      <x:c r="B46" s="34" t="str">
        <x:v>default</x:v>
      </x:c>
      <x:c r="C46" s="34" t="str">
        <x:v>jcs321</x:v>
      </x:c>
      <x:c r="D46" s="34" t="str">
        <x:v>jcs321</x:v>
      </x:c>
      <x:c r="E46" s="34" t="str">
        <x:v>JCS-248-positive-control</x:v>
      </x:c>
      <x:c r="F46" s="36" t="n">
        <x:v>1</x:v>
      </x:c>
      <x:c r="G46" s="36" t="n">
        <x:v>1</x:v>
      </x:c>
      <x:c r="H46" s="36" t="n">
        <x:v>5</x:v>
      </x:c>
      <x:c r="I46" s="36" t="n">
        <x:v>3</x:v>
      </x:c>
      <x:c r="J46" s="34" t="str">
        <x:v>initial</x:v>
      </x:c>
      <x:c r="K46" s="34" t="str">
        <x:v>cache-semantics</x:v>
      </x:c>
      <x:c r="L46" s="45" t="b">
        <x:v>0</x:v>
      </x:c>
      <x:c r="M46" s="36" t="n">
        <x:v>1346581378</x:v>
      </x:c>
      <x:c r="N46" s="34" t="str">
        <x:v>2bf58a45a91aaa1defb64a6c1f623f67f3c75e3e966112109387a96ba1d5e699</x:v>
      </x:c>
      <x:c r="O46" s="43" t="n">
        <x:v>10000</x:v>
      </x:c>
      <x:c r="P46" s="43" t="n">
        <x:v>400000</x:v>
      </x:c>
      <x:c r="Q46" s="36" t="n">
        <x:v>8</x:v>
      </x:c>
      <x:c r="R46" s="42" t="n">
        <x:v>95</x:v>
      </x:c>
      <x:c r="S46" s="43" t="n">
        <x:v>512</x:v>
      </x:c>
      <x:c r="T46" s="43" t="n">
        <x:v>50000</x:v>
      </x:c>
      <x:c r="U46" s="46" t="n">
        <x:v>3</x:v>
      </x:c>
      <x:c r="V46" s="46" t="n">
        <x:v>5</x:v>
      </x:c>
      <x:c r="W46" s="43" t="n">
        <x:v>300</x:v>
      </x:c>
      <x:c r="X46" s="34" t="str">
        <x:v>uniform</x:v>
      </x:c>
      <x:c r="Y46" s="42" t="n">
        <x:v>10</x:v>
      </x:c>
      <x:c r="Z46" s="34" t="str">
        <x:v>strict</x:v>
      </x:c>
      <x:c r="AA46" s="36" t="n">
        <x:v>64</x:v>
      </x:c>
      <x:c r="AB46" s="43" t="n">
        <x:v>6352384</x:v>
      </x:c>
      <x:c r="AC46" s="43" t="n">
        <x:v>3000623087</x:v>
      </x:c>
      <x:c r="AD46" s="43" t="n">
        <x:v>623087</x:v>
      </x:c>
      <x:c r="AE46" s="43" t="n">
        <x:v>3440305.0312052867</x:v>
      </x:c>
      <x:c r="AF46" s="43" t="n">
        <x:v>2352356.5641239956</x:v>
      </x:c>
      <x:c r="AG46" s="43" t="n">
        <x:v>11763712</x:v>
      </x:c>
      <x:c r="AH46" s="43" t="n">
        <x:v>5000820105</x:v>
      </x:c>
      <x:c r="AI46" s="43" t="n">
        <x:v>820105</x:v>
      </x:c>
      <x:c r="AJ46" s="43" t="n">
        <x:v>2352356.5641239956</x:v>
      </x:c>
      <x:c r="AK46" s="43" t="n">
        <x:v>11763712</x:v>
      </x:c>
      <x:c r="AL46" s="43" t="n">
        <x:v>0</x:v>
      </x:c>
      <x:c r="AM46" s="43" t="n">
        <x:v>473619.8032185497</x:v>
      </x:c>
      <x:c r="AN46" s="43" t="n">
        <x:v>411</x:v>
      </x:c>
      <x:c r="AO46" s="43" t="n">
        <x:v>1072</x:v>
      </x:c>
      <x:c r="AP46" s="43" t="n">
        <x:v>212126</x:v>
      </x:c>
      <x:c r="AQ46" s="43" t="n">
        <x:v>183808</x:v>
      </x:c>
      <x:c r="AR46" s="43" t="n">
        <x:v>1</x:v>
      </x:c>
      <x:c r="AS46" s="45" t="b">
        <x:v>1</x:v>
      </x:c>
      <x:c r="AT46" s="43" t="n">
        <x:v>10000</x:v>
      </x:c>
      <x:c r="AU46" s="48" t="n">
        <x:v>0.9498799358569812</x:v>
      </x:c>
      <x:c r="AV46" s="43" t="n">
        <x:v>10000</x:v>
      </x:c>
      <x:c r="AW46" s="48" t="n">
        <x:v>0.9498799358569812</x:v>
      </x:c>
      <x:c r="AX46" s="45" t="b">
        <x:v>1</x:v>
      </x:c>
      <x:c r="AY46" s="44" t="str">
        <x:v>{"provider":"jcs321","currentEntries":10000,"requestCount":11763712,"hitCount":11174114,"missCount":589598,"hitRate":0.9498799358569812,"loadSuccessCount":0,"loadFailureCount":0,"totalLoadTimeNanos":0,"evictionCount":-1,"expirationCount":-1,"putCount":10000,"removeCount":0,"nativeMetrics":{"HitCountRam":11174114,"Composite.HitCountRam":11174114,"HitCountAux":0,"Composite.HitCountAux":0,"Put Count":10000,"Memory Cache.Put Count":10000,"Hit Count":11174114,"Memory Cache.Hit Count":11174114,"Miss Count":589598,"Memory Cache.Miss Count":589598,"Map Size":10000,"Memory Cache.Map Size":10000,"List Size":10000,"Memory Cache.List Size":10000}}</x:v>
      </x:c>
      <x:c r="AZ46" s="44" t="str">
        <x:v>{"provider":"jcs321","currentEntries":10000,"requestCount":11763712,"hitCount":11174114,"missCount":589598,"hitRate":0.9498799358569812,"loadSuccessCount":0,"loadFailureCount":0,"totalLoadTimeNanos":0,"evictionCount":-1,"expirationCount":-1,"putCount":15000,"removeCount":0,"nativeMetrics":{"HitCountRam":11174114,"Composite.HitCountRam":11174114,"HitCountAux":0,"Composite.HitCountAux":0,"Put Count":15000,"Memory Cache.Put Count":15000,"Hit Count":11174114,"Memory Cache.Hit Count":11174114,"Miss Count":589598,"Memory Cache.Miss Count":589598,"Map Size":10000,"Memory Cache.Map Size":10000,"List Size":10000,"Memory Cache.List Size":10000}}</x:v>
      </x:c>
      <x:c r="BA46" s="43" t="n">
        <x:v>10000</x:v>
      </x:c>
      <x:c r="BB46" s="43" t="n">
        <x:v>11763712</x:v>
      </x:c>
      <x:c r="BC46" s="43" t="n">
        <x:v>11174114</x:v>
      </x:c>
      <x:c r="BD46" s="43" t="n">
        <x:v>589598</x:v>
      </x:c>
      <x:c r="BE46" s="48" t="n">
        <x:v>0.9498799358569812</x:v>
      </x:c>
      <x:c r="BF46" s="43" t="n">
        <x:v>0</x:v>
      </x:c>
      <x:c r="BG46" s="43" t="n">
        <x:v>0</x:v>
      </x:c>
      <x:c r="BH46" s="43" t="n">
        <x:v>0</x:v>
      </x:c>
      <x:c r="BI46" s="43" t="n">
        <x:v>-1</x:v>
      </x:c>
      <x:c r="BJ46" s="43" t="n">
        <x:v>-1</x:v>
      </x:c>
      <x:c r="BK46" s="43" t="n">
        <x:v>15000</x:v>
      </x:c>
      <x:c r="BL46" s="43" t="n">
        <x:v>0</x:v>
      </x:c>
      <x:c r="BM46" s="44" t="str">
        <x:v>{"HitCountRam":11174114,"Composite.HitCountRam":11174114,"HitCountAux":0,"Composite.HitCountAux":0,"Put Count":15000,"Memory Cache.Put Count":15000,"Hit Count":11174114,"Memory Cache.Hit Count":11174114,"Miss Count":589598,"Memory Cache.Miss Count":589598,"Map Size":10000,"Memory Cache.Map Size":10000,"List Size":10000,"Memory Cache.List Size":10000}</x:v>
      </x:c>
    </x:row>
    <x:row r="47">
      <x:c r="A47" s="34" t="str">
        <x:v>article1-unified-v4-2-fb3f101b-20260903-000401-default-f01-p5-jcs321</x:v>
      </x:c>
      <x:c r="B47" s="34" t="str">
        <x:v>default</x:v>
      </x:c>
      <x:c r="C47" s="34" t="str">
        <x:v>jcs321</x:v>
      </x:c>
      <x:c r="D47" s="34" t="str">
        <x:v>jcs321</x:v>
      </x:c>
      <x:c r="E47" s="34" t="str">
        <x:v>JCS-248-positive-control</x:v>
      </x:c>
      <x:c r="F47" s="36" t="n">
        <x:v>1</x:v>
      </x:c>
      <x:c r="G47" s="36" t="n">
        <x:v>1</x:v>
      </x:c>
      <x:c r="H47" s="36" t="n">
        <x:v>5</x:v>
      </x:c>
      <x:c r="I47" s="36" t="n">
        <x:v>3</x:v>
      </x:c>
      <x:c r="J47" s="34" t="str">
        <x:v>redeploy</x:v>
      </x:c>
      <x:c r="K47" s="34" t="str">
        <x:v>cache-semantics</x:v>
      </x:c>
      <x:c r="L47" s="45" t="b">
        <x:v>0</x:v>
      </x:c>
      <x:c r="M47" s="36" t="n">
        <x:v>1346581378</x:v>
      </x:c>
      <x:c r="N47" s="34" t="str">
        <x:v>2bf58a45a91aaa1defb64a6c1f623f67f3c75e3e966112109387a96ba1d5e699</x:v>
      </x:c>
      <x:c r="O47" s="43" t="n">
        <x:v>10000</x:v>
      </x:c>
      <x:c r="P47" s="43" t="n">
        <x:v>400000</x:v>
      </x:c>
      <x:c r="Q47" s="36" t="n">
        <x:v>8</x:v>
      </x:c>
      <x:c r="R47" s="42" t="n">
        <x:v>95</x:v>
      </x:c>
      <x:c r="S47" s="43" t="n">
        <x:v>512</x:v>
      </x:c>
      <x:c r="T47" s="43" t="n">
        <x:v>50000</x:v>
      </x:c>
      <x:c r="U47" s="46" t="n">
        <x:v>3</x:v>
      </x:c>
      <x:c r="V47" s="46" t="n">
        <x:v>5</x:v>
      </x:c>
      <x:c r="W47" s="43" t="n">
        <x:v>300</x:v>
      </x:c>
      <x:c r="X47" s="34" t="str">
        <x:v>uniform</x:v>
      </x:c>
      <x:c r="Y47" s="42" t="n">
        <x:v>10</x:v>
      </x:c>
      <x:c r="Z47" s="34" t="str">
        <x:v>strict</x:v>
      </x:c>
      <x:c r="AA47" s="36" t="n">
        <x:v>64</x:v>
      </x:c>
      <x:c r="AB47" s="43" t="n">
        <x:v>6857472</x:v>
      </x:c>
      <x:c r="AC47" s="43" t="n">
        <x:v>3000632906</x:v>
      </x:c>
      <x:c r="AD47" s="43" t="n">
        <x:v>632906</x:v>
      </x:c>
      <x:c r="AE47" s="43" t="n">
        <x:v>3561729.2195360847</x:v>
      </x:c>
      <x:c r="AF47" s="43" t="n">
        <x:v>2600785.1204545056</x:v>
      </x:c>
      <x:c r="AG47" s="43" t="n">
        <x:v>13006592</x:v>
      </x:c>
      <x:c r="AH47" s="43" t="n">
        <x:v>5001025228</x:v>
      </x:c>
      <x:c r="AI47" s="43" t="n">
        <x:v>1025228</x:v>
      </x:c>
      <x:c r="AJ47" s="43" t="n">
        <x:v>2600785.1204545056</x:v>
      </x:c>
      <x:c r="AK47" s="43" t="n">
        <x:v>13006592</x:v>
      </x:c>
      <x:c r="AL47" s="43" t="n">
        <x:v>0</x:v>
      </x:c>
      <x:c r="AM47" s="43" t="n">
        <x:v>487553.680879149</x:v>
      </x:c>
      <x:c r="AN47" s="43" t="n">
        <x:v>340</x:v>
      </x:c>
      <x:c r="AO47" s="43" t="n">
        <x:v>972</x:v>
      </x:c>
      <x:c r="AP47" s="43" t="n">
        <x:v>204310</x:v>
      </x:c>
      <x:c r="AQ47" s="43" t="n">
        <x:v>203228</x:v>
      </x:c>
      <x:c r="AR47" s="43" t="n">
        <x:v>1</x:v>
      </x:c>
      <x:c r="AS47" s="45" t="b">
        <x:v>1</x:v>
      </x:c>
      <x:c r="AT47" s="43" t="n">
        <x:v>10000</x:v>
      </x:c>
      <x:c r="AU47" s="48" t="n">
        <x:v>0.9498877953579231</x:v>
      </x:c>
      <x:c r="AV47" s="43" t="n">
        <x:v>10000</x:v>
      </x:c>
      <x:c r="AW47" s="48" t="n">
        <x:v>0.9498877953579231</x:v>
      </x:c>
      <x:c r="AX47" s="45" t="b">
        <x:v>1</x:v>
      </x:c>
      <x:c r="AY47" s="44" t="str">
        <x:v>{"provider":"jcs321","currentEntries":10000,"requestCount":13006592,"hitCount":12354803,"missCount":651789,"hitRate":0.9498877953579231,"loadSuccessCount":0,"loadFailureCount":0,"totalLoadTimeNanos":0,"evictionCount":-1,"expirationCount":-1,"putCount":10000,"removeCount":0,"nativeMetrics":{"HitCountRam":12354803,"Composite.HitCountRam":12354803,"HitCountAux":0,"Composite.HitCountAux":0,"Put Count":10000,"Memory Cache.Put Count":10000,"Hit Count":12354803,"Memory Cache.Hit Count":12354803,"Miss Count":651789,"Memory Cache.Miss Count":651789,"Map Size":10000,"Memory Cache.Map Size":10000,"List Size":10000,"Memory Cache.List Size":10000}}</x:v>
      </x:c>
      <x:c r="AZ47" s="44" t="str">
        <x:v>{"provider":"jcs321","currentEntries":10000,"requestCount":13006592,"hitCount":12354803,"missCount":651789,"hitRate":0.9498877953579231,"loadSuccessCount":0,"loadFailureCount":0,"totalLoadTimeNanos":0,"evictionCount":-1,"expirationCount":-1,"putCount":15000,"removeCount":0,"nativeMetrics":{"HitCountRam":12354803,"Composite.HitCountRam":12354803,"HitCountAux":0,"Composite.HitCountAux":0,"Put Count":15000,"Memory Cache.Put Count":15000,"Hit Count":12354803,"Memory Cache.Hit Count":12354803,"Miss Count":651789,"Memory Cache.Miss Count":651789,"Map Size":10000,"Memory Cache.Map Size":10000,"List Size":10000,"Memory Cache.List Size":10000}}</x:v>
      </x:c>
      <x:c r="BA47" s="43" t="n">
        <x:v>10000</x:v>
      </x:c>
      <x:c r="BB47" s="43" t="n">
        <x:v>13006592</x:v>
      </x:c>
      <x:c r="BC47" s="43" t="n">
        <x:v>12354803</x:v>
      </x:c>
      <x:c r="BD47" s="43" t="n">
        <x:v>651789</x:v>
      </x:c>
      <x:c r="BE47" s="48" t="n">
        <x:v>0.9498877953579231</x:v>
      </x:c>
      <x:c r="BF47" s="43" t="n">
        <x:v>0</x:v>
      </x:c>
      <x:c r="BG47" s="43" t="n">
        <x:v>0</x:v>
      </x:c>
      <x:c r="BH47" s="43" t="n">
        <x:v>0</x:v>
      </x:c>
      <x:c r="BI47" s="43" t="n">
        <x:v>-1</x:v>
      </x:c>
      <x:c r="BJ47" s="43" t="n">
        <x:v>-1</x:v>
      </x:c>
      <x:c r="BK47" s="43" t="n">
        <x:v>15000</x:v>
      </x:c>
      <x:c r="BL47" s="43" t="n">
        <x:v>0</x:v>
      </x:c>
      <x:c r="BM47" s="44" t="str">
        <x:v>{"HitCountRam":12354803,"Composite.HitCountRam":12354803,"HitCountAux":0,"Composite.HitCountAux":0,"Put Count":15000,"Memory Cache.Put Count":15000,"Hit Count":12354803,"Memory Cache.Hit Count":12354803,"Miss Count":651789,"Memory Cache.Miss Count":651789,"Map Size":10000,"Memory Cache.Map Size":10000,"List Size":10000,"Memory Cache.List Size":10000}</x:v>
      </x:c>
    </x:row>
    <x:row r="48">
      <x:c r="A48" s="34" t="str">
        <x:v>article1-unified-v4-2-fb3f101b-20260903-000401-default-f01-p5-jcs321</x:v>
      </x:c>
      <x:c r="B48" s="34" t="str">
        <x:v>default</x:v>
      </x:c>
      <x:c r="C48" s="34" t="str">
        <x:v>jcs321</x:v>
      </x:c>
      <x:c r="D48" s="34" t="str">
        <x:v>jcs321</x:v>
      </x:c>
      <x:c r="E48" s="34" t="str">
        <x:v>JCS-248-positive-control</x:v>
      </x:c>
      <x:c r="F48" s="36" t="n">
        <x:v>1</x:v>
      </x:c>
      <x:c r="G48" s="36" t="n">
        <x:v>1</x:v>
      </x:c>
      <x:c r="H48" s="36" t="n">
        <x:v>5</x:v>
      </x:c>
      <x:c r="I48" s="36" t="n">
        <x:v>4</x:v>
      </x:c>
      <x:c r="J48" s="34" t="str">
        <x:v>initial</x:v>
      </x:c>
      <x:c r="K48" s="34" t="str">
        <x:v>cache-semantics</x:v>
      </x:c>
      <x:c r="L48" s="45" t="b">
        <x:v>0</x:v>
      </x:c>
      <x:c r="M48" s="36" t="n">
        <x:v>584767396</x:v>
      </x:c>
      <x:c r="N48" s="34" t="str">
        <x:v>8b3eab7a458105f79edbbcdf72ca6cd4f7d0bb6ba737ed58e05821db7c3517a5</x:v>
      </x:c>
      <x:c r="O48" s="43" t="n">
        <x:v>10000</x:v>
      </x:c>
      <x:c r="P48" s="43" t="n">
        <x:v>400000</x:v>
      </x:c>
      <x:c r="Q48" s="36" t="n">
        <x:v>8</x:v>
      </x:c>
      <x:c r="R48" s="42" t="n">
        <x:v>95</x:v>
      </x:c>
      <x:c r="S48" s="43" t="n">
        <x:v>512</x:v>
      </x:c>
      <x:c r="T48" s="43" t="n">
        <x:v>50000</x:v>
      </x:c>
      <x:c r="U48" s="46" t="n">
        <x:v>3</x:v>
      </x:c>
      <x:c r="V48" s="46" t="n">
        <x:v>5</x:v>
      </x:c>
      <x:c r="W48" s="43" t="n">
        <x:v>300</x:v>
      </x:c>
      <x:c r="X48" s="34" t="str">
        <x:v>uniform</x:v>
      </x:c>
      <x:c r="Y48" s="42" t="n">
        <x:v>10</x:v>
      </x:c>
      <x:c r="Z48" s="34" t="str">
        <x:v>strict</x:v>
      </x:c>
      <x:c r="AA48" s="36" t="n">
        <x:v>64</x:v>
      </x:c>
      <x:c r="AB48" s="43" t="n">
        <x:v>8158720</x:v>
      </x:c>
      <x:c r="AC48" s="43" t="n">
        <x:v>3000800095</x:v>
      </x:c>
      <x:c r="AD48" s="43" t="n">
        <x:v>800095</x:v>
      </x:c>
      <x:c r="AE48" s="43" t="n">
        <x:v>3470967.612054115</x:v>
      </x:c>
      <x:c r="AF48" s="43" t="n">
        <x:v>2497511.988446401</x:v>
      </x:c>
      <x:c r="AG48" s="43" t="n">
        <x:v>12488960</x:v>
      </x:c>
      <x:c r="AH48" s="43" t="n">
        <x:v>5000560581</x:v>
      </x:c>
      <x:c r="AI48" s="43" t="n">
        <x:v>560581</x:v>
      </x:c>
      <x:c r="AJ48" s="43" t="n">
        <x:v>2497511.988446401</x:v>
      </x:c>
      <x:c r="AK48" s="43" t="n">
        <x:v>12488960</x:v>
      </x:c>
      <x:c r="AL48" s="43" t="n">
        <x:v>0</x:v>
      </x:c>
      <x:c r="AM48" s="43" t="n">
        <x:v>479470.9709095373</x:v>
      </x:c>
      <x:c r="AN48" s="43" t="n">
        <x:v>361</x:v>
      </x:c>
      <x:c r="AO48" s="43" t="n">
        <x:v>1002</x:v>
      </x:c>
      <x:c r="AP48" s="43" t="n">
        <x:v>207857</x:v>
      </x:c>
      <x:c r="AQ48" s="43" t="n">
        <x:v>195140</x:v>
      </x:c>
      <x:c r="AR48" s="43" t="n">
        <x:v>1</x:v>
      </x:c>
      <x:c r="AS48" s="45" t="b">
        <x:v>1</x:v>
      </x:c>
      <x:c r="AT48" s="43" t="n">
        <x:v>10000</x:v>
      </x:c>
      <x:c r="AU48" s="48" t="n">
        <x:v>0.9499754983601517</x:v>
      </x:c>
      <x:c r="AV48" s="43" t="n">
        <x:v>10000</x:v>
      </x:c>
      <x:c r="AW48" s="48" t="n">
        <x:v>0.9499754983601517</x:v>
      </x:c>
      <x:c r="AX48" s="45" t="b">
        <x:v>1</x:v>
      </x:c>
      <x:c r="AY48" s="44" t="str">
        <x:v>{"provider":"jcs321","currentEntries":10000,"requestCount":12488960,"hitCount":11864206,"missCount":624754,"hitRate":0.9499754983601517,"loadSuccessCount":0,"loadFailureCount":0,"totalLoadTimeNanos":0,"evictionCount":-1,"expirationCount":-1,"putCount":10000,"removeCount":0,"nativeMetrics":{"HitCountRam":11864206,"Composite.HitCountRam":11864206,"HitCountAux":0,"Composite.HitCountAux":0,"Put Count":10000,"Memory Cache.Put Count":10000,"Hit Count":11864206,"Memory Cache.Hit Count":11864206,"Miss Count":624754,"Memory Cache.Miss Count":624754,"Map Size":10000,"Memory Cache.Map Size":10000,"List Size":10000,"Memory Cache.List Size":10000}}</x:v>
      </x:c>
      <x:c r="AZ48" s="44" t="str">
        <x:v>{"provider":"jcs321","currentEntries":10000,"requestCount":12488960,"hitCount":11864206,"missCount":624754,"hitRate":0.9499754983601517,"loadSuccessCount":0,"loadFailureCount":0,"totalLoadTimeNanos":0,"evictionCount":-1,"expirationCount":-1,"putCount":15000,"removeCount":0,"nativeMetrics":{"HitCountRam":11864206,"Composite.HitCountRam":11864206,"HitCountAux":0,"Composite.HitCountAux":0,"Put Count":15000,"Memory Cache.Put Count":15000,"Hit Count":11864206,"Memory Cache.Hit Count":11864206,"Miss Count":624754,"Memory Cache.Miss Count":624754,"Map Size":10000,"Memory Cache.Map Size":10000,"List Size":10000,"Memory Cache.List Size":10000}}</x:v>
      </x:c>
      <x:c r="BA48" s="43" t="n">
        <x:v>10000</x:v>
      </x:c>
      <x:c r="BB48" s="43" t="n">
        <x:v>12488960</x:v>
      </x:c>
      <x:c r="BC48" s="43" t="n">
        <x:v>11864206</x:v>
      </x:c>
      <x:c r="BD48" s="43" t="n">
        <x:v>624754</x:v>
      </x:c>
      <x:c r="BE48" s="48" t="n">
        <x:v>0.9499754983601517</x:v>
      </x:c>
      <x:c r="BF48" s="43" t="n">
        <x:v>0</x:v>
      </x:c>
      <x:c r="BG48" s="43" t="n">
        <x:v>0</x:v>
      </x:c>
      <x:c r="BH48" s="43" t="n">
        <x:v>0</x:v>
      </x:c>
      <x:c r="BI48" s="43" t="n">
        <x:v>-1</x:v>
      </x:c>
      <x:c r="BJ48" s="43" t="n">
        <x:v>-1</x:v>
      </x:c>
      <x:c r="BK48" s="43" t="n">
        <x:v>15000</x:v>
      </x:c>
      <x:c r="BL48" s="43" t="n">
        <x:v>0</x:v>
      </x:c>
      <x:c r="BM48" s="44" t="str">
        <x:v>{"HitCountRam":11864206,"Composite.HitCountRam":11864206,"HitCountAux":0,"Composite.HitCountAux":0,"Put Count":15000,"Memory Cache.Put Count":15000,"Hit Count":11864206,"Memory Cache.Hit Count":11864206,"Miss Count":624754,"Memory Cache.Miss Count":624754,"Map Size":10000,"Memory Cache.Map Size":10000,"List Size":10000,"Memory Cache.List Size":10000}</x:v>
      </x:c>
    </x:row>
    <x:row r="49">
      <x:c r="A49" s="34" t="str">
        <x:v>article1-unified-v4-2-fb3f101b-20260903-000401-default-f01-p5-jcs321</x:v>
      </x:c>
      <x:c r="B49" s="34" t="str">
        <x:v>default</x:v>
      </x:c>
      <x:c r="C49" s="34" t="str">
        <x:v>jcs321</x:v>
      </x:c>
      <x:c r="D49" s="34" t="str">
        <x:v>jcs321</x:v>
      </x:c>
      <x:c r="E49" s="34" t="str">
        <x:v>JCS-248-positive-control</x:v>
      </x:c>
      <x:c r="F49" s="36" t="n">
        <x:v>1</x:v>
      </x:c>
      <x:c r="G49" s="36" t="n">
        <x:v>1</x:v>
      </x:c>
      <x:c r="H49" s="36" t="n">
        <x:v>5</x:v>
      </x:c>
      <x:c r="I49" s="36" t="n">
        <x:v>4</x:v>
      </x:c>
      <x:c r="J49" s="34" t="str">
        <x:v>redeploy</x:v>
      </x:c>
      <x:c r="K49" s="34" t="str">
        <x:v>cache-semantics</x:v>
      </x:c>
      <x:c r="L49" s="45" t="b">
        <x:v>0</x:v>
      </x:c>
      <x:c r="M49" s="36" t="n">
        <x:v>584767396</x:v>
      </x:c>
      <x:c r="N49" s="34" t="str">
        <x:v>8b3eab7a458105f79edbbcdf72ca6cd4f7d0bb6ba737ed58e05821db7c3517a5</x:v>
      </x:c>
      <x:c r="O49" s="43" t="n">
        <x:v>10000</x:v>
      </x:c>
      <x:c r="P49" s="43" t="n">
        <x:v>400000</x:v>
      </x:c>
      <x:c r="Q49" s="36" t="n">
        <x:v>8</x:v>
      </x:c>
      <x:c r="R49" s="42" t="n">
        <x:v>95</x:v>
      </x:c>
      <x:c r="S49" s="43" t="n">
        <x:v>512</x:v>
      </x:c>
      <x:c r="T49" s="43" t="n">
        <x:v>50000</x:v>
      </x:c>
      <x:c r="U49" s="46" t="n">
        <x:v>3</x:v>
      </x:c>
      <x:c r="V49" s="46" t="n">
        <x:v>5</x:v>
      </x:c>
      <x:c r="W49" s="43" t="n">
        <x:v>300</x:v>
      </x:c>
      <x:c r="X49" s="34" t="str">
        <x:v>uniform</x:v>
      </x:c>
      <x:c r="Y49" s="42" t="n">
        <x:v>10</x:v>
      </x:c>
      <x:c r="Z49" s="34" t="str">
        <x:v>strict</x:v>
      </x:c>
      <x:c r="AA49" s="36" t="n">
        <x:v>64</x:v>
      </x:c>
      <x:c r="AB49" s="43" t="n">
        <x:v>7748352</x:v>
      </x:c>
      <x:c r="AC49" s="43" t="n">
        <x:v>3000510339</x:v>
      </x:c>
      <x:c r="AD49" s="43" t="n">
        <x:v>510339</x:v>
      </x:c>
      <x:c r="AE49" s="43" t="n">
        <x:v>3536868.315318884</x:v>
      </x:c>
      <x:c r="AF49" s="43" t="n">
        <x:v>2787083.5134543316</x:v>
      </x:c>
      <x:c r="AG49" s="43" t="n">
        <x:v>13937152</x:v>
      </x:c>
      <x:c r="AH49" s="43" t="n">
        <x:v>5000622311</x:v>
      </x:c>
      <x:c r="AI49" s="43" t="n">
        <x:v>622311</x:v>
      </x:c>
      <x:c r="AJ49" s="43" t="n">
        <x:v>2787083.5134543316</x:v>
      </x:c>
      <x:c r="AK49" s="43" t="n">
        <x:v>13937152</x:v>
      </x:c>
      <x:c r="AL49" s="43" t="n">
        <x:v>0</x:v>
      </x:c>
      <x:c r="AM49" s="43" t="n">
        <x:v>417730.0332772099</x:v>
      </x:c>
      <x:c r="AN49" s="43" t="n">
        <x:v>301</x:v>
      </x:c>
      <x:c r="AO49" s="43" t="n">
        <x:v>871</x:v>
      </x:c>
      <x:c r="AP49" s="43" t="n">
        <x:v>197628</x:v>
      </x:c>
      <x:c r="AQ49" s="43" t="n">
        <x:v>217768</x:v>
      </x:c>
      <x:c r="AR49" s="43" t="n">
        <x:v>1</x:v>
      </x:c>
      <x:c r="AS49" s="45" t="b">
        <x:v>1</x:v>
      </x:c>
      <x:c r="AT49" s="43" t="n">
        <x:v>10000</x:v>
      </x:c>
      <x:c r="AU49" s="48" t="n">
        <x:v>0.9499684727554094</x:v>
      </x:c>
      <x:c r="AV49" s="43" t="n">
        <x:v>10000</x:v>
      </x:c>
      <x:c r="AW49" s="48" t="n">
        <x:v>0.9499684727554094</x:v>
      </x:c>
      <x:c r="AX49" s="45" t="b">
        <x:v>1</x:v>
      </x:c>
      <x:c r="AY49" s="44" t="str">
        <x:v>{"provider":"jcs321","currentEntries":10000,"requestCount":13937152,"hitCount":13239855,"missCount":697297,"hitRate":0.9499684727554094,"loadSuccessCount":0,"loadFailureCount":0,"totalLoadTimeNanos":0,"evictionCount":-1,"expirationCount":-1,"putCount":10000,"removeCount":0,"nativeMetrics":{"HitCountRam":13239855,"Composite.HitCountRam":13239855,"HitCountAux":0,"Composite.HitCountAux":0,"Put Count":10000,"Memory Cache.Put Count":10000,"Hit Count":13239855,"Memory Cache.Hit Count":13239855,"Miss Count":697297,"Memory Cache.Miss Count":697297,"Map Size":10000,"Memory Cache.Map Size":10000,"List Size":10000,"Memory Cache.List Size":10000}}</x:v>
      </x:c>
      <x:c r="AZ49" s="44" t="str">
        <x:v>{"provider":"jcs321","currentEntries":10000,"requestCount":13937152,"hitCount":13239855,"missCount":697297,"hitRate":0.9499684727554094,"loadSuccessCount":0,"loadFailureCount":0,"totalLoadTimeNanos":0,"evictionCount":-1,"expirationCount":-1,"putCount":15000,"removeCount":0,"nativeMetrics":{"HitCountRam":13239855,"Composite.HitCountRam":13239855,"HitCountAux":0,"Composite.HitCountAux":0,"Put Count":15000,"Memory Cache.Put Count":15000,"Hit Count":13239855,"Memory Cache.Hit Count":13239855,"Miss Count":697297,"Memory Cache.Miss Count":697297,"Map Size":10000,"Memory Cache.Map Size":10000,"List Size":10000,"Memory Cache.List Size":10000}}</x:v>
      </x:c>
      <x:c r="BA49" s="43" t="n">
        <x:v>10000</x:v>
      </x:c>
      <x:c r="BB49" s="43" t="n">
        <x:v>13937152</x:v>
      </x:c>
      <x:c r="BC49" s="43" t="n">
        <x:v>13239855</x:v>
      </x:c>
      <x:c r="BD49" s="43" t="n">
        <x:v>697297</x:v>
      </x:c>
      <x:c r="BE49" s="48" t="n">
        <x:v>0.9499684727554094</x:v>
      </x:c>
      <x:c r="BF49" s="43" t="n">
        <x:v>0</x:v>
      </x:c>
      <x:c r="BG49" s="43" t="n">
        <x:v>0</x:v>
      </x:c>
      <x:c r="BH49" s="43" t="n">
        <x:v>0</x:v>
      </x:c>
      <x:c r="BI49" s="43" t="n">
        <x:v>-1</x:v>
      </x:c>
      <x:c r="BJ49" s="43" t="n">
        <x:v>-1</x:v>
      </x:c>
      <x:c r="BK49" s="43" t="n">
        <x:v>15000</x:v>
      </x:c>
      <x:c r="BL49" s="43" t="n">
        <x:v>0</x:v>
      </x:c>
      <x:c r="BM49" s="44" t="str">
        <x:v>{"HitCountRam":13239855,"Composite.HitCountRam":13239855,"HitCountAux":0,"Composite.HitCountAux":0,"Put Count":15000,"Memory Cache.Put Count":15000,"Hit Count":13239855,"Memory Cache.Hit Count":13239855,"Miss Count":697297,"Memory Cache.Miss Count":697297,"Map Size":10000,"Memory Cache.Map Size":10000,"List Size":10000,"Memory Cache.List Size":10000}</x:v>
      </x:c>
    </x:row>
    <x:row r="50">
      <x:c r="A50" s="34" t="str">
        <x:v>article1-unified-v4-2-fb3f101b-20260903-000401-default-f01-p5-jcs321</x:v>
      </x:c>
      <x:c r="B50" s="34" t="str">
        <x:v>default</x:v>
      </x:c>
      <x:c r="C50" s="34" t="str">
        <x:v>jcs321</x:v>
      </x:c>
      <x:c r="D50" s="34" t="str">
        <x:v>jcs321</x:v>
      </x:c>
      <x:c r="E50" s="34" t="str">
        <x:v>JCS-248-positive-control</x:v>
      </x:c>
      <x:c r="F50" s="36" t="n">
        <x:v>1</x:v>
      </x:c>
      <x:c r="G50" s="36" t="n">
        <x:v>1</x:v>
      </x:c>
      <x:c r="H50" s="36" t="n">
        <x:v>5</x:v>
      </x:c>
      <x:c r="I50" s="36" t="n">
        <x:v>5</x:v>
      </x:c>
      <x:c r="J50" s="34" t="str">
        <x:v>initial</x:v>
      </x:c>
      <x:c r="K50" s="34" t="str">
        <x:v>cache-semantics</x:v>
      </x:c>
      <x:c r="L50" s="45" t="b">
        <x:v>0</x:v>
      </x:c>
      <x:c r="M50" s="36" t="n">
        <x:v>990445241</x:v>
      </x:c>
      <x:c r="N50" s="34" t="str">
        <x:v>c8c0b067bf711230321b1ae1f036e3e36ec57e928c071e76bd188cc45e5bf206</x:v>
      </x:c>
      <x:c r="O50" s="43" t="n">
        <x:v>10000</x:v>
      </x:c>
      <x:c r="P50" s="43" t="n">
        <x:v>400000</x:v>
      </x:c>
      <x:c r="Q50" s="36" t="n">
        <x:v>8</x:v>
      </x:c>
      <x:c r="R50" s="42" t="n">
        <x:v>95</x:v>
      </x:c>
      <x:c r="S50" s="43" t="n">
        <x:v>512</x:v>
      </x:c>
      <x:c r="T50" s="43" t="n">
        <x:v>50000</x:v>
      </x:c>
      <x:c r="U50" s="46" t="n">
        <x:v>3</x:v>
      </x:c>
      <x:c r="V50" s="46" t="n">
        <x:v>5</x:v>
      </x:c>
      <x:c r="W50" s="43" t="n">
        <x:v>300</x:v>
      </x:c>
      <x:c r="X50" s="34" t="str">
        <x:v>uniform</x:v>
      </x:c>
      <x:c r="Y50" s="42" t="n">
        <x:v>10</x:v>
      </x:c>
      <x:c r="Z50" s="34" t="str">
        <x:v>strict</x:v>
      </x:c>
      <x:c r="AA50" s="36" t="n">
        <x:v>64</x:v>
      </x:c>
      <x:c r="AB50" s="43" t="n">
        <x:v>7189248</x:v>
      </x:c>
      <x:c r="AC50" s="43" t="n">
        <x:v>3000751728</x:v>
      </x:c>
      <x:c r="AD50" s="43" t="n">
        <x:v>751728</x:v>
      </x:c>
      <x:c r="AE50" s="43" t="n">
        <x:v>2992826.4941761093</x:v>
      </x:c>
      <x:c r="AF50" s="43" t="n">
        <x:v>2089336.9809634269</x:v>
      </x:c>
      <x:c r="AG50" s="43" t="n">
        <x:v>10448896</x:v>
      </x:c>
      <x:c r="AH50" s="43" t="n">
        <x:v>5001058276</x:v>
      </x:c>
      <x:c r="AI50" s="43" t="n">
        <x:v>1058276</x:v>
      </x:c>
      <x:c r="AJ50" s="43" t="n">
        <x:v>2089336.9809634269</x:v>
      </x:c>
      <x:c r="AK50" s="43" t="n">
        <x:v>10448896</x:v>
      </x:c>
      <x:c r="AL50" s="43" t="n">
        <x:v>0</x:v>
      </x:c>
      <x:c r="AM50" s="43" t="n">
        <x:v>418738.65532298066</x:v>
      </x:c>
      <x:c r="AN50" s="43" t="n">
        <x:v>491</x:v>
      </x:c>
      <x:c r="AO50" s="43" t="n">
        <x:v>1182</x:v>
      </x:c>
      <x:c r="AP50" s="43" t="n">
        <x:v>222025</x:v>
      </x:c>
      <x:c r="AQ50" s="43" t="n">
        <x:v>163264</x:v>
      </x:c>
      <x:c r="AR50" s="43" t="n">
        <x:v>1</x:v>
      </x:c>
      <x:c r="AS50" s="45" t="b">
        <x:v>1</x:v>
      </x:c>
      <x:c r="AT50" s="43" t="n">
        <x:v>10000</x:v>
      </x:c>
      <x:c r="AU50" s="48" t="n">
        <x:v>0.9505005122072226</x:v>
      </x:c>
      <x:c r="AV50" s="43" t="n">
        <x:v>10000</x:v>
      </x:c>
      <x:c r="AW50" s="48" t="n">
        <x:v>0.9505005122072226</x:v>
      </x:c>
      <x:c r="AX50" s="45" t="b">
        <x:v>1</x:v>
      </x:c>
      <x:c r="AY50" s="44" t="str">
        <x:v>{"provider":"jcs321","currentEntries":10000,"requestCount":10448896,"hitCount":9931681,"missCount":517215,"hitRate":0.9505005122072226,"loadSuccessCount":0,"loadFailureCount":0,"totalLoadTimeNanos":0,"evictionCount":-1,"expirationCount":-1,"putCount":10000,"removeCount":0,"nativeMetrics":{"HitCountRam":9931681,"Composite.HitCountRam":9931681,"HitCountAux":0,"Composite.HitCountAux":0,"Put Count":10000,"Memory Cache.Put Count":10000,"Hit Count":9931681,"Memory Cache.Hit Count":9931681,"Miss Count":517215,"Memory Cache.Miss Count":517215,"Map Size":10000,"Memory Cache.Map Size":10000,"List Size":10000,"Memory Cache.List Size":10000}}</x:v>
      </x:c>
      <x:c r="AZ50" s="44" t="str">
        <x:v>{"provider":"jcs321","currentEntries":10000,"requestCount":10448896,"hitCount":9931681,"missCount":517215,"hitRate":0.9505005122072226,"loadSuccessCount":0,"loadFailureCount":0,"totalLoadTimeNanos":0,"evictionCount":-1,"expirationCount":-1,"putCount":15000,"removeCount":0,"nativeMetrics":{"HitCountRam":9931681,"Composite.HitCountRam":9931681,"HitCountAux":0,"Composite.HitCountAux":0,"Put Count":15000,"Memory Cache.Put Count":15000,"Hit Count":9931681,"Memory Cache.Hit Count":9931681,"Miss Count":517215,"Memory Cache.Miss Count":517215,"Map Size":10000,"Memory Cache.Map Size":10000,"List Size":10000,"Memory Cache.List Size":10000}}</x:v>
      </x:c>
      <x:c r="BA50" s="43" t="n">
        <x:v>10000</x:v>
      </x:c>
      <x:c r="BB50" s="43" t="n">
        <x:v>10448896</x:v>
      </x:c>
      <x:c r="BC50" s="43" t="n">
        <x:v>9931681</x:v>
      </x:c>
      <x:c r="BD50" s="43" t="n">
        <x:v>517215</x:v>
      </x:c>
      <x:c r="BE50" s="48" t="n">
        <x:v>0.9505005122072226</x:v>
      </x:c>
      <x:c r="BF50" s="43" t="n">
        <x:v>0</x:v>
      </x:c>
      <x:c r="BG50" s="43" t="n">
        <x:v>0</x:v>
      </x:c>
      <x:c r="BH50" s="43" t="n">
        <x:v>0</x:v>
      </x:c>
      <x:c r="BI50" s="43" t="n">
        <x:v>-1</x:v>
      </x:c>
      <x:c r="BJ50" s="43" t="n">
        <x:v>-1</x:v>
      </x:c>
      <x:c r="BK50" s="43" t="n">
        <x:v>15000</x:v>
      </x:c>
      <x:c r="BL50" s="43" t="n">
        <x:v>0</x:v>
      </x:c>
      <x:c r="BM50" s="44" t="str">
        <x:v>{"HitCountRam":9931681,"Composite.HitCountRam":9931681,"HitCountAux":0,"Composite.HitCountAux":0,"Put Count":15000,"Memory Cache.Put Count":15000,"Hit Count":9931681,"Memory Cache.Hit Count":9931681,"Miss Count":517215,"Memory Cache.Miss Count":517215,"Map Size":10000,"Memory Cache.Map Size":10000,"List Size":10000,"Memory Cache.List Size":10000}</x:v>
      </x:c>
    </x:row>
    <x:row r="51">
      <x:c r="A51" s="34" t="str">
        <x:v>article1-unified-v4-2-fb3f101b-20260903-000401-default-f01-p5-jcs321</x:v>
      </x:c>
      <x:c r="B51" s="34" t="str">
        <x:v>default</x:v>
      </x:c>
      <x:c r="C51" s="34" t="str">
        <x:v>jcs321</x:v>
      </x:c>
      <x:c r="D51" s="34" t="str">
        <x:v>jcs321</x:v>
      </x:c>
      <x:c r="E51" s="34" t="str">
        <x:v>JCS-248-positive-control</x:v>
      </x:c>
      <x:c r="F51" s="36" t="n">
        <x:v>1</x:v>
      </x:c>
      <x:c r="G51" s="36" t="n">
        <x:v>1</x:v>
      </x:c>
      <x:c r="H51" s="36" t="n">
        <x:v>5</x:v>
      </x:c>
      <x:c r="I51" s="36" t="n">
        <x:v>5</x:v>
      </x:c>
      <x:c r="J51" s="34" t="str">
        <x:v>redeploy</x:v>
      </x:c>
      <x:c r="K51" s="34" t="str">
        <x:v>cache-semantics</x:v>
      </x:c>
      <x:c r="L51" s="45" t="b">
        <x:v>0</x:v>
      </x:c>
      <x:c r="M51" s="36" t="n">
        <x:v>990445241</x:v>
      </x:c>
      <x:c r="N51" s="34" t="str">
        <x:v>c8c0b067bf711230321b1ae1f036e3e36ec57e928c071e76bd188cc45e5bf206</x:v>
      </x:c>
      <x:c r="O51" s="43" t="n">
        <x:v>10000</x:v>
      </x:c>
      <x:c r="P51" s="43" t="n">
        <x:v>400000</x:v>
      </x:c>
      <x:c r="Q51" s="36" t="n">
        <x:v>8</x:v>
      </x:c>
      <x:c r="R51" s="42" t="n">
        <x:v>95</x:v>
      </x:c>
      <x:c r="S51" s="43" t="n">
        <x:v>512</x:v>
      </x:c>
      <x:c r="T51" s="43" t="n">
        <x:v>50000</x:v>
      </x:c>
      <x:c r="U51" s="46" t="n">
        <x:v>3</x:v>
      </x:c>
      <x:c r="V51" s="46" t="n">
        <x:v>5</x:v>
      </x:c>
      <x:c r="W51" s="43" t="n">
        <x:v>300</x:v>
      </x:c>
      <x:c r="X51" s="34" t="str">
        <x:v>uniform</x:v>
      </x:c>
      <x:c r="Y51" s="42" t="n">
        <x:v>10</x:v>
      </x:c>
      <x:c r="Z51" s="34" t="str">
        <x:v>strict</x:v>
      </x:c>
      <x:c r="AA51" s="36" t="n">
        <x:v>64</x:v>
      </x:c>
      <x:c r="AB51" s="43" t="n">
        <x:v>4756224</x:v>
      </x:c>
      <x:c r="AC51" s="43" t="n">
        <x:v>3000614823</x:v>
      </x:c>
      <x:c r="AD51" s="43" t="n">
        <x:v>614823</x:v>
      </x:c>
      <x:c r="AE51" s="43" t="n">
        <x:v>2426889.9405411966</x:v>
      </x:c>
      <x:c r="AF51" s="43" t="n">
        <x:v>2197620.888057265</x:v>
      </x:c>
      <x:c r="AG51" s="43" t="n">
        <x:v>10989312</x:v>
      </x:c>
      <x:c r="AH51" s="43" t="n">
        <x:v>5000549485</x:v>
      </x:c>
      <x:c r="AI51" s="43" t="n">
        <x:v>549485</x:v>
      </x:c>
      <x:c r="AJ51" s="43" t="n">
        <x:v>2197620.888057265</x:v>
      </x:c>
      <x:c r="AK51" s="43" t="n">
        <x:v>10989312</x:v>
      </x:c>
      <x:c r="AL51" s="43" t="n">
        <x:v>0</x:v>
      </x:c>
      <x:c r="AM51" s="43" t="n">
        <x:v>415606.2818723263</x:v>
      </x:c>
      <x:c r="AN51" s="43" t="n">
        <x:v>451</x:v>
      </x:c>
      <x:c r="AO51" s="43" t="n">
        <x:v>1092</x:v>
      </x:c>
      <x:c r="AP51" s="43" t="n">
        <x:v>220903</x:v>
      </x:c>
      <x:c r="AQ51" s="43" t="n">
        <x:v>171708</x:v>
      </x:c>
      <x:c r="AR51" s="43" t="n">
        <x:v>1</x:v>
      </x:c>
      <x:c r="AS51" s="45" t="b">
        <x:v>1</x:v>
      </x:c>
      <x:c r="AT51" s="43" t="n">
        <x:v>10000</x:v>
      </x:c>
      <x:c r="AU51" s="48" t="n">
        <x:v>0.9505046357770168</x:v>
      </x:c>
      <x:c r="AV51" s="43" t="n">
        <x:v>10000</x:v>
      </x:c>
      <x:c r="AW51" s="48" t="n">
        <x:v>0.9505046357770168</x:v>
      </x:c>
      <x:c r="AX51" s="45" t="b">
        <x:v>1</x:v>
      </x:c>
      <x:c r="AY51" s="44" t="str">
        <x:v>{"provider":"jcs321","currentEntries":10000,"requestCount":10989312,"hitCount":10445392,"missCount":543920,"hitRate":0.9505046357770168,"loadSuccessCount":0,"loadFailureCount":0,"totalLoadTimeNanos":0,"evictionCount":-1,"expirationCount":-1,"putCount":10000,"removeCount":0,"nativeMetrics":{"HitCountRam":10445392,"Composite.HitCountRam":10445392,"HitCountAux":0,"Composite.HitCountAux":0,"Put Count":10000,"Memory Cache.Put Count":10000,"Hit Count":10445392,"Memory Cache.Hit Count":10445392,"Miss Count":543920,"Memory Cache.Miss Count":543920,"Map Size":10000,"Memory Cache.Map Size":10000,"List Size":10000,"Memory Cache.List Size":10000}}</x:v>
      </x:c>
      <x:c r="AZ51" s="44" t="str">
        <x:v>{"provider":"jcs321","currentEntries":10000,"requestCount":10989312,"hitCount":10445392,"missCount":543920,"hitRate":0.9505046357770168,"loadSuccessCount":0,"loadFailureCount":0,"totalLoadTimeNanos":0,"evictionCount":-1,"expirationCount":-1,"putCount":15000,"removeCount":0,"nativeMetrics":{"HitCountRam":10445392,"Composite.HitCountRam":10445392,"HitCountAux":0,"Composite.HitCountAux":0,"Put Count":15000,"Memory Cache.Put Count":15000,"Hit Count":10445392,"Memory Cache.Hit Count":10445392,"Miss Count":543920,"Memory Cache.Miss Count":543920,"Map Size":10000,"Memory Cache.Map Size":10000,"List Size":10000,"Memory Cache.List Size":10000}}</x:v>
      </x:c>
      <x:c r="BA51" s="43" t="n">
        <x:v>10000</x:v>
      </x:c>
      <x:c r="BB51" s="43" t="n">
        <x:v>10989312</x:v>
      </x:c>
      <x:c r="BC51" s="43" t="n">
        <x:v>10445392</x:v>
      </x:c>
      <x:c r="BD51" s="43" t="n">
        <x:v>543920</x:v>
      </x:c>
      <x:c r="BE51" s="48" t="n">
        <x:v>0.9505046357770168</x:v>
      </x:c>
      <x:c r="BF51" s="43" t="n">
        <x:v>0</x:v>
      </x:c>
      <x:c r="BG51" s="43" t="n">
        <x:v>0</x:v>
      </x:c>
      <x:c r="BH51" s="43" t="n">
        <x:v>0</x:v>
      </x:c>
      <x:c r="BI51" s="43" t="n">
        <x:v>-1</x:v>
      </x:c>
      <x:c r="BJ51" s="43" t="n">
        <x:v>-1</x:v>
      </x:c>
      <x:c r="BK51" s="43" t="n">
        <x:v>15000</x:v>
      </x:c>
      <x:c r="BL51" s="43" t="n">
        <x:v>0</x:v>
      </x:c>
      <x:c r="BM51" s="44" t="str">
        <x:v>{"HitCountRam":10445392,"Composite.HitCountRam":10445392,"HitCountAux":0,"Composite.HitCountAux":0,"Put Count":15000,"Memory Cache.Put Count":15000,"Hit Count":10445392,"Memory Cache.Hit Count":10445392,"Miss Count":543920,"Memory Cache.Miss Count":543920,"Map Size":10000,"Memory Cache.Map Size":10000,"List Size":10000,"Memory Cache.List Size":10000}</x:v>
      </x:c>
    </x:row>
    <x:row r="52">
      <x:c r="A52" s="34" t="str">
        <x:v>article1-unified-v4-2-fb3f101b-20260903-000401-default-f01-p6-jcs4</x:v>
      </x:c>
      <x:c r="B52" s="34" t="str">
        <x:v>default</x:v>
      </x:c>
      <x:c r="C52" s="34" t="str">
        <x:v>jcs4</x:v>
      </x:c>
      <x:c r="D52" s="34" t="str">
        <x:v>jcs4</x:v>
      </x:c>
      <x:c r="E52" s="34" t="str">
        <x:v>current-provider-primary-comparison</x:v>
      </x:c>
      <x:c r="F52" s="36" t="n">
        <x:v>1</x:v>
      </x:c>
      <x:c r="G52" s="36" t="n">
        <x:v>1</x:v>
      </x:c>
      <x:c r="H52" s="36" t="n">
        <x:v>6</x:v>
      </x:c>
      <x:c r="I52" s="36" t="n">
        <x:v>1</x:v>
      </x:c>
      <x:c r="J52" s="34" t="str">
        <x:v>initial</x:v>
      </x:c>
      <x:c r="K52" s="34" t="str">
        <x:v>cache-semantics</x:v>
      </x:c>
      <x:c r="L52" s="45" t="b">
        <x:v>1</x:v>
      </x:c>
      <x:c r="M52" s="36" t="n">
        <x:v>106301548</x:v>
      </x:c>
      <x:c r="N52" s="34" t="str">
        <x:v>fa65b2a625504511da06f56a3e8d6510b1104618fae5e2432265db137bc093a0</x:v>
      </x:c>
      <x:c r="O52" s="43" t="n">
        <x:v>10000</x:v>
      </x:c>
      <x:c r="P52" s="43" t="n">
        <x:v>400000</x:v>
      </x:c>
      <x:c r="Q52" s="36" t="n">
        <x:v>8</x:v>
      </x:c>
      <x:c r="R52" s="42" t="n">
        <x:v>95</x:v>
      </x:c>
      <x:c r="S52" s="43" t="n">
        <x:v>512</x:v>
      </x:c>
      <x:c r="T52" s="43" t="n">
        <x:v>50000</x:v>
      </x:c>
      <x:c r="U52" s="46" t="n">
        <x:v>3</x:v>
      </x:c>
      <x:c r="V52" s="46" t="n">
        <x:v>5</x:v>
      </x:c>
      <x:c r="W52" s="43" t="n">
        <x:v>300</x:v>
      </x:c>
      <x:c r="X52" s="34" t="str">
        <x:v>uniform</x:v>
      </x:c>
      <x:c r="Y52" s="42" t="n">
        <x:v>10</x:v>
      </x:c>
      <x:c r="Z52" s="34" t="str">
        <x:v>strict</x:v>
      </x:c>
      <x:c r="AA52" s="36" t="n">
        <x:v>64</x:v>
      </x:c>
      <x:c r="AB52" s="43" t="n">
        <x:v>1714432</x:v>
      </x:c>
      <x:c r="AC52" s="43" t="n">
        <x:v>3002432271</x:v>
      </x:c>
      <x:c r="AD52" s="43" t="n">
        <x:v>2432271</x:v>
      </x:c>
      <x:c r="AE52" s="43" t="n">
        <x:v>2163313.746690671</x:v>
      </x:c>
      <x:c r="AF52" s="43" t="n">
        <x:v>660445.5172267513</x:v>
      </x:c>
      <x:c r="AG52" s="43" t="n">
        <x:v>3304448</x:v>
      </x:c>
      <x:c r="AH52" s="43" t="n">
        <x:v>5003361994</x:v>
      </x:c>
      <x:c r="AI52" s="43" t="n">
        <x:v>3361994</x:v>
      </x:c>
      <x:c r="AJ52" s="43" t="n">
        <x:v>660445.5172267513</x:v>
      </x:c>
      <x:c r="AK52" s="43" t="n">
        <x:v>3304448</x:v>
      </x:c>
      <x:c r="AL52" s="43" t="n">
        <x:v>0</x:v>
      </x:c>
      <x:c r="AM52" s="43" t="n">
        <x:v>251058.19775060893</x:v>
      </x:c>
      <x:c r="AN52" s="43" t="n">
        <x:v>772</x:v>
      </x:c>
      <x:c r="AO52" s="43" t="n">
        <x:v>6653</x:v>
      </x:c>
      <x:c r="AP52" s="43" t="n">
        <x:v>303282</x:v>
      </x:c>
      <x:c r="AQ52" s="43" t="n">
        <x:v>51632</x:v>
      </x:c>
      <x:c r="AR52" s="43" t="n">
        <x:v>1</x:v>
      </x:c>
      <x:c r="AS52" s="45" t="b">
        <x:v>1</x:v>
      </x:c>
      <x:c r="AT52" s="43" t="n">
        <x:v>10000</x:v>
      </x:c>
      <x:c r="AU52" s="48" t="n">
        <x:v>0.9495489110435389</x:v>
      </x:c>
      <x:c r="AV52" s="43" t="n">
        <x:v>10000</x:v>
      </x:c>
      <x:c r="AW52" s="48" t="n">
        <x:v>0.9495489110435389</x:v>
      </x:c>
      <x:c r="AX52" s="45" t="b">
        <x:v>1</x:v>
      </x:c>
      <x:c r="AY52" s="44" t="str">
        <x:v>{"provider":"jcs4","currentEntries":10000,"requestCount":3304448,"hitCount":3137735,"missCount":166713,"hitRate":0.9495489110435389,"loadSuccessCount":0,"loadFailureCount":0,"totalLoadTimeNanos":0,"evictionCount":-1,"expirationCount":-1,"putCount":10000,"removeCount":0,"nativeMetrics":{"HitCountRam":3137735,"Composite.HitCountRam":3137735,"HitCountAux":0,"Composite.HitCountAux":0,"Put Count":10000,"Memory Cache.Put Count":10000,"Hit Count":3137735,"Memory Cache.Hit Count":3137735,"Miss Count":166713,"Memory Cache.Miss Count":166713,"Map Size":10000,"Memory Cache.Map Size":10000,"List Size":10000,"Memory Cache.List Size":10000}}</x:v>
      </x:c>
      <x:c r="AZ52" s="44" t="str">
        <x:v>{"provider":"jcs4","currentEntries":10000,"requestCount":3304448,"hitCount":3137735,"missCount":166713,"hitRate":0.9495489110435389,"loadSuccessCount":0,"loadFailureCount":0,"totalLoadTimeNanos":0,"evictionCount":-1,"expirationCount":-1,"putCount":15000,"removeCount":0,"nativeMetrics":{"HitCountRam":3137735,"Composite.HitCountRam":3137735,"HitCountAux":0,"Composite.HitCountAux":0,"Put Count":15000,"Memory Cache.Put Count":15000,"Hit Count":3137735,"Memory Cache.Hit Count":3137735,"Miss Count":166713,"Memory Cache.Miss Count":166713,"Map Size":10000,"Memory Cache.Map Size":10000,"List Size":10000,"Memory Cache.List Size":10000}}</x:v>
      </x:c>
      <x:c r="BA52" s="43" t="n">
        <x:v>10000</x:v>
      </x:c>
      <x:c r="BB52" s="43" t="n">
        <x:v>3304448</x:v>
      </x:c>
      <x:c r="BC52" s="43" t="n">
        <x:v>3137735</x:v>
      </x:c>
      <x:c r="BD52" s="43" t="n">
        <x:v>166713</x:v>
      </x:c>
      <x:c r="BE52" s="48" t="n">
        <x:v>0.9495489110435389</x:v>
      </x:c>
      <x:c r="BF52" s="43" t="n">
        <x:v>0</x:v>
      </x:c>
      <x:c r="BG52" s="43" t="n">
        <x:v>0</x:v>
      </x:c>
      <x:c r="BH52" s="43" t="n">
        <x:v>0</x:v>
      </x:c>
      <x:c r="BI52" s="43" t="n">
        <x:v>-1</x:v>
      </x:c>
      <x:c r="BJ52" s="43" t="n">
        <x:v>-1</x:v>
      </x:c>
      <x:c r="BK52" s="43" t="n">
        <x:v>15000</x:v>
      </x:c>
      <x:c r="BL52" s="43" t="n">
        <x:v>0</x:v>
      </x:c>
      <x:c r="BM52" s="44" t="str">
        <x:v>{"HitCountRam":3137735,"Composite.HitCountRam":3137735,"HitCountAux":0,"Composite.HitCountAux":0,"Put Count":15000,"Memory Cache.Put Count":15000,"Hit Count":3137735,"Memory Cache.Hit Count":3137735,"Miss Count":166713,"Memory Cache.Miss Count":166713,"Map Size":10000,"Memory Cache.Map Size":10000,"List Size":10000,"Memory Cache.List Size":10000}</x:v>
      </x:c>
    </x:row>
    <x:row r="53">
      <x:c r="A53" s="34" t="str">
        <x:v>article1-unified-v4-2-fb3f101b-20260903-000401-default-f01-p6-jcs4</x:v>
      </x:c>
      <x:c r="B53" s="34" t="str">
        <x:v>default</x:v>
      </x:c>
      <x:c r="C53" s="34" t="str">
        <x:v>jcs4</x:v>
      </x:c>
      <x:c r="D53" s="34" t="str">
        <x:v>jcs4</x:v>
      </x:c>
      <x:c r="E53" s="34" t="str">
        <x:v>current-provider-primary-comparison</x:v>
      </x:c>
      <x:c r="F53" s="36" t="n">
        <x:v>1</x:v>
      </x:c>
      <x:c r="G53" s="36" t="n">
        <x:v>1</x:v>
      </x:c>
      <x:c r="H53" s="36" t="n">
        <x:v>6</x:v>
      </x:c>
      <x:c r="I53" s="36" t="n">
        <x:v>1</x:v>
      </x:c>
      <x:c r="J53" s="34" t="str">
        <x:v>redeploy</x:v>
      </x:c>
      <x:c r="K53" s="34" t="str">
        <x:v>cache-semantics</x:v>
      </x:c>
      <x:c r="L53" s="45" t="b">
        <x:v>1</x:v>
      </x:c>
      <x:c r="M53" s="36" t="n">
        <x:v>106301548</x:v>
      </x:c>
      <x:c r="N53" s="34" t="str">
        <x:v>fa65b2a625504511da06f56a3e8d6510b1104618fae5e2432265db137bc093a0</x:v>
      </x:c>
      <x:c r="O53" s="43" t="n">
        <x:v>10000</x:v>
      </x:c>
      <x:c r="P53" s="43" t="n">
        <x:v>400000</x:v>
      </x:c>
      <x:c r="Q53" s="36" t="n">
        <x:v>8</x:v>
      </x:c>
      <x:c r="R53" s="42" t="n">
        <x:v>95</x:v>
      </x:c>
      <x:c r="S53" s="43" t="n">
        <x:v>512</x:v>
      </x:c>
      <x:c r="T53" s="43" t="n">
        <x:v>50000</x:v>
      </x:c>
      <x:c r="U53" s="46" t="n">
        <x:v>3</x:v>
      </x:c>
      <x:c r="V53" s="46" t="n">
        <x:v>5</x:v>
      </x:c>
      <x:c r="W53" s="43" t="n">
        <x:v>300</x:v>
      </x:c>
      <x:c r="X53" s="34" t="str">
        <x:v>uniform</x:v>
      </x:c>
      <x:c r="Y53" s="42" t="n">
        <x:v>10</x:v>
      </x:c>
      <x:c r="Z53" s="34" t="str">
        <x:v>strict</x:v>
      </x:c>
      <x:c r="AA53" s="36" t="n">
        <x:v>64</x:v>
      </x:c>
      <x:c r="AB53" s="43" t="n">
        <x:v>1933568</x:v>
      </x:c>
      <x:c r="AC53" s="43" t="n">
        <x:v>3001352903</x:v>
      </x:c>
      <x:c r="AD53" s="43" t="n">
        <x:v>1352903</x:v>
      </x:c>
      <x:c r="AE53" s="43" t="n">
        <x:v>3741586.574888042</x:v>
      </x:c>
      <x:c r="AF53" s="43" t="n">
        <x:v>603711.5599669034</x:v>
      </x:c>
      <x:c r="AG53" s="43" t="n">
        <x:v>3020544</x:v>
      </x:c>
      <x:c r="AH53" s="43" t="n">
        <x:v>5003289982</x:v>
      </x:c>
      <x:c r="AI53" s="43" t="n">
        <x:v>3289982</x:v>
      </x:c>
      <x:c r="AJ53" s="43" t="n">
        <x:v>603711.5599669034</x:v>
      </x:c>
      <x:c r="AK53" s="43" t="n">
        <x:v>3020544</x:v>
      </x:c>
      <x:c r="AL53" s="43" t="n">
        <x:v>0</x:v>
      </x:c>
      <x:c r="AM53" s="43" t="n">
        <x:v>254423.521841318</x:v>
      </x:c>
      <x:c r="AN53" s="43" t="n">
        <x:v>792</x:v>
      </x:c>
      <x:c r="AO53" s="43" t="n">
        <x:v>19246</x:v>
      </x:c>
      <x:c r="AP53" s="43" t="n">
        <x:v>372523</x:v>
      </x:c>
      <x:c r="AQ53" s="43" t="n">
        <x:v>47196</x:v>
      </x:c>
      <x:c r="AR53" s="43" t="n">
        <x:v>1</x:v>
      </x:c>
      <x:c r="AS53" s="45" t="b">
        <x:v>1</x:v>
      </x:c>
      <x:c r="AT53" s="43" t="n">
        <x:v>10000</x:v>
      </x:c>
      <x:c r="AU53" s="48" t="n">
        <x:v>0.9495723286931096</x:v>
      </x:c>
      <x:c r="AV53" s="43" t="n">
        <x:v>10000</x:v>
      </x:c>
      <x:c r="AW53" s="48" t="n">
        <x:v>0.9495723286931096</x:v>
      </x:c>
      <x:c r="AX53" s="45" t="b">
        <x:v>1</x:v>
      </x:c>
      <x:c r="AY53" s="44" t="str">
        <x:v>{"provider":"jcs4","currentEntries":10000,"requestCount":3020544,"hitCount":2868225,"missCount":152319,"hitRate":0.9495723286931096,"loadSuccessCount":0,"loadFailureCount":0,"totalLoadTimeNanos":0,"evictionCount":-1,"expirationCount":-1,"putCount":10000,"removeCount":0,"nativeMetrics":{"HitCountRam":2868225,"Composite.HitCountRam":2868225,"HitCountAux":0,"Composite.HitCountAux":0,"Put Count":10000,"Memory Cache.Put Count":10000,"Hit Count":2868225,"Memory Cache.Hit Count":2868225,"Miss Count":152319,"Memory Cache.Miss Count":152319,"Map Size":10000,"Memory Cache.Map Size":10000,"List Size":10000,"Memory Cache.List Size":10000}}</x:v>
      </x:c>
      <x:c r="AZ53" s="44" t="str">
        <x:v>{"provider":"jcs4","currentEntries":10000,"requestCount":3020544,"hitCount":2868225,"missCount":152319,"hitRate":0.9495723286931096,"loadSuccessCount":0,"loadFailureCount":0,"totalLoadTimeNanos":0,"evictionCount":-1,"expirationCount":-1,"putCount":15000,"removeCount":0,"nativeMetrics":{"HitCountRam":2868225,"Composite.HitCountRam":2868225,"HitCountAux":0,"Composite.HitCountAux":0,"Put Count":15000,"Memory Cache.Put Count":15000,"Hit Count":2868225,"Memory Cache.Hit Count":2868225,"Miss Count":152319,"Memory Cache.Miss Count":152319,"Map Size":10000,"Memory Cache.Map Size":10000,"List Size":10000,"Memory Cache.List Size":10000}}</x:v>
      </x:c>
      <x:c r="BA53" s="43" t="n">
        <x:v>10000</x:v>
      </x:c>
      <x:c r="BB53" s="43" t="n">
        <x:v>3020544</x:v>
      </x:c>
      <x:c r="BC53" s="43" t="n">
        <x:v>2868225</x:v>
      </x:c>
      <x:c r="BD53" s="43" t="n">
        <x:v>152319</x:v>
      </x:c>
      <x:c r="BE53" s="48" t="n">
        <x:v>0.9495723286931096</x:v>
      </x:c>
      <x:c r="BF53" s="43" t="n">
        <x:v>0</x:v>
      </x:c>
      <x:c r="BG53" s="43" t="n">
        <x:v>0</x:v>
      </x:c>
      <x:c r="BH53" s="43" t="n">
        <x:v>0</x:v>
      </x:c>
      <x:c r="BI53" s="43" t="n">
        <x:v>-1</x:v>
      </x:c>
      <x:c r="BJ53" s="43" t="n">
        <x:v>-1</x:v>
      </x:c>
      <x:c r="BK53" s="43" t="n">
        <x:v>15000</x:v>
      </x:c>
      <x:c r="BL53" s="43" t="n">
        <x:v>0</x:v>
      </x:c>
      <x:c r="BM53" s="44" t="str">
        <x:v>{"HitCountRam":2868225,"Composite.HitCountRam":2868225,"HitCountAux":0,"Composite.HitCountAux":0,"Put Count":15000,"Memory Cache.Put Count":15000,"Hit Count":2868225,"Memory Cache.Hit Count":2868225,"Miss Count":152319,"Memory Cache.Miss Count":152319,"Map Size":10000,"Memory Cache.Map Size":10000,"List Size":10000,"Memory Cache.List Size":10000}</x:v>
      </x:c>
    </x:row>
    <x:row r="54">
      <x:c r="A54" s="34" t="str">
        <x:v>article1-unified-v4-2-fb3f101b-20260903-000401-default-f01-p6-jcs4</x:v>
      </x:c>
      <x:c r="B54" s="34" t="str">
        <x:v>default</x:v>
      </x:c>
      <x:c r="C54" s="34" t="str">
        <x:v>jcs4</x:v>
      </x:c>
      <x:c r="D54" s="34" t="str">
        <x:v>jcs4</x:v>
      </x:c>
      <x:c r="E54" s="34" t="str">
        <x:v>current-provider-primary-comparison</x:v>
      </x:c>
      <x:c r="F54" s="36" t="n">
        <x:v>1</x:v>
      </x:c>
      <x:c r="G54" s="36" t="n">
        <x:v>1</x:v>
      </x:c>
      <x:c r="H54" s="36" t="n">
        <x:v>6</x:v>
      </x:c>
      <x:c r="I54" s="36" t="n">
        <x:v>2</x:v>
      </x:c>
      <x:c r="J54" s="34" t="str">
        <x:v>initial</x:v>
      </x:c>
      <x:c r="K54" s="34" t="str">
        <x:v>cache-semantics</x:v>
      </x:c>
      <x:c r="L54" s="45" t="b">
        <x:v>1</x:v>
      </x:c>
      <x:c r="M54" s="36" t="n">
        <x:v>309808933</x:v>
      </x:c>
      <x:c r="N54" s="34" t="str">
        <x:v>b0f93ea0f1c077db50e7c1bad3e775d71788ff94e4a876cc76b8b1613dc18177</x:v>
      </x:c>
      <x:c r="O54" s="43" t="n">
        <x:v>10000</x:v>
      </x:c>
      <x:c r="P54" s="43" t="n">
        <x:v>400000</x:v>
      </x:c>
      <x:c r="Q54" s="36" t="n">
        <x:v>8</x:v>
      </x:c>
      <x:c r="R54" s="42" t="n">
        <x:v>95</x:v>
      </x:c>
      <x:c r="S54" s="43" t="n">
        <x:v>512</x:v>
      </x:c>
      <x:c r="T54" s="43" t="n">
        <x:v>50000</x:v>
      </x:c>
      <x:c r="U54" s="46" t="n">
        <x:v>3</x:v>
      </x:c>
      <x:c r="V54" s="46" t="n">
        <x:v>5</x:v>
      </x:c>
      <x:c r="W54" s="43" t="n">
        <x:v>300</x:v>
      </x:c>
      <x:c r="X54" s="34" t="str">
        <x:v>uniform</x:v>
      </x:c>
      <x:c r="Y54" s="42" t="n">
        <x:v>10</x:v>
      </x:c>
      <x:c r="Z54" s="34" t="str">
        <x:v>strict</x:v>
      </x:c>
      <x:c r="AA54" s="36" t="n">
        <x:v>64</x:v>
      </x:c>
      <x:c r="AB54" s="43" t="n">
        <x:v>1689856</x:v>
      </x:c>
      <x:c r="AC54" s="43" t="n">
        <x:v>3002440883</x:v>
      </x:c>
      <x:c r="AD54" s="43" t="n">
        <x:v>2440883</x:v>
      </x:c>
      <x:c r="AE54" s="43" t="n">
        <x:v>3269301.876546584</x:v>
      </x:c>
      <x:c r="AF54" s="43" t="n">
        <x:v>771101.5923672374</x:v>
      </x:c>
      <x:c r="AG54" s="43" t="n">
        <x:v>3856128</x:v>
      </x:c>
      <x:c r="AH54" s="43" t="n">
        <x:v>5000804094</x:v>
      </x:c>
      <x:c r="AI54" s="43" t="n">
        <x:v>804094</x:v>
      </x:c>
      <x:c r="AJ54" s="43" t="n">
        <x:v>771101.5923672374</x:v>
      </x:c>
      <x:c r="AK54" s="43" t="n">
        <x:v>3856128</x:v>
      </x:c>
      <x:c r="AL54" s="43" t="n">
        <x:v>0</x:v>
      </x:c>
      <x:c r="AM54" s="43" t="n">
        <x:v>593722.3362498954</x:v>
      </x:c>
      <x:c r="AN54" s="43" t="n">
        <x:v>601</x:v>
      </x:c>
      <x:c r="AO54" s="43" t="n">
        <x:v>3126</x:v>
      </x:c>
      <x:c r="AP54" s="43" t="n">
        <x:v>299152</x:v>
      </x:c>
      <x:c r="AQ54" s="43" t="n">
        <x:v>60252</x:v>
      </x:c>
      <x:c r="AR54" s="43" t="n">
        <x:v>1</x:v>
      </x:c>
      <x:c r="AS54" s="45" t="b">
        <x:v>1</x:v>
      </x:c>
      <x:c r="AT54" s="43" t="n">
        <x:v>10000</x:v>
      </x:c>
      <x:c r="AU54" s="48" t="n">
        <x:v>0.9503221884750713</x:v>
      </x:c>
      <x:c r="AV54" s="43" t="n">
        <x:v>10000</x:v>
      </x:c>
      <x:c r="AW54" s="48" t="n">
        <x:v>0.9503221884750713</x:v>
      </x:c>
      <x:c r="AX54" s="45" t="b">
        <x:v>1</x:v>
      </x:c>
      <x:c r="AY54" s="44" t="str">
        <x:v>{"provider":"jcs4","currentEntries":10000,"requestCount":3856128,"hitCount":3664564,"missCount":191564,"hitRate":0.9503221884750713,"loadSuccessCount":0,"loadFailureCount":0,"totalLoadTimeNanos":0,"evictionCount":-1,"expirationCount":-1,"putCount":10000,"removeCount":0,"nativeMetrics":{"HitCountRam":3664564,"Composite.HitCountRam":3664564,"HitCountAux":0,"Composite.HitCountAux":0,"Put Count":10000,"Memory Cache.Put Count":10000,"Hit Count":3664564,"Memory Cache.Hit Count":3664564,"Miss Count":191564,"Memory Cache.Miss Count":191564,"Map Size":10000,"Memory Cache.Map Size":10000,"List Size":10000,"Memory Cache.List Size":10000}}</x:v>
      </x:c>
      <x:c r="AZ54" s="44" t="str">
        <x:v>{"provider":"jcs4","currentEntries":10000,"requestCount":3856128,"hitCount":3664564,"missCount":191564,"hitRate":0.9503221884750713,"loadSuccessCount":0,"loadFailureCount":0,"totalLoadTimeNanos":0,"evictionCount":-1,"expirationCount":-1,"putCount":15000,"removeCount":0,"nativeMetrics":{"HitCountRam":3664564,"Composite.HitCountRam":3664564,"HitCountAux":0,"Composite.HitCountAux":0,"Put Count":15000,"Memory Cache.Put Count":15000,"Hit Count":3664564,"Memory Cache.Hit Count":3664564,"Miss Count":191564,"Memory Cache.Miss Count":191564,"Map Size":10000,"Memory Cache.Map Size":10000,"List Size":10000,"Memory Cache.List Size":10000}}</x:v>
      </x:c>
      <x:c r="BA54" s="43" t="n">
        <x:v>10000</x:v>
      </x:c>
      <x:c r="BB54" s="43" t="n">
        <x:v>3856128</x:v>
      </x:c>
      <x:c r="BC54" s="43" t="n">
        <x:v>3664564</x:v>
      </x:c>
      <x:c r="BD54" s="43" t="n">
        <x:v>191564</x:v>
      </x:c>
      <x:c r="BE54" s="48" t="n">
        <x:v>0.9503221884750713</x:v>
      </x:c>
      <x:c r="BF54" s="43" t="n">
        <x:v>0</x:v>
      </x:c>
      <x:c r="BG54" s="43" t="n">
        <x:v>0</x:v>
      </x:c>
      <x:c r="BH54" s="43" t="n">
        <x:v>0</x:v>
      </x:c>
      <x:c r="BI54" s="43" t="n">
        <x:v>-1</x:v>
      </x:c>
      <x:c r="BJ54" s="43" t="n">
        <x:v>-1</x:v>
      </x:c>
      <x:c r="BK54" s="43" t="n">
        <x:v>15000</x:v>
      </x:c>
      <x:c r="BL54" s="43" t="n">
        <x:v>0</x:v>
      </x:c>
      <x:c r="BM54" s="44" t="str">
        <x:v>{"HitCountRam":3664564,"Composite.HitCountRam":3664564,"HitCountAux":0,"Composite.HitCountAux":0,"Put Count":15000,"Memory Cache.Put Count":15000,"Hit Count":3664564,"Memory Cache.Hit Count":3664564,"Miss Count":191564,"Memory Cache.Miss Count":191564,"Map Size":10000,"Memory Cache.Map Size":10000,"List Size":10000,"Memory Cache.List Size":10000}</x:v>
      </x:c>
    </x:row>
    <x:row r="55">
      <x:c r="A55" s="34" t="str">
        <x:v>article1-unified-v4-2-fb3f101b-20260903-000401-default-f01-p6-jcs4</x:v>
      </x:c>
      <x:c r="B55" s="34" t="str">
        <x:v>default</x:v>
      </x:c>
      <x:c r="C55" s="34" t="str">
        <x:v>jcs4</x:v>
      </x:c>
      <x:c r="D55" s="34" t="str">
        <x:v>jcs4</x:v>
      </x:c>
      <x:c r="E55" s="34" t="str">
        <x:v>current-provider-primary-comparison</x:v>
      </x:c>
      <x:c r="F55" s="36" t="n">
        <x:v>1</x:v>
      </x:c>
      <x:c r="G55" s="36" t="n">
        <x:v>1</x:v>
      </x:c>
      <x:c r="H55" s="36" t="n">
        <x:v>6</x:v>
      </x:c>
      <x:c r="I55" s="36" t="n">
        <x:v>2</x:v>
      </x:c>
      <x:c r="J55" s="34" t="str">
        <x:v>redeploy</x:v>
      </x:c>
      <x:c r="K55" s="34" t="str">
        <x:v>cache-semantics</x:v>
      </x:c>
      <x:c r="L55" s="45" t="b">
        <x:v>1</x:v>
      </x:c>
      <x:c r="M55" s="36" t="n">
        <x:v>309808933</x:v>
      </x:c>
      <x:c r="N55" s="34" t="str">
        <x:v>b0f93ea0f1c077db50e7c1bad3e775d71788ff94e4a876cc76b8b1613dc18177</x:v>
      </x:c>
      <x:c r="O55" s="43" t="n">
        <x:v>10000</x:v>
      </x:c>
      <x:c r="P55" s="43" t="n">
        <x:v>400000</x:v>
      </x:c>
      <x:c r="Q55" s="36" t="n">
        <x:v>8</x:v>
      </x:c>
      <x:c r="R55" s="42" t="n">
        <x:v>95</x:v>
      </x:c>
      <x:c r="S55" s="43" t="n">
        <x:v>512</x:v>
      </x:c>
      <x:c r="T55" s="43" t="n">
        <x:v>50000</x:v>
      </x:c>
      <x:c r="U55" s="46" t="n">
        <x:v>3</x:v>
      </x:c>
      <x:c r="V55" s="46" t="n">
        <x:v>5</x:v>
      </x:c>
      <x:c r="W55" s="43" t="n">
        <x:v>300</x:v>
      </x:c>
      <x:c r="X55" s="34" t="str">
        <x:v>uniform</x:v>
      </x:c>
      <x:c r="Y55" s="42" t="n">
        <x:v>10</x:v>
      </x:c>
      <x:c r="Z55" s="34" t="str">
        <x:v>strict</x:v>
      </x:c>
      <x:c r="AA55" s="36" t="n">
        <x:v>64</x:v>
      </x:c>
      <x:c r="AB55" s="43" t="n">
        <x:v>1849344</x:v>
      </x:c>
      <x:c r="AC55" s="43" t="n">
        <x:v>3002012378</x:v>
      </x:c>
      <x:c r="AD55" s="43" t="n">
        <x:v>2012378</x:v>
      </x:c>
      <x:c r="AE55" s="43" t="n">
        <x:v>3396951.439899776</x:v>
      </x:c>
      <x:c r="AF55" s="43" t="n">
        <x:v>763972.1149266337</x:v>
      </x:c>
      <x:c r="AG55" s="43" t="n">
        <x:v>3821056</x:v>
      </x:c>
      <x:c r="AH55" s="43" t="n">
        <x:v>5001564750</x:v>
      </x:c>
      <x:c r="AI55" s="43" t="n">
        <x:v>1564750</x:v>
      </x:c>
      <x:c r="AJ55" s="43" t="n">
        <x:v>763972.1149266337</x:v>
      </x:c>
      <x:c r="AK55" s="43" t="n">
        <x:v>3821056</x:v>
      </x:c>
      <x:c r="AL55" s="43" t="n">
        <x:v>0</x:v>
      </x:c>
      <x:c r="AM55" s="43" t="n">
        <x:v>499379.87007733795</x:v>
      </x:c>
      <x:c r="AN55" s="43" t="n">
        <x:v>631</x:v>
      </x:c>
      <x:c r="AO55" s="43" t="n">
        <x:v>4569</x:v>
      </x:c>
      <x:c r="AP55" s="43" t="n">
        <x:v>298692</x:v>
      </x:c>
      <x:c r="AQ55" s="43" t="n">
        <x:v>59704</x:v>
      </x:c>
      <x:c r="AR55" s="43" t="n">
        <x:v>1</x:v>
      </x:c>
      <x:c r="AS55" s="45" t="b">
        <x:v>1</x:v>
      </x:c>
      <x:c r="AT55" s="43" t="n">
        <x:v>10000</x:v>
      </x:c>
      <x:c r="AU55" s="48" t="n">
        <x:v>0.9503367655433472</x:v>
      </x:c>
      <x:c r="AV55" s="43" t="n">
        <x:v>10000</x:v>
      </x:c>
      <x:c r="AW55" s="48" t="n">
        <x:v>0.9503367655433472</x:v>
      </x:c>
      <x:c r="AX55" s="45" t="b">
        <x:v>1</x:v>
      </x:c>
      <x:c r="AY55" s="44" t="str">
        <x:v>{"provider":"jcs4","currentEntries":10000,"requestCount":3821056,"hitCount":3631290,"missCount":189766,"hitRate":0.9503367655433472,"loadSuccessCount":0,"loadFailureCount":0,"totalLoadTimeNanos":0,"evictionCount":-1,"expirationCount":-1,"putCount":10000,"removeCount":0,"nativeMetrics":{"HitCountRam":3631290,"Composite.HitCountRam":3631290,"HitCountAux":0,"Composite.HitCountAux":0,"Put Count":10000,"Memory Cache.Put Count":10000,"Hit Count":3631290,"Memory Cache.Hit Count":3631290,"Miss Count":189766,"Memory Cache.Miss Count":189766,"Map Size":10000,"Memory Cache.Map Size":10000,"List Size":10000,"Memory Cache.List Size":10000}}</x:v>
      </x:c>
      <x:c r="AZ55" s="44" t="str">
        <x:v>{"provider":"jcs4","currentEntries":10000,"requestCount":3821056,"hitCount":3631290,"missCount":189766,"hitRate":0.9503367655433472,"loadSuccessCount":0,"loadFailureCount":0,"totalLoadTimeNanos":0,"evictionCount":-1,"expirationCount":-1,"putCount":15000,"removeCount":0,"nativeMetrics":{"HitCountRam":3631290,"Composite.HitCountRam":3631290,"HitCountAux":0,"Composite.HitCountAux":0,"Put Count":15000,"Memory Cache.Put Count":15000,"Hit Count":3631290,"Memory Cache.Hit Count":3631290,"Miss Count":189766,"Memory Cache.Miss Count":189766,"Map Size":10000,"Memory Cache.Map Size":10000,"List Size":10000,"Memory Cache.List Size":10000}}</x:v>
      </x:c>
      <x:c r="BA55" s="43" t="n">
        <x:v>10000</x:v>
      </x:c>
      <x:c r="BB55" s="43" t="n">
        <x:v>3821056</x:v>
      </x:c>
      <x:c r="BC55" s="43" t="n">
        <x:v>3631290</x:v>
      </x:c>
      <x:c r="BD55" s="43" t="n">
        <x:v>189766</x:v>
      </x:c>
      <x:c r="BE55" s="48" t="n">
        <x:v>0.9503367655433472</x:v>
      </x:c>
      <x:c r="BF55" s="43" t="n">
        <x:v>0</x:v>
      </x:c>
      <x:c r="BG55" s="43" t="n">
        <x:v>0</x:v>
      </x:c>
      <x:c r="BH55" s="43" t="n">
        <x:v>0</x:v>
      </x:c>
      <x:c r="BI55" s="43" t="n">
        <x:v>-1</x:v>
      </x:c>
      <x:c r="BJ55" s="43" t="n">
        <x:v>-1</x:v>
      </x:c>
      <x:c r="BK55" s="43" t="n">
        <x:v>15000</x:v>
      </x:c>
      <x:c r="BL55" s="43" t="n">
        <x:v>0</x:v>
      </x:c>
      <x:c r="BM55" s="44" t="str">
        <x:v>{"HitCountRam":3631290,"Composite.HitCountRam":3631290,"HitCountAux":0,"Composite.HitCountAux":0,"Put Count":15000,"Memory Cache.Put Count":15000,"Hit Count":3631290,"Memory Cache.Hit Count":3631290,"Miss Count":189766,"Memory Cache.Miss Count":189766,"Map Size":10000,"Memory Cache.Map Size":10000,"List Size":10000,"Memory Cache.List Size":10000}</x:v>
      </x:c>
    </x:row>
    <x:row r="56">
      <x:c r="A56" s="34" t="str">
        <x:v>article1-unified-v4-2-fb3f101b-20260903-000401-default-f01-p6-jcs4</x:v>
      </x:c>
      <x:c r="B56" s="34" t="str">
        <x:v>default</x:v>
      </x:c>
      <x:c r="C56" s="34" t="str">
        <x:v>jcs4</x:v>
      </x:c>
      <x:c r="D56" s="34" t="str">
        <x:v>jcs4</x:v>
      </x:c>
      <x:c r="E56" s="34" t="str">
        <x:v>current-provider-primary-comparison</x:v>
      </x:c>
      <x:c r="F56" s="36" t="n">
        <x:v>1</x:v>
      </x:c>
      <x:c r="G56" s="36" t="n">
        <x:v>1</x:v>
      </x:c>
      <x:c r="H56" s="36" t="n">
        <x:v>6</x:v>
      </x:c>
      <x:c r="I56" s="36" t="n">
        <x:v>3</x:v>
      </x:c>
      <x:c r="J56" s="34" t="str">
        <x:v>initial</x:v>
      </x:c>
      <x:c r="K56" s="34" t="str">
        <x:v>cache-semantics</x:v>
      </x:c>
      <x:c r="L56" s="45" t="b">
        <x:v>1</x:v>
      </x:c>
      <x:c r="M56" s="36" t="n">
        <x:v>1346581378</x:v>
      </x:c>
      <x:c r="N56" s="34" t="str">
        <x:v>2bf58a45a91aaa1defb64a6c1f623f67f3c75e3e966112109387a96ba1d5e699</x:v>
      </x:c>
      <x:c r="O56" s="43" t="n">
        <x:v>10000</x:v>
      </x:c>
      <x:c r="P56" s="43" t="n">
        <x:v>400000</x:v>
      </x:c>
      <x:c r="Q56" s="36" t="n">
        <x:v>8</x:v>
      </x:c>
      <x:c r="R56" s="42" t="n">
        <x:v>95</x:v>
      </x:c>
      <x:c r="S56" s="43" t="n">
        <x:v>512</x:v>
      </x:c>
      <x:c r="T56" s="43" t="n">
        <x:v>50000</x:v>
      </x:c>
      <x:c r="U56" s="46" t="n">
        <x:v>3</x:v>
      </x:c>
      <x:c r="V56" s="46" t="n">
        <x:v>5</x:v>
      </x:c>
      <x:c r="W56" s="43" t="n">
        <x:v>300</x:v>
      </x:c>
      <x:c r="X56" s="34" t="str">
        <x:v>uniform</x:v>
      </x:c>
      <x:c r="Y56" s="42" t="n">
        <x:v>10</x:v>
      </x:c>
      <x:c r="Z56" s="34" t="str">
        <x:v>strict</x:v>
      </x:c>
      <x:c r="AA56" s="36" t="n">
        <x:v>64</x:v>
      </x:c>
      <x:c r="AB56" s="43" t="n">
        <x:v>2820096</x:v>
      </x:c>
      <x:c r="AC56" s="43" t="n">
        <x:v>3001499534</x:v>
      </x:c>
      <x:c r="AD56" s="43" t="n">
        <x:v>1499534</x:v>
      </x:c>
      <x:c r="AE56" s="43" t="n">
        <x:v>3670911.5864615315</x:v>
      </x:c>
      <x:c r="AF56" s="43" t="n">
        <x:v>931353.8599180455</x:v>
      </x:c>
      <x:c r="AG56" s="43" t="n">
        <x:v>4658432</x:v>
      </x:c>
      <x:c r="AH56" s="43" t="n">
        <x:v>5001785251</x:v>
      </x:c>
      <x:c r="AI56" s="43" t="n">
        <x:v>1785251</x:v>
      </x:c>
      <x:c r="AJ56" s="43" t="n">
        <x:v>931353.8599180455</x:v>
      </x:c>
      <x:c r="AK56" s="43" t="n">
        <x:v>4658432</x:v>
      </x:c>
      <x:c r="AL56" s="43" t="n">
        <x:v>0</x:v>
      </x:c>
      <x:c r="AM56" s="43" t="n">
        <x:v>467844.0930145169</x:v>
      </x:c>
      <x:c r="AN56" s="43" t="n">
        <x:v>471</x:v>
      </x:c>
      <x:c r="AO56" s="43" t="n">
        <x:v>1984</x:v>
      </x:c>
      <x:c r="AP56" s="43" t="n">
        <x:v>287550</x:v>
      </x:c>
      <x:c r="AQ56" s="43" t="n">
        <x:v>72788</x:v>
      </x:c>
      <x:c r="AR56" s="43" t="n">
        <x:v>1</x:v>
      </x:c>
      <x:c r="AS56" s="45" t="b">
        <x:v>1</x:v>
      </x:c>
      <x:c r="AT56" s="43" t="n">
        <x:v>10000</x:v>
      </x:c>
      <x:c r="AU56" s="48" t="n">
        <x:v>0.9498822779853822</x:v>
      </x:c>
      <x:c r="AV56" s="43" t="n">
        <x:v>10000</x:v>
      </x:c>
      <x:c r="AW56" s="48" t="n">
        <x:v>0.9498822779853822</x:v>
      </x:c>
      <x:c r="AX56" s="45" t="b">
        <x:v>1</x:v>
      </x:c>
      <x:c r="AY56" s="44" t="str">
        <x:v>{"provider":"jcs4","currentEntries":10000,"requestCount":4658432,"hitCount":4424962,"missCount":233470,"hitRate":0.9498822779853822,"loadSuccessCount":0,"loadFailureCount":0,"totalLoadTimeNanos":0,"evictionCount":-1,"expirationCount":-1,"putCount":10000,"removeCount":0,"nativeMetrics":{"HitCountRam":4424962,"Composite.HitCountRam":4424962,"HitCountAux":0,"Composite.HitCountAux":0,"Put Count":10000,"Memory Cache.Put Count":10000,"Hit Count":4424962,"Memory Cache.Hit Count":4424962,"Miss Count":233470,"Memory Cache.Miss Count":233470,"Map Size":10000,"Memory Cache.Map Size":10000,"List Size":10000,"Memory Cache.List Size":10000}}</x:v>
      </x:c>
      <x:c r="AZ56" s="44" t="str">
        <x:v>{"provider":"jcs4","currentEntries":10000,"requestCount":4658432,"hitCount":4424962,"missCount":233470,"hitRate":0.9498822779853822,"loadSuccessCount":0,"loadFailureCount":0,"totalLoadTimeNanos":0,"evictionCount":-1,"expirationCount":-1,"putCount":15000,"removeCount":0,"nativeMetrics":{"HitCountRam":4424962,"Composite.HitCountRam":4424962,"HitCountAux":0,"Composite.HitCountAux":0,"Put Count":15000,"Memory Cache.Put Count":15000,"Hit Count":4424962,"Memory Cache.Hit Count":4424962,"Miss Count":233470,"Memory Cache.Miss Count":233470,"Map Size":10000,"Memory Cache.Map Size":10000,"List Size":10000,"Memory Cache.List Size":10000}}</x:v>
      </x:c>
      <x:c r="BA56" s="43" t="n">
        <x:v>10000</x:v>
      </x:c>
      <x:c r="BB56" s="43" t="n">
        <x:v>4658432</x:v>
      </x:c>
      <x:c r="BC56" s="43" t="n">
        <x:v>4424962</x:v>
      </x:c>
      <x:c r="BD56" s="43" t="n">
        <x:v>233470</x:v>
      </x:c>
      <x:c r="BE56" s="48" t="n">
        <x:v>0.9498822779853822</x:v>
      </x:c>
      <x:c r="BF56" s="43" t="n">
        <x:v>0</x:v>
      </x:c>
      <x:c r="BG56" s="43" t="n">
        <x:v>0</x:v>
      </x:c>
      <x:c r="BH56" s="43" t="n">
        <x:v>0</x:v>
      </x:c>
      <x:c r="BI56" s="43" t="n">
        <x:v>-1</x:v>
      </x:c>
      <x:c r="BJ56" s="43" t="n">
        <x:v>-1</x:v>
      </x:c>
      <x:c r="BK56" s="43" t="n">
        <x:v>15000</x:v>
      </x:c>
      <x:c r="BL56" s="43" t="n">
        <x:v>0</x:v>
      </x:c>
      <x:c r="BM56" s="44" t="str">
        <x:v>{"HitCountRam":4424962,"Composite.HitCountRam":4424962,"HitCountAux":0,"Composite.HitCountAux":0,"Put Count":15000,"Memory Cache.Put Count":15000,"Hit Count":4424962,"Memory Cache.Hit Count":4424962,"Miss Count":233470,"Memory Cache.Miss Count":233470,"Map Size":10000,"Memory Cache.Map Size":10000,"List Size":10000,"Memory Cache.List Size":10000}</x:v>
      </x:c>
    </x:row>
    <x:row r="57">
      <x:c r="A57" s="34" t="str">
        <x:v>article1-unified-v4-2-fb3f101b-20260903-000401-default-f01-p6-jcs4</x:v>
      </x:c>
      <x:c r="B57" s="34" t="str">
        <x:v>default</x:v>
      </x:c>
      <x:c r="C57" s="34" t="str">
        <x:v>jcs4</x:v>
      </x:c>
      <x:c r="D57" s="34" t="str">
        <x:v>jcs4</x:v>
      </x:c>
      <x:c r="E57" s="34" t="str">
        <x:v>current-provider-primary-comparison</x:v>
      </x:c>
      <x:c r="F57" s="36" t="n">
        <x:v>1</x:v>
      </x:c>
      <x:c r="G57" s="36" t="n">
        <x:v>1</x:v>
      </x:c>
      <x:c r="H57" s="36" t="n">
        <x:v>6</x:v>
      </x:c>
      <x:c r="I57" s="36" t="n">
        <x:v>3</x:v>
      </x:c>
      <x:c r="J57" s="34" t="str">
        <x:v>redeploy</x:v>
      </x:c>
      <x:c r="K57" s="34" t="str">
        <x:v>cache-semantics</x:v>
      </x:c>
      <x:c r="L57" s="45" t="b">
        <x:v>1</x:v>
      </x:c>
      <x:c r="M57" s="36" t="n">
        <x:v>1346581378</x:v>
      </x:c>
      <x:c r="N57" s="34" t="str">
        <x:v>2bf58a45a91aaa1defb64a6c1f623f67f3c75e3e966112109387a96ba1d5e699</x:v>
      </x:c>
      <x:c r="O57" s="43" t="n">
        <x:v>10000</x:v>
      </x:c>
      <x:c r="P57" s="43" t="n">
        <x:v>400000</x:v>
      </x:c>
      <x:c r="Q57" s="36" t="n">
        <x:v>8</x:v>
      </x:c>
      <x:c r="R57" s="42" t="n">
        <x:v>95</x:v>
      </x:c>
      <x:c r="S57" s="43" t="n">
        <x:v>512</x:v>
      </x:c>
      <x:c r="T57" s="43" t="n">
        <x:v>50000</x:v>
      </x:c>
      <x:c r="U57" s="46" t="n">
        <x:v>3</x:v>
      </x:c>
      <x:c r="V57" s="46" t="n">
        <x:v>5</x:v>
      </x:c>
      <x:c r="W57" s="43" t="n">
        <x:v>300</x:v>
      </x:c>
      <x:c r="X57" s="34" t="str">
        <x:v>uniform</x:v>
      </x:c>
      <x:c r="Y57" s="42" t="n">
        <x:v>10</x:v>
      </x:c>
      <x:c r="Z57" s="34" t="str">
        <x:v>strict</x:v>
      </x:c>
      <x:c r="AA57" s="36" t="n">
        <x:v>64</x:v>
      </x:c>
      <x:c r="AB57" s="43" t="n">
        <x:v>2462464</x:v>
      </x:c>
      <x:c r="AC57" s="43" t="n">
        <x:v>3000926738</x:v>
      </x:c>
      <x:c r="AD57" s="43" t="n">
        <x:v>926738</x:v>
      </x:c>
      <x:c r="AE57" s="43" t="n">
        <x:v>3105388.5011811345</x:v>
      </x:c>
      <x:c r="AF57" s="43" t="n">
        <x:v>958713.071094388</x:v>
      </x:c>
      <x:c r="AG57" s="43" t="n">
        <x:v>4794624</x:v>
      </x:c>
      <x:c r="AH57" s="43" t="n">
        <x:v>5001104235</x:v>
      </x:c>
      <x:c r="AI57" s="43" t="n">
        <x:v>1104235</x:v>
      </x:c>
      <x:c r="AJ57" s="43" t="n">
        <x:v>958713.071094388</x:v>
      </x:c>
      <x:c r="AK57" s="43" t="n">
        <x:v>4794624</x:v>
      </x:c>
      <x:c r="AL57" s="43" t="n">
        <x:v>0</x:v>
      </x:c>
      <x:c r="AM57" s="43" t="n">
        <x:v>507069.8724029656</x:v>
      </x:c>
      <x:c r="AN57" s="43" t="n">
        <x:v>471</x:v>
      </x:c>
      <x:c r="AO57" s="43" t="n">
        <x:v>1984</x:v>
      </x:c>
      <x:c r="AP57" s="43" t="n">
        <x:v>269075</x:v>
      </x:c>
      <x:c r="AQ57" s="43" t="n">
        <x:v>74916</x:v>
      </x:c>
      <x:c r="AR57" s="43" t="n">
        <x:v>1</x:v>
      </x:c>
      <x:c r="AS57" s="45" t="b">
        <x:v>1</x:v>
      </x:c>
      <x:c r="AT57" s="43" t="n">
        <x:v>10000</x:v>
      </x:c>
      <x:c r="AU57" s="48" t="n">
        <x:v>0.9498811585642586</x:v>
      </x:c>
      <x:c r="AV57" s="43" t="n">
        <x:v>10000</x:v>
      </x:c>
      <x:c r="AW57" s="48" t="n">
        <x:v>0.9498811585642586</x:v>
      </x:c>
      <x:c r="AX57" s="45" t="b">
        <x:v>1</x:v>
      </x:c>
      <x:c r="AY57" s="44" t="str">
        <x:v>{"provider":"jcs4","currentEntries":10000,"requestCount":4794624,"hitCount":4554323,"missCount":240301,"hitRate":0.9498811585642586,"loadSuccessCount":0,"loadFailureCount":0,"totalLoadTimeNanos":0,"evictionCount":-1,"expirationCount":-1,"putCount":10000,"removeCount":0,"nativeMetrics":{"HitCountRam":4554323,"Composite.HitCountRam":4554323,"HitCountAux":0,"Composite.HitCountAux":0,"Put Count":10000,"Memory Cache.Put Count":10000,"Hit Count":4554323,"Memory Cache.Hit Count":4554323,"Miss Count":240301,"Memory Cache.Miss Count":240301,"Map Size":10000,"Memory Cache.Map Size":10000,"List Size":10000,"Memory Cache.List Size":10000}}</x:v>
      </x:c>
      <x:c r="AZ57" s="44" t="str">
        <x:v>{"provider":"jcs4","currentEntries":10000,"requestCount":4794624,"hitCount":4554323,"missCount":240301,"hitRate":0.9498811585642586,"loadSuccessCount":0,"loadFailureCount":0,"totalLoadTimeNanos":0,"evictionCount":-1,"expirationCount":-1,"putCount":15000,"removeCount":0,"nativeMetrics":{"HitCountRam":4554323,"Composite.HitCountRam":4554323,"HitCountAux":0,"Composite.HitCountAux":0,"Put Count":15000,"Memory Cache.Put Count":15000,"Hit Count":4554323,"Memory Cache.Hit Count":4554323,"Miss Count":240301,"Memory Cache.Miss Count":240301,"Map Size":10000,"Memory Cache.Map Size":10000,"List Size":10000,"Memory Cache.List Size":10000}}</x:v>
      </x:c>
      <x:c r="BA57" s="43" t="n">
        <x:v>10000</x:v>
      </x:c>
      <x:c r="BB57" s="43" t="n">
        <x:v>4794624</x:v>
      </x:c>
      <x:c r="BC57" s="43" t="n">
        <x:v>4554323</x:v>
      </x:c>
      <x:c r="BD57" s="43" t="n">
        <x:v>240301</x:v>
      </x:c>
      <x:c r="BE57" s="48" t="n">
        <x:v>0.9498811585642586</x:v>
      </x:c>
      <x:c r="BF57" s="43" t="n">
        <x:v>0</x:v>
      </x:c>
      <x:c r="BG57" s="43" t="n">
        <x:v>0</x:v>
      </x:c>
      <x:c r="BH57" s="43" t="n">
        <x:v>0</x:v>
      </x:c>
      <x:c r="BI57" s="43" t="n">
        <x:v>-1</x:v>
      </x:c>
      <x:c r="BJ57" s="43" t="n">
        <x:v>-1</x:v>
      </x:c>
      <x:c r="BK57" s="43" t="n">
        <x:v>15000</x:v>
      </x:c>
      <x:c r="BL57" s="43" t="n">
        <x:v>0</x:v>
      </x:c>
      <x:c r="BM57" s="44" t="str">
        <x:v>{"HitCountRam":4554323,"Composite.HitCountRam":4554323,"HitCountAux":0,"Composite.HitCountAux":0,"Put Count":15000,"Memory Cache.Put Count":15000,"Hit Count":4554323,"Memory Cache.Hit Count":4554323,"Miss Count":240301,"Memory Cache.Miss Count":240301,"Map Size":10000,"Memory Cache.Map Size":10000,"List Size":10000,"Memory Cache.List Size":10000}</x:v>
      </x:c>
    </x:row>
    <x:row r="58">
      <x:c r="A58" s="34" t="str">
        <x:v>article1-unified-v4-2-fb3f101b-20260903-000401-default-f01-p6-jcs4</x:v>
      </x:c>
      <x:c r="B58" s="34" t="str">
        <x:v>default</x:v>
      </x:c>
      <x:c r="C58" s="34" t="str">
        <x:v>jcs4</x:v>
      </x:c>
      <x:c r="D58" s="34" t="str">
        <x:v>jcs4</x:v>
      </x:c>
      <x:c r="E58" s="34" t="str">
        <x:v>current-provider-primary-comparison</x:v>
      </x:c>
      <x:c r="F58" s="36" t="n">
        <x:v>1</x:v>
      </x:c>
      <x:c r="G58" s="36" t="n">
        <x:v>1</x:v>
      </x:c>
      <x:c r="H58" s="36" t="n">
        <x:v>6</x:v>
      </x:c>
      <x:c r="I58" s="36" t="n">
        <x:v>4</x:v>
      </x:c>
      <x:c r="J58" s="34" t="str">
        <x:v>initial</x:v>
      </x:c>
      <x:c r="K58" s="34" t="str">
        <x:v>cache-semantics</x:v>
      </x:c>
      <x:c r="L58" s="45" t="b">
        <x:v>1</x:v>
      </x:c>
      <x:c r="M58" s="36" t="n">
        <x:v>584767396</x:v>
      </x:c>
      <x:c r="N58" s="34" t="str">
        <x:v>8b3eab7a458105f79edbbcdf72ca6cd4f7d0bb6ba737ed58e05821db7c3517a5</x:v>
      </x:c>
      <x:c r="O58" s="43" t="n">
        <x:v>10000</x:v>
      </x:c>
      <x:c r="P58" s="43" t="n">
        <x:v>400000</x:v>
      </x:c>
      <x:c r="Q58" s="36" t="n">
        <x:v>8</x:v>
      </x:c>
      <x:c r="R58" s="42" t="n">
        <x:v>95</x:v>
      </x:c>
      <x:c r="S58" s="43" t="n">
        <x:v>512</x:v>
      </x:c>
      <x:c r="T58" s="43" t="n">
        <x:v>50000</x:v>
      </x:c>
      <x:c r="U58" s="46" t="n">
        <x:v>3</x:v>
      </x:c>
      <x:c r="V58" s="46" t="n">
        <x:v>5</x:v>
      </x:c>
      <x:c r="W58" s="43" t="n">
        <x:v>300</x:v>
      </x:c>
      <x:c r="X58" s="34" t="str">
        <x:v>uniform</x:v>
      </x:c>
      <x:c r="Y58" s="42" t="n">
        <x:v>10</x:v>
      </x:c>
      <x:c r="Z58" s="34" t="str">
        <x:v>strict</x:v>
      </x:c>
      <x:c r="AA58" s="36" t="n">
        <x:v>64</x:v>
      </x:c>
      <x:c r="AB58" s="43" t="n">
        <x:v>2544384</x:v>
      </x:c>
      <x:c r="AC58" s="43" t="n">
        <x:v>3000880972</x:v>
      </x:c>
      <x:c r="AD58" s="43" t="n">
        <x:v>880972</x:v>
      </x:c>
      <x:c r="AE58" s="43" t="n">
        <x:v>4081862.570218241</x:v>
      </x:c>
      <x:c r="AF58" s="43" t="n">
        <x:v>1096518.4724949896</x:v>
      </x:c>
      <x:c r="AG58" s="43" t="n">
        <x:v>5484288</x:v>
      </x:c>
      <x:c r="AH58" s="43" t="n">
        <x:v>5001546383</x:v>
      </x:c>
      <x:c r="AI58" s="43" t="n">
        <x:v>1546383</x:v>
      </x:c>
      <x:c r="AJ58" s="43" t="n">
        <x:v>1096518.4724949896</x:v>
      </x:c>
      <x:c r="AK58" s="43" t="n">
        <x:v>5484288</x:v>
      </x:c>
      <x:c r="AL58" s="43" t="n">
        <x:v>0</x:v>
      </x:c>
      <x:c r="AM58" s="43" t="n">
        <x:v>581787.040344604</x:v>
      </x:c>
      <x:c r="AN58" s="43" t="n">
        <x:v>381</x:v>
      </x:c>
      <x:c r="AO58" s="43" t="n">
        <x:v>1563</x:v>
      </x:c>
      <x:c r="AP58" s="43" t="n">
        <x:v>272872</x:v>
      </x:c>
      <x:c r="AQ58" s="43" t="n">
        <x:v>85692</x:v>
      </x:c>
      <x:c r="AR58" s="43" t="n">
        <x:v>1</x:v>
      </x:c>
      <x:c r="AS58" s="45" t="b">
        <x:v>1</x:v>
      </x:c>
      <x:c r="AT58" s="43" t="n">
        <x:v>10000</x:v>
      </x:c>
      <x:c r="AU58" s="48" t="n">
        <x:v>0.9499796509592494</x:v>
      </x:c>
      <x:c r="AV58" s="43" t="n">
        <x:v>10000</x:v>
      </x:c>
      <x:c r="AW58" s="48" t="n">
        <x:v>0.9499796509592494</x:v>
      </x:c>
      <x:c r="AX58" s="45" t="b">
        <x:v>1</x:v>
      </x:c>
      <x:c r="AY58" s="44" t="str">
        <x:v>{"provider":"jcs4","currentEntries":10000,"requestCount":5484288,"hitCount":5209962,"missCount":274326,"hitRate":0.9499796509592494,"loadSuccessCount":0,"loadFailureCount":0,"totalLoadTimeNanos":0,"evictionCount":-1,"expirationCount":-1,"putCount":10000,"removeCount":0,"nativeMetrics":{"HitCountRam":5209962,"Composite.HitCountRam":5209962,"HitCountAux":0,"Composite.HitCountAux":0,"Put Count":10000,"Memory Cache.Put Count":10000,"Hit Count":5209962,"Memory Cache.Hit Count":5209962,"Miss Count":274326,"Memory Cache.Miss Count":274326,"Map Size":10000,"Memory Cache.Map Size":10000,"List Size":10000,"Memory Cache.List Size":10000}}</x:v>
      </x:c>
      <x:c r="AZ58" s="44" t="str">
        <x:v>{"provider":"jcs4","currentEntries":10000,"requestCount":5484288,"hitCount":5209962,"missCount":274326,"hitRate":0.9499796509592494,"loadSuccessCount":0,"loadFailureCount":0,"totalLoadTimeNanos":0,"evictionCount":-1,"expirationCount":-1,"putCount":15000,"removeCount":0,"nativeMetrics":{"HitCountRam":5209962,"Composite.HitCountRam":5209962,"HitCountAux":0,"Composite.HitCountAux":0,"Put Count":15000,"Memory Cache.Put Count":15000,"Hit Count":5209962,"Memory Cache.Hit Count":5209962,"Miss Count":274326,"Memory Cache.Miss Count":274326,"Map Size":10000,"Memory Cache.Map Size":10000,"List Size":10000,"Memory Cache.List Size":10000}}</x:v>
      </x:c>
      <x:c r="BA58" s="43" t="n">
        <x:v>10000</x:v>
      </x:c>
      <x:c r="BB58" s="43" t="n">
        <x:v>5484288</x:v>
      </x:c>
      <x:c r="BC58" s="43" t="n">
        <x:v>5209962</x:v>
      </x:c>
      <x:c r="BD58" s="43" t="n">
        <x:v>274326</x:v>
      </x:c>
      <x:c r="BE58" s="48" t="n">
        <x:v>0.9499796509592494</x:v>
      </x:c>
      <x:c r="BF58" s="43" t="n">
        <x:v>0</x:v>
      </x:c>
      <x:c r="BG58" s="43" t="n">
        <x:v>0</x:v>
      </x:c>
      <x:c r="BH58" s="43" t="n">
        <x:v>0</x:v>
      </x:c>
      <x:c r="BI58" s="43" t="n">
        <x:v>-1</x:v>
      </x:c>
      <x:c r="BJ58" s="43" t="n">
        <x:v>-1</x:v>
      </x:c>
      <x:c r="BK58" s="43" t="n">
        <x:v>15000</x:v>
      </x:c>
      <x:c r="BL58" s="43" t="n">
        <x:v>0</x:v>
      </x:c>
      <x:c r="BM58" s="44" t="str">
        <x:v>{"HitCountRam":5209962,"Composite.HitCountRam":5209962,"HitCountAux":0,"Composite.HitCountAux":0,"Put Count":15000,"Memory Cache.Put Count":15000,"Hit Count":5209962,"Memory Cache.Hit Count":5209962,"Miss Count":274326,"Memory Cache.Miss Count":274326,"Map Size":10000,"Memory Cache.Map Size":10000,"List Size":10000,"Memory Cache.List Size":10000}</x:v>
      </x:c>
    </x:row>
    <x:row r="59">
      <x:c r="A59" s="34" t="str">
        <x:v>article1-unified-v4-2-fb3f101b-20260903-000401-default-f01-p6-jcs4</x:v>
      </x:c>
      <x:c r="B59" s="34" t="str">
        <x:v>default</x:v>
      </x:c>
      <x:c r="C59" s="34" t="str">
        <x:v>jcs4</x:v>
      </x:c>
      <x:c r="D59" s="34" t="str">
        <x:v>jcs4</x:v>
      </x:c>
      <x:c r="E59" s="34" t="str">
        <x:v>current-provider-primary-comparison</x:v>
      </x:c>
      <x:c r="F59" s="36" t="n">
        <x:v>1</x:v>
      </x:c>
      <x:c r="G59" s="36" t="n">
        <x:v>1</x:v>
      </x:c>
      <x:c r="H59" s="36" t="n">
        <x:v>6</x:v>
      </x:c>
      <x:c r="I59" s="36" t="n">
        <x:v>4</x:v>
      </x:c>
      <x:c r="J59" s="34" t="str">
        <x:v>redeploy</x:v>
      </x:c>
      <x:c r="K59" s="34" t="str">
        <x:v>cache-semantics</x:v>
      </x:c>
      <x:c r="L59" s="45" t="b">
        <x:v>1</x:v>
      </x:c>
      <x:c r="M59" s="36" t="n">
        <x:v>584767396</x:v>
      </x:c>
      <x:c r="N59" s="34" t="str">
        <x:v>8b3eab7a458105f79edbbcdf72ca6cd4f7d0bb6ba737ed58e05821db7c3517a5</x:v>
      </x:c>
      <x:c r="O59" s="43" t="n">
        <x:v>10000</x:v>
      </x:c>
      <x:c r="P59" s="43" t="n">
        <x:v>400000</x:v>
      </x:c>
      <x:c r="Q59" s="36" t="n">
        <x:v>8</x:v>
      </x:c>
      <x:c r="R59" s="42" t="n">
        <x:v>95</x:v>
      </x:c>
      <x:c r="S59" s="43" t="n">
        <x:v>512</x:v>
      </x:c>
      <x:c r="T59" s="43" t="n">
        <x:v>50000</x:v>
      </x:c>
      <x:c r="U59" s="46" t="n">
        <x:v>3</x:v>
      </x:c>
      <x:c r="V59" s="46" t="n">
        <x:v>5</x:v>
      </x:c>
      <x:c r="W59" s="43" t="n">
        <x:v>300</x:v>
      </x:c>
      <x:c r="X59" s="34" t="str">
        <x:v>uniform</x:v>
      </x:c>
      <x:c r="Y59" s="42" t="n">
        <x:v>10</x:v>
      </x:c>
      <x:c r="Z59" s="34" t="str">
        <x:v>strict</x:v>
      </x:c>
      <x:c r="AA59" s="36" t="n">
        <x:v>64</x:v>
      </x:c>
      <x:c r="AB59" s="43" t="n">
        <x:v>3025920</x:v>
      </x:c>
      <x:c r="AC59" s="43" t="n">
        <x:v>3001490935</x:v>
      </x:c>
      <x:c r="AD59" s="43" t="n">
        <x:v>1490935</x:v>
      </x:c>
      <x:c r="AE59" s="43" t="n">
        <x:v>4386492.060888019</x:v>
      </x:c>
      <x:c r="AF59" s="43" t="n">
        <x:v>1024444.6910006109</x:v>
      </x:c>
      <x:c r="AG59" s="43" t="n">
        <x:v>5123328</x:v>
      </x:c>
      <x:c r="AH59" s="43" t="n">
        <x:v>5001078189</x:v>
      </x:c>
      <x:c r="AI59" s="43" t="n">
        <x:v>1078189</x:v>
      </x:c>
      <x:c r="AJ59" s="43" t="n">
        <x:v>1024444.6910006109</x:v>
      </x:c>
      <x:c r="AK59" s="43" t="n">
        <x:v>5123328</x:v>
      </x:c>
      <x:c r="AL59" s="43" t="n">
        <x:v>0</x:v>
      </x:c>
      <x:c r="AM59" s="43" t="n">
        <x:v>522884.4565484062</x:v>
      </x:c>
      <x:c r="AN59" s="43" t="n">
        <x:v>401</x:v>
      </x:c>
      <x:c r="AO59" s="43" t="n">
        <x:v>1774</x:v>
      </x:c>
      <x:c r="AP59" s="43" t="n">
        <x:v>277051</x:v>
      </x:c>
      <x:c r="AQ59" s="43" t="n">
        <x:v>80052</x:v>
      </x:c>
      <x:c r="AR59" s="43" t="n">
        <x:v>1</x:v>
      </x:c>
      <x:c r="AS59" s="45" t="b">
        <x:v>1</x:v>
      </x:c>
      <x:c r="AT59" s="43" t="n">
        <x:v>10000</x:v>
      </x:c>
      <x:c r="AU59" s="48" t="n">
        <x:v>0.9499760702418428</x:v>
      </x:c>
      <x:c r="AV59" s="43" t="n">
        <x:v>10000</x:v>
      </x:c>
      <x:c r="AW59" s="48" t="n">
        <x:v>0.9499760702418428</x:v>
      </x:c>
      <x:c r="AX59" s="45" t="b">
        <x:v>1</x:v>
      </x:c>
      <x:c r="AY59" s="44" t="str">
        <x:v>{"provider":"jcs4","currentEntries":10000,"requestCount":5123328,"hitCount":4867039,"missCount":256289,"hitRate":0.9499760702418428,"loadSuccessCount":0,"loadFailureCount":0,"totalLoadTimeNanos":0,"evictionCount":-1,"expirationCount":-1,"putCount":10000,"removeCount":0,"nativeMetrics":{"HitCountRam":4867039,"Composite.HitCountRam":4867039,"HitCountAux":0,"Composite.HitCountAux":0,"Put Count":10000,"Memory Cache.Put Count":10000,"Hit Count":4867039,"Memory Cache.Hit Count":4867039,"Miss Count":256289,"Memory Cache.Miss Count":256289,"Map Size":10000,"Memory Cache.Map Size":10000,"List Size":10000,"Memory Cache.List Size":10000}}</x:v>
      </x:c>
      <x:c r="AZ59" s="44" t="str">
        <x:v>{"provider":"jcs4","currentEntries":10000,"requestCount":5123328,"hitCount":4867039,"missCount":256289,"hitRate":0.9499760702418428,"loadSuccessCount":0,"loadFailureCount":0,"totalLoadTimeNanos":0,"evictionCount":-1,"expirationCount":-1,"putCount":15000,"removeCount":0,"nativeMetrics":{"HitCountRam":4867039,"Composite.HitCountRam":4867039,"HitCountAux":0,"Composite.HitCountAux":0,"Put Count":15000,"Memory Cache.Put Count":15000,"Hit Count":4867039,"Memory Cache.Hit Count":4867039,"Miss Count":256289,"Memory Cache.Miss Count":256289,"Map Size":10000,"Memory Cache.Map Size":10000,"List Size":10000,"Memory Cache.List Size":10000}}</x:v>
      </x:c>
      <x:c r="BA59" s="43" t="n">
        <x:v>10000</x:v>
      </x:c>
      <x:c r="BB59" s="43" t="n">
        <x:v>5123328</x:v>
      </x:c>
      <x:c r="BC59" s="43" t="n">
        <x:v>4867039</x:v>
      </x:c>
      <x:c r="BD59" s="43" t="n">
        <x:v>256289</x:v>
      </x:c>
      <x:c r="BE59" s="48" t="n">
        <x:v>0.9499760702418428</x:v>
      </x:c>
      <x:c r="BF59" s="43" t="n">
        <x:v>0</x:v>
      </x:c>
      <x:c r="BG59" s="43" t="n">
        <x:v>0</x:v>
      </x:c>
      <x:c r="BH59" s="43" t="n">
        <x:v>0</x:v>
      </x:c>
      <x:c r="BI59" s="43" t="n">
        <x:v>-1</x:v>
      </x:c>
      <x:c r="BJ59" s="43" t="n">
        <x:v>-1</x:v>
      </x:c>
      <x:c r="BK59" s="43" t="n">
        <x:v>15000</x:v>
      </x:c>
      <x:c r="BL59" s="43" t="n">
        <x:v>0</x:v>
      </x:c>
      <x:c r="BM59" s="44" t="str">
        <x:v>{"HitCountRam":4867039,"Composite.HitCountRam":4867039,"HitCountAux":0,"Composite.HitCountAux":0,"Put Count":15000,"Memory Cache.Put Count":15000,"Hit Count":4867039,"Memory Cache.Hit Count":4867039,"Miss Count":256289,"Memory Cache.Miss Count":256289,"Map Size":10000,"Memory Cache.Map Size":10000,"List Size":10000,"Memory Cache.List Size":10000}</x:v>
      </x:c>
    </x:row>
    <x:row r="60">
      <x:c r="A60" s="34" t="str">
        <x:v>article1-unified-v4-2-fb3f101b-20260903-000401-default-f01-p6-jcs4</x:v>
      </x:c>
      <x:c r="B60" s="34" t="str">
        <x:v>default</x:v>
      </x:c>
      <x:c r="C60" s="34" t="str">
        <x:v>jcs4</x:v>
      </x:c>
      <x:c r="D60" s="34" t="str">
        <x:v>jcs4</x:v>
      </x:c>
      <x:c r="E60" s="34" t="str">
        <x:v>current-provider-primary-comparison</x:v>
      </x:c>
      <x:c r="F60" s="36" t="n">
        <x:v>1</x:v>
      </x:c>
      <x:c r="G60" s="36" t="n">
        <x:v>1</x:v>
      </x:c>
      <x:c r="H60" s="36" t="n">
        <x:v>6</x:v>
      </x:c>
      <x:c r="I60" s="36" t="n">
        <x:v>5</x:v>
      </x:c>
      <x:c r="J60" s="34" t="str">
        <x:v>initial</x:v>
      </x:c>
      <x:c r="K60" s="34" t="str">
        <x:v>cache-semantics</x:v>
      </x:c>
      <x:c r="L60" s="45" t="b">
        <x:v>1</x:v>
      </x:c>
      <x:c r="M60" s="36" t="n">
        <x:v>990445241</x:v>
      </x:c>
      <x:c r="N60" s="34" t="str">
        <x:v>c8c0b067bf711230321b1ae1f036e3e36ec57e928c071e76bd188cc45e5bf206</x:v>
      </x:c>
      <x:c r="O60" s="43" t="n">
        <x:v>10000</x:v>
      </x:c>
      <x:c r="P60" s="43" t="n">
        <x:v>400000</x:v>
      </x:c>
      <x:c r="Q60" s="36" t="n">
        <x:v>8</x:v>
      </x:c>
      <x:c r="R60" s="42" t="n">
        <x:v>95</x:v>
      </x:c>
      <x:c r="S60" s="43" t="n">
        <x:v>512</x:v>
      </x:c>
      <x:c r="T60" s="43" t="n">
        <x:v>50000</x:v>
      </x:c>
      <x:c r="U60" s="46" t="n">
        <x:v>3</x:v>
      </x:c>
      <x:c r="V60" s="46" t="n">
        <x:v>5</x:v>
      </x:c>
      <x:c r="W60" s="43" t="n">
        <x:v>300</x:v>
      </x:c>
      <x:c r="X60" s="34" t="str">
        <x:v>uniform</x:v>
      </x:c>
      <x:c r="Y60" s="42" t="n">
        <x:v>10</x:v>
      </x:c>
      <x:c r="Z60" s="34" t="str">
        <x:v>strict</x:v>
      </x:c>
      <x:c r="AA60" s="36" t="n">
        <x:v>64</x:v>
      </x:c>
      <x:c r="AB60" s="43" t="n">
        <x:v>2810112</x:v>
      </x:c>
      <x:c r="AC60" s="43" t="n">
        <x:v>3000823516</x:v>
      </x:c>
      <x:c r="AD60" s="43" t="n">
        <x:v>823516</x:v>
      </x:c>
      <x:c r="AE60" s="43" t="n">
        <x:v>3301037.086821567</x:v>
      </x:c>
      <x:c r="AF60" s="43" t="n">
        <x:v>988921.3850239769</x:v>
      </x:c>
      <x:c r="AG60" s="43" t="n">
        <x:v>4945664</x:v>
      </x:c>
      <x:c r="AH60" s="43" t="n">
        <x:v>5001068917</x:v>
      </x:c>
      <x:c r="AI60" s="43" t="n">
        <x:v>1068917</x:v>
      </x:c>
      <x:c r="AJ60" s="43" t="n">
        <x:v>988921.3850239769</x:v>
      </x:c>
      <x:c r="AK60" s="43" t="n">
        <x:v>4945664</x:v>
      </x:c>
      <x:c r="AL60" s="43" t="n">
        <x:v>0</x:v>
      </x:c>
      <x:c r="AM60" s="43" t="n">
        <x:v>571479.9719700504</x:v>
      </x:c>
      <x:c r="AN60" s="43" t="n">
        <x:v>421</x:v>
      </x:c>
      <x:c r="AO60" s="43" t="n">
        <x:v>1963</x:v>
      </x:c>
      <x:c r="AP60" s="43" t="n">
        <x:v>272432</x:v>
      </x:c>
      <x:c r="AQ60" s="43" t="n">
        <x:v>77276</x:v>
      </x:c>
      <x:c r="AR60" s="43" t="n">
        <x:v>1</x:v>
      </x:c>
      <x:c r="AS60" s="45" t="b">
        <x:v>1</x:v>
      </x:c>
      <x:c r="AT60" s="43" t="n">
        <x:v>10000</x:v>
      </x:c>
      <x:c r="AU60" s="48" t="n">
        <x:v>0.9504994678166572</x:v>
      </x:c>
      <x:c r="AV60" s="43" t="n">
        <x:v>10000</x:v>
      </x:c>
      <x:c r="AW60" s="48" t="n">
        <x:v>0.9504994678166572</x:v>
      </x:c>
      <x:c r="AX60" s="45" t="b">
        <x:v>1</x:v>
      </x:c>
      <x:c r="AY60" s="44" t="str">
        <x:v>{"provider":"jcs4","currentEntries":10000,"requestCount":4945664,"hitCount":4700851,"missCount":244813,"hitRate":0.9504994678166572,"loadSuccessCount":0,"loadFailureCount":0,"totalLoadTimeNanos":0,"evictionCount":-1,"expirationCount":-1,"putCount":10000,"removeCount":0,"nativeMetrics":{"HitCountRam":4700851,"Composite.HitCountRam":4700851,"HitCountAux":0,"Composite.HitCountAux":0,"Put Count":10000,"Memory Cache.Put Count":10000,"Hit Count":4700851,"Memory Cache.Hit Count":4700851,"Miss Count":244813,"Memory Cache.Miss Count":244813,"Map Size":10000,"Memory Cache.Map Size":10000,"List Size":10000,"Memory Cache.List Size":10000}}</x:v>
      </x:c>
      <x:c r="AZ60" s="44" t="str">
        <x:v>{"provider":"jcs4","currentEntries":10000,"requestCount":4945664,"hitCount":4700851,"missCount":244813,"hitRate":0.9504994678166572,"loadSuccessCount":0,"loadFailureCount":0,"totalLoadTimeNanos":0,"evictionCount":-1,"expirationCount":-1,"putCount":15000,"removeCount":0,"nativeMetrics":{"HitCountRam":4700851,"Composite.HitCountRam":4700851,"HitCountAux":0,"Composite.HitCountAux":0,"Put Count":15000,"Memory Cache.Put Count":15000,"Hit Count":4700851,"Memory Cache.Hit Count":4700851,"Miss Count":244813,"Memory Cache.Miss Count":244813,"Map Size":10000,"Memory Cache.Map Size":10000,"List Size":10000,"Memory Cache.List Size":10000}}</x:v>
      </x:c>
      <x:c r="BA60" s="43" t="n">
        <x:v>10000</x:v>
      </x:c>
      <x:c r="BB60" s="43" t="n">
        <x:v>4945664</x:v>
      </x:c>
      <x:c r="BC60" s="43" t="n">
        <x:v>4700851</x:v>
      </x:c>
      <x:c r="BD60" s="43" t="n">
        <x:v>244813</x:v>
      </x:c>
      <x:c r="BE60" s="48" t="n">
        <x:v>0.9504994678166572</x:v>
      </x:c>
      <x:c r="BF60" s="43" t="n">
        <x:v>0</x:v>
      </x:c>
      <x:c r="BG60" s="43" t="n">
        <x:v>0</x:v>
      </x:c>
      <x:c r="BH60" s="43" t="n">
        <x:v>0</x:v>
      </x:c>
      <x:c r="BI60" s="43" t="n">
        <x:v>-1</x:v>
      </x:c>
      <x:c r="BJ60" s="43" t="n">
        <x:v>-1</x:v>
      </x:c>
      <x:c r="BK60" s="43" t="n">
        <x:v>15000</x:v>
      </x:c>
      <x:c r="BL60" s="43" t="n">
        <x:v>0</x:v>
      </x:c>
      <x:c r="BM60" s="44" t="str">
        <x:v>{"HitCountRam":4700851,"Composite.HitCountRam":4700851,"HitCountAux":0,"Composite.HitCountAux":0,"Put Count":15000,"Memory Cache.Put Count":15000,"Hit Count":4700851,"Memory Cache.Hit Count":4700851,"Miss Count":244813,"Memory Cache.Miss Count":244813,"Map Size":10000,"Memory Cache.Map Size":10000,"List Size":10000,"Memory Cache.List Size":10000}</x:v>
      </x:c>
    </x:row>
    <x:row r="61">
      <x:c r="A61" s="34" t="str">
        <x:v>article1-unified-v4-2-fb3f101b-20260903-000401-default-f01-p6-jcs4</x:v>
      </x:c>
      <x:c r="B61" s="34" t="str">
        <x:v>default</x:v>
      </x:c>
      <x:c r="C61" s="34" t="str">
        <x:v>jcs4</x:v>
      </x:c>
      <x:c r="D61" s="34" t="str">
        <x:v>jcs4</x:v>
      </x:c>
      <x:c r="E61" s="34" t="str">
        <x:v>current-provider-primary-comparison</x:v>
      </x:c>
      <x:c r="F61" s="36" t="n">
        <x:v>1</x:v>
      </x:c>
      <x:c r="G61" s="36" t="n">
        <x:v>1</x:v>
      </x:c>
      <x:c r="H61" s="36" t="n">
        <x:v>6</x:v>
      </x:c>
      <x:c r="I61" s="36" t="n">
        <x:v>5</x:v>
      </x:c>
      <x:c r="J61" s="34" t="str">
        <x:v>redeploy</x:v>
      </x:c>
      <x:c r="K61" s="34" t="str">
        <x:v>cache-semantics</x:v>
      </x:c>
      <x:c r="L61" s="45" t="b">
        <x:v>1</x:v>
      </x:c>
      <x:c r="M61" s="36" t="n">
        <x:v>990445241</x:v>
      </x:c>
      <x:c r="N61" s="34" t="str">
        <x:v>c8c0b067bf711230321b1ae1f036e3e36ec57e928c071e76bd188cc45e5bf206</x:v>
      </x:c>
      <x:c r="O61" s="43" t="n">
        <x:v>10000</x:v>
      </x:c>
      <x:c r="P61" s="43" t="n">
        <x:v>400000</x:v>
      </x:c>
      <x:c r="Q61" s="36" t="n">
        <x:v>8</x:v>
      </x:c>
      <x:c r="R61" s="42" t="n">
        <x:v>95</x:v>
      </x:c>
      <x:c r="S61" s="43" t="n">
        <x:v>512</x:v>
      </x:c>
      <x:c r="T61" s="43" t="n">
        <x:v>50000</x:v>
      </x:c>
      <x:c r="U61" s="46" t="n">
        <x:v>3</x:v>
      </x:c>
      <x:c r="V61" s="46" t="n">
        <x:v>5</x:v>
      </x:c>
      <x:c r="W61" s="43" t="n">
        <x:v>300</x:v>
      </x:c>
      <x:c r="X61" s="34" t="str">
        <x:v>uniform</x:v>
      </x:c>
      <x:c r="Y61" s="42" t="n">
        <x:v>10</x:v>
      </x:c>
      <x:c r="Z61" s="34" t="str">
        <x:v>strict</x:v>
      </x:c>
      <x:c r="AA61" s="36" t="n">
        <x:v>64</x:v>
      </x:c>
      <x:c r="AB61" s="43" t="n">
        <x:v>2499840</x:v>
      </x:c>
      <x:c r="AC61" s="43" t="n">
        <x:v>3001370992</x:v>
      </x:c>
      <x:c r="AD61" s="43" t="n">
        <x:v>1370992</x:v>
      </x:c>
      <x:c r="AE61" s="43" t="n">
        <x:v>4064906.805914114</x:v>
      </x:c>
      <x:c r="AF61" s="43" t="n">
        <x:v>905712.8277679406</x:v>
      </x:c>
      <x:c r="AG61" s="43" t="n">
        <x:v>4529920</x:v>
      </x:c>
      <x:c r="AH61" s="43" t="n">
        <x:v>5001497010</x:v>
      </x:c>
      <x:c r="AI61" s="43" t="n">
        <x:v>1497010</x:v>
      </x:c>
      <x:c r="AJ61" s="43" t="n">
        <x:v>905712.8277679406</x:v>
      </x:c>
      <x:c r="AK61" s="43" t="n">
        <x:v>4529920</x:v>
      </x:c>
      <x:c r="AL61" s="43" t="n">
        <x:v>0</x:v>
      </x:c>
      <x:c r="AM61" s="43" t="n">
        <x:v>594043.6431983785</x:v>
      </x:c>
      <x:c r="AN61" s="43" t="n">
        <x:v>491</x:v>
      </x:c>
      <x:c r="AO61" s="43" t="n">
        <x:v>2315</x:v>
      </x:c>
      <x:c r="AP61" s="43" t="n">
        <x:v>274325</x:v>
      </x:c>
      <x:c r="AQ61" s="43" t="n">
        <x:v>70780</x:v>
      </x:c>
      <x:c r="AR61" s="43" t="n">
        <x:v>1</x:v>
      </x:c>
      <x:c r="AS61" s="45" t="b">
        <x:v>1</x:v>
      </x:c>
      <x:c r="AT61" s="43" t="n">
        <x:v>10000</x:v>
      </x:c>
      <x:c r="AU61" s="48" t="n">
        <x:v>0.9505147993783555</x:v>
      </x:c>
      <x:c r="AV61" s="43" t="n">
        <x:v>10000</x:v>
      </x:c>
      <x:c r="AW61" s="48" t="n">
        <x:v>0.9505147993783555</x:v>
      </x:c>
      <x:c r="AX61" s="45" t="b">
        <x:v>1</x:v>
      </x:c>
      <x:c r="AY61" s="44" t="str">
        <x:v>{"provider":"jcs4","currentEntries":10000,"requestCount":4529920,"hitCount":4305756,"missCount":224164,"hitRate":0.9505147993783555,"loadSuccessCount":0,"loadFailureCount":0,"totalLoadTimeNanos":0,"evictionCount":-1,"expirationCount":-1,"putCount":10000,"removeCount":0,"nativeMetrics":{"HitCountRam":4305756,"Composite.HitCountRam":4305756,"HitCountAux":0,"Composite.HitCountAux":0,"Put Count":10000,"Memory Cache.Put Count":10000,"Hit Count":4305756,"Memory Cache.Hit Count":4305756,"Miss Count":224164,"Memory Cache.Miss Count":224164,"Map Size":10000,"Memory Cache.Map Size":10000,"List Size":10000,"Memory Cache.List Size":10000}}</x:v>
      </x:c>
      <x:c r="AZ61" s="44" t="str">
        <x:v>{"provider":"jcs4","currentEntries":10000,"requestCount":4529920,"hitCount":4305756,"missCount":224164,"hitRate":0.9505147993783555,"loadSuccessCount":0,"loadFailureCount":0,"totalLoadTimeNanos":0,"evictionCount":-1,"expirationCount":-1,"putCount":15000,"removeCount":0,"nativeMetrics":{"HitCountRam":4305756,"Composite.HitCountRam":4305756,"HitCountAux":0,"Composite.HitCountAux":0,"Put Count":15000,"Memory Cache.Put Count":15000,"Hit Count":4305756,"Memory Cache.Hit Count":4305756,"Miss Count":224164,"Memory Cache.Miss Count":224164,"Map Size":10000,"Memory Cache.Map Size":10000,"List Size":10000,"Memory Cache.List Size":10000}}</x:v>
      </x:c>
      <x:c r="BA61" s="43" t="n">
        <x:v>10000</x:v>
      </x:c>
      <x:c r="BB61" s="43" t="n">
        <x:v>4529920</x:v>
      </x:c>
      <x:c r="BC61" s="43" t="n">
        <x:v>4305756</x:v>
      </x:c>
      <x:c r="BD61" s="43" t="n">
        <x:v>224164</x:v>
      </x:c>
      <x:c r="BE61" s="48" t="n">
        <x:v>0.9505147993783555</x:v>
      </x:c>
      <x:c r="BF61" s="43" t="n">
        <x:v>0</x:v>
      </x:c>
      <x:c r="BG61" s="43" t="n">
        <x:v>0</x:v>
      </x:c>
      <x:c r="BH61" s="43" t="n">
        <x:v>0</x:v>
      </x:c>
      <x:c r="BI61" s="43" t="n">
        <x:v>-1</x:v>
      </x:c>
      <x:c r="BJ61" s="43" t="n">
        <x:v>-1</x:v>
      </x:c>
      <x:c r="BK61" s="43" t="n">
        <x:v>15000</x:v>
      </x:c>
      <x:c r="BL61" s="43" t="n">
        <x:v>0</x:v>
      </x:c>
      <x:c r="BM61" s="44" t="str">
        <x:v>{"HitCountRam":4305756,"Composite.HitCountRam":4305756,"HitCountAux":0,"Composite.HitCountAux":0,"Put Count":15000,"Memory Cache.Put Count":15000,"Hit Count":4305756,"Memory Cache.Hit Count":4305756,"Miss Count":224164,"Memory Cache.Miss Count":224164,"Map Size":10000,"Memory Cache.Map Size":10000,"List Size":10000,"Memory Cache.List Size":10000}</x:v>
      </x:c>
    </x:row>
    <x:row r="62">
      <x:c r="A62" s="34" t="str">
        <x:v>article1-unified-v4-2-fb3f101b-20260903-000401-default-f02-p1-ehcache</x:v>
      </x:c>
      <x:c r="B62" s="34" t="str">
        <x:v>default</x:v>
      </x:c>
      <x:c r="C62" s="34" t="str">
        <x:v>ehcache</x:v>
      </x:c>
      <x:c r="D62" s="34" t="str">
        <x:v>ehcache</x:v>
      </x:c>
      <x:c r="E62" s="34" t="str">
        <x:v>current-provider-primary-comparison</x:v>
      </x:c>
      <x:c r="F62" s="36" t="n">
        <x:v>2</x:v>
      </x:c>
      <x:c r="G62" s="36" t="n">
        <x:v>2</x:v>
      </x:c>
      <x:c r="H62" s="36" t="n">
        <x:v>1</x:v>
      </x:c>
      <x:c r="I62" s="36" t="n">
        <x:v>1</x:v>
      </x:c>
      <x:c r="J62" s="34" t="str">
        <x:v>initial</x:v>
      </x:c>
      <x:c r="K62" s="34" t="str">
        <x:v>cache-semantics</x:v>
      </x:c>
      <x:c r="L62" s="45" t="b">
        <x:v>1</x:v>
      </x:c>
      <x:c r="M62" s="36" t="n">
        <x:v>1615875156</x:v>
      </x:c>
      <x:c r="N62" s="34" t="str">
        <x:v>0fb37446c0e2fcac42ab0cbd5c7c892698eb7e9b97b424142eea0ba54fd4394a</x:v>
      </x:c>
      <x:c r="O62" s="43" t="n">
        <x:v>10000</x:v>
      </x:c>
      <x:c r="P62" s="43" t="n">
        <x:v>400000</x:v>
      </x:c>
      <x:c r="Q62" s="36" t="n">
        <x:v>8</x:v>
      </x:c>
      <x:c r="R62" s="42" t="n">
        <x:v>95</x:v>
      </x:c>
      <x:c r="S62" s="43" t="n">
        <x:v>512</x:v>
      </x:c>
      <x:c r="T62" s="43" t="n">
        <x:v>50000</x:v>
      </x:c>
      <x:c r="U62" s="46" t="n">
        <x:v>3</x:v>
      </x:c>
      <x:c r="V62" s="46" t="n">
        <x:v>5</x:v>
      </x:c>
      <x:c r="W62" s="43" t="n">
        <x:v>300</x:v>
      </x:c>
      <x:c r="X62" s="34" t="str">
        <x:v>uniform</x:v>
      </x:c>
      <x:c r="Y62" s="42" t="n">
        <x:v>10</x:v>
      </x:c>
      <x:c r="Z62" s="34" t="str">
        <x:v>strict</x:v>
      </x:c>
      <x:c r="AA62" s="36" t="n">
        <x:v>64</x:v>
      </x:c>
      <x:c r="AB62" s="43" t="n">
        <x:v>73381888</x:v>
      </x:c>
      <x:c r="AC62" s="43" t="n">
        <x:v>3000557401</x:v>
      </x:c>
      <x:c r="AD62" s="43" t="n">
        <x:v>557401</x:v>
      </x:c>
      <x:c r="AE62" s="43" t="n">
        <x:v>996535.2462558178</x:v>
      </x:c>
      <x:c r="AF62" s="43" t="n">
        <x:v>22715674.281386904</x:v>
      </x:c>
      <x:c r="AG62" s="43" t="n">
        <x:v>113794560</x:v>
      </x:c>
      <x:c r="AH62" s="43" t="n">
        <x:v>5009517155</x:v>
      </x:c>
      <x:c r="AI62" s="43" t="n">
        <x:v>9517155</x:v>
      </x:c>
      <x:c r="AJ62" s="43" t="n">
        <x:v>22715674.281386904</x:v>
      </x:c>
      <x:c r="AK62" s="43" t="n">
        <x:v>113794560</x:v>
      </x:c>
      <x:c r="AL62" s="43" t="n">
        <x:v>0</x:v>
      </x:c>
      <x:c r="AM62" s="43" t="n">
        <x:v>235105.5795679333</x:v>
      </x:c>
      <x:c r="AN62" s="43" t="n">
        <x:v>180</x:v>
      </x:c>
      <x:c r="AO62" s="43" t="n">
        <x:v>321</x:v>
      </x:c>
      <x:c r="AP62" s="43" t="n">
        <x:v>571</x:v>
      </x:c>
      <x:c r="AQ62" s="43" t="n">
        <x:v>1778040</x:v>
      </x:c>
      <x:c r="AR62" s="43" t="n">
        <x:v>1</x:v>
      </x:c>
      <x:c r="AS62" s="45" t="b">
        <x:v>1</x:v>
      </x:c>
      <x:c r="AT62" s="43" t="n">
        <x:v>10000</x:v>
      </x:c>
      <x:c r="AU62" s="48" t="n">
        <x:v>0.9498274346330792</x:v>
      </x:c>
      <x:c r="AV62" s="43" t="n">
        <x:v>10000</x:v>
      </x:c>
      <x:c r="AW62" s="48" t="n">
        <x:v>0.9498274346330792</x:v>
      </x:c>
      <x:c r="AX62" s="45" t="b">
        <x:v>1</x:v>
      </x:c>
      <x:c r="AY62" s="44" t="str">
        <x:v>{"provider":"ehcache","currentEntries":10000,"requestCount":113794560,"hitCount":108085195,"missCount":5709365,"hitRate":0.9498274346330792,"loadSuccessCount":0,"loadFailureCount":0,"totalLoadTimeNanos":0,"evictionCount":-1,"expirationCount":-1,"putCount":10000,"removeCount":0,"nativeMetrics":{"mappings":10000}}</x:v>
      </x:c>
      <x:c r="AZ62" s="44" t="str">
        <x:v>{"provider":"ehcache","currentEntries":10000,"requestCount":113794560,"hitCount":108085195,"missCount":5709365,"hitRate":0.9498274346330792,"loadSuccessCount":0,"loadFailureCount":0,"totalLoadTimeNanos":0,"evictionCount":-1,"expirationCount":-1,"putCount":15000,"removeCount":0,"nativeMetrics":{"mappings":10000}}</x:v>
      </x:c>
      <x:c r="BA62" s="43" t="n">
        <x:v>10000</x:v>
      </x:c>
      <x:c r="BB62" s="43" t="n">
        <x:v>113794560</x:v>
      </x:c>
      <x:c r="BC62" s="43" t="n">
        <x:v>108085195</x:v>
      </x:c>
      <x:c r="BD62" s="43" t="n">
        <x:v>5709365</x:v>
      </x:c>
      <x:c r="BE62" s="48" t="n">
        <x:v>0.9498274346330792</x:v>
      </x:c>
      <x:c r="BF62" s="43" t="n">
        <x:v>0</x:v>
      </x:c>
      <x:c r="BG62" s="43" t="n">
        <x:v>0</x:v>
      </x:c>
      <x:c r="BH62" s="43" t="n">
        <x:v>0</x:v>
      </x:c>
      <x:c r="BI62" s="43" t="n">
        <x:v>-1</x:v>
      </x:c>
      <x:c r="BJ62" s="43" t="n">
        <x:v>-1</x:v>
      </x:c>
      <x:c r="BK62" s="43" t="n">
        <x:v>15000</x:v>
      </x:c>
      <x:c r="BL62" s="43" t="n">
        <x:v>0</x:v>
      </x:c>
      <x:c r="BM62" s="44" t="str">
        <x:v>{"mappings":10000}</x:v>
      </x:c>
    </x:row>
    <x:row r="63">
      <x:c r="A63" s="34" t="str">
        <x:v>article1-unified-v4-2-fb3f101b-20260903-000401-default-f02-p1-ehcache</x:v>
      </x:c>
      <x:c r="B63" s="34" t="str">
        <x:v>default</x:v>
      </x:c>
      <x:c r="C63" s="34" t="str">
        <x:v>ehcache</x:v>
      </x:c>
      <x:c r="D63" s="34" t="str">
        <x:v>ehcache</x:v>
      </x:c>
      <x:c r="E63" s="34" t="str">
        <x:v>current-provider-primary-comparison</x:v>
      </x:c>
      <x:c r="F63" s="36" t="n">
        <x:v>2</x:v>
      </x:c>
      <x:c r="G63" s="36" t="n">
        <x:v>2</x:v>
      </x:c>
      <x:c r="H63" s="36" t="n">
        <x:v>1</x:v>
      </x:c>
      <x:c r="I63" s="36" t="n">
        <x:v>1</x:v>
      </x:c>
      <x:c r="J63" s="34" t="str">
        <x:v>redeploy</x:v>
      </x:c>
      <x:c r="K63" s="34" t="str">
        <x:v>cache-semantics</x:v>
      </x:c>
      <x:c r="L63" s="45" t="b">
        <x:v>1</x:v>
      </x:c>
      <x:c r="M63" s="36" t="n">
        <x:v>1615875156</x:v>
      </x:c>
      <x:c r="N63" s="34" t="str">
        <x:v>0fb37446c0e2fcac42ab0cbd5c7c892698eb7e9b97b424142eea0ba54fd4394a</x:v>
      </x:c>
      <x:c r="O63" s="43" t="n">
        <x:v>10000</x:v>
      </x:c>
      <x:c r="P63" s="43" t="n">
        <x:v>400000</x:v>
      </x:c>
      <x:c r="Q63" s="36" t="n">
        <x:v>8</x:v>
      </x:c>
      <x:c r="R63" s="42" t="n">
        <x:v>95</x:v>
      </x:c>
      <x:c r="S63" s="43" t="n">
        <x:v>512</x:v>
      </x:c>
      <x:c r="T63" s="43" t="n">
        <x:v>50000</x:v>
      </x:c>
      <x:c r="U63" s="46" t="n">
        <x:v>3</x:v>
      </x:c>
      <x:c r="V63" s="46" t="n">
        <x:v>5</x:v>
      </x:c>
      <x:c r="W63" s="43" t="n">
        <x:v>300</x:v>
      </x:c>
      <x:c r="X63" s="34" t="str">
        <x:v>uniform</x:v>
      </x:c>
      <x:c r="Y63" s="42" t="n">
        <x:v>10</x:v>
      </x:c>
      <x:c r="Z63" s="34" t="str">
        <x:v>strict</x:v>
      </x:c>
      <x:c r="AA63" s="36" t="n">
        <x:v>64</x:v>
      </x:c>
      <x:c r="AB63" s="43" t="n">
        <x:v>74472192</x:v>
      </x:c>
      <x:c r="AC63" s="43" t="n">
        <x:v>3051999807</x:v>
      </x:c>
      <x:c r="AD63" s="43" t="n">
        <x:v>51999807</x:v>
      </x:c>
      <x:c r="AE63" s="43" t="n">
        <x:v>1520196.2634183923</x:v>
      </x:c>
      <x:c r="AF63" s="43" t="n">
        <x:v>23436041.313641008</x:v>
      </x:c>
      <x:c r="AG63" s="43" t="n">
        <x:v>117232640</x:v>
      </x:c>
      <x:c r="AH63" s="43" t="n">
        <x:v>5002237299</x:v>
      </x:c>
      <x:c r="AI63" s="43" t="n">
        <x:v>2237299</x:v>
      </x:c>
      <x:c r="AJ63" s="43" t="n">
        <x:v>23436041.313641008</x:v>
      </x:c>
      <x:c r="AK63" s="43" t="n">
        <x:v>117232640</x:v>
      </x:c>
      <x:c r="AL63" s="43" t="n">
        <x:v>0</x:v>
      </x:c>
      <x:c r="AM63" s="43" t="n">
        <x:v>311184.79690493114</x:v>
      </x:c>
      <x:c r="AN63" s="43" t="n">
        <x:v>191</x:v>
      </x:c>
      <x:c r="AO63" s="43" t="n">
        <x:v>341</x:v>
      </x:c>
      <x:c r="AP63" s="43" t="n">
        <x:v>591</x:v>
      </x:c>
      <x:c r="AQ63" s="43" t="n">
        <x:v>1831760</x:v>
      </x:c>
      <x:c r="AR63" s="43" t="n">
        <x:v>1</x:v>
      </x:c>
      <x:c r="AS63" s="45" t="b">
        <x:v>1</x:v>
      </x:c>
      <x:c r="AT63" s="43" t="n">
        <x:v>10000</x:v>
      </x:c>
      <x:c r="AU63" s="48" t="n">
        <x:v>0.9498292284469582</x:v>
      </x:c>
      <x:c r="AV63" s="43" t="n">
        <x:v>10000</x:v>
      </x:c>
      <x:c r="AW63" s="48" t="n">
        <x:v>0.9498292284469582</x:v>
      </x:c>
      <x:c r="AX63" s="45" t="b">
        <x:v>1</x:v>
      </x:c>
      <x:c r="AY63" s="44" t="str">
        <x:v>{"provider":"ehcache","currentEntries":10000,"requestCount":117232640,"hitCount":111350988,"missCount":5881652,"hitRate":0.9498292284469582,"loadSuccessCount":0,"loadFailureCount":0,"totalLoadTimeNanos":0,"evictionCount":-1,"expirationCount":-1,"putCount":10000,"removeCount":0,"nativeMetrics":{"mappings":10000}}</x:v>
      </x:c>
      <x:c r="AZ63" s="44" t="str">
        <x:v>{"provider":"ehcache","currentEntries":10000,"requestCount":117232640,"hitCount":111350988,"missCount":5881652,"hitRate":0.9498292284469582,"loadSuccessCount":0,"loadFailureCount":0,"totalLoadTimeNanos":0,"evictionCount":-1,"expirationCount":-1,"putCount":15000,"removeCount":0,"nativeMetrics":{"mappings":10000}}</x:v>
      </x:c>
      <x:c r="BA63" s="43" t="n">
        <x:v>10000</x:v>
      </x:c>
      <x:c r="BB63" s="43" t="n">
        <x:v>117232640</x:v>
      </x:c>
      <x:c r="BC63" s="43" t="n">
        <x:v>111350988</x:v>
      </x:c>
      <x:c r="BD63" s="43" t="n">
        <x:v>5881652</x:v>
      </x:c>
      <x:c r="BE63" s="48" t="n">
        <x:v>0.9498292284469582</x:v>
      </x:c>
      <x:c r="BF63" s="43" t="n">
        <x:v>0</x:v>
      </x:c>
      <x:c r="BG63" s="43" t="n">
        <x:v>0</x:v>
      </x:c>
      <x:c r="BH63" s="43" t="n">
        <x:v>0</x:v>
      </x:c>
      <x:c r="BI63" s="43" t="n">
        <x:v>-1</x:v>
      </x:c>
      <x:c r="BJ63" s="43" t="n">
        <x:v>-1</x:v>
      </x:c>
      <x:c r="BK63" s="43" t="n">
        <x:v>15000</x:v>
      </x:c>
      <x:c r="BL63" s="43" t="n">
        <x:v>0</x:v>
      </x:c>
      <x:c r="BM63" s="44" t="str">
        <x:v>{"mappings":10000}</x:v>
      </x:c>
    </x:row>
    <x:row r="64">
      <x:c r="A64" s="34" t="str">
        <x:v>article1-unified-v4-2-fb3f101b-20260903-000401-default-f02-p1-ehcache</x:v>
      </x:c>
      <x:c r="B64" s="34" t="str">
        <x:v>default</x:v>
      </x:c>
      <x:c r="C64" s="34" t="str">
        <x:v>ehcache</x:v>
      </x:c>
      <x:c r="D64" s="34" t="str">
        <x:v>ehcache</x:v>
      </x:c>
      <x:c r="E64" s="34" t="str">
        <x:v>current-provider-primary-comparison</x:v>
      </x:c>
      <x:c r="F64" s="36" t="n">
        <x:v>2</x:v>
      </x:c>
      <x:c r="G64" s="36" t="n">
        <x:v>2</x:v>
      </x:c>
      <x:c r="H64" s="36" t="n">
        <x:v>1</x:v>
      </x:c>
      <x:c r="I64" s="36" t="n">
        <x:v>2</x:v>
      </x:c>
      <x:c r="J64" s="34" t="str">
        <x:v>initial</x:v>
      </x:c>
      <x:c r="K64" s="34" t="str">
        <x:v>cache-semantics</x:v>
      </x:c>
      <x:c r="L64" s="45" t="b">
        <x:v>1</x:v>
      </x:c>
      <x:c r="M64" s="36" t="n">
        <x:v>1276216390</x:v>
      </x:c>
      <x:c r="N64" s="34" t="str">
        <x:v>b1b1fad534e2c4c4d7722cdd92c497d70af07481e43490fceffff21f05e0b6a0</x:v>
      </x:c>
      <x:c r="O64" s="43" t="n">
        <x:v>10000</x:v>
      </x:c>
      <x:c r="P64" s="43" t="n">
        <x:v>400000</x:v>
      </x:c>
      <x:c r="Q64" s="36" t="n">
        <x:v>8</x:v>
      </x:c>
      <x:c r="R64" s="42" t="n">
        <x:v>95</x:v>
      </x:c>
      <x:c r="S64" s="43" t="n">
        <x:v>512</x:v>
      </x:c>
      <x:c r="T64" s="43" t="n">
        <x:v>50000</x:v>
      </x:c>
      <x:c r="U64" s="46" t="n">
        <x:v>3</x:v>
      </x:c>
      <x:c r="V64" s="46" t="n">
        <x:v>5</x:v>
      </x:c>
      <x:c r="W64" s="43" t="n">
        <x:v>300</x:v>
      </x:c>
      <x:c r="X64" s="34" t="str">
        <x:v>uniform</x:v>
      </x:c>
      <x:c r="Y64" s="42" t="n">
        <x:v>10</x:v>
      </x:c>
      <x:c r="Z64" s="34" t="str">
        <x:v>strict</x:v>
      </x:c>
      <x:c r="AA64" s="36" t="n">
        <x:v>64</x:v>
      </x:c>
      <x:c r="AB64" s="43" t="n">
        <x:v>69427712</x:v>
      </x:c>
      <x:c r="AC64" s="43" t="n">
        <x:v>3052403837</x:v>
      </x:c>
      <x:c r="AD64" s="43" t="n">
        <x:v>52403837</x:v>
      </x:c>
      <x:c r="AE64" s="43" t="n">
        <x:v>1610054.4681426573</x:v>
      </x:c>
      <x:c r="AF64" s="43" t="n">
        <x:v>23478631.252179865</x:v>
      </x:c>
      <x:c r="AG64" s="43" t="n">
        <x:v>117453568</x:v>
      </x:c>
      <x:c r="AH64" s="43" t="n">
        <x:v>5002573052</x:v>
      </x:c>
      <x:c r="AI64" s="43" t="n">
        <x:v>2573052</x:v>
      </x:c>
      <x:c r="AJ64" s="43" t="n">
        <x:v>23478631.252179865</x:v>
      </x:c>
      <x:c r="AK64" s="43" t="n">
        <x:v>117453568</x:v>
      </x:c>
      <x:c r="AL64" s="43" t="n">
        <x:v>0</x:v>
      </x:c>
      <x:c r="AM64" s="43" t="n">
        <x:v>327949.30218619533</x:v>
      </x:c>
      <x:c r="AN64" s="43" t="n">
        <x:v>180</x:v>
      </x:c>
      <x:c r="AO64" s="43" t="n">
        <x:v>320</x:v>
      </x:c>
      <x:c r="AP64" s="43" t="n">
        <x:v>561</x:v>
      </x:c>
      <x:c r="AQ64" s="43" t="n">
        <x:v>1835212</x:v>
      </x:c>
      <x:c r="AR64" s="43" t="n">
        <x:v>1</x:v>
      </x:c>
      <x:c r="AS64" s="45" t="b">
        <x:v>1</x:v>
      </x:c>
      <x:c r="AT64" s="43" t="n">
        <x:v>10000</x:v>
      </x:c>
      <x:c r="AU64" s="48" t="n">
        <x:v>0.9492586636448541</x:v>
      </x:c>
      <x:c r="AV64" s="43" t="n">
        <x:v>10000</x:v>
      </x:c>
      <x:c r="AW64" s="48" t="n">
        <x:v>0.9492586636448541</x:v>
      </x:c>
      <x:c r="AX64" s="45" t="b">
        <x:v>1</x:v>
      </x:c>
      <x:c r="AY64" s="44" t="str">
        <x:v>{"provider":"ehcache","currentEntries":10000,"requestCount":117453568,"hitCount":111493817,"missCount":5959751,"hitRate":0.9492586636448541,"loadSuccessCount":0,"loadFailureCount":0,"totalLoadTimeNanos":0,"evictionCount":-1,"expirationCount":-1,"putCount":10000,"removeCount":0,"nativeMetrics":{"mappings":10000}}</x:v>
      </x:c>
      <x:c r="AZ64" s="44" t="str">
        <x:v>{"provider":"ehcache","currentEntries":10000,"requestCount":117453568,"hitCount":111493817,"missCount":5959751,"hitRate":0.9492586636448541,"loadSuccessCount":0,"loadFailureCount":0,"totalLoadTimeNanos":0,"evictionCount":-1,"expirationCount":-1,"putCount":15000,"removeCount":0,"nativeMetrics":{"mappings":10000}}</x:v>
      </x:c>
      <x:c r="BA64" s="43" t="n">
        <x:v>10000</x:v>
      </x:c>
      <x:c r="BB64" s="43" t="n">
        <x:v>117453568</x:v>
      </x:c>
      <x:c r="BC64" s="43" t="n">
        <x:v>111493817</x:v>
      </x:c>
      <x:c r="BD64" s="43" t="n">
        <x:v>5959751</x:v>
      </x:c>
      <x:c r="BE64" s="48" t="n">
        <x:v>0.9492586636448541</x:v>
      </x:c>
      <x:c r="BF64" s="43" t="n">
        <x:v>0</x:v>
      </x:c>
      <x:c r="BG64" s="43" t="n">
        <x:v>0</x:v>
      </x:c>
      <x:c r="BH64" s="43" t="n">
        <x:v>0</x:v>
      </x:c>
      <x:c r="BI64" s="43" t="n">
        <x:v>-1</x:v>
      </x:c>
      <x:c r="BJ64" s="43" t="n">
        <x:v>-1</x:v>
      </x:c>
      <x:c r="BK64" s="43" t="n">
        <x:v>15000</x:v>
      </x:c>
      <x:c r="BL64" s="43" t="n">
        <x:v>0</x:v>
      </x:c>
      <x:c r="BM64" s="44" t="str">
        <x:v>{"mappings":10000}</x:v>
      </x:c>
    </x:row>
    <x:row r="65">
      <x:c r="A65" s="34" t="str">
        <x:v>article1-unified-v4-2-fb3f101b-20260903-000401-default-f02-p1-ehcache</x:v>
      </x:c>
      <x:c r="B65" s="34" t="str">
        <x:v>default</x:v>
      </x:c>
      <x:c r="C65" s="34" t="str">
        <x:v>ehcache</x:v>
      </x:c>
      <x:c r="D65" s="34" t="str">
        <x:v>ehcache</x:v>
      </x:c>
      <x:c r="E65" s="34" t="str">
        <x:v>current-provider-primary-comparison</x:v>
      </x:c>
      <x:c r="F65" s="36" t="n">
        <x:v>2</x:v>
      </x:c>
      <x:c r="G65" s="36" t="n">
        <x:v>2</x:v>
      </x:c>
      <x:c r="H65" s="36" t="n">
        <x:v>1</x:v>
      </x:c>
      <x:c r="I65" s="36" t="n">
        <x:v>2</x:v>
      </x:c>
      <x:c r="J65" s="34" t="str">
        <x:v>redeploy</x:v>
      </x:c>
      <x:c r="K65" s="34" t="str">
        <x:v>cache-semantics</x:v>
      </x:c>
      <x:c r="L65" s="45" t="b">
        <x:v>1</x:v>
      </x:c>
      <x:c r="M65" s="36" t="n">
        <x:v>1276216390</x:v>
      </x:c>
      <x:c r="N65" s="34" t="str">
        <x:v>b1b1fad534e2c4c4d7722cdd92c497d70af07481e43490fceffff21f05e0b6a0</x:v>
      </x:c>
      <x:c r="O65" s="43" t="n">
        <x:v>10000</x:v>
      </x:c>
      <x:c r="P65" s="43" t="n">
        <x:v>400000</x:v>
      </x:c>
      <x:c r="Q65" s="36" t="n">
        <x:v>8</x:v>
      </x:c>
      <x:c r="R65" s="42" t="n">
        <x:v>95</x:v>
      </x:c>
      <x:c r="S65" s="43" t="n">
        <x:v>512</x:v>
      </x:c>
      <x:c r="T65" s="43" t="n">
        <x:v>50000</x:v>
      </x:c>
      <x:c r="U65" s="46" t="n">
        <x:v>3</x:v>
      </x:c>
      <x:c r="V65" s="46" t="n">
        <x:v>5</x:v>
      </x:c>
      <x:c r="W65" s="43" t="n">
        <x:v>300</x:v>
      </x:c>
      <x:c r="X65" s="34" t="str">
        <x:v>uniform</x:v>
      </x:c>
      <x:c r="Y65" s="42" t="n">
        <x:v>10</x:v>
      </x:c>
      <x:c r="Z65" s="34" t="str">
        <x:v>strict</x:v>
      </x:c>
      <x:c r="AA65" s="36" t="n">
        <x:v>64</x:v>
      </x:c>
      <x:c r="AB65" s="43" t="n">
        <x:v>59293696</x:v>
      </x:c>
      <x:c r="AC65" s="43" t="n">
        <x:v>3031656177</x:v>
      </x:c>
      <x:c r="AD65" s="43" t="n">
        <x:v>31656177</x:v>
      </x:c>
      <x:c r="AE65" s="43" t="n">
        <x:v>1788159.5939590246</x:v>
      </x:c>
      <x:c r="AF65" s="43" t="n">
        <x:v>21189214.585104175</x:v>
      </x:c>
      <x:c r="AG65" s="43" t="n">
        <x:v>105981696</x:v>
      </x:c>
      <x:c r="AH65" s="43" t="n">
        <x:v>5001681189</x:v>
      </x:c>
      <x:c r="AI65" s="43" t="n">
        <x:v>1681189</x:v>
      </x:c>
      <x:c r="AJ65" s="43" t="n">
        <x:v>21189214.585104175</x:v>
      </x:c>
      <x:c r="AK65" s="43" t="n">
        <x:v>105981696</x:v>
      </x:c>
      <x:c r="AL65" s="43" t="n">
        <x:v>0</x:v>
      </x:c>
      <x:c r="AM65" s="43" t="n">
        <x:v>268061.14217314275</x:v>
      </x:c>
      <x:c r="AN65" s="43" t="n">
        <x:v>181</x:v>
      </x:c>
      <x:c r="AO65" s="43" t="n">
        <x:v>350</x:v>
      </x:c>
      <x:c r="AP65" s="43" t="n">
        <x:v>611</x:v>
      </x:c>
      <x:c r="AQ65" s="43" t="n">
        <x:v>1655964</x:v>
      </x:c>
      <x:c r="AR65" s="43" t="n">
        <x:v>1</x:v>
      </x:c>
      <x:c r="AS65" s="45" t="b">
        <x:v>1</x:v>
      </x:c>
      <x:c r="AT65" s="43" t="n">
        <x:v>10000</x:v>
      </x:c>
      <x:c r="AU65" s="48" t="n">
        <x:v>0.9492668337747681</x:v>
      </x:c>
      <x:c r="AV65" s="43" t="n">
        <x:v>10000</x:v>
      </x:c>
      <x:c r="AW65" s="48" t="n">
        <x:v>0.9492668337747681</x:v>
      </x:c>
      <x:c r="AX65" s="45" t="b">
        <x:v>1</x:v>
      </x:c>
      <x:c r="AY65" s="44" t="str">
        <x:v>{"provider":"ehcache","currentEntries":10000,"requestCount":105981696,"hitCount":100604909,"missCount":5376787,"hitRate":0.9492668337747681,"loadSuccessCount":0,"loadFailureCount":0,"totalLoadTimeNanos":0,"evictionCount":-1,"expirationCount":-1,"putCount":10000,"removeCount":0,"nativeMetrics":{"mappings":10000}}</x:v>
      </x:c>
      <x:c r="AZ65" s="44" t="str">
        <x:v>{"provider":"ehcache","currentEntries":10000,"requestCount":105981696,"hitCount":100604909,"missCount":5376787,"hitRate":0.9492668337747681,"loadSuccessCount":0,"loadFailureCount":0,"totalLoadTimeNanos":0,"evictionCount":-1,"expirationCount":-1,"putCount":15000,"removeCount":0,"nativeMetrics":{"mappings":10000}}</x:v>
      </x:c>
      <x:c r="BA65" s="43" t="n">
        <x:v>10000</x:v>
      </x:c>
      <x:c r="BB65" s="43" t="n">
        <x:v>105981696</x:v>
      </x:c>
      <x:c r="BC65" s="43" t="n">
        <x:v>100604909</x:v>
      </x:c>
      <x:c r="BD65" s="43" t="n">
        <x:v>5376787</x:v>
      </x:c>
      <x:c r="BE65" s="48" t="n">
        <x:v>0.9492668337747681</x:v>
      </x:c>
      <x:c r="BF65" s="43" t="n">
        <x:v>0</x:v>
      </x:c>
      <x:c r="BG65" s="43" t="n">
        <x:v>0</x:v>
      </x:c>
      <x:c r="BH65" s="43" t="n">
        <x:v>0</x:v>
      </x:c>
      <x:c r="BI65" s="43" t="n">
        <x:v>-1</x:v>
      </x:c>
      <x:c r="BJ65" s="43" t="n">
        <x:v>-1</x:v>
      </x:c>
      <x:c r="BK65" s="43" t="n">
        <x:v>15000</x:v>
      </x:c>
      <x:c r="BL65" s="43" t="n">
        <x:v>0</x:v>
      </x:c>
      <x:c r="BM65" s="44" t="str">
        <x:v>{"mappings":10000}</x:v>
      </x:c>
    </x:row>
    <x:row r="66">
      <x:c r="A66" s="34" t="str">
        <x:v>article1-unified-v4-2-fb3f101b-20260903-000401-default-f02-p1-ehcache</x:v>
      </x:c>
      <x:c r="B66" s="34" t="str">
        <x:v>default</x:v>
      </x:c>
      <x:c r="C66" s="34" t="str">
        <x:v>ehcache</x:v>
      </x:c>
      <x:c r="D66" s="34" t="str">
        <x:v>ehcache</x:v>
      </x:c>
      <x:c r="E66" s="34" t="str">
        <x:v>current-provider-primary-comparison</x:v>
      </x:c>
      <x:c r="F66" s="36" t="n">
        <x:v>2</x:v>
      </x:c>
      <x:c r="G66" s="36" t="n">
        <x:v>2</x:v>
      </x:c>
      <x:c r="H66" s="36" t="n">
        <x:v>1</x:v>
      </x:c>
      <x:c r="I66" s="36" t="n">
        <x:v>3</x:v>
      </x:c>
      <x:c r="J66" s="34" t="str">
        <x:v>initial</x:v>
      </x:c>
      <x:c r="K66" s="34" t="str">
        <x:v>cache-semantics</x:v>
      </x:c>
      <x:c r="L66" s="45" t="b">
        <x:v>1</x:v>
      </x:c>
      <x:c r="M66" s="36" t="n">
        <x:v>959719280</x:v>
      </x:c>
      <x:c r="N66" s="34" t="str">
        <x:v>23946bc667956929e23dfb22e893f0f3724ae41926d14e5ececed76e98fb7a11</x:v>
      </x:c>
      <x:c r="O66" s="43" t="n">
        <x:v>10000</x:v>
      </x:c>
      <x:c r="P66" s="43" t="n">
        <x:v>400000</x:v>
      </x:c>
      <x:c r="Q66" s="36" t="n">
        <x:v>8</x:v>
      </x:c>
      <x:c r="R66" s="42" t="n">
        <x:v>95</x:v>
      </x:c>
      <x:c r="S66" s="43" t="n">
        <x:v>512</x:v>
      </x:c>
      <x:c r="T66" s="43" t="n">
        <x:v>50000</x:v>
      </x:c>
      <x:c r="U66" s="46" t="n">
        <x:v>3</x:v>
      </x:c>
      <x:c r="V66" s="46" t="n">
        <x:v>5</x:v>
      </x:c>
      <x:c r="W66" s="43" t="n">
        <x:v>300</x:v>
      </x:c>
      <x:c r="X66" s="34" t="str">
        <x:v>uniform</x:v>
      </x:c>
      <x:c r="Y66" s="42" t="n">
        <x:v>10</x:v>
      </x:c>
      <x:c r="Z66" s="34" t="str">
        <x:v>strict</x:v>
      </x:c>
      <x:c r="AA66" s="36" t="n">
        <x:v>64</x:v>
      </x:c>
      <x:c r="AB66" s="43" t="n">
        <x:v>70078208</x:v>
      </x:c>
      <x:c r="AC66" s="43" t="n">
        <x:v>3004314133</x:v>
      </x:c>
      <x:c r="AD66" s="43" t="n">
        <x:v>4314133</x:v>
      </x:c>
      <x:c r="AE66" s="43" t="n">
        <x:v>1922122.8847758449</x:v>
      </x:c>
      <x:c r="AF66" s="43" t="n">
        <x:v>20244444.543474242</x:v>
      </x:c>
      <x:c r="AG66" s="43" t="n">
        <x:v>101268992</x:v>
      </x:c>
      <x:c r="AH66" s="43" t="n">
        <x:v>5002310228</x:v>
      </x:c>
      <x:c r="AI66" s="43" t="n">
        <x:v>2310228</x:v>
      </x:c>
      <x:c r="AJ66" s="43" t="n">
        <x:v>20244444.543474242</x:v>
      </x:c>
      <x:c r="AK66" s="43" t="n">
        <x:v>101268992</x:v>
      </x:c>
      <x:c r="AL66" s="43" t="n">
        <x:v>0</x:v>
      </x:c>
      <x:c r="AM66" s="43" t="n">
        <x:v>259602.29966101132</x:v>
      </x:c>
      <x:c r="AN66" s="43" t="n">
        <x:v>191</x:v>
      </x:c>
      <x:c r="AO66" s="43" t="n">
        <x:v>370</x:v>
      </x:c>
      <x:c r="AP66" s="43" t="n">
        <x:v>631</x:v>
      </x:c>
      <x:c r="AQ66" s="43" t="n">
        <x:v>1582328</x:v>
      </x:c>
      <x:c r="AR66" s="43" t="n">
        <x:v>1</x:v>
      </x:c>
      <x:c r="AS66" s="45" t="b">
        <x:v>1</x:v>
      </x:c>
      <x:c r="AT66" s="43" t="n">
        <x:v>10000</x:v>
      </x:c>
      <x:c r="AU66" s="48" t="n">
        <x:v>0.9503947466960074</x:v>
      </x:c>
      <x:c r="AV66" s="43" t="n">
        <x:v>10000</x:v>
      </x:c>
      <x:c r="AW66" s="48" t="n">
        <x:v>0.9503947466960074</x:v>
      </x:c>
      <x:c r="AX66" s="45" t="b">
        <x:v>1</x:v>
      </x:c>
      <x:c r="AY66" s="44" t="str">
        <x:v>{"provider":"ehcache","currentEntries":10000,"requestCount":101268992,"hitCount":96245518,"missCount":5023474,"hitRate":0.9503947466960074,"loadSuccessCount":0,"loadFailureCount":0,"totalLoadTimeNanos":0,"evictionCount":-1,"expirationCount":-1,"putCount":10000,"removeCount":0,"nativeMetrics":{"mappings":10000}}</x:v>
      </x:c>
      <x:c r="AZ66" s="44" t="str">
        <x:v>{"provider":"ehcache","currentEntries":10000,"requestCount":101268992,"hitCount":96245518,"missCount":5023474,"hitRate":0.9503947466960074,"loadSuccessCount":0,"loadFailureCount":0,"totalLoadTimeNanos":0,"evictionCount":-1,"expirationCount":-1,"putCount":15000,"removeCount":0,"nativeMetrics":{"mappings":10000}}</x:v>
      </x:c>
      <x:c r="BA66" s="43" t="n">
        <x:v>10000</x:v>
      </x:c>
      <x:c r="BB66" s="43" t="n">
        <x:v>101268992</x:v>
      </x:c>
      <x:c r="BC66" s="43" t="n">
        <x:v>96245518</x:v>
      </x:c>
      <x:c r="BD66" s="43" t="n">
        <x:v>5023474</x:v>
      </x:c>
      <x:c r="BE66" s="48" t="n">
        <x:v>0.9503947466960074</x:v>
      </x:c>
      <x:c r="BF66" s="43" t="n">
        <x:v>0</x:v>
      </x:c>
      <x:c r="BG66" s="43" t="n">
        <x:v>0</x:v>
      </x:c>
      <x:c r="BH66" s="43" t="n">
        <x:v>0</x:v>
      </x:c>
      <x:c r="BI66" s="43" t="n">
        <x:v>-1</x:v>
      </x:c>
      <x:c r="BJ66" s="43" t="n">
        <x:v>-1</x:v>
      </x:c>
      <x:c r="BK66" s="43" t="n">
        <x:v>15000</x:v>
      </x:c>
      <x:c r="BL66" s="43" t="n">
        <x:v>0</x:v>
      </x:c>
      <x:c r="BM66" s="44" t="str">
        <x:v>{"mappings":10000}</x:v>
      </x:c>
    </x:row>
    <x:row r="67">
      <x:c r="A67" s="34" t="str">
        <x:v>article1-unified-v4-2-fb3f101b-20260903-000401-default-f02-p1-ehcache</x:v>
      </x:c>
      <x:c r="B67" s="34" t="str">
        <x:v>default</x:v>
      </x:c>
      <x:c r="C67" s="34" t="str">
        <x:v>ehcache</x:v>
      </x:c>
      <x:c r="D67" s="34" t="str">
        <x:v>ehcache</x:v>
      </x:c>
      <x:c r="E67" s="34" t="str">
        <x:v>current-provider-primary-comparison</x:v>
      </x:c>
      <x:c r="F67" s="36" t="n">
        <x:v>2</x:v>
      </x:c>
      <x:c r="G67" s="36" t="n">
        <x:v>2</x:v>
      </x:c>
      <x:c r="H67" s="36" t="n">
        <x:v>1</x:v>
      </x:c>
      <x:c r="I67" s="36" t="n">
        <x:v>3</x:v>
      </x:c>
      <x:c r="J67" s="34" t="str">
        <x:v>redeploy</x:v>
      </x:c>
      <x:c r="K67" s="34" t="str">
        <x:v>cache-semantics</x:v>
      </x:c>
      <x:c r="L67" s="45" t="b">
        <x:v>1</x:v>
      </x:c>
      <x:c r="M67" s="36" t="n">
        <x:v>959719280</x:v>
      </x:c>
      <x:c r="N67" s="34" t="str">
        <x:v>23946bc667956929e23dfb22e893f0f3724ae41926d14e5ececed76e98fb7a11</x:v>
      </x:c>
      <x:c r="O67" s="43" t="n">
        <x:v>10000</x:v>
      </x:c>
      <x:c r="P67" s="43" t="n">
        <x:v>400000</x:v>
      </x:c>
      <x:c r="Q67" s="36" t="n">
        <x:v>8</x:v>
      </x:c>
      <x:c r="R67" s="42" t="n">
        <x:v>95</x:v>
      </x:c>
      <x:c r="S67" s="43" t="n">
        <x:v>512</x:v>
      </x:c>
      <x:c r="T67" s="43" t="n">
        <x:v>50000</x:v>
      </x:c>
      <x:c r="U67" s="46" t="n">
        <x:v>3</x:v>
      </x:c>
      <x:c r="V67" s="46" t="n">
        <x:v>5</x:v>
      </x:c>
      <x:c r="W67" s="43" t="n">
        <x:v>300</x:v>
      </x:c>
      <x:c r="X67" s="34" t="str">
        <x:v>uniform</x:v>
      </x:c>
      <x:c r="Y67" s="42" t="n">
        <x:v>10</x:v>
      </x:c>
      <x:c r="Z67" s="34" t="str">
        <x:v>strict</x:v>
      </x:c>
      <x:c r="AA67" s="36" t="n">
        <x:v>64</x:v>
      </x:c>
      <x:c r="AB67" s="43" t="n">
        <x:v>62417920</x:v>
      </x:c>
      <x:c r="AC67" s="43" t="n">
        <x:v>3000630713</x:v>
      </x:c>
      <x:c r="AD67" s="43" t="n">
        <x:v>630713</x:v>
      </x:c>
      <x:c r="AE67" s="43" t="n">
        <x:v>1283339.228138188</x:v>
      </x:c>
      <x:c r="AF67" s="43" t="n">
        <x:v>21054382.761924557</x:v>
      </x:c>
      <x:c r="AG67" s="43" t="n">
        <x:v>106382592</x:v>
      </x:c>
      <x:c r="AH67" s="43" t="n">
        <x:v>5052752826</x:v>
      </x:c>
      <x:c r="AI67" s="43" t="n">
        <x:v>52752826</x:v>
      </x:c>
      <x:c r="AJ67" s="43" t="n">
        <x:v>21054382.761924557</x:v>
      </x:c>
      <x:c r="AK67" s="43" t="n">
        <x:v>106382592</x:v>
      </x:c>
      <x:c r="AL67" s="43" t="n">
        <x:v>0</x:v>
      </x:c>
      <x:c r="AM67" s="43" t="n">
        <x:v>319181.2617618295</x:v>
      </x:c>
      <x:c r="AN67" s="43" t="n">
        <x:v>190</x:v>
      </x:c>
      <x:c r="AO67" s="43" t="n">
        <x:v>331</x:v>
      </x:c>
      <x:c r="AP67" s="43" t="n">
        <x:v>611</x:v>
      </x:c>
      <x:c r="AQ67" s="43" t="n">
        <x:v>1662228</x:v>
      </x:c>
      <x:c r="AR67" s="43" t="n">
        <x:v>1</x:v>
      </x:c>
      <x:c r="AS67" s="45" t="b">
        <x:v>1</x:v>
      </x:c>
      <x:c r="AT67" s="43" t="n">
        <x:v>10000</x:v>
      </x:c>
      <x:c r="AU67" s="48" t="n">
        <x:v>0.950392081065293</x:v>
      </x:c>
      <x:c r="AV67" s="43" t="n">
        <x:v>10000</x:v>
      </x:c>
      <x:c r="AW67" s="48" t="n">
        <x:v>0.950392081065293</x:v>
      </x:c>
      <x:c r="AX67" s="45" t="b">
        <x:v>1</x:v>
      </x:c>
      <x:c r="AY67" s="44" t="str">
        <x:v>{"provider":"ehcache","currentEntries":10000,"requestCount":106382592,"hitCount":101105173,"missCount":5277419,"hitRate":0.950392081065293,"loadSuccessCount":0,"loadFailureCount":0,"totalLoadTimeNanos":0,"evictionCount":-1,"expirationCount":-1,"putCount":10000,"removeCount":0,"nativeMetrics":{"mappings":10000}}</x:v>
      </x:c>
      <x:c r="AZ67" s="44" t="str">
        <x:v>{"provider":"ehcache","currentEntries":10000,"requestCount":106382592,"hitCount":101105173,"missCount":5277419,"hitRate":0.950392081065293,"loadSuccessCount":0,"loadFailureCount":0,"totalLoadTimeNanos":0,"evictionCount":-1,"expirationCount":-1,"putCount":15000,"removeCount":0,"nativeMetrics":{"mappings":10000}}</x:v>
      </x:c>
      <x:c r="BA67" s="43" t="n">
        <x:v>10000</x:v>
      </x:c>
      <x:c r="BB67" s="43" t="n">
        <x:v>106382592</x:v>
      </x:c>
      <x:c r="BC67" s="43" t="n">
        <x:v>101105173</x:v>
      </x:c>
      <x:c r="BD67" s="43" t="n">
        <x:v>5277419</x:v>
      </x:c>
      <x:c r="BE67" s="48" t="n">
        <x:v>0.950392081065293</x:v>
      </x:c>
      <x:c r="BF67" s="43" t="n">
        <x:v>0</x:v>
      </x:c>
      <x:c r="BG67" s="43" t="n">
        <x:v>0</x:v>
      </x:c>
      <x:c r="BH67" s="43" t="n">
        <x:v>0</x:v>
      </x:c>
      <x:c r="BI67" s="43" t="n">
        <x:v>-1</x:v>
      </x:c>
      <x:c r="BJ67" s="43" t="n">
        <x:v>-1</x:v>
      </x:c>
      <x:c r="BK67" s="43" t="n">
        <x:v>15000</x:v>
      </x:c>
      <x:c r="BL67" s="43" t="n">
        <x:v>0</x:v>
      </x:c>
      <x:c r="BM67" s="44" t="str">
        <x:v>{"mappings":10000}</x:v>
      </x:c>
    </x:row>
    <x:row r="68">
      <x:c r="A68" s="34" t="str">
        <x:v>article1-unified-v4-2-fb3f101b-20260903-000401-default-f02-p1-ehcache</x:v>
      </x:c>
      <x:c r="B68" s="34" t="str">
        <x:v>default</x:v>
      </x:c>
      <x:c r="C68" s="34" t="str">
        <x:v>ehcache</x:v>
      </x:c>
      <x:c r="D68" s="34" t="str">
        <x:v>ehcache</x:v>
      </x:c>
      <x:c r="E68" s="34" t="str">
        <x:v>current-provider-primary-comparison</x:v>
      </x:c>
      <x:c r="F68" s="36" t="n">
        <x:v>2</x:v>
      </x:c>
      <x:c r="G68" s="36" t="n">
        <x:v>2</x:v>
      </x:c>
      <x:c r="H68" s="36" t="n">
        <x:v>1</x:v>
      </x:c>
      <x:c r="I68" s="36" t="n">
        <x:v>4</x:v>
      </x:c>
      <x:c r="J68" s="34" t="str">
        <x:v>initial</x:v>
      </x:c>
      <x:c r="K68" s="34" t="str">
        <x:v>cache-semantics</x:v>
      </x:c>
      <x:c r="L68" s="45" t="b">
        <x:v>1</x:v>
      </x:c>
      <x:c r="M68" s="36" t="n">
        <x:v>1652540875</x:v>
      </x:c>
      <x:c r="N68" s="34" t="str">
        <x:v>6d9eb911d184e49ced2dfa5d0ef88cff2d7d7f264b58a7cf2172e037d424290b</x:v>
      </x:c>
      <x:c r="O68" s="43" t="n">
        <x:v>10000</x:v>
      </x:c>
      <x:c r="P68" s="43" t="n">
        <x:v>400000</x:v>
      </x:c>
      <x:c r="Q68" s="36" t="n">
        <x:v>8</x:v>
      </x:c>
      <x:c r="R68" s="42" t="n">
        <x:v>95</x:v>
      </x:c>
      <x:c r="S68" s="43" t="n">
        <x:v>512</x:v>
      </x:c>
      <x:c r="T68" s="43" t="n">
        <x:v>50000</x:v>
      </x:c>
      <x:c r="U68" s="46" t="n">
        <x:v>3</x:v>
      </x:c>
      <x:c r="V68" s="46" t="n">
        <x:v>5</x:v>
      </x:c>
      <x:c r="W68" s="43" t="n">
        <x:v>300</x:v>
      </x:c>
      <x:c r="X68" s="34" t="str">
        <x:v>uniform</x:v>
      </x:c>
      <x:c r="Y68" s="42" t="n">
        <x:v>10</x:v>
      </x:c>
      <x:c r="Z68" s="34" t="str">
        <x:v>strict</x:v>
      </x:c>
      <x:c r="AA68" s="36" t="n">
        <x:v>64</x:v>
      </x:c>
      <x:c r="AB68" s="43" t="n">
        <x:v>57029632</x:v>
      </x:c>
      <x:c r="AC68" s="43" t="n">
        <x:v>3000489089</x:v>
      </x:c>
      <x:c r="AD68" s="43" t="n">
        <x:v>489089</x:v>
      </x:c>
      <x:c r="AE68" s="43" t="n">
        <x:v>1082870.2168133578</x:v>
      </x:c>
      <x:c r="AF68" s="43" t="n">
        <x:v>23387552.309444547</x:v>
      </x:c>
      <x:c r="AG68" s="43" t="n">
        <x:v>118219520</x:v>
      </x:c>
      <x:c r="AH68" s="43" t="n">
        <x:v>5054805156</x:v>
      </x:c>
      <x:c r="AI68" s="43" t="n">
        <x:v>54805156</x:v>
      </x:c>
      <x:c r="AJ68" s="43" t="n">
        <x:v>23387552.309444547</x:v>
      </x:c>
      <x:c r="AK68" s="43" t="n">
        <x:v>118219520</x:v>
      </x:c>
      <x:c r="AL68" s="43" t="n">
        <x:v>0</x:v>
      </x:c>
      <x:c r="AM68" s="43" t="n">
        <x:v>374468.3859558777</x:v>
      </x:c>
      <x:c r="AN68" s="43" t="n">
        <x:v>171</x:v>
      </x:c>
      <x:c r="AO68" s="43" t="n">
        <x:v>310</x:v>
      </x:c>
      <x:c r="AP68" s="43" t="n">
        <x:v>551</x:v>
      </x:c>
      <x:c r="AQ68" s="43" t="n">
        <x:v>1847180</x:v>
      </x:c>
      <x:c r="AR68" s="43" t="n">
        <x:v>1</x:v>
      </x:c>
      <x:c r="AS68" s="45" t="b">
        <x:v>1</x:v>
      </x:c>
      <x:c r="AT68" s="43" t="n">
        <x:v>10000</x:v>
      </x:c>
      <x:c r="AU68" s="48" t="n">
        <x:v>0.9503766129316038</x:v>
      </x:c>
      <x:c r="AV68" s="43" t="n">
        <x:v>10000</x:v>
      </x:c>
      <x:c r="AW68" s="48" t="n">
        <x:v>0.9503766129316038</x:v>
      </x:c>
      <x:c r="AX68" s="45" t="b">
        <x:v>1</x:v>
      </x:c>
      <x:c r="AY68" s="44" t="str">
        <x:v>{"provider":"ehcache","currentEntries":10000,"requestCount":118219520,"hitCount":112353067,"missCount":5866453,"hitRate":0.9503766129316038,"loadSuccessCount":0,"loadFailureCount":0,"totalLoadTimeNanos":0,"evictionCount":-1,"expirationCount":-1,"putCount":10000,"removeCount":0,"nativeMetrics":{"mappings":10000}}</x:v>
      </x:c>
      <x:c r="AZ68" s="44" t="str">
        <x:v>{"provider":"ehcache","currentEntries":10000,"requestCount":118219520,"hitCount":112353067,"missCount":5866453,"hitRate":0.9503766129316038,"loadSuccessCount":0,"loadFailureCount":0,"totalLoadTimeNanos":0,"evictionCount":-1,"expirationCount":-1,"putCount":15000,"removeCount":0,"nativeMetrics":{"mappings":10000}}</x:v>
      </x:c>
      <x:c r="BA68" s="43" t="n">
        <x:v>10000</x:v>
      </x:c>
      <x:c r="BB68" s="43" t="n">
        <x:v>118219520</x:v>
      </x:c>
      <x:c r="BC68" s="43" t="n">
        <x:v>112353067</x:v>
      </x:c>
      <x:c r="BD68" s="43" t="n">
        <x:v>5866453</x:v>
      </x:c>
      <x:c r="BE68" s="48" t="n">
        <x:v>0.9503766129316038</x:v>
      </x:c>
      <x:c r="BF68" s="43" t="n">
        <x:v>0</x:v>
      </x:c>
      <x:c r="BG68" s="43" t="n">
        <x:v>0</x:v>
      </x:c>
      <x:c r="BH68" s="43" t="n">
        <x:v>0</x:v>
      </x:c>
      <x:c r="BI68" s="43" t="n">
        <x:v>-1</x:v>
      </x:c>
      <x:c r="BJ68" s="43" t="n">
        <x:v>-1</x:v>
      </x:c>
      <x:c r="BK68" s="43" t="n">
        <x:v>15000</x:v>
      </x:c>
      <x:c r="BL68" s="43" t="n">
        <x:v>0</x:v>
      </x:c>
      <x:c r="BM68" s="44" t="str">
        <x:v>{"mappings":10000}</x:v>
      </x:c>
    </x:row>
    <x:row r="69">
      <x:c r="A69" s="34" t="str">
        <x:v>article1-unified-v4-2-fb3f101b-20260903-000401-default-f02-p1-ehcache</x:v>
      </x:c>
      <x:c r="B69" s="34" t="str">
        <x:v>default</x:v>
      </x:c>
      <x:c r="C69" s="34" t="str">
        <x:v>ehcache</x:v>
      </x:c>
      <x:c r="D69" s="34" t="str">
        <x:v>ehcache</x:v>
      </x:c>
      <x:c r="E69" s="34" t="str">
        <x:v>current-provider-primary-comparison</x:v>
      </x:c>
      <x:c r="F69" s="36" t="n">
        <x:v>2</x:v>
      </x:c>
      <x:c r="G69" s="36" t="n">
        <x:v>2</x:v>
      </x:c>
      <x:c r="H69" s="36" t="n">
        <x:v>1</x:v>
      </x:c>
      <x:c r="I69" s="36" t="n">
        <x:v>4</x:v>
      </x:c>
      <x:c r="J69" s="34" t="str">
        <x:v>redeploy</x:v>
      </x:c>
      <x:c r="K69" s="34" t="str">
        <x:v>cache-semantics</x:v>
      </x:c>
      <x:c r="L69" s="45" t="b">
        <x:v>1</x:v>
      </x:c>
      <x:c r="M69" s="36" t="n">
        <x:v>1652540875</x:v>
      </x:c>
      <x:c r="N69" s="34" t="str">
        <x:v>6d9eb911d184e49ced2dfa5d0ef88cff2d7d7f264b58a7cf2172e037d424290b</x:v>
      </x:c>
      <x:c r="O69" s="43" t="n">
        <x:v>10000</x:v>
      </x:c>
      <x:c r="P69" s="43" t="n">
        <x:v>400000</x:v>
      </x:c>
      <x:c r="Q69" s="36" t="n">
        <x:v>8</x:v>
      </x:c>
      <x:c r="R69" s="42" t="n">
        <x:v>95</x:v>
      </x:c>
      <x:c r="S69" s="43" t="n">
        <x:v>512</x:v>
      </x:c>
      <x:c r="T69" s="43" t="n">
        <x:v>50000</x:v>
      </x:c>
      <x:c r="U69" s="46" t="n">
        <x:v>3</x:v>
      </x:c>
      <x:c r="V69" s="46" t="n">
        <x:v>5</x:v>
      </x:c>
      <x:c r="W69" s="43" t="n">
        <x:v>300</x:v>
      </x:c>
      <x:c r="X69" s="34" t="str">
        <x:v>uniform</x:v>
      </x:c>
      <x:c r="Y69" s="42" t="n">
        <x:v>10</x:v>
      </x:c>
      <x:c r="Z69" s="34" t="str">
        <x:v>strict</x:v>
      </x:c>
      <x:c r="AA69" s="36" t="n">
        <x:v>64</x:v>
      </x:c>
      <x:c r="AB69" s="43" t="n">
        <x:v>62299392</x:v>
      </x:c>
      <x:c r="AC69" s="43" t="n">
        <x:v>3049593572</x:v>
      </x:c>
      <x:c r="AD69" s="43" t="n">
        <x:v>49593572</x:v>
      </x:c>
      <x:c r="AE69" s="43" t="n">
        <x:v>1438267.198691292</x:v>
      </x:c>
      <x:c r="AF69" s="43" t="n">
        <x:v>22523030.08161541</x:v>
      </x:c>
      <x:c r="AG69" s="43" t="n">
        <x:v>112672000</x:v>
      </x:c>
      <x:c r="AH69" s="43" t="n">
        <x:v>5002524065</x:v>
      </x:c>
      <x:c r="AI69" s="43" t="n">
        <x:v>2524065</x:v>
      </x:c>
      <x:c r="AJ69" s="43" t="n">
        <x:v>22523030.08161541</x:v>
      </x:c>
      <x:c r="AK69" s="43" t="n">
        <x:v>112672000</x:v>
      </x:c>
      <x:c r="AL69" s="43" t="n">
        <x:v>0</x:v>
      </x:c>
      <x:c r="AM69" s="43" t="n">
        <x:v>215261.86843082667</x:v>
      </x:c>
      <x:c r="AN69" s="43" t="n">
        <x:v>181</x:v>
      </x:c>
      <x:c r="AO69" s="43" t="n">
        <x:v>330</x:v>
      </x:c>
      <x:c r="AP69" s="43" t="n">
        <x:v>571</x:v>
      </x:c>
      <x:c r="AQ69" s="43" t="n">
        <x:v>1760500</x:v>
      </x:c>
      <x:c r="AR69" s="43" t="n">
        <x:v>1</x:v>
      </x:c>
      <x:c r="AS69" s="45" t="b">
        <x:v>1</x:v>
      </x:c>
      <x:c r="AT69" s="43" t="n">
        <x:v>10000</x:v>
      </x:c>
      <x:c r="AU69" s="48" t="n">
        <x:v>0.9503688139023004</x:v>
      </x:c>
      <x:c r="AV69" s="43" t="n">
        <x:v>10000</x:v>
      </x:c>
      <x:c r="AW69" s="48" t="n">
        <x:v>0.9503688139023004</x:v>
      </x:c>
      <x:c r="AX69" s="45" t="b">
        <x:v>1</x:v>
      </x:c>
      <x:c r="AY69" s="44" t="str">
        <x:v>{"provider":"ehcache","currentEntries":10000,"requestCount":112672000,"hitCount":107079955,"missCount":5592045,"hitRate":0.9503688139023004,"loadSuccessCount":0,"loadFailureCount":0,"totalLoadTimeNanos":0,"evictionCount":-1,"expirationCount":-1,"putCount":10000,"removeCount":0,"nativeMetrics":{"mappings":10000}}</x:v>
      </x:c>
      <x:c r="AZ69" s="44" t="str">
        <x:v>{"provider":"ehcache","currentEntries":10000,"requestCount":112672000,"hitCount":107079955,"missCount":5592045,"hitRate":0.9503688139023004,"loadSuccessCount":0,"loadFailureCount":0,"totalLoadTimeNanos":0,"evictionCount":-1,"expirationCount":-1,"putCount":15000,"removeCount":0,"nativeMetrics":{"mappings":10000}}</x:v>
      </x:c>
      <x:c r="BA69" s="43" t="n">
        <x:v>10000</x:v>
      </x:c>
      <x:c r="BB69" s="43" t="n">
        <x:v>112672000</x:v>
      </x:c>
      <x:c r="BC69" s="43" t="n">
        <x:v>107079955</x:v>
      </x:c>
      <x:c r="BD69" s="43" t="n">
        <x:v>5592045</x:v>
      </x:c>
      <x:c r="BE69" s="48" t="n">
        <x:v>0.9503688139023004</x:v>
      </x:c>
      <x:c r="BF69" s="43" t="n">
        <x:v>0</x:v>
      </x:c>
      <x:c r="BG69" s="43" t="n">
        <x:v>0</x:v>
      </x:c>
      <x:c r="BH69" s="43" t="n">
        <x:v>0</x:v>
      </x:c>
      <x:c r="BI69" s="43" t="n">
        <x:v>-1</x:v>
      </x:c>
      <x:c r="BJ69" s="43" t="n">
        <x:v>-1</x:v>
      </x:c>
      <x:c r="BK69" s="43" t="n">
        <x:v>15000</x:v>
      </x:c>
      <x:c r="BL69" s="43" t="n">
        <x:v>0</x:v>
      </x:c>
      <x:c r="BM69" s="44" t="str">
        <x:v>{"mappings":10000}</x:v>
      </x:c>
    </x:row>
    <x:row r="70">
      <x:c r="A70" s="34" t="str">
        <x:v>article1-unified-v4-2-fb3f101b-20260903-000401-default-f02-p1-ehcache</x:v>
      </x:c>
      <x:c r="B70" s="34" t="str">
        <x:v>default</x:v>
      </x:c>
      <x:c r="C70" s="34" t="str">
        <x:v>ehcache</x:v>
      </x:c>
      <x:c r="D70" s="34" t="str">
        <x:v>ehcache</x:v>
      </x:c>
      <x:c r="E70" s="34" t="str">
        <x:v>current-provider-primary-comparison</x:v>
      </x:c>
      <x:c r="F70" s="36" t="n">
        <x:v>2</x:v>
      </x:c>
      <x:c r="G70" s="36" t="n">
        <x:v>2</x:v>
      </x:c>
      <x:c r="H70" s="36" t="n">
        <x:v>1</x:v>
      </x:c>
      <x:c r="I70" s="36" t="n">
        <x:v>5</x:v>
      </x:c>
      <x:c r="J70" s="34" t="str">
        <x:v>initial</x:v>
      </x:c>
      <x:c r="K70" s="34" t="str">
        <x:v>cache-semantics</x:v>
      </x:c>
      <x:c r="L70" s="45" t="b">
        <x:v>1</x:v>
      </x:c>
      <x:c r="M70" s="36" t="n">
        <x:v>2077052807</x:v>
      </x:c>
      <x:c r="N70" s="34" t="str">
        <x:v>00ff6973c5a97fdf7eb604a286d7e8ed14ab7633eb1da6b80ffef64c86bdc8ff</x:v>
      </x:c>
      <x:c r="O70" s="43" t="n">
        <x:v>10000</x:v>
      </x:c>
      <x:c r="P70" s="43" t="n">
        <x:v>400000</x:v>
      </x:c>
      <x:c r="Q70" s="36" t="n">
        <x:v>8</x:v>
      </x:c>
      <x:c r="R70" s="42" t="n">
        <x:v>95</x:v>
      </x:c>
      <x:c r="S70" s="43" t="n">
        <x:v>512</x:v>
      </x:c>
      <x:c r="T70" s="43" t="n">
        <x:v>50000</x:v>
      </x:c>
      <x:c r="U70" s="46" t="n">
        <x:v>3</x:v>
      </x:c>
      <x:c r="V70" s="46" t="n">
        <x:v>5</x:v>
      </x:c>
      <x:c r="W70" s="43" t="n">
        <x:v>300</x:v>
      </x:c>
      <x:c r="X70" s="34" t="str">
        <x:v>uniform</x:v>
      </x:c>
      <x:c r="Y70" s="42" t="n">
        <x:v>10</x:v>
      </x:c>
      <x:c r="Z70" s="34" t="str">
        <x:v>strict</x:v>
      </x:c>
      <x:c r="AA70" s="36" t="n">
        <x:v>64</x:v>
      </x:c>
      <x:c r="AB70" s="43" t="n">
        <x:v>75151616</x:v>
      </x:c>
      <x:c r="AC70" s="43" t="n">
        <x:v>3000460537</x:v>
      </x:c>
      <x:c r="AD70" s="43" t="n">
        <x:v>460537</x:v>
      </x:c>
      <x:c r="AE70" s="43" t="n">
        <x:v>1347854.5794302835</x:v>
      </x:c>
      <x:c r="AF70" s="43" t="n">
        <x:v>22338512.914345358</x:v>
      </x:c>
      <x:c r="AG70" s="43" t="n">
        <x:v>112814080</x:v>
      </x:c>
      <x:c r="AH70" s="43" t="n">
        <x:v>5050205465</x:v>
      </x:c>
      <x:c r="AI70" s="43" t="n">
        <x:v>50205465</x:v>
      </x:c>
      <x:c r="AJ70" s="43" t="n">
        <x:v>22338512.914345358</x:v>
      </x:c>
      <x:c r="AK70" s="43" t="n">
        <x:v>112814080</x:v>
      </x:c>
      <x:c r="AL70" s="43" t="n">
        <x:v>0</x:v>
      </x:c>
      <x:c r="AM70" s="43" t="n">
        <x:v>309880.06092242</x:v>
      </x:c>
      <x:c r="AN70" s="43" t="n">
        <x:v>180</x:v>
      </x:c>
      <x:c r="AO70" s="43" t="n">
        <x:v>321</x:v>
      </x:c>
      <x:c r="AP70" s="43" t="n">
        <x:v>551</x:v>
      </x:c>
      <x:c r="AQ70" s="43" t="n">
        <x:v>1762720</x:v>
      </x:c>
      <x:c r="AR70" s="43" t="n">
        <x:v>1</x:v>
      </x:c>
      <x:c r="AS70" s="45" t="b">
        <x:v>1</x:v>
      </x:c>
      <x:c r="AT70" s="43" t="n">
        <x:v>10000</x:v>
      </x:c>
      <x:c r="AU70" s="48" t="n">
        <x:v>0.9499823692219979</x:v>
      </x:c>
      <x:c r="AV70" s="43" t="n">
        <x:v>10000</x:v>
      </x:c>
      <x:c r="AW70" s="48" t="n">
        <x:v>0.9499823692219979</x:v>
      </x:c>
      <x:c r="AX70" s="45" t="b">
        <x:v>1</x:v>
      </x:c>
      <x:c r="AY70" s="44" t="str">
        <x:v>{"provider":"ehcache","currentEntries":10000,"requestCount":112814080,"hitCount":107171387,"missCount":5642693,"hitRate":0.9499823692219979,"loadSuccessCount":0,"loadFailureCount":0,"totalLoadTimeNanos":0,"evictionCount":-1,"expirationCount":-1,"putCount":10000,"removeCount":0,"nativeMetrics":{"mappings":10000}}</x:v>
      </x:c>
      <x:c r="AZ70" s="44" t="str">
        <x:v>{"provider":"ehcache","currentEntries":10000,"requestCount":112814080,"hitCount":107171387,"missCount":5642693,"hitRate":0.9499823692219979,"loadSuccessCount":0,"loadFailureCount":0,"totalLoadTimeNanos":0,"evictionCount":-1,"expirationCount":-1,"putCount":15000,"removeCount":0,"nativeMetrics":{"mappings":10000}}</x:v>
      </x:c>
      <x:c r="BA70" s="43" t="n">
        <x:v>10000</x:v>
      </x:c>
      <x:c r="BB70" s="43" t="n">
        <x:v>112814080</x:v>
      </x:c>
      <x:c r="BC70" s="43" t="n">
        <x:v>107171387</x:v>
      </x:c>
      <x:c r="BD70" s="43" t="n">
        <x:v>5642693</x:v>
      </x:c>
      <x:c r="BE70" s="48" t="n">
        <x:v>0.9499823692219979</x:v>
      </x:c>
      <x:c r="BF70" s="43" t="n">
        <x:v>0</x:v>
      </x:c>
      <x:c r="BG70" s="43" t="n">
        <x:v>0</x:v>
      </x:c>
      <x:c r="BH70" s="43" t="n">
        <x:v>0</x:v>
      </x:c>
      <x:c r="BI70" s="43" t="n">
        <x:v>-1</x:v>
      </x:c>
      <x:c r="BJ70" s="43" t="n">
        <x:v>-1</x:v>
      </x:c>
      <x:c r="BK70" s="43" t="n">
        <x:v>15000</x:v>
      </x:c>
      <x:c r="BL70" s="43" t="n">
        <x:v>0</x:v>
      </x:c>
      <x:c r="BM70" s="44" t="str">
        <x:v>{"mappings":10000}</x:v>
      </x:c>
    </x:row>
    <x:row r="71">
      <x:c r="A71" s="34" t="str">
        <x:v>article1-unified-v4-2-fb3f101b-20260903-000401-default-f02-p1-ehcache</x:v>
      </x:c>
      <x:c r="B71" s="34" t="str">
        <x:v>default</x:v>
      </x:c>
      <x:c r="C71" s="34" t="str">
        <x:v>ehcache</x:v>
      </x:c>
      <x:c r="D71" s="34" t="str">
        <x:v>ehcache</x:v>
      </x:c>
      <x:c r="E71" s="34" t="str">
        <x:v>current-provider-primary-comparison</x:v>
      </x:c>
      <x:c r="F71" s="36" t="n">
        <x:v>2</x:v>
      </x:c>
      <x:c r="G71" s="36" t="n">
        <x:v>2</x:v>
      </x:c>
      <x:c r="H71" s="36" t="n">
        <x:v>1</x:v>
      </x:c>
      <x:c r="I71" s="36" t="n">
        <x:v>5</x:v>
      </x:c>
      <x:c r="J71" s="34" t="str">
        <x:v>redeploy</x:v>
      </x:c>
      <x:c r="K71" s="34" t="str">
        <x:v>cache-semantics</x:v>
      </x:c>
      <x:c r="L71" s="45" t="b">
        <x:v>1</x:v>
      </x:c>
      <x:c r="M71" s="36" t="n">
        <x:v>2077052807</x:v>
      </x:c>
      <x:c r="N71" s="34" t="str">
        <x:v>00ff6973c5a97fdf7eb604a286d7e8ed14ab7633eb1da6b80ffef64c86bdc8ff</x:v>
      </x:c>
      <x:c r="O71" s="43" t="n">
        <x:v>10000</x:v>
      </x:c>
      <x:c r="P71" s="43" t="n">
        <x:v>400000</x:v>
      </x:c>
      <x:c r="Q71" s="36" t="n">
        <x:v>8</x:v>
      </x:c>
      <x:c r="R71" s="42" t="n">
        <x:v>95</x:v>
      </x:c>
      <x:c r="S71" s="43" t="n">
        <x:v>512</x:v>
      </x:c>
      <x:c r="T71" s="43" t="n">
        <x:v>50000</x:v>
      </x:c>
      <x:c r="U71" s="46" t="n">
        <x:v>3</x:v>
      </x:c>
      <x:c r="V71" s="46" t="n">
        <x:v>5</x:v>
      </x:c>
      <x:c r="W71" s="43" t="n">
        <x:v>300</x:v>
      </x:c>
      <x:c r="X71" s="34" t="str">
        <x:v>uniform</x:v>
      </x:c>
      <x:c r="Y71" s="42" t="n">
        <x:v>10</x:v>
      </x:c>
      <x:c r="Z71" s="34" t="str">
        <x:v>strict</x:v>
      </x:c>
      <x:c r="AA71" s="36" t="n">
        <x:v>64</x:v>
      </x:c>
      <x:c r="AB71" s="43" t="n">
        <x:v>69827072</x:v>
      </x:c>
      <x:c r="AC71" s="43" t="n">
        <x:v>3000495143</x:v>
      </x:c>
      <x:c r="AD71" s="43" t="n">
        <x:v>495143</x:v>
      </x:c>
      <x:c r="AE71" s="43" t="n">
        <x:v>1392923.1425404716</x:v>
      </x:c>
      <x:c r="AF71" s="43" t="n">
        <x:v>23247753.929800004</x:v>
      </x:c>
      <x:c r="AG71" s="43" t="n">
        <x:v>116278272</x:v>
      </x:c>
      <x:c r="AH71" s="43" t="n">
        <x:v>5001699190</x:v>
      </x:c>
      <x:c r="AI71" s="43" t="n">
        <x:v>1699190</x:v>
      </x:c>
      <x:c r="AJ71" s="43" t="n">
        <x:v>23247753.929800004</x:v>
      </x:c>
      <x:c r="AK71" s="43" t="n">
        <x:v>116278272</x:v>
      </x:c>
      <x:c r="AL71" s="43" t="n">
        <x:v>0</x:v>
      </x:c>
      <x:c r="AM71" s="43" t="n">
        <x:v>146224.70619654682</x:v>
      </x:c>
      <x:c r="AN71" s="43" t="n">
        <x:v>180</x:v>
      </x:c>
      <x:c r="AO71" s="43" t="n">
        <x:v>331</x:v>
      </x:c>
      <x:c r="AP71" s="43" t="n">
        <x:v>571</x:v>
      </x:c>
      <x:c r="AQ71" s="43" t="n">
        <x:v>1816848</x:v>
      </x:c>
      <x:c r="AR71" s="43" t="n">
        <x:v>1</x:v>
      </x:c>
      <x:c r="AS71" s="45" t="b">
        <x:v>1</x:v>
      </x:c>
      <x:c r="AT71" s="43" t="n">
        <x:v>10000</x:v>
      </x:c>
      <x:c r="AU71" s="48" t="n">
        <x:v>0.9499775160057418</x:v>
      </x:c>
      <x:c r="AV71" s="43" t="n">
        <x:v>10000</x:v>
      </x:c>
      <x:c r="AW71" s="48" t="n">
        <x:v>0.9499775160057418</x:v>
      </x:c>
      <x:c r="AX71" s="45" t="b">
        <x:v>1</x:v>
      </x:c>
      <x:c r="AY71" s="44" t="str">
        <x:v>{"provider":"ehcache","currentEntries":10000,"requestCount":116278272,"hitCount":110461744,"missCount":5816528,"hitRate":0.9499775160057418,"loadSuccessCount":0,"loadFailureCount":0,"totalLoadTimeNanos":0,"evictionCount":-1,"expirationCount":-1,"putCount":10000,"removeCount":0,"nativeMetrics":{"mappings":10000}}</x:v>
      </x:c>
      <x:c r="AZ71" s="44" t="str">
        <x:v>{"provider":"ehcache","currentEntries":10000,"requestCount":116278272,"hitCount":110461744,"missCount":5816528,"hitRate":0.9499775160057418,"loadSuccessCount":0,"loadFailureCount":0,"totalLoadTimeNanos":0,"evictionCount":-1,"expirationCount":-1,"putCount":15000,"removeCount":0,"nativeMetrics":{"mappings":10000}}</x:v>
      </x:c>
      <x:c r="BA71" s="43" t="n">
        <x:v>10000</x:v>
      </x:c>
      <x:c r="BB71" s="43" t="n">
        <x:v>116278272</x:v>
      </x:c>
      <x:c r="BC71" s="43" t="n">
        <x:v>110461744</x:v>
      </x:c>
      <x:c r="BD71" s="43" t="n">
        <x:v>5816528</x:v>
      </x:c>
      <x:c r="BE71" s="48" t="n">
        <x:v>0.9499775160057418</x:v>
      </x:c>
      <x:c r="BF71" s="43" t="n">
        <x:v>0</x:v>
      </x:c>
      <x:c r="BG71" s="43" t="n">
        <x:v>0</x:v>
      </x:c>
      <x:c r="BH71" s="43" t="n">
        <x:v>0</x:v>
      </x:c>
      <x:c r="BI71" s="43" t="n">
        <x:v>-1</x:v>
      </x:c>
      <x:c r="BJ71" s="43" t="n">
        <x:v>-1</x:v>
      </x:c>
      <x:c r="BK71" s="43" t="n">
        <x:v>15000</x:v>
      </x:c>
      <x:c r="BL71" s="43" t="n">
        <x:v>0</x:v>
      </x:c>
      <x:c r="BM71" s="44" t="str">
        <x:v>{"mappings":10000}</x:v>
      </x:c>
    </x:row>
    <x:row r="72">
      <x:c r="A72" s="34" t="str">
        <x:v>article1-unified-v4-2-fb3f101b-20260903-000401-default-f02-p2-cache2k</x:v>
      </x:c>
      <x:c r="B72" s="34" t="str">
        <x:v>default</x:v>
      </x:c>
      <x:c r="C72" s="34" t="str">
        <x:v>cache2k</x:v>
      </x:c>
      <x:c r="D72" s="34" t="str">
        <x:v>cache2k</x:v>
      </x:c>
      <x:c r="E72" s="34" t="str">
        <x:v>current-provider-primary-comparison</x:v>
      </x:c>
      <x:c r="F72" s="36" t="n">
        <x:v>2</x:v>
      </x:c>
      <x:c r="G72" s="36" t="n">
        <x:v>2</x:v>
      </x:c>
      <x:c r="H72" s="36" t="n">
        <x:v>2</x:v>
      </x:c>
      <x:c r="I72" s="36" t="n">
        <x:v>1</x:v>
      </x:c>
      <x:c r="J72" s="34" t="str">
        <x:v>initial</x:v>
      </x:c>
      <x:c r="K72" s="34" t="str">
        <x:v>cache-semantics</x:v>
      </x:c>
      <x:c r="L72" s="45" t="b">
        <x:v>1</x:v>
      </x:c>
      <x:c r="M72" s="36" t="n">
        <x:v>1615875156</x:v>
      </x:c>
      <x:c r="N72" s="34" t="str">
        <x:v>0fb37446c0e2fcac42ab0cbd5c7c892698eb7e9b97b424142eea0ba54fd4394a</x:v>
      </x:c>
      <x:c r="O72" s="43" t="n">
        <x:v>10000</x:v>
      </x:c>
      <x:c r="P72" s="43" t="n">
        <x:v>400000</x:v>
      </x:c>
      <x:c r="Q72" s="36" t="n">
        <x:v>8</x:v>
      </x:c>
      <x:c r="R72" s="42" t="n">
        <x:v>95</x:v>
      </x:c>
      <x:c r="S72" s="43" t="n">
        <x:v>512</x:v>
      </x:c>
      <x:c r="T72" s="43" t="n">
        <x:v>50000</x:v>
      </x:c>
      <x:c r="U72" s="46" t="n">
        <x:v>3</x:v>
      </x:c>
      <x:c r="V72" s="46" t="n">
        <x:v>5</x:v>
      </x:c>
      <x:c r="W72" s="43" t="n">
        <x:v>300</x:v>
      </x:c>
      <x:c r="X72" s="34" t="str">
        <x:v>uniform</x:v>
      </x:c>
      <x:c r="Y72" s="42" t="n">
        <x:v>10</x:v>
      </x:c>
      <x:c r="Z72" s="34" t="str">
        <x:v>strict</x:v>
      </x:c>
      <x:c r="AA72" s="36" t="n">
        <x:v>64</x:v>
      </x:c>
      <x:c r="AB72" s="43" t="n">
        <x:v>90955008</x:v>
      </x:c>
      <x:c r="AC72" s="43" t="n">
        <x:v>3001160096</x:v>
      </x:c>
      <x:c r="AD72" s="43" t="n">
        <x:v>1160096</x:v>
      </x:c>
      <x:c r="AE72" s="43" t="n">
        <x:v>1223132.5182133606</x:v>
      </x:c>
      <x:c r="AF72" s="43" t="n">
        <x:v>30674988.949199714</x:v>
      </x:c>
      <x:c r="AG72" s="43" t="n">
        <x:v>153479936</x:v>
      </x:c>
      <x:c r="AH72" s="43" t="n">
        <x:v>5003422699</x:v>
      </x:c>
      <x:c r="AI72" s="43" t="n">
        <x:v>3422699</x:v>
      </x:c>
      <x:c r="AJ72" s="43" t="n">
        <x:v>30674988.949199714</x:v>
      </x:c>
      <x:c r="AK72" s="43" t="n">
        <x:v>153479936</x:v>
      </x:c>
      <x:c r="AL72" s="43" t="n">
        <x:v>0</x:v>
      </x:c>
      <x:c r="AM72" s="43" t="n">
        <x:v>493906.33184953994</x:v>
      </x:c>
      <x:c r="AN72" s="43" t="n">
        <x:v>150</x:v>
      </x:c>
      <x:c r="AO72" s="43" t="n">
        <x:v>330</x:v>
      </x:c>
      <x:c r="AP72" s="43" t="n">
        <x:v>521</x:v>
      </x:c>
      <x:c r="AQ72" s="43" t="n">
        <x:v>2398124</x:v>
      </x:c>
      <x:c r="AR72" s="43" t="n">
        <x:v>1</x:v>
      </x:c>
      <x:c r="AS72" s="45" t="b">
        <x:v>1</x:v>
      </x:c>
      <x:c r="AT72" s="43" t="n">
        <x:v>9979</x:v>
      </x:c>
      <x:c r="AU72" s="48" t="n">
        <x:v>0.947842368138595</x:v>
      </x:c>
      <x:c r="AV72" s="43" t="n">
        <x:v>9992</x:v>
      </x:c>
      <x:c r="AW72" s="48" t="n">
        <x:v>0.947842368138595</x:v>
      </x:c>
      <x:c r="AX72" s="45" t="b">
        <x:v>1</x:v>
      </x:c>
      <x:c r="AY72" s="44" t="str">
        <x:v>{"provider":"cache2k","currentEntries":9979,"requestCount":153479936,"hitCount":145474786,"missCount":8005150,"hitRate":0.947842368138595,"loadSuccessCount":0,"loadFailureCount":0,"totalLoadTimeNanos":0,"evictionCount":21,"expirationCount":0,"putCount":10000,"removeCount":0,"nativeMetrics":{"getCount":153479936,"missCount":8005150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2" s="44" t="str">
        <x:v>{"provider":"cache2k","currentEntries":9992,"requestCount":153479936,"hitCount":145474786,"missCount":8005150,"hitRate":0.947842368138595,"loadSuccessCount":0,"loadFailureCount":0,"totalLoadTimeNanos":0,"evictionCount":5008,"expirationCount":0,"putCount":15000,"removeCount":0,"nativeMetrics":{"getCount":153479936,"missCount":8005150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72" s="43" t="n">
        <x:v>9992</x:v>
      </x:c>
      <x:c r="BB72" s="43" t="n">
        <x:v>153479936</x:v>
      </x:c>
      <x:c r="BC72" s="43" t="n">
        <x:v>145474786</x:v>
      </x:c>
      <x:c r="BD72" s="43" t="n">
        <x:v>8005150</x:v>
      </x:c>
      <x:c r="BE72" s="48" t="n">
        <x:v>0.947842368138595</x:v>
      </x:c>
      <x:c r="BF72" s="43" t="n">
        <x:v>0</x:v>
      </x:c>
      <x:c r="BG72" s="43" t="n">
        <x:v>0</x:v>
      </x:c>
      <x:c r="BH72" s="43" t="n">
        <x:v>0</x:v>
      </x:c>
      <x:c r="BI72" s="43" t="n">
        <x:v>5008</x:v>
      </x:c>
      <x:c r="BJ72" s="43" t="n">
        <x:v>0</x:v>
      </x:c>
      <x:c r="BK72" s="43" t="n">
        <x:v>15000</x:v>
      </x:c>
      <x:c r="BL72" s="43" t="n">
        <x:v>0</x:v>
      </x:c>
      <x:c r="BM72" s="44" t="str">
        <x:v>{"getCount":153479936,"missCount":8005150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73">
      <x:c r="A73" s="34" t="str">
        <x:v>article1-unified-v4-2-fb3f101b-20260903-000401-default-f02-p2-cache2k</x:v>
      </x:c>
      <x:c r="B73" s="34" t="str">
        <x:v>default</x:v>
      </x:c>
      <x:c r="C73" s="34" t="str">
        <x:v>cache2k</x:v>
      </x:c>
      <x:c r="D73" s="34" t="str">
        <x:v>cache2k</x:v>
      </x:c>
      <x:c r="E73" s="34" t="str">
        <x:v>current-provider-primary-comparison</x:v>
      </x:c>
      <x:c r="F73" s="36" t="n">
        <x:v>2</x:v>
      </x:c>
      <x:c r="G73" s="36" t="n">
        <x:v>2</x:v>
      </x:c>
      <x:c r="H73" s="36" t="n">
        <x:v>2</x:v>
      </x:c>
      <x:c r="I73" s="36" t="n">
        <x:v>1</x:v>
      </x:c>
      <x:c r="J73" s="34" t="str">
        <x:v>redeploy</x:v>
      </x:c>
      <x:c r="K73" s="34" t="str">
        <x:v>cache-semantics</x:v>
      </x:c>
      <x:c r="L73" s="45" t="b">
        <x:v>1</x:v>
      </x:c>
      <x:c r="M73" s="36" t="n">
        <x:v>1615875156</x:v>
      </x:c>
      <x:c r="N73" s="34" t="str">
        <x:v>0fb37446c0e2fcac42ab0cbd5c7c892698eb7e9b97b424142eea0ba54fd4394a</x:v>
      </x:c>
      <x:c r="O73" s="43" t="n">
        <x:v>10000</x:v>
      </x:c>
      <x:c r="P73" s="43" t="n">
        <x:v>400000</x:v>
      </x:c>
      <x:c r="Q73" s="36" t="n">
        <x:v>8</x:v>
      </x:c>
      <x:c r="R73" s="42" t="n">
        <x:v>95</x:v>
      </x:c>
      <x:c r="S73" s="43" t="n">
        <x:v>512</x:v>
      </x:c>
      <x:c r="T73" s="43" t="n">
        <x:v>50000</x:v>
      </x:c>
      <x:c r="U73" s="46" t="n">
        <x:v>3</x:v>
      </x:c>
      <x:c r="V73" s="46" t="n">
        <x:v>5</x:v>
      </x:c>
      <x:c r="W73" s="43" t="n">
        <x:v>300</x:v>
      </x:c>
      <x:c r="X73" s="34" t="str">
        <x:v>uniform</x:v>
      </x:c>
      <x:c r="Y73" s="42" t="n">
        <x:v>10</x:v>
      </x:c>
      <x:c r="Z73" s="34" t="str">
        <x:v>strict</x:v>
      </x:c>
      <x:c r="AA73" s="36" t="n">
        <x:v>64</x:v>
      </x:c>
      <x:c r="AB73" s="43" t="n">
        <x:v>85262336</x:v>
      </x:c>
      <x:c r="AC73" s="43" t="n">
        <x:v>3035252869</x:v>
      </x:c>
      <x:c r="AD73" s="43" t="n">
        <x:v>35252869</x:v>
      </x:c>
      <x:c r="AE73" s="43" t="n">
        <x:v>1379997.488404571</x:v>
      </x:c>
      <x:c r="AF73" s="43" t="n">
        <x:v>28874586.394709427</x:v>
      </x:c>
      <x:c r="AG73" s="43" t="n">
        <x:v>144454144</x:v>
      </x:c>
      <x:c r="AH73" s="43" t="n">
        <x:v>5002812578</x:v>
      </x:c>
      <x:c r="AI73" s="43" t="n">
        <x:v>2812578</x:v>
      </x:c>
      <x:c r="AJ73" s="43" t="n">
        <x:v>28874586.394709427</x:v>
      </x:c>
      <x:c r="AK73" s="43" t="n">
        <x:v>144454144</x:v>
      </x:c>
      <x:c r="AL73" s="43" t="n">
        <x:v>0</x:v>
      </x:c>
      <x:c r="AM73" s="43" t="n">
        <x:v>363778.11804774543</x:v>
      </x:c>
      <x:c r="AN73" s="43" t="n">
        <x:v>150</x:v>
      </x:c>
      <x:c r="AO73" s="43" t="n">
        <x:v>331</x:v>
      </x:c>
      <x:c r="AP73" s="43" t="n">
        <x:v>521</x:v>
      </x:c>
      <x:c r="AQ73" s="43" t="n">
        <x:v>2257096</x:v>
      </x:c>
      <x:c r="AR73" s="43" t="n">
        <x:v>1</x:v>
      </x:c>
      <x:c r="AS73" s="45" t="b">
        <x:v>1</x:v>
      </x:c>
      <x:c r="AT73" s="43" t="n">
        <x:v>9979</x:v>
      </x:c>
      <x:c r="AU73" s="48" t="n">
        <x:v>0.9478421401327192</x:v>
      </x:c>
      <x:c r="AV73" s="43" t="n">
        <x:v>9991</x:v>
      </x:c>
      <x:c r="AW73" s="48" t="n">
        <x:v>0.9478421401327192</x:v>
      </x:c>
      <x:c r="AX73" s="45" t="b">
        <x:v>1</x:v>
      </x:c>
      <x:c r="AY73" s="44" t="str">
        <x:v>{"provider":"cache2k","currentEntries":9979,"requestCount":144454144,"hitCount":136919725,"missCount":7534419,"hitRate":0.9478421401327192,"loadSuccessCount":0,"loadFailureCount":0,"totalLoadTimeNanos":0,"evictionCount":21,"expirationCount":0,"putCount":10000,"removeCount":0,"nativeMetrics":{"getCount":144454144,"missCount":7534419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3" s="44" t="str">
        <x:v>{"provider":"cache2k","currentEntries":9991,"requestCount":144454144,"hitCount":136919725,"missCount":7534419,"hitRate":0.9478421401327192,"loadSuccessCount":0,"loadFailureCount":0,"totalLoadTimeNanos":0,"evictionCount":5009,"expirationCount":0,"putCount":15000,"removeCount":0,"nativeMetrics":{"getCount":144454144,"missCount":7534419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73" s="43" t="n">
        <x:v>9991</x:v>
      </x:c>
      <x:c r="BB73" s="43" t="n">
        <x:v>144454144</x:v>
      </x:c>
      <x:c r="BC73" s="43" t="n">
        <x:v>136919725</x:v>
      </x:c>
      <x:c r="BD73" s="43" t="n">
        <x:v>7534419</x:v>
      </x:c>
      <x:c r="BE73" s="48" t="n">
        <x:v>0.9478421401327192</x:v>
      </x:c>
      <x:c r="BF73" s="43" t="n">
        <x:v>0</x:v>
      </x:c>
      <x:c r="BG73" s="43" t="n">
        <x:v>0</x:v>
      </x:c>
      <x:c r="BH73" s="43" t="n">
        <x:v>0</x:v>
      </x:c>
      <x:c r="BI73" s="43" t="n">
        <x:v>5009</x:v>
      </x:c>
      <x:c r="BJ73" s="43" t="n">
        <x:v>0</x:v>
      </x:c>
      <x:c r="BK73" s="43" t="n">
        <x:v>15000</x:v>
      </x:c>
      <x:c r="BL73" s="43" t="n">
        <x:v>0</x:v>
      </x:c>
      <x:c r="BM73" s="44" t="str">
        <x:v>{"getCount":144454144,"missCount":7534419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74">
      <x:c r="A74" s="34" t="str">
        <x:v>article1-unified-v4-2-fb3f101b-20260903-000401-default-f02-p2-cache2k</x:v>
      </x:c>
      <x:c r="B74" s="34" t="str">
        <x:v>default</x:v>
      </x:c>
      <x:c r="C74" s="34" t="str">
        <x:v>cache2k</x:v>
      </x:c>
      <x:c r="D74" s="34" t="str">
        <x:v>cache2k</x:v>
      </x:c>
      <x:c r="E74" s="34" t="str">
        <x:v>current-provider-primary-comparison</x:v>
      </x:c>
      <x:c r="F74" s="36" t="n">
        <x:v>2</x:v>
      </x:c>
      <x:c r="G74" s="36" t="n">
        <x:v>2</x:v>
      </x:c>
      <x:c r="H74" s="36" t="n">
        <x:v>2</x:v>
      </x:c>
      <x:c r="I74" s="36" t="n">
        <x:v>2</x:v>
      </x:c>
      <x:c r="J74" s="34" t="str">
        <x:v>initial</x:v>
      </x:c>
      <x:c r="K74" s="34" t="str">
        <x:v>cache-semantics</x:v>
      </x:c>
      <x:c r="L74" s="45" t="b">
        <x:v>1</x:v>
      </x:c>
      <x:c r="M74" s="36" t="n">
        <x:v>1276216390</x:v>
      </x:c>
      <x:c r="N74" s="34" t="str">
        <x:v>b1b1fad534e2c4c4d7722cdd92c497d70af07481e43490fceffff21f05e0b6a0</x:v>
      </x:c>
      <x:c r="O74" s="43" t="n">
        <x:v>10000</x:v>
      </x:c>
      <x:c r="P74" s="43" t="n">
        <x:v>400000</x:v>
      </x:c>
      <x:c r="Q74" s="36" t="n">
        <x:v>8</x:v>
      </x:c>
      <x:c r="R74" s="42" t="n">
        <x:v>95</x:v>
      </x:c>
      <x:c r="S74" s="43" t="n">
        <x:v>512</x:v>
      </x:c>
      <x:c r="T74" s="43" t="n">
        <x:v>50000</x:v>
      </x:c>
      <x:c r="U74" s="46" t="n">
        <x:v>3</x:v>
      </x:c>
      <x:c r="V74" s="46" t="n">
        <x:v>5</x:v>
      </x:c>
      <x:c r="W74" s="43" t="n">
        <x:v>300</x:v>
      </x:c>
      <x:c r="X74" s="34" t="str">
        <x:v>uniform</x:v>
      </x:c>
      <x:c r="Y74" s="42" t="n">
        <x:v>10</x:v>
      </x:c>
      <x:c r="Z74" s="34" t="str">
        <x:v>strict</x:v>
      </x:c>
      <x:c r="AA74" s="36" t="n">
        <x:v>64</x:v>
      </x:c>
      <x:c r="AB74" s="43" t="n">
        <x:v>95426560</x:v>
      </x:c>
      <x:c r="AC74" s="43" t="n">
        <x:v>3000525021</x:v>
      </x:c>
      <x:c r="AD74" s="43" t="n">
        <x:v>525021</x:v>
      </x:c>
      <x:c r="AE74" s="43" t="n">
        <x:v>1473344.4727997773</x:v>
      </x:c>
      <x:c r="AF74" s="43" t="n">
        <x:v>31682755.45398091</x:v>
      </x:c>
      <x:c r="AG74" s="43" t="n">
        <x:v>158499072</x:v>
      </x:c>
      <x:c r="AH74" s="43" t="n">
        <x:v>5002692150</x:v>
      </x:c>
      <x:c r="AI74" s="43" t="n">
        <x:v>2692150</x:v>
      </x:c>
      <x:c r="AJ74" s="43" t="n">
        <x:v>31682755.45398091</x:v>
      </x:c>
      <x:c r="AK74" s="43" t="n">
        <x:v>158499072</x:v>
      </x:c>
      <x:c r="AL74" s="43" t="n">
        <x:v>0</x:v>
      </x:c>
      <x:c r="AM74" s="43" t="n">
        <x:v>447695.5498346033</x:v>
      </x:c>
      <x:c r="AN74" s="43" t="n">
        <x:v>141</x:v>
      </x:c>
      <x:c r="AO74" s="43" t="n">
        <x:v>320</x:v>
      </x:c>
      <x:c r="AP74" s="43" t="n">
        <x:v>501</x:v>
      </x:c>
      <x:c r="AQ74" s="43" t="n">
        <x:v>2476548</x:v>
      </x:c>
      <x:c r="AR74" s="43" t="n">
        <x:v>1</x:v>
      </x:c>
      <x:c r="AS74" s="45" t="b">
        <x:v>1</x:v>
      </x:c>
      <x:c r="AT74" s="43" t="n">
        <x:v>9979</x:v>
      </x:c>
      <x:c r="AU74" s="48" t="n">
        <x:v>0.9472651108014059</x:v>
      </x:c>
      <x:c r="AV74" s="43" t="n">
        <x:v>9992</x:v>
      </x:c>
      <x:c r="AW74" s="48" t="n">
        <x:v>0.9472651108014059</x:v>
      </x:c>
      <x:c r="AX74" s="45" t="b">
        <x:v>1</x:v>
      </x:c>
      <x:c r="AY74" s="44" t="str">
        <x:v>{"provider":"cache2k","currentEntries":9979,"requestCount":158499072,"hitCount":150140641,"missCount":8358431,"hitRate":0.9472651108014059,"loadSuccessCount":0,"loadFailureCount":0,"totalLoadTimeNanos":0,"evictionCount":21,"expirationCount":0,"putCount":10000,"removeCount":0,"nativeMetrics":{"getCount":158499072,"missCount":8358431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4" s="44" t="str">
        <x:v>{"provider":"cache2k","currentEntries":9992,"requestCount":158499072,"hitCount":150140641,"missCount":8358431,"hitRate":0.9472651108014059,"loadSuccessCount":0,"loadFailureCount":0,"totalLoadTimeNanos":0,"evictionCount":5008,"expirationCount":0,"putCount":15000,"removeCount":0,"nativeMetrics":{"getCount":158499072,"missCount":8358431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74" s="43" t="n">
        <x:v>9992</x:v>
      </x:c>
      <x:c r="BB74" s="43" t="n">
        <x:v>158499072</x:v>
      </x:c>
      <x:c r="BC74" s="43" t="n">
        <x:v>150140641</x:v>
      </x:c>
      <x:c r="BD74" s="43" t="n">
        <x:v>8358431</x:v>
      </x:c>
      <x:c r="BE74" s="48" t="n">
        <x:v>0.9472651108014059</x:v>
      </x:c>
      <x:c r="BF74" s="43" t="n">
        <x:v>0</x:v>
      </x:c>
      <x:c r="BG74" s="43" t="n">
        <x:v>0</x:v>
      </x:c>
      <x:c r="BH74" s="43" t="n">
        <x:v>0</x:v>
      </x:c>
      <x:c r="BI74" s="43" t="n">
        <x:v>5008</x:v>
      </x:c>
      <x:c r="BJ74" s="43" t="n">
        <x:v>0</x:v>
      </x:c>
      <x:c r="BK74" s="43" t="n">
        <x:v>15000</x:v>
      </x:c>
      <x:c r="BL74" s="43" t="n">
        <x:v>0</x:v>
      </x:c>
      <x:c r="BM74" s="44" t="str">
        <x:v>{"getCount":158499072,"missCount":8358431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75">
      <x:c r="A75" s="34" t="str">
        <x:v>article1-unified-v4-2-fb3f101b-20260903-000401-default-f02-p2-cache2k</x:v>
      </x:c>
      <x:c r="B75" s="34" t="str">
        <x:v>default</x:v>
      </x:c>
      <x:c r="C75" s="34" t="str">
        <x:v>cache2k</x:v>
      </x:c>
      <x:c r="D75" s="34" t="str">
        <x:v>cache2k</x:v>
      </x:c>
      <x:c r="E75" s="34" t="str">
        <x:v>current-provider-primary-comparison</x:v>
      </x:c>
      <x:c r="F75" s="36" t="n">
        <x:v>2</x:v>
      </x:c>
      <x:c r="G75" s="36" t="n">
        <x:v>2</x:v>
      </x:c>
      <x:c r="H75" s="36" t="n">
        <x:v>2</x:v>
      </x:c>
      <x:c r="I75" s="36" t="n">
        <x:v>2</x:v>
      </x:c>
      <x:c r="J75" s="34" t="str">
        <x:v>redeploy</x:v>
      </x:c>
      <x:c r="K75" s="34" t="str">
        <x:v>cache-semantics</x:v>
      </x:c>
      <x:c r="L75" s="45" t="b">
        <x:v>1</x:v>
      </x:c>
      <x:c r="M75" s="36" t="n">
        <x:v>1276216390</x:v>
      </x:c>
      <x:c r="N75" s="34" t="str">
        <x:v>b1b1fad534e2c4c4d7722cdd92c497d70af07481e43490fceffff21f05e0b6a0</x:v>
      </x:c>
      <x:c r="O75" s="43" t="n">
        <x:v>10000</x:v>
      </x:c>
      <x:c r="P75" s="43" t="n">
        <x:v>400000</x:v>
      </x:c>
      <x:c r="Q75" s="36" t="n">
        <x:v>8</x:v>
      </x:c>
      <x:c r="R75" s="42" t="n">
        <x:v>95</x:v>
      </x:c>
      <x:c r="S75" s="43" t="n">
        <x:v>512</x:v>
      </x:c>
      <x:c r="T75" s="43" t="n">
        <x:v>50000</x:v>
      </x:c>
      <x:c r="U75" s="46" t="n">
        <x:v>3</x:v>
      </x:c>
      <x:c r="V75" s="46" t="n">
        <x:v>5</x:v>
      </x:c>
      <x:c r="W75" s="43" t="n">
        <x:v>300</x:v>
      </x:c>
      <x:c r="X75" s="34" t="str">
        <x:v>uniform</x:v>
      </x:c>
      <x:c r="Y75" s="42" t="n">
        <x:v>10</x:v>
      </x:c>
      <x:c r="Z75" s="34" t="str">
        <x:v>strict</x:v>
      </x:c>
      <x:c r="AA75" s="36" t="n">
        <x:v>64</x:v>
      </x:c>
      <x:c r="AB75" s="43" t="n">
        <x:v>94099456</x:v>
      </x:c>
      <x:c r="AC75" s="43" t="n">
        <x:v>3000483657</x:v>
      </x:c>
      <x:c r="AD75" s="43" t="n">
        <x:v>483657</x:v>
      </x:c>
      <x:c r="AE75" s="43" t="n">
        <x:v>2326946.7178067504</x:v>
      </x:c>
      <x:c r="AF75" s="43" t="n">
        <x:v>23827860.11139651</x:v>
      </x:c>
      <x:c r="AG75" s="43" t="n">
        <x:v>119192320</x:v>
      </x:c>
      <x:c r="AH75" s="43" t="n">
        <x:v>5002225103</x:v>
      </x:c>
      <x:c r="AI75" s="43" t="n">
        <x:v>2225103</x:v>
      </x:c>
      <x:c r="AJ75" s="43" t="n">
        <x:v>23827860.11139651</x:v>
      </x:c>
      <x:c r="AK75" s="43" t="n">
        <x:v>119192320</x:v>
      </x:c>
      <x:c r="AL75" s="43" t="n">
        <x:v>0</x:v>
      </x:c>
      <x:c r="AM75" s="43" t="n">
        <x:v>436953.88956689567</x:v>
      </x:c>
      <x:c r="AN75" s="43" t="n">
        <x:v>151</x:v>
      </x:c>
      <x:c r="AO75" s="43" t="n">
        <x:v>371</x:v>
      </x:c>
      <x:c r="AP75" s="43" t="n">
        <x:v>591</x:v>
      </x:c>
      <x:c r="AQ75" s="43" t="n">
        <x:v>1862380</x:v>
      </x:c>
      <x:c r="AR75" s="43" t="n">
        <x:v>1</x:v>
      </x:c>
      <x:c r="AS75" s="45" t="b">
        <x:v>1</x:v>
      </x:c>
      <x:c r="AT75" s="43" t="n">
        <x:v>9979</x:v>
      </x:c>
      <x:c r="AU75" s="48" t="n">
        <x:v>0.9472660990238297</x:v>
      </x:c>
      <x:c r="AV75" s="43" t="n">
        <x:v>9991</x:v>
      </x:c>
      <x:c r="AW75" s="48" t="n">
        <x:v>0.9472660990238297</x:v>
      </x:c>
      <x:c r="AX75" s="45" t="b">
        <x:v>1</x:v>
      </x:c>
      <x:c r="AY75" s="44" t="str">
        <x:v>{"provider":"cache2k","currentEntries":9979,"requestCount":119192320,"hitCount":112906844,"missCount":6285476,"hitRate":0.9472660990238297,"loadSuccessCount":0,"loadFailureCount":0,"totalLoadTimeNanos":0,"evictionCount":21,"expirationCount":0,"putCount":10000,"removeCount":0,"nativeMetrics":{"getCount":119192320,"missCount":6285476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5" s="44" t="str">
        <x:v>{"provider":"cache2k","currentEntries":9991,"requestCount":119192320,"hitCount":112906844,"missCount":6285476,"hitRate":0.9472660990238297,"loadSuccessCount":0,"loadFailureCount":0,"totalLoadTimeNanos":0,"evictionCount":5009,"expirationCount":0,"putCount":15000,"removeCount":0,"nativeMetrics":{"getCount":119192320,"missCount":6285476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75" s="43" t="n">
        <x:v>9991</x:v>
      </x:c>
      <x:c r="BB75" s="43" t="n">
        <x:v>119192320</x:v>
      </x:c>
      <x:c r="BC75" s="43" t="n">
        <x:v>112906844</x:v>
      </x:c>
      <x:c r="BD75" s="43" t="n">
        <x:v>6285476</x:v>
      </x:c>
      <x:c r="BE75" s="48" t="n">
        <x:v>0.9472660990238297</x:v>
      </x:c>
      <x:c r="BF75" s="43" t="n">
        <x:v>0</x:v>
      </x:c>
      <x:c r="BG75" s="43" t="n">
        <x:v>0</x:v>
      </x:c>
      <x:c r="BH75" s="43" t="n">
        <x:v>0</x:v>
      </x:c>
      <x:c r="BI75" s="43" t="n">
        <x:v>5009</x:v>
      </x:c>
      <x:c r="BJ75" s="43" t="n">
        <x:v>0</x:v>
      </x:c>
      <x:c r="BK75" s="43" t="n">
        <x:v>15000</x:v>
      </x:c>
      <x:c r="BL75" s="43" t="n">
        <x:v>0</x:v>
      </x:c>
      <x:c r="BM75" s="44" t="str">
        <x:v>{"getCount":119192320,"missCount":6285476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76">
      <x:c r="A76" s="34" t="str">
        <x:v>article1-unified-v4-2-fb3f101b-20260903-000401-default-f02-p2-cache2k</x:v>
      </x:c>
      <x:c r="B76" s="34" t="str">
        <x:v>default</x:v>
      </x:c>
      <x:c r="C76" s="34" t="str">
        <x:v>cache2k</x:v>
      </x:c>
      <x:c r="D76" s="34" t="str">
        <x:v>cache2k</x:v>
      </x:c>
      <x:c r="E76" s="34" t="str">
        <x:v>current-provider-primary-comparison</x:v>
      </x:c>
      <x:c r="F76" s="36" t="n">
        <x:v>2</x:v>
      </x:c>
      <x:c r="G76" s="36" t="n">
        <x:v>2</x:v>
      </x:c>
      <x:c r="H76" s="36" t="n">
        <x:v>2</x:v>
      </x:c>
      <x:c r="I76" s="36" t="n">
        <x:v>3</x:v>
      </x:c>
      <x:c r="J76" s="34" t="str">
        <x:v>initial</x:v>
      </x:c>
      <x:c r="K76" s="34" t="str">
        <x:v>cache-semantics</x:v>
      </x:c>
      <x:c r="L76" s="45" t="b">
        <x:v>1</x:v>
      </x:c>
      <x:c r="M76" s="36" t="n">
        <x:v>959719280</x:v>
      </x:c>
      <x:c r="N76" s="34" t="str">
        <x:v>23946bc667956929e23dfb22e893f0f3724ae41926d14e5ececed76e98fb7a11</x:v>
      </x:c>
      <x:c r="O76" s="43" t="n">
        <x:v>10000</x:v>
      </x:c>
      <x:c r="P76" s="43" t="n">
        <x:v>400000</x:v>
      </x:c>
      <x:c r="Q76" s="36" t="n">
        <x:v>8</x:v>
      </x:c>
      <x:c r="R76" s="42" t="n">
        <x:v>95</x:v>
      </x:c>
      <x:c r="S76" s="43" t="n">
        <x:v>512</x:v>
      </x:c>
      <x:c r="T76" s="43" t="n">
        <x:v>50000</x:v>
      </x:c>
      <x:c r="U76" s="46" t="n">
        <x:v>3</x:v>
      </x:c>
      <x:c r="V76" s="46" t="n">
        <x:v>5</x:v>
      </x:c>
      <x:c r="W76" s="43" t="n">
        <x:v>300</x:v>
      </x:c>
      <x:c r="X76" s="34" t="str">
        <x:v>uniform</x:v>
      </x:c>
      <x:c r="Y76" s="42" t="n">
        <x:v>10</x:v>
      </x:c>
      <x:c r="Z76" s="34" t="str">
        <x:v>strict</x:v>
      </x:c>
      <x:c r="AA76" s="36" t="n">
        <x:v>64</x:v>
      </x:c>
      <x:c r="AB76" s="43" t="n">
        <x:v>92241152</x:v>
      </x:c>
      <x:c r="AC76" s="43" t="n">
        <x:v>3002378564</x:v>
      </x:c>
      <x:c r="AD76" s="43" t="n">
        <x:v>2378564</x:v>
      </x:c>
      <x:c r="AE76" s="43" t="n">
        <x:v>1782568.6886105626</x:v>
      </x:c>
      <x:c r="AF76" s="43" t="n">
        <x:v>29102944.012429234</x:v>
      </x:c>
      <x:c r="AG76" s="43" t="n">
        <x:v>145588224</x:v>
      </x:c>
      <x:c r="AH76" s="43" t="n">
        <x:v>5002525653</x:v>
      </x:c>
      <x:c r="AI76" s="43" t="n">
        <x:v>2525653</x:v>
      </x:c>
      <x:c r="AJ76" s="43" t="n">
        <x:v>29102944.012429234</x:v>
      </x:c>
      <x:c r="AK76" s="43" t="n">
        <x:v>145588224</x:v>
      </x:c>
      <x:c r="AL76" s="43" t="n">
        <x:v>0</x:v>
      </x:c>
      <x:c r="AM76" s="43" t="n">
        <x:v>528833.2025176268</x:v>
      </x:c>
      <x:c r="AN76" s="43" t="n">
        <x:v>151</x:v>
      </x:c>
      <x:c r="AO76" s="43" t="n">
        <x:v>351</x:v>
      </x:c>
      <x:c r="AP76" s="43" t="n">
        <x:v>561</x:v>
      </x:c>
      <x:c r="AQ76" s="43" t="n">
        <x:v>2274816</x:v>
      </x:c>
      <x:c r="AR76" s="43" t="n">
        <x:v>1</x:v>
      </x:c>
      <x:c r="AS76" s="45" t="b">
        <x:v>1</x:v>
      </x:c>
      <x:c r="AT76" s="43" t="n">
        <x:v>9979</x:v>
      </x:c>
      <x:c r="AU76" s="48" t="n">
        <x:v>0.9482858380084367</x:v>
      </x:c>
      <x:c r="AV76" s="43" t="n">
        <x:v>9995</x:v>
      </x:c>
      <x:c r="AW76" s="48" t="n">
        <x:v>0.9482858380084367</x:v>
      </x:c>
      <x:c r="AX76" s="45" t="b">
        <x:v>1</x:v>
      </x:c>
      <x:c r="AY76" s="44" t="str">
        <x:v>{"provider":"cache2k","currentEntries":9979,"requestCount":145588224,"hitCount":138059251,"missCount":7528973,"hitRate":0.9482858380084367,"loadSuccessCount":0,"loadFailureCount":0,"totalLoadTimeNanos":0,"evictionCount":21,"expirationCount":0,"putCount":10000,"removeCount":0,"nativeMetrics":{"getCount":145588224,"missCount":7528973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6" s="44" t="str">
        <x:v>{"provider":"cache2k","currentEntries":9995,"requestCount":145588224,"hitCount":138059251,"missCount":7528973,"hitRate":0.9482858380084367,"loadSuccessCount":0,"loadFailureCount":0,"totalLoadTimeNanos":0,"evictionCount":5005,"expirationCount":0,"putCount":15000,"removeCount":0,"nativeMetrics":{"getCount":145588224,"missCount":7528973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76" s="43" t="n">
        <x:v>9995</x:v>
      </x:c>
      <x:c r="BB76" s="43" t="n">
        <x:v>145588224</x:v>
      </x:c>
      <x:c r="BC76" s="43" t="n">
        <x:v>138059251</x:v>
      </x:c>
      <x:c r="BD76" s="43" t="n">
        <x:v>7528973</x:v>
      </x:c>
      <x:c r="BE76" s="48" t="n">
        <x:v>0.9482858380084367</x:v>
      </x:c>
      <x:c r="BF76" s="43" t="n">
        <x:v>0</x:v>
      </x:c>
      <x:c r="BG76" s="43" t="n">
        <x:v>0</x:v>
      </x:c>
      <x:c r="BH76" s="43" t="n">
        <x:v>0</x:v>
      </x:c>
      <x:c r="BI76" s="43" t="n">
        <x:v>5005</x:v>
      </x:c>
      <x:c r="BJ76" s="43" t="n">
        <x:v>0</x:v>
      </x:c>
      <x:c r="BK76" s="43" t="n">
        <x:v>15000</x:v>
      </x:c>
      <x:c r="BL76" s="43" t="n">
        <x:v>0</x:v>
      </x:c>
      <x:c r="BM76" s="44" t="str">
        <x:v>{"getCount":145588224,"missCount":7528973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77">
      <x:c r="A77" s="34" t="str">
        <x:v>article1-unified-v4-2-fb3f101b-20260903-000401-default-f02-p2-cache2k</x:v>
      </x:c>
      <x:c r="B77" s="34" t="str">
        <x:v>default</x:v>
      </x:c>
      <x:c r="C77" s="34" t="str">
        <x:v>cache2k</x:v>
      </x:c>
      <x:c r="D77" s="34" t="str">
        <x:v>cache2k</x:v>
      </x:c>
      <x:c r="E77" s="34" t="str">
        <x:v>current-provider-primary-comparison</x:v>
      </x:c>
      <x:c r="F77" s="36" t="n">
        <x:v>2</x:v>
      </x:c>
      <x:c r="G77" s="36" t="n">
        <x:v>2</x:v>
      </x:c>
      <x:c r="H77" s="36" t="n">
        <x:v>2</x:v>
      </x:c>
      <x:c r="I77" s="36" t="n">
        <x:v>3</x:v>
      </x:c>
      <x:c r="J77" s="34" t="str">
        <x:v>redeploy</x:v>
      </x:c>
      <x:c r="K77" s="34" t="str">
        <x:v>cache-semantics</x:v>
      </x:c>
      <x:c r="L77" s="45" t="b">
        <x:v>1</x:v>
      </x:c>
      <x:c r="M77" s="36" t="n">
        <x:v>959719280</x:v>
      </x:c>
      <x:c r="N77" s="34" t="str">
        <x:v>23946bc667956929e23dfb22e893f0f3724ae41926d14e5ececed76e98fb7a11</x:v>
      </x:c>
      <x:c r="O77" s="43" t="n">
        <x:v>10000</x:v>
      </x:c>
      <x:c r="P77" s="43" t="n">
        <x:v>400000</x:v>
      </x:c>
      <x:c r="Q77" s="36" t="n">
        <x:v>8</x:v>
      </x:c>
      <x:c r="R77" s="42" t="n">
        <x:v>95</x:v>
      </x:c>
      <x:c r="S77" s="43" t="n">
        <x:v>512</x:v>
      </x:c>
      <x:c r="T77" s="43" t="n">
        <x:v>50000</x:v>
      </x:c>
      <x:c r="U77" s="46" t="n">
        <x:v>3</x:v>
      </x:c>
      <x:c r="V77" s="46" t="n">
        <x:v>5</x:v>
      </x:c>
      <x:c r="W77" s="43" t="n">
        <x:v>300</x:v>
      </x:c>
      <x:c r="X77" s="34" t="str">
        <x:v>uniform</x:v>
      </x:c>
      <x:c r="Y77" s="42" t="n">
        <x:v>10</x:v>
      </x:c>
      <x:c r="Z77" s="34" t="str">
        <x:v>strict</x:v>
      </x:c>
      <x:c r="AA77" s="36" t="n">
        <x:v>64</x:v>
      </x:c>
      <x:c r="AB77" s="43" t="n">
        <x:v>98473984</x:v>
      </x:c>
      <x:c r="AC77" s="43" t="n">
        <x:v>3000720783</x:v>
      </x:c>
      <x:c r="AD77" s="43" t="n">
        <x:v>720783</x:v>
      </x:c>
      <x:c r="AE77" s="43" t="n">
        <x:v>2398324.818081067</x:v>
      </x:c>
      <x:c r="AF77" s="43" t="n">
        <x:v>29544166.822933957</x:v>
      </x:c>
      <x:c r="AG77" s="43" t="n">
        <x:v>147791616</x:v>
      </x:c>
      <x:c r="AH77" s="43" t="n">
        <x:v>5002395799</x:v>
      </x:c>
      <x:c r="AI77" s="43" t="n">
        <x:v>2395799</x:v>
      </x:c>
      <x:c r="AJ77" s="43" t="n">
        <x:v>29544166.822933957</x:v>
      </x:c>
      <x:c r="AK77" s="43" t="n">
        <x:v>147791616</x:v>
      </x:c>
      <x:c r="AL77" s="43" t="n">
        <x:v>0</x:v>
      </x:c>
      <x:c r="AM77" s="43" t="n">
        <x:v>533811.1156342706</x:v>
      </x:c>
      <x:c r="AN77" s="43" t="n">
        <x:v>140</x:v>
      </x:c>
      <x:c r="AO77" s="43" t="n">
        <x:v>330</x:v>
      </x:c>
      <x:c r="AP77" s="43" t="n">
        <x:v>521</x:v>
      </x:c>
      <x:c r="AQ77" s="43" t="n">
        <x:v>2309244</x:v>
      </x:c>
      <x:c r="AR77" s="43" t="n">
        <x:v>1</x:v>
      </x:c>
      <x:c r="AS77" s="45" t="b">
        <x:v>1</x:v>
      </x:c>
      <x:c r="AT77" s="43" t="n">
        <x:v>9979</x:v>
      </x:c>
      <x:c r="AU77" s="48" t="n">
        <x:v>0.9482846916025331</x:v>
      </x:c>
      <x:c r="AV77" s="43" t="n">
        <x:v>9996</x:v>
      </x:c>
      <x:c r="AW77" s="48" t="n">
        <x:v>0.9482846916025331</x:v>
      </x:c>
      <x:c r="AX77" s="45" t="b">
        <x:v>1</x:v>
      </x:c>
      <x:c r="AY77" s="44" t="str">
        <x:v>{"provider":"cache2k","currentEntries":9979,"requestCount":147791616,"hitCount":140148527,"missCount":7643089,"hitRate":0.9482846916025331,"loadSuccessCount":0,"loadFailureCount":0,"totalLoadTimeNanos":0,"evictionCount":21,"expirationCount":0,"putCount":10000,"removeCount":0,"nativeMetrics":{"getCount":147791616,"missCount":7643089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7" s="44" t="str">
        <x:v>{"provider":"cache2k","currentEntries":9996,"requestCount":147791616,"hitCount":140148527,"missCount":7643089,"hitRate":0.9482846916025331,"loadSuccessCount":0,"loadFailureCount":0,"totalLoadTimeNanos":0,"evictionCount":5004,"expirationCount":0,"putCount":15000,"removeCount":0,"nativeMetrics":{"getCount":147791616,"missCount":7643089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77" s="43" t="n">
        <x:v>9996</x:v>
      </x:c>
      <x:c r="BB77" s="43" t="n">
        <x:v>147791616</x:v>
      </x:c>
      <x:c r="BC77" s="43" t="n">
        <x:v>140148527</x:v>
      </x:c>
      <x:c r="BD77" s="43" t="n">
        <x:v>7643089</x:v>
      </x:c>
      <x:c r="BE77" s="48" t="n">
        <x:v>0.9482846916025331</x:v>
      </x:c>
      <x:c r="BF77" s="43" t="n">
        <x:v>0</x:v>
      </x:c>
      <x:c r="BG77" s="43" t="n">
        <x:v>0</x:v>
      </x:c>
      <x:c r="BH77" s="43" t="n">
        <x:v>0</x:v>
      </x:c>
      <x:c r="BI77" s="43" t="n">
        <x:v>5004</x:v>
      </x:c>
      <x:c r="BJ77" s="43" t="n">
        <x:v>0</x:v>
      </x:c>
      <x:c r="BK77" s="43" t="n">
        <x:v>15000</x:v>
      </x:c>
      <x:c r="BL77" s="43" t="n">
        <x:v>0</x:v>
      </x:c>
      <x:c r="BM77" s="44" t="str">
        <x:v>{"getCount":147791616,"missCount":7643089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78">
      <x:c r="A78" s="34" t="str">
        <x:v>article1-unified-v4-2-fb3f101b-20260903-000401-default-f02-p2-cache2k</x:v>
      </x:c>
      <x:c r="B78" s="34" t="str">
        <x:v>default</x:v>
      </x:c>
      <x:c r="C78" s="34" t="str">
        <x:v>cache2k</x:v>
      </x:c>
      <x:c r="D78" s="34" t="str">
        <x:v>cache2k</x:v>
      </x:c>
      <x:c r="E78" s="34" t="str">
        <x:v>current-provider-primary-comparison</x:v>
      </x:c>
      <x:c r="F78" s="36" t="n">
        <x:v>2</x:v>
      </x:c>
      <x:c r="G78" s="36" t="n">
        <x:v>2</x:v>
      </x:c>
      <x:c r="H78" s="36" t="n">
        <x:v>2</x:v>
      </x:c>
      <x:c r="I78" s="36" t="n">
        <x:v>4</x:v>
      </x:c>
      <x:c r="J78" s="34" t="str">
        <x:v>initial</x:v>
      </x:c>
      <x:c r="K78" s="34" t="str">
        <x:v>cache-semantics</x:v>
      </x:c>
      <x:c r="L78" s="45" t="b">
        <x:v>1</x:v>
      </x:c>
      <x:c r="M78" s="36" t="n">
        <x:v>1652540875</x:v>
      </x:c>
      <x:c r="N78" s="34" t="str">
        <x:v>6d9eb911d184e49ced2dfa5d0ef88cff2d7d7f264b58a7cf2172e037d424290b</x:v>
      </x:c>
      <x:c r="O78" s="43" t="n">
        <x:v>10000</x:v>
      </x:c>
      <x:c r="P78" s="43" t="n">
        <x:v>400000</x:v>
      </x:c>
      <x:c r="Q78" s="36" t="n">
        <x:v>8</x:v>
      </x:c>
      <x:c r="R78" s="42" t="n">
        <x:v>95</x:v>
      </x:c>
      <x:c r="S78" s="43" t="n">
        <x:v>512</x:v>
      </x:c>
      <x:c r="T78" s="43" t="n">
        <x:v>50000</x:v>
      </x:c>
      <x:c r="U78" s="46" t="n">
        <x:v>3</x:v>
      </x:c>
      <x:c r="V78" s="46" t="n">
        <x:v>5</x:v>
      </x:c>
      <x:c r="W78" s="43" t="n">
        <x:v>300</x:v>
      </x:c>
      <x:c r="X78" s="34" t="str">
        <x:v>uniform</x:v>
      </x:c>
      <x:c r="Y78" s="42" t="n">
        <x:v>10</x:v>
      </x:c>
      <x:c r="Z78" s="34" t="str">
        <x:v>strict</x:v>
      </x:c>
      <x:c r="AA78" s="36" t="n">
        <x:v>64</x:v>
      </x:c>
      <x:c r="AB78" s="43" t="n">
        <x:v>85645056</x:v>
      </x:c>
      <x:c r="AC78" s="43" t="n">
        <x:v>3016108040</x:v>
      </x:c>
      <x:c r="AD78" s="43" t="n">
        <x:v>16108040</x:v>
      </x:c>
      <x:c r="AE78" s="43" t="n">
        <x:v>1025600.5275689114</x:v>
      </x:c>
      <x:c r="AF78" s="43" t="n">
        <x:v>27738289.14454708</x:v>
      </x:c>
      <x:c r="AG78" s="43" t="n">
        <x:v>138785280</x:v>
      </x:c>
      <x:c r="AH78" s="43" t="n">
        <x:v>5003382843</x:v>
      </x:c>
      <x:c r="AI78" s="43" t="n">
        <x:v>3382843</x:v>
      </x:c>
      <x:c r="AJ78" s="43" t="n">
        <x:v>27738289.14454708</x:v>
      </x:c>
      <x:c r="AK78" s="43" t="n">
        <x:v>138785280</x:v>
      </x:c>
      <x:c r="AL78" s="43" t="n">
        <x:v>0</x:v>
      </x:c>
      <x:c r="AM78" s="43" t="n">
        <x:v>392820.0353930852</x:v>
      </x:c>
      <x:c r="AN78" s="43" t="n">
        <x:v>151</x:v>
      </x:c>
      <x:c r="AO78" s="43" t="n">
        <x:v>341</x:v>
      </x:c>
      <x:c r="AP78" s="43" t="n">
        <x:v>541</x:v>
      </x:c>
      <x:c r="AQ78" s="43" t="n">
        <x:v>2168520</x:v>
      </x:c>
      <x:c r="AR78" s="43" t="n">
        <x:v>1</x:v>
      </x:c>
      <x:c r="AS78" s="45" t="b">
        <x:v>1</x:v>
      </x:c>
      <x:c r="AT78" s="43" t="n">
        <x:v>9979</x:v>
      </x:c>
      <x:c r="AU78" s="48" t="n">
        <x:v>0.9482877002517847</x:v>
      </x:c>
      <x:c r="AV78" s="43" t="n">
        <x:v>9995</x:v>
      </x:c>
      <x:c r="AW78" s="48" t="n">
        <x:v>0.9482877002517847</x:v>
      </x:c>
      <x:c r="AX78" s="45" t="b">
        <x:v>1</x:v>
      </x:c>
      <x:c r="AY78" s="44" t="str">
        <x:v>{"provider":"cache2k","currentEntries":9979,"requestCount":138785280,"hitCount":131608374,"missCount":7176906,"hitRate":0.9482877002517847,"loadSuccessCount":0,"loadFailureCount":0,"totalLoadTimeNanos":0,"evictionCount":21,"expirationCount":0,"putCount":10000,"removeCount":0,"nativeMetrics":{"getCount":138785280,"missCount":7176906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8" s="44" t="str">
        <x:v>{"provider":"cache2k","currentEntries":9995,"requestCount":138785280,"hitCount":131608374,"missCount":7176906,"hitRate":0.9482877002517847,"loadSuccessCount":0,"loadFailureCount":0,"totalLoadTimeNanos":0,"evictionCount":5005,"expirationCount":0,"putCount":15000,"removeCount":0,"nativeMetrics":{"getCount":138785280,"missCount":7176906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78" s="43" t="n">
        <x:v>9995</x:v>
      </x:c>
      <x:c r="BB78" s="43" t="n">
        <x:v>138785280</x:v>
      </x:c>
      <x:c r="BC78" s="43" t="n">
        <x:v>131608374</x:v>
      </x:c>
      <x:c r="BD78" s="43" t="n">
        <x:v>7176906</x:v>
      </x:c>
      <x:c r="BE78" s="48" t="n">
        <x:v>0.9482877002517847</x:v>
      </x:c>
      <x:c r="BF78" s="43" t="n">
        <x:v>0</x:v>
      </x:c>
      <x:c r="BG78" s="43" t="n">
        <x:v>0</x:v>
      </x:c>
      <x:c r="BH78" s="43" t="n">
        <x:v>0</x:v>
      </x:c>
      <x:c r="BI78" s="43" t="n">
        <x:v>5005</x:v>
      </x:c>
      <x:c r="BJ78" s="43" t="n">
        <x:v>0</x:v>
      </x:c>
      <x:c r="BK78" s="43" t="n">
        <x:v>15000</x:v>
      </x:c>
      <x:c r="BL78" s="43" t="n">
        <x:v>0</x:v>
      </x:c>
      <x:c r="BM78" s="44" t="str">
        <x:v>{"getCount":138785280,"missCount":7176906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79">
      <x:c r="A79" s="34" t="str">
        <x:v>article1-unified-v4-2-fb3f101b-20260903-000401-default-f02-p2-cache2k</x:v>
      </x:c>
      <x:c r="B79" s="34" t="str">
        <x:v>default</x:v>
      </x:c>
      <x:c r="C79" s="34" t="str">
        <x:v>cache2k</x:v>
      </x:c>
      <x:c r="D79" s="34" t="str">
        <x:v>cache2k</x:v>
      </x:c>
      <x:c r="E79" s="34" t="str">
        <x:v>current-provider-primary-comparison</x:v>
      </x:c>
      <x:c r="F79" s="36" t="n">
        <x:v>2</x:v>
      </x:c>
      <x:c r="G79" s="36" t="n">
        <x:v>2</x:v>
      </x:c>
      <x:c r="H79" s="36" t="n">
        <x:v>2</x:v>
      </x:c>
      <x:c r="I79" s="36" t="n">
        <x:v>4</x:v>
      </x:c>
      <x:c r="J79" s="34" t="str">
        <x:v>redeploy</x:v>
      </x:c>
      <x:c r="K79" s="34" t="str">
        <x:v>cache-semantics</x:v>
      </x:c>
      <x:c r="L79" s="45" t="b">
        <x:v>1</x:v>
      </x:c>
      <x:c r="M79" s="36" t="n">
        <x:v>1652540875</x:v>
      </x:c>
      <x:c r="N79" s="34" t="str">
        <x:v>6d9eb911d184e49ced2dfa5d0ef88cff2d7d7f264b58a7cf2172e037d424290b</x:v>
      </x:c>
      <x:c r="O79" s="43" t="n">
        <x:v>10000</x:v>
      </x:c>
      <x:c r="P79" s="43" t="n">
        <x:v>400000</x:v>
      </x:c>
      <x:c r="Q79" s="36" t="n">
        <x:v>8</x:v>
      </x:c>
      <x:c r="R79" s="42" t="n">
        <x:v>95</x:v>
      </x:c>
      <x:c r="S79" s="43" t="n">
        <x:v>512</x:v>
      </x:c>
      <x:c r="T79" s="43" t="n">
        <x:v>50000</x:v>
      </x:c>
      <x:c r="U79" s="46" t="n">
        <x:v>3</x:v>
      </x:c>
      <x:c r="V79" s="46" t="n">
        <x:v>5</x:v>
      </x:c>
      <x:c r="W79" s="43" t="n">
        <x:v>300</x:v>
      </x:c>
      <x:c r="X79" s="34" t="str">
        <x:v>uniform</x:v>
      </x:c>
      <x:c r="Y79" s="42" t="n">
        <x:v>10</x:v>
      </x:c>
      <x:c r="Z79" s="34" t="str">
        <x:v>strict</x:v>
      </x:c>
      <x:c r="AA79" s="36" t="n">
        <x:v>64</x:v>
      </x:c>
      <x:c r="AB79" s="43" t="n">
        <x:v>88646656</x:v>
      </x:c>
      <x:c r="AC79" s="43" t="n">
        <x:v>3000501654</x:v>
      </x:c>
      <x:c r="AD79" s="43" t="n">
        <x:v>501654</x:v>
      </x:c>
      <x:c r="AE79" s="43" t="n">
        <x:v>1838738.9192995876</x:v>
      </x:c>
      <x:c r="AF79" s="43" t="n">
        <x:v>30515008.661436908</x:v>
      </x:c>
      <x:c r="AG79" s="43" t="n">
        <x:v>152664320</x:v>
      </x:c>
      <x:c r="AH79" s="43" t="n">
        <x:v>5002925665</x:v>
      </x:c>
      <x:c r="AI79" s="43" t="n">
        <x:v>2925665</x:v>
      </x:c>
      <x:c r="AJ79" s="43" t="n">
        <x:v>30515008.661436908</x:v>
      </x:c>
      <x:c r="AK79" s="43" t="n">
        <x:v>152664320</x:v>
      </x:c>
      <x:c r="AL79" s="43" t="n">
        <x:v>0</x:v>
      </x:c>
      <x:c r="AM79" s="43" t="n">
        <x:v>464160.8848466046</x:v>
      </x:c>
      <x:c r="AN79" s="43" t="n">
        <x:v>141</x:v>
      </x:c>
      <x:c r="AO79" s="43" t="n">
        <x:v>321</x:v>
      </x:c>
      <x:c r="AP79" s="43" t="n">
        <x:v>501</x:v>
      </x:c>
      <x:c r="AQ79" s="43" t="n">
        <x:v>2385380</x:v>
      </x:c>
      <x:c r="AR79" s="43" t="n">
        <x:v>1</x:v>
      </x:c>
      <x:c r="AS79" s="45" t="b">
        <x:v>1</x:v>
      </x:c>
      <x:c r="AT79" s="43" t="n">
        <x:v>9979</x:v>
      </x:c>
      <x:c r="AU79" s="48" t="n">
        <x:v>0.9482904453378498</x:v>
      </x:c>
      <x:c r="AV79" s="43" t="n">
        <x:v>9995</x:v>
      </x:c>
      <x:c r="AW79" s="48" t="n">
        <x:v>0.9482904453378498</x:v>
      </x:c>
      <x:c r="AX79" s="45" t="b">
        <x:v>1</x:v>
      </x:c>
      <x:c r="AY79" s="44" t="str">
        <x:v>{"provider":"cache2k","currentEntries":9979,"requestCount":152664320,"hitCount":144770116,"missCount":7894204,"hitRate":0.9482904453378498,"loadSuccessCount":0,"loadFailureCount":0,"totalLoadTimeNanos":0,"evictionCount":21,"expirationCount":0,"putCount":10000,"removeCount":0,"nativeMetrics":{"getCount":152664320,"missCount":7894204,"loadCount":0,"loadExceptionCount":0,"suppressedLoadExceptionCount":0,"refreshCount":0,"refreshFailedCount":0,"refreshedHitCount":0,"expiredCount":0,"evictedCount":21,"putCount":10000,"removeCount":0,"keyMutationCount":0,"totalLoadMillis":0}}</x:v>
      </x:c>
      <x:c r="AZ79" s="44" t="str">
        <x:v>{"provider":"cache2k","currentEntries":9995,"requestCount":152664320,"hitCount":144770116,"missCount":7894204,"hitRate":0.9482904453378498,"loadSuccessCount":0,"loadFailureCount":0,"totalLoadTimeNanos":0,"evictionCount":5005,"expirationCount":0,"putCount":15000,"removeCount":0,"nativeMetrics":{"getCount":152664320,"missCount":7894204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79" s="43" t="n">
        <x:v>9995</x:v>
      </x:c>
      <x:c r="BB79" s="43" t="n">
        <x:v>152664320</x:v>
      </x:c>
      <x:c r="BC79" s="43" t="n">
        <x:v>144770116</x:v>
      </x:c>
      <x:c r="BD79" s="43" t="n">
        <x:v>7894204</x:v>
      </x:c>
      <x:c r="BE79" s="48" t="n">
        <x:v>0.9482904453378498</x:v>
      </x:c>
      <x:c r="BF79" s="43" t="n">
        <x:v>0</x:v>
      </x:c>
      <x:c r="BG79" s="43" t="n">
        <x:v>0</x:v>
      </x:c>
      <x:c r="BH79" s="43" t="n">
        <x:v>0</x:v>
      </x:c>
      <x:c r="BI79" s="43" t="n">
        <x:v>5005</x:v>
      </x:c>
      <x:c r="BJ79" s="43" t="n">
        <x:v>0</x:v>
      </x:c>
      <x:c r="BK79" s="43" t="n">
        <x:v>15000</x:v>
      </x:c>
      <x:c r="BL79" s="43" t="n">
        <x:v>0</x:v>
      </x:c>
      <x:c r="BM79" s="44" t="str">
        <x:v>{"getCount":152664320,"missCount":7894204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80">
      <x:c r="A80" s="34" t="str">
        <x:v>article1-unified-v4-2-fb3f101b-20260903-000401-default-f02-p2-cache2k</x:v>
      </x:c>
      <x:c r="B80" s="34" t="str">
        <x:v>default</x:v>
      </x:c>
      <x:c r="C80" s="34" t="str">
        <x:v>cache2k</x:v>
      </x:c>
      <x:c r="D80" s="34" t="str">
        <x:v>cache2k</x:v>
      </x:c>
      <x:c r="E80" s="34" t="str">
        <x:v>current-provider-primary-comparison</x:v>
      </x:c>
      <x:c r="F80" s="36" t="n">
        <x:v>2</x:v>
      </x:c>
      <x:c r="G80" s="36" t="n">
        <x:v>2</x:v>
      </x:c>
      <x:c r="H80" s="36" t="n">
        <x:v>2</x:v>
      </x:c>
      <x:c r="I80" s="36" t="n">
        <x:v>5</x:v>
      </x:c>
      <x:c r="J80" s="34" t="str">
        <x:v>initial</x:v>
      </x:c>
      <x:c r="K80" s="34" t="str">
        <x:v>cache-semantics</x:v>
      </x:c>
      <x:c r="L80" s="45" t="b">
        <x:v>1</x:v>
      </x:c>
      <x:c r="M80" s="36" t="n">
        <x:v>2077052807</x:v>
      </x:c>
      <x:c r="N80" s="34" t="str">
        <x:v>00ff6973c5a97fdf7eb604a286d7e8ed14ab7633eb1da6b80ffef64c86bdc8ff</x:v>
      </x:c>
      <x:c r="O80" s="43" t="n">
        <x:v>10000</x:v>
      </x:c>
      <x:c r="P80" s="43" t="n">
        <x:v>400000</x:v>
      </x:c>
      <x:c r="Q80" s="36" t="n">
        <x:v>8</x:v>
      </x:c>
      <x:c r="R80" s="42" t="n">
        <x:v>95</x:v>
      </x:c>
      <x:c r="S80" s="43" t="n">
        <x:v>512</x:v>
      </x:c>
      <x:c r="T80" s="43" t="n">
        <x:v>50000</x:v>
      </x:c>
      <x:c r="U80" s="46" t="n">
        <x:v>3</x:v>
      </x:c>
      <x:c r="V80" s="46" t="n">
        <x:v>5</x:v>
      </x:c>
      <x:c r="W80" s="43" t="n">
        <x:v>300</x:v>
      </x:c>
      <x:c r="X80" s="34" t="str">
        <x:v>uniform</x:v>
      </x:c>
      <x:c r="Y80" s="42" t="n">
        <x:v>10</x:v>
      </x:c>
      <x:c r="Z80" s="34" t="str">
        <x:v>strict</x:v>
      </x:c>
      <x:c r="AA80" s="36" t="n">
        <x:v>64</x:v>
      </x:c>
      <x:c r="AB80" s="43" t="n">
        <x:v>94427136</x:v>
      </x:c>
      <x:c r="AC80" s="43" t="n">
        <x:v>3032033526</x:v>
      </x:c>
      <x:c r="AD80" s="43" t="n">
        <x:v>32033526</x:v>
      </x:c>
      <x:c r="AE80" s="43" t="n">
        <x:v>2133648.7719677812</x:v>
      </x:c>
      <x:c r="AF80" s="43" t="n">
        <x:v>28818139.966083925</x:v>
      </x:c>
      <x:c r="AG80" s="43" t="n">
        <x:v>144161536</x:v>
      </x:c>
      <x:c r="AH80" s="43" t="n">
        <x:v>5002458041</x:v>
      </x:c>
      <x:c r="AI80" s="43" t="n">
        <x:v>2458041</x:v>
      </x:c>
      <x:c r="AJ80" s="43" t="n">
        <x:v>28818139.966083925</x:v>
      </x:c>
      <x:c r="AK80" s="43" t="n">
        <x:v>144161536</x:v>
      </x:c>
      <x:c r="AL80" s="43" t="n">
        <x:v>0</x:v>
      </x:c>
      <x:c r="AM80" s="43" t="n">
        <x:v>554797.9481352686</x:v>
      </x:c>
      <x:c r="AN80" s="43" t="n">
        <x:v>150</x:v>
      </x:c>
      <x:c r="AO80" s="43" t="n">
        <x:v>340</x:v>
      </x:c>
      <x:c r="AP80" s="43" t="n">
        <x:v>531</x:v>
      </x:c>
      <x:c r="AQ80" s="43" t="n">
        <x:v>2252524</x:v>
      </x:c>
      <x:c r="AR80" s="43" t="n">
        <x:v>1</x:v>
      </x:c>
      <x:c r="AS80" s="45" t="b">
        <x:v>1</x:v>
      </x:c>
      <x:c r="AT80" s="43" t="n">
        <x:v>9979</x:v>
      </x:c>
      <x:c r="AU80" s="48" t="n">
        <x:v>0.9479035378757341</x:v>
      </x:c>
      <x:c r="AV80" s="43" t="n">
        <x:v>9993</x:v>
      </x:c>
      <x:c r="AW80" s="48" t="n">
        <x:v>0.9479035378757341</x:v>
      </x:c>
      <x:c r="AX80" s="45" t="b">
        <x:v>1</x:v>
      </x:c>
      <x:c r="AY80" s="44" t="str">
        <x:v>{"provider":"cache2k","currentEntries":9979,"requestCount":144161536,"hitCount":136651230,"missCount":7510306,"hitRate":0.9479035378757341,"loadSuccessCount":0,"loadFailureCount":0,"totalLoadTimeNanos":0,"evictionCount":21,"expirationCount":0,"putCount":10000,"removeCount":0,"nativeMetrics":{"getCount":144161536,"missCount":7510306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80" s="44" t="str">
        <x:v>{"provider":"cache2k","currentEntries":9993,"requestCount":144161536,"hitCount":136651230,"missCount":7510306,"hitRate":0.9479035378757341,"loadSuccessCount":0,"loadFailureCount":0,"totalLoadTimeNanos":0,"evictionCount":5007,"expirationCount":0,"putCount":15000,"removeCount":0,"nativeMetrics":{"getCount":144161536,"missCount":7510306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80" s="43" t="n">
        <x:v>9993</x:v>
      </x:c>
      <x:c r="BB80" s="43" t="n">
        <x:v>144161536</x:v>
      </x:c>
      <x:c r="BC80" s="43" t="n">
        <x:v>136651230</x:v>
      </x:c>
      <x:c r="BD80" s="43" t="n">
        <x:v>7510306</x:v>
      </x:c>
      <x:c r="BE80" s="48" t="n">
        <x:v>0.9479035378757341</x:v>
      </x:c>
      <x:c r="BF80" s="43" t="n">
        <x:v>0</x:v>
      </x:c>
      <x:c r="BG80" s="43" t="n">
        <x:v>0</x:v>
      </x:c>
      <x:c r="BH80" s="43" t="n">
        <x:v>0</x:v>
      </x:c>
      <x:c r="BI80" s="43" t="n">
        <x:v>5007</x:v>
      </x:c>
      <x:c r="BJ80" s="43" t="n">
        <x:v>0</x:v>
      </x:c>
      <x:c r="BK80" s="43" t="n">
        <x:v>15000</x:v>
      </x:c>
      <x:c r="BL80" s="43" t="n">
        <x:v>0</x:v>
      </x:c>
      <x:c r="BM80" s="44" t="str">
        <x:v>{"getCount":144161536,"missCount":7510306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81">
      <x:c r="A81" s="34" t="str">
        <x:v>article1-unified-v4-2-fb3f101b-20260903-000401-default-f02-p2-cache2k</x:v>
      </x:c>
      <x:c r="B81" s="34" t="str">
        <x:v>default</x:v>
      </x:c>
      <x:c r="C81" s="34" t="str">
        <x:v>cache2k</x:v>
      </x:c>
      <x:c r="D81" s="34" t="str">
        <x:v>cache2k</x:v>
      </x:c>
      <x:c r="E81" s="34" t="str">
        <x:v>current-provider-primary-comparison</x:v>
      </x:c>
      <x:c r="F81" s="36" t="n">
        <x:v>2</x:v>
      </x:c>
      <x:c r="G81" s="36" t="n">
        <x:v>2</x:v>
      </x:c>
      <x:c r="H81" s="36" t="n">
        <x:v>2</x:v>
      </x:c>
      <x:c r="I81" s="36" t="n">
        <x:v>5</x:v>
      </x:c>
      <x:c r="J81" s="34" t="str">
        <x:v>redeploy</x:v>
      </x:c>
      <x:c r="K81" s="34" t="str">
        <x:v>cache-semantics</x:v>
      </x:c>
      <x:c r="L81" s="45" t="b">
        <x:v>1</x:v>
      </x:c>
      <x:c r="M81" s="36" t="n">
        <x:v>2077052807</x:v>
      </x:c>
      <x:c r="N81" s="34" t="str">
        <x:v>00ff6973c5a97fdf7eb604a286d7e8ed14ab7633eb1da6b80ffef64c86bdc8ff</x:v>
      </x:c>
      <x:c r="O81" s="43" t="n">
        <x:v>10000</x:v>
      </x:c>
      <x:c r="P81" s="43" t="n">
        <x:v>400000</x:v>
      </x:c>
      <x:c r="Q81" s="36" t="n">
        <x:v>8</x:v>
      </x:c>
      <x:c r="R81" s="42" t="n">
        <x:v>95</x:v>
      </x:c>
      <x:c r="S81" s="43" t="n">
        <x:v>512</x:v>
      </x:c>
      <x:c r="T81" s="43" t="n">
        <x:v>50000</x:v>
      </x:c>
      <x:c r="U81" s="46" t="n">
        <x:v>3</x:v>
      </x:c>
      <x:c r="V81" s="46" t="n">
        <x:v>5</x:v>
      </x:c>
      <x:c r="W81" s="43" t="n">
        <x:v>300</x:v>
      </x:c>
      <x:c r="X81" s="34" t="str">
        <x:v>uniform</x:v>
      </x:c>
      <x:c r="Y81" s="42" t="n">
        <x:v>10</x:v>
      </x:c>
      <x:c r="Z81" s="34" t="str">
        <x:v>strict</x:v>
      </x:c>
      <x:c r="AA81" s="36" t="n">
        <x:v>64</x:v>
      </x:c>
      <x:c r="AB81" s="43" t="n">
        <x:v>92372736</x:v>
      </x:c>
      <x:c r="AC81" s="43" t="n">
        <x:v>3006178667</x:v>
      </x:c>
      <x:c r="AD81" s="43" t="n">
        <x:v>6178667</x:v>
      </x:c>
      <x:c r="AE81" s="43" t="n">
        <x:v>2352520.490453472</x:v>
      </x:c>
      <x:c r="AF81" s="43" t="n">
        <x:v>30708219.226162396</x:v>
      </x:c>
      <x:c r="AG81" s="43" t="n">
        <x:v>153661184</x:v>
      </x:c>
      <x:c r="AH81" s="43" t="n">
        <x:v>5003910610</x:v>
      </x:c>
      <x:c r="AI81" s="43" t="n">
        <x:v>3910610</x:v>
      </x:c>
      <x:c r="AJ81" s="43" t="n">
        <x:v>30708219.226162396</x:v>
      </x:c>
      <x:c r="AK81" s="43" t="n">
        <x:v>153661184</x:v>
      </x:c>
      <x:c r="AL81" s="43" t="n">
        <x:v>0</x:v>
      </x:c>
      <x:c r="AM81" s="43" t="n">
        <x:v>529072.7597789576</x:v>
      </x:c>
      <x:c r="AN81" s="43" t="n">
        <x:v>150</x:v>
      </x:c>
      <x:c r="AO81" s="43" t="n">
        <x:v>321</x:v>
      </x:c>
      <x:c r="AP81" s="43" t="n">
        <x:v>501</x:v>
      </x:c>
      <x:c r="AQ81" s="43" t="n">
        <x:v>2400956</x:v>
      </x:c>
      <x:c r="AR81" s="43" t="n">
        <x:v>1</x:v>
      </x:c>
      <x:c r="AS81" s="45" t="b">
        <x:v>1</x:v>
      </x:c>
      <x:c r="AT81" s="43" t="n">
        <x:v>9979</x:v>
      </x:c>
      <x:c r="AU81" s="48" t="n">
        <x:v>0.9478920714290474</x:v>
      </x:c>
      <x:c r="AV81" s="43" t="n">
        <x:v>9992</x:v>
      </x:c>
      <x:c r="AW81" s="48" t="n">
        <x:v>0.9478920714290474</x:v>
      </x:c>
      <x:c r="AX81" s="45" t="b">
        <x:v>1</x:v>
      </x:c>
      <x:c r="AY81" s="44" t="str">
        <x:v>{"provider":"cache2k","currentEntries":9979,"requestCount":153661184,"hitCount":145654218,"missCount":8006966,"hitRate":0.9478920714290474,"loadSuccessCount":0,"loadFailureCount":0,"totalLoadTimeNanos":0,"evictionCount":21,"expirationCount":0,"putCount":10000,"removeCount":0,"nativeMetrics":{"getCount":153661184,"missCount":8006966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81" s="44" t="str">
        <x:v>{"provider":"cache2k","currentEntries":9992,"requestCount":153661184,"hitCount":145654218,"missCount":8006966,"hitRate":0.9478920714290474,"loadSuccessCount":0,"loadFailureCount":0,"totalLoadTimeNanos":0,"evictionCount":5008,"expirationCount":0,"putCount":15000,"removeCount":0,"nativeMetrics":{"getCount":153661184,"missCount":8006966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81" s="43" t="n">
        <x:v>9992</x:v>
      </x:c>
      <x:c r="BB81" s="43" t="n">
        <x:v>153661184</x:v>
      </x:c>
      <x:c r="BC81" s="43" t="n">
        <x:v>145654218</x:v>
      </x:c>
      <x:c r="BD81" s="43" t="n">
        <x:v>8006966</x:v>
      </x:c>
      <x:c r="BE81" s="48" t="n">
        <x:v>0.9478920714290474</x:v>
      </x:c>
      <x:c r="BF81" s="43" t="n">
        <x:v>0</x:v>
      </x:c>
      <x:c r="BG81" s="43" t="n">
        <x:v>0</x:v>
      </x:c>
      <x:c r="BH81" s="43" t="n">
        <x:v>0</x:v>
      </x:c>
      <x:c r="BI81" s="43" t="n">
        <x:v>5008</x:v>
      </x:c>
      <x:c r="BJ81" s="43" t="n">
        <x:v>0</x:v>
      </x:c>
      <x:c r="BK81" s="43" t="n">
        <x:v>15000</x:v>
      </x:c>
      <x:c r="BL81" s="43" t="n">
        <x:v>0</x:v>
      </x:c>
      <x:c r="BM81" s="44" t="str">
        <x:v>{"getCount":153661184,"missCount":8006966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82">
      <x:c r="A82" s="34" t="str">
        <x:v>article1-unified-v4-2-fb3f101b-20260903-000401-default-f02-p3-caffeine</x:v>
      </x:c>
      <x:c r="B82" s="34" t="str">
        <x:v>default</x:v>
      </x:c>
      <x:c r="C82" s="34" t="str">
        <x:v>caffeine</x:v>
      </x:c>
      <x:c r="D82" s="34" t="str">
        <x:v>caffeine</x:v>
      </x:c>
      <x:c r="E82" s="34" t="str">
        <x:v>current-provider-primary-comparison</x:v>
      </x:c>
      <x:c r="F82" s="36" t="n">
        <x:v>2</x:v>
      </x:c>
      <x:c r="G82" s="36" t="n">
        <x:v>2</x:v>
      </x:c>
      <x:c r="H82" s="36" t="n">
        <x:v>3</x:v>
      </x:c>
      <x:c r="I82" s="36" t="n">
        <x:v>1</x:v>
      </x:c>
      <x:c r="J82" s="34" t="str">
        <x:v>initial</x:v>
      </x:c>
      <x:c r="K82" s="34" t="str">
        <x:v>cache-semantics</x:v>
      </x:c>
      <x:c r="L82" s="45" t="b">
        <x:v>1</x:v>
      </x:c>
      <x:c r="M82" s="36" t="n">
        <x:v>1615875156</x:v>
      </x:c>
      <x:c r="N82" s="34" t="str">
        <x:v>0fb37446c0e2fcac42ab0cbd5c7c892698eb7e9b97b424142eea0ba54fd4394a</x:v>
      </x:c>
      <x:c r="O82" s="43" t="n">
        <x:v>10000</x:v>
      </x:c>
      <x:c r="P82" s="43" t="n">
        <x:v>400000</x:v>
      </x:c>
      <x:c r="Q82" s="36" t="n">
        <x:v>8</x:v>
      </x:c>
      <x:c r="R82" s="42" t="n">
        <x:v>95</x:v>
      </x:c>
      <x:c r="S82" s="43" t="n">
        <x:v>512</x:v>
      </x:c>
      <x:c r="T82" s="43" t="n">
        <x:v>50000</x:v>
      </x:c>
      <x:c r="U82" s="46" t="n">
        <x:v>3</x:v>
      </x:c>
      <x:c r="V82" s="46" t="n">
        <x:v>5</x:v>
      </x:c>
      <x:c r="W82" s="43" t="n">
        <x:v>300</x:v>
      </x:c>
      <x:c r="X82" s="34" t="str">
        <x:v>uniform</x:v>
      </x:c>
      <x:c r="Y82" s="42" t="n">
        <x:v>10</x:v>
      </x:c>
      <x:c r="Z82" s="34" t="str">
        <x:v>strict</x:v>
      </x:c>
      <x:c r="AA82" s="36" t="n">
        <x:v>64</x:v>
      </x:c>
      <x:c r="AB82" s="43" t="n">
        <x:v>68751616</x:v>
      </x:c>
      <x:c r="AC82" s="43" t="n">
        <x:v>3020997761</x:v>
      </x:c>
      <x:c r="AD82" s="43" t="n">
        <x:v>20997761</x:v>
      </x:c>
      <x:c r="AE82" s="43" t="n">
        <x:v>1506356.2207089034</x:v>
      </x:c>
      <x:c r="AF82" s="43" t="n">
        <x:v>26798814.00644159</x:v>
      </x:c>
      <x:c r="AG82" s="43" t="n">
        <x:v>135561728</x:v>
      </x:c>
      <x:c r="AH82" s="43" t="n">
        <x:v>5058497289</x:v>
      </x:c>
      <x:c r="AI82" s="43" t="n">
        <x:v>58497289</x:v>
      </x:c>
      <x:c r="AJ82" s="43" t="n">
        <x:v>26798814.00644159</x:v>
      </x:c>
      <x:c r="AK82" s="43" t="n">
        <x:v>135561728</x:v>
      </x:c>
      <x:c r="AL82" s="43" t="n">
        <x:v>0</x:v>
      </x:c>
      <x:c r="AM82" s="43" t="n">
        <x:v>274844.0617246993</x:v>
      </x:c>
      <x:c r="AN82" s="43" t="n">
        <x:v>140</x:v>
      </x:c>
      <x:c r="AO82" s="43" t="n">
        <x:v>271</x:v>
      </x:c>
      <x:c r="AP82" s="43" t="n">
        <x:v>491</x:v>
      </x:c>
      <x:c r="AQ82" s="43" t="n">
        <x:v>2118152</x:v>
      </x:c>
      <x:c r="AR82" s="43" t="n">
        <x:v>1</x:v>
      </x:c>
      <x:c r="AS82" s="45" t="b">
        <x:v>1</x:v>
      </x:c>
      <x:c r="AT82" s="43" t="n">
        <x:v>10000</x:v>
      </x:c>
      <x:c r="AU82" s="48" t="n">
        <x:v>0.9498540325481835</x:v>
      </x:c>
      <x:c r="AV82" s="43" t="n">
        <x:v>10000</x:v>
      </x:c>
      <x:c r="AW82" s="48" t="n">
        <x:v>0.9498540325481835</x:v>
      </x:c>
      <x:c r="AX82" s="45" t="b">
        <x:v>1</x:v>
      </x:c>
      <x:c r="AY82" s="44" t="str">
        <x:v>{"provider":"caffeine","currentEntries":10000,"requestCount":135561728,"hitCount":128763854,"missCount":6797874,"hitRate":0.9498540325481835,"loadSuccessCount":0,"loadFailureCount":0,"totalLoadTimeNanos":0,"evictionCount":-1,"expirationCount":-1,"putCount":10000,"removeCount":0,"nativeMetrics":{"statisticsEnabled":0}}</x:v>
      </x:c>
      <x:c r="AZ82" s="44" t="str">
        <x:v>{"provider":"caffeine","currentEntries":10000,"requestCount":135561728,"hitCount":128763854,"missCount":6797874,"hitRate":0.9498540325481835,"loadSuccessCount":0,"loadFailureCount":0,"totalLoadTimeNanos":0,"evictionCount":-1,"expirationCount":-1,"putCount":15000,"removeCount":0,"nativeMetrics":{"statisticsEnabled":0}}</x:v>
      </x:c>
      <x:c r="BA82" s="43" t="n">
        <x:v>10000</x:v>
      </x:c>
      <x:c r="BB82" s="43" t="n">
        <x:v>135561728</x:v>
      </x:c>
      <x:c r="BC82" s="43" t="n">
        <x:v>128763854</x:v>
      </x:c>
      <x:c r="BD82" s="43" t="n">
        <x:v>6797874</x:v>
      </x:c>
      <x:c r="BE82" s="48" t="n">
        <x:v>0.9498540325481835</x:v>
      </x:c>
      <x:c r="BF82" s="43" t="n">
        <x:v>0</x:v>
      </x:c>
      <x:c r="BG82" s="43" t="n">
        <x:v>0</x:v>
      </x:c>
      <x:c r="BH82" s="43" t="n">
        <x:v>0</x:v>
      </x:c>
      <x:c r="BI82" s="43" t="n">
        <x:v>-1</x:v>
      </x:c>
      <x:c r="BJ82" s="43" t="n">
        <x:v>-1</x:v>
      </x:c>
      <x:c r="BK82" s="43" t="n">
        <x:v>15000</x:v>
      </x:c>
      <x:c r="BL82" s="43" t="n">
        <x:v>0</x:v>
      </x:c>
      <x:c r="BM82" s="44" t="str">
        <x:v>{"statisticsEnabled":0}</x:v>
      </x:c>
    </x:row>
    <x:row r="83">
      <x:c r="A83" s="34" t="str">
        <x:v>article1-unified-v4-2-fb3f101b-20260903-000401-default-f02-p3-caffeine</x:v>
      </x:c>
      <x:c r="B83" s="34" t="str">
        <x:v>default</x:v>
      </x:c>
      <x:c r="C83" s="34" t="str">
        <x:v>caffeine</x:v>
      </x:c>
      <x:c r="D83" s="34" t="str">
        <x:v>caffeine</x:v>
      </x:c>
      <x:c r="E83" s="34" t="str">
        <x:v>current-provider-primary-comparison</x:v>
      </x:c>
      <x:c r="F83" s="36" t="n">
        <x:v>2</x:v>
      </x:c>
      <x:c r="G83" s="36" t="n">
        <x:v>2</x:v>
      </x:c>
      <x:c r="H83" s="36" t="n">
        <x:v>3</x:v>
      </x:c>
      <x:c r="I83" s="36" t="n">
        <x:v>1</x:v>
      </x:c>
      <x:c r="J83" s="34" t="str">
        <x:v>redeploy</x:v>
      </x:c>
      <x:c r="K83" s="34" t="str">
        <x:v>cache-semantics</x:v>
      </x:c>
      <x:c r="L83" s="45" t="b">
        <x:v>1</x:v>
      </x:c>
      <x:c r="M83" s="36" t="n">
        <x:v>1615875156</x:v>
      </x:c>
      <x:c r="N83" s="34" t="str">
        <x:v>0fb37446c0e2fcac42ab0cbd5c7c892698eb7e9b97b424142eea0ba54fd4394a</x:v>
      </x:c>
      <x:c r="O83" s="43" t="n">
        <x:v>10000</x:v>
      </x:c>
      <x:c r="P83" s="43" t="n">
        <x:v>400000</x:v>
      </x:c>
      <x:c r="Q83" s="36" t="n">
        <x:v>8</x:v>
      </x:c>
      <x:c r="R83" s="42" t="n">
        <x:v>95</x:v>
      </x:c>
      <x:c r="S83" s="43" t="n">
        <x:v>512</x:v>
      </x:c>
      <x:c r="T83" s="43" t="n">
        <x:v>50000</x:v>
      </x:c>
      <x:c r="U83" s="46" t="n">
        <x:v>3</x:v>
      </x:c>
      <x:c r="V83" s="46" t="n">
        <x:v>5</x:v>
      </x:c>
      <x:c r="W83" s="43" t="n">
        <x:v>300</x:v>
      </x:c>
      <x:c r="X83" s="34" t="str">
        <x:v>uniform</x:v>
      </x:c>
      <x:c r="Y83" s="42" t="n">
        <x:v>10</x:v>
      </x:c>
      <x:c r="Z83" s="34" t="str">
        <x:v>strict</x:v>
      </x:c>
      <x:c r="AA83" s="36" t="n">
        <x:v>64</x:v>
      </x:c>
      <x:c r="AB83" s="43" t="n">
        <x:v>80363776</x:v>
      </x:c>
      <x:c r="AC83" s="43" t="n">
        <x:v>3043108498</x:v>
      </x:c>
      <x:c r="AD83" s="43" t="n">
        <x:v>43108498</x:v>
      </x:c>
      <x:c r="AE83" s="43" t="n">
        <x:v>1552572.2706866283</x:v>
      </x:c>
      <x:c r="AF83" s="43" t="n">
        <x:v>23975526.77126525</x:v>
      </x:c>
      <x:c r="AG83" s="43" t="n">
        <x:v>119919360</x:v>
      </x:c>
      <x:c r="AH83" s="43" t="n">
        <x:v>5001740364</x:v>
      </x:c>
      <x:c r="AI83" s="43" t="n">
        <x:v>1740364</x:v>
      </x:c>
      <x:c r="AJ83" s="43" t="n">
        <x:v>23975526.77126525</x:v>
      </x:c>
      <x:c r="AK83" s="43" t="n">
        <x:v>119919360</x:v>
      </x:c>
      <x:c r="AL83" s="43" t="n">
        <x:v>0</x:v>
      </x:c>
      <x:c r="AM83" s="43" t="n">
        <x:v>418746.5458644298</x:v>
      </x:c>
      <x:c r="AN83" s="43" t="n">
        <x:v>150</x:v>
      </x:c>
      <x:c r="AO83" s="43" t="n">
        <x:v>301</x:v>
      </x:c>
      <x:c r="AP83" s="43" t="n">
        <x:v>531</x:v>
      </x:c>
      <x:c r="AQ83" s="43" t="n">
        <x:v>1873740</x:v>
      </x:c>
      <x:c r="AR83" s="43" t="n">
        <x:v>1</x:v>
      </x:c>
      <x:c r="AS83" s="45" t="b">
        <x:v>1</x:v>
      </x:c>
      <x:c r="AT83" s="43" t="n">
        <x:v>10000</x:v>
      </x:c>
      <x:c r="AU83" s="48" t="n">
        <x:v>0.949817002025361</x:v>
      </x:c>
      <x:c r="AV83" s="43" t="n">
        <x:v>10000</x:v>
      </x:c>
      <x:c r="AW83" s="48" t="n">
        <x:v>0.949817002025361</x:v>
      </x:c>
      <x:c r="AX83" s="45" t="b">
        <x:v>1</x:v>
      </x:c>
      <x:c r="AY83" s="44" t="str">
        <x:v>{"provider":"caffeine","currentEntries":10000,"requestCount":119919360,"hitCount":113901447,"missCount":6017913,"hitRate":0.949817002025361,"loadSuccessCount":0,"loadFailureCount":0,"totalLoadTimeNanos":0,"evictionCount":-1,"expirationCount":-1,"putCount":10000,"removeCount":0,"nativeMetrics":{"statisticsEnabled":0}}</x:v>
      </x:c>
      <x:c r="AZ83" s="44" t="str">
        <x:v>{"provider":"caffeine","currentEntries":10000,"requestCount":119919360,"hitCount":113901447,"missCount":6017913,"hitRate":0.949817002025361,"loadSuccessCount":0,"loadFailureCount":0,"totalLoadTimeNanos":0,"evictionCount":-1,"expirationCount":-1,"putCount":15000,"removeCount":0,"nativeMetrics":{"statisticsEnabled":0}}</x:v>
      </x:c>
      <x:c r="BA83" s="43" t="n">
        <x:v>10000</x:v>
      </x:c>
      <x:c r="BB83" s="43" t="n">
        <x:v>119919360</x:v>
      </x:c>
      <x:c r="BC83" s="43" t="n">
        <x:v>113901447</x:v>
      </x:c>
      <x:c r="BD83" s="43" t="n">
        <x:v>6017913</x:v>
      </x:c>
      <x:c r="BE83" s="48" t="n">
        <x:v>0.949817002025361</x:v>
      </x:c>
      <x:c r="BF83" s="43" t="n">
        <x:v>0</x:v>
      </x:c>
      <x:c r="BG83" s="43" t="n">
        <x:v>0</x:v>
      </x:c>
      <x:c r="BH83" s="43" t="n">
        <x:v>0</x:v>
      </x:c>
      <x:c r="BI83" s="43" t="n">
        <x:v>-1</x:v>
      </x:c>
      <x:c r="BJ83" s="43" t="n">
        <x:v>-1</x:v>
      </x:c>
      <x:c r="BK83" s="43" t="n">
        <x:v>15000</x:v>
      </x:c>
      <x:c r="BL83" s="43" t="n">
        <x:v>0</x:v>
      </x:c>
      <x:c r="BM83" s="44" t="str">
        <x:v>{"statisticsEnabled":0}</x:v>
      </x:c>
    </x:row>
    <x:row r="84">
      <x:c r="A84" s="34" t="str">
        <x:v>article1-unified-v4-2-fb3f101b-20260903-000401-default-f02-p3-caffeine</x:v>
      </x:c>
      <x:c r="B84" s="34" t="str">
        <x:v>default</x:v>
      </x:c>
      <x:c r="C84" s="34" t="str">
        <x:v>caffeine</x:v>
      </x:c>
      <x:c r="D84" s="34" t="str">
        <x:v>caffeine</x:v>
      </x:c>
      <x:c r="E84" s="34" t="str">
        <x:v>current-provider-primary-comparison</x:v>
      </x:c>
      <x:c r="F84" s="36" t="n">
        <x:v>2</x:v>
      </x:c>
      <x:c r="G84" s="36" t="n">
        <x:v>2</x:v>
      </x:c>
      <x:c r="H84" s="36" t="n">
        <x:v>3</x:v>
      </x:c>
      <x:c r="I84" s="36" t="n">
        <x:v>2</x:v>
      </x:c>
      <x:c r="J84" s="34" t="str">
        <x:v>initial</x:v>
      </x:c>
      <x:c r="K84" s="34" t="str">
        <x:v>cache-semantics</x:v>
      </x:c>
      <x:c r="L84" s="45" t="b">
        <x:v>1</x:v>
      </x:c>
      <x:c r="M84" s="36" t="n">
        <x:v>1276216390</x:v>
      </x:c>
      <x:c r="N84" s="34" t="str">
        <x:v>b1b1fad534e2c4c4d7722cdd92c497d70af07481e43490fceffff21f05e0b6a0</x:v>
      </x:c>
      <x:c r="O84" s="43" t="n">
        <x:v>10000</x:v>
      </x:c>
      <x:c r="P84" s="43" t="n">
        <x:v>400000</x:v>
      </x:c>
      <x:c r="Q84" s="36" t="n">
        <x:v>8</x:v>
      </x:c>
      <x:c r="R84" s="42" t="n">
        <x:v>95</x:v>
      </x:c>
      <x:c r="S84" s="43" t="n">
        <x:v>512</x:v>
      </x:c>
      <x:c r="T84" s="43" t="n">
        <x:v>50000</x:v>
      </x:c>
      <x:c r="U84" s="46" t="n">
        <x:v>3</x:v>
      </x:c>
      <x:c r="V84" s="46" t="n">
        <x:v>5</x:v>
      </x:c>
      <x:c r="W84" s="43" t="n">
        <x:v>300</x:v>
      </x:c>
      <x:c r="X84" s="34" t="str">
        <x:v>uniform</x:v>
      </x:c>
      <x:c r="Y84" s="42" t="n">
        <x:v>10</x:v>
      </x:c>
      <x:c r="Z84" s="34" t="str">
        <x:v>strict</x:v>
      </x:c>
      <x:c r="AA84" s="36" t="n">
        <x:v>64</x:v>
      </x:c>
      <x:c r="AB84" s="43" t="n">
        <x:v>77662208</x:v>
      </x:c>
      <x:c r="AC84" s="43" t="n">
        <x:v>3000503117</x:v>
      </x:c>
      <x:c r="AD84" s="43" t="n">
        <x:v>503117</x:v>
      </x:c>
      <x:c r="AE84" s="43" t="n">
        <x:v>2374267.1230957783</x:v>
      </x:c>
      <x:c r="AF84" s="43" t="n">
        <x:v>23741247.973443802</x:v>
      </x:c>
      <x:c r="AG84" s="43" t="n">
        <x:v>118754304</x:v>
      </x:c>
      <x:c r="AH84" s="43" t="n">
        <x:v>5002024499</x:v>
      </x:c>
      <x:c r="AI84" s="43" t="n">
        <x:v>2024499</x:v>
      </x:c>
      <x:c r="AJ84" s="43" t="n">
        <x:v>23741247.973443802</x:v>
      </x:c>
      <x:c r="AK84" s="43" t="n">
        <x:v>118754304</x:v>
      </x:c>
      <x:c r="AL84" s="43" t="n">
        <x:v>0</x:v>
      </x:c>
      <x:c r="AM84" s="43" t="n">
        <x:v>444072.33156713925</x:v>
      </x:c>
      <x:c r="AN84" s="43" t="n">
        <x:v>150</x:v>
      </x:c>
      <x:c r="AO84" s="43" t="n">
        <x:v>310</x:v>
      </x:c>
      <x:c r="AP84" s="43" t="n">
        <x:v>541</x:v>
      </x:c>
      <x:c r="AQ84" s="43" t="n">
        <x:v>1855536</x:v>
      </x:c>
      <x:c r="AR84" s="43" t="n">
        <x:v>1</x:v>
      </x:c>
      <x:c r="AS84" s="45" t="b">
        <x:v>1</x:v>
      </x:c>
      <x:c r="AT84" s="43" t="n">
        <x:v>10000</x:v>
      </x:c>
      <x:c r="AU84" s="48" t="n">
        <x:v>0.9492515993357176</x:v>
      </x:c>
      <x:c r="AV84" s="43" t="n">
        <x:v>10000</x:v>
      </x:c>
      <x:c r="AW84" s="48" t="n">
        <x:v>0.9492515993357176</x:v>
      </x:c>
      <x:c r="AX84" s="45" t="b">
        <x:v>1</x:v>
      </x:c>
      <x:c r="AY84" s="44" t="str">
        <x:v>{"provider":"caffeine","currentEntries":10000,"requestCount":118754304,"hitCount":112727713,"missCount":6026591,"hitRate":0.9492515993357176,"loadSuccessCount":0,"loadFailureCount":0,"totalLoadTimeNanos":0,"evictionCount":-1,"expirationCount":-1,"putCount":10000,"removeCount":0,"nativeMetrics":{"statisticsEnabled":0}}</x:v>
      </x:c>
      <x:c r="AZ84" s="44" t="str">
        <x:v>{"provider":"caffeine","currentEntries":10000,"requestCount":118754304,"hitCount":112727713,"missCount":6026591,"hitRate":0.9492515993357176,"loadSuccessCount":0,"loadFailureCount":0,"totalLoadTimeNanos":0,"evictionCount":-1,"expirationCount":-1,"putCount":15000,"removeCount":0,"nativeMetrics":{"statisticsEnabled":0}}</x:v>
      </x:c>
      <x:c r="BA84" s="43" t="n">
        <x:v>10000</x:v>
      </x:c>
      <x:c r="BB84" s="43" t="n">
        <x:v>118754304</x:v>
      </x:c>
      <x:c r="BC84" s="43" t="n">
        <x:v>112727713</x:v>
      </x:c>
      <x:c r="BD84" s="43" t="n">
        <x:v>6026591</x:v>
      </x:c>
      <x:c r="BE84" s="48" t="n">
        <x:v>0.9492515993357176</x:v>
      </x:c>
      <x:c r="BF84" s="43" t="n">
        <x:v>0</x:v>
      </x:c>
      <x:c r="BG84" s="43" t="n">
        <x:v>0</x:v>
      </x:c>
      <x:c r="BH84" s="43" t="n">
        <x:v>0</x:v>
      </x:c>
      <x:c r="BI84" s="43" t="n">
        <x:v>-1</x:v>
      </x:c>
      <x:c r="BJ84" s="43" t="n">
        <x:v>-1</x:v>
      </x:c>
      <x:c r="BK84" s="43" t="n">
        <x:v>15000</x:v>
      </x:c>
      <x:c r="BL84" s="43" t="n">
        <x:v>0</x:v>
      </x:c>
      <x:c r="BM84" s="44" t="str">
        <x:v>{"statisticsEnabled":0}</x:v>
      </x:c>
    </x:row>
    <x:row r="85">
      <x:c r="A85" s="34" t="str">
        <x:v>article1-unified-v4-2-fb3f101b-20260903-000401-default-f02-p3-caffeine</x:v>
      </x:c>
      <x:c r="B85" s="34" t="str">
        <x:v>default</x:v>
      </x:c>
      <x:c r="C85" s="34" t="str">
        <x:v>caffeine</x:v>
      </x:c>
      <x:c r="D85" s="34" t="str">
        <x:v>caffeine</x:v>
      </x:c>
      <x:c r="E85" s="34" t="str">
        <x:v>current-provider-primary-comparison</x:v>
      </x:c>
      <x:c r="F85" s="36" t="n">
        <x:v>2</x:v>
      </x:c>
      <x:c r="G85" s="36" t="n">
        <x:v>2</x:v>
      </x:c>
      <x:c r="H85" s="36" t="n">
        <x:v>3</x:v>
      </x:c>
      <x:c r="I85" s="36" t="n">
        <x:v>2</x:v>
      </x:c>
      <x:c r="J85" s="34" t="str">
        <x:v>redeploy</x:v>
      </x:c>
      <x:c r="K85" s="34" t="str">
        <x:v>cache-semantics</x:v>
      </x:c>
      <x:c r="L85" s="45" t="b">
        <x:v>1</x:v>
      </x:c>
      <x:c r="M85" s="36" t="n">
        <x:v>1276216390</x:v>
      </x:c>
      <x:c r="N85" s="34" t="str">
        <x:v>b1b1fad534e2c4c4d7722cdd92c497d70af07481e43490fceffff21f05e0b6a0</x:v>
      </x:c>
      <x:c r="O85" s="43" t="n">
        <x:v>10000</x:v>
      </x:c>
      <x:c r="P85" s="43" t="n">
        <x:v>400000</x:v>
      </x:c>
      <x:c r="Q85" s="36" t="n">
        <x:v>8</x:v>
      </x:c>
      <x:c r="R85" s="42" t="n">
        <x:v>95</x:v>
      </x:c>
      <x:c r="S85" s="43" t="n">
        <x:v>512</x:v>
      </x:c>
      <x:c r="T85" s="43" t="n">
        <x:v>50000</x:v>
      </x:c>
      <x:c r="U85" s="46" t="n">
        <x:v>3</x:v>
      </x:c>
      <x:c r="V85" s="46" t="n">
        <x:v>5</x:v>
      </x:c>
      <x:c r="W85" s="43" t="n">
        <x:v>300</x:v>
      </x:c>
      <x:c r="X85" s="34" t="str">
        <x:v>uniform</x:v>
      </x:c>
      <x:c r="Y85" s="42" t="n">
        <x:v>10</x:v>
      </x:c>
      <x:c r="Z85" s="34" t="str">
        <x:v>strict</x:v>
      </x:c>
      <x:c r="AA85" s="36" t="n">
        <x:v>64</x:v>
      </x:c>
      <x:c r="AB85" s="43" t="n">
        <x:v>82664704</x:v>
      </x:c>
      <x:c r="AC85" s="43" t="n">
        <x:v>3000431756</x:v>
      </x:c>
      <x:c r="AD85" s="43" t="n">
        <x:v>431756</x:v>
      </x:c>
      <x:c r="AE85" s="43" t="n">
        <x:v>1497083.5315721442</x:v>
      </x:c>
      <x:c r="AF85" s="43" t="n">
        <x:v>26224690.272721075</x:v>
      </x:c>
      <x:c r="AG85" s="43" t="n">
        <x:v>132580608</x:v>
      </x:c>
      <x:c r="AH85" s="43" t="n">
        <x:v>5055564303</x:v>
      </x:c>
      <x:c r="AI85" s="43" t="n">
        <x:v>55564303</x:v>
      </x:c>
      <x:c r="AJ85" s="43" t="n">
        <x:v>26224690.272721075</x:v>
      </x:c>
      <x:c r="AK85" s="43" t="n">
        <x:v>132580608</x:v>
      </x:c>
      <x:c r="AL85" s="43" t="n">
        <x:v>0</x:v>
      </x:c>
      <x:c r="AM85" s="43" t="n">
        <x:v>485194.57855222595</x:v>
      </x:c>
      <x:c r="AN85" s="43" t="n">
        <x:v>140</x:v>
      </x:c>
      <x:c r="AO85" s="43" t="n">
        <x:v>291</x:v>
      </x:c>
      <x:c r="AP85" s="43" t="n">
        <x:v>471</x:v>
      </x:c>
      <x:c r="AQ85" s="43" t="n">
        <x:v>2071572</x:v>
      </x:c>
      <x:c r="AR85" s="43" t="n">
        <x:v>1</x:v>
      </x:c>
      <x:c r="AS85" s="45" t="b">
        <x:v>1</x:v>
      </x:c>
      <x:c r="AT85" s="43" t="n">
        <x:v>10000</x:v>
      </x:c>
      <x:c r="AU85" s="48" t="n">
        <x:v>0.949252850009558</x:v>
      </x:c>
      <x:c r="AV85" s="43" t="n">
        <x:v>10000</x:v>
      </x:c>
      <x:c r="AW85" s="48" t="n">
        <x:v>0.949252850009558</x:v>
      </x:c>
      <x:c r="AX85" s="45" t="b">
        <x:v>1</x:v>
      </x:c>
      <x:c r="AY85" s="44" t="str">
        <x:v>{"provider":"caffeine","currentEntries":10000,"requestCount":132580608,"hitCount":125852520,"missCount":6728088,"hitRate":0.949252850009558,"loadSuccessCount":0,"loadFailureCount":0,"totalLoadTimeNanos":0,"evictionCount":-1,"expirationCount":-1,"putCount":10000,"removeCount":0,"nativeMetrics":{"statisticsEnabled":0}}</x:v>
      </x:c>
      <x:c r="AZ85" s="44" t="str">
        <x:v>{"provider":"caffeine","currentEntries":10000,"requestCount":132580608,"hitCount":125852520,"missCount":6728088,"hitRate":0.949252850009558,"loadSuccessCount":0,"loadFailureCount":0,"totalLoadTimeNanos":0,"evictionCount":-1,"expirationCount":-1,"putCount":15000,"removeCount":0,"nativeMetrics":{"statisticsEnabled":0}}</x:v>
      </x:c>
      <x:c r="BA85" s="43" t="n">
        <x:v>10000</x:v>
      </x:c>
      <x:c r="BB85" s="43" t="n">
        <x:v>132580608</x:v>
      </x:c>
      <x:c r="BC85" s="43" t="n">
        <x:v>125852520</x:v>
      </x:c>
      <x:c r="BD85" s="43" t="n">
        <x:v>6728088</x:v>
      </x:c>
      <x:c r="BE85" s="48" t="n">
        <x:v>0.949252850009558</x:v>
      </x:c>
      <x:c r="BF85" s="43" t="n">
        <x:v>0</x:v>
      </x:c>
      <x:c r="BG85" s="43" t="n">
        <x:v>0</x:v>
      </x:c>
      <x:c r="BH85" s="43" t="n">
        <x:v>0</x:v>
      </x:c>
      <x:c r="BI85" s="43" t="n">
        <x:v>-1</x:v>
      </x:c>
      <x:c r="BJ85" s="43" t="n">
        <x:v>-1</x:v>
      </x:c>
      <x:c r="BK85" s="43" t="n">
        <x:v>15000</x:v>
      </x:c>
      <x:c r="BL85" s="43" t="n">
        <x:v>0</x:v>
      </x:c>
      <x:c r="BM85" s="44" t="str">
        <x:v>{"statisticsEnabled":0}</x:v>
      </x:c>
    </x:row>
    <x:row r="86">
      <x:c r="A86" s="34" t="str">
        <x:v>article1-unified-v4-2-fb3f101b-20260903-000401-default-f02-p3-caffeine</x:v>
      </x:c>
      <x:c r="B86" s="34" t="str">
        <x:v>default</x:v>
      </x:c>
      <x:c r="C86" s="34" t="str">
        <x:v>caffeine</x:v>
      </x:c>
      <x:c r="D86" s="34" t="str">
        <x:v>caffeine</x:v>
      </x:c>
      <x:c r="E86" s="34" t="str">
        <x:v>current-provider-primary-comparison</x:v>
      </x:c>
      <x:c r="F86" s="36" t="n">
        <x:v>2</x:v>
      </x:c>
      <x:c r="G86" s="36" t="n">
        <x:v>2</x:v>
      </x:c>
      <x:c r="H86" s="36" t="n">
        <x:v>3</x:v>
      </x:c>
      <x:c r="I86" s="36" t="n">
        <x:v>3</x:v>
      </x:c>
      <x:c r="J86" s="34" t="str">
        <x:v>initial</x:v>
      </x:c>
      <x:c r="K86" s="34" t="str">
        <x:v>cache-semantics</x:v>
      </x:c>
      <x:c r="L86" s="45" t="b">
        <x:v>1</x:v>
      </x:c>
      <x:c r="M86" s="36" t="n">
        <x:v>959719280</x:v>
      </x:c>
      <x:c r="N86" s="34" t="str">
        <x:v>23946bc667956929e23dfb22e893f0f3724ae41926d14e5ececed76e98fb7a11</x:v>
      </x:c>
      <x:c r="O86" s="43" t="n">
        <x:v>10000</x:v>
      </x:c>
      <x:c r="P86" s="43" t="n">
        <x:v>400000</x:v>
      </x:c>
      <x:c r="Q86" s="36" t="n">
        <x:v>8</x:v>
      </x:c>
      <x:c r="R86" s="42" t="n">
        <x:v>95</x:v>
      </x:c>
      <x:c r="S86" s="43" t="n">
        <x:v>512</x:v>
      </x:c>
      <x:c r="T86" s="43" t="n">
        <x:v>50000</x:v>
      </x:c>
      <x:c r="U86" s="46" t="n">
        <x:v>3</x:v>
      </x:c>
      <x:c r="V86" s="46" t="n">
        <x:v>5</x:v>
      </x:c>
      <x:c r="W86" s="43" t="n">
        <x:v>300</x:v>
      </x:c>
      <x:c r="X86" s="34" t="str">
        <x:v>uniform</x:v>
      </x:c>
      <x:c r="Y86" s="42" t="n">
        <x:v>10</x:v>
      </x:c>
      <x:c r="Z86" s="34" t="str">
        <x:v>strict</x:v>
      </x:c>
      <x:c r="AA86" s="36" t="n">
        <x:v>64</x:v>
      </x:c>
      <x:c r="AB86" s="43" t="n">
        <x:v>87468288</x:v>
      </x:c>
      <x:c r="AC86" s="43" t="n">
        <x:v>3022802152</x:v>
      </x:c>
      <x:c r="AD86" s="43" t="n">
        <x:v>22802152</x:v>
      </x:c>
      <x:c r="AE86" s="43" t="n">
        <x:v>1410255.6328077922</x:v>
      </x:c>
      <x:c r="AF86" s="43" t="n">
        <x:v>28105999.871402387</x:v>
      </x:c>
      <x:c r="AG86" s="43" t="n">
        <x:v>140591616</x:v>
      </x:c>
      <x:c r="AH86" s="43" t="n">
        <x:v>5002192295</x:v>
      </x:c>
      <x:c r="AI86" s="43" t="n">
        <x:v>2192295</x:v>
      </x:c>
      <x:c r="AJ86" s="43" t="n">
        <x:v>28105999.871402387</x:v>
      </x:c>
      <x:c r="AK86" s="43" t="n">
        <x:v>140591616</x:v>
      </x:c>
      <x:c r="AL86" s="43" t="n">
        <x:v>0</x:v>
      </x:c>
      <x:c r="AM86" s="43" t="n">
        <x:v>533717.154245752</x:v>
      </x:c>
      <x:c r="AN86" s="43" t="n">
        <x:v>140</x:v>
      </x:c>
      <x:c r="AO86" s="43" t="n">
        <x:v>290</x:v>
      </x:c>
      <x:c r="AP86" s="43" t="n">
        <x:v>481</x:v>
      </x:c>
      <x:c r="AQ86" s="43" t="n">
        <x:v>2196744</x:v>
      </x:c>
      <x:c r="AR86" s="43" t="n">
        <x:v>1</x:v>
      </x:c>
      <x:c r="AS86" s="45" t="b">
        <x:v>1</x:v>
      </x:c>
      <x:c r="AT86" s="43" t="n">
        <x:v>10000</x:v>
      </x:c>
      <x:c r="AU86" s="48" t="n">
        <x:v>0.9503991333309662</x:v>
      </x:c>
      <x:c r="AV86" s="43" t="n">
        <x:v>10000</x:v>
      </x:c>
      <x:c r="AW86" s="48" t="n">
        <x:v>0.9503991333309662</x:v>
      </x:c>
      <x:c r="AX86" s="45" t="b">
        <x:v>1</x:v>
      </x:c>
      <x:c r="AY86" s="44" t="str">
        <x:v>{"provider":"caffeine","currentEntries":10000,"requestCount":140591616,"hitCount":133618150,"missCount":6973466,"hitRate":0.9503991333309662,"loadSuccessCount":0,"loadFailureCount":0,"totalLoadTimeNanos":0,"evictionCount":-1,"expirationCount":-1,"putCount":10000,"removeCount":0,"nativeMetrics":{"statisticsEnabled":0}}</x:v>
      </x:c>
      <x:c r="AZ86" s="44" t="str">
        <x:v>{"provider":"caffeine","currentEntries":10000,"requestCount":140591616,"hitCount":133618150,"missCount":6973466,"hitRate":0.9503991333309662,"loadSuccessCount":0,"loadFailureCount":0,"totalLoadTimeNanos":0,"evictionCount":-1,"expirationCount":-1,"putCount":15000,"removeCount":0,"nativeMetrics":{"statisticsEnabled":0}}</x:v>
      </x:c>
      <x:c r="BA86" s="43" t="n">
        <x:v>10000</x:v>
      </x:c>
      <x:c r="BB86" s="43" t="n">
        <x:v>140591616</x:v>
      </x:c>
      <x:c r="BC86" s="43" t="n">
        <x:v>133618150</x:v>
      </x:c>
      <x:c r="BD86" s="43" t="n">
        <x:v>6973466</x:v>
      </x:c>
      <x:c r="BE86" s="48" t="n">
        <x:v>0.9503991333309662</x:v>
      </x:c>
      <x:c r="BF86" s="43" t="n">
        <x:v>0</x:v>
      </x:c>
      <x:c r="BG86" s="43" t="n">
        <x:v>0</x:v>
      </x:c>
      <x:c r="BH86" s="43" t="n">
        <x:v>0</x:v>
      </x:c>
      <x:c r="BI86" s="43" t="n">
        <x:v>-1</x:v>
      </x:c>
      <x:c r="BJ86" s="43" t="n">
        <x:v>-1</x:v>
      </x:c>
      <x:c r="BK86" s="43" t="n">
        <x:v>15000</x:v>
      </x:c>
      <x:c r="BL86" s="43" t="n">
        <x:v>0</x:v>
      </x:c>
      <x:c r="BM86" s="44" t="str">
        <x:v>{"statisticsEnabled":0}</x:v>
      </x:c>
    </x:row>
    <x:row r="87">
      <x:c r="A87" s="34" t="str">
        <x:v>article1-unified-v4-2-fb3f101b-20260903-000401-default-f02-p3-caffeine</x:v>
      </x:c>
      <x:c r="B87" s="34" t="str">
        <x:v>default</x:v>
      </x:c>
      <x:c r="C87" s="34" t="str">
        <x:v>caffeine</x:v>
      </x:c>
      <x:c r="D87" s="34" t="str">
        <x:v>caffeine</x:v>
      </x:c>
      <x:c r="E87" s="34" t="str">
        <x:v>current-provider-primary-comparison</x:v>
      </x:c>
      <x:c r="F87" s="36" t="n">
        <x:v>2</x:v>
      </x:c>
      <x:c r="G87" s="36" t="n">
        <x:v>2</x:v>
      </x:c>
      <x:c r="H87" s="36" t="n">
        <x:v>3</x:v>
      </x:c>
      <x:c r="I87" s="36" t="n">
        <x:v>3</x:v>
      </x:c>
      <x:c r="J87" s="34" t="str">
        <x:v>redeploy</x:v>
      </x:c>
      <x:c r="K87" s="34" t="str">
        <x:v>cache-semantics</x:v>
      </x:c>
      <x:c r="L87" s="45" t="b">
        <x:v>1</x:v>
      </x:c>
      <x:c r="M87" s="36" t="n">
        <x:v>959719280</x:v>
      </x:c>
      <x:c r="N87" s="34" t="str">
        <x:v>23946bc667956929e23dfb22e893f0f3724ae41926d14e5ececed76e98fb7a11</x:v>
      </x:c>
      <x:c r="O87" s="43" t="n">
        <x:v>10000</x:v>
      </x:c>
      <x:c r="P87" s="43" t="n">
        <x:v>400000</x:v>
      </x:c>
      <x:c r="Q87" s="36" t="n">
        <x:v>8</x:v>
      </x:c>
      <x:c r="R87" s="42" t="n">
        <x:v>95</x:v>
      </x:c>
      <x:c r="S87" s="43" t="n">
        <x:v>512</x:v>
      </x:c>
      <x:c r="T87" s="43" t="n">
        <x:v>50000</x:v>
      </x:c>
      <x:c r="U87" s="46" t="n">
        <x:v>3</x:v>
      </x:c>
      <x:c r="V87" s="46" t="n">
        <x:v>5</x:v>
      </x:c>
      <x:c r="W87" s="43" t="n">
        <x:v>300</x:v>
      </x:c>
      <x:c r="X87" s="34" t="str">
        <x:v>uniform</x:v>
      </x:c>
      <x:c r="Y87" s="42" t="n">
        <x:v>10</x:v>
      </x:c>
      <x:c r="Z87" s="34" t="str">
        <x:v>strict</x:v>
      </x:c>
      <x:c r="AA87" s="36" t="n">
        <x:v>64</x:v>
      </x:c>
      <x:c r="AB87" s="43" t="n">
        <x:v>78318592</x:v>
      </x:c>
      <x:c r="AC87" s="43" t="n">
        <x:v>3000533038</x:v>
      </x:c>
      <x:c r="AD87" s="43" t="n">
        <x:v>533038</x:v>
      </x:c>
      <x:c r="AE87" s="43" t="n">
        <x:v>1510823.4637531545</x:v>
      </x:c>
      <x:c r="AF87" s="43" t="n">
        <x:v>28235372.236309577</x:v>
      </x:c>
      <x:c r="AG87" s="43" t="n">
        <x:v>141246464</x:v>
      </x:c>
      <x:c r="AH87" s="43" t="n">
        <x:v>5002465093</x:v>
      </x:c>
      <x:c r="AI87" s="43" t="n">
        <x:v>2465093</x:v>
      </x:c>
      <x:c r="AJ87" s="43" t="n">
        <x:v>28235372.236309577</x:v>
      </x:c>
      <x:c r="AK87" s="43" t="n">
        <x:v>141246464</x:v>
      </x:c>
      <x:c r="AL87" s="43" t="n">
        <x:v>0</x:v>
      </x:c>
      <x:c r="AM87" s="43" t="n">
        <x:v>433468.78365885105</x:v>
      </x:c>
      <x:c r="AN87" s="43" t="n">
        <x:v>131</x:v>
      </x:c>
      <x:c r="AO87" s="43" t="n">
        <x:v>271</x:v>
      </x:c>
      <x:c r="AP87" s="43" t="n">
        <x:v>451</x:v>
      </x:c>
      <x:c r="AQ87" s="43" t="n">
        <x:v>2206976</x:v>
      </x:c>
      <x:c r="AR87" s="43" t="n">
        <x:v>1</x:v>
      </x:c>
      <x:c r="AS87" s="45" t="b">
        <x:v>1</x:v>
      </x:c>
      <x:c r="AT87" s="43" t="n">
        <x:v>10000</x:v>
      </x:c>
      <x:c r="AU87" s="48" t="n">
        <x:v>0.9503906943822679</x:v>
      </x:c>
      <x:c r="AV87" s="43" t="n">
        <x:v>10000</x:v>
      </x:c>
      <x:c r="AW87" s="48" t="n">
        <x:v>0.9503906943822679</x:v>
      </x:c>
      <x:c r="AX87" s="45" t="b">
        <x:v>1</x:v>
      </x:c>
      <x:c r="AY87" s="44" t="str">
        <x:v>{"provider":"caffeine","currentEntries":10000,"requestCount":141246464,"hitCount":134239325,"missCount":7007139,"hitRate":0.9503906943822679,"loadSuccessCount":0,"loadFailureCount":0,"totalLoadTimeNanos":0,"evictionCount":-1,"expirationCount":-1,"putCount":10000,"removeCount":0,"nativeMetrics":{"statisticsEnabled":0}}</x:v>
      </x:c>
      <x:c r="AZ87" s="44" t="str">
        <x:v>{"provider":"caffeine","currentEntries":10000,"requestCount":141246464,"hitCount":134239325,"missCount":7007139,"hitRate":0.9503906943822679,"loadSuccessCount":0,"loadFailureCount":0,"totalLoadTimeNanos":0,"evictionCount":-1,"expirationCount":-1,"putCount":15000,"removeCount":0,"nativeMetrics":{"statisticsEnabled":0}}</x:v>
      </x:c>
      <x:c r="BA87" s="43" t="n">
        <x:v>10000</x:v>
      </x:c>
      <x:c r="BB87" s="43" t="n">
        <x:v>141246464</x:v>
      </x:c>
      <x:c r="BC87" s="43" t="n">
        <x:v>134239325</x:v>
      </x:c>
      <x:c r="BD87" s="43" t="n">
        <x:v>7007139</x:v>
      </x:c>
      <x:c r="BE87" s="48" t="n">
        <x:v>0.9503906943822679</x:v>
      </x:c>
      <x:c r="BF87" s="43" t="n">
        <x:v>0</x:v>
      </x:c>
      <x:c r="BG87" s="43" t="n">
        <x:v>0</x:v>
      </x:c>
      <x:c r="BH87" s="43" t="n">
        <x:v>0</x:v>
      </x:c>
      <x:c r="BI87" s="43" t="n">
        <x:v>-1</x:v>
      </x:c>
      <x:c r="BJ87" s="43" t="n">
        <x:v>-1</x:v>
      </x:c>
      <x:c r="BK87" s="43" t="n">
        <x:v>15000</x:v>
      </x:c>
      <x:c r="BL87" s="43" t="n">
        <x:v>0</x:v>
      </x:c>
      <x:c r="BM87" s="44" t="str">
        <x:v>{"statisticsEnabled":0}</x:v>
      </x:c>
    </x:row>
    <x:row r="88">
      <x:c r="A88" s="34" t="str">
        <x:v>article1-unified-v4-2-fb3f101b-20260903-000401-default-f02-p3-caffeine</x:v>
      </x:c>
      <x:c r="B88" s="34" t="str">
        <x:v>default</x:v>
      </x:c>
      <x:c r="C88" s="34" t="str">
        <x:v>caffeine</x:v>
      </x:c>
      <x:c r="D88" s="34" t="str">
        <x:v>caffeine</x:v>
      </x:c>
      <x:c r="E88" s="34" t="str">
        <x:v>current-provider-primary-comparison</x:v>
      </x:c>
      <x:c r="F88" s="36" t="n">
        <x:v>2</x:v>
      </x:c>
      <x:c r="G88" s="36" t="n">
        <x:v>2</x:v>
      </x:c>
      <x:c r="H88" s="36" t="n">
        <x:v>3</x:v>
      </x:c>
      <x:c r="I88" s="36" t="n">
        <x:v>4</x:v>
      </x:c>
      <x:c r="J88" s="34" t="str">
        <x:v>initial</x:v>
      </x:c>
      <x:c r="K88" s="34" t="str">
        <x:v>cache-semantics</x:v>
      </x:c>
      <x:c r="L88" s="45" t="b">
        <x:v>1</x:v>
      </x:c>
      <x:c r="M88" s="36" t="n">
        <x:v>1652540875</x:v>
      </x:c>
      <x:c r="N88" s="34" t="str">
        <x:v>6d9eb911d184e49ced2dfa5d0ef88cff2d7d7f264b58a7cf2172e037d424290b</x:v>
      </x:c>
      <x:c r="O88" s="43" t="n">
        <x:v>10000</x:v>
      </x:c>
      <x:c r="P88" s="43" t="n">
        <x:v>400000</x:v>
      </x:c>
      <x:c r="Q88" s="36" t="n">
        <x:v>8</x:v>
      </x:c>
      <x:c r="R88" s="42" t="n">
        <x:v>95</x:v>
      </x:c>
      <x:c r="S88" s="43" t="n">
        <x:v>512</x:v>
      </x:c>
      <x:c r="T88" s="43" t="n">
        <x:v>50000</x:v>
      </x:c>
      <x:c r="U88" s="46" t="n">
        <x:v>3</x:v>
      </x:c>
      <x:c r="V88" s="46" t="n">
        <x:v>5</x:v>
      </x:c>
      <x:c r="W88" s="43" t="n">
        <x:v>300</x:v>
      </x:c>
      <x:c r="X88" s="34" t="str">
        <x:v>uniform</x:v>
      </x:c>
      <x:c r="Y88" s="42" t="n">
        <x:v>10</x:v>
      </x:c>
      <x:c r="Z88" s="34" t="str">
        <x:v>strict</x:v>
      </x:c>
      <x:c r="AA88" s="36" t="n">
        <x:v>64</x:v>
      </x:c>
      <x:c r="AB88" s="43" t="n">
        <x:v>85450496</x:v>
      </x:c>
      <x:c r="AC88" s="43" t="n">
        <x:v>3052731679</x:v>
      </x:c>
      <x:c r="AD88" s="43" t="n">
        <x:v>52731679</x:v>
      </x:c>
      <x:c r="AE88" s="43" t="n">
        <x:v>2219563.185525962</x:v>
      </x:c>
      <x:c r="AF88" s="43" t="n">
        <x:v>28761430.658744767</x:v>
      </x:c>
      <x:c r="AG88" s="43" t="n">
        <x:v>143872256</x:v>
      </x:c>
      <x:c r="AH88" s="43" t="n">
        <x:v>5002263542</x:v>
      </x:c>
      <x:c r="AI88" s="43" t="n">
        <x:v>2263542</x:v>
      </x:c>
      <x:c r="AJ88" s="43" t="n">
        <x:v>28761430.658744767</x:v>
      </x:c>
      <x:c r="AK88" s="43" t="n">
        <x:v>143872256</x:v>
      </x:c>
      <x:c r="AL88" s="43" t="n">
        <x:v>0</x:v>
      </x:c>
      <x:c r="AM88" s="43" t="n">
        <x:v>520208.8659405106</x:v>
      </x:c>
      <x:c r="AN88" s="43" t="n">
        <x:v>140</x:v>
      </x:c>
      <x:c r="AO88" s="43" t="n">
        <x:v>271</x:v>
      </x:c>
      <x:c r="AP88" s="43" t="n">
        <x:v>481</x:v>
      </x:c>
      <x:c r="AQ88" s="43" t="n">
        <x:v>2248004</x:v>
      </x:c>
      <x:c r="AR88" s="43" t="n">
        <x:v>1</x:v>
      </x:c>
      <x:c r="AS88" s="45" t="b">
        <x:v>1</x:v>
      </x:c>
      <x:c r="AT88" s="43" t="n">
        <x:v>10000</x:v>
      </x:c>
      <x:c r="AU88" s="48" t="n">
        <x:v>0.9503467993161934</x:v>
      </x:c>
      <x:c r="AV88" s="43" t="n">
        <x:v>10000</x:v>
      </x:c>
      <x:c r="AW88" s="48" t="n">
        <x:v>0.9503467993161934</x:v>
      </x:c>
      <x:c r="AX88" s="45" t="b">
        <x:v>1</x:v>
      </x:c>
      <x:c r="AY88" s="44" t="str">
        <x:v>{"provider":"caffeine","currentEntries":10000,"requestCount":143872256,"hitCount":136728538,"missCount":7143718,"hitRate":0.9503467993161934,"loadSuccessCount":0,"loadFailureCount":0,"totalLoadTimeNanos":0,"evictionCount":-1,"expirationCount":-1,"putCount":10000,"removeCount":0,"nativeMetrics":{"statisticsEnabled":0}}</x:v>
      </x:c>
      <x:c r="AZ88" s="44" t="str">
        <x:v>{"provider":"caffeine","currentEntries":10000,"requestCount":143872256,"hitCount":136728538,"missCount":7143718,"hitRate":0.9503467993161934,"loadSuccessCount":0,"loadFailureCount":0,"totalLoadTimeNanos":0,"evictionCount":-1,"expirationCount":-1,"putCount":15000,"removeCount":0,"nativeMetrics":{"statisticsEnabled":0}}</x:v>
      </x:c>
      <x:c r="BA88" s="43" t="n">
        <x:v>10000</x:v>
      </x:c>
      <x:c r="BB88" s="43" t="n">
        <x:v>143872256</x:v>
      </x:c>
      <x:c r="BC88" s="43" t="n">
        <x:v>136728538</x:v>
      </x:c>
      <x:c r="BD88" s="43" t="n">
        <x:v>7143718</x:v>
      </x:c>
      <x:c r="BE88" s="48" t="n">
        <x:v>0.9503467993161934</x:v>
      </x:c>
      <x:c r="BF88" s="43" t="n">
        <x:v>0</x:v>
      </x:c>
      <x:c r="BG88" s="43" t="n">
        <x:v>0</x:v>
      </x:c>
      <x:c r="BH88" s="43" t="n">
        <x:v>0</x:v>
      </x:c>
      <x:c r="BI88" s="43" t="n">
        <x:v>-1</x:v>
      </x:c>
      <x:c r="BJ88" s="43" t="n">
        <x:v>-1</x:v>
      </x:c>
      <x:c r="BK88" s="43" t="n">
        <x:v>15000</x:v>
      </x:c>
      <x:c r="BL88" s="43" t="n">
        <x:v>0</x:v>
      </x:c>
      <x:c r="BM88" s="44" t="str">
        <x:v>{"statisticsEnabled":0}</x:v>
      </x:c>
    </x:row>
    <x:row r="89">
      <x:c r="A89" s="34" t="str">
        <x:v>article1-unified-v4-2-fb3f101b-20260903-000401-default-f02-p3-caffeine</x:v>
      </x:c>
      <x:c r="B89" s="34" t="str">
        <x:v>default</x:v>
      </x:c>
      <x:c r="C89" s="34" t="str">
        <x:v>caffeine</x:v>
      </x:c>
      <x:c r="D89" s="34" t="str">
        <x:v>caffeine</x:v>
      </x:c>
      <x:c r="E89" s="34" t="str">
        <x:v>current-provider-primary-comparison</x:v>
      </x:c>
      <x:c r="F89" s="36" t="n">
        <x:v>2</x:v>
      </x:c>
      <x:c r="G89" s="36" t="n">
        <x:v>2</x:v>
      </x:c>
      <x:c r="H89" s="36" t="n">
        <x:v>3</x:v>
      </x:c>
      <x:c r="I89" s="36" t="n">
        <x:v>4</x:v>
      </x:c>
      <x:c r="J89" s="34" t="str">
        <x:v>redeploy</x:v>
      </x:c>
      <x:c r="K89" s="34" t="str">
        <x:v>cache-semantics</x:v>
      </x:c>
      <x:c r="L89" s="45" t="b">
        <x:v>1</x:v>
      </x:c>
      <x:c r="M89" s="36" t="n">
        <x:v>1652540875</x:v>
      </x:c>
      <x:c r="N89" s="34" t="str">
        <x:v>6d9eb911d184e49ced2dfa5d0ef88cff2d7d7f264b58a7cf2172e037d424290b</x:v>
      </x:c>
      <x:c r="O89" s="43" t="n">
        <x:v>10000</x:v>
      </x:c>
      <x:c r="P89" s="43" t="n">
        <x:v>400000</x:v>
      </x:c>
      <x:c r="Q89" s="36" t="n">
        <x:v>8</x:v>
      </x:c>
      <x:c r="R89" s="42" t="n">
        <x:v>95</x:v>
      </x:c>
      <x:c r="S89" s="43" t="n">
        <x:v>512</x:v>
      </x:c>
      <x:c r="T89" s="43" t="n">
        <x:v>50000</x:v>
      </x:c>
      <x:c r="U89" s="46" t="n">
        <x:v>3</x:v>
      </x:c>
      <x:c r="V89" s="46" t="n">
        <x:v>5</x:v>
      </x:c>
      <x:c r="W89" s="43" t="n">
        <x:v>300</x:v>
      </x:c>
      <x:c r="X89" s="34" t="str">
        <x:v>uniform</x:v>
      </x:c>
      <x:c r="Y89" s="42" t="n">
        <x:v>10</x:v>
      </x:c>
      <x:c r="Z89" s="34" t="str">
        <x:v>strict</x:v>
      </x:c>
      <x:c r="AA89" s="36" t="n">
        <x:v>64</x:v>
      </x:c>
      <x:c r="AB89" s="43" t="n">
        <x:v>80514304</x:v>
      </x:c>
      <x:c r="AC89" s="43" t="n">
        <x:v>3025603211</x:v>
      </x:c>
      <x:c r="AD89" s="43" t="n">
        <x:v>25603211</x:v>
      </x:c>
      <x:c r="AE89" s="43" t="n">
        <x:v>1347425.0639656363</x:v>
      </x:c>
      <x:c r="AF89" s="43" t="n">
        <x:v>25860451.39810255</x:v>
      </x:c>
      <x:c r="AG89" s="43" t="n">
        <x:v>129360128</x:v>
      </x:c>
      <x:c r="AH89" s="43" t="n">
        <x:v>5002237819</x:v>
      </x:c>
      <x:c r="AI89" s="43" t="n">
        <x:v>2237819</x:v>
      </x:c>
      <x:c r="AJ89" s="43" t="n">
        <x:v>25860451.39810255</x:v>
      </x:c>
      <x:c r="AK89" s="43" t="n">
        <x:v>129360128</x:v>
      </x:c>
      <x:c r="AL89" s="43" t="n">
        <x:v>0</x:v>
      </x:c>
      <x:c r="AM89" s="43" t="n">
        <x:v>488655.5678001782</x:v>
      </x:c>
      <x:c r="AN89" s="43" t="n">
        <x:v>140</x:v>
      </x:c>
      <x:c r="AO89" s="43" t="n">
        <x:v>301</x:v>
      </x:c>
      <x:c r="AP89" s="43" t="n">
        <x:v>501</x:v>
      </x:c>
      <x:c r="AQ89" s="43" t="n">
        <x:v>2021252</x:v>
      </x:c>
      <x:c r="AR89" s="43" t="n">
        <x:v>1</x:v>
      </x:c>
      <x:c r="AS89" s="45" t="b">
        <x:v>1</x:v>
      </x:c>
      <x:c r="AT89" s="43" t="n">
        <x:v>10000</x:v>
      </x:c>
      <x:c r="AU89" s="48" t="n">
        <x:v>0.9503655716852722</x:v>
      </x:c>
      <x:c r="AV89" s="43" t="n">
        <x:v>10000</x:v>
      </x:c>
      <x:c r="AW89" s="48" t="n">
        <x:v>0.9503655716852722</x:v>
      </x:c>
      <x:c r="AX89" s="45" t="b">
        <x:v>1</x:v>
      </x:c>
      <x:c r="AY89" s="44" t="str">
        <x:v>{"provider":"caffeine","currentEntries":10000,"requestCount":129360128,"hitCount":122939412,"missCount":6420716,"hitRate":0.9503655716852722,"loadSuccessCount":0,"loadFailureCount":0,"totalLoadTimeNanos":0,"evictionCount":-1,"expirationCount":-1,"putCount":10000,"removeCount":0,"nativeMetrics":{"statisticsEnabled":0}}</x:v>
      </x:c>
      <x:c r="AZ89" s="44" t="str">
        <x:v>{"provider":"caffeine","currentEntries":10000,"requestCount":129360128,"hitCount":122939412,"missCount":6420716,"hitRate":0.9503655716852722,"loadSuccessCount":0,"loadFailureCount":0,"totalLoadTimeNanos":0,"evictionCount":-1,"expirationCount":-1,"putCount":15000,"removeCount":0,"nativeMetrics":{"statisticsEnabled":0}}</x:v>
      </x:c>
      <x:c r="BA89" s="43" t="n">
        <x:v>10000</x:v>
      </x:c>
      <x:c r="BB89" s="43" t="n">
        <x:v>129360128</x:v>
      </x:c>
      <x:c r="BC89" s="43" t="n">
        <x:v>122939412</x:v>
      </x:c>
      <x:c r="BD89" s="43" t="n">
        <x:v>6420716</x:v>
      </x:c>
      <x:c r="BE89" s="48" t="n">
        <x:v>0.9503655716852722</x:v>
      </x:c>
      <x:c r="BF89" s="43" t="n">
        <x:v>0</x:v>
      </x:c>
      <x:c r="BG89" s="43" t="n">
        <x:v>0</x:v>
      </x:c>
      <x:c r="BH89" s="43" t="n">
        <x:v>0</x:v>
      </x:c>
      <x:c r="BI89" s="43" t="n">
        <x:v>-1</x:v>
      </x:c>
      <x:c r="BJ89" s="43" t="n">
        <x:v>-1</x:v>
      </x:c>
      <x:c r="BK89" s="43" t="n">
        <x:v>15000</x:v>
      </x:c>
      <x:c r="BL89" s="43" t="n">
        <x:v>0</x:v>
      </x:c>
      <x:c r="BM89" s="44" t="str">
        <x:v>{"statisticsEnabled":0}</x:v>
      </x:c>
    </x:row>
    <x:row r="90">
      <x:c r="A90" s="34" t="str">
        <x:v>article1-unified-v4-2-fb3f101b-20260903-000401-default-f02-p3-caffeine</x:v>
      </x:c>
      <x:c r="B90" s="34" t="str">
        <x:v>default</x:v>
      </x:c>
      <x:c r="C90" s="34" t="str">
        <x:v>caffeine</x:v>
      </x:c>
      <x:c r="D90" s="34" t="str">
        <x:v>caffeine</x:v>
      </x:c>
      <x:c r="E90" s="34" t="str">
        <x:v>current-provider-primary-comparison</x:v>
      </x:c>
      <x:c r="F90" s="36" t="n">
        <x:v>2</x:v>
      </x:c>
      <x:c r="G90" s="36" t="n">
        <x:v>2</x:v>
      </x:c>
      <x:c r="H90" s="36" t="n">
        <x:v>3</x:v>
      </x:c>
      <x:c r="I90" s="36" t="n">
        <x:v>5</x:v>
      </x:c>
      <x:c r="J90" s="34" t="str">
        <x:v>initial</x:v>
      </x:c>
      <x:c r="K90" s="34" t="str">
        <x:v>cache-semantics</x:v>
      </x:c>
      <x:c r="L90" s="45" t="b">
        <x:v>1</x:v>
      </x:c>
      <x:c r="M90" s="36" t="n">
        <x:v>2077052807</x:v>
      </x:c>
      <x:c r="N90" s="34" t="str">
        <x:v>00ff6973c5a97fdf7eb604a286d7e8ed14ab7633eb1da6b80ffef64c86bdc8ff</x:v>
      </x:c>
      <x:c r="O90" s="43" t="n">
        <x:v>10000</x:v>
      </x:c>
      <x:c r="P90" s="43" t="n">
        <x:v>400000</x:v>
      </x:c>
      <x:c r="Q90" s="36" t="n">
        <x:v>8</x:v>
      </x:c>
      <x:c r="R90" s="42" t="n">
        <x:v>95</x:v>
      </x:c>
      <x:c r="S90" s="43" t="n">
        <x:v>512</x:v>
      </x:c>
      <x:c r="T90" s="43" t="n">
        <x:v>50000</x:v>
      </x:c>
      <x:c r="U90" s="46" t="n">
        <x:v>3</x:v>
      </x:c>
      <x:c r="V90" s="46" t="n">
        <x:v>5</x:v>
      </x:c>
      <x:c r="W90" s="43" t="n">
        <x:v>300</x:v>
      </x:c>
      <x:c r="X90" s="34" t="str">
        <x:v>uniform</x:v>
      </x:c>
      <x:c r="Y90" s="42" t="n">
        <x:v>10</x:v>
      </x:c>
      <x:c r="Z90" s="34" t="str">
        <x:v>strict</x:v>
      </x:c>
      <x:c r="AA90" s="36" t="n">
        <x:v>64</x:v>
      </x:c>
      <x:c r="AB90" s="43" t="n">
        <x:v>80719104</x:v>
      </x:c>
      <x:c r="AC90" s="43" t="n">
        <x:v>3031135363</x:v>
      </x:c>
      <x:c r="AD90" s="43" t="n">
        <x:v>31135363</x:v>
      </x:c>
      <x:c r="AE90" s="43" t="n">
        <x:v>1224302.3527295883</x:v>
      </x:c>
      <x:c r="AF90" s="43" t="n">
        <x:v>27118600.83305417</x:v>
      </x:c>
      <x:c r="AG90" s="43" t="n">
        <x:v>135654144</x:v>
      </x:c>
      <x:c r="AH90" s="43" t="n">
        <x:v>5002254535</x:v>
      </x:c>
      <x:c r="AI90" s="43" t="n">
        <x:v>2254535</x:v>
      </x:c>
      <x:c r="AJ90" s="43" t="n">
        <x:v>27118600.83305417</x:v>
      </x:c>
      <x:c r="AK90" s="43" t="n">
        <x:v>135654144</x:v>
      </x:c>
      <x:c r="AL90" s="43" t="n">
        <x:v>0</x:v>
      </x:c>
      <x:c r="AM90" s="43" t="n">
        <x:v>411113.1785536068</x:v>
      </x:c>
      <x:c r="AN90" s="43" t="n">
        <x:v>140</x:v>
      </x:c>
      <x:c r="AO90" s="43" t="n">
        <x:v>280</x:v>
      </x:c>
      <x:c r="AP90" s="43" t="n">
        <x:v>471</x:v>
      </x:c>
      <x:c r="AQ90" s="43" t="n">
        <x:v>2119596</x:v>
      </x:c>
      <x:c r="AR90" s="43" t="n">
        <x:v>1</x:v>
      </x:c>
      <x:c r="AS90" s="45" t="b">
        <x:v>1</x:v>
      </x:c>
      <x:c r="AT90" s="43" t="n">
        <x:v>10000</x:v>
      </x:c>
      <x:c r="AU90" s="48" t="n">
        <x:v>0.9499779748711547</x:v>
      </x:c>
      <x:c r="AV90" s="43" t="n">
        <x:v>10000</x:v>
      </x:c>
      <x:c r="AW90" s="48" t="n">
        <x:v>0.9499779748711547</x:v>
      </x:c>
      <x:c r="AX90" s="45" t="b">
        <x:v>1</x:v>
      </x:c>
      <x:c r="AY90" s="44" t="str">
        <x:v>{"provider":"caffeine","currentEntries":10000,"requestCount":135654144,"hitCount":128868449,"missCount":6785695,"hitRate":0.9499779748711547,"loadSuccessCount":0,"loadFailureCount":0,"totalLoadTimeNanos":0,"evictionCount":-1,"expirationCount":-1,"putCount":10000,"removeCount":0,"nativeMetrics":{"statisticsEnabled":0}}</x:v>
      </x:c>
      <x:c r="AZ90" s="44" t="str">
        <x:v>{"provider":"caffeine","currentEntries":10000,"requestCount":135654144,"hitCount":128868449,"missCount":6785695,"hitRate":0.9499779748711547,"loadSuccessCount":0,"loadFailureCount":0,"totalLoadTimeNanos":0,"evictionCount":-1,"expirationCount":-1,"putCount":15000,"removeCount":0,"nativeMetrics":{"statisticsEnabled":0}}</x:v>
      </x:c>
      <x:c r="BA90" s="43" t="n">
        <x:v>10000</x:v>
      </x:c>
      <x:c r="BB90" s="43" t="n">
        <x:v>135654144</x:v>
      </x:c>
      <x:c r="BC90" s="43" t="n">
        <x:v>128868449</x:v>
      </x:c>
      <x:c r="BD90" s="43" t="n">
        <x:v>6785695</x:v>
      </x:c>
      <x:c r="BE90" s="48" t="n">
        <x:v>0.9499779748711547</x:v>
      </x:c>
      <x:c r="BF90" s="43" t="n">
        <x:v>0</x:v>
      </x:c>
      <x:c r="BG90" s="43" t="n">
        <x:v>0</x:v>
      </x:c>
      <x:c r="BH90" s="43" t="n">
        <x:v>0</x:v>
      </x:c>
      <x:c r="BI90" s="43" t="n">
        <x:v>-1</x:v>
      </x:c>
      <x:c r="BJ90" s="43" t="n">
        <x:v>-1</x:v>
      </x:c>
      <x:c r="BK90" s="43" t="n">
        <x:v>15000</x:v>
      </x:c>
      <x:c r="BL90" s="43" t="n">
        <x:v>0</x:v>
      </x:c>
      <x:c r="BM90" s="44" t="str">
        <x:v>{"statisticsEnabled":0}</x:v>
      </x:c>
    </x:row>
    <x:row r="91">
      <x:c r="A91" s="34" t="str">
        <x:v>article1-unified-v4-2-fb3f101b-20260903-000401-default-f02-p3-caffeine</x:v>
      </x:c>
      <x:c r="B91" s="34" t="str">
        <x:v>default</x:v>
      </x:c>
      <x:c r="C91" s="34" t="str">
        <x:v>caffeine</x:v>
      </x:c>
      <x:c r="D91" s="34" t="str">
        <x:v>caffeine</x:v>
      </x:c>
      <x:c r="E91" s="34" t="str">
        <x:v>current-provider-primary-comparison</x:v>
      </x:c>
      <x:c r="F91" s="36" t="n">
        <x:v>2</x:v>
      </x:c>
      <x:c r="G91" s="36" t="n">
        <x:v>2</x:v>
      </x:c>
      <x:c r="H91" s="36" t="n">
        <x:v>3</x:v>
      </x:c>
      <x:c r="I91" s="36" t="n">
        <x:v>5</x:v>
      </x:c>
      <x:c r="J91" s="34" t="str">
        <x:v>redeploy</x:v>
      </x:c>
      <x:c r="K91" s="34" t="str">
        <x:v>cache-semantics</x:v>
      </x:c>
      <x:c r="L91" s="45" t="b">
        <x:v>1</x:v>
      </x:c>
      <x:c r="M91" s="36" t="n">
        <x:v>2077052807</x:v>
      </x:c>
      <x:c r="N91" s="34" t="str">
        <x:v>00ff6973c5a97fdf7eb604a286d7e8ed14ab7633eb1da6b80ffef64c86bdc8ff</x:v>
      </x:c>
      <x:c r="O91" s="43" t="n">
        <x:v>10000</x:v>
      </x:c>
      <x:c r="P91" s="43" t="n">
        <x:v>400000</x:v>
      </x:c>
      <x:c r="Q91" s="36" t="n">
        <x:v>8</x:v>
      </x:c>
      <x:c r="R91" s="42" t="n">
        <x:v>95</x:v>
      </x:c>
      <x:c r="S91" s="43" t="n">
        <x:v>512</x:v>
      </x:c>
      <x:c r="T91" s="43" t="n">
        <x:v>50000</x:v>
      </x:c>
      <x:c r="U91" s="46" t="n">
        <x:v>3</x:v>
      </x:c>
      <x:c r="V91" s="46" t="n">
        <x:v>5</x:v>
      </x:c>
      <x:c r="W91" s="43" t="n">
        <x:v>300</x:v>
      </x:c>
      <x:c r="X91" s="34" t="str">
        <x:v>uniform</x:v>
      </x:c>
      <x:c r="Y91" s="42" t="n">
        <x:v>10</x:v>
      </x:c>
      <x:c r="Z91" s="34" t="str">
        <x:v>strict</x:v>
      </x:c>
      <x:c r="AA91" s="36" t="n">
        <x:v>64</x:v>
      </x:c>
      <x:c r="AB91" s="43" t="n">
        <x:v>81193728</x:v>
      </x:c>
      <x:c r="AC91" s="43" t="n">
        <x:v>3000430646</x:v>
      </x:c>
      <x:c r="AD91" s="43" t="n">
        <x:v>430646</x:v>
      </x:c>
      <x:c r="AE91" s="43" t="n">
        <x:v>229895.1147219153</x:v>
      </x:c>
      <x:c r="AF91" s="43" t="n">
        <x:v>26487840.594682075</x:v>
      </x:c>
      <x:c r="AG91" s="43" t="n">
        <x:v>132497920</x:v>
      </x:c>
      <x:c r="AH91" s="43" t="n">
        <x:v>5002216754</x:v>
      </x:c>
      <x:c r="AI91" s="43" t="n">
        <x:v>2216754</x:v>
      </x:c>
      <x:c r="AJ91" s="43" t="n">
        <x:v>26487840.594682075</x:v>
      </x:c>
      <x:c r="AK91" s="43" t="n">
        <x:v>132497920</x:v>
      </x:c>
      <x:c r="AL91" s="43" t="n">
        <x:v>0</x:v>
      </x:c>
      <x:c r="AM91" s="43" t="n">
        <x:v>454975.98591248755</x:v>
      </x:c>
      <x:c r="AN91" s="43" t="n">
        <x:v>140</x:v>
      </x:c>
      <x:c r="AO91" s="43" t="n">
        <x:v>320</x:v>
      </x:c>
      <x:c r="AP91" s="43" t="n">
        <x:v>501</x:v>
      </x:c>
      <x:c r="AQ91" s="43" t="n">
        <x:v>2070280</x:v>
      </x:c>
      <x:c r="AR91" s="43" t="n">
        <x:v>1</x:v>
      </x:c>
      <x:c r="AS91" s="45" t="b">
        <x:v>1</x:v>
      </x:c>
      <x:c r="AT91" s="43" t="n">
        <x:v>10000</x:v>
      </x:c>
      <x:c r="AU91" s="48" t="n">
        <x:v>0.949982037453871</x:v>
      </x:c>
      <x:c r="AV91" s="43" t="n">
        <x:v>10000</x:v>
      </x:c>
      <x:c r="AW91" s="48" t="n">
        <x:v>0.949982037453871</x:v>
      </x:c>
      <x:c r="AX91" s="45" t="b">
        <x:v>1</x:v>
      </x:c>
      <x:c r="AY91" s="44" t="str">
        <x:v>{"provider":"caffeine","currentEntries":10000,"requestCount":132497920,"hitCount":125870644,"missCount":6627276,"hitRate":0.949982037453871,"loadSuccessCount":0,"loadFailureCount":0,"totalLoadTimeNanos":0,"evictionCount":-1,"expirationCount":-1,"putCount":10000,"removeCount":0,"nativeMetrics":{"statisticsEnabled":0}}</x:v>
      </x:c>
      <x:c r="AZ91" s="44" t="str">
        <x:v>{"provider":"caffeine","currentEntries":10000,"requestCount":132497920,"hitCount":125870644,"missCount":6627276,"hitRate":0.949982037453871,"loadSuccessCount":0,"loadFailureCount":0,"totalLoadTimeNanos":0,"evictionCount":-1,"expirationCount":-1,"putCount":15000,"removeCount":0,"nativeMetrics":{"statisticsEnabled":0}}</x:v>
      </x:c>
      <x:c r="BA91" s="43" t="n">
        <x:v>10000</x:v>
      </x:c>
      <x:c r="BB91" s="43" t="n">
        <x:v>132497920</x:v>
      </x:c>
      <x:c r="BC91" s="43" t="n">
        <x:v>125870644</x:v>
      </x:c>
      <x:c r="BD91" s="43" t="n">
        <x:v>6627276</x:v>
      </x:c>
      <x:c r="BE91" s="48" t="n">
        <x:v>0.949982037453871</x:v>
      </x:c>
      <x:c r="BF91" s="43" t="n">
        <x:v>0</x:v>
      </x:c>
      <x:c r="BG91" s="43" t="n">
        <x:v>0</x:v>
      </x:c>
      <x:c r="BH91" s="43" t="n">
        <x:v>0</x:v>
      </x:c>
      <x:c r="BI91" s="43" t="n">
        <x:v>-1</x:v>
      </x:c>
      <x:c r="BJ91" s="43" t="n">
        <x:v>-1</x:v>
      </x:c>
      <x:c r="BK91" s="43" t="n">
        <x:v>15000</x:v>
      </x:c>
      <x:c r="BL91" s="43" t="n">
        <x:v>0</x:v>
      </x:c>
      <x:c r="BM91" s="44" t="str">
        <x:v>{"statisticsEnabled":0}</x:v>
      </x:c>
    </x:row>
    <x:row r="92">
      <x:c r="A92" s="34" t="str">
        <x:v>article1-unified-v4-2-fb3f101b-20260903-000401-default-f02-p4-jcs4</x:v>
      </x:c>
      <x:c r="B92" s="34" t="str">
        <x:v>default</x:v>
      </x:c>
      <x:c r="C92" s="34" t="str">
        <x:v>jcs4</x:v>
      </x:c>
      <x:c r="D92" s="34" t="str">
        <x:v>jcs4</x:v>
      </x:c>
      <x:c r="E92" s="34" t="str">
        <x:v>current-provider-primary-comparison</x:v>
      </x:c>
      <x:c r="F92" s="36" t="n">
        <x:v>2</x:v>
      </x:c>
      <x:c r="G92" s="36" t="n">
        <x:v>2</x:v>
      </x:c>
      <x:c r="H92" s="36" t="n">
        <x:v>4</x:v>
      </x:c>
      <x:c r="I92" s="36" t="n">
        <x:v>1</x:v>
      </x:c>
      <x:c r="J92" s="34" t="str">
        <x:v>initial</x:v>
      </x:c>
      <x:c r="K92" s="34" t="str">
        <x:v>cache-semantics</x:v>
      </x:c>
      <x:c r="L92" s="45" t="b">
        <x:v>1</x:v>
      </x:c>
      <x:c r="M92" s="36" t="n">
        <x:v>1615875156</x:v>
      </x:c>
      <x:c r="N92" s="34" t="str">
        <x:v>0fb37446c0e2fcac42ab0cbd5c7c892698eb7e9b97b424142eea0ba54fd4394a</x:v>
      </x:c>
      <x:c r="O92" s="43" t="n">
        <x:v>10000</x:v>
      </x:c>
      <x:c r="P92" s="43" t="n">
        <x:v>400000</x:v>
      </x:c>
      <x:c r="Q92" s="36" t="n">
        <x:v>8</x:v>
      </x:c>
      <x:c r="R92" s="42" t="n">
        <x:v>95</x:v>
      </x:c>
      <x:c r="S92" s="43" t="n">
        <x:v>512</x:v>
      </x:c>
      <x:c r="T92" s="43" t="n">
        <x:v>50000</x:v>
      </x:c>
      <x:c r="U92" s="46" t="n">
        <x:v>3</x:v>
      </x:c>
      <x:c r="V92" s="46" t="n">
        <x:v>5</x:v>
      </x:c>
      <x:c r="W92" s="43" t="n">
        <x:v>300</x:v>
      </x:c>
      <x:c r="X92" s="34" t="str">
        <x:v>uniform</x:v>
      </x:c>
      <x:c r="Y92" s="42" t="n">
        <x:v>10</x:v>
      </x:c>
      <x:c r="Z92" s="34" t="str">
        <x:v>strict</x:v>
      </x:c>
      <x:c r="AA92" s="36" t="n">
        <x:v>64</x:v>
      </x:c>
      <x:c r="AB92" s="43" t="n">
        <x:v>2092544</x:v>
      </x:c>
      <x:c r="AC92" s="43" t="n">
        <x:v>3001647889</x:v>
      </x:c>
      <x:c r="AD92" s="43" t="n">
        <x:v>1647889</x:v>
      </x:c>
      <x:c r="AE92" s="43" t="n">
        <x:v>1933935.5995577476</x:v>
      </x:c>
      <x:c r="AF92" s="43" t="n">
        <x:v>1218743.157765036</x:v>
      </x:c>
      <x:c r="AG92" s="43" t="n">
        <x:v>6094848</x:v>
      </x:c>
      <x:c r="AH92" s="43" t="n">
        <x:v>5000928999</x:v>
      </x:c>
      <x:c r="AI92" s="43" t="n">
        <x:v>928999</x:v>
      </x:c>
      <x:c r="AJ92" s="43" t="n">
        <x:v>1218743.157765036</x:v>
      </x:c>
      <x:c r="AK92" s="43" t="n">
        <x:v>6094848</x:v>
      </x:c>
      <x:c r="AL92" s="43" t="n">
        <x:v>0</x:v>
      </x:c>
      <x:c r="AM92" s="43" t="n">
        <x:v>404210.28668291215</x:v>
      </x:c>
      <x:c r="AN92" s="43" t="n">
        <x:v>341</x:v>
      </x:c>
      <x:c r="AO92" s="43" t="n">
        <x:v>1323</x:v>
      </x:c>
      <x:c r="AP92" s="43" t="n">
        <x:v>260111</x:v>
      </x:c>
      <x:c r="AQ92" s="43" t="n">
        <x:v>95232</x:v>
      </x:c>
      <x:c r="AR92" s="43" t="n">
        <x:v>1</x:v>
      </x:c>
      <x:c r="AS92" s="45" t="b">
        <x:v>1</x:v>
      </x:c>
      <x:c r="AT92" s="43" t="n">
        <x:v>10000</x:v>
      </x:c>
      <x:c r="AU92" s="48" t="n">
        <x:v>0.9498268045404906</x:v>
      </x:c>
      <x:c r="AV92" s="43" t="n">
        <x:v>10000</x:v>
      </x:c>
      <x:c r="AW92" s="48" t="n">
        <x:v>0.9498268045404906</x:v>
      </x:c>
      <x:c r="AX92" s="45" t="b">
        <x:v>1</x:v>
      </x:c>
      <x:c r="AY92" s="44" t="str">
        <x:v>{"provider":"jcs4","currentEntries":10000,"requestCount":6094848,"hitCount":5789050,"missCount":305798,"hitRate":0.9498268045404906,"loadSuccessCount":0,"loadFailureCount":0,"totalLoadTimeNanos":0,"evictionCount":-1,"expirationCount":-1,"putCount":10000,"removeCount":0,"nativeMetrics":{"HitCountRam":5789050,"Composite.HitCountRam":5789050,"HitCountAux":0,"Composite.HitCountAux":0,"Put Count":10000,"Memory Cache.Put Count":10000,"Hit Count":5789050,"Memory Cache.Hit Count":5789050,"Miss Count":305798,"Memory Cache.Miss Count":305798,"Map Size":10000,"Memory Cache.Map Size":10000,"List Size":10000,"Memory Cache.List Size":10000}}</x:v>
      </x:c>
      <x:c r="AZ92" s="44" t="str">
        <x:v>{"provider":"jcs4","currentEntries":10000,"requestCount":6094848,"hitCount":5789050,"missCount":305798,"hitRate":0.9498268045404906,"loadSuccessCount":0,"loadFailureCount":0,"totalLoadTimeNanos":0,"evictionCount":-1,"expirationCount":-1,"putCount":15000,"removeCount":0,"nativeMetrics":{"HitCountRam":5789050,"Composite.HitCountRam":5789050,"HitCountAux":0,"Composite.HitCountAux":0,"Put Count":15000,"Memory Cache.Put Count":15000,"Hit Count":5789050,"Memory Cache.Hit Count":5789050,"Miss Count":305798,"Memory Cache.Miss Count":305798,"Map Size":10000,"Memory Cache.Map Size":10000,"List Size":10000,"Memory Cache.List Size":10000}}</x:v>
      </x:c>
      <x:c r="BA92" s="43" t="n">
        <x:v>10000</x:v>
      </x:c>
      <x:c r="BB92" s="43" t="n">
        <x:v>6094848</x:v>
      </x:c>
      <x:c r="BC92" s="43" t="n">
        <x:v>5789050</x:v>
      </x:c>
      <x:c r="BD92" s="43" t="n">
        <x:v>305798</x:v>
      </x:c>
      <x:c r="BE92" s="48" t="n">
        <x:v>0.9498268045404906</x:v>
      </x:c>
      <x:c r="BF92" s="43" t="n">
        <x:v>0</x:v>
      </x:c>
      <x:c r="BG92" s="43" t="n">
        <x:v>0</x:v>
      </x:c>
      <x:c r="BH92" s="43" t="n">
        <x:v>0</x:v>
      </x:c>
      <x:c r="BI92" s="43" t="n">
        <x:v>-1</x:v>
      </x:c>
      <x:c r="BJ92" s="43" t="n">
        <x:v>-1</x:v>
      </x:c>
      <x:c r="BK92" s="43" t="n">
        <x:v>15000</x:v>
      </x:c>
      <x:c r="BL92" s="43" t="n">
        <x:v>0</x:v>
      </x:c>
      <x:c r="BM92" s="44" t="str">
        <x:v>{"HitCountRam":5789050,"Composite.HitCountRam":5789050,"HitCountAux":0,"Composite.HitCountAux":0,"Put Count":15000,"Memory Cache.Put Count":15000,"Hit Count":5789050,"Memory Cache.Hit Count":5789050,"Miss Count":305798,"Memory Cache.Miss Count":305798,"Map Size":10000,"Memory Cache.Map Size":10000,"List Size":10000,"Memory Cache.List Size":10000}</x:v>
      </x:c>
    </x:row>
    <x:row r="93">
      <x:c r="A93" s="34" t="str">
        <x:v>article1-unified-v4-2-fb3f101b-20260903-000401-default-f02-p4-jcs4</x:v>
      </x:c>
      <x:c r="B93" s="34" t="str">
        <x:v>default</x:v>
      </x:c>
      <x:c r="C93" s="34" t="str">
        <x:v>jcs4</x:v>
      </x:c>
      <x:c r="D93" s="34" t="str">
        <x:v>jcs4</x:v>
      </x:c>
      <x:c r="E93" s="34" t="str">
        <x:v>current-provider-primary-comparison</x:v>
      </x:c>
      <x:c r="F93" s="36" t="n">
        <x:v>2</x:v>
      </x:c>
      <x:c r="G93" s="36" t="n">
        <x:v>2</x:v>
      </x:c>
      <x:c r="H93" s="36" t="n">
        <x:v>4</x:v>
      </x:c>
      <x:c r="I93" s="36" t="n">
        <x:v>1</x:v>
      </x:c>
      <x:c r="J93" s="34" t="str">
        <x:v>redeploy</x:v>
      </x:c>
      <x:c r="K93" s="34" t="str">
        <x:v>cache-semantics</x:v>
      </x:c>
      <x:c r="L93" s="45" t="b">
        <x:v>1</x:v>
      </x:c>
      <x:c r="M93" s="36" t="n">
        <x:v>1615875156</x:v>
      </x:c>
      <x:c r="N93" s="34" t="str">
        <x:v>0fb37446c0e2fcac42ab0cbd5c7c892698eb7e9b97b424142eea0ba54fd4394a</x:v>
      </x:c>
      <x:c r="O93" s="43" t="n">
        <x:v>10000</x:v>
      </x:c>
      <x:c r="P93" s="43" t="n">
        <x:v>400000</x:v>
      </x:c>
      <x:c r="Q93" s="36" t="n">
        <x:v>8</x:v>
      </x:c>
      <x:c r="R93" s="42" t="n">
        <x:v>95</x:v>
      </x:c>
      <x:c r="S93" s="43" t="n">
        <x:v>512</x:v>
      </x:c>
      <x:c r="T93" s="43" t="n">
        <x:v>50000</x:v>
      </x:c>
      <x:c r="U93" s="46" t="n">
        <x:v>3</x:v>
      </x:c>
      <x:c r="V93" s="46" t="n">
        <x:v>5</x:v>
      </x:c>
      <x:c r="W93" s="43" t="n">
        <x:v>300</x:v>
      </x:c>
      <x:c r="X93" s="34" t="str">
        <x:v>uniform</x:v>
      </x:c>
      <x:c r="Y93" s="42" t="n">
        <x:v>10</x:v>
      </x:c>
      <x:c r="Z93" s="34" t="str">
        <x:v>strict</x:v>
      </x:c>
      <x:c r="AA93" s="36" t="n">
        <x:v>64</x:v>
      </x:c>
      <x:c r="AB93" s="43" t="n">
        <x:v>2167296</x:v>
      </x:c>
      <x:c r="AC93" s="43" t="n">
        <x:v>3001334601</x:v>
      </x:c>
      <x:c r="AD93" s="43" t="n">
        <x:v>1334601</x:v>
      </x:c>
      <x:c r="AE93" s="43" t="n">
        <x:v>3801080.343055103</x:v>
      </x:c>
      <x:c r="AF93" s="43" t="n">
        <x:v>808191.0432547929</x:v>
      </x:c>
      <x:c r="AG93" s="43" t="n">
        <x:v>4042240</x:v>
      </x:c>
      <x:c r="AH93" s="43" t="n">
        <x:v>5001589703</x:v>
      </x:c>
      <x:c r="AI93" s="43" t="n">
        <x:v>1589703</x:v>
      </x:c>
      <x:c r="AJ93" s="43" t="n">
        <x:v>808191.0432547929</x:v>
      </x:c>
      <x:c r="AK93" s="43" t="n">
        <x:v>4042240</x:v>
      </x:c>
      <x:c r="AL93" s="43" t="n">
        <x:v>0</x:v>
      </x:c>
      <x:c r="AM93" s="43" t="n">
        <x:v>415323.1999456425</x:v>
      </x:c>
      <x:c r="AN93" s="43" t="n">
        <x:v>571</x:v>
      </x:c>
      <x:c r="AO93" s="43" t="n">
        <x:v>2806</x:v>
      </x:c>
      <x:c r="AP93" s="43" t="n">
        <x:v>302269</x:v>
      </x:c>
      <x:c r="AQ93" s="43" t="n">
        <x:v>63160</x:v>
      </x:c>
      <x:c r="AR93" s="43" t="n">
        <x:v>1</x:v>
      </x:c>
      <x:c r="AS93" s="45" t="b">
        <x:v>1</x:v>
      </x:c>
      <x:c r="AT93" s="43" t="n">
        <x:v>10000</x:v>
      </x:c>
      <x:c r="AU93" s="48" t="n">
        <x:v>0.9498206439993667</x:v>
      </x:c>
      <x:c r="AV93" s="43" t="n">
        <x:v>10000</x:v>
      </x:c>
      <x:c r="AW93" s="48" t="n">
        <x:v>0.9498206439993667</x:v>
      </x:c>
      <x:c r="AX93" s="45" t="b">
        <x:v>1</x:v>
      </x:c>
      <x:c r="AY93" s="44" t="str">
        <x:v>{"provider":"jcs4","currentEntries":10000,"requestCount":4042240,"hitCount":3839403,"missCount":202837,"hitRate":0.9498206439993667,"loadSuccessCount":0,"loadFailureCount":0,"totalLoadTimeNanos":0,"evictionCount":-1,"expirationCount":-1,"putCount":10000,"removeCount":0,"nativeMetrics":{"HitCountRam":3839403,"Composite.HitCountRam":3839403,"HitCountAux":0,"Composite.HitCountAux":0,"Put Count":10000,"Memory Cache.Put Count":10000,"Hit Count":3839403,"Memory Cache.Hit Count":3839403,"Miss Count":202837,"Memory Cache.Miss Count":202837,"Map Size":10000,"Memory Cache.Map Size":10000,"List Size":10000,"Memory Cache.List Size":10000}}</x:v>
      </x:c>
      <x:c r="AZ93" s="44" t="str">
        <x:v>{"provider":"jcs4","currentEntries":10000,"requestCount":4042240,"hitCount":3839403,"missCount":202837,"hitRate":0.9498206439993667,"loadSuccessCount":0,"loadFailureCount":0,"totalLoadTimeNanos":0,"evictionCount":-1,"expirationCount":-1,"putCount":15000,"removeCount":0,"nativeMetrics":{"HitCountRam":3839403,"Composite.HitCountRam":3839403,"HitCountAux":0,"Composite.HitCountAux":0,"Put Count":15000,"Memory Cache.Put Count":15000,"Hit Count":3839403,"Memory Cache.Hit Count":3839403,"Miss Count":202837,"Memory Cache.Miss Count":202837,"Map Size":10000,"Memory Cache.Map Size":10000,"List Size":10000,"Memory Cache.List Size":10000}}</x:v>
      </x:c>
      <x:c r="BA93" s="43" t="n">
        <x:v>10000</x:v>
      </x:c>
      <x:c r="BB93" s="43" t="n">
        <x:v>4042240</x:v>
      </x:c>
      <x:c r="BC93" s="43" t="n">
        <x:v>3839403</x:v>
      </x:c>
      <x:c r="BD93" s="43" t="n">
        <x:v>202837</x:v>
      </x:c>
      <x:c r="BE93" s="48" t="n">
        <x:v>0.9498206439993667</x:v>
      </x:c>
      <x:c r="BF93" s="43" t="n">
        <x:v>0</x:v>
      </x:c>
      <x:c r="BG93" s="43" t="n">
        <x:v>0</x:v>
      </x:c>
      <x:c r="BH93" s="43" t="n">
        <x:v>0</x:v>
      </x:c>
      <x:c r="BI93" s="43" t="n">
        <x:v>-1</x:v>
      </x:c>
      <x:c r="BJ93" s="43" t="n">
        <x:v>-1</x:v>
      </x:c>
      <x:c r="BK93" s="43" t="n">
        <x:v>15000</x:v>
      </x:c>
      <x:c r="BL93" s="43" t="n">
        <x:v>0</x:v>
      </x:c>
      <x:c r="BM93" s="44" t="str">
        <x:v>{"HitCountRam":3839403,"Composite.HitCountRam":3839403,"HitCountAux":0,"Composite.HitCountAux":0,"Put Count":15000,"Memory Cache.Put Count":15000,"Hit Count":3839403,"Memory Cache.Hit Count":3839403,"Miss Count":202837,"Memory Cache.Miss Count":202837,"Map Size":10000,"Memory Cache.Map Size":10000,"List Size":10000,"Memory Cache.List Size":10000}</x:v>
      </x:c>
    </x:row>
    <x:row r="94">
      <x:c r="A94" s="34" t="str">
        <x:v>article1-unified-v4-2-fb3f101b-20260903-000401-default-f02-p4-jcs4</x:v>
      </x:c>
      <x:c r="B94" s="34" t="str">
        <x:v>default</x:v>
      </x:c>
      <x:c r="C94" s="34" t="str">
        <x:v>jcs4</x:v>
      </x:c>
      <x:c r="D94" s="34" t="str">
        <x:v>jcs4</x:v>
      </x:c>
      <x:c r="E94" s="34" t="str">
        <x:v>current-provider-primary-comparison</x:v>
      </x:c>
      <x:c r="F94" s="36" t="n">
        <x:v>2</x:v>
      </x:c>
      <x:c r="G94" s="36" t="n">
        <x:v>2</x:v>
      </x:c>
      <x:c r="H94" s="36" t="n">
        <x:v>4</x:v>
      </x:c>
      <x:c r="I94" s="36" t="n">
        <x:v>2</x:v>
      </x:c>
      <x:c r="J94" s="34" t="str">
        <x:v>initial</x:v>
      </x:c>
      <x:c r="K94" s="34" t="str">
        <x:v>cache-semantics</x:v>
      </x:c>
      <x:c r="L94" s="45" t="b">
        <x:v>1</x:v>
      </x:c>
      <x:c r="M94" s="36" t="n">
        <x:v>1276216390</x:v>
      </x:c>
      <x:c r="N94" s="34" t="str">
        <x:v>b1b1fad534e2c4c4d7722cdd92c497d70af07481e43490fceffff21f05e0b6a0</x:v>
      </x:c>
      <x:c r="O94" s="43" t="n">
        <x:v>10000</x:v>
      </x:c>
      <x:c r="P94" s="43" t="n">
        <x:v>400000</x:v>
      </x:c>
      <x:c r="Q94" s="36" t="n">
        <x:v>8</x:v>
      </x:c>
      <x:c r="R94" s="42" t="n">
        <x:v>95</x:v>
      </x:c>
      <x:c r="S94" s="43" t="n">
        <x:v>512</x:v>
      </x:c>
      <x:c r="T94" s="43" t="n">
        <x:v>50000</x:v>
      </x:c>
      <x:c r="U94" s="46" t="n">
        <x:v>3</x:v>
      </x:c>
      <x:c r="V94" s="46" t="n">
        <x:v>5</x:v>
      </x:c>
      <x:c r="W94" s="43" t="n">
        <x:v>300</x:v>
      </x:c>
      <x:c r="X94" s="34" t="str">
        <x:v>uniform</x:v>
      </x:c>
      <x:c r="Y94" s="42" t="n">
        <x:v>10</x:v>
      </x:c>
      <x:c r="Z94" s="34" t="str">
        <x:v>strict</x:v>
      </x:c>
      <x:c r="AA94" s="36" t="n">
        <x:v>64</x:v>
      </x:c>
      <x:c r="AB94" s="43" t="n">
        <x:v>1795584</x:v>
      </x:c>
      <x:c r="AC94" s="43" t="n">
        <x:v>3001702622</x:v>
      </x:c>
      <x:c r="AD94" s="43" t="n">
        <x:v>1702622</x:v>
      </x:c>
      <x:c r="AE94" s="43" t="n">
        <x:v>3285314.087525367</x:v>
      </x:c>
      <x:c r="AF94" s="43" t="n">
        <x:v>856131.3993073169</x:v>
      </x:c>
      <x:c r="AG94" s="43" t="n">
        <x:v>4281856</x:v>
      </x:c>
      <x:c r="AH94" s="43" t="n">
        <x:v>5001400490</x:v>
      </x:c>
      <x:c r="AI94" s="43" t="n">
        <x:v>1400490</x:v>
      </x:c>
      <x:c r="AJ94" s="43" t="n">
        <x:v>856131.3993073169</x:v>
      </x:c>
      <x:c r="AK94" s="43" t="n">
        <x:v>4281856</x:v>
      </x:c>
      <x:c r="AL94" s="43" t="n">
        <x:v>0</x:v>
      </x:c>
      <x:c r="AM94" s="43" t="n">
        <x:v>462124.8909154195</x:v>
      </x:c>
      <x:c r="AN94" s="43" t="n">
        <x:v>541</x:v>
      </x:c>
      <x:c r="AO94" s="43" t="n">
        <x:v>2525</x:v>
      </x:c>
      <x:c r="AP94" s="43" t="n">
        <x:v>302021</x:v>
      </x:c>
      <x:c r="AQ94" s="43" t="n">
        <x:v>66904</x:v>
      </x:c>
      <x:c r="AR94" s="43" t="n">
        <x:v>1</x:v>
      </x:c>
      <x:c r="AS94" s="45" t="b">
        <x:v>1</x:v>
      </x:c>
      <x:c r="AT94" s="43" t="n">
        <x:v>10000</x:v>
      </x:c>
      <x:c r="AU94" s="48" t="n">
        <x:v>0.9492575182350831</x:v>
      </x:c>
      <x:c r="AV94" s="43" t="n">
        <x:v>10000</x:v>
      </x:c>
      <x:c r="AW94" s="48" t="n">
        <x:v>0.9492575182350831</x:v>
      </x:c>
      <x:c r="AX94" s="45" t="b">
        <x:v>1</x:v>
      </x:c>
      <x:c r="AY94" s="44" t="str">
        <x:v>{"provider":"jcs4","currentEntries":10000,"requestCount":4281856,"hitCount":4064584,"missCount":217272,"hitRate":0.9492575182350831,"loadSuccessCount":0,"loadFailureCount":0,"totalLoadTimeNanos":0,"evictionCount":-1,"expirationCount":-1,"putCount":10000,"removeCount":0,"nativeMetrics":{"HitCountRam":4064584,"Composite.HitCountRam":4064584,"HitCountAux":0,"Composite.HitCountAux":0,"Put Count":10000,"Memory Cache.Put Count":10000,"Hit Count":4064584,"Memory Cache.Hit Count":4064584,"Miss Count":217272,"Memory Cache.Miss Count":217272,"Map Size":10000,"Memory Cache.Map Size":10000,"List Size":10000,"Memory Cache.List Size":10000}}</x:v>
      </x:c>
      <x:c r="AZ94" s="44" t="str">
        <x:v>{"provider":"jcs4","currentEntries":10000,"requestCount":4281856,"hitCount":4064584,"missCount":217272,"hitRate":0.9492575182350831,"loadSuccessCount":0,"loadFailureCount":0,"totalLoadTimeNanos":0,"evictionCount":-1,"expirationCount":-1,"putCount":15000,"removeCount":0,"nativeMetrics":{"HitCountRam":4064584,"Composite.HitCountRam":4064584,"HitCountAux":0,"Composite.HitCountAux":0,"Put Count":15000,"Memory Cache.Put Count":15000,"Hit Count":4064584,"Memory Cache.Hit Count":4064584,"Miss Count":217272,"Memory Cache.Miss Count":217272,"Map Size":10000,"Memory Cache.Map Size":10000,"List Size":10000,"Memory Cache.List Size":10000}}</x:v>
      </x:c>
      <x:c r="BA94" s="43" t="n">
        <x:v>10000</x:v>
      </x:c>
      <x:c r="BB94" s="43" t="n">
        <x:v>4281856</x:v>
      </x:c>
      <x:c r="BC94" s="43" t="n">
        <x:v>4064584</x:v>
      </x:c>
      <x:c r="BD94" s="43" t="n">
        <x:v>217272</x:v>
      </x:c>
      <x:c r="BE94" s="48" t="n">
        <x:v>0.9492575182350831</x:v>
      </x:c>
      <x:c r="BF94" s="43" t="n">
        <x:v>0</x:v>
      </x:c>
      <x:c r="BG94" s="43" t="n">
        <x:v>0</x:v>
      </x:c>
      <x:c r="BH94" s="43" t="n">
        <x:v>0</x:v>
      </x:c>
      <x:c r="BI94" s="43" t="n">
        <x:v>-1</x:v>
      </x:c>
      <x:c r="BJ94" s="43" t="n">
        <x:v>-1</x:v>
      </x:c>
      <x:c r="BK94" s="43" t="n">
        <x:v>15000</x:v>
      </x:c>
      <x:c r="BL94" s="43" t="n">
        <x:v>0</x:v>
      </x:c>
      <x:c r="BM94" s="44" t="str">
        <x:v>{"HitCountRam":4064584,"Composite.HitCountRam":4064584,"HitCountAux":0,"Composite.HitCountAux":0,"Put Count":15000,"Memory Cache.Put Count":15000,"Hit Count":4064584,"Memory Cache.Hit Count":4064584,"Miss Count":217272,"Memory Cache.Miss Count":217272,"Map Size":10000,"Memory Cache.Map Size":10000,"List Size":10000,"Memory Cache.List Size":10000}</x:v>
      </x:c>
    </x:row>
    <x:row r="95">
      <x:c r="A95" s="34" t="str">
        <x:v>article1-unified-v4-2-fb3f101b-20260903-000401-default-f02-p4-jcs4</x:v>
      </x:c>
      <x:c r="B95" s="34" t="str">
        <x:v>default</x:v>
      </x:c>
      <x:c r="C95" s="34" t="str">
        <x:v>jcs4</x:v>
      </x:c>
      <x:c r="D95" s="34" t="str">
        <x:v>jcs4</x:v>
      </x:c>
      <x:c r="E95" s="34" t="str">
        <x:v>current-provider-primary-comparison</x:v>
      </x:c>
      <x:c r="F95" s="36" t="n">
        <x:v>2</x:v>
      </x:c>
      <x:c r="G95" s="36" t="n">
        <x:v>2</x:v>
      </x:c>
      <x:c r="H95" s="36" t="n">
        <x:v>4</x:v>
      </x:c>
      <x:c r="I95" s="36" t="n">
        <x:v>2</x:v>
      </x:c>
      <x:c r="J95" s="34" t="str">
        <x:v>redeploy</x:v>
      </x:c>
      <x:c r="K95" s="34" t="str">
        <x:v>cache-semantics</x:v>
      </x:c>
      <x:c r="L95" s="45" t="b">
        <x:v>1</x:v>
      </x:c>
      <x:c r="M95" s="36" t="n">
        <x:v>1276216390</x:v>
      </x:c>
      <x:c r="N95" s="34" t="str">
        <x:v>b1b1fad534e2c4c4d7722cdd92c497d70af07481e43490fceffff21f05e0b6a0</x:v>
      </x:c>
      <x:c r="O95" s="43" t="n">
        <x:v>10000</x:v>
      </x:c>
      <x:c r="P95" s="43" t="n">
        <x:v>400000</x:v>
      </x:c>
      <x:c r="Q95" s="36" t="n">
        <x:v>8</x:v>
      </x:c>
      <x:c r="R95" s="42" t="n">
        <x:v>95</x:v>
      </x:c>
      <x:c r="S95" s="43" t="n">
        <x:v>512</x:v>
      </x:c>
      <x:c r="T95" s="43" t="n">
        <x:v>50000</x:v>
      </x:c>
      <x:c r="U95" s="46" t="n">
        <x:v>3</x:v>
      </x:c>
      <x:c r="V95" s="46" t="n">
        <x:v>5</x:v>
      </x:c>
      <x:c r="W95" s="43" t="n">
        <x:v>300</x:v>
      </x:c>
      <x:c r="X95" s="34" t="str">
        <x:v>uniform</x:v>
      </x:c>
      <x:c r="Y95" s="42" t="n">
        <x:v>10</x:v>
      </x:c>
      <x:c r="Z95" s="34" t="str">
        <x:v>strict</x:v>
      </x:c>
      <x:c r="AA95" s="36" t="n">
        <x:v>64</x:v>
      </x:c>
      <x:c r="AB95" s="43" t="n">
        <x:v>2525184</x:v>
      </x:c>
      <x:c r="AC95" s="43" t="n">
        <x:v>3001639936</x:v>
      </x:c>
      <x:c r="AD95" s="43" t="n">
        <x:v>1639936</x:v>
      </x:c>
      <x:c r="AE95" s="43" t="n">
        <x:v>4365392.044946076</x:v>
      </x:c>
      <x:c r="AF95" s="43" t="n">
        <x:v>836683.7997286437</x:v>
      </x:c>
      <x:c r="AG95" s="43" t="n">
        <x:v>4184320</x:v>
      </x:c>
      <x:c r="AH95" s="43" t="n">
        <x:v>5001076872</x:v>
      </x:c>
      <x:c r="AI95" s="43" t="n">
        <x:v>1076872</x:v>
      </x:c>
      <x:c r="AJ95" s="43" t="n">
        <x:v>836683.7997286437</x:v>
      </x:c>
      <x:c r="AK95" s="43" t="n">
        <x:v>4184320</x:v>
      </x:c>
      <x:c r="AL95" s="43" t="n">
        <x:v>0</x:v>
      </x:c>
      <x:c r="AM95" s="43" t="n">
        <x:v>391962.6337317712</x:v>
      </x:c>
      <x:c r="AN95" s="43" t="n">
        <x:v>521</x:v>
      </x:c>
      <x:c r="AO95" s="43" t="n">
        <x:v>2845</x:v>
      </x:c>
      <x:c r="AP95" s="43" t="n">
        <x:v>297503</x:v>
      </x:c>
      <x:c r="AQ95" s="43" t="n">
        <x:v>65380</x:v>
      </x:c>
      <x:c r="AR95" s="43" t="n">
        <x:v>1</x:v>
      </x:c>
      <x:c r="AS95" s="45" t="b">
        <x:v>1</x:v>
      </x:c>
      <x:c r="AT95" s="43" t="n">
        <x:v>10000</x:v>
      </x:c>
      <x:c r="AU95" s="48" t="n">
        <x:v>0.9492665474915877</x:v>
      </x:c>
      <x:c r="AV95" s="43" t="n">
        <x:v>10000</x:v>
      </x:c>
      <x:c r="AW95" s="48" t="n">
        <x:v>0.9492665474915877</x:v>
      </x:c>
      <x:c r="AX95" s="45" t="b">
        <x:v>1</x:v>
      </x:c>
      <x:c r="AY95" s="44" t="str">
        <x:v>{"provider":"jcs4","currentEntries":10000,"requestCount":4184320,"hitCount":3972035,"missCount":212285,"hitRate":0.9492665474915877,"loadSuccessCount":0,"loadFailureCount":0,"totalLoadTimeNanos":0,"evictionCount":-1,"expirationCount":-1,"putCount":10000,"removeCount":0,"nativeMetrics":{"HitCountRam":3972035,"Composite.HitCountRam":3972035,"HitCountAux":0,"Composite.HitCountAux":0,"Put Count":10000,"Memory Cache.Put Count":10000,"Hit Count":3972035,"Memory Cache.Hit Count":3972035,"Miss Count":212285,"Memory Cache.Miss Count":212285,"Map Size":10000,"Memory Cache.Map Size":10000,"List Size":10000,"Memory Cache.List Size":10000}}</x:v>
      </x:c>
      <x:c r="AZ95" s="44" t="str">
        <x:v>{"provider":"jcs4","currentEntries":10000,"requestCount":4184320,"hitCount":3972035,"missCount":212285,"hitRate":0.9492665474915877,"loadSuccessCount":0,"loadFailureCount":0,"totalLoadTimeNanos":0,"evictionCount":-1,"expirationCount":-1,"putCount":15000,"removeCount":0,"nativeMetrics":{"HitCountRam":3972035,"Composite.HitCountRam":3972035,"HitCountAux":0,"Composite.HitCountAux":0,"Put Count":15000,"Memory Cache.Put Count":15000,"Hit Count":3972035,"Memory Cache.Hit Count":3972035,"Miss Count":212285,"Memory Cache.Miss Count":212285,"Map Size":10000,"Memory Cache.Map Size":10000,"List Size":10000,"Memory Cache.List Size":10000}}</x:v>
      </x:c>
      <x:c r="BA95" s="43" t="n">
        <x:v>10000</x:v>
      </x:c>
      <x:c r="BB95" s="43" t="n">
        <x:v>4184320</x:v>
      </x:c>
      <x:c r="BC95" s="43" t="n">
        <x:v>3972035</x:v>
      </x:c>
      <x:c r="BD95" s="43" t="n">
        <x:v>212285</x:v>
      </x:c>
      <x:c r="BE95" s="48" t="n">
        <x:v>0.9492665474915877</x:v>
      </x:c>
      <x:c r="BF95" s="43" t="n">
        <x:v>0</x:v>
      </x:c>
      <x:c r="BG95" s="43" t="n">
        <x:v>0</x:v>
      </x:c>
      <x:c r="BH95" s="43" t="n">
        <x:v>0</x:v>
      </x:c>
      <x:c r="BI95" s="43" t="n">
        <x:v>-1</x:v>
      </x:c>
      <x:c r="BJ95" s="43" t="n">
        <x:v>-1</x:v>
      </x:c>
      <x:c r="BK95" s="43" t="n">
        <x:v>15000</x:v>
      </x:c>
      <x:c r="BL95" s="43" t="n">
        <x:v>0</x:v>
      </x:c>
      <x:c r="BM95" s="44" t="str">
        <x:v>{"HitCountRam":3972035,"Composite.HitCountRam":3972035,"HitCountAux":0,"Composite.HitCountAux":0,"Put Count":15000,"Memory Cache.Put Count":15000,"Hit Count":3972035,"Memory Cache.Hit Count":3972035,"Miss Count":212285,"Memory Cache.Miss Count":212285,"Map Size":10000,"Memory Cache.Map Size":10000,"List Size":10000,"Memory Cache.List Size":10000}</x:v>
      </x:c>
    </x:row>
    <x:row r="96">
      <x:c r="A96" s="34" t="str">
        <x:v>article1-unified-v4-2-fb3f101b-20260903-000401-default-f02-p4-jcs4</x:v>
      </x:c>
      <x:c r="B96" s="34" t="str">
        <x:v>default</x:v>
      </x:c>
      <x:c r="C96" s="34" t="str">
        <x:v>jcs4</x:v>
      </x:c>
      <x:c r="D96" s="34" t="str">
        <x:v>jcs4</x:v>
      </x:c>
      <x:c r="E96" s="34" t="str">
        <x:v>current-provider-primary-comparison</x:v>
      </x:c>
      <x:c r="F96" s="36" t="n">
        <x:v>2</x:v>
      </x:c>
      <x:c r="G96" s="36" t="n">
        <x:v>2</x:v>
      </x:c>
      <x:c r="H96" s="36" t="n">
        <x:v>4</x:v>
      </x:c>
      <x:c r="I96" s="36" t="n">
        <x:v>3</x:v>
      </x:c>
      <x:c r="J96" s="34" t="str">
        <x:v>initial</x:v>
      </x:c>
      <x:c r="K96" s="34" t="str">
        <x:v>cache-semantics</x:v>
      </x:c>
      <x:c r="L96" s="45" t="b">
        <x:v>1</x:v>
      </x:c>
      <x:c r="M96" s="36" t="n">
        <x:v>959719280</x:v>
      </x:c>
      <x:c r="N96" s="34" t="str">
        <x:v>23946bc667956929e23dfb22e893f0f3724ae41926d14e5ececed76e98fb7a11</x:v>
      </x:c>
      <x:c r="O96" s="43" t="n">
        <x:v>10000</x:v>
      </x:c>
      <x:c r="P96" s="43" t="n">
        <x:v>400000</x:v>
      </x:c>
      <x:c r="Q96" s="36" t="n">
        <x:v>8</x:v>
      </x:c>
      <x:c r="R96" s="42" t="n">
        <x:v>95</x:v>
      </x:c>
      <x:c r="S96" s="43" t="n">
        <x:v>512</x:v>
      </x:c>
      <x:c r="T96" s="43" t="n">
        <x:v>50000</x:v>
      </x:c>
      <x:c r="U96" s="46" t="n">
        <x:v>3</x:v>
      </x:c>
      <x:c r="V96" s="46" t="n">
        <x:v>5</x:v>
      </x:c>
      <x:c r="W96" s="43" t="n">
        <x:v>300</x:v>
      </x:c>
      <x:c r="X96" s="34" t="str">
        <x:v>uniform</x:v>
      </x:c>
      <x:c r="Y96" s="42" t="n">
        <x:v>10</x:v>
      </x:c>
      <x:c r="Z96" s="34" t="str">
        <x:v>strict</x:v>
      </x:c>
      <x:c r="AA96" s="36" t="n">
        <x:v>64</x:v>
      </x:c>
      <x:c r="AB96" s="43" t="n">
        <x:v>2127872</x:v>
      </x:c>
      <x:c r="AC96" s="43" t="n">
        <x:v>3001018044</x:v>
      </x:c>
      <x:c r="AD96" s="43" t="n">
        <x:v>1018044</x:v>
      </x:c>
      <x:c r="AE96" s="43" t="n">
        <x:v>3522854.695982924</x:v>
      </x:c>
      <x:c r="AF96" s="43" t="n">
        <x:v>730053.2894553309</x:v>
      </x:c>
      <x:c r="AG96" s="43" t="n">
        <x:v>3651584</x:v>
      </x:c>
      <x:c r="AH96" s="43" t="n">
        <x:v>5001804735</x:v>
      </x:c>
      <x:c r="AI96" s="43" t="n">
        <x:v>1804735</x:v>
      </x:c>
      <x:c r="AJ96" s="43" t="n">
        <x:v>730053.2894553309</x:v>
      </x:c>
      <x:c r="AK96" s="43" t="n">
        <x:v>3651584</x:v>
      </x:c>
      <x:c r="AL96" s="43" t="n">
        <x:v>0</x:v>
      </x:c>
      <x:c r="AM96" s="43" t="n">
        <x:v>417394.98613455595</x:v>
      </x:c>
      <x:c r="AN96" s="43" t="n">
        <x:v>671</x:v>
      </x:c>
      <x:c r="AO96" s="43" t="n">
        <x:v>4158</x:v>
      </x:c>
      <x:c r="AP96" s="43" t="n">
        <x:v>342408</x:v>
      </x:c>
      <x:c r="AQ96" s="43" t="n">
        <x:v>57056</x:v>
      </x:c>
      <x:c r="AR96" s="43" t="n">
        <x:v>1</x:v>
      </x:c>
      <x:c r="AS96" s="45" t="b">
        <x:v>1</x:v>
      </x:c>
      <x:c r="AT96" s="43" t="n">
        <x:v>10000</x:v>
      </x:c>
      <x:c r="AU96" s="48" t="n">
        <x:v>0.9504053583321649</x:v>
      </x:c>
      <x:c r="AV96" s="43" t="n">
        <x:v>10000</x:v>
      </x:c>
      <x:c r="AW96" s="48" t="n">
        <x:v>0.9504053583321649</x:v>
      </x:c>
      <x:c r="AX96" s="45" t="b">
        <x:v>1</x:v>
      </x:c>
      <x:c r="AY96" s="44" t="str">
        <x:v>{"provider":"jcs4","currentEntries":10000,"requestCount":3651584,"hitCount":3470485,"missCount":181099,"hitRate":0.9504053583321649,"loadSuccessCount":0,"loadFailureCount":0,"totalLoadTimeNanos":0,"evictionCount":-1,"expirationCount":-1,"putCount":10000,"removeCount":0,"nativeMetrics":{"HitCountRam":3470485,"Composite.HitCountRam":3470485,"HitCountAux":0,"Composite.HitCountAux":0,"Put Count":10000,"Memory Cache.Put Count":10000,"Hit Count":3470485,"Memory Cache.Hit Count":3470485,"Miss Count":181099,"Memory Cache.Miss Count":181099,"Map Size":10000,"Memory Cache.Map Size":10000,"List Size":10000,"Memory Cache.List Size":10000}}</x:v>
      </x:c>
      <x:c r="AZ96" s="44" t="str">
        <x:v>{"provider":"jcs4","currentEntries":10000,"requestCount":3651584,"hitCount":3470485,"missCount":181099,"hitRate":0.9504053583321649,"loadSuccessCount":0,"loadFailureCount":0,"totalLoadTimeNanos":0,"evictionCount":-1,"expirationCount":-1,"putCount":15000,"removeCount":0,"nativeMetrics":{"HitCountRam":3470485,"Composite.HitCountRam":3470485,"HitCountAux":0,"Composite.HitCountAux":0,"Put Count":15000,"Memory Cache.Put Count":15000,"Hit Count":3470485,"Memory Cache.Hit Count":3470485,"Miss Count":181099,"Memory Cache.Miss Count":181099,"Map Size":10000,"Memory Cache.Map Size":10000,"List Size":10000,"Memory Cache.List Size":10000}}</x:v>
      </x:c>
      <x:c r="BA96" s="43" t="n">
        <x:v>10000</x:v>
      </x:c>
      <x:c r="BB96" s="43" t="n">
        <x:v>3651584</x:v>
      </x:c>
      <x:c r="BC96" s="43" t="n">
        <x:v>3470485</x:v>
      </x:c>
      <x:c r="BD96" s="43" t="n">
        <x:v>181099</x:v>
      </x:c>
      <x:c r="BE96" s="48" t="n">
        <x:v>0.9504053583321649</x:v>
      </x:c>
      <x:c r="BF96" s="43" t="n">
        <x:v>0</x:v>
      </x:c>
      <x:c r="BG96" s="43" t="n">
        <x:v>0</x:v>
      </x:c>
      <x:c r="BH96" s="43" t="n">
        <x:v>0</x:v>
      </x:c>
      <x:c r="BI96" s="43" t="n">
        <x:v>-1</x:v>
      </x:c>
      <x:c r="BJ96" s="43" t="n">
        <x:v>-1</x:v>
      </x:c>
      <x:c r="BK96" s="43" t="n">
        <x:v>15000</x:v>
      </x:c>
      <x:c r="BL96" s="43" t="n">
        <x:v>0</x:v>
      </x:c>
      <x:c r="BM96" s="44" t="str">
        <x:v>{"HitCountRam":3470485,"Composite.HitCountRam":3470485,"HitCountAux":0,"Composite.HitCountAux":0,"Put Count":15000,"Memory Cache.Put Count":15000,"Hit Count":3470485,"Memory Cache.Hit Count":3470485,"Miss Count":181099,"Memory Cache.Miss Count":181099,"Map Size":10000,"Memory Cache.Map Size":10000,"List Size":10000,"Memory Cache.List Size":10000}</x:v>
      </x:c>
    </x:row>
    <x:row r="97">
      <x:c r="A97" s="34" t="str">
        <x:v>article1-unified-v4-2-fb3f101b-20260903-000401-default-f02-p4-jcs4</x:v>
      </x:c>
      <x:c r="B97" s="34" t="str">
        <x:v>default</x:v>
      </x:c>
      <x:c r="C97" s="34" t="str">
        <x:v>jcs4</x:v>
      </x:c>
      <x:c r="D97" s="34" t="str">
        <x:v>jcs4</x:v>
      </x:c>
      <x:c r="E97" s="34" t="str">
        <x:v>current-provider-primary-comparison</x:v>
      </x:c>
      <x:c r="F97" s="36" t="n">
        <x:v>2</x:v>
      </x:c>
      <x:c r="G97" s="36" t="n">
        <x:v>2</x:v>
      </x:c>
      <x:c r="H97" s="36" t="n">
        <x:v>4</x:v>
      </x:c>
      <x:c r="I97" s="36" t="n">
        <x:v>3</x:v>
      </x:c>
      <x:c r="J97" s="34" t="str">
        <x:v>redeploy</x:v>
      </x:c>
      <x:c r="K97" s="34" t="str">
        <x:v>cache-semantics</x:v>
      </x:c>
      <x:c r="L97" s="45" t="b">
        <x:v>1</x:v>
      </x:c>
      <x:c r="M97" s="36" t="n">
        <x:v>959719280</x:v>
      </x:c>
      <x:c r="N97" s="34" t="str">
        <x:v>23946bc667956929e23dfb22e893f0f3724ae41926d14e5ececed76e98fb7a11</x:v>
      </x:c>
      <x:c r="O97" s="43" t="n">
        <x:v>10000</x:v>
      </x:c>
      <x:c r="P97" s="43" t="n">
        <x:v>400000</x:v>
      </x:c>
      <x:c r="Q97" s="36" t="n">
        <x:v>8</x:v>
      </x:c>
      <x:c r="R97" s="42" t="n">
        <x:v>95</x:v>
      </x:c>
      <x:c r="S97" s="43" t="n">
        <x:v>512</x:v>
      </x:c>
      <x:c r="T97" s="43" t="n">
        <x:v>50000</x:v>
      </x:c>
      <x:c r="U97" s="46" t="n">
        <x:v>3</x:v>
      </x:c>
      <x:c r="V97" s="46" t="n">
        <x:v>5</x:v>
      </x:c>
      <x:c r="W97" s="43" t="n">
        <x:v>300</x:v>
      </x:c>
      <x:c r="X97" s="34" t="str">
        <x:v>uniform</x:v>
      </x:c>
      <x:c r="Y97" s="42" t="n">
        <x:v>10</x:v>
      </x:c>
      <x:c r="Z97" s="34" t="str">
        <x:v>strict</x:v>
      </x:c>
      <x:c r="AA97" s="36" t="n">
        <x:v>64</x:v>
      </x:c>
      <x:c r="AB97" s="43" t="n">
        <x:v>2084096</x:v>
      </x:c>
      <x:c r="AC97" s="43" t="n">
        <x:v>3001107468</x:v>
      </x:c>
      <x:c r="AD97" s="43" t="n">
        <x:v>1107468</x:v>
      </x:c>
      <x:c r="AE97" s="43" t="n">
        <x:v>2975497.9644618426</x:v>
      </x:c>
      <x:c r="AF97" s="43" t="n">
        <x:v>941704.9448983379</x:v>
      </x:c>
      <x:c r="AG97" s="43" t="n">
        <x:v>4709632</x:v>
      </x:c>
      <x:c r="AH97" s="43" t="n">
        <x:v>5001175820</x:v>
      </x:c>
      <x:c r="AI97" s="43" t="n">
        <x:v>1175820</x:v>
      </x:c>
      <x:c r="AJ97" s="43" t="n">
        <x:v>941704.9448983379</x:v>
      </x:c>
      <x:c r="AK97" s="43" t="n">
        <x:v>4709632</x:v>
      </x:c>
      <x:c r="AL97" s="43" t="n">
        <x:v>0</x:v>
      </x:c>
      <x:c r="AM97" s="43" t="n">
        <x:v>453514.12220300833</x:v>
      </x:c>
      <x:c r="AN97" s="43" t="n">
        <x:v>460</x:v>
      </x:c>
      <x:c r="AO97" s="43" t="n">
        <x:v>2073</x:v>
      </x:c>
      <x:c r="AP97" s="43" t="n">
        <x:v>293264</x:v>
      </x:c>
      <x:c r="AQ97" s="43" t="n">
        <x:v>73588</x:v>
      </x:c>
      <x:c r="AR97" s="43" t="n">
        <x:v>1</x:v>
      </x:c>
      <x:c r="AS97" s="45" t="b">
        <x:v>1</x:v>
      </x:c>
      <x:c r="AT97" s="43" t="n">
        <x:v>10000</x:v>
      </x:c>
      <x:c r="AU97" s="48" t="n">
        <x:v>0.9503891174512149</x:v>
      </x:c>
      <x:c r="AV97" s="43" t="n">
        <x:v>10000</x:v>
      </x:c>
      <x:c r="AW97" s="48" t="n">
        <x:v>0.9503891174512149</x:v>
      </x:c>
      <x:c r="AX97" s="45" t="b">
        <x:v>1</x:v>
      </x:c>
      <x:c r="AY97" s="44" t="str">
        <x:v>{"provider":"jcs4","currentEntries":10000,"requestCount":4709632,"hitCount":4475983,"missCount":233649,"hitRate":0.9503891174512149,"loadSuccessCount":0,"loadFailureCount":0,"totalLoadTimeNanos":0,"evictionCount":-1,"expirationCount":-1,"putCount":10000,"removeCount":0,"nativeMetrics":{"HitCountRam":4475983,"Composite.HitCountRam":4475983,"HitCountAux":0,"Composite.HitCountAux":0,"Put Count":10000,"Memory Cache.Put Count":10000,"Hit Count":4475983,"Memory Cache.Hit Count":4475983,"Miss Count":233649,"Memory Cache.Miss Count":233649,"Map Size":10000,"Memory Cache.Map Size":10000,"List Size":10000,"Memory Cache.List Size":10000}}</x:v>
      </x:c>
      <x:c r="AZ97" s="44" t="str">
        <x:v>{"provider":"jcs4","currentEntries":10000,"requestCount":4709632,"hitCount":4475983,"missCount":233649,"hitRate":0.9503891174512149,"loadSuccessCount":0,"loadFailureCount":0,"totalLoadTimeNanos":0,"evictionCount":-1,"expirationCount":-1,"putCount":15000,"removeCount":0,"nativeMetrics":{"HitCountRam":4475983,"Composite.HitCountRam":4475983,"HitCountAux":0,"Composite.HitCountAux":0,"Put Count":15000,"Memory Cache.Put Count":15000,"Hit Count":4475983,"Memory Cache.Hit Count":4475983,"Miss Count":233649,"Memory Cache.Miss Count":233649,"Map Size":10000,"Memory Cache.Map Size":10000,"List Size":10000,"Memory Cache.List Size":10000}}</x:v>
      </x:c>
      <x:c r="BA97" s="43" t="n">
        <x:v>10000</x:v>
      </x:c>
      <x:c r="BB97" s="43" t="n">
        <x:v>4709632</x:v>
      </x:c>
      <x:c r="BC97" s="43" t="n">
        <x:v>4475983</x:v>
      </x:c>
      <x:c r="BD97" s="43" t="n">
        <x:v>233649</x:v>
      </x:c>
      <x:c r="BE97" s="48" t="n">
        <x:v>0.9503891174512149</x:v>
      </x:c>
      <x:c r="BF97" s="43" t="n">
        <x:v>0</x:v>
      </x:c>
      <x:c r="BG97" s="43" t="n">
        <x:v>0</x:v>
      </x:c>
      <x:c r="BH97" s="43" t="n">
        <x:v>0</x:v>
      </x:c>
      <x:c r="BI97" s="43" t="n">
        <x:v>-1</x:v>
      </x:c>
      <x:c r="BJ97" s="43" t="n">
        <x:v>-1</x:v>
      </x:c>
      <x:c r="BK97" s="43" t="n">
        <x:v>15000</x:v>
      </x:c>
      <x:c r="BL97" s="43" t="n">
        <x:v>0</x:v>
      </x:c>
      <x:c r="BM97" s="44" t="str">
        <x:v>{"HitCountRam":4475983,"Composite.HitCountRam":4475983,"HitCountAux":0,"Composite.HitCountAux":0,"Put Count":15000,"Memory Cache.Put Count":15000,"Hit Count":4475983,"Memory Cache.Hit Count":4475983,"Miss Count":233649,"Memory Cache.Miss Count":233649,"Map Size":10000,"Memory Cache.Map Size":10000,"List Size":10000,"Memory Cache.List Size":10000}</x:v>
      </x:c>
    </x:row>
    <x:row r="98">
      <x:c r="A98" s="34" t="str">
        <x:v>article1-unified-v4-2-fb3f101b-20260903-000401-default-f02-p4-jcs4</x:v>
      </x:c>
      <x:c r="B98" s="34" t="str">
        <x:v>default</x:v>
      </x:c>
      <x:c r="C98" s="34" t="str">
        <x:v>jcs4</x:v>
      </x:c>
      <x:c r="D98" s="34" t="str">
        <x:v>jcs4</x:v>
      </x:c>
      <x:c r="E98" s="34" t="str">
        <x:v>current-provider-primary-comparison</x:v>
      </x:c>
      <x:c r="F98" s="36" t="n">
        <x:v>2</x:v>
      </x:c>
      <x:c r="G98" s="36" t="n">
        <x:v>2</x:v>
      </x:c>
      <x:c r="H98" s="36" t="n">
        <x:v>4</x:v>
      </x:c>
      <x:c r="I98" s="36" t="n">
        <x:v>4</x:v>
      </x:c>
      <x:c r="J98" s="34" t="str">
        <x:v>initial</x:v>
      </x:c>
      <x:c r="K98" s="34" t="str">
        <x:v>cache-semantics</x:v>
      </x:c>
      <x:c r="L98" s="45" t="b">
        <x:v>1</x:v>
      </x:c>
      <x:c r="M98" s="36" t="n">
        <x:v>1652540875</x:v>
      </x:c>
      <x:c r="N98" s="34" t="str">
        <x:v>6d9eb911d184e49ced2dfa5d0ef88cff2d7d7f264b58a7cf2172e037d424290b</x:v>
      </x:c>
      <x:c r="O98" s="43" t="n">
        <x:v>10000</x:v>
      </x:c>
      <x:c r="P98" s="43" t="n">
        <x:v>400000</x:v>
      </x:c>
      <x:c r="Q98" s="36" t="n">
        <x:v>8</x:v>
      </x:c>
      <x:c r="R98" s="42" t="n">
        <x:v>95</x:v>
      </x:c>
      <x:c r="S98" s="43" t="n">
        <x:v>512</x:v>
      </x:c>
      <x:c r="T98" s="43" t="n">
        <x:v>50000</x:v>
      </x:c>
      <x:c r="U98" s="46" t="n">
        <x:v>3</x:v>
      </x:c>
      <x:c r="V98" s="46" t="n">
        <x:v>5</x:v>
      </x:c>
      <x:c r="W98" s="43" t="n">
        <x:v>300</x:v>
      </x:c>
      <x:c r="X98" s="34" t="str">
        <x:v>uniform</x:v>
      </x:c>
      <x:c r="Y98" s="42" t="n">
        <x:v>10</x:v>
      </x:c>
      <x:c r="Z98" s="34" t="str">
        <x:v>strict</x:v>
      </x:c>
      <x:c r="AA98" s="36" t="n">
        <x:v>64</x:v>
      </x:c>
      <x:c r="AB98" s="43" t="n">
        <x:v>2109440</x:v>
      </x:c>
      <x:c r="AC98" s="43" t="n">
        <x:v>3001105036</x:v>
      </x:c>
      <x:c r="AD98" s="43" t="n">
        <x:v>1105036</x:v>
      </x:c>
      <x:c r="AE98" s="43" t="n">
        <x:v>3300224.38225575</x:v>
      </x:c>
      <x:c r="AF98" s="43" t="n">
        <x:v>931235.1296257479</x:v>
      </x:c>
      <x:c r="AG98" s="43" t="n">
        <x:v>4657408</x:v>
      </x:c>
      <x:c r="AH98" s="43" t="n">
        <x:v>5001323352</x:v>
      </x:c>
      <x:c r="AI98" s="43" t="n">
        <x:v>1323352</x:v>
      </x:c>
      <x:c r="AJ98" s="43" t="n">
        <x:v>931235.1296257479</x:v>
      </x:c>
      <x:c r="AK98" s="43" t="n">
        <x:v>4657408</x:v>
      </x:c>
      <x:c r="AL98" s="43" t="n">
        <x:v>0</x:v>
      </x:c>
      <x:c r="AM98" s="43" t="n">
        <x:v>499797.7818174767</x:v>
      </x:c>
      <x:c r="AN98" s="43" t="n">
        <x:v>521</x:v>
      </x:c>
      <x:c r="AO98" s="43" t="n">
        <x:v>1994</x:v>
      </x:c>
      <x:c r="AP98" s="43" t="n">
        <x:v>267619</x:v>
      </x:c>
      <x:c r="AQ98" s="43" t="n">
        <x:v>72772</x:v>
      </x:c>
      <x:c r="AR98" s="43" t="n">
        <x:v>1</x:v>
      </x:c>
      <x:c r="AS98" s="45" t="b">
        <x:v>1</x:v>
      </x:c>
      <x:c r="AT98" s="43" t="n">
        <x:v>10000</x:v>
      </x:c>
      <x:c r="AU98" s="48" t="n">
        <x:v>0.9503936524350025</x:v>
      </x:c>
      <x:c r="AV98" s="43" t="n">
        <x:v>10000</x:v>
      </x:c>
      <x:c r="AW98" s="48" t="n">
        <x:v>0.9503936524350025</x:v>
      </x:c>
      <x:c r="AX98" s="45" t="b">
        <x:v>1</x:v>
      </x:c>
      <x:c r="AY98" s="44" t="str">
        <x:v>{"provider":"jcs4","currentEntries":10000,"requestCount":4657408,"hitCount":4426371,"missCount":231037,"hitRate":0.9503936524350025,"loadSuccessCount":0,"loadFailureCount":0,"totalLoadTimeNanos":0,"evictionCount":-1,"expirationCount":-1,"putCount":10000,"removeCount":0,"nativeMetrics":{"HitCountRam":4426371,"Composite.HitCountRam":4426371,"HitCountAux":0,"Composite.HitCountAux":0,"Put Count":10000,"Memory Cache.Put Count":10000,"Hit Count":4426371,"Memory Cache.Hit Count":4426371,"Miss Count":231037,"Memory Cache.Miss Count":231037,"Map Size":10000,"Memory Cache.Map Size":10000,"List Size":10000,"Memory Cache.List Size":10000}}</x:v>
      </x:c>
      <x:c r="AZ98" s="44" t="str">
        <x:v>{"provider":"jcs4","currentEntries":10000,"requestCount":4657408,"hitCount":4426371,"missCount":231037,"hitRate":0.9503936524350025,"loadSuccessCount":0,"loadFailureCount":0,"totalLoadTimeNanos":0,"evictionCount":-1,"expirationCount":-1,"putCount":15000,"removeCount":0,"nativeMetrics":{"HitCountRam":4426371,"Composite.HitCountRam":4426371,"HitCountAux":0,"Composite.HitCountAux":0,"Put Count":15000,"Memory Cache.Put Count":15000,"Hit Count":4426371,"Memory Cache.Hit Count":4426371,"Miss Count":231037,"Memory Cache.Miss Count":231037,"Map Size":10000,"Memory Cache.Map Size":10000,"List Size":10000,"Memory Cache.List Size":10000}}</x:v>
      </x:c>
      <x:c r="BA98" s="43" t="n">
        <x:v>10000</x:v>
      </x:c>
      <x:c r="BB98" s="43" t="n">
        <x:v>4657408</x:v>
      </x:c>
      <x:c r="BC98" s="43" t="n">
        <x:v>4426371</x:v>
      </x:c>
      <x:c r="BD98" s="43" t="n">
        <x:v>231037</x:v>
      </x:c>
      <x:c r="BE98" s="48" t="n">
        <x:v>0.9503936524350025</x:v>
      </x:c>
      <x:c r="BF98" s="43" t="n">
        <x:v>0</x:v>
      </x:c>
      <x:c r="BG98" s="43" t="n">
        <x:v>0</x:v>
      </x:c>
      <x:c r="BH98" s="43" t="n">
        <x:v>0</x:v>
      </x:c>
      <x:c r="BI98" s="43" t="n">
        <x:v>-1</x:v>
      </x:c>
      <x:c r="BJ98" s="43" t="n">
        <x:v>-1</x:v>
      </x:c>
      <x:c r="BK98" s="43" t="n">
        <x:v>15000</x:v>
      </x:c>
      <x:c r="BL98" s="43" t="n">
        <x:v>0</x:v>
      </x:c>
      <x:c r="BM98" s="44" t="str">
        <x:v>{"HitCountRam":4426371,"Composite.HitCountRam":4426371,"HitCountAux":0,"Composite.HitCountAux":0,"Put Count":15000,"Memory Cache.Put Count":15000,"Hit Count":4426371,"Memory Cache.Hit Count":4426371,"Miss Count":231037,"Memory Cache.Miss Count":231037,"Map Size":10000,"Memory Cache.Map Size":10000,"List Size":10000,"Memory Cache.List Size":10000}</x:v>
      </x:c>
    </x:row>
    <x:row r="99">
      <x:c r="A99" s="34" t="str">
        <x:v>article1-unified-v4-2-fb3f101b-20260903-000401-default-f02-p4-jcs4</x:v>
      </x:c>
      <x:c r="B99" s="34" t="str">
        <x:v>default</x:v>
      </x:c>
      <x:c r="C99" s="34" t="str">
        <x:v>jcs4</x:v>
      </x:c>
      <x:c r="D99" s="34" t="str">
        <x:v>jcs4</x:v>
      </x:c>
      <x:c r="E99" s="34" t="str">
        <x:v>current-provider-primary-comparison</x:v>
      </x:c>
      <x:c r="F99" s="36" t="n">
        <x:v>2</x:v>
      </x:c>
      <x:c r="G99" s="36" t="n">
        <x:v>2</x:v>
      </x:c>
      <x:c r="H99" s="36" t="n">
        <x:v>4</x:v>
      </x:c>
      <x:c r="I99" s="36" t="n">
        <x:v>4</x:v>
      </x:c>
      <x:c r="J99" s="34" t="str">
        <x:v>redeploy</x:v>
      </x:c>
      <x:c r="K99" s="34" t="str">
        <x:v>cache-semantics</x:v>
      </x:c>
      <x:c r="L99" s="45" t="b">
        <x:v>1</x:v>
      </x:c>
      <x:c r="M99" s="36" t="n">
        <x:v>1652540875</x:v>
      </x:c>
      <x:c r="N99" s="34" t="str">
        <x:v>6d9eb911d184e49ced2dfa5d0ef88cff2d7d7f264b58a7cf2172e037d424290b</x:v>
      </x:c>
      <x:c r="O99" s="43" t="n">
        <x:v>10000</x:v>
      </x:c>
      <x:c r="P99" s="43" t="n">
        <x:v>400000</x:v>
      </x:c>
      <x:c r="Q99" s="36" t="n">
        <x:v>8</x:v>
      </x:c>
      <x:c r="R99" s="42" t="n">
        <x:v>95</x:v>
      </x:c>
      <x:c r="S99" s="43" t="n">
        <x:v>512</x:v>
      </x:c>
      <x:c r="T99" s="43" t="n">
        <x:v>50000</x:v>
      </x:c>
      <x:c r="U99" s="46" t="n">
        <x:v>3</x:v>
      </x:c>
      <x:c r="V99" s="46" t="n">
        <x:v>5</x:v>
      </x:c>
      <x:c r="W99" s="43" t="n">
        <x:v>300</x:v>
      </x:c>
      <x:c r="X99" s="34" t="str">
        <x:v>uniform</x:v>
      </x:c>
      <x:c r="Y99" s="42" t="n">
        <x:v>10</x:v>
      </x:c>
      <x:c r="Z99" s="34" t="str">
        <x:v>strict</x:v>
      </x:c>
      <x:c r="AA99" s="36" t="n">
        <x:v>64</x:v>
      </x:c>
      <x:c r="AB99" s="43" t="n">
        <x:v>2279424</x:v>
      </x:c>
      <x:c r="AC99" s="43" t="n">
        <x:v>3000940211</x:v>
      </x:c>
      <x:c r="AD99" s="43" t="n">
        <x:v>940211</x:v>
      </x:c>
      <x:c r="AE99" s="43" t="n">
        <x:v>3549022.829799157</x:v>
      </x:c>
      <x:c r="AF99" s="43" t="n">
        <x:v>935911.2963568326</x:v>
      </x:c>
      <x:c r="AG99" s="43" t="n">
        <x:v>4680448</x:v>
      </x:c>
      <x:c r="AH99" s="43" t="n">
        <x:v>5000952567</x:v>
      </x:c>
      <x:c r="AI99" s="43" t="n">
        <x:v>952567</x:v>
      </x:c>
      <x:c r="AJ99" s="43" t="n">
        <x:v>935911.2963568326</x:v>
      </x:c>
      <x:c r="AK99" s="43" t="n">
        <x:v>4680448</x:v>
      </x:c>
      <x:c r="AL99" s="43" t="n">
        <x:v>0</x:v>
      </x:c>
      <x:c r="AM99" s="43" t="n">
        <x:v>463719.2547178333</x:v>
      </x:c>
      <x:c r="AN99" s="43" t="n">
        <x:v>491</x:v>
      </x:c>
      <x:c r="AO99" s="43" t="n">
        <x:v>1994</x:v>
      </x:c>
      <x:c r="AP99" s="43" t="n">
        <x:v>271228</x:v>
      </x:c>
      <x:c r="AQ99" s="43" t="n">
        <x:v>73132</x:v>
      </x:c>
      <x:c r="AR99" s="43" t="n">
        <x:v>1</x:v>
      </x:c>
      <x:c r="AS99" s="45" t="b">
        <x:v>1</x:v>
      </x:c>
      <x:c r="AT99" s="43" t="n">
        <x:v>10000</x:v>
      </x:c>
      <x:c r="AU99" s="48" t="n">
        <x:v>0.9503793226631296</x:v>
      </x:c>
      <x:c r="AV99" s="43" t="n">
        <x:v>10000</x:v>
      </x:c>
      <x:c r="AW99" s="48" t="n">
        <x:v>0.9503793226631296</x:v>
      </x:c>
      <x:c r="AX99" s="45" t="b">
        <x:v>1</x:v>
      </x:c>
      <x:c r="AY99" s="44" t="str">
        <x:v>{"provider":"jcs4","currentEntries":10000,"requestCount":4680448,"hitCount":4448201,"missCount":232247,"hitRate":0.9503793226631296,"loadSuccessCount":0,"loadFailureCount":0,"totalLoadTimeNanos":0,"evictionCount":-1,"expirationCount":-1,"putCount":10000,"removeCount":0,"nativeMetrics":{"HitCountRam":4448201,"Composite.HitCountRam":4448201,"HitCountAux":0,"Composite.HitCountAux":0,"Put Count":10000,"Memory Cache.Put Count":10000,"Hit Count":4448201,"Memory Cache.Hit Count":4448201,"Miss Count":232247,"Memory Cache.Miss Count":232247,"Map Size":10000,"Memory Cache.Map Size":10000,"List Size":10000,"Memory Cache.List Size":10000}}</x:v>
      </x:c>
      <x:c r="AZ99" s="44" t="str">
        <x:v>{"provider":"jcs4","currentEntries":10000,"requestCount":4680448,"hitCount":4448201,"missCount":232247,"hitRate":0.9503793226631296,"loadSuccessCount":0,"loadFailureCount":0,"totalLoadTimeNanos":0,"evictionCount":-1,"expirationCount":-1,"putCount":15000,"removeCount":0,"nativeMetrics":{"HitCountRam":4448201,"Composite.HitCountRam":4448201,"HitCountAux":0,"Composite.HitCountAux":0,"Put Count":15000,"Memory Cache.Put Count":15000,"Hit Count":4448201,"Memory Cache.Hit Count":4448201,"Miss Count":232247,"Memory Cache.Miss Count":232247,"Map Size":10000,"Memory Cache.Map Size":10000,"List Size":10000,"Memory Cache.List Size":10000}}</x:v>
      </x:c>
      <x:c r="BA99" s="43" t="n">
        <x:v>10000</x:v>
      </x:c>
      <x:c r="BB99" s="43" t="n">
        <x:v>4680448</x:v>
      </x:c>
      <x:c r="BC99" s="43" t="n">
        <x:v>4448201</x:v>
      </x:c>
      <x:c r="BD99" s="43" t="n">
        <x:v>232247</x:v>
      </x:c>
      <x:c r="BE99" s="48" t="n">
        <x:v>0.9503793226631296</x:v>
      </x:c>
      <x:c r="BF99" s="43" t="n">
        <x:v>0</x:v>
      </x:c>
      <x:c r="BG99" s="43" t="n">
        <x:v>0</x:v>
      </x:c>
      <x:c r="BH99" s="43" t="n">
        <x:v>0</x:v>
      </x:c>
      <x:c r="BI99" s="43" t="n">
        <x:v>-1</x:v>
      </x:c>
      <x:c r="BJ99" s="43" t="n">
        <x:v>-1</x:v>
      </x:c>
      <x:c r="BK99" s="43" t="n">
        <x:v>15000</x:v>
      </x:c>
      <x:c r="BL99" s="43" t="n">
        <x:v>0</x:v>
      </x:c>
      <x:c r="BM99" s="44" t="str">
        <x:v>{"HitCountRam":4448201,"Composite.HitCountRam":4448201,"HitCountAux":0,"Composite.HitCountAux":0,"Put Count":15000,"Memory Cache.Put Count":15000,"Hit Count":4448201,"Memory Cache.Hit Count":4448201,"Miss Count":232247,"Memory Cache.Miss Count":232247,"Map Size":10000,"Memory Cache.Map Size":10000,"List Size":10000,"Memory Cache.List Size":10000}</x:v>
      </x:c>
    </x:row>
    <x:row r="100">
      <x:c r="A100" s="34" t="str">
        <x:v>article1-unified-v4-2-fb3f101b-20260903-000401-default-f02-p4-jcs4</x:v>
      </x:c>
      <x:c r="B100" s="34" t="str">
        <x:v>default</x:v>
      </x:c>
      <x:c r="C100" s="34" t="str">
        <x:v>jcs4</x:v>
      </x:c>
      <x:c r="D100" s="34" t="str">
        <x:v>jcs4</x:v>
      </x:c>
      <x:c r="E100" s="34" t="str">
        <x:v>current-provider-primary-comparison</x:v>
      </x:c>
      <x:c r="F100" s="36" t="n">
        <x:v>2</x:v>
      </x:c>
      <x:c r="G100" s="36" t="n">
        <x:v>2</x:v>
      </x:c>
      <x:c r="H100" s="36" t="n">
        <x:v>4</x:v>
      </x:c>
      <x:c r="I100" s="36" t="n">
        <x:v>5</x:v>
      </x:c>
      <x:c r="J100" s="34" t="str">
        <x:v>initial</x:v>
      </x:c>
      <x:c r="K100" s="34" t="str">
        <x:v>cache-semantics</x:v>
      </x:c>
      <x:c r="L100" s="45" t="b">
        <x:v>1</x:v>
      </x:c>
      <x:c r="M100" s="36" t="n">
        <x:v>2077052807</x:v>
      </x:c>
      <x:c r="N100" s="34" t="str">
        <x:v>00ff6973c5a97fdf7eb604a286d7e8ed14ab7633eb1da6b80ffef64c86bdc8ff</x:v>
      </x:c>
      <x:c r="O100" s="43" t="n">
        <x:v>10000</x:v>
      </x:c>
      <x:c r="P100" s="43" t="n">
        <x:v>400000</x:v>
      </x:c>
      <x:c r="Q100" s="36" t="n">
        <x:v>8</x:v>
      </x:c>
      <x:c r="R100" s="42" t="n">
        <x:v>95</x:v>
      </x:c>
      <x:c r="S100" s="43" t="n">
        <x:v>512</x:v>
      </x:c>
      <x:c r="T100" s="43" t="n">
        <x:v>50000</x:v>
      </x:c>
      <x:c r="U100" s="46" t="n">
        <x:v>3</x:v>
      </x:c>
      <x:c r="V100" s="46" t="n">
        <x:v>5</x:v>
      </x:c>
      <x:c r="W100" s="43" t="n">
        <x:v>300</x:v>
      </x:c>
      <x:c r="X100" s="34" t="str">
        <x:v>uniform</x:v>
      </x:c>
      <x:c r="Y100" s="42" t="n">
        <x:v>10</x:v>
      </x:c>
      <x:c r="Z100" s="34" t="str">
        <x:v>strict</x:v>
      </x:c>
      <x:c r="AA100" s="36" t="n">
        <x:v>64</x:v>
      </x:c>
      <x:c r="AB100" s="43" t="n">
        <x:v>1557248</x:v>
      </x:c>
      <x:c r="AC100" s="43" t="n">
        <x:v>3002802624</x:v>
      </x:c>
      <x:c r="AD100" s="43" t="n">
        <x:v>2802624</x:v>
      </x:c>
      <x:c r="AE100" s="43" t="n">
        <x:v>4941954.276050647</x:v>
      </x:c>
      <x:c r="AF100" s="43" t="n">
        <x:v>811422.2369702936</x:v>
      </x:c>
      <x:c r="AG100" s="43" t="n">
        <x:v>4058368</x:v>
      </x:c>
      <x:c r="AH100" s="43" t="n">
        <x:v>5001548904</x:v>
      </x:c>
      <x:c r="AI100" s="43" t="n">
        <x:v>1548904</x:v>
      </x:c>
      <x:c r="AJ100" s="43" t="n">
        <x:v>811422.2369702936</x:v>
      </x:c>
      <x:c r="AK100" s="43" t="n">
        <x:v>4058368</x:v>
      </x:c>
      <x:c r="AL100" s="43" t="n">
        <x:v>0</x:v>
      </x:c>
      <x:c r="AM100" s="43" t="n">
        <x:v>408401.60514899675</x:v>
      </x:c>
      <x:c r="AN100" s="43" t="n">
        <x:v>631</x:v>
      </x:c>
      <x:c r="AO100" s="43" t="n">
        <x:v>2565</x:v>
      </x:c>
      <x:c r="AP100" s="43" t="n">
        <x:v>286010</x:v>
      </x:c>
      <x:c r="AQ100" s="43" t="n">
        <x:v>63412</x:v>
      </x:c>
      <x:c r="AR100" s="43" t="n">
        <x:v>1</x:v>
      </x:c>
      <x:c r="AS100" s="45" t="b">
        <x:v>1</x:v>
      </x:c>
      <x:c r="AT100" s="43" t="n">
        <x:v>10000</x:v>
      </x:c>
      <x:c r="AU100" s="48" t="n">
        <x:v>0.9499801398000378</x:v>
      </x:c>
      <x:c r="AV100" s="43" t="n">
        <x:v>10000</x:v>
      </x:c>
      <x:c r="AW100" s="48" t="n">
        <x:v>0.9499801398000378</x:v>
      </x:c>
      <x:c r="AX100" s="45" t="b">
        <x:v>1</x:v>
      </x:c>
      <x:c r="AY100" s="44" t="str">
        <x:v>{"provider":"jcs4","currentEntries":10000,"requestCount":4058368,"hitCount":3855369,"missCount":202999,"hitRate":0.9499801398000378,"loadSuccessCount":0,"loadFailureCount":0,"totalLoadTimeNanos":0,"evictionCount":-1,"expirationCount":-1,"putCount":10000,"removeCount":0,"nativeMetrics":{"HitCountRam":3855369,"Composite.HitCountRam":3855369,"HitCountAux":0,"Composite.HitCountAux":0,"Put Count":10000,"Memory Cache.Put Count":10000,"Hit Count":3855369,"Memory Cache.Hit Count":3855369,"Miss Count":202999,"Memory Cache.Miss Count":202999,"Map Size":10000,"Memory Cache.Map Size":10000,"List Size":10000,"Memory Cache.List Size":10000}}</x:v>
      </x:c>
      <x:c r="AZ100" s="44" t="str">
        <x:v>{"provider":"jcs4","currentEntries":10000,"requestCount":4058368,"hitCount":3855369,"missCount":202999,"hitRate":0.9499801398000378,"loadSuccessCount":0,"loadFailureCount":0,"totalLoadTimeNanos":0,"evictionCount":-1,"expirationCount":-1,"putCount":15000,"removeCount":0,"nativeMetrics":{"HitCountRam":3855369,"Composite.HitCountRam":3855369,"HitCountAux":0,"Composite.HitCountAux":0,"Put Count":15000,"Memory Cache.Put Count":15000,"Hit Count":3855369,"Memory Cache.Hit Count":3855369,"Miss Count":202999,"Memory Cache.Miss Count":202999,"Map Size":10000,"Memory Cache.Map Size":10000,"List Size":10000,"Memory Cache.List Size":10000}}</x:v>
      </x:c>
      <x:c r="BA100" s="43" t="n">
        <x:v>10000</x:v>
      </x:c>
      <x:c r="BB100" s="43" t="n">
        <x:v>4058368</x:v>
      </x:c>
      <x:c r="BC100" s="43" t="n">
        <x:v>3855369</x:v>
      </x:c>
      <x:c r="BD100" s="43" t="n">
        <x:v>202999</x:v>
      </x:c>
      <x:c r="BE100" s="48" t="n">
        <x:v>0.9499801398000378</x:v>
      </x:c>
      <x:c r="BF100" s="43" t="n">
        <x:v>0</x:v>
      </x:c>
      <x:c r="BG100" s="43" t="n">
        <x:v>0</x:v>
      </x:c>
      <x:c r="BH100" s="43" t="n">
        <x:v>0</x:v>
      </x:c>
      <x:c r="BI100" s="43" t="n">
        <x:v>-1</x:v>
      </x:c>
      <x:c r="BJ100" s="43" t="n">
        <x:v>-1</x:v>
      </x:c>
      <x:c r="BK100" s="43" t="n">
        <x:v>15000</x:v>
      </x:c>
      <x:c r="BL100" s="43" t="n">
        <x:v>0</x:v>
      </x:c>
      <x:c r="BM100" s="44" t="str">
        <x:v>{"HitCountRam":3855369,"Composite.HitCountRam":3855369,"HitCountAux":0,"Composite.HitCountAux":0,"Put Count":15000,"Memory Cache.Put Count":15000,"Hit Count":3855369,"Memory Cache.Hit Count":3855369,"Miss Count":202999,"Memory Cache.Miss Count":202999,"Map Size":10000,"Memory Cache.Map Size":10000,"List Size":10000,"Memory Cache.List Size":10000}</x:v>
      </x:c>
    </x:row>
    <x:row r="101">
      <x:c r="A101" s="34" t="str">
        <x:v>article1-unified-v4-2-fb3f101b-20260903-000401-default-f02-p4-jcs4</x:v>
      </x:c>
      <x:c r="B101" s="34" t="str">
        <x:v>default</x:v>
      </x:c>
      <x:c r="C101" s="34" t="str">
        <x:v>jcs4</x:v>
      </x:c>
      <x:c r="D101" s="34" t="str">
        <x:v>jcs4</x:v>
      </x:c>
      <x:c r="E101" s="34" t="str">
        <x:v>current-provider-primary-comparison</x:v>
      </x:c>
      <x:c r="F101" s="36" t="n">
        <x:v>2</x:v>
      </x:c>
      <x:c r="G101" s="36" t="n">
        <x:v>2</x:v>
      </x:c>
      <x:c r="H101" s="36" t="n">
        <x:v>4</x:v>
      </x:c>
      <x:c r="I101" s="36" t="n">
        <x:v>5</x:v>
      </x:c>
      <x:c r="J101" s="34" t="str">
        <x:v>redeploy</x:v>
      </x:c>
      <x:c r="K101" s="34" t="str">
        <x:v>cache-semantics</x:v>
      </x:c>
      <x:c r="L101" s="45" t="b">
        <x:v>1</x:v>
      </x:c>
      <x:c r="M101" s="36" t="n">
        <x:v>2077052807</x:v>
      </x:c>
      <x:c r="N101" s="34" t="str">
        <x:v>00ff6973c5a97fdf7eb604a286d7e8ed14ab7633eb1da6b80ffef64c86bdc8ff</x:v>
      </x:c>
      <x:c r="O101" s="43" t="n">
        <x:v>10000</x:v>
      </x:c>
      <x:c r="P101" s="43" t="n">
        <x:v>400000</x:v>
      </x:c>
      <x:c r="Q101" s="36" t="n">
        <x:v>8</x:v>
      </x:c>
      <x:c r="R101" s="42" t="n">
        <x:v>95</x:v>
      </x:c>
      <x:c r="S101" s="43" t="n">
        <x:v>512</x:v>
      </x:c>
      <x:c r="T101" s="43" t="n">
        <x:v>50000</x:v>
      </x:c>
      <x:c r="U101" s="46" t="n">
        <x:v>3</x:v>
      </x:c>
      <x:c r="V101" s="46" t="n">
        <x:v>5</x:v>
      </x:c>
      <x:c r="W101" s="43" t="n">
        <x:v>300</x:v>
      </x:c>
      <x:c r="X101" s="34" t="str">
        <x:v>uniform</x:v>
      </x:c>
      <x:c r="Y101" s="42" t="n">
        <x:v>10</x:v>
      </x:c>
      <x:c r="Z101" s="34" t="str">
        <x:v>strict</x:v>
      </x:c>
      <x:c r="AA101" s="36" t="n">
        <x:v>64</x:v>
      </x:c>
      <x:c r="AB101" s="43" t="n">
        <x:v>2643712</x:v>
      </x:c>
      <x:c r="AC101" s="43" t="n">
        <x:v>3000726584</x:v>
      </x:c>
      <x:c r="AD101" s="43" t="n">
        <x:v>726584</x:v>
      </x:c>
      <x:c r="AE101" s="43" t="n">
        <x:v>3936432.906847071</x:v>
      </x:c>
      <x:c r="AF101" s="43" t="n">
        <x:v>1003182.322446098</x:v>
      </x:c>
      <x:c r="AG101" s="43" t="n">
        <x:v>5017088</x:v>
      </x:c>
      <x:c r="AH101" s="43" t="n">
        <x:v>5001172656</x:v>
      </x:c>
      <x:c r="AI101" s="43" t="n">
        <x:v>1172656</x:v>
      </x:c>
      <x:c r="AJ101" s="43" t="n">
        <x:v>1003182.322446098</x:v>
      </x:c>
      <x:c r="AK101" s="43" t="n">
        <x:v>5017088</x:v>
      </x:c>
      <x:c r="AL101" s="43" t="n">
        <x:v>0</x:v>
      </x:c>
      <x:c r="AM101" s="43" t="n">
        <x:v>484545.75240894343</x:v>
      </x:c>
      <x:c r="AN101" s="43" t="n">
        <x:v>471</x:v>
      </x:c>
      <x:c r="AO101" s="43" t="n">
        <x:v>1813</x:v>
      </x:c>
      <x:c r="AP101" s="43" t="n">
        <x:v>267685</x:v>
      </x:c>
      <x:c r="AQ101" s="43" t="n">
        <x:v>78392</x:v>
      </x:c>
      <x:c r="AR101" s="43" t="n">
        <x:v>1</x:v>
      </x:c>
      <x:c r="AS101" s="45" t="b">
        <x:v>1</x:v>
      </x:c>
      <x:c r="AT101" s="43" t="n">
        <x:v>10000</x:v>
      </x:c>
      <x:c r="AU101" s="48" t="n">
        <x:v>0.9499578241402183</x:v>
      </x:c>
      <x:c r="AV101" s="43" t="n">
        <x:v>10000</x:v>
      </x:c>
      <x:c r="AW101" s="48" t="n">
        <x:v>0.9499578241402183</x:v>
      </x:c>
      <x:c r="AX101" s="45" t="b">
        <x:v>1</x:v>
      </x:c>
      <x:c r="AY101" s="44" t="str">
        <x:v>{"provider":"jcs4","currentEntries":10000,"requestCount":5017088,"hitCount":4766022,"missCount":251066,"hitRate":0.9499578241402183,"loadSuccessCount":0,"loadFailureCount":0,"totalLoadTimeNanos":0,"evictionCount":-1,"expirationCount":-1,"putCount":10000,"removeCount":0,"nativeMetrics":{"HitCountRam":4766022,"Composite.HitCountRam":4766022,"HitCountAux":0,"Composite.HitCountAux":0,"Put Count":10000,"Memory Cache.Put Count":10000,"Hit Count":4766022,"Memory Cache.Hit Count":4766022,"Miss Count":251066,"Memory Cache.Miss Count":251066,"Map Size":10000,"Memory Cache.Map Size":10000,"List Size":10000,"Memory Cache.List Size":10000}}</x:v>
      </x:c>
      <x:c r="AZ101" s="44" t="str">
        <x:v>{"provider":"jcs4","currentEntries":10000,"requestCount":5017088,"hitCount":4766022,"missCount":251066,"hitRate":0.9499578241402183,"loadSuccessCount":0,"loadFailureCount":0,"totalLoadTimeNanos":0,"evictionCount":-1,"expirationCount":-1,"putCount":15000,"removeCount":0,"nativeMetrics":{"HitCountRam":4766022,"Composite.HitCountRam":4766022,"HitCountAux":0,"Composite.HitCountAux":0,"Put Count":15000,"Memory Cache.Put Count":15000,"Hit Count":4766022,"Memory Cache.Hit Count":4766022,"Miss Count":251066,"Memory Cache.Miss Count":251066,"Map Size":10000,"Memory Cache.Map Size":10000,"List Size":10000,"Memory Cache.List Size":10000}}</x:v>
      </x:c>
      <x:c r="BA101" s="43" t="n">
        <x:v>10000</x:v>
      </x:c>
      <x:c r="BB101" s="43" t="n">
        <x:v>5017088</x:v>
      </x:c>
      <x:c r="BC101" s="43" t="n">
        <x:v>4766022</x:v>
      </x:c>
      <x:c r="BD101" s="43" t="n">
        <x:v>251066</x:v>
      </x:c>
      <x:c r="BE101" s="48" t="n">
        <x:v>0.9499578241402183</x:v>
      </x:c>
      <x:c r="BF101" s="43" t="n">
        <x:v>0</x:v>
      </x:c>
      <x:c r="BG101" s="43" t="n">
        <x:v>0</x:v>
      </x:c>
      <x:c r="BH101" s="43" t="n">
        <x:v>0</x:v>
      </x:c>
      <x:c r="BI101" s="43" t="n">
        <x:v>-1</x:v>
      </x:c>
      <x:c r="BJ101" s="43" t="n">
        <x:v>-1</x:v>
      </x:c>
      <x:c r="BK101" s="43" t="n">
        <x:v>15000</x:v>
      </x:c>
      <x:c r="BL101" s="43" t="n">
        <x:v>0</x:v>
      </x:c>
      <x:c r="BM101" s="44" t="str">
        <x:v>{"HitCountRam":4766022,"Composite.HitCountRam":4766022,"HitCountAux":0,"Composite.HitCountAux":0,"Put Count":15000,"Memory Cache.Put Count":15000,"Hit Count":4766022,"Memory Cache.Hit Count":4766022,"Miss Count":251066,"Memory Cache.Miss Count":251066,"Map Size":10000,"Memory Cache.Map Size":10000,"List Size":10000,"Memory Cache.List Size":10000}</x:v>
      </x:c>
    </x:row>
    <x:row r="102">
      <x:c r="A102" s="34" t="str">
        <x:v>article1-unified-v4-2-fb3f101b-20260903-000401-default-f02-p5-nostore</x:v>
      </x:c>
      <x:c r="B102" s="34" t="str">
        <x:v>default</x:v>
      </x:c>
      <x:c r="C102" s="34" t="str">
        <x:v>nostore</x:v>
      </x:c>
      <x:c r="D102" s="34" t="str">
        <x:v>nostore</x:v>
      </x:c>
      <x:c r="E102" s="34" t="str">
        <x:v>lifecycle-negative-control</x:v>
      </x:c>
      <x:c r="F102" s="36" t="n">
        <x:v>2</x:v>
      </x:c>
      <x:c r="G102" s="36" t="n">
        <x:v>2</x:v>
      </x:c>
      <x:c r="H102" s="36" t="n">
        <x:v>5</x:v>
      </x:c>
      <x:c r="I102" s="36" t="n">
        <x:v>1</x:v>
      </x:c>
      <x:c r="J102" s="34" t="str">
        <x:v>initial</x:v>
      </x:c>
      <x:c r="K102" s="34" t="str">
        <x:v>no-store-control</x:v>
      </x:c>
      <x:c r="L102" s="45" t="b">
        <x:v>0</x:v>
      </x:c>
      <x:c r="M102" s="36" t="n">
        <x:v>1615875156</x:v>
      </x:c>
      <x:c r="N102" s="34" t="str">
        <x:v>0fb37446c0e2fcac42ab0cbd5c7c892698eb7e9b97b424142eea0ba54fd4394a</x:v>
      </x:c>
      <x:c r="O102" s="43" t="n">
        <x:v>10000</x:v>
      </x:c>
      <x:c r="P102" s="43" t="n">
        <x:v>400000</x:v>
      </x:c>
      <x:c r="Q102" s="36" t="n">
        <x:v>8</x:v>
      </x:c>
      <x:c r="R102" s="42" t="n">
        <x:v>95</x:v>
      </x:c>
      <x:c r="S102" s="43" t="n">
        <x:v>512</x:v>
      </x:c>
      <x:c r="T102" s="43" t="n">
        <x:v>50000</x:v>
      </x:c>
      <x:c r="U102" s="46" t="n">
        <x:v>3</x:v>
      </x:c>
      <x:c r="V102" s="46" t="n">
        <x:v>5</x:v>
      </x:c>
      <x:c r="W102" s="43" t="n">
        <x:v>300</x:v>
      </x:c>
      <x:c r="X102" s="34" t="str">
        <x:v>uniform</x:v>
      </x:c>
      <x:c r="Y102" s="42" t="n">
        <x:v>10</x:v>
      </x:c>
      <x:c r="Z102" s="34" t="str">
        <x:v>strict</x:v>
      </x:c>
      <x:c r="AA102" s="36" t="n">
        <x:v>64</x:v>
      </x:c>
      <x:c r="AB102" s="43" t="n">
        <x:v>336830976</x:v>
      </x:c>
      <x:c r="AC102" s="43" t="n">
        <x:v>3000481248</x:v>
      </x:c>
      <x:c r="AD102" s="43" t="n">
        <x:v>481248</x:v>
      </x:c>
      <x:c r="AE102" s="43" t="n">
        <x:v>14161918.88336102</x:v>
      </x:c>
      <x:c r="AF102" s="43" t="n">
        <x:v>96008146.48582323</x:v>
      </x:c>
      <x:c r="AG102" s="43" t="n">
        <x:v>486600704</x:v>
      </x:c>
      <x:c r="AH102" s="43" t="n">
        <x:v>5068327239</x:v>
      </x:c>
      <x:c r="AI102" s="43" t="n">
        <x:v>68327239</x:v>
      </x:c>
      <x:c r="AJ102" s="43" t="n">
        <x:v>96008146.48582323</x:v>
      </x:c>
      <x:c r="AK102" s="43" t="n">
        <x:v>486600704</x:v>
      </x:c>
      <x:c r="AL102" s="43" t="n">
        <x:v>0</x:v>
      </x:c>
      <x:c r="AM102" s="43" t="n">
        <x:v>18462379.209884018</x:v>
      </x:c>
      <x:c r="AN102" s="43" t="n">
        <x:v>40</x:v>
      </x:c>
      <x:c r="AO102" s="43" t="n">
        <x:v>170</x:v>
      </x:c>
      <x:c r="AP102" s="43" t="n">
        <x:v>291</x:v>
      </x:c>
      <x:c r="AQ102" s="43" t="n">
        <x:v>7603136</x:v>
      </x:c>
      <x:c r="AR102" s="43" t="n">
        <x:v>16</x:v>
      </x:c>
      <x:c r="AS102" s="45" t="b">
        <x:v>0</x:v>
      </x:c>
      <x:c r="AT102" s="43" t="n">
        <x:v>0</x:v>
      </x:c>
      <x:c r="AU102" s="48" t="n">
        <x:v>0</x:v>
      </x:c>
      <x:c r="AV102" s="43" t="n">
        <x:v>0</x:v>
      </x:c>
      <x:c r="AW102" s="48" t="n">
        <x:v>0</x:v>
      </x:c>
      <x:c r="AX102" s="45" t="b">
        <x:v>1</x:v>
      </x:c>
      <x:c r="AY102" s="44" t="str">
        <x:v>{"provider":"nostore","currentEntries":0,"requestCount":486600704,"hitCount":0,"missCount":486600704,"hitRate":0,"loadSuccessCount":0,"loadFailureCount":0,"totalLoadTimeNanos":0,"evictionCount":0,"expirationCount":0,"putCount":10000,"removeCount":0,"nativeMetrics":{"storageEnabled":0}}</x:v>
      </x:c>
      <x:c r="AZ102" s="44" t="str">
        <x:v>{"provider":"nostore","currentEntries":0,"requestCount":486600704,"hitCount":0,"missCount":486600704,"hitRate":0,"loadSuccessCount":0,"loadFailureCount":0,"totalLoadTimeNanos":0,"evictionCount":0,"expirationCount":0,"putCount":15000,"removeCount":0,"nativeMetrics":{"storageEnabled":0}}</x:v>
      </x:c>
      <x:c r="BA102" s="43" t="n">
        <x:v>0</x:v>
      </x:c>
      <x:c r="BB102" s="43" t="n">
        <x:v>486600704</x:v>
      </x:c>
      <x:c r="BC102" s="43" t="n">
        <x:v>0</x:v>
      </x:c>
      <x:c r="BD102" s="43" t="n">
        <x:v>486600704</x:v>
      </x:c>
      <x:c r="BE102" s="48" t="n">
        <x:v>0</x:v>
      </x:c>
      <x:c r="BF102" s="43" t="n">
        <x:v>0</x:v>
      </x:c>
      <x:c r="BG102" s="43" t="n">
        <x:v>0</x:v>
      </x:c>
      <x:c r="BH102" s="43" t="n">
        <x:v>0</x:v>
      </x:c>
      <x:c r="BI102" s="43" t="n">
        <x:v>0</x:v>
      </x:c>
      <x:c r="BJ102" s="43" t="n">
        <x:v>0</x:v>
      </x:c>
      <x:c r="BK102" s="43" t="n">
        <x:v>15000</x:v>
      </x:c>
      <x:c r="BL102" s="43" t="n">
        <x:v>0</x:v>
      </x:c>
      <x:c r="BM102" s="44" t="str">
        <x:v>{"storageEnabled":0}</x:v>
      </x:c>
    </x:row>
    <x:row r="103">
      <x:c r="A103" s="34" t="str">
        <x:v>article1-unified-v4-2-fb3f101b-20260903-000401-default-f02-p5-nostore</x:v>
      </x:c>
      <x:c r="B103" s="34" t="str">
        <x:v>default</x:v>
      </x:c>
      <x:c r="C103" s="34" t="str">
        <x:v>nostore</x:v>
      </x:c>
      <x:c r="D103" s="34" t="str">
        <x:v>nostore</x:v>
      </x:c>
      <x:c r="E103" s="34" t="str">
        <x:v>lifecycle-negative-control</x:v>
      </x:c>
      <x:c r="F103" s="36" t="n">
        <x:v>2</x:v>
      </x:c>
      <x:c r="G103" s="36" t="n">
        <x:v>2</x:v>
      </x:c>
      <x:c r="H103" s="36" t="n">
        <x:v>5</x:v>
      </x:c>
      <x:c r="I103" s="36" t="n">
        <x:v>1</x:v>
      </x:c>
      <x:c r="J103" s="34" t="str">
        <x:v>redeploy</x:v>
      </x:c>
      <x:c r="K103" s="34" t="str">
        <x:v>no-store-control</x:v>
      </x:c>
      <x:c r="L103" s="45" t="b">
        <x:v>0</x:v>
      </x:c>
      <x:c r="M103" s="36" t="n">
        <x:v>1615875156</x:v>
      </x:c>
      <x:c r="N103" s="34" t="str">
        <x:v>0fb37446c0e2fcac42ab0cbd5c7c892698eb7e9b97b424142eea0ba54fd4394a</x:v>
      </x:c>
      <x:c r="O103" s="43" t="n">
        <x:v>10000</x:v>
      </x:c>
      <x:c r="P103" s="43" t="n">
        <x:v>400000</x:v>
      </x:c>
      <x:c r="Q103" s="36" t="n">
        <x:v>8</x:v>
      </x:c>
      <x:c r="R103" s="42" t="n">
        <x:v>95</x:v>
      </x:c>
      <x:c r="S103" s="43" t="n">
        <x:v>512</x:v>
      </x:c>
      <x:c r="T103" s="43" t="n">
        <x:v>50000</x:v>
      </x:c>
      <x:c r="U103" s="46" t="n">
        <x:v>3</x:v>
      </x:c>
      <x:c r="V103" s="46" t="n">
        <x:v>5</x:v>
      </x:c>
      <x:c r="W103" s="43" t="n">
        <x:v>300</x:v>
      </x:c>
      <x:c r="X103" s="34" t="str">
        <x:v>uniform</x:v>
      </x:c>
      <x:c r="Y103" s="42" t="n">
        <x:v>10</x:v>
      </x:c>
      <x:c r="Z103" s="34" t="str">
        <x:v>strict</x:v>
      </x:c>
      <x:c r="AA103" s="36" t="n">
        <x:v>64</x:v>
      </x:c>
      <x:c r="AB103" s="43" t="n">
        <x:v>338794240</x:v>
      </x:c>
      <x:c r="AC103" s="43" t="n">
        <x:v>3000559222</x:v>
      </x:c>
      <x:c r="AD103" s="43" t="n">
        <x:v>559222</x:v>
      </x:c>
      <x:c r="AE103" s="43" t="n">
        <x:v>10679527.665850395</x:v>
      </x:c>
      <x:c r="AF103" s="43" t="n">
        <x:v>93654593.76265681</x:v>
      </x:c>
      <x:c r="AG103" s="43" t="n">
        <x:v>468920576</x:v>
      </x:c>
      <x:c r="AH103" s="43" t="n">
        <x:v>5006914847</x:v>
      </x:c>
      <x:c r="AI103" s="43" t="n">
        <x:v>6914847</x:v>
      </x:c>
      <x:c r="AJ103" s="43" t="n">
        <x:v>93654593.76265681</x:v>
      </x:c>
      <x:c r="AK103" s="43" t="n">
        <x:v>468920576</x:v>
      </x:c>
      <x:c r="AL103" s="43" t="n">
        <x:v>0</x:v>
      </x:c>
      <x:c r="AM103" s="43" t="n">
        <x:v>19687752.249325693</x:v>
      </x:c>
      <x:c r="AN103" s="43" t="n">
        <x:v>40</x:v>
      </x:c>
      <x:c r="AO103" s="43" t="n">
        <x:v>171</x:v>
      </x:c>
      <x:c r="AP103" s="43" t="n">
        <x:v>291</x:v>
      </x:c>
      <x:c r="AQ103" s="43" t="n">
        <x:v>7326884</x:v>
      </x:c>
      <x:c r="AR103" s="43" t="n">
        <x:v>16</x:v>
      </x:c>
      <x:c r="AS103" s="45" t="b">
        <x:v>0</x:v>
      </x:c>
      <x:c r="AT103" s="43" t="n">
        <x:v>0</x:v>
      </x:c>
      <x:c r="AU103" s="48" t="n">
        <x:v>0</x:v>
      </x:c>
      <x:c r="AV103" s="43" t="n">
        <x:v>0</x:v>
      </x:c>
      <x:c r="AW103" s="48" t="n">
        <x:v>0</x:v>
      </x:c>
      <x:c r="AX103" s="45" t="b">
        <x:v>1</x:v>
      </x:c>
      <x:c r="AY103" s="44" t="str">
        <x:v>{"provider":"nostore","currentEntries":0,"requestCount":468920576,"hitCount":0,"missCount":468920576,"hitRate":0,"loadSuccessCount":0,"loadFailureCount":0,"totalLoadTimeNanos":0,"evictionCount":0,"expirationCount":0,"putCount":10000,"removeCount":0,"nativeMetrics":{"storageEnabled":0}}</x:v>
      </x:c>
      <x:c r="AZ103" s="44" t="str">
        <x:v>{"provider":"nostore","currentEntries":0,"requestCount":468920576,"hitCount":0,"missCount":468920576,"hitRate":0,"loadSuccessCount":0,"loadFailureCount":0,"totalLoadTimeNanos":0,"evictionCount":0,"expirationCount":0,"putCount":15000,"removeCount":0,"nativeMetrics":{"storageEnabled":0}}</x:v>
      </x:c>
      <x:c r="BA103" s="43" t="n">
        <x:v>0</x:v>
      </x:c>
      <x:c r="BB103" s="43" t="n">
        <x:v>468920576</x:v>
      </x:c>
      <x:c r="BC103" s="43" t="n">
        <x:v>0</x:v>
      </x:c>
      <x:c r="BD103" s="43" t="n">
        <x:v>468920576</x:v>
      </x:c>
      <x:c r="BE103" s="48" t="n">
        <x:v>0</x:v>
      </x:c>
      <x:c r="BF103" s="43" t="n">
        <x:v>0</x:v>
      </x:c>
      <x:c r="BG103" s="43" t="n">
        <x:v>0</x:v>
      </x:c>
      <x:c r="BH103" s="43" t="n">
        <x:v>0</x:v>
      </x:c>
      <x:c r="BI103" s="43" t="n">
        <x:v>0</x:v>
      </x:c>
      <x:c r="BJ103" s="43" t="n">
        <x:v>0</x:v>
      </x:c>
      <x:c r="BK103" s="43" t="n">
        <x:v>15000</x:v>
      </x:c>
      <x:c r="BL103" s="43" t="n">
        <x:v>0</x:v>
      </x:c>
      <x:c r="BM103" s="44" t="str">
        <x:v>{"storageEnabled":0}</x:v>
      </x:c>
    </x:row>
    <x:row r="104">
      <x:c r="A104" s="34" t="str">
        <x:v>article1-unified-v4-2-fb3f101b-20260903-000401-default-f02-p5-nostore</x:v>
      </x:c>
      <x:c r="B104" s="34" t="str">
        <x:v>default</x:v>
      </x:c>
      <x:c r="C104" s="34" t="str">
        <x:v>nostore</x:v>
      </x:c>
      <x:c r="D104" s="34" t="str">
        <x:v>nostore</x:v>
      </x:c>
      <x:c r="E104" s="34" t="str">
        <x:v>lifecycle-negative-control</x:v>
      </x:c>
      <x:c r="F104" s="36" t="n">
        <x:v>2</x:v>
      </x:c>
      <x:c r="G104" s="36" t="n">
        <x:v>2</x:v>
      </x:c>
      <x:c r="H104" s="36" t="n">
        <x:v>5</x:v>
      </x:c>
      <x:c r="I104" s="36" t="n">
        <x:v>2</x:v>
      </x:c>
      <x:c r="J104" s="34" t="str">
        <x:v>initial</x:v>
      </x:c>
      <x:c r="K104" s="34" t="str">
        <x:v>no-store-control</x:v>
      </x:c>
      <x:c r="L104" s="45" t="b">
        <x:v>0</x:v>
      </x:c>
      <x:c r="M104" s="36" t="n">
        <x:v>1276216390</x:v>
      </x:c>
      <x:c r="N104" s="34" t="str">
        <x:v>b1b1fad534e2c4c4d7722cdd92c497d70af07481e43490fceffff21f05e0b6a0</x:v>
      </x:c>
      <x:c r="O104" s="43" t="n">
        <x:v>10000</x:v>
      </x:c>
      <x:c r="P104" s="43" t="n">
        <x:v>400000</x:v>
      </x:c>
      <x:c r="Q104" s="36" t="n">
        <x:v>8</x:v>
      </x:c>
      <x:c r="R104" s="42" t="n">
        <x:v>95</x:v>
      </x:c>
      <x:c r="S104" s="43" t="n">
        <x:v>512</x:v>
      </x:c>
      <x:c r="T104" s="43" t="n">
        <x:v>50000</x:v>
      </x:c>
      <x:c r="U104" s="46" t="n">
        <x:v>3</x:v>
      </x:c>
      <x:c r="V104" s="46" t="n">
        <x:v>5</x:v>
      </x:c>
      <x:c r="W104" s="43" t="n">
        <x:v>300</x:v>
      </x:c>
      <x:c r="X104" s="34" t="str">
        <x:v>uniform</x:v>
      </x:c>
      <x:c r="Y104" s="42" t="n">
        <x:v>10</x:v>
      </x:c>
      <x:c r="Z104" s="34" t="str">
        <x:v>strict</x:v>
      </x:c>
      <x:c r="AA104" s="36" t="n">
        <x:v>64</x:v>
      </x:c>
      <x:c r="AB104" s="43" t="n">
        <x:v>310970624</x:v>
      </x:c>
      <x:c r="AC104" s="43" t="n">
        <x:v>3002306960</x:v>
      </x:c>
      <x:c r="AD104" s="43" t="n">
        <x:v>2306960</x:v>
      </x:c>
      <x:c r="AE104" s="43" t="n">
        <x:v>16985109.154803984</x:v>
      </x:c>
      <x:c r="AF104" s="43" t="n">
        <x:v>94214353.53214449</x:v>
      </x:c>
      <x:c r="AG104" s="43" t="n">
        <x:v>471553024</x:v>
      </x:c>
      <x:c r="AH104" s="43" t="n">
        <x:v>5005108100</x:v>
      </x:c>
      <x:c r="AI104" s="43" t="n">
        <x:v>5108100</x:v>
      </x:c>
      <x:c r="AJ104" s="43" t="n">
        <x:v>94214353.53214449</x:v>
      </x:c>
      <x:c r="AK104" s="43" t="n">
        <x:v>471553024</x:v>
      </x:c>
      <x:c r="AL104" s="43" t="n">
        <x:v>0</x:v>
      </x:c>
      <x:c r="AM104" s="43" t="n">
        <x:v>18782305.565572783</x:v>
      </x:c>
      <x:c r="AN104" s="43" t="n">
        <x:v>40</x:v>
      </x:c>
      <x:c r="AO104" s="43" t="n">
        <x:v>171</x:v>
      </x:c>
      <x:c r="AP104" s="43" t="n">
        <x:v>291</x:v>
      </x:c>
      <x:c r="AQ104" s="43" t="n">
        <x:v>7368016</x:v>
      </x:c>
      <x:c r="AR104" s="43" t="n">
        <x:v>16</x:v>
      </x:c>
      <x:c r="AS104" s="45" t="b">
        <x:v>0</x:v>
      </x:c>
      <x:c r="AT104" s="43" t="n">
        <x:v>0</x:v>
      </x:c>
      <x:c r="AU104" s="48" t="n">
        <x:v>0</x:v>
      </x:c>
      <x:c r="AV104" s="43" t="n">
        <x:v>0</x:v>
      </x:c>
      <x:c r="AW104" s="48" t="n">
        <x:v>0</x:v>
      </x:c>
      <x:c r="AX104" s="45" t="b">
        <x:v>1</x:v>
      </x:c>
      <x:c r="AY104" s="44" t="str">
        <x:v>{"provider":"nostore","currentEntries":0,"requestCount":471553024,"hitCount":0,"missCount":471553024,"hitRate":0,"loadSuccessCount":0,"loadFailureCount":0,"totalLoadTimeNanos":0,"evictionCount":0,"expirationCount":0,"putCount":10000,"removeCount":0,"nativeMetrics":{"storageEnabled":0}}</x:v>
      </x:c>
      <x:c r="AZ104" s="44" t="str">
        <x:v>{"provider":"nostore","currentEntries":0,"requestCount":471553024,"hitCount":0,"missCount":471553024,"hitRate":0,"loadSuccessCount":0,"loadFailureCount":0,"totalLoadTimeNanos":0,"evictionCount":0,"expirationCount":0,"putCount":15000,"removeCount":0,"nativeMetrics":{"storageEnabled":0}}</x:v>
      </x:c>
      <x:c r="BA104" s="43" t="n">
        <x:v>0</x:v>
      </x:c>
      <x:c r="BB104" s="43" t="n">
        <x:v>471553024</x:v>
      </x:c>
      <x:c r="BC104" s="43" t="n">
        <x:v>0</x:v>
      </x:c>
      <x:c r="BD104" s="43" t="n">
        <x:v>471553024</x:v>
      </x:c>
      <x:c r="BE104" s="48" t="n">
        <x:v>0</x:v>
      </x:c>
      <x:c r="BF104" s="43" t="n">
        <x:v>0</x:v>
      </x:c>
      <x:c r="BG104" s="43" t="n">
        <x:v>0</x:v>
      </x:c>
      <x:c r="BH104" s="43" t="n">
        <x:v>0</x:v>
      </x:c>
      <x:c r="BI104" s="43" t="n">
        <x:v>0</x:v>
      </x:c>
      <x:c r="BJ104" s="43" t="n">
        <x:v>0</x:v>
      </x:c>
      <x:c r="BK104" s="43" t="n">
        <x:v>15000</x:v>
      </x:c>
      <x:c r="BL104" s="43" t="n">
        <x:v>0</x:v>
      </x:c>
      <x:c r="BM104" s="44" t="str">
        <x:v>{"storageEnabled":0}</x:v>
      </x:c>
    </x:row>
    <x:row r="105">
      <x:c r="A105" s="34" t="str">
        <x:v>article1-unified-v4-2-fb3f101b-20260903-000401-default-f02-p5-nostore</x:v>
      </x:c>
      <x:c r="B105" s="34" t="str">
        <x:v>default</x:v>
      </x:c>
      <x:c r="C105" s="34" t="str">
        <x:v>nostore</x:v>
      </x:c>
      <x:c r="D105" s="34" t="str">
        <x:v>nostore</x:v>
      </x:c>
      <x:c r="E105" s="34" t="str">
        <x:v>lifecycle-negative-control</x:v>
      </x:c>
      <x:c r="F105" s="36" t="n">
        <x:v>2</x:v>
      </x:c>
      <x:c r="G105" s="36" t="n">
        <x:v>2</x:v>
      </x:c>
      <x:c r="H105" s="36" t="n">
        <x:v>5</x:v>
      </x:c>
      <x:c r="I105" s="36" t="n">
        <x:v>2</x:v>
      </x:c>
      <x:c r="J105" s="34" t="str">
        <x:v>redeploy</x:v>
      </x:c>
      <x:c r="K105" s="34" t="str">
        <x:v>no-store-control</x:v>
      </x:c>
      <x:c r="L105" s="45" t="b">
        <x:v>0</x:v>
      </x:c>
      <x:c r="M105" s="36" t="n">
        <x:v>1276216390</x:v>
      </x:c>
      <x:c r="N105" s="34" t="str">
        <x:v>b1b1fad534e2c4c4d7722cdd92c497d70af07481e43490fceffff21f05e0b6a0</x:v>
      </x:c>
      <x:c r="O105" s="43" t="n">
        <x:v>10000</x:v>
      </x:c>
      <x:c r="P105" s="43" t="n">
        <x:v>400000</x:v>
      </x:c>
      <x:c r="Q105" s="36" t="n">
        <x:v>8</x:v>
      </x:c>
      <x:c r="R105" s="42" t="n">
        <x:v>95</x:v>
      </x:c>
      <x:c r="S105" s="43" t="n">
        <x:v>512</x:v>
      </x:c>
      <x:c r="T105" s="43" t="n">
        <x:v>50000</x:v>
      </x:c>
      <x:c r="U105" s="46" t="n">
        <x:v>3</x:v>
      </x:c>
      <x:c r="V105" s="46" t="n">
        <x:v>5</x:v>
      </x:c>
      <x:c r="W105" s="43" t="n">
        <x:v>300</x:v>
      </x:c>
      <x:c r="X105" s="34" t="str">
        <x:v>uniform</x:v>
      </x:c>
      <x:c r="Y105" s="42" t="n">
        <x:v>10</x:v>
      </x:c>
      <x:c r="Z105" s="34" t="str">
        <x:v>strict</x:v>
      </x:c>
      <x:c r="AA105" s="36" t="n">
        <x:v>64</x:v>
      </x:c>
      <x:c r="AB105" s="43" t="n">
        <x:v>330019072</x:v>
      </x:c>
      <x:c r="AC105" s="43" t="n">
        <x:v>3008635696</x:v>
      </x:c>
      <x:c r="AD105" s="43" t="n">
        <x:v>8635696</x:v>
      </x:c>
      <x:c r="AE105" s="43" t="n">
        <x:v>13730699.78511455</x:v>
      </x:c>
      <x:c r="AF105" s="43" t="n">
        <x:v>97151438.37739208</x:v>
      </x:c>
      <x:c r="AG105" s="43" t="n">
        <x:v>486354688</x:v>
      </x:c>
      <x:c r="AH105" s="43" t="n">
        <x:v>5006150152</x:v>
      </x:c>
      <x:c r="AI105" s="43" t="n">
        <x:v>6150152</x:v>
      </x:c>
      <x:c r="AJ105" s="43" t="n">
        <x:v>97151438.37739208</x:v>
      </x:c>
      <x:c r="AK105" s="43" t="n">
        <x:v>486354688</x:v>
      </x:c>
      <x:c r="AL105" s="43" t="n">
        <x:v>0</x:v>
      </x:c>
      <x:c r="AM105" s="43" t="n">
        <x:v>19249574.584401686</x:v>
      </x:c>
      <x:c r="AN105" s="43" t="n">
        <x:v>40</x:v>
      </x:c>
      <x:c r="AO105" s="43" t="n">
        <x:v>170</x:v>
      </x:c>
      <x:c r="AP105" s="43" t="n">
        <x:v>290</x:v>
      </x:c>
      <x:c r="AQ105" s="43" t="n">
        <x:v>7599292</x:v>
      </x:c>
      <x:c r="AR105" s="43" t="n">
        <x:v>16</x:v>
      </x:c>
      <x:c r="AS105" s="45" t="b">
        <x:v>0</x:v>
      </x:c>
      <x:c r="AT105" s="43" t="n">
        <x:v>0</x:v>
      </x:c>
      <x:c r="AU105" s="48" t="n">
        <x:v>0</x:v>
      </x:c>
      <x:c r="AV105" s="43" t="n">
        <x:v>0</x:v>
      </x:c>
      <x:c r="AW105" s="48" t="n">
        <x:v>0</x:v>
      </x:c>
      <x:c r="AX105" s="45" t="b">
        <x:v>1</x:v>
      </x:c>
      <x:c r="AY105" s="44" t="str">
        <x:v>{"provider":"nostore","currentEntries":0,"requestCount":486354688,"hitCount":0,"missCount":486354688,"hitRate":0,"loadSuccessCount":0,"loadFailureCount":0,"totalLoadTimeNanos":0,"evictionCount":0,"expirationCount":0,"putCount":10000,"removeCount":0,"nativeMetrics":{"storageEnabled":0}}</x:v>
      </x:c>
      <x:c r="AZ105" s="44" t="str">
        <x:v>{"provider":"nostore","currentEntries":0,"requestCount":486354688,"hitCount":0,"missCount":486354688,"hitRate":0,"loadSuccessCount":0,"loadFailureCount":0,"totalLoadTimeNanos":0,"evictionCount":0,"expirationCount":0,"putCount":15000,"removeCount":0,"nativeMetrics":{"storageEnabled":0}}</x:v>
      </x:c>
      <x:c r="BA105" s="43" t="n">
        <x:v>0</x:v>
      </x:c>
      <x:c r="BB105" s="43" t="n">
        <x:v>486354688</x:v>
      </x:c>
      <x:c r="BC105" s="43" t="n">
        <x:v>0</x:v>
      </x:c>
      <x:c r="BD105" s="43" t="n">
        <x:v>486354688</x:v>
      </x:c>
      <x:c r="BE105" s="48" t="n">
        <x:v>0</x:v>
      </x:c>
      <x:c r="BF105" s="43" t="n">
        <x:v>0</x:v>
      </x:c>
      <x:c r="BG105" s="43" t="n">
        <x:v>0</x:v>
      </x:c>
      <x:c r="BH105" s="43" t="n">
        <x:v>0</x:v>
      </x:c>
      <x:c r="BI105" s="43" t="n">
        <x:v>0</x:v>
      </x:c>
      <x:c r="BJ105" s="43" t="n">
        <x:v>0</x:v>
      </x:c>
      <x:c r="BK105" s="43" t="n">
        <x:v>15000</x:v>
      </x:c>
      <x:c r="BL105" s="43" t="n">
        <x:v>0</x:v>
      </x:c>
      <x:c r="BM105" s="44" t="str">
        <x:v>{"storageEnabled":0}</x:v>
      </x:c>
    </x:row>
    <x:row r="106">
      <x:c r="A106" s="34" t="str">
        <x:v>article1-unified-v4-2-fb3f101b-20260903-000401-default-f02-p5-nostore</x:v>
      </x:c>
      <x:c r="B106" s="34" t="str">
        <x:v>default</x:v>
      </x:c>
      <x:c r="C106" s="34" t="str">
        <x:v>nostore</x:v>
      </x:c>
      <x:c r="D106" s="34" t="str">
        <x:v>nostore</x:v>
      </x:c>
      <x:c r="E106" s="34" t="str">
        <x:v>lifecycle-negative-control</x:v>
      </x:c>
      <x:c r="F106" s="36" t="n">
        <x:v>2</x:v>
      </x:c>
      <x:c r="G106" s="36" t="n">
        <x:v>2</x:v>
      </x:c>
      <x:c r="H106" s="36" t="n">
        <x:v>5</x:v>
      </x:c>
      <x:c r="I106" s="36" t="n">
        <x:v>3</x:v>
      </x:c>
      <x:c r="J106" s="34" t="str">
        <x:v>initial</x:v>
      </x:c>
      <x:c r="K106" s="34" t="str">
        <x:v>no-store-control</x:v>
      </x:c>
      <x:c r="L106" s="45" t="b">
        <x:v>0</x:v>
      </x:c>
      <x:c r="M106" s="36" t="n">
        <x:v>959719280</x:v>
      </x:c>
      <x:c r="N106" s="34" t="str">
        <x:v>23946bc667956929e23dfb22e893f0f3724ae41926d14e5ececed76e98fb7a11</x:v>
      </x:c>
      <x:c r="O106" s="43" t="n">
        <x:v>10000</x:v>
      </x:c>
      <x:c r="P106" s="43" t="n">
        <x:v>400000</x:v>
      </x:c>
      <x:c r="Q106" s="36" t="n">
        <x:v>8</x:v>
      </x:c>
      <x:c r="R106" s="42" t="n">
        <x:v>95</x:v>
      </x:c>
      <x:c r="S106" s="43" t="n">
        <x:v>512</x:v>
      </x:c>
      <x:c r="T106" s="43" t="n">
        <x:v>50000</x:v>
      </x:c>
      <x:c r="U106" s="46" t="n">
        <x:v>3</x:v>
      </x:c>
      <x:c r="V106" s="46" t="n">
        <x:v>5</x:v>
      </x:c>
      <x:c r="W106" s="43" t="n">
        <x:v>300</x:v>
      </x:c>
      <x:c r="X106" s="34" t="str">
        <x:v>uniform</x:v>
      </x:c>
      <x:c r="Y106" s="42" t="n">
        <x:v>10</x:v>
      </x:c>
      <x:c r="Z106" s="34" t="str">
        <x:v>strict</x:v>
      </x:c>
      <x:c r="AA106" s="36" t="n">
        <x:v>64</x:v>
      </x:c>
      <x:c r="AB106" s="43" t="n">
        <x:v>332115200</x:v>
      </x:c>
      <x:c r="AC106" s="43" t="n">
        <x:v>3049150141</x:v>
      </x:c>
      <x:c r="AD106" s="43" t="n">
        <x:v>49150141</x:v>
      </x:c>
      <x:c r="AE106" s="43" t="n">
        <x:v>16293066.648418432</x:v>
      </x:c>
      <x:c r="AF106" s="43" t="n">
        <x:v>92350327.21543759</x:v>
      </x:c>
      <x:c r="AG106" s="43" t="n">
        <x:v>462285056</x:v>
      </x:c>
      <x:c r="AH106" s="43" t="n">
        <x:v>5005776048</x:v>
      </x:c>
      <x:c r="AI106" s="43" t="n">
        <x:v>5776048</x:v>
      </x:c>
      <x:c r="AJ106" s="43" t="n">
        <x:v>92350327.21543759</x:v>
      </x:c>
      <x:c r="AK106" s="43" t="n">
        <x:v>462285056</x:v>
      </x:c>
      <x:c r="AL106" s="43" t="n">
        <x:v>0</x:v>
      </x:c>
      <x:c r="AM106" s="43" t="n">
        <x:v>19661971.387899235</x:v>
      </x:c>
      <x:c r="AN106" s="43" t="n">
        <x:v>40</x:v>
      </x:c>
      <x:c r="AO106" s="43" t="n">
        <x:v>171</x:v>
      </x:c>
      <x:c r="AP106" s="43" t="n">
        <x:v>291</x:v>
      </x:c>
      <x:c r="AQ106" s="43" t="n">
        <x:v>7223204</x:v>
      </x:c>
      <x:c r="AR106" s="43" t="n">
        <x:v>16</x:v>
      </x:c>
      <x:c r="AS106" s="45" t="b">
        <x:v>0</x:v>
      </x:c>
      <x:c r="AT106" s="43" t="n">
        <x:v>0</x:v>
      </x:c>
      <x:c r="AU106" s="48" t="n">
        <x:v>0</x:v>
      </x:c>
      <x:c r="AV106" s="43" t="n">
        <x:v>0</x:v>
      </x:c>
      <x:c r="AW106" s="48" t="n">
        <x:v>0</x:v>
      </x:c>
      <x:c r="AX106" s="45" t="b">
        <x:v>1</x:v>
      </x:c>
      <x:c r="AY106" s="44" t="str">
        <x:v>{"provider":"nostore","currentEntries":0,"requestCount":462285056,"hitCount":0,"missCount":462285056,"hitRate":0,"loadSuccessCount":0,"loadFailureCount":0,"totalLoadTimeNanos":0,"evictionCount":0,"expirationCount":0,"putCount":10000,"removeCount":0,"nativeMetrics":{"storageEnabled":0}}</x:v>
      </x:c>
      <x:c r="AZ106" s="44" t="str">
        <x:v>{"provider":"nostore","currentEntries":0,"requestCount":462285056,"hitCount":0,"missCount":462285056,"hitRate":0,"loadSuccessCount":0,"loadFailureCount":0,"totalLoadTimeNanos":0,"evictionCount":0,"expirationCount":0,"putCount":15000,"removeCount":0,"nativeMetrics":{"storageEnabled":0}}</x:v>
      </x:c>
      <x:c r="BA106" s="43" t="n">
        <x:v>0</x:v>
      </x:c>
      <x:c r="BB106" s="43" t="n">
        <x:v>462285056</x:v>
      </x:c>
      <x:c r="BC106" s="43" t="n">
        <x:v>0</x:v>
      </x:c>
      <x:c r="BD106" s="43" t="n">
        <x:v>462285056</x:v>
      </x:c>
      <x:c r="BE106" s="48" t="n">
        <x:v>0</x:v>
      </x:c>
      <x:c r="BF106" s="43" t="n">
        <x:v>0</x:v>
      </x:c>
      <x:c r="BG106" s="43" t="n">
        <x:v>0</x:v>
      </x:c>
      <x:c r="BH106" s="43" t="n">
        <x:v>0</x:v>
      </x:c>
      <x:c r="BI106" s="43" t="n">
        <x:v>0</x:v>
      </x:c>
      <x:c r="BJ106" s="43" t="n">
        <x:v>0</x:v>
      </x:c>
      <x:c r="BK106" s="43" t="n">
        <x:v>15000</x:v>
      </x:c>
      <x:c r="BL106" s="43" t="n">
        <x:v>0</x:v>
      </x:c>
      <x:c r="BM106" s="44" t="str">
        <x:v>{"storageEnabled":0}</x:v>
      </x:c>
    </x:row>
    <x:row r="107">
      <x:c r="A107" s="34" t="str">
        <x:v>article1-unified-v4-2-fb3f101b-20260903-000401-default-f02-p5-nostore</x:v>
      </x:c>
      <x:c r="B107" s="34" t="str">
        <x:v>default</x:v>
      </x:c>
      <x:c r="C107" s="34" t="str">
        <x:v>nostore</x:v>
      </x:c>
      <x:c r="D107" s="34" t="str">
        <x:v>nostore</x:v>
      </x:c>
      <x:c r="E107" s="34" t="str">
        <x:v>lifecycle-negative-control</x:v>
      </x:c>
      <x:c r="F107" s="36" t="n">
        <x:v>2</x:v>
      </x:c>
      <x:c r="G107" s="36" t="n">
        <x:v>2</x:v>
      </x:c>
      <x:c r="H107" s="36" t="n">
        <x:v>5</x:v>
      </x:c>
      <x:c r="I107" s="36" t="n">
        <x:v>3</x:v>
      </x:c>
      <x:c r="J107" s="34" t="str">
        <x:v>redeploy</x:v>
      </x:c>
      <x:c r="K107" s="34" t="str">
        <x:v>no-store-control</x:v>
      </x:c>
      <x:c r="L107" s="45" t="b">
        <x:v>0</x:v>
      </x:c>
      <x:c r="M107" s="36" t="n">
        <x:v>959719280</x:v>
      </x:c>
      <x:c r="N107" s="34" t="str">
        <x:v>23946bc667956929e23dfb22e893f0f3724ae41926d14e5ececed76e98fb7a11</x:v>
      </x:c>
      <x:c r="O107" s="43" t="n">
        <x:v>10000</x:v>
      </x:c>
      <x:c r="P107" s="43" t="n">
        <x:v>400000</x:v>
      </x:c>
      <x:c r="Q107" s="36" t="n">
        <x:v>8</x:v>
      </x:c>
      <x:c r="R107" s="42" t="n">
        <x:v>95</x:v>
      </x:c>
      <x:c r="S107" s="43" t="n">
        <x:v>512</x:v>
      </x:c>
      <x:c r="T107" s="43" t="n">
        <x:v>50000</x:v>
      </x:c>
      <x:c r="U107" s="46" t="n">
        <x:v>3</x:v>
      </x:c>
      <x:c r="V107" s="46" t="n">
        <x:v>5</x:v>
      </x:c>
      <x:c r="W107" s="43" t="n">
        <x:v>300</x:v>
      </x:c>
      <x:c r="X107" s="34" t="str">
        <x:v>uniform</x:v>
      </x:c>
      <x:c r="Y107" s="42" t="n">
        <x:v>10</x:v>
      </x:c>
      <x:c r="Z107" s="34" t="str">
        <x:v>strict</x:v>
      </x:c>
      <x:c r="AA107" s="36" t="n">
        <x:v>64</x:v>
      </x:c>
      <x:c r="AB107" s="43" t="n">
        <x:v>343363584</x:v>
      </x:c>
      <x:c r="AC107" s="43" t="n">
        <x:v>3000509701</x:v>
      </x:c>
      <x:c r="AD107" s="43" t="n">
        <x:v>509701</x:v>
      </x:c>
      <x:c r="AE107" s="43" t="n">
        <x:v>14332355.866663227</x:v>
      </x:c>
      <x:c r="AF107" s="43" t="n">
        <x:v>96000061.33671767</x:v>
      </x:c>
      <x:c r="AG107" s="43" t="n">
        <x:v>481008896</x:v>
      </x:c>
      <x:c r="AH107" s="43" t="n">
        <x:v>5010506132</x:v>
      </x:c>
      <x:c r="AI107" s="43" t="n">
        <x:v>10506132</x:v>
      </x:c>
      <x:c r="AJ107" s="43" t="n">
        <x:v>96000061.33671767</x:v>
      </x:c>
      <x:c r="AK107" s="43" t="n">
        <x:v>481008896</x:v>
      </x:c>
      <x:c r="AL107" s="43" t="n">
        <x:v>0</x:v>
      </x:c>
      <x:c r="AM107" s="43" t="n">
        <x:v>14683727.19984259</x:v>
      </x:c>
      <x:c r="AN107" s="43" t="n">
        <x:v>40</x:v>
      </x:c>
      <x:c r="AO107" s="43" t="n">
        <x:v>171</x:v>
      </x:c>
      <x:c r="AP107" s="43" t="n">
        <x:v>291</x:v>
      </x:c>
      <x:c r="AQ107" s="43" t="n">
        <x:v>7515764</x:v>
      </x:c>
      <x:c r="AR107" s="43" t="n">
        <x:v>16</x:v>
      </x:c>
      <x:c r="AS107" s="45" t="b">
        <x:v>0</x:v>
      </x:c>
      <x:c r="AT107" s="43" t="n">
        <x:v>0</x:v>
      </x:c>
      <x:c r="AU107" s="48" t="n">
        <x:v>0</x:v>
      </x:c>
      <x:c r="AV107" s="43" t="n">
        <x:v>0</x:v>
      </x:c>
      <x:c r="AW107" s="48" t="n">
        <x:v>0</x:v>
      </x:c>
      <x:c r="AX107" s="45" t="b">
        <x:v>1</x:v>
      </x:c>
      <x:c r="AY107" s="44" t="str">
        <x:v>{"provider":"nostore","currentEntries":0,"requestCount":481008896,"hitCount":0,"missCount":481008896,"hitRate":0,"loadSuccessCount":0,"loadFailureCount":0,"totalLoadTimeNanos":0,"evictionCount":0,"expirationCount":0,"putCount":10000,"removeCount":0,"nativeMetrics":{"storageEnabled":0}}</x:v>
      </x:c>
      <x:c r="AZ107" s="44" t="str">
        <x:v>{"provider":"nostore","currentEntries":0,"requestCount":481008896,"hitCount":0,"missCount":481008896,"hitRate":0,"loadSuccessCount":0,"loadFailureCount":0,"totalLoadTimeNanos":0,"evictionCount":0,"expirationCount":0,"putCount":15000,"removeCount":0,"nativeMetrics":{"storageEnabled":0}}</x:v>
      </x:c>
      <x:c r="BA107" s="43" t="n">
        <x:v>0</x:v>
      </x:c>
      <x:c r="BB107" s="43" t="n">
        <x:v>481008896</x:v>
      </x:c>
      <x:c r="BC107" s="43" t="n">
        <x:v>0</x:v>
      </x:c>
      <x:c r="BD107" s="43" t="n">
        <x:v>481008896</x:v>
      </x:c>
      <x:c r="BE107" s="48" t="n">
        <x:v>0</x:v>
      </x:c>
      <x:c r="BF107" s="43" t="n">
        <x:v>0</x:v>
      </x:c>
      <x:c r="BG107" s="43" t="n">
        <x:v>0</x:v>
      </x:c>
      <x:c r="BH107" s="43" t="n">
        <x:v>0</x:v>
      </x:c>
      <x:c r="BI107" s="43" t="n">
        <x:v>0</x:v>
      </x:c>
      <x:c r="BJ107" s="43" t="n">
        <x:v>0</x:v>
      </x:c>
      <x:c r="BK107" s="43" t="n">
        <x:v>15000</x:v>
      </x:c>
      <x:c r="BL107" s="43" t="n">
        <x:v>0</x:v>
      </x:c>
      <x:c r="BM107" s="44" t="str">
        <x:v>{"storageEnabled":0}</x:v>
      </x:c>
    </x:row>
    <x:row r="108">
      <x:c r="A108" s="34" t="str">
        <x:v>article1-unified-v4-2-fb3f101b-20260903-000401-default-f02-p5-nostore</x:v>
      </x:c>
      <x:c r="B108" s="34" t="str">
        <x:v>default</x:v>
      </x:c>
      <x:c r="C108" s="34" t="str">
        <x:v>nostore</x:v>
      </x:c>
      <x:c r="D108" s="34" t="str">
        <x:v>nostore</x:v>
      </x:c>
      <x:c r="E108" s="34" t="str">
        <x:v>lifecycle-negative-control</x:v>
      </x:c>
      <x:c r="F108" s="36" t="n">
        <x:v>2</x:v>
      </x:c>
      <x:c r="G108" s="36" t="n">
        <x:v>2</x:v>
      </x:c>
      <x:c r="H108" s="36" t="n">
        <x:v>5</x:v>
      </x:c>
      <x:c r="I108" s="36" t="n">
        <x:v>4</x:v>
      </x:c>
      <x:c r="J108" s="34" t="str">
        <x:v>initial</x:v>
      </x:c>
      <x:c r="K108" s="34" t="str">
        <x:v>no-store-control</x:v>
      </x:c>
      <x:c r="L108" s="45" t="b">
        <x:v>0</x:v>
      </x:c>
      <x:c r="M108" s="36" t="n">
        <x:v>1652540875</x:v>
      </x:c>
      <x:c r="N108" s="34" t="str">
        <x:v>6d9eb911d184e49ced2dfa5d0ef88cff2d7d7f264b58a7cf2172e037d424290b</x:v>
      </x:c>
      <x:c r="O108" s="43" t="n">
        <x:v>10000</x:v>
      </x:c>
      <x:c r="P108" s="43" t="n">
        <x:v>400000</x:v>
      </x:c>
      <x:c r="Q108" s="36" t="n">
        <x:v>8</x:v>
      </x:c>
      <x:c r="R108" s="42" t="n">
        <x:v>95</x:v>
      </x:c>
      <x:c r="S108" s="43" t="n">
        <x:v>512</x:v>
      </x:c>
      <x:c r="T108" s="43" t="n">
        <x:v>50000</x:v>
      </x:c>
      <x:c r="U108" s="46" t="n">
        <x:v>3</x:v>
      </x:c>
      <x:c r="V108" s="46" t="n">
        <x:v>5</x:v>
      </x:c>
      <x:c r="W108" s="43" t="n">
        <x:v>300</x:v>
      </x:c>
      <x:c r="X108" s="34" t="str">
        <x:v>uniform</x:v>
      </x:c>
      <x:c r="Y108" s="42" t="n">
        <x:v>10</x:v>
      </x:c>
      <x:c r="Z108" s="34" t="str">
        <x:v>strict</x:v>
      </x:c>
      <x:c r="AA108" s="36" t="n">
        <x:v>64</x:v>
      </x:c>
      <x:c r="AB108" s="43" t="n">
        <x:v>339227392</x:v>
      </x:c>
      <x:c r="AC108" s="43" t="n">
        <x:v>3034024547</x:v>
      </x:c>
      <x:c r="AD108" s="43" t="n">
        <x:v>34024547</x:v>
      </x:c>
      <x:c r="AE108" s="43" t="n">
        <x:v>11868013.44883284</x:v>
      </x:c>
      <x:c r="AF108" s="43" t="n">
        <x:v>97728145.37466997</x:v>
      </x:c>
      <x:c r="AG108" s="43" t="n">
        <x:v>489724928</x:v>
      </x:c>
      <x:c r="AH108" s="43" t="n">
        <x:v>5011094052</x:v>
      </x:c>
      <x:c r="AI108" s="43" t="n">
        <x:v>11094052</x:v>
      </x:c>
      <x:c r="AJ108" s="43" t="n">
        <x:v>97728145.37466997</x:v>
      </x:c>
      <x:c r="AK108" s="43" t="n">
        <x:v>489724928</x:v>
      </x:c>
      <x:c r="AL108" s="43" t="n">
        <x:v>0</x:v>
      </x:c>
      <x:c r="AM108" s="43" t="n">
        <x:v>20166331.905557033</x:v>
      </x:c>
      <x:c r="AN108" s="43" t="n">
        <x:v>40</x:v>
      </x:c>
      <x:c r="AO108" s="43" t="n">
        <x:v>170</x:v>
      </x:c>
      <x:c r="AP108" s="43" t="n">
        <x:v>290</x:v>
      </x:c>
      <x:c r="AQ108" s="43" t="n">
        <x:v>7651952</x:v>
      </x:c>
      <x:c r="AR108" s="43" t="n">
        <x:v>16</x:v>
      </x:c>
      <x:c r="AS108" s="45" t="b">
        <x:v>0</x:v>
      </x:c>
      <x:c r="AT108" s="43" t="n">
        <x:v>0</x:v>
      </x:c>
      <x:c r="AU108" s="48" t="n">
        <x:v>0</x:v>
      </x:c>
      <x:c r="AV108" s="43" t="n">
        <x:v>0</x:v>
      </x:c>
      <x:c r="AW108" s="48" t="n">
        <x:v>0</x:v>
      </x:c>
      <x:c r="AX108" s="45" t="b">
        <x:v>1</x:v>
      </x:c>
      <x:c r="AY108" s="44" t="str">
        <x:v>{"provider":"nostore","currentEntries":0,"requestCount":489724928,"hitCount":0,"missCount":489724928,"hitRate":0,"loadSuccessCount":0,"loadFailureCount":0,"totalLoadTimeNanos":0,"evictionCount":0,"expirationCount":0,"putCount":10000,"removeCount":0,"nativeMetrics":{"storageEnabled":0}}</x:v>
      </x:c>
      <x:c r="AZ108" s="44" t="str">
        <x:v>{"provider":"nostore","currentEntries":0,"requestCount":489724928,"hitCount":0,"missCount":489724928,"hitRate":0,"loadSuccessCount":0,"loadFailureCount":0,"totalLoadTimeNanos":0,"evictionCount":0,"expirationCount":0,"putCount":15000,"removeCount":0,"nativeMetrics":{"storageEnabled":0}}</x:v>
      </x:c>
      <x:c r="BA108" s="43" t="n">
        <x:v>0</x:v>
      </x:c>
      <x:c r="BB108" s="43" t="n">
        <x:v>489724928</x:v>
      </x:c>
      <x:c r="BC108" s="43" t="n">
        <x:v>0</x:v>
      </x:c>
      <x:c r="BD108" s="43" t="n">
        <x:v>489724928</x:v>
      </x:c>
      <x:c r="BE108" s="48" t="n">
        <x:v>0</x:v>
      </x:c>
      <x:c r="BF108" s="43" t="n">
        <x:v>0</x:v>
      </x:c>
      <x:c r="BG108" s="43" t="n">
        <x:v>0</x:v>
      </x:c>
      <x:c r="BH108" s="43" t="n">
        <x:v>0</x:v>
      </x:c>
      <x:c r="BI108" s="43" t="n">
        <x:v>0</x:v>
      </x:c>
      <x:c r="BJ108" s="43" t="n">
        <x:v>0</x:v>
      </x:c>
      <x:c r="BK108" s="43" t="n">
        <x:v>15000</x:v>
      </x:c>
      <x:c r="BL108" s="43" t="n">
        <x:v>0</x:v>
      </x:c>
      <x:c r="BM108" s="44" t="str">
        <x:v>{"storageEnabled":0}</x:v>
      </x:c>
    </x:row>
    <x:row r="109">
      <x:c r="A109" s="34" t="str">
        <x:v>article1-unified-v4-2-fb3f101b-20260903-000401-default-f02-p5-nostore</x:v>
      </x:c>
      <x:c r="B109" s="34" t="str">
        <x:v>default</x:v>
      </x:c>
      <x:c r="C109" s="34" t="str">
        <x:v>nostore</x:v>
      </x:c>
      <x:c r="D109" s="34" t="str">
        <x:v>nostore</x:v>
      </x:c>
      <x:c r="E109" s="34" t="str">
        <x:v>lifecycle-negative-control</x:v>
      </x:c>
      <x:c r="F109" s="36" t="n">
        <x:v>2</x:v>
      </x:c>
      <x:c r="G109" s="36" t="n">
        <x:v>2</x:v>
      </x:c>
      <x:c r="H109" s="36" t="n">
        <x:v>5</x:v>
      </x:c>
      <x:c r="I109" s="36" t="n">
        <x:v>4</x:v>
      </x:c>
      <x:c r="J109" s="34" t="str">
        <x:v>redeploy</x:v>
      </x:c>
      <x:c r="K109" s="34" t="str">
        <x:v>no-store-control</x:v>
      </x:c>
      <x:c r="L109" s="45" t="b">
        <x:v>0</x:v>
      </x:c>
      <x:c r="M109" s="36" t="n">
        <x:v>1652540875</x:v>
      </x:c>
      <x:c r="N109" s="34" t="str">
        <x:v>6d9eb911d184e49ced2dfa5d0ef88cff2d7d7f264b58a7cf2172e037d424290b</x:v>
      </x:c>
      <x:c r="O109" s="43" t="n">
        <x:v>10000</x:v>
      </x:c>
      <x:c r="P109" s="43" t="n">
        <x:v>400000</x:v>
      </x:c>
      <x:c r="Q109" s="36" t="n">
        <x:v>8</x:v>
      </x:c>
      <x:c r="R109" s="42" t="n">
        <x:v>95</x:v>
      </x:c>
      <x:c r="S109" s="43" t="n">
        <x:v>512</x:v>
      </x:c>
      <x:c r="T109" s="43" t="n">
        <x:v>50000</x:v>
      </x:c>
      <x:c r="U109" s="46" t="n">
        <x:v>3</x:v>
      </x:c>
      <x:c r="V109" s="46" t="n">
        <x:v>5</x:v>
      </x:c>
      <x:c r="W109" s="43" t="n">
        <x:v>300</x:v>
      </x:c>
      <x:c r="X109" s="34" t="str">
        <x:v>uniform</x:v>
      </x:c>
      <x:c r="Y109" s="42" t="n">
        <x:v>10</x:v>
      </x:c>
      <x:c r="Z109" s="34" t="str">
        <x:v>strict</x:v>
      </x:c>
      <x:c r="AA109" s="36" t="n">
        <x:v>64</x:v>
      </x:c>
      <x:c r="AB109" s="43" t="n">
        <x:v>350211584</x:v>
      </x:c>
      <x:c r="AC109" s="43" t="n">
        <x:v>3000526697</x:v>
      </x:c>
      <x:c r="AD109" s="43" t="n">
        <x:v>526697</x:v>
      </x:c>
      <x:c r="AE109" s="43" t="n">
        <x:v>10707922.149122806</x:v>
      </x:c>
      <x:c r="AF109" s="43" t="n">
        <x:v>96366502.92991355</x:v>
      </x:c>
      <x:c r="AG109" s="43" t="n">
        <x:v>482392320</x:v>
      </x:c>
      <x:c r="AH109" s="43" t="n">
        <x:v>5005809128</x:v>
      </x:c>
      <x:c r="AI109" s="43" t="n">
        <x:v>5809128</x:v>
      </x:c>
      <x:c r="AJ109" s="43" t="n">
        <x:v>96366502.92991355</x:v>
      </x:c>
      <x:c r="AK109" s="43" t="n">
        <x:v>482392320</x:v>
      </x:c>
      <x:c r="AL109" s="43" t="n">
        <x:v>0</x:v>
      </x:c>
      <x:c r="AM109" s="43" t="n">
        <x:v>18934588.570324954</x:v>
      </x:c>
      <x:c r="AN109" s="43" t="n">
        <x:v>40</x:v>
      </x:c>
      <x:c r="AO109" s="43" t="n">
        <x:v>171</x:v>
      </x:c>
      <x:c r="AP109" s="43" t="n">
        <x:v>291</x:v>
      </x:c>
      <x:c r="AQ109" s="43" t="n">
        <x:v>7537380</x:v>
      </x:c>
      <x:c r="AR109" s="43" t="n">
        <x:v>16</x:v>
      </x:c>
      <x:c r="AS109" s="45" t="b">
        <x:v>0</x:v>
      </x:c>
      <x:c r="AT109" s="43" t="n">
        <x:v>0</x:v>
      </x:c>
      <x:c r="AU109" s="48" t="n">
        <x:v>0</x:v>
      </x:c>
      <x:c r="AV109" s="43" t="n">
        <x:v>0</x:v>
      </x:c>
      <x:c r="AW109" s="48" t="n">
        <x:v>0</x:v>
      </x:c>
      <x:c r="AX109" s="45" t="b">
        <x:v>1</x:v>
      </x:c>
      <x:c r="AY109" s="44" t="str">
        <x:v>{"provider":"nostore","currentEntries":0,"requestCount":482392320,"hitCount":0,"missCount":482392320,"hitRate":0,"loadSuccessCount":0,"loadFailureCount":0,"totalLoadTimeNanos":0,"evictionCount":0,"expirationCount":0,"putCount":10000,"removeCount":0,"nativeMetrics":{"storageEnabled":0}}</x:v>
      </x:c>
      <x:c r="AZ109" s="44" t="str">
        <x:v>{"provider":"nostore","currentEntries":0,"requestCount":482392320,"hitCount":0,"missCount":482392320,"hitRate":0,"loadSuccessCount":0,"loadFailureCount":0,"totalLoadTimeNanos":0,"evictionCount":0,"expirationCount":0,"putCount":15000,"removeCount":0,"nativeMetrics":{"storageEnabled":0}}</x:v>
      </x:c>
      <x:c r="BA109" s="43" t="n">
        <x:v>0</x:v>
      </x:c>
      <x:c r="BB109" s="43" t="n">
        <x:v>482392320</x:v>
      </x:c>
      <x:c r="BC109" s="43" t="n">
        <x:v>0</x:v>
      </x:c>
      <x:c r="BD109" s="43" t="n">
        <x:v>482392320</x:v>
      </x:c>
      <x:c r="BE109" s="48" t="n">
        <x:v>0</x:v>
      </x:c>
      <x:c r="BF109" s="43" t="n">
        <x:v>0</x:v>
      </x:c>
      <x:c r="BG109" s="43" t="n">
        <x:v>0</x:v>
      </x:c>
      <x:c r="BH109" s="43" t="n">
        <x:v>0</x:v>
      </x:c>
      <x:c r="BI109" s="43" t="n">
        <x:v>0</x:v>
      </x:c>
      <x:c r="BJ109" s="43" t="n">
        <x:v>0</x:v>
      </x:c>
      <x:c r="BK109" s="43" t="n">
        <x:v>15000</x:v>
      </x:c>
      <x:c r="BL109" s="43" t="n">
        <x:v>0</x:v>
      </x:c>
      <x:c r="BM109" s="44" t="str">
        <x:v>{"storageEnabled":0}</x:v>
      </x:c>
    </x:row>
    <x:row r="110">
      <x:c r="A110" s="34" t="str">
        <x:v>article1-unified-v4-2-fb3f101b-20260903-000401-default-f02-p5-nostore</x:v>
      </x:c>
      <x:c r="B110" s="34" t="str">
        <x:v>default</x:v>
      </x:c>
      <x:c r="C110" s="34" t="str">
        <x:v>nostore</x:v>
      </x:c>
      <x:c r="D110" s="34" t="str">
        <x:v>nostore</x:v>
      </x:c>
      <x:c r="E110" s="34" t="str">
        <x:v>lifecycle-negative-control</x:v>
      </x:c>
      <x:c r="F110" s="36" t="n">
        <x:v>2</x:v>
      </x:c>
      <x:c r="G110" s="36" t="n">
        <x:v>2</x:v>
      </x:c>
      <x:c r="H110" s="36" t="n">
        <x:v>5</x:v>
      </x:c>
      <x:c r="I110" s="36" t="n">
        <x:v>5</x:v>
      </x:c>
      <x:c r="J110" s="34" t="str">
        <x:v>initial</x:v>
      </x:c>
      <x:c r="K110" s="34" t="str">
        <x:v>no-store-control</x:v>
      </x:c>
      <x:c r="L110" s="45" t="b">
        <x:v>0</x:v>
      </x:c>
      <x:c r="M110" s="36" t="n">
        <x:v>2077052807</x:v>
      </x:c>
      <x:c r="N110" s="34" t="str">
        <x:v>00ff6973c5a97fdf7eb604a286d7e8ed14ab7633eb1da6b80ffef64c86bdc8ff</x:v>
      </x:c>
      <x:c r="O110" s="43" t="n">
        <x:v>10000</x:v>
      </x:c>
      <x:c r="P110" s="43" t="n">
        <x:v>400000</x:v>
      </x:c>
      <x:c r="Q110" s="36" t="n">
        <x:v>8</x:v>
      </x:c>
      <x:c r="R110" s="42" t="n">
        <x:v>95</x:v>
      </x:c>
      <x:c r="S110" s="43" t="n">
        <x:v>512</x:v>
      </x:c>
      <x:c r="T110" s="43" t="n">
        <x:v>50000</x:v>
      </x:c>
      <x:c r="U110" s="46" t="n">
        <x:v>3</x:v>
      </x:c>
      <x:c r="V110" s="46" t="n">
        <x:v>5</x:v>
      </x:c>
      <x:c r="W110" s="43" t="n">
        <x:v>300</x:v>
      </x:c>
      <x:c r="X110" s="34" t="str">
        <x:v>uniform</x:v>
      </x:c>
      <x:c r="Y110" s="42" t="n">
        <x:v>10</x:v>
      </x:c>
      <x:c r="Z110" s="34" t="str">
        <x:v>strict</x:v>
      </x:c>
      <x:c r="AA110" s="36" t="n">
        <x:v>64</x:v>
      </x:c>
      <x:c r="AB110" s="43" t="n">
        <x:v>339547904</x:v>
      </x:c>
      <x:c r="AC110" s="43" t="n">
        <x:v>3000563034</x:v>
      </x:c>
      <x:c r="AD110" s="43" t="n">
        <x:v>563034</x:v>
      </x:c>
      <x:c r="AE110" s="43" t="n">
        <x:v>15651264.778706767</x:v>
      </x:c>
      <x:c r="AF110" s="43" t="n">
        <x:v>95352300.05653298</x:v>
      </x:c>
      <x:c r="AG110" s="43" t="n">
        <x:v>477553408</x:v>
      </x:c>
      <x:c r="AH110" s="43" t="n">
        <x:v>5008305072</x:v>
      </x:c>
      <x:c r="AI110" s="43" t="n">
        <x:v>8305072</x:v>
      </x:c>
      <x:c r="AJ110" s="43" t="n">
        <x:v>95352300.05653298</x:v>
      </x:c>
      <x:c r="AK110" s="43" t="n">
        <x:v>477553408</x:v>
      </x:c>
      <x:c r="AL110" s="43" t="n">
        <x:v>0</x:v>
      </x:c>
      <x:c r="AM110" s="43" t="n">
        <x:v>16105704.962811926</x:v>
      </x:c>
      <x:c r="AN110" s="43" t="n">
        <x:v>40</x:v>
      </x:c>
      <x:c r="AO110" s="43" t="n">
        <x:v>171</x:v>
      </x:c>
      <x:c r="AP110" s="43" t="n">
        <x:v>291</x:v>
      </x:c>
      <x:c r="AQ110" s="43" t="n">
        <x:v>7461772</x:v>
      </x:c>
      <x:c r="AR110" s="43" t="n">
        <x:v>16</x:v>
      </x:c>
      <x:c r="AS110" s="45" t="b">
        <x:v>0</x:v>
      </x:c>
      <x:c r="AT110" s="43" t="n">
        <x:v>0</x:v>
      </x:c>
      <x:c r="AU110" s="48" t="n">
        <x:v>0</x:v>
      </x:c>
      <x:c r="AV110" s="43" t="n">
        <x:v>0</x:v>
      </x:c>
      <x:c r="AW110" s="48" t="n">
        <x:v>0</x:v>
      </x:c>
      <x:c r="AX110" s="45" t="b">
        <x:v>1</x:v>
      </x:c>
      <x:c r="AY110" s="44" t="str">
        <x:v>{"provider":"nostore","currentEntries":0,"requestCount":477553408,"hitCount":0,"missCount":477553408,"hitRate":0,"loadSuccessCount":0,"loadFailureCount":0,"totalLoadTimeNanos":0,"evictionCount":0,"expirationCount":0,"putCount":10000,"removeCount":0,"nativeMetrics":{"storageEnabled":0}}</x:v>
      </x:c>
      <x:c r="AZ110" s="44" t="str">
        <x:v>{"provider":"nostore","currentEntries":0,"requestCount":477553408,"hitCount":0,"missCount":477553408,"hitRate":0,"loadSuccessCount":0,"loadFailureCount":0,"totalLoadTimeNanos":0,"evictionCount":0,"expirationCount":0,"putCount":15000,"removeCount":0,"nativeMetrics":{"storageEnabled":0}}</x:v>
      </x:c>
      <x:c r="BA110" s="43" t="n">
        <x:v>0</x:v>
      </x:c>
      <x:c r="BB110" s="43" t="n">
        <x:v>477553408</x:v>
      </x:c>
      <x:c r="BC110" s="43" t="n">
        <x:v>0</x:v>
      </x:c>
      <x:c r="BD110" s="43" t="n">
        <x:v>477553408</x:v>
      </x:c>
      <x:c r="BE110" s="48" t="n">
        <x:v>0</x:v>
      </x:c>
      <x:c r="BF110" s="43" t="n">
        <x:v>0</x:v>
      </x:c>
      <x:c r="BG110" s="43" t="n">
        <x:v>0</x:v>
      </x:c>
      <x:c r="BH110" s="43" t="n">
        <x:v>0</x:v>
      </x:c>
      <x:c r="BI110" s="43" t="n">
        <x:v>0</x:v>
      </x:c>
      <x:c r="BJ110" s="43" t="n">
        <x:v>0</x:v>
      </x:c>
      <x:c r="BK110" s="43" t="n">
        <x:v>15000</x:v>
      </x:c>
      <x:c r="BL110" s="43" t="n">
        <x:v>0</x:v>
      </x:c>
      <x:c r="BM110" s="44" t="str">
        <x:v>{"storageEnabled":0}</x:v>
      </x:c>
    </x:row>
    <x:row r="111">
      <x:c r="A111" s="34" t="str">
        <x:v>article1-unified-v4-2-fb3f101b-20260903-000401-default-f02-p5-nostore</x:v>
      </x:c>
      <x:c r="B111" s="34" t="str">
        <x:v>default</x:v>
      </x:c>
      <x:c r="C111" s="34" t="str">
        <x:v>nostore</x:v>
      </x:c>
      <x:c r="D111" s="34" t="str">
        <x:v>nostore</x:v>
      </x:c>
      <x:c r="E111" s="34" t="str">
        <x:v>lifecycle-negative-control</x:v>
      </x:c>
      <x:c r="F111" s="36" t="n">
        <x:v>2</x:v>
      </x:c>
      <x:c r="G111" s="36" t="n">
        <x:v>2</x:v>
      </x:c>
      <x:c r="H111" s="36" t="n">
        <x:v>5</x:v>
      </x:c>
      <x:c r="I111" s="36" t="n">
        <x:v>5</x:v>
      </x:c>
      <x:c r="J111" s="34" t="str">
        <x:v>redeploy</x:v>
      </x:c>
      <x:c r="K111" s="34" t="str">
        <x:v>no-store-control</x:v>
      </x:c>
      <x:c r="L111" s="45" t="b">
        <x:v>0</x:v>
      </x:c>
      <x:c r="M111" s="36" t="n">
        <x:v>2077052807</x:v>
      </x:c>
      <x:c r="N111" s="34" t="str">
        <x:v>00ff6973c5a97fdf7eb604a286d7e8ed14ab7633eb1da6b80ffef64c86bdc8ff</x:v>
      </x:c>
      <x:c r="O111" s="43" t="n">
        <x:v>10000</x:v>
      </x:c>
      <x:c r="P111" s="43" t="n">
        <x:v>400000</x:v>
      </x:c>
      <x:c r="Q111" s="36" t="n">
        <x:v>8</x:v>
      </x:c>
      <x:c r="R111" s="42" t="n">
        <x:v>95</x:v>
      </x:c>
      <x:c r="S111" s="43" t="n">
        <x:v>512</x:v>
      </x:c>
      <x:c r="T111" s="43" t="n">
        <x:v>50000</x:v>
      </x:c>
      <x:c r="U111" s="46" t="n">
        <x:v>3</x:v>
      </x:c>
      <x:c r="V111" s="46" t="n">
        <x:v>5</x:v>
      </x:c>
      <x:c r="W111" s="43" t="n">
        <x:v>300</x:v>
      </x:c>
      <x:c r="X111" s="34" t="str">
        <x:v>uniform</x:v>
      </x:c>
      <x:c r="Y111" s="42" t="n">
        <x:v>10</x:v>
      </x:c>
      <x:c r="Z111" s="34" t="str">
        <x:v>strict</x:v>
      </x:c>
      <x:c r="AA111" s="36" t="n">
        <x:v>64</x:v>
      </x:c>
      <x:c r="AB111" s="43" t="n">
        <x:v>349521664</x:v>
      </x:c>
      <x:c r="AC111" s="43" t="n">
        <x:v>3037736400</x:v>
      </x:c>
      <x:c r="AD111" s="43" t="n">
        <x:v>37736400</x:v>
      </x:c>
      <x:c r="AE111" s="43" t="n">
        <x:v>9465475.15265445</x:v>
      </x:c>
      <x:c r="AF111" s="43" t="n">
        <x:v>94313696.92129673</x:v>
      </x:c>
      <x:c r="AG111" s="43" t="n">
        <x:v>472077312</x:v>
      </x:c>
      <x:c r="AH111" s="43" t="n">
        <x:v>5005395053</x:v>
      </x:c>
      <x:c r="AI111" s="43" t="n">
        <x:v>5395053</x:v>
      </x:c>
      <x:c r="AJ111" s="43" t="n">
        <x:v>94313696.92129673</x:v>
      </x:c>
      <x:c r="AK111" s="43" t="n">
        <x:v>472077312</x:v>
      </x:c>
      <x:c r="AL111" s="43" t="n">
        <x:v>0</x:v>
      </x:c>
      <x:c r="AM111" s="43" t="n">
        <x:v>18471723.48568811</x:v>
      </x:c>
      <x:c r="AN111" s="43" t="n">
        <x:v>40</x:v>
      </x:c>
      <x:c r="AO111" s="43" t="n">
        <x:v>171</x:v>
      </x:c>
      <x:c r="AP111" s="43" t="n">
        <x:v>291</x:v>
      </x:c>
      <x:c r="AQ111" s="43" t="n">
        <x:v>7376208</x:v>
      </x:c>
      <x:c r="AR111" s="43" t="n">
        <x:v>16</x:v>
      </x:c>
      <x:c r="AS111" s="45" t="b">
        <x:v>0</x:v>
      </x:c>
      <x:c r="AT111" s="43" t="n">
        <x:v>0</x:v>
      </x:c>
      <x:c r="AU111" s="48" t="n">
        <x:v>0</x:v>
      </x:c>
      <x:c r="AV111" s="43" t="n">
        <x:v>0</x:v>
      </x:c>
      <x:c r="AW111" s="48" t="n">
        <x:v>0</x:v>
      </x:c>
      <x:c r="AX111" s="45" t="b">
        <x:v>1</x:v>
      </x:c>
      <x:c r="AY111" s="44" t="str">
        <x:v>{"provider":"nostore","currentEntries":0,"requestCount":472077312,"hitCount":0,"missCount":472077312,"hitRate":0,"loadSuccessCount":0,"loadFailureCount":0,"totalLoadTimeNanos":0,"evictionCount":0,"expirationCount":0,"putCount":10000,"removeCount":0,"nativeMetrics":{"storageEnabled":0}}</x:v>
      </x:c>
      <x:c r="AZ111" s="44" t="str">
        <x:v>{"provider":"nostore","currentEntries":0,"requestCount":472077312,"hitCount":0,"missCount":472077312,"hitRate":0,"loadSuccessCount":0,"loadFailureCount":0,"totalLoadTimeNanos":0,"evictionCount":0,"expirationCount":0,"putCount":15000,"removeCount":0,"nativeMetrics":{"storageEnabled":0}}</x:v>
      </x:c>
      <x:c r="BA111" s="43" t="n">
        <x:v>0</x:v>
      </x:c>
      <x:c r="BB111" s="43" t="n">
        <x:v>472077312</x:v>
      </x:c>
      <x:c r="BC111" s="43" t="n">
        <x:v>0</x:v>
      </x:c>
      <x:c r="BD111" s="43" t="n">
        <x:v>472077312</x:v>
      </x:c>
      <x:c r="BE111" s="48" t="n">
        <x:v>0</x:v>
      </x:c>
      <x:c r="BF111" s="43" t="n">
        <x:v>0</x:v>
      </x:c>
      <x:c r="BG111" s="43" t="n">
        <x:v>0</x:v>
      </x:c>
      <x:c r="BH111" s="43" t="n">
        <x:v>0</x:v>
      </x:c>
      <x:c r="BI111" s="43" t="n">
        <x:v>0</x:v>
      </x:c>
      <x:c r="BJ111" s="43" t="n">
        <x:v>0</x:v>
      </x:c>
      <x:c r="BK111" s="43" t="n">
        <x:v>15000</x:v>
      </x:c>
      <x:c r="BL111" s="43" t="n">
        <x:v>0</x:v>
      </x:c>
      <x:c r="BM111" s="44" t="str">
        <x:v>{"storageEnabled":0}</x:v>
      </x:c>
    </x:row>
    <x:row r="112">
      <x:c r="A112" s="34" t="str">
        <x:v>article1-unified-v4-2-fb3f101b-20260903-000401-default-f02-p6-jcs321</x:v>
      </x:c>
      <x:c r="B112" s="34" t="str">
        <x:v>default</x:v>
      </x:c>
      <x:c r="C112" s="34" t="str">
        <x:v>jcs321</x:v>
      </x:c>
      <x:c r="D112" s="34" t="str">
        <x:v>jcs321</x:v>
      </x:c>
      <x:c r="E112" s="34" t="str">
        <x:v>JCS-248-positive-control</x:v>
      </x:c>
      <x:c r="F112" s="36" t="n">
        <x:v>2</x:v>
      </x:c>
      <x:c r="G112" s="36" t="n">
        <x:v>2</x:v>
      </x:c>
      <x:c r="H112" s="36" t="n">
        <x:v>6</x:v>
      </x:c>
      <x:c r="I112" s="36" t="n">
        <x:v>1</x:v>
      </x:c>
      <x:c r="J112" s="34" t="str">
        <x:v>initial</x:v>
      </x:c>
      <x:c r="K112" s="34" t="str">
        <x:v>cache-semantics</x:v>
      </x:c>
      <x:c r="L112" s="45" t="b">
        <x:v>0</x:v>
      </x:c>
      <x:c r="M112" s="36" t="n">
        <x:v>1615875156</x:v>
      </x:c>
      <x:c r="N112" s="34" t="str">
        <x:v>0fb37446c0e2fcac42ab0cbd5c7c892698eb7e9b97b424142eea0ba54fd4394a</x:v>
      </x:c>
      <x:c r="O112" s="43" t="n">
        <x:v>10000</x:v>
      </x:c>
      <x:c r="P112" s="43" t="n">
        <x:v>400000</x:v>
      </x:c>
      <x:c r="Q112" s="36" t="n">
        <x:v>8</x:v>
      </x:c>
      <x:c r="R112" s="42" t="n">
        <x:v>95</x:v>
      </x:c>
      <x:c r="S112" s="43" t="n">
        <x:v>512</x:v>
      </x:c>
      <x:c r="T112" s="43" t="n">
        <x:v>50000</x:v>
      </x:c>
      <x:c r="U112" s="46" t="n">
        <x:v>3</x:v>
      </x:c>
      <x:c r="V112" s="46" t="n">
        <x:v>5</x:v>
      </x:c>
      <x:c r="W112" s="43" t="n">
        <x:v>300</x:v>
      </x:c>
      <x:c r="X112" s="34" t="str">
        <x:v>uniform</x:v>
      </x:c>
      <x:c r="Y112" s="42" t="n">
        <x:v>10</x:v>
      </x:c>
      <x:c r="Z112" s="34" t="str">
        <x:v>strict</x:v>
      </x:c>
      <x:c r="AA112" s="36" t="n">
        <x:v>64</x:v>
      </x:c>
      <x:c r="AB112" s="43" t="n">
        <x:v>8243200</x:v>
      </x:c>
      <x:c r="AC112" s="43" t="n">
        <x:v>3000808850</x:v>
      </x:c>
      <x:c r="AD112" s="43" t="n">
        <x:v>808850</x:v>
      </x:c>
      <x:c r="AE112" s="43" t="n">
        <x:v>3664746.095396273</x:v>
      </x:c>
      <x:c r="AF112" s="43" t="n">
        <x:v>2995773.889511966</x:v>
      </x:c>
      <x:c r="AG112" s="43" t="n">
        <x:v>14980608</x:v>
      </x:c>
      <x:c r="AH112" s="43" t="n">
        <x:v>5000580335</x:v>
      </x:c>
      <x:c r="AI112" s="43" t="n">
        <x:v>580335</x:v>
      </x:c>
      <x:c r="AJ112" s="43" t="n">
        <x:v>2995773.889511966</x:v>
      </x:c>
      <x:c r="AK112" s="43" t="n">
        <x:v>14980608</x:v>
      </x:c>
      <x:c r="AL112" s="43" t="n">
        <x:v>0</x:v>
      </x:c>
      <x:c r="AM112" s="43" t="n">
        <x:v>583149.2039721791</x:v>
      </x:c>
      <x:c r="AN112" s="43" t="n">
        <x:v>290</x:v>
      </x:c>
      <x:c r="AO112" s="43" t="n">
        <x:v>832</x:v>
      </x:c>
      <x:c r="AP112" s="43" t="n">
        <x:v>189261</x:v>
      </x:c>
      <x:c r="AQ112" s="43" t="n">
        <x:v>234072</x:v>
      </x:c>
      <x:c r="AR112" s="43" t="n">
        <x:v>1</x:v>
      </x:c>
      <x:c r="AS112" s="45" t="b">
        <x:v>1</x:v>
      </x:c>
      <x:c r="AT112" s="43" t="n">
        <x:v>10000</x:v>
      </x:c>
      <x:c r="AU112" s="48" t="n">
        <x:v>0.9498322097474281</x:v>
      </x:c>
      <x:c r="AV112" s="43" t="n">
        <x:v>10000</x:v>
      </x:c>
      <x:c r="AW112" s="48" t="n">
        <x:v>0.9498322097474281</x:v>
      </x:c>
      <x:c r="AX112" s="45" t="b">
        <x:v>1</x:v>
      </x:c>
      <x:c r="AY112" s="44" t="str">
        <x:v>{"provider":"jcs321","currentEntries":10000,"requestCount":14980608,"hitCount":14229064,"missCount":751544,"hitRate":0.9498322097474281,"loadSuccessCount":0,"loadFailureCount":0,"totalLoadTimeNanos":0,"evictionCount":-1,"expirationCount":-1,"putCount":10000,"removeCount":0,"nativeMetrics":{"HitCountRam":14229064,"Composite.HitCountRam":14229064,"HitCountAux":0,"Composite.HitCountAux":0,"Put Count":10000,"Memory Cache.Put Count":10000,"Hit Count":14229064,"Memory Cache.Hit Count":14229064,"Miss Count":751544,"Memory Cache.Miss Count":751544,"Map Size":10000,"Memory Cache.Map Size":10000,"List Size":10000,"Memory Cache.List Size":10000}}</x:v>
      </x:c>
      <x:c r="AZ112" s="44" t="str">
        <x:v>{"provider":"jcs321","currentEntries":10000,"requestCount":14980608,"hitCount":14229064,"missCount":751544,"hitRate":0.9498322097474281,"loadSuccessCount":0,"loadFailureCount":0,"totalLoadTimeNanos":0,"evictionCount":-1,"expirationCount":-1,"putCount":15000,"removeCount":0,"nativeMetrics":{"HitCountRam":14229064,"Composite.HitCountRam":14229064,"HitCountAux":0,"Composite.HitCountAux":0,"Put Count":15000,"Memory Cache.Put Count":15000,"Hit Count":14229064,"Memory Cache.Hit Count":14229064,"Miss Count":751544,"Memory Cache.Miss Count":751544,"Map Size":10000,"Memory Cache.Map Size":10000,"List Size":10000,"Memory Cache.List Size":10000}}</x:v>
      </x:c>
      <x:c r="BA112" s="43" t="n">
        <x:v>10000</x:v>
      </x:c>
      <x:c r="BB112" s="43" t="n">
        <x:v>14980608</x:v>
      </x:c>
      <x:c r="BC112" s="43" t="n">
        <x:v>14229064</x:v>
      </x:c>
      <x:c r="BD112" s="43" t="n">
        <x:v>751544</x:v>
      </x:c>
      <x:c r="BE112" s="48" t="n">
        <x:v>0.9498322097474281</x:v>
      </x:c>
      <x:c r="BF112" s="43" t="n">
        <x:v>0</x:v>
      </x:c>
      <x:c r="BG112" s="43" t="n">
        <x:v>0</x:v>
      </x:c>
      <x:c r="BH112" s="43" t="n">
        <x:v>0</x:v>
      </x:c>
      <x:c r="BI112" s="43" t="n">
        <x:v>-1</x:v>
      </x:c>
      <x:c r="BJ112" s="43" t="n">
        <x:v>-1</x:v>
      </x:c>
      <x:c r="BK112" s="43" t="n">
        <x:v>15000</x:v>
      </x:c>
      <x:c r="BL112" s="43" t="n">
        <x:v>0</x:v>
      </x:c>
      <x:c r="BM112" s="44" t="str">
        <x:v>{"HitCountRam":14229064,"Composite.HitCountRam":14229064,"HitCountAux":0,"Composite.HitCountAux":0,"Put Count":15000,"Memory Cache.Put Count":15000,"Hit Count":14229064,"Memory Cache.Hit Count":14229064,"Miss Count":751544,"Memory Cache.Miss Count":751544,"Map Size":10000,"Memory Cache.Map Size":10000,"List Size":10000,"Memory Cache.List Size":10000}</x:v>
      </x:c>
    </x:row>
    <x:row r="113">
      <x:c r="A113" s="34" t="str">
        <x:v>article1-unified-v4-2-fb3f101b-20260903-000401-default-f02-p6-jcs321</x:v>
      </x:c>
      <x:c r="B113" s="34" t="str">
        <x:v>default</x:v>
      </x:c>
      <x:c r="C113" s="34" t="str">
        <x:v>jcs321</x:v>
      </x:c>
      <x:c r="D113" s="34" t="str">
        <x:v>jcs321</x:v>
      </x:c>
      <x:c r="E113" s="34" t="str">
        <x:v>JCS-248-positive-control</x:v>
      </x:c>
      <x:c r="F113" s="36" t="n">
        <x:v>2</x:v>
      </x:c>
      <x:c r="G113" s="36" t="n">
        <x:v>2</x:v>
      </x:c>
      <x:c r="H113" s="36" t="n">
        <x:v>6</x:v>
      </x:c>
      <x:c r="I113" s="36" t="n">
        <x:v>1</x:v>
      </x:c>
      <x:c r="J113" s="34" t="str">
        <x:v>redeploy</x:v>
      </x:c>
      <x:c r="K113" s="34" t="str">
        <x:v>cache-semantics</x:v>
      </x:c>
      <x:c r="L113" s="45" t="b">
        <x:v>0</x:v>
      </x:c>
      <x:c r="M113" s="36" t="n">
        <x:v>1615875156</x:v>
      </x:c>
      <x:c r="N113" s="34" t="str">
        <x:v>0fb37446c0e2fcac42ab0cbd5c7c892698eb7e9b97b424142eea0ba54fd4394a</x:v>
      </x:c>
      <x:c r="O113" s="43" t="n">
        <x:v>10000</x:v>
      </x:c>
      <x:c r="P113" s="43" t="n">
        <x:v>400000</x:v>
      </x:c>
      <x:c r="Q113" s="36" t="n">
        <x:v>8</x:v>
      </x:c>
      <x:c r="R113" s="42" t="n">
        <x:v>95</x:v>
      </x:c>
      <x:c r="S113" s="43" t="n">
        <x:v>512</x:v>
      </x:c>
      <x:c r="T113" s="43" t="n">
        <x:v>50000</x:v>
      </x:c>
      <x:c r="U113" s="46" t="n">
        <x:v>3</x:v>
      </x:c>
      <x:c r="V113" s="46" t="n">
        <x:v>5</x:v>
      </x:c>
      <x:c r="W113" s="43" t="n">
        <x:v>300</x:v>
      </x:c>
      <x:c r="X113" s="34" t="str">
        <x:v>uniform</x:v>
      </x:c>
      <x:c r="Y113" s="42" t="n">
        <x:v>10</x:v>
      </x:c>
      <x:c r="Z113" s="34" t="str">
        <x:v>strict</x:v>
      </x:c>
      <x:c r="AA113" s="36" t="n">
        <x:v>64</x:v>
      </x:c>
      <x:c r="AB113" s="43" t="n">
        <x:v>8110336</x:v>
      </x:c>
      <x:c r="AC113" s="43" t="n">
        <x:v>3000617060</x:v>
      </x:c>
      <x:c r="AD113" s="43" t="n">
        <x:v>617060</x:v>
      </x:c>
      <x:c r="AE113" s="43" t="n">
        <x:v>2807206.660939965</x:v>
      </x:c>
      <x:c r="AF113" s="43" t="n">
        <x:v>2845998.667435134</x:v>
      </x:c>
      <x:c r="AG113" s="43" t="n">
        <x:v>14231808</x:v>
      </x:c>
      <x:c r="AH113" s="43" t="n">
        <x:v>5000637619</x:v>
      </x:c>
      <x:c r="AI113" s="43" t="n">
        <x:v>637619</x:v>
      </x:c>
      <x:c r="AJ113" s="43" t="n">
        <x:v>2845998.667435134</x:v>
      </x:c>
      <x:c r="AK113" s="43" t="n">
        <x:v>14231808</x:v>
      </x:c>
      <x:c r="AL113" s="43" t="n">
        <x:v>0</x:v>
      </x:c>
      <x:c r="AM113" s="43" t="n">
        <x:v>573070.6973250321</x:v>
      </x:c>
      <x:c r="AN113" s="43" t="n">
        <x:v>291</x:v>
      </x:c>
      <x:c r="AO113" s="43" t="n">
        <x:v>852</x:v>
      </x:c>
      <x:c r="AP113" s="43" t="n">
        <x:v>200132</x:v>
      </x:c>
      <x:c r="AQ113" s="43" t="n">
        <x:v>222372</x:v>
      </x:c>
      <x:c r="AR113" s="43" t="n">
        <x:v>1</x:v>
      </x:c>
      <x:c r="AS113" s="45" t="b">
        <x:v>1</x:v>
      </x:c>
      <x:c r="AT113" s="43" t="n">
        <x:v>10000</x:v>
      </x:c>
      <x:c r="AU113" s="48" t="n">
        <x:v>0.9498376453645243</x:v>
      </x:c>
      <x:c r="AV113" s="43" t="n">
        <x:v>10000</x:v>
      </x:c>
      <x:c r="AW113" s="48" t="n">
        <x:v>0.9498376453645243</x:v>
      </x:c>
      <x:c r="AX113" s="45" t="b">
        <x:v>1</x:v>
      </x:c>
      <x:c r="AY113" s="44" t="str">
        <x:v>{"provider":"jcs321","currentEntries":10000,"requestCount":14231808,"hitCount":13517907,"missCount":713901,"hitRate":0.9498376453645243,"loadSuccessCount":0,"loadFailureCount":0,"totalLoadTimeNanos":0,"evictionCount":-1,"expirationCount":-1,"putCount":10000,"removeCount":0,"nativeMetrics":{"HitCountRam":13517907,"Composite.HitCountRam":13517907,"HitCountAux":0,"Composite.HitCountAux":0,"Put Count":10000,"Memory Cache.Put Count":10000,"Hit Count":13517907,"Memory Cache.Hit Count":13517907,"Miss Count":713901,"Memory Cache.Miss Count":713901,"Map Size":10000,"Memory Cache.Map Size":10000,"List Size":10000,"Memory Cache.List Size":10000}}</x:v>
      </x:c>
      <x:c r="AZ113" s="44" t="str">
        <x:v>{"provider":"jcs321","currentEntries":10000,"requestCount":14231808,"hitCount":13517907,"missCount":713901,"hitRate":0.9498376453645243,"loadSuccessCount":0,"loadFailureCount":0,"totalLoadTimeNanos":0,"evictionCount":-1,"expirationCount":-1,"putCount":15000,"removeCount":0,"nativeMetrics":{"HitCountRam":13517907,"Composite.HitCountRam":13517907,"HitCountAux":0,"Composite.HitCountAux":0,"Put Count":15000,"Memory Cache.Put Count":15000,"Hit Count":13517907,"Memory Cache.Hit Count":13517907,"Miss Count":713901,"Memory Cache.Miss Count":713901,"Map Size":10000,"Memory Cache.Map Size":10000,"List Size":10000,"Memory Cache.List Size":10000}}</x:v>
      </x:c>
      <x:c r="BA113" s="43" t="n">
        <x:v>10000</x:v>
      </x:c>
      <x:c r="BB113" s="43" t="n">
        <x:v>14231808</x:v>
      </x:c>
      <x:c r="BC113" s="43" t="n">
        <x:v>13517907</x:v>
      </x:c>
      <x:c r="BD113" s="43" t="n">
        <x:v>713901</x:v>
      </x:c>
      <x:c r="BE113" s="48" t="n">
        <x:v>0.9498376453645243</x:v>
      </x:c>
      <x:c r="BF113" s="43" t="n">
        <x:v>0</x:v>
      </x:c>
      <x:c r="BG113" s="43" t="n">
        <x:v>0</x:v>
      </x:c>
      <x:c r="BH113" s="43" t="n">
        <x:v>0</x:v>
      </x:c>
      <x:c r="BI113" s="43" t="n">
        <x:v>-1</x:v>
      </x:c>
      <x:c r="BJ113" s="43" t="n">
        <x:v>-1</x:v>
      </x:c>
      <x:c r="BK113" s="43" t="n">
        <x:v>15000</x:v>
      </x:c>
      <x:c r="BL113" s="43" t="n">
        <x:v>0</x:v>
      </x:c>
      <x:c r="BM113" s="44" t="str">
        <x:v>{"HitCountRam":13517907,"Composite.HitCountRam":13517907,"HitCountAux":0,"Composite.HitCountAux":0,"Put Count":15000,"Memory Cache.Put Count":15000,"Hit Count":13517907,"Memory Cache.Hit Count":13517907,"Miss Count":713901,"Memory Cache.Miss Count":713901,"Map Size":10000,"Memory Cache.Map Size":10000,"List Size":10000,"Memory Cache.List Size":10000}</x:v>
      </x:c>
    </x:row>
    <x:row r="114">
      <x:c r="A114" s="34" t="str">
        <x:v>article1-unified-v4-2-fb3f101b-20260903-000401-default-f02-p6-jcs321</x:v>
      </x:c>
      <x:c r="B114" s="34" t="str">
        <x:v>default</x:v>
      </x:c>
      <x:c r="C114" s="34" t="str">
        <x:v>jcs321</x:v>
      </x:c>
      <x:c r="D114" s="34" t="str">
        <x:v>jcs321</x:v>
      </x:c>
      <x:c r="E114" s="34" t="str">
        <x:v>JCS-248-positive-control</x:v>
      </x:c>
      <x:c r="F114" s="36" t="n">
        <x:v>2</x:v>
      </x:c>
      <x:c r="G114" s="36" t="n">
        <x:v>2</x:v>
      </x:c>
      <x:c r="H114" s="36" t="n">
        <x:v>6</x:v>
      </x:c>
      <x:c r="I114" s="36" t="n">
        <x:v>2</x:v>
      </x:c>
      <x:c r="J114" s="34" t="str">
        <x:v>initial</x:v>
      </x:c>
      <x:c r="K114" s="34" t="str">
        <x:v>cache-semantics</x:v>
      </x:c>
      <x:c r="L114" s="45" t="b">
        <x:v>0</x:v>
      </x:c>
      <x:c r="M114" s="36" t="n">
        <x:v>1276216390</x:v>
      </x:c>
      <x:c r="N114" s="34" t="str">
        <x:v>b1b1fad534e2c4c4d7722cdd92c497d70af07481e43490fceffff21f05e0b6a0</x:v>
      </x:c>
      <x:c r="O114" s="43" t="n">
        <x:v>10000</x:v>
      </x:c>
      <x:c r="P114" s="43" t="n">
        <x:v>400000</x:v>
      </x:c>
      <x:c r="Q114" s="36" t="n">
        <x:v>8</x:v>
      </x:c>
      <x:c r="R114" s="42" t="n">
        <x:v>95</x:v>
      </x:c>
      <x:c r="S114" s="43" t="n">
        <x:v>512</x:v>
      </x:c>
      <x:c r="T114" s="43" t="n">
        <x:v>50000</x:v>
      </x:c>
      <x:c r="U114" s="46" t="n">
        <x:v>3</x:v>
      </x:c>
      <x:c r="V114" s="46" t="n">
        <x:v>5</x:v>
      </x:c>
      <x:c r="W114" s="43" t="n">
        <x:v>300</x:v>
      </x:c>
      <x:c r="X114" s="34" t="str">
        <x:v>uniform</x:v>
      </x:c>
      <x:c r="Y114" s="42" t="n">
        <x:v>10</x:v>
      </x:c>
      <x:c r="Z114" s="34" t="str">
        <x:v>strict</x:v>
      </x:c>
      <x:c r="AA114" s="36" t="n">
        <x:v>64</x:v>
      </x:c>
      <x:c r="AB114" s="43" t="n">
        <x:v>7587072</x:v>
      </x:c>
      <x:c r="AC114" s="43" t="n">
        <x:v>3000534107</x:v>
      </x:c>
      <x:c r="AD114" s="43" t="n">
        <x:v>534107</x:v>
      </x:c>
      <x:c r="AE114" s="43" t="n">
        <x:v>2472544.2505063154</x:v>
      </x:c>
      <x:c r="AF114" s="43" t="n">
        <x:v>2568048.016449769</x:v>
      </x:c>
      <x:c r="AG114" s="43" t="n">
        <x:v>12841984</x:v>
      </x:c>
      <x:c r="AH114" s="43" t="n">
        <x:v>5000679083</x:v>
      </x:c>
      <x:c r="AI114" s="43" t="n">
        <x:v>679083</x:v>
      </x:c>
      <x:c r="AJ114" s="43" t="n">
        <x:v>2568048.016449769</x:v>
      </x:c>
      <x:c r="AK114" s="43" t="n">
        <x:v>12841984</x:v>
      </x:c>
      <x:c r="AL114" s="43" t="n">
        <x:v>0</x:v>
      </x:c>
      <x:c r="AM114" s="43" t="n">
        <x:v>577082.9954993298</x:v>
      </x:c>
      <x:c r="AN114" s="43" t="n">
        <x:v>350</x:v>
      </x:c>
      <x:c r="AO114" s="43" t="n">
        <x:v>992</x:v>
      </x:c>
      <x:c r="AP114" s="43" t="n">
        <x:v>204764</x:v>
      </x:c>
      <x:c r="AQ114" s="43" t="n">
        <x:v>200656</x:v>
      </x:c>
      <x:c r="AR114" s="43" t="n">
        <x:v>1</x:v>
      </x:c>
      <x:c r="AS114" s="45" t="b">
        <x:v>1</x:v>
      </x:c>
      <x:c r="AT114" s="43" t="n">
        <x:v>10000</x:v>
      </x:c>
      <x:c r="AU114" s="48" t="n">
        <x:v>0.9492590864464556</x:v>
      </x:c>
      <x:c r="AV114" s="43" t="n">
        <x:v>10000</x:v>
      </x:c>
      <x:c r="AW114" s="48" t="n">
        <x:v>0.9492590864464556</x:v>
      </x:c>
      <x:c r="AX114" s="45" t="b">
        <x:v>1</x:v>
      </x:c>
      <x:c r="AY114" s="44" t="str">
        <x:v>{"provider":"jcs321","currentEntries":10000,"requestCount":12841984,"hitCount":12190370,"missCount":651614,"hitRate":0.9492590864464556,"loadSuccessCount":0,"loadFailureCount":0,"totalLoadTimeNanos":0,"evictionCount":-1,"expirationCount":-1,"putCount":10000,"removeCount":0,"nativeMetrics":{"HitCountRam":12190370,"Composite.HitCountRam":12190370,"HitCountAux":0,"Composite.HitCountAux":0,"Put Count":10000,"Memory Cache.Put Count":10000,"Hit Count":12190370,"Memory Cache.Hit Count":12190370,"Miss Count":651614,"Memory Cache.Miss Count":651614,"Map Size":10000,"Memory Cache.Map Size":10000,"List Size":10000,"Memory Cache.List Size":10000}}</x:v>
      </x:c>
      <x:c r="AZ114" s="44" t="str">
        <x:v>{"provider":"jcs321","currentEntries":10000,"requestCount":12841984,"hitCount":12190370,"missCount":651614,"hitRate":0.9492590864464556,"loadSuccessCount":0,"loadFailureCount":0,"totalLoadTimeNanos":0,"evictionCount":-1,"expirationCount":-1,"putCount":15000,"removeCount":0,"nativeMetrics":{"HitCountRam":12190370,"Composite.HitCountRam":12190370,"HitCountAux":0,"Composite.HitCountAux":0,"Put Count":15000,"Memory Cache.Put Count":15000,"Hit Count":12190370,"Memory Cache.Hit Count":12190370,"Miss Count":651614,"Memory Cache.Miss Count":651614,"Map Size":10000,"Memory Cache.Map Size":10000,"List Size":10000,"Memory Cache.List Size":10000}}</x:v>
      </x:c>
      <x:c r="BA114" s="43" t="n">
        <x:v>10000</x:v>
      </x:c>
      <x:c r="BB114" s="43" t="n">
        <x:v>12841984</x:v>
      </x:c>
      <x:c r="BC114" s="43" t="n">
        <x:v>12190370</x:v>
      </x:c>
      <x:c r="BD114" s="43" t="n">
        <x:v>651614</x:v>
      </x:c>
      <x:c r="BE114" s="48" t="n">
        <x:v>0.9492590864464556</x:v>
      </x:c>
      <x:c r="BF114" s="43" t="n">
        <x:v>0</x:v>
      </x:c>
      <x:c r="BG114" s="43" t="n">
        <x:v>0</x:v>
      </x:c>
      <x:c r="BH114" s="43" t="n">
        <x:v>0</x:v>
      </x:c>
      <x:c r="BI114" s="43" t="n">
        <x:v>-1</x:v>
      </x:c>
      <x:c r="BJ114" s="43" t="n">
        <x:v>-1</x:v>
      </x:c>
      <x:c r="BK114" s="43" t="n">
        <x:v>15000</x:v>
      </x:c>
      <x:c r="BL114" s="43" t="n">
        <x:v>0</x:v>
      </x:c>
      <x:c r="BM114" s="44" t="str">
        <x:v>{"HitCountRam":12190370,"Composite.HitCountRam":12190370,"HitCountAux":0,"Composite.HitCountAux":0,"Put Count":15000,"Memory Cache.Put Count":15000,"Hit Count":12190370,"Memory Cache.Hit Count":12190370,"Miss Count":651614,"Memory Cache.Miss Count":651614,"Map Size":10000,"Memory Cache.Map Size":10000,"List Size":10000,"Memory Cache.List Size":10000}</x:v>
      </x:c>
    </x:row>
    <x:row r="115">
      <x:c r="A115" s="34" t="str">
        <x:v>article1-unified-v4-2-fb3f101b-20260903-000401-default-f02-p6-jcs321</x:v>
      </x:c>
      <x:c r="B115" s="34" t="str">
        <x:v>default</x:v>
      </x:c>
      <x:c r="C115" s="34" t="str">
        <x:v>jcs321</x:v>
      </x:c>
      <x:c r="D115" s="34" t="str">
        <x:v>jcs321</x:v>
      </x:c>
      <x:c r="E115" s="34" t="str">
        <x:v>JCS-248-positive-control</x:v>
      </x:c>
      <x:c r="F115" s="36" t="n">
        <x:v>2</x:v>
      </x:c>
      <x:c r="G115" s="36" t="n">
        <x:v>2</x:v>
      </x:c>
      <x:c r="H115" s="36" t="n">
        <x:v>6</x:v>
      </x:c>
      <x:c r="I115" s="36" t="n">
        <x:v>2</x:v>
      </x:c>
      <x:c r="J115" s="34" t="str">
        <x:v>redeploy</x:v>
      </x:c>
      <x:c r="K115" s="34" t="str">
        <x:v>cache-semantics</x:v>
      </x:c>
      <x:c r="L115" s="45" t="b">
        <x:v>0</x:v>
      </x:c>
      <x:c r="M115" s="36" t="n">
        <x:v>1276216390</x:v>
      </x:c>
      <x:c r="N115" s="34" t="str">
        <x:v>b1b1fad534e2c4c4d7722cdd92c497d70af07481e43490fceffff21f05e0b6a0</x:v>
      </x:c>
      <x:c r="O115" s="43" t="n">
        <x:v>10000</x:v>
      </x:c>
      <x:c r="P115" s="43" t="n">
        <x:v>400000</x:v>
      </x:c>
      <x:c r="Q115" s="36" t="n">
        <x:v>8</x:v>
      </x:c>
      <x:c r="R115" s="42" t="n">
        <x:v>95</x:v>
      </x:c>
      <x:c r="S115" s="43" t="n">
        <x:v>512</x:v>
      </x:c>
      <x:c r="T115" s="43" t="n">
        <x:v>50000</x:v>
      </x:c>
      <x:c r="U115" s="46" t="n">
        <x:v>3</x:v>
      </x:c>
      <x:c r="V115" s="46" t="n">
        <x:v>5</x:v>
      </x:c>
      <x:c r="W115" s="43" t="n">
        <x:v>300</x:v>
      </x:c>
      <x:c r="X115" s="34" t="str">
        <x:v>uniform</x:v>
      </x:c>
      <x:c r="Y115" s="42" t="n">
        <x:v>10</x:v>
      </x:c>
      <x:c r="Z115" s="34" t="str">
        <x:v>strict</x:v>
      </x:c>
      <x:c r="AA115" s="36" t="n">
        <x:v>64</x:v>
      </x:c>
      <x:c r="AB115" s="43" t="n">
        <x:v>7822336</x:v>
      </x:c>
      <x:c r="AC115" s="43" t="n">
        <x:v>3000725187</x:v>
      </x:c>
      <x:c r="AD115" s="43" t="n">
        <x:v>725187</x:v>
      </x:c>
      <x:c r="AE115" s="43" t="n">
        <x:v>3151658.1030863244</x:v>
      </x:c>
      <x:c r="AF115" s="43" t="n">
        <x:v>2868693.873588784</x:v>
      </x:c>
      <x:c r="AG115" s="43" t="n">
        <x:v>14346752</x:v>
      </x:c>
      <x:c r="AH115" s="43" t="n">
        <x:v>5001144295</x:v>
      </x:c>
      <x:c r="AI115" s="43" t="n">
        <x:v>1144295</x:v>
      </x:c>
      <x:c r="AJ115" s="43" t="n">
        <x:v>2868693.873588784</x:v>
      </x:c>
      <x:c r="AK115" s="43" t="n">
        <x:v>14346752</x:v>
      </x:c>
      <x:c r="AL115" s="43" t="n">
        <x:v>0</x:v>
      </x:c>
      <x:c r="AM115" s="43" t="n">
        <x:v>536952.2482996065</x:v>
      </x:c>
      <x:c r="AN115" s="43" t="n">
        <x:v>290</x:v>
      </x:c>
      <x:c r="AO115" s="43" t="n">
        <x:v>862</x:v>
      </x:c>
      <x:c r="AP115" s="43" t="n">
        <x:v>198398</x:v>
      </x:c>
      <x:c r="AQ115" s="43" t="n">
        <x:v>224168</x:v>
      </x:c>
      <x:c r="AR115" s="43" t="n">
        <x:v>1</x:v>
      </x:c>
      <x:c r="AS115" s="45" t="b">
        <x:v>1</x:v>
      </x:c>
      <x:c r="AT115" s="43" t="n">
        <x:v>10000</x:v>
      </x:c>
      <x:c r="AU115" s="48" t="n">
        <x:v>0.9492601530994611</x:v>
      </x:c>
      <x:c r="AV115" s="43" t="n">
        <x:v>10000</x:v>
      </x:c>
      <x:c r="AW115" s="48" t="n">
        <x:v>0.9492601530994611</x:v>
      </x:c>
      <x:c r="AX115" s="45" t="b">
        <x:v>1</x:v>
      </x:c>
      <x:c r="AY115" s="44" t="str">
        <x:v>{"provider":"jcs321","currentEntries":10000,"requestCount":14346752,"hitCount":13618800,"missCount":727952,"hitRate":0.9492601530994611,"loadSuccessCount":0,"loadFailureCount":0,"totalLoadTimeNanos":0,"evictionCount":-1,"expirationCount":-1,"putCount":10000,"removeCount":0,"nativeMetrics":{"HitCountRam":13618800,"Composite.HitCountRam":13618800,"HitCountAux":0,"Composite.HitCountAux":0,"Put Count":10000,"Memory Cache.Put Count":10000,"Hit Count":13618800,"Memory Cache.Hit Count":13618800,"Miss Count":727952,"Memory Cache.Miss Count":727952,"Map Size":10000,"Memory Cache.Map Size":10000,"List Size":10000,"Memory Cache.List Size":10000}}</x:v>
      </x:c>
      <x:c r="AZ115" s="44" t="str">
        <x:v>{"provider":"jcs321","currentEntries":10000,"requestCount":14346752,"hitCount":13618800,"missCount":727952,"hitRate":0.9492601530994611,"loadSuccessCount":0,"loadFailureCount":0,"totalLoadTimeNanos":0,"evictionCount":-1,"expirationCount":-1,"putCount":15000,"removeCount":0,"nativeMetrics":{"HitCountRam":13618800,"Composite.HitCountRam":13618800,"HitCountAux":0,"Composite.HitCountAux":0,"Put Count":15000,"Memory Cache.Put Count":15000,"Hit Count":13618800,"Memory Cache.Hit Count":13618800,"Miss Count":727952,"Memory Cache.Miss Count":727952,"Map Size":10000,"Memory Cache.Map Size":10000,"List Size":10000,"Memory Cache.List Size":10000}}</x:v>
      </x:c>
      <x:c r="BA115" s="43" t="n">
        <x:v>10000</x:v>
      </x:c>
      <x:c r="BB115" s="43" t="n">
        <x:v>14346752</x:v>
      </x:c>
      <x:c r="BC115" s="43" t="n">
        <x:v>13618800</x:v>
      </x:c>
      <x:c r="BD115" s="43" t="n">
        <x:v>727952</x:v>
      </x:c>
      <x:c r="BE115" s="48" t="n">
        <x:v>0.9492601530994611</x:v>
      </x:c>
      <x:c r="BF115" s="43" t="n">
        <x:v>0</x:v>
      </x:c>
      <x:c r="BG115" s="43" t="n">
        <x:v>0</x:v>
      </x:c>
      <x:c r="BH115" s="43" t="n">
        <x:v>0</x:v>
      </x:c>
      <x:c r="BI115" s="43" t="n">
        <x:v>-1</x:v>
      </x:c>
      <x:c r="BJ115" s="43" t="n">
        <x:v>-1</x:v>
      </x:c>
      <x:c r="BK115" s="43" t="n">
        <x:v>15000</x:v>
      </x:c>
      <x:c r="BL115" s="43" t="n">
        <x:v>0</x:v>
      </x:c>
      <x:c r="BM115" s="44" t="str">
        <x:v>{"HitCountRam":13618800,"Composite.HitCountRam":13618800,"HitCountAux":0,"Composite.HitCountAux":0,"Put Count":15000,"Memory Cache.Put Count":15000,"Hit Count":13618800,"Memory Cache.Hit Count":13618800,"Miss Count":727952,"Memory Cache.Miss Count":727952,"Map Size":10000,"Memory Cache.Map Size":10000,"List Size":10000,"Memory Cache.List Size":10000}</x:v>
      </x:c>
    </x:row>
    <x:row r="116">
      <x:c r="A116" s="34" t="str">
        <x:v>article1-unified-v4-2-fb3f101b-20260903-000401-default-f02-p6-jcs321</x:v>
      </x:c>
      <x:c r="B116" s="34" t="str">
        <x:v>default</x:v>
      </x:c>
      <x:c r="C116" s="34" t="str">
        <x:v>jcs321</x:v>
      </x:c>
      <x:c r="D116" s="34" t="str">
        <x:v>jcs321</x:v>
      </x:c>
      <x:c r="E116" s="34" t="str">
        <x:v>JCS-248-positive-control</x:v>
      </x:c>
      <x:c r="F116" s="36" t="n">
        <x:v>2</x:v>
      </x:c>
      <x:c r="G116" s="36" t="n">
        <x:v>2</x:v>
      </x:c>
      <x:c r="H116" s="36" t="n">
        <x:v>6</x:v>
      </x:c>
      <x:c r="I116" s="36" t="n">
        <x:v>3</x:v>
      </x:c>
      <x:c r="J116" s="34" t="str">
        <x:v>initial</x:v>
      </x:c>
      <x:c r="K116" s="34" t="str">
        <x:v>cache-semantics</x:v>
      </x:c>
      <x:c r="L116" s="45" t="b">
        <x:v>0</x:v>
      </x:c>
      <x:c r="M116" s="36" t="n">
        <x:v>959719280</x:v>
      </x:c>
      <x:c r="N116" s="34" t="str">
        <x:v>23946bc667956929e23dfb22e893f0f3724ae41926d14e5ececed76e98fb7a11</x:v>
      </x:c>
      <x:c r="O116" s="43" t="n">
        <x:v>10000</x:v>
      </x:c>
      <x:c r="P116" s="43" t="n">
        <x:v>400000</x:v>
      </x:c>
      <x:c r="Q116" s="36" t="n">
        <x:v>8</x:v>
      </x:c>
      <x:c r="R116" s="42" t="n">
        <x:v>95</x:v>
      </x:c>
      <x:c r="S116" s="43" t="n">
        <x:v>512</x:v>
      </x:c>
      <x:c r="T116" s="43" t="n">
        <x:v>50000</x:v>
      </x:c>
      <x:c r="U116" s="46" t="n">
        <x:v>3</x:v>
      </x:c>
      <x:c r="V116" s="46" t="n">
        <x:v>5</x:v>
      </x:c>
      <x:c r="W116" s="43" t="n">
        <x:v>300</x:v>
      </x:c>
      <x:c r="X116" s="34" t="str">
        <x:v>uniform</x:v>
      </x:c>
      <x:c r="Y116" s="42" t="n">
        <x:v>10</x:v>
      </x:c>
      <x:c r="Z116" s="34" t="str">
        <x:v>strict</x:v>
      </x:c>
      <x:c r="AA116" s="36" t="n">
        <x:v>64</x:v>
      </x:c>
      <x:c r="AB116" s="43" t="n">
        <x:v>7295488</x:v>
      </x:c>
      <x:c r="AC116" s="43" t="n">
        <x:v>3000921578</x:v>
      </x:c>
      <x:c r="AD116" s="43" t="n">
        <x:v>921578</x:v>
      </x:c>
      <x:c r="AE116" s="43" t="n">
        <x:v>3390993.7917685662</x:v>
      </x:c>
      <x:c r="AF116" s="43" t="n">
        <x:v>3009505.6572212027</x:v>
      </x:c>
      <x:c r="AG116" s="43" t="n">
        <x:v>15049728</x:v>
      </x:c>
      <x:c r="AH116" s="43" t="n">
        <x:v>5000730922</x:v>
      </x:c>
      <x:c r="AI116" s="43" t="n">
        <x:v>730922</x:v>
      </x:c>
      <x:c r="AJ116" s="43" t="n">
        <x:v>3009505.6572212027</x:v>
      </x:c>
      <x:c r="AK116" s="43" t="n">
        <x:v>15049728</x:v>
      </x:c>
      <x:c r="AL116" s="43" t="n">
        <x:v>0</x:v>
      </x:c>
      <x:c r="AM116" s="43" t="n">
        <x:v>556940.1707021623</x:v>
      </x:c>
      <x:c r="AN116" s="43" t="n">
        <x:v>261</x:v>
      </x:c>
      <x:c r="AO116" s="43" t="n">
        <x:v>802</x:v>
      </x:c>
      <x:c r="AP116" s="43" t="n">
        <x:v>192293</x:v>
      </x:c>
      <x:c r="AQ116" s="43" t="n">
        <x:v>235152</x:v>
      </x:c>
      <x:c r="AR116" s="43" t="n">
        <x:v>1</x:v>
      </x:c>
      <x:c r="AS116" s="45" t="b">
        <x:v>1</x:v>
      </x:c>
      <x:c r="AT116" s="43" t="n">
        <x:v>10000</x:v>
      </x:c>
      <x:c r="AU116" s="48" t="n">
        <x:v>0.9503899339576104</x:v>
      </x:c>
      <x:c r="AV116" s="43" t="n">
        <x:v>10000</x:v>
      </x:c>
      <x:c r="AW116" s="48" t="n">
        <x:v>0.9503899339576104</x:v>
      </x:c>
      <x:c r="AX116" s="45" t="b">
        <x:v>1</x:v>
      </x:c>
      <x:c r="AY116" s="44" t="str">
        <x:v>{"provider":"jcs321","currentEntries":10000,"requestCount":15049728,"hitCount":14303110,"missCount":746618,"hitRate":0.9503899339576104,"loadSuccessCount":0,"loadFailureCount":0,"totalLoadTimeNanos":0,"evictionCount":-1,"expirationCount":-1,"putCount":10000,"removeCount":0,"nativeMetrics":{"HitCountRam":14303110,"Composite.HitCountRam":14303110,"HitCountAux":0,"Composite.HitCountAux":0,"Put Count":10000,"Memory Cache.Put Count":10000,"Hit Count":14303110,"Memory Cache.Hit Count":14303110,"Miss Count":746618,"Memory Cache.Miss Count":746618,"Map Size":10000,"Memory Cache.Map Size":10000,"List Size":10000,"Memory Cache.List Size":10000}}</x:v>
      </x:c>
      <x:c r="AZ116" s="44" t="str">
        <x:v>{"provider":"jcs321","currentEntries":10000,"requestCount":15049728,"hitCount":14303110,"missCount":746618,"hitRate":0.9503899339576104,"loadSuccessCount":0,"loadFailureCount":0,"totalLoadTimeNanos":0,"evictionCount":-1,"expirationCount":-1,"putCount":15000,"removeCount":0,"nativeMetrics":{"HitCountRam":14303110,"Composite.HitCountRam":14303110,"HitCountAux":0,"Composite.HitCountAux":0,"Put Count":15000,"Memory Cache.Put Count":15000,"Hit Count":14303110,"Memory Cache.Hit Count":14303110,"Miss Count":746618,"Memory Cache.Miss Count":746618,"Map Size":10000,"Memory Cache.Map Size":10000,"List Size":10000,"Memory Cache.List Size":10000}}</x:v>
      </x:c>
      <x:c r="BA116" s="43" t="n">
        <x:v>10000</x:v>
      </x:c>
      <x:c r="BB116" s="43" t="n">
        <x:v>15049728</x:v>
      </x:c>
      <x:c r="BC116" s="43" t="n">
        <x:v>14303110</x:v>
      </x:c>
      <x:c r="BD116" s="43" t="n">
        <x:v>746618</x:v>
      </x:c>
      <x:c r="BE116" s="48" t="n">
        <x:v>0.9503899339576104</x:v>
      </x:c>
      <x:c r="BF116" s="43" t="n">
        <x:v>0</x:v>
      </x:c>
      <x:c r="BG116" s="43" t="n">
        <x:v>0</x:v>
      </x:c>
      <x:c r="BH116" s="43" t="n">
        <x:v>0</x:v>
      </x:c>
      <x:c r="BI116" s="43" t="n">
        <x:v>-1</x:v>
      </x:c>
      <x:c r="BJ116" s="43" t="n">
        <x:v>-1</x:v>
      </x:c>
      <x:c r="BK116" s="43" t="n">
        <x:v>15000</x:v>
      </x:c>
      <x:c r="BL116" s="43" t="n">
        <x:v>0</x:v>
      </x:c>
      <x:c r="BM116" s="44" t="str">
        <x:v>{"HitCountRam":14303110,"Composite.HitCountRam":14303110,"HitCountAux":0,"Composite.HitCountAux":0,"Put Count":15000,"Memory Cache.Put Count":15000,"Hit Count":14303110,"Memory Cache.Hit Count":14303110,"Miss Count":746618,"Memory Cache.Miss Count":746618,"Map Size":10000,"Memory Cache.Map Size":10000,"List Size":10000,"Memory Cache.List Size":10000}</x:v>
      </x:c>
    </x:row>
    <x:row r="117">
      <x:c r="A117" s="34" t="str">
        <x:v>article1-unified-v4-2-fb3f101b-20260903-000401-default-f02-p6-jcs321</x:v>
      </x:c>
      <x:c r="B117" s="34" t="str">
        <x:v>default</x:v>
      </x:c>
      <x:c r="C117" s="34" t="str">
        <x:v>jcs321</x:v>
      </x:c>
      <x:c r="D117" s="34" t="str">
        <x:v>jcs321</x:v>
      </x:c>
      <x:c r="E117" s="34" t="str">
        <x:v>JCS-248-positive-control</x:v>
      </x:c>
      <x:c r="F117" s="36" t="n">
        <x:v>2</x:v>
      </x:c>
      <x:c r="G117" s="36" t="n">
        <x:v>2</x:v>
      </x:c>
      <x:c r="H117" s="36" t="n">
        <x:v>6</x:v>
      </x:c>
      <x:c r="I117" s="36" t="n">
        <x:v>3</x:v>
      </x:c>
      <x:c r="J117" s="34" t="str">
        <x:v>redeploy</x:v>
      </x:c>
      <x:c r="K117" s="34" t="str">
        <x:v>cache-semantics</x:v>
      </x:c>
      <x:c r="L117" s="45" t="b">
        <x:v>0</x:v>
      </x:c>
      <x:c r="M117" s="36" t="n">
        <x:v>959719280</x:v>
      </x:c>
      <x:c r="N117" s="34" t="str">
        <x:v>23946bc667956929e23dfb22e893f0f3724ae41926d14e5ececed76e98fb7a11</x:v>
      </x:c>
      <x:c r="O117" s="43" t="n">
        <x:v>10000</x:v>
      </x:c>
      <x:c r="P117" s="43" t="n">
        <x:v>400000</x:v>
      </x:c>
      <x:c r="Q117" s="36" t="n">
        <x:v>8</x:v>
      </x:c>
      <x:c r="R117" s="42" t="n">
        <x:v>95</x:v>
      </x:c>
      <x:c r="S117" s="43" t="n">
        <x:v>512</x:v>
      </x:c>
      <x:c r="T117" s="43" t="n">
        <x:v>50000</x:v>
      </x:c>
      <x:c r="U117" s="46" t="n">
        <x:v>3</x:v>
      </x:c>
      <x:c r="V117" s="46" t="n">
        <x:v>5</x:v>
      </x:c>
      <x:c r="W117" s="43" t="n">
        <x:v>300</x:v>
      </x:c>
      <x:c r="X117" s="34" t="str">
        <x:v>uniform</x:v>
      </x:c>
      <x:c r="Y117" s="42" t="n">
        <x:v>10</x:v>
      </x:c>
      <x:c r="Z117" s="34" t="str">
        <x:v>strict</x:v>
      </x:c>
      <x:c r="AA117" s="36" t="n">
        <x:v>64</x:v>
      </x:c>
      <x:c r="AB117" s="43" t="n">
        <x:v>8575488</x:v>
      </x:c>
      <x:c r="AC117" s="43" t="n">
        <x:v>3000719462</x:v>
      </x:c>
      <x:c r="AD117" s="43" t="n">
        <x:v>719462</x:v>
      </x:c>
      <x:c r="AE117" s="43" t="n">
        <x:v>4174291.7061832948</x:v>
      </x:c>
      <x:c r="AF117" s="43" t="n">
        <x:v>2828222.849653872</x:v>
      </x:c>
      <x:c r="AG117" s="43" t="n">
        <x:v>14144000</x:v>
      </x:c>
      <x:c r="AH117" s="43" t="n">
        <x:v>5001020341</x:v>
      </x:c>
      <x:c r="AI117" s="43" t="n">
        <x:v>1020341</x:v>
      </x:c>
      <x:c r="AJ117" s="43" t="n">
        <x:v>2828222.849653872</x:v>
      </x:c>
      <x:c r="AK117" s="43" t="n">
        <x:v>14144000</x:v>
      </x:c>
      <x:c r="AL117" s="43" t="n">
        <x:v>0</x:v>
      </x:c>
      <x:c r="AM117" s="43" t="n">
        <x:v>593457.2290033943</x:v>
      </x:c>
      <x:c r="AN117" s="43" t="n">
        <x:v>301</x:v>
      </x:c>
      <x:c r="AO117" s="43" t="n">
        <x:v>862</x:v>
      </x:c>
      <x:c r="AP117" s="43" t="n">
        <x:v>197067</x:v>
      </x:c>
      <x:c r="AQ117" s="43" t="n">
        <x:v>221000</x:v>
      </x:c>
      <x:c r="AR117" s="43" t="n">
        <x:v>1</x:v>
      </x:c>
      <x:c r="AS117" s="45" t="b">
        <x:v>1</x:v>
      </x:c>
      <x:c r="AT117" s="43" t="n">
        <x:v>10000</x:v>
      </x:c>
      <x:c r="AU117" s="48" t="n">
        <x:v>0.9503902714932126</x:v>
      </x:c>
      <x:c r="AV117" s="43" t="n">
        <x:v>10000</x:v>
      </x:c>
      <x:c r="AW117" s="48" t="n">
        <x:v>0.9503902714932126</x:v>
      </x:c>
      <x:c r="AX117" s="45" t="b">
        <x:v>1</x:v>
      </x:c>
      <x:c r="AY117" s="44" t="str">
        <x:v>{"provider":"jcs321","currentEntries":10000,"requestCount":14144000,"hitCount":13442320,"missCount":701680,"hitRate":0.9503902714932126,"loadSuccessCount":0,"loadFailureCount":0,"totalLoadTimeNanos":0,"evictionCount":-1,"expirationCount":-1,"putCount":10000,"removeCount":0,"nativeMetrics":{"HitCountRam":13442320,"Composite.HitCountRam":13442320,"HitCountAux":0,"Composite.HitCountAux":0,"Put Count":10000,"Memory Cache.Put Count":10000,"Hit Count":13442320,"Memory Cache.Hit Count":13442320,"Miss Count":701680,"Memory Cache.Miss Count":701680,"Map Size":10000,"Memory Cache.Map Size":10000,"List Size":10000,"Memory Cache.List Size":10000}}</x:v>
      </x:c>
      <x:c r="AZ117" s="44" t="str">
        <x:v>{"provider":"jcs321","currentEntries":10000,"requestCount":14144000,"hitCount":13442320,"missCount":701680,"hitRate":0.9503902714932126,"loadSuccessCount":0,"loadFailureCount":0,"totalLoadTimeNanos":0,"evictionCount":-1,"expirationCount":-1,"putCount":15000,"removeCount":0,"nativeMetrics":{"HitCountRam":13442320,"Composite.HitCountRam":13442320,"HitCountAux":0,"Composite.HitCountAux":0,"Put Count":15000,"Memory Cache.Put Count":15000,"Hit Count":13442320,"Memory Cache.Hit Count":13442320,"Miss Count":701680,"Memory Cache.Miss Count":701680,"Map Size":10000,"Memory Cache.Map Size":10000,"List Size":10000,"Memory Cache.List Size":10000}}</x:v>
      </x:c>
      <x:c r="BA117" s="43" t="n">
        <x:v>10000</x:v>
      </x:c>
      <x:c r="BB117" s="43" t="n">
        <x:v>14144000</x:v>
      </x:c>
      <x:c r="BC117" s="43" t="n">
        <x:v>13442320</x:v>
      </x:c>
      <x:c r="BD117" s="43" t="n">
        <x:v>701680</x:v>
      </x:c>
      <x:c r="BE117" s="48" t="n">
        <x:v>0.9503902714932126</x:v>
      </x:c>
      <x:c r="BF117" s="43" t="n">
        <x:v>0</x:v>
      </x:c>
      <x:c r="BG117" s="43" t="n">
        <x:v>0</x:v>
      </x:c>
      <x:c r="BH117" s="43" t="n">
        <x:v>0</x:v>
      </x:c>
      <x:c r="BI117" s="43" t="n">
        <x:v>-1</x:v>
      </x:c>
      <x:c r="BJ117" s="43" t="n">
        <x:v>-1</x:v>
      </x:c>
      <x:c r="BK117" s="43" t="n">
        <x:v>15000</x:v>
      </x:c>
      <x:c r="BL117" s="43" t="n">
        <x:v>0</x:v>
      </x:c>
      <x:c r="BM117" s="44" t="str">
        <x:v>{"HitCountRam":13442320,"Composite.HitCountRam":13442320,"HitCountAux":0,"Composite.HitCountAux":0,"Put Count":15000,"Memory Cache.Put Count":15000,"Hit Count":13442320,"Memory Cache.Hit Count":13442320,"Miss Count":701680,"Memory Cache.Miss Count":701680,"Map Size":10000,"Memory Cache.Map Size":10000,"List Size":10000,"Memory Cache.List Size":10000}</x:v>
      </x:c>
    </x:row>
    <x:row r="118">
      <x:c r="A118" s="34" t="str">
        <x:v>article1-unified-v4-2-fb3f101b-20260903-000401-default-f02-p6-jcs321</x:v>
      </x:c>
      <x:c r="B118" s="34" t="str">
        <x:v>default</x:v>
      </x:c>
      <x:c r="C118" s="34" t="str">
        <x:v>jcs321</x:v>
      </x:c>
      <x:c r="D118" s="34" t="str">
        <x:v>jcs321</x:v>
      </x:c>
      <x:c r="E118" s="34" t="str">
        <x:v>JCS-248-positive-control</x:v>
      </x:c>
      <x:c r="F118" s="36" t="n">
        <x:v>2</x:v>
      </x:c>
      <x:c r="G118" s="36" t="n">
        <x:v>2</x:v>
      </x:c>
      <x:c r="H118" s="36" t="n">
        <x:v>6</x:v>
      </x:c>
      <x:c r="I118" s="36" t="n">
        <x:v>4</x:v>
      </x:c>
      <x:c r="J118" s="34" t="str">
        <x:v>initial</x:v>
      </x:c>
      <x:c r="K118" s="34" t="str">
        <x:v>cache-semantics</x:v>
      </x:c>
      <x:c r="L118" s="45" t="b">
        <x:v>0</x:v>
      </x:c>
      <x:c r="M118" s="36" t="n">
        <x:v>1652540875</x:v>
      </x:c>
      <x:c r="N118" s="34" t="str">
        <x:v>6d9eb911d184e49ced2dfa5d0ef88cff2d7d7f264b58a7cf2172e037d424290b</x:v>
      </x:c>
      <x:c r="O118" s="43" t="n">
        <x:v>10000</x:v>
      </x:c>
      <x:c r="P118" s="43" t="n">
        <x:v>400000</x:v>
      </x:c>
      <x:c r="Q118" s="36" t="n">
        <x:v>8</x:v>
      </x:c>
      <x:c r="R118" s="42" t="n">
        <x:v>95</x:v>
      </x:c>
      <x:c r="S118" s="43" t="n">
        <x:v>512</x:v>
      </x:c>
      <x:c r="T118" s="43" t="n">
        <x:v>50000</x:v>
      </x:c>
      <x:c r="U118" s="46" t="n">
        <x:v>3</x:v>
      </x:c>
      <x:c r="V118" s="46" t="n">
        <x:v>5</x:v>
      </x:c>
      <x:c r="W118" s="43" t="n">
        <x:v>300</x:v>
      </x:c>
      <x:c r="X118" s="34" t="str">
        <x:v>uniform</x:v>
      </x:c>
      <x:c r="Y118" s="42" t="n">
        <x:v>10</x:v>
      </x:c>
      <x:c r="Z118" s="34" t="str">
        <x:v>strict</x:v>
      </x:c>
      <x:c r="AA118" s="36" t="n">
        <x:v>64</x:v>
      </x:c>
      <x:c r="AB118" s="43" t="n">
        <x:v>8094976</x:v>
      </x:c>
      <x:c r="AC118" s="43" t="n">
        <x:v>3000552153</x:v>
      </x:c>
      <x:c r="AD118" s="43" t="n">
        <x:v>552153</x:v>
      </x:c>
      <x:c r="AE118" s="43" t="n">
        <x:v>2925150.08945109</x:v>
      </x:c>
      <x:c r="AF118" s="43" t="n">
        <x:v>2529153.2925704136</x:v>
      </x:c>
      <x:c r="AG118" s="43" t="n">
        <x:v>12647680</x:v>
      </x:c>
      <x:c r="AH118" s="43" t="n">
        <x:v>5000756592</x:v>
      </x:c>
      <x:c r="AI118" s="43" t="n">
        <x:v>756592</x:v>
      </x:c>
      <x:c r="AJ118" s="43" t="n">
        <x:v>2529153.2925704136</x:v>
      </x:c>
      <x:c r="AK118" s="43" t="n">
        <x:v>12647680</x:v>
      </x:c>
      <x:c r="AL118" s="43" t="n">
        <x:v>0</x:v>
      </x:c>
      <x:c r="AM118" s="43" t="n">
        <x:v>449733.5913125142</x:v>
      </x:c>
      <x:c r="AN118" s="43" t="n">
        <x:v>341</x:v>
      </x:c>
      <x:c r="AO118" s="43" t="n">
        <x:v>992</x:v>
      </x:c>
      <x:c r="AP118" s="43" t="n">
        <x:v>208115</x:v>
      </x:c>
      <x:c r="AQ118" s="43" t="n">
        <x:v>197620</x:v>
      </x:c>
      <x:c r="AR118" s="43" t="n">
        <x:v>1</x:v>
      </x:c>
      <x:c r="AS118" s="45" t="b">
        <x:v>1</x:v>
      </x:c>
      <x:c r="AT118" s="43" t="n">
        <x:v>10000</x:v>
      </x:c>
      <x:c r="AU118" s="48" t="n">
        <x:v>0.9503807022315555</x:v>
      </x:c>
      <x:c r="AV118" s="43" t="n">
        <x:v>10000</x:v>
      </x:c>
      <x:c r="AW118" s="48" t="n">
        <x:v>0.9503807022315555</x:v>
      </x:c>
      <x:c r="AX118" s="45" t="b">
        <x:v>1</x:v>
      </x:c>
      <x:c r="AY118" s="44" t="str">
        <x:v>{"provider":"jcs321","currentEntries":10000,"requestCount":12647680,"hitCount":12020111,"missCount":627569,"hitRate":0.9503807022315555,"loadSuccessCount":0,"loadFailureCount":0,"totalLoadTimeNanos":0,"evictionCount":-1,"expirationCount":-1,"putCount":10000,"removeCount":0,"nativeMetrics":{"HitCountRam":12020111,"Composite.HitCountRam":12020111,"HitCountAux":0,"Composite.HitCountAux":0,"Put Count":10000,"Memory Cache.Put Count":10000,"Hit Count":12020111,"Memory Cache.Hit Count":12020111,"Miss Count":627569,"Memory Cache.Miss Count":627569,"Map Size":10000,"Memory Cache.Map Size":10000,"List Size":10000,"Memory Cache.List Size":10000}}</x:v>
      </x:c>
      <x:c r="AZ118" s="44" t="str">
        <x:v>{"provider":"jcs321","currentEntries":10000,"requestCount":12647680,"hitCount":12020111,"missCount":627569,"hitRate":0.9503807022315555,"loadSuccessCount":0,"loadFailureCount":0,"totalLoadTimeNanos":0,"evictionCount":-1,"expirationCount":-1,"putCount":15000,"removeCount":0,"nativeMetrics":{"HitCountRam":12020111,"Composite.HitCountRam":12020111,"HitCountAux":0,"Composite.HitCountAux":0,"Put Count":15000,"Memory Cache.Put Count":15000,"Hit Count":12020111,"Memory Cache.Hit Count":12020111,"Miss Count":627569,"Memory Cache.Miss Count":627569,"Map Size":10000,"Memory Cache.Map Size":10000,"List Size":10000,"Memory Cache.List Size":10000}}</x:v>
      </x:c>
      <x:c r="BA118" s="43" t="n">
        <x:v>10000</x:v>
      </x:c>
      <x:c r="BB118" s="43" t="n">
        <x:v>12647680</x:v>
      </x:c>
      <x:c r="BC118" s="43" t="n">
        <x:v>12020111</x:v>
      </x:c>
      <x:c r="BD118" s="43" t="n">
        <x:v>627569</x:v>
      </x:c>
      <x:c r="BE118" s="48" t="n">
        <x:v>0.9503807022315555</x:v>
      </x:c>
      <x:c r="BF118" s="43" t="n">
        <x:v>0</x:v>
      </x:c>
      <x:c r="BG118" s="43" t="n">
        <x:v>0</x:v>
      </x:c>
      <x:c r="BH118" s="43" t="n">
        <x:v>0</x:v>
      </x:c>
      <x:c r="BI118" s="43" t="n">
        <x:v>-1</x:v>
      </x:c>
      <x:c r="BJ118" s="43" t="n">
        <x:v>-1</x:v>
      </x:c>
      <x:c r="BK118" s="43" t="n">
        <x:v>15000</x:v>
      </x:c>
      <x:c r="BL118" s="43" t="n">
        <x:v>0</x:v>
      </x:c>
      <x:c r="BM118" s="44" t="str">
        <x:v>{"HitCountRam":12020111,"Composite.HitCountRam":12020111,"HitCountAux":0,"Composite.HitCountAux":0,"Put Count":15000,"Memory Cache.Put Count":15000,"Hit Count":12020111,"Memory Cache.Hit Count":12020111,"Miss Count":627569,"Memory Cache.Miss Count":627569,"Map Size":10000,"Memory Cache.Map Size":10000,"List Size":10000,"Memory Cache.List Size":10000}</x:v>
      </x:c>
    </x:row>
    <x:row r="119">
      <x:c r="A119" s="34" t="str">
        <x:v>article1-unified-v4-2-fb3f101b-20260903-000401-default-f02-p6-jcs321</x:v>
      </x:c>
      <x:c r="B119" s="34" t="str">
        <x:v>default</x:v>
      </x:c>
      <x:c r="C119" s="34" t="str">
        <x:v>jcs321</x:v>
      </x:c>
      <x:c r="D119" s="34" t="str">
        <x:v>jcs321</x:v>
      </x:c>
      <x:c r="E119" s="34" t="str">
        <x:v>JCS-248-positive-control</x:v>
      </x:c>
      <x:c r="F119" s="36" t="n">
        <x:v>2</x:v>
      </x:c>
      <x:c r="G119" s="36" t="n">
        <x:v>2</x:v>
      </x:c>
      <x:c r="H119" s="36" t="n">
        <x:v>6</x:v>
      </x:c>
      <x:c r="I119" s="36" t="n">
        <x:v>4</x:v>
      </x:c>
      <x:c r="J119" s="34" t="str">
        <x:v>redeploy</x:v>
      </x:c>
      <x:c r="K119" s="34" t="str">
        <x:v>cache-semantics</x:v>
      </x:c>
      <x:c r="L119" s="45" t="b">
        <x:v>0</x:v>
      </x:c>
      <x:c r="M119" s="36" t="n">
        <x:v>1652540875</x:v>
      </x:c>
      <x:c r="N119" s="34" t="str">
        <x:v>6d9eb911d184e49ced2dfa5d0ef88cff2d7d7f264b58a7cf2172e037d424290b</x:v>
      </x:c>
      <x:c r="O119" s="43" t="n">
        <x:v>10000</x:v>
      </x:c>
      <x:c r="P119" s="43" t="n">
        <x:v>400000</x:v>
      </x:c>
      <x:c r="Q119" s="36" t="n">
        <x:v>8</x:v>
      </x:c>
      <x:c r="R119" s="42" t="n">
        <x:v>95</x:v>
      </x:c>
      <x:c r="S119" s="43" t="n">
        <x:v>512</x:v>
      </x:c>
      <x:c r="T119" s="43" t="n">
        <x:v>50000</x:v>
      </x:c>
      <x:c r="U119" s="46" t="n">
        <x:v>3</x:v>
      </x:c>
      <x:c r="V119" s="46" t="n">
        <x:v>5</x:v>
      </x:c>
      <x:c r="W119" s="43" t="n">
        <x:v>300</x:v>
      </x:c>
      <x:c r="X119" s="34" t="str">
        <x:v>uniform</x:v>
      </x:c>
      <x:c r="Y119" s="42" t="n">
        <x:v>10</x:v>
      </x:c>
      <x:c r="Z119" s="34" t="str">
        <x:v>strict</x:v>
      </x:c>
      <x:c r="AA119" s="36" t="n">
        <x:v>64</x:v>
      </x:c>
      <x:c r="AB119" s="43" t="n">
        <x:v>7693568</x:v>
      </x:c>
      <x:c r="AC119" s="43" t="n">
        <x:v>3000837136</x:v>
      </x:c>
      <x:c r="AD119" s="43" t="n">
        <x:v>837136</x:v>
      </x:c>
      <x:c r="AE119" s="43" t="n">
        <x:v>3787238.974021813</x:v>
      </x:c>
      <x:c r="AF119" s="43" t="n">
        <x:v>2387661.3913834314</x:v>
      </x:c>
      <x:c r="AG119" s="43" t="n">
        <x:v>11939584</x:v>
      </x:c>
      <x:c r="AH119" s="43" t="n">
        <x:v>5000534851</x:v>
      </x:c>
      <x:c r="AI119" s="43" t="n">
        <x:v>534851</x:v>
      </x:c>
      <x:c r="AJ119" s="43" t="n">
        <x:v>2387661.3913834314</x:v>
      </x:c>
      <x:c r="AK119" s="43" t="n">
        <x:v>11939584</x:v>
      </x:c>
      <x:c r="AL119" s="43" t="n">
        <x:v>0</x:v>
      </x:c>
      <x:c r="AM119" s="43" t="n">
        <x:v>515645.50980015233</x:v>
      </x:c>
      <x:c r="AN119" s="43" t="n">
        <x:v>370</x:v>
      </x:c>
      <x:c r="AO119" s="43" t="n">
        <x:v>1032</x:v>
      </x:c>
      <x:c r="AP119" s="43" t="n">
        <x:v>209268</x:v>
      </x:c>
      <x:c r="AQ119" s="43" t="n">
        <x:v>186556</x:v>
      </x:c>
      <x:c r="AR119" s="43" t="n">
        <x:v>1</x:v>
      </x:c>
      <x:c r="AS119" s="45" t="b">
        <x:v>1</x:v>
      </x:c>
      <x:c r="AT119" s="43" t="n">
        <x:v>10000</x:v>
      </x:c>
      <x:c r="AU119" s="48" t="n">
        <x:v>0.9503702139036</x:v>
      </x:c>
      <x:c r="AV119" s="43" t="n">
        <x:v>10000</x:v>
      </x:c>
      <x:c r="AW119" s="48" t="n">
        <x:v>0.9503702139036</x:v>
      </x:c>
      <x:c r="AX119" s="45" t="b">
        <x:v>1</x:v>
      </x:c>
      <x:c r="AY119" s="44" t="str">
        <x:v>{"provider":"jcs321","currentEntries":10000,"requestCount":11939584,"hitCount":11347025,"missCount":592559,"hitRate":0.9503702139036,"loadSuccessCount":0,"loadFailureCount":0,"totalLoadTimeNanos":0,"evictionCount":-1,"expirationCount":-1,"putCount":10000,"removeCount":0,"nativeMetrics":{"HitCountRam":11347025,"Composite.HitCountRam":11347025,"HitCountAux":0,"Composite.HitCountAux":0,"Put Count":10000,"Memory Cache.Put Count":10000,"Hit Count":11347025,"Memory Cache.Hit Count":11347025,"Miss Count":592559,"Memory Cache.Miss Count":592559,"Map Size":10000,"Memory Cache.Map Size":10000,"List Size":10000,"Memory Cache.List Size":10000}}</x:v>
      </x:c>
      <x:c r="AZ119" s="44" t="str">
        <x:v>{"provider":"jcs321","currentEntries":10000,"requestCount":11939584,"hitCount":11347025,"missCount":592559,"hitRate":0.9503702139036,"loadSuccessCount":0,"loadFailureCount":0,"totalLoadTimeNanos":0,"evictionCount":-1,"expirationCount":-1,"putCount":15000,"removeCount":0,"nativeMetrics":{"HitCountRam":11347025,"Composite.HitCountRam":11347025,"HitCountAux":0,"Composite.HitCountAux":0,"Put Count":15000,"Memory Cache.Put Count":15000,"Hit Count":11347025,"Memory Cache.Hit Count":11347025,"Miss Count":592559,"Memory Cache.Miss Count":592559,"Map Size":10000,"Memory Cache.Map Size":10000,"List Size":10000,"Memory Cache.List Size":10000}}</x:v>
      </x:c>
      <x:c r="BA119" s="43" t="n">
        <x:v>10000</x:v>
      </x:c>
      <x:c r="BB119" s="43" t="n">
        <x:v>11939584</x:v>
      </x:c>
      <x:c r="BC119" s="43" t="n">
        <x:v>11347025</x:v>
      </x:c>
      <x:c r="BD119" s="43" t="n">
        <x:v>592559</x:v>
      </x:c>
      <x:c r="BE119" s="48" t="n">
        <x:v>0.9503702139036</x:v>
      </x:c>
      <x:c r="BF119" s="43" t="n">
        <x:v>0</x:v>
      </x:c>
      <x:c r="BG119" s="43" t="n">
        <x:v>0</x:v>
      </x:c>
      <x:c r="BH119" s="43" t="n">
        <x:v>0</x:v>
      </x:c>
      <x:c r="BI119" s="43" t="n">
        <x:v>-1</x:v>
      </x:c>
      <x:c r="BJ119" s="43" t="n">
        <x:v>-1</x:v>
      </x:c>
      <x:c r="BK119" s="43" t="n">
        <x:v>15000</x:v>
      </x:c>
      <x:c r="BL119" s="43" t="n">
        <x:v>0</x:v>
      </x:c>
      <x:c r="BM119" s="44" t="str">
        <x:v>{"HitCountRam":11347025,"Composite.HitCountRam":11347025,"HitCountAux":0,"Composite.HitCountAux":0,"Put Count":15000,"Memory Cache.Put Count":15000,"Hit Count":11347025,"Memory Cache.Hit Count":11347025,"Miss Count":592559,"Memory Cache.Miss Count":592559,"Map Size":10000,"Memory Cache.Map Size":10000,"List Size":10000,"Memory Cache.List Size":10000}</x:v>
      </x:c>
    </x:row>
    <x:row r="120">
      <x:c r="A120" s="34" t="str">
        <x:v>article1-unified-v4-2-fb3f101b-20260903-000401-default-f02-p6-jcs321</x:v>
      </x:c>
      <x:c r="B120" s="34" t="str">
        <x:v>default</x:v>
      </x:c>
      <x:c r="C120" s="34" t="str">
        <x:v>jcs321</x:v>
      </x:c>
      <x:c r="D120" s="34" t="str">
        <x:v>jcs321</x:v>
      </x:c>
      <x:c r="E120" s="34" t="str">
        <x:v>JCS-248-positive-control</x:v>
      </x:c>
      <x:c r="F120" s="36" t="n">
        <x:v>2</x:v>
      </x:c>
      <x:c r="G120" s="36" t="n">
        <x:v>2</x:v>
      </x:c>
      <x:c r="H120" s="36" t="n">
        <x:v>6</x:v>
      </x:c>
      <x:c r="I120" s="36" t="n">
        <x:v>5</x:v>
      </x:c>
      <x:c r="J120" s="34" t="str">
        <x:v>initial</x:v>
      </x:c>
      <x:c r="K120" s="34" t="str">
        <x:v>cache-semantics</x:v>
      </x:c>
      <x:c r="L120" s="45" t="b">
        <x:v>0</x:v>
      </x:c>
      <x:c r="M120" s="36" t="n">
        <x:v>2077052807</x:v>
      </x:c>
      <x:c r="N120" s="34" t="str">
        <x:v>00ff6973c5a97fdf7eb604a286d7e8ed14ab7633eb1da6b80ffef64c86bdc8ff</x:v>
      </x:c>
      <x:c r="O120" s="43" t="n">
        <x:v>10000</x:v>
      </x:c>
      <x:c r="P120" s="43" t="n">
        <x:v>400000</x:v>
      </x:c>
      <x:c r="Q120" s="36" t="n">
        <x:v>8</x:v>
      </x:c>
      <x:c r="R120" s="42" t="n">
        <x:v>95</x:v>
      </x:c>
      <x:c r="S120" s="43" t="n">
        <x:v>512</x:v>
      </x:c>
      <x:c r="T120" s="43" t="n">
        <x:v>50000</x:v>
      </x:c>
      <x:c r="U120" s="46" t="n">
        <x:v>3</x:v>
      </x:c>
      <x:c r="V120" s="46" t="n">
        <x:v>5</x:v>
      </x:c>
      <x:c r="W120" s="43" t="n">
        <x:v>300</x:v>
      </x:c>
      <x:c r="X120" s="34" t="str">
        <x:v>uniform</x:v>
      </x:c>
      <x:c r="Y120" s="42" t="n">
        <x:v>10</x:v>
      </x:c>
      <x:c r="Z120" s="34" t="str">
        <x:v>strict</x:v>
      </x:c>
      <x:c r="AA120" s="36" t="n">
        <x:v>64</x:v>
      </x:c>
      <x:c r="AB120" s="43" t="n">
        <x:v>7005184</x:v>
      </x:c>
      <x:c r="AC120" s="43" t="n">
        <x:v>3000748775</x:v>
      </x:c>
      <x:c r="AD120" s="43" t="n">
        <x:v>748775</x:v>
      </x:c>
      <x:c r="AE120" s="43" t="n">
        <x:v>3369985.2933841795</x:v>
      </x:c>
      <x:c r="AF120" s="43" t="n">
        <x:v>2509553.685346714</x:v>
      </x:c>
      <x:c r="AG120" s="43" t="n">
        <x:v>12548864</x:v>
      </x:c>
      <x:c r="AH120" s="43" t="n">
        <x:v>5000436561</x:v>
      </x:c>
      <x:c r="AI120" s="43" t="n">
        <x:v>436561</x:v>
      </x:c>
      <x:c r="AJ120" s="43" t="n">
        <x:v>2509553.685346714</x:v>
      </x:c>
      <x:c r="AK120" s="43" t="n">
        <x:v>12548864</x:v>
      </x:c>
      <x:c r="AL120" s="43" t="n">
        <x:v>0</x:v>
      </x:c>
      <x:c r="AM120" s="43" t="n">
        <x:v>539260.0166199937</x:v>
      </x:c>
      <x:c r="AN120" s="43" t="n">
        <x:v>341</x:v>
      </x:c>
      <x:c r="AO120" s="43" t="n">
        <x:v>1032</x:v>
      </x:c>
      <x:c r="AP120" s="43" t="n">
        <x:v>208546</x:v>
      </x:c>
      <x:c r="AQ120" s="43" t="n">
        <x:v>196076</x:v>
      </x:c>
      <x:c r="AR120" s="43" t="n">
        <x:v>1</x:v>
      </x:c>
      <x:c r="AS120" s="45" t="b">
        <x:v>1</x:v>
      </x:c>
      <x:c r="AT120" s="43" t="n">
        <x:v>10000</x:v>
      </x:c>
      <x:c r="AU120" s="48" t="n">
        <x:v>0.9499749937524226</x:v>
      </x:c>
      <x:c r="AV120" s="43" t="n">
        <x:v>10000</x:v>
      </x:c>
      <x:c r="AW120" s="48" t="n">
        <x:v>0.9499749937524226</x:v>
      </x:c>
      <x:c r="AX120" s="45" t="b">
        <x:v>1</x:v>
      </x:c>
      <x:c r="AY120" s="44" t="str">
        <x:v>{"provider":"jcs321","currentEntries":10000,"requestCount":12548864,"hitCount":11921107,"missCount":627757,"hitRate":0.9499749937524226,"loadSuccessCount":0,"loadFailureCount":0,"totalLoadTimeNanos":0,"evictionCount":-1,"expirationCount":-1,"putCount":10000,"removeCount":0,"nativeMetrics":{"HitCountRam":11921107,"Composite.HitCountRam":11921107,"HitCountAux":0,"Composite.HitCountAux":0,"Put Count":10000,"Memory Cache.Put Count":10000,"Hit Count":11921107,"Memory Cache.Hit Count":11921107,"Miss Count":627757,"Memory Cache.Miss Count":627757,"Map Size":10000,"Memory Cache.Map Size":10000,"List Size":10000,"Memory Cache.List Size":10000}}</x:v>
      </x:c>
      <x:c r="AZ120" s="44" t="str">
        <x:v>{"provider":"jcs321","currentEntries":10000,"requestCount":12548864,"hitCount":11921107,"missCount":627757,"hitRate":0.9499749937524226,"loadSuccessCount":0,"loadFailureCount":0,"totalLoadTimeNanos":0,"evictionCount":-1,"expirationCount":-1,"putCount":15000,"removeCount":0,"nativeMetrics":{"HitCountRam":11921107,"Composite.HitCountRam":11921107,"HitCountAux":0,"Composite.HitCountAux":0,"Put Count":15000,"Memory Cache.Put Count":15000,"Hit Count":11921107,"Memory Cache.Hit Count":11921107,"Miss Count":627757,"Memory Cache.Miss Count":627757,"Map Size":10000,"Memory Cache.Map Size":10000,"List Size":10000,"Memory Cache.List Size":10000}}</x:v>
      </x:c>
      <x:c r="BA120" s="43" t="n">
        <x:v>10000</x:v>
      </x:c>
      <x:c r="BB120" s="43" t="n">
        <x:v>12548864</x:v>
      </x:c>
      <x:c r="BC120" s="43" t="n">
        <x:v>11921107</x:v>
      </x:c>
      <x:c r="BD120" s="43" t="n">
        <x:v>627757</x:v>
      </x:c>
      <x:c r="BE120" s="48" t="n">
        <x:v>0.9499749937524226</x:v>
      </x:c>
      <x:c r="BF120" s="43" t="n">
        <x:v>0</x:v>
      </x:c>
      <x:c r="BG120" s="43" t="n">
        <x:v>0</x:v>
      </x:c>
      <x:c r="BH120" s="43" t="n">
        <x:v>0</x:v>
      </x:c>
      <x:c r="BI120" s="43" t="n">
        <x:v>-1</x:v>
      </x:c>
      <x:c r="BJ120" s="43" t="n">
        <x:v>-1</x:v>
      </x:c>
      <x:c r="BK120" s="43" t="n">
        <x:v>15000</x:v>
      </x:c>
      <x:c r="BL120" s="43" t="n">
        <x:v>0</x:v>
      </x:c>
      <x:c r="BM120" s="44" t="str">
        <x:v>{"HitCountRam":11921107,"Composite.HitCountRam":11921107,"HitCountAux":0,"Composite.HitCountAux":0,"Put Count":15000,"Memory Cache.Put Count":15000,"Hit Count":11921107,"Memory Cache.Hit Count":11921107,"Miss Count":627757,"Memory Cache.Miss Count":627757,"Map Size":10000,"Memory Cache.Map Size":10000,"List Size":10000,"Memory Cache.List Size":10000}</x:v>
      </x:c>
    </x:row>
    <x:row r="121">
      <x:c r="A121" s="34" t="str">
        <x:v>article1-unified-v4-2-fb3f101b-20260903-000401-default-f02-p6-jcs321</x:v>
      </x:c>
      <x:c r="B121" s="34" t="str">
        <x:v>default</x:v>
      </x:c>
      <x:c r="C121" s="34" t="str">
        <x:v>jcs321</x:v>
      </x:c>
      <x:c r="D121" s="34" t="str">
        <x:v>jcs321</x:v>
      </x:c>
      <x:c r="E121" s="34" t="str">
        <x:v>JCS-248-positive-control</x:v>
      </x:c>
      <x:c r="F121" s="36" t="n">
        <x:v>2</x:v>
      </x:c>
      <x:c r="G121" s="36" t="n">
        <x:v>2</x:v>
      </x:c>
      <x:c r="H121" s="36" t="n">
        <x:v>6</x:v>
      </x:c>
      <x:c r="I121" s="36" t="n">
        <x:v>5</x:v>
      </x:c>
      <x:c r="J121" s="34" t="str">
        <x:v>redeploy</x:v>
      </x:c>
      <x:c r="K121" s="34" t="str">
        <x:v>cache-semantics</x:v>
      </x:c>
      <x:c r="L121" s="45" t="b">
        <x:v>0</x:v>
      </x:c>
      <x:c r="M121" s="36" t="n">
        <x:v>2077052807</x:v>
      </x:c>
      <x:c r="N121" s="34" t="str">
        <x:v>00ff6973c5a97fdf7eb604a286d7e8ed14ab7633eb1da6b80ffef64c86bdc8ff</x:v>
      </x:c>
      <x:c r="O121" s="43" t="n">
        <x:v>10000</x:v>
      </x:c>
      <x:c r="P121" s="43" t="n">
        <x:v>400000</x:v>
      </x:c>
      <x:c r="Q121" s="36" t="n">
        <x:v>8</x:v>
      </x:c>
      <x:c r="R121" s="42" t="n">
        <x:v>95</x:v>
      </x:c>
      <x:c r="S121" s="43" t="n">
        <x:v>512</x:v>
      </x:c>
      <x:c r="T121" s="43" t="n">
        <x:v>50000</x:v>
      </x:c>
      <x:c r="U121" s="46" t="n">
        <x:v>3</x:v>
      </x:c>
      <x:c r="V121" s="46" t="n">
        <x:v>5</x:v>
      </x:c>
      <x:c r="W121" s="43" t="n">
        <x:v>300</x:v>
      </x:c>
      <x:c r="X121" s="34" t="str">
        <x:v>uniform</x:v>
      </x:c>
      <x:c r="Y121" s="42" t="n">
        <x:v>10</x:v>
      </x:c>
      <x:c r="Z121" s="34" t="str">
        <x:v>strict</x:v>
      </x:c>
      <x:c r="AA121" s="36" t="n">
        <x:v>64</x:v>
      </x:c>
      <x:c r="AB121" s="43" t="n">
        <x:v>7225088</x:v>
      </x:c>
      <x:c r="AC121" s="43" t="n">
        <x:v>3000643814</x:v>
      </x:c>
      <x:c r="AD121" s="43" t="n">
        <x:v>643814</x:v>
      </x:c>
      <x:c r="AE121" s="43" t="n">
        <x:v>2748176.859471427</x:v>
      </x:c>
      <x:c r="AF121" s="43" t="n">
        <x:v>2507767.478007669</x:v>
      </x:c>
      <x:c r="AG121" s="43" t="n">
        <x:v>12540672</x:v>
      </x:c>
      <x:c r="AH121" s="43" t="n">
        <x:v>5000731571</x:v>
      </x:c>
      <x:c r="AI121" s="43" t="n">
        <x:v>731571</x:v>
      </x:c>
      <x:c r="AJ121" s="43" t="n">
        <x:v>2507767.478007669</x:v>
      </x:c>
      <x:c r="AK121" s="43" t="n">
        <x:v>12540672</x:v>
      </x:c>
      <x:c r="AL121" s="43" t="n">
        <x:v>0</x:v>
      </x:c>
      <x:c r="AM121" s="43" t="n">
        <x:v>616889.5982296749</x:v>
      </x:c>
      <x:c r="AN121" s="43" t="n">
        <x:v>331</x:v>
      </x:c>
      <x:c r="AO121" s="43" t="n">
        <x:v>952</x:v>
      </x:c>
      <x:c r="AP121" s="43" t="n">
        <x:v>206943</x:v>
      </x:c>
      <x:c r="AQ121" s="43" t="n">
        <x:v>195948</x:v>
      </x:c>
      <x:c r="AR121" s="43" t="n">
        <x:v>1</x:v>
      </x:c>
      <x:c r="AS121" s="45" t="b">
        <x:v>1</x:v>
      </x:c>
      <x:c r="AT121" s="43" t="n">
        <x:v>10000</x:v>
      </x:c>
      <x:c r="AU121" s="48" t="n">
        <x:v>0.9499802721895605</x:v>
      </x:c>
      <x:c r="AV121" s="43" t="n">
        <x:v>10000</x:v>
      </x:c>
      <x:c r="AW121" s="48" t="n">
        <x:v>0.9499802721895605</x:v>
      </x:c>
      <x:c r="AX121" s="45" t="b">
        <x:v>1</x:v>
      </x:c>
      <x:c r="AY121" s="44" t="str">
        <x:v>{"provider":"jcs321","currentEntries":10000,"requestCount":12540672,"hitCount":11913391,"missCount":627281,"hitRate":0.9499802721895605,"loadSuccessCount":0,"loadFailureCount":0,"totalLoadTimeNanos":0,"evictionCount":-1,"expirationCount":-1,"putCount":10000,"removeCount":0,"nativeMetrics":{"HitCountRam":11913391,"Composite.HitCountRam":11913391,"HitCountAux":0,"Composite.HitCountAux":0,"Put Count":10000,"Memory Cache.Put Count":10000,"Hit Count":11913391,"Memory Cache.Hit Count":11913391,"Miss Count":627281,"Memory Cache.Miss Count":627281,"Map Size":10000,"Memory Cache.Map Size":10000,"List Size":10000,"Memory Cache.List Size":10000}}</x:v>
      </x:c>
      <x:c r="AZ121" s="44" t="str">
        <x:v>{"provider":"jcs321","currentEntries":10000,"requestCount":12540672,"hitCount":11913391,"missCount":627281,"hitRate":0.9499802721895605,"loadSuccessCount":0,"loadFailureCount":0,"totalLoadTimeNanos":0,"evictionCount":-1,"expirationCount":-1,"putCount":15000,"removeCount":0,"nativeMetrics":{"HitCountRam":11913391,"Composite.HitCountRam":11913391,"HitCountAux":0,"Composite.HitCountAux":0,"Put Count":15000,"Memory Cache.Put Count":15000,"Hit Count":11913391,"Memory Cache.Hit Count":11913391,"Miss Count":627281,"Memory Cache.Miss Count":627281,"Map Size":10000,"Memory Cache.Map Size":10000,"List Size":10000,"Memory Cache.List Size":10000}}</x:v>
      </x:c>
      <x:c r="BA121" s="43" t="n">
        <x:v>10000</x:v>
      </x:c>
      <x:c r="BB121" s="43" t="n">
        <x:v>12540672</x:v>
      </x:c>
      <x:c r="BC121" s="43" t="n">
        <x:v>11913391</x:v>
      </x:c>
      <x:c r="BD121" s="43" t="n">
        <x:v>627281</x:v>
      </x:c>
      <x:c r="BE121" s="48" t="n">
        <x:v>0.9499802721895605</x:v>
      </x:c>
      <x:c r="BF121" s="43" t="n">
        <x:v>0</x:v>
      </x:c>
      <x:c r="BG121" s="43" t="n">
        <x:v>0</x:v>
      </x:c>
      <x:c r="BH121" s="43" t="n">
        <x:v>0</x:v>
      </x:c>
      <x:c r="BI121" s="43" t="n">
        <x:v>-1</x:v>
      </x:c>
      <x:c r="BJ121" s="43" t="n">
        <x:v>-1</x:v>
      </x:c>
      <x:c r="BK121" s="43" t="n">
        <x:v>15000</x:v>
      </x:c>
      <x:c r="BL121" s="43" t="n">
        <x:v>0</x:v>
      </x:c>
      <x:c r="BM121" s="44" t="str">
        <x:v>{"HitCountRam":11913391,"Composite.HitCountRam":11913391,"HitCountAux":0,"Composite.HitCountAux":0,"Put Count":15000,"Memory Cache.Put Count":15000,"Hit Count":11913391,"Memory Cache.Hit Count":11913391,"Miss Count":627281,"Memory Cache.Miss Count":627281,"Map Size":10000,"Memory Cache.Map Size":10000,"List Size":10000,"Memory Cache.List Size":10000}</x:v>
      </x:c>
    </x:row>
    <x:row r="122">
      <x:c r="A122" s="34" t="str">
        <x:v>article1-unified-v4-2-fb3f101b-20260903-000401-default-f03-p1-cache2k</x:v>
      </x:c>
      <x:c r="B122" s="34" t="str">
        <x:v>default</x:v>
      </x:c>
      <x:c r="C122" s="34" t="str">
        <x:v>cache2k</x:v>
      </x:c>
      <x:c r="D122" s="34" t="str">
        <x:v>cache2k</x:v>
      </x:c>
      <x:c r="E122" s="34" t="str">
        <x:v>current-provider-primary-comparison</x:v>
      </x:c>
      <x:c r="F122" s="36" t="n">
        <x:v>3</x:v>
      </x:c>
      <x:c r="G122" s="36" t="n">
        <x:v>3</x:v>
      </x:c>
      <x:c r="H122" s="36" t="n">
        <x:v>1</x:v>
      </x:c>
      <x:c r="I122" s="36" t="n">
        <x:v>1</x:v>
      </x:c>
      <x:c r="J122" s="34" t="str">
        <x:v>initial</x:v>
      </x:c>
      <x:c r="K122" s="34" t="str">
        <x:v>cache-semantics</x:v>
      </x:c>
      <x:c r="L122" s="45" t="b">
        <x:v>1</x:v>
      </x:c>
      <x:c r="M122" s="36" t="n">
        <x:v>142609922</x:v>
      </x:c>
      <x:c r="N122" s="34" t="str">
        <x:v>9ea92208df3b3b8b50bff1fcadf8cbf654073a5a10974202aa936e2af3f41e70</x:v>
      </x:c>
      <x:c r="O122" s="43" t="n">
        <x:v>10000</x:v>
      </x:c>
      <x:c r="P122" s="43" t="n">
        <x:v>400000</x:v>
      </x:c>
      <x:c r="Q122" s="36" t="n">
        <x:v>8</x:v>
      </x:c>
      <x:c r="R122" s="42" t="n">
        <x:v>95</x:v>
      </x:c>
      <x:c r="S122" s="43" t="n">
        <x:v>512</x:v>
      </x:c>
      <x:c r="T122" s="43" t="n">
        <x:v>50000</x:v>
      </x:c>
      <x:c r="U122" s="46" t="n">
        <x:v>3</x:v>
      </x:c>
      <x:c r="V122" s="46" t="n">
        <x:v>5</x:v>
      </x:c>
      <x:c r="W122" s="43" t="n">
        <x:v>300</x:v>
      </x:c>
      <x:c r="X122" s="34" t="str">
        <x:v>uniform</x:v>
      </x:c>
      <x:c r="Y122" s="42" t="n">
        <x:v>10</x:v>
      </x:c>
      <x:c r="Z122" s="34" t="str">
        <x:v>strict</x:v>
      </x:c>
      <x:c r="AA122" s="36" t="n">
        <x:v>64</x:v>
      </x:c>
      <x:c r="AB122" s="43" t="n">
        <x:v>93062912</x:v>
      </x:c>
      <x:c r="AC122" s="43" t="n">
        <x:v>3002584788</x:v>
      </x:c>
      <x:c r="AD122" s="43" t="n">
        <x:v>2584788</x:v>
      </x:c>
      <x:c r="AE122" s="43" t="n">
        <x:v>1196037.766088502</x:v>
      </x:c>
      <x:c r="AF122" s="43" t="n">
        <x:v>28624013.436789107</x:v>
      </x:c>
      <x:c r="AG122" s="43" t="n">
        <x:v>143241728</x:v>
      </x:c>
      <x:c r="AH122" s="43" t="n">
        <x:v>5004250306</x:v>
      </x:c>
      <x:c r="AI122" s="43" t="n">
        <x:v>4250306</x:v>
      </x:c>
      <x:c r="AJ122" s="43" t="n">
        <x:v>28624013.436789107</x:v>
      </x:c>
      <x:c r="AK122" s="43" t="n">
        <x:v>143241728</x:v>
      </x:c>
      <x:c r="AL122" s="43" t="n">
        <x:v>0</x:v>
      </x:c>
      <x:c r="AM122" s="43" t="n">
        <x:v>323898.5990089998</x:v>
      </x:c>
      <x:c r="AN122" s="43" t="n">
        <x:v>151</x:v>
      </x:c>
      <x:c r="AO122" s="43" t="n">
        <x:v>351</x:v>
      </x:c>
      <x:c r="AP122" s="43" t="n">
        <x:v>551</x:v>
      </x:c>
      <x:c r="AQ122" s="43" t="n">
        <x:v>2238152</x:v>
      </x:c>
      <x:c r="AR122" s="43" t="n">
        <x:v>1</x:v>
      </x:c>
      <x:c r="AS122" s="45" t="b">
        <x:v>1</x:v>
      </x:c>
      <x:c r="AT122" s="43" t="n">
        <x:v>9979</x:v>
      </x:c>
      <x:c r="AU122" s="48" t="n">
        <x:v>0.9470196073032573</x:v>
      </x:c>
      <x:c r="AV122" s="43" t="n">
        <x:v>9991</x:v>
      </x:c>
      <x:c r="AW122" s="48" t="n">
        <x:v>0.9470196073032573</x:v>
      </x:c>
      <x:c r="AX122" s="45" t="b">
        <x:v>1</x:v>
      </x:c>
      <x:c r="AY122" s="44" t="str">
        <x:v>{"provider":"cache2k","currentEntries":9979,"requestCount":143241728,"hitCount":135652725,"missCount":7589003,"hitRate":0.9470196073032573,"loadSuccessCount":0,"loadFailureCount":0,"totalLoadTimeNanos":0,"evictionCount":21,"expirationCount":0,"putCount":10000,"removeCount":0,"nativeMetrics":{"getCount":143241728,"missCount":7589003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2" s="44" t="str">
        <x:v>{"provider":"cache2k","currentEntries":9991,"requestCount":143241728,"hitCount":135652725,"missCount":7589003,"hitRate":0.9470196073032573,"loadSuccessCount":0,"loadFailureCount":0,"totalLoadTimeNanos":0,"evictionCount":5009,"expirationCount":0,"putCount":15000,"removeCount":0,"nativeMetrics":{"getCount":143241728,"missCount":7589003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122" s="43" t="n">
        <x:v>9991</x:v>
      </x:c>
      <x:c r="BB122" s="43" t="n">
        <x:v>143241728</x:v>
      </x:c>
      <x:c r="BC122" s="43" t="n">
        <x:v>135652725</x:v>
      </x:c>
      <x:c r="BD122" s="43" t="n">
        <x:v>7589003</x:v>
      </x:c>
      <x:c r="BE122" s="48" t="n">
        <x:v>0.9470196073032573</x:v>
      </x:c>
      <x:c r="BF122" s="43" t="n">
        <x:v>0</x:v>
      </x:c>
      <x:c r="BG122" s="43" t="n">
        <x:v>0</x:v>
      </x:c>
      <x:c r="BH122" s="43" t="n">
        <x:v>0</x:v>
      </x:c>
      <x:c r="BI122" s="43" t="n">
        <x:v>5009</x:v>
      </x:c>
      <x:c r="BJ122" s="43" t="n">
        <x:v>0</x:v>
      </x:c>
      <x:c r="BK122" s="43" t="n">
        <x:v>15000</x:v>
      </x:c>
      <x:c r="BL122" s="43" t="n">
        <x:v>0</x:v>
      </x:c>
      <x:c r="BM122" s="44" t="str">
        <x:v>{"getCount":143241728,"missCount":7589003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123">
      <x:c r="A123" s="34" t="str">
        <x:v>article1-unified-v4-2-fb3f101b-20260903-000401-default-f03-p1-cache2k</x:v>
      </x:c>
      <x:c r="B123" s="34" t="str">
        <x:v>default</x:v>
      </x:c>
      <x:c r="C123" s="34" t="str">
        <x:v>cache2k</x:v>
      </x:c>
      <x:c r="D123" s="34" t="str">
        <x:v>cache2k</x:v>
      </x:c>
      <x:c r="E123" s="34" t="str">
        <x:v>current-provider-primary-comparison</x:v>
      </x:c>
      <x:c r="F123" s="36" t="n">
        <x:v>3</x:v>
      </x:c>
      <x:c r="G123" s="36" t="n">
        <x:v>3</x:v>
      </x:c>
      <x:c r="H123" s="36" t="n">
        <x:v>1</x:v>
      </x:c>
      <x:c r="I123" s="36" t="n">
        <x:v>1</x:v>
      </x:c>
      <x:c r="J123" s="34" t="str">
        <x:v>redeploy</x:v>
      </x:c>
      <x:c r="K123" s="34" t="str">
        <x:v>cache-semantics</x:v>
      </x:c>
      <x:c r="L123" s="45" t="b">
        <x:v>1</x:v>
      </x:c>
      <x:c r="M123" s="36" t="n">
        <x:v>142609922</x:v>
      </x:c>
      <x:c r="N123" s="34" t="str">
        <x:v>9ea92208df3b3b8b50bff1fcadf8cbf654073a5a10974202aa936e2af3f41e70</x:v>
      </x:c>
      <x:c r="O123" s="43" t="n">
        <x:v>10000</x:v>
      </x:c>
      <x:c r="P123" s="43" t="n">
        <x:v>400000</x:v>
      </x:c>
      <x:c r="Q123" s="36" t="n">
        <x:v>8</x:v>
      </x:c>
      <x:c r="R123" s="42" t="n">
        <x:v>95</x:v>
      </x:c>
      <x:c r="S123" s="43" t="n">
        <x:v>512</x:v>
      </x:c>
      <x:c r="T123" s="43" t="n">
        <x:v>50000</x:v>
      </x:c>
      <x:c r="U123" s="46" t="n">
        <x:v>3</x:v>
      </x:c>
      <x:c r="V123" s="46" t="n">
        <x:v>5</x:v>
      </x:c>
      <x:c r="W123" s="43" t="n">
        <x:v>300</x:v>
      </x:c>
      <x:c r="X123" s="34" t="str">
        <x:v>uniform</x:v>
      </x:c>
      <x:c r="Y123" s="42" t="n">
        <x:v>10</x:v>
      </x:c>
      <x:c r="Z123" s="34" t="str">
        <x:v>strict</x:v>
      </x:c>
      <x:c r="AA123" s="36" t="n">
        <x:v>64</x:v>
      </x:c>
      <x:c r="AB123" s="43" t="n">
        <x:v>97957888</x:v>
      </x:c>
      <x:c r="AC123" s="43" t="n">
        <x:v>3043256736</x:v>
      </x:c>
      <x:c r="AD123" s="43" t="n">
        <x:v>43256736</x:v>
      </x:c>
      <x:c r="AE123" s="43" t="n">
        <x:v>2044546.162887766</x:v>
      </x:c>
      <x:c r="AF123" s="43" t="n">
        <x:v>29641825.821150184</x:v>
      </x:c>
      <x:c r="AG123" s="43" t="n">
        <x:v>148290048</x:v>
      </x:c>
      <x:c r="AH123" s="43" t="n">
        <x:v>5002729889</x:v>
      </x:c>
      <x:c r="AI123" s="43" t="n">
        <x:v>2729889</x:v>
      </x:c>
      <x:c r="AJ123" s="43" t="n">
        <x:v>29641825.821150184</x:v>
      </x:c>
      <x:c r="AK123" s="43" t="n">
        <x:v>148290048</x:v>
      </x:c>
      <x:c r="AL123" s="43" t="n">
        <x:v>0</x:v>
      </x:c>
      <x:c r="AM123" s="43" t="n">
        <x:v>482855.3982316097</x:v>
      </x:c>
      <x:c r="AN123" s="43" t="n">
        <x:v>141</x:v>
      </x:c>
      <x:c r="AO123" s="43" t="n">
        <x:v>330</x:v>
      </x:c>
      <x:c r="AP123" s="43" t="n">
        <x:v>501</x:v>
      </x:c>
      <x:c r="AQ123" s="43" t="n">
        <x:v>2317032</x:v>
      </x:c>
      <x:c r="AR123" s="43" t="n">
        <x:v>1</x:v>
      </x:c>
      <x:c r="AS123" s="45" t="b">
        <x:v>1</x:v>
      </x:c>
      <x:c r="AT123" s="43" t="n">
        <x:v>9979</x:v>
      </x:c>
      <x:c r="AU123" s="48" t="n">
        <x:v>0.9470290480990335</x:v>
      </x:c>
      <x:c r="AV123" s="43" t="n">
        <x:v>9993</x:v>
      </x:c>
      <x:c r="AW123" s="48" t="n">
        <x:v>0.9470290480990335</x:v>
      </x:c>
      <x:c r="AX123" s="45" t="b">
        <x:v>1</x:v>
      </x:c>
      <x:c r="AY123" s="44" t="str">
        <x:v>{"provider":"cache2k","currentEntries":9979,"requestCount":148290048,"hitCount":140434983,"missCount":7855065,"hitRate":0.9470290480990335,"loadSuccessCount":0,"loadFailureCount":0,"totalLoadTimeNanos":0,"evictionCount":21,"expirationCount":0,"putCount":10000,"removeCount":0,"nativeMetrics":{"getCount":148290048,"missCount":7855065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3" s="44" t="str">
        <x:v>{"provider":"cache2k","currentEntries":9993,"requestCount":148290048,"hitCount":140434983,"missCount":7855065,"hitRate":0.9470290480990335,"loadSuccessCount":0,"loadFailureCount":0,"totalLoadTimeNanos":0,"evictionCount":5007,"expirationCount":0,"putCount":15000,"removeCount":0,"nativeMetrics":{"getCount":148290048,"missCount":7855065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123" s="43" t="n">
        <x:v>9993</x:v>
      </x:c>
      <x:c r="BB123" s="43" t="n">
        <x:v>148290048</x:v>
      </x:c>
      <x:c r="BC123" s="43" t="n">
        <x:v>140434983</x:v>
      </x:c>
      <x:c r="BD123" s="43" t="n">
        <x:v>7855065</x:v>
      </x:c>
      <x:c r="BE123" s="48" t="n">
        <x:v>0.9470290480990335</x:v>
      </x:c>
      <x:c r="BF123" s="43" t="n">
        <x:v>0</x:v>
      </x:c>
      <x:c r="BG123" s="43" t="n">
        <x:v>0</x:v>
      </x:c>
      <x:c r="BH123" s="43" t="n">
        <x:v>0</x:v>
      </x:c>
      <x:c r="BI123" s="43" t="n">
        <x:v>5007</x:v>
      </x:c>
      <x:c r="BJ123" s="43" t="n">
        <x:v>0</x:v>
      </x:c>
      <x:c r="BK123" s="43" t="n">
        <x:v>15000</x:v>
      </x:c>
      <x:c r="BL123" s="43" t="n">
        <x:v>0</x:v>
      </x:c>
      <x:c r="BM123" s="44" t="str">
        <x:v>{"getCount":148290048,"missCount":7855065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124">
      <x:c r="A124" s="34" t="str">
        <x:v>article1-unified-v4-2-fb3f101b-20260903-000401-default-f03-p1-cache2k</x:v>
      </x:c>
      <x:c r="B124" s="34" t="str">
        <x:v>default</x:v>
      </x:c>
      <x:c r="C124" s="34" t="str">
        <x:v>cache2k</x:v>
      </x:c>
      <x:c r="D124" s="34" t="str">
        <x:v>cache2k</x:v>
      </x:c>
      <x:c r="E124" s="34" t="str">
        <x:v>current-provider-primary-comparison</x:v>
      </x:c>
      <x:c r="F124" s="36" t="n">
        <x:v>3</x:v>
      </x:c>
      <x:c r="G124" s="36" t="n">
        <x:v>3</x:v>
      </x:c>
      <x:c r="H124" s="36" t="n">
        <x:v>1</x:v>
      </x:c>
      <x:c r="I124" s="36" t="n">
        <x:v>2</x:v>
      </x:c>
      <x:c r="J124" s="34" t="str">
        <x:v>initial</x:v>
      </x:c>
      <x:c r="K124" s="34" t="str">
        <x:v>cache-semantics</x:v>
      </x:c>
      <x:c r="L124" s="45" t="b">
        <x:v>1</x:v>
      </x:c>
      <x:c r="M124" s="36" t="n">
        <x:v>1808793809</x:v>
      </x:c>
      <x:c r="N124" s="34" t="str">
        <x:v>e98ae77b89ca281ab6e3fa243d388f2afaa7d447b25249b9af400b47f86b2473</x:v>
      </x:c>
      <x:c r="O124" s="43" t="n">
        <x:v>10000</x:v>
      </x:c>
      <x:c r="P124" s="43" t="n">
        <x:v>400000</x:v>
      </x:c>
      <x:c r="Q124" s="36" t="n">
        <x:v>8</x:v>
      </x:c>
      <x:c r="R124" s="42" t="n">
        <x:v>95</x:v>
      </x:c>
      <x:c r="S124" s="43" t="n">
        <x:v>512</x:v>
      </x:c>
      <x:c r="T124" s="43" t="n">
        <x:v>50000</x:v>
      </x:c>
      <x:c r="U124" s="46" t="n">
        <x:v>3</x:v>
      </x:c>
      <x:c r="V124" s="46" t="n">
        <x:v>5</x:v>
      </x:c>
      <x:c r="W124" s="43" t="n">
        <x:v>300</x:v>
      </x:c>
      <x:c r="X124" s="34" t="str">
        <x:v>uniform</x:v>
      </x:c>
      <x:c r="Y124" s="42" t="n">
        <x:v>10</x:v>
      </x:c>
      <x:c r="Z124" s="34" t="str">
        <x:v>strict</x:v>
      </x:c>
      <x:c r="AA124" s="36" t="n">
        <x:v>64</x:v>
      </x:c>
      <x:c r="AB124" s="43" t="n">
        <x:v>93919232</x:v>
      </x:c>
      <x:c r="AC124" s="43" t="n">
        <x:v>3010827268</x:v>
      </x:c>
      <x:c r="AD124" s="43" t="n">
        <x:v>10827268</x:v>
      </x:c>
      <x:c r="AE124" s="43" t="n">
        <x:v>2974913.7423760397</x:v>
      </x:c>
      <x:c r="AF124" s="43" t="n">
        <x:v>28613170.850362178</x:v>
      </x:c>
      <x:c r="AG124" s="43" t="n">
        <x:v>143145216</x:v>
      </x:c>
      <x:c r="AH124" s="43" t="n">
        <x:v>5002773609</x:v>
      </x:c>
      <x:c r="AI124" s="43" t="n">
        <x:v>2773609</x:v>
      </x:c>
      <x:c r="AJ124" s="43" t="n">
        <x:v>28613170.850362178</x:v>
      </x:c>
      <x:c r="AK124" s="43" t="n">
        <x:v>143145216</x:v>
      </x:c>
      <x:c r="AL124" s="43" t="n">
        <x:v>0</x:v>
      </x:c>
      <x:c r="AM124" s="43" t="n">
        <x:v>290323.8318472237</x:v>
      </x:c>
      <x:c r="AN124" s="43" t="n">
        <x:v>151</x:v>
      </x:c>
      <x:c r="AO124" s="43" t="n">
        <x:v>351</x:v>
      </x:c>
      <x:c r="AP124" s="43" t="n">
        <x:v>541</x:v>
      </x:c>
      <x:c r="AQ124" s="43" t="n">
        <x:v>2236644</x:v>
      </x:c>
      <x:c r="AR124" s="43" t="n">
        <x:v>1</x:v>
      </x:c>
      <x:c r="AS124" s="45" t="b">
        <x:v>1</x:v>
      </x:c>
      <x:c r="AT124" s="43" t="n">
        <x:v>9979</x:v>
      </x:c>
      <x:c r="AU124" s="48" t="n">
        <x:v>0.9480462553495326</x:v>
      </x:c>
      <x:c r="AV124" s="43" t="n">
        <x:v>9996</x:v>
      </x:c>
      <x:c r="AW124" s="48" t="n">
        <x:v>0.9480462553495326</x:v>
      </x:c>
      <x:c r="AX124" s="45" t="b">
        <x:v>1</x:v>
      </x:c>
      <x:c r="AY124" s="44" t="str">
        <x:v>{"provider":"cache2k","currentEntries":9979,"requestCount":143145216,"hitCount":135708286,"missCount":7436930,"hitRate":0.9480462553495326,"loadSuccessCount":0,"loadFailureCount":0,"totalLoadTimeNanos":0,"evictionCount":21,"expirationCount":0,"putCount":10000,"removeCount":0,"nativeMetrics":{"getCount":143145216,"missCount":7436930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4" s="44" t="str">
        <x:v>{"provider":"cache2k","currentEntries":9996,"requestCount":143145216,"hitCount":135708286,"missCount":7436930,"hitRate":0.9480462553495326,"loadSuccessCount":0,"loadFailureCount":0,"totalLoadTimeNanos":0,"evictionCount":5004,"expirationCount":0,"putCount":15000,"removeCount":0,"nativeMetrics":{"getCount":143145216,"missCount":7436930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124" s="43" t="n">
        <x:v>9996</x:v>
      </x:c>
      <x:c r="BB124" s="43" t="n">
        <x:v>143145216</x:v>
      </x:c>
      <x:c r="BC124" s="43" t="n">
        <x:v>135708286</x:v>
      </x:c>
      <x:c r="BD124" s="43" t="n">
        <x:v>7436930</x:v>
      </x:c>
      <x:c r="BE124" s="48" t="n">
        <x:v>0.9480462553495326</x:v>
      </x:c>
      <x:c r="BF124" s="43" t="n">
        <x:v>0</x:v>
      </x:c>
      <x:c r="BG124" s="43" t="n">
        <x:v>0</x:v>
      </x:c>
      <x:c r="BH124" s="43" t="n">
        <x:v>0</x:v>
      </x:c>
      <x:c r="BI124" s="43" t="n">
        <x:v>5004</x:v>
      </x:c>
      <x:c r="BJ124" s="43" t="n">
        <x:v>0</x:v>
      </x:c>
      <x:c r="BK124" s="43" t="n">
        <x:v>15000</x:v>
      </x:c>
      <x:c r="BL124" s="43" t="n">
        <x:v>0</x:v>
      </x:c>
      <x:c r="BM124" s="44" t="str">
        <x:v>{"getCount":143145216,"missCount":7436930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125">
      <x:c r="A125" s="34" t="str">
        <x:v>article1-unified-v4-2-fb3f101b-20260903-000401-default-f03-p1-cache2k</x:v>
      </x:c>
      <x:c r="B125" s="34" t="str">
        <x:v>default</x:v>
      </x:c>
      <x:c r="C125" s="34" t="str">
        <x:v>cache2k</x:v>
      </x:c>
      <x:c r="D125" s="34" t="str">
        <x:v>cache2k</x:v>
      </x:c>
      <x:c r="E125" s="34" t="str">
        <x:v>current-provider-primary-comparison</x:v>
      </x:c>
      <x:c r="F125" s="36" t="n">
        <x:v>3</x:v>
      </x:c>
      <x:c r="G125" s="36" t="n">
        <x:v>3</x:v>
      </x:c>
      <x:c r="H125" s="36" t="n">
        <x:v>1</x:v>
      </x:c>
      <x:c r="I125" s="36" t="n">
        <x:v>2</x:v>
      </x:c>
      <x:c r="J125" s="34" t="str">
        <x:v>redeploy</x:v>
      </x:c>
      <x:c r="K125" s="34" t="str">
        <x:v>cache-semantics</x:v>
      </x:c>
      <x:c r="L125" s="45" t="b">
        <x:v>1</x:v>
      </x:c>
      <x:c r="M125" s="36" t="n">
        <x:v>1808793809</x:v>
      </x:c>
      <x:c r="N125" s="34" t="str">
        <x:v>e98ae77b89ca281ab6e3fa243d388f2afaa7d447b25249b9af400b47f86b2473</x:v>
      </x:c>
      <x:c r="O125" s="43" t="n">
        <x:v>10000</x:v>
      </x:c>
      <x:c r="P125" s="43" t="n">
        <x:v>400000</x:v>
      </x:c>
      <x:c r="Q125" s="36" t="n">
        <x:v>8</x:v>
      </x:c>
      <x:c r="R125" s="42" t="n">
        <x:v>95</x:v>
      </x:c>
      <x:c r="S125" s="43" t="n">
        <x:v>512</x:v>
      </x:c>
      <x:c r="T125" s="43" t="n">
        <x:v>50000</x:v>
      </x:c>
      <x:c r="U125" s="46" t="n">
        <x:v>3</x:v>
      </x:c>
      <x:c r="V125" s="46" t="n">
        <x:v>5</x:v>
      </x:c>
      <x:c r="W125" s="43" t="n">
        <x:v>300</x:v>
      </x:c>
      <x:c r="X125" s="34" t="str">
        <x:v>uniform</x:v>
      </x:c>
      <x:c r="Y125" s="42" t="n">
        <x:v>10</x:v>
      </x:c>
      <x:c r="Z125" s="34" t="str">
        <x:v>strict</x:v>
      </x:c>
      <x:c r="AA125" s="36" t="n">
        <x:v>64</x:v>
      </x:c>
      <x:c r="AB125" s="43" t="n">
        <x:v>96040448</x:v>
      </x:c>
      <x:c r="AC125" s="43" t="n">
        <x:v>3000526974</x:v>
      </x:c>
      <x:c r="AD125" s="43" t="n">
        <x:v>526974</x:v>
      </x:c>
      <x:c r="AE125" s="43" t="n">
        <x:v>2230990.012973207</x:v>
      </x:c>
      <x:c r="AF125" s="43" t="n">
        <x:v>31082143.0932144</x:v>
      </x:c>
      <x:c r="AG125" s="43" t="n">
        <x:v>155525376</x:v>
      </x:c>
      <x:c r="AH125" s="43" t="n">
        <x:v>5003688952</x:v>
      </x:c>
      <x:c r="AI125" s="43" t="n">
        <x:v>3688952</x:v>
      </x:c>
      <x:c r="AJ125" s="43" t="n">
        <x:v>31082143.0932144</x:v>
      </x:c>
      <x:c r="AK125" s="43" t="n">
        <x:v>155525376</x:v>
      </x:c>
      <x:c r="AL125" s="43" t="n">
        <x:v>0</x:v>
      </x:c>
      <x:c r="AM125" s="43" t="n">
        <x:v>529836.862170464</x:v>
      </x:c>
      <x:c r="AN125" s="43" t="n">
        <x:v>150</x:v>
      </x:c>
      <x:c r="AO125" s="43" t="n">
        <x:v>321</x:v>
      </x:c>
      <x:c r="AP125" s="43" t="n">
        <x:v>491</x:v>
      </x:c>
      <x:c r="AQ125" s="43" t="n">
        <x:v>2430084</x:v>
      </x:c>
      <x:c r="AR125" s="43" t="n">
        <x:v>1</x:v>
      </x:c>
      <x:c r="AS125" s="45" t="b">
        <x:v>1</x:v>
      </x:c>
      <x:c r="AT125" s="43" t="n">
        <x:v>9979</x:v>
      </x:c>
      <x:c r="AU125" s="48" t="n">
        <x:v>0.948033612212582</x:v>
      </x:c>
      <x:c r="AV125" s="43" t="n">
        <x:v>9990</x:v>
      </x:c>
      <x:c r="AW125" s="48" t="n">
        <x:v>0.948033612212582</x:v>
      </x:c>
      <x:c r="AX125" s="45" t="b">
        <x:v>1</x:v>
      </x:c>
      <x:c r="AY125" s="44" t="str">
        <x:v>{"provider":"cache2k","currentEntries":9979,"requestCount":155525376,"hitCount":147443284,"missCount":8082092,"hitRate":0.948033612212582,"loadSuccessCount":0,"loadFailureCount":0,"totalLoadTimeNanos":0,"evictionCount":21,"expirationCount":0,"putCount":10000,"removeCount":0,"nativeMetrics":{"getCount":155525376,"missCount":8082092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5" s="44" t="str">
        <x:v>{"provider":"cache2k","currentEntries":9990,"requestCount":155525376,"hitCount":147443284,"missCount":8082092,"hitRate":0.948033612212582,"loadSuccessCount":0,"loadFailureCount":0,"totalLoadTimeNanos":0,"evictionCount":5010,"expirationCount":0,"putCount":15000,"removeCount":0,"nativeMetrics":{"getCount":155525376,"missCount":8082092,"loadCount":0,"loadExceptionCount":0,"suppressedLoadExceptionCount":0,"refreshCount":0,"refreshFailedCount":0,"refreshedHitCount":0,"expiredCount":0,"evictedCount":5010,"putCount":15000,"removeCount":0,"keyMutationCount":0,"totalLoadMillis":0}}</x:v>
      </x:c>
      <x:c r="BA125" s="43" t="n">
        <x:v>9990</x:v>
      </x:c>
      <x:c r="BB125" s="43" t="n">
        <x:v>155525376</x:v>
      </x:c>
      <x:c r="BC125" s="43" t="n">
        <x:v>147443284</x:v>
      </x:c>
      <x:c r="BD125" s="43" t="n">
        <x:v>8082092</x:v>
      </x:c>
      <x:c r="BE125" s="48" t="n">
        <x:v>0.948033612212582</x:v>
      </x:c>
      <x:c r="BF125" s="43" t="n">
        <x:v>0</x:v>
      </x:c>
      <x:c r="BG125" s="43" t="n">
        <x:v>0</x:v>
      </x:c>
      <x:c r="BH125" s="43" t="n">
        <x:v>0</x:v>
      </x:c>
      <x:c r="BI125" s="43" t="n">
        <x:v>5010</x:v>
      </x:c>
      <x:c r="BJ125" s="43" t="n">
        <x:v>0</x:v>
      </x:c>
      <x:c r="BK125" s="43" t="n">
        <x:v>15000</x:v>
      </x:c>
      <x:c r="BL125" s="43" t="n">
        <x:v>0</x:v>
      </x:c>
      <x:c r="BM125" s="44" t="str">
        <x:v>{"getCount":155525376,"missCount":8082092,"loadCount":0,"loadExceptionCount":0,"suppressedLoadExceptionCount":0,"refreshCount":0,"refreshFailedCount":0,"refreshedHitCount":0,"expiredCount":0,"evictedCount":5010,"putCount":15000,"removeCount":0,"keyMutationCount":0,"totalLoadMillis":0}</x:v>
      </x:c>
    </x:row>
    <x:row r="126">
      <x:c r="A126" s="34" t="str">
        <x:v>article1-unified-v4-2-fb3f101b-20260903-000401-default-f03-p1-cache2k</x:v>
      </x:c>
      <x:c r="B126" s="34" t="str">
        <x:v>default</x:v>
      </x:c>
      <x:c r="C126" s="34" t="str">
        <x:v>cache2k</x:v>
      </x:c>
      <x:c r="D126" s="34" t="str">
        <x:v>cache2k</x:v>
      </x:c>
      <x:c r="E126" s="34" t="str">
        <x:v>current-provider-primary-comparison</x:v>
      </x:c>
      <x:c r="F126" s="36" t="n">
        <x:v>3</x:v>
      </x:c>
      <x:c r="G126" s="36" t="n">
        <x:v>3</x:v>
      </x:c>
      <x:c r="H126" s="36" t="n">
        <x:v>1</x:v>
      </x:c>
      <x:c r="I126" s="36" t="n">
        <x:v>3</x:v>
      </x:c>
      <x:c r="J126" s="34" t="str">
        <x:v>initial</x:v>
      </x:c>
      <x:c r="K126" s="34" t="str">
        <x:v>cache-semantics</x:v>
      </x:c>
      <x:c r="L126" s="45" t="b">
        <x:v>1</x:v>
      </x:c>
      <x:c r="M126" s="36" t="n">
        <x:v>124332191</x:v>
      </x:c>
      <x:c r="N126" s="34" t="str">
        <x:v>05d9806dea6607f34cfaa463b8de941fa0300c4e5f7fb1516ac47f2bc0b6780d</x:v>
      </x:c>
      <x:c r="O126" s="43" t="n">
        <x:v>10000</x:v>
      </x:c>
      <x:c r="P126" s="43" t="n">
        <x:v>400000</x:v>
      </x:c>
      <x:c r="Q126" s="36" t="n">
        <x:v>8</x:v>
      </x:c>
      <x:c r="R126" s="42" t="n">
        <x:v>95</x:v>
      </x:c>
      <x:c r="S126" s="43" t="n">
        <x:v>512</x:v>
      </x:c>
      <x:c r="T126" s="43" t="n">
        <x:v>50000</x:v>
      </x:c>
      <x:c r="U126" s="46" t="n">
        <x:v>3</x:v>
      </x:c>
      <x:c r="V126" s="46" t="n">
        <x:v>5</x:v>
      </x:c>
      <x:c r="W126" s="43" t="n">
        <x:v>300</x:v>
      </x:c>
      <x:c r="X126" s="34" t="str">
        <x:v>uniform</x:v>
      </x:c>
      <x:c r="Y126" s="42" t="n">
        <x:v>10</x:v>
      </x:c>
      <x:c r="Z126" s="34" t="str">
        <x:v>strict</x:v>
      </x:c>
      <x:c r="AA126" s="36" t="n">
        <x:v>64</x:v>
      </x:c>
      <x:c r="AB126" s="43" t="n">
        <x:v>102729728</x:v>
      </x:c>
      <x:c r="AC126" s="43" t="n">
        <x:v>3000386394</x:v>
      </x:c>
      <x:c r="AD126" s="43" t="n">
        <x:v>386394</x:v>
      </x:c>
      <x:c r="AE126" s="43" t="n">
        <x:v>1106756.1486391216</x:v>
      </x:c>
      <x:c r="AF126" s="43" t="n">
        <x:v>32373834.29713918</x:v>
      </x:c>
      <x:c r="AG126" s="43" t="n">
        <x:v>161964032</x:v>
      </x:c>
      <x:c r="AH126" s="43" t="n">
        <x:v>5002930160</x:v>
      </x:c>
      <x:c r="AI126" s="43" t="n">
        <x:v>2930160</x:v>
      </x:c>
      <x:c r="AJ126" s="43" t="n">
        <x:v>32373834.29713918</x:v>
      </x:c>
      <x:c r="AK126" s="43" t="n">
        <x:v>161964032</x:v>
      </x:c>
      <x:c r="AL126" s="43" t="n">
        <x:v>0</x:v>
      </x:c>
      <x:c r="AM126" s="43" t="n">
        <x:v>577595.5091718123</x:v>
      </x:c>
      <x:c r="AN126" s="43" t="n">
        <x:v>130</x:v>
      </x:c>
      <x:c r="AO126" s="43" t="n">
        <x:v>310</x:v>
      </x:c>
      <x:c r="AP126" s="43" t="n">
        <x:v>491</x:v>
      </x:c>
      <x:c r="AQ126" s="43" t="n">
        <x:v>2530688</x:v>
      </x:c>
      <x:c r="AR126" s="43" t="n">
        <x:v>1</x:v>
      </x:c>
      <x:c r="AS126" s="45" t="b">
        <x:v>1</x:v>
      </x:c>
      <x:c r="AT126" s="43" t="n">
        <x:v>9979</x:v>
      </x:c>
      <x:c r="AU126" s="48" t="n">
        <x:v>0.9480567450926388</x:v>
      </x:c>
      <x:c r="AV126" s="43" t="n">
        <x:v>9995</x:v>
      </x:c>
      <x:c r="AW126" s="48" t="n">
        <x:v>0.9480567450926388</x:v>
      </x:c>
      <x:c r="AX126" s="45" t="b">
        <x:v>1</x:v>
      </x:c>
      <x:c r="AY126" s="44" t="str">
        <x:v>{"provider":"cache2k","currentEntries":9979,"requestCount":161964032,"hitCount":153551093,"missCount":8412939,"hitRate":0.9480567450926388,"loadSuccessCount":0,"loadFailureCount":0,"totalLoadTimeNanos":0,"evictionCount":21,"expirationCount":0,"putCount":10000,"removeCount":0,"nativeMetrics":{"getCount":161964032,"missCount":8412939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6" s="44" t="str">
        <x:v>{"provider":"cache2k","currentEntries":9995,"requestCount":161964032,"hitCount":153551093,"missCount":8412939,"hitRate":0.9480567450926388,"loadSuccessCount":0,"loadFailureCount":0,"totalLoadTimeNanos":0,"evictionCount":5005,"expirationCount":0,"putCount":15000,"removeCount":0,"nativeMetrics":{"getCount":161964032,"missCount":8412939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126" s="43" t="n">
        <x:v>9995</x:v>
      </x:c>
      <x:c r="BB126" s="43" t="n">
        <x:v>161964032</x:v>
      </x:c>
      <x:c r="BC126" s="43" t="n">
        <x:v>153551093</x:v>
      </x:c>
      <x:c r="BD126" s="43" t="n">
        <x:v>8412939</x:v>
      </x:c>
      <x:c r="BE126" s="48" t="n">
        <x:v>0.9480567450926388</x:v>
      </x:c>
      <x:c r="BF126" s="43" t="n">
        <x:v>0</x:v>
      </x:c>
      <x:c r="BG126" s="43" t="n">
        <x:v>0</x:v>
      </x:c>
      <x:c r="BH126" s="43" t="n">
        <x:v>0</x:v>
      </x:c>
      <x:c r="BI126" s="43" t="n">
        <x:v>5005</x:v>
      </x:c>
      <x:c r="BJ126" s="43" t="n">
        <x:v>0</x:v>
      </x:c>
      <x:c r="BK126" s="43" t="n">
        <x:v>15000</x:v>
      </x:c>
      <x:c r="BL126" s="43" t="n">
        <x:v>0</x:v>
      </x:c>
      <x:c r="BM126" s="44" t="str">
        <x:v>{"getCount":161964032,"missCount":8412939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127">
      <x:c r="A127" s="34" t="str">
        <x:v>article1-unified-v4-2-fb3f101b-20260903-000401-default-f03-p1-cache2k</x:v>
      </x:c>
      <x:c r="B127" s="34" t="str">
        <x:v>default</x:v>
      </x:c>
      <x:c r="C127" s="34" t="str">
        <x:v>cache2k</x:v>
      </x:c>
      <x:c r="D127" s="34" t="str">
        <x:v>cache2k</x:v>
      </x:c>
      <x:c r="E127" s="34" t="str">
        <x:v>current-provider-primary-comparison</x:v>
      </x:c>
      <x:c r="F127" s="36" t="n">
        <x:v>3</x:v>
      </x:c>
      <x:c r="G127" s="36" t="n">
        <x:v>3</x:v>
      </x:c>
      <x:c r="H127" s="36" t="n">
        <x:v>1</x:v>
      </x:c>
      <x:c r="I127" s="36" t="n">
        <x:v>3</x:v>
      </x:c>
      <x:c r="J127" s="34" t="str">
        <x:v>redeploy</x:v>
      </x:c>
      <x:c r="K127" s="34" t="str">
        <x:v>cache-semantics</x:v>
      </x:c>
      <x:c r="L127" s="45" t="b">
        <x:v>1</x:v>
      </x:c>
      <x:c r="M127" s="36" t="n">
        <x:v>124332191</x:v>
      </x:c>
      <x:c r="N127" s="34" t="str">
        <x:v>05d9806dea6607f34cfaa463b8de941fa0300c4e5f7fb1516ac47f2bc0b6780d</x:v>
      </x:c>
      <x:c r="O127" s="43" t="n">
        <x:v>10000</x:v>
      </x:c>
      <x:c r="P127" s="43" t="n">
        <x:v>400000</x:v>
      </x:c>
      <x:c r="Q127" s="36" t="n">
        <x:v>8</x:v>
      </x:c>
      <x:c r="R127" s="42" t="n">
        <x:v>95</x:v>
      </x:c>
      <x:c r="S127" s="43" t="n">
        <x:v>512</x:v>
      </x:c>
      <x:c r="T127" s="43" t="n">
        <x:v>50000</x:v>
      </x:c>
      <x:c r="U127" s="46" t="n">
        <x:v>3</x:v>
      </x:c>
      <x:c r="V127" s="46" t="n">
        <x:v>5</x:v>
      </x:c>
      <x:c r="W127" s="43" t="n">
        <x:v>300</x:v>
      </x:c>
      <x:c r="X127" s="34" t="str">
        <x:v>uniform</x:v>
      </x:c>
      <x:c r="Y127" s="42" t="n">
        <x:v>10</x:v>
      </x:c>
      <x:c r="Z127" s="34" t="str">
        <x:v>strict</x:v>
      </x:c>
      <x:c r="AA127" s="36" t="n">
        <x:v>64</x:v>
      </x:c>
      <x:c r="AB127" s="43" t="n">
        <x:v>92600064</x:v>
      </x:c>
      <x:c r="AC127" s="43" t="n">
        <x:v>3020799487</x:v>
      </x:c>
      <x:c r="AD127" s="43" t="n">
        <x:v>20799487</x:v>
      </x:c>
      <x:c r="AE127" s="43" t="n">
        <x:v>2338981.036945141</x:v>
      </x:c>
      <x:c r="AF127" s="43" t="n">
        <x:v>29304094.42095868</x:v>
      </x:c>
      <x:c r="AG127" s="43" t="n">
        <x:v>146592000</x:v>
      </x:c>
      <x:c r="AH127" s="43" t="n">
        <x:v>5002440884</x:v>
      </x:c>
      <x:c r="AI127" s="43" t="n">
        <x:v>2440884</x:v>
      </x:c>
      <x:c r="AJ127" s="43" t="n">
        <x:v>29304094.42095868</x:v>
      </x:c>
      <x:c r="AK127" s="43" t="n">
        <x:v>146592000</x:v>
      </x:c>
      <x:c r="AL127" s="43" t="n">
        <x:v>0</x:v>
      </x:c>
      <x:c r="AM127" s="43" t="n">
        <x:v>555485.1323848832</x:v>
      </x:c>
      <x:c r="AN127" s="43" t="n">
        <x:v>141</x:v>
      </x:c>
      <x:c r="AO127" s="43" t="n">
        <x:v>340</x:v>
      </x:c>
      <x:c r="AP127" s="43" t="n">
        <x:v>541</x:v>
      </x:c>
      <x:c r="AQ127" s="43" t="n">
        <x:v>2290500</x:v>
      </x:c>
      <x:c r="AR127" s="43" t="n">
        <x:v>1</x:v>
      </x:c>
      <x:c r="AS127" s="45" t="b">
        <x:v>1</x:v>
      </x:c>
      <x:c r="AT127" s="43" t="n">
        <x:v>9979</x:v>
      </x:c>
      <x:c r="AU127" s="48" t="n">
        <x:v>0.9480361615913556</x:v>
      </x:c>
      <x:c r="AV127" s="43" t="n">
        <x:v>9996</x:v>
      </x:c>
      <x:c r="AW127" s="48" t="n">
        <x:v>0.9480361615913556</x:v>
      </x:c>
      <x:c r="AX127" s="45" t="b">
        <x:v>1</x:v>
      </x:c>
      <x:c r="AY127" s="44" t="str">
        <x:v>{"provider":"cache2k","currentEntries":9979,"requestCount":146592000,"hitCount":138974517,"missCount":7617483,"hitRate":0.9480361615913556,"loadSuccessCount":0,"loadFailureCount":0,"totalLoadTimeNanos":0,"evictionCount":21,"expirationCount":0,"putCount":10000,"removeCount":0,"nativeMetrics":{"getCount":146592000,"missCount":7617483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7" s="44" t="str">
        <x:v>{"provider":"cache2k","currentEntries":9996,"requestCount":146592000,"hitCount":138974517,"missCount":7617483,"hitRate":0.9480361615913556,"loadSuccessCount":0,"loadFailureCount":0,"totalLoadTimeNanos":0,"evictionCount":5004,"expirationCount":0,"putCount":15000,"removeCount":0,"nativeMetrics":{"getCount":146592000,"missCount":7617483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127" s="43" t="n">
        <x:v>9996</x:v>
      </x:c>
      <x:c r="BB127" s="43" t="n">
        <x:v>146592000</x:v>
      </x:c>
      <x:c r="BC127" s="43" t="n">
        <x:v>138974517</x:v>
      </x:c>
      <x:c r="BD127" s="43" t="n">
        <x:v>7617483</x:v>
      </x:c>
      <x:c r="BE127" s="48" t="n">
        <x:v>0.9480361615913556</x:v>
      </x:c>
      <x:c r="BF127" s="43" t="n">
        <x:v>0</x:v>
      </x:c>
      <x:c r="BG127" s="43" t="n">
        <x:v>0</x:v>
      </x:c>
      <x:c r="BH127" s="43" t="n">
        <x:v>0</x:v>
      </x:c>
      <x:c r="BI127" s="43" t="n">
        <x:v>5004</x:v>
      </x:c>
      <x:c r="BJ127" s="43" t="n">
        <x:v>0</x:v>
      </x:c>
      <x:c r="BK127" s="43" t="n">
        <x:v>15000</x:v>
      </x:c>
      <x:c r="BL127" s="43" t="n">
        <x:v>0</x:v>
      </x:c>
      <x:c r="BM127" s="44" t="str">
        <x:v>{"getCount":146592000,"missCount":7617483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128">
      <x:c r="A128" s="34" t="str">
        <x:v>article1-unified-v4-2-fb3f101b-20260903-000401-default-f03-p1-cache2k</x:v>
      </x:c>
      <x:c r="B128" s="34" t="str">
        <x:v>default</x:v>
      </x:c>
      <x:c r="C128" s="34" t="str">
        <x:v>cache2k</x:v>
      </x:c>
      <x:c r="D128" s="34" t="str">
        <x:v>cache2k</x:v>
      </x:c>
      <x:c r="E128" s="34" t="str">
        <x:v>current-provider-primary-comparison</x:v>
      </x:c>
      <x:c r="F128" s="36" t="n">
        <x:v>3</x:v>
      </x:c>
      <x:c r="G128" s="36" t="n">
        <x:v>3</x:v>
      </x:c>
      <x:c r="H128" s="36" t="n">
        <x:v>1</x:v>
      </x:c>
      <x:c r="I128" s="36" t="n">
        <x:v>4</x:v>
      </x:c>
      <x:c r="J128" s="34" t="str">
        <x:v>initial</x:v>
      </x:c>
      <x:c r="K128" s="34" t="str">
        <x:v>cache-semantics</x:v>
      </x:c>
      <x:c r="L128" s="45" t="b">
        <x:v>1</x:v>
      </x:c>
      <x:c r="M128" s="36" t="n">
        <x:v>1044467175</x:v>
      </x:c>
      <x:c r="N128" s="34" t="str">
        <x:v>bee84924253a095ac320cc2769fb40582cc17430c9efa7089bd385b7e0ed6e39</x:v>
      </x:c>
      <x:c r="O128" s="43" t="n">
        <x:v>10000</x:v>
      </x:c>
      <x:c r="P128" s="43" t="n">
        <x:v>400000</x:v>
      </x:c>
      <x:c r="Q128" s="36" t="n">
        <x:v>8</x:v>
      </x:c>
      <x:c r="R128" s="42" t="n">
        <x:v>95</x:v>
      </x:c>
      <x:c r="S128" s="43" t="n">
        <x:v>512</x:v>
      </x:c>
      <x:c r="T128" s="43" t="n">
        <x:v>50000</x:v>
      </x:c>
      <x:c r="U128" s="46" t="n">
        <x:v>3</x:v>
      </x:c>
      <x:c r="V128" s="46" t="n">
        <x:v>5</x:v>
      </x:c>
      <x:c r="W128" s="43" t="n">
        <x:v>300</x:v>
      </x:c>
      <x:c r="X128" s="34" t="str">
        <x:v>uniform</x:v>
      </x:c>
      <x:c r="Y128" s="42" t="n">
        <x:v>10</x:v>
      </x:c>
      <x:c r="Z128" s="34" t="str">
        <x:v>strict</x:v>
      </x:c>
      <x:c r="AA128" s="36" t="n">
        <x:v>64</x:v>
      </x:c>
      <x:c r="AB128" s="43" t="n">
        <x:v>93363456</x:v>
      </x:c>
      <x:c r="AC128" s="43" t="n">
        <x:v>3012851777</x:v>
      </x:c>
      <x:c r="AD128" s="43" t="n">
        <x:v>12851777</x:v>
      </x:c>
      <x:c r="AE128" s="43" t="n">
        <x:v>1599498.397302606</x:v>
      </x:c>
      <x:c r="AF128" s="43" t="n">
        <x:v>30469626.02311881</x:v>
      </x:c>
      <x:c r="AG128" s="43" t="n">
        <x:v>152432640</x:v>
      </x:c>
      <x:c r="AH128" s="43" t="n">
        <x:v>5002773578</x:v>
      </x:c>
      <x:c r="AI128" s="43" t="n">
        <x:v>2773578</x:v>
      </x:c>
      <x:c r="AJ128" s="43" t="n">
        <x:v>30469626.02311881</x:v>
      </x:c>
      <x:c r="AK128" s="43" t="n">
        <x:v>152432640</x:v>
      </x:c>
      <x:c r="AL128" s="43" t="n">
        <x:v>0</x:v>
      </x:c>
      <x:c r="AM128" s="43" t="n">
        <x:v>505502.7512998245</x:v>
      </x:c>
      <x:c r="AN128" s="43" t="n">
        <x:v>150</x:v>
      </x:c>
      <x:c r="AO128" s="43" t="n">
        <x:v>321</x:v>
      </x:c>
      <x:c r="AP128" s="43" t="n">
        <x:v>501</x:v>
      </x:c>
      <x:c r="AQ128" s="43" t="n">
        <x:v>2381760</x:v>
      </x:c>
      <x:c r="AR128" s="43" t="n">
        <x:v>1</x:v>
      </x:c>
      <x:c r="AS128" s="45" t="b">
        <x:v>1</x:v>
      </x:c>
      <x:c r="AT128" s="43" t="n">
        <x:v>9979</x:v>
      </x:c>
      <x:c r="AU128" s="48" t="n">
        <x:v>0.9483862773747145</x:v>
      </x:c>
      <x:c r="AV128" s="43" t="n">
        <x:v>9996</x:v>
      </x:c>
      <x:c r="AW128" s="48" t="n">
        <x:v>0.9483862773747145</x:v>
      </x:c>
      <x:c r="AX128" s="45" t="b">
        <x:v>1</x:v>
      </x:c>
      <x:c r="AY128" s="44" t="str">
        <x:v>{"provider":"cache2k","currentEntries":9979,"requestCount":152432640,"hitCount":144565024,"missCount":7867616,"hitRate":0.9483862773747145,"loadSuccessCount":0,"loadFailureCount":0,"totalLoadTimeNanos":0,"evictionCount":21,"expirationCount":0,"putCount":10000,"removeCount":0,"nativeMetrics":{"getCount":152432640,"missCount":7867616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8" s="44" t="str">
        <x:v>{"provider":"cache2k","currentEntries":9996,"requestCount":152432640,"hitCount":144565024,"missCount":7867616,"hitRate":0.9483862773747145,"loadSuccessCount":0,"loadFailureCount":0,"totalLoadTimeNanos":0,"evictionCount":5004,"expirationCount":0,"putCount":15000,"removeCount":0,"nativeMetrics":{"getCount":152432640,"missCount":7867616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128" s="43" t="n">
        <x:v>9996</x:v>
      </x:c>
      <x:c r="BB128" s="43" t="n">
        <x:v>152432640</x:v>
      </x:c>
      <x:c r="BC128" s="43" t="n">
        <x:v>144565024</x:v>
      </x:c>
      <x:c r="BD128" s="43" t="n">
        <x:v>7867616</x:v>
      </x:c>
      <x:c r="BE128" s="48" t="n">
        <x:v>0.9483862773747145</x:v>
      </x:c>
      <x:c r="BF128" s="43" t="n">
        <x:v>0</x:v>
      </x:c>
      <x:c r="BG128" s="43" t="n">
        <x:v>0</x:v>
      </x:c>
      <x:c r="BH128" s="43" t="n">
        <x:v>0</x:v>
      </x:c>
      <x:c r="BI128" s="43" t="n">
        <x:v>5004</x:v>
      </x:c>
      <x:c r="BJ128" s="43" t="n">
        <x:v>0</x:v>
      </x:c>
      <x:c r="BK128" s="43" t="n">
        <x:v>15000</x:v>
      </x:c>
      <x:c r="BL128" s="43" t="n">
        <x:v>0</x:v>
      </x:c>
      <x:c r="BM128" s="44" t="str">
        <x:v>{"getCount":152432640,"missCount":7867616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129">
      <x:c r="A129" s="34" t="str">
        <x:v>article1-unified-v4-2-fb3f101b-20260903-000401-default-f03-p1-cache2k</x:v>
      </x:c>
      <x:c r="B129" s="34" t="str">
        <x:v>default</x:v>
      </x:c>
      <x:c r="C129" s="34" t="str">
        <x:v>cache2k</x:v>
      </x:c>
      <x:c r="D129" s="34" t="str">
        <x:v>cache2k</x:v>
      </x:c>
      <x:c r="E129" s="34" t="str">
        <x:v>current-provider-primary-comparison</x:v>
      </x:c>
      <x:c r="F129" s="36" t="n">
        <x:v>3</x:v>
      </x:c>
      <x:c r="G129" s="36" t="n">
        <x:v>3</x:v>
      </x:c>
      <x:c r="H129" s="36" t="n">
        <x:v>1</x:v>
      </x:c>
      <x:c r="I129" s="36" t="n">
        <x:v>4</x:v>
      </x:c>
      <x:c r="J129" s="34" t="str">
        <x:v>redeploy</x:v>
      </x:c>
      <x:c r="K129" s="34" t="str">
        <x:v>cache-semantics</x:v>
      </x:c>
      <x:c r="L129" s="45" t="b">
        <x:v>1</x:v>
      </x:c>
      <x:c r="M129" s="36" t="n">
        <x:v>1044467175</x:v>
      </x:c>
      <x:c r="N129" s="34" t="str">
        <x:v>bee84924253a095ac320cc2769fb40582cc17430c9efa7089bd385b7e0ed6e39</x:v>
      </x:c>
      <x:c r="O129" s="43" t="n">
        <x:v>10000</x:v>
      </x:c>
      <x:c r="P129" s="43" t="n">
        <x:v>400000</x:v>
      </x:c>
      <x:c r="Q129" s="36" t="n">
        <x:v>8</x:v>
      </x:c>
      <x:c r="R129" s="42" t="n">
        <x:v>95</x:v>
      </x:c>
      <x:c r="S129" s="43" t="n">
        <x:v>512</x:v>
      </x:c>
      <x:c r="T129" s="43" t="n">
        <x:v>50000</x:v>
      </x:c>
      <x:c r="U129" s="46" t="n">
        <x:v>3</x:v>
      </x:c>
      <x:c r="V129" s="46" t="n">
        <x:v>5</x:v>
      </x:c>
      <x:c r="W129" s="43" t="n">
        <x:v>300</x:v>
      </x:c>
      <x:c r="X129" s="34" t="str">
        <x:v>uniform</x:v>
      </x:c>
      <x:c r="Y129" s="42" t="n">
        <x:v>10</x:v>
      </x:c>
      <x:c r="Z129" s="34" t="str">
        <x:v>strict</x:v>
      </x:c>
      <x:c r="AA129" s="36" t="n">
        <x:v>64</x:v>
      </x:c>
      <x:c r="AB129" s="43" t="n">
        <x:v>97481728</x:v>
      </x:c>
      <x:c r="AC129" s="43" t="n">
        <x:v>3049015797</x:v>
      </x:c>
      <x:c r="AD129" s="43" t="n">
        <x:v>49015797</x:v>
      </x:c>
      <x:c r="AE129" s="43" t="n">
        <x:v>1510410.6564909294</x:v>
      </x:c>
      <x:c r="AF129" s="43" t="n">
        <x:v>30391416.668739725</x:v>
      </x:c>
      <x:c r="AG129" s="43" t="n">
        <x:v>152049408</x:v>
      </x:c>
      <x:c r="AH129" s="43" t="n">
        <x:v>5003037853</x:v>
      </x:c>
      <x:c r="AI129" s="43" t="n">
        <x:v>3037853</x:v>
      </x:c>
      <x:c r="AJ129" s="43" t="n">
        <x:v>30391416.668739725</x:v>
      </x:c>
      <x:c r="AK129" s="43" t="n">
        <x:v>152049408</x:v>
      </x:c>
      <x:c r="AL129" s="43" t="n">
        <x:v>0</x:v>
      </x:c>
      <x:c r="AM129" s="43" t="n">
        <x:v>484313.14564390836</x:v>
      </x:c>
      <x:c r="AN129" s="43" t="n">
        <x:v>140</x:v>
      </x:c>
      <x:c r="AO129" s="43" t="n">
        <x:v>321</x:v>
      </x:c>
      <x:c r="AP129" s="43" t="n">
        <x:v>501</x:v>
      </x:c>
      <x:c r="AQ129" s="43" t="n">
        <x:v>2375772</x:v>
      </x:c>
      <x:c r="AR129" s="43" t="n">
        <x:v>1</x:v>
      </x:c>
      <x:c r="AS129" s="45" t="b">
        <x:v>1</x:v>
      </x:c>
      <x:c r="AT129" s="43" t="n">
        <x:v>9979</x:v>
      </x:c>
      <x:c r="AU129" s="48" t="n">
        <x:v>0.9484156360543015</x:v>
      </x:c>
      <x:c r="AV129" s="43" t="n">
        <x:v>9993</x:v>
      </x:c>
      <x:c r="AW129" s="48" t="n">
        <x:v>0.9484156360543015</x:v>
      </x:c>
      <x:c r="AX129" s="45" t="b">
        <x:v>1</x:v>
      </x:c>
      <x:c r="AY129" s="44" t="str">
        <x:v>{"provider":"cache2k","currentEntries":9979,"requestCount":152049408,"hitCount":144206036,"missCount":7843372,"hitRate":0.9484156360543015,"loadSuccessCount":0,"loadFailureCount":0,"totalLoadTimeNanos":0,"evictionCount":21,"expirationCount":0,"putCount":10000,"removeCount":0,"nativeMetrics":{"getCount":152049408,"missCount":7843372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29" s="44" t="str">
        <x:v>{"provider":"cache2k","currentEntries":9993,"requestCount":152049408,"hitCount":144206036,"missCount":7843372,"hitRate":0.9484156360543015,"loadSuccessCount":0,"loadFailureCount":0,"totalLoadTimeNanos":0,"evictionCount":5007,"expirationCount":0,"putCount":15000,"removeCount":0,"nativeMetrics":{"getCount":152049408,"missCount":7843372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129" s="43" t="n">
        <x:v>9993</x:v>
      </x:c>
      <x:c r="BB129" s="43" t="n">
        <x:v>152049408</x:v>
      </x:c>
      <x:c r="BC129" s="43" t="n">
        <x:v>144206036</x:v>
      </x:c>
      <x:c r="BD129" s="43" t="n">
        <x:v>7843372</x:v>
      </x:c>
      <x:c r="BE129" s="48" t="n">
        <x:v>0.9484156360543015</x:v>
      </x:c>
      <x:c r="BF129" s="43" t="n">
        <x:v>0</x:v>
      </x:c>
      <x:c r="BG129" s="43" t="n">
        <x:v>0</x:v>
      </x:c>
      <x:c r="BH129" s="43" t="n">
        <x:v>0</x:v>
      </x:c>
      <x:c r="BI129" s="43" t="n">
        <x:v>5007</x:v>
      </x:c>
      <x:c r="BJ129" s="43" t="n">
        <x:v>0</x:v>
      </x:c>
      <x:c r="BK129" s="43" t="n">
        <x:v>15000</x:v>
      </x:c>
      <x:c r="BL129" s="43" t="n">
        <x:v>0</x:v>
      </x:c>
      <x:c r="BM129" s="44" t="str">
        <x:v>{"getCount":152049408,"missCount":7843372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130">
      <x:c r="A130" s="34" t="str">
        <x:v>article1-unified-v4-2-fb3f101b-20260903-000401-default-f03-p1-cache2k</x:v>
      </x:c>
      <x:c r="B130" s="34" t="str">
        <x:v>default</x:v>
      </x:c>
      <x:c r="C130" s="34" t="str">
        <x:v>cache2k</x:v>
      </x:c>
      <x:c r="D130" s="34" t="str">
        <x:v>cache2k</x:v>
      </x:c>
      <x:c r="E130" s="34" t="str">
        <x:v>current-provider-primary-comparison</x:v>
      </x:c>
      <x:c r="F130" s="36" t="n">
        <x:v>3</x:v>
      </x:c>
      <x:c r="G130" s="36" t="n">
        <x:v>3</x:v>
      </x:c>
      <x:c r="H130" s="36" t="n">
        <x:v>1</x:v>
      </x:c>
      <x:c r="I130" s="36" t="n">
        <x:v>5</x:v>
      </x:c>
      <x:c r="J130" s="34" t="str">
        <x:v>initial</x:v>
      </x:c>
      <x:c r="K130" s="34" t="str">
        <x:v>cache-semantics</x:v>
      </x:c>
      <x:c r="L130" s="45" t="b">
        <x:v>1</x:v>
      </x:c>
      <x:c r="M130" s="36" t="n">
        <x:v>583023952</x:v>
      </x:c>
      <x:c r="N130" s="34" t="str">
        <x:v>7b8fd907f7b5f8856529fb47dd9c623362c42635eee044a68e2710298a56122c</x:v>
      </x:c>
      <x:c r="O130" s="43" t="n">
        <x:v>10000</x:v>
      </x:c>
      <x:c r="P130" s="43" t="n">
        <x:v>400000</x:v>
      </x:c>
      <x:c r="Q130" s="36" t="n">
        <x:v>8</x:v>
      </x:c>
      <x:c r="R130" s="42" t="n">
        <x:v>95</x:v>
      </x:c>
      <x:c r="S130" s="43" t="n">
        <x:v>512</x:v>
      </x:c>
      <x:c r="T130" s="43" t="n">
        <x:v>50000</x:v>
      </x:c>
      <x:c r="U130" s="46" t="n">
        <x:v>3</x:v>
      </x:c>
      <x:c r="V130" s="46" t="n">
        <x:v>5</x:v>
      </x:c>
      <x:c r="W130" s="43" t="n">
        <x:v>300</x:v>
      </x:c>
      <x:c r="X130" s="34" t="str">
        <x:v>uniform</x:v>
      </x:c>
      <x:c r="Y130" s="42" t="n">
        <x:v>10</x:v>
      </x:c>
      <x:c r="Z130" s="34" t="str">
        <x:v>strict</x:v>
      </x:c>
      <x:c r="AA130" s="36" t="n">
        <x:v>64</x:v>
      </x:c>
      <x:c r="AB130" s="43" t="n">
        <x:v>90425600</x:v>
      </x:c>
      <x:c r="AC130" s="43" t="n">
        <x:v>3017701508</x:v>
      </x:c>
      <x:c r="AD130" s="43" t="n">
        <x:v>17701508</x:v>
      </x:c>
      <x:c r="AE130" s="43" t="n">
        <x:v>1483292.1966964116</x:v>
      </x:c>
      <x:c r="AF130" s="43" t="n">
        <x:v>28694693.01226229</x:v>
      </x:c>
      <x:c r="AG130" s="43" t="n">
        <x:v>143549440</x:v>
      </x:c>
      <x:c r="AH130" s="43" t="n">
        <x:v>5002647700</x:v>
      </x:c>
      <x:c r="AI130" s="43" t="n">
        <x:v>2647700</x:v>
      </x:c>
      <x:c r="AJ130" s="43" t="n">
        <x:v>28694693.01226229</x:v>
      </x:c>
      <x:c r="AK130" s="43" t="n">
        <x:v>143549440</x:v>
      </x:c>
      <x:c r="AL130" s="43" t="n">
        <x:v>0</x:v>
      </x:c>
      <x:c r="AM130" s="43" t="n">
        <x:v>488758.69660567836</x:v>
      </x:c>
      <x:c r="AN130" s="43" t="n">
        <x:v>160</x:v>
      </x:c>
      <x:c r="AO130" s="43" t="n">
        <x:v>351</x:v>
      </x:c>
      <x:c r="AP130" s="43" t="n">
        <x:v>532</x:v>
      </x:c>
      <x:c r="AQ130" s="43" t="n">
        <x:v>2242960</x:v>
      </x:c>
      <x:c r="AR130" s="43" t="n">
        <x:v>1</x:v>
      </x:c>
      <x:c r="AS130" s="45" t="b">
        <x:v>1</x:v>
      </x:c>
      <x:c r="AT130" s="43" t="n">
        <x:v>9979</x:v>
      </x:c>
      <x:c r="AU130" s="48" t="n">
        <x:v>0.9477101060094696</x:v>
      </x:c>
      <x:c r="AV130" s="43" t="n">
        <x:v>9996</x:v>
      </x:c>
      <x:c r="AW130" s="48" t="n">
        <x:v>0.9477101060094696</x:v>
      </x:c>
      <x:c r="AX130" s="45" t="b">
        <x:v>1</x:v>
      </x:c>
      <x:c r="AY130" s="44" t="str">
        <x:v>{"provider":"cache2k","currentEntries":9979,"requestCount":143549440,"hitCount":136043255,"missCount":7506185,"hitRate":0.9477101060094696,"loadSuccessCount":0,"loadFailureCount":0,"totalLoadTimeNanos":0,"evictionCount":21,"expirationCount":0,"putCount":10000,"removeCount":0,"nativeMetrics":{"getCount":143549440,"missCount":7506185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30" s="44" t="str">
        <x:v>{"provider":"cache2k","currentEntries":9996,"requestCount":143549440,"hitCount":136043255,"missCount":7506185,"hitRate":0.9477101060094696,"loadSuccessCount":0,"loadFailureCount":0,"totalLoadTimeNanos":0,"evictionCount":5004,"expirationCount":0,"putCount":15000,"removeCount":0,"nativeMetrics":{"getCount":143549440,"missCount":7506185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130" s="43" t="n">
        <x:v>9996</x:v>
      </x:c>
      <x:c r="BB130" s="43" t="n">
        <x:v>143549440</x:v>
      </x:c>
      <x:c r="BC130" s="43" t="n">
        <x:v>136043255</x:v>
      </x:c>
      <x:c r="BD130" s="43" t="n">
        <x:v>7506185</x:v>
      </x:c>
      <x:c r="BE130" s="48" t="n">
        <x:v>0.9477101060094696</x:v>
      </x:c>
      <x:c r="BF130" s="43" t="n">
        <x:v>0</x:v>
      </x:c>
      <x:c r="BG130" s="43" t="n">
        <x:v>0</x:v>
      </x:c>
      <x:c r="BH130" s="43" t="n">
        <x:v>0</x:v>
      </x:c>
      <x:c r="BI130" s="43" t="n">
        <x:v>5004</x:v>
      </x:c>
      <x:c r="BJ130" s="43" t="n">
        <x:v>0</x:v>
      </x:c>
      <x:c r="BK130" s="43" t="n">
        <x:v>15000</x:v>
      </x:c>
      <x:c r="BL130" s="43" t="n">
        <x:v>0</x:v>
      </x:c>
      <x:c r="BM130" s="44" t="str">
        <x:v>{"getCount":143549440,"missCount":7506185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131">
      <x:c r="A131" s="34" t="str">
        <x:v>article1-unified-v4-2-fb3f101b-20260903-000401-default-f03-p1-cache2k</x:v>
      </x:c>
      <x:c r="B131" s="34" t="str">
        <x:v>default</x:v>
      </x:c>
      <x:c r="C131" s="34" t="str">
        <x:v>cache2k</x:v>
      </x:c>
      <x:c r="D131" s="34" t="str">
        <x:v>cache2k</x:v>
      </x:c>
      <x:c r="E131" s="34" t="str">
        <x:v>current-provider-primary-comparison</x:v>
      </x:c>
      <x:c r="F131" s="36" t="n">
        <x:v>3</x:v>
      </x:c>
      <x:c r="G131" s="36" t="n">
        <x:v>3</x:v>
      </x:c>
      <x:c r="H131" s="36" t="n">
        <x:v>1</x:v>
      </x:c>
      <x:c r="I131" s="36" t="n">
        <x:v>5</x:v>
      </x:c>
      <x:c r="J131" s="34" t="str">
        <x:v>redeploy</x:v>
      </x:c>
      <x:c r="K131" s="34" t="str">
        <x:v>cache-semantics</x:v>
      </x:c>
      <x:c r="L131" s="45" t="b">
        <x:v>1</x:v>
      </x:c>
      <x:c r="M131" s="36" t="n">
        <x:v>583023952</x:v>
      </x:c>
      <x:c r="N131" s="34" t="str">
        <x:v>7b8fd907f7b5f8856529fb47dd9c623362c42635eee044a68e2710298a56122c</x:v>
      </x:c>
      <x:c r="O131" s="43" t="n">
        <x:v>10000</x:v>
      </x:c>
      <x:c r="P131" s="43" t="n">
        <x:v>400000</x:v>
      </x:c>
      <x:c r="Q131" s="36" t="n">
        <x:v>8</x:v>
      </x:c>
      <x:c r="R131" s="42" t="n">
        <x:v>95</x:v>
      </x:c>
      <x:c r="S131" s="43" t="n">
        <x:v>512</x:v>
      </x:c>
      <x:c r="T131" s="43" t="n">
        <x:v>50000</x:v>
      </x:c>
      <x:c r="U131" s="46" t="n">
        <x:v>3</x:v>
      </x:c>
      <x:c r="V131" s="46" t="n">
        <x:v>5</x:v>
      </x:c>
      <x:c r="W131" s="43" t="n">
        <x:v>300</x:v>
      </x:c>
      <x:c r="X131" s="34" t="str">
        <x:v>uniform</x:v>
      </x:c>
      <x:c r="Y131" s="42" t="n">
        <x:v>10</x:v>
      </x:c>
      <x:c r="Z131" s="34" t="str">
        <x:v>strict</x:v>
      </x:c>
      <x:c r="AA131" s="36" t="n">
        <x:v>64</x:v>
      </x:c>
      <x:c r="AB131" s="43" t="n">
        <x:v>88152832</x:v>
      </x:c>
      <x:c r="AC131" s="43" t="n">
        <x:v>3017501901</x:v>
      </x:c>
      <x:c r="AD131" s="43" t="n">
        <x:v>17501901</x:v>
      </x:c>
      <x:c r="AE131" s="43" t="n">
        <x:v>2159439.1677348693</x:v>
      </x:c>
      <x:c r="AF131" s="43" t="n">
        <x:v>27135647.853910115</x:v>
      </x:c>
      <x:c r="AG131" s="43" t="n">
        <x:v>135742720</x:v>
      </x:c>
      <x:c r="AH131" s="43" t="n">
        <x:v>5002376237</x:v>
      </x:c>
      <x:c r="AI131" s="43" t="n">
        <x:v>2376237</x:v>
      </x:c>
      <x:c r="AJ131" s="43" t="n">
        <x:v>27135647.853910115</x:v>
      </x:c>
      <x:c r="AK131" s="43" t="n">
        <x:v>135742720</x:v>
      </x:c>
      <x:c r="AL131" s="43" t="n">
        <x:v>0</x:v>
      </x:c>
      <x:c r="AM131" s="43" t="n">
        <x:v>453551.64043732174</x:v>
      </x:c>
      <x:c r="AN131" s="43" t="n">
        <x:v>160</x:v>
      </x:c>
      <x:c r="AO131" s="43" t="n">
        <x:v>361</x:v>
      </x:c>
      <x:c r="AP131" s="43" t="n">
        <x:v>561</x:v>
      </x:c>
      <x:c r="AQ131" s="43" t="n">
        <x:v>2120980</x:v>
      </x:c>
      <x:c r="AR131" s="43" t="n">
        <x:v>1</x:v>
      </x:c>
      <x:c r="AS131" s="45" t="b">
        <x:v>1</x:v>
      </x:c>
      <x:c r="AT131" s="43" t="n">
        <x:v>9979</x:v>
      </x:c>
      <x:c r="AU131" s="48" t="n">
        <x:v>0.9477134169699856</x:v>
      </x:c>
      <x:c r="AV131" s="43" t="n">
        <x:v>9991</x:v>
      </x:c>
      <x:c r="AW131" s="48" t="n">
        <x:v>0.9477134169699856</x:v>
      </x:c>
      <x:c r="AX131" s="45" t="b">
        <x:v>1</x:v>
      </x:c>
      <x:c r="AY131" s="44" t="str">
        <x:v>{"provider":"cache2k","currentEntries":9979,"requestCount":135742720,"hitCount":128645197,"missCount":7097523,"hitRate":0.9477134169699856,"loadSuccessCount":0,"loadFailureCount":0,"totalLoadTimeNanos":0,"evictionCount":21,"expirationCount":0,"putCount":10000,"removeCount":0,"nativeMetrics":{"getCount":135742720,"missCount":7097523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131" s="44" t="str">
        <x:v>{"provider":"cache2k","currentEntries":9991,"requestCount":135742720,"hitCount":128645197,"missCount":7097523,"hitRate":0.9477134169699856,"loadSuccessCount":0,"loadFailureCount":0,"totalLoadTimeNanos":0,"evictionCount":5009,"expirationCount":0,"putCount":15000,"removeCount":0,"nativeMetrics":{"getCount":135742720,"missCount":7097523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131" s="43" t="n">
        <x:v>9991</x:v>
      </x:c>
      <x:c r="BB131" s="43" t="n">
        <x:v>135742720</x:v>
      </x:c>
      <x:c r="BC131" s="43" t="n">
        <x:v>128645197</x:v>
      </x:c>
      <x:c r="BD131" s="43" t="n">
        <x:v>7097523</x:v>
      </x:c>
      <x:c r="BE131" s="48" t="n">
        <x:v>0.9477134169699856</x:v>
      </x:c>
      <x:c r="BF131" s="43" t="n">
        <x:v>0</x:v>
      </x:c>
      <x:c r="BG131" s="43" t="n">
        <x:v>0</x:v>
      </x:c>
      <x:c r="BH131" s="43" t="n">
        <x:v>0</x:v>
      </x:c>
      <x:c r="BI131" s="43" t="n">
        <x:v>5009</x:v>
      </x:c>
      <x:c r="BJ131" s="43" t="n">
        <x:v>0</x:v>
      </x:c>
      <x:c r="BK131" s="43" t="n">
        <x:v>15000</x:v>
      </x:c>
      <x:c r="BL131" s="43" t="n">
        <x:v>0</x:v>
      </x:c>
      <x:c r="BM131" s="44" t="str">
        <x:v>{"getCount":135742720,"missCount":7097523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132">
      <x:c r="A132" s="34" t="str">
        <x:v>article1-unified-v4-2-fb3f101b-20260903-000401-default-f03-p2-jcs4</x:v>
      </x:c>
      <x:c r="B132" s="34" t="str">
        <x:v>default</x:v>
      </x:c>
      <x:c r="C132" s="34" t="str">
        <x:v>jcs4</x:v>
      </x:c>
      <x:c r="D132" s="34" t="str">
        <x:v>jcs4</x:v>
      </x:c>
      <x:c r="E132" s="34" t="str">
        <x:v>current-provider-primary-comparison</x:v>
      </x:c>
      <x:c r="F132" s="36" t="n">
        <x:v>3</x:v>
      </x:c>
      <x:c r="G132" s="36" t="n">
        <x:v>3</x:v>
      </x:c>
      <x:c r="H132" s="36" t="n">
        <x:v>2</x:v>
      </x:c>
      <x:c r="I132" s="36" t="n">
        <x:v>1</x:v>
      </x:c>
      <x:c r="J132" s="34" t="str">
        <x:v>initial</x:v>
      </x:c>
      <x:c r="K132" s="34" t="str">
        <x:v>cache-semantics</x:v>
      </x:c>
      <x:c r="L132" s="45" t="b">
        <x:v>1</x:v>
      </x:c>
      <x:c r="M132" s="36" t="n">
        <x:v>142609922</x:v>
      </x:c>
      <x:c r="N132" s="34" t="str">
        <x:v>9ea92208df3b3b8b50bff1fcadf8cbf654073a5a10974202aa936e2af3f41e70</x:v>
      </x:c>
      <x:c r="O132" s="43" t="n">
        <x:v>10000</x:v>
      </x:c>
      <x:c r="P132" s="43" t="n">
        <x:v>400000</x:v>
      </x:c>
      <x:c r="Q132" s="36" t="n">
        <x:v>8</x:v>
      </x:c>
      <x:c r="R132" s="42" t="n">
        <x:v>95</x:v>
      </x:c>
      <x:c r="S132" s="43" t="n">
        <x:v>512</x:v>
      </x:c>
      <x:c r="T132" s="43" t="n">
        <x:v>50000</x:v>
      </x:c>
      <x:c r="U132" s="46" t="n">
        <x:v>3</x:v>
      </x:c>
      <x:c r="V132" s="46" t="n">
        <x:v>5</x:v>
      </x:c>
      <x:c r="W132" s="43" t="n">
        <x:v>300</x:v>
      </x:c>
      <x:c r="X132" s="34" t="str">
        <x:v>uniform</x:v>
      </x:c>
      <x:c r="Y132" s="42" t="n">
        <x:v>10</x:v>
      </x:c>
      <x:c r="Z132" s="34" t="str">
        <x:v>strict</x:v>
      </x:c>
      <x:c r="AA132" s="36" t="n">
        <x:v>64</x:v>
      </x:c>
      <x:c r="AB132" s="43" t="n">
        <x:v>1808640</x:v>
      </x:c>
      <x:c r="AC132" s="43" t="n">
        <x:v>3001619501</x:v>
      </x:c>
      <x:c r="AD132" s="43" t="n">
        <x:v>1619501</x:v>
      </x:c>
      <x:c r="AE132" s="43" t="n">
        <x:v>2171552.1885880157</x:v>
      </x:c>
      <x:c r="AF132" s="43" t="n">
        <x:v>751961.8257328721</x:v>
      </x:c>
      <x:c r="AG132" s="43" t="n">
        <x:v>3760896</x:v>
      </x:c>
      <x:c r="AH132" s="43" t="n">
        <x:v>5001445381</x:v>
      </x:c>
      <x:c r="AI132" s="43" t="n">
        <x:v>1445381</x:v>
      </x:c>
      <x:c r="AJ132" s="43" t="n">
        <x:v>751961.8257328721</x:v>
      </x:c>
      <x:c r="AK132" s="43" t="n">
        <x:v>3760896</x:v>
      </x:c>
      <x:c r="AL132" s="43" t="n">
        <x:v>0</x:v>
      </x:c>
      <x:c r="AM132" s="43" t="n">
        <x:v>397268.82450379536</x:v>
      </x:c>
      <x:c r="AN132" s="43" t="n">
        <x:v>641</x:v>
      </x:c>
      <x:c r="AO132" s="43" t="n">
        <x:v>4229</x:v>
      </x:c>
      <x:c r="AP132" s="43" t="n">
        <x:v>324663</x:v>
      </x:c>
      <x:c r="AQ132" s="43" t="n">
        <x:v>58764</x:v>
      </x:c>
      <x:c r="AR132" s="43" t="n">
        <x:v>1</x:v>
      </x:c>
      <x:c r="AS132" s="45" t="b">
        <x:v>1</x:v>
      </x:c>
      <x:c r="AT132" s="43" t="n">
        <x:v>10000</x:v>
      </x:c>
      <x:c r="AU132" s="48" t="n">
        <x:v>0.9489690754543598</x:v>
      </x:c>
      <x:c r="AV132" s="43" t="n">
        <x:v>10000</x:v>
      </x:c>
      <x:c r="AW132" s="48" t="n">
        <x:v>0.9489690754543598</x:v>
      </x:c>
      <x:c r="AX132" s="45" t="b">
        <x:v>1</x:v>
      </x:c>
      <x:c r="AY132" s="44" t="str">
        <x:v>{"provider":"jcs4","currentEntries":10000,"requestCount":3760896,"hitCount":3568974,"missCount":191922,"hitRate":0.9489690754543598,"loadSuccessCount":0,"loadFailureCount":0,"totalLoadTimeNanos":0,"evictionCount":-1,"expirationCount":-1,"putCount":10000,"removeCount":0,"nativeMetrics":{"HitCountRam":3568974,"Composite.HitCountRam":3568974,"HitCountAux":0,"Composite.HitCountAux":0,"Put Count":10000,"Memory Cache.Put Count":10000,"Hit Count":3568974,"Memory Cache.Hit Count":3568974,"Miss Count":191922,"Memory Cache.Miss Count":191922,"Map Size":10000,"Memory Cache.Map Size":10000,"List Size":10000,"Memory Cache.List Size":10000}}</x:v>
      </x:c>
      <x:c r="AZ132" s="44" t="str">
        <x:v>{"provider":"jcs4","currentEntries":10000,"requestCount":3760896,"hitCount":3568974,"missCount":191922,"hitRate":0.9489690754543598,"loadSuccessCount":0,"loadFailureCount":0,"totalLoadTimeNanos":0,"evictionCount":-1,"expirationCount":-1,"putCount":15000,"removeCount":0,"nativeMetrics":{"HitCountRam":3568974,"Composite.HitCountRam":3568974,"HitCountAux":0,"Composite.HitCountAux":0,"Put Count":15000,"Memory Cache.Put Count":15000,"Hit Count":3568974,"Memory Cache.Hit Count":3568974,"Miss Count":191922,"Memory Cache.Miss Count":191922,"Map Size":10000,"Memory Cache.Map Size":10000,"List Size":10000,"Memory Cache.List Size":10000}}</x:v>
      </x:c>
      <x:c r="BA132" s="43" t="n">
        <x:v>10000</x:v>
      </x:c>
      <x:c r="BB132" s="43" t="n">
        <x:v>3760896</x:v>
      </x:c>
      <x:c r="BC132" s="43" t="n">
        <x:v>3568974</x:v>
      </x:c>
      <x:c r="BD132" s="43" t="n">
        <x:v>191922</x:v>
      </x:c>
      <x:c r="BE132" s="48" t="n">
        <x:v>0.9489690754543598</x:v>
      </x:c>
      <x:c r="BF132" s="43" t="n">
        <x:v>0</x:v>
      </x:c>
      <x:c r="BG132" s="43" t="n">
        <x:v>0</x:v>
      </x:c>
      <x:c r="BH132" s="43" t="n">
        <x:v>0</x:v>
      </x:c>
      <x:c r="BI132" s="43" t="n">
        <x:v>-1</x:v>
      </x:c>
      <x:c r="BJ132" s="43" t="n">
        <x:v>-1</x:v>
      </x:c>
      <x:c r="BK132" s="43" t="n">
        <x:v>15000</x:v>
      </x:c>
      <x:c r="BL132" s="43" t="n">
        <x:v>0</x:v>
      </x:c>
      <x:c r="BM132" s="44" t="str">
        <x:v>{"HitCountRam":3568974,"Composite.HitCountRam":3568974,"HitCountAux":0,"Composite.HitCountAux":0,"Put Count":15000,"Memory Cache.Put Count":15000,"Hit Count":3568974,"Memory Cache.Hit Count":3568974,"Miss Count":191922,"Memory Cache.Miss Count":191922,"Map Size":10000,"Memory Cache.Map Size":10000,"List Size":10000,"Memory Cache.List Size":10000}</x:v>
      </x:c>
    </x:row>
    <x:row r="133">
      <x:c r="A133" s="34" t="str">
        <x:v>article1-unified-v4-2-fb3f101b-20260903-000401-default-f03-p2-jcs4</x:v>
      </x:c>
      <x:c r="B133" s="34" t="str">
        <x:v>default</x:v>
      </x:c>
      <x:c r="C133" s="34" t="str">
        <x:v>jcs4</x:v>
      </x:c>
      <x:c r="D133" s="34" t="str">
        <x:v>jcs4</x:v>
      </x:c>
      <x:c r="E133" s="34" t="str">
        <x:v>current-provider-primary-comparison</x:v>
      </x:c>
      <x:c r="F133" s="36" t="n">
        <x:v>3</x:v>
      </x:c>
      <x:c r="G133" s="36" t="n">
        <x:v>3</x:v>
      </x:c>
      <x:c r="H133" s="36" t="n">
        <x:v>2</x:v>
      </x:c>
      <x:c r="I133" s="36" t="n">
        <x:v>1</x:v>
      </x:c>
      <x:c r="J133" s="34" t="str">
        <x:v>redeploy</x:v>
      </x:c>
      <x:c r="K133" s="34" t="str">
        <x:v>cache-semantics</x:v>
      </x:c>
      <x:c r="L133" s="45" t="b">
        <x:v>1</x:v>
      </x:c>
      <x:c r="M133" s="36" t="n">
        <x:v>142609922</x:v>
      </x:c>
      <x:c r="N133" s="34" t="str">
        <x:v>9ea92208df3b3b8b50bff1fcadf8cbf654073a5a10974202aa936e2af3f41e70</x:v>
      </x:c>
      <x:c r="O133" s="43" t="n">
        <x:v>10000</x:v>
      </x:c>
      <x:c r="P133" s="43" t="n">
        <x:v>400000</x:v>
      </x:c>
      <x:c r="Q133" s="36" t="n">
        <x:v>8</x:v>
      </x:c>
      <x:c r="R133" s="42" t="n">
        <x:v>95</x:v>
      </x:c>
      <x:c r="S133" s="43" t="n">
        <x:v>512</x:v>
      </x:c>
      <x:c r="T133" s="43" t="n">
        <x:v>50000</x:v>
      </x:c>
      <x:c r="U133" s="46" t="n">
        <x:v>3</x:v>
      </x:c>
      <x:c r="V133" s="46" t="n">
        <x:v>5</x:v>
      </x:c>
      <x:c r="W133" s="43" t="n">
        <x:v>300</x:v>
      </x:c>
      <x:c r="X133" s="34" t="str">
        <x:v>uniform</x:v>
      </x:c>
      <x:c r="Y133" s="42" t="n">
        <x:v>10</x:v>
      </x:c>
      <x:c r="Z133" s="34" t="str">
        <x:v>strict</x:v>
      </x:c>
      <x:c r="AA133" s="36" t="n">
        <x:v>64</x:v>
      </x:c>
      <x:c r="AB133" s="43" t="n">
        <x:v>1873408</x:v>
      </x:c>
      <x:c r="AC133" s="43" t="n">
        <x:v>3001190606</x:v>
      </x:c>
      <x:c r="AD133" s="43" t="n">
        <x:v>1190606</x:v>
      </x:c>
      <x:c r="AE133" s="43" t="n">
        <x:v>3516147.2027994157</x:v>
      </x:c>
      <x:c r="AF133" s="43" t="n">
        <x:v>956218.105640756</x:v>
      </x:c>
      <x:c r="AG133" s="43" t="n">
        <x:v>4783360</x:v>
      </x:c>
      <x:c r="AH133" s="43" t="n">
        <x:v>5002373383</x:v>
      </x:c>
      <x:c r="AI133" s="43" t="n">
        <x:v>2373383</x:v>
      </x:c>
      <x:c r="AJ133" s="43" t="n">
        <x:v>956218.105640756</x:v>
      </x:c>
      <x:c r="AK133" s="43" t="n">
        <x:v>4783360</x:v>
      </x:c>
      <x:c r="AL133" s="43" t="n">
        <x:v>0</x:v>
      </x:c>
      <x:c r="AM133" s="43" t="n">
        <x:v>538477.7922065894</x:v>
      </x:c>
      <x:c r="AN133" s="43" t="n">
        <x:v>481</x:v>
      </x:c>
      <x:c r="AO133" s="43" t="n">
        <x:v>2004</x:v>
      </x:c>
      <x:c r="AP133" s="43" t="n">
        <x:v>283215</x:v>
      </x:c>
      <x:c r="AQ133" s="43" t="n">
        <x:v>74740</x:v>
      </x:c>
      <x:c r="AR133" s="43" t="n">
        <x:v>1</x:v>
      </x:c>
      <x:c r="AS133" s="45" t="b">
        <x:v>1</x:v>
      </x:c>
      <x:c r="AT133" s="43" t="n">
        <x:v>10000</x:v>
      </x:c>
      <x:c r="AU133" s="48" t="n">
        <x:v>0.9489687165507091</x:v>
      </x:c>
      <x:c r="AV133" s="43" t="n">
        <x:v>10000</x:v>
      </x:c>
      <x:c r="AW133" s="48" t="n">
        <x:v>0.9489687165507091</x:v>
      </x:c>
      <x:c r="AX133" s="45" t="b">
        <x:v>1</x:v>
      </x:c>
      <x:c r="AY133" s="44" t="str">
        <x:v>{"provider":"jcs4","currentEntries":10000,"requestCount":4783360,"hitCount":4539259,"missCount":244101,"hitRate":0.9489687165507091,"loadSuccessCount":0,"loadFailureCount":0,"totalLoadTimeNanos":0,"evictionCount":-1,"expirationCount":-1,"putCount":10000,"removeCount":0,"nativeMetrics":{"HitCountRam":4539259,"Composite.HitCountRam":4539259,"HitCountAux":0,"Composite.HitCountAux":0,"Put Count":10000,"Memory Cache.Put Count":10000,"Hit Count":4539259,"Memory Cache.Hit Count":4539259,"Miss Count":244101,"Memory Cache.Miss Count":244101,"Map Size":10000,"Memory Cache.Map Size":10000,"List Size":10000,"Memory Cache.List Size":10000}}</x:v>
      </x:c>
      <x:c r="AZ133" s="44" t="str">
        <x:v>{"provider":"jcs4","currentEntries":10000,"requestCount":4783360,"hitCount":4539259,"missCount":244101,"hitRate":0.9489687165507091,"loadSuccessCount":0,"loadFailureCount":0,"totalLoadTimeNanos":0,"evictionCount":-1,"expirationCount":-1,"putCount":15000,"removeCount":0,"nativeMetrics":{"HitCountRam":4539259,"Composite.HitCountRam":4539259,"HitCountAux":0,"Composite.HitCountAux":0,"Put Count":15000,"Memory Cache.Put Count":15000,"Hit Count":4539259,"Memory Cache.Hit Count":4539259,"Miss Count":244101,"Memory Cache.Miss Count":244101,"Map Size":10000,"Memory Cache.Map Size":10000,"List Size":10000,"Memory Cache.List Size":10000}}</x:v>
      </x:c>
      <x:c r="BA133" s="43" t="n">
        <x:v>10000</x:v>
      </x:c>
      <x:c r="BB133" s="43" t="n">
        <x:v>4783360</x:v>
      </x:c>
      <x:c r="BC133" s="43" t="n">
        <x:v>4539259</x:v>
      </x:c>
      <x:c r="BD133" s="43" t="n">
        <x:v>244101</x:v>
      </x:c>
      <x:c r="BE133" s="48" t="n">
        <x:v>0.9489687165507091</x:v>
      </x:c>
      <x:c r="BF133" s="43" t="n">
        <x:v>0</x:v>
      </x:c>
      <x:c r="BG133" s="43" t="n">
        <x:v>0</x:v>
      </x:c>
      <x:c r="BH133" s="43" t="n">
        <x:v>0</x:v>
      </x:c>
      <x:c r="BI133" s="43" t="n">
        <x:v>-1</x:v>
      </x:c>
      <x:c r="BJ133" s="43" t="n">
        <x:v>-1</x:v>
      </x:c>
      <x:c r="BK133" s="43" t="n">
        <x:v>15000</x:v>
      </x:c>
      <x:c r="BL133" s="43" t="n">
        <x:v>0</x:v>
      </x:c>
      <x:c r="BM133" s="44" t="str">
        <x:v>{"HitCountRam":4539259,"Composite.HitCountRam":4539259,"HitCountAux":0,"Composite.HitCountAux":0,"Put Count":15000,"Memory Cache.Put Count":15000,"Hit Count":4539259,"Memory Cache.Hit Count":4539259,"Miss Count":244101,"Memory Cache.Miss Count":244101,"Map Size":10000,"Memory Cache.Map Size":10000,"List Size":10000,"Memory Cache.List Size":10000}</x:v>
      </x:c>
    </x:row>
    <x:row r="134">
      <x:c r="A134" s="34" t="str">
        <x:v>article1-unified-v4-2-fb3f101b-20260903-000401-default-f03-p2-jcs4</x:v>
      </x:c>
      <x:c r="B134" s="34" t="str">
        <x:v>default</x:v>
      </x:c>
      <x:c r="C134" s="34" t="str">
        <x:v>jcs4</x:v>
      </x:c>
      <x:c r="D134" s="34" t="str">
        <x:v>jcs4</x:v>
      </x:c>
      <x:c r="E134" s="34" t="str">
        <x:v>current-provider-primary-comparison</x:v>
      </x:c>
      <x:c r="F134" s="36" t="n">
        <x:v>3</x:v>
      </x:c>
      <x:c r="G134" s="36" t="n">
        <x:v>3</x:v>
      </x:c>
      <x:c r="H134" s="36" t="n">
        <x:v>2</x:v>
      </x:c>
      <x:c r="I134" s="36" t="n">
        <x:v>2</x:v>
      </x:c>
      <x:c r="J134" s="34" t="str">
        <x:v>initial</x:v>
      </x:c>
      <x:c r="K134" s="34" t="str">
        <x:v>cache-semantics</x:v>
      </x:c>
      <x:c r="L134" s="45" t="b">
        <x:v>1</x:v>
      </x:c>
      <x:c r="M134" s="36" t="n">
        <x:v>1808793809</x:v>
      </x:c>
      <x:c r="N134" s="34" t="str">
        <x:v>e98ae77b89ca281ab6e3fa243d388f2afaa7d447b25249b9af400b47f86b2473</x:v>
      </x:c>
      <x:c r="O134" s="43" t="n">
        <x:v>10000</x:v>
      </x:c>
      <x:c r="P134" s="43" t="n">
        <x:v>400000</x:v>
      </x:c>
      <x:c r="Q134" s="36" t="n">
        <x:v>8</x:v>
      </x:c>
      <x:c r="R134" s="42" t="n">
        <x:v>95</x:v>
      </x:c>
      <x:c r="S134" s="43" t="n">
        <x:v>512</x:v>
      </x:c>
      <x:c r="T134" s="43" t="n">
        <x:v>50000</x:v>
      </x:c>
      <x:c r="U134" s="46" t="n">
        <x:v>3</x:v>
      </x:c>
      <x:c r="V134" s="46" t="n">
        <x:v>5</x:v>
      </x:c>
      <x:c r="W134" s="43" t="n">
        <x:v>300</x:v>
      </x:c>
      <x:c r="X134" s="34" t="str">
        <x:v>uniform</x:v>
      </x:c>
      <x:c r="Y134" s="42" t="n">
        <x:v>10</x:v>
      </x:c>
      <x:c r="Z134" s="34" t="str">
        <x:v>strict</x:v>
      </x:c>
      <x:c r="AA134" s="36" t="n">
        <x:v>64</x:v>
      </x:c>
      <x:c r="AB134" s="43" t="n">
        <x:v>2561536</x:v>
      </x:c>
      <x:c r="AC134" s="43" t="n">
        <x:v>3001919156</x:v>
      </x:c>
      <x:c r="AD134" s="43" t="n">
        <x:v>1919156</x:v>
      </x:c>
      <x:c r="AE134" s="43" t="n">
        <x:v>3780989.938785773</x:v>
      </x:c>
      <x:c r="AF134" s="43" t="n">
        <x:v>1051697.396381465</x:v>
      </x:c>
      <x:c r="AG134" s="43" t="n">
        <x:v>5260544</x:v>
      </x:c>
      <x:c r="AH134" s="43" t="n">
        <x:v>5001955903</x:v>
      </x:c>
      <x:c r="AI134" s="43" t="n">
        <x:v>1955903</x:v>
      </x:c>
      <x:c r="AJ134" s="43" t="n">
        <x:v>1051697.396381465</x:v>
      </x:c>
      <x:c r="AK134" s="43" t="n">
        <x:v>5260544</x:v>
      </x:c>
      <x:c r="AL134" s="43" t="n">
        <x:v>0</x:v>
      </x:c>
      <x:c r="AM134" s="43" t="n">
        <x:v>474609.43914643204</x:v>
      </x:c>
      <x:c r="AN134" s="43" t="n">
        <x:v>461</x:v>
      </x:c>
      <x:c r="AO134" s="43" t="n">
        <x:v>1714</x:v>
      </x:c>
      <x:c r="AP134" s="43" t="n">
        <x:v>270524</x:v>
      </x:c>
      <x:c r="AQ134" s="43" t="n">
        <x:v>82196</x:v>
      </x:c>
      <x:c r="AR134" s="43" t="n">
        <x:v>1</x:v>
      </x:c>
      <x:c r="AS134" s="45" t="b">
        <x:v>1</x:v>
      </x:c>
      <x:c r="AT134" s="43" t="n">
        <x:v>10000</x:v>
      </x:c>
      <x:c r="AU134" s="48" t="n">
        <x:v>0.9500568762470193</x:v>
      </x:c>
      <x:c r="AV134" s="43" t="n">
        <x:v>10000</x:v>
      </x:c>
      <x:c r="AW134" s="48" t="n">
        <x:v>0.9500568762470193</x:v>
      </x:c>
      <x:c r="AX134" s="45" t="b">
        <x:v>1</x:v>
      </x:c>
      <x:c r="AY134" s="44" t="str">
        <x:v>{"provider":"jcs4","currentEntries":10000,"requestCount":5260544,"hitCount":4997816,"missCount":262728,"hitRate":0.9500568762470193,"loadSuccessCount":0,"loadFailureCount":0,"totalLoadTimeNanos":0,"evictionCount":-1,"expirationCount":-1,"putCount":10000,"removeCount":0,"nativeMetrics":{"HitCountRam":4997816,"Composite.HitCountRam":4997816,"HitCountAux":0,"Composite.HitCountAux":0,"Put Count":10000,"Memory Cache.Put Count":10000,"Hit Count":4997816,"Memory Cache.Hit Count":4997816,"Miss Count":262728,"Memory Cache.Miss Count":262728,"Map Size":10000,"Memory Cache.Map Size":10000,"List Size":10000,"Memory Cache.List Size":10000}}</x:v>
      </x:c>
      <x:c r="AZ134" s="44" t="str">
        <x:v>{"provider":"jcs4","currentEntries":10000,"requestCount":5260544,"hitCount":4997816,"missCount":262728,"hitRate":0.9500568762470193,"loadSuccessCount":0,"loadFailureCount":0,"totalLoadTimeNanos":0,"evictionCount":-1,"expirationCount":-1,"putCount":15000,"removeCount":0,"nativeMetrics":{"HitCountRam":4997816,"Composite.HitCountRam":4997816,"HitCountAux":0,"Composite.HitCountAux":0,"Put Count":15000,"Memory Cache.Put Count":15000,"Hit Count":4997816,"Memory Cache.Hit Count":4997816,"Miss Count":262728,"Memory Cache.Miss Count":262728,"Map Size":10000,"Memory Cache.Map Size":10000,"List Size":10000,"Memory Cache.List Size":10000}}</x:v>
      </x:c>
      <x:c r="BA134" s="43" t="n">
        <x:v>10000</x:v>
      </x:c>
      <x:c r="BB134" s="43" t="n">
        <x:v>5260544</x:v>
      </x:c>
      <x:c r="BC134" s="43" t="n">
        <x:v>4997816</x:v>
      </x:c>
      <x:c r="BD134" s="43" t="n">
        <x:v>262728</x:v>
      </x:c>
      <x:c r="BE134" s="48" t="n">
        <x:v>0.9500568762470193</x:v>
      </x:c>
      <x:c r="BF134" s="43" t="n">
        <x:v>0</x:v>
      </x:c>
      <x:c r="BG134" s="43" t="n">
        <x:v>0</x:v>
      </x:c>
      <x:c r="BH134" s="43" t="n">
        <x:v>0</x:v>
      </x:c>
      <x:c r="BI134" s="43" t="n">
        <x:v>-1</x:v>
      </x:c>
      <x:c r="BJ134" s="43" t="n">
        <x:v>-1</x:v>
      </x:c>
      <x:c r="BK134" s="43" t="n">
        <x:v>15000</x:v>
      </x:c>
      <x:c r="BL134" s="43" t="n">
        <x:v>0</x:v>
      </x:c>
      <x:c r="BM134" s="44" t="str">
        <x:v>{"HitCountRam":4997816,"Composite.HitCountRam":4997816,"HitCountAux":0,"Composite.HitCountAux":0,"Put Count":15000,"Memory Cache.Put Count":15000,"Hit Count":4997816,"Memory Cache.Hit Count":4997816,"Miss Count":262728,"Memory Cache.Miss Count":262728,"Map Size":10000,"Memory Cache.Map Size":10000,"List Size":10000,"Memory Cache.List Size":10000}</x:v>
      </x:c>
    </x:row>
    <x:row r="135">
      <x:c r="A135" s="34" t="str">
        <x:v>article1-unified-v4-2-fb3f101b-20260903-000401-default-f03-p2-jcs4</x:v>
      </x:c>
      <x:c r="B135" s="34" t="str">
        <x:v>default</x:v>
      </x:c>
      <x:c r="C135" s="34" t="str">
        <x:v>jcs4</x:v>
      </x:c>
      <x:c r="D135" s="34" t="str">
        <x:v>jcs4</x:v>
      </x:c>
      <x:c r="E135" s="34" t="str">
        <x:v>current-provider-primary-comparison</x:v>
      </x:c>
      <x:c r="F135" s="36" t="n">
        <x:v>3</x:v>
      </x:c>
      <x:c r="G135" s="36" t="n">
        <x:v>3</x:v>
      </x:c>
      <x:c r="H135" s="36" t="n">
        <x:v>2</x:v>
      </x:c>
      <x:c r="I135" s="36" t="n">
        <x:v>2</x:v>
      </x:c>
      <x:c r="J135" s="34" t="str">
        <x:v>redeploy</x:v>
      </x:c>
      <x:c r="K135" s="34" t="str">
        <x:v>cache-semantics</x:v>
      </x:c>
      <x:c r="L135" s="45" t="b">
        <x:v>1</x:v>
      </x:c>
      <x:c r="M135" s="36" t="n">
        <x:v>1808793809</x:v>
      </x:c>
      <x:c r="N135" s="34" t="str">
        <x:v>e98ae77b89ca281ab6e3fa243d388f2afaa7d447b25249b9af400b47f86b2473</x:v>
      </x:c>
      <x:c r="O135" s="43" t="n">
        <x:v>10000</x:v>
      </x:c>
      <x:c r="P135" s="43" t="n">
        <x:v>400000</x:v>
      </x:c>
      <x:c r="Q135" s="36" t="n">
        <x:v>8</x:v>
      </x:c>
      <x:c r="R135" s="42" t="n">
        <x:v>95</x:v>
      </x:c>
      <x:c r="S135" s="43" t="n">
        <x:v>512</x:v>
      </x:c>
      <x:c r="T135" s="43" t="n">
        <x:v>50000</x:v>
      </x:c>
      <x:c r="U135" s="46" t="n">
        <x:v>3</x:v>
      </x:c>
      <x:c r="V135" s="46" t="n">
        <x:v>5</x:v>
      </x:c>
      <x:c r="W135" s="43" t="n">
        <x:v>300</x:v>
      </x:c>
      <x:c r="X135" s="34" t="str">
        <x:v>uniform</x:v>
      </x:c>
      <x:c r="Y135" s="42" t="n">
        <x:v>10</x:v>
      </x:c>
      <x:c r="Z135" s="34" t="str">
        <x:v>strict</x:v>
      </x:c>
      <x:c r="AA135" s="36" t="n">
        <x:v>64</x:v>
      </x:c>
      <x:c r="AB135" s="43" t="n">
        <x:v>2024192</x:v>
      </x:c>
      <x:c r="AC135" s="43" t="n">
        <x:v>3002712094</x:v>
      </x:c>
      <x:c r="AD135" s="43" t="n">
        <x:v>2712094</x:v>
      </x:c>
      <x:c r="AE135" s="43" t="n">
        <x:v>2948414.828993414</x:v>
      </x:c>
      <x:c r="AF135" s="43" t="n">
        <x:v>847153.9073961563</x:v>
      </x:c>
      <x:c r="AG135" s="43" t="n">
        <x:v>4236544</x:v>
      </x:c>
      <x:c r="AH135" s="43" t="n">
        <x:v>5000914194</x:v>
      </x:c>
      <x:c r="AI135" s="43" t="n">
        <x:v>914194</x:v>
      </x:c>
      <x:c r="AJ135" s="43" t="n">
        <x:v>847153.9073961563</x:v>
      </x:c>
      <x:c r="AK135" s="43" t="n">
        <x:v>4236544</x:v>
      </x:c>
      <x:c r="AL135" s="43" t="n">
        <x:v>0</x:v>
      </x:c>
      <x:c r="AM135" s="43" t="n">
        <x:v>436155.17005253927</x:v>
      </x:c>
      <x:c r="AN135" s="43" t="n">
        <x:v>541</x:v>
      </x:c>
      <x:c r="AO135" s="43" t="n">
        <x:v>2685</x:v>
      </x:c>
      <x:c r="AP135" s="43" t="n">
        <x:v>304037</x:v>
      </x:c>
      <x:c r="AQ135" s="43" t="n">
        <x:v>66196</x:v>
      </x:c>
      <x:c r="AR135" s="43" t="n">
        <x:v>1</x:v>
      </x:c>
      <x:c r="AS135" s="45" t="b">
        <x:v>1</x:v>
      </x:c>
      <x:c r="AT135" s="43" t="n">
        <x:v>10000</x:v>
      </x:c>
      <x:c r="AU135" s="48" t="n">
        <x:v>0.9500354534261889</x:v>
      </x:c>
      <x:c r="AV135" s="43" t="n">
        <x:v>10000</x:v>
      </x:c>
      <x:c r="AW135" s="48" t="n">
        <x:v>0.9500354534261889</x:v>
      </x:c>
      <x:c r="AX135" s="45" t="b">
        <x:v>1</x:v>
      </x:c>
      <x:c r="AY135" s="44" t="str">
        <x:v>{"provider":"jcs4","currentEntries":10000,"requestCount":4236544,"hitCount":4024867,"missCount":211677,"hitRate":0.9500354534261889,"loadSuccessCount":0,"loadFailureCount":0,"totalLoadTimeNanos":0,"evictionCount":-1,"expirationCount":-1,"putCount":10000,"removeCount":0,"nativeMetrics":{"HitCountRam":4024867,"Composite.HitCountRam":4024867,"HitCountAux":0,"Composite.HitCountAux":0,"Put Count":10000,"Memory Cache.Put Count":10000,"Hit Count":4024867,"Memory Cache.Hit Count":4024867,"Miss Count":211677,"Memory Cache.Miss Count":211677,"Map Size":10000,"Memory Cache.Map Size":10000,"List Size":10000,"Memory Cache.List Size":10000}}</x:v>
      </x:c>
      <x:c r="AZ135" s="44" t="str">
        <x:v>{"provider":"jcs4","currentEntries":10000,"requestCount":4236544,"hitCount":4024867,"missCount":211677,"hitRate":0.9500354534261889,"loadSuccessCount":0,"loadFailureCount":0,"totalLoadTimeNanos":0,"evictionCount":-1,"expirationCount":-1,"putCount":15000,"removeCount":0,"nativeMetrics":{"HitCountRam":4024867,"Composite.HitCountRam":4024867,"HitCountAux":0,"Composite.HitCountAux":0,"Put Count":15000,"Memory Cache.Put Count":15000,"Hit Count":4024867,"Memory Cache.Hit Count":4024867,"Miss Count":211677,"Memory Cache.Miss Count":211677,"Map Size":10000,"Memory Cache.Map Size":10000,"List Size":10000,"Memory Cache.List Size":10000}}</x:v>
      </x:c>
      <x:c r="BA135" s="43" t="n">
        <x:v>10000</x:v>
      </x:c>
      <x:c r="BB135" s="43" t="n">
        <x:v>4236544</x:v>
      </x:c>
      <x:c r="BC135" s="43" t="n">
        <x:v>4024867</x:v>
      </x:c>
      <x:c r="BD135" s="43" t="n">
        <x:v>211677</x:v>
      </x:c>
      <x:c r="BE135" s="48" t="n">
        <x:v>0.9500354534261889</x:v>
      </x:c>
      <x:c r="BF135" s="43" t="n">
        <x:v>0</x:v>
      </x:c>
      <x:c r="BG135" s="43" t="n">
        <x:v>0</x:v>
      </x:c>
      <x:c r="BH135" s="43" t="n">
        <x:v>0</x:v>
      </x:c>
      <x:c r="BI135" s="43" t="n">
        <x:v>-1</x:v>
      </x:c>
      <x:c r="BJ135" s="43" t="n">
        <x:v>-1</x:v>
      </x:c>
      <x:c r="BK135" s="43" t="n">
        <x:v>15000</x:v>
      </x:c>
      <x:c r="BL135" s="43" t="n">
        <x:v>0</x:v>
      </x:c>
      <x:c r="BM135" s="44" t="str">
        <x:v>{"HitCountRam":4024867,"Composite.HitCountRam":4024867,"HitCountAux":0,"Composite.HitCountAux":0,"Put Count":15000,"Memory Cache.Put Count":15000,"Hit Count":4024867,"Memory Cache.Hit Count":4024867,"Miss Count":211677,"Memory Cache.Miss Count":211677,"Map Size":10000,"Memory Cache.Map Size":10000,"List Size":10000,"Memory Cache.List Size":10000}</x:v>
      </x:c>
    </x:row>
    <x:row r="136">
      <x:c r="A136" s="34" t="str">
        <x:v>article1-unified-v4-2-fb3f101b-20260903-000401-default-f03-p2-jcs4</x:v>
      </x:c>
      <x:c r="B136" s="34" t="str">
        <x:v>default</x:v>
      </x:c>
      <x:c r="C136" s="34" t="str">
        <x:v>jcs4</x:v>
      </x:c>
      <x:c r="D136" s="34" t="str">
        <x:v>jcs4</x:v>
      </x:c>
      <x:c r="E136" s="34" t="str">
        <x:v>current-provider-primary-comparison</x:v>
      </x:c>
      <x:c r="F136" s="36" t="n">
        <x:v>3</x:v>
      </x:c>
      <x:c r="G136" s="36" t="n">
        <x:v>3</x:v>
      </x:c>
      <x:c r="H136" s="36" t="n">
        <x:v>2</x:v>
      </x:c>
      <x:c r="I136" s="36" t="n">
        <x:v>3</x:v>
      </x:c>
      <x:c r="J136" s="34" t="str">
        <x:v>initial</x:v>
      </x:c>
      <x:c r="K136" s="34" t="str">
        <x:v>cache-semantics</x:v>
      </x:c>
      <x:c r="L136" s="45" t="b">
        <x:v>1</x:v>
      </x:c>
      <x:c r="M136" s="36" t="n">
        <x:v>124332191</x:v>
      </x:c>
      <x:c r="N136" s="34" t="str">
        <x:v>05d9806dea6607f34cfaa463b8de941fa0300c4e5f7fb1516ac47f2bc0b6780d</x:v>
      </x:c>
      <x:c r="O136" s="43" t="n">
        <x:v>10000</x:v>
      </x:c>
      <x:c r="P136" s="43" t="n">
        <x:v>400000</x:v>
      </x:c>
      <x:c r="Q136" s="36" t="n">
        <x:v>8</x:v>
      </x:c>
      <x:c r="R136" s="42" t="n">
        <x:v>95</x:v>
      </x:c>
      <x:c r="S136" s="43" t="n">
        <x:v>512</x:v>
      </x:c>
      <x:c r="T136" s="43" t="n">
        <x:v>50000</x:v>
      </x:c>
      <x:c r="U136" s="46" t="n">
        <x:v>3</x:v>
      </x:c>
      <x:c r="V136" s="46" t="n">
        <x:v>5</x:v>
      </x:c>
      <x:c r="W136" s="43" t="n">
        <x:v>300</x:v>
      </x:c>
      <x:c r="X136" s="34" t="str">
        <x:v>uniform</x:v>
      </x:c>
      <x:c r="Y136" s="42" t="n">
        <x:v>10</x:v>
      </x:c>
      <x:c r="Z136" s="34" t="str">
        <x:v>strict</x:v>
      </x:c>
      <x:c r="AA136" s="36" t="n">
        <x:v>64</x:v>
      </x:c>
      <x:c r="AB136" s="43" t="n">
        <x:v>1702144</x:v>
      </x:c>
      <x:c r="AC136" s="43" t="n">
        <x:v>3001372498</x:v>
      </x:c>
      <x:c r="AD136" s="43" t="n">
        <x:v>1372498</x:v>
      </x:c>
      <x:c r="AE136" s="43" t="n">
        <x:v>2755605.8667951147</x:v>
      </x:c>
      <x:c r="AF136" s="43" t="n">
        <x:v>693011.0469821934</x:v>
      </x:c>
      <x:c r="AG136" s="43" t="n">
        <x:v>3465984</x:v>
      </x:c>
      <x:c r="AH136" s="43" t="n">
        <x:v>5001340188</x:v>
      </x:c>
      <x:c r="AI136" s="43" t="n">
        <x:v>1340188</x:v>
      </x:c>
      <x:c r="AJ136" s="43" t="n">
        <x:v>693011.0469821934</x:v>
      </x:c>
      <x:c r="AK136" s="43" t="n">
        <x:v>3465984</x:v>
      </x:c>
      <x:c r="AL136" s="43" t="n">
        <x:v>0</x:v>
      </x:c>
      <x:c r="AM136" s="43" t="n">
        <x:v>405048.19668492355</x:v>
      </x:c>
      <x:c r="AN136" s="43" t="n">
        <x:v>741</x:v>
      </x:c>
      <x:c r="AO136" s="43" t="n">
        <x:v>5661</x:v>
      </x:c>
      <x:c r="AP136" s="43" t="n">
        <x:v>328960</x:v>
      </x:c>
      <x:c r="AQ136" s="43" t="n">
        <x:v>54156</x:v>
      </x:c>
      <x:c r="AR136" s="43" t="n">
        <x:v>1</x:v>
      </x:c>
      <x:c r="AS136" s="45" t="b">
        <x:v>1</x:v>
      </x:c>
      <x:c r="AT136" s="43" t="n">
        <x:v>10000</x:v>
      </x:c>
      <x:c r="AU136" s="48" t="n">
        <x:v>0.9501042128296033</x:v>
      </x:c>
      <x:c r="AV136" s="43" t="n">
        <x:v>10000</x:v>
      </x:c>
      <x:c r="AW136" s="48" t="n">
        <x:v>0.9501042128296033</x:v>
      </x:c>
      <x:c r="AX136" s="45" t="b">
        <x:v>1</x:v>
      </x:c>
      <x:c r="AY136" s="44" t="str">
        <x:v>{"provider":"jcs4","currentEntries":10000,"requestCount":3465984,"hitCount":3293046,"missCount":172938,"hitRate":0.9501042128296033,"loadSuccessCount":0,"loadFailureCount":0,"totalLoadTimeNanos":0,"evictionCount":-1,"expirationCount":-1,"putCount":10000,"removeCount":0,"nativeMetrics":{"HitCountRam":3293046,"Composite.HitCountRam":3293046,"HitCountAux":0,"Composite.HitCountAux":0,"Put Count":10000,"Memory Cache.Put Count":10000,"Hit Count":3293046,"Memory Cache.Hit Count":3293046,"Miss Count":172938,"Memory Cache.Miss Count":172938,"Map Size":10000,"Memory Cache.Map Size":10000,"List Size":10000,"Memory Cache.List Size":10000}}</x:v>
      </x:c>
      <x:c r="AZ136" s="44" t="str">
        <x:v>{"provider":"jcs4","currentEntries":10000,"requestCount":3465984,"hitCount":3293046,"missCount":172938,"hitRate":0.9501042128296033,"loadSuccessCount":0,"loadFailureCount":0,"totalLoadTimeNanos":0,"evictionCount":-1,"expirationCount":-1,"putCount":15000,"removeCount":0,"nativeMetrics":{"HitCountRam":3293046,"Composite.HitCountRam":3293046,"HitCountAux":0,"Composite.HitCountAux":0,"Put Count":15000,"Memory Cache.Put Count":15000,"Hit Count":3293046,"Memory Cache.Hit Count":3293046,"Miss Count":172938,"Memory Cache.Miss Count":172938,"Map Size":10000,"Memory Cache.Map Size":10000,"List Size":10000,"Memory Cache.List Size":10000}}</x:v>
      </x:c>
      <x:c r="BA136" s="43" t="n">
        <x:v>10000</x:v>
      </x:c>
      <x:c r="BB136" s="43" t="n">
        <x:v>3465984</x:v>
      </x:c>
      <x:c r="BC136" s="43" t="n">
        <x:v>3293046</x:v>
      </x:c>
      <x:c r="BD136" s="43" t="n">
        <x:v>172938</x:v>
      </x:c>
      <x:c r="BE136" s="48" t="n">
        <x:v>0.9501042128296033</x:v>
      </x:c>
      <x:c r="BF136" s="43" t="n">
        <x:v>0</x:v>
      </x:c>
      <x:c r="BG136" s="43" t="n">
        <x:v>0</x:v>
      </x:c>
      <x:c r="BH136" s="43" t="n">
        <x:v>0</x:v>
      </x:c>
      <x:c r="BI136" s="43" t="n">
        <x:v>-1</x:v>
      </x:c>
      <x:c r="BJ136" s="43" t="n">
        <x:v>-1</x:v>
      </x:c>
      <x:c r="BK136" s="43" t="n">
        <x:v>15000</x:v>
      </x:c>
      <x:c r="BL136" s="43" t="n">
        <x:v>0</x:v>
      </x:c>
      <x:c r="BM136" s="44" t="str">
        <x:v>{"HitCountRam":3293046,"Composite.HitCountRam":3293046,"HitCountAux":0,"Composite.HitCountAux":0,"Put Count":15000,"Memory Cache.Put Count":15000,"Hit Count":3293046,"Memory Cache.Hit Count":3293046,"Miss Count":172938,"Memory Cache.Miss Count":172938,"Map Size":10000,"Memory Cache.Map Size":10000,"List Size":10000,"Memory Cache.List Size":10000}</x:v>
      </x:c>
    </x:row>
    <x:row r="137">
      <x:c r="A137" s="34" t="str">
        <x:v>article1-unified-v4-2-fb3f101b-20260903-000401-default-f03-p2-jcs4</x:v>
      </x:c>
      <x:c r="B137" s="34" t="str">
        <x:v>default</x:v>
      </x:c>
      <x:c r="C137" s="34" t="str">
        <x:v>jcs4</x:v>
      </x:c>
      <x:c r="D137" s="34" t="str">
        <x:v>jcs4</x:v>
      </x:c>
      <x:c r="E137" s="34" t="str">
        <x:v>current-provider-primary-comparison</x:v>
      </x:c>
      <x:c r="F137" s="36" t="n">
        <x:v>3</x:v>
      </x:c>
      <x:c r="G137" s="36" t="n">
        <x:v>3</x:v>
      </x:c>
      <x:c r="H137" s="36" t="n">
        <x:v>2</x:v>
      </x:c>
      <x:c r="I137" s="36" t="n">
        <x:v>3</x:v>
      </x:c>
      <x:c r="J137" s="34" t="str">
        <x:v>redeploy</x:v>
      </x:c>
      <x:c r="K137" s="34" t="str">
        <x:v>cache-semantics</x:v>
      </x:c>
      <x:c r="L137" s="45" t="b">
        <x:v>1</x:v>
      </x:c>
      <x:c r="M137" s="36" t="n">
        <x:v>124332191</x:v>
      </x:c>
      <x:c r="N137" s="34" t="str">
        <x:v>05d9806dea6607f34cfaa463b8de941fa0300c4e5f7fb1516ac47f2bc0b6780d</x:v>
      </x:c>
      <x:c r="O137" s="43" t="n">
        <x:v>10000</x:v>
      </x:c>
      <x:c r="P137" s="43" t="n">
        <x:v>400000</x:v>
      </x:c>
      <x:c r="Q137" s="36" t="n">
        <x:v>8</x:v>
      </x:c>
      <x:c r="R137" s="42" t="n">
        <x:v>95</x:v>
      </x:c>
      <x:c r="S137" s="43" t="n">
        <x:v>512</x:v>
      </x:c>
      <x:c r="T137" s="43" t="n">
        <x:v>50000</x:v>
      </x:c>
      <x:c r="U137" s="46" t="n">
        <x:v>3</x:v>
      </x:c>
      <x:c r="V137" s="46" t="n">
        <x:v>5</x:v>
      </x:c>
      <x:c r="W137" s="43" t="n">
        <x:v>300</x:v>
      </x:c>
      <x:c r="X137" s="34" t="str">
        <x:v>uniform</x:v>
      </x:c>
      <x:c r="Y137" s="42" t="n">
        <x:v>10</x:v>
      </x:c>
      <x:c r="Z137" s="34" t="str">
        <x:v>strict</x:v>
      </x:c>
      <x:c r="AA137" s="36" t="n">
        <x:v>64</x:v>
      </x:c>
      <x:c r="AB137" s="43" t="n">
        <x:v>2357248</x:v>
      </x:c>
      <x:c r="AC137" s="43" t="n">
        <x:v>3001068243</x:v>
      </x:c>
      <x:c r="AD137" s="43" t="n">
        <x:v>1068243</x:v>
      </x:c>
      <x:c r="AE137" s="43" t="n">
        <x:v>3713141.9604721186</x:v>
      </x:c>
      <x:c r="AF137" s="43" t="n">
        <x:v>1058914.7583479588</x:v>
      </x:c>
      <x:c r="AG137" s="43" t="n">
        <x:v>5295616</x:v>
      </x:c>
      <x:c r="AH137" s="43" t="n">
        <x:v>5000984223</x:v>
      </x:c>
      <x:c r="AI137" s="43" t="n">
        <x:v>984223</x:v>
      </x:c>
      <x:c r="AJ137" s="43" t="n">
        <x:v>1058914.7583479588</x:v>
      </x:c>
      <x:c r="AK137" s="43" t="n">
        <x:v>5295616</x:v>
      </x:c>
      <x:c r="AL137" s="43" t="n">
        <x:v>0</x:v>
      </x:c>
      <x:c r="AM137" s="43" t="n">
        <x:v>350959.3297799871</x:v>
      </x:c>
      <x:c r="AN137" s="43" t="n">
        <x:v>421</x:v>
      </x:c>
      <x:c r="AO137" s="43" t="n">
        <x:v>1644</x:v>
      </x:c>
      <x:c r="AP137" s="43" t="n">
        <x:v>276431</x:v>
      </x:c>
      <x:c r="AQ137" s="43" t="n">
        <x:v>82744</x:v>
      </x:c>
      <x:c r="AR137" s="43" t="n">
        <x:v>1</x:v>
      </x:c>
      <x:c r="AS137" s="45" t="b">
        <x:v>1</x:v>
      </x:c>
      <x:c r="AT137" s="43" t="n">
        <x:v>10000</x:v>
      </x:c>
      <x:c r="AU137" s="48" t="n">
        <x:v>0.9501227052716813</x:v>
      </x:c>
      <x:c r="AV137" s="43" t="n">
        <x:v>10000</x:v>
      </x:c>
      <x:c r="AW137" s="48" t="n">
        <x:v>0.9501227052716813</x:v>
      </x:c>
      <x:c r="AX137" s="45" t="b">
        <x:v>1</x:v>
      </x:c>
      <x:c r="AY137" s="44" t="str">
        <x:v>{"provider":"jcs4","currentEntries":10000,"requestCount":5295616,"hitCount":5031485,"missCount":264131,"hitRate":0.9501227052716813,"loadSuccessCount":0,"loadFailureCount":0,"totalLoadTimeNanos":0,"evictionCount":-1,"expirationCount":-1,"putCount":10000,"removeCount":0,"nativeMetrics":{"HitCountRam":5031485,"Composite.HitCountRam":5031485,"HitCountAux":0,"Composite.HitCountAux":0,"Put Count":10000,"Memory Cache.Put Count":10000,"Hit Count":5031485,"Memory Cache.Hit Count":5031485,"Miss Count":264131,"Memory Cache.Miss Count":264131,"Map Size":10000,"Memory Cache.Map Size":10000,"List Size":10000,"Memory Cache.List Size":10000}}</x:v>
      </x:c>
      <x:c r="AZ137" s="44" t="str">
        <x:v>{"provider":"jcs4","currentEntries":10000,"requestCount":5295616,"hitCount":5031485,"missCount":264131,"hitRate":0.9501227052716813,"loadSuccessCount":0,"loadFailureCount":0,"totalLoadTimeNanos":0,"evictionCount":-1,"expirationCount":-1,"putCount":15000,"removeCount":0,"nativeMetrics":{"HitCountRam":5031485,"Composite.HitCountRam":5031485,"HitCountAux":0,"Composite.HitCountAux":0,"Put Count":15000,"Memory Cache.Put Count":15000,"Hit Count":5031485,"Memory Cache.Hit Count":5031485,"Miss Count":264131,"Memory Cache.Miss Count":264131,"Map Size":10000,"Memory Cache.Map Size":10000,"List Size":10000,"Memory Cache.List Size":10000}}</x:v>
      </x:c>
      <x:c r="BA137" s="43" t="n">
        <x:v>10000</x:v>
      </x:c>
      <x:c r="BB137" s="43" t="n">
        <x:v>5295616</x:v>
      </x:c>
      <x:c r="BC137" s="43" t="n">
        <x:v>5031485</x:v>
      </x:c>
      <x:c r="BD137" s="43" t="n">
        <x:v>264131</x:v>
      </x:c>
      <x:c r="BE137" s="48" t="n">
        <x:v>0.9501227052716813</x:v>
      </x:c>
      <x:c r="BF137" s="43" t="n">
        <x:v>0</x:v>
      </x:c>
      <x:c r="BG137" s="43" t="n">
        <x:v>0</x:v>
      </x:c>
      <x:c r="BH137" s="43" t="n">
        <x:v>0</x:v>
      </x:c>
      <x:c r="BI137" s="43" t="n">
        <x:v>-1</x:v>
      </x:c>
      <x:c r="BJ137" s="43" t="n">
        <x:v>-1</x:v>
      </x:c>
      <x:c r="BK137" s="43" t="n">
        <x:v>15000</x:v>
      </x:c>
      <x:c r="BL137" s="43" t="n">
        <x:v>0</x:v>
      </x:c>
      <x:c r="BM137" s="44" t="str">
        <x:v>{"HitCountRam":5031485,"Composite.HitCountRam":5031485,"HitCountAux":0,"Composite.HitCountAux":0,"Put Count":15000,"Memory Cache.Put Count":15000,"Hit Count":5031485,"Memory Cache.Hit Count":5031485,"Miss Count":264131,"Memory Cache.Miss Count":264131,"Map Size":10000,"Memory Cache.Map Size":10000,"List Size":10000,"Memory Cache.List Size":10000}</x:v>
      </x:c>
    </x:row>
    <x:row r="138">
      <x:c r="A138" s="34" t="str">
        <x:v>article1-unified-v4-2-fb3f101b-20260903-000401-default-f03-p2-jcs4</x:v>
      </x:c>
      <x:c r="B138" s="34" t="str">
        <x:v>default</x:v>
      </x:c>
      <x:c r="C138" s="34" t="str">
        <x:v>jcs4</x:v>
      </x:c>
      <x:c r="D138" s="34" t="str">
        <x:v>jcs4</x:v>
      </x:c>
      <x:c r="E138" s="34" t="str">
        <x:v>current-provider-primary-comparison</x:v>
      </x:c>
      <x:c r="F138" s="36" t="n">
        <x:v>3</x:v>
      </x:c>
      <x:c r="G138" s="36" t="n">
        <x:v>3</x:v>
      </x:c>
      <x:c r="H138" s="36" t="n">
        <x:v>2</x:v>
      </x:c>
      <x:c r="I138" s="36" t="n">
        <x:v>4</x:v>
      </x:c>
      <x:c r="J138" s="34" t="str">
        <x:v>initial</x:v>
      </x:c>
      <x:c r="K138" s="34" t="str">
        <x:v>cache-semantics</x:v>
      </x:c>
      <x:c r="L138" s="45" t="b">
        <x:v>1</x:v>
      </x:c>
      <x:c r="M138" s="36" t="n">
        <x:v>1044467175</x:v>
      </x:c>
      <x:c r="N138" s="34" t="str">
        <x:v>bee84924253a095ac320cc2769fb40582cc17430c9efa7089bd385b7e0ed6e39</x:v>
      </x:c>
      <x:c r="O138" s="43" t="n">
        <x:v>10000</x:v>
      </x:c>
      <x:c r="P138" s="43" t="n">
        <x:v>400000</x:v>
      </x:c>
      <x:c r="Q138" s="36" t="n">
        <x:v>8</x:v>
      </x:c>
      <x:c r="R138" s="42" t="n">
        <x:v>95</x:v>
      </x:c>
      <x:c r="S138" s="43" t="n">
        <x:v>512</x:v>
      </x:c>
      <x:c r="T138" s="43" t="n">
        <x:v>50000</x:v>
      </x:c>
      <x:c r="U138" s="46" t="n">
        <x:v>3</x:v>
      </x:c>
      <x:c r="V138" s="46" t="n">
        <x:v>5</x:v>
      </x:c>
      <x:c r="W138" s="43" t="n">
        <x:v>300</x:v>
      </x:c>
      <x:c r="X138" s="34" t="str">
        <x:v>uniform</x:v>
      </x:c>
      <x:c r="Y138" s="42" t="n">
        <x:v>10</x:v>
      </x:c>
      <x:c r="Z138" s="34" t="str">
        <x:v>strict</x:v>
      </x:c>
      <x:c r="AA138" s="36" t="n">
        <x:v>64</x:v>
      </x:c>
      <x:c r="AB138" s="43" t="n">
        <x:v>2084352</x:v>
      </x:c>
      <x:c r="AC138" s="43" t="n">
        <x:v>3001375029</x:v>
      </x:c>
      <x:c r="AD138" s="43" t="n">
        <x:v>1375029</x:v>
      </x:c>
      <x:c r="AE138" s="43" t="n">
        <x:v>3276663.439153179</x:v>
      </x:c>
      <x:c r="AF138" s="43" t="n">
        <x:v>1059845.6866203048</x:v>
      </x:c>
      <x:c r="AG138" s="43" t="n">
        <x:v>5300736</x:v>
      </x:c>
      <x:c r="AH138" s="43" t="n">
        <x:v>5001422440</x:v>
      </x:c>
      <x:c r="AI138" s="43" t="n">
        <x:v>1422440</x:v>
      </x:c>
      <x:c r="AJ138" s="43" t="n">
        <x:v>1059845.6866203048</x:v>
      </x:c>
      <x:c r="AK138" s="43" t="n">
        <x:v>5300736</x:v>
      </x:c>
      <x:c r="AL138" s="43" t="n">
        <x:v>0</x:v>
      </x:c>
      <x:c r="AM138" s="43" t="n">
        <x:v>591123.4537688259</x:v>
      </x:c>
      <x:c r="AN138" s="43" t="n">
        <x:v>431</x:v>
      </x:c>
      <x:c r="AO138" s="43" t="n">
        <x:v>1614</x:v>
      </x:c>
      <x:c r="AP138" s="43" t="n">
        <x:v>270724</x:v>
      </x:c>
      <x:c r="AQ138" s="43" t="n">
        <x:v>82824</x:v>
      </x:c>
      <x:c r="AR138" s="43" t="n">
        <x:v>1</x:v>
      </x:c>
      <x:c r="AS138" s="45" t="b">
        <x:v>1</x:v>
      </x:c>
      <x:c r="AT138" s="43" t="n">
        <x:v>10000</x:v>
      </x:c>
      <x:c r="AU138" s="48" t="n">
        <x:v>0.950382927955665</x:v>
      </x:c>
      <x:c r="AV138" s="43" t="n">
        <x:v>10000</x:v>
      </x:c>
      <x:c r="AW138" s="48" t="n">
        <x:v>0.950382927955665</x:v>
      </x:c>
      <x:c r="AX138" s="45" t="b">
        <x:v>1</x:v>
      </x:c>
      <x:c r="AY138" s="44" t="str">
        <x:v>{"provider":"jcs4","currentEntries":10000,"requestCount":5300736,"hitCount":5037729,"missCount":263007,"hitRate":0.950382927955665,"loadSuccessCount":0,"loadFailureCount":0,"totalLoadTimeNanos":0,"evictionCount":-1,"expirationCount":-1,"putCount":10000,"removeCount":0,"nativeMetrics":{"HitCountRam":5037729,"Composite.HitCountRam":5037729,"HitCountAux":0,"Composite.HitCountAux":0,"Put Count":10000,"Memory Cache.Put Count":10000,"Hit Count":5037729,"Memory Cache.Hit Count":5037729,"Miss Count":263007,"Memory Cache.Miss Count":263007,"Map Size":10000,"Memory Cache.Map Size":10000,"List Size":10000,"Memory Cache.List Size":10000}}</x:v>
      </x:c>
      <x:c r="AZ138" s="44" t="str">
        <x:v>{"provider":"jcs4","currentEntries":10000,"requestCount":5300736,"hitCount":5037729,"missCount":263007,"hitRate":0.950382927955665,"loadSuccessCount":0,"loadFailureCount":0,"totalLoadTimeNanos":0,"evictionCount":-1,"expirationCount":-1,"putCount":15000,"removeCount":0,"nativeMetrics":{"HitCountRam":5037729,"Composite.HitCountRam":5037729,"HitCountAux":0,"Composite.HitCountAux":0,"Put Count":15000,"Memory Cache.Put Count":15000,"Hit Count":5037729,"Memory Cache.Hit Count":5037729,"Miss Count":263007,"Memory Cache.Miss Count":263007,"Map Size":10000,"Memory Cache.Map Size":10000,"List Size":10000,"Memory Cache.List Size":10000}}</x:v>
      </x:c>
      <x:c r="BA138" s="43" t="n">
        <x:v>10000</x:v>
      </x:c>
      <x:c r="BB138" s="43" t="n">
        <x:v>5300736</x:v>
      </x:c>
      <x:c r="BC138" s="43" t="n">
        <x:v>5037729</x:v>
      </x:c>
      <x:c r="BD138" s="43" t="n">
        <x:v>263007</x:v>
      </x:c>
      <x:c r="BE138" s="48" t="n">
        <x:v>0.950382927955665</x:v>
      </x:c>
      <x:c r="BF138" s="43" t="n">
        <x:v>0</x:v>
      </x:c>
      <x:c r="BG138" s="43" t="n">
        <x:v>0</x:v>
      </x:c>
      <x:c r="BH138" s="43" t="n">
        <x:v>0</x:v>
      </x:c>
      <x:c r="BI138" s="43" t="n">
        <x:v>-1</x:v>
      </x:c>
      <x:c r="BJ138" s="43" t="n">
        <x:v>-1</x:v>
      </x:c>
      <x:c r="BK138" s="43" t="n">
        <x:v>15000</x:v>
      </x:c>
      <x:c r="BL138" s="43" t="n">
        <x:v>0</x:v>
      </x:c>
      <x:c r="BM138" s="44" t="str">
        <x:v>{"HitCountRam":5037729,"Composite.HitCountRam":5037729,"HitCountAux":0,"Composite.HitCountAux":0,"Put Count":15000,"Memory Cache.Put Count":15000,"Hit Count":5037729,"Memory Cache.Hit Count":5037729,"Miss Count":263007,"Memory Cache.Miss Count":263007,"Map Size":10000,"Memory Cache.Map Size":10000,"List Size":10000,"Memory Cache.List Size":10000}</x:v>
      </x:c>
    </x:row>
    <x:row r="139">
      <x:c r="A139" s="34" t="str">
        <x:v>article1-unified-v4-2-fb3f101b-20260903-000401-default-f03-p2-jcs4</x:v>
      </x:c>
      <x:c r="B139" s="34" t="str">
        <x:v>default</x:v>
      </x:c>
      <x:c r="C139" s="34" t="str">
        <x:v>jcs4</x:v>
      </x:c>
      <x:c r="D139" s="34" t="str">
        <x:v>jcs4</x:v>
      </x:c>
      <x:c r="E139" s="34" t="str">
        <x:v>current-provider-primary-comparison</x:v>
      </x:c>
      <x:c r="F139" s="36" t="n">
        <x:v>3</x:v>
      </x:c>
      <x:c r="G139" s="36" t="n">
        <x:v>3</x:v>
      </x:c>
      <x:c r="H139" s="36" t="n">
        <x:v>2</x:v>
      </x:c>
      <x:c r="I139" s="36" t="n">
        <x:v>4</x:v>
      </x:c>
      <x:c r="J139" s="34" t="str">
        <x:v>redeploy</x:v>
      </x:c>
      <x:c r="K139" s="34" t="str">
        <x:v>cache-semantics</x:v>
      </x:c>
      <x:c r="L139" s="45" t="b">
        <x:v>1</x:v>
      </x:c>
      <x:c r="M139" s="36" t="n">
        <x:v>1044467175</x:v>
      </x:c>
      <x:c r="N139" s="34" t="str">
        <x:v>bee84924253a095ac320cc2769fb40582cc17430c9efa7089bd385b7e0ed6e39</x:v>
      </x:c>
      <x:c r="O139" s="43" t="n">
        <x:v>10000</x:v>
      </x:c>
      <x:c r="P139" s="43" t="n">
        <x:v>400000</x:v>
      </x:c>
      <x:c r="Q139" s="36" t="n">
        <x:v>8</x:v>
      </x:c>
      <x:c r="R139" s="42" t="n">
        <x:v>95</x:v>
      </x:c>
      <x:c r="S139" s="43" t="n">
        <x:v>512</x:v>
      </x:c>
      <x:c r="T139" s="43" t="n">
        <x:v>50000</x:v>
      </x:c>
      <x:c r="U139" s="46" t="n">
        <x:v>3</x:v>
      </x:c>
      <x:c r="V139" s="46" t="n">
        <x:v>5</x:v>
      </x:c>
      <x:c r="W139" s="43" t="n">
        <x:v>300</x:v>
      </x:c>
      <x:c r="X139" s="34" t="str">
        <x:v>uniform</x:v>
      </x:c>
      <x:c r="Y139" s="42" t="n">
        <x:v>10</x:v>
      </x:c>
      <x:c r="Z139" s="34" t="str">
        <x:v>strict</x:v>
      </x:c>
      <x:c r="AA139" s="36" t="n">
        <x:v>64</x:v>
      </x:c>
      <x:c r="AB139" s="43" t="n">
        <x:v>2335232</x:v>
      </x:c>
      <x:c r="AC139" s="43" t="n">
        <x:v>3001538195</x:v>
      </x:c>
      <x:c r="AD139" s="43" t="n">
        <x:v>1538195</x:v>
      </x:c>
      <x:c r="AE139" s="43" t="n">
        <x:v>3987245.598778627</x:v>
      </x:c>
      <x:c r="AF139" s="43" t="n">
        <x:v>706788.6979981783</x:v>
      </x:c>
      <x:c r="AG139" s="43" t="n">
        <x:v>3534848</x:v>
      </x:c>
      <x:c r="AH139" s="43" t="n">
        <x:v>5001279746</x:v>
      </x:c>
      <x:c r="AI139" s="43" t="n">
        <x:v>1279746</x:v>
      </x:c>
      <x:c r="AJ139" s="43" t="n">
        <x:v>706788.6979981783</x:v>
      </x:c>
      <x:c r="AK139" s="43" t="n">
        <x:v>3534848</x:v>
      </x:c>
      <x:c r="AL139" s="43" t="n">
        <x:v>0</x:v>
      </x:c>
      <x:c r="AM139" s="43" t="n">
        <x:v>507909.0582736252</x:v>
      </x:c>
      <x:c r="AN139" s="43" t="n">
        <x:v>742</x:v>
      </x:c>
      <x:c r="AO139" s="43" t="n">
        <x:v>5542</x:v>
      </x:c>
      <x:c r="AP139" s="43" t="n">
        <x:v>304764</x:v>
      </x:c>
      <x:c r="AQ139" s="43" t="n">
        <x:v>55232</x:v>
      </x:c>
      <x:c r="AR139" s="43" t="n">
        <x:v>1</x:v>
      </x:c>
      <x:c r="AS139" s="45" t="b">
        <x:v>1</x:v>
      </x:c>
      <x:c r="AT139" s="43" t="n">
        <x:v>10000</x:v>
      </x:c>
      <x:c r="AU139" s="48" t="n">
        <x:v>0.9504023935399768</x:v>
      </x:c>
      <x:c r="AV139" s="43" t="n">
        <x:v>10000</x:v>
      </x:c>
      <x:c r="AW139" s="48" t="n">
        <x:v>0.9504023935399768</x:v>
      </x:c>
      <x:c r="AX139" s="45" t="b">
        <x:v>1</x:v>
      </x:c>
      <x:c r="AY139" s="44" t="str">
        <x:v>{"provider":"jcs4","currentEntries":10000,"requestCount":3534848,"hitCount":3359528,"missCount":175320,"hitRate":0.9504023935399768,"loadSuccessCount":0,"loadFailureCount":0,"totalLoadTimeNanos":0,"evictionCount":-1,"expirationCount":-1,"putCount":10000,"removeCount":0,"nativeMetrics":{"HitCountRam":3359528,"Composite.HitCountRam":3359528,"HitCountAux":0,"Composite.HitCountAux":0,"Put Count":10000,"Memory Cache.Put Count":10000,"Hit Count":3359528,"Memory Cache.Hit Count":3359528,"Miss Count":175320,"Memory Cache.Miss Count":175320,"Map Size":10000,"Memory Cache.Map Size":10000,"List Size":10000,"Memory Cache.List Size":10000}}</x:v>
      </x:c>
      <x:c r="AZ139" s="44" t="str">
        <x:v>{"provider":"jcs4","currentEntries":10000,"requestCount":3534848,"hitCount":3359528,"missCount":175320,"hitRate":0.9504023935399768,"loadSuccessCount":0,"loadFailureCount":0,"totalLoadTimeNanos":0,"evictionCount":-1,"expirationCount":-1,"putCount":15000,"removeCount":0,"nativeMetrics":{"HitCountRam":3359528,"Composite.HitCountRam":3359528,"HitCountAux":0,"Composite.HitCountAux":0,"Put Count":15000,"Memory Cache.Put Count":15000,"Hit Count":3359528,"Memory Cache.Hit Count":3359528,"Miss Count":175320,"Memory Cache.Miss Count":175320,"Map Size":10000,"Memory Cache.Map Size":10000,"List Size":10000,"Memory Cache.List Size":10000}}</x:v>
      </x:c>
      <x:c r="BA139" s="43" t="n">
        <x:v>10000</x:v>
      </x:c>
      <x:c r="BB139" s="43" t="n">
        <x:v>3534848</x:v>
      </x:c>
      <x:c r="BC139" s="43" t="n">
        <x:v>3359528</x:v>
      </x:c>
      <x:c r="BD139" s="43" t="n">
        <x:v>175320</x:v>
      </x:c>
      <x:c r="BE139" s="48" t="n">
        <x:v>0.9504023935399768</x:v>
      </x:c>
      <x:c r="BF139" s="43" t="n">
        <x:v>0</x:v>
      </x:c>
      <x:c r="BG139" s="43" t="n">
        <x:v>0</x:v>
      </x:c>
      <x:c r="BH139" s="43" t="n">
        <x:v>0</x:v>
      </x:c>
      <x:c r="BI139" s="43" t="n">
        <x:v>-1</x:v>
      </x:c>
      <x:c r="BJ139" s="43" t="n">
        <x:v>-1</x:v>
      </x:c>
      <x:c r="BK139" s="43" t="n">
        <x:v>15000</x:v>
      </x:c>
      <x:c r="BL139" s="43" t="n">
        <x:v>0</x:v>
      </x:c>
      <x:c r="BM139" s="44" t="str">
        <x:v>{"HitCountRam":3359528,"Composite.HitCountRam":3359528,"HitCountAux":0,"Composite.HitCountAux":0,"Put Count":15000,"Memory Cache.Put Count":15000,"Hit Count":3359528,"Memory Cache.Hit Count":3359528,"Miss Count":175320,"Memory Cache.Miss Count":175320,"Map Size":10000,"Memory Cache.Map Size":10000,"List Size":10000,"Memory Cache.List Size":10000}</x:v>
      </x:c>
    </x:row>
    <x:row r="140">
      <x:c r="A140" s="34" t="str">
        <x:v>article1-unified-v4-2-fb3f101b-20260903-000401-default-f03-p2-jcs4</x:v>
      </x:c>
      <x:c r="B140" s="34" t="str">
        <x:v>default</x:v>
      </x:c>
      <x:c r="C140" s="34" t="str">
        <x:v>jcs4</x:v>
      </x:c>
      <x:c r="D140" s="34" t="str">
        <x:v>jcs4</x:v>
      </x:c>
      <x:c r="E140" s="34" t="str">
        <x:v>current-provider-primary-comparison</x:v>
      </x:c>
      <x:c r="F140" s="36" t="n">
        <x:v>3</x:v>
      </x:c>
      <x:c r="G140" s="36" t="n">
        <x:v>3</x:v>
      </x:c>
      <x:c r="H140" s="36" t="n">
        <x:v>2</x:v>
      </x:c>
      <x:c r="I140" s="36" t="n">
        <x:v>5</x:v>
      </x:c>
      <x:c r="J140" s="34" t="str">
        <x:v>initial</x:v>
      </x:c>
      <x:c r="K140" s="34" t="str">
        <x:v>cache-semantics</x:v>
      </x:c>
      <x:c r="L140" s="45" t="b">
        <x:v>1</x:v>
      </x:c>
      <x:c r="M140" s="36" t="n">
        <x:v>583023952</x:v>
      </x:c>
      <x:c r="N140" s="34" t="str">
        <x:v>7b8fd907f7b5f8856529fb47dd9c623362c42635eee044a68e2710298a56122c</x:v>
      </x:c>
      <x:c r="O140" s="43" t="n">
        <x:v>10000</x:v>
      </x:c>
      <x:c r="P140" s="43" t="n">
        <x:v>400000</x:v>
      </x:c>
      <x:c r="Q140" s="36" t="n">
        <x:v>8</x:v>
      </x:c>
      <x:c r="R140" s="42" t="n">
        <x:v>95</x:v>
      </x:c>
      <x:c r="S140" s="43" t="n">
        <x:v>512</x:v>
      </x:c>
      <x:c r="T140" s="43" t="n">
        <x:v>50000</x:v>
      </x:c>
      <x:c r="U140" s="46" t="n">
        <x:v>3</x:v>
      </x:c>
      <x:c r="V140" s="46" t="n">
        <x:v>5</x:v>
      </x:c>
      <x:c r="W140" s="43" t="n">
        <x:v>300</x:v>
      </x:c>
      <x:c r="X140" s="34" t="str">
        <x:v>uniform</x:v>
      </x:c>
      <x:c r="Y140" s="42" t="n">
        <x:v>10</x:v>
      </x:c>
      <x:c r="Z140" s="34" t="str">
        <x:v>strict</x:v>
      </x:c>
      <x:c r="AA140" s="36" t="n">
        <x:v>64</x:v>
      </x:c>
      <x:c r="AB140" s="43" t="n">
        <x:v>1886208</x:v>
      </x:c>
      <x:c r="AC140" s="43" t="n">
        <x:v>3001457394</x:v>
      </x:c>
      <x:c r="AD140" s="43" t="n">
        <x:v>1457394</x:v>
      </x:c>
      <x:c r="AE140" s="43" t="n">
        <x:v>3761458.814094788</x:v>
      </x:c>
      <x:c r="AF140" s="43" t="n">
        <x:v>798638.0899947461</x:v>
      </x:c>
      <x:c r="AG140" s="43" t="n">
        <x:v>3994880</x:v>
      </x:c>
      <x:c r="AH140" s="43" t="n">
        <x:v>5002115539</x:v>
      </x:c>
      <x:c r="AI140" s="43" t="n">
        <x:v>2115539</x:v>
      </x:c>
      <x:c r="AJ140" s="43" t="n">
        <x:v>798638.0899947461</x:v>
      </x:c>
      <x:c r="AK140" s="43" t="n">
        <x:v>3994880</x:v>
      </x:c>
      <x:c r="AL140" s="43" t="n">
        <x:v>0</x:v>
      </x:c>
      <x:c r="AM140" s="43" t="n">
        <x:v>550729.9374591083</x:v>
      </x:c>
      <x:c r="AN140" s="43" t="n">
        <x:v>612</x:v>
      </x:c>
      <x:c r="AO140" s="43" t="n">
        <x:v>2936</x:v>
      </x:c>
      <x:c r="AP140" s="43" t="n">
        <x:v>304917</x:v>
      </x:c>
      <x:c r="AQ140" s="43" t="n">
        <x:v>62420</x:v>
      </x:c>
      <x:c r="AR140" s="43" t="n">
        <x:v>1</x:v>
      </x:c>
      <x:c r="AS140" s="45" t="b">
        <x:v>1</x:v>
      </x:c>
      <x:c r="AT140" s="43" t="n">
        <x:v>10000</x:v>
      </x:c>
      <x:c r="AU140" s="48" t="n">
        <x:v>0.9498235241108619</x:v>
      </x:c>
      <x:c r="AV140" s="43" t="n">
        <x:v>10000</x:v>
      </x:c>
      <x:c r="AW140" s="48" t="n">
        <x:v>0.9498235241108619</x:v>
      </x:c>
      <x:c r="AX140" s="45" t="b">
        <x:v>1</x:v>
      </x:c>
      <x:c r="AY140" s="44" t="str">
        <x:v>{"provider":"jcs4","currentEntries":10000,"requestCount":3994880,"hitCount":3794431,"missCount":200449,"hitRate":0.9498235241108619,"loadSuccessCount":0,"loadFailureCount":0,"totalLoadTimeNanos":0,"evictionCount":-1,"expirationCount":-1,"putCount":10000,"removeCount":0,"nativeMetrics":{"HitCountRam":3794431,"Composite.HitCountRam":3794431,"HitCountAux":0,"Composite.HitCountAux":0,"Put Count":10000,"Memory Cache.Put Count":10000,"Hit Count":3794431,"Memory Cache.Hit Count":3794431,"Miss Count":200449,"Memory Cache.Miss Count":200449,"Map Size":10000,"Memory Cache.Map Size":10000,"List Size":10000,"Memory Cache.List Size":10000}}</x:v>
      </x:c>
      <x:c r="AZ140" s="44" t="str">
        <x:v>{"provider":"jcs4","currentEntries":10000,"requestCount":3994880,"hitCount":3794431,"missCount":200449,"hitRate":0.9498235241108619,"loadSuccessCount":0,"loadFailureCount":0,"totalLoadTimeNanos":0,"evictionCount":-1,"expirationCount":-1,"putCount":15000,"removeCount":0,"nativeMetrics":{"HitCountRam":3794431,"Composite.HitCountRam":3794431,"HitCountAux":0,"Composite.HitCountAux":0,"Put Count":15000,"Memory Cache.Put Count":15000,"Hit Count":3794431,"Memory Cache.Hit Count":3794431,"Miss Count":200449,"Memory Cache.Miss Count":200449,"Map Size":10000,"Memory Cache.Map Size":10000,"List Size":10000,"Memory Cache.List Size":10000}}</x:v>
      </x:c>
      <x:c r="BA140" s="43" t="n">
        <x:v>10000</x:v>
      </x:c>
      <x:c r="BB140" s="43" t="n">
        <x:v>3994880</x:v>
      </x:c>
      <x:c r="BC140" s="43" t="n">
        <x:v>3794431</x:v>
      </x:c>
      <x:c r="BD140" s="43" t="n">
        <x:v>200449</x:v>
      </x:c>
      <x:c r="BE140" s="48" t="n">
        <x:v>0.9498235241108619</x:v>
      </x:c>
      <x:c r="BF140" s="43" t="n">
        <x:v>0</x:v>
      </x:c>
      <x:c r="BG140" s="43" t="n">
        <x:v>0</x:v>
      </x:c>
      <x:c r="BH140" s="43" t="n">
        <x:v>0</x:v>
      </x:c>
      <x:c r="BI140" s="43" t="n">
        <x:v>-1</x:v>
      </x:c>
      <x:c r="BJ140" s="43" t="n">
        <x:v>-1</x:v>
      </x:c>
      <x:c r="BK140" s="43" t="n">
        <x:v>15000</x:v>
      </x:c>
      <x:c r="BL140" s="43" t="n">
        <x:v>0</x:v>
      </x:c>
      <x:c r="BM140" s="44" t="str">
        <x:v>{"HitCountRam":3794431,"Composite.HitCountRam":3794431,"HitCountAux":0,"Composite.HitCountAux":0,"Put Count":15000,"Memory Cache.Put Count":15000,"Hit Count":3794431,"Memory Cache.Hit Count":3794431,"Miss Count":200449,"Memory Cache.Miss Count":200449,"Map Size":10000,"Memory Cache.Map Size":10000,"List Size":10000,"Memory Cache.List Size":10000}</x:v>
      </x:c>
    </x:row>
    <x:row r="141">
      <x:c r="A141" s="34" t="str">
        <x:v>article1-unified-v4-2-fb3f101b-20260903-000401-default-f03-p2-jcs4</x:v>
      </x:c>
      <x:c r="B141" s="34" t="str">
        <x:v>default</x:v>
      </x:c>
      <x:c r="C141" s="34" t="str">
        <x:v>jcs4</x:v>
      </x:c>
      <x:c r="D141" s="34" t="str">
        <x:v>jcs4</x:v>
      </x:c>
      <x:c r="E141" s="34" t="str">
        <x:v>current-provider-primary-comparison</x:v>
      </x:c>
      <x:c r="F141" s="36" t="n">
        <x:v>3</x:v>
      </x:c>
      <x:c r="G141" s="36" t="n">
        <x:v>3</x:v>
      </x:c>
      <x:c r="H141" s="36" t="n">
        <x:v>2</x:v>
      </x:c>
      <x:c r="I141" s="36" t="n">
        <x:v>5</x:v>
      </x:c>
      <x:c r="J141" s="34" t="str">
        <x:v>redeploy</x:v>
      </x:c>
      <x:c r="K141" s="34" t="str">
        <x:v>cache-semantics</x:v>
      </x:c>
      <x:c r="L141" s="45" t="b">
        <x:v>1</x:v>
      </x:c>
      <x:c r="M141" s="36" t="n">
        <x:v>583023952</x:v>
      </x:c>
      <x:c r="N141" s="34" t="str">
        <x:v>7b8fd907f7b5f8856529fb47dd9c623362c42635eee044a68e2710298a56122c</x:v>
      </x:c>
      <x:c r="O141" s="43" t="n">
        <x:v>10000</x:v>
      </x:c>
      <x:c r="P141" s="43" t="n">
        <x:v>400000</x:v>
      </x:c>
      <x:c r="Q141" s="36" t="n">
        <x:v>8</x:v>
      </x:c>
      <x:c r="R141" s="42" t="n">
        <x:v>95</x:v>
      </x:c>
      <x:c r="S141" s="43" t="n">
        <x:v>512</x:v>
      </x:c>
      <x:c r="T141" s="43" t="n">
        <x:v>50000</x:v>
      </x:c>
      <x:c r="U141" s="46" t="n">
        <x:v>3</x:v>
      </x:c>
      <x:c r="V141" s="46" t="n">
        <x:v>5</x:v>
      </x:c>
      <x:c r="W141" s="43" t="n">
        <x:v>300</x:v>
      </x:c>
      <x:c r="X141" s="34" t="str">
        <x:v>uniform</x:v>
      </x:c>
      <x:c r="Y141" s="42" t="n">
        <x:v>10</x:v>
      </x:c>
      <x:c r="Z141" s="34" t="str">
        <x:v>strict</x:v>
      </x:c>
      <x:c r="AA141" s="36" t="n">
        <x:v>64</x:v>
      </x:c>
      <x:c r="AB141" s="43" t="n">
        <x:v>2286336</x:v>
      </x:c>
      <x:c r="AC141" s="43" t="n">
        <x:v>3001160522</x:v>
      </x:c>
      <x:c r="AD141" s="43" t="n">
        <x:v>1160522</x:v>
      </x:c>
      <x:c r="AE141" s="43" t="n">
        <x:v>3743176.1898059836</x:v>
      </x:c>
      <x:c r="AF141" s="43" t="n">
        <x:v>740436.3563703626</x:v>
      </x:c>
      <x:c r="AG141" s="43" t="n">
        <x:v>3703808</x:v>
      </x:c>
      <x:c r="AH141" s="43" t="n">
        <x:v>5002196297</x:v>
      </x:c>
      <x:c r="AI141" s="43" t="n">
        <x:v>2196297</x:v>
      </x:c>
      <x:c r="AJ141" s="43" t="n">
        <x:v>740436.3563703626</x:v>
      </x:c>
      <x:c r="AK141" s="43" t="n">
        <x:v>3703808</x:v>
      </x:c>
      <x:c r="AL141" s="43" t="n">
        <x:v>0</x:v>
      </x:c>
      <x:c r="AM141" s="43" t="n">
        <x:v>458130.4922401399</x:v>
      </x:c>
      <x:c r="AN141" s="43" t="n">
        <x:v>732</x:v>
      </x:c>
      <x:c r="AO141" s="43" t="n">
        <x:v>2846</x:v>
      </x:c>
      <x:c r="AP141" s="43" t="n">
        <x:v>286286</x:v>
      </x:c>
      <x:c r="AQ141" s="43" t="n">
        <x:v>57872</x:v>
      </x:c>
      <x:c r="AR141" s="43" t="n">
        <x:v>1</x:v>
      </x:c>
      <x:c r="AS141" s="45" t="b">
        <x:v>1</x:v>
      </x:c>
      <x:c r="AT141" s="43" t="n">
        <x:v>10000</x:v>
      </x:c>
      <x:c r="AU141" s="48" t="n">
        <x:v>0.9497995036459773</x:v>
      </x:c>
      <x:c r="AV141" s="43" t="n">
        <x:v>10000</x:v>
      </x:c>
      <x:c r="AW141" s="48" t="n">
        <x:v>0.9497995036459773</x:v>
      </x:c>
      <x:c r="AX141" s="45" t="b">
        <x:v>1</x:v>
      </x:c>
      <x:c r="AY141" s="44" t="str">
        <x:v>{"provider":"jcs4","currentEntries":10000,"requestCount":3703808,"hitCount":3517875,"missCount":185933,"hitRate":0.9497995036459773,"loadSuccessCount":0,"loadFailureCount":0,"totalLoadTimeNanos":0,"evictionCount":-1,"expirationCount":-1,"putCount":10000,"removeCount":0,"nativeMetrics":{"HitCountRam":3517875,"Composite.HitCountRam":3517875,"HitCountAux":0,"Composite.HitCountAux":0,"Put Count":10000,"Memory Cache.Put Count":10000,"Hit Count":3517875,"Memory Cache.Hit Count":3517875,"Miss Count":185933,"Memory Cache.Miss Count":185933,"Map Size":10000,"Memory Cache.Map Size":10000,"List Size":10000,"Memory Cache.List Size":10000}}</x:v>
      </x:c>
      <x:c r="AZ141" s="44" t="str">
        <x:v>{"provider":"jcs4","currentEntries":10000,"requestCount":3703808,"hitCount":3517875,"missCount":185933,"hitRate":0.9497995036459773,"loadSuccessCount":0,"loadFailureCount":0,"totalLoadTimeNanos":0,"evictionCount":-1,"expirationCount":-1,"putCount":15000,"removeCount":0,"nativeMetrics":{"HitCountRam":3517875,"Composite.HitCountRam":3517875,"HitCountAux":0,"Composite.HitCountAux":0,"Put Count":15000,"Memory Cache.Put Count":15000,"Hit Count":3517875,"Memory Cache.Hit Count":3517875,"Miss Count":185933,"Memory Cache.Miss Count":185933,"Map Size":10000,"Memory Cache.Map Size":10000,"List Size":10000,"Memory Cache.List Size":10000}}</x:v>
      </x:c>
      <x:c r="BA141" s="43" t="n">
        <x:v>10000</x:v>
      </x:c>
      <x:c r="BB141" s="43" t="n">
        <x:v>3703808</x:v>
      </x:c>
      <x:c r="BC141" s="43" t="n">
        <x:v>3517875</x:v>
      </x:c>
      <x:c r="BD141" s="43" t="n">
        <x:v>185933</x:v>
      </x:c>
      <x:c r="BE141" s="48" t="n">
        <x:v>0.9497995036459773</x:v>
      </x:c>
      <x:c r="BF141" s="43" t="n">
        <x:v>0</x:v>
      </x:c>
      <x:c r="BG141" s="43" t="n">
        <x:v>0</x:v>
      </x:c>
      <x:c r="BH141" s="43" t="n">
        <x:v>0</x:v>
      </x:c>
      <x:c r="BI141" s="43" t="n">
        <x:v>-1</x:v>
      </x:c>
      <x:c r="BJ141" s="43" t="n">
        <x:v>-1</x:v>
      </x:c>
      <x:c r="BK141" s="43" t="n">
        <x:v>15000</x:v>
      </x:c>
      <x:c r="BL141" s="43" t="n">
        <x:v>0</x:v>
      </x:c>
      <x:c r="BM141" s="44" t="str">
        <x:v>{"HitCountRam":3517875,"Composite.HitCountRam":3517875,"HitCountAux":0,"Composite.HitCountAux":0,"Put Count":15000,"Memory Cache.Put Count":15000,"Hit Count":3517875,"Memory Cache.Hit Count":3517875,"Miss Count":185933,"Memory Cache.Miss Count":185933,"Map Size":10000,"Memory Cache.Map Size":10000,"List Size":10000,"Memory Cache.List Size":10000}</x:v>
      </x:c>
    </x:row>
    <x:row r="142">
      <x:c r="A142" s="34" t="str">
        <x:v>article1-unified-v4-2-fb3f101b-20260903-000401-default-f03-p3-ehcache</x:v>
      </x:c>
      <x:c r="B142" s="34" t="str">
        <x:v>default</x:v>
      </x:c>
      <x:c r="C142" s="34" t="str">
        <x:v>ehcache</x:v>
      </x:c>
      <x:c r="D142" s="34" t="str">
        <x:v>ehcache</x:v>
      </x:c>
      <x:c r="E142" s="34" t="str">
        <x:v>current-provider-primary-comparison</x:v>
      </x:c>
      <x:c r="F142" s="36" t="n">
        <x:v>3</x:v>
      </x:c>
      <x:c r="G142" s="36" t="n">
        <x:v>3</x:v>
      </x:c>
      <x:c r="H142" s="36" t="n">
        <x:v>3</x:v>
      </x:c>
      <x:c r="I142" s="36" t="n">
        <x:v>1</x:v>
      </x:c>
      <x:c r="J142" s="34" t="str">
        <x:v>initial</x:v>
      </x:c>
      <x:c r="K142" s="34" t="str">
        <x:v>cache-semantics</x:v>
      </x:c>
      <x:c r="L142" s="45" t="b">
        <x:v>1</x:v>
      </x:c>
      <x:c r="M142" s="36" t="n">
        <x:v>142609922</x:v>
      </x:c>
      <x:c r="N142" s="34" t="str">
        <x:v>9ea92208df3b3b8b50bff1fcadf8cbf654073a5a10974202aa936e2af3f41e70</x:v>
      </x:c>
      <x:c r="O142" s="43" t="n">
        <x:v>10000</x:v>
      </x:c>
      <x:c r="P142" s="43" t="n">
        <x:v>400000</x:v>
      </x:c>
      <x:c r="Q142" s="36" t="n">
        <x:v>8</x:v>
      </x:c>
      <x:c r="R142" s="42" t="n">
        <x:v>95</x:v>
      </x:c>
      <x:c r="S142" s="43" t="n">
        <x:v>512</x:v>
      </x:c>
      <x:c r="T142" s="43" t="n">
        <x:v>50000</x:v>
      </x:c>
      <x:c r="U142" s="46" t="n">
        <x:v>3</x:v>
      </x:c>
      <x:c r="V142" s="46" t="n">
        <x:v>5</x:v>
      </x:c>
      <x:c r="W142" s="43" t="n">
        <x:v>300</x:v>
      </x:c>
      <x:c r="X142" s="34" t="str">
        <x:v>uniform</x:v>
      </x:c>
      <x:c r="Y142" s="42" t="n">
        <x:v>10</x:v>
      </x:c>
      <x:c r="Z142" s="34" t="str">
        <x:v>strict</x:v>
      </x:c>
      <x:c r="AA142" s="36" t="n">
        <x:v>64</x:v>
      </x:c>
      <x:c r="AB142" s="43" t="n">
        <x:v>69786880</x:v>
      </x:c>
      <x:c r="AC142" s="43" t="n">
        <x:v>3000590073</x:v>
      </x:c>
      <x:c r="AD142" s="43" t="n">
        <x:v>590073</x:v>
      </x:c>
      <x:c r="AE142" s="43" t="n">
        <x:v>1642466.8340778362</x:v>
      </x:c>
      <x:c r="AF142" s="43" t="n">
        <x:v>22494054.347726513</x:v>
      </x:c>
      <x:c r="AG142" s="43" t="n">
        <x:v>112525824</x:v>
      </x:c>
      <x:c r="AH142" s="43" t="n">
        <x:v>5002469642</x:v>
      </x:c>
      <x:c r="AI142" s="43" t="n">
        <x:v>2469642</x:v>
      </x:c>
      <x:c r="AJ142" s="43" t="n">
        <x:v>22494054.347726513</x:v>
      </x:c>
      <x:c r="AK142" s="43" t="n">
        <x:v>112525824</x:v>
      </x:c>
      <x:c r="AL142" s="43" t="n">
        <x:v>0</x:v>
      </x:c>
      <x:c r="AM142" s="43" t="n">
        <x:v>262003.68576304984</x:v>
      </x:c>
      <x:c r="AN142" s="43" t="n">
        <x:v>180</x:v>
      </x:c>
      <x:c r="AO142" s="43" t="n">
        <x:v>331</x:v>
      </x:c>
      <x:c r="AP142" s="43" t="n">
        <x:v>601</x:v>
      </x:c>
      <x:c r="AQ142" s="43" t="n">
        <x:v>1758216</x:v>
      </x:c>
      <x:c r="AR142" s="43" t="n">
        <x:v>1</x:v>
      </x:c>
      <x:c r="AS142" s="45" t="b">
        <x:v>1</x:v>
      </x:c>
      <x:c r="AT142" s="43" t="n">
        <x:v>10000</x:v>
      </x:c>
      <x:c r="AU142" s="48" t="n">
        <x:v>0.9489529532349836</x:v>
      </x:c>
      <x:c r="AV142" s="43" t="n">
        <x:v>10000</x:v>
      </x:c>
      <x:c r="AW142" s="48" t="n">
        <x:v>0.9489529532349836</x:v>
      </x:c>
      <x:c r="AX142" s="45" t="b">
        <x:v>1</x:v>
      </x:c>
      <x:c r="AY142" s="44" t="str">
        <x:v>{"provider":"ehcache","currentEntries":10000,"requestCount":112525824,"hitCount":106781713,"missCount":5744111,"hitRate":0.9489529532349836,"loadSuccessCount":0,"loadFailureCount":0,"totalLoadTimeNanos":0,"evictionCount":-1,"expirationCount":-1,"putCount":10000,"removeCount":0,"nativeMetrics":{"mappings":10000}}</x:v>
      </x:c>
      <x:c r="AZ142" s="44" t="str">
        <x:v>{"provider":"ehcache","currentEntries":10000,"requestCount":112525824,"hitCount":106781713,"missCount":5744111,"hitRate":0.9489529532349836,"loadSuccessCount":0,"loadFailureCount":0,"totalLoadTimeNanos":0,"evictionCount":-1,"expirationCount":-1,"putCount":15000,"removeCount":0,"nativeMetrics":{"mappings":10000}}</x:v>
      </x:c>
      <x:c r="BA142" s="43" t="n">
        <x:v>10000</x:v>
      </x:c>
      <x:c r="BB142" s="43" t="n">
        <x:v>112525824</x:v>
      </x:c>
      <x:c r="BC142" s="43" t="n">
        <x:v>106781713</x:v>
      </x:c>
      <x:c r="BD142" s="43" t="n">
        <x:v>5744111</x:v>
      </x:c>
      <x:c r="BE142" s="48" t="n">
        <x:v>0.9489529532349836</x:v>
      </x:c>
      <x:c r="BF142" s="43" t="n">
        <x:v>0</x:v>
      </x:c>
      <x:c r="BG142" s="43" t="n">
        <x:v>0</x:v>
      </x:c>
      <x:c r="BH142" s="43" t="n">
        <x:v>0</x:v>
      </x:c>
      <x:c r="BI142" s="43" t="n">
        <x:v>-1</x:v>
      </x:c>
      <x:c r="BJ142" s="43" t="n">
        <x:v>-1</x:v>
      </x:c>
      <x:c r="BK142" s="43" t="n">
        <x:v>15000</x:v>
      </x:c>
      <x:c r="BL142" s="43" t="n">
        <x:v>0</x:v>
      </x:c>
      <x:c r="BM142" s="44" t="str">
        <x:v>{"mappings":10000}</x:v>
      </x:c>
    </x:row>
    <x:row r="143">
      <x:c r="A143" s="34" t="str">
        <x:v>article1-unified-v4-2-fb3f101b-20260903-000401-default-f03-p3-ehcache</x:v>
      </x:c>
      <x:c r="B143" s="34" t="str">
        <x:v>default</x:v>
      </x:c>
      <x:c r="C143" s="34" t="str">
        <x:v>ehcache</x:v>
      </x:c>
      <x:c r="D143" s="34" t="str">
        <x:v>ehcache</x:v>
      </x:c>
      <x:c r="E143" s="34" t="str">
        <x:v>current-provider-primary-comparison</x:v>
      </x:c>
      <x:c r="F143" s="36" t="n">
        <x:v>3</x:v>
      </x:c>
      <x:c r="G143" s="36" t="n">
        <x:v>3</x:v>
      </x:c>
      <x:c r="H143" s="36" t="n">
        <x:v>3</x:v>
      </x:c>
      <x:c r="I143" s="36" t="n">
        <x:v>1</x:v>
      </x:c>
      <x:c r="J143" s="34" t="str">
        <x:v>redeploy</x:v>
      </x:c>
      <x:c r="K143" s="34" t="str">
        <x:v>cache-semantics</x:v>
      </x:c>
      <x:c r="L143" s="45" t="b">
        <x:v>1</x:v>
      </x:c>
      <x:c r="M143" s="36" t="n">
        <x:v>142609922</x:v>
      </x:c>
      <x:c r="N143" s="34" t="str">
        <x:v>9ea92208df3b3b8b50bff1fcadf8cbf654073a5a10974202aa936e2af3f41e70</x:v>
      </x:c>
      <x:c r="O143" s="43" t="n">
        <x:v>10000</x:v>
      </x:c>
      <x:c r="P143" s="43" t="n">
        <x:v>400000</x:v>
      </x:c>
      <x:c r="Q143" s="36" t="n">
        <x:v>8</x:v>
      </x:c>
      <x:c r="R143" s="42" t="n">
        <x:v>95</x:v>
      </x:c>
      <x:c r="S143" s="43" t="n">
        <x:v>512</x:v>
      </x:c>
      <x:c r="T143" s="43" t="n">
        <x:v>50000</x:v>
      </x:c>
      <x:c r="U143" s="46" t="n">
        <x:v>3</x:v>
      </x:c>
      <x:c r="V143" s="46" t="n">
        <x:v>5</x:v>
      </x:c>
      <x:c r="W143" s="43" t="n">
        <x:v>300</x:v>
      </x:c>
      <x:c r="X143" s="34" t="str">
        <x:v>uniform</x:v>
      </x:c>
      <x:c r="Y143" s="42" t="n">
        <x:v>10</x:v>
      </x:c>
      <x:c r="Z143" s="34" t="str">
        <x:v>strict</x:v>
      </x:c>
      <x:c r="AA143" s="36" t="n">
        <x:v>64</x:v>
      </x:c>
      <x:c r="AB143" s="43" t="n">
        <x:v>68750336</x:v>
      </x:c>
      <x:c r="AC143" s="43" t="n">
        <x:v>3000471798</x:v>
      </x:c>
      <x:c r="AD143" s="43" t="n">
        <x:v>471798</x:v>
      </x:c>
      <x:c r="AE143" s="43" t="n">
        <x:v>1479531.3495678364</x:v>
      </x:c>
      <x:c r="AF143" s="43" t="n">
        <x:v>20242861.03907189</x:v>
      </x:c>
      <x:c r="AG143" s="43" t="n">
        <x:v>101258752</x:v>
      </x:c>
      <x:c r="AH143" s="43" t="n">
        <x:v>5002195678</x:v>
      </x:c>
      <x:c r="AI143" s="43" t="n">
        <x:v>2195678</x:v>
      </x:c>
      <x:c r="AJ143" s="43" t="n">
        <x:v>20242861.03907189</x:v>
      </x:c>
      <x:c r="AK143" s="43" t="n">
        <x:v>101258752</x:v>
      </x:c>
      <x:c r="AL143" s="43" t="n">
        <x:v>0</x:v>
      </x:c>
      <x:c r="AM143" s="43" t="n">
        <x:v>249444.31290414344</x:v>
      </x:c>
      <x:c r="AN143" s="43" t="n">
        <x:v>200</x:v>
      </x:c>
      <x:c r="AO143" s="43" t="n">
        <x:v>361</x:v>
      </x:c>
      <x:c r="AP143" s="43" t="n">
        <x:v>632</x:v>
      </x:c>
      <x:c r="AQ143" s="43" t="n">
        <x:v>1582168</x:v>
      </x:c>
      <x:c r="AR143" s="43" t="n">
        <x:v>1</x:v>
      </x:c>
      <x:c r="AS143" s="45" t="b">
        <x:v>1</x:v>
      </x:c>
      <x:c r="AT143" s="43" t="n">
        <x:v>10000</x:v>
      </x:c>
      <x:c r="AU143" s="48" t="n">
        <x:v>0.9489621005797109</x:v>
      </x:c>
      <x:c r="AV143" s="43" t="n">
        <x:v>10000</x:v>
      </x:c>
      <x:c r="AW143" s="48" t="n">
        <x:v>0.9489621005797109</x:v>
      </x:c>
      <x:c r="AX143" s="45" t="b">
        <x:v>1</x:v>
      </x:c>
      <x:c r="AY143" s="44" t="str">
        <x:v>{"provider":"ehcache","currentEntries":10000,"requestCount":101258752,"hitCount":96090718,"missCount":5168034,"hitRate":0.9489621005797109,"loadSuccessCount":0,"loadFailureCount":0,"totalLoadTimeNanos":0,"evictionCount":-1,"expirationCount":-1,"putCount":10000,"removeCount":0,"nativeMetrics":{"mappings":10000}}</x:v>
      </x:c>
      <x:c r="AZ143" s="44" t="str">
        <x:v>{"provider":"ehcache","currentEntries":10000,"requestCount":101258752,"hitCount":96090718,"missCount":5168034,"hitRate":0.9489621005797109,"loadSuccessCount":0,"loadFailureCount":0,"totalLoadTimeNanos":0,"evictionCount":-1,"expirationCount":-1,"putCount":15000,"removeCount":0,"nativeMetrics":{"mappings":10000}}</x:v>
      </x:c>
      <x:c r="BA143" s="43" t="n">
        <x:v>10000</x:v>
      </x:c>
      <x:c r="BB143" s="43" t="n">
        <x:v>101258752</x:v>
      </x:c>
      <x:c r="BC143" s="43" t="n">
        <x:v>96090718</x:v>
      </x:c>
      <x:c r="BD143" s="43" t="n">
        <x:v>5168034</x:v>
      </x:c>
      <x:c r="BE143" s="48" t="n">
        <x:v>0.9489621005797109</x:v>
      </x:c>
      <x:c r="BF143" s="43" t="n">
        <x:v>0</x:v>
      </x:c>
      <x:c r="BG143" s="43" t="n">
        <x:v>0</x:v>
      </x:c>
      <x:c r="BH143" s="43" t="n">
        <x:v>0</x:v>
      </x:c>
      <x:c r="BI143" s="43" t="n">
        <x:v>-1</x:v>
      </x:c>
      <x:c r="BJ143" s="43" t="n">
        <x:v>-1</x:v>
      </x:c>
      <x:c r="BK143" s="43" t="n">
        <x:v>15000</x:v>
      </x:c>
      <x:c r="BL143" s="43" t="n">
        <x:v>0</x:v>
      </x:c>
      <x:c r="BM143" s="44" t="str">
        <x:v>{"mappings":10000}</x:v>
      </x:c>
    </x:row>
    <x:row r="144">
      <x:c r="A144" s="34" t="str">
        <x:v>article1-unified-v4-2-fb3f101b-20260903-000401-default-f03-p3-ehcache</x:v>
      </x:c>
      <x:c r="B144" s="34" t="str">
        <x:v>default</x:v>
      </x:c>
      <x:c r="C144" s="34" t="str">
        <x:v>ehcache</x:v>
      </x:c>
      <x:c r="D144" s="34" t="str">
        <x:v>ehcache</x:v>
      </x:c>
      <x:c r="E144" s="34" t="str">
        <x:v>current-provider-primary-comparison</x:v>
      </x:c>
      <x:c r="F144" s="36" t="n">
        <x:v>3</x:v>
      </x:c>
      <x:c r="G144" s="36" t="n">
        <x:v>3</x:v>
      </x:c>
      <x:c r="H144" s="36" t="n">
        <x:v>3</x:v>
      </x:c>
      <x:c r="I144" s="36" t="n">
        <x:v>2</x:v>
      </x:c>
      <x:c r="J144" s="34" t="str">
        <x:v>initial</x:v>
      </x:c>
      <x:c r="K144" s="34" t="str">
        <x:v>cache-semantics</x:v>
      </x:c>
      <x:c r="L144" s="45" t="b">
        <x:v>1</x:v>
      </x:c>
      <x:c r="M144" s="36" t="n">
        <x:v>1808793809</x:v>
      </x:c>
      <x:c r="N144" s="34" t="str">
        <x:v>e98ae77b89ca281ab6e3fa243d388f2afaa7d447b25249b9af400b47f86b2473</x:v>
      </x:c>
      <x:c r="O144" s="43" t="n">
        <x:v>10000</x:v>
      </x:c>
      <x:c r="P144" s="43" t="n">
        <x:v>400000</x:v>
      </x:c>
      <x:c r="Q144" s="36" t="n">
        <x:v>8</x:v>
      </x:c>
      <x:c r="R144" s="42" t="n">
        <x:v>95</x:v>
      </x:c>
      <x:c r="S144" s="43" t="n">
        <x:v>512</x:v>
      </x:c>
      <x:c r="T144" s="43" t="n">
        <x:v>50000</x:v>
      </x:c>
      <x:c r="U144" s="46" t="n">
        <x:v>3</x:v>
      </x:c>
      <x:c r="V144" s="46" t="n">
        <x:v>5</x:v>
      </x:c>
      <x:c r="W144" s="43" t="n">
        <x:v>300</x:v>
      </x:c>
      <x:c r="X144" s="34" t="str">
        <x:v>uniform</x:v>
      </x:c>
      <x:c r="Y144" s="42" t="n">
        <x:v>10</x:v>
      </x:c>
      <x:c r="Z144" s="34" t="str">
        <x:v>strict</x:v>
      </x:c>
      <x:c r="AA144" s="36" t="n">
        <x:v>64</x:v>
      </x:c>
      <x:c r="AB144" s="43" t="n">
        <x:v>72373504</x:v>
      </x:c>
      <x:c r="AC144" s="43" t="n">
        <x:v>3015437808</x:v>
      </x:c>
      <x:c r="AD144" s="43" t="n">
        <x:v>15437808</x:v>
      </x:c>
      <x:c r="AE144" s="43" t="n">
        <x:v>1582635.5756852734</x:v>
      </x:c>
      <x:c r="AF144" s="43" t="n">
        <x:v>24057634.529491935</x:v>
      </x:c>
      <x:c r="AG144" s="43" t="n">
        <x:v>120336640</x:v>
      </x:c>
      <x:c r="AH144" s="43" t="n">
        <x:v>5002014635</x:v>
      </x:c>
      <x:c r="AI144" s="43" t="n">
        <x:v>2014635</x:v>
      </x:c>
      <x:c r="AJ144" s="43" t="n">
        <x:v>24057634.529491935</x:v>
      </x:c>
      <x:c r="AK144" s="43" t="n">
        <x:v>120336640</x:v>
      </x:c>
      <x:c r="AL144" s="43" t="n">
        <x:v>0</x:v>
      </x:c>
      <x:c r="AM144" s="43" t="n">
        <x:v>263207.9735170665</x:v>
      </x:c>
      <x:c r="AN144" s="43" t="n">
        <x:v>171</x:v>
      </x:c>
      <x:c r="AO144" s="43" t="n">
        <x:v>301</x:v>
      </x:c>
      <x:c r="AP144" s="43" t="n">
        <x:v>541</x:v>
      </x:c>
      <x:c r="AQ144" s="43" t="n">
        <x:v>1880260</x:v>
      </x:c>
      <x:c r="AR144" s="43" t="n">
        <x:v>1</x:v>
      </x:c>
      <x:c r="AS144" s="45" t="b">
        <x:v>1</x:v>
      </x:c>
      <x:c r="AT144" s="43" t="n">
        <x:v>10000</x:v>
      </x:c>
      <x:c r="AU144" s="48" t="n">
        <x:v>0.9500525941226213</x:v>
      </x:c>
      <x:c r="AV144" s="43" t="n">
        <x:v>10000</x:v>
      </x:c>
      <x:c r="AW144" s="48" t="n">
        <x:v>0.9500525941226213</x:v>
      </x:c>
      <x:c r="AX144" s="45" t="b">
        <x:v>1</x:v>
      </x:c>
      <x:c r="AY144" s="44" t="str">
        <x:v>{"provider":"ehcache","currentEntries":10000,"requestCount":120336640,"hitCount":114326137,"missCount":6010503,"hitRate":0.9500525941226213,"loadSuccessCount":0,"loadFailureCount":0,"totalLoadTimeNanos":0,"evictionCount":-1,"expirationCount":-1,"putCount":10000,"removeCount":0,"nativeMetrics":{"mappings":10000}}</x:v>
      </x:c>
      <x:c r="AZ144" s="44" t="str">
        <x:v>{"provider":"ehcache","currentEntries":10000,"requestCount":120336640,"hitCount":114326137,"missCount":6010503,"hitRate":0.9500525941226213,"loadSuccessCount":0,"loadFailureCount":0,"totalLoadTimeNanos":0,"evictionCount":-1,"expirationCount":-1,"putCount":15000,"removeCount":0,"nativeMetrics":{"mappings":10000}}</x:v>
      </x:c>
      <x:c r="BA144" s="43" t="n">
        <x:v>10000</x:v>
      </x:c>
      <x:c r="BB144" s="43" t="n">
        <x:v>120336640</x:v>
      </x:c>
      <x:c r="BC144" s="43" t="n">
        <x:v>114326137</x:v>
      </x:c>
      <x:c r="BD144" s="43" t="n">
        <x:v>6010503</x:v>
      </x:c>
      <x:c r="BE144" s="48" t="n">
        <x:v>0.9500525941226213</x:v>
      </x:c>
      <x:c r="BF144" s="43" t="n">
        <x:v>0</x:v>
      </x:c>
      <x:c r="BG144" s="43" t="n">
        <x:v>0</x:v>
      </x:c>
      <x:c r="BH144" s="43" t="n">
        <x:v>0</x:v>
      </x:c>
      <x:c r="BI144" s="43" t="n">
        <x:v>-1</x:v>
      </x:c>
      <x:c r="BJ144" s="43" t="n">
        <x:v>-1</x:v>
      </x:c>
      <x:c r="BK144" s="43" t="n">
        <x:v>15000</x:v>
      </x:c>
      <x:c r="BL144" s="43" t="n">
        <x:v>0</x:v>
      </x:c>
      <x:c r="BM144" s="44" t="str">
        <x:v>{"mappings":10000}</x:v>
      </x:c>
    </x:row>
    <x:row r="145">
      <x:c r="A145" s="34" t="str">
        <x:v>article1-unified-v4-2-fb3f101b-20260903-000401-default-f03-p3-ehcache</x:v>
      </x:c>
      <x:c r="B145" s="34" t="str">
        <x:v>default</x:v>
      </x:c>
      <x:c r="C145" s="34" t="str">
        <x:v>ehcache</x:v>
      </x:c>
      <x:c r="D145" s="34" t="str">
        <x:v>ehcache</x:v>
      </x:c>
      <x:c r="E145" s="34" t="str">
        <x:v>current-provider-primary-comparison</x:v>
      </x:c>
      <x:c r="F145" s="36" t="n">
        <x:v>3</x:v>
      </x:c>
      <x:c r="G145" s="36" t="n">
        <x:v>3</x:v>
      </x:c>
      <x:c r="H145" s="36" t="n">
        <x:v>3</x:v>
      </x:c>
      <x:c r="I145" s="36" t="n">
        <x:v>2</x:v>
      </x:c>
      <x:c r="J145" s="34" t="str">
        <x:v>redeploy</x:v>
      </x:c>
      <x:c r="K145" s="34" t="str">
        <x:v>cache-semantics</x:v>
      </x:c>
      <x:c r="L145" s="45" t="b">
        <x:v>1</x:v>
      </x:c>
      <x:c r="M145" s="36" t="n">
        <x:v>1808793809</x:v>
      </x:c>
      <x:c r="N145" s="34" t="str">
        <x:v>e98ae77b89ca281ab6e3fa243d388f2afaa7d447b25249b9af400b47f86b2473</x:v>
      </x:c>
      <x:c r="O145" s="43" t="n">
        <x:v>10000</x:v>
      </x:c>
      <x:c r="P145" s="43" t="n">
        <x:v>400000</x:v>
      </x:c>
      <x:c r="Q145" s="36" t="n">
        <x:v>8</x:v>
      </x:c>
      <x:c r="R145" s="42" t="n">
        <x:v>95</x:v>
      </x:c>
      <x:c r="S145" s="43" t="n">
        <x:v>512</x:v>
      </x:c>
      <x:c r="T145" s="43" t="n">
        <x:v>50000</x:v>
      </x:c>
      <x:c r="U145" s="46" t="n">
        <x:v>3</x:v>
      </x:c>
      <x:c r="V145" s="46" t="n">
        <x:v>5</x:v>
      </x:c>
      <x:c r="W145" s="43" t="n">
        <x:v>300</x:v>
      </x:c>
      <x:c r="X145" s="34" t="str">
        <x:v>uniform</x:v>
      </x:c>
      <x:c r="Y145" s="42" t="n">
        <x:v>10</x:v>
      </x:c>
      <x:c r="Z145" s="34" t="str">
        <x:v>strict</x:v>
      </x:c>
      <x:c r="AA145" s="36" t="n">
        <x:v>64</x:v>
      </x:c>
      <x:c r="AB145" s="43" t="n">
        <x:v>67069440</x:v>
      </x:c>
      <x:c r="AC145" s="43" t="n">
        <x:v>3000600398</x:v>
      </x:c>
      <x:c r="AD145" s="43" t="n">
        <x:v>600398</x:v>
      </x:c>
      <x:c r="AE145" s="43" t="n">
        <x:v>2291207.4227788635</x:v>
      </x:c>
      <x:c r="AF145" s="43" t="n">
        <x:v>23323853.70604944</x:v>
      </x:c>
      <x:c r="AG145" s="43" t="n">
        <x:v>116666624</x:v>
      </x:c>
      <x:c r="AH145" s="43" t="n">
        <x:v>5002030345</x:v>
      </x:c>
      <x:c r="AI145" s="43" t="n">
        <x:v>2030345</x:v>
      </x:c>
      <x:c r="AJ145" s="43" t="n">
        <x:v>23323853.70604944</x:v>
      </x:c>
      <x:c r="AK145" s="43" t="n">
        <x:v>116666624</x:v>
      </x:c>
      <x:c r="AL145" s="43" t="n">
        <x:v>0</x:v>
      </x:c>
      <x:c r="AM145" s="43" t="n">
        <x:v>350216.4512777122</x:v>
      </x:c>
      <x:c r="AN145" s="43" t="n">
        <x:v>180</x:v>
      </x:c>
      <x:c r="AO145" s="43" t="n">
        <x:v>331</x:v>
      </x:c>
      <x:c r="AP145" s="43" t="n">
        <x:v>551</x:v>
      </x:c>
      <x:c r="AQ145" s="43" t="n">
        <x:v>1822916</x:v>
      </x:c>
      <x:c r="AR145" s="43" t="n">
        <x:v>1</x:v>
      </x:c>
      <x:c r="AS145" s="45" t="b">
        <x:v>1</x:v>
      </x:c>
      <x:c r="AT145" s="43" t="n">
        <x:v>10000</x:v>
      </x:c>
      <x:c r="AU145" s="48" t="n">
        <x:v>0.9500560588776444</x:v>
      </x:c>
      <x:c r="AV145" s="43" t="n">
        <x:v>10000</x:v>
      </x:c>
      <x:c r="AW145" s="48" t="n">
        <x:v>0.9500560588776444</x:v>
      </x:c>
      <x:c r="AX145" s="45" t="b">
        <x:v>1</x:v>
      </x:c>
      <x:c r="AY145" s="44" t="str">
        <x:v>{"provider":"ehcache","currentEntries":10000,"requestCount":116666624,"hitCount":110839833,"missCount":5826791,"hitRate":0.9500560588776444,"loadSuccessCount":0,"loadFailureCount":0,"totalLoadTimeNanos":0,"evictionCount":-1,"expirationCount":-1,"putCount":10000,"removeCount":0,"nativeMetrics":{"mappings":10000}}</x:v>
      </x:c>
      <x:c r="AZ145" s="44" t="str">
        <x:v>{"provider":"ehcache","currentEntries":10000,"requestCount":116666624,"hitCount":110839833,"missCount":5826791,"hitRate":0.9500560588776444,"loadSuccessCount":0,"loadFailureCount":0,"totalLoadTimeNanos":0,"evictionCount":-1,"expirationCount":-1,"putCount":15000,"removeCount":0,"nativeMetrics":{"mappings":10000}}</x:v>
      </x:c>
      <x:c r="BA145" s="43" t="n">
        <x:v>10000</x:v>
      </x:c>
      <x:c r="BB145" s="43" t="n">
        <x:v>116666624</x:v>
      </x:c>
      <x:c r="BC145" s="43" t="n">
        <x:v>110839833</x:v>
      </x:c>
      <x:c r="BD145" s="43" t="n">
        <x:v>5826791</x:v>
      </x:c>
      <x:c r="BE145" s="48" t="n">
        <x:v>0.9500560588776444</x:v>
      </x:c>
      <x:c r="BF145" s="43" t="n">
        <x:v>0</x:v>
      </x:c>
      <x:c r="BG145" s="43" t="n">
        <x:v>0</x:v>
      </x:c>
      <x:c r="BH145" s="43" t="n">
        <x:v>0</x:v>
      </x:c>
      <x:c r="BI145" s="43" t="n">
        <x:v>-1</x:v>
      </x:c>
      <x:c r="BJ145" s="43" t="n">
        <x:v>-1</x:v>
      </x:c>
      <x:c r="BK145" s="43" t="n">
        <x:v>15000</x:v>
      </x:c>
      <x:c r="BL145" s="43" t="n">
        <x:v>0</x:v>
      </x:c>
      <x:c r="BM145" s="44" t="str">
        <x:v>{"mappings":10000}</x:v>
      </x:c>
    </x:row>
    <x:row r="146">
      <x:c r="A146" s="34" t="str">
        <x:v>article1-unified-v4-2-fb3f101b-20260903-000401-default-f03-p3-ehcache</x:v>
      </x:c>
      <x:c r="B146" s="34" t="str">
        <x:v>default</x:v>
      </x:c>
      <x:c r="C146" s="34" t="str">
        <x:v>ehcache</x:v>
      </x:c>
      <x:c r="D146" s="34" t="str">
        <x:v>ehcache</x:v>
      </x:c>
      <x:c r="E146" s="34" t="str">
        <x:v>current-provider-primary-comparison</x:v>
      </x:c>
      <x:c r="F146" s="36" t="n">
        <x:v>3</x:v>
      </x:c>
      <x:c r="G146" s="36" t="n">
        <x:v>3</x:v>
      </x:c>
      <x:c r="H146" s="36" t="n">
        <x:v>3</x:v>
      </x:c>
      <x:c r="I146" s="36" t="n">
        <x:v>3</x:v>
      </x:c>
      <x:c r="J146" s="34" t="str">
        <x:v>initial</x:v>
      </x:c>
      <x:c r="K146" s="34" t="str">
        <x:v>cache-semantics</x:v>
      </x:c>
      <x:c r="L146" s="45" t="b">
        <x:v>1</x:v>
      </x:c>
      <x:c r="M146" s="36" t="n">
        <x:v>124332191</x:v>
      </x:c>
      <x:c r="N146" s="34" t="str">
        <x:v>05d9806dea6607f34cfaa463b8de941fa0300c4e5f7fb1516ac47f2bc0b6780d</x:v>
      </x:c>
      <x:c r="O146" s="43" t="n">
        <x:v>10000</x:v>
      </x:c>
      <x:c r="P146" s="43" t="n">
        <x:v>400000</x:v>
      </x:c>
      <x:c r="Q146" s="36" t="n">
        <x:v>8</x:v>
      </x:c>
      <x:c r="R146" s="42" t="n">
        <x:v>95</x:v>
      </x:c>
      <x:c r="S146" s="43" t="n">
        <x:v>512</x:v>
      </x:c>
      <x:c r="T146" s="43" t="n">
        <x:v>50000</x:v>
      </x:c>
      <x:c r="U146" s="46" t="n">
        <x:v>3</x:v>
      </x:c>
      <x:c r="V146" s="46" t="n">
        <x:v>5</x:v>
      </x:c>
      <x:c r="W146" s="43" t="n">
        <x:v>300</x:v>
      </x:c>
      <x:c r="X146" s="34" t="str">
        <x:v>uniform</x:v>
      </x:c>
      <x:c r="Y146" s="42" t="n">
        <x:v>10</x:v>
      </x:c>
      <x:c r="Z146" s="34" t="str">
        <x:v>strict</x:v>
      </x:c>
      <x:c r="AA146" s="36" t="n">
        <x:v>64</x:v>
      </x:c>
      <x:c r="AB146" s="43" t="n">
        <x:v>68774144</x:v>
      </x:c>
      <x:c r="AC146" s="43" t="n">
        <x:v>3044701417</x:v>
      </x:c>
      <x:c r="AD146" s="43" t="n">
        <x:v>44701417</x:v>
      </x:c>
      <x:c r="AE146" s="43" t="n">
        <x:v>1349097.447062428</x:v>
      </x:c>
      <x:c r="AF146" s="43" t="n">
        <x:v>21942060.922475196</x:v>
      </x:c>
      <x:c r="AG146" s="43" t="n">
        <x:v>109743104</x:v>
      </x:c>
      <x:c r="AH146" s="43" t="n">
        <x:v>5001494818</x:v>
      </x:c>
      <x:c r="AI146" s="43" t="n">
        <x:v>1494818</x:v>
      </x:c>
      <x:c r="AJ146" s="43" t="n">
        <x:v>21942060.922475196</x:v>
      </x:c>
      <x:c r="AK146" s="43" t="n">
        <x:v>109743104</x:v>
      </x:c>
      <x:c r="AL146" s="43" t="n">
        <x:v>0</x:v>
      </x:c>
      <x:c r="AM146" s="43" t="n">
        <x:v>297857.19153551816</x:v>
      </x:c>
      <x:c r="AN146" s="43" t="n">
        <x:v>181</x:v>
      </x:c>
      <x:c r="AO146" s="43" t="n">
        <x:v>350</x:v>
      </x:c>
      <x:c r="AP146" s="43" t="n">
        <x:v>602</x:v>
      </x:c>
      <x:c r="AQ146" s="43" t="n">
        <x:v>1714736</x:v>
      </x:c>
      <x:c r="AR146" s="43" t="n">
        <x:v>1</x:v>
      </x:c>
      <x:c r="AS146" s="45" t="b">
        <x:v>1</x:v>
      </x:c>
      <x:c r="AT146" s="43" t="n">
        <x:v>10000</x:v>
      </x:c>
      <x:c r="AU146" s="48" t="n">
        <x:v>0.9501158724287587</x:v>
      </x:c>
      <x:c r="AV146" s="43" t="n">
        <x:v>10000</x:v>
      </x:c>
      <x:c r="AW146" s="48" t="n">
        <x:v>0.9501158724287587</x:v>
      </x:c>
      <x:c r="AX146" s="45" t="b">
        <x:v>1</x:v>
      </x:c>
      <x:c r="AY146" s="44" t="str">
        <x:v>{"provider":"ehcache","currentEntries":10000,"requestCount":109743104,"hitCount":104268665,"missCount":5474439,"hitRate":0.9501158724287587,"loadSuccessCount":0,"loadFailureCount":0,"totalLoadTimeNanos":0,"evictionCount":-1,"expirationCount":-1,"putCount":10000,"removeCount":0,"nativeMetrics":{"mappings":10000}}</x:v>
      </x:c>
      <x:c r="AZ146" s="44" t="str">
        <x:v>{"provider":"ehcache","currentEntries":10000,"requestCount":109743104,"hitCount":104268665,"missCount":5474439,"hitRate":0.9501158724287587,"loadSuccessCount":0,"loadFailureCount":0,"totalLoadTimeNanos":0,"evictionCount":-1,"expirationCount":-1,"putCount":15000,"removeCount":0,"nativeMetrics":{"mappings":10000}}</x:v>
      </x:c>
      <x:c r="BA146" s="43" t="n">
        <x:v>10000</x:v>
      </x:c>
      <x:c r="BB146" s="43" t="n">
        <x:v>109743104</x:v>
      </x:c>
      <x:c r="BC146" s="43" t="n">
        <x:v>104268665</x:v>
      </x:c>
      <x:c r="BD146" s="43" t="n">
        <x:v>5474439</x:v>
      </x:c>
      <x:c r="BE146" s="48" t="n">
        <x:v>0.9501158724287587</x:v>
      </x:c>
      <x:c r="BF146" s="43" t="n">
        <x:v>0</x:v>
      </x:c>
      <x:c r="BG146" s="43" t="n">
        <x:v>0</x:v>
      </x:c>
      <x:c r="BH146" s="43" t="n">
        <x:v>0</x:v>
      </x:c>
      <x:c r="BI146" s="43" t="n">
        <x:v>-1</x:v>
      </x:c>
      <x:c r="BJ146" s="43" t="n">
        <x:v>-1</x:v>
      </x:c>
      <x:c r="BK146" s="43" t="n">
        <x:v>15000</x:v>
      </x:c>
      <x:c r="BL146" s="43" t="n">
        <x:v>0</x:v>
      </x:c>
      <x:c r="BM146" s="44" t="str">
        <x:v>{"mappings":10000}</x:v>
      </x:c>
    </x:row>
    <x:row r="147">
      <x:c r="A147" s="34" t="str">
        <x:v>article1-unified-v4-2-fb3f101b-20260903-000401-default-f03-p3-ehcache</x:v>
      </x:c>
      <x:c r="B147" s="34" t="str">
        <x:v>default</x:v>
      </x:c>
      <x:c r="C147" s="34" t="str">
        <x:v>ehcache</x:v>
      </x:c>
      <x:c r="D147" s="34" t="str">
        <x:v>ehcache</x:v>
      </x:c>
      <x:c r="E147" s="34" t="str">
        <x:v>current-provider-primary-comparison</x:v>
      </x:c>
      <x:c r="F147" s="36" t="n">
        <x:v>3</x:v>
      </x:c>
      <x:c r="G147" s="36" t="n">
        <x:v>3</x:v>
      </x:c>
      <x:c r="H147" s="36" t="n">
        <x:v>3</x:v>
      </x:c>
      <x:c r="I147" s="36" t="n">
        <x:v>3</x:v>
      </x:c>
      <x:c r="J147" s="34" t="str">
        <x:v>redeploy</x:v>
      </x:c>
      <x:c r="K147" s="34" t="str">
        <x:v>cache-semantics</x:v>
      </x:c>
      <x:c r="L147" s="45" t="b">
        <x:v>1</x:v>
      </x:c>
      <x:c r="M147" s="36" t="n">
        <x:v>124332191</x:v>
      </x:c>
      <x:c r="N147" s="34" t="str">
        <x:v>05d9806dea6607f34cfaa463b8de941fa0300c4e5f7fb1516ac47f2bc0b6780d</x:v>
      </x:c>
      <x:c r="O147" s="43" t="n">
        <x:v>10000</x:v>
      </x:c>
      <x:c r="P147" s="43" t="n">
        <x:v>400000</x:v>
      </x:c>
      <x:c r="Q147" s="36" t="n">
        <x:v>8</x:v>
      </x:c>
      <x:c r="R147" s="42" t="n">
        <x:v>95</x:v>
      </x:c>
      <x:c r="S147" s="43" t="n">
        <x:v>512</x:v>
      </x:c>
      <x:c r="T147" s="43" t="n">
        <x:v>50000</x:v>
      </x:c>
      <x:c r="U147" s="46" t="n">
        <x:v>3</x:v>
      </x:c>
      <x:c r="V147" s="46" t="n">
        <x:v>5</x:v>
      </x:c>
      <x:c r="W147" s="43" t="n">
        <x:v>300</x:v>
      </x:c>
      <x:c r="X147" s="34" t="str">
        <x:v>uniform</x:v>
      </x:c>
      <x:c r="Y147" s="42" t="n">
        <x:v>10</x:v>
      </x:c>
      <x:c r="Z147" s="34" t="str">
        <x:v>strict</x:v>
      </x:c>
      <x:c r="AA147" s="36" t="n">
        <x:v>64</x:v>
      </x:c>
      <x:c r="AB147" s="43" t="n">
        <x:v>67131648</x:v>
      </x:c>
      <x:c r="AC147" s="43" t="n">
        <x:v>3000528574</x:v>
      </x:c>
      <x:c r="AD147" s="43" t="n">
        <x:v>528574</x:v>
      </x:c>
      <x:c r="AE147" s="43" t="n">
        <x:v>1722371.3125967865</x:v>
      </x:c>
      <x:c r="AF147" s="43" t="n">
        <x:v>23208068.19200999</x:v>
      </x:c>
      <x:c r="AG147" s="43" t="n">
        <x:v>116085504</x:v>
      </x:c>
      <x:c r="AH147" s="43" t="n">
        <x:v>5001946006</x:v>
      </x:c>
      <x:c r="AI147" s="43" t="n">
        <x:v>1946006</x:v>
      </x:c>
      <x:c r="AJ147" s="43" t="n">
        <x:v>23208068.19200999</x:v>
      </x:c>
      <x:c r="AK147" s="43" t="n">
        <x:v>116085504</x:v>
      </x:c>
      <x:c r="AL147" s="43" t="n">
        <x:v>0</x:v>
      </x:c>
      <x:c r="AM147" s="43" t="n">
        <x:v>337363.5001975938</x:v>
      </x:c>
      <x:c r="AN147" s="43" t="n">
        <x:v>171</x:v>
      </x:c>
      <x:c r="AO147" s="43" t="n">
        <x:v>340</x:v>
      </x:c>
      <x:c r="AP147" s="43" t="n">
        <x:v>581</x:v>
      </x:c>
      <x:c r="AQ147" s="43" t="n">
        <x:v>1813836</x:v>
      </x:c>
      <x:c r="AR147" s="43" t="n">
        <x:v>1</x:v>
      </x:c>
      <x:c r="AS147" s="45" t="b">
        <x:v>1</x:v>
      </x:c>
      <x:c r="AT147" s="43" t="n">
        <x:v>10000</x:v>
      </x:c>
      <x:c r="AU147" s="48" t="n">
        <x:v>0.9501108596642696</x:v>
      </x:c>
      <x:c r="AV147" s="43" t="n">
        <x:v>10000</x:v>
      </x:c>
      <x:c r="AW147" s="48" t="n">
        <x:v>0.9501108596642696</x:v>
      </x:c>
      <x:c r="AX147" s="45" t="b">
        <x:v>1</x:v>
      </x:c>
      <x:c r="AY147" s="44" t="str">
        <x:v>{"provider":"ehcache","currentEntries":10000,"requestCount":116085504,"hitCount":110294098,"missCount":5791406,"hitRate":0.9501108596642696,"loadSuccessCount":0,"loadFailureCount":0,"totalLoadTimeNanos":0,"evictionCount":-1,"expirationCount":-1,"putCount":10000,"removeCount":0,"nativeMetrics":{"mappings":10000}}</x:v>
      </x:c>
      <x:c r="AZ147" s="44" t="str">
        <x:v>{"provider":"ehcache","currentEntries":10000,"requestCount":116085504,"hitCount":110294098,"missCount":5791406,"hitRate":0.9501108596642696,"loadSuccessCount":0,"loadFailureCount":0,"totalLoadTimeNanos":0,"evictionCount":-1,"expirationCount":-1,"putCount":15000,"removeCount":0,"nativeMetrics":{"mappings":10000}}</x:v>
      </x:c>
      <x:c r="BA147" s="43" t="n">
        <x:v>10000</x:v>
      </x:c>
      <x:c r="BB147" s="43" t="n">
        <x:v>116085504</x:v>
      </x:c>
      <x:c r="BC147" s="43" t="n">
        <x:v>110294098</x:v>
      </x:c>
      <x:c r="BD147" s="43" t="n">
        <x:v>5791406</x:v>
      </x:c>
      <x:c r="BE147" s="48" t="n">
        <x:v>0.9501108596642696</x:v>
      </x:c>
      <x:c r="BF147" s="43" t="n">
        <x:v>0</x:v>
      </x:c>
      <x:c r="BG147" s="43" t="n">
        <x:v>0</x:v>
      </x:c>
      <x:c r="BH147" s="43" t="n">
        <x:v>0</x:v>
      </x:c>
      <x:c r="BI147" s="43" t="n">
        <x:v>-1</x:v>
      </x:c>
      <x:c r="BJ147" s="43" t="n">
        <x:v>-1</x:v>
      </x:c>
      <x:c r="BK147" s="43" t="n">
        <x:v>15000</x:v>
      </x:c>
      <x:c r="BL147" s="43" t="n">
        <x:v>0</x:v>
      </x:c>
      <x:c r="BM147" s="44" t="str">
        <x:v>{"mappings":10000}</x:v>
      </x:c>
    </x:row>
    <x:row r="148">
      <x:c r="A148" s="34" t="str">
        <x:v>article1-unified-v4-2-fb3f101b-20260903-000401-default-f03-p3-ehcache</x:v>
      </x:c>
      <x:c r="B148" s="34" t="str">
        <x:v>default</x:v>
      </x:c>
      <x:c r="C148" s="34" t="str">
        <x:v>ehcache</x:v>
      </x:c>
      <x:c r="D148" s="34" t="str">
        <x:v>ehcache</x:v>
      </x:c>
      <x:c r="E148" s="34" t="str">
        <x:v>current-provider-primary-comparison</x:v>
      </x:c>
      <x:c r="F148" s="36" t="n">
        <x:v>3</x:v>
      </x:c>
      <x:c r="G148" s="36" t="n">
        <x:v>3</x:v>
      </x:c>
      <x:c r="H148" s="36" t="n">
        <x:v>3</x:v>
      </x:c>
      <x:c r="I148" s="36" t="n">
        <x:v>4</x:v>
      </x:c>
      <x:c r="J148" s="34" t="str">
        <x:v>initial</x:v>
      </x:c>
      <x:c r="K148" s="34" t="str">
        <x:v>cache-semantics</x:v>
      </x:c>
      <x:c r="L148" s="45" t="b">
        <x:v>1</x:v>
      </x:c>
      <x:c r="M148" s="36" t="n">
        <x:v>1044467175</x:v>
      </x:c>
      <x:c r="N148" s="34" t="str">
        <x:v>bee84924253a095ac320cc2769fb40582cc17430c9efa7089bd385b7e0ed6e39</x:v>
      </x:c>
      <x:c r="O148" s="43" t="n">
        <x:v>10000</x:v>
      </x:c>
      <x:c r="P148" s="43" t="n">
        <x:v>400000</x:v>
      </x:c>
      <x:c r="Q148" s="36" t="n">
        <x:v>8</x:v>
      </x:c>
      <x:c r="R148" s="42" t="n">
        <x:v>95</x:v>
      </x:c>
      <x:c r="S148" s="43" t="n">
        <x:v>512</x:v>
      </x:c>
      <x:c r="T148" s="43" t="n">
        <x:v>50000</x:v>
      </x:c>
      <x:c r="U148" s="46" t="n">
        <x:v>3</x:v>
      </x:c>
      <x:c r="V148" s="46" t="n">
        <x:v>5</x:v>
      </x:c>
      <x:c r="W148" s="43" t="n">
        <x:v>300</x:v>
      </x:c>
      <x:c r="X148" s="34" t="str">
        <x:v>uniform</x:v>
      </x:c>
      <x:c r="Y148" s="42" t="n">
        <x:v>10</x:v>
      </x:c>
      <x:c r="Z148" s="34" t="str">
        <x:v>strict</x:v>
      </x:c>
      <x:c r="AA148" s="36" t="n">
        <x:v>64</x:v>
      </x:c>
      <x:c r="AB148" s="43" t="n">
        <x:v>66864640</x:v>
      </x:c>
      <x:c r="AC148" s="43" t="n">
        <x:v>3032373532</x:v>
      </x:c>
      <x:c r="AD148" s="43" t="n">
        <x:v>32373532</x:v>
      </x:c>
      <x:c r="AE148" s="43" t="n">
        <x:v>1987490.3383125928</x:v>
      </x:c>
      <x:c r="AF148" s="43" t="n">
        <x:v>24793965.914469946</x:v>
      </x:c>
      <x:c r="AG148" s="43" t="n">
        <x:v>124020480</x:v>
      </x:c>
      <x:c r="AH148" s="43" t="n">
        <x:v>5002042853</x:v>
      </x:c>
      <x:c r="AI148" s="43" t="n">
        <x:v>2042853</x:v>
      </x:c>
      <x:c r="AJ148" s="43" t="n">
        <x:v>24793965.914469946</x:v>
      </x:c>
      <x:c r="AK148" s="43" t="n">
        <x:v>124020480</x:v>
      </x:c>
      <x:c r="AL148" s="43" t="n">
        <x:v>0</x:v>
      </x:c>
      <x:c r="AM148" s="43" t="n">
        <x:v>260324.52263250988</x:v>
      </x:c>
      <x:c r="AN148" s="43" t="n">
        <x:v>170</x:v>
      </x:c>
      <x:c r="AO148" s="43" t="n">
        <x:v>301</x:v>
      </x:c>
      <x:c r="AP148" s="43" t="n">
        <x:v>541</x:v>
      </x:c>
      <x:c r="AQ148" s="43" t="n">
        <x:v>1937820</x:v>
      </x:c>
      <x:c r="AR148" s="43" t="n">
        <x:v>1</x:v>
      </x:c>
      <x:c r="AS148" s="45" t="b">
        <x:v>1</x:v>
      </x:c>
      <x:c r="AT148" s="43" t="n">
        <x:v>10000</x:v>
      </x:c>
      <x:c r="AU148" s="48" t="n">
        <x:v>0.9504006596329897</x:v>
      </x:c>
      <x:c r="AV148" s="43" t="n">
        <x:v>10000</x:v>
      </x:c>
      <x:c r="AW148" s="48" t="n">
        <x:v>0.9504006596329897</x:v>
      </x:c>
      <x:c r="AX148" s="45" t="b">
        <x:v>1</x:v>
      </x:c>
      <x:c r="AY148" s="44" t="str">
        <x:v>{"provider":"ehcache","currentEntries":10000,"requestCount":124020480,"hitCount":117869146,"missCount":6151334,"hitRate":0.9504006596329897,"loadSuccessCount":0,"loadFailureCount":0,"totalLoadTimeNanos":0,"evictionCount":-1,"expirationCount":-1,"putCount":10000,"removeCount":0,"nativeMetrics":{"mappings":10000}}</x:v>
      </x:c>
      <x:c r="AZ148" s="44" t="str">
        <x:v>{"provider":"ehcache","currentEntries":10000,"requestCount":124020480,"hitCount":117869146,"missCount":6151334,"hitRate":0.9504006596329897,"loadSuccessCount":0,"loadFailureCount":0,"totalLoadTimeNanos":0,"evictionCount":-1,"expirationCount":-1,"putCount":15000,"removeCount":0,"nativeMetrics":{"mappings":10000}}</x:v>
      </x:c>
      <x:c r="BA148" s="43" t="n">
        <x:v>10000</x:v>
      </x:c>
      <x:c r="BB148" s="43" t="n">
        <x:v>124020480</x:v>
      </x:c>
      <x:c r="BC148" s="43" t="n">
        <x:v>117869146</x:v>
      </x:c>
      <x:c r="BD148" s="43" t="n">
        <x:v>6151334</x:v>
      </x:c>
      <x:c r="BE148" s="48" t="n">
        <x:v>0.9504006596329897</x:v>
      </x:c>
      <x:c r="BF148" s="43" t="n">
        <x:v>0</x:v>
      </x:c>
      <x:c r="BG148" s="43" t="n">
        <x:v>0</x:v>
      </x:c>
      <x:c r="BH148" s="43" t="n">
        <x:v>0</x:v>
      </x:c>
      <x:c r="BI148" s="43" t="n">
        <x:v>-1</x:v>
      </x:c>
      <x:c r="BJ148" s="43" t="n">
        <x:v>-1</x:v>
      </x:c>
      <x:c r="BK148" s="43" t="n">
        <x:v>15000</x:v>
      </x:c>
      <x:c r="BL148" s="43" t="n">
        <x:v>0</x:v>
      </x:c>
      <x:c r="BM148" s="44" t="str">
        <x:v>{"mappings":10000}</x:v>
      </x:c>
    </x:row>
    <x:row r="149">
      <x:c r="A149" s="34" t="str">
        <x:v>article1-unified-v4-2-fb3f101b-20260903-000401-default-f03-p3-ehcache</x:v>
      </x:c>
      <x:c r="B149" s="34" t="str">
        <x:v>default</x:v>
      </x:c>
      <x:c r="C149" s="34" t="str">
        <x:v>ehcache</x:v>
      </x:c>
      <x:c r="D149" s="34" t="str">
        <x:v>ehcache</x:v>
      </x:c>
      <x:c r="E149" s="34" t="str">
        <x:v>current-provider-primary-comparison</x:v>
      </x:c>
      <x:c r="F149" s="36" t="n">
        <x:v>3</x:v>
      </x:c>
      <x:c r="G149" s="36" t="n">
        <x:v>3</x:v>
      </x:c>
      <x:c r="H149" s="36" t="n">
        <x:v>3</x:v>
      </x:c>
      <x:c r="I149" s="36" t="n">
        <x:v>4</x:v>
      </x:c>
      <x:c r="J149" s="34" t="str">
        <x:v>redeploy</x:v>
      </x:c>
      <x:c r="K149" s="34" t="str">
        <x:v>cache-semantics</x:v>
      </x:c>
      <x:c r="L149" s="45" t="b">
        <x:v>1</x:v>
      </x:c>
      <x:c r="M149" s="36" t="n">
        <x:v>1044467175</x:v>
      </x:c>
      <x:c r="N149" s="34" t="str">
        <x:v>bee84924253a095ac320cc2769fb40582cc17430c9efa7089bd385b7e0ed6e39</x:v>
      </x:c>
      <x:c r="O149" s="43" t="n">
        <x:v>10000</x:v>
      </x:c>
      <x:c r="P149" s="43" t="n">
        <x:v>400000</x:v>
      </x:c>
      <x:c r="Q149" s="36" t="n">
        <x:v>8</x:v>
      </x:c>
      <x:c r="R149" s="42" t="n">
        <x:v>95</x:v>
      </x:c>
      <x:c r="S149" s="43" t="n">
        <x:v>512</x:v>
      </x:c>
      <x:c r="T149" s="43" t="n">
        <x:v>50000</x:v>
      </x:c>
      <x:c r="U149" s="46" t="n">
        <x:v>3</x:v>
      </x:c>
      <x:c r="V149" s="46" t="n">
        <x:v>5</x:v>
      </x:c>
      <x:c r="W149" s="43" t="n">
        <x:v>300</x:v>
      </x:c>
      <x:c r="X149" s="34" t="str">
        <x:v>uniform</x:v>
      </x:c>
      <x:c r="Y149" s="42" t="n">
        <x:v>10</x:v>
      </x:c>
      <x:c r="Z149" s="34" t="str">
        <x:v>strict</x:v>
      </x:c>
      <x:c r="AA149" s="36" t="n">
        <x:v>64</x:v>
      </x:c>
      <x:c r="AB149" s="43" t="n">
        <x:v>69412864</x:v>
      </x:c>
      <x:c r="AC149" s="43" t="n">
        <x:v>3000594173</x:v>
      </x:c>
      <x:c r="AD149" s="43" t="n">
        <x:v>594173</x:v>
      </x:c>
      <x:c r="AE149" s="43" t="n">
        <x:v>1264037.931250241</x:v>
      </x:c>
      <x:c r="AF149" s="43" t="n">
        <x:v>24569621.147901695</x:v>
      </x:c>
      <x:c r="AG149" s="43" t="n">
        <x:v>122902272</x:v>
      </x:c>
      <x:c r="AH149" s="43" t="n">
        <x:v>5002204603</x:v>
      </x:c>
      <x:c r="AI149" s="43" t="n">
        <x:v>2204603</x:v>
      </x:c>
      <x:c r="AJ149" s="43" t="n">
        <x:v>24569621.147901695</x:v>
      </x:c>
      <x:c r="AK149" s="43" t="n">
        <x:v>122902272</x:v>
      </x:c>
      <x:c r="AL149" s="43" t="n">
        <x:v>0</x:v>
      </x:c>
      <x:c r="AM149" s="43" t="n">
        <x:v>188649.84438274338</x:v>
      </x:c>
      <x:c r="AN149" s="43" t="n">
        <x:v>170</x:v>
      </x:c>
      <x:c r="AO149" s="43" t="n">
        <x:v>301</x:v>
      </x:c>
      <x:c r="AP149" s="43" t="n">
        <x:v>541</x:v>
      </x:c>
      <x:c r="AQ149" s="43" t="n">
        <x:v>1920348</x:v>
      </x:c>
      <x:c r="AR149" s="43" t="n">
        <x:v>1</x:v>
      </x:c>
      <x:c r="AS149" s="45" t="b">
        <x:v>1</x:v>
      </x:c>
      <x:c r="AT149" s="43" t="n">
        <x:v>10000</x:v>
      </x:c>
      <x:c r="AU149" s="48" t="n">
        <x:v>0.9504107540013581</x:v>
      </x:c>
      <x:c r="AV149" s="43" t="n">
        <x:v>10000</x:v>
      </x:c>
      <x:c r="AW149" s="48" t="n">
        <x:v>0.9504107540013581</x:v>
      </x:c>
      <x:c r="AX149" s="45" t="b">
        <x:v>1</x:v>
      </x:c>
      <x:c r="AY149" s="44" t="str">
        <x:v>{"provider":"ehcache","currentEntries":10000,"requestCount":122902272,"hitCount":116807641,"missCount":6094631,"hitRate":0.9504107540013581,"loadSuccessCount":0,"loadFailureCount":0,"totalLoadTimeNanos":0,"evictionCount":-1,"expirationCount":-1,"putCount":10000,"removeCount":0,"nativeMetrics":{"mappings":10000}}</x:v>
      </x:c>
      <x:c r="AZ149" s="44" t="str">
        <x:v>{"provider":"ehcache","currentEntries":10000,"requestCount":122902272,"hitCount":116807641,"missCount":6094631,"hitRate":0.9504107540013581,"loadSuccessCount":0,"loadFailureCount":0,"totalLoadTimeNanos":0,"evictionCount":-1,"expirationCount":-1,"putCount":15000,"removeCount":0,"nativeMetrics":{"mappings":10000}}</x:v>
      </x:c>
      <x:c r="BA149" s="43" t="n">
        <x:v>10000</x:v>
      </x:c>
      <x:c r="BB149" s="43" t="n">
        <x:v>122902272</x:v>
      </x:c>
      <x:c r="BC149" s="43" t="n">
        <x:v>116807641</x:v>
      </x:c>
      <x:c r="BD149" s="43" t="n">
        <x:v>6094631</x:v>
      </x:c>
      <x:c r="BE149" s="48" t="n">
        <x:v>0.9504107540013581</x:v>
      </x:c>
      <x:c r="BF149" s="43" t="n">
        <x:v>0</x:v>
      </x:c>
      <x:c r="BG149" s="43" t="n">
        <x:v>0</x:v>
      </x:c>
      <x:c r="BH149" s="43" t="n">
        <x:v>0</x:v>
      </x:c>
      <x:c r="BI149" s="43" t="n">
        <x:v>-1</x:v>
      </x:c>
      <x:c r="BJ149" s="43" t="n">
        <x:v>-1</x:v>
      </x:c>
      <x:c r="BK149" s="43" t="n">
        <x:v>15000</x:v>
      </x:c>
      <x:c r="BL149" s="43" t="n">
        <x:v>0</x:v>
      </x:c>
      <x:c r="BM149" s="44" t="str">
        <x:v>{"mappings":10000}</x:v>
      </x:c>
    </x:row>
    <x:row r="150">
      <x:c r="A150" s="34" t="str">
        <x:v>article1-unified-v4-2-fb3f101b-20260903-000401-default-f03-p3-ehcache</x:v>
      </x:c>
      <x:c r="B150" s="34" t="str">
        <x:v>default</x:v>
      </x:c>
      <x:c r="C150" s="34" t="str">
        <x:v>ehcache</x:v>
      </x:c>
      <x:c r="D150" s="34" t="str">
        <x:v>ehcache</x:v>
      </x:c>
      <x:c r="E150" s="34" t="str">
        <x:v>current-provider-primary-comparison</x:v>
      </x:c>
      <x:c r="F150" s="36" t="n">
        <x:v>3</x:v>
      </x:c>
      <x:c r="G150" s="36" t="n">
        <x:v>3</x:v>
      </x:c>
      <x:c r="H150" s="36" t="n">
        <x:v>3</x:v>
      </x:c>
      <x:c r="I150" s="36" t="n">
        <x:v>5</x:v>
      </x:c>
      <x:c r="J150" s="34" t="str">
        <x:v>initial</x:v>
      </x:c>
      <x:c r="K150" s="34" t="str">
        <x:v>cache-semantics</x:v>
      </x:c>
      <x:c r="L150" s="45" t="b">
        <x:v>1</x:v>
      </x:c>
      <x:c r="M150" s="36" t="n">
        <x:v>583023952</x:v>
      </x:c>
      <x:c r="N150" s="34" t="str">
        <x:v>7b8fd907f7b5f8856529fb47dd9c623362c42635eee044a68e2710298a56122c</x:v>
      </x:c>
      <x:c r="O150" s="43" t="n">
        <x:v>10000</x:v>
      </x:c>
      <x:c r="P150" s="43" t="n">
        <x:v>400000</x:v>
      </x:c>
      <x:c r="Q150" s="36" t="n">
        <x:v>8</x:v>
      </x:c>
      <x:c r="R150" s="42" t="n">
        <x:v>95</x:v>
      </x:c>
      <x:c r="S150" s="43" t="n">
        <x:v>512</x:v>
      </x:c>
      <x:c r="T150" s="43" t="n">
        <x:v>50000</x:v>
      </x:c>
      <x:c r="U150" s="46" t="n">
        <x:v>3</x:v>
      </x:c>
      <x:c r="V150" s="46" t="n">
        <x:v>5</x:v>
      </x:c>
      <x:c r="W150" s="43" t="n">
        <x:v>300</x:v>
      </x:c>
      <x:c r="X150" s="34" t="str">
        <x:v>uniform</x:v>
      </x:c>
      <x:c r="Y150" s="42" t="n">
        <x:v>10</x:v>
      </x:c>
      <x:c r="Z150" s="34" t="str">
        <x:v>strict</x:v>
      </x:c>
      <x:c r="AA150" s="36" t="n">
        <x:v>64</x:v>
      </x:c>
      <x:c r="AB150" s="43" t="n">
        <x:v>77917952</x:v>
      </x:c>
      <x:c r="AC150" s="43" t="n">
        <x:v>3000588002</x:v>
      </x:c>
      <x:c r="AD150" s="43" t="n">
        <x:v>588002</x:v>
      </x:c>
      <x:c r="AE150" s="43" t="n">
        <x:v>2022879.5771696193</x:v>
      </x:c>
      <x:c r="AF150" s="43" t="n">
        <x:v>25628516.87503748</x:v>
      </x:c>
      <x:c r="AG150" s="43" t="n">
        <x:v>128192000</x:v>
      </x:c>
      <x:c r="AH150" s="43" t="n">
        <x:v>5001928150</x:v>
      </x:c>
      <x:c r="AI150" s="43" t="n">
        <x:v>1928150</x:v>
      </x:c>
      <x:c r="AJ150" s="43" t="n">
        <x:v>25628516.87503748</x:v>
      </x:c>
      <x:c r="AK150" s="43" t="n">
        <x:v>128192000</x:v>
      </x:c>
      <x:c r="AL150" s="43" t="n">
        <x:v>0</x:v>
      </x:c>
      <x:c r="AM150" s="43" t="n">
        <x:v>392982.0943210472</x:v>
      </x:c>
      <x:c r="AN150" s="43" t="n">
        <x:v>170</x:v>
      </x:c>
      <x:c r="AO150" s="43" t="n">
        <x:v>311</x:v>
      </x:c>
      <x:c r="AP150" s="43" t="n">
        <x:v>531</x:v>
      </x:c>
      <x:c r="AQ150" s="43" t="n">
        <x:v>2003000</x:v>
      </x:c>
      <x:c r="AR150" s="43" t="n">
        <x:v>1</x:v>
      </x:c>
      <x:c r="AS150" s="45" t="b">
        <x:v>1</x:v>
      </x:c>
      <x:c r="AT150" s="43" t="n">
        <x:v>10000</x:v>
      </x:c>
      <x:c r="AU150" s="48" t="n">
        <x:v>0.949837610771343</x:v>
      </x:c>
      <x:c r="AV150" s="43" t="n">
        <x:v>10000</x:v>
      </x:c>
      <x:c r="AW150" s="48" t="n">
        <x:v>0.949837610771343</x:v>
      </x:c>
      <x:c r="AX150" s="45" t="b">
        <x:v>1</x:v>
      </x:c>
      <x:c r="AY150" s="44" t="str">
        <x:v>{"provider":"ehcache","currentEntries":10000,"requestCount":128192000,"hitCount":121761583,"missCount":6430417,"hitRate":0.949837610771343,"loadSuccessCount":0,"loadFailureCount":0,"totalLoadTimeNanos":0,"evictionCount":-1,"expirationCount":-1,"putCount":10000,"removeCount":0,"nativeMetrics":{"mappings":10000}}</x:v>
      </x:c>
      <x:c r="AZ150" s="44" t="str">
        <x:v>{"provider":"ehcache","currentEntries":10000,"requestCount":128192000,"hitCount":121761583,"missCount":6430417,"hitRate":0.949837610771343,"loadSuccessCount":0,"loadFailureCount":0,"totalLoadTimeNanos":0,"evictionCount":-1,"expirationCount":-1,"putCount":15000,"removeCount":0,"nativeMetrics":{"mappings":10000}}</x:v>
      </x:c>
      <x:c r="BA150" s="43" t="n">
        <x:v>10000</x:v>
      </x:c>
      <x:c r="BB150" s="43" t="n">
        <x:v>128192000</x:v>
      </x:c>
      <x:c r="BC150" s="43" t="n">
        <x:v>121761583</x:v>
      </x:c>
      <x:c r="BD150" s="43" t="n">
        <x:v>6430417</x:v>
      </x:c>
      <x:c r="BE150" s="48" t="n">
        <x:v>0.949837610771343</x:v>
      </x:c>
      <x:c r="BF150" s="43" t="n">
        <x:v>0</x:v>
      </x:c>
      <x:c r="BG150" s="43" t="n">
        <x:v>0</x:v>
      </x:c>
      <x:c r="BH150" s="43" t="n">
        <x:v>0</x:v>
      </x:c>
      <x:c r="BI150" s="43" t="n">
        <x:v>-1</x:v>
      </x:c>
      <x:c r="BJ150" s="43" t="n">
        <x:v>-1</x:v>
      </x:c>
      <x:c r="BK150" s="43" t="n">
        <x:v>15000</x:v>
      </x:c>
      <x:c r="BL150" s="43" t="n">
        <x:v>0</x:v>
      </x:c>
      <x:c r="BM150" s="44" t="str">
        <x:v>{"mappings":10000}</x:v>
      </x:c>
    </x:row>
    <x:row r="151">
      <x:c r="A151" s="34" t="str">
        <x:v>article1-unified-v4-2-fb3f101b-20260903-000401-default-f03-p3-ehcache</x:v>
      </x:c>
      <x:c r="B151" s="34" t="str">
        <x:v>default</x:v>
      </x:c>
      <x:c r="C151" s="34" t="str">
        <x:v>ehcache</x:v>
      </x:c>
      <x:c r="D151" s="34" t="str">
        <x:v>ehcache</x:v>
      </x:c>
      <x:c r="E151" s="34" t="str">
        <x:v>current-provider-primary-comparison</x:v>
      </x:c>
      <x:c r="F151" s="36" t="n">
        <x:v>3</x:v>
      </x:c>
      <x:c r="G151" s="36" t="n">
        <x:v>3</x:v>
      </x:c>
      <x:c r="H151" s="36" t="n">
        <x:v>3</x:v>
      </x:c>
      <x:c r="I151" s="36" t="n">
        <x:v>5</x:v>
      </x:c>
      <x:c r="J151" s="34" t="str">
        <x:v>redeploy</x:v>
      </x:c>
      <x:c r="K151" s="34" t="str">
        <x:v>cache-semantics</x:v>
      </x:c>
      <x:c r="L151" s="45" t="b">
        <x:v>1</x:v>
      </x:c>
      <x:c r="M151" s="36" t="n">
        <x:v>583023952</x:v>
      </x:c>
      <x:c r="N151" s="34" t="str">
        <x:v>7b8fd907f7b5f8856529fb47dd9c623362c42635eee044a68e2710298a56122c</x:v>
      </x:c>
      <x:c r="O151" s="43" t="n">
        <x:v>10000</x:v>
      </x:c>
      <x:c r="P151" s="43" t="n">
        <x:v>400000</x:v>
      </x:c>
      <x:c r="Q151" s="36" t="n">
        <x:v>8</x:v>
      </x:c>
      <x:c r="R151" s="42" t="n">
        <x:v>95</x:v>
      </x:c>
      <x:c r="S151" s="43" t="n">
        <x:v>512</x:v>
      </x:c>
      <x:c r="T151" s="43" t="n">
        <x:v>50000</x:v>
      </x:c>
      <x:c r="U151" s="46" t="n">
        <x:v>3</x:v>
      </x:c>
      <x:c r="V151" s="46" t="n">
        <x:v>5</x:v>
      </x:c>
      <x:c r="W151" s="43" t="n">
        <x:v>300</x:v>
      </x:c>
      <x:c r="X151" s="34" t="str">
        <x:v>uniform</x:v>
      </x:c>
      <x:c r="Y151" s="42" t="n">
        <x:v>10</x:v>
      </x:c>
      <x:c r="Z151" s="34" t="str">
        <x:v>strict</x:v>
      </x:c>
      <x:c r="AA151" s="36" t="n">
        <x:v>64</x:v>
      </x:c>
      <x:c r="AB151" s="43" t="n">
        <x:v>74711296</x:v>
      </x:c>
      <x:c r="AC151" s="43" t="n">
        <x:v>3027241947</x:v>
      </x:c>
      <x:c r="AD151" s="43" t="n">
        <x:v>27241947</x:v>
      </x:c>
      <x:c r="AE151" s="43" t="n">
        <x:v>1451514.4811793729</x:v>
      </x:c>
      <x:c r="AF151" s="43" t="n">
        <x:v>24498964.98476643</x:v>
      </x:c>
      <x:c r="AG151" s="43" t="n">
        <x:v>122535936</x:v>
      </x:c>
      <x:c r="AH151" s="43" t="n">
        <x:v>5001678074</x:v>
      </x:c>
      <x:c r="AI151" s="43" t="n">
        <x:v>1678074</x:v>
      </x:c>
      <x:c r="AJ151" s="43" t="n">
        <x:v>24498964.98476643</x:v>
      </x:c>
      <x:c r="AK151" s="43" t="n">
        <x:v>122535936</x:v>
      </x:c>
      <x:c r="AL151" s="43" t="n">
        <x:v>0</x:v>
      </x:c>
      <x:c r="AM151" s="43" t="n">
        <x:v>380072.58170078223</x:v>
      </x:c>
      <x:c r="AN151" s="43" t="n">
        <x:v>170</x:v>
      </x:c>
      <x:c r="AO151" s="43" t="n">
        <x:v>321</x:v>
      </x:c>
      <x:c r="AP151" s="43" t="n">
        <x:v>561</x:v>
      </x:c>
      <x:c r="AQ151" s="43" t="n">
        <x:v>1914624</x:v>
      </x:c>
      <x:c r="AR151" s="43" t="n">
        <x:v>1</x:v>
      </x:c>
      <x:c r="AS151" s="45" t="b">
        <x:v>1</x:v>
      </x:c>
      <x:c r="AT151" s="43" t="n">
        <x:v>10000</x:v>
      </x:c>
      <x:c r="AU151" s="48" t="n">
        <x:v>0.9498283099579865</x:v>
      </x:c>
      <x:c r="AV151" s="43" t="n">
        <x:v>10000</x:v>
      </x:c>
      <x:c r="AW151" s="48" t="n">
        <x:v>0.9498283099579865</x:v>
      </x:c>
      <x:c r="AX151" s="45" t="b">
        <x:v>1</x:v>
      </x:c>
      <x:c r="AY151" s="44" t="str">
        <x:v>{"provider":"ehcache","currentEntries":10000,"requestCount":122535936,"hitCount":116388101,"missCount":6147835,"hitRate":0.9498283099579865,"loadSuccessCount":0,"loadFailureCount":0,"totalLoadTimeNanos":0,"evictionCount":-1,"expirationCount":-1,"putCount":10000,"removeCount":0,"nativeMetrics":{"mappings":10000}}</x:v>
      </x:c>
      <x:c r="AZ151" s="44" t="str">
        <x:v>{"provider":"ehcache","currentEntries":10000,"requestCount":122535936,"hitCount":116388101,"missCount":6147835,"hitRate":0.9498283099579865,"loadSuccessCount":0,"loadFailureCount":0,"totalLoadTimeNanos":0,"evictionCount":-1,"expirationCount":-1,"putCount":15000,"removeCount":0,"nativeMetrics":{"mappings":10000}}</x:v>
      </x:c>
      <x:c r="BA151" s="43" t="n">
        <x:v>10000</x:v>
      </x:c>
      <x:c r="BB151" s="43" t="n">
        <x:v>122535936</x:v>
      </x:c>
      <x:c r="BC151" s="43" t="n">
        <x:v>116388101</x:v>
      </x:c>
      <x:c r="BD151" s="43" t="n">
        <x:v>6147835</x:v>
      </x:c>
      <x:c r="BE151" s="48" t="n">
        <x:v>0.9498283099579865</x:v>
      </x:c>
      <x:c r="BF151" s="43" t="n">
        <x:v>0</x:v>
      </x:c>
      <x:c r="BG151" s="43" t="n">
        <x:v>0</x:v>
      </x:c>
      <x:c r="BH151" s="43" t="n">
        <x:v>0</x:v>
      </x:c>
      <x:c r="BI151" s="43" t="n">
        <x:v>-1</x:v>
      </x:c>
      <x:c r="BJ151" s="43" t="n">
        <x:v>-1</x:v>
      </x:c>
      <x:c r="BK151" s="43" t="n">
        <x:v>15000</x:v>
      </x:c>
      <x:c r="BL151" s="43" t="n">
        <x:v>0</x:v>
      </x:c>
      <x:c r="BM151" s="44" t="str">
        <x:v>{"mappings":10000}</x:v>
      </x:c>
    </x:row>
    <x:row r="152">
      <x:c r="A152" s="34" t="str">
        <x:v>article1-unified-v4-2-fb3f101b-20260903-000401-default-f03-p4-jcs321</x:v>
      </x:c>
      <x:c r="B152" s="34" t="str">
        <x:v>default</x:v>
      </x:c>
      <x:c r="C152" s="34" t="str">
        <x:v>jcs321</x:v>
      </x:c>
      <x:c r="D152" s="34" t="str">
        <x:v>jcs321</x:v>
      </x:c>
      <x:c r="E152" s="34" t="str">
        <x:v>JCS-248-positive-control</x:v>
      </x:c>
      <x:c r="F152" s="36" t="n">
        <x:v>3</x:v>
      </x:c>
      <x:c r="G152" s="36" t="n">
        <x:v>3</x:v>
      </x:c>
      <x:c r="H152" s="36" t="n">
        <x:v>4</x:v>
      </x:c>
      <x:c r="I152" s="36" t="n">
        <x:v>1</x:v>
      </x:c>
      <x:c r="J152" s="34" t="str">
        <x:v>initial</x:v>
      </x:c>
      <x:c r="K152" s="34" t="str">
        <x:v>cache-semantics</x:v>
      </x:c>
      <x:c r="L152" s="45" t="b">
        <x:v>0</x:v>
      </x:c>
      <x:c r="M152" s="36" t="n">
        <x:v>142609922</x:v>
      </x:c>
      <x:c r="N152" s="34" t="str">
        <x:v>9ea92208df3b3b8b50bff1fcadf8cbf654073a5a10974202aa936e2af3f41e70</x:v>
      </x:c>
      <x:c r="O152" s="43" t="n">
        <x:v>10000</x:v>
      </x:c>
      <x:c r="P152" s="43" t="n">
        <x:v>400000</x:v>
      </x:c>
      <x:c r="Q152" s="36" t="n">
        <x:v>8</x:v>
      </x:c>
      <x:c r="R152" s="42" t="n">
        <x:v>95</x:v>
      </x:c>
      <x:c r="S152" s="43" t="n">
        <x:v>512</x:v>
      </x:c>
      <x:c r="T152" s="43" t="n">
        <x:v>50000</x:v>
      </x:c>
      <x:c r="U152" s="46" t="n">
        <x:v>3</x:v>
      </x:c>
      <x:c r="V152" s="46" t="n">
        <x:v>5</x:v>
      </x:c>
      <x:c r="W152" s="43" t="n">
        <x:v>300</x:v>
      </x:c>
      <x:c r="X152" s="34" t="str">
        <x:v>uniform</x:v>
      </x:c>
      <x:c r="Y152" s="42" t="n">
        <x:v>10</x:v>
      </x:c>
      <x:c r="Z152" s="34" t="str">
        <x:v>strict</x:v>
      </x:c>
      <x:c r="AA152" s="36" t="n">
        <x:v>64</x:v>
      </x:c>
      <x:c r="AB152" s="43" t="n">
        <x:v>5760000</x:v>
      </x:c>
      <x:c r="AC152" s="43" t="n">
        <x:v>3000712553</x:v>
      </x:c>
      <x:c r="AD152" s="43" t="n">
        <x:v>712553</x:v>
      </x:c>
      <x:c r="AE152" s="43" t="n">
        <x:v>2869866.203967705</x:v>
      </x:c>
      <x:c r="AF152" s="43" t="n">
        <x:v>2273519.2295760657</x:v>
      </x:c>
      <x:c r="AG152" s="43" t="n">
        <x:v>11371008</x:v>
      </x:c>
      <x:c r="AH152" s="43" t="n">
        <x:v>5001500692</x:v>
      </x:c>
      <x:c r="AI152" s="43" t="n">
        <x:v>1500692</x:v>
      </x:c>
      <x:c r="AJ152" s="43" t="n">
        <x:v>2273519.2295760657</x:v>
      </x:c>
      <x:c r="AK152" s="43" t="n">
        <x:v>11371008</x:v>
      </x:c>
      <x:c r="AL152" s="43" t="n">
        <x:v>0</x:v>
      </x:c>
      <x:c r="AM152" s="43" t="n">
        <x:v>507723.4381690843</x:v>
      </x:c>
      <x:c r="AN152" s="43" t="n">
        <x:v>411</x:v>
      </x:c>
      <x:c r="AO152" s="43" t="n">
        <x:v>1173</x:v>
      </x:c>
      <x:c r="AP152" s="43" t="n">
        <x:v>215463</x:v>
      </x:c>
      <x:c r="AQ152" s="43" t="n">
        <x:v>177672</x:v>
      </x:c>
      <x:c r="AR152" s="43" t="n">
        <x:v>1</x:v>
      </x:c>
      <x:c r="AS152" s="45" t="b">
        <x:v>1</x:v>
      </x:c>
      <x:c r="AT152" s="43" t="n">
        <x:v>10000</x:v>
      </x:c>
      <x:c r="AU152" s="48" t="n">
        <x:v>0.9489581750360214</x:v>
      </x:c>
      <x:c r="AV152" s="43" t="n">
        <x:v>10000</x:v>
      </x:c>
      <x:c r="AW152" s="48" t="n">
        <x:v>0.9489581750360214</x:v>
      </x:c>
      <x:c r="AX152" s="45" t="b">
        <x:v>1</x:v>
      </x:c>
      <x:c r="AY152" s="44" t="str">
        <x:v>{"provider":"jcs321","currentEntries":10000,"requestCount":11371008,"hitCount":10790611,"missCount":580397,"hitRate":0.9489581750360214,"loadSuccessCount":0,"loadFailureCount":0,"totalLoadTimeNanos":0,"evictionCount":-1,"expirationCount":-1,"putCount":10000,"removeCount":0,"nativeMetrics":{"HitCountRam":10790611,"Composite.HitCountRam":10790611,"HitCountAux":0,"Composite.HitCountAux":0,"Put Count":10000,"Memory Cache.Put Count":10000,"Hit Count":10790611,"Memory Cache.Hit Count":10790611,"Miss Count":580397,"Memory Cache.Miss Count":580397,"Map Size":10000,"Memory Cache.Map Size":10000,"List Size":10000,"Memory Cache.List Size":10000}}</x:v>
      </x:c>
      <x:c r="AZ152" s="44" t="str">
        <x:v>{"provider":"jcs321","currentEntries":10000,"requestCount":11371008,"hitCount":10790611,"missCount":580397,"hitRate":0.9489581750360214,"loadSuccessCount":0,"loadFailureCount":0,"totalLoadTimeNanos":0,"evictionCount":-1,"expirationCount":-1,"putCount":15000,"removeCount":0,"nativeMetrics":{"HitCountRam":10790611,"Composite.HitCountRam":10790611,"HitCountAux":0,"Composite.HitCountAux":0,"Put Count":15000,"Memory Cache.Put Count":15000,"Hit Count":10790611,"Memory Cache.Hit Count":10790611,"Miss Count":580397,"Memory Cache.Miss Count":580397,"Map Size":10000,"Memory Cache.Map Size":10000,"List Size":10000,"Memory Cache.List Size":10000}}</x:v>
      </x:c>
      <x:c r="BA152" s="43" t="n">
        <x:v>10000</x:v>
      </x:c>
      <x:c r="BB152" s="43" t="n">
        <x:v>11371008</x:v>
      </x:c>
      <x:c r="BC152" s="43" t="n">
        <x:v>10790611</x:v>
      </x:c>
      <x:c r="BD152" s="43" t="n">
        <x:v>580397</x:v>
      </x:c>
      <x:c r="BE152" s="48" t="n">
        <x:v>0.9489581750360214</x:v>
      </x:c>
      <x:c r="BF152" s="43" t="n">
        <x:v>0</x:v>
      </x:c>
      <x:c r="BG152" s="43" t="n">
        <x:v>0</x:v>
      </x:c>
      <x:c r="BH152" s="43" t="n">
        <x:v>0</x:v>
      </x:c>
      <x:c r="BI152" s="43" t="n">
        <x:v>-1</x:v>
      </x:c>
      <x:c r="BJ152" s="43" t="n">
        <x:v>-1</x:v>
      </x:c>
      <x:c r="BK152" s="43" t="n">
        <x:v>15000</x:v>
      </x:c>
      <x:c r="BL152" s="43" t="n">
        <x:v>0</x:v>
      </x:c>
      <x:c r="BM152" s="44" t="str">
        <x:v>{"HitCountRam":10790611,"Composite.HitCountRam":10790611,"HitCountAux":0,"Composite.HitCountAux":0,"Put Count":15000,"Memory Cache.Put Count":15000,"Hit Count":10790611,"Memory Cache.Hit Count":10790611,"Miss Count":580397,"Memory Cache.Miss Count":580397,"Map Size":10000,"Memory Cache.Map Size":10000,"List Size":10000,"Memory Cache.List Size":10000}</x:v>
      </x:c>
    </x:row>
    <x:row r="153">
      <x:c r="A153" s="34" t="str">
        <x:v>article1-unified-v4-2-fb3f101b-20260903-000401-default-f03-p4-jcs321</x:v>
      </x:c>
      <x:c r="B153" s="34" t="str">
        <x:v>default</x:v>
      </x:c>
      <x:c r="C153" s="34" t="str">
        <x:v>jcs321</x:v>
      </x:c>
      <x:c r="D153" s="34" t="str">
        <x:v>jcs321</x:v>
      </x:c>
      <x:c r="E153" s="34" t="str">
        <x:v>JCS-248-positive-control</x:v>
      </x:c>
      <x:c r="F153" s="36" t="n">
        <x:v>3</x:v>
      </x:c>
      <x:c r="G153" s="36" t="n">
        <x:v>3</x:v>
      </x:c>
      <x:c r="H153" s="36" t="n">
        <x:v>4</x:v>
      </x:c>
      <x:c r="I153" s="36" t="n">
        <x:v>1</x:v>
      </x:c>
      <x:c r="J153" s="34" t="str">
        <x:v>redeploy</x:v>
      </x:c>
      <x:c r="K153" s="34" t="str">
        <x:v>cache-semantics</x:v>
      </x:c>
      <x:c r="L153" s="45" t="b">
        <x:v>0</x:v>
      </x:c>
      <x:c r="M153" s="36" t="n">
        <x:v>142609922</x:v>
      </x:c>
      <x:c r="N153" s="34" t="str">
        <x:v>9ea92208df3b3b8b50bff1fcadf8cbf654073a5a10974202aa936e2af3f41e70</x:v>
      </x:c>
      <x:c r="O153" s="43" t="n">
        <x:v>10000</x:v>
      </x:c>
      <x:c r="P153" s="43" t="n">
        <x:v>400000</x:v>
      </x:c>
      <x:c r="Q153" s="36" t="n">
        <x:v>8</x:v>
      </x:c>
      <x:c r="R153" s="42" t="n">
        <x:v>95</x:v>
      </x:c>
      <x:c r="S153" s="43" t="n">
        <x:v>512</x:v>
      </x:c>
      <x:c r="T153" s="43" t="n">
        <x:v>50000</x:v>
      </x:c>
      <x:c r="U153" s="46" t="n">
        <x:v>3</x:v>
      </x:c>
      <x:c r="V153" s="46" t="n">
        <x:v>5</x:v>
      </x:c>
      <x:c r="W153" s="43" t="n">
        <x:v>300</x:v>
      </x:c>
      <x:c r="X153" s="34" t="str">
        <x:v>uniform</x:v>
      </x:c>
      <x:c r="Y153" s="42" t="n">
        <x:v>10</x:v>
      </x:c>
      <x:c r="Z153" s="34" t="str">
        <x:v>strict</x:v>
      </x:c>
      <x:c r="AA153" s="36" t="n">
        <x:v>64</x:v>
      </x:c>
      <x:c r="AB153" s="43" t="n">
        <x:v>6821120</x:v>
      </x:c>
      <x:c r="AC153" s="43" t="n">
        <x:v>3000589717</x:v>
      </x:c>
      <x:c r="AD153" s="43" t="n">
        <x:v>589717</x:v>
      </x:c>
      <x:c r="AE153" s="43" t="n">
        <x:v>3985602.409854641</x:v>
      </x:c>
      <x:c r="AF153" s="43" t="n">
        <x:v>2595319.919026746</x:v>
      </x:c>
      <x:c r="AG153" s="43" t="n">
        <x:v>12978432</x:v>
      </x:c>
      <x:c r="AH153" s="43" t="n">
        <x:v>5000706042</x:v>
      </x:c>
      <x:c r="AI153" s="43" t="n">
        <x:v>706042</x:v>
      </x:c>
      <x:c r="AJ153" s="43" t="n">
        <x:v>2595319.919026746</x:v>
      </x:c>
      <x:c r="AK153" s="43" t="n">
        <x:v>12978432</x:v>
      </x:c>
      <x:c r="AL153" s="43" t="n">
        <x:v>0</x:v>
      </x:c>
      <x:c r="AM153" s="43" t="n">
        <x:v>412869.16489944904</x:v>
      </x:c>
      <x:c r="AN153" s="43" t="n">
        <x:v>340</x:v>
      </x:c>
      <x:c r="AO153" s="43" t="n">
        <x:v>1032</x:v>
      </x:c>
      <x:c r="AP153" s="43" t="n">
        <x:v>201691</x:v>
      </x:c>
      <x:c r="AQ153" s="43" t="n">
        <x:v>202788</x:v>
      </x:c>
      <x:c r="AR153" s="43" t="n">
        <x:v>1</x:v>
      </x:c>
      <x:c r="AS153" s="45" t="b">
        <x:v>1</x:v>
      </x:c>
      <x:c r="AT153" s="43" t="n">
        <x:v>10000</x:v>
      </x:c>
      <x:c r="AU153" s="48" t="n">
        <x:v>0.9489634032832317</x:v>
      </x:c>
      <x:c r="AV153" s="43" t="n">
        <x:v>10000</x:v>
      </x:c>
      <x:c r="AW153" s="48" t="n">
        <x:v>0.9489634032832317</x:v>
      </x:c>
      <x:c r="AX153" s="45" t="b">
        <x:v>1</x:v>
      </x:c>
      <x:c r="AY153" s="44" t="str">
        <x:v>{"provider":"jcs321","currentEntries":10000,"requestCount":12978432,"hitCount":12316057,"missCount":662375,"hitRate":0.9489634032832317,"loadSuccessCount":0,"loadFailureCount":0,"totalLoadTimeNanos":0,"evictionCount":-1,"expirationCount":-1,"putCount":10000,"removeCount":0,"nativeMetrics":{"HitCountRam":12316057,"Composite.HitCountRam":12316057,"HitCountAux":0,"Composite.HitCountAux":0,"Put Count":10000,"Memory Cache.Put Count":10000,"Hit Count":12316057,"Memory Cache.Hit Count":12316057,"Miss Count":662375,"Memory Cache.Miss Count":662375,"Map Size":10000,"Memory Cache.Map Size":10000,"List Size":10000,"Memory Cache.List Size":10000}}</x:v>
      </x:c>
      <x:c r="AZ153" s="44" t="str">
        <x:v>{"provider":"jcs321","currentEntries":10000,"requestCount":12978432,"hitCount":12316057,"missCount":662375,"hitRate":0.9489634032832317,"loadSuccessCount":0,"loadFailureCount":0,"totalLoadTimeNanos":0,"evictionCount":-1,"expirationCount":-1,"putCount":15000,"removeCount":0,"nativeMetrics":{"HitCountRam":12316057,"Composite.HitCountRam":12316057,"HitCountAux":0,"Composite.HitCountAux":0,"Put Count":15000,"Memory Cache.Put Count":15000,"Hit Count":12316057,"Memory Cache.Hit Count":12316057,"Miss Count":662375,"Memory Cache.Miss Count":662375,"Map Size":10000,"Memory Cache.Map Size":10000,"List Size":10000,"Memory Cache.List Size":10000}}</x:v>
      </x:c>
      <x:c r="BA153" s="43" t="n">
        <x:v>10000</x:v>
      </x:c>
      <x:c r="BB153" s="43" t="n">
        <x:v>12978432</x:v>
      </x:c>
      <x:c r="BC153" s="43" t="n">
        <x:v>12316057</x:v>
      </x:c>
      <x:c r="BD153" s="43" t="n">
        <x:v>662375</x:v>
      </x:c>
      <x:c r="BE153" s="48" t="n">
        <x:v>0.9489634032832317</x:v>
      </x:c>
      <x:c r="BF153" s="43" t="n">
        <x:v>0</x:v>
      </x:c>
      <x:c r="BG153" s="43" t="n">
        <x:v>0</x:v>
      </x:c>
      <x:c r="BH153" s="43" t="n">
        <x:v>0</x:v>
      </x:c>
      <x:c r="BI153" s="43" t="n">
        <x:v>-1</x:v>
      </x:c>
      <x:c r="BJ153" s="43" t="n">
        <x:v>-1</x:v>
      </x:c>
      <x:c r="BK153" s="43" t="n">
        <x:v>15000</x:v>
      </x:c>
      <x:c r="BL153" s="43" t="n">
        <x:v>0</x:v>
      </x:c>
      <x:c r="BM153" s="44" t="str">
        <x:v>{"HitCountRam":12316057,"Composite.HitCountRam":12316057,"HitCountAux":0,"Composite.HitCountAux":0,"Put Count":15000,"Memory Cache.Put Count":15000,"Hit Count":12316057,"Memory Cache.Hit Count":12316057,"Miss Count":662375,"Memory Cache.Miss Count":662375,"Map Size":10000,"Memory Cache.Map Size":10000,"List Size":10000,"Memory Cache.List Size":10000}</x:v>
      </x:c>
    </x:row>
    <x:row r="154">
      <x:c r="A154" s="34" t="str">
        <x:v>article1-unified-v4-2-fb3f101b-20260903-000401-default-f03-p4-jcs321</x:v>
      </x:c>
      <x:c r="B154" s="34" t="str">
        <x:v>default</x:v>
      </x:c>
      <x:c r="C154" s="34" t="str">
        <x:v>jcs321</x:v>
      </x:c>
      <x:c r="D154" s="34" t="str">
        <x:v>jcs321</x:v>
      </x:c>
      <x:c r="E154" s="34" t="str">
        <x:v>JCS-248-positive-control</x:v>
      </x:c>
      <x:c r="F154" s="36" t="n">
        <x:v>3</x:v>
      </x:c>
      <x:c r="G154" s="36" t="n">
        <x:v>3</x:v>
      </x:c>
      <x:c r="H154" s="36" t="n">
        <x:v>4</x:v>
      </x:c>
      <x:c r="I154" s="36" t="n">
        <x:v>2</x:v>
      </x:c>
      <x:c r="J154" s="34" t="str">
        <x:v>initial</x:v>
      </x:c>
      <x:c r="K154" s="34" t="str">
        <x:v>cache-semantics</x:v>
      </x:c>
      <x:c r="L154" s="45" t="b">
        <x:v>0</x:v>
      </x:c>
      <x:c r="M154" s="36" t="n">
        <x:v>1808793809</x:v>
      </x:c>
      <x:c r="N154" s="34" t="str">
        <x:v>e98ae77b89ca281ab6e3fa243d388f2afaa7d447b25249b9af400b47f86b2473</x:v>
      </x:c>
      <x:c r="O154" s="43" t="n">
        <x:v>10000</x:v>
      </x:c>
      <x:c r="P154" s="43" t="n">
        <x:v>400000</x:v>
      </x:c>
      <x:c r="Q154" s="36" t="n">
        <x:v>8</x:v>
      </x:c>
      <x:c r="R154" s="42" t="n">
        <x:v>95</x:v>
      </x:c>
      <x:c r="S154" s="43" t="n">
        <x:v>512</x:v>
      </x:c>
      <x:c r="T154" s="43" t="n">
        <x:v>50000</x:v>
      </x:c>
      <x:c r="U154" s="46" t="n">
        <x:v>3</x:v>
      </x:c>
      <x:c r="V154" s="46" t="n">
        <x:v>5</x:v>
      </x:c>
      <x:c r="W154" s="43" t="n">
        <x:v>300</x:v>
      </x:c>
      <x:c r="X154" s="34" t="str">
        <x:v>uniform</x:v>
      </x:c>
      <x:c r="Y154" s="42" t="n">
        <x:v>10</x:v>
      </x:c>
      <x:c r="Z154" s="34" t="str">
        <x:v>strict</x:v>
      </x:c>
      <x:c r="AA154" s="36" t="n">
        <x:v>64</x:v>
      </x:c>
      <x:c r="AB154" s="43" t="n">
        <x:v>7569664</x:v>
      </x:c>
      <x:c r="AC154" s="43" t="n">
        <x:v>3000608416</x:v>
      </x:c>
      <x:c r="AD154" s="43" t="n">
        <x:v>608416</x:v>
      </x:c>
      <x:c r="AE154" s="43" t="n">
        <x:v>3588521.468150257</x:v>
      </x:c>
      <x:c r="AF154" s="43" t="n">
        <x:v>3168665.8019768144</x:v>
      </x:c>
      <x:c r="AG154" s="43" t="n">
        <x:v>15845120</x:v>
      </x:c>
      <x:c r="AH154" s="43" t="n">
        <x:v>5000565219</x:v>
      </x:c>
      <x:c r="AI154" s="43" t="n">
        <x:v>565219</x:v>
      </x:c>
      <x:c r="AJ154" s="43" t="n">
        <x:v>3168665.8019768144</x:v>
      </x:c>
      <x:c r="AK154" s="43" t="n">
        <x:v>15845120</x:v>
      </x:c>
      <x:c r="AL154" s="43" t="n">
        <x:v>0</x:v>
      </x:c>
      <x:c r="AM154" s="43" t="n">
        <x:v>537938.4305796911</x:v>
      </x:c>
      <x:c r="AN154" s="43" t="n">
        <x:v>270</x:v>
      </x:c>
      <x:c r="AO154" s="43" t="n">
        <x:v>771</x:v>
      </x:c>
      <x:c r="AP154" s="43" t="n">
        <x:v>192055</x:v>
      </x:c>
      <x:c r="AQ154" s="43" t="n">
        <x:v>247580</x:v>
      </x:c>
      <x:c r="AR154" s="43" t="n">
        <x:v>1</x:v>
      </x:c>
      <x:c r="AS154" s="45" t="b">
        <x:v>1</x:v>
      </x:c>
      <x:c r="AT154" s="43" t="n">
        <x:v>10000</x:v>
      </x:c>
      <x:c r="AU154" s="48" t="n">
        <x:v>0.9500502362872607</x:v>
      </x:c>
      <x:c r="AV154" s="43" t="n">
        <x:v>10000</x:v>
      </x:c>
      <x:c r="AW154" s="48" t="n">
        <x:v>0.9500502362872607</x:v>
      </x:c>
      <x:c r="AX154" s="45" t="b">
        <x:v>1</x:v>
      </x:c>
      <x:c r="AY154" s="44" t="str">
        <x:v>{"provider":"jcs321","currentEntries":10000,"requestCount":15845120,"hitCount":15053660,"missCount":791460,"hitRate":0.9500502362872607,"loadSuccessCount":0,"loadFailureCount":0,"totalLoadTimeNanos":0,"evictionCount":-1,"expirationCount":-1,"putCount":10000,"removeCount":0,"nativeMetrics":{"HitCountRam":15053660,"Composite.HitCountRam":15053660,"HitCountAux":0,"Composite.HitCountAux":0,"Put Count":10000,"Memory Cache.Put Count":10000,"Hit Count":15053660,"Memory Cache.Hit Count":15053660,"Miss Count":791460,"Memory Cache.Miss Count":791460,"Map Size":10000,"Memory Cache.Map Size":10000,"List Size":10000,"Memory Cache.List Size":10000}}</x:v>
      </x:c>
      <x:c r="AZ154" s="44" t="str">
        <x:v>{"provider":"jcs321","currentEntries":10000,"requestCount":15845120,"hitCount":15053660,"missCount":791460,"hitRate":0.9500502362872607,"loadSuccessCount":0,"loadFailureCount":0,"totalLoadTimeNanos":0,"evictionCount":-1,"expirationCount":-1,"putCount":15000,"removeCount":0,"nativeMetrics":{"HitCountRam":15053660,"Composite.HitCountRam":15053660,"HitCountAux":0,"Composite.HitCountAux":0,"Put Count":15000,"Memory Cache.Put Count":15000,"Hit Count":15053660,"Memory Cache.Hit Count":15053660,"Miss Count":791460,"Memory Cache.Miss Count":791460,"Map Size":10000,"Memory Cache.Map Size":10000,"List Size":10000,"Memory Cache.List Size":10000}}</x:v>
      </x:c>
      <x:c r="BA154" s="43" t="n">
        <x:v>10000</x:v>
      </x:c>
      <x:c r="BB154" s="43" t="n">
        <x:v>15845120</x:v>
      </x:c>
      <x:c r="BC154" s="43" t="n">
        <x:v>15053660</x:v>
      </x:c>
      <x:c r="BD154" s="43" t="n">
        <x:v>791460</x:v>
      </x:c>
      <x:c r="BE154" s="48" t="n">
        <x:v>0.9500502362872607</x:v>
      </x:c>
      <x:c r="BF154" s="43" t="n">
        <x:v>0</x:v>
      </x:c>
      <x:c r="BG154" s="43" t="n">
        <x:v>0</x:v>
      </x:c>
      <x:c r="BH154" s="43" t="n">
        <x:v>0</x:v>
      </x:c>
      <x:c r="BI154" s="43" t="n">
        <x:v>-1</x:v>
      </x:c>
      <x:c r="BJ154" s="43" t="n">
        <x:v>-1</x:v>
      </x:c>
      <x:c r="BK154" s="43" t="n">
        <x:v>15000</x:v>
      </x:c>
      <x:c r="BL154" s="43" t="n">
        <x:v>0</x:v>
      </x:c>
      <x:c r="BM154" s="44" t="str">
        <x:v>{"HitCountRam":15053660,"Composite.HitCountRam":15053660,"HitCountAux":0,"Composite.HitCountAux":0,"Put Count":15000,"Memory Cache.Put Count":15000,"Hit Count":15053660,"Memory Cache.Hit Count":15053660,"Miss Count":791460,"Memory Cache.Miss Count":791460,"Map Size":10000,"Memory Cache.Map Size":10000,"List Size":10000,"Memory Cache.List Size":10000}</x:v>
      </x:c>
    </x:row>
    <x:row r="155">
      <x:c r="A155" s="34" t="str">
        <x:v>article1-unified-v4-2-fb3f101b-20260903-000401-default-f03-p4-jcs321</x:v>
      </x:c>
      <x:c r="B155" s="34" t="str">
        <x:v>default</x:v>
      </x:c>
      <x:c r="C155" s="34" t="str">
        <x:v>jcs321</x:v>
      </x:c>
      <x:c r="D155" s="34" t="str">
        <x:v>jcs321</x:v>
      </x:c>
      <x:c r="E155" s="34" t="str">
        <x:v>JCS-248-positive-control</x:v>
      </x:c>
      <x:c r="F155" s="36" t="n">
        <x:v>3</x:v>
      </x:c>
      <x:c r="G155" s="36" t="n">
        <x:v>3</x:v>
      </x:c>
      <x:c r="H155" s="36" t="n">
        <x:v>4</x:v>
      </x:c>
      <x:c r="I155" s="36" t="n">
        <x:v>2</x:v>
      </x:c>
      <x:c r="J155" s="34" t="str">
        <x:v>redeploy</x:v>
      </x:c>
      <x:c r="K155" s="34" t="str">
        <x:v>cache-semantics</x:v>
      </x:c>
      <x:c r="L155" s="45" t="b">
        <x:v>0</x:v>
      </x:c>
      <x:c r="M155" s="36" t="n">
        <x:v>1808793809</x:v>
      </x:c>
      <x:c r="N155" s="34" t="str">
        <x:v>e98ae77b89ca281ab6e3fa243d388f2afaa7d447b25249b9af400b47f86b2473</x:v>
      </x:c>
      <x:c r="O155" s="43" t="n">
        <x:v>10000</x:v>
      </x:c>
      <x:c r="P155" s="43" t="n">
        <x:v>400000</x:v>
      </x:c>
      <x:c r="Q155" s="36" t="n">
        <x:v>8</x:v>
      </x:c>
      <x:c r="R155" s="42" t="n">
        <x:v>95</x:v>
      </x:c>
      <x:c r="S155" s="43" t="n">
        <x:v>512</x:v>
      </x:c>
      <x:c r="T155" s="43" t="n">
        <x:v>50000</x:v>
      </x:c>
      <x:c r="U155" s="46" t="n">
        <x:v>3</x:v>
      </x:c>
      <x:c r="V155" s="46" t="n">
        <x:v>5</x:v>
      </x:c>
      <x:c r="W155" s="43" t="n">
        <x:v>300</x:v>
      </x:c>
      <x:c r="X155" s="34" t="str">
        <x:v>uniform</x:v>
      </x:c>
      <x:c r="Y155" s="42" t="n">
        <x:v>10</x:v>
      </x:c>
      <x:c r="Z155" s="34" t="str">
        <x:v>strict</x:v>
      </x:c>
      <x:c r="AA155" s="36" t="n">
        <x:v>64</x:v>
      </x:c>
      <x:c r="AB155" s="43" t="n">
        <x:v>6810880</x:v>
      </x:c>
      <x:c r="AC155" s="43" t="n">
        <x:v>3000836980</x:v>
      </x:c>
      <x:c r="AD155" s="43" t="n">
        <x:v>836980</x:v>
      </x:c>
      <x:c r="AE155" s="43" t="n">
        <x:v>4028655.017407818</x:v>
      </x:c>
      <x:c r="AF155" s="43" t="n">
        <x:v>2425726.9622955616</x:v>
      </x:c>
      <x:c r="AG155" s="43" t="n">
        <x:v>12131072</x:v>
      </x:c>
      <x:c r="AH155" s="43" t="n">
        <x:v>5001004725</x:v>
      </x:c>
      <x:c r="AI155" s="43" t="n">
        <x:v>1004725</x:v>
      </x:c>
      <x:c r="AJ155" s="43" t="n">
        <x:v>2425726.9622955616</x:v>
      </x:c>
      <x:c r="AK155" s="43" t="n">
        <x:v>12131072</x:v>
      </x:c>
      <x:c r="AL155" s="43" t="n">
        <x:v>0</x:v>
      </x:c>
      <x:c r="AM155" s="43" t="n">
        <x:v>583604.4954353957</x:v>
      </x:c>
      <x:c r="AN155" s="43" t="n">
        <x:v>390</x:v>
      </x:c>
      <x:c r="AO155" s="43" t="n">
        <x:v>1012</x:v>
      </x:c>
      <x:c r="AP155" s="43" t="n">
        <x:v>209269</x:v>
      </x:c>
      <x:c r="AQ155" s="43" t="n">
        <x:v>189548</x:v>
      </x:c>
      <x:c r="AR155" s="43" t="n">
        <x:v>1</x:v>
      </x:c>
      <x:c r="AS155" s="45" t="b">
        <x:v>1</x:v>
      </x:c>
      <x:c r="AT155" s="43" t="n">
        <x:v>10000</x:v>
      </x:c>
      <x:c r="AU155" s="48" t="n">
        <x:v>0.950048272733028</x:v>
      </x:c>
      <x:c r="AV155" s="43" t="n">
        <x:v>10000</x:v>
      </x:c>
      <x:c r="AW155" s="48" t="n">
        <x:v>0.950048272733028</x:v>
      </x:c>
      <x:c r="AX155" s="45" t="b">
        <x:v>1</x:v>
      </x:c>
      <x:c r="AY155" s="44" t="str">
        <x:v>{"provider":"jcs321","currentEntries":10000,"requestCount":12131072,"hitCount":11525104,"missCount":605968,"hitRate":0.950048272733028,"loadSuccessCount":0,"loadFailureCount":0,"totalLoadTimeNanos":0,"evictionCount":-1,"expirationCount":-1,"putCount":10000,"removeCount":0,"nativeMetrics":{"HitCountRam":11525104,"Composite.HitCountRam":11525104,"HitCountAux":0,"Composite.HitCountAux":0,"Put Count":10000,"Memory Cache.Put Count":10000,"Hit Count":11525104,"Memory Cache.Hit Count":11525104,"Miss Count":605968,"Memory Cache.Miss Count":605968,"Map Size":10000,"Memory Cache.Map Size":10000,"List Size":10000,"Memory Cache.List Size":10000}}</x:v>
      </x:c>
      <x:c r="AZ155" s="44" t="str">
        <x:v>{"provider":"jcs321","currentEntries":10000,"requestCount":12131072,"hitCount":11525104,"missCount":605968,"hitRate":0.950048272733028,"loadSuccessCount":0,"loadFailureCount":0,"totalLoadTimeNanos":0,"evictionCount":-1,"expirationCount":-1,"putCount":15000,"removeCount":0,"nativeMetrics":{"HitCountRam":11525104,"Composite.HitCountRam":11525104,"HitCountAux":0,"Composite.HitCountAux":0,"Put Count":15000,"Memory Cache.Put Count":15000,"Hit Count":11525104,"Memory Cache.Hit Count":11525104,"Miss Count":605968,"Memory Cache.Miss Count":605968,"Map Size":10000,"Memory Cache.Map Size":10000,"List Size":10000,"Memory Cache.List Size":10000}}</x:v>
      </x:c>
      <x:c r="BA155" s="43" t="n">
        <x:v>10000</x:v>
      </x:c>
      <x:c r="BB155" s="43" t="n">
        <x:v>12131072</x:v>
      </x:c>
      <x:c r="BC155" s="43" t="n">
        <x:v>11525104</x:v>
      </x:c>
      <x:c r="BD155" s="43" t="n">
        <x:v>605968</x:v>
      </x:c>
      <x:c r="BE155" s="48" t="n">
        <x:v>0.950048272733028</x:v>
      </x:c>
      <x:c r="BF155" s="43" t="n">
        <x:v>0</x:v>
      </x:c>
      <x:c r="BG155" s="43" t="n">
        <x:v>0</x:v>
      </x:c>
      <x:c r="BH155" s="43" t="n">
        <x:v>0</x:v>
      </x:c>
      <x:c r="BI155" s="43" t="n">
        <x:v>-1</x:v>
      </x:c>
      <x:c r="BJ155" s="43" t="n">
        <x:v>-1</x:v>
      </x:c>
      <x:c r="BK155" s="43" t="n">
        <x:v>15000</x:v>
      </x:c>
      <x:c r="BL155" s="43" t="n">
        <x:v>0</x:v>
      </x:c>
      <x:c r="BM155" s="44" t="str">
        <x:v>{"HitCountRam":11525104,"Composite.HitCountRam":11525104,"HitCountAux":0,"Composite.HitCountAux":0,"Put Count":15000,"Memory Cache.Put Count":15000,"Hit Count":11525104,"Memory Cache.Hit Count":11525104,"Miss Count":605968,"Memory Cache.Miss Count":605968,"Map Size":10000,"Memory Cache.Map Size":10000,"List Size":10000,"Memory Cache.List Size":10000}</x:v>
      </x:c>
    </x:row>
    <x:row r="156">
      <x:c r="A156" s="34" t="str">
        <x:v>article1-unified-v4-2-fb3f101b-20260903-000401-default-f03-p4-jcs321</x:v>
      </x:c>
      <x:c r="B156" s="34" t="str">
        <x:v>default</x:v>
      </x:c>
      <x:c r="C156" s="34" t="str">
        <x:v>jcs321</x:v>
      </x:c>
      <x:c r="D156" s="34" t="str">
        <x:v>jcs321</x:v>
      </x:c>
      <x:c r="E156" s="34" t="str">
        <x:v>JCS-248-positive-control</x:v>
      </x:c>
      <x:c r="F156" s="36" t="n">
        <x:v>3</x:v>
      </x:c>
      <x:c r="G156" s="36" t="n">
        <x:v>3</x:v>
      </x:c>
      <x:c r="H156" s="36" t="n">
        <x:v>4</x:v>
      </x:c>
      <x:c r="I156" s="36" t="n">
        <x:v>3</x:v>
      </x:c>
      <x:c r="J156" s="34" t="str">
        <x:v>initial</x:v>
      </x:c>
      <x:c r="K156" s="34" t="str">
        <x:v>cache-semantics</x:v>
      </x:c>
      <x:c r="L156" s="45" t="b">
        <x:v>0</x:v>
      </x:c>
      <x:c r="M156" s="36" t="n">
        <x:v>124332191</x:v>
      </x:c>
      <x:c r="N156" s="34" t="str">
        <x:v>05d9806dea6607f34cfaa463b8de941fa0300c4e5f7fb1516ac47f2bc0b6780d</x:v>
      </x:c>
      <x:c r="O156" s="43" t="n">
        <x:v>10000</x:v>
      </x:c>
      <x:c r="P156" s="43" t="n">
        <x:v>400000</x:v>
      </x:c>
      <x:c r="Q156" s="36" t="n">
        <x:v>8</x:v>
      </x:c>
      <x:c r="R156" s="42" t="n">
        <x:v>95</x:v>
      </x:c>
      <x:c r="S156" s="43" t="n">
        <x:v>512</x:v>
      </x:c>
      <x:c r="T156" s="43" t="n">
        <x:v>50000</x:v>
      </x:c>
      <x:c r="U156" s="46" t="n">
        <x:v>3</x:v>
      </x:c>
      <x:c r="V156" s="46" t="n">
        <x:v>5</x:v>
      </x:c>
      <x:c r="W156" s="43" t="n">
        <x:v>300</x:v>
      </x:c>
      <x:c r="X156" s="34" t="str">
        <x:v>uniform</x:v>
      </x:c>
      <x:c r="Y156" s="42" t="n">
        <x:v>10</x:v>
      </x:c>
      <x:c r="Z156" s="34" t="str">
        <x:v>strict</x:v>
      </x:c>
      <x:c r="AA156" s="36" t="n">
        <x:v>64</x:v>
      </x:c>
      <x:c r="AB156" s="43" t="n">
        <x:v>8475648</x:v>
      </x:c>
      <x:c r="AC156" s="43" t="n">
        <x:v>3001291865</x:v>
      </x:c>
      <x:c r="AD156" s="43" t="n">
        <x:v>1291865</x:v>
      </x:c>
      <x:c r="AE156" s="43" t="n">
        <x:v>2897891.3493596385</x:v>
      </x:c>
      <x:c r="AF156" s="43" t="n">
        <x:v>3143914.424616292</x:v>
      </x:c>
      <x:c r="AG156" s="43" t="n">
        <x:v>15721472</x:v>
      </x:c>
      <x:c r="AH156" s="43" t="n">
        <x:v>5000604303</x:v>
      </x:c>
      <x:c r="AI156" s="43" t="n">
        <x:v>604303</x:v>
      </x:c>
      <x:c r="AJ156" s="43" t="n">
        <x:v>3143914.424616292</x:v>
      </x:c>
      <x:c r="AK156" s="43" t="n">
        <x:v>15721472</x:v>
      </x:c>
      <x:c r="AL156" s="43" t="n">
        <x:v>0</x:v>
      </x:c>
      <x:c r="AM156" s="43" t="n">
        <x:v>533332.4231126646</x:v>
      </x:c>
      <x:c r="AN156" s="43" t="n">
        <x:v>270</x:v>
      </x:c>
      <x:c r="AO156" s="43" t="n">
        <x:v>782</x:v>
      </x:c>
      <x:c r="AP156" s="43" t="n">
        <x:v>182305</x:v>
      </x:c>
      <x:c r="AQ156" s="43" t="n">
        <x:v>245648</x:v>
      </x:c>
      <x:c r="AR156" s="43" t="n">
        <x:v>1</x:v>
      </x:c>
      <x:c r="AS156" s="45" t="b">
        <x:v>1</x:v>
      </x:c>
      <x:c r="AT156" s="43" t="n">
        <x:v>10000</x:v>
      </x:c>
      <x:c r="AU156" s="48" t="n">
        <x:v>0.9501183476967042</x:v>
      </x:c>
      <x:c r="AV156" s="43" t="n">
        <x:v>10000</x:v>
      </x:c>
      <x:c r="AW156" s="48" t="n">
        <x:v>0.9501183476967042</x:v>
      </x:c>
      <x:c r="AX156" s="45" t="b">
        <x:v>1</x:v>
      </x:c>
      <x:c r="AY156" s="44" t="str">
        <x:v>{"provider":"jcs321","currentEntries":10000,"requestCount":15721472,"hitCount":14937259,"missCount":784213,"hitRate":0.9501183476967042,"loadSuccessCount":0,"loadFailureCount":0,"totalLoadTimeNanos":0,"evictionCount":-1,"expirationCount":-1,"putCount":10000,"removeCount":0,"nativeMetrics":{"HitCountRam":14937259,"Composite.HitCountRam":14937259,"HitCountAux":0,"Composite.HitCountAux":0,"Put Count":10000,"Memory Cache.Put Count":10000,"Hit Count":14937259,"Memory Cache.Hit Count":14937259,"Miss Count":784213,"Memory Cache.Miss Count":784213,"Map Size":10000,"Memory Cache.Map Size":10000,"List Size":10000,"Memory Cache.List Size":10000}}</x:v>
      </x:c>
      <x:c r="AZ156" s="44" t="str">
        <x:v>{"provider":"jcs321","currentEntries":10000,"requestCount":15721472,"hitCount":14937259,"missCount":784213,"hitRate":0.9501183476967042,"loadSuccessCount":0,"loadFailureCount":0,"totalLoadTimeNanos":0,"evictionCount":-1,"expirationCount":-1,"putCount":15000,"removeCount":0,"nativeMetrics":{"HitCountRam":14937259,"Composite.HitCountRam":14937259,"HitCountAux":0,"Composite.HitCountAux":0,"Put Count":15000,"Memory Cache.Put Count":15000,"Hit Count":14937259,"Memory Cache.Hit Count":14937259,"Miss Count":784213,"Memory Cache.Miss Count":784213,"Map Size":10000,"Memory Cache.Map Size":10000,"List Size":10000,"Memory Cache.List Size":10000}}</x:v>
      </x:c>
      <x:c r="BA156" s="43" t="n">
        <x:v>10000</x:v>
      </x:c>
      <x:c r="BB156" s="43" t="n">
        <x:v>15721472</x:v>
      </x:c>
      <x:c r="BC156" s="43" t="n">
        <x:v>14937259</x:v>
      </x:c>
      <x:c r="BD156" s="43" t="n">
        <x:v>784213</x:v>
      </x:c>
      <x:c r="BE156" s="48" t="n">
        <x:v>0.9501183476967042</x:v>
      </x:c>
      <x:c r="BF156" s="43" t="n">
        <x:v>0</x:v>
      </x:c>
      <x:c r="BG156" s="43" t="n">
        <x:v>0</x:v>
      </x:c>
      <x:c r="BH156" s="43" t="n">
        <x:v>0</x:v>
      </x:c>
      <x:c r="BI156" s="43" t="n">
        <x:v>-1</x:v>
      </x:c>
      <x:c r="BJ156" s="43" t="n">
        <x:v>-1</x:v>
      </x:c>
      <x:c r="BK156" s="43" t="n">
        <x:v>15000</x:v>
      </x:c>
      <x:c r="BL156" s="43" t="n">
        <x:v>0</x:v>
      </x:c>
      <x:c r="BM156" s="44" t="str">
        <x:v>{"HitCountRam":14937259,"Composite.HitCountRam":14937259,"HitCountAux":0,"Composite.HitCountAux":0,"Put Count":15000,"Memory Cache.Put Count":15000,"Hit Count":14937259,"Memory Cache.Hit Count":14937259,"Miss Count":784213,"Memory Cache.Miss Count":784213,"Map Size":10000,"Memory Cache.Map Size":10000,"List Size":10000,"Memory Cache.List Size":10000}</x:v>
      </x:c>
    </x:row>
    <x:row r="157">
      <x:c r="A157" s="34" t="str">
        <x:v>article1-unified-v4-2-fb3f101b-20260903-000401-default-f03-p4-jcs321</x:v>
      </x:c>
      <x:c r="B157" s="34" t="str">
        <x:v>default</x:v>
      </x:c>
      <x:c r="C157" s="34" t="str">
        <x:v>jcs321</x:v>
      </x:c>
      <x:c r="D157" s="34" t="str">
        <x:v>jcs321</x:v>
      </x:c>
      <x:c r="E157" s="34" t="str">
        <x:v>JCS-248-positive-control</x:v>
      </x:c>
      <x:c r="F157" s="36" t="n">
        <x:v>3</x:v>
      </x:c>
      <x:c r="G157" s="36" t="n">
        <x:v>3</x:v>
      </x:c>
      <x:c r="H157" s="36" t="n">
        <x:v>4</x:v>
      </x:c>
      <x:c r="I157" s="36" t="n">
        <x:v>3</x:v>
      </x:c>
      <x:c r="J157" s="34" t="str">
        <x:v>redeploy</x:v>
      </x:c>
      <x:c r="K157" s="34" t="str">
        <x:v>cache-semantics</x:v>
      </x:c>
      <x:c r="L157" s="45" t="b">
        <x:v>0</x:v>
      </x:c>
      <x:c r="M157" s="36" t="n">
        <x:v>124332191</x:v>
      </x:c>
      <x:c r="N157" s="34" t="str">
        <x:v>05d9806dea6607f34cfaa463b8de941fa0300c4e5f7fb1516ac47f2bc0b6780d</x:v>
      </x:c>
      <x:c r="O157" s="43" t="n">
        <x:v>10000</x:v>
      </x:c>
      <x:c r="P157" s="43" t="n">
        <x:v>400000</x:v>
      </x:c>
      <x:c r="Q157" s="36" t="n">
        <x:v>8</x:v>
      </x:c>
      <x:c r="R157" s="42" t="n">
        <x:v>95</x:v>
      </x:c>
      <x:c r="S157" s="43" t="n">
        <x:v>512</x:v>
      </x:c>
      <x:c r="T157" s="43" t="n">
        <x:v>50000</x:v>
      </x:c>
      <x:c r="U157" s="46" t="n">
        <x:v>3</x:v>
      </x:c>
      <x:c r="V157" s="46" t="n">
        <x:v>5</x:v>
      </x:c>
      <x:c r="W157" s="43" t="n">
        <x:v>300</x:v>
      </x:c>
      <x:c r="X157" s="34" t="str">
        <x:v>uniform</x:v>
      </x:c>
      <x:c r="Y157" s="42" t="n">
        <x:v>10</x:v>
      </x:c>
      <x:c r="Z157" s="34" t="str">
        <x:v>strict</x:v>
      </x:c>
      <x:c r="AA157" s="36" t="n">
        <x:v>64</x:v>
      </x:c>
      <x:c r="AB157" s="43" t="n">
        <x:v>7687424</x:v>
      </x:c>
      <x:c r="AC157" s="43" t="n">
        <x:v>3000438748</x:v>
      </x:c>
      <x:c r="AD157" s="43" t="n">
        <x:v>438748</x:v>
      </x:c>
      <x:c r="AE157" s="43" t="n">
        <x:v>3457717.816340552</x:v>
      </x:c>
      <x:c r="AF157" s="43" t="n">
        <x:v>3143470.9312458863</x:v>
      </x:c>
      <x:c r="AG157" s="43" t="n">
        <x:v>15719424</x:v>
      </x:c>
      <x:c r="AH157" s="43" t="n">
        <x:v>5000658299</x:v>
      </x:c>
      <x:c r="AI157" s="43" t="n">
        <x:v>658299</x:v>
      </x:c>
      <x:c r="AJ157" s="43" t="n">
        <x:v>3143470.9312458863</x:v>
      </x:c>
      <x:c r="AK157" s="43" t="n">
        <x:v>15719424</x:v>
      </x:c>
      <x:c r="AL157" s="43" t="n">
        <x:v>0</x:v>
      </x:c>
      <x:c r="AM157" s="43" t="n">
        <x:v>508886.6882366771</x:v>
      </x:c>
      <x:c r="AN157" s="43" t="n">
        <x:v>270</x:v>
      </x:c>
      <x:c r="AO157" s="43" t="n">
        <x:v>771</x:v>
      </x:c>
      <x:c r="AP157" s="43" t="n">
        <x:v>20751</x:v>
      </x:c>
      <x:c r="AQ157" s="43" t="n">
        <x:v>245616</x:v>
      </x:c>
      <x:c r="AR157" s="43" t="n">
        <x:v>1</x:v>
      </x:c>
      <x:c r="AS157" s="45" t="b">
        <x:v>1</x:v>
      </x:c>
      <x:c r="AT157" s="43" t="n">
        <x:v>10000</x:v>
      </x:c>
      <x:c r="AU157" s="48" t="n">
        <x:v>0.950124635610058</x:v>
      </x:c>
      <x:c r="AV157" s="43" t="n">
        <x:v>10000</x:v>
      </x:c>
      <x:c r="AW157" s="48" t="n">
        <x:v>0.950124635610058</x:v>
      </x:c>
      <x:c r="AX157" s="45" t="b">
        <x:v>1</x:v>
      </x:c>
      <x:c r="AY157" s="44" t="str">
        <x:v>{"provider":"jcs321","currentEntries":10000,"requestCount":15719424,"hitCount":14935412,"missCount":784012,"hitRate":0.950124635610058,"loadSuccessCount":0,"loadFailureCount":0,"totalLoadTimeNanos":0,"evictionCount":-1,"expirationCount":-1,"putCount":10000,"removeCount":0,"nativeMetrics":{"HitCountRam":14935412,"Composite.HitCountRam":14935412,"HitCountAux":0,"Composite.HitCountAux":0,"Put Count":10000,"Memory Cache.Put Count":10000,"Hit Count":14935412,"Memory Cache.Hit Count":14935412,"Miss Count":784012,"Memory Cache.Miss Count":784012,"Map Size":10000,"Memory Cache.Map Size":10000,"List Size":10000,"Memory Cache.List Size":10000}}</x:v>
      </x:c>
      <x:c r="AZ157" s="44" t="str">
        <x:v>{"provider":"jcs321","currentEntries":10000,"requestCount":15719424,"hitCount":14935412,"missCount":784012,"hitRate":0.950124635610058,"loadSuccessCount":0,"loadFailureCount":0,"totalLoadTimeNanos":0,"evictionCount":-1,"expirationCount":-1,"putCount":15000,"removeCount":0,"nativeMetrics":{"HitCountRam":14935412,"Composite.HitCountRam":14935412,"HitCountAux":0,"Composite.HitCountAux":0,"Put Count":15000,"Memory Cache.Put Count":15000,"Hit Count":14935412,"Memory Cache.Hit Count":14935412,"Miss Count":784012,"Memory Cache.Miss Count":784012,"Map Size":10000,"Memory Cache.Map Size":10000,"List Size":10000,"Memory Cache.List Size":10000}}</x:v>
      </x:c>
      <x:c r="BA157" s="43" t="n">
        <x:v>10000</x:v>
      </x:c>
      <x:c r="BB157" s="43" t="n">
        <x:v>15719424</x:v>
      </x:c>
      <x:c r="BC157" s="43" t="n">
        <x:v>14935412</x:v>
      </x:c>
      <x:c r="BD157" s="43" t="n">
        <x:v>784012</x:v>
      </x:c>
      <x:c r="BE157" s="48" t="n">
        <x:v>0.950124635610058</x:v>
      </x:c>
      <x:c r="BF157" s="43" t="n">
        <x:v>0</x:v>
      </x:c>
      <x:c r="BG157" s="43" t="n">
        <x:v>0</x:v>
      </x:c>
      <x:c r="BH157" s="43" t="n">
        <x:v>0</x:v>
      </x:c>
      <x:c r="BI157" s="43" t="n">
        <x:v>-1</x:v>
      </x:c>
      <x:c r="BJ157" s="43" t="n">
        <x:v>-1</x:v>
      </x:c>
      <x:c r="BK157" s="43" t="n">
        <x:v>15000</x:v>
      </x:c>
      <x:c r="BL157" s="43" t="n">
        <x:v>0</x:v>
      </x:c>
      <x:c r="BM157" s="44" t="str">
        <x:v>{"HitCountRam":14935412,"Composite.HitCountRam":14935412,"HitCountAux":0,"Composite.HitCountAux":0,"Put Count":15000,"Memory Cache.Put Count":15000,"Hit Count":14935412,"Memory Cache.Hit Count":14935412,"Miss Count":784012,"Memory Cache.Miss Count":784012,"Map Size":10000,"Memory Cache.Map Size":10000,"List Size":10000,"Memory Cache.List Size":10000}</x:v>
      </x:c>
    </x:row>
    <x:row r="158">
      <x:c r="A158" s="34" t="str">
        <x:v>article1-unified-v4-2-fb3f101b-20260903-000401-default-f03-p4-jcs321</x:v>
      </x:c>
      <x:c r="B158" s="34" t="str">
        <x:v>default</x:v>
      </x:c>
      <x:c r="C158" s="34" t="str">
        <x:v>jcs321</x:v>
      </x:c>
      <x:c r="D158" s="34" t="str">
        <x:v>jcs321</x:v>
      </x:c>
      <x:c r="E158" s="34" t="str">
        <x:v>JCS-248-positive-control</x:v>
      </x:c>
      <x:c r="F158" s="36" t="n">
        <x:v>3</x:v>
      </x:c>
      <x:c r="G158" s="36" t="n">
        <x:v>3</x:v>
      </x:c>
      <x:c r="H158" s="36" t="n">
        <x:v>4</x:v>
      </x:c>
      <x:c r="I158" s="36" t="n">
        <x:v>4</x:v>
      </x:c>
      <x:c r="J158" s="34" t="str">
        <x:v>initial</x:v>
      </x:c>
      <x:c r="K158" s="34" t="str">
        <x:v>cache-semantics</x:v>
      </x:c>
      <x:c r="L158" s="45" t="b">
        <x:v>0</x:v>
      </x:c>
      <x:c r="M158" s="36" t="n">
        <x:v>1044467175</x:v>
      </x:c>
      <x:c r="N158" s="34" t="str">
        <x:v>bee84924253a095ac320cc2769fb40582cc17430c9efa7089bd385b7e0ed6e39</x:v>
      </x:c>
      <x:c r="O158" s="43" t="n">
        <x:v>10000</x:v>
      </x:c>
      <x:c r="P158" s="43" t="n">
        <x:v>400000</x:v>
      </x:c>
      <x:c r="Q158" s="36" t="n">
        <x:v>8</x:v>
      </x:c>
      <x:c r="R158" s="42" t="n">
        <x:v>95</x:v>
      </x:c>
      <x:c r="S158" s="43" t="n">
        <x:v>512</x:v>
      </x:c>
      <x:c r="T158" s="43" t="n">
        <x:v>50000</x:v>
      </x:c>
      <x:c r="U158" s="46" t="n">
        <x:v>3</x:v>
      </x:c>
      <x:c r="V158" s="46" t="n">
        <x:v>5</x:v>
      </x:c>
      <x:c r="W158" s="43" t="n">
        <x:v>300</x:v>
      </x:c>
      <x:c r="X158" s="34" t="str">
        <x:v>uniform</x:v>
      </x:c>
      <x:c r="Y158" s="42" t="n">
        <x:v>10</x:v>
      </x:c>
      <x:c r="Z158" s="34" t="str">
        <x:v>strict</x:v>
      </x:c>
      <x:c r="AA158" s="36" t="n">
        <x:v>64</x:v>
      </x:c>
      <x:c r="AB158" s="43" t="n">
        <x:v>8626176</x:v>
      </x:c>
      <x:c r="AC158" s="43" t="n">
        <x:v>3000690281</x:v>
      </x:c>
      <x:c r="AD158" s="43" t="n">
        <x:v>690281</x:v>
      </x:c>
      <x:c r="AE158" s="43" t="n">
        <x:v>3568792.763059283</x:v>
      </x:c>
      <x:c r="AF158" s="43" t="n">
        <x:v>2632659.7194940276</x:v>
      </x:c>
      <x:c r="AG158" s="43" t="n">
        <x:v>13165824</x:v>
      </x:c>
      <x:c r="AH158" s="43" t="n">
        <x:v>5000959259</x:v>
      </x:c>
      <x:c r="AI158" s="43" t="n">
        <x:v>959259</x:v>
      </x:c>
      <x:c r="AJ158" s="43" t="n">
        <x:v>2632659.7194940276</x:v>
      </x:c>
      <x:c r="AK158" s="43" t="n">
        <x:v>13165824</x:v>
      </x:c>
      <x:c r="AL158" s="43" t="n">
        <x:v>0</x:v>
      </x:c>
      <x:c r="AM158" s="43" t="n">
        <x:v>554761.8146791529</x:v>
      </x:c>
      <x:c r="AN158" s="43" t="n">
        <x:v>341</x:v>
      </x:c>
      <x:c r="AO158" s="43" t="n">
        <x:v>932</x:v>
      </x:c>
      <x:c r="AP158" s="43" t="n">
        <x:v>203296</x:v>
      </x:c>
      <x:c r="AQ158" s="43" t="n">
        <x:v>205716</x:v>
      </x:c>
      <x:c r="AR158" s="43" t="n">
        <x:v>1</x:v>
      </x:c>
      <x:c r="AS158" s="45" t="b">
        <x:v>1</x:v>
      </x:c>
      <x:c r="AT158" s="43" t="n">
        <x:v>10000</x:v>
      </x:c>
      <x:c r="AU158" s="48" t="n">
        <x:v>0.9503980153463999</x:v>
      </x:c>
      <x:c r="AV158" s="43" t="n">
        <x:v>10000</x:v>
      </x:c>
      <x:c r="AW158" s="48" t="n">
        <x:v>0.9503980153463999</x:v>
      </x:c>
      <x:c r="AX158" s="45" t="b">
        <x:v>1</x:v>
      </x:c>
      <x:c r="AY158" s="44" t="str">
        <x:v>{"provider":"jcs321","currentEntries":10000,"requestCount":13165824,"hitCount":12512773,"missCount":653051,"hitRate":0.9503980153463999,"loadSuccessCount":0,"loadFailureCount":0,"totalLoadTimeNanos":0,"evictionCount":-1,"expirationCount":-1,"putCount":10000,"removeCount":0,"nativeMetrics":{"HitCountRam":12512773,"Composite.HitCountRam":12512773,"HitCountAux":0,"Composite.HitCountAux":0,"Put Count":10000,"Memory Cache.Put Count":10000,"Hit Count":12512773,"Memory Cache.Hit Count":12512773,"Miss Count":653051,"Memory Cache.Miss Count":653051,"Map Size":10000,"Memory Cache.Map Size":10000,"List Size":10000,"Memory Cache.List Size":10000}}</x:v>
      </x:c>
      <x:c r="AZ158" s="44" t="str">
        <x:v>{"provider":"jcs321","currentEntries":10000,"requestCount":13165824,"hitCount":12512773,"missCount":653051,"hitRate":0.9503980153463999,"loadSuccessCount":0,"loadFailureCount":0,"totalLoadTimeNanos":0,"evictionCount":-1,"expirationCount":-1,"putCount":15000,"removeCount":0,"nativeMetrics":{"HitCountRam":12512773,"Composite.HitCountRam":12512773,"HitCountAux":0,"Composite.HitCountAux":0,"Put Count":15000,"Memory Cache.Put Count":15000,"Hit Count":12512773,"Memory Cache.Hit Count":12512773,"Miss Count":653051,"Memory Cache.Miss Count":653051,"Map Size":10000,"Memory Cache.Map Size":10000,"List Size":10000,"Memory Cache.List Size":10000}}</x:v>
      </x:c>
      <x:c r="BA158" s="43" t="n">
        <x:v>10000</x:v>
      </x:c>
      <x:c r="BB158" s="43" t="n">
        <x:v>13165824</x:v>
      </x:c>
      <x:c r="BC158" s="43" t="n">
        <x:v>12512773</x:v>
      </x:c>
      <x:c r="BD158" s="43" t="n">
        <x:v>653051</x:v>
      </x:c>
      <x:c r="BE158" s="48" t="n">
        <x:v>0.9503980153463999</x:v>
      </x:c>
      <x:c r="BF158" s="43" t="n">
        <x:v>0</x:v>
      </x:c>
      <x:c r="BG158" s="43" t="n">
        <x:v>0</x:v>
      </x:c>
      <x:c r="BH158" s="43" t="n">
        <x:v>0</x:v>
      </x:c>
      <x:c r="BI158" s="43" t="n">
        <x:v>-1</x:v>
      </x:c>
      <x:c r="BJ158" s="43" t="n">
        <x:v>-1</x:v>
      </x:c>
      <x:c r="BK158" s="43" t="n">
        <x:v>15000</x:v>
      </x:c>
      <x:c r="BL158" s="43" t="n">
        <x:v>0</x:v>
      </x:c>
      <x:c r="BM158" s="44" t="str">
        <x:v>{"HitCountRam":12512773,"Composite.HitCountRam":12512773,"HitCountAux":0,"Composite.HitCountAux":0,"Put Count":15000,"Memory Cache.Put Count":15000,"Hit Count":12512773,"Memory Cache.Hit Count":12512773,"Miss Count":653051,"Memory Cache.Miss Count":653051,"Map Size":10000,"Memory Cache.Map Size":10000,"List Size":10000,"Memory Cache.List Size":10000}</x:v>
      </x:c>
    </x:row>
    <x:row r="159">
      <x:c r="A159" s="34" t="str">
        <x:v>article1-unified-v4-2-fb3f101b-20260903-000401-default-f03-p4-jcs321</x:v>
      </x:c>
      <x:c r="B159" s="34" t="str">
        <x:v>default</x:v>
      </x:c>
      <x:c r="C159" s="34" t="str">
        <x:v>jcs321</x:v>
      </x:c>
      <x:c r="D159" s="34" t="str">
        <x:v>jcs321</x:v>
      </x:c>
      <x:c r="E159" s="34" t="str">
        <x:v>JCS-248-positive-control</x:v>
      </x:c>
      <x:c r="F159" s="36" t="n">
        <x:v>3</x:v>
      </x:c>
      <x:c r="G159" s="36" t="n">
        <x:v>3</x:v>
      </x:c>
      <x:c r="H159" s="36" t="n">
        <x:v>4</x:v>
      </x:c>
      <x:c r="I159" s="36" t="n">
        <x:v>4</x:v>
      </x:c>
      <x:c r="J159" s="34" t="str">
        <x:v>redeploy</x:v>
      </x:c>
      <x:c r="K159" s="34" t="str">
        <x:v>cache-semantics</x:v>
      </x:c>
      <x:c r="L159" s="45" t="b">
        <x:v>0</x:v>
      </x:c>
      <x:c r="M159" s="36" t="n">
        <x:v>1044467175</x:v>
      </x:c>
      <x:c r="N159" s="34" t="str">
        <x:v>bee84924253a095ac320cc2769fb40582cc17430c9efa7089bd385b7e0ed6e39</x:v>
      </x:c>
      <x:c r="O159" s="43" t="n">
        <x:v>10000</x:v>
      </x:c>
      <x:c r="P159" s="43" t="n">
        <x:v>400000</x:v>
      </x:c>
      <x:c r="Q159" s="36" t="n">
        <x:v>8</x:v>
      </x:c>
      <x:c r="R159" s="42" t="n">
        <x:v>95</x:v>
      </x:c>
      <x:c r="S159" s="43" t="n">
        <x:v>512</x:v>
      </x:c>
      <x:c r="T159" s="43" t="n">
        <x:v>50000</x:v>
      </x:c>
      <x:c r="U159" s="46" t="n">
        <x:v>3</x:v>
      </x:c>
      <x:c r="V159" s="46" t="n">
        <x:v>5</x:v>
      </x:c>
      <x:c r="W159" s="43" t="n">
        <x:v>300</x:v>
      </x:c>
      <x:c r="X159" s="34" t="str">
        <x:v>uniform</x:v>
      </x:c>
      <x:c r="Y159" s="42" t="n">
        <x:v>10</x:v>
      </x:c>
      <x:c r="Z159" s="34" t="str">
        <x:v>strict</x:v>
      </x:c>
      <x:c r="AA159" s="36" t="n">
        <x:v>64</x:v>
      </x:c>
      <x:c r="AB159" s="43" t="n">
        <x:v>8236288</x:v>
      </x:c>
      <x:c r="AC159" s="43" t="n">
        <x:v>3000569115</x:v>
      </x:c>
      <x:c r="AD159" s="43" t="n">
        <x:v>569115</x:v>
      </x:c>
      <x:c r="AE159" s="43" t="n">
        <x:v>3886684.4910017424</x:v>
      </x:c>
      <x:c r="AF159" s="43" t="n">
        <x:v>2842008.5230164374</x:v>
      </x:c>
      <x:c r="AG159" s="43" t="n">
        <x:v>14214144</x:v>
      </x:c>
      <x:c r="AH159" s="43" t="n">
        <x:v>5001443129</x:v>
      </x:c>
      <x:c r="AI159" s="43" t="n">
        <x:v>1443129</x:v>
      </x:c>
      <x:c r="AJ159" s="43" t="n">
        <x:v>2842008.5230164374</x:v>
      </x:c>
      <x:c r="AK159" s="43" t="n">
        <x:v>14214144</x:v>
      </x:c>
      <x:c r="AL159" s="43" t="n">
        <x:v>0</x:v>
      </x:c>
      <x:c r="AM159" s="43" t="n">
        <x:v>615034.1405451417</x:v>
      </x:c>
      <x:c r="AN159" s="43" t="n">
        <x:v>291</x:v>
      </x:c>
      <x:c r="AO159" s="43" t="n">
        <x:v>872</x:v>
      </x:c>
      <x:c r="AP159" s="43" t="n">
        <x:v>194496</x:v>
      </x:c>
      <x:c r="AQ159" s="43" t="n">
        <x:v>222096</x:v>
      </x:c>
      <x:c r="AR159" s="43" t="n">
        <x:v>1</x:v>
      </x:c>
      <x:c r="AS159" s="45" t="b">
        <x:v>1</x:v>
      </x:c>
      <x:c r="AT159" s="43" t="n">
        <x:v>10000</x:v>
      </x:c>
      <x:c r="AU159" s="48" t="n">
        <x:v>0.9503901184622866</x:v>
      </x:c>
      <x:c r="AV159" s="43" t="n">
        <x:v>10000</x:v>
      </x:c>
      <x:c r="AW159" s="48" t="n">
        <x:v>0.9503901184622866</x:v>
      </x:c>
      <x:c r="AX159" s="45" t="b">
        <x:v>1</x:v>
      </x:c>
      <x:c r="AY159" s="44" t="str">
        <x:v>{"provider":"jcs321","currentEntries":10000,"requestCount":14214144,"hitCount":13508982,"missCount":705162,"hitRate":0.9503901184622866,"loadSuccessCount":0,"loadFailureCount":0,"totalLoadTimeNanos":0,"evictionCount":-1,"expirationCount":-1,"putCount":10000,"removeCount":0,"nativeMetrics":{"HitCountRam":13508982,"Composite.HitCountRam":13508982,"HitCountAux":0,"Composite.HitCountAux":0,"Put Count":10000,"Memory Cache.Put Count":10000,"Hit Count":13508982,"Memory Cache.Hit Count":13508982,"Miss Count":705162,"Memory Cache.Miss Count":705162,"Map Size":10000,"Memory Cache.Map Size":10000,"List Size":10000,"Memory Cache.List Size":10000}}</x:v>
      </x:c>
      <x:c r="AZ159" s="44" t="str">
        <x:v>{"provider":"jcs321","currentEntries":10000,"requestCount":14214144,"hitCount":13508982,"missCount":705162,"hitRate":0.9503901184622866,"loadSuccessCount":0,"loadFailureCount":0,"totalLoadTimeNanos":0,"evictionCount":-1,"expirationCount":-1,"putCount":15000,"removeCount":0,"nativeMetrics":{"HitCountRam":13508982,"Composite.HitCountRam":13508982,"HitCountAux":0,"Composite.HitCountAux":0,"Put Count":15000,"Memory Cache.Put Count":15000,"Hit Count":13508982,"Memory Cache.Hit Count":13508982,"Miss Count":705162,"Memory Cache.Miss Count":705162,"Map Size":10000,"Memory Cache.Map Size":10000,"List Size":10000,"Memory Cache.List Size":10000}}</x:v>
      </x:c>
      <x:c r="BA159" s="43" t="n">
        <x:v>10000</x:v>
      </x:c>
      <x:c r="BB159" s="43" t="n">
        <x:v>14214144</x:v>
      </x:c>
      <x:c r="BC159" s="43" t="n">
        <x:v>13508982</x:v>
      </x:c>
      <x:c r="BD159" s="43" t="n">
        <x:v>705162</x:v>
      </x:c>
      <x:c r="BE159" s="48" t="n">
        <x:v>0.9503901184622866</x:v>
      </x:c>
      <x:c r="BF159" s="43" t="n">
        <x:v>0</x:v>
      </x:c>
      <x:c r="BG159" s="43" t="n">
        <x:v>0</x:v>
      </x:c>
      <x:c r="BH159" s="43" t="n">
        <x:v>0</x:v>
      </x:c>
      <x:c r="BI159" s="43" t="n">
        <x:v>-1</x:v>
      </x:c>
      <x:c r="BJ159" s="43" t="n">
        <x:v>-1</x:v>
      </x:c>
      <x:c r="BK159" s="43" t="n">
        <x:v>15000</x:v>
      </x:c>
      <x:c r="BL159" s="43" t="n">
        <x:v>0</x:v>
      </x:c>
      <x:c r="BM159" s="44" t="str">
        <x:v>{"HitCountRam":13508982,"Composite.HitCountRam":13508982,"HitCountAux":0,"Composite.HitCountAux":0,"Put Count":15000,"Memory Cache.Put Count":15000,"Hit Count":13508982,"Memory Cache.Hit Count":13508982,"Miss Count":705162,"Memory Cache.Miss Count":705162,"Map Size":10000,"Memory Cache.Map Size":10000,"List Size":10000,"Memory Cache.List Size":10000}</x:v>
      </x:c>
    </x:row>
    <x:row r="160">
      <x:c r="A160" s="34" t="str">
        <x:v>article1-unified-v4-2-fb3f101b-20260903-000401-default-f03-p4-jcs321</x:v>
      </x:c>
      <x:c r="B160" s="34" t="str">
        <x:v>default</x:v>
      </x:c>
      <x:c r="C160" s="34" t="str">
        <x:v>jcs321</x:v>
      </x:c>
      <x:c r="D160" s="34" t="str">
        <x:v>jcs321</x:v>
      </x:c>
      <x:c r="E160" s="34" t="str">
        <x:v>JCS-248-positive-control</x:v>
      </x:c>
      <x:c r="F160" s="36" t="n">
        <x:v>3</x:v>
      </x:c>
      <x:c r="G160" s="36" t="n">
        <x:v>3</x:v>
      </x:c>
      <x:c r="H160" s="36" t="n">
        <x:v>4</x:v>
      </x:c>
      <x:c r="I160" s="36" t="n">
        <x:v>5</x:v>
      </x:c>
      <x:c r="J160" s="34" t="str">
        <x:v>initial</x:v>
      </x:c>
      <x:c r="K160" s="34" t="str">
        <x:v>cache-semantics</x:v>
      </x:c>
      <x:c r="L160" s="45" t="b">
        <x:v>0</x:v>
      </x:c>
      <x:c r="M160" s="36" t="n">
        <x:v>583023952</x:v>
      </x:c>
      <x:c r="N160" s="34" t="str">
        <x:v>7b8fd907f7b5f8856529fb47dd9c623362c42635eee044a68e2710298a56122c</x:v>
      </x:c>
      <x:c r="O160" s="43" t="n">
        <x:v>10000</x:v>
      </x:c>
      <x:c r="P160" s="43" t="n">
        <x:v>400000</x:v>
      </x:c>
      <x:c r="Q160" s="36" t="n">
        <x:v>8</x:v>
      </x:c>
      <x:c r="R160" s="42" t="n">
        <x:v>95</x:v>
      </x:c>
      <x:c r="S160" s="43" t="n">
        <x:v>512</x:v>
      </x:c>
      <x:c r="T160" s="43" t="n">
        <x:v>50000</x:v>
      </x:c>
      <x:c r="U160" s="46" t="n">
        <x:v>3</x:v>
      </x:c>
      <x:c r="V160" s="46" t="n">
        <x:v>5</x:v>
      </x:c>
      <x:c r="W160" s="43" t="n">
        <x:v>300</x:v>
      </x:c>
      <x:c r="X160" s="34" t="str">
        <x:v>uniform</x:v>
      </x:c>
      <x:c r="Y160" s="42" t="n">
        <x:v>10</x:v>
      </x:c>
      <x:c r="Z160" s="34" t="str">
        <x:v>strict</x:v>
      </x:c>
      <x:c r="AA160" s="36" t="n">
        <x:v>64</x:v>
      </x:c>
      <x:c r="AB160" s="43" t="n">
        <x:v>8381184</x:v>
      </x:c>
      <x:c r="AC160" s="43" t="n">
        <x:v>3000816436</x:v>
      </x:c>
      <x:c r="AD160" s="43" t="n">
        <x:v>816436</x:v>
      </x:c>
      <x:c r="AE160" s="43" t="n">
        <x:v>4394016.755264691</x:v>
      </x:c>
      <x:c r="AF160" s="43" t="n">
        <x:v>3046185.732543699</x:v>
      </x:c>
      <x:c r="AG160" s="43" t="n">
        <x:v>15232512</x:v>
      </x:c>
      <x:c r="AH160" s="43" t="n">
        <x:v>5000519777</x:v>
      </x:c>
      <x:c r="AI160" s="43" t="n">
        <x:v>519777</x:v>
      </x:c>
      <x:c r="AJ160" s="43" t="n">
        <x:v>3046185.732543699</x:v>
      </x:c>
      <x:c r="AK160" s="43" t="n">
        <x:v>15232512</x:v>
      </x:c>
      <x:c r="AL160" s="43" t="n">
        <x:v>0</x:v>
      </x:c>
      <x:c r="AM160" s="43" t="n">
        <x:v>675567.3110272717</x:v>
      </x:c>
      <x:c r="AN160" s="43" t="n">
        <x:v>291</x:v>
      </x:c>
      <x:c r="AO160" s="43" t="n">
        <x:v>812</x:v>
      </x:c>
      <x:c r="AP160" s="43" t="n">
        <x:v>192433</x:v>
      </x:c>
      <x:c r="AQ160" s="43" t="n">
        <x:v>238008</x:v>
      </x:c>
      <x:c r="AR160" s="43" t="n">
        <x:v>1</x:v>
      </x:c>
      <x:c r="AS160" s="45" t="b">
        <x:v>1</x:v>
      </x:c>
      <x:c r="AT160" s="43" t="n">
        <x:v>10000</x:v>
      </x:c>
      <x:c r="AU160" s="48" t="n">
        <x:v>0.9498261350458808</x:v>
      </x:c>
      <x:c r="AV160" s="43" t="n">
        <x:v>10000</x:v>
      </x:c>
      <x:c r="AW160" s="48" t="n">
        <x:v>0.9498261350458808</x:v>
      </x:c>
      <x:c r="AX160" s="45" t="b">
        <x:v>1</x:v>
      </x:c>
      <x:c r="AY160" s="44" t="str">
        <x:v>{"provider":"jcs321","currentEntries":10000,"requestCount":15232512,"hitCount":14468238,"missCount":764274,"hitRate":0.9498261350458808,"loadSuccessCount":0,"loadFailureCount":0,"totalLoadTimeNanos":0,"evictionCount":-1,"expirationCount":-1,"putCount":10000,"removeCount":0,"nativeMetrics":{"HitCountRam":14468238,"Composite.HitCountRam":14468238,"HitCountAux":0,"Composite.HitCountAux":0,"Put Count":10000,"Memory Cache.Put Count":10000,"Hit Count":14468238,"Memory Cache.Hit Count":14468238,"Miss Count":764274,"Memory Cache.Miss Count":764274,"Map Size":10000,"Memory Cache.Map Size":10000,"List Size":10000,"Memory Cache.List Size":10000}}</x:v>
      </x:c>
      <x:c r="AZ160" s="44" t="str">
        <x:v>{"provider":"jcs321","currentEntries":10000,"requestCount":15232512,"hitCount":14468238,"missCount":764274,"hitRate":0.9498261350458808,"loadSuccessCount":0,"loadFailureCount":0,"totalLoadTimeNanos":0,"evictionCount":-1,"expirationCount":-1,"putCount":15000,"removeCount":0,"nativeMetrics":{"HitCountRam":14468238,"Composite.HitCountRam":14468238,"HitCountAux":0,"Composite.HitCountAux":0,"Put Count":15000,"Memory Cache.Put Count":15000,"Hit Count":14468238,"Memory Cache.Hit Count":14468238,"Miss Count":764274,"Memory Cache.Miss Count":764274,"Map Size":10000,"Memory Cache.Map Size":10000,"List Size":10000,"Memory Cache.List Size":10000}}</x:v>
      </x:c>
      <x:c r="BA160" s="43" t="n">
        <x:v>10000</x:v>
      </x:c>
      <x:c r="BB160" s="43" t="n">
        <x:v>15232512</x:v>
      </x:c>
      <x:c r="BC160" s="43" t="n">
        <x:v>14468238</x:v>
      </x:c>
      <x:c r="BD160" s="43" t="n">
        <x:v>764274</x:v>
      </x:c>
      <x:c r="BE160" s="48" t="n">
        <x:v>0.9498261350458808</x:v>
      </x:c>
      <x:c r="BF160" s="43" t="n">
        <x:v>0</x:v>
      </x:c>
      <x:c r="BG160" s="43" t="n">
        <x:v>0</x:v>
      </x:c>
      <x:c r="BH160" s="43" t="n">
        <x:v>0</x:v>
      </x:c>
      <x:c r="BI160" s="43" t="n">
        <x:v>-1</x:v>
      </x:c>
      <x:c r="BJ160" s="43" t="n">
        <x:v>-1</x:v>
      </x:c>
      <x:c r="BK160" s="43" t="n">
        <x:v>15000</x:v>
      </x:c>
      <x:c r="BL160" s="43" t="n">
        <x:v>0</x:v>
      </x:c>
      <x:c r="BM160" s="44" t="str">
        <x:v>{"HitCountRam":14468238,"Composite.HitCountRam":14468238,"HitCountAux":0,"Composite.HitCountAux":0,"Put Count":15000,"Memory Cache.Put Count":15000,"Hit Count":14468238,"Memory Cache.Hit Count":14468238,"Miss Count":764274,"Memory Cache.Miss Count":764274,"Map Size":10000,"Memory Cache.Map Size":10000,"List Size":10000,"Memory Cache.List Size":10000}</x:v>
      </x:c>
    </x:row>
    <x:row r="161">
      <x:c r="A161" s="34" t="str">
        <x:v>article1-unified-v4-2-fb3f101b-20260903-000401-default-f03-p4-jcs321</x:v>
      </x:c>
      <x:c r="B161" s="34" t="str">
        <x:v>default</x:v>
      </x:c>
      <x:c r="C161" s="34" t="str">
        <x:v>jcs321</x:v>
      </x:c>
      <x:c r="D161" s="34" t="str">
        <x:v>jcs321</x:v>
      </x:c>
      <x:c r="E161" s="34" t="str">
        <x:v>JCS-248-positive-control</x:v>
      </x:c>
      <x:c r="F161" s="36" t="n">
        <x:v>3</x:v>
      </x:c>
      <x:c r="G161" s="36" t="n">
        <x:v>3</x:v>
      </x:c>
      <x:c r="H161" s="36" t="n">
        <x:v>4</x:v>
      </x:c>
      <x:c r="I161" s="36" t="n">
        <x:v>5</x:v>
      </x:c>
      <x:c r="J161" s="34" t="str">
        <x:v>redeploy</x:v>
      </x:c>
      <x:c r="K161" s="34" t="str">
        <x:v>cache-semantics</x:v>
      </x:c>
      <x:c r="L161" s="45" t="b">
        <x:v>0</x:v>
      </x:c>
      <x:c r="M161" s="36" t="n">
        <x:v>583023952</x:v>
      </x:c>
      <x:c r="N161" s="34" t="str">
        <x:v>7b8fd907f7b5f8856529fb47dd9c623362c42635eee044a68e2710298a56122c</x:v>
      </x:c>
      <x:c r="O161" s="43" t="n">
        <x:v>10000</x:v>
      </x:c>
      <x:c r="P161" s="43" t="n">
        <x:v>400000</x:v>
      </x:c>
      <x:c r="Q161" s="36" t="n">
        <x:v>8</x:v>
      </x:c>
      <x:c r="R161" s="42" t="n">
        <x:v>95</x:v>
      </x:c>
      <x:c r="S161" s="43" t="n">
        <x:v>512</x:v>
      </x:c>
      <x:c r="T161" s="43" t="n">
        <x:v>50000</x:v>
      </x:c>
      <x:c r="U161" s="46" t="n">
        <x:v>3</x:v>
      </x:c>
      <x:c r="V161" s="46" t="n">
        <x:v>5</x:v>
      </x:c>
      <x:c r="W161" s="43" t="n">
        <x:v>300</x:v>
      </x:c>
      <x:c r="X161" s="34" t="str">
        <x:v>uniform</x:v>
      </x:c>
      <x:c r="Y161" s="42" t="n">
        <x:v>10</x:v>
      </x:c>
      <x:c r="Z161" s="34" t="str">
        <x:v>strict</x:v>
      </x:c>
      <x:c r="AA161" s="36" t="n">
        <x:v>64</x:v>
      </x:c>
      <x:c r="AB161" s="43" t="n">
        <x:v>8495104</x:v>
      </x:c>
      <x:c r="AC161" s="43" t="n">
        <x:v>3000646497</x:v>
      </x:c>
      <x:c r="AD161" s="43" t="n">
        <x:v>646497</x:v>
      </x:c>
      <x:c r="AE161" s="43" t="n">
        <x:v>3655073.6259755846</x:v>
      </x:c>
      <x:c r="AF161" s="43" t="n">
        <x:v>3057683.993881661</x:v>
      </x:c>
      <x:c r="AG161" s="43" t="n">
        <x:v>15290112</x:v>
      </x:c>
      <x:c r="AH161" s="43" t="n">
        <x:v>5000553370</x:v>
      </x:c>
      <x:c r="AI161" s="43" t="n">
        <x:v>553370</x:v>
      </x:c>
      <x:c r="AJ161" s="43" t="n">
        <x:v>3057683.993881661</x:v>
      </x:c>
      <x:c r="AK161" s="43" t="n">
        <x:v>15290112</x:v>
      </x:c>
      <x:c r="AL161" s="43" t="n">
        <x:v>0</x:v>
      </x:c>
      <x:c r="AM161" s="43" t="n">
        <x:v>601356.250779508</x:v>
      </x:c>
      <x:c r="AN161" s="43" t="n">
        <x:v>281</x:v>
      </x:c>
      <x:c r="AO161" s="43" t="n">
        <x:v>832</x:v>
      </x:c>
      <x:c r="AP161" s="43" t="n">
        <x:v>192584</x:v>
      </x:c>
      <x:c r="AQ161" s="43" t="n">
        <x:v>238908</x:v>
      </x:c>
      <x:c r="AR161" s="43" t="n">
        <x:v>1</x:v>
      </x:c>
      <x:c r="AS161" s="45" t="b">
        <x:v>1</x:v>
      </x:c>
      <x:c r="AT161" s="43" t="n">
        <x:v>10000</x:v>
      </x:c>
      <x:c r="AU161" s="48" t="n">
        <x:v>0.9498252857794632</x:v>
      </x:c>
      <x:c r="AV161" s="43" t="n">
        <x:v>10000</x:v>
      </x:c>
      <x:c r="AW161" s="48" t="n">
        <x:v>0.9498252857794632</x:v>
      </x:c>
      <x:c r="AX161" s="45" t="b">
        <x:v>1</x:v>
      </x:c>
      <x:c r="AY161" s="44" t="str">
        <x:v>{"provider":"jcs321","currentEntries":10000,"requestCount":15290112,"hitCount":14522935,"missCount":767177,"hitRate":0.9498252857794632,"loadSuccessCount":0,"loadFailureCount":0,"totalLoadTimeNanos":0,"evictionCount":-1,"expirationCount":-1,"putCount":10000,"removeCount":0,"nativeMetrics":{"HitCountRam":14522935,"Composite.HitCountRam":14522935,"HitCountAux":0,"Composite.HitCountAux":0,"Put Count":10000,"Memory Cache.Put Count":10000,"Hit Count":14522935,"Memory Cache.Hit Count":14522935,"Miss Count":767177,"Memory Cache.Miss Count":767177,"Map Size":10000,"Memory Cache.Map Size":10000,"List Size":10000,"Memory Cache.List Size":10000}}</x:v>
      </x:c>
      <x:c r="AZ161" s="44" t="str">
        <x:v>{"provider":"jcs321","currentEntries":10000,"requestCount":15290112,"hitCount":14522935,"missCount":767177,"hitRate":0.9498252857794632,"loadSuccessCount":0,"loadFailureCount":0,"totalLoadTimeNanos":0,"evictionCount":-1,"expirationCount":-1,"putCount":15000,"removeCount":0,"nativeMetrics":{"HitCountRam":14522935,"Composite.HitCountRam":14522935,"HitCountAux":0,"Composite.HitCountAux":0,"Put Count":15000,"Memory Cache.Put Count":15000,"Hit Count":14522935,"Memory Cache.Hit Count":14522935,"Miss Count":767177,"Memory Cache.Miss Count":767177,"Map Size":10000,"Memory Cache.Map Size":10000,"List Size":10000,"Memory Cache.List Size":10000}}</x:v>
      </x:c>
      <x:c r="BA161" s="43" t="n">
        <x:v>10000</x:v>
      </x:c>
      <x:c r="BB161" s="43" t="n">
        <x:v>15290112</x:v>
      </x:c>
      <x:c r="BC161" s="43" t="n">
        <x:v>14522935</x:v>
      </x:c>
      <x:c r="BD161" s="43" t="n">
        <x:v>767177</x:v>
      </x:c>
      <x:c r="BE161" s="48" t="n">
        <x:v>0.9498252857794632</x:v>
      </x:c>
      <x:c r="BF161" s="43" t="n">
        <x:v>0</x:v>
      </x:c>
      <x:c r="BG161" s="43" t="n">
        <x:v>0</x:v>
      </x:c>
      <x:c r="BH161" s="43" t="n">
        <x:v>0</x:v>
      </x:c>
      <x:c r="BI161" s="43" t="n">
        <x:v>-1</x:v>
      </x:c>
      <x:c r="BJ161" s="43" t="n">
        <x:v>-1</x:v>
      </x:c>
      <x:c r="BK161" s="43" t="n">
        <x:v>15000</x:v>
      </x:c>
      <x:c r="BL161" s="43" t="n">
        <x:v>0</x:v>
      </x:c>
      <x:c r="BM161" s="44" t="str">
        <x:v>{"HitCountRam":14522935,"Composite.HitCountRam":14522935,"HitCountAux":0,"Composite.HitCountAux":0,"Put Count":15000,"Memory Cache.Put Count":15000,"Hit Count":14522935,"Memory Cache.Hit Count":14522935,"Miss Count":767177,"Memory Cache.Miss Count":767177,"Map Size":10000,"Memory Cache.Map Size":10000,"List Size":10000,"Memory Cache.List Size":10000}</x:v>
      </x:c>
    </x:row>
    <x:row r="162">
      <x:c r="A162" s="34" t="str">
        <x:v>article1-unified-v4-2-fb3f101b-20260903-000401-default-f03-p5-caffeine</x:v>
      </x:c>
      <x:c r="B162" s="34" t="str">
        <x:v>default</x:v>
      </x:c>
      <x:c r="C162" s="34" t="str">
        <x:v>caffeine</x:v>
      </x:c>
      <x:c r="D162" s="34" t="str">
        <x:v>caffeine</x:v>
      </x:c>
      <x:c r="E162" s="34" t="str">
        <x:v>current-provider-primary-comparison</x:v>
      </x:c>
      <x:c r="F162" s="36" t="n">
        <x:v>3</x:v>
      </x:c>
      <x:c r="G162" s="36" t="n">
        <x:v>3</x:v>
      </x:c>
      <x:c r="H162" s="36" t="n">
        <x:v>5</x:v>
      </x:c>
      <x:c r="I162" s="36" t="n">
        <x:v>1</x:v>
      </x:c>
      <x:c r="J162" s="34" t="str">
        <x:v>initial</x:v>
      </x:c>
      <x:c r="K162" s="34" t="str">
        <x:v>cache-semantics</x:v>
      </x:c>
      <x:c r="L162" s="45" t="b">
        <x:v>1</x:v>
      </x:c>
      <x:c r="M162" s="36" t="n">
        <x:v>142609922</x:v>
      </x:c>
      <x:c r="N162" s="34" t="str">
        <x:v>9ea92208df3b3b8b50bff1fcadf8cbf654073a5a10974202aa936e2af3f41e70</x:v>
      </x:c>
      <x:c r="O162" s="43" t="n">
        <x:v>10000</x:v>
      </x:c>
      <x:c r="P162" s="43" t="n">
        <x:v>400000</x:v>
      </x:c>
      <x:c r="Q162" s="36" t="n">
        <x:v>8</x:v>
      </x:c>
      <x:c r="R162" s="42" t="n">
        <x:v>95</x:v>
      </x:c>
      <x:c r="S162" s="43" t="n">
        <x:v>512</x:v>
      </x:c>
      <x:c r="T162" s="43" t="n">
        <x:v>50000</x:v>
      </x:c>
      <x:c r="U162" s="46" t="n">
        <x:v>3</x:v>
      </x:c>
      <x:c r="V162" s="46" t="n">
        <x:v>5</x:v>
      </x:c>
      <x:c r="W162" s="43" t="n">
        <x:v>300</x:v>
      </x:c>
      <x:c r="X162" s="34" t="str">
        <x:v>uniform</x:v>
      </x:c>
      <x:c r="Y162" s="42" t="n">
        <x:v>10</x:v>
      </x:c>
      <x:c r="Z162" s="34" t="str">
        <x:v>strict</x:v>
      </x:c>
      <x:c r="AA162" s="36" t="n">
        <x:v>64</x:v>
      </x:c>
      <x:c r="AB162" s="43" t="n">
        <x:v>78934272</x:v>
      </x:c>
      <x:c r="AC162" s="43" t="n">
        <x:v>3000658771</x:v>
      </x:c>
      <x:c r="AD162" s="43" t="n">
        <x:v>658771</x:v>
      </x:c>
      <x:c r="AE162" s="43" t="n">
        <x:v>1329624.2136269994</x:v>
      </x:c>
      <x:c r="AF162" s="43" t="n">
        <x:v>28167026.687982127</x:v>
      </x:c>
      <x:c r="AG162" s="43" t="n">
        <x:v>142026496</x:v>
      </x:c>
      <x:c r="AH162" s="43" t="n">
        <x:v>5042296355</x:v>
      </x:c>
      <x:c r="AI162" s="43" t="n">
        <x:v>42296355</x:v>
      </x:c>
      <x:c r="AJ162" s="43" t="n">
        <x:v>28167026.687982127</x:v>
      </x:c>
      <x:c r="AK162" s="43" t="n">
        <x:v>142026496</x:v>
      </x:c>
      <x:c r="AL162" s="43" t="n">
        <x:v>0</x:v>
      </x:c>
      <x:c r="AM162" s="43" t="n">
        <x:v>374565.6162548293</x:v>
      </x:c>
      <x:c r="AN162" s="43" t="n">
        <x:v>140</x:v>
      </x:c>
      <x:c r="AO162" s="43" t="n">
        <x:v>250</x:v>
      </x:c>
      <x:c r="AP162" s="43" t="n">
        <x:v>441</x:v>
      </x:c>
      <x:c r="AQ162" s="43" t="n">
        <x:v>2219164</x:v>
      </x:c>
      <x:c r="AR162" s="43" t="n">
        <x:v>1</x:v>
      </x:c>
      <x:c r="AS162" s="45" t="b">
        <x:v>1</x:v>
      </x:c>
      <x:c r="AT162" s="43" t="n">
        <x:v>10000</x:v>
      </x:c>
      <x:c r="AU162" s="48" t="n">
        <x:v>0.9489482159723212</x:v>
      </x:c>
      <x:c r="AV162" s="43" t="n">
        <x:v>10000</x:v>
      </x:c>
      <x:c r="AW162" s="48" t="n">
        <x:v>0.9489482159723212</x:v>
      </x:c>
      <x:c r="AX162" s="45" t="b">
        <x:v>1</x:v>
      </x:c>
      <x:c r="AY162" s="44" t="str">
        <x:v>{"provider":"caffeine","currentEntries":10000,"requestCount":142026496,"hitCount":134775790,"missCount":7250706,"hitRate":0.9489482159723212,"loadSuccessCount":0,"loadFailureCount":0,"totalLoadTimeNanos":0,"evictionCount":-1,"expirationCount":-1,"putCount":10000,"removeCount":0,"nativeMetrics":{"statisticsEnabled":0}}</x:v>
      </x:c>
      <x:c r="AZ162" s="44" t="str">
        <x:v>{"provider":"caffeine","currentEntries":10000,"requestCount":142026496,"hitCount":134775790,"missCount":7250706,"hitRate":0.9489482159723212,"loadSuccessCount":0,"loadFailureCount":0,"totalLoadTimeNanos":0,"evictionCount":-1,"expirationCount":-1,"putCount":15000,"removeCount":0,"nativeMetrics":{"statisticsEnabled":0}}</x:v>
      </x:c>
      <x:c r="BA162" s="43" t="n">
        <x:v>10000</x:v>
      </x:c>
      <x:c r="BB162" s="43" t="n">
        <x:v>142026496</x:v>
      </x:c>
      <x:c r="BC162" s="43" t="n">
        <x:v>134775790</x:v>
      </x:c>
      <x:c r="BD162" s="43" t="n">
        <x:v>7250706</x:v>
      </x:c>
      <x:c r="BE162" s="48" t="n">
        <x:v>0.9489482159723212</x:v>
      </x:c>
      <x:c r="BF162" s="43" t="n">
        <x:v>0</x:v>
      </x:c>
      <x:c r="BG162" s="43" t="n">
        <x:v>0</x:v>
      </x:c>
      <x:c r="BH162" s="43" t="n">
        <x:v>0</x:v>
      </x:c>
      <x:c r="BI162" s="43" t="n">
        <x:v>-1</x:v>
      </x:c>
      <x:c r="BJ162" s="43" t="n">
        <x:v>-1</x:v>
      </x:c>
      <x:c r="BK162" s="43" t="n">
        <x:v>15000</x:v>
      </x:c>
      <x:c r="BL162" s="43" t="n">
        <x:v>0</x:v>
      </x:c>
      <x:c r="BM162" s="44" t="str">
        <x:v>{"statisticsEnabled":0}</x:v>
      </x:c>
    </x:row>
    <x:row r="163">
      <x:c r="A163" s="34" t="str">
        <x:v>article1-unified-v4-2-fb3f101b-20260903-000401-default-f03-p5-caffeine</x:v>
      </x:c>
      <x:c r="B163" s="34" t="str">
        <x:v>default</x:v>
      </x:c>
      <x:c r="C163" s="34" t="str">
        <x:v>caffeine</x:v>
      </x:c>
      <x:c r="D163" s="34" t="str">
        <x:v>caffeine</x:v>
      </x:c>
      <x:c r="E163" s="34" t="str">
        <x:v>current-provider-primary-comparison</x:v>
      </x:c>
      <x:c r="F163" s="36" t="n">
        <x:v>3</x:v>
      </x:c>
      <x:c r="G163" s="36" t="n">
        <x:v>3</x:v>
      </x:c>
      <x:c r="H163" s="36" t="n">
        <x:v>5</x:v>
      </x:c>
      <x:c r="I163" s="36" t="n">
        <x:v>1</x:v>
      </x:c>
      <x:c r="J163" s="34" t="str">
        <x:v>redeploy</x:v>
      </x:c>
      <x:c r="K163" s="34" t="str">
        <x:v>cache-semantics</x:v>
      </x:c>
      <x:c r="L163" s="45" t="b">
        <x:v>1</x:v>
      </x:c>
      <x:c r="M163" s="36" t="n">
        <x:v>142609922</x:v>
      </x:c>
      <x:c r="N163" s="34" t="str">
        <x:v>9ea92208df3b3b8b50bff1fcadf8cbf654073a5a10974202aa936e2af3f41e70</x:v>
      </x:c>
      <x:c r="O163" s="43" t="n">
        <x:v>10000</x:v>
      </x:c>
      <x:c r="P163" s="43" t="n">
        <x:v>400000</x:v>
      </x:c>
      <x:c r="Q163" s="36" t="n">
        <x:v>8</x:v>
      </x:c>
      <x:c r="R163" s="42" t="n">
        <x:v>95</x:v>
      </x:c>
      <x:c r="S163" s="43" t="n">
        <x:v>512</x:v>
      </x:c>
      <x:c r="T163" s="43" t="n">
        <x:v>50000</x:v>
      </x:c>
      <x:c r="U163" s="46" t="n">
        <x:v>3</x:v>
      </x:c>
      <x:c r="V163" s="46" t="n">
        <x:v>5</x:v>
      </x:c>
      <x:c r="W163" s="43" t="n">
        <x:v>300</x:v>
      </x:c>
      <x:c r="X163" s="34" t="str">
        <x:v>uniform</x:v>
      </x:c>
      <x:c r="Y163" s="42" t="n">
        <x:v>10</x:v>
      </x:c>
      <x:c r="Z163" s="34" t="str">
        <x:v>strict</x:v>
      </x:c>
      <x:c r="AA163" s="36" t="n">
        <x:v>64</x:v>
      </x:c>
      <x:c r="AB163" s="43" t="n">
        <x:v>82428928</x:v>
      </x:c>
      <x:c r="AC163" s="43" t="n">
        <x:v>3029542169</x:v>
      </x:c>
      <x:c r="AD163" s="43" t="n">
        <x:v>29542169</x:v>
      </x:c>
      <x:c r="AE163" s="43" t="n">
        <x:v>1762693.1977845766</x:v>
      </x:c>
      <x:c r="AF163" s="43" t="n">
        <x:v>28778842.70718618</x:v>
      </x:c>
      <x:c r="AG163" s="43" t="n">
        <x:v>143973120</x:v>
      </x:c>
      <x:c r="AH163" s="43" t="n">
        <x:v>5002741822</x:v>
      </x:c>
      <x:c r="AI163" s="43" t="n">
        <x:v>2741822</x:v>
      </x:c>
      <x:c r="AJ163" s="43" t="n">
        <x:v>28778842.70718618</x:v>
      </x:c>
      <x:c r="AK163" s="43" t="n">
        <x:v>143973120</x:v>
      </x:c>
      <x:c r="AL163" s="43" t="n">
        <x:v>0</x:v>
      </x:c>
      <x:c r="AM163" s="43" t="n">
        <x:v>176444.69030639692</x:v>
      </x:c>
      <x:c r="AN163" s="43" t="n">
        <x:v>140</x:v>
      </x:c>
      <x:c r="AO163" s="43" t="n">
        <x:v>261</x:v>
      </x:c>
      <x:c r="AP163" s="43" t="n">
        <x:v>461</x:v>
      </x:c>
      <x:c r="AQ163" s="43" t="n">
        <x:v>2249580</x:v>
      </x:c>
      <x:c r="AR163" s="43" t="n">
        <x:v>1</x:v>
      </x:c>
      <x:c r="AS163" s="45" t="b">
        <x:v>1</x:v>
      </x:c>
      <x:c r="AT163" s="43" t="n">
        <x:v>10000</x:v>
      </x:c>
      <x:c r="AU163" s="48" t="n">
        <x:v>0.9489675364401355</x:v>
      </x:c>
      <x:c r="AV163" s="43" t="n">
        <x:v>10000</x:v>
      </x:c>
      <x:c r="AW163" s="48" t="n">
        <x:v>0.9489675364401355</x:v>
      </x:c>
      <x:c r="AX163" s="45" t="b">
        <x:v>1</x:v>
      </x:c>
      <x:c r="AY163" s="44" t="str">
        <x:v>{"provider":"caffeine","currentEntries":10000,"requestCount":143973120,"hitCount":136625817,"missCount":7347303,"hitRate":0.9489675364401355,"loadSuccessCount":0,"loadFailureCount":0,"totalLoadTimeNanos":0,"evictionCount":-1,"expirationCount":-1,"putCount":10000,"removeCount":0,"nativeMetrics":{"statisticsEnabled":0}}</x:v>
      </x:c>
      <x:c r="AZ163" s="44" t="str">
        <x:v>{"provider":"caffeine","currentEntries":10000,"requestCount":143973120,"hitCount":136625817,"missCount":7347303,"hitRate":0.9489675364401355,"loadSuccessCount":0,"loadFailureCount":0,"totalLoadTimeNanos":0,"evictionCount":-1,"expirationCount":-1,"putCount":15000,"removeCount":0,"nativeMetrics":{"statisticsEnabled":0}}</x:v>
      </x:c>
      <x:c r="BA163" s="43" t="n">
        <x:v>10000</x:v>
      </x:c>
      <x:c r="BB163" s="43" t="n">
        <x:v>143973120</x:v>
      </x:c>
      <x:c r="BC163" s="43" t="n">
        <x:v>136625817</x:v>
      </x:c>
      <x:c r="BD163" s="43" t="n">
        <x:v>7347303</x:v>
      </x:c>
      <x:c r="BE163" s="48" t="n">
        <x:v>0.9489675364401355</x:v>
      </x:c>
      <x:c r="BF163" s="43" t="n">
        <x:v>0</x:v>
      </x:c>
      <x:c r="BG163" s="43" t="n">
        <x:v>0</x:v>
      </x:c>
      <x:c r="BH163" s="43" t="n">
        <x:v>0</x:v>
      </x:c>
      <x:c r="BI163" s="43" t="n">
        <x:v>-1</x:v>
      </x:c>
      <x:c r="BJ163" s="43" t="n">
        <x:v>-1</x:v>
      </x:c>
      <x:c r="BK163" s="43" t="n">
        <x:v>15000</x:v>
      </x:c>
      <x:c r="BL163" s="43" t="n">
        <x:v>0</x:v>
      </x:c>
      <x:c r="BM163" s="44" t="str">
        <x:v>{"statisticsEnabled":0}</x:v>
      </x:c>
    </x:row>
    <x:row r="164">
      <x:c r="A164" s="34" t="str">
        <x:v>article1-unified-v4-2-fb3f101b-20260903-000401-default-f03-p5-caffeine</x:v>
      </x:c>
      <x:c r="B164" s="34" t="str">
        <x:v>default</x:v>
      </x:c>
      <x:c r="C164" s="34" t="str">
        <x:v>caffeine</x:v>
      </x:c>
      <x:c r="D164" s="34" t="str">
        <x:v>caffeine</x:v>
      </x:c>
      <x:c r="E164" s="34" t="str">
        <x:v>current-provider-primary-comparison</x:v>
      </x:c>
      <x:c r="F164" s="36" t="n">
        <x:v>3</x:v>
      </x:c>
      <x:c r="G164" s="36" t="n">
        <x:v>3</x:v>
      </x:c>
      <x:c r="H164" s="36" t="n">
        <x:v>5</x:v>
      </x:c>
      <x:c r="I164" s="36" t="n">
        <x:v>2</x:v>
      </x:c>
      <x:c r="J164" s="34" t="str">
        <x:v>initial</x:v>
      </x:c>
      <x:c r="K164" s="34" t="str">
        <x:v>cache-semantics</x:v>
      </x:c>
      <x:c r="L164" s="45" t="b">
        <x:v>1</x:v>
      </x:c>
      <x:c r="M164" s="36" t="n">
        <x:v>1808793809</x:v>
      </x:c>
      <x:c r="N164" s="34" t="str">
        <x:v>e98ae77b89ca281ab6e3fa243d388f2afaa7d447b25249b9af400b47f86b2473</x:v>
      </x:c>
      <x:c r="O164" s="43" t="n">
        <x:v>10000</x:v>
      </x:c>
      <x:c r="P164" s="43" t="n">
        <x:v>400000</x:v>
      </x:c>
      <x:c r="Q164" s="36" t="n">
        <x:v>8</x:v>
      </x:c>
      <x:c r="R164" s="42" t="n">
        <x:v>95</x:v>
      </x:c>
      <x:c r="S164" s="43" t="n">
        <x:v>512</x:v>
      </x:c>
      <x:c r="T164" s="43" t="n">
        <x:v>50000</x:v>
      </x:c>
      <x:c r="U164" s="46" t="n">
        <x:v>3</x:v>
      </x:c>
      <x:c r="V164" s="46" t="n">
        <x:v>5</x:v>
      </x:c>
      <x:c r="W164" s="43" t="n">
        <x:v>300</x:v>
      </x:c>
      <x:c r="X164" s="34" t="str">
        <x:v>uniform</x:v>
      </x:c>
      <x:c r="Y164" s="42" t="n">
        <x:v>10</x:v>
      </x:c>
      <x:c r="Z164" s="34" t="str">
        <x:v>strict</x:v>
      </x:c>
      <x:c r="AA164" s="36" t="n">
        <x:v>64</x:v>
      </x:c>
      <x:c r="AB164" s="43" t="n">
        <x:v>74268160</x:v>
      </x:c>
      <x:c r="AC164" s="43" t="n">
        <x:v>3053136151</x:v>
      </x:c>
      <x:c r="AD164" s="43" t="n">
        <x:v>53136151</x:v>
      </x:c>
      <x:c r="AE164" s="43" t="n">
        <x:v>1366167.2505665496</x:v>
      </x:c>
      <x:c r="AF164" s="43" t="n">
        <x:v>26567572.85432389</x:v>
      </x:c>
      <x:c r="AG164" s="43" t="n">
        <x:v>132900352</x:v>
      </x:c>
      <x:c r="AH164" s="43" t="n">
        <x:v>5002352030</x:v>
      </x:c>
      <x:c r="AI164" s="43" t="n">
        <x:v>2352030</x:v>
      </x:c>
      <x:c r="AJ164" s="43" t="n">
        <x:v>26567572.85432389</x:v>
      </x:c>
      <x:c r="AK164" s="43" t="n">
        <x:v>132900352</x:v>
      </x:c>
      <x:c r="AL164" s="43" t="n">
        <x:v>0</x:v>
      </x:c>
      <x:c r="AM164" s="43" t="n">
        <x:v>402892.4129798721</x:v>
      </x:c>
      <x:c r="AN164" s="43" t="n">
        <x:v>140</x:v>
      </x:c>
      <x:c r="AO164" s="43" t="n">
        <x:v>301</x:v>
      </x:c>
      <x:c r="AP164" s="43" t="n">
        <x:v>501</x:v>
      </x:c>
      <x:c r="AQ164" s="43" t="n">
        <x:v>2076568</x:v>
      </x:c>
      <x:c r="AR164" s="43" t="n">
        <x:v>1</x:v>
      </x:c>
      <x:c r="AS164" s="45" t="b">
        <x:v>1</x:v>
      </x:c>
      <x:c r="AT164" s="43" t="n">
        <x:v>10000</x:v>
      </x:c>
      <x:c r="AU164" s="48" t="n">
        <x:v>0.9500496808315452</x:v>
      </x:c>
      <x:c r="AV164" s="43" t="n">
        <x:v>10000</x:v>
      </x:c>
      <x:c r="AW164" s="48" t="n">
        <x:v>0.9500496808315452</x:v>
      </x:c>
      <x:c r="AX164" s="45" t="b">
        <x:v>1</x:v>
      </x:c>
      <x:c r="AY164" s="44" t="str">
        <x:v>{"provider":"caffeine","currentEntries":10000,"requestCount":132900352,"hitCount":126261937,"missCount":6638415,"hitRate":0.9500496808315452,"loadSuccessCount":0,"loadFailureCount":0,"totalLoadTimeNanos":0,"evictionCount":-1,"expirationCount":-1,"putCount":10000,"removeCount":0,"nativeMetrics":{"statisticsEnabled":0}}</x:v>
      </x:c>
      <x:c r="AZ164" s="44" t="str">
        <x:v>{"provider":"caffeine","currentEntries":10000,"requestCount":132900352,"hitCount":126261937,"missCount":6638415,"hitRate":0.9500496808315452,"loadSuccessCount":0,"loadFailureCount":0,"totalLoadTimeNanos":0,"evictionCount":-1,"expirationCount":-1,"putCount":15000,"removeCount":0,"nativeMetrics":{"statisticsEnabled":0}}</x:v>
      </x:c>
      <x:c r="BA164" s="43" t="n">
        <x:v>10000</x:v>
      </x:c>
      <x:c r="BB164" s="43" t="n">
        <x:v>132900352</x:v>
      </x:c>
      <x:c r="BC164" s="43" t="n">
        <x:v>126261937</x:v>
      </x:c>
      <x:c r="BD164" s="43" t="n">
        <x:v>6638415</x:v>
      </x:c>
      <x:c r="BE164" s="48" t="n">
        <x:v>0.9500496808315452</x:v>
      </x:c>
      <x:c r="BF164" s="43" t="n">
        <x:v>0</x:v>
      </x:c>
      <x:c r="BG164" s="43" t="n">
        <x:v>0</x:v>
      </x:c>
      <x:c r="BH164" s="43" t="n">
        <x:v>0</x:v>
      </x:c>
      <x:c r="BI164" s="43" t="n">
        <x:v>-1</x:v>
      </x:c>
      <x:c r="BJ164" s="43" t="n">
        <x:v>-1</x:v>
      </x:c>
      <x:c r="BK164" s="43" t="n">
        <x:v>15000</x:v>
      </x:c>
      <x:c r="BL164" s="43" t="n">
        <x:v>0</x:v>
      </x:c>
      <x:c r="BM164" s="44" t="str">
        <x:v>{"statisticsEnabled":0}</x:v>
      </x:c>
    </x:row>
    <x:row r="165">
      <x:c r="A165" s="34" t="str">
        <x:v>article1-unified-v4-2-fb3f101b-20260903-000401-default-f03-p5-caffeine</x:v>
      </x:c>
      <x:c r="B165" s="34" t="str">
        <x:v>default</x:v>
      </x:c>
      <x:c r="C165" s="34" t="str">
        <x:v>caffeine</x:v>
      </x:c>
      <x:c r="D165" s="34" t="str">
        <x:v>caffeine</x:v>
      </x:c>
      <x:c r="E165" s="34" t="str">
        <x:v>current-provider-primary-comparison</x:v>
      </x:c>
      <x:c r="F165" s="36" t="n">
        <x:v>3</x:v>
      </x:c>
      <x:c r="G165" s="36" t="n">
        <x:v>3</x:v>
      </x:c>
      <x:c r="H165" s="36" t="n">
        <x:v>5</x:v>
      </x:c>
      <x:c r="I165" s="36" t="n">
        <x:v>2</x:v>
      </x:c>
      <x:c r="J165" s="34" t="str">
        <x:v>redeploy</x:v>
      </x:c>
      <x:c r="K165" s="34" t="str">
        <x:v>cache-semantics</x:v>
      </x:c>
      <x:c r="L165" s="45" t="b">
        <x:v>1</x:v>
      </x:c>
      <x:c r="M165" s="36" t="n">
        <x:v>1808793809</x:v>
      </x:c>
      <x:c r="N165" s="34" t="str">
        <x:v>e98ae77b89ca281ab6e3fa243d388f2afaa7d447b25249b9af400b47f86b2473</x:v>
      </x:c>
      <x:c r="O165" s="43" t="n">
        <x:v>10000</x:v>
      </x:c>
      <x:c r="P165" s="43" t="n">
        <x:v>400000</x:v>
      </x:c>
      <x:c r="Q165" s="36" t="n">
        <x:v>8</x:v>
      </x:c>
      <x:c r="R165" s="42" t="n">
        <x:v>95</x:v>
      </x:c>
      <x:c r="S165" s="43" t="n">
        <x:v>512</x:v>
      </x:c>
      <x:c r="T165" s="43" t="n">
        <x:v>50000</x:v>
      </x:c>
      <x:c r="U165" s="46" t="n">
        <x:v>3</x:v>
      </x:c>
      <x:c r="V165" s="46" t="n">
        <x:v>5</x:v>
      </x:c>
      <x:c r="W165" s="43" t="n">
        <x:v>300</x:v>
      </x:c>
      <x:c r="X165" s="34" t="str">
        <x:v>uniform</x:v>
      </x:c>
      <x:c r="Y165" s="42" t="n">
        <x:v>10</x:v>
      </x:c>
      <x:c r="Z165" s="34" t="str">
        <x:v>strict</x:v>
      </x:c>
      <x:c r="AA165" s="36" t="n">
        <x:v>64</x:v>
      </x:c>
      <x:c r="AB165" s="43" t="n">
        <x:v>81452288</x:v>
      </x:c>
      <x:c r="AC165" s="43" t="n">
        <x:v>3031078682</x:v>
      </x:c>
      <x:c r="AD165" s="43" t="n">
        <x:v>31078682</x:v>
      </x:c>
      <x:c r="AE165" s="43" t="n">
        <x:v>976976.8564929442</x:v>
      </x:c>
      <x:c r="AF165" s="43" t="n">
        <x:v>27568816.009425186</x:v>
      </x:c>
      <x:c r="AG165" s="43" t="n">
        <x:v>137903104</x:v>
      </x:c>
      <x:c r="AH165" s="43" t="n">
        <x:v>5002140968</x:v>
      </x:c>
      <x:c r="AI165" s="43" t="n">
        <x:v>2140968</x:v>
      </x:c>
      <x:c r="AJ165" s="43" t="n">
        <x:v>27568816.009425186</x:v>
      </x:c>
      <x:c r="AK165" s="43" t="n">
        <x:v>137903104</x:v>
      </x:c>
      <x:c r="AL165" s="43" t="n">
        <x:v>0</x:v>
      </x:c>
      <x:c r="AM165" s="43" t="n">
        <x:v>447960.7170704301</x:v>
      </x:c>
      <x:c r="AN165" s="43" t="n">
        <x:v>140</x:v>
      </x:c>
      <x:c r="AO165" s="43" t="n">
        <x:v>301</x:v>
      </x:c>
      <x:c r="AP165" s="43" t="n">
        <x:v>481</x:v>
      </x:c>
      <x:c r="AQ165" s="43" t="n">
        <x:v>2154736</x:v>
      </x:c>
      <x:c r="AR165" s="43" t="n">
        <x:v>1</x:v>
      </x:c>
      <x:c r="AS165" s="45" t="b">
        <x:v>1</x:v>
      </x:c>
      <x:c r="AT165" s="43" t="n">
        <x:v>10000</x:v>
      </x:c>
      <x:c r="AU165" s="48" t="n">
        <x:v>0.9500566571728509</x:v>
      </x:c>
      <x:c r="AV165" s="43" t="n">
        <x:v>10000</x:v>
      </x:c>
      <x:c r="AW165" s="48" t="n">
        <x:v>0.9500566571728509</x:v>
      </x:c>
      <x:c r="AX165" s="45" t="b">
        <x:v>1</x:v>
      </x:c>
      <x:c r="AY165" s="44" t="str">
        <x:v>{"provider":"caffeine","currentEntries":10000,"requestCount":137903104,"hitCount":131015762,"missCount":6887342,"hitRate":0.9500566571728509,"loadSuccessCount":0,"loadFailureCount":0,"totalLoadTimeNanos":0,"evictionCount":-1,"expirationCount":-1,"putCount":10000,"removeCount":0,"nativeMetrics":{"statisticsEnabled":0}}</x:v>
      </x:c>
      <x:c r="AZ165" s="44" t="str">
        <x:v>{"provider":"caffeine","currentEntries":10000,"requestCount":137903104,"hitCount":131015762,"missCount":6887342,"hitRate":0.9500566571728509,"loadSuccessCount":0,"loadFailureCount":0,"totalLoadTimeNanos":0,"evictionCount":-1,"expirationCount":-1,"putCount":15000,"removeCount":0,"nativeMetrics":{"statisticsEnabled":0}}</x:v>
      </x:c>
      <x:c r="BA165" s="43" t="n">
        <x:v>10000</x:v>
      </x:c>
      <x:c r="BB165" s="43" t="n">
        <x:v>137903104</x:v>
      </x:c>
      <x:c r="BC165" s="43" t="n">
        <x:v>131015762</x:v>
      </x:c>
      <x:c r="BD165" s="43" t="n">
        <x:v>6887342</x:v>
      </x:c>
      <x:c r="BE165" s="48" t="n">
        <x:v>0.9500566571728509</x:v>
      </x:c>
      <x:c r="BF165" s="43" t="n">
        <x:v>0</x:v>
      </x:c>
      <x:c r="BG165" s="43" t="n">
        <x:v>0</x:v>
      </x:c>
      <x:c r="BH165" s="43" t="n">
        <x:v>0</x:v>
      </x:c>
      <x:c r="BI165" s="43" t="n">
        <x:v>-1</x:v>
      </x:c>
      <x:c r="BJ165" s="43" t="n">
        <x:v>-1</x:v>
      </x:c>
      <x:c r="BK165" s="43" t="n">
        <x:v>15000</x:v>
      </x:c>
      <x:c r="BL165" s="43" t="n">
        <x:v>0</x:v>
      </x:c>
      <x:c r="BM165" s="44" t="str">
        <x:v>{"statisticsEnabled":0}</x:v>
      </x:c>
    </x:row>
    <x:row r="166">
      <x:c r="A166" s="34" t="str">
        <x:v>article1-unified-v4-2-fb3f101b-20260903-000401-default-f03-p5-caffeine</x:v>
      </x:c>
      <x:c r="B166" s="34" t="str">
        <x:v>default</x:v>
      </x:c>
      <x:c r="C166" s="34" t="str">
        <x:v>caffeine</x:v>
      </x:c>
      <x:c r="D166" s="34" t="str">
        <x:v>caffeine</x:v>
      </x:c>
      <x:c r="E166" s="34" t="str">
        <x:v>current-provider-primary-comparison</x:v>
      </x:c>
      <x:c r="F166" s="36" t="n">
        <x:v>3</x:v>
      </x:c>
      <x:c r="G166" s="36" t="n">
        <x:v>3</x:v>
      </x:c>
      <x:c r="H166" s="36" t="n">
        <x:v>5</x:v>
      </x:c>
      <x:c r="I166" s="36" t="n">
        <x:v>3</x:v>
      </x:c>
      <x:c r="J166" s="34" t="str">
        <x:v>initial</x:v>
      </x:c>
      <x:c r="K166" s="34" t="str">
        <x:v>cache-semantics</x:v>
      </x:c>
      <x:c r="L166" s="45" t="b">
        <x:v>1</x:v>
      </x:c>
      <x:c r="M166" s="36" t="n">
        <x:v>124332191</x:v>
      </x:c>
      <x:c r="N166" s="34" t="str">
        <x:v>05d9806dea6607f34cfaa463b8de941fa0300c4e5f7fb1516ac47f2bc0b6780d</x:v>
      </x:c>
      <x:c r="O166" s="43" t="n">
        <x:v>10000</x:v>
      </x:c>
      <x:c r="P166" s="43" t="n">
        <x:v>400000</x:v>
      </x:c>
      <x:c r="Q166" s="36" t="n">
        <x:v>8</x:v>
      </x:c>
      <x:c r="R166" s="42" t="n">
        <x:v>95</x:v>
      </x:c>
      <x:c r="S166" s="43" t="n">
        <x:v>512</x:v>
      </x:c>
      <x:c r="T166" s="43" t="n">
        <x:v>50000</x:v>
      </x:c>
      <x:c r="U166" s="46" t="n">
        <x:v>3</x:v>
      </x:c>
      <x:c r="V166" s="46" t="n">
        <x:v>5</x:v>
      </x:c>
      <x:c r="W166" s="43" t="n">
        <x:v>300</x:v>
      </x:c>
      <x:c r="X166" s="34" t="str">
        <x:v>uniform</x:v>
      </x:c>
      <x:c r="Y166" s="42" t="n">
        <x:v>10</x:v>
      </x:c>
      <x:c r="Z166" s="34" t="str">
        <x:v>strict</x:v>
      </x:c>
      <x:c r="AA166" s="36" t="n">
        <x:v>64</x:v>
      </x:c>
      <x:c r="AB166" s="43" t="n">
        <x:v>82916608</x:v>
      </x:c>
      <x:c r="AC166" s="43" t="n">
        <x:v>3004174306</x:v>
      </x:c>
      <x:c r="AD166" s="43" t="n">
        <x:v>4174306</x:v>
      </x:c>
      <x:c r="AE166" s="43" t="n">
        <x:v>1231723.3805485752</x:v>
      </x:c>
      <x:c r="AF166" s="43" t="n">
        <x:v>27539688.145286653</x:v>
      </x:c>
      <x:c r="AG166" s="43" t="n">
        <x:v>137758464</x:v>
      </x:c>
      <x:c r="AH166" s="43" t="n">
        <x:v>5002179519</x:v>
      </x:c>
      <x:c r="AI166" s="43" t="n">
        <x:v>2179519</x:v>
      </x:c>
      <x:c r="AJ166" s="43" t="n">
        <x:v>27539688.145286653</x:v>
      </x:c>
      <x:c r="AK166" s="43" t="n">
        <x:v>137758464</x:v>
      </x:c>
      <x:c r="AL166" s="43" t="n">
        <x:v>0</x:v>
      </x:c>
      <x:c r="AM166" s="43" t="n">
        <x:v>501554.3168278495</x:v>
      </x:c>
      <x:c r="AN166" s="43" t="n">
        <x:v>140</x:v>
      </x:c>
      <x:c r="AO166" s="43" t="n">
        <x:v>290</x:v>
      </x:c>
      <x:c r="AP166" s="43" t="n">
        <x:v>461</x:v>
      </x:c>
      <x:c r="AQ166" s="43" t="n">
        <x:v>2152476</x:v>
      </x:c>
      <x:c r="AR166" s="43" t="n">
        <x:v>1</x:v>
      </x:c>
      <x:c r="AS166" s="45" t="b">
        <x:v>1</x:v>
      </x:c>
      <x:c r="AT166" s="43" t="n">
        <x:v>10000</x:v>
      </x:c>
      <x:c r="AU166" s="48" t="n">
        <x:v>0.9501388023606303</x:v>
      </x:c>
      <x:c r="AV166" s="43" t="n">
        <x:v>10000</x:v>
      </x:c>
      <x:c r="AW166" s="48" t="n">
        <x:v>0.9501388023606303</x:v>
      </x:c>
      <x:c r="AX166" s="45" t="b">
        <x:v>1</x:v>
      </x:c>
      <x:c r="AY166" s="44" t="str">
        <x:v>{"provider":"caffeine","currentEntries":10000,"requestCount":137758464,"hitCount":130889662,"missCount":6868802,"hitRate":0.9501388023606303,"loadSuccessCount":0,"loadFailureCount":0,"totalLoadTimeNanos":0,"evictionCount":-1,"expirationCount":-1,"putCount":10000,"removeCount":0,"nativeMetrics":{"statisticsEnabled":0}}</x:v>
      </x:c>
      <x:c r="AZ166" s="44" t="str">
        <x:v>{"provider":"caffeine","currentEntries":10000,"requestCount":137758464,"hitCount":130889662,"missCount":6868802,"hitRate":0.9501388023606303,"loadSuccessCount":0,"loadFailureCount":0,"totalLoadTimeNanos":0,"evictionCount":-1,"expirationCount":-1,"putCount":15000,"removeCount":0,"nativeMetrics":{"statisticsEnabled":0}}</x:v>
      </x:c>
      <x:c r="BA166" s="43" t="n">
        <x:v>10000</x:v>
      </x:c>
      <x:c r="BB166" s="43" t="n">
        <x:v>137758464</x:v>
      </x:c>
      <x:c r="BC166" s="43" t="n">
        <x:v>130889662</x:v>
      </x:c>
      <x:c r="BD166" s="43" t="n">
        <x:v>6868802</x:v>
      </x:c>
      <x:c r="BE166" s="48" t="n">
        <x:v>0.9501388023606303</x:v>
      </x:c>
      <x:c r="BF166" s="43" t="n">
        <x:v>0</x:v>
      </x:c>
      <x:c r="BG166" s="43" t="n">
        <x:v>0</x:v>
      </x:c>
      <x:c r="BH166" s="43" t="n">
        <x:v>0</x:v>
      </x:c>
      <x:c r="BI166" s="43" t="n">
        <x:v>-1</x:v>
      </x:c>
      <x:c r="BJ166" s="43" t="n">
        <x:v>-1</x:v>
      </x:c>
      <x:c r="BK166" s="43" t="n">
        <x:v>15000</x:v>
      </x:c>
      <x:c r="BL166" s="43" t="n">
        <x:v>0</x:v>
      </x:c>
      <x:c r="BM166" s="44" t="str">
        <x:v>{"statisticsEnabled":0}</x:v>
      </x:c>
    </x:row>
    <x:row r="167">
      <x:c r="A167" s="34" t="str">
        <x:v>article1-unified-v4-2-fb3f101b-20260903-000401-default-f03-p5-caffeine</x:v>
      </x:c>
      <x:c r="B167" s="34" t="str">
        <x:v>default</x:v>
      </x:c>
      <x:c r="C167" s="34" t="str">
        <x:v>caffeine</x:v>
      </x:c>
      <x:c r="D167" s="34" t="str">
        <x:v>caffeine</x:v>
      </x:c>
      <x:c r="E167" s="34" t="str">
        <x:v>current-provider-primary-comparison</x:v>
      </x:c>
      <x:c r="F167" s="36" t="n">
        <x:v>3</x:v>
      </x:c>
      <x:c r="G167" s="36" t="n">
        <x:v>3</x:v>
      </x:c>
      <x:c r="H167" s="36" t="n">
        <x:v>5</x:v>
      </x:c>
      <x:c r="I167" s="36" t="n">
        <x:v>3</x:v>
      </x:c>
      <x:c r="J167" s="34" t="str">
        <x:v>redeploy</x:v>
      </x:c>
      <x:c r="K167" s="34" t="str">
        <x:v>cache-semantics</x:v>
      </x:c>
      <x:c r="L167" s="45" t="b">
        <x:v>1</x:v>
      </x:c>
      <x:c r="M167" s="36" t="n">
        <x:v>124332191</x:v>
      </x:c>
      <x:c r="N167" s="34" t="str">
        <x:v>05d9806dea6607f34cfaa463b8de941fa0300c4e5f7fb1516ac47f2bc0b6780d</x:v>
      </x:c>
      <x:c r="O167" s="43" t="n">
        <x:v>10000</x:v>
      </x:c>
      <x:c r="P167" s="43" t="n">
        <x:v>400000</x:v>
      </x:c>
      <x:c r="Q167" s="36" t="n">
        <x:v>8</x:v>
      </x:c>
      <x:c r="R167" s="42" t="n">
        <x:v>95</x:v>
      </x:c>
      <x:c r="S167" s="43" t="n">
        <x:v>512</x:v>
      </x:c>
      <x:c r="T167" s="43" t="n">
        <x:v>50000</x:v>
      </x:c>
      <x:c r="U167" s="46" t="n">
        <x:v>3</x:v>
      </x:c>
      <x:c r="V167" s="46" t="n">
        <x:v>5</x:v>
      </x:c>
      <x:c r="W167" s="43" t="n">
        <x:v>300</x:v>
      </x:c>
      <x:c r="X167" s="34" t="str">
        <x:v>uniform</x:v>
      </x:c>
      <x:c r="Y167" s="42" t="n">
        <x:v>10</x:v>
      </x:c>
      <x:c r="Z167" s="34" t="str">
        <x:v>strict</x:v>
      </x:c>
      <x:c r="AA167" s="36" t="n">
        <x:v>64</x:v>
      </x:c>
      <x:c r="AB167" s="43" t="n">
        <x:v>81729280</x:v>
      </x:c>
      <x:c r="AC167" s="43" t="n">
        <x:v>3048132516</x:v>
      </x:c>
      <x:c r="AD167" s="43" t="n">
        <x:v>48132516</x:v>
      </x:c>
      <x:c r="AE167" s="43" t="n">
        <x:v>1554267.4822840707</x:v>
      </x:c>
      <x:c r="AF167" s="43" t="n">
        <x:v>27471612.5001749</x:v>
      </x:c>
      <x:c r="AG167" s="43" t="n">
        <x:v>137422592</x:v>
      </x:c>
      <x:c r="AH167" s="43" t="n">
        <x:v>5002348952</x:v>
      </x:c>
      <x:c r="AI167" s="43" t="n">
        <x:v>2348952</x:v>
      </x:c>
      <x:c r="AJ167" s="43" t="n">
        <x:v>27471612.5001749</x:v>
      </x:c>
      <x:c r="AK167" s="43" t="n">
        <x:v>137422592</x:v>
      </x:c>
      <x:c r="AL167" s="43" t="n">
        <x:v>0</x:v>
      </x:c>
      <x:c r="AM167" s="43" t="n">
        <x:v>519792.8272124436</x:v>
      </x:c>
      <x:c r="AN167" s="43" t="n">
        <x:v>140</x:v>
      </x:c>
      <x:c r="AO167" s="43" t="n">
        <x:v>270</x:v>
      </x:c>
      <x:c r="AP167" s="43" t="n">
        <x:v>451</x:v>
      </x:c>
      <x:c r="AQ167" s="43" t="n">
        <x:v>2147228</x:v>
      </x:c>
      <x:c r="AR167" s="43" t="n">
        <x:v>1</x:v>
      </x:c>
      <x:c r="AS167" s="45" t="b">
        <x:v>1</x:v>
      </x:c>
      <x:c r="AT167" s="43" t="n">
        <x:v>10000</x:v>
      </x:c>
      <x:c r="AU167" s="48" t="n">
        <x:v>0.9501152328723359</x:v>
      </x:c>
      <x:c r="AV167" s="43" t="n">
        <x:v>10000</x:v>
      </x:c>
      <x:c r="AW167" s="48" t="n">
        <x:v>0.9501152328723359</x:v>
      </x:c>
      <x:c r="AX167" s="45" t="b">
        <x:v>1</x:v>
      </x:c>
      <x:c r="AY167" s="44" t="str">
        <x:v>{"provider":"caffeine","currentEntries":10000,"requestCount":137422592,"hitCount":130567298,"missCount":6855294,"hitRate":0.9501152328723359,"loadSuccessCount":0,"loadFailureCount":0,"totalLoadTimeNanos":0,"evictionCount":-1,"expirationCount":-1,"putCount":10000,"removeCount":0,"nativeMetrics":{"statisticsEnabled":0}}</x:v>
      </x:c>
      <x:c r="AZ167" s="44" t="str">
        <x:v>{"provider":"caffeine","currentEntries":10000,"requestCount":137422592,"hitCount":130567298,"missCount":6855294,"hitRate":0.9501152328723359,"loadSuccessCount":0,"loadFailureCount":0,"totalLoadTimeNanos":0,"evictionCount":-1,"expirationCount":-1,"putCount":15000,"removeCount":0,"nativeMetrics":{"statisticsEnabled":0}}</x:v>
      </x:c>
      <x:c r="BA167" s="43" t="n">
        <x:v>10000</x:v>
      </x:c>
      <x:c r="BB167" s="43" t="n">
        <x:v>137422592</x:v>
      </x:c>
      <x:c r="BC167" s="43" t="n">
        <x:v>130567298</x:v>
      </x:c>
      <x:c r="BD167" s="43" t="n">
        <x:v>6855294</x:v>
      </x:c>
      <x:c r="BE167" s="48" t="n">
        <x:v>0.9501152328723359</x:v>
      </x:c>
      <x:c r="BF167" s="43" t="n">
        <x:v>0</x:v>
      </x:c>
      <x:c r="BG167" s="43" t="n">
        <x:v>0</x:v>
      </x:c>
      <x:c r="BH167" s="43" t="n">
        <x:v>0</x:v>
      </x:c>
      <x:c r="BI167" s="43" t="n">
        <x:v>-1</x:v>
      </x:c>
      <x:c r="BJ167" s="43" t="n">
        <x:v>-1</x:v>
      </x:c>
      <x:c r="BK167" s="43" t="n">
        <x:v>15000</x:v>
      </x:c>
      <x:c r="BL167" s="43" t="n">
        <x:v>0</x:v>
      </x:c>
      <x:c r="BM167" s="44" t="str">
        <x:v>{"statisticsEnabled":0}</x:v>
      </x:c>
    </x:row>
    <x:row r="168">
      <x:c r="A168" s="34" t="str">
        <x:v>article1-unified-v4-2-fb3f101b-20260903-000401-default-f03-p5-caffeine</x:v>
      </x:c>
      <x:c r="B168" s="34" t="str">
        <x:v>default</x:v>
      </x:c>
      <x:c r="C168" s="34" t="str">
        <x:v>caffeine</x:v>
      </x:c>
      <x:c r="D168" s="34" t="str">
        <x:v>caffeine</x:v>
      </x:c>
      <x:c r="E168" s="34" t="str">
        <x:v>current-provider-primary-comparison</x:v>
      </x:c>
      <x:c r="F168" s="36" t="n">
        <x:v>3</x:v>
      </x:c>
      <x:c r="G168" s="36" t="n">
        <x:v>3</x:v>
      </x:c>
      <x:c r="H168" s="36" t="n">
        <x:v>5</x:v>
      </x:c>
      <x:c r="I168" s="36" t="n">
        <x:v>4</x:v>
      </x:c>
      <x:c r="J168" s="34" t="str">
        <x:v>initial</x:v>
      </x:c>
      <x:c r="K168" s="34" t="str">
        <x:v>cache-semantics</x:v>
      </x:c>
      <x:c r="L168" s="45" t="b">
        <x:v>1</x:v>
      </x:c>
      <x:c r="M168" s="36" t="n">
        <x:v>1044467175</x:v>
      </x:c>
      <x:c r="N168" s="34" t="str">
        <x:v>bee84924253a095ac320cc2769fb40582cc17430c9efa7089bd385b7e0ed6e39</x:v>
      </x:c>
      <x:c r="O168" s="43" t="n">
        <x:v>10000</x:v>
      </x:c>
      <x:c r="P168" s="43" t="n">
        <x:v>400000</x:v>
      </x:c>
      <x:c r="Q168" s="36" t="n">
        <x:v>8</x:v>
      </x:c>
      <x:c r="R168" s="42" t="n">
        <x:v>95</x:v>
      </x:c>
      <x:c r="S168" s="43" t="n">
        <x:v>512</x:v>
      </x:c>
      <x:c r="T168" s="43" t="n">
        <x:v>50000</x:v>
      </x:c>
      <x:c r="U168" s="46" t="n">
        <x:v>3</x:v>
      </x:c>
      <x:c r="V168" s="46" t="n">
        <x:v>5</x:v>
      </x:c>
      <x:c r="W168" s="43" t="n">
        <x:v>300</x:v>
      </x:c>
      <x:c r="X168" s="34" t="str">
        <x:v>uniform</x:v>
      </x:c>
      <x:c r="Y168" s="42" t="n">
        <x:v>10</x:v>
      </x:c>
      <x:c r="Z168" s="34" t="str">
        <x:v>strict</x:v>
      </x:c>
      <x:c r="AA168" s="36" t="n">
        <x:v>64</x:v>
      </x:c>
      <x:c r="AB168" s="43" t="n">
        <x:v>84252928</x:v>
      </x:c>
      <x:c r="AC168" s="43" t="n">
        <x:v>3053275333</x:v>
      </x:c>
      <x:c r="AD168" s="43" t="n">
        <x:v>53275333</x:v>
      </x:c>
      <x:c r="AE168" s="43" t="n">
        <x:v>1335224.010532247</x:v>
      </x:c>
      <x:c r="AF168" s="43" t="n">
        <x:v>25971941.250231598</x:v>
      </x:c>
      <x:c r="AG168" s="43" t="n">
        <x:v>129915904</x:v>
      </x:c>
      <x:c r="AH168" s="43" t="n">
        <x:v>5002163787</x:v>
      </x:c>
      <x:c r="AI168" s="43" t="n">
        <x:v>2163787</x:v>
      </x:c>
      <x:c r="AJ168" s="43" t="n">
        <x:v>25971941.250231598</x:v>
      </x:c>
      <x:c r="AK168" s="43" t="n">
        <x:v>129915904</x:v>
      </x:c>
      <x:c r="AL168" s="43" t="n">
        <x:v>0</x:v>
      </x:c>
      <x:c r="AM168" s="43" t="n">
        <x:v>128639.08059899605</x:v>
      </x:c>
      <x:c r="AN168" s="43" t="n">
        <x:v>141</x:v>
      </x:c>
      <x:c r="AO168" s="43" t="n">
        <x:v>301</x:v>
      </x:c>
      <x:c r="AP168" s="43" t="n">
        <x:v>521</x:v>
      </x:c>
      <x:c r="AQ168" s="43" t="n">
        <x:v>2029936</x:v>
      </x:c>
      <x:c r="AR168" s="43" t="n">
        <x:v>1</x:v>
      </x:c>
      <x:c r="AS168" s="45" t="b">
        <x:v>1</x:v>
      </x:c>
      <x:c r="AT168" s="43" t="n">
        <x:v>10000</x:v>
      </x:c>
      <x:c r="AU168" s="48" t="n">
        <x:v>0.950379585550973</x:v>
      </x:c>
      <x:c r="AV168" s="43" t="n">
        <x:v>10000</x:v>
      </x:c>
      <x:c r="AW168" s="48" t="n">
        <x:v>0.950379585550973</x:v>
      </x:c>
      <x:c r="AX168" s="45" t="b">
        <x:v>1</x:v>
      </x:c>
      <x:c r="AY168" s="44" t="str">
        <x:v>{"provider":"caffeine","currentEntries":10000,"requestCount":129915904,"hitCount":123469423,"missCount":6446481,"hitRate":0.950379585550973,"loadSuccessCount":0,"loadFailureCount":0,"totalLoadTimeNanos":0,"evictionCount":-1,"expirationCount":-1,"putCount":10000,"removeCount":0,"nativeMetrics":{"statisticsEnabled":0}}</x:v>
      </x:c>
      <x:c r="AZ168" s="44" t="str">
        <x:v>{"provider":"caffeine","currentEntries":10000,"requestCount":129915904,"hitCount":123469423,"missCount":6446481,"hitRate":0.950379585550973,"loadSuccessCount":0,"loadFailureCount":0,"totalLoadTimeNanos":0,"evictionCount":-1,"expirationCount":-1,"putCount":15000,"removeCount":0,"nativeMetrics":{"statisticsEnabled":0}}</x:v>
      </x:c>
      <x:c r="BA168" s="43" t="n">
        <x:v>10000</x:v>
      </x:c>
      <x:c r="BB168" s="43" t="n">
        <x:v>129915904</x:v>
      </x:c>
      <x:c r="BC168" s="43" t="n">
        <x:v>123469423</x:v>
      </x:c>
      <x:c r="BD168" s="43" t="n">
        <x:v>6446481</x:v>
      </x:c>
      <x:c r="BE168" s="48" t="n">
        <x:v>0.950379585550973</x:v>
      </x:c>
      <x:c r="BF168" s="43" t="n">
        <x:v>0</x:v>
      </x:c>
      <x:c r="BG168" s="43" t="n">
        <x:v>0</x:v>
      </x:c>
      <x:c r="BH168" s="43" t="n">
        <x:v>0</x:v>
      </x:c>
      <x:c r="BI168" s="43" t="n">
        <x:v>-1</x:v>
      </x:c>
      <x:c r="BJ168" s="43" t="n">
        <x:v>-1</x:v>
      </x:c>
      <x:c r="BK168" s="43" t="n">
        <x:v>15000</x:v>
      </x:c>
      <x:c r="BL168" s="43" t="n">
        <x:v>0</x:v>
      </x:c>
      <x:c r="BM168" s="44" t="str">
        <x:v>{"statisticsEnabled":0}</x:v>
      </x:c>
    </x:row>
    <x:row r="169">
      <x:c r="A169" s="34" t="str">
        <x:v>article1-unified-v4-2-fb3f101b-20260903-000401-default-f03-p5-caffeine</x:v>
      </x:c>
      <x:c r="B169" s="34" t="str">
        <x:v>default</x:v>
      </x:c>
      <x:c r="C169" s="34" t="str">
        <x:v>caffeine</x:v>
      </x:c>
      <x:c r="D169" s="34" t="str">
        <x:v>caffeine</x:v>
      </x:c>
      <x:c r="E169" s="34" t="str">
        <x:v>current-provider-primary-comparison</x:v>
      </x:c>
      <x:c r="F169" s="36" t="n">
        <x:v>3</x:v>
      </x:c>
      <x:c r="G169" s="36" t="n">
        <x:v>3</x:v>
      </x:c>
      <x:c r="H169" s="36" t="n">
        <x:v>5</x:v>
      </x:c>
      <x:c r="I169" s="36" t="n">
        <x:v>4</x:v>
      </x:c>
      <x:c r="J169" s="34" t="str">
        <x:v>redeploy</x:v>
      </x:c>
      <x:c r="K169" s="34" t="str">
        <x:v>cache-semantics</x:v>
      </x:c>
      <x:c r="L169" s="45" t="b">
        <x:v>1</x:v>
      </x:c>
      <x:c r="M169" s="36" t="n">
        <x:v>1044467175</x:v>
      </x:c>
      <x:c r="N169" s="34" t="str">
        <x:v>bee84924253a095ac320cc2769fb40582cc17430c9efa7089bd385b7e0ed6e39</x:v>
      </x:c>
      <x:c r="O169" s="43" t="n">
        <x:v>10000</x:v>
      </x:c>
      <x:c r="P169" s="43" t="n">
        <x:v>400000</x:v>
      </x:c>
      <x:c r="Q169" s="36" t="n">
        <x:v>8</x:v>
      </x:c>
      <x:c r="R169" s="42" t="n">
        <x:v>95</x:v>
      </x:c>
      <x:c r="S169" s="43" t="n">
        <x:v>512</x:v>
      </x:c>
      <x:c r="T169" s="43" t="n">
        <x:v>50000</x:v>
      </x:c>
      <x:c r="U169" s="46" t="n">
        <x:v>3</x:v>
      </x:c>
      <x:c r="V169" s="46" t="n">
        <x:v>5</x:v>
      </x:c>
      <x:c r="W169" s="43" t="n">
        <x:v>300</x:v>
      </x:c>
      <x:c r="X169" s="34" t="str">
        <x:v>uniform</x:v>
      </x:c>
      <x:c r="Y169" s="42" t="n">
        <x:v>10</x:v>
      </x:c>
      <x:c r="Z169" s="34" t="str">
        <x:v>strict</x:v>
      </x:c>
      <x:c r="AA169" s="36" t="n">
        <x:v>64</x:v>
      </x:c>
      <x:c r="AB169" s="43" t="n">
        <x:v>87281152</x:v>
      </x:c>
      <x:c r="AC169" s="43" t="n">
        <x:v>3045224592</x:v>
      </x:c>
      <x:c r="AD169" s="43" t="n">
        <x:v>45224592</x:v>
      </x:c>
      <x:c r="AE169" s="43" t="n">
        <x:v>2895698.671279708</x:v>
      </x:c>
      <x:c r="AF169" s="43" t="n">
        <x:v>28503930.63320028</x:v>
      </x:c>
      <x:c r="AG169" s="43" t="n">
        <x:v>142580992</x:v>
      </x:c>
      <x:c r="AH169" s="43" t="n">
        <x:v>5002151943</x:v>
      </x:c>
      <x:c r="AI169" s="43" t="n">
        <x:v>2151943</x:v>
      </x:c>
      <x:c r="AJ169" s="43" t="n">
        <x:v>28503930.63320028</x:v>
      </x:c>
      <x:c r="AK169" s="43" t="n">
        <x:v>142580992</x:v>
      </x:c>
      <x:c r="AL169" s="43" t="n">
        <x:v>0</x:v>
      </x:c>
      <x:c r="AM169" s="43" t="n">
        <x:v>410496.49386734655</x:v>
      </x:c>
      <x:c r="AN169" s="43" t="n">
        <x:v>140</x:v>
      </x:c>
      <x:c r="AO169" s="43" t="n">
        <x:v>260</x:v>
      </x:c>
      <x:c r="AP169" s="43" t="n">
        <x:v>441</x:v>
      </x:c>
      <x:c r="AQ169" s="43" t="n">
        <x:v>2227828</x:v>
      </x:c>
      <x:c r="AR169" s="43" t="n">
        <x:v>1</x:v>
      </x:c>
      <x:c r="AS169" s="45" t="b">
        <x:v>1</x:v>
      </x:c>
      <x:c r="AT169" s="43" t="n">
        <x:v>10000</x:v>
      </x:c>
      <x:c r="AU169" s="48" t="n">
        <x:v>0.9504001697505373</x:v>
      </x:c>
      <x:c r="AV169" s="43" t="n">
        <x:v>10000</x:v>
      </x:c>
      <x:c r="AW169" s="48" t="n">
        <x:v>0.9504001697505373</x:v>
      </x:c>
      <x:c r="AX169" s="45" t="b">
        <x:v>1</x:v>
      </x:c>
      <x:c r="AY169" s="44" t="str">
        <x:v>{"provider":"caffeine","currentEntries":10000,"requestCount":142580992,"hitCount":135508999,"missCount":7071993,"hitRate":0.9504001697505373,"loadSuccessCount":0,"loadFailureCount":0,"totalLoadTimeNanos":0,"evictionCount":-1,"expirationCount":-1,"putCount":10000,"removeCount":0,"nativeMetrics":{"statisticsEnabled":0}}</x:v>
      </x:c>
      <x:c r="AZ169" s="44" t="str">
        <x:v>{"provider":"caffeine","currentEntries":10000,"requestCount":142580992,"hitCount":135508999,"missCount":7071993,"hitRate":0.9504001697505373,"loadSuccessCount":0,"loadFailureCount":0,"totalLoadTimeNanos":0,"evictionCount":-1,"expirationCount":-1,"putCount":15000,"removeCount":0,"nativeMetrics":{"statisticsEnabled":0}}</x:v>
      </x:c>
      <x:c r="BA169" s="43" t="n">
        <x:v>10000</x:v>
      </x:c>
      <x:c r="BB169" s="43" t="n">
        <x:v>142580992</x:v>
      </x:c>
      <x:c r="BC169" s="43" t="n">
        <x:v>135508999</x:v>
      </x:c>
      <x:c r="BD169" s="43" t="n">
        <x:v>7071993</x:v>
      </x:c>
      <x:c r="BE169" s="48" t="n">
        <x:v>0.9504001697505373</x:v>
      </x:c>
      <x:c r="BF169" s="43" t="n">
        <x:v>0</x:v>
      </x:c>
      <x:c r="BG169" s="43" t="n">
        <x:v>0</x:v>
      </x:c>
      <x:c r="BH169" s="43" t="n">
        <x:v>0</x:v>
      </x:c>
      <x:c r="BI169" s="43" t="n">
        <x:v>-1</x:v>
      </x:c>
      <x:c r="BJ169" s="43" t="n">
        <x:v>-1</x:v>
      </x:c>
      <x:c r="BK169" s="43" t="n">
        <x:v>15000</x:v>
      </x:c>
      <x:c r="BL169" s="43" t="n">
        <x:v>0</x:v>
      </x:c>
      <x:c r="BM169" s="44" t="str">
        <x:v>{"statisticsEnabled":0}</x:v>
      </x:c>
    </x:row>
    <x:row r="170">
      <x:c r="A170" s="34" t="str">
        <x:v>article1-unified-v4-2-fb3f101b-20260903-000401-default-f03-p5-caffeine</x:v>
      </x:c>
      <x:c r="B170" s="34" t="str">
        <x:v>default</x:v>
      </x:c>
      <x:c r="C170" s="34" t="str">
        <x:v>caffeine</x:v>
      </x:c>
      <x:c r="D170" s="34" t="str">
        <x:v>caffeine</x:v>
      </x:c>
      <x:c r="E170" s="34" t="str">
        <x:v>current-provider-primary-comparison</x:v>
      </x:c>
      <x:c r="F170" s="36" t="n">
        <x:v>3</x:v>
      </x:c>
      <x:c r="G170" s="36" t="n">
        <x:v>3</x:v>
      </x:c>
      <x:c r="H170" s="36" t="n">
        <x:v>5</x:v>
      </x:c>
      <x:c r="I170" s="36" t="n">
        <x:v>5</x:v>
      </x:c>
      <x:c r="J170" s="34" t="str">
        <x:v>initial</x:v>
      </x:c>
      <x:c r="K170" s="34" t="str">
        <x:v>cache-semantics</x:v>
      </x:c>
      <x:c r="L170" s="45" t="b">
        <x:v>1</x:v>
      </x:c>
      <x:c r="M170" s="36" t="n">
        <x:v>583023952</x:v>
      </x:c>
      <x:c r="N170" s="34" t="str">
        <x:v>7b8fd907f7b5f8856529fb47dd9c623362c42635eee044a68e2710298a56122c</x:v>
      </x:c>
      <x:c r="O170" s="43" t="n">
        <x:v>10000</x:v>
      </x:c>
      <x:c r="P170" s="43" t="n">
        <x:v>400000</x:v>
      </x:c>
      <x:c r="Q170" s="36" t="n">
        <x:v>8</x:v>
      </x:c>
      <x:c r="R170" s="42" t="n">
        <x:v>95</x:v>
      </x:c>
      <x:c r="S170" s="43" t="n">
        <x:v>512</x:v>
      </x:c>
      <x:c r="T170" s="43" t="n">
        <x:v>50000</x:v>
      </x:c>
      <x:c r="U170" s="46" t="n">
        <x:v>3</x:v>
      </x:c>
      <x:c r="V170" s="46" t="n">
        <x:v>5</x:v>
      </x:c>
      <x:c r="W170" s="43" t="n">
        <x:v>300</x:v>
      </x:c>
      <x:c r="X170" s="34" t="str">
        <x:v>uniform</x:v>
      </x:c>
      <x:c r="Y170" s="42" t="n">
        <x:v>10</x:v>
      </x:c>
      <x:c r="Z170" s="34" t="str">
        <x:v>strict</x:v>
      </x:c>
      <x:c r="AA170" s="36" t="n">
        <x:v>64</x:v>
      </x:c>
      <x:c r="AB170" s="43" t="n">
        <x:v>84466688</x:v>
      </x:c>
      <x:c r="AC170" s="43" t="n">
        <x:v>3056503188</x:v>
      </x:c>
      <x:c r="AD170" s="43" t="n">
        <x:v>56503188</x:v>
      </x:c>
      <x:c r="AE170" s="43" t="n">
        <x:v>1072295.445703891</x:v>
      </x:c>
      <x:c r="AF170" s="43" t="n">
        <x:v>29195458.015086338</x:v>
      </x:c>
      <x:c r="AG170" s="43" t="n">
        <x:v>146047744</x:v>
      </x:c>
      <x:c r="AH170" s="43" t="n">
        <x:v>5002413181</x:v>
      </x:c>
      <x:c r="AI170" s="43" t="n">
        <x:v>2413181</x:v>
      </x:c>
      <x:c r="AJ170" s="43" t="n">
        <x:v>29195458.015086338</x:v>
      </x:c>
      <x:c r="AK170" s="43" t="n">
        <x:v>146047744</x:v>
      </x:c>
      <x:c r="AL170" s="43" t="n">
        <x:v>0</x:v>
      </x:c>
      <x:c r="AM170" s="43" t="n">
        <x:v>191239.55320473696</x:v>
      </x:c>
      <x:c r="AN170" s="43" t="n">
        <x:v>130</x:v>
      </x:c>
      <x:c r="AO170" s="43" t="n">
        <x:v>251</x:v>
      </x:c>
      <x:c r="AP170" s="43" t="n">
        <x:v>451</x:v>
      </x:c>
      <x:c r="AQ170" s="43" t="n">
        <x:v>2281996</x:v>
      </x:c>
      <x:c r="AR170" s="43" t="n">
        <x:v>1</x:v>
      </x:c>
      <x:c r="AS170" s="45" t="b">
        <x:v>1</x:v>
      </x:c>
      <x:c r="AT170" s="43" t="n">
        <x:v>10000</x:v>
      </x:c>
      <x:c r="AU170" s="48" t="n">
        <x:v>0.9498878873473048</x:v>
      </x:c>
      <x:c r="AV170" s="43" t="n">
        <x:v>10000</x:v>
      </x:c>
      <x:c r="AW170" s="48" t="n">
        <x:v>0.9498878873473048</x:v>
      </x:c>
      <x:c r="AX170" s="45" t="b">
        <x:v>1</x:v>
      </x:c>
      <x:c r="AY170" s="44" t="str">
        <x:v>{"provider":"caffeine","currentEntries":10000,"requestCount":146047744,"hitCount":138728983,"missCount":7318761,"hitRate":0.9498878873473048,"loadSuccessCount":0,"loadFailureCount":0,"totalLoadTimeNanos":0,"evictionCount":-1,"expirationCount":-1,"putCount":10000,"removeCount":0,"nativeMetrics":{"statisticsEnabled":0}}</x:v>
      </x:c>
      <x:c r="AZ170" s="44" t="str">
        <x:v>{"provider":"caffeine","currentEntries":10000,"requestCount":146047744,"hitCount":138728983,"missCount":7318761,"hitRate":0.9498878873473048,"loadSuccessCount":0,"loadFailureCount":0,"totalLoadTimeNanos":0,"evictionCount":-1,"expirationCount":-1,"putCount":15000,"removeCount":0,"nativeMetrics":{"statisticsEnabled":0}}</x:v>
      </x:c>
      <x:c r="BA170" s="43" t="n">
        <x:v>10000</x:v>
      </x:c>
      <x:c r="BB170" s="43" t="n">
        <x:v>146047744</x:v>
      </x:c>
      <x:c r="BC170" s="43" t="n">
        <x:v>138728983</x:v>
      </x:c>
      <x:c r="BD170" s="43" t="n">
        <x:v>7318761</x:v>
      </x:c>
      <x:c r="BE170" s="48" t="n">
        <x:v>0.9498878873473048</x:v>
      </x:c>
      <x:c r="BF170" s="43" t="n">
        <x:v>0</x:v>
      </x:c>
      <x:c r="BG170" s="43" t="n">
        <x:v>0</x:v>
      </x:c>
      <x:c r="BH170" s="43" t="n">
        <x:v>0</x:v>
      </x:c>
      <x:c r="BI170" s="43" t="n">
        <x:v>-1</x:v>
      </x:c>
      <x:c r="BJ170" s="43" t="n">
        <x:v>-1</x:v>
      </x:c>
      <x:c r="BK170" s="43" t="n">
        <x:v>15000</x:v>
      </x:c>
      <x:c r="BL170" s="43" t="n">
        <x:v>0</x:v>
      </x:c>
      <x:c r="BM170" s="44" t="str">
        <x:v>{"statisticsEnabled":0}</x:v>
      </x:c>
    </x:row>
    <x:row r="171">
      <x:c r="A171" s="34" t="str">
        <x:v>article1-unified-v4-2-fb3f101b-20260903-000401-default-f03-p5-caffeine</x:v>
      </x:c>
      <x:c r="B171" s="34" t="str">
        <x:v>default</x:v>
      </x:c>
      <x:c r="C171" s="34" t="str">
        <x:v>caffeine</x:v>
      </x:c>
      <x:c r="D171" s="34" t="str">
        <x:v>caffeine</x:v>
      </x:c>
      <x:c r="E171" s="34" t="str">
        <x:v>current-provider-primary-comparison</x:v>
      </x:c>
      <x:c r="F171" s="36" t="n">
        <x:v>3</x:v>
      </x:c>
      <x:c r="G171" s="36" t="n">
        <x:v>3</x:v>
      </x:c>
      <x:c r="H171" s="36" t="n">
        <x:v>5</x:v>
      </x:c>
      <x:c r="I171" s="36" t="n">
        <x:v>5</x:v>
      </x:c>
      <x:c r="J171" s="34" t="str">
        <x:v>redeploy</x:v>
      </x:c>
      <x:c r="K171" s="34" t="str">
        <x:v>cache-semantics</x:v>
      </x:c>
      <x:c r="L171" s="45" t="b">
        <x:v>1</x:v>
      </x:c>
      <x:c r="M171" s="36" t="n">
        <x:v>583023952</x:v>
      </x:c>
      <x:c r="N171" s="34" t="str">
        <x:v>7b8fd907f7b5f8856529fb47dd9c623362c42635eee044a68e2710298a56122c</x:v>
      </x:c>
      <x:c r="O171" s="43" t="n">
        <x:v>10000</x:v>
      </x:c>
      <x:c r="P171" s="43" t="n">
        <x:v>400000</x:v>
      </x:c>
      <x:c r="Q171" s="36" t="n">
        <x:v>8</x:v>
      </x:c>
      <x:c r="R171" s="42" t="n">
        <x:v>95</x:v>
      </x:c>
      <x:c r="S171" s="43" t="n">
        <x:v>512</x:v>
      </x:c>
      <x:c r="T171" s="43" t="n">
        <x:v>50000</x:v>
      </x:c>
      <x:c r="U171" s="46" t="n">
        <x:v>3</x:v>
      </x:c>
      <x:c r="V171" s="46" t="n">
        <x:v>5</x:v>
      </x:c>
      <x:c r="W171" s="43" t="n">
        <x:v>300</x:v>
      </x:c>
      <x:c r="X171" s="34" t="str">
        <x:v>uniform</x:v>
      </x:c>
      <x:c r="Y171" s="42" t="n">
        <x:v>10</x:v>
      </x:c>
      <x:c r="Z171" s="34" t="str">
        <x:v>strict</x:v>
      </x:c>
      <x:c r="AA171" s="36" t="n">
        <x:v>64</x:v>
      </x:c>
      <x:c r="AB171" s="43" t="n">
        <x:v>78508800</x:v>
      </x:c>
      <x:c r="AC171" s="43" t="n">
        <x:v>3005985772</x:v>
      </x:c>
      <x:c r="AD171" s="43" t="n">
        <x:v>5985772</x:v>
      </x:c>
      <x:c r="AE171" s="43" t="n">
        <x:v>1542125.1533257933</x:v>
      </x:c>
      <x:c r="AF171" s="43" t="n">
        <x:v>26253185.033702303</x:v>
      </x:c>
      <x:c r="AG171" s="43" t="n">
        <x:v>131327232</x:v>
      </x:c>
      <x:c r="AH171" s="43" t="n">
        <x:v>5002335215</x:v>
      </x:c>
      <x:c r="AI171" s="43" t="n">
        <x:v>2335215</x:v>
      </x:c>
      <x:c r="AJ171" s="43" t="n">
        <x:v>26253185.033702303</x:v>
      </x:c>
      <x:c r="AK171" s="43" t="n">
        <x:v>131327232</x:v>
      </x:c>
      <x:c r="AL171" s="43" t="n">
        <x:v>0</x:v>
      </x:c>
      <x:c r="AM171" s="43" t="n">
        <x:v>170425.11419931264</x:v>
      </x:c>
      <x:c r="AN171" s="43" t="n">
        <x:v>140</x:v>
      </x:c>
      <x:c r="AO171" s="43" t="n">
        <x:v>301</x:v>
      </x:c>
      <x:c r="AP171" s="43" t="n">
        <x:v>501</x:v>
      </x:c>
      <x:c r="AQ171" s="43" t="n">
        <x:v>2051988</x:v>
      </x:c>
      <x:c r="AR171" s="43" t="n">
        <x:v>1</x:v>
      </x:c>
      <x:c r="AS171" s="45" t="b">
        <x:v>1</x:v>
      </x:c>
      <x:c r="AT171" s="43" t="n">
        <x:v>10000</x:v>
      </x:c>
      <x:c r="AU171" s="48" t="n">
        <x:v>0.9498302149549608</x:v>
      </x:c>
      <x:c r="AV171" s="43" t="n">
        <x:v>10000</x:v>
      </x:c>
      <x:c r="AW171" s="48" t="n">
        <x:v>0.9498302149549608</x:v>
      </x:c>
      <x:c r="AX171" s="45" t="b">
        <x:v>1</x:v>
      </x:c>
      <x:c r="AY171" s="44" t="str">
        <x:v>{"provider":"caffeine","currentEntries":10000,"requestCount":131327232,"hitCount":124738573,"missCount":6588659,"hitRate":0.9498302149549608,"loadSuccessCount":0,"loadFailureCount":0,"totalLoadTimeNanos":0,"evictionCount":-1,"expirationCount":-1,"putCount":10000,"removeCount":0,"nativeMetrics":{"statisticsEnabled":0}}</x:v>
      </x:c>
      <x:c r="AZ171" s="44" t="str">
        <x:v>{"provider":"caffeine","currentEntries":10000,"requestCount":131327232,"hitCount":124738573,"missCount":6588659,"hitRate":0.9498302149549608,"loadSuccessCount":0,"loadFailureCount":0,"totalLoadTimeNanos":0,"evictionCount":-1,"expirationCount":-1,"putCount":15000,"removeCount":0,"nativeMetrics":{"statisticsEnabled":0}}</x:v>
      </x:c>
      <x:c r="BA171" s="43" t="n">
        <x:v>10000</x:v>
      </x:c>
      <x:c r="BB171" s="43" t="n">
        <x:v>131327232</x:v>
      </x:c>
      <x:c r="BC171" s="43" t="n">
        <x:v>124738573</x:v>
      </x:c>
      <x:c r="BD171" s="43" t="n">
        <x:v>6588659</x:v>
      </x:c>
      <x:c r="BE171" s="48" t="n">
        <x:v>0.9498302149549608</x:v>
      </x:c>
      <x:c r="BF171" s="43" t="n">
        <x:v>0</x:v>
      </x:c>
      <x:c r="BG171" s="43" t="n">
        <x:v>0</x:v>
      </x:c>
      <x:c r="BH171" s="43" t="n">
        <x:v>0</x:v>
      </x:c>
      <x:c r="BI171" s="43" t="n">
        <x:v>-1</x:v>
      </x:c>
      <x:c r="BJ171" s="43" t="n">
        <x:v>-1</x:v>
      </x:c>
      <x:c r="BK171" s="43" t="n">
        <x:v>15000</x:v>
      </x:c>
      <x:c r="BL171" s="43" t="n">
        <x:v>0</x:v>
      </x:c>
      <x:c r="BM171" s="44" t="str">
        <x:v>{"statisticsEnabled":0}</x:v>
      </x:c>
    </x:row>
    <x:row r="172">
      <x:c r="A172" s="34" t="str">
        <x:v>article1-unified-v4-2-fb3f101b-20260903-000401-default-f03-p6-nostore</x:v>
      </x:c>
      <x:c r="B172" s="34" t="str">
        <x:v>default</x:v>
      </x:c>
      <x:c r="C172" s="34" t="str">
        <x:v>nostore</x:v>
      </x:c>
      <x:c r="D172" s="34" t="str">
        <x:v>nostore</x:v>
      </x:c>
      <x:c r="E172" s="34" t="str">
        <x:v>lifecycle-negative-control</x:v>
      </x:c>
      <x:c r="F172" s="36" t="n">
        <x:v>3</x:v>
      </x:c>
      <x:c r="G172" s="36" t="n">
        <x:v>3</x:v>
      </x:c>
      <x:c r="H172" s="36" t="n">
        <x:v>6</x:v>
      </x:c>
      <x:c r="I172" s="36" t="n">
        <x:v>1</x:v>
      </x:c>
      <x:c r="J172" s="34" t="str">
        <x:v>initial</x:v>
      </x:c>
      <x:c r="K172" s="34" t="str">
        <x:v>no-store-control</x:v>
      </x:c>
      <x:c r="L172" s="45" t="b">
        <x:v>0</x:v>
      </x:c>
      <x:c r="M172" s="36" t="n">
        <x:v>142609922</x:v>
      </x:c>
      <x:c r="N172" s="34" t="str">
        <x:v>9ea92208df3b3b8b50bff1fcadf8cbf654073a5a10974202aa936e2af3f41e70</x:v>
      </x:c>
      <x:c r="O172" s="43" t="n">
        <x:v>10000</x:v>
      </x:c>
      <x:c r="P172" s="43" t="n">
        <x:v>400000</x:v>
      </x:c>
      <x:c r="Q172" s="36" t="n">
        <x:v>8</x:v>
      </x:c>
      <x:c r="R172" s="42" t="n">
        <x:v>95</x:v>
      </x:c>
      <x:c r="S172" s="43" t="n">
        <x:v>512</x:v>
      </x:c>
      <x:c r="T172" s="43" t="n">
        <x:v>50000</x:v>
      </x:c>
      <x:c r="U172" s="46" t="n">
        <x:v>3</x:v>
      </x:c>
      <x:c r="V172" s="46" t="n">
        <x:v>5</x:v>
      </x:c>
      <x:c r="W172" s="43" t="n">
        <x:v>300</x:v>
      </x:c>
      <x:c r="X172" s="34" t="str">
        <x:v>uniform</x:v>
      </x:c>
      <x:c r="Y172" s="42" t="n">
        <x:v>10</x:v>
      </x:c>
      <x:c r="Z172" s="34" t="str">
        <x:v>strict</x:v>
      </x:c>
      <x:c r="AA172" s="36" t="n">
        <x:v>64</x:v>
      </x:c>
      <x:c r="AB172" s="43" t="n">
        <x:v>387852800</x:v>
      </x:c>
      <x:c r="AC172" s="43" t="n">
        <x:v>3036972704</x:v>
      </x:c>
      <x:c r="AD172" s="43" t="n">
        <x:v>36972704</x:v>
      </x:c>
      <x:c r="AE172" s="43" t="n">
        <x:v>13687043.02385104</x:v>
      </x:c>
      <x:c r="AF172" s="43" t="n">
        <x:v>106641240.87499478</x:v>
      </x:c>
      <x:c r="AG172" s="43" t="n">
        <x:v>535899904</x:v>
      </x:c>
      <x:c r="AH172" s="43" t="n">
        <x:v>5025259455</x:v>
      </x:c>
      <x:c r="AI172" s="43" t="n">
        <x:v>25259455</x:v>
      </x:c>
      <x:c r="AJ172" s="43" t="n">
        <x:v>106641240.87499478</x:v>
      </x:c>
      <x:c r="AK172" s="43" t="n">
        <x:v>535899904</x:v>
      </x:c>
      <x:c r="AL172" s="43" t="n">
        <x:v>0</x:v>
      </x:c>
      <x:c r="AM172" s="43" t="n">
        <x:v>19826321.424322933</x:v>
      </x:c>
      <x:c r="AN172" s="43" t="n">
        <x:v>30</x:v>
      </x:c>
      <x:c r="AO172" s="43" t="n">
        <x:v>161</x:v>
      </x:c>
      <x:c r="AP172" s="43" t="n">
        <x:v>290</x:v>
      </x:c>
      <x:c r="AQ172" s="43" t="n">
        <x:v>8373436</x:v>
      </x:c>
      <x:c r="AR172" s="43" t="n">
        <x:v>16</x:v>
      </x:c>
      <x:c r="AS172" s="45" t="b">
        <x:v>0</x:v>
      </x:c>
      <x:c r="AT172" s="43" t="n">
        <x:v>0</x:v>
      </x:c>
      <x:c r="AU172" s="48" t="n">
        <x:v>0</x:v>
      </x:c>
      <x:c r="AV172" s="43" t="n">
        <x:v>0</x:v>
      </x:c>
      <x:c r="AW172" s="48" t="n">
        <x:v>0</x:v>
      </x:c>
      <x:c r="AX172" s="45" t="b">
        <x:v>1</x:v>
      </x:c>
      <x:c r="AY172" s="44" t="str">
        <x:v>{"provider":"nostore","currentEntries":0,"requestCount":535899904,"hitCount":0,"missCount":535899904,"hitRate":0,"loadSuccessCount":0,"loadFailureCount":0,"totalLoadTimeNanos":0,"evictionCount":0,"expirationCount":0,"putCount":10000,"removeCount":0,"nativeMetrics":{"storageEnabled":0}}</x:v>
      </x:c>
      <x:c r="AZ172" s="44" t="str">
        <x:v>{"provider":"nostore","currentEntries":0,"requestCount":535899904,"hitCount":0,"missCount":535899904,"hitRate":0,"loadSuccessCount":0,"loadFailureCount":0,"totalLoadTimeNanos":0,"evictionCount":0,"expirationCount":0,"putCount":15000,"removeCount":0,"nativeMetrics":{"storageEnabled":0}}</x:v>
      </x:c>
      <x:c r="BA172" s="43" t="n">
        <x:v>0</x:v>
      </x:c>
      <x:c r="BB172" s="43" t="n">
        <x:v>535899904</x:v>
      </x:c>
      <x:c r="BC172" s="43" t="n">
        <x:v>0</x:v>
      </x:c>
      <x:c r="BD172" s="43" t="n">
        <x:v>535899904</x:v>
      </x:c>
      <x:c r="BE172" s="48" t="n">
        <x:v>0</x:v>
      </x:c>
      <x:c r="BF172" s="43" t="n">
        <x:v>0</x:v>
      </x:c>
      <x:c r="BG172" s="43" t="n">
        <x:v>0</x:v>
      </x:c>
      <x:c r="BH172" s="43" t="n">
        <x:v>0</x:v>
      </x:c>
      <x:c r="BI172" s="43" t="n">
        <x:v>0</x:v>
      </x:c>
      <x:c r="BJ172" s="43" t="n">
        <x:v>0</x:v>
      </x:c>
      <x:c r="BK172" s="43" t="n">
        <x:v>15000</x:v>
      </x:c>
      <x:c r="BL172" s="43" t="n">
        <x:v>0</x:v>
      </x:c>
      <x:c r="BM172" s="44" t="str">
        <x:v>{"storageEnabled":0}</x:v>
      </x:c>
    </x:row>
    <x:row r="173">
      <x:c r="A173" s="34" t="str">
        <x:v>article1-unified-v4-2-fb3f101b-20260903-000401-default-f03-p6-nostore</x:v>
      </x:c>
      <x:c r="B173" s="34" t="str">
        <x:v>default</x:v>
      </x:c>
      <x:c r="C173" s="34" t="str">
        <x:v>nostore</x:v>
      </x:c>
      <x:c r="D173" s="34" t="str">
        <x:v>nostore</x:v>
      </x:c>
      <x:c r="E173" s="34" t="str">
        <x:v>lifecycle-negative-control</x:v>
      </x:c>
      <x:c r="F173" s="36" t="n">
        <x:v>3</x:v>
      </x:c>
      <x:c r="G173" s="36" t="n">
        <x:v>3</x:v>
      </x:c>
      <x:c r="H173" s="36" t="n">
        <x:v>6</x:v>
      </x:c>
      <x:c r="I173" s="36" t="n">
        <x:v>1</x:v>
      </x:c>
      <x:c r="J173" s="34" t="str">
        <x:v>redeploy</x:v>
      </x:c>
      <x:c r="K173" s="34" t="str">
        <x:v>no-store-control</x:v>
      </x:c>
      <x:c r="L173" s="45" t="b">
        <x:v>0</x:v>
      </x:c>
      <x:c r="M173" s="36" t="n">
        <x:v>142609922</x:v>
      </x:c>
      <x:c r="N173" s="34" t="str">
        <x:v>9ea92208df3b3b8b50bff1fcadf8cbf654073a5a10974202aa936e2af3f41e70</x:v>
      </x:c>
      <x:c r="O173" s="43" t="n">
        <x:v>10000</x:v>
      </x:c>
      <x:c r="P173" s="43" t="n">
        <x:v>400000</x:v>
      </x:c>
      <x:c r="Q173" s="36" t="n">
        <x:v>8</x:v>
      </x:c>
      <x:c r="R173" s="42" t="n">
        <x:v>95</x:v>
      </x:c>
      <x:c r="S173" s="43" t="n">
        <x:v>512</x:v>
      </x:c>
      <x:c r="T173" s="43" t="n">
        <x:v>50000</x:v>
      </x:c>
      <x:c r="U173" s="46" t="n">
        <x:v>3</x:v>
      </x:c>
      <x:c r="V173" s="46" t="n">
        <x:v>5</x:v>
      </x:c>
      <x:c r="W173" s="43" t="n">
        <x:v>300</x:v>
      </x:c>
      <x:c r="X173" s="34" t="str">
        <x:v>uniform</x:v>
      </x:c>
      <x:c r="Y173" s="42" t="n">
        <x:v>10</x:v>
      </x:c>
      <x:c r="Z173" s="34" t="str">
        <x:v>strict</x:v>
      </x:c>
      <x:c r="AA173" s="36" t="n">
        <x:v>64</x:v>
      </x:c>
      <x:c r="AB173" s="43" t="n">
        <x:v>374062848</x:v>
      </x:c>
      <x:c r="AC173" s="43" t="n">
        <x:v>3029695534</x:v>
      </x:c>
      <x:c r="AD173" s="43" t="n">
        <x:v>29695534</x:v>
      </x:c>
      <x:c r="AE173" s="43" t="n">
        <x:v>15813251.821291279</x:v>
      </x:c>
      <x:c r="AF173" s="43" t="n">
        <x:v>103036905.78991011</x:v>
      </x:c>
      <x:c r="AG173" s="43" t="n">
        <x:v>516044544</x:v>
      </x:c>
      <x:c r="AH173" s="43" t="n">
        <x:v>5008346670</x:v>
      </x:c>
      <x:c r="AI173" s="43" t="n">
        <x:v>8346670</x:v>
      </x:c>
      <x:c r="AJ173" s="43" t="n">
        <x:v>103036905.78991011</x:v>
      </x:c>
      <x:c r="AK173" s="43" t="n">
        <x:v>516044544</x:v>
      </x:c>
      <x:c r="AL173" s="43" t="n">
        <x:v>0</x:v>
      </x:c>
      <x:c r="AM173" s="43" t="n">
        <x:v>19178691.706366558</x:v>
      </x:c>
      <x:c r="AN173" s="43" t="n">
        <x:v>40</x:v>
      </x:c>
      <x:c r="AO173" s="43" t="n">
        <x:v>170</x:v>
      </x:c>
      <x:c r="AP173" s="43" t="n">
        <x:v>291</x:v>
      </x:c>
      <x:c r="AQ173" s="43" t="n">
        <x:v>8063196</x:v>
      </x:c>
      <x:c r="AR173" s="43" t="n">
        <x:v>16</x:v>
      </x:c>
      <x:c r="AS173" s="45" t="b">
        <x:v>0</x:v>
      </x:c>
      <x:c r="AT173" s="43" t="n">
        <x:v>0</x:v>
      </x:c>
      <x:c r="AU173" s="48" t="n">
        <x:v>0</x:v>
      </x:c>
      <x:c r="AV173" s="43" t="n">
        <x:v>0</x:v>
      </x:c>
      <x:c r="AW173" s="48" t="n">
        <x:v>0</x:v>
      </x:c>
      <x:c r="AX173" s="45" t="b">
        <x:v>1</x:v>
      </x:c>
      <x:c r="AY173" s="44" t="str">
        <x:v>{"provider":"nostore","currentEntries":0,"requestCount":516044544,"hitCount":0,"missCount":516044544,"hitRate":0,"loadSuccessCount":0,"loadFailureCount":0,"totalLoadTimeNanos":0,"evictionCount":0,"expirationCount":0,"putCount":10000,"removeCount":0,"nativeMetrics":{"storageEnabled":0}}</x:v>
      </x:c>
      <x:c r="AZ173" s="44" t="str">
        <x:v>{"provider":"nostore","currentEntries":0,"requestCount":516044544,"hitCount":0,"missCount":516044544,"hitRate":0,"loadSuccessCount":0,"loadFailureCount":0,"totalLoadTimeNanos":0,"evictionCount":0,"expirationCount":0,"putCount":15000,"removeCount":0,"nativeMetrics":{"storageEnabled":0}}</x:v>
      </x:c>
      <x:c r="BA173" s="43" t="n">
        <x:v>0</x:v>
      </x:c>
      <x:c r="BB173" s="43" t="n">
        <x:v>516044544</x:v>
      </x:c>
      <x:c r="BC173" s="43" t="n">
        <x:v>0</x:v>
      </x:c>
      <x:c r="BD173" s="43" t="n">
        <x:v>516044544</x:v>
      </x:c>
      <x:c r="BE173" s="48" t="n">
        <x:v>0</x:v>
      </x:c>
      <x:c r="BF173" s="43" t="n">
        <x:v>0</x:v>
      </x:c>
      <x:c r="BG173" s="43" t="n">
        <x:v>0</x:v>
      </x:c>
      <x:c r="BH173" s="43" t="n">
        <x:v>0</x:v>
      </x:c>
      <x:c r="BI173" s="43" t="n">
        <x:v>0</x:v>
      </x:c>
      <x:c r="BJ173" s="43" t="n">
        <x:v>0</x:v>
      </x:c>
      <x:c r="BK173" s="43" t="n">
        <x:v>15000</x:v>
      </x:c>
      <x:c r="BL173" s="43" t="n">
        <x:v>0</x:v>
      </x:c>
      <x:c r="BM173" s="44" t="str">
        <x:v>{"storageEnabled":0}</x:v>
      </x:c>
    </x:row>
    <x:row r="174">
      <x:c r="A174" s="34" t="str">
        <x:v>article1-unified-v4-2-fb3f101b-20260903-000401-default-f03-p6-nostore</x:v>
      </x:c>
      <x:c r="B174" s="34" t="str">
        <x:v>default</x:v>
      </x:c>
      <x:c r="C174" s="34" t="str">
        <x:v>nostore</x:v>
      </x:c>
      <x:c r="D174" s="34" t="str">
        <x:v>nostore</x:v>
      </x:c>
      <x:c r="E174" s="34" t="str">
        <x:v>lifecycle-negative-control</x:v>
      </x:c>
      <x:c r="F174" s="36" t="n">
        <x:v>3</x:v>
      </x:c>
      <x:c r="G174" s="36" t="n">
        <x:v>3</x:v>
      </x:c>
      <x:c r="H174" s="36" t="n">
        <x:v>6</x:v>
      </x:c>
      <x:c r="I174" s="36" t="n">
        <x:v>2</x:v>
      </x:c>
      <x:c r="J174" s="34" t="str">
        <x:v>initial</x:v>
      </x:c>
      <x:c r="K174" s="34" t="str">
        <x:v>no-store-control</x:v>
      </x:c>
      <x:c r="L174" s="45" t="b">
        <x:v>0</x:v>
      </x:c>
      <x:c r="M174" s="36" t="n">
        <x:v>1808793809</x:v>
      </x:c>
      <x:c r="N174" s="34" t="str">
        <x:v>e98ae77b89ca281ab6e3fa243d388f2afaa7d447b25249b9af400b47f86b2473</x:v>
      </x:c>
      <x:c r="O174" s="43" t="n">
        <x:v>10000</x:v>
      </x:c>
      <x:c r="P174" s="43" t="n">
        <x:v>400000</x:v>
      </x:c>
      <x:c r="Q174" s="36" t="n">
        <x:v>8</x:v>
      </x:c>
      <x:c r="R174" s="42" t="n">
        <x:v>95</x:v>
      </x:c>
      <x:c r="S174" s="43" t="n">
        <x:v>512</x:v>
      </x:c>
      <x:c r="T174" s="43" t="n">
        <x:v>50000</x:v>
      </x:c>
      <x:c r="U174" s="46" t="n">
        <x:v>3</x:v>
      </x:c>
      <x:c r="V174" s="46" t="n">
        <x:v>5</x:v>
      </x:c>
      <x:c r="W174" s="43" t="n">
        <x:v>300</x:v>
      </x:c>
      <x:c r="X174" s="34" t="str">
        <x:v>uniform</x:v>
      </x:c>
      <x:c r="Y174" s="42" t="n">
        <x:v>10</x:v>
      </x:c>
      <x:c r="Z174" s="34" t="str">
        <x:v>strict</x:v>
      </x:c>
      <x:c r="AA174" s="36" t="n">
        <x:v>64</x:v>
      </x:c>
      <x:c r="AB174" s="43" t="n">
        <x:v>360867072</x:v>
      </x:c>
      <x:c r="AC174" s="43" t="n">
        <x:v>3028684939</x:v>
      </x:c>
      <x:c r="AD174" s="43" t="n">
        <x:v>28684939</x:v>
      </x:c>
      <x:c r="AE174" s="43" t="n">
        <x:v>12895322.221864019</x:v>
      </x:c>
      <x:c r="AF174" s="43" t="n">
        <x:v>103157075.19355905</x:v>
      </x:c>
      <x:c r="AG174" s="43" t="n">
        <x:v>516846592</x:v>
      </x:c>
      <x:c r="AH174" s="43" t="n">
        <x:v>5010287380</x:v>
      </x:c>
      <x:c r="AI174" s="43" t="n">
        <x:v>10287380</x:v>
      </x:c>
      <x:c r="AJ174" s="43" t="n">
        <x:v>103157075.19355905</x:v>
      </x:c>
      <x:c r="AK174" s="43" t="n">
        <x:v>516846592</x:v>
      </x:c>
      <x:c r="AL174" s="43" t="n">
        <x:v>0</x:v>
      </x:c>
      <x:c r="AM174" s="43" t="n">
        <x:v>20376974.019358125</x:v>
      </x:c>
      <x:c r="AN174" s="43" t="n">
        <x:v>31</x:v>
      </x:c>
      <x:c r="AO174" s="43" t="n">
        <x:v>161</x:v>
      </x:c>
      <x:c r="AP174" s="43" t="n">
        <x:v>281</x:v>
      </x:c>
      <x:c r="AQ174" s="43" t="n">
        <x:v>8075728</x:v>
      </x:c>
      <x:c r="AR174" s="43" t="n">
        <x:v>16</x:v>
      </x:c>
      <x:c r="AS174" s="45" t="b">
        <x:v>0</x:v>
      </x:c>
      <x:c r="AT174" s="43" t="n">
        <x:v>0</x:v>
      </x:c>
      <x:c r="AU174" s="48" t="n">
        <x:v>0</x:v>
      </x:c>
      <x:c r="AV174" s="43" t="n">
        <x:v>0</x:v>
      </x:c>
      <x:c r="AW174" s="48" t="n">
        <x:v>0</x:v>
      </x:c>
      <x:c r="AX174" s="45" t="b">
        <x:v>1</x:v>
      </x:c>
      <x:c r="AY174" s="44" t="str">
        <x:v>{"provider":"nostore","currentEntries":0,"requestCount":516846592,"hitCount":0,"missCount":516846592,"hitRate":0,"loadSuccessCount":0,"loadFailureCount":0,"totalLoadTimeNanos":0,"evictionCount":0,"expirationCount":0,"putCount":10000,"removeCount":0,"nativeMetrics":{"storageEnabled":0}}</x:v>
      </x:c>
      <x:c r="AZ174" s="44" t="str">
        <x:v>{"provider":"nostore","currentEntries":0,"requestCount":516846592,"hitCount":0,"missCount":516846592,"hitRate":0,"loadSuccessCount":0,"loadFailureCount":0,"totalLoadTimeNanos":0,"evictionCount":0,"expirationCount":0,"putCount":15000,"removeCount":0,"nativeMetrics":{"storageEnabled":0}}</x:v>
      </x:c>
      <x:c r="BA174" s="43" t="n">
        <x:v>0</x:v>
      </x:c>
      <x:c r="BB174" s="43" t="n">
        <x:v>516846592</x:v>
      </x:c>
      <x:c r="BC174" s="43" t="n">
        <x:v>0</x:v>
      </x:c>
      <x:c r="BD174" s="43" t="n">
        <x:v>516846592</x:v>
      </x:c>
      <x:c r="BE174" s="48" t="n">
        <x:v>0</x:v>
      </x:c>
      <x:c r="BF174" s="43" t="n">
        <x:v>0</x:v>
      </x:c>
      <x:c r="BG174" s="43" t="n">
        <x:v>0</x:v>
      </x:c>
      <x:c r="BH174" s="43" t="n">
        <x:v>0</x:v>
      </x:c>
      <x:c r="BI174" s="43" t="n">
        <x:v>0</x:v>
      </x:c>
      <x:c r="BJ174" s="43" t="n">
        <x:v>0</x:v>
      </x:c>
      <x:c r="BK174" s="43" t="n">
        <x:v>15000</x:v>
      </x:c>
      <x:c r="BL174" s="43" t="n">
        <x:v>0</x:v>
      </x:c>
      <x:c r="BM174" s="44" t="str">
        <x:v>{"storageEnabled":0}</x:v>
      </x:c>
    </x:row>
    <x:row r="175">
      <x:c r="A175" s="34" t="str">
        <x:v>article1-unified-v4-2-fb3f101b-20260903-000401-default-f03-p6-nostore</x:v>
      </x:c>
      <x:c r="B175" s="34" t="str">
        <x:v>default</x:v>
      </x:c>
      <x:c r="C175" s="34" t="str">
        <x:v>nostore</x:v>
      </x:c>
      <x:c r="D175" s="34" t="str">
        <x:v>nostore</x:v>
      </x:c>
      <x:c r="E175" s="34" t="str">
        <x:v>lifecycle-negative-control</x:v>
      </x:c>
      <x:c r="F175" s="36" t="n">
        <x:v>3</x:v>
      </x:c>
      <x:c r="G175" s="36" t="n">
        <x:v>3</x:v>
      </x:c>
      <x:c r="H175" s="36" t="n">
        <x:v>6</x:v>
      </x:c>
      <x:c r="I175" s="36" t="n">
        <x:v>2</x:v>
      </x:c>
      <x:c r="J175" s="34" t="str">
        <x:v>redeploy</x:v>
      </x:c>
      <x:c r="K175" s="34" t="str">
        <x:v>no-store-control</x:v>
      </x:c>
      <x:c r="L175" s="45" t="b">
        <x:v>0</x:v>
      </x:c>
      <x:c r="M175" s="36" t="n">
        <x:v>1808793809</x:v>
      </x:c>
      <x:c r="N175" s="34" t="str">
        <x:v>e98ae77b89ca281ab6e3fa243d388f2afaa7d447b25249b9af400b47f86b2473</x:v>
      </x:c>
      <x:c r="O175" s="43" t="n">
        <x:v>10000</x:v>
      </x:c>
      <x:c r="P175" s="43" t="n">
        <x:v>400000</x:v>
      </x:c>
      <x:c r="Q175" s="36" t="n">
        <x:v>8</x:v>
      </x:c>
      <x:c r="R175" s="42" t="n">
        <x:v>95</x:v>
      </x:c>
      <x:c r="S175" s="43" t="n">
        <x:v>512</x:v>
      </x:c>
      <x:c r="T175" s="43" t="n">
        <x:v>50000</x:v>
      </x:c>
      <x:c r="U175" s="46" t="n">
        <x:v>3</x:v>
      </x:c>
      <x:c r="V175" s="46" t="n">
        <x:v>5</x:v>
      </x:c>
      <x:c r="W175" s="43" t="n">
        <x:v>300</x:v>
      </x:c>
      <x:c r="X175" s="34" t="str">
        <x:v>uniform</x:v>
      </x:c>
      <x:c r="Y175" s="42" t="n">
        <x:v>10</x:v>
      </x:c>
      <x:c r="Z175" s="34" t="str">
        <x:v>strict</x:v>
      </x:c>
      <x:c r="AA175" s="36" t="n">
        <x:v>64</x:v>
      </x:c>
      <x:c r="AB175" s="43" t="n">
        <x:v>380003840</x:v>
      </x:c>
      <x:c r="AC175" s="43" t="n">
        <x:v>3045999802</x:v>
      </x:c>
      <x:c r="AD175" s="43" t="n">
        <x:v>45999802</x:v>
      </x:c>
      <x:c r="AE175" s="43" t="n">
        <x:v>11927637.409364866</x:v>
      </x:c>
      <x:c r="AF175" s="43" t="n">
        <x:v>106027882.09629245</x:v>
      </x:c>
      <x:c r="AG175" s="43" t="n">
        <x:v>530800128</x:v>
      </x:c>
      <x:c r="AH175" s="43" t="n">
        <x:v>5006231545</x:v>
      </x:c>
      <x:c r="AI175" s="43" t="n">
        <x:v>6231545</x:v>
      </x:c>
      <x:c r="AJ175" s="43" t="n">
        <x:v>106027882.09629245</x:v>
      </x:c>
      <x:c r="AK175" s="43" t="n">
        <x:v>530800128</x:v>
      </x:c>
      <x:c r="AL175" s="43" t="n">
        <x:v>0</x:v>
      </x:c>
      <x:c r="AM175" s="43" t="n">
        <x:v>19573685.137700874</x:v>
      </x:c>
      <x:c r="AN175" s="43" t="n">
        <x:v>30</x:v>
      </x:c>
      <x:c r="AO175" s="43" t="n">
        <x:v>161</x:v>
      </x:c>
      <x:c r="AP175" s="43" t="n">
        <x:v>281</x:v>
      </x:c>
      <x:c r="AQ175" s="43" t="n">
        <x:v>8293752</x:v>
      </x:c>
      <x:c r="AR175" s="43" t="n">
        <x:v>16</x:v>
      </x:c>
      <x:c r="AS175" s="45" t="b">
        <x:v>0</x:v>
      </x:c>
      <x:c r="AT175" s="43" t="n">
        <x:v>0</x:v>
      </x:c>
      <x:c r="AU175" s="48" t="n">
        <x:v>0</x:v>
      </x:c>
      <x:c r="AV175" s="43" t="n">
        <x:v>0</x:v>
      </x:c>
      <x:c r="AW175" s="48" t="n">
        <x:v>0</x:v>
      </x:c>
      <x:c r="AX175" s="45" t="b">
        <x:v>1</x:v>
      </x:c>
      <x:c r="AY175" s="44" t="str">
        <x:v>{"provider":"nostore","currentEntries":0,"requestCount":530800128,"hitCount":0,"missCount":530800128,"hitRate":0,"loadSuccessCount":0,"loadFailureCount":0,"totalLoadTimeNanos":0,"evictionCount":0,"expirationCount":0,"putCount":10000,"removeCount":0,"nativeMetrics":{"storageEnabled":0}}</x:v>
      </x:c>
      <x:c r="AZ175" s="44" t="str">
        <x:v>{"provider":"nostore","currentEntries":0,"requestCount":530800128,"hitCount":0,"missCount":530800128,"hitRate":0,"loadSuccessCount":0,"loadFailureCount":0,"totalLoadTimeNanos":0,"evictionCount":0,"expirationCount":0,"putCount":15000,"removeCount":0,"nativeMetrics":{"storageEnabled":0}}</x:v>
      </x:c>
      <x:c r="BA175" s="43" t="n">
        <x:v>0</x:v>
      </x:c>
      <x:c r="BB175" s="43" t="n">
        <x:v>530800128</x:v>
      </x:c>
      <x:c r="BC175" s="43" t="n">
        <x:v>0</x:v>
      </x:c>
      <x:c r="BD175" s="43" t="n">
        <x:v>530800128</x:v>
      </x:c>
      <x:c r="BE175" s="48" t="n">
        <x:v>0</x:v>
      </x:c>
      <x:c r="BF175" s="43" t="n">
        <x:v>0</x:v>
      </x:c>
      <x:c r="BG175" s="43" t="n">
        <x:v>0</x:v>
      </x:c>
      <x:c r="BH175" s="43" t="n">
        <x:v>0</x:v>
      </x:c>
      <x:c r="BI175" s="43" t="n">
        <x:v>0</x:v>
      </x:c>
      <x:c r="BJ175" s="43" t="n">
        <x:v>0</x:v>
      </x:c>
      <x:c r="BK175" s="43" t="n">
        <x:v>15000</x:v>
      </x:c>
      <x:c r="BL175" s="43" t="n">
        <x:v>0</x:v>
      </x:c>
      <x:c r="BM175" s="44" t="str">
        <x:v>{"storageEnabled":0}</x:v>
      </x:c>
    </x:row>
    <x:row r="176">
      <x:c r="A176" s="34" t="str">
        <x:v>article1-unified-v4-2-fb3f101b-20260903-000401-default-f03-p6-nostore</x:v>
      </x:c>
      <x:c r="B176" s="34" t="str">
        <x:v>default</x:v>
      </x:c>
      <x:c r="C176" s="34" t="str">
        <x:v>nostore</x:v>
      </x:c>
      <x:c r="D176" s="34" t="str">
        <x:v>nostore</x:v>
      </x:c>
      <x:c r="E176" s="34" t="str">
        <x:v>lifecycle-negative-control</x:v>
      </x:c>
      <x:c r="F176" s="36" t="n">
        <x:v>3</x:v>
      </x:c>
      <x:c r="G176" s="36" t="n">
        <x:v>3</x:v>
      </x:c>
      <x:c r="H176" s="36" t="n">
        <x:v>6</x:v>
      </x:c>
      <x:c r="I176" s="36" t="n">
        <x:v>3</x:v>
      </x:c>
      <x:c r="J176" s="34" t="str">
        <x:v>initial</x:v>
      </x:c>
      <x:c r="K176" s="34" t="str">
        <x:v>no-store-control</x:v>
      </x:c>
      <x:c r="L176" s="45" t="b">
        <x:v>0</x:v>
      </x:c>
      <x:c r="M176" s="36" t="n">
        <x:v>124332191</x:v>
      </x:c>
      <x:c r="N176" s="34" t="str">
        <x:v>05d9806dea6607f34cfaa463b8de941fa0300c4e5f7fb1516ac47f2bc0b6780d</x:v>
      </x:c>
      <x:c r="O176" s="43" t="n">
        <x:v>10000</x:v>
      </x:c>
      <x:c r="P176" s="43" t="n">
        <x:v>400000</x:v>
      </x:c>
      <x:c r="Q176" s="36" t="n">
        <x:v>8</x:v>
      </x:c>
      <x:c r="R176" s="42" t="n">
        <x:v>95</x:v>
      </x:c>
      <x:c r="S176" s="43" t="n">
        <x:v>512</x:v>
      </x:c>
      <x:c r="T176" s="43" t="n">
        <x:v>50000</x:v>
      </x:c>
      <x:c r="U176" s="46" t="n">
        <x:v>3</x:v>
      </x:c>
      <x:c r="V176" s="46" t="n">
        <x:v>5</x:v>
      </x:c>
      <x:c r="W176" s="43" t="n">
        <x:v>300</x:v>
      </x:c>
      <x:c r="X176" s="34" t="str">
        <x:v>uniform</x:v>
      </x:c>
      <x:c r="Y176" s="42" t="n">
        <x:v>10</x:v>
      </x:c>
      <x:c r="Z176" s="34" t="str">
        <x:v>strict</x:v>
      </x:c>
      <x:c r="AA176" s="36" t="n">
        <x:v>64</x:v>
      </x:c>
      <x:c r="AB176" s="43" t="n">
        <x:v>384765184</x:v>
      </x:c>
      <x:c r="AC176" s="43" t="n">
        <x:v>3017655390</x:v>
      </x:c>
      <x:c r="AD176" s="43" t="n">
        <x:v>17655390</x:v>
      </x:c>
      <x:c r="AE176" s="43" t="n">
        <x:v>13403819.552419657</x:v>
      </x:c>
      <x:c r="AF176" s="43" t="n">
        <x:v>105690651.54600726</x:v>
      </x:c>
      <x:c r="AG176" s="43" t="n">
        <x:v>529059072</x:v>
      </x:c>
      <x:c r="AH176" s="43" t="n">
        <x:v>5005731957</x:v>
      </x:c>
      <x:c r="AI176" s="43" t="n">
        <x:v>5731957</x:v>
      </x:c>
      <x:c r="AJ176" s="43" t="n">
        <x:v>105690651.54600726</x:v>
      </x:c>
      <x:c r="AK176" s="43" t="n">
        <x:v>529059072</x:v>
      </x:c>
      <x:c r="AL176" s="43" t="n">
        <x:v>0</x:v>
      </x:c>
      <x:c r="AM176" s="43" t="n">
        <x:v>19938907.18837482</x:v>
      </x:c>
      <x:c r="AN176" s="43" t="n">
        <x:v>30</x:v>
      </x:c>
      <x:c r="AO176" s="43" t="n">
        <x:v>161</x:v>
      </x:c>
      <x:c r="AP176" s="43" t="n">
        <x:v>281</x:v>
      </x:c>
      <x:c r="AQ176" s="43" t="n">
        <x:v>8266548</x:v>
      </x:c>
      <x:c r="AR176" s="43" t="n">
        <x:v>16</x:v>
      </x:c>
      <x:c r="AS176" s="45" t="b">
        <x:v>0</x:v>
      </x:c>
      <x:c r="AT176" s="43" t="n">
        <x:v>0</x:v>
      </x:c>
      <x:c r="AU176" s="48" t="n">
        <x:v>0</x:v>
      </x:c>
      <x:c r="AV176" s="43" t="n">
        <x:v>0</x:v>
      </x:c>
      <x:c r="AW176" s="48" t="n">
        <x:v>0</x:v>
      </x:c>
      <x:c r="AX176" s="45" t="b">
        <x:v>1</x:v>
      </x:c>
      <x:c r="AY176" s="44" t="str">
        <x:v>{"provider":"nostore","currentEntries":0,"requestCount":529059072,"hitCount":0,"missCount":529059072,"hitRate":0,"loadSuccessCount":0,"loadFailureCount":0,"totalLoadTimeNanos":0,"evictionCount":0,"expirationCount":0,"putCount":10000,"removeCount":0,"nativeMetrics":{"storageEnabled":0}}</x:v>
      </x:c>
      <x:c r="AZ176" s="44" t="str">
        <x:v>{"provider":"nostore","currentEntries":0,"requestCount":529059072,"hitCount":0,"missCount":529059072,"hitRate":0,"loadSuccessCount":0,"loadFailureCount":0,"totalLoadTimeNanos":0,"evictionCount":0,"expirationCount":0,"putCount":15000,"removeCount":0,"nativeMetrics":{"storageEnabled":0}}</x:v>
      </x:c>
      <x:c r="BA176" s="43" t="n">
        <x:v>0</x:v>
      </x:c>
      <x:c r="BB176" s="43" t="n">
        <x:v>529059072</x:v>
      </x:c>
      <x:c r="BC176" s="43" t="n">
        <x:v>0</x:v>
      </x:c>
      <x:c r="BD176" s="43" t="n">
        <x:v>529059072</x:v>
      </x:c>
      <x:c r="BE176" s="48" t="n">
        <x:v>0</x:v>
      </x:c>
      <x:c r="BF176" s="43" t="n">
        <x:v>0</x:v>
      </x:c>
      <x:c r="BG176" s="43" t="n">
        <x:v>0</x:v>
      </x:c>
      <x:c r="BH176" s="43" t="n">
        <x:v>0</x:v>
      </x:c>
      <x:c r="BI176" s="43" t="n">
        <x:v>0</x:v>
      </x:c>
      <x:c r="BJ176" s="43" t="n">
        <x:v>0</x:v>
      </x:c>
      <x:c r="BK176" s="43" t="n">
        <x:v>15000</x:v>
      </x:c>
      <x:c r="BL176" s="43" t="n">
        <x:v>0</x:v>
      </x:c>
      <x:c r="BM176" s="44" t="str">
        <x:v>{"storageEnabled":0}</x:v>
      </x:c>
    </x:row>
    <x:row r="177">
      <x:c r="A177" s="34" t="str">
        <x:v>article1-unified-v4-2-fb3f101b-20260903-000401-default-f03-p6-nostore</x:v>
      </x:c>
      <x:c r="B177" s="34" t="str">
        <x:v>default</x:v>
      </x:c>
      <x:c r="C177" s="34" t="str">
        <x:v>nostore</x:v>
      </x:c>
      <x:c r="D177" s="34" t="str">
        <x:v>nostore</x:v>
      </x:c>
      <x:c r="E177" s="34" t="str">
        <x:v>lifecycle-negative-control</x:v>
      </x:c>
      <x:c r="F177" s="36" t="n">
        <x:v>3</x:v>
      </x:c>
      <x:c r="G177" s="36" t="n">
        <x:v>3</x:v>
      </x:c>
      <x:c r="H177" s="36" t="n">
        <x:v>6</x:v>
      </x:c>
      <x:c r="I177" s="36" t="n">
        <x:v>3</x:v>
      </x:c>
      <x:c r="J177" s="34" t="str">
        <x:v>redeploy</x:v>
      </x:c>
      <x:c r="K177" s="34" t="str">
        <x:v>no-store-control</x:v>
      </x:c>
      <x:c r="L177" s="45" t="b">
        <x:v>0</x:v>
      </x:c>
      <x:c r="M177" s="36" t="n">
        <x:v>124332191</x:v>
      </x:c>
      <x:c r="N177" s="34" t="str">
        <x:v>05d9806dea6607f34cfaa463b8de941fa0300c4e5f7fb1516ac47f2bc0b6780d</x:v>
      </x:c>
      <x:c r="O177" s="43" t="n">
        <x:v>10000</x:v>
      </x:c>
      <x:c r="P177" s="43" t="n">
        <x:v>400000</x:v>
      </x:c>
      <x:c r="Q177" s="36" t="n">
        <x:v>8</x:v>
      </x:c>
      <x:c r="R177" s="42" t="n">
        <x:v>95</x:v>
      </x:c>
      <x:c r="S177" s="43" t="n">
        <x:v>512</x:v>
      </x:c>
      <x:c r="T177" s="43" t="n">
        <x:v>50000</x:v>
      </x:c>
      <x:c r="U177" s="46" t="n">
        <x:v>3</x:v>
      </x:c>
      <x:c r="V177" s="46" t="n">
        <x:v>5</x:v>
      </x:c>
      <x:c r="W177" s="43" t="n">
        <x:v>300</x:v>
      </x:c>
      <x:c r="X177" s="34" t="str">
        <x:v>uniform</x:v>
      </x:c>
      <x:c r="Y177" s="42" t="n">
        <x:v>10</x:v>
      </x:c>
      <x:c r="Z177" s="34" t="str">
        <x:v>strict</x:v>
      </x:c>
      <x:c r="AA177" s="36" t="n">
        <x:v>64</x:v>
      </x:c>
      <x:c r="AB177" s="43" t="n">
        <x:v>380178688</x:v>
      </x:c>
      <x:c r="AC177" s="43" t="n">
        <x:v>3000497856</x:v>
      </x:c>
      <x:c r="AD177" s="43" t="n">
        <x:v>497856</x:v>
      </x:c>
      <x:c r="AE177" s="43" t="n">
        <x:v>14981026.529899882</x:v>
      </x:c>
      <x:c r="AF177" s="43" t="n">
        <x:v>102604995.08843946</x:v>
      </x:c>
      <x:c r="AG177" s="43" t="n">
        <x:v>513697280</x:v>
      </x:c>
      <x:c r="AH177" s="43" t="n">
        <x:v>5006552357</x:v>
      </x:c>
      <x:c r="AI177" s="43" t="n">
        <x:v>6552357</x:v>
      </x:c>
      <x:c r="AJ177" s="43" t="n">
        <x:v>102604995.08843946</x:v>
      </x:c>
      <x:c r="AK177" s="43" t="n">
        <x:v>513697280</x:v>
      </x:c>
      <x:c r="AL177" s="43" t="n">
        <x:v>0</x:v>
      </x:c>
      <x:c r="AM177" s="43" t="n">
        <x:v>18272048.881385166</x:v>
      </x:c>
      <x:c r="AN177" s="43" t="n">
        <x:v>31</x:v>
      </x:c>
      <x:c r="AO177" s="43" t="n">
        <x:v>170</x:v>
      </x:c>
      <x:c r="AP177" s="43" t="n">
        <x:v>290</x:v>
      </x:c>
      <x:c r="AQ177" s="43" t="n">
        <x:v>8026520</x:v>
      </x:c>
      <x:c r="AR177" s="43" t="n">
        <x:v>16</x:v>
      </x:c>
      <x:c r="AS177" s="45" t="b">
        <x:v>0</x:v>
      </x:c>
      <x:c r="AT177" s="43" t="n">
        <x:v>0</x:v>
      </x:c>
      <x:c r="AU177" s="48" t="n">
        <x:v>0</x:v>
      </x:c>
      <x:c r="AV177" s="43" t="n">
        <x:v>0</x:v>
      </x:c>
      <x:c r="AW177" s="48" t="n">
        <x:v>0</x:v>
      </x:c>
      <x:c r="AX177" s="45" t="b">
        <x:v>1</x:v>
      </x:c>
      <x:c r="AY177" s="44" t="str">
        <x:v>{"provider":"nostore","currentEntries":0,"requestCount":513697280,"hitCount":0,"missCount":513697280,"hitRate":0,"loadSuccessCount":0,"loadFailureCount":0,"totalLoadTimeNanos":0,"evictionCount":0,"expirationCount":0,"putCount":10000,"removeCount":0,"nativeMetrics":{"storageEnabled":0}}</x:v>
      </x:c>
      <x:c r="AZ177" s="44" t="str">
        <x:v>{"provider":"nostore","currentEntries":0,"requestCount":513697280,"hitCount":0,"missCount":513697280,"hitRate":0,"loadSuccessCount":0,"loadFailureCount":0,"totalLoadTimeNanos":0,"evictionCount":0,"expirationCount":0,"putCount":15000,"removeCount":0,"nativeMetrics":{"storageEnabled":0}}</x:v>
      </x:c>
      <x:c r="BA177" s="43" t="n">
        <x:v>0</x:v>
      </x:c>
      <x:c r="BB177" s="43" t="n">
        <x:v>513697280</x:v>
      </x:c>
      <x:c r="BC177" s="43" t="n">
        <x:v>0</x:v>
      </x:c>
      <x:c r="BD177" s="43" t="n">
        <x:v>513697280</x:v>
      </x:c>
      <x:c r="BE177" s="48" t="n">
        <x:v>0</x:v>
      </x:c>
      <x:c r="BF177" s="43" t="n">
        <x:v>0</x:v>
      </x:c>
      <x:c r="BG177" s="43" t="n">
        <x:v>0</x:v>
      </x:c>
      <x:c r="BH177" s="43" t="n">
        <x:v>0</x:v>
      </x:c>
      <x:c r="BI177" s="43" t="n">
        <x:v>0</x:v>
      </x:c>
      <x:c r="BJ177" s="43" t="n">
        <x:v>0</x:v>
      </x:c>
      <x:c r="BK177" s="43" t="n">
        <x:v>15000</x:v>
      </x:c>
      <x:c r="BL177" s="43" t="n">
        <x:v>0</x:v>
      </x:c>
      <x:c r="BM177" s="44" t="str">
        <x:v>{"storageEnabled":0}</x:v>
      </x:c>
    </x:row>
    <x:row r="178">
      <x:c r="A178" s="34" t="str">
        <x:v>article1-unified-v4-2-fb3f101b-20260903-000401-default-f03-p6-nostore</x:v>
      </x:c>
      <x:c r="B178" s="34" t="str">
        <x:v>default</x:v>
      </x:c>
      <x:c r="C178" s="34" t="str">
        <x:v>nostore</x:v>
      </x:c>
      <x:c r="D178" s="34" t="str">
        <x:v>nostore</x:v>
      </x:c>
      <x:c r="E178" s="34" t="str">
        <x:v>lifecycle-negative-control</x:v>
      </x:c>
      <x:c r="F178" s="36" t="n">
        <x:v>3</x:v>
      </x:c>
      <x:c r="G178" s="36" t="n">
        <x:v>3</x:v>
      </x:c>
      <x:c r="H178" s="36" t="n">
        <x:v>6</x:v>
      </x:c>
      <x:c r="I178" s="36" t="n">
        <x:v>4</x:v>
      </x:c>
      <x:c r="J178" s="34" t="str">
        <x:v>initial</x:v>
      </x:c>
      <x:c r="K178" s="34" t="str">
        <x:v>no-store-control</x:v>
      </x:c>
      <x:c r="L178" s="45" t="b">
        <x:v>0</x:v>
      </x:c>
      <x:c r="M178" s="36" t="n">
        <x:v>1044467175</x:v>
      </x:c>
      <x:c r="N178" s="34" t="str">
        <x:v>bee84924253a095ac320cc2769fb40582cc17430c9efa7089bd385b7e0ed6e39</x:v>
      </x:c>
      <x:c r="O178" s="43" t="n">
        <x:v>10000</x:v>
      </x:c>
      <x:c r="P178" s="43" t="n">
        <x:v>400000</x:v>
      </x:c>
      <x:c r="Q178" s="36" t="n">
        <x:v>8</x:v>
      </x:c>
      <x:c r="R178" s="42" t="n">
        <x:v>95</x:v>
      </x:c>
      <x:c r="S178" s="43" t="n">
        <x:v>512</x:v>
      </x:c>
      <x:c r="T178" s="43" t="n">
        <x:v>50000</x:v>
      </x:c>
      <x:c r="U178" s="46" t="n">
        <x:v>3</x:v>
      </x:c>
      <x:c r="V178" s="46" t="n">
        <x:v>5</x:v>
      </x:c>
      <x:c r="W178" s="43" t="n">
        <x:v>300</x:v>
      </x:c>
      <x:c r="X178" s="34" t="str">
        <x:v>uniform</x:v>
      </x:c>
      <x:c r="Y178" s="42" t="n">
        <x:v>10</x:v>
      </x:c>
      <x:c r="Z178" s="34" t="str">
        <x:v>strict</x:v>
      </x:c>
      <x:c r="AA178" s="36" t="n">
        <x:v>64</x:v>
      </x:c>
      <x:c r="AB178" s="43" t="n">
        <x:v>375704064</x:v>
      </x:c>
      <x:c r="AC178" s="43" t="n">
        <x:v>3004727337</x:v>
      </x:c>
      <x:c r="AD178" s="43" t="n">
        <x:v>4727337</x:v>
      </x:c>
      <x:c r="AE178" s="43" t="n">
        <x:v>16622036.498667743</x:v>
      </x:c>
      <x:c r="AF178" s="43" t="n">
        <x:v>104815694.29261571</x:v>
      </x:c>
      <x:c r="AG178" s="43" t="n">
        <x:v>524707328</x:v>
      </x:c>
      <x:c r="AH178" s="43" t="n">
        <x:v>5005999641</x:v>
      </x:c>
      <x:c r="AI178" s="43" t="n">
        <x:v>5999641</x:v>
      </x:c>
      <x:c r="AJ178" s="43" t="n">
        <x:v>104815694.29261571</x:v>
      </x:c>
      <x:c r="AK178" s="43" t="n">
        <x:v>524707328</x:v>
      </x:c>
      <x:c r="AL178" s="43" t="n">
        <x:v>0</x:v>
      </x:c>
      <x:c r="AM178" s="43" t="n">
        <x:v>19279487.0114096</x:v>
      </x:c>
      <x:c r="AN178" s="43" t="n">
        <x:v>31</x:v>
      </x:c>
      <x:c r="AO178" s="43" t="n">
        <x:v>161</x:v>
      </x:c>
      <x:c r="AP178" s="43" t="n">
        <x:v>280</x:v>
      </x:c>
      <x:c r="AQ178" s="43" t="n">
        <x:v>8198552</x:v>
      </x:c>
      <x:c r="AR178" s="43" t="n">
        <x:v>16</x:v>
      </x:c>
      <x:c r="AS178" s="45" t="b">
        <x:v>0</x:v>
      </x:c>
      <x:c r="AT178" s="43" t="n">
        <x:v>0</x:v>
      </x:c>
      <x:c r="AU178" s="48" t="n">
        <x:v>0</x:v>
      </x:c>
      <x:c r="AV178" s="43" t="n">
        <x:v>0</x:v>
      </x:c>
      <x:c r="AW178" s="48" t="n">
        <x:v>0</x:v>
      </x:c>
      <x:c r="AX178" s="45" t="b">
        <x:v>1</x:v>
      </x:c>
      <x:c r="AY178" s="44" t="str">
        <x:v>{"provider":"nostore","currentEntries":0,"requestCount":524707328,"hitCount":0,"missCount":524707328,"hitRate":0,"loadSuccessCount":0,"loadFailureCount":0,"totalLoadTimeNanos":0,"evictionCount":0,"expirationCount":0,"putCount":10000,"removeCount":0,"nativeMetrics":{"storageEnabled":0}}</x:v>
      </x:c>
      <x:c r="AZ178" s="44" t="str">
        <x:v>{"provider":"nostore","currentEntries":0,"requestCount":524707328,"hitCount":0,"missCount":524707328,"hitRate":0,"loadSuccessCount":0,"loadFailureCount":0,"totalLoadTimeNanos":0,"evictionCount":0,"expirationCount":0,"putCount":15000,"removeCount":0,"nativeMetrics":{"storageEnabled":0}}</x:v>
      </x:c>
      <x:c r="BA178" s="43" t="n">
        <x:v>0</x:v>
      </x:c>
      <x:c r="BB178" s="43" t="n">
        <x:v>524707328</x:v>
      </x:c>
      <x:c r="BC178" s="43" t="n">
        <x:v>0</x:v>
      </x:c>
      <x:c r="BD178" s="43" t="n">
        <x:v>524707328</x:v>
      </x:c>
      <x:c r="BE178" s="48" t="n">
        <x:v>0</x:v>
      </x:c>
      <x:c r="BF178" s="43" t="n">
        <x:v>0</x:v>
      </x:c>
      <x:c r="BG178" s="43" t="n">
        <x:v>0</x:v>
      </x:c>
      <x:c r="BH178" s="43" t="n">
        <x:v>0</x:v>
      </x:c>
      <x:c r="BI178" s="43" t="n">
        <x:v>0</x:v>
      </x:c>
      <x:c r="BJ178" s="43" t="n">
        <x:v>0</x:v>
      </x:c>
      <x:c r="BK178" s="43" t="n">
        <x:v>15000</x:v>
      </x:c>
      <x:c r="BL178" s="43" t="n">
        <x:v>0</x:v>
      </x:c>
      <x:c r="BM178" s="44" t="str">
        <x:v>{"storageEnabled":0}</x:v>
      </x:c>
    </x:row>
    <x:row r="179">
      <x:c r="A179" s="34" t="str">
        <x:v>article1-unified-v4-2-fb3f101b-20260903-000401-default-f03-p6-nostore</x:v>
      </x:c>
      <x:c r="B179" s="34" t="str">
        <x:v>default</x:v>
      </x:c>
      <x:c r="C179" s="34" t="str">
        <x:v>nostore</x:v>
      </x:c>
      <x:c r="D179" s="34" t="str">
        <x:v>nostore</x:v>
      </x:c>
      <x:c r="E179" s="34" t="str">
        <x:v>lifecycle-negative-control</x:v>
      </x:c>
      <x:c r="F179" s="36" t="n">
        <x:v>3</x:v>
      </x:c>
      <x:c r="G179" s="36" t="n">
        <x:v>3</x:v>
      </x:c>
      <x:c r="H179" s="36" t="n">
        <x:v>6</x:v>
      </x:c>
      <x:c r="I179" s="36" t="n">
        <x:v>4</x:v>
      </x:c>
      <x:c r="J179" s="34" t="str">
        <x:v>redeploy</x:v>
      </x:c>
      <x:c r="K179" s="34" t="str">
        <x:v>no-store-control</x:v>
      </x:c>
      <x:c r="L179" s="45" t="b">
        <x:v>0</x:v>
      </x:c>
      <x:c r="M179" s="36" t="n">
        <x:v>1044467175</x:v>
      </x:c>
      <x:c r="N179" s="34" t="str">
        <x:v>bee84924253a095ac320cc2769fb40582cc17430c9efa7089bd385b7e0ed6e39</x:v>
      </x:c>
      <x:c r="O179" s="43" t="n">
        <x:v>10000</x:v>
      </x:c>
      <x:c r="P179" s="43" t="n">
        <x:v>400000</x:v>
      </x:c>
      <x:c r="Q179" s="36" t="n">
        <x:v>8</x:v>
      </x:c>
      <x:c r="R179" s="42" t="n">
        <x:v>95</x:v>
      </x:c>
      <x:c r="S179" s="43" t="n">
        <x:v>512</x:v>
      </x:c>
      <x:c r="T179" s="43" t="n">
        <x:v>50000</x:v>
      </x:c>
      <x:c r="U179" s="46" t="n">
        <x:v>3</x:v>
      </x:c>
      <x:c r="V179" s="46" t="n">
        <x:v>5</x:v>
      </x:c>
      <x:c r="W179" s="43" t="n">
        <x:v>300</x:v>
      </x:c>
      <x:c r="X179" s="34" t="str">
        <x:v>uniform</x:v>
      </x:c>
      <x:c r="Y179" s="42" t="n">
        <x:v>10</x:v>
      </x:c>
      <x:c r="Z179" s="34" t="str">
        <x:v>strict</x:v>
      </x:c>
      <x:c r="AA179" s="36" t="n">
        <x:v>64</x:v>
      </x:c>
      <x:c r="AB179" s="43" t="n">
        <x:v>376033792</x:v>
      </x:c>
      <x:c r="AC179" s="43" t="n">
        <x:v>3000448174</x:v>
      </x:c>
      <x:c r="AD179" s="43" t="n">
        <x:v>448174</x:v>
      </x:c>
      <x:c r="AE179" s="43" t="n">
        <x:v>14084645.904959626</x:v>
      </x:c>
      <x:c r="AF179" s="43" t="n">
        <x:v>105784836.63764673</x:v>
      </x:c>
      <x:c r="AG179" s="43" t="n">
        <x:v>529594112</x:v>
      </x:c>
      <x:c r="AH179" s="43" t="n">
        <x:v>5006332938</x:v>
      </x:c>
      <x:c r="AI179" s="43" t="n">
        <x:v>6332938</x:v>
      </x:c>
      <x:c r="AJ179" s="43" t="n">
        <x:v>105784836.63764673</x:v>
      </x:c>
      <x:c r="AK179" s="43" t="n">
        <x:v>529594112</x:v>
      </x:c>
      <x:c r="AL179" s="43" t="n">
        <x:v>0</x:v>
      </x:c>
      <x:c r="AM179" s="43" t="n">
        <x:v>18066455.65046467</x:v>
      </x:c>
      <x:c r="AN179" s="43" t="n">
        <x:v>30</x:v>
      </x:c>
      <x:c r="AO179" s="43" t="n">
        <x:v>161</x:v>
      </x:c>
      <x:c r="AP179" s="43" t="n">
        <x:v>281</x:v>
      </x:c>
      <x:c r="AQ179" s="43" t="n">
        <x:v>8274908</x:v>
      </x:c>
      <x:c r="AR179" s="43" t="n">
        <x:v>16</x:v>
      </x:c>
      <x:c r="AS179" s="45" t="b">
        <x:v>0</x:v>
      </x:c>
      <x:c r="AT179" s="43" t="n">
        <x:v>0</x:v>
      </x:c>
      <x:c r="AU179" s="48" t="n">
        <x:v>0</x:v>
      </x:c>
      <x:c r="AV179" s="43" t="n">
        <x:v>0</x:v>
      </x:c>
      <x:c r="AW179" s="48" t="n">
        <x:v>0</x:v>
      </x:c>
      <x:c r="AX179" s="45" t="b">
        <x:v>1</x:v>
      </x:c>
      <x:c r="AY179" s="44" t="str">
        <x:v>{"provider":"nostore","currentEntries":0,"requestCount":529594112,"hitCount":0,"missCount":529594112,"hitRate":0,"loadSuccessCount":0,"loadFailureCount":0,"totalLoadTimeNanos":0,"evictionCount":0,"expirationCount":0,"putCount":10000,"removeCount":0,"nativeMetrics":{"storageEnabled":0}}</x:v>
      </x:c>
      <x:c r="AZ179" s="44" t="str">
        <x:v>{"provider":"nostore","currentEntries":0,"requestCount":529594112,"hitCount":0,"missCount":529594112,"hitRate":0,"loadSuccessCount":0,"loadFailureCount":0,"totalLoadTimeNanos":0,"evictionCount":0,"expirationCount":0,"putCount":15000,"removeCount":0,"nativeMetrics":{"storageEnabled":0}}</x:v>
      </x:c>
      <x:c r="BA179" s="43" t="n">
        <x:v>0</x:v>
      </x:c>
      <x:c r="BB179" s="43" t="n">
        <x:v>529594112</x:v>
      </x:c>
      <x:c r="BC179" s="43" t="n">
        <x:v>0</x:v>
      </x:c>
      <x:c r="BD179" s="43" t="n">
        <x:v>529594112</x:v>
      </x:c>
      <x:c r="BE179" s="48" t="n">
        <x:v>0</x:v>
      </x:c>
      <x:c r="BF179" s="43" t="n">
        <x:v>0</x:v>
      </x:c>
      <x:c r="BG179" s="43" t="n">
        <x:v>0</x:v>
      </x:c>
      <x:c r="BH179" s="43" t="n">
        <x:v>0</x:v>
      </x:c>
      <x:c r="BI179" s="43" t="n">
        <x:v>0</x:v>
      </x:c>
      <x:c r="BJ179" s="43" t="n">
        <x:v>0</x:v>
      </x:c>
      <x:c r="BK179" s="43" t="n">
        <x:v>15000</x:v>
      </x:c>
      <x:c r="BL179" s="43" t="n">
        <x:v>0</x:v>
      </x:c>
      <x:c r="BM179" s="44" t="str">
        <x:v>{"storageEnabled":0}</x:v>
      </x:c>
    </x:row>
    <x:row r="180">
      <x:c r="A180" s="34" t="str">
        <x:v>article1-unified-v4-2-fb3f101b-20260903-000401-default-f03-p6-nostore</x:v>
      </x:c>
      <x:c r="B180" s="34" t="str">
        <x:v>default</x:v>
      </x:c>
      <x:c r="C180" s="34" t="str">
        <x:v>nostore</x:v>
      </x:c>
      <x:c r="D180" s="34" t="str">
        <x:v>nostore</x:v>
      </x:c>
      <x:c r="E180" s="34" t="str">
        <x:v>lifecycle-negative-control</x:v>
      </x:c>
      <x:c r="F180" s="36" t="n">
        <x:v>3</x:v>
      </x:c>
      <x:c r="G180" s="36" t="n">
        <x:v>3</x:v>
      </x:c>
      <x:c r="H180" s="36" t="n">
        <x:v>6</x:v>
      </x:c>
      <x:c r="I180" s="36" t="n">
        <x:v>5</x:v>
      </x:c>
      <x:c r="J180" s="34" t="str">
        <x:v>initial</x:v>
      </x:c>
      <x:c r="K180" s="34" t="str">
        <x:v>no-store-control</x:v>
      </x:c>
      <x:c r="L180" s="45" t="b">
        <x:v>0</x:v>
      </x:c>
      <x:c r="M180" s="36" t="n">
        <x:v>583023952</x:v>
      </x:c>
      <x:c r="N180" s="34" t="str">
        <x:v>7b8fd907f7b5f8856529fb47dd9c623362c42635eee044a68e2710298a56122c</x:v>
      </x:c>
      <x:c r="O180" s="43" t="n">
        <x:v>10000</x:v>
      </x:c>
      <x:c r="P180" s="43" t="n">
        <x:v>400000</x:v>
      </x:c>
      <x:c r="Q180" s="36" t="n">
        <x:v>8</x:v>
      </x:c>
      <x:c r="R180" s="42" t="n">
        <x:v>95</x:v>
      </x:c>
      <x:c r="S180" s="43" t="n">
        <x:v>512</x:v>
      </x:c>
      <x:c r="T180" s="43" t="n">
        <x:v>50000</x:v>
      </x:c>
      <x:c r="U180" s="46" t="n">
        <x:v>3</x:v>
      </x:c>
      <x:c r="V180" s="46" t="n">
        <x:v>5</x:v>
      </x:c>
      <x:c r="W180" s="43" t="n">
        <x:v>300</x:v>
      </x:c>
      <x:c r="X180" s="34" t="str">
        <x:v>uniform</x:v>
      </x:c>
      <x:c r="Y180" s="42" t="n">
        <x:v>10</x:v>
      </x:c>
      <x:c r="Z180" s="34" t="str">
        <x:v>strict</x:v>
      </x:c>
      <x:c r="AA180" s="36" t="n">
        <x:v>64</x:v>
      </x:c>
      <x:c r="AB180" s="43" t="n">
        <x:v>378588416</x:v>
      </x:c>
      <x:c r="AC180" s="43" t="n">
        <x:v>3000449159</x:v>
      </x:c>
      <x:c r="AD180" s="43" t="n">
        <x:v>449159</x:v>
      </x:c>
      <x:c r="AE180" s="43" t="n">
        <x:v>15134019.307981834</x:v>
      </x:c>
      <x:c r="AF180" s="43" t="n">
        <x:v>106192411.83356084</x:v>
      </x:c>
      <x:c r="AG180" s="43" t="n">
        <x:v>531565056</x:v>
      </x:c>
      <x:c r="AH180" s="43" t="n">
        <x:v>5005678342</x:v>
      </x:c>
      <x:c r="AI180" s="43" t="n">
        <x:v>5678342</x:v>
      </x:c>
      <x:c r="AJ180" s="43" t="n">
        <x:v>106192411.83356084</x:v>
      </x:c>
      <x:c r="AK180" s="43" t="n">
        <x:v>531565056</x:v>
      </x:c>
      <x:c r="AL180" s="43" t="n">
        <x:v>0</x:v>
      </x:c>
      <x:c r="AM180" s="43" t="n">
        <x:v>20209532.43225765</x:v>
      </x:c>
      <x:c r="AN180" s="43" t="n">
        <x:v>30</x:v>
      </x:c>
      <x:c r="AO180" s="43" t="n">
        <x:v>161</x:v>
      </x:c>
      <x:c r="AP180" s="43" t="n">
        <x:v>290</x:v>
      </x:c>
      <x:c r="AQ180" s="43" t="n">
        <x:v>8305704</x:v>
      </x:c>
      <x:c r="AR180" s="43" t="n">
        <x:v>16</x:v>
      </x:c>
      <x:c r="AS180" s="45" t="b">
        <x:v>0</x:v>
      </x:c>
      <x:c r="AT180" s="43" t="n">
        <x:v>0</x:v>
      </x:c>
      <x:c r="AU180" s="48" t="n">
        <x:v>0</x:v>
      </x:c>
      <x:c r="AV180" s="43" t="n">
        <x:v>0</x:v>
      </x:c>
      <x:c r="AW180" s="48" t="n">
        <x:v>0</x:v>
      </x:c>
      <x:c r="AX180" s="45" t="b">
        <x:v>1</x:v>
      </x:c>
      <x:c r="AY180" s="44" t="str">
        <x:v>{"provider":"nostore","currentEntries":0,"requestCount":531565056,"hitCount":0,"missCount":531565056,"hitRate":0,"loadSuccessCount":0,"loadFailureCount":0,"totalLoadTimeNanos":0,"evictionCount":0,"expirationCount":0,"putCount":10000,"removeCount":0,"nativeMetrics":{"storageEnabled":0}}</x:v>
      </x:c>
      <x:c r="AZ180" s="44" t="str">
        <x:v>{"provider":"nostore","currentEntries":0,"requestCount":531565056,"hitCount":0,"missCount":531565056,"hitRate":0,"loadSuccessCount":0,"loadFailureCount":0,"totalLoadTimeNanos":0,"evictionCount":0,"expirationCount":0,"putCount":15000,"removeCount":0,"nativeMetrics":{"storageEnabled":0}}</x:v>
      </x:c>
      <x:c r="BA180" s="43" t="n">
        <x:v>0</x:v>
      </x:c>
      <x:c r="BB180" s="43" t="n">
        <x:v>531565056</x:v>
      </x:c>
      <x:c r="BC180" s="43" t="n">
        <x:v>0</x:v>
      </x:c>
      <x:c r="BD180" s="43" t="n">
        <x:v>531565056</x:v>
      </x:c>
      <x:c r="BE180" s="48" t="n">
        <x:v>0</x:v>
      </x:c>
      <x:c r="BF180" s="43" t="n">
        <x:v>0</x:v>
      </x:c>
      <x:c r="BG180" s="43" t="n">
        <x:v>0</x:v>
      </x:c>
      <x:c r="BH180" s="43" t="n">
        <x:v>0</x:v>
      </x:c>
      <x:c r="BI180" s="43" t="n">
        <x:v>0</x:v>
      </x:c>
      <x:c r="BJ180" s="43" t="n">
        <x:v>0</x:v>
      </x:c>
      <x:c r="BK180" s="43" t="n">
        <x:v>15000</x:v>
      </x:c>
      <x:c r="BL180" s="43" t="n">
        <x:v>0</x:v>
      </x:c>
      <x:c r="BM180" s="44" t="str">
        <x:v>{"storageEnabled":0}</x:v>
      </x:c>
    </x:row>
    <x:row r="181">
      <x:c r="A181" s="34" t="str">
        <x:v>article1-unified-v4-2-fb3f101b-20260903-000401-default-f03-p6-nostore</x:v>
      </x:c>
      <x:c r="B181" s="34" t="str">
        <x:v>default</x:v>
      </x:c>
      <x:c r="C181" s="34" t="str">
        <x:v>nostore</x:v>
      </x:c>
      <x:c r="D181" s="34" t="str">
        <x:v>nostore</x:v>
      </x:c>
      <x:c r="E181" s="34" t="str">
        <x:v>lifecycle-negative-control</x:v>
      </x:c>
      <x:c r="F181" s="36" t="n">
        <x:v>3</x:v>
      </x:c>
      <x:c r="G181" s="36" t="n">
        <x:v>3</x:v>
      </x:c>
      <x:c r="H181" s="36" t="n">
        <x:v>6</x:v>
      </x:c>
      <x:c r="I181" s="36" t="n">
        <x:v>5</x:v>
      </x:c>
      <x:c r="J181" s="34" t="str">
        <x:v>redeploy</x:v>
      </x:c>
      <x:c r="K181" s="34" t="str">
        <x:v>no-store-control</x:v>
      </x:c>
      <x:c r="L181" s="45" t="b">
        <x:v>0</x:v>
      </x:c>
      <x:c r="M181" s="36" t="n">
        <x:v>583023952</x:v>
      </x:c>
      <x:c r="N181" s="34" t="str">
        <x:v>7b8fd907f7b5f8856529fb47dd9c623362c42635eee044a68e2710298a56122c</x:v>
      </x:c>
      <x:c r="O181" s="43" t="n">
        <x:v>10000</x:v>
      </x:c>
      <x:c r="P181" s="43" t="n">
        <x:v>400000</x:v>
      </x:c>
      <x:c r="Q181" s="36" t="n">
        <x:v>8</x:v>
      </x:c>
      <x:c r="R181" s="42" t="n">
        <x:v>95</x:v>
      </x:c>
      <x:c r="S181" s="43" t="n">
        <x:v>512</x:v>
      </x:c>
      <x:c r="T181" s="43" t="n">
        <x:v>50000</x:v>
      </x:c>
      <x:c r="U181" s="46" t="n">
        <x:v>3</x:v>
      </x:c>
      <x:c r="V181" s="46" t="n">
        <x:v>5</x:v>
      </x:c>
      <x:c r="W181" s="43" t="n">
        <x:v>300</x:v>
      </x:c>
      <x:c r="X181" s="34" t="str">
        <x:v>uniform</x:v>
      </x:c>
      <x:c r="Y181" s="42" t="n">
        <x:v>10</x:v>
      </x:c>
      <x:c r="Z181" s="34" t="str">
        <x:v>strict</x:v>
      </x:c>
      <x:c r="AA181" s="36" t="n">
        <x:v>64</x:v>
      </x:c>
      <x:c r="AB181" s="43" t="n">
        <x:v>379134208</x:v>
      </x:c>
      <x:c r="AC181" s="43" t="n">
        <x:v>3000437425</x:v>
      </x:c>
      <x:c r="AD181" s="43" t="n">
        <x:v>437425</x:v>
      </x:c>
      <x:c r="AE181" s="43" t="n">
        <x:v>15439937.869690012</x:v>
      </x:c>
      <x:c r="AF181" s="43" t="n">
        <x:v>103578828.41805625</x:v>
      </x:c>
      <x:c r="AG181" s="43" t="n">
        <x:v>519049216</x:v>
      </x:c>
      <x:c r="AH181" s="43" t="n">
        <x:v>5011151641</x:v>
      </x:c>
      <x:c r="AI181" s="43" t="n">
        <x:v>11151641</x:v>
      </x:c>
      <x:c r="AJ181" s="43" t="n">
        <x:v>103578828.41805625</x:v>
      </x:c>
      <x:c r="AK181" s="43" t="n">
        <x:v>519049216</x:v>
      </x:c>
      <x:c r="AL181" s="43" t="n">
        <x:v>0</x:v>
      </x:c>
      <x:c r="AM181" s="43" t="n">
        <x:v>19917462.037317358</x:v>
      </x:c>
      <x:c r="AN181" s="43" t="n">
        <x:v>31</x:v>
      </x:c>
      <x:c r="AO181" s="43" t="n">
        <x:v>161</x:v>
      </x:c>
      <x:c r="AP181" s="43" t="n">
        <x:v>290</x:v>
      </x:c>
      <x:c r="AQ181" s="43" t="n">
        <x:v>8110144</x:v>
      </x:c>
      <x:c r="AR181" s="43" t="n">
        <x:v>16</x:v>
      </x:c>
      <x:c r="AS181" s="45" t="b">
        <x:v>0</x:v>
      </x:c>
      <x:c r="AT181" s="43" t="n">
        <x:v>0</x:v>
      </x:c>
      <x:c r="AU181" s="48" t="n">
        <x:v>0</x:v>
      </x:c>
      <x:c r="AV181" s="43" t="n">
        <x:v>0</x:v>
      </x:c>
      <x:c r="AW181" s="48" t="n">
        <x:v>0</x:v>
      </x:c>
      <x:c r="AX181" s="45" t="b">
        <x:v>1</x:v>
      </x:c>
      <x:c r="AY181" s="44" t="str">
        <x:v>{"provider":"nostore","currentEntries":0,"requestCount":519049216,"hitCount":0,"missCount":519049216,"hitRate":0,"loadSuccessCount":0,"loadFailureCount":0,"totalLoadTimeNanos":0,"evictionCount":0,"expirationCount":0,"putCount":10000,"removeCount":0,"nativeMetrics":{"storageEnabled":0}}</x:v>
      </x:c>
      <x:c r="AZ181" s="44" t="str">
        <x:v>{"provider":"nostore","currentEntries":0,"requestCount":519049216,"hitCount":0,"missCount":519049216,"hitRate":0,"loadSuccessCount":0,"loadFailureCount":0,"totalLoadTimeNanos":0,"evictionCount":0,"expirationCount":0,"putCount":15000,"removeCount":0,"nativeMetrics":{"storageEnabled":0}}</x:v>
      </x:c>
      <x:c r="BA181" s="43" t="n">
        <x:v>0</x:v>
      </x:c>
      <x:c r="BB181" s="43" t="n">
        <x:v>519049216</x:v>
      </x:c>
      <x:c r="BC181" s="43" t="n">
        <x:v>0</x:v>
      </x:c>
      <x:c r="BD181" s="43" t="n">
        <x:v>519049216</x:v>
      </x:c>
      <x:c r="BE181" s="48" t="n">
        <x:v>0</x:v>
      </x:c>
      <x:c r="BF181" s="43" t="n">
        <x:v>0</x:v>
      </x:c>
      <x:c r="BG181" s="43" t="n">
        <x:v>0</x:v>
      </x:c>
      <x:c r="BH181" s="43" t="n">
        <x:v>0</x:v>
      </x:c>
      <x:c r="BI181" s="43" t="n">
        <x:v>0</x:v>
      </x:c>
      <x:c r="BJ181" s="43" t="n">
        <x:v>0</x:v>
      </x:c>
      <x:c r="BK181" s="43" t="n">
        <x:v>15000</x:v>
      </x:c>
      <x:c r="BL181" s="43" t="n">
        <x:v>0</x:v>
      </x:c>
      <x:c r="BM181" s="44" t="str">
        <x:v>{"storageEnabled":0}</x:v>
      </x:c>
    </x:row>
    <x:row r="182">
      <x:c r="A182" s="34" t="str">
        <x:v>article1-unified-v4-2-fb3f101b-20260903-000401-default-f04-p1-jcs4</x:v>
      </x:c>
      <x:c r="B182" s="34" t="str">
        <x:v>default</x:v>
      </x:c>
      <x:c r="C182" s="34" t="str">
        <x:v>jcs4</x:v>
      </x:c>
      <x:c r="D182" s="34" t="str">
        <x:v>jcs4</x:v>
      </x:c>
      <x:c r="E182" s="34" t="str">
        <x:v>current-provider-primary-comparison</x:v>
      </x:c>
      <x:c r="F182" s="36" t="n">
        <x:v>4</x:v>
      </x:c>
      <x:c r="G182" s="36" t="n">
        <x:v>4</x:v>
      </x:c>
      <x:c r="H182" s="36" t="n">
        <x:v>1</x:v>
      </x:c>
      <x:c r="I182" s="36" t="n">
        <x:v>1</x:v>
      </x:c>
      <x:c r="J182" s="34" t="str">
        <x:v>initial</x:v>
      </x:c>
      <x:c r="K182" s="34" t="str">
        <x:v>cache-semantics</x:v>
      </x:c>
      <x:c r="L182" s="45" t="b">
        <x:v>1</x:v>
      </x:c>
      <x:c r="M182" s="36" t="n">
        <x:v>850092908</x:v>
      </x:c>
      <x:c r="N182" s="34" t="str">
        <x:v>c3fbbc14afc1687ffa7ecbca17e8ff73fcb319ce839d0fb032082700ff0dfb34</x:v>
      </x:c>
      <x:c r="O182" s="43" t="n">
        <x:v>10000</x:v>
      </x:c>
      <x:c r="P182" s="43" t="n">
        <x:v>400000</x:v>
      </x:c>
      <x:c r="Q182" s="36" t="n">
        <x:v>8</x:v>
      </x:c>
      <x:c r="R182" s="42" t="n">
        <x:v>95</x:v>
      </x:c>
      <x:c r="S182" s="43" t="n">
        <x:v>512</x:v>
      </x:c>
      <x:c r="T182" s="43" t="n">
        <x:v>50000</x:v>
      </x:c>
      <x:c r="U182" s="46" t="n">
        <x:v>3</x:v>
      </x:c>
      <x:c r="V182" s="46" t="n">
        <x:v>5</x:v>
      </x:c>
      <x:c r="W182" s="43" t="n">
        <x:v>300</x:v>
      </x:c>
      <x:c r="X182" s="34" t="str">
        <x:v>uniform</x:v>
      </x:c>
      <x:c r="Y182" s="42" t="n">
        <x:v>10</x:v>
      </x:c>
      <x:c r="Z182" s="34" t="str">
        <x:v>strict</x:v>
      </x:c>
      <x:c r="AA182" s="36" t="n">
        <x:v>64</x:v>
      </x:c>
      <x:c r="AB182" s="43" t="n">
        <x:v>2897920</x:v>
      </x:c>
      <x:c r="AC182" s="43" t="n">
        <x:v>3001306556</x:v>
      </x:c>
      <x:c r="AD182" s="43" t="n">
        <x:v>1306556</x:v>
      </x:c>
      <x:c r="AE182" s="43" t="n">
        <x:v>3998458.194520193</x:v>
      </x:c>
      <x:c r="AF182" s="43" t="n">
        <x:v>1043127.983130643</x:v>
      </x:c>
      <x:c r="AG182" s="43" t="n">
        <x:v>5217536</x:v>
      </x:c>
      <x:c r="AH182" s="43" t="n">
        <x:v>5001817691</x:v>
      </x:c>
      <x:c r="AI182" s="43" t="n">
        <x:v>1817691</x:v>
      </x:c>
      <x:c r="AJ182" s="43" t="n">
        <x:v>1043127.983130643</x:v>
      </x:c>
      <x:c r="AK182" s="43" t="n">
        <x:v>5217536</x:v>
      </x:c>
      <x:c r="AL182" s="43" t="n">
        <x:v>0</x:v>
      </x:c>
      <x:c r="AM182" s="43" t="n">
        <x:v>466829.5652873751</x:v>
      </x:c>
      <x:c r="AN182" s="43" t="n">
        <x:v>401</x:v>
      </x:c>
      <x:c r="AO182" s="43" t="n">
        <x:v>1654</x:v>
      </x:c>
      <x:c r="AP182" s="43" t="n">
        <x:v>277388</x:v>
      </x:c>
      <x:c r="AQ182" s="43" t="n">
        <x:v>81524</x:v>
      </x:c>
      <x:c r="AR182" s="43" t="n">
        <x:v>1</x:v>
      </x:c>
      <x:c r="AS182" s="45" t="b">
        <x:v>1</x:v>
      </x:c>
      <x:c r="AT182" s="43" t="n">
        <x:v>10000</x:v>
      </x:c>
      <x:c r="AU182" s="48" t="n">
        <x:v>0.9497345106962367</x:v>
      </x:c>
      <x:c r="AV182" s="43" t="n">
        <x:v>10000</x:v>
      </x:c>
      <x:c r="AW182" s="48" t="n">
        <x:v>0.9497345106962367</x:v>
      </x:c>
      <x:c r="AX182" s="45" t="b">
        <x:v>1</x:v>
      </x:c>
      <x:c r="AY182" s="44" t="str">
        <x:v>{"provider":"jcs4","currentEntries":10000,"requestCount":5217536,"hitCount":4955274,"missCount":262262,"hitRate":0.9497345106962367,"loadSuccessCount":0,"loadFailureCount":0,"totalLoadTimeNanos":0,"evictionCount":-1,"expirationCount":-1,"putCount":10000,"removeCount":0,"nativeMetrics":{"HitCountRam":4955274,"Composite.HitCountRam":4955274,"HitCountAux":0,"Composite.HitCountAux":0,"Put Count":10000,"Memory Cache.Put Count":10000,"Hit Count":4955274,"Memory Cache.Hit Count":4955274,"Miss Count":262262,"Memory Cache.Miss Count":262262,"Map Size":10000,"Memory Cache.Map Size":10000,"List Size":10000,"Memory Cache.List Size":10000}}</x:v>
      </x:c>
      <x:c r="AZ182" s="44" t="str">
        <x:v>{"provider":"jcs4","currentEntries":10000,"requestCount":5217536,"hitCount":4955274,"missCount":262262,"hitRate":0.9497345106962367,"loadSuccessCount":0,"loadFailureCount":0,"totalLoadTimeNanos":0,"evictionCount":-1,"expirationCount":-1,"putCount":15000,"removeCount":0,"nativeMetrics":{"HitCountRam":4955274,"Composite.HitCountRam":4955274,"HitCountAux":0,"Composite.HitCountAux":0,"Put Count":15000,"Memory Cache.Put Count":15000,"Hit Count":4955274,"Memory Cache.Hit Count":4955274,"Miss Count":262262,"Memory Cache.Miss Count":262262,"Map Size":10000,"Memory Cache.Map Size":10000,"List Size":10000,"Memory Cache.List Size":10000}}</x:v>
      </x:c>
      <x:c r="BA182" s="43" t="n">
        <x:v>10000</x:v>
      </x:c>
      <x:c r="BB182" s="43" t="n">
        <x:v>5217536</x:v>
      </x:c>
      <x:c r="BC182" s="43" t="n">
        <x:v>4955274</x:v>
      </x:c>
      <x:c r="BD182" s="43" t="n">
        <x:v>262262</x:v>
      </x:c>
      <x:c r="BE182" s="48" t="n">
        <x:v>0.9497345106962367</x:v>
      </x:c>
      <x:c r="BF182" s="43" t="n">
        <x:v>0</x:v>
      </x:c>
      <x:c r="BG182" s="43" t="n">
        <x:v>0</x:v>
      </x:c>
      <x:c r="BH182" s="43" t="n">
        <x:v>0</x:v>
      </x:c>
      <x:c r="BI182" s="43" t="n">
        <x:v>-1</x:v>
      </x:c>
      <x:c r="BJ182" s="43" t="n">
        <x:v>-1</x:v>
      </x:c>
      <x:c r="BK182" s="43" t="n">
        <x:v>15000</x:v>
      </x:c>
      <x:c r="BL182" s="43" t="n">
        <x:v>0</x:v>
      </x:c>
      <x:c r="BM182" s="44" t="str">
        <x:v>{"HitCountRam":4955274,"Composite.HitCountRam":4955274,"HitCountAux":0,"Composite.HitCountAux":0,"Put Count":15000,"Memory Cache.Put Count":15000,"Hit Count":4955274,"Memory Cache.Hit Count":4955274,"Miss Count":262262,"Memory Cache.Miss Count":262262,"Map Size":10000,"Memory Cache.Map Size":10000,"List Size":10000,"Memory Cache.List Size":10000}</x:v>
      </x:c>
    </x:row>
    <x:row r="183">
      <x:c r="A183" s="34" t="str">
        <x:v>article1-unified-v4-2-fb3f101b-20260903-000401-default-f04-p1-jcs4</x:v>
      </x:c>
      <x:c r="B183" s="34" t="str">
        <x:v>default</x:v>
      </x:c>
      <x:c r="C183" s="34" t="str">
        <x:v>jcs4</x:v>
      </x:c>
      <x:c r="D183" s="34" t="str">
        <x:v>jcs4</x:v>
      </x:c>
      <x:c r="E183" s="34" t="str">
        <x:v>current-provider-primary-comparison</x:v>
      </x:c>
      <x:c r="F183" s="36" t="n">
        <x:v>4</x:v>
      </x:c>
      <x:c r="G183" s="36" t="n">
        <x:v>4</x:v>
      </x:c>
      <x:c r="H183" s="36" t="n">
        <x:v>1</x:v>
      </x:c>
      <x:c r="I183" s="36" t="n">
        <x:v>1</x:v>
      </x:c>
      <x:c r="J183" s="34" t="str">
        <x:v>redeploy</x:v>
      </x:c>
      <x:c r="K183" s="34" t="str">
        <x:v>cache-semantics</x:v>
      </x:c>
      <x:c r="L183" s="45" t="b">
        <x:v>1</x:v>
      </x:c>
      <x:c r="M183" s="36" t="n">
        <x:v>850092908</x:v>
      </x:c>
      <x:c r="N183" s="34" t="str">
        <x:v>c3fbbc14afc1687ffa7ecbca17e8ff73fcb319ce839d0fb032082700ff0dfb34</x:v>
      </x:c>
      <x:c r="O183" s="43" t="n">
        <x:v>10000</x:v>
      </x:c>
      <x:c r="P183" s="43" t="n">
        <x:v>400000</x:v>
      </x:c>
      <x:c r="Q183" s="36" t="n">
        <x:v>8</x:v>
      </x:c>
      <x:c r="R183" s="42" t="n">
        <x:v>95</x:v>
      </x:c>
      <x:c r="S183" s="43" t="n">
        <x:v>512</x:v>
      </x:c>
      <x:c r="T183" s="43" t="n">
        <x:v>50000</x:v>
      </x:c>
      <x:c r="U183" s="46" t="n">
        <x:v>3</x:v>
      </x:c>
      <x:c r="V183" s="46" t="n">
        <x:v>5</x:v>
      </x:c>
      <x:c r="W183" s="43" t="n">
        <x:v>300</x:v>
      </x:c>
      <x:c r="X183" s="34" t="str">
        <x:v>uniform</x:v>
      </x:c>
      <x:c r="Y183" s="42" t="n">
        <x:v>10</x:v>
      </x:c>
      <x:c r="Z183" s="34" t="str">
        <x:v>strict</x:v>
      </x:c>
      <x:c r="AA183" s="36" t="n">
        <x:v>64</x:v>
      </x:c>
      <x:c r="AB183" s="43" t="n">
        <x:v>2126848</x:v>
      </x:c>
      <x:c r="AC183" s="43" t="n">
        <x:v>3002133120</x:v>
      </x:c>
      <x:c r="AD183" s="43" t="n">
        <x:v>2133120</x:v>
      </x:c>
      <x:c r="AE183" s="43" t="n">
        <x:v>3400716.258858441</x:v>
      </x:c>
      <x:c r="AF183" s="43" t="n">
        <x:v>987124.1313862063</x:v>
      </x:c>
      <x:c r="AG183" s="43" t="n">
        <x:v>4936704</x:v>
      </x:c>
      <x:c r="AH183" s="43" t="n">
        <x:v>5001097474</x:v>
      </x:c>
      <x:c r="AI183" s="43" t="n">
        <x:v>1097474</x:v>
      </x:c>
      <x:c r="AJ183" s="43" t="n">
        <x:v>987124.1313862063</x:v>
      </x:c>
      <x:c r="AK183" s="43" t="n">
        <x:v>4936704</x:v>
      </x:c>
      <x:c r="AL183" s="43" t="n">
        <x:v>0</x:v>
      </x:c>
      <x:c r="AM183" s="43" t="n">
        <x:v>453547.07374149305</x:v>
      </x:c>
      <x:c r="AN183" s="43" t="n">
        <x:v>451</x:v>
      </x:c>
      <x:c r="AO183" s="43" t="n">
        <x:v>1934</x:v>
      </x:c>
      <x:c r="AP183" s="43" t="n">
        <x:v>279109</x:v>
      </x:c>
      <x:c r="AQ183" s="43" t="n">
        <x:v>77136</x:v>
      </x:c>
      <x:c r="AR183" s="43" t="n">
        <x:v>1</x:v>
      </x:c>
      <x:c r="AS183" s="45" t="b">
        <x:v>1</x:v>
      </x:c>
      <x:c r="AT183" s="43" t="n">
        <x:v>10000</x:v>
      </x:c>
      <x:c r="AU183" s="48" t="n">
        <x:v>0.9497478479568554</x:v>
      </x:c>
      <x:c r="AV183" s="43" t="n">
        <x:v>10000</x:v>
      </x:c>
      <x:c r="AW183" s="48" t="n">
        <x:v>0.9497478479568554</x:v>
      </x:c>
      <x:c r="AX183" s="45" t="b">
        <x:v>1</x:v>
      </x:c>
      <x:c r="AY183" s="44" t="str">
        <x:v>{"provider":"jcs4","currentEntries":10000,"requestCount":4936704,"hitCount":4688624,"missCount":248080,"hitRate":0.9497478479568554,"loadSuccessCount":0,"loadFailureCount":0,"totalLoadTimeNanos":0,"evictionCount":-1,"expirationCount":-1,"putCount":10000,"removeCount":0,"nativeMetrics":{"HitCountRam":4688624,"Composite.HitCountRam":4688624,"HitCountAux":0,"Composite.HitCountAux":0,"Put Count":10000,"Memory Cache.Put Count":10000,"Hit Count":4688624,"Memory Cache.Hit Count":4688624,"Miss Count":248080,"Memory Cache.Miss Count":248080,"Map Size":10000,"Memory Cache.Map Size":10000,"List Size":10000,"Memory Cache.List Size":10000}}</x:v>
      </x:c>
      <x:c r="AZ183" s="44" t="str">
        <x:v>{"provider":"jcs4","currentEntries":10000,"requestCount":4936704,"hitCount":4688624,"missCount":248080,"hitRate":0.9497478479568554,"loadSuccessCount":0,"loadFailureCount":0,"totalLoadTimeNanos":0,"evictionCount":-1,"expirationCount":-1,"putCount":15000,"removeCount":0,"nativeMetrics":{"HitCountRam":4688624,"Composite.HitCountRam":4688624,"HitCountAux":0,"Composite.HitCountAux":0,"Put Count":15000,"Memory Cache.Put Count":15000,"Hit Count":4688624,"Memory Cache.Hit Count":4688624,"Miss Count":248080,"Memory Cache.Miss Count":248080,"Map Size":10000,"Memory Cache.Map Size":10000,"List Size":10000,"Memory Cache.List Size":10000}}</x:v>
      </x:c>
      <x:c r="BA183" s="43" t="n">
        <x:v>10000</x:v>
      </x:c>
      <x:c r="BB183" s="43" t="n">
        <x:v>4936704</x:v>
      </x:c>
      <x:c r="BC183" s="43" t="n">
        <x:v>4688624</x:v>
      </x:c>
      <x:c r="BD183" s="43" t="n">
        <x:v>248080</x:v>
      </x:c>
      <x:c r="BE183" s="48" t="n">
        <x:v>0.9497478479568554</x:v>
      </x:c>
      <x:c r="BF183" s="43" t="n">
        <x:v>0</x:v>
      </x:c>
      <x:c r="BG183" s="43" t="n">
        <x:v>0</x:v>
      </x:c>
      <x:c r="BH183" s="43" t="n">
        <x:v>0</x:v>
      </x:c>
      <x:c r="BI183" s="43" t="n">
        <x:v>-1</x:v>
      </x:c>
      <x:c r="BJ183" s="43" t="n">
        <x:v>-1</x:v>
      </x:c>
      <x:c r="BK183" s="43" t="n">
        <x:v>15000</x:v>
      </x:c>
      <x:c r="BL183" s="43" t="n">
        <x:v>0</x:v>
      </x:c>
      <x:c r="BM183" s="44" t="str">
        <x:v>{"HitCountRam":4688624,"Composite.HitCountRam":4688624,"HitCountAux":0,"Composite.HitCountAux":0,"Put Count":15000,"Memory Cache.Put Count":15000,"Hit Count":4688624,"Memory Cache.Hit Count":4688624,"Miss Count":248080,"Memory Cache.Miss Count":248080,"Map Size":10000,"Memory Cache.Map Size":10000,"List Size":10000,"Memory Cache.List Size":10000}</x:v>
      </x:c>
    </x:row>
    <x:row r="184">
      <x:c r="A184" s="34" t="str">
        <x:v>article1-unified-v4-2-fb3f101b-20260903-000401-default-f04-p1-jcs4</x:v>
      </x:c>
      <x:c r="B184" s="34" t="str">
        <x:v>default</x:v>
      </x:c>
      <x:c r="C184" s="34" t="str">
        <x:v>jcs4</x:v>
      </x:c>
      <x:c r="D184" s="34" t="str">
        <x:v>jcs4</x:v>
      </x:c>
      <x:c r="E184" s="34" t="str">
        <x:v>current-provider-primary-comparison</x:v>
      </x:c>
      <x:c r="F184" s="36" t="n">
        <x:v>4</x:v>
      </x:c>
      <x:c r="G184" s="36" t="n">
        <x:v>4</x:v>
      </x:c>
      <x:c r="H184" s="36" t="n">
        <x:v>1</x:v>
      </x:c>
      <x:c r="I184" s="36" t="n">
        <x:v>2</x:v>
      </x:c>
      <x:c r="J184" s="34" t="str">
        <x:v>initial</x:v>
      </x:c>
      <x:c r="K184" s="34" t="str">
        <x:v>cache-semantics</x:v>
      </x:c>
      <x:c r="L184" s="45" t="b">
        <x:v>1</x:v>
      </x:c>
      <x:c r="M184" s="36" t="n">
        <x:v>972724800</x:v>
      </x:c>
      <x:c r="N184" s="34" t="str">
        <x:v>622a36620fa8caac2865206ddff77d854d1b43b1dd314943f9681ddaa3b0eea1</x:v>
      </x:c>
      <x:c r="O184" s="43" t="n">
        <x:v>10000</x:v>
      </x:c>
      <x:c r="P184" s="43" t="n">
        <x:v>400000</x:v>
      </x:c>
      <x:c r="Q184" s="36" t="n">
        <x:v>8</x:v>
      </x:c>
      <x:c r="R184" s="42" t="n">
        <x:v>95</x:v>
      </x:c>
      <x:c r="S184" s="43" t="n">
        <x:v>512</x:v>
      </x:c>
      <x:c r="T184" s="43" t="n">
        <x:v>50000</x:v>
      </x:c>
      <x:c r="U184" s="46" t="n">
        <x:v>3</x:v>
      </x:c>
      <x:c r="V184" s="46" t="n">
        <x:v>5</x:v>
      </x:c>
      <x:c r="W184" s="43" t="n">
        <x:v>300</x:v>
      </x:c>
      <x:c r="X184" s="34" t="str">
        <x:v>uniform</x:v>
      </x:c>
      <x:c r="Y184" s="42" t="n">
        <x:v>10</x:v>
      </x:c>
      <x:c r="Z184" s="34" t="str">
        <x:v>strict</x:v>
      </x:c>
      <x:c r="AA184" s="36" t="n">
        <x:v>64</x:v>
      </x:c>
      <x:c r="AB184" s="43" t="n">
        <x:v>2711040</x:v>
      </x:c>
      <x:c r="AC184" s="43" t="n">
        <x:v>3001241772</x:v>
      </x:c>
      <x:c r="AD184" s="43" t="n">
        <x:v>1241772</x:v>
      </x:c>
      <x:c r="AE184" s="43" t="n">
        <x:v>3787147.1799008525</x:v>
      </x:c>
      <x:c r="AF184" s="43" t="n">
        <x:v>1104959.5671745613</x:v>
      </x:c>
      <x:c r="AG184" s="43" t="n">
        <x:v>5526272</x:v>
      </x:c>
      <x:c r="AH184" s="43" t="n">
        <x:v>5001334134</x:v>
      </x:c>
      <x:c r="AI184" s="43" t="n">
        <x:v>1334134</x:v>
      </x:c>
      <x:c r="AJ184" s="43" t="n">
        <x:v>1104959.5671745613</x:v>
      </x:c>
      <x:c r="AK184" s="43" t="n">
        <x:v>5526272</x:v>
      </x:c>
      <x:c r="AL184" s="43" t="n">
        <x:v>0</x:v>
      </x:c>
      <x:c r="AM184" s="43" t="n">
        <x:v>476479.0863799406</x:v>
      </x:c>
      <x:c r="AN184" s="43" t="n">
        <x:v>381</x:v>
      </x:c>
      <x:c r="AO184" s="43" t="n">
        <x:v>1573</x:v>
      </x:c>
      <x:c r="AP184" s="43" t="n">
        <x:v>274781</x:v>
      </x:c>
      <x:c r="AQ184" s="43" t="n">
        <x:v>86348</x:v>
      </x:c>
      <x:c r="AR184" s="43" t="n">
        <x:v>1</x:v>
      </x:c>
      <x:c r="AS184" s="45" t="b">
        <x:v>1</x:v>
      </x:c>
      <x:c r="AT184" s="43" t="n">
        <x:v>10000</x:v>
      </x:c>
      <x:c r="AU184" s="48" t="n">
        <x:v>0.9501685765738639</x:v>
      </x:c>
      <x:c r="AV184" s="43" t="n">
        <x:v>10000</x:v>
      </x:c>
      <x:c r="AW184" s="48" t="n">
        <x:v>0.9501685765738639</x:v>
      </x:c>
      <x:c r="AX184" s="45" t="b">
        <x:v>1</x:v>
      </x:c>
      <x:c r="AY184" s="44" t="str">
        <x:v>{"provider":"jcs4","currentEntries":10000,"requestCount":5526272,"hitCount":5250890,"missCount":275382,"hitRate":0.9501685765738639,"loadSuccessCount":0,"loadFailureCount":0,"totalLoadTimeNanos":0,"evictionCount":-1,"expirationCount":-1,"putCount":10000,"removeCount":0,"nativeMetrics":{"HitCountRam":5250890,"Composite.HitCountRam":5250890,"HitCountAux":0,"Composite.HitCountAux":0,"Put Count":10000,"Memory Cache.Put Count":10000,"Hit Count":5250890,"Memory Cache.Hit Count":5250890,"Miss Count":275382,"Memory Cache.Miss Count":275382,"Map Size":10000,"Memory Cache.Map Size":10000,"List Size":10000,"Memory Cache.List Size":10000}}</x:v>
      </x:c>
      <x:c r="AZ184" s="44" t="str">
        <x:v>{"provider":"jcs4","currentEntries":10000,"requestCount":5526272,"hitCount":5250890,"missCount":275382,"hitRate":0.9501685765738639,"loadSuccessCount":0,"loadFailureCount":0,"totalLoadTimeNanos":0,"evictionCount":-1,"expirationCount":-1,"putCount":15000,"removeCount":0,"nativeMetrics":{"HitCountRam":5250890,"Composite.HitCountRam":5250890,"HitCountAux":0,"Composite.HitCountAux":0,"Put Count":15000,"Memory Cache.Put Count":15000,"Hit Count":5250890,"Memory Cache.Hit Count":5250890,"Miss Count":275382,"Memory Cache.Miss Count":275382,"Map Size":10000,"Memory Cache.Map Size":10000,"List Size":10000,"Memory Cache.List Size":10000}}</x:v>
      </x:c>
      <x:c r="BA184" s="43" t="n">
        <x:v>10000</x:v>
      </x:c>
      <x:c r="BB184" s="43" t="n">
        <x:v>5526272</x:v>
      </x:c>
      <x:c r="BC184" s="43" t="n">
        <x:v>5250890</x:v>
      </x:c>
      <x:c r="BD184" s="43" t="n">
        <x:v>275382</x:v>
      </x:c>
      <x:c r="BE184" s="48" t="n">
        <x:v>0.9501685765738639</x:v>
      </x:c>
      <x:c r="BF184" s="43" t="n">
        <x:v>0</x:v>
      </x:c>
      <x:c r="BG184" s="43" t="n">
        <x:v>0</x:v>
      </x:c>
      <x:c r="BH184" s="43" t="n">
        <x:v>0</x:v>
      </x:c>
      <x:c r="BI184" s="43" t="n">
        <x:v>-1</x:v>
      </x:c>
      <x:c r="BJ184" s="43" t="n">
        <x:v>-1</x:v>
      </x:c>
      <x:c r="BK184" s="43" t="n">
        <x:v>15000</x:v>
      </x:c>
      <x:c r="BL184" s="43" t="n">
        <x:v>0</x:v>
      </x:c>
      <x:c r="BM184" s="44" t="str">
        <x:v>{"HitCountRam":5250890,"Composite.HitCountRam":5250890,"HitCountAux":0,"Composite.HitCountAux":0,"Put Count":15000,"Memory Cache.Put Count":15000,"Hit Count":5250890,"Memory Cache.Hit Count":5250890,"Miss Count":275382,"Memory Cache.Miss Count":275382,"Map Size":10000,"Memory Cache.Map Size":10000,"List Size":10000,"Memory Cache.List Size":10000}</x:v>
      </x:c>
    </x:row>
    <x:row r="185">
      <x:c r="A185" s="34" t="str">
        <x:v>article1-unified-v4-2-fb3f101b-20260903-000401-default-f04-p1-jcs4</x:v>
      </x:c>
      <x:c r="B185" s="34" t="str">
        <x:v>default</x:v>
      </x:c>
      <x:c r="C185" s="34" t="str">
        <x:v>jcs4</x:v>
      </x:c>
      <x:c r="D185" s="34" t="str">
        <x:v>jcs4</x:v>
      </x:c>
      <x:c r="E185" s="34" t="str">
        <x:v>current-provider-primary-comparison</x:v>
      </x:c>
      <x:c r="F185" s="36" t="n">
        <x:v>4</x:v>
      </x:c>
      <x:c r="G185" s="36" t="n">
        <x:v>4</x:v>
      </x:c>
      <x:c r="H185" s="36" t="n">
        <x:v>1</x:v>
      </x:c>
      <x:c r="I185" s="36" t="n">
        <x:v>2</x:v>
      </x:c>
      <x:c r="J185" s="34" t="str">
        <x:v>redeploy</x:v>
      </x:c>
      <x:c r="K185" s="34" t="str">
        <x:v>cache-semantics</x:v>
      </x:c>
      <x:c r="L185" s="45" t="b">
        <x:v>1</x:v>
      </x:c>
      <x:c r="M185" s="36" t="n">
        <x:v>972724800</x:v>
      </x:c>
      <x:c r="N185" s="34" t="str">
        <x:v>622a36620fa8caac2865206ddff77d854d1b43b1dd314943f9681ddaa3b0eea1</x:v>
      </x:c>
      <x:c r="O185" s="43" t="n">
        <x:v>10000</x:v>
      </x:c>
      <x:c r="P185" s="43" t="n">
        <x:v>400000</x:v>
      </x:c>
      <x:c r="Q185" s="36" t="n">
        <x:v>8</x:v>
      </x:c>
      <x:c r="R185" s="42" t="n">
        <x:v>95</x:v>
      </x:c>
      <x:c r="S185" s="43" t="n">
        <x:v>512</x:v>
      </x:c>
      <x:c r="T185" s="43" t="n">
        <x:v>50000</x:v>
      </x:c>
      <x:c r="U185" s="46" t="n">
        <x:v>3</x:v>
      </x:c>
      <x:c r="V185" s="46" t="n">
        <x:v>5</x:v>
      </x:c>
      <x:c r="W185" s="43" t="n">
        <x:v>300</x:v>
      </x:c>
      <x:c r="X185" s="34" t="str">
        <x:v>uniform</x:v>
      </x:c>
      <x:c r="Y185" s="42" t="n">
        <x:v>10</x:v>
      </x:c>
      <x:c r="Z185" s="34" t="str">
        <x:v>strict</x:v>
      </x:c>
      <x:c r="AA185" s="36" t="n">
        <x:v>64</x:v>
      </x:c>
      <x:c r="AB185" s="43" t="n">
        <x:v>2975744</x:v>
      </x:c>
      <x:c r="AC185" s="43" t="n">
        <x:v>3000854489</x:v>
      </x:c>
      <x:c r="AD185" s="43" t="n">
        <x:v>854489</x:v>
      </x:c>
      <x:c r="AE185" s="43" t="n">
        <x:v>4346355.884835477</x:v>
      </x:c>
      <x:c r="AF185" s="43" t="n">
        <x:v>937846.9786807208</x:v>
      </x:c>
      <x:c r="AG185" s="43" t="n">
        <x:v>4689920</x:v>
      </x:c>
      <x:c r="AH185" s="43" t="n">
        <x:v>5000730510</x:v>
      </x:c>
      <x:c r="AI185" s="43" t="n">
        <x:v>730510</x:v>
      </x:c>
      <x:c r="AJ185" s="43" t="n">
        <x:v>937846.9786807208</x:v>
      </x:c>
      <x:c r="AK185" s="43" t="n">
        <x:v>4689920</x:v>
      </x:c>
      <x:c r="AL185" s="43" t="n">
        <x:v>0</x:v>
      </x:c>
      <x:c r="AM185" s="43" t="n">
        <x:v>476609.57487665105</x:v>
      </x:c>
      <x:c r="AN185" s="43" t="n">
        <x:v>491</x:v>
      </x:c>
      <x:c r="AO185" s="43" t="n">
        <x:v>2054</x:v>
      </x:c>
      <x:c r="AP185" s="43" t="n">
        <x:v>290523</x:v>
      </x:c>
      <x:c r="AQ185" s="43" t="n">
        <x:v>73280</x:v>
      </x:c>
      <x:c r="AR185" s="43" t="n">
        <x:v>1</x:v>
      </x:c>
      <x:c r="AS185" s="45" t="b">
        <x:v>1</x:v>
      </x:c>
      <x:c r="AT185" s="43" t="n">
        <x:v>10000</x:v>
      </x:c>
      <x:c r="AU185" s="48" t="n">
        <x:v>0.9501769753002184</x:v>
      </x:c>
      <x:c r="AV185" s="43" t="n">
        <x:v>10000</x:v>
      </x:c>
      <x:c r="AW185" s="48" t="n">
        <x:v>0.9501769753002184</x:v>
      </x:c>
      <x:c r="AX185" s="45" t="b">
        <x:v>1</x:v>
      </x:c>
      <x:c r="AY185" s="44" t="str">
        <x:v>{"provider":"jcs4","currentEntries":10000,"requestCount":4689920,"hitCount":4456254,"missCount":233666,"hitRate":0.9501769753002184,"loadSuccessCount":0,"loadFailureCount":0,"totalLoadTimeNanos":0,"evictionCount":-1,"expirationCount":-1,"putCount":10000,"removeCount":0,"nativeMetrics":{"HitCountRam":4456254,"Composite.HitCountRam":4456254,"HitCountAux":0,"Composite.HitCountAux":0,"Put Count":10000,"Memory Cache.Put Count":10000,"Hit Count":4456254,"Memory Cache.Hit Count":4456254,"Miss Count":233666,"Memory Cache.Miss Count":233666,"Map Size":10000,"Memory Cache.Map Size":10000,"List Size":10000,"Memory Cache.List Size":10000}}</x:v>
      </x:c>
      <x:c r="AZ185" s="44" t="str">
        <x:v>{"provider":"jcs4","currentEntries":10000,"requestCount":4689920,"hitCount":4456254,"missCount":233666,"hitRate":0.9501769753002184,"loadSuccessCount":0,"loadFailureCount":0,"totalLoadTimeNanos":0,"evictionCount":-1,"expirationCount":-1,"putCount":15000,"removeCount":0,"nativeMetrics":{"HitCountRam":4456254,"Composite.HitCountRam":4456254,"HitCountAux":0,"Composite.HitCountAux":0,"Put Count":15000,"Memory Cache.Put Count":15000,"Hit Count":4456254,"Memory Cache.Hit Count":4456254,"Miss Count":233666,"Memory Cache.Miss Count":233666,"Map Size":10000,"Memory Cache.Map Size":10000,"List Size":10000,"Memory Cache.List Size":10000}}</x:v>
      </x:c>
      <x:c r="BA185" s="43" t="n">
        <x:v>10000</x:v>
      </x:c>
      <x:c r="BB185" s="43" t="n">
        <x:v>4689920</x:v>
      </x:c>
      <x:c r="BC185" s="43" t="n">
        <x:v>4456254</x:v>
      </x:c>
      <x:c r="BD185" s="43" t="n">
        <x:v>233666</x:v>
      </x:c>
      <x:c r="BE185" s="48" t="n">
        <x:v>0.9501769753002184</x:v>
      </x:c>
      <x:c r="BF185" s="43" t="n">
        <x:v>0</x:v>
      </x:c>
      <x:c r="BG185" s="43" t="n">
        <x:v>0</x:v>
      </x:c>
      <x:c r="BH185" s="43" t="n">
        <x:v>0</x:v>
      </x:c>
      <x:c r="BI185" s="43" t="n">
        <x:v>-1</x:v>
      </x:c>
      <x:c r="BJ185" s="43" t="n">
        <x:v>-1</x:v>
      </x:c>
      <x:c r="BK185" s="43" t="n">
        <x:v>15000</x:v>
      </x:c>
      <x:c r="BL185" s="43" t="n">
        <x:v>0</x:v>
      </x:c>
      <x:c r="BM185" s="44" t="str">
        <x:v>{"HitCountRam":4456254,"Composite.HitCountRam":4456254,"HitCountAux":0,"Composite.HitCountAux":0,"Put Count":15000,"Memory Cache.Put Count":15000,"Hit Count":4456254,"Memory Cache.Hit Count":4456254,"Miss Count":233666,"Memory Cache.Miss Count":233666,"Map Size":10000,"Memory Cache.Map Size":10000,"List Size":10000,"Memory Cache.List Size":10000}</x:v>
      </x:c>
    </x:row>
    <x:row r="186">
      <x:c r="A186" s="34" t="str">
        <x:v>article1-unified-v4-2-fb3f101b-20260903-000401-default-f04-p1-jcs4</x:v>
      </x:c>
      <x:c r="B186" s="34" t="str">
        <x:v>default</x:v>
      </x:c>
      <x:c r="C186" s="34" t="str">
        <x:v>jcs4</x:v>
      </x:c>
      <x:c r="D186" s="34" t="str">
        <x:v>jcs4</x:v>
      </x:c>
      <x:c r="E186" s="34" t="str">
        <x:v>current-provider-primary-comparison</x:v>
      </x:c>
      <x:c r="F186" s="36" t="n">
        <x:v>4</x:v>
      </x:c>
      <x:c r="G186" s="36" t="n">
        <x:v>4</x:v>
      </x:c>
      <x:c r="H186" s="36" t="n">
        <x:v>1</x:v>
      </x:c>
      <x:c r="I186" s="36" t="n">
        <x:v>3</x:v>
      </x:c>
      <x:c r="J186" s="34" t="str">
        <x:v>initial</x:v>
      </x:c>
      <x:c r="K186" s="34" t="str">
        <x:v>cache-semantics</x:v>
      </x:c>
      <x:c r="L186" s="45" t="b">
        <x:v>1</x:v>
      </x:c>
      <x:c r="M186" s="36" t="n">
        <x:v>1079766481</x:v>
      </x:c>
      <x:c r="N186" s="34" t="str">
        <x:v>2003ab2bf661debde50fa9590451b61ccb907c7e521f8a8e45087b02af93afef</x:v>
      </x:c>
      <x:c r="O186" s="43" t="n">
        <x:v>10000</x:v>
      </x:c>
      <x:c r="P186" s="43" t="n">
        <x:v>400000</x:v>
      </x:c>
      <x:c r="Q186" s="36" t="n">
        <x:v>8</x:v>
      </x:c>
      <x:c r="R186" s="42" t="n">
        <x:v>95</x:v>
      </x:c>
      <x:c r="S186" s="43" t="n">
        <x:v>512</x:v>
      </x:c>
      <x:c r="T186" s="43" t="n">
        <x:v>50000</x:v>
      </x:c>
      <x:c r="U186" s="46" t="n">
        <x:v>3</x:v>
      </x:c>
      <x:c r="V186" s="46" t="n">
        <x:v>5</x:v>
      </x:c>
      <x:c r="W186" s="43" t="n">
        <x:v>300</x:v>
      </x:c>
      <x:c r="X186" s="34" t="str">
        <x:v>uniform</x:v>
      </x:c>
      <x:c r="Y186" s="42" t="n">
        <x:v>10</x:v>
      </x:c>
      <x:c r="Z186" s="34" t="str">
        <x:v>strict</x:v>
      </x:c>
      <x:c r="AA186" s="36" t="n">
        <x:v>64</x:v>
      </x:c>
      <x:c r="AB186" s="43" t="n">
        <x:v>2243840</x:v>
      </x:c>
      <x:c r="AC186" s="43" t="n">
        <x:v>3000981500</x:v>
      </x:c>
      <x:c r="AD186" s="43" t="n">
        <x:v>981500</x:v>
      </x:c>
      <x:c r="AE186" s="43" t="n">
        <x:v>3105189.859070958</x:v>
      </x:c>
      <x:c r="AF186" s="43" t="n">
        <x:v>1110501.7017085701</x:v>
      </x:c>
      <x:c r="AG186" s="43" t="n">
        <x:v>5553664</x:v>
      </x:c>
      <x:c r="AH186" s="43" t="n">
        <x:v>5001040513</x:v>
      </x:c>
      <x:c r="AI186" s="43" t="n">
        <x:v>1040513</x:v>
      </x:c>
      <x:c r="AJ186" s="43" t="n">
        <x:v>1110501.7017085701</x:v>
      </x:c>
      <x:c r="AK186" s="43" t="n">
        <x:v>5553664</x:v>
      </x:c>
      <x:c r="AL186" s="43" t="n">
        <x:v>0</x:v>
      </x:c>
      <x:c r="AM186" s="43" t="n">
        <x:v>651482.944567401</x:v>
      </x:c>
      <x:c r="AN186" s="43" t="n">
        <x:v>411</x:v>
      </x:c>
      <x:c r="AO186" s="43" t="n">
        <x:v>1563</x:v>
      </x:c>
      <x:c r="AP186" s="43" t="n">
        <x:v>259421</x:v>
      </x:c>
      <x:c r="AQ186" s="43" t="n">
        <x:v>86776</x:v>
      </x:c>
      <x:c r="AR186" s="43" t="n">
        <x:v>1</x:v>
      </x:c>
      <x:c r="AS186" s="45" t="b">
        <x:v>1</x:v>
      </x:c>
      <x:c r="AT186" s="43" t="n">
        <x:v>10000</x:v>
      </x:c>
      <x:c r="AU186" s="48" t="n">
        <x:v>0.9500353280284871</x:v>
      </x:c>
      <x:c r="AV186" s="43" t="n">
        <x:v>10000</x:v>
      </x:c>
      <x:c r="AW186" s="48" t="n">
        <x:v>0.9500353280284871</x:v>
      </x:c>
      <x:c r="AX186" s="45" t="b">
        <x:v>1</x:v>
      </x:c>
      <x:c r="AY186" s="44" t="str">
        <x:v>{"provider":"jcs4","currentEntries":10000,"requestCount":5553664,"hitCount":5276177,"missCount":277487,"hitRate":0.9500353280284871,"loadSuccessCount":0,"loadFailureCount":0,"totalLoadTimeNanos":0,"evictionCount":-1,"expirationCount":-1,"putCount":10000,"removeCount":0,"nativeMetrics":{"HitCountRam":5276177,"Composite.HitCountRam":5276177,"HitCountAux":0,"Composite.HitCountAux":0,"Put Count":10000,"Memory Cache.Put Count":10000,"Hit Count":5276177,"Memory Cache.Hit Count":5276177,"Miss Count":277487,"Memory Cache.Miss Count":277487,"Map Size":10000,"Memory Cache.Map Size":10000,"List Size":10000,"Memory Cache.List Size":10000}}</x:v>
      </x:c>
      <x:c r="AZ186" s="44" t="str">
        <x:v>{"provider":"jcs4","currentEntries":10000,"requestCount":5553664,"hitCount":5276177,"missCount":277487,"hitRate":0.9500353280284871,"loadSuccessCount":0,"loadFailureCount":0,"totalLoadTimeNanos":0,"evictionCount":-1,"expirationCount":-1,"putCount":15000,"removeCount":0,"nativeMetrics":{"HitCountRam":5276177,"Composite.HitCountRam":5276177,"HitCountAux":0,"Composite.HitCountAux":0,"Put Count":15000,"Memory Cache.Put Count":15000,"Hit Count":5276177,"Memory Cache.Hit Count":5276177,"Miss Count":277487,"Memory Cache.Miss Count":277487,"Map Size":10000,"Memory Cache.Map Size":10000,"List Size":10000,"Memory Cache.List Size":10000}}</x:v>
      </x:c>
      <x:c r="BA186" s="43" t="n">
        <x:v>10000</x:v>
      </x:c>
      <x:c r="BB186" s="43" t="n">
        <x:v>5553664</x:v>
      </x:c>
      <x:c r="BC186" s="43" t="n">
        <x:v>5276177</x:v>
      </x:c>
      <x:c r="BD186" s="43" t="n">
        <x:v>277487</x:v>
      </x:c>
      <x:c r="BE186" s="48" t="n">
        <x:v>0.9500353280284871</x:v>
      </x:c>
      <x:c r="BF186" s="43" t="n">
        <x:v>0</x:v>
      </x:c>
      <x:c r="BG186" s="43" t="n">
        <x:v>0</x:v>
      </x:c>
      <x:c r="BH186" s="43" t="n">
        <x:v>0</x:v>
      </x:c>
      <x:c r="BI186" s="43" t="n">
        <x:v>-1</x:v>
      </x:c>
      <x:c r="BJ186" s="43" t="n">
        <x:v>-1</x:v>
      </x:c>
      <x:c r="BK186" s="43" t="n">
        <x:v>15000</x:v>
      </x:c>
      <x:c r="BL186" s="43" t="n">
        <x:v>0</x:v>
      </x:c>
      <x:c r="BM186" s="44" t="str">
        <x:v>{"HitCountRam":5276177,"Composite.HitCountRam":5276177,"HitCountAux":0,"Composite.HitCountAux":0,"Put Count":15000,"Memory Cache.Put Count":15000,"Hit Count":5276177,"Memory Cache.Hit Count":5276177,"Miss Count":277487,"Memory Cache.Miss Count":277487,"Map Size":10000,"Memory Cache.Map Size":10000,"List Size":10000,"Memory Cache.List Size":10000}</x:v>
      </x:c>
    </x:row>
    <x:row r="187">
      <x:c r="A187" s="34" t="str">
        <x:v>article1-unified-v4-2-fb3f101b-20260903-000401-default-f04-p1-jcs4</x:v>
      </x:c>
      <x:c r="B187" s="34" t="str">
        <x:v>default</x:v>
      </x:c>
      <x:c r="C187" s="34" t="str">
        <x:v>jcs4</x:v>
      </x:c>
      <x:c r="D187" s="34" t="str">
        <x:v>jcs4</x:v>
      </x:c>
      <x:c r="E187" s="34" t="str">
        <x:v>current-provider-primary-comparison</x:v>
      </x:c>
      <x:c r="F187" s="36" t="n">
        <x:v>4</x:v>
      </x:c>
      <x:c r="G187" s="36" t="n">
        <x:v>4</x:v>
      </x:c>
      <x:c r="H187" s="36" t="n">
        <x:v>1</x:v>
      </x:c>
      <x:c r="I187" s="36" t="n">
        <x:v>3</x:v>
      </x:c>
      <x:c r="J187" s="34" t="str">
        <x:v>redeploy</x:v>
      </x:c>
      <x:c r="K187" s="34" t="str">
        <x:v>cache-semantics</x:v>
      </x:c>
      <x:c r="L187" s="45" t="b">
        <x:v>1</x:v>
      </x:c>
      <x:c r="M187" s="36" t="n">
        <x:v>1079766481</x:v>
      </x:c>
      <x:c r="N187" s="34" t="str">
        <x:v>2003ab2bf661debde50fa9590451b61ccb907c7e521f8a8e45087b02af93afef</x:v>
      </x:c>
      <x:c r="O187" s="43" t="n">
        <x:v>10000</x:v>
      </x:c>
      <x:c r="P187" s="43" t="n">
        <x:v>400000</x:v>
      </x:c>
      <x:c r="Q187" s="36" t="n">
        <x:v>8</x:v>
      </x:c>
      <x:c r="R187" s="42" t="n">
        <x:v>95</x:v>
      </x:c>
      <x:c r="S187" s="43" t="n">
        <x:v>512</x:v>
      </x:c>
      <x:c r="T187" s="43" t="n">
        <x:v>50000</x:v>
      </x:c>
      <x:c r="U187" s="46" t="n">
        <x:v>3</x:v>
      </x:c>
      <x:c r="V187" s="46" t="n">
        <x:v>5</x:v>
      </x:c>
      <x:c r="W187" s="43" t="n">
        <x:v>300</x:v>
      </x:c>
      <x:c r="X187" s="34" t="str">
        <x:v>uniform</x:v>
      </x:c>
      <x:c r="Y187" s="42" t="n">
        <x:v>10</x:v>
      </x:c>
      <x:c r="Z187" s="34" t="str">
        <x:v>strict</x:v>
      </x:c>
      <x:c r="AA187" s="36" t="n">
        <x:v>64</x:v>
      </x:c>
      <x:c r="AB187" s="43" t="n">
        <x:v>1987840</x:v>
      </x:c>
      <x:c r="AC187" s="43" t="n">
        <x:v>3002214067</x:v>
      </x:c>
      <x:c r="AD187" s="43" t="n">
        <x:v>2214067</x:v>
      </x:c>
      <x:c r="AE187" s="43" t="n">
        <x:v>3233077.747760447</x:v>
      </x:c>
      <x:c r="AF187" s="43" t="n">
        <x:v>1157307.8489502028</x:v>
      </x:c>
      <x:c r="AG187" s="43" t="n">
        <x:v>5788160</x:v>
      </x:c>
      <x:c r="AH187" s="43" t="n">
        <x:v>5001400453</x:v>
      </x:c>
      <x:c r="AI187" s="43" t="n">
        <x:v>1400453</x:v>
      </x:c>
      <x:c r="AJ187" s="43" t="n">
        <x:v>1157307.8489502028</x:v>
      </x:c>
      <x:c r="AK187" s="43" t="n">
        <x:v>5788160</x:v>
      </x:c>
      <x:c r="AL187" s="43" t="n">
        <x:v>0</x:v>
      </x:c>
      <x:c r="AM187" s="43" t="n">
        <x:v>377724.6411540364</x:v>
      </x:c>
      <x:c r="AN187" s="43" t="n">
        <x:v>370</x:v>
      </x:c>
      <x:c r="AO187" s="43" t="n">
        <x:v>1313</x:v>
      </x:c>
      <x:c r="AP187" s="43" t="n">
        <x:v>269559</x:v>
      </x:c>
      <x:c r="AQ187" s="43" t="n">
        <x:v>90440</x:v>
      </x:c>
      <x:c r="AR187" s="43" t="n">
        <x:v>1</x:v>
      </x:c>
      <x:c r="AS187" s="45" t="b">
        <x:v>1</x:v>
      </x:c>
      <x:c r="AT187" s="43" t="n">
        <x:v>10000</x:v>
      </x:c>
      <x:c r="AU187" s="48" t="n">
        <x:v>0.9500393907563025</x:v>
      </x:c>
      <x:c r="AV187" s="43" t="n">
        <x:v>10000</x:v>
      </x:c>
      <x:c r="AW187" s="48" t="n">
        <x:v>0.9500393907563025</x:v>
      </x:c>
      <x:c r="AX187" s="45" t="b">
        <x:v>1</x:v>
      </x:c>
      <x:c r="AY187" s="44" t="str">
        <x:v>{"provider":"jcs4","currentEntries":10000,"requestCount":5788160,"hitCount":5498980,"missCount":289180,"hitRate":0.9500393907563025,"loadSuccessCount":0,"loadFailureCount":0,"totalLoadTimeNanos":0,"evictionCount":-1,"expirationCount":-1,"putCount":10000,"removeCount":0,"nativeMetrics":{"HitCountRam":5498980,"Composite.HitCountRam":5498980,"HitCountAux":0,"Composite.HitCountAux":0,"Put Count":10000,"Memory Cache.Put Count":10000,"Hit Count":5498980,"Memory Cache.Hit Count":5498980,"Miss Count":289180,"Memory Cache.Miss Count":289180,"Map Size":10000,"Memory Cache.Map Size":10000,"List Size":10000,"Memory Cache.List Size":10000}}</x:v>
      </x:c>
      <x:c r="AZ187" s="44" t="str">
        <x:v>{"provider":"jcs4","currentEntries":10000,"requestCount":5788160,"hitCount":5498980,"missCount":289180,"hitRate":0.9500393907563025,"loadSuccessCount":0,"loadFailureCount":0,"totalLoadTimeNanos":0,"evictionCount":-1,"expirationCount":-1,"putCount":15000,"removeCount":0,"nativeMetrics":{"HitCountRam":5498980,"Composite.HitCountRam":5498980,"HitCountAux":0,"Composite.HitCountAux":0,"Put Count":15000,"Memory Cache.Put Count":15000,"Hit Count":5498980,"Memory Cache.Hit Count":5498980,"Miss Count":289180,"Memory Cache.Miss Count":289180,"Map Size":10000,"Memory Cache.Map Size":10000,"List Size":10000,"Memory Cache.List Size":10000}}</x:v>
      </x:c>
      <x:c r="BA187" s="43" t="n">
        <x:v>10000</x:v>
      </x:c>
      <x:c r="BB187" s="43" t="n">
        <x:v>5788160</x:v>
      </x:c>
      <x:c r="BC187" s="43" t="n">
        <x:v>5498980</x:v>
      </x:c>
      <x:c r="BD187" s="43" t="n">
        <x:v>289180</x:v>
      </x:c>
      <x:c r="BE187" s="48" t="n">
        <x:v>0.9500393907563025</x:v>
      </x:c>
      <x:c r="BF187" s="43" t="n">
        <x:v>0</x:v>
      </x:c>
      <x:c r="BG187" s="43" t="n">
        <x:v>0</x:v>
      </x:c>
      <x:c r="BH187" s="43" t="n">
        <x:v>0</x:v>
      </x:c>
      <x:c r="BI187" s="43" t="n">
        <x:v>-1</x:v>
      </x:c>
      <x:c r="BJ187" s="43" t="n">
        <x:v>-1</x:v>
      </x:c>
      <x:c r="BK187" s="43" t="n">
        <x:v>15000</x:v>
      </x:c>
      <x:c r="BL187" s="43" t="n">
        <x:v>0</x:v>
      </x:c>
      <x:c r="BM187" s="44" t="str">
        <x:v>{"HitCountRam":5498980,"Composite.HitCountRam":5498980,"HitCountAux":0,"Composite.HitCountAux":0,"Put Count":15000,"Memory Cache.Put Count":15000,"Hit Count":5498980,"Memory Cache.Hit Count":5498980,"Miss Count":289180,"Memory Cache.Miss Count":289180,"Map Size":10000,"Memory Cache.Map Size":10000,"List Size":10000,"Memory Cache.List Size":10000}</x:v>
      </x:c>
    </x:row>
    <x:row r="188">
      <x:c r="A188" s="34" t="str">
        <x:v>article1-unified-v4-2-fb3f101b-20260903-000401-default-f04-p1-jcs4</x:v>
      </x:c>
      <x:c r="B188" s="34" t="str">
        <x:v>default</x:v>
      </x:c>
      <x:c r="C188" s="34" t="str">
        <x:v>jcs4</x:v>
      </x:c>
      <x:c r="D188" s="34" t="str">
        <x:v>jcs4</x:v>
      </x:c>
      <x:c r="E188" s="34" t="str">
        <x:v>current-provider-primary-comparison</x:v>
      </x:c>
      <x:c r="F188" s="36" t="n">
        <x:v>4</x:v>
      </x:c>
      <x:c r="G188" s="36" t="n">
        <x:v>4</x:v>
      </x:c>
      <x:c r="H188" s="36" t="n">
        <x:v>1</x:v>
      </x:c>
      <x:c r="I188" s="36" t="n">
        <x:v>4</x:v>
      </x:c>
      <x:c r="J188" s="34" t="str">
        <x:v>initial</x:v>
      </x:c>
      <x:c r="K188" s="34" t="str">
        <x:v>cache-semantics</x:v>
      </x:c>
      <x:c r="L188" s="45" t="b">
        <x:v>1</x:v>
      </x:c>
      <x:c r="M188" s="36" t="n">
        <x:v>153065368</x:v>
      </x:c>
      <x:c r="N188" s="34" t="str">
        <x:v>13e2812983530d3984d2699f769b1b94ef065a0bcaeae2fdd816f73034de5703</x:v>
      </x:c>
      <x:c r="O188" s="43" t="n">
        <x:v>10000</x:v>
      </x:c>
      <x:c r="P188" s="43" t="n">
        <x:v>400000</x:v>
      </x:c>
      <x:c r="Q188" s="36" t="n">
        <x:v>8</x:v>
      </x:c>
      <x:c r="R188" s="42" t="n">
        <x:v>95</x:v>
      </x:c>
      <x:c r="S188" s="43" t="n">
        <x:v>512</x:v>
      </x:c>
      <x:c r="T188" s="43" t="n">
        <x:v>50000</x:v>
      </x:c>
      <x:c r="U188" s="46" t="n">
        <x:v>3</x:v>
      </x:c>
      <x:c r="V188" s="46" t="n">
        <x:v>5</x:v>
      </x:c>
      <x:c r="W188" s="43" t="n">
        <x:v>300</x:v>
      </x:c>
      <x:c r="X188" s="34" t="str">
        <x:v>uniform</x:v>
      </x:c>
      <x:c r="Y188" s="42" t="n">
        <x:v>10</x:v>
      </x:c>
      <x:c r="Z188" s="34" t="str">
        <x:v>strict</x:v>
      </x:c>
      <x:c r="AA188" s="36" t="n">
        <x:v>64</x:v>
      </x:c>
      <x:c r="AB188" s="43" t="n">
        <x:v>2572544</x:v>
      </x:c>
      <x:c r="AC188" s="43" t="n">
        <x:v>3001905305</x:v>
      </x:c>
      <x:c r="AD188" s="43" t="n">
        <x:v>1905305</x:v>
      </x:c>
      <x:c r="AE188" s="43" t="n">
        <x:v>3871617.174493786</x:v>
      </x:c>
      <x:c r="AF188" s="43" t="n">
        <x:v>941303.9297641075</x:v>
      </x:c>
      <x:c r="AG188" s="43" t="n">
        <x:v>4707584</x:v>
      </x:c>
      <x:c r="AH188" s="43" t="n">
        <x:v>5001130720</x:v>
      </x:c>
      <x:c r="AI188" s="43" t="n">
        <x:v>1130720</x:v>
      </x:c>
      <x:c r="AJ188" s="43" t="n">
        <x:v>941303.9297641075</x:v>
      </x:c>
      <x:c r="AK188" s="43" t="n">
        <x:v>4707584</x:v>
      </x:c>
      <x:c r="AL188" s="43" t="n">
        <x:v>0</x:v>
      </x:c>
      <x:c r="AM188" s="43" t="n">
        <x:v>554950.9673072835</x:v>
      </x:c>
      <x:c r="AN188" s="43" t="n">
        <x:v>471</x:v>
      </x:c>
      <x:c r="AO188" s="43" t="n">
        <x:v>2044</x:v>
      </x:c>
      <x:c r="AP188" s="43" t="n">
        <x:v>287445</x:v>
      </x:c>
      <x:c r="AQ188" s="43" t="n">
        <x:v>73556</x:v>
      </x:c>
      <x:c r="AR188" s="43" t="n">
        <x:v>1</x:v>
      </x:c>
      <x:c r="AS188" s="45" t="b">
        <x:v>1</x:v>
      </x:c>
      <x:c r="AT188" s="43" t="n">
        <x:v>10000</x:v>
      </x:c>
      <x:c r="AU188" s="48" t="n">
        <x:v>0.9496792834710969</x:v>
      </x:c>
      <x:c r="AV188" s="43" t="n">
        <x:v>10000</x:v>
      </x:c>
      <x:c r="AW188" s="48" t="n">
        <x:v>0.9496792834710969</x:v>
      </x:c>
      <x:c r="AX188" s="45" t="b">
        <x:v>1</x:v>
      </x:c>
      <x:c r="AY188" s="44" t="str">
        <x:v>{"provider":"jcs4","currentEntries":10000,"requestCount":4707584,"hitCount":4470695,"missCount":236889,"hitRate":0.9496792834710969,"loadSuccessCount":0,"loadFailureCount":0,"totalLoadTimeNanos":0,"evictionCount":-1,"expirationCount":-1,"putCount":10000,"removeCount":0,"nativeMetrics":{"HitCountRam":4470695,"Composite.HitCountRam":4470695,"HitCountAux":0,"Composite.HitCountAux":0,"Put Count":10000,"Memory Cache.Put Count":10000,"Hit Count":4470695,"Memory Cache.Hit Count":4470695,"Miss Count":236889,"Memory Cache.Miss Count":236889,"Map Size":10000,"Memory Cache.Map Size":10000,"List Size":10000,"Memory Cache.List Size":10000}}</x:v>
      </x:c>
      <x:c r="AZ188" s="44" t="str">
        <x:v>{"provider":"jcs4","currentEntries":10000,"requestCount":4707584,"hitCount":4470695,"missCount":236889,"hitRate":0.9496792834710969,"loadSuccessCount":0,"loadFailureCount":0,"totalLoadTimeNanos":0,"evictionCount":-1,"expirationCount":-1,"putCount":15000,"removeCount":0,"nativeMetrics":{"HitCountRam":4470695,"Composite.HitCountRam":4470695,"HitCountAux":0,"Composite.HitCountAux":0,"Put Count":15000,"Memory Cache.Put Count":15000,"Hit Count":4470695,"Memory Cache.Hit Count":4470695,"Miss Count":236889,"Memory Cache.Miss Count":236889,"Map Size":10000,"Memory Cache.Map Size":10000,"List Size":10000,"Memory Cache.List Size":10000}}</x:v>
      </x:c>
      <x:c r="BA188" s="43" t="n">
        <x:v>10000</x:v>
      </x:c>
      <x:c r="BB188" s="43" t="n">
        <x:v>4707584</x:v>
      </x:c>
      <x:c r="BC188" s="43" t="n">
        <x:v>4470695</x:v>
      </x:c>
      <x:c r="BD188" s="43" t="n">
        <x:v>236889</x:v>
      </x:c>
      <x:c r="BE188" s="48" t="n">
        <x:v>0.9496792834710969</x:v>
      </x:c>
      <x:c r="BF188" s="43" t="n">
        <x:v>0</x:v>
      </x:c>
      <x:c r="BG188" s="43" t="n">
        <x:v>0</x:v>
      </x:c>
      <x:c r="BH188" s="43" t="n">
        <x:v>0</x:v>
      </x:c>
      <x:c r="BI188" s="43" t="n">
        <x:v>-1</x:v>
      </x:c>
      <x:c r="BJ188" s="43" t="n">
        <x:v>-1</x:v>
      </x:c>
      <x:c r="BK188" s="43" t="n">
        <x:v>15000</x:v>
      </x:c>
      <x:c r="BL188" s="43" t="n">
        <x:v>0</x:v>
      </x:c>
      <x:c r="BM188" s="44" t="str">
        <x:v>{"HitCountRam":4470695,"Composite.HitCountRam":4470695,"HitCountAux":0,"Composite.HitCountAux":0,"Put Count":15000,"Memory Cache.Put Count":15000,"Hit Count":4470695,"Memory Cache.Hit Count":4470695,"Miss Count":236889,"Memory Cache.Miss Count":236889,"Map Size":10000,"Memory Cache.Map Size":10000,"List Size":10000,"Memory Cache.List Size":10000}</x:v>
      </x:c>
    </x:row>
    <x:row r="189">
      <x:c r="A189" s="34" t="str">
        <x:v>article1-unified-v4-2-fb3f101b-20260903-000401-default-f04-p1-jcs4</x:v>
      </x:c>
      <x:c r="B189" s="34" t="str">
        <x:v>default</x:v>
      </x:c>
      <x:c r="C189" s="34" t="str">
        <x:v>jcs4</x:v>
      </x:c>
      <x:c r="D189" s="34" t="str">
        <x:v>jcs4</x:v>
      </x:c>
      <x:c r="E189" s="34" t="str">
        <x:v>current-provider-primary-comparison</x:v>
      </x:c>
      <x:c r="F189" s="36" t="n">
        <x:v>4</x:v>
      </x:c>
      <x:c r="G189" s="36" t="n">
        <x:v>4</x:v>
      </x:c>
      <x:c r="H189" s="36" t="n">
        <x:v>1</x:v>
      </x:c>
      <x:c r="I189" s="36" t="n">
        <x:v>4</x:v>
      </x:c>
      <x:c r="J189" s="34" t="str">
        <x:v>redeploy</x:v>
      </x:c>
      <x:c r="K189" s="34" t="str">
        <x:v>cache-semantics</x:v>
      </x:c>
      <x:c r="L189" s="45" t="b">
        <x:v>1</x:v>
      </x:c>
      <x:c r="M189" s="36" t="n">
        <x:v>153065368</x:v>
      </x:c>
      <x:c r="N189" s="34" t="str">
        <x:v>13e2812983530d3984d2699f769b1b94ef065a0bcaeae2fdd816f73034de5703</x:v>
      </x:c>
      <x:c r="O189" s="43" t="n">
        <x:v>10000</x:v>
      </x:c>
      <x:c r="P189" s="43" t="n">
        <x:v>400000</x:v>
      </x:c>
      <x:c r="Q189" s="36" t="n">
        <x:v>8</x:v>
      </x:c>
      <x:c r="R189" s="42" t="n">
        <x:v>95</x:v>
      </x:c>
      <x:c r="S189" s="43" t="n">
        <x:v>512</x:v>
      </x:c>
      <x:c r="T189" s="43" t="n">
        <x:v>50000</x:v>
      </x:c>
      <x:c r="U189" s="46" t="n">
        <x:v>3</x:v>
      </x:c>
      <x:c r="V189" s="46" t="n">
        <x:v>5</x:v>
      </x:c>
      <x:c r="W189" s="43" t="n">
        <x:v>300</x:v>
      </x:c>
      <x:c r="X189" s="34" t="str">
        <x:v>uniform</x:v>
      </x:c>
      <x:c r="Y189" s="42" t="n">
        <x:v>10</x:v>
      </x:c>
      <x:c r="Z189" s="34" t="str">
        <x:v>strict</x:v>
      </x:c>
      <x:c r="AA189" s="36" t="n">
        <x:v>64</x:v>
      </x:c>
      <x:c r="AB189" s="43" t="n">
        <x:v>2457600</x:v>
      </x:c>
      <x:c r="AC189" s="43" t="n">
        <x:v>3001395162</x:v>
      </x:c>
      <x:c r="AD189" s="43" t="n">
        <x:v>1395162</x:v>
      </x:c>
      <x:c r="AE189" s="43" t="n">
        <x:v>2350224.317159951</x:v>
      </x:c>
      <x:c r="AF189" s="43" t="n">
        <x:v>1001727.1188527115</x:v>
      </x:c>
      <x:c r="AG189" s="43" t="n">
        <x:v>5009408</x:v>
      </x:c>
      <x:c r="AH189" s="43" t="n">
        <x:v>5000771074</x:v>
      </x:c>
      <x:c r="AI189" s="43" t="n">
        <x:v>771074</x:v>
      </x:c>
      <x:c r="AJ189" s="43" t="n">
        <x:v>1001727.1188527115</x:v>
      </x:c>
      <x:c r="AK189" s="43" t="n">
        <x:v>5009408</x:v>
      </x:c>
      <x:c r="AL189" s="43" t="n">
        <x:v>0</x:v>
      </x:c>
      <x:c r="AM189" s="43" t="n">
        <x:v>387463.3895529796</x:v>
      </x:c>
      <x:c r="AN189" s="43" t="n">
        <x:v>471</x:v>
      </x:c>
      <x:c r="AO189" s="43" t="n">
        <x:v>1763</x:v>
      </x:c>
      <x:c r="AP189" s="43" t="n">
        <x:v>269670</x:v>
      </x:c>
      <x:c r="AQ189" s="43" t="n">
        <x:v>78272</x:v>
      </x:c>
      <x:c r="AR189" s="43" t="n">
        <x:v>1</x:v>
      </x:c>
      <x:c r="AS189" s="45" t="b">
        <x:v>1</x:v>
      </x:c>
      <x:c r="AT189" s="43" t="n">
        <x:v>10000</x:v>
      </x:c>
      <x:c r="AU189" s="48" t="n">
        <x:v>0.9497038372598119</x:v>
      </x:c>
      <x:c r="AV189" s="43" t="n">
        <x:v>10000</x:v>
      </x:c>
      <x:c r="AW189" s="48" t="n">
        <x:v>0.9497038372598119</x:v>
      </x:c>
      <x:c r="AX189" s="45" t="b">
        <x:v>1</x:v>
      </x:c>
      <x:c r="AY189" s="44" t="str">
        <x:v>{"provider":"jcs4","currentEntries":10000,"requestCount":5009408,"hitCount":4757454,"missCount":251954,"hitRate":0.9497038372598119,"loadSuccessCount":0,"loadFailureCount":0,"totalLoadTimeNanos":0,"evictionCount":-1,"expirationCount":-1,"putCount":10000,"removeCount":0,"nativeMetrics":{"HitCountRam":4757454,"Composite.HitCountRam":4757454,"HitCountAux":0,"Composite.HitCountAux":0,"Put Count":10000,"Memory Cache.Put Count":10000,"Hit Count":4757454,"Memory Cache.Hit Count":4757454,"Miss Count":251954,"Memory Cache.Miss Count":251954,"Map Size":10000,"Memory Cache.Map Size":10000,"List Size":10000,"Memory Cache.List Size":10000}}</x:v>
      </x:c>
      <x:c r="AZ189" s="44" t="str">
        <x:v>{"provider":"jcs4","currentEntries":10000,"requestCount":5009408,"hitCount":4757454,"missCount":251954,"hitRate":0.9497038372598119,"loadSuccessCount":0,"loadFailureCount":0,"totalLoadTimeNanos":0,"evictionCount":-1,"expirationCount":-1,"putCount":15000,"removeCount":0,"nativeMetrics":{"HitCountRam":4757454,"Composite.HitCountRam":4757454,"HitCountAux":0,"Composite.HitCountAux":0,"Put Count":15000,"Memory Cache.Put Count":15000,"Hit Count":4757454,"Memory Cache.Hit Count":4757454,"Miss Count":251954,"Memory Cache.Miss Count":251954,"Map Size":10000,"Memory Cache.Map Size":10000,"List Size":10000,"Memory Cache.List Size":10000}}</x:v>
      </x:c>
      <x:c r="BA189" s="43" t="n">
        <x:v>10000</x:v>
      </x:c>
      <x:c r="BB189" s="43" t="n">
        <x:v>5009408</x:v>
      </x:c>
      <x:c r="BC189" s="43" t="n">
        <x:v>4757454</x:v>
      </x:c>
      <x:c r="BD189" s="43" t="n">
        <x:v>251954</x:v>
      </x:c>
      <x:c r="BE189" s="48" t="n">
        <x:v>0.9497038372598119</x:v>
      </x:c>
      <x:c r="BF189" s="43" t="n">
        <x:v>0</x:v>
      </x:c>
      <x:c r="BG189" s="43" t="n">
        <x:v>0</x:v>
      </x:c>
      <x:c r="BH189" s="43" t="n">
        <x:v>0</x:v>
      </x:c>
      <x:c r="BI189" s="43" t="n">
        <x:v>-1</x:v>
      </x:c>
      <x:c r="BJ189" s="43" t="n">
        <x:v>-1</x:v>
      </x:c>
      <x:c r="BK189" s="43" t="n">
        <x:v>15000</x:v>
      </x:c>
      <x:c r="BL189" s="43" t="n">
        <x:v>0</x:v>
      </x:c>
      <x:c r="BM189" s="44" t="str">
        <x:v>{"HitCountRam":4757454,"Composite.HitCountRam":4757454,"HitCountAux":0,"Composite.HitCountAux":0,"Put Count":15000,"Memory Cache.Put Count":15000,"Hit Count":4757454,"Memory Cache.Hit Count":4757454,"Miss Count":251954,"Memory Cache.Miss Count":251954,"Map Size":10000,"Memory Cache.Map Size":10000,"List Size":10000,"Memory Cache.List Size":10000}</x:v>
      </x:c>
    </x:row>
    <x:row r="190">
      <x:c r="A190" s="34" t="str">
        <x:v>article1-unified-v4-2-fb3f101b-20260903-000401-default-f04-p1-jcs4</x:v>
      </x:c>
      <x:c r="B190" s="34" t="str">
        <x:v>default</x:v>
      </x:c>
      <x:c r="C190" s="34" t="str">
        <x:v>jcs4</x:v>
      </x:c>
      <x:c r="D190" s="34" t="str">
        <x:v>jcs4</x:v>
      </x:c>
      <x:c r="E190" s="34" t="str">
        <x:v>current-provider-primary-comparison</x:v>
      </x:c>
      <x:c r="F190" s="36" t="n">
        <x:v>4</x:v>
      </x:c>
      <x:c r="G190" s="36" t="n">
        <x:v>4</x:v>
      </x:c>
      <x:c r="H190" s="36" t="n">
        <x:v>1</x:v>
      </x:c>
      <x:c r="I190" s="36" t="n">
        <x:v>5</x:v>
      </x:c>
      <x:c r="J190" s="34" t="str">
        <x:v>initial</x:v>
      </x:c>
      <x:c r="K190" s="34" t="str">
        <x:v>cache-semantics</x:v>
      </x:c>
      <x:c r="L190" s="45" t="b">
        <x:v>1</x:v>
      </x:c>
      <x:c r="M190" s="36" t="n">
        <x:v>2019955368</x:v>
      </x:c>
      <x:c r="N190" s="34" t="str">
        <x:v>d64ba2cf71f68a5c314873e1c18092a1a2fe40603628b516f9936c8a249791fe</x:v>
      </x:c>
      <x:c r="O190" s="43" t="n">
        <x:v>10000</x:v>
      </x:c>
      <x:c r="P190" s="43" t="n">
        <x:v>400000</x:v>
      </x:c>
      <x:c r="Q190" s="36" t="n">
        <x:v>8</x:v>
      </x:c>
      <x:c r="R190" s="42" t="n">
        <x:v>95</x:v>
      </x:c>
      <x:c r="S190" s="43" t="n">
        <x:v>512</x:v>
      </x:c>
      <x:c r="T190" s="43" t="n">
        <x:v>50000</x:v>
      </x:c>
      <x:c r="U190" s="46" t="n">
        <x:v>3</x:v>
      </x:c>
      <x:c r="V190" s="46" t="n">
        <x:v>5</x:v>
      </x:c>
      <x:c r="W190" s="43" t="n">
        <x:v>300</x:v>
      </x:c>
      <x:c r="X190" s="34" t="str">
        <x:v>uniform</x:v>
      </x:c>
      <x:c r="Y190" s="42" t="n">
        <x:v>10</x:v>
      </x:c>
      <x:c r="Z190" s="34" t="str">
        <x:v>strict</x:v>
      </x:c>
      <x:c r="AA190" s="36" t="n">
        <x:v>64</x:v>
      </x:c>
      <x:c r="AB190" s="43" t="n">
        <x:v>2159616</x:v>
      </x:c>
      <x:c r="AC190" s="43" t="n">
        <x:v>3001926836</x:v>
      </x:c>
      <x:c r="AD190" s="43" t="n">
        <x:v>1926836</x:v>
      </x:c>
      <x:c r="AE190" s="43" t="n">
        <x:v>2450874.66815157</x:v>
      </x:c>
      <x:c r="AF190" s="43" t="n">
        <x:v>828639.2888723987</x:v>
      </x:c>
      <x:c r="AG190" s="43" t="n">
        <x:v>4143872</x:v>
      </x:c>
      <x:c r="AH190" s="43" t="n">
        <x:v>5000815259</x:v>
      </x:c>
      <x:c r="AI190" s="43" t="n">
        <x:v>815259</x:v>
      </x:c>
      <x:c r="AJ190" s="43" t="n">
        <x:v>828639.2888723987</x:v>
      </x:c>
      <x:c r="AK190" s="43" t="n">
        <x:v>4143872</x:v>
      </x:c>
      <x:c r="AL190" s="43" t="n">
        <x:v>0</x:v>
      </x:c>
      <x:c r="AM190" s="43" t="n">
        <x:v>712959.1011011653</x:v>
      </x:c>
      <x:c r="AN190" s="43" t="n">
        <x:v>591</x:v>
      </x:c>
      <x:c r="AO190" s="43" t="n">
        <x:v>2605</x:v>
      </x:c>
      <x:c r="AP190" s="43" t="n">
        <x:v>287649</x:v>
      </x:c>
      <x:c r="AQ190" s="43" t="n">
        <x:v>64748</x:v>
      </x:c>
      <x:c r="AR190" s="43" t="n">
        <x:v>1</x:v>
      </x:c>
      <x:c r="AS190" s="45" t="b">
        <x:v>1</x:v>
      </x:c>
      <x:c r="AT190" s="43" t="n">
        <x:v>10000</x:v>
      </x:c>
      <x:c r="AU190" s="48" t="n">
        <x:v>0.9497704079662692</x:v>
      </x:c>
      <x:c r="AV190" s="43" t="n">
        <x:v>10000</x:v>
      </x:c>
      <x:c r="AW190" s="48" t="n">
        <x:v>0.9497704079662692</x:v>
      </x:c>
      <x:c r="AX190" s="45" t="b">
        <x:v>1</x:v>
      </x:c>
      <x:c r="AY190" s="44" t="str">
        <x:v>{"provider":"jcs4","currentEntries":10000,"requestCount":4143872,"hitCount":3935727,"missCount":208145,"hitRate":0.9497704079662692,"loadSuccessCount":0,"loadFailureCount":0,"totalLoadTimeNanos":0,"evictionCount":-1,"expirationCount":-1,"putCount":10000,"removeCount":0,"nativeMetrics":{"HitCountRam":3935727,"Composite.HitCountRam":3935727,"HitCountAux":0,"Composite.HitCountAux":0,"Put Count":10000,"Memory Cache.Put Count":10000,"Hit Count":3935727,"Memory Cache.Hit Count":3935727,"Miss Count":208145,"Memory Cache.Miss Count":208145,"Map Size":10000,"Memory Cache.Map Size":10000,"List Size":10000,"Memory Cache.List Size":10000}}</x:v>
      </x:c>
      <x:c r="AZ190" s="44" t="str">
        <x:v>{"provider":"jcs4","currentEntries":10000,"requestCount":4143872,"hitCount":3935727,"missCount":208145,"hitRate":0.9497704079662692,"loadSuccessCount":0,"loadFailureCount":0,"totalLoadTimeNanos":0,"evictionCount":-1,"expirationCount":-1,"putCount":15000,"removeCount":0,"nativeMetrics":{"HitCountRam":3935727,"Composite.HitCountRam":3935727,"HitCountAux":0,"Composite.HitCountAux":0,"Put Count":15000,"Memory Cache.Put Count":15000,"Hit Count":3935727,"Memory Cache.Hit Count":3935727,"Miss Count":208145,"Memory Cache.Miss Count":208145,"Map Size":10000,"Memory Cache.Map Size":10000,"List Size":10000,"Memory Cache.List Size":10000}}</x:v>
      </x:c>
      <x:c r="BA190" s="43" t="n">
        <x:v>10000</x:v>
      </x:c>
      <x:c r="BB190" s="43" t="n">
        <x:v>4143872</x:v>
      </x:c>
      <x:c r="BC190" s="43" t="n">
        <x:v>3935727</x:v>
      </x:c>
      <x:c r="BD190" s="43" t="n">
        <x:v>208145</x:v>
      </x:c>
      <x:c r="BE190" s="48" t="n">
        <x:v>0.9497704079662692</x:v>
      </x:c>
      <x:c r="BF190" s="43" t="n">
        <x:v>0</x:v>
      </x:c>
      <x:c r="BG190" s="43" t="n">
        <x:v>0</x:v>
      </x:c>
      <x:c r="BH190" s="43" t="n">
        <x:v>0</x:v>
      </x:c>
      <x:c r="BI190" s="43" t="n">
        <x:v>-1</x:v>
      </x:c>
      <x:c r="BJ190" s="43" t="n">
        <x:v>-1</x:v>
      </x:c>
      <x:c r="BK190" s="43" t="n">
        <x:v>15000</x:v>
      </x:c>
      <x:c r="BL190" s="43" t="n">
        <x:v>0</x:v>
      </x:c>
      <x:c r="BM190" s="44" t="str">
        <x:v>{"HitCountRam":3935727,"Composite.HitCountRam":3935727,"HitCountAux":0,"Composite.HitCountAux":0,"Put Count":15000,"Memory Cache.Put Count":15000,"Hit Count":3935727,"Memory Cache.Hit Count":3935727,"Miss Count":208145,"Memory Cache.Miss Count":208145,"Map Size":10000,"Memory Cache.Map Size":10000,"List Size":10000,"Memory Cache.List Size":10000}</x:v>
      </x:c>
    </x:row>
    <x:row r="191">
      <x:c r="A191" s="34" t="str">
        <x:v>article1-unified-v4-2-fb3f101b-20260903-000401-default-f04-p1-jcs4</x:v>
      </x:c>
      <x:c r="B191" s="34" t="str">
        <x:v>default</x:v>
      </x:c>
      <x:c r="C191" s="34" t="str">
        <x:v>jcs4</x:v>
      </x:c>
      <x:c r="D191" s="34" t="str">
        <x:v>jcs4</x:v>
      </x:c>
      <x:c r="E191" s="34" t="str">
        <x:v>current-provider-primary-comparison</x:v>
      </x:c>
      <x:c r="F191" s="36" t="n">
        <x:v>4</x:v>
      </x:c>
      <x:c r="G191" s="36" t="n">
        <x:v>4</x:v>
      </x:c>
      <x:c r="H191" s="36" t="n">
        <x:v>1</x:v>
      </x:c>
      <x:c r="I191" s="36" t="n">
        <x:v>5</x:v>
      </x:c>
      <x:c r="J191" s="34" t="str">
        <x:v>redeploy</x:v>
      </x:c>
      <x:c r="K191" s="34" t="str">
        <x:v>cache-semantics</x:v>
      </x:c>
      <x:c r="L191" s="45" t="b">
        <x:v>1</x:v>
      </x:c>
      <x:c r="M191" s="36" t="n">
        <x:v>2019955368</x:v>
      </x:c>
      <x:c r="N191" s="34" t="str">
        <x:v>d64ba2cf71f68a5c314873e1c18092a1a2fe40603628b516f9936c8a249791fe</x:v>
      </x:c>
      <x:c r="O191" s="43" t="n">
        <x:v>10000</x:v>
      </x:c>
      <x:c r="P191" s="43" t="n">
        <x:v>400000</x:v>
      </x:c>
      <x:c r="Q191" s="36" t="n">
        <x:v>8</x:v>
      </x:c>
      <x:c r="R191" s="42" t="n">
        <x:v>95</x:v>
      </x:c>
      <x:c r="S191" s="43" t="n">
        <x:v>512</x:v>
      </x:c>
      <x:c r="T191" s="43" t="n">
        <x:v>50000</x:v>
      </x:c>
      <x:c r="U191" s="46" t="n">
        <x:v>3</x:v>
      </x:c>
      <x:c r="V191" s="46" t="n">
        <x:v>5</x:v>
      </x:c>
      <x:c r="W191" s="43" t="n">
        <x:v>300</x:v>
      </x:c>
      <x:c r="X191" s="34" t="str">
        <x:v>uniform</x:v>
      </x:c>
      <x:c r="Y191" s="42" t="n">
        <x:v>10</x:v>
      </x:c>
      <x:c r="Z191" s="34" t="str">
        <x:v>strict</x:v>
      </x:c>
      <x:c r="AA191" s="36" t="n">
        <x:v>64</x:v>
      </x:c>
      <x:c r="AB191" s="43" t="n">
        <x:v>2847232</x:v>
      </x:c>
      <x:c r="AC191" s="43" t="n">
        <x:v>3001376640</x:v>
      </x:c>
      <x:c r="AD191" s="43" t="n">
        <x:v>1376640</x:v>
      </x:c>
      <x:c r="AE191" s="43" t="n">
        <x:v>3933870.0705657615</x:v>
      </x:c>
      <x:c r="AF191" s="43" t="n">
        <x:v>1154624.1008649531</x:v>
      </x:c>
      <x:c r="AG191" s="43" t="n">
        <x:v>5774592</x:v>
      </x:c>
      <x:c r="AH191" s="43" t="n">
        <x:v>5001274437</x:v>
      </x:c>
      <x:c r="AI191" s="43" t="n">
        <x:v>1274437</x:v>
      </x:c>
      <x:c r="AJ191" s="43" t="n">
        <x:v>1154624.1008649531</x:v>
      </x:c>
      <x:c r="AK191" s="43" t="n">
        <x:v>5774592</x:v>
      </x:c>
      <x:c r="AL191" s="43" t="n">
        <x:v>0</x:v>
      </x:c>
      <x:c r="AM191" s="43" t="n">
        <x:v>452907.86323233275</x:v>
      </x:c>
      <x:c r="AN191" s="43" t="n">
        <x:v>380</x:v>
      </x:c>
      <x:c r="AO191" s="43" t="n">
        <x:v>1423</x:v>
      </x:c>
      <x:c r="AP191" s="43" t="n">
        <x:v>265702</x:v>
      </x:c>
      <x:c r="AQ191" s="43" t="n">
        <x:v>90228</x:v>
      </x:c>
      <x:c r="AR191" s="43" t="n">
        <x:v>1</x:v>
      </x:c>
      <x:c r="AS191" s="45" t="b">
        <x:v>1</x:v>
      </x:c>
      <x:c r="AT191" s="43" t="n">
        <x:v>10000</x:v>
      </x:c>
      <x:c r="AU191" s="48" t="n">
        <x:v>0.9497751529458704</x:v>
      </x:c>
      <x:c r="AV191" s="43" t="n">
        <x:v>10000</x:v>
      </x:c>
      <x:c r="AW191" s="48" t="n">
        <x:v>0.9497751529458704</x:v>
      </x:c>
      <x:c r="AX191" s="45" t="b">
        <x:v>1</x:v>
      </x:c>
      <x:c r="AY191" s="44" t="str">
        <x:v>{"provider":"jcs4","currentEntries":10000,"requestCount":5774592,"hitCount":5484564,"missCount":290028,"hitRate":0.9497751529458704,"loadSuccessCount":0,"loadFailureCount":0,"totalLoadTimeNanos":0,"evictionCount":-1,"expirationCount":-1,"putCount":10000,"removeCount":0,"nativeMetrics":{"HitCountRam":5484564,"Composite.HitCountRam":5484564,"HitCountAux":0,"Composite.HitCountAux":0,"Put Count":10000,"Memory Cache.Put Count":10000,"Hit Count":5484564,"Memory Cache.Hit Count":5484564,"Miss Count":290028,"Memory Cache.Miss Count":290028,"Map Size":10000,"Memory Cache.Map Size":10000,"List Size":10000,"Memory Cache.List Size":10000}}</x:v>
      </x:c>
      <x:c r="AZ191" s="44" t="str">
        <x:v>{"provider":"jcs4","currentEntries":10000,"requestCount":5774592,"hitCount":5484564,"missCount":290028,"hitRate":0.9497751529458704,"loadSuccessCount":0,"loadFailureCount":0,"totalLoadTimeNanos":0,"evictionCount":-1,"expirationCount":-1,"putCount":15000,"removeCount":0,"nativeMetrics":{"HitCountRam":5484564,"Composite.HitCountRam":5484564,"HitCountAux":0,"Composite.HitCountAux":0,"Put Count":15000,"Memory Cache.Put Count":15000,"Hit Count":5484564,"Memory Cache.Hit Count":5484564,"Miss Count":290028,"Memory Cache.Miss Count":290028,"Map Size":10000,"Memory Cache.Map Size":10000,"List Size":10000,"Memory Cache.List Size":10000}}</x:v>
      </x:c>
      <x:c r="BA191" s="43" t="n">
        <x:v>10000</x:v>
      </x:c>
      <x:c r="BB191" s="43" t="n">
        <x:v>5774592</x:v>
      </x:c>
      <x:c r="BC191" s="43" t="n">
        <x:v>5484564</x:v>
      </x:c>
      <x:c r="BD191" s="43" t="n">
        <x:v>290028</x:v>
      </x:c>
      <x:c r="BE191" s="48" t="n">
        <x:v>0.9497751529458704</x:v>
      </x:c>
      <x:c r="BF191" s="43" t="n">
        <x:v>0</x:v>
      </x:c>
      <x:c r="BG191" s="43" t="n">
        <x:v>0</x:v>
      </x:c>
      <x:c r="BH191" s="43" t="n">
        <x:v>0</x:v>
      </x:c>
      <x:c r="BI191" s="43" t="n">
        <x:v>-1</x:v>
      </x:c>
      <x:c r="BJ191" s="43" t="n">
        <x:v>-1</x:v>
      </x:c>
      <x:c r="BK191" s="43" t="n">
        <x:v>15000</x:v>
      </x:c>
      <x:c r="BL191" s="43" t="n">
        <x:v>0</x:v>
      </x:c>
      <x:c r="BM191" s="44" t="str">
        <x:v>{"HitCountRam":5484564,"Composite.HitCountRam":5484564,"HitCountAux":0,"Composite.HitCountAux":0,"Put Count":15000,"Memory Cache.Put Count":15000,"Hit Count":5484564,"Memory Cache.Hit Count":5484564,"Miss Count":290028,"Memory Cache.Miss Count":290028,"Map Size":10000,"Memory Cache.Map Size":10000,"List Size":10000,"Memory Cache.List Size":10000}</x:v>
      </x:c>
    </x:row>
    <x:row r="192">
      <x:c r="A192" s="34" t="str">
        <x:v>article1-unified-v4-2-fb3f101b-20260903-000401-default-f04-p2-jcs321</x:v>
      </x:c>
      <x:c r="B192" s="34" t="str">
        <x:v>default</x:v>
      </x:c>
      <x:c r="C192" s="34" t="str">
        <x:v>jcs321</x:v>
      </x:c>
      <x:c r="D192" s="34" t="str">
        <x:v>jcs321</x:v>
      </x:c>
      <x:c r="E192" s="34" t="str">
        <x:v>JCS-248-positive-control</x:v>
      </x:c>
      <x:c r="F192" s="36" t="n">
        <x:v>4</x:v>
      </x:c>
      <x:c r="G192" s="36" t="n">
        <x:v>4</x:v>
      </x:c>
      <x:c r="H192" s="36" t="n">
        <x:v>2</x:v>
      </x:c>
      <x:c r="I192" s="36" t="n">
        <x:v>1</x:v>
      </x:c>
      <x:c r="J192" s="34" t="str">
        <x:v>initial</x:v>
      </x:c>
      <x:c r="K192" s="34" t="str">
        <x:v>cache-semantics</x:v>
      </x:c>
      <x:c r="L192" s="45" t="b">
        <x:v>0</x:v>
      </x:c>
      <x:c r="M192" s="36" t="n">
        <x:v>850092908</x:v>
      </x:c>
      <x:c r="N192" s="34" t="str">
        <x:v>c3fbbc14afc1687ffa7ecbca17e8ff73fcb319ce839d0fb032082700ff0dfb34</x:v>
      </x:c>
      <x:c r="O192" s="43" t="n">
        <x:v>10000</x:v>
      </x:c>
      <x:c r="P192" s="43" t="n">
        <x:v>400000</x:v>
      </x:c>
      <x:c r="Q192" s="36" t="n">
        <x:v>8</x:v>
      </x:c>
      <x:c r="R192" s="42" t="n">
        <x:v>95</x:v>
      </x:c>
      <x:c r="S192" s="43" t="n">
        <x:v>512</x:v>
      </x:c>
      <x:c r="T192" s="43" t="n">
        <x:v>50000</x:v>
      </x:c>
      <x:c r="U192" s="46" t="n">
        <x:v>3</x:v>
      </x:c>
      <x:c r="V192" s="46" t="n">
        <x:v>5</x:v>
      </x:c>
      <x:c r="W192" s="43" t="n">
        <x:v>300</x:v>
      </x:c>
      <x:c r="X192" s="34" t="str">
        <x:v>uniform</x:v>
      </x:c>
      <x:c r="Y192" s="42" t="n">
        <x:v>10</x:v>
      </x:c>
      <x:c r="Z192" s="34" t="str">
        <x:v>strict</x:v>
      </x:c>
      <x:c r="AA192" s="36" t="n">
        <x:v>64</x:v>
      </x:c>
      <x:c r="AB192" s="43" t="n">
        <x:v>5960960</x:v>
      </x:c>
      <x:c r="AC192" s="43" t="n">
        <x:v>3001027489</x:v>
      </x:c>
      <x:c r="AD192" s="43" t="n">
        <x:v>1027489</x:v>
      </x:c>
      <x:c r="AE192" s="43" t="n">
        <x:v>2497196.896483697</x:v>
      </x:c>
      <x:c r="AF192" s="43" t="n">
        <x:v>2302313.3934894674</x:v>
      </x:c>
      <x:c r="AG192" s="43" t="n">
        <x:v>11513088</x:v>
      </x:c>
      <x:c r="AH192" s="43" t="n">
        <x:v>5000660654</x:v>
      </x:c>
      <x:c r="AI192" s="43" t="n">
        <x:v>660654</x:v>
      </x:c>
      <x:c r="AJ192" s="43" t="n">
        <x:v>2302313.3934894674</x:v>
      </x:c>
      <x:c r="AK192" s="43" t="n">
        <x:v>11513088</x:v>
      </x:c>
      <x:c r="AL192" s="43" t="n">
        <x:v>0</x:v>
      </x:c>
      <x:c r="AM192" s="43" t="n">
        <x:v>506396.7018585367</x:v>
      </x:c>
      <x:c r="AN192" s="43" t="n">
        <x:v>401</x:v>
      </x:c>
      <x:c r="AO192" s="43" t="n">
        <x:v>1062</x:v>
      </x:c>
      <x:c r="AP192" s="43" t="n">
        <x:v>210367</x:v>
      </x:c>
      <x:c r="AQ192" s="43" t="n">
        <x:v>179892</x:v>
      </x:c>
      <x:c r="AR192" s="43" t="n">
        <x:v>1</x:v>
      </x:c>
      <x:c r="AS192" s="45" t="b">
        <x:v>1</x:v>
      </x:c>
      <x:c r="AT192" s="43" t="n">
        <x:v>10000</x:v>
      </x:c>
      <x:c r="AU192" s="48" t="n">
        <x:v>0.9497332948380139</x:v>
      </x:c>
      <x:c r="AV192" s="43" t="n">
        <x:v>10000</x:v>
      </x:c>
      <x:c r="AW192" s="48" t="n">
        <x:v>0.9497332948380139</x:v>
      </x:c>
      <x:c r="AX192" s="45" t="b">
        <x:v>1</x:v>
      </x:c>
      <x:c r="AY192" s="44" t="str">
        <x:v>{"provider":"jcs321","currentEntries":10000,"requestCount":11513088,"hitCount":10934363,"missCount":578725,"hitRate":0.9497332948380139,"loadSuccessCount":0,"loadFailureCount":0,"totalLoadTimeNanos":0,"evictionCount":-1,"expirationCount":-1,"putCount":10000,"removeCount":0,"nativeMetrics":{"HitCountRam":10934363,"Composite.HitCountRam":10934363,"HitCountAux":0,"Composite.HitCountAux":0,"Put Count":10000,"Memory Cache.Put Count":10000,"Hit Count":10934363,"Memory Cache.Hit Count":10934363,"Miss Count":578725,"Memory Cache.Miss Count":578725,"Map Size":10000,"Memory Cache.Map Size":10000,"List Size":10000,"Memory Cache.List Size":10000}}</x:v>
      </x:c>
      <x:c r="AZ192" s="44" t="str">
        <x:v>{"provider":"jcs321","currentEntries":10000,"requestCount":11513088,"hitCount":10934363,"missCount":578725,"hitRate":0.9497332948380139,"loadSuccessCount":0,"loadFailureCount":0,"totalLoadTimeNanos":0,"evictionCount":-1,"expirationCount":-1,"putCount":15000,"removeCount":0,"nativeMetrics":{"HitCountRam":10934363,"Composite.HitCountRam":10934363,"HitCountAux":0,"Composite.HitCountAux":0,"Put Count":15000,"Memory Cache.Put Count":15000,"Hit Count":10934363,"Memory Cache.Hit Count":10934363,"Miss Count":578725,"Memory Cache.Miss Count":578725,"Map Size":10000,"Memory Cache.Map Size":10000,"List Size":10000,"Memory Cache.List Size":10000}}</x:v>
      </x:c>
      <x:c r="BA192" s="43" t="n">
        <x:v>10000</x:v>
      </x:c>
      <x:c r="BB192" s="43" t="n">
        <x:v>11513088</x:v>
      </x:c>
      <x:c r="BC192" s="43" t="n">
        <x:v>10934363</x:v>
      </x:c>
      <x:c r="BD192" s="43" t="n">
        <x:v>578725</x:v>
      </x:c>
      <x:c r="BE192" s="48" t="n">
        <x:v>0.9497332948380139</x:v>
      </x:c>
      <x:c r="BF192" s="43" t="n">
        <x:v>0</x:v>
      </x:c>
      <x:c r="BG192" s="43" t="n">
        <x:v>0</x:v>
      </x:c>
      <x:c r="BH192" s="43" t="n">
        <x:v>0</x:v>
      </x:c>
      <x:c r="BI192" s="43" t="n">
        <x:v>-1</x:v>
      </x:c>
      <x:c r="BJ192" s="43" t="n">
        <x:v>-1</x:v>
      </x:c>
      <x:c r="BK192" s="43" t="n">
        <x:v>15000</x:v>
      </x:c>
      <x:c r="BL192" s="43" t="n">
        <x:v>0</x:v>
      </x:c>
      <x:c r="BM192" s="44" t="str">
        <x:v>{"HitCountRam":10934363,"Composite.HitCountRam":10934363,"HitCountAux":0,"Composite.HitCountAux":0,"Put Count":15000,"Memory Cache.Put Count":15000,"Hit Count":10934363,"Memory Cache.Hit Count":10934363,"Miss Count":578725,"Memory Cache.Miss Count":578725,"Map Size":10000,"Memory Cache.Map Size":10000,"List Size":10000,"Memory Cache.List Size":10000}</x:v>
      </x:c>
    </x:row>
    <x:row r="193">
      <x:c r="A193" s="34" t="str">
        <x:v>article1-unified-v4-2-fb3f101b-20260903-000401-default-f04-p2-jcs321</x:v>
      </x:c>
      <x:c r="B193" s="34" t="str">
        <x:v>default</x:v>
      </x:c>
      <x:c r="C193" s="34" t="str">
        <x:v>jcs321</x:v>
      </x:c>
      <x:c r="D193" s="34" t="str">
        <x:v>jcs321</x:v>
      </x:c>
      <x:c r="E193" s="34" t="str">
        <x:v>JCS-248-positive-control</x:v>
      </x:c>
      <x:c r="F193" s="36" t="n">
        <x:v>4</x:v>
      </x:c>
      <x:c r="G193" s="36" t="n">
        <x:v>4</x:v>
      </x:c>
      <x:c r="H193" s="36" t="n">
        <x:v>2</x:v>
      </x:c>
      <x:c r="I193" s="36" t="n">
        <x:v>1</x:v>
      </x:c>
      <x:c r="J193" s="34" t="str">
        <x:v>redeploy</x:v>
      </x:c>
      <x:c r="K193" s="34" t="str">
        <x:v>cache-semantics</x:v>
      </x:c>
      <x:c r="L193" s="45" t="b">
        <x:v>0</x:v>
      </x:c>
      <x:c r="M193" s="36" t="n">
        <x:v>850092908</x:v>
      </x:c>
      <x:c r="N193" s="34" t="str">
        <x:v>c3fbbc14afc1687ffa7ecbca17e8ff73fcb319ce839d0fb032082700ff0dfb34</x:v>
      </x:c>
      <x:c r="O193" s="43" t="n">
        <x:v>10000</x:v>
      </x:c>
      <x:c r="P193" s="43" t="n">
        <x:v>400000</x:v>
      </x:c>
      <x:c r="Q193" s="36" t="n">
        <x:v>8</x:v>
      </x:c>
      <x:c r="R193" s="42" t="n">
        <x:v>95</x:v>
      </x:c>
      <x:c r="S193" s="43" t="n">
        <x:v>512</x:v>
      </x:c>
      <x:c r="T193" s="43" t="n">
        <x:v>50000</x:v>
      </x:c>
      <x:c r="U193" s="46" t="n">
        <x:v>3</x:v>
      </x:c>
      <x:c r="V193" s="46" t="n">
        <x:v>5</x:v>
      </x:c>
      <x:c r="W193" s="43" t="n">
        <x:v>300</x:v>
      </x:c>
      <x:c r="X193" s="34" t="str">
        <x:v>uniform</x:v>
      </x:c>
      <x:c r="Y193" s="42" t="n">
        <x:v>10</x:v>
      </x:c>
      <x:c r="Z193" s="34" t="str">
        <x:v>strict</x:v>
      </x:c>
      <x:c r="AA193" s="36" t="n">
        <x:v>64</x:v>
      </x:c>
      <x:c r="AB193" s="43" t="n">
        <x:v>7400192</x:v>
      </x:c>
      <x:c r="AC193" s="43" t="n">
        <x:v>3000680998</x:v>
      </x:c>
      <x:c r="AD193" s="43" t="n">
        <x:v>680998</x:v>
      </x:c>
      <x:c r="AE193" s="43" t="n">
        <x:v>2504293.6113967397</x:v>
      </x:c>
      <x:c r="AF193" s="43" t="n">
        <x:v>2944629.202199689</x:v>
      </x:c>
      <x:c r="AG193" s="43" t="n">
        <x:v>14726400</x:v>
      </x:c>
      <x:c r="AH193" s="43" t="n">
        <x:v>5001105059</x:v>
      </x:c>
      <x:c r="AI193" s="43" t="n">
        <x:v>1105059</x:v>
      </x:c>
      <x:c r="AJ193" s="43" t="n">
        <x:v>2944629.202199689</x:v>
      </x:c>
      <x:c r="AK193" s="43" t="n">
        <x:v>14726400</x:v>
      </x:c>
      <x:c r="AL193" s="43" t="n">
        <x:v>0</x:v>
      </x:c>
      <x:c r="AM193" s="43" t="n">
        <x:v>521561.8900985648</x:v>
      </x:c>
      <x:c r="AN193" s="43" t="n">
        <x:v>271</x:v>
      </x:c>
      <x:c r="AO193" s="43" t="n">
        <x:v>791</x:v>
      </x:c>
      <x:c r="AP193" s="43" t="n">
        <x:v>189551</x:v>
      </x:c>
      <x:c r="AQ193" s="43" t="n">
        <x:v>230100</x:v>
      </x:c>
      <x:c r="AR193" s="43" t="n">
        <x:v>1</x:v>
      </x:c>
      <x:c r="AS193" s="45" t="b">
        <x:v>1</x:v>
      </x:c>
      <x:c r="AT193" s="43" t="n">
        <x:v>10000</x:v>
      </x:c>
      <x:c r="AU193" s="48" t="n">
        <x:v>0.9497361880704042</x:v>
      </x:c>
      <x:c r="AV193" s="43" t="n">
        <x:v>10000</x:v>
      </x:c>
      <x:c r="AW193" s="48" t="n">
        <x:v>0.9497361880704042</x:v>
      </x:c>
      <x:c r="AX193" s="45" t="b">
        <x:v>1</x:v>
      </x:c>
      <x:c r="AY193" s="44" t="str">
        <x:v>{"provider":"jcs321","currentEntries":10000,"requestCount":14726400,"hitCount":13986195,"missCount":740205,"hitRate":0.9497361880704042,"loadSuccessCount":0,"loadFailureCount":0,"totalLoadTimeNanos":0,"evictionCount":-1,"expirationCount":-1,"putCount":10000,"removeCount":0,"nativeMetrics":{"HitCountRam":13986195,"Composite.HitCountRam":13986195,"HitCountAux":0,"Composite.HitCountAux":0,"Put Count":10000,"Memory Cache.Put Count":10000,"Hit Count":13986195,"Memory Cache.Hit Count":13986195,"Miss Count":740205,"Memory Cache.Miss Count":740205,"Map Size":10000,"Memory Cache.Map Size":10000,"List Size":10000,"Memory Cache.List Size":10000}}</x:v>
      </x:c>
      <x:c r="AZ193" s="44" t="str">
        <x:v>{"provider":"jcs321","currentEntries":10000,"requestCount":14726400,"hitCount":13986195,"missCount":740205,"hitRate":0.9497361880704042,"loadSuccessCount":0,"loadFailureCount":0,"totalLoadTimeNanos":0,"evictionCount":-1,"expirationCount":-1,"putCount":15000,"removeCount":0,"nativeMetrics":{"HitCountRam":13986195,"Composite.HitCountRam":13986195,"HitCountAux":0,"Composite.HitCountAux":0,"Put Count":15000,"Memory Cache.Put Count":15000,"Hit Count":13986195,"Memory Cache.Hit Count":13986195,"Miss Count":740205,"Memory Cache.Miss Count":740205,"Map Size":10000,"Memory Cache.Map Size":10000,"List Size":10000,"Memory Cache.List Size":10000}}</x:v>
      </x:c>
      <x:c r="BA193" s="43" t="n">
        <x:v>10000</x:v>
      </x:c>
      <x:c r="BB193" s="43" t="n">
        <x:v>14726400</x:v>
      </x:c>
      <x:c r="BC193" s="43" t="n">
        <x:v>13986195</x:v>
      </x:c>
      <x:c r="BD193" s="43" t="n">
        <x:v>740205</x:v>
      </x:c>
      <x:c r="BE193" s="48" t="n">
        <x:v>0.9497361880704042</x:v>
      </x:c>
      <x:c r="BF193" s="43" t="n">
        <x:v>0</x:v>
      </x:c>
      <x:c r="BG193" s="43" t="n">
        <x:v>0</x:v>
      </x:c>
      <x:c r="BH193" s="43" t="n">
        <x:v>0</x:v>
      </x:c>
      <x:c r="BI193" s="43" t="n">
        <x:v>-1</x:v>
      </x:c>
      <x:c r="BJ193" s="43" t="n">
        <x:v>-1</x:v>
      </x:c>
      <x:c r="BK193" s="43" t="n">
        <x:v>15000</x:v>
      </x:c>
      <x:c r="BL193" s="43" t="n">
        <x:v>0</x:v>
      </x:c>
      <x:c r="BM193" s="44" t="str">
        <x:v>{"HitCountRam":13986195,"Composite.HitCountRam":13986195,"HitCountAux":0,"Composite.HitCountAux":0,"Put Count":15000,"Memory Cache.Put Count":15000,"Hit Count":13986195,"Memory Cache.Hit Count":13986195,"Miss Count":740205,"Memory Cache.Miss Count":740205,"Map Size":10000,"Memory Cache.Map Size":10000,"List Size":10000,"Memory Cache.List Size":10000}</x:v>
      </x:c>
    </x:row>
    <x:row r="194">
      <x:c r="A194" s="34" t="str">
        <x:v>article1-unified-v4-2-fb3f101b-20260903-000401-default-f04-p2-jcs321</x:v>
      </x:c>
      <x:c r="B194" s="34" t="str">
        <x:v>default</x:v>
      </x:c>
      <x:c r="C194" s="34" t="str">
        <x:v>jcs321</x:v>
      </x:c>
      <x:c r="D194" s="34" t="str">
        <x:v>jcs321</x:v>
      </x:c>
      <x:c r="E194" s="34" t="str">
        <x:v>JCS-248-positive-control</x:v>
      </x:c>
      <x:c r="F194" s="36" t="n">
        <x:v>4</x:v>
      </x:c>
      <x:c r="G194" s="36" t="n">
        <x:v>4</x:v>
      </x:c>
      <x:c r="H194" s="36" t="n">
        <x:v>2</x:v>
      </x:c>
      <x:c r="I194" s="36" t="n">
        <x:v>2</x:v>
      </x:c>
      <x:c r="J194" s="34" t="str">
        <x:v>initial</x:v>
      </x:c>
      <x:c r="K194" s="34" t="str">
        <x:v>cache-semantics</x:v>
      </x:c>
      <x:c r="L194" s="45" t="b">
        <x:v>0</x:v>
      </x:c>
      <x:c r="M194" s="36" t="n">
        <x:v>972724800</x:v>
      </x:c>
      <x:c r="N194" s="34" t="str">
        <x:v>622a36620fa8caac2865206ddff77d854d1b43b1dd314943f9681ddaa3b0eea1</x:v>
      </x:c>
      <x:c r="O194" s="43" t="n">
        <x:v>10000</x:v>
      </x:c>
      <x:c r="P194" s="43" t="n">
        <x:v>400000</x:v>
      </x:c>
      <x:c r="Q194" s="36" t="n">
        <x:v>8</x:v>
      </x:c>
      <x:c r="R194" s="42" t="n">
        <x:v>95</x:v>
      </x:c>
      <x:c r="S194" s="43" t="n">
        <x:v>512</x:v>
      </x:c>
      <x:c r="T194" s="43" t="n">
        <x:v>50000</x:v>
      </x:c>
      <x:c r="U194" s="46" t="n">
        <x:v>3</x:v>
      </x:c>
      <x:c r="V194" s="46" t="n">
        <x:v>5</x:v>
      </x:c>
      <x:c r="W194" s="43" t="n">
        <x:v>300</x:v>
      </x:c>
      <x:c r="X194" s="34" t="str">
        <x:v>uniform</x:v>
      </x:c>
      <x:c r="Y194" s="42" t="n">
        <x:v>10</x:v>
      </x:c>
      <x:c r="Z194" s="34" t="str">
        <x:v>strict</x:v>
      </x:c>
      <x:c r="AA194" s="36" t="n">
        <x:v>64</x:v>
      </x:c>
      <x:c r="AB194" s="43" t="n">
        <x:v>7651584</x:v>
      </x:c>
      <x:c r="AC194" s="43" t="n">
        <x:v>3000610277</x:v>
      </x:c>
      <x:c r="AD194" s="43" t="n">
        <x:v>610277</x:v>
      </x:c>
      <x:c r="AE194" s="43" t="n">
        <x:v>3521051.1323524388</x:v>
      </x:c>
      <x:c r="AF194" s="43" t="n">
        <x:v>2951159.9582373267</x:v>
      </x:c>
      <x:c r="AG194" s="43" t="n">
        <x:v>14761984</x:v>
      </x:c>
      <x:c r="AH194" s="43" t="n">
        <x:v>5002095518</x:v>
      </x:c>
      <x:c r="AI194" s="43" t="n">
        <x:v>2095518</x:v>
      </x:c>
      <x:c r="AJ194" s="43" t="n">
        <x:v>2951159.9582373267</x:v>
      </x:c>
      <x:c r="AK194" s="43" t="n">
        <x:v>14761984</x:v>
      </x:c>
      <x:c r="AL194" s="43" t="n">
        <x:v>0</x:v>
      </x:c>
      <x:c r="AM194" s="43" t="n">
        <x:v>396127.01860386773</x:v>
      </x:c>
      <x:c r="AN194" s="43" t="n">
        <x:v>280</x:v>
      </x:c>
      <x:c r="AO194" s="43" t="n">
        <x:v>821</x:v>
      </x:c>
      <x:c r="AP194" s="43" t="n">
        <x:v>187369</x:v>
      </x:c>
      <x:c r="AQ194" s="43" t="n">
        <x:v>230656</x:v>
      </x:c>
      <x:c r="AR194" s="43" t="n">
        <x:v>1</x:v>
      </x:c>
      <x:c r="AS194" s="45" t="b">
        <x:v>1</x:v>
      </x:c>
      <x:c r="AT194" s="43" t="n">
        <x:v>10000</x:v>
      </x:c>
      <x:c r="AU194" s="48" t="n">
        <x:v>0.9501726190734253</x:v>
      </x:c>
      <x:c r="AV194" s="43" t="n">
        <x:v>10000</x:v>
      </x:c>
      <x:c r="AW194" s="48" t="n">
        <x:v>0.9501726190734253</x:v>
      </x:c>
      <x:c r="AX194" s="45" t="b">
        <x:v>1</x:v>
      </x:c>
      <x:c r="AY194" s="44" t="str">
        <x:v>{"provider":"jcs321","currentEntries":10000,"requestCount":14761984,"hitCount":14026433,"missCount":735551,"hitRate":0.9501726190734253,"loadSuccessCount":0,"loadFailureCount":0,"totalLoadTimeNanos":0,"evictionCount":-1,"expirationCount":-1,"putCount":10000,"removeCount":0,"nativeMetrics":{"HitCountRam":14026433,"Composite.HitCountRam":14026433,"HitCountAux":0,"Composite.HitCountAux":0,"Put Count":10000,"Memory Cache.Put Count":10000,"Hit Count":14026433,"Memory Cache.Hit Count":14026433,"Miss Count":735551,"Memory Cache.Miss Count":735551,"Map Size":10000,"Memory Cache.Map Size":10000,"List Size":10000,"Memory Cache.List Size":10000}}</x:v>
      </x:c>
      <x:c r="AZ194" s="44" t="str">
        <x:v>{"provider":"jcs321","currentEntries":10000,"requestCount":14761984,"hitCount":14026433,"missCount":735551,"hitRate":0.9501726190734253,"loadSuccessCount":0,"loadFailureCount":0,"totalLoadTimeNanos":0,"evictionCount":-1,"expirationCount":-1,"putCount":15000,"removeCount":0,"nativeMetrics":{"HitCountRam":14026433,"Composite.HitCountRam":14026433,"HitCountAux":0,"Composite.HitCountAux":0,"Put Count":15000,"Memory Cache.Put Count":15000,"Hit Count":14026433,"Memory Cache.Hit Count":14026433,"Miss Count":735551,"Memory Cache.Miss Count":735551,"Map Size":10000,"Memory Cache.Map Size":10000,"List Size":10000,"Memory Cache.List Size":10000}}</x:v>
      </x:c>
      <x:c r="BA194" s="43" t="n">
        <x:v>10000</x:v>
      </x:c>
      <x:c r="BB194" s="43" t="n">
        <x:v>14761984</x:v>
      </x:c>
      <x:c r="BC194" s="43" t="n">
        <x:v>14026433</x:v>
      </x:c>
      <x:c r="BD194" s="43" t="n">
        <x:v>735551</x:v>
      </x:c>
      <x:c r="BE194" s="48" t="n">
        <x:v>0.9501726190734253</x:v>
      </x:c>
      <x:c r="BF194" s="43" t="n">
        <x:v>0</x:v>
      </x:c>
      <x:c r="BG194" s="43" t="n">
        <x:v>0</x:v>
      </x:c>
      <x:c r="BH194" s="43" t="n">
        <x:v>0</x:v>
      </x:c>
      <x:c r="BI194" s="43" t="n">
        <x:v>-1</x:v>
      </x:c>
      <x:c r="BJ194" s="43" t="n">
        <x:v>-1</x:v>
      </x:c>
      <x:c r="BK194" s="43" t="n">
        <x:v>15000</x:v>
      </x:c>
      <x:c r="BL194" s="43" t="n">
        <x:v>0</x:v>
      </x:c>
      <x:c r="BM194" s="44" t="str">
        <x:v>{"HitCountRam":14026433,"Composite.HitCountRam":14026433,"HitCountAux":0,"Composite.HitCountAux":0,"Put Count":15000,"Memory Cache.Put Count":15000,"Hit Count":14026433,"Memory Cache.Hit Count":14026433,"Miss Count":735551,"Memory Cache.Miss Count":735551,"Map Size":10000,"Memory Cache.Map Size":10000,"List Size":10000,"Memory Cache.List Size":10000}</x:v>
      </x:c>
    </x:row>
    <x:row r="195">
      <x:c r="A195" s="34" t="str">
        <x:v>article1-unified-v4-2-fb3f101b-20260903-000401-default-f04-p2-jcs321</x:v>
      </x:c>
      <x:c r="B195" s="34" t="str">
        <x:v>default</x:v>
      </x:c>
      <x:c r="C195" s="34" t="str">
        <x:v>jcs321</x:v>
      </x:c>
      <x:c r="D195" s="34" t="str">
        <x:v>jcs321</x:v>
      </x:c>
      <x:c r="E195" s="34" t="str">
        <x:v>JCS-248-positive-control</x:v>
      </x:c>
      <x:c r="F195" s="36" t="n">
        <x:v>4</x:v>
      </x:c>
      <x:c r="G195" s="36" t="n">
        <x:v>4</x:v>
      </x:c>
      <x:c r="H195" s="36" t="n">
        <x:v>2</x:v>
      </x:c>
      <x:c r="I195" s="36" t="n">
        <x:v>2</x:v>
      </x:c>
      <x:c r="J195" s="34" t="str">
        <x:v>redeploy</x:v>
      </x:c>
      <x:c r="K195" s="34" t="str">
        <x:v>cache-semantics</x:v>
      </x:c>
      <x:c r="L195" s="45" t="b">
        <x:v>0</x:v>
      </x:c>
      <x:c r="M195" s="36" t="n">
        <x:v>972724800</x:v>
      </x:c>
      <x:c r="N195" s="34" t="str">
        <x:v>622a36620fa8caac2865206ddff77d854d1b43b1dd314943f9681ddaa3b0eea1</x:v>
      </x:c>
      <x:c r="O195" s="43" t="n">
        <x:v>10000</x:v>
      </x:c>
      <x:c r="P195" s="43" t="n">
        <x:v>400000</x:v>
      </x:c>
      <x:c r="Q195" s="36" t="n">
        <x:v>8</x:v>
      </x:c>
      <x:c r="R195" s="42" t="n">
        <x:v>95</x:v>
      </x:c>
      <x:c r="S195" s="43" t="n">
        <x:v>512</x:v>
      </x:c>
      <x:c r="T195" s="43" t="n">
        <x:v>50000</x:v>
      </x:c>
      <x:c r="U195" s="46" t="n">
        <x:v>3</x:v>
      </x:c>
      <x:c r="V195" s="46" t="n">
        <x:v>5</x:v>
      </x:c>
      <x:c r="W195" s="43" t="n">
        <x:v>300</x:v>
      </x:c>
      <x:c r="X195" s="34" t="str">
        <x:v>uniform</x:v>
      </x:c>
      <x:c r="Y195" s="42" t="n">
        <x:v>10</x:v>
      </x:c>
      <x:c r="Z195" s="34" t="str">
        <x:v>strict</x:v>
      </x:c>
      <x:c r="AA195" s="36" t="n">
        <x:v>64</x:v>
      </x:c>
      <x:c r="AB195" s="43" t="n">
        <x:v>8368896</x:v>
      </x:c>
      <x:c r="AC195" s="43" t="n">
        <x:v>3000581623</x:v>
      </x:c>
      <x:c r="AD195" s="43" t="n">
        <x:v>581623</x:v>
      </x:c>
      <x:c r="AE195" s="43" t="n">
        <x:v>3608226.033711656</x:v>
      </x:c>
      <x:c r="AF195" s="43" t="n">
        <x:v>2944515.18664375</x:v>
      </x:c>
      <x:c r="AG195" s="43" t="n">
        <x:v>14724352</x:v>
      </x:c>
      <x:c r="AH195" s="43" t="n">
        <x:v>5000603178</x:v>
      </x:c>
      <x:c r="AI195" s="43" t="n">
        <x:v>603178</x:v>
      </x:c>
      <x:c r="AJ195" s="43" t="n">
        <x:v>2944515.18664375</x:v>
      </x:c>
      <x:c r="AK195" s="43" t="n">
        <x:v>14724352</x:v>
      </x:c>
      <x:c r="AL195" s="43" t="n">
        <x:v>0</x:v>
      </x:c>
      <x:c r="AM195" s="43" t="n">
        <x:v>623822.4571343517</x:v>
      </x:c>
      <x:c r="AN195" s="43" t="n">
        <x:v>291</x:v>
      </x:c>
      <x:c r="AO195" s="43" t="n">
        <x:v>812</x:v>
      </x:c>
      <x:c r="AP195" s="43" t="n">
        <x:v>196777</x:v>
      </x:c>
      <x:c r="AQ195" s="43" t="n">
        <x:v>230068</x:v>
      </x:c>
      <x:c r="AR195" s="43" t="n">
        <x:v>1</x:v>
      </x:c>
      <x:c r="AS195" s="45" t="b">
        <x:v>1</x:v>
      </x:c>
      <x:c r="AT195" s="43" t="n">
        <x:v>10000</x:v>
      </x:c>
      <x:c r="AU195" s="48" t="n">
        <x:v>0.9501394696350645</x:v>
      </x:c>
      <x:c r="AV195" s="43" t="n">
        <x:v>10000</x:v>
      </x:c>
      <x:c r="AW195" s="48" t="n">
        <x:v>0.9501394696350645</x:v>
      </x:c>
      <x:c r="AX195" s="45" t="b">
        <x:v>1</x:v>
      </x:c>
      <x:c r="AY195" s="44" t="str">
        <x:v>{"provider":"jcs321","currentEntries":10000,"requestCount":14724352,"hitCount":13990188,"missCount":734164,"hitRate":0.9501394696350645,"loadSuccessCount":0,"loadFailureCount":0,"totalLoadTimeNanos":0,"evictionCount":-1,"expirationCount":-1,"putCount":10000,"removeCount":0,"nativeMetrics":{"HitCountRam":13990188,"Composite.HitCountRam":13990188,"HitCountAux":0,"Composite.HitCountAux":0,"Put Count":10000,"Memory Cache.Put Count":10000,"Hit Count":13990188,"Memory Cache.Hit Count":13990188,"Miss Count":734164,"Memory Cache.Miss Count":734164,"Map Size":10000,"Memory Cache.Map Size":10000,"List Size":10000,"Memory Cache.List Size":10000}}</x:v>
      </x:c>
      <x:c r="AZ195" s="44" t="str">
        <x:v>{"provider":"jcs321","currentEntries":10000,"requestCount":14724352,"hitCount":13990188,"missCount":734164,"hitRate":0.9501394696350645,"loadSuccessCount":0,"loadFailureCount":0,"totalLoadTimeNanos":0,"evictionCount":-1,"expirationCount":-1,"putCount":15000,"removeCount":0,"nativeMetrics":{"HitCountRam":13990188,"Composite.HitCountRam":13990188,"HitCountAux":0,"Composite.HitCountAux":0,"Put Count":15000,"Memory Cache.Put Count":15000,"Hit Count":13990188,"Memory Cache.Hit Count":13990188,"Miss Count":734164,"Memory Cache.Miss Count":734164,"Map Size":10000,"Memory Cache.Map Size":10000,"List Size":10000,"Memory Cache.List Size":10000}}</x:v>
      </x:c>
      <x:c r="BA195" s="43" t="n">
        <x:v>10000</x:v>
      </x:c>
      <x:c r="BB195" s="43" t="n">
        <x:v>14724352</x:v>
      </x:c>
      <x:c r="BC195" s="43" t="n">
        <x:v>13990188</x:v>
      </x:c>
      <x:c r="BD195" s="43" t="n">
        <x:v>734164</x:v>
      </x:c>
      <x:c r="BE195" s="48" t="n">
        <x:v>0.9501394696350645</x:v>
      </x:c>
      <x:c r="BF195" s="43" t="n">
        <x:v>0</x:v>
      </x:c>
      <x:c r="BG195" s="43" t="n">
        <x:v>0</x:v>
      </x:c>
      <x:c r="BH195" s="43" t="n">
        <x:v>0</x:v>
      </x:c>
      <x:c r="BI195" s="43" t="n">
        <x:v>-1</x:v>
      </x:c>
      <x:c r="BJ195" s="43" t="n">
        <x:v>-1</x:v>
      </x:c>
      <x:c r="BK195" s="43" t="n">
        <x:v>15000</x:v>
      </x:c>
      <x:c r="BL195" s="43" t="n">
        <x:v>0</x:v>
      </x:c>
      <x:c r="BM195" s="44" t="str">
        <x:v>{"HitCountRam":13990188,"Composite.HitCountRam":13990188,"HitCountAux":0,"Composite.HitCountAux":0,"Put Count":15000,"Memory Cache.Put Count":15000,"Hit Count":13990188,"Memory Cache.Hit Count":13990188,"Miss Count":734164,"Memory Cache.Miss Count":734164,"Map Size":10000,"Memory Cache.Map Size":10000,"List Size":10000,"Memory Cache.List Size":10000}</x:v>
      </x:c>
    </x:row>
    <x:row r="196">
      <x:c r="A196" s="34" t="str">
        <x:v>article1-unified-v4-2-fb3f101b-20260903-000401-default-f04-p2-jcs321</x:v>
      </x:c>
      <x:c r="B196" s="34" t="str">
        <x:v>default</x:v>
      </x:c>
      <x:c r="C196" s="34" t="str">
        <x:v>jcs321</x:v>
      </x:c>
      <x:c r="D196" s="34" t="str">
        <x:v>jcs321</x:v>
      </x:c>
      <x:c r="E196" s="34" t="str">
        <x:v>JCS-248-positive-control</x:v>
      </x:c>
      <x:c r="F196" s="36" t="n">
        <x:v>4</x:v>
      </x:c>
      <x:c r="G196" s="36" t="n">
        <x:v>4</x:v>
      </x:c>
      <x:c r="H196" s="36" t="n">
        <x:v>2</x:v>
      </x:c>
      <x:c r="I196" s="36" t="n">
        <x:v>3</x:v>
      </x:c>
      <x:c r="J196" s="34" t="str">
        <x:v>initial</x:v>
      </x:c>
      <x:c r="K196" s="34" t="str">
        <x:v>cache-semantics</x:v>
      </x:c>
      <x:c r="L196" s="45" t="b">
        <x:v>0</x:v>
      </x:c>
      <x:c r="M196" s="36" t="n">
        <x:v>1079766481</x:v>
      </x:c>
      <x:c r="N196" s="34" t="str">
        <x:v>2003ab2bf661debde50fa9590451b61ccb907c7e521f8a8e45087b02af93afef</x:v>
      </x:c>
      <x:c r="O196" s="43" t="n">
        <x:v>10000</x:v>
      </x:c>
      <x:c r="P196" s="43" t="n">
        <x:v>400000</x:v>
      </x:c>
      <x:c r="Q196" s="36" t="n">
        <x:v>8</x:v>
      </x:c>
      <x:c r="R196" s="42" t="n">
        <x:v>95</x:v>
      </x:c>
      <x:c r="S196" s="43" t="n">
        <x:v>512</x:v>
      </x:c>
      <x:c r="T196" s="43" t="n">
        <x:v>50000</x:v>
      </x:c>
      <x:c r="U196" s="46" t="n">
        <x:v>3</x:v>
      </x:c>
      <x:c r="V196" s="46" t="n">
        <x:v>5</x:v>
      </x:c>
      <x:c r="W196" s="43" t="n">
        <x:v>300</x:v>
      </x:c>
      <x:c r="X196" s="34" t="str">
        <x:v>uniform</x:v>
      </x:c>
      <x:c r="Y196" s="42" t="n">
        <x:v>10</x:v>
      </x:c>
      <x:c r="Z196" s="34" t="str">
        <x:v>strict</x:v>
      </x:c>
      <x:c r="AA196" s="36" t="n">
        <x:v>64</x:v>
      </x:c>
      <x:c r="AB196" s="43" t="n">
        <x:v>8130816</x:v>
      </x:c>
      <x:c r="AC196" s="43" t="n">
        <x:v>3000445602</x:v>
      </x:c>
      <x:c r="AD196" s="43" t="n">
        <x:v>445602</x:v>
      </x:c>
      <x:c r="AE196" s="43" t="n">
        <x:v>3700548.6433418617</x:v>
      </x:c>
      <x:c r="AF196" s="43" t="n">
        <x:v>2398480.658719392</x:v>
      </x:c>
      <x:c r="AG196" s="43" t="n">
        <x:v>11994112</x:v>
      </x:c>
      <x:c r="AH196" s="43" t="n">
        <x:v>5000712412</x:v>
      </x:c>
      <x:c r="AI196" s="43" t="n">
        <x:v>712412</x:v>
      </x:c>
      <x:c r="AJ196" s="43" t="n">
        <x:v>2398480.658719392</x:v>
      </x:c>
      <x:c r="AK196" s="43" t="n">
        <x:v>11994112</x:v>
      </x:c>
      <x:c r="AL196" s="43" t="n">
        <x:v>0</x:v>
      </x:c>
      <x:c r="AM196" s="43" t="n">
        <x:v>496898.2616709973</x:v>
      </x:c>
      <x:c r="AN196" s="43" t="n">
        <x:v>401</x:v>
      </x:c>
      <x:c r="AO196" s="43" t="n">
        <x:v>1072</x:v>
      </x:c>
      <x:c r="AP196" s="43" t="n">
        <x:v>208028</x:v>
      </x:c>
      <x:c r="AQ196" s="43" t="n">
        <x:v>187408</x:v>
      </x:c>
      <x:c r="AR196" s="43" t="n">
        <x:v>1</x:v>
      </x:c>
      <x:c r="AS196" s="45" t="b">
        <x:v>1</x:v>
      </x:c>
      <x:c r="AT196" s="43" t="n">
        <x:v>10000</x:v>
      </x:c>
      <x:c r="AU196" s="48" t="n">
        <x:v>0.9500504914411337</x:v>
      </x:c>
      <x:c r="AV196" s="43" t="n">
        <x:v>10000</x:v>
      </x:c>
      <x:c r="AW196" s="48" t="n">
        <x:v>0.9500504914411337</x:v>
      </x:c>
      <x:c r="AX196" s="45" t="b">
        <x:v>1</x:v>
      </x:c>
      <x:c r="AY196" s="44" t="str">
        <x:v>{"provider":"jcs321","currentEntries":10000,"requestCount":11994112,"hitCount":11395012,"missCount":599100,"hitRate":0.9500504914411337,"loadSuccessCount":0,"loadFailureCount":0,"totalLoadTimeNanos":0,"evictionCount":-1,"expirationCount":-1,"putCount":10000,"removeCount":0,"nativeMetrics":{"HitCountRam":11395012,"Composite.HitCountRam":11395012,"HitCountAux":0,"Composite.HitCountAux":0,"Put Count":10000,"Memory Cache.Put Count":10000,"Hit Count":11395012,"Memory Cache.Hit Count":11395012,"Miss Count":599100,"Memory Cache.Miss Count":599100,"Map Size":10000,"Memory Cache.Map Size":10000,"List Size":10000,"Memory Cache.List Size":10000}}</x:v>
      </x:c>
      <x:c r="AZ196" s="44" t="str">
        <x:v>{"provider":"jcs321","currentEntries":10000,"requestCount":11994112,"hitCount":11395012,"missCount":599100,"hitRate":0.9500504914411337,"loadSuccessCount":0,"loadFailureCount":0,"totalLoadTimeNanos":0,"evictionCount":-1,"expirationCount":-1,"putCount":15000,"removeCount":0,"nativeMetrics":{"HitCountRam":11395012,"Composite.HitCountRam":11395012,"HitCountAux":0,"Composite.HitCountAux":0,"Put Count":15000,"Memory Cache.Put Count":15000,"Hit Count":11395012,"Memory Cache.Hit Count":11395012,"Miss Count":599100,"Memory Cache.Miss Count":599100,"Map Size":10000,"Memory Cache.Map Size":10000,"List Size":10000,"Memory Cache.List Size":10000}}</x:v>
      </x:c>
      <x:c r="BA196" s="43" t="n">
        <x:v>10000</x:v>
      </x:c>
      <x:c r="BB196" s="43" t="n">
        <x:v>11994112</x:v>
      </x:c>
      <x:c r="BC196" s="43" t="n">
        <x:v>11395012</x:v>
      </x:c>
      <x:c r="BD196" s="43" t="n">
        <x:v>599100</x:v>
      </x:c>
      <x:c r="BE196" s="48" t="n">
        <x:v>0.9500504914411337</x:v>
      </x:c>
      <x:c r="BF196" s="43" t="n">
        <x:v>0</x:v>
      </x:c>
      <x:c r="BG196" s="43" t="n">
        <x:v>0</x:v>
      </x:c>
      <x:c r="BH196" s="43" t="n">
        <x:v>0</x:v>
      </x:c>
      <x:c r="BI196" s="43" t="n">
        <x:v>-1</x:v>
      </x:c>
      <x:c r="BJ196" s="43" t="n">
        <x:v>-1</x:v>
      </x:c>
      <x:c r="BK196" s="43" t="n">
        <x:v>15000</x:v>
      </x:c>
      <x:c r="BL196" s="43" t="n">
        <x:v>0</x:v>
      </x:c>
      <x:c r="BM196" s="44" t="str">
        <x:v>{"HitCountRam":11395012,"Composite.HitCountRam":11395012,"HitCountAux":0,"Composite.HitCountAux":0,"Put Count":15000,"Memory Cache.Put Count":15000,"Hit Count":11395012,"Memory Cache.Hit Count":11395012,"Miss Count":599100,"Memory Cache.Miss Count":599100,"Map Size":10000,"Memory Cache.Map Size":10000,"List Size":10000,"Memory Cache.List Size":10000}</x:v>
      </x:c>
    </x:row>
    <x:row r="197">
      <x:c r="A197" s="34" t="str">
        <x:v>article1-unified-v4-2-fb3f101b-20260903-000401-default-f04-p2-jcs321</x:v>
      </x:c>
      <x:c r="B197" s="34" t="str">
        <x:v>default</x:v>
      </x:c>
      <x:c r="C197" s="34" t="str">
        <x:v>jcs321</x:v>
      </x:c>
      <x:c r="D197" s="34" t="str">
        <x:v>jcs321</x:v>
      </x:c>
      <x:c r="E197" s="34" t="str">
        <x:v>JCS-248-positive-control</x:v>
      </x:c>
      <x:c r="F197" s="36" t="n">
        <x:v>4</x:v>
      </x:c>
      <x:c r="G197" s="36" t="n">
        <x:v>4</x:v>
      </x:c>
      <x:c r="H197" s="36" t="n">
        <x:v>2</x:v>
      </x:c>
      <x:c r="I197" s="36" t="n">
        <x:v>3</x:v>
      </x:c>
      <x:c r="J197" s="34" t="str">
        <x:v>redeploy</x:v>
      </x:c>
      <x:c r="K197" s="34" t="str">
        <x:v>cache-semantics</x:v>
      </x:c>
      <x:c r="L197" s="45" t="b">
        <x:v>0</x:v>
      </x:c>
      <x:c r="M197" s="36" t="n">
        <x:v>1079766481</x:v>
      </x:c>
      <x:c r="N197" s="34" t="str">
        <x:v>2003ab2bf661debde50fa9590451b61ccb907c7e521f8a8e45087b02af93afef</x:v>
      </x:c>
      <x:c r="O197" s="43" t="n">
        <x:v>10000</x:v>
      </x:c>
      <x:c r="P197" s="43" t="n">
        <x:v>400000</x:v>
      </x:c>
      <x:c r="Q197" s="36" t="n">
        <x:v>8</x:v>
      </x:c>
      <x:c r="R197" s="42" t="n">
        <x:v>95</x:v>
      </x:c>
      <x:c r="S197" s="43" t="n">
        <x:v>512</x:v>
      </x:c>
      <x:c r="T197" s="43" t="n">
        <x:v>50000</x:v>
      </x:c>
      <x:c r="U197" s="46" t="n">
        <x:v>3</x:v>
      </x:c>
      <x:c r="V197" s="46" t="n">
        <x:v>5</x:v>
      </x:c>
      <x:c r="W197" s="43" t="n">
        <x:v>300</x:v>
      </x:c>
      <x:c r="X197" s="34" t="str">
        <x:v>uniform</x:v>
      </x:c>
      <x:c r="Y197" s="42" t="n">
        <x:v>10</x:v>
      </x:c>
      <x:c r="Z197" s="34" t="str">
        <x:v>strict</x:v>
      </x:c>
      <x:c r="AA197" s="36" t="n">
        <x:v>64</x:v>
      </x:c>
      <x:c r="AB197" s="43" t="n">
        <x:v>8454144</x:v>
      </x:c>
      <x:c r="AC197" s="43" t="n">
        <x:v>3000587938</x:v>
      </x:c>
      <x:c r="AD197" s="43" t="n">
        <x:v>587938</x:v>
      </x:c>
      <x:c r="AE197" s="43" t="n">
        <x:v>3677352.0711582336</x:v>
      </x:c>
      <x:c r="AF197" s="43" t="n">
        <x:v>3075588.6888472503</x:v>
      </x:c>
      <x:c r="AG197" s="43" t="n">
        <x:v>15379712</x:v>
      </x:c>
      <x:c r="AH197" s="43" t="n">
        <x:v>5000575030</x:v>
      </x:c>
      <x:c r="AI197" s="43" t="n">
        <x:v>575030</x:v>
      </x:c>
      <x:c r="AJ197" s="43" t="n">
        <x:v>3075588.6888472503</x:v>
      </x:c>
      <x:c r="AK197" s="43" t="n">
        <x:v>15379712</x:v>
      </x:c>
      <x:c r="AL197" s="43" t="n">
        <x:v>0</x:v>
      </x:c>
      <x:c r="AM197" s="43" t="n">
        <x:v>613341.7532889225</x:v>
      </x:c>
      <x:c r="AN197" s="43" t="n">
        <x:v>271</x:v>
      </x:c>
      <x:c r="AO197" s="43" t="n">
        <x:v>802</x:v>
      </x:c>
      <x:c r="AP197" s="43" t="n">
        <x:v>185845</x:v>
      </x:c>
      <x:c r="AQ197" s="43" t="n">
        <x:v>240308</x:v>
      </x:c>
      <x:c r="AR197" s="43" t="n">
        <x:v>1</x:v>
      </x:c>
      <x:c r="AS197" s="45" t="b">
        <x:v>1</x:v>
      </x:c>
      <x:c r="AT197" s="43" t="n">
        <x:v>10000</x:v>
      </x:c>
      <x:c r="AU197" s="48" t="n">
        <x:v>0.9500323543119663</x:v>
      </x:c>
      <x:c r="AV197" s="43" t="n">
        <x:v>10000</x:v>
      </x:c>
      <x:c r="AW197" s="48" t="n">
        <x:v>0.9500323543119663</x:v>
      </x:c>
      <x:c r="AX197" s="45" t="b">
        <x:v>1</x:v>
      </x:c>
      <x:c r="AY197" s="44" t="str">
        <x:v>{"provider":"jcs321","currentEntries":10000,"requestCount":15379712,"hitCount":14611224,"missCount":768488,"hitRate":0.9500323543119663,"loadSuccessCount":0,"loadFailureCount":0,"totalLoadTimeNanos":0,"evictionCount":-1,"expirationCount":-1,"putCount":10000,"removeCount":0,"nativeMetrics":{"HitCountRam":14611224,"Composite.HitCountRam":14611224,"HitCountAux":0,"Composite.HitCountAux":0,"Put Count":10000,"Memory Cache.Put Count":10000,"Hit Count":14611224,"Memory Cache.Hit Count":14611224,"Miss Count":768488,"Memory Cache.Miss Count":768488,"Map Size":10000,"Memory Cache.Map Size":10000,"List Size":10000,"Memory Cache.List Size":10000}}</x:v>
      </x:c>
      <x:c r="AZ197" s="44" t="str">
        <x:v>{"provider":"jcs321","currentEntries":10000,"requestCount":15379712,"hitCount":14611224,"missCount":768488,"hitRate":0.9500323543119663,"loadSuccessCount":0,"loadFailureCount":0,"totalLoadTimeNanos":0,"evictionCount":-1,"expirationCount":-1,"putCount":15000,"removeCount":0,"nativeMetrics":{"HitCountRam":14611224,"Composite.HitCountRam":14611224,"HitCountAux":0,"Composite.HitCountAux":0,"Put Count":15000,"Memory Cache.Put Count":15000,"Hit Count":14611224,"Memory Cache.Hit Count":14611224,"Miss Count":768488,"Memory Cache.Miss Count":768488,"Map Size":10000,"Memory Cache.Map Size":10000,"List Size":10000,"Memory Cache.List Size":10000}}</x:v>
      </x:c>
      <x:c r="BA197" s="43" t="n">
        <x:v>10000</x:v>
      </x:c>
      <x:c r="BB197" s="43" t="n">
        <x:v>15379712</x:v>
      </x:c>
      <x:c r="BC197" s="43" t="n">
        <x:v>14611224</x:v>
      </x:c>
      <x:c r="BD197" s="43" t="n">
        <x:v>768488</x:v>
      </x:c>
      <x:c r="BE197" s="48" t="n">
        <x:v>0.9500323543119663</x:v>
      </x:c>
      <x:c r="BF197" s="43" t="n">
        <x:v>0</x:v>
      </x:c>
      <x:c r="BG197" s="43" t="n">
        <x:v>0</x:v>
      </x:c>
      <x:c r="BH197" s="43" t="n">
        <x:v>0</x:v>
      </x:c>
      <x:c r="BI197" s="43" t="n">
        <x:v>-1</x:v>
      </x:c>
      <x:c r="BJ197" s="43" t="n">
        <x:v>-1</x:v>
      </x:c>
      <x:c r="BK197" s="43" t="n">
        <x:v>15000</x:v>
      </x:c>
      <x:c r="BL197" s="43" t="n">
        <x:v>0</x:v>
      </x:c>
      <x:c r="BM197" s="44" t="str">
        <x:v>{"HitCountRam":14611224,"Composite.HitCountRam":14611224,"HitCountAux":0,"Composite.HitCountAux":0,"Put Count":15000,"Memory Cache.Put Count":15000,"Hit Count":14611224,"Memory Cache.Hit Count":14611224,"Miss Count":768488,"Memory Cache.Miss Count":768488,"Map Size":10000,"Memory Cache.Map Size":10000,"List Size":10000,"Memory Cache.List Size":10000}</x:v>
      </x:c>
    </x:row>
    <x:row r="198">
      <x:c r="A198" s="34" t="str">
        <x:v>article1-unified-v4-2-fb3f101b-20260903-000401-default-f04-p2-jcs321</x:v>
      </x:c>
      <x:c r="B198" s="34" t="str">
        <x:v>default</x:v>
      </x:c>
      <x:c r="C198" s="34" t="str">
        <x:v>jcs321</x:v>
      </x:c>
      <x:c r="D198" s="34" t="str">
        <x:v>jcs321</x:v>
      </x:c>
      <x:c r="E198" s="34" t="str">
        <x:v>JCS-248-positive-control</x:v>
      </x:c>
      <x:c r="F198" s="36" t="n">
        <x:v>4</x:v>
      </x:c>
      <x:c r="G198" s="36" t="n">
        <x:v>4</x:v>
      </x:c>
      <x:c r="H198" s="36" t="n">
        <x:v>2</x:v>
      </x:c>
      <x:c r="I198" s="36" t="n">
        <x:v>4</x:v>
      </x:c>
      <x:c r="J198" s="34" t="str">
        <x:v>initial</x:v>
      </x:c>
      <x:c r="K198" s="34" t="str">
        <x:v>cache-semantics</x:v>
      </x:c>
      <x:c r="L198" s="45" t="b">
        <x:v>0</x:v>
      </x:c>
      <x:c r="M198" s="36" t="n">
        <x:v>153065368</x:v>
      </x:c>
      <x:c r="N198" s="34" t="str">
        <x:v>13e2812983530d3984d2699f769b1b94ef065a0bcaeae2fdd816f73034de5703</x:v>
      </x:c>
      <x:c r="O198" s="43" t="n">
        <x:v>10000</x:v>
      </x:c>
      <x:c r="P198" s="43" t="n">
        <x:v>400000</x:v>
      </x:c>
      <x:c r="Q198" s="36" t="n">
        <x:v>8</x:v>
      </x:c>
      <x:c r="R198" s="42" t="n">
        <x:v>95</x:v>
      </x:c>
      <x:c r="S198" s="43" t="n">
        <x:v>512</x:v>
      </x:c>
      <x:c r="T198" s="43" t="n">
        <x:v>50000</x:v>
      </x:c>
      <x:c r="U198" s="46" t="n">
        <x:v>3</x:v>
      </x:c>
      <x:c r="V198" s="46" t="n">
        <x:v>5</x:v>
      </x:c>
      <x:c r="W198" s="43" t="n">
        <x:v>300</x:v>
      </x:c>
      <x:c r="X198" s="34" t="str">
        <x:v>uniform</x:v>
      </x:c>
      <x:c r="Y198" s="42" t="n">
        <x:v>10</x:v>
      </x:c>
      <x:c r="Z198" s="34" t="str">
        <x:v>strict</x:v>
      </x:c>
      <x:c r="AA198" s="36" t="n">
        <x:v>64</x:v>
      </x:c>
      <x:c r="AB198" s="43" t="n">
        <x:v>8710144</x:v>
      </x:c>
      <x:c r="AC198" s="43" t="n">
        <x:v>3000551951</x:v>
      </x:c>
      <x:c r="AD198" s="43" t="n">
        <x:v>551951</x:v>
      </x:c>
      <x:c r="AE198" s="43" t="n">
        <x:v>3356404.136566714</x:v>
      </x:c>
      <x:c r="AF198" s="43" t="n">
        <x:v>2937414.6302280035</x:v>
      </x:c>
      <x:c r="AG198" s="43" t="n">
        <x:v>14689536</x:v>
      </x:c>
      <x:c r="AH198" s="43" t="n">
        <x:v>5000838441</x:v>
      </x:c>
      <x:c r="AI198" s="43" t="n">
        <x:v>838441</x:v>
      </x:c>
      <x:c r="AJ198" s="43" t="n">
        <x:v>2937414.6302280035</x:v>
      </x:c>
      <x:c r="AK198" s="43" t="n">
        <x:v>14689536</x:v>
      </x:c>
      <x:c r="AL198" s="43" t="n">
        <x:v>0</x:v>
      </x:c>
      <x:c r="AM198" s="43" t="n">
        <x:v>602100.0285636254</x:v>
      </x:c>
      <x:c r="AN198" s="43" t="n">
        <x:v>271</x:v>
      </x:c>
      <x:c r="AO198" s="43" t="n">
        <x:v>842</x:v>
      </x:c>
      <x:c r="AP198" s="43" t="n">
        <x:v>195623</x:v>
      </x:c>
      <x:c r="AQ198" s="43" t="n">
        <x:v>229524</x:v>
      </x:c>
      <x:c r="AR198" s="43" t="n">
        <x:v>1</x:v>
      </x:c>
      <x:c r="AS198" s="45" t="b">
        <x:v>1</x:v>
      </x:c>
      <x:c r="AT198" s="43" t="n">
        <x:v>10000</x:v>
      </x:c>
      <x:c r="AU198" s="48" t="n">
        <x:v>0.9496838429750266</x:v>
      </x:c>
      <x:c r="AV198" s="43" t="n">
        <x:v>10000</x:v>
      </x:c>
      <x:c r="AW198" s="48" t="n">
        <x:v>0.9496838429750266</x:v>
      </x:c>
      <x:c r="AX198" s="45" t="b">
        <x:v>1</x:v>
      </x:c>
      <x:c r="AY198" s="44" t="str">
        <x:v>{"provider":"jcs321","currentEntries":10000,"requestCount":14689536,"hitCount":13950415,"missCount":739121,"hitRate":0.9496838429750266,"loadSuccessCount":0,"loadFailureCount":0,"totalLoadTimeNanos":0,"evictionCount":-1,"expirationCount":-1,"putCount":10000,"removeCount":0,"nativeMetrics":{"HitCountRam":13950415,"Composite.HitCountRam":13950415,"HitCountAux":0,"Composite.HitCountAux":0,"Put Count":10000,"Memory Cache.Put Count":10000,"Hit Count":13950415,"Memory Cache.Hit Count":13950415,"Miss Count":739121,"Memory Cache.Miss Count":739121,"Map Size":10000,"Memory Cache.Map Size":10000,"List Size":10000,"Memory Cache.List Size":10000}}</x:v>
      </x:c>
      <x:c r="AZ198" s="44" t="str">
        <x:v>{"provider":"jcs321","currentEntries":10000,"requestCount":14689536,"hitCount":13950415,"missCount":739121,"hitRate":0.9496838429750266,"loadSuccessCount":0,"loadFailureCount":0,"totalLoadTimeNanos":0,"evictionCount":-1,"expirationCount":-1,"putCount":15000,"removeCount":0,"nativeMetrics":{"HitCountRam":13950415,"Composite.HitCountRam":13950415,"HitCountAux":0,"Composite.HitCountAux":0,"Put Count":15000,"Memory Cache.Put Count":15000,"Hit Count":13950415,"Memory Cache.Hit Count":13950415,"Miss Count":739121,"Memory Cache.Miss Count":739121,"Map Size":10000,"Memory Cache.Map Size":10000,"List Size":10000,"Memory Cache.List Size":10000}}</x:v>
      </x:c>
      <x:c r="BA198" s="43" t="n">
        <x:v>10000</x:v>
      </x:c>
      <x:c r="BB198" s="43" t="n">
        <x:v>14689536</x:v>
      </x:c>
      <x:c r="BC198" s="43" t="n">
        <x:v>13950415</x:v>
      </x:c>
      <x:c r="BD198" s="43" t="n">
        <x:v>739121</x:v>
      </x:c>
      <x:c r="BE198" s="48" t="n">
        <x:v>0.9496838429750266</x:v>
      </x:c>
      <x:c r="BF198" s="43" t="n">
        <x:v>0</x:v>
      </x:c>
      <x:c r="BG198" s="43" t="n">
        <x:v>0</x:v>
      </x:c>
      <x:c r="BH198" s="43" t="n">
        <x:v>0</x:v>
      </x:c>
      <x:c r="BI198" s="43" t="n">
        <x:v>-1</x:v>
      </x:c>
      <x:c r="BJ198" s="43" t="n">
        <x:v>-1</x:v>
      </x:c>
      <x:c r="BK198" s="43" t="n">
        <x:v>15000</x:v>
      </x:c>
      <x:c r="BL198" s="43" t="n">
        <x:v>0</x:v>
      </x:c>
      <x:c r="BM198" s="44" t="str">
        <x:v>{"HitCountRam":13950415,"Composite.HitCountRam":13950415,"HitCountAux":0,"Composite.HitCountAux":0,"Put Count":15000,"Memory Cache.Put Count":15000,"Hit Count":13950415,"Memory Cache.Hit Count":13950415,"Miss Count":739121,"Memory Cache.Miss Count":739121,"Map Size":10000,"Memory Cache.Map Size":10000,"List Size":10000,"Memory Cache.List Size":10000}</x:v>
      </x:c>
    </x:row>
    <x:row r="199">
      <x:c r="A199" s="34" t="str">
        <x:v>article1-unified-v4-2-fb3f101b-20260903-000401-default-f04-p2-jcs321</x:v>
      </x:c>
      <x:c r="B199" s="34" t="str">
        <x:v>default</x:v>
      </x:c>
      <x:c r="C199" s="34" t="str">
        <x:v>jcs321</x:v>
      </x:c>
      <x:c r="D199" s="34" t="str">
        <x:v>jcs321</x:v>
      </x:c>
      <x:c r="E199" s="34" t="str">
        <x:v>JCS-248-positive-control</x:v>
      </x:c>
      <x:c r="F199" s="36" t="n">
        <x:v>4</x:v>
      </x:c>
      <x:c r="G199" s="36" t="n">
        <x:v>4</x:v>
      </x:c>
      <x:c r="H199" s="36" t="n">
        <x:v>2</x:v>
      </x:c>
      <x:c r="I199" s="36" t="n">
        <x:v>4</x:v>
      </x:c>
      <x:c r="J199" s="34" t="str">
        <x:v>redeploy</x:v>
      </x:c>
      <x:c r="K199" s="34" t="str">
        <x:v>cache-semantics</x:v>
      </x:c>
      <x:c r="L199" s="45" t="b">
        <x:v>0</x:v>
      </x:c>
      <x:c r="M199" s="36" t="n">
        <x:v>153065368</x:v>
      </x:c>
      <x:c r="N199" s="34" t="str">
        <x:v>13e2812983530d3984d2699f769b1b94ef065a0bcaeae2fdd816f73034de5703</x:v>
      </x:c>
      <x:c r="O199" s="43" t="n">
        <x:v>10000</x:v>
      </x:c>
      <x:c r="P199" s="43" t="n">
        <x:v>400000</x:v>
      </x:c>
      <x:c r="Q199" s="36" t="n">
        <x:v>8</x:v>
      </x:c>
      <x:c r="R199" s="42" t="n">
        <x:v>95</x:v>
      </x:c>
      <x:c r="S199" s="43" t="n">
        <x:v>512</x:v>
      </x:c>
      <x:c r="T199" s="43" t="n">
        <x:v>50000</x:v>
      </x:c>
      <x:c r="U199" s="46" t="n">
        <x:v>3</x:v>
      </x:c>
      <x:c r="V199" s="46" t="n">
        <x:v>5</x:v>
      </x:c>
      <x:c r="W199" s="43" t="n">
        <x:v>300</x:v>
      </x:c>
      <x:c r="X199" s="34" t="str">
        <x:v>uniform</x:v>
      </x:c>
      <x:c r="Y199" s="42" t="n">
        <x:v>10</x:v>
      </x:c>
      <x:c r="Z199" s="34" t="str">
        <x:v>strict</x:v>
      </x:c>
      <x:c r="AA199" s="36" t="n">
        <x:v>64</x:v>
      </x:c>
      <x:c r="AB199" s="43" t="n">
        <x:v>8767744</x:v>
      </x:c>
      <x:c r="AC199" s="43" t="n">
        <x:v>3000916526</x:v>
      </x:c>
      <x:c r="AD199" s="43" t="n">
        <x:v>916526</x:v>
      </x:c>
      <x:c r="AE199" s="43" t="n">
        <x:v>3575078.9824324194</x:v>
      </x:c>
      <x:c r="AF199" s="43" t="n">
        <x:v>2940913.4191175415</x:v>
      </x:c>
      <x:c r="AG199" s="43" t="n">
        <x:v>14706688</x:v>
      </x:c>
      <x:c r="AH199" s="43" t="n">
        <x:v>5000721172</x:v>
      </x:c>
      <x:c r="AI199" s="43" t="n">
        <x:v>721172</x:v>
      </x:c>
      <x:c r="AJ199" s="43" t="n">
        <x:v>2940913.4191175415</x:v>
      </x:c>
      <x:c r="AK199" s="43" t="n">
        <x:v>14706688</x:v>
      </x:c>
      <x:c r="AL199" s="43" t="n">
        <x:v>0</x:v>
      </x:c>
      <x:c r="AM199" s="43" t="n">
        <x:v>569565.603705366</x:v>
      </x:c>
      <x:c r="AN199" s="43" t="n">
        <x:v>300</x:v>
      </x:c>
      <x:c r="AO199" s="43" t="n">
        <x:v>892</x:v>
      </x:c>
      <x:c r="AP199" s="43" t="n">
        <x:v>191886</x:v>
      </x:c>
      <x:c r="AQ199" s="43" t="n">
        <x:v>229792</x:v>
      </x:c>
      <x:c r="AR199" s="43" t="n">
        <x:v>1</x:v>
      </x:c>
      <x:c r="AS199" s="45" t="b">
        <x:v>1</x:v>
      </x:c>
      <x:c r="AT199" s="43" t="n">
        <x:v>10000</x:v>
      </x:c>
      <x:c r="AU199" s="48" t="n">
        <x:v>0.9496890802334285</x:v>
      </x:c>
      <x:c r="AV199" s="43" t="n">
        <x:v>10000</x:v>
      </x:c>
      <x:c r="AW199" s="48" t="n">
        <x:v>0.9496890802334285</x:v>
      </x:c>
      <x:c r="AX199" s="45" t="b">
        <x:v>1</x:v>
      </x:c>
      <x:c r="AY199" s="44" t="str">
        <x:v>{"provider":"jcs321","currentEntries":10000,"requestCount":14706688,"hitCount":13966781,"missCount":739907,"hitRate":0.9496890802334285,"loadSuccessCount":0,"loadFailureCount":0,"totalLoadTimeNanos":0,"evictionCount":-1,"expirationCount":-1,"putCount":10000,"removeCount":0,"nativeMetrics":{"HitCountRam":13966781,"Composite.HitCountRam":13966781,"HitCountAux":0,"Composite.HitCountAux":0,"Put Count":10000,"Memory Cache.Put Count":10000,"Hit Count":13966781,"Memory Cache.Hit Count":13966781,"Miss Count":739907,"Memory Cache.Miss Count":739907,"Map Size":10000,"Memory Cache.Map Size":10000,"List Size":10000,"Memory Cache.List Size":10000}}</x:v>
      </x:c>
      <x:c r="AZ199" s="44" t="str">
        <x:v>{"provider":"jcs321","currentEntries":10000,"requestCount":14706688,"hitCount":13966781,"missCount":739907,"hitRate":0.9496890802334285,"loadSuccessCount":0,"loadFailureCount":0,"totalLoadTimeNanos":0,"evictionCount":-1,"expirationCount":-1,"putCount":15000,"removeCount":0,"nativeMetrics":{"HitCountRam":13966781,"Composite.HitCountRam":13966781,"HitCountAux":0,"Composite.HitCountAux":0,"Put Count":15000,"Memory Cache.Put Count":15000,"Hit Count":13966781,"Memory Cache.Hit Count":13966781,"Miss Count":739907,"Memory Cache.Miss Count":739907,"Map Size":10000,"Memory Cache.Map Size":10000,"List Size":10000,"Memory Cache.List Size":10000}}</x:v>
      </x:c>
      <x:c r="BA199" s="43" t="n">
        <x:v>10000</x:v>
      </x:c>
      <x:c r="BB199" s="43" t="n">
        <x:v>14706688</x:v>
      </x:c>
      <x:c r="BC199" s="43" t="n">
        <x:v>13966781</x:v>
      </x:c>
      <x:c r="BD199" s="43" t="n">
        <x:v>739907</x:v>
      </x:c>
      <x:c r="BE199" s="48" t="n">
        <x:v>0.9496890802334285</x:v>
      </x:c>
      <x:c r="BF199" s="43" t="n">
        <x:v>0</x:v>
      </x:c>
      <x:c r="BG199" s="43" t="n">
        <x:v>0</x:v>
      </x:c>
      <x:c r="BH199" s="43" t="n">
        <x:v>0</x:v>
      </x:c>
      <x:c r="BI199" s="43" t="n">
        <x:v>-1</x:v>
      </x:c>
      <x:c r="BJ199" s="43" t="n">
        <x:v>-1</x:v>
      </x:c>
      <x:c r="BK199" s="43" t="n">
        <x:v>15000</x:v>
      </x:c>
      <x:c r="BL199" s="43" t="n">
        <x:v>0</x:v>
      </x:c>
      <x:c r="BM199" s="44" t="str">
        <x:v>{"HitCountRam":13966781,"Composite.HitCountRam":13966781,"HitCountAux":0,"Composite.HitCountAux":0,"Put Count":15000,"Memory Cache.Put Count":15000,"Hit Count":13966781,"Memory Cache.Hit Count":13966781,"Miss Count":739907,"Memory Cache.Miss Count":739907,"Map Size":10000,"Memory Cache.Map Size":10000,"List Size":10000,"Memory Cache.List Size":10000}</x:v>
      </x:c>
    </x:row>
    <x:row r="200">
      <x:c r="A200" s="34" t="str">
        <x:v>article1-unified-v4-2-fb3f101b-20260903-000401-default-f04-p2-jcs321</x:v>
      </x:c>
      <x:c r="B200" s="34" t="str">
        <x:v>default</x:v>
      </x:c>
      <x:c r="C200" s="34" t="str">
        <x:v>jcs321</x:v>
      </x:c>
      <x:c r="D200" s="34" t="str">
        <x:v>jcs321</x:v>
      </x:c>
      <x:c r="E200" s="34" t="str">
        <x:v>JCS-248-positive-control</x:v>
      </x:c>
      <x:c r="F200" s="36" t="n">
        <x:v>4</x:v>
      </x:c>
      <x:c r="G200" s="36" t="n">
        <x:v>4</x:v>
      </x:c>
      <x:c r="H200" s="36" t="n">
        <x:v>2</x:v>
      </x:c>
      <x:c r="I200" s="36" t="n">
        <x:v>5</x:v>
      </x:c>
      <x:c r="J200" s="34" t="str">
        <x:v>initial</x:v>
      </x:c>
      <x:c r="K200" s="34" t="str">
        <x:v>cache-semantics</x:v>
      </x:c>
      <x:c r="L200" s="45" t="b">
        <x:v>0</x:v>
      </x:c>
      <x:c r="M200" s="36" t="n">
        <x:v>2019955368</x:v>
      </x:c>
      <x:c r="N200" s="34" t="str">
        <x:v>d64ba2cf71f68a5c314873e1c18092a1a2fe40603628b516f9936c8a249791fe</x:v>
      </x:c>
      <x:c r="O200" s="43" t="n">
        <x:v>10000</x:v>
      </x:c>
      <x:c r="P200" s="43" t="n">
        <x:v>400000</x:v>
      </x:c>
      <x:c r="Q200" s="36" t="n">
        <x:v>8</x:v>
      </x:c>
      <x:c r="R200" s="42" t="n">
        <x:v>95</x:v>
      </x:c>
      <x:c r="S200" s="43" t="n">
        <x:v>512</x:v>
      </x:c>
      <x:c r="T200" s="43" t="n">
        <x:v>50000</x:v>
      </x:c>
      <x:c r="U200" s="46" t="n">
        <x:v>3</x:v>
      </x:c>
      <x:c r="V200" s="46" t="n">
        <x:v>5</x:v>
      </x:c>
      <x:c r="W200" s="43" t="n">
        <x:v>300</x:v>
      </x:c>
      <x:c r="X200" s="34" t="str">
        <x:v>uniform</x:v>
      </x:c>
      <x:c r="Y200" s="42" t="n">
        <x:v>10</x:v>
      </x:c>
      <x:c r="Z200" s="34" t="str">
        <x:v>strict</x:v>
      </x:c>
      <x:c r="AA200" s="36" t="n">
        <x:v>64</x:v>
      </x:c>
      <x:c r="AB200" s="43" t="n">
        <x:v>8044544</x:v>
      </x:c>
      <x:c r="AC200" s="43" t="n">
        <x:v>3000930856</x:v>
      </x:c>
      <x:c r="AD200" s="43" t="n">
        <x:v>930856</x:v>
      </x:c>
      <x:c r="AE200" s="43" t="n">
        <x:v>2961183.6206273683</x:v>
      </x:c>
      <x:c r="AF200" s="43" t="n">
        <x:v>2642428.681863765</x:v>
      </x:c>
      <x:c r="AG200" s="43" t="n">
        <x:v>13213696</x:v>
      </x:c>
      <x:c r="AH200" s="43" t="n">
        <x:v>5000587562</x:v>
      </x:c>
      <x:c r="AI200" s="43" t="n">
        <x:v>587562</x:v>
      </x:c>
      <x:c r="AJ200" s="43" t="n">
        <x:v>2642428.681863765</x:v>
      </x:c>
      <x:c r="AK200" s="43" t="n">
        <x:v>13213696</x:v>
      </x:c>
      <x:c r="AL200" s="43" t="n">
        <x:v>0</x:v>
      </x:c>
      <x:c r="AM200" s="43" t="n">
        <x:v>617720.5494006566</x:v>
      </x:c>
      <x:c r="AN200" s="43" t="n">
        <x:v>330</x:v>
      </x:c>
      <x:c r="AO200" s="43" t="n">
        <x:v>902</x:v>
      </x:c>
      <x:c r="AP200" s="43" t="n">
        <x:v>200654</x:v>
      </x:c>
      <x:c r="AQ200" s="43" t="n">
        <x:v>206464</x:v>
      </x:c>
      <x:c r="AR200" s="43" t="n">
        <x:v>1</x:v>
      </x:c>
      <x:c r="AS200" s="45" t="b">
        <x:v>1</x:v>
      </x:c>
      <x:c r="AT200" s="43" t="n">
        <x:v>10000</x:v>
      </x:c>
      <x:c r="AU200" s="48" t="n">
        <x:v>0.9497703746173667</x:v>
      </x:c>
      <x:c r="AV200" s="43" t="n">
        <x:v>10000</x:v>
      </x:c>
      <x:c r="AW200" s="48" t="n">
        <x:v>0.9497703746173667</x:v>
      </x:c>
      <x:c r="AX200" s="45" t="b">
        <x:v>1</x:v>
      </x:c>
      <x:c r="AY200" s="44" t="str">
        <x:v>{"provider":"jcs321","currentEntries":10000,"requestCount":13213696,"hitCount":12549977,"missCount":663719,"hitRate":0.9497703746173667,"loadSuccessCount":0,"loadFailureCount":0,"totalLoadTimeNanos":0,"evictionCount":-1,"expirationCount":-1,"putCount":10000,"removeCount":0,"nativeMetrics":{"HitCountRam":12549977,"Composite.HitCountRam":12549977,"HitCountAux":0,"Composite.HitCountAux":0,"Put Count":10000,"Memory Cache.Put Count":10000,"Hit Count":12549977,"Memory Cache.Hit Count":12549977,"Miss Count":663719,"Memory Cache.Miss Count":663719,"Map Size":10000,"Memory Cache.Map Size":10000,"List Size":10000,"Memory Cache.List Size":10000}}</x:v>
      </x:c>
      <x:c r="AZ200" s="44" t="str">
        <x:v>{"provider":"jcs321","currentEntries":10000,"requestCount":13213696,"hitCount":12549977,"missCount":663719,"hitRate":0.9497703746173667,"loadSuccessCount":0,"loadFailureCount":0,"totalLoadTimeNanos":0,"evictionCount":-1,"expirationCount":-1,"putCount":15000,"removeCount":0,"nativeMetrics":{"HitCountRam":12549977,"Composite.HitCountRam":12549977,"HitCountAux":0,"Composite.HitCountAux":0,"Put Count":15000,"Memory Cache.Put Count":15000,"Hit Count":12549977,"Memory Cache.Hit Count":12549977,"Miss Count":663719,"Memory Cache.Miss Count":663719,"Map Size":10000,"Memory Cache.Map Size":10000,"List Size":10000,"Memory Cache.List Size":10000}}</x:v>
      </x:c>
      <x:c r="BA200" s="43" t="n">
        <x:v>10000</x:v>
      </x:c>
      <x:c r="BB200" s="43" t="n">
        <x:v>13213696</x:v>
      </x:c>
      <x:c r="BC200" s="43" t="n">
        <x:v>12549977</x:v>
      </x:c>
      <x:c r="BD200" s="43" t="n">
        <x:v>663719</x:v>
      </x:c>
      <x:c r="BE200" s="48" t="n">
        <x:v>0.9497703746173667</x:v>
      </x:c>
      <x:c r="BF200" s="43" t="n">
        <x:v>0</x:v>
      </x:c>
      <x:c r="BG200" s="43" t="n">
        <x:v>0</x:v>
      </x:c>
      <x:c r="BH200" s="43" t="n">
        <x:v>0</x:v>
      </x:c>
      <x:c r="BI200" s="43" t="n">
        <x:v>-1</x:v>
      </x:c>
      <x:c r="BJ200" s="43" t="n">
        <x:v>-1</x:v>
      </x:c>
      <x:c r="BK200" s="43" t="n">
        <x:v>15000</x:v>
      </x:c>
      <x:c r="BL200" s="43" t="n">
        <x:v>0</x:v>
      </x:c>
      <x:c r="BM200" s="44" t="str">
        <x:v>{"HitCountRam":12549977,"Composite.HitCountRam":12549977,"HitCountAux":0,"Composite.HitCountAux":0,"Put Count":15000,"Memory Cache.Put Count":15000,"Hit Count":12549977,"Memory Cache.Hit Count":12549977,"Miss Count":663719,"Memory Cache.Miss Count":663719,"Map Size":10000,"Memory Cache.Map Size":10000,"List Size":10000,"Memory Cache.List Size":10000}</x:v>
      </x:c>
    </x:row>
    <x:row r="201">
      <x:c r="A201" s="34" t="str">
        <x:v>article1-unified-v4-2-fb3f101b-20260903-000401-default-f04-p2-jcs321</x:v>
      </x:c>
      <x:c r="B201" s="34" t="str">
        <x:v>default</x:v>
      </x:c>
      <x:c r="C201" s="34" t="str">
        <x:v>jcs321</x:v>
      </x:c>
      <x:c r="D201" s="34" t="str">
        <x:v>jcs321</x:v>
      </x:c>
      <x:c r="E201" s="34" t="str">
        <x:v>JCS-248-positive-control</x:v>
      </x:c>
      <x:c r="F201" s="36" t="n">
        <x:v>4</x:v>
      </x:c>
      <x:c r="G201" s="36" t="n">
        <x:v>4</x:v>
      </x:c>
      <x:c r="H201" s="36" t="n">
        <x:v>2</x:v>
      </x:c>
      <x:c r="I201" s="36" t="n">
        <x:v>5</x:v>
      </x:c>
      <x:c r="J201" s="34" t="str">
        <x:v>redeploy</x:v>
      </x:c>
      <x:c r="K201" s="34" t="str">
        <x:v>cache-semantics</x:v>
      </x:c>
      <x:c r="L201" s="45" t="b">
        <x:v>0</x:v>
      </x:c>
      <x:c r="M201" s="36" t="n">
        <x:v>2019955368</x:v>
      </x:c>
      <x:c r="N201" s="34" t="str">
        <x:v>d64ba2cf71f68a5c314873e1c18092a1a2fe40603628b516f9936c8a249791fe</x:v>
      </x:c>
      <x:c r="O201" s="43" t="n">
        <x:v>10000</x:v>
      </x:c>
      <x:c r="P201" s="43" t="n">
        <x:v>400000</x:v>
      </x:c>
      <x:c r="Q201" s="36" t="n">
        <x:v>8</x:v>
      </x:c>
      <x:c r="R201" s="42" t="n">
        <x:v>95</x:v>
      </x:c>
      <x:c r="S201" s="43" t="n">
        <x:v>512</x:v>
      </x:c>
      <x:c r="T201" s="43" t="n">
        <x:v>50000</x:v>
      </x:c>
      <x:c r="U201" s="46" t="n">
        <x:v>3</x:v>
      </x:c>
      <x:c r="V201" s="46" t="n">
        <x:v>5</x:v>
      </x:c>
      <x:c r="W201" s="43" t="n">
        <x:v>300</x:v>
      </x:c>
      <x:c r="X201" s="34" t="str">
        <x:v>uniform</x:v>
      </x:c>
      <x:c r="Y201" s="42" t="n">
        <x:v>10</x:v>
      </x:c>
      <x:c r="Z201" s="34" t="str">
        <x:v>strict</x:v>
      </x:c>
      <x:c r="AA201" s="36" t="n">
        <x:v>64</x:v>
      </x:c>
      <x:c r="AB201" s="43" t="n">
        <x:v>8380672</x:v>
      </x:c>
      <x:c r="AC201" s="43" t="n">
        <x:v>3000537315</x:v>
      </x:c>
      <x:c r="AD201" s="43" t="n">
        <x:v>537315</x:v>
      </x:c>
      <x:c r="AE201" s="43" t="n">
        <x:v>3431268.601764907</x:v>
      </x:c>
      <x:c r="AF201" s="43" t="n">
        <x:v>2864544.2305226126</x:v>
      </x:c>
      <x:c r="AG201" s="43" t="n">
        <x:v>14324992</x:v>
      </x:c>
      <x:c r="AH201" s="43" t="n">
        <x:v>5000792743</x:v>
      </x:c>
      <x:c r="AI201" s="43" t="n">
        <x:v>792743</x:v>
      </x:c>
      <x:c r="AJ201" s="43" t="n">
        <x:v>2864544.2305226126</x:v>
      </x:c>
      <x:c r="AK201" s="43" t="n">
        <x:v>14324992</x:v>
      </x:c>
      <x:c r="AL201" s="43" t="n">
        <x:v>0</x:v>
      </x:c>
      <x:c r="AM201" s="43" t="n">
        <x:v>601338.7484288522</x:v>
      </x:c>
      <x:c r="AN201" s="43" t="n">
        <x:v>291</x:v>
      </x:c>
      <x:c r="AO201" s="43" t="n">
        <x:v>862</x:v>
      </x:c>
      <x:c r="AP201" s="43" t="n">
        <x:v>202175</x:v>
      </x:c>
      <x:c r="AQ201" s="43" t="n">
        <x:v>223828</x:v>
      </x:c>
      <x:c r="AR201" s="43" t="n">
        <x:v>1</x:v>
      </x:c>
      <x:c r="AS201" s="45" t="b">
        <x:v>1</x:v>
      </x:c>
      <x:c r="AT201" s="43" t="n">
        <x:v>10000</x:v>
      </x:c>
      <x:c r="AU201" s="48" t="n">
        <x:v>0.9497612284879461</x:v>
      </x:c>
      <x:c r="AV201" s="43" t="n">
        <x:v>10000</x:v>
      </x:c>
      <x:c r="AW201" s="48" t="n">
        <x:v>0.9497612284879461</x:v>
      </x:c>
      <x:c r="AX201" s="45" t="b">
        <x:v>1</x:v>
      </x:c>
      <x:c r="AY201" s="44" t="str">
        <x:v>{"provider":"jcs321","currentEntries":10000,"requestCount":14324992,"hitCount":13605322,"missCount":719670,"hitRate":0.9497612284879461,"loadSuccessCount":0,"loadFailureCount":0,"totalLoadTimeNanos":0,"evictionCount":-1,"expirationCount":-1,"putCount":10000,"removeCount":0,"nativeMetrics":{"HitCountRam":13605322,"Composite.HitCountRam":13605322,"HitCountAux":0,"Composite.HitCountAux":0,"Put Count":10000,"Memory Cache.Put Count":10000,"Hit Count":13605322,"Memory Cache.Hit Count":13605322,"Miss Count":719670,"Memory Cache.Miss Count":719670,"Map Size":10000,"Memory Cache.Map Size":10000,"List Size":10000,"Memory Cache.List Size":10000}}</x:v>
      </x:c>
      <x:c r="AZ201" s="44" t="str">
        <x:v>{"provider":"jcs321","currentEntries":10000,"requestCount":14324992,"hitCount":13605322,"missCount":719670,"hitRate":0.9497612284879461,"loadSuccessCount":0,"loadFailureCount":0,"totalLoadTimeNanos":0,"evictionCount":-1,"expirationCount":-1,"putCount":15000,"removeCount":0,"nativeMetrics":{"HitCountRam":13605322,"Composite.HitCountRam":13605322,"HitCountAux":0,"Composite.HitCountAux":0,"Put Count":15000,"Memory Cache.Put Count":15000,"Hit Count":13605322,"Memory Cache.Hit Count":13605322,"Miss Count":719670,"Memory Cache.Miss Count":719670,"Map Size":10000,"Memory Cache.Map Size":10000,"List Size":10000,"Memory Cache.List Size":10000}}</x:v>
      </x:c>
      <x:c r="BA201" s="43" t="n">
        <x:v>10000</x:v>
      </x:c>
      <x:c r="BB201" s="43" t="n">
        <x:v>14324992</x:v>
      </x:c>
      <x:c r="BC201" s="43" t="n">
        <x:v>13605322</x:v>
      </x:c>
      <x:c r="BD201" s="43" t="n">
        <x:v>719670</x:v>
      </x:c>
      <x:c r="BE201" s="48" t="n">
        <x:v>0.9497612284879461</x:v>
      </x:c>
      <x:c r="BF201" s="43" t="n">
        <x:v>0</x:v>
      </x:c>
      <x:c r="BG201" s="43" t="n">
        <x:v>0</x:v>
      </x:c>
      <x:c r="BH201" s="43" t="n">
        <x:v>0</x:v>
      </x:c>
      <x:c r="BI201" s="43" t="n">
        <x:v>-1</x:v>
      </x:c>
      <x:c r="BJ201" s="43" t="n">
        <x:v>-1</x:v>
      </x:c>
      <x:c r="BK201" s="43" t="n">
        <x:v>15000</x:v>
      </x:c>
      <x:c r="BL201" s="43" t="n">
        <x:v>0</x:v>
      </x:c>
      <x:c r="BM201" s="44" t="str">
        <x:v>{"HitCountRam":13605322,"Composite.HitCountRam":13605322,"HitCountAux":0,"Composite.HitCountAux":0,"Put Count":15000,"Memory Cache.Put Count":15000,"Hit Count":13605322,"Memory Cache.Hit Count":13605322,"Miss Count":719670,"Memory Cache.Miss Count":719670,"Map Size":10000,"Memory Cache.Map Size":10000,"List Size":10000,"Memory Cache.List Size":10000}</x:v>
      </x:c>
    </x:row>
    <x:row r="202">
      <x:c r="A202" s="34" t="str">
        <x:v>article1-unified-v4-2-fb3f101b-20260903-000401-default-f04-p3-cache2k</x:v>
      </x:c>
      <x:c r="B202" s="34" t="str">
        <x:v>default</x:v>
      </x:c>
      <x:c r="C202" s="34" t="str">
        <x:v>cache2k</x:v>
      </x:c>
      <x:c r="D202" s="34" t="str">
        <x:v>cache2k</x:v>
      </x:c>
      <x:c r="E202" s="34" t="str">
        <x:v>current-provider-primary-comparison</x:v>
      </x:c>
      <x:c r="F202" s="36" t="n">
        <x:v>4</x:v>
      </x:c>
      <x:c r="G202" s="36" t="n">
        <x:v>4</x:v>
      </x:c>
      <x:c r="H202" s="36" t="n">
        <x:v>3</x:v>
      </x:c>
      <x:c r="I202" s="36" t="n">
        <x:v>1</x:v>
      </x:c>
      <x:c r="J202" s="34" t="str">
        <x:v>initial</x:v>
      </x:c>
      <x:c r="K202" s="34" t="str">
        <x:v>cache-semantics</x:v>
      </x:c>
      <x:c r="L202" s="45" t="b">
        <x:v>1</x:v>
      </x:c>
      <x:c r="M202" s="36" t="n">
        <x:v>850092908</x:v>
      </x:c>
      <x:c r="N202" s="34" t="str">
        <x:v>c3fbbc14afc1687ffa7ecbca17e8ff73fcb319ce839d0fb032082700ff0dfb34</x:v>
      </x:c>
      <x:c r="O202" s="43" t="n">
        <x:v>10000</x:v>
      </x:c>
      <x:c r="P202" s="43" t="n">
        <x:v>400000</x:v>
      </x:c>
      <x:c r="Q202" s="36" t="n">
        <x:v>8</x:v>
      </x:c>
      <x:c r="R202" s="42" t="n">
        <x:v>95</x:v>
      </x:c>
      <x:c r="S202" s="43" t="n">
        <x:v>512</x:v>
      </x:c>
      <x:c r="T202" s="43" t="n">
        <x:v>50000</x:v>
      </x:c>
      <x:c r="U202" s="46" t="n">
        <x:v>3</x:v>
      </x:c>
      <x:c r="V202" s="46" t="n">
        <x:v>5</x:v>
      </x:c>
      <x:c r="W202" s="43" t="n">
        <x:v>300</x:v>
      </x:c>
      <x:c r="X202" s="34" t="str">
        <x:v>uniform</x:v>
      </x:c>
      <x:c r="Y202" s="42" t="n">
        <x:v>10</x:v>
      </x:c>
      <x:c r="Z202" s="34" t="str">
        <x:v>strict</x:v>
      </x:c>
      <x:c r="AA202" s="36" t="n">
        <x:v>64</x:v>
      </x:c>
      <x:c r="AB202" s="43" t="n">
        <x:v>96314112</x:v>
      </x:c>
      <x:c r="AC202" s="43" t="n">
        <x:v>3014888310</x:v>
      </x:c>
      <x:c r="AD202" s="43" t="n">
        <x:v>14888310</x:v>
      </x:c>
      <x:c r="AE202" s="43" t="n">
        <x:v>1338417.5354111819</x:v>
      </x:c>
      <x:c r="AF202" s="43" t="n">
        <x:v>30957400.529081155</x:v>
      </x:c>
      <x:c r="AG202" s="43" t="n">
        <x:v>154902272</x:v>
      </x:c>
      <x:c r="AH202" s="43" t="n">
        <x:v>5003723483</x:v>
      </x:c>
      <x:c r="AI202" s="43" t="n">
        <x:v>3723483</x:v>
      </x:c>
      <x:c r="AJ202" s="43" t="n">
        <x:v>30957400.529081155</x:v>
      </x:c>
      <x:c r="AK202" s="43" t="n">
        <x:v>154902272</x:v>
      </x:c>
      <x:c r="AL202" s="43" t="n">
        <x:v>0</x:v>
      </x:c>
      <x:c r="AM202" s="43" t="n">
        <x:v>558967.9930455438</x:v>
      </x:c>
      <x:c r="AN202" s="43" t="n">
        <x:v>140</x:v>
      </x:c>
      <x:c r="AO202" s="43" t="n">
        <x:v>320</x:v>
      </x:c>
      <x:c r="AP202" s="43" t="n">
        <x:v>521</x:v>
      </x:c>
      <x:c r="AQ202" s="43" t="n">
        <x:v>2420348</x:v>
      </x:c>
      <x:c r="AR202" s="43" t="n">
        <x:v>1</x:v>
      </x:c>
      <x:c r="AS202" s="45" t="b">
        <x:v>1</x:v>
      </x:c>
      <x:c r="AT202" s="43" t="n">
        <x:v>9979</x:v>
      </x:c>
      <x:c r="AU202" s="48" t="n">
        <x:v>0.9478035674002251</x:v>
      </x:c>
      <x:c r="AV202" s="43" t="n">
        <x:v>9992</x:v>
      </x:c>
      <x:c r="AW202" s="48" t="n">
        <x:v>0.9478035674002251</x:v>
      </x:c>
      <x:c r="AX202" s="45" t="b">
        <x:v>1</x:v>
      </x:c>
      <x:c r="AY202" s="44" t="str">
        <x:v>{"provider":"cache2k","currentEntries":9979,"requestCount":154902272,"hitCount":146816926,"missCount":8085346,"hitRate":0.9478035674002251,"loadSuccessCount":0,"loadFailureCount":0,"totalLoadTimeNanos":0,"evictionCount":21,"expirationCount":0,"putCount":10000,"removeCount":0,"nativeMetrics":{"getCount":154902272,"missCount":8085346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2" s="44" t="str">
        <x:v>{"provider":"cache2k","currentEntries":9992,"requestCount":154902272,"hitCount":146816926,"missCount":8085346,"hitRate":0.9478035674002251,"loadSuccessCount":0,"loadFailureCount":0,"totalLoadTimeNanos":0,"evictionCount":5008,"expirationCount":0,"putCount":15000,"removeCount":0,"nativeMetrics":{"getCount":154902272,"missCount":8085346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202" s="43" t="n">
        <x:v>9992</x:v>
      </x:c>
      <x:c r="BB202" s="43" t="n">
        <x:v>154902272</x:v>
      </x:c>
      <x:c r="BC202" s="43" t="n">
        <x:v>146816926</x:v>
      </x:c>
      <x:c r="BD202" s="43" t="n">
        <x:v>8085346</x:v>
      </x:c>
      <x:c r="BE202" s="48" t="n">
        <x:v>0.9478035674002251</x:v>
      </x:c>
      <x:c r="BF202" s="43" t="n">
        <x:v>0</x:v>
      </x:c>
      <x:c r="BG202" s="43" t="n">
        <x:v>0</x:v>
      </x:c>
      <x:c r="BH202" s="43" t="n">
        <x:v>0</x:v>
      </x:c>
      <x:c r="BI202" s="43" t="n">
        <x:v>5008</x:v>
      </x:c>
      <x:c r="BJ202" s="43" t="n">
        <x:v>0</x:v>
      </x:c>
      <x:c r="BK202" s="43" t="n">
        <x:v>15000</x:v>
      </x:c>
      <x:c r="BL202" s="43" t="n">
        <x:v>0</x:v>
      </x:c>
      <x:c r="BM202" s="44" t="str">
        <x:v>{"getCount":154902272,"missCount":8085346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203">
      <x:c r="A203" s="34" t="str">
        <x:v>article1-unified-v4-2-fb3f101b-20260903-000401-default-f04-p3-cache2k</x:v>
      </x:c>
      <x:c r="B203" s="34" t="str">
        <x:v>default</x:v>
      </x:c>
      <x:c r="C203" s="34" t="str">
        <x:v>cache2k</x:v>
      </x:c>
      <x:c r="D203" s="34" t="str">
        <x:v>cache2k</x:v>
      </x:c>
      <x:c r="E203" s="34" t="str">
        <x:v>current-provider-primary-comparison</x:v>
      </x:c>
      <x:c r="F203" s="36" t="n">
        <x:v>4</x:v>
      </x:c>
      <x:c r="G203" s="36" t="n">
        <x:v>4</x:v>
      </x:c>
      <x:c r="H203" s="36" t="n">
        <x:v>3</x:v>
      </x:c>
      <x:c r="I203" s="36" t="n">
        <x:v>1</x:v>
      </x:c>
      <x:c r="J203" s="34" t="str">
        <x:v>redeploy</x:v>
      </x:c>
      <x:c r="K203" s="34" t="str">
        <x:v>cache-semantics</x:v>
      </x:c>
      <x:c r="L203" s="45" t="b">
        <x:v>1</x:v>
      </x:c>
      <x:c r="M203" s="36" t="n">
        <x:v>850092908</x:v>
      </x:c>
      <x:c r="N203" s="34" t="str">
        <x:v>c3fbbc14afc1687ffa7ecbca17e8ff73fcb319ce839d0fb032082700ff0dfb34</x:v>
      </x:c>
      <x:c r="O203" s="43" t="n">
        <x:v>10000</x:v>
      </x:c>
      <x:c r="P203" s="43" t="n">
        <x:v>400000</x:v>
      </x:c>
      <x:c r="Q203" s="36" t="n">
        <x:v>8</x:v>
      </x:c>
      <x:c r="R203" s="42" t="n">
        <x:v>95</x:v>
      </x:c>
      <x:c r="S203" s="43" t="n">
        <x:v>512</x:v>
      </x:c>
      <x:c r="T203" s="43" t="n">
        <x:v>50000</x:v>
      </x:c>
      <x:c r="U203" s="46" t="n">
        <x:v>3</x:v>
      </x:c>
      <x:c r="V203" s="46" t="n">
        <x:v>5</x:v>
      </x:c>
      <x:c r="W203" s="43" t="n">
        <x:v>300</x:v>
      </x:c>
      <x:c r="X203" s="34" t="str">
        <x:v>uniform</x:v>
      </x:c>
      <x:c r="Y203" s="42" t="n">
        <x:v>10</x:v>
      </x:c>
      <x:c r="Z203" s="34" t="str">
        <x:v>strict</x:v>
      </x:c>
      <x:c r="AA203" s="36" t="n">
        <x:v>64</x:v>
      </x:c>
      <x:c r="AB203" s="43" t="n">
        <x:v>97786624</x:v>
      </x:c>
      <x:c r="AC203" s="43" t="n">
        <x:v>3000524084</x:v>
      </x:c>
      <x:c r="AD203" s="43" t="n">
        <x:v>524084</x:v>
      </x:c>
      <x:c r="AE203" s="43" t="n">
        <x:v>2006698.3591227517</x:v>
      </x:c>
      <x:c r="AF203" s="43" t="n">
        <x:v>31935751.587624714</x:v>
      </x:c>
      <x:c r="AG203" s="43" t="n">
        <x:v>159768064</x:v>
      </x:c>
      <x:c r="AH203" s="43" t="n">
        <x:v>5002796429</x:v>
      </x:c>
      <x:c r="AI203" s="43" t="n">
        <x:v>2796429</x:v>
      </x:c>
      <x:c r="AJ203" s="43" t="n">
        <x:v>31935751.587624714</x:v>
      </x:c>
      <x:c r="AK203" s="43" t="n">
        <x:v>159768064</x:v>
      </x:c>
      <x:c r="AL203" s="43" t="n">
        <x:v>0</x:v>
      </x:c>
      <x:c r="AM203" s="43" t="n">
        <x:v>548992.2917090306</x:v>
      </x:c>
      <x:c r="AN203" s="43" t="n">
        <x:v>140</x:v>
      </x:c>
      <x:c r="AO203" s="43" t="n">
        <x:v>310</x:v>
      </x:c>
      <x:c r="AP203" s="43" t="n">
        <x:v>481</x:v>
      </x:c>
      <x:c r="AQ203" s="43" t="n">
        <x:v>2496376</x:v>
      </x:c>
      <x:c r="AR203" s="43" t="n">
        <x:v>1</x:v>
      </x:c>
      <x:c r="AS203" s="45" t="b">
        <x:v>1</x:v>
      </x:c>
      <x:c r="AT203" s="43" t="n">
        <x:v>9979</x:v>
      </x:c>
      <x:c r="AU203" s="48" t="n">
        <x:v>0.9477977150677622</x:v>
      </x:c>
      <x:c r="AV203" s="43" t="n">
        <x:v>9992</x:v>
      </x:c>
      <x:c r="AW203" s="48" t="n">
        <x:v>0.9477977150677622</x:v>
      </x:c>
      <x:c r="AX203" s="45" t="b">
        <x:v>1</x:v>
      </x:c>
      <x:c r="AY203" s="44" t="str">
        <x:v>{"provider":"cache2k","currentEntries":9979,"requestCount":159768064,"hitCount":151427806,"missCount":8340258,"hitRate":0.9477977150677622,"loadSuccessCount":0,"loadFailureCount":0,"totalLoadTimeNanos":0,"evictionCount":21,"expirationCount":0,"putCount":10000,"removeCount":0,"nativeMetrics":{"getCount":159768064,"missCount":8340258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3" s="44" t="str">
        <x:v>{"provider":"cache2k","currentEntries":9992,"requestCount":159768064,"hitCount":151427806,"missCount":8340258,"hitRate":0.9477977150677622,"loadSuccessCount":0,"loadFailureCount":0,"totalLoadTimeNanos":0,"evictionCount":5008,"expirationCount":0,"putCount":15000,"removeCount":0,"nativeMetrics":{"getCount":159768064,"missCount":8340258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203" s="43" t="n">
        <x:v>9992</x:v>
      </x:c>
      <x:c r="BB203" s="43" t="n">
        <x:v>159768064</x:v>
      </x:c>
      <x:c r="BC203" s="43" t="n">
        <x:v>151427806</x:v>
      </x:c>
      <x:c r="BD203" s="43" t="n">
        <x:v>8340258</x:v>
      </x:c>
      <x:c r="BE203" s="48" t="n">
        <x:v>0.9477977150677622</x:v>
      </x:c>
      <x:c r="BF203" s="43" t="n">
        <x:v>0</x:v>
      </x:c>
      <x:c r="BG203" s="43" t="n">
        <x:v>0</x:v>
      </x:c>
      <x:c r="BH203" s="43" t="n">
        <x:v>0</x:v>
      </x:c>
      <x:c r="BI203" s="43" t="n">
        <x:v>5008</x:v>
      </x:c>
      <x:c r="BJ203" s="43" t="n">
        <x:v>0</x:v>
      </x:c>
      <x:c r="BK203" s="43" t="n">
        <x:v>15000</x:v>
      </x:c>
      <x:c r="BL203" s="43" t="n">
        <x:v>0</x:v>
      </x:c>
      <x:c r="BM203" s="44" t="str">
        <x:v>{"getCount":159768064,"missCount":8340258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204">
      <x:c r="A204" s="34" t="str">
        <x:v>article1-unified-v4-2-fb3f101b-20260903-000401-default-f04-p3-cache2k</x:v>
      </x:c>
      <x:c r="B204" s="34" t="str">
        <x:v>default</x:v>
      </x:c>
      <x:c r="C204" s="34" t="str">
        <x:v>cache2k</x:v>
      </x:c>
      <x:c r="D204" s="34" t="str">
        <x:v>cache2k</x:v>
      </x:c>
      <x:c r="E204" s="34" t="str">
        <x:v>current-provider-primary-comparison</x:v>
      </x:c>
      <x:c r="F204" s="36" t="n">
        <x:v>4</x:v>
      </x:c>
      <x:c r="G204" s="36" t="n">
        <x:v>4</x:v>
      </x:c>
      <x:c r="H204" s="36" t="n">
        <x:v>3</x:v>
      </x:c>
      <x:c r="I204" s="36" t="n">
        <x:v>2</x:v>
      </x:c>
      <x:c r="J204" s="34" t="str">
        <x:v>initial</x:v>
      </x:c>
      <x:c r="K204" s="34" t="str">
        <x:v>cache-semantics</x:v>
      </x:c>
      <x:c r="L204" s="45" t="b">
        <x:v>1</x:v>
      </x:c>
      <x:c r="M204" s="36" t="n">
        <x:v>972724800</x:v>
      </x:c>
      <x:c r="N204" s="34" t="str">
        <x:v>622a36620fa8caac2865206ddff77d854d1b43b1dd314943f9681ddaa3b0eea1</x:v>
      </x:c>
      <x:c r="O204" s="43" t="n">
        <x:v>10000</x:v>
      </x:c>
      <x:c r="P204" s="43" t="n">
        <x:v>400000</x:v>
      </x:c>
      <x:c r="Q204" s="36" t="n">
        <x:v>8</x:v>
      </x:c>
      <x:c r="R204" s="42" t="n">
        <x:v>95</x:v>
      </x:c>
      <x:c r="S204" s="43" t="n">
        <x:v>512</x:v>
      </x:c>
      <x:c r="T204" s="43" t="n">
        <x:v>50000</x:v>
      </x:c>
      <x:c r="U204" s="46" t="n">
        <x:v>3</x:v>
      </x:c>
      <x:c r="V204" s="46" t="n">
        <x:v>5</x:v>
      </x:c>
      <x:c r="W204" s="43" t="n">
        <x:v>300</x:v>
      </x:c>
      <x:c r="X204" s="34" t="str">
        <x:v>uniform</x:v>
      </x:c>
      <x:c r="Y204" s="42" t="n">
        <x:v>10</x:v>
      </x:c>
      <x:c r="Z204" s="34" t="str">
        <x:v>strict</x:v>
      </x:c>
      <x:c r="AA204" s="36" t="n">
        <x:v>64</x:v>
      </x:c>
      <x:c r="AB204" s="43" t="n">
        <x:v>98307584</x:v>
      </x:c>
      <x:c r="AC204" s="43" t="n">
        <x:v>3044198119</x:v>
      </x:c>
      <x:c r="AD204" s="43" t="n">
        <x:v>44198119</x:v>
      </x:c>
      <x:c r="AE204" s="43" t="n">
        <x:v>1686304.8103868281</x:v>
      </x:c>
      <x:c r="AF204" s="43" t="n">
        <x:v>31716201.646903183</x:v>
      </x:c>
      <x:c r="AG204" s="43" t="n">
        <x:v>158665472</x:v>
      </x:c>
      <x:c r="AH204" s="43" t="n">
        <x:v>5002663111</x:v>
      </x:c>
      <x:c r="AI204" s="43" t="n">
        <x:v>2663111</x:v>
      </x:c>
      <x:c r="AJ204" s="43" t="n">
        <x:v>31716201.646903183</x:v>
      </x:c>
      <x:c r="AK204" s="43" t="n">
        <x:v>158665472</x:v>
      </x:c>
      <x:c r="AL204" s="43" t="n">
        <x:v>0</x:v>
      </x:c>
      <x:c r="AM204" s="43" t="n">
        <x:v>515188.1590802119</x:v>
      </x:c>
      <x:c r="AN204" s="43" t="n">
        <x:v>140</x:v>
      </x:c>
      <x:c r="AO204" s="43" t="n">
        <x:v>310</x:v>
      </x:c>
      <x:c r="AP204" s="43" t="n">
        <x:v>501</x:v>
      </x:c>
      <x:c r="AQ204" s="43" t="n">
        <x:v>2479148</x:v>
      </x:c>
      <x:c r="AR204" s="43" t="n">
        <x:v>1</x:v>
      </x:c>
      <x:c r="AS204" s="45" t="b">
        <x:v>1</x:v>
      </x:c>
      <x:c r="AT204" s="43" t="n">
        <x:v>9979</x:v>
      </x:c>
      <x:c r="AU204" s="48" t="n">
        <x:v>0.9480637980265801</x:v>
      </x:c>
      <x:c r="AV204" s="43" t="n">
        <x:v>9994</x:v>
      </x:c>
      <x:c r="AW204" s="48" t="n">
        <x:v>0.9480637980265801</x:v>
      </x:c>
      <x:c r="AX204" s="45" t="b">
        <x:v>1</x:v>
      </x:c>
      <x:c r="AY204" s="44" t="str">
        <x:v>{"provider":"cache2k","currentEntries":9979,"requestCount":158665472,"hitCount":150424990,"missCount":8240482,"hitRate":0.9480637980265801,"loadSuccessCount":0,"loadFailureCount":0,"totalLoadTimeNanos":0,"evictionCount":21,"expirationCount":0,"putCount":10000,"removeCount":0,"nativeMetrics":{"getCount":158665472,"missCount":8240482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4" s="44" t="str">
        <x:v>{"provider":"cache2k","currentEntries":9994,"requestCount":158665472,"hitCount":150424990,"missCount":8240482,"hitRate":0.9480637980265801,"loadSuccessCount":0,"loadFailureCount":0,"totalLoadTimeNanos":0,"evictionCount":5006,"expirationCount":0,"putCount":15000,"removeCount":0,"nativeMetrics":{"getCount":158665472,"missCount":8240482,"loadCount":0,"loadExceptionCount":0,"suppressedLoadExceptionCount":0,"refreshCount":0,"refreshFailedCount":0,"refreshedHitCount":0,"expiredCount":0,"evictedCount":5006,"putCount":15000,"removeCount":0,"keyMutationCount":0,"totalLoadMillis":0}}</x:v>
      </x:c>
      <x:c r="BA204" s="43" t="n">
        <x:v>9994</x:v>
      </x:c>
      <x:c r="BB204" s="43" t="n">
        <x:v>158665472</x:v>
      </x:c>
      <x:c r="BC204" s="43" t="n">
        <x:v>150424990</x:v>
      </x:c>
      <x:c r="BD204" s="43" t="n">
        <x:v>8240482</x:v>
      </x:c>
      <x:c r="BE204" s="48" t="n">
        <x:v>0.9480637980265801</x:v>
      </x:c>
      <x:c r="BF204" s="43" t="n">
        <x:v>0</x:v>
      </x:c>
      <x:c r="BG204" s="43" t="n">
        <x:v>0</x:v>
      </x:c>
      <x:c r="BH204" s="43" t="n">
        <x:v>0</x:v>
      </x:c>
      <x:c r="BI204" s="43" t="n">
        <x:v>5006</x:v>
      </x:c>
      <x:c r="BJ204" s="43" t="n">
        <x:v>0</x:v>
      </x:c>
      <x:c r="BK204" s="43" t="n">
        <x:v>15000</x:v>
      </x:c>
      <x:c r="BL204" s="43" t="n">
        <x:v>0</x:v>
      </x:c>
      <x:c r="BM204" s="44" t="str">
        <x:v>{"getCount":158665472,"missCount":8240482,"loadCount":0,"loadExceptionCount":0,"suppressedLoadExceptionCount":0,"refreshCount":0,"refreshFailedCount":0,"refreshedHitCount":0,"expiredCount":0,"evictedCount":5006,"putCount":15000,"removeCount":0,"keyMutationCount":0,"totalLoadMillis":0}</x:v>
      </x:c>
    </x:row>
    <x:row r="205">
      <x:c r="A205" s="34" t="str">
        <x:v>article1-unified-v4-2-fb3f101b-20260903-000401-default-f04-p3-cache2k</x:v>
      </x:c>
      <x:c r="B205" s="34" t="str">
        <x:v>default</x:v>
      </x:c>
      <x:c r="C205" s="34" t="str">
        <x:v>cache2k</x:v>
      </x:c>
      <x:c r="D205" s="34" t="str">
        <x:v>cache2k</x:v>
      </x:c>
      <x:c r="E205" s="34" t="str">
        <x:v>current-provider-primary-comparison</x:v>
      </x:c>
      <x:c r="F205" s="36" t="n">
        <x:v>4</x:v>
      </x:c>
      <x:c r="G205" s="36" t="n">
        <x:v>4</x:v>
      </x:c>
      <x:c r="H205" s="36" t="n">
        <x:v>3</x:v>
      </x:c>
      <x:c r="I205" s="36" t="n">
        <x:v>2</x:v>
      </x:c>
      <x:c r="J205" s="34" t="str">
        <x:v>redeploy</x:v>
      </x:c>
      <x:c r="K205" s="34" t="str">
        <x:v>cache-semantics</x:v>
      </x:c>
      <x:c r="L205" s="45" t="b">
        <x:v>1</x:v>
      </x:c>
      <x:c r="M205" s="36" t="n">
        <x:v>972724800</x:v>
      </x:c>
      <x:c r="N205" s="34" t="str">
        <x:v>622a36620fa8caac2865206ddff77d854d1b43b1dd314943f9681ddaa3b0eea1</x:v>
      </x:c>
      <x:c r="O205" s="43" t="n">
        <x:v>10000</x:v>
      </x:c>
      <x:c r="P205" s="43" t="n">
        <x:v>400000</x:v>
      </x:c>
      <x:c r="Q205" s="36" t="n">
        <x:v>8</x:v>
      </x:c>
      <x:c r="R205" s="42" t="n">
        <x:v>95</x:v>
      </x:c>
      <x:c r="S205" s="43" t="n">
        <x:v>512</x:v>
      </x:c>
      <x:c r="T205" s="43" t="n">
        <x:v>50000</x:v>
      </x:c>
      <x:c r="U205" s="46" t="n">
        <x:v>3</x:v>
      </x:c>
      <x:c r="V205" s="46" t="n">
        <x:v>5</x:v>
      </x:c>
      <x:c r="W205" s="43" t="n">
        <x:v>300</x:v>
      </x:c>
      <x:c r="X205" s="34" t="str">
        <x:v>uniform</x:v>
      </x:c>
      <x:c r="Y205" s="42" t="n">
        <x:v>10</x:v>
      </x:c>
      <x:c r="Z205" s="34" t="str">
        <x:v>strict</x:v>
      </x:c>
      <x:c r="AA205" s="36" t="n">
        <x:v>64</x:v>
      </x:c>
      <x:c r="AB205" s="43" t="n">
        <x:v>98970880</x:v>
      </x:c>
      <x:c r="AC205" s="43" t="n">
        <x:v>3026058305</x:v>
      </x:c>
      <x:c r="AD205" s="43" t="n">
        <x:v>26058305</x:v>
      </x:c>
      <x:c r="AE205" s="43" t="n">
        <x:v>1902582.8132464665</x:v>
      </x:c>
      <x:c r="AF205" s="43" t="n">
        <x:v>30525489.8910647</x:v>
      </x:c>
      <x:c r="AG205" s="43" t="n">
        <x:v>152719872</x:v>
      </x:c>
      <x:c r="AH205" s="43" t="n">
        <x:v>5003027717</x:v>
      </x:c>
      <x:c r="AI205" s="43" t="n">
        <x:v>3027717</x:v>
      </x:c>
      <x:c r="AJ205" s="43" t="n">
        <x:v>30525489.8910647</x:v>
      </x:c>
      <x:c r="AK205" s="43" t="n">
        <x:v>152719872</x:v>
      </x:c>
      <x:c r="AL205" s="43" t="n">
        <x:v>0</x:v>
      </x:c>
      <x:c r="AM205" s="43" t="n">
        <x:v>479707.462876159</x:v>
      </x:c>
      <x:c r="AN205" s="43" t="n">
        <x:v>150</x:v>
      </x:c>
      <x:c r="AO205" s="43" t="n">
        <x:v>330</x:v>
      </x:c>
      <x:c r="AP205" s="43" t="n">
        <x:v>511</x:v>
      </x:c>
      <x:c r="AQ205" s="43" t="n">
        <x:v>2386248</x:v>
      </x:c>
      <x:c r="AR205" s="43" t="n">
        <x:v>1</x:v>
      </x:c>
      <x:c r="AS205" s="45" t="b">
        <x:v>1</x:v>
      </x:c>
      <x:c r="AT205" s="43" t="n">
        <x:v>9979</x:v>
      </x:c>
      <x:c r="AU205" s="48" t="n">
        <x:v>0.9480435984126545</x:v>
      </x:c>
      <x:c r="AV205" s="43" t="n">
        <x:v>9996</x:v>
      </x:c>
      <x:c r="AW205" s="48" t="n">
        <x:v>0.9480435984126545</x:v>
      </x:c>
      <x:c r="AX205" s="45" t="b">
        <x:v>1</x:v>
      </x:c>
      <x:c r="AY205" s="44" t="str">
        <x:v>{"provider":"cache2k","currentEntries":9979,"requestCount":152719872,"hitCount":144785097,"missCount":7934775,"hitRate":0.9480435984126545,"loadSuccessCount":0,"loadFailureCount":0,"totalLoadTimeNanos":0,"evictionCount":21,"expirationCount":0,"putCount":10000,"removeCount":0,"nativeMetrics":{"getCount":152719872,"missCount":7934775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5" s="44" t="str">
        <x:v>{"provider":"cache2k","currentEntries":9996,"requestCount":152719872,"hitCount":144785097,"missCount":7934775,"hitRate":0.9480435984126545,"loadSuccessCount":0,"loadFailureCount":0,"totalLoadTimeNanos":0,"evictionCount":5004,"expirationCount":0,"putCount":15000,"removeCount":0,"nativeMetrics":{"getCount":152719872,"missCount":7934775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205" s="43" t="n">
        <x:v>9996</x:v>
      </x:c>
      <x:c r="BB205" s="43" t="n">
        <x:v>152719872</x:v>
      </x:c>
      <x:c r="BC205" s="43" t="n">
        <x:v>144785097</x:v>
      </x:c>
      <x:c r="BD205" s="43" t="n">
        <x:v>7934775</x:v>
      </x:c>
      <x:c r="BE205" s="48" t="n">
        <x:v>0.9480435984126545</x:v>
      </x:c>
      <x:c r="BF205" s="43" t="n">
        <x:v>0</x:v>
      </x:c>
      <x:c r="BG205" s="43" t="n">
        <x:v>0</x:v>
      </x:c>
      <x:c r="BH205" s="43" t="n">
        <x:v>0</x:v>
      </x:c>
      <x:c r="BI205" s="43" t="n">
        <x:v>5004</x:v>
      </x:c>
      <x:c r="BJ205" s="43" t="n">
        <x:v>0</x:v>
      </x:c>
      <x:c r="BK205" s="43" t="n">
        <x:v>15000</x:v>
      </x:c>
      <x:c r="BL205" s="43" t="n">
        <x:v>0</x:v>
      </x:c>
      <x:c r="BM205" s="44" t="str">
        <x:v>{"getCount":152719872,"missCount":7934775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206">
      <x:c r="A206" s="34" t="str">
        <x:v>article1-unified-v4-2-fb3f101b-20260903-000401-default-f04-p3-cache2k</x:v>
      </x:c>
      <x:c r="B206" s="34" t="str">
        <x:v>default</x:v>
      </x:c>
      <x:c r="C206" s="34" t="str">
        <x:v>cache2k</x:v>
      </x:c>
      <x:c r="D206" s="34" t="str">
        <x:v>cache2k</x:v>
      </x:c>
      <x:c r="E206" s="34" t="str">
        <x:v>current-provider-primary-comparison</x:v>
      </x:c>
      <x:c r="F206" s="36" t="n">
        <x:v>4</x:v>
      </x:c>
      <x:c r="G206" s="36" t="n">
        <x:v>4</x:v>
      </x:c>
      <x:c r="H206" s="36" t="n">
        <x:v>3</x:v>
      </x:c>
      <x:c r="I206" s="36" t="n">
        <x:v>3</x:v>
      </x:c>
      <x:c r="J206" s="34" t="str">
        <x:v>initial</x:v>
      </x:c>
      <x:c r="K206" s="34" t="str">
        <x:v>cache-semantics</x:v>
      </x:c>
      <x:c r="L206" s="45" t="b">
        <x:v>1</x:v>
      </x:c>
      <x:c r="M206" s="36" t="n">
        <x:v>1079766481</x:v>
      </x:c>
      <x:c r="N206" s="34" t="str">
        <x:v>2003ab2bf661debde50fa9590451b61ccb907c7e521f8a8e45087b02af93afef</x:v>
      </x:c>
      <x:c r="O206" s="43" t="n">
        <x:v>10000</x:v>
      </x:c>
      <x:c r="P206" s="43" t="n">
        <x:v>400000</x:v>
      </x:c>
      <x:c r="Q206" s="36" t="n">
        <x:v>8</x:v>
      </x:c>
      <x:c r="R206" s="42" t="n">
        <x:v>95</x:v>
      </x:c>
      <x:c r="S206" s="43" t="n">
        <x:v>512</x:v>
      </x:c>
      <x:c r="T206" s="43" t="n">
        <x:v>50000</x:v>
      </x:c>
      <x:c r="U206" s="46" t="n">
        <x:v>3</x:v>
      </x:c>
      <x:c r="V206" s="46" t="n">
        <x:v>5</x:v>
      </x:c>
      <x:c r="W206" s="43" t="n">
        <x:v>300</x:v>
      </x:c>
      <x:c r="X206" s="34" t="str">
        <x:v>uniform</x:v>
      </x:c>
      <x:c r="Y206" s="42" t="n">
        <x:v>10</x:v>
      </x:c>
      <x:c r="Z206" s="34" t="str">
        <x:v>strict</x:v>
      </x:c>
      <x:c r="AA206" s="36" t="n">
        <x:v>64</x:v>
      </x:c>
      <x:c r="AB206" s="43" t="n">
        <x:v>94212096</x:v>
      </x:c>
      <x:c r="AC206" s="43" t="n">
        <x:v>3000537745</x:v>
      </x:c>
      <x:c r="AD206" s="43" t="n">
        <x:v>537745</x:v>
      </x:c>
      <x:c r="AE206" s="43" t="n">
        <x:v>2017085.928062244</x:v>
      </x:c>
      <x:c r="AF206" s="43" t="n">
        <x:v>32089533.009796564</x:v>
      </x:c>
      <x:c r="AG206" s="43" t="n">
        <x:v>160529408</x:v>
      </x:c>
      <x:c r="AH206" s="43" t="n">
        <x:v>5002547340</x:v>
      </x:c>
      <x:c r="AI206" s="43" t="n">
        <x:v>2547340</x:v>
      </x:c>
      <x:c r="AJ206" s="43" t="n">
        <x:v>32089533.009796564</x:v>
      </x:c>
      <x:c r="AK206" s="43" t="n">
        <x:v>160529408</x:v>
      </x:c>
      <x:c r="AL206" s="43" t="n">
        <x:v>0</x:v>
      </x:c>
      <x:c r="AM206" s="43" t="n">
        <x:v>444643.7634221278</x:v>
      </x:c>
      <x:c r="AN206" s="43" t="n">
        <x:v>140</x:v>
      </x:c>
      <x:c r="AO206" s="43" t="n">
        <x:v>310</x:v>
      </x:c>
      <x:c r="AP206" s="43" t="n">
        <x:v>481</x:v>
      </x:c>
      <x:c r="AQ206" s="43" t="n">
        <x:v>2508272</x:v>
      </x:c>
      <x:c r="AR206" s="43" t="n">
        <x:v>1</x:v>
      </x:c>
      <x:c r="AS206" s="45" t="b">
        <x:v>1</x:v>
      </x:c>
      <x:c r="AT206" s="43" t="n">
        <x:v>9979</x:v>
      </x:c>
      <x:c r="AU206" s="48" t="n">
        <x:v>0.9479523714433682</x:v>
      </x:c>
      <x:c r="AV206" s="43" t="n">
        <x:v>9992</x:v>
      </x:c>
      <x:c r="AW206" s="48" t="n">
        <x:v>0.9479523714433682</x:v>
      </x:c>
      <x:c r="AX206" s="45" t="b">
        <x:v>1</x:v>
      </x:c>
      <x:c r="AY206" s="44" t="str">
        <x:v>{"provider":"cache2k","currentEntries":9979,"requestCount":160529408,"hitCount":152174233,"missCount":8355175,"hitRate":0.9479523714433682,"loadSuccessCount":0,"loadFailureCount":0,"totalLoadTimeNanos":0,"evictionCount":21,"expirationCount":0,"putCount":10000,"removeCount":0,"nativeMetrics":{"getCount":160529408,"missCount":8355175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6" s="44" t="str">
        <x:v>{"provider":"cache2k","currentEntries":9992,"requestCount":160529408,"hitCount":152174233,"missCount":8355175,"hitRate":0.9479523714433682,"loadSuccessCount":0,"loadFailureCount":0,"totalLoadTimeNanos":0,"evictionCount":5008,"expirationCount":0,"putCount":15000,"removeCount":0,"nativeMetrics":{"getCount":160529408,"missCount":8355175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206" s="43" t="n">
        <x:v>9992</x:v>
      </x:c>
      <x:c r="BB206" s="43" t="n">
        <x:v>160529408</x:v>
      </x:c>
      <x:c r="BC206" s="43" t="n">
        <x:v>152174233</x:v>
      </x:c>
      <x:c r="BD206" s="43" t="n">
        <x:v>8355175</x:v>
      </x:c>
      <x:c r="BE206" s="48" t="n">
        <x:v>0.9479523714433682</x:v>
      </x:c>
      <x:c r="BF206" s="43" t="n">
        <x:v>0</x:v>
      </x:c>
      <x:c r="BG206" s="43" t="n">
        <x:v>0</x:v>
      </x:c>
      <x:c r="BH206" s="43" t="n">
        <x:v>0</x:v>
      </x:c>
      <x:c r="BI206" s="43" t="n">
        <x:v>5008</x:v>
      </x:c>
      <x:c r="BJ206" s="43" t="n">
        <x:v>0</x:v>
      </x:c>
      <x:c r="BK206" s="43" t="n">
        <x:v>15000</x:v>
      </x:c>
      <x:c r="BL206" s="43" t="n">
        <x:v>0</x:v>
      </x:c>
      <x:c r="BM206" s="44" t="str">
        <x:v>{"getCount":160529408,"missCount":8355175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207">
      <x:c r="A207" s="34" t="str">
        <x:v>article1-unified-v4-2-fb3f101b-20260903-000401-default-f04-p3-cache2k</x:v>
      </x:c>
      <x:c r="B207" s="34" t="str">
        <x:v>default</x:v>
      </x:c>
      <x:c r="C207" s="34" t="str">
        <x:v>cache2k</x:v>
      </x:c>
      <x:c r="D207" s="34" t="str">
        <x:v>cache2k</x:v>
      </x:c>
      <x:c r="E207" s="34" t="str">
        <x:v>current-provider-primary-comparison</x:v>
      </x:c>
      <x:c r="F207" s="36" t="n">
        <x:v>4</x:v>
      </x:c>
      <x:c r="G207" s="36" t="n">
        <x:v>4</x:v>
      </x:c>
      <x:c r="H207" s="36" t="n">
        <x:v>3</x:v>
      </x:c>
      <x:c r="I207" s="36" t="n">
        <x:v>3</x:v>
      </x:c>
      <x:c r="J207" s="34" t="str">
        <x:v>redeploy</x:v>
      </x:c>
      <x:c r="K207" s="34" t="str">
        <x:v>cache-semantics</x:v>
      </x:c>
      <x:c r="L207" s="45" t="b">
        <x:v>1</x:v>
      </x:c>
      <x:c r="M207" s="36" t="n">
        <x:v>1079766481</x:v>
      </x:c>
      <x:c r="N207" s="34" t="str">
        <x:v>2003ab2bf661debde50fa9590451b61ccb907c7e521f8a8e45087b02af93afef</x:v>
      </x:c>
      <x:c r="O207" s="43" t="n">
        <x:v>10000</x:v>
      </x:c>
      <x:c r="P207" s="43" t="n">
        <x:v>400000</x:v>
      </x:c>
      <x:c r="Q207" s="36" t="n">
        <x:v>8</x:v>
      </x:c>
      <x:c r="R207" s="42" t="n">
        <x:v>95</x:v>
      </x:c>
      <x:c r="S207" s="43" t="n">
        <x:v>512</x:v>
      </x:c>
      <x:c r="T207" s="43" t="n">
        <x:v>50000</x:v>
      </x:c>
      <x:c r="U207" s="46" t="n">
        <x:v>3</x:v>
      </x:c>
      <x:c r="V207" s="46" t="n">
        <x:v>5</x:v>
      </x:c>
      <x:c r="W207" s="43" t="n">
        <x:v>300</x:v>
      </x:c>
      <x:c r="X207" s="34" t="str">
        <x:v>uniform</x:v>
      </x:c>
      <x:c r="Y207" s="42" t="n">
        <x:v>10</x:v>
      </x:c>
      <x:c r="Z207" s="34" t="str">
        <x:v>strict</x:v>
      </x:c>
      <x:c r="AA207" s="36" t="n">
        <x:v>64</x:v>
      </x:c>
      <x:c r="AB207" s="43" t="n">
        <x:v>96944128</x:v>
      </x:c>
      <x:c r="AC207" s="43" t="n">
        <x:v>3038676431</x:v>
      </x:c>
      <x:c r="AD207" s="43" t="n">
        <x:v>38676431</x:v>
      </x:c>
      <x:c r="AE207" s="43" t="n">
        <x:v>1744016.1063375452</x:v>
      </x:c>
      <x:c r="AF207" s="43" t="n">
        <x:v>31578079.23164408</x:v>
      </x:c>
      <x:c r="AG207" s="43" t="n">
        <x:v>157970432</x:v>
      </x:c>
      <x:c r="AH207" s="43" t="n">
        <x:v>5002534538</x:v>
      </x:c>
      <x:c r="AI207" s="43" t="n">
        <x:v>2534538</x:v>
      </x:c>
      <x:c r="AJ207" s="43" t="n">
        <x:v>31578079.23164408</x:v>
      </x:c>
      <x:c r="AK207" s="43" t="n">
        <x:v>157970432</x:v>
      </x:c>
      <x:c r="AL207" s="43" t="n">
        <x:v>0</x:v>
      </x:c>
      <x:c r="AM207" s="43" t="n">
        <x:v>440751.65081327053</x:v>
      </x:c>
      <x:c r="AN207" s="43" t="n">
        <x:v>140</x:v>
      </x:c>
      <x:c r="AO207" s="43" t="n">
        <x:v>311</x:v>
      </x:c>
      <x:c r="AP207" s="43" t="n">
        <x:v>521</x:v>
      </x:c>
      <x:c r="AQ207" s="43" t="n">
        <x:v>2468288</x:v>
      </x:c>
      <x:c r="AR207" s="43" t="n">
        <x:v>1</x:v>
      </x:c>
      <x:c r="AS207" s="45" t="b">
        <x:v>1</x:v>
      </x:c>
      <x:c r="AT207" s="43" t="n">
        <x:v>9979</x:v>
      </x:c>
      <x:c r="AU207" s="48" t="n">
        <x:v>0.9479622427062806</x:v>
      </x:c>
      <x:c r="AV207" s="43" t="n">
        <x:v>9993</x:v>
      </x:c>
      <x:c r="AW207" s="48" t="n">
        <x:v>0.9479622427062806</x:v>
      </x:c>
      <x:c r="AX207" s="45" t="b">
        <x:v>1</x:v>
      </x:c>
      <x:c r="AY207" s="44" t="str">
        <x:v>{"provider":"cache2k","currentEntries":9979,"requestCount":157970432,"hitCount":149750005,"missCount":8220427,"hitRate":0.9479622427062806,"loadSuccessCount":0,"loadFailureCount":0,"totalLoadTimeNanos":0,"evictionCount":21,"expirationCount":0,"putCount":10000,"removeCount":0,"nativeMetrics":{"getCount":157970432,"missCount":8220427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7" s="44" t="str">
        <x:v>{"provider":"cache2k","currentEntries":9993,"requestCount":157970432,"hitCount":149750005,"missCount":8220427,"hitRate":0.9479622427062806,"loadSuccessCount":0,"loadFailureCount":0,"totalLoadTimeNanos":0,"evictionCount":5007,"expirationCount":0,"putCount":15000,"removeCount":0,"nativeMetrics":{"getCount":157970432,"missCount":8220427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207" s="43" t="n">
        <x:v>9993</x:v>
      </x:c>
      <x:c r="BB207" s="43" t="n">
        <x:v>157970432</x:v>
      </x:c>
      <x:c r="BC207" s="43" t="n">
        <x:v>149750005</x:v>
      </x:c>
      <x:c r="BD207" s="43" t="n">
        <x:v>8220427</x:v>
      </x:c>
      <x:c r="BE207" s="48" t="n">
        <x:v>0.9479622427062806</x:v>
      </x:c>
      <x:c r="BF207" s="43" t="n">
        <x:v>0</x:v>
      </x:c>
      <x:c r="BG207" s="43" t="n">
        <x:v>0</x:v>
      </x:c>
      <x:c r="BH207" s="43" t="n">
        <x:v>0</x:v>
      </x:c>
      <x:c r="BI207" s="43" t="n">
        <x:v>5007</x:v>
      </x:c>
      <x:c r="BJ207" s="43" t="n">
        <x:v>0</x:v>
      </x:c>
      <x:c r="BK207" s="43" t="n">
        <x:v>15000</x:v>
      </x:c>
      <x:c r="BL207" s="43" t="n">
        <x:v>0</x:v>
      </x:c>
      <x:c r="BM207" s="44" t="str">
        <x:v>{"getCount":157970432,"missCount":8220427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208">
      <x:c r="A208" s="34" t="str">
        <x:v>article1-unified-v4-2-fb3f101b-20260903-000401-default-f04-p3-cache2k</x:v>
      </x:c>
      <x:c r="B208" s="34" t="str">
        <x:v>default</x:v>
      </x:c>
      <x:c r="C208" s="34" t="str">
        <x:v>cache2k</x:v>
      </x:c>
      <x:c r="D208" s="34" t="str">
        <x:v>cache2k</x:v>
      </x:c>
      <x:c r="E208" s="34" t="str">
        <x:v>current-provider-primary-comparison</x:v>
      </x:c>
      <x:c r="F208" s="36" t="n">
        <x:v>4</x:v>
      </x:c>
      <x:c r="G208" s="36" t="n">
        <x:v>4</x:v>
      </x:c>
      <x:c r="H208" s="36" t="n">
        <x:v>3</x:v>
      </x:c>
      <x:c r="I208" s="36" t="n">
        <x:v>4</x:v>
      </x:c>
      <x:c r="J208" s="34" t="str">
        <x:v>initial</x:v>
      </x:c>
      <x:c r="K208" s="34" t="str">
        <x:v>cache-semantics</x:v>
      </x:c>
      <x:c r="L208" s="45" t="b">
        <x:v>1</x:v>
      </x:c>
      <x:c r="M208" s="36" t="n">
        <x:v>153065368</x:v>
      </x:c>
      <x:c r="N208" s="34" t="str">
        <x:v>13e2812983530d3984d2699f769b1b94ef065a0bcaeae2fdd816f73034de5703</x:v>
      </x:c>
      <x:c r="O208" s="43" t="n">
        <x:v>10000</x:v>
      </x:c>
      <x:c r="P208" s="43" t="n">
        <x:v>400000</x:v>
      </x:c>
      <x:c r="Q208" s="36" t="n">
        <x:v>8</x:v>
      </x:c>
      <x:c r="R208" s="42" t="n">
        <x:v>95</x:v>
      </x:c>
      <x:c r="S208" s="43" t="n">
        <x:v>512</x:v>
      </x:c>
      <x:c r="T208" s="43" t="n">
        <x:v>50000</x:v>
      </x:c>
      <x:c r="U208" s="46" t="n">
        <x:v>3</x:v>
      </x:c>
      <x:c r="V208" s="46" t="n">
        <x:v>5</x:v>
      </x:c>
      <x:c r="W208" s="43" t="n">
        <x:v>300</x:v>
      </x:c>
      <x:c r="X208" s="34" t="str">
        <x:v>uniform</x:v>
      </x:c>
      <x:c r="Y208" s="42" t="n">
        <x:v>10</x:v>
      </x:c>
      <x:c r="Z208" s="34" t="str">
        <x:v>strict</x:v>
      </x:c>
      <x:c r="AA208" s="36" t="n">
        <x:v>64</x:v>
      </x:c>
      <x:c r="AB208" s="43" t="n">
        <x:v>98418688</x:v>
      </x:c>
      <x:c r="AC208" s="43" t="n">
        <x:v>3040187824</x:v>
      </x:c>
      <x:c r="AD208" s="43" t="n">
        <x:v>40187824</x:v>
      </x:c>
      <x:c r="AE208" s="43" t="n">
        <x:v>1893480.0098688179</x:v>
      </x:c>
      <x:c r="AF208" s="43" t="n">
        <x:v>31001457.019140344</x:v>
      </x:c>
      <x:c r="AG208" s="43" t="n">
        <x:v>155086592</x:v>
      </x:c>
      <x:c r="AH208" s="43" t="n">
        <x:v>5002558167</x:v>
      </x:c>
      <x:c r="AI208" s="43" t="n">
        <x:v>2558167</x:v>
      </x:c>
      <x:c r="AJ208" s="43" t="n">
        <x:v>31001457.019140344</x:v>
      </x:c>
      <x:c r="AK208" s="43" t="n">
        <x:v>155086592</x:v>
      </x:c>
      <x:c r="AL208" s="43" t="n">
        <x:v>0</x:v>
      </x:c>
      <x:c r="AM208" s="43" t="n">
        <x:v>502505.59338976</x:v>
      </x:c>
      <x:c r="AN208" s="43" t="n">
        <x:v>140</x:v>
      </x:c>
      <x:c r="AO208" s="43" t="n">
        <x:v>320</x:v>
      </x:c>
      <x:c r="AP208" s="43" t="n">
        <x:v>531</x:v>
      </x:c>
      <x:c r="AQ208" s="43" t="n">
        <x:v>2423228</x:v>
      </x:c>
      <x:c r="AR208" s="43" t="n">
        <x:v>1</x:v>
      </x:c>
      <x:c r="AS208" s="45" t="b">
        <x:v>1</x:v>
      </x:c>
      <x:c r="AT208" s="43" t="n">
        <x:v>9979</x:v>
      </x:c>
      <x:c r="AU208" s="48" t="n">
        <x:v>0.947642585375788</x:v>
      </x:c>
      <x:c r="AV208" s="43" t="n">
        <x:v>9995</x:v>
      </x:c>
      <x:c r="AW208" s="48" t="n">
        <x:v>0.947642585375788</x:v>
      </x:c>
      <x:c r="AX208" s="45" t="b">
        <x:v>1</x:v>
      </x:c>
      <x:c r="AY208" s="44" t="str">
        <x:v>{"provider":"cache2k","currentEntries":9979,"requestCount":155086592,"hitCount":146966659,"missCount":8119933,"hitRate":0.947642585375788,"loadSuccessCount":0,"loadFailureCount":0,"totalLoadTimeNanos":0,"evictionCount":21,"expirationCount":0,"putCount":10000,"removeCount":0,"nativeMetrics":{"getCount":155086592,"missCount":8119933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8" s="44" t="str">
        <x:v>{"provider":"cache2k","currentEntries":9995,"requestCount":155086592,"hitCount":146966659,"missCount":8119933,"hitRate":0.947642585375788,"loadSuccessCount":0,"loadFailureCount":0,"totalLoadTimeNanos":0,"evictionCount":5005,"expirationCount":0,"putCount":15000,"removeCount":0,"nativeMetrics":{"getCount":155086592,"missCount":8119933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208" s="43" t="n">
        <x:v>9995</x:v>
      </x:c>
      <x:c r="BB208" s="43" t="n">
        <x:v>155086592</x:v>
      </x:c>
      <x:c r="BC208" s="43" t="n">
        <x:v>146966659</x:v>
      </x:c>
      <x:c r="BD208" s="43" t="n">
        <x:v>8119933</x:v>
      </x:c>
      <x:c r="BE208" s="48" t="n">
        <x:v>0.947642585375788</x:v>
      </x:c>
      <x:c r="BF208" s="43" t="n">
        <x:v>0</x:v>
      </x:c>
      <x:c r="BG208" s="43" t="n">
        <x:v>0</x:v>
      </x:c>
      <x:c r="BH208" s="43" t="n">
        <x:v>0</x:v>
      </x:c>
      <x:c r="BI208" s="43" t="n">
        <x:v>5005</x:v>
      </x:c>
      <x:c r="BJ208" s="43" t="n">
        <x:v>0</x:v>
      </x:c>
      <x:c r="BK208" s="43" t="n">
        <x:v>15000</x:v>
      </x:c>
      <x:c r="BL208" s="43" t="n">
        <x:v>0</x:v>
      </x:c>
      <x:c r="BM208" s="44" t="str">
        <x:v>{"getCount":155086592,"missCount":8119933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209">
      <x:c r="A209" s="34" t="str">
        <x:v>article1-unified-v4-2-fb3f101b-20260903-000401-default-f04-p3-cache2k</x:v>
      </x:c>
      <x:c r="B209" s="34" t="str">
        <x:v>default</x:v>
      </x:c>
      <x:c r="C209" s="34" t="str">
        <x:v>cache2k</x:v>
      </x:c>
      <x:c r="D209" s="34" t="str">
        <x:v>cache2k</x:v>
      </x:c>
      <x:c r="E209" s="34" t="str">
        <x:v>current-provider-primary-comparison</x:v>
      </x:c>
      <x:c r="F209" s="36" t="n">
        <x:v>4</x:v>
      </x:c>
      <x:c r="G209" s="36" t="n">
        <x:v>4</x:v>
      </x:c>
      <x:c r="H209" s="36" t="n">
        <x:v>3</x:v>
      </x:c>
      <x:c r="I209" s="36" t="n">
        <x:v>4</x:v>
      </x:c>
      <x:c r="J209" s="34" t="str">
        <x:v>redeploy</x:v>
      </x:c>
      <x:c r="K209" s="34" t="str">
        <x:v>cache-semantics</x:v>
      </x:c>
      <x:c r="L209" s="45" t="b">
        <x:v>1</x:v>
      </x:c>
      <x:c r="M209" s="36" t="n">
        <x:v>153065368</x:v>
      </x:c>
      <x:c r="N209" s="34" t="str">
        <x:v>13e2812983530d3984d2699f769b1b94ef065a0bcaeae2fdd816f73034de5703</x:v>
      </x:c>
      <x:c r="O209" s="43" t="n">
        <x:v>10000</x:v>
      </x:c>
      <x:c r="P209" s="43" t="n">
        <x:v>400000</x:v>
      </x:c>
      <x:c r="Q209" s="36" t="n">
        <x:v>8</x:v>
      </x:c>
      <x:c r="R209" s="42" t="n">
        <x:v>95</x:v>
      </x:c>
      <x:c r="S209" s="43" t="n">
        <x:v>512</x:v>
      </x:c>
      <x:c r="T209" s="43" t="n">
        <x:v>50000</x:v>
      </x:c>
      <x:c r="U209" s="46" t="n">
        <x:v>3</x:v>
      </x:c>
      <x:c r="V209" s="46" t="n">
        <x:v>5</x:v>
      </x:c>
      <x:c r="W209" s="43" t="n">
        <x:v>300</x:v>
      </x:c>
      <x:c r="X209" s="34" t="str">
        <x:v>uniform</x:v>
      </x:c>
      <x:c r="Y209" s="42" t="n">
        <x:v>10</x:v>
      </x:c>
      <x:c r="Z209" s="34" t="str">
        <x:v>strict</x:v>
      </x:c>
      <x:c r="AA209" s="36" t="n">
        <x:v>64</x:v>
      </x:c>
      <x:c r="AB209" s="43" t="n">
        <x:v>94433792</x:v>
      </x:c>
      <x:c r="AC209" s="43" t="n">
        <x:v>3003203545</x:v>
      </x:c>
      <x:c r="AD209" s="43" t="n">
        <x:v>3203545</x:v>
      </x:c>
      <x:c r="AE209" s="43" t="n">
        <x:v>1830349.314845341</x:v>
      </x:c>
      <x:c r="AF209" s="43" t="n">
        <x:v>31132425.7418345</x:v>
      </x:c>
      <x:c r="AG209" s="43" t="n">
        <x:v>155733760</x:v>
      </x:c>
      <x:c r="AH209" s="43" t="n">
        <x:v>5002300858</x:v>
      </x:c>
      <x:c r="AI209" s="43" t="n">
        <x:v>2300858</x:v>
      </x:c>
      <x:c r="AJ209" s="43" t="n">
        <x:v>31132425.7418345</x:v>
      </x:c>
      <x:c r="AK209" s="43" t="n">
        <x:v>155733760</x:v>
      </x:c>
      <x:c r="AL209" s="43" t="n">
        <x:v>0</x:v>
      </x:c>
      <x:c r="AM209" s="43" t="n">
        <x:v>465864.8697451142</x:v>
      </x:c>
      <x:c r="AN209" s="43" t="n">
        <x:v>141</x:v>
      </x:c>
      <x:c r="AO209" s="43" t="n">
        <x:v>330</x:v>
      </x:c>
      <x:c r="AP209" s="43" t="n">
        <x:v>521</x:v>
      </x:c>
      <x:c r="AQ209" s="43" t="n">
        <x:v>2433340</x:v>
      </x:c>
      <x:c r="AR209" s="43" t="n">
        <x:v>1</x:v>
      </x:c>
      <x:c r="AS209" s="45" t="b">
        <x:v>1</x:v>
      </x:c>
      <x:c r="AT209" s="43" t="n">
        <x:v>9979</x:v>
      </x:c>
      <x:c r="AU209" s="48" t="n">
        <x:v>0.9476418279504714</x:v>
      </x:c>
      <x:c r="AV209" s="43" t="n">
        <x:v>9995</x:v>
      </x:c>
      <x:c r="AW209" s="48" t="n">
        <x:v>0.9476418279504714</x:v>
      </x:c>
      <x:c r="AX209" s="45" t="b">
        <x:v>1</x:v>
      </x:c>
      <x:c r="AY209" s="44" t="str">
        <x:v>{"provider":"cache2k","currentEntries":9979,"requestCount":155733760,"hitCount":147579825,"missCount":8153935,"hitRate":0.9476418279504714,"loadSuccessCount":0,"loadFailureCount":0,"totalLoadTimeNanos":0,"evictionCount":21,"expirationCount":0,"putCount":10000,"removeCount":0,"nativeMetrics":{"getCount":155733760,"missCount":8153935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09" s="44" t="str">
        <x:v>{"provider":"cache2k","currentEntries":9995,"requestCount":155733760,"hitCount":147579825,"missCount":8153935,"hitRate":0.9476418279504714,"loadSuccessCount":0,"loadFailureCount":0,"totalLoadTimeNanos":0,"evictionCount":5005,"expirationCount":0,"putCount":15000,"removeCount":0,"nativeMetrics":{"getCount":155733760,"missCount":8153935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209" s="43" t="n">
        <x:v>9995</x:v>
      </x:c>
      <x:c r="BB209" s="43" t="n">
        <x:v>155733760</x:v>
      </x:c>
      <x:c r="BC209" s="43" t="n">
        <x:v>147579825</x:v>
      </x:c>
      <x:c r="BD209" s="43" t="n">
        <x:v>8153935</x:v>
      </x:c>
      <x:c r="BE209" s="48" t="n">
        <x:v>0.9476418279504714</x:v>
      </x:c>
      <x:c r="BF209" s="43" t="n">
        <x:v>0</x:v>
      </x:c>
      <x:c r="BG209" s="43" t="n">
        <x:v>0</x:v>
      </x:c>
      <x:c r="BH209" s="43" t="n">
        <x:v>0</x:v>
      </x:c>
      <x:c r="BI209" s="43" t="n">
        <x:v>5005</x:v>
      </x:c>
      <x:c r="BJ209" s="43" t="n">
        <x:v>0</x:v>
      </x:c>
      <x:c r="BK209" s="43" t="n">
        <x:v>15000</x:v>
      </x:c>
      <x:c r="BL209" s="43" t="n">
        <x:v>0</x:v>
      </x:c>
      <x:c r="BM209" s="44" t="str">
        <x:v>{"getCount":155733760,"missCount":8153935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210">
      <x:c r="A210" s="34" t="str">
        <x:v>article1-unified-v4-2-fb3f101b-20260903-000401-default-f04-p3-cache2k</x:v>
      </x:c>
      <x:c r="B210" s="34" t="str">
        <x:v>default</x:v>
      </x:c>
      <x:c r="C210" s="34" t="str">
        <x:v>cache2k</x:v>
      </x:c>
      <x:c r="D210" s="34" t="str">
        <x:v>cache2k</x:v>
      </x:c>
      <x:c r="E210" s="34" t="str">
        <x:v>current-provider-primary-comparison</x:v>
      </x:c>
      <x:c r="F210" s="36" t="n">
        <x:v>4</x:v>
      </x:c>
      <x:c r="G210" s="36" t="n">
        <x:v>4</x:v>
      </x:c>
      <x:c r="H210" s="36" t="n">
        <x:v>3</x:v>
      </x:c>
      <x:c r="I210" s="36" t="n">
        <x:v>5</x:v>
      </x:c>
      <x:c r="J210" s="34" t="str">
        <x:v>initial</x:v>
      </x:c>
      <x:c r="K210" s="34" t="str">
        <x:v>cache-semantics</x:v>
      </x:c>
      <x:c r="L210" s="45" t="b">
        <x:v>1</x:v>
      </x:c>
      <x:c r="M210" s="36" t="n">
        <x:v>2019955368</x:v>
      </x:c>
      <x:c r="N210" s="34" t="str">
        <x:v>d64ba2cf71f68a5c314873e1c18092a1a2fe40603628b516f9936c8a249791fe</x:v>
      </x:c>
      <x:c r="O210" s="43" t="n">
        <x:v>10000</x:v>
      </x:c>
      <x:c r="P210" s="43" t="n">
        <x:v>400000</x:v>
      </x:c>
      <x:c r="Q210" s="36" t="n">
        <x:v>8</x:v>
      </x:c>
      <x:c r="R210" s="42" t="n">
        <x:v>95</x:v>
      </x:c>
      <x:c r="S210" s="43" t="n">
        <x:v>512</x:v>
      </x:c>
      <x:c r="T210" s="43" t="n">
        <x:v>50000</x:v>
      </x:c>
      <x:c r="U210" s="46" t="n">
        <x:v>3</x:v>
      </x:c>
      <x:c r="V210" s="46" t="n">
        <x:v>5</x:v>
      </x:c>
      <x:c r="W210" s="43" t="n">
        <x:v>300</x:v>
      </x:c>
      <x:c r="X210" s="34" t="str">
        <x:v>uniform</x:v>
      </x:c>
      <x:c r="Y210" s="42" t="n">
        <x:v>10</x:v>
      </x:c>
      <x:c r="Z210" s="34" t="str">
        <x:v>strict</x:v>
      </x:c>
      <x:c r="AA210" s="36" t="n">
        <x:v>64</x:v>
      </x:c>
      <x:c r="AB210" s="43" t="n">
        <x:v>102201088</x:v>
      </x:c>
      <x:c r="AC210" s="43" t="n">
        <x:v>3000470794</x:v>
      </x:c>
      <x:c r="AD210" s="43" t="n">
        <x:v>470794</x:v>
      </x:c>
      <x:c r="AE210" s="43" t="n">
        <x:v>2349048.3887524744</x:v>
      </x:c>
      <x:c r="AF210" s="43" t="n">
        <x:v>32806212.757827967</x:v>
      </x:c>
      <x:c r="AG210" s="43" t="n">
        <x:v>164146176</x:v>
      </x:c>
      <x:c r="AH210" s="43" t="n">
        <x:v>5003508854</x:v>
      </x:c>
      <x:c r="AI210" s="43" t="n">
        <x:v>3508854</x:v>
      </x:c>
      <x:c r="AJ210" s="43" t="n">
        <x:v>32806212.757827967</x:v>
      </x:c>
      <x:c r="AK210" s="43" t="n">
        <x:v>164146176</x:v>
      </x:c>
      <x:c r="AL210" s="43" t="n">
        <x:v>0</x:v>
      </x:c>
      <x:c r="AM210" s="43" t="n">
        <x:v>482694.3457763569</x:v>
      </x:c>
      <x:c r="AN210" s="43" t="n">
        <x:v>140</x:v>
      </x:c>
      <x:c r="AO210" s="43" t="n">
        <x:v>301</x:v>
      </x:c>
      <x:c r="AP210" s="43" t="n">
        <x:v>471</x:v>
      </x:c>
      <x:c r="AQ210" s="43" t="n">
        <x:v>2564784</x:v>
      </x:c>
      <x:c r="AR210" s="43" t="n">
        <x:v>1</x:v>
      </x:c>
      <x:c r="AS210" s="45" t="b">
        <x:v>1</x:v>
      </x:c>
      <x:c r="AT210" s="43" t="n">
        <x:v>9979</x:v>
      </x:c>
      <x:c r="AU210" s="48" t="n">
        <x:v>0.9478423426690122</x:v>
      </x:c>
      <x:c r="AV210" s="43" t="n">
        <x:v>9993</x:v>
      </x:c>
      <x:c r="AW210" s="48" t="n">
        <x:v>0.9478423426690122</x:v>
      </x:c>
      <x:c r="AX210" s="45" t="b">
        <x:v>1</x:v>
      </x:c>
      <x:c r="AY210" s="44" t="str">
        <x:v>{"provider":"cache2k","currentEntries":9979,"requestCount":164146176,"hitCount":155584696,"missCount":8561480,"hitRate":0.9478423426690122,"loadSuccessCount":0,"loadFailureCount":0,"totalLoadTimeNanos":0,"evictionCount":21,"expirationCount":0,"putCount":10000,"removeCount":0,"nativeMetrics":{"getCount":164146176,"missCount":8561480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10" s="44" t="str">
        <x:v>{"provider":"cache2k","currentEntries":9993,"requestCount":164146176,"hitCount":155584696,"missCount":8561480,"hitRate":0.9478423426690122,"loadSuccessCount":0,"loadFailureCount":0,"totalLoadTimeNanos":0,"evictionCount":5007,"expirationCount":0,"putCount":15000,"removeCount":0,"nativeMetrics":{"getCount":164146176,"missCount":8561480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210" s="43" t="n">
        <x:v>9993</x:v>
      </x:c>
      <x:c r="BB210" s="43" t="n">
        <x:v>164146176</x:v>
      </x:c>
      <x:c r="BC210" s="43" t="n">
        <x:v>155584696</x:v>
      </x:c>
      <x:c r="BD210" s="43" t="n">
        <x:v>8561480</x:v>
      </x:c>
      <x:c r="BE210" s="48" t="n">
        <x:v>0.9478423426690122</x:v>
      </x:c>
      <x:c r="BF210" s="43" t="n">
        <x:v>0</x:v>
      </x:c>
      <x:c r="BG210" s="43" t="n">
        <x:v>0</x:v>
      </x:c>
      <x:c r="BH210" s="43" t="n">
        <x:v>0</x:v>
      </x:c>
      <x:c r="BI210" s="43" t="n">
        <x:v>5007</x:v>
      </x:c>
      <x:c r="BJ210" s="43" t="n">
        <x:v>0</x:v>
      </x:c>
      <x:c r="BK210" s="43" t="n">
        <x:v>15000</x:v>
      </x:c>
      <x:c r="BL210" s="43" t="n">
        <x:v>0</x:v>
      </x:c>
      <x:c r="BM210" s="44" t="str">
        <x:v>{"getCount":164146176,"missCount":8561480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211">
      <x:c r="A211" s="34" t="str">
        <x:v>article1-unified-v4-2-fb3f101b-20260903-000401-default-f04-p3-cache2k</x:v>
      </x:c>
      <x:c r="B211" s="34" t="str">
        <x:v>default</x:v>
      </x:c>
      <x:c r="C211" s="34" t="str">
        <x:v>cache2k</x:v>
      </x:c>
      <x:c r="D211" s="34" t="str">
        <x:v>cache2k</x:v>
      </x:c>
      <x:c r="E211" s="34" t="str">
        <x:v>current-provider-primary-comparison</x:v>
      </x:c>
      <x:c r="F211" s="36" t="n">
        <x:v>4</x:v>
      </x:c>
      <x:c r="G211" s="36" t="n">
        <x:v>4</x:v>
      </x:c>
      <x:c r="H211" s="36" t="n">
        <x:v>3</x:v>
      </x:c>
      <x:c r="I211" s="36" t="n">
        <x:v>5</x:v>
      </x:c>
      <x:c r="J211" s="34" t="str">
        <x:v>redeploy</x:v>
      </x:c>
      <x:c r="K211" s="34" t="str">
        <x:v>cache-semantics</x:v>
      </x:c>
      <x:c r="L211" s="45" t="b">
        <x:v>1</x:v>
      </x:c>
      <x:c r="M211" s="36" t="n">
        <x:v>2019955368</x:v>
      </x:c>
      <x:c r="N211" s="34" t="str">
        <x:v>d64ba2cf71f68a5c314873e1c18092a1a2fe40603628b516f9936c8a249791fe</x:v>
      </x:c>
      <x:c r="O211" s="43" t="n">
        <x:v>10000</x:v>
      </x:c>
      <x:c r="P211" s="43" t="n">
        <x:v>400000</x:v>
      </x:c>
      <x:c r="Q211" s="36" t="n">
        <x:v>8</x:v>
      </x:c>
      <x:c r="R211" s="42" t="n">
        <x:v>95</x:v>
      </x:c>
      <x:c r="S211" s="43" t="n">
        <x:v>512</x:v>
      </x:c>
      <x:c r="T211" s="43" t="n">
        <x:v>50000</x:v>
      </x:c>
      <x:c r="U211" s="46" t="n">
        <x:v>3</x:v>
      </x:c>
      <x:c r="V211" s="46" t="n">
        <x:v>5</x:v>
      </x:c>
      <x:c r="W211" s="43" t="n">
        <x:v>300</x:v>
      </x:c>
      <x:c r="X211" s="34" t="str">
        <x:v>uniform</x:v>
      </x:c>
      <x:c r="Y211" s="42" t="n">
        <x:v>10</x:v>
      </x:c>
      <x:c r="Z211" s="34" t="str">
        <x:v>strict</x:v>
      </x:c>
      <x:c r="AA211" s="36" t="n">
        <x:v>64</x:v>
      </x:c>
      <x:c r="AB211" s="43" t="n">
        <x:v>98862336</x:v>
      </x:c>
      <x:c r="AC211" s="43" t="n">
        <x:v>3000481584</x:v>
      </x:c>
      <x:c r="AD211" s="43" t="n">
        <x:v>481584</x:v>
      </x:c>
      <x:c r="AE211" s="43" t="n">
        <x:v>1711802.0362569941</x:v>
      </x:c>
      <x:c r="AF211" s="43" t="n">
        <x:v>32530512.28795048</x:v>
      </x:c>
      <x:c r="AG211" s="43" t="n">
        <x:v>162732288</x:v>
      </x:c>
      <x:c r="AH211" s="43" t="n">
        <x:v>5002450824</x:v>
      </x:c>
      <x:c r="AI211" s="43" t="n">
        <x:v>2450824</x:v>
      </x:c>
      <x:c r="AJ211" s="43" t="n">
        <x:v>32530512.28795048</x:v>
      </x:c>
      <x:c r="AK211" s="43" t="n">
        <x:v>162732288</x:v>
      </x:c>
      <x:c r="AL211" s="43" t="n">
        <x:v>0</x:v>
      </x:c>
      <x:c r="AM211" s="43" t="n">
        <x:v>528623.928479297</x:v>
      </x:c>
      <x:c r="AN211" s="43" t="n">
        <x:v>140</x:v>
      </x:c>
      <x:c r="AO211" s="43" t="n">
        <x:v>320</x:v>
      </x:c>
      <x:c r="AP211" s="43" t="n">
        <x:v>511</x:v>
      </x:c>
      <x:c r="AQ211" s="43" t="n">
        <x:v>2542692</x:v>
      </x:c>
      <x:c r="AR211" s="43" t="n">
        <x:v>1</x:v>
      </x:c>
      <x:c r="AS211" s="45" t="b">
        <x:v>1</x:v>
      </x:c>
      <x:c r="AT211" s="43" t="n">
        <x:v>9979</x:v>
      </x:c>
      <x:c r="AU211" s="48" t="n">
        <x:v>0.9478352630302844</x:v>
      </x:c>
      <x:c r="AV211" s="43" t="n">
        <x:v>9991</x:v>
      </x:c>
      <x:c r="AW211" s="48" t="n">
        <x:v>0.9478352630302844</x:v>
      </x:c>
      <x:c r="AX211" s="45" t="b">
        <x:v>1</x:v>
      </x:c>
      <x:c r="AY211" s="44" t="str">
        <x:v>{"provider":"cache2k","currentEntries":9979,"requestCount":162732288,"hitCount":154243401,"missCount":8488887,"hitRate":0.9478352630302844,"loadSuccessCount":0,"loadFailureCount":0,"totalLoadTimeNanos":0,"evictionCount":21,"expirationCount":0,"putCount":10000,"removeCount":0,"nativeMetrics":{"getCount":162732288,"missCount":8488887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11" s="44" t="str">
        <x:v>{"provider":"cache2k","currentEntries":9991,"requestCount":162732288,"hitCount":154243401,"missCount":8488887,"hitRate":0.9478352630302844,"loadSuccessCount":0,"loadFailureCount":0,"totalLoadTimeNanos":0,"evictionCount":5009,"expirationCount":0,"putCount":15000,"removeCount":0,"nativeMetrics":{"getCount":162732288,"missCount":8488887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211" s="43" t="n">
        <x:v>9991</x:v>
      </x:c>
      <x:c r="BB211" s="43" t="n">
        <x:v>162732288</x:v>
      </x:c>
      <x:c r="BC211" s="43" t="n">
        <x:v>154243401</x:v>
      </x:c>
      <x:c r="BD211" s="43" t="n">
        <x:v>8488887</x:v>
      </x:c>
      <x:c r="BE211" s="48" t="n">
        <x:v>0.9478352630302844</x:v>
      </x:c>
      <x:c r="BF211" s="43" t="n">
        <x:v>0</x:v>
      </x:c>
      <x:c r="BG211" s="43" t="n">
        <x:v>0</x:v>
      </x:c>
      <x:c r="BH211" s="43" t="n">
        <x:v>0</x:v>
      </x:c>
      <x:c r="BI211" s="43" t="n">
        <x:v>5009</x:v>
      </x:c>
      <x:c r="BJ211" s="43" t="n">
        <x:v>0</x:v>
      </x:c>
      <x:c r="BK211" s="43" t="n">
        <x:v>15000</x:v>
      </x:c>
      <x:c r="BL211" s="43" t="n">
        <x:v>0</x:v>
      </x:c>
      <x:c r="BM211" s="44" t="str">
        <x:v>{"getCount":162732288,"missCount":8488887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212">
      <x:c r="A212" s="34" t="str">
        <x:v>article1-unified-v4-2-fb3f101b-20260903-000401-default-f04-p4-nostore</x:v>
      </x:c>
      <x:c r="B212" s="34" t="str">
        <x:v>default</x:v>
      </x:c>
      <x:c r="C212" s="34" t="str">
        <x:v>nostore</x:v>
      </x:c>
      <x:c r="D212" s="34" t="str">
        <x:v>nostore</x:v>
      </x:c>
      <x:c r="E212" s="34" t="str">
        <x:v>lifecycle-negative-control</x:v>
      </x:c>
      <x:c r="F212" s="36" t="n">
        <x:v>4</x:v>
      </x:c>
      <x:c r="G212" s="36" t="n">
        <x:v>4</x:v>
      </x:c>
      <x:c r="H212" s="36" t="n">
        <x:v>4</x:v>
      </x:c>
      <x:c r="I212" s="36" t="n">
        <x:v>1</x:v>
      </x:c>
      <x:c r="J212" s="34" t="str">
        <x:v>initial</x:v>
      </x:c>
      <x:c r="K212" s="34" t="str">
        <x:v>no-store-control</x:v>
      </x:c>
      <x:c r="L212" s="45" t="b">
        <x:v>0</x:v>
      </x:c>
      <x:c r="M212" s="36" t="n">
        <x:v>850092908</x:v>
      </x:c>
      <x:c r="N212" s="34" t="str">
        <x:v>c3fbbc14afc1687ffa7ecbca17e8ff73fcb319ce839d0fb032082700ff0dfb34</x:v>
      </x:c>
      <x:c r="O212" s="43" t="n">
        <x:v>10000</x:v>
      </x:c>
      <x:c r="P212" s="43" t="n">
        <x:v>400000</x:v>
      </x:c>
      <x:c r="Q212" s="36" t="n">
        <x:v>8</x:v>
      </x:c>
      <x:c r="R212" s="42" t="n">
        <x:v>95</x:v>
      </x:c>
      <x:c r="S212" s="43" t="n">
        <x:v>512</x:v>
      </x:c>
      <x:c r="T212" s="43" t="n">
        <x:v>50000</x:v>
      </x:c>
      <x:c r="U212" s="46" t="n">
        <x:v>3</x:v>
      </x:c>
      <x:c r="V212" s="46" t="n">
        <x:v>5</x:v>
      </x:c>
      <x:c r="W212" s="43" t="n">
        <x:v>300</x:v>
      </x:c>
      <x:c r="X212" s="34" t="str">
        <x:v>uniform</x:v>
      </x:c>
      <x:c r="Y212" s="42" t="n">
        <x:v>10</x:v>
      </x:c>
      <x:c r="Z212" s="34" t="str">
        <x:v>strict</x:v>
      </x:c>
      <x:c r="AA212" s="36" t="n">
        <x:v>64</x:v>
      </x:c>
      <x:c r="AB212" s="43" t="n">
        <x:v>357032960</x:v>
      </x:c>
      <x:c r="AC212" s="43" t="n">
        <x:v>3000584032</x:v>
      </x:c>
      <x:c r="AD212" s="43" t="n">
        <x:v>584032</x:v>
      </x:c>
      <x:c r="AE212" s="43" t="n">
        <x:v>13457139.012245996</x:v>
      </x:c>
      <x:c r="AF212" s="43" t="n">
        <x:v>104743075.86509688</x:v>
      </x:c>
      <x:c r="AG212" s="43" t="n">
        <x:v>525475328</x:v>
      </x:c>
      <x:c r="AH212" s="43" t="n">
        <x:v>5016802530</x:v>
      </x:c>
      <x:c r="AI212" s="43" t="n">
        <x:v>16802530</x:v>
      </x:c>
      <x:c r="AJ212" s="43" t="n">
        <x:v>104743075.86509688</x:v>
      </x:c>
      <x:c r="AK212" s="43" t="n">
        <x:v>525475328</x:v>
      </x:c>
      <x:c r="AL212" s="43" t="n">
        <x:v>0</x:v>
      </x:c>
      <x:c r="AM212" s="43" t="n">
        <x:v>19924287.706714485</x:v>
      </x:c>
      <x:c r="AN212" s="43" t="n">
        <x:v>40</x:v>
      </x:c>
      <x:c r="AO212" s="43" t="n">
        <x:v>160</x:v>
      </x:c>
      <x:c r="AP212" s="43" t="n">
        <x:v>280</x:v>
      </x:c>
      <x:c r="AQ212" s="43" t="n">
        <x:v>8210552</x:v>
      </x:c>
      <x:c r="AR212" s="43" t="n">
        <x:v>16</x:v>
      </x:c>
      <x:c r="AS212" s="45" t="b">
        <x:v>0</x:v>
      </x:c>
      <x:c r="AT212" s="43" t="n">
        <x:v>0</x:v>
      </x:c>
      <x:c r="AU212" s="48" t="n">
        <x:v>0</x:v>
      </x:c>
      <x:c r="AV212" s="43" t="n">
        <x:v>0</x:v>
      </x:c>
      <x:c r="AW212" s="48" t="n">
        <x:v>0</x:v>
      </x:c>
      <x:c r="AX212" s="45" t="b">
        <x:v>1</x:v>
      </x:c>
      <x:c r="AY212" s="44" t="str">
        <x:v>{"provider":"nostore","currentEntries":0,"requestCount":525475328,"hitCount":0,"missCount":525475328,"hitRate":0,"loadSuccessCount":0,"loadFailureCount":0,"totalLoadTimeNanos":0,"evictionCount":0,"expirationCount":0,"putCount":10000,"removeCount":0,"nativeMetrics":{"storageEnabled":0}}</x:v>
      </x:c>
      <x:c r="AZ212" s="44" t="str">
        <x:v>{"provider":"nostore","currentEntries":0,"requestCount":525475328,"hitCount":0,"missCount":525475328,"hitRate":0,"loadSuccessCount":0,"loadFailureCount":0,"totalLoadTimeNanos":0,"evictionCount":0,"expirationCount":0,"putCount":15000,"removeCount":0,"nativeMetrics":{"storageEnabled":0}}</x:v>
      </x:c>
      <x:c r="BA212" s="43" t="n">
        <x:v>0</x:v>
      </x:c>
      <x:c r="BB212" s="43" t="n">
        <x:v>525475328</x:v>
      </x:c>
      <x:c r="BC212" s="43" t="n">
        <x:v>0</x:v>
      </x:c>
      <x:c r="BD212" s="43" t="n">
        <x:v>525475328</x:v>
      </x:c>
      <x:c r="BE212" s="48" t="n">
        <x:v>0</x:v>
      </x:c>
      <x:c r="BF212" s="43" t="n">
        <x:v>0</x:v>
      </x:c>
      <x:c r="BG212" s="43" t="n">
        <x:v>0</x:v>
      </x:c>
      <x:c r="BH212" s="43" t="n">
        <x:v>0</x:v>
      </x:c>
      <x:c r="BI212" s="43" t="n">
        <x:v>0</x:v>
      </x:c>
      <x:c r="BJ212" s="43" t="n">
        <x:v>0</x:v>
      </x:c>
      <x:c r="BK212" s="43" t="n">
        <x:v>15000</x:v>
      </x:c>
      <x:c r="BL212" s="43" t="n">
        <x:v>0</x:v>
      </x:c>
      <x:c r="BM212" s="44" t="str">
        <x:v>{"storageEnabled":0}</x:v>
      </x:c>
    </x:row>
    <x:row r="213">
      <x:c r="A213" s="34" t="str">
        <x:v>article1-unified-v4-2-fb3f101b-20260903-000401-default-f04-p4-nostore</x:v>
      </x:c>
      <x:c r="B213" s="34" t="str">
        <x:v>default</x:v>
      </x:c>
      <x:c r="C213" s="34" t="str">
        <x:v>nostore</x:v>
      </x:c>
      <x:c r="D213" s="34" t="str">
        <x:v>nostore</x:v>
      </x:c>
      <x:c r="E213" s="34" t="str">
        <x:v>lifecycle-negative-control</x:v>
      </x:c>
      <x:c r="F213" s="36" t="n">
        <x:v>4</x:v>
      </x:c>
      <x:c r="G213" s="36" t="n">
        <x:v>4</x:v>
      </x:c>
      <x:c r="H213" s="36" t="n">
        <x:v>4</x:v>
      </x:c>
      <x:c r="I213" s="36" t="n">
        <x:v>1</x:v>
      </x:c>
      <x:c r="J213" s="34" t="str">
        <x:v>redeploy</x:v>
      </x:c>
      <x:c r="K213" s="34" t="str">
        <x:v>no-store-control</x:v>
      </x:c>
      <x:c r="L213" s="45" t="b">
        <x:v>0</x:v>
      </x:c>
      <x:c r="M213" s="36" t="n">
        <x:v>850092908</x:v>
      </x:c>
      <x:c r="N213" s="34" t="str">
        <x:v>c3fbbc14afc1687ffa7ecbca17e8ff73fcb319ce839d0fb032082700ff0dfb34</x:v>
      </x:c>
      <x:c r="O213" s="43" t="n">
        <x:v>10000</x:v>
      </x:c>
      <x:c r="P213" s="43" t="n">
        <x:v>400000</x:v>
      </x:c>
      <x:c r="Q213" s="36" t="n">
        <x:v>8</x:v>
      </x:c>
      <x:c r="R213" s="42" t="n">
        <x:v>95</x:v>
      </x:c>
      <x:c r="S213" s="43" t="n">
        <x:v>512</x:v>
      </x:c>
      <x:c r="T213" s="43" t="n">
        <x:v>50000</x:v>
      </x:c>
      <x:c r="U213" s="46" t="n">
        <x:v>3</x:v>
      </x:c>
      <x:c r="V213" s="46" t="n">
        <x:v>5</x:v>
      </x:c>
      <x:c r="W213" s="43" t="n">
        <x:v>300</x:v>
      </x:c>
      <x:c r="X213" s="34" t="str">
        <x:v>uniform</x:v>
      </x:c>
      <x:c r="Y213" s="42" t="n">
        <x:v>10</x:v>
      </x:c>
      <x:c r="Z213" s="34" t="str">
        <x:v>strict</x:v>
      </x:c>
      <x:c r="AA213" s="36" t="n">
        <x:v>64</x:v>
      </x:c>
      <x:c r="AB213" s="43" t="n">
        <x:v>358385152</x:v>
      </x:c>
      <x:c r="AC213" s="43" t="n">
        <x:v>3019606749</x:v>
      </x:c>
      <x:c r="AD213" s="43" t="n">
        <x:v>19606749</x:v>
      </x:c>
      <x:c r="AE213" s="43" t="n">
        <x:v>12811593.98008822</x:v>
      </x:c>
      <x:c r="AF213" s="43" t="n">
        <x:v>102533316.82134242</x:v>
      </x:c>
      <x:c r="AG213" s="43" t="n">
        <x:v>513370624</x:v>
      </x:c>
      <x:c r="AH213" s="43" t="n">
        <x:v>5006866450</x:v>
      </x:c>
      <x:c r="AI213" s="43" t="n">
        <x:v>6866450</x:v>
      </x:c>
      <x:c r="AJ213" s="43" t="n">
        <x:v>102533316.82134242</x:v>
      </x:c>
      <x:c r="AK213" s="43" t="n">
        <x:v>513370624</x:v>
      </x:c>
      <x:c r="AL213" s="43" t="n">
        <x:v>0</x:v>
      </x:c>
      <x:c r="AM213" s="43" t="n">
        <x:v>20500541.214288056</x:v>
      </x:c>
      <x:c r="AN213" s="43" t="n">
        <x:v>40</x:v>
      </x:c>
      <x:c r="AO213" s="43" t="n">
        <x:v>161</x:v>
      </x:c>
      <x:c r="AP213" s="43" t="n">
        <x:v>281</x:v>
      </x:c>
      <x:c r="AQ213" s="43" t="n">
        <x:v>8021416</x:v>
      </x:c>
      <x:c r="AR213" s="43" t="n">
        <x:v>16</x:v>
      </x:c>
      <x:c r="AS213" s="45" t="b">
        <x:v>0</x:v>
      </x:c>
      <x:c r="AT213" s="43" t="n">
        <x:v>0</x:v>
      </x:c>
      <x:c r="AU213" s="48" t="n">
        <x:v>0</x:v>
      </x:c>
      <x:c r="AV213" s="43" t="n">
        <x:v>0</x:v>
      </x:c>
      <x:c r="AW213" s="48" t="n">
        <x:v>0</x:v>
      </x:c>
      <x:c r="AX213" s="45" t="b">
        <x:v>1</x:v>
      </x:c>
      <x:c r="AY213" s="44" t="str">
        <x:v>{"provider":"nostore","currentEntries":0,"requestCount":513370624,"hitCount":0,"missCount":513370624,"hitRate":0,"loadSuccessCount":0,"loadFailureCount":0,"totalLoadTimeNanos":0,"evictionCount":0,"expirationCount":0,"putCount":10000,"removeCount":0,"nativeMetrics":{"storageEnabled":0}}</x:v>
      </x:c>
      <x:c r="AZ213" s="44" t="str">
        <x:v>{"provider":"nostore","currentEntries":0,"requestCount":513370624,"hitCount":0,"missCount":513370624,"hitRate":0,"loadSuccessCount":0,"loadFailureCount":0,"totalLoadTimeNanos":0,"evictionCount":0,"expirationCount":0,"putCount":15000,"removeCount":0,"nativeMetrics":{"storageEnabled":0}}</x:v>
      </x:c>
      <x:c r="BA213" s="43" t="n">
        <x:v>0</x:v>
      </x:c>
      <x:c r="BB213" s="43" t="n">
        <x:v>513370624</x:v>
      </x:c>
      <x:c r="BC213" s="43" t="n">
        <x:v>0</x:v>
      </x:c>
      <x:c r="BD213" s="43" t="n">
        <x:v>513370624</x:v>
      </x:c>
      <x:c r="BE213" s="48" t="n">
        <x:v>0</x:v>
      </x:c>
      <x:c r="BF213" s="43" t="n">
        <x:v>0</x:v>
      </x:c>
      <x:c r="BG213" s="43" t="n">
        <x:v>0</x:v>
      </x:c>
      <x:c r="BH213" s="43" t="n">
        <x:v>0</x:v>
      </x:c>
      <x:c r="BI213" s="43" t="n">
        <x:v>0</x:v>
      </x:c>
      <x:c r="BJ213" s="43" t="n">
        <x:v>0</x:v>
      </x:c>
      <x:c r="BK213" s="43" t="n">
        <x:v>15000</x:v>
      </x:c>
      <x:c r="BL213" s="43" t="n">
        <x:v>0</x:v>
      </x:c>
      <x:c r="BM213" s="44" t="str">
        <x:v>{"storageEnabled":0}</x:v>
      </x:c>
    </x:row>
    <x:row r="214">
      <x:c r="A214" s="34" t="str">
        <x:v>article1-unified-v4-2-fb3f101b-20260903-000401-default-f04-p4-nostore</x:v>
      </x:c>
      <x:c r="B214" s="34" t="str">
        <x:v>default</x:v>
      </x:c>
      <x:c r="C214" s="34" t="str">
        <x:v>nostore</x:v>
      </x:c>
      <x:c r="D214" s="34" t="str">
        <x:v>nostore</x:v>
      </x:c>
      <x:c r="E214" s="34" t="str">
        <x:v>lifecycle-negative-control</x:v>
      </x:c>
      <x:c r="F214" s="36" t="n">
        <x:v>4</x:v>
      </x:c>
      <x:c r="G214" s="36" t="n">
        <x:v>4</x:v>
      </x:c>
      <x:c r="H214" s="36" t="n">
        <x:v>4</x:v>
      </x:c>
      <x:c r="I214" s="36" t="n">
        <x:v>2</x:v>
      </x:c>
      <x:c r="J214" s="34" t="str">
        <x:v>initial</x:v>
      </x:c>
      <x:c r="K214" s="34" t="str">
        <x:v>no-store-control</x:v>
      </x:c>
      <x:c r="L214" s="45" t="b">
        <x:v>0</x:v>
      </x:c>
      <x:c r="M214" s="36" t="n">
        <x:v>972724800</x:v>
      </x:c>
      <x:c r="N214" s="34" t="str">
        <x:v>622a36620fa8caac2865206ddff77d854d1b43b1dd314943f9681ddaa3b0eea1</x:v>
      </x:c>
      <x:c r="O214" s="43" t="n">
        <x:v>10000</x:v>
      </x:c>
      <x:c r="P214" s="43" t="n">
        <x:v>400000</x:v>
      </x:c>
      <x:c r="Q214" s="36" t="n">
        <x:v>8</x:v>
      </x:c>
      <x:c r="R214" s="42" t="n">
        <x:v>95</x:v>
      </x:c>
      <x:c r="S214" s="43" t="n">
        <x:v>512</x:v>
      </x:c>
      <x:c r="T214" s="43" t="n">
        <x:v>50000</x:v>
      </x:c>
      <x:c r="U214" s="46" t="n">
        <x:v>3</x:v>
      </x:c>
      <x:c r="V214" s="46" t="n">
        <x:v>5</x:v>
      </x:c>
      <x:c r="W214" s="43" t="n">
        <x:v>300</x:v>
      </x:c>
      <x:c r="X214" s="34" t="str">
        <x:v>uniform</x:v>
      </x:c>
      <x:c r="Y214" s="42" t="n">
        <x:v>10</x:v>
      </x:c>
      <x:c r="Z214" s="34" t="str">
        <x:v>strict</x:v>
      </x:c>
      <x:c r="AA214" s="36" t="n">
        <x:v>64</x:v>
      </x:c>
      <x:c r="AB214" s="43" t="n">
        <x:v>349789696</x:v>
      </x:c>
      <x:c r="AC214" s="43" t="n">
        <x:v>3000438147</x:v>
      </x:c>
      <x:c r="AD214" s="43" t="n">
        <x:v>438147</x:v>
      </x:c>
      <x:c r="AE214" s="43" t="n">
        <x:v>14706098.619097339</x:v>
      </x:c>
      <x:c r="AF214" s="43" t="n">
        <x:v>97946257.58141832</x:v>
      </x:c>
      <x:c r="AG214" s="43" t="n">
        <x:v>490233600</x:v>
      </x:c>
      <x:c r="AH214" s="43" t="n">
        <x:v>5005128446</x:v>
      </x:c>
      <x:c r="AI214" s="43" t="n">
        <x:v>5128446</x:v>
      </x:c>
      <x:c r="AJ214" s="43" t="n">
        <x:v>97946257.58141832</x:v>
      </x:c>
      <x:c r="AK214" s="43" t="n">
        <x:v>490233600</x:v>
      </x:c>
      <x:c r="AL214" s="43" t="n">
        <x:v>0</x:v>
      </x:c>
      <x:c r="AM214" s="43" t="n">
        <x:v>19518974.395009387</x:v>
      </x:c>
      <x:c r="AN214" s="43" t="n">
        <x:v>40</x:v>
      </x:c>
      <x:c r="AO214" s="43" t="n">
        <x:v>170</x:v>
      </x:c>
      <x:c r="AP214" s="43" t="n">
        <x:v>290</x:v>
      </x:c>
      <x:c r="AQ214" s="43" t="n">
        <x:v>7659900</x:v>
      </x:c>
      <x:c r="AR214" s="43" t="n">
        <x:v>16</x:v>
      </x:c>
      <x:c r="AS214" s="45" t="b">
        <x:v>0</x:v>
      </x:c>
      <x:c r="AT214" s="43" t="n">
        <x:v>0</x:v>
      </x:c>
      <x:c r="AU214" s="48" t="n">
        <x:v>0</x:v>
      </x:c>
      <x:c r="AV214" s="43" t="n">
        <x:v>0</x:v>
      </x:c>
      <x:c r="AW214" s="48" t="n">
        <x:v>0</x:v>
      </x:c>
      <x:c r="AX214" s="45" t="b">
        <x:v>1</x:v>
      </x:c>
      <x:c r="AY214" s="44" t="str">
        <x:v>{"provider":"nostore","currentEntries":0,"requestCount":490233600,"hitCount":0,"missCount":490233600,"hitRate":0,"loadSuccessCount":0,"loadFailureCount":0,"totalLoadTimeNanos":0,"evictionCount":0,"expirationCount":0,"putCount":10000,"removeCount":0,"nativeMetrics":{"storageEnabled":0}}</x:v>
      </x:c>
      <x:c r="AZ214" s="44" t="str">
        <x:v>{"provider":"nostore","currentEntries":0,"requestCount":490233600,"hitCount":0,"missCount":490233600,"hitRate":0,"loadSuccessCount":0,"loadFailureCount":0,"totalLoadTimeNanos":0,"evictionCount":0,"expirationCount":0,"putCount":15000,"removeCount":0,"nativeMetrics":{"storageEnabled":0}}</x:v>
      </x:c>
      <x:c r="BA214" s="43" t="n">
        <x:v>0</x:v>
      </x:c>
      <x:c r="BB214" s="43" t="n">
        <x:v>490233600</x:v>
      </x:c>
      <x:c r="BC214" s="43" t="n">
        <x:v>0</x:v>
      </x:c>
      <x:c r="BD214" s="43" t="n">
        <x:v>490233600</x:v>
      </x:c>
      <x:c r="BE214" s="48" t="n">
        <x:v>0</x:v>
      </x:c>
      <x:c r="BF214" s="43" t="n">
        <x:v>0</x:v>
      </x:c>
      <x:c r="BG214" s="43" t="n">
        <x:v>0</x:v>
      </x:c>
      <x:c r="BH214" s="43" t="n">
        <x:v>0</x:v>
      </x:c>
      <x:c r="BI214" s="43" t="n">
        <x:v>0</x:v>
      </x:c>
      <x:c r="BJ214" s="43" t="n">
        <x:v>0</x:v>
      </x:c>
      <x:c r="BK214" s="43" t="n">
        <x:v>15000</x:v>
      </x:c>
      <x:c r="BL214" s="43" t="n">
        <x:v>0</x:v>
      </x:c>
      <x:c r="BM214" s="44" t="str">
        <x:v>{"storageEnabled":0}</x:v>
      </x:c>
    </x:row>
    <x:row r="215">
      <x:c r="A215" s="34" t="str">
        <x:v>article1-unified-v4-2-fb3f101b-20260903-000401-default-f04-p4-nostore</x:v>
      </x:c>
      <x:c r="B215" s="34" t="str">
        <x:v>default</x:v>
      </x:c>
      <x:c r="C215" s="34" t="str">
        <x:v>nostore</x:v>
      </x:c>
      <x:c r="D215" s="34" t="str">
        <x:v>nostore</x:v>
      </x:c>
      <x:c r="E215" s="34" t="str">
        <x:v>lifecycle-negative-control</x:v>
      </x:c>
      <x:c r="F215" s="36" t="n">
        <x:v>4</x:v>
      </x:c>
      <x:c r="G215" s="36" t="n">
        <x:v>4</x:v>
      </x:c>
      <x:c r="H215" s="36" t="n">
        <x:v>4</x:v>
      </x:c>
      <x:c r="I215" s="36" t="n">
        <x:v>2</x:v>
      </x:c>
      <x:c r="J215" s="34" t="str">
        <x:v>redeploy</x:v>
      </x:c>
      <x:c r="K215" s="34" t="str">
        <x:v>no-store-control</x:v>
      </x:c>
      <x:c r="L215" s="45" t="b">
        <x:v>0</x:v>
      </x:c>
      <x:c r="M215" s="36" t="n">
        <x:v>972724800</x:v>
      </x:c>
      <x:c r="N215" s="34" t="str">
        <x:v>622a36620fa8caac2865206ddff77d854d1b43b1dd314943f9681ddaa3b0eea1</x:v>
      </x:c>
      <x:c r="O215" s="43" t="n">
        <x:v>10000</x:v>
      </x:c>
      <x:c r="P215" s="43" t="n">
        <x:v>400000</x:v>
      </x:c>
      <x:c r="Q215" s="36" t="n">
        <x:v>8</x:v>
      </x:c>
      <x:c r="R215" s="42" t="n">
        <x:v>95</x:v>
      </x:c>
      <x:c r="S215" s="43" t="n">
        <x:v>512</x:v>
      </x:c>
      <x:c r="T215" s="43" t="n">
        <x:v>50000</x:v>
      </x:c>
      <x:c r="U215" s="46" t="n">
        <x:v>3</x:v>
      </x:c>
      <x:c r="V215" s="46" t="n">
        <x:v>5</x:v>
      </x:c>
      <x:c r="W215" s="43" t="n">
        <x:v>300</x:v>
      </x:c>
      <x:c r="X215" s="34" t="str">
        <x:v>uniform</x:v>
      </x:c>
      <x:c r="Y215" s="42" t="n">
        <x:v>10</x:v>
      </x:c>
      <x:c r="Z215" s="34" t="str">
        <x:v>strict</x:v>
      </x:c>
      <x:c r="AA215" s="36" t="n">
        <x:v>64</x:v>
      </x:c>
      <x:c r="AB215" s="43" t="n">
        <x:v>359139840</x:v>
      </x:c>
      <x:c r="AC215" s="43" t="n">
        <x:v>3023182471</x:v>
      </x:c>
      <x:c r="AD215" s="43" t="n">
        <x:v>23182471</x:v>
      </x:c>
      <x:c r="AE215" s="43" t="n">
        <x:v>8822691.256095378</x:v>
      </x:c>
      <x:c r="AF215" s="43" t="n">
        <x:v>101355864.18377408</x:v>
      </x:c>
      <x:c r="AG215" s="43" t="n">
        <x:v>507400448</x:v>
      </x:c>
      <x:c r="AH215" s="43" t="n">
        <x:v>5006128181</x:v>
      </x:c>
      <x:c r="AI215" s="43" t="n">
        <x:v>6128181</x:v>
      </x:c>
      <x:c r="AJ215" s="43" t="n">
        <x:v>101355864.18377408</x:v>
      </x:c>
      <x:c r="AK215" s="43" t="n">
        <x:v>507400448</x:v>
      </x:c>
      <x:c r="AL215" s="43" t="n">
        <x:v>0</x:v>
      </x:c>
      <x:c r="AM215" s="43" t="n">
        <x:v>20583501.088867206</x:v>
      </x:c>
      <x:c r="AN215" s="43" t="n">
        <x:v>40</x:v>
      </x:c>
      <x:c r="AO215" s="43" t="n">
        <x:v>161</x:v>
      </x:c>
      <x:c r="AP215" s="43" t="n">
        <x:v>290</x:v>
      </x:c>
      <x:c r="AQ215" s="43" t="n">
        <x:v>7928132</x:v>
      </x:c>
      <x:c r="AR215" s="43" t="n">
        <x:v>16</x:v>
      </x:c>
      <x:c r="AS215" s="45" t="b">
        <x:v>0</x:v>
      </x:c>
      <x:c r="AT215" s="43" t="n">
        <x:v>0</x:v>
      </x:c>
      <x:c r="AU215" s="48" t="n">
        <x:v>0</x:v>
      </x:c>
      <x:c r="AV215" s="43" t="n">
        <x:v>0</x:v>
      </x:c>
      <x:c r="AW215" s="48" t="n">
        <x:v>0</x:v>
      </x:c>
      <x:c r="AX215" s="45" t="b">
        <x:v>1</x:v>
      </x:c>
      <x:c r="AY215" s="44" t="str">
        <x:v>{"provider":"nostore","currentEntries":0,"requestCount":507400448,"hitCount":0,"missCount":507400448,"hitRate":0,"loadSuccessCount":0,"loadFailureCount":0,"totalLoadTimeNanos":0,"evictionCount":0,"expirationCount":0,"putCount":10000,"removeCount":0,"nativeMetrics":{"storageEnabled":0}}</x:v>
      </x:c>
      <x:c r="AZ215" s="44" t="str">
        <x:v>{"provider":"nostore","currentEntries":0,"requestCount":507400448,"hitCount":0,"missCount":507400448,"hitRate":0,"loadSuccessCount":0,"loadFailureCount":0,"totalLoadTimeNanos":0,"evictionCount":0,"expirationCount":0,"putCount":15000,"removeCount":0,"nativeMetrics":{"storageEnabled":0}}</x:v>
      </x:c>
      <x:c r="BA215" s="43" t="n">
        <x:v>0</x:v>
      </x:c>
      <x:c r="BB215" s="43" t="n">
        <x:v>507400448</x:v>
      </x:c>
      <x:c r="BC215" s="43" t="n">
        <x:v>0</x:v>
      </x:c>
      <x:c r="BD215" s="43" t="n">
        <x:v>507400448</x:v>
      </x:c>
      <x:c r="BE215" s="48" t="n">
        <x:v>0</x:v>
      </x:c>
      <x:c r="BF215" s="43" t="n">
        <x:v>0</x:v>
      </x:c>
      <x:c r="BG215" s="43" t="n">
        <x:v>0</x:v>
      </x:c>
      <x:c r="BH215" s="43" t="n">
        <x:v>0</x:v>
      </x:c>
      <x:c r="BI215" s="43" t="n">
        <x:v>0</x:v>
      </x:c>
      <x:c r="BJ215" s="43" t="n">
        <x:v>0</x:v>
      </x:c>
      <x:c r="BK215" s="43" t="n">
        <x:v>15000</x:v>
      </x:c>
      <x:c r="BL215" s="43" t="n">
        <x:v>0</x:v>
      </x:c>
      <x:c r="BM215" s="44" t="str">
        <x:v>{"storageEnabled":0}</x:v>
      </x:c>
    </x:row>
    <x:row r="216">
      <x:c r="A216" s="34" t="str">
        <x:v>article1-unified-v4-2-fb3f101b-20260903-000401-default-f04-p4-nostore</x:v>
      </x:c>
      <x:c r="B216" s="34" t="str">
        <x:v>default</x:v>
      </x:c>
      <x:c r="C216" s="34" t="str">
        <x:v>nostore</x:v>
      </x:c>
      <x:c r="D216" s="34" t="str">
        <x:v>nostore</x:v>
      </x:c>
      <x:c r="E216" s="34" t="str">
        <x:v>lifecycle-negative-control</x:v>
      </x:c>
      <x:c r="F216" s="36" t="n">
        <x:v>4</x:v>
      </x:c>
      <x:c r="G216" s="36" t="n">
        <x:v>4</x:v>
      </x:c>
      <x:c r="H216" s="36" t="n">
        <x:v>4</x:v>
      </x:c>
      <x:c r="I216" s="36" t="n">
        <x:v>3</x:v>
      </x:c>
      <x:c r="J216" s="34" t="str">
        <x:v>initial</x:v>
      </x:c>
      <x:c r="K216" s="34" t="str">
        <x:v>no-store-control</x:v>
      </x:c>
      <x:c r="L216" s="45" t="b">
        <x:v>0</x:v>
      </x:c>
      <x:c r="M216" s="36" t="n">
        <x:v>1079766481</x:v>
      </x:c>
      <x:c r="N216" s="34" t="str">
        <x:v>2003ab2bf661debde50fa9590451b61ccb907c7e521f8a8e45087b02af93afef</x:v>
      </x:c>
      <x:c r="O216" s="43" t="n">
        <x:v>10000</x:v>
      </x:c>
      <x:c r="P216" s="43" t="n">
        <x:v>400000</x:v>
      </x:c>
      <x:c r="Q216" s="36" t="n">
        <x:v>8</x:v>
      </x:c>
      <x:c r="R216" s="42" t="n">
        <x:v>95</x:v>
      </x:c>
      <x:c r="S216" s="43" t="n">
        <x:v>512</x:v>
      </x:c>
      <x:c r="T216" s="43" t="n">
        <x:v>50000</x:v>
      </x:c>
      <x:c r="U216" s="46" t="n">
        <x:v>3</x:v>
      </x:c>
      <x:c r="V216" s="46" t="n">
        <x:v>5</x:v>
      </x:c>
      <x:c r="W216" s="43" t="n">
        <x:v>300</x:v>
      </x:c>
      <x:c r="X216" s="34" t="str">
        <x:v>uniform</x:v>
      </x:c>
      <x:c r="Y216" s="42" t="n">
        <x:v>10</x:v>
      </x:c>
      <x:c r="Z216" s="34" t="str">
        <x:v>strict</x:v>
      </x:c>
      <x:c r="AA216" s="36" t="n">
        <x:v>64</x:v>
      </x:c>
      <x:c r="AB216" s="43" t="n">
        <x:v>357458944</x:v>
      </x:c>
      <x:c r="AC216" s="43" t="n">
        <x:v>3011061768</x:v>
      </x:c>
      <x:c r="AD216" s="43" t="n">
        <x:v>11061768</x:v>
      </x:c>
      <x:c r="AE216" s="43" t="n">
        <x:v>10923159.939092461</x:v>
      </x:c>
      <x:c r="AF216" s="43" t="n">
        <x:v>101501881.17451438</x:v>
      </x:c>
      <x:c r="AG216" s="43" t="n">
        <x:v>508020992</x:v>
      </x:c>
      <x:c r="AH216" s="43" t="n">
        <x:v>5005040164</x:v>
      </x:c>
      <x:c r="AI216" s="43" t="n">
        <x:v>5040164</x:v>
      </x:c>
      <x:c r="AJ216" s="43" t="n">
        <x:v>101501881.17451438</x:v>
      </x:c>
      <x:c r="AK216" s="43" t="n">
        <x:v>508020992</x:v>
      </x:c>
      <x:c r="AL216" s="43" t="n">
        <x:v>0</x:v>
      </x:c>
      <x:c r="AM216" s="43" t="n">
        <x:v>19878344.53146742</x:v>
      </x:c>
      <x:c r="AN216" s="43" t="n">
        <x:v>40</x:v>
      </x:c>
      <x:c r="AO216" s="43" t="n">
        <x:v>161</x:v>
      </x:c>
      <x:c r="AP216" s="43" t="n">
        <x:v>290</x:v>
      </x:c>
      <x:c r="AQ216" s="43" t="n">
        <x:v>7937828</x:v>
      </x:c>
      <x:c r="AR216" s="43" t="n">
        <x:v>16</x:v>
      </x:c>
      <x:c r="AS216" s="45" t="b">
        <x:v>0</x:v>
      </x:c>
      <x:c r="AT216" s="43" t="n">
        <x:v>0</x:v>
      </x:c>
      <x:c r="AU216" s="48" t="n">
        <x:v>0</x:v>
      </x:c>
      <x:c r="AV216" s="43" t="n">
        <x:v>0</x:v>
      </x:c>
      <x:c r="AW216" s="48" t="n">
        <x:v>0</x:v>
      </x:c>
      <x:c r="AX216" s="45" t="b">
        <x:v>1</x:v>
      </x:c>
      <x:c r="AY216" s="44" t="str">
        <x:v>{"provider":"nostore","currentEntries":0,"requestCount":508020992,"hitCount":0,"missCount":508020992,"hitRate":0,"loadSuccessCount":0,"loadFailureCount":0,"totalLoadTimeNanos":0,"evictionCount":0,"expirationCount":0,"putCount":10000,"removeCount":0,"nativeMetrics":{"storageEnabled":0}}</x:v>
      </x:c>
      <x:c r="AZ216" s="44" t="str">
        <x:v>{"provider":"nostore","currentEntries":0,"requestCount":508020992,"hitCount":0,"missCount":508020992,"hitRate":0,"loadSuccessCount":0,"loadFailureCount":0,"totalLoadTimeNanos":0,"evictionCount":0,"expirationCount":0,"putCount":15000,"removeCount":0,"nativeMetrics":{"storageEnabled":0}}</x:v>
      </x:c>
      <x:c r="BA216" s="43" t="n">
        <x:v>0</x:v>
      </x:c>
      <x:c r="BB216" s="43" t="n">
        <x:v>508020992</x:v>
      </x:c>
      <x:c r="BC216" s="43" t="n">
        <x:v>0</x:v>
      </x:c>
      <x:c r="BD216" s="43" t="n">
        <x:v>508020992</x:v>
      </x:c>
      <x:c r="BE216" s="48" t="n">
        <x:v>0</x:v>
      </x:c>
      <x:c r="BF216" s="43" t="n">
        <x:v>0</x:v>
      </x:c>
      <x:c r="BG216" s="43" t="n">
        <x:v>0</x:v>
      </x:c>
      <x:c r="BH216" s="43" t="n">
        <x:v>0</x:v>
      </x:c>
      <x:c r="BI216" s="43" t="n">
        <x:v>0</x:v>
      </x:c>
      <x:c r="BJ216" s="43" t="n">
        <x:v>0</x:v>
      </x:c>
      <x:c r="BK216" s="43" t="n">
        <x:v>15000</x:v>
      </x:c>
      <x:c r="BL216" s="43" t="n">
        <x:v>0</x:v>
      </x:c>
      <x:c r="BM216" s="44" t="str">
        <x:v>{"storageEnabled":0}</x:v>
      </x:c>
    </x:row>
    <x:row r="217">
      <x:c r="A217" s="34" t="str">
        <x:v>article1-unified-v4-2-fb3f101b-20260903-000401-default-f04-p4-nostore</x:v>
      </x:c>
      <x:c r="B217" s="34" t="str">
        <x:v>default</x:v>
      </x:c>
      <x:c r="C217" s="34" t="str">
        <x:v>nostore</x:v>
      </x:c>
      <x:c r="D217" s="34" t="str">
        <x:v>nostore</x:v>
      </x:c>
      <x:c r="E217" s="34" t="str">
        <x:v>lifecycle-negative-control</x:v>
      </x:c>
      <x:c r="F217" s="36" t="n">
        <x:v>4</x:v>
      </x:c>
      <x:c r="G217" s="36" t="n">
        <x:v>4</x:v>
      </x:c>
      <x:c r="H217" s="36" t="n">
        <x:v>4</x:v>
      </x:c>
      <x:c r="I217" s="36" t="n">
        <x:v>3</x:v>
      </x:c>
      <x:c r="J217" s="34" t="str">
        <x:v>redeploy</x:v>
      </x:c>
      <x:c r="K217" s="34" t="str">
        <x:v>no-store-control</x:v>
      </x:c>
      <x:c r="L217" s="45" t="b">
        <x:v>0</x:v>
      </x:c>
      <x:c r="M217" s="36" t="n">
        <x:v>1079766481</x:v>
      </x:c>
      <x:c r="N217" s="34" t="str">
        <x:v>2003ab2bf661debde50fa9590451b61ccb907c7e521f8a8e45087b02af93afef</x:v>
      </x:c>
      <x:c r="O217" s="43" t="n">
        <x:v>10000</x:v>
      </x:c>
      <x:c r="P217" s="43" t="n">
        <x:v>400000</x:v>
      </x:c>
      <x:c r="Q217" s="36" t="n">
        <x:v>8</x:v>
      </x:c>
      <x:c r="R217" s="42" t="n">
        <x:v>95</x:v>
      </x:c>
      <x:c r="S217" s="43" t="n">
        <x:v>512</x:v>
      </x:c>
      <x:c r="T217" s="43" t="n">
        <x:v>50000</x:v>
      </x:c>
      <x:c r="U217" s="46" t="n">
        <x:v>3</x:v>
      </x:c>
      <x:c r="V217" s="46" t="n">
        <x:v>5</x:v>
      </x:c>
      <x:c r="W217" s="43" t="n">
        <x:v>300</x:v>
      </x:c>
      <x:c r="X217" s="34" t="str">
        <x:v>uniform</x:v>
      </x:c>
      <x:c r="Y217" s="42" t="n">
        <x:v>10</x:v>
      </x:c>
      <x:c r="Z217" s="34" t="str">
        <x:v>strict</x:v>
      </x:c>
      <x:c r="AA217" s="36" t="n">
        <x:v>64</x:v>
      </x:c>
      <x:c r="AB217" s="43" t="n">
        <x:v>361682688</x:v>
      </x:c>
      <x:c r="AC217" s="43" t="n">
        <x:v>3000590982</x:v>
      </x:c>
      <x:c r="AD217" s="43" t="n">
        <x:v>590982</x:v>
      </x:c>
      <x:c r="AE217" s="43" t="n">
        <x:v>15614557.764494995</x:v>
      </x:c>
      <x:c r="AF217" s="43" t="n">
        <x:v>105939656.43221824</x:v>
      </x:c>
      <x:c r="AG217" s="43" t="n">
        <x:v>530983168</x:v>
      </x:c>
      <x:c r="AH217" s="43" t="n">
        <x:v>5012128469</x:v>
      </x:c>
      <x:c r="AI217" s="43" t="n">
        <x:v>12128469</x:v>
      </x:c>
      <x:c r="AJ217" s="43" t="n">
        <x:v>105939656.43221824</x:v>
      </x:c>
      <x:c r="AK217" s="43" t="n">
        <x:v>530983168</x:v>
      </x:c>
      <x:c r="AL217" s="43" t="n">
        <x:v>0</x:v>
      </x:c>
      <x:c r="AM217" s="43" t="n">
        <x:v>19921985.504763346</x:v>
      </x:c>
      <x:c r="AN217" s="43" t="n">
        <x:v>40</x:v>
      </x:c>
      <x:c r="AO217" s="43" t="n">
        <x:v>160</x:v>
      </x:c>
      <x:c r="AP217" s="43" t="n">
        <x:v>280</x:v>
      </x:c>
      <x:c r="AQ217" s="43" t="n">
        <x:v>8296612</x:v>
      </x:c>
      <x:c r="AR217" s="43" t="n">
        <x:v>16</x:v>
      </x:c>
      <x:c r="AS217" s="45" t="b">
        <x:v>0</x:v>
      </x:c>
      <x:c r="AT217" s="43" t="n">
        <x:v>0</x:v>
      </x:c>
      <x:c r="AU217" s="48" t="n">
        <x:v>0</x:v>
      </x:c>
      <x:c r="AV217" s="43" t="n">
        <x:v>0</x:v>
      </x:c>
      <x:c r="AW217" s="48" t="n">
        <x:v>0</x:v>
      </x:c>
      <x:c r="AX217" s="45" t="b">
        <x:v>1</x:v>
      </x:c>
      <x:c r="AY217" s="44" t="str">
        <x:v>{"provider":"nostore","currentEntries":0,"requestCount":530983168,"hitCount":0,"missCount":530983168,"hitRate":0,"loadSuccessCount":0,"loadFailureCount":0,"totalLoadTimeNanos":0,"evictionCount":0,"expirationCount":0,"putCount":10000,"removeCount":0,"nativeMetrics":{"storageEnabled":0}}</x:v>
      </x:c>
      <x:c r="AZ217" s="44" t="str">
        <x:v>{"provider":"nostore","currentEntries":0,"requestCount":530983168,"hitCount":0,"missCount":530983168,"hitRate":0,"loadSuccessCount":0,"loadFailureCount":0,"totalLoadTimeNanos":0,"evictionCount":0,"expirationCount":0,"putCount":15000,"removeCount":0,"nativeMetrics":{"storageEnabled":0}}</x:v>
      </x:c>
      <x:c r="BA217" s="43" t="n">
        <x:v>0</x:v>
      </x:c>
      <x:c r="BB217" s="43" t="n">
        <x:v>530983168</x:v>
      </x:c>
      <x:c r="BC217" s="43" t="n">
        <x:v>0</x:v>
      </x:c>
      <x:c r="BD217" s="43" t="n">
        <x:v>530983168</x:v>
      </x:c>
      <x:c r="BE217" s="48" t="n">
        <x:v>0</x:v>
      </x:c>
      <x:c r="BF217" s="43" t="n">
        <x:v>0</x:v>
      </x:c>
      <x:c r="BG217" s="43" t="n">
        <x:v>0</x:v>
      </x:c>
      <x:c r="BH217" s="43" t="n">
        <x:v>0</x:v>
      </x:c>
      <x:c r="BI217" s="43" t="n">
        <x:v>0</x:v>
      </x:c>
      <x:c r="BJ217" s="43" t="n">
        <x:v>0</x:v>
      </x:c>
      <x:c r="BK217" s="43" t="n">
        <x:v>15000</x:v>
      </x:c>
      <x:c r="BL217" s="43" t="n">
        <x:v>0</x:v>
      </x:c>
      <x:c r="BM217" s="44" t="str">
        <x:v>{"storageEnabled":0}</x:v>
      </x:c>
    </x:row>
    <x:row r="218">
      <x:c r="A218" s="34" t="str">
        <x:v>article1-unified-v4-2-fb3f101b-20260903-000401-default-f04-p4-nostore</x:v>
      </x:c>
      <x:c r="B218" s="34" t="str">
        <x:v>default</x:v>
      </x:c>
      <x:c r="C218" s="34" t="str">
        <x:v>nostore</x:v>
      </x:c>
      <x:c r="D218" s="34" t="str">
        <x:v>nostore</x:v>
      </x:c>
      <x:c r="E218" s="34" t="str">
        <x:v>lifecycle-negative-control</x:v>
      </x:c>
      <x:c r="F218" s="36" t="n">
        <x:v>4</x:v>
      </x:c>
      <x:c r="G218" s="36" t="n">
        <x:v>4</x:v>
      </x:c>
      <x:c r="H218" s="36" t="n">
        <x:v>4</x:v>
      </x:c>
      <x:c r="I218" s="36" t="n">
        <x:v>4</x:v>
      </x:c>
      <x:c r="J218" s="34" t="str">
        <x:v>initial</x:v>
      </x:c>
      <x:c r="K218" s="34" t="str">
        <x:v>no-store-control</x:v>
      </x:c>
      <x:c r="L218" s="45" t="b">
        <x:v>0</x:v>
      </x:c>
      <x:c r="M218" s="36" t="n">
        <x:v>153065368</x:v>
      </x:c>
      <x:c r="N218" s="34" t="str">
        <x:v>13e2812983530d3984d2699f769b1b94ef065a0bcaeae2fdd816f73034de5703</x:v>
      </x:c>
      <x:c r="O218" s="43" t="n">
        <x:v>10000</x:v>
      </x:c>
      <x:c r="P218" s="43" t="n">
        <x:v>400000</x:v>
      </x:c>
      <x:c r="Q218" s="36" t="n">
        <x:v>8</x:v>
      </x:c>
      <x:c r="R218" s="42" t="n">
        <x:v>95</x:v>
      </x:c>
      <x:c r="S218" s="43" t="n">
        <x:v>512</x:v>
      </x:c>
      <x:c r="T218" s="43" t="n">
        <x:v>50000</x:v>
      </x:c>
      <x:c r="U218" s="46" t="n">
        <x:v>3</x:v>
      </x:c>
      <x:c r="V218" s="46" t="n">
        <x:v>5</x:v>
      </x:c>
      <x:c r="W218" s="43" t="n">
        <x:v>300</x:v>
      </x:c>
      <x:c r="X218" s="34" t="str">
        <x:v>uniform</x:v>
      </x:c>
      <x:c r="Y218" s="42" t="n">
        <x:v>10</x:v>
      </x:c>
      <x:c r="Z218" s="34" t="str">
        <x:v>strict</x:v>
      </x:c>
      <x:c r="AA218" s="36" t="n">
        <x:v>64</x:v>
      </x:c>
      <x:c r="AB218" s="43" t="n">
        <x:v>345069312</x:v>
      </x:c>
      <x:c r="AC218" s="43" t="n">
        <x:v>3052163809</x:v>
      </x:c>
      <x:c r="AD218" s="43" t="n">
        <x:v>52163809</x:v>
      </x:c>
      <x:c r="AE218" s="43" t="n">
        <x:v>11882115.159083698</x:v>
      </x:c>
      <x:c r="AF218" s="43" t="n">
        <x:v>102876387.59352854</x:v>
      </x:c>
      <x:c r="AG218" s="43" t="n">
        <x:v>515001600</x:v>
      </x:c>
      <x:c r="AH218" s="43" t="n">
        <x:v>5006023365</x:v>
      </x:c>
      <x:c r="AI218" s="43" t="n">
        <x:v>6023365</x:v>
      </x:c>
      <x:c r="AJ218" s="43" t="n">
        <x:v>102876387.59352854</x:v>
      </x:c>
      <x:c r="AK218" s="43" t="n">
        <x:v>515001600</x:v>
      </x:c>
      <x:c r="AL218" s="43" t="n">
        <x:v>0</x:v>
      </x:c>
      <x:c r="AM218" s="43" t="n">
        <x:v>19930720.814448975</x:v>
      </x:c>
      <x:c r="AN218" s="43" t="n">
        <x:v>40</x:v>
      </x:c>
      <x:c r="AO218" s="43" t="n">
        <x:v>161</x:v>
      </x:c>
      <x:c r="AP218" s="43" t="n">
        <x:v>281</x:v>
      </x:c>
      <x:c r="AQ218" s="43" t="n">
        <x:v>8046900</x:v>
      </x:c>
      <x:c r="AR218" s="43" t="n">
        <x:v>16</x:v>
      </x:c>
      <x:c r="AS218" s="45" t="b">
        <x:v>0</x:v>
      </x:c>
      <x:c r="AT218" s="43" t="n">
        <x:v>0</x:v>
      </x:c>
      <x:c r="AU218" s="48" t="n">
        <x:v>0</x:v>
      </x:c>
      <x:c r="AV218" s="43" t="n">
        <x:v>0</x:v>
      </x:c>
      <x:c r="AW218" s="48" t="n">
        <x:v>0</x:v>
      </x:c>
      <x:c r="AX218" s="45" t="b">
        <x:v>1</x:v>
      </x:c>
      <x:c r="AY218" s="44" t="str">
        <x:v>{"provider":"nostore","currentEntries":0,"requestCount":515001600,"hitCount":0,"missCount":515001600,"hitRate":0,"loadSuccessCount":0,"loadFailureCount":0,"totalLoadTimeNanos":0,"evictionCount":0,"expirationCount":0,"putCount":10000,"removeCount":0,"nativeMetrics":{"storageEnabled":0}}</x:v>
      </x:c>
      <x:c r="AZ218" s="44" t="str">
        <x:v>{"provider":"nostore","currentEntries":0,"requestCount":515001600,"hitCount":0,"missCount":515001600,"hitRate":0,"loadSuccessCount":0,"loadFailureCount":0,"totalLoadTimeNanos":0,"evictionCount":0,"expirationCount":0,"putCount":15000,"removeCount":0,"nativeMetrics":{"storageEnabled":0}}</x:v>
      </x:c>
      <x:c r="BA218" s="43" t="n">
        <x:v>0</x:v>
      </x:c>
      <x:c r="BB218" s="43" t="n">
        <x:v>515001600</x:v>
      </x:c>
      <x:c r="BC218" s="43" t="n">
        <x:v>0</x:v>
      </x:c>
      <x:c r="BD218" s="43" t="n">
        <x:v>515001600</x:v>
      </x:c>
      <x:c r="BE218" s="48" t="n">
        <x:v>0</x:v>
      </x:c>
      <x:c r="BF218" s="43" t="n">
        <x:v>0</x:v>
      </x:c>
      <x:c r="BG218" s="43" t="n">
        <x:v>0</x:v>
      </x:c>
      <x:c r="BH218" s="43" t="n">
        <x:v>0</x:v>
      </x:c>
      <x:c r="BI218" s="43" t="n">
        <x:v>0</x:v>
      </x:c>
      <x:c r="BJ218" s="43" t="n">
        <x:v>0</x:v>
      </x:c>
      <x:c r="BK218" s="43" t="n">
        <x:v>15000</x:v>
      </x:c>
      <x:c r="BL218" s="43" t="n">
        <x:v>0</x:v>
      </x:c>
      <x:c r="BM218" s="44" t="str">
        <x:v>{"storageEnabled":0}</x:v>
      </x:c>
    </x:row>
    <x:row r="219">
      <x:c r="A219" s="34" t="str">
        <x:v>article1-unified-v4-2-fb3f101b-20260903-000401-default-f04-p4-nostore</x:v>
      </x:c>
      <x:c r="B219" s="34" t="str">
        <x:v>default</x:v>
      </x:c>
      <x:c r="C219" s="34" t="str">
        <x:v>nostore</x:v>
      </x:c>
      <x:c r="D219" s="34" t="str">
        <x:v>nostore</x:v>
      </x:c>
      <x:c r="E219" s="34" t="str">
        <x:v>lifecycle-negative-control</x:v>
      </x:c>
      <x:c r="F219" s="36" t="n">
        <x:v>4</x:v>
      </x:c>
      <x:c r="G219" s="36" t="n">
        <x:v>4</x:v>
      </x:c>
      <x:c r="H219" s="36" t="n">
        <x:v>4</x:v>
      </x:c>
      <x:c r="I219" s="36" t="n">
        <x:v>4</x:v>
      </x:c>
      <x:c r="J219" s="34" t="str">
        <x:v>redeploy</x:v>
      </x:c>
      <x:c r="K219" s="34" t="str">
        <x:v>no-store-control</x:v>
      </x:c>
      <x:c r="L219" s="45" t="b">
        <x:v>0</x:v>
      </x:c>
      <x:c r="M219" s="36" t="n">
        <x:v>153065368</x:v>
      </x:c>
      <x:c r="N219" s="34" t="str">
        <x:v>13e2812983530d3984d2699f769b1b94ef065a0bcaeae2fdd816f73034de5703</x:v>
      </x:c>
      <x:c r="O219" s="43" t="n">
        <x:v>10000</x:v>
      </x:c>
      <x:c r="P219" s="43" t="n">
        <x:v>400000</x:v>
      </x:c>
      <x:c r="Q219" s="36" t="n">
        <x:v>8</x:v>
      </x:c>
      <x:c r="R219" s="42" t="n">
        <x:v>95</x:v>
      </x:c>
      <x:c r="S219" s="43" t="n">
        <x:v>512</x:v>
      </x:c>
      <x:c r="T219" s="43" t="n">
        <x:v>50000</x:v>
      </x:c>
      <x:c r="U219" s="46" t="n">
        <x:v>3</x:v>
      </x:c>
      <x:c r="V219" s="46" t="n">
        <x:v>5</x:v>
      </x:c>
      <x:c r="W219" s="43" t="n">
        <x:v>300</x:v>
      </x:c>
      <x:c r="X219" s="34" t="str">
        <x:v>uniform</x:v>
      </x:c>
      <x:c r="Y219" s="42" t="n">
        <x:v>10</x:v>
      </x:c>
      <x:c r="Z219" s="34" t="str">
        <x:v>strict</x:v>
      </x:c>
      <x:c r="AA219" s="36" t="n">
        <x:v>64</x:v>
      </x:c>
      <x:c r="AB219" s="43" t="n">
        <x:v>373963520</x:v>
      </x:c>
      <x:c r="AC219" s="43" t="n">
        <x:v>3042656344</x:v>
      </x:c>
      <x:c r="AD219" s="43" t="n">
        <x:v>42656344</x:v>
      </x:c>
      <x:c r="AE219" s="43" t="n">
        <x:v>12782591.133483486</x:v>
      </x:c>
      <x:c r="AF219" s="43" t="n">
        <x:v>103182518.58874956</x:v>
      </x:c>
      <x:c r="AG219" s="43" t="n">
        <x:v>516518656</x:v>
      </x:c>
      <x:c r="AH219" s="43" t="n">
        <x:v>5005873699</x:v>
      </x:c>
      <x:c r="AI219" s="43" t="n">
        <x:v>5873699</x:v>
      </x:c>
      <x:c r="AJ219" s="43" t="n">
        <x:v>103182518.58874956</x:v>
      </x:c>
      <x:c r="AK219" s="43" t="n">
        <x:v>516518656</x:v>
      </x:c>
      <x:c r="AL219" s="43" t="n">
        <x:v>0</x:v>
      </x:c>
      <x:c r="AM219" s="43" t="n">
        <x:v>20227191.818505455</x:v>
      </x:c>
      <x:c r="AN219" s="43" t="n">
        <x:v>40</x:v>
      </x:c>
      <x:c r="AO219" s="43" t="n">
        <x:v>160</x:v>
      </x:c>
      <x:c r="AP219" s="43" t="n">
        <x:v>280</x:v>
      </x:c>
      <x:c r="AQ219" s="43" t="n">
        <x:v>8070604</x:v>
      </x:c>
      <x:c r="AR219" s="43" t="n">
        <x:v>16</x:v>
      </x:c>
      <x:c r="AS219" s="45" t="b">
        <x:v>0</x:v>
      </x:c>
      <x:c r="AT219" s="43" t="n">
        <x:v>0</x:v>
      </x:c>
      <x:c r="AU219" s="48" t="n">
        <x:v>0</x:v>
      </x:c>
      <x:c r="AV219" s="43" t="n">
        <x:v>0</x:v>
      </x:c>
      <x:c r="AW219" s="48" t="n">
        <x:v>0</x:v>
      </x:c>
      <x:c r="AX219" s="45" t="b">
        <x:v>1</x:v>
      </x:c>
      <x:c r="AY219" s="44" t="str">
        <x:v>{"provider":"nostore","currentEntries":0,"requestCount":516518656,"hitCount":0,"missCount":516518656,"hitRate":0,"loadSuccessCount":0,"loadFailureCount":0,"totalLoadTimeNanos":0,"evictionCount":0,"expirationCount":0,"putCount":10000,"removeCount":0,"nativeMetrics":{"storageEnabled":0}}</x:v>
      </x:c>
      <x:c r="AZ219" s="44" t="str">
        <x:v>{"provider":"nostore","currentEntries":0,"requestCount":516518656,"hitCount":0,"missCount":516518656,"hitRate":0,"loadSuccessCount":0,"loadFailureCount":0,"totalLoadTimeNanos":0,"evictionCount":0,"expirationCount":0,"putCount":15000,"removeCount":0,"nativeMetrics":{"storageEnabled":0}}</x:v>
      </x:c>
      <x:c r="BA219" s="43" t="n">
        <x:v>0</x:v>
      </x:c>
      <x:c r="BB219" s="43" t="n">
        <x:v>516518656</x:v>
      </x:c>
      <x:c r="BC219" s="43" t="n">
        <x:v>0</x:v>
      </x:c>
      <x:c r="BD219" s="43" t="n">
        <x:v>516518656</x:v>
      </x:c>
      <x:c r="BE219" s="48" t="n">
        <x:v>0</x:v>
      </x:c>
      <x:c r="BF219" s="43" t="n">
        <x:v>0</x:v>
      </x:c>
      <x:c r="BG219" s="43" t="n">
        <x:v>0</x:v>
      </x:c>
      <x:c r="BH219" s="43" t="n">
        <x:v>0</x:v>
      </x:c>
      <x:c r="BI219" s="43" t="n">
        <x:v>0</x:v>
      </x:c>
      <x:c r="BJ219" s="43" t="n">
        <x:v>0</x:v>
      </x:c>
      <x:c r="BK219" s="43" t="n">
        <x:v>15000</x:v>
      </x:c>
      <x:c r="BL219" s="43" t="n">
        <x:v>0</x:v>
      </x:c>
      <x:c r="BM219" s="44" t="str">
        <x:v>{"storageEnabled":0}</x:v>
      </x:c>
    </x:row>
    <x:row r="220">
      <x:c r="A220" s="34" t="str">
        <x:v>article1-unified-v4-2-fb3f101b-20260903-000401-default-f04-p4-nostore</x:v>
      </x:c>
      <x:c r="B220" s="34" t="str">
        <x:v>default</x:v>
      </x:c>
      <x:c r="C220" s="34" t="str">
        <x:v>nostore</x:v>
      </x:c>
      <x:c r="D220" s="34" t="str">
        <x:v>nostore</x:v>
      </x:c>
      <x:c r="E220" s="34" t="str">
        <x:v>lifecycle-negative-control</x:v>
      </x:c>
      <x:c r="F220" s="36" t="n">
        <x:v>4</x:v>
      </x:c>
      <x:c r="G220" s="36" t="n">
        <x:v>4</x:v>
      </x:c>
      <x:c r="H220" s="36" t="n">
        <x:v>4</x:v>
      </x:c>
      <x:c r="I220" s="36" t="n">
        <x:v>5</x:v>
      </x:c>
      <x:c r="J220" s="34" t="str">
        <x:v>initial</x:v>
      </x:c>
      <x:c r="K220" s="34" t="str">
        <x:v>no-store-control</x:v>
      </x:c>
      <x:c r="L220" s="45" t="b">
        <x:v>0</x:v>
      </x:c>
      <x:c r="M220" s="36" t="n">
        <x:v>2019955368</x:v>
      </x:c>
      <x:c r="N220" s="34" t="str">
        <x:v>d64ba2cf71f68a5c314873e1c18092a1a2fe40603628b516f9936c8a249791fe</x:v>
      </x:c>
      <x:c r="O220" s="43" t="n">
        <x:v>10000</x:v>
      </x:c>
      <x:c r="P220" s="43" t="n">
        <x:v>400000</x:v>
      </x:c>
      <x:c r="Q220" s="36" t="n">
        <x:v>8</x:v>
      </x:c>
      <x:c r="R220" s="42" t="n">
        <x:v>95</x:v>
      </x:c>
      <x:c r="S220" s="43" t="n">
        <x:v>512</x:v>
      </x:c>
      <x:c r="T220" s="43" t="n">
        <x:v>50000</x:v>
      </x:c>
      <x:c r="U220" s="46" t="n">
        <x:v>3</x:v>
      </x:c>
      <x:c r="V220" s="46" t="n">
        <x:v>5</x:v>
      </x:c>
      <x:c r="W220" s="43" t="n">
        <x:v>300</x:v>
      </x:c>
      <x:c r="X220" s="34" t="str">
        <x:v>uniform</x:v>
      </x:c>
      <x:c r="Y220" s="42" t="n">
        <x:v>10</x:v>
      </x:c>
      <x:c r="Z220" s="34" t="str">
        <x:v>strict</x:v>
      </x:c>
      <x:c r="AA220" s="36" t="n">
        <x:v>64</x:v>
      </x:c>
      <x:c r="AB220" s="43" t="n">
        <x:v>364834816</x:v>
      </x:c>
      <x:c r="AC220" s="43" t="n">
        <x:v>3000528642</x:v>
      </x:c>
      <x:c r="AD220" s="43" t="n">
        <x:v>528642</x:v>
      </x:c>
      <x:c r="AE220" s="43" t="n">
        <x:v>10263673.779392596</x:v>
      </x:c>
      <x:c r="AF220" s="43" t="n">
        <x:v>100994087.21206415</x:v>
      </x:c>
      <x:c r="AG220" s="43" t="n">
        <x:v>505893632</x:v>
      </x:c>
      <x:c r="AH220" s="43" t="n">
        <x:v>5009141089</x:v>
      </x:c>
      <x:c r="AI220" s="43" t="n">
        <x:v>9141089</x:v>
      </x:c>
      <x:c r="AJ220" s="43" t="n">
        <x:v>100994087.21206415</x:v>
      </x:c>
      <x:c r="AK220" s="43" t="n">
        <x:v>505893632</x:v>
      </x:c>
      <x:c r="AL220" s="43" t="n">
        <x:v>0</x:v>
      </x:c>
      <x:c r="AM220" s="43" t="n">
        <x:v>19381873.296817884</x:v>
      </x:c>
      <x:c r="AN220" s="43" t="n">
        <x:v>40</x:v>
      </x:c>
      <x:c r="AO220" s="43" t="n">
        <x:v>161</x:v>
      </x:c>
      <x:c r="AP220" s="43" t="n">
        <x:v>281</x:v>
      </x:c>
      <x:c r="AQ220" s="43" t="n">
        <x:v>7904588</x:v>
      </x:c>
      <x:c r="AR220" s="43" t="n">
        <x:v>16</x:v>
      </x:c>
      <x:c r="AS220" s="45" t="b">
        <x:v>0</x:v>
      </x:c>
      <x:c r="AT220" s="43" t="n">
        <x:v>0</x:v>
      </x:c>
      <x:c r="AU220" s="48" t="n">
        <x:v>0</x:v>
      </x:c>
      <x:c r="AV220" s="43" t="n">
        <x:v>0</x:v>
      </x:c>
      <x:c r="AW220" s="48" t="n">
        <x:v>0</x:v>
      </x:c>
      <x:c r="AX220" s="45" t="b">
        <x:v>1</x:v>
      </x:c>
      <x:c r="AY220" s="44" t="str">
        <x:v>{"provider":"nostore","currentEntries":0,"requestCount":505893632,"hitCount":0,"missCount":505893632,"hitRate":0,"loadSuccessCount":0,"loadFailureCount":0,"totalLoadTimeNanos":0,"evictionCount":0,"expirationCount":0,"putCount":10000,"removeCount":0,"nativeMetrics":{"storageEnabled":0}}</x:v>
      </x:c>
      <x:c r="AZ220" s="44" t="str">
        <x:v>{"provider":"nostore","currentEntries":0,"requestCount":505893632,"hitCount":0,"missCount":505893632,"hitRate":0,"loadSuccessCount":0,"loadFailureCount":0,"totalLoadTimeNanos":0,"evictionCount":0,"expirationCount":0,"putCount":15000,"removeCount":0,"nativeMetrics":{"storageEnabled":0}}</x:v>
      </x:c>
      <x:c r="BA220" s="43" t="n">
        <x:v>0</x:v>
      </x:c>
      <x:c r="BB220" s="43" t="n">
        <x:v>505893632</x:v>
      </x:c>
      <x:c r="BC220" s="43" t="n">
        <x:v>0</x:v>
      </x:c>
      <x:c r="BD220" s="43" t="n">
        <x:v>505893632</x:v>
      </x:c>
      <x:c r="BE220" s="48" t="n">
        <x:v>0</x:v>
      </x:c>
      <x:c r="BF220" s="43" t="n">
        <x:v>0</x:v>
      </x:c>
      <x:c r="BG220" s="43" t="n">
        <x:v>0</x:v>
      </x:c>
      <x:c r="BH220" s="43" t="n">
        <x:v>0</x:v>
      </x:c>
      <x:c r="BI220" s="43" t="n">
        <x:v>0</x:v>
      </x:c>
      <x:c r="BJ220" s="43" t="n">
        <x:v>0</x:v>
      </x:c>
      <x:c r="BK220" s="43" t="n">
        <x:v>15000</x:v>
      </x:c>
      <x:c r="BL220" s="43" t="n">
        <x:v>0</x:v>
      </x:c>
      <x:c r="BM220" s="44" t="str">
        <x:v>{"storageEnabled":0}</x:v>
      </x:c>
    </x:row>
    <x:row r="221">
      <x:c r="A221" s="34" t="str">
        <x:v>article1-unified-v4-2-fb3f101b-20260903-000401-default-f04-p4-nostore</x:v>
      </x:c>
      <x:c r="B221" s="34" t="str">
        <x:v>default</x:v>
      </x:c>
      <x:c r="C221" s="34" t="str">
        <x:v>nostore</x:v>
      </x:c>
      <x:c r="D221" s="34" t="str">
        <x:v>nostore</x:v>
      </x:c>
      <x:c r="E221" s="34" t="str">
        <x:v>lifecycle-negative-control</x:v>
      </x:c>
      <x:c r="F221" s="36" t="n">
        <x:v>4</x:v>
      </x:c>
      <x:c r="G221" s="36" t="n">
        <x:v>4</x:v>
      </x:c>
      <x:c r="H221" s="36" t="n">
        <x:v>4</x:v>
      </x:c>
      <x:c r="I221" s="36" t="n">
        <x:v>5</x:v>
      </x:c>
      <x:c r="J221" s="34" t="str">
        <x:v>redeploy</x:v>
      </x:c>
      <x:c r="K221" s="34" t="str">
        <x:v>no-store-control</x:v>
      </x:c>
      <x:c r="L221" s="45" t="b">
        <x:v>0</x:v>
      </x:c>
      <x:c r="M221" s="36" t="n">
        <x:v>2019955368</x:v>
      </x:c>
      <x:c r="N221" s="34" t="str">
        <x:v>d64ba2cf71f68a5c314873e1c18092a1a2fe40603628b516f9936c8a249791fe</x:v>
      </x:c>
      <x:c r="O221" s="43" t="n">
        <x:v>10000</x:v>
      </x:c>
      <x:c r="P221" s="43" t="n">
        <x:v>400000</x:v>
      </x:c>
      <x:c r="Q221" s="36" t="n">
        <x:v>8</x:v>
      </x:c>
      <x:c r="R221" s="42" t="n">
        <x:v>95</x:v>
      </x:c>
      <x:c r="S221" s="43" t="n">
        <x:v>512</x:v>
      </x:c>
      <x:c r="T221" s="43" t="n">
        <x:v>50000</x:v>
      </x:c>
      <x:c r="U221" s="46" t="n">
        <x:v>3</x:v>
      </x:c>
      <x:c r="V221" s="46" t="n">
        <x:v>5</x:v>
      </x:c>
      <x:c r="W221" s="43" t="n">
        <x:v>300</x:v>
      </x:c>
      <x:c r="X221" s="34" t="str">
        <x:v>uniform</x:v>
      </x:c>
      <x:c r="Y221" s="42" t="n">
        <x:v>10</x:v>
      </x:c>
      <x:c r="Z221" s="34" t="str">
        <x:v>strict</x:v>
      </x:c>
      <x:c r="AA221" s="36" t="n">
        <x:v>64</x:v>
      </x:c>
      <x:c r="AB221" s="43" t="n">
        <x:v>358453504</x:v>
      </x:c>
      <x:c r="AC221" s="43" t="n">
        <x:v>3005510743</x:v>
      </x:c>
      <x:c r="AD221" s="43" t="n">
        <x:v>5510743</x:v>
      </x:c>
      <x:c r="AE221" s="43" t="n">
        <x:v>13340305.866532909</x:v>
      </x:c>
      <x:c r="AF221" s="43" t="n">
        <x:v>104298004.97413445</x:v>
      </x:c>
      <x:c r="AG221" s="43" t="n">
        <x:v>522588160</x:v>
      </x:c>
      <x:c r="AH221" s="43" t="n">
        <x:v>5010528822</x:v>
      </x:c>
      <x:c r="AI221" s="43" t="n">
        <x:v>10528822</x:v>
      </x:c>
      <x:c r="AJ221" s="43" t="n">
        <x:v>104298004.97413445</x:v>
      </x:c>
      <x:c r="AK221" s="43" t="n">
        <x:v>522588160</x:v>
      </x:c>
      <x:c r="AL221" s="43" t="n">
        <x:v>0</x:v>
      </x:c>
      <x:c r="AM221" s="43" t="n">
        <x:v>17175697.075665817</x:v>
      </x:c>
      <x:c r="AN221" s="43" t="n">
        <x:v>40</x:v>
      </x:c>
      <x:c r="AO221" s="43" t="n">
        <x:v>160</x:v>
      </x:c>
      <x:c r="AP221" s="43" t="n">
        <x:v>280</x:v>
      </x:c>
      <x:c r="AQ221" s="43" t="n">
        <x:v>8165440</x:v>
      </x:c>
      <x:c r="AR221" s="43" t="n">
        <x:v>16</x:v>
      </x:c>
      <x:c r="AS221" s="45" t="b">
        <x:v>0</x:v>
      </x:c>
      <x:c r="AT221" s="43" t="n">
        <x:v>0</x:v>
      </x:c>
      <x:c r="AU221" s="48" t="n">
        <x:v>0</x:v>
      </x:c>
      <x:c r="AV221" s="43" t="n">
        <x:v>0</x:v>
      </x:c>
      <x:c r="AW221" s="48" t="n">
        <x:v>0</x:v>
      </x:c>
      <x:c r="AX221" s="45" t="b">
        <x:v>1</x:v>
      </x:c>
      <x:c r="AY221" s="44" t="str">
        <x:v>{"provider":"nostore","currentEntries":0,"requestCount":522588160,"hitCount":0,"missCount":522588160,"hitRate":0,"loadSuccessCount":0,"loadFailureCount":0,"totalLoadTimeNanos":0,"evictionCount":0,"expirationCount":0,"putCount":10000,"removeCount":0,"nativeMetrics":{"storageEnabled":0}}</x:v>
      </x:c>
      <x:c r="AZ221" s="44" t="str">
        <x:v>{"provider":"nostore","currentEntries":0,"requestCount":522588160,"hitCount":0,"missCount":522588160,"hitRate":0,"loadSuccessCount":0,"loadFailureCount":0,"totalLoadTimeNanos":0,"evictionCount":0,"expirationCount":0,"putCount":15000,"removeCount":0,"nativeMetrics":{"storageEnabled":0}}</x:v>
      </x:c>
      <x:c r="BA221" s="43" t="n">
        <x:v>0</x:v>
      </x:c>
      <x:c r="BB221" s="43" t="n">
        <x:v>522588160</x:v>
      </x:c>
      <x:c r="BC221" s="43" t="n">
        <x:v>0</x:v>
      </x:c>
      <x:c r="BD221" s="43" t="n">
        <x:v>522588160</x:v>
      </x:c>
      <x:c r="BE221" s="48" t="n">
        <x:v>0</x:v>
      </x:c>
      <x:c r="BF221" s="43" t="n">
        <x:v>0</x:v>
      </x:c>
      <x:c r="BG221" s="43" t="n">
        <x:v>0</x:v>
      </x:c>
      <x:c r="BH221" s="43" t="n">
        <x:v>0</x:v>
      </x:c>
      <x:c r="BI221" s="43" t="n">
        <x:v>0</x:v>
      </x:c>
      <x:c r="BJ221" s="43" t="n">
        <x:v>0</x:v>
      </x:c>
      <x:c r="BK221" s="43" t="n">
        <x:v>15000</x:v>
      </x:c>
      <x:c r="BL221" s="43" t="n">
        <x:v>0</x:v>
      </x:c>
      <x:c r="BM221" s="44" t="str">
        <x:v>{"storageEnabled":0}</x:v>
      </x:c>
    </x:row>
    <x:row r="222">
      <x:c r="A222" s="34" t="str">
        <x:v>article1-unified-v4-2-fb3f101b-20260903-000401-default-f04-p5-ehcache</x:v>
      </x:c>
      <x:c r="B222" s="34" t="str">
        <x:v>default</x:v>
      </x:c>
      <x:c r="C222" s="34" t="str">
        <x:v>ehcache</x:v>
      </x:c>
      <x:c r="D222" s="34" t="str">
        <x:v>ehcache</x:v>
      </x:c>
      <x:c r="E222" s="34" t="str">
        <x:v>current-provider-primary-comparison</x:v>
      </x:c>
      <x:c r="F222" s="36" t="n">
        <x:v>4</x:v>
      </x:c>
      <x:c r="G222" s="36" t="n">
        <x:v>4</x:v>
      </x:c>
      <x:c r="H222" s="36" t="n">
        <x:v>5</x:v>
      </x:c>
      <x:c r="I222" s="36" t="n">
        <x:v>1</x:v>
      </x:c>
      <x:c r="J222" s="34" t="str">
        <x:v>initial</x:v>
      </x:c>
      <x:c r="K222" s="34" t="str">
        <x:v>cache-semantics</x:v>
      </x:c>
      <x:c r="L222" s="45" t="b">
        <x:v>1</x:v>
      </x:c>
      <x:c r="M222" s="36" t="n">
        <x:v>850092908</x:v>
      </x:c>
      <x:c r="N222" s="34" t="str">
        <x:v>c3fbbc14afc1687ffa7ecbca17e8ff73fcb319ce839d0fb032082700ff0dfb34</x:v>
      </x:c>
      <x:c r="O222" s="43" t="n">
        <x:v>10000</x:v>
      </x:c>
      <x:c r="P222" s="43" t="n">
        <x:v>400000</x:v>
      </x:c>
      <x:c r="Q222" s="36" t="n">
        <x:v>8</x:v>
      </x:c>
      <x:c r="R222" s="42" t="n">
        <x:v>95</x:v>
      </x:c>
      <x:c r="S222" s="43" t="n">
        <x:v>512</x:v>
      </x:c>
      <x:c r="T222" s="43" t="n">
        <x:v>50000</x:v>
      </x:c>
      <x:c r="U222" s="46" t="n">
        <x:v>3</x:v>
      </x:c>
      <x:c r="V222" s="46" t="n">
        <x:v>5</x:v>
      </x:c>
      <x:c r="W222" s="43" t="n">
        <x:v>300</x:v>
      </x:c>
      <x:c r="X222" s="34" t="str">
        <x:v>uniform</x:v>
      </x:c>
      <x:c r="Y222" s="42" t="n">
        <x:v>10</x:v>
      </x:c>
      <x:c r="Z222" s="34" t="str">
        <x:v>strict</x:v>
      </x:c>
      <x:c r="AA222" s="36" t="n">
        <x:v>64</x:v>
      </x:c>
      <x:c r="AB222" s="43" t="n">
        <x:v>77258752</x:v>
      </x:c>
      <x:c r="AC222" s="43" t="n">
        <x:v>3052745550</x:v>
      </x:c>
      <x:c r="AD222" s="43" t="n">
        <x:v>52745550</x:v>
      </x:c>
      <x:c r="AE222" s="43" t="n">
        <x:v>1994753.797512542</x:v>
      </x:c>
      <x:c r="AF222" s="43" t="n">
        <x:v>26281226.94114405</x:v>
      </x:c>
      <x:c r="AG222" s="43" t="n">
        <x:v>131484672</x:v>
      </x:c>
      <x:c r="AH222" s="43" t="n">
        <x:v>5002988342</x:v>
      </x:c>
      <x:c r="AI222" s="43" t="n">
        <x:v>2988342</x:v>
      </x:c>
      <x:c r="AJ222" s="43" t="n">
        <x:v>26281226.94114405</x:v>
      </x:c>
      <x:c r="AK222" s="43" t="n">
        <x:v>131484672</x:v>
      </x:c>
      <x:c r="AL222" s="43" t="n">
        <x:v>0</x:v>
      </x:c>
      <x:c r="AM222" s="43" t="n">
        <x:v>283396.6195771065</x:v>
      </x:c>
      <x:c r="AN222" s="43" t="n">
        <x:v>161</x:v>
      </x:c>
      <x:c r="AO222" s="43" t="n">
        <x:v>271</x:v>
      </x:c>
      <x:c r="AP222" s="43" t="n">
        <x:v>461</x:v>
      </x:c>
      <x:c r="AQ222" s="43" t="n">
        <x:v>2054448</x:v>
      </x:c>
      <x:c r="AR222" s="43" t="n">
        <x:v>1</x:v>
      </x:c>
      <x:c r="AS222" s="45" t="b">
        <x:v>1</x:v>
      </x:c>
      <x:c r="AT222" s="43" t="n">
        <x:v>10000</x:v>
      </x:c>
      <x:c r="AU222" s="48" t="n">
        <x:v>0.9497269461188601</x:v>
      </x:c>
      <x:c r="AV222" s="43" t="n">
        <x:v>10000</x:v>
      </x:c>
      <x:c r="AW222" s="48" t="n">
        <x:v>0.9497269461188601</x:v>
      </x:c>
      <x:c r="AX222" s="45" t="b">
        <x:v>1</x:v>
      </x:c>
      <x:c r="AY222" s="44" t="str">
        <x:v>{"provider":"ehcache","currentEntries":10000,"requestCount":131484672,"hitCount":124874536,"missCount":6610136,"hitRate":0.9497269461188601,"loadSuccessCount":0,"loadFailureCount":0,"totalLoadTimeNanos":0,"evictionCount":-1,"expirationCount":-1,"putCount":10000,"removeCount":0,"nativeMetrics":{"mappings":10000}}</x:v>
      </x:c>
      <x:c r="AZ222" s="44" t="str">
        <x:v>{"provider":"ehcache","currentEntries":10000,"requestCount":131484672,"hitCount":124874536,"missCount":6610136,"hitRate":0.9497269461188601,"loadSuccessCount":0,"loadFailureCount":0,"totalLoadTimeNanos":0,"evictionCount":-1,"expirationCount":-1,"putCount":15000,"removeCount":0,"nativeMetrics":{"mappings":10000}}</x:v>
      </x:c>
      <x:c r="BA222" s="43" t="n">
        <x:v>10000</x:v>
      </x:c>
      <x:c r="BB222" s="43" t="n">
        <x:v>131484672</x:v>
      </x:c>
      <x:c r="BC222" s="43" t="n">
        <x:v>124874536</x:v>
      </x:c>
      <x:c r="BD222" s="43" t="n">
        <x:v>6610136</x:v>
      </x:c>
      <x:c r="BE222" s="48" t="n">
        <x:v>0.9497269461188601</x:v>
      </x:c>
      <x:c r="BF222" s="43" t="n">
        <x:v>0</x:v>
      </x:c>
      <x:c r="BG222" s="43" t="n">
        <x:v>0</x:v>
      </x:c>
      <x:c r="BH222" s="43" t="n">
        <x:v>0</x:v>
      </x:c>
      <x:c r="BI222" s="43" t="n">
        <x:v>-1</x:v>
      </x:c>
      <x:c r="BJ222" s="43" t="n">
        <x:v>-1</x:v>
      </x:c>
      <x:c r="BK222" s="43" t="n">
        <x:v>15000</x:v>
      </x:c>
      <x:c r="BL222" s="43" t="n">
        <x:v>0</x:v>
      </x:c>
      <x:c r="BM222" s="44" t="str">
        <x:v>{"mappings":10000}</x:v>
      </x:c>
    </x:row>
    <x:row r="223">
      <x:c r="A223" s="34" t="str">
        <x:v>article1-unified-v4-2-fb3f101b-20260903-000401-default-f04-p5-ehcache</x:v>
      </x:c>
      <x:c r="B223" s="34" t="str">
        <x:v>default</x:v>
      </x:c>
      <x:c r="C223" s="34" t="str">
        <x:v>ehcache</x:v>
      </x:c>
      <x:c r="D223" s="34" t="str">
        <x:v>ehcache</x:v>
      </x:c>
      <x:c r="E223" s="34" t="str">
        <x:v>current-provider-primary-comparison</x:v>
      </x:c>
      <x:c r="F223" s="36" t="n">
        <x:v>4</x:v>
      </x:c>
      <x:c r="G223" s="36" t="n">
        <x:v>4</x:v>
      </x:c>
      <x:c r="H223" s="36" t="n">
        <x:v>5</x:v>
      </x:c>
      <x:c r="I223" s="36" t="n">
        <x:v>1</x:v>
      </x:c>
      <x:c r="J223" s="34" t="str">
        <x:v>redeploy</x:v>
      </x:c>
      <x:c r="K223" s="34" t="str">
        <x:v>cache-semantics</x:v>
      </x:c>
      <x:c r="L223" s="45" t="b">
        <x:v>1</x:v>
      </x:c>
      <x:c r="M223" s="36" t="n">
        <x:v>850092908</x:v>
      </x:c>
      <x:c r="N223" s="34" t="str">
        <x:v>c3fbbc14afc1687ffa7ecbca17e8ff73fcb319ce839d0fb032082700ff0dfb34</x:v>
      </x:c>
      <x:c r="O223" s="43" t="n">
        <x:v>10000</x:v>
      </x:c>
      <x:c r="P223" s="43" t="n">
        <x:v>400000</x:v>
      </x:c>
      <x:c r="Q223" s="36" t="n">
        <x:v>8</x:v>
      </x:c>
      <x:c r="R223" s="42" t="n">
        <x:v>95</x:v>
      </x:c>
      <x:c r="S223" s="43" t="n">
        <x:v>512</x:v>
      </x:c>
      <x:c r="T223" s="43" t="n">
        <x:v>50000</x:v>
      </x:c>
      <x:c r="U223" s="46" t="n">
        <x:v>3</x:v>
      </x:c>
      <x:c r="V223" s="46" t="n">
        <x:v>5</x:v>
      </x:c>
      <x:c r="W223" s="43" t="n">
        <x:v>300</x:v>
      </x:c>
      <x:c r="X223" s="34" t="str">
        <x:v>uniform</x:v>
      </x:c>
      <x:c r="Y223" s="42" t="n">
        <x:v>10</x:v>
      </x:c>
      <x:c r="Z223" s="34" t="str">
        <x:v>strict</x:v>
      </x:c>
      <x:c r="AA223" s="36" t="n">
        <x:v>64</x:v>
      </x:c>
      <x:c r="AB223" s="43" t="n">
        <x:v>73803776</x:v>
      </x:c>
      <x:c r="AC223" s="43" t="n">
        <x:v>3000740413</x:v>
      </x:c>
      <x:c r="AD223" s="43" t="n">
        <x:v>740413</x:v>
      </x:c>
      <x:c r="AE223" s="43" t="n">
        <x:v>1447194.7576817097</x:v>
      </x:c>
      <x:c r="AF223" s="43" t="n">
        <x:v>24851187.082241274</x:v>
      </x:c>
      <x:c r="AG223" s="43" t="n">
        <x:v>125586688</x:v>
      </x:c>
      <x:c r="AH223" s="43" t="n">
        <x:v>5053548854</x:v>
      </x:c>
      <x:c r="AI223" s="43" t="n">
        <x:v>53548854</x:v>
      </x:c>
      <x:c r="AJ223" s="43" t="n">
        <x:v>24851187.082241274</x:v>
      </x:c>
      <x:c r="AK223" s="43" t="n">
        <x:v>125586688</x:v>
      </x:c>
      <x:c r="AL223" s="43" t="n">
        <x:v>0</x:v>
      </x:c>
      <x:c r="AM223" s="43" t="n">
        <x:v>282015.5152527809</x:v>
      </x:c>
      <x:c r="AN223" s="43" t="n">
        <x:v>190</x:v>
      </x:c>
      <x:c r="AO223" s="43" t="n">
        <x:v>320</x:v>
      </x:c>
      <x:c r="AP223" s="43" t="n">
        <x:v>551</x:v>
      </x:c>
      <x:c r="AQ223" s="43" t="n">
        <x:v>1962292</x:v>
      </x:c>
      <x:c r="AR223" s="43" t="n">
        <x:v>1</x:v>
      </x:c>
      <x:c r="AS223" s="45" t="b">
        <x:v>1</x:v>
      </x:c>
      <x:c r="AT223" s="43" t="n">
        <x:v>10000</x:v>
      </x:c>
      <x:c r="AU223" s="48" t="n">
        <x:v>0.9497340195801645</x:v>
      </x:c>
      <x:c r="AV223" s="43" t="n">
        <x:v>10000</x:v>
      </x:c>
      <x:c r="AW223" s="48" t="n">
        <x:v>0.9497340195801645</x:v>
      </x:c>
      <x:c r="AX223" s="45" t="b">
        <x:v>1</x:v>
      </x:c>
      <x:c r="AY223" s="44" t="str">
        <x:v>{"provider":"ehcache","currentEntries":10000,"requestCount":125586688,"hitCount":119273950,"missCount":6312738,"hitRate":0.9497340195801645,"loadSuccessCount":0,"loadFailureCount":0,"totalLoadTimeNanos":0,"evictionCount":-1,"expirationCount":-1,"putCount":10000,"removeCount":0,"nativeMetrics":{"mappings":10000}}</x:v>
      </x:c>
      <x:c r="AZ223" s="44" t="str">
        <x:v>{"provider":"ehcache","currentEntries":10000,"requestCount":125586688,"hitCount":119273950,"missCount":6312738,"hitRate":0.9497340195801645,"loadSuccessCount":0,"loadFailureCount":0,"totalLoadTimeNanos":0,"evictionCount":-1,"expirationCount":-1,"putCount":15000,"removeCount":0,"nativeMetrics":{"mappings":10000}}</x:v>
      </x:c>
      <x:c r="BA223" s="43" t="n">
        <x:v>10000</x:v>
      </x:c>
      <x:c r="BB223" s="43" t="n">
        <x:v>125586688</x:v>
      </x:c>
      <x:c r="BC223" s="43" t="n">
        <x:v>119273950</x:v>
      </x:c>
      <x:c r="BD223" s="43" t="n">
        <x:v>6312738</x:v>
      </x:c>
      <x:c r="BE223" s="48" t="n">
        <x:v>0.9497340195801645</x:v>
      </x:c>
      <x:c r="BF223" s="43" t="n">
        <x:v>0</x:v>
      </x:c>
      <x:c r="BG223" s="43" t="n">
        <x:v>0</x:v>
      </x:c>
      <x:c r="BH223" s="43" t="n">
        <x:v>0</x:v>
      </x:c>
      <x:c r="BI223" s="43" t="n">
        <x:v>-1</x:v>
      </x:c>
      <x:c r="BJ223" s="43" t="n">
        <x:v>-1</x:v>
      </x:c>
      <x:c r="BK223" s="43" t="n">
        <x:v>15000</x:v>
      </x:c>
      <x:c r="BL223" s="43" t="n">
        <x:v>0</x:v>
      </x:c>
      <x:c r="BM223" s="44" t="str">
        <x:v>{"mappings":10000}</x:v>
      </x:c>
    </x:row>
    <x:row r="224">
      <x:c r="A224" s="34" t="str">
        <x:v>article1-unified-v4-2-fb3f101b-20260903-000401-default-f04-p5-ehcache</x:v>
      </x:c>
      <x:c r="B224" s="34" t="str">
        <x:v>default</x:v>
      </x:c>
      <x:c r="C224" s="34" t="str">
        <x:v>ehcache</x:v>
      </x:c>
      <x:c r="D224" s="34" t="str">
        <x:v>ehcache</x:v>
      </x:c>
      <x:c r="E224" s="34" t="str">
        <x:v>current-provider-primary-comparison</x:v>
      </x:c>
      <x:c r="F224" s="36" t="n">
        <x:v>4</x:v>
      </x:c>
      <x:c r="G224" s="36" t="n">
        <x:v>4</x:v>
      </x:c>
      <x:c r="H224" s="36" t="n">
        <x:v>5</x:v>
      </x:c>
      <x:c r="I224" s="36" t="n">
        <x:v>2</x:v>
      </x:c>
      <x:c r="J224" s="34" t="str">
        <x:v>initial</x:v>
      </x:c>
      <x:c r="K224" s="34" t="str">
        <x:v>cache-semantics</x:v>
      </x:c>
      <x:c r="L224" s="45" t="b">
        <x:v>1</x:v>
      </x:c>
      <x:c r="M224" s="36" t="n">
        <x:v>972724800</x:v>
      </x:c>
      <x:c r="N224" s="34" t="str">
        <x:v>622a36620fa8caac2865206ddff77d854d1b43b1dd314943f9681ddaa3b0eea1</x:v>
      </x:c>
      <x:c r="O224" s="43" t="n">
        <x:v>10000</x:v>
      </x:c>
      <x:c r="P224" s="43" t="n">
        <x:v>400000</x:v>
      </x:c>
      <x:c r="Q224" s="36" t="n">
        <x:v>8</x:v>
      </x:c>
      <x:c r="R224" s="42" t="n">
        <x:v>95</x:v>
      </x:c>
      <x:c r="S224" s="43" t="n">
        <x:v>512</x:v>
      </x:c>
      <x:c r="T224" s="43" t="n">
        <x:v>50000</x:v>
      </x:c>
      <x:c r="U224" s="46" t="n">
        <x:v>3</x:v>
      </x:c>
      <x:c r="V224" s="46" t="n">
        <x:v>5</x:v>
      </x:c>
      <x:c r="W224" s="43" t="n">
        <x:v>300</x:v>
      </x:c>
      <x:c r="X224" s="34" t="str">
        <x:v>uniform</x:v>
      </x:c>
      <x:c r="Y224" s="42" t="n">
        <x:v>10</x:v>
      </x:c>
      <x:c r="Z224" s="34" t="str">
        <x:v>strict</x:v>
      </x:c>
      <x:c r="AA224" s="36" t="n">
        <x:v>64</x:v>
      </x:c>
      <x:c r="AB224" s="43" t="n">
        <x:v>66493440</x:v>
      </x:c>
      <x:c r="AC224" s="43" t="n">
        <x:v>3045157695</x:v>
      </x:c>
      <x:c r="AD224" s="43" t="n">
        <x:v>45157695</x:v>
      </x:c>
      <x:c r="AE224" s="43" t="n">
        <x:v>1397440.6433593133</x:v>
      </x:c>
      <x:c r="AF224" s="43" t="n">
        <x:v>24304524.388269056</x:v>
      </x:c>
      <x:c r="AG224" s="43" t="n">
        <x:v>121579264</x:v>
      </x:c>
      <x:c r="AH224" s="43" t="n">
        <x:v>5002330515</x:v>
      </x:c>
      <x:c r="AI224" s="43" t="n">
        <x:v>2330515</x:v>
      </x:c>
      <x:c r="AJ224" s="43" t="n">
        <x:v>24304524.388269056</x:v>
      </x:c>
      <x:c r="AK224" s="43" t="n">
        <x:v>121579264</x:v>
      </x:c>
      <x:c r="AL224" s="43" t="n">
        <x:v>0</x:v>
      </x:c>
      <x:c r="AM224" s="43" t="n">
        <x:v>304533.109326899</x:v>
      </x:c>
      <x:c r="AN224" s="43" t="n">
        <x:v>180</x:v>
      </x:c>
      <x:c r="AO224" s="43" t="n">
        <x:v>340</x:v>
      </x:c>
      <x:c r="AP224" s="43" t="n">
        <x:v>571</x:v>
      </x:c>
      <x:c r="AQ224" s="43" t="n">
        <x:v>1899676</x:v>
      </x:c>
      <x:c r="AR224" s="43" t="n">
        <x:v>1</x:v>
      </x:c>
      <x:c r="AS224" s="45" t="b">
        <x:v>1</x:v>
      </x:c>
      <x:c r="AT224" s="43" t="n">
        <x:v>10000</x:v>
      </x:c>
      <x:c r="AU224" s="48" t="n">
        <x:v>0.950166428051415</x:v>
      </x:c>
      <x:c r="AV224" s="43" t="n">
        <x:v>10000</x:v>
      </x:c>
      <x:c r="AW224" s="48" t="n">
        <x:v>0.950166428051415</x:v>
      </x:c>
      <x:c r="AX224" s="45" t="b">
        <x:v>1</x:v>
      </x:c>
      <x:c r="AY224" s="44" t="str">
        <x:v>{"provider":"ehcache","currentEntries":10000,"requestCount":121579264,"hitCount":115520535,"missCount":6058729,"hitRate":0.950166428051415,"loadSuccessCount":0,"loadFailureCount":0,"totalLoadTimeNanos":0,"evictionCount":-1,"expirationCount":-1,"putCount":10000,"removeCount":0,"nativeMetrics":{"mappings":10000}}</x:v>
      </x:c>
      <x:c r="AZ224" s="44" t="str">
        <x:v>{"provider":"ehcache","currentEntries":10000,"requestCount":121579264,"hitCount":115520535,"missCount":6058729,"hitRate":0.950166428051415,"loadSuccessCount":0,"loadFailureCount":0,"totalLoadTimeNanos":0,"evictionCount":-1,"expirationCount":-1,"putCount":15000,"removeCount":0,"nativeMetrics":{"mappings":10000}}</x:v>
      </x:c>
      <x:c r="BA224" s="43" t="n">
        <x:v>10000</x:v>
      </x:c>
      <x:c r="BB224" s="43" t="n">
        <x:v>121579264</x:v>
      </x:c>
      <x:c r="BC224" s="43" t="n">
        <x:v>115520535</x:v>
      </x:c>
      <x:c r="BD224" s="43" t="n">
        <x:v>6058729</x:v>
      </x:c>
      <x:c r="BE224" s="48" t="n">
        <x:v>0.950166428051415</x:v>
      </x:c>
      <x:c r="BF224" s="43" t="n">
        <x:v>0</x:v>
      </x:c>
      <x:c r="BG224" s="43" t="n">
        <x:v>0</x:v>
      </x:c>
      <x:c r="BH224" s="43" t="n">
        <x:v>0</x:v>
      </x:c>
      <x:c r="BI224" s="43" t="n">
        <x:v>-1</x:v>
      </x:c>
      <x:c r="BJ224" s="43" t="n">
        <x:v>-1</x:v>
      </x:c>
      <x:c r="BK224" s="43" t="n">
        <x:v>15000</x:v>
      </x:c>
      <x:c r="BL224" s="43" t="n">
        <x:v>0</x:v>
      </x:c>
      <x:c r="BM224" s="44" t="str">
        <x:v>{"mappings":10000}</x:v>
      </x:c>
    </x:row>
    <x:row r="225">
      <x:c r="A225" s="34" t="str">
        <x:v>article1-unified-v4-2-fb3f101b-20260903-000401-default-f04-p5-ehcache</x:v>
      </x:c>
      <x:c r="B225" s="34" t="str">
        <x:v>default</x:v>
      </x:c>
      <x:c r="C225" s="34" t="str">
        <x:v>ehcache</x:v>
      </x:c>
      <x:c r="D225" s="34" t="str">
        <x:v>ehcache</x:v>
      </x:c>
      <x:c r="E225" s="34" t="str">
        <x:v>current-provider-primary-comparison</x:v>
      </x:c>
      <x:c r="F225" s="36" t="n">
        <x:v>4</x:v>
      </x:c>
      <x:c r="G225" s="36" t="n">
        <x:v>4</x:v>
      </x:c>
      <x:c r="H225" s="36" t="n">
        <x:v>5</x:v>
      </x:c>
      <x:c r="I225" s="36" t="n">
        <x:v>2</x:v>
      </x:c>
      <x:c r="J225" s="34" t="str">
        <x:v>redeploy</x:v>
      </x:c>
      <x:c r="K225" s="34" t="str">
        <x:v>cache-semantics</x:v>
      </x:c>
      <x:c r="L225" s="45" t="b">
        <x:v>1</x:v>
      </x:c>
      <x:c r="M225" s="36" t="n">
        <x:v>972724800</x:v>
      </x:c>
      <x:c r="N225" s="34" t="str">
        <x:v>622a36620fa8caac2865206ddff77d854d1b43b1dd314943f9681ddaa3b0eea1</x:v>
      </x:c>
      <x:c r="O225" s="43" t="n">
        <x:v>10000</x:v>
      </x:c>
      <x:c r="P225" s="43" t="n">
        <x:v>400000</x:v>
      </x:c>
      <x:c r="Q225" s="36" t="n">
        <x:v>8</x:v>
      </x:c>
      <x:c r="R225" s="42" t="n">
        <x:v>95</x:v>
      </x:c>
      <x:c r="S225" s="43" t="n">
        <x:v>512</x:v>
      </x:c>
      <x:c r="T225" s="43" t="n">
        <x:v>50000</x:v>
      </x:c>
      <x:c r="U225" s="46" t="n">
        <x:v>3</x:v>
      </x:c>
      <x:c r="V225" s="46" t="n">
        <x:v>5</x:v>
      </x:c>
      <x:c r="W225" s="43" t="n">
        <x:v>300</x:v>
      </x:c>
      <x:c r="X225" s="34" t="str">
        <x:v>uniform</x:v>
      </x:c>
      <x:c r="Y225" s="42" t="n">
        <x:v>10</x:v>
      </x:c>
      <x:c r="Z225" s="34" t="str">
        <x:v>strict</x:v>
      </x:c>
      <x:c r="AA225" s="36" t="n">
        <x:v>64</x:v>
      </x:c>
      <x:c r="AB225" s="43" t="n">
        <x:v>81672960</x:v>
      </x:c>
      <x:c r="AC225" s="43" t="n">
        <x:v>3049000645</x:v>
      </x:c>
      <x:c r="AD225" s="43" t="n">
        <x:v>49000645</x:v>
      </x:c>
      <x:c r="AE225" s="43" t="n">
        <x:v>2079580.5569199915</x:v>
      </x:c>
      <x:c r="AF225" s="43" t="n">
        <x:v>25472202.061197586</x:v>
      </x:c>
      <x:c r="AG225" s="43" t="n">
        <x:v>127416832</x:v>
      </x:c>
      <x:c r="AH225" s="43" t="n">
        <x:v>5002191475</x:v>
      </x:c>
      <x:c r="AI225" s="43" t="n">
        <x:v>2191475</x:v>
      </x:c>
      <x:c r="AJ225" s="43" t="n">
        <x:v>25472202.061197586</x:v>
      </x:c>
      <x:c r="AK225" s="43" t="n">
        <x:v>127416832</x:v>
      </x:c>
      <x:c r="AL225" s="43" t="n">
        <x:v>0</x:v>
      </x:c>
      <x:c r="AM225" s="43" t="n">
        <x:v>386183.22911277803</x:v>
      </x:c>
      <x:c r="AN225" s="43" t="n">
        <x:v>170</x:v>
      </x:c>
      <x:c r="AO225" s="43" t="n">
        <x:v>310</x:v>
      </x:c>
      <x:c r="AP225" s="43" t="n">
        <x:v>551</x:v>
      </x:c>
      <x:c r="AQ225" s="43" t="n">
        <x:v>1990888</x:v>
      </x:c>
      <x:c r="AR225" s="43" t="n">
        <x:v>1</x:v>
      </x:c>
      <x:c r="AS225" s="45" t="b">
        <x:v>1</x:v>
      </x:c>
      <x:c r="AT225" s="43" t="n">
        <x:v>10000</x:v>
      </x:c>
      <x:c r="AU225" s="48" t="n">
        <x:v>0.9501614747414219</x:v>
      </x:c>
      <x:c r="AV225" s="43" t="n">
        <x:v>10000</x:v>
      </x:c>
      <x:c r="AW225" s="48" t="n">
        <x:v>0.9501614747414219</x:v>
      </x:c>
      <x:c r="AX225" s="45" t="b">
        <x:v>1</x:v>
      </x:c>
      <x:c r="AY225" s="44" t="str">
        <x:v>{"provider":"ehcache","currentEntries":10000,"requestCount":127416832,"hitCount":121066565,"missCount":6350267,"hitRate":0.9501614747414219,"loadSuccessCount":0,"loadFailureCount":0,"totalLoadTimeNanos":0,"evictionCount":-1,"expirationCount":-1,"putCount":10000,"removeCount":0,"nativeMetrics":{"mappings":10000}}</x:v>
      </x:c>
      <x:c r="AZ225" s="44" t="str">
        <x:v>{"provider":"ehcache","currentEntries":10000,"requestCount":127416832,"hitCount":121066565,"missCount":6350267,"hitRate":0.9501614747414219,"loadSuccessCount":0,"loadFailureCount":0,"totalLoadTimeNanos":0,"evictionCount":-1,"expirationCount":-1,"putCount":15000,"removeCount":0,"nativeMetrics":{"mappings":10000}}</x:v>
      </x:c>
      <x:c r="BA225" s="43" t="n">
        <x:v>10000</x:v>
      </x:c>
      <x:c r="BB225" s="43" t="n">
        <x:v>127416832</x:v>
      </x:c>
      <x:c r="BC225" s="43" t="n">
        <x:v>121066565</x:v>
      </x:c>
      <x:c r="BD225" s="43" t="n">
        <x:v>6350267</x:v>
      </x:c>
      <x:c r="BE225" s="48" t="n">
        <x:v>0.9501614747414219</x:v>
      </x:c>
      <x:c r="BF225" s="43" t="n">
        <x:v>0</x:v>
      </x:c>
      <x:c r="BG225" s="43" t="n">
        <x:v>0</x:v>
      </x:c>
      <x:c r="BH225" s="43" t="n">
        <x:v>0</x:v>
      </x:c>
      <x:c r="BI225" s="43" t="n">
        <x:v>-1</x:v>
      </x:c>
      <x:c r="BJ225" s="43" t="n">
        <x:v>-1</x:v>
      </x:c>
      <x:c r="BK225" s="43" t="n">
        <x:v>15000</x:v>
      </x:c>
      <x:c r="BL225" s="43" t="n">
        <x:v>0</x:v>
      </x:c>
      <x:c r="BM225" s="44" t="str">
        <x:v>{"mappings":10000}</x:v>
      </x:c>
    </x:row>
    <x:row r="226">
      <x:c r="A226" s="34" t="str">
        <x:v>article1-unified-v4-2-fb3f101b-20260903-000401-default-f04-p5-ehcache</x:v>
      </x:c>
      <x:c r="B226" s="34" t="str">
        <x:v>default</x:v>
      </x:c>
      <x:c r="C226" s="34" t="str">
        <x:v>ehcache</x:v>
      </x:c>
      <x:c r="D226" s="34" t="str">
        <x:v>ehcache</x:v>
      </x:c>
      <x:c r="E226" s="34" t="str">
        <x:v>current-provider-primary-comparison</x:v>
      </x:c>
      <x:c r="F226" s="36" t="n">
        <x:v>4</x:v>
      </x:c>
      <x:c r="G226" s="36" t="n">
        <x:v>4</x:v>
      </x:c>
      <x:c r="H226" s="36" t="n">
        <x:v>5</x:v>
      </x:c>
      <x:c r="I226" s="36" t="n">
        <x:v>3</x:v>
      </x:c>
      <x:c r="J226" s="34" t="str">
        <x:v>initial</x:v>
      </x:c>
      <x:c r="K226" s="34" t="str">
        <x:v>cache-semantics</x:v>
      </x:c>
      <x:c r="L226" s="45" t="b">
        <x:v>1</x:v>
      </x:c>
      <x:c r="M226" s="36" t="n">
        <x:v>1079766481</x:v>
      </x:c>
      <x:c r="N226" s="34" t="str">
        <x:v>2003ab2bf661debde50fa9590451b61ccb907c7e521f8a8e45087b02af93afef</x:v>
      </x:c>
      <x:c r="O226" s="43" t="n">
        <x:v>10000</x:v>
      </x:c>
      <x:c r="P226" s="43" t="n">
        <x:v>400000</x:v>
      </x:c>
      <x:c r="Q226" s="36" t="n">
        <x:v>8</x:v>
      </x:c>
      <x:c r="R226" s="42" t="n">
        <x:v>95</x:v>
      </x:c>
      <x:c r="S226" s="43" t="n">
        <x:v>512</x:v>
      </x:c>
      <x:c r="T226" s="43" t="n">
        <x:v>50000</x:v>
      </x:c>
      <x:c r="U226" s="46" t="n">
        <x:v>3</x:v>
      </x:c>
      <x:c r="V226" s="46" t="n">
        <x:v>5</x:v>
      </x:c>
      <x:c r="W226" s="43" t="n">
        <x:v>300</x:v>
      </x:c>
      <x:c r="X226" s="34" t="str">
        <x:v>uniform</x:v>
      </x:c>
      <x:c r="Y226" s="42" t="n">
        <x:v>10</x:v>
      </x:c>
      <x:c r="Z226" s="34" t="str">
        <x:v>strict</x:v>
      </x:c>
      <x:c r="AA226" s="36" t="n">
        <x:v>64</x:v>
      </x:c>
      <x:c r="AB226" s="43" t="n">
        <x:v>80632576</x:v>
      </x:c>
      <x:c r="AC226" s="43" t="n">
        <x:v>3032413046</x:v>
      </x:c>
      <x:c r="AD226" s="43" t="n">
        <x:v>32413046</x:v>
      </x:c>
      <x:c r="AE226" s="43" t="n">
        <x:v>1825858.7241812164</x:v>
      </x:c>
      <x:c r="AF226" s="43" t="n">
        <x:v>26749038.1810404</x:v>
      </x:c>
      <x:c r="AG226" s="43" t="n">
        <x:v>133798656</x:v>
      </x:c>
      <x:c r="AH226" s="43" t="n">
        <x:v>5001998767</x:v>
      </x:c>
      <x:c r="AI226" s="43" t="n">
        <x:v>1998767</x:v>
      </x:c>
      <x:c r="AJ226" s="43" t="n">
        <x:v>26749038.1810404</x:v>
      </x:c>
      <x:c r="AK226" s="43" t="n">
        <x:v>133798656</x:v>
      </x:c>
      <x:c r="AL226" s="43" t="n">
        <x:v>0</x:v>
      </x:c>
      <x:c r="AM226" s="43" t="n">
        <x:v>403099.545271465</x:v>
      </x:c>
      <x:c r="AN226" s="43" t="n">
        <x:v>160</x:v>
      </x:c>
      <x:c r="AO226" s="43" t="n">
        <x:v>270</x:v>
      </x:c>
      <x:c r="AP226" s="43" t="n">
        <x:v>461</x:v>
      </x:c>
      <x:c r="AQ226" s="43" t="n">
        <x:v>2090604</x:v>
      </x:c>
      <x:c r="AR226" s="43" t="n">
        <x:v>1</x:v>
      </x:c>
      <x:c r="AS226" s="45" t="b">
        <x:v>1</x:v>
      </x:c>
      <x:c r="AT226" s="43" t="n">
        <x:v>10000</x:v>
      </x:c>
      <x:c r="AU226" s="48" t="n">
        <x:v>0.9500324128816361</x:v>
      </x:c>
      <x:c r="AV226" s="43" t="n">
        <x:v>10000</x:v>
      </x:c>
      <x:c r="AW226" s="48" t="n">
        <x:v>0.9500324128816361</x:v>
      </x:c>
      <x:c r="AX226" s="45" t="b">
        <x:v>1</x:v>
      </x:c>
      <x:c r="AY226" s="44" t="str">
        <x:v>{"provider":"ehcache","currentEntries":10000,"requestCount":133798656,"hitCount":127113060,"missCount":6685596,"hitRate":0.9500324128816361,"loadSuccessCount":0,"loadFailureCount":0,"totalLoadTimeNanos":0,"evictionCount":-1,"expirationCount":-1,"putCount":10000,"removeCount":0,"nativeMetrics":{"mappings":10000}}</x:v>
      </x:c>
      <x:c r="AZ226" s="44" t="str">
        <x:v>{"provider":"ehcache","currentEntries":10000,"requestCount":133798656,"hitCount":127113060,"missCount":6685596,"hitRate":0.9500324128816361,"loadSuccessCount":0,"loadFailureCount":0,"totalLoadTimeNanos":0,"evictionCount":-1,"expirationCount":-1,"putCount":15000,"removeCount":0,"nativeMetrics":{"mappings":10000}}</x:v>
      </x:c>
      <x:c r="BA226" s="43" t="n">
        <x:v>10000</x:v>
      </x:c>
      <x:c r="BB226" s="43" t="n">
        <x:v>133798656</x:v>
      </x:c>
      <x:c r="BC226" s="43" t="n">
        <x:v>127113060</x:v>
      </x:c>
      <x:c r="BD226" s="43" t="n">
        <x:v>6685596</x:v>
      </x:c>
      <x:c r="BE226" s="48" t="n">
        <x:v>0.9500324128816361</x:v>
      </x:c>
      <x:c r="BF226" s="43" t="n">
        <x:v>0</x:v>
      </x:c>
      <x:c r="BG226" s="43" t="n">
        <x:v>0</x:v>
      </x:c>
      <x:c r="BH226" s="43" t="n">
        <x:v>0</x:v>
      </x:c>
      <x:c r="BI226" s="43" t="n">
        <x:v>-1</x:v>
      </x:c>
      <x:c r="BJ226" s="43" t="n">
        <x:v>-1</x:v>
      </x:c>
      <x:c r="BK226" s="43" t="n">
        <x:v>15000</x:v>
      </x:c>
      <x:c r="BL226" s="43" t="n">
        <x:v>0</x:v>
      </x:c>
      <x:c r="BM226" s="44" t="str">
        <x:v>{"mappings":10000}</x:v>
      </x:c>
    </x:row>
    <x:row r="227">
      <x:c r="A227" s="34" t="str">
        <x:v>article1-unified-v4-2-fb3f101b-20260903-000401-default-f04-p5-ehcache</x:v>
      </x:c>
      <x:c r="B227" s="34" t="str">
        <x:v>default</x:v>
      </x:c>
      <x:c r="C227" s="34" t="str">
        <x:v>ehcache</x:v>
      </x:c>
      <x:c r="D227" s="34" t="str">
        <x:v>ehcache</x:v>
      </x:c>
      <x:c r="E227" s="34" t="str">
        <x:v>current-provider-primary-comparison</x:v>
      </x:c>
      <x:c r="F227" s="36" t="n">
        <x:v>4</x:v>
      </x:c>
      <x:c r="G227" s="36" t="n">
        <x:v>4</x:v>
      </x:c>
      <x:c r="H227" s="36" t="n">
        <x:v>5</x:v>
      </x:c>
      <x:c r="I227" s="36" t="n">
        <x:v>3</x:v>
      </x:c>
      <x:c r="J227" s="34" t="str">
        <x:v>redeploy</x:v>
      </x:c>
      <x:c r="K227" s="34" t="str">
        <x:v>cache-semantics</x:v>
      </x:c>
      <x:c r="L227" s="45" t="b">
        <x:v>1</x:v>
      </x:c>
      <x:c r="M227" s="36" t="n">
        <x:v>1079766481</x:v>
      </x:c>
      <x:c r="N227" s="34" t="str">
        <x:v>2003ab2bf661debde50fa9590451b61ccb907c7e521f8a8e45087b02af93afef</x:v>
      </x:c>
      <x:c r="O227" s="43" t="n">
        <x:v>10000</x:v>
      </x:c>
      <x:c r="P227" s="43" t="n">
        <x:v>400000</x:v>
      </x:c>
      <x:c r="Q227" s="36" t="n">
        <x:v>8</x:v>
      </x:c>
      <x:c r="R227" s="42" t="n">
        <x:v>95</x:v>
      </x:c>
      <x:c r="S227" s="43" t="n">
        <x:v>512</x:v>
      </x:c>
      <x:c r="T227" s="43" t="n">
        <x:v>50000</x:v>
      </x:c>
      <x:c r="U227" s="46" t="n">
        <x:v>3</x:v>
      </x:c>
      <x:c r="V227" s="46" t="n">
        <x:v>5</x:v>
      </x:c>
      <x:c r="W227" s="43" t="n">
        <x:v>300</x:v>
      </x:c>
      <x:c r="X227" s="34" t="str">
        <x:v>uniform</x:v>
      </x:c>
      <x:c r="Y227" s="42" t="n">
        <x:v>10</x:v>
      </x:c>
      <x:c r="Z227" s="34" t="str">
        <x:v>strict</x:v>
      </x:c>
      <x:c r="AA227" s="36" t="n">
        <x:v>64</x:v>
      </x:c>
      <x:c r="AB227" s="43" t="n">
        <x:v>76419840</x:v>
      </x:c>
      <x:c r="AC227" s="43" t="n">
        <x:v>3014881529</x:v>
      </x:c>
      <x:c r="AD227" s="43" t="n">
        <x:v>14881529</x:v>
      </x:c>
      <x:c r="AE227" s="43" t="n">
        <x:v>1659900.0839743454</x:v>
      </x:c>
      <x:c r="AF227" s="43" t="n">
        <x:v>25744678.53784705</x:v>
      </x:c>
      <x:c r="AG227" s="43" t="n">
        <x:v>128785920</x:v>
      </x:c>
      <x:c r="AH227" s="43" t="n">
        <x:v>5002428747</x:v>
      </x:c>
      <x:c r="AI227" s="43" t="n">
        <x:v>2428747</x:v>
      </x:c>
      <x:c r="AJ227" s="43" t="n">
        <x:v>25744678.53784705</x:v>
      </x:c>
      <x:c r="AK227" s="43" t="n">
        <x:v>128785920</x:v>
      </x:c>
      <x:c r="AL227" s="43" t="n">
        <x:v>0</x:v>
      </x:c>
      <x:c r="AM227" s="43" t="n">
        <x:v>311126.1834462203</x:v>
      </x:c>
      <x:c r="AN227" s="43" t="n">
        <x:v>170</x:v>
      </x:c>
      <x:c r="AO227" s="43" t="n">
        <x:v>301</x:v>
      </x:c>
      <x:c r="AP227" s="43" t="n">
        <x:v>511</x:v>
      </x:c>
      <x:c r="AQ227" s="43" t="n">
        <x:v>2012280</x:v>
      </x:c>
      <x:c r="AR227" s="43" t="n">
        <x:v>1</x:v>
      </x:c>
      <x:c r="AS227" s="45" t="b">
        <x:v>1</x:v>
      </x:c>
      <x:c r="AT227" s="43" t="n">
        <x:v>10000</x:v>
      </x:c>
      <x:c r="AU227" s="48" t="n">
        <x:v>0.9500418291067844</x:v>
      </x:c>
      <x:c r="AV227" s="43" t="n">
        <x:v>10000</x:v>
      </x:c>
      <x:c r="AW227" s="48" t="n">
        <x:v>0.9500418291067844</x:v>
      </x:c>
      <x:c r="AX227" s="45" t="b">
        <x:v>1</x:v>
      </x:c>
      <x:c r="AY227" s="44" t="str">
        <x:v>{"provider":"ehcache","currentEntries":10000,"requestCount":128785920,"hitCount":122352011,"missCount":6433909,"hitRate":0.9500418291067844,"loadSuccessCount":0,"loadFailureCount":0,"totalLoadTimeNanos":0,"evictionCount":-1,"expirationCount":-1,"putCount":10000,"removeCount":0,"nativeMetrics":{"mappings":10000}}</x:v>
      </x:c>
      <x:c r="AZ227" s="44" t="str">
        <x:v>{"provider":"ehcache","currentEntries":10000,"requestCount":128785920,"hitCount":122352011,"missCount":6433909,"hitRate":0.9500418291067844,"loadSuccessCount":0,"loadFailureCount":0,"totalLoadTimeNanos":0,"evictionCount":-1,"expirationCount":-1,"putCount":15000,"removeCount":0,"nativeMetrics":{"mappings":10000}}</x:v>
      </x:c>
      <x:c r="BA227" s="43" t="n">
        <x:v>10000</x:v>
      </x:c>
      <x:c r="BB227" s="43" t="n">
        <x:v>128785920</x:v>
      </x:c>
      <x:c r="BC227" s="43" t="n">
        <x:v>122352011</x:v>
      </x:c>
      <x:c r="BD227" s="43" t="n">
        <x:v>6433909</x:v>
      </x:c>
      <x:c r="BE227" s="48" t="n">
        <x:v>0.9500418291067844</x:v>
      </x:c>
      <x:c r="BF227" s="43" t="n">
        <x:v>0</x:v>
      </x:c>
      <x:c r="BG227" s="43" t="n">
        <x:v>0</x:v>
      </x:c>
      <x:c r="BH227" s="43" t="n">
        <x:v>0</x:v>
      </x:c>
      <x:c r="BI227" s="43" t="n">
        <x:v>-1</x:v>
      </x:c>
      <x:c r="BJ227" s="43" t="n">
        <x:v>-1</x:v>
      </x:c>
      <x:c r="BK227" s="43" t="n">
        <x:v>15000</x:v>
      </x:c>
      <x:c r="BL227" s="43" t="n">
        <x:v>0</x:v>
      </x:c>
      <x:c r="BM227" s="44" t="str">
        <x:v>{"mappings":10000}</x:v>
      </x:c>
    </x:row>
    <x:row r="228">
      <x:c r="A228" s="34" t="str">
        <x:v>article1-unified-v4-2-fb3f101b-20260903-000401-default-f04-p5-ehcache</x:v>
      </x:c>
      <x:c r="B228" s="34" t="str">
        <x:v>default</x:v>
      </x:c>
      <x:c r="C228" s="34" t="str">
        <x:v>ehcache</x:v>
      </x:c>
      <x:c r="D228" s="34" t="str">
        <x:v>ehcache</x:v>
      </x:c>
      <x:c r="E228" s="34" t="str">
        <x:v>current-provider-primary-comparison</x:v>
      </x:c>
      <x:c r="F228" s="36" t="n">
        <x:v>4</x:v>
      </x:c>
      <x:c r="G228" s="36" t="n">
        <x:v>4</x:v>
      </x:c>
      <x:c r="H228" s="36" t="n">
        <x:v>5</x:v>
      </x:c>
      <x:c r="I228" s="36" t="n">
        <x:v>4</x:v>
      </x:c>
      <x:c r="J228" s="34" t="str">
        <x:v>initial</x:v>
      </x:c>
      <x:c r="K228" s="34" t="str">
        <x:v>cache-semantics</x:v>
      </x:c>
      <x:c r="L228" s="45" t="b">
        <x:v>1</x:v>
      </x:c>
      <x:c r="M228" s="36" t="n">
        <x:v>153065368</x:v>
      </x:c>
      <x:c r="N228" s="34" t="str">
        <x:v>13e2812983530d3984d2699f769b1b94ef065a0bcaeae2fdd816f73034de5703</x:v>
      </x:c>
      <x:c r="O228" s="43" t="n">
        <x:v>10000</x:v>
      </x:c>
      <x:c r="P228" s="43" t="n">
        <x:v>400000</x:v>
      </x:c>
      <x:c r="Q228" s="36" t="n">
        <x:v>8</x:v>
      </x:c>
      <x:c r="R228" s="42" t="n">
        <x:v>95</x:v>
      </x:c>
      <x:c r="S228" s="43" t="n">
        <x:v>512</x:v>
      </x:c>
      <x:c r="T228" s="43" t="n">
        <x:v>50000</x:v>
      </x:c>
      <x:c r="U228" s="46" t="n">
        <x:v>3</x:v>
      </x:c>
      <x:c r="V228" s="46" t="n">
        <x:v>5</x:v>
      </x:c>
      <x:c r="W228" s="43" t="n">
        <x:v>300</x:v>
      </x:c>
      <x:c r="X228" s="34" t="str">
        <x:v>uniform</x:v>
      </x:c>
      <x:c r="Y228" s="42" t="n">
        <x:v>10</x:v>
      </x:c>
      <x:c r="Z228" s="34" t="str">
        <x:v>strict</x:v>
      </x:c>
      <x:c r="AA228" s="36" t="n">
        <x:v>64</x:v>
      </x:c>
      <x:c r="AB228" s="43" t="n">
        <x:v>64434688</x:v>
      </x:c>
      <x:c r="AC228" s="43" t="n">
        <x:v>3001751584</x:v>
      </x:c>
      <x:c r="AD228" s="43" t="n">
        <x:v>1751584</x:v>
      </x:c>
      <x:c r="AE228" s="43" t="n">
        <x:v>1012661.4068358088</x:v>
      </x:c>
      <x:c r="AF228" s="43" t="n">
        <x:v>24506123.668159742</x:v>
      </x:c>
      <x:c r="AG228" s="43" t="n">
        <x:v>122583808</x:v>
      </x:c>
      <x:c r="AH228" s="43" t="n">
        <x:v>5002170464</x:v>
      </x:c>
      <x:c r="AI228" s="43" t="n">
        <x:v>2170464</x:v>
      </x:c>
      <x:c r="AJ228" s="43" t="n">
        <x:v>24506123.668159742</x:v>
      </x:c>
      <x:c r="AK228" s="43" t="n">
        <x:v>122583808</x:v>
      </x:c>
      <x:c r="AL228" s="43" t="n">
        <x:v>0</x:v>
      </x:c>
      <x:c r="AM228" s="43" t="n">
        <x:v>327005.47224037466</x:v>
      </x:c>
      <x:c r="AN228" s="43" t="n">
        <x:v>170</x:v>
      </x:c>
      <x:c r="AO228" s="43" t="n">
        <x:v>291</x:v>
      </x:c>
      <x:c r="AP228" s="43" t="n">
        <x:v>531</x:v>
      </x:c>
      <x:c r="AQ228" s="43" t="n">
        <x:v>1915372</x:v>
      </x:c>
      <x:c r="AR228" s="43" t="n">
        <x:v>1</x:v>
      </x:c>
      <x:c r="AS228" s="45" t="b">
        <x:v>1</x:v>
      </x:c>
      <x:c r="AT228" s="43" t="n">
        <x:v>10000</x:v>
      </x:c>
      <x:c r="AU228" s="48" t="n">
        <x:v>0.9496980221074548</x:v>
      </x:c>
      <x:c r="AV228" s="43" t="n">
        <x:v>10000</x:v>
      </x:c>
      <x:c r="AW228" s="48" t="n">
        <x:v>0.9496980221074548</x:v>
      </x:c>
      <x:c r="AX228" s="45" t="b">
        <x:v>1</x:v>
      </x:c>
      <x:c r="AY228" s="44" t="str">
        <x:v>{"provider":"ehcache","currentEntries":10000,"requestCount":122583808,"hitCount":116417600,"missCount":6166208,"hitRate":0.9496980221074548,"loadSuccessCount":0,"loadFailureCount":0,"totalLoadTimeNanos":0,"evictionCount":-1,"expirationCount":-1,"putCount":10000,"removeCount":0,"nativeMetrics":{"mappings":10000}}</x:v>
      </x:c>
      <x:c r="AZ228" s="44" t="str">
        <x:v>{"provider":"ehcache","currentEntries":10000,"requestCount":122583808,"hitCount":116417600,"missCount":6166208,"hitRate":0.9496980221074548,"loadSuccessCount":0,"loadFailureCount":0,"totalLoadTimeNanos":0,"evictionCount":-1,"expirationCount":-1,"putCount":15000,"removeCount":0,"nativeMetrics":{"mappings":10000}}</x:v>
      </x:c>
      <x:c r="BA228" s="43" t="n">
        <x:v>10000</x:v>
      </x:c>
      <x:c r="BB228" s="43" t="n">
        <x:v>122583808</x:v>
      </x:c>
      <x:c r="BC228" s="43" t="n">
        <x:v>116417600</x:v>
      </x:c>
      <x:c r="BD228" s="43" t="n">
        <x:v>6166208</x:v>
      </x:c>
      <x:c r="BE228" s="48" t="n">
        <x:v>0.9496980221074548</x:v>
      </x:c>
      <x:c r="BF228" s="43" t="n">
        <x:v>0</x:v>
      </x:c>
      <x:c r="BG228" s="43" t="n">
        <x:v>0</x:v>
      </x:c>
      <x:c r="BH228" s="43" t="n">
        <x:v>0</x:v>
      </x:c>
      <x:c r="BI228" s="43" t="n">
        <x:v>-1</x:v>
      </x:c>
      <x:c r="BJ228" s="43" t="n">
        <x:v>-1</x:v>
      </x:c>
      <x:c r="BK228" s="43" t="n">
        <x:v>15000</x:v>
      </x:c>
      <x:c r="BL228" s="43" t="n">
        <x:v>0</x:v>
      </x:c>
      <x:c r="BM228" s="44" t="str">
        <x:v>{"mappings":10000}</x:v>
      </x:c>
    </x:row>
    <x:row r="229">
      <x:c r="A229" s="34" t="str">
        <x:v>article1-unified-v4-2-fb3f101b-20260903-000401-default-f04-p5-ehcache</x:v>
      </x:c>
      <x:c r="B229" s="34" t="str">
        <x:v>default</x:v>
      </x:c>
      <x:c r="C229" s="34" t="str">
        <x:v>ehcache</x:v>
      </x:c>
      <x:c r="D229" s="34" t="str">
        <x:v>ehcache</x:v>
      </x:c>
      <x:c r="E229" s="34" t="str">
        <x:v>current-provider-primary-comparison</x:v>
      </x:c>
      <x:c r="F229" s="36" t="n">
        <x:v>4</x:v>
      </x:c>
      <x:c r="G229" s="36" t="n">
        <x:v>4</x:v>
      </x:c>
      <x:c r="H229" s="36" t="n">
        <x:v>5</x:v>
      </x:c>
      <x:c r="I229" s="36" t="n">
        <x:v>4</x:v>
      </x:c>
      <x:c r="J229" s="34" t="str">
        <x:v>redeploy</x:v>
      </x:c>
      <x:c r="K229" s="34" t="str">
        <x:v>cache-semantics</x:v>
      </x:c>
      <x:c r="L229" s="45" t="b">
        <x:v>1</x:v>
      </x:c>
      <x:c r="M229" s="36" t="n">
        <x:v>153065368</x:v>
      </x:c>
      <x:c r="N229" s="34" t="str">
        <x:v>13e2812983530d3984d2699f769b1b94ef065a0bcaeae2fdd816f73034de5703</x:v>
      </x:c>
      <x:c r="O229" s="43" t="n">
        <x:v>10000</x:v>
      </x:c>
      <x:c r="P229" s="43" t="n">
        <x:v>400000</x:v>
      </x:c>
      <x:c r="Q229" s="36" t="n">
        <x:v>8</x:v>
      </x:c>
      <x:c r="R229" s="42" t="n">
        <x:v>95</x:v>
      </x:c>
      <x:c r="S229" s="43" t="n">
        <x:v>512</x:v>
      </x:c>
      <x:c r="T229" s="43" t="n">
        <x:v>50000</x:v>
      </x:c>
      <x:c r="U229" s="46" t="n">
        <x:v>3</x:v>
      </x:c>
      <x:c r="V229" s="46" t="n">
        <x:v>5</x:v>
      </x:c>
      <x:c r="W229" s="43" t="n">
        <x:v>300</x:v>
      </x:c>
      <x:c r="X229" s="34" t="str">
        <x:v>uniform</x:v>
      </x:c>
      <x:c r="Y229" s="42" t="n">
        <x:v>10</x:v>
      </x:c>
      <x:c r="Z229" s="34" t="str">
        <x:v>strict</x:v>
      </x:c>
      <x:c r="AA229" s="36" t="n">
        <x:v>64</x:v>
      </x:c>
      <x:c r="AB229" s="43" t="n">
        <x:v>76781056</x:v>
      </x:c>
      <x:c r="AC229" s="43" t="n">
        <x:v>3000570612</x:v>
      </x:c>
      <x:c r="AD229" s="43" t="n">
        <x:v>570612</x:v>
      </x:c>
      <x:c r="AE229" s="43" t="n">
        <x:v>1832105.1511102007</x:v>
      </x:c>
      <x:c r="AF229" s="43" t="n">
        <x:v>25893302.49272897</x:v>
      </x:c>
      <x:c r="AG229" s="43" t="n">
        <x:v>129524224</x:v>
      </x:c>
      <x:c r="AH229" s="43" t="n">
        <x:v>5002228821</x:v>
      </x:c>
      <x:c r="AI229" s="43" t="n">
        <x:v>2228821</x:v>
      </x:c>
      <x:c r="AJ229" s="43" t="n">
        <x:v>25893302.49272897</x:v>
      </x:c>
      <x:c r="AK229" s="43" t="n">
        <x:v>129524224</x:v>
      </x:c>
      <x:c r="AL229" s="43" t="n">
        <x:v>0</x:v>
      </x:c>
      <x:c r="AM229" s="43" t="n">
        <x:v>301873.122726518</x:v>
      </x:c>
      <x:c r="AN229" s="43" t="n">
        <x:v>161</x:v>
      </x:c>
      <x:c r="AO229" s="43" t="n">
        <x:v>281</x:v>
      </x:c>
      <x:c r="AP229" s="43" t="n">
        <x:v>531</x:v>
      </x:c>
      <x:c r="AQ229" s="43" t="n">
        <x:v>2023816</x:v>
      </x:c>
      <x:c r="AR229" s="43" t="n">
        <x:v>1</x:v>
      </x:c>
      <x:c r="AS229" s="45" t="b">
        <x:v>1</x:v>
      </x:c>
      <x:c r="AT229" s="43" t="n">
        <x:v>10000</x:v>
      </x:c>
      <x:c r="AU229" s="48" t="n">
        <x:v>0.949693641862699</x:v>
      </x:c>
      <x:c r="AV229" s="43" t="n">
        <x:v>10000</x:v>
      </x:c>
      <x:c r="AW229" s="48" t="n">
        <x:v>0.949693641862699</x:v>
      </x:c>
      <x:c r="AX229" s="45" t="b">
        <x:v>1</x:v>
      </x:c>
      <x:c r="AY229" s="44" t="str">
        <x:v>{"provider":"ehcache","currentEntries":10000,"requestCount":129524224,"hitCount":123008332,"missCount":6515892,"hitRate":0.949693641862699,"loadSuccessCount":0,"loadFailureCount":0,"totalLoadTimeNanos":0,"evictionCount":-1,"expirationCount":-1,"putCount":10000,"removeCount":0,"nativeMetrics":{"mappings":10000}}</x:v>
      </x:c>
      <x:c r="AZ229" s="44" t="str">
        <x:v>{"provider":"ehcache","currentEntries":10000,"requestCount":129524224,"hitCount":123008332,"missCount":6515892,"hitRate":0.949693641862699,"loadSuccessCount":0,"loadFailureCount":0,"totalLoadTimeNanos":0,"evictionCount":-1,"expirationCount":-1,"putCount":15000,"removeCount":0,"nativeMetrics":{"mappings":10000}}</x:v>
      </x:c>
      <x:c r="BA229" s="43" t="n">
        <x:v>10000</x:v>
      </x:c>
      <x:c r="BB229" s="43" t="n">
        <x:v>129524224</x:v>
      </x:c>
      <x:c r="BC229" s="43" t="n">
        <x:v>123008332</x:v>
      </x:c>
      <x:c r="BD229" s="43" t="n">
        <x:v>6515892</x:v>
      </x:c>
      <x:c r="BE229" s="48" t="n">
        <x:v>0.949693641862699</x:v>
      </x:c>
      <x:c r="BF229" s="43" t="n">
        <x:v>0</x:v>
      </x:c>
      <x:c r="BG229" s="43" t="n">
        <x:v>0</x:v>
      </x:c>
      <x:c r="BH229" s="43" t="n">
        <x:v>0</x:v>
      </x:c>
      <x:c r="BI229" s="43" t="n">
        <x:v>-1</x:v>
      </x:c>
      <x:c r="BJ229" s="43" t="n">
        <x:v>-1</x:v>
      </x:c>
      <x:c r="BK229" s="43" t="n">
        <x:v>15000</x:v>
      </x:c>
      <x:c r="BL229" s="43" t="n">
        <x:v>0</x:v>
      </x:c>
      <x:c r="BM229" s="44" t="str">
        <x:v>{"mappings":10000}</x:v>
      </x:c>
    </x:row>
    <x:row r="230">
      <x:c r="A230" s="34" t="str">
        <x:v>article1-unified-v4-2-fb3f101b-20260903-000401-default-f04-p5-ehcache</x:v>
      </x:c>
      <x:c r="B230" s="34" t="str">
        <x:v>default</x:v>
      </x:c>
      <x:c r="C230" s="34" t="str">
        <x:v>ehcache</x:v>
      </x:c>
      <x:c r="D230" s="34" t="str">
        <x:v>ehcache</x:v>
      </x:c>
      <x:c r="E230" s="34" t="str">
        <x:v>current-provider-primary-comparison</x:v>
      </x:c>
      <x:c r="F230" s="36" t="n">
        <x:v>4</x:v>
      </x:c>
      <x:c r="G230" s="36" t="n">
        <x:v>4</x:v>
      </x:c>
      <x:c r="H230" s="36" t="n">
        <x:v>5</x:v>
      </x:c>
      <x:c r="I230" s="36" t="n">
        <x:v>5</x:v>
      </x:c>
      <x:c r="J230" s="34" t="str">
        <x:v>initial</x:v>
      </x:c>
      <x:c r="K230" s="34" t="str">
        <x:v>cache-semantics</x:v>
      </x:c>
      <x:c r="L230" s="45" t="b">
        <x:v>1</x:v>
      </x:c>
      <x:c r="M230" s="36" t="n">
        <x:v>2019955368</x:v>
      </x:c>
      <x:c r="N230" s="34" t="str">
        <x:v>d64ba2cf71f68a5c314873e1c18092a1a2fe40603628b516f9936c8a249791fe</x:v>
      </x:c>
      <x:c r="O230" s="43" t="n">
        <x:v>10000</x:v>
      </x:c>
      <x:c r="P230" s="43" t="n">
        <x:v>400000</x:v>
      </x:c>
      <x:c r="Q230" s="36" t="n">
        <x:v>8</x:v>
      </x:c>
      <x:c r="R230" s="42" t="n">
        <x:v>95</x:v>
      </x:c>
      <x:c r="S230" s="43" t="n">
        <x:v>512</x:v>
      </x:c>
      <x:c r="T230" s="43" t="n">
        <x:v>50000</x:v>
      </x:c>
      <x:c r="U230" s="46" t="n">
        <x:v>3</x:v>
      </x:c>
      <x:c r="V230" s="46" t="n">
        <x:v>5</x:v>
      </x:c>
      <x:c r="W230" s="43" t="n">
        <x:v>300</x:v>
      </x:c>
      <x:c r="X230" s="34" t="str">
        <x:v>uniform</x:v>
      </x:c>
      <x:c r="Y230" s="42" t="n">
        <x:v>10</x:v>
      </x:c>
      <x:c r="Z230" s="34" t="str">
        <x:v>strict</x:v>
      </x:c>
      <x:c r="AA230" s="36" t="n">
        <x:v>64</x:v>
      </x:c>
      <x:c r="AB230" s="43" t="n">
        <x:v>82257664</x:v>
      </x:c>
      <x:c r="AC230" s="43" t="n">
        <x:v>3050808321</x:v>
      </x:c>
      <x:c r="AD230" s="43" t="n">
        <x:v>50808321</x:v>
      </x:c>
      <x:c r="AE230" s="43" t="n">
        <x:v>1685852.7953799542</x:v>
      </x:c>
      <x:c r="AF230" s="43" t="n">
        <x:v>27208156.455361005</x:v>
      </x:c>
      <x:c r="AG230" s="43" t="n">
        <x:v>136108544</x:v>
      </x:c>
      <x:c r="AH230" s="43" t="n">
        <x:v>5002490493</x:v>
      </x:c>
      <x:c r="AI230" s="43" t="n">
        <x:v>2490493</x:v>
      </x:c>
      <x:c r="AJ230" s="43" t="n">
        <x:v>27208156.455361005</x:v>
      </x:c>
      <x:c r="AK230" s="43" t="n">
        <x:v>136108544</x:v>
      </x:c>
      <x:c r="AL230" s="43" t="n">
        <x:v>0</x:v>
      </x:c>
      <x:c r="AM230" s="43" t="n">
        <x:v>392059.41676143394</x:v>
      </x:c>
      <x:c r="AN230" s="43" t="n">
        <x:v>160</x:v>
      </x:c>
      <x:c r="AO230" s="43" t="n">
        <x:v>260</x:v>
      </x:c>
      <x:c r="AP230" s="43" t="n">
        <x:v>460</x:v>
      </x:c>
      <x:c r="AQ230" s="43" t="n">
        <x:v>2126696</x:v>
      </x:c>
      <x:c r="AR230" s="43" t="n">
        <x:v>1</x:v>
      </x:c>
      <x:c r="AS230" s="45" t="b">
        <x:v>1</x:v>
      </x:c>
      <x:c r="AT230" s="43" t="n">
        <x:v>10000</x:v>
      </x:c>
      <x:c r="AU230" s="48" t="n">
        <x:v>0.9497731163739435</x:v>
      </x:c>
      <x:c r="AV230" s="43" t="n">
        <x:v>10000</x:v>
      </x:c>
      <x:c r="AW230" s="48" t="n">
        <x:v>0.9497731163739435</x:v>
      </x:c>
      <x:c r="AX230" s="45" t="b">
        <x:v>1</x:v>
      </x:c>
      <x:c r="AY230" s="44" t="str">
        <x:v>{"provider":"ehcache","currentEntries":10000,"requestCount":136108544,"hitCount":129272236,"missCount":6836308,"hitRate":0.9497731163739435,"loadSuccessCount":0,"loadFailureCount":0,"totalLoadTimeNanos":0,"evictionCount":-1,"expirationCount":-1,"putCount":10000,"removeCount":0,"nativeMetrics":{"mappings":10000}}</x:v>
      </x:c>
      <x:c r="AZ230" s="44" t="str">
        <x:v>{"provider":"ehcache","currentEntries":10000,"requestCount":136108544,"hitCount":129272236,"missCount":6836308,"hitRate":0.9497731163739435,"loadSuccessCount":0,"loadFailureCount":0,"totalLoadTimeNanos":0,"evictionCount":-1,"expirationCount":-1,"putCount":15000,"removeCount":0,"nativeMetrics":{"mappings":10000}}</x:v>
      </x:c>
      <x:c r="BA230" s="43" t="n">
        <x:v>10000</x:v>
      </x:c>
      <x:c r="BB230" s="43" t="n">
        <x:v>136108544</x:v>
      </x:c>
      <x:c r="BC230" s="43" t="n">
        <x:v>129272236</x:v>
      </x:c>
      <x:c r="BD230" s="43" t="n">
        <x:v>6836308</x:v>
      </x:c>
      <x:c r="BE230" s="48" t="n">
        <x:v>0.9497731163739435</x:v>
      </x:c>
      <x:c r="BF230" s="43" t="n">
        <x:v>0</x:v>
      </x:c>
      <x:c r="BG230" s="43" t="n">
        <x:v>0</x:v>
      </x:c>
      <x:c r="BH230" s="43" t="n">
        <x:v>0</x:v>
      </x:c>
      <x:c r="BI230" s="43" t="n">
        <x:v>-1</x:v>
      </x:c>
      <x:c r="BJ230" s="43" t="n">
        <x:v>-1</x:v>
      </x:c>
      <x:c r="BK230" s="43" t="n">
        <x:v>15000</x:v>
      </x:c>
      <x:c r="BL230" s="43" t="n">
        <x:v>0</x:v>
      </x:c>
      <x:c r="BM230" s="44" t="str">
        <x:v>{"mappings":10000}</x:v>
      </x:c>
    </x:row>
    <x:row r="231">
      <x:c r="A231" s="34" t="str">
        <x:v>article1-unified-v4-2-fb3f101b-20260903-000401-default-f04-p5-ehcache</x:v>
      </x:c>
      <x:c r="B231" s="34" t="str">
        <x:v>default</x:v>
      </x:c>
      <x:c r="C231" s="34" t="str">
        <x:v>ehcache</x:v>
      </x:c>
      <x:c r="D231" s="34" t="str">
        <x:v>ehcache</x:v>
      </x:c>
      <x:c r="E231" s="34" t="str">
        <x:v>current-provider-primary-comparison</x:v>
      </x:c>
      <x:c r="F231" s="36" t="n">
        <x:v>4</x:v>
      </x:c>
      <x:c r="G231" s="36" t="n">
        <x:v>4</x:v>
      </x:c>
      <x:c r="H231" s="36" t="n">
        <x:v>5</x:v>
      </x:c>
      <x:c r="I231" s="36" t="n">
        <x:v>5</x:v>
      </x:c>
      <x:c r="J231" s="34" t="str">
        <x:v>redeploy</x:v>
      </x:c>
      <x:c r="K231" s="34" t="str">
        <x:v>cache-semantics</x:v>
      </x:c>
      <x:c r="L231" s="45" t="b">
        <x:v>1</x:v>
      </x:c>
      <x:c r="M231" s="36" t="n">
        <x:v>2019955368</x:v>
      </x:c>
      <x:c r="N231" s="34" t="str">
        <x:v>d64ba2cf71f68a5c314873e1c18092a1a2fe40603628b516f9936c8a249791fe</x:v>
      </x:c>
      <x:c r="O231" s="43" t="n">
        <x:v>10000</x:v>
      </x:c>
      <x:c r="P231" s="43" t="n">
        <x:v>400000</x:v>
      </x:c>
      <x:c r="Q231" s="36" t="n">
        <x:v>8</x:v>
      </x:c>
      <x:c r="R231" s="42" t="n">
        <x:v>95</x:v>
      </x:c>
      <x:c r="S231" s="43" t="n">
        <x:v>512</x:v>
      </x:c>
      <x:c r="T231" s="43" t="n">
        <x:v>50000</x:v>
      </x:c>
      <x:c r="U231" s="46" t="n">
        <x:v>3</x:v>
      </x:c>
      <x:c r="V231" s="46" t="n">
        <x:v>5</x:v>
      </x:c>
      <x:c r="W231" s="43" t="n">
        <x:v>300</x:v>
      </x:c>
      <x:c r="X231" s="34" t="str">
        <x:v>uniform</x:v>
      </x:c>
      <x:c r="Y231" s="42" t="n">
        <x:v>10</x:v>
      </x:c>
      <x:c r="Z231" s="34" t="str">
        <x:v>strict</x:v>
      </x:c>
      <x:c r="AA231" s="36" t="n">
        <x:v>64</x:v>
      </x:c>
      <x:c r="AB231" s="43" t="n">
        <x:v>77528064</x:v>
      </x:c>
      <x:c r="AC231" s="43" t="n">
        <x:v>3000537784</x:v>
      </x:c>
      <x:c r="AD231" s="43" t="n">
        <x:v>537784</x:v>
      </x:c>
      <x:c r="AE231" s="43" t="n">
        <x:v>2373802.713256501</x:v>
      </x:c>
      <x:c r="AF231" s="43" t="n">
        <x:v>25867636.9379345</x:v>
      </x:c>
      <x:c r="AG231" s="43" t="n">
        <x:v>129395456</x:v>
      </x:c>
      <x:c r="AH231" s="43" t="n">
        <x:v>5002214014</x:v>
      </x:c>
      <x:c r="AI231" s="43" t="n">
        <x:v>2214014</x:v>
      </x:c>
      <x:c r="AJ231" s="43" t="n">
        <x:v>25867636.9379345</x:v>
      </x:c>
      <x:c r="AK231" s="43" t="n">
        <x:v>129395456</x:v>
      </x:c>
      <x:c r="AL231" s="43" t="n">
        <x:v>0</x:v>
      </x:c>
      <x:c r="AM231" s="43" t="n">
        <x:v>311952.9515054163</x:v>
      </x:c>
      <x:c r="AN231" s="43" t="n">
        <x:v>161</x:v>
      </x:c>
      <x:c r="AO231" s="43" t="n">
        <x:v>281</x:v>
      </x:c>
      <x:c r="AP231" s="43" t="n">
        <x:v>491</x:v>
      </x:c>
      <x:c r="AQ231" s="43" t="n">
        <x:v>2021804</x:v>
      </x:c>
      <x:c r="AR231" s="43" t="n">
        <x:v>1</x:v>
      </x:c>
      <x:c r="AS231" s="45" t="b">
        <x:v>1</x:v>
      </x:c>
      <x:c r="AT231" s="43" t="n">
        <x:v>10000</x:v>
      </x:c>
      <x:c r="AU231" s="48" t="n">
        <x:v>0.9497641169099478</x:v>
      </x:c>
      <x:c r="AV231" s="43" t="n">
        <x:v>10000</x:v>
      </x:c>
      <x:c r="AW231" s="48" t="n">
        <x:v>0.9497641169099478</x:v>
      </x:c>
      <x:c r="AX231" s="45" t="b">
        <x:v>1</x:v>
      </x:c>
      <x:c r="AY231" s="44" t="str">
        <x:v>{"provider":"ehcache","currentEntries":10000,"requestCount":129395456,"hitCount":122895161,"missCount":6500295,"hitRate":0.9497641169099478,"loadSuccessCount":0,"loadFailureCount":0,"totalLoadTimeNanos":0,"evictionCount":-1,"expirationCount":-1,"putCount":10000,"removeCount":0,"nativeMetrics":{"mappings":10000}}</x:v>
      </x:c>
      <x:c r="AZ231" s="44" t="str">
        <x:v>{"provider":"ehcache","currentEntries":10000,"requestCount":129395456,"hitCount":122895161,"missCount":6500295,"hitRate":0.9497641169099478,"loadSuccessCount":0,"loadFailureCount":0,"totalLoadTimeNanos":0,"evictionCount":-1,"expirationCount":-1,"putCount":15000,"removeCount":0,"nativeMetrics":{"mappings":10000}}</x:v>
      </x:c>
      <x:c r="BA231" s="43" t="n">
        <x:v>10000</x:v>
      </x:c>
      <x:c r="BB231" s="43" t="n">
        <x:v>129395456</x:v>
      </x:c>
      <x:c r="BC231" s="43" t="n">
        <x:v>122895161</x:v>
      </x:c>
      <x:c r="BD231" s="43" t="n">
        <x:v>6500295</x:v>
      </x:c>
      <x:c r="BE231" s="48" t="n">
        <x:v>0.9497641169099478</x:v>
      </x:c>
      <x:c r="BF231" s="43" t="n">
        <x:v>0</x:v>
      </x:c>
      <x:c r="BG231" s="43" t="n">
        <x:v>0</x:v>
      </x:c>
      <x:c r="BH231" s="43" t="n">
        <x:v>0</x:v>
      </x:c>
      <x:c r="BI231" s="43" t="n">
        <x:v>-1</x:v>
      </x:c>
      <x:c r="BJ231" s="43" t="n">
        <x:v>-1</x:v>
      </x:c>
      <x:c r="BK231" s="43" t="n">
        <x:v>15000</x:v>
      </x:c>
      <x:c r="BL231" s="43" t="n">
        <x:v>0</x:v>
      </x:c>
      <x:c r="BM231" s="44" t="str">
        <x:v>{"mappings":10000}</x:v>
      </x:c>
    </x:row>
    <x:row r="232">
      <x:c r="A232" s="34" t="str">
        <x:v>article1-unified-v4-2-fb3f101b-20260903-000401-default-f04-p6-caffeine</x:v>
      </x:c>
      <x:c r="B232" s="34" t="str">
        <x:v>default</x:v>
      </x:c>
      <x:c r="C232" s="34" t="str">
        <x:v>caffeine</x:v>
      </x:c>
      <x:c r="D232" s="34" t="str">
        <x:v>caffeine</x:v>
      </x:c>
      <x:c r="E232" s="34" t="str">
        <x:v>current-provider-primary-comparison</x:v>
      </x:c>
      <x:c r="F232" s="36" t="n">
        <x:v>4</x:v>
      </x:c>
      <x:c r="G232" s="36" t="n">
        <x:v>4</x:v>
      </x:c>
      <x:c r="H232" s="36" t="n">
        <x:v>6</x:v>
      </x:c>
      <x:c r="I232" s="36" t="n">
        <x:v>1</x:v>
      </x:c>
      <x:c r="J232" s="34" t="str">
        <x:v>initial</x:v>
      </x:c>
      <x:c r="K232" s="34" t="str">
        <x:v>cache-semantics</x:v>
      </x:c>
      <x:c r="L232" s="45" t="b">
        <x:v>1</x:v>
      </x:c>
      <x:c r="M232" s="36" t="n">
        <x:v>850092908</x:v>
      </x:c>
      <x:c r="N232" s="34" t="str">
        <x:v>c3fbbc14afc1687ffa7ecbca17e8ff73fcb319ce839d0fb032082700ff0dfb34</x:v>
      </x:c>
      <x:c r="O232" s="43" t="n">
        <x:v>10000</x:v>
      </x:c>
      <x:c r="P232" s="43" t="n">
        <x:v>400000</x:v>
      </x:c>
      <x:c r="Q232" s="36" t="n">
        <x:v>8</x:v>
      </x:c>
      <x:c r="R232" s="42" t="n">
        <x:v>95</x:v>
      </x:c>
      <x:c r="S232" s="43" t="n">
        <x:v>512</x:v>
      </x:c>
      <x:c r="T232" s="43" t="n">
        <x:v>50000</x:v>
      </x:c>
      <x:c r="U232" s="46" t="n">
        <x:v>3</x:v>
      </x:c>
      <x:c r="V232" s="46" t="n">
        <x:v>5</x:v>
      </x:c>
      <x:c r="W232" s="43" t="n">
        <x:v>300</x:v>
      </x:c>
      <x:c r="X232" s="34" t="str">
        <x:v>uniform</x:v>
      </x:c>
      <x:c r="Y232" s="42" t="n">
        <x:v>10</x:v>
      </x:c>
      <x:c r="Z232" s="34" t="str">
        <x:v>strict</x:v>
      </x:c>
      <x:c r="AA232" s="36" t="n">
        <x:v>64</x:v>
      </x:c>
      <x:c r="AB232" s="43" t="n">
        <x:v>77805312</x:v>
      </x:c>
      <x:c r="AC232" s="43" t="n">
        <x:v>3003106080</x:v>
      </x:c>
      <x:c r="AD232" s="43" t="n">
        <x:v>3106080</x:v>
      </x:c>
      <x:c r="AE232" s="43" t="n">
        <x:v>1274268.1177352383</x:v>
      </x:c>
      <x:c r="AF232" s="43" t="n">
        <x:v>28318347.541031275</x:v>
      </x:c>
      <x:c r="AG232" s="43" t="n">
        <x:v>141689088</x:v>
      </x:c>
      <x:c r="AH232" s="43" t="n">
        <x:v>5003437711</x:v>
      </x:c>
      <x:c r="AI232" s="43" t="n">
        <x:v>3437711</x:v>
      </x:c>
      <x:c r="AJ232" s="43" t="n">
        <x:v>28318347.541031275</x:v>
      </x:c>
      <x:c r="AK232" s="43" t="n">
        <x:v>141689088</x:v>
      </x:c>
      <x:c r="AL232" s="43" t="n">
        <x:v>0</x:v>
      </x:c>
      <x:c r="AM232" s="43" t="n">
        <x:v>377225.9347960445</x:v>
      </x:c>
      <x:c r="AN232" s="43" t="n">
        <x:v>140</x:v>
      </x:c>
      <x:c r="AO232" s="43" t="n">
        <x:v>271</x:v>
      </x:c>
      <x:c r="AP232" s="43" t="n">
        <x:v>471</x:v>
      </x:c>
      <x:c r="AQ232" s="43" t="n">
        <x:v>2213892</x:v>
      </x:c>
      <x:c r="AR232" s="43" t="n">
        <x:v>1</x:v>
      </x:c>
      <x:c r="AS232" s="45" t="b">
        <x:v>1</x:v>
      </x:c>
      <x:c r="AT232" s="43" t="n">
        <x:v>10000</x:v>
      </x:c>
      <x:c r="AU232" s="48" t="n">
        <x:v>0.9497196636624551</x:v>
      </x:c>
      <x:c r="AV232" s="43" t="n">
        <x:v>10000</x:v>
      </x:c>
      <x:c r="AW232" s="48" t="n">
        <x:v>0.9497196636624551</x:v>
      </x:c>
      <x:c r="AX232" s="45" t="b">
        <x:v>1</x:v>
      </x:c>
      <x:c r="AY232" s="44" t="str">
        <x:v>{"provider":"caffeine","currentEntries":10000,"requestCount":141689088,"hitCount":134564913,"missCount":7124175,"hitRate":0.9497196636624551,"loadSuccessCount":0,"loadFailureCount":0,"totalLoadTimeNanos":0,"evictionCount":-1,"expirationCount":-1,"putCount":10000,"removeCount":0,"nativeMetrics":{"statisticsEnabled":0}}</x:v>
      </x:c>
      <x:c r="AZ232" s="44" t="str">
        <x:v>{"provider":"caffeine","currentEntries":10000,"requestCount":141689088,"hitCount":134564913,"missCount":7124175,"hitRate":0.9497196636624551,"loadSuccessCount":0,"loadFailureCount":0,"totalLoadTimeNanos":0,"evictionCount":-1,"expirationCount":-1,"putCount":15000,"removeCount":0,"nativeMetrics":{"statisticsEnabled":0}}</x:v>
      </x:c>
      <x:c r="BA232" s="43" t="n">
        <x:v>10000</x:v>
      </x:c>
      <x:c r="BB232" s="43" t="n">
        <x:v>141689088</x:v>
      </x:c>
      <x:c r="BC232" s="43" t="n">
        <x:v>134564913</x:v>
      </x:c>
      <x:c r="BD232" s="43" t="n">
        <x:v>7124175</x:v>
      </x:c>
      <x:c r="BE232" s="48" t="n">
        <x:v>0.9497196636624551</x:v>
      </x:c>
      <x:c r="BF232" s="43" t="n">
        <x:v>0</x:v>
      </x:c>
      <x:c r="BG232" s="43" t="n">
        <x:v>0</x:v>
      </x:c>
      <x:c r="BH232" s="43" t="n">
        <x:v>0</x:v>
      </x:c>
      <x:c r="BI232" s="43" t="n">
        <x:v>-1</x:v>
      </x:c>
      <x:c r="BJ232" s="43" t="n">
        <x:v>-1</x:v>
      </x:c>
      <x:c r="BK232" s="43" t="n">
        <x:v>15000</x:v>
      </x:c>
      <x:c r="BL232" s="43" t="n">
        <x:v>0</x:v>
      </x:c>
      <x:c r="BM232" s="44" t="str">
        <x:v>{"statisticsEnabled":0}</x:v>
      </x:c>
    </x:row>
    <x:row r="233">
      <x:c r="A233" s="34" t="str">
        <x:v>article1-unified-v4-2-fb3f101b-20260903-000401-default-f04-p6-caffeine</x:v>
      </x:c>
      <x:c r="B233" s="34" t="str">
        <x:v>default</x:v>
      </x:c>
      <x:c r="C233" s="34" t="str">
        <x:v>caffeine</x:v>
      </x:c>
      <x:c r="D233" s="34" t="str">
        <x:v>caffeine</x:v>
      </x:c>
      <x:c r="E233" s="34" t="str">
        <x:v>current-provider-primary-comparison</x:v>
      </x:c>
      <x:c r="F233" s="36" t="n">
        <x:v>4</x:v>
      </x:c>
      <x:c r="G233" s="36" t="n">
        <x:v>4</x:v>
      </x:c>
      <x:c r="H233" s="36" t="n">
        <x:v>6</x:v>
      </x:c>
      <x:c r="I233" s="36" t="n">
        <x:v>1</x:v>
      </x:c>
      <x:c r="J233" s="34" t="str">
        <x:v>redeploy</x:v>
      </x:c>
      <x:c r="K233" s="34" t="str">
        <x:v>cache-semantics</x:v>
      </x:c>
      <x:c r="L233" s="45" t="b">
        <x:v>1</x:v>
      </x:c>
      <x:c r="M233" s="36" t="n">
        <x:v>850092908</x:v>
      </x:c>
      <x:c r="N233" s="34" t="str">
        <x:v>c3fbbc14afc1687ffa7ecbca17e8ff73fcb319ce839d0fb032082700ff0dfb34</x:v>
      </x:c>
      <x:c r="O233" s="43" t="n">
        <x:v>10000</x:v>
      </x:c>
      <x:c r="P233" s="43" t="n">
        <x:v>400000</x:v>
      </x:c>
      <x:c r="Q233" s="36" t="n">
        <x:v>8</x:v>
      </x:c>
      <x:c r="R233" s="42" t="n">
        <x:v>95</x:v>
      </x:c>
      <x:c r="S233" s="43" t="n">
        <x:v>512</x:v>
      </x:c>
      <x:c r="T233" s="43" t="n">
        <x:v>50000</x:v>
      </x:c>
      <x:c r="U233" s="46" t="n">
        <x:v>3</x:v>
      </x:c>
      <x:c r="V233" s="46" t="n">
        <x:v>5</x:v>
      </x:c>
      <x:c r="W233" s="43" t="n">
        <x:v>300</x:v>
      </x:c>
      <x:c r="X233" s="34" t="str">
        <x:v>uniform</x:v>
      </x:c>
      <x:c r="Y233" s="42" t="n">
        <x:v>10</x:v>
      </x:c>
      <x:c r="Z233" s="34" t="str">
        <x:v>strict</x:v>
      </x:c>
      <x:c r="AA233" s="36" t="n">
        <x:v>64</x:v>
      </x:c>
      <x:c r="AB233" s="43" t="n">
        <x:v>72868096</x:v>
      </x:c>
      <x:c r="AC233" s="43" t="n">
        <x:v>3020917293</x:v>
      </x:c>
      <x:c r="AD233" s="43" t="n">
        <x:v>20917293</x:v>
      </x:c>
      <x:c r="AE233" s="43" t="n">
        <x:v>1507317.3474289612</x:v>
      </x:c>
      <x:c r="AF233" s="43" t="n">
        <x:v>26167001.691427648</x:v>
      </x:c>
      <x:c r="AG233" s="43" t="n">
        <x:v>130906880</x:v>
      </x:c>
      <x:c r="AH233" s="43" t="n">
        <x:v>5002746648</x:v>
      </x:c>
      <x:c r="AI233" s="43" t="n">
        <x:v>2746648</x:v>
      </x:c>
      <x:c r="AJ233" s="43" t="n">
        <x:v>26167001.691427648</x:v>
      </x:c>
      <x:c r="AK233" s="43" t="n">
        <x:v>130906880</x:v>
      </x:c>
      <x:c r="AL233" s="43" t="n">
        <x:v>0</x:v>
      </x:c>
      <x:c r="AM233" s="43" t="n">
        <x:v>167154.68032770607</x:v>
      </x:c>
      <x:c r="AN233" s="43" t="n">
        <x:v>141</x:v>
      </x:c>
      <x:c r="AO233" s="43" t="n">
        <x:v>321</x:v>
      </x:c>
      <x:c r="AP233" s="43" t="n">
        <x:v>511</x:v>
      </x:c>
      <x:c r="AQ233" s="43" t="n">
        <x:v>2045420</x:v>
      </x:c>
      <x:c r="AR233" s="43" t="n">
        <x:v>1</x:v>
      </x:c>
      <x:c r="AS233" s="45" t="b">
        <x:v>1</x:v>
      </x:c>
      <x:c r="AT233" s="43" t="n">
        <x:v>10000</x:v>
      </x:c>
      <x:c r="AU233" s="48" t="n">
        <x:v>0.949720022354822</x:v>
      </x:c>
      <x:c r="AV233" s="43" t="n">
        <x:v>10000</x:v>
      </x:c>
      <x:c r="AW233" s="48" t="n">
        <x:v>0.949720022354822</x:v>
      </x:c>
      <x:c r="AX233" s="45" t="b">
        <x:v>1</x:v>
      </x:c>
      <x:c r="AY233" s="44" t="str">
        <x:v>{"provider":"caffeine","currentEntries":10000,"requestCount":130906880,"hitCount":124324885,"missCount":6581995,"hitRate":0.949720022354822,"loadSuccessCount":0,"loadFailureCount":0,"totalLoadTimeNanos":0,"evictionCount":-1,"expirationCount":-1,"putCount":10000,"removeCount":0,"nativeMetrics":{"statisticsEnabled":0}}</x:v>
      </x:c>
      <x:c r="AZ233" s="44" t="str">
        <x:v>{"provider":"caffeine","currentEntries":10000,"requestCount":130906880,"hitCount":124324885,"missCount":6581995,"hitRate":0.949720022354822,"loadSuccessCount":0,"loadFailureCount":0,"totalLoadTimeNanos":0,"evictionCount":-1,"expirationCount":-1,"putCount":15000,"removeCount":0,"nativeMetrics":{"statisticsEnabled":0}}</x:v>
      </x:c>
      <x:c r="BA233" s="43" t="n">
        <x:v>10000</x:v>
      </x:c>
      <x:c r="BB233" s="43" t="n">
        <x:v>130906880</x:v>
      </x:c>
      <x:c r="BC233" s="43" t="n">
        <x:v>124324885</x:v>
      </x:c>
      <x:c r="BD233" s="43" t="n">
        <x:v>6581995</x:v>
      </x:c>
      <x:c r="BE233" s="48" t="n">
        <x:v>0.949720022354822</x:v>
      </x:c>
      <x:c r="BF233" s="43" t="n">
        <x:v>0</x:v>
      </x:c>
      <x:c r="BG233" s="43" t="n">
        <x:v>0</x:v>
      </x:c>
      <x:c r="BH233" s="43" t="n">
        <x:v>0</x:v>
      </x:c>
      <x:c r="BI233" s="43" t="n">
        <x:v>-1</x:v>
      </x:c>
      <x:c r="BJ233" s="43" t="n">
        <x:v>-1</x:v>
      </x:c>
      <x:c r="BK233" s="43" t="n">
        <x:v>15000</x:v>
      </x:c>
      <x:c r="BL233" s="43" t="n">
        <x:v>0</x:v>
      </x:c>
      <x:c r="BM233" s="44" t="str">
        <x:v>{"statisticsEnabled":0}</x:v>
      </x:c>
    </x:row>
    <x:row r="234">
      <x:c r="A234" s="34" t="str">
        <x:v>article1-unified-v4-2-fb3f101b-20260903-000401-default-f04-p6-caffeine</x:v>
      </x:c>
      <x:c r="B234" s="34" t="str">
        <x:v>default</x:v>
      </x:c>
      <x:c r="C234" s="34" t="str">
        <x:v>caffeine</x:v>
      </x:c>
      <x:c r="D234" s="34" t="str">
        <x:v>caffeine</x:v>
      </x:c>
      <x:c r="E234" s="34" t="str">
        <x:v>current-provider-primary-comparison</x:v>
      </x:c>
      <x:c r="F234" s="36" t="n">
        <x:v>4</x:v>
      </x:c>
      <x:c r="G234" s="36" t="n">
        <x:v>4</x:v>
      </x:c>
      <x:c r="H234" s="36" t="n">
        <x:v>6</x:v>
      </x:c>
      <x:c r="I234" s="36" t="n">
        <x:v>2</x:v>
      </x:c>
      <x:c r="J234" s="34" t="str">
        <x:v>initial</x:v>
      </x:c>
      <x:c r="K234" s="34" t="str">
        <x:v>cache-semantics</x:v>
      </x:c>
      <x:c r="L234" s="45" t="b">
        <x:v>1</x:v>
      </x:c>
      <x:c r="M234" s="36" t="n">
        <x:v>972724800</x:v>
      </x:c>
      <x:c r="N234" s="34" t="str">
        <x:v>622a36620fa8caac2865206ddff77d854d1b43b1dd314943f9681ddaa3b0eea1</x:v>
      </x:c>
      <x:c r="O234" s="43" t="n">
        <x:v>10000</x:v>
      </x:c>
      <x:c r="P234" s="43" t="n">
        <x:v>400000</x:v>
      </x:c>
      <x:c r="Q234" s="36" t="n">
        <x:v>8</x:v>
      </x:c>
      <x:c r="R234" s="42" t="n">
        <x:v>95</x:v>
      </x:c>
      <x:c r="S234" s="43" t="n">
        <x:v>512</x:v>
      </x:c>
      <x:c r="T234" s="43" t="n">
        <x:v>50000</x:v>
      </x:c>
      <x:c r="U234" s="46" t="n">
        <x:v>3</x:v>
      </x:c>
      <x:c r="V234" s="46" t="n">
        <x:v>5</x:v>
      </x:c>
      <x:c r="W234" s="43" t="n">
        <x:v>300</x:v>
      </x:c>
      <x:c r="X234" s="34" t="str">
        <x:v>uniform</x:v>
      </x:c>
      <x:c r="Y234" s="42" t="n">
        <x:v>10</x:v>
      </x:c>
      <x:c r="Z234" s="34" t="str">
        <x:v>strict</x:v>
      </x:c>
      <x:c r="AA234" s="36" t="n">
        <x:v>64</x:v>
      </x:c>
      <x:c r="AB234" s="43" t="n">
        <x:v>84689408</x:v>
      </x:c>
      <x:c r="AC234" s="43" t="n">
        <x:v>3000471838</x:v>
      </x:c>
      <x:c r="AD234" s="43" t="n">
        <x:v>471838</x:v>
      </x:c>
      <x:c r="AE234" s="43" t="n">
        <x:v>1607200.7737707405</x:v>
      </x:c>
      <x:c r="AF234" s="43" t="n">
        <x:v>28726970.09623332</x:v>
      </x:c>
      <x:c r="AG234" s="43" t="n">
        <x:v>144940288</x:v>
      </x:c>
      <x:c r="AH234" s="43" t="n">
        <x:v>5045442924</x:v>
      </x:c>
      <x:c r="AI234" s="43" t="n">
        <x:v>45442924</x:v>
      </x:c>
      <x:c r="AJ234" s="43" t="n">
        <x:v>28726970.09623332</x:v>
      </x:c>
      <x:c r="AK234" s="43" t="n">
        <x:v>144940288</x:v>
      </x:c>
      <x:c r="AL234" s="43" t="n">
        <x:v>0</x:v>
      </x:c>
      <x:c r="AM234" s="43" t="n">
        <x:v>489186.1966917903</x:v>
      </x:c>
      <x:c r="AN234" s="43" t="n">
        <x:v>131</x:v>
      </x:c>
      <x:c r="AO234" s="43" t="n">
        <x:v>250</x:v>
      </x:c>
      <x:c r="AP234" s="43" t="n">
        <x:v>431</x:v>
      </x:c>
      <x:c r="AQ234" s="43" t="n">
        <x:v>2264692</x:v>
      </x:c>
      <x:c r="AR234" s="43" t="n">
        <x:v>1</x:v>
      </x:c>
      <x:c r="AS234" s="45" t="b">
        <x:v>1</x:v>
      </x:c>
      <x:c r="AT234" s="43" t="n">
        <x:v>10000</x:v>
      </x:c>
      <x:c r="AU234" s="48" t="n">
        <x:v>0.9501585715077371</x:v>
      </x:c>
      <x:c r="AV234" s="43" t="n">
        <x:v>10000</x:v>
      </x:c>
      <x:c r="AW234" s="48" t="n">
        <x:v>0.9501585715077371</x:v>
      </x:c>
      <x:c r="AX234" s="45" t="b">
        <x:v>1</x:v>
      </x:c>
      <x:c r="AY234" s="44" t="str">
        <x:v>{"provider":"caffeine","currentEntries":10000,"requestCount":144940288,"hitCount":137716257,"missCount":7224031,"hitRate":0.9501585715077371,"loadSuccessCount":0,"loadFailureCount":0,"totalLoadTimeNanos":0,"evictionCount":-1,"expirationCount":-1,"putCount":10000,"removeCount":0,"nativeMetrics":{"statisticsEnabled":0}}</x:v>
      </x:c>
      <x:c r="AZ234" s="44" t="str">
        <x:v>{"provider":"caffeine","currentEntries":10000,"requestCount":144940288,"hitCount":137716257,"missCount":7224031,"hitRate":0.9501585715077371,"loadSuccessCount":0,"loadFailureCount":0,"totalLoadTimeNanos":0,"evictionCount":-1,"expirationCount":-1,"putCount":15000,"removeCount":0,"nativeMetrics":{"statisticsEnabled":0}}</x:v>
      </x:c>
      <x:c r="BA234" s="43" t="n">
        <x:v>10000</x:v>
      </x:c>
      <x:c r="BB234" s="43" t="n">
        <x:v>144940288</x:v>
      </x:c>
      <x:c r="BC234" s="43" t="n">
        <x:v>137716257</x:v>
      </x:c>
      <x:c r="BD234" s="43" t="n">
        <x:v>7224031</x:v>
      </x:c>
      <x:c r="BE234" s="48" t="n">
        <x:v>0.9501585715077371</x:v>
      </x:c>
      <x:c r="BF234" s="43" t="n">
        <x:v>0</x:v>
      </x:c>
      <x:c r="BG234" s="43" t="n">
        <x:v>0</x:v>
      </x:c>
      <x:c r="BH234" s="43" t="n">
        <x:v>0</x:v>
      </x:c>
      <x:c r="BI234" s="43" t="n">
        <x:v>-1</x:v>
      </x:c>
      <x:c r="BJ234" s="43" t="n">
        <x:v>-1</x:v>
      </x:c>
      <x:c r="BK234" s="43" t="n">
        <x:v>15000</x:v>
      </x:c>
      <x:c r="BL234" s="43" t="n">
        <x:v>0</x:v>
      </x:c>
      <x:c r="BM234" s="44" t="str">
        <x:v>{"statisticsEnabled":0}</x:v>
      </x:c>
    </x:row>
    <x:row r="235">
      <x:c r="A235" s="34" t="str">
        <x:v>article1-unified-v4-2-fb3f101b-20260903-000401-default-f04-p6-caffeine</x:v>
      </x:c>
      <x:c r="B235" s="34" t="str">
        <x:v>default</x:v>
      </x:c>
      <x:c r="C235" s="34" t="str">
        <x:v>caffeine</x:v>
      </x:c>
      <x:c r="D235" s="34" t="str">
        <x:v>caffeine</x:v>
      </x:c>
      <x:c r="E235" s="34" t="str">
        <x:v>current-provider-primary-comparison</x:v>
      </x:c>
      <x:c r="F235" s="36" t="n">
        <x:v>4</x:v>
      </x:c>
      <x:c r="G235" s="36" t="n">
        <x:v>4</x:v>
      </x:c>
      <x:c r="H235" s="36" t="n">
        <x:v>6</x:v>
      </x:c>
      <x:c r="I235" s="36" t="n">
        <x:v>2</x:v>
      </x:c>
      <x:c r="J235" s="34" t="str">
        <x:v>redeploy</x:v>
      </x:c>
      <x:c r="K235" s="34" t="str">
        <x:v>cache-semantics</x:v>
      </x:c>
      <x:c r="L235" s="45" t="b">
        <x:v>1</x:v>
      </x:c>
      <x:c r="M235" s="36" t="n">
        <x:v>972724800</x:v>
      </x:c>
      <x:c r="N235" s="34" t="str">
        <x:v>622a36620fa8caac2865206ddff77d854d1b43b1dd314943f9681ddaa3b0eea1</x:v>
      </x:c>
      <x:c r="O235" s="43" t="n">
        <x:v>10000</x:v>
      </x:c>
      <x:c r="P235" s="43" t="n">
        <x:v>400000</x:v>
      </x:c>
      <x:c r="Q235" s="36" t="n">
        <x:v>8</x:v>
      </x:c>
      <x:c r="R235" s="42" t="n">
        <x:v>95</x:v>
      </x:c>
      <x:c r="S235" s="43" t="n">
        <x:v>512</x:v>
      </x:c>
      <x:c r="T235" s="43" t="n">
        <x:v>50000</x:v>
      </x:c>
      <x:c r="U235" s="46" t="n">
        <x:v>3</x:v>
      </x:c>
      <x:c r="V235" s="46" t="n">
        <x:v>5</x:v>
      </x:c>
      <x:c r="W235" s="43" t="n">
        <x:v>300</x:v>
      </x:c>
      <x:c r="X235" s="34" t="str">
        <x:v>uniform</x:v>
      </x:c>
      <x:c r="Y235" s="42" t="n">
        <x:v>10</x:v>
      </x:c>
      <x:c r="Z235" s="34" t="str">
        <x:v>strict</x:v>
      </x:c>
      <x:c r="AA235" s="36" t="n">
        <x:v>64</x:v>
      </x:c>
      <x:c r="AB235" s="43" t="n">
        <x:v>80302080</x:v>
      </x:c>
      <x:c r="AC235" s="43" t="n">
        <x:v>3023778062</x:v>
      </x:c>
      <x:c r="AD235" s="43" t="n">
        <x:v>23778062</x:v>
      </x:c>
      <x:c r="AE235" s="43" t="n">
        <x:v>1813594.7424613854</x:v>
      </x:c>
      <x:c r="AF235" s="43" t="n">
        <x:v>26936891.992798835</x:v>
      </x:c>
      <x:c r="AG235" s="43" t="n">
        <x:v>134767360</x:v>
      </x:c>
      <x:c r="AH235" s="43" t="n">
        <x:v>5003077565</x:v>
      </x:c>
      <x:c r="AI235" s="43" t="n">
        <x:v>3077565</x:v>
      </x:c>
      <x:c r="AJ235" s="43" t="n">
        <x:v>26936891.992798835</x:v>
      </x:c>
      <x:c r="AK235" s="43" t="n">
        <x:v>134767360</x:v>
      </x:c>
      <x:c r="AL235" s="43" t="n">
        <x:v>0</x:v>
      </x:c>
      <x:c r="AM235" s="43" t="n">
        <x:v>500096.2185124418</x:v>
      </x:c>
      <x:c r="AN235" s="43" t="n">
        <x:v>140</x:v>
      </x:c>
      <x:c r="AO235" s="43" t="n">
        <x:v>291</x:v>
      </x:c>
      <x:c r="AP235" s="43" t="n">
        <x:v>480</x:v>
      </x:c>
      <x:c r="AQ235" s="43" t="n">
        <x:v>2105740</x:v>
      </x:c>
      <x:c r="AR235" s="43" t="n">
        <x:v>1</x:v>
      </x:c>
      <x:c r="AS235" s="45" t="b">
        <x:v>1</x:v>
      </x:c>
      <x:c r="AT235" s="43" t="n">
        <x:v>10000</x:v>
      </x:c>
      <x:c r="AU235" s="48" t="n">
        <x:v>0.9501540061332359</x:v>
      </x:c>
      <x:c r="AV235" s="43" t="n">
        <x:v>10000</x:v>
      </x:c>
      <x:c r="AW235" s="48" t="n">
        <x:v>0.9501540061332359</x:v>
      </x:c>
      <x:c r="AX235" s="45" t="b">
        <x:v>1</x:v>
      </x:c>
      <x:c r="AY235" s="44" t="str">
        <x:v>{"provider":"caffeine","currentEntries":10000,"requestCount":134767360,"hitCount":128049747,"missCount":6717613,"hitRate":0.9501540061332359,"loadSuccessCount":0,"loadFailureCount":0,"totalLoadTimeNanos":0,"evictionCount":-1,"expirationCount":-1,"putCount":10000,"removeCount":0,"nativeMetrics":{"statisticsEnabled":0}}</x:v>
      </x:c>
      <x:c r="AZ235" s="44" t="str">
        <x:v>{"provider":"caffeine","currentEntries":10000,"requestCount":134767360,"hitCount":128049747,"missCount":6717613,"hitRate":0.9501540061332359,"loadSuccessCount":0,"loadFailureCount":0,"totalLoadTimeNanos":0,"evictionCount":-1,"expirationCount":-1,"putCount":15000,"removeCount":0,"nativeMetrics":{"statisticsEnabled":0}}</x:v>
      </x:c>
      <x:c r="BA235" s="43" t="n">
        <x:v>10000</x:v>
      </x:c>
      <x:c r="BB235" s="43" t="n">
        <x:v>134767360</x:v>
      </x:c>
      <x:c r="BC235" s="43" t="n">
        <x:v>128049747</x:v>
      </x:c>
      <x:c r="BD235" s="43" t="n">
        <x:v>6717613</x:v>
      </x:c>
      <x:c r="BE235" s="48" t="n">
        <x:v>0.9501540061332359</x:v>
      </x:c>
      <x:c r="BF235" s="43" t="n">
        <x:v>0</x:v>
      </x:c>
      <x:c r="BG235" s="43" t="n">
        <x:v>0</x:v>
      </x:c>
      <x:c r="BH235" s="43" t="n">
        <x:v>0</x:v>
      </x:c>
      <x:c r="BI235" s="43" t="n">
        <x:v>-1</x:v>
      </x:c>
      <x:c r="BJ235" s="43" t="n">
        <x:v>-1</x:v>
      </x:c>
      <x:c r="BK235" s="43" t="n">
        <x:v>15000</x:v>
      </x:c>
      <x:c r="BL235" s="43" t="n">
        <x:v>0</x:v>
      </x:c>
      <x:c r="BM235" s="44" t="str">
        <x:v>{"statisticsEnabled":0}</x:v>
      </x:c>
    </x:row>
    <x:row r="236">
      <x:c r="A236" s="34" t="str">
        <x:v>article1-unified-v4-2-fb3f101b-20260903-000401-default-f04-p6-caffeine</x:v>
      </x:c>
      <x:c r="B236" s="34" t="str">
        <x:v>default</x:v>
      </x:c>
      <x:c r="C236" s="34" t="str">
        <x:v>caffeine</x:v>
      </x:c>
      <x:c r="D236" s="34" t="str">
        <x:v>caffeine</x:v>
      </x:c>
      <x:c r="E236" s="34" t="str">
        <x:v>current-provider-primary-comparison</x:v>
      </x:c>
      <x:c r="F236" s="36" t="n">
        <x:v>4</x:v>
      </x:c>
      <x:c r="G236" s="36" t="n">
        <x:v>4</x:v>
      </x:c>
      <x:c r="H236" s="36" t="n">
        <x:v>6</x:v>
      </x:c>
      <x:c r="I236" s="36" t="n">
        <x:v>3</x:v>
      </x:c>
      <x:c r="J236" s="34" t="str">
        <x:v>initial</x:v>
      </x:c>
      <x:c r="K236" s="34" t="str">
        <x:v>cache-semantics</x:v>
      </x:c>
      <x:c r="L236" s="45" t="b">
        <x:v>1</x:v>
      </x:c>
      <x:c r="M236" s="36" t="n">
        <x:v>1079766481</x:v>
      </x:c>
      <x:c r="N236" s="34" t="str">
        <x:v>2003ab2bf661debde50fa9590451b61ccb907c7e521f8a8e45087b02af93afef</x:v>
      </x:c>
      <x:c r="O236" s="43" t="n">
        <x:v>10000</x:v>
      </x:c>
      <x:c r="P236" s="43" t="n">
        <x:v>400000</x:v>
      </x:c>
      <x:c r="Q236" s="36" t="n">
        <x:v>8</x:v>
      </x:c>
      <x:c r="R236" s="42" t="n">
        <x:v>95</x:v>
      </x:c>
      <x:c r="S236" s="43" t="n">
        <x:v>512</x:v>
      </x:c>
      <x:c r="T236" s="43" t="n">
        <x:v>50000</x:v>
      </x:c>
      <x:c r="U236" s="46" t="n">
        <x:v>3</x:v>
      </x:c>
      <x:c r="V236" s="46" t="n">
        <x:v>5</x:v>
      </x:c>
      <x:c r="W236" s="43" t="n">
        <x:v>300</x:v>
      </x:c>
      <x:c r="X236" s="34" t="str">
        <x:v>uniform</x:v>
      </x:c>
      <x:c r="Y236" s="42" t="n">
        <x:v>10</x:v>
      </x:c>
      <x:c r="Z236" s="34" t="str">
        <x:v>strict</x:v>
      </x:c>
      <x:c r="AA236" s="36" t="n">
        <x:v>64</x:v>
      </x:c>
      <x:c r="AB236" s="43" t="n">
        <x:v>79560192</x:v>
      </x:c>
      <x:c r="AC236" s="43" t="n">
        <x:v>3005518881</x:v>
      </x:c>
      <x:c r="AD236" s="43" t="n">
        <x:v>5518881</x:v>
      </x:c>
      <x:c r="AE236" s="43" t="n">
        <x:v>2078291.7439444812</x:v>
      </x:c>
      <x:c r="AF236" s="43" t="n">
        <x:v>26243989.663170855</x:v>
      </x:c>
      <x:c r="AG236" s="43" t="n">
        <x:v>131272448</x:v>
      </x:c>
      <x:c r="AH236" s="43" t="n">
        <x:v>5002000446</x:v>
      </x:c>
      <x:c r="AI236" s="43" t="n">
        <x:v>2000446</x:v>
      </x:c>
      <x:c r="AJ236" s="43" t="n">
        <x:v>26243989.663170855</x:v>
      </x:c>
      <x:c r="AK236" s="43" t="n">
        <x:v>131272448</x:v>
      </x:c>
      <x:c r="AL236" s="43" t="n">
        <x:v>0</x:v>
      </x:c>
      <x:c r="AM236" s="43" t="n">
        <x:v>455099.5175216955</x:v>
      </x:c>
      <x:c r="AN236" s="43" t="n">
        <x:v>140</x:v>
      </x:c>
      <x:c r="AO236" s="43" t="n">
        <x:v>291</x:v>
      </x:c>
      <x:c r="AP236" s="43" t="n">
        <x:v>551</x:v>
      </x:c>
      <x:c r="AQ236" s="43" t="n">
        <x:v>2051132</x:v>
      </x:c>
      <x:c r="AR236" s="43" t="n">
        <x:v>1</x:v>
      </x:c>
      <x:c r="AS236" s="45" t="b">
        <x:v>1</x:v>
      </x:c>
      <x:c r="AT236" s="43" t="n">
        <x:v>10000</x:v>
      </x:c>
      <x:c r="AU236" s="48" t="n">
        <x:v>0.9499987461192161</x:v>
      </x:c>
      <x:c r="AV236" s="43" t="n">
        <x:v>10000</x:v>
      </x:c>
      <x:c r="AW236" s="48" t="n">
        <x:v>0.9499987461192161</x:v>
      </x:c>
      <x:c r="AX236" s="45" t="b">
        <x:v>1</x:v>
      </x:c>
      <x:c r="AY236" s="44" t="str">
        <x:v>{"provider":"caffeine","currentEntries":10000,"requestCount":131272448,"hitCount":124708661,"missCount":6563787,"hitRate":0.9499987461192161,"loadSuccessCount":0,"loadFailureCount":0,"totalLoadTimeNanos":0,"evictionCount":-1,"expirationCount":-1,"putCount":10000,"removeCount":0,"nativeMetrics":{"statisticsEnabled":0}}</x:v>
      </x:c>
      <x:c r="AZ236" s="44" t="str">
        <x:v>{"provider":"caffeine","currentEntries":10000,"requestCount":131272448,"hitCount":124708661,"missCount":6563787,"hitRate":0.9499987461192161,"loadSuccessCount":0,"loadFailureCount":0,"totalLoadTimeNanos":0,"evictionCount":-1,"expirationCount":-1,"putCount":15000,"removeCount":0,"nativeMetrics":{"statisticsEnabled":0}}</x:v>
      </x:c>
      <x:c r="BA236" s="43" t="n">
        <x:v>10000</x:v>
      </x:c>
      <x:c r="BB236" s="43" t="n">
        <x:v>131272448</x:v>
      </x:c>
      <x:c r="BC236" s="43" t="n">
        <x:v>124708661</x:v>
      </x:c>
      <x:c r="BD236" s="43" t="n">
        <x:v>6563787</x:v>
      </x:c>
      <x:c r="BE236" s="48" t="n">
        <x:v>0.9499987461192161</x:v>
      </x:c>
      <x:c r="BF236" s="43" t="n">
        <x:v>0</x:v>
      </x:c>
      <x:c r="BG236" s="43" t="n">
        <x:v>0</x:v>
      </x:c>
      <x:c r="BH236" s="43" t="n">
        <x:v>0</x:v>
      </x:c>
      <x:c r="BI236" s="43" t="n">
        <x:v>-1</x:v>
      </x:c>
      <x:c r="BJ236" s="43" t="n">
        <x:v>-1</x:v>
      </x:c>
      <x:c r="BK236" s="43" t="n">
        <x:v>15000</x:v>
      </x:c>
      <x:c r="BL236" s="43" t="n">
        <x:v>0</x:v>
      </x:c>
      <x:c r="BM236" s="44" t="str">
        <x:v>{"statisticsEnabled":0}</x:v>
      </x:c>
    </x:row>
    <x:row r="237">
      <x:c r="A237" s="34" t="str">
        <x:v>article1-unified-v4-2-fb3f101b-20260903-000401-default-f04-p6-caffeine</x:v>
      </x:c>
      <x:c r="B237" s="34" t="str">
        <x:v>default</x:v>
      </x:c>
      <x:c r="C237" s="34" t="str">
        <x:v>caffeine</x:v>
      </x:c>
      <x:c r="D237" s="34" t="str">
        <x:v>caffeine</x:v>
      </x:c>
      <x:c r="E237" s="34" t="str">
        <x:v>current-provider-primary-comparison</x:v>
      </x:c>
      <x:c r="F237" s="36" t="n">
        <x:v>4</x:v>
      </x:c>
      <x:c r="G237" s="36" t="n">
        <x:v>4</x:v>
      </x:c>
      <x:c r="H237" s="36" t="n">
        <x:v>6</x:v>
      </x:c>
      <x:c r="I237" s="36" t="n">
        <x:v>3</x:v>
      </x:c>
      <x:c r="J237" s="34" t="str">
        <x:v>redeploy</x:v>
      </x:c>
      <x:c r="K237" s="34" t="str">
        <x:v>cache-semantics</x:v>
      </x:c>
      <x:c r="L237" s="45" t="b">
        <x:v>1</x:v>
      </x:c>
      <x:c r="M237" s="36" t="n">
        <x:v>1079766481</x:v>
      </x:c>
      <x:c r="N237" s="34" t="str">
        <x:v>2003ab2bf661debde50fa9590451b61ccb907c7e521f8a8e45087b02af93afef</x:v>
      </x:c>
      <x:c r="O237" s="43" t="n">
        <x:v>10000</x:v>
      </x:c>
      <x:c r="P237" s="43" t="n">
        <x:v>400000</x:v>
      </x:c>
      <x:c r="Q237" s="36" t="n">
        <x:v>8</x:v>
      </x:c>
      <x:c r="R237" s="42" t="n">
        <x:v>95</x:v>
      </x:c>
      <x:c r="S237" s="43" t="n">
        <x:v>512</x:v>
      </x:c>
      <x:c r="T237" s="43" t="n">
        <x:v>50000</x:v>
      </x:c>
      <x:c r="U237" s="46" t="n">
        <x:v>3</x:v>
      </x:c>
      <x:c r="V237" s="46" t="n">
        <x:v>5</x:v>
      </x:c>
      <x:c r="W237" s="43" t="n">
        <x:v>300</x:v>
      </x:c>
      <x:c r="X237" s="34" t="str">
        <x:v>uniform</x:v>
      </x:c>
      <x:c r="Y237" s="42" t="n">
        <x:v>10</x:v>
      </x:c>
      <x:c r="Z237" s="34" t="str">
        <x:v>strict</x:v>
      </x:c>
      <x:c r="AA237" s="36" t="n">
        <x:v>64</x:v>
      </x:c>
      <x:c r="AB237" s="43" t="n">
        <x:v>81367808</x:v>
      </x:c>
      <x:c r="AC237" s="43" t="n">
        <x:v>3039419471</x:v>
      </x:c>
      <x:c r="AD237" s="43" t="n">
        <x:v>39419471</x:v>
      </x:c>
      <x:c r="AE237" s="43" t="n">
        <x:v>1172386.2703250747</x:v>
      </x:c>
      <x:c r="AF237" s="43" t="n">
        <x:v>26553133.325640604</x:v>
      </x:c>
      <x:c r="AG237" s="43" t="n">
        <x:v>132825088</x:v>
      </x:c>
      <x:c r="AH237" s="43" t="n">
        <x:v>5002237829</x:v>
      </x:c>
      <x:c r="AI237" s="43" t="n">
        <x:v>2237829</x:v>
      </x:c>
      <x:c r="AJ237" s="43" t="n">
        <x:v>26553133.325640604</x:v>
      </x:c>
      <x:c r="AK237" s="43" t="n">
        <x:v>132825088</x:v>
      </x:c>
      <x:c r="AL237" s="43" t="n">
        <x:v>0</x:v>
      </x:c>
      <x:c r="AM237" s="43" t="n">
        <x:v>488203.013560034</x:v>
      </x:c>
      <x:c r="AN237" s="43" t="n">
        <x:v>140</x:v>
      </x:c>
      <x:c r="AO237" s="43" t="n">
        <x:v>291</x:v>
      </x:c>
      <x:c r="AP237" s="43" t="n">
        <x:v>461</x:v>
      </x:c>
      <x:c r="AQ237" s="43" t="n">
        <x:v>2075392</x:v>
      </x:c>
      <x:c r="AR237" s="43" t="n">
        <x:v>1</x:v>
      </x:c>
      <x:c r="AS237" s="45" t="b">
        <x:v>1</x:v>
      </x:c>
      <x:c r="AT237" s="43" t="n">
        <x:v>10000</x:v>
      </x:c>
      <x:c r="AU237" s="48" t="n">
        <x:v>0.9500308330305793</x:v>
      </x:c>
      <x:c r="AV237" s="43" t="n">
        <x:v>10000</x:v>
      </x:c>
      <x:c r="AW237" s="48" t="n">
        <x:v>0.9500308330305793</x:v>
      </x:c>
      <x:c r="AX237" s="45" t="b">
        <x:v>1</x:v>
      </x:c>
      <x:c r="AY237" s="44" t="str">
        <x:v>{"provider":"caffeine","currentEntries":10000,"requestCount":132825088,"hitCount":126187929,"missCount":6637159,"hitRate":0.9500308330305793,"loadSuccessCount":0,"loadFailureCount":0,"totalLoadTimeNanos":0,"evictionCount":-1,"expirationCount":-1,"putCount":10000,"removeCount":0,"nativeMetrics":{"statisticsEnabled":0}}</x:v>
      </x:c>
      <x:c r="AZ237" s="44" t="str">
        <x:v>{"provider":"caffeine","currentEntries":10000,"requestCount":132825088,"hitCount":126187929,"missCount":6637159,"hitRate":0.9500308330305793,"loadSuccessCount":0,"loadFailureCount":0,"totalLoadTimeNanos":0,"evictionCount":-1,"expirationCount":-1,"putCount":15000,"removeCount":0,"nativeMetrics":{"statisticsEnabled":0}}</x:v>
      </x:c>
      <x:c r="BA237" s="43" t="n">
        <x:v>10000</x:v>
      </x:c>
      <x:c r="BB237" s="43" t="n">
        <x:v>132825088</x:v>
      </x:c>
      <x:c r="BC237" s="43" t="n">
        <x:v>126187929</x:v>
      </x:c>
      <x:c r="BD237" s="43" t="n">
        <x:v>6637159</x:v>
      </x:c>
      <x:c r="BE237" s="48" t="n">
        <x:v>0.9500308330305793</x:v>
      </x:c>
      <x:c r="BF237" s="43" t="n">
        <x:v>0</x:v>
      </x:c>
      <x:c r="BG237" s="43" t="n">
        <x:v>0</x:v>
      </x:c>
      <x:c r="BH237" s="43" t="n">
        <x:v>0</x:v>
      </x:c>
      <x:c r="BI237" s="43" t="n">
        <x:v>-1</x:v>
      </x:c>
      <x:c r="BJ237" s="43" t="n">
        <x:v>-1</x:v>
      </x:c>
      <x:c r="BK237" s="43" t="n">
        <x:v>15000</x:v>
      </x:c>
      <x:c r="BL237" s="43" t="n">
        <x:v>0</x:v>
      </x:c>
      <x:c r="BM237" s="44" t="str">
        <x:v>{"statisticsEnabled":0}</x:v>
      </x:c>
    </x:row>
    <x:row r="238">
      <x:c r="A238" s="34" t="str">
        <x:v>article1-unified-v4-2-fb3f101b-20260903-000401-default-f04-p6-caffeine</x:v>
      </x:c>
      <x:c r="B238" s="34" t="str">
        <x:v>default</x:v>
      </x:c>
      <x:c r="C238" s="34" t="str">
        <x:v>caffeine</x:v>
      </x:c>
      <x:c r="D238" s="34" t="str">
        <x:v>caffeine</x:v>
      </x:c>
      <x:c r="E238" s="34" t="str">
        <x:v>current-provider-primary-comparison</x:v>
      </x:c>
      <x:c r="F238" s="36" t="n">
        <x:v>4</x:v>
      </x:c>
      <x:c r="G238" s="36" t="n">
        <x:v>4</x:v>
      </x:c>
      <x:c r="H238" s="36" t="n">
        <x:v>6</x:v>
      </x:c>
      <x:c r="I238" s="36" t="n">
        <x:v>4</x:v>
      </x:c>
      <x:c r="J238" s="34" t="str">
        <x:v>initial</x:v>
      </x:c>
      <x:c r="K238" s="34" t="str">
        <x:v>cache-semantics</x:v>
      </x:c>
      <x:c r="L238" s="45" t="b">
        <x:v>1</x:v>
      </x:c>
      <x:c r="M238" s="36" t="n">
        <x:v>153065368</x:v>
      </x:c>
      <x:c r="N238" s="34" t="str">
        <x:v>13e2812983530d3984d2699f769b1b94ef065a0bcaeae2fdd816f73034de5703</x:v>
      </x:c>
      <x:c r="O238" s="43" t="n">
        <x:v>10000</x:v>
      </x:c>
      <x:c r="P238" s="43" t="n">
        <x:v>400000</x:v>
      </x:c>
      <x:c r="Q238" s="36" t="n">
        <x:v>8</x:v>
      </x:c>
      <x:c r="R238" s="42" t="n">
        <x:v>95</x:v>
      </x:c>
      <x:c r="S238" s="43" t="n">
        <x:v>512</x:v>
      </x:c>
      <x:c r="T238" s="43" t="n">
        <x:v>50000</x:v>
      </x:c>
      <x:c r="U238" s="46" t="n">
        <x:v>3</x:v>
      </x:c>
      <x:c r="V238" s="46" t="n">
        <x:v>5</x:v>
      </x:c>
      <x:c r="W238" s="43" t="n">
        <x:v>300</x:v>
      </x:c>
      <x:c r="X238" s="34" t="str">
        <x:v>uniform</x:v>
      </x:c>
      <x:c r="Y238" s="42" t="n">
        <x:v>10</x:v>
      </x:c>
      <x:c r="Z238" s="34" t="str">
        <x:v>strict</x:v>
      </x:c>
      <x:c r="AA238" s="36" t="n">
        <x:v>64</x:v>
      </x:c>
      <x:c r="AB238" s="43" t="n">
        <x:v>81586688</x:v>
      </x:c>
      <x:c r="AC238" s="43" t="n">
        <x:v>3048251569</x:v>
      </x:c>
      <x:c r="AD238" s="43" t="n">
        <x:v>48251569</x:v>
      </x:c>
      <x:c r="AE238" s="43" t="n">
        <x:v>1623311.5328005517</x:v>
      </x:c>
      <x:c r="AF238" s="43" t="n">
        <x:v>27230591.66726784</x:v>
      </x:c>
      <x:c r="AG238" s="43" t="n">
        <x:v>136208384</x:v>
      </x:c>
      <x:c r="AH238" s="43" t="n">
        <x:v>5002035419</x:v>
      </x:c>
      <x:c r="AI238" s="43" t="n">
        <x:v>2035419</x:v>
      </x:c>
      <x:c r="AJ238" s="43" t="n">
        <x:v>27230591.66726784</x:v>
      </x:c>
      <x:c r="AK238" s="43" t="n">
        <x:v>136208384</x:v>
      </x:c>
      <x:c r="AL238" s="43" t="n">
        <x:v>0</x:v>
      </x:c>
      <x:c r="AM238" s="43" t="n">
        <x:v>532574.0389754724</x:v>
      </x:c>
      <x:c r="AN238" s="43" t="n">
        <x:v>140</x:v>
      </x:c>
      <x:c r="AO238" s="43" t="n">
        <x:v>290</x:v>
      </x:c>
      <x:c r="AP238" s="43" t="n">
        <x:v>471</x:v>
      </x:c>
      <x:c r="AQ238" s="43" t="n">
        <x:v>2128256</x:v>
      </x:c>
      <x:c r="AR238" s="43" t="n">
        <x:v>1</x:v>
      </x:c>
      <x:c r="AS238" s="45" t="b">
        <x:v>1</x:v>
      </x:c>
      <x:c r="AT238" s="43" t="n">
        <x:v>10000</x:v>
      </x:c>
      <x:c r="AU238" s="48" t="n">
        <x:v>0.9496921790071308</x:v>
      </x:c>
      <x:c r="AV238" s="43" t="n">
        <x:v>10000</x:v>
      </x:c>
      <x:c r="AW238" s="48" t="n">
        <x:v>0.9496921790071308</x:v>
      </x:c>
      <x:c r="AX238" s="45" t="b">
        <x:v>1</x:v>
      </x:c>
      <x:c r="AY238" s="44" t="str">
        <x:v>{"provider":"caffeine","currentEntries":10000,"requestCount":136208384,"hitCount":129356037,"missCount":6852347,"hitRate":0.9496921790071308,"loadSuccessCount":0,"loadFailureCount":0,"totalLoadTimeNanos":0,"evictionCount":-1,"expirationCount":-1,"putCount":10000,"removeCount":0,"nativeMetrics":{"statisticsEnabled":0}}</x:v>
      </x:c>
      <x:c r="AZ238" s="44" t="str">
        <x:v>{"provider":"caffeine","currentEntries":10000,"requestCount":136208384,"hitCount":129356037,"missCount":6852347,"hitRate":0.9496921790071308,"loadSuccessCount":0,"loadFailureCount":0,"totalLoadTimeNanos":0,"evictionCount":-1,"expirationCount":-1,"putCount":15000,"removeCount":0,"nativeMetrics":{"statisticsEnabled":0}}</x:v>
      </x:c>
      <x:c r="BA238" s="43" t="n">
        <x:v>10000</x:v>
      </x:c>
      <x:c r="BB238" s="43" t="n">
        <x:v>136208384</x:v>
      </x:c>
      <x:c r="BC238" s="43" t="n">
        <x:v>129356037</x:v>
      </x:c>
      <x:c r="BD238" s="43" t="n">
        <x:v>6852347</x:v>
      </x:c>
      <x:c r="BE238" s="48" t="n">
        <x:v>0.9496921790071308</x:v>
      </x:c>
      <x:c r="BF238" s="43" t="n">
        <x:v>0</x:v>
      </x:c>
      <x:c r="BG238" s="43" t="n">
        <x:v>0</x:v>
      </x:c>
      <x:c r="BH238" s="43" t="n">
        <x:v>0</x:v>
      </x:c>
      <x:c r="BI238" s="43" t="n">
        <x:v>-1</x:v>
      </x:c>
      <x:c r="BJ238" s="43" t="n">
        <x:v>-1</x:v>
      </x:c>
      <x:c r="BK238" s="43" t="n">
        <x:v>15000</x:v>
      </x:c>
      <x:c r="BL238" s="43" t="n">
        <x:v>0</x:v>
      </x:c>
      <x:c r="BM238" s="44" t="str">
        <x:v>{"statisticsEnabled":0}</x:v>
      </x:c>
    </x:row>
    <x:row r="239">
      <x:c r="A239" s="34" t="str">
        <x:v>article1-unified-v4-2-fb3f101b-20260903-000401-default-f04-p6-caffeine</x:v>
      </x:c>
      <x:c r="B239" s="34" t="str">
        <x:v>default</x:v>
      </x:c>
      <x:c r="C239" s="34" t="str">
        <x:v>caffeine</x:v>
      </x:c>
      <x:c r="D239" s="34" t="str">
        <x:v>caffeine</x:v>
      </x:c>
      <x:c r="E239" s="34" t="str">
        <x:v>current-provider-primary-comparison</x:v>
      </x:c>
      <x:c r="F239" s="36" t="n">
        <x:v>4</x:v>
      </x:c>
      <x:c r="G239" s="36" t="n">
        <x:v>4</x:v>
      </x:c>
      <x:c r="H239" s="36" t="n">
        <x:v>6</x:v>
      </x:c>
      <x:c r="I239" s="36" t="n">
        <x:v>4</x:v>
      </x:c>
      <x:c r="J239" s="34" t="str">
        <x:v>redeploy</x:v>
      </x:c>
      <x:c r="K239" s="34" t="str">
        <x:v>cache-semantics</x:v>
      </x:c>
      <x:c r="L239" s="45" t="b">
        <x:v>1</x:v>
      </x:c>
      <x:c r="M239" s="36" t="n">
        <x:v>153065368</x:v>
      </x:c>
      <x:c r="N239" s="34" t="str">
        <x:v>13e2812983530d3984d2699f769b1b94ef065a0bcaeae2fdd816f73034de5703</x:v>
      </x:c>
      <x:c r="O239" s="43" t="n">
        <x:v>10000</x:v>
      </x:c>
      <x:c r="P239" s="43" t="n">
        <x:v>400000</x:v>
      </x:c>
      <x:c r="Q239" s="36" t="n">
        <x:v>8</x:v>
      </x:c>
      <x:c r="R239" s="42" t="n">
        <x:v>95</x:v>
      </x:c>
      <x:c r="S239" s="43" t="n">
        <x:v>512</x:v>
      </x:c>
      <x:c r="T239" s="43" t="n">
        <x:v>50000</x:v>
      </x:c>
      <x:c r="U239" s="46" t="n">
        <x:v>3</x:v>
      </x:c>
      <x:c r="V239" s="46" t="n">
        <x:v>5</x:v>
      </x:c>
      <x:c r="W239" s="43" t="n">
        <x:v>300</x:v>
      </x:c>
      <x:c r="X239" s="34" t="str">
        <x:v>uniform</x:v>
      </x:c>
      <x:c r="Y239" s="42" t="n">
        <x:v>10</x:v>
      </x:c>
      <x:c r="Z239" s="34" t="str">
        <x:v>strict</x:v>
      </x:c>
      <x:c r="AA239" s="36" t="n">
        <x:v>64</x:v>
      </x:c>
      <x:c r="AB239" s="43" t="n">
        <x:v>85563904</x:v>
      </x:c>
      <x:c r="AC239" s="43" t="n">
        <x:v>3048294001</x:v>
      </x:c>
      <x:c r="AD239" s="43" t="n">
        <x:v>48294001</x:v>
      </x:c>
      <x:c r="AE239" s="43" t="n">
        <x:v>1893340.9117458893</x:v>
      </x:c>
      <x:c r="AF239" s="43" t="n">
        <x:v>28977417.57651913</x:v>
      </x:c>
      <x:c r="AG239" s="43" t="n">
        <x:v>144951040</x:v>
      </x:c>
      <x:c r="AH239" s="43" t="n">
        <x:v>5002206964</x:v>
      </x:c>
      <x:c r="AI239" s="43" t="n">
        <x:v>2206964</x:v>
      </x:c>
      <x:c r="AJ239" s="43" t="n">
        <x:v>28977417.57651913</x:v>
      </x:c>
      <x:c r="AK239" s="43" t="n">
        <x:v>144951040</x:v>
      </x:c>
      <x:c r="AL239" s="43" t="n">
        <x:v>0</x:v>
      </x:c>
      <x:c r="AM239" s="43" t="n">
        <x:v>454389.10338578955</x:v>
      </x:c>
      <x:c r="AN239" s="43" t="n">
        <x:v>131</x:v>
      </x:c>
      <x:c r="AO239" s="43" t="n">
        <x:v>260</x:v>
      </x:c>
      <x:c r="AP239" s="43" t="n">
        <x:v>441</x:v>
      </x:c>
      <x:c r="AQ239" s="43" t="n">
        <x:v>2264860</x:v>
      </x:c>
      <x:c r="AR239" s="43" t="n">
        <x:v>1</x:v>
      </x:c>
      <x:c r="AS239" s="45" t="b">
        <x:v>1</x:v>
      </x:c>
      <x:c r="AT239" s="43" t="n">
        <x:v>10000</x:v>
      </x:c>
      <x:c r="AU239" s="48" t="n">
        <x:v>0.9496792848123062</x:v>
      </x:c>
      <x:c r="AV239" s="43" t="n">
        <x:v>10000</x:v>
      </x:c>
      <x:c r="AW239" s="48" t="n">
        <x:v>0.9496792848123062</x:v>
      </x:c>
      <x:c r="AX239" s="45" t="b">
        <x:v>1</x:v>
      </x:c>
      <x:c r="AY239" s="44" t="str">
        <x:v>{"provider":"caffeine","currentEntries":10000,"requestCount":144951040,"hitCount":137657000,"missCount":7294040,"hitRate":0.9496792848123062,"loadSuccessCount":0,"loadFailureCount":0,"totalLoadTimeNanos":0,"evictionCount":-1,"expirationCount":-1,"putCount":10000,"removeCount":0,"nativeMetrics":{"statisticsEnabled":0}}</x:v>
      </x:c>
      <x:c r="AZ239" s="44" t="str">
        <x:v>{"provider":"caffeine","currentEntries":10000,"requestCount":144951040,"hitCount":137657000,"missCount":7294040,"hitRate":0.9496792848123062,"loadSuccessCount":0,"loadFailureCount":0,"totalLoadTimeNanos":0,"evictionCount":-1,"expirationCount":-1,"putCount":15000,"removeCount":0,"nativeMetrics":{"statisticsEnabled":0}}</x:v>
      </x:c>
      <x:c r="BA239" s="43" t="n">
        <x:v>10000</x:v>
      </x:c>
      <x:c r="BB239" s="43" t="n">
        <x:v>144951040</x:v>
      </x:c>
      <x:c r="BC239" s="43" t="n">
        <x:v>137657000</x:v>
      </x:c>
      <x:c r="BD239" s="43" t="n">
        <x:v>7294040</x:v>
      </x:c>
      <x:c r="BE239" s="48" t="n">
        <x:v>0.9496792848123062</x:v>
      </x:c>
      <x:c r="BF239" s="43" t="n">
        <x:v>0</x:v>
      </x:c>
      <x:c r="BG239" s="43" t="n">
        <x:v>0</x:v>
      </x:c>
      <x:c r="BH239" s="43" t="n">
        <x:v>0</x:v>
      </x:c>
      <x:c r="BI239" s="43" t="n">
        <x:v>-1</x:v>
      </x:c>
      <x:c r="BJ239" s="43" t="n">
        <x:v>-1</x:v>
      </x:c>
      <x:c r="BK239" s="43" t="n">
        <x:v>15000</x:v>
      </x:c>
      <x:c r="BL239" s="43" t="n">
        <x:v>0</x:v>
      </x:c>
      <x:c r="BM239" s="44" t="str">
        <x:v>{"statisticsEnabled":0}</x:v>
      </x:c>
    </x:row>
    <x:row r="240">
      <x:c r="A240" s="34" t="str">
        <x:v>article1-unified-v4-2-fb3f101b-20260903-000401-default-f04-p6-caffeine</x:v>
      </x:c>
      <x:c r="B240" s="34" t="str">
        <x:v>default</x:v>
      </x:c>
      <x:c r="C240" s="34" t="str">
        <x:v>caffeine</x:v>
      </x:c>
      <x:c r="D240" s="34" t="str">
        <x:v>caffeine</x:v>
      </x:c>
      <x:c r="E240" s="34" t="str">
        <x:v>current-provider-primary-comparison</x:v>
      </x:c>
      <x:c r="F240" s="36" t="n">
        <x:v>4</x:v>
      </x:c>
      <x:c r="G240" s="36" t="n">
        <x:v>4</x:v>
      </x:c>
      <x:c r="H240" s="36" t="n">
        <x:v>6</x:v>
      </x:c>
      <x:c r="I240" s="36" t="n">
        <x:v>5</x:v>
      </x:c>
      <x:c r="J240" s="34" t="str">
        <x:v>initial</x:v>
      </x:c>
      <x:c r="K240" s="34" t="str">
        <x:v>cache-semantics</x:v>
      </x:c>
      <x:c r="L240" s="45" t="b">
        <x:v>1</x:v>
      </x:c>
      <x:c r="M240" s="36" t="n">
        <x:v>2019955368</x:v>
      </x:c>
      <x:c r="N240" s="34" t="str">
        <x:v>d64ba2cf71f68a5c314873e1c18092a1a2fe40603628b516f9936c8a249791fe</x:v>
      </x:c>
      <x:c r="O240" s="43" t="n">
        <x:v>10000</x:v>
      </x:c>
      <x:c r="P240" s="43" t="n">
        <x:v>400000</x:v>
      </x:c>
      <x:c r="Q240" s="36" t="n">
        <x:v>8</x:v>
      </x:c>
      <x:c r="R240" s="42" t="n">
        <x:v>95</x:v>
      </x:c>
      <x:c r="S240" s="43" t="n">
        <x:v>512</x:v>
      </x:c>
      <x:c r="T240" s="43" t="n">
        <x:v>50000</x:v>
      </x:c>
      <x:c r="U240" s="46" t="n">
        <x:v>3</x:v>
      </x:c>
      <x:c r="V240" s="46" t="n">
        <x:v>5</x:v>
      </x:c>
      <x:c r="W240" s="43" t="n">
        <x:v>300</x:v>
      </x:c>
      <x:c r="X240" s="34" t="str">
        <x:v>uniform</x:v>
      </x:c>
      <x:c r="Y240" s="42" t="n">
        <x:v>10</x:v>
      </x:c>
      <x:c r="Z240" s="34" t="str">
        <x:v>strict</x:v>
      </x:c>
      <x:c r="AA240" s="36" t="n">
        <x:v>64</x:v>
      </x:c>
      <x:c r="AB240" s="43" t="n">
        <x:v>82607104</x:v>
      </x:c>
      <x:c r="AC240" s="43" t="n">
        <x:v>3000467341</x:v>
      </x:c>
      <x:c r="AD240" s="43" t="n">
        <x:v>467341</x:v>
      </x:c>
      <x:c r="AE240" s="43" t="n">
        <x:v>777630.0712659078</x:v>
      </x:c>
      <x:c r="AF240" s="43" t="n">
        <x:v>28262514.45876727</x:v>
      </x:c>
      <x:c r="AG240" s="43" t="n">
        <x:v>141385216</x:v>
      </x:c>
      <x:c r="AH240" s="43" t="n">
        <x:v>5002570320</x:v>
      </x:c>
      <x:c r="AI240" s="43" t="n">
        <x:v>2570320</x:v>
      </x:c>
      <x:c r="AJ240" s="43" t="n">
        <x:v>28262514.45876727</x:v>
      </x:c>
      <x:c r="AK240" s="43" t="n">
        <x:v>141385216</x:v>
      </x:c>
      <x:c r="AL240" s="43" t="n">
        <x:v>0</x:v>
      </x:c>
      <x:c r="AM240" s="43" t="n">
        <x:v>552585.0425617577</x:v>
      </x:c>
      <x:c r="AN240" s="43" t="n">
        <x:v>140</x:v>
      </x:c>
      <x:c r="AO240" s="43" t="n">
        <x:v>271</x:v>
      </x:c>
      <x:c r="AP240" s="43" t="n">
        <x:v>471</x:v>
      </x:c>
      <x:c r="AQ240" s="43" t="n">
        <x:v>2209144</x:v>
      </x:c>
      <x:c r="AR240" s="43" t="n">
        <x:v>1</x:v>
      </x:c>
      <x:c r="AS240" s="45" t="b">
        <x:v>1</x:v>
      </x:c>
      <x:c r="AT240" s="43" t="n">
        <x:v>10000</x:v>
      </x:c>
      <x:c r="AU240" s="48" t="n">
        <x:v>0.9497596976475956</x:v>
      </x:c>
      <x:c r="AV240" s="43" t="n">
        <x:v>10000</x:v>
      </x:c>
      <x:c r="AW240" s="48" t="n">
        <x:v>0.9497596976475956</x:v>
      </x:c>
      <x:c r="AX240" s="45" t="b">
        <x:v>1</x:v>
      </x:c>
      <x:c r="AY240" s="44" t="str">
        <x:v>{"provider":"caffeine","currentEntries":10000,"requestCount":141385216,"hitCount":134281980,"missCount":7103236,"hitRate":0.9497596976475956,"loadSuccessCount":0,"loadFailureCount":0,"totalLoadTimeNanos":0,"evictionCount":-1,"expirationCount":-1,"putCount":10000,"removeCount":0,"nativeMetrics":{"statisticsEnabled":0}}</x:v>
      </x:c>
      <x:c r="AZ240" s="44" t="str">
        <x:v>{"provider":"caffeine","currentEntries":10000,"requestCount":141385216,"hitCount":134281980,"missCount":7103236,"hitRate":0.9497596976475956,"loadSuccessCount":0,"loadFailureCount":0,"totalLoadTimeNanos":0,"evictionCount":-1,"expirationCount":-1,"putCount":15000,"removeCount":0,"nativeMetrics":{"statisticsEnabled":0}}</x:v>
      </x:c>
      <x:c r="BA240" s="43" t="n">
        <x:v>10000</x:v>
      </x:c>
      <x:c r="BB240" s="43" t="n">
        <x:v>141385216</x:v>
      </x:c>
      <x:c r="BC240" s="43" t="n">
        <x:v>134281980</x:v>
      </x:c>
      <x:c r="BD240" s="43" t="n">
        <x:v>7103236</x:v>
      </x:c>
      <x:c r="BE240" s="48" t="n">
        <x:v>0.9497596976475956</x:v>
      </x:c>
      <x:c r="BF240" s="43" t="n">
        <x:v>0</x:v>
      </x:c>
      <x:c r="BG240" s="43" t="n">
        <x:v>0</x:v>
      </x:c>
      <x:c r="BH240" s="43" t="n">
        <x:v>0</x:v>
      </x:c>
      <x:c r="BI240" s="43" t="n">
        <x:v>-1</x:v>
      </x:c>
      <x:c r="BJ240" s="43" t="n">
        <x:v>-1</x:v>
      </x:c>
      <x:c r="BK240" s="43" t="n">
        <x:v>15000</x:v>
      </x:c>
      <x:c r="BL240" s="43" t="n">
        <x:v>0</x:v>
      </x:c>
      <x:c r="BM240" s="44" t="str">
        <x:v>{"statisticsEnabled":0}</x:v>
      </x:c>
    </x:row>
    <x:row r="241">
      <x:c r="A241" s="34" t="str">
        <x:v>article1-unified-v4-2-fb3f101b-20260903-000401-default-f04-p6-caffeine</x:v>
      </x:c>
      <x:c r="B241" s="34" t="str">
        <x:v>default</x:v>
      </x:c>
      <x:c r="C241" s="34" t="str">
        <x:v>caffeine</x:v>
      </x:c>
      <x:c r="D241" s="34" t="str">
        <x:v>caffeine</x:v>
      </x:c>
      <x:c r="E241" s="34" t="str">
        <x:v>current-provider-primary-comparison</x:v>
      </x:c>
      <x:c r="F241" s="36" t="n">
        <x:v>4</x:v>
      </x:c>
      <x:c r="G241" s="36" t="n">
        <x:v>4</x:v>
      </x:c>
      <x:c r="H241" s="36" t="n">
        <x:v>6</x:v>
      </x:c>
      <x:c r="I241" s="36" t="n">
        <x:v>5</x:v>
      </x:c>
      <x:c r="J241" s="34" t="str">
        <x:v>redeploy</x:v>
      </x:c>
      <x:c r="K241" s="34" t="str">
        <x:v>cache-semantics</x:v>
      </x:c>
      <x:c r="L241" s="45" t="b">
        <x:v>1</x:v>
      </x:c>
      <x:c r="M241" s="36" t="n">
        <x:v>2019955368</x:v>
      </x:c>
      <x:c r="N241" s="34" t="str">
        <x:v>d64ba2cf71f68a5c314873e1c18092a1a2fe40603628b516f9936c8a249791fe</x:v>
      </x:c>
      <x:c r="O241" s="43" t="n">
        <x:v>10000</x:v>
      </x:c>
      <x:c r="P241" s="43" t="n">
        <x:v>400000</x:v>
      </x:c>
      <x:c r="Q241" s="36" t="n">
        <x:v>8</x:v>
      </x:c>
      <x:c r="R241" s="42" t="n">
        <x:v>95</x:v>
      </x:c>
      <x:c r="S241" s="43" t="n">
        <x:v>512</x:v>
      </x:c>
      <x:c r="T241" s="43" t="n">
        <x:v>50000</x:v>
      </x:c>
      <x:c r="U241" s="46" t="n">
        <x:v>3</x:v>
      </x:c>
      <x:c r="V241" s="46" t="n">
        <x:v>5</x:v>
      </x:c>
      <x:c r="W241" s="43" t="n">
        <x:v>300</x:v>
      </x:c>
      <x:c r="X241" s="34" t="str">
        <x:v>uniform</x:v>
      </x:c>
      <x:c r="Y241" s="42" t="n">
        <x:v>10</x:v>
      </x:c>
      <x:c r="Z241" s="34" t="str">
        <x:v>strict</x:v>
      </x:c>
      <x:c r="AA241" s="36" t="n">
        <x:v>64</x:v>
      </x:c>
      <x:c r="AB241" s="43" t="n">
        <x:v>83890688</x:v>
      </x:c>
      <x:c r="AC241" s="43" t="n">
        <x:v>3032962994</x:v>
      </x:c>
      <x:c r="AD241" s="43" t="n">
        <x:v>32962994</x:v>
      </x:c>
      <x:c r="AE241" s="43" t="n">
        <x:v>1899632.8959428591</x:v>
      </x:c>
      <x:c r="AF241" s="43" t="n">
        <x:v>27269294.98359024</x:v>
      </x:c>
      <x:c r="AG241" s="43" t="n">
        <x:v>136412416</x:v>
      </x:c>
      <x:c r="AH241" s="43" t="n">
        <x:v>5002418144</x:v>
      </x:c>
      <x:c r="AI241" s="43" t="n">
        <x:v>2418144</x:v>
      </x:c>
      <x:c r="AJ241" s="43" t="n">
        <x:v>27269294.98359024</x:v>
      </x:c>
      <x:c r="AK241" s="43" t="n">
        <x:v>136412416</x:v>
      </x:c>
      <x:c r="AL241" s="43" t="n">
        <x:v>0</x:v>
      </x:c>
      <x:c r="AM241" s="43" t="n">
        <x:v>479371.21836030117</x:v>
      </x:c>
      <x:c r="AN241" s="43" t="n">
        <x:v>140</x:v>
      </x:c>
      <x:c r="AO241" s="43" t="n">
        <x:v>270</x:v>
      </x:c>
      <x:c r="AP241" s="43" t="n">
        <x:v>451</x:v>
      </x:c>
      <x:c r="AQ241" s="43" t="n">
        <x:v>2131444</x:v>
      </x:c>
      <x:c r="AR241" s="43" t="n">
        <x:v>1</x:v>
      </x:c>
      <x:c r="AS241" s="45" t="b">
        <x:v>1</x:v>
      </x:c>
      <x:c r="AT241" s="43" t="n">
        <x:v>10000</x:v>
      </x:c>
      <x:c r="AU241" s="48" t="n">
        <x:v>0.9497833540313515</x:v>
      </x:c>
      <x:c r="AV241" s="43" t="n">
        <x:v>10000</x:v>
      </x:c>
      <x:c r="AW241" s="48" t="n">
        <x:v>0.9497833540313515</x:v>
      </x:c>
      <x:c r="AX241" s="45" t="b">
        <x:v>1</x:v>
      </x:c>
      <x:c r="AY241" s="44" t="str">
        <x:v>{"provider":"caffeine","currentEntries":10000,"requestCount":136412416,"hitCount":129562242,"missCount":6850174,"hitRate":0.9497833540313515,"loadSuccessCount":0,"loadFailureCount":0,"totalLoadTimeNanos":0,"evictionCount":-1,"expirationCount":-1,"putCount":10000,"removeCount":0,"nativeMetrics":{"statisticsEnabled":0}}</x:v>
      </x:c>
      <x:c r="AZ241" s="44" t="str">
        <x:v>{"provider":"caffeine","currentEntries":10000,"requestCount":136412416,"hitCount":129562242,"missCount":6850174,"hitRate":0.9497833540313515,"loadSuccessCount":0,"loadFailureCount":0,"totalLoadTimeNanos":0,"evictionCount":-1,"expirationCount":-1,"putCount":15000,"removeCount":0,"nativeMetrics":{"statisticsEnabled":0}}</x:v>
      </x:c>
      <x:c r="BA241" s="43" t="n">
        <x:v>10000</x:v>
      </x:c>
      <x:c r="BB241" s="43" t="n">
        <x:v>136412416</x:v>
      </x:c>
      <x:c r="BC241" s="43" t="n">
        <x:v>129562242</x:v>
      </x:c>
      <x:c r="BD241" s="43" t="n">
        <x:v>6850174</x:v>
      </x:c>
      <x:c r="BE241" s="48" t="n">
        <x:v>0.9497833540313515</x:v>
      </x:c>
      <x:c r="BF241" s="43" t="n">
        <x:v>0</x:v>
      </x:c>
      <x:c r="BG241" s="43" t="n">
        <x:v>0</x:v>
      </x:c>
      <x:c r="BH241" s="43" t="n">
        <x:v>0</x:v>
      </x:c>
      <x:c r="BI241" s="43" t="n">
        <x:v>-1</x:v>
      </x:c>
      <x:c r="BJ241" s="43" t="n">
        <x:v>-1</x:v>
      </x:c>
      <x:c r="BK241" s="43" t="n">
        <x:v>15000</x:v>
      </x:c>
      <x:c r="BL241" s="43" t="n">
        <x:v>0</x:v>
      </x:c>
      <x:c r="BM241" s="44" t="str">
        <x:v>{"statisticsEnabled":0}</x:v>
      </x:c>
    </x:row>
    <x:row r="242">
      <x:c r="A242" s="34" t="str">
        <x:v>article1-unified-v4-2-fb3f101b-20260903-000401-default-f05-p1-jcs321</x:v>
      </x:c>
      <x:c r="B242" s="34" t="str">
        <x:v>default</x:v>
      </x:c>
      <x:c r="C242" s="34" t="str">
        <x:v>jcs321</x:v>
      </x:c>
      <x:c r="D242" s="34" t="str">
        <x:v>jcs321</x:v>
      </x:c>
      <x:c r="E242" s="34" t="str">
        <x:v>JCS-248-positive-control</x:v>
      </x:c>
      <x:c r="F242" s="36" t="n">
        <x:v>5</x:v>
      </x:c>
      <x:c r="G242" s="36" t="n">
        <x:v>5</x:v>
      </x:c>
      <x:c r="H242" s="36" t="n">
        <x:v>1</x:v>
      </x:c>
      <x:c r="I242" s="36" t="n">
        <x:v>1</x:v>
      </x:c>
      <x:c r="J242" s="34" t="str">
        <x:v>initial</x:v>
      </x:c>
      <x:c r="K242" s="34" t="str">
        <x:v>cache-semantics</x:v>
      </x:c>
      <x:c r="L242" s="45" t="b">
        <x:v>0</x:v>
      </x:c>
      <x:c r="M242" s="36" t="n">
        <x:v>648580617</x:v>
      </x:c>
      <x:c r="N242" s="34" t="str">
        <x:v>bcfa144271bd10c17dc9c6f6a6f8819d8571bde3bb04884a7368ce6d62b186b3</x:v>
      </x:c>
      <x:c r="O242" s="43" t="n">
        <x:v>10000</x:v>
      </x:c>
      <x:c r="P242" s="43" t="n">
        <x:v>400000</x:v>
      </x:c>
      <x:c r="Q242" s="36" t="n">
        <x:v>8</x:v>
      </x:c>
      <x:c r="R242" s="42" t="n">
        <x:v>95</x:v>
      </x:c>
      <x:c r="S242" s="43" t="n">
        <x:v>512</x:v>
      </x:c>
      <x:c r="T242" s="43" t="n">
        <x:v>50000</x:v>
      </x:c>
      <x:c r="U242" s="46" t="n">
        <x:v>3</x:v>
      </x:c>
      <x:c r="V242" s="46" t="n">
        <x:v>5</x:v>
      </x:c>
      <x:c r="W242" s="43" t="n">
        <x:v>300</x:v>
      </x:c>
      <x:c r="X242" s="34" t="str">
        <x:v>uniform</x:v>
      </x:c>
      <x:c r="Y242" s="42" t="n">
        <x:v>10</x:v>
      </x:c>
      <x:c r="Z242" s="34" t="str">
        <x:v>strict</x:v>
      </x:c>
      <x:c r="AA242" s="36" t="n">
        <x:v>64</x:v>
      </x:c>
      <x:c r="AB242" s="43" t="n">
        <x:v>8926720</x:v>
      </x:c>
      <x:c r="AC242" s="43" t="n">
        <x:v>3000688414</x:v>
      </x:c>
      <x:c r="AD242" s="43" t="n">
        <x:v>688414</x:v>
      </x:c>
      <x:c r="AE242" s="43" t="n">
        <x:v>3347124.6024034363</x:v>
      </x:c>
      <x:c r="AF242" s="43" t="n">
        <x:v>3094517.2834240356</x:v>
      </x:c>
      <x:c r="AG242" s="43" t="n">
        <x:v>15475200</x:v>
      </x:c>
      <x:c r="AH242" s="43" t="n">
        <x:v>5000844585</x:v>
      </x:c>
      <x:c r="AI242" s="43" t="n">
        <x:v>844585</x:v>
      </x:c>
      <x:c r="AJ242" s="43" t="n">
        <x:v>3094517.2834240356</x:v>
      </x:c>
      <x:c r="AK242" s="43" t="n">
        <x:v>15475200</x:v>
      </x:c>
      <x:c r="AL242" s="43" t="n">
        <x:v>0</x:v>
      </x:c>
      <x:c r="AM242" s="43" t="n">
        <x:v>490280.8681815169</x:v>
      </x:c>
      <x:c r="AN242" s="43" t="n">
        <x:v>270</x:v>
      </x:c>
      <x:c r="AO242" s="43" t="n">
        <x:v>781</x:v>
      </x:c>
      <x:c r="AP242" s="43" t="n">
        <x:v>188296</x:v>
      </x:c>
      <x:c r="AQ242" s="43" t="n">
        <x:v>241800</x:v>
      </x:c>
      <x:c r="AR242" s="43" t="n">
        <x:v>1</x:v>
      </x:c>
      <x:c r="AS242" s="45" t="b">
        <x:v>1</x:v>
      </x:c>
      <x:c r="AT242" s="43" t="n">
        <x:v>10000</x:v>
      </x:c>
      <x:c r="AU242" s="48" t="n">
        <x:v>0.9502992529983457</x:v>
      </x:c>
      <x:c r="AV242" s="43" t="n">
        <x:v>10000</x:v>
      </x:c>
      <x:c r="AW242" s="48" t="n">
        <x:v>0.9502992529983457</x:v>
      </x:c>
      <x:c r="AX242" s="45" t="b">
        <x:v>1</x:v>
      </x:c>
      <x:c r="AY242" s="44" t="str">
        <x:v>{"provider":"jcs321","currentEntries":10000,"requestCount":15475200,"hitCount":14706071,"missCount":769129,"hitRate":0.9502992529983457,"loadSuccessCount":0,"loadFailureCount":0,"totalLoadTimeNanos":0,"evictionCount":-1,"expirationCount":-1,"putCount":10000,"removeCount":0,"nativeMetrics":{"HitCountRam":14706071,"Composite.HitCountRam":14706071,"HitCountAux":0,"Composite.HitCountAux":0,"Put Count":10000,"Memory Cache.Put Count":10000,"Hit Count":14706071,"Memory Cache.Hit Count":14706071,"Miss Count":769129,"Memory Cache.Miss Count":769129,"Map Size":10000,"Memory Cache.Map Size":10000,"List Size":10000,"Memory Cache.List Size":10000}}</x:v>
      </x:c>
      <x:c r="AZ242" s="44" t="str">
        <x:v>{"provider":"jcs321","currentEntries":10000,"requestCount":15475200,"hitCount":14706071,"missCount":769129,"hitRate":0.9502992529983457,"loadSuccessCount":0,"loadFailureCount":0,"totalLoadTimeNanos":0,"evictionCount":-1,"expirationCount":-1,"putCount":15000,"removeCount":0,"nativeMetrics":{"HitCountRam":14706071,"Composite.HitCountRam":14706071,"HitCountAux":0,"Composite.HitCountAux":0,"Put Count":15000,"Memory Cache.Put Count":15000,"Hit Count":14706071,"Memory Cache.Hit Count":14706071,"Miss Count":769129,"Memory Cache.Miss Count":769129,"Map Size":10000,"Memory Cache.Map Size":10000,"List Size":10000,"Memory Cache.List Size":10000}}</x:v>
      </x:c>
      <x:c r="BA242" s="43" t="n">
        <x:v>10000</x:v>
      </x:c>
      <x:c r="BB242" s="43" t="n">
        <x:v>15475200</x:v>
      </x:c>
      <x:c r="BC242" s="43" t="n">
        <x:v>14706071</x:v>
      </x:c>
      <x:c r="BD242" s="43" t="n">
        <x:v>769129</x:v>
      </x:c>
      <x:c r="BE242" s="48" t="n">
        <x:v>0.9502992529983457</x:v>
      </x:c>
      <x:c r="BF242" s="43" t="n">
        <x:v>0</x:v>
      </x:c>
      <x:c r="BG242" s="43" t="n">
        <x:v>0</x:v>
      </x:c>
      <x:c r="BH242" s="43" t="n">
        <x:v>0</x:v>
      </x:c>
      <x:c r="BI242" s="43" t="n">
        <x:v>-1</x:v>
      </x:c>
      <x:c r="BJ242" s="43" t="n">
        <x:v>-1</x:v>
      </x:c>
      <x:c r="BK242" s="43" t="n">
        <x:v>15000</x:v>
      </x:c>
      <x:c r="BL242" s="43" t="n">
        <x:v>0</x:v>
      </x:c>
      <x:c r="BM242" s="44" t="str">
        <x:v>{"HitCountRam":14706071,"Composite.HitCountRam":14706071,"HitCountAux":0,"Composite.HitCountAux":0,"Put Count":15000,"Memory Cache.Put Count":15000,"Hit Count":14706071,"Memory Cache.Hit Count":14706071,"Miss Count":769129,"Memory Cache.Miss Count":769129,"Map Size":10000,"Memory Cache.Map Size":10000,"List Size":10000,"Memory Cache.List Size":10000}</x:v>
      </x:c>
    </x:row>
    <x:row r="243">
      <x:c r="A243" s="34" t="str">
        <x:v>article1-unified-v4-2-fb3f101b-20260903-000401-default-f05-p1-jcs321</x:v>
      </x:c>
      <x:c r="B243" s="34" t="str">
        <x:v>default</x:v>
      </x:c>
      <x:c r="C243" s="34" t="str">
        <x:v>jcs321</x:v>
      </x:c>
      <x:c r="D243" s="34" t="str">
        <x:v>jcs321</x:v>
      </x:c>
      <x:c r="E243" s="34" t="str">
        <x:v>JCS-248-positive-control</x:v>
      </x:c>
      <x:c r="F243" s="36" t="n">
        <x:v>5</x:v>
      </x:c>
      <x:c r="G243" s="36" t="n">
        <x:v>5</x:v>
      </x:c>
      <x:c r="H243" s="36" t="n">
        <x:v>1</x:v>
      </x:c>
      <x:c r="I243" s="36" t="n">
        <x:v>1</x:v>
      </x:c>
      <x:c r="J243" s="34" t="str">
        <x:v>redeploy</x:v>
      </x:c>
      <x:c r="K243" s="34" t="str">
        <x:v>cache-semantics</x:v>
      </x:c>
      <x:c r="L243" s="45" t="b">
        <x:v>0</x:v>
      </x:c>
      <x:c r="M243" s="36" t="n">
        <x:v>648580617</x:v>
      </x:c>
      <x:c r="N243" s="34" t="str">
        <x:v>bcfa144271bd10c17dc9c6f6a6f8819d8571bde3bb04884a7368ce6d62b186b3</x:v>
      </x:c>
      <x:c r="O243" s="43" t="n">
        <x:v>10000</x:v>
      </x:c>
      <x:c r="P243" s="43" t="n">
        <x:v>400000</x:v>
      </x:c>
      <x:c r="Q243" s="36" t="n">
        <x:v>8</x:v>
      </x:c>
      <x:c r="R243" s="42" t="n">
        <x:v>95</x:v>
      </x:c>
      <x:c r="S243" s="43" t="n">
        <x:v>512</x:v>
      </x:c>
      <x:c r="T243" s="43" t="n">
        <x:v>50000</x:v>
      </x:c>
      <x:c r="U243" s="46" t="n">
        <x:v>3</x:v>
      </x:c>
      <x:c r="V243" s="46" t="n">
        <x:v>5</x:v>
      </x:c>
      <x:c r="W243" s="43" t="n">
        <x:v>300</x:v>
      </x:c>
      <x:c r="X243" s="34" t="str">
        <x:v>uniform</x:v>
      </x:c>
      <x:c r="Y243" s="42" t="n">
        <x:v>10</x:v>
      </x:c>
      <x:c r="Z243" s="34" t="str">
        <x:v>strict</x:v>
      </x:c>
      <x:c r="AA243" s="36" t="n">
        <x:v>64</x:v>
      </x:c>
      <x:c r="AB243" s="43" t="n">
        <x:v>7125248</x:v>
      </x:c>
      <x:c r="AC243" s="43" t="n">
        <x:v>3000414472</x:v>
      </x:c>
      <x:c r="AD243" s="43" t="n">
        <x:v>414472</x:v>
      </x:c>
      <x:c r="AE243" s="43" t="n">
        <x:v>2742385.013853158</x:v>
      </x:c>
      <x:c r="AF243" s="43" t="n">
        <x:v>2168123.3626200845</x:v>
      </x:c>
      <x:c r="AG243" s="43" t="n">
        <x:v>10842880</x:v>
      </x:c>
      <x:c r="AH243" s="43" t="n">
        <x:v>5001043846</x:v>
      </x:c>
      <x:c r="AI243" s="43" t="n">
        <x:v>1043846</x:v>
      </x:c>
      <x:c r="AJ243" s="43" t="n">
        <x:v>2168123.3626200845</x:v>
      </x:c>
      <x:c r="AK243" s="43" t="n">
        <x:v>10842880</x:v>
      </x:c>
      <x:c r="AL243" s="43" t="n">
        <x:v>0</x:v>
      </x:c>
      <x:c r="AM243" s="43" t="n">
        <x:v>481510.8500765891</x:v>
      </x:c>
      <x:c r="AN243" s="43" t="n">
        <x:v>471</x:v>
      </x:c>
      <x:c r="AO243" s="43" t="n">
        <x:v>1142</x:v>
      </x:c>
      <x:c r="AP243" s="43" t="n">
        <x:v>214236</x:v>
      </x:c>
      <x:c r="AQ243" s="43" t="n">
        <x:v>169420</x:v>
      </x:c>
      <x:c r="AR243" s="43" t="n">
        <x:v>1</x:v>
      </x:c>
      <x:c r="AS243" s="45" t="b">
        <x:v>1</x:v>
      </x:c>
      <x:c r="AT243" s="43" t="n">
        <x:v>10000</x:v>
      </x:c>
      <x:c r="AU243" s="48" t="n">
        <x:v>0.9503189189588006</x:v>
      </x:c>
      <x:c r="AV243" s="43" t="n">
        <x:v>10000</x:v>
      </x:c>
      <x:c r="AW243" s="48" t="n">
        <x:v>0.9503189189588006</x:v>
      </x:c>
      <x:c r="AX243" s="45" t="b">
        <x:v>1</x:v>
      </x:c>
      <x:c r="AY243" s="44" t="str">
        <x:v>{"provider":"jcs321","currentEntries":10000,"requestCount":10842880,"hitCount":10304194,"missCount":538686,"hitRate":0.9503189189588006,"loadSuccessCount":0,"loadFailureCount":0,"totalLoadTimeNanos":0,"evictionCount":-1,"expirationCount":-1,"putCount":10000,"removeCount":0,"nativeMetrics":{"HitCountRam":10304194,"Composite.HitCountRam":10304194,"HitCountAux":0,"Composite.HitCountAux":0,"Put Count":10000,"Memory Cache.Put Count":10000,"Hit Count":10304194,"Memory Cache.Hit Count":10304194,"Miss Count":538686,"Memory Cache.Miss Count":538686,"Map Size":10000,"Memory Cache.Map Size":10000,"List Size":10000,"Memory Cache.List Size":10000}}</x:v>
      </x:c>
      <x:c r="AZ243" s="44" t="str">
        <x:v>{"provider":"jcs321","currentEntries":10000,"requestCount":10842880,"hitCount":10304194,"missCount":538686,"hitRate":0.9503189189588006,"loadSuccessCount":0,"loadFailureCount":0,"totalLoadTimeNanos":0,"evictionCount":-1,"expirationCount":-1,"putCount":15000,"removeCount":0,"nativeMetrics":{"HitCountRam":10304194,"Composite.HitCountRam":10304194,"HitCountAux":0,"Composite.HitCountAux":0,"Put Count":15000,"Memory Cache.Put Count":15000,"Hit Count":10304194,"Memory Cache.Hit Count":10304194,"Miss Count":538686,"Memory Cache.Miss Count":538686,"Map Size":10000,"Memory Cache.Map Size":10000,"List Size":10000,"Memory Cache.List Size":10000}}</x:v>
      </x:c>
      <x:c r="BA243" s="43" t="n">
        <x:v>10000</x:v>
      </x:c>
      <x:c r="BB243" s="43" t="n">
        <x:v>10842880</x:v>
      </x:c>
      <x:c r="BC243" s="43" t="n">
        <x:v>10304194</x:v>
      </x:c>
      <x:c r="BD243" s="43" t="n">
        <x:v>538686</x:v>
      </x:c>
      <x:c r="BE243" s="48" t="n">
        <x:v>0.9503189189588006</x:v>
      </x:c>
      <x:c r="BF243" s="43" t="n">
        <x:v>0</x:v>
      </x:c>
      <x:c r="BG243" s="43" t="n">
        <x:v>0</x:v>
      </x:c>
      <x:c r="BH243" s="43" t="n">
        <x:v>0</x:v>
      </x:c>
      <x:c r="BI243" s="43" t="n">
        <x:v>-1</x:v>
      </x:c>
      <x:c r="BJ243" s="43" t="n">
        <x:v>-1</x:v>
      </x:c>
      <x:c r="BK243" s="43" t="n">
        <x:v>15000</x:v>
      </x:c>
      <x:c r="BL243" s="43" t="n">
        <x:v>0</x:v>
      </x:c>
      <x:c r="BM243" s="44" t="str">
        <x:v>{"HitCountRam":10304194,"Composite.HitCountRam":10304194,"HitCountAux":0,"Composite.HitCountAux":0,"Put Count":15000,"Memory Cache.Put Count":15000,"Hit Count":10304194,"Memory Cache.Hit Count":10304194,"Miss Count":538686,"Memory Cache.Miss Count":538686,"Map Size":10000,"Memory Cache.Map Size":10000,"List Size":10000,"Memory Cache.List Size":10000}</x:v>
      </x:c>
    </x:row>
    <x:row r="244">
      <x:c r="A244" s="34" t="str">
        <x:v>article1-unified-v4-2-fb3f101b-20260903-000401-default-f05-p1-jcs321</x:v>
      </x:c>
      <x:c r="B244" s="34" t="str">
        <x:v>default</x:v>
      </x:c>
      <x:c r="C244" s="34" t="str">
        <x:v>jcs321</x:v>
      </x:c>
      <x:c r="D244" s="34" t="str">
        <x:v>jcs321</x:v>
      </x:c>
      <x:c r="E244" s="34" t="str">
        <x:v>JCS-248-positive-control</x:v>
      </x:c>
      <x:c r="F244" s="36" t="n">
        <x:v>5</x:v>
      </x:c>
      <x:c r="G244" s="36" t="n">
        <x:v>5</x:v>
      </x:c>
      <x:c r="H244" s="36" t="n">
        <x:v>1</x:v>
      </x:c>
      <x:c r="I244" s="36" t="n">
        <x:v>2</x:v>
      </x:c>
      <x:c r="J244" s="34" t="str">
        <x:v>initial</x:v>
      </x:c>
      <x:c r="K244" s="34" t="str">
        <x:v>cache-semantics</x:v>
      </x:c>
      <x:c r="L244" s="45" t="b">
        <x:v>0</x:v>
      </x:c>
      <x:c r="M244" s="36" t="n">
        <x:v>681442610</x:v>
      </x:c>
      <x:c r="N244" s="34" t="str">
        <x:v>6004b5d35d3f44ddcdd5f00ff160f8c46199fad46729e7e512a45aa23375c89b</x:v>
      </x:c>
      <x:c r="O244" s="43" t="n">
        <x:v>10000</x:v>
      </x:c>
      <x:c r="P244" s="43" t="n">
        <x:v>400000</x:v>
      </x:c>
      <x:c r="Q244" s="36" t="n">
        <x:v>8</x:v>
      </x:c>
      <x:c r="R244" s="42" t="n">
        <x:v>95</x:v>
      </x:c>
      <x:c r="S244" s="43" t="n">
        <x:v>512</x:v>
      </x:c>
      <x:c r="T244" s="43" t="n">
        <x:v>50000</x:v>
      </x:c>
      <x:c r="U244" s="46" t="n">
        <x:v>3</x:v>
      </x:c>
      <x:c r="V244" s="46" t="n">
        <x:v>5</x:v>
      </x:c>
      <x:c r="W244" s="43" t="n">
        <x:v>300</x:v>
      </x:c>
      <x:c r="X244" s="34" t="str">
        <x:v>uniform</x:v>
      </x:c>
      <x:c r="Y244" s="42" t="n">
        <x:v>10</x:v>
      </x:c>
      <x:c r="Z244" s="34" t="str">
        <x:v>strict</x:v>
      </x:c>
      <x:c r="AA244" s="36" t="n">
        <x:v>64</x:v>
      </x:c>
      <x:c r="AB244" s="43" t="n">
        <x:v>7755520</x:v>
      </x:c>
      <x:c r="AC244" s="43" t="n">
        <x:v>3000621582</x:v>
      </x:c>
      <x:c r="AD244" s="43" t="n">
        <x:v>621582</x:v>
      </x:c>
      <x:c r="AE244" s="43" t="n">
        <x:v>3676488.1596860574</x:v>
      </x:c>
      <x:c r="AF244" s="43" t="n">
        <x:v>2959560.9822909385</x:v>
      </x:c>
      <x:c r="AG244" s="43" t="n">
        <x:v>14799616</x:v>
      </x:c>
      <x:c r="AH244" s="43" t="n">
        <x:v>5000611945</x:v>
      </x:c>
      <x:c r="AI244" s="43" t="n">
        <x:v>611945</x:v>
      </x:c>
      <x:c r="AJ244" s="43" t="n">
        <x:v>2959560.9822909385</x:v>
      </x:c>
      <x:c r="AK244" s="43" t="n">
        <x:v>14799616</x:v>
      </x:c>
      <x:c r="AL244" s="43" t="n">
        <x:v>0</x:v>
      </x:c>
      <x:c r="AM244" s="43" t="n">
        <x:v>563393.6761764139</x:v>
      </x:c>
      <x:c r="AN244" s="43" t="n">
        <x:v>300</x:v>
      </x:c>
      <x:c r="AO244" s="43" t="n">
        <x:v>821</x:v>
      </x:c>
      <x:c r="AP244" s="43" t="n">
        <x:v>197543</x:v>
      </x:c>
      <x:c r="AQ244" s="43" t="n">
        <x:v>231244</x:v>
      </x:c>
      <x:c r="AR244" s="43" t="n">
        <x:v>1</x:v>
      </x:c>
      <x:c r="AS244" s="45" t="b">
        <x:v>1</x:v>
      </x:c>
      <x:c r="AT244" s="43" t="n">
        <x:v>10000</x:v>
      </x:c>
      <x:c r="AU244" s="48" t="n">
        <x:v>0.9504098619856083</x:v>
      </x:c>
      <x:c r="AV244" s="43" t="n">
        <x:v>10000</x:v>
      </x:c>
      <x:c r="AW244" s="48" t="n">
        <x:v>0.9504098619856083</x:v>
      </x:c>
      <x:c r="AX244" s="45" t="b">
        <x:v>1</x:v>
      </x:c>
      <x:c r="AY244" s="44" t="str">
        <x:v>{"provider":"jcs321","currentEntries":10000,"requestCount":14799616,"hitCount":14065701,"missCount":733915,"hitRate":0.9504098619856083,"loadSuccessCount":0,"loadFailureCount":0,"totalLoadTimeNanos":0,"evictionCount":-1,"expirationCount":-1,"putCount":10000,"removeCount":0,"nativeMetrics":{"HitCountRam":14065701,"Composite.HitCountRam":14065701,"HitCountAux":0,"Composite.HitCountAux":0,"Put Count":10000,"Memory Cache.Put Count":10000,"Hit Count":14065701,"Memory Cache.Hit Count":14065701,"Miss Count":733915,"Memory Cache.Miss Count":733915,"Map Size":10000,"Memory Cache.Map Size":10000,"List Size":10000,"Memory Cache.List Size":10000}}</x:v>
      </x:c>
      <x:c r="AZ244" s="44" t="str">
        <x:v>{"provider":"jcs321","currentEntries":10000,"requestCount":14799616,"hitCount":14065701,"missCount":733915,"hitRate":0.9504098619856083,"loadSuccessCount":0,"loadFailureCount":0,"totalLoadTimeNanos":0,"evictionCount":-1,"expirationCount":-1,"putCount":15000,"removeCount":0,"nativeMetrics":{"HitCountRam":14065701,"Composite.HitCountRam":14065701,"HitCountAux":0,"Composite.HitCountAux":0,"Put Count":15000,"Memory Cache.Put Count":15000,"Hit Count":14065701,"Memory Cache.Hit Count":14065701,"Miss Count":733915,"Memory Cache.Miss Count":733915,"Map Size":10000,"Memory Cache.Map Size":10000,"List Size":10000,"Memory Cache.List Size":10000}}</x:v>
      </x:c>
      <x:c r="BA244" s="43" t="n">
        <x:v>10000</x:v>
      </x:c>
      <x:c r="BB244" s="43" t="n">
        <x:v>14799616</x:v>
      </x:c>
      <x:c r="BC244" s="43" t="n">
        <x:v>14065701</x:v>
      </x:c>
      <x:c r="BD244" s="43" t="n">
        <x:v>733915</x:v>
      </x:c>
      <x:c r="BE244" s="48" t="n">
        <x:v>0.9504098619856083</x:v>
      </x:c>
      <x:c r="BF244" s="43" t="n">
        <x:v>0</x:v>
      </x:c>
      <x:c r="BG244" s="43" t="n">
        <x:v>0</x:v>
      </x:c>
      <x:c r="BH244" s="43" t="n">
        <x:v>0</x:v>
      </x:c>
      <x:c r="BI244" s="43" t="n">
        <x:v>-1</x:v>
      </x:c>
      <x:c r="BJ244" s="43" t="n">
        <x:v>-1</x:v>
      </x:c>
      <x:c r="BK244" s="43" t="n">
        <x:v>15000</x:v>
      </x:c>
      <x:c r="BL244" s="43" t="n">
        <x:v>0</x:v>
      </x:c>
      <x:c r="BM244" s="44" t="str">
        <x:v>{"HitCountRam":14065701,"Composite.HitCountRam":14065701,"HitCountAux":0,"Composite.HitCountAux":0,"Put Count":15000,"Memory Cache.Put Count":15000,"Hit Count":14065701,"Memory Cache.Hit Count":14065701,"Miss Count":733915,"Memory Cache.Miss Count":733915,"Map Size":10000,"Memory Cache.Map Size":10000,"List Size":10000,"Memory Cache.List Size":10000}</x:v>
      </x:c>
    </x:row>
    <x:row r="245">
      <x:c r="A245" s="34" t="str">
        <x:v>article1-unified-v4-2-fb3f101b-20260903-000401-default-f05-p1-jcs321</x:v>
      </x:c>
      <x:c r="B245" s="34" t="str">
        <x:v>default</x:v>
      </x:c>
      <x:c r="C245" s="34" t="str">
        <x:v>jcs321</x:v>
      </x:c>
      <x:c r="D245" s="34" t="str">
        <x:v>jcs321</x:v>
      </x:c>
      <x:c r="E245" s="34" t="str">
        <x:v>JCS-248-positive-control</x:v>
      </x:c>
      <x:c r="F245" s="36" t="n">
        <x:v>5</x:v>
      </x:c>
      <x:c r="G245" s="36" t="n">
        <x:v>5</x:v>
      </x:c>
      <x:c r="H245" s="36" t="n">
        <x:v>1</x:v>
      </x:c>
      <x:c r="I245" s="36" t="n">
        <x:v>2</x:v>
      </x:c>
      <x:c r="J245" s="34" t="str">
        <x:v>redeploy</x:v>
      </x:c>
      <x:c r="K245" s="34" t="str">
        <x:v>cache-semantics</x:v>
      </x:c>
      <x:c r="L245" s="45" t="b">
        <x:v>0</x:v>
      </x:c>
      <x:c r="M245" s="36" t="n">
        <x:v>681442610</x:v>
      </x:c>
      <x:c r="N245" s="34" t="str">
        <x:v>6004b5d35d3f44ddcdd5f00ff160f8c46199fad46729e7e512a45aa23375c89b</x:v>
      </x:c>
      <x:c r="O245" s="43" t="n">
        <x:v>10000</x:v>
      </x:c>
      <x:c r="P245" s="43" t="n">
        <x:v>400000</x:v>
      </x:c>
      <x:c r="Q245" s="36" t="n">
        <x:v>8</x:v>
      </x:c>
      <x:c r="R245" s="42" t="n">
        <x:v>95</x:v>
      </x:c>
      <x:c r="S245" s="43" t="n">
        <x:v>512</x:v>
      </x:c>
      <x:c r="T245" s="43" t="n">
        <x:v>50000</x:v>
      </x:c>
      <x:c r="U245" s="46" t="n">
        <x:v>3</x:v>
      </x:c>
      <x:c r="V245" s="46" t="n">
        <x:v>5</x:v>
      </x:c>
      <x:c r="W245" s="43" t="n">
        <x:v>300</x:v>
      </x:c>
      <x:c r="X245" s="34" t="str">
        <x:v>uniform</x:v>
      </x:c>
      <x:c r="Y245" s="42" t="n">
        <x:v>10</x:v>
      </x:c>
      <x:c r="Z245" s="34" t="str">
        <x:v>strict</x:v>
      </x:c>
      <x:c r="AA245" s="36" t="n">
        <x:v>64</x:v>
      </x:c>
      <x:c r="AB245" s="43" t="n">
        <x:v>7864576</x:v>
      </x:c>
      <x:c r="AC245" s="43" t="n">
        <x:v>3000687087</x:v>
      </x:c>
      <x:c r="AD245" s="43" t="n">
        <x:v>687087</x:v>
      </x:c>
      <x:c r="AE245" s="43" t="n">
        <x:v>3353013.285979844</x:v>
      </x:c>
      <x:c r="AF245" s="43" t="n">
        <x:v>3036131.3651134255</x:v>
      </x:c>
      <x:c r="AG245" s="43" t="n">
        <x:v>15182080</x:v>
      </x:c>
      <x:c r="AH245" s="43" t="n">
        <x:v>5000468746</x:v>
      </x:c>
      <x:c r="AI245" s="43" t="n">
        <x:v>468746</x:v>
      </x:c>
      <x:c r="AJ245" s="43" t="n">
        <x:v>3036131.3651134255</x:v>
      </x:c>
      <x:c r="AK245" s="43" t="n">
        <x:v>15182080</x:v>
      </x:c>
      <x:c r="AL245" s="43" t="n">
        <x:v>0</x:v>
      </x:c>
      <x:c r="AM245" s="43" t="n">
        <x:v>477826.8282944583</x:v>
      </x:c>
      <x:c r="AN245" s="43" t="n">
        <x:v>281</x:v>
      </x:c>
      <x:c r="AO245" s="43" t="n">
        <x:v>822</x:v>
      </x:c>
      <x:c r="AP245" s="43" t="n">
        <x:v>191681</x:v>
      </x:c>
      <x:c r="AQ245" s="43" t="n">
        <x:v>237220</x:v>
      </x:c>
      <x:c r="AR245" s="43" t="n">
        <x:v>1</x:v>
      </x:c>
      <x:c r="AS245" s="45" t="b">
        <x:v>1</x:v>
      </x:c>
      <x:c r="AT245" s="43" t="n">
        <x:v>10000</x:v>
      </x:c>
      <x:c r="AU245" s="48" t="n">
        <x:v>0.9504042924289688</x:v>
      </x:c>
      <x:c r="AV245" s="43" t="n">
        <x:v>10000</x:v>
      </x:c>
      <x:c r="AW245" s="48" t="n">
        <x:v>0.9504042924289688</x:v>
      </x:c>
      <x:c r="AX245" s="45" t="b">
        <x:v>1</x:v>
      </x:c>
      <x:c r="AY245" s="44" t="str">
        <x:v>{"provider":"jcs321","currentEntries":10000,"requestCount":15182080,"hitCount":14429114,"missCount":752966,"hitRate":0.9504042924289688,"loadSuccessCount":0,"loadFailureCount":0,"totalLoadTimeNanos":0,"evictionCount":-1,"expirationCount":-1,"putCount":10000,"removeCount":0,"nativeMetrics":{"HitCountRam":14429114,"Composite.HitCountRam":14429114,"HitCountAux":0,"Composite.HitCountAux":0,"Put Count":10000,"Memory Cache.Put Count":10000,"Hit Count":14429114,"Memory Cache.Hit Count":14429114,"Miss Count":752966,"Memory Cache.Miss Count":752966,"Map Size":10000,"Memory Cache.Map Size":10000,"List Size":10000,"Memory Cache.List Size":10000}}</x:v>
      </x:c>
      <x:c r="AZ245" s="44" t="str">
        <x:v>{"provider":"jcs321","currentEntries":10000,"requestCount":15182080,"hitCount":14429114,"missCount":752966,"hitRate":0.9504042924289688,"loadSuccessCount":0,"loadFailureCount":0,"totalLoadTimeNanos":0,"evictionCount":-1,"expirationCount":-1,"putCount":15000,"removeCount":0,"nativeMetrics":{"HitCountRam":14429114,"Composite.HitCountRam":14429114,"HitCountAux":0,"Composite.HitCountAux":0,"Put Count":15000,"Memory Cache.Put Count":15000,"Hit Count":14429114,"Memory Cache.Hit Count":14429114,"Miss Count":752966,"Memory Cache.Miss Count":752966,"Map Size":10000,"Memory Cache.Map Size":10000,"List Size":10000,"Memory Cache.List Size":10000}}</x:v>
      </x:c>
      <x:c r="BA245" s="43" t="n">
        <x:v>10000</x:v>
      </x:c>
      <x:c r="BB245" s="43" t="n">
        <x:v>15182080</x:v>
      </x:c>
      <x:c r="BC245" s="43" t="n">
        <x:v>14429114</x:v>
      </x:c>
      <x:c r="BD245" s="43" t="n">
        <x:v>752966</x:v>
      </x:c>
      <x:c r="BE245" s="48" t="n">
        <x:v>0.9504042924289688</x:v>
      </x:c>
      <x:c r="BF245" s="43" t="n">
        <x:v>0</x:v>
      </x:c>
      <x:c r="BG245" s="43" t="n">
        <x:v>0</x:v>
      </x:c>
      <x:c r="BH245" s="43" t="n">
        <x:v>0</x:v>
      </x:c>
      <x:c r="BI245" s="43" t="n">
        <x:v>-1</x:v>
      </x:c>
      <x:c r="BJ245" s="43" t="n">
        <x:v>-1</x:v>
      </x:c>
      <x:c r="BK245" s="43" t="n">
        <x:v>15000</x:v>
      </x:c>
      <x:c r="BL245" s="43" t="n">
        <x:v>0</x:v>
      </x:c>
      <x:c r="BM245" s="44" t="str">
        <x:v>{"HitCountRam":14429114,"Composite.HitCountRam":14429114,"HitCountAux":0,"Composite.HitCountAux":0,"Put Count":15000,"Memory Cache.Put Count":15000,"Hit Count":14429114,"Memory Cache.Hit Count":14429114,"Miss Count":752966,"Memory Cache.Miss Count":752966,"Map Size":10000,"Memory Cache.Map Size":10000,"List Size":10000,"Memory Cache.List Size":10000}</x:v>
      </x:c>
    </x:row>
    <x:row r="246">
      <x:c r="A246" s="34" t="str">
        <x:v>article1-unified-v4-2-fb3f101b-20260903-000401-default-f05-p1-jcs321</x:v>
      </x:c>
      <x:c r="B246" s="34" t="str">
        <x:v>default</x:v>
      </x:c>
      <x:c r="C246" s="34" t="str">
        <x:v>jcs321</x:v>
      </x:c>
      <x:c r="D246" s="34" t="str">
        <x:v>jcs321</x:v>
      </x:c>
      <x:c r="E246" s="34" t="str">
        <x:v>JCS-248-positive-control</x:v>
      </x:c>
      <x:c r="F246" s="36" t="n">
        <x:v>5</x:v>
      </x:c>
      <x:c r="G246" s="36" t="n">
        <x:v>5</x:v>
      </x:c>
      <x:c r="H246" s="36" t="n">
        <x:v>1</x:v>
      </x:c>
      <x:c r="I246" s="36" t="n">
        <x:v>3</x:v>
      </x:c>
      <x:c r="J246" s="34" t="str">
        <x:v>initial</x:v>
      </x:c>
      <x:c r="K246" s="34" t="str">
        <x:v>cache-semantics</x:v>
      </x:c>
      <x:c r="L246" s="45" t="b">
        <x:v>0</x:v>
      </x:c>
      <x:c r="M246" s="36" t="n">
        <x:v>1680357415</x:v>
      </x:c>
      <x:c r="N246" s="34" t="str">
        <x:v>7fd56c55e07780880dfc2de7b34f4b776b7447364ab7153414be84b7c5d590b9</x:v>
      </x:c>
      <x:c r="O246" s="43" t="n">
        <x:v>10000</x:v>
      </x:c>
      <x:c r="P246" s="43" t="n">
        <x:v>400000</x:v>
      </x:c>
      <x:c r="Q246" s="36" t="n">
        <x:v>8</x:v>
      </x:c>
      <x:c r="R246" s="42" t="n">
        <x:v>95</x:v>
      </x:c>
      <x:c r="S246" s="43" t="n">
        <x:v>512</x:v>
      </x:c>
      <x:c r="T246" s="43" t="n">
        <x:v>50000</x:v>
      </x:c>
      <x:c r="U246" s="46" t="n">
        <x:v>3</x:v>
      </x:c>
      <x:c r="V246" s="46" t="n">
        <x:v>5</x:v>
      </x:c>
      <x:c r="W246" s="43" t="n">
        <x:v>300</x:v>
      </x:c>
      <x:c r="X246" s="34" t="str">
        <x:v>uniform</x:v>
      </x:c>
      <x:c r="Y246" s="42" t="n">
        <x:v>10</x:v>
      </x:c>
      <x:c r="Z246" s="34" t="str">
        <x:v>strict</x:v>
      </x:c>
      <x:c r="AA246" s="36" t="n">
        <x:v>64</x:v>
      </x:c>
      <x:c r="AB246" s="43" t="n">
        <x:v>6861824</x:v>
      </x:c>
      <x:c r="AC246" s="43" t="n">
        <x:v>3000728905</x:v>
      </x:c>
      <x:c r="AD246" s="43" t="n">
        <x:v>728905</x:v>
      </x:c>
      <x:c r="AE246" s="43" t="n">
        <x:v>3617035.513863193</x:v>
      </x:c>
      <x:c r="AF246" s="43" t="n">
        <x:v>2332690.1983459466</x:v>
      </x:c>
      <x:c r="AG246" s="43" t="n">
        <x:v>11664896</x:v>
      </x:c>
      <x:c r="AH246" s="43" t="n">
        <x:v>5000619460</x:v>
      </x:c>
      <x:c r="AI246" s="43" t="n">
        <x:v>619460</x:v>
      </x:c>
      <x:c r="AJ246" s="43" t="n">
        <x:v>2332690.1983459466</x:v>
      </x:c>
      <x:c r="AK246" s="43" t="n">
        <x:v>11664896</x:v>
      </x:c>
      <x:c r="AL246" s="43" t="n">
        <x:v>0</x:v>
      </x:c>
      <x:c r="AM246" s="43" t="n">
        <x:v>602473.8056438782</x:v>
      </x:c>
      <x:c r="AN246" s="43" t="n">
        <x:v>411</x:v>
      </x:c>
      <x:c r="AO246" s="43" t="n">
        <x:v>1042</x:v>
      </x:c>
      <x:c r="AP246" s="43" t="n">
        <x:v>209757</x:v>
      </x:c>
      <x:c r="AQ246" s="43" t="n">
        <x:v>182264</x:v>
      </x:c>
      <x:c r="AR246" s="43" t="n">
        <x:v>1</x:v>
      </x:c>
      <x:c r="AS246" s="45" t="b">
        <x:v>1</x:v>
      </x:c>
      <x:c r="AT246" s="43" t="n">
        <x:v>10000</x:v>
      </x:c>
      <x:c r="AU246" s="48" t="n">
        <x:v>0.9501793243591713</x:v>
      </x:c>
      <x:c r="AV246" s="43" t="n">
        <x:v>10000</x:v>
      </x:c>
      <x:c r="AW246" s="48" t="n">
        <x:v>0.9501793243591713</x:v>
      </x:c>
      <x:c r="AX246" s="45" t="b">
        <x:v>1</x:v>
      </x:c>
      <x:c r="AY246" s="44" t="str">
        <x:v>{"provider":"jcs321","currentEntries":10000,"requestCount":11664896,"hitCount":11083743,"missCount":581153,"hitRate":0.9501793243591713,"loadSuccessCount":0,"loadFailureCount":0,"totalLoadTimeNanos":0,"evictionCount":-1,"expirationCount":-1,"putCount":10000,"removeCount":0,"nativeMetrics":{"HitCountRam":11083743,"Composite.HitCountRam":11083743,"HitCountAux":0,"Composite.HitCountAux":0,"Put Count":10000,"Memory Cache.Put Count":10000,"Hit Count":11083743,"Memory Cache.Hit Count":11083743,"Miss Count":581153,"Memory Cache.Miss Count":581153,"Map Size":10000,"Memory Cache.Map Size":10000,"List Size":10000,"Memory Cache.List Size":10000}}</x:v>
      </x:c>
      <x:c r="AZ246" s="44" t="str">
        <x:v>{"provider":"jcs321","currentEntries":10000,"requestCount":11664896,"hitCount":11083743,"missCount":581153,"hitRate":0.9501793243591713,"loadSuccessCount":0,"loadFailureCount":0,"totalLoadTimeNanos":0,"evictionCount":-1,"expirationCount":-1,"putCount":15000,"removeCount":0,"nativeMetrics":{"HitCountRam":11083743,"Composite.HitCountRam":11083743,"HitCountAux":0,"Composite.HitCountAux":0,"Put Count":15000,"Memory Cache.Put Count":15000,"Hit Count":11083743,"Memory Cache.Hit Count":11083743,"Miss Count":581153,"Memory Cache.Miss Count":581153,"Map Size":10000,"Memory Cache.Map Size":10000,"List Size":10000,"Memory Cache.List Size":10000}}</x:v>
      </x:c>
      <x:c r="BA246" s="43" t="n">
        <x:v>10000</x:v>
      </x:c>
      <x:c r="BB246" s="43" t="n">
        <x:v>11664896</x:v>
      </x:c>
      <x:c r="BC246" s="43" t="n">
        <x:v>11083743</x:v>
      </x:c>
      <x:c r="BD246" s="43" t="n">
        <x:v>581153</x:v>
      </x:c>
      <x:c r="BE246" s="48" t="n">
        <x:v>0.9501793243591713</x:v>
      </x:c>
      <x:c r="BF246" s="43" t="n">
        <x:v>0</x:v>
      </x:c>
      <x:c r="BG246" s="43" t="n">
        <x:v>0</x:v>
      </x:c>
      <x:c r="BH246" s="43" t="n">
        <x:v>0</x:v>
      </x:c>
      <x:c r="BI246" s="43" t="n">
        <x:v>-1</x:v>
      </x:c>
      <x:c r="BJ246" s="43" t="n">
        <x:v>-1</x:v>
      </x:c>
      <x:c r="BK246" s="43" t="n">
        <x:v>15000</x:v>
      </x:c>
      <x:c r="BL246" s="43" t="n">
        <x:v>0</x:v>
      </x:c>
      <x:c r="BM246" s="44" t="str">
        <x:v>{"HitCountRam":11083743,"Composite.HitCountRam":11083743,"HitCountAux":0,"Composite.HitCountAux":0,"Put Count":15000,"Memory Cache.Put Count":15000,"Hit Count":11083743,"Memory Cache.Hit Count":11083743,"Miss Count":581153,"Memory Cache.Miss Count":581153,"Map Size":10000,"Memory Cache.Map Size":10000,"List Size":10000,"Memory Cache.List Size":10000}</x:v>
      </x:c>
    </x:row>
    <x:row r="247">
      <x:c r="A247" s="34" t="str">
        <x:v>article1-unified-v4-2-fb3f101b-20260903-000401-default-f05-p1-jcs321</x:v>
      </x:c>
      <x:c r="B247" s="34" t="str">
        <x:v>default</x:v>
      </x:c>
      <x:c r="C247" s="34" t="str">
        <x:v>jcs321</x:v>
      </x:c>
      <x:c r="D247" s="34" t="str">
        <x:v>jcs321</x:v>
      </x:c>
      <x:c r="E247" s="34" t="str">
        <x:v>JCS-248-positive-control</x:v>
      </x:c>
      <x:c r="F247" s="36" t="n">
        <x:v>5</x:v>
      </x:c>
      <x:c r="G247" s="36" t="n">
        <x:v>5</x:v>
      </x:c>
      <x:c r="H247" s="36" t="n">
        <x:v>1</x:v>
      </x:c>
      <x:c r="I247" s="36" t="n">
        <x:v>3</x:v>
      </x:c>
      <x:c r="J247" s="34" t="str">
        <x:v>redeploy</x:v>
      </x:c>
      <x:c r="K247" s="34" t="str">
        <x:v>cache-semantics</x:v>
      </x:c>
      <x:c r="L247" s="45" t="b">
        <x:v>0</x:v>
      </x:c>
      <x:c r="M247" s="36" t="n">
        <x:v>1680357415</x:v>
      </x:c>
      <x:c r="N247" s="34" t="str">
        <x:v>7fd56c55e07780880dfc2de7b34f4b776b7447364ab7153414be84b7c5d590b9</x:v>
      </x:c>
      <x:c r="O247" s="43" t="n">
        <x:v>10000</x:v>
      </x:c>
      <x:c r="P247" s="43" t="n">
        <x:v>400000</x:v>
      </x:c>
      <x:c r="Q247" s="36" t="n">
        <x:v>8</x:v>
      </x:c>
      <x:c r="R247" s="42" t="n">
        <x:v>95</x:v>
      </x:c>
      <x:c r="S247" s="43" t="n">
        <x:v>512</x:v>
      </x:c>
      <x:c r="T247" s="43" t="n">
        <x:v>50000</x:v>
      </x:c>
      <x:c r="U247" s="46" t="n">
        <x:v>3</x:v>
      </x:c>
      <x:c r="V247" s="46" t="n">
        <x:v>5</x:v>
      </x:c>
      <x:c r="W247" s="43" t="n">
        <x:v>300</x:v>
      </x:c>
      <x:c r="X247" s="34" t="str">
        <x:v>uniform</x:v>
      </x:c>
      <x:c r="Y247" s="42" t="n">
        <x:v>10</x:v>
      </x:c>
      <x:c r="Z247" s="34" t="str">
        <x:v>strict</x:v>
      </x:c>
      <x:c r="AA247" s="36" t="n">
        <x:v>64</x:v>
      </x:c>
      <x:c r="AB247" s="43" t="n">
        <x:v>8542464</x:v>
      </x:c>
      <x:c r="AC247" s="43" t="n">
        <x:v>3000745273</x:v>
      </x:c>
      <x:c r="AD247" s="43" t="n">
        <x:v>745273</x:v>
      </x:c>
      <x:c r="AE247" s="43" t="n">
        <x:v>3356009.892174758</x:v>
      </x:c>
      <x:c r="AF247" s="43" t="n">
        <x:v>2960416.1850238997</x:v>
      </x:c>
      <x:c r="AG247" s="43" t="n">
        <x:v>14804224</x:v>
      </x:c>
      <x:c r="AH247" s="43" t="n">
        <x:v>5000723910</x:v>
      </x:c>
      <x:c r="AI247" s="43" t="n">
        <x:v>723910</x:v>
      </x:c>
      <x:c r="AJ247" s="43" t="n">
        <x:v>2960416.1850238997</x:v>
      </x:c>
      <x:c r="AK247" s="43" t="n">
        <x:v>14804224</x:v>
      </x:c>
      <x:c r="AL247" s="43" t="n">
        <x:v>0</x:v>
      </x:c>
      <x:c r="AM247" s="43" t="n">
        <x:v>529410.0519086556</x:v>
      </x:c>
      <x:c r="AN247" s="43" t="n">
        <x:v>300</x:v>
      </x:c>
      <x:c r="AO247" s="43" t="n">
        <x:v>851</x:v>
      </x:c>
      <x:c r="AP247" s="43" t="n">
        <x:v>193384</x:v>
      </x:c>
      <x:c r="AQ247" s="43" t="n">
        <x:v>231316</x:v>
      </x:c>
      <x:c r="AR247" s="43" t="n">
        <x:v>1</x:v>
      </x:c>
      <x:c r="AS247" s="45" t="b">
        <x:v>1</x:v>
      </x:c>
      <x:c r="AT247" s="43" t="n">
        <x:v>10000</x:v>
      </x:c>
      <x:c r="AU247" s="48" t="n">
        <x:v>0.9501931340676824</x:v>
      </x:c>
      <x:c r="AV247" s="43" t="n">
        <x:v>10000</x:v>
      </x:c>
      <x:c r="AW247" s="48" t="n">
        <x:v>0.9501931340676824</x:v>
      </x:c>
      <x:c r="AX247" s="45" t="b">
        <x:v>1</x:v>
      </x:c>
      <x:c r="AY247" s="44" t="str">
        <x:v>{"provider":"jcs321","currentEntries":10000,"requestCount":14804224,"hitCount":14066872,"missCount":737352,"hitRate":0.9501931340676824,"loadSuccessCount":0,"loadFailureCount":0,"totalLoadTimeNanos":0,"evictionCount":-1,"expirationCount":-1,"putCount":10000,"removeCount":0,"nativeMetrics":{"HitCountRam":14066872,"Composite.HitCountRam":14066872,"HitCountAux":0,"Composite.HitCountAux":0,"Put Count":10000,"Memory Cache.Put Count":10000,"Hit Count":14066872,"Memory Cache.Hit Count":14066872,"Miss Count":737352,"Memory Cache.Miss Count":737352,"Map Size":10000,"Memory Cache.Map Size":10000,"List Size":10000,"Memory Cache.List Size":10000}}</x:v>
      </x:c>
      <x:c r="AZ247" s="44" t="str">
        <x:v>{"provider":"jcs321","currentEntries":10000,"requestCount":14804224,"hitCount":14066872,"missCount":737352,"hitRate":0.9501931340676824,"loadSuccessCount":0,"loadFailureCount":0,"totalLoadTimeNanos":0,"evictionCount":-1,"expirationCount":-1,"putCount":15000,"removeCount":0,"nativeMetrics":{"HitCountRam":14066872,"Composite.HitCountRam":14066872,"HitCountAux":0,"Composite.HitCountAux":0,"Put Count":15000,"Memory Cache.Put Count":15000,"Hit Count":14066872,"Memory Cache.Hit Count":14066872,"Miss Count":737352,"Memory Cache.Miss Count":737352,"Map Size":10000,"Memory Cache.Map Size":10000,"List Size":10000,"Memory Cache.List Size":10000}}</x:v>
      </x:c>
      <x:c r="BA247" s="43" t="n">
        <x:v>10000</x:v>
      </x:c>
      <x:c r="BB247" s="43" t="n">
        <x:v>14804224</x:v>
      </x:c>
      <x:c r="BC247" s="43" t="n">
        <x:v>14066872</x:v>
      </x:c>
      <x:c r="BD247" s="43" t="n">
        <x:v>737352</x:v>
      </x:c>
      <x:c r="BE247" s="48" t="n">
        <x:v>0.9501931340676824</x:v>
      </x:c>
      <x:c r="BF247" s="43" t="n">
        <x:v>0</x:v>
      </x:c>
      <x:c r="BG247" s="43" t="n">
        <x:v>0</x:v>
      </x:c>
      <x:c r="BH247" s="43" t="n">
        <x:v>0</x:v>
      </x:c>
      <x:c r="BI247" s="43" t="n">
        <x:v>-1</x:v>
      </x:c>
      <x:c r="BJ247" s="43" t="n">
        <x:v>-1</x:v>
      </x:c>
      <x:c r="BK247" s="43" t="n">
        <x:v>15000</x:v>
      </x:c>
      <x:c r="BL247" s="43" t="n">
        <x:v>0</x:v>
      </x:c>
      <x:c r="BM247" s="44" t="str">
        <x:v>{"HitCountRam":14066872,"Composite.HitCountRam":14066872,"HitCountAux":0,"Composite.HitCountAux":0,"Put Count":15000,"Memory Cache.Put Count":15000,"Hit Count":14066872,"Memory Cache.Hit Count":14066872,"Miss Count":737352,"Memory Cache.Miss Count":737352,"Map Size":10000,"Memory Cache.Map Size":10000,"List Size":10000,"Memory Cache.List Size":10000}</x:v>
      </x:c>
    </x:row>
    <x:row r="248">
      <x:c r="A248" s="34" t="str">
        <x:v>article1-unified-v4-2-fb3f101b-20260903-000401-default-f05-p1-jcs321</x:v>
      </x:c>
      <x:c r="B248" s="34" t="str">
        <x:v>default</x:v>
      </x:c>
      <x:c r="C248" s="34" t="str">
        <x:v>jcs321</x:v>
      </x:c>
      <x:c r="D248" s="34" t="str">
        <x:v>jcs321</x:v>
      </x:c>
      <x:c r="E248" s="34" t="str">
        <x:v>JCS-248-positive-control</x:v>
      </x:c>
      <x:c r="F248" s="36" t="n">
        <x:v>5</x:v>
      </x:c>
      <x:c r="G248" s="36" t="n">
        <x:v>5</x:v>
      </x:c>
      <x:c r="H248" s="36" t="n">
        <x:v>1</x:v>
      </x:c>
      <x:c r="I248" s="36" t="n">
        <x:v>4</x:v>
      </x:c>
      <x:c r="J248" s="34" t="str">
        <x:v>initial</x:v>
      </x:c>
      <x:c r="K248" s="34" t="str">
        <x:v>cache-semantics</x:v>
      </x:c>
      <x:c r="L248" s="45" t="b">
        <x:v>0</x:v>
      </x:c>
      <x:c r="M248" s="36" t="n">
        <x:v>1131239936</x:v>
      </x:c>
      <x:c r="N248" s="34" t="str">
        <x:v>3a5209d570baf0beb6c3f6e9b35074a72fca123e15e1fa95c3b3bc779093a379</x:v>
      </x:c>
      <x:c r="O248" s="43" t="n">
        <x:v>10000</x:v>
      </x:c>
      <x:c r="P248" s="43" t="n">
        <x:v>400000</x:v>
      </x:c>
      <x:c r="Q248" s="36" t="n">
        <x:v>8</x:v>
      </x:c>
      <x:c r="R248" s="42" t="n">
        <x:v>95</x:v>
      </x:c>
      <x:c r="S248" s="43" t="n">
        <x:v>512</x:v>
      </x:c>
      <x:c r="T248" s="43" t="n">
        <x:v>50000</x:v>
      </x:c>
      <x:c r="U248" s="46" t="n">
        <x:v>3</x:v>
      </x:c>
      <x:c r="V248" s="46" t="n">
        <x:v>5</x:v>
      </x:c>
      <x:c r="W248" s="43" t="n">
        <x:v>300</x:v>
      </x:c>
      <x:c r="X248" s="34" t="str">
        <x:v>uniform</x:v>
      </x:c>
      <x:c r="Y248" s="42" t="n">
        <x:v>10</x:v>
      </x:c>
      <x:c r="Z248" s="34" t="str">
        <x:v>strict</x:v>
      </x:c>
      <x:c r="AA248" s="36" t="n">
        <x:v>64</x:v>
      </x:c>
      <x:c r="AB248" s="43" t="n">
        <x:v>8443904</x:v>
      </x:c>
      <x:c r="AC248" s="43" t="n">
        <x:v>3000777518</x:v>
      </x:c>
      <x:c r="AD248" s="43" t="n">
        <x:v>777518</x:v>
      </x:c>
      <x:c r="AE248" s="43" t="n">
        <x:v>3869545.247173007</x:v>
      </x:c>
      <x:c r="AF248" s="43" t="n">
        <x:v>2709606.2244476173</x:v>
      </x:c>
      <x:c r="AG248" s="43" t="n">
        <x:v>13550336</x:v>
      </x:c>
      <x:c r="AH248" s="43" t="n">
        <x:v>5000850632</x:v>
      </x:c>
      <x:c r="AI248" s="43" t="n">
        <x:v>850632</x:v>
      </x:c>
      <x:c r="AJ248" s="43" t="n">
        <x:v>2709606.2244476173</x:v>
      </x:c>
      <x:c r="AK248" s="43" t="n">
        <x:v>13550336</x:v>
      </x:c>
      <x:c r="AL248" s="43" t="n">
        <x:v>0</x:v>
      </x:c>
      <x:c r="AM248" s="43" t="n">
        <x:v>576373.5269333585</x:v>
      </x:c>
      <x:c r="AN248" s="43" t="n">
        <x:v>330</x:v>
      </x:c>
      <x:c r="AO248" s="43" t="n">
        <x:v>941</x:v>
      </x:c>
      <x:c r="AP248" s="43" t="n">
        <x:v>199897</x:v>
      </x:c>
      <x:c r="AQ248" s="43" t="n">
        <x:v>211724</x:v>
      </x:c>
      <x:c r="AR248" s="43" t="n">
        <x:v>1</x:v>
      </x:c>
      <x:c r="AS248" s="45" t="b">
        <x:v>1</x:v>
      </x:c>
      <x:c r="AT248" s="43" t="n">
        <x:v>10000</x:v>
      </x:c>
      <x:c r="AU248" s="48" t="n">
        <x:v>0.9505493443114621</x:v>
      </x:c>
      <x:c r="AV248" s="43" t="n">
        <x:v>10000</x:v>
      </x:c>
      <x:c r="AW248" s="48" t="n">
        <x:v>0.9505493443114621</x:v>
      </x:c>
      <x:c r="AX248" s="45" t="b">
        <x:v>1</x:v>
      </x:c>
      <x:c r="AY248" s="44" t="str">
        <x:v>{"provider":"jcs321","currentEntries":10000,"requestCount":13550336,"hitCount":12880263,"missCount":670073,"hitRate":0.9505493443114621,"loadSuccessCount":0,"loadFailureCount":0,"totalLoadTimeNanos":0,"evictionCount":-1,"expirationCount":-1,"putCount":10000,"removeCount":0,"nativeMetrics":{"HitCountRam":12880263,"Composite.HitCountRam":12880263,"HitCountAux":0,"Composite.HitCountAux":0,"Put Count":10000,"Memory Cache.Put Count":10000,"Hit Count":12880263,"Memory Cache.Hit Count":12880263,"Miss Count":670073,"Memory Cache.Miss Count":670073,"Map Size":10000,"Memory Cache.Map Size":10000,"List Size":10000,"Memory Cache.List Size":10000}}</x:v>
      </x:c>
      <x:c r="AZ248" s="44" t="str">
        <x:v>{"provider":"jcs321","currentEntries":10000,"requestCount":13550336,"hitCount":12880263,"missCount":670073,"hitRate":0.9505493443114621,"loadSuccessCount":0,"loadFailureCount":0,"totalLoadTimeNanos":0,"evictionCount":-1,"expirationCount":-1,"putCount":15000,"removeCount":0,"nativeMetrics":{"HitCountRam":12880263,"Composite.HitCountRam":12880263,"HitCountAux":0,"Composite.HitCountAux":0,"Put Count":15000,"Memory Cache.Put Count":15000,"Hit Count":12880263,"Memory Cache.Hit Count":12880263,"Miss Count":670073,"Memory Cache.Miss Count":670073,"Map Size":10000,"Memory Cache.Map Size":10000,"List Size":10000,"Memory Cache.List Size":10000}}</x:v>
      </x:c>
      <x:c r="BA248" s="43" t="n">
        <x:v>10000</x:v>
      </x:c>
      <x:c r="BB248" s="43" t="n">
        <x:v>13550336</x:v>
      </x:c>
      <x:c r="BC248" s="43" t="n">
        <x:v>12880263</x:v>
      </x:c>
      <x:c r="BD248" s="43" t="n">
        <x:v>670073</x:v>
      </x:c>
      <x:c r="BE248" s="48" t="n">
        <x:v>0.9505493443114621</x:v>
      </x:c>
      <x:c r="BF248" s="43" t="n">
        <x:v>0</x:v>
      </x:c>
      <x:c r="BG248" s="43" t="n">
        <x:v>0</x:v>
      </x:c>
      <x:c r="BH248" s="43" t="n">
        <x:v>0</x:v>
      </x:c>
      <x:c r="BI248" s="43" t="n">
        <x:v>-1</x:v>
      </x:c>
      <x:c r="BJ248" s="43" t="n">
        <x:v>-1</x:v>
      </x:c>
      <x:c r="BK248" s="43" t="n">
        <x:v>15000</x:v>
      </x:c>
      <x:c r="BL248" s="43" t="n">
        <x:v>0</x:v>
      </x:c>
      <x:c r="BM248" s="44" t="str">
        <x:v>{"HitCountRam":12880263,"Composite.HitCountRam":12880263,"HitCountAux":0,"Composite.HitCountAux":0,"Put Count":15000,"Memory Cache.Put Count":15000,"Hit Count":12880263,"Memory Cache.Hit Count":12880263,"Miss Count":670073,"Memory Cache.Miss Count":670073,"Map Size":10000,"Memory Cache.Map Size":10000,"List Size":10000,"Memory Cache.List Size":10000}</x:v>
      </x:c>
    </x:row>
    <x:row r="249">
      <x:c r="A249" s="34" t="str">
        <x:v>article1-unified-v4-2-fb3f101b-20260903-000401-default-f05-p1-jcs321</x:v>
      </x:c>
      <x:c r="B249" s="34" t="str">
        <x:v>default</x:v>
      </x:c>
      <x:c r="C249" s="34" t="str">
        <x:v>jcs321</x:v>
      </x:c>
      <x:c r="D249" s="34" t="str">
        <x:v>jcs321</x:v>
      </x:c>
      <x:c r="E249" s="34" t="str">
        <x:v>JCS-248-positive-control</x:v>
      </x:c>
      <x:c r="F249" s="36" t="n">
        <x:v>5</x:v>
      </x:c>
      <x:c r="G249" s="36" t="n">
        <x:v>5</x:v>
      </x:c>
      <x:c r="H249" s="36" t="n">
        <x:v>1</x:v>
      </x:c>
      <x:c r="I249" s="36" t="n">
        <x:v>4</x:v>
      </x:c>
      <x:c r="J249" s="34" t="str">
        <x:v>redeploy</x:v>
      </x:c>
      <x:c r="K249" s="34" t="str">
        <x:v>cache-semantics</x:v>
      </x:c>
      <x:c r="L249" s="45" t="b">
        <x:v>0</x:v>
      </x:c>
      <x:c r="M249" s="36" t="n">
        <x:v>1131239936</x:v>
      </x:c>
      <x:c r="N249" s="34" t="str">
        <x:v>3a5209d570baf0beb6c3f6e9b35074a72fca123e15e1fa95c3b3bc779093a379</x:v>
      </x:c>
      <x:c r="O249" s="43" t="n">
        <x:v>10000</x:v>
      </x:c>
      <x:c r="P249" s="43" t="n">
        <x:v>400000</x:v>
      </x:c>
      <x:c r="Q249" s="36" t="n">
        <x:v>8</x:v>
      </x:c>
      <x:c r="R249" s="42" t="n">
        <x:v>95</x:v>
      </x:c>
      <x:c r="S249" s="43" t="n">
        <x:v>512</x:v>
      </x:c>
      <x:c r="T249" s="43" t="n">
        <x:v>50000</x:v>
      </x:c>
      <x:c r="U249" s="46" t="n">
        <x:v>3</x:v>
      </x:c>
      <x:c r="V249" s="46" t="n">
        <x:v>5</x:v>
      </x:c>
      <x:c r="W249" s="43" t="n">
        <x:v>300</x:v>
      </x:c>
      <x:c r="X249" s="34" t="str">
        <x:v>uniform</x:v>
      </x:c>
      <x:c r="Y249" s="42" t="n">
        <x:v>10</x:v>
      </x:c>
      <x:c r="Z249" s="34" t="str">
        <x:v>strict</x:v>
      </x:c>
      <x:c r="AA249" s="36" t="n">
        <x:v>64</x:v>
      </x:c>
      <x:c r="AB249" s="43" t="n">
        <x:v>7534336</x:v>
      </x:c>
      <x:c r="AC249" s="43" t="n">
        <x:v>3000548778</x:v>
      </x:c>
      <x:c r="AD249" s="43" t="n">
        <x:v>548778</x:v>
      </x:c>
      <x:c r="AE249" s="43" t="n">
        <x:v>3431912.7388139376</x:v>
      </x:c>
      <x:c r="AF249" s="43" t="n">
        <x:v>3053694.83669981</x:v>
      </x:c>
      <x:c r="AG249" s="43" t="n">
        <x:v>15270912</x:v>
      </x:c>
      <x:c r="AH249" s="43" t="n">
        <x:v>5000798317</x:v>
      </x:c>
      <x:c r="AI249" s="43" t="n">
        <x:v>798317</x:v>
      </x:c>
      <x:c r="AJ249" s="43" t="n">
        <x:v>3053694.83669981</x:v>
      </x:c>
      <x:c r="AK249" s="43" t="n">
        <x:v>15270912</x:v>
      </x:c>
      <x:c r="AL249" s="43" t="n">
        <x:v>0</x:v>
      </x:c>
      <x:c r="AM249" s="43" t="n">
        <x:v>591920.5917217064</x:v>
      </x:c>
      <x:c r="AN249" s="43" t="n">
        <x:v>281</x:v>
      </x:c>
      <x:c r="AO249" s="43" t="n">
        <x:v>801</x:v>
      </x:c>
      <x:c r="AP249" s="43" t="n">
        <x:v>189918</x:v>
      </x:c>
      <x:c r="AQ249" s="43" t="n">
        <x:v>238608</x:v>
      </x:c>
      <x:c r="AR249" s="43" t="n">
        <x:v>1</x:v>
      </x:c>
      <x:c r="AS249" s="45" t="b">
        <x:v>1</x:v>
      </x:c>
      <x:c r="AT249" s="43" t="n">
        <x:v>10000</x:v>
      </x:c>
      <x:c r="AU249" s="48" t="n">
        <x:v>0.9505523311246898</x:v>
      </x:c>
      <x:c r="AV249" s="43" t="n">
        <x:v>10000</x:v>
      </x:c>
      <x:c r="AW249" s="48" t="n">
        <x:v>0.9505523311246898</x:v>
      </x:c>
      <x:c r="AX249" s="45" t="b">
        <x:v>1</x:v>
      </x:c>
      <x:c r="AY249" s="44" t="str">
        <x:v>{"provider":"jcs321","currentEntries":10000,"requestCount":15270912,"hitCount":14515801,"missCount":755111,"hitRate":0.9505523311246898,"loadSuccessCount":0,"loadFailureCount":0,"totalLoadTimeNanos":0,"evictionCount":-1,"expirationCount":-1,"putCount":10000,"removeCount":0,"nativeMetrics":{"HitCountRam":14515801,"Composite.HitCountRam":14515801,"HitCountAux":0,"Composite.HitCountAux":0,"Put Count":10000,"Memory Cache.Put Count":10000,"Hit Count":14515801,"Memory Cache.Hit Count":14515801,"Miss Count":755111,"Memory Cache.Miss Count":755111,"Map Size":10000,"Memory Cache.Map Size":10000,"List Size":10000,"Memory Cache.List Size":10000}}</x:v>
      </x:c>
      <x:c r="AZ249" s="44" t="str">
        <x:v>{"provider":"jcs321","currentEntries":10000,"requestCount":15270912,"hitCount":14515801,"missCount":755111,"hitRate":0.9505523311246898,"loadSuccessCount":0,"loadFailureCount":0,"totalLoadTimeNanos":0,"evictionCount":-1,"expirationCount":-1,"putCount":15000,"removeCount":0,"nativeMetrics":{"HitCountRam":14515801,"Composite.HitCountRam":14515801,"HitCountAux":0,"Composite.HitCountAux":0,"Put Count":15000,"Memory Cache.Put Count":15000,"Hit Count":14515801,"Memory Cache.Hit Count":14515801,"Miss Count":755111,"Memory Cache.Miss Count":755111,"Map Size":10000,"Memory Cache.Map Size":10000,"List Size":10000,"Memory Cache.List Size":10000}}</x:v>
      </x:c>
      <x:c r="BA249" s="43" t="n">
        <x:v>10000</x:v>
      </x:c>
      <x:c r="BB249" s="43" t="n">
        <x:v>15270912</x:v>
      </x:c>
      <x:c r="BC249" s="43" t="n">
        <x:v>14515801</x:v>
      </x:c>
      <x:c r="BD249" s="43" t="n">
        <x:v>755111</x:v>
      </x:c>
      <x:c r="BE249" s="48" t="n">
        <x:v>0.9505523311246898</x:v>
      </x:c>
      <x:c r="BF249" s="43" t="n">
        <x:v>0</x:v>
      </x:c>
      <x:c r="BG249" s="43" t="n">
        <x:v>0</x:v>
      </x:c>
      <x:c r="BH249" s="43" t="n">
        <x:v>0</x:v>
      </x:c>
      <x:c r="BI249" s="43" t="n">
        <x:v>-1</x:v>
      </x:c>
      <x:c r="BJ249" s="43" t="n">
        <x:v>-1</x:v>
      </x:c>
      <x:c r="BK249" s="43" t="n">
        <x:v>15000</x:v>
      </x:c>
      <x:c r="BL249" s="43" t="n">
        <x:v>0</x:v>
      </x:c>
      <x:c r="BM249" s="44" t="str">
        <x:v>{"HitCountRam":14515801,"Composite.HitCountRam":14515801,"HitCountAux":0,"Composite.HitCountAux":0,"Put Count":15000,"Memory Cache.Put Count":15000,"Hit Count":14515801,"Memory Cache.Hit Count":14515801,"Miss Count":755111,"Memory Cache.Miss Count":755111,"Map Size":10000,"Memory Cache.Map Size":10000,"List Size":10000,"Memory Cache.List Size":10000}</x:v>
      </x:c>
    </x:row>
    <x:row r="250">
      <x:c r="A250" s="34" t="str">
        <x:v>article1-unified-v4-2-fb3f101b-20260903-000401-default-f05-p1-jcs321</x:v>
      </x:c>
      <x:c r="B250" s="34" t="str">
        <x:v>default</x:v>
      </x:c>
      <x:c r="C250" s="34" t="str">
        <x:v>jcs321</x:v>
      </x:c>
      <x:c r="D250" s="34" t="str">
        <x:v>jcs321</x:v>
      </x:c>
      <x:c r="E250" s="34" t="str">
        <x:v>JCS-248-positive-control</x:v>
      </x:c>
      <x:c r="F250" s="36" t="n">
        <x:v>5</x:v>
      </x:c>
      <x:c r="G250" s="36" t="n">
        <x:v>5</x:v>
      </x:c>
      <x:c r="H250" s="36" t="n">
        <x:v>1</x:v>
      </x:c>
      <x:c r="I250" s="36" t="n">
        <x:v>5</x:v>
      </x:c>
      <x:c r="J250" s="34" t="str">
        <x:v>initial</x:v>
      </x:c>
      <x:c r="K250" s="34" t="str">
        <x:v>cache-semantics</x:v>
      </x:c>
      <x:c r="L250" s="45" t="b">
        <x:v>0</x:v>
      </x:c>
      <x:c r="M250" s="36" t="n">
        <x:v>620988831</x:v>
      </x:c>
      <x:c r="N250" s="34" t="str">
        <x:v>8940757b18d227a000be8118900d9d4aedf44b85c145f2f14007181f24d352aa</x:v>
      </x:c>
      <x:c r="O250" s="43" t="n">
        <x:v>10000</x:v>
      </x:c>
      <x:c r="P250" s="43" t="n">
        <x:v>400000</x:v>
      </x:c>
      <x:c r="Q250" s="36" t="n">
        <x:v>8</x:v>
      </x:c>
      <x:c r="R250" s="42" t="n">
        <x:v>95</x:v>
      </x:c>
      <x:c r="S250" s="43" t="n">
        <x:v>512</x:v>
      </x:c>
      <x:c r="T250" s="43" t="n">
        <x:v>50000</x:v>
      </x:c>
      <x:c r="U250" s="46" t="n">
        <x:v>3</x:v>
      </x:c>
      <x:c r="V250" s="46" t="n">
        <x:v>5</x:v>
      </x:c>
      <x:c r="W250" s="43" t="n">
        <x:v>300</x:v>
      </x:c>
      <x:c r="X250" s="34" t="str">
        <x:v>uniform</x:v>
      </x:c>
      <x:c r="Y250" s="42" t="n">
        <x:v>10</x:v>
      </x:c>
      <x:c r="Z250" s="34" t="str">
        <x:v>strict</x:v>
      </x:c>
      <x:c r="AA250" s="36" t="n">
        <x:v>64</x:v>
      </x:c>
      <x:c r="AB250" s="43" t="n">
        <x:v>8131584</x:v>
      </x:c>
      <x:c r="AC250" s="43" t="n">
        <x:v>3000424781</x:v>
      </x:c>
      <x:c r="AD250" s="43" t="n">
        <x:v>424781</x:v>
      </x:c>
      <x:c r="AE250" s="43" t="n">
        <x:v>4017831.134575245</x:v>
      </x:c>
      <x:c r="AF250" s="43" t="n">
        <x:v>2261056.330367395</x:v>
      </x:c>
      <x:c r="AG250" s="43" t="n">
        <x:v>11307008</x:v>
      </x:c>
      <x:c r="AH250" s="43" t="n">
        <x:v>5000763514</x:v>
      </x:c>
      <x:c r="AI250" s="43" t="n">
        <x:v>763514</x:v>
      </x:c>
      <x:c r="AJ250" s="43" t="n">
        <x:v>2261056.330367395</x:v>
      </x:c>
      <x:c r="AK250" s="43" t="n">
        <x:v>11307008</x:v>
      </x:c>
      <x:c r="AL250" s="43" t="n">
        <x:v>0</x:v>
      </x:c>
      <x:c r="AM250" s="43" t="n">
        <x:v>513957.0695771439</x:v>
      </x:c>
      <x:c r="AN250" s="43" t="n">
        <x:v>411</x:v>
      </x:c>
      <x:c r="AO250" s="43" t="n">
        <x:v>1092</x:v>
      </x:c>
      <x:c r="AP250" s="43" t="n">
        <x:v>211801</x:v>
      </x:c>
      <x:c r="AQ250" s="43" t="n">
        <x:v>176672</x:v>
      </x:c>
      <x:c r="AR250" s="43" t="n">
        <x:v>1</x:v>
      </x:c>
      <x:c r="AS250" s="45" t="b">
        <x:v>1</x:v>
      </x:c>
      <x:c r="AT250" s="43" t="n">
        <x:v>10000</x:v>
      </x:c>
      <x:c r="AU250" s="48" t="n">
        <x:v>0.9507599180968122</x:v>
      </x:c>
      <x:c r="AV250" s="43" t="n">
        <x:v>10000</x:v>
      </x:c>
      <x:c r="AW250" s="48" t="n">
        <x:v>0.9507599180968122</x:v>
      </x:c>
      <x:c r="AX250" s="45" t="b">
        <x:v>1</x:v>
      </x:c>
      <x:c r="AY250" s="44" t="str">
        <x:v>{"provider":"jcs321","currentEntries":10000,"requestCount":11307008,"hitCount":10750250,"missCount":556758,"hitRate":0.9507599180968122,"loadSuccessCount":0,"loadFailureCount":0,"totalLoadTimeNanos":0,"evictionCount":-1,"expirationCount":-1,"putCount":10000,"removeCount":0,"nativeMetrics":{"HitCountRam":10750250,"Composite.HitCountRam":10750250,"HitCountAux":0,"Composite.HitCountAux":0,"Put Count":10000,"Memory Cache.Put Count":10000,"Hit Count":10750250,"Memory Cache.Hit Count":10750250,"Miss Count":556758,"Memory Cache.Miss Count":556758,"Map Size":10000,"Memory Cache.Map Size":10000,"List Size":10000,"Memory Cache.List Size":10000}}</x:v>
      </x:c>
      <x:c r="AZ250" s="44" t="str">
        <x:v>{"provider":"jcs321","currentEntries":10000,"requestCount":11307008,"hitCount":10750250,"missCount":556758,"hitRate":0.9507599180968122,"loadSuccessCount":0,"loadFailureCount":0,"totalLoadTimeNanos":0,"evictionCount":-1,"expirationCount":-1,"putCount":15000,"removeCount":0,"nativeMetrics":{"HitCountRam":10750250,"Composite.HitCountRam":10750250,"HitCountAux":0,"Composite.HitCountAux":0,"Put Count":15000,"Memory Cache.Put Count":15000,"Hit Count":10750250,"Memory Cache.Hit Count":10750250,"Miss Count":556758,"Memory Cache.Miss Count":556758,"Map Size":10000,"Memory Cache.Map Size":10000,"List Size":10000,"Memory Cache.List Size":10000}}</x:v>
      </x:c>
      <x:c r="BA250" s="43" t="n">
        <x:v>10000</x:v>
      </x:c>
      <x:c r="BB250" s="43" t="n">
        <x:v>11307008</x:v>
      </x:c>
      <x:c r="BC250" s="43" t="n">
        <x:v>10750250</x:v>
      </x:c>
      <x:c r="BD250" s="43" t="n">
        <x:v>556758</x:v>
      </x:c>
      <x:c r="BE250" s="48" t="n">
        <x:v>0.9507599180968122</x:v>
      </x:c>
      <x:c r="BF250" s="43" t="n">
        <x:v>0</x:v>
      </x:c>
      <x:c r="BG250" s="43" t="n">
        <x:v>0</x:v>
      </x:c>
      <x:c r="BH250" s="43" t="n">
        <x:v>0</x:v>
      </x:c>
      <x:c r="BI250" s="43" t="n">
        <x:v>-1</x:v>
      </x:c>
      <x:c r="BJ250" s="43" t="n">
        <x:v>-1</x:v>
      </x:c>
      <x:c r="BK250" s="43" t="n">
        <x:v>15000</x:v>
      </x:c>
      <x:c r="BL250" s="43" t="n">
        <x:v>0</x:v>
      </x:c>
      <x:c r="BM250" s="44" t="str">
        <x:v>{"HitCountRam":10750250,"Composite.HitCountRam":10750250,"HitCountAux":0,"Composite.HitCountAux":0,"Put Count":15000,"Memory Cache.Put Count":15000,"Hit Count":10750250,"Memory Cache.Hit Count":10750250,"Miss Count":556758,"Memory Cache.Miss Count":556758,"Map Size":10000,"Memory Cache.Map Size":10000,"List Size":10000,"Memory Cache.List Size":10000}</x:v>
      </x:c>
    </x:row>
    <x:row r="251">
      <x:c r="A251" s="34" t="str">
        <x:v>article1-unified-v4-2-fb3f101b-20260903-000401-default-f05-p1-jcs321</x:v>
      </x:c>
      <x:c r="B251" s="34" t="str">
        <x:v>default</x:v>
      </x:c>
      <x:c r="C251" s="34" t="str">
        <x:v>jcs321</x:v>
      </x:c>
      <x:c r="D251" s="34" t="str">
        <x:v>jcs321</x:v>
      </x:c>
      <x:c r="E251" s="34" t="str">
        <x:v>JCS-248-positive-control</x:v>
      </x:c>
      <x:c r="F251" s="36" t="n">
        <x:v>5</x:v>
      </x:c>
      <x:c r="G251" s="36" t="n">
        <x:v>5</x:v>
      </x:c>
      <x:c r="H251" s="36" t="n">
        <x:v>1</x:v>
      </x:c>
      <x:c r="I251" s="36" t="n">
        <x:v>5</x:v>
      </x:c>
      <x:c r="J251" s="34" t="str">
        <x:v>redeploy</x:v>
      </x:c>
      <x:c r="K251" s="34" t="str">
        <x:v>cache-semantics</x:v>
      </x:c>
      <x:c r="L251" s="45" t="b">
        <x:v>0</x:v>
      </x:c>
      <x:c r="M251" s="36" t="n">
        <x:v>620988831</x:v>
      </x:c>
      <x:c r="N251" s="34" t="str">
        <x:v>8940757b18d227a000be8118900d9d4aedf44b85c145f2f14007181f24d352aa</x:v>
      </x:c>
      <x:c r="O251" s="43" t="n">
        <x:v>10000</x:v>
      </x:c>
      <x:c r="P251" s="43" t="n">
        <x:v>400000</x:v>
      </x:c>
      <x:c r="Q251" s="36" t="n">
        <x:v>8</x:v>
      </x:c>
      <x:c r="R251" s="42" t="n">
        <x:v>95</x:v>
      </x:c>
      <x:c r="S251" s="43" t="n">
        <x:v>512</x:v>
      </x:c>
      <x:c r="T251" s="43" t="n">
        <x:v>50000</x:v>
      </x:c>
      <x:c r="U251" s="46" t="n">
        <x:v>3</x:v>
      </x:c>
      <x:c r="V251" s="46" t="n">
        <x:v>5</x:v>
      </x:c>
      <x:c r="W251" s="43" t="n">
        <x:v>300</x:v>
      </x:c>
      <x:c r="X251" s="34" t="str">
        <x:v>uniform</x:v>
      </x:c>
      <x:c r="Y251" s="42" t="n">
        <x:v>10</x:v>
      </x:c>
      <x:c r="Z251" s="34" t="str">
        <x:v>strict</x:v>
      </x:c>
      <x:c r="AA251" s="36" t="n">
        <x:v>64</x:v>
      </x:c>
      <x:c r="AB251" s="43" t="n">
        <x:v>7944192</x:v>
      </x:c>
      <x:c r="AC251" s="43" t="n">
        <x:v>3000626216</x:v>
      </x:c>
      <x:c r="AD251" s="43" t="n">
        <x:v>626216</x:v>
      </x:c>
      <x:c r="AE251" s="43" t="n">
        <x:v>3763811.7777950913</x:v>
      </x:c>
      <x:c r="AF251" s="43" t="n">
        <x:v>3028973.666180772</x:v>
      </x:c>
      <x:c r="AG251" s="43" t="n">
        <x:v>15148032</x:v>
      </x:c>
      <x:c r="AH251" s="43" t="n">
        <x:v>5001044469</x:v>
      </x:c>
      <x:c r="AI251" s="43" t="n">
        <x:v>1044469</x:v>
      </x:c>
      <x:c r="AJ251" s="43" t="n">
        <x:v>3028973.666180772</x:v>
      </x:c>
      <x:c r="AK251" s="43" t="n">
        <x:v>15148032</x:v>
      </x:c>
      <x:c r="AL251" s="43" t="n">
        <x:v>0</x:v>
      </x:c>
      <x:c r="AM251" s="43" t="n">
        <x:v>474092.9535090227</x:v>
      </x:c>
      <x:c r="AN251" s="43" t="n">
        <x:v>290</x:v>
      </x:c>
      <x:c r="AO251" s="43" t="n">
        <x:v>811</x:v>
      </x:c>
      <x:c r="AP251" s="43" t="n">
        <x:v>193880</x:v>
      </x:c>
      <x:c r="AQ251" s="43" t="n">
        <x:v>236688</x:v>
      </x:c>
      <x:c r="AR251" s="43" t="n">
        <x:v>1</x:v>
      </x:c>
      <x:c r="AS251" s="45" t="b">
        <x:v>1</x:v>
      </x:c>
      <x:c r="AT251" s="43" t="n">
        <x:v>10000</x:v>
      </x:c>
      <x:c r="AU251" s="48" t="n">
        <x:v>0.9507574977396404</x:v>
      </x:c>
      <x:c r="AV251" s="43" t="n">
        <x:v>10000</x:v>
      </x:c>
      <x:c r="AW251" s="48" t="n">
        <x:v>0.9507574977396404</x:v>
      </x:c>
      <x:c r="AX251" s="45" t="b">
        <x:v>1</x:v>
      </x:c>
      <x:c r="AY251" s="44" t="str">
        <x:v>{"provider":"jcs321","currentEntries":10000,"requestCount":15148032,"hitCount":14402105,"missCount":745927,"hitRate":0.9507574977396404,"loadSuccessCount":0,"loadFailureCount":0,"totalLoadTimeNanos":0,"evictionCount":-1,"expirationCount":-1,"putCount":10000,"removeCount":0,"nativeMetrics":{"HitCountRam":14402105,"Composite.HitCountRam":14402105,"HitCountAux":0,"Composite.HitCountAux":0,"Put Count":10000,"Memory Cache.Put Count":10000,"Hit Count":14402105,"Memory Cache.Hit Count":14402105,"Miss Count":745927,"Memory Cache.Miss Count":745927,"Map Size":10000,"Memory Cache.Map Size":10000,"List Size":10000,"Memory Cache.List Size":10000}}</x:v>
      </x:c>
      <x:c r="AZ251" s="44" t="str">
        <x:v>{"provider":"jcs321","currentEntries":10000,"requestCount":15148032,"hitCount":14402105,"missCount":745927,"hitRate":0.9507574977396404,"loadSuccessCount":0,"loadFailureCount":0,"totalLoadTimeNanos":0,"evictionCount":-1,"expirationCount":-1,"putCount":15000,"removeCount":0,"nativeMetrics":{"HitCountRam":14402105,"Composite.HitCountRam":14402105,"HitCountAux":0,"Composite.HitCountAux":0,"Put Count":15000,"Memory Cache.Put Count":15000,"Hit Count":14402105,"Memory Cache.Hit Count":14402105,"Miss Count":745927,"Memory Cache.Miss Count":745927,"Map Size":10000,"Memory Cache.Map Size":10000,"List Size":10000,"Memory Cache.List Size":10000}}</x:v>
      </x:c>
      <x:c r="BA251" s="43" t="n">
        <x:v>10000</x:v>
      </x:c>
      <x:c r="BB251" s="43" t="n">
        <x:v>15148032</x:v>
      </x:c>
      <x:c r="BC251" s="43" t="n">
        <x:v>14402105</x:v>
      </x:c>
      <x:c r="BD251" s="43" t="n">
        <x:v>745927</x:v>
      </x:c>
      <x:c r="BE251" s="48" t="n">
        <x:v>0.9507574977396404</x:v>
      </x:c>
      <x:c r="BF251" s="43" t="n">
        <x:v>0</x:v>
      </x:c>
      <x:c r="BG251" s="43" t="n">
        <x:v>0</x:v>
      </x:c>
      <x:c r="BH251" s="43" t="n">
        <x:v>0</x:v>
      </x:c>
      <x:c r="BI251" s="43" t="n">
        <x:v>-1</x:v>
      </x:c>
      <x:c r="BJ251" s="43" t="n">
        <x:v>-1</x:v>
      </x:c>
      <x:c r="BK251" s="43" t="n">
        <x:v>15000</x:v>
      </x:c>
      <x:c r="BL251" s="43" t="n">
        <x:v>0</x:v>
      </x:c>
      <x:c r="BM251" s="44" t="str">
        <x:v>{"HitCountRam":14402105,"Composite.HitCountRam":14402105,"HitCountAux":0,"Composite.HitCountAux":0,"Put Count":15000,"Memory Cache.Put Count":15000,"Hit Count":14402105,"Memory Cache.Hit Count":14402105,"Miss Count":745927,"Memory Cache.Miss Count":745927,"Map Size":10000,"Memory Cache.Map Size":10000,"List Size":10000,"Memory Cache.List Size":10000}</x:v>
      </x:c>
    </x:row>
    <x:row r="252">
      <x:c r="A252" s="34" t="str">
        <x:v>article1-unified-v4-2-fb3f101b-20260903-000401-default-f05-p2-nostore</x:v>
      </x:c>
      <x:c r="B252" s="34" t="str">
        <x:v>default</x:v>
      </x:c>
      <x:c r="C252" s="34" t="str">
        <x:v>nostore</x:v>
      </x:c>
      <x:c r="D252" s="34" t="str">
        <x:v>nostore</x:v>
      </x:c>
      <x:c r="E252" s="34" t="str">
        <x:v>lifecycle-negative-control</x:v>
      </x:c>
      <x:c r="F252" s="36" t="n">
        <x:v>5</x:v>
      </x:c>
      <x:c r="G252" s="36" t="n">
        <x:v>5</x:v>
      </x:c>
      <x:c r="H252" s="36" t="n">
        <x:v>2</x:v>
      </x:c>
      <x:c r="I252" s="36" t="n">
        <x:v>1</x:v>
      </x:c>
      <x:c r="J252" s="34" t="str">
        <x:v>initial</x:v>
      </x:c>
      <x:c r="K252" s="34" t="str">
        <x:v>no-store-control</x:v>
      </x:c>
      <x:c r="L252" s="45" t="b">
        <x:v>0</x:v>
      </x:c>
      <x:c r="M252" s="36" t="n">
        <x:v>648580617</x:v>
      </x:c>
      <x:c r="N252" s="34" t="str">
        <x:v>bcfa144271bd10c17dc9c6f6a6f8819d8571bde3bb04884a7368ce6d62b186b3</x:v>
      </x:c>
      <x:c r="O252" s="43" t="n">
        <x:v>10000</x:v>
      </x:c>
      <x:c r="P252" s="43" t="n">
        <x:v>400000</x:v>
      </x:c>
      <x:c r="Q252" s="36" t="n">
        <x:v>8</x:v>
      </x:c>
      <x:c r="R252" s="42" t="n">
        <x:v>95</x:v>
      </x:c>
      <x:c r="S252" s="43" t="n">
        <x:v>512</x:v>
      </x:c>
      <x:c r="T252" s="43" t="n">
        <x:v>50000</x:v>
      </x:c>
      <x:c r="U252" s="46" t="n">
        <x:v>3</x:v>
      </x:c>
      <x:c r="V252" s="46" t="n">
        <x:v>5</x:v>
      </x:c>
      <x:c r="W252" s="43" t="n">
        <x:v>300</x:v>
      </x:c>
      <x:c r="X252" s="34" t="str">
        <x:v>uniform</x:v>
      </x:c>
      <x:c r="Y252" s="42" t="n">
        <x:v>10</x:v>
      </x:c>
      <x:c r="Z252" s="34" t="str">
        <x:v>strict</x:v>
      </x:c>
      <x:c r="AA252" s="36" t="n">
        <x:v>64</x:v>
      </x:c>
      <x:c r="AB252" s="43" t="n">
        <x:v>357923328</x:v>
      </x:c>
      <x:c r="AC252" s="43" t="n">
        <x:v>3000557640</x:v>
      </x:c>
      <x:c r="AD252" s="43" t="n">
        <x:v>557640</x:v>
      </x:c>
      <x:c r="AE252" s="43" t="n">
        <x:v>14822127.06416647</x:v>
      </x:c>
      <x:c r="AF252" s="43" t="n">
        <x:v>103960708.39587975</x:v>
      </x:c>
      <x:c r="AG252" s="43" t="n">
        <x:v>521897984</x:v>
      </x:c>
      <x:c r="AH252" s="43" t="n">
        <x:v>5020146477</x:v>
      </x:c>
      <x:c r="AI252" s="43" t="n">
        <x:v>20146477</x:v>
      </x:c>
      <x:c r="AJ252" s="43" t="n">
        <x:v>103960708.39587975</x:v>
      </x:c>
      <x:c r="AK252" s="43" t="n">
        <x:v>521897984</x:v>
      </x:c>
      <x:c r="AL252" s="43" t="n">
        <x:v>0</x:v>
      </x:c>
      <x:c r="AM252" s="43" t="n">
        <x:v>13156302.131847197</x:v>
      </x:c>
      <x:c r="AN252" s="43" t="n">
        <x:v>40</x:v>
      </x:c>
      <x:c r="AO252" s="43" t="n">
        <x:v>160</x:v>
      </x:c>
      <x:c r="AP252" s="43" t="n">
        <x:v>280</x:v>
      </x:c>
      <x:c r="AQ252" s="43" t="n">
        <x:v>8154656</x:v>
      </x:c>
      <x:c r="AR252" s="43" t="n">
        <x:v>16</x:v>
      </x:c>
      <x:c r="AS252" s="45" t="b">
        <x:v>0</x:v>
      </x:c>
      <x:c r="AT252" s="43" t="n">
        <x:v>0</x:v>
      </x:c>
      <x:c r="AU252" s="48" t="n">
        <x:v>0</x:v>
      </x:c>
      <x:c r="AV252" s="43" t="n">
        <x:v>0</x:v>
      </x:c>
      <x:c r="AW252" s="48" t="n">
        <x:v>0</x:v>
      </x:c>
      <x:c r="AX252" s="45" t="b">
        <x:v>1</x:v>
      </x:c>
      <x:c r="AY252" s="44" t="str">
        <x:v>{"provider":"nostore","currentEntries":0,"requestCount":521897984,"hitCount":0,"missCount":521897984,"hitRate":0,"loadSuccessCount":0,"loadFailureCount":0,"totalLoadTimeNanos":0,"evictionCount":0,"expirationCount":0,"putCount":10000,"removeCount":0,"nativeMetrics":{"storageEnabled":0}}</x:v>
      </x:c>
      <x:c r="AZ252" s="44" t="str">
        <x:v>{"provider":"nostore","currentEntries":0,"requestCount":521897984,"hitCount":0,"missCount":521897984,"hitRate":0,"loadSuccessCount":0,"loadFailureCount":0,"totalLoadTimeNanos":0,"evictionCount":0,"expirationCount":0,"putCount":15000,"removeCount":0,"nativeMetrics":{"storageEnabled":0}}</x:v>
      </x:c>
      <x:c r="BA252" s="43" t="n">
        <x:v>0</x:v>
      </x:c>
      <x:c r="BB252" s="43" t="n">
        <x:v>521897984</x:v>
      </x:c>
      <x:c r="BC252" s="43" t="n">
        <x:v>0</x:v>
      </x:c>
      <x:c r="BD252" s="43" t="n">
        <x:v>521897984</x:v>
      </x:c>
      <x:c r="BE252" s="48" t="n">
        <x:v>0</x:v>
      </x:c>
      <x:c r="BF252" s="43" t="n">
        <x:v>0</x:v>
      </x:c>
      <x:c r="BG252" s="43" t="n">
        <x:v>0</x:v>
      </x:c>
      <x:c r="BH252" s="43" t="n">
        <x:v>0</x:v>
      </x:c>
      <x:c r="BI252" s="43" t="n">
        <x:v>0</x:v>
      </x:c>
      <x:c r="BJ252" s="43" t="n">
        <x:v>0</x:v>
      </x:c>
      <x:c r="BK252" s="43" t="n">
        <x:v>15000</x:v>
      </x:c>
      <x:c r="BL252" s="43" t="n">
        <x:v>0</x:v>
      </x:c>
      <x:c r="BM252" s="44" t="str">
        <x:v>{"storageEnabled":0}</x:v>
      </x:c>
    </x:row>
    <x:row r="253">
      <x:c r="A253" s="34" t="str">
        <x:v>article1-unified-v4-2-fb3f101b-20260903-000401-default-f05-p2-nostore</x:v>
      </x:c>
      <x:c r="B253" s="34" t="str">
        <x:v>default</x:v>
      </x:c>
      <x:c r="C253" s="34" t="str">
        <x:v>nostore</x:v>
      </x:c>
      <x:c r="D253" s="34" t="str">
        <x:v>nostore</x:v>
      </x:c>
      <x:c r="E253" s="34" t="str">
        <x:v>lifecycle-negative-control</x:v>
      </x:c>
      <x:c r="F253" s="36" t="n">
        <x:v>5</x:v>
      </x:c>
      <x:c r="G253" s="36" t="n">
        <x:v>5</x:v>
      </x:c>
      <x:c r="H253" s="36" t="n">
        <x:v>2</x:v>
      </x:c>
      <x:c r="I253" s="36" t="n">
        <x:v>1</x:v>
      </x:c>
      <x:c r="J253" s="34" t="str">
        <x:v>redeploy</x:v>
      </x:c>
      <x:c r="K253" s="34" t="str">
        <x:v>no-store-control</x:v>
      </x:c>
      <x:c r="L253" s="45" t="b">
        <x:v>0</x:v>
      </x:c>
      <x:c r="M253" s="36" t="n">
        <x:v>648580617</x:v>
      </x:c>
      <x:c r="N253" s="34" t="str">
        <x:v>bcfa144271bd10c17dc9c6f6a6f8819d8571bde3bb04884a7368ce6d62b186b3</x:v>
      </x:c>
      <x:c r="O253" s="43" t="n">
        <x:v>10000</x:v>
      </x:c>
      <x:c r="P253" s="43" t="n">
        <x:v>400000</x:v>
      </x:c>
      <x:c r="Q253" s="36" t="n">
        <x:v>8</x:v>
      </x:c>
      <x:c r="R253" s="42" t="n">
        <x:v>95</x:v>
      </x:c>
      <x:c r="S253" s="43" t="n">
        <x:v>512</x:v>
      </x:c>
      <x:c r="T253" s="43" t="n">
        <x:v>50000</x:v>
      </x:c>
      <x:c r="U253" s="46" t="n">
        <x:v>3</x:v>
      </x:c>
      <x:c r="V253" s="46" t="n">
        <x:v>5</x:v>
      </x:c>
      <x:c r="W253" s="43" t="n">
        <x:v>300</x:v>
      </x:c>
      <x:c r="X253" s="34" t="str">
        <x:v>uniform</x:v>
      </x:c>
      <x:c r="Y253" s="42" t="n">
        <x:v>10</x:v>
      </x:c>
      <x:c r="Z253" s="34" t="str">
        <x:v>strict</x:v>
      </x:c>
      <x:c r="AA253" s="36" t="n">
        <x:v>64</x:v>
      </x:c>
      <x:c r="AB253" s="43" t="n">
        <x:v>378642432</x:v>
      </x:c>
      <x:c r="AC253" s="43" t="n">
        <x:v>3045032462</x:v>
      </x:c>
      <x:c r="AD253" s="43" t="n">
        <x:v>45032462</x:v>
      </x:c>
      <x:c r="AE253" s="43" t="n">
        <x:v>13671530.541515654</x:v>
      </x:c>
      <x:c r="AF253" s="43" t="n">
        <x:v>103077742.51945987</x:v>
      </x:c>
      <x:c r="AG253" s="43" t="n">
        <x:v>516153856</x:v>
      </x:c>
      <x:c r="AH253" s="43" t="n">
        <x:v>5007422974</x:v>
      </x:c>
      <x:c r="AI253" s="43" t="n">
        <x:v>7422974</x:v>
      </x:c>
      <x:c r="AJ253" s="43" t="n">
        <x:v>103077742.51945987</x:v>
      </x:c>
      <x:c r="AK253" s="43" t="n">
        <x:v>516153856</x:v>
      </x:c>
      <x:c r="AL253" s="43" t="n">
        <x:v>0</x:v>
      </x:c>
      <x:c r="AM253" s="43" t="n">
        <x:v>20417747.10578435</x:v>
      </x:c>
      <x:c r="AN253" s="43" t="n">
        <x:v>31</x:v>
      </x:c>
      <x:c r="AO253" s="43" t="n">
        <x:v>161</x:v>
      </x:c>
      <x:c r="AP253" s="43" t="n">
        <x:v>290</x:v>
      </x:c>
      <x:c r="AQ253" s="43" t="n">
        <x:v>8064904</x:v>
      </x:c>
      <x:c r="AR253" s="43" t="n">
        <x:v>16</x:v>
      </x:c>
      <x:c r="AS253" s="45" t="b">
        <x:v>0</x:v>
      </x:c>
      <x:c r="AT253" s="43" t="n">
        <x:v>0</x:v>
      </x:c>
      <x:c r="AU253" s="48" t="n">
        <x:v>0</x:v>
      </x:c>
      <x:c r="AV253" s="43" t="n">
        <x:v>0</x:v>
      </x:c>
      <x:c r="AW253" s="48" t="n">
        <x:v>0</x:v>
      </x:c>
      <x:c r="AX253" s="45" t="b">
        <x:v>1</x:v>
      </x:c>
      <x:c r="AY253" s="44" t="str">
        <x:v>{"provider":"nostore","currentEntries":0,"requestCount":516153856,"hitCount":0,"missCount":516153856,"hitRate":0,"loadSuccessCount":0,"loadFailureCount":0,"totalLoadTimeNanos":0,"evictionCount":0,"expirationCount":0,"putCount":10000,"removeCount":0,"nativeMetrics":{"storageEnabled":0}}</x:v>
      </x:c>
      <x:c r="AZ253" s="44" t="str">
        <x:v>{"provider":"nostore","currentEntries":0,"requestCount":516153856,"hitCount":0,"missCount":516153856,"hitRate":0,"loadSuccessCount":0,"loadFailureCount":0,"totalLoadTimeNanos":0,"evictionCount":0,"expirationCount":0,"putCount":15000,"removeCount":0,"nativeMetrics":{"storageEnabled":0}}</x:v>
      </x:c>
      <x:c r="BA253" s="43" t="n">
        <x:v>0</x:v>
      </x:c>
      <x:c r="BB253" s="43" t="n">
        <x:v>516153856</x:v>
      </x:c>
      <x:c r="BC253" s="43" t="n">
        <x:v>0</x:v>
      </x:c>
      <x:c r="BD253" s="43" t="n">
        <x:v>516153856</x:v>
      </x:c>
      <x:c r="BE253" s="48" t="n">
        <x:v>0</x:v>
      </x:c>
      <x:c r="BF253" s="43" t="n">
        <x:v>0</x:v>
      </x:c>
      <x:c r="BG253" s="43" t="n">
        <x:v>0</x:v>
      </x:c>
      <x:c r="BH253" s="43" t="n">
        <x:v>0</x:v>
      </x:c>
      <x:c r="BI253" s="43" t="n">
        <x:v>0</x:v>
      </x:c>
      <x:c r="BJ253" s="43" t="n">
        <x:v>0</x:v>
      </x:c>
      <x:c r="BK253" s="43" t="n">
        <x:v>15000</x:v>
      </x:c>
      <x:c r="BL253" s="43" t="n">
        <x:v>0</x:v>
      </x:c>
      <x:c r="BM253" s="44" t="str">
        <x:v>{"storageEnabled":0}</x:v>
      </x:c>
    </x:row>
    <x:row r="254">
      <x:c r="A254" s="34" t="str">
        <x:v>article1-unified-v4-2-fb3f101b-20260903-000401-default-f05-p2-nostore</x:v>
      </x:c>
      <x:c r="B254" s="34" t="str">
        <x:v>default</x:v>
      </x:c>
      <x:c r="C254" s="34" t="str">
        <x:v>nostore</x:v>
      </x:c>
      <x:c r="D254" s="34" t="str">
        <x:v>nostore</x:v>
      </x:c>
      <x:c r="E254" s="34" t="str">
        <x:v>lifecycle-negative-control</x:v>
      </x:c>
      <x:c r="F254" s="36" t="n">
        <x:v>5</x:v>
      </x:c>
      <x:c r="G254" s="36" t="n">
        <x:v>5</x:v>
      </x:c>
      <x:c r="H254" s="36" t="n">
        <x:v>2</x:v>
      </x:c>
      <x:c r="I254" s="36" t="n">
        <x:v>2</x:v>
      </x:c>
      <x:c r="J254" s="34" t="str">
        <x:v>initial</x:v>
      </x:c>
      <x:c r="K254" s="34" t="str">
        <x:v>no-store-control</x:v>
      </x:c>
      <x:c r="L254" s="45" t="b">
        <x:v>0</x:v>
      </x:c>
      <x:c r="M254" s="36" t="n">
        <x:v>681442610</x:v>
      </x:c>
      <x:c r="N254" s="34" t="str">
        <x:v>6004b5d35d3f44ddcdd5f00ff160f8c46199fad46729e7e512a45aa23375c89b</x:v>
      </x:c>
      <x:c r="O254" s="43" t="n">
        <x:v>10000</x:v>
      </x:c>
      <x:c r="P254" s="43" t="n">
        <x:v>400000</x:v>
      </x:c>
      <x:c r="Q254" s="36" t="n">
        <x:v>8</x:v>
      </x:c>
      <x:c r="R254" s="42" t="n">
        <x:v>95</x:v>
      </x:c>
      <x:c r="S254" s="43" t="n">
        <x:v>512</x:v>
      </x:c>
      <x:c r="T254" s="43" t="n">
        <x:v>50000</x:v>
      </x:c>
      <x:c r="U254" s="46" t="n">
        <x:v>3</x:v>
      </x:c>
      <x:c r="V254" s="46" t="n">
        <x:v>5</x:v>
      </x:c>
      <x:c r="W254" s="43" t="n">
        <x:v>300</x:v>
      </x:c>
      <x:c r="X254" s="34" t="str">
        <x:v>uniform</x:v>
      </x:c>
      <x:c r="Y254" s="42" t="n">
        <x:v>10</x:v>
      </x:c>
      <x:c r="Z254" s="34" t="str">
        <x:v>strict</x:v>
      </x:c>
      <x:c r="AA254" s="36" t="n">
        <x:v>64</x:v>
      </x:c>
      <x:c r="AB254" s="43" t="n">
        <x:v>372975360</x:v>
      </x:c>
      <x:c r="AC254" s="43" t="n">
        <x:v>3038705685</x:v>
      </x:c>
      <x:c r="AD254" s="43" t="n">
        <x:v>38705685</x:v>
      </x:c>
      <x:c r="AE254" s="43" t="n">
        <x:v>12677324.070435213</x:v>
      </x:c>
      <x:c r="AF254" s="43" t="n">
        <x:v>103354677.75769313</x:v>
      </x:c>
      <x:c r="AG254" s="43" t="n">
        <x:v>518086400</x:v>
      </x:c>
      <x:c r="AH254" s="43" t="n">
        <x:v>5012703936</x:v>
      </x:c>
      <x:c r="AI254" s="43" t="n">
        <x:v>12703936</x:v>
      </x:c>
      <x:c r="AJ254" s="43" t="n">
        <x:v>103354677.75769313</x:v>
      </x:c>
      <x:c r="AK254" s="43" t="n">
        <x:v>518086400</x:v>
      </x:c>
      <x:c r="AL254" s="43" t="n">
        <x:v>0</x:v>
      </x:c>
      <x:c r="AM254" s="43" t="n">
        <x:v>20496675.439243756</x:v>
      </x:c>
      <x:c r="AN254" s="43" t="n">
        <x:v>40</x:v>
      </x:c>
      <x:c r="AO254" s="43" t="n">
        <x:v>161</x:v>
      </x:c>
      <x:c r="AP254" s="43" t="n">
        <x:v>281</x:v>
      </x:c>
      <x:c r="AQ254" s="43" t="n">
        <x:v>8095100</x:v>
      </x:c>
      <x:c r="AR254" s="43" t="n">
        <x:v>16</x:v>
      </x:c>
      <x:c r="AS254" s="45" t="b">
        <x:v>0</x:v>
      </x:c>
      <x:c r="AT254" s="43" t="n">
        <x:v>0</x:v>
      </x:c>
      <x:c r="AU254" s="48" t="n">
        <x:v>0</x:v>
      </x:c>
      <x:c r="AV254" s="43" t="n">
        <x:v>0</x:v>
      </x:c>
      <x:c r="AW254" s="48" t="n">
        <x:v>0</x:v>
      </x:c>
      <x:c r="AX254" s="45" t="b">
        <x:v>1</x:v>
      </x:c>
      <x:c r="AY254" s="44" t="str">
        <x:v>{"provider":"nostore","currentEntries":0,"requestCount":518086400,"hitCount":0,"missCount":518086400,"hitRate":0,"loadSuccessCount":0,"loadFailureCount":0,"totalLoadTimeNanos":0,"evictionCount":0,"expirationCount":0,"putCount":10000,"removeCount":0,"nativeMetrics":{"storageEnabled":0}}</x:v>
      </x:c>
      <x:c r="AZ254" s="44" t="str">
        <x:v>{"provider":"nostore","currentEntries":0,"requestCount":518086400,"hitCount":0,"missCount":518086400,"hitRate":0,"loadSuccessCount":0,"loadFailureCount":0,"totalLoadTimeNanos":0,"evictionCount":0,"expirationCount":0,"putCount":15000,"removeCount":0,"nativeMetrics":{"storageEnabled":0}}</x:v>
      </x:c>
      <x:c r="BA254" s="43" t="n">
        <x:v>0</x:v>
      </x:c>
      <x:c r="BB254" s="43" t="n">
        <x:v>518086400</x:v>
      </x:c>
      <x:c r="BC254" s="43" t="n">
        <x:v>0</x:v>
      </x:c>
      <x:c r="BD254" s="43" t="n">
        <x:v>518086400</x:v>
      </x:c>
      <x:c r="BE254" s="48" t="n">
        <x:v>0</x:v>
      </x:c>
      <x:c r="BF254" s="43" t="n">
        <x:v>0</x:v>
      </x:c>
      <x:c r="BG254" s="43" t="n">
        <x:v>0</x:v>
      </x:c>
      <x:c r="BH254" s="43" t="n">
        <x:v>0</x:v>
      </x:c>
      <x:c r="BI254" s="43" t="n">
        <x:v>0</x:v>
      </x:c>
      <x:c r="BJ254" s="43" t="n">
        <x:v>0</x:v>
      </x:c>
      <x:c r="BK254" s="43" t="n">
        <x:v>15000</x:v>
      </x:c>
      <x:c r="BL254" s="43" t="n">
        <x:v>0</x:v>
      </x:c>
      <x:c r="BM254" s="44" t="str">
        <x:v>{"storageEnabled":0}</x:v>
      </x:c>
    </x:row>
    <x:row r="255">
      <x:c r="A255" s="34" t="str">
        <x:v>article1-unified-v4-2-fb3f101b-20260903-000401-default-f05-p2-nostore</x:v>
      </x:c>
      <x:c r="B255" s="34" t="str">
        <x:v>default</x:v>
      </x:c>
      <x:c r="C255" s="34" t="str">
        <x:v>nostore</x:v>
      </x:c>
      <x:c r="D255" s="34" t="str">
        <x:v>nostore</x:v>
      </x:c>
      <x:c r="E255" s="34" t="str">
        <x:v>lifecycle-negative-control</x:v>
      </x:c>
      <x:c r="F255" s="36" t="n">
        <x:v>5</x:v>
      </x:c>
      <x:c r="G255" s="36" t="n">
        <x:v>5</x:v>
      </x:c>
      <x:c r="H255" s="36" t="n">
        <x:v>2</x:v>
      </x:c>
      <x:c r="I255" s="36" t="n">
        <x:v>2</x:v>
      </x:c>
      <x:c r="J255" s="34" t="str">
        <x:v>redeploy</x:v>
      </x:c>
      <x:c r="K255" s="34" t="str">
        <x:v>no-store-control</x:v>
      </x:c>
      <x:c r="L255" s="45" t="b">
        <x:v>0</x:v>
      </x:c>
      <x:c r="M255" s="36" t="n">
        <x:v>681442610</x:v>
      </x:c>
      <x:c r="N255" s="34" t="str">
        <x:v>6004b5d35d3f44ddcdd5f00ff160f8c46199fad46729e7e512a45aa23375c89b</x:v>
      </x:c>
      <x:c r="O255" s="43" t="n">
        <x:v>10000</x:v>
      </x:c>
      <x:c r="P255" s="43" t="n">
        <x:v>400000</x:v>
      </x:c>
      <x:c r="Q255" s="36" t="n">
        <x:v>8</x:v>
      </x:c>
      <x:c r="R255" s="42" t="n">
        <x:v>95</x:v>
      </x:c>
      <x:c r="S255" s="43" t="n">
        <x:v>512</x:v>
      </x:c>
      <x:c r="T255" s="43" t="n">
        <x:v>50000</x:v>
      </x:c>
      <x:c r="U255" s="46" t="n">
        <x:v>3</x:v>
      </x:c>
      <x:c r="V255" s="46" t="n">
        <x:v>5</x:v>
      </x:c>
      <x:c r="W255" s="43" t="n">
        <x:v>300</x:v>
      </x:c>
      <x:c r="X255" s="34" t="str">
        <x:v>uniform</x:v>
      </x:c>
      <x:c r="Y255" s="42" t="n">
        <x:v>10</x:v>
      </x:c>
      <x:c r="Z255" s="34" t="str">
        <x:v>strict</x:v>
      </x:c>
      <x:c r="AA255" s="36" t="n">
        <x:v>64</x:v>
      </x:c>
      <x:c r="AB255" s="43" t="n">
        <x:v>370436864</x:v>
      </x:c>
      <x:c r="AC255" s="43" t="n">
        <x:v>3048777485</x:v>
      </x:c>
      <x:c r="AD255" s="43" t="n">
        <x:v>48777485</x:v>
      </x:c>
      <x:c r="AE255" s="43" t="n">
        <x:v>12531705.214191906</x:v>
      </x:c>
      <x:c r="AF255" s="43" t="n">
        <x:v>103953317.36524685</x:v>
      </x:c>
      <x:c r="AG255" s="43" t="n">
        <x:v>520441600</x:v>
      </x:c>
      <x:c r="AH255" s="43" t="n">
        <x:v>5006493426</x:v>
      </x:c>
      <x:c r="AI255" s="43" t="n">
        <x:v>6493426</x:v>
      </x:c>
      <x:c r="AJ255" s="43" t="n">
        <x:v>103953317.36524685</x:v>
      </x:c>
      <x:c r="AK255" s="43" t="n">
        <x:v>520441600</x:v>
      </x:c>
      <x:c r="AL255" s="43" t="n">
        <x:v>0</x:v>
      </x:c>
      <x:c r="AM255" s="43" t="n">
        <x:v>19970842.569848023</x:v>
      </x:c>
      <x:c r="AN255" s="43" t="n">
        <x:v>40</x:v>
      </x:c>
      <x:c r="AO255" s="43" t="n">
        <x:v>160</x:v>
      </x:c>
      <x:c r="AP255" s="43" t="n">
        <x:v>281</x:v>
      </x:c>
      <x:c r="AQ255" s="43" t="n">
        <x:v>8131900</x:v>
      </x:c>
      <x:c r="AR255" s="43" t="n">
        <x:v>16</x:v>
      </x:c>
      <x:c r="AS255" s="45" t="b">
        <x:v>0</x:v>
      </x:c>
      <x:c r="AT255" s="43" t="n">
        <x:v>0</x:v>
      </x:c>
      <x:c r="AU255" s="48" t="n">
        <x:v>0</x:v>
      </x:c>
      <x:c r="AV255" s="43" t="n">
        <x:v>0</x:v>
      </x:c>
      <x:c r="AW255" s="48" t="n">
        <x:v>0</x:v>
      </x:c>
      <x:c r="AX255" s="45" t="b">
        <x:v>1</x:v>
      </x:c>
      <x:c r="AY255" s="44" t="str">
        <x:v>{"provider":"nostore","currentEntries":0,"requestCount":520441600,"hitCount":0,"missCount":520441600,"hitRate":0,"loadSuccessCount":0,"loadFailureCount":0,"totalLoadTimeNanos":0,"evictionCount":0,"expirationCount":0,"putCount":10000,"removeCount":0,"nativeMetrics":{"storageEnabled":0}}</x:v>
      </x:c>
      <x:c r="AZ255" s="44" t="str">
        <x:v>{"provider":"nostore","currentEntries":0,"requestCount":520441600,"hitCount":0,"missCount":520441600,"hitRate":0,"loadSuccessCount":0,"loadFailureCount":0,"totalLoadTimeNanos":0,"evictionCount":0,"expirationCount":0,"putCount":15000,"removeCount":0,"nativeMetrics":{"storageEnabled":0}}</x:v>
      </x:c>
      <x:c r="BA255" s="43" t="n">
        <x:v>0</x:v>
      </x:c>
      <x:c r="BB255" s="43" t="n">
        <x:v>520441600</x:v>
      </x:c>
      <x:c r="BC255" s="43" t="n">
        <x:v>0</x:v>
      </x:c>
      <x:c r="BD255" s="43" t="n">
        <x:v>520441600</x:v>
      </x:c>
      <x:c r="BE255" s="48" t="n">
        <x:v>0</x:v>
      </x:c>
      <x:c r="BF255" s="43" t="n">
        <x:v>0</x:v>
      </x:c>
      <x:c r="BG255" s="43" t="n">
        <x:v>0</x:v>
      </x:c>
      <x:c r="BH255" s="43" t="n">
        <x:v>0</x:v>
      </x:c>
      <x:c r="BI255" s="43" t="n">
        <x:v>0</x:v>
      </x:c>
      <x:c r="BJ255" s="43" t="n">
        <x:v>0</x:v>
      </x:c>
      <x:c r="BK255" s="43" t="n">
        <x:v>15000</x:v>
      </x:c>
      <x:c r="BL255" s="43" t="n">
        <x:v>0</x:v>
      </x:c>
      <x:c r="BM255" s="44" t="str">
        <x:v>{"storageEnabled":0}</x:v>
      </x:c>
    </x:row>
    <x:row r="256">
      <x:c r="A256" s="34" t="str">
        <x:v>article1-unified-v4-2-fb3f101b-20260903-000401-default-f05-p2-nostore</x:v>
      </x:c>
      <x:c r="B256" s="34" t="str">
        <x:v>default</x:v>
      </x:c>
      <x:c r="C256" s="34" t="str">
        <x:v>nostore</x:v>
      </x:c>
      <x:c r="D256" s="34" t="str">
        <x:v>nostore</x:v>
      </x:c>
      <x:c r="E256" s="34" t="str">
        <x:v>lifecycle-negative-control</x:v>
      </x:c>
      <x:c r="F256" s="36" t="n">
        <x:v>5</x:v>
      </x:c>
      <x:c r="G256" s="36" t="n">
        <x:v>5</x:v>
      </x:c>
      <x:c r="H256" s="36" t="n">
        <x:v>2</x:v>
      </x:c>
      <x:c r="I256" s="36" t="n">
        <x:v>3</x:v>
      </x:c>
      <x:c r="J256" s="34" t="str">
        <x:v>initial</x:v>
      </x:c>
      <x:c r="K256" s="34" t="str">
        <x:v>no-store-control</x:v>
      </x:c>
      <x:c r="L256" s="45" t="b">
        <x:v>0</x:v>
      </x:c>
      <x:c r="M256" s="36" t="n">
        <x:v>1680357415</x:v>
      </x:c>
      <x:c r="N256" s="34" t="str">
        <x:v>7fd56c55e07780880dfc2de7b34f4b776b7447364ab7153414be84b7c5d590b9</x:v>
      </x:c>
      <x:c r="O256" s="43" t="n">
        <x:v>10000</x:v>
      </x:c>
      <x:c r="P256" s="43" t="n">
        <x:v>400000</x:v>
      </x:c>
      <x:c r="Q256" s="36" t="n">
        <x:v>8</x:v>
      </x:c>
      <x:c r="R256" s="42" t="n">
        <x:v>95</x:v>
      </x:c>
      <x:c r="S256" s="43" t="n">
        <x:v>512</x:v>
      </x:c>
      <x:c r="T256" s="43" t="n">
        <x:v>50000</x:v>
      </x:c>
      <x:c r="U256" s="46" t="n">
        <x:v>3</x:v>
      </x:c>
      <x:c r="V256" s="46" t="n">
        <x:v>5</x:v>
      </x:c>
      <x:c r="W256" s="43" t="n">
        <x:v>300</x:v>
      </x:c>
      <x:c r="X256" s="34" t="str">
        <x:v>uniform</x:v>
      </x:c>
      <x:c r="Y256" s="42" t="n">
        <x:v>10</x:v>
      </x:c>
      <x:c r="Z256" s="34" t="str">
        <x:v>strict</x:v>
      </x:c>
      <x:c r="AA256" s="36" t="n">
        <x:v>64</x:v>
      </x:c>
      <x:c r="AB256" s="43" t="n">
        <x:v>373724160</x:v>
      </x:c>
      <x:c r="AC256" s="43" t="n">
        <x:v>3026567982</x:v>
      </x:c>
      <x:c r="AD256" s="43" t="n">
        <x:v>26567982</x:v>
      </x:c>
      <x:c r="AE256" s="43" t="n">
        <x:v>11059720.27755474</x:v>
      </x:c>
      <x:c r="AF256" s="43" t="n">
        <x:v>103490565.13366164</x:v>
      </x:c>
      <x:c r="AG256" s="43" t="n">
        <x:v>518220288</x:v>
      </x:c>
      <x:c r="AH256" s="43" t="n">
        <x:v>5007415771</x:v>
      </x:c>
      <x:c r="AI256" s="43" t="n">
        <x:v>7415771</x:v>
      </x:c>
      <x:c r="AJ256" s="43" t="n">
        <x:v>103490565.13366164</x:v>
      </x:c>
      <x:c r="AK256" s="43" t="n">
        <x:v>518220288</x:v>
      </x:c>
      <x:c r="AL256" s="43" t="n">
        <x:v>0</x:v>
      </x:c>
      <x:c r="AM256" s="43" t="n">
        <x:v>20315540.982540824</x:v>
      </x:c>
      <x:c r="AN256" s="43" t="n">
        <x:v>40</x:v>
      </x:c>
      <x:c r="AO256" s="43" t="n">
        <x:v>161</x:v>
      </x:c>
      <x:c r="AP256" s="43" t="n">
        <x:v>281</x:v>
      </x:c>
      <x:c r="AQ256" s="43" t="n">
        <x:v>8097192</x:v>
      </x:c>
      <x:c r="AR256" s="43" t="n">
        <x:v>16</x:v>
      </x:c>
      <x:c r="AS256" s="45" t="b">
        <x:v>0</x:v>
      </x:c>
      <x:c r="AT256" s="43" t="n">
        <x:v>0</x:v>
      </x:c>
      <x:c r="AU256" s="48" t="n">
        <x:v>0</x:v>
      </x:c>
      <x:c r="AV256" s="43" t="n">
        <x:v>0</x:v>
      </x:c>
      <x:c r="AW256" s="48" t="n">
        <x:v>0</x:v>
      </x:c>
      <x:c r="AX256" s="45" t="b">
        <x:v>1</x:v>
      </x:c>
      <x:c r="AY256" s="44" t="str">
        <x:v>{"provider":"nostore","currentEntries":0,"requestCount":518220288,"hitCount":0,"missCount":518220288,"hitRate":0,"loadSuccessCount":0,"loadFailureCount":0,"totalLoadTimeNanos":0,"evictionCount":0,"expirationCount":0,"putCount":10000,"removeCount":0,"nativeMetrics":{"storageEnabled":0}}</x:v>
      </x:c>
      <x:c r="AZ256" s="44" t="str">
        <x:v>{"provider":"nostore","currentEntries":0,"requestCount":518220288,"hitCount":0,"missCount":518220288,"hitRate":0,"loadSuccessCount":0,"loadFailureCount":0,"totalLoadTimeNanos":0,"evictionCount":0,"expirationCount":0,"putCount":15000,"removeCount":0,"nativeMetrics":{"storageEnabled":0}}</x:v>
      </x:c>
      <x:c r="BA256" s="43" t="n">
        <x:v>0</x:v>
      </x:c>
      <x:c r="BB256" s="43" t="n">
        <x:v>518220288</x:v>
      </x:c>
      <x:c r="BC256" s="43" t="n">
        <x:v>0</x:v>
      </x:c>
      <x:c r="BD256" s="43" t="n">
        <x:v>518220288</x:v>
      </x:c>
      <x:c r="BE256" s="48" t="n">
        <x:v>0</x:v>
      </x:c>
      <x:c r="BF256" s="43" t="n">
        <x:v>0</x:v>
      </x:c>
      <x:c r="BG256" s="43" t="n">
        <x:v>0</x:v>
      </x:c>
      <x:c r="BH256" s="43" t="n">
        <x:v>0</x:v>
      </x:c>
      <x:c r="BI256" s="43" t="n">
        <x:v>0</x:v>
      </x:c>
      <x:c r="BJ256" s="43" t="n">
        <x:v>0</x:v>
      </x:c>
      <x:c r="BK256" s="43" t="n">
        <x:v>15000</x:v>
      </x:c>
      <x:c r="BL256" s="43" t="n">
        <x:v>0</x:v>
      </x:c>
      <x:c r="BM256" s="44" t="str">
        <x:v>{"storageEnabled":0}</x:v>
      </x:c>
    </x:row>
    <x:row r="257">
      <x:c r="A257" s="34" t="str">
        <x:v>article1-unified-v4-2-fb3f101b-20260903-000401-default-f05-p2-nostore</x:v>
      </x:c>
      <x:c r="B257" s="34" t="str">
        <x:v>default</x:v>
      </x:c>
      <x:c r="C257" s="34" t="str">
        <x:v>nostore</x:v>
      </x:c>
      <x:c r="D257" s="34" t="str">
        <x:v>nostore</x:v>
      </x:c>
      <x:c r="E257" s="34" t="str">
        <x:v>lifecycle-negative-control</x:v>
      </x:c>
      <x:c r="F257" s="36" t="n">
        <x:v>5</x:v>
      </x:c>
      <x:c r="G257" s="36" t="n">
        <x:v>5</x:v>
      </x:c>
      <x:c r="H257" s="36" t="n">
        <x:v>2</x:v>
      </x:c>
      <x:c r="I257" s="36" t="n">
        <x:v>3</x:v>
      </x:c>
      <x:c r="J257" s="34" t="str">
        <x:v>redeploy</x:v>
      </x:c>
      <x:c r="K257" s="34" t="str">
        <x:v>no-store-control</x:v>
      </x:c>
      <x:c r="L257" s="45" t="b">
        <x:v>0</x:v>
      </x:c>
      <x:c r="M257" s="36" t="n">
        <x:v>1680357415</x:v>
      </x:c>
      <x:c r="N257" s="34" t="str">
        <x:v>7fd56c55e07780880dfc2de7b34f4b776b7447364ab7153414be84b7c5d590b9</x:v>
      </x:c>
      <x:c r="O257" s="43" t="n">
        <x:v>10000</x:v>
      </x:c>
      <x:c r="P257" s="43" t="n">
        <x:v>400000</x:v>
      </x:c>
      <x:c r="Q257" s="36" t="n">
        <x:v>8</x:v>
      </x:c>
      <x:c r="R257" s="42" t="n">
        <x:v>95</x:v>
      </x:c>
      <x:c r="S257" s="43" t="n">
        <x:v>512</x:v>
      </x:c>
      <x:c r="T257" s="43" t="n">
        <x:v>50000</x:v>
      </x:c>
      <x:c r="U257" s="46" t="n">
        <x:v>3</x:v>
      </x:c>
      <x:c r="V257" s="46" t="n">
        <x:v>5</x:v>
      </x:c>
      <x:c r="W257" s="43" t="n">
        <x:v>300</x:v>
      </x:c>
      <x:c r="X257" s="34" t="str">
        <x:v>uniform</x:v>
      </x:c>
      <x:c r="Y257" s="42" t="n">
        <x:v>10</x:v>
      </x:c>
      <x:c r="Z257" s="34" t="str">
        <x:v>strict</x:v>
      </x:c>
      <x:c r="AA257" s="36" t="n">
        <x:v>64</x:v>
      </x:c>
      <x:c r="AB257" s="43" t="n">
        <x:v>372230400</x:v>
      </x:c>
      <x:c r="AC257" s="43" t="n">
        <x:v>3028874595</x:v>
      </x:c>
      <x:c r="AD257" s="43" t="n">
        <x:v>28874595</x:v>
      </x:c>
      <x:c r="AE257" s="43" t="n">
        <x:v>11606569.782759834</x:v>
      </x:c>
      <x:c r="AF257" s="43" t="n">
        <x:v>104553462.31761166</x:v>
      </x:c>
      <x:c r="AG257" s="43" t="n">
        <x:v>523792640</x:v>
      </x:c>
      <x:c r="AH257" s="43" t="n">
        <x:v>5009806738</x:v>
      </x:c>
      <x:c r="AI257" s="43" t="n">
        <x:v>9806738</x:v>
      </x:c>
      <x:c r="AJ257" s="43" t="n">
        <x:v>104553462.31761166</x:v>
      </x:c>
      <x:c r="AK257" s="43" t="n">
        <x:v>523792640</x:v>
      </x:c>
      <x:c r="AL257" s="43" t="n">
        <x:v>0</x:v>
      </x:c>
      <x:c r="AM257" s="43" t="n">
        <x:v>15150091.961058203</x:v>
      </x:c>
      <x:c r="AN257" s="43" t="n">
        <x:v>31</x:v>
      </x:c>
      <x:c r="AO257" s="43" t="n">
        <x:v>160</x:v>
      </x:c>
      <x:c r="AP257" s="43" t="n">
        <x:v>281</x:v>
      </x:c>
      <x:c r="AQ257" s="43" t="n">
        <x:v>8184260</x:v>
      </x:c>
      <x:c r="AR257" s="43" t="n">
        <x:v>16</x:v>
      </x:c>
      <x:c r="AS257" s="45" t="b">
        <x:v>0</x:v>
      </x:c>
      <x:c r="AT257" s="43" t="n">
        <x:v>0</x:v>
      </x:c>
      <x:c r="AU257" s="48" t="n">
        <x:v>0</x:v>
      </x:c>
      <x:c r="AV257" s="43" t="n">
        <x:v>0</x:v>
      </x:c>
      <x:c r="AW257" s="48" t="n">
        <x:v>0</x:v>
      </x:c>
      <x:c r="AX257" s="45" t="b">
        <x:v>1</x:v>
      </x:c>
      <x:c r="AY257" s="44" t="str">
        <x:v>{"provider":"nostore","currentEntries":0,"requestCount":523792640,"hitCount":0,"missCount":523792640,"hitRate":0,"loadSuccessCount":0,"loadFailureCount":0,"totalLoadTimeNanos":0,"evictionCount":0,"expirationCount":0,"putCount":10000,"removeCount":0,"nativeMetrics":{"storageEnabled":0}}</x:v>
      </x:c>
      <x:c r="AZ257" s="44" t="str">
        <x:v>{"provider":"nostore","currentEntries":0,"requestCount":523792640,"hitCount":0,"missCount":523792640,"hitRate":0,"loadSuccessCount":0,"loadFailureCount":0,"totalLoadTimeNanos":0,"evictionCount":0,"expirationCount":0,"putCount":15000,"removeCount":0,"nativeMetrics":{"storageEnabled":0}}</x:v>
      </x:c>
      <x:c r="BA257" s="43" t="n">
        <x:v>0</x:v>
      </x:c>
      <x:c r="BB257" s="43" t="n">
        <x:v>523792640</x:v>
      </x:c>
      <x:c r="BC257" s="43" t="n">
        <x:v>0</x:v>
      </x:c>
      <x:c r="BD257" s="43" t="n">
        <x:v>523792640</x:v>
      </x:c>
      <x:c r="BE257" s="48" t="n">
        <x:v>0</x:v>
      </x:c>
      <x:c r="BF257" s="43" t="n">
        <x:v>0</x:v>
      </x:c>
      <x:c r="BG257" s="43" t="n">
        <x:v>0</x:v>
      </x:c>
      <x:c r="BH257" s="43" t="n">
        <x:v>0</x:v>
      </x:c>
      <x:c r="BI257" s="43" t="n">
        <x:v>0</x:v>
      </x:c>
      <x:c r="BJ257" s="43" t="n">
        <x:v>0</x:v>
      </x:c>
      <x:c r="BK257" s="43" t="n">
        <x:v>15000</x:v>
      </x:c>
      <x:c r="BL257" s="43" t="n">
        <x:v>0</x:v>
      </x:c>
      <x:c r="BM257" s="44" t="str">
        <x:v>{"storageEnabled":0}</x:v>
      </x:c>
    </x:row>
    <x:row r="258">
      <x:c r="A258" s="34" t="str">
        <x:v>article1-unified-v4-2-fb3f101b-20260903-000401-default-f05-p2-nostore</x:v>
      </x:c>
      <x:c r="B258" s="34" t="str">
        <x:v>default</x:v>
      </x:c>
      <x:c r="C258" s="34" t="str">
        <x:v>nostore</x:v>
      </x:c>
      <x:c r="D258" s="34" t="str">
        <x:v>nostore</x:v>
      </x:c>
      <x:c r="E258" s="34" t="str">
        <x:v>lifecycle-negative-control</x:v>
      </x:c>
      <x:c r="F258" s="36" t="n">
        <x:v>5</x:v>
      </x:c>
      <x:c r="G258" s="36" t="n">
        <x:v>5</x:v>
      </x:c>
      <x:c r="H258" s="36" t="n">
        <x:v>2</x:v>
      </x:c>
      <x:c r="I258" s="36" t="n">
        <x:v>4</x:v>
      </x:c>
      <x:c r="J258" s="34" t="str">
        <x:v>initial</x:v>
      </x:c>
      <x:c r="K258" s="34" t="str">
        <x:v>no-store-control</x:v>
      </x:c>
      <x:c r="L258" s="45" t="b">
        <x:v>0</x:v>
      </x:c>
      <x:c r="M258" s="36" t="n">
        <x:v>1131239936</x:v>
      </x:c>
      <x:c r="N258" s="34" t="str">
        <x:v>3a5209d570baf0beb6c3f6e9b35074a72fca123e15e1fa95c3b3bc779093a379</x:v>
      </x:c>
      <x:c r="O258" s="43" t="n">
        <x:v>10000</x:v>
      </x:c>
      <x:c r="P258" s="43" t="n">
        <x:v>400000</x:v>
      </x:c>
      <x:c r="Q258" s="36" t="n">
        <x:v>8</x:v>
      </x:c>
      <x:c r="R258" s="42" t="n">
        <x:v>95</x:v>
      </x:c>
      <x:c r="S258" s="43" t="n">
        <x:v>512</x:v>
      </x:c>
      <x:c r="T258" s="43" t="n">
        <x:v>50000</x:v>
      </x:c>
      <x:c r="U258" s="46" t="n">
        <x:v>3</x:v>
      </x:c>
      <x:c r="V258" s="46" t="n">
        <x:v>5</x:v>
      </x:c>
      <x:c r="W258" s="43" t="n">
        <x:v>300</x:v>
      </x:c>
      <x:c r="X258" s="34" t="str">
        <x:v>uniform</x:v>
      </x:c>
      <x:c r="Y258" s="42" t="n">
        <x:v>10</x:v>
      </x:c>
      <x:c r="Z258" s="34" t="str">
        <x:v>strict</x:v>
      </x:c>
      <x:c r="AA258" s="36" t="n">
        <x:v>64</x:v>
      </x:c>
      <x:c r="AB258" s="43" t="n">
        <x:v>375441408</x:v>
      </x:c>
      <x:c r="AC258" s="43" t="n">
        <x:v>3000435720</x:v>
      </x:c>
      <x:c r="AD258" s="43" t="n">
        <x:v>435720</x:v>
      </x:c>
      <x:c r="AE258" s="43" t="n">
        <x:v>14390684.046775479</x:v>
      </x:c>
      <x:c r="AF258" s="43" t="n">
        <x:v>101087510.78608476</x:v>
      </x:c>
      <x:c r="AG258" s="43" t="n">
        <x:v>511760640</x:v>
      </x:c>
      <x:c r="AH258" s="43" t="n">
        <x:v>5062550616</x:v>
      </x:c>
      <x:c r="AI258" s="43" t="n">
        <x:v>62550616</x:v>
      </x:c>
      <x:c r="AJ258" s="43" t="n">
        <x:v>101087510.78608476</x:v>
      </x:c>
      <x:c r="AK258" s="43" t="n">
        <x:v>511760640</x:v>
      </x:c>
      <x:c r="AL258" s="43" t="n">
        <x:v>0</x:v>
      </x:c>
      <x:c r="AM258" s="43" t="n">
        <x:v>19612227.046830077</x:v>
      </x:c>
      <x:c r="AN258" s="43" t="n">
        <x:v>40</x:v>
      </x:c>
      <x:c r="AO258" s="43" t="n">
        <x:v>161</x:v>
      </x:c>
      <x:c r="AP258" s="43" t="n">
        <x:v>290</x:v>
      </x:c>
      <x:c r="AQ258" s="43" t="n">
        <x:v>7996260</x:v>
      </x:c>
      <x:c r="AR258" s="43" t="n">
        <x:v>16</x:v>
      </x:c>
      <x:c r="AS258" s="45" t="b">
        <x:v>0</x:v>
      </x:c>
      <x:c r="AT258" s="43" t="n">
        <x:v>0</x:v>
      </x:c>
      <x:c r="AU258" s="48" t="n">
        <x:v>0</x:v>
      </x:c>
      <x:c r="AV258" s="43" t="n">
        <x:v>0</x:v>
      </x:c>
      <x:c r="AW258" s="48" t="n">
        <x:v>0</x:v>
      </x:c>
      <x:c r="AX258" s="45" t="b">
        <x:v>1</x:v>
      </x:c>
      <x:c r="AY258" s="44" t="str">
        <x:v>{"provider":"nostore","currentEntries":0,"requestCount":511760640,"hitCount":0,"missCount":511760640,"hitRate":0,"loadSuccessCount":0,"loadFailureCount":0,"totalLoadTimeNanos":0,"evictionCount":0,"expirationCount":0,"putCount":10000,"removeCount":0,"nativeMetrics":{"storageEnabled":0}}</x:v>
      </x:c>
      <x:c r="AZ258" s="44" t="str">
        <x:v>{"provider":"nostore","currentEntries":0,"requestCount":511760640,"hitCount":0,"missCount":511760640,"hitRate":0,"loadSuccessCount":0,"loadFailureCount":0,"totalLoadTimeNanos":0,"evictionCount":0,"expirationCount":0,"putCount":15000,"removeCount":0,"nativeMetrics":{"storageEnabled":0}}</x:v>
      </x:c>
      <x:c r="BA258" s="43" t="n">
        <x:v>0</x:v>
      </x:c>
      <x:c r="BB258" s="43" t="n">
        <x:v>511760640</x:v>
      </x:c>
      <x:c r="BC258" s="43" t="n">
        <x:v>0</x:v>
      </x:c>
      <x:c r="BD258" s="43" t="n">
        <x:v>511760640</x:v>
      </x:c>
      <x:c r="BE258" s="48" t="n">
        <x:v>0</x:v>
      </x:c>
      <x:c r="BF258" s="43" t="n">
        <x:v>0</x:v>
      </x:c>
      <x:c r="BG258" s="43" t="n">
        <x:v>0</x:v>
      </x:c>
      <x:c r="BH258" s="43" t="n">
        <x:v>0</x:v>
      </x:c>
      <x:c r="BI258" s="43" t="n">
        <x:v>0</x:v>
      </x:c>
      <x:c r="BJ258" s="43" t="n">
        <x:v>0</x:v>
      </x:c>
      <x:c r="BK258" s="43" t="n">
        <x:v>15000</x:v>
      </x:c>
      <x:c r="BL258" s="43" t="n">
        <x:v>0</x:v>
      </x:c>
      <x:c r="BM258" s="44" t="str">
        <x:v>{"storageEnabled":0}</x:v>
      </x:c>
    </x:row>
    <x:row r="259">
      <x:c r="A259" s="34" t="str">
        <x:v>article1-unified-v4-2-fb3f101b-20260903-000401-default-f05-p2-nostore</x:v>
      </x:c>
      <x:c r="B259" s="34" t="str">
        <x:v>default</x:v>
      </x:c>
      <x:c r="C259" s="34" t="str">
        <x:v>nostore</x:v>
      </x:c>
      <x:c r="D259" s="34" t="str">
        <x:v>nostore</x:v>
      </x:c>
      <x:c r="E259" s="34" t="str">
        <x:v>lifecycle-negative-control</x:v>
      </x:c>
      <x:c r="F259" s="36" t="n">
        <x:v>5</x:v>
      </x:c>
      <x:c r="G259" s="36" t="n">
        <x:v>5</x:v>
      </x:c>
      <x:c r="H259" s="36" t="n">
        <x:v>2</x:v>
      </x:c>
      <x:c r="I259" s="36" t="n">
        <x:v>4</x:v>
      </x:c>
      <x:c r="J259" s="34" t="str">
        <x:v>redeploy</x:v>
      </x:c>
      <x:c r="K259" s="34" t="str">
        <x:v>no-store-control</x:v>
      </x:c>
      <x:c r="L259" s="45" t="b">
        <x:v>0</x:v>
      </x:c>
      <x:c r="M259" s="36" t="n">
        <x:v>1131239936</x:v>
      </x:c>
      <x:c r="N259" s="34" t="str">
        <x:v>3a5209d570baf0beb6c3f6e9b35074a72fca123e15e1fa95c3b3bc779093a379</x:v>
      </x:c>
      <x:c r="O259" s="43" t="n">
        <x:v>10000</x:v>
      </x:c>
      <x:c r="P259" s="43" t="n">
        <x:v>400000</x:v>
      </x:c>
      <x:c r="Q259" s="36" t="n">
        <x:v>8</x:v>
      </x:c>
      <x:c r="R259" s="42" t="n">
        <x:v>95</x:v>
      </x:c>
      <x:c r="S259" s="43" t="n">
        <x:v>512</x:v>
      </x:c>
      <x:c r="T259" s="43" t="n">
        <x:v>50000</x:v>
      </x:c>
      <x:c r="U259" s="46" t="n">
        <x:v>3</x:v>
      </x:c>
      <x:c r="V259" s="46" t="n">
        <x:v>5</x:v>
      </x:c>
      <x:c r="W259" s="43" t="n">
        <x:v>300</x:v>
      </x:c>
      <x:c r="X259" s="34" t="str">
        <x:v>uniform</x:v>
      </x:c>
      <x:c r="Y259" s="42" t="n">
        <x:v>10</x:v>
      </x:c>
      <x:c r="Z259" s="34" t="str">
        <x:v>strict</x:v>
      </x:c>
      <x:c r="AA259" s="36" t="n">
        <x:v>64</x:v>
      </x:c>
      <x:c r="AB259" s="43" t="n">
        <x:v>369563648</x:v>
      </x:c>
      <x:c r="AC259" s="43" t="n">
        <x:v>3000388215</x:v>
      </x:c>
      <x:c r="AD259" s="43" t="n">
        <x:v>388215</x:v>
      </x:c>
      <x:c r="AE259" s="43" t="n">
        <x:v>10857857.614398388</x:v>
      </x:c>
      <x:c r="AF259" s="43" t="n">
        <x:v>105373185.18976125</x:v>
      </x:c>
      <x:c r="AG259" s="43" t="n">
        <x:v>527837184</x:v>
      </x:c>
      <x:c r="AH259" s="43" t="n">
        <x:v>5009217317</x:v>
      </x:c>
      <x:c r="AI259" s="43" t="n">
        <x:v>9217317</x:v>
      </x:c>
      <x:c r="AJ259" s="43" t="n">
        <x:v>105373185.18976125</x:v>
      </x:c>
      <x:c r="AK259" s="43" t="n">
        <x:v>527837184</x:v>
      </x:c>
      <x:c r="AL259" s="43" t="n">
        <x:v>0</x:v>
      </x:c>
      <x:c r="AM259" s="43" t="n">
        <x:v>20346211.12856364</x:v>
      </x:c>
      <x:c r="AN259" s="43" t="n">
        <x:v>40</x:v>
      </x:c>
      <x:c r="AO259" s="43" t="n">
        <x:v>160</x:v>
      </x:c>
      <x:c r="AP259" s="43" t="n">
        <x:v>281</x:v>
      </x:c>
      <x:c r="AQ259" s="43" t="n">
        <x:v>8247456</x:v>
      </x:c>
      <x:c r="AR259" s="43" t="n">
        <x:v>16</x:v>
      </x:c>
      <x:c r="AS259" s="45" t="b">
        <x:v>0</x:v>
      </x:c>
      <x:c r="AT259" s="43" t="n">
        <x:v>0</x:v>
      </x:c>
      <x:c r="AU259" s="48" t="n">
        <x:v>0</x:v>
      </x:c>
      <x:c r="AV259" s="43" t="n">
        <x:v>0</x:v>
      </x:c>
      <x:c r="AW259" s="48" t="n">
        <x:v>0</x:v>
      </x:c>
      <x:c r="AX259" s="45" t="b">
        <x:v>1</x:v>
      </x:c>
      <x:c r="AY259" s="44" t="str">
        <x:v>{"provider":"nostore","currentEntries":0,"requestCount":527837184,"hitCount":0,"missCount":527837184,"hitRate":0,"loadSuccessCount":0,"loadFailureCount":0,"totalLoadTimeNanos":0,"evictionCount":0,"expirationCount":0,"putCount":10000,"removeCount":0,"nativeMetrics":{"storageEnabled":0}}</x:v>
      </x:c>
      <x:c r="AZ259" s="44" t="str">
        <x:v>{"provider":"nostore","currentEntries":0,"requestCount":527837184,"hitCount":0,"missCount":527837184,"hitRate":0,"loadSuccessCount":0,"loadFailureCount":0,"totalLoadTimeNanos":0,"evictionCount":0,"expirationCount":0,"putCount":15000,"removeCount":0,"nativeMetrics":{"storageEnabled":0}}</x:v>
      </x:c>
      <x:c r="BA259" s="43" t="n">
        <x:v>0</x:v>
      </x:c>
      <x:c r="BB259" s="43" t="n">
        <x:v>527837184</x:v>
      </x:c>
      <x:c r="BC259" s="43" t="n">
        <x:v>0</x:v>
      </x:c>
      <x:c r="BD259" s="43" t="n">
        <x:v>527837184</x:v>
      </x:c>
      <x:c r="BE259" s="48" t="n">
        <x:v>0</x:v>
      </x:c>
      <x:c r="BF259" s="43" t="n">
        <x:v>0</x:v>
      </x:c>
      <x:c r="BG259" s="43" t="n">
        <x:v>0</x:v>
      </x:c>
      <x:c r="BH259" s="43" t="n">
        <x:v>0</x:v>
      </x:c>
      <x:c r="BI259" s="43" t="n">
        <x:v>0</x:v>
      </x:c>
      <x:c r="BJ259" s="43" t="n">
        <x:v>0</x:v>
      </x:c>
      <x:c r="BK259" s="43" t="n">
        <x:v>15000</x:v>
      </x:c>
      <x:c r="BL259" s="43" t="n">
        <x:v>0</x:v>
      </x:c>
      <x:c r="BM259" s="44" t="str">
        <x:v>{"storageEnabled":0}</x:v>
      </x:c>
    </x:row>
    <x:row r="260">
      <x:c r="A260" s="34" t="str">
        <x:v>article1-unified-v4-2-fb3f101b-20260903-000401-default-f05-p2-nostore</x:v>
      </x:c>
      <x:c r="B260" s="34" t="str">
        <x:v>default</x:v>
      </x:c>
      <x:c r="C260" s="34" t="str">
        <x:v>nostore</x:v>
      </x:c>
      <x:c r="D260" s="34" t="str">
        <x:v>nostore</x:v>
      </x:c>
      <x:c r="E260" s="34" t="str">
        <x:v>lifecycle-negative-control</x:v>
      </x:c>
      <x:c r="F260" s="36" t="n">
        <x:v>5</x:v>
      </x:c>
      <x:c r="G260" s="36" t="n">
        <x:v>5</x:v>
      </x:c>
      <x:c r="H260" s="36" t="n">
        <x:v>2</x:v>
      </x:c>
      <x:c r="I260" s="36" t="n">
        <x:v>5</x:v>
      </x:c>
      <x:c r="J260" s="34" t="str">
        <x:v>initial</x:v>
      </x:c>
      <x:c r="K260" s="34" t="str">
        <x:v>no-store-control</x:v>
      </x:c>
      <x:c r="L260" s="45" t="b">
        <x:v>0</x:v>
      </x:c>
      <x:c r="M260" s="36" t="n">
        <x:v>620988831</x:v>
      </x:c>
      <x:c r="N260" s="34" t="str">
        <x:v>8940757b18d227a000be8118900d9d4aedf44b85c145f2f14007181f24d352aa</x:v>
      </x:c>
      <x:c r="O260" s="43" t="n">
        <x:v>10000</x:v>
      </x:c>
      <x:c r="P260" s="43" t="n">
        <x:v>400000</x:v>
      </x:c>
      <x:c r="Q260" s="36" t="n">
        <x:v>8</x:v>
      </x:c>
      <x:c r="R260" s="42" t="n">
        <x:v>95</x:v>
      </x:c>
      <x:c r="S260" s="43" t="n">
        <x:v>512</x:v>
      </x:c>
      <x:c r="T260" s="43" t="n">
        <x:v>50000</x:v>
      </x:c>
      <x:c r="U260" s="46" t="n">
        <x:v>3</x:v>
      </x:c>
      <x:c r="V260" s="46" t="n">
        <x:v>5</x:v>
      </x:c>
      <x:c r="W260" s="43" t="n">
        <x:v>300</x:v>
      </x:c>
      <x:c r="X260" s="34" t="str">
        <x:v>uniform</x:v>
      </x:c>
      <x:c r="Y260" s="42" t="n">
        <x:v>10</x:v>
      </x:c>
      <x:c r="Z260" s="34" t="str">
        <x:v>strict</x:v>
      </x:c>
      <x:c r="AA260" s="36" t="n">
        <x:v>64</x:v>
      </x:c>
      <x:c r="AB260" s="43" t="n">
        <x:v>374963712</x:v>
      </x:c>
      <x:c r="AC260" s="43" t="n">
        <x:v>3000497925</x:v>
      </x:c>
      <x:c r="AD260" s="43" t="n">
        <x:v>497925</x:v>
      </x:c>
      <x:c r="AE260" s="43" t="n">
        <x:v>14840230.082927207</x:v>
      </x:c>
      <x:c r="AF260" s="43" t="n">
        <x:v>105004762.74231453</x:v>
      </x:c>
      <x:c r="AG260" s="43" t="n">
        <x:v>525642752</x:v>
      </x:c>
      <x:c r="AH260" s="43" t="n">
        <x:v>5005894383</x:v>
      </x:c>
      <x:c r="AI260" s="43" t="n">
        <x:v>5894383</x:v>
      </x:c>
      <x:c r="AJ260" s="43" t="n">
        <x:v>105004762.74231453</x:v>
      </x:c>
      <x:c r="AK260" s="43" t="n">
        <x:v>525642752</x:v>
      </x:c>
      <x:c r="AL260" s="43" t="n">
        <x:v>0</x:v>
      </x:c>
      <x:c r="AM260" s="43" t="n">
        <x:v>17737100.693520635</x:v>
      </x:c>
      <x:c r="AN260" s="43" t="n">
        <x:v>31</x:v>
      </x:c>
      <x:c r="AO260" s="43" t="n">
        <x:v>160</x:v>
      </x:c>
      <x:c r="AP260" s="43" t="n">
        <x:v>281</x:v>
      </x:c>
      <x:c r="AQ260" s="43" t="n">
        <x:v>8213168</x:v>
      </x:c>
      <x:c r="AR260" s="43" t="n">
        <x:v>16</x:v>
      </x:c>
      <x:c r="AS260" s="45" t="b">
        <x:v>0</x:v>
      </x:c>
      <x:c r="AT260" s="43" t="n">
        <x:v>0</x:v>
      </x:c>
      <x:c r="AU260" s="48" t="n">
        <x:v>0</x:v>
      </x:c>
      <x:c r="AV260" s="43" t="n">
        <x:v>0</x:v>
      </x:c>
      <x:c r="AW260" s="48" t="n">
        <x:v>0</x:v>
      </x:c>
      <x:c r="AX260" s="45" t="b">
        <x:v>1</x:v>
      </x:c>
      <x:c r="AY260" s="44" t="str">
        <x:v>{"provider":"nostore","currentEntries":0,"requestCount":525642752,"hitCount":0,"missCount":525642752,"hitRate":0,"loadSuccessCount":0,"loadFailureCount":0,"totalLoadTimeNanos":0,"evictionCount":0,"expirationCount":0,"putCount":10000,"removeCount":0,"nativeMetrics":{"storageEnabled":0}}</x:v>
      </x:c>
      <x:c r="AZ260" s="44" t="str">
        <x:v>{"provider":"nostore","currentEntries":0,"requestCount":525642752,"hitCount":0,"missCount":525642752,"hitRate":0,"loadSuccessCount":0,"loadFailureCount":0,"totalLoadTimeNanos":0,"evictionCount":0,"expirationCount":0,"putCount":15000,"removeCount":0,"nativeMetrics":{"storageEnabled":0}}</x:v>
      </x:c>
      <x:c r="BA260" s="43" t="n">
        <x:v>0</x:v>
      </x:c>
      <x:c r="BB260" s="43" t="n">
        <x:v>525642752</x:v>
      </x:c>
      <x:c r="BC260" s="43" t="n">
        <x:v>0</x:v>
      </x:c>
      <x:c r="BD260" s="43" t="n">
        <x:v>525642752</x:v>
      </x:c>
      <x:c r="BE260" s="48" t="n">
        <x:v>0</x:v>
      </x:c>
      <x:c r="BF260" s="43" t="n">
        <x:v>0</x:v>
      </x:c>
      <x:c r="BG260" s="43" t="n">
        <x:v>0</x:v>
      </x:c>
      <x:c r="BH260" s="43" t="n">
        <x:v>0</x:v>
      </x:c>
      <x:c r="BI260" s="43" t="n">
        <x:v>0</x:v>
      </x:c>
      <x:c r="BJ260" s="43" t="n">
        <x:v>0</x:v>
      </x:c>
      <x:c r="BK260" s="43" t="n">
        <x:v>15000</x:v>
      </x:c>
      <x:c r="BL260" s="43" t="n">
        <x:v>0</x:v>
      </x:c>
      <x:c r="BM260" s="44" t="str">
        <x:v>{"storageEnabled":0}</x:v>
      </x:c>
    </x:row>
    <x:row r="261">
      <x:c r="A261" s="34" t="str">
        <x:v>article1-unified-v4-2-fb3f101b-20260903-000401-default-f05-p2-nostore</x:v>
      </x:c>
      <x:c r="B261" s="34" t="str">
        <x:v>default</x:v>
      </x:c>
      <x:c r="C261" s="34" t="str">
        <x:v>nostore</x:v>
      </x:c>
      <x:c r="D261" s="34" t="str">
        <x:v>nostore</x:v>
      </x:c>
      <x:c r="E261" s="34" t="str">
        <x:v>lifecycle-negative-control</x:v>
      </x:c>
      <x:c r="F261" s="36" t="n">
        <x:v>5</x:v>
      </x:c>
      <x:c r="G261" s="36" t="n">
        <x:v>5</x:v>
      </x:c>
      <x:c r="H261" s="36" t="n">
        <x:v>2</x:v>
      </x:c>
      <x:c r="I261" s="36" t="n">
        <x:v>5</x:v>
      </x:c>
      <x:c r="J261" s="34" t="str">
        <x:v>redeploy</x:v>
      </x:c>
      <x:c r="K261" s="34" t="str">
        <x:v>no-store-control</x:v>
      </x:c>
      <x:c r="L261" s="45" t="b">
        <x:v>0</x:v>
      </x:c>
      <x:c r="M261" s="36" t="n">
        <x:v>620988831</x:v>
      </x:c>
      <x:c r="N261" s="34" t="str">
        <x:v>8940757b18d227a000be8118900d9d4aedf44b85c145f2f14007181f24d352aa</x:v>
      </x:c>
      <x:c r="O261" s="43" t="n">
        <x:v>10000</x:v>
      </x:c>
      <x:c r="P261" s="43" t="n">
        <x:v>400000</x:v>
      </x:c>
      <x:c r="Q261" s="36" t="n">
        <x:v>8</x:v>
      </x:c>
      <x:c r="R261" s="42" t="n">
        <x:v>95</x:v>
      </x:c>
      <x:c r="S261" s="43" t="n">
        <x:v>512</x:v>
      </x:c>
      <x:c r="T261" s="43" t="n">
        <x:v>50000</x:v>
      </x:c>
      <x:c r="U261" s="46" t="n">
        <x:v>3</x:v>
      </x:c>
      <x:c r="V261" s="46" t="n">
        <x:v>5</x:v>
      </x:c>
      <x:c r="W261" s="43" t="n">
        <x:v>300</x:v>
      </x:c>
      <x:c r="X261" s="34" t="str">
        <x:v>uniform</x:v>
      </x:c>
      <x:c r="Y261" s="42" t="n">
        <x:v>10</x:v>
      </x:c>
      <x:c r="Z261" s="34" t="str">
        <x:v>strict</x:v>
      </x:c>
      <x:c r="AA261" s="36" t="n">
        <x:v>64</x:v>
      </x:c>
      <x:c r="AB261" s="43" t="n">
        <x:v>378312960</x:v>
      </x:c>
      <x:c r="AC261" s="43" t="n">
        <x:v>3047225068</x:v>
      </x:c>
      <x:c r="AD261" s="43" t="n">
        <x:v>47225068</x:v>
      </x:c>
      <x:c r="AE261" s="43" t="n">
        <x:v>16306909.074305693</x:v>
      </x:c>
      <x:c r="AF261" s="43" t="n">
        <x:v>104503219.98537152</x:v>
      </x:c>
      <x:c r="AG261" s="43" t="n">
        <x:v>523080960</x:v>
      </x:c>
      <x:c r="AH261" s="43" t="n">
        <x:v>5005405193</x:v>
      </x:c>
      <x:c r="AI261" s="43" t="n">
        <x:v>5405193</x:v>
      </x:c>
      <x:c r="AJ261" s="43" t="n">
        <x:v>104503219.98537152</x:v>
      </x:c>
      <x:c r="AK261" s="43" t="n">
        <x:v>523080960</x:v>
      </x:c>
      <x:c r="AL261" s="43" t="n">
        <x:v>0</x:v>
      </x:c>
      <x:c r="AM261" s="43" t="n">
        <x:v>20219257.629736867</x:v>
      </x:c>
      <x:c r="AN261" s="43" t="n">
        <x:v>31</x:v>
      </x:c>
      <x:c r="AO261" s="43" t="n">
        <x:v>160</x:v>
      </x:c>
      <x:c r="AP261" s="43" t="n">
        <x:v>281</x:v>
      </x:c>
      <x:c r="AQ261" s="43" t="n">
        <x:v>8173140</x:v>
      </x:c>
      <x:c r="AR261" s="43" t="n">
        <x:v>16</x:v>
      </x:c>
      <x:c r="AS261" s="45" t="b">
        <x:v>0</x:v>
      </x:c>
      <x:c r="AT261" s="43" t="n">
        <x:v>0</x:v>
      </x:c>
      <x:c r="AU261" s="48" t="n">
        <x:v>0</x:v>
      </x:c>
      <x:c r="AV261" s="43" t="n">
        <x:v>0</x:v>
      </x:c>
      <x:c r="AW261" s="48" t="n">
        <x:v>0</x:v>
      </x:c>
      <x:c r="AX261" s="45" t="b">
        <x:v>1</x:v>
      </x:c>
      <x:c r="AY261" s="44" t="str">
        <x:v>{"provider":"nostore","currentEntries":0,"requestCount":523080960,"hitCount":0,"missCount":523080960,"hitRate":0,"loadSuccessCount":0,"loadFailureCount":0,"totalLoadTimeNanos":0,"evictionCount":0,"expirationCount":0,"putCount":10000,"removeCount":0,"nativeMetrics":{"storageEnabled":0}}</x:v>
      </x:c>
      <x:c r="AZ261" s="44" t="str">
        <x:v>{"provider":"nostore","currentEntries":0,"requestCount":523080960,"hitCount":0,"missCount":523080960,"hitRate":0,"loadSuccessCount":0,"loadFailureCount":0,"totalLoadTimeNanos":0,"evictionCount":0,"expirationCount":0,"putCount":15000,"removeCount":0,"nativeMetrics":{"storageEnabled":0}}</x:v>
      </x:c>
      <x:c r="BA261" s="43" t="n">
        <x:v>0</x:v>
      </x:c>
      <x:c r="BB261" s="43" t="n">
        <x:v>523080960</x:v>
      </x:c>
      <x:c r="BC261" s="43" t="n">
        <x:v>0</x:v>
      </x:c>
      <x:c r="BD261" s="43" t="n">
        <x:v>523080960</x:v>
      </x:c>
      <x:c r="BE261" s="48" t="n">
        <x:v>0</x:v>
      </x:c>
      <x:c r="BF261" s="43" t="n">
        <x:v>0</x:v>
      </x:c>
      <x:c r="BG261" s="43" t="n">
        <x:v>0</x:v>
      </x:c>
      <x:c r="BH261" s="43" t="n">
        <x:v>0</x:v>
      </x:c>
      <x:c r="BI261" s="43" t="n">
        <x:v>0</x:v>
      </x:c>
      <x:c r="BJ261" s="43" t="n">
        <x:v>0</x:v>
      </x:c>
      <x:c r="BK261" s="43" t="n">
        <x:v>15000</x:v>
      </x:c>
      <x:c r="BL261" s="43" t="n">
        <x:v>0</x:v>
      </x:c>
      <x:c r="BM261" s="44" t="str">
        <x:v>{"storageEnabled":0}</x:v>
      </x:c>
    </x:row>
    <x:row r="262">
      <x:c r="A262" s="34" t="str">
        <x:v>article1-unified-v4-2-fb3f101b-20260903-000401-default-f05-p3-jcs4</x:v>
      </x:c>
      <x:c r="B262" s="34" t="str">
        <x:v>default</x:v>
      </x:c>
      <x:c r="C262" s="34" t="str">
        <x:v>jcs4</x:v>
      </x:c>
      <x:c r="D262" s="34" t="str">
        <x:v>jcs4</x:v>
      </x:c>
      <x:c r="E262" s="34" t="str">
        <x:v>current-provider-primary-comparison</x:v>
      </x:c>
      <x:c r="F262" s="36" t="n">
        <x:v>5</x:v>
      </x:c>
      <x:c r="G262" s="36" t="n">
        <x:v>5</x:v>
      </x:c>
      <x:c r="H262" s="36" t="n">
        <x:v>3</x:v>
      </x:c>
      <x:c r="I262" s="36" t="n">
        <x:v>1</x:v>
      </x:c>
      <x:c r="J262" s="34" t="str">
        <x:v>initial</x:v>
      </x:c>
      <x:c r="K262" s="34" t="str">
        <x:v>cache-semantics</x:v>
      </x:c>
      <x:c r="L262" s="45" t="b">
        <x:v>1</x:v>
      </x:c>
      <x:c r="M262" s="36" t="n">
        <x:v>648580617</x:v>
      </x:c>
      <x:c r="N262" s="34" t="str">
        <x:v>bcfa144271bd10c17dc9c6f6a6f8819d8571bde3bb04884a7368ce6d62b186b3</x:v>
      </x:c>
      <x:c r="O262" s="43" t="n">
        <x:v>10000</x:v>
      </x:c>
      <x:c r="P262" s="43" t="n">
        <x:v>400000</x:v>
      </x:c>
      <x:c r="Q262" s="36" t="n">
        <x:v>8</x:v>
      </x:c>
      <x:c r="R262" s="42" t="n">
        <x:v>95</x:v>
      </x:c>
      <x:c r="S262" s="43" t="n">
        <x:v>512</x:v>
      </x:c>
      <x:c r="T262" s="43" t="n">
        <x:v>50000</x:v>
      </x:c>
      <x:c r="U262" s="46" t="n">
        <x:v>3</x:v>
      </x:c>
      <x:c r="V262" s="46" t="n">
        <x:v>5</x:v>
      </x:c>
      <x:c r="W262" s="43" t="n">
        <x:v>300</x:v>
      </x:c>
      <x:c r="X262" s="34" t="str">
        <x:v>uniform</x:v>
      </x:c>
      <x:c r="Y262" s="42" t="n">
        <x:v>10</x:v>
      </x:c>
      <x:c r="Z262" s="34" t="str">
        <x:v>strict</x:v>
      </x:c>
      <x:c r="AA262" s="36" t="n">
        <x:v>64</x:v>
      </x:c>
      <x:c r="AB262" s="43" t="n">
        <x:v>2691328</x:v>
      </x:c>
      <x:c r="AC262" s="43" t="n">
        <x:v>3001524550</x:v>
      </x:c>
      <x:c r="AD262" s="43" t="n">
        <x:v>1524550</x:v>
      </x:c>
      <x:c r="AE262" s="43" t="n">
        <x:v>2365778.167132291</x:v>
      </x:c>
      <x:c r="AF262" s="43" t="n">
        <x:v>1083291.7864676975</x:v>
      </x:c>
      <x:c r="AG262" s="43" t="n">
        <x:v>5417728</x:v>
      </x:c>
      <x:c r="AH262" s="43" t="n">
        <x:v>5001171492</x:v>
      </x:c>
      <x:c r="AI262" s="43" t="n">
        <x:v>1171492</x:v>
      </x:c>
      <x:c r="AJ262" s="43" t="n">
        <x:v>1083291.7864676975</x:v>
      </x:c>
      <x:c r="AK262" s="43" t="n">
        <x:v>5417728</x:v>
      </x:c>
      <x:c r="AL262" s="43" t="n">
        <x:v>0</x:v>
      </x:c>
      <x:c r="AM262" s="43" t="n">
        <x:v>442856.22424680344</x:v>
      </x:c>
      <x:c r="AN262" s="43" t="n">
        <x:v>401</x:v>
      </x:c>
      <x:c r="AO262" s="43" t="n">
        <x:v>1573</x:v>
      </x:c>
      <x:c r="AP262" s="43" t="n">
        <x:v>258520</x:v>
      </x:c>
      <x:c r="AQ262" s="43" t="n">
        <x:v>84652</x:v>
      </x:c>
      <x:c r="AR262" s="43" t="n">
        <x:v>1</x:v>
      </x:c>
      <x:c r="AS262" s="45" t="b">
        <x:v>1</x:v>
      </x:c>
      <x:c r="AT262" s="43" t="n">
        <x:v>10000</x:v>
      </x:c>
      <x:c r="AU262" s="48" t="n">
        <x:v>0.9503151505575769</x:v>
      </x:c>
      <x:c r="AV262" s="43" t="n">
        <x:v>10000</x:v>
      </x:c>
      <x:c r="AW262" s="48" t="n">
        <x:v>0.9503151505575769</x:v>
      </x:c>
      <x:c r="AX262" s="45" t="b">
        <x:v>1</x:v>
      </x:c>
      <x:c r="AY262" s="44" t="str">
        <x:v>{"provider":"jcs4","currentEntries":10000,"requestCount":5417728,"hitCount":5148549,"missCount":269179,"hitRate":0.9503151505575769,"loadSuccessCount":0,"loadFailureCount":0,"totalLoadTimeNanos":0,"evictionCount":-1,"expirationCount":-1,"putCount":10000,"removeCount":0,"nativeMetrics":{"HitCountRam":5148549,"Composite.HitCountRam":5148549,"HitCountAux":0,"Composite.HitCountAux":0,"Put Count":10000,"Memory Cache.Put Count":10000,"Hit Count":5148549,"Memory Cache.Hit Count":5148549,"Miss Count":269179,"Memory Cache.Miss Count":269179,"Map Size":10000,"Memory Cache.Map Size":10000,"List Size":10000,"Memory Cache.List Size":10000}}</x:v>
      </x:c>
      <x:c r="AZ262" s="44" t="str">
        <x:v>{"provider":"jcs4","currentEntries":10000,"requestCount":5417728,"hitCount":5148549,"missCount":269179,"hitRate":0.9503151505575769,"loadSuccessCount":0,"loadFailureCount":0,"totalLoadTimeNanos":0,"evictionCount":-1,"expirationCount":-1,"putCount":15000,"removeCount":0,"nativeMetrics":{"HitCountRam":5148549,"Composite.HitCountRam":5148549,"HitCountAux":0,"Composite.HitCountAux":0,"Put Count":15000,"Memory Cache.Put Count":15000,"Hit Count":5148549,"Memory Cache.Hit Count":5148549,"Miss Count":269179,"Memory Cache.Miss Count":269179,"Map Size":10000,"Memory Cache.Map Size":10000,"List Size":10000,"Memory Cache.List Size":10000}}</x:v>
      </x:c>
      <x:c r="BA262" s="43" t="n">
        <x:v>10000</x:v>
      </x:c>
      <x:c r="BB262" s="43" t="n">
        <x:v>5417728</x:v>
      </x:c>
      <x:c r="BC262" s="43" t="n">
        <x:v>5148549</x:v>
      </x:c>
      <x:c r="BD262" s="43" t="n">
        <x:v>269179</x:v>
      </x:c>
      <x:c r="BE262" s="48" t="n">
        <x:v>0.9503151505575769</x:v>
      </x:c>
      <x:c r="BF262" s="43" t="n">
        <x:v>0</x:v>
      </x:c>
      <x:c r="BG262" s="43" t="n">
        <x:v>0</x:v>
      </x:c>
      <x:c r="BH262" s="43" t="n">
        <x:v>0</x:v>
      </x:c>
      <x:c r="BI262" s="43" t="n">
        <x:v>-1</x:v>
      </x:c>
      <x:c r="BJ262" s="43" t="n">
        <x:v>-1</x:v>
      </x:c>
      <x:c r="BK262" s="43" t="n">
        <x:v>15000</x:v>
      </x:c>
      <x:c r="BL262" s="43" t="n">
        <x:v>0</x:v>
      </x:c>
      <x:c r="BM262" s="44" t="str">
        <x:v>{"HitCountRam":5148549,"Composite.HitCountRam":5148549,"HitCountAux":0,"Composite.HitCountAux":0,"Put Count":15000,"Memory Cache.Put Count":15000,"Hit Count":5148549,"Memory Cache.Hit Count":5148549,"Miss Count":269179,"Memory Cache.Miss Count":269179,"Map Size":10000,"Memory Cache.Map Size":10000,"List Size":10000,"Memory Cache.List Size":10000}</x:v>
      </x:c>
    </x:row>
    <x:row r="263">
      <x:c r="A263" s="34" t="str">
        <x:v>article1-unified-v4-2-fb3f101b-20260903-000401-default-f05-p3-jcs4</x:v>
      </x:c>
      <x:c r="B263" s="34" t="str">
        <x:v>default</x:v>
      </x:c>
      <x:c r="C263" s="34" t="str">
        <x:v>jcs4</x:v>
      </x:c>
      <x:c r="D263" s="34" t="str">
        <x:v>jcs4</x:v>
      </x:c>
      <x:c r="E263" s="34" t="str">
        <x:v>current-provider-primary-comparison</x:v>
      </x:c>
      <x:c r="F263" s="36" t="n">
        <x:v>5</x:v>
      </x:c>
      <x:c r="G263" s="36" t="n">
        <x:v>5</x:v>
      </x:c>
      <x:c r="H263" s="36" t="n">
        <x:v>3</x:v>
      </x:c>
      <x:c r="I263" s="36" t="n">
        <x:v>1</x:v>
      </x:c>
      <x:c r="J263" s="34" t="str">
        <x:v>redeploy</x:v>
      </x:c>
      <x:c r="K263" s="34" t="str">
        <x:v>cache-semantics</x:v>
      </x:c>
      <x:c r="L263" s="45" t="b">
        <x:v>1</x:v>
      </x:c>
      <x:c r="M263" s="36" t="n">
        <x:v>648580617</x:v>
      </x:c>
      <x:c r="N263" s="34" t="str">
        <x:v>bcfa144271bd10c17dc9c6f6a6f8819d8571bde3bb04884a7368ce6d62b186b3</x:v>
      </x:c>
      <x:c r="O263" s="43" t="n">
        <x:v>10000</x:v>
      </x:c>
      <x:c r="P263" s="43" t="n">
        <x:v>400000</x:v>
      </x:c>
      <x:c r="Q263" s="36" t="n">
        <x:v>8</x:v>
      </x:c>
      <x:c r="R263" s="42" t="n">
        <x:v>95</x:v>
      </x:c>
      <x:c r="S263" s="43" t="n">
        <x:v>512</x:v>
      </x:c>
      <x:c r="T263" s="43" t="n">
        <x:v>50000</x:v>
      </x:c>
      <x:c r="U263" s="46" t="n">
        <x:v>3</x:v>
      </x:c>
      <x:c r="V263" s="46" t="n">
        <x:v>5</x:v>
      </x:c>
      <x:c r="W263" s="43" t="n">
        <x:v>300</x:v>
      </x:c>
      <x:c r="X263" s="34" t="str">
        <x:v>uniform</x:v>
      </x:c>
      <x:c r="Y263" s="42" t="n">
        <x:v>10</x:v>
      </x:c>
      <x:c r="Z263" s="34" t="str">
        <x:v>strict</x:v>
      </x:c>
      <x:c r="AA263" s="36" t="n">
        <x:v>64</x:v>
      </x:c>
      <x:c r="AB263" s="43" t="n">
        <x:v>2394112</x:v>
      </x:c>
      <x:c r="AC263" s="43" t="n">
        <x:v>3001093795</x:v>
      </x:c>
      <x:c r="AD263" s="43" t="n">
        <x:v>1093795</x:v>
      </x:c>
      <x:c r="AE263" s="43" t="n">
        <x:v>3099424.9017094877</x:v>
      </x:c>
      <x:c r="AF263" s="43" t="n">
        <x:v>1059556.8155241455</x:v>
      </x:c>
      <x:c r="AG263" s="43" t="n">
        <x:v>5299456</x:v>
      </x:c>
      <x:c r="AH263" s="43" t="n">
        <x:v>5001577945</x:v>
      </x:c>
      <x:c r="AI263" s="43" t="n">
        <x:v>1577945</x:v>
      </x:c>
      <x:c r="AJ263" s="43" t="n">
        <x:v>1059556.8155241455</x:v>
      </x:c>
      <x:c r="AK263" s="43" t="n">
        <x:v>5299456</x:v>
      </x:c>
      <x:c r="AL263" s="43" t="n">
        <x:v>0</x:v>
      </x:c>
      <x:c r="AM263" s="43" t="n">
        <x:v>372742.75375040714</x:v>
      </x:c>
      <x:c r="AN263" s="43" t="n">
        <x:v>431</x:v>
      </x:c>
      <x:c r="AO263" s="43" t="n">
        <x:v>1703</x:v>
      </x:c>
      <x:c r="AP263" s="43" t="n">
        <x:v>261165</x:v>
      </x:c>
      <x:c r="AQ263" s="43" t="n">
        <x:v>82804</x:v>
      </x:c>
      <x:c r="AR263" s="43" t="n">
        <x:v>1</x:v>
      </x:c>
      <x:c r="AS263" s="45" t="b">
        <x:v>1</x:v>
      </x:c>
      <x:c r="AT263" s="43" t="n">
        <x:v>10000</x:v>
      </x:c>
      <x:c r="AU263" s="48" t="n">
        <x:v>0.9503094279865707</x:v>
      </x:c>
      <x:c r="AV263" s="43" t="n">
        <x:v>10000</x:v>
      </x:c>
      <x:c r="AW263" s="48" t="n">
        <x:v>0.9503094279865707</x:v>
      </x:c>
      <x:c r="AX263" s="45" t="b">
        <x:v>1</x:v>
      </x:c>
      <x:c r="AY263" s="44" t="str">
        <x:v>{"provider":"jcs4","currentEntries":10000,"requestCount":5299456,"hitCount":5036123,"missCount":263333,"hitRate":0.9503094279865707,"loadSuccessCount":0,"loadFailureCount":0,"totalLoadTimeNanos":0,"evictionCount":-1,"expirationCount":-1,"putCount":10000,"removeCount":0,"nativeMetrics":{"HitCountRam":5036123,"Composite.HitCountRam":5036123,"HitCountAux":0,"Composite.HitCountAux":0,"Put Count":10000,"Memory Cache.Put Count":10000,"Hit Count":5036123,"Memory Cache.Hit Count":5036123,"Miss Count":263333,"Memory Cache.Miss Count":263333,"Map Size":10000,"Memory Cache.Map Size":10000,"List Size":10000,"Memory Cache.List Size":10000}}</x:v>
      </x:c>
      <x:c r="AZ263" s="44" t="str">
        <x:v>{"provider":"jcs4","currentEntries":10000,"requestCount":5299456,"hitCount":5036123,"missCount":263333,"hitRate":0.9503094279865707,"loadSuccessCount":0,"loadFailureCount":0,"totalLoadTimeNanos":0,"evictionCount":-1,"expirationCount":-1,"putCount":15000,"removeCount":0,"nativeMetrics":{"HitCountRam":5036123,"Composite.HitCountRam":5036123,"HitCountAux":0,"Composite.HitCountAux":0,"Put Count":15000,"Memory Cache.Put Count":15000,"Hit Count":5036123,"Memory Cache.Hit Count":5036123,"Miss Count":263333,"Memory Cache.Miss Count":263333,"Map Size":10000,"Memory Cache.Map Size":10000,"List Size":10000,"Memory Cache.List Size":10000}}</x:v>
      </x:c>
      <x:c r="BA263" s="43" t="n">
        <x:v>10000</x:v>
      </x:c>
      <x:c r="BB263" s="43" t="n">
        <x:v>5299456</x:v>
      </x:c>
      <x:c r="BC263" s="43" t="n">
        <x:v>5036123</x:v>
      </x:c>
      <x:c r="BD263" s="43" t="n">
        <x:v>263333</x:v>
      </x:c>
      <x:c r="BE263" s="48" t="n">
        <x:v>0.9503094279865707</x:v>
      </x:c>
      <x:c r="BF263" s="43" t="n">
        <x:v>0</x:v>
      </x:c>
      <x:c r="BG263" s="43" t="n">
        <x:v>0</x:v>
      </x:c>
      <x:c r="BH263" s="43" t="n">
        <x:v>0</x:v>
      </x:c>
      <x:c r="BI263" s="43" t="n">
        <x:v>-1</x:v>
      </x:c>
      <x:c r="BJ263" s="43" t="n">
        <x:v>-1</x:v>
      </x:c>
      <x:c r="BK263" s="43" t="n">
        <x:v>15000</x:v>
      </x:c>
      <x:c r="BL263" s="43" t="n">
        <x:v>0</x:v>
      </x:c>
      <x:c r="BM263" s="44" t="str">
        <x:v>{"HitCountRam":5036123,"Composite.HitCountRam":5036123,"HitCountAux":0,"Composite.HitCountAux":0,"Put Count":15000,"Memory Cache.Put Count":15000,"Hit Count":5036123,"Memory Cache.Hit Count":5036123,"Miss Count":263333,"Memory Cache.Miss Count":263333,"Map Size":10000,"Memory Cache.Map Size":10000,"List Size":10000,"Memory Cache.List Size":10000}</x:v>
      </x:c>
    </x:row>
    <x:row r="264">
      <x:c r="A264" s="34" t="str">
        <x:v>article1-unified-v4-2-fb3f101b-20260903-000401-default-f05-p3-jcs4</x:v>
      </x:c>
      <x:c r="B264" s="34" t="str">
        <x:v>default</x:v>
      </x:c>
      <x:c r="C264" s="34" t="str">
        <x:v>jcs4</x:v>
      </x:c>
      <x:c r="D264" s="34" t="str">
        <x:v>jcs4</x:v>
      </x:c>
      <x:c r="E264" s="34" t="str">
        <x:v>current-provider-primary-comparison</x:v>
      </x:c>
      <x:c r="F264" s="36" t="n">
        <x:v>5</x:v>
      </x:c>
      <x:c r="G264" s="36" t="n">
        <x:v>5</x:v>
      </x:c>
      <x:c r="H264" s="36" t="n">
        <x:v>3</x:v>
      </x:c>
      <x:c r="I264" s="36" t="n">
        <x:v>2</x:v>
      </x:c>
      <x:c r="J264" s="34" t="str">
        <x:v>initial</x:v>
      </x:c>
      <x:c r="K264" s="34" t="str">
        <x:v>cache-semantics</x:v>
      </x:c>
      <x:c r="L264" s="45" t="b">
        <x:v>1</x:v>
      </x:c>
      <x:c r="M264" s="36" t="n">
        <x:v>681442610</x:v>
      </x:c>
      <x:c r="N264" s="34" t="str">
        <x:v>6004b5d35d3f44ddcdd5f00ff160f8c46199fad46729e7e512a45aa23375c89b</x:v>
      </x:c>
      <x:c r="O264" s="43" t="n">
        <x:v>10000</x:v>
      </x:c>
      <x:c r="P264" s="43" t="n">
        <x:v>400000</x:v>
      </x:c>
      <x:c r="Q264" s="36" t="n">
        <x:v>8</x:v>
      </x:c>
      <x:c r="R264" s="42" t="n">
        <x:v>95</x:v>
      </x:c>
      <x:c r="S264" s="43" t="n">
        <x:v>512</x:v>
      </x:c>
      <x:c r="T264" s="43" t="n">
        <x:v>50000</x:v>
      </x:c>
      <x:c r="U264" s="46" t="n">
        <x:v>3</x:v>
      </x:c>
      <x:c r="V264" s="46" t="n">
        <x:v>5</x:v>
      </x:c>
      <x:c r="W264" s="43" t="n">
        <x:v>300</x:v>
      </x:c>
      <x:c r="X264" s="34" t="str">
        <x:v>uniform</x:v>
      </x:c>
      <x:c r="Y264" s="42" t="n">
        <x:v>10</x:v>
      </x:c>
      <x:c r="Z264" s="34" t="str">
        <x:v>strict</x:v>
      </x:c>
      <x:c r="AA264" s="36" t="n">
        <x:v>64</x:v>
      </x:c>
      <x:c r="AB264" s="43" t="n">
        <x:v>1889536</x:v>
      </x:c>
      <x:c r="AC264" s="43" t="n">
        <x:v>3002231374</x:v>
      </x:c>
      <x:c r="AD264" s="43" t="n">
        <x:v>2231374</x:v>
      </x:c>
      <x:c r="AE264" s="43" t="n">
        <x:v>1813488.8387922673</x:v>
      </x:c>
      <x:c r="AF264" s="43" t="n">
        <x:v>953717.7382489904</x:v>
      </x:c>
      <x:c r="AG264" s="43" t="n">
        <x:v>4769536</x:v>
      </x:c>
      <x:c r="AH264" s="43" t="n">
        <x:v>5000993280</x:v>
      </x:c>
      <x:c r="AI264" s="43" t="n">
        <x:v>993280</x:v>
      </x:c>
      <x:c r="AJ264" s="43" t="n">
        <x:v>953717.7382489904</x:v>
      </x:c>
      <x:c r="AK264" s="43" t="n">
        <x:v>4769536</x:v>
      </x:c>
      <x:c r="AL264" s="43" t="n">
        <x:v>0</x:v>
      </x:c>
      <x:c r="AM264" s="43" t="n">
        <x:v>482439.11956018535</x:v>
      </x:c>
      <x:c r="AN264" s="43" t="n">
        <x:v>481</x:v>
      </x:c>
      <x:c r="AO264" s="43" t="n">
        <x:v>1994</x:v>
      </x:c>
      <x:c r="AP264" s="43" t="n">
        <x:v>267237</x:v>
      </x:c>
      <x:c r="AQ264" s="43" t="n">
        <x:v>74524</x:v>
      </x:c>
      <x:c r="AR264" s="43" t="n">
        <x:v>1</x:v>
      </x:c>
      <x:c r="AS264" s="45" t="b">
        <x:v>1</x:v>
      </x:c>
      <x:c r="AT264" s="43" t="n">
        <x:v>10000</x:v>
      </x:c>
      <x:c r="AU264" s="48" t="n">
        <x:v>0.9504010453008427</x:v>
      </x:c>
      <x:c r="AV264" s="43" t="n">
        <x:v>10000</x:v>
      </x:c>
      <x:c r="AW264" s="48" t="n">
        <x:v>0.9504010453008427</x:v>
      </x:c>
      <x:c r="AX264" s="45" t="b">
        <x:v>1</x:v>
      </x:c>
      <x:c r="AY264" s="44" t="str">
        <x:v>{"provider":"jcs4","currentEntries":10000,"requestCount":4769536,"hitCount":4532972,"missCount":236564,"hitRate":0.9504010453008427,"loadSuccessCount":0,"loadFailureCount":0,"totalLoadTimeNanos":0,"evictionCount":-1,"expirationCount":-1,"putCount":10000,"removeCount":0,"nativeMetrics":{"HitCountRam":4532972,"Composite.HitCountRam":4532972,"HitCountAux":0,"Composite.HitCountAux":0,"Put Count":10000,"Memory Cache.Put Count":10000,"Hit Count":4532972,"Memory Cache.Hit Count":4532972,"Miss Count":236564,"Memory Cache.Miss Count":236564,"Map Size":10000,"Memory Cache.Map Size":10000,"List Size":10000,"Memory Cache.List Size":10000}}</x:v>
      </x:c>
      <x:c r="AZ264" s="44" t="str">
        <x:v>{"provider":"jcs4","currentEntries":10000,"requestCount":4769536,"hitCount":4532972,"missCount":236564,"hitRate":0.9504010453008427,"loadSuccessCount":0,"loadFailureCount":0,"totalLoadTimeNanos":0,"evictionCount":-1,"expirationCount":-1,"putCount":15000,"removeCount":0,"nativeMetrics":{"HitCountRam":4532972,"Composite.HitCountRam":4532972,"HitCountAux":0,"Composite.HitCountAux":0,"Put Count":15000,"Memory Cache.Put Count":15000,"Hit Count":4532972,"Memory Cache.Hit Count":4532972,"Miss Count":236564,"Memory Cache.Miss Count":236564,"Map Size":10000,"Memory Cache.Map Size":10000,"List Size":10000,"Memory Cache.List Size":10000}}</x:v>
      </x:c>
      <x:c r="BA264" s="43" t="n">
        <x:v>10000</x:v>
      </x:c>
      <x:c r="BB264" s="43" t="n">
        <x:v>4769536</x:v>
      </x:c>
      <x:c r="BC264" s="43" t="n">
        <x:v>4532972</x:v>
      </x:c>
      <x:c r="BD264" s="43" t="n">
        <x:v>236564</x:v>
      </x:c>
      <x:c r="BE264" s="48" t="n">
        <x:v>0.9504010453008427</x:v>
      </x:c>
      <x:c r="BF264" s="43" t="n">
        <x:v>0</x:v>
      </x:c>
      <x:c r="BG264" s="43" t="n">
        <x:v>0</x:v>
      </x:c>
      <x:c r="BH264" s="43" t="n">
        <x:v>0</x:v>
      </x:c>
      <x:c r="BI264" s="43" t="n">
        <x:v>-1</x:v>
      </x:c>
      <x:c r="BJ264" s="43" t="n">
        <x:v>-1</x:v>
      </x:c>
      <x:c r="BK264" s="43" t="n">
        <x:v>15000</x:v>
      </x:c>
      <x:c r="BL264" s="43" t="n">
        <x:v>0</x:v>
      </x:c>
      <x:c r="BM264" s="44" t="str">
        <x:v>{"HitCountRam":4532972,"Composite.HitCountRam":4532972,"HitCountAux":0,"Composite.HitCountAux":0,"Put Count":15000,"Memory Cache.Put Count":15000,"Hit Count":4532972,"Memory Cache.Hit Count":4532972,"Miss Count":236564,"Memory Cache.Miss Count":236564,"Map Size":10000,"Memory Cache.Map Size":10000,"List Size":10000,"Memory Cache.List Size":10000}</x:v>
      </x:c>
    </x:row>
    <x:row r="265">
      <x:c r="A265" s="34" t="str">
        <x:v>article1-unified-v4-2-fb3f101b-20260903-000401-default-f05-p3-jcs4</x:v>
      </x:c>
      <x:c r="B265" s="34" t="str">
        <x:v>default</x:v>
      </x:c>
      <x:c r="C265" s="34" t="str">
        <x:v>jcs4</x:v>
      </x:c>
      <x:c r="D265" s="34" t="str">
        <x:v>jcs4</x:v>
      </x:c>
      <x:c r="E265" s="34" t="str">
        <x:v>current-provider-primary-comparison</x:v>
      </x:c>
      <x:c r="F265" s="36" t="n">
        <x:v>5</x:v>
      </x:c>
      <x:c r="G265" s="36" t="n">
        <x:v>5</x:v>
      </x:c>
      <x:c r="H265" s="36" t="n">
        <x:v>3</x:v>
      </x:c>
      <x:c r="I265" s="36" t="n">
        <x:v>2</x:v>
      </x:c>
      <x:c r="J265" s="34" t="str">
        <x:v>redeploy</x:v>
      </x:c>
      <x:c r="K265" s="34" t="str">
        <x:v>cache-semantics</x:v>
      </x:c>
      <x:c r="L265" s="45" t="b">
        <x:v>1</x:v>
      </x:c>
      <x:c r="M265" s="36" t="n">
        <x:v>681442610</x:v>
      </x:c>
      <x:c r="N265" s="34" t="str">
        <x:v>6004b5d35d3f44ddcdd5f00ff160f8c46199fad46729e7e512a45aa23375c89b</x:v>
      </x:c>
      <x:c r="O265" s="43" t="n">
        <x:v>10000</x:v>
      </x:c>
      <x:c r="P265" s="43" t="n">
        <x:v>400000</x:v>
      </x:c>
      <x:c r="Q265" s="36" t="n">
        <x:v>8</x:v>
      </x:c>
      <x:c r="R265" s="42" t="n">
        <x:v>95</x:v>
      </x:c>
      <x:c r="S265" s="43" t="n">
        <x:v>512</x:v>
      </x:c>
      <x:c r="T265" s="43" t="n">
        <x:v>50000</x:v>
      </x:c>
      <x:c r="U265" s="46" t="n">
        <x:v>3</x:v>
      </x:c>
      <x:c r="V265" s="46" t="n">
        <x:v>5</x:v>
      </x:c>
      <x:c r="W265" s="43" t="n">
        <x:v>300</x:v>
      </x:c>
      <x:c r="X265" s="34" t="str">
        <x:v>uniform</x:v>
      </x:c>
      <x:c r="Y265" s="42" t="n">
        <x:v>10</x:v>
      </x:c>
      <x:c r="Z265" s="34" t="str">
        <x:v>strict</x:v>
      </x:c>
      <x:c r="AA265" s="36" t="n">
        <x:v>64</x:v>
      </x:c>
      <x:c r="AB265" s="43" t="n">
        <x:v>2859776</x:v>
      </x:c>
      <x:c r="AC265" s="43" t="n">
        <x:v>3002237327</x:v>
      </x:c>
      <x:c r="AD265" s="43" t="n">
        <x:v>2237327</x:v>
      </x:c>
      <x:c r="AE265" s="43" t="n">
        <x:v>3021174.5057585095</x:v>
      </x:c>
      <x:c r="AF265" s="43" t="n">
        <x:v>1075756.8820530542</x:v>
      </x:c>
      <x:c r="AG265" s="43" t="n">
        <x:v>5380864</x:v>
      </x:c>
      <x:c r="AH265" s="43" t="n">
        <x:v>5001933141</x:v>
      </x:c>
      <x:c r="AI265" s="43" t="n">
        <x:v>1933141</x:v>
      </x:c>
      <x:c r="AJ265" s="43" t="n">
        <x:v>1075756.8820530542</x:v>
      </x:c>
      <x:c r="AK265" s="43" t="n">
        <x:v>5380864</x:v>
      </x:c>
      <x:c r="AL265" s="43" t="n">
        <x:v>0</x:v>
      </x:c>
      <x:c r="AM265" s="43" t="n">
        <x:v>484848.2967861152</x:v>
      </x:c>
      <x:c r="AN265" s="43" t="n">
        <x:v>390</x:v>
      </x:c>
      <x:c r="AO265" s="43" t="n">
        <x:v>1673</x:v>
      </x:c>
      <x:c r="AP265" s="43" t="n">
        <x:v>270901</x:v>
      </x:c>
      <x:c r="AQ265" s="43" t="n">
        <x:v>84076</x:v>
      </x:c>
      <x:c r="AR265" s="43" t="n">
        <x:v>1</x:v>
      </x:c>
      <x:c r="AS265" s="45" t="b">
        <x:v>1</x:v>
      </x:c>
      <x:c r="AT265" s="43" t="n">
        <x:v>10000</x:v>
      </x:c>
      <x:c r="AU265" s="48" t="n">
        <x:v>0.9503949551596175</x:v>
      </x:c>
      <x:c r="AV265" s="43" t="n">
        <x:v>10000</x:v>
      </x:c>
      <x:c r="AW265" s="48" t="n">
        <x:v>0.9503949551596175</x:v>
      </x:c>
      <x:c r="AX265" s="45" t="b">
        <x:v>1</x:v>
      </x:c>
      <x:c r="AY265" s="44" t="str">
        <x:v>{"provider":"jcs4","currentEntries":10000,"requestCount":5380864,"hitCount":5113946,"missCount":266918,"hitRate":0.9503949551596175,"loadSuccessCount":0,"loadFailureCount":0,"totalLoadTimeNanos":0,"evictionCount":-1,"expirationCount":-1,"putCount":10000,"removeCount":0,"nativeMetrics":{"HitCountRam":5113946,"Composite.HitCountRam":5113946,"HitCountAux":0,"Composite.HitCountAux":0,"Put Count":10000,"Memory Cache.Put Count":10000,"Hit Count":5113946,"Memory Cache.Hit Count":5113946,"Miss Count":266918,"Memory Cache.Miss Count":266918,"Map Size":10000,"Memory Cache.Map Size":10000,"List Size":10000,"Memory Cache.List Size":10000}}</x:v>
      </x:c>
      <x:c r="AZ265" s="44" t="str">
        <x:v>{"provider":"jcs4","currentEntries":10000,"requestCount":5380864,"hitCount":5113946,"missCount":266918,"hitRate":0.9503949551596175,"loadSuccessCount":0,"loadFailureCount":0,"totalLoadTimeNanos":0,"evictionCount":-1,"expirationCount":-1,"putCount":15000,"removeCount":0,"nativeMetrics":{"HitCountRam":5113946,"Composite.HitCountRam":5113946,"HitCountAux":0,"Composite.HitCountAux":0,"Put Count":15000,"Memory Cache.Put Count":15000,"Hit Count":5113946,"Memory Cache.Hit Count":5113946,"Miss Count":266918,"Memory Cache.Miss Count":266918,"Map Size":10000,"Memory Cache.Map Size":10000,"List Size":10000,"Memory Cache.List Size":10000}}</x:v>
      </x:c>
      <x:c r="BA265" s="43" t="n">
        <x:v>10000</x:v>
      </x:c>
      <x:c r="BB265" s="43" t="n">
        <x:v>5380864</x:v>
      </x:c>
      <x:c r="BC265" s="43" t="n">
        <x:v>5113946</x:v>
      </x:c>
      <x:c r="BD265" s="43" t="n">
        <x:v>266918</x:v>
      </x:c>
      <x:c r="BE265" s="48" t="n">
        <x:v>0.9503949551596175</x:v>
      </x:c>
      <x:c r="BF265" s="43" t="n">
        <x:v>0</x:v>
      </x:c>
      <x:c r="BG265" s="43" t="n">
        <x:v>0</x:v>
      </x:c>
      <x:c r="BH265" s="43" t="n">
        <x:v>0</x:v>
      </x:c>
      <x:c r="BI265" s="43" t="n">
        <x:v>-1</x:v>
      </x:c>
      <x:c r="BJ265" s="43" t="n">
        <x:v>-1</x:v>
      </x:c>
      <x:c r="BK265" s="43" t="n">
        <x:v>15000</x:v>
      </x:c>
      <x:c r="BL265" s="43" t="n">
        <x:v>0</x:v>
      </x:c>
      <x:c r="BM265" s="44" t="str">
        <x:v>{"HitCountRam":5113946,"Composite.HitCountRam":5113946,"HitCountAux":0,"Composite.HitCountAux":0,"Put Count":15000,"Memory Cache.Put Count":15000,"Hit Count":5113946,"Memory Cache.Hit Count":5113946,"Miss Count":266918,"Memory Cache.Miss Count":266918,"Map Size":10000,"Memory Cache.Map Size":10000,"List Size":10000,"Memory Cache.List Size":10000}</x:v>
      </x:c>
    </x:row>
    <x:row r="266">
      <x:c r="A266" s="34" t="str">
        <x:v>article1-unified-v4-2-fb3f101b-20260903-000401-default-f05-p3-jcs4</x:v>
      </x:c>
      <x:c r="B266" s="34" t="str">
        <x:v>default</x:v>
      </x:c>
      <x:c r="C266" s="34" t="str">
        <x:v>jcs4</x:v>
      </x:c>
      <x:c r="D266" s="34" t="str">
        <x:v>jcs4</x:v>
      </x:c>
      <x:c r="E266" s="34" t="str">
        <x:v>current-provider-primary-comparison</x:v>
      </x:c>
      <x:c r="F266" s="36" t="n">
        <x:v>5</x:v>
      </x:c>
      <x:c r="G266" s="36" t="n">
        <x:v>5</x:v>
      </x:c>
      <x:c r="H266" s="36" t="n">
        <x:v>3</x:v>
      </x:c>
      <x:c r="I266" s="36" t="n">
        <x:v>3</x:v>
      </x:c>
      <x:c r="J266" s="34" t="str">
        <x:v>initial</x:v>
      </x:c>
      <x:c r="K266" s="34" t="str">
        <x:v>cache-semantics</x:v>
      </x:c>
      <x:c r="L266" s="45" t="b">
        <x:v>1</x:v>
      </x:c>
      <x:c r="M266" s="36" t="n">
        <x:v>1680357415</x:v>
      </x:c>
      <x:c r="N266" s="34" t="str">
        <x:v>7fd56c55e07780880dfc2de7b34f4b776b7447364ab7153414be84b7c5d590b9</x:v>
      </x:c>
      <x:c r="O266" s="43" t="n">
        <x:v>10000</x:v>
      </x:c>
      <x:c r="P266" s="43" t="n">
        <x:v>400000</x:v>
      </x:c>
      <x:c r="Q266" s="36" t="n">
        <x:v>8</x:v>
      </x:c>
      <x:c r="R266" s="42" t="n">
        <x:v>95</x:v>
      </x:c>
      <x:c r="S266" s="43" t="n">
        <x:v>512</x:v>
      </x:c>
      <x:c r="T266" s="43" t="n">
        <x:v>50000</x:v>
      </x:c>
      <x:c r="U266" s="46" t="n">
        <x:v>3</x:v>
      </x:c>
      <x:c r="V266" s="46" t="n">
        <x:v>5</x:v>
      </x:c>
      <x:c r="W266" s="43" t="n">
        <x:v>300</x:v>
      </x:c>
      <x:c r="X266" s="34" t="str">
        <x:v>uniform</x:v>
      </x:c>
      <x:c r="Y266" s="42" t="n">
        <x:v>10</x:v>
      </x:c>
      <x:c r="Z266" s="34" t="str">
        <x:v>strict</x:v>
      </x:c>
      <x:c r="AA266" s="36" t="n">
        <x:v>64</x:v>
      </x:c>
      <x:c r="AB266" s="43" t="n">
        <x:v>2496768</x:v>
      </x:c>
      <x:c r="AC266" s="43" t="n">
        <x:v>3000890980</x:v>
      </x:c>
      <x:c r="AD266" s="43" t="n">
        <x:v>890980</x:v>
      </x:c>
      <x:c r="AE266" s="43" t="n">
        <x:v>3917945.680033914</x:v>
      </x:c>
      <x:c r="AF266" s="43" t="n">
        <x:v>1051297.5959534813</x:v>
      </x:c>
      <x:c r="AG266" s="43" t="n">
        <x:v>5257728</x:v>
      </x:c>
      <x:c r="AH266" s="43" t="n">
        <x:v>5001179514</x:v>
      </x:c>
      <x:c r="AI266" s="43" t="n">
        <x:v>1179514</x:v>
      </x:c>
      <x:c r="AJ266" s="43" t="n">
        <x:v>1051297.5959534813</x:v>
      </x:c>
      <x:c r="AK266" s="43" t="n">
        <x:v>5257728</x:v>
      </x:c>
      <x:c r="AL266" s="43" t="n">
        <x:v>0</x:v>
      </x:c>
      <x:c r="AM266" s="43" t="n">
        <x:v>544860.0733948313</x:v>
      </x:c>
      <x:c r="AN266" s="43" t="n">
        <x:v>391</x:v>
      </x:c>
      <x:c r="AO266" s="43" t="n">
        <x:v>1623</x:v>
      </x:c>
      <x:c r="AP266" s="43" t="n">
        <x:v>270272</x:v>
      </x:c>
      <x:c r="AQ266" s="43" t="n">
        <x:v>82152</x:v>
      </x:c>
      <x:c r="AR266" s="43" t="n">
        <x:v>1</x:v>
      </x:c>
      <x:c r="AS266" s="45" t="b">
        <x:v>1</x:v>
      </x:c>
      <x:c r="AT266" s="43" t="n">
        <x:v>10000</x:v>
      </x:c>
      <x:c r="AU266" s="48" t="n">
        <x:v>0.950180572292823</x:v>
      </x:c>
      <x:c r="AV266" s="43" t="n">
        <x:v>10000</x:v>
      </x:c>
      <x:c r="AW266" s="48" t="n">
        <x:v>0.950180572292823</x:v>
      </x:c>
      <x:c r="AX266" s="45" t="b">
        <x:v>1</x:v>
      </x:c>
      <x:c r="AY266" s="44" t="str">
        <x:v>{"provider":"jcs4","currentEntries":10000,"requestCount":5257728,"hitCount":4995791,"missCount":261937,"hitRate":0.950180572292823,"loadSuccessCount":0,"loadFailureCount":0,"totalLoadTimeNanos":0,"evictionCount":-1,"expirationCount":-1,"putCount":10000,"removeCount":0,"nativeMetrics":{"HitCountRam":4995791,"Composite.HitCountRam":4995791,"HitCountAux":0,"Composite.HitCountAux":0,"Put Count":10000,"Memory Cache.Put Count":10000,"Hit Count":4995791,"Memory Cache.Hit Count":4995791,"Miss Count":261937,"Memory Cache.Miss Count":261937,"Map Size":10000,"Memory Cache.Map Size":10000,"List Size":10000,"Memory Cache.List Size":10000}}</x:v>
      </x:c>
      <x:c r="AZ266" s="44" t="str">
        <x:v>{"provider":"jcs4","currentEntries":10000,"requestCount":5257728,"hitCount":4995791,"missCount":261937,"hitRate":0.950180572292823,"loadSuccessCount":0,"loadFailureCount":0,"totalLoadTimeNanos":0,"evictionCount":-1,"expirationCount":-1,"putCount":15000,"removeCount":0,"nativeMetrics":{"HitCountRam":4995791,"Composite.HitCountRam":4995791,"HitCountAux":0,"Composite.HitCountAux":0,"Put Count":15000,"Memory Cache.Put Count":15000,"Hit Count":4995791,"Memory Cache.Hit Count":4995791,"Miss Count":261937,"Memory Cache.Miss Count":261937,"Map Size":10000,"Memory Cache.Map Size":10000,"List Size":10000,"Memory Cache.List Size":10000}}</x:v>
      </x:c>
      <x:c r="BA266" s="43" t="n">
        <x:v>10000</x:v>
      </x:c>
      <x:c r="BB266" s="43" t="n">
        <x:v>5257728</x:v>
      </x:c>
      <x:c r="BC266" s="43" t="n">
        <x:v>4995791</x:v>
      </x:c>
      <x:c r="BD266" s="43" t="n">
        <x:v>261937</x:v>
      </x:c>
      <x:c r="BE266" s="48" t="n">
        <x:v>0.950180572292823</x:v>
      </x:c>
      <x:c r="BF266" s="43" t="n">
        <x:v>0</x:v>
      </x:c>
      <x:c r="BG266" s="43" t="n">
        <x:v>0</x:v>
      </x:c>
      <x:c r="BH266" s="43" t="n">
        <x:v>0</x:v>
      </x:c>
      <x:c r="BI266" s="43" t="n">
        <x:v>-1</x:v>
      </x:c>
      <x:c r="BJ266" s="43" t="n">
        <x:v>-1</x:v>
      </x:c>
      <x:c r="BK266" s="43" t="n">
        <x:v>15000</x:v>
      </x:c>
      <x:c r="BL266" s="43" t="n">
        <x:v>0</x:v>
      </x:c>
      <x:c r="BM266" s="44" t="str">
        <x:v>{"HitCountRam":4995791,"Composite.HitCountRam":4995791,"HitCountAux":0,"Composite.HitCountAux":0,"Put Count":15000,"Memory Cache.Put Count":15000,"Hit Count":4995791,"Memory Cache.Hit Count":4995791,"Miss Count":261937,"Memory Cache.Miss Count":261937,"Map Size":10000,"Memory Cache.Map Size":10000,"List Size":10000,"Memory Cache.List Size":10000}</x:v>
      </x:c>
    </x:row>
    <x:row r="267">
      <x:c r="A267" s="34" t="str">
        <x:v>article1-unified-v4-2-fb3f101b-20260903-000401-default-f05-p3-jcs4</x:v>
      </x:c>
      <x:c r="B267" s="34" t="str">
        <x:v>default</x:v>
      </x:c>
      <x:c r="C267" s="34" t="str">
        <x:v>jcs4</x:v>
      </x:c>
      <x:c r="D267" s="34" t="str">
        <x:v>jcs4</x:v>
      </x:c>
      <x:c r="E267" s="34" t="str">
        <x:v>current-provider-primary-comparison</x:v>
      </x:c>
      <x:c r="F267" s="36" t="n">
        <x:v>5</x:v>
      </x:c>
      <x:c r="G267" s="36" t="n">
        <x:v>5</x:v>
      </x:c>
      <x:c r="H267" s="36" t="n">
        <x:v>3</x:v>
      </x:c>
      <x:c r="I267" s="36" t="n">
        <x:v>3</x:v>
      </x:c>
      <x:c r="J267" s="34" t="str">
        <x:v>redeploy</x:v>
      </x:c>
      <x:c r="K267" s="34" t="str">
        <x:v>cache-semantics</x:v>
      </x:c>
      <x:c r="L267" s="45" t="b">
        <x:v>1</x:v>
      </x:c>
      <x:c r="M267" s="36" t="n">
        <x:v>1680357415</x:v>
      </x:c>
      <x:c r="N267" s="34" t="str">
        <x:v>7fd56c55e07780880dfc2de7b34f4b776b7447364ab7153414be84b7c5d590b9</x:v>
      </x:c>
      <x:c r="O267" s="43" t="n">
        <x:v>10000</x:v>
      </x:c>
      <x:c r="P267" s="43" t="n">
        <x:v>400000</x:v>
      </x:c>
      <x:c r="Q267" s="36" t="n">
        <x:v>8</x:v>
      </x:c>
      <x:c r="R267" s="42" t="n">
        <x:v>95</x:v>
      </x:c>
      <x:c r="S267" s="43" t="n">
        <x:v>512</x:v>
      </x:c>
      <x:c r="T267" s="43" t="n">
        <x:v>50000</x:v>
      </x:c>
      <x:c r="U267" s="46" t="n">
        <x:v>3</x:v>
      </x:c>
      <x:c r="V267" s="46" t="n">
        <x:v>5</x:v>
      </x:c>
      <x:c r="W267" s="43" t="n">
        <x:v>300</x:v>
      </x:c>
      <x:c r="X267" s="34" t="str">
        <x:v>uniform</x:v>
      </x:c>
      <x:c r="Y267" s="42" t="n">
        <x:v>10</x:v>
      </x:c>
      <x:c r="Z267" s="34" t="str">
        <x:v>strict</x:v>
      </x:c>
      <x:c r="AA267" s="36" t="n">
        <x:v>64</x:v>
      </x:c>
      <x:c r="AB267" s="43" t="n">
        <x:v>2795008</x:v>
      </x:c>
      <x:c r="AC267" s="43" t="n">
        <x:v>3001824966</x:v>
      </x:c>
      <x:c r="AD267" s="43" t="n">
        <x:v>1824966</x:v>
      </x:c>
      <x:c r="AE267" s="43" t="n">
        <x:v>3303691.5118584353</x:v>
      </x:c>
      <x:c r="AF267" s="43" t="n">
        <x:v>945399.7802684504</x:v>
      </x:c>
      <x:c r="AG267" s="43" t="n">
        <x:v>4727808</x:v>
      </x:c>
      <x:c r="AH267" s="43" t="n">
        <x:v>5000855827</x:v>
      </x:c>
      <x:c r="AI267" s="43" t="n">
        <x:v>855827</x:v>
      </x:c>
      <x:c r="AJ267" s="43" t="n">
        <x:v>945399.7802684504</x:v>
      </x:c>
      <x:c r="AK267" s="43" t="n">
        <x:v>4727808</x:v>
      </x:c>
      <x:c r="AL267" s="43" t="n">
        <x:v>0</x:v>
      </x:c>
      <x:c r="AM267" s="43" t="n">
        <x:v>495868.86688311014</x:v>
      </x:c>
      <x:c r="AN267" s="43" t="n">
        <x:v>441</x:v>
      </x:c>
      <x:c r="AO267" s="43" t="n">
        <x:v>1904</x:v>
      </x:c>
      <x:c r="AP267" s="43" t="n">
        <x:v>288568</x:v>
      </x:c>
      <x:c r="AQ267" s="43" t="n">
        <x:v>73872</x:v>
      </x:c>
      <x:c r="AR267" s="43" t="n">
        <x:v>1</x:v>
      </x:c>
      <x:c r="AS267" s="45" t="b">
        <x:v>1</x:v>
      </x:c>
      <x:c r="AT267" s="43" t="n">
        <x:v>10000</x:v>
      </x:c>
      <x:c r="AU267" s="48" t="n">
        <x:v>0.9501927743258609</x:v>
      </x:c>
      <x:c r="AV267" s="43" t="n">
        <x:v>10000</x:v>
      </x:c>
      <x:c r="AW267" s="48" t="n">
        <x:v>0.9501927743258609</x:v>
      </x:c>
      <x:c r="AX267" s="45" t="b">
        <x:v>1</x:v>
      </x:c>
      <x:c r="AY267" s="44" t="str">
        <x:v>{"provider":"jcs4","currentEntries":10000,"requestCount":4727808,"hitCount":4492329,"missCount":235479,"hitRate":0.9501927743258609,"loadSuccessCount":0,"loadFailureCount":0,"totalLoadTimeNanos":0,"evictionCount":-1,"expirationCount":-1,"putCount":10000,"removeCount":0,"nativeMetrics":{"HitCountRam":4492329,"Composite.HitCountRam":4492329,"HitCountAux":0,"Composite.HitCountAux":0,"Put Count":10000,"Memory Cache.Put Count":10000,"Hit Count":4492329,"Memory Cache.Hit Count":4492329,"Miss Count":235479,"Memory Cache.Miss Count":235479,"Map Size":10000,"Memory Cache.Map Size":10000,"List Size":10000,"Memory Cache.List Size":10000}}</x:v>
      </x:c>
      <x:c r="AZ267" s="44" t="str">
        <x:v>{"provider":"jcs4","currentEntries":10000,"requestCount":4727808,"hitCount":4492329,"missCount":235479,"hitRate":0.9501927743258609,"loadSuccessCount":0,"loadFailureCount":0,"totalLoadTimeNanos":0,"evictionCount":-1,"expirationCount":-1,"putCount":15000,"removeCount":0,"nativeMetrics":{"HitCountRam":4492329,"Composite.HitCountRam":4492329,"HitCountAux":0,"Composite.HitCountAux":0,"Put Count":15000,"Memory Cache.Put Count":15000,"Hit Count":4492329,"Memory Cache.Hit Count":4492329,"Miss Count":235479,"Memory Cache.Miss Count":235479,"Map Size":10000,"Memory Cache.Map Size":10000,"List Size":10000,"Memory Cache.List Size":10000}}</x:v>
      </x:c>
      <x:c r="BA267" s="43" t="n">
        <x:v>10000</x:v>
      </x:c>
      <x:c r="BB267" s="43" t="n">
        <x:v>4727808</x:v>
      </x:c>
      <x:c r="BC267" s="43" t="n">
        <x:v>4492329</x:v>
      </x:c>
      <x:c r="BD267" s="43" t="n">
        <x:v>235479</x:v>
      </x:c>
      <x:c r="BE267" s="48" t="n">
        <x:v>0.9501927743258609</x:v>
      </x:c>
      <x:c r="BF267" s="43" t="n">
        <x:v>0</x:v>
      </x:c>
      <x:c r="BG267" s="43" t="n">
        <x:v>0</x:v>
      </x:c>
      <x:c r="BH267" s="43" t="n">
        <x:v>0</x:v>
      </x:c>
      <x:c r="BI267" s="43" t="n">
        <x:v>-1</x:v>
      </x:c>
      <x:c r="BJ267" s="43" t="n">
        <x:v>-1</x:v>
      </x:c>
      <x:c r="BK267" s="43" t="n">
        <x:v>15000</x:v>
      </x:c>
      <x:c r="BL267" s="43" t="n">
        <x:v>0</x:v>
      </x:c>
      <x:c r="BM267" s="44" t="str">
        <x:v>{"HitCountRam":4492329,"Composite.HitCountRam":4492329,"HitCountAux":0,"Composite.HitCountAux":0,"Put Count":15000,"Memory Cache.Put Count":15000,"Hit Count":4492329,"Memory Cache.Hit Count":4492329,"Miss Count":235479,"Memory Cache.Miss Count":235479,"Map Size":10000,"Memory Cache.Map Size":10000,"List Size":10000,"Memory Cache.List Size":10000}</x:v>
      </x:c>
    </x:row>
    <x:row r="268">
      <x:c r="A268" s="34" t="str">
        <x:v>article1-unified-v4-2-fb3f101b-20260903-000401-default-f05-p3-jcs4</x:v>
      </x:c>
      <x:c r="B268" s="34" t="str">
        <x:v>default</x:v>
      </x:c>
      <x:c r="C268" s="34" t="str">
        <x:v>jcs4</x:v>
      </x:c>
      <x:c r="D268" s="34" t="str">
        <x:v>jcs4</x:v>
      </x:c>
      <x:c r="E268" s="34" t="str">
        <x:v>current-provider-primary-comparison</x:v>
      </x:c>
      <x:c r="F268" s="36" t="n">
        <x:v>5</x:v>
      </x:c>
      <x:c r="G268" s="36" t="n">
        <x:v>5</x:v>
      </x:c>
      <x:c r="H268" s="36" t="n">
        <x:v>3</x:v>
      </x:c>
      <x:c r="I268" s="36" t="n">
        <x:v>4</x:v>
      </x:c>
      <x:c r="J268" s="34" t="str">
        <x:v>initial</x:v>
      </x:c>
      <x:c r="K268" s="34" t="str">
        <x:v>cache-semantics</x:v>
      </x:c>
      <x:c r="L268" s="45" t="b">
        <x:v>1</x:v>
      </x:c>
      <x:c r="M268" s="36" t="n">
        <x:v>1131239936</x:v>
      </x:c>
      <x:c r="N268" s="34" t="str">
        <x:v>3a5209d570baf0beb6c3f6e9b35074a72fca123e15e1fa95c3b3bc779093a379</x:v>
      </x:c>
      <x:c r="O268" s="43" t="n">
        <x:v>10000</x:v>
      </x:c>
      <x:c r="P268" s="43" t="n">
        <x:v>400000</x:v>
      </x:c>
      <x:c r="Q268" s="36" t="n">
        <x:v>8</x:v>
      </x:c>
      <x:c r="R268" s="42" t="n">
        <x:v>95</x:v>
      </x:c>
      <x:c r="S268" s="43" t="n">
        <x:v>512</x:v>
      </x:c>
      <x:c r="T268" s="43" t="n">
        <x:v>50000</x:v>
      </x:c>
      <x:c r="U268" s="46" t="n">
        <x:v>3</x:v>
      </x:c>
      <x:c r="V268" s="46" t="n">
        <x:v>5</x:v>
      </x:c>
      <x:c r="W268" s="43" t="n">
        <x:v>300</x:v>
      </x:c>
      <x:c r="X268" s="34" t="str">
        <x:v>uniform</x:v>
      </x:c>
      <x:c r="Y268" s="42" t="n">
        <x:v>10</x:v>
      </x:c>
      <x:c r="Z268" s="34" t="str">
        <x:v>strict</x:v>
      </x:c>
      <x:c r="AA268" s="36" t="n">
        <x:v>64</x:v>
      </x:c>
      <x:c r="AB268" s="43" t="n">
        <x:v>1846784</x:v>
      </x:c>
      <x:c r="AC268" s="43" t="n">
        <x:v>3002449257</x:v>
      </x:c>
      <x:c r="AD268" s="43" t="n">
        <x:v>2449257</x:v>
      </x:c>
      <x:c r="AE268" s="43" t="n">
        <x:v>2809555.410332758</x:v>
      </x:c>
      <x:c r="AF268" s="43" t="n">
        <x:v>731904.4324392338</x:v>
      </x:c>
      <x:c r="AG268" s="43" t="n">
        <x:v>3660800</x:v>
      </x:c>
      <x:c r="AH268" s="43" t="n">
        <x:v>5001745908</x:v>
      </x:c>
      <x:c r="AI268" s="43" t="n">
        <x:v>1745908</x:v>
      </x:c>
      <x:c r="AJ268" s="43" t="n">
        <x:v>731904.4324392338</x:v>
      </x:c>
      <x:c r="AK268" s="43" t="n">
        <x:v>3660800</x:v>
      </x:c>
      <x:c r="AL268" s="43" t="n">
        <x:v>0</x:v>
      </x:c>
      <x:c r="AM268" s="43" t="n">
        <x:v>567733.0510110417</x:v>
      </x:c>
      <x:c r="AN268" s="43" t="n">
        <x:v>652</x:v>
      </x:c>
      <x:c r="AO268" s="43" t="n">
        <x:v>5330</x:v>
      </x:c>
      <x:c r="AP268" s="43" t="n">
        <x:v>302114</x:v>
      </x:c>
      <x:c r="AQ268" s="43" t="n">
        <x:v>57200</x:v>
      </x:c>
      <x:c r="AR268" s="43" t="n">
        <x:v>1</x:v>
      </x:c>
      <x:c r="AS268" s="45" t="b">
        <x:v>1</x:v>
      </x:c>
      <x:c r="AT268" s="43" t="n">
        <x:v>10000</x:v>
      </x:c>
      <x:c r="AU268" s="48" t="n">
        <x:v>0.9505427775349651</x:v>
      </x:c>
      <x:c r="AV268" s="43" t="n">
        <x:v>10000</x:v>
      </x:c>
      <x:c r="AW268" s="48" t="n">
        <x:v>0.9505427775349651</x:v>
      </x:c>
      <x:c r="AX268" s="45" t="b">
        <x:v>1</x:v>
      </x:c>
      <x:c r="AY268" s="44" t="str">
        <x:v>{"provider":"jcs4","currentEntries":10000,"requestCount":3660800,"hitCount":3479747,"missCount":181053,"hitRate":0.9505427775349651,"loadSuccessCount":0,"loadFailureCount":0,"totalLoadTimeNanos":0,"evictionCount":-1,"expirationCount":-1,"putCount":10000,"removeCount":0,"nativeMetrics":{"HitCountRam":3479747,"Composite.HitCountRam":3479747,"HitCountAux":0,"Composite.HitCountAux":0,"Put Count":10000,"Memory Cache.Put Count":10000,"Hit Count":3479747,"Memory Cache.Hit Count":3479747,"Miss Count":181053,"Memory Cache.Miss Count":181053,"Map Size":10000,"Memory Cache.Map Size":10000,"List Size":10000,"Memory Cache.List Size":10000}}</x:v>
      </x:c>
      <x:c r="AZ268" s="44" t="str">
        <x:v>{"provider":"jcs4","currentEntries":10000,"requestCount":3660800,"hitCount":3479747,"missCount":181053,"hitRate":0.9505427775349651,"loadSuccessCount":0,"loadFailureCount":0,"totalLoadTimeNanos":0,"evictionCount":-1,"expirationCount":-1,"putCount":15000,"removeCount":0,"nativeMetrics":{"HitCountRam":3479747,"Composite.HitCountRam":3479747,"HitCountAux":0,"Composite.HitCountAux":0,"Put Count":15000,"Memory Cache.Put Count":15000,"Hit Count":3479747,"Memory Cache.Hit Count":3479747,"Miss Count":181053,"Memory Cache.Miss Count":181053,"Map Size":10000,"Memory Cache.Map Size":10000,"List Size":10000,"Memory Cache.List Size":10000}}</x:v>
      </x:c>
      <x:c r="BA268" s="43" t="n">
        <x:v>10000</x:v>
      </x:c>
      <x:c r="BB268" s="43" t="n">
        <x:v>3660800</x:v>
      </x:c>
      <x:c r="BC268" s="43" t="n">
        <x:v>3479747</x:v>
      </x:c>
      <x:c r="BD268" s="43" t="n">
        <x:v>181053</x:v>
      </x:c>
      <x:c r="BE268" s="48" t="n">
        <x:v>0.9505427775349651</x:v>
      </x:c>
      <x:c r="BF268" s="43" t="n">
        <x:v>0</x:v>
      </x:c>
      <x:c r="BG268" s="43" t="n">
        <x:v>0</x:v>
      </x:c>
      <x:c r="BH268" s="43" t="n">
        <x:v>0</x:v>
      </x:c>
      <x:c r="BI268" s="43" t="n">
        <x:v>-1</x:v>
      </x:c>
      <x:c r="BJ268" s="43" t="n">
        <x:v>-1</x:v>
      </x:c>
      <x:c r="BK268" s="43" t="n">
        <x:v>15000</x:v>
      </x:c>
      <x:c r="BL268" s="43" t="n">
        <x:v>0</x:v>
      </x:c>
      <x:c r="BM268" s="44" t="str">
        <x:v>{"HitCountRam":3479747,"Composite.HitCountRam":3479747,"HitCountAux":0,"Composite.HitCountAux":0,"Put Count":15000,"Memory Cache.Put Count":15000,"Hit Count":3479747,"Memory Cache.Hit Count":3479747,"Miss Count":181053,"Memory Cache.Miss Count":181053,"Map Size":10000,"Memory Cache.Map Size":10000,"List Size":10000,"Memory Cache.List Size":10000}</x:v>
      </x:c>
    </x:row>
    <x:row r="269">
      <x:c r="A269" s="34" t="str">
        <x:v>article1-unified-v4-2-fb3f101b-20260903-000401-default-f05-p3-jcs4</x:v>
      </x:c>
      <x:c r="B269" s="34" t="str">
        <x:v>default</x:v>
      </x:c>
      <x:c r="C269" s="34" t="str">
        <x:v>jcs4</x:v>
      </x:c>
      <x:c r="D269" s="34" t="str">
        <x:v>jcs4</x:v>
      </x:c>
      <x:c r="E269" s="34" t="str">
        <x:v>current-provider-primary-comparison</x:v>
      </x:c>
      <x:c r="F269" s="36" t="n">
        <x:v>5</x:v>
      </x:c>
      <x:c r="G269" s="36" t="n">
        <x:v>5</x:v>
      </x:c>
      <x:c r="H269" s="36" t="n">
        <x:v>3</x:v>
      </x:c>
      <x:c r="I269" s="36" t="n">
        <x:v>4</x:v>
      </x:c>
      <x:c r="J269" s="34" t="str">
        <x:v>redeploy</x:v>
      </x:c>
      <x:c r="K269" s="34" t="str">
        <x:v>cache-semantics</x:v>
      </x:c>
      <x:c r="L269" s="45" t="b">
        <x:v>1</x:v>
      </x:c>
      <x:c r="M269" s="36" t="n">
        <x:v>1131239936</x:v>
      </x:c>
      <x:c r="N269" s="34" t="str">
        <x:v>3a5209d570baf0beb6c3f6e9b35074a72fca123e15e1fa95c3b3bc779093a379</x:v>
      </x:c>
      <x:c r="O269" s="43" t="n">
        <x:v>10000</x:v>
      </x:c>
      <x:c r="P269" s="43" t="n">
        <x:v>400000</x:v>
      </x:c>
      <x:c r="Q269" s="36" t="n">
        <x:v>8</x:v>
      </x:c>
      <x:c r="R269" s="42" t="n">
        <x:v>95</x:v>
      </x:c>
      <x:c r="S269" s="43" t="n">
        <x:v>512</x:v>
      </x:c>
      <x:c r="T269" s="43" t="n">
        <x:v>50000</x:v>
      </x:c>
      <x:c r="U269" s="46" t="n">
        <x:v>3</x:v>
      </x:c>
      <x:c r="V269" s="46" t="n">
        <x:v>5</x:v>
      </x:c>
      <x:c r="W269" s="43" t="n">
        <x:v>300</x:v>
      </x:c>
      <x:c r="X269" s="34" t="str">
        <x:v>uniform</x:v>
      </x:c>
      <x:c r="Y269" s="42" t="n">
        <x:v>10</x:v>
      </x:c>
      <x:c r="Z269" s="34" t="str">
        <x:v>strict</x:v>
      </x:c>
      <x:c r="AA269" s="36" t="n">
        <x:v>64</x:v>
      </x:c>
      <x:c r="AB269" s="43" t="n">
        <x:v>2734848</x:v>
      </x:c>
      <x:c r="AC269" s="43" t="n">
        <x:v>3001371993</x:v>
      </x:c>
      <x:c r="AD269" s="43" t="n">
        <x:v>1371993</x:v>
      </x:c>
      <x:c r="AE269" s="43" t="n">
        <x:v>3204805.670198576</x:v>
      </x:c>
      <x:c r="AF269" s="43" t="n">
        <x:v>1155875.7117967992</x:v>
      </x:c>
      <x:c r="AG269" s="43" t="n">
        <x:v>5780224</x:v>
      </x:c>
      <x:c r="AH269" s="43" t="n">
        <x:v>5000731429</x:v>
      </x:c>
      <x:c r="AI269" s="43" t="n">
        <x:v>731429</x:v>
      </x:c>
      <x:c r="AJ269" s="43" t="n">
        <x:v>1155875.7117967992</x:v>
      </x:c>
      <x:c r="AK269" s="43" t="n">
        <x:v>5780224</x:v>
      </x:c>
      <x:c r="AL269" s="43" t="n">
        <x:v>0</x:v>
      </x:c>
      <x:c r="AM269" s="43" t="n">
        <x:v>432456.89312934974</x:v>
      </x:c>
      <x:c r="AN269" s="43" t="n">
        <x:v>381</x:v>
      </x:c>
      <x:c r="AO269" s="43" t="n">
        <x:v>1373</x:v>
      </x:c>
      <x:c r="AP269" s="43" t="n">
        <x:v>255444</x:v>
      </x:c>
      <x:c r="AQ269" s="43" t="n">
        <x:v>90316</x:v>
      </x:c>
      <x:c r="AR269" s="43" t="n">
        <x:v>1</x:v>
      </x:c>
      <x:c r="AS269" s="45" t="b">
        <x:v>1</x:v>
      </x:c>
      <x:c r="AT269" s="43" t="n">
        <x:v>10000</x:v>
      </x:c>
      <x:c r="AU269" s="48" t="n">
        <x:v>0.950543785154347</x:v>
      </x:c>
      <x:c r="AV269" s="43" t="n">
        <x:v>10000</x:v>
      </x:c>
      <x:c r="AW269" s="48" t="n">
        <x:v>0.950543785154347</x:v>
      </x:c>
      <x:c r="AX269" s="45" t="b">
        <x:v>1</x:v>
      </x:c>
      <x:c r="AY269" s="44" t="str">
        <x:v>{"provider":"jcs4","currentEntries":10000,"requestCount":5780224,"hitCount":5494356,"missCount":285868,"hitRate":0.950543785154347,"loadSuccessCount":0,"loadFailureCount":0,"totalLoadTimeNanos":0,"evictionCount":-1,"expirationCount":-1,"putCount":10000,"removeCount":0,"nativeMetrics":{"HitCountRam":5494356,"Composite.HitCountRam":5494356,"HitCountAux":0,"Composite.HitCountAux":0,"Put Count":10000,"Memory Cache.Put Count":10000,"Hit Count":5494356,"Memory Cache.Hit Count":5494356,"Miss Count":285868,"Memory Cache.Miss Count":285868,"Map Size":10000,"Memory Cache.Map Size":10000,"List Size":10000,"Memory Cache.List Size":10000}}</x:v>
      </x:c>
      <x:c r="AZ269" s="44" t="str">
        <x:v>{"provider":"jcs4","currentEntries":10000,"requestCount":5780224,"hitCount":5494356,"missCount":285868,"hitRate":0.950543785154347,"loadSuccessCount":0,"loadFailureCount":0,"totalLoadTimeNanos":0,"evictionCount":-1,"expirationCount":-1,"putCount":15000,"removeCount":0,"nativeMetrics":{"HitCountRam":5494356,"Composite.HitCountRam":5494356,"HitCountAux":0,"Composite.HitCountAux":0,"Put Count":15000,"Memory Cache.Put Count":15000,"Hit Count":5494356,"Memory Cache.Hit Count":5494356,"Miss Count":285868,"Memory Cache.Miss Count":285868,"Map Size":10000,"Memory Cache.Map Size":10000,"List Size":10000,"Memory Cache.List Size":10000}}</x:v>
      </x:c>
      <x:c r="BA269" s="43" t="n">
        <x:v>10000</x:v>
      </x:c>
      <x:c r="BB269" s="43" t="n">
        <x:v>5780224</x:v>
      </x:c>
      <x:c r="BC269" s="43" t="n">
        <x:v>5494356</x:v>
      </x:c>
      <x:c r="BD269" s="43" t="n">
        <x:v>285868</x:v>
      </x:c>
      <x:c r="BE269" s="48" t="n">
        <x:v>0.950543785154347</x:v>
      </x:c>
      <x:c r="BF269" s="43" t="n">
        <x:v>0</x:v>
      </x:c>
      <x:c r="BG269" s="43" t="n">
        <x:v>0</x:v>
      </x:c>
      <x:c r="BH269" s="43" t="n">
        <x:v>0</x:v>
      </x:c>
      <x:c r="BI269" s="43" t="n">
        <x:v>-1</x:v>
      </x:c>
      <x:c r="BJ269" s="43" t="n">
        <x:v>-1</x:v>
      </x:c>
      <x:c r="BK269" s="43" t="n">
        <x:v>15000</x:v>
      </x:c>
      <x:c r="BL269" s="43" t="n">
        <x:v>0</x:v>
      </x:c>
      <x:c r="BM269" s="44" t="str">
        <x:v>{"HitCountRam":5494356,"Composite.HitCountRam":5494356,"HitCountAux":0,"Composite.HitCountAux":0,"Put Count":15000,"Memory Cache.Put Count":15000,"Hit Count":5494356,"Memory Cache.Hit Count":5494356,"Miss Count":285868,"Memory Cache.Miss Count":285868,"Map Size":10000,"Memory Cache.Map Size":10000,"List Size":10000,"Memory Cache.List Size":10000}</x:v>
      </x:c>
    </x:row>
    <x:row r="270">
      <x:c r="A270" s="34" t="str">
        <x:v>article1-unified-v4-2-fb3f101b-20260903-000401-default-f05-p3-jcs4</x:v>
      </x:c>
      <x:c r="B270" s="34" t="str">
        <x:v>default</x:v>
      </x:c>
      <x:c r="C270" s="34" t="str">
        <x:v>jcs4</x:v>
      </x:c>
      <x:c r="D270" s="34" t="str">
        <x:v>jcs4</x:v>
      </x:c>
      <x:c r="E270" s="34" t="str">
        <x:v>current-provider-primary-comparison</x:v>
      </x:c>
      <x:c r="F270" s="36" t="n">
        <x:v>5</x:v>
      </x:c>
      <x:c r="G270" s="36" t="n">
        <x:v>5</x:v>
      </x:c>
      <x:c r="H270" s="36" t="n">
        <x:v>3</x:v>
      </x:c>
      <x:c r="I270" s="36" t="n">
        <x:v>5</x:v>
      </x:c>
      <x:c r="J270" s="34" t="str">
        <x:v>initial</x:v>
      </x:c>
      <x:c r="K270" s="34" t="str">
        <x:v>cache-semantics</x:v>
      </x:c>
      <x:c r="L270" s="45" t="b">
        <x:v>1</x:v>
      </x:c>
      <x:c r="M270" s="36" t="n">
        <x:v>620988831</x:v>
      </x:c>
      <x:c r="N270" s="34" t="str">
        <x:v>8940757b18d227a000be8118900d9d4aedf44b85c145f2f14007181f24d352aa</x:v>
      </x:c>
      <x:c r="O270" s="43" t="n">
        <x:v>10000</x:v>
      </x:c>
      <x:c r="P270" s="43" t="n">
        <x:v>400000</x:v>
      </x:c>
      <x:c r="Q270" s="36" t="n">
        <x:v>8</x:v>
      </x:c>
      <x:c r="R270" s="42" t="n">
        <x:v>95</x:v>
      </x:c>
      <x:c r="S270" s="43" t="n">
        <x:v>512</x:v>
      </x:c>
      <x:c r="T270" s="43" t="n">
        <x:v>50000</x:v>
      </x:c>
      <x:c r="U270" s="46" t="n">
        <x:v>3</x:v>
      </x:c>
      <x:c r="V270" s="46" t="n">
        <x:v>5</x:v>
      </x:c>
      <x:c r="W270" s="43" t="n">
        <x:v>300</x:v>
      </x:c>
      <x:c r="X270" s="34" t="str">
        <x:v>uniform</x:v>
      </x:c>
      <x:c r="Y270" s="42" t="n">
        <x:v>10</x:v>
      </x:c>
      <x:c r="Z270" s="34" t="str">
        <x:v>strict</x:v>
      </x:c>
      <x:c r="AA270" s="36" t="n">
        <x:v>64</x:v>
      </x:c>
      <x:c r="AB270" s="43" t="n">
        <x:v>2521856</x:v>
      </x:c>
      <x:c r="AC270" s="43" t="n">
        <x:v>3002152749</x:v>
      </x:c>
      <x:c r="AD270" s="43" t="n">
        <x:v>2152749</x:v>
      </x:c>
      <x:c r="AE270" s="43" t="n">
        <x:v>3959790.701302692</x:v>
      </x:c>
      <x:c r="AF270" s="43" t="n">
        <x:v>997745.7327914049</x:v>
      </x:c>
      <x:c r="AG270" s="43" t="n">
        <x:v>4989952</x:v>
      </x:c>
      <x:c r="AH270" s="43" t="n">
        <x:v>5001226100</x:v>
      </x:c>
      <x:c r="AI270" s="43" t="n">
        <x:v>1226100</x:v>
      </x:c>
      <x:c r="AJ270" s="43" t="n">
        <x:v>997745.7327914049</x:v>
      </x:c>
      <x:c r="AK270" s="43" t="n">
        <x:v>4989952</x:v>
      </x:c>
      <x:c r="AL270" s="43" t="n">
        <x:v>0</x:v>
      </x:c>
      <x:c r="AM270" s="43" t="n">
        <x:v>350345.2336967371</x:v>
      </x:c>
      <x:c r="AN270" s="43" t="n">
        <x:v>421</x:v>
      </x:c>
      <x:c r="AO270" s="43" t="n">
        <x:v>1824</x:v>
      </x:c>
      <x:c r="AP270" s="43" t="n">
        <x:v>273769</x:v>
      </x:c>
      <x:c r="AQ270" s="43" t="n">
        <x:v>77968</x:v>
      </x:c>
      <x:c r="AR270" s="43" t="n">
        <x:v>1</x:v>
      </x:c>
      <x:c r="AS270" s="45" t="b">
        <x:v>1</x:v>
      </x:c>
      <x:c r="AT270" s="43" t="n">
        <x:v>10000</x:v>
      </x:c>
      <x:c r="AU270" s="48" t="n">
        <x:v>0.9507620514185307</x:v>
      </x:c>
      <x:c r="AV270" s="43" t="n">
        <x:v>10000</x:v>
      </x:c>
      <x:c r="AW270" s="48" t="n">
        <x:v>0.9507620514185307</x:v>
      </x:c>
      <x:c r="AX270" s="45" t="b">
        <x:v>1</x:v>
      </x:c>
      <x:c r="AY270" s="44" t="str">
        <x:v>{"provider":"jcs4","currentEntries":10000,"requestCount":4989952,"hitCount":4744257,"missCount":245695,"hitRate":0.9507620514185307,"loadSuccessCount":0,"loadFailureCount":0,"totalLoadTimeNanos":0,"evictionCount":-1,"expirationCount":-1,"putCount":10000,"removeCount":0,"nativeMetrics":{"HitCountRam":4744257,"Composite.HitCountRam":4744257,"HitCountAux":0,"Composite.HitCountAux":0,"Put Count":10000,"Memory Cache.Put Count":10000,"Hit Count":4744257,"Memory Cache.Hit Count":4744257,"Miss Count":245695,"Memory Cache.Miss Count":245695,"Map Size":10000,"Memory Cache.Map Size":10000,"List Size":10000,"Memory Cache.List Size":10000}}</x:v>
      </x:c>
      <x:c r="AZ270" s="44" t="str">
        <x:v>{"provider":"jcs4","currentEntries":10000,"requestCount":4989952,"hitCount":4744257,"missCount":245695,"hitRate":0.9507620514185307,"loadSuccessCount":0,"loadFailureCount":0,"totalLoadTimeNanos":0,"evictionCount":-1,"expirationCount":-1,"putCount":15000,"removeCount":0,"nativeMetrics":{"HitCountRam":4744257,"Composite.HitCountRam":4744257,"HitCountAux":0,"Composite.HitCountAux":0,"Put Count":15000,"Memory Cache.Put Count":15000,"Hit Count":4744257,"Memory Cache.Hit Count":4744257,"Miss Count":245695,"Memory Cache.Miss Count":245695,"Map Size":10000,"Memory Cache.Map Size":10000,"List Size":10000,"Memory Cache.List Size":10000}}</x:v>
      </x:c>
      <x:c r="BA270" s="43" t="n">
        <x:v>10000</x:v>
      </x:c>
      <x:c r="BB270" s="43" t="n">
        <x:v>4989952</x:v>
      </x:c>
      <x:c r="BC270" s="43" t="n">
        <x:v>4744257</x:v>
      </x:c>
      <x:c r="BD270" s="43" t="n">
        <x:v>245695</x:v>
      </x:c>
      <x:c r="BE270" s="48" t="n">
        <x:v>0.9507620514185307</x:v>
      </x:c>
      <x:c r="BF270" s="43" t="n">
        <x:v>0</x:v>
      </x:c>
      <x:c r="BG270" s="43" t="n">
        <x:v>0</x:v>
      </x:c>
      <x:c r="BH270" s="43" t="n">
        <x:v>0</x:v>
      </x:c>
      <x:c r="BI270" s="43" t="n">
        <x:v>-1</x:v>
      </x:c>
      <x:c r="BJ270" s="43" t="n">
        <x:v>-1</x:v>
      </x:c>
      <x:c r="BK270" s="43" t="n">
        <x:v>15000</x:v>
      </x:c>
      <x:c r="BL270" s="43" t="n">
        <x:v>0</x:v>
      </x:c>
      <x:c r="BM270" s="44" t="str">
        <x:v>{"HitCountRam":4744257,"Composite.HitCountRam":4744257,"HitCountAux":0,"Composite.HitCountAux":0,"Put Count":15000,"Memory Cache.Put Count":15000,"Hit Count":4744257,"Memory Cache.Hit Count":4744257,"Miss Count":245695,"Memory Cache.Miss Count":245695,"Map Size":10000,"Memory Cache.Map Size":10000,"List Size":10000,"Memory Cache.List Size":10000}</x:v>
      </x:c>
    </x:row>
    <x:row r="271">
      <x:c r="A271" s="34" t="str">
        <x:v>article1-unified-v4-2-fb3f101b-20260903-000401-default-f05-p3-jcs4</x:v>
      </x:c>
      <x:c r="B271" s="34" t="str">
        <x:v>default</x:v>
      </x:c>
      <x:c r="C271" s="34" t="str">
        <x:v>jcs4</x:v>
      </x:c>
      <x:c r="D271" s="34" t="str">
        <x:v>jcs4</x:v>
      </x:c>
      <x:c r="E271" s="34" t="str">
        <x:v>current-provider-primary-comparison</x:v>
      </x:c>
      <x:c r="F271" s="36" t="n">
        <x:v>5</x:v>
      </x:c>
      <x:c r="G271" s="36" t="n">
        <x:v>5</x:v>
      </x:c>
      <x:c r="H271" s="36" t="n">
        <x:v>3</x:v>
      </x:c>
      <x:c r="I271" s="36" t="n">
        <x:v>5</x:v>
      </x:c>
      <x:c r="J271" s="34" t="str">
        <x:v>redeploy</x:v>
      </x:c>
      <x:c r="K271" s="34" t="str">
        <x:v>cache-semantics</x:v>
      </x:c>
      <x:c r="L271" s="45" t="b">
        <x:v>1</x:v>
      </x:c>
      <x:c r="M271" s="36" t="n">
        <x:v>620988831</x:v>
      </x:c>
      <x:c r="N271" s="34" t="str">
        <x:v>8940757b18d227a000be8118900d9d4aedf44b85c145f2f14007181f24d352aa</x:v>
      </x:c>
      <x:c r="O271" s="43" t="n">
        <x:v>10000</x:v>
      </x:c>
      <x:c r="P271" s="43" t="n">
        <x:v>400000</x:v>
      </x:c>
      <x:c r="Q271" s="36" t="n">
        <x:v>8</x:v>
      </x:c>
      <x:c r="R271" s="42" t="n">
        <x:v>95</x:v>
      </x:c>
      <x:c r="S271" s="43" t="n">
        <x:v>512</x:v>
      </x:c>
      <x:c r="T271" s="43" t="n">
        <x:v>50000</x:v>
      </x:c>
      <x:c r="U271" s="46" t="n">
        <x:v>3</x:v>
      </x:c>
      <x:c r="V271" s="46" t="n">
        <x:v>5</x:v>
      </x:c>
      <x:c r="W271" s="43" t="n">
        <x:v>300</x:v>
      </x:c>
      <x:c r="X271" s="34" t="str">
        <x:v>uniform</x:v>
      </x:c>
      <x:c r="Y271" s="42" t="n">
        <x:v>10</x:v>
      </x:c>
      <x:c r="Z271" s="34" t="str">
        <x:v>strict</x:v>
      </x:c>
      <x:c r="AA271" s="36" t="n">
        <x:v>64</x:v>
      </x:c>
      <x:c r="AB271" s="43" t="n">
        <x:v>2760192</x:v>
      </x:c>
      <x:c r="AC271" s="43" t="n">
        <x:v>3001026488</x:v>
      </x:c>
      <x:c r="AD271" s="43" t="n">
        <x:v>1026488</x:v>
      </x:c>
      <x:c r="AE271" s="43" t="n">
        <x:v>2512173.9951806455</x:v>
      </x:c>
      <x:c r="AF271" s="43" t="n">
        <x:v>837960.6950923956</x:v>
      </x:c>
      <x:c r="AG271" s="43" t="n">
        <x:v>4190720</x:v>
      </x:c>
      <x:c r="AH271" s="43" t="n">
        <x:v>5001093756</x:v>
      </x:c>
      <x:c r="AI271" s="43" t="n">
        <x:v>1093756</x:v>
      </x:c>
      <x:c r="AJ271" s="43" t="n">
        <x:v>837960.6950923956</x:v>
      </x:c>
      <x:c r="AK271" s="43" t="n">
        <x:v>4190720</x:v>
      </x:c>
      <x:c r="AL271" s="43" t="n">
        <x:v>0</x:v>
      </x:c>
      <x:c r="AM271" s="43" t="n">
        <x:v>600345.2465443828</x:v>
      </x:c>
      <x:c r="AN271" s="43" t="n">
        <x:v>551</x:v>
      </x:c>
      <x:c r="AO271" s="43" t="n">
        <x:v>2395</x:v>
      </x:c>
      <x:c r="AP271" s="43" t="n">
        <x:v>293107</x:v>
      </x:c>
      <x:c r="AQ271" s="43" t="n">
        <x:v>65480</x:v>
      </x:c>
      <x:c r="AR271" s="43" t="n">
        <x:v>1</x:v>
      </x:c>
      <x:c r="AS271" s="45" t="b">
        <x:v>1</x:v>
      </x:c>
      <x:c r="AT271" s="43" t="n">
        <x:v>10000</x:v>
      </x:c>
      <x:c r="AU271" s="48" t="n">
        <x:v>0.9507635919364692</x:v>
      </x:c>
      <x:c r="AV271" s="43" t="n">
        <x:v>10000</x:v>
      </x:c>
      <x:c r="AW271" s="48" t="n">
        <x:v>0.9507635919364692</x:v>
      </x:c>
      <x:c r="AX271" s="45" t="b">
        <x:v>1</x:v>
      </x:c>
      <x:c r="AY271" s="44" t="str">
        <x:v>{"provider":"jcs4","currentEntries":10000,"requestCount":4190720,"hitCount":3984384,"missCount":206336,"hitRate":0.9507635919364692,"loadSuccessCount":0,"loadFailureCount":0,"totalLoadTimeNanos":0,"evictionCount":-1,"expirationCount":-1,"putCount":10000,"removeCount":0,"nativeMetrics":{"HitCountRam":3984384,"Composite.HitCountRam":3984384,"HitCountAux":0,"Composite.HitCountAux":0,"Put Count":10000,"Memory Cache.Put Count":10000,"Hit Count":3984384,"Memory Cache.Hit Count":3984384,"Miss Count":206336,"Memory Cache.Miss Count":206336,"Map Size":10000,"Memory Cache.Map Size":10000,"List Size":10000,"Memory Cache.List Size":10000}}</x:v>
      </x:c>
      <x:c r="AZ271" s="44" t="str">
        <x:v>{"provider":"jcs4","currentEntries":10000,"requestCount":4190720,"hitCount":3984384,"missCount":206336,"hitRate":0.9507635919364692,"loadSuccessCount":0,"loadFailureCount":0,"totalLoadTimeNanos":0,"evictionCount":-1,"expirationCount":-1,"putCount":15000,"removeCount":0,"nativeMetrics":{"HitCountRam":3984384,"Composite.HitCountRam":3984384,"HitCountAux":0,"Composite.HitCountAux":0,"Put Count":15000,"Memory Cache.Put Count":15000,"Hit Count":3984384,"Memory Cache.Hit Count":3984384,"Miss Count":206336,"Memory Cache.Miss Count":206336,"Map Size":10000,"Memory Cache.Map Size":10000,"List Size":10000,"Memory Cache.List Size":10000}}</x:v>
      </x:c>
      <x:c r="BA271" s="43" t="n">
        <x:v>10000</x:v>
      </x:c>
      <x:c r="BB271" s="43" t="n">
        <x:v>4190720</x:v>
      </x:c>
      <x:c r="BC271" s="43" t="n">
        <x:v>3984384</x:v>
      </x:c>
      <x:c r="BD271" s="43" t="n">
        <x:v>206336</x:v>
      </x:c>
      <x:c r="BE271" s="48" t="n">
        <x:v>0.9507635919364692</x:v>
      </x:c>
      <x:c r="BF271" s="43" t="n">
        <x:v>0</x:v>
      </x:c>
      <x:c r="BG271" s="43" t="n">
        <x:v>0</x:v>
      </x:c>
      <x:c r="BH271" s="43" t="n">
        <x:v>0</x:v>
      </x:c>
      <x:c r="BI271" s="43" t="n">
        <x:v>-1</x:v>
      </x:c>
      <x:c r="BJ271" s="43" t="n">
        <x:v>-1</x:v>
      </x:c>
      <x:c r="BK271" s="43" t="n">
        <x:v>15000</x:v>
      </x:c>
      <x:c r="BL271" s="43" t="n">
        <x:v>0</x:v>
      </x:c>
      <x:c r="BM271" s="44" t="str">
        <x:v>{"HitCountRam":3984384,"Composite.HitCountRam":3984384,"HitCountAux":0,"Composite.HitCountAux":0,"Put Count":15000,"Memory Cache.Put Count":15000,"Hit Count":3984384,"Memory Cache.Hit Count":3984384,"Miss Count":206336,"Memory Cache.Miss Count":206336,"Map Size":10000,"Memory Cache.Map Size":10000,"List Size":10000,"Memory Cache.List Size":10000}</x:v>
      </x:c>
    </x:row>
    <x:row r="272">
      <x:c r="A272" s="34" t="str">
        <x:v>article1-unified-v4-2-fb3f101b-20260903-000401-default-f05-p4-caffeine</x:v>
      </x:c>
      <x:c r="B272" s="34" t="str">
        <x:v>default</x:v>
      </x:c>
      <x:c r="C272" s="34" t="str">
        <x:v>caffeine</x:v>
      </x:c>
      <x:c r="D272" s="34" t="str">
        <x:v>caffeine</x:v>
      </x:c>
      <x:c r="E272" s="34" t="str">
        <x:v>current-provider-primary-comparison</x:v>
      </x:c>
      <x:c r="F272" s="36" t="n">
        <x:v>5</x:v>
      </x:c>
      <x:c r="G272" s="36" t="n">
        <x:v>5</x:v>
      </x:c>
      <x:c r="H272" s="36" t="n">
        <x:v>4</x:v>
      </x:c>
      <x:c r="I272" s="36" t="n">
        <x:v>1</x:v>
      </x:c>
      <x:c r="J272" s="34" t="str">
        <x:v>initial</x:v>
      </x:c>
      <x:c r="K272" s="34" t="str">
        <x:v>cache-semantics</x:v>
      </x:c>
      <x:c r="L272" s="45" t="b">
        <x:v>1</x:v>
      </x:c>
      <x:c r="M272" s="36" t="n">
        <x:v>648580617</x:v>
      </x:c>
      <x:c r="N272" s="34" t="str">
        <x:v>bcfa144271bd10c17dc9c6f6a6f8819d8571bde3bb04884a7368ce6d62b186b3</x:v>
      </x:c>
      <x:c r="O272" s="43" t="n">
        <x:v>10000</x:v>
      </x:c>
      <x:c r="P272" s="43" t="n">
        <x:v>400000</x:v>
      </x:c>
      <x:c r="Q272" s="36" t="n">
        <x:v>8</x:v>
      </x:c>
      <x:c r="R272" s="42" t="n">
        <x:v>95</x:v>
      </x:c>
      <x:c r="S272" s="43" t="n">
        <x:v>512</x:v>
      </x:c>
      <x:c r="T272" s="43" t="n">
        <x:v>50000</x:v>
      </x:c>
      <x:c r="U272" s="46" t="n">
        <x:v>3</x:v>
      </x:c>
      <x:c r="V272" s="46" t="n">
        <x:v>5</x:v>
      </x:c>
      <x:c r="W272" s="43" t="n">
        <x:v>300</x:v>
      </x:c>
      <x:c r="X272" s="34" t="str">
        <x:v>uniform</x:v>
      </x:c>
      <x:c r="Y272" s="42" t="n">
        <x:v>10</x:v>
      </x:c>
      <x:c r="Z272" s="34" t="str">
        <x:v>strict</x:v>
      </x:c>
      <x:c r="AA272" s="36" t="n">
        <x:v>64</x:v>
      </x:c>
      <x:c r="AB272" s="43" t="n">
        <x:v>82325504</x:v>
      </x:c>
      <x:c r="AC272" s="43" t="n">
        <x:v>3053181391</x:v>
      </x:c>
      <x:c r="AD272" s="43" t="n">
        <x:v>53181391</x:v>
      </x:c>
      <x:c r="AE272" s="43" t="n">
        <x:v>1148805.5925694336</x:v>
      </x:c>
      <x:c r="AF272" s="43" t="n">
        <x:v>27956597.71155229</x:v>
      </x:c>
      <x:c r="AG272" s="43" t="n">
        <x:v>139879936</x:v>
      </x:c>
      <x:c r="AH272" s="43" t="n">
        <x:v>5003467784</x:v>
      </x:c>
      <x:c r="AI272" s="43" t="n">
        <x:v>3467784</x:v>
      </x:c>
      <x:c r="AJ272" s="43" t="n">
        <x:v>27956597.71155229</x:v>
      </x:c>
      <x:c r="AK272" s="43" t="n">
        <x:v>139879936</x:v>
      </x:c>
      <x:c r="AL272" s="43" t="n">
        <x:v>0</x:v>
      </x:c>
      <x:c r="AM272" s="43" t="n">
        <x:v>379476.744071321</x:v>
      </x:c>
      <x:c r="AN272" s="43" t="n">
        <x:v>140</x:v>
      </x:c>
      <x:c r="AO272" s="43" t="n">
        <x:v>261</x:v>
      </x:c>
      <x:c r="AP272" s="43" t="n">
        <x:v>461</x:v>
      </x:c>
      <x:c r="AQ272" s="43" t="n">
        <x:v>2185624</x:v>
      </x:c>
      <x:c r="AR272" s="43" t="n">
        <x:v>1</x:v>
      </x:c>
      <x:c r="AS272" s="45" t="b">
        <x:v>1</x:v>
      </x:c>
      <x:c r="AT272" s="43" t="n">
        <x:v>10000</x:v>
      </x:c>
      <x:c r="AU272" s="48" t="n">
        <x:v>0.950316348443282</x:v>
      </x:c>
      <x:c r="AV272" s="43" t="n">
        <x:v>10000</x:v>
      </x:c>
      <x:c r="AW272" s="48" t="n">
        <x:v>0.950316348443282</x:v>
      </x:c>
      <x:c r="AX272" s="45" t="b">
        <x:v>1</x:v>
      </x:c>
      <x:c r="AY272" s="44" t="str">
        <x:v>{"provider":"caffeine","currentEntries":10000,"requestCount":139879936,"hitCount":132930190,"missCount":6949746,"hitRate":0.950316348443282,"loadSuccessCount":0,"loadFailureCount":0,"totalLoadTimeNanos":0,"evictionCount":-1,"expirationCount":-1,"putCount":10000,"removeCount":0,"nativeMetrics":{"statisticsEnabled":0}}</x:v>
      </x:c>
      <x:c r="AZ272" s="44" t="str">
        <x:v>{"provider":"caffeine","currentEntries":10000,"requestCount":139879936,"hitCount":132930190,"missCount":6949746,"hitRate":0.950316348443282,"loadSuccessCount":0,"loadFailureCount":0,"totalLoadTimeNanos":0,"evictionCount":-1,"expirationCount":-1,"putCount":15000,"removeCount":0,"nativeMetrics":{"statisticsEnabled":0}}</x:v>
      </x:c>
      <x:c r="BA272" s="43" t="n">
        <x:v>10000</x:v>
      </x:c>
      <x:c r="BB272" s="43" t="n">
        <x:v>139879936</x:v>
      </x:c>
      <x:c r="BC272" s="43" t="n">
        <x:v>132930190</x:v>
      </x:c>
      <x:c r="BD272" s="43" t="n">
        <x:v>6949746</x:v>
      </x:c>
      <x:c r="BE272" s="48" t="n">
        <x:v>0.950316348443282</x:v>
      </x:c>
      <x:c r="BF272" s="43" t="n">
        <x:v>0</x:v>
      </x:c>
      <x:c r="BG272" s="43" t="n">
        <x:v>0</x:v>
      </x:c>
      <x:c r="BH272" s="43" t="n">
        <x:v>0</x:v>
      </x:c>
      <x:c r="BI272" s="43" t="n">
        <x:v>-1</x:v>
      </x:c>
      <x:c r="BJ272" s="43" t="n">
        <x:v>-1</x:v>
      </x:c>
      <x:c r="BK272" s="43" t="n">
        <x:v>15000</x:v>
      </x:c>
      <x:c r="BL272" s="43" t="n">
        <x:v>0</x:v>
      </x:c>
      <x:c r="BM272" s="44" t="str">
        <x:v>{"statisticsEnabled":0}</x:v>
      </x:c>
    </x:row>
    <x:row r="273">
      <x:c r="A273" s="34" t="str">
        <x:v>article1-unified-v4-2-fb3f101b-20260903-000401-default-f05-p4-caffeine</x:v>
      </x:c>
      <x:c r="B273" s="34" t="str">
        <x:v>default</x:v>
      </x:c>
      <x:c r="C273" s="34" t="str">
        <x:v>caffeine</x:v>
      </x:c>
      <x:c r="D273" s="34" t="str">
        <x:v>caffeine</x:v>
      </x:c>
      <x:c r="E273" s="34" t="str">
        <x:v>current-provider-primary-comparison</x:v>
      </x:c>
      <x:c r="F273" s="36" t="n">
        <x:v>5</x:v>
      </x:c>
      <x:c r="G273" s="36" t="n">
        <x:v>5</x:v>
      </x:c>
      <x:c r="H273" s="36" t="n">
        <x:v>4</x:v>
      </x:c>
      <x:c r="I273" s="36" t="n">
        <x:v>1</x:v>
      </x:c>
      <x:c r="J273" s="34" t="str">
        <x:v>redeploy</x:v>
      </x:c>
      <x:c r="K273" s="34" t="str">
        <x:v>cache-semantics</x:v>
      </x:c>
      <x:c r="L273" s="45" t="b">
        <x:v>1</x:v>
      </x:c>
      <x:c r="M273" s="36" t="n">
        <x:v>648580617</x:v>
      </x:c>
      <x:c r="N273" s="34" t="str">
        <x:v>bcfa144271bd10c17dc9c6f6a6f8819d8571bde3bb04884a7368ce6d62b186b3</x:v>
      </x:c>
      <x:c r="O273" s="43" t="n">
        <x:v>10000</x:v>
      </x:c>
      <x:c r="P273" s="43" t="n">
        <x:v>400000</x:v>
      </x:c>
      <x:c r="Q273" s="36" t="n">
        <x:v>8</x:v>
      </x:c>
      <x:c r="R273" s="42" t="n">
        <x:v>95</x:v>
      </x:c>
      <x:c r="S273" s="43" t="n">
        <x:v>512</x:v>
      </x:c>
      <x:c r="T273" s="43" t="n">
        <x:v>50000</x:v>
      </x:c>
      <x:c r="U273" s="46" t="n">
        <x:v>3</x:v>
      </x:c>
      <x:c r="V273" s="46" t="n">
        <x:v>5</x:v>
      </x:c>
      <x:c r="W273" s="43" t="n">
        <x:v>300</x:v>
      </x:c>
      <x:c r="X273" s="34" t="str">
        <x:v>uniform</x:v>
      </x:c>
      <x:c r="Y273" s="42" t="n">
        <x:v>10</x:v>
      </x:c>
      <x:c r="Z273" s="34" t="str">
        <x:v>strict</x:v>
      </x:c>
      <x:c r="AA273" s="36" t="n">
        <x:v>64</x:v>
      </x:c>
      <x:c r="AB273" s="43" t="n">
        <x:v>74444800</x:v>
      </x:c>
      <x:c r="AC273" s="43" t="n">
        <x:v>3000475781</x:v>
      </x:c>
      <x:c r="AD273" s="43" t="n">
        <x:v>475781</x:v>
      </x:c>
      <x:c r="AE273" s="43" t="n">
        <x:v>220986.7003132177</x:v>
      </x:c>
      <x:c r="AF273" s="43" t="n">
        <x:v>26877531.00970146</x:v>
      </x:c>
      <x:c r="AG273" s="43" t="n">
        <x:v>134494720</x:v>
      </x:c>
      <x:c r="AH273" s="43" t="n">
        <x:v>5003983437</x:v>
      </x:c>
      <x:c r="AI273" s="43" t="n">
        <x:v>3983437</x:v>
      </x:c>
      <x:c r="AJ273" s="43" t="n">
        <x:v>26877531.00970146</x:v>
      </x:c>
      <x:c r="AK273" s="43" t="n">
        <x:v>134494720</x:v>
      </x:c>
      <x:c r="AL273" s="43" t="n">
        <x:v>0</x:v>
      </x:c>
      <x:c r="AM273" s="43" t="n">
        <x:v>445779.36542594084</x:v>
      </x:c>
      <x:c r="AN273" s="43" t="n">
        <x:v>140</x:v>
      </x:c>
      <x:c r="AO273" s="43" t="n">
        <x:v>291</x:v>
      </x:c>
      <x:c r="AP273" s="43" t="n">
        <x:v>480</x:v>
      </x:c>
      <x:c r="AQ273" s="43" t="n">
        <x:v>2101480</x:v>
      </x:c>
      <x:c r="AR273" s="43" t="n">
        <x:v>1</x:v>
      </x:c>
      <x:c r="AS273" s="45" t="b">
        <x:v>1</x:v>
      </x:c>
      <x:c r="AT273" s="43" t="n">
        <x:v>10000</x:v>
      </x:c>
      <x:c r="AU273" s="48" t="n">
        <x:v>0.9503512777304566</x:v>
      </x:c>
      <x:c r="AV273" s="43" t="n">
        <x:v>10000</x:v>
      </x:c>
      <x:c r="AW273" s="48" t="n">
        <x:v>0.9503512777304566</x:v>
      </x:c>
      <x:c r="AX273" s="45" t="b">
        <x:v>1</x:v>
      </x:c>
      <x:c r="AY273" s="44" t="str">
        <x:v>{"provider":"caffeine","currentEntries":10000,"requestCount":134494720,"hitCount":127817229,"missCount":6677491,"hitRate":0.9503512777304566,"loadSuccessCount":0,"loadFailureCount":0,"totalLoadTimeNanos":0,"evictionCount":-1,"expirationCount":-1,"putCount":10000,"removeCount":0,"nativeMetrics":{"statisticsEnabled":0}}</x:v>
      </x:c>
      <x:c r="AZ273" s="44" t="str">
        <x:v>{"provider":"caffeine","currentEntries":10000,"requestCount":134494720,"hitCount":127817229,"missCount":6677491,"hitRate":0.9503512777304566,"loadSuccessCount":0,"loadFailureCount":0,"totalLoadTimeNanos":0,"evictionCount":-1,"expirationCount":-1,"putCount":15000,"removeCount":0,"nativeMetrics":{"statisticsEnabled":0}}</x:v>
      </x:c>
      <x:c r="BA273" s="43" t="n">
        <x:v>10000</x:v>
      </x:c>
      <x:c r="BB273" s="43" t="n">
        <x:v>134494720</x:v>
      </x:c>
      <x:c r="BC273" s="43" t="n">
        <x:v>127817229</x:v>
      </x:c>
      <x:c r="BD273" s="43" t="n">
        <x:v>6677491</x:v>
      </x:c>
      <x:c r="BE273" s="48" t="n">
        <x:v>0.9503512777304566</x:v>
      </x:c>
      <x:c r="BF273" s="43" t="n">
        <x:v>0</x:v>
      </x:c>
      <x:c r="BG273" s="43" t="n">
        <x:v>0</x:v>
      </x:c>
      <x:c r="BH273" s="43" t="n">
        <x:v>0</x:v>
      </x:c>
      <x:c r="BI273" s="43" t="n">
        <x:v>-1</x:v>
      </x:c>
      <x:c r="BJ273" s="43" t="n">
        <x:v>-1</x:v>
      </x:c>
      <x:c r="BK273" s="43" t="n">
        <x:v>15000</x:v>
      </x:c>
      <x:c r="BL273" s="43" t="n">
        <x:v>0</x:v>
      </x:c>
      <x:c r="BM273" s="44" t="str">
        <x:v>{"statisticsEnabled":0}</x:v>
      </x:c>
    </x:row>
    <x:row r="274">
      <x:c r="A274" s="34" t="str">
        <x:v>article1-unified-v4-2-fb3f101b-20260903-000401-default-f05-p4-caffeine</x:v>
      </x:c>
      <x:c r="B274" s="34" t="str">
        <x:v>default</x:v>
      </x:c>
      <x:c r="C274" s="34" t="str">
        <x:v>caffeine</x:v>
      </x:c>
      <x:c r="D274" s="34" t="str">
        <x:v>caffeine</x:v>
      </x:c>
      <x:c r="E274" s="34" t="str">
        <x:v>current-provider-primary-comparison</x:v>
      </x:c>
      <x:c r="F274" s="36" t="n">
        <x:v>5</x:v>
      </x:c>
      <x:c r="G274" s="36" t="n">
        <x:v>5</x:v>
      </x:c>
      <x:c r="H274" s="36" t="n">
        <x:v>4</x:v>
      </x:c>
      <x:c r="I274" s="36" t="n">
        <x:v>2</x:v>
      </x:c>
      <x:c r="J274" s="34" t="str">
        <x:v>initial</x:v>
      </x:c>
      <x:c r="K274" s="34" t="str">
        <x:v>cache-semantics</x:v>
      </x:c>
      <x:c r="L274" s="45" t="b">
        <x:v>1</x:v>
      </x:c>
      <x:c r="M274" s="36" t="n">
        <x:v>681442610</x:v>
      </x:c>
      <x:c r="N274" s="34" t="str">
        <x:v>6004b5d35d3f44ddcdd5f00ff160f8c46199fad46729e7e512a45aa23375c89b</x:v>
      </x:c>
      <x:c r="O274" s="43" t="n">
        <x:v>10000</x:v>
      </x:c>
      <x:c r="P274" s="43" t="n">
        <x:v>400000</x:v>
      </x:c>
      <x:c r="Q274" s="36" t="n">
        <x:v>8</x:v>
      </x:c>
      <x:c r="R274" s="42" t="n">
        <x:v>95</x:v>
      </x:c>
      <x:c r="S274" s="43" t="n">
        <x:v>512</x:v>
      </x:c>
      <x:c r="T274" s="43" t="n">
        <x:v>50000</x:v>
      </x:c>
      <x:c r="U274" s="46" t="n">
        <x:v>3</x:v>
      </x:c>
      <x:c r="V274" s="46" t="n">
        <x:v>5</x:v>
      </x:c>
      <x:c r="W274" s="43" t="n">
        <x:v>300</x:v>
      </x:c>
      <x:c r="X274" s="34" t="str">
        <x:v>uniform</x:v>
      </x:c>
      <x:c r="Y274" s="42" t="n">
        <x:v>10</x:v>
      </x:c>
      <x:c r="Z274" s="34" t="str">
        <x:v>strict</x:v>
      </x:c>
      <x:c r="AA274" s="36" t="n">
        <x:v>64</x:v>
      </x:c>
      <x:c r="AB274" s="43" t="n">
        <x:v>83149312</x:v>
      </x:c>
      <x:c r="AC274" s="43" t="n">
        <x:v>3000425342</x:v>
      </x:c>
      <x:c r="AD274" s="43" t="n">
        <x:v>425342</x:v>
      </x:c>
      <x:c r="AE274" s="43" t="n">
        <x:v>2022533.8587336957</x:v>
      </x:c>
      <x:c r="AF274" s="43" t="n">
        <x:v>26265803.43003956</x:v>
      </x:c>
      <x:c r="AG274" s="43" t="n">
        <x:v>132525312</x:v>
      </x:c>
      <x:c r="AH274" s="43" t="n">
        <x:v>5045545717</x:v>
      </x:c>
      <x:c r="AI274" s="43" t="n">
        <x:v>45545717</x:v>
      </x:c>
      <x:c r="AJ274" s="43" t="n">
        <x:v>26265803.43003956</x:v>
      </x:c>
      <x:c r="AK274" s="43" t="n">
        <x:v>132525312</x:v>
      </x:c>
      <x:c r="AL274" s="43" t="n">
        <x:v>0</x:v>
      </x:c>
      <x:c r="AM274" s="43" t="n">
        <x:v>518254.477459558</x:v>
      </x:c>
      <x:c r="AN274" s="43" t="n">
        <x:v>140</x:v>
      </x:c>
      <x:c r="AO274" s="43" t="n">
        <x:v>290</x:v>
      </x:c>
      <x:c r="AP274" s="43" t="n">
        <x:v>471</x:v>
      </x:c>
      <x:c r="AQ274" s="43" t="n">
        <x:v>2070708</x:v>
      </x:c>
      <x:c r="AR274" s="43" t="n">
        <x:v>1</x:v>
      </x:c>
      <x:c r="AS274" s="45" t="b">
        <x:v>1</x:v>
      </x:c>
      <x:c r="AT274" s="43" t="n">
        <x:v>10000</x:v>
      </x:c>
      <x:c r="AU274" s="48" t="n">
        <x:v>0.9504009090731286</x:v>
      </x:c>
      <x:c r="AV274" s="43" t="n">
        <x:v>10000</x:v>
      </x:c>
      <x:c r="AW274" s="48" t="n">
        <x:v>0.9504009090731286</x:v>
      </x:c>
      <x:c r="AX274" s="45" t="b">
        <x:v>1</x:v>
      </x:c>
      <x:c r="AY274" s="44" t="str">
        <x:v>{"provider":"caffeine","currentEntries":10000,"requestCount":132525312,"hitCount":125952177,"missCount":6573135,"hitRate":0.9504009090731286,"loadSuccessCount":0,"loadFailureCount":0,"totalLoadTimeNanos":0,"evictionCount":-1,"expirationCount":-1,"putCount":10000,"removeCount":0,"nativeMetrics":{"statisticsEnabled":0}}</x:v>
      </x:c>
      <x:c r="AZ274" s="44" t="str">
        <x:v>{"provider":"caffeine","currentEntries":10000,"requestCount":132525312,"hitCount":125952177,"missCount":6573135,"hitRate":0.9504009090731286,"loadSuccessCount":0,"loadFailureCount":0,"totalLoadTimeNanos":0,"evictionCount":-1,"expirationCount":-1,"putCount":15000,"removeCount":0,"nativeMetrics":{"statisticsEnabled":0}}</x:v>
      </x:c>
      <x:c r="BA274" s="43" t="n">
        <x:v>10000</x:v>
      </x:c>
      <x:c r="BB274" s="43" t="n">
        <x:v>132525312</x:v>
      </x:c>
      <x:c r="BC274" s="43" t="n">
        <x:v>125952177</x:v>
      </x:c>
      <x:c r="BD274" s="43" t="n">
        <x:v>6573135</x:v>
      </x:c>
      <x:c r="BE274" s="48" t="n">
        <x:v>0.9504009090731286</x:v>
      </x:c>
      <x:c r="BF274" s="43" t="n">
        <x:v>0</x:v>
      </x:c>
      <x:c r="BG274" s="43" t="n">
        <x:v>0</x:v>
      </x:c>
      <x:c r="BH274" s="43" t="n">
        <x:v>0</x:v>
      </x:c>
      <x:c r="BI274" s="43" t="n">
        <x:v>-1</x:v>
      </x:c>
      <x:c r="BJ274" s="43" t="n">
        <x:v>-1</x:v>
      </x:c>
      <x:c r="BK274" s="43" t="n">
        <x:v>15000</x:v>
      </x:c>
      <x:c r="BL274" s="43" t="n">
        <x:v>0</x:v>
      </x:c>
      <x:c r="BM274" s="44" t="str">
        <x:v>{"statisticsEnabled":0}</x:v>
      </x:c>
    </x:row>
    <x:row r="275">
      <x:c r="A275" s="34" t="str">
        <x:v>article1-unified-v4-2-fb3f101b-20260903-000401-default-f05-p4-caffeine</x:v>
      </x:c>
      <x:c r="B275" s="34" t="str">
        <x:v>default</x:v>
      </x:c>
      <x:c r="C275" s="34" t="str">
        <x:v>caffeine</x:v>
      </x:c>
      <x:c r="D275" s="34" t="str">
        <x:v>caffeine</x:v>
      </x:c>
      <x:c r="E275" s="34" t="str">
        <x:v>current-provider-primary-comparison</x:v>
      </x:c>
      <x:c r="F275" s="36" t="n">
        <x:v>5</x:v>
      </x:c>
      <x:c r="G275" s="36" t="n">
        <x:v>5</x:v>
      </x:c>
      <x:c r="H275" s="36" t="n">
        <x:v>4</x:v>
      </x:c>
      <x:c r="I275" s="36" t="n">
        <x:v>2</x:v>
      </x:c>
      <x:c r="J275" s="34" t="str">
        <x:v>redeploy</x:v>
      </x:c>
      <x:c r="K275" s="34" t="str">
        <x:v>cache-semantics</x:v>
      </x:c>
      <x:c r="L275" s="45" t="b">
        <x:v>1</x:v>
      </x:c>
      <x:c r="M275" s="36" t="n">
        <x:v>681442610</x:v>
      </x:c>
      <x:c r="N275" s="34" t="str">
        <x:v>6004b5d35d3f44ddcdd5f00ff160f8c46199fad46729e7e512a45aa23375c89b</x:v>
      </x:c>
      <x:c r="O275" s="43" t="n">
        <x:v>10000</x:v>
      </x:c>
      <x:c r="P275" s="43" t="n">
        <x:v>400000</x:v>
      </x:c>
      <x:c r="Q275" s="36" t="n">
        <x:v>8</x:v>
      </x:c>
      <x:c r="R275" s="42" t="n">
        <x:v>95</x:v>
      </x:c>
      <x:c r="S275" s="43" t="n">
        <x:v>512</x:v>
      </x:c>
      <x:c r="T275" s="43" t="n">
        <x:v>50000</x:v>
      </x:c>
      <x:c r="U275" s="46" t="n">
        <x:v>3</x:v>
      </x:c>
      <x:c r="V275" s="46" t="n">
        <x:v>5</x:v>
      </x:c>
      <x:c r="W275" s="43" t="n">
        <x:v>300</x:v>
      </x:c>
      <x:c r="X275" s="34" t="str">
        <x:v>uniform</x:v>
      </x:c>
      <x:c r="Y275" s="42" t="n">
        <x:v>10</x:v>
      </x:c>
      <x:c r="Z275" s="34" t="str">
        <x:v>strict</x:v>
      </x:c>
      <x:c r="AA275" s="36" t="n">
        <x:v>64</x:v>
      </x:c>
      <x:c r="AB275" s="43" t="n">
        <x:v>78892544</x:v>
      </x:c>
      <x:c r="AC275" s="43" t="n">
        <x:v>3000473251</x:v>
      </x:c>
      <x:c r="AD275" s="43" t="n">
        <x:v>473251</x:v>
      </x:c>
      <x:c r="AE275" s="43" t="n">
        <x:v>1815041.1369998495</x:v>
      </x:c>
      <x:c r="AF275" s="43" t="n">
        <x:v>26278978.718198337</x:v>
      </x:c>
      <x:c r="AG275" s="43" t="n">
        <x:v>131446528</x:v>
      </x:c>
      <x:c r="AH275" s="43" t="n">
        <x:v>5001964856</x:v>
      </x:c>
      <x:c r="AI275" s="43" t="n">
        <x:v>1964856</x:v>
      </x:c>
      <x:c r="AJ275" s="43" t="n">
        <x:v>26278978.718198337</x:v>
      </x:c>
      <x:c r="AK275" s="43" t="n">
        <x:v>131446528</x:v>
      </x:c>
      <x:c r="AL275" s="43" t="n">
        <x:v>0</x:v>
      </x:c>
      <x:c r="AM275" s="43" t="n">
        <x:v>502620.0578374953</x:v>
      </x:c>
      <x:c r="AN275" s="43" t="n">
        <x:v>140</x:v>
      </x:c>
      <x:c r="AO275" s="43" t="n">
        <x:v>291</x:v>
      </x:c>
      <x:c r="AP275" s="43" t="n">
        <x:v>481</x:v>
      </x:c>
      <x:c r="AQ275" s="43" t="n">
        <x:v>2053852</x:v>
      </x:c>
      <x:c r="AR275" s="43" t="n">
        <x:v>1</x:v>
      </x:c>
      <x:c r="AS275" s="45" t="b">
        <x:v>1</x:v>
      </x:c>
      <x:c r="AT275" s="43" t="n">
        <x:v>10000</x:v>
      </x:c>
      <x:c r="AU275" s="48" t="n">
        <x:v>0.9504018470537312</x:v>
      </x:c>
      <x:c r="AV275" s="43" t="n">
        <x:v>10000</x:v>
      </x:c>
      <x:c r="AW275" s="48" t="n">
        <x:v>0.9504018470537312</x:v>
      </x:c>
      <x:c r="AX275" s="45" t="b">
        <x:v>1</x:v>
      </x:c>
      <x:c r="AY275" s="44" t="str">
        <x:v>{"provider":"caffeine","currentEntries":10000,"requestCount":131446528,"hitCount":124927023,"missCount":6519505,"hitRate":0.9504018470537312,"loadSuccessCount":0,"loadFailureCount":0,"totalLoadTimeNanos":0,"evictionCount":-1,"expirationCount":-1,"putCount":10000,"removeCount":0,"nativeMetrics":{"statisticsEnabled":0}}</x:v>
      </x:c>
      <x:c r="AZ275" s="44" t="str">
        <x:v>{"provider":"caffeine","currentEntries":10000,"requestCount":131446528,"hitCount":124927023,"missCount":6519505,"hitRate":0.9504018470537312,"loadSuccessCount":0,"loadFailureCount":0,"totalLoadTimeNanos":0,"evictionCount":-1,"expirationCount":-1,"putCount":15000,"removeCount":0,"nativeMetrics":{"statisticsEnabled":0}}</x:v>
      </x:c>
      <x:c r="BA275" s="43" t="n">
        <x:v>10000</x:v>
      </x:c>
      <x:c r="BB275" s="43" t="n">
        <x:v>131446528</x:v>
      </x:c>
      <x:c r="BC275" s="43" t="n">
        <x:v>124927023</x:v>
      </x:c>
      <x:c r="BD275" s="43" t="n">
        <x:v>6519505</x:v>
      </x:c>
      <x:c r="BE275" s="48" t="n">
        <x:v>0.9504018470537312</x:v>
      </x:c>
      <x:c r="BF275" s="43" t="n">
        <x:v>0</x:v>
      </x:c>
      <x:c r="BG275" s="43" t="n">
        <x:v>0</x:v>
      </x:c>
      <x:c r="BH275" s="43" t="n">
        <x:v>0</x:v>
      </x:c>
      <x:c r="BI275" s="43" t="n">
        <x:v>-1</x:v>
      </x:c>
      <x:c r="BJ275" s="43" t="n">
        <x:v>-1</x:v>
      </x:c>
      <x:c r="BK275" s="43" t="n">
        <x:v>15000</x:v>
      </x:c>
      <x:c r="BL275" s="43" t="n">
        <x:v>0</x:v>
      </x:c>
      <x:c r="BM275" s="44" t="str">
        <x:v>{"statisticsEnabled":0}</x:v>
      </x:c>
    </x:row>
    <x:row r="276">
      <x:c r="A276" s="34" t="str">
        <x:v>article1-unified-v4-2-fb3f101b-20260903-000401-default-f05-p4-caffeine</x:v>
      </x:c>
      <x:c r="B276" s="34" t="str">
        <x:v>default</x:v>
      </x:c>
      <x:c r="C276" s="34" t="str">
        <x:v>caffeine</x:v>
      </x:c>
      <x:c r="D276" s="34" t="str">
        <x:v>caffeine</x:v>
      </x:c>
      <x:c r="E276" s="34" t="str">
        <x:v>current-provider-primary-comparison</x:v>
      </x:c>
      <x:c r="F276" s="36" t="n">
        <x:v>5</x:v>
      </x:c>
      <x:c r="G276" s="36" t="n">
        <x:v>5</x:v>
      </x:c>
      <x:c r="H276" s="36" t="n">
        <x:v>4</x:v>
      </x:c>
      <x:c r="I276" s="36" t="n">
        <x:v>3</x:v>
      </x:c>
      <x:c r="J276" s="34" t="str">
        <x:v>initial</x:v>
      </x:c>
      <x:c r="K276" s="34" t="str">
        <x:v>cache-semantics</x:v>
      </x:c>
      <x:c r="L276" s="45" t="b">
        <x:v>1</x:v>
      </x:c>
      <x:c r="M276" s="36" t="n">
        <x:v>1680357415</x:v>
      </x:c>
      <x:c r="N276" s="34" t="str">
        <x:v>7fd56c55e07780880dfc2de7b34f4b776b7447364ab7153414be84b7c5d590b9</x:v>
      </x:c>
      <x:c r="O276" s="43" t="n">
        <x:v>10000</x:v>
      </x:c>
      <x:c r="P276" s="43" t="n">
        <x:v>400000</x:v>
      </x:c>
      <x:c r="Q276" s="36" t="n">
        <x:v>8</x:v>
      </x:c>
      <x:c r="R276" s="42" t="n">
        <x:v>95</x:v>
      </x:c>
      <x:c r="S276" s="43" t="n">
        <x:v>512</x:v>
      </x:c>
      <x:c r="T276" s="43" t="n">
        <x:v>50000</x:v>
      </x:c>
      <x:c r="U276" s="46" t="n">
        <x:v>3</x:v>
      </x:c>
      <x:c r="V276" s="46" t="n">
        <x:v>5</x:v>
      </x:c>
      <x:c r="W276" s="43" t="n">
        <x:v>300</x:v>
      </x:c>
      <x:c r="X276" s="34" t="str">
        <x:v>uniform</x:v>
      </x:c>
      <x:c r="Y276" s="42" t="n">
        <x:v>10</x:v>
      </x:c>
      <x:c r="Z276" s="34" t="str">
        <x:v>strict</x:v>
      </x:c>
      <x:c r="AA276" s="36" t="n">
        <x:v>64</x:v>
      </x:c>
      <x:c r="AB276" s="43" t="n">
        <x:v>82644736</x:v>
      </x:c>
      <x:c r="AC276" s="43" t="n">
        <x:v>3000436306</x:v>
      </x:c>
      <x:c r="AD276" s="43" t="n">
        <x:v>436306</x:v>
      </x:c>
      <x:c r="AE276" s="43" t="n">
        <x:v>1753363.784586635</x:v>
      </x:c>
      <x:c r="AF276" s="43" t="n">
        <x:v>27765601.337007314</x:v>
      </x:c>
      <x:c r="AG276" s="43" t="n">
        <x:v>139001856</x:v>
      </x:c>
      <x:c r="AH276" s="43" t="n">
        <x:v>5006261320</x:v>
      </x:c>
      <x:c r="AI276" s="43" t="n">
        <x:v>6261320</x:v>
      </x:c>
      <x:c r="AJ276" s="43" t="n">
        <x:v>27765601.337007314</x:v>
      </x:c>
      <x:c r="AK276" s="43" t="n">
        <x:v>139001856</x:v>
      </x:c>
      <x:c r="AL276" s="43" t="n">
        <x:v>0</x:v>
      </x:c>
      <x:c r="AM276" s="43" t="n">
        <x:v>630612.1326747389</x:v>
      </x:c>
      <x:c r="AN276" s="43" t="n">
        <x:v>140</x:v>
      </x:c>
      <x:c r="AO276" s="43" t="n">
        <x:v>281</x:v>
      </x:c>
      <x:c r="AP276" s="43" t="n">
        <x:v>481</x:v>
      </x:c>
      <x:c r="AQ276" s="43" t="n">
        <x:v>2171904</x:v>
      </x:c>
      <x:c r="AR276" s="43" t="n">
        <x:v>1</x:v>
      </x:c>
      <x:c r="AS276" s="45" t="b">
        <x:v>1</x:v>
      </x:c>
      <x:c r="AT276" s="43" t="n">
        <x:v>10000</x:v>
      </x:c>
      <x:c r="AU276" s="48" t="n">
        <x:v>0.9501658380734139</x:v>
      </x:c>
      <x:c r="AV276" s="43" t="n">
        <x:v>10000</x:v>
      </x:c>
      <x:c r="AW276" s="48" t="n">
        <x:v>0.9501658380734139</x:v>
      </x:c>
      <x:c r="AX276" s="45" t="b">
        <x:v>1</x:v>
      </x:c>
      <x:c r="AY276" s="44" t="str">
        <x:v>{"provider":"caffeine","currentEntries":10000,"requestCount":139001856,"hitCount":132074815,"missCount":6927041,"hitRate":0.9501658380734139,"loadSuccessCount":0,"loadFailureCount":0,"totalLoadTimeNanos":0,"evictionCount":-1,"expirationCount":-1,"putCount":10000,"removeCount":0,"nativeMetrics":{"statisticsEnabled":0}}</x:v>
      </x:c>
      <x:c r="AZ276" s="44" t="str">
        <x:v>{"provider":"caffeine","currentEntries":10000,"requestCount":139001856,"hitCount":132074815,"missCount":6927041,"hitRate":0.9501658380734139,"loadSuccessCount":0,"loadFailureCount":0,"totalLoadTimeNanos":0,"evictionCount":-1,"expirationCount":-1,"putCount":15000,"removeCount":0,"nativeMetrics":{"statisticsEnabled":0}}</x:v>
      </x:c>
      <x:c r="BA276" s="43" t="n">
        <x:v>10000</x:v>
      </x:c>
      <x:c r="BB276" s="43" t="n">
        <x:v>139001856</x:v>
      </x:c>
      <x:c r="BC276" s="43" t="n">
        <x:v>132074815</x:v>
      </x:c>
      <x:c r="BD276" s="43" t="n">
        <x:v>6927041</x:v>
      </x:c>
      <x:c r="BE276" s="48" t="n">
        <x:v>0.9501658380734139</x:v>
      </x:c>
      <x:c r="BF276" s="43" t="n">
        <x:v>0</x:v>
      </x:c>
      <x:c r="BG276" s="43" t="n">
        <x:v>0</x:v>
      </x:c>
      <x:c r="BH276" s="43" t="n">
        <x:v>0</x:v>
      </x:c>
      <x:c r="BI276" s="43" t="n">
        <x:v>-1</x:v>
      </x:c>
      <x:c r="BJ276" s="43" t="n">
        <x:v>-1</x:v>
      </x:c>
      <x:c r="BK276" s="43" t="n">
        <x:v>15000</x:v>
      </x:c>
      <x:c r="BL276" s="43" t="n">
        <x:v>0</x:v>
      </x:c>
      <x:c r="BM276" s="44" t="str">
        <x:v>{"statisticsEnabled":0}</x:v>
      </x:c>
    </x:row>
    <x:row r="277">
      <x:c r="A277" s="34" t="str">
        <x:v>article1-unified-v4-2-fb3f101b-20260903-000401-default-f05-p4-caffeine</x:v>
      </x:c>
      <x:c r="B277" s="34" t="str">
        <x:v>default</x:v>
      </x:c>
      <x:c r="C277" s="34" t="str">
        <x:v>caffeine</x:v>
      </x:c>
      <x:c r="D277" s="34" t="str">
        <x:v>caffeine</x:v>
      </x:c>
      <x:c r="E277" s="34" t="str">
        <x:v>current-provider-primary-comparison</x:v>
      </x:c>
      <x:c r="F277" s="36" t="n">
        <x:v>5</x:v>
      </x:c>
      <x:c r="G277" s="36" t="n">
        <x:v>5</x:v>
      </x:c>
      <x:c r="H277" s="36" t="n">
        <x:v>4</x:v>
      </x:c>
      <x:c r="I277" s="36" t="n">
        <x:v>3</x:v>
      </x:c>
      <x:c r="J277" s="34" t="str">
        <x:v>redeploy</x:v>
      </x:c>
      <x:c r="K277" s="34" t="str">
        <x:v>cache-semantics</x:v>
      </x:c>
      <x:c r="L277" s="45" t="b">
        <x:v>1</x:v>
      </x:c>
      <x:c r="M277" s="36" t="n">
        <x:v>1680357415</x:v>
      </x:c>
      <x:c r="N277" s="34" t="str">
        <x:v>7fd56c55e07780880dfc2de7b34f4b776b7447364ab7153414be84b7c5d590b9</x:v>
      </x:c>
      <x:c r="O277" s="43" t="n">
        <x:v>10000</x:v>
      </x:c>
      <x:c r="P277" s="43" t="n">
        <x:v>400000</x:v>
      </x:c>
      <x:c r="Q277" s="36" t="n">
        <x:v>8</x:v>
      </x:c>
      <x:c r="R277" s="42" t="n">
        <x:v>95</x:v>
      </x:c>
      <x:c r="S277" s="43" t="n">
        <x:v>512</x:v>
      </x:c>
      <x:c r="T277" s="43" t="n">
        <x:v>50000</x:v>
      </x:c>
      <x:c r="U277" s="46" t="n">
        <x:v>3</x:v>
      </x:c>
      <x:c r="V277" s="46" t="n">
        <x:v>5</x:v>
      </x:c>
      <x:c r="W277" s="43" t="n">
        <x:v>300</x:v>
      </x:c>
      <x:c r="X277" s="34" t="str">
        <x:v>uniform</x:v>
      </x:c>
      <x:c r="Y277" s="42" t="n">
        <x:v>10</x:v>
      </x:c>
      <x:c r="Z277" s="34" t="str">
        <x:v>strict</x:v>
      </x:c>
      <x:c r="AA277" s="36" t="n">
        <x:v>64</x:v>
      </x:c>
      <x:c r="AB277" s="43" t="n">
        <x:v>76084992</x:v>
      </x:c>
      <x:c r="AC277" s="43" t="n">
        <x:v>3000428355</x:v>
      </x:c>
      <x:c r="AD277" s="43" t="n">
        <x:v>428355</x:v>
      </x:c>
      <x:c r="AE277" s="43" t="n">
        <x:v>1268247.3848421862</x:v>
      </x:c>
      <x:c r="AF277" s="43" t="n">
        <x:v>25957575.99218084</x:v>
      </x:c>
      <x:c r="AG277" s="43" t="n">
        <x:v>131169792</x:v>
      </x:c>
      <x:c r="AH277" s="43" t="n">
        <x:v>5053237330</x:v>
      </x:c>
      <x:c r="AI277" s="43" t="n">
        <x:v>53237330</x:v>
      </x:c>
      <x:c r="AJ277" s="43" t="n">
        <x:v>25957575.99218084</x:v>
      </x:c>
      <x:c r="AK277" s="43" t="n">
        <x:v>131169792</x:v>
      </x:c>
      <x:c r="AL277" s="43" t="n">
        <x:v>0</x:v>
      </x:c>
      <x:c r="AM277" s="43" t="n">
        <x:v>457864.17898679967</x:v>
      </x:c>
      <x:c r="AN277" s="43" t="n">
        <x:v>140</x:v>
      </x:c>
      <x:c r="AO277" s="43" t="n">
        <x:v>311</x:v>
      </x:c>
      <x:c r="AP277" s="43" t="n">
        <x:v>511</x:v>
      </x:c>
      <x:c r="AQ277" s="43" t="n">
        <x:v>2049528</x:v>
      </x:c>
      <x:c r="AR277" s="43" t="n">
        <x:v>1</x:v>
      </x:c>
      <x:c r="AS277" s="45" t="b">
        <x:v>1</x:v>
      </x:c>
      <x:c r="AT277" s="43" t="n">
        <x:v>10000</x:v>
      </x:c>
      <x:c r="AU277" s="48" t="n">
        <x:v>0.9501804043418778</x:v>
      </x:c>
      <x:c r="AV277" s="43" t="n">
        <x:v>10000</x:v>
      </x:c>
      <x:c r="AW277" s="48" t="n">
        <x:v>0.9501804043418778</x:v>
      </x:c>
      <x:c r="AX277" s="45" t="b">
        <x:v>1</x:v>
      </x:c>
      <x:c r="AY277" s="44" t="str">
        <x:v>{"provider":"caffeine","currentEntries":10000,"requestCount":131169792,"hitCount":124634966,"missCount":6534826,"hitRate":0.9501804043418778,"loadSuccessCount":0,"loadFailureCount":0,"totalLoadTimeNanos":0,"evictionCount":-1,"expirationCount":-1,"putCount":10000,"removeCount":0,"nativeMetrics":{"statisticsEnabled":0}}</x:v>
      </x:c>
      <x:c r="AZ277" s="44" t="str">
        <x:v>{"provider":"caffeine","currentEntries":10000,"requestCount":131169792,"hitCount":124634966,"missCount":6534826,"hitRate":0.9501804043418778,"loadSuccessCount":0,"loadFailureCount":0,"totalLoadTimeNanos":0,"evictionCount":-1,"expirationCount":-1,"putCount":15000,"removeCount":0,"nativeMetrics":{"statisticsEnabled":0}}</x:v>
      </x:c>
      <x:c r="BA277" s="43" t="n">
        <x:v>10000</x:v>
      </x:c>
      <x:c r="BB277" s="43" t="n">
        <x:v>131169792</x:v>
      </x:c>
      <x:c r="BC277" s="43" t="n">
        <x:v>124634966</x:v>
      </x:c>
      <x:c r="BD277" s="43" t="n">
        <x:v>6534826</x:v>
      </x:c>
      <x:c r="BE277" s="48" t="n">
        <x:v>0.9501804043418778</x:v>
      </x:c>
      <x:c r="BF277" s="43" t="n">
        <x:v>0</x:v>
      </x:c>
      <x:c r="BG277" s="43" t="n">
        <x:v>0</x:v>
      </x:c>
      <x:c r="BH277" s="43" t="n">
        <x:v>0</x:v>
      </x:c>
      <x:c r="BI277" s="43" t="n">
        <x:v>-1</x:v>
      </x:c>
      <x:c r="BJ277" s="43" t="n">
        <x:v>-1</x:v>
      </x:c>
      <x:c r="BK277" s="43" t="n">
        <x:v>15000</x:v>
      </x:c>
      <x:c r="BL277" s="43" t="n">
        <x:v>0</x:v>
      </x:c>
      <x:c r="BM277" s="44" t="str">
        <x:v>{"statisticsEnabled":0}</x:v>
      </x:c>
    </x:row>
    <x:row r="278">
      <x:c r="A278" s="34" t="str">
        <x:v>article1-unified-v4-2-fb3f101b-20260903-000401-default-f05-p4-caffeine</x:v>
      </x:c>
      <x:c r="B278" s="34" t="str">
        <x:v>default</x:v>
      </x:c>
      <x:c r="C278" s="34" t="str">
        <x:v>caffeine</x:v>
      </x:c>
      <x:c r="D278" s="34" t="str">
        <x:v>caffeine</x:v>
      </x:c>
      <x:c r="E278" s="34" t="str">
        <x:v>current-provider-primary-comparison</x:v>
      </x:c>
      <x:c r="F278" s="36" t="n">
        <x:v>5</x:v>
      </x:c>
      <x:c r="G278" s="36" t="n">
        <x:v>5</x:v>
      </x:c>
      <x:c r="H278" s="36" t="n">
        <x:v>4</x:v>
      </x:c>
      <x:c r="I278" s="36" t="n">
        <x:v>4</x:v>
      </x:c>
      <x:c r="J278" s="34" t="str">
        <x:v>initial</x:v>
      </x:c>
      <x:c r="K278" s="34" t="str">
        <x:v>cache-semantics</x:v>
      </x:c>
      <x:c r="L278" s="45" t="b">
        <x:v>1</x:v>
      </x:c>
      <x:c r="M278" s="36" t="n">
        <x:v>1131239936</x:v>
      </x:c>
      <x:c r="N278" s="34" t="str">
        <x:v>3a5209d570baf0beb6c3f6e9b35074a72fca123e15e1fa95c3b3bc779093a379</x:v>
      </x:c>
      <x:c r="O278" s="43" t="n">
        <x:v>10000</x:v>
      </x:c>
      <x:c r="P278" s="43" t="n">
        <x:v>400000</x:v>
      </x:c>
      <x:c r="Q278" s="36" t="n">
        <x:v>8</x:v>
      </x:c>
      <x:c r="R278" s="42" t="n">
        <x:v>95</x:v>
      </x:c>
      <x:c r="S278" s="43" t="n">
        <x:v>512</x:v>
      </x:c>
      <x:c r="T278" s="43" t="n">
        <x:v>50000</x:v>
      </x:c>
      <x:c r="U278" s="46" t="n">
        <x:v>3</x:v>
      </x:c>
      <x:c r="V278" s="46" t="n">
        <x:v>5</x:v>
      </x:c>
      <x:c r="W278" s="43" t="n">
        <x:v>300</x:v>
      </x:c>
      <x:c r="X278" s="34" t="str">
        <x:v>uniform</x:v>
      </x:c>
      <x:c r="Y278" s="42" t="n">
        <x:v>10</x:v>
      </x:c>
      <x:c r="Z278" s="34" t="str">
        <x:v>strict</x:v>
      </x:c>
      <x:c r="AA278" s="36" t="n">
        <x:v>64</x:v>
      </x:c>
      <x:c r="AB278" s="43" t="n">
        <x:v>82178048</x:v>
      </x:c>
      <x:c r="AC278" s="43" t="n">
        <x:v>3039228752</x:v>
      </x:c>
      <x:c r="AD278" s="43" t="n">
        <x:v>39228752</x:v>
      </x:c>
      <x:c r="AE278" s="43" t="n">
        <x:v>1608628.6842623835</x:v>
      </x:c>
      <x:c r="AF278" s="43" t="n">
        <x:v>26950513.023136336</x:v>
      </x:c>
      <x:c r="AG278" s="43" t="n">
        <x:v>134814208</x:v>
      </x:c>
      <x:c r="AH278" s="43" t="n">
        <x:v>5002287262</x:v>
      </x:c>
      <x:c r="AI278" s="43" t="n">
        <x:v>2287262</x:v>
      </x:c>
      <x:c r="AJ278" s="43" t="n">
        <x:v>26950513.023136336</x:v>
      </x:c>
      <x:c r="AK278" s="43" t="n">
        <x:v>134814208</x:v>
      </x:c>
      <x:c r="AL278" s="43" t="n">
        <x:v>0</x:v>
      </x:c>
      <x:c r="AM278" s="43" t="n">
        <x:v>533009.8318993592</x:v>
      </x:c>
      <x:c r="AN278" s="43" t="n">
        <x:v>140</x:v>
      </x:c>
      <x:c r="AO278" s="43" t="n">
        <x:v>301</x:v>
      </x:c>
      <x:c r="AP278" s="43" t="n">
        <x:v>481</x:v>
      </x:c>
      <x:c r="AQ278" s="43" t="n">
        <x:v>2106472</x:v>
      </x:c>
      <x:c r="AR278" s="43" t="n">
        <x:v>1</x:v>
      </x:c>
      <x:c r="AS278" s="45" t="b">
        <x:v>1</x:v>
      </x:c>
      <x:c r="AT278" s="43" t="n">
        <x:v>10000</x:v>
      </x:c>
      <x:c r="AU278" s="48" t="n">
        <x:v>0.9505413628213429</x:v>
      </x:c>
      <x:c r="AV278" s="43" t="n">
        <x:v>10000</x:v>
      </x:c>
      <x:c r="AW278" s="48" t="n">
        <x:v>0.9505413628213429</x:v>
      </x:c>
      <x:c r="AX278" s="45" t="b">
        <x:v>1</x:v>
      </x:c>
      <x:c r="AY278" s="44" t="str">
        <x:v>{"provider":"caffeine","currentEntries":10000,"requestCount":134814208,"hitCount":128146481,"missCount":6667727,"hitRate":0.9505413628213429,"loadSuccessCount":0,"loadFailureCount":0,"totalLoadTimeNanos":0,"evictionCount":-1,"expirationCount":-1,"putCount":10000,"removeCount":0,"nativeMetrics":{"statisticsEnabled":0}}</x:v>
      </x:c>
      <x:c r="AZ278" s="44" t="str">
        <x:v>{"provider":"caffeine","currentEntries":10000,"requestCount":134814208,"hitCount":128146481,"missCount":6667727,"hitRate":0.9505413628213429,"loadSuccessCount":0,"loadFailureCount":0,"totalLoadTimeNanos":0,"evictionCount":-1,"expirationCount":-1,"putCount":15000,"removeCount":0,"nativeMetrics":{"statisticsEnabled":0}}</x:v>
      </x:c>
      <x:c r="BA278" s="43" t="n">
        <x:v>10000</x:v>
      </x:c>
      <x:c r="BB278" s="43" t="n">
        <x:v>134814208</x:v>
      </x:c>
      <x:c r="BC278" s="43" t="n">
        <x:v>128146481</x:v>
      </x:c>
      <x:c r="BD278" s="43" t="n">
        <x:v>6667727</x:v>
      </x:c>
      <x:c r="BE278" s="48" t="n">
        <x:v>0.9505413628213429</x:v>
      </x:c>
      <x:c r="BF278" s="43" t="n">
        <x:v>0</x:v>
      </x:c>
      <x:c r="BG278" s="43" t="n">
        <x:v>0</x:v>
      </x:c>
      <x:c r="BH278" s="43" t="n">
        <x:v>0</x:v>
      </x:c>
      <x:c r="BI278" s="43" t="n">
        <x:v>-1</x:v>
      </x:c>
      <x:c r="BJ278" s="43" t="n">
        <x:v>-1</x:v>
      </x:c>
      <x:c r="BK278" s="43" t="n">
        <x:v>15000</x:v>
      </x:c>
      <x:c r="BL278" s="43" t="n">
        <x:v>0</x:v>
      </x:c>
      <x:c r="BM278" s="44" t="str">
        <x:v>{"statisticsEnabled":0}</x:v>
      </x:c>
    </x:row>
    <x:row r="279">
      <x:c r="A279" s="34" t="str">
        <x:v>article1-unified-v4-2-fb3f101b-20260903-000401-default-f05-p4-caffeine</x:v>
      </x:c>
      <x:c r="B279" s="34" t="str">
        <x:v>default</x:v>
      </x:c>
      <x:c r="C279" s="34" t="str">
        <x:v>caffeine</x:v>
      </x:c>
      <x:c r="D279" s="34" t="str">
        <x:v>caffeine</x:v>
      </x:c>
      <x:c r="E279" s="34" t="str">
        <x:v>current-provider-primary-comparison</x:v>
      </x:c>
      <x:c r="F279" s="36" t="n">
        <x:v>5</x:v>
      </x:c>
      <x:c r="G279" s="36" t="n">
        <x:v>5</x:v>
      </x:c>
      <x:c r="H279" s="36" t="n">
        <x:v>4</x:v>
      </x:c>
      <x:c r="I279" s="36" t="n">
        <x:v>4</x:v>
      </x:c>
      <x:c r="J279" s="34" t="str">
        <x:v>redeploy</x:v>
      </x:c>
      <x:c r="K279" s="34" t="str">
        <x:v>cache-semantics</x:v>
      </x:c>
      <x:c r="L279" s="45" t="b">
        <x:v>1</x:v>
      </x:c>
      <x:c r="M279" s="36" t="n">
        <x:v>1131239936</x:v>
      </x:c>
      <x:c r="N279" s="34" t="str">
        <x:v>3a5209d570baf0beb6c3f6e9b35074a72fca123e15e1fa95c3b3bc779093a379</x:v>
      </x:c>
      <x:c r="O279" s="43" t="n">
        <x:v>10000</x:v>
      </x:c>
      <x:c r="P279" s="43" t="n">
        <x:v>400000</x:v>
      </x:c>
      <x:c r="Q279" s="36" t="n">
        <x:v>8</x:v>
      </x:c>
      <x:c r="R279" s="42" t="n">
        <x:v>95</x:v>
      </x:c>
      <x:c r="S279" s="43" t="n">
        <x:v>512</x:v>
      </x:c>
      <x:c r="T279" s="43" t="n">
        <x:v>50000</x:v>
      </x:c>
      <x:c r="U279" s="46" t="n">
        <x:v>3</x:v>
      </x:c>
      <x:c r="V279" s="46" t="n">
        <x:v>5</x:v>
      </x:c>
      <x:c r="W279" s="43" t="n">
        <x:v>300</x:v>
      </x:c>
      <x:c r="X279" s="34" t="str">
        <x:v>uniform</x:v>
      </x:c>
      <x:c r="Y279" s="42" t="n">
        <x:v>10</x:v>
      </x:c>
      <x:c r="Z279" s="34" t="str">
        <x:v>strict</x:v>
      </x:c>
      <x:c r="AA279" s="36" t="n">
        <x:v>64</x:v>
      </x:c>
      <x:c r="AB279" s="43" t="n">
        <x:v>81372928</x:v>
      </x:c>
      <x:c r="AC279" s="43" t="n">
        <x:v>3005315961</x:v>
      </x:c>
      <x:c r="AD279" s="43" t="n">
        <x:v>5315961</x:v>
      </x:c>
      <x:c r="AE279" s="43" t="n">
        <x:v>2066714.7935651594</x:v>
      </x:c>
      <x:c r="AF279" s="43" t="n">
        <x:v>25561074.000816878</x:v>
      </x:c>
      <x:c r="AG279" s="43" t="n">
        <x:v>127905792</x:v>
      </x:c>
      <x:c r="AH279" s="43" t="n">
        <x:v>5003928708</x:v>
      </x:c>
      <x:c r="AI279" s="43" t="n">
        <x:v>3928708</x:v>
      </x:c>
      <x:c r="AJ279" s="43" t="n">
        <x:v>25561074.000816878</x:v>
      </x:c>
      <x:c r="AK279" s="43" t="n">
        <x:v>127905792</x:v>
      </x:c>
      <x:c r="AL279" s="43" t="n">
        <x:v>0</x:v>
      </x:c>
      <x:c r="AM279" s="43" t="n">
        <x:v>553021.2435368408</x:v>
      </x:c>
      <x:c r="AN279" s="43" t="n">
        <x:v>140</x:v>
      </x:c>
      <x:c r="AO279" s="43" t="n">
        <x:v>301</x:v>
      </x:c>
      <x:c r="AP279" s="43" t="n">
        <x:v>481</x:v>
      </x:c>
      <x:c r="AQ279" s="43" t="n">
        <x:v>1998528</x:v>
      </x:c>
      <x:c r="AR279" s="43" t="n">
        <x:v>1</x:v>
      </x:c>
      <x:c r="AS279" s="45" t="b">
        <x:v>1</x:v>
      </x:c>
      <x:c r="AT279" s="43" t="n">
        <x:v>10000</x:v>
      </x:c>
      <x:c r="AU279" s="48" t="n">
        <x:v>0.9505534119987311</x:v>
      </x:c>
      <x:c r="AV279" s="43" t="n">
        <x:v>10000</x:v>
      </x:c>
      <x:c r="AW279" s="48" t="n">
        <x:v>0.9505534119987311</x:v>
      </x:c>
      <x:c r="AX279" s="45" t="b">
        <x:v>1</x:v>
      </x:c>
      <x:c r="AY279" s="44" t="str">
        <x:v>{"provider":"caffeine","currentEntries":10000,"requestCount":127905792,"hitCount":121581287,"missCount":6324505,"hitRate":0.9505534119987311,"loadSuccessCount":0,"loadFailureCount":0,"totalLoadTimeNanos":0,"evictionCount":-1,"expirationCount":-1,"putCount":10000,"removeCount":0,"nativeMetrics":{"statisticsEnabled":0}}</x:v>
      </x:c>
      <x:c r="AZ279" s="44" t="str">
        <x:v>{"provider":"caffeine","currentEntries":10000,"requestCount":127905792,"hitCount":121581287,"missCount":6324505,"hitRate":0.9505534119987311,"loadSuccessCount":0,"loadFailureCount":0,"totalLoadTimeNanos":0,"evictionCount":-1,"expirationCount":-1,"putCount":15000,"removeCount":0,"nativeMetrics":{"statisticsEnabled":0}}</x:v>
      </x:c>
      <x:c r="BA279" s="43" t="n">
        <x:v>10000</x:v>
      </x:c>
      <x:c r="BB279" s="43" t="n">
        <x:v>127905792</x:v>
      </x:c>
      <x:c r="BC279" s="43" t="n">
        <x:v>121581287</x:v>
      </x:c>
      <x:c r="BD279" s="43" t="n">
        <x:v>6324505</x:v>
      </x:c>
      <x:c r="BE279" s="48" t="n">
        <x:v>0.9505534119987311</x:v>
      </x:c>
      <x:c r="BF279" s="43" t="n">
        <x:v>0</x:v>
      </x:c>
      <x:c r="BG279" s="43" t="n">
        <x:v>0</x:v>
      </x:c>
      <x:c r="BH279" s="43" t="n">
        <x:v>0</x:v>
      </x:c>
      <x:c r="BI279" s="43" t="n">
        <x:v>-1</x:v>
      </x:c>
      <x:c r="BJ279" s="43" t="n">
        <x:v>-1</x:v>
      </x:c>
      <x:c r="BK279" s="43" t="n">
        <x:v>15000</x:v>
      </x:c>
      <x:c r="BL279" s="43" t="n">
        <x:v>0</x:v>
      </x:c>
      <x:c r="BM279" s="44" t="str">
        <x:v>{"statisticsEnabled":0}</x:v>
      </x:c>
    </x:row>
    <x:row r="280">
      <x:c r="A280" s="34" t="str">
        <x:v>article1-unified-v4-2-fb3f101b-20260903-000401-default-f05-p4-caffeine</x:v>
      </x:c>
      <x:c r="B280" s="34" t="str">
        <x:v>default</x:v>
      </x:c>
      <x:c r="C280" s="34" t="str">
        <x:v>caffeine</x:v>
      </x:c>
      <x:c r="D280" s="34" t="str">
        <x:v>caffeine</x:v>
      </x:c>
      <x:c r="E280" s="34" t="str">
        <x:v>current-provider-primary-comparison</x:v>
      </x:c>
      <x:c r="F280" s="36" t="n">
        <x:v>5</x:v>
      </x:c>
      <x:c r="G280" s="36" t="n">
        <x:v>5</x:v>
      </x:c>
      <x:c r="H280" s="36" t="n">
        <x:v>4</x:v>
      </x:c>
      <x:c r="I280" s="36" t="n">
        <x:v>5</x:v>
      </x:c>
      <x:c r="J280" s="34" t="str">
        <x:v>initial</x:v>
      </x:c>
      <x:c r="K280" s="34" t="str">
        <x:v>cache-semantics</x:v>
      </x:c>
      <x:c r="L280" s="45" t="b">
        <x:v>1</x:v>
      </x:c>
      <x:c r="M280" s="36" t="n">
        <x:v>620988831</x:v>
      </x:c>
      <x:c r="N280" s="34" t="str">
        <x:v>8940757b18d227a000be8118900d9d4aedf44b85c145f2f14007181f24d352aa</x:v>
      </x:c>
      <x:c r="O280" s="43" t="n">
        <x:v>10000</x:v>
      </x:c>
      <x:c r="P280" s="43" t="n">
        <x:v>400000</x:v>
      </x:c>
      <x:c r="Q280" s="36" t="n">
        <x:v>8</x:v>
      </x:c>
      <x:c r="R280" s="42" t="n">
        <x:v>95</x:v>
      </x:c>
      <x:c r="S280" s="43" t="n">
        <x:v>512</x:v>
      </x:c>
      <x:c r="T280" s="43" t="n">
        <x:v>50000</x:v>
      </x:c>
      <x:c r="U280" s="46" t="n">
        <x:v>3</x:v>
      </x:c>
      <x:c r="V280" s="46" t="n">
        <x:v>5</x:v>
      </x:c>
      <x:c r="W280" s="43" t="n">
        <x:v>300</x:v>
      </x:c>
      <x:c r="X280" s="34" t="str">
        <x:v>uniform</x:v>
      </x:c>
      <x:c r="Y280" s="42" t="n">
        <x:v>10</x:v>
      </x:c>
      <x:c r="Z280" s="34" t="str">
        <x:v>strict</x:v>
      </x:c>
      <x:c r="AA280" s="36" t="n">
        <x:v>64</x:v>
      </x:c>
      <x:c r="AB280" s="43" t="n">
        <x:v>76751104</x:v>
      </x:c>
      <x:c r="AC280" s="43" t="n">
        <x:v>3005138804</x:v>
      </x:c>
      <x:c r="AD280" s="43" t="n">
        <x:v>5138804</x:v>
      </x:c>
      <x:c r="AE280" s="43" t="n">
        <x:v>1848981.4793072161</x:v>
      </x:c>
      <x:c r="AF280" s="43" t="n">
        <x:v>27317948.658922818</x:v>
      </x:c>
      <x:c r="AG280" s="43" t="n">
        <x:v>136665088</x:v>
      </x:c>
      <x:c r="AH280" s="43" t="n">
        <x:v>5002758066</x:v>
      </x:c>
      <x:c r="AI280" s="43" t="n">
        <x:v>2758066</x:v>
      </x:c>
      <x:c r="AJ280" s="43" t="n">
        <x:v>27317948.658922818</x:v>
      </x:c>
      <x:c r="AK280" s="43" t="n">
        <x:v>136665088</x:v>
      </x:c>
      <x:c r="AL280" s="43" t="n">
        <x:v>0</x:v>
      </x:c>
      <x:c r="AM280" s="43" t="n">
        <x:v>556450.6373196085</x:v>
      </x:c>
      <x:c r="AN280" s="43" t="n">
        <x:v>140</x:v>
      </x:c>
      <x:c r="AO280" s="43" t="n">
        <x:v>271</x:v>
      </x:c>
      <x:c r="AP280" s="43" t="n">
        <x:v>481</x:v>
      </x:c>
      <x:c r="AQ280" s="43" t="n">
        <x:v>2135392</x:v>
      </x:c>
      <x:c r="AR280" s="43" t="n">
        <x:v>1</x:v>
      </x:c>
      <x:c r="AS280" s="45" t="b">
        <x:v>1</x:v>
      </x:c>
      <x:c r="AT280" s="43" t="n">
        <x:v>10000</x:v>
      </x:c>
      <x:c r="AU280" s="48" t="n">
        <x:v>0.9507677191119944</x:v>
      </x:c>
      <x:c r="AV280" s="43" t="n">
        <x:v>10000</x:v>
      </x:c>
      <x:c r="AW280" s="48" t="n">
        <x:v>0.9507677191119944</x:v>
      </x:c>
      <x:c r="AX280" s="45" t="b">
        <x:v>1</x:v>
      </x:c>
      <x:c r="AY280" s="44" t="str">
        <x:v>{"provider":"caffeine","currentEntries":10000,"requestCount":136665088,"hitCount":129936754,"missCount":6728334,"hitRate":0.9507677191119944,"loadSuccessCount":0,"loadFailureCount":0,"totalLoadTimeNanos":0,"evictionCount":-1,"expirationCount":-1,"putCount":10000,"removeCount":0,"nativeMetrics":{"statisticsEnabled":0}}</x:v>
      </x:c>
      <x:c r="AZ280" s="44" t="str">
        <x:v>{"provider":"caffeine","currentEntries":10000,"requestCount":136665088,"hitCount":129936754,"missCount":6728334,"hitRate":0.9507677191119944,"loadSuccessCount":0,"loadFailureCount":0,"totalLoadTimeNanos":0,"evictionCount":-1,"expirationCount":-1,"putCount":15000,"removeCount":0,"nativeMetrics":{"statisticsEnabled":0}}</x:v>
      </x:c>
      <x:c r="BA280" s="43" t="n">
        <x:v>10000</x:v>
      </x:c>
      <x:c r="BB280" s="43" t="n">
        <x:v>136665088</x:v>
      </x:c>
      <x:c r="BC280" s="43" t="n">
        <x:v>129936754</x:v>
      </x:c>
      <x:c r="BD280" s="43" t="n">
        <x:v>6728334</x:v>
      </x:c>
      <x:c r="BE280" s="48" t="n">
        <x:v>0.9507677191119944</x:v>
      </x:c>
      <x:c r="BF280" s="43" t="n">
        <x:v>0</x:v>
      </x:c>
      <x:c r="BG280" s="43" t="n">
        <x:v>0</x:v>
      </x:c>
      <x:c r="BH280" s="43" t="n">
        <x:v>0</x:v>
      </x:c>
      <x:c r="BI280" s="43" t="n">
        <x:v>-1</x:v>
      </x:c>
      <x:c r="BJ280" s="43" t="n">
        <x:v>-1</x:v>
      </x:c>
      <x:c r="BK280" s="43" t="n">
        <x:v>15000</x:v>
      </x:c>
      <x:c r="BL280" s="43" t="n">
        <x:v>0</x:v>
      </x:c>
      <x:c r="BM280" s="44" t="str">
        <x:v>{"statisticsEnabled":0}</x:v>
      </x:c>
    </x:row>
    <x:row r="281">
      <x:c r="A281" s="34" t="str">
        <x:v>article1-unified-v4-2-fb3f101b-20260903-000401-default-f05-p4-caffeine</x:v>
      </x:c>
      <x:c r="B281" s="34" t="str">
        <x:v>default</x:v>
      </x:c>
      <x:c r="C281" s="34" t="str">
        <x:v>caffeine</x:v>
      </x:c>
      <x:c r="D281" s="34" t="str">
        <x:v>caffeine</x:v>
      </x:c>
      <x:c r="E281" s="34" t="str">
        <x:v>current-provider-primary-comparison</x:v>
      </x:c>
      <x:c r="F281" s="36" t="n">
        <x:v>5</x:v>
      </x:c>
      <x:c r="G281" s="36" t="n">
        <x:v>5</x:v>
      </x:c>
      <x:c r="H281" s="36" t="n">
        <x:v>4</x:v>
      </x:c>
      <x:c r="I281" s="36" t="n">
        <x:v>5</x:v>
      </x:c>
      <x:c r="J281" s="34" t="str">
        <x:v>redeploy</x:v>
      </x:c>
      <x:c r="K281" s="34" t="str">
        <x:v>cache-semantics</x:v>
      </x:c>
      <x:c r="L281" s="45" t="b">
        <x:v>1</x:v>
      </x:c>
      <x:c r="M281" s="36" t="n">
        <x:v>620988831</x:v>
      </x:c>
      <x:c r="N281" s="34" t="str">
        <x:v>8940757b18d227a000be8118900d9d4aedf44b85c145f2f14007181f24d352aa</x:v>
      </x:c>
      <x:c r="O281" s="43" t="n">
        <x:v>10000</x:v>
      </x:c>
      <x:c r="P281" s="43" t="n">
        <x:v>400000</x:v>
      </x:c>
      <x:c r="Q281" s="36" t="n">
        <x:v>8</x:v>
      </x:c>
      <x:c r="R281" s="42" t="n">
        <x:v>95</x:v>
      </x:c>
      <x:c r="S281" s="43" t="n">
        <x:v>512</x:v>
      </x:c>
      <x:c r="T281" s="43" t="n">
        <x:v>50000</x:v>
      </x:c>
      <x:c r="U281" s="46" t="n">
        <x:v>3</x:v>
      </x:c>
      <x:c r="V281" s="46" t="n">
        <x:v>5</x:v>
      </x:c>
      <x:c r="W281" s="43" t="n">
        <x:v>300</x:v>
      </x:c>
      <x:c r="X281" s="34" t="str">
        <x:v>uniform</x:v>
      </x:c>
      <x:c r="Y281" s="42" t="n">
        <x:v>10</x:v>
      </x:c>
      <x:c r="Z281" s="34" t="str">
        <x:v>strict</x:v>
      </x:c>
      <x:c r="AA281" s="36" t="n">
        <x:v>64</x:v>
      </x:c>
      <x:c r="AB281" s="43" t="n">
        <x:v>76093184</x:v>
      </x:c>
      <x:c r="AC281" s="43" t="n">
        <x:v>3000478172</x:v>
      </x:c>
      <x:c r="AD281" s="43" t="n">
        <x:v>478172</x:v>
      </x:c>
      <x:c r="AE281" s="43" t="n">
        <x:v>2081146.8284466965</x:v>
      </x:c>
      <x:c r="AF281" s="43" t="n">
        <x:v>24626893.455290563</x:v>
      </x:c>
      <x:c r="AG281" s="43" t="n">
        <x:v>123202304</x:v>
      </x:c>
      <x:c r="AH281" s="43" t="n">
        <x:v>5002754579</x:v>
      </x:c>
      <x:c r="AI281" s="43" t="n">
        <x:v>2754579</x:v>
      </x:c>
      <x:c r="AJ281" s="43" t="n">
        <x:v>24626893.455290563</x:v>
      </x:c>
      <x:c r="AK281" s="43" t="n">
        <x:v>123202304</x:v>
      </x:c>
      <x:c r="AL281" s="43" t="n">
        <x:v>0</x:v>
      </x:c>
      <x:c r="AM281" s="43" t="n">
        <x:v>528066.4130117254</x:v>
      </x:c>
      <x:c r="AN281" s="43" t="n">
        <x:v>141</x:v>
      </x:c>
      <x:c r="AO281" s="43" t="n">
        <x:v>311</x:v>
      </x:c>
      <x:c r="AP281" s="43" t="n">
        <x:v>531</x:v>
      </x:c>
      <x:c r="AQ281" s="43" t="n">
        <x:v>1925036</x:v>
      </x:c>
      <x:c r="AR281" s="43" t="n">
        <x:v>1</x:v>
      </x:c>
      <x:c r="AS281" s="45" t="b">
        <x:v>1</x:v>
      </x:c>
      <x:c r="AT281" s="43" t="n">
        <x:v>10000</x:v>
      </x:c>
      <x:c r="AU281" s="48" t="n">
        <x:v>0.9507575523912281</x:v>
      </x:c>
      <x:c r="AV281" s="43" t="n">
        <x:v>10000</x:v>
      </x:c>
      <x:c r="AW281" s="48" t="n">
        <x:v>0.9507575523912281</x:v>
      </x:c>
      <x:c r="AX281" s="45" t="b">
        <x:v>1</x:v>
      </x:c>
      <x:c r="AY281" s="44" t="str">
        <x:v>{"provider":"caffeine","currentEntries":10000,"requestCount":123202304,"hitCount":117135521,"missCount":6066783,"hitRate":0.9507575523912281,"loadSuccessCount":0,"loadFailureCount":0,"totalLoadTimeNanos":0,"evictionCount":-1,"expirationCount":-1,"putCount":10000,"removeCount":0,"nativeMetrics":{"statisticsEnabled":0}}</x:v>
      </x:c>
      <x:c r="AZ281" s="44" t="str">
        <x:v>{"provider":"caffeine","currentEntries":10000,"requestCount":123202304,"hitCount":117135521,"missCount":6066783,"hitRate":0.9507575523912281,"loadSuccessCount":0,"loadFailureCount":0,"totalLoadTimeNanos":0,"evictionCount":-1,"expirationCount":-1,"putCount":15000,"removeCount":0,"nativeMetrics":{"statisticsEnabled":0}}</x:v>
      </x:c>
      <x:c r="BA281" s="43" t="n">
        <x:v>10000</x:v>
      </x:c>
      <x:c r="BB281" s="43" t="n">
        <x:v>123202304</x:v>
      </x:c>
      <x:c r="BC281" s="43" t="n">
        <x:v>117135521</x:v>
      </x:c>
      <x:c r="BD281" s="43" t="n">
        <x:v>6066783</x:v>
      </x:c>
      <x:c r="BE281" s="48" t="n">
        <x:v>0.9507575523912281</x:v>
      </x:c>
      <x:c r="BF281" s="43" t="n">
        <x:v>0</x:v>
      </x:c>
      <x:c r="BG281" s="43" t="n">
        <x:v>0</x:v>
      </x:c>
      <x:c r="BH281" s="43" t="n">
        <x:v>0</x:v>
      </x:c>
      <x:c r="BI281" s="43" t="n">
        <x:v>-1</x:v>
      </x:c>
      <x:c r="BJ281" s="43" t="n">
        <x:v>-1</x:v>
      </x:c>
      <x:c r="BK281" s="43" t="n">
        <x:v>15000</x:v>
      </x:c>
      <x:c r="BL281" s="43" t="n">
        <x:v>0</x:v>
      </x:c>
      <x:c r="BM281" s="44" t="str">
        <x:v>{"statisticsEnabled":0}</x:v>
      </x:c>
    </x:row>
    <x:row r="282">
      <x:c r="A282" s="34" t="str">
        <x:v>article1-unified-v4-2-fb3f101b-20260903-000401-default-f05-p5-cache2k</x:v>
      </x:c>
      <x:c r="B282" s="34" t="str">
        <x:v>default</x:v>
      </x:c>
      <x:c r="C282" s="34" t="str">
        <x:v>cache2k</x:v>
      </x:c>
      <x:c r="D282" s="34" t="str">
        <x:v>cache2k</x:v>
      </x:c>
      <x:c r="E282" s="34" t="str">
        <x:v>current-provider-primary-comparison</x:v>
      </x:c>
      <x:c r="F282" s="36" t="n">
        <x:v>5</x:v>
      </x:c>
      <x:c r="G282" s="36" t="n">
        <x:v>5</x:v>
      </x:c>
      <x:c r="H282" s="36" t="n">
        <x:v>5</x:v>
      </x:c>
      <x:c r="I282" s="36" t="n">
        <x:v>1</x:v>
      </x:c>
      <x:c r="J282" s="34" t="str">
        <x:v>initial</x:v>
      </x:c>
      <x:c r="K282" s="34" t="str">
        <x:v>cache-semantics</x:v>
      </x:c>
      <x:c r="L282" s="45" t="b">
        <x:v>1</x:v>
      </x:c>
      <x:c r="M282" s="36" t="n">
        <x:v>648580617</x:v>
      </x:c>
      <x:c r="N282" s="34" t="str">
        <x:v>bcfa144271bd10c17dc9c6f6a6f8819d8571bde3bb04884a7368ce6d62b186b3</x:v>
      </x:c>
      <x:c r="O282" s="43" t="n">
        <x:v>10000</x:v>
      </x:c>
      <x:c r="P282" s="43" t="n">
        <x:v>400000</x:v>
      </x:c>
      <x:c r="Q282" s="36" t="n">
        <x:v>8</x:v>
      </x:c>
      <x:c r="R282" s="42" t="n">
        <x:v>95</x:v>
      </x:c>
      <x:c r="S282" s="43" t="n">
        <x:v>512</x:v>
      </x:c>
      <x:c r="T282" s="43" t="n">
        <x:v>50000</x:v>
      </x:c>
      <x:c r="U282" s="46" t="n">
        <x:v>3</x:v>
      </x:c>
      <x:c r="V282" s="46" t="n">
        <x:v>5</x:v>
      </x:c>
      <x:c r="W282" s="43" t="n">
        <x:v>300</x:v>
      </x:c>
      <x:c r="X282" s="34" t="str">
        <x:v>uniform</x:v>
      </x:c>
      <x:c r="Y282" s="42" t="n">
        <x:v>10</x:v>
      </x:c>
      <x:c r="Z282" s="34" t="str">
        <x:v>strict</x:v>
      </x:c>
      <x:c r="AA282" s="36" t="n">
        <x:v>64</x:v>
      </x:c>
      <x:c r="AB282" s="43" t="n">
        <x:v>93534208</x:v>
      </x:c>
      <x:c r="AC282" s="43" t="n">
        <x:v>3000864377</x:v>
      </x:c>
      <x:c r="AD282" s="43" t="n">
        <x:v>864377</x:v>
      </x:c>
      <x:c r="AE282" s="43" t="n">
        <x:v>1085453.286920798</x:v>
      </x:c>
      <x:c r="AF282" s="43" t="n">
        <x:v>31522505.359142225</x:v>
      </x:c>
      <x:c r="AG282" s="43" t="n">
        <x:v>157736704</x:v>
      </x:c>
      <x:c r="AH282" s="43" t="n">
        <x:v>5003939319</x:v>
      </x:c>
      <x:c r="AI282" s="43" t="n">
        <x:v>3939319</x:v>
      </x:c>
      <x:c r="AJ282" s="43" t="n">
        <x:v>31522505.359142225</x:v>
      </x:c>
      <x:c r="AK282" s="43" t="n">
        <x:v>157736704</x:v>
      </x:c>
      <x:c r="AL282" s="43" t="n">
        <x:v>0</x:v>
      </x:c>
      <x:c r="AM282" s="43" t="n">
        <x:v>480943.85038260045</x:v>
      </x:c>
      <x:c r="AN282" s="43" t="n">
        <x:v>150</x:v>
      </x:c>
      <x:c r="AO282" s="43" t="n">
        <x:v>331</x:v>
      </x:c>
      <x:c r="AP282" s="43" t="n">
        <x:v>511</x:v>
      </x:c>
      <x:c r="AQ282" s="43" t="n">
        <x:v>2464636</x:v>
      </x:c>
      <x:c r="AR282" s="43" t="n">
        <x:v>1</x:v>
      </x:c>
      <x:c r="AS282" s="45" t="b">
        <x:v>1</x:v>
      </x:c>
      <x:c r="AT282" s="43" t="n">
        <x:v>9979</x:v>
      </x:c>
      <x:c r="AU282" s="48" t="n">
        <x:v>0.9483738800577448</x:v>
      </x:c>
      <x:c r="AV282" s="43" t="n">
        <x:v>9996</x:v>
      </x:c>
      <x:c r="AW282" s="48" t="n">
        <x:v>0.9483738800577448</x:v>
      </x:c>
      <x:c r="AX282" s="45" t="b">
        <x:v>1</x:v>
      </x:c>
      <x:c r="AY282" s="44" t="str">
        <x:v>{"provider":"cache2k","currentEntries":9979,"requestCount":157736704,"hitCount":149593370,"missCount":8143334,"hitRate":0.9483738800577448,"loadSuccessCount":0,"loadFailureCount":0,"totalLoadTimeNanos":0,"evictionCount":21,"expirationCount":0,"putCount":10000,"removeCount":0,"nativeMetrics":{"getCount":157736704,"missCount":8143334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2" s="44" t="str">
        <x:v>{"provider":"cache2k","currentEntries":9996,"requestCount":157736704,"hitCount":149593370,"missCount":8143334,"hitRate":0.9483738800577448,"loadSuccessCount":0,"loadFailureCount":0,"totalLoadTimeNanos":0,"evictionCount":5004,"expirationCount":0,"putCount":15000,"removeCount":0,"nativeMetrics":{"getCount":157736704,"missCount":8143334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282" s="43" t="n">
        <x:v>9996</x:v>
      </x:c>
      <x:c r="BB282" s="43" t="n">
        <x:v>157736704</x:v>
      </x:c>
      <x:c r="BC282" s="43" t="n">
        <x:v>149593370</x:v>
      </x:c>
      <x:c r="BD282" s="43" t="n">
        <x:v>8143334</x:v>
      </x:c>
      <x:c r="BE282" s="48" t="n">
        <x:v>0.9483738800577448</x:v>
      </x:c>
      <x:c r="BF282" s="43" t="n">
        <x:v>0</x:v>
      </x:c>
      <x:c r="BG282" s="43" t="n">
        <x:v>0</x:v>
      </x:c>
      <x:c r="BH282" s="43" t="n">
        <x:v>0</x:v>
      </x:c>
      <x:c r="BI282" s="43" t="n">
        <x:v>5004</x:v>
      </x:c>
      <x:c r="BJ282" s="43" t="n">
        <x:v>0</x:v>
      </x:c>
      <x:c r="BK282" s="43" t="n">
        <x:v>15000</x:v>
      </x:c>
      <x:c r="BL282" s="43" t="n">
        <x:v>0</x:v>
      </x:c>
      <x:c r="BM282" s="44" t="str">
        <x:v>{"getCount":157736704,"missCount":8143334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283">
      <x:c r="A283" s="34" t="str">
        <x:v>article1-unified-v4-2-fb3f101b-20260903-000401-default-f05-p5-cache2k</x:v>
      </x:c>
      <x:c r="B283" s="34" t="str">
        <x:v>default</x:v>
      </x:c>
      <x:c r="C283" s="34" t="str">
        <x:v>cache2k</x:v>
      </x:c>
      <x:c r="D283" s="34" t="str">
        <x:v>cache2k</x:v>
      </x:c>
      <x:c r="E283" s="34" t="str">
        <x:v>current-provider-primary-comparison</x:v>
      </x:c>
      <x:c r="F283" s="36" t="n">
        <x:v>5</x:v>
      </x:c>
      <x:c r="G283" s="36" t="n">
        <x:v>5</x:v>
      </x:c>
      <x:c r="H283" s="36" t="n">
        <x:v>5</x:v>
      </x:c>
      <x:c r="I283" s="36" t="n">
        <x:v>1</x:v>
      </x:c>
      <x:c r="J283" s="34" t="str">
        <x:v>redeploy</x:v>
      </x:c>
      <x:c r="K283" s="34" t="str">
        <x:v>cache-semantics</x:v>
      </x:c>
      <x:c r="L283" s="45" t="b">
        <x:v>1</x:v>
      </x:c>
      <x:c r="M283" s="36" t="n">
        <x:v>648580617</x:v>
      </x:c>
      <x:c r="N283" s="34" t="str">
        <x:v>bcfa144271bd10c17dc9c6f6a6f8819d8571bde3bb04884a7368ce6d62b186b3</x:v>
      </x:c>
      <x:c r="O283" s="43" t="n">
        <x:v>10000</x:v>
      </x:c>
      <x:c r="P283" s="43" t="n">
        <x:v>400000</x:v>
      </x:c>
      <x:c r="Q283" s="36" t="n">
        <x:v>8</x:v>
      </x:c>
      <x:c r="R283" s="42" t="n">
        <x:v>95</x:v>
      </x:c>
      <x:c r="S283" s="43" t="n">
        <x:v>512</x:v>
      </x:c>
      <x:c r="T283" s="43" t="n">
        <x:v>50000</x:v>
      </x:c>
      <x:c r="U283" s="46" t="n">
        <x:v>3</x:v>
      </x:c>
      <x:c r="V283" s="46" t="n">
        <x:v>5</x:v>
      </x:c>
      <x:c r="W283" s="43" t="n">
        <x:v>300</x:v>
      </x:c>
      <x:c r="X283" s="34" t="str">
        <x:v>uniform</x:v>
      </x:c>
      <x:c r="Y283" s="42" t="n">
        <x:v>10</x:v>
      </x:c>
      <x:c r="Z283" s="34" t="str">
        <x:v>strict</x:v>
      </x:c>
      <x:c r="AA283" s="36" t="n">
        <x:v>64</x:v>
      </x:c>
      <x:c r="AB283" s="43" t="n">
        <x:v>99942912</x:v>
      </x:c>
      <x:c r="AC283" s="43" t="n">
        <x:v>3000459175</x:v>
      </x:c>
      <x:c r="AD283" s="43" t="n">
        <x:v>459175</x:v>
      </x:c>
      <x:c r="AE283" s="43" t="n">
        <x:v>1970971.5312872021</x:v>
      </x:c>
      <x:c r="AF283" s="43" t="n">
        <x:v>31036368.567917556</x:v>
      </x:c>
      <x:c r="AG283" s="43" t="n">
        <x:v>155260416</x:v>
      </x:c>
      <x:c r="AH283" s="43" t="n">
        <x:v>5002531648</x:v>
      </x:c>
      <x:c r="AI283" s="43" t="n">
        <x:v>2531648</x:v>
      </x:c>
      <x:c r="AJ283" s="43" t="n">
        <x:v>31036368.567917556</x:v>
      </x:c>
      <x:c r="AK283" s="43" t="n">
        <x:v>155260416</x:v>
      </x:c>
      <x:c r="AL283" s="43" t="n">
        <x:v>0</x:v>
      </x:c>
      <x:c r="AM283" s="43" t="n">
        <x:v>372428.90909390204</x:v>
      </x:c>
      <x:c r="AN283" s="43" t="n">
        <x:v>150</x:v>
      </x:c>
      <x:c r="AO283" s="43" t="n">
        <x:v>321</x:v>
      </x:c>
      <x:c r="AP283" s="43" t="n">
        <x:v>501</x:v>
      </x:c>
      <x:c r="AQ283" s="43" t="n">
        <x:v>2425944</x:v>
      </x:c>
      <x:c r="AR283" s="43" t="n">
        <x:v>1</x:v>
      </x:c>
      <x:c r="AS283" s="45" t="b">
        <x:v>1</x:v>
      </x:c>
      <x:c r="AT283" s="43" t="n">
        <x:v>9979</x:v>
      </x:c>
      <x:c r="AU283" s="48" t="n">
        <x:v>0.9483589944780259</x:v>
      </x:c>
      <x:c r="AV283" s="43" t="n">
        <x:v>9996</x:v>
      </x:c>
      <x:c r="AW283" s="48" t="n">
        <x:v>0.9483589944780259</x:v>
      </x:c>
      <x:c r="AX283" s="45" t="b">
        <x:v>1</x:v>
      </x:c>
      <x:c r="AY283" s="44" t="str">
        <x:v>{"provider":"cache2k","currentEntries":9979,"requestCount":155260416,"hitCount":147242612,"missCount":8017804,"hitRate":0.9483589944780259,"loadSuccessCount":0,"loadFailureCount":0,"totalLoadTimeNanos":0,"evictionCount":21,"expirationCount":0,"putCount":10000,"removeCount":0,"nativeMetrics":{"getCount":155260416,"missCount":8017804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3" s="44" t="str">
        <x:v>{"provider":"cache2k","currentEntries":9996,"requestCount":155260416,"hitCount":147242612,"missCount":8017804,"hitRate":0.9483589944780259,"loadSuccessCount":0,"loadFailureCount":0,"totalLoadTimeNanos":0,"evictionCount":5004,"expirationCount":0,"putCount":15000,"removeCount":0,"nativeMetrics":{"getCount":155260416,"missCount":8017804,"loadCount":0,"loadExceptionCount":0,"suppressedLoadExceptionCount":0,"refreshCount":0,"refreshFailedCount":0,"refreshedHitCount":0,"expiredCount":0,"evictedCount":5004,"putCount":15000,"removeCount":0,"keyMutationCount":0,"totalLoadMillis":0}}</x:v>
      </x:c>
      <x:c r="BA283" s="43" t="n">
        <x:v>9996</x:v>
      </x:c>
      <x:c r="BB283" s="43" t="n">
        <x:v>155260416</x:v>
      </x:c>
      <x:c r="BC283" s="43" t="n">
        <x:v>147242612</x:v>
      </x:c>
      <x:c r="BD283" s="43" t="n">
        <x:v>8017804</x:v>
      </x:c>
      <x:c r="BE283" s="48" t="n">
        <x:v>0.9483589944780259</x:v>
      </x:c>
      <x:c r="BF283" s="43" t="n">
        <x:v>0</x:v>
      </x:c>
      <x:c r="BG283" s="43" t="n">
        <x:v>0</x:v>
      </x:c>
      <x:c r="BH283" s="43" t="n">
        <x:v>0</x:v>
      </x:c>
      <x:c r="BI283" s="43" t="n">
        <x:v>5004</x:v>
      </x:c>
      <x:c r="BJ283" s="43" t="n">
        <x:v>0</x:v>
      </x:c>
      <x:c r="BK283" s="43" t="n">
        <x:v>15000</x:v>
      </x:c>
      <x:c r="BL283" s="43" t="n">
        <x:v>0</x:v>
      </x:c>
      <x:c r="BM283" s="44" t="str">
        <x:v>{"getCount":155260416,"missCount":8017804,"loadCount":0,"loadExceptionCount":0,"suppressedLoadExceptionCount":0,"refreshCount":0,"refreshFailedCount":0,"refreshedHitCount":0,"expiredCount":0,"evictedCount":5004,"putCount":15000,"removeCount":0,"keyMutationCount":0,"totalLoadMillis":0}</x:v>
      </x:c>
    </x:row>
    <x:row r="284">
      <x:c r="A284" s="34" t="str">
        <x:v>article1-unified-v4-2-fb3f101b-20260903-000401-default-f05-p5-cache2k</x:v>
      </x:c>
      <x:c r="B284" s="34" t="str">
        <x:v>default</x:v>
      </x:c>
      <x:c r="C284" s="34" t="str">
        <x:v>cache2k</x:v>
      </x:c>
      <x:c r="D284" s="34" t="str">
        <x:v>cache2k</x:v>
      </x:c>
      <x:c r="E284" s="34" t="str">
        <x:v>current-provider-primary-comparison</x:v>
      </x:c>
      <x:c r="F284" s="36" t="n">
        <x:v>5</x:v>
      </x:c>
      <x:c r="G284" s="36" t="n">
        <x:v>5</x:v>
      </x:c>
      <x:c r="H284" s="36" t="n">
        <x:v>5</x:v>
      </x:c>
      <x:c r="I284" s="36" t="n">
        <x:v>2</x:v>
      </x:c>
      <x:c r="J284" s="34" t="str">
        <x:v>initial</x:v>
      </x:c>
      <x:c r="K284" s="34" t="str">
        <x:v>cache-semantics</x:v>
      </x:c>
      <x:c r="L284" s="45" t="b">
        <x:v>1</x:v>
      </x:c>
      <x:c r="M284" s="36" t="n">
        <x:v>681442610</x:v>
      </x:c>
      <x:c r="N284" s="34" t="str">
        <x:v>6004b5d35d3f44ddcdd5f00ff160f8c46199fad46729e7e512a45aa23375c89b</x:v>
      </x:c>
      <x:c r="O284" s="43" t="n">
        <x:v>10000</x:v>
      </x:c>
      <x:c r="P284" s="43" t="n">
        <x:v>400000</x:v>
      </x:c>
      <x:c r="Q284" s="36" t="n">
        <x:v>8</x:v>
      </x:c>
      <x:c r="R284" s="42" t="n">
        <x:v>95</x:v>
      </x:c>
      <x:c r="S284" s="43" t="n">
        <x:v>512</x:v>
      </x:c>
      <x:c r="T284" s="43" t="n">
        <x:v>50000</x:v>
      </x:c>
      <x:c r="U284" s="46" t="n">
        <x:v>3</x:v>
      </x:c>
      <x:c r="V284" s="46" t="n">
        <x:v>5</x:v>
      </x:c>
      <x:c r="W284" s="43" t="n">
        <x:v>300</x:v>
      </x:c>
      <x:c r="X284" s="34" t="str">
        <x:v>uniform</x:v>
      </x:c>
      <x:c r="Y284" s="42" t="n">
        <x:v>10</x:v>
      </x:c>
      <x:c r="Z284" s="34" t="str">
        <x:v>strict</x:v>
      </x:c>
      <x:c r="AA284" s="36" t="n">
        <x:v>64</x:v>
      </x:c>
      <x:c r="AB284" s="43" t="n">
        <x:v>98122496</x:v>
      </x:c>
      <x:c r="AC284" s="43" t="n">
        <x:v>3000474256</x:v>
      </x:c>
      <x:c r="AD284" s="43" t="n">
        <x:v>474256</x:v>
      </x:c>
      <x:c r="AE284" s="43" t="n">
        <x:v>1590006.8704196871</x:v>
      </x:c>
      <x:c r="AF284" s="43" t="n">
        <x:v>32607994.706072368</x:v>
      </x:c>
      <x:c r="AG284" s="43" t="n">
        <x:v>163131392</x:v>
      </x:c>
      <x:c r="AH284" s="43" t="n">
        <x:v>5002803560</x:v>
      </x:c>
      <x:c r="AI284" s="43" t="n">
        <x:v>2803560</x:v>
      </x:c>
      <x:c r="AJ284" s="43" t="n">
        <x:v>32607994.706072368</x:v>
      </x:c>
      <x:c r="AK284" s="43" t="n">
        <x:v>163131392</x:v>
      </x:c>
      <x:c r="AL284" s="43" t="n">
        <x:v>0</x:v>
      </x:c>
      <x:c r="AM284" s="43" t="n">
        <x:v>446640.4065928412</x:v>
      </x:c>
      <x:c r="AN284" s="43" t="n">
        <x:v>140</x:v>
      </x:c>
      <x:c r="AO284" s="43" t="n">
        <x:v>311</x:v>
      </x:c>
      <x:c r="AP284" s="43" t="n">
        <x:v>491</x:v>
      </x:c>
      <x:c r="AQ284" s="43" t="n">
        <x:v>2548928</x:v>
      </x:c>
      <x:c r="AR284" s="43" t="n">
        <x:v>1</x:v>
      </x:c>
      <x:c r="AS284" s="45" t="b">
        <x:v>1</x:v>
      </x:c>
      <x:c r="AT284" s="43" t="n">
        <x:v>9979</x:v>
      </x:c>
      <x:c r="AU284" s="48" t="n">
        <x:v>0.948437772173243</x:v>
      </x:c>
      <x:c r="AV284" s="43" t="n">
        <x:v>9992</x:v>
      </x:c>
      <x:c r="AW284" s="48" t="n">
        <x:v>0.948437772173243</x:v>
      </x:c>
      <x:c r="AX284" s="45" t="b">
        <x:v>1</x:v>
      </x:c>
      <x:c r="AY284" s="44" t="str">
        <x:v>{"provider":"cache2k","currentEntries":9979,"requestCount":163131392,"hitCount":154719974,"missCount":8411418,"hitRate":0.948437772173243,"loadSuccessCount":0,"loadFailureCount":0,"totalLoadTimeNanos":0,"evictionCount":21,"expirationCount":0,"putCount":10000,"removeCount":0,"nativeMetrics":{"getCount":163131392,"missCount":8411418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4" s="44" t="str">
        <x:v>{"provider":"cache2k","currentEntries":9992,"requestCount":163131392,"hitCount":154719974,"missCount":8411418,"hitRate":0.948437772173243,"loadSuccessCount":0,"loadFailureCount":0,"totalLoadTimeNanos":0,"evictionCount":5008,"expirationCount":0,"putCount":15000,"removeCount":0,"nativeMetrics":{"getCount":163131392,"missCount":8411418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284" s="43" t="n">
        <x:v>9992</x:v>
      </x:c>
      <x:c r="BB284" s="43" t="n">
        <x:v>163131392</x:v>
      </x:c>
      <x:c r="BC284" s="43" t="n">
        <x:v>154719974</x:v>
      </x:c>
      <x:c r="BD284" s="43" t="n">
        <x:v>8411418</x:v>
      </x:c>
      <x:c r="BE284" s="48" t="n">
        <x:v>0.948437772173243</x:v>
      </x:c>
      <x:c r="BF284" s="43" t="n">
        <x:v>0</x:v>
      </x:c>
      <x:c r="BG284" s="43" t="n">
        <x:v>0</x:v>
      </x:c>
      <x:c r="BH284" s="43" t="n">
        <x:v>0</x:v>
      </x:c>
      <x:c r="BI284" s="43" t="n">
        <x:v>5008</x:v>
      </x:c>
      <x:c r="BJ284" s="43" t="n">
        <x:v>0</x:v>
      </x:c>
      <x:c r="BK284" s="43" t="n">
        <x:v>15000</x:v>
      </x:c>
      <x:c r="BL284" s="43" t="n">
        <x:v>0</x:v>
      </x:c>
      <x:c r="BM284" s="44" t="str">
        <x:v>{"getCount":163131392,"missCount":8411418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285">
      <x:c r="A285" s="34" t="str">
        <x:v>article1-unified-v4-2-fb3f101b-20260903-000401-default-f05-p5-cache2k</x:v>
      </x:c>
      <x:c r="B285" s="34" t="str">
        <x:v>default</x:v>
      </x:c>
      <x:c r="C285" s="34" t="str">
        <x:v>cache2k</x:v>
      </x:c>
      <x:c r="D285" s="34" t="str">
        <x:v>cache2k</x:v>
      </x:c>
      <x:c r="E285" s="34" t="str">
        <x:v>current-provider-primary-comparison</x:v>
      </x:c>
      <x:c r="F285" s="36" t="n">
        <x:v>5</x:v>
      </x:c>
      <x:c r="G285" s="36" t="n">
        <x:v>5</x:v>
      </x:c>
      <x:c r="H285" s="36" t="n">
        <x:v>5</x:v>
      </x:c>
      <x:c r="I285" s="36" t="n">
        <x:v>2</x:v>
      </x:c>
      <x:c r="J285" s="34" t="str">
        <x:v>redeploy</x:v>
      </x:c>
      <x:c r="K285" s="34" t="str">
        <x:v>cache-semantics</x:v>
      </x:c>
      <x:c r="L285" s="45" t="b">
        <x:v>1</x:v>
      </x:c>
      <x:c r="M285" s="36" t="n">
        <x:v>681442610</x:v>
      </x:c>
      <x:c r="N285" s="34" t="str">
        <x:v>6004b5d35d3f44ddcdd5f00ff160f8c46199fad46729e7e512a45aa23375c89b</x:v>
      </x:c>
      <x:c r="O285" s="43" t="n">
        <x:v>10000</x:v>
      </x:c>
      <x:c r="P285" s="43" t="n">
        <x:v>400000</x:v>
      </x:c>
      <x:c r="Q285" s="36" t="n">
        <x:v>8</x:v>
      </x:c>
      <x:c r="R285" s="42" t="n">
        <x:v>95</x:v>
      </x:c>
      <x:c r="S285" s="43" t="n">
        <x:v>512</x:v>
      </x:c>
      <x:c r="T285" s="43" t="n">
        <x:v>50000</x:v>
      </x:c>
      <x:c r="U285" s="46" t="n">
        <x:v>3</x:v>
      </x:c>
      <x:c r="V285" s="46" t="n">
        <x:v>5</x:v>
      </x:c>
      <x:c r="W285" s="43" t="n">
        <x:v>300</x:v>
      </x:c>
      <x:c r="X285" s="34" t="str">
        <x:v>uniform</x:v>
      </x:c>
      <x:c r="Y285" s="42" t="n">
        <x:v>10</x:v>
      </x:c>
      <x:c r="Z285" s="34" t="str">
        <x:v>strict</x:v>
      </x:c>
      <x:c r="AA285" s="36" t="n">
        <x:v>64</x:v>
      </x:c>
      <x:c r="AB285" s="43" t="n">
        <x:v>98273024</x:v>
      </x:c>
      <x:c r="AC285" s="43" t="n">
        <x:v>3017001313</x:v>
      </x:c>
      <x:c r="AD285" s="43" t="n">
        <x:v>17001313</x:v>
      </x:c>
      <x:c r="AE285" s="43" t="n">
        <x:v>2505124.859180669</x:v>
      </x:c>
      <x:c r="AF285" s="43" t="n">
        <x:v>32306614.11885726</x:v>
      </x:c>
      <x:c r="AG285" s="43" t="n">
        <x:v>161618688</x:v>
      </x:c>
      <x:c r="AH285" s="43" t="n">
        <x:v>5002650151</x:v>
      </x:c>
      <x:c r="AI285" s="43" t="n">
        <x:v>2650151</x:v>
      </x:c>
      <x:c r="AJ285" s="43" t="n">
        <x:v>32306614.11885726</x:v>
      </x:c>
      <x:c r="AK285" s="43" t="n">
        <x:v>161618688</x:v>
      </x:c>
      <x:c r="AL285" s="43" t="n">
        <x:v>0</x:v>
      </x:c>
      <x:c r="AM285" s="43" t="n">
        <x:v>551355.3914452359</x:v>
      </x:c>
      <x:c r="AN285" s="43" t="n">
        <x:v>141</x:v>
      </x:c>
      <x:c r="AO285" s="43" t="n">
        <x:v>311</x:v>
      </x:c>
      <x:c r="AP285" s="43" t="n">
        <x:v>481</x:v>
      </x:c>
      <x:c r="AQ285" s="43" t="n">
        <x:v>2525292</x:v>
      </x:c>
      <x:c r="AR285" s="43" t="n">
        <x:v>1</x:v>
      </x:c>
      <x:c r="AS285" s="45" t="b">
        <x:v>1</x:v>
      </x:c>
      <x:c r="AT285" s="43" t="n">
        <x:v>9979</x:v>
      </x:c>
      <x:c r="AU285" s="48" t="n">
        <x:v>0.9484232231856752</x:v>
      </x:c>
      <x:c r="AV285" s="43" t="n">
        <x:v>9990</x:v>
      </x:c>
      <x:c r="AW285" s="48" t="n">
        <x:v>0.9484232231856752</x:v>
      </x:c>
      <x:c r="AX285" s="45" t="b">
        <x:v>1</x:v>
      </x:c>
      <x:c r="AY285" s="44" t="str">
        <x:v>{"provider":"cache2k","currentEntries":9979,"requestCount":161618688,"hitCount":153282917,"missCount":8335771,"hitRate":0.9484232231856752,"loadSuccessCount":0,"loadFailureCount":0,"totalLoadTimeNanos":0,"evictionCount":21,"expirationCount":0,"putCount":10000,"removeCount":0,"nativeMetrics":{"getCount":161618688,"missCount":8335771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5" s="44" t="str">
        <x:v>{"provider":"cache2k","currentEntries":9990,"requestCount":161618688,"hitCount":153282917,"missCount":8335771,"hitRate":0.9484232231856752,"loadSuccessCount":0,"loadFailureCount":0,"totalLoadTimeNanos":0,"evictionCount":5010,"expirationCount":0,"putCount":15000,"removeCount":0,"nativeMetrics":{"getCount":161618688,"missCount":8335771,"loadCount":0,"loadExceptionCount":0,"suppressedLoadExceptionCount":0,"refreshCount":0,"refreshFailedCount":0,"refreshedHitCount":0,"expiredCount":0,"evictedCount":5010,"putCount":15000,"removeCount":0,"keyMutationCount":0,"totalLoadMillis":0}}</x:v>
      </x:c>
      <x:c r="BA285" s="43" t="n">
        <x:v>9990</x:v>
      </x:c>
      <x:c r="BB285" s="43" t="n">
        <x:v>161618688</x:v>
      </x:c>
      <x:c r="BC285" s="43" t="n">
        <x:v>153282917</x:v>
      </x:c>
      <x:c r="BD285" s="43" t="n">
        <x:v>8335771</x:v>
      </x:c>
      <x:c r="BE285" s="48" t="n">
        <x:v>0.9484232231856752</x:v>
      </x:c>
      <x:c r="BF285" s="43" t="n">
        <x:v>0</x:v>
      </x:c>
      <x:c r="BG285" s="43" t="n">
        <x:v>0</x:v>
      </x:c>
      <x:c r="BH285" s="43" t="n">
        <x:v>0</x:v>
      </x:c>
      <x:c r="BI285" s="43" t="n">
        <x:v>5010</x:v>
      </x:c>
      <x:c r="BJ285" s="43" t="n">
        <x:v>0</x:v>
      </x:c>
      <x:c r="BK285" s="43" t="n">
        <x:v>15000</x:v>
      </x:c>
      <x:c r="BL285" s="43" t="n">
        <x:v>0</x:v>
      </x:c>
      <x:c r="BM285" s="44" t="str">
        <x:v>{"getCount":161618688,"missCount":8335771,"loadCount":0,"loadExceptionCount":0,"suppressedLoadExceptionCount":0,"refreshCount":0,"refreshFailedCount":0,"refreshedHitCount":0,"expiredCount":0,"evictedCount":5010,"putCount":15000,"removeCount":0,"keyMutationCount":0,"totalLoadMillis":0}</x:v>
      </x:c>
    </x:row>
    <x:row r="286">
      <x:c r="A286" s="34" t="str">
        <x:v>article1-unified-v4-2-fb3f101b-20260903-000401-default-f05-p5-cache2k</x:v>
      </x:c>
      <x:c r="B286" s="34" t="str">
        <x:v>default</x:v>
      </x:c>
      <x:c r="C286" s="34" t="str">
        <x:v>cache2k</x:v>
      </x:c>
      <x:c r="D286" s="34" t="str">
        <x:v>cache2k</x:v>
      </x:c>
      <x:c r="E286" s="34" t="str">
        <x:v>current-provider-primary-comparison</x:v>
      </x:c>
      <x:c r="F286" s="36" t="n">
        <x:v>5</x:v>
      </x:c>
      <x:c r="G286" s="36" t="n">
        <x:v>5</x:v>
      </x:c>
      <x:c r="H286" s="36" t="n">
        <x:v>5</x:v>
      </x:c>
      <x:c r="I286" s="36" t="n">
        <x:v>3</x:v>
      </x:c>
      <x:c r="J286" s="34" t="str">
        <x:v>initial</x:v>
      </x:c>
      <x:c r="K286" s="34" t="str">
        <x:v>cache-semantics</x:v>
      </x:c>
      <x:c r="L286" s="45" t="b">
        <x:v>1</x:v>
      </x:c>
      <x:c r="M286" s="36" t="n">
        <x:v>1680357415</x:v>
      </x:c>
      <x:c r="N286" s="34" t="str">
        <x:v>7fd56c55e07780880dfc2de7b34f4b776b7447364ab7153414be84b7c5d590b9</x:v>
      </x:c>
      <x:c r="O286" s="43" t="n">
        <x:v>10000</x:v>
      </x:c>
      <x:c r="P286" s="43" t="n">
        <x:v>400000</x:v>
      </x:c>
      <x:c r="Q286" s="36" t="n">
        <x:v>8</x:v>
      </x:c>
      <x:c r="R286" s="42" t="n">
        <x:v>95</x:v>
      </x:c>
      <x:c r="S286" s="43" t="n">
        <x:v>512</x:v>
      </x:c>
      <x:c r="T286" s="43" t="n">
        <x:v>50000</x:v>
      </x:c>
      <x:c r="U286" s="46" t="n">
        <x:v>3</x:v>
      </x:c>
      <x:c r="V286" s="46" t="n">
        <x:v>5</x:v>
      </x:c>
      <x:c r="W286" s="43" t="n">
        <x:v>300</x:v>
      </x:c>
      <x:c r="X286" s="34" t="str">
        <x:v>uniform</x:v>
      </x:c>
      <x:c r="Y286" s="42" t="n">
        <x:v>10</x:v>
      </x:c>
      <x:c r="Z286" s="34" t="str">
        <x:v>strict</x:v>
      </x:c>
      <x:c r="AA286" s="36" t="n">
        <x:v>64</x:v>
      </x:c>
      <x:c r="AB286" s="43" t="n">
        <x:v>95943424</x:v>
      </x:c>
      <x:c r="AC286" s="43" t="n">
        <x:v>3000554371</x:v>
      </x:c>
      <x:c r="AD286" s="43" t="n">
        <x:v>554371</x:v>
      </x:c>
      <x:c r="AE286" s="43" t="n">
        <x:v>1599522.7024255963</x:v>
      </x:c>
      <x:c r="AF286" s="43" t="n">
        <x:v>30289090.022188574</x:v>
      </x:c>
      <x:c r="AG286" s="43" t="n">
        <x:v>153006336</x:v>
      </x:c>
      <x:c r="AH286" s="43" t="n">
        <x:v>5051532941</x:v>
      </x:c>
      <x:c r="AI286" s="43" t="n">
        <x:v>51532941</x:v>
      </x:c>
      <x:c r="AJ286" s="43" t="n">
        <x:v>30289090.022188574</x:v>
      </x:c>
      <x:c r="AK286" s="43" t="n">
        <x:v>153006336</x:v>
      </x:c>
      <x:c r="AL286" s="43" t="n">
        <x:v>0</x:v>
      </x:c>
      <x:c r="AM286" s="43" t="n">
        <x:v>496292.05318305345</x:v>
      </x:c>
      <x:c r="AN286" s="43" t="n">
        <x:v>150</x:v>
      </x:c>
      <x:c r="AO286" s="43" t="n">
        <x:v>331</x:v>
      </x:c>
      <x:c r="AP286" s="43" t="n">
        <x:v>541</x:v>
      </x:c>
      <x:c r="AQ286" s="43" t="n">
        <x:v>2390724</x:v>
      </x:c>
      <x:c r="AR286" s="43" t="n">
        <x:v>1</x:v>
      </x:c>
      <x:c r="AS286" s="45" t="b">
        <x:v>1</x:v>
      </x:c>
      <x:c r="AT286" s="43" t="n">
        <x:v>9979</x:v>
      </x:c>
      <x:c r="AU286" s="48" t="n">
        <x:v>0.948135683740574</x:v>
      </x:c>
      <x:c r="AV286" s="43" t="n">
        <x:v>9990</x:v>
      </x:c>
      <x:c r="AW286" s="48" t="n">
        <x:v>0.948135683740574</x:v>
      </x:c>
      <x:c r="AX286" s="45" t="b">
        <x:v>1</x:v>
      </x:c>
      <x:c r="AY286" s="44" t="str">
        <x:v>{"provider":"cache2k","currentEntries":9979,"requestCount":153006336,"hitCount":145070767,"missCount":7935569,"hitRate":0.948135683740574,"loadSuccessCount":0,"loadFailureCount":0,"totalLoadTimeNanos":0,"evictionCount":21,"expirationCount":0,"putCount":10000,"removeCount":0,"nativeMetrics":{"getCount":153006336,"missCount":7935569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6" s="44" t="str">
        <x:v>{"provider":"cache2k","currentEntries":9990,"requestCount":153006336,"hitCount":145070767,"missCount":7935569,"hitRate":0.948135683740574,"loadSuccessCount":0,"loadFailureCount":0,"totalLoadTimeNanos":0,"evictionCount":5010,"expirationCount":0,"putCount":15000,"removeCount":0,"nativeMetrics":{"getCount":153006336,"missCount":7935569,"loadCount":0,"loadExceptionCount":0,"suppressedLoadExceptionCount":0,"refreshCount":0,"refreshFailedCount":0,"refreshedHitCount":0,"expiredCount":0,"evictedCount":5010,"putCount":15000,"removeCount":0,"keyMutationCount":0,"totalLoadMillis":0}}</x:v>
      </x:c>
      <x:c r="BA286" s="43" t="n">
        <x:v>9990</x:v>
      </x:c>
      <x:c r="BB286" s="43" t="n">
        <x:v>153006336</x:v>
      </x:c>
      <x:c r="BC286" s="43" t="n">
        <x:v>145070767</x:v>
      </x:c>
      <x:c r="BD286" s="43" t="n">
        <x:v>7935569</x:v>
      </x:c>
      <x:c r="BE286" s="48" t="n">
        <x:v>0.948135683740574</x:v>
      </x:c>
      <x:c r="BF286" s="43" t="n">
        <x:v>0</x:v>
      </x:c>
      <x:c r="BG286" s="43" t="n">
        <x:v>0</x:v>
      </x:c>
      <x:c r="BH286" s="43" t="n">
        <x:v>0</x:v>
      </x:c>
      <x:c r="BI286" s="43" t="n">
        <x:v>5010</x:v>
      </x:c>
      <x:c r="BJ286" s="43" t="n">
        <x:v>0</x:v>
      </x:c>
      <x:c r="BK286" s="43" t="n">
        <x:v>15000</x:v>
      </x:c>
      <x:c r="BL286" s="43" t="n">
        <x:v>0</x:v>
      </x:c>
      <x:c r="BM286" s="44" t="str">
        <x:v>{"getCount":153006336,"missCount":7935569,"loadCount":0,"loadExceptionCount":0,"suppressedLoadExceptionCount":0,"refreshCount":0,"refreshFailedCount":0,"refreshedHitCount":0,"expiredCount":0,"evictedCount":5010,"putCount":15000,"removeCount":0,"keyMutationCount":0,"totalLoadMillis":0}</x:v>
      </x:c>
    </x:row>
    <x:row r="287">
      <x:c r="A287" s="34" t="str">
        <x:v>article1-unified-v4-2-fb3f101b-20260903-000401-default-f05-p5-cache2k</x:v>
      </x:c>
      <x:c r="B287" s="34" t="str">
        <x:v>default</x:v>
      </x:c>
      <x:c r="C287" s="34" t="str">
        <x:v>cache2k</x:v>
      </x:c>
      <x:c r="D287" s="34" t="str">
        <x:v>cache2k</x:v>
      </x:c>
      <x:c r="E287" s="34" t="str">
        <x:v>current-provider-primary-comparison</x:v>
      </x:c>
      <x:c r="F287" s="36" t="n">
        <x:v>5</x:v>
      </x:c>
      <x:c r="G287" s="36" t="n">
        <x:v>5</x:v>
      </x:c>
      <x:c r="H287" s="36" t="n">
        <x:v>5</x:v>
      </x:c>
      <x:c r="I287" s="36" t="n">
        <x:v>3</x:v>
      </x:c>
      <x:c r="J287" s="34" t="str">
        <x:v>redeploy</x:v>
      </x:c>
      <x:c r="K287" s="34" t="str">
        <x:v>cache-semantics</x:v>
      </x:c>
      <x:c r="L287" s="45" t="b">
        <x:v>1</x:v>
      </x:c>
      <x:c r="M287" s="36" t="n">
        <x:v>1680357415</x:v>
      </x:c>
      <x:c r="N287" s="34" t="str">
        <x:v>7fd56c55e07780880dfc2de7b34f4b776b7447364ab7153414be84b7c5d590b9</x:v>
      </x:c>
      <x:c r="O287" s="43" t="n">
        <x:v>10000</x:v>
      </x:c>
      <x:c r="P287" s="43" t="n">
        <x:v>400000</x:v>
      </x:c>
      <x:c r="Q287" s="36" t="n">
        <x:v>8</x:v>
      </x:c>
      <x:c r="R287" s="42" t="n">
        <x:v>95</x:v>
      </x:c>
      <x:c r="S287" s="43" t="n">
        <x:v>512</x:v>
      </x:c>
      <x:c r="T287" s="43" t="n">
        <x:v>50000</x:v>
      </x:c>
      <x:c r="U287" s="46" t="n">
        <x:v>3</x:v>
      </x:c>
      <x:c r="V287" s="46" t="n">
        <x:v>5</x:v>
      </x:c>
      <x:c r="W287" s="43" t="n">
        <x:v>300</x:v>
      </x:c>
      <x:c r="X287" s="34" t="str">
        <x:v>uniform</x:v>
      </x:c>
      <x:c r="Y287" s="42" t="n">
        <x:v>10</x:v>
      </x:c>
      <x:c r="Z287" s="34" t="str">
        <x:v>strict</x:v>
      </x:c>
      <x:c r="AA287" s="36" t="n">
        <x:v>64</x:v>
      </x:c>
      <x:c r="AB287" s="43" t="n">
        <x:v>99640576</x:v>
      </x:c>
      <x:c r="AC287" s="43" t="n">
        <x:v>3045449475</x:v>
      </x:c>
      <x:c r="AD287" s="43" t="n">
        <x:v>45449475</x:v>
      </x:c>
      <x:c r="AE287" s="43" t="n">
        <x:v>2328554.3635944496</x:v>
      </x:c>
      <x:c r="AF287" s="43" t="n">
        <x:v>31375857.034719463</x:v>
      </x:c>
      <x:c r="AG287" s="43" t="n">
        <x:v>156958464</x:v>
      </x:c>
      <x:c r="AH287" s="43" t="n">
        <x:v>5002523559</x:v>
      </x:c>
      <x:c r="AI287" s="43" t="n">
        <x:v>2523559</x:v>
      </x:c>
      <x:c r="AJ287" s="43" t="n">
        <x:v>31375857.034719463</x:v>
      </x:c>
      <x:c r="AK287" s="43" t="n">
        <x:v>156958464</x:v>
      </x:c>
      <x:c r="AL287" s="43" t="n">
        <x:v>0</x:v>
      </x:c>
      <x:c r="AM287" s="43" t="n">
        <x:v>421414.10729236883</x:v>
      </x:c>
      <x:c r="AN287" s="43" t="n">
        <x:v>150</x:v>
      </x:c>
      <x:c r="AO287" s="43" t="n">
        <x:v>321</x:v>
      </x:c>
      <x:c r="AP287" s="43" t="n">
        <x:v>511</x:v>
      </x:c>
      <x:c r="AQ287" s="43" t="n">
        <x:v>2452476</x:v>
      </x:c>
      <x:c r="AR287" s="43" t="n">
        <x:v>1</x:v>
      </x:c>
      <x:c r="AS287" s="45" t="b">
        <x:v>1</x:v>
      </x:c>
      <x:c r="AT287" s="43" t="n">
        <x:v>9979</x:v>
      </x:c>
      <x:c r="AU287" s="48" t="n">
        <x:v>0.9481458419470772</x:v>
      </x:c>
      <x:c r="AV287" s="43" t="n">
        <x:v>9990</x:v>
      </x:c>
      <x:c r="AW287" s="48" t="n">
        <x:v>0.9481458419470772</x:v>
      </x:c>
      <x:c r="AX287" s="45" t="b">
        <x:v>1</x:v>
      </x:c>
      <x:c r="AY287" s="44" t="str">
        <x:v>{"provider":"cache2k","currentEntries":9979,"requestCount":156958464,"hitCount":148819515,"missCount":8138949,"hitRate":0.9481458419470772,"loadSuccessCount":0,"loadFailureCount":0,"totalLoadTimeNanos":0,"evictionCount":21,"expirationCount":0,"putCount":10000,"removeCount":0,"nativeMetrics":{"getCount":156958464,"missCount":8138949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7" s="44" t="str">
        <x:v>{"provider":"cache2k","currentEntries":9990,"requestCount":156958464,"hitCount":148819515,"missCount":8138949,"hitRate":0.9481458419470772,"loadSuccessCount":0,"loadFailureCount":0,"totalLoadTimeNanos":0,"evictionCount":5010,"expirationCount":0,"putCount":15000,"removeCount":0,"nativeMetrics":{"getCount":156958464,"missCount":8138949,"loadCount":0,"loadExceptionCount":0,"suppressedLoadExceptionCount":0,"refreshCount":0,"refreshFailedCount":0,"refreshedHitCount":0,"expiredCount":0,"evictedCount":5010,"putCount":15000,"removeCount":0,"keyMutationCount":0,"totalLoadMillis":0}}</x:v>
      </x:c>
      <x:c r="BA287" s="43" t="n">
        <x:v>9990</x:v>
      </x:c>
      <x:c r="BB287" s="43" t="n">
        <x:v>156958464</x:v>
      </x:c>
      <x:c r="BC287" s="43" t="n">
        <x:v>148819515</x:v>
      </x:c>
      <x:c r="BD287" s="43" t="n">
        <x:v>8138949</x:v>
      </x:c>
      <x:c r="BE287" s="48" t="n">
        <x:v>0.9481458419470772</x:v>
      </x:c>
      <x:c r="BF287" s="43" t="n">
        <x:v>0</x:v>
      </x:c>
      <x:c r="BG287" s="43" t="n">
        <x:v>0</x:v>
      </x:c>
      <x:c r="BH287" s="43" t="n">
        <x:v>0</x:v>
      </x:c>
      <x:c r="BI287" s="43" t="n">
        <x:v>5010</x:v>
      </x:c>
      <x:c r="BJ287" s="43" t="n">
        <x:v>0</x:v>
      </x:c>
      <x:c r="BK287" s="43" t="n">
        <x:v>15000</x:v>
      </x:c>
      <x:c r="BL287" s="43" t="n">
        <x:v>0</x:v>
      </x:c>
      <x:c r="BM287" s="44" t="str">
        <x:v>{"getCount":156958464,"missCount":8138949,"loadCount":0,"loadExceptionCount":0,"suppressedLoadExceptionCount":0,"refreshCount":0,"refreshFailedCount":0,"refreshedHitCount":0,"expiredCount":0,"evictedCount":5010,"putCount":15000,"removeCount":0,"keyMutationCount":0,"totalLoadMillis":0}</x:v>
      </x:c>
    </x:row>
    <x:row r="288">
      <x:c r="A288" s="34" t="str">
        <x:v>article1-unified-v4-2-fb3f101b-20260903-000401-default-f05-p5-cache2k</x:v>
      </x:c>
      <x:c r="B288" s="34" t="str">
        <x:v>default</x:v>
      </x:c>
      <x:c r="C288" s="34" t="str">
        <x:v>cache2k</x:v>
      </x:c>
      <x:c r="D288" s="34" t="str">
        <x:v>cache2k</x:v>
      </x:c>
      <x:c r="E288" s="34" t="str">
        <x:v>current-provider-primary-comparison</x:v>
      </x:c>
      <x:c r="F288" s="36" t="n">
        <x:v>5</x:v>
      </x:c>
      <x:c r="G288" s="36" t="n">
        <x:v>5</x:v>
      </x:c>
      <x:c r="H288" s="36" t="n">
        <x:v>5</x:v>
      </x:c>
      <x:c r="I288" s="36" t="n">
        <x:v>4</x:v>
      </x:c>
      <x:c r="J288" s="34" t="str">
        <x:v>initial</x:v>
      </x:c>
      <x:c r="K288" s="34" t="str">
        <x:v>cache-semantics</x:v>
      </x:c>
      <x:c r="L288" s="45" t="b">
        <x:v>1</x:v>
      </x:c>
      <x:c r="M288" s="36" t="n">
        <x:v>1131239936</x:v>
      </x:c>
      <x:c r="N288" s="34" t="str">
        <x:v>3a5209d570baf0beb6c3f6e9b35074a72fca123e15e1fa95c3b3bc779093a379</x:v>
      </x:c>
      <x:c r="O288" s="43" t="n">
        <x:v>10000</x:v>
      </x:c>
      <x:c r="P288" s="43" t="n">
        <x:v>400000</x:v>
      </x:c>
      <x:c r="Q288" s="36" t="n">
        <x:v>8</x:v>
      </x:c>
      <x:c r="R288" s="42" t="n">
        <x:v>95</x:v>
      </x:c>
      <x:c r="S288" s="43" t="n">
        <x:v>512</x:v>
      </x:c>
      <x:c r="T288" s="43" t="n">
        <x:v>50000</x:v>
      </x:c>
      <x:c r="U288" s="46" t="n">
        <x:v>3</x:v>
      </x:c>
      <x:c r="V288" s="46" t="n">
        <x:v>5</x:v>
      </x:c>
      <x:c r="W288" s="43" t="n">
        <x:v>300</x:v>
      </x:c>
      <x:c r="X288" s="34" t="str">
        <x:v>uniform</x:v>
      </x:c>
      <x:c r="Y288" s="42" t="n">
        <x:v>10</x:v>
      </x:c>
      <x:c r="Z288" s="34" t="str">
        <x:v>strict</x:v>
      </x:c>
      <x:c r="AA288" s="36" t="n">
        <x:v>64</x:v>
      </x:c>
      <x:c r="AB288" s="43" t="n">
        <x:v>97071616</x:v>
      </x:c>
      <x:c r="AC288" s="43" t="n">
        <x:v>3000384586</x:v>
      </x:c>
      <x:c r="AD288" s="43" t="n">
        <x:v>384586</x:v>
      </x:c>
      <x:c r="AE288" s="43" t="n">
        <x:v>2756238.5392156243</x:v>
      </x:c>
      <x:c r="AF288" s="43" t="n">
        <x:v>32721125.95106526</x:v>
      </x:c>
      <x:c r="AG288" s="43" t="n">
        <x:v>163689984</x:v>
      </x:c>
      <x:c r="AH288" s="43" t="n">
        <x:v>5002577975</x:v>
      </x:c>
      <x:c r="AI288" s="43" t="n">
        <x:v>2577975</x:v>
      </x:c>
      <x:c r="AJ288" s="43" t="n">
        <x:v>32721125.95106526</x:v>
      </x:c>
      <x:c r="AK288" s="43" t="n">
        <x:v>163689984</x:v>
      </x:c>
      <x:c r="AL288" s="43" t="n">
        <x:v>0</x:v>
      </x:c>
      <x:c r="AM288" s="43" t="n">
        <x:v>521335.8793987454</x:v>
      </x:c>
      <x:c r="AN288" s="43" t="n">
        <x:v>140</x:v>
      </x:c>
      <x:c r="AO288" s="43" t="n">
        <x:v>311</x:v>
      </x:c>
      <x:c r="AP288" s="43" t="n">
        <x:v>501</x:v>
      </x:c>
      <x:c r="AQ288" s="43" t="n">
        <x:v>2557656</x:v>
      </x:c>
      <x:c r="AR288" s="43" t="n">
        <x:v>1</x:v>
      </x:c>
      <x:c r="AS288" s="45" t="b">
        <x:v>1</x:v>
      </x:c>
      <x:c r="AT288" s="43" t="n">
        <x:v>9979</x:v>
      </x:c>
      <x:c r="AU288" s="48" t="n">
        <x:v>0.9484905502831499</x:v>
      </x:c>
      <x:c r="AV288" s="43" t="n">
        <x:v>9991</x:v>
      </x:c>
      <x:c r="AW288" s="48" t="n">
        <x:v>0.9484905502831499</x:v>
      </x:c>
      <x:c r="AX288" s="45" t="b">
        <x:v>1</x:v>
      </x:c>
      <x:c r="AY288" s="44" t="str">
        <x:v>{"provider":"cache2k","currentEntries":9979,"requestCount":163689984,"hitCount":155258403,"missCount":8431581,"hitRate":0.9484905502831499,"loadSuccessCount":0,"loadFailureCount":0,"totalLoadTimeNanos":0,"evictionCount":21,"expirationCount":0,"putCount":10000,"removeCount":0,"nativeMetrics":{"getCount":163689984,"missCount":8431581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8" s="44" t="str">
        <x:v>{"provider":"cache2k","currentEntries":9991,"requestCount":163689984,"hitCount":155258403,"missCount":8431581,"hitRate":0.9484905502831499,"loadSuccessCount":0,"loadFailureCount":0,"totalLoadTimeNanos":0,"evictionCount":5009,"expirationCount":0,"putCount":15000,"removeCount":0,"nativeMetrics":{"getCount":163689984,"missCount":8431581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288" s="43" t="n">
        <x:v>9991</x:v>
      </x:c>
      <x:c r="BB288" s="43" t="n">
        <x:v>163689984</x:v>
      </x:c>
      <x:c r="BC288" s="43" t="n">
        <x:v>155258403</x:v>
      </x:c>
      <x:c r="BD288" s="43" t="n">
        <x:v>8431581</x:v>
      </x:c>
      <x:c r="BE288" s="48" t="n">
        <x:v>0.9484905502831499</x:v>
      </x:c>
      <x:c r="BF288" s="43" t="n">
        <x:v>0</x:v>
      </x:c>
      <x:c r="BG288" s="43" t="n">
        <x:v>0</x:v>
      </x:c>
      <x:c r="BH288" s="43" t="n">
        <x:v>0</x:v>
      </x:c>
      <x:c r="BI288" s="43" t="n">
        <x:v>5009</x:v>
      </x:c>
      <x:c r="BJ288" s="43" t="n">
        <x:v>0</x:v>
      </x:c>
      <x:c r="BK288" s="43" t="n">
        <x:v>15000</x:v>
      </x:c>
      <x:c r="BL288" s="43" t="n">
        <x:v>0</x:v>
      </x:c>
      <x:c r="BM288" s="44" t="str">
        <x:v>{"getCount":163689984,"missCount":8431581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289">
      <x:c r="A289" s="34" t="str">
        <x:v>article1-unified-v4-2-fb3f101b-20260903-000401-default-f05-p5-cache2k</x:v>
      </x:c>
      <x:c r="B289" s="34" t="str">
        <x:v>default</x:v>
      </x:c>
      <x:c r="C289" s="34" t="str">
        <x:v>cache2k</x:v>
      </x:c>
      <x:c r="D289" s="34" t="str">
        <x:v>cache2k</x:v>
      </x:c>
      <x:c r="E289" s="34" t="str">
        <x:v>current-provider-primary-comparison</x:v>
      </x:c>
      <x:c r="F289" s="36" t="n">
        <x:v>5</x:v>
      </x:c>
      <x:c r="G289" s="36" t="n">
        <x:v>5</x:v>
      </x:c>
      <x:c r="H289" s="36" t="n">
        <x:v>5</x:v>
      </x:c>
      <x:c r="I289" s="36" t="n">
        <x:v>4</x:v>
      </x:c>
      <x:c r="J289" s="34" t="str">
        <x:v>redeploy</x:v>
      </x:c>
      <x:c r="K289" s="34" t="str">
        <x:v>cache-semantics</x:v>
      </x:c>
      <x:c r="L289" s="45" t="b">
        <x:v>1</x:v>
      </x:c>
      <x:c r="M289" s="36" t="n">
        <x:v>1131239936</x:v>
      </x:c>
      <x:c r="N289" s="34" t="str">
        <x:v>3a5209d570baf0beb6c3f6e9b35074a72fca123e15e1fa95c3b3bc779093a379</x:v>
      </x:c>
      <x:c r="O289" s="43" t="n">
        <x:v>10000</x:v>
      </x:c>
      <x:c r="P289" s="43" t="n">
        <x:v>400000</x:v>
      </x:c>
      <x:c r="Q289" s="36" t="n">
        <x:v>8</x:v>
      </x:c>
      <x:c r="R289" s="42" t="n">
        <x:v>95</x:v>
      </x:c>
      <x:c r="S289" s="43" t="n">
        <x:v>512</x:v>
      </x:c>
      <x:c r="T289" s="43" t="n">
        <x:v>50000</x:v>
      </x:c>
      <x:c r="U289" s="46" t="n">
        <x:v>3</x:v>
      </x:c>
      <x:c r="V289" s="46" t="n">
        <x:v>5</x:v>
      </x:c>
      <x:c r="W289" s="43" t="n">
        <x:v>300</x:v>
      </x:c>
      <x:c r="X289" s="34" t="str">
        <x:v>uniform</x:v>
      </x:c>
      <x:c r="Y289" s="42" t="n">
        <x:v>10</x:v>
      </x:c>
      <x:c r="Z289" s="34" t="str">
        <x:v>strict</x:v>
      </x:c>
      <x:c r="AA289" s="36" t="n">
        <x:v>64</x:v>
      </x:c>
      <x:c r="AB289" s="43" t="n">
        <x:v>93687552</x:v>
      </x:c>
      <x:c r="AC289" s="43" t="n">
        <x:v>3000600910</x:v>
      </x:c>
      <x:c r="AD289" s="43" t="n">
        <x:v>600910</x:v>
      </x:c>
      <x:c r="AE289" s="43" t="n">
        <x:v>1729517.625427645</x:v>
      </x:c>
      <x:c r="AF289" s="43" t="n">
        <x:v>31405867.97842843</x:v>
      </x:c>
      <x:c r="AG289" s="43" t="n">
        <x:v>157116928</x:v>
      </x:c>
      <x:c r="AH289" s="43" t="n">
        <x:v>5002788909</x:v>
      </x:c>
      <x:c r="AI289" s="43" t="n">
        <x:v>2788909</x:v>
      </x:c>
      <x:c r="AJ289" s="43" t="n">
        <x:v>31405867.97842843</x:v>
      </x:c>
      <x:c r="AK289" s="43" t="n">
        <x:v>157116928</x:v>
      </x:c>
      <x:c r="AL289" s="43" t="n">
        <x:v>0</x:v>
      </x:c>
      <x:c r="AM289" s="43" t="n">
        <x:v>357207.00131437887</x:v>
      </x:c>
      <x:c r="AN289" s="43" t="n">
        <x:v>140</x:v>
      </x:c>
      <x:c r="AO289" s="43" t="n">
        <x:v>320</x:v>
      </x:c>
      <x:c r="AP289" s="43" t="n">
        <x:v>501</x:v>
      </x:c>
      <x:c r="AQ289" s="43" t="n">
        <x:v>2454952</x:v>
      </x:c>
      <x:c r="AR289" s="43" t="n">
        <x:v>1</x:v>
      </x:c>
      <x:c r="AS289" s="45" t="b">
        <x:v>1</x:v>
      </x:c>
      <x:c r="AT289" s="43" t="n">
        <x:v>9979</x:v>
      </x:c>
      <x:c r="AU289" s="48" t="n">
        <x:v>0.9484849907452365</x:v>
      </x:c>
      <x:c r="AV289" s="43" t="n">
        <x:v>9991</x:v>
      </x:c>
      <x:c r="AW289" s="48" t="n">
        <x:v>0.9484849907452365</x:v>
      </x:c>
      <x:c r="AX289" s="45" t="b">
        <x:v>1</x:v>
      </x:c>
      <x:c r="AY289" s="44" t="str">
        <x:v>{"provider":"cache2k","currentEntries":9979,"requestCount":157116928,"hitCount":149023048,"missCount":8093880,"hitRate":0.9484849907452365,"loadSuccessCount":0,"loadFailureCount":0,"totalLoadTimeNanos":0,"evictionCount":21,"expirationCount":0,"putCount":10000,"removeCount":0,"nativeMetrics":{"getCount":157116928,"missCount":8093880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89" s="44" t="str">
        <x:v>{"provider":"cache2k","currentEntries":9991,"requestCount":157116928,"hitCount":149023048,"missCount":8093880,"hitRate":0.9484849907452365,"loadSuccessCount":0,"loadFailureCount":0,"totalLoadTimeNanos":0,"evictionCount":5009,"expirationCount":0,"putCount":15000,"removeCount":0,"nativeMetrics":{"getCount":157116928,"missCount":8093880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289" s="43" t="n">
        <x:v>9991</x:v>
      </x:c>
      <x:c r="BB289" s="43" t="n">
        <x:v>157116928</x:v>
      </x:c>
      <x:c r="BC289" s="43" t="n">
        <x:v>149023048</x:v>
      </x:c>
      <x:c r="BD289" s="43" t="n">
        <x:v>8093880</x:v>
      </x:c>
      <x:c r="BE289" s="48" t="n">
        <x:v>0.9484849907452365</x:v>
      </x:c>
      <x:c r="BF289" s="43" t="n">
        <x:v>0</x:v>
      </x:c>
      <x:c r="BG289" s="43" t="n">
        <x:v>0</x:v>
      </x:c>
      <x:c r="BH289" s="43" t="n">
        <x:v>0</x:v>
      </x:c>
      <x:c r="BI289" s="43" t="n">
        <x:v>5009</x:v>
      </x:c>
      <x:c r="BJ289" s="43" t="n">
        <x:v>0</x:v>
      </x:c>
      <x:c r="BK289" s="43" t="n">
        <x:v>15000</x:v>
      </x:c>
      <x:c r="BL289" s="43" t="n">
        <x:v>0</x:v>
      </x:c>
      <x:c r="BM289" s="44" t="str">
        <x:v>{"getCount":157116928,"missCount":8093880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290">
      <x:c r="A290" s="34" t="str">
        <x:v>article1-unified-v4-2-fb3f101b-20260903-000401-default-f05-p5-cache2k</x:v>
      </x:c>
      <x:c r="B290" s="34" t="str">
        <x:v>default</x:v>
      </x:c>
      <x:c r="C290" s="34" t="str">
        <x:v>cache2k</x:v>
      </x:c>
      <x:c r="D290" s="34" t="str">
        <x:v>cache2k</x:v>
      </x:c>
      <x:c r="E290" s="34" t="str">
        <x:v>current-provider-primary-comparison</x:v>
      </x:c>
      <x:c r="F290" s="36" t="n">
        <x:v>5</x:v>
      </x:c>
      <x:c r="G290" s="36" t="n">
        <x:v>5</x:v>
      </x:c>
      <x:c r="H290" s="36" t="n">
        <x:v>5</x:v>
      </x:c>
      <x:c r="I290" s="36" t="n">
        <x:v>5</x:v>
      </x:c>
      <x:c r="J290" s="34" t="str">
        <x:v>initial</x:v>
      </x:c>
      <x:c r="K290" s="34" t="str">
        <x:v>cache-semantics</x:v>
      </x:c>
      <x:c r="L290" s="45" t="b">
        <x:v>1</x:v>
      </x:c>
      <x:c r="M290" s="36" t="n">
        <x:v>620988831</x:v>
      </x:c>
      <x:c r="N290" s="34" t="str">
        <x:v>8940757b18d227a000be8118900d9d4aedf44b85c145f2f14007181f24d352aa</x:v>
      </x:c>
      <x:c r="O290" s="43" t="n">
        <x:v>10000</x:v>
      </x:c>
      <x:c r="P290" s="43" t="n">
        <x:v>400000</x:v>
      </x:c>
      <x:c r="Q290" s="36" t="n">
        <x:v>8</x:v>
      </x:c>
      <x:c r="R290" s="42" t="n">
        <x:v>95</x:v>
      </x:c>
      <x:c r="S290" s="43" t="n">
        <x:v>512</x:v>
      </x:c>
      <x:c r="T290" s="43" t="n">
        <x:v>50000</x:v>
      </x:c>
      <x:c r="U290" s="46" t="n">
        <x:v>3</x:v>
      </x:c>
      <x:c r="V290" s="46" t="n">
        <x:v>5</x:v>
      </x:c>
      <x:c r="W290" s="43" t="n">
        <x:v>300</x:v>
      </x:c>
      <x:c r="X290" s="34" t="str">
        <x:v>uniform</x:v>
      </x:c>
      <x:c r="Y290" s="42" t="n">
        <x:v>10</x:v>
      </x:c>
      <x:c r="Z290" s="34" t="str">
        <x:v>strict</x:v>
      </x:c>
      <x:c r="AA290" s="36" t="n">
        <x:v>64</x:v>
      </x:c>
      <x:c r="AB290" s="43" t="n">
        <x:v>92147200</x:v>
      </x:c>
      <x:c r="AC290" s="43" t="n">
        <x:v>3000888891</x:v>
      </x:c>
      <x:c r="AD290" s="43" t="n">
        <x:v>888891</x:v>
      </x:c>
      <x:c r="AE290" s="43" t="n">
        <x:v>1813201.1195428993</x:v>
      </x:c>
      <x:c r="AF290" s="43" t="n">
        <x:v>31425757.59149391</x:v>
      </x:c>
      <x:c r="AG290" s="43" t="n">
        <x:v>157204736</x:v>
      </x:c>
      <x:c r="AH290" s="43" t="n">
        <x:v>5002416745</x:v>
      </x:c>
      <x:c r="AI290" s="43" t="n">
        <x:v>2416745</x:v>
      </x:c>
      <x:c r="AJ290" s="43" t="n">
        <x:v>31425757.59149391</x:v>
      </x:c>
      <x:c r="AK290" s="43" t="n">
        <x:v>157204736</x:v>
      </x:c>
      <x:c r="AL290" s="43" t="n">
        <x:v>0</x:v>
      </x:c>
      <x:c r="AM290" s="43" t="n">
        <x:v>547472.9088505785</x:v>
      </x:c>
      <x:c r="AN290" s="43" t="n">
        <x:v>150</x:v>
      </x:c>
      <x:c r="AO290" s="43" t="n">
        <x:v>321</x:v>
      </x:c>
      <x:c r="AP290" s="43" t="n">
        <x:v>501</x:v>
      </x:c>
      <x:c r="AQ290" s="43" t="n">
        <x:v>2456324</x:v>
      </x:c>
      <x:c r="AR290" s="43" t="n">
        <x:v>1</x:v>
      </x:c>
      <x:c r="AS290" s="45" t="b">
        <x:v>1</x:v>
      </x:c>
      <x:c r="AT290" s="43" t="n">
        <x:v>9979</x:v>
      </x:c>
      <x:c r="AU290" s="48" t="n">
        <x:v>0.9487109090657422</x:v>
      </x:c>
      <x:c r="AV290" s="43" t="n">
        <x:v>9991</x:v>
      </x:c>
      <x:c r="AW290" s="48" t="n">
        <x:v>0.9487109090657422</x:v>
      </x:c>
      <x:c r="AX290" s="45" t="b">
        <x:v>1</x:v>
      </x:c>
      <x:c r="AY290" s="44" t="str">
        <x:v>{"provider":"cache2k","currentEntries":9979,"requestCount":157204736,"hitCount":149141848,"missCount":8062888,"hitRate":0.9487109090657422,"loadSuccessCount":0,"loadFailureCount":0,"totalLoadTimeNanos":0,"evictionCount":21,"expirationCount":0,"putCount":10000,"removeCount":0,"nativeMetrics":{"getCount":157204736,"missCount":8062888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90" s="44" t="str">
        <x:v>{"provider":"cache2k","currentEntries":9991,"requestCount":157204736,"hitCount":149141848,"missCount":8062888,"hitRate":0.9487109090657422,"loadSuccessCount":0,"loadFailureCount":0,"totalLoadTimeNanos":0,"evictionCount":5009,"expirationCount":0,"putCount":15000,"removeCount":0,"nativeMetrics":{"getCount":157204736,"missCount":8062888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290" s="43" t="n">
        <x:v>9991</x:v>
      </x:c>
      <x:c r="BB290" s="43" t="n">
        <x:v>157204736</x:v>
      </x:c>
      <x:c r="BC290" s="43" t="n">
        <x:v>149141848</x:v>
      </x:c>
      <x:c r="BD290" s="43" t="n">
        <x:v>8062888</x:v>
      </x:c>
      <x:c r="BE290" s="48" t="n">
        <x:v>0.9487109090657422</x:v>
      </x:c>
      <x:c r="BF290" s="43" t="n">
        <x:v>0</x:v>
      </x:c>
      <x:c r="BG290" s="43" t="n">
        <x:v>0</x:v>
      </x:c>
      <x:c r="BH290" s="43" t="n">
        <x:v>0</x:v>
      </x:c>
      <x:c r="BI290" s="43" t="n">
        <x:v>5009</x:v>
      </x:c>
      <x:c r="BJ290" s="43" t="n">
        <x:v>0</x:v>
      </x:c>
      <x:c r="BK290" s="43" t="n">
        <x:v>15000</x:v>
      </x:c>
      <x:c r="BL290" s="43" t="n">
        <x:v>0</x:v>
      </x:c>
      <x:c r="BM290" s="44" t="str">
        <x:v>{"getCount":157204736,"missCount":8062888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291">
      <x:c r="A291" s="34" t="str">
        <x:v>article1-unified-v4-2-fb3f101b-20260903-000401-default-f05-p5-cache2k</x:v>
      </x:c>
      <x:c r="B291" s="34" t="str">
        <x:v>default</x:v>
      </x:c>
      <x:c r="C291" s="34" t="str">
        <x:v>cache2k</x:v>
      </x:c>
      <x:c r="D291" s="34" t="str">
        <x:v>cache2k</x:v>
      </x:c>
      <x:c r="E291" s="34" t="str">
        <x:v>current-provider-primary-comparison</x:v>
      </x:c>
      <x:c r="F291" s="36" t="n">
        <x:v>5</x:v>
      </x:c>
      <x:c r="G291" s="36" t="n">
        <x:v>5</x:v>
      </x:c>
      <x:c r="H291" s="36" t="n">
        <x:v>5</x:v>
      </x:c>
      <x:c r="I291" s="36" t="n">
        <x:v>5</x:v>
      </x:c>
      <x:c r="J291" s="34" t="str">
        <x:v>redeploy</x:v>
      </x:c>
      <x:c r="K291" s="34" t="str">
        <x:v>cache-semantics</x:v>
      </x:c>
      <x:c r="L291" s="45" t="b">
        <x:v>1</x:v>
      </x:c>
      <x:c r="M291" s="36" t="n">
        <x:v>620988831</x:v>
      </x:c>
      <x:c r="N291" s="34" t="str">
        <x:v>8940757b18d227a000be8118900d9d4aedf44b85c145f2f14007181f24d352aa</x:v>
      </x:c>
      <x:c r="O291" s="43" t="n">
        <x:v>10000</x:v>
      </x:c>
      <x:c r="P291" s="43" t="n">
        <x:v>400000</x:v>
      </x:c>
      <x:c r="Q291" s="36" t="n">
        <x:v>8</x:v>
      </x:c>
      <x:c r="R291" s="42" t="n">
        <x:v>95</x:v>
      </x:c>
      <x:c r="S291" s="43" t="n">
        <x:v>512</x:v>
      </x:c>
      <x:c r="T291" s="43" t="n">
        <x:v>50000</x:v>
      </x:c>
      <x:c r="U291" s="46" t="n">
        <x:v>3</x:v>
      </x:c>
      <x:c r="V291" s="46" t="n">
        <x:v>5</x:v>
      </x:c>
      <x:c r="W291" s="43" t="n">
        <x:v>300</x:v>
      </x:c>
      <x:c r="X291" s="34" t="str">
        <x:v>uniform</x:v>
      </x:c>
      <x:c r="Y291" s="42" t="n">
        <x:v>10</x:v>
      </x:c>
      <x:c r="Z291" s="34" t="str">
        <x:v>strict</x:v>
      </x:c>
      <x:c r="AA291" s="36" t="n">
        <x:v>64</x:v>
      </x:c>
      <x:c r="AB291" s="43" t="n">
        <x:v>101264640</x:v>
      </x:c>
      <x:c r="AC291" s="43" t="n">
        <x:v>3000373834</x:v>
      </x:c>
      <x:c r="AD291" s="43" t="n">
        <x:v>373834</x:v>
      </x:c>
      <x:c r="AE291" s="43" t="n">
        <x:v>1991569.685521189</x:v>
      </x:c>
      <x:c r="AF291" s="43" t="n">
        <x:v>31284244.365211062</x:v>
      </x:c>
      <x:c r="AG291" s="43" t="n">
        <x:v>158102272</x:v>
      </x:c>
      <x:c r="AH291" s="43" t="n">
        <x:v>5053734722</x:v>
      </x:c>
      <x:c r="AI291" s="43" t="n">
        <x:v>53734722</x:v>
      </x:c>
      <x:c r="AJ291" s="43" t="n">
        <x:v>31284244.365211062</x:v>
      </x:c>
      <x:c r="AK291" s="43" t="n">
        <x:v>158102272</x:v>
      </x:c>
      <x:c r="AL291" s="43" t="n">
        <x:v>0</x:v>
      </x:c>
      <x:c r="AM291" s="43" t="n">
        <x:v>523866.4655997323</x:v>
      </x:c>
      <x:c r="AN291" s="43" t="n">
        <x:v>140</x:v>
      </x:c>
      <x:c r="AO291" s="43" t="n">
        <x:v>311</x:v>
      </x:c>
      <x:c r="AP291" s="43" t="n">
        <x:v>491</x:v>
      </x:c>
      <x:c r="AQ291" s="43" t="n">
        <x:v>2470348</x:v>
      </x:c>
      <x:c r="AR291" s="43" t="n">
        <x:v>1</x:v>
      </x:c>
      <x:c r="AS291" s="45" t="b">
        <x:v>1</x:v>
      </x:c>
      <x:c r="AT291" s="43" t="n">
        <x:v>9979</x:v>
      </x:c>
      <x:c r="AU291" s="48" t="n">
        <x:v>0.9487035202125369</x:v>
      </x:c>
      <x:c r="AV291" s="43" t="n">
        <x:v>9993</x:v>
      </x:c>
      <x:c r="AW291" s="48" t="n">
        <x:v>0.9487035202125369</x:v>
      </x:c>
      <x:c r="AX291" s="45" t="b">
        <x:v>1</x:v>
      </x:c>
      <x:c r="AY291" s="44" t="str">
        <x:v>{"provider":"cache2k","currentEntries":9979,"requestCount":158102272,"hitCount":149992182,"missCount":8110090,"hitRate":0.9487035202125369,"loadSuccessCount":0,"loadFailureCount":0,"totalLoadTimeNanos":0,"evictionCount":21,"expirationCount":0,"putCount":10000,"removeCount":0,"nativeMetrics":{"getCount":158102272,"missCount":8110090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291" s="44" t="str">
        <x:v>{"provider":"cache2k","currentEntries":9993,"requestCount":158102272,"hitCount":149992182,"missCount":8110090,"hitRate":0.9487035202125369,"loadSuccessCount":0,"loadFailureCount":0,"totalLoadTimeNanos":0,"evictionCount":5007,"expirationCount":0,"putCount":15000,"removeCount":0,"nativeMetrics":{"getCount":158102272,"missCount":8110090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291" s="43" t="n">
        <x:v>9993</x:v>
      </x:c>
      <x:c r="BB291" s="43" t="n">
        <x:v>158102272</x:v>
      </x:c>
      <x:c r="BC291" s="43" t="n">
        <x:v>149992182</x:v>
      </x:c>
      <x:c r="BD291" s="43" t="n">
        <x:v>8110090</x:v>
      </x:c>
      <x:c r="BE291" s="48" t="n">
        <x:v>0.9487035202125369</x:v>
      </x:c>
      <x:c r="BF291" s="43" t="n">
        <x:v>0</x:v>
      </x:c>
      <x:c r="BG291" s="43" t="n">
        <x:v>0</x:v>
      </x:c>
      <x:c r="BH291" s="43" t="n">
        <x:v>0</x:v>
      </x:c>
      <x:c r="BI291" s="43" t="n">
        <x:v>5007</x:v>
      </x:c>
      <x:c r="BJ291" s="43" t="n">
        <x:v>0</x:v>
      </x:c>
      <x:c r="BK291" s="43" t="n">
        <x:v>15000</x:v>
      </x:c>
      <x:c r="BL291" s="43" t="n">
        <x:v>0</x:v>
      </x:c>
      <x:c r="BM291" s="44" t="str">
        <x:v>{"getCount":158102272,"missCount":8110090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292">
      <x:c r="A292" s="34" t="str">
        <x:v>article1-unified-v4-2-fb3f101b-20260903-000401-default-f05-p6-ehcache</x:v>
      </x:c>
      <x:c r="B292" s="34" t="str">
        <x:v>default</x:v>
      </x:c>
      <x:c r="C292" s="34" t="str">
        <x:v>ehcache</x:v>
      </x:c>
      <x:c r="D292" s="34" t="str">
        <x:v>ehcache</x:v>
      </x:c>
      <x:c r="E292" s="34" t="str">
        <x:v>current-provider-primary-comparison</x:v>
      </x:c>
      <x:c r="F292" s="36" t="n">
        <x:v>5</x:v>
      </x:c>
      <x:c r="G292" s="36" t="n">
        <x:v>5</x:v>
      </x:c>
      <x:c r="H292" s="36" t="n">
        <x:v>6</x:v>
      </x:c>
      <x:c r="I292" s="36" t="n">
        <x:v>1</x:v>
      </x:c>
      <x:c r="J292" s="34" t="str">
        <x:v>initial</x:v>
      </x:c>
      <x:c r="K292" s="34" t="str">
        <x:v>cache-semantics</x:v>
      </x:c>
      <x:c r="L292" s="45" t="b">
        <x:v>1</x:v>
      </x:c>
      <x:c r="M292" s="36" t="n">
        <x:v>648580617</x:v>
      </x:c>
      <x:c r="N292" s="34" t="str">
        <x:v>bcfa144271bd10c17dc9c6f6a6f8819d8571bde3bb04884a7368ce6d62b186b3</x:v>
      </x:c>
      <x:c r="O292" s="43" t="n">
        <x:v>10000</x:v>
      </x:c>
      <x:c r="P292" s="43" t="n">
        <x:v>400000</x:v>
      </x:c>
      <x:c r="Q292" s="36" t="n">
        <x:v>8</x:v>
      </x:c>
      <x:c r="R292" s="42" t="n">
        <x:v>95</x:v>
      </x:c>
      <x:c r="S292" s="43" t="n">
        <x:v>512</x:v>
      </x:c>
      <x:c r="T292" s="43" t="n">
        <x:v>50000</x:v>
      </x:c>
      <x:c r="U292" s="46" t="n">
        <x:v>3</x:v>
      </x:c>
      <x:c r="V292" s="46" t="n">
        <x:v>5</x:v>
      </x:c>
      <x:c r="W292" s="43" t="n">
        <x:v>300</x:v>
      </x:c>
      <x:c r="X292" s="34" t="str">
        <x:v>uniform</x:v>
      </x:c>
      <x:c r="Y292" s="42" t="n">
        <x:v>10</x:v>
      </x:c>
      <x:c r="Z292" s="34" t="str">
        <x:v>strict</x:v>
      </x:c>
      <x:c r="AA292" s="36" t="n">
        <x:v>64</x:v>
      </x:c>
      <x:c r="AB292" s="43" t="n">
        <x:v>78361088</x:v>
      </x:c>
      <x:c r="AC292" s="43" t="n">
        <x:v>3000727937</x:v>
      </x:c>
      <x:c r="AD292" s="43" t="n">
        <x:v>727937</x:v>
      </x:c>
      <x:c r="AE292" s="43" t="n">
        <x:v>1896486.3607545665</x:v>
      </x:c>
      <x:c r="AF292" s="43" t="n">
        <x:v>24461862.375452865</x:v>
      </x:c>
      <x:c r="AG292" s="43" t="n">
        <x:v>122371584</x:v>
      </x:c>
      <x:c r="AH292" s="43" t="n">
        <x:v>5002545682</x:v>
      </x:c>
      <x:c r="AI292" s="43" t="n">
        <x:v>2545682</x:v>
      </x:c>
      <x:c r="AJ292" s="43" t="n">
        <x:v>24461862.375452865</x:v>
      </x:c>
      <x:c r="AK292" s="43" t="n">
        <x:v>122371584</x:v>
      </x:c>
      <x:c r="AL292" s="43" t="n">
        <x:v>0</x:v>
      </x:c>
      <x:c r="AM292" s="43" t="n">
        <x:v>254310.91330017085</x:v>
      </x:c>
      <x:c r="AN292" s="43" t="n">
        <x:v>170</x:v>
      </x:c>
      <x:c r="AO292" s="43" t="n">
        <x:v>311</x:v>
      </x:c>
      <x:c r="AP292" s="43" t="n">
        <x:v>541</x:v>
      </x:c>
      <x:c r="AQ292" s="43" t="n">
        <x:v>1912056</x:v>
      </x:c>
      <x:c r="AR292" s="43" t="n">
        <x:v>1</x:v>
      </x:c>
      <x:c r="AS292" s="45" t="b">
        <x:v>1</x:v>
      </x:c>
      <x:c r="AT292" s="43" t="n">
        <x:v>10000</x:v>
      </x:c>
      <x:c r="AU292" s="48" t="n">
        <x:v>0.9503128765580088</x:v>
      </x:c>
      <x:c r="AV292" s="43" t="n">
        <x:v>10000</x:v>
      </x:c>
      <x:c r="AW292" s="48" t="n">
        <x:v>0.9503128765580088</x:v>
      </x:c>
      <x:c r="AX292" s="45" t="b">
        <x:v>1</x:v>
      </x:c>
      <x:c r="AY292" s="44" t="str">
        <x:v>{"provider":"ehcache","currentEntries":10000,"requestCount":122371584,"hitCount":116291292,"missCount":6080292,"hitRate":0.9503128765580088,"loadSuccessCount":0,"loadFailureCount":0,"totalLoadTimeNanos":0,"evictionCount":-1,"expirationCount":-1,"putCount":10000,"removeCount":0,"nativeMetrics":{"mappings":10000}}</x:v>
      </x:c>
      <x:c r="AZ292" s="44" t="str">
        <x:v>{"provider":"ehcache","currentEntries":10000,"requestCount":122371584,"hitCount":116291292,"missCount":6080292,"hitRate":0.9503128765580088,"loadSuccessCount":0,"loadFailureCount":0,"totalLoadTimeNanos":0,"evictionCount":-1,"expirationCount":-1,"putCount":15000,"removeCount":0,"nativeMetrics":{"mappings":10000}}</x:v>
      </x:c>
      <x:c r="BA292" s="43" t="n">
        <x:v>10000</x:v>
      </x:c>
      <x:c r="BB292" s="43" t="n">
        <x:v>122371584</x:v>
      </x:c>
      <x:c r="BC292" s="43" t="n">
        <x:v>116291292</x:v>
      </x:c>
      <x:c r="BD292" s="43" t="n">
        <x:v>6080292</x:v>
      </x:c>
      <x:c r="BE292" s="48" t="n">
        <x:v>0.9503128765580088</x:v>
      </x:c>
      <x:c r="BF292" s="43" t="n">
        <x:v>0</x:v>
      </x:c>
      <x:c r="BG292" s="43" t="n">
        <x:v>0</x:v>
      </x:c>
      <x:c r="BH292" s="43" t="n">
        <x:v>0</x:v>
      </x:c>
      <x:c r="BI292" s="43" t="n">
        <x:v>-1</x:v>
      </x:c>
      <x:c r="BJ292" s="43" t="n">
        <x:v>-1</x:v>
      </x:c>
      <x:c r="BK292" s="43" t="n">
        <x:v>15000</x:v>
      </x:c>
      <x:c r="BL292" s="43" t="n">
        <x:v>0</x:v>
      </x:c>
      <x:c r="BM292" s="44" t="str">
        <x:v>{"mappings":10000}</x:v>
      </x:c>
    </x:row>
    <x:row r="293">
      <x:c r="A293" s="34" t="str">
        <x:v>article1-unified-v4-2-fb3f101b-20260903-000401-default-f05-p6-ehcache</x:v>
      </x:c>
      <x:c r="B293" s="34" t="str">
        <x:v>default</x:v>
      </x:c>
      <x:c r="C293" s="34" t="str">
        <x:v>ehcache</x:v>
      </x:c>
      <x:c r="D293" s="34" t="str">
        <x:v>ehcache</x:v>
      </x:c>
      <x:c r="E293" s="34" t="str">
        <x:v>current-provider-primary-comparison</x:v>
      </x:c>
      <x:c r="F293" s="36" t="n">
        <x:v>5</x:v>
      </x:c>
      <x:c r="G293" s="36" t="n">
        <x:v>5</x:v>
      </x:c>
      <x:c r="H293" s="36" t="n">
        <x:v>6</x:v>
      </x:c>
      <x:c r="I293" s="36" t="n">
        <x:v>1</x:v>
      </x:c>
      <x:c r="J293" s="34" t="str">
        <x:v>redeploy</x:v>
      </x:c>
      <x:c r="K293" s="34" t="str">
        <x:v>cache-semantics</x:v>
      </x:c>
      <x:c r="L293" s="45" t="b">
        <x:v>1</x:v>
      </x:c>
      <x:c r="M293" s="36" t="n">
        <x:v>648580617</x:v>
      </x:c>
      <x:c r="N293" s="34" t="str">
        <x:v>bcfa144271bd10c17dc9c6f6a6f8819d8571bde3bb04884a7368ce6d62b186b3</x:v>
      </x:c>
      <x:c r="O293" s="43" t="n">
        <x:v>10000</x:v>
      </x:c>
      <x:c r="P293" s="43" t="n">
        <x:v>400000</x:v>
      </x:c>
      <x:c r="Q293" s="36" t="n">
        <x:v>8</x:v>
      </x:c>
      <x:c r="R293" s="42" t="n">
        <x:v>95</x:v>
      </x:c>
      <x:c r="S293" s="43" t="n">
        <x:v>512</x:v>
      </x:c>
      <x:c r="T293" s="43" t="n">
        <x:v>50000</x:v>
      </x:c>
      <x:c r="U293" s="46" t="n">
        <x:v>3</x:v>
      </x:c>
      <x:c r="V293" s="46" t="n">
        <x:v>5</x:v>
      </x:c>
      <x:c r="W293" s="43" t="n">
        <x:v>300</x:v>
      </x:c>
      <x:c r="X293" s="34" t="str">
        <x:v>uniform</x:v>
      </x:c>
      <x:c r="Y293" s="42" t="n">
        <x:v>10</x:v>
      </x:c>
      <x:c r="Z293" s="34" t="str">
        <x:v>strict</x:v>
      </x:c>
      <x:c r="AA293" s="36" t="n">
        <x:v>64</x:v>
      </x:c>
      <x:c r="AB293" s="43" t="n">
        <x:v>78180608</x:v>
      </x:c>
      <x:c r="AC293" s="43" t="n">
        <x:v>3040039601</x:v>
      </x:c>
      <x:c r="AD293" s="43" t="n">
        <x:v>40039601</x:v>
      </x:c>
      <x:c r="AE293" s="43" t="n">
        <x:v>1797346.0029451312</x:v>
      </x:c>
      <x:c r="AF293" s="43" t="n">
        <x:v>26815501.809870623</x:v>
      </x:c>
      <x:c r="AG293" s="43" t="n">
        <x:v>134179584</x:v>
      </x:c>
      <x:c r="AH293" s="43" t="n">
        <x:v>5003806565</x:v>
      </x:c>
      <x:c r="AI293" s="43" t="n">
        <x:v>3806565</x:v>
      </x:c>
      <x:c r="AJ293" s="43" t="n">
        <x:v>26815501.809870623</x:v>
      </x:c>
      <x:c r="AK293" s="43" t="n">
        <x:v>134179584</x:v>
      </x:c>
      <x:c r="AL293" s="43" t="n">
        <x:v>0</x:v>
      </x:c>
      <x:c r="AM293" s="43" t="n">
        <x:v>317976.4083127428</x:v>
      </x:c>
      <x:c r="AN293" s="43" t="n">
        <x:v>160</x:v>
      </x:c>
      <x:c r="AO293" s="43" t="n">
        <x:v>261</x:v>
      </x:c>
      <x:c r="AP293" s="43" t="n">
        <x:v>461</x:v>
      </x:c>
      <x:c r="AQ293" s="43" t="n">
        <x:v>2096556</x:v>
      </x:c>
      <x:c r="AR293" s="43" t="n">
        <x:v>1</x:v>
      </x:c>
      <x:c r="AS293" s="45" t="b">
        <x:v>1</x:v>
      </x:c>
      <x:c r="AT293" s="43" t="n">
        <x:v>10000</x:v>
      </x:c>
      <x:c r="AU293" s="48" t="n">
        <x:v>0.9503263477102448</x:v>
      </x:c>
      <x:c r="AV293" s="43" t="n">
        <x:v>10000</x:v>
      </x:c>
      <x:c r="AW293" s="48" t="n">
        <x:v>0.9503263477102448</x:v>
      </x:c>
      <x:c r="AX293" s="45" t="b">
        <x:v>1</x:v>
      </x:c>
      <x:c r="AY293" s="44" t="str">
        <x:v>{"provider":"ehcache","currentEntries":10000,"requestCount":134179584,"hitCount":127514394,"missCount":6665190,"hitRate":0.9503263477102448,"loadSuccessCount":0,"loadFailureCount":0,"totalLoadTimeNanos":0,"evictionCount":-1,"expirationCount":-1,"putCount":10000,"removeCount":0,"nativeMetrics":{"mappings":10000}}</x:v>
      </x:c>
      <x:c r="AZ293" s="44" t="str">
        <x:v>{"provider":"ehcache","currentEntries":10000,"requestCount":134179584,"hitCount":127514394,"missCount":6665190,"hitRate":0.9503263477102448,"loadSuccessCount":0,"loadFailureCount":0,"totalLoadTimeNanos":0,"evictionCount":-1,"expirationCount":-1,"putCount":15000,"removeCount":0,"nativeMetrics":{"mappings":10000}}</x:v>
      </x:c>
      <x:c r="BA293" s="43" t="n">
        <x:v>10000</x:v>
      </x:c>
      <x:c r="BB293" s="43" t="n">
        <x:v>134179584</x:v>
      </x:c>
      <x:c r="BC293" s="43" t="n">
        <x:v>127514394</x:v>
      </x:c>
      <x:c r="BD293" s="43" t="n">
        <x:v>6665190</x:v>
      </x:c>
      <x:c r="BE293" s="48" t="n">
        <x:v>0.9503263477102448</x:v>
      </x:c>
      <x:c r="BF293" s="43" t="n">
        <x:v>0</x:v>
      </x:c>
      <x:c r="BG293" s="43" t="n">
        <x:v>0</x:v>
      </x:c>
      <x:c r="BH293" s="43" t="n">
        <x:v>0</x:v>
      </x:c>
      <x:c r="BI293" s="43" t="n">
        <x:v>-1</x:v>
      </x:c>
      <x:c r="BJ293" s="43" t="n">
        <x:v>-1</x:v>
      </x:c>
      <x:c r="BK293" s="43" t="n">
        <x:v>15000</x:v>
      </x:c>
      <x:c r="BL293" s="43" t="n">
        <x:v>0</x:v>
      </x:c>
      <x:c r="BM293" s="44" t="str">
        <x:v>{"mappings":10000}</x:v>
      </x:c>
    </x:row>
    <x:row r="294">
      <x:c r="A294" s="34" t="str">
        <x:v>article1-unified-v4-2-fb3f101b-20260903-000401-default-f05-p6-ehcache</x:v>
      </x:c>
      <x:c r="B294" s="34" t="str">
        <x:v>default</x:v>
      </x:c>
      <x:c r="C294" s="34" t="str">
        <x:v>ehcache</x:v>
      </x:c>
      <x:c r="D294" s="34" t="str">
        <x:v>ehcache</x:v>
      </x:c>
      <x:c r="E294" s="34" t="str">
        <x:v>current-provider-primary-comparison</x:v>
      </x:c>
      <x:c r="F294" s="36" t="n">
        <x:v>5</x:v>
      </x:c>
      <x:c r="G294" s="36" t="n">
        <x:v>5</x:v>
      </x:c>
      <x:c r="H294" s="36" t="n">
        <x:v>6</x:v>
      </x:c>
      <x:c r="I294" s="36" t="n">
        <x:v>2</x:v>
      </x:c>
      <x:c r="J294" s="34" t="str">
        <x:v>initial</x:v>
      </x:c>
      <x:c r="K294" s="34" t="str">
        <x:v>cache-semantics</x:v>
      </x:c>
      <x:c r="L294" s="45" t="b">
        <x:v>1</x:v>
      </x:c>
      <x:c r="M294" s="36" t="n">
        <x:v>681442610</x:v>
      </x:c>
      <x:c r="N294" s="34" t="str">
        <x:v>6004b5d35d3f44ddcdd5f00ff160f8c46199fad46729e7e512a45aa23375c89b</x:v>
      </x:c>
      <x:c r="O294" s="43" t="n">
        <x:v>10000</x:v>
      </x:c>
      <x:c r="P294" s="43" t="n">
        <x:v>400000</x:v>
      </x:c>
      <x:c r="Q294" s="36" t="n">
        <x:v>8</x:v>
      </x:c>
      <x:c r="R294" s="42" t="n">
        <x:v>95</x:v>
      </x:c>
      <x:c r="S294" s="43" t="n">
        <x:v>512</x:v>
      </x:c>
      <x:c r="T294" s="43" t="n">
        <x:v>50000</x:v>
      </x:c>
      <x:c r="U294" s="46" t="n">
        <x:v>3</x:v>
      </x:c>
      <x:c r="V294" s="46" t="n">
        <x:v>5</x:v>
      </x:c>
      <x:c r="W294" s="43" t="n">
        <x:v>300</x:v>
      </x:c>
      <x:c r="X294" s="34" t="str">
        <x:v>uniform</x:v>
      </x:c>
      <x:c r="Y294" s="42" t="n">
        <x:v>10</x:v>
      </x:c>
      <x:c r="Z294" s="34" t="str">
        <x:v>strict</x:v>
      </x:c>
      <x:c r="AA294" s="36" t="n">
        <x:v>64</x:v>
      </x:c>
      <x:c r="AB294" s="43" t="n">
        <x:v>82122752</x:v>
      </x:c>
      <x:c r="AC294" s="43" t="n">
        <x:v>3029265448</x:v>
      </x:c>
      <x:c r="AD294" s="43" t="n">
        <x:v>29265448</x:v>
      </x:c>
      <x:c r="AE294" s="43" t="n">
        <x:v>1763271.3055631034</x:v>
      </x:c>
      <x:c r="AF294" s="43" t="n">
        <x:v>25235587.305302635</x:v>
      </x:c>
      <x:c r="AG294" s="43" t="n">
        <x:v>126231040</x:v>
      </x:c>
      <x:c r="AH294" s="43" t="n">
        <x:v>5002104309</x:v>
      </x:c>
      <x:c r="AI294" s="43" t="n">
        <x:v>2104309</x:v>
      </x:c>
      <x:c r="AJ294" s="43" t="n">
        <x:v>25235587.305302635</x:v>
      </x:c>
      <x:c r="AK294" s="43" t="n">
        <x:v>126231040</x:v>
      </x:c>
      <x:c r="AL294" s="43" t="n">
        <x:v>0</x:v>
      </x:c>
      <x:c r="AM294" s="43" t="n">
        <x:v>350343.3434834807</x:v>
      </x:c>
      <x:c r="AN294" s="43" t="n">
        <x:v>171</x:v>
      </x:c>
      <x:c r="AO294" s="43" t="n">
        <x:v>311</x:v>
      </x:c>
      <x:c r="AP294" s="43" t="n">
        <x:v>541</x:v>
      </x:c>
      <x:c r="AQ294" s="43" t="n">
        <x:v>1972360</x:v>
      </x:c>
      <x:c r="AR294" s="43" t="n">
        <x:v>1</x:v>
      </x:c>
      <x:c r="AS294" s="45" t="b">
        <x:v>1</x:v>
      </x:c>
      <x:c r="AT294" s="43" t="n">
        <x:v>10000</x:v>
      </x:c>
      <x:c r="AU294" s="48" t="n">
        <x:v>0.9504055024817984</x:v>
      </x:c>
      <x:c r="AV294" s="43" t="n">
        <x:v>10000</x:v>
      </x:c>
      <x:c r="AW294" s="48" t="n">
        <x:v>0.9504055024817984</x:v>
      </x:c>
      <x:c r="AX294" s="45" t="b">
        <x:v>1</x:v>
      </x:c>
      <x:c r="AY294" s="44" t="str">
        <x:v>{"provider":"ehcache","currentEntries":10000,"requestCount":126231040,"hitCount":119970675,"missCount":6260365,"hitRate":0.9504055024817984,"loadSuccessCount":0,"loadFailureCount":0,"totalLoadTimeNanos":0,"evictionCount":-1,"expirationCount":-1,"putCount":10000,"removeCount":0,"nativeMetrics":{"mappings":10000}}</x:v>
      </x:c>
      <x:c r="AZ294" s="44" t="str">
        <x:v>{"provider":"ehcache","currentEntries":10000,"requestCount":126231040,"hitCount":119970675,"missCount":6260365,"hitRate":0.9504055024817984,"loadSuccessCount":0,"loadFailureCount":0,"totalLoadTimeNanos":0,"evictionCount":-1,"expirationCount":-1,"putCount":15000,"removeCount":0,"nativeMetrics":{"mappings":10000}}</x:v>
      </x:c>
      <x:c r="BA294" s="43" t="n">
        <x:v>10000</x:v>
      </x:c>
      <x:c r="BB294" s="43" t="n">
        <x:v>126231040</x:v>
      </x:c>
      <x:c r="BC294" s="43" t="n">
        <x:v>119970675</x:v>
      </x:c>
      <x:c r="BD294" s="43" t="n">
        <x:v>6260365</x:v>
      </x:c>
      <x:c r="BE294" s="48" t="n">
        <x:v>0.9504055024817984</x:v>
      </x:c>
      <x:c r="BF294" s="43" t="n">
        <x:v>0</x:v>
      </x:c>
      <x:c r="BG294" s="43" t="n">
        <x:v>0</x:v>
      </x:c>
      <x:c r="BH294" s="43" t="n">
        <x:v>0</x:v>
      </x:c>
      <x:c r="BI294" s="43" t="n">
        <x:v>-1</x:v>
      </x:c>
      <x:c r="BJ294" s="43" t="n">
        <x:v>-1</x:v>
      </x:c>
      <x:c r="BK294" s="43" t="n">
        <x:v>15000</x:v>
      </x:c>
      <x:c r="BL294" s="43" t="n">
        <x:v>0</x:v>
      </x:c>
      <x:c r="BM294" s="44" t="str">
        <x:v>{"mappings":10000}</x:v>
      </x:c>
    </x:row>
    <x:row r="295">
      <x:c r="A295" s="34" t="str">
        <x:v>article1-unified-v4-2-fb3f101b-20260903-000401-default-f05-p6-ehcache</x:v>
      </x:c>
      <x:c r="B295" s="34" t="str">
        <x:v>default</x:v>
      </x:c>
      <x:c r="C295" s="34" t="str">
        <x:v>ehcache</x:v>
      </x:c>
      <x:c r="D295" s="34" t="str">
        <x:v>ehcache</x:v>
      </x:c>
      <x:c r="E295" s="34" t="str">
        <x:v>current-provider-primary-comparison</x:v>
      </x:c>
      <x:c r="F295" s="36" t="n">
        <x:v>5</x:v>
      </x:c>
      <x:c r="G295" s="36" t="n">
        <x:v>5</x:v>
      </x:c>
      <x:c r="H295" s="36" t="n">
        <x:v>6</x:v>
      </x:c>
      <x:c r="I295" s="36" t="n">
        <x:v>2</x:v>
      </x:c>
      <x:c r="J295" s="34" t="str">
        <x:v>redeploy</x:v>
      </x:c>
      <x:c r="K295" s="34" t="str">
        <x:v>cache-semantics</x:v>
      </x:c>
      <x:c r="L295" s="45" t="b">
        <x:v>1</x:v>
      </x:c>
      <x:c r="M295" s="36" t="n">
        <x:v>681442610</x:v>
      </x:c>
      <x:c r="N295" s="34" t="str">
        <x:v>6004b5d35d3f44ddcdd5f00ff160f8c46199fad46729e7e512a45aa23375c89b</x:v>
      </x:c>
      <x:c r="O295" s="43" t="n">
        <x:v>10000</x:v>
      </x:c>
      <x:c r="P295" s="43" t="n">
        <x:v>400000</x:v>
      </x:c>
      <x:c r="Q295" s="36" t="n">
        <x:v>8</x:v>
      </x:c>
      <x:c r="R295" s="42" t="n">
        <x:v>95</x:v>
      </x:c>
      <x:c r="S295" s="43" t="n">
        <x:v>512</x:v>
      </x:c>
      <x:c r="T295" s="43" t="n">
        <x:v>50000</x:v>
      </x:c>
      <x:c r="U295" s="46" t="n">
        <x:v>3</x:v>
      </x:c>
      <x:c r="V295" s="46" t="n">
        <x:v>5</x:v>
      </x:c>
      <x:c r="W295" s="43" t="n">
        <x:v>300</x:v>
      </x:c>
      <x:c r="X295" s="34" t="str">
        <x:v>uniform</x:v>
      </x:c>
      <x:c r="Y295" s="42" t="n">
        <x:v>10</x:v>
      </x:c>
      <x:c r="Z295" s="34" t="str">
        <x:v>strict</x:v>
      </x:c>
      <x:c r="AA295" s="36" t="n">
        <x:v>64</x:v>
      </x:c>
      <x:c r="AB295" s="43" t="n">
        <x:v>76222976</x:v>
      </x:c>
      <x:c r="AC295" s="43" t="n">
        <x:v>3029967833</x:v>
      </x:c>
      <x:c r="AD295" s="43" t="n">
        <x:v>29967833</x:v>
      </x:c>
      <x:c r="AE295" s="43" t="n">
        <x:v>1707077.1663748133</x:v>
      </x:c>
      <x:c r="AF295" s="43" t="n">
        <x:v>25644715.143657077</x:v>
      </x:c>
      <x:c r="AG295" s="43" t="n">
        <x:v>128271872</x:v>
      </x:c>
      <x:c r="AH295" s="43" t="n">
        <x:v>5001883284</x:v>
      </x:c>
      <x:c r="AI295" s="43" t="n">
        <x:v>1883284</x:v>
      </x:c>
      <x:c r="AJ295" s="43" t="n">
        <x:v>25644715.143657077</x:v>
      </x:c>
      <x:c r="AK295" s="43" t="n">
        <x:v>128271872</x:v>
      </x:c>
      <x:c r="AL295" s="43" t="n">
        <x:v>0</x:v>
      </x:c>
      <x:c r="AM295" s="43" t="n">
        <x:v>213099.45355759523</x:v>
      </x:c>
      <x:c r="AN295" s="43" t="n">
        <x:v>161</x:v>
      </x:c>
      <x:c r="AO295" s="43" t="n">
        <x:v>280</x:v>
      </x:c>
      <x:c r="AP295" s="43" t="n">
        <x:v>501</x:v>
      </x:c>
      <x:c r="AQ295" s="43" t="n">
        <x:v>2004248</x:v>
      </x:c>
      <x:c r="AR295" s="43" t="n">
        <x:v>1</x:v>
      </x:c>
      <x:c r="AS295" s="45" t="b">
        <x:v>1</x:v>
      </x:c>
      <x:c r="AT295" s="43" t="n">
        <x:v>10000</x:v>
      </x:c>
      <x:c r="AU295" s="48" t="n">
        <x:v>0.9504082391500454</x:v>
      </x:c>
      <x:c r="AV295" s="43" t="n">
        <x:v>10000</x:v>
      </x:c>
      <x:c r="AW295" s="48" t="n">
        <x:v>0.9504082391500454</x:v>
      </x:c>
      <x:c r="AX295" s="45" t="b">
        <x:v>1</x:v>
      </x:c>
      <x:c r="AY295" s="44" t="str">
        <x:v>{"provider":"ehcache","currentEntries":10000,"requestCount":128271872,"hitCount":121910644,"missCount":6361228,"hitRate":0.9504082391500454,"loadSuccessCount":0,"loadFailureCount":0,"totalLoadTimeNanos":0,"evictionCount":-1,"expirationCount":-1,"putCount":10000,"removeCount":0,"nativeMetrics":{"mappings":10000}}</x:v>
      </x:c>
      <x:c r="AZ295" s="44" t="str">
        <x:v>{"provider":"ehcache","currentEntries":10000,"requestCount":128271872,"hitCount":121910644,"missCount":6361228,"hitRate":0.9504082391500454,"loadSuccessCount":0,"loadFailureCount":0,"totalLoadTimeNanos":0,"evictionCount":-1,"expirationCount":-1,"putCount":15000,"removeCount":0,"nativeMetrics":{"mappings":10000}}</x:v>
      </x:c>
      <x:c r="BA295" s="43" t="n">
        <x:v>10000</x:v>
      </x:c>
      <x:c r="BB295" s="43" t="n">
        <x:v>128271872</x:v>
      </x:c>
      <x:c r="BC295" s="43" t="n">
        <x:v>121910644</x:v>
      </x:c>
      <x:c r="BD295" s="43" t="n">
        <x:v>6361228</x:v>
      </x:c>
      <x:c r="BE295" s="48" t="n">
        <x:v>0.9504082391500454</x:v>
      </x:c>
      <x:c r="BF295" s="43" t="n">
        <x:v>0</x:v>
      </x:c>
      <x:c r="BG295" s="43" t="n">
        <x:v>0</x:v>
      </x:c>
      <x:c r="BH295" s="43" t="n">
        <x:v>0</x:v>
      </x:c>
      <x:c r="BI295" s="43" t="n">
        <x:v>-1</x:v>
      </x:c>
      <x:c r="BJ295" s="43" t="n">
        <x:v>-1</x:v>
      </x:c>
      <x:c r="BK295" s="43" t="n">
        <x:v>15000</x:v>
      </x:c>
      <x:c r="BL295" s="43" t="n">
        <x:v>0</x:v>
      </x:c>
      <x:c r="BM295" s="44" t="str">
        <x:v>{"mappings":10000}</x:v>
      </x:c>
    </x:row>
    <x:row r="296">
      <x:c r="A296" s="34" t="str">
        <x:v>article1-unified-v4-2-fb3f101b-20260903-000401-default-f05-p6-ehcache</x:v>
      </x:c>
      <x:c r="B296" s="34" t="str">
        <x:v>default</x:v>
      </x:c>
      <x:c r="C296" s="34" t="str">
        <x:v>ehcache</x:v>
      </x:c>
      <x:c r="D296" s="34" t="str">
        <x:v>ehcache</x:v>
      </x:c>
      <x:c r="E296" s="34" t="str">
        <x:v>current-provider-primary-comparison</x:v>
      </x:c>
      <x:c r="F296" s="36" t="n">
        <x:v>5</x:v>
      </x:c>
      <x:c r="G296" s="36" t="n">
        <x:v>5</x:v>
      </x:c>
      <x:c r="H296" s="36" t="n">
        <x:v>6</x:v>
      </x:c>
      <x:c r="I296" s="36" t="n">
        <x:v>3</x:v>
      </x:c>
      <x:c r="J296" s="34" t="str">
        <x:v>initial</x:v>
      </x:c>
      <x:c r="K296" s="34" t="str">
        <x:v>cache-semantics</x:v>
      </x:c>
      <x:c r="L296" s="45" t="b">
        <x:v>1</x:v>
      </x:c>
      <x:c r="M296" s="36" t="n">
        <x:v>1680357415</x:v>
      </x:c>
      <x:c r="N296" s="34" t="str">
        <x:v>7fd56c55e07780880dfc2de7b34f4b776b7447364ab7153414be84b7c5d590b9</x:v>
      </x:c>
      <x:c r="O296" s="43" t="n">
        <x:v>10000</x:v>
      </x:c>
      <x:c r="P296" s="43" t="n">
        <x:v>400000</x:v>
      </x:c>
      <x:c r="Q296" s="36" t="n">
        <x:v>8</x:v>
      </x:c>
      <x:c r="R296" s="42" t="n">
        <x:v>95</x:v>
      </x:c>
      <x:c r="S296" s="43" t="n">
        <x:v>512</x:v>
      </x:c>
      <x:c r="T296" s="43" t="n">
        <x:v>50000</x:v>
      </x:c>
      <x:c r="U296" s="46" t="n">
        <x:v>3</x:v>
      </x:c>
      <x:c r="V296" s="46" t="n">
        <x:v>5</x:v>
      </x:c>
      <x:c r="W296" s="43" t="n">
        <x:v>300</x:v>
      </x:c>
      <x:c r="X296" s="34" t="str">
        <x:v>uniform</x:v>
      </x:c>
      <x:c r="Y296" s="42" t="n">
        <x:v>10</x:v>
      </x:c>
      <x:c r="Z296" s="34" t="str">
        <x:v>strict</x:v>
      </x:c>
      <x:c r="AA296" s="36" t="n">
        <x:v>64</x:v>
      </x:c>
      <x:c r="AB296" s="43" t="n">
        <x:v>81873152</x:v>
      </x:c>
      <x:c r="AC296" s="43" t="n">
        <x:v>3052177153</x:v>
      </x:c>
      <x:c r="AD296" s="43" t="n">
        <x:v>52177153</x:v>
      </x:c>
      <x:c r="AE296" s="43" t="n">
        <x:v>1433221.207660854</x:v>
      </x:c>
      <x:c r="AF296" s="43" t="n">
        <x:v>26171170.224563286</x:v>
      </x:c>
      <x:c r="AG296" s="43" t="n">
        <x:v>130913792</x:v>
      </x:c>
      <x:c r="AH296" s="43" t="n">
        <x:v>5002213920</x:v>
      </x:c>
      <x:c r="AI296" s="43" t="n">
        <x:v>2213920</x:v>
      </x:c>
      <x:c r="AJ296" s="43" t="n">
        <x:v>26171170.224563286</x:v>
      </x:c>
      <x:c r="AK296" s="43" t="n">
        <x:v>130913792</x:v>
      </x:c>
      <x:c r="AL296" s="43" t="n">
        <x:v>0</x:v>
      </x:c>
      <x:c r="AM296" s="43" t="n">
        <x:v>405134.11883977364</x:v>
      </x:c>
      <x:c r="AN296" s="43" t="n">
        <x:v>161</x:v>
      </x:c>
      <x:c r="AO296" s="43" t="n">
        <x:v>270</x:v>
      </x:c>
      <x:c r="AP296" s="43" t="n">
        <x:v>481</x:v>
      </x:c>
      <x:c r="AQ296" s="43" t="n">
        <x:v>2045528</x:v>
      </x:c>
      <x:c r="AR296" s="43" t="n">
        <x:v>1</x:v>
      </x:c>
      <x:c r="AS296" s="45" t="b">
        <x:v>1</x:v>
      </x:c>
      <x:c r="AT296" s="43" t="n">
        <x:v>10000</x:v>
      </x:c>
      <x:c r="AU296" s="48" t="n">
        <x:v>0.9501773502978205</x:v>
      </x:c>
      <x:c r="AV296" s="43" t="n">
        <x:v>10000</x:v>
      </x:c>
      <x:c r="AW296" s="48" t="n">
        <x:v>0.9501773502978205</x:v>
      </x:c>
      <x:c r="AX296" s="45" t="b">
        <x:v>1</x:v>
      </x:c>
      <x:c r="AY296" s="44" t="str">
        <x:v>{"provider":"ehcache","currentEntries":10000,"requestCount":130913792,"hitCount":124391320,"missCount":6522472,"hitRate":0.9501773502978205,"loadSuccessCount":0,"loadFailureCount":0,"totalLoadTimeNanos":0,"evictionCount":-1,"expirationCount":-1,"putCount":10000,"removeCount":0,"nativeMetrics":{"mappings":10000}}</x:v>
      </x:c>
      <x:c r="AZ296" s="44" t="str">
        <x:v>{"provider":"ehcache","currentEntries":10000,"requestCount":130913792,"hitCount":124391320,"missCount":6522472,"hitRate":0.9501773502978205,"loadSuccessCount":0,"loadFailureCount":0,"totalLoadTimeNanos":0,"evictionCount":-1,"expirationCount":-1,"putCount":15000,"removeCount":0,"nativeMetrics":{"mappings":10000}}</x:v>
      </x:c>
      <x:c r="BA296" s="43" t="n">
        <x:v>10000</x:v>
      </x:c>
      <x:c r="BB296" s="43" t="n">
        <x:v>130913792</x:v>
      </x:c>
      <x:c r="BC296" s="43" t="n">
        <x:v>124391320</x:v>
      </x:c>
      <x:c r="BD296" s="43" t="n">
        <x:v>6522472</x:v>
      </x:c>
      <x:c r="BE296" s="48" t="n">
        <x:v>0.9501773502978205</x:v>
      </x:c>
      <x:c r="BF296" s="43" t="n">
        <x:v>0</x:v>
      </x:c>
      <x:c r="BG296" s="43" t="n">
        <x:v>0</x:v>
      </x:c>
      <x:c r="BH296" s="43" t="n">
        <x:v>0</x:v>
      </x:c>
      <x:c r="BI296" s="43" t="n">
        <x:v>-1</x:v>
      </x:c>
      <x:c r="BJ296" s="43" t="n">
        <x:v>-1</x:v>
      </x:c>
      <x:c r="BK296" s="43" t="n">
        <x:v>15000</x:v>
      </x:c>
      <x:c r="BL296" s="43" t="n">
        <x:v>0</x:v>
      </x:c>
      <x:c r="BM296" s="44" t="str">
        <x:v>{"mappings":10000}</x:v>
      </x:c>
    </x:row>
    <x:row r="297">
      <x:c r="A297" s="34" t="str">
        <x:v>article1-unified-v4-2-fb3f101b-20260903-000401-default-f05-p6-ehcache</x:v>
      </x:c>
      <x:c r="B297" s="34" t="str">
        <x:v>default</x:v>
      </x:c>
      <x:c r="C297" s="34" t="str">
        <x:v>ehcache</x:v>
      </x:c>
      <x:c r="D297" s="34" t="str">
        <x:v>ehcache</x:v>
      </x:c>
      <x:c r="E297" s="34" t="str">
        <x:v>current-provider-primary-comparison</x:v>
      </x:c>
      <x:c r="F297" s="36" t="n">
        <x:v>5</x:v>
      </x:c>
      <x:c r="G297" s="36" t="n">
        <x:v>5</x:v>
      </x:c>
      <x:c r="H297" s="36" t="n">
        <x:v>6</x:v>
      </x:c>
      <x:c r="I297" s="36" t="n">
        <x:v>3</x:v>
      </x:c>
      <x:c r="J297" s="34" t="str">
        <x:v>redeploy</x:v>
      </x:c>
      <x:c r="K297" s="34" t="str">
        <x:v>cache-semantics</x:v>
      </x:c>
      <x:c r="L297" s="45" t="b">
        <x:v>1</x:v>
      </x:c>
      <x:c r="M297" s="36" t="n">
        <x:v>1680357415</x:v>
      </x:c>
      <x:c r="N297" s="34" t="str">
        <x:v>7fd56c55e07780880dfc2de7b34f4b776b7447364ab7153414be84b7c5d590b9</x:v>
      </x:c>
      <x:c r="O297" s="43" t="n">
        <x:v>10000</x:v>
      </x:c>
      <x:c r="P297" s="43" t="n">
        <x:v>400000</x:v>
      </x:c>
      <x:c r="Q297" s="36" t="n">
        <x:v>8</x:v>
      </x:c>
      <x:c r="R297" s="42" t="n">
        <x:v>95</x:v>
      </x:c>
      <x:c r="S297" s="43" t="n">
        <x:v>512</x:v>
      </x:c>
      <x:c r="T297" s="43" t="n">
        <x:v>50000</x:v>
      </x:c>
      <x:c r="U297" s="46" t="n">
        <x:v>3</x:v>
      </x:c>
      <x:c r="V297" s="46" t="n">
        <x:v>5</x:v>
      </x:c>
      <x:c r="W297" s="43" t="n">
        <x:v>300</x:v>
      </x:c>
      <x:c r="X297" s="34" t="str">
        <x:v>uniform</x:v>
      </x:c>
      <x:c r="Y297" s="42" t="n">
        <x:v>10</x:v>
      </x:c>
      <x:c r="Z297" s="34" t="str">
        <x:v>strict</x:v>
      </x:c>
      <x:c r="AA297" s="36" t="n">
        <x:v>64</x:v>
      </x:c>
      <x:c r="AB297" s="43" t="n">
        <x:v>79937792</x:v>
      </x:c>
      <x:c r="AC297" s="43" t="n">
        <x:v>3000534553</x:v>
      </x:c>
      <x:c r="AD297" s="43" t="n">
        <x:v>534553</x:v>
      </x:c>
      <x:c r="AE297" s="43" t="n">
        <x:v>1753594.6937627443</x:v>
      </x:c>
      <x:c r="AF297" s="43" t="n">
        <x:v>26544921.408210564</x:v>
      </x:c>
      <x:c r="AG297" s="43" t="n">
        <x:v>134138624</x:v>
      </x:c>
      <x:c r="AH297" s="43" t="n">
        <x:v>5053268832</x:v>
      </x:c>
      <x:c r="AI297" s="43" t="n">
        <x:v>53268832</x:v>
      </x:c>
      <x:c r="AJ297" s="43" t="n">
        <x:v>26544921.408210564</x:v>
      </x:c>
      <x:c r="AK297" s="43" t="n">
        <x:v>134138624</x:v>
      </x:c>
      <x:c r="AL297" s="43" t="n">
        <x:v>0</x:v>
      </x:c>
      <x:c r="AM297" s="43" t="n">
        <x:v>353056.80465091614</x:v>
      </x:c>
      <x:c r="AN297" s="43" t="n">
        <x:v>161</x:v>
      </x:c>
      <x:c r="AO297" s="43" t="n">
        <x:v>281</x:v>
      </x:c>
      <x:c r="AP297" s="43" t="n">
        <x:v>481</x:v>
      </x:c>
      <x:c r="AQ297" s="43" t="n">
        <x:v>2095916</x:v>
      </x:c>
      <x:c r="AR297" s="43" t="n">
        <x:v>1</x:v>
      </x:c>
      <x:c r="AS297" s="45" t="b">
        <x:v>1</x:v>
      </x:c>
      <x:c r="AT297" s="43" t="n">
        <x:v>10000</x:v>
      </x:c>
      <x:c r="AU297" s="48" t="n">
        <x:v>0.9501790923395785</x:v>
      </x:c>
      <x:c r="AV297" s="43" t="n">
        <x:v>10000</x:v>
      </x:c>
      <x:c r="AW297" s="48" t="n">
        <x:v>0.9501790923395785</x:v>
      </x:c>
      <x:c r="AX297" s="45" t="b">
        <x:v>1</x:v>
      </x:c>
      <x:c r="AY297" s="44" t="str">
        <x:v>{"provider":"ehcache","currentEntries":10000,"requestCount":134138624,"hitCount":127455716,"missCount":6682908,"hitRate":0.9501790923395785,"loadSuccessCount":0,"loadFailureCount":0,"totalLoadTimeNanos":0,"evictionCount":-1,"expirationCount":-1,"putCount":10000,"removeCount":0,"nativeMetrics":{"mappings":10000}}</x:v>
      </x:c>
      <x:c r="AZ297" s="44" t="str">
        <x:v>{"provider":"ehcache","currentEntries":10000,"requestCount":134138624,"hitCount":127455716,"missCount":6682908,"hitRate":0.9501790923395785,"loadSuccessCount":0,"loadFailureCount":0,"totalLoadTimeNanos":0,"evictionCount":-1,"expirationCount":-1,"putCount":15000,"removeCount":0,"nativeMetrics":{"mappings":10000}}</x:v>
      </x:c>
      <x:c r="BA297" s="43" t="n">
        <x:v>10000</x:v>
      </x:c>
      <x:c r="BB297" s="43" t="n">
        <x:v>134138624</x:v>
      </x:c>
      <x:c r="BC297" s="43" t="n">
        <x:v>127455716</x:v>
      </x:c>
      <x:c r="BD297" s="43" t="n">
        <x:v>6682908</x:v>
      </x:c>
      <x:c r="BE297" s="48" t="n">
        <x:v>0.9501790923395785</x:v>
      </x:c>
      <x:c r="BF297" s="43" t="n">
        <x:v>0</x:v>
      </x:c>
      <x:c r="BG297" s="43" t="n">
        <x:v>0</x:v>
      </x:c>
      <x:c r="BH297" s="43" t="n">
        <x:v>0</x:v>
      </x:c>
      <x:c r="BI297" s="43" t="n">
        <x:v>-1</x:v>
      </x:c>
      <x:c r="BJ297" s="43" t="n">
        <x:v>-1</x:v>
      </x:c>
      <x:c r="BK297" s="43" t="n">
        <x:v>15000</x:v>
      </x:c>
      <x:c r="BL297" s="43" t="n">
        <x:v>0</x:v>
      </x:c>
      <x:c r="BM297" s="44" t="str">
        <x:v>{"mappings":10000}</x:v>
      </x:c>
    </x:row>
    <x:row r="298">
      <x:c r="A298" s="34" t="str">
        <x:v>article1-unified-v4-2-fb3f101b-20260903-000401-default-f05-p6-ehcache</x:v>
      </x:c>
      <x:c r="B298" s="34" t="str">
        <x:v>default</x:v>
      </x:c>
      <x:c r="C298" s="34" t="str">
        <x:v>ehcache</x:v>
      </x:c>
      <x:c r="D298" s="34" t="str">
        <x:v>ehcache</x:v>
      </x:c>
      <x:c r="E298" s="34" t="str">
        <x:v>current-provider-primary-comparison</x:v>
      </x:c>
      <x:c r="F298" s="36" t="n">
        <x:v>5</x:v>
      </x:c>
      <x:c r="G298" s="36" t="n">
        <x:v>5</x:v>
      </x:c>
      <x:c r="H298" s="36" t="n">
        <x:v>6</x:v>
      </x:c>
      <x:c r="I298" s="36" t="n">
        <x:v>4</x:v>
      </x:c>
      <x:c r="J298" s="34" t="str">
        <x:v>initial</x:v>
      </x:c>
      <x:c r="K298" s="34" t="str">
        <x:v>cache-semantics</x:v>
      </x:c>
      <x:c r="L298" s="45" t="b">
        <x:v>1</x:v>
      </x:c>
      <x:c r="M298" s="36" t="n">
        <x:v>1131239936</x:v>
      </x:c>
      <x:c r="N298" s="34" t="str">
        <x:v>3a5209d570baf0beb6c3f6e9b35074a72fca123e15e1fa95c3b3bc779093a379</x:v>
      </x:c>
      <x:c r="O298" s="43" t="n">
        <x:v>10000</x:v>
      </x:c>
      <x:c r="P298" s="43" t="n">
        <x:v>400000</x:v>
      </x:c>
      <x:c r="Q298" s="36" t="n">
        <x:v>8</x:v>
      </x:c>
      <x:c r="R298" s="42" t="n">
        <x:v>95</x:v>
      </x:c>
      <x:c r="S298" s="43" t="n">
        <x:v>512</x:v>
      </x:c>
      <x:c r="T298" s="43" t="n">
        <x:v>50000</x:v>
      </x:c>
      <x:c r="U298" s="46" t="n">
        <x:v>3</x:v>
      </x:c>
      <x:c r="V298" s="46" t="n">
        <x:v>5</x:v>
      </x:c>
      <x:c r="W298" s="43" t="n">
        <x:v>300</x:v>
      </x:c>
      <x:c r="X298" s="34" t="str">
        <x:v>uniform</x:v>
      </x:c>
      <x:c r="Y298" s="42" t="n">
        <x:v>10</x:v>
      </x:c>
      <x:c r="Z298" s="34" t="str">
        <x:v>strict</x:v>
      </x:c>
      <x:c r="AA298" s="36" t="n">
        <x:v>64</x:v>
      </x:c>
      <x:c r="AB298" s="43" t="n">
        <x:v>69081600</x:v>
      </x:c>
      <x:c r="AC298" s="43" t="n">
        <x:v>3029713062</x:v>
      </x:c>
      <x:c r="AD298" s="43" t="n">
        <x:v>29713062</x:v>
      </x:c>
      <x:c r="AE298" s="43" t="n">
        <x:v>1042004.015466674</x:v>
      </x:c>
      <x:c r="AF298" s="43" t="n">
        <x:v>25568981.431689773</x:v>
      </x:c>
      <x:c r="AG298" s="43" t="n">
        <x:v>127897344</x:v>
      </x:c>
      <x:c r="AH298" s="43" t="n">
        <x:v>5002050799</x:v>
      </x:c>
      <x:c r="AI298" s="43" t="n">
        <x:v>2050799</x:v>
      </x:c>
      <x:c r="AJ298" s="43" t="n">
        <x:v>25568981.431689773</x:v>
      </x:c>
      <x:c r="AK298" s="43" t="n">
        <x:v>127897344</x:v>
      </x:c>
      <x:c r="AL298" s="43" t="n">
        <x:v>0</x:v>
      </x:c>
      <x:c r="AM298" s="43" t="n">
        <x:v>364394.0116654184</x:v>
      </x:c>
      <x:c r="AN298" s="43" t="n">
        <x:v>170</x:v>
      </x:c>
      <x:c r="AO298" s="43" t="n">
        <x:v>281</x:v>
      </x:c>
      <x:c r="AP298" s="43" t="n">
        <x:v>521</x:v>
      </x:c>
      <x:c r="AQ298" s="43" t="n">
        <x:v>1998396</x:v>
      </x:c>
      <x:c r="AR298" s="43" t="n">
        <x:v>1</x:v>
      </x:c>
      <x:c r="AS298" s="45" t="b">
        <x:v>1</x:v>
      </x:c>
      <x:c r="AT298" s="43" t="n">
        <x:v>10000</x:v>
      </x:c>
      <x:c r="AU298" s="48" t="n">
        <x:v>0.9505434139429823</x:v>
      </x:c>
      <x:c r="AV298" s="43" t="n">
        <x:v>10000</x:v>
      </x:c>
      <x:c r="AW298" s="48" t="n">
        <x:v>0.9505434139429823</x:v>
      </x:c>
      <x:c r="AX298" s="45" t="b">
        <x:v>1</x:v>
      </x:c>
      <x:c r="AY298" s="44" t="str">
        <x:v>{"provider":"ehcache","currentEntries":10000,"requestCount":127897344,"hitCount":121571978,"missCount":6325366,"hitRate":0.9505434139429823,"loadSuccessCount":0,"loadFailureCount":0,"totalLoadTimeNanos":0,"evictionCount":-1,"expirationCount":-1,"putCount":10000,"removeCount":0,"nativeMetrics":{"mappings":10000}}</x:v>
      </x:c>
      <x:c r="AZ298" s="44" t="str">
        <x:v>{"provider":"ehcache","currentEntries":10000,"requestCount":127897344,"hitCount":121571978,"missCount":6325366,"hitRate":0.9505434139429823,"loadSuccessCount":0,"loadFailureCount":0,"totalLoadTimeNanos":0,"evictionCount":-1,"expirationCount":-1,"putCount":15000,"removeCount":0,"nativeMetrics":{"mappings":10000}}</x:v>
      </x:c>
      <x:c r="BA298" s="43" t="n">
        <x:v>10000</x:v>
      </x:c>
      <x:c r="BB298" s="43" t="n">
        <x:v>127897344</x:v>
      </x:c>
      <x:c r="BC298" s="43" t="n">
        <x:v>121571978</x:v>
      </x:c>
      <x:c r="BD298" s="43" t="n">
        <x:v>6325366</x:v>
      </x:c>
      <x:c r="BE298" s="48" t="n">
        <x:v>0.9505434139429823</x:v>
      </x:c>
      <x:c r="BF298" s="43" t="n">
        <x:v>0</x:v>
      </x:c>
      <x:c r="BG298" s="43" t="n">
        <x:v>0</x:v>
      </x:c>
      <x:c r="BH298" s="43" t="n">
        <x:v>0</x:v>
      </x:c>
      <x:c r="BI298" s="43" t="n">
        <x:v>-1</x:v>
      </x:c>
      <x:c r="BJ298" s="43" t="n">
        <x:v>-1</x:v>
      </x:c>
      <x:c r="BK298" s="43" t="n">
        <x:v>15000</x:v>
      </x:c>
      <x:c r="BL298" s="43" t="n">
        <x:v>0</x:v>
      </x:c>
      <x:c r="BM298" s="44" t="str">
        <x:v>{"mappings":10000}</x:v>
      </x:c>
    </x:row>
    <x:row r="299">
      <x:c r="A299" s="34" t="str">
        <x:v>article1-unified-v4-2-fb3f101b-20260903-000401-default-f05-p6-ehcache</x:v>
      </x:c>
      <x:c r="B299" s="34" t="str">
        <x:v>default</x:v>
      </x:c>
      <x:c r="C299" s="34" t="str">
        <x:v>ehcache</x:v>
      </x:c>
      <x:c r="D299" s="34" t="str">
        <x:v>ehcache</x:v>
      </x:c>
      <x:c r="E299" s="34" t="str">
        <x:v>current-provider-primary-comparison</x:v>
      </x:c>
      <x:c r="F299" s="36" t="n">
        <x:v>5</x:v>
      </x:c>
      <x:c r="G299" s="36" t="n">
        <x:v>5</x:v>
      </x:c>
      <x:c r="H299" s="36" t="n">
        <x:v>6</x:v>
      </x:c>
      <x:c r="I299" s="36" t="n">
        <x:v>4</x:v>
      </x:c>
      <x:c r="J299" s="34" t="str">
        <x:v>redeploy</x:v>
      </x:c>
      <x:c r="K299" s="34" t="str">
        <x:v>cache-semantics</x:v>
      </x:c>
      <x:c r="L299" s="45" t="b">
        <x:v>1</x:v>
      </x:c>
      <x:c r="M299" s="36" t="n">
        <x:v>1131239936</x:v>
      </x:c>
      <x:c r="N299" s="34" t="str">
        <x:v>3a5209d570baf0beb6c3f6e9b35074a72fca123e15e1fa95c3b3bc779093a379</x:v>
      </x:c>
      <x:c r="O299" s="43" t="n">
        <x:v>10000</x:v>
      </x:c>
      <x:c r="P299" s="43" t="n">
        <x:v>400000</x:v>
      </x:c>
      <x:c r="Q299" s="36" t="n">
        <x:v>8</x:v>
      </x:c>
      <x:c r="R299" s="42" t="n">
        <x:v>95</x:v>
      </x:c>
      <x:c r="S299" s="43" t="n">
        <x:v>512</x:v>
      </x:c>
      <x:c r="T299" s="43" t="n">
        <x:v>50000</x:v>
      </x:c>
      <x:c r="U299" s="46" t="n">
        <x:v>3</x:v>
      </x:c>
      <x:c r="V299" s="46" t="n">
        <x:v>5</x:v>
      </x:c>
      <x:c r="W299" s="43" t="n">
        <x:v>300</x:v>
      </x:c>
      <x:c r="X299" s="34" t="str">
        <x:v>uniform</x:v>
      </x:c>
      <x:c r="Y299" s="42" t="n">
        <x:v>10</x:v>
      </x:c>
      <x:c r="Z299" s="34" t="str">
        <x:v>strict</x:v>
      </x:c>
      <x:c r="AA299" s="36" t="n">
        <x:v>64</x:v>
      </x:c>
      <x:c r="AB299" s="43" t="n">
        <x:v>75455744</x:v>
      </x:c>
      <x:c r="AC299" s="43" t="n">
        <x:v>3000600363</x:v>
      </x:c>
      <x:c r="AD299" s="43" t="n">
        <x:v>600363</x:v>
      </x:c>
      <x:c r="AE299" s="43" t="n">
        <x:v>1578985.8458129796</x:v>
      </x:c>
      <x:c r="AF299" s="43" t="n">
        <x:v>22614838.470983703</x:v>
      </x:c>
      <x:c r="AG299" s="43" t="n">
        <x:v>113113600</x:v>
      </x:c>
      <x:c r="AH299" s="43" t="n">
        <x:v>5001742557</x:v>
      </x:c>
      <x:c r="AI299" s="43" t="n">
        <x:v>1742557</x:v>
      </x:c>
      <x:c r="AJ299" s="43" t="n">
        <x:v>22614838.470983703</x:v>
      </x:c>
      <x:c r="AK299" s="43" t="n">
        <x:v>113113600</x:v>
      </x:c>
      <x:c r="AL299" s="43" t="n">
        <x:v>0</x:v>
      </x:c>
      <x:c r="AM299" s="43" t="n">
        <x:v>332112.0245741643</x:v>
      </x:c>
      <x:c r="AN299" s="43" t="n">
        <x:v>170</x:v>
      </x:c>
      <x:c r="AO299" s="43" t="n">
        <x:v>351</x:v>
      </x:c>
      <x:c r="AP299" s="43" t="n">
        <x:v>622</x:v>
      </x:c>
      <x:c r="AQ299" s="43" t="n">
        <x:v>1767400</x:v>
      </x:c>
      <x:c r="AR299" s="43" t="n">
        <x:v>1</x:v>
      </x:c>
      <x:c r="AS299" s="45" t="b">
        <x:v>1</x:v>
      </x:c>
      <x:c r="AT299" s="43" t="n">
        <x:v>10000</x:v>
      </x:c>
      <x:c r="AU299" s="48" t="n">
        <x:v>0.9505483779138848</x:v>
      </x:c>
      <x:c r="AV299" s="43" t="n">
        <x:v>10000</x:v>
      </x:c>
      <x:c r="AW299" s="48" t="n">
        <x:v>0.9505483779138848</x:v>
      </x:c>
      <x:c r="AX299" s="45" t="b">
        <x:v>1</x:v>
      </x:c>
      <x:c r="AY299" s="44" t="str">
        <x:v>{"provider":"ehcache","currentEntries":10000,"requestCount":113113600,"hitCount":107519949,"missCount":5593651,"hitRate":0.9505483779138848,"loadSuccessCount":0,"loadFailureCount":0,"totalLoadTimeNanos":0,"evictionCount":-1,"expirationCount":-1,"putCount":10000,"removeCount":0,"nativeMetrics":{"mappings":10000}}</x:v>
      </x:c>
      <x:c r="AZ299" s="44" t="str">
        <x:v>{"provider":"ehcache","currentEntries":10000,"requestCount":113113600,"hitCount":107519949,"missCount":5593651,"hitRate":0.9505483779138848,"loadSuccessCount":0,"loadFailureCount":0,"totalLoadTimeNanos":0,"evictionCount":-1,"expirationCount":-1,"putCount":15000,"removeCount":0,"nativeMetrics":{"mappings":10000}}</x:v>
      </x:c>
      <x:c r="BA299" s="43" t="n">
        <x:v>10000</x:v>
      </x:c>
      <x:c r="BB299" s="43" t="n">
        <x:v>113113600</x:v>
      </x:c>
      <x:c r="BC299" s="43" t="n">
        <x:v>107519949</x:v>
      </x:c>
      <x:c r="BD299" s="43" t="n">
        <x:v>5593651</x:v>
      </x:c>
      <x:c r="BE299" s="48" t="n">
        <x:v>0.9505483779138848</x:v>
      </x:c>
      <x:c r="BF299" s="43" t="n">
        <x:v>0</x:v>
      </x:c>
      <x:c r="BG299" s="43" t="n">
        <x:v>0</x:v>
      </x:c>
      <x:c r="BH299" s="43" t="n">
        <x:v>0</x:v>
      </x:c>
      <x:c r="BI299" s="43" t="n">
        <x:v>-1</x:v>
      </x:c>
      <x:c r="BJ299" s="43" t="n">
        <x:v>-1</x:v>
      </x:c>
      <x:c r="BK299" s="43" t="n">
        <x:v>15000</x:v>
      </x:c>
      <x:c r="BL299" s="43" t="n">
        <x:v>0</x:v>
      </x:c>
      <x:c r="BM299" s="44" t="str">
        <x:v>{"mappings":10000}</x:v>
      </x:c>
    </x:row>
    <x:row r="300">
      <x:c r="A300" s="34" t="str">
        <x:v>article1-unified-v4-2-fb3f101b-20260903-000401-default-f05-p6-ehcache</x:v>
      </x:c>
      <x:c r="B300" s="34" t="str">
        <x:v>default</x:v>
      </x:c>
      <x:c r="C300" s="34" t="str">
        <x:v>ehcache</x:v>
      </x:c>
      <x:c r="D300" s="34" t="str">
        <x:v>ehcache</x:v>
      </x:c>
      <x:c r="E300" s="34" t="str">
        <x:v>current-provider-primary-comparison</x:v>
      </x:c>
      <x:c r="F300" s="36" t="n">
        <x:v>5</x:v>
      </x:c>
      <x:c r="G300" s="36" t="n">
        <x:v>5</x:v>
      </x:c>
      <x:c r="H300" s="36" t="n">
        <x:v>6</x:v>
      </x:c>
      <x:c r="I300" s="36" t="n">
        <x:v>5</x:v>
      </x:c>
      <x:c r="J300" s="34" t="str">
        <x:v>initial</x:v>
      </x:c>
      <x:c r="K300" s="34" t="str">
        <x:v>cache-semantics</x:v>
      </x:c>
      <x:c r="L300" s="45" t="b">
        <x:v>1</x:v>
      </x:c>
      <x:c r="M300" s="36" t="n">
        <x:v>620988831</x:v>
      </x:c>
      <x:c r="N300" s="34" t="str">
        <x:v>8940757b18d227a000be8118900d9d4aedf44b85c145f2f14007181f24d352aa</x:v>
      </x:c>
      <x:c r="O300" s="43" t="n">
        <x:v>10000</x:v>
      </x:c>
      <x:c r="P300" s="43" t="n">
        <x:v>400000</x:v>
      </x:c>
      <x:c r="Q300" s="36" t="n">
        <x:v>8</x:v>
      </x:c>
      <x:c r="R300" s="42" t="n">
        <x:v>95</x:v>
      </x:c>
      <x:c r="S300" s="43" t="n">
        <x:v>512</x:v>
      </x:c>
      <x:c r="T300" s="43" t="n">
        <x:v>50000</x:v>
      </x:c>
      <x:c r="U300" s="46" t="n">
        <x:v>3</x:v>
      </x:c>
      <x:c r="V300" s="46" t="n">
        <x:v>5</x:v>
      </x:c>
      <x:c r="W300" s="43" t="n">
        <x:v>300</x:v>
      </x:c>
      <x:c r="X300" s="34" t="str">
        <x:v>uniform</x:v>
      </x:c>
      <x:c r="Y300" s="42" t="n">
        <x:v>10</x:v>
      </x:c>
      <x:c r="Z300" s="34" t="str">
        <x:v>strict</x:v>
      </x:c>
      <x:c r="AA300" s="36" t="n">
        <x:v>64</x:v>
      </x:c>
      <x:c r="AB300" s="43" t="n">
        <x:v>81528832</x:v>
      </x:c>
      <x:c r="AC300" s="43" t="n">
        <x:v>3030381285</x:v>
      </x:c>
      <x:c r="AD300" s="43" t="n">
        <x:v>30381285</x:v>
      </x:c>
      <x:c r="AE300" s="43" t="n">
        <x:v>1650255.1542006668</x:v>
      </x:c>
      <x:c r="AF300" s="43" t="n">
        <x:v>26287548.451393798</x:v>
      </x:c>
      <x:c r="AG300" s="43" t="n">
        <x:v>131516416</x:v>
      </x:c>
      <x:c r="AH300" s="43" t="n">
        <x:v>5002992814</x:v>
      </x:c>
      <x:c r="AI300" s="43" t="n">
        <x:v>2992814</x:v>
      </x:c>
      <x:c r="AJ300" s="43" t="n">
        <x:v>26287548.451393798</x:v>
      </x:c>
      <x:c r="AK300" s="43" t="n">
        <x:v>131516416</x:v>
      </x:c>
      <x:c r="AL300" s="43" t="n">
        <x:v>0</x:v>
      </x:c>
      <x:c r="AM300" s="43" t="n">
        <x:v>390002.42815511767</x:v>
      </x:c>
      <x:c r="AN300" s="43" t="n">
        <x:v>161</x:v>
      </x:c>
      <x:c r="AO300" s="43" t="n">
        <x:v>270</x:v>
      </x:c>
      <x:c r="AP300" s="43" t="n">
        <x:v>481</x:v>
      </x:c>
      <x:c r="AQ300" s="43" t="n">
        <x:v>2054944</x:v>
      </x:c>
      <x:c r="AR300" s="43" t="n">
        <x:v>1</x:v>
      </x:c>
      <x:c r="AS300" s="45" t="b">
        <x:v>1</x:v>
      </x:c>
      <x:c r="AT300" s="43" t="n">
        <x:v>10000</x:v>
      </x:c>
      <x:c r="AU300" s="48" t="n">
        <x:v>0.950756550421812</x:v>
      </x:c>
      <x:c r="AV300" s="43" t="n">
        <x:v>10000</x:v>
      </x:c>
      <x:c r="AW300" s="48" t="n">
        <x:v>0.950756550421812</x:v>
      </x:c>
      <x:c r="AX300" s="45" t="b">
        <x:v>1</x:v>
      </x:c>
      <x:c r="AY300" s="44" t="str">
        <x:v>{"provider":"ehcache","currentEntries":10000,"requestCount":131516416,"hitCount":125040094,"missCount":6476322,"hitRate":0.950756550421812,"loadSuccessCount":0,"loadFailureCount":0,"totalLoadTimeNanos":0,"evictionCount":-1,"expirationCount":-1,"putCount":10000,"removeCount":0,"nativeMetrics":{"mappings":10000}}</x:v>
      </x:c>
      <x:c r="AZ300" s="44" t="str">
        <x:v>{"provider":"ehcache","currentEntries":10000,"requestCount":131516416,"hitCount":125040094,"missCount":6476322,"hitRate":0.950756550421812,"loadSuccessCount":0,"loadFailureCount":0,"totalLoadTimeNanos":0,"evictionCount":-1,"expirationCount":-1,"putCount":15000,"removeCount":0,"nativeMetrics":{"mappings":10000}}</x:v>
      </x:c>
      <x:c r="BA300" s="43" t="n">
        <x:v>10000</x:v>
      </x:c>
      <x:c r="BB300" s="43" t="n">
        <x:v>131516416</x:v>
      </x:c>
      <x:c r="BC300" s="43" t="n">
        <x:v>125040094</x:v>
      </x:c>
      <x:c r="BD300" s="43" t="n">
        <x:v>6476322</x:v>
      </x:c>
      <x:c r="BE300" s="48" t="n">
        <x:v>0.950756550421812</x:v>
      </x:c>
      <x:c r="BF300" s="43" t="n">
        <x:v>0</x:v>
      </x:c>
      <x:c r="BG300" s="43" t="n">
        <x:v>0</x:v>
      </x:c>
      <x:c r="BH300" s="43" t="n">
        <x:v>0</x:v>
      </x:c>
      <x:c r="BI300" s="43" t="n">
        <x:v>-1</x:v>
      </x:c>
      <x:c r="BJ300" s="43" t="n">
        <x:v>-1</x:v>
      </x:c>
      <x:c r="BK300" s="43" t="n">
        <x:v>15000</x:v>
      </x:c>
      <x:c r="BL300" s="43" t="n">
        <x:v>0</x:v>
      </x:c>
      <x:c r="BM300" s="44" t="str">
        <x:v>{"mappings":10000}</x:v>
      </x:c>
    </x:row>
    <x:row r="301">
      <x:c r="A301" s="34" t="str">
        <x:v>article1-unified-v4-2-fb3f101b-20260903-000401-default-f05-p6-ehcache</x:v>
      </x:c>
      <x:c r="B301" s="34" t="str">
        <x:v>default</x:v>
      </x:c>
      <x:c r="C301" s="34" t="str">
        <x:v>ehcache</x:v>
      </x:c>
      <x:c r="D301" s="34" t="str">
        <x:v>ehcache</x:v>
      </x:c>
      <x:c r="E301" s="34" t="str">
        <x:v>current-provider-primary-comparison</x:v>
      </x:c>
      <x:c r="F301" s="36" t="n">
        <x:v>5</x:v>
      </x:c>
      <x:c r="G301" s="36" t="n">
        <x:v>5</x:v>
      </x:c>
      <x:c r="H301" s="36" t="n">
        <x:v>6</x:v>
      </x:c>
      <x:c r="I301" s="36" t="n">
        <x:v>5</x:v>
      </x:c>
      <x:c r="J301" s="34" t="str">
        <x:v>redeploy</x:v>
      </x:c>
      <x:c r="K301" s="34" t="str">
        <x:v>cache-semantics</x:v>
      </x:c>
      <x:c r="L301" s="45" t="b">
        <x:v>1</x:v>
      </x:c>
      <x:c r="M301" s="36" t="n">
        <x:v>620988831</x:v>
      </x:c>
      <x:c r="N301" s="34" t="str">
        <x:v>8940757b18d227a000be8118900d9d4aedf44b85c145f2f14007181f24d352aa</x:v>
      </x:c>
      <x:c r="O301" s="43" t="n">
        <x:v>10000</x:v>
      </x:c>
      <x:c r="P301" s="43" t="n">
        <x:v>400000</x:v>
      </x:c>
      <x:c r="Q301" s="36" t="n">
        <x:v>8</x:v>
      </x:c>
      <x:c r="R301" s="42" t="n">
        <x:v>95</x:v>
      </x:c>
      <x:c r="S301" s="43" t="n">
        <x:v>512</x:v>
      </x:c>
      <x:c r="T301" s="43" t="n">
        <x:v>50000</x:v>
      </x:c>
      <x:c r="U301" s="46" t="n">
        <x:v>3</x:v>
      </x:c>
      <x:c r="V301" s="46" t="n">
        <x:v>5</x:v>
      </x:c>
      <x:c r="W301" s="43" t="n">
        <x:v>300</x:v>
      </x:c>
      <x:c r="X301" s="34" t="str">
        <x:v>uniform</x:v>
      </x:c>
      <x:c r="Y301" s="42" t="n">
        <x:v>10</x:v>
      </x:c>
      <x:c r="Z301" s="34" t="str">
        <x:v>strict</x:v>
      </x:c>
      <x:c r="AA301" s="36" t="n">
        <x:v>64</x:v>
      </x:c>
      <x:c r="AB301" s="43" t="n">
        <x:v>74203136</x:v>
      </x:c>
      <x:c r="AC301" s="43" t="n">
        <x:v>3029990470</x:v>
      </x:c>
      <x:c r="AD301" s="43" t="n">
        <x:v>29990470</x:v>
      </x:c>
      <x:c r="AE301" s="43" t="n">
        <x:v>1847317.3718954676</x:v>
      </x:c>
      <x:c r="AF301" s="43" t="n">
        <x:v>25838327.287535187</x:v>
      </x:c>
      <x:c r="AG301" s="43" t="n">
        <x:v>129245440</x:v>
      </x:c>
      <x:c r="AH301" s="43" t="n">
        <x:v>5002082316</x:v>
      </x:c>
      <x:c r="AI301" s="43" t="n">
        <x:v>2082316</x:v>
      </x:c>
      <x:c r="AJ301" s="43" t="n">
        <x:v>25838327.287535187</x:v>
      </x:c>
      <x:c r="AK301" s="43" t="n">
        <x:v>129245440</x:v>
      </x:c>
      <x:c r="AL301" s="43" t="n">
        <x:v>0</x:v>
      </x:c>
      <x:c r="AM301" s="43" t="n">
        <x:v>377733.0306835563</x:v>
      </x:c>
      <x:c r="AN301" s="43" t="n">
        <x:v>170</x:v>
      </x:c>
      <x:c r="AO301" s="43" t="n">
        <x:v>280</x:v>
      </x:c>
      <x:c r="AP301" s="43" t="n">
        <x:v>491</x:v>
      </x:c>
      <x:c r="AQ301" s="43" t="n">
        <x:v>2019460</x:v>
      </x:c>
      <x:c r="AR301" s="43" t="n">
        <x:v>1</x:v>
      </x:c>
      <x:c r="AS301" s="45" t="b">
        <x:v>1</x:v>
      </x:c>
      <x:c r="AT301" s="43" t="n">
        <x:v>10000</x:v>
      </x:c>
      <x:c r="AU301" s="48" t="n">
        <x:v>0.9507601738212196</x:v>
      </x:c>
      <x:c r="AV301" s="43" t="n">
        <x:v>10000</x:v>
      </x:c>
      <x:c r="AW301" s="48" t="n">
        <x:v>0.9507601738212196</x:v>
      </x:c>
      <x:c r="AX301" s="45" t="b">
        <x:v>1</x:v>
      </x:c>
      <x:c r="AY301" s="44" t="str">
        <x:v>{"provider":"ehcache","currentEntries":10000,"requestCount":129245440,"hitCount":122881417,"missCount":6364023,"hitRate":0.9507601738212196,"loadSuccessCount":0,"loadFailureCount":0,"totalLoadTimeNanos":0,"evictionCount":-1,"expirationCount":-1,"putCount":10000,"removeCount":0,"nativeMetrics":{"mappings":10000}}</x:v>
      </x:c>
      <x:c r="AZ301" s="44" t="str">
        <x:v>{"provider":"ehcache","currentEntries":10000,"requestCount":129245440,"hitCount":122881417,"missCount":6364023,"hitRate":0.9507601738212196,"loadSuccessCount":0,"loadFailureCount":0,"totalLoadTimeNanos":0,"evictionCount":-1,"expirationCount":-1,"putCount":15000,"removeCount":0,"nativeMetrics":{"mappings":10000}}</x:v>
      </x:c>
      <x:c r="BA301" s="43" t="n">
        <x:v>10000</x:v>
      </x:c>
      <x:c r="BB301" s="43" t="n">
        <x:v>129245440</x:v>
      </x:c>
      <x:c r="BC301" s="43" t="n">
        <x:v>122881417</x:v>
      </x:c>
      <x:c r="BD301" s="43" t="n">
        <x:v>6364023</x:v>
      </x:c>
      <x:c r="BE301" s="48" t="n">
        <x:v>0.9507601738212196</x:v>
      </x:c>
      <x:c r="BF301" s="43" t="n">
        <x:v>0</x:v>
      </x:c>
      <x:c r="BG301" s="43" t="n">
        <x:v>0</x:v>
      </x:c>
      <x:c r="BH301" s="43" t="n">
        <x:v>0</x:v>
      </x:c>
      <x:c r="BI301" s="43" t="n">
        <x:v>-1</x:v>
      </x:c>
      <x:c r="BJ301" s="43" t="n">
        <x:v>-1</x:v>
      </x:c>
      <x:c r="BK301" s="43" t="n">
        <x:v>15000</x:v>
      </x:c>
      <x:c r="BL301" s="43" t="n">
        <x:v>0</x:v>
      </x:c>
      <x:c r="BM301" s="44" t="str">
        <x:v>{"mappings":10000}</x:v>
      </x:c>
    </x:row>
    <x:row r="302">
      <x:c r="A302" s="34" t="str">
        <x:v>article1-unified-v4-2-fb3f101b-20260903-000401-default-f06-p1-nostore</x:v>
      </x:c>
      <x:c r="B302" s="34" t="str">
        <x:v>default</x:v>
      </x:c>
      <x:c r="C302" s="34" t="str">
        <x:v>nostore</x:v>
      </x:c>
      <x:c r="D302" s="34" t="str">
        <x:v>nostore</x:v>
      </x:c>
      <x:c r="E302" s="34" t="str">
        <x:v>lifecycle-negative-control</x:v>
      </x:c>
      <x:c r="F302" s="36" t="n">
        <x:v>6</x:v>
      </x:c>
      <x:c r="G302" s="36" t="n">
        <x:v>6</x:v>
      </x:c>
      <x:c r="H302" s="36" t="n">
        <x:v>1</x:v>
      </x:c>
      <x:c r="I302" s="36" t="n">
        <x:v>1</x:v>
      </x:c>
      <x:c r="J302" s="34" t="str">
        <x:v>initial</x:v>
      </x:c>
      <x:c r="K302" s="34" t="str">
        <x:v>no-store-control</x:v>
      </x:c>
      <x:c r="L302" s="45" t="b">
        <x:v>0</x:v>
      </x:c>
      <x:c r="M302" s="36" t="n">
        <x:v>927914527</x:v>
      </x:c>
      <x:c r="N302" s="34" t="str">
        <x:v>7a0b70d8daf7dcbd235b9a1f729db348ce24c4865cb3e23ae17472baf92df172</x:v>
      </x:c>
      <x:c r="O302" s="43" t="n">
        <x:v>10000</x:v>
      </x:c>
      <x:c r="P302" s="43" t="n">
        <x:v>400000</x:v>
      </x:c>
      <x:c r="Q302" s="36" t="n">
        <x:v>8</x:v>
      </x:c>
      <x:c r="R302" s="42" t="n">
        <x:v>95</x:v>
      </x:c>
      <x:c r="S302" s="43" t="n">
        <x:v>512</x:v>
      </x:c>
      <x:c r="T302" s="43" t="n">
        <x:v>50000</x:v>
      </x:c>
      <x:c r="U302" s="46" t="n">
        <x:v>3</x:v>
      </x:c>
      <x:c r="V302" s="46" t="n">
        <x:v>5</x:v>
      </x:c>
      <x:c r="W302" s="43" t="n">
        <x:v>300</x:v>
      </x:c>
      <x:c r="X302" s="34" t="str">
        <x:v>uniform</x:v>
      </x:c>
      <x:c r="Y302" s="42" t="n">
        <x:v>10</x:v>
      </x:c>
      <x:c r="Z302" s="34" t="str">
        <x:v>strict</x:v>
      </x:c>
      <x:c r="AA302" s="36" t="n">
        <x:v>64</x:v>
      </x:c>
      <x:c r="AB302" s="43" t="n">
        <x:v>359254784</x:v>
      </x:c>
      <x:c r="AC302" s="43" t="n">
        <x:v>3011038310</x:v>
      </x:c>
      <x:c r="AD302" s="43" t="n">
        <x:v>11038310</x:v>
      </x:c>
      <x:c r="AE302" s="43" t="n">
        <x:v>15848513.567912465</x:v>
      </x:c>
      <x:c r="AF302" s="43" t="n">
        <x:v>104103723.20285307</x:v>
      </x:c>
      <x:c r="AG302" s="43" t="n">
        <x:v>522422272</x:v>
      </x:c>
      <x:c r="AH302" s="43" t="n">
        <x:v>5018286147</x:v>
      </x:c>
      <x:c r="AI302" s="43" t="n">
        <x:v>18286147</x:v>
      </x:c>
      <x:c r="AJ302" s="43" t="n">
        <x:v>104103723.20285307</x:v>
      </x:c>
      <x:c r="AK302" s="43" t="n">
        <x:v>522422272</x:v>
      </x:c>
      <x:c r="AL302" s="43" t="n">
        <x:v>0</x:v>
      </x:c>
      <x:c r="AM302" s="43" t="n">
        <x:v>19975789.3433159</x:v>
      </x:c>
      <x:c r="AN302" s="43" t="n">
        <x:v>40</x:v>
      </x:c>
      <x:c r="AO302" s="43" t="n">
        <x:v>160</x:v>
      </x:c>
      <x:c r="AP302" s="43" t="n">
        <x:v>271</x:v>
      </x:c>
      <x:c r="AQ302" s="43" t="n">
        <x:v>8162848</x:v>
      </x:c>
      <x:c r="AR302" s="43" t="n">
        <x:v>16</x:v>
      </x:c>
      <x:c r="AS302" s="45" t="b">
        <x:v>0</x:v>
      </x:c>
      <x:c r="AT302" s="43" t="n">
        <x:v>0</x:v>
      </x:c>
      <x:c r="AU302" s="48" t="n">
        <x:v>0</x:v>
      </x:c>
      <x:c r="AV302" s="43" t="n">
        <x:v>0</x:v>
      </x:c>
      <x:c r="AW302" s="48" t="n">
        <x:v>0</x:v>
      </x:c>
      <x:c r="AX302" s="45" t="b">
        <x:v>1</x:v>
      </x:c>
      <x:c r="AY302" s="44" t="str">
        <x:v>{"provider":"nostore","currentEntries":0,"requestCount":522422272,"hitCount":0,"missCount":522422272,"hitRate":0,"loadSuccessCount":0,"loadFailureCount":0,"totalLoadTimeNanos":0,"evictionCount":0,"expirationCount":0,"putCount":10000,"removeCount":0,"nativeMetrics":{"storageEnabled":0}}</x:v>
      </x:c>
      <x:c r="AZ302" s="44" t="str">
        <x:v>{"provider":"nostore","currentEntries":0,"requestCount":522422272,"hitCount":0,"missCount":522422272,"hitRate":0,"loadSuccessCount":0,"loadFailureCount":0,"totalLoadTimeNanos":0,"evictionCount":0,"expirationCount":0,"putCount":15000,"removeCount":0,"nativeMetrics":{"storageEnabled":0}}</x:v>
      </x:c>
      <x:c r="BA302" s="43" t="n">
        <x:v>0</x:v>
      </x:c>
      <x:c r="BB302" s="43" t="n">
        <x:v>522422272</x:v>
      </x:c>
      <x:c r="BC302" s="43" t="n">
        <x:v>0</x:v>
      </x:c>
      <x:c r="BD302" s="43" t="n">
        <x:v>522422272</x:v>
      </x:c>
      <x:c r="BE302" s="48" t="n">
        <x:v>0</x:v>
      </x:c>
      <x:c r="BF302" s="43" t="n">
        <x:v>0</x:v>
      </x:c>
      <x:c r="BG302" s="43" t="n">
        <x:v>0</x:v>
      </x:c>
      <x:c r="BH302" s="43" t="n">
        <x:v>0</x:v>
      </x:c>
      <x:c r="BI302" s="43" t="n">
        <x:v>0</x:v>
      </x:c>
      <x:c r="BJ302" s="43" t="n">
        <x:v>0</x:v>
      </x:c>
      <x:c r="BK302" s="43" t="n">
        <x:v>15000</x:v>
      </x:c>
      <x:c r="BL302" s="43" t="n">
        <x:v>0</x:v>
      </x:c>
      <x:c r="BM302" s="44" t="str">
        <x:v>{"storageEnabled":0}</x:v>
      </x:c>
    </x:row>
    <x:row r="303">
      <x:c r="A303" s="34" t="str">
        <x:v>article1-unified-v4-2-fb3f101b-20260903-000401-default-f06-p1-nostore</x:v>
      </x:c>
      <x:c r="B303" s="34" t="str">
        <x:v>default</x:v>
      </x:c>
      <x:c r="C303" s="34" t="str">
        <x:v>nostore</x:v>
      </x:c>
      <x:c r="D303" s="34" t="str">
        <x:v>nostore</x:v>
      </x:c>
      <x:c r="E303" s="34" t="str">
        <x:v>lifecycle-negative-control</x:v>
      </x:c>
      <x:c r="F303" s="36" t="n">
        <x:v>6</x:v>
      </x:c>
      <x:c r="G303" s="36" t="n">
        <x:v>6</x:v>
      </x:c>
      <x:c r="H303" s="36" t="n">
        <x:v>1</x:v>
      </x:c>
      <x:c r="I303" s="36" t="n">
        <x:v>1</x:v>
      </x:c>
      <x:c r="J303" s="34" t="str">
        <x:v>redeploy</x:v>
      </x:c>
      <x:c r="K303" s="34" t="str">
        <x:v>no-store-control</x:v>
      </x:c>
      <x:c r="L303" s="45" t="b">
        <x:v>0</x:v>
      </x:c>
      <x:c r="M303" s="36" t="n">
        <x:v>927914527</x:v>
      </x:c>
      <x:c r="N303" s="34" t="str">
        <x:v>7a0b70d8daf7dcbd235b9a1f729db348ce24c4865cb3e23ae17472baf92df172</x:v>
      </x:c>
      <x:c r="O303" s="43" t="n">
        <x:v>10000</x:v>
      </x:c>
      <x:c r="P303" s="43" t="n">
        <x:v>400000</x:v>
      </x:c>
      <x:c r="Q303" s="36" t="n">
        <x:v>8</x:v>
      </x:c>
      <x:c r="R303" s="42" t="n">
        <x:v>95</x:v>
      </x:c>
      <x:c r="S303" s="43" t="n">
        <x:v>512</x:v>
      </x:c>
      <x:c r="T303" s="43" t="n">
        <x:v>50000</x:v>
      </x:c>
      <x:c r="U303" s="46" t="n">
        <x:v>3</x:v>
      </x:c>
      <x:c r="V303" s="46" t="n">
        <x:v>5</x:v>
      </x:c>
      <x:c r="W303" s="43" t="n">
        <x:v>300</x:v>
      </x:c>
      <x:c r="X303" s="34" t="str">
        <x:v>uniform</x:v>
      </x:c>
      <x:c r="Y303" s="42" t="n">
        <x:v>10</x:v>
      </x:c>
      <x:c r="Z303" s="34" t="str">
        <x:v>strict</x:v>
      </x:c>
      <x:c r="AA303" s="36" t="n">
        <x:v>64</x:v>
      </x:c>
      <x:c r="AB303" s="43" t="n">
        <x:v>353059840</x:v>
      </x:c>
      <x:c r="AC303" s="43" t="n">
        <x:v>3000453690</x:v>
      </x:c>
      <x:c r="AD303" s="43" t="n">
        <x:v>453690</x:v>
      </x:c>
      <x:c r="AE303" s="43" t="n">
        <x:v>11712578.020410338</x:v>
      </x:c>
      <x:c r="AF303" s="43" t="n">
        <x:v>98855183.82716206</x:v>
      </x:c>
      <x:c r="AG303" s="43" t="n">
        <x:v>494982656</x:v>
      </x:c>
      <x:c r="AH303" s="43" t="n">
        <x:v>5007149214</x:v>
      </x:c>
      <x:c r="AI303" s="43" t="n">
        <x:v>7149214</x:v>
      </x:c>
      <x:c r="AJ303" s="43" t="n">
        <x:v>98855183.82716206</x:v>
      </x:c>
      <x:c r="AK303" s="43" t="n">
        <x:v>494982656</x:v>
      </x:c>
      <x:c r="AL303" s="43" t="n">
        <x:v>0</x:v>
      </x:c>
      <x:c r="AM303" s="43" t="n">
        <x:v>19594549.5800888</x:v>
      </x:c>
      <x:c r="AN303" s="43" t="n">
        <x:v>40</x:v>
      </x:c>
      <x:c r="AO303" s="43" t="n">
        <x:v>170</x:v>
      </x:c>
      <x:c r="AP303" s="43" t="n">
        <x:v>290</x:v>
      </x:c>
      <x:c r="AQ303" s="43" t="n">
        <x:v>7734104</x:v>
      </x:c>
      <x:c r="AR303" s="43" t="n">
        <x:v>16</x:v>
      </x:c>
      <x:c r="AS303" s="45" t="b">
        <x:v>0</x:v>
      </x:c>
      <x:c r="AT303" s="43" t="n">
        <x:v>0</x:v>
      </x:c>
      <x:c r="AU303" s="48" t="n">
        <x:v>0</x:v>
      </x:c>
      <x:c r="AV303" s="43" t="n">
        <x:v>0</x:v>
      </x:c>
      <x:c r="AW303" s="48" t="n">
        <x:v>0</x:v>
      </x:c>
      <x:c r="AX303" s="45" t="b">
        <x:v>1</x:v>
      </x:c>
      <x:c r="AY303" s="44" t="str">
        <x:v>{"provider":"nostore","currentEntries":0,"requestCount":494982656,"hitCount":0,"missCount":494982656,"hitRate":0,"loadSuccessCount":0,"loadFailureCount":0,"totalLoadTimeNanos":0,"evictionCount":0,"expirationCount":0,"putCount":10000,"removeCount":0,"nativeMetrics":{"storageEnabled":0}}</x:v>
      </x:c>
      <x:c r="AZ303" s="44" t="str">
        <x:v>{"provider":"nostore","currentEntries":0,"requestCount":494982656,"hitCount":0,"missCount":494982656,"hitRate":0,"loadSuccessCount":0,"loadFailureCount":0,"totalLoadTimeNanos":0,"evictionCount":0,"expirationCount":0,"putCount":15000,"removeCount":0,"nativeMetrics":{"storageEnabled":0}}</x:v>
      </x:c>
      <x:c r="BA303" s="43" t="n">
        <x:v>0</x:v>
      </x:c>
      <x:c r="BB303" s="43" t="n">
        <x:v>494982656</x:v>
      </x:c>
      <x:c r="BC303" s="43" t="n">
        <x:v>0</x:v>
      </x:c>
      <x:c r="BD303" s="43" t="n">
        <x:v>494982656</x:v>
      </x:c>
      <x:c r="BE303" s="48" t="n">
        <x:v>0</x:v>
      </x:c>
      <x:c r="BF303" s="43" t="n">
        <x:v>0</x:v>
      </x:c>
      <x:c r="BG303" s="43" t="n">
        <x:v>0</x:v>
      </x:c>
      <x:c r="BH303" s="43" t="n">
        <x:v>0</x:v>
      </x:c>
      <x:c r="BI303" s="43" t="n">
        <x:v>0</x:v>
      </x:c>
      <x:c r="BJ303" s="43" t="n">
        <x:v>0</x:v>
      </x:c>
      <x:c r="BK303" s="43" t="n">
        <x:v>15000</x:v>
      </x:c>
      <x:c r="BL303" s="43" t="n">
        <x:v>0</x:v>
      </x:c>
      <x:c r="BM303" s="44" t="str">
        <x:v>{"storageEnabled":0}</x:v>
      </x:c>
    </x:row>
    <x:row r="304">
      <x:c r="A304" s="34" t="str">
        <x:v>article1-unified-v4-2-fb3f101b-20260903-000401-default-f06-p1-nostore</x:v>
      </x:c>
      <x:c r="B304" s="34" t="str">
        <x:v>default</x:v>
      </x:c>
      <x:c r="C304" s="34" t="str">
        <x:v>nostore</x:v>
      </x:c>
      <x:c r="D304" s="34" t="str">
        <x:v>nostore</x:v>
      </x:c>
      <x:c r="E304" s="34" t="str">
        <x:v>lifecycle-negative-control</x:v>
      </x:c>
      <x:c r="F304" s="36" t="n">
        <x:v>6</x:v>
      </x:c>
      <x:c r="G304" s="36" t="n">
        <x:v>6</x:v>
      </x:c>
      <x:c r="H304" s="36" t="n">
        <x:v>1</x:v>
      </x:c>
      <x:c r="I304" s="36" t="n">
        <x:v>2</x:v>
      </x:c>
      <x:c r="J304" s="34" t="str">
        <x:v>initial</x:v>
      </x:c>
      <x:c r="K304" s="34" t="str">
        <x:v>no-store-control</x:v>
      </x:c>
      <x:c r="L304" s="45" t="b">
        <x:v>0</x:v>
      </x:c>
      <x:c r="M304" s="36" t="n">
        <x:v>977482916</x:v>
      </x:c>
      <x:c r="N304" s="34" t="str">
        <x:v>fbef1bb91de564b9301b3368c99f514c400bd26d86d0deae91aa8f63ce424d4c</x:v>
      </x:c>
      <x:c r="O304" s="43" t="n">
        <x:v>10000</x:v>
      </x:c>
      <x:c r="P304" s="43" t="n">
        <x:v>400000</x:v>
      </x:c>
      <x:c r="Q304" s="36" t="n">
        <x:v>8</x:v>
      </x:c>
      <x:c r="R304" s="42" t="n">
        <x:v>95</x:v>
      </x:c>
      <x:c r="S304" s="43" t="n">
        <x:v>512</x:v>
      </x:c>
      <x:c r="T304" s="43" t="n">
        <x:v>50000</x:v>
      </x:c>
      <x:c r="U304" s="46" t="n">
        <x:v>3</x:v>
      </x:c>
      <x:c r="V304" s="46" t="n">
        <x:v>5</x:v>
      </x:c>
      <x:c r="W304" s="43" t="n">
        <x:v>300</x:v>
      </x:c>
      <x:c r="X304" s="34" t="str">
        <x:v>uniform</x:v>
      </x:c>
      <x:c r="Y304" s="42" t="n">
        <x:v>10</x:v>
      </x:c>
      <x:c r="Z304" s="34" t="str">
        <x:v>strict</x:v>
      </x:c>
      <x:c r="AA304" s="36" t="n">
        <x:v>64</x:v>
      </x:c>
      <x:c r="AB304" s="43" t="n">
        <x:v>349818880</x:v>
      </x:c>
      <x:c r="AC304" s="43" t="n">
        <x:v>3032091745</x:v>
      </x:c>
      <x:c r="AD304" s="43" t="n">
        <x:v>32091745</x:v>
      </x:c>
      <x:c r="AE304" s="43" t="n">
        <x:v>12944313.56305175</x:v>
      </x:c>
      <x:c r="AF304" s="43" t="n">
        <x:v>104267786.1957183</x:v>
      </x:c>
      <x:c r="AG304" s="43" t="n">
        <x:v>521945088</x:v>
      </x:c>
      <x:c r="AH304" s="43" t="n">
        <x:v>5005813464</x:v>
      </x:c>
      <x:c r="AI304" s="43" t="n">
        <x:v>5813464</x:v>
      </x:c>
      <x:c r="AJ304" s="43" t="n">
        <x:v>104267786.1957183</x:v>
      </x:c>
      <x:c r="AK304" s="43" t="n">
        <x:v>521945088</x:v>
      </x:c>
      <x:c r="AL304" s="43" t="n">
        <x:v>0</x:v>
      </x:c>
      <x:c r="AM304" s="43" t="n">
        <x:v>17499527.512757156</x:v>
      </x:c>
      <x:c r="AN304" s="43" t="n">
        <x:v>40</x:v>
      </x:c>
      <x:c r="AO304" s="43" t="n">
        <x:v>161</x:v>
      </x:c>
      <x:c r="AP304" s="43" t="n">
        <x:v>280</x:v>
      </x:c>
      <x:c r="AQ304" s="43" t="n">
        <x:v>8155392</x:v>
      </x:c>
      <x:c r="AR304" s="43" t="n">
        <x:v>16</x:v>
      </x:c>
      <x:c r="AS304" s="45" t="b">
        <x:v>0</x:v>
      </x:c>
      <x:c r="AT304" s="43" t="n">
        <x:v>0</x:v>
      </x:c>
      <x:c r="AU304" s="48" t="n">
        <x:v>0</x:v>
      </x:c>
      <x:c r="AV304" s="43" t="n">
        <x:v>0</x:v>
      </x:c>
      <x:c r="AW304" s="48" t="n">
        <x:v>0</x:v>
      </x:c>
      <x:c r="AX304" s="45" t="b">
        <x:v>1</x:v>
      </x:c>
      <x:c r="AY304" s="44" t="str">
        <x:v>{"provider":"nostore","currentEntries":0,"requestCount":521945088,"hitCount":0,"missCount":521945088,"hitRate":0,"loadSuccessCount":0,"loadFailureCount":0,"totalLoadTimeNanos":0,"evictionCount":0,"expirationCount":0,"putCount":10000,"removeCount":0,"nativeMetrics":{"storageEnabled":0}}</x:v>
      </x:c>
      <x:c r="AZ304" s="44" t="str">
        <x:v>{"provider":"nostore","currentEntries":0,"requestCount":521945088,"hitCount":0,"missCount":521945088,"hitRate":0,"loadSuccessCount":0,"loadFailureCount":0,"totalLoadTimeNanos":0,"evictionCount":0,"expirationCount":0,"putCount":15000,"removeCount":0,"nativeMetrics":{"storageEnabled":0}}</x:v>
      </x:c>
      <x:c r="BA304" s="43" t="n">
        <x:v>0</x:v>
      </x:c>
      <x:c r="BB304" s="43" t="n">
        <x:v>521945088</x:v>
      </x:c>
      <x:c r="BC304" s="43" t="n">
        <x:v>0</x:v>
      </x:c>
      <x:c r="BD304" s="43" t="n">
        <x:v>521945088</x:v>
      </x:c>
      <x:c r="BE304" s="48" t="n">
        <x:v>0</x:v>
      </x:c>
      <x:c r="BF304" s="43" t="n">
        <x:v>0</x:v>
      </x:c>
      <x:c r="BG304" s="43" t="n">
        <x:v>0</x:v>
      </x:c>
      <x:c r="BH304" s="43" t="n">
        <x:v>0</x:v>
      </x:c>
      <x:c r="BI304" s="43" t="n">
        <x:v>0</x:v>
      </x:c>
      <x:c r="BJ304" s="43" t="n">
        <x:v>0</x:v>
      </x:c>
      <x:c r="BK304" s="43" t="n">
        <x:v>15000</x:v>
      </x:c>
      <x:c r="BL304" s="43" t="n">
        <x:v>0</x:v>
      </x:c>
      <x:c r="BM304" s="44" t="str">
        <x:v>{"storageEnabled":0}</x:v>
      </x:c>
    </x:row>
    <x:row r="305">
      <x:c r="A305" s="34" t="str">
        <x:v>article1-unified-v4-2-fb3f101b-20260903-000401-default-f06-p1-nostore</x:v>
      </x:c>
      <x:c r="B305" s="34" t="str">
        <x:v>default</x:v>
      </x:c>
      <x:c r="C305" s="34" t="str">
        <x:v>nostore</x:v>
      </x:c>
      <x:c r="D305" s="34" t="str">
        <x:v>nostore</x:v>
      </x:c>
      <x:c r="E305" s="34" t="str">
        <x:v>lifecycle-negative-control</x:v>
      </x:c>
      <x:c r="F305" s="36" t="n">
        <x:v>6</x:v>
      </x:c>
      <x:c r="G305" s="36" t="n">
        <x:v>6</x:v>
      </x:c>
      <x:c r="H305" s="36" t="n">
        <x:v>1</x:v>
      </x:c>
      <x:c r="I305" s="36" t="n">
        <x:v>2</x:v>
      </x:c>
      <x:c r="J305" s="34" t="str">
        <x:v>redeploy</x:v>
      </x:c>
      <x:c r="K305" s="34" t="str">
        <x:v>no-store-control</x:v>
      </x:c>
      <x:c r="L305" s="45" t="b">
        <x:v>0</x:v>
      </x:c>
      <x:c r="M305" s="36" t="n">
        <x:v>977482916</x:v>
      </x:c>
      <x:c r="N305" s="34" t="str">
        <x:v>fbef1bb91de564b9301b3368c99f514c400bd26d86d0deae91aa8f63ce424d4c</x:v>
      </x:c>
      <x:c r="O305" s="43" t="n">
        <x:v>10000</x:v>
      </x:c>
      <x:c r="P305" s="43" t="n">
        <x:v>400000</x:v>
      </x:c>
      <x:c r="Q305" s="36" t="n">
        <x:v>8</x:v>
      </x:c>
      <x:c r="R305" s="42" t="n">
        <x:v>95</x:v>
      </x:c>
      <x:c r="S305" s="43" t="n">
        <x:v>512</x:v>
      </x:c>
      <x:c r="T305" s="43" t="n">
        <x:v>50000</x:v>
      </x:c>
      <x:c r="U305" s="46" t="n">
        <x:v>3</x:v>
      </x:c>
      <x:c r="V305" s="46" t="n">
        <x:v>5</x:v>
      </x:c>
      <x:c r="W305" s="43" t="n">
        <x:v>300</x:v>
      </x:c>
      <x:c r="X305" s="34" t="str">
        <x:v>uniform</x:v>
      </x:c>
      <x:c r="Y305" s="42" t="n">
        <x:v>10</x:v>
      </x:c>
      <x:c r="Z305" s="34" t="str">
        <x:v>strict</x:v>
      </x:c>
      <x:c r="AA305" s="36" t="n">
        <x:v>64</x:v>
      </x:c>
      <x:c r="AB305" s="43" t="n">
        <x:v>370412800</x:v>
      </x:c>
      <x:c r="AC305" s="43" t="n">
        <x:v>3000529229</x:v>
      </x:c>
      <x:c r="AD305" s="43" t="n">
        <x:v>529229</x:v>
      </x:c>
      <x:c r="AE305" s="43" t="n">
        <x:v>14120185.369793534</x:v>
      </x:c>
      <x:c r="AF305" s="43" t="n">
        <x:v>104505465.2059036</x:v>
      </x:c>
      <x:c r="AG305" s="43" t="n">
        <x:v>528489984</x:v>
      </x:c>
      <x:c r="AH305" s="43" t="n">
        <x:v>5057055944</x:v>
      </x:c>
      <x:c r="AI305" s="43" t="n">
        <x:v>57055944</x:v>
      </x:c>
      <x:c r="AJ305" s="43" t="n">
        <x:v>104505465.2059036</x:v>
      </x:c>
      <x:c r="AK305" s="43" t="n">
        <x:v>528489984</x:v>
      </x:c>
      <x:c r="AL305" s="43" t="n">
        <x:v>0</x:v>
      </x:c>
      <x:c r="AM305" s="43" t="n">
        <x:v>18823600.277083397</x:v>
      </x:c>
      <x:c r="AN305" s="43" t="n">
        <x:v>31</x:v>
      </x:c>
      <x:c r="AO305" s="43" t="n">
        <x:v>160</x:v>
      </x:c>
      <x:c r="AP305" s="43" t="n">
        <x:v>271</x:v>
      </x:c>
      <x:c r="AQ305" s="43" t="n">
        <x:v>8257656</x:v>
      </x:c>
      <x:c r="AR305" s="43" t="n">
        <x:v>16</x:v>
      </x:c>
      <x:c r="AS305" s="45" t="b">
        <x:v>0</x:v>
      </x:c>
      <x:c r="AT305" s="43" t="n">
        <x:v>0</x:v>
      </x:c>
      <x:c r="AU305" s="48" t="n">
        <x:v>0</x:v>
      </x:c>
      <x:c r="AV305" s="43" t="n">
        <x:v>0</x:v>
      </x:c>
      <x:c r="AW305" s="48" t="n">
        <x:v>0</x:v>
      </x:c>
      <x:c r="AX305" s="45" t="b">
        <x:v>1</x:v>
      </x:c>
      <x:c r="AY305" s="44" t="str">
        <x:v>{"provider":"nostore","currentEntries":0,"requestCount":528489984,"hitCount":0,"missCount":528489984,"hitRate":0,"loadSuccessCount":0,"loadFailureCount":0,"totalLoadTimeNanos":0,"evictionCount":0,"expirationCount":0,"putCount":10000,"removeCount":0,"nativeMetrics":{"storageEnabled":0}}</x:v>
      </x:c>
      <x:c r="AZ305" s="44" t="str">
        <x:v>{"provider":"nostore","currentEntries":0,"requestCount":528489984,"hitCount":0,"missCount":528489984,"hitRate":0,"loadSuccessCount":0,"loadFailureCount":0,"totalLoadTimeNanos":0,"evictionCount":0,"expirationCount":0,"putCount":15000,"removeCount":0,"nativeMetrics":{"storageEnabled":0}}</x:v>
      </x:c>
      <x:c r="BA305" s="43" t="n">
        <x:v>0</x:v>
      </x:c>
      <x:c r="BB305" s="43" t="n">
        <x:v>528489984</x:v>
      </x:c>
      <x:c r="BC305" s="43" t="n">
        <x:v>0</x:v>
      </x:c>
      <x:c r="BD305" s="43" t="n">
        <x:v>528489984</x:v>
      </x:c>
      <x:c r="BE305" s="48" t="n">
        <x:v>0</x:v>
      </x:c>
      <x:c r="BF305" s="43" t="n">
        <x:v>0</x:v>
      </x:c>
      <x:c r="BG305" s="43" t="n">
        <x:v>0</x:v>
      </x:c>
      <x:c r="BH305" s="43" t="n">
        <x:v>0</x:v>
      </x:c>
      <x:c r="BI305" s="43" t="n">
        <x:v>0</x:v>
      </x:c>
      <x:c r="BJ305" s="43" t="n">
        <x:v>0</x:v>
      </x:c>
      <x:c r="BK305" s="43" t="n">
        <x:v>15000</x:v>
      </x:c>
      <x:c r="BL305" s="43" t="n">
        <x:v>0</x:v>
      </x:c>
      <x:c r="BM305" s="44" t="str">
        <x:v>{"storageEnabled":0}</x:v>
      </x:c>
    </x:row>
    <x:row r="306">
      <x:c r="A306" s="34" t="str">
        <x:v>article1-unified-v4-2-fb3f101b-20260903-000401-default-f06-p1-nostore</x:v>
      </x:c>
      <x:c r="B306" s="34" t="str">
        <x:v>default</x:v>
      </x:c>
      <x:c r="C306" s="34" t="str">
        <x:v>nostore</x:v>
      </x:c>
      <x:c r="D306" s="34" t="str">
        <x:v>nostore</x:v>
      </x:c>
      <x:c r="E306" s="34" t="str">
        <x:v>lifecycle-negative-control</x:v>
      </x:c>
      <x:c r="F306" s="36" t="n">
        <x:v>6</x:v>
      </x:c>
      <x:c r="G306" s="36" t="n">
        <x:v>6</x:v>
      </x:c>
      <x:c r="H306" s="36" t="n">
        <x:v>1</x:v>
      </x:c>
      <x:c r="I306" s="36" t="n">
        <x:v>3</x:v>
      </x:c>
      <x:c r="J306" s="34" t="str">
        <x:v>initial</x:v>
      </x:c>
      <x:c r="K306" s="34" t="str">
        <x:v>no-store-control</x:v>
      </x:c>
      <x:c r="L306" s="45" t="b">
        <x:v>0</x:v>
      </x:c>
      <x:c r="M306" s="36" t="n">
        <x:v>1145234224</x:v>
      </x:c>
      <x:c r="N306" s="34" t="str">
        <x:v>6af895c3c09dcc45239d20d59a83e7d7936a4cbc235d171eb415d308df579083</x:v>
      </x:c>
      <x:c r="O306" s="43" t="n">
        <x:v>10000</x:v>
      </x:c>
      <x:c r="P306" s="43" t="n">
        <x:v>400000</x:v>
      </x:c>
      <x:c r="Q306" s="36" t="n">
        <x:v>8</x:v>
      </x:c>
      <x:c r="R306" s="42" t="n">
        <x:v>95</x:v>
      </x:c>
      <x:c r="S306" s="43" t="n">
        <x:v>512</x:v>
      </x:c>
      <x:c r="T306" s="43" t="n">
        <x:v>50000</x:v>
      </x:c>
      <x:c r="U306" s="46" t="n">
        <x:v>3</x:v>
      </x:c>
      <x:c r="V306" s="46" t="n">
        <x:v>5</x:v>
      </x:c>
      <x:c r="W306" s="43" t="n">
        <x:v>300</x:v>
      </x:c>
      <x:c r="X306" s="34" t="str">
        <x:v>uniform</x:v>
      </x:c>
      <x:c r="Y306" s="42" t="n">
        <x:v>10</x:v>
      </x:c>
      <x:c r="Z306" s="34" t="str">
        <x:v>strict</x:v>
      </x:c>
      <x:c r="AA306" s="36" t="n">
        <x:v>64</x:v>
      </x:c>
      <x:c r="AB306" s="43" t="n">
        <x:v>351184640</x:v>
      </x:c>
      <x:c r="AC306" s="43" t="n">
        <x:v>3025714038</x:v>
      </x:c>
      <x:c r="AD306" s="43" t="n">
        <x:v>25714038</x:v>
      </x:c>
      <x:c r="AE306" s="43" t="n">
        <x:v>12503063.25049637</x:v>
      </x:c>
      <x:c r="AF306" s="43" t="n">
        <x:v>102637791.75704771</x:v>
      </x:c>
      <x:c r="AG306" s="43" t="n">
        <x:v>513903360</x:v>
      </x:c>
      <x:c r="AH306" s="43" t="n">
        <x:v>5006960411</x:v>
      </x:c>
      <x:c r="AI306" s="43" t="n">
        <x:v>6960411</x:v>
      </x:c>
      <x:c r="AJ306" s="43" t="n">
        <x:v>102637791.75704771</x:v>
      </x:c>
      <x:c r="AK306" s="43" t="n">
        <x:v>513903360</x:v>
      </x:c>
      <x:c r="AL306" s="43" t="n">
        <x:v>0</x:v>
      </x:c>
      <x:c r="AM306" s="43" t="n">
        <x:v>18484766.70375943</x:v>
      </x:c>
      <x:c r="AN306" s="43" t="n">
        <x:v>40</x:v>
      </x:c>
      <x:c r="AO306" s="43" t="n">
        <x:v>161</x:v>
      </x:c>
      <x:c r="AP306" s="43" t="n">
        <x:v>281</x:v>
      </x:c>
      <x:c r="AQ306" s="43" t="n">
        <x:v>8029740</x:v>
      </x:c>
      <x:c r="AR306" s="43" t="n">
        <x:v>16</x:v>
      </x:c>
      <x:c r="AS306" s="45" t="b">
        <x:v>0</x:v>
      </x:c>
      <x:c r="AT306" s="43" t="n">
        <x:v>0</x:v>
      </x:c>
      <x:c r="AU306" s="48" t="n">
        <x:v>0</x:v>
      </x:c>
      <x:c r="AV306" s="43" t="n">
        <x:v>0</x:v>
      </x:c>
      <x:c r="AW306" s="48" t="n">
        <x:v>0</x:v>
      </x:c>
      <x:c r="AX306" s="45" t="b">
        <x:v>1</x:v>
      </x:c>
      <x:c r="AY306" s="44" t="str">
        <x:v>{"provider":"nostore","currentEntries":0,"requestCount":513903360,"hitCount":0,"missCount":513903360,"hitRate":0,"loadSuccessCount":0,"loadFailureCount":0,"totalLoadTimeNanos":0,"evictionCount":0,"expirationCount":0,"putCount":10000,"removeCount":0,"nativeMetrics":{"storageEnabled":0}}</x:v>
      </x:c>
      <x:c r="AZ306" s="44" t="str">
        <x:v>{"provider":"nostore","currentEntries":0,"requestCount":513903360,"hitCount":0,"missCount":513903360,"hitRate":0,"loadSuccessCount":0,"loadFailureCount":0,"totalLoadTimeNanos":0,"evictionCount":0,"expirationCount":0,"putCount":15000,"removeCount":0,"nativeMetrics":{"storageEnabled":0}}</x:v>
      </x:c>
      <x:c r="BA306" s="43" t="n">
        <x:v>0</x:v>
      </x:c>
      <x:c r="BB306" s="43" t="n">
        <x:v>513903360</x:v>
      </x:c>
      <x:c r="BC306" s="43" t="n">
        <x:v>0</x:v>
      </x:c>
      <x:c r="BD306" s="43" t="n">
        <x:v>513903360</x:v>
      </x:c>
      <x:c r="BE306" s="48" t="n">
        <x:v>0</x:v>
      </x:c>
      <x:c r="BF306" s="43" t="n">
        <x:v>0</x:v>
      </x:c>
      <x:c r="BG306" s="43" t="n">
        <x:v>0</x:v>
      </x:c>
      <x:c r="BH306" s="43" t="n">
        <x:v>0</x:v>
      </x:c>
      <x:c r="BI306" s="43" t="n">
        <x:v>0</x:v>
      </x:c>
      <x:c r="BJ306" s="43" t="n">
        <x:v>0</x:v>
      </x:c>
      <x:c r="BK306" s="43" t="n">
        <x:v>15000</x:v>
      </x:c>
      <x:c r="BL306" s="43" t="n">
        <x:v>0</x:v>
      </x:c>
      <x:c r="BM306" s="44" t="str">
        <x:v>{"storageEnabled":0}</x:v>
      </x:c>
    </x:row>
    <x:row r="307">
      <x:c r="A307" s="34" t="str">
        <x:v>article1-unified-v4-2-fb3f101b-20260903-000401-default-f06-p1-nostore</x:v>
      </x:c>
      <x:c r="B307" s="34" t="str">
        <x:v>default</x:v>
      </x:c>
      <x:c r="C307" s="34" t="str">
        <x:v>nostore</x:v>
      </x:c>
      <x:c r="D307" s="34" t="str">
        <x:v>nostore</x:v>
      </x:c>
      <x:c r="E307" s="34" t="str">
        <x:v>lifecycle-negative-control</x:v>
      </x:c>
      <x:c r="F307" s="36" t="n">
        <x:v>6</x:v>
      </x:c>
      <x:c r="G307" s="36" t="n">
        <x:v>6</x:v>
      </x:c>
      <x:c r="H307" s="36" t="n">
        <x:v>1</x:v>
      </x:c>
      <x:c r="I307" s="36" t="n">
        <x:v>3</x:v>
      </x:c>
      <x:c r="J307" s="34" t="str">
        <x:v>redeploy</x:v>
      </x:c>
      <x:c r="K307" s="34" t="str">
        <x:v>no-store-control</x:v>
      </x:c>
      <x:c r="L307" s="45" t="b">
        <x:v>0</x:v>
      </x:c>
      <x:c r="M307" s="36" t="n">
        <x:v>1145234224</x:v>
      </x:c>
      <x:c r="N307" s="34" t="str">
        <x:v>6af895c3c09dcc45239d20d59a83e7d7936a4cbc235d171eb415d308df579083</x:v>
      </x:c>
      <x:c r="O307" s="43" t="n">
        <x:v>10000</x:v>
      </x:c>
      <x:c r="P307" s="43" t="n">
        <x:v>400000</x:v>
      </x:c>
      <x:c r="Q307" s="36" t="n">
        <x:v>8</x:v>
      </x:c>
      <x:c r="R307" s="42" t="n">
        <x:v>95</x:v>
      </x:c>
      <x:c r="S307" s="43" t="n">
        <x:v>512</x:v>
      </x:c>
      <x:c r="T307" s="43" t="n">
        <x:v>50000</x:v>
      </x:c>
      <x:c r="U307" s="46" t="n">
        <x:v>3</x:v>
      </x:c>
      <x:c r="V307" s="46" t="n">
        <x:v>5</x:v>
      </x:c>
      <x:c r="W307" s="43" t="n">
        <x:v>300</x:v>
      </x:c>
      <x:c r="X307" s="34" t="str">
        <x:v>uniform</x:v>
      </x:c>
      <x:c r="Y307" s="42" t="n">
        <x:v>10</x:v>
      </x:c>
      <x:c r="Z307" s="34" t="str">
        <x:v>strict</x:v>
      </x:c>
      <x:c r="AA307" s="36" t="n">
        <x:v>64</x:v>
      </x:c>
      <x:c r="AB307" s="43" t="n">
        <x:v>367931648</x:v>
      </x:c>
      <x:c r="AC307" s="43" t="n">
        <x:v>3038369151</x:v>
      </x:c>
      <x:c r="AD307" s="43" t="n">
        <x:v>38369151</x:v>
      </x:c>
      <x:c r="AE307" s="43" t="n">
        <x:v>15686889.681948312</x:v>
      </x:c>
      <x:c r="AF307" s="43" t="n">
        <x:v>105739130.04046357</x:v>
      </x:c>
      <x:c r="AG307" s="43" t="n">
        <x:v>529783552</x:v>
      </x:c>
      <x:c r="AH307" s="43" t="n">
        <x:v>5010288545</x:v>
      </x:c>
      <x:c r="AI307" s="43" t="n">
        <x:v>10288545</x:v>
      </x:c>
      <x:c r="AJ307" s="43" t="n">
        <x:v>105739130.04046357</x:v>
      </x:c>
      <x:c r="AK307" s="43" t="n">
        <x:v>529783552</x:v>
      </x:c>
      <x:c r="AL307" s="43" t="n">
        <x:v>0</x:v>
      </x:c>
      <x:c r="AM307" s="43" t="n">
        <x:v>20100502.512562815</x:v>
      </x:c>
      <x:c r="AN307" s="43" t="n">
        <x:v>40</x:v>
      </x:c>
      <x:c r="AO307" s="43" t="n">
        <x:v>160</x:v>
      </x:c>
      <x:c r="AP307" s="43" t="n">
        <x:v>280</x:v>
      </x:c>
      <x:c r="AQ307" s="43" t="n">
        <x:v>8277868</x:v>
      </x:c>
      <x:c r="AR307" s="43" t="n">
        <x:v>16</x:v>
      </x:c>
      <x:c r="AS307" s="45" t="b">
        <x:v>0</x:v>
      </x:c>
      <x:c r="AT307" s="43" t="n">
        <x:v>0</x:v>
      </x:c>
      <x:c r="AU307" s="48" t="n">
        <x:v>0</x:v>
      </x:c>
      <x:c r="AV307" s="43" t="n">
        <x:v>0</x:v>
      </x:c>
      <x:c r="AW307" s="48" t="n">
        <x:v>0</x:v>
      </x:c>
      <x:c r="AX307" s="45" t="b">
        <x:v>1</x:v>
      </x:c>
      <x:c r="AY307" s="44" t="str">
        <x:v>{"provider":"nostore","currentEntries":0,"requestCount":529783552,"hitCount":0,"missCount":529783552,"hitRate":0,"loadSuccessCount":0,"loadFailureCount":0,"totalLoadTimeNanos":0,"evictionCount":0,"expirationCount":0,"putCount":10000,"removeCount":0,"nativeMetrics":{"storageEnabled":0}}</x:v>
      </x:c>
      <x:c r="AZ307" s="44" t="str">
        <x:v>{"provider":"nostore","currentEntries":0,"requestCount":529783552,"hitCount":0,"missCount":529783552,"hitRate":0,"loadSuccessCount":0,"loadFailureCount":0,"totalLoadTimeNanos":0,"evictionCount":0,"expirationCount":0,"putCount":15000,"removeCount":0,"nativeMetrics":{"storageEnabled":0}}</x:v>
      </x:c>
      <x:c r="BA307" s="43" t="n">
        <x:v>0</x:v>
      </x:c>
      <x:c r="BB307" s="43" t="n">
        <x:v>529783552</x:v>
      </x:c>
      <x:c r="BC307" s="43" t="n">
        <x:v>0</x:v>
      </x:c>
      <x:c r="BD307" s="43" t="n">
        <x:v>529783552</x:v>
      </x:c>
      <x:c r="BE307" s="48" t="n">
        <x:v>0</x:v>
      </x:c>
      <x:c r="BF307" s="43" t="n">
        <x:v>0</x:v>
      </x:c>
      <x:c r="BG307" s="43" t="n">
        <x:v>0</x:v>
      </x:c>
      <x:c r="BH307" s="43" t="n">
        <x:v>0</x:v>
      </x:c>
      <x:c r="BI307" s="43" t="n">
        <x:v>0</x:v>
      </x:c>
      <x:c r="BJ307" s="43" t="n">
        <x:v>0</x:v>
      </x:c>
      <x:c r="BK307" s="43" t="n">
        <x:v>15000</x:v>
      </x:c>
      <x:c r="BL307" s="43" t="n">
        <x:v>0</x:v>
      </x:c>
      <x:c r="BM307" s="44" t="str">
        <x:v>{"storageEnabled":0}</x:v>
      </x:c>
    </x:row>
    <x:row r="308">
      <x:c r="A308" s="34" t="str">
        <x:v>article1-unified-v4-2-fb3f101b-20260903-000401-default-f06-p1-nostore</x:v>
      </x:c>
      <x:c r="B308" s="34" t="str">
        <x:v>default</x:v>
      </x:c>
      <x:c r="C308" s="34" t="str">
        <x:v>nostore</x:v>
      </x:c>
      <x:c r="D308" s="34" t="str">
        <x:v>nostore</x:v>
      </x:c>
      <x:c r="E308" s="34" t="str">
        <x:v>lifecycle-negative-control</x:v>
      </x:c>
      <x:c r="F308" s="36" t="n">
        <x:v>6</x:v>
      </x:c>
      <x:c r="G308" s="36" t="n">
        <x:v>6</x:v>
      </x:c>
      <x:c r="H308" s="36" t="n">
        <x:v>1</x:v>
      </x:c>
      <x:c r="I308" s="36" t="n">
        <x:v>4</x:v>
      </x:c>
      <x:c r="J308" s="34" t="str">
        <x:v>initial</x:v>
      </x:c>
      <x:c r="K308" s="34" t="str">
        <x:v>no-store-control</x:v>
      </x:c>
      <x:c r="L308" s="45" t="b">
        <x:v>0</x:v>
      </x:c>
      <x:c r="M308" s="36" t="n">
        <x:v>1327484523</x:v>
      </x:c>
      <x:c r="N308" s="34" t="str">
        <x:v>701c077715f7da8759e1e555b03db6d96b802524339eadeaf5a33b9cd6ccae55</x:v>
      </x:c>
      <x:c r="O308" s="43" t="n">
        <x:v>10000</x:v>
      </x:c>
      <x:c r="P308" s="43" t="n">
        <x:v>400000</x:v>
      </x:c>
      <x:c r="Q308" s="36" t="n">
        <x:v>8</x:v>
      </x:c>
      <x:c r="R308" s="42" t="n">
        <x:v>95</x:v>
      </x:c>
      <x:c r="S308" s="43" t="n">
        <x:v>512</x:v>
      </x:c>
      <x:c r="T308" s="43" t="n">
        <x:v>50000</x:v>
      </x:c>
      <x:c r="U308" s="46" t="n">
        <x:v>3</x:v>
      </x:c>
      <x:c r="V308" s="46" t="n">
        <x:v>5</x:v>
      </x:c>
      <x:c r="W308" s="43" t="n">
        <x:v>300</x:v>
      </x:c>
      <x:c r="X308" s="34" t="str">
        <x:v>uniform</x:v>
      </x:c>
      <x:c r="Y308" s="42" t="n">
        <x:v>10</x:v>
      </x:c>
      <x:c r="Z308" s="34" t="str">
        <x:v>strict</x:v>
      </x:c>
      <x:c r="AA308" s="36" t="n">
        <x:v>64</x:v>
      </x:c>
      <x:c r="AB308" s="43" t="n">
        <x:v>367068928</x:v>
      </x:c>
      <x:c r="AC308" s="43" t="n">
        <x:v>3050744442</x:v>
      </x:c>
      <x:c r="AD308" s="43" t="n">
        <x:v>50744442</x:v>
      </x:c>
      <x:c r="AE308" s="43" t="n">
        <x:v>11871831.70491375</x:v>
      </x:c>
      <x:c r="AF308" s="43" t="n">
        <x:v>105027686.91563638</x:v>
      </x:c>
      <x:c r="AG308" s="43" t="n">
        <x:v>525758208</x:v>
      </x:c>
      <x:c r="AH308" s="43" t="n">
        <x:v>5005901048</x:v>
      </x:c>
      <x:c r="AI308" s="43" t="n">
        <x:v>5901048</x:v>
      </x:c>
      <x:c r="AJ308" s="43" t="n">
        <x:v>105027686.91563638</x:v>
      </x:c>
      <x:c r="AK308" s="43" t="n">
        <x:v>525758208</x:v>
      </x:c>
      <x:c r="AL308" s="43" t="n">
        <x:v>0</x:v>
      </x:c>
      <x:c r="AM308" s="43" t="n">
        <x:v>20096463.02250804</x:v>
      </x:c>
      <x:c r="AN308" s="43" t="n">
        <x:v>40</x:v>
      </x:c>
      <x:c r="AO308" s="43" t="n">
        <x:v>160</x:v>
      </x:c>
      <x:c r="AP308" s="43" t="n">
        <x:v>271</x:v>
      </x:c>
      <x:c r="AQ308" s="43" t="n">
        <x:v>8214972</x:v>
      </x:c>
      <x:c r="AR308" s="43" t="n">
        <x:v>16</x:v>
      </x:c>
      <x:c r="AS308" s="45" t="b">
        <x:v>0</x:v>
      </x:c>
      <x:c r="AT308" s="43" t="n">
        <x:v>0</x:v>
      </x:c>
      <x:c r="AU308" s="48" t="n">
        <x:v>0</x:v>
      </x:c>
      <x:c r="AV308" s="43" t="n">
        <x:v>0</x:v>
      </x:c>
      <x:c r="AW308" s="48" t="n">
        <x:v>0</x:v>
      </x:c>
      <x:c r="AX308" s="45" t="b">
        <x:v>1</x:v>
      </x:c>
      <x:c r="AY308" s="44" t="str">
        <x:v>{"provider":"nostore","currentEntries":0,"requestCount":525758208,"hitCount":0,"missCount":525758208,"hitRate":0,"loadSuccessCount":0,"loadFailureCount":0,"totalLoadTimeNanos":0,"evictionCount":0,"expirationCount":0,"putCount":10000,"removeCount":0,"nativeMetrics":{"storageEnabled":0}}</x:v>
      </x:c>
      <x:c r="AZ308" s="44" t="str">
        <x:v>{"provider":"nostore","currentEntries":0,"requestCount":525758208,"hitCount":0,"missCount":525758208,"hitRate":0,"loadSuccessCount":0,"loadFailureCount":0,"totalLoadTimeNanos":0,"evictionCount":0,"expirationCount":0,"putCount":15000,"removeCount":0,"nativeMetrics":{"storageEnabled":0}}</x:v>
      </x:c>
      <x:c r="BA308" s="43" t="n">
        <x:v>0</x:v>
      </x:c>
      <x:c r="BB308" s="43" t="n">
        <x:v>525758208</x:v>
      </x:c>
      <x:c r="BC308" s="43" t="n">
        <x:v>0</x:v>
      </x:c>
      <x:c r="BD308" s="43" t="n">
        <x:v>525758208</x:v>
      </x:c>
      <x:c r="BE308" s="48" t="n">
        <x:v>0</x:v>
      </x:c>
      <x:c r="BF308" s="43" t="n">
        <x:v>0</x:v>
      </x:c>
      <x:c r="BG308" s="43" t="n">
        <x:v>0</x:v>
      </x:c>
      <x:c r="BH308" s="43" t="n">
        <x:v>0</x:v>
      </x:c>
      <x:c r="BI308" s="43" t="n">
        <x:v>0</x:v>
      </x:c>
      <x:c r="BJ308" s="43" t="n">
        <x:v>0</x:v>
      </x:c>
      <x:c r="BK308" s="43" t="n">
        <x:v>15000</x:v>
      </x:c>
      <x:c r="BL308" s="43" t="n">
        <x:v>0</x:v>
      </x:c>
      <x:c r="BM308" s="44" t="str">
        <x:v>{"storageEnabled":0}</x:v>
      </x:c>
    </x:row>
    <x:row r="309">
      <x:c r="A309" s="34" t="str">
        <x:v>article1-unified-v4-2-fb3f101b-20260903-000401-default-f06-p1-nostore</x:v>
      </x:c>
      <x:c r="B309" s="34" t="str">
        <x:v>default</x:v>
      </x:c>
      <x:c r="C309" s="34" t="str">
        <x:v>nostore</x:v>
      </x:c>
      <x:c r="D309" s="34" t="str">
        <x:v>nostore</x:v>
      </x:c>
      <x:c r="E309" s="34" t="str">
        <x:v>lifecycle-negative-control</x:v>
      </x:c>
      <x:c r="F309" s="36" t="n">
        <x:v>6</x:v>
      </x:c>
      <x:c r="G309" s="36" t="n">
        <x:v>6</x:v>
      </x:c>
      <x:c r="H309" s="36" t="n">
        <x:v>1</x:v>
      </x:c>
      <x:c r="I309" s="36" t="n">
        <x:v>4</x:v>
      </x:c>
      <x:c r="J309" s="34" t="str">
        <x:v>redeploy</x:v>
      </x:c>
      <x:c r="K309" s="34" t="str">
        <x:v>no-store-control</x:v>
      </x:c>
      <x:c r="L309" s="45" t="b">
        <x:v>0</x:v>
      </x:c>
      <x:c r="M309" s="36" t="n">
        <x:v>1327484523</x:v>
      </x:c>
      <x:c r="N309" s="34" t="str">
        <x:v>701c077715f7da8759e1e555b03db6d96b802524339eadeaf5a33b9cd6ccae55</x:v>
      </x:c>
      <x:c r="O309" s="43" t="n">
        <x:v>10000</x:v>
      </x:c>
      <x:c r="P309" s="43" t="n">
        <x:v>400000</x:v>
      </x:c>
      <x:c r="Q309" s="36" t="n">
        <x:v>8</x:v>
      </x:c>
      <x:c r="R309" s="42" t="n">
        <x:v>95</x:v>
      </x:c>
      <x:c r="S309" s="43" t="n">
        <x:v>512</x:v>
      </x:c>
      <x:c r="T309" s="43" t="n">
        <x:v>50000</x:v>
      </x:c>
      <x:c r="U309" s="46" t="n">
        <x:v>3</x:v>
      </x:c>
      <x:c r="V309" s="46" t="n">
        <x:v>5</x:v>
      </x:c>
      <x:c r="W309" s="43" t="n">
        <x:v>300</x:v>
      </x:c>
      <x:c r="X309" s="34" t="str">
        <x:v>uniform</x:v>
      </x:c>
      <x:c r="Y309" s="42" t="n">
        <x:v>10</x:v>
      </x:c>
      <x:c r="Z309" s="34" t="str">
        <x:v>strict</x:v>
      </x:c>
      <x:c r="AA309" s="36" t="n">
        <x:v>64</x:v>
      </x:c>
      <x:c r="AB309" s="43" t="n">
        <x:v>362742016</x:v>
      </x:c>
      <x:c r="AC309" s="43" t="n">
        <x:v>3004917586</x:v>
      </x:c>
      <x:c r="AD309" s="43" t="n">
        <x:v>4917586</x:v>
      </x:c>
      <x:c r="AE309" s="43" t="n">
        <x:v>11997226.241293013</x:v>
      </x:c>
      <x:c r="AF309" s="43" t="n">
        <x:v>105758927.59231679</x:v>
      </x:c>
      <x:c r="AG309" s="43" t="n">
        <x:v>529419008</x:v>
      </x:c>
      <x:c r="AH309" s="43" t="n">
        <x:v>5005903710</x:v>
      </x:c>
      <x:c r="AI309" s="43" t="n">
        <x:v>5903710</x:v>
      </x:c>
      <x:c r="AJ309" s="43" t="n">
        <x:v>105758927.59231679</x:v>
      </x:c>
      <x:c r="AK309" s="43" t="n">
        <x:v>529419008</x:v>
      </x:c>
      <x:c r="AL309" s="43" t="n">
        <x:v>0</x:v>
      </x:c>
      <x:c r="AM309" s="43" t="n">
        <x:v>20141068.040556055</x:v>
      </x:c>
      <x:c r="AN309" s="43" t="n">
        <x:v>40</x:v>
      </x:c>
      <x:c r="AO309" s="43" t="n">
        <x:v>161</x:v>
      </x:c>
      <x:c r="AP309" s="43" t="n">
        <x:v>271</x:v>
      </x:c>
      <x:c r="AQ309" s="43" t="n">
        <x:v>8272172</x:v>
      </x:c>
      <x:c r="AR309" s="43" t="n">
        <x:v>16</x:v>
      </x:c>
      <x:c r="AS309" s="45" t="b">
        <x:v>0</x:v>
      </x:c>
      <x:c r="AT309" s="43" t="n">
        <x:v>0</x:v>
      </x:c>
      <x:c r="AU309" s="48" t="n">
        <x:v>0</x:v>
      </x:c>
      <x:c r="AV309" s="43" t="n">
        <x:v>0</x:v>
      </x:c>
      <x:c r="AW309" s="48" t="n">
        <x:v>0</x:v>
      </x:c>
      <x:c r="AX309" s="45" t="b">
        <x:v>1</x:v>
      </x:c>
      <x:c r="AY309" s="44" t="str">
        <x:v>{"provider":"nostore","currentEntries":0,"requestCount":529419008,"hitCount":0,"missCount":529419008,"hitRate":0,"loadSuccessCount":0,"loadFailureCount":0,"totalLoadTimeNanos":0,"evictionCount":0,"expirationCount":0,"putCount":10000,"removeCount":0,"nativeMetrics":{"storageEnabled":0}}</x:v>
      </x:c>
      <x:c r="AZ309" s="44" t="str">
        <x:v>{"provider":"nostore","currentEntries":0,"requestCount":529419008,"hitCount":0,"missCount":529419008,"hitRate":0,"loadSuccessCount":0,"loadFailureCount":0,"totalLoadTimeNanos":0,"evictionCount":0,"expirationCount":0,"putCount":15000,"removeCount":0,"nativeMetrics":{"storageEnabled":0}}</x:v>
      </x:c>
      <x:c r="BA309" s="43" t="n">
        <x:v>0</x:v>
      </x:c>
      <x:c r="BB309" s="43" t="n">
        <x:v>529419008</x:v>
      </x:c>
      <x:c r="BC309" s="43" t="n">
        <x:v>0</x:v>
      </x:c>
      <x:c r="BD309" s="43" t="n">
        <x:v>529419008</x:v>
      </x:c>
      <x:c r="BE309" s="48" t="n">
        <x:v>0</x:v>
      </x:c>
      <x:c r="BF309" s="43" t="n">
        <x:v>0</x:v>
      </x:c>
      <x:c r="BG309" s="43" t="n">
        <x:v>0</x:v>
      </x:c>
      <x:c r="BH309" s="43" t="n">
        <x:v>0</x:v>
      </x:c>
      <x:c r="BI309" s="43" t="n">
        <x:v>0</x:v>
      </x:c>
      <x:c r="BJ309" s="43" t="n">
        <x:v>0</x:v>
      </x:c>
      <x:c r="BK309" s="43" t="n">
        <x:v>15000</x:v>
      </x:c>
      <x:c r="BL309" s="43" t="n">
        <x:v>0</x:v>
      </x:c>
      <x:c r="BM309" s="44" t="str">
        <x:v>{"storageEnabled":0}</x:v>
      </x:c>
    </x:row>
    <x:row r="310">
      <x:c r="A310" s="34" t="str">
        <x:v>article1-unified-v4-2-fb3f101b-20260903-000401-default-f06-p1-nostore</x:v>
      </x:c>
      <x:c r="B310" s="34" t="str">
        <x:v>default</x:v>
      </x:c>
      <x:c r="C310" s="34" t="str">
        <x:v>nostore</x:v>
      </x:c>
      <x:c r="D310" s="34" t="str">
        <x:v>nostore</x:v>
      </x:c>
      <x:c r="E310" s="34" t="str">
        <x:v>lifecycle-negative-control</x:v>
      </x:c>
      <x:c r="F310" s="36" t="n">
        <x:v>6</x:v>
      </x:c>
      <x:c r="G310" s="36" t="n">
        <x:v>6</x:v>
      </x:c>
      <x:c r="H310" s="36" t="n">
        <x:v>1</x:v>
      </x:c>
      <x:c r="I310" s="36" t="n">
        <x:v>5</x:v>
      </x:c>
      <x:c r="J310" s="34" t="str">
        <x:v>initial</x:v>
      </x:c>
      <x:c r="K310" s="34" t="str">
        <x:v>no-store-control</x:v>
      </x:c>
      <x:c r="L310" s="45" t="b">
        <x:v>0</x:v>
      </x:c>
      <x:c r="M310" s="36" t="n">
        <x:v>666294704</x:v>
      </x:c>
      <x:c r="N310" s="34" t="str">
        <x:v>2d37790d1dcdaa2a0296dbfb67d742e82e2643aa9d8bec35c7958bc4847abfa8</x:v>
      </x:c>
      <x:c r="O310" s="43" t="n">
        <x:v>10000</x:v>
      </x:c>
      <x:c r="P310" s="43" t="n">
        <x:v>400000</x:v>
      </x:c>
      <x:c r="Q310" s="36" t="n">
        <x:v>8</x:v>
      </x:c>
      <x:c r="R310" s="42" t="n">
        <x:v>95</x:v>
      </x:c>
      <x:c r="S310" s="43" t="n">
        <x:v>512</x:v>
      </x:c>
      <x:c r="T310" s="43" t="n">
        <x:v>50000</x:v>
      </x:c>
      <x:c r="U310" s="46" t="n">
        <x:v>3</x:v>
      </x:c>
      <x:c r="V310" s="46" t="n">
        <x:v>5</x:v>
      </x:c>
      <x:c r="W310" s="43" t="n">
        <x:v>300</x:v>
      </x:c>
      <x:c r="X310" s="34" t="str">
        <x:v>uniform</x:v>
      </x:c>
      <x:c r="Y310" s="42" t="n">
        <x:v>10</x:v>
      </x:c>
      <x:c r="Z310" s="34" t="str">
        <x:v>strict</x:v>
      </x:c>
      <x:c r="AA310" s="36" t="n">
        <x:v>64</x:v>
      </x:c>
      <x:c r="AB310" s="43" t="n">
        <x:v>355019008</x:v>
      </x:c>
      <x:c r="AC310" s="43" t="n">
        <x:v>3000434115</x:v>
      </x:c>
      <x:c r="AD310" s="43" t="n">
        <x:v>434115</x:v>
      </x:c>
      <x:c r="AE310" s="43" t="n">
        <x:v>10681364.223838668</x:v>
      </x:c>
      <x:c r="AF310" s="43" t="n">
        <x:v>101988653.38137126</x:v>
      </x:c>
      <x:c r="AG310" s="43" t="n">
        <x:v>511897600</x:v>
      </x:c>
      <x:c r="AH310" s="43" t="n">
        <x:v>5019162260</x:v>
      </x:c>
      <x:c r="AI310" s="43" t="n">
        <x:v>19162260</x:v>
      </x:c>
      <x:c r="AJ310" s="43" t="n">
        <x:v>101988653.38137126</x:v>
      </x:c>
      <x:c r="AK310" s="43" t="n">
        <x:v>511897600</x:v>
      </x:c>
      <x:c r="AL310" s="43" t="n">
        <x:v>0</x:v>
      </x:c>
      <x:c r="AM310" s="43" t="n">
        <x:v>20799274.521304697</x:v>
      </x:c>
      <x:c r="AN310" s="43" t="n">
        <x:v>40</x:v>
      </x:c>
      <x:c r="AO310" s="43" t="n">
        <x:v>170</x:v>
      </x:c>
      <x:c r="AP310" s="43" t="n">
        <x:v>281</x:v>
      </x:c>
      <x:c r="AQ310" s="43" t="n">
        <x:v>7998400</x:v>
      </x:c>
      <x:c r="AR310" s="43" t="n">
        <x:v>16</x:v>
      </x:c>
      <x:c r="AS310" s="45" t="b">
        <x:v>0</x:v>
      </x:c>
      <x:c r="AT310" s="43" t="n">
        <x:v>0</x:v>
      </x:c>
      <x:c r="AU310" s="48" t="n">
        <x:v>0</x:v>
      </x:c>
      <x:c r="AV310" s="43" t="n">
        <x:v>0</x:v>
      </x:c>
      <x:c r="AW310" s="48" t="n">
        <x:v>0</x:v>
      </x:c>
      <x:c r="AX310" s="45" t="b">
        <x:v>1</x:v>
      </x:c>
      <x:c r="AY310" s="44" t="str">
        <x:v>{"provider":"nostore","currentEntries":0,"requestCount":511897600,"hitCount":0,"missCount":511897600,"hitRate":0,"loadSuccessCount":0,"loadFailureCount":0,"totalLoadTimeNanos":0,"evictionCount":0,"expirationCount":0,"putCount":10000,"removeCount":0,"nativeMetrics":{"storageEnabled":0}}</x:v>
      </x:c>
      <x:c r="AZ310" s="44" t="str">
        <x:v>{"provider":"nostore","currentEntries":0,"requestCount":511897600,"hitCount":0,"missCount":511897600,"hitRate":0,"loadSuccessCount":0,"loadFailureCount":0,"totalLoadTimeNanos":0,"evictionCount":0,"expirationCount":0,"putCount":15000,"removeCount":0,"nativeMetrics":{"storageEnabled":0}}</x:v>
      </x:c>
      <x:c r="BA310" s="43" t="n">
        <x:v>0</x:v>
      </x:c>
      <x:c r="BB310" s="43" t="n">
        <x:v>511897600</x:v>
      </x:c>
      <x:c r="BC310" s="43" t="n">
        <x:v>0</x:v>
      </x:c>
      <x:c r="BD310" s="43" t="n">
        <x:v>511897600</x:v>
      </x:c>
      <x:c r="BE310" s="48" t="n">
        <x:v>0</x:v>
      </x:c>
      <x:c r="BF310" s="43" t="n">
        <x:v>0</x:v>
      </x:c>
      <x:c r="BG310" s="43" t="n">
        <x:v>0</x:v>
      </x:c>
      <x:c r="BH310" s="43" t="n">
        <x:v>0</x:v>
      </x:c>
      <x:c r="BI310" s="43" t="n">
        <x:v>0</x:v>
      </x:c>
      <x:c r="BJ310" s="43" t="n">
        <x:v>0</x:v>
      </x:c>
      <x:c r="BK310" s="43" t="n">
        <x:v>15000</x:v>
      </x:c>
      <x:c r="BL310" s="43" t="n">
        <x:v>0</x:v>
      </x:c>
      <x:c r="BM310" s="44" t="str">
        <x:v>{"storageEnabled":0}</x:v>
      </x:c>
    </x:row>
    <x:row r="311">
      <x:c r="A311" s="34" t="str">
        <x:v>article1-unified-v4-2-fb3f101b-20260903-000401-default-f06-p1-nostore</x:v>
      </x:c>
      <x:c r="B311" s="34" t="str">
        <x:v>default</x:v>
      </x:c>
      <x:c r="C311" s="34" t="str">
        <x:v>nostore</x:v>
      </x:c>
      <x:c r="D311" s="34" t="str">
        <x:v>nostore</x:v>
      </x:c>
      <x:c r="E311" s="34" t="str">
        <x:v>lifecycle-negative-control</x:v>
      </x:c>
      <x:c r="F311" s="36" t="n">
        <x:v>6</x:v>
      </x:c>
      <x:c r="G311" s="36" t="n">
        <x:v>6</x:v>
      </x:c>
      <x:c r="H311" s="36" t="n">
        <x:v>1</x:v>
      </x:c>
      <x:c r="I311" s="36" t="n">
        <x:v>5</x:v>
      </x:c>
      <x:c r="J311" s="34" t="str">
        <x:v>redeploy</x:v>
      </x:c>
      <x:c r="K311" s="34" t="str">
        <x:v>no-store-control</x:v>
      </x:c>
      <x:c r="L311" s="45" t="b">
        <x:v>0</x:v>
      </x:c>
      <x:c r="M311" s="36" t="n">
        <x:v>666294704</x:v>
      </x:c>
      <x:c r="N311" s="34" t="str">
        <x:v>2d37790d1dcdaa2a0296dbfb67d742e82e2643aa9d8bec35c7958bc4847abfa8</x:v>
      </x:c>
      <x:c r="O311" s="43" t="n">
        <x:v>10000</x:v>
      </x:c>
      <x:c r="P311" s="43" t="n">
        <x:v>400000</x:v>
      </x:c>
      <x:c r="Q311" s="36" t="n">
        <x:v>8</x:v>
      </x:c>
      <x:c r="R311" s="42" t="n">
        <x:v>95</x:v>
      </x:c>
      <x:c r="S311" s="43" t="n">
        <x:v>512</x:v>
      </x:c>
      <x:c r="T311" s="43" t="n">
        <x:v>50000</x:v>
      </x:c>
      <x:c r="U311" s="46" t="n">
        <x:v>3</x:v>
      </x:c>
      <x:c r="V311" s="46" t="n">
        <x:v>5</x:v>
      </x:c>
      <x:c r="W311" s="43" t="n">
        <x:v>300</x:v>
      </x:c>
      <x:c r="X311" s="34" t="str">
        <x:v>uniform</x:v>
      </x:c>
      <x:c r="Y311" s="42" t="n">
        <x:v>10</x:v>
      </x:c>
      <x:c r="Z311" s="34" t="str">
        <x:v>strict</x:v>
      </x:c>
      <x:c r="AA311" s="36" t="n">
        <x:v>64</x:v>
      </x:c>
      <x:c r="AB311" s="43" t="n">
        <x:v>359553280</x:v>
      </x:c>
      <x:c r="AC311" s="43" t="n">
        <x:v>3002443476</x:v>
      </x:c>
      <x:c r="AD311" s="43" t="n">
        <x:v>2443476</x:v>
      </x:c>
      <x:c r="AE311" s="43" t="n">
        <x:v>9524290.27369953</x:v>
      </x:c>
      <x:c r="AF311" s="43" t="n">
        <x:v>105590103.96906619</x:v>
      </x:c>
      <x:c r="AG311" s="43" t="n">
        <x:v>528889088</x:v>
      </x:c>
      <x:c r="AH311" s="43" t="n">
        <x:v>5008888789</x:v>
      </x:c>
      <x:c r="AI311" s="43" t="n">
        <x:v>8888789</x:v>
      </x:c>
      <x:c r="AJ311" s="43" t="n">
        <x:v>105590103.96906619</x:v>
      </x:c>
      <x:c r="AK311" s="43" t="n">
        <x:v>528889088</x:v>
      </x:c>
      <x:c r="AL311" s="43" t="n">
        <x:v>0</x:v>
      </x:c>
      <x:c r="AM311" s="43" t="n">
        <x:v>20189947.021579016</x:v>
      </x:c>
      <x:c r="AN311" s="43" t="n">
        <x:v>40</x:v>
      </x:c>
      <x:c r="AO311" s="43" t="n">
        <x:v>160</x:v>
      </x:c>
      <x:c r="AP311" s="43" t="n">
        <x:v>271</x:v>
      </x:c>
      <x:c r="AQ311" s="43" t="n">
        <x:v>8263892</x:v>
      </x:c>
      <x:c r="AR311" s="43" t="n">
        <x:v>16</x:v>
      </x:c>
      <x:c r="AS311" s="45" t="b">
        <x:v>0</x:v>
      </x:c>
      <x:c r="AT311" s="43" t="n">
        <x:v>0</x:v>
      </x:c>
      <x:c r="AU311" s="48" t="n">
        <x:v>0</x:v>
      </x:c>
      <x:c r="AV311" s="43" t="n">
        <x:v>0</x:v>
      </x:c>
      <x:c r="AW311" s="48" t="n">
        <x:v>0</x:v>
      </x:c>
      <x:c r="AX311" s="45" t="b">
        <x:v>1</x:v>
      </x:c>
      <x:c r="AY311" s="44" t="str">
        <x:v>{"provider":"nostore","currentEntries":0,"requestCount":528889088,"hitCount":0,"missCount":528889088,"hitRate":0,"loadSuccessCount":0,"loadFailureCount":0,"totalLoadTimeNanos":0,"evictionCount":0,"expirationCount":0,"putCount":10000,"removeCount":0,"nativeMetrics":{"storageEnabled":0}}</x:v>
      </x:c>
      <x:c r="AZ311" s="44" t="str">
        <x:v>{"provider":"nostore","currentEntries":0,"requestCount":528889088,"hitCount":0,"missCount":528889088,"hitRate":0,"loadSuccessCount":0,"loadFailureCount":0,"totalLoadTimeNanos":0,"evictionCount":0,"expirationCount":0,"putCount":15000,"removeCount":0,"nativeMetrics":{"storageEnabled":0}}</x:v>
      </x:c>
      <x:c r="BA311" s="43" t="n">
        <x:v>0</x:v>
      </x:c>
      <x:c r="BB311" s="43" t="n">
        <x:v>528889088</x:v>
      </x:c>
      <x:c r="BC311" s="43" t="n">
        <x:v>0</x:v>
      </x:c>
      <x:c r="BD311" s="43" t="n">
        <x:v>528889088</x:v>
      </x:c>
      <x:c r="BE311" s="48" t="n">
        <x:v>0</x:v>
      </x:c>
      <x:c r="BF311" s="43" t="n">
        <x:v>0</x:v>
      </x:c>
      <x:c r="BG311" s="43" t="n">
        <x:v>0</x:v>
      </x:c>
      <x:c r="BH311" s="43" t="n">
        <x:v>0</x:v>
      </x:c>
      <x:c r="BI311" s="43" t="n">
        <x:v>0</x:v>
      </x:c>
      <x:c r="BJ311" s="43" t="n">
        <x:v>0</x:v>
      </x:c>
      <x:c r="BK311" s="43" t="n">
        <x:v>15000</x:v>
      </x:c>
      <x:c r="BL311" s="43" t="n">
        <x:v>0</x:v>
      </x:c>
      <x:c r="BM311" s="44" t="str">
        <x:v>{"storageEnabled":0}</x:v>
      </x:c>
    </x:row>
    <x:row r="312">
      <x:c r="A312" s="34" t="str">
        <x:v>article1-unified-v4-2-fb3f101b-20260903-000401-default-f06-p2-caffeine</x:v>
      </x:c>
      <x:c r="B312" s="34" t="str">
        <x:v>default</x:v>
      </x:c>
      <x:c r="C312" s="34" t="str">
        <x:v>caffeine</x:v>
      </x:c>
      <x:c r="D312" s="34" t="str">
        <x:v>caffeine</x:v>
      </x:c>
      <x:c r="E312" s="34" t="str">
        <x:v>current-provider-primary-comparison</x:v>
      </x:c>
      <x:c r="F312" s="36" t="n">
        <x:v>6</x:v>
      </x:c>
      <x:c r="G312" s="36" t="n">
        <x:v>6</x:v>
      </x:c>
      <x:c r="H312" s="36" t="n">
        <x:v>2</x:v>
      </x:c>
      <x:c r="I312" s="36" t="n">
        <x:v>1</x:v>
      </x:c>
      <x:c r="J312" s="34" t="str">
        <x:v>initial</x:v>
      </x:c>
      <x:c r="K312" s="34" t="str">
        <x:v>cache-semantics</x:v>
      </x:c>
      <x:c r="L312" s="45" t="b">
        <x:v>1</x:v>
      </x:c>
      <x:c r="M312" s="36" t="n">
        <x:v>927914527</x:v>
      </x:c>
      <x:c r="N312" s="34" t="str">
        <x:v>7a0b70d8daf7dcbd235b9a1f729db348ce24c4865cb3e23ae17472baf92df172</x:v>
      </x:c>
      <x:c r="O312" s="43" t="n">
        <x:v>10000</x:v>
      </x:c>
      <x:c r="P312" s="43" t="n">
        <x:v>400000</x:v>
      </x:c>
      <x:c r="Q312" s="36" t="n">
        <x:v>8</x:v>
      </x:c>
      <x:c r="R312" s="42" t="n">
        <x:v>95</x:v>
      </x:c>
      <x:c r="S312" s="43" t="n">
        <x:v>512</x:v>
      </x:c>
      <x:c r="T312" s="43" t="n">
        <x:v>50000</x:v>
      </x:c>
      <x:c r="U312" s="46" t="n">
        <x:v>3</x:v>
      </x:c>
      <x:c r="V312" s="46" t="n">
        <x:v>5</x:v>
      </x:c>
      <x:c r="W312" s="43" t="n">
        <x:v>300</x:v>
      </x:c>
      <x:c r="X312" s="34" t="str">
        <x:v>uniform</x:v>
      </x:c>
      <x:c r="Y312" s="42" t="n">
        <x:v>10</x:v>
      </x:c>
      <x:c r="Z312" s="34" t="str">
        <x:v>strict</x:v>
      </x:c>
      <x:c r="AA312" s="36" t="n">
        <x:v>64</x:v>
      </x:c>
      <x:c r="AB312" s="43" t="n">
        <x:v>81864960</x:v>
      </x:c>
      <x:c r="AC312" s="43" t="n">
        <x:v>3000527953</x:v>
      </x:c>
      <x:c r="AD312" s="43" t="n">
        <x:v>527953</x:v>
      </x:c>
      <x:c r="AE312" s="43" t="n">
        <x:v>1695483.6723226872</x:v>
      </x:c>
      <x:c r="AF312" s="43" t="n">
        <x:v>26534190.262171164</x:v>
      </x:c>
      <x:c r="AG312" s="43" t="n">
        <x:v>132767232</x:v>
      </x:c>
      <x:c r="AH312" s="43" t="n">
        <x:v>5003628552</x:v>
      </x:c>
      <x:c r="AI312" s="43" t="n">
        <x:v>3628552</x:v>
      </x:c>
      <x:c r="AJ312" s="43" t="n">
        <x:v>26534190.262171164</x:v>
      </x:c>
      <x:c r="AK312" s="43" t="n">
        <x:v>132767232</x:v>
      </x:c>
      <x:c r="AL312" s="43" t="n">
        <x:v>0</x:v>
      </x:c>
      <x:c r="AM312" s="43" t="n">
        <x:v>354670.02175049373</x:v>
      </x:c>
      <x:c r="AN312" s="43" t="n">
        <x:v>141</x:v>
      </x:c>
      <x:c r="AO312" s="43" t="n">
        <x:v>291</x:v>
      </x:c>
      <x:c r="AP312" s="43" t="n">
        <x:v>491</x:v>
      </x:c>
      <x:c r="AQ312" s="43" t="n">
        <x:v>2074488</x:v>
      </x:c>
      <x:c r="AR312" s="43" t="n">
        <x:v>1</x:v>
      </x:c>
      <x:c r="AS312" s="45" t="b">
        <x:v>1</x:v>
      </x:c>
      <x:c r="AT312" s="43" t="n">
        <x:v>10000</x:v>
      </x:c>
      <x:c r="AU312" s="48" t="n">
        <x:v>0.9502776332642079</x:v>
      </x:c>
      <x:c r="AV312" s="43" t="n">
        <x:v>10000</x:v>
      </x:c>
      <x:c r="AW312" s="48" t="n">
        <x:v>0.9502776332642079</x:v>
      </x:c>
      <x:c r="AX312" s="45" t="b">
        <x:v>1</x:v>
      </x:c>
      <x:c r="AY312" s="44" t="str">
        <x:v>{"provider":"caffeine","currentEntries":10000,"requestCount":132767232,"hitCount":126165731,"missCount":6601501,"hitRate":0.9502776332642079,"loadSuccessCount":0,"loadFailureCount":0,"totalLoadTimeNanos":0,"evictionCount":-1,"expirationCount":-1,"putCount":10000,"removeCount":0,"nativeMetrics":{"statisticsEnabled":0}}</x:v>
      </x:c>
      <x:c r="AZ312" s="44" t="str">
        <x:v>{"provider":"caffeine","currentEntries":10000,"requestCount":132767232,"hitCount":126165731,"missCount":6601501,"hitRate":0.9502776332642079,"loadSuccessCount":0,"loadFailureCount":0,"totalLoadTimeNanos":0,"evictionCount":-1,"expirationCount":-1,"putCount":15000,"removeCount":0,"nativeMetrics":{"statisticsEnabled":0}}</x:v>
      </x:c>
      <x:c r="BA312" s="43" t="n">
        <x:v>10000</x:v>
      </x:c>
      <x:c r="BB312" s="43" t="n">
        <x:v>132767232</x:v>
      </x:c>
      <x:c r="BC312" s="43" t="n">
        <x:v>126165731</x:v>
      </x:c>
      <x:c r="BD312" s="43" t="n">
        <x:v>6601501</x:v>
      </x:c>
      <x:c r="BE312" s="48" t="n">
        <x:v>0.9502776332642079</x:v>
      </x:c>
      <x:c r="BF312" s="43" t="n">
        <x:v>0</x:v>
      </x:c>
      <x:c r="BG312" s="43" t="n">
        <x:v>0</x:v>
      </x:c>
      <x:c r="BH312" s="43" t="n">
        <x:v>0</x:v>
      </x:c>
      <x:c r="BI312" s="43" t="n">
        <x:v>-1</x:v>
      </x:c>
      <x:c r="BJ312" s="43" t="n">
        <x:v>-1</x:v>
      </x:c>
      <x:c r="BK312" s="43" t="n">
        <x:v>15000</x:v>
      </x:c>
      <x:c r="BL312" s="43" t="n">
        <x:v>0</x:v>
      </x:c>
      <x:c r="BM312" s="44" t="str">
        <x:v>{"statisticsEnabled":0}</x:v>
      </x:c>
    </x:row>
    <x:row r="313">
      <x:c r="A313" s="34" t="str">
        <x:v>article1-unified-v4-2-fb3f101b-20260903-000401-default-f06-p2-caffeine</x:v>
      </x:c>
      <x:c r="B313" s="34" t="str">
        <x:v>default</x:v>
      </x:c>
      <x:c r="C313" s="34" t="str">
        <x:v>caffeine</x:v>
      </x:c>
      <x:c r="D313" s="34" t="str">
        <x:v>caffeine</x:v>
      </x:c>
      <x:c r="E313" s="34" t="str">
        <x:v>current-provider-primary-comparison</x:v>
      </x:c>
      <x:c r="F313" s="36" t="n">
        <x:v>6</x:v>
      </x:c>
      <x:c r="G313" s="36" t="n">
        <x:v>6</x:v>
      </x:c>
      <x:c r="H313" s="36" t="n">
        <x:v>2</x:v>
      </x:c>
      <x:c r="I313" s="36" t="n">
        <x:v>1</x:v>
      </x:c>
      <x:c r="J313" s="34" t="str">
        <x:v>redeploy</x:v>
      </x:c>
      <x:c r="K313" s="34" t="str">
        <x:v>cache-semantics</x:v>
      </x:c>
      <x:c r="L313" s="45" t="b">
        <x:v>1</x:v>
      </x:c>
      <x:c r="M313" s="36" t="n">
        <x:v>927914527</x:v>
      </x:c>
      <x:c r="N313" s="34" t="str">
        <x:v>7a0b70d8daf7dcbd235b9a1f729db348ce24c4865cb3e23ae17472baf92df172</x:v>
      </x:c>
      <x:c r="O313" s="43" t="n">
        <x:v>10000</x:v>
      </x:c>
      <x:c r="P313" s="43" t="n">
        <x:v>400000</x:v>
      </x:c>
      <x:c r="Q313" s="36" t="n">
        <x:v>8</x:v>
      </x:c>
      <x:c r="R313" s="42" t="n">
        <x:v>95</x:v>
      </x:c>
      <x:c r="S313" s="43" t="n">
        <x:v>512</x:v>
      </x:c>
      <x:c r="T313" s="43" t="n">
        <x:v>50000</x:v>
      </x:c>
      <x:c r="U313" s="46" t="n">
        <x:v>3</x:v>
      </x:c>
      <x:c r="V313" s="46" t="n">
        <x:v>5</x:v>
      </x:c>
      <x:c r="W313" s="43" t="n">
        <x:v>300</x:v>
      </x:c>
      <x:c r="X313" s="34" t="str">
        <x:v>uniform</x:v>
      </x:c>
      <x:c r="Y313" s="42" t="n">
        <x:v>10</x:v>
      </x:c>
      <x:c r="Z313" s="34" t="str">
        <x:v>strict</x:v>
      </x:c>
      <x:c r="AA313" s="36" t="n">
        <x:v>64</x:v>
      </x:c>
      <x:c r="AB313" s="43" t="n">
        <x:v>81431040</x:v>
      </x:c>
      <x:c r="AC313" s="43" t="n">
        <x:v>3016990344</x:v>
      </x:c>
      <x:c r="AD313" s="43" t="n">
        <x:v>16990344</x:v>
      </x:c>
      <x:c r="AE313" s="43" t="n">
        <x:v>1691843.840783283</x:v>
      </x:c>
      <x:c r="AF313" s="43" t="n">
        <x:v>27131270.89679681</x:v>
      </x:c>
      <x:c r="AG313" s="43" t="n">
        <x:v>135718144</x:v>
      </x:c>
      <x:c r="AH313" s="43" t="n">
        <x:v>5002277428</x:v>
      </x:c>
      <x:c r="AI313" s="43" t="n">
        <x:v>2277428</x:v>
      </x:c>
      <x:c r="AJ313" s="43" t="n">
        <x:v>27131270.89679681</x:v>
      </x:c>
      <x:c r="AK313" s="43" t="n">
        <x:v>135718144</x:v>
      </x:c>
      <x:c r="AL313" s="43" t="n">
        <x:v>0</x:v>
      </x:c>
      <x:c r="AM313" s="43" t="n">
        <x:v>487298.5629565378</x:v>
      </x:c>
      <x:c r="AN313" s="43" t="n">
        <x:v>140</x:v>
      </x:c>
      <x:c r="AO313" s="43" t="n">
        <x:v>280</x:v>
      </x:c>
      <x:c r="AP313" s="43" t="n">
        <x:v>471</x:v>
      </x:c>
      <x:c r="AQ313" s="43" t="n">
        <x:v>2120596</x:v>
      </x:c>
      <x:c r="AR313" s="43" t="n">
        <x:v>1</x:v>
      </x:c>
      <x:c r="AS313" s="45" t="b">
        <x:v>1</x:v>
      </x:c>
      <x:c r="AT313" s="43" t="n">
        <x:v>10000</x:v>
      </x:c>
      <x:c r="AU313" s="48" t="n">
        <x:v>0.9502367789527095</x:v>
      </x:c>
      <x:c r="AV313" s="43" t="n">
        <x:v>10000</x:v>
      </x:c>
      <x:c r="AW313" s="48" t="n">
        <x:v>0.9502367789527095</x:v>
      </x:c>
      <x:c r="AX313" s="45" t="b">
        <x:v>1</x:v>
      </x:c>
      <x:c r="AY313" s="44" t="str">
        <x:v>{"provider":"caffeine","currentEntries":10000,"requestCount":135718144,"hitCount":128964372,"missCount":6753772,"hitRate":0.9502367789527095,"loadSuccessCount":0,"loadFailureCount":0,"totalLoadTimeNanos":0,"evictionCount":-1,"expirationCount":-1,"putCount":10000,"removeCount":0,"nativeMetrics":{"statisticsEnabled":0}}</x:v>
      </x:c>
      <x:c r="AZ313" s="44" t="str">
        <x:v>{"provider":"caffeine","currentEntries":10000,"requestCount":135718144,"hitCount":128964372,"missCount":6753772,"hitRate":0.9502367789527095,"loadSuccessCount":0,"loadFailureCount":0,"totalLoadTimeNanos":0,"evictionCount":-1,"expirationCount":-1,"putCount":15000,"removeCount":0,"nativeMetrics":{"statisticsEnabled":0}}</x:v>
      </x:c>
      <x:c r="BA313" s="43" t="n">
        <x:v>10000</x:v>
      </x:c>
      <x:c r="BB313" s="43" t="n">
        <x:v>135718144</x:v>
      </x:c>
      <x:c r="BC313" s="43" t="n">
        <x:v>128964372</x:v>
      </x:c>
      <x:c r="BD313" s="43" t="n">
        <x:v>6753772</x:v>
      </x:c>
      <x:c r="BE313" s="48" t="n">
        <x:v>0.9502367789527095</x:v>
      </x:c>
      <x:c r="BF313" s="43" t="n">
        <x:v>0</x:v>
      </x:c>
      <x:c r="BG313" s="43" t="n">
        <x:v>0</x:v>
      </x:c>
      <x:c r="BH313" s="43" t="n">
        <x:v>0</x:v>
      </x:c>
      <x:c r="BI313" s="43" t="n">
        <x:v>-1</x:v>
      </x:c>
      <x:c r="BJ313" s="43" t="n">
        <x:v>-1</x:v>
      </x:c>
      <x:c r="BK313" s="43" t="n">
        <x:v>15000</x:v>
      </x:c>
      <x:c r="BL313" s="43" t="n">
        <x:v>0</x:v>
      </x:c>
      <x:c r="BM313" s="44" t="str">
        <x:v>{"statisticsEnabled":0}</x:v>
      </x:c>
    </x:row>
    <x:row r="314">
      <x:c r="A314" s="34" t="str">
        <x:v>article1-unified-v4-2-fb3f101b-20260903-000401-default-f06-p2-caffeine</x:v>
      </x:c>
      <x:c r="B314" s="34" t="str">
        <x:v>default</x:v>
      </x:c>
      <x:c r="C314" s="34" t="str">
        <x:v>caffeine</x:v>
      </x:c>
      <x:c r="D314" s="34" t="str">
        <x:v>caffeine</x:v>
      </x:c>
      <x:c r="E314" s="34" t="str">
        <x:v>current-provider-primary-comparison</x:v>
      </x:c>
      <x:c r="F314" s="36" t="n">
        <x:v>6</x:v>
      </x:c>
      <x:c r="G314" s="36" t="n">
        <x:v>6</x:v>
      </x:c>
      <x:c r="H314" s="36" t="n">
        <x:v>2</x:v>
      </x:c>
      <x:c r="I314" s="36" t="n">
        <x:v>2</x:v>
      </x:c>
      <x:c r="J314" s="34" t="str">
        <x:v>initial</x:v>
      </x:c>
      <x:c r="K314" s="34" t="str">
        <x:v>cache-semantics</x:v>
      </x:c>
      <x:c r="L314" s="45" t="b">
        <x:v>1</x:v>
      </x:c>
      <x:c r="M314" s="36" t="n">
        <x:v>977482916</x:v>
      </x:c>
      <x:c r="N314" s="34" t="str">
        <x:v>fbef1bb91de564b9301b3368c99f514c400bd26d86d0deae91aa8f63ce424d4c</x:v>
      </x:c>
      <x:c r="O314" s="43" t="n">
        <x:v>10000</x:v>
      </x:c>
      <x:c r="P314" s="43" t="n">
        <x:v>400000</x:v>
      </x:c>
      <x:c r="Q314" s="36" t="n">
        <x:v>8</x:v>
      </x:c>
      <x:c r="R314" s="42" t="n">
        <x:v>95</x:v>
      </x:c>
      <x:c r="S314" s="43" t="n">
        <x:v>512</x:v>
      </x:c>
      <x:c r="T314" s="43" t="n">
        <x:v>50000</x:v>
      </x:c>
      <x:c r="U314" s="46" t="n">
        <x:v>3</x:v>
      </x:c>
      <x:c r="V314" s="46" t="n">
        <x:v>5</x:v>
      </x:c>
      <x:c r="W314" s="43" t="n">
        <x:v>300</x:v>
      </x:c>
      <x:c r="X314" s="34" t="str">
        <x:v>uniform</x:v>
      </x:c>
      <x:c r="Y314" s="42" t="n">
        <x:v>10</x:v>
      </x:c>
      <x:c r="Z314" s="34" t="str">
        <x:v>strict</x:v>
      </x:c>
      <x:c r="AA314" s="36" t="n">
        <x:v>64</x:v>
      </x:c>
      <x:c r="AB314" s="43" t="n">
        <x:v>79595776</x:v>
      </x:c>
      <x:c r="AC314" s="43" t="n">
        <x:v>3000473258</x:v>
      </x:c>
      <x:c r="AD314" s="43" t="n">
        <x:v>473258</x:v>
      </x:c>
      <x:c r="AE314" s="43" t="n">
        <x:v>1126298.8760212997</x:v>
      </x:c>
      <x:c r="AF314" s="43" t="n">
        <x:v>26446793.143646836</x:v>
      </x:c>
      <x:c r="AG314" s="43" t="n">
        <x:v>133620480</x:v>
      </x:c>
      <x:c r="AH314" s="43" t="n">
        <x:v>5052426556</x:v>
      </x:c>
      <x:c r="AI314" s="43" t="n">
        <x:v>52426556</x:v>
      </x:c>
      <x:c r="AJ314" s="43" t="n">
        <x:v>26446793.143646836</x:v>
      </x:c>
      <x:c r="AK314" s="43" t="n">
        <x:v>133620480</x:v>
      </x:c>
      <x:c r="AL314" s="43" t="n">
        <x:v>0</x:v>
      </x:c>
      <x:c r="AM314" s="43" t="n">
        <x:v>397206.80993598537</x:v>
      </x:c>
      <x:c r="AN314" s="43" t="n">
        <x:v>140</x:v>
      </x:c>
      <x:c r="AO314" s="43" t="n">
        <x:v>270</x:v>
      </x:c>
      <x:c r="AP314" s="43" t="n">
        <x:v>440</x:v>
      </x:c>
      <x:c r="AQ314" s="43" t="n">
        <x:v>2087820</x:v>
      </x:c>
      <x:c r="AR314" s="43" t="n">
        <x:v>1</x:v>
      </x:c>
      <x:c r="AS314" s="45" t="b">
        <x:v>1</x:v>
      </x:c>
      <x:c r="AT314" s="43" t="n">
        <x:v>10000</x:v>
      </x:c>
      <x:c r="AU314" s="48" t="n">
        <x:v>0.9497624391111302</x:v>
      </x:c>
      <x:c r="AV314" s="43" t="n">
        <x:v>10000</x:v>
      </x:c>
      <x:c r="AW314" s="48" t="n">
        <x:v>0.9497624391111302</x:v>
      </x:c>
      <x:c r="AX314" s="45" t="b">
        <x:v>1</x:v>
      </x:c>
      <x:c r="AY314" s="44" t="str">
        <x:v>{"provider":"caffeine","currentEntries":10000,"requestCount":133620480,"hitCount":126907713,"missCount":6712767,"hitRate":0.9497624391111302,"loadSuccessCount":0,"loadFailureCount":0,"totalLoadTimeNanos":0,"evictionCount":-1,"expirationCount":-1,"putCount":10000,"removeCount":0,"nativeMetrics":{"statisticsEnabled":0}}</x:v>
      </x:c>
      <x:c r="AZ314" s="44" t="str">
        <x:v>{"provider":"caffeine","currentEntries":10000,"requestCount":133620480,"hitCount":126907713,"missCount":6712767,"hitRate":0.9497624391111302,"loadSuccessCount":0,"loadFailureCount":0,"totalLoadTimeNanos":0,"evictionCount":-1,"expirationCount":-1,"putCount":15000,"removeCount":0,"nativeMetrics":{"statisticsEnabled":0}}</x:v>
      </x:c>
      <x:c r="BA314" s="43" t="n">
        <x:v>10000</x:v>
      </x:c>
      <x:c r="BB314" s="43" t="n">
        <x:v>133620480</x:v>
      </x:c>
      <x:c r="BC314" s="43" t="n">
        <x:v>126907713</x:v>
      </x:c>
      <x:c r="BD314" s="43" t="n">
        <x:v>6712767</x:v>
      </x:c>
      <x:c r="BE314" s="48" t="n">
        <x:v>0.9497624391111302</x:v>
      </x:c>
      <x:c r="BF314" s="43" t="n">
        <x:v>0</x:v>
      </x:c>
      <x:c r="BG314" s="43" t="n">
        <x:v>0</x:v>
      </x:c>
      <x:c r="BH314" s="43" t="n">
        <x:v>0</x:v>
      </x:c>
      <x:c r="BI314" s="43" t="n">
        <x:v>-1</x:v>
      </x:c>
      <x:c r="BJ314" s="43" t="n">
        <x:v>-1</x:v>
      </x:c>
      <x:c r="BK314" s="43" t="n">
        <x:v>15000</x:v>
      </x:c>
      <x:c r="BL314" s="43" t="n">
        <x:v>0</x:v>
      </x:c>
      <x:c r="BM314" s="44" t="str">
        <x:v>{"statisticsEnabled":0}</x:v>
      </x:c>
    </x:row>
    <x:row r="315">
      <x:c r="A315" s="34" t="str">
        <x:v>article1-unified-v4-2-fb3f101b-20260903-000401-default-f06-p2-caffeine</x:v>
      </x:c>
      <x:c r="B315" s="34" t="str">
        <x:v>default</x:v>
      </x:c>
      <x:c r="C315" s="34" t="str">
        <x:v>caffeine</x:v>
      </x:c>
      <x:c r="D315" s="34" t="str">
        <x:v>caffeine</x:v>
      </x:c>
      <x:c r="E315" s="34" t="str">
        <x:v>current-provider-primary-comparison</x:v>
      </x:c>
      <x:c r="F315" s="36" t="n">
        <x:v>6</x:v>
      </x:c>
      <x:c r="G315" s="36" t="n">
        <x:v>6</x:v>
      </x:c>
      <x:c r="H315" s="36" t="n">
        <x:v>2</x:v>
      </x:c>
      <x:c r="I315" s="36" t="n">
        <x:v>2</x:v>
      </x:c>
      <x:c r="J315" s="34" t="str">
        <x:v>redeploy</x:v>
      </x:c>
      <x:c r="K315" s="34" t="str">
        <x:v>cache-semantics</x:v>
      </x:c>
      <x:c r="L315" s="45" t="b">
        <x:v>1</x:v>
      </x:c>
      <x:c r="M315" s="36" t="n">
        <x:v>977482916</x:v>
      </x:c>
      <x:c r="N315" s="34" t="str">
        <x:v>fbef1bb91de564b9301b3368c99f514c400bd26d86d0deae91aa8f63ce424d4c</x:v>
      </x:c>
      <x:c r="O315" s="43" t="n">
        <x:v>10000</x:v>
      </x:c>
      <x:c r="P315" s="43" t="n">
        <x:v>400000</x:v>
      </x:c>
      <x:c r="Q315" s="36" t="n">
        <x:v>8</x:v>
      </x:c>
      <x:c r="R315" s="42" t="n">
        <x:v>95</x:v>
      </x:c>
      <x:c r="S315" s="43" t="n">
        <x:v>512</x:v>
      </x:c>
      <x:c r="T315" s="43" t="n">
        <x:v>50000</x:v>
      </x:c>
      <x:c r="U315" s="46" t="n">
        <x:v>3</x:v>
      </x:c>
      <x:c r="V315" s="46" t="n">
        <x:v>5</x:v>
      </x:c>
      <x:c r="W315" s="43" t="n">
        <x:v>300</x:v>
      </x:c>
      <x:c r="X315" s="34" t="str">
        <x:v>uniform</x:v>
      </x:c>
      <x:c r="Y315" s="42" t="n">
        <x:v>10</x:v>
      </x:c>
      <x:c r="Z315" s="34" t="str">
        <x:v>strict</x:v>
      </x:c>
      <x:c r="AA315" s="36" t="n">
        <x:v>64</x:v>
      </x:c>
      <x:c r="AB315" s="43" t="n">
        <x:v>83070208</x:v>
      </x:c>
      <x:c r="AC315" s="43" t="n">
        <x:v>3000430237</x:v>
      </x:c>
      <x:c r="AD315" s="43" t="n">
        <x:v>430237</x:v>
      </x:c>
      <x:c r="AE315" s="43" t="n">
        <x:v>1380405.9111189763</x:v>
      </x:c>
      <x:c r="AF315" s="43" t="n">
        <x:v>27022928.073991105</x:v>
      </x:c>
      <x:c r="AG315" s="43" t="n">
        <x:v>135179264</x:v>
      </x:c>
      <x:c r="AH315" s="43" t="n">
        <x:v>5002391437</x:v>
      </x:c>
      <x:c r="AI315" s="43" t="n">
        <x:v>2391437</x:v>
      </x:c>
      <x:c r="AJ315" s="43" t="n">
        <x:v>27022928.073991105</x:v>
      </x:c>
      <x:c r="AK315" s="43" t="n">
        <x:v>135179264</x:v>
      </x:c>
      <x:c r="AL315" s="43" t="n">
        <x:v>0</x:v>
      </x:c>
      <x:c r="AM315" s="43" t="n">
        <x:v>520983.11597917735</x:v>
      </x:c>
      <x:c r="AN315" s="43" t="n">
        <x:v>140</x:v>
      </x:c>
      <x:c r="AO315" s="43" t="n">
        <x:v>291</x:v>
      </x:c>
      <x:c r="AP315" s="43" t="n">
        <x:v>461</x:v>
      </x:c>
      <x:c r="AQ315" s="43" t="n">
        <x:v>2112176</x:v>
      </x:c>
      <x:c r="AR315" s="43" t="n">
        <x:v>1</x:v>
      </x:c>
      <x:c r="AS315" s="45" t="b">
        <x:v>1</x:v>
      </x:c>
      <x:c r="AT315" s="43" t="n">
        <x:v>10000</x:v>
      </x:c>
      <x:c r="AU315" s="48" t="n">
        <x:v>0.9497733099064661</x:v>
      </x:c>
      <x:c r="AV315" s="43" t="n">
        <x:v>10000</x:v>
      </x:c>
      <x:c r="AW315" s="48" t="n">
        <x:v>0.9497733099064661</x:v>
      </x:c>
      <x:c r="AX315" s="45" t="b">
        <x:v>1</x:v>
      </x:c>
      <x:c r="AY315" s="44" t="str">
        <x:v>{"provider":"caffeine","currentEntries":10000,"requestCount":135179264,"hitCount":128389657,"missCount":6789607,"hitRate":0.9497733099064661,"loadSuccessCount":0,"loadFailureCount":0,"totalLoadTimeNanos":0,"evictionCount":-1,"expirationCount":-1,"putCount":10000,"removeCount":0,"nativeMetrics":{"statisticsEnabled":0}}</x:v>
      </x:c>
      <x:c r="AZ315" s="44" t="str">
        <x:v>{"provider":"caffeine","currentEntries":10000,"requestCount":135179264,"hitCount":128389657,"missCount":6789607,"hitRate":0.9497733099064661,"loadSuccessCount":0,"loadFailureCount":0,"totalLoadTimeNanos":0,"evictionCount":-1,"expirationCount":-1,"putCount":15000,"removeCount":0,"nativeMetrics":{"statisticsEnabled":0}}</x:v>
      </x:c>
      <x:c r="BA315" s="43" t="n">
        <x:v>10000</x:v>
      </x:c>
      <x:c r="BB315" s="43" t="n">
        <x:v>135179264</x:v>
      </x:c>
      <x:c r="BC315" s="43" t="n">
        <x:v>128389657</x:v>
      </x:c>
      <x:c r="BD315" s="43" t="n">
        <x:v>6789607</x:v>
      </x:c>
      <x:c r="BE315" s="48" t="n">
        <x:v>0.9497733099064661</x:v>
      </x:c>
      <x:c r="BF315" s="43" t="n">
        <x:v>0</x:v>
      </x:c>
      <x:c r="BG315" s="43" t="n">
        <x:v>0</x:v>
      </x:c>
      <x:c r="BH315" s="43" t="n">
        <x:v>0</x:v>
      </x:c>
      <x:c r="BI315" s="43" t="n">
        <x:v>-1</x:v>
      </x:c>
      <x:c r="BJ315" s="43" t="n">
        <x:v>-1</x:v>
      </x:c>
      <x:c r="BK315" s="43" t="n">
        <x:v>15000</x:v>
      </x:c>
      <x:c r="BL315" s="43" t="n">
        <x:v>0</x:v>
      </x:c>
      <x:c r="BM315" s="44" t="str">
        <x:v>{"statisticsEnabled":0}</x:v>
      </x:c>
    </x:row>
    <x:row r="316">
      <x:c r="A316" s="34" t="str">
        <x:v>article1-unified-v4-2-fb3f101b-20260903-000401-default-f06-p2-caffeine</x:v>
      </x:c>
      <x:c r="B316" s="34" t="str">
        <x:v>default</x:v>
      </x:c>
      <x:c r="C316" s="34" t="str">
        <x:v>caffeine</x:v>
      </x:c>
      <x:c r="D316" s="34" t="str">
        <x:v>caffeine</x:v>
      </x:c>
      <x:c r="E316" s="34" t="str">
        <x:v>current-provider-primary-comparison</x:v>
      </x:c>
      <x:c r="F316" s="36" t="n">
        <x:v>6</x:v>
      </x:c>
      <x:c r="G316" s="36" t="n">
        <x:v>6</x:v>
      </x:c>
      <x:c r="H316" s="36" t="n">
        <x:v>2</x:v>
      </x:c>
      <x:c r="I316" s="36" t="n">
        <x:v>3</x:v>
      </x:c>
      <x:c r="J316" s="34" t="str">
        <x:v>initial</x:v>
      </x:c>
      <x:c r="K316" s="34" t="str">
        <x:v>cache-semantics</x:v>
      </x:c>
      <x:c r="L316" s="45" t="b">
        <x:v>1</x:v>
      </x:c>
      <x:c r="M316" s="36" t="n">
        <x:v>1145234224</x:v>
      </x:c>
      <x:c r="N316" s="34" t="str">
        <x:v>6af895c3c09dcc45239d20d59a83e7d7936a4cbc235d171eb415d308df579083</x:v>
      </x:c>
      <x:c r="O316" s="43" t="n">
        <x:v>10000</x:v>
      </x:c>
      <x:c r="P316" s="43" t="n">
        <x:v>400000</x:v>
      </x:c>
      <x:c r="Q316" s="36" t="n">
        <x:v>8</x:v>
      </x:c>
      <x:c r="R316" s="42" t="n">
        <x:v>95</x:v>
      </x:c>
      <x:c r="S316" s="43" t="n">
        <x:v>512</x:v>
      </x:c>
      <x:c r="T316" s="43" t="n">
        <x:v>50000</x:v>
      </x:c>
      <x:c r="U316" s="46" t="n">
        <x:v>3</x:v>
      </x:c>
      <x:c r="V316" s="46" t="n">
        <x:v>5</x:v>
      </x:c>
      <x:c r="W316" s="43" t="n">
        <x:v>300</x:v>
      </x:c>
      <x:c r="X316" s="34" t="str">
        <x:v>uniform</x:v>
      </x:c>
      <x:c r="Y316" s="42" t="n">
        <x:v>10</x:v>
      </x:c>
      <x:c r="Z316" s="34" t="str">
        <x:v>strict</x:v>
      </x:c>
      <x:c r="AA316" s="36" t="n">
        <x:v>64</x:v>
      </x:c>
      <x:c r="AB316" s="43" t="n">
        <x:v>80997632</x:v>
      </x:c>
      <x:c r="AC316" s="43" t="n">
        <x:v>3000501463</x:v>
      </x:c>
      <x:c r="AD316" s="43" t="n">
        <x:v>501463</x:v>
      </x:c>
      <x:c r="AE316" s="43" t="n">
        <x:v>3077222.2776122233</x:v>
      </x:c>
      <x:c r="AF316" s="43" t="n">
        <x:v>25170989.501066796</x:v>
      </x:c>
      <x:c r="AG316" s="43" t="n">
        <x:v>125909248</x:v>
      </x:c>
      <x:c r="AH316" s="43" t="n">
        <x:v>5002157265</x:v>
      </x:c>
      <x:c r="AI316" s="43" t="n">
        <x:v>2157265</x:v>
      </x:c>
      <x:c r="AJ316" s="43" t="n">
        <x:v>25170989.501066796</x:v>
      </x:c>
      <x:c r="AK316" s="43" t="n">
        <x:v>125909248</x:v>
      </x:c>
      <x:c r="AL316" s="43" t="n">
        <x:v>0</x:v>
      </x:c>
      <x:c r="AM316" s="43" t="n">
        <x:v>498680.69036556885</x:v>
      </x:c>
      <x:c r="AN316" s="43" t="n">
        <x:v>141</x:v>
      </x:c>
      <x:c r="AO316" s="43" t="n">
        <x:v>321</x:v>
      </x:c>
      <x:c r="AP316" s="43" t="n">
        <x:v>521</x:v>
      </x:c>
      <x:c r="AQ316" s="43" t="n">
        <x:v>1967332</x:v>
      </x:c>
      <x:c r="AR316" s="43" t="n">
        <x:v>1</x:v>
      </x:c>
      <x:c r="AS316" s="45" t="b">
        <x:v>1</x:v>
      </x:c>
      <x:c r="AT316" s="43" t="n">
        <x:v>10000</x:v>
      </x:c>
      <x:c r="AU316" s="48" t="n">
        <x:v>0.9499303180652783</x:v>
      </x:c>
      <x:c r="AV316" s="43" t="n">
        <x:v>10000</x:v>
      </x:c>
      <x:c r="AW316" s="48" t="n">
        <x:v>0.9499303180652783</x:v>
      </x:c>
      <x:c r="AX316" s="45" t="b">
        <x:v>1</x:v>
      </x:c>
      <x:c r="AY316" s="44" t="str">
        <x:v>{"provider":"caffeine","currentEntries":10000,"requestCount":125909248,"hitCount":119605012,"missCount":6304236,"hitRate":0.9499303180652783,"loadSuccessCount":0,"loadFailureCount":0,"totalLoadTimeNanos":0,"evictionCount":-1,"expirationCount":-1,"putCount":10000,"removeCount":0,"nativeMetrics":{"statisticsEnabled":0}}</x:v>
      </x:c>
      <x:c r="AZ316" s="44" t="str">
        <x:v>{"provider":"caffeine","currentEntries":10000,"requestCount":125909248,"hitCount":119605012,"missCount":6304236,"hitRate":0.9499303180652783,"loadSuccessCount":0,"loadFailureCount":0,"totalLoadTimeNanos":0,"evictionCount":-1,"expirationCount":-1,"putCount":15000,"removeCount":0,"nativeMetrics":{"statisticsEnabled":0}}</x:v>
      </x:c>
      <x:c r="BA316" s="43" t="n">
        <x:v>10000</x:v>
      </x:c>
      <x:c r="BB316" s="43" t="n">
        <x:v>125909248</x:v>
      </x:c>
      <x:c r="BC316" s="43" t="n">
        <x:v>119605012</x:v>
      </x:c>
      <x:c r="BD316" s="43" t="n">
        <x:v>6304236</x:v>
      </x:c>
      <x:c r="BE316" s="48" t="n">
        <x:v>0.9499303180652783</x:v>
      </x:c>
      <x:c r="BF316" s="43" t="n">
        <x:v>0</x:v>
      </x:c>
      <x:c r="BG316" s="43" t="n">
        <x:v>0</x:v>
      </x:c>
      <x:c r="BH316" s="43" t="n">
        <x:v>0</x:v>
      </x:c>
      <x:c r="BI316" s="43" t="n">
        <x:v>-1</x:v>
      </x:c>
      <x:c r="BJ316" s="43" t="n">
        <x:v>-1</x:v>
      </x:c>
      <x:c r="BK316" s="43" t="n">
        <x:v>15000</x:v>
      </x:c>
      <x:c r="BL316" s="43" t="n">
        <x:v>0</x:v>
      </x:c>
      <x:c r="BM316" s="44" t="str">
        <x:v>{"statisticsEnabled":0}</x:v>
      </x:c>
    </x:row>
    <x:row r="317">
      <x:c r="A317" s="34" t="str">
        <x:v>article1-unified-v4-2-fb3f101b-20260903-000401-default-f06-p2-caffeine</x:v>
      </x:c>
      <x:c r="B317" s="34" t="str">
        <x:v>default</x:v>
      </x:c>
      <x:c r="C317" s="34" t="str">
        <x:v>caffeine</x:v>
      </x:c>
      <x:c r="D317" s="34" t="str">
        <x:v>caffeine</x:v>
      </x:c>
      <x:c r="E317" s="34" t="str">
        <x:v>current-provider-primary-comparison</x:v>
      </x:c>
      <x:c r="F317" s="36" t="n">
        <x:v>6</x:v>
      </x:c>
      <x:c r="G317" s="36" t="n">
        <x:v>6</x:v>
      </x:c>
      <x:c r="H317" s="36" t="n">
        <x:v>2</x:v>
      </x:c>
      <x:c r="I317" s="36" t="n">
        <x:v>3</x:v>
      </x:c>
      <x:c r="J317" s="34" t="str">
        <x:v>redeploy</x:v>
      </x:c>
      <x:c r="K317" s="34" t="str">
        <x:v>cache-semantics</x:v>
      </x:c>
      <x:c r="L317" s="45" t="b">
        <x:v>1</x:v>
      </x:c>
      <x:c r="M317" s="36" t="n">
        <x:v>1145234224</x:v>
      </x:c>
      <x:c r="N317" s="34" t="str">
        <x:v>6af895c3c09dcc45239d20d59a83e7d7936a4cbc235d171eb415d308df579083</x:v>
      </x:c>
      <x:c r="O317" s="43" t="n">
        <x:v>10000</x:v>
      </x:c>
      <x:c r="P317" s="43" t="n">
        <x:v>400000</x:v>
      </x:c>
      <x:c r="Q317" s="36" t="n">
        <x:v>8</x:v>
      </x:c>
      <x:c r="R317" s="42" t="n">
        <x:v>95</x:v>
      </x:c>
      <x:c r="S317" s="43" t="n">
        <x:v>512</x:v>
      </x:c>
      <x:c r="T317" s="43" t="n">
        <x:v>50000</x:v>
      </x:c>
      <x:c r="U317" s="46" t="n">
        <x:v>3</x:v>
      </x:c>
      <x:c r="V317" s="46" t="n">
        <x:v>5</x:v>
      </x:c>
      <x:c r="W317" s="43" t="n">
        <x:v>300</x:v>
      </x:c>
      <x:c r="X317" s="34" t="str">
        <x:v>uniform</x:v>
      </x:c>
      <x:c r="Y317" s="42" t="n">
        <x:v>10</x:v>
      </x:c>
      <x:c r="Z317" s="34" t="str">
        <x:v>strict</x:v>
      </x:c>
      <x:c r="AA317" s="36" t="n">
        <x:v>64</x:v>
      </x:c>
      <x:c r="AB317" s="43" t="n">
        <x:v>81015808</x:v>
      </x:c>
      <x:c r="AC317" s="43" t="n">
        <x:v>3000431520</x:v>
      </x:c>
      <x:c r="AD317" s="43" t="n">
        <x:v>431520</x:v>
      </x:c>
      <x:c r="AE317" s="43" t="n">
        <x:v>1987907.1631451554</x:v>
      </x:c>
      <x:c r="AF317" s="43" t="n">
        <x:v>26966690.72669498</x:v>
      </x:c>
      <x:c r="AG317" s="43" t="n">
        <x:v>136335104</x:v>
      </x:c>
      <x:c r="AH317" s="43" t="n">
        <x:v>5055685378</x:v>
      </x:c>
      <x:c r="AI317" s="43" t="n">
        <x:v>55685378</x:v>
      </x:c>
      <x:c r="AJ317" s="43" t="n">
        <x:v>26966690.72669498</x:v>
      </x:c>
      <x:c r="AK317" s="43" t="n">
        <x:v>136335104</x:v>
      </x:c>
      <x:c r="AL317" s="43" t="n">
        <x:v>0</x:v>
      </x:c>
      <x:c r="AM317" s="43" t="n">
        <x:v>490491.768027608</x:v>
      </x:c>
      <x:c r="AN317" s="43" t="n">
        <x:v>140</x:v>
      </x:c>
      <x:c r="AO317" s="43" t="n">
        <x:v>321</x:v>
      </x:c>
      <x:c r="AP317" s="43" t="n">
        <x:v>501</x:v>
      </x:c>
      <x:c r="AQ317" s="43" t="n">
        <x:v>2130236</x:v>
      </x:c>
      <x:c r="AR317" s="43" t="n">
        <x:v>1</x:v>
      </x:c>
      <x:c r="AS317" s="45" t="b">
        <x:v>1</x:v>
      </x:c>
      <x:c r="AT317" s="43" t="n">
        <x:v>10000</x:v>
      </x:c>
      <x:c r="AU317" s="48" t="n">
        <x:v>0.9499043621223189</x:v>
      </x:c>
      <x:c r="AV317" s="43" t="n">
        <x:v>10000</x:v>
      </x:c>
      <x:c r="AW317" s="48" t="n">
        <x:v>0.9499043621223189</x:v>
      </x:c>
      <x:c r="AX317" s="45" t="b">
        <x:v>1</x:v>
      </x:c>
      <x:c r="AY317" s="44" t="str">
        <x:v>{"provider":"caffeine","currentEntries":10000,"requestCount":136335104,"hitCount":129505310,"missCount":6829794,"hitRate":0.9499043621223189,"loadSuccessCount":0,"loadFailureCount":0,"totalLoadTimeNanos":0,"evictionCount":-1,"expirationCount":-1,"putCount":10000,"removeCount":0,"nativeMetrics":{"statisticsEnabled":0}}</x:v>
      </x:c>
      <x:c r="AZ317" s="44" t="str">
        <x:v>{"provider":"caffeine","currentEntries":10000,"requestCount":136335104,"hitCount":129505310,"missCount":6829794,"hitRate":0.9499043621223189,"loadSuccessCount":0,"loadFailureCount":0,"totalLoadTimeNanos":0,"evictionCount":-1,"expirationCount":-1,"putCount":15000,"removeCount":0,"nativeMetrics":{"statisticsEnabled":0}}</x:v>
      </x:c>
      <x:c r="BA317" s="43" t="n">
        <x:v>10000</x:v>
      </x:c>
      <x:c r="BB317" s="43" t="n">
        <x:v>136335104</x:v>
      </x:c>
      <x:c r="BC317" s="43" t="n">
        <x:v>129505310</x:v>
      </x:c>
      <x:c r="BD317" s="43" t="n">
        <x:v>6829794</x:v>
      </x:c>
      <x:c r="BE317" s="48" t="n">
        <x:v>0.9499043621223189</x:v>
      </x:c>
      <x:c r="BF317" s="43" t="n">
        <x:v>0</x:v>
      </x:c>
      <x:c r="BG317" s="43" t="n">
        <x:v>0</x:v>
      </x:c>
      <x:c r="BH317" s="43" t="n">
        <x:v>0</x:v>
      </x:c>
      <x:c r="BI317" s="43" t="n">
        <x:v>-1</x:v>
      </x:c>
      <x:c r="BJ317" s="43" t="n">
        <x:v>-1</x:v>
      </x:c>
      <x:c r="BK317" s="43" t="n">
        <x:v>15000</x:v>
      </x:c>
      <x:c r="BL317" s="43" t="n">
        <x:v>0</x:v>
      </x:c>
      <x:c r="BM317" s="44" t="str">
        <x:v>{"statisticsEnabled":0}</x:v>
      </x:c>
    </x:row>
    <x:row r="318">
      <x:c r="A318" s="34" t="str">
        <x:v>article1-unified-v4-2-fb3f101b-20260903-000401-default-f06-p2-caffeine</x:v>
      </x:c>
      <x:c r="B318" s="34" t="str">
        <x:v>default</x:v>
      </x:c>
      <x:c r="C318" s="34" t="str">
        <x:v>caffeine</x:v>
      </x:c>
      <x:c r="D318" s="34" t="str">
        <x:v>caffeine</x:v>
      </x:c>
      <x:c r="E318" s="34" t="str">
        <x:v>current-provider-primary-comparison</x:v>
      </x:c>
      <x:c r="F318" s="36" t="n">
        <x:v>6</x:v>
      </x:c>
      <x:c r="G318" s="36" t="n">
        <x:v>6</x:v>
      </x:c>
      <x:c r="H318" s="36" t="n">
        <x:v>2</x:v>
      </x:c>
      <x:c r="I318" s="36" t="n">
        <x:v>4</x:v>
      </x:c>
      <x:c r="J318" s="34" t="str">
        <x:v>initial</x:v>
      </x:c>
      <x:c r="K318" s="34" t="str">
        <x:v>cache-semantics</x:v>
      </x:c>
      <x:c r="L318" s="45" t="b">
        <x:v>1</x:v>
      </x:c>
      <x:c r="M318" s="36" t="n">
        <x:v>1327484523</x:v>
      </x:c>
      <x:c r="N318" s="34" t="str">
        <x:v>701c077715f7da8759e1e555b03db6d96b802524339eadeaf5a33b9cd6ccae55</x:v>
      </x:c>
      <x:c r="O318" s="43" t="n">
        <x:v>10000</x:v>
      </x:c>
      <x:c r="P318" s="43" t="n">
        <x:v>400000</x:v>
      </x:c>
      <x:c r="Q318" s="36" t="n">
        <x:v>8</x:v>
      </x:c>
      <x:c r="R318" s="42" t="n">
        <x:v>95</x:v>
      </x:c>
      <x:c r="S318" s="43" t="n">
        <x:v>512</x:v>
      </x:c>
      <x:c r="T318" s="43" t="n">
        <x:v>50000</x:v>
      </x:c>
      <x:c r="U318" s="46" t="n">
        <x:v>3</x:v>
      </x:c>
      <x:c r="V318" s="46" t="n">
        <x:v>5</x:v>
      </x:c>
      <x:c r="W318" s="43" t="n">
        <x:v>300</x:v>
      </x:c>
      <x:c r="X318" s="34" t="str">
        <x:v>uniform</x:v>
      </x:c>
      <x:c r="Y318" s="42" t="n">
        <x:v>10</x:v>
      </x:c>
      <x:c r="Z318" s="34" t="str">
        <x:v>strict</x:v>
      </x:c>
      <x:c r="AA318" s="36" t="n">
        <x:v>64</x:v>
      </x:c>
      <x:c r="AB318" s="43" t="n">
        <x:v>82971136</x:v>
      </x:c>
      <x:c r="AC318" s="43" t="n">
        <x:v>3000626751</x:v>
      </x:c>
      <x:c r="AD318" s="43" t="n">
        <x:v>626751</x:v>
      </x:c>
      <x:c r="AE318" s="43" t="n">
        <x:v>2206688.1186174303</x:v>
      </x:c>
      <x:c r="AF318" s="43" t="n">
        <x:v>28413108.14577121</x:v>
      </x:c>
      <x:c r="AG318" s="43" t="n">
        <x:v>143664384</x:v>
      </x:c>
      <x:c r="AH318" s="43" t="n">
        <x:v>5056271326</x:v>
      </x:c>
      <x:c r="AI318" s="43" t="n">
        <x:v>56271326</x:v>
      </x:c>
      <x:c r="AJ318" s="43" t="n">
        <x:v>28413108.14577121</x:v>
      </x:c>
      <x:c r="AK318" s="43" t="n">
        <x:v>143664384</x:v>
      </x:c>
      <x:c r="AL318" s="43" t="n">
        <x:v>0</x:v>
      </x:c>
      <x:c r="AM318" s="43" t="n">
        <x:v>449012.67948945105</x:v>
      </x:c>
      <x:c r="AN318" s="43" t="n">
        <x:v>140</x:v>
      </x:c>
      <x:c r="AO318" s="43" t="n">
        <x:v>261</x:v>
      </x:c>
      <x:c r="AP318" s="43" t="n">
        <x:v>431</x:v>
      </x:c>
      <x:c r="AQ318" s="43" t="n">
        <x:v>2244756</x:v>
      </x:c>
      <x:c r="AR318" s="43" t="n">
        <x:v>1</x:v>
      </x:c>
      <x:c r="AS318" s="45" t="b">
        <x:v>1</x:v>
      </x:c>
      <x:c r="AT318" s="43" t="n">
        <x:v>10000</x:v>
      </x:c>
      <x:c r="AU318" s="48" t="n">
        <x:v>0.9500558259450025</x:v>
      </x:c>
      <x:c r="AV318" s="43" t="n">
        <x:v>10000</x:v>
      </x:c>
      <x:c r="AW318" s="48" t="n">
        <x:v>0.9500558259450025</x:v>
      </x:c>
      <x:c r="AX318" s="45" t="b">
        <x:v>1</x:v>
      </x:c>
      <x:c r="AY318" s="44" t="str">
        <x:v>{"provider":"caffeine","currentEntries":10000,"requestCount":143664384,"hitCount":136489185,"missCount":7175199,"hitRate":0.9500558259450025,"loadSuccessCount":0,"loadFailureCount":0,"totalLoadTimeNanos":0,"evictionCount":-1,"expirationCount":-1,"putCount":10000,"removeCount":0,"nativeMetrics":{"statisticsEnabled":0}}</x:v>
      </x:c>
      <x:c r="AZ318" s="44" t="str">
        <x:v>{"provider":"caffeine","currentEntries":10000,"requestCount":143664384,"hitCount":136489185,"missCount":7175199,"hitRate":0.9500558259450025,"loadSuccessCount":0,"loadFailureCount":0,"totalLoadTimeNanos":0,"evictionCount":-1,"expirationCount":-1,"putCount":15000,"removeCount":0,"nativeMetrics":{"statisticsEnabled":0}}</x:v>
      </x:c>
      <x:c r="BA318" s="43" t="n">
        <x:v>10000</x:v>
      </x:c>
      <x:c r="BB318" s="43" t="n">
        <x:v>143664384</x:v>
      </x:c>
      <x:c r="BC318" s="43" t="n">
        <x:v>136489185</x:v>
      </x:c>
      <x:c r="BD318" s="43" t="n">
        <x:v>7175199</x:v>
      </x:c>
      <x:c r="BE318" s="48" t="n">
        <x:v>0.9500558259450025</x:v>
      </x:c>
      <x:c r="BF318" s="43" t="n">
        <x:v>0</x:v>
      </x:c>
      <x:c r="BG318" s="43" t="n">
        <x:v>0</x:v>
      </x:c>
      <x:c r="BH318" s="43" t="n">
        <x:v>0</x:v>
      </x:c>
      <x:c r="BI318" s="43" t="n">
        <x:v>-1</x:v>
      </x:c>
      <x:c r="BJ318" s="43" t="n">
        <x:v>-1</x:v>
      </x:c>
      <x:c r="BK318" s="43" t="n">
        <x:v>15000</x:v>
      </x:c>
      <x:c r="BL318" s="43" t="n">
        <x:v>0</x:v>
      </x:c>
      <x:c r="BM318" s="44" t="str">
        <x:v>{"statisticsEnabled":0}</x:v>
      </x:c>
    </x:row>
    <x:row r="319">
      <x:c r="A319" s="34" t="str">
        <x:v>article1-unified-v4-2-fb3f101b-20260903-000401-default-f06-p2-caffeine</x:v>
      </x:c>
      <x:c r="B319" s="34" t="str">
        <x:v>default</x:v>
      </x:c>
      <x:c r="C319" s="34" t="str">
        <x:v>caffeine</x:v>
      </x:c>
      <x:c r="D319" s="34" t="str">
        <x:v>caffeine</x:v>
      </x:c>
      <x:c r="E319" s="34" t="str">
        <x:v>current-provider-primary-comparison</x:v>
      </x:c>
      <x:c r="F319" s="36" t="n">
        <x:v>6</x:v>
      </x:c>
      <x:c r="G319" s="36" t="n">
        <x:v>6</x:v>
      </x:c>
      <x:c r="H319" s="36" t="n">
        <x:v>2</x:v>
      </x:c>
      <x:c r="I319" s="36" t="n">
        <x:v>4</x:v>
      </x:c>
      <x:c r="J319" s="34" t="str">
        <x:v>redeploy</x:v>
      </x:c>
      <x:c r="K319" s="34" t="str">
        <x:v>cache-semantics</x:v>
      </x:c>
      <x:c r="L319" s="45" t="b">
        <x:v>1</x:v>
      </x:c>
      <x:c r="M319" s="36" t="n">
        <x:v>1327484523</x:v>
      </x:c>
      <x:c r="N319" s="34" t="str">
        <x:v>701c077715f7da8759e1e555b03db6d96b802524339eadeaf5a33b9cd6ccae55</x:v>
      </x:c>
      <x:c r="O319" s="43" t="n">
        <x:v>10000</x:v>
      </x:c>
      <x:c r="P319" s="43" t="n">
        <x:v>400000</x:v>
      </x:c>
      <x:c r="Q319" s="36" t="n">
        <x:v>8</x:v>
      </x:c>
      <x:c r="R319" s="42" t="n">
        <x:v>95</x:v>
      </x:c>
      <x:c r="S319" s="43" t="n">
        <x:v>512</x:v>
      </x:c>
      <x:c r="T319" s="43" t="n">
        <x:v>50000</x:v>
      </x:c>
      <x:c r="U319" s="46" t="n">
        <x:v>3</x:v>
      </x:c>
      <x:c r="V319" s="46" t="n">
        <x:v>5</x:v>
      </x:c>
      <x:c r="W319" s="43" t="n">
        <x:v>300</x:v>
      </x:c>
      <x:c r="X319" s="34" t="str">
        <x:v>uniform</x:v>
      </x:c>
      <x:c r="Y319" s="42" t="n">
        <x:v>10</x:v>
      </x:c>
      <x:c r="Z319" s="34" t="str">
        <x:v>strict</x:v>
      </x:c>
      <x:c r="AA319" s="36" t="n">
        <x:v>64</x:v>
      </x:c>
      <x:c r="AB319" s="43" t="n">
        <x:v>83091456</x:v>
      </x:c>
      <x:c r="AC319" s="43" t="n">
        <x:v>3005198254</x:v>
      </x:c>
      <x:c r="AD319" s="43" t="n">
        <x:v>5198254</x:v>
      </x:c>
      <x:c r="AE319" s="43" t="n">
        <x:v>1835544.0626023316</x:v>
      </x:c>
      <x:c r="AF319" s="43" t="n">
        <x:v>27653119.240920655</x:v>
      </x:c>
      <x:c r="AG319" s="43" t="n">
        <x:v>138323712</x:v>
      </x:c>
      <x:c r="AH319" s="43" t="n">
        <x:v>5002101600</x:v>
      </x:c>
      <x:c r="AI319" s="43" t="n">
        <x:v>2101600</x:v>
      </x:c>
      <x:c r="AJ319" s="43" t="n">
        <x:v>27653119.240920655</x:v>
      </x:c>
      <x:c r="AK319" s="43" t="n">
        <x:v>138323712</x:v>
      </x:c>
      <x:c r="AL319" s="43" t="n">
        <x:v>0</x:v>
      </x:c>
      <x:c r="AM319" s="43" t="n">
        <x:v>539768.2343155496</x:v>
      </x:c>
      <x:c r="AN319" s="43" t="n">
        <x:v>140</x:v>
      </x:c>
      <x:c r="AO319" s="43" t="n">
        <x:v>271</x:v>
      </x:c>
      <x:c r="AP319" s="43" t="n">
        <x:v>451</x:v>
      </x:c>
      <x:c r="AQ319" s="43" t="n">
        <x:v>2161308</x:v>
      </x:c>
      <x:c r="AR319" s="43" t="n">
        <x:v>1</x:v>
      </x:c>
      <x:c r="AS319" s="45" t="b">
        <x:v>1</x:v>
      </x:c>
      <x:c r="AT319" s="43" t="n">
        <x:v>10000</x:v>
      </x:c>
      <x:c r="AU319" s="48" t="n">
        <x:v>0.9500593144868755</x:v>
      </x:c>
      <x:c r="AV319" s="43" t="n">
        <x:v>10000</x:v>
      </x:c>
      <x:c r="AW319" s="48" t="n">
        <x:v>0.9500593144868755</x:v>
      </x:c>
      <x:c r="AX319" s="45" t="b">
        <x:v>1</x:v>
      </x:c>
      <x:c r="AY319" s="44" t="str">
        <x:v>{"provider":"caffeine","currentEntries":10000,"requestCount":138323712,"hitCount":131415731,"missCount":6907981,"hitRate":0.9500593144868755,"loadSuccessCount":0,"loadFailureCount":0,"totalLoadTimeNanos":0,"evictionCount":-1,"expirationCount":-1,"putCount":10000,"removeCount":0,"nativeMetrics":{"statisticsEnabled":0}}</x:v>
      </x:c>
      <x:c r="AZ319" s="44" t="str">
        <x:v>{"provider":"caffeine","currentEntries":10000,"requestCount":138323712,"hitCount":131415731,"missCount":6907981,"hitRate":0.9500593144868755,"loadSuccessCount":0,"loadFailureCount":0,"totalLoadTimeNanos":0,"evictionCount":-1,"expirationCount":-1,"putCount":15000,"removeCount":0,"nativeMetrics":{"statisticsEnabled":0}}</x:v>
      </x:c>
      <x:c r="BA319" s="43" t="n">
        <x:v>10000</x:v>
      </x:c>
      <x:c r="BB319" s="43" t="n">
        <x:v>138323712</x:v>
      </x:c>
      <x:c r="BC319" s="43" t="n">
        <x:v>131415731</x:v>
      </x:c>
      <x:c r="BD319" s="43" t="n">
        <x:v>6907981</x:v>
      </x:c>
      <x:c r="BE319" s="48" t="n">
        <x:v>0.9500593144868755</x:v>
      </x:c>
      <x:c r="BF319" s="43" t="n">
        <x:v>0</x:v>
      </x:c>
      <x:c r="BG319" s="43" t="n">
        <x:v>0</x:v>
      </x:c>
      <x:c r="BH319" s="43" t="n">
        <x:v>0</x:v>
      </x:c>
      <x:c r="BI319" s="43" t="n">
        <x:v>-1</x:v>
      </x:c>
      <x:c r="BJ319" s="43" t="n">
        <x:v>-1</x:v>
      </x:c>
      <x:c r="BK319" s="43" t="n">
        <x:v>15000</x:v>
      </x:c>
      <x:c r="BL319" s="43" t="n">
        <x:v>0</x:v>
      </x:c>
      <x:c r="BM319" s="44" t="str">
        <x:v>{"statisticsEnabled":0}</x:v>
      </x:c>
    </x:row>
    <x:row r="320">
      <x:c r="A320" s="34" t="str">
        <x:v>article1-unified-v4-2-fb3f101b-20260903-000401-default-f06-p2-caffeine</x:v>
      </x:c>
      <x:c r="B320" s="34" t="str">
        <x:v>default</x:v>
      </x:c>
      <x:c r="C320" s="34" t="str">
        <x:v>caffeine</x:v>
      </x:c>
      <x:c r="D320" s="34" t="str">
        <x:v>caffeine</x:v>
      </x:c>
      <x:c r="E320" s="34" t="str">
        <x:v>current-provider-primary-comparison</x:v>
      </x:c>
      <x:c r="F320" s="36" t="n">
        <x:v>6</x:v>
      </x:c>
      <x:c r="G320" s="36" t="n">
        <x:v>6</x:v>
      </x:c>
      <x:c r="H320" s="36" t="n">
        <x:v>2</x:v>
      </x:c>
      <x:c r="I320" s="36" t="n">
        <x:v>5</x:v>
      </x:c>
      <x:c r="J320" s="34" t="str">
        <x:v>initial</x:v>
      </x:c>
      <x:c r="K320" s="34" t="str">
        <x:v>cache-semantics</x:v>
      </x:c>
      <x:c r="L320" s="45" t="b">
        <x:v>1</x:v>
      </x:c>
      <x:c r="M320" s="36" t="n">
        <x:v>666294704</x:v>
      </x:c>
      <x:c r="N320" s="34" t="str">
        <x:v>2d37790d1dcdaa2a0296dbfb67d742e82e2643aa9d8bec35c7958bc4847abfa8</x:v>
      </x:c>
      <x:c r="O320" s="43" t="n">
        <x:v>10000</x:v>
      </x:c>
      <x:c r="P320" s="43" t="n">
        <x:v>400000</x:v>
      </x:c>
      <x:c r="Q320" s="36" t="n">
        <x:v>8</x:v>
      </x:c>
      <x:c r="R320" s="42" t="n">
        <x:v>95</x:v>
      </x:c>
      <x:c r="S320" s="43" t="n">
        <x:v>512</x:v>
      </x:c>
      <x:c r="T320" s="43" t="n">
        <x:v>50000</x:v>
      </x:c>
      <x:c r="U320" s="46" t="n">
        <x:v>3</x:v>
      </x:c>
      <x:c r="V320" s="46" t="n">
        <x:v>5</x:v>
      </x:c>
      <x:c r="W320" s="43" t="n">
        <x:v>300</x:v>
      </x:c>
      <x:c r="X320" s="34" t="str">
        <x:v>uniform</x:v>
      </x:c>
      <x:c r="Y320" s="42" t="n">
        <x:v>10</x:v>
      </x:c>
      <x:c r="Z320" s="34" t="str">
        <x:v>strict</x:v>
      </x:c>
      <x:c r="AA320" s="36" t="n">
        <x:v>64</x:v>
      </x:c>
      <x:c r="AB320" s="43" t="n">
        <x:v>73485568</x:v>
      </x:c>
      <x:c r="AC320" s="43" t="n">
        <x:v>3002774939</x:v>
      </x:c>
      <x:c r="AD320" s="43" t="n">
        <x:v>2774939</x:v>
      </x:c>
      <x:c r="AE320" s="43" t="n">
        <x:v>938592.1399478425</x:v>
      </x:c>
      <x:c r="AF320" s="43" t="n">
        <x:v>26509572.65647953</x:v>
      </x:c>
      <x:c r="AG320" s="43" t="n">
        <x:v>132667136</x:v>
      </x:c>
      <x:c r="AH320" s="43" t="n">
        <x:v>5004499232</x:v>
      </x:c>
      <x:c r="AI320" s="43" t="n">
        <x:v>4499232</x:v>
      </x:c>
      <x:c r="AJ320" s="43" t="n">
        <x:v>26509572.65647953</x:v>
      </x:c>
      <x:c r="AK320" s="43" t="n">
        <x:v>132667136</x:v>
      </x:c>
      <x:c r="AL320" s="43" t="n">
        <x:v>0</x:v>
      </x:c>
      <x:c r="AM320" s="43" t="n">
        <x:v>543655.3625132013</x:v>
      </x:c>
      <x:c r="AN320" s="43" t="n">
        <x:v>140</x:v>
      </x:c>
      <x:c r="AO320" s="43" t="n">
        <x:v>311</x:v>
      </x:c>
      <x:c r="AP320" s="43" t="n">
        <x:v>501</x:v>
      </x:c>
      <x:c r="AQ320" s="43" t="n">
        <x:v>2072924</x:v>
      </x:c>
      <x:c r="AR320" s="43" t="n">
        <x:v>1</x:v>
      </x:c>
      <x:c r="AS320" s="45" t="b">
        <x:v>1</x:v>
      </x:c>
      <x:c r="AT320" s="43" t="n">
        <x:v>10000</x:v>
      </x:c>
      <x:c r="AU320" s="48" t="n">
        <x:v>0.9502154399413582</x:v>
      </x:c>
      <x:c r="AV320" s="43" t="n">
        <x:v>10000</x:v>
      </x:c>
      <x:c r="AW320" s="48" t="n">
        <x:v>0.9502154399413582</x:v>
      </x:c>
      <x:c r="AX320" s="45" t="b">
        <x:v>1</x:v>
      </x:c>
      <x:c r="AY320" s="44" t="str">
        <x:v>{"provider":"caffeine","currentEntries":10000,"requestCount":132667136,"hitCount":126062361,"missCount":6604775,"hitRate":0.9502154399413582,"loadSuccessCount":0,"loadFailureCount":0,"totalLoadTimeNanos":0,"evictionCount":-1,"expirationCount":-1,"putCount":10000,"removeCount":0,"nativeMetrics":{"statisticsEnabled":0}}</x:v>
      </x:c>
      <x:c r="AZ320" s="44" t="str">
        <x:v>{"provider":"caffeine","currentEntries":10000,"requestCount":132667136,"hitCount":126062361,"missCount":6604775,"hitRate":0.9502154399413582,"loadSuccessCount":0,"loadFailureCount":0,"totalLoadTimeNanos":0,"evictionCount":-1,"expirationCount":-1,"putCount":15000,"removeCount":0,"nativeMetrics":{"statisticsEnabled":0}}</x:v>
      </x:c>
      <x:c r="BA320" s="43" t="n">
        <x:v>10000</x:v>
      </x:c>
      <x:c r="BB320" s="43" t="n">
        <x:v>132667136</x:v>
      </x:c>
      <x:c r="BC320" s="43" t="n">
        <x:v>126062361</x:v>
      </x:c>
      <x:c r="BD320" s="43" t="n">
        <x:v>6604775</x:v>
      </x:c>
      <x:c r="BE320" s="48" t="n">
        <x:v>0.9502154399413582</x:v>
      </x:c>
      <x:c r="BF320" s="43" t="n">
        <x:v>0</x:v>
      </x:c>
      <x:c r="BG320" s="43" t="n">
        <x:v>0</x:v>
      </x:c>
      <x:c r="BH320" s="43" t="n">
        <x:v>0</x:v>
      </x:c>
      <x:c r="BI320" s="43" t="n">
        <x:v>-1</x:v>
      </x:c>
      <x:c r="BJ320" s="43" t="n">
        <x:v>-1</x:v>
      </x:c>
      <x:c r="BK320" s="43" t="n">
        <x:v>15000</x:v>
      </x:c>
      <x:c r="BL320" s="43" t="n">
        <x:v>0</x:v>
      </x:c>
      <x:c r="BM320" s="44" t="str">
        <x:v>{"statisticsEnabled":0}</x:v>
      </x:c>
    </x:row>
    <x:row r="321">
      <x:c r="A321" s="34" t="str">
        <x:v>article1-unified-v4-2-fb3f101b-20260903-000401-default-f06-p2-caffeine</x:v>
      </x:c>
      <x:c r="B321" s="34" t="str">
        <x:v>default</x:v>
      </x:c>
      <x:c r="C321" s="34" t="str">
        <x:v>caffeine</x:v>
      </x:c>
      <x:c r="D321" s="34" t="str">
        <x:v>caffeine</x:v>
      </x:c>
      <x:c r="E321" s="34" t="str">
        <x:v>current-provider-primary-comparison</x:v>
      </x:c>
      <x:c r="F321" s="36" t="n">
        <x:v>6</x:v>
      </x:c>
      <x:c r="G321" s="36" t="n">
        <x:v>6</x:v>
      </x:c>
      <x:c r="H321" s="36" t="n">
        <x:v>2</x:v>
      </x:c>
      <x:c r="I321" s="36" t="n">
        <x:v>5</x:v>
      </x:c>
      <x:c r="J321" s="34" t="str">
        <x:v>redeploy</x:v>
      </x:c>
      <x:c r="K321" s="34" t="str">
        <x:v>cache-semantics</x:v>
      </x:c>
      <x:c r="L321" s="45" t="b">
        <x:v>1</x:v>
      </x:c>
      <x:c r="M321" s="36" t="n">
        <x:v>666294704</x:v>
      </x:c>
      <x:c r="N321" s="34" t="str">
        <x:v>2d37790d1dcdaa2a0296dbfb67d742e82e2643aa9d8bec35c7958bc4847abfa8</x:v>
      </x:c>
      <x:c r="O321" s="43" t="n">
        <x:v>10000</x:v>
      </x:c>
      <x:c r="P321" s="43" t="n">
        <x:v>400000</x:v>
      </x:c>
      <x:c r="Q321" s="36" t="n">
        <x:v>8</x:v>
      </x:c>
      <x:c r="R321" s="42" t="n">
        <x:v>95</x:v>
      </x:c>
      <x:c r="S321" s="43" t="n">
        <x:v>512</x:v>
      </x:c>
      <x:c r="T321" s="43" t="n">
        <x:v>50000</x:v>
      </x:c>
      <x:c r="U321" s="46" t="n">
        <x:v>3</x:v>
      </x:c>
      <x:c r="V321" s="46" t="n">
        <x:v>5</x:v>
      </x:c>
      <x:c r="W321" s="43" t="n">
        <x:v>300</x:v>
      </x:c>
      <x:c r="X321" s="34" t="str">
        <x:v>uniform</x:v>
      </x:c>
      <x:c r="Y321" s="42" t="n">
        <x:v>10</x:v>
      </x:c>
      <x:c r="Z321" s="34" t="str">
        <x:v>strict</x:v>
      </x:c>
      <x:c r="AA321" s="36" t="n">
        <x:v>64</x:v>
      </x:c>
      <x:c r="AB321" s="43" t="n">
        <x:v>83294720</x:v>
      </x:c>
      <x:c r="AC321" s="43" t="n">
        <x:v>3000382029</x:v>
      </x:c>
      <x:c r="AD321" s="43" t="n">
        <x:v>382029</x:v>
      </x:c>
      <x:c r="AE321" s="43" t="n">
        <x:v>2099069.797219362</x:v>
      </x:c>
      <x:c r="AF321" s="43" t="n">
        <x:v>27425789.89183802</x:v>
      </x:c>
      <x:c r="AG321" s="43" t="n">
        <x:v>137194496</x:v>
      </x:c>
      <x:c r="AH321" s="43" t="n">
        <x:v>5002389960</x:v>
      </x:c>
      <x:c r="AI321" s="43" t="n">
        <x:v>2389960</x:v>
      </x:c>
      <x:c r="AJ321" s="43" t="n">
        <x:v>27425789.89183802</x:v>
      </x:c>
      <x:c r="AK321" s="43" t="n">
        <x:v>137194496</x:v>
      </x:c>
      <x:c r="AL321" s="43" t="n">
        <x:v>0</x:v>
      </x:c>
      <x:c r="AM321" s="43" t="n">
        <x:v>414577.2319656624</x:v>
      </x:c>
      <x:c r="AN321" s="43" t="n">
        <x:v>140</x:v>
      </x:c>
      <x:c r="AO321" s="43" t="n">
        <x:v>290</x:v>
      </x:c>
      <x:c r="AP321" s="43" t="n">
        <x:v>481</x:v>
      </x:c>
      <x:c r="AQ321" s="43" t="n">
        <x:v>2143664</x:v>
      </x:c>
      <x:c r="AR321" s="43" t="n">
        <x:v>1</x:v>
      </x:c>
      <x:c r="AS321" s="45" t="b">
        <x:v>1</x:v>
      </x:c>
      <x:c r="AT321" s="43" t="n">
        <x:v>10000</x:v>
      </x:c>
      <x:c r="AU321" s="48" t="n">
        <x:v>0.9502170699326014</x:v>
      </x:c>
      <x:c r="AV321" s="43" t="n">
        <x:v>10000</x:v>
      </x:c>
      <x:c r="AW321" s="48" t="n">
        <x:v>0.9502170699326014</x:v>
      </x:c>
      <x:c r="AX321" s="45" t="b">
        <x:v>1</x:v>
      </x:c>
      <x:c r="AY321" s="44" t="str">
        <x:v>{"provider":"caffeine","currentEntries":10000,"requestCount":137194496,"hitCount":130364552,"missCount":6829944,"hitRate":0.9502170699326014,"loadSuccessCount":0,"loadFailureCount":0,"totalLoadTimeNanos":0,"evictionCount":-1,"expirationCount":-1,"putCount":10000,"removeCount":0,"nativeMetrics":{"statisticsEnabled":0}}</x:v>
      </x:c>
      <x:c r="AZ321" s="44" t="str">
        <x:v>{"provider":"caffeine","currentEntries":10000,"requestCount":137194496,"hitCount":130364552,"missCount":6829944,"hitRate":0.9502170699326014,"loadSuccessCount":0,"loadFailureCount":0,"totalLoadTimeNanos":0,"evictionCount":-1,"expirationCount":-1,"putCount":15000,"removeCount":0,"nativeMetrics":{"statisticsEnabled":0}}</x:v>
      </x:c>
      <x:c r="BA321" s="43" t="n">
        <x:v>10000</x:v>
      </x:c>
      <x:c r="BB321" s="43" t="n">
        <x:v>137194496</x:v>
      </x:c>
      <x:c r="BC321" s="43" t="n">
        <x:v>130364552</x:v>
      </x:c>
      <x:c r="BD321" s="43" t="n">
        <x:v>6829944</x:v>
      </x:c>
      <x:c r="BE321" s="48" t="n">
        <x:v>0.9502170699326014</x:v>
      </x:c>
      <x:c r="BF321" s="43" t="n">
        <x:v>0</x:v>
      </x:c>
      <x:c r="BG321" s="43" t="n">
        <x:v>0</x:v>
      </x:c>
      <x:c r="BH321" s="43" t="n">
        <x:v>0</x:v>
      </x:c>
      <x:c r="BI321" s="43" t="n">
        <x:v>-1</x:v>
      </x:c>
      <x:c r="BJ321" s="43" t="n">
        <x:v>-1</x:v>
      </x:c>
      <x:c r="BK321" s="43" t="n">
        <x:v>15000</x:v>
      </x:c>
      <x:c r="BL321" s="43" t="n">
        <x:v>0</x:v>
      </x:c>
      <x:c r="BM321" s="44" t="str">
        <x:v>{"statisticsEnabled":0}</x:v>
      </x:c>
    </x:row>
    <x:row r="322">
      <x:c r="A322" s="34" t="str">
        <x:v>article1-unified-v4-2-fb3f101b-20260903-000401-default-f06-p3-jcs321</x:v>
      </x:c>
      <x:c r="B322" s="34" t="str">
        <x:v>default</x:v>
      </x:c>
      <x:c r="C322" s="34" t="str">
        <x:v>jcs321</x:v>
      </x:c>
      <x:c r="D322" s="34" t="str">
        <x:v>jcs321</x:v>
      </x:c>
      <x:c r="E322" s="34" t="str">
        <x:v>JCS-248-positive-control</x:v>
      </x:c>
      <x:c r="F322" s="36" t="n">
        <x:v>6</x:v>
      </x:c>
      <x:c r="G322" s="36" t="n">
        <x:v>6</x:v>
      </x:c>
      <x:c r="H322" s="36" t="n">
        <x:v>3</x:v>
      </x:c>
      <x:c r="I322" s="36" t="n">
        <x:v>1</x:v>
      </x:c>
      <x:c r="J322" s="34" t="str">
        <x:v>initial</x:v>
      </x:c>
      <x:c r="K322" s="34" t="str">
        <x:v>cache-semantics</x:v>
      </x:c>
      <x:c r="L322" s="45" t="b">
        <x:v>0</x:v>
      </x:c>
      <x:c r="M322" s="36" t="n">
        <x:v>927914527</x:v>
      </x:c>
      <x:c r="N322" s="34" t="str">
        <x:v>7a0b70d8daf7dcbd235b9a1f729db348ce24c4865cb3e23ae17472baf92df172</x:v>
      </x:c>
      <x:c r="O322" s="43" t="n">
        <x:v>10000</x:v>
      </x:c>
      <x:c r="P322" s="43" t="n">
        <x:v>400000</x:v>
      </x:c>
      <x:c r="Q322" s="36" t="n">
        <x:v>8</x:v>
      </x:c>
      <x:c r="R322" s="42" t="n">
        <x:v>95</x:v>
      </x:c>
      <x:c r="S322" s="43" t="n">
        <x:v>512</x:v>
      </x:c>
      <x:c r="T322" s="43" t="n">
        <x:v>50000</x:v>
      </x:c>
      <x:c r="U322" s="46" t="n">
        <x:v>3</x:v>
      </x:c>
      <x:c r="V322" s="46" t="n">
        <x:v>5</x:v>
      </x:c>
      <x:c r="W322" s="43" t="n">
        <x:v>300</x:v>
      </x:c>
      <x:c r="X322" s="34" t="str">
        <x:v>uniform</x:v>
      </x:c>
      <x:c r="Y322" s="42" t="n">
        <x:v>10</x:v>
      </x:c>
      <x:c r="Z322" s="34" t="str">
        <x:v>strict</x:v>
      </x:c>
      <x:c r="AA322" s="36" t="n">
        <x:v>64</x:v>
      </x:c>
      <x:c r="AB322" s="43" t="n">
        <x:v>8401664</x:v>
      </x:c>
      <x:c r="AC322" s="43" t="n">
        <x:v>3000703673</x:v>
      </x:c>
      <x:c r="AD322" s="43" t="n">
        <x:v>703673</x:v>
      </x:c>
      <x:c r="AE322" s="43" t="n">
        <x:v>3481828.684279613</x:v>
      </x:c>
      <x:c r="AF322" s="43" t="n">
        <x:v>3019064.5080145383</x:v>
      </x:c>
      <x:c r="AG322" s="43" t="n">
        <x:v>15097344</x:v>
      </x:c>
      <x:c r="AH322" s="43" t="n">
        <x:v>5000669565</x:v>
      </x:c>
      <x:c r="AI322" s="43" t="n">
        <x:v>669565</x:v>
      </x:c>
      <x:c r="AJ322" s="43" t="n">
        <x:v>3019064.5080145383</x:v>
      </x:c>
      <x:c r="AK322" s="43" t="n">
        <x:v>15097344</x:v>
      </x:c>
      <x:c r="AL322" s="43" t="n">
        <x:v>0</x:v>
      </x:c>
      <x:c r="AM322" s="43" t="n">
        <x:v>534528.739151472</x:v>
      </x:c>
      <x:c r="AN322" s="43" t="n">
        <x:v>300</x:v>
      </x:c>
      <x:c r="AO322" s="43" t="n">
        <x:v>812</x:v>
      </x:c>
      <x:c r="AP322" s="43" t="n">
        <x:v>189601</x:v>
      </x:c>
      <x:c r="AQ322" s="43" t="n">
        <x:v>235896</x:v>
      </x:c>
      <x:c r="AR322" s="43" t="n">
        <x:v>1</x:v>
      </x:c>
      <x:c r="AS322" s="45" t="b">
        <x:v>1</x:v>
      </x:c>
      <x:c r="AT322" s="43" t="n">
        <x:v>10000</x:v>
      </x:c>
      <x:c r="AU322" s="48" t="n">
        <x:v>0.9502425724683758</x:v>
      </x:c>
      <x:c r="AV322" s="43" t="n">
        <x:v>10000</x:v>
      </x:c>
      <x:c r="AW322" s="48" t="n">
        <x:v>0.9502425724683758</x:v>
      </x:c>
      <x:c r="AX322" s="45" t="b">
        <x:v>1</x:v>
      </x:c>
      <x:c r="AY322" s="44" t="str">
        <x:v>{"provider":"jcs321","currentEntries":10000,"requestCount":15097344,"hitCount":14346139,"missCount":751205,"hitRate":0.9502425724683758,"loadSuccessCount":0,"loadFailureCount":0,"totalLoadTimeNanos":0,"evictionCount":-1,"expirationCount":-1,"putCount":10000,"removeCount":0,"nativeMetrics":{"HitCountRam":14346139,"Composite.HitCountRam":14346139,"HitCountAux":0,"Composite.HitCountAux":0,"Put Count":10000,"Memory Cache.Put Count":10000,"Hit Count":14346139,"Memory Cache.Hit Count":14346139,"Miss Count":751205,"Memory Cache.Miss Count":751205,"Map Size":10000,"Memory Cache.Map Size":10000,"List Size":10000,"Memory Cache.List Size":10000}}</x:v>
      </x:c>
      <x:c r="AZ322" s="44" t="str">
        <x:v>{"provider":"jcs321","currentEntries":10000,"requestCount":15097344,"hitCount":14346139,"missCount":751205,"hitRate":0.9502425724683758,"loadSuccessCount":0,"loadFailureCount":0,"totalLoadTimeNanos":0,"evictionCount":-1,"expirationCount":-1,"putCount":15000,"removeCount":0,"nativeMetrics":{"HitCountRam":14346139,"Composite.HitCountRam":14346139,"HitCountAux":0,"Composite.HitCountAux":0,"Put Count":15000,"Memory Cache.Put Count":15000,"Hit Count":14346139,"Memory Cache.Hit Count":14346139,"Miss Count":751205,"Memory Cache.Miss Count":751205,"Map Size":10000,"Memory Cache.Map Size":10000,"List Size":10000,"Memory Cache.List Size":10000}}</x:v>
      </x:c>
      <x:c r="BA322" s="43" t="n">
        <x:v>10000</x:v>
      </x:c>
      <x:c r="BB322" s="43" t="n">
        <x:v>15097344</x:v>
      </x:c>
      <x:c r="BC322" s="43" t="n">
        <x:v>14346139</x:v>
      </x:c>
      <x:c r="BD322" s="43" t="n">
        <x:v>751205</x:v>
      </x:c>
      <x:c r="BE322" s="48" t="n">
        <x:v>0.9502425724683758</x:v>
      </x:c>
      <x:c r="BF322" s="43" t="n">
        <x:v>0</x:v>
      </x:c>
      <x:c r="BG322" s="43" t="n">
        <x:v>0</x:v>
      </x:c>
      <x:c r="BH322" s="43" t="n">
        <x:v>0</x:v>
      </x:c>
      <x:c r="BI322" s="43" t="n">
        <x:v>-1</x:v>
      </x:c>
      <x:c r="BJ322" s="43" t="n">
        <x:v>-1</x:v>
      </x:c>
      <x:c r="BK322" s="43" t="n">
        <x:v>15000</x:v>
      </x:c>
      <x:c r="BL322" s="43" t="n">
        <x:v>0</x:v>
      </x:c>
      <x:c r="BM322" s="44" t="str">
        <x:v>{"HitCountRam":14346139,"Composite.HitCountRam":14346139,"HitCountAux":0,"Composite.HitCountAux":0,"Put Count":15000,"Memory Cache.Put Count":15000,"Hit Count":14346139,"Memory Cache.Hit Count":14346139,"Miss Count":751205,"Memory Cache.Miss Count":751205,"Map Size":10000,"Memory Cache.Map Size":10000,"List Size":10000,"Memory Cache.List Size":10000}</x:v>
      </x:c>
    </x:row>
    <x:row r="323">
      <x:c r="A323" s="34" t="str">
        <x:v>article1-unified-v4-2-fb3f101b-20260903-000401-default-f06-p3-jcs321</x:v>
      </x:c>
      <x:c r="B323" s="34" t="str">
        <x:v>default</x:v>
      </x:c>
      <x:c r="C323" s="34" t="str">
        <x:v>jcs321</x:v>
      </x:c>
      <x:c r="D323" s="34" t="str">
        <x:v>jcs321</x:v>
      </x:c>
      <x:c r="E323" s="34" t="str">
        <x:v>JCS-248-positive-control</x:v>
      </x:c>
      <x:c r="F323" s="36" t="n">
        <x:v>6</x:v>
      </x:c>
      <x:c r="G323" s="36" t="n">
        <x:v>6</x:v>
      </x:c>
      <x:c r="H323" s="36" t="n">
        <x:v>3</x:v>
      </x:c>
      <x:c r="I323" s="36" t="n">
        <x:v>1</x:v>
      </x:c>
      <x:c r="J323" s="34" t="str">
        <x:v>redeploy</x:v>
      </x:c>
      <x:c r="K323" s="34" t="str">
        <x:v>cache-semantics</x:v>
      </x:c>
      <x:c r="L323" s="45" t="b">
        <x:v>0</x:v>
      </x:c>
      <x:c r="M323" s="36" t="n">
        <x:v>927914527</x:v>
      </x:c>
      <x:c r="N323" s="34" t="str">
        <x:v>7a0b70d8daf7dcbd235b9a1f729db348ce24c4865cb3e23ae17472baf92df172</x:v>
      </x:c>
      <x:c r="O323" s="43" t="n">
        <x:v>10000</x:v>
      </x:c>
      <x:c r="P323" s="43" t="n">
        <x:v>400000</x:v>
      </x:c>
      <x:c r="Q323" s="36" t="n">
        <x:v>8</x:v>
      </x:c>
      <x:c r="R323" s="42" t="n">
        <x:v>95</x:v>
      </x:c>
      <x:c r="S323" s="43" t="n">
        <x:v>512</x:v>
      </x:c>
      <x:c r="T323" s="43" t="n">
        <x:v>50000</x:v>
      </x:c>
      <x:c r="U323" s="46" t="n">
        <x:v>3</x:v>
      </x:c>
      <x:c r="V323" s="46" t="n">
        <x:v>5</x:v>
      </x:c>
      <x:c r="W323" s="43" t="n">
        <x:v>300</x:v>
      </x:c>
      <x:c r="X323" s="34" t="str">
        <x:v>uniform</x:v>
      </x:c>
      <x:c r="Y323" s="42" t="n">
        <x:v>10</x:v>
      </x:c>
      <x:c r="Z323" s="34" t="str">
        <x:v>strict</x:v>
      </x:c>
      <x:c r="AA323" s="36" t="n">
        <x:v>64</x:v>
      </x:c>
      <x:c r="AB323" s="43" t="n">
        <x:v>8287488</x:v>
      </x:c>
      <x:c r="AC323" s="43" t="n">
        <x:v>3000577628</x:v>
      </x:c>
      <x:c r="AD323" s="43" t="n">
        <x:v>577628</x:v>
      </x:c>
      <x:c r="AE323" s="43" t="n">
        <x:v>2896254.70822406</x:v>
      </x:c>
      <x:c r="AF323" s="43" t="n">
        <x:v>2902193.5166400746</x:v>
      </x:c>
      <x:c r="AG323" s="43" t="n">
        <x:v>14513408</x:v>
      </x:c>
      <x:c r="AH323" s="43" t="n">
        <x:v>5000840887</x:v>
      </x:c>
      <x:c r="AI323" s="43" t="n">
        <x:v>840887</x:v>
      </x:c>
      <x:c r="AJ323" s="43" t="n">
        <x:v>2902193.5166400746</x:v>
      </x:c>
      <x:c r="AK323" s="43" t="n">
        <x:v>14513408</x:v>
      </x:c>
      <x:c r="AL323" s="43" t="n">
        <x:v>0</x:v>
      </x:c>
      <x:c r="AM323" s="43" t="n">
        <x:v>549461.1160104728</x:v>
      </x:c>
      <x:c r="AN323" s="43" t="n">
        <x:v>301</x:v>
      </x:c>
      <x:c r="AO323" s="43" t="n">
        <x:v>862</x:v>
      </x:c>
      <x:c r="AP323" s="43" t="n">
        <x:v>188329</x:v>
      </x:c>
      <x:c r="AQ323" s="43" t="n">
        <x:v>226772</x:v>
      </x:c>
      <x:c r="AR323" s="43" t="n">
        <x:v>1</x:v>
      </x:c>
      <x:c r="AS323" s="45" t="b">
        <x:v>1</x:v>
      </x:c>
      <x:c r="AT323" s="43" t="n">
        <x:v>10000</x:v>
      </x:c>
      <x:c r="AU323" s="48" t="n">
        <x:v>0.9502395302330093</x:v>
      </x:c>
      <x:c r="AV323" s="43" t="n">
        <x:v>10000</x:v>
      </x:c>
      <x:c r="AW323" s="48" t="n">
        <x:v>0.9502395302330093</x:v>
      </x:c>
      <x:c r="AX323" s="45" t="b">
        <x:v>1</x:v>
      </x:c>
      <x:c r="AY323" s="44" t="str">
        <x:v>{"provider":"jcs321","currentEntries":10000,"requestCount":14513408,"hitCount":13791214,"missCount":722194,"hitRate":0.9502395302330093,"loadSuccessCount":0,"loadFailureCount":0,"totalLoadTimeNanos":0,"evictionCount":-1,"expirationCount":-1,"putCount":10000,"removeCount":0,"nativeMetrics":{"HitCountRam":13791214,"Composite.HitCountRam":13791214,"HitCountAux":0,"Composite.HitCountAux":0,"Put Count":10000,"Memory Cache.Put Count":10000,"Hit Count":13791214,"Memory Cache.Hit Count":13791214,"Miss Count":722194,"Memory Cache.Miss Count":722194,"Map Size":10000,"Memory Cache.Map Size":10000,"List Size":10000,"Memory Cache.List Size":10000}}</x:v>
      </x:c>
      <x:c r="AZ323" s="44" t="str">
        <x:v>{"provider":"jcs321","currentEntries":10000,"requestCount":14513408,"hitCount":13791214,"missCount":722194,"hitRate":0.9502395302330093,"loadSuccessCount":0,"loadFailureCount":0,"totalLoadTimeNanos":0,"evictionCount":-1,"expirationCount":-1,"putCount":15000,"removeCount":0,"nativeMetrics":{"HitCountRam":13791214,"Composite.HitCountRam":13791214,"HitCountAux":0,"Composite.HitCountAux":0,"Put Count":15000,"Memory Cache.Put Count":15000,"Hit Count":13791214,"Memory Cache.Hit Count":13791214,"Miss Count":722194,"Memory Cache.Miss Count":722194,"Map Size":10000,"Memory Cache.Map Size":10000,"List Size":10000,"Memory Cache.List Size":10000}}</x:v>
      </x:c>
      <x:c r="BA323" s="43" t="n">
        <x:v>10000</x:v>
      </x:c>
      <x:c r="BB323" s="43" t="n">
        <x:v>14513408</x:v>
      </x:c>
      <x:c r="BC323" s="43" t="n">
        <x:v>13791214</x:v>
      </x:c>
      <x:c r="BD323" s="43" t="n">
        <x:v>722194</x:v>
      </x:c>
      <x:c r="BE323" s="48" t="n">
        <x:v>0.9502395302330093</x:v>
      </x:c>
      <x:c r="BF323" s="43" t="n">
        <x:v>0</x:v>
      </x:c>
      <x:c r="BG323" s="43" t="n">
        <x:v>0</x:v>
      </x:c>
      <x:c r="BH323" s="43" t="n">
        <x:v>0</x:v>
      </x:c>
      <x:c r="BI323" s="43" t="n">
        <x:v>-1</x:v>
      </x:c>
      <x:c r="BJ323" s="43" t="n">
        <x:v>-1</x:v>
      </x:c>
      <x:c r="BK323" s="43" t="n">
        <x:v>15000</x:v>
      </x:c>
      <x:c r="BL323" s="43" t="n">
        <x:v>0</x:v>
      </x:c>
      <x:c r="BM323" s="44" t="str">
        <x:v>{"HitCountRam":13791214,"Composite.HitCountRam":13791214,"HitCountAux":0,"Composite.HitCountAux":0,"Put Count":15000,"Memory Cache.Put Count":15000,"Hit Count":13791214,"Memory Cache.Hit Count":13791214,"Miss Count":722194,"Memory Cache.Miss Count":722194,"Map Size":10000,"Memory Cache.Map Size":10000,"List Size":10000,"Memory Cache.List Size":10000}</x:v>
      </x:c>
    </x:row>
    <x:row r="324">
      <x:c r="A324" s="34" t="str">
        <x:v>article1-unified-v4-2-fb3f101b-20260903-000401-default-f06-p3-jcs321</x:v>
      </x:c>
      <x:c r="B324" s="34" t="str">
        <x:v>default</x:v>
      </x:c>
      <x:c r="C324" s="34" t="str">
        <x:v>jcs321</x:v>
      </x:c>
      <x:c r="D324" s="34" t="str">
        <x:v>jcs321</x:v>
      </x:c>
      <x:c r="E324" s="34" t="str">
        <x:v>JCS-248-positive-control</x:v>
      </x:c>
      <x:c r="F324" s="36" t="n">
        <x:v>6</x:v>
      </x:c>
      <x:c r="G324" s="36" t="n">
        <x:v>6</x:v>
      </x:c>
      <x:c r="H324" s="36" t="n">
        <x:v>3</x:v>
      </x:c>
      <x:c r="I324" s="36" t="n">
        <x:v>2</x:v>
      </x:c>
      <x:c r="J324" s="34" t="str">
        <x:v>initial</x:v>
      </x:c>
      <x:c r="K324" s="34" t="str">
        <x:v>cache-semantics</x:v>
      </x:c>
      <x:c r="L324" s="45" t="b">
        <x:v>0</x:v>
      </x:c>
      <x:c r="M324" s="36" t="n">
        <x:v>977482916</x:v>
      </x:c>
      <x:c r="N324" s="34" t="str">
        <x:v>fbef1bb91de564b9301b3368c99f514c400bd26d86d0deae91aa8f63ce424d4c</x:v>
      </x:c>
      <x:c r="O324" s="43" t="n">
        <x:v>10000</x:v>
      </x:c>
      <x:c r="P324" s="43" t="n">
        <x:v>400000</x:v>
      </x:c>
      <x:c r="Q324" s="36" t="n">
        <x:v>8</x:v>
      </x:c>
      <x:c r="R324" s="42" t="n">
        <x:v>95</x:v>
      </x:c>
      <x:c r="S324" s="43" t="n">
        <x:v>512</x:v>
      </x:c>
      <x:c r="T324" s="43" t="n">
        <x:v>50000</x:v>
      </x:c>
      <x:c r="U324" s="46" t="n">
        <x:v>3</x:v>
      </x:c>
      <x:c r="V324" s="46" t="n">
        <x:v>5</x:v>
      </x:c>
      <x:c r="W324" s="43" t="n">
        <x:v>300</x:v>
      </x:c>
      <x:c r="X324" s="34" t="str">
        <x:v>uniform</x:v>
      </x:c>
      <x:c r="Y324" s="42" t="n">
        <x:v>10</x:v>
      </x:c>
      <x:c r="Z324" s="34" t="str">
        <x:v>strict</x:v>
      </x:c>
      <x:c r="AA324" s="36" t="n">
        <x:v>64</x:v>
      </x:c>
      <x:c r="AB324" s="43" t="n">
        <x:v>8036352</x:v>
      </x:c>
      <x:c r="AC324" s="43" t="n">
        <x:v>3000949851</x:v>
      </x:c>
      <x:c r="AD324" s="43" t="n">
        <x:v>949851</x:v>
      </x:c>
      <x:c r="AE324" s="43" t="n">
        <x:v>3544557.0313909515</x:v>
      </x:c>
      <x:c r="AF324" s="43" t="n">
        <x:v>2378081.955375565</x:v>
      </x:c>
      <x:c r="AG324" s="43" t="n">
        <x:v>11892736</x:v>
      </x:c>
      <x:c r="AH324" s="43" t="n">
        <x:v>5000978193</x:v>
      </x:c>
      <x:c r="AI324" s="43" t="n">
        <x:v>978193</x:v>
      </x:c>
      <x:c r="AJ324" s="43" t="n">
        <x:v>2378081.955375565</x:v>
      </x:c>
      <x:c r="AK324" s="43" t="n">
        <x:v>11892736</x:v>
      </x:c>
      <x:c r="AL324" s="43" t="n">
        <x:v>0</x:v>
      </x:c>
      <x:c r="AM324" s="43" t="n">
        <x:v>546210.6797952409</x:v>
      </x:c>
      <x:c r="AN324" s="43" t="n">
        <x:v>401</x:v>
      </x:c>
      <x:c r="AO324" s="43" t="n">
        <x:v>1012</x:v>
      </x:c>
      <x:c r="AP324" s="43" t="n">
        <x:v>209291</x:v>
      </x:c>
      <x:c r="AQ324" s="43" t="n">
        <x:v>185824</x:v>
      </x:c>
      <x:c r="AR324" s="43" t="n">
        <x:v>1</x:v>
      </x:c>
      <x:c r="AS324" s="45" t="b">
        <x:v>1</x:v>
      </x:c>
      <x:c r="AT324" s="43" t="n">
        <x:v>10000</x:v>
      </x:c>
      <x:c r="AU324" s="48" t="n">
        <x:v>0.9497612660366799</x:v>
      </x:c>
      <x:c r="AV324" s="43" t="n">
        <x:v>10000</x:v>
      </x:c>
      <x:c r="AW324" s="48" t="n">
        <x:v>0.9497612660366799</x:v>
      </x:c>
      <x:c r="AX324" s="45" t="b">
        <x:v>1</x:v>
      </x:c>
      <x:c r="AY324" s="44" t="str">
        <x:v>{"provider":"jcs321","currentEntries":10000,"requestCount":11892736,"hitCount":11295260,"missCount":597476,"hitRate":0.9497612660366799,"loadSuccessCount":0,"loadFailureCount":0,"totalLoadTimeNanos":0,"evictionCount":-1,"expirationCount":-1,"putCount":10000,"removeCount":0,"nativeMetrics":{"HitCountRam":11295260,"Composite.HitCountRam":11295260,"HitCountAux":0,"Composite.HitCountAux":0,"Put Count":10000,"Memory Cache.Put Count":10000,"Hit Count":11295260,"Memory Cache.Hit Count":11295260,"Miss Count":597476,"Memory Cache.Miss Count":597476,"Map Size":10000,"Memory Cache.Map Size":10000,"List Size":10000,"Memory Cache.List Size":10000}}</x:v>
      </x:c>
      <x:c r="AZ324" s="44" t="str">
        <x:v>{"provider":"jcs321","currentEntries":10000,"requestCount":11892736,"hitCount":11295260,"missCount":597476,"hitRate":0.9497612660366799,"loadSuccessCount":0,"loadFailureCount":0,"totalLoadTimeNanos":0,"evictionCount":-1,"expirationCount":-1,"putCount":15000,"removeCount":0,"nativeMetrics":{"HitCountRam":11295260,"Composite.HitCountRam":11295260,"HitCountAux":0,"Composite.HitCountAux":0,"Put Count":15000,"Memory Cache.Put Count":15000,"Hit Count":11295260,"Memory Cache.Hit Count":11295260,"Miss Count":597476,"Memory Cache.Miss Count":597476,"Map Size":10000,"Memory Cache.Map Size":10000,"List Size":10000,"Memory Cache.List Size":10000}}</x:v>
      </x:c>
      <x:c r="BA324" s="43" t="n">
        <x:v>10000</x:v>
      </x:c>
      <x:c r="BB324" s="43" t="n">
        <x:v>11892736</x:v>
      </x:c>
      <x:c r="BC324" s="43" t="n">
        <x:v>11295260</x:v>
      </x:c>
      <x:c r="BD324" s="43" t="n">
        <x:v>597476</x:v>
      </x:c>
      <x:c r="BE324" s="48" t="n">
        <x:v>0.9497612660366799</x:v>
      </x:c>
      <x:c r="BF324" s="43" t="n">
        <x:v>0</x:v>
      </x:c>
      <x:c r="BG324" s="43" t="n">
        <x:v>0</x:v>
      </x:c>
      <x:c r="BH324" s="43" t="n">
        <x:v>0</x:v>
      </x:c>
      <x:c r="BI324" s="43" t="n">
        <x:v>-1</x:v>
      </x:c>
      <x:c r="BJ324" s="43" t="n">
        <x:v>-1</x:v>
      </x:c>
      <x:c r="BK324" s="43" t="n">
        <x:v>15000</x:v>
      </x:c>
      <x:c r="BL324" s="43" t="n">
        <x:v>0</x:v>
      </x:c>
      <x:c r="BM324" s="44" t="str">
        <x:v>{"HitCountRam":11295260,"Composite.HitCountRam":11295260,"HitCountAux":0,"Composite.HitCountAux":0,"Put Count":15000,"Memory Cache.Put Count":15000,"Hit Count":11295260,"Memory Cache.Hit Count":11295260,"Miss Count":597476,"Memory Cache.Miss Count":597476,"Map Size":10000,"Memory Cache.Map Size":10000,"List Size":10000,"Memory Cache.List Size":10000}</x:v>
      </x:c>
    </x:row>
    <x:row r="325">
      <x:c r="A325" s="34" t="str">
        <x:v>article1-unified-v4-2-fb3f101b-20260903-000401-default-f06-p3-jcs321</x:v>
      </x:c>
      <x:c r="B325" s="34" t="str">
        <x:v>default</x:v>
      </x:c>
      <x:c r="C325" s="34" t="str">
        <x:v>jcs321</x:v>
      </x:c>
      <x:c r="D325" s="34" t="str">
        <x:v>jcs321</x:v>
      </x:c>
      <x:c r="E325" s="34" t="str">
        <x:v>JCS-248-positive-control</x:v>
      </x:c>
      <x:c r="F325" s="36" t="n">
        <x:v>6</x:v>
      </x:c>
      <x:c r="G325" s="36" t="n">
        <x:v>6</x:v>
      </x:c>
      <x:c r="H325" s="36" t="n">
        <x:v>3</x:v>
      </x:c>
      <x:c r="I325" s="36" t="n">
        <x:v>2</x:v>
      </x:c>
      <x:c r="J325" s="34" t="str">
        <x:v>redeploy</x:v>
      </x:c>
      <x:c r="K325" s="34" t="str">
        <x:v>cache-semantics</x:v>
      </x:c>
      <x:c r="L325" s="45" t="b">
        <x:v>0</x:v>
      </x:c>
      <x:c r="M325" s="36" t="n">
        <x:v>977482916</x:v>
      </x:c>
      <x:c r="N325" s="34" t="str">
        <x:v>fbef1bb91de564b9301b3368c99f514c400bd26d86d0deae91aa8f63ce424d4c</x:v>
      </x:c>
      <x:c r="O325" s="43" t="n">
        <x:v>10000</x:v>
      </x:c>
      <x:c r="P325" s="43" t="n">
        <x:v>400000</x:v>
      </x:c>
      <x:c r="Q325" s="36" t="n">
        <x:v>8</x:v>
      </x:c>
      <x:c r="R325" s="42" t="n">
        <x:v>95</x:v>
      </x:c>
      <x:c r="S325" s="43" t="n">
        <x:v>512</x:v>
      </x:c>
      <x:c r="T325" s="43" t="n">
        <x:v>50000</x:v>
      </x:c>
      <x:c r="U325" s="46" t="n">
        <x:v>3</x:v>
      </x:c>
      <x:c r="V325" s="46" t="n">
        <x:v>5</x:v>
      </x:c>
      <x:c r="W325" s="43" t="n">
        <x:v>300</x:v>
      </x:c>
      <x:c r="X325" s="34" t="str">
        <x:v>uniform</x:v>
      </x:c>
      <x:c r="Y325" s="42" t="n">
        <x:v>10</x:v>
      </x:c>
      <x:c r="Z325" s="34" t="str">
        <x:v>strict</x:v>
      </x:c>
      <x:c r="AA325" s="36" t="n">
        <x:v>64</x:v>
      </x:c>
      <x:c r="AB325" s="43" t="n">
        <x:v>7984896</x:v>
      </x:c>
      <x:c r="AC325" s="43" t="n">
        <x:v>3000527543</x:v>
      </x:c>
      <x:c r="AD325" s="43" t="n">
        <x:v>527543</x:v>
      </x:c>
      <x:c r="AE325" s="43" t="n">
        <x:v>2444647.078524509</x:v>
      </x:c>
      <x:c r="AF325" s="43" t="n">
        <x:v>3084737.2858555266</x:v>
      </x:c>
      <x:c r="AG325" s="43" t="n">
        <x:v>15425792</x:v>
      </x:c>
      <x:c r="AH325" s="43" t="n">
        <x:v>5000682577</x:v>
      </x:c>
      <x:c r="AI325" s="43" t="n">
        <x:v>682577</x:v>
      </x:c>
      <x:c r="AJ325" s="43" t="n">
        <x:v>3084737.2858555266</x:v>
      </x:c>
      <x:c r="AK325" s="43" t="n">
        <x:v>15425792</x:v>
      </x:c>
      <x:c r="AL325" s="43" t="n">
        <x:v>0</x:v>
      </x:c>
      <x:c r="AM325" s="43" t="n">
        <x:v>407296.272848099</x:v>
      </x:c>
      <x:c r="AN325" s="43" t="n">
        <x:v>280</x:v>
      </x:c>
      <x:c r="AO325" s="43" t="n">
        <x:v>791</x:v>
      </x:c>
      <x:c r="AP325" s="43" t="n">
        <x:v>184463</x:v>
      </x:c>
      <x:c r="AQ325" s="43" t="n">
        <x:v>241028</x:v>
      </x:c>
      <x:c r="AR325" s="43" t="n">
        <x:v>1</x:v>
      </x:c>
      <x:c r="AS325" s="45" t="b">
        <x:v>1</x:v>
      </x:c>
      <x:c r="AT325" s="43" t="n">
        <x:v>10000</x:v>
      </x:c>
      <x:c r="AU325" s="48" t="n">
        <x:v>0.949752531344906</x:v>
      </x:c>
      <x:c r="AV325" s="43" t="n">
        <x:v>10000</x:v>
      </x:c>
      <x:c r="AW325" s="48" t="n">
        <x:v>0.949752531344906</x:v>
      </x:c>
      <x:c r="AX325" s="45" t="b">
        <x:v>1</x:v>
      </x:c>
      <x:c r="AY325" s="44" t="str">
        <x:v>{"provider":"jcs321","currentEntries":10000,"requestCount":15425792,"hitCount":14650685,"missCount":775107,"hitRate":0.949752531344906,"loadSuccessCount":0,"loadFailureCount":0,"totalLoadTimeNanos":0,"evictionCount":-1,"expirationCount":-1,"putCount":10000,"removeCount":0,"nativeMetrics":{"HitCountRam":14650685,"Composite.HitCountRam":14650685,"HitCountAux":0,"Composite.HitCountAux":0,"Put Count":10000,"Memory Cache.Put Count":10000,"Hit Count":14650685,"Memory Cache.Hit Count":14650685,"Miss Count":775107,"Memory Cache.Miss Count":775107,"Map Size":10000,"Memory Cache.Map Size":10000,"List Size":10000,"Memory Cache.List Size":10000}}</x:v>
      </x:c>
      <x:c r="AZ325" s="44" t="str">
        <x:v>{"provider":"jcs321","currentEntries":10000,"requestCount":15425792,"hitCount":14650685,"missCount":775107,"hitRate":0.949752531344906,"loadSuccessCount":0,"loadFailureCount":0,"totalLoadTimeNanos":0,"evictionCount":-1,"expirationCount":-1,"putCount":15000,"removeCount":0,"nativeMetrics":{"HitCountRam":14650685,"Composite.HitCountRam":14650685,"HitCountAux":0,"Composite.HitCountAux":0,"Put Count":15000,"Memory Cache.Put Count":15000,"Hit Count":14650685,"Memory Cache.Hit Count":14650685,"Miss Count":775107,"Memory Cache.Miss Count":775107,"Map Size":10000,"Memory Cache.Map Size":10000,"List Size":10000,"Memory Cache.List Size":10000}}</x:v>
      </x:c>
      <x:c r="BA325" s="43" t="n">
        <x:v>10000</x:v>
      </x:c>
      <x:c r="BB325" s="43" t="n">
        <x:v>15425792</x:v>
      </x:c>
      <x:c r="BC325" s="43" t="n">
        <x:v>14650685</x:v>
      </x:c>
      <x:c r="BD325" s="43" t="n">
        <x:v>775107</x:v>
      </x:c>
      <x:c r="BE325" s="48" t="n">
        <x:v>0.949752531344906</x:v>
      </x:c>
      <x:c r="BF325" s="43" t="n">
        <x:v>0</x:v>
      </x:c>
      <x:c r="BG325" s="43" t="n">
        <x:v>0</x:v>
      </x:c>
      <x:c r="BH325" s="43" t="n">
        <x:v>0</x:v>
      </x:c>
      <x:c r="BI325" s="43" t="n">
        <x:v>-1</x:v>
      </x:c>
      <x:c r="BJ325" s="43" t="n">
        <x:v>-1</x:v>
      </x:c>
      <x:c r="BK325" s="43" t="n">
        <x:v>15000</x:v>
      </x:c>
      <x:c r="BL325" s="43" t="n">
        <x:v>0</x:v>
      </x:c>
      <x:c r="BM325" s="44" t="str">
        <x:v>{"HitCountRam":14650685,"Composite.HitCountRam":14650685,"HitCountAux":0,"Composite.HitCountAux":0,"Put Count":15000,"Memory Cache.Put Count":15000,"Hit Count":14650685,"Memory Cache.Hit Count":14650685,"Miss Count":775107,"Memory Cache.Miss Count":775107,"Map Size":10000,"Memory Cache.Map Size":10000,"List Size":10000,"Memory Cache.List Size":10000}</x:v>
      </x:c>
    </x:row>
    <x:row r="326">
      <x:c r="A326" s="34" t="str">
        <x:v>article1-unified-v4-2-fb3f101b-20260903-000401-default-f06-p3-jcs321</x:v>
      </x:c>
      <x:c r="B326" s="34" t="str">
        <x:v>default</x:v>
      </x:c>
      <x:c r="C326" s="34" t="str">
        <x:v>jcs321</x:v>
      </x:c>
      <x:c r="D326" s="34" t="str">
        <x:v>jcs321</x:v>
      </x:c>
      <x:c r="E326" s="34" t="str">
        <x:v>JCS-248-positive-control</x:v>
      </x:c>
      <x:c r="F326" s="36" t="n">
        <x:v>6</x:v>
      </x:c>
      <x:c r="G326" s="36" t="n">
        <x:v>6</x:v>
      </x:c>
      <x:c r="H326" s="36" t="n">
        <x:v>3</x:v>
      </x:c>
      <x:c r="I326" s="36" t="n">
        <x:v>3</x:v>
      </x:c>
      <x:c r="J326" s="34" t="str">
        <x:v>initial</x:v>
      </x:c>
      <x:c r="K326" s="34" t="str">
        <x:v>cache-semantics</x:v>
      </x:c>
      <x:c r="L326" s="45" t="b">
        <x:v>0</x:v>
      </x:c>
      <x:c r="M326" s="36" t="n">
        <x:v>1145234224</x:v>
      </x:c>
      <x:c r="N326" s="34" t="str">
        <x:v>6af895c3c09dcc45239d20d59a83e7d7936a4cbc235d171eb415d308df579083</x:v>
      </x:c>
      <x:c r="O326" s="43" t="n">
        <x:v>10000</x:v>
      </x:c>
      <x:c r="P326" s="43" t="n">
        <x:v>400000</x:v>
      </x:c>
      <x:c r="Q326" s="36" t="n">
        <x:v>8</x:v>
      </x:c>
      <x:c r="R326" s="42" t="n">
        <x:v>95</x:v>
      </x:c>
      <x:c r="S326" s="43" t="n">
        <x:v>512</x:v>
      </x:c>
      <x:c r="T326" s="43" t="n">
        <x:v>50000</x:v>
      </x:c>
      <x:c r="U326" s="46" t="n">
        <x:v>3</x:v>
      </x:c>
      <x:c r="V326" s="46" t="n">
        <x:v>5</x:v>
      </x:c>
      <x:c r="W326" s="43" t="n">
        <x:v>300</x:v>
      </x:c>
      <x:c r="X326" s="34" t="str">
        <x:v>uniform</x:v>
      </x:c>
      <x:c r="Y326" s="42" t="n">
        <x:v>10</x:v>
      </x:c>
      <x:c r="Z326" s="34" t="str">
        <x:v>strict</x:v>
      </x:c>
      <x:c r="AA326" s="36" t="n">
        <x:v>64</x:v>
      </x:c>
      <x:c r="AB326" s="43" t="n">
        <x:v>8369664</x:v>
      </x:c>
      <x:c r="AC326" s="43" t="n">
        <x:v>3000515080</x:v>
      </x:c>
      <x:c r="AD326" s="43" t="n">
        <x:v>515080</x:v>
      </x:c>
      <x:c r="AE326" s="43" t="n">
        <x:v>4461568.937486281</x:v>
      </x:c>
      <x:c r="AF326" s="43" t="n">
        <x:v>3105784.9336976</x:v>
      </x:c>
      <x:c r="AG326" s="43" t="n">
        <x:v>15530496</x:v>
      </x:c>
      <x:c r="AH326" s="43" t="n">
        <x:v>5000505937</x:v>
      </x:c>
      <x:c r="AI326" s="43" t="n">
        <x:v>505937</x:v>
      </x:c>
      <x:c r="AJ326" s="43" t="n">
        <x:v>3105784.9336976</x:v>
      </x:c>
      <x:c r="AK326" s="43" t="n">
        <x:v>15530496</x:v>
      </x:c>
      <x:c r="AL326" s="43" t="n">
        <x:v>0</x:v>
      </x:c>
      <x:c r="AM326" s="43" t="n">
        <x:v>634510.0364259522</x:v>
      </x:c>
      <x:c r="AN326" s="43" t="n">
        <x:v>261</x:v>
      </x:c>
      <x:c r="AO326" s="43" t="n">
        <x:v>791</x:v>
      </x:c>
      <x:c r="AP326" s="43" t="n">
        <x:v>36972</x:v>
      </x:c>
      <x:c r="AQ326" s="43" t="n">
        <x:v>242664</x:v>
      </x:c>
      <x:c r="AR326" s="43" t="n">
        <x:v>1</x:v>
      </x:c>
      <x:c r="AS326" s="45" t="b">
        <x:v>1</x:v>
      </x:c>
      <x:c r="AT326" s="43" t="n">
        <x:v>10000</x:v>
      </x:c>
      <x:c r="AU326" s="48" t="n">
        <x:v>0.9499120311418258</x:v>
      </x:c>
      <x:c r="AV326" s="43" t="n">
        <x:v>10000</x:v>
      </x:c>
      <x:c r="AW326" s="48" t="n">
        <x:v>0.9499120311418258</x:v>
      </x:c>
      <x:c r="AX326" s="45" t="b">
        <x:v>1</x:v>
      </x:c>
      <x:c r="AY326" s="44" t="str">
        <x:v>{"provider":"jcs321","currentEntries":10000,"requestCount":15530496,"hitCount":14752605,"missCount":777891,"hitRate":0.9499120311418258,"loadSuccessCount":0,"loadFailureCount":0,"totalLoadTimeNanos":0,"evictionCount":-1,"expirationCount":-1,"putCount":10000,"removeCount":0,"nativeMetrics":{"HitCountRam":14752605,"Composite.HitCountRam":14752605,"HitCountAux":0,"Composite.HitCountAux":0,"Put Count":10000,"Memory Cache.Put Count":10000,"Hit Count":14752605,"Memory Cache.Hit Count":14752605,"Miss Count":777891,"Memory Cache.Miss Count":777891,"Map Size":10000,"Memory Cache.Map Size":10000,"List Size":10000,"Memory Cache.List Size":10000}}</x:v>
      </x:c>
      <x:c r="AZ326" s="44" t="str">
        <x:v>{"provider":"jcs321","currentEntries":10000,"requestCount":15530496,"hitCount":14752605,"missCount":777891,"hitRate":0.9499120311418258,"loadSuccessCount":0,"loadFailureCount":0,"totalLoadTimeNanos":0,"evictionCount":-1,"expirationCount":-1,"putCount":15000,"removeCount":0,"nativeMetrics":{"HitCountRam":14752605,"Composite.HitCountRam":14752605,"HitCountAux":0,"Composite.HitCountAux":0,"Put Count":15000,"Memory Cache.Put Count":15000,"Hit Count":14752605,"Memory Cache.Hit Count":14752605,"Miss Count":777891,"Memory Cache.Miss Count":777891,"Map Size":10000,"Memory Cache.Map Size":10000,"List Size":10000,"Memory Cache.List Size":10000}}</x:v>
      </x:c>
      <x:c r="BA326" s="43" t="n">
        <x:v>10000</x:v>
      </x:c>
      <x:c r="BB326" s="43" t="n">
        <x:v>15530496</x:v>
      </x:c>
      <x:c r="BC326" s="43" t="n">
        <x:v>14752605</x:v>
      </x:c>
      <x:c r="BD326" s="43" t="n">
        <x:v>777891</x:v>
      </x:c>
      <x:c r="BE326" s="48" t="n">
        <x:v>0.9499120311418258</x:v>
      </x:c>
      <x:c r="BF326" s="43" t="n">
        <x:v>0</x:v>
      </x:c>
      <x:c r="BG326" s="43" t="n">
        <x:v>0</x:v>
      </x:c>
      <x:c r="BH326" s="43" t="n">
        <x:v>0</x:v>
      </x:c>
      <x:c r="BI326" s="43" t="n">
        <x:v>-1</x:v>
      </x:c>
      <x:c r="BJ326" s="43" t="n">
        <x:v>-1</x:v>
      </x:c>
      <x:c r="BK326" s="43" t="n">
        <x:v>15000</x:v>
      </x:c>
      <x:c r="BL326" s="43" t="n">
        <x:v>0</x:v>
      </x:c>
      <x:c r="BM326" s="44" t="str">
        <x:v>{"HitCountRam":14752605,"Composite.HitCountRam":14752605,"HitCountAux":0,"Composite.HitCountAux":0,"Put Count":15000,"Memory Cache.Put Count":15000,"Hit Count":14752605,"Memory Cache.Hit Count":14752605,"Miss Count":777891,"Memory Cache.Miss Count":777891,"Map Size":10000,"Memory Cache.Map Size":10000,"List Size":10000,"Memory Cache.List Size":10000}</x:v>
      </x:c>
    </x:row>
    <x:row r="327">
      <x:c r="A327" s="34" t="str">
        <x:v>article1-unified-v4-2-fb3f101b-20260903-000401-default-f06-p3-jcs321</x:v>
      </x:c>
      <x:c r="B327" s="34" t="str">
        <x:v>default</x:v>
      </x:c>
      <x:c r="C327" s="34" t="str">
        <x:v>jcs321</x:v>
      </x:c>
      <x:c r="D327" s="34" t="str">
        <x:v>jcs321</x:v>
      </x:c>
      <x:c r="E327" s="34" t="str">
        <x:v>JCS-248-positive-control</x:v>
      </x:c>
      <x:c r="F327" s="36" t="n">
        <x:v>6</x:v>
      </x:c>
      <x:c r="G327" s="36" t="n">
        <x:v>6</x:v>
      </x:c>
      <x:c r="H327" s="36" t="n">
        <x:v>3</x:v>
      </x:c>
      <x:c r="I327" s="36" t="n">
        <x:v>3</x:v>
      </x:c>
      <x:c r="J327" s="34" t="str">
        <x:v>redeploy</x:v>
      </x:c>
      <x:c r="K327" s="34" t="str">
        <x:v>cache-semantics</x:v>
      </x:c>
      <x:c r="L327" s="45" t="b">
        <x:v>0</x:v>
      </x:c>
      <x:c r="M327" s="36" t="n">
        <x:v>1145234224</x:v>
      </x:c>
      <x:c r="N327" s="34" t="str">
        <x:v>6af895c3c09dcc45239d20d59a83e7d7936a4cbc235d171eb415d308df579083</x:v>
      </x:c>
      <x:c r="O327" s="43" t="n">
        <x:v>10000</x:v>
      </x:c>
      <x:c r="P327" s="43" t="n">
        <x:v>400000</x:v>
      </x:c>
      <x:c r="Q327" s="36" t="n">
        <x:v>8</x:v>
      </x:c>
      <x:c r="R327" s="42" t="n">
        <x:v>95</x:v>
      </x:c>
      <x:c r="S327" s="43" t="n">
        <x:v>512</x:v>
      </x:c>
      <x:c r="T327" s="43" t="n">
        <x:v>50000</x:v>
      </x:c>
      <x:c r="U327" s="46" t="n">
        <x:v>3</x:v>
      </x:c>
      <x:c r="V327" s="46" t="n">
        <x:v>5</x:v>
      </x:c>
      <x:c r="W327" s="43" t="n">
        <x:v>300</x:v>
      </x:c>
      <x:c r="X327" s="34" t="str">
        <x:v>uniform</x:v>
      </x:c>
      <x:c r="Y327" s="42" t="n">
        <x:v>10</x:v>
      </x:c>
      <x:c r="Z327" s="34" t="str">
        <x:v>strict</x:v>
      </x:c>
      <x:c r="AA327" s="36" t="n">
        <x:v>64</x:v>
      </x:c>
      <x:c r="AB327" s="43" t="n">
        <x:v>6889728</x:v>
      </x:c>
      <x:c r="AC327" s="43" t="n">
        <x:v>3001068576</x:v>
      </x:c>
      <x:c r="AD327" s="43" t="n">
        <x:v>1068576</x:v>
      </x:c>
      <x:c r="AE327" s="43" t="n">
        <x:v>3498788.719345363</x:v>
      </x:c>
      <x:c r="AF327" s="43" t="n">
        <x:v>3184118.7107077623</x:v>
      </x:c>
      <x:c r="AG327" s="43" t="n">
        <x:v>15922432</x:v>
      </x:c>
      <x:c r="AH327" s="43" t="n">
        <x:v>5000577380</x:v>
      </x:c>
      <x:c r="AI327" s="43" t="n">
        <x:v>577380</x:v>
      </x:c>
      <x:c r="AJ327" s="43" t="n">
        <x:v>3184118.7107077623</x:v>
      </x:c>
      <x:c r="AK327" s="43" t="n">
        <x:v>15922432</x:v>
      </x:c>
      <x:c r="AL327" s="43" t="n">
        <x:v>0</x:v>
      </x:c>
      <x:c r="AM327" s="43" t="n">
        <x:v>612904.3329884725</x:v>
      </x:c>
      <x:c r="AN327" s="43" t="n">
        <x:v>261</x:v>
      </x:c>
      <x:c r="AO327" s="43" t="n">
        <x:v>821</x:v>
      </x:c>
      <x:c r="AP327" s="43" t="n">
        <x:v>5280</x:v>
      </x:c>
      <x:c r="AQ327" s="43" t="n">
        <x:v>248788</x:v>
      </x:c>
      <x:c r="AR327" s="43" t="n">
        <x:v>1</x:v>
      </x:c>
      <x:c r="AS327" s="45" t="b">
        <x:v>1</x:v>
      </x:c>
      <x:c r="AT327" s="43" t="n">
        <x:v>10000</x:v>
      </x:c>
      <x:c r="AU327" s="48" t="n">
        <x:v>0.9499050773148222</x:v>
      </x:c>
      <x:c r="AV327" s="43" t="n">
        <x:v>10000</x:v>
      </x:c>
      <x:c r="AW327" s="48" t="n">
        <x:v>0.9499050773148222</x:v>
      </x:c>
      <x:c r="AX327" s="45" t="b">
        <x:v>1</x:v>
      </x:c>
      <x:c r="AY327" s="44" t="str">
        <x:v>{"provider":"jcs321","currentEntries":10000,"requestCount":15922432,"hitCount":15124799,"missCount":797633,"hitRate":0.9499050773148222,"loadSuccessCount":0,"loadFailureCount":0,"totalLoadTimeNanos":0,"evictionCount":-1,"expirationCount":-1,"putCount":10000,"removeCount":0,"nativeMetrics":{"HitCountRam":15124799,"Composite.HitCountRam":15124799,"HitCountAux":0,"Composite.HitCountAux":0,"Put Count":10000,"Memory Cache.Put Count":10000,"Hit Count":15124799,"Memory Cache.Hit Count":15124799,"Miss Count":797633,"Memory Cache.Miss Count":797633,"Map Size":10000,"Memory Cache.Map Size":10000,"List Size":10000,"Memory Cache.List Size":10000}}</x:v>
      </x:c>
      <x:c r="AZ327" s="44" t="str">
        <x:v>{"provider":"jcs321","currentEntries":10000,"requestCount":15922432,"hitCount":15124799,"missCount":797633,"hitRate":0.9499050773148222,"loadSuccessCount":0,"loadFailureCount":0,"totalLoadTimeNanos":0,"evictionCount":-1,"expirationCount":-1,"putCount":15000,"removeCount":0,"nativeMetrics":{"HitCountRam":15124799,"Composite.HitCountRam":15124799,"HitCountAux":0,"Composite.HitCountAux":0,"Put Count":15000,"Memory Cache.Put Count":15000,"Hit Count":15124799,"Memory Cache.Hit Count":15124799,"Miss Count":797633,"Memory Cache.Miss Count":797633,"Map Size":10000,"Memory Cache.Map Size":10000,"List Size":10000,"Memory Cache.List Size":10000}}</x:v>
      </x:c>
      <x:c r="BA327" s="43" t="n">
        <x:v>10000</x:v>
      </x:c>
      <x:c r="BB327" s="43" t="n">
        <x:v>15922432</x:v>
      </x:c>
      <x:c r="BC327" s="43" t="n">
        <x:v>15124799</x:v>
      </x:c>
      <x:c r="BD327" s="43" t="n">
        <x:v>797633</x:v>
      </x:c>
      <x:c r="BE327" s="48" t="n">
        <x:v>0.9499050773148222</x:v>
      </x:c>
      <x:c r="BF327" s="43" t="n">
        <x:v>0</x:v>
      </x:c>
      <x:c r="BG327" s="43" t="n">
        <x:v>0</x:v>
      </x:c>
      <x:c r="BH327" s="43" t="n">
        <x:v>0</x:v>
      </x:c>
      <x:c r="BI327" s="43" t="n">
        <x:v>-1</x:v>
      </x:c>
      <x:c r="BJ327" s="43" t="n">
        <x:v>-1</x:v>
      </x:c>
      <x:c r="BK327" s="43" t="n">
        <x:v>15000</x:v>
      </x:c>
      <x:c r="BL327" s="43" t="n">
        <x:v>0</x:v>
      </x:c>
      <x:c r="BM327" s="44" t="str">
        <x:v>{"HitCountRam":15124799,"Composite.HitCountRam":15124799,"HitCountAux":0,"Composite.HitCountAux":0,"Put Count":15000,"Memory Cache.Put Count":15000,"Hit Count":15124799,"Memory Cache.Hit Count":15124799,"Miss Count":797633,"Memory Cache.Miss Count":797633,"Map Size":10000,"Memory Cache.Map Size":10000,"List Size":10000,"Memory Cache.List Size":10000}</x:v>
      </x:c>
    </x:row>
    <x:row r="328">
      <x:c r="A328" s="34" t="str">
        <x:v>article1-unified-v4-2-fb3f101b-20260903-000401-default-f06-p3-jcs321</x:v>
      </x:c>
      <x:c r="B328" s="34" t="str">
        <x:v>default</x:v>
      </x:c>
      <x:c r="C328" s="34" t="str">
        <x:v>jcs321</x:v>
      </x:c>
      <x:c r="D328" s="34" t="str">
        <x:v>jcs321</x:v>
      </x:c>
      <x:c r="E328" s="34" t="str">
        <x:v>JCS-248-positive-control</x:v>
      </x:c>
      <x:c r="F328" s="36" t="n">
        <x:v>6</x:v>
      </x:c>
      <x:c r="G328" s="36" t="n">
        <x:v>6</x:v>
      </x:c>
      <x:c r="H328" s="36" t="n">
        <x:v>3</x:v>
      </x:c>
      <x:c r="I328" s="36" t="n">
        <x:v>4</x:v>
      </x:c>
      <x:c r="J328" s="34" t="str">
        <x:v>initial</x:v>
      </x:c>
      <x:c r="K328" s="34" t="str">
        <x:v>cache-semantics</x:v>
      </x:c>
      <x:c r="L328" s="45" t="b">
        <x:v>0</x:v>
      </x:c>
      <x:c r="M328" s="36" t="n">
        <x:v>1327484523</x:v>
      </x:c>
      <x:c r="N328" s="34" t="str">
        <x:v>701c077715f7da8759e1e555b03db6d96b802524339eadeaf5a33b9cd6ccae55</x:v>
      </x:c>
      <x:c r="O328" s="43" t="n">
        <x:v>10000</x:v>
      </x:c>
      <x:c r="P328" s="43" t="n">
        <x:v>400000</x:v>
      </x:c>
      <x:c r="Q328" s="36" t="n">
        <x:v>8</x:v>
      </x:c>
      <x:c r="R328" s="42" t="n">
        <x:v>95</x:v>
      </x:c>
      <x:c r="S328" s="43" t="n">
        <x:v>512</x:v>
      </x:c>
      <x:c r="T328" s="43" t="n">
        <x:v>50000</x:v>
      </x:c>
      <x:c r="U328" s="46" t="n">
        <x:v>3</x:v>
      </x:c>
      <x:c r="V328" s="46" t="n">
        <x:v>5</x:v>
      </x:c>
      <x:c r="W328" s="43" t="n">
        <x:v>300</x:v>
      </x:c>
      <x:c r="X328" s="34" t="str">
        <x:v>uniform</x:v>
      </x:c>
      <x:c r="Y328" s="42" t="n">
        <x:v>10</x:v>
      </x:c>
      <x:c r="Z328" s="34" t="str">
        <x:v>strict</x:v>
      </x:c>
      <x:c r="AA328" s="36" t="n">
        <x:v>64</x:v>
      </x:c>
      <x:c r="AB328" s="43" t="n">
        <x:v>8309504</x:v>
      </x:c>
      <x:c r="AC328" s="43" t="n">
        <x:v>3000702671</x:v>
      </x:c>
      <x:c r="AD328" s="43" t="n">
        <x:v>702671</x:v>
      </x:c>
      <x:c r="AE328" s="43" t="n">
        <x:v>1793717.4686915583</x:v>
      </x:c>
      <x:c r="AF328" s="43" t="n">
        <x:v>3061370.5630506743</x:v>
      </x:c>
      <x:c r="AG328" s="43" t="n">
        <x:v>15308800</x:v>
      </x:c>
      <x:c r="AH328" s="43" t="n">
        <x:v>5000636050</x:v>
      </x:c>
      <x:c r="AI328" s="43" t="n">
        <x:v>636050</x:v>
      </x:c>
      <x:c r="AJ328" s="43" t="n">
        <x:v>3061370.5630506743</x:v>
      </x:c>
      <x:c r="AK328" s="43" t="n">
        <x:v>15308800</x:v>
      </x:c>
      <x:c r="AL328" s="43" t="n">
        <x:v>0</x:v>
      </x:c>
      <x:c r="AM328" s="43" t="n">
        <x:v>563077.3936363696</x:v>
      </x:c>
      <x:c r="AN328" s="43" t="n">
        <x:v>270</x:v>
      </x:c>
      <x:c r="AO328" s="43" t="n">
        <x:v>801</x:v>
      </x:c>
      <x:c r="AP328" s="43" t="n">
        <x:v>179555</x:v>
      </x:c>
      <x:c r="AQ328" s="43" t="n">
        <x:v>239200</x:v>
      </x:c>
      <x:c r="AR328" s="43" t="n">
        <x:v>1</x:v>
      </x:c>
      <x:c r="AS328" s="45" t="b">
        <x:v>1</x:v>
      </x:c>
      <x:c r="AT328" s="43" t="n">
        <x:v>10000</x:v>
      </x:c>
      <x:c r="AU328" s="48" t="n">
        <x:v>0.950060618729097</x:v>
      </x:c>
      <x:c r="AV328" s="43" t="n">
        <x:v>10000</x:v>
      </x:c>
      <x:c r="AW328" s="48" t="n">
        <x:v>0.950060618729097</x:v>
      </x:c>
      <x:c r="AX328" s="45" t="b">
        <x:v>1</x:v>
      </x:c>
      <x:c r="AY328" s="44" t="str">
        <x:v>{"provider":"jcs321","currentEntries":10000,"requestCount":15308800,"hitCount":14544288,"missCount":764512,"hitRate":0.950060618729097,"loadSuccessCount":0,"loadFailureCount":0,"totalLoadTimeNanos":0,"evictionCount":-1,"expirationCount":-1,"putCount":10000,"removeCount":0,"nativeMetrics":{"HitCountRam":14544288,"Composite.HitCountRam":14544288,"HitCountAux":0,"Composite.HitCountAux":0,"Put Count":10000,"Memory Cache.Put Count":10000,"Hit Count":14544288,"Memory Cache.Hit Count":14544288,"Miss Count":764512,"Memory Cache.Miss Count":764512,"Map Size":10000,"Memory Cache.Map Size":10000,"List Size":10000,"Memory Cache.List Size":10000}}</x:v>
      </x:c>
      <x:c r="AZ328" s="44" t="str">
        <x:v>{"provider":"jcs321","currentEntries":10000,"requestCount":15308800,"hitCount":14544288,"missCount":764512,"hitRate":0.950060618729097,"loadSuccessCount":0,"loadFailureCount":0,"totalLoadTimeNanos":0,"evictionCount":-1,"expirationCount":-1,"putCount":15000,"removeCount":0,"nativeMetrics":{"HitCountRam":14544288,"Composite.HitCountRam":14544288,"HitCountAux":0,"Composite.HitCountAux":0,"Put Count":15000,"Memory Cache.Put Count":15000,"Hit Count":14544288,"Memory Cache.Hit Count":14544288,"Miss Count":764512,"Memory Cache.Miss Count":764512,"Map Size":10000,"Memory Cache.Map Size":10000,"List Size":10000,"Memory Cache.List Size":10000}}</x:v>
      </x:c>
      <x:c r="BA328" s="43" t="n">
        <x:v>10000</x:v>
      </x:c>
      <x:c r="BB328" s="43" t="n">
        <x:v>15308800</x:v>
      </x:c>
      <x:c r="BC328" s="43" t="n">
        <x:v>14544288</x:v>
      </x:c>
      <x:c r="BD328" s="43" t="n">
        <x:v>764512</x:v>
      </x:c>
      <x:c r="BE328" s="48" t="n">
        <x:v>0.950060618729097</x:v>
      </x:c>
      <x:c r="BF328" s="43" t="n">
        <x:v>0</x:v>
      </x:c>
      <x:c r="BG328" s="43" t="n">
        <x:v>0</x:v>
      </x:c>
      <x:c r="BH328" s="43" t="n">
        <x:v>0</x:v>
      </x:c>
      <x:c r="BI328" s="43" t="n">
        <x:v>-1</x:v>
      </x:c>
      <x:c r="BJ328" s="43" t="n">
        <x:v>-1</x:v>
      </x:c>
      <x:c r="BK328" s="43" t="n">
        <x:v>15000</x:v>
      </x:c>
      <x:c r="BL328" s="43" t="n">
        <x:v>0</x:v>
      </x:c>
      <x:c r="BM328" s="44" t="str">
        <x:v>{"HitCountRam":14544288,"Composite.HitCountRam":14544288,"HitCountAux":0,"Composite.HitCountAux":0,"Put Count":15000,"Memory Cache.Put Count":15000,"Hit Count":14544288,"Memory Cache.Hit Count":14544288,"Miss Count":764512,"Memory Cache.Miss Count":764512,"Map Size":10000,"Memory Cache.Map Size":10000,"List Size":10000,"Memory Cache.List Size":10000}</x:v>
      </x:c>
    </x:row>
    <x:row r="329">
      <x:c r="A329" s="34" t="str">
        <x:v>article1-unified-v4-2-fb3f101b-20260903-000401-default-f06-p3-jcs321</x:v>
      </x:c>
      <x:c r="B329" s="34" t="str">
        <x:v>default</x:v>
      </x:c>
      <x:c r="C329" s="34" t="str">
        <x:v>jcs321</x:v>
      </x:c>
      <x:c r="D329" s="34" t="str">
        <x:v>jcs321</x:v>
      </x:c>
      <x:c r="E329" s="34" t="str">
        <x:v>JCS-248-positive-control</x:v>
      </x:c>
      <x:c r="F329" s="36" t="n">
        <x:v>6</x:v>
      </x:c>
      <x:c r="G329" s="36" t="n">
        <x:v>6</x:v>
      </x:c>
      <x:c r="H329" s="36" t="n">
        <x:v>3</x:v>
      </x:c>
      <x:c r="I329" s="36" t="n">
        <x:v>4</x:v>
      </x:c>
      <x:c r="J329" s="34" t="str">
        <x:v>redeploy</x:v>
      </x:c>
      <x:c r="K329" s="34" t="str">
        <x:v>cache-semantics</x:v>
      </x:c>
      <x:c r="L329" s="45" t="b">
        <x:v>0</x:v>
      </x:c>
      <x:c r="M329" s="36" t="n">
        <x:v>1327484523</x:v>
      </x:c>
      <x:c r="N329" s="34" t="str">
        <x:v>701c077715f7da8759e1e555b03db6d96b802524339eadeaf5a33b9cd6ccae55</x:v>
      </x:c>
      <x:c r="O329" s="43" t="n">
        <x:v>10000</x:v>
      </x:c>
      <x:c r="P329" s="43" t="n">
        <x:v>400000</x:v>
      </x:c>
      <x:c r="Q329" s="36" t="n">
        <x:v>8</x:v>
      </x:c>
      <x:c r="R329" s="42" t="n">
        <x:v>95</x:v>
      </x:c>
      <x:c r="S329" s="43" t="n">
        <x:v>512</x:v>
      </x:c>
      <x:c r="T329" s="43" t="n">
        <x:v>50000</x:v>
      </x:c>
      <x:c r="U329" s="46" t="n">
        <x:v>3</x:v>
      </x:c>
      <x:c r="V329" s="46" t="n">
        <x:v>5</x:v>
      </x:c>
      <x:c r="W329" s="43" t="n">
        <x:v>300</x:v>
      </x:c>
      <x:c r="X329" s="34" t="str">
        <x:v>uniform</x:v>
      </x:c>
      <x:c r="Y329" s="42" t="n">
        <x:v>10</x:v>
      </x:c>
      <x:c r="Z329" s="34" t="str">
        <x:v>strict</x:v>
      </x:c>
      <x:c r="AA329" s="36" t="n">
        <x:v>64</x:v>
      </x:c>
      <x:c r="AB329" s="43" t="n">
        <x:v>9263616</x:v>
      </x:c>
      <x:c r="AC329" s="43" t="n">
        <x:v>3000669241</x:v>
      </x:c>
      <x:c r="AD329" s="43" t="n">
        <x:v>669241</x:v>
      </x:c>
      <x:c r="AE329" s="43" t="n">
        <x:v>3970532.2975008674</x:v>
      </x:c>
      <x:c r="AF329" s="43" t="n">
        <x:v>3240634.1055566873</x:v>
      </x:c>
      <x:c r="AG329" s="43" t="n">
        <x:v>16205056</x:v>
      </x:c>
      <x:c r="AH329" s="43" t="n">
        <x:v>5000581822</x:v>
      </x:c>
      <x:c r="AI329" s="43" t="n">
        <x:v>581822</x:v>
      </x:c>
      <x:c r="AJ329" s="43" t="n">
        <x:v>3240634.1055566873</x:v>
      </x:c>
      <x:c r="AK329" s="43" t="n">
        <x:v>16205056</x:v>
      </x:c>
      <x:c r="AL329" s="43" t="n">
        <x:v>0</x:v>
      </x:c>
      <x:c r="AM329" s="43" t="n">
        <x:v>606651.8158302151</x:v>
      </x:c>
      <x:c r="AN329" s="43" t="n">
        <x:v>271</x:v>
      </x:c>
      <x:c r="AO329" s="43" t="n">
        <x:v>772</x:v>
      </x:c>
      <x:c r="AP329" s="43" t="n">
        <x:v>23085</x:v>
      </x:c>
      <x:c r="AQ329" s="43" t="n">
        <x:v>253204</x:v>
      </x:c>
      <x:c r="AR329" s="43" t="n">
        <x:v>1</x:v>
      </x:c>
      <x:c r="AS329" s="45" t="b">
        <x:v>1</x:v>
      </x:c>
      <x:c r="AT329" s="43" t="n">
        <x:v>10000</x:v>
      </x:c>
      <x:c r="AU329" s="48" t="n">
        <x:v>0.9500649673780825</x:v>
      </x:c>
      <x:c r="AV329" s="43" t="n">
        <x:v>10000</x:v>
      </x:c>
      <x:c r="AW329" s="48" t="n">
        <x:v>0.9500649673780825</x:v>
      </x:c>
      <x:c r="AX329" s="45" t="b">
        <x:v>1</x:v>
      </x:c>
      <x:c r="AY329" s="44" t="str">
        <x:v>{"provider":"jcs321","currentEntries":10000,"requestCount":16205056,"hitCount":15395856,"missCount":809200,"hitRate":0.9500649673780825,"loadSuccessCount":0,"loadFailureCount":0,"totalLoadTimeNanos":0,"evictionCount":-1,"expirationCount":-1,"putCount":10000,"removeCount":0,"nativeMetrics":{"HitCountRam":15395856,"Composite.HitCountRam":15395856,"HitCountAux":0,"Composite.HitCountAux":0,"Put Count":10000,"Memory Cache.Put Count":10000,"Hit Count":15395856,"Memory Cache.Hit Count":15395856,"Miss Count":809200,"Memory Cache.Miss Count":809200,"Map Size":10000,"Memory Cache.Map Size":10000,"List Size":10000,"Memory Cache.List Size":10000}}</x:v>
      </x:c>
      <x:c r="AZ329" s="44" t="str">
        <x:v>{"provider":"jcs321","currentEntries":10000,"requestCount":16205056,"hitCount":15395856,"missCount":809200,"hitRate":0.9500649673780825,"loadSuccessCount":0,"loadFailureCount":0,"totalLoadTimeNanos":0,"evictionCount":-1,"expirationCount":-1,"putCount":15000,"removeCount":0,"nativeMetrics":{"HitCountRam":15395856,"Composite.HitCountRam":15395856,"HitCountAux":0,"Composite.HitCountAux":0,"Put Count":15000,"Memory Cache.Put Count":15000,"Hit Count":15395856,"Memory Cache.Hit Count":15395856,"Miss Count":809200,"Memory Cache.Miss Count":809200,"Map Size":10000,"Memory Cache.Map Size":10000,"List Size":10000,"Memory Cache.List Size":10000}}</x:v>
      </x:c>
      <x:c r="BA329" s="43" t="n">
        <x:v>10000</x:v>
      </x:c>
      <x:c r="BB329" s="43" t="n">
        <x:v>16205056</x:v>
      </x:c>
      <x:c r="BC329" s="43" t="n">
        <x:v>15395856</x:v>
      </x:c>
      <x:c r="BD329" s="43" t="n">
        <x:v>809200</x:v>
      </x:c>
      <x:c r="BE329" s="48" t="n">
        <x:v>0.9500649673780825</x:v>
      </x:c>
      <x:c r="BF329" s="43" t="n">
        <x:v>0</x:v>
      </x:c>
      <x:c r="BG329" s="43" t="n">
        <x:v>0</x:v>
      </x:c>
      <x:c r="BH329" s="43" t="n">
        <x:v>0</x:v>
      </x:c>
      <x:c r="BI329" s="43" t="n">
        <x:v>-1</x:v>
      </x:c>
      <x:c r="BJ329" s="43" t="n">
        <x:v>-1</x:v>
      </x:c>
      <x:c r="BK329" s="43" t="n">
        <x:v>15000</x:v>
      </x:c>
      <x:c r="BL329" s="43" t="n">
        <x:v>0</x:v>
      </x:c>
      <x:c r="BM329" s="44" t="str">
        <x:v>{"HitCountRam":15395856,"Composite.HitCountRam":15395856,"HitCountAux":0,"Composite.HitCountAux":0,"Put Count":15000,"Memory Cache.Put Count":15000,"Hit Count":15395856,"Memory Cache.Hit Count":15395856,"Miss Count":809200,"Memory Cache.Miss Count":809200,"Map Size":10000,"Memory Cache.Map Size":10000,"List Size":10000,"Memory Cache.List Size":10000}</x:v>
      </x:c>
    </x:row>
    <x:row r="330">
      <x:c r="A330" s="34" t="str">
        <x:v>article1-unified-v4-2-fb3f101b-20260903-000401-default-f06-p3-jcs321</x:v>
      </x:c>
      <x:c r="B330" s="34" t="str">
        <x:v>default</x:v>
      </x:c>
      <x:c r="C330" s="34" t="str">
        <x:v>jcs321</x:v>
      </x:c>
      <x:c r="D330" s="34" t="str">
        <x:v>jcs321</x:v>
      </x:c>
      <x:c r="E330" s="34" t="str">
        <x:v>JCS-248-positive-control</x:v>
      </x:c>
      <x:c r="F330" s="36" t="n">
        <x:v>6</x:v>
      </x:c>
      <x:c r="G330" s="36" t="n">
        <x:v>6</x:v>
      </x:c>
      <x:c r="H330" s="36" t="n">
        <x:v>3</x:v>
      </x:c>
      <x:c r="I330" s="36" t="n">
        <x:v>5</x:v>
      </x:c>
      <x:c r="J330" s="34" t="str">
        <x:v>initial</x:v>
      </x:c>
      <x:c r="K330" s="34" t="str">
        <x:v>cache-semantics</x:v>
      </x:c>
      <x:c r="L330" s="45" t="b">
        <x:v>0</x:v>
      </x:c>
      <x:c r="M330" s="36" t="n">
        <x:v>666294704</x:v>
      </x:c>
      <x:c r="N330" s="34" t="str">
        <x:v>2d37790d1dcdaa2a0296dbfb67d742e82e2643aa9d8bec35c7958bc4847abfa8</x:v>
      </x:c>
      <x:c r="O330" s="43" t="n">
        <x:v>10000</x:v>
      </x:c>
      <x:c r="P330" s="43" t="n">
        <x:v>400000</x:v>
      </x:c>
      <x:c r="Q330" s="36" t="n">
        <x:v>8</x:v>
      </x:c>
      <x:c r="R330" s="42" t="n">
        <x:v>95</x:v>
      </x:c>
      <x:c r="S330" s="43" t="n">
        <x:v>512</x:v>
      </x:c>
      <x:c r="T330" s="43" t="n">
        <x:v>50000</x:v>
      </x:c>
      <x:c r="U330" s="46" t="n">
        <x:v>3</x:v>
      </x:c>
      <x:c r="V330" s="46" t="n">
        <x:v>5</x:v>
      </x:c>
      <x:c r="W330" s="43" t="n">
        <x:v>300</x:v>
      </x:c>
      <x:c r="X330" s="34" t="str">
        <x:v>uniform</x:v>
      </x:c>
      <x:c r="Y330" s="42" t="n">
        <x:v>10</x:v>
      </x:c>
      <x:c r="Z330" s="34" t="str">
        <x:v>strict</x:v>
      </x:c>
      <x:c r="AA330" s="36" t="n">
        <x:v>64</x:v>
      </x:c>
      <x:c r="AB330" s="43" t="n">
        <x:v>7273216</x:v>
      </x:c>
      <x:c r="AC330" s="43" t="n">
        <x:v>3000625191</x:v>
      </x:c>
      <x:c r="AD330" s="43" t="n">
        <x:v>625191</x:v>
      </x:c>
      <x:c r="AE330" s="43" t="n">
        <x:v>2869852.2026115656</x:v>
      </x:c>
      <x:c r="AF330" s="43" t="n">
        <x:v>3013040.55940412</x:v>
      </x:c>
      <x:c r="AG330" s="43" t="n">
        <x:v>15067136</x:v>
      </x:c>
      <x:c r="AH330" s="43" t="n">
        <x:v>5000641612</x:v>
      </x:c>
      <x:c r="AI330" s="43" t="n">
        <x:v>641612</x:v>
      </x:c>
      <x:c r="AJ330" s="43" t="n">
        <x:v>3013040.55940412</x:v>
      </x:c>
      <x:c r="AK330" s="43" t="n">
        <x:v>15067136</x:v>
      </x:c>
      <x:c r="AL330" s="43" t="n">
        <x:v>0</x:v>
      </x:c>
      <x:c r="AM330" s="43" t="n">
        <x:v>467385.81764474936</x:v>
      </x:c>
      <x:c r="AN330" s="43" t="n">
        <x:v>291</x:v>
      </x:c>
      <x:c r="AO330" s="43" t="n">
        <x:v>841</x:v>
      </x:c>
      <x:c r="AP330" s="43" t="n">
        <x:v>189242</x:v>
      </x:c>
      <x:c r="AQ330" s="43" t="n">
        <x:v>235424</x:v>
      </x:c>
      <x:c r="AR330" s="43" t="n">
        <x:v>1</x:v>
      </x:c>
      <x:c r="AS330" s="45" t="b">
        <x:v>1</x:v>
      </x:c>
      <x:c r="AT330" s="43" t="n">
        <x:v>10000</x:v>
      </x:c>
      <x:c r="AU330" s="48" t="n">
        <x:v>0.9502141614703683</x:v>
      </x:c>
      <x:c r="AV330" s="43" t="n">
        <x:v>10000</x:v>
      </x:c>
      <x:c r="AW330" s="48" t="n">
        <x:v>0.9502141614703683</x:v>
      </x:c>
      <x:c r="AX330" s="45" t="b">
        <x:v>1</x:v>
      </x:c>
      <x:c r="AY330" s="44" t="str">
        <x:v>{"provider":"jcs321","currentEntries":10000,"requestCount":15067136,"hitCount":14317006,"missCount":750130,"hitRate":0.9502141614703683,"loadSuccessCount":0,"loadFailureCount":0,"totalLoadTimeNanos":0,"evictionCount":-1,"expirationCount":-1,"putCount":10000,"removeCount":0,"nativeMetrics":{"HitCountRam":14317006,"Composite.HitCountRam":14317006,"HitCountAux":0,"Composite.HitCountAux":0,"Put Count":10000,"Memory Cache.Put Count":10000,"Hit Count":14317006,"Memory Cache.Hit Count":14317006,"Miss Count":750130,"Memory Cache.Miss Count":750130,"Map Size":10000,"Memory Cache.Map Size":10000,"List Size":10000,"Memory Cache.List Size":10000}}</x:v>
      </x:c>
      <x:c r="AZ330" s="44" t="str">
        <x:v>{"provider":"jcs321","currentEntries":10000,"requestCount":15067136,"hitCount":14317006,"missCount":750130,"hitRate":0.9502141614703683,"loadSuccessCount":0,"loadFailureCount":0,"totalLoadTimeNanos":0,"evictionCount":-1,"expirationCount":-1,"putCount":15000,"removeCount":0,"nativeMetrics":{"HitCountRam":14317006,"Composite.HitCountRam":14317006,"HitCountAux":0,"Composite.HitCountAux":0,"Put Count":15000,"Memory Cache.Put Count":15000,"Hit Count":14317006,"Memory Cache.Hit Count":14317006,"Miss Count":750130,"Memory Cache.Miss Count":750130,"Map Size":10000,"Memory Cache.Map Size":10000,"List Size":10000,"Memory Cache.List Size":10000}}</x:v>
      </x:c>
      <x:c r="BA330" s="43" t="n">
        <x:v>10000</x:v>
      </x:c>
      <x:c r="BB330" s="43" t="n">
        <x:v>15067136</x:v>
      </x:c>
      <x:c r="BC330" s="43" t="n">
        <x:v>14317006</x:v>
      </x:c>
      <x:c r="BD330" s="43" t="n">
        <x:v>750130</x:v>
      </x:c>
      <x:c r="BE330" s="48" t="n">
        <x:v>0.9502141614703683</x:v>
      </x:c>
      <x:c r="BF330" s="43" t="n">
        <x:v>0</x:v>
      </x:c>
      <x:c r="BG330" s="43" t="n">
        <x:v>0</x:v>
      </x:c>
      <x:c r="BH330" s="43" t="n">
        <x:v>0</x:v>
      </x:c>
      <x:c r="BI330" s="43" t="n">
        <x:v>-1</x:v>
      </x:c>
      <x:c r="BJ330" s="43" t="n">
        <x:v>-1</x:v>
      </x:c>
      <x:c r="BK330" s="43" t="n">
        <x:v>15000</x:v>
      </x:c>
      <x:c r="BL330" s="43" t="n">
        <x:v>0</x:v>
      </x:c>
      <x:c r="BM330" s="44" t="str">
        <x:v>{"HitCountRam":14317006,"Composite.HitCountRam":14317006,"HitCountAux":0,"Composite.HitCountAux":0,"Put Count":15000,"Memory Cache.Put Count":15000,"Hit Count":14317006,"Memory Cache.Hit Count":14317006,"Miss Count":750130,"Memory Cache.Miss Count":750130,"Map Size":10000,"Memory Cache.Map Size":10000,"List Size":10000,"Memory Cache.List Size":10000}</x:v>
      </x:c>
    </x:row>
    <x:row r="331">
      <x:c r="A331" s="34" t="str">
        <x:v>article1-unified-v4-2-fb3f101b-20260903-000401-default-f06-p3-jcs321</x:v>
      </x:c>
      <x:c r="B331" s="34" t="str">
        <x:v>default</x:v>
      </x:c>
      <x:c r="C331" s="34" t="str">
        <x:v>jcs321</x:v>
      </x:c>
      <x:c r="D331" s="34" t="str">
        <x:v>jcs321</x:v>
      </x:c>
      <x:c r="E331" s="34" t="str">
        <x:v>JCS-248-positive-control</x:v>
      </x:c>
      <x:c r="F331" s="36" t="n">
        <x:v>6</x:v>
      </x:c>
      <x:c r="G331" s="36" t="n">
        <x:v>6</x:v>
      </x:c>
      <x:c r="H331" s="36" t="n">
        <x:v>3</x:v>
      </x:c>
      <x:c r="I331" s="36" t="n">
        <x:v>5</x:v>
      </x:c>
      <x:c r="J331" s="34" t="str">
        <x:v>redeploy</x:v>
      </x:c>
      <x:c r="K331" s="34" t="str">
        <x:v>cache-semantics</x:v>
      </x:c>
      <x:c r="L331" s="45" t="b">
        <x:v>0</x:v>
      </x:c>
      <x:c r="M331" s="36" t="n">
        <x:v>666294704</x:v>
      </x:c>
      <x:c r="N331" s="34" t="str">
        <x:v>2d37790d1dcdaa2a0296dbfb67d742e82e2643aa9d8bec35c7958bc4847abfa8</x:v>
      </x:c>
      <x:c r="O331" s="43" t="n">
        <x:v>10000</x:v>
      </x:c>
      <x:c r="P331" s="43" t="n">
        <x:v>400000</x:v>
      </x:c>
      <x:c r="Q331" s="36" t="n">
        <x:v>8</x:v>
      </x:c>
      <x:c r="R331" s="42" t="n">
        <x:v>95</x:v>
      </x:c>
      <x:c r="S331" s="43" t="n">
        <x:v>512</x:v>
      </x:c>
      <x:c r="T331" s="43" t="n">
        <x:v>50000</x:v>
      </x:c>
      <x:c r="U331" s="46" t="n">
        <x:v>3</x:v>
      </x:c>
      <x:c r="V331" s="46" t="n">
        <x:v>5</x:v>
      </x:c>
      <x:c r="W331" s="43" t="n">
        <x:v>300</x:v>
      </x:c>
      <x:c r="X331" s="34" t="str">
        <x:v>uniform</x:v>
      </x:c>
      <x:c r="Y331" s="42" t="n">
        <x:v>10</x:v>
      </x:c>
      <x:c r="Z331" s="34" t="str">
        <x:v>strict</x:v>
      </x:c>
      <x:c r="AA331" s="36" t="n">
        <x:v>64</x:v>
      </x:c>
      <x:c r="AB331" s="43" t="n">
        <x:v>8947712</x:v>
      </x:c>
      <x:c r="AC331" s="43" t="n">
        <x:v>3000631875</x:v>
      </x:c>
      <x:c r="AD331" s="43" t="n">
        <x:v>631875</x:v>
      </x:c>
      <x:c r="AE331" s="43" t="n">
        <x:v>3643558.007265255</x:v>
      </x:c>
      <x:c r="AF331" s="43" t="n">
        <x:v>3210839.3972805003</x:v>
      </x:c>
      <x:c r="AG331" s="43" t="n">
        <x:v>16060160</x:v>
      </x:c>
      <x:c r="AH331" s="43" t="n">
        <x:v>5001857151</x:v>
      </x:c>
      <x:c r="AI331" s="43" t="n">
        <x:v>1857151</x:v>
      </x:c>
      <x:c r="AJ331" s="43" t="n">
        <x:v>3210839.3972805003</x:v>
      </x:c>
      <x:c r="AK331" s="43" t="n">
        <x:v>16060160</x:v>
      </x:c>
      <x:c r="AL331" s="43" t="n">
        <x:v>0</x:v>
      </x:c>
      <x:c r="AM331" s="43" t="n">
        <x:v>634838.6500435435</x:v>
      </x:c>
      <x:c r="AN331" s="43" t="n">
        <x:v>261</x:v>
      </x:c>
      <x:c r="AO331" s="43" t="n">
        <x:v>791</x:v>
      </x:c>
      <x:c r="AP331" s="43" t="n">
        <x:v>185494</x:v>
      </x:c>
      <x:c r="AQ331" s="43" t="n">
        <x:v>250940</x:v>
      </x:c>
      <x:c r="AR331" s="43" t="n">
        <x:v>1</x:v>
      </x:c>
      <x:c r="AS331" s="45" t="b">
        <x:v>1</x:v>
      </x:c>
      <x:c r="AT331" s="43" t="n">
        <x:v>10000</x:v>
      </x:c>
      <x:c r="AU331" s="48" t="n">
        <x:v>0.9502048547461545</x:v>
      </x:c>
      <x:c r="AV331" s="43" t="n">
        <x:v>10000</x:v>
      </x:c>
      <x:c r="AW331" s="48" t="n">
        <x:v>0.9502048547461545</x:v>
      </x:c>
      <x:c r="AX331" s="45" t="b">
        <x:v>1</x:v>
      </x:c>
      <x:c r="AY331" s="44" t="str">
        <x:v>{"provider":"jcs321","currentEntries":10000,"requestCount":16060160,"hitCount":15260442,"missCount":799718,"hitRate":0.9502048547461545,"loadSuccessCount":0,"loadFailureCount":0,"totalLoadTimeNanos":0,"evictionCount":-1,"expirationCount":-1,"putCount":10000,"removeCount":0,"nativeMetrics":{"HitCountRam":15260442,"Composite.HitCountRam":15260442,"HitCountAux":0,"Composite.HitCountAux":0,"Put Count":10000,"Memory Cache.Put Count":10000,"Hit Count":15260442,"Memory Cache.Hit Count":15260442,"Miss Count":799718,"Memory Cache.Miss Count":799718,"Map Size":10000,"Memory Cache.Map Size":10000,"List Size":10000,"Memory Cache.List Size":10000}}</x:v>
      </x:c>
      <x:c r="AZ331" s="44" t="str">
        <x:v>{"provider":"jcs321","currentEntries":10000,"requestCount":16060160,"hitCount":15260442,"missCount":799718,"hitRate":0.9502048547461545,"loadSuccessCount":0,"loadFailureCount":0,"totalLoadTimeNanos":0,"evictionCount":-1,"expirationCount":-1,"putCount":15000,"removeCount":0,"nativeMetrics":{"HitCountRam":15260442,"Composite.HitCountRam":15260442,"HitCountAux":0,"Composite.HitCountAux":0,"Put Count":15000,"Memory Cache.Put Count":15000,"Hit Count":15260442,"Memory Cache.Hit Count":15260442,"Miss Count":799718,"Memory Cache.Miss Count":799718,"Map Size":10000,"Memory Cache.Map Size":10000,"List Size":10000,"Memory Cache.List Size":10000}}</x:v>
      </x:c>
      <x:c r="BA331" s="43" t="n">
        <x:v>10000</x:v>
      </x:c>
      <x:c r="BB331" s="43" t="n">
        <x:v>16060160</x:v>
      </x:c>
      <x:c r="BC331" s="43" t="n">
        <x:v>15260442</x:v>
      </x:c>
      <x:c r="BD331" s="43" t="n">
        <x:v>799718</x:v>
      </x:c>
      <x:c r="BE331" s="48" t="n">
        <x:v>0.9502048547461545</x:v>
      </x:c>
      <x:c r="BF331" s="43" t="n">
        <x:v>0</x:v>
      </x:c>
      <x:c r="BG331" s="43" t="n">
        <x:v>0</x:v>
      </x:c>
      <x:c r="BH331" s="43" t="n">
        <x:v>0</x:v>
      </x:c>
      <x:c r="BI331" s="43" t="n">
        <x:v>-1</x:v>
      </x:c>
      <x:c r="BJ331" s="43" t="n">
        <x:v>-1</x:v>
      </x:c>
      <x:c r="BK331" s="43" t="n">
        <x:v>15000</x:v>
      </x:c>
      <x:c r="BL331" s="43" t="n">
        <x:v>0</x:v>
      </x:c>
      <x:c r="BM331" s="44" t="str">
        <x:v>{"HitCountRam":15260442,"Composite.HitCountRam":15260442,"HitCountAux":0,"Composite.HitCountAux":0,"Put Count":15000,"Memory Cache.Put Count":15000,"Hit Count":15260442,"Memory Cache.Hit Count":15260442,"Miss Count":799718,"Memory Cache.Miss Count":799718,"Map Size":10000,"Memory Cache.Map Size":10000,"List Size":10000,"Memory Cache.List Size":10000}</x:v>
      </x:c>
    </x:row>
    <x:row r="332">
      <x:c r="A332" s="34" t="str">
        <x:v>article1-unified-v4-2-fb3f101b-20260903-000401-default-f06-p4-ehcache</x:v>
      </x:c>
      <x:c r="B332" s="34" t="str">
        <x:v>default</x:v>
      </x:c>
      <x:c r="C332" s="34" t="str">
        <x:v>ehcache</x:v>
      </x:c>
      <x:c r="D332" s="34" t="str">
        <x:v>ehcache</x:v>
      </x:c>
      <x:c r="E332" s="34" t="str">
        <x:v>current-provider-primary-comparison</x:v>
      </x:c>
      <x:c r="F332" s="36" t="n">
        <x:v>6</x:v>
      </x:c>
      <x:c r="G332" s="36" t="n">
        <x:v>6</x:v>
      </x:c>
      <x:c r="H332" s="36" t="n">
        <x:v>4</x:v>
      </x:c>
      <x:c r="I332" s="36" t="n">
        <x:v>1</x:v>
      </x:c>
      <x:c r="J332" s="34" t="str">
        <x:v>initial</x:v>
      </x:c>
      <x:c r="K332" s="34" t="str">
        <x:v>cache-semantics</x:v>
      </x:c>
      <x:c r="L332" s="45" t="b">
        <x:v>1</x:v>
      </x:c>
      <x:c r="M332" s="36" t="n">
        <x:v>927914527</x:v>
      </x:c>
      <x:c r="N332" s="34" t="str">
        <x:v>7a0b70d8daf7dcbd235b9a1f729db348ce24c4865cb3e23ae17472baf92df172</x:v>
      </x:c>
      <x:c r="O332" s="43" t="n">
        <x:v>10000</x:v>
      </x:c>
      <x:c r="P332" s="43" t="n">
        <x:v>400000</x:v>
      </x:c>
      <x:c r="Q332" s="36" t="n">
        <x:v>8</x:v>
      </x:c>
      <x:c r="R332" s="42" t="n">
        <x:v>95</x:v>
      </x:c>
      <x:c r="S332" s="43" t="n">
        <x:v>512</x:v>
      </x:c>
      <x:c r="T332" s="43" t="n">
        <x:v>50000</x:v>
      </x:c>
      <x:c r="U332" s="46" t="n">
        <x:v>3</x:v>
      </x:c>
      <x:c r="V332" s="46" t="n">
        <x:v>5</x:v>
      </x:c>
      <x:c r="W332" s="43" t="n">
        <x:v>300</x:v>
      </x:c>
      <x:c r="X332" s="34" t="str">
        <x:v>uniform</x:v>
      </x:c>
      <x:c r="Y332" s="42" t="n">
        <x:v>10</x:v>
      </x:c>
      <x:c r="Z332" s="34" t="str">
        <x:v>strict</x:v>
      </x:c>
      <x:c r="AA332" s="36" t="n">
        <x:v>64</x:v>
      </x:c>
      <x:c r="AB332" s="43" t="n">
        <x:v>77733376</x:v>
      </x:c>
      <x:c r="AC332" s="43" t="n">
        <x:v>3000675801</x:v>
      </x:c>
      <x:c r="AD332" s="43" t="n">
        <x:v>675801</x:v>
      </x:c>
      <x:c r="AE332" s="43" t="n">
        <x:v>1831305.6201853831</x:v>
      </x:c>
      <x:c r="AF332" s="43" t="n">
        <x:v>25560018.275933467</x:v>
      </x:c>
      <x:c r="AG332" s="43" t="n">
        <x:v>127875072</x:v>
      </x:c>
      <x:c r="AH332" s="43" t="n">
        <x:v>5002933512</x:v>
      </x:c>
      <x:c r="AI332" s="43" t="n">
        <x:v>2933512</x:v>
      </x:c>
      <x:c r="AJ332" s="43" t="n">
        <x:v>25560018.275933467</x:v>
      </x:c>
      <x:c r="AK332" s="43" t="n">
        <x:v>127875072</x:v>
      </x:c>
      <x:c r="AL332" s="43" t="n">
        <x:v>0</x:v>
      </x:c>
      <x:c r="AM332" s="43" t="n">
        <x:v>270259.94195789384</x:v>
      </x:c>
      <x:c r="AN332" s="43" t="n">
        <x:v>170</x:v>
      </x:c>
      <x:c r="AO332" s="43" t="n">
        <x:v>280</x:v>
      </x:c>
      <x:c r="AP332" s="43" t="n">
        <x:v>481</x:v>
      </x:c>
      <x:c r="AQ332" s="43" t="n">
        <x:v>1998048</x:v>
      </x:c>
      <x:c r="AR332" s="43" t="n">
        <x:v>1</x:v>
      </x:c>
      <x:c r="AS332" s="45" t="b">
        <x:v>1</x:v>
      </x:c>
      <x:c r="AT332" s="43" t="n">
        <x:v>10000</x:v>
      </x:c>
      <x:c r="AU332" s="48" t="n">
        <x:v>0.9502294942989358</x:v>
      </x:c>
      <x:c r="AV332" s="43" t="n">
        <x:v>10000</x:v>
      </x:c>
      <x:c r="AW332" s="48" t="n">
        <x:v>0.9502294942989358</x:v>
      </x:c>
      <x:c r="AX332" s="45" t="b">
        <x:v>1</x:v>
      </x:c>
      <x:c r="AY332" s="44" t="str">
        <x:v>{"provider":"ehcache","currentEntries":10000,"requestCount":127875072,"hitCount":121510665,"missCount":6364407,"hitRate":0.9502294942989358,"loadSuccessCount":0,"loadFailureCount":0,"totalLoadTimeNanos":0,"evictionCount":-1,"expirationCount":-1,"putCount":10000,"removeCount":0,"nativeMetrics":{"mappings":10000}}</x:v>
      </x:c>
      <x:c r="AZ332" s="44" t="str">
        <x:v>{"provider":"ehcache","currentEntries":10000,"requestCount":127875072,"hitCount":121510665,"missCount":6364407,"hitRate":0.9502294942989358,"loadSuccessCount":0,"loadFailureCount":0,"totalLoadTimeNanos":0,"evictionCount":-1,"expirationCount":-1,"putCount":15000,"removeCount":0,"nativeMetrics":{"mappings":10000}}</x:v>
      </x:c>
      <x:c r="BA332" s="43" t="n">
        <x:v>10000</x:v>
      </x:c>
      <x:c r="BB332" s="43" t="n">
        <x:v>127875072</x:v>
      </x:c>
      <x:c r="BC332" s="43" t="n">
        <x:v>121510665</x:v>
      </x:c>
      <x:c r="BD332" s="43" t="n">
        <x:v>6364407</x:v>
      </x:c>
      <x:c r="BE332" s="48" t="n">
        <x:v>0.9502294942989358</x:v>
      </x:c>
      <x:c r="BF332" s="43" t="n">
        <x:v>0</x:v>
      </x:c>
      <x:c r="BG332" s="43" t="n">
        <x:v>0</x:v>
      </x:c>
      <x:c r="BH332" s="43" t="n">
        <x:v>0</x:v>
      </x:c>
      <x:c r="BI332" s="43" t="n">
        <x:v>-1</x:v>
      </x:c>
      <x:c r="BJ332" s="43" t="n">
        <x:v>-1</x:v>
      </x:c>
      <x:c r="BK332" s="43" t="n">
        <x:v>15000</x:v>
      </x:c>
      <x:c r="BL332" s="43" t="n">
        <x:v>0</x:v>
      </x:c>
      <x:c r="BM332" s="44" t="str">
        <x:v>{"mappings":10000}</x:v>
      </x:c>
    </x:row>
    <x:row r="333">
      <x:c r="A333" s="34" t="str">
        <x:v>article1-unified-v4-2-fb3f101b-20260903-000401-default-f06-p4-ehcache</x:v>
      </x:c>
      <x:c r="B333" s="34" t="str">
        <x:v>default</x:v>
      </x:c>
      <x:c r="C333" s="34" t="str">
        <x:v>ehcache</x:v>
      </x:c>
      <x:c r="D333" s="34" t="str">
        <x:v>ehcache</x:v>
      </x:c>
      <x:c r="E333" s="34" t="str">
        <x:v>current-provider-primary-comparison</x:v>
      </x:c>
      <x:c r="F333" s="36" t="n">
        <x:v>6</x:v>
      </x:c>
      <x:c r="G333" s="36" t="n">
        <x:v>6</x:v>
      </x:c>
      <x:c r="H333" s="36" t="n">
        <x:v>4</x:v>
      </x:c>
      <x:c r="I333" s="36" t="n">
        <x:v>1</x:v>
      </x:c>
      <x:c r="J333" s="34" t="str">
        <x:v>redeploy</x:v>
      </x:c>
      <x:c r="K333" s="34" t="str">
        <x:v>cache-semantics</x:v>
      </x:c>
      <x:c r="L333" s="45" t="b">
        <x:v>1</x:v>
      </x:c>
      <x:c r="M333" s="36" t="n">
        <x:v>927914527</x:v>
      </x:c>
      <x:c r="N333" s="34" t="str">
        <x:v>7a0b70d8daf7dcbd235b9a1f729db348ce24c4865cb3e23ae17472baf92df172</x:v>
      </x:c>
      <x:c r="O333" s="43" t="n">
        <x:v>10000</x:v>
      </x:c>
      <x:c r="P333" s="43" t="n">
        <x:v>400000</x:v>
      </x:c>
      <x:c r="Q333" s="36" t="n">
        <x:v>8</x:v>
      </x:c>
      <x:c r="R333" s="42" t="n">
        <x:v>95</x:v>
      </x:c>
      <x:c r="S333" s="43" t="n">
        <x:v>512</x:v>
      </x:c>
      <x:c r="T333" s="43" t="n">
        <x:v>50000</x:v>
      </x:c>
      <x:c r="U333" s="46" t="n">
        <x:v>3</x:v>
      </x:c>
      <x:c r="V333" s="46" t="n">
        <x:v>5</x:v>
      </x:c>
      <x:c r="W333" s="43" t="n">
        <x:v>300</x:v>
      </x:c>
      <x:c r="X333" s="34" t="str">
        <x:v>uniform</x:v>
      </x:c>
      <x:c r="Y333" s="42" t="n">
        <x:v>10</x:v>
      </x:c>
      <x:c r="Z333" s="34" t="str">
        <x:v>strict</x:v>
      </x:c>
      <x:c r="AA333" s="36" t="n">
        <x:v>64</x:v>
      </x:c>
      <x:c r="AB333" s="43" t="n">
        <x:v>80996096</x:v>
      </x:c>
      <x:c r="AC333" s="43" t="n">
        <x:v>3031720207</x:v>
      </x:c>
      <x:c r="AD333" s="43" t="n">
        <x:v>31720207</x:v>
      </x:c>
      <x:c r="AE333" s="43" t="n">
        <x:v>1715510.9812431175</x:v>
      </x:c>
      <x:c r="AF333" s="43" t="n">
        <x:v>26800058.89574678</x:v>
      </x:c>
      <x:c r="AG333" s="43" t="n">
        <x:v>134058752</x:v>
      </x:c>
      <x:c r="AH333" s="43" t="n">
        <x:v>5002181246</x:v>
      </x:c>
      <x:c r="AI333" s="43" t="n">
        <x:v>2181246</x:v>
      </x:c>
      <x:c r="AJ333" s="43" t="n">
        <x:v>26800058.89574678</x:v>
      </x:c>
      <x:c r="AK333" s="43" t="n">
        <x:v>134058752</x:v>
      </x:c>
      <x:c r="AL333" s="43" t="n">
        <x:v>0</x:v>
      </x:c>
      <x:c r="AM333" s="43" t="n">
        <x:v>323727.5806510615</x:v>
      </x:c>
      <x:c r="AN333" s="43" t="n">
        <x:v>160</x:v>
      </x:c>
      <x:c r="AO333" s="43" t="n">
        <x:v>270</x:v>
      </x:c>
      <x:c r="AP333" s="43" t="n">
        <x:v>461</x:v>
      </x:c>
      <x:c r="AQ333" s="43" t="n">
        <x:v>2094668</x:v>
      </x:c>
      <x:c r="AR333" s="43" t="n">
        <x:v>1</x:v>
      </x:c>
      <x:c r="AS333" s="45" t="b">
        <x:v>1</x:v>
      </x:c>
      <x:c r="AT333" s="43" t="n">
        <x:v>10000</x:v>
      </x:c>
      <x:c r="AU333" s="48" t="n">
        <x:v>0.9502423907392484</x:v>
      </x:c>
      <x:c r="AV333" s="43" t="n">
        <x:v>10000</x:v>
      </x:c>
      <x:c r="AW333" s="48" t="n">
        <x:v>0.9502423907392484</x:v>
      </x:c>
      <x:c r="AX333" s="45" t="b">
        <x:v>1</x:v>
      </x:c>
      <x:c r="AY333" s="44" t="str">
        <x:v>{"provider":"ehcache","currentEntries":10000,"requestCount":134058752,"hitCount":127388309,"missCount":6670443,"hitRate":0.9502423907392484,"loadSuccessCount":0,"loadFailureCount":0,"totalLoadTimeNanos":0,"evictionCount":-1,"expirationCount":-1,"putCount":10000,"removeCount":0,"nativeMetrics":{"mappings":10000}}</x:v>
      </x:c>
      <x:c r="AZ333" s="44" t="str">
        <x:v>{"provider":"ehcache","currentEntries":10000,"requestCount":134058752,"hitCount":127388309,"missCount":6670443,"hitRate":0.9502423907392484,"loadSuccessCount":0,"loadFailureCount":0,"totalLoadTimeNanos":0,"evictionCount":-1,"expirationCount":-1,"putCount":15000,"removeCount":0,"nativeMetrics":{"mappings":10000}}</x:v>
      </x:c>
      <x:c r="BA333" s="43" t="n">
        <x:v>10000</x:v>
      </x:c>
      <x:c r="BB333" s="43" t="n">
        <x:v>134058752</x:v>
      </x:c>
      <x:c r="BC333" s="43" t="n">
        <x:v>127388309</x:v>
      </x:c>
      <x:c r="BD333" s="43" t="n">
        <x:v>6670443</x:v>
      </x:c>
      <x:c r="BE333" s="48" t="n">
        <x:v>0.9502423907392484</x:v>
      </x:c>
      <x:c r="BF333" s="43" t="n">
        <x:v>0</x:v>
      </x:c>
      <x:c r="BG333" s="43" t="n">
        <x:v>0</x:v>
      </x:c>
      <x:c r="BH333" s="43" t="n">
        <x:v>0</x:v>
      </x:c>
      <x:c r="BI333" s="43" t="n">
        <x:v>-1</x:v>
      </x:c>
      <x:c r="BJ333" s="43" t="n">
        <x:v>-1</x:v>
      </x:c>
      <x:c r="BK333" s="43" t="n">
        <x:v>15000</x:v>
      </x:c>
      <x:c r="BL333" s="43" t="n">
        <x:v>0</x:v>
      </x:c>
      <x:c r="BM333" s="44" t="str">
        <x:v>{"mappings":10000}</x:v>
      </x:c>
    </x:row>
    <x:row r="334">
      <x:c r="A334" s="34" t="str">
        <x:v>article1-unified-v4-2-fb3f101b-20260903-000401-default-f06-p4-ehcache</x:v>
      </x:c>
      <x:c r="B334" s="34" t="str">
        <x:v>default</x:v>
      </x:c>
      <x:c r="C334" s="34" t="str">
        <x:v>ehcache</x:v>
      </x:c>
      <x:c r="D334" s="34" t="str">
        <x:v>ehcache</x:v>
      </x:c>
      <x:c r="E334" s="34" t="str">
        <x:v>current-provider-primary-comparison</x:v>
      </x:c>
      <x:c r="F334" s="36" t="n">
        <x:v>6</x:v>
      </x:c>
      <x:c r="G334" s="36" t="n">
        <x:v>6</x:v>
      </x:c>
      <x:c r="H334" s="36" t="n">
        <x:v>4</x:v>
      </x:c>
      <x:c r="I334" s="36" t="n">
        <x:v>2</x:v>
      </x:c>
      <x:c r="J334" s="34" t="str">
        <x:v>initial</x:v>
      </x:c>
      <x:c r="K334" s="34" t="str">
        <x:v>cache-semantics</x:v>
      </x:c>
      <x:c r="L334" s="45" t="b">
        <x:v>1</x:v>
      </x:c>
      <x:c r="M334" s="36" t="n">
        <x:v>977482916</x:v>
      </x:c>
      <x:c r="N334" s="34" t="str">
        <x:v>fbef1bb91de564b9301b3368c99f514c400bd26d86d0deae91aa8f63ce424d4c</x:v>
      </x:c>
      <x:c r="O334" s="43" t="n">
        <x:v>10000</x:v>
      </x:c>
      <x:c r="P334" s="43" t="n">
        <x:v>400000</x:v>
      </x:c>
      <x:c r="Q334" s="36" t="n">
        <x:v>8</x:v>
      </x:c>
      <x:c r="R334" s="42" t="n">
        <x:v>95</x:v>
      </x:c>
      <x:c r="S334" s="43" t="n">
        <x:v>512</x:v>
      </x:c>
      <x:c r="T334" s="43" t="n">
        <x:v>50000</x:v>
      </x:c>
      <x:c r="U334" s="46" t="n">
        <x:v>3</x:v>
      </x:c>
      <x:c r="V334" s="46" t="n">
        <x:v>5</x:v>
      </x:c>
      <x:c r="W334" s="43" t="n">
        <x:v>300</x:v>
      </x:c>
      <x:c r="X334" s="34" t="str">
        <x:v>uniform</x:v>
      </x:c>
      <x:c r="Y334" s="42" t="n">
        <x:v>10</x:v>
      </x:c>
      <x:c r="Z334" s="34" t="str">
        <x:v>strict</x:v>
      </x:c>
      <x:c r="AA334" s="36" t="n">
        <x:v>64</x:v>
      </x:c>
      <x:c r="AB334" s="43" t="n">
        <x:v>79461376</x:v>
      </x:c>
      <x:c r="AC334" s="43" t="n">
        <x:v>3025276955</x:v>
      </x:c>
      <x:c r="AD334" s="43" t="n">
        <x:v>25276955</x:v>
      </x:c>
      <x:c r="AE334" s="43" t="n">
        <x:v>1504808.9178588013</x:v>
      </x:c>
      <x:c r="AF334" s="43" t="n">
        <x:v>26362276.29776644</x:v>
      </x:c>
      <x:c r="AG334" s="43" t="n">
        <x:v>131872768</x:v>
      </x:c>
      <x:c r="AH334" s="43" t="n">
        <x:v>5002328574</x:v>
      </x:c>
      <x:c r="AI334" s="43" t="n">
        <x:v>2328574</x:v>
      </x:c>
      <x:c r="AJ334" s="43" t="n">
        <x:v>26362276.29776644</x:v>
      </x:c>
      <x:c r="AK334" s="43" t="n">
        <x:v>131872768</x:v>
      </x:c>
      <x:c r="AL334" s="43" t="n">
        <x:v>0</x:v>
      </x:c>
      <x:c r="AM334" s="43" t="n">
        <x:v>335067.845542569</x:v>
      </x:c>
      <x:c r="AN334" s="43" t="n">
        <x:v>161</x:v>
      </x:c>
      <x:c r="AO334" s="43" t="n">
        <x:v>261</x:v>
      </x:c>
      <x:c r="AP334" s="43" t="n">
        <x:v>491</x:v>
      </x:c>
      <x:c r="AQ334" s="43" t="n">
        <x:v>2060512</x:v>
      </x:c>
      <x:c r="AR334" s="43" t="n">
        <x:v>1</x:v>
      </x:c>
      <x:c r="AS334" s="45" t="b">
        <x:v>1</x:v>
      </x:c>
      <x:c r="AT334" s="43" t="n">
        <x:v>10000</x:v>
      </x:c>
      <x:c r="AU334" s="48" t="n">
        <x:v>0.9497361805585214</x:v>
      </x:c>
      <x:c r="AV334" s="43" t="n">
        <x:v>10000</x:v>
      </x:c>
      <x:c r="AW334" s="48" t="n">
        <x:v>0.9497361805585214</x:v>
      </x:c>
      <x:c r="AX334" s="45" t="b">
        <x:v>1</x:v>
      </x:c>
      <x:c r="AY334" s="44" t="str">
        <x:v>{"provider":"ehcache","currentEntries":10000,"requestCount":131872768,"hitCount":125244339,"missCount":6628429,"hitRate":0.9497361805585214,"loadSuccessCount":0,"loadFailureCount":0,"totalLoadTimeNanos":0,"evictionCount":-1,"expirationCount":-1,"putCount":10000,"removeCount":0,"nativeMetrics":{"mappings":10000}}</x:v>
      </x:c>
      <x:c r="AZ334" s="44" t="str">
        <x:v>{"provider":"ehcache","currentEntries":10000,"requestCount":131872768,"hitCount":125244339,"missCount":6628429,"hitRate":0.9497361805585214,"loadSuccessCount":0,"loadFailureCount":0,"totalLoadTimeNanos":0,"evictionCount":-1,"expirationCount":-1,"putCount":15000,"removeCount":0,"nativeMetrics":{"mappings":10000}}</x:v>
      </x:c>
      <x:c r="BA334" s="43" t="n">
        <x:v>10000</x:v>
      </x:c>
      <x:c r="BB334" s="43" t="n">
        <x:v>131872768</x:v>
      </x:c>
      <x:c r="BC334" s="43" t="n">
        <x:v>125244339</x:v>
      </x:c>
      <x:c r="BD334" s="43" t="n">
        <x:v>6628429</x:v>
      </x:c>
      <x:c r="BE334" s="48" t="n">
        <x:v>0.9497361805585214</x:v>
      </x:c>
      <x:c r="BF334" s="43" t="n">
        <x:v>0</x:v>
      </x:c>
      <x:c r="BG334" s="43" t="n">
        <x:v>0</x:v>
      </x:c>
      <x:c r="BH334" s="43" t="n">
        <x:v>0</x:v>
      </x:c>
      <x:c r="BI334" s="43" t="n">
        <x:v>-1</x:v>
      </x:c>
      <x:c r="BJ334" s="43" t="n">
        <x:v>-1</x:v>
      </x:c>
      <x:c r="BK334" s="43" t="n">
        <x:v>15000</x:v>
      </x:c>
      <x:c r="BL334" s="43" t="n">
        <x:v>0</x:v>
      </x:c>
      <x:c r="BM334" s="44" t="str">
        <x:v>{"mappings":10000}</x:v>
      </x:c>
    </x:row>
    <x:row r="335">
      <x:c r="A335" s="34" t="str">
        <x:v>article1-unified-v4-2-fb3f101b-20260903-000401-default-f06-p4-ehcache</x:v>
      </x:c>
      <x:c r="B335" s="34" t="str">
        <x:v>default</x:v>
      </x:c>
      <x:c r="C335" s="34" t="str">
        <x:v>ehcache</x:v>
      </x:c>
      <x:c r="D335" s="34" t="str">
        <x:v>ehcache</x:v>
      </x:c>
      <x:c r="E335" s="34" t="str">
        <x:v>current-provider-primary-comparison</x:v>
      </x:c>
      <x:c r="F335" s="36" t="n">
        <x:v>6</x:v>
      </x:c>
      <x:c r="G335" s="36" t="n">
        <x:v>6</x:v>
      </x:c>
      <x:c r="H335" s="36" t="n">
        <x:v>4</x:v>
      </x:c>
      <x:c r="I335" s="36" t="n">
        <x:v>2</x:v>
      </x:c>
      <x:c r="J335" s="34" t="str">
        <x:v>redeploy</x:v>
      </x:c>
      <x:c r="K335" s="34" t="str">
        <x:v>cache-semantics</x:v>
      </x:c>
      <x:c r="L335" s="45" t="b">
        <x:v>1</x:v>
      </x:c>
      <x:c r="M335" s="36" t="n">
        <x:v>977482916</x:v>
      </x:c>
      <x:c r="N335" s="34" t="str">
        <x:v>fbef1bb91de564b9301b3368c99f514c400bd26d86d0deae91aa8f63ce424d4c</x:v>
      </x:c>
      <x:c r="O335" s="43" t="n">
        <x:v>10000</x:v>
      </x:c>
      <x:c r="P335" s="43" t="n">
        <x:v>400000</x:v>
      </x:c>
      <x:c r="Q335" s="36" t="n">
        <x:v>8</x:v>
      </x:c>
      <x:c r="R335" s="42" t="n">
        <x:v>95</x:v>
      </x:c>
      <x:c r="S335" s="43" t="n">
        <x:v>512</x:v>
      </x:c>
      <x:c r="T335" s="43" t="n">
        <x:v>50000</x:v>
      </x:c>
      <x:c r="U335" s="46" t="n">
        <x:v>3</x:v>
      </x:c>
      <x:c r="V335" s="46" t="n">
        <x:v>5</x:v>
      </x:c>
      <x:c r="W335" s="43" t="n">
        <x:v>300</x:v>
      </x:c>
      <x:c r="X335" s="34" t="str">
        <x:v>uniform</x:v>
      </x:c>
      <x:c r="Y335" s="42" t="n">
        <x:v>10</x:v>
      </x:c>
      <x:c r="Z335" s="34" t="str">
        <x:v>strict</x:v>
      </x:c>
      <x:c r="AA335" s="36" t="n">
        <x:v>64</x:v>
      </x:c>
      <x:c r="AB335" s="43" t="n">
        <x:v>77549824</x:v>
      </x:c>
      <x:c r="AC335" s="43" t="n">
        <x:v>3000601465</x:v>
      </x:c>
      <x:c r="AD335" s="43" t="n">
        <x:v>601465</x:v>
      </x:c>
      <x:c r="AE335" s="43" t="n">
        <x:v>1752546.0989725874</x:v>
      </x:c>
      <x:c r="AF335" s="43" t="n">
        <x:v>23903567.788057577</x:v>
      </x:c>
      <x:c r="AG335" s="43" t="n">
        <x:v>119567872</x:v>
      </x:c>
      <x:c r="AH335" s="43" t="n">
        <x:v>5002093121</x:v>
      </x:c>
      <x:c r="AI335" s="43" t="n">
        <x:v>2093121</x:v>
      </x:c>
      <x:c r="AJ335" s="43" t="n">
        <x:v>23903567.788057577</x:v>
      </x:c>
      <x:c r="AK335" s="43" t="n">
        <x:v>119567872</x:v>
      </x:c>
      <x:c r="AL335" s="43" t="n">
        <x:v>0</x:v>
      </x:c>
      <x:c r="AM335" s="43" t="n">
        <x:v>388964.30474575347</x:v>
      </x:c>
      <x:c r="AN335" s="43" t="n">
        <x:v>170</x:v>
      </x:c>
      <x:c r="AO335" s="43" t="n">
        <x:v>301</x:v>
      </x:c>
      <x:c r="AP335" s="43" t="n">
        <x:v>511</x:v>
      </x:c>
      <x:c r="AQ335" s="43" t="n">
        <x:v>1868248</x:v>
      </x:c>
      <x:c r="AR335" s="43" t="n">
        <x:v>1</x:v>
      </x:c>
      <x:c r="AS335" s="45" t="b">
        <x:v>1</x:v>
      </x:c>
      <x:c r="AT335" s="43" t="n">
        <x:v>10000</x:v>
      </x:c>
      <x:c r="AU335" s="48" t="n">
        <x:v>0.9497550813650008</x:v>
      </x:c>
      <x:c r="AV335" s="43" t="n">
        <x:v>10000</x:v>
      </x:c>
      <x:c r="AW335" s="48" t="n">
        <x:v>0.9497550813650008</x:v>
      </x:c>
      <x:c r="AX335" s="45" t="b">
        <x:v>1</x:v>
      </x:c>
      <x:c r="AY335" s="44" t="str">
        <x:v>{"provider":"ehcache","currentEntries":10000,"requestCount":119567872,"hitCount":113560194,"missCount":6007678,"hitRate":0.9497550813650008,"loadSuccessCount":0,"loadFailureCount":0,"totalLoadTimeNanos":0,"evictionCount":-1,"expirationCount":-1,"putCount":10000,"removeCount":0,"nativeMetrics":{"mappings":10000}}</x:v>
      </x:c>
      <x:c r="AZ335" s="44" t="str">
        <x:v>{"provider":"ehcache","currentEntries":10000,"requestCount":119567872,"hitCount":113560194,"missCount":6007678,"hitRate":0.9497550813650008,"loadSuccessCount":0,"loadFailureCount":0,"totalLoadTimeNanos":0,"evictionCount":-1,"expirationCount":-1,"putCount":15000,"removeCount":0,"nativeMetrics":{"mappings":10000}}</x:v>
      </x:c>
      <x:c r="BA335" s="43" t="n">
        <x:v>10000</x:v>
      </x:c>
      <x:c r="BB335" s="43" t="n">
        <x:v>119567872</x:v>
      </x:c>
      <x:c r="BC335" s="43" t="n">
        <x:v>113560194</x:v>
      </x:c>
      <x:c r="BD335" s="43" t="n">
        <x:v>6007678</x:v>
      </x:c>
      <x:c r="BE335" s="48" t="n">
        <x:v>0.9497550813650008</x:v>
      </x:c>
      <x:c r="BF335" s="43" t="n">
        <x:v>0</x:v>
      </x:c>
      <x:c r="BG335" s="43" t="n">
        <x:v>0</x:v>
      </x:c>
      <x:c r="BH335" s="43" t="n">
        <x:v>0</x:v>
      </x:c>
      <x:c r="BI335" s="43" t="n">
        <x:v>-1</x:v>
      </x:c>
      <x:c r="BJ335" s="43" t="n">
        <x:v>-1</x:v>
      </x:c>
      <x:c r="BK335" s="43" t="n">
        <x:v>15000</x:v>
      </x:c>
      <x:c r="BL335" s="43" t="n">
        <x:v>0</x:v>
      </x:c>
      <x:c r="BM335" s="44" t="str">
        <x:v>{"mappings":10000}</x:v>
      </x:c>
    </x:row>
    <x:row r="336">
      <x:c r="A336" s="34" t="str">
        <x:v>article1-unified-v4-2-fb3f101b-20260903-000401-default-f06-p4-ehcache</x:v>
      </x:c>
      <x:c r="B336" s="34" t="str">
        <x:v>default</x:v>
      </x:c>
      <x:c r="C336" s="34" t="str">
        <x:v>ehcache</x:v>
      </x:c>
      <x:c r="D336" s="34" t="str">
        <x:v>ehcache</x:v>
      </x:c>
      <x:c r="E336" s="34" t="str">
        <x:v>current-provider-primary-comparison</x:v>
      </x:c>
      <x:c r="F336" s="36" t="n">
        <x:v>6</x:v>
      </x:c>
      <x:c r="G336" s="36" t="n">
        <x:v>6</x:v>
      </x:c>
      <x:c r="H336" s="36" t="n">
        <x:v>4</x:v>
      </x:c>
      <x:c r="I336" s="36" t="n">
        <x:v>3</x:v>
      </x:c>
      <x:c r="J336" s="34" t="str">
        <x:v>initial</x:v>
      </x:c>
      <x:c r="K336" s="34" t="str">
        <x:v>cache-semantics</x:v>
      </x:c>
      <x:c r="L336" s="45" t="b">
        <x:v>1</x:v>
      </x:c>
      <x:c r="M336" s="36" t="n">
        <x:v>1145234224</x:v>
      </x:c>
      <x:c r="N336" s="34" t="str">
        <x:v>6af895c3c09dcc45239d20d59a83e7d7936a4cbc235d171eb415d308df579083</x:v>
      </x:c>
      <x:c r="O336" s="43" t="n">
        <x:v>10000</x:v>
      </x:c>
      <x:c r="P336" s="43" t="n">
        <x:v>400000</x:v>
      </x:c>
      <x:c r="Q336" s="36" t="n">
        <x:v>8</x:v>
      </x:c>
      <x:c r="R336" s="42" t="n">
        <x:v>95</x:v>
      </x:c>
      <x:c r="S336" s="43" t="n">
        <x:v>512</x:v>
      </x:c>
      <x:c r="T336" s="43" t="n">
        <x:v>50000</x:v>
      </x:c>
      <x:c r="U336" s="46" t="n">
        <x:v>3</x:v>
      </x:c>
      <x:c r="V336" s="46" t="n">
        <x:v>5</x:v>
      </x:c>
      <x:c r="W336" s="43" t="n">
        <x:v>300</x:v>
      </x:c>
      <x:c r="X336" s="34" t="str">
        <x:v>uniform</x:v>
      </x:c>
      <x:c r="Y336" s="42" t="n">
        <x:v>10</x:v>
      </x:c>
      <x:c r="Z336" s="34" t="str">
        <x:v>strict</x:v>
      </x:c>
      <x:c r="AA336" s="36" t="n">
        <x:v>64</x:v>
      </x:c>
      <x:c r="AB336" s="43" t="n">
        <x:v>74906112</x:v>
      </x:c>
      <x:c r="AC336" s="43" t="n">
        <x:v>3000746876</x:v>
      </x:c>
      <x:c r="AD336" s="43" t="n">
        <x:v>746876</x:v>
      </x:c>
      <x:c r="AE336" s="43" t="n">
        <x:v>602269.7740976418</x:v>
      </x:c>
      <x:c r="AF336" s="43" t="n">
        <x:v>22257640.767177425</x:v>
      </x:c>
      <x:c r="AG336" s="43" t="n">
        <x:v>111331584</x:v>
      </x:c>
      <x:c r="AH336" s="43" t="n">
        <x:v>5001949001</x:v>
      </x:c>
      <x:c r="AI336" s="43" t="n">
        <x:v>1949001</x:v>
      </x:c>
      <x:c r="AJ336" s="43" t="n">
        <x:v>22257640.767177425</x:v>
      </x:c>
      <x:c r="AK336" s="43" t="n">
        <x:v>111331584</x:v>
      </x:c>
      <x:c r="AL336" s="43" t="n">
        <x:v>0</x:v>
      </x:c>
      <x:c r="AM336" s="43" t="n">
        <x:v>327536.0972619751</x:v>
      </x:c>
      <x:c r="AN336" s="43" t="n">
        <x:v>170</x:v>
      </x:c>
      <x:c r="AO336" s="43" t="n">
        <x:v>351</x:v>
      </x:c>
      <x:c r="AP336" s="43" t="n">
        <x:v>641</x:v>
      </x:c>
      <x:c r="AQ336" s="43" t="n">
        <x:v>1739556</x:v>
      </x:c>
      <x:c r="AR336" s="43" t="n">
        <x:v>1</x:v>
      </x:c>
      <x:c r="AS336" s="45" t="b">
        <x:v>1</x:v>
      </x:c>
      <x:c r="AT336" s="43" t="n">
        <x:v>10000</x:v>
      </x:c>
      <x:c r="AU336" s="48" t="n">
        <x:v>0.9499107818316858</x:v>
      </x:c>
      <x:c r="AV336" s="43" t="n">
        <x:v>10000</x:v>
      </x:c>
      <x:c r="AW336" s="48" t="n">
        <x:v>0.9499107818316858</x:v>
      </x:c>
      <x:c r="AX336" s="45" t="b">
        <x:v>1</x:v>
      </x:c>
      <x:c r="AY336" s="44" t="str">
        <x:v>{"provider":"ehcache","currentEntries":10000,"requestCount":111331584,"hitCount":105755072,"missCount":5576512,"hitRate":0.9499107818316858,"loadSuccessCount":0,"loadFailureCount":0,"totalLoadTimeNanos":0,"evictionCount":-1,"expirationCount":-1,"putCount":10000,"removeCount":0,"nativeMetrics":{"mappings":10000}}</x:v>
      </x:c>
      <x:c r="AZ336" s="44" t="str">
        <x:v>{"provider":"ehcache","currentEntries":10000,"requestCount":111331584,"hitCount":105755072,"missCount":5576512,"hitRate":0.9499107818316858,"loadSuccessCount":0,"loadFailureCount":0,"totalLoadTimeNanos":0,"evictionCount":-1,"expirationCount":-1,"putCount":15000,"removeCount":0,"nativeMetrics":{"mappings":10000}}</x:v>
      </x:c>
      <x:c r="BA336" s="43" t="n">
        <x:v>10000</x:v>
      </x:c>
      <x:c r="BB336" s="43" t="n">
        <x:v>111331584</x:v>
      </x:c>
      <x:c r="BC336" s="43" t="n">
        <x:v>105755072</x:v>
      </x:c>
      <x:c r="BD336" s="43" t="n">
        <x:v>5576512</x:v>
      </x:c>
      <x:c r="BE336" s="48" t="n">
        <x:v>0.9499107818316858</x:v>
      </x:c>
      <x:c r="BF336" s="43" t="n">
        <x:v>0</x:v>
      </x:c>
      <x:c r="BG336" s="43" t="n">
        <x:v>0</x:v>
      </x:c>
      <x:c r="BH336" s="43" t="n">
        <x:v>0</x:v>
      </x:c>
      <x:c r="BI336" s="43" t="n">
        <x:v>-1</x:v>
      </x:c>
      <x:c r="BJ336" s="43" t="n">
        <x:v>-1</x:v>
      </x:c>
      <x:c r="BK336" s="43" t="n">
        <x:v>15000</x:v>
      </x:c>
      <x:c r="BL336" s="43" t="n">
        <x:v>0</x:v>
      </x:c>
      <x:c r="BM336" s="44" t="str">
        <x:v>{"mappings":10000}</x:v>
      </x:c>
    </x:row>
    <x:row r="337">
      <x:c r="A337" s="34" t="str">
        <x:v>article1-unified-v4-2-fb3f101b-20260903-000401-default-f06-p4-ehcache</x:v>
      </x:c>
      <x:c r="B337" s="34" t="str">
        <x:v>default</x:v>
      </x:c>
      <x:c r="C337" s="34" t="str">
        <x:v>ehcache</x:v>
      </x:c>
      <x:c r="D337" s="34" t="str">
        <x:v>ehcache</x:v>
      </x:c>
      <x:c r="E337" s="34" t="str">
        <x:v>current-provider-primary-comparison</x:v>
      </x:c>
      <x:c r="F337" s="36" t="n">
        <x:v>6</x:v>
      </x:c>
      <x:c r="G337" s="36" t="n">
        <x:v>6</x:v>
      </x:c>
      <x:c r="H337" s="36" t="n">
        <x:v>4</x:v>
      </x:c>
      <x:c r="I337" s="36" t="n">
        <x:v>3</x:v>
      </x:c>
      <x:c r="J337" s="34" t="str">
        <x:v>redeploy</x:v>
      </x:c>
      <x:c r="K337" s="34" t="str">
        <x:v>cache-semantics</x:v>
      </x:c>
      <x:c r="L337" s="45" t="b">
        <x:v>1</x:v>
      </x:c>
      <x:c r="M337" s="36" t="n">
        <x:v>1145234224</x:v>
      </x:c>
      <x:c r="N337" s="34" t="str">
        <x:v>6af895c3c09dcc45239d20d59a83e7d7936a4cbc235d171eb415d308df579083</x:v>
      </x:c>
      <x:c r="O337" s="43" t="n">
        <x:v>10000</x:v>
      </x:c>
      <x:c r="P337" s="43" t="n">
        <x:v>400000</x:v>
      </x:c>
      <x:c r="Q337" s="36" t="n">
        <x:v>8</x:v>
      </x:c>
      <x:c r="R337" s="42" t="n">
        <x:v>95</x:v>
      </x:c>
      <x:c r="S337" s="43" t="n">
        <x:v>512</x:v>
      </x:c>
      <x:c r="T337" s="43" t="n">
        <x:v>50000</x:v>
      </x:c>
      <x:c r="U337" s="46" t="n">
        <x:v>3</x:v>
      </x:c>
      <x:c r="V337" s="46" t="n">
        <x:v>5</x:v>
      </x:c>
      <x:c r="W337" s="43" t="n">
        <x:v>300</x:v>
      </x:c>
      <x:c r="X337" s="34" t="str">
        <x:v>uniform</x:v>
      </x:c>
      <x:c r="Y337" s="42" t="n">
        <x:v>10</x:v>
      </x:c>
      <x:c r="Z337" s="34" t="str">
        <x:v>strict</x:v>
      </x:c>
      <x:c r="AA337" s="36" t="n">
        <x:v>64</x:v>
      </x:c>
      <x:c r="AB337" s="43" t="n">
        <x:v>80427264</x:v>
      </x:c>
      <x:c r="AC337" s="43" t="n">
        <x:v>3005312953</x:v>
      </x:c>
      <x:c r="AD337" s="43" t="n">
        <x:v>5312953</x:v>
      </x:c>
      <x:c r="AE337" s="43" t="n">
        <x:v>2170351.7792977956</x:v>
      </x:c>
      <x:c r="AF337" s="43" t="n">
        <x:v>26856128.138434224</x:v>
      </x:c>
      <x:c r="AG337" s="43" t="n">
        <x:v>135504384</x:v>
      </x:c>
      <x:c r="AH337" s="43" t="n">
        <x:v>5045566632</x:v>
      </x:c>
      <x:c r="AI337" s="43" t="n">
        <x:v>45566632</x:v>
      </x:c>
      <x:c r="AJ337" s="43" t="n">
        <x:v>26856128.138434224</x:v>
      </x:c>
      <x:c r="AK337" s="43" t="n">
        <x:v>135504384</x:v>
      </x:c>
      <x:c r="AL337" s="43" t="n">
        <x:v>0</x:v>
      </x:c>
      <x:c r="AM337" s="43" t="n">
        <x:v>329037.3125022004</x:v>
      </x:c>
      <x:c r="AN337" s="43" t="n">
        <x:v>160</x:v>
      </x:c>
      <x:c r="AO337" s="43" t="n">
        <x:v>260</x:v>
      </x:c>
      <x:c r="AP337" s="43" t="n">
        <x:v>461</x:v>
      </x:c>
      <x:c r="AQ337" s="43" t="n">
        <x:v>2117256</x:v>
      </x:c>
      <x:c r="AR337" s="43" t="n">
        <x:v>1</x:v>
      </x:c>
      <x:c r="AS337" s="45" t="b">
        <x:v>1</x:v>
      </x:c>
      <x:c r="AT337" s="43" t="n">
        <x:v>10000</x:v>
      </x:c>
      <x:c r="AU337" s="48" t="n">
        <x:v>0.9499115910522865</x:v>
      </x:c>
      <x:c r="AV337" s="43" t="n">
        <x:v>10000</x:v>
      </x:c>
      <x:c r="AW337" s="48" t="n">
        <x:v>0.9499115910522865</x:v>
      </x:c>
      <x:c r="AX337" s="45" t="b">
        <x:v>1</x:v>
      </x:c>
      <x:c r="AY337" s="44" t="str">
        <x:v>{"provider":"ehcache","currentEntries":10000,"requestCount":135504384,"hitCount":128717185,"missCount":6787199,"hitRate":0.9499115910522865,"loadSuccessCount":0,"loadFailureCount":0,"totalLoadTimeNanos":0,"evictionCount":-1,"expirationCount":-1,"putCount":10000,"removeCount":0,"nativeMetrics":{"mappings":10000}}</x:v>
      </x:c>
      <x:c r="AZ337" s="44" t="str">
        <x:v>{"provider":"ehcache","currentEntries":10000,"requestCount":135504384,"hitCount":128717185,"missCount":6787199,"hitRate":0.9499115910522865,"loadSuccessCount":0,"loadFailureCount":0,"totalLoadTimeNanos":0,"evictionCount":-1,"expirationCount":-1,"putCount":15000,"removeCount":0,"nativeMetrics":{"mappings":10000}}</x:v>
      </x:c>
      <x:c r="BA337" s="43" t="n">
        <x:v>10000</x:v>
      </x:c>
      <x:c r="BB337" s="43" t="n">
        <x:v>135504384</x:v>
      </x:c>
      <x:c r="BC337" s="43" t="n">
        <x:v>128717185</x:v>
      </x:c>
      <x:c r="BD337" s="43" t="n">
        <x:v>6787199</x:v>
      </x:c>
      <x:c r="BE337" s="48" t="n">
        <x:v>0.9499115910522865</x:v>
      </x:c>
      <x:c r="BF337" s="43" t="n">
        <x:v>0</x:v>
      </x:c>
      <x:c r="BG337" s="43" t="n">
        <x:v>0</x:v>
      </x:c>
      <x:c r="BH337" s="43" t="n">
        <x:v>0</x:v>
      </x:c>
      <x:c r="BI337" s="43" t="n">
        <x:v>-1</x:v>
      </x:c>
      <x:c r="BJ337" s="43" t="n">
        <x:v>-1</x:v>
      </x:c>
      <x:c r="BK337" s="43" t="n">
        <x:v>15000</x:v>
      </x:c>
      <x:c r="BL337" s="43" t="n">
        <x:v>0</x:v>
      </x:c>
      <x:c r="BM337" s="44" t="str">
        <x:v>{"mappings":10000}</x:v>
      </x:c>
    </x:row>
    <x:row r="338">
      <x:c r="A338" s="34" t="str">
        <x:v>article1-unified-v4-2-fb3f101b-20260903-000401-default-f06-p4-ehcache</x:v>
      </x:c>
      <x:c r="B338" s="34" t="str">
        <x:v>default</x:v>
      </x:c>
      <x:c r="C338" s="34" t="str">
        <x:v>ehcache</x:v>
      </x:c>
      <x:c r="D338" s="34" t="str">
        <x:v>ehcache</x:v>
      </x:c>
      <x:c r="E338" s="34" t="str">
        <x:v>current-provider-primary-comparison</x:v>
      </x:c>
      <x:c r="F338" s="36" t="n">
        <x:v>6</x:v>
      </x:c>
      <x:c r="G338" s="36" t="n">
        <x:v>6</x:v>
      </x:c>
      <x:c r="H338" s="36" t="n">
        <x:v>4</x:v>
      </x:c>
      <x:c r="I338" s="36" t="n">
        <x:v>4</x:v>
      </x:c>
      <x:c r="J338" s="34" t="str">
        <x:v>initial</x:v>
      </x:c>
      <x:c r="K338" s="34" t="str">
        <x:v>cache-semantics</x:v>
      </x:c>
      <x:c r="L338" s="45" t="b">
        <x:v>1</x:v>
      </x:c>
      <x:c r="M338" s="36" t="n">
        <x:v>1327484523</x:v>
      </x:c>
      <x:c r="N338" s="34" t="str">
        <x:v>701c077715f7da8759e1e555b03db6d96b802524339eadeaf5a33b9cd6ccae55</x:v>
      </x:c>
      <x:c r="O338" s="43" t="n">
        <x:v>10000</x:v>
      </x:c>
      <x:c r="P338" s="43" t="n">
        <x:v>400000</x:v>
      </x:c>
      <x:c r="Q338" s="36" t="n">
        <x:v>8</x:v>
      </x:c>
      <x:c r="R338" s="42" t="n">
        <x:v>95</x:v>
      </x:c>
      <x:c r="S338" s="43" t="n">
        <x:v>512</x:v>
      </x:c>
      <x:c r="T338" s="43" t="n">
        <x:v>50000</x:v>
      </x:c>
      <x:c r="U338" s="46" t="n">
        <x:v>3</x:v>
      </x:c>
      <x:c r="V338" s="46" t="n">
        <x:v>5</x:v>
      </x:c>
      <x:c r="W338" s="43" t="n">
        <x:v>300</x:v>
      </x:c>
      <x:c r="X338" s="34" t="str">
        <x:v>uniform</x:v>
      </x:c>
      <x:c r="Y338" s="42" t="n">
        <x:v>10</x:v>
      </x:c>
      <x:c r="Z338" s="34" t="str">
        <x:v>strict</x:v>
      </x:c>
      <x:c r="AA338" s="36" t="n">
        <x:v>64</x:v>
      </x:c>
      <x:c r="AB338" s="43" t="n">
        <x:v>73144320</x:v>
      </x:c>
      <x:c r="AC338" s="43" t="n">
        <x:v>3036313950</x:v>
      </x:c>
      <x:c r="AD338" s="43" t="n">
        <x:v>36313950</x:v>
      </x:c>
      <x:c r="AE338" s="43" t="n">
        <x:v>1360653.9956216875</x:v>
      </x:c>
      <x:c r="AF338" s="43" t="n">
        <x:v>26056675.205439124</x:v>
      </x:c>
      <x:c r="AG338" s="43" t="n">
        <x:v>130343424</x:v>
      </x:c>
      <x:c r="AH338" s="43" t="n">
        <x:v>5002304514</x:v>
      </x:c>
      <x:c r="AI338" s="43" t="n">
        <x:v>2304514</x:v>
      </x:c>
      <x:c r="AJ338" s="43" t="n">
        <x:v>26056675.205439124</x:v>
      </x:c>
      <x:c r="AK338" s="43" t="n">
        <x:v>130343424</x:v>
      </x:c>
      <x:c r="AL338" s="43" t="n">
        <x:v>0</x:v>
      </x:c>
      <x:c r="AM338" s="43" t="n">
        <x:v>363697.8616384225</x:v>
      </x:c>
      <x:c r="AN338" s="43" t="n">
        <x:v>161</x:v>
      </x:c>
      <x:c r="AO338" s="43" t="n">
        <x:v>281</x:v>
      </x:c>
      <x:c r="AP338" s="43" t="n">
        <x:v>491</x:v>
      </x:c>
      <x:c r="AQ338" s="43" t="n">
        <x:v>2036616</x:v>
      </x:c>
      <x:c r="AR338" s="43" t="n">
        <x:v>1</x:v>
      </x:c>
      <x:c r="AS338" s="45" t="b">
        <x:v>1</x:v>
      </x:c>
      <x:c r="AT338" s="43" t="n">
        <x:v>10000</x:v>
      </x:c>
      <x:c r="AU338" s="48" t="n">
        <x:v>0.9500621527327685</x:v>
      </x:c>
      <x:c r="AV338" s="43" t="n">
        <x:v>10000</x:v>
      </x:c>
      <x:c r="AW338" s="48" t="n">
        <x:v>0.9500621527327685</x:v>
      </x:c>
      <x:c r="AX338" s="45" t="b">
        <x:v>1</x:v>
      </x:c>
      <x:c r="AY338" s="44" t="str">
        <x:v>{"provider":"ehcache","currentEntries":10000,"requestCount":130343424,"hitCount":123834354,"missCount":6509070,"hitRate":0.9500621527327685,"loadSuccessCount":0,"loadFailureCount":0,"totalLoadTimeNanos":0,"evictionCount":-1,"expirationCount":-1,"putCount":10000,"removeCount":0,"nativeMetrics":{"mappings":10000}}</x:v>
      </x:c>
      <x:c r="AZ338" s="44" t="str">
        <x:v>{"provider":"ehcache","currentEntries":10000,"requestCount":130343424,"hitCount":123834354,"missCount":6509070,"hitRate":0.9500621527327685,"loadSuccessCount":0,"loadFailureCount":0,"totalLoadTimeNanos":0,"evictionCount":-1,"expirationCount":-1,"putCount":15000,"removeCount":0,"nativeMetrics":{"mappings":10000}}</x:v>
      </x:c>
      <x:c r="BA338" s="43" t="n">
        <x:v>10000</x:v>
      </x:c>
      <x:c r="BB338" s="43" t="n">
        <x:v>130343424</x:v>
      </x:c>
      <x:c r="BC338" s="43" t="n">
        <x:v>123834354</x:v>
      </x:c>
      <x:c r="BD338" s="43" t="n">
        <x:v>6509070</x:v>
      </x:c>
      <x:c r="BE338" s="48" t="n">
        <x:v>0.9500621527327685</x:v>
      </x:c>
      <x:c r="BF338" s="43" t="n">
        <x:v>0</x:v>
      </x:c>
      <x:c r="BG338" s="43" t="n">
        <x:v>0</x:v>
      </x:c>
      <x:c r="BH338" s="43" t="n">
        <x:v>0</x:v>
      </x:c>
      <x:c r="BI338" s="43" t="n">
        <x:v>-1</x:v>
      </x:c>
      <x:c r="BJ338" s="43" t="n">
        <x:v>-1</x:v>
      </x:c>
      <x:c r="BK338" s="43" t="n">
        <x:v>15000</x:v>
      </x:c>
      <x:c r="BL338" s="43" t="n">
        <x:v>0</x:v>
      </x:c>
      <x:c r="BM338" s="44" t="str">
        <x:v>{"mappings":10000}</x:v>
      </x:c>
    </x:row>
    <x:row r="339">
      <x:c r="A339" s="34" t="str">
        <x:v>article1-unified-v4-2-fb3f101b-20260903-000401-default-f06-p4-ehcache</x:v>
      </x:c>
      <x:c r="B339" s="34" t="str">
        <x:v>default</x:v>
      </x:c>
      <x:c r="C339" s="34" t="str">
        <x:v>ehcache</x:v>
      </x:c>
      <x:c r="D339" s="34" t="str">
        <x:v>ehcache</x:v>
      </x:c>
      <x:c r="E339" s="34" t="str">
        <x:v>current-provider-primary-comparison</x:v>
      </x:c>
      <x:c r="F339" s="36" t="n">
        <x:v>6</x:v>
      </x:c>
      <x:c r="G339" s="36" t="n">
        <x:v>6</x:v>
      </x:c>
      <x:c r="H339" s="36" t="n">
        <x:v>4</x:v>
      </x:c>
      <x:c r="I339" s="36" t="n">
        <x:v>4</x:v>
      </x:c>
      <x:c r="J339" s="34" t="str">
        <x:v>redeploy</x:v>
      </x:c>
      <x:c r="K339" s="34" t="str">
        <x:v>cache-semantics</x:v>
      </x:c>
      <x:c r="L339" s="45" t="b">
        <x:v>1</x:v>
      </x:c>
      <x:c r="M339" s="36" t="n">
        <x:v>1327484523</x:v>
      </x:c>
      <x:c r="N339" s="34" t="str">
        <x:v>701c077715f7da8759e1e555b03db6d96b802524339eadeaf5a33b9cd6ccae55</x:v>
      </x:c>
      <x:c r="O339" s="43" t="n">
        <x:v>10000</x:v>
      </x:c>
      <x:c r="P339" s="43" t="n">
        <x:v>400000</x:v>
      </x:c>
      <x:c r="Q339" s="36" t="n">
        <x:v>8</x:v>
      </x:c>
      <x:c r="R339" s="42" t="n">
        <x:v>95</x:v>
      </x:c>
      <x:c r="S339" s="43" t="n">
        <x:v>512</x:v>
      </x:c>
      <x:c r="T339" s="43" t="n">
        <x:v>50000</x:v>
      </x:c>
      <x:c r="U339" s="46" t="n">
        <x:v>3</x:v>
      </x:c>
      <x:c r="V339" s="46" t="n">
        <x:v>5</x:v>
      </x:c>
      <x:c r="W339" s="43" t="n">
        <x:v>300</x:v>
      </x:c>
      <x:c r="X339" s="34" t="str">
        <x:v>uniform</x:v>
      </x:c>
      <x:c r="Y339" s="42" t="n">
        <x:v>10</x:v>
      </x:c>
      <x:c r="Z339" s="34" t="str">
        <x:v>strict</x:v>
      </x:c>
      <x:c r="AA339" s="36" t="n">
        <x:v>64</x:v>
      </x:c>
      <x:c r="AB339" s="43" t="n">
        <x:v>78946304</x:v>
      </x:c>
      <x:c r="AC339" s="43" t="n">
        <x:v>3005280356</x:v>
      </x:c>
      <x:c r="AD339" s="43" t="n">
        <x:v>5280356</x:v>
      </x:c>
      <x:c r="AE339" s="43" t="n">
        <x:v>2042704.3689973855</x:v>
      </x:c>
      <x:c r="AF339" s="43" t="n">
        <x:v>27347382.003141236</x:v>
      </x:c>
      <x:c r="AG339" s="43" t="n">
        <x:v>136797440</x:v>
      </x:c>
      <x:c r="AH339" s="43" t="n">
        <x:v>5002213374</x:v>
      </x:c>
      <x:c r="AI339" s="43" t="n">
        <x:v>2213374</x:v>
      </x:c>
      <x:c r="AJ339" s="43" t="n">
        <x:v>27347382.003141236</x:v>
      </x:c>
      <x:c r="AK339" s="43" t="n">
        <x:v>136797440</x:v>
      </x:c>
      <x:c r="AL339" s="43" t="n">
        <x:v>0</x:v>
      </x:c>
      <x:c r="AM339" s="43" t="n">
        <x:v>396317.3243063872</x:v>
      </x:c>
      <x:c r="AN339" s="43" t="n">
        <x:v>160</x:v>
      </x:c>
      <x:c r="AO339" s="43" t="n">
        <x:v>281</x:v>
      </x:c>
      <x:c r="AP339" s="43" t="n">
        <x:v>471</x:v>
      </x:c>
      <x:c r="AQ339" s="43" t="n">
        <x:v>2137460</x:v>
      </x:c>
      <x:c r="AR339" s="43" t="n">
        <x:v>1</x:v>
      </x:c>
      <x:c r="AS339" s="45" t="b">
        <x:v>1</x:v>
      </x:c>
      <x:c r="AT339" s="43" t="n">
        <x:v>10000</x:v>
      </x:c>
      <x:c r="AU339" s="48" t="n">
        <x:v>0.9500631956270527</x:v>
      </x:c>
      <x:c r="AV339" s="43" t="n">
        <x:v>10000</x:v>
      </x:c>
      <x:c r="AW339" s="48" t="n">
        <x:v>0.9500631956270527</x:v>
      </x:c>
      <x:c r="AX339" s="45" t="b">
        <x:v>1</x:v>
      </x:c>
      <x:c r="AY339" s="44" t="str">
        <x:v>{"provider":"ehcache","currentEntries":10000,"requestCount":136797440,"hitCount":129966213,"missCount":6831227,"hitRate":0.9500631956270527,"loadSuccessCount":0,"loadFailureCount":0,"totalLoadTimeNanos":0,"evictionCount":-1,"expirationCount":-1,"putCount":10000,"removeCount":0,"nativeMetrics":{"mappings":10000}}</x:v>
      </x:c>
      <x:c r="AZ339" s="44" t="str">
        <x:v>{"provider":"ehcache","currentEntries":10000,"requestCount":136797440,"hitCount":129966213,"missCount":6831227,"hitRate":0.9500631956270527,"loadSuccessCount":0,"loadFailureCount":0,"totalLoadTimeNanos":0,"evictionCount":-1,"expirationCount":-1,"putCount":15000,"removeCount":0,"nativeMetrics":{"mappings":10000}}</x:v>
      </x:c>
      <x:c r="BA339" s="43" t="n">
        <x:v>10000</x:v>
      </x:c>
      <x:c r="BB339" s="43" t="n">
        <x:v>136797440</x:v>
      </x:c>
      <x:c r="BC339" s="43" t="n">
        <x:v>129966213</x:v>
      </x:c>
      <x:c r="BD339" s="43" t="n">
        <x:v>6831227</x:v>
      </x:c>
      <x:c r="BE339" s="48" t="n">
        <x:v>0.9500631956270527</x:v>
      </x:c>
      <x:c r="BF339" s="43" t="n">
        <x:v>0</x:v>
      </x:c>
      <x:c r="BG339" s="43" t="n">
        <x:v>0</x:v>
      </x:c>
      <x:c r="BH339" s="43" t="n">
        <x:v>0</x:v>
      </x:c>
      <x:c r="BI339" s="43" t="n">
        <x:v>-1</x:v>
      </x:c>
      <x:c r="BJ339" s="43" t="n">
        <x:v>-1</x:v>
      </x:c>
      <x:c r="BK339" s="43" t="n">
        <x:v>15000</x:v>
      </x:c>
      <x:c r="BL339" s="43" t="n">
        <x:v>0</x:v>
      </x:c>
      <x:c r="BM339" s="44" t="str">
        <x:v>{"mappings":10000}</x:v>
      </x:c>
    </x:row>
    <x:row r="340">
      <x:c r="A340" s="34" t="str">
        <x:v>article1-unified-v4-2-fb3f101b-20260903-000401-default-f06-p4-ehcache</x:v>
      </x:c>
      <x:c r="B340" s="34" t="str">
        <x:v>default</x:v>
      </x:c>
      <x:c r="C340" s="34" t="str">
        <x:v>ehcache</x:v>
      </x:c>
      <x:c r="D340" s="34" t="str">
        <x:v>ehcache</x:v>
      </x:c>
      <x:c r="E340" s="34" t="str">
        <x:v>current-provider-primary-comparison</x:v>
      </x:c>
      <x:c r="F340" s="36" t="n">
        <x:v>6</x:v>
      </x:c>
      <x:c r="G340" s="36" t="n">
        <x:v>6</x:v>
      </x:c>
      <x:c r="H340" s="36" t="n">
        <x:v>4</x:v>
      </x:c>
      <x:c r="I340" s="36" t="n">
        <x:v>5</x:v>
      </x:c>
      <x:c r="J340" s="34" t="str">
        <x:v>initial</x:v>
      </x:c>
      <x:c r="K340" s="34" t="str">
        <x:v>cache-semantics</x:v>
      </x:c>
      <x:c r="L340" s="45" t="b">
        <x:v>1</x:v>
      </x:c>
      <x:c r="M340" s="36" t="n">
        <x:v>666294704</x:v>
      </x:c>
      <x:c r="N340" s="34" t="str">
        <x:v>2d37790d1dcdaa2a0296dbfb67d742e82e2643aa9d8bec35c7958bc4847abfa8</x:v>
      </x:c>
      <x:c r="O340" s="43" t="n">
        <x:v>10000</x:v>
      </x:c>
      <x:c r="P340" s="43" t="n">
        <x:v>400000</x:v>
      </x:c>
      <x:c r="Q340" s="36" t="n">
        <x:v>8</x:v>
      </x:c>
      <x:c r="R340" s="42" t="n">
        <x:v>95</x:v>
      </x:c>
      <x:c r="S340" s="43" t="n">
        <x:v>512</x:v>
      </x:c>
      <x:c r="T340" s="43" t="n">
        <x:v>50000</x:v>
      </x:c>
      <x:c r="U340" s="46" t="n">
        <x:v>3</x:v>
      </x:c>
      <x:c r="V340" s="46" t="n">
        <x:v>5</x:v>
      </x:c>
      <x:c r="W340" s="43" t="n">
        <x:v>300</x:v>
      </x:c>
      <x:c r="X340" s="34" t="str">
        <x:v>uniform</x:v>
      </x:c>
      <x:c r="Y340" s="42" t="n">
        <x:v>10</x:v>
      </x:c>
      <x:c r="Z340" s="34" t="str">
        <x:v>strict</x:v>
      </x:c>
      <x:c r="AA340" s="36" t="n">
        <x:v>64</x:v>
      </x:c>
      <x:c r="AB340" s="43" t="n">
        <x:v>80687104</x:v>
      </x:c>
      <x:c r="AC340" s="43" t="n">
        <x:v>3000824997</x:v>
      </x:c>
      <x:c r="AD340" s="43" t="n">
        <x:v>824997</x:v>
      </x:c>
      <x:c r="AE340" s="43" t="n">
        <x:v>1723376.6739588478</x:v>
      </x:c>
      <x:c r="AF340" s="43" t="n">
        <x:v>26695000.102136705</x:v>
      </x:c>
      <x:c r="AG340" s="43" t="n">
        <x:v>133522432</x:v>
      </x:c>
      <x:c r="AH340" s="43" t="n">
        <x:v>5001776793</x:v>
      </x:c>
      <x:c r="AI340" s="43" t="n">
        <x:v>1776793</x:v>
      </x:c>
      <x:c r="AJ340" s="43" t="n">
        <x:v>26695000.102136705</x:v>
      </x:c>
      <x:c r="AK340" s="43" t="n">
        <x:v>133522432</x:v>
      </x:c>
      <x:c r="AL340" s="43" t="n">
        <x:v>0</x:v>
      </x:c>
      <x:c r="AM340" s="43" t="n">
        <x:v>301024.67595596705</x:v>
      </x:c>
      <x:c r="AN340" s="43" t="n">
        <x:v>170</x:v>
      </x:c>
      <x:c r="AO340" s="43" t="n">
        <x:v>271</x:v>
      </x:c>
      <x:c r="AP340" s="43" t="n">
        <x:v>471</x:v>
      </x:c>
      <x:c r="AQ340" s="43" t="n">
        <x:v>2086288</x:v>
      </x:c>
      <x:c r="AR340" s="43" t="n">
        <x:v>1</x:v>
      </x:c>
      <x:c r="AS340" s="45" t="b">
        <x:v>1</x:v>
      </x:c>
      <x:c r="AT340" s="43" t="n">
        <x:v>10000</x:v>
      </x:c>
      <x:c r="AU340" s="48" t="n">
        <x:v>0.9502176682941186</x:v>
      </x:c>
      <x:c r="AV340" s="43" t="n">
        <x:v>10000</x:v>
      </x:c>
      <x:c r="AW340" s="48" t="n">
        <x:v>0.9502176682941186</x:v>
      </x:c>
      <x:c r="AX340" s="45" t="b">
        <x:v>1</x:v>
      </x:c>
      <x:c r="AY340" s="44" t="str">
        <x:v>{"provider":"ehcache","currentEntries":10000,"requestCount":133522432,"hitCount":126875374,"missCount":6647058,"hitRate":0.9502176682941186,"loadSuccessCount":0,"loadFailureCount":0,"totalLoadTimeNanos":0,"evictionCount":-1,"expirationCount":-1,"putCount":10000,"removeCount":0,"nativeMetrics":{"mappings":10000}}</x:v>
      </x:c>
      <x:c r="AZ340" s="44" t="str">
        <x:v>{"provider":"ehcache","currentEntries":10000,"requestCount":133522432,"hitCount":126875374,"missCount":6647058,"hitRate":0.9502176682941186,"loadSuccessCount":0,"loadFailureCount":0,"totalLoadTimeNanos":0,"evictionCount":-1,"expirationCount":-1,"putCount":15000,"removeCount":0,"nativeMetrics":{"mappings":10000}}</x:v>
      </x:c>
      <x:c r="BA340" s="43" t="n">
        <x:v>10000</x:v>
      </x:c>
      <x:c r="BB340" s="43" t="n">
        <x:v>133522432</x:v>
      </x:c>
      <x:c r="BC340" s="43" t="n">
        <x:v>126875374</x:v>
      </x:c>
      <x:c r="BD340" s="43" t="n">
        <x:v>6647058</x:v>
      </x:c>
      <x:c r="BE340" s="48" t="n">
        <x:v>0.9502176682941186</x:v>
      </x:c>
      <x:c r="BF340" s="43" t="n">
        <x:v>0</x:v>
      </x:c>
      <x:c r="BG340" s="43" t="n">
        <x:v>0</x:v>
      </x:c>
      <x:c r="BH340" s="43" t="n">
        <x:v>0</x:v>
      </x:c>
      <x:c r="BI340" s="43" t="n">
        <x:v>-1</x:v>
      </x:c>
      <x:c r="BJ340" s="43" t="n">
        <x:v>-1</x:v>
      </x:c>
      <x:c r="BK340" s="43" t="n">
        <x:v>15000</x:v>
      </x:c>
      <x:c r="BL340" s="43" t="n">
        <x:v>0</x:v>
      </x:c>
      <x:c r="BM340" s="44" t="str">
        <x:v>{"mappings":10000}</x:v>
      </x:c>
    </x:row>
    <x:row r="341">
      <x:c r="A341" s="34" t="str">
        <x:v>article1-unified-v4-2-fb3f101b-20260903-000401-default-f06-p4-ehcache</x:v>
      </x:c>
      <x:c r="B341" s="34" t="str">
        <x:v>default</x:v>
      </x:c>
      <x:c r="C341" s="34" t="str">
        <x:v>ehcache</x:v>
      </x:c>
      <x:c r="D341" s="34" t="str">
        <x:v>ehcache</x:v>
      </x:c>
      <x:c r="E341" s="34" t="str">
        <x:v>current-provider-primary-comparison</x:v>
      </x:c>
      <x:c r="F341" s="36" t="n">
        <x:v>6</x:v>
      </x:c>
      <x:c r="G341" s="36" t="n">
        <x:v>6</x:v>
      </x:c>
      <x:c r="H341" s="36" t="n">
        <x:v>4</x:v>
      </x:c>
      <x:c r="I341" s="36" t="n">
        <x:v>5</x:v>
      </x:c>
      <x:c r="J341" s="34" t="str">
        <x:v>redeploy</x:v>
      </x:c>
      <x:c r="K341" s="34" t="str">
        <x:v>cache-semantics</x:v>
      </x:c>
      <x:c r="L341" s="45" t="b">
        <x:v>1</x:v>
      </x:c>
      <x:c r="M341" s="36" t="n">
        <x:v>666294704</x:v>
      </x:c>
      <x:c r="N341" s="34" t="str">
        <x:v>2d37790d1dcdaa2a0296dbfb67d742e82e2643aa9d8bec35c7958bc4847abfa8</x:v>
      </x:c>
      <x:c r="O341" s="43" t="n">
        <x:v>10000</x:v>
      </x:c>
      <x:c r="P341" s="43" t="n">
        <x:v>400000</x:v>
      </x:c>
      <x:c r="Q341" s="36" t="n">
        <x:v>8</x:v>
      </x:c>
      <x:c r="R341" s="42" t="n">
        <x:v>95</x:v>
      </x:c>
      <x:c r="S341" s="43" t="n">
        <x:v>512</x:v>
      </x:c>
      <x:c r="T341" s="43" t="n">
        <x:v>50000</x:v>
      </x:c>
      <x:c r="U341" s="46" t="n">
        <x:v>3</x:v>
      </x:c>
      <x:c r="V341" s="46" t="n">
        <x:v>5</x:v>
      </x:c>
      <x:c r="W341" s="43" t="n">
        <x:v>300</x:v>
      </x:c>
      <x:c r="X341" s="34" t="str">
        <x:v>uniform</x:v>
      </x:c>
      <x:c r="Y341" s="42" t="n">
        <x:v>10</x:v>
      </x:c>
      <x:c r="Z341" s="34" t="str">
        <x:v>strict</x:v>
      </x:c>
      <x:c r="AA341" s="36" t="n">
        <x:v>64</x:v>
      </x:c>
      <x:c r="AB341" s="43" t="n">
        <x:v>79825664</x:v>
      </x:c>
      <x:c r="AC341" s="43" t="n">
        <x:v>3000438548</x:v>
      </x:c>
      <x:c r="AD341" s="43" t="n">
        <x:v>438548</x:v>
      </x:c>
      <x:c r="AE341" s="43" t="n">
        <x:v>1241887.6792074968</x:v>
      </x:c>
      <x:c r="AF341" s="43" t="n">
        <x:v>25574634.338305853</x:v>
      </x:c>
      <x:c r="AG341" s="43" t="n">
        <x:v>127926528</x:v>
      </x:c>
      <x:c r="AH341" s="43" t="n">
        <x:v>5002086298</x:v>
      </x:c>
      <x:c r="AI341" s="43" t="n">
        <x:v>2086298</x:v>
      </x:c>
      <x:c r="AJ341" s="43" t="n">
        <x:v>25574634.338305853</x:v>
      </x:c>
      <x:c r="AK341" s="43" t="n">
        <x:v>127926528</x:v>
      </x:c>
      <x:c r="AL341" s="43" t="n">
        <x:v>0</x:v>
      </x:c>
      <x:c r="AM341" s="43" t="n">
        <x:v>290624.5113875402</x:v>
      </x:c>
      <x:c r="AN341" s="43" t="n">
        <x:v>170</x:v>
      </x:c>
      <x:c r="AO341" s="43" t="n">
        <x:v>290</x:v>
      </x:c>
      <x:c r="AP341" s="43" t="n">
        <x:v>501</x:v>
      </x:c>
      <x:c r="AQ341" s="43" t="n">
        <x:v>1998852</x:v>
      </x:c>
      <x:c r="AR341" s="43" t="n">
        <x:v>1</x:v>
      </x:c>
      <x:c r="AS341" s="45" t="b">
        <x:v>1</x:v>
      </x:c>
      <x:c r="AT341" s="43" t="n">
        <x:v>10000</x:v>
      </x:c>
      <x:c r="AU341" s="48" t="n">
        <x:v>0.9502145012487168</x:v>
      </x:c>
      <x:c r="AV341" s="43" t="n">
        <x:v>10000</x:v>
      </x:c>
      <x:c r="AW341" s="48" t="n">
        <x:v>0.9502145012487168</x:v>
      </x:c>
      <x:c r="AX341" s="45" t="b">
        <x:v>1</x:v>
      </x:c>
      <x:c r="AY341" s="44" t="str">
        <x:v>{"provider":"ehcache","currentEntries":10000,"requestCount":127926528,"hitCount":121557642,"missCount":6368886,"hitRate":0.9502145012487168,"loadSuccessCount":0,"loadFailureCount":0,"totalLoadTimeNanos":0,"evictionCount":-1,"expirationCount":-1,"putCount":10000,"removeCount":0,"nativeMetrics":{"mappings":10000}}</x:v>
      </x:c>
      <x:c r="AZ341" s="44" t="str">
        <x:v>{"provider":"ehcache","currentEntries":10000,"requestCount":127926528,"hitCount":121557642,"missCount":6368886,"hitRate":0.9502145012487168,"loadSuccessCount":0,"loadFailureCount":0,"totalLoadTimeNanos":0,"evictionCount":-1,"expirationCount":-1,"putCount":15000,"removeCount":0,"nativeMetrics":{"mappings":10000}}</x:v>
      </x:c>
      <x:c r="BA341" s="43" t="n">
        <x:v>10000</x:v>
      </x:c>
      <x:c r="BB341" s="43" t="n">
        <x:v>127926528</x:v>
      </x:c>
      <x:c r="BC341" s="43" t="n">
        <x:v>121557642</x:v>
      </x:c>
      <x:c r="BD341" s="43" t="n">
        <x:v>6368886</x:v>
      </x:c>
      <x:c r="BE341" s="48" t="n">
        <x:v>0.9502145012487168</x:v>
      </x:c>
      <x:c r="BF341" s="43" t="n">
        <x:v>0</x:v>
      </x:c>
      <x:c r="BG341" s="43" t="n">
        <x:v>0</x:v>
      </x:c>
      <x:c r="BH341" s="43" t="n">
        <x:v>0</x:v>
      </x:c>
      <x:c r="BI341" s="43" t="n">
        <x:v>-1</x:v>
      </x:c>
      <x:c r="BJ341" s="43" t="n">
        <x:v>-1</x:v>
      </x:c>
      <x:c r="BK341" s="43" t="n">
        <x:v>15000</x:v>
      </x:c>
      <x:c r="BL341" s="43" t="n">
        <x:v>0</x:v>
      </x:c>
      <x:c r="BM341" s="44" t="str">
        <x:v>{"mappings":10000}</x:v>
      </x:c>
    </x:row>
    <x:row r="342">
      <x:c r="A342" s="34" t="str">
        <x:v>article1-unified-v4-2-fb3f101b-20260903-000401-default-f06-p5-jcs4</x:v>
      </x:c>
      <x:c r="B342" s="34" t="str">
        <x:v>default</x:v>
      </x:c>
      <x:c r="C342" s="34" t="str">
        <x:v>jcs4</x:v>
      </x:c>
      <x:c r="D342" s="34" t="str">
        <x:v>jcs4</x:v>
      </x:c>
      <x:c r="E342" s="34" t="str">
        <x:v>current-provider-primary-comparison</x:v>
      </x:c>
      <x:c r="F342" s="36" t="n">
        <x:v>6</x:v>
      </x:c>
      <x:c r="G342" s="36" t="n">
        <x:v>6</x:v>
      </x:c>
      <x:c r="H342" s="36" t="n">
        <x:v>5</x:v>
      </x:c>
      <x:c r="I342" s="36" t="n">
        <x:v>1</x:v>
      </x:c>
      <x:c r="J342" s="34" t="str">
        <x:v>initial</x:v>
      </x:c>
      <x:c r="K342" s="34" t="str">
        <x:v>cache-semantics</x:v>
      </x:c>
      <x:c r="L342" s="45" t="b">
        <x:v>1</x:v>
      </x:c>
      <x:c r="M342" s="36" t="n">
        <x:v>927914527</x:v>
      </x:c>
      <x:c r="N342" s="34" t="str">
        <x:v>7a0b70d8daf7dcbd235b9a1f729db348ce24c4865cb3e23ae17472baf92df172</x:v>
      </x:c>
      <x:c r="O342" s="43" t="n">
        <x:v>10000</x:v>
      </x:c>
      <x:c r="P342" s="43" t="n">
        <x:v>400000</x:v>
      </x:c>
      <x:c r="Q342" s="36" t="n">
        <x:v>8</x:v>
      </x:c>
      <x:c r="R342" s="42" t="n">
        <x:v>95</x:v>
      </x:c>
      <x:c r="S342" s="43" t="n">
        <x:v>512</x:v>
      </x:c>
      <x:c r="T342" s="43" t="n">
        <x:v>50000</x:v>
      </x:c>
      <x:c r="U342" s="46" t="n">
        <x:v>3</x:v>
      </x:c>
      <x:c r="V342" s="46" t="n">
        <x:v>5</x:v>
      </x:c>
      <x:c r="W342" s="43" t="n">
        <x:v>300</x:v>
      </x:c>
      <x:c r="X342" s="34" t="str">
        <x:v>uniform</x:v>
      </x:c>
      <x:c r="Y342" s="42" t="n">
        <x:v>10</x:v>
      </x:c>
      <x:c r="Z342" s="34" t="str">
        <x:v>strict</x:v>
      </x:c>
      <x:c r="AA342" s="36" t="n">
        <x:v>64</x:v>
      </x:c>
      <x:c r="AB342" s="43" t="n">
        <x:v>2416640</x:v>
      </x:c>
      <x:c r="AC342" s="43" t="n">
        <x:v>3001383909</x:v>
      </x:c>
      <x:c r="AD342" s="43" t="n">
        <x:v>1383909</x:v>
      </x:c>
      <x:c r="AE342" s="43" t="n">
        <x:v>3627199.3523272835</x:v>
      </x:c>
      <x:c r="AF342" s="43" t="n">
        <x:v>1166833.5036317997</x:v>
      </x:c>
      <x:c r="AG342" s="43" t="n">
        <x:v>5835008</x:v>
      </x:c>
      <x:c r="AH342" s="43" t="n">
        <x:v>5000720310</x:v>
      </x:c>
      <x:c r="AI342" s="43" t="n">
        <x:v>720310</x:v>
      </x:c>
      <x:c r="AJ342" s="43" t="n">
        <x:v>1166833.5036317997</x:v>
      </x:c>
      <x:c r="AK342" s="43" t="n">
        <x:v>5835008</x:v>
      </x:c>
      <x:c r="AL342" s="43" t="n">
        <x:v>0</x:v>
      </x:c>
      <x:c r="AM342" s="43" t="n">
        <x:v>397761.5887043346</x:v>
      </x:c>
      <x:c r="AN342" s="43" t="n">
        <x:v>370</x:v>
      </x:c>
      <x:c r="AO342" s="43" t="n">
        <x:v>1423</x:v>
      </x:c>
      <x:c r="AP342" s="43" t="n">
        <x:v>272542</x:v>
      </x:c>
      <x:c r="AQ342" s="43" t="n">
        <x:v>91172</x:v>
      </x:c>
      <x:c r="AR342" s="43" t="n">
        <x:v>1</x:v>
      </x:c>
      <x:c r="AS342" s="45" t="b">
        <x:v>1</x:v>
      </x:c>
      <x:c r="AT342" s="43" t="n">
        <x:v>10000</x:v>
      </x:c>
      <x:c r="AU342" s="48" t="n">
        <x:v>0.9502305738055543</x:v>
      </x:c>
      <x:c r="AV342" s="43" t="n">
        <x:v>10000</x:v>
      </x:c>
      <x:c r="AW342" s="48" t="n">
        <x:v>0.9502305738055543</x:v>
      </x:c>
      <x:c r="AX342" s="45" t="b">
        <x:v>1</x:v>
      </x:c>
      <x:c r="AY342" s="44" t="str">
        <x:v>{"provider":"jcs4","currentEntries":10000,"requestCount":5835008,"hitCount":5544603,"missCount":290405,"hitRate":0.9502305738055543,"loadSuccessCount":0,"loadFailureCount":0,"totalLoadTimeNanos":0,"evictionCount":-1,"expirationCount":-1,"putCount":10000,"removeCount":0,"nativeMetrics":{"HitCountRam":5544603,"Composite.HitCountRam":5544603,"HitCountAux":0,"Composite.HitCountAux":0,"Put Count":10000,"Memory Cache.Put Count":10000,"Hit Count":5544603,"Memory Cache.Hit Count":5544603,"Miss Count":290405,"Memory Cache.Miss Count":290405,"Map Size":10000,"Memory Cache.Map Size":10000,"List Size":10000,"Memory Cache.List Size":10000}}</x:v>
      </x:c>
      <x:c r="AZ342" s="44" t="str">
        <x:v>{"provider":"jcs4","currentEntries":10000,"requestCount":5835008,"hitCount":5544603,"missCount":290405,"hitRate":0.9502305738055543,"loadSuccessCount":0,"loadFailureCount":0,"totalLoadTimeNanos":0,"evictionCount":-1,"expirationCount":-1,"putCount":15000,"removeCount":0,"nativeMetrics":{"HitCountRam":5544603,"Composite.HitCountRam":5544603,"HitCountAux":0,"Composite.HitCountAux":0,"Put Count":15000,"Memory Cache.Put Count":15000,"Hit Count":5544603,"Memory Cache.Hit Count":5544603,"Miss Count":290405,"Memory Cache.Miss Count":290405,"Map Size":10000,"Memory Cache.Map Size":10000,"List Size":10000,"Memory Cache.List Size":10000}}</x:v>
      </x:c>
      <x:c r="BA342" s="43" t="n">
        <x:v>10000</x:v>
      </x:c>
      <x:c r="BB342" s="43" t="n">
        <x:v>5835008</x:v>
      </x:c>
      <x:c r="BC342" s="43" t="n">
        <x:v>5544603</x:v>
      </x:c>
      <x:c r="BD342" s="43" t="n">
        <x:v>290405</x:v>
      </x:c>
      <x:c r="BE342" s="48" t="n">
        <x:v>0.9502305738055543</x:v>
      </x:c>
      <x:c r="BF342" s="43" t="n">
        <x:v>0</x:v>
      </x:c>
      <x:c r="BG342" s="43" t="n">
        <x:v>0</x:v>
      </x:c>
      <x:c r="BH342" s="43" t="n">
        <x:v>0</x:v>
      </x:c>
      <x:c r="BI342" s="43" t="n">
        <x:v>-1</x:v>
      </x:c>
      <x:c r="BJ342" s="43" t="n">
        <x:v>-1</x:v>
      </x:c>
      <x:c r="BK342" s="43" t="n">
        <x:v>15000</x:v>
      </x:c>
      <x:c r="BL342" s="43" t="n">
        <x:v>0</x:v>
      </x:c>
      <x:c r="BM342" s="44" t="str">
        <x:v>{"HitCountRam":5544603,"Composite.HitCountRam":5544603,"HitCountAux":0,"Composite.HitCountAux":0,"Put Count":15000,"Memory Cache.Put Count":15000,"Hit Count":5544603,"Memory Cache.Hit Count":5544603,"Miss Count":290405,"Memory Cache.Miss Count":290405,"Map Size":10000,"Memory Cache.Map Size":10000,"List Size":10000,"Memory Cache.List Size":10000}</x:v>
      </x:c>
    </x:row>
    <x:row r="343">
      <x:c r="A343" s="34" t="str">
        <x:v>article1-unified-v4-2-fb3f101b-20260903-000401-default-f06-p5-jcs4</x:v>
      </x:c>
      <x:c r="B343" s="34" t="str">
        <x:v>default</x:v>
      </x:c>
      <x:c r="C343" s="34" t="str">
        <x:v>jcs4</x:v>
      </x:c>
      <x:c r="D343" s="34" t="str">
        <x:v>jcs4</x:v>
      </x:c>
      <x:c r="E343" s="34" t="str">
        <x:v>current-provider-primary-comparison</x:v>
      </x:c>
      <x:c r="F343" s="36" t="n">
        <x:v>6</x:v>
      </x:c>
      <x:c r="G343" s="36" t="n">
        <x:v>6</x:v>
      </x:c>
      <x:c r="H343" s="36" t="n">
        <x:v>5</x:v>
      </x:c>
      <x:c r="I343" s="36" t="n">
        <x:v>1</x:v>
      </x:c>
      <x:c r="J343" s="34" t="str">
        <x:v>redeploy</x:v>
      </x:c>
      <x:c r="K343" s="34" t="str">
        <x:v>cache-semantics</x:v>
      </x:c>
      <x:c r="L343" s="45" t="b">
        <x:v>1</x:v>
      </x:c>
      <x:c r="M343" s="36" t="n">
        <x:v>927914527</x:v>
      </x:c>
      <x:c r="N343" s="34" t="str">
        <x:v>7a0b70d8daf7dcbd235b9a1f729db348ce24c4865cb3e23ae17472baf92df172</x:v>
      </x:c>
      <x:c r="O343" s="43" t="n">
        <x:v>10000</x:v>
      </x:c>
      <x:c r="P343" s="43" t="n">
        <x:v>400000</x:v>
      </x:c>
      <x:c r="Q343" s="36" t="n">
        <x:v>8</x:v>
      </x:c>
      <x:c r="R343" s="42" t="n">
        <x:v>95</x:v>
      </x:c>
      <x:c r="S343" s="43" t="n">
        <x:v>512</x:v>
      </x:c>
      <x:c r="T343" s="43" t="n">
        <x:v>50000</x:v>
      </x:c>
      <x:c r="U343" s="46" t="n">
        <x:v>3</x:v>
      </x:c>
      <x:c r="V343" s="46" t="n">
        <x:v>5</x:v>
      </x:c>
      <x:c r="W343" s="43" t="n">
        <x:v>300</x:v>
      </x:c>
      <x:c r="X343" s="34" t="str">
        <x:v>uniform</x:v>
      </x:c>
      <x:c r="Y343" s="42" t="n">
        <x:v>10</x:v>
      </x:c>
      <x:c r="Z343" s="34" t="str">
        <x:v>strict</x:v>
      </x:c>
      <x:c r="AA343" s="36" t="n">
        <x:v>64</x:v>
      </x:c>
      <x:c r="AB343" s="43" t="n">
        <x:v>2147328</x:v>
      </x:c>
      <x:c r="AC343" s="43" t="n">
        <x:v>3005234133</x:v>
      </x:c>
      <x:c r="AD343" s="43" t="n">
        <x:v>5234133</x:v>
      </x:c>
      <x:c r="AE343" s="43" t="n">
        <x:v>2561370.435637884</x:v>
      </x:c>
      <x:c r="AF343" s="43" t="n">
        <x:v>1220578.9000199863</x:v>
      </x:c>
      <x:c r="AG343" s="43" t="n">
        <x:v>6105088</x:v>
      </x:c>
      <x:c r="AH343" s="43" t="n">
        <x:v>5001797098</x:v>
      </x:c>
      <x:c r="AI343" s="43" t="n">
        <x:v>1797098</x:v>
      </x:c>
      <x:c r="AJ343" s="43" t="n">
        <x:v>1220578.9000199863</x:v>
      </x:c>
      <x:c r="AK343" s="43" t="n">
        <x:v>6105088</x:v>
      </x:c>
      <x:c r="AL343" s="43" t="n">
        <x:v>0</x:v>
      </x:c>
      <x:c r="AM343" s="43" t="n">
        <x:v>462605.386133015</x:v>
      </x:c>
      <x:c r="AN343" s="43" t="n">
        <x:v>351</x:v>
      </x:c>
      <x:c r="AO343" s="43" t="n">
        <x:v>1343</x:v>
      </x:c>
      <x:c r="AP343" s="43" t="n">
        <x:v>262032</x:v>
      </x:c>
      <x:c r="AQ343" s="43" t="n">
        <x:v>95392</x:v>
      </x:c>
      <x:c r="AR343" s="43" t="n">
        <x:v>1</x:v>
      </x:c>
      <x:c r="AS343" s="45" t="b">
        <x:v>1</x:v>
      </x:c>
      <x:c r="AT343" s="43" t="n">
        <x:v>10000</x:v>
      </x:c>
      <x:c r="AU343" s="48" t="n">
        <x:v>0.9502324946012244</x:v>
      </x:c>
      <x:c r="AV343" s="43" t="n">
        <x:v>10000</x:v>
      </x:c>
      <x:c r="AW343" s="48" t="n">
        <x:v>0.9502324946012244</x:v>
      </x:c>
      <x:c r="AX343" s="45" t="b">
        <x:v>1</x:v>
      </x:c>
      <x:c r="AY343" s="44" t="str">
        <x:v>{"provider":"jcs4","currentEntries":10000,"requestCount":6105088,"hitCount":5801253,"missCount":303835,"hitRate":0.9502324946012244,"loadSuccessCount":0,"loadFailureCount":0,"totalLoadTimeNanos":0,"evictionCount":-1,"expirationCount":-1,"putCount":10000,"removeCount":0,"nativeMetrics":{"HitCountRam":5801253,"Composite.HitCountRam":5801253,"HitCountAux":0,"Composite.HitCountAux":0,"Put Count":10000,"Memory Cache.Put Count":10000,"Hit Count":5801253,"Memory Cache.Hit Count":5801253,"Miss Count":303835,"Memory Cache.Miss Count":303835,"Map Size":10000,"Memory Cache.Map Size":10000,"List Size":10000,"Memory Cache.List Size":10000}}</x:v>
      </x:c>
      <x:c r="AZ343" s="44" t="str">
        <x:v>{"provider":"jcs4","currentEntries":10000,"requestCount":6105088,"hitCount":5801253,"missCount":303835,"hitRate":0.9502324946012244,"loadSuccessCount":0,"loadFailureCount":0,"totalLoadTimeNanos":0,"evictionCount":-1,"expirationCount":-1,"putCount":15000,"removeCount":0,"nativeMetrics":{"HitCountRam":5801253,"Composite.HitCountRam":5801253,"HitCountAux":0,"Composite.HitCountAux":0,"Put Count":15000,"Memory Cache.Put Count":15000,"Hit Count":5801253,"Memory Cache.Hit Count":5801253,"Miss Count":303835,"Memory Cache.Miss Count":303835,"Map Size":10000,"Memory Cache.Map Size":10000,"List Size":10000,"Memory Cache.List Size":10000}}</x:v>
      </x:c>
      <x:c r="BA343" s="43" t="n">
        <x:v>10000</x:v>
      </x:c>
      <x:c r="BB343" s="43" t="n">
        <x:v>6105088</x:v>
      </x:c>
      <x:c r="BC343" s="43" t="n">
        <x:v>5801253</x:v>
      </x:c>
      <x:c r="BD343" s="43" t="n">
        <x:v>303835</x:v>
      </x:c>
      <x:c r="BE343" s="48" t="n">
        <x:v>0.9502324946012244</x:v>
      </x:c>
      <x:c r="BF343" s="43" t="n">
        <x:v>0</x:v>
      </x:c>
      <x:c r="BG343" s="43" t="n">
        <x:v>0</x:v>
      </x:c>
      <x:c r="BH343" s="43" t="n">
        <x:v>0</x:v>
      </x:c>
      <x:c r="BI343" s="43" t="n">
        <x:v>-1</x:v>
      </x:c>
      <x:c r="BJ343" s="43" t="n">
        <x:v>-1</x:v>
      </x:c>
      <x:c r="BK343" s="43" t="n">
        <x:v>15000</x:v>
      </x:c>
      <x:c r="BL343" s="43" t="n">
        <x:v>0</x:v>
      </x:c>
      <x:c r="BM343" s="44" t="str">
        <x:v>{"HitCountRam":5801253,"Composite.HitCountRam":5801253,"HitCountAux":0,"Composite.HitCountAux":0,"Put Count":15000,"Memory Cache.Put Count":15000,"Hit Count":5801253,"Memory Cache.Hit Count":5801253,"Miss Count":303835,"Memory Cache.Miss Count":303835,"Map Size":10000,"Memory Cache.Map Size":10000,"List Size":10000,"Memory Cache.List Size":10000}</x:v>
      </x:c>
    </x:row>
    <x:row r="344">
      <x:c r="A344" s="34" t="str">
        <x:v>article1-unified-v4-2-fb3f101b-20260903-000401-default-f06-p5-jcs4</x:v>
      </x:c>
      <x:c r="B344" s="34" t="str">
        <x:v>default</x:v>
      </x:c>
      <x:c r="C344" s="34" t="str">
        <x:v>jcs4</x:v>
      </x:c>
      <x:c r="D344" s="34" t="str">
        <x:v>jcs4</x:v>
      </x:c>
      <x:c r="E344" s="34" t="str">
        <x:v>current-provider-primary-comparison</x:v>
      </x:c>
      <x:c r="F344" s="36" t="n">
        <x:v>6</x:v>
      </x:c>
      <x:c r="G344" s="36" t="n">
        <x:v>6</x:v>
      </x:c>
      <x:c r="H344" s="36" t="n">
        <x:v>5</x:v>
      </x:c>
      <x:c r="I344" s="36" t="n">
        <x:v>2</x:v>
      </x:c>
      <x:c r="J344" s="34" t="str">
        <x:v>initial</x:v>
      </x:c>
      <x:c r="K344" s="34" t="str">
        <x:v>cache-semantics</x:v>
      </x:c>
      <x:c r="L344" s="45" t="b">
        <x:v>1</x:v>
      </x:c>
      <x:c r="M344" s="36" t="n">
        <x:v>977482916</x:v>
      </x:c>
      <x:c r="N344" s="34" t="str">
        <x:v>fbef1bb91de564b9301b3368c99f514c400bd26d86d0deae91aa8f63ce424d4c</x:v>
      </x:c>
      <x:c r="O344" s="43" t="n">
        <x:v>10000</x:v>
      </x:c>
      <x:c r="P344" s="43" t="n">
        <x:v>400000</x:v>
      </x:c>
      <x:c r="Q344" s="36" t="n">
        <x:v>8</x:v>
      </x:c>
      <x:c r="R344" s="42" t="n">
        <x:v>95</x:v>
      </x:c>
      <x:c r="S344" s="43" t="n">
        <x:v>512</x:v>
      </x:c>
      <x:c r="T344" s="43" t="n">
        <x:v>50000</x:v>
      </x:c>
      <x:c r="U344" s="46" t="n">
        <x:v>3</x:v>
      </x:c>
      <x:c r="V344" s="46" t="n">
        <x:v>5</x:v>
      </x:c>
      <x:c r="W344" s="43" t="n">
        <x:v>300</x:v>
      </x:c>
      <x:c r="X344" s="34" t="str">
        <x:v>uniform</x:v>
      </x:c>
      <x:c r="Y344" s="42" t="n">
        <x:v>10</x:v>
      </x:c>
      <x:c r="Z344" s="34" t="str">
        <x:v>strict</x:v>
      </x:c>
      <x:c r="AA344" s="36" t="n">
        <x:v>64</x:v>
      </x:c>
      <x:c r="AB344" s="43" t="n">
        <x:v>2768128</x:v>
      </x:c>
      <x:c r="AC344" s="43" t="n">
        <x:v>3001077881</x:v>
      </x:c>
      <x:c r="AD344" s="43" t="n">
        <x:v>1077881</x:v>
      </x:c>
      <x:c r="AE344" s="43" t="n">
        <x:v>2973769.862924078</x:v>
      </x:c>
      <x:c r="AF344" s="43" t="n">
        <x:v>1150914.1863841114</x:v>
      </x:c>
      <x:c r="AG344" s="43" t="n">
        <x:v>5755648</x:v>
      </x:c>
      <x:c r="AH344" s="43" t="n">
        <x:v>5000935837</x:v>
      </x:c>
      <x:c r="AI344" s="43" t="n">
        <x:v>935837</x:v>
      </x:c>
      <x:c r="AJ344" s="43" t="n">
        <x:v>1150914.1863841114</x:v>
      </x:c>
      <x:c r="AK344" s="43" t="n">
        <x:v>5755648</x:v>
      </x:c>
      <x:c r="AL344" s="43" t="n">
        <x:v>0</x:v>
      </x:c>
      <x:c r="AM344" s="43" t="n">
        <x:v>628962.700876535</x:v>
      </x:c>
      <x:c r="AN344" s="43" t="n">
        <x:v>371</x:v>
      </x:c>
      <x:c r="AO344" s="43" t="n">
        <x:v>1443</x:v>
      </x:c>
      <x:c r="AP344" s="43" t="n">
        <x:v>272292</x:v>
      </x:c>
      <x:c r="AQ344" s="43" t="n">
        <x:v>89932</x:v>
      </x:c>
      <x:c r="AR344" s="43" t="n">
        <x:v>1</x:v>
      </x:c>
      <x:c r="AS344" s="45" t="b">
        <x:v>1</x:v>
      </x:c>
      <x:c r="AT344" s="43" t="n">
        <x:v>10000</x:v>
      </x:c>
      <x:c r="AU344" s="48" t="n">
        <x:v>0.9497653435373393</x:v>
      </x:c>
      <x:c r="AV344" s="43" t="n">
        <x:v>10000</x:v>
      </x:c>
      <x:c r="AW344" s="48" t="n">
        <x:v>0.9497653435373393</x:v>
      </x:c>
      <x:c r="AX344" s="45" t="b">
        <x:v>1</x:v>
      </x:c>
      <x:c r="AY344" s="44" t="str">
        <x:v>{"provider":"jcs4","currentEntries":10000,"requestCount":5755648,"hitCount":5466515,"missCount":289133,"hitRate":0.9497653435373393,"loadSuccessCount":0,"loadFailureCount":0,"totalLoadTimeNanos":0,"evictionCount":-1,"expirationCount":-1,"putCount":10000,"removeCount":0,"nativeMetrics":{"HitCountRam":5466515,"Composite.HitCountRam":5466515,"HitCountAux":0,"Composite.HitCountAux":0,"Put Count":10000,"Memory Cache.Put Count":10000,"Hit Count":5466515,"Memory Cache.Hit Count":5466515,"Miss Count":289133,"Memory Cache.Miss Count":289133,"Map Size":10000,"Memory Cache.Map Size":10000,"List Size":10000,"Memory Cache.List Size":10000}}</x:v>
      </x:c>
      <x:c r="AZ344" s="44" t="str">
        <x:v>{"provider":"jcs4","currentEntries":10000,"requestCount":5755648,"hitCount":5466515,"missCount":289133,"hitRate":0.9497653435373393,"loadSuccessCount":0,"loadFailureCount":0,"totalLoadTimeNanos":0,"evictionCount":-1,"expirationCount":-1,"putCount":15000,"removeCount":0,"nativeMetrics":{"HitCountRam":5466515,"Composite.HitCountRam":5466515,"HitCountAux":0,"Composite.HitCountAux":0,"Put Count":15000,"Memory Cache.Put Count":15000,"Hit Count":5466515,"Memory Cache.Hit Count":5466515,"Miss Count":289133,"Memory Cache.Miss Count":289133,"Map Size":10000,"Memory Cache.Map Size":10000,"List Size":10000,"Memory Cache.List Size":10000}}</x:v>
      </x:c>
      <x:c r="BA344" s="43" t="n">
        <x:v>10000</x:v>
      </x:c>
      <x:c r="BB344" s="43" t="n">
        <x:v>5755648</x:v>
      </x:c>
      <x:c r="BC344" s="43" t="n">
        <x:v>5466515</x:v>
      </x:c>
      <x:c r="BD344" s="43" t="n">
        <x:v>289133</x:v>
      </x:c>
      <x:c r="BE344" s="48" t="n">
        <x:v>0.9497653435373393</x:v>
      </x:c>
      <x:c r="BF344" s="43" t="n">
        <x:v>0</x:v>
      </x:c>
      <x:c r="BG344" s="43" t="n">
        <x:v>0</x:v>
      </x:c>
      <x:c r="BH344" s="43" t="n">
        <x:v>0</x:v>
      </x:c>
      <x:c r="BI344" s="43" t="n">
        <x:v>-1</x:v>
      </x:c>
      <x:c r="BJ344" s="43" t="n">
        <x:v>-1</x:v>
      </x:c>
      <x:c r="BK344" s="43" t="n">
        <x:v>15000</x:v>
      </x:c>
      <x:c r="BL344" s="43" t="n">
        <x:v>0</x:v>
      </x:c>
      <x:c r="BM344" s="44" t="str">
        <x:v>{"HitCountRam":5466515,"Composite.HitCountRam":5466515,"HitCountAux":0,"Composite.HitCountAux":0,"Put Count":15000,"Memory Cache.Put Count":15000,"Hit Count":5466515,"Memory Cache.Hit Count":5466515,"Miss Count":289133,"Memory Cache.Miss Count":289133,"Map Size":10000,"Memory Cache.Map Size":10000,"List Size":10000,"Memory Cache.List Size":10000}</x:v>
      </x:c>
    </x:row>
    <x:row r="345">
      <x:c r="A345" s="34" t="str">
        <x:v>article1-unified-v4-2-fb3f101b-20260903-000401-default-f06-p5-jcs4</x:v>
      </x:c>
      <x:c r="B345" s="34" t="str">
        <x:v>default</x:v>
      </x:c>
      <x:c r="C345" s="34" t="str">
        <x:v>jcs4</x:v>
      </x:c>
      <x:c r="D345" s="34" t="str">
        <x:v>jcs4</x:v>
      </x:c>
      <x:c r="E345" s="34" t="str">
        <x:v>current-provider-primary-comparison</x:v>
      </x:c>
      <x:c r="F345" s="36" t="n">
        <x:v>6</x:v>
      </x:c>
      <x:c r="G345" s="36" t="n">
        <x:v>6</x:v>
      </x:c>
      <x:c r="H345" s="36" t="n">
        <x:v>5</x:v>
      </x:c>
      <x:c r="I345" s="36" t="n">
        <x:v>2</x:v>
      </x:c>
      <x:c r="J345" s="34" t="str">
        <x:v>redeploy</x:v>
      </x:c>
      <x:c r="K345" s="34" t="str">
        <x:v>cache-semantics</x:v>
      </x:c>
      <x:c r="L345" s="45" t="b">
        <x:v>1</x:v>
      </x:c>
      <x:c r="M345" s="36" t="n">
        <x:v>977482916</x:v>
      </x:c>
      <x:c r="N345" s="34" t="str">
        <x:v>fbef1bb91de564b9301b3368c99f514c400bd26d86d0deae91aa8f63ce424d4c</x:v>
      </x:c>
      <x:c r="O345" s="43" t="n">
        <x:v>10000</x:v>
      </x:c>
      <x:c r="P345" s="43" t="n">
        <x:v>400000</x:v>
      </x:c>
      <x:c r="Q345" s="36" t="n">
        <x:v>8</x:v>
      </x:c>
      <x:c r="R345" s="42" t="n">
        <x:v>95</x:v>
      </x:c>
      <x:c r="S345" s="43" t="n">
        <x:v>512</x:v>
      </x:c>
      <x:c r="T345" s="43" t="n">
        <x:v>50000</x:v>
      </x:c>
      <x:c r="U345" s="46" t="n">
        <x:v>3</x:v>
      </x:c>
      <x:c r="V345" s="46" t="n">
        <x:v>5</x:v>
      </x:c>
      <x:c r="W345" s="43" t="n">
        <x:v>300</x:v>
      </x:c>
      <x:c r="X345" s="34" t="str">
        <x:v>uniform</x:v>
      </x:c>
      <x:c r="Y345" s="42" t="n">
        <x:v>10</x:v>
      </x:c>
      <x:c r="Z345" s="34" t="str">
        <x:v>strict</x:v>
      </x:c>
      <x:c r="AA345" s="36" t="n">
        <x:v>64</x:v>
      </x:c>
      <x:c r="AB345" s="43" t="n">
        <x:v>2753280</x:v>
      </x:c>
      <x:c r="AC345" s="43" t="n">
        <x:v>3000915665</x:v>
      </x:c>
      <x:c r="AD345" s="43" t="n">
        <x:v>915665</x:v>
      </x:c>
      <x:c r="AE345" s="43" t="n">
        <x:v>3555455.686755821</x:v>
      </x:c>
      <x:c r="AF345" s="43" t="n">
        <x:v>1038357.9908455637</x:v>
      </x:c>
      <x:c r="AG345" s="43" t="n">
        <x:v>5192704</x:v>
      </x:c>
      <x:c r="AH345" s="43" t="n">
        <x:v>5000880280</x:v>
      </x:c>
      <x:c r="AI345" s="43" t="n">
        <x:v>880280</x:v>
      </x:c>
      <x:c r="AJ345" s="43" t="n">
        <x:v>1038357.9908455637</x:v>
      </x:c>
      <x:c r="AK345" s="43" t="n">
        <x:v>5192704</x:v>
      </x:c>
      <x:c r="AL345" s="43" t="n">
        <x:v>0</x:v>
      </x:c>
      <x:c r="AM345" s="43" t="n">
        <x:v>491058.5119787831</x:v>
      </x:c>
      <x:c r="AN345" s="43" t="n">
        <x:v>451</x:v>
      </x:c>
      <x:c r="AO345" s="43" t="n">
        <x:v>1754</x:v>
      </x:c>
      <x:c r="AP345" s="43" t="n">
        <x:v>267513</x:v>
      </x:c>
      <x:c r="AQ345" s="43" t="n">
        <x:v>81136</x:v>
      </x:c>
      <x:c r="AR345" s="43" t="n">
        <x:v>1</x:v>
      </x:c>
      <x:c r="AS345" s="45" t="b">
        <x:v>1</x:v>
      </x:c>
      <x:c r="AT345" s="43" t="n">
        <x:v>10000</x:v>
      </x:c>
      <x:c r="AU345" s="48" t="n">
        <x:v>0.9497539239671663</x:v>
      </x:c>
      <x:c r="AV345" s="43" t="n">
        <x:v>10000</x:v>
      </x:c>
      <x:c r="AW345" s="48" t="n">
        <x:v>0.9497539239671663</x:v>
      </x:c>
      <x:c r="AX345" s="45" t="b">
        <x:v>1</x:v>
      </x:c>
      <x:c r="AY345" s="44" t="str">
        <x:v>{"provider":"jcs4","currentEntries":10000,"requestCount":5192704,"hitCount":4931791,"missCount":260913,"hitRate":0.9497539239671663,"loadSuccessCount":0,"loadFailureCount":0,"totalLoadTimeNanos":0,"evictionCount":-1,"expirationCount":-1,"putCount":10000,"removeCount":0,"nativeMetrics":{"HitCountRam":4931791,"Composite.HitCountRam":4931791,"HitCountAux":0,"Composite.HitCountAux":0,"Put Count":10000,"Memory Cache.Put Count":10000,"Hit Count":4931791,"Memory Cache.Hit Count":4931791,"Miss Count":260913,"Memory Cache.Miss Count":260913,"Map Size":10000,"Memory Cache.Map Size":10000,"List Size":10000,"Memory Cache.List Size":10000}}</x:v>
      </x:c>
      <x:c r="AZ345" s="44" t="str">
        <x:v>{"provider":"jcs4","currentEntries":10000,"requestCount":5192704,"hitCount":4931791,"missCount":260913,"hitRate":0.9497539239671663,"loadSuccessCount":0,"loadFailureCount":0,"totalLoadTimeNanos":0,"evictionCount":-1,"expirationCount":-1,"putCount":15000,"removeCount":0,"nativeMetrics":{"HitCountRam":4931791,"Composite.HitCountRam":4931791,"HitCountAux":0,"Composite.HitCountAux":0,"Put Count":15000,"Memory Cache.Put Count":15000,"Hit Count":4931791,"Memory Cache.Hit Count":4931791,"Miss Count":260913,"Memory Cache.Miss Count":260913,"Map Size":10000,"Memory Cache.Map Size":10000,"List Size":10000,"Memory Cache.List Size":10000}}</x:v>
      </x:c>
      <x:c r="BA345" s="43" t="n">
        <x:v>10000</x:v>
      </x:c>
      <x:c r="BB345" s="43" t="n">
        <x:v>5192704</x:v>
      </x:c>
      <x:c r="BC345" s="43" t="n">
        <x:v>4931791</x:v>
      </x:c>
      <x:c r="BD345" s="43" t="n">
        <x:v>260913</x:v>
      </x:c>
      <x:c r="BE345" s="48" t="n">
        <x:v>0.9497539239671663</x:v>
      </x:c>
      <x:c r="BF345" s="43" t="n">
        <x:v>0</x:v>
      </x:c>
      <x:c r="BG345" s="43" t="n">
        <x:v>0</x:v>
      </x:c>
      <x:c r="BH345" s="43" t="n">
        <x:v>0</x:v>
      </x:c>
      <x:c r="BI345" s="43" t="n">
        <x:v>-1</x:v>
      </x:c>
      <x:c r="BJ345" s="43" t="n">
        <x:v>-1</x:v>
      </x:c>
      <x:c r="BK345" s="43" t="n">
        <x:v>15000</x:v>
      </x:c>
      <x:c r="BL345" s="43" t="n">
        <x:v>0</x:v>
      </x:c>
      <x:c r="BM345" s="44" t="str">
        <x:v>{"HitCountRam":4931791,"Composite.HitCountRam":4931791,"HitCountAux":0,"Composite.HitCountAux":0,"Put Count":15000,"Memory Cache.Put Count":15000,"Hit Count":4931791,"Memory Cache.Hit Count":4931791,"Miss Count":260913,"Memory Cache.Miss Count":260913,"Map Size":10000,"Memory Cache.Map Size":10000,"List Size":10000,"Memory Cache.List Size":10000}</x:v>
      </x:c>
    </x:row>
    <x:row r="346">
      <x:c r="A346" s="34" t="str">
        <x:v>article1-unified-v4-2-fb3f101b-20260903-000401-default-f06-p5-jcs4</x:v>
      </x:c>
      <x:c r="B346" s="34" t="str">
        <x:v>default</x:v>
      </x:c>
      <x:c r="C346" s="34" t="str">
        <x:v>jcs4</x:v>
      </x:c>
      <x:c r="D346" s="34" t="str">
        <x:v>jcs4</x:v>
      </x:c>
      <x:c r="E346" s="34" t="str">
        <x:v>current-provider-primary-comparison</x:v>
      </x:c>
      <x:c r="F346" s="36" t="n">
        <x:v>6</x:v>
      </x:c>
      <x:c r="G346" s="36" t="n">
        <x:v>6</x:v>
      </x:c>
      <x:c r="H346" s="36" t="n">
        <x:v>5</x:v>
      </x:c>
      <x:c r="I346" s="36" t="n">
        <x:v>3</x:v>
      </x:c>
      <x:c r="J346" s="34" t="str">
        <x:v>initial</x:v>
      </x:c>
      <x:c r="K346" s="34" t="str">
        <x:v>cache-semantics</x:v>
      </x:c>
      <x:c r="L346" s="45" t="b">
        <x:v>1</x:v>
      </x:c>
      <x:c r="M346" s="36" t="n">
        <x:v>1145234224</x:v>
      </x:c>
      <x:c r="N346" s="34" t="str">
        <x:v>6af895c3c09dcc45239d20d59a83e7d7936a4cbc235d171eb415d308df579083</x:v>
      </x:c>
      <x:c r="O346" s="43" t="n">
        <x:v>10000</x:v>
      </x:c>
      <x:c r="P346" s="43" t="n">
        <x:v>400000</x:v>
      </x:c>
      <x:c r="Q346" s="36" t="n">
        <x:v>8</x:v>
      </x:c>
      <x:c r="R346" s="42" t="n">
        <x:v>95</x:v>
      </x:c>
      <x:c r="S346" s="43" t="n">
        <x:v>512</x:v>
      </x:c>
      <x:c r="T346" s="43" t="n">
        <x:v>50000</x:v>
      </x:c>
      <x:c r="U346" s="46" t="n">
        <x:v>3</x:v>
      </x:c>
      <x:c r="V346" s="46" t="n">
        <x:v>5</x:v>
      </x:c>
      <x:c r="W346" s="43" t="n">
        <x:v>300</x:v>
      </x:c>
      <x:c r="X346" s="34" t="str">
        <x:v>uniform</x:v>
      </x:c>
      <x:c r="Y346" s="42" t="n">
        <x:v>10</x:v>
      </x:c>
      <x:c r="Z346" s="34" t="str">
        <x:v>strict</x:v>
      </x:c>
      <x:c r="AA346" s="36" t="n">
        <x:v>64</x:v>
      </x:c>
      <x:c r="AB346" s="43" t="n">
        <x:v>3046400</x:v>
      </x:c>
      <x:c r="AC346" s="43" t="n">
        <x:v>3000971527</x:v>
      </x:c>
      <x:c r="AD346" s="43" t="n">
        <x:v>971527</x:v>
      </x:c>
      <x:c r="AE346" s="43" t="n">
        <x:v>3825273.7365885903</x:v>
      </x:c>
      <x:c r="AF346" s="43" t="n">
        <x:v>1001678.9723640385</x:v>
      </x:c>
      <x:c r="AG346" s="43" t="n">
        <x:v>5009408</x:v>
      </x:c>
      <x:c r="AH346" s="43" t="n">
        <x:v>5001011440</x:v>
      </x:c>
      <x:c r="AI346" s="43" t="n">
        <x:v>1011440</x:v>
      </x:c>
      <x:c r="AJ346" s="43" t="n">
        <x:v>1001678.9723640385</x:v>
      </x:c>
      <x:c r="AK346" s="43" t="n">
        <x:v>5009408</x:v>
      </x:c>
      <x:c r="AL346" s="43" t="n">
        <x:v>0</x:v>
      </x:c>
      <x:c r="AM346" s="43" t="n">
        <x:v>523717.81832564063</x:v>
      </x:c>
      <x:c r="AN346" s="43" t="n">
        <x:v>441</x:v>
      </x:c>
      <x:c r="AO346" s="43" t="n">
        <x:v>1823</x:v>
      </x:c>
      <x:c r="AP346" s="43" t="n">
        <x:v>278563</x:v>
      </x:c>
      <x:c r="AQ346" s="43" t="n">
        <x:v>78272</x:v>
      </x:c>
      <x:c r="AR346" s="43" t="n">
        <x:v>1</x:v>
      </x:c>
      <x:c r="AS346" s="45" t="b">
        <x:v>1</x:v>
      </x:c>
      <x:c r="AT346" s="43" t="n">
        <x:v>10000</x:v>
      </x:c>
      <x:c r="AU346" s="48" t="n">
        <x:v>0.9499132432415167</x:v>
      </x:c>
      <x:c r="AV346" s="43" t="n">
        <x:v>10000</x:v>
      </x:c>
      <x:c r="AW346" s="48" t="n">
        <x:v>0.9499132432415167</x:v>
      </x:c>
      <x:c r="AX346" s="45" t="b">
        <x:v>1</x:v>
      </x:c>
      <x:c r="AY346" s="44" t="str">
        <x:v>{"provider":"jcs4","currentEntries":10000,"requestCount":5009408,"hitCount":4758503,"missCount":250905,"hitRate":0.9499132432415167,"loadSuccessCount":0,"loadFailureCount":0,"totalLoadTimeNanos":0,"evictionCount":-1,"expirationCount":-1,"putCount":10000,"removeCount":0,"nativeMetrics":{"HitCountRam":4758503,"Composite.HitCountRam":4758503,"HitCountAux":0,"Composite.HitCountAux":0,"Put Count":10000,"Memory Cache.Put Count":10000,"Hit Count":4758503,"Memory Cache.Hit Count":4758503,"Miss Count":250905,"Memory Cache.Miss Count":250905,"Map Size":10000,"Memory Cache.Map Size":10000,"List Size":10000,"Memory Cache.List Size":10000}}</x:v>
      </x:c>
      <x:c r="AZ346" s="44" t="str">
        <x:v>{"provider":"jcs4","currentEntries":10000,"requestCount":5009408,"hitCount":4758503,"missCount":250905,"hitRate":0.9499132432415167,"loadSuccessCount":0,"loadFailureCount":0,"totalLoadTimeNanos":0,"evictionCount":-1,"expirationCount":-1,"putCount":15000,"removeCount":0,"nativeMetrics":{"HitCountRam":4758503,"Composite.HitCountRam":4758503,"HitCountAux":0,"Composite.HitCountAux":0,"Put Count":15000,"Memory Cache.Put Count":15000,"Hit Count":4758503,"Memory Cache.Hit Count":4758503,"Miss Count":250905,"Memory Cache.Miss Count":250905,"Map Size":10000,"Memory Cache.Map Size":10000,"List Size":10000,"Memory Cache.List Size":10000}}</x:v>
      </x:c>
      <x:c r="BA346" s="43" t="n">
        <x:v>10000</x:v>
      </x:c>
      <x:c r="BB346" s="43" t="n">
        <x:v>5009408</x:v>
      </x:c>
      <x:c r="BC346" s="43" t="n">
        <x:v>4758503</x:v>
      </x:c>
      <x:c r="BD346" s="43" t="n">
        <x:v>250905</x:v>
      </x:c>
      <x:c r="BE346" s="48" t="n">
        <x:v>0.9499132432415167</x:v>
      </x:c>
      <x:c r="BF346" s="43" t="n">
        <x:v>0</x:v>
      </x:c>
      <x:c r="BG346" s="43" t="n">
        <x:v>0</x:v>
      </x:c>
      <x:c r="BH346" s="43" t="n">
        <x:v>0</x:v>
      </x:c>
      <x:c r="BI346" s="43" t="n">
        <x:v>-1</x:v>
      </x:c>
      <x:c r="BJ346" s="43" t="n">
        <x:v>-1</x:v>
      </x:c>
      <x:c r="BK346" s="43" t="n">
        <x:v>15000</x:v>
      </x:c>
      <x:c r="BL346" s="43" t="n">
        <x:v>0</x:v>
      </x:c>
      <x:c r="BM346" s="44" t="str">
        <x:v>{"HitCountRam":4758503,"Composite.HitCountRam":4758503,"HitCountAux":0,"Composite.HitCountAux":0,"Put Count":15000,"Memory Cache.Put Count":15000,"Hit Count":4758503,"Memory Cache.Hit Count":4758503,"Miss Count":250905,"Memory Cache.Miss Count":250905,"Map Size":10000,"Memory Cache.Map Size":10000,"List Size":10000,"Memory Cache.List Size":10000}</x:v>
      </x:c>
    </x:row>
    <x:row r="347">
      <x:c r="A347" s="34" t="str">
        <x:v>article1-unified-v4-2-fb3f101b-20260903-000401-default-f06-p5-jcs4</x:v>
      </x:c>
      <x:c r="B347" s="34" t="str">
        <x:v>default</x:v>
      </x:c>
      <x:c r="C347" s="34" t="str">
        <x:v>jcs4</x:v>
      </x:c>
      <x:c r="D347" s="34" t="str">
        <x:v>jcs4</x:v>
      </x:c>
      <x:c r="E347" s="34" t="str">
        <x:v>current-provider-primary-comparison</x:v>
      </x:c>
      <x:c r="F347" s="36" t="n">
        <x:v>6</x:v>
      </x:c>
      <x:c r="G347" s="36" t="n">
        <x:v>6</x:v>
      </x:c>
      <x:c r="H347" s="36" t="n">
        <x:v>5</x:v>
      </x:c>
      <x:c r="I347" s="36" t="n">
        <x:v>3</x:v>
      </x:c>
      <x:c r="J347" s="34" t="str">
        <x:v>redeploy</x:v>
      </x:c>
      <x:c r="K347" s="34" t="str">
        <x:v>cache-semantics</x:v>
      </x:c>
      <x:c r="L347" s="45" t="b">
        <x:v>1</x:v>
      </x:c>
      <x:c r="M347" s="36" t="n">
        <x:v>1145234224</x:v>
      </x:c>
      <x:c r="N347" s="34" t="str">
        <x:v>6af895c3c09dcc45239d20d59a83e7d7936a4cbc235d171eb415d308df579083</x:v>
      </x:c>
      <x:c r="O347" s="43" t="n">
        <x:v>10000</x:v>
      </x:c>
      <x:c r="P347" s="43" t="n">
        <x:v>400000</x:v>
      </x:c>
      <x:c r="Q347" s="36" t="n">
        <x:v>8</x:v>
      </x:c>
      <x:c r="R347" s="42" t="n">
        <x:v>95</x:v>
      </x:c>
      <x:c r="S347" s="43" t="n">
        <x:v>512</x:v>
      </x:c>
      <x:c r="T347" s="43" t="n">
        <x:v>50000</x:v>
      </x:c>
      <x:c r="U347" s="46" t="n">
        <x:v>3</x:v>
      </x:c>
      <x:c r="V347" s="46" t="n">
        <x:v>5</x:v>
      </x:c>
      <x:c r="W347" s="43" t="n">
        <x:v>300</x:v>
      </x:c>
      <x:c r="X347" s="34" t="str">
        <x:v>uniform</x:v>
      </x:c>
      <x:c r="Y347" s="42" t="n">
        <x:v>10</x:v>
      </x:c>
      <x:c r="Z347" s="34" t="str">
        <x:v>strict</x:v>
      </x:c>
      <x:c r="AA347" s="36" t="n">
        <x:v>64</x:v>
      </x:c>
      <x:c r="AB347" s="43" t="n">
        <x:v>2857472</x:v>
      </x:c>
      <x:c r="AC347" s="43" t="n">
        <x:v>3001371125</x:v>
      </x:c>
      <x:c r="AD347" s="43" t="n">
        <x:v>1371125</x:v>
      </x:c>
      <x:c r="AE347" s="43" t="n">
        <x:v>3916398.980796329</x:v>
      </x:c>
      <x:c r="AF347" s="43" t="n">
        <x:v>1124269.4677364654</x:v>
      </x:c>
      <x:c r="AG347" s="43" t="n">
        <x:v>5624576</x:v>
      </x:c>
      <x:c r="AH347" s="43" t="n">
        <x:v>5002871786</x:v>
      </x:c>
      <x:c r="AI347" s="43" t="n">
        <x:v>2871786</x:v>
      </x:c>
      <x:c r="AJ347" s="43" t="n">
        <x:v>1124269.4677364654</x:v>
      </x:c>
      <x:c r="AK347" s="43" t="n">
        <x:v>5624576</x:v>
      </x:c>
      <x:c r="AL347" s="43" t="n">
        <x:v>0</x:v>
      </x:c>
      <x:c r="AM347" s="43" t="n">
        <x:v>558685.5603694386</x:v>
      </x:c>
      <x:c r="AN347" s="43" t="n">
        <x:v>371</x:v>
      </x:c>
      <x:c r="AO347" s="43" t="n">
        <x:v>1533</x:v>
      </x:c>
      <x:c r="AP347" s="43" t="n">
        <x:v>275954</x:v>
      </x:c>
      <x:c r="AQ347" s="43" t="n">
        <x:v>87884</x:v>
      </x:c>
      <x:c r="AR347" s="43" t="n">
        <x:v>1</x:v>
      </x:c>
      <x:c r="AS347" s="45" t="b">
        <x:v>1</x:v>
      </x:c>
      <x:c r="AT347" s="43" t="n">
        <x:v>10000</x:v>
      </x:c>
      <x:c r="AU347" s="48" t="n">
        <x:v>0.949923514234673</x:v>
      </x:c>
      <x:c r="AV347" s="43" t="n">
        <x:v>10000</x:v>
      </x:c>
      <x:c r="AW347" s="48" t="n">
        <x:v>0.949923514234673</x:v>
      </x:c>
      <x:c r="AX347" s="45" t="b">
        <x:v>1</x:v>
      </x:c>
      <x:c r="AY347" s="44" t="str">
        <x:v>{"provider":"jcs4","currentEntries":10000,"requestCount":5624576,"hitCount":5342917,"missCount":281659,"hitRate":0.949923514234673,"loadSuccessCount":0,"loadFailureCount":0,"totalLoadTimeNanos":0,"evictionCount":-1,"expirationCount":-1,"putCount":10000,"removeCount":0,"nativeMetrics":{"HitCountRam":5342917,"Composite.HitCountRam":5342917,"HitCountAux":0,"Composite.HitCountAux":0,"Put Count":10000,"Memory Cache.Put Count":10000,"Hit Count":5342917,"Memory Cache.Hit Count":5342917,"Miss Count":281659,"Memory Cache.Miss Count":281659,"Map Size":10000,"Memory Cache.Map Size":10000,"List Size":10000,"Memory Cache.List Size":10000}}</x:v>
      </x:c>
      <x:c r="AZ347" s="44" t="str">
        <x:v>{"provider":"jcs4","currentEntries":10000,"requestCount":5624576,"hitCount":5342917,"missCount":281659,"hitRate":0.949923514234673,"loadSuccessCount":0,"loadFailureCount":0,"totalLoadTimeNanos":0,"evictionCount":-1,"expirationCount":-1,"putCount":15000,"removeCount":0,"nativeMetrics":{"HitCountRam":5342917,"Composite.HitCountRam":5342917,"HitCountAux":0,"Composite.HitCountAux":0,"Put Count":15000,"Memory Cache.Put Count":15000,"Hit Count":5342917,"Memory Cache.Hit Count":5342917,"Miss Count":281659,"Memory Cache.Miss Count":281659,"Map Size":10000,"Memory Cache.Map Size":10000,"List Size":10000,"Memory Cache.List Size":10000}}</x:v>
      </x:c>
      <x:c r="BA347" s="43" t="n">
        <x:v>10000</x:v>
      </x:c>
      <x:c r="BB347" s="43" t="n">
        <x:v>5624576</x:v>
      </x:c>
      <x:c r="BC347" s="43" t="n">
        <x:v>5342917</x:v>
      </x:c>
      <x:c r="BD347" s="43" t="n">
        <x:v>281659</x:v>
      </x:c>
      <x:c r="BE347" s="48" t="n">
        <x:v>0.949923514234673</x:v>
      </x:c>
      <x:c r="BF347" s="43" t="n">
        <x:v>0</x:v>
      </x:c>
      <x:c r="BG347" s="43" t="n">
        <x:v>0</x:v>
      </x:c>
      <x:c r="BH347" s="43" t="n">
        <x:v>0</x:v>
      </x:c>
      <x:c r="BI347" s="43" t="n">
        <x:v>-1</x:v>
      </x:c>
      <x:c r="BJ347" s="43" t="n">
        <x:v>-1</x:v>
      </x:c>
      <x:c r="BK347" s="43" t="n">
        <x:v>15000</x:v>
      </x:c>
      <x:c r="BL347" s="43" t="n">
        <x:v>0</x:v>
      </x:c>
      <x:c r="BM347" s="44" t="str">
        <x:v>{"HitCountRam":5342917,"Composite.HitCountRam":5342917,"HitCountAux":0,"Composite.HitCountAux":0,"Put Count":15000,"Memory Cache.Put Count":15000,"Hit Count":5342917,"Memory Cache.Hit Count":5342917,"Miss Count":281659,"Memory Cache.Miss Count":281659,"Map Size":10000,"Memory Cache.Map Size":10000,"List Size":10000,"Memory Cache.List Size":10000}</x:v>
      </x:c>
    </x:row>
    <x:row r="348">
      <x:c r="A348" s="34" t="str">
        <x:v>article1-unified-v4-2-fb3f101b-20260903-000401-default-f06-p5-jcs4</x:v>
      </x:c>
      <x:c r="B348" s="34" t="str">
        <x:v>default</x:v>
      </x:c>
      <x:c r="C348" s="34" t="str">
        <x:v>jcs4</x:v>
      </x:c>
      <x:c r="D348" s="34" t="str">
        <x:v>jcs4</x:v>
      </x:c>
      <x:c r="E348" s="34" t="str">
        <x:v>current-provider-primary-comparison</x:v>
      </x:c>
      <x:c r="F348" s="36" t="n">
        <x:v>6</x:v>
      </x:c>
      <x:c r="G348" s="36" t="n">
        <x:v>6</x:v>
      </x:c>
      <x:c r="H348" s="36" t="n">
        <x:v>5</x:v>
      </x:c>
      <x:c r="I348" s="36" t="n">
        <x:v>4</x:v>
      </x:c>
      <x:c r="J348" s="34" t="str">
        <x:v>initial</x:v>
      </x:c>
      <x:c r="K348" s="34" t="str">
        <x:v>cache-semantics</x:v>
      </x:c>
      <x:c r="L348" s="45" t="b">
        <x:v>1</x:v>
      </x:c>
      <x:c r="M348" s="36" t="n">
        <x:v>1327484523</x:v>
      </x:c>
      <x:c r="N348" s="34" t="str">
        <x:v>701c077715f7da8759e1e555b03db6d96b802524339eadeaf5a33b9cd6ccae55</x:v>
      </x:c>
      <x:c r="O348" s="43" t="n">
        <x:v>10000</x:v>
      </x:c>
      <x:c r="P348" s="43" t="n">
        <x:v>400000</x:v>
      </x:c>
      <x:c r="Q348" s="36" t="n">
        <x:v>8</x:v>
      </x:c>
      <x:c r="R348" s="42" t="n">
        <x:v>95</x:v>
      </x:c>
      <x:c r="S348" s="43" t="n">
        <x:v>512</x:v>
      </x:c>
      <x:c r="T348" s="43" t="n">
        <x:v>50000</x:v>
      </x:c>
      <x:c r="U348" s="46" t="n">
        <x:v>3</x:v>
      </x:c>
      <x:c r="V348" s="46" t="n">
        <x:v>5</x:v>
      </x:c>
      <x:c r="W348" s="43" t="n">
        <x:v>300</x:v>
      </x:c>
      <x:c r="X348" s="34" t="str">
        <x:v>uniform</x:v>
      </x:c>
      <x:c r="Y348" s="42" t="n">
        <x:v>10</x:v>
      </x:c>
      <x:c r="Z348" s="34" t="str">
        <x:v>strict</x:v>
      </x:c>
      <x:c r="AA348" s="36" t="n">
        <x:v>64</x:v>
      </x:c>
      <x:c r="AB348" s="43" t="n">
        <x:v>3022848</x:v>
      </x:c>
      <x:c r="AC348" s="43" t="n">
        <x:v>3001172056</x:v>
      </x:c>
      <x:c r="AD348" s="43" t="n">
        <x:v>1172056</x:v>
      </x:c>
      <x:c r="AE348" s="43" t="n">
        <x:v>4315357.710789042</x:v>
      </x:c>
      <x:c r="AF348" s="43" t="n">
        <x:v>1255004.6242510178</x:v>
      </x:c>
      <x:c r="AG348" s="43" t="n">
        <x:v>6275840</x:v>
      </x:c>
      <x:c r="AH348" s="43" t="n">
        <x:v>5000650897</x:v>
      </x:c>
      <x:c r="AI348" s="43" t="n">
        <x:v>650897</x:v>
      </x:c>
      <x:c r="AJ348" s="43" t="n">
        <x:v>1255004.6242510178</x:v>
      </x:c>
      <x:c r="AK348" s="43" t="n">
        <x:v>6275840</x:v>
      </x:c>
      <x:c r="AL348" s="43" t="n">
        <x:v>0</x:v>
      </x:c>
      <x:c r="AM348" s="43" t="n">
        <x:v>565729.9574039286</x:v>
      </x:c>
      <x:c r="AN348" s="43" t="n">
        <x:v>361</x:v>
      </x:c>
      <x:c r="AO348" s="43" t="n">
        <x:v>1313</x:v>
      </x:c>
      <x:c r="AP348" s="43" t="n">
        <x:v>255949</x:v>
      </x:c>
      <x:c r="AQ348" s="43" t="n">
        <x:v>98060</x:v>
      </x:c>
      <x:c r="AR348" s="43" t="n">
        <x:v>1</x:v>
      </x:c>
      <x:c r="AS348" s="45" t="b">
        <x:v>1</x:v>
      </x:c>
      <x:c r="AT348" s="43" t="n">
        <x:v>10000</x:v>
      </x:c>
      <x:c r="AU348" s="48" t="n">
        <x:v>0.9500637364878646</x:v>
      </x:c>
      <x:c r="AV348" s="43" t="n">
        <x:v>10000</x:v>
      </x:c>
      <x:c r="AW348" s="48" t="n">
        <x:v>0.9500637364878646</x:v>
      </x:c>
      <x:c r="AX348" s="45" t="b">
        <x:v>1</x:v>
      </x:c>
      <x:c r="AY348" s="44" t="str">
        <x:v>{"provider":"jcs4","currentEntries":10000,"requestCount":6275840,"hitCount":5962448,"missCount":313392,"hitRate":0.9500637364878646,"loadSuccessCount":0,"loadFailureCount":0,"totalLoadTimeNanos":0,"evictionCount":-1,"expirationCount":-1,"putCount":10000,"removeCount":0,"nativeMetrics":{"HitCountRam":5962448,"Composite.HitCountRam":5962448,"HitCountAux":0,"Composite.HitCountAux":0,"Put Count":10000,"Memory Cache.Put Count":10000,"Hit Count":5962448,"Memory Cache.Hit Count":5962448,"Miss Count":313392,"Memory Cache.Miss Count":313392,"Map Size":10000,"Memory Cache.Map Size":10000,"List Size":10000,"Memory Cache.List Size":10000}}</x:v>
      </x:c>
      <x:c r="AZ348" s="44" t="str">
        <x:v>{"provider":"jcs4","currentEntries":10000,"requestCount":6275840,"hitCount":5962448,"missCount":313392,"hitRate":0.9500637364878646,"loadSuccessCount":0,"loadFailureCount":0,"totalLoadTimeNanos":0,"evictionCount":-1,"expirationCount":-1,"putCount":15000,"removeCount":0,"nativeMetrics":{"HitCountRam":5962448,"Composite.HitCountRam":5962448,"HitCountAux":0,"Composite.HitCountAux":0,"Put Count":15000,"Memory Cache.Put Count":15000,"Hit Count":5962448,"Memory Cache.Hit Count":5962448,"Miss Count":313392,"Memory Cache.Miss Count":313392,"Map Size":10000,"Memory Cache.Map Size":10000,"List Size":10000,"Memory Cache.List Size":10000}}</x:v>
      </x:c>
      <x:c r="BA348" s="43" t="n">
        <x:v>10000</x:v>
      </x:c>
      <x:c r="BB348" s="43" t="n">
        <x:v>6275840</x:v>
      </x:c>
      <x:c r="BC348" s="43" t="n">
        <x:v>5962448</x:v>
      </x:c>
      <x:c r="BD348" s="43" t="n">
        <x:v>313392</x:v>
      </x:c>
      <x:c r="BE348" s="48" t="n">
        <x:v>0.9500637364878646</x:v>
      </x:c>
      <x:c r="BF348" s="43" t="n">
        <x:v>0</x:v>
      </x:c>
      <x:c r="BG348" s="43" t="n">
        <x:v>0</x:v>
      </x:c>
      <x:c r="BH348" s="43" t="n">
        <x:v>0</x:v>
      </x:c>
      <x:c r="BI348" s="43" t="n">
        <x:v>-1</x:v>
      </x:c>
      <x:c r="BJ348" s="43" t="n">
        <x:v>-1</x:v>
      </x:c>
      <x:c r="BK348" s="43" t="n">
        <x:v>15000</x:v>
      </x:c>
      <x:c r="BL348" s="43" t="n">
        <x:v>0</x:v>
      </x:c>
      <x:c r="BM348" s="44" t="str">
        <x:v>{"HitCountRam":5962448,"Composite.HitCountRam":5962448,"HitCountAux":0,"Composite.HitCountAux":0,"Put Count":15000,"Memory Cache.Put Count":15000,"Hit Count":5962448,"Memory Cache.Hit Count":5962448,"Miss Count":313392,"Memory Cache.Miss Count":313392,"Map Size":10000,"Memory Cache.Map Size":10000,"List Size":10000,"Memory Cache.List Size":10000}</x:v>
      </x:c>
    </x:row>
    <x:row r="349">
      <x:c r="A349" s="34" t="str">
        <x:v>article1-unified-v4-2-fb3f101b-20260903-000401-default-f06-p5-jcs4</x:v>
      </x:c>
      <x:c r="B349" s="34" t="str">
        <x:v>default</x:v>
      </x:c>
      <x:c r="C349" s="34" t="str">
        <x:v>jcs4</x:v>
      </x:c>
      <x:c r="D349" s="34" t="str">
        <x:v>jcs4</x:v>
      </x:c>
      <x:c r="E349" s="34" t="str">
        <x:v>current-provider-primary-comparison</x:v>
      </x:c>
      <x:c r="F349" s="36" t="n">
        <x:v>6</x:v>
      </x:c>
      <x:c r="G349" s="36" t="n">
        <x:v>6</x:v>
      </x:c>
      <x:c r="H349" s="36" t="n">
        <x:v>5</x:v>
      </x:c>
      <x:c r="I349" s="36" t="n">
        <x:v>4</x:v>
      </x:c>
      <x:c r="J349" s="34" t="str">
        <x:v>redeploy</x:v>
      </x:c>
      <x:c r="K349" s="34" t="str">
        <x:v>cache-semantics</x:v>
      </x:c>
      <x:c r="L349" s="45" t="b">
        <x:v>1</x:v>
      </x:c>
      <x:c r="M349" s="36" t="n">
        <x:v>1327484523</x:v>
      </x:c>
      <x:c r="N349" s="34" t="str">
        <x:v>701c077715f7da8759e1e555b03db6d96b802524339eadeaf5a33b9cd6ccae55</x:v>
      </x:c>
      <x:c r="O349" s="43" t="n">
        <x:v>10000</x:v>
      </x:c>
      <x:c r="P349" s="43" t="n">
        <x:v>400000</x:v>
      </x:c>
      <x:c r="Q349" s="36" t="n">
        <x:v>8</x:v>
      </x:c>
      <x:c r="R349" s="42" t="n">
        <x:v>95</x:v>
      </x:c>
      <x:c r="S349" s="43" t="n">
        <x:v>512</x:v>
      </x:c>
      <x:c r="T349" s="43" t="n">
        <x:v>50000</x:v>
      </x:c>
      <x:c r="U349" s="46" t="n">
        <x:v>3</x:v>
      </x:c>
      <x:c r="V349" s="46" t="n">
        <x:v>5</x:v>
      </x:c>
      <x:c r="W349" s="43" t="n">
        <x:v>300</x:v>
      </x:c>
      <x:c r="X349" s="34" t="str">
        <x:v>uniform</x:v>
      </x:c>
      <x:c r="Y349" s="42" t="n">
        <x:v>10</x:v>
      </x:c>
      <x:c r="Z349" s="34" t="str">
        <x:v>strict</x:v>
      </x:c>
      <x:c r="AA349" s="36" t="n">
        <x:v>64</x:v>
      </x:c>
      <x:c r="AB349" s="43" t="n">
        <x:v>2217216</x:v>
      </x:c>
      <x:c r="AC349" s="43" t="n">
        <x:v>3000957791</x:v>
      </x:c>
      <x:c r="AD349" s="43" t="n">
        <x:v>957791</x:v>
      </x:c>
      <x:c r="AE349" s="43" t="n">
        <x:v>3814743.832322172</x:v>
      </x:c>
      <x:c r="AF349" s="43" t="n">
        <x:v>783539.08117422</x:v>
      </x:c>
      <x:c r="AG349" s="43" t="n">
        <x:v>3918336</x:v>
      </x:c>
      <x:c r="AH349" s="43" t="n">
        <x:v>5000817565</x:v>
      </x:c>
      <x:c r="AI349" s="43" t="n">
        <x:v>817565</x:v>
      </x:c>
      <x:c r="AJ349" s="43" t="n">
        <x:v>783539.08117422</x:v>
      </x:c>
      <x:c r="AK349" s="43" t="n">
        <x:v>3918336</x:v>
      </x:c>
      <x:c r="AL349" s="43" t="n">
        <x:v>0</x:v>
      </x:c>
      <x:c r="AM349" s="43" t="n">
        <x:v>523848.73762931203</x:v>
      </x:c>
      <x:c r="AN349" s="43" t="n">
        <x:v>651</x:v>
      </x:c>
      <x:c r="AO349" s="43" t="n">
        <x:v>2955</x:v>
      </x:c>
      <x:c r="AP349" s="43" t="n">
        <x:v>291709</x:v>
      </x:c>
      <x:c r="AQ349" s="43" t="n">
        <x:v>61224</x:v>
      </x:c>
      <x:c r="AR349" s="43" t="n">
        <x:v>1</x:v>
      </x:c>
      <x:c r="AS349" s="45" t="b">
        <x:v>1</x:v>
      </x:c>
      <x:c r="AT349" s="43" t="n">
        <x:v>10000</x:v>
      </x:c>
      <x:c r="AU349" s="48" t="n">
        <x:v>0.9500571160819287</x:v>
      </x:c>
      <x:c r="AV349" s="43" t="n">
        <x:v>10000</x:v>
      </x:c>
      <x:c r="AW349" s="48" t="n">
        <x:v>0.9500571160819287</x:v>
      </x:c>
      <x:c r="AX349" s="45" t="b">
        <x:v>1</x:v>
      </x:c>
      <x:c r="AY349" s="44" t="str">
        <x:v>{"provider":"jcs4","currentEntries":10000,"requestCount":3918336,"hitCount":3722643,"missCount":195693,"hitRate":0.9500571160819287,"loadSuccessCount":0,"loadFailureCount":0,"totalLoadTimeNanos":0,"evictionCount":-1,"expirationCount":-1,"putCount":10000,"removeCount":0,"nativeMetrics":{"HitCountRam":3722643,"Composite.HitCountRam":3722643,"HitCountAux":0,"Composite.HitCountAux":0,"Put Count":10000,"Memory Cache.Put Count":10000,"Hit Count":3722643,"Memory Cache.Hit Count":3722643,"Miss Count":195693,"Memory Cache.Miss Count":195693,"Map Size":10000,"Memory Cache.Map Size":10000,"List Size":10000,"Memory Cache.List Size":10000}}</x:v>
      </x:c>
      <x:c r="AZ349" s="44" t="str">
        <x:v>{"provider":"jcs4","currentEntries":10000,"requestCount":3918336,"hitCount":3722643,"missCount":195693,"hitRate":0.9500571160819287,"loadSuccessCount":0,"loadFailureCount":0,"totalLoadTimeNanos":0,"evictionCount":-1,"expirationCount":-1,"putCount":15000,"removeCount":0,"nativeMetrics":{"HitCountRam":3722643,"Composite.HitCountRam":3722643,"HitCountAux":0,"Composite.HitCountAux":0,"Put Count":15000,"Memory Cache.Put Count":15000,"Hit Count":3722643,"Memory Cache.Hit Count":3722643,"Miss Count":195693,"Memory Cache.Miss Count":195693,"Map Size":10000,"Memory Cache.Map Size":10000,"List Size":10000,"Memory Cache.List Size":10000}}</x:v>
      </x:c>
      <x:c r="BA349" s="43" t="n">
        <x:v>10000</x:v>
      </x:c>
      <x:c r="BB349" s="43" t="n">
        <x:v>3918336</x:v>
      </x:c>
      <x:c r="BC349" s="43" t="n">
        <x:v>3722643</x:v>
      </x:c>
      <x:c r="BD349" s="43" t="n">
        <x:v>195693</x:v>
      </x:c>
      <x:c r="BE349" s="48" t="n">
        <x:v>0.9500571160819287</x:v>
      </x:c>
      <x:c r="BF349" s="43" t="n">
        <x:v>0</x:v>
      </x:c>
      <x:c r="BG349" s="43" t="n">
        <x:v>0</x:v>
      </x:c>
      <x:c r="BH349" s="43" t="n">
        <x:v>0</x:v>
      </x:c>
      <x:c r="BI349" s="43" t="n">
        <x:v>-1</x:v>
      </x:c>
      <x:c r="BJ349" s="43" t="n">
        <x:v>-1</x:v>
      </x:c>
      <x:c r="BK349" s="43" t="n">
        <x:v>15000</x:v>
      </x:c>
      <x:c r="BL349" s="43" t="n">
        <x:v>0</x:v>
      </x:c>
      <x:c r="BM349" s="44" t="str">
        <x:v>{"HitCountRam":3722643,"Composite.HitCountRam":3722643,"HitCountAux":0,"Composite.HitCountAux":0,"Put Count":15000,"Memory Cache.Put Count":15000,"Hit Count":3722643,"Memory Cache.Hit Count":3722643,"Miss Count":195693,"Memory Cache.Miss Count":195693,"Map Size":10000,"Memory Cache.Map Size":10000,"List Size":10000,"Memory Cache.List Size":10000}</x:v>
      </x:c>
    </x:row>
    <x:row r="350">
      <x:c r="A350" s="34" t="str">
        <x:v>article1-unified-v4-2-fb3f101b-20260903-000401-default-f06-p5-jcs4</x:v>
      </x:c>
      <x:c r="B350" s="34" t="str">
        <x:v>default</x:v>
      </x:c>
      <x:c r="C350" s="34" t="str">
        <x:v>jcs4</x:v>
      </x:c>
      <x:c r="D350" s="34" t="str">
        <x:v>jcs4</x:v>
      </x:c>
      <x:c r="E350" s="34" t="str">
        <x:v>current-provider-primary-comparison</x:v>
      </x:c>
      <x:c r="F350" s="36" t="n">
        <x:v>6</x:v>
      </x:c>
      <x:c r="G350" s="36" t="n">
        <x:v>6</x:v>
      </x:c>
      <x:c r="H350" s="36" t="n">
        <x:v>5</x:v>
      </x:c>
      <x:c r="I350" s="36" t="n">
        <x:v>5</x:v>
      </x:c>
      <x:c r="J350" s="34" t="str">
        <x:v>initial</x:v>
      </x:c>
      <x:c r="K350" s="34" t="str">
        <x:v>cache-semantics</x:v>
      </x:c>
      <x:c r="L350" s="45" t="b">
        <x:v>1</x:v>
      </x:c>
      <x:c r="M350" s="36" t="n">
        <x:v>666294704</x:v>
      </x:c>
      <x:c r="N350" s="34" t="str">
        <x:v>2d37790d1dcdaa2a0296dbfb67d742e82e2643aa9d8bec35c7958bc4847abfa8</x:v>
      </x:c>
      <x:c r="O350" s="43" t="n">
        <x:v>10000</x:v>
      </x:c>
      <x:c r="P350" s="43" t="n">
        <x:v>400000</x:v>
      </x:c>
      <x:c r="Q350" s="36" t="n">
        <x:v>8</x:v>
      </x:c>
      <x:c r="R350" s="42" t="n">
        <x:v>95</x:v>
      </x:c>
      <x:c r="S350" s="43" t="n">
        <x:v>512</x:v>
      </x:c>
      <x:c r="T350" s="43" t="n">
        <x:v>50000</x:v>
      </x:c>
      <x:c r="U350" s="46" t="n">
        <x:v>3</x:v>
      </x:c>
      <x:c r="V350" s="46" t="n">
        <x:v>5</x:v>
      </x:c>
      <x:c r="W350" s="43" t="n">
        <x:v>300</x:v>
      </x:c>
      <x:c r="X350" s="34" t="str">
        <x:v>uniform</x:v>
      </x:c>
      <x:c r="Y350" s="42" t="n">
        <x:v>10</x:v>
      </x:c>
      <x:c r="Z350" s="34" t="str">
        <x:v>strict</x:v>
      </x:c>
      <x:c r="AA350" s="36" t="n">
        <x:v>64</x:v>
      </x:c>
      <x:c r="AB350" s="43" t="n">
        <x:v>2732544</x:v>
      </x:c>
      <x:c r="AC350" s="43" t="n">
        <x:v>3001368436</x:v>
      </x:c>
      <x:c r="AD350" s="43" t="n">
        <x:v>1368436</x:v>
      </x:c>
      <x:c r="AE350" s="43" t="n">
        <x:v>4159420.6093468005</x:v>
      </x:c>
      <x:c r="AF350" s="43" t="n">
        <x:v>1251043.290477756</x:v>
      </x:c>
      <x:c r="AG350" s="43" t="n">
        <x:v>6257408</x:v>
      </x:c>
      <x:c r="AH350" s="43" t="n">
        <x:v>5001751776</x:v>
      </x:c>
      <x:c r="AI350" s="43" t="n">
        <x:v>1751776</x:v>
      </x:c>
      <x:c r="AJ350" s="43" t="n">
        <x:v>1251043.290477756</x:v>
      </x:c>
      <x:c r="AK350" s="43" t="n">
        <x:v>6257408</x:v>
      </x:c>
      <x:c r="AL350" s="43" t="n">
        <x:v>0</x:v>
      </x:c>
      <x:c r="AM350" s="43" t="n">
        <x:v>492369.11573362554</x:v>
      </x:c>
      <x:c r="AN350" s="43" t="n">
        <x:v>371</x:v>
      </x:c>
      <x:c r="AO350" s="43" t="n">
        <x:v>1272</x:v>
      </x:c>
      <x:c r="AP350" s="43" t="n">
        <x:v>254525</x:v>
      </x:c>
      <x:c r="AQ350" s="43" t="n">
        <x:v>97772</x:v>
      </x:c>
      <x:c r="AR350" s="43" t="n">
        <x:v>1</x:v>
      </x:c>
      <x:c r="AS350" s="45" t="b">
        <x:v>1</x:v>
      </x:c>
      <x:c r="AT350" s="43" t="n">
        <x:v>10000</x:v>
      </x:c>
      <x:c r="AU350" s="48" t="n">
        <x:v>0.9502169268809066</x:v>
      </x:c>
      <x:c r="AV350" s="43" t="n">
        <x:v>10000</x:v>
      </x:c>
      <x:c r="AW350" s="48" t="n">
        <x:v>0.9502169268809066</x:v>
      </x:c>
      <x:c r="AX350" s="45" t="b">
        <x:v>1</x:v>
      </x:c>
      <x:c r="AY350" s="44" t="str">
        <x:v>{"provider":"jcs4","currentEntries":10000,"requestCount":6257408,"hitCount":5945895,"missCount":311513,"hitRate":0.9502169268809066,"loadSuccessCount":0,"loadFailureCount":0,"totalLoadTimeNanos":0,"evictionCount":-1,"expirationCount":-1,"putCount":10000,"removeCount":0,"nativeMetrics":{"HitCountRam":5945895,"Composite.HitCountRam":5945895,"HitCountAux":0,"Composite.HitCountAux":0,"Put Count":10000,"Memory Cache.Put Count":10000,"Hit Count":5945895,"Memory Cache.Hit Count":5945895,"Miss Count":311513,"Memory Cache.Miss Count":311513,"Map Size":10000,"Memory Cache.Map Size":10000,"List Size":10000,"Memory Cache.List Size":10000}}</x:v>
      </x:c>
      <x:c r="AZ350" s="44" t="str">
        <x:v>{"provider":"jcs4","currentEntries":10000,"requestCount":6257408,"hitCount":5945895,"missCount":311513,"hitRate":0.9502169268809066,"loadSuccessCount":0,"loadFailureCount":0,"totalLoadTimeNanos":0,"evictionCount":-1,"expirationCount":-1,"putCount":15000,"removeCount":0,"nativeMetrics":{"HitCountRam":5945895,"Composite.HitCountRam":5945895,"HitCountAux":0,"Composite.HitCountAux":0,"Put Count":15000,"Memory Cache.Put Count":15000,"Hit Count":5945895,"Memory Cache.Hit Count":5945895,"Miss Count":311513,"Memory Cache.Miss Count":311513,"Map Size":10000,"Memory Cache.Map Size":10000,"List Size":10000,"Memory Cache.List Size":10000}}</x:v>
      </x:c>
      <x:c r="BA350" s="43" t="n">
        <x:v>10000</x:v>
      </x:c>
      <x:c r="BB350" s="43" t="n">
        <x:v>6257408</x:v>
      </x:c>
      <x:c r="BC350" s="43" t="n">
        <x:v>5945895</x:v>
      </x:c>
      <x:c r="BD350" s="43" t="n">
        <x:v>311513</x:v>
      </x:c>
      <x:c r="BE350" s="48" t="n">
        <x:v>0.9502169268809066</x:v>
      </x:c>
      <x:c r="BF350" s="43" t="n">
        <x:v>0</x:v>
      </x:c>
      <x:c r="BG350" s="43" t="n">
        <x:v>0</x:v>
      </x:c>
      <x:c r="BH350" s="43" t="n">
        <x:v>0</x:v>
      </x:c>
      <x:c r="BI350" s="43" t="n">
        <x:v>-1</x:v>
      </x:c>
      <x:c r="BJ350" s="43" t="n">
        <x:v>-1</x:v>
      </x:c>
      <x:c r="BK350" s="43" t="n">
        <x:v>15000</x:v>
      </x:c>
      <x:c r="BL350" s="43" t="n">
        <x:v>0</x:v>
      </x:c>
      <x:c r="BM350" s="44" t="str">
        <x:v>{"HitCountRam":5945895,"Composite.HitCountRam":5945895,"HitCountAux":0,"Composite.HitCountAux":0,"Put Count":15000,"Memory Cache.Put Count":15000,"Hit Count":5945895,"Memory Cache.Hit Count":5945895,"Miss Count":311513,"Memory Cache.Miss Count":311513,"Map Size":10000,"Memory Cache.Map Size":10000,"List Size":10000,"Memory Cache.List Size":10000}</x:v>
      </x:c>
    </x:row>
    <x:row r="351">
      <x:c r="A351" s="34" t="str">
        <x:v>article1-unified-v4-2-fb3f101b-20260903-000401-default-f06-p5-jcs4</x:v>
      </x:c>
      <x:c r="B351" s="34" t="str">
        <x:v>default</x:v>
      </x:c>
      <x:c r="C351" s="34" t="str">
        <x:v>jcs4</x:v>
      </x:c>
      <x:c r="D351" s="34" t="str">
        <x:v>jcs4</x:v>
      </x:c>
      <x:c r="E351" s="34" t="str">
        <x:v>current-provider-primary-comparison</x:v>
      </x:c>
      <x:c r="F351" s="36" t="n">
        <x:v>6</x:v>
      </x:c>
      <x:c r="G351" s="36" t="n">
        <x:v>6</x:v>
      </x:c>
      <x:c r="H351" s="36" t="n">
        <x:v>5</x:v>
      </x:c>
      <x:c r="I351" s="36" t="n">
        <x:v>5</x:v>
      </x:c>
      <x:c r="J351" s="34" t="str">
        <x:v>redeploy</x:v>
      </x:c>
      <x:c r="K351" s="34" t="str">
        <x:v>cache-semantics</x:v>
      </x:c>
      <x:c r="L351" s="45" t="b">
        <x:v>1</x:v>
      </x:c>
      <x:c r="M351" s="36" t="n">
        <x:v>666294704</x:v>
      </x:c>
      <x:c r="N351" s="34" t="str">
        <x:v>2d37790d1dcdaa2a0296dbfb67d742e82e2643aa9d8bec35c7958bc4847abfa8</x:v>
      </x:c>
      <x:c r="O351" s="43" t="n">
        <x:v>10000</x:v>
      </x:c>
      <x:c r="P351" s="43" t="n">
        <x:v>400000</x:v>
      </x:c>
      <x:c r="Q351" s="36" t="n">
        <x:v>8</x:v>
      </x:c>
      <x:c r="R351" s="42" t="n">
        <x:v>95</x:v>
      </x:c>
      <x:c r="S351" s="43" t="n">
        <x:v>512</x:v>
      </x:c>
      <x:c r="T351" s="43" t="n">
        <x:v>50000</x:v>
      </x:c>
      <x:c r="U351" s="46" t="n">
        <x:v>3</x:v>
      </x:c>
      <x:c r="V351" s="46" t="n">
        <x:v>5</x:v>
      </x:c>
      <x:c r="W351" s="43" t="n">
        <x:v>300</x:v>
      </x:c>
      <x:c r="X351" s="34" t="str">
        <x:v>uniform</x:v>
      </x:c>
      <x:c r="Y351" s="42" t="n">
        <x:v>10</x:v>
      </x:c>
      <x:c r="Z351" s="34" t="str">
        <x:v>strict</x:v>
      </x:c>
      <x:c r="AA351" s="36" t="n">
        <x:v>64</x:v>
      </x:c>
      <x:c r="AB351" s="43" t="n">
        <x:v>2969600</x:v>
      </x:c>
      <x:c r="AC351" s="43" t="n">
        <x:v>3000883732</x:v>
      </x:c>
      <x:c r="AD351" s="43" t="n">
        <x:v>883732</x:v>
      </x:c>
      <x:c r="AE351" s="43" t="n">
        <x:v>4165911.5951900384</x:v>
      </x:c>
      <x:c r="AF351" s="43" t="n">
        <x:v>1225278.61796912</x:v>
      </x:c>
      <x:c r="AG351" s="43" t="n">
        <x:v>6127616</x:v>
      </x:c>
      <x:c r="AH351" s="43" t="n">
        <x:v>5000998067</x:v>
      </x:c>
      <x:c r="AI351" s="43" t="n">
        <x:v>998067</x:v>
      </x:c>
      <x:c r="AJ351" s="43" t="n">
        <x:v>1225278.61796912</x:v>
      </x:c>
      <x:c r="AK351" s="43" t="n">
        <x:v>6127616</x:v>
      </x:c>
      <x:c r="AL351" s="43" t="n">
        <x:v>0</x:v>
      </x:c>
      <x:c r="AM351" s="43" t="n">
        <x:v>495538.56717203674</x:v>
      </x:c>
      <x:c r="AN351" s="43" t="n">
        <x:v>351</x:v>
      </x:c>
      <x:c r="AO351" s="43" t="n">
        <x:v>1293</x:v>
      </x:c>
      <x:c r="AP351" s="43" t="n">
        <x:v>264996</x:v>
      </x:c>
      <x:c r="AQ351" s="43" t="n">
        <x:v>95744</x:v>
      </x:c>
      <x:c r="AR351" s="43" t="n">
        <x:v>1</x:v>
      </x:c>
      <x:c r="AS351" s="45" t="b">
        <x:v>1</x:v>
      </x:c>
      <x:c r="AT351" s="43" t="n">
        <x:v>10000</x:v>
      </x:c>
      <x:c r="AU351" s="48" t="n">
        <x:v>0.9502113056692848</x:v>
      </x:c>
      <x:c r="AV351" s="43" t="n">
        <x:v>10000</x:v>
      </x:c>
      <x:c r="AW351" s="48" t="n">
        <x:v>0.9502113056692848</x:v>
      </x:c>
      <x:c r="AX351" s="45" t="b">
        <x:v>1</x:v>
      </x:c>
      <x:c r="AY351" s="44" t="str">
        <x:v>{"provider":"jcs4","currentEntries":10000,"requestCount":6127616,"hitCount":5822530,"missCount":305086,"hitRate":0.9502113056692848,"loadSuccessCount":0,"loadFailureCount":0,"totalLoadTimeNanos":0,"evictionCount":-1,"expirationCount":-1,"putCount":10000,"removeCount":0,"nativeMetrics":{"HitCountRam":5822530,"Composite.HitCountRam":5822530,"HitCountAux":0,"Composite.HitCountAux":0,"Put Count":10000,"Memory Cache.Put Count":10000,"Hit Count":5822530,"Memory Cache.Hit Count":5822530,"Miss Count":305086,"Memory Cache.Miss Count":305086,"Map Size":10000,"Memory Cache.Map Size":10000,"List Size":10000,"Memory Cache.List Size":10000}}</x:v>
      </x:c>
      <x:c r="AZ351" s="44" t="str">
        <x:v>{"provider":"jcs4","currentEntries":10000,"requestCount":6127616,"hitCount":5822530,"missCount":305086,"hitRate":0.9502113056692848,"loadSuccessCount":0,"loadFailureCount":0,"totalLoadTimeNanos":0,"evictionCount":-1,"expirationCount":-1,"putCount":15000,"removeCount":0,"nativeMetrics":{"HitCountRam":5822530,"Composite.HitCountRam":5822530,"HitCountAux":0,"Composite.HitCountAux":0,"Put Count":15000,"Memory Cache.Put Count":15000,"Hit Count":5822530,"Memory Cache.Hit Count":5822530,"Miss Count":305086,"Memory Cache.Miss Count":305086,"Map Size":10000,"Memory Cache.Map Size":10000,"List Size":10000,"Memory Cache.List Size":10000}}</x:v>
      </x:c>
      <x:c r="BA351" s="43" t="n">
        <x:v>10000</x:v>
      </x:c>
      <x:c r="BB351" s="43" t="n">
        <x:v>6127616</x:v>
      </x:c>
      <x:c r="BC351" s="43" t="n">
        <x:v>5822530</x:v>
      </x:c>
      <x:c r="BD351" s="43" t="n">
        <x:v>305086</x:v>
      </x:c>
      <x:c r="BE351" s="48" t="n">
        <x:v>0.9502113056692848</x:v>
      </x:c>
      <x:c r="BF351" s="43" t="n">
        <x:v>0</x:v>
      </x:c>
      <x:c r="BG351" s="43" t="n">
        <x:v>0</x:v>
      </x:c>
      <x:c r="BH351" s="43" t="n">
        <x:v>0</x:v>
      </x:c>
      <x:c r="BI351" s="43" t="n">
        <x:v>-1</x:v>
      </x:c>
      <x:c r="BJ351" s="43" t="n">
        <x:v>-1</x:v>
      </x:c>
      <x:c r="BK351" s="43" t="n">
        <x:v>15000</x:v>
      </x:c>
      <x:c r="BL351" s="43" t="n">
        <x:v>0</x:v>
      </x:c>
      <x:c r="BM351" s="44" t="str">
        <x:v>{"HitCountRam":5822530,"Composite.HitCountRam":5822530,"HitCountAux":0,"Composite.HitCountAux":0,"Put Count":15000,"Memory Cache.Put Count":15000,"Hit Count":5822530,"Memory Cache.Hit Count":5822530,"Miss Count":305086,"Memory Cache.Miss Count":305086,"Map Size":10000,"Memory Cache.Map Size":10000,"List Size":10000,"Memory Cache.List Size":10000}</x:v>
      </x:c>
    </x:row>
    <x:row r="352">
      <x:c r="A352" s="34" t="str">
        <x:v>article1-unified-v4-2-fb3f101b-20260903-000401-default-f06-p6-cache2k</x:v>
      </x:c>
      <x:c r="B352" s="34" t="str">
        <x:v>default</x:v>
      </x:c>
      <x:c r="C352" s="34" t="str">
        <x:v>cache2k</x:v>
      </x:c>
      <x:c r="D352" s="34" t="str">
        <x:v>cache2k</x:v>
      </x:c>
      <x:c r="E352" s="34" t="str">
        <x:v>current-provider-primary-comparison</x:v>
      </x:c>
      <x:c r="F352" s="36" t="n">
        <x:v>6</x:v>
      </x:c>
      <x:c r="G352" s="36" t="n">
        <x:v>6</x:v>
      </x:c>
      <x:c r="H352" s="36" t="n">
        <x:v>6</x:v>
      </x:c>
      <x:c r="I352" s="36" t="n">
        <x:v>1</x:v>
      </x:c>
      <x:c r="J352" s="34" t="str">
        <x:v>initial</x:v>
      </x:c>
      <x:c r="K352" s="34" t="str">
        <x:v>cache-semantics</x:v>
      </x:c>
      <x:c r="L352" s="45" t="b">
        <x:v>1</x:v>
      </x:c>
      <x:c r="M352" s="36" t="n">
        <x:v>927914527</x:v>
      </x:c>
      <x:c r="N352" s="34" t="str">
        <x:v>7a0b70d8daf7dcbd235b9a1f729db348ce24c4865cb3e23ae17472baf92df172</x:v>
      </x:c>
      <x:c r="O352" s="43" t="n">
        <x:v>10000</x:v>
      </x:c>
      <x:c r="P352" s="43" t="n">
        <x:v>400000</x:v>
      </x:c>
      <x:c r="Q352" s="36" t="n">
        <x:v>8</x:v>
      </x:c>
      <x:c r="R352" s="42" t="n">
        <x:v>95</x:v>
      </x:c>
      <x:c r="S352" s="43" t="n">
        <x:v>512</x:v>
      </x:c>
      <x:c r="T352" s="43" t="n">
        <x:v>50000</x:v>
      </x:c>
      <x:c r="U352" s="46" t="n">
        <x:v>3</x:v>
      </x:c>
      <x:c r="V352" s="46" t="n">
        <x:v>5</x:v>
      </x:c>
      <x:c r="W352" s="43" t="n">
        <x:v>300</x:v>
      </x:c>
      <x:c r="X352" s="34" t="str">
        <x:v>uniform</x:v>
      </x:c>
      <x:c r="Y352" s="42" t="n">
        <x:v>10</x:v>
      </x:c>
      <x:c r="Z352" s="34" t="str">
        <x:v>strict</x:v>
      </x:c>
      <x:c r="AA352" s="36" t="n">
        <x:v>64</x:v>
      </x:c>
      <x:c r="AB352" s="43" t="n">
        <x:v>98387200</x:v>
      </x:c>
      <x:c r="AC352" s="43" t="n">
        <x:v>3043282437</x:v>
      </x:c>
      <x:c r="AD352" s="43" t="n">
        <x:v>43282437</x:v>
      </x:c>
      <x:c r="AE352" s="43" t="n">
        <x:v>1615048.113898361</x:v>
      </x:c>
      <x:c r="AF352" s="43" t="n">
        <x:v>31712956.787453387</x:v>
      </x:c>
      <x:c r="AG352" s="43" t="n">
        <x:v>158683648</x:v>
      </x:c>
      <x:c r="AH352" s="43" t="n">
        <x:v>5003748123</x:v>
      </x:c>
      <x:c r="AI352" s="43" t="n">
        <x:v>3748123</x:v>
      </x:c>
      <x:c r="AJ352" s="43" t="n">
        <x:v>31712956.787453387</x:v>
      </x:c>
      <x:c r="AK352" s="43" t="n">
        <x:v>158683648</x:v>
      </x:c>
      <x:c r="AL352" s="43" t="n">
        <x:v>0</x:v>
      </x:c>
      <x:c r="AM352" s="43" t="n">
        <x:v>409150.67112575436</x:v>
      </x:c>
      <x:c r="AN352" s="43" t="n">
        <x:v>140</x:v>
      </x:c>
      <x:c r="AO352" s="43" t="n">
        <x:v>311</x:v>
      </x:c>
      <x:c r="AP352" s="43" t="n">
        <x:v>481</x:v>
      </x:c>
      <x:c r="AQ352" s="43" t="n">
        <x:v>2479432</x:v>
      </x:c>
      <x:c r="AR352" s="43" t="n">
        <x:v>1</x:v>
      </x:c>
      <x:c r="AS352" s="45" t="b">
        <x:v>1</x:v>
      </x:c>
      <x:c r="AT352" s="43" t="n">
        <x:v>9979</x:v>
      </x:c>
      <x:c r="AU352" s="48" t="n">
        <x:v>0.9482282761737366</x:v>
      </x:c>
      <x:c r="AV352" s="43" t="n">
        <x:v>9995</x:v>
      </x:c>
      <x:c r="AW352" s="48" t="n">
        <x:v>0.9482282761737366</x:v>
      </x:c>
      <x:c r="AX352" s="45" t="b">
        <x:v>1</x:v>
      </x:c>
      <x:c r="AY352" s="44" t="str">
        <x:v>{"provider":"cache2k","currentEntries":9979,"requestCount":158683648,"hitCount":150468322,"missCount":8215326,"hitRate":0.9482282761737366,"loadSuccessCount":0,"loadFailureCount":0,"totalLoadTimeNanos":0,"evictionCount":21,"expirationCount":0,"putCount":10000,"removeCount":0,"nativeMetrics":{"getCount":158683648,"missCount":8215326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2" s="44" t="str">
        <x:v>{"provider":"cache2k","currentEntries":9995,"requestCount":158683648,"hitCount":150468322,"missCount":8215326,"hitRate":0.9482282761737366,"loadSuccessCount":0,"loadFailureCount":0,"totalLoadTimeNanos":0,"evictionCount":5005,"expirationCount":0,"putCount":15000,"removeCount":0,"nativeMetrics":{"getCount":158683648,"missCount":8215326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352" s="43" t="n">
        <x:v>9995</x:v>
      </x:c>
      <x:c r="BB352" s="43" t="n">
        <x:v>158683648</x:v>
      </x:c>
      <x:c r="BC352" s="43" t="n">
        <x:v>150468322</x:v>
      </x:c>
      <x:c r="BD352" s="43" t="n">
        <x:v>8215326</x:v>
      </x:c>
      <x:c r="BE352" s="48" t="n">
        <x:v>0.9482282761737366</x:v>
      </x:c>
      <x:c r="BF352" s="43" t="n">
        <x:v>0</x:v>
      </x:c>
      <x:c r="BG352" s="43" t="n">
        <x:v>0</x:v>
      </x:c>
      <x:c r="BH352" s="43" t="n">
        <x:v>0</x:v>
      </x:c>
      <x:c r="BI352" s="43" t="n">
        <x:v>5005</x:v>
      </x:c>
      <x:c r="BJ352" s="43" t="n">
        <x:v>0</x:v>
      </x:c>
      <x:c r="BK352" s="43" t="n">
        <x:v>15000</x:v>
      </x:c>
      <x:c r="BL352" s="43" t="n">
        <x:v>0</x:v>
      </x:c>
      <x:c r="BM352" s="44" t="str">
        <x:v>{"getCount":158683648,"missCount":8215326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353">
      <x:c r="A353" s="34" t="str">
        <x:v>article1-unified-v4-2-fb3f101b-20260903-000401-default-f06-p6-cache2k</x:v>
      </x:c>
      <x:c r="B353" s="34" t="str">
        <x:v>default</x:v>
      </x:c>
      <x:c r="C353" s="34" t="str">
        <x:v>cache2k</x:v>
      </x:c>
      <x:c r="D353" s="34" t="str">
        <x:v>cache2k</x:v>
      </x:c>
      <x:c r="E353" s="34" t="str">
        <x:v>current-provider-primary-comparison</x:v>
      </x:c>
      <x:c r="F353" s="36" t="n">
        <x:v>6</x:v>
      </x:c>
      <x:c r="G353" s="36" t="n">
        <x:v>6</x:v>
      </x:c>
      <x:c r="H353" s="36" t="n">
        <x:v>6</x:v>
      </x:c>
      <x:c r="I353" s="36" t="n">
        <x:v>1</x:v>
      </x:c>
      <x:c r="J353" s="34" t="str">
        <x:v>redeploy</x:v>
      </x:c>
      <x:c r="K353" s="34" t="str">
        <x:v>cache-semantics</x:v>
      </x:c>
      <x:c r="L353" s="45" t="b">
        <x:v>1</x:v>
      </x:c>
      <x:c r="M353" s="36" t="n">
        <x:v>927914527</x:v>
      </x:c>
      <x:c r="N353" s="34" t="str">
        <x:v>7a0b70d8daf7dcbd235b9a1f729db348ce24c4865cb3e23ae17472baf92df172</x:v>
      </x:c>
      <x:c r="O353" s="43" t="n">
        <x:v>10000</x:v>
      </x:c>
      <x:c r="P353" s="43" t="n">
        <x:v>400000</x:v>
      </x:c>
      <x:c r="Q353" s="36" t="n">
        <x:v>8</x:v>
      </x:c>
      <x:c r="R353" s="42" t="n">
        <x:v>95</x:v>
      </x:c>
      <x:c r="S353" s="43" t="n">
        <x:v>512</x:v>
      </x:c>
      <x:c r="T353" s="43" t="n">
        <x:v>50000</x:v>
      </x:c>
      <x:c r="U353" s="46" t="n">
        <x:v>3</x:v>
      </x:c>
      <x:c r="V353" s="46" t="n">
        <x:v>5</x:v>
      </x:c>
      <x:c r="W353" s="43" t="n">
        <x:v>300</x:v>
      </x:c>
      <x:c r="X353" s="34" t="str">
        <x:v>uniform</x:v>
      </x:c>
      <x:c r="Y353" s="42" t="n">
        <x:v>10</x:v>
      </x:c>
      <x:c r="Z353" s="34" t="str">
        <x:v>strict</x:v>
      </x:c>
      <x:c r="AA353" s="36" t="n">
        <x:v>64</x:v>
      </x:c>
      <x:c r="AB353" s="43" t="n">
        <x:v>93634560</x:v>
      </x:c>
      <x:c r="AC353" s="43" t="n">
        <x:v>3001271032</x:v>
      </x:c>
      <x:c r="AD353" s="43" t="n">
        <x:v>1271032</x:v>
      </x:c>
      <x:c r="AE353" s="43" t="n">
        <x:v>2167641.9610396703</x:v>
      </x:c>
      <x:c r="AF353" s="43" t="n">
        <x:v>31469206.09545471</x:v>
      </x:c>
      <x:c r="AG353" s="43" t="n">
        <x:v>157430272</x:v>
      </x:c>
      <x:c r="AH353" s="43" t="n">
        <x:v>5002676951</x:v>
      </x:c>
      <x:c r="AI353" s="43" t="n">
        <x:v>2676951</x:v>
      </x:c>
      <x:c r="AJ353" s="43" t="n">
        <x:v>31469206.09545471</x:v>
      </x:c>
      <x:c r="AK353" s="43" t="n">
        <x:v>157430272</x:v>
      </x:c>
      <x:c r="AL353" s="43" t="n">
        <x:v>0</x:v>
      </x:c>
      <x:c r="AM353" s="43" t="n">
        <x:v>580128.5100675501</x:v>
      </x:c>
      <x:c r="AN353" s="43" t="n">
        <x:v>140</x:v>
      </x:c>
      <x:c r="AO353" s="43" t="n">
        <x:v>311</x:v>
      </x:c>
      <x:c r="AP353" s="43" t="n">
        <x:v>501</x:v>
      </x:c>
      <x:c r="AQ353" s="43" t="n">
        <x:v>2459848</x:v>
      </x:c>
      <x:c r="AR353" s="43" t="n">
        <x:v>1</x:v>
      </x:c>
      <x:c r="AS353" s="45" t="b">
        <x:v>1</x:v>
      </x:c>
      <x:c r="AT353" s="43" t="n">
        <x:v>9979</x:v>
      </x:c>
      <x:c r="AU353" s="48" t="n">
        <x:v>0.9482261518293</x:v>
      </x:c>
      <x:c r="AV353" s="43" t="n">
        <x:v>9994</x:v>
      </x:c>
      <x:c r="AW353" s="48" t="n">
        <x:v>0.9482261518293</x:v>
      </x:c>
      <x:c r="AX353" s="45" t="b">
        <x:v>1</x:v>
      </x:c>
      <x:c r="AY353" s="44" t="str">
        <x:v>{"provider":"cache2k","currentEntries":9979,"requestCount":157430272,"hitCount":149279501,"missCount":8150771,"hitRate":0.9482261518293,"loadSuccessCount":0,"loadFailureCount":0,"totalLoadTimeNanos":0,"evictionCount":21,"expirationCount":0,"putCount":10000,"removeCount":0,"nativeMetrics":{"getCount":157430272,"missCount":8150771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3" s="44" t="str">
        <x:v>{"provider":"cache2k","currentEntries":9994,"requestCount":157430272,"hitCount":149279501,"missCount":8150771,"hitRate":0.9482261518293,"loadSuccessCount":0,"loadFailureCount":0,"totalLoadTimeNanos":0,"evictionCount":5006,"expirationCount":0,"putCount":15000,"removeCount":0,"nativeMetrics":{"getCount":157430272,"missCount":8150771,"loadCount":0,"loadExceptionCount":0,"suppressedLoadExceptionCount":0,"refreshCount":0,"refreshFailedCount":0,"refreshedHitCount":0,"expiredCount":0,"evictedCount":5006,"putCount":15000,"removeCount":0,"keyMutationCount":0,"totalLoadMillis":0}}</x:v>
      </x:c>
      <x:c r="BA353" s="43" t="n">
        <x:v>9994</x:v>
      </x:c>
      <x:c r="BB353" s="43" t="n">
        <x:v>157430272</x:v>
      </x:c>
      <x:c r="BC353" s="43" t="n">
        <x:v>149279501</x:v>
      </x:c>
      <x:c r="BD353" s="43" t="n">
        <x:v>8150771</x:v>
      </x:c>
      <x:c r="BE353" s="48" t="n">
        <x:v>0.9482261518293</x:v>
      </x:c>
      <x:c r="BF353" s="43" t="n">
        <x:v>0</x:v>
      </x:c>
      <x:c r="BG353" s="43" t="n">
        <x:v>0</x:v>
      </x:c>
      <x:c r="BH353" s="43" t="n">
        <x:v>0</x:v>
      </x:c>
      <x:c r="BI353" s="43" t="n">
        <x:v>5006</x:v>
      </x:c>
      <x:c r="BJ353" s="43" t="n">
        <x:v>0</x:v>
      </x:c>
      <x:c r="BK353" s="43" t="n">
        <x:v>15000</x:v>
      </x:c>
      <x:c r="BL353" s="43" t="n">
        <x:v>0</x:v>
      </x:c>
      <x:c r="BM353" s="44" t="str">
        <x:v>{"getCount":157430272,"missCount":8150771,"loadCount":0,"loadExceptionCount":0,"suppressedLoadExceptionCount":0,"refreshCount":0,"refreshFailedCount":0,"refreshedHitCount":0,"expiredCount":0,"evictedCount":5006,"putCount":15000,"removeCount":0,"keyMutationCount":0,"totalLoadMillis":0}</x:v>
      </x:c>
    </x:row>
    <x:row r="354">
      <x:c r="A354" s="34" t="str">
        <x:v>article1-unified-v4-2-fb3f101b-20260903-000401-default-f06-p6-cache2k</x:v>
      </x:c>
      <x:c r="B354" s="34" t="str">
        <x:v>default</x:v>
      </x:c>
      <x:c r="C354" s="34" t="str">
        <x:v>cache2k</x:v>
      </x:c>
      <x:c r="D354" s="34" t="str">
        <x:v>cache2k</x:v>
      </x:c>
      <x:c r="E354" s="34" t="str">
        <x:v>current-provider-primary-comparison</x:v>
      </x:c>
      <x:c r="F354" s="36" t="n">
        <x:v>6</x:v>
      </x:c>
      <x:c r="G354" s="36" t="n">
        <x:v>6</x:v>
      </x:c>
      <x:c r="H354" s="36" t="n">
        <x:v>6</x:v>
      </x:c>
      <x:c r="I354" s="36" t="n">
        <x:v>2</x:v>
      </x:c>
      <x:c r="J354" s="34" t="str">
        <x:v>initial</x:v>
      </x:c>
      <x:c r="K354" s="34" t="str">
        <x:v>cache-semantics</x:v>
      </x:c>
      <x:c r="L354" s="45" t="b">
        <x:v>1</x:v>
      </x:c>
      <x:c r="M354" s="36" t="n">
        <x:v>977482916</x:v>
      </x:c>
      <x:c r="N354" s="34" t="str">
        <x:v>fbef1bb91de564b9301b3368c99f514c400bd26d86d0deae91aa8f63ce424d4c</x:v>
      </x:c>
      <x:c r="O354" s="43" t="n">
        <x:v>10000</x:v>
      </x:c>
      <x:c r="P354" s="43" t="n">
        <x:v>400000</x:v>
      </x:c>
      <x:c r="Q354" s="36" t="n">
        <x:v>8</x:v>
      </x:c>
      <x:c r="R354" s="42" t="n">
        <x:v>95</x:v>
      </x:c>
      <x:c r="S354" s="43" t="n">
        <x:v>512</x:v>
      </x:c>
      <x:c r="T354" s="43" t="n">
        <x:v>50000</x:v>
      </x:c>
      <x:c r="U354" s="46" t="n">
        <x:v>3</x:v>
      </x:c>
      <x:c r="V354" s="46" t="n">
        <x:v>5</x:v>
      </x:c>
      <x:c r="W354" s="43" t="n">
        <x:v>300</x:v>
      </x:c>
      <x:c r="X354" s="34" t="str">
        <x:v>uniform</x:v>
      </x:c>
      <x:c r="Y354" s="42" t="n">
        <x:v>10</x:v>
      </x:c>
      <x:c r="Z354" s="34" t="str">
        <x:v>strict</x:v>
      </x:c>
      <x:c r="AA354" s="36" t="n">
        <x:v>64</x:v>
      </x:c>
      <x:c r="AB354" s="43" t="n">
        <x:v>94683648</x:v>
      </x:c>
      <x:c r="AC354" s="43" t="n">
        <x:v>3000548616</x:v>
      </x:c>
      <x:c r="AD354" s="43" t="n">
        <x:v>548616</x:v>
      </x:c>
      <x:c r="AE354" s="43" t="n">
        <x:v>2311402.2861617734</x:v>
      </x:c>
      <x:c r="AF354" s="43" t="n">
        <x:v>31011321.580351792</x:v>
      </x:c>
      <x:c r="AG354" s="43" t="n">
        <x:v>155133696</x:v>
      </x:c>
      <x:c r="AH354" s="43" t="n">
        <x:v>5002485805</x:v>
      </x:c>
      <x:c r="AI354" s="43" t="n">
        <x:v>2485805</x:v>
      </x:c>
      <x:c r="AJ354" s="43" t="n">
        <x:v>31011321.580351792</x:v>
      </x:c>
      <x:c r="AK354" s="43" t="n">
        <x:v>155133696</x:v>
      </x:c>
      <x:c r="AL354" s="43" t="n">
        <x:v>0</x:v>
      </x:c>
      <x:c r="AM354" s="43" t="n">
        <x:v>482391.5041208294</x:v>
      </x:c>
      <x:c r="AN354" s="43" t="n">
        <x:v>141</x:v>
      </x:c>
      <x:c r="AO354" s="43" t="n">
        <x:v>321</x:v>
      </x:c>
      <x:c r="AP354" s="43" t="n">
        <x:v>501</x:v>
      </x:c>
      <x:c r="AQ354" s="43" t="n">
        <x:v>2423964</x:v>
      </x:c>
      <x:c r="AR354" s="43" t="n">
        <x:v>1</x:v>
      </x:c>
      <x:c r="AS354" s="45" t="b">
        <x:v>1</x:v>
      </x:c>
      <x:c r="AT354" s="43" t="n">
        <x:v>9979</x:v>
      </x:c>
      <x:c r="AU354" s="48" t="n">
        <x:v>0.9478730075508547</x:v>
      </x:c>
      <x:c r="AV354" s="43" t="n">
        <x:v>9992</x:v>
      </x:c>
      <x:c r="AW354" s="48" t="n">
        <x:v>0.9478730075508547</x:v>
      </x:c>
      <x:c r="AX354" s="45" t="b">
        <x:v>1</x:v>
      </x:c>
      <x:c r="AY354" s="44" t="str">
        <x:v>{"provider":"cache2k","currentEntries":9979,"requestCount":155133696,"hitCount":147047043,"missCount":8086653,"hitRate":0.9478730075508547,"loadSuccessCount":0,"loadFailureCount":0,"totalLoadTimeNanos":0,"evictionCount":21,"expirationCount":0,"putCount":10000,"removeCount":0,"nativeMetrics":{"getCount":155133696,"missCount":8086653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4" s="44" t="str">
        <x:v>{"provider":"cache2k","currentEntries":9992,"requestCount":155133696,"hitCount":147047043,"missCount":8086653,"hitRate":0.9478730075508547,"loadSuccessCount":0,"loadFailureCount":0,"totalLoadTimeNanos":0,"evictionCount":5008,"expirationCount":0,"putCount":15000,"removeCount":0,"nativeMetrics":{"getCount":155133696,"missCount":8086653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354" s="43" t="n">
        <x:v>9992</x:v>
      </x:c>
      <x:c r="BB354" s="43" t="n">
        <x:v>155133696</x:v>
      </x:c>
      <x:c r="BC354" s="43" t="n">
        <x:v>147047043</x:v>
      </x:c>
      <x:c r="BD354" s="43" t="n">
        <x:v>8086653</x:v>
      </x:c>
      <x:c r="BE354" s="48" t="n">
        <x:v>0.9478730075508547</x:v>
      </x:c>
      <x:c r="BF354" s="43" t="n">
        <x:v>0</x:v>
      </x:c>
      <x:c r="BG354" s="43" t="n">
        <x:v>0</x:v>
      </x:c>
      <x:c r="BH354" s="43" t="n">
        <x:v>0</x:v>
      </x:c>
      <x:c r="BI354" s="43" t="n">
        <x:v>5008</x:v>
      </x:c>
      <x:c r="BJ354" s="43" t="n">
        <x:v>0</x:v>
      </x:c>
      <x:c r="BK354" s="43" t="n">
        <x:v>15000</x:v>
      </x:c>
      <x:c r="BL354" s="43" t="n">
        <x:v>0</x:v>
      </x:c>
      <x:c r="BM354" s="44" t="str">
        <x:v>{"getCount":155133696,"missCount":8086653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355">
      <x:c r="A355" s="34" t="str">
        <x:v>article1-unified-v4-2-fb3f101b-20260903-000401-default-f06-p6-cache2k</x:v>
      </x:c>
      <x:c r="B355" s="34" t="str">
        <x:v>default</x:v>
      </x:c>
      <x:c r="C355" s="34" t="str">
        <x:v>cache2k</x:v>
      </x:c>
      <x:c r="D355" s="34" t="str">
        <x:v>cache2k</x:v>
      </x:c>
      <x:c r="E355" s="34" t="str">
        <x:v>current-provider-primary-comparison</x:v>
      </x:c>
      <x:c r="F355" s="36" t="n">
        <x:v>6</x:v>
      </x:c>
      <x:c r="G355" s="36" t="n">
        <x:v>6</x:v>
      </x:c>
      <x:c r="H355" s="36" t="n">
        <x:v>6</x:v>
      </x:c>
      <x:c r="I355" s="36" t="n">
        <x:v>2</x:v>
      </x:c>
      <x:c r="J355" s="34" t="str">
        <x:v>redeploy</x:v>
      </x:c>
      <x:c r="K355" s="34" t="str">
        <x:v>cache-semantics</x:v>
      </x:c>
      <x:c r="L355" s="45" t="b">
        <x:v>1</x:v>
      </x:c>
      <x:c r="M355" s="36" t="n">
        <x:v>977482916</x:v>
      </x:c>
      <x:c r="N355" s="34" t="str">
        <x:v>fbef1bb91de564b9301b3368c99f514c400bd26d86d0deae91aa8f63ce424d4c</x:v>
      </x:c>
      <x:c r="O355" s="43" t="n">
        <x:v>10000</x:v>
      </x:c>
      <x:c r="P355" s="43" t="n">
        <x:v>400000</x:v>
      </x:c>
      <x:c r="Q355" s="36" t="n">
        <x:v>8</x:v>
      </x:c>
      <x:c r="R355" s="42" t="n">
        <x:v>95</x:v>
      </x:c>
      <x:c r="S355" s="43" t="n">
        <x:v>512</x:v>
      </x:c>
      <x:c r="T355" s="43" t="n">
        <x:v>50000</x:v>
      </x:c>
      <x:c r="U355" s="46" t="n">
        <x:v>3</x:v>
      </x:c>
      <x:c r="V355" s="46" t="n">
        <x:v>5</x:v>
      </x:c>
      <x:c r="W355" s="43" t="n">
        <x:v>300</x:v>
      </x:c>
      <x:c r="X355" s="34" t="str">
        <x:v>uniform</x:v>
      </x:c>
      <x:c r="Y355" s="42" t="n">
        <x:v>10</x:v>
      </x:c>
      <x:c r="Z355" s="34" t="str">
        <x:v>strict</x:v>
      </x:c>
      <x:c r="AA355" s="36" t="n">
        <x:v>64</x:v>
      </x:c>
      <x:c r="AB355" s="43" t="n">
        <x:v>98049024</x:v>
      </x:c>
      <x:c r="AC355" s="43" t="n">
        <x:v>3009158189</x:v>
      </x:c>
      <x:c r="AD355" s="43" t="n">
        <x:v>9158189</x:v>
      </x:c>
      <x:c r="AE355" s="43" t="n">
        <x:v>2249989.0875529256</x:v>
      </x:c>
      <x:c r="AF355" s="43" t="n">
        <x:v>31917187.568841245</x:v>
      </x:c>
      <x:c r="AG355" s="43" t="n">
        <x:v>159677952</x:v>
      </x:c>
      <x:c r="AH355" s="43" t="n">
        <x:v>5002882903</x:v>
      </x:c>
      <x:c r="AI355" s="43" t="n">
        <x:v>2882903</x:v>
      </x:c>
      <x:c r="AJ355" s="43" t="n">
        <x:v>31917187.568841245</x:v>
      </x:c>
      <x:c r="AK355" s="43" t="n">
        <x:v>159677952</x:v>
      </x:c>
      <x:c r="AL355" s="43" t="n">
        <x:v>0</x:v>
      </x:c>
      <x:c r="AM355" s="43" t="n">
        <x:v>526281.1657127821</x:v>
      </x:c>
      <x:c r="AN355" s="43" t="n">
        <x:v>141</x:v>
      </x:c>
      <x:c r="AO355" s="43" t="n">
        <x:v>311</x:v>
      </x:c>
      <x:c r="AP355" s="43" t="n">
        <x:v>471</x:v>
      </x:c>
      <x:c r="AQ355" s="43" t="n">
        <x:v>2494968</x:v>
      </x:c>
      <x:c r="AR355" s="43" t="n">
        <x:v>1</x:v>
      </x:c>
      <x:c r="AS355" s="45" t="b">
        <x:v>1</x:v>
      </x:c>
      <x:c r="AT355" s="43" t="n">
        <x:v>9979</x:v>
      </x:c>
      <x:c r="AU355" s="48" t="n">
        <x:v>0.947878583763399</x:v>
      </x:c>
      <x:c r="AV355" s="43" t="n">
        <x:v>9990</x:v>
      </x:c>
      <x:c r="AW355" s="48" t="n">
        <x:v>0.947878583763399</x:v>
      </x:c>
      <x:c r="AX355" s="45" t="b">
        <x:v>1</x:v>
      </x:c>
      <x:c r="AY355" s="44" t="str">
        <x:v>{"provider":"cache2k","currentEntries":9979,"requestCount":159677952,"hitCount":151355311,"missCount":8322641,"hitRate":0.947878583763399,"loadSuccessCount":0,"loadFailureCount":0,"totalLoadTimeNanos":0,"evictionCount":21,"expirationCount":0,"putCount":10000,"removeCount":0,"nativeMetrics":{"getCount":159677952,"missCount":8322641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5" s="44" t="str">
        <x:v>{"provider":"cache2k","currentEntries":9990,"requestCount":159677952,"hitCount":151355311,"missCount":8322641,"hitRate":0.947878583763399,"loadSuccessCount":0,"loadFailureCount":0,"totalLoadTimeNanos":0,"evictionCount":5010,"expirationCount":0,"putCount":15000,"removeCount":0,"nativeMetrics":{"getCount":159677952,"missCount":8322641,"loadCount":0,"loadExceptionCount":0,"suppressedLoadExceptionCount":0,"refreshCount":0,"refreshFailedCount":0,"refreshedHitCount":0,"expiredCount":0,"evictedCount":5010,"putCount":15000,"removeCount":0,"keyMutationCount":0,"totalLoadMillis":0}}</x:v>
      </x:c>
      <x:c r="BA355" s="43" t="n">
        <x:v>9990</x:v>
      </x:c>
      <x:c r="BB355" s="43" t="n">
        <x:v>159677952</x:v>
      </x:c>
      <x:c r="BC355" s="43" t="n">
        <x:v>151355311</x:v>
      </x:c>
      <x:c r="BD355" s="43" t="n">
        <x:v>8322641</x:v>
      </x:c>
      <x:c r="BE355" s="48" t="n">
        <x:v>0.947878583763399</x:v>
      </x:c>
      <x:c r="BF355" s="43" t="n">
        <x:v>0</x:v>
      </x:c>
      <x:c r="BG355" s="43" t="n">
        <x:v>0</x:v>
      </x:c>
      <x:c r="BH355" s="43" t="n">
        <x:v>0</x:v>
      </x:c>
      <x:c r="BI355" s="43" t="n">
        <x:v>5010</x:v>
      </x:c>
      <x:c r="BJ355" s="43" t="n">
        <x:v>0</x:v>
      </x:c>
      <x:c r="BK355" s="43" t="n">
        <x:v>15000</x:v>
      </x:c>
      <x:c r="BL355" s="43" t="n">
        <x:v>0</x:v>
      </x:c>
      <x:c r="BM355" s="44" t="str">
        <x:v>{"getCount":159677952,"missCount":8322641,"loadCount":0,"loadExceptionCount":0,"suppressedLoadExceptionCount":0,"refreshCount":0,"refreshFailedCount":0,"refreshedHitCount":0,"expiredCount":0,"evictedCount":5010,"putCount":15000,"removeCount":0,"keyMutationCount":0,"totalLoadMillis":0}</x:v>
      </x:c>
    </x:row>
    <x:row r="356">
      <x:c r="A356" s="34" t="str">
        <x:v>article1-unified-v4-2-fb3f101b-20260903-000401-default-f06-p6-cache2k</x:v>
      </x:c>
      <x:c r="B356" s="34" t="str">
        <x:v>default</x:v>
      </x:c>
      <x:c r="C356" s="34" t="str">
        <x:v>cache2k</x:v>
      </x:c>
      <x:c r="D356" s="34" t="str">
        <x:v>cache2k</x:v>
      </x:c>
      <x:c r="E356" s="34" t="str">
        <x:v>current-provider-primary-comparison</x:v>
      </x:c>
      <x:c r="F356" s="36" t="n">
        <x:v>6</x:v>
      </x:c>
      <x:c r="G356" s="36" t="n">
        <x:v>6</x:v>
      </x:c>
      <x:c r="H356" s="36" t="n">
        <x:v>6</x:v>
      </x:c>
      <x:c r="I356" s="36" t="n">
        <x:v>3</x:v>
      </x:c>
      <x:c r="J356" s="34" t="str">
        <x:v>initial</x:v>
      </x:c>
      <x:c r="K356" s="34" t="str">
        <x:v>cache-semantics</x:v>
      </x:c>
      <x:c r="L356" s="45" t="b">
        <x:v>1</x:v>
      </x:c>
      <x:c r="M356" s="36" t="n">
        <x:v>1145234224</x:v>
      </x:c>
      <x:c r="N356" s="34" t="str">
        <x:v>6af895c3c09dcc45239d20d59a83e7d7936a4cbc235d171eb415d308df579083</x:v>
      </x:c>
      <x:c r="O356" s="43" t="n">
        <x:v>10000</x:v>
      </x:c>
      <x:c r="P356" s="43" t="n">
        <x:v>400000</x:v>
      </x:c>
      <x:c r="Q356" s="36" t="n">
        <x:v>8</x:v>
      </x:c>
      <x:c r="R356" s="42" t="n">
        <x:v>95</x:v>
      </x:c>
      <x:c r="S356" s="43" t="n">
        <x:v>512</x:v>
      </x:c>
      <x:c r="T356" s="43" t="n">
        <x:v>50000</x:v>
      </x:c>
      <x:c r="U356" s="46" t="n">
        <x:v>3</x:v>
      </x:c>
      <x:c r="V356" s="46" t="n">
        <x:v>5</x:v>
      </x:c>
      <x:c r="W356" s="43" t="n">
        <x:v>300</x:v>
      </x:c>
      <x:c r="X356" s="34" t="str">
        <x:v>uniform</x:v>
      </x:c>
      <x:c r="Y356" s="42" t="n">
        <x:v>10</x:v>
      </x:c>
      <x:c r="Z356" s="34" t="str">
        <x:v>strict</x:v>
      </x:c>
      <x:c r="AA356" s="36" t="n">
        <x:v>64</x:v>
      </x:c>
      <x:c r="AB356" s="43" t="n">
        <x:v>98092800</x:v>
      </x:c>
      <x:c r="AC356" s="43" t="n">
        <x:v>3000466476</x:v>
      </x:c>
      <x:c r="AD356" s="43" t="n">
        <x:v>466476</x:v>
      </x:c>
      <x:c r="AE356" s="43" t="n">
        <x:v>1329851.6045191549</x:v>
      </x:c>
      <x:c r="AF356" s="43" t="n">
        <x:v>31370951.0847551</x:v>
      </x:c>
      <x:c r="AG356" s="43" t="n">
        <x:v>158564608</x:v>
      </x:c>
      <x:c r="AH356" s="43" t="n">
        <x:v>5054504327</x:v>
      </x:c>
      <x:c r="AI356" s="43" t="n">
        <x:v>54504327</x:v>
      </x:c>
      <x:c r="AJ356" s="43" t="n">
        <x:v>31370951.0847551</x:v>
      </x:c>
      <x:c r="AK356" s="43" t="n">
        <x:v>158564608</x:v>
      </x:c>
      <x:c r="AL356" s="43" t="n">
        <x:v>0</x:v>
      </x:c>
      <x:c r="AM356" s="43" t="n">
        <x:v>495777.16839051695</x:v>
      </x:c>
      <x:c r="AN356" s="43" t="n">
        <x:v>140</x:v>
      </x:c>
      <x:c r="AO356" s="43" t="n">
        <x:v>310</x:v>
      </x:c>
      <x:c r="AP356" s="43" t="n">
        <x:v>491</x:v>
      </x:c>
      <x:c r="AQ356" s="43" t="n">
        <x:v>2477572</x:v>
      </x:c>
      <x:c r="AR356" s="43" t="n">
        <x:v>1</x:v>
      </x:c>
      <x:c r="AS356" s="45" t="b">
        <x:v>1</x:v>
      </x:c>
      <x:c r="AT356" s="43" t="n">
        <x:v>9979</x:v>
      </x:c>
      <x:c r="AU356" s="48" t="n">
        <x:v>0.9479895475792429</x:v>
      </x:c>
      <x:c r="AV356" s="43" t="n">
        <x:v>9991</x:v>
      </x:c>
      <x:c r="AW356" s="48" t="n">
        <x:v>0.9479895475792429</x:v>
      </x:c>
      <x:c r="AX356" s="45" t="b">
        <x:v>1</x:v>
      </x:c>
      <x:c r="AY356" s="44" t="str">
        <x:v>{"provider":"cache2k","currentEntries":9979,"requestCount":158564608,"hitCount":150317591,"missCount":8247017,"hitRate":0.9479895475792429,"loadSuccessCount":0,"loadFailureCount":0,"totalLoadTimeNanos":0,"evictionCount":21,"expirationCount":0,"putCount":10000,"removeCount":0,"nativeMetrics":{"getCount":158564608,"missCount":8247017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6" s="44" t="str">
        <x:v>{"provider":"cache2k","currentEntries":9991,"requestCount":158564608,"hitCount":150317591,"missCount":8247017,"hitRate":0.9479895475792429,"loadSuccessCount":0,"loadFailureCount":0,"totalLoadTimeNanos":0,"evictionCount":5009,"expirationCount":0,"putCount":15000,"removeCount":0,"nativeMetrics":{"getCount":158564608,"missCount":8247017,"loadCount":0,"loadExceptionCount":0,"suppressedLoadExceptionCount":0,"refreshCount":0,"refreshFailedCount":0,"refreshedHitCount":0,"expiredCount":0,"evictedCount":5009,"putCount":15000,"removeCount":0,"keyMutationCount":0,"totalLoadMillis":0}}</x:v>
      </x:c>
      <x:c r="BA356" s="43" t="n">
        <x:v>9991</x:v>
      </x:c>
      <x:c r="BB356" s="43" t="n">
        <x:v>158564608</x:v>
      </x:c>
      <x:c r="BC356" s="43" t="n">
        <x:v>150317591</x:v>
      </x:c>
      <x:c r="BD356" s="43" t="n">
        <x:v>8247017</x:v>
      </x:c>
      <x:c r="BE356" s="48" t="n">
        <x:v>0.9479895475792429</x:v>
      </x:c>
      <x:c r="BF356" s="43" t="n">
        <x:v>0</x:v>
      </x:c>
      <x:c r="BG356" s="43" t="n">
        <x:v>0</x:v>
      </x:c>
      <x:c r="BH356" s="43" t="n">
        <x:v>0</x:v>
      </x:c>
      <x:c r="BI356" s="43" t="n">
        <x:v>5009</x:v>
      </x:c>
      <x:c r="BJ356" s="43" t="n">
        <x:v>0</x:v>
      </x:c>
      <x:c r="BK356" s="43" t="n">
        <x:v>15000</x:v>
      </x:c>
      <x:c r="BL356" s="43" t="n">
        <x:v>0</x:v>
      </x:c>
      <x:c r="BM356" s="44" t="str">
        <x:v>{"getCount":158564608,"missCount":8247017,"loadCount":0,"loadExceptionCount":0,"suppressedLoadExceptionCount":0,"refreshCount":0,"refreshFailedCount":0,"refreshedHitCount":0,"expiredCount":0,"evictedCount":5009,"putCount":15000,"removeCount":0,"keyMutationCount":0,"totalLoadMillis":0}</x:v>
      </x:c>
    </x:row>
    <x:row r="357">
      <x:c r="A357" s="34" t="str">
        <x:v>article1-unified-v4-2-fb3f101b-20260903-000401-default-f06-p6-cache2k</x:v>
      </x:c>
      <x:c r="B357" s="34" t="str">
        <x:v>default</x:v>
      </x:c>
      <x:c r="C357" s="34" t="str">
        <x:v>cache2k</x:v>
      </x:c>
      <x:c r="D357" s="34" t="str">
        <x:v>cache2k</x:v>
      </x:c>
      <x:c r="E357" s="34" t="str">
        <x:v>current-provider-primary-comparison</x:v>
      </x:c>
      <x:c r="F357" s="36" t="n">
        <x:v>6</x:v>
      </x:c>
      <x:c r="G357" s="36" t="n">
        <x:v>6</x:v>
      </x:c>
      <x:c r="H357" s="36" t="n">
        <x:v>6</x:v>
      </x:c>
      <x:c r="I357" s="36" t="n">
        <x:v>3</x:v>
      </x:c>
      <x:c r="J357" s="34" t="str">
        <x:v>redeploy</x:v>
      </x:c>
      <x:c r="K357" s="34" t="str">
        <x:v>cache-semantics</x:v>
      </x:c>
      <x:c r="L357" s="45" t="b">
        <x:v>1</x:v>
      </x:c>
      <x:c r="M357" s="36" t="n">
        <x:v>1145234224</x:v>
      </x:c>
      <x:c r="N357" s="34" t="str">
        <x:v>6af895c3c09dcc45239d20d59a83e7d7936a4cbc235d171eb415d308df579083</x:v>
      </x:c>
      <x:c r="O357" s="43" t="n">
        <x:v>10000</x:v>
      </x:c>
      <x:c r="P357" s="43" t="n">
        <x:v>400000</x:v>
      </x:c>
      <x:c r="Q357" s="36" t="n">
        <x:v>8</x:v>
      </x:c>
      <x:c r="R357" s="42" t="n">
        <x:v>95</x:v>
      </x:c>
      <x:c r="S357" s="43" t="n">
        <x:v>512</x:v>
      </x:c>
      <x:c r="T357" s="43" t="n">
        <x:v>50000</x:v>
      </x:c>
      <x:c r="U357" s="46" t="n">
        <x:v>3</x:v>
      </x:c>
      <x:c r="V357" s="46" t="n">
        <x:v>5</x:v>
      </x:c>
      <x:c r="W357" s="43" t="n">
        <x:v>300</x:v>
      </x:c>
      <x:c r="X357" s="34" t="str">
        <x:v>uniform</x:v>
      </x:c>
      <x:c r="Y357" s="42" t="n">
        <x:v>10</x:v>
      </x:c>
      <x:c r="Z357" s="34" t="str">
        <x:v>strict</x:v>
      </x:c>
      <x:c r="AA357" s="36" t="n">
        <x:v>64</x:v>
      </x:c>
      <x:c r="AB357" s="43" t="n">
        <x:v>101907712</x:v>
      </x:c>
      <x:c r="AC357" s="43" t="n">
        <x:v>3045835962</x:v>
      </x:c>
      <x:c r="AD357" s="43" t="n">
        <x:v>45835962</x:v>
      </x:c>
      <x:c r="AE357" s="43" t="n">
        <x:v>2345165.7105816924</x:v>
      </x:c>
      <x:c r="AF357" s="43" t="n">
        <x:v>30864493.069454618</x:v>
      </x:c>
      <x:c r="AG357" s="43" t="n">
        <x:v>154393856</x:v>
      </x:c>
      <x:c r="AH357" s="43" t="n">
        <x:v>5002313035</x:v>
      </x:c>
      <x:c r="AI357" s="43" t="n">
        <x:v>2313035</x:v>
      </x:c>
      <x:c r="AJ357" s="43" t="n">
        <x:v>30864493.069454618</x:v>
      </x:c>
      <x:c r="AK357" s="43" t="n">
        <x:v>154393856</x:v>
      </x:c>
      <x:c r="AL357" s="43" t="n">
        <x:v>0</x:v>
      </x:c>
      <x:c r="AM357" s="43" t="n">
        <x:v>463283.5294273528</x:v>
      </x:c>
      <x:c r="AN357" s="43" t="n">
        <x:v>141</x:v>
      </x:c>
      <x:c r="AO357" s="43" t="n">
        <x:v>330</x:v>
      </x:c>
      <x:c r="AP357" s="43" t="n">
        <x:v>501</x:v>
      </x:c>
      <x:c r="AQ357" s="43" t="n">
        <x:v>2412404</x:v>
      </x:c>
      <x:c r="AR357" s="43" t="n">
        <x:v>1</x:v>
      </x:c>
      <x:c r="AS357" s="45" t="b">
        <x:v>1</x:v>
      </x:c>
      <x:c r="AT357" s="43" t="n">
        <x:v>9979</x:v>
      </x:c>
      <x:c r="AU357" s="48" t="n">
        <x:v>0.9479854301974296</x:v>
      </x:c>
      <x:c r="AV357" s="43" t="n">
        <x:v>9992</x:v>
      </x:c>
      <x:c r="AW357" s="48" t="n">
        <x:v>0.9479854301974296</x:v>
      </x:c>
      <x:c r="AX357" s="45" t="b">
        <x:v>1</x:v>
      </x:c>
      <x:c r="AY357" s="44" t="str">
        <x:v>{"provider":"cache2k","currentEntries":9979,"requestCount":154393856,"hitCount":146363126,"missCount":8030730,"hitRate":0.9479854301974296,"loadSuccessCount":0,"loadFailureCount":0,"totalLoadTimeNanos":0,"evictionCount":21,"expirationCount":0,"putCount":10000,"removeCount":0,"nativeMetrics":{"getCount":154393856,"missCount":8030730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7" s="44" t="str">
        <x:v>{"provider":"cache2k","currentEntries":9992,"requestCount":154393856,"hitCount":146363126,"missCount":8030730,"hitRate":0.9479854301974296,"loadSuccessCount":0,"loadFailureCount":0,"totalLoadTimeNanos":0,"evictionCount":5008,"expirationCount":0,"putCount":15000,"removeCount":0,"nativeMetrics":{"getCount":154393856,"missCount":8030730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357" s="43" t="n">
        <x:v>9992</x:v>
      </x:c>
      <x:c r="BB357" s="43" t="n">
        <x:v>154393856</x:v>
      </x:c>
      <x:c r="BC357" s="43" t="n">
        <x:v>146363126</x:v>
      </x:c>
      <x:c r="BD357" s="43" t="n">
        <x:v>8030730</x:v>
      </x:c>
      <x:c r="BE357" s="48" t="n">
        <x:v>0.9479854301974296</x:v>
      </x:c>
      <x:c r="BF357" s="43" t="n">
        <x:v>0</x:v>
      </x:c>
      <x:c r="BG357" s="43" t="n">
        <x:v>0</x:v>
      </x:c>
      <x:c r="BH357" s="43" t="n">
        <x:v>0</x:v>
      </x:c>
      <x:c r="BI357" s="43" t="n">
        <x:v>5008</x:v>
      </x:c>
      <x:c r="BJ357" s="43" t="n">
        <x:v>0</x:v>
      </x:c>
      <x:c r="BK357" s="43" t="n">
        <x:v>15000</x:v>
      </x:c>
      <x:c r="BL357" s="43" t="n">
        <x:v>0</x:v>
      </x:c>
      <x:c r="BM357" s="44" t="str">
        <x:v>{"getCount":154393856,"missCount":8030730,"loadCount":0,"loadExceptionCount":0,"suppressedLoadExceptionCount":0,"refreshCount":0,"refreshFailedCount":0,"refreshedHitCount":0,"expiredCount":0,"evictedCount":5008,"putCount":15000,"removeCount":0,"keyMutationCount":0,"totalLoadMillis":0}</x:v>
      </x:c>
    </x:row>
    <x:row r="358">
      <x:c r="A358" s="34" t="str">
        <x:v>article1-unified-v4-2-fb3f101b-20260903-000401-default-f06-p6-cache2k</x:v>
      </x:c>
      <x:c r="B358" s="34" t="str">
        <x:v>default</x:v>
      </x:c>
      <x:c r="C358" s="34" t="str">
        <x:v>cache2k</x:v>
      </x:c>
      <x:c r="D358" s="34" t="str">
        <x:v>cache2k</x:v>
      </x:c>
      <x:c r="E358" s="34" t="str">
        <x:v>current-provider-primary-comparison</x:v>
      </x:c>
      <x:c r="F358" s="36" t="n">
        <x:v>6</x:v>
      </x:c>
      <x:c r="G358" s="36" t="n">
        <x:v>6</x:v>
      </x:c>
      <x:c r="H358" s="36" t="n">
        <x:v>6</x:v>
      </x:c>
      <x:c r="I358" s="36" t="n">
        <x:v>4</x:v>
      </x:c>
      <x:c r="J358" s="34" t="str">
        <x:v>initial</x:v>
      </x:c>
      <x:c r="K358" s="34" t="str">
        <x:v>cache-semantics</x:v>
      </x:c>
      <x:c r="L358" s="45" t="b">
        <x:v>1</x:v>
      </x:c>
      <x:c r="M358" s="36" t="n">
        <x:v>1327484523</x:v>
      </x:c>
      <x:c r="N358" s="34" t="str">
        <x:v>701c077715f7da8759e1e555b03db6d96b802524339eadeaf5a33b9cd6ccae55</x:v>
      </x:c>
      <x:c r="O358" s="43" t="n">
        <x:v>10000</x:v>
      </x:c>
      <x:c r="P358" s="43" t="n">
        <x:v>400000</x:v>
      </x:c>
      <x:c r="Q358" s="36" t="n">
        <x:v>8</x:v>
      </x:c>
      <x:c r="R358" s="42" t="n">
        <x:v>95</x:v>
      </x:c>
      <x:c r="S358" s="43" t="n">
        <x:v>512</x:v>
      </x:c>
      <x:c r="T358" s="43" t="n">
        <x:v>50000</x:v>
      </x:c>
      <x:c r="U358" s="46" t="n">
        <x:v>3</x:v>
      </x:c>
      <x:c r="V358" s="46" t="n">
        <x:v>5</x:v>
      </x:c>
      <x:c r="W358" s="43" t="n">
        <x:v>300</x:v>
      </x:c>
      <x:c r="X358" s="34" t="str">
        <x:v>uniform</x:v>
      </x:c>
      <x:c r="Y358" s="42" t="n">
        <x:v>10</x:v>
      </x:c>
      <x:c r="Z358" s="34" t="str">
        <x:v>strict</x:v>
      </x:c>
      <x:c r="AA358" s="36" t="n">
        <x:v>64</x:v>
      </x:c>
      <x:c r="AB358" s="43" t="n">
        <x:v>95556608</x:v>
      </x:c>
      <x:c r="AC358" s="43" t="n">
        <x:v>3000630844</x:v>
      </x:c>
      <x:c r="AD358" s="43" t="n">
        <x:v>630844</x:v>
      </x:c>
      <x:c r="AE358" s="43" t="n">
        <x:v>2428985.570611218</x:v>
      </x:c>
      <x:c r="AF358" s="43" t="n">
        <x:v>31779079.965906627</x:v>
      </x:c>
      <x:c r="AG358" s="43" t="n">
        <x:v>158974720</x:v>
      </x:c>
      <x:c r="AH358" s="43" t="n">
        <x:v>5002495987</x:v>
      </x:c>
      <x:c r="AI358" s="43" t="n">
        <x:v>2495987</x:v>
      </x:c>
      <x:c r="AJ358" s="43" t="n">
        <x:v>31779079.965906627</x:v>
      </x:c>
      <x:c r="AK358" s="43" t="n">
        <x:v>158974720</x:v>
      </x:c>
      <x:c r="AL358" s="43" t="n">
        <x:v>0</x:v>
      </x:c>
      <x:c r="AM358" s="43" t="n">
        <x:v>494776.88778410706</x:v>
      </x:c>
      <x:c r="AN358" s="43" t="n">
        <x:v>140</x:v>
      </x:c>
      <x:c r="AO358" s="43" t="n">
        <x:v>311</x:v>
      </x:c>
      <x:c r="AP358" s="43" t="n">
        <x:v>501</x:v>
      </x:c>
      <x:c r="AQ358" s="43" t="n">
        <x:v>2483980</x:v>
      </x:c>
      <x:c r="AR358" s="43" t="n">
        <x:v>1</x:v>
      </x:c>
      <x:c r="AS358" s="45" t="b">
        <x:v>1</x:v>
      </x:c>
      <x:c r="AT358" s="43" t="n">
        <x:v>9979</x:v>
      </x:c>
      <x:c r="AU358" s="48" t="n">
        <x:v>0.9480751845324842</x:v>
      </x:c>
      <x:c r="AV358" s="43" t="n">
        <x:v>9995</x:v>
      </x:c>
      <x:c r="AW358" s="48" t="n">
        <x:v>0.9480751845324842</x:v>
      </x:c>
      <x:c r="AX358" s="45" t="b">
        <x:v>1</x:v>
      </x:c>
      <x:c r="AY358" s="44" t="str">
        <x:v>{"provider":"cache2k","currentEntries":9979,"requestCount":158974720,"hitCount":150719987,"missCount":8254733,"hitRate":0.9480751845324842,"loadSuccessCount":0,"loadFailureCount":0,"totalLoadTimeNanos":0,"evictionCount":21,"expirationCount":0,"putCount":10000,"removeCount":0,"nativeMetrics":{"getCount":158974720,"missCount":8254733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8" s="44" t="str">
        <x:v>{"provider":"cache2k","currentEntries":9995,"requestCount":158974720,"hitCount":150719987,"missCount":8254733,"hitRate":0.9480751845324842,"loadSuccessCount":0,"loadFailureCount":0,"totalLoadTimeNanos":0,"evictionCount":5005,"expirationCount":0,"putCount":15000,"removeCount":0,"nativeMetrics":{"getCount":158974720,"missCount":8254733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358" s="43" t="n">
        <x:v>9995</x:v>
      </x:c>
      <x:c r="BB358" s="43" t="n">
        <x:v>158974720</x:v>
      </x:c>
      <x:c r="BC358" s="43" t="n">
        <x:v>150719987</x:v>
      </x:c>
      <x:c r="BD358" s="43" t="n">
        <x:v>8254733</x:v>
      </x:c>
      <x:c r="BE358" s="48" t="n">
        <x:v>0.9480751845324842</x:v>
      </x:c>
      <x:c r="BF358" s="43" t="n">
        <x:v>0</x:v>
      </x:c>
      <x:c r="BG358" s="43" t="n">
        <x:v>0</x:v>
      </x:c>
      <x:c r="BH358" s="43" t="n">
        <x:v>0</x:v>
      </x:c>
      <x:c r="BI358" s="43" t="n">
        <x:v>5005</x:v>
      </x:c>
      <x:c r="BJ358" s="43" t="n">
        <x:v>0</x:v>
      </x:c>
      <x:c r="BK358" s="43" t="n">
        <x:v>15000</x:v>
      </x:c>
      <x:c r="BL358" s="43" t="n">
        <x:v>0</x:v>
      </x:c>
      <x:c r="BM358" s="44" t="str">
        <x:v>{"getCount":158974720,"missCount":8254733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359">
      <x:c r="A359" s="34" t="str">
        <x:v>article1-unified-v4-2-fb3f101b-20260903-000401-default-f06-p6-cache2k</x:v>
      </x:c>
      <x:c r="B359" s="34" t="str">
        <x:v>default</x:v>
      </x:c>
      <x:c r="C359" s="34" t="str">
        <x:v>cache2k</x:v>
      </x:c>
      <x:c r="D359" s="34" t="str">
        <x:v>cache2k</x:v>
      </x:c>
      <x:c r="E359" s="34" t="str">
        <x:v>current-provider-primary-comparison</x:v>
      </x:c>
      <x:c r="F359" s="36" t="n">
        <x:v>6</x:v>
      </x:c>
      <x:c r="G359" s="36" t="n">
        <x:v>6</x:v>
      </x:c>
      <x:c r="H359" s="36" t="n">
        <x:v>6</x:v>
      </x:c>
      <x:c r="I359" s="36" t="n">
        <x:v>4</x:v>
      </x:c>
      <x:c r="J359" s="34" t="str">
        <x:v>redeploy</x:v>
      </x:c>
      <x:c r="K359" s="34" t="str">
        <x:v>cache-semantics</x:v>
      </x:c>
      <x:c r="L359" s="45" t="b">
        <x:v>1</x:v>
      </x:c>
      <x:c r="M359" s="36" t="n">
        <x:v>1327484523</x:v>
      </x:c>
      <x:c r="N359" s="34" t="str">
        <x:v>701c077715f7da8759e1e555b03db6d96b802524339eadeaf5a33b9cd6ccae55</x:v>
      </x:c>
      <x:c r="O359" s="43" t="n">
        <x:v>10000</x:v>
      </x:c>
      <x:c r="P359" s="43" t="n">
        <x:v>400000</x:v>
      </x:c>
      <x:c r="Q359" s="36" t="n">
        <x:v>8</x:v>
      </x:c>
      <x:c r="R359" s="42" t="n">
        <x:v>95</x:v>
      </x:c>
      <x:c r="S359" s="43" t="n">
        <x:v>512</x:v>
      </x:c>
      <x:c r="T359" s="43" t="n">
        <x:v>50000</x:v>
      </x:c>
      <x:c r="U359" s="46" t="n">
        <x:v>3</x:v>
      </x:c>
      <x:c r="V359" s="46" t="n">
        <x:v>5</x:v>
      </x:c>
      <x:c r="W359" s="43" t="n">
        <x:v>300</x:v>
      </x:c>
      <x:c r="X359" s="34" t="str">
        <x:v>uniform</x:v>
      </x:c>
      <x:c r="Y359" s="42" t="n">
        <x:v>10</x:v>
      </x:c>
      <x:c r="Z359" s="34" t="str">
        <x:v>strict</x:v>
      </x:c>
      <x:c r="AA359" s="36" t="n">
        <x:v>64</x:v>
      </x:c>
      <x:c r="AB359" s="43" t="n">
        <x:v>100510464</x:v>
      </x:c>
      <x:c r="AC359" s="43" t="n">
        <x:v>3000503590</x:v>
      </x:c>
      <x:c r="AD359" s="43" t="n">
        <x:v>503590</x:v>
      </x:c>
      <x:c r="AE359" s="43" t="n">
        <x:v>2253178.3897660635</x:v>
      </x:c>
      <x:c r="AF359" s="43" t="n">
        <x:v>31710813.5185015</x:v>
      </x:c>
      <x:c r="AG359" s="43" t="n">
        <x:v>160299008</x:v>
      </x:c>
      <x:c r="AH359" s="43" t="n">
        <x:v>5055026668</x:v>
      </x:c>
      <x:c r="AI359" s="43" t="n">
        <x:v>55026668</x:v>
      </x:c>
      <x:c r="AJ359" s="43" t="n">
        <x:v>31710813.5185015</x:v>
      </x:c>
      <x:c r="AK359" s="43" t="n">
        <x:v>160299008</x:v>
      </x:c>
      <x:c r="AL359" s="43" t="n">
        <x:v>0</x:v>
      </x:c>
      <x:c r="AM359" s="43" t="n">
        <x:v>579857.7817610141</x:v>
      </x:c>
      <x:c r="AN359" s="43" t="n">
        <x:v>140</x:v>
      </x:c>
      <x:c r="AO359" s="43" t="n">
        <x:v>311</x:v>
      </x:c>
      <x:c r="AP359" s="43" t="n">
        <x:v>481</x:v>
      </x:c>
      <x:c r="AQ359" s="43" t="n">
        <x:v>2504672</x:v>
      </x:c>
      <x:c r="AR359" s="43" t="n">
        <x:v>1</x:v>
      </x:c>
      <x:c r="AS359" s="45" t="b">
        <x:v>1</x:v>
      </x:c>
      <x:c r="AT359" s="43" t="n">
        <x:v>9979</x:v>
      </x:c>
      <x:c r="AU359" s="48" t="n">
        <x:v>0.9480744384893511</x:v>
      </x:c>
      <x:c r="AV359" s="43" t="n">
        <x:v>9995</x:v>
      </x:c>
      <x:c r="AW359" s="48" t="n">
        <x:v>0.9480744384893511</x:v>
      </x:c>
      <x:c r="AX359" s="45" t="b">
        <x:v>1</x:v>
      </x:c>
      <x:c r="AY359" s="44" t="str">
        <x:v>{"provider":"cache2k","currentEntries":9979,"requestCount":160299008,"hitCount":151975392,"missCount":8323616,"hitRate":0.9480744384893511,"loadSuccessCount":0,"loadFailureCount":0,"totalLoadTimeNanos":0,"evictionCount":21,"expirationCount":0,"putCount":10000,"removeCount":0,"nativeMetrics":{"getCount":160299008,"missCount":8323616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59" s="44" t="str">
        <x:v>{"provider":"cache2k","currentEntries":9995,"requestCount":160299008,"hitCount":151975392,"missCount":8323616,"hitRate":0.9480744384893511,"loadSuccessCount":0,"loadFailureCount":0,"totalLoadTimeNanos":0,"evictionCount":5005,"expirationCount":0,"putCount":15000,"removeCount":0,"nativeMetrics":{"getCount":160299008,"missCount":8323616,"loadCount":0,"loadExceptionCount":0,"suppressedLoadExceptionCount":0,"refreshCount":0,"refreshFailedCount":0,"refreshedHitCount":0,"expiredCount":0,"evictedCount":5005,"putCount":15000,"removeCount":0,"keyMutationCount":0,"totalLoadMillis":0}}</x:v>
      </x:c>
      <x:c r="BA359" s="43" t="n">
        <x:v>9995</x:v>
      </x:c>
      <x:c r="BB359" s="43" t="n">
        <x:v>160299008</x:v>
      </x:c>
      <x:c r="BC359" s="43" t="n">
        <x:v>151975392</x:v>
      </x:c>
      <x:c r="BD359" s="43" t="n">
        <x:v>8323616</x:v>
      </x:c>
      <x:c r="BE359" s="48" t="n">
        <x:v>0.9480744384893511</x:v>
      </x:c>
      <x:c r="BF359" s="43" t="n">
        <x:v>0</x:v>
      </x:c>
      <x:c r="BG359" s="43" t="n">
        <x:v>0</x:v>
      </x:c>
      <x:c r="BH359" s="43" t="n">
        <x:v>0</x:v>
      </x:c>
      <x:c r="BI359" s="43" t="n">
        <x:v>5005</x:v>
      </x:c>
      <x:c r="BJ359" s="43" t="n">
        <x:v>0</x:v>
      </x:c>
      <x:c r="BK359" s="43" t="n">
        <x:v>15000</x:v>
      </x:c>
      <x:c r="BL359" s="43" t="n">
        <x:v>0</x:v>
      </x:c>
      <x:c r="BM359" s="44" t="str">
        <x:v>{"getCount":160299008,"missCount":8323616,"loadCount":0,"loadExceptionCount":0,"suppressedLoadExceptionCount":0,"refreshCount":0,"refreshFailedCount":0,"refreshedHitCount":0,"expiredCount":0,"evictedCount":5005,"putCount":15000,"removeCount":0,"keyMutationCount":0,"totalLoadMillis":0}</x:v>
      </x:c>
    </x:row>
    <x:row r="360">
      <x:c r="A360" s="34" t="str">
        <x:v>article1-unified-v4-2-fb3f101b-20260903-000401-default-f06-p6-cache2k</x:v>
      </x:c>
      <x:c r="B360" s="34" t="str">
        <x:v>default</x:v>
      </x:c>
      <x:c r="C360" s="34" t="str">
        <x:v>cache2k</x:v>
      </x:c>
      <x:c r="D360" s="34" t="str">
        <x:v>cache2k</x:v>
      </x:c>
      <x:c r="E360" s="34" t="str">
        <x:v>current-provider-primary-comparison</x:v>
      </x:c>
      <x:c r="F360" s="36" t="n">
        <x:v>6</x:v>
      </x:c>
      <x:c r="G360" s="36" t="n">
        <x:v>6</x:v>
      </x:c>
      <x:c r="H360" s="36" t="n">
        <x:v>6</x:v>
      </x:c>
      <x:c r="I360" s="36" t="n">
        <x:v>5</x:v>
      </x:c>
      <x:c r="J360" s="34" t="str">
        <x:v>initial</x:v>
      </x:c>
      <x:c r="K360" s="34" t="str">
        <x:v>cache-semantics</x:v>
      </x:c>
      <x:c r="L360" s="45" t="b">
        <x:v>1</x:v>
      </x:c>
      <x:c r="M360" s="36" t="n">
        <x:v>666294704</x:v>
      </x:c>
      <x:c r="N360" s="34" t="str">
        <x:v>2d37790d1dcdaa2a0296dbfb67d742e82e2643aa9d8bec35c7958bc4847abfa8</x:v>
      </x:c>
      <x:c r="O360" s="43" t="n">
        <x:v>10000</x:v>
      </x:c>
      <x:c r="P360" s="43" t="n">
        <x:v>400000</x:v>
      </x:c>
      <x:c r="Q360" s="36" t="n">
        <x:v>8</x:v>
      </x:c>
      <x:c r="R360" s="42" t="n">
        <x:v>95</x:v>
      </x:c>
      <x:c r="S360" s="43" t="n">
        <x:v>512</x:v>
      </x:c>
      <x:c r="T360" s="43" t="n">
        <x:v>50000</x:v>
      </x:c>
      <x:c r="U360" s="46" t="n">
        <x:v>3</x:v>
      </x:c>
      <x:c r="V360" s="46" t="n">
        <x:v>5</x:v>
      </x:c>
      <x:c r="W360" s="43" t="n">
        <x:v>300</x:v>
      </x:c>
      <x:c r="X360" s="34" t="str">
        <x:v>uniform</x:v>
      </x:c>
      <x:c r="Y360" s="42" t="n">
        <x:v>10</x:v>
      </x:c>
      <x:c r="Z360" s="34" t="str">
        <x:v>strict</x:v>
      </x:c>
      <x:c r="AA360" s="36" t="n">
        <x:v>64</x:v>
      </x:c>
      <x:c r="AB360" s="43" t="n">
        <x:v>98335488</x:v>
      </x:c>
      <x:c r="AC360" s="43" t="n">
        <x:v>3036227357</x:v>
      </x:c>
      <x:c r="AD360" s="43" t="n">
        <x:v>36227357</x:v>
      </x:c>
      <x:c r="AE360" s="43" t="n">
        <x:v>2177691.8121836632</x:v>
      </x:c>
      <x:c r="AF360" s="43" t="n">
        <x:v>30156395.58022411</x:v>
      </x:c>
      <x:c r="AG360" s="43" t="n">
        <x:v>150853632</x:v>
      </x:c>
      <x:c r="AH360" s="43" t="n">
        <x:v>5002376083</x:v>
      </x:c>
      <x:c r="AI360" s="43" t="n">
        <x:v>2376083</x:v>
      </x:c>
      <x:c r="AJ360" s="43" t="n">
        <x:v>30156395.58022411</x:v>
      </x:c>
      <x:c r="AK360" s="43" t="n">
        <x:v>150853632</x:v>
      </x:c>
      <x:c r="AL360" s="43" t="n">
        <x:v>0</x:v>
      </x:c>
      <x:c r="AM360" s="43" t="n">
        <x:v>412663.6913064305</x:v>
      </x:c>
      <x:c r="AN360" s="43" t="n">
        <x:v>140</x:v>
      </x:c>
      <x:c r="AO360" s="43" t="n">
        <x:v>330</x:v>
      </x:c>
      <x:c r="AP360" s="43" t="n">
        <x:v>521</x:v>
      </x:c>
      <x:c r="AQ360" s="43" t="n">
        <x:v>2357088</x:v>
      </x:c>
      <x:c r="AR360" s="43" t="n">
        <x:v>1</x:v>
      </x:c>
      <x:c r="AS360" s="45" t="b">
        <x:v>1</x:v>
      </x:c>
      <x:c r="AT360" s="43" t="n">
        <x:v>9979</x:v>
      </x:c>
      <x:c r="AU360" s="48" t="n">
        <x:v>0.9481960102889667</x:v>
      </x:c>
      <x:c r="AV360" s="43" t="n">
        <x:v>9993</x:v>
      </x:c>
      <x:c r="AW360" s="48" t="n">
        <x:v>0.9481960102889667</x:v>
      </x:c>
      <x:c r="AX360" s="45" t="b">
        <x:v>1</x:v>
      </x:c>
      <x:c r="AY360" s="44" t="str">
        <x:v>{"provider":"cache2k","currentEntries":9979,"requestCount":150853632,"hitCount":143038812,"missCount":7814820,"hitRate":0.9481960102889667,"loadSuccessCount":0,"loadFailureCount":0,"totalLoadTimeNanos":0,"evictionCount":21,"expirationCount":0,"putCount":10000,"removeCount":0,"nativeMetrics":{"getCount":150853632,"missCount":7814820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60" s="44" t="str">
        <x:v>{"provider":"cache2k","currentEntries":9993,"requestCount":150853632,"hitCount":143038812,"missCount":7814820,"hitRate":0.9481960102889667,"loadSuccessCount":0,"loadFailureCount":0,"totalLoadTimeNanos":0,"evictionCount":5007,"expirationCount":0,"putCount":15000,"removeCount":0,"nativeMetrics":{"getCount":150853632,"missCount":7814820,"loadCount":0,"loadExceptionCount":0,"suppressedLoadExceptionCount":0,"refreshCount":0,"refreshFailedCount":0,"refreshedHitCount":0,"expiredCount":0,"evictedCount":5007,"putCount":15000,"removeCount":0,"keyMutationCount":0,"totalLoadMillis":0}}</x:v>
      </x:c>
      <x:c r="BA360" s="43" t="n">
        <x:v>9993</x:v>
      </x:c>
      <x:c r="BB360" s="43" t="n">
        <x:v>150853632</x:v>
      </x:c>
      <x:c r="BC360" s="43" t="n">
        <x:v>143038812</x:v>
      </x:c>
      <x:c r="BD360" s="43" t="n">
        <x:v>7814820</x:v>
      </x:c>
      <x:c r="BE360" s="48" t="n">
        <x:v>0.9481960102889667</x:v>
      </x:c>
      <x:c r="BF360" s="43" t="n">
        <x:v>0</x:v>
      </x:c>
      <x:c r="BG360" s="43" t="n">
        <x:v>0</x:v>
      </x:c>
      <x:c r="BH360" s="43" t="n">
        <x:v>0</x:v>
      </x:c>
      <x:c r="BI360" s="43" t="n">
        <x:v>5007</x:v>
      </x:c>
      <x:c r="BJ360" s="43" t="n">
        <x:v>0</x:v>
      </x:c>
      <x:c r="BK360" s="43" t="n">
        <x:v>15000</x:v>
      </x:c>
      <x:c r="BL360" s="43" t="n">
        <x:v>0</x:v>
      </x:c>
      <x:c r="BM360" s="44" t="str">
        <x:v>{"getCount":150853632,"missCount":7814820,"loadCount":0,"loadExceptionCount":0,"suppressedLoadExceptionCount":0,"refreshCount":0,"refreshFailedCount":0,"refreshedHitCount":0,"expiredCount":0,"evictedCount":5007,"putCount":15000,"removeCount":0,"keyMutationCount":0,"totalLoadMillis":0}</x:v>
      </x:c>
    </x:row>
    <x:row r="361">
      <x:c r="A361" s="34" t="str">
        <x:v>article1-unified-v4-2-fb3f101b-20260903-000401-default-f06-p6-cache2k</x:v>
      </x:c>
      <x:c r="B361" s="34" t="str">
        <x:v>default</x:v>
      </x:c>
      <x:c r="C361" s="34" t="str">
        <x:v>cache2k</x:v>
      </x:c>
      <x:c r="D361" s="34" t="str">
        <x:v>cache2k</x:v>
      </x:c>
      <x:c r="E361" s="34" t="str">
        <x:v>current-provider-primary-comparison</x:v>
      </x:c>
      <x:c r="F361" s="36" t="n">
        <x:v>6</x:v>
      </x:c>
      <x:c r="G361" s="36" t="n">
        <x:v>6</x:v>
      </x:c>
      <x:c r="H361" s="36" t="n">
        <x:v>6</x:v>
      </x:c>
      <x:c r="I361" s="36" t="n">
        <x:v>5</x:v>
      </x:c>
      <x:c r="J361" s="34" t="str">
        <x:v>redeploy</x:v>
      </x:c>
      <x:c r="K361" s="34" t="str">
        <x:v>cache-semantics</x:v>
      </x:c>
      <x:c r="L361" s="45" t="b">
        <x:v>1</x:v>
      </x:c>
      <x:c r="M361" s="36" t="n">
        <x:v>666294704</x:v>
      </x:c>
      <x:c r="N361" s="34" t="str">
        <x:v>2d37790d1dcdaa2a0296dbfb67d742e82e2643aa9d8bec35c7958bc4847abfa8</x:v>
      </x:c>
      <x:c r="O361" s="43" t="n">
        <x:v>10000</x:v>
      </x:c>
      <x:c r="P361" s="43" t="n">
        <x:v>400000</x:v>
      </x:c>
      <x:c r="Q361" s="36" t="n">
        <x:v>8</x:v>
      </x:c>
      <x:c r="R361" s="42" t="n">
        <x:v>95</x:v>
      </x:c>
      <x:c r="S361" s="43" t="n">
        <x:v>512</x:v>
      </x:c>
      <x:c r="T361" s="43" t="n">
        <x:v>50000</x:v>
      </x:c>
      <x:c r="U361" s="46" t="n">
        <x:v>3</x:v>
      </x:c>
      <x:c r="V361" s="46" t="n">
        <x:v>5</x:v>
      </x:c>
      <x:c r="W361" s="43" t="n">
        <x:v>300</x:v>
      </x:c>
      <x:c r="X361" s="34" t="str">
        <x:v>uniform</x:v>
      </x:c>
      <x:c r="Y361" s="42" t="n">
        <x:v>10</x:v>
      </x:c>
      <x:c r="Z361" s="34" t="str">
        <x:v>strict</x:v>
      </x:c>
      <x:c r="AA361" s="36" t="n">
        <x:v>64</x:v>
      </x:c>
      <x:c r="AB361" s="43" t="n">
        <x:v>93387264</x:v>
      </x:c>
      <x:c r="AC361" s="43" t="n">
        <x:v>3000519995</x:v>
      </x:c>
      <x:c r="AD361" s="43" t="n">
        <x:v>519995</x:v>
      </x:c>
      <x:c r="AE361" s="43" t="n">
        <x:v>1360012.6100369203</x:v>
      </x:c>
      <x:c r="AF361" s="43" t="n">
        <x:v>31395220.90617103</x:v>
      </x:c>
      <x:c r="AG361" s="43" t="n">
        <x:v>157086976</x:v>
      </x:c>
      <x:c r="AH361" s="43" t="n">
        <x:v>5003531476</x:v>
      </x:c>
      <x:c r="AI361" s="43" t="n">
        <x:v>3531476</x:v>
      </x:c>
      <x:c r="AJ361" s="43" t="n">
        <x:v>31395220.90617103</x:v>
      </x:c>
      <x:c r="AK361" s="43" t="n">
        <x:v>157086976</x:v>
      </x:c>
      <x:c r="AL361" s="43" t="n">
        <x:v>0</x:v>
      </x:c>
      <x:c r="AM361" s="43" t="n">
        <x:v>517758.60230029793</x:v>
      </x:c>
      <x:c r="AN361" s="43" t="n">
        <x:v>141</x:v>
      </x:c>
      <x:c r="AO361" s="43" t="n">
        <x:v>311</x:v>
      </x:c>
      <x:c r="AP361" s="43" t="n">
        <x:v>481</x:v>
      </x:c>
      <x:c r="AQ361" s="43" t="n">
        <x:v>2454484</x:v>
      </x:c>
      <x:c r="AR361" s="43" t="n">
        <x:v>1</x:v>
      </x:c>
      <x:c r="AS361" s="45" t="b">
        <x:v>1</x:v>
      </x:c>
      <x:c r="AT361" s="43" t="n">
        <x:v>9979</x:v>
      </x:c>
      <x:c r="AU361" s="48" t="n">
        <x:v>0.9481841193505437</x:v>
      </x:c>
      <x:c r="AV361" s="43" t="n">
        <x:v>9992</x:v>
      </x:c>
      <x:c r="AW361" s="48" t="n">
        <x:v>0.9481841193505437</x:v>
      </x:c>
      <x:c r="AX361" s="45" t="b">
        <x:v>1</x:v>
      </x:c>
      <x:c r="AY361" s="44" t="str">
        <x:v>{"provider":"cache2k","currentEntries":9979,"requestCount":157086976,"hitCount":148947376,"missCount":8139600,"hitRate":0.9481841193505437,"loadSuccessCount":0,"loadFailureCount":0,"totalLoadTimeNanos":0,"evictionCount":21,"expirationCount":0,"putCount":10000,"removeCount":0,"nativeMetrics":{"getCount":157086976,"missCount":8139600,"loadCount":0,"loadExceptionCount":0,"suppressedLoadExceptionCount":0,"refreshCount":0,"refreshFailedCount":0,"refreshedHitCount":0,"expiredCount":0,"evictedCount":21,"putCount":10000,"removeCount":0,"keyMutationCount":0,"totalLoadMillis":0}}</x:v>
      </x:c>
      <x:c r="AZ361" s="44" t="str">
        <x:v>{"provider":"cache2k","currentEntries":9992,"requestCount":157086976,"hitCount":148947376,"missCount":8139600,"hitRate":0.9481841193505437,"loadSuccessCount":0,"loadFailureCount":0,"totalLoadTimeNanos":0,"evictionCount":5008,"expirationCount":0,"putCount":15000,"removeCount":0,"nativeMetrics":{"getCount":157086976,"missCount":8139600,"loadCount":0,"loadExceptionCount":0,"suppressedLoadExceptionCount":0,"refreshCount":0,"refreshFailedCount":0,"refreshedHitCount":0,"expiredCount":0,"evictedCount":5008,"putCount":15000,"removeCount":0,"keyMutationCount":0,"totalLoadMillis":0}}</x:v>
      </x:c>
      <x:c r="BA361" s="43" t="n">
        <x:v>9992</x:v>
      </x:c>
      <x:c r="BB361" s="43" t="n">
        <x:v>157086976</x:v>
      </x:c>
      <x:c r="BC361" s="43" t="n">
        <x:v>148947376</x:v>
      </x:c>
      <x:c r="BD361" s="43" t="n">
        <x:v>8139600</x:v>
      </x:c>
      <x:c r="BE361" s="48" t="n">
        <x:v>0.9481841193505437</x:v>
      </x:c>
      <x:c r="BF361" s="43" t="n">
        <x:v>0</x:v>
      </x:c>
      <x:c r="BG361" s="43" t="n">
        <x:v>0</x:v>
      </x:c>
      <x:c r="BH361" s="43" t="n">
        <x:v>0</x:v>
      </x:c>
      <x:c r="BI361" s="43" t="n">
        <x:v>5008</x:v>
      </x:c>
      <x:c r="BJ361" s="43" t="n">
        <x:v>0</x:v>
      </x:c>
      <x:c r="BK361" s="43" t="n">
        <x:v>15000</x:v>
      </x:c>
      <x:c r="BL361" s="43" t="n">
        <x:v>0</x:v>
      </x:c>
      <x:c r="BM361" s="44" t="str">
        <x:v>{"getCount":157086976,"missCount":8139600,"loadCount":0,"loadExceptionCount":0,"suppressedLoadExceptionCount":0,"refreshCount":0,"refreshFailedCount":0,"refreshedHitCount":0,"expiredCount":0,"evictedCount":5008,"putCount":15000,"removeCount":0,"keyMutationCount":0,"totalLoadMillis":0}</x:v>
      </x:c>
    </x:row>
  </x:sheetData>
  <x:pageMargins left="0.7" right="0.7" top="0.75" bottom="0.75" header="0.3" footer="0.3"/>
  <x:tableParts count="1">
    <x:tablePart xmlns:r="http://schemas.openxmlformats.org/officeDocument/2006/relationships" r:id="R5f74c270f66d44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2" hidden="0" customWidth="1"/>
    <x:col min="3" max="3" width="13" hidden="0" customWidth="1"/>
    <x:col min="4" max="4" width="14" hidden="0" customWidth="1"/>
    <x:col min="5" max="5" width="8" hidden="0" customWidth="1"/>
    <x:col min="6" max="6" width="12" hidden="0" customWidth="1"/>
    <x:col min="7" max="7" width="12" hidden="0" customWidth="1"/>
    <x:col min="8" max="8" width="8" hidden="0" customWidth="1"/>
    <x:col min="9" max="9" width="27" hidden="0" customWidth="1"/>
    <x:col min="10" max="10" width="27" hidden="0" customWidth="1"/>
    <x:col min="11" max="11" width="14" hidden="0" customWidth="1"/>
    <x:col min="12" max="12" width="16" hidden="0" customWidth="1"/>
    <x:col min="13" max="13" width="72" hidden="0" customWidth="1"/>
    <x:col min="14" max="14" width="22" hidden="0" customWidth="1"/>
    <x:col min="15" max="15" width="14" hidden="0" customWidth="1"/>
    <x:col min="16" max="16" width="17" hidden="0" customWidth="1"/>
    <x:col min="17" max="17" width="20" hidden="0" customWidth="1"/>
    <x:col min="18" max="18" width="19" hidden="0" customWidth="1"/>
    <x:col min="19" max="19" width="18" hidden="0" customWidth="1"/>
    <x:col min="20" max="20" width="60" hidden="0" customWidth="1"/>
    <x:col min="21" max="21" width="13" hidden="0" customWidth="1"/>
    <x:col min="22" max="22" width="17" hidden="0" customWidth="1"/>
    <x:col min="23" max="23" width="54" hidden="0" customWidth="1"/>
    <x:col min="24" max="24" width="21" hidden="0" customWidth="1"/>
    <x:col min="25" max="25" width="23" hidden="0" customWidth="1"/>
    <x:col min="26" max="26" width="32" hidden="0" customWidth="1"/>
    <x:col min="27" max="27" width="21" hidden="0" customWidth="1"/>
    <x:col min="28" max="28" width="21" hidden="0" customWidth="1"/>
    <x:col min="29" max="29" width="54" hidden="0" customWidth="1"/>
    <x:col min="30" max="30" width="54" hidden="0" customWidth="1"/>
    <x:col min="31" max="31" width="54" hidden="0" customWidth="1"/>
    <x:col min="32" max="32" width="54" hidden="0" customWidth="1"/>
    <x:col min="33" max="33" width="54" hidden="0" customWidth="1"/>
    <x:col min="34" max="34" width="54" hidden="0" customWidth="1"/>
    <x:col min="35" max="35" width="54" hidden="0" customWidth="1"/>
  </x:cols>
  <x:sheetData>
    <x:row r="1" ht="31" customHeight="1">
      <x:c r="A1" s="23" t="str">
        <x:v>processRunId</x:v>
      </x:c>
      <x:c r="B1" s="23" t="str">
        <x:v>scenario</x:v>
      </x:c>
      <x:c r="C1" s="23" t="str">
        <x:v>provider</x:v>
      </x:c>
      <x:c r="D1" s="23" t="str">
        <x:v>engineProvider</x:v>
      </x:c>
      <x:c r="E1" s="23" t="str">
        <x:v>fork</x:v>
      </x:c>
      <x:c r="F1" s="23" t="str">
        <x:v>Williams block</x:v>
      </x:c>
      <x:c r="G1" s="23" t="str">
        <x:v>orderPosition</x:v>
      </x:c>
      <x:c r="H1" s="23" t="str">
        <x:v>cycle</x:v>
      </x:c>
      <x:c r="I1" s="23" t="str">
        <x:v>snapshot JSON key</x:v>
      </x:c>
      <x:c r="J1" s="23" t="str">
        <x:v>lifecycle stage</x:v>
      </x:c>
      <x:c r="K1" s="23" t="str">
        <x:v>undeploy ordinal</x:v>
      </x:c>
      <x:c r="L1" s="23" t="str">
        <x:v>observation timing</x:v>
      </x:c>
      <x:c r="M1" s="23" t="str">
        <x:v>full snapshot label</x:v>
      </x:c>
      <x:c r="N1" s="23" t="str">
        <x:v>capturedAt (UTC)</x:v>
      </x:c>
      <x:c r="O1" s="23" t="str">
        <x:v>forced GC count</x:v>
      </x:c>
      <x:c r="P1" s="23" t="str">
        <x:v>heap used (bytes)</x:v>
      </x:c>
      <x:c r="Q1" s="23" t="str">
        <x:v>heap committed (bytes)</x:v>
      </x:c>
      <x:c r="R1" s="23" t="str">
        <x:v>NMT committed (bytes)</x:v>
      </x:c>
      <x:c r="S1" s="23" t="str">
        <x:v>webapp classloader rows</x:v>
      </x:c>
      <x:c r="T1" s="23" t="str">
        <x:v>classloader rows (text)</x:v>
      </x:c>
      <x:c r="U1" s="23" t="str">
        <x:v>live threads</x:v>
      </x:c>
      <x:c r="V1" s="23" t="str">
        <x:v>JCS thread signatures</x:v>
      </x:c>
      <x:c r="W1" s="23" t="str">
        <x:v>JCS thread evidence</x:v>
      </x:c>
      <x:c r="X1" s="23" t="str">
        <x:v>findleaks checkpoint occurrences</x:v>
      </x:c>
      <x:c r="Y1" s="23" t="str">
        <x:v>positive target-context occurrences</x:v>
      </x:c>
      <x:c r="Z1" s="23" t="str">
        <x:v>positive findleaks contexts</x:v>
      </x:c>
      <x:c r="AA1" s="23" t="str">
        <x:v>findleaks checkpoint positive</x:v>
      </x:c>
      <x:c r="AB1" s="23" t="str">
        <x:v>Tomcat log lines since undeploy</x:v>
      </x:c>
      <x:c r="AC1" s="23" t="str">
        <x:v>heap-info artifact</x:v>
      </x:c>
      <x:c r="AD1" s="23" t="str">
        <x:v>classloader artifact</x:v>
      </x:c>
      <x:c r="AE1" s="23" t="str">
        <x:v>thread-dump artifact</x:v>
      </x:c>
      <x:c r="AF1" s="23" t="str">
        <x:v>Tomcat log artifact</x:v>
      </x:c>
      <x:c r="AG1" s="23" t="str">
        <x:v>NMT artifact</x:v>
      </x:c>
      <x:c r="AH1" s="23" t="str">
        <x:v>class-histogram artifact</x:v>
      </x:c>
      <x:c r="AI1" s="23" t="str">
        <x:v>findleaks artifact</x:v>
      </x:c>
    </x:row>
    <x:row r="2">
      <x:c r="A2" s="34" t="str">
        <x:v>article1-unified-v4-2-fb3f101b-20260903-000401-default-f01-p1-caffeine</x:v>
      </x:c>
      <x:c r="B2" s="34" t="str">
        <x:v>default</x:v>
      </x:c>
      <x:c r="C2" s="34" t="str">
        <x:v>caffeine</x:v>
      </x:c>
      <x:c r="D2" s="34" t="str">
        <x:v>caffeine</x:v>
      </x:c>
      <x:c r="E2" s="36" t="n">
        <x:v>1</x:v>
      </x:c>
      <x:c r="F2" s="36" t="n">
        <x:v>1</x:v>
      </x:c>
      <x:c r="G2" s="36" t="n">
        <x:v>1</x:v>
      </x:c>
      <x:c r="H2" s="36" t="n">
        <x:v>0</x:v>
      </x:c>
      <x:c r="I2" s="34" t="str">
        <x:v>processBaseline</x:v>
      </x:c>
      <x:c r="J2" s="34" t="str">
        <x:v>process-baseline</x:v>
      </x:c>
      <x:c r="K2" s="36" t="n">
        <x:v>0</x:v>
      </x:c>
      <x:c r="L2" s="34" t="str">
        <x:v>baseline</x:v>
      </x:c>
      <x:c r="M2" s="34" t="str">
        <x:v>article1-unified-v4-2-fb3f101b-20260903-000401-default-f01-p1-caffeine-process-baseline</x:v>
      </x:c>
      <x:c r="N2" s="38" t="n">
        <x:v>46267.92389896991</x:v>
      </x:c>
      <x:c r="O2" s="36" t="n">
        <x:v>0</x:v>
      </x:c>
      <x:c r="P2" s="43" t="n">
        <x:v>32710656</x:v>
      </x:c>
      <x:c r="Q2" s="43" t="n">
        <x:v>270532608</x:v>
      </x:c>
      <x:c r="R2" s="43" t="n">
        <x:v>369238016</x:v>
      </x:c>
      <x:c r="S2" s="36" t="n">
        <x:v>1</x:v>
      </x:c>
      <x:c r="T2" s="44" t="str">
        <x:v>0x000000008b1177b8  0x000000008b003818  0x00007cbc44655bd0       0         0         0  org.apache.catalina.loader.ParallelWebappClassLoader</x:v>
      </x:c>
      <x:c r="U2" s="36" t="n">
        <x:v>27</x:v>
      </x:c>
      <x:c r="V2" s="36" t="n">
        <x:v>0</x:v>
      </x:c>
      <x:c r="W2" s="44"/>
      <x:c r="X2" s="36"/>
      <x:c r="Y2" s="36"/>
      <x:c r="Z2" s="44"/>
      <x:c r="AA2" s="49"/>
      <x:c r="AB2" s="43"/>
      <x:c r="AC2" s="34" t="str">
        <x:v>article1-unified-v4-2-fb3f101b-20260903-000401-default-f01-p1-caffeine-process-baseline-heap-info.txt</x:v>
      </x:c>
      <x:c r="AD2" s="34" t="str">
        <x:v>article1-unified-v4-2-fb3f101b-20260903-000401-default-f01-p1-caffeine-process-baseline-classloader-stats.txt</x:v>
      </x:c>
      <x:c r="AE2" s="34" t="str">
        <x:v>article1-unified-v4-2-fb3f101b-20260903-000401-default-f01-p1-caffeine-process-baseline-thread-dump.txt</x:v>
      </x:c>
      <x:c r="AF2" s="34"/>
      <x:c r="AG2" s="34" t="str">
        <x:v>article1-unified-v4-2-fb3f101b-20260903-000401-default-f01-p1-caffeine-process-baseline-native-memory.txt</x:v>
      </x:c>
      <x:c r="AH2" s="34"/>
      <x:c r="AI2" s="34"/>
    </x:row>
    <x:row r="3">
      <x:c r="A3" s="34" t="str">
        <x:v>article1-unified-v4-2-fb3f101b-20260903-000401-default-f01-p1-caffeine</x:v>
      </x:c>
      <x:c r="B3" s="34" t="str">
        <x:v>default</x:v>
      </x:c>
      <x:c r="C3" s="34" t="str">
        <x:v>caffeine</x:v>
      </x:c>
      <x:c r="D3" s="34" t="str">
        <x:v>caffeine</x:v>
      </x:c>
      <x:c r="E3" s="36" t="n">
        <x:v>1</x:v>
      </x:c>
      <x:c r="F3" s="36" t="n">
        <x:v>1</x:v>
      </x:c>
      <x:c r="G3" s="36" t="n">
        <x:v>1</x:v>
      </x:c>
      <x:c r="H3" s="36" t="n">
        <x:v>1</x:v>
      </x:c>
      <x:c r="I3" s="34" t="str">
        <x:v>baseline</x:v>
      </x:c>
      <x:c r="J3" s="34" t="str">
        <x:v>cycle-baseline</x:v>
      </x:c>
      <x:c r="K3" s="36" t="n">
        <x:v>0</x:v>
      </x:c>
      <x:c r="L3" s="34" t="str">
        <x:v>baseline</x:v>
      </x:c>
      <x:c r="M3" s="34" t="str">
        <x:v>article1-unified-v4-2-fb3f101b-20260903-000401-default-f01-p1-caffeine-1-baseline</x:v>
      </x:c>
      <x:c r="N3" s="38" t="n">
        <x:v>46267.9240965625</x:v>
      </x:c>
      <x:c r="O3" s="36" t="n">
        <x:v>0</x:v>
      </x:c>
      <x:c r="P3" s="43" t="n">
        <x:v>32710656</x:v>
      </x:c>
      <x:c r="Q3" s="43" t="n">
        <x:v>270532608</x:v>
      </x:c>
      <x:c r="R3" s="43" t="n">
        <x:v>369822720</x:v>
      </x:c>
      <x:c r="S3" s="36" t="n">
        <x:v>1</x:v>
      </x:c>
      <x:c r="T3" s="44" t="str">
        <x:v>0x000000008b1177b8  0x000000008b003818  0x00007cbc44655bd0       0         0         0  org.apache.catalina.loader.ParallelWebappClassLoader</x:v>
      </x:c>
      <x:c r="U3" s="36" t="n">
        <x:v>27</x:v>
      </x:c>
      <x:c r="V3" s="36" t="n">
        <x:v>0</x:v>
      </x:c>
      <x:c r="W3" s="44"/>
      <x:c r="X3" s="36"/>
      <x:c r="Y3" s="36"/>
      <x:c r="Z3" s="44"/>
      <x:c r="AA3" s="49"/>
      <x:c r="AB3" s="43"/>
      <x:c r="AC3" s="34" t="str">
        <x:v>article1-unified-v4-2-fb3f101b-20260903-000401-default-f01-p1-caffeine-1-baseline-heap-info.txt</x:v>
      </x:c>
      <x:c r="AD3" s="34" t="str">
        <x:v>article1-unified-v4-2-fb3f101b-20260903-000401-default-f01-p1-caffeine-1-baseline-classloader-stats.txt</x:v>
      </x:c>
      <x:c r="AE3" s="34" t="str">
        <x:v>article1-unified-v4-2-fb3f101b-20260903-000401-default-f01-p1-caffeine-1-baseline-thread-dump.txt</x:v>
      </x:c>
      <x:c r="AF3" s="34"/>
      <x:c r="AG3" s="34" t="str">
        <x:v>article1-unified-v4-2-fb3f101b-20260903-000401-default-f01-p1-caffeine-1-baseline-native-memory.txt</x:v>
      </x:c>
      <x:c r="AH3" s="34"/>
      <x:c r="AI3" s="34"/>
    </x:row>
    <x:row r="4">
      <x:c r="A4" s="34" t="str">
        <x:v>article1-unified-v4-2-fb3f101b-20260903-000401-default-f01-p1-caffeine</x:v>
      </x:c>
      <x:c r="B4" s="34" t="str">
        <x:v>default</x:v>
      </x:c>
      <x:c r="C4" s="34" t="str">
        <x:v>caffeine</x:v>
      </x:c>
      <x:c r="D4" s="34" t="str">
        <x:v>caffeine</x:v>
      </x:c>
      <x:c r="E4" s="36" t="n">
        <x:v>1</x:v>
      </x:c>
      <x:c r="F4" s="36" t="n">
        <x:v>1</x:v>
      </x:c>
      <x:c r="G4" s="36" t="n">
        <x:v>1</x:v>
      </x:c>
      <x:c r="H4" s="36" t="n">
        <x:v>1</x:v>
      </x:c>
      <x:c r="I4" s="34" t="str">
        <x:v>deployedIdle</x:v>
      </x:c>
      <x:c r="J4" s="34" t="str">
        <x:v>deployed-idle</x:v>
      </x:c>
      <x:c r="K4" s="36" t="n">
        <x:v>0</x:v>
      </x:c>
      <x:c r="L4" s="34" t="str">
        <x:v>initial</x:v>
      </x:c>
      <x:c r="M4" s="34" t="str">
        <x:v>article1-unified-v4-2-fb3f101b-20260903-000401-default-f01-p1-caffeine-1-deployed-idle</x:v>
      </x:c>
      <x:c r="N4" s="38" t="n">
        <x:v>46267.924208206015</x:v>
      </x:c>
      <x:c r="O4" s="36" t="n">
        <x:v>0</x:v>
      </x:c>
      <x:c r="P4" s="43" t="n">
        <x:v>21760000</x:v>
      </x:c>
      <x:c r="Q4" s="43" t="n">
        <x:v>268435456</x:v>
      </x:c>
      <x:c r="R4" s="43" t="n">
        <x:v>426798080</x:v>
      </x:c>
      <x:c r="S4" s="36" t="n">
        <x:v>2</x:v>
      </x:c>
      <x:c r="T4" s="44" t="str">
        <x:v>0x000000008b1177b8  0x000000008b003818  0x00007cbc44655bd0       0         0         0  org.apache.catalina.loader.ParallelWebappClassLoader | 0x000000008b1177b8  0x000000008b003818  0x00007cbba00461e0    4091  19420160  19409232  org.apache.catalina.loader.ParallelWebappClassLoader</x:v>
      </x:c>
      <x:c r="U4" s="36" t="n">
        <x:v>27</x:v>
      </x:c>
      <x:c r="V4" s="36" t="n">
        <x:v>0</x:v>
      </x:c>
      <x:c r="W4" s="44"/>
      <x:c r="X4" s="36"/>
      <x:c r="Y4" s="36"/>
      <x:c r="Z4" s="44"/>
      <x:c r="AA4" s="49"/>
      <x:c r="AB4" s="43"/>
      <x:c r="AC4" s="34"/>
      <x:c r="AD4" s="34"/>
      <x:c r="AE4" s="34"/>
      <x:c r="AF4" s="34"/>
      <x:c r="AG4" s="34"/>
      <x:c r="AH4" s="34"/>
      <x:c r="AI4" s="34"/>
    </x:row>
    <x:row r="5">
      <x:c r="A5" s="34" t="str">
        <x:v>article1-unified-v4-2-fb3f101b-20260903-000401-default-f01-p1-caffeine</x:v>
      </x:c>
      <x:c r="B5" s="34" t="str">
        <x:v>default</x:v>
      </x:c>
      <x:c r="C5" s="34" t="str">
        <x:v>caffeine</x:v>
      </x:c>
      <x:c r="D5" s="34" t="str">
        <x:v>caffeine</x:v>
      </x:c>
      <x:c r="E5" s="36" t="n">
        <x:v>1</x:v>
      </x:c>
      <x:c r="F5" s="36" t="n">
        <x:v>1</x:v>
      </x:c>
      <x:c r="G5" s="36" t="n">
        <x:v>1</x:v>
      </x:c>
      <x:c r="H5" s="36" t="n">
        <x:v>1</x:v>
      </x:c>
      <x:c r="I5" s="34" t="str">
        <x:v>loaded</x:v>
      </x:c>
      <x:c r="J5" s="34" t="str">
        <x:v>loaded</x:v>
      </x:c>
      <x:c r="K5" s="36" t="n">
        <x:v>0</x:v>
      </x:c>
      <x:c r="L5" s="34" t="str">
        <x:v>initial</x:v>
      </x:c>
      <x:c r="M5" s="34" t="str">
        <x:v>article1-unified-v4-2-fb3f101b-20260903-000401-default-f01-p1-caffeine-1-loaded</x:v>
      </x:c>
      <x:c r="N5" s="38" t="n">
        <x:v>46267.92436336805</x:v>
      </x:c>
      <x:c r="O5" s="36" t="n">
        <x:v>0</x:v>
      </x:c>
      <x:c r="P5" s="43" t="n">
        <x:v>211800064</x:v>
      </x:c>
      <x:c r="Q5" s="43" t="n">
        <x:v>268435456</x:v>
      </x:c>
      <x:c r="R5" s="43" t="n">
        <x:v>411768832</x:v>
      </x:c>
      <x:c r="S5" s="36" t="n">
        <x:v>2</x:v>
      </x:c>
      <x:c r="T5" s="44" t="str">
        <x:v>0x000000008b1177b8  0x000000008b003818  0x00007cbc44655bd0       0         0         0  org.apache.catalina.loader.ParallelWebappClassLoader | 0x000000008b1177b8  0x000000008b003818  0x00007cbba00461e0    4395  21100544  21084928  org.apache.catalina.loader.ParallelWebappClassLoader</x:v>
      </x:c>
      <x:c r="U5" s="36" t="n">
        <x:v>31</x:v>
      </x:c>
      <x:c r="V5" s="36" t="n">
        <x:v>0</x:v>
      </x:c>
      <x:c r="W5" s="44"/>
      <x:c r="X5" s="36"/>
      <x:c r="Y5" s="36"/>
      <x:c r="Z5" s="44"/>
      <x:c r="AA5" s="49"/>
      <x:c r="AB5" s="43"/>
      <x:c r="AC5" s="34"/>
      <x:c r="AD5" s="34"/>
      <x:c r="AE5" s="34"/>
      <x:c r="AF5" s="34"/>
      <x:c r="AG5" s="34"/>
      <x:c r="AH5" s="34"/>
      <x:c r="AI5" s="34"/>
    </x:row>
    <x:row r="6">
      <x:c r="A6" s="34" t="str">
        <x:v>article1-unified-v4-2-fb3f101b-20260903-000401-default-f01-p1-caffeine</x:v>
      </x:c>
      <x:c r="B6" s="34" t="str">
        <x:v>default</x:v>
      </x:c>
      <x:c r="C6" s="34" t="str">
        <x:v>caffeine</x:v>
      </x:c>
      <x:c r="D6" s="34" t="str">
        <x:v>caffeine</x:v>
      </x:c>
      <x:c r="E6" s="36" t="n">
        <x:v>1</x:v>
      </x:c>
      <x:c r="F6" s="36" t="n">
        <x:v>1</x:v>
      </x:c>
      <x:c r="G6" s="36" t="n">
        <x:v>1</x:v>
      </x:c>
      <x:c r="H6" s="36" t="n">
        <x:v>1</x:v>
      </x:c>
      <x:c r="I6" s="34" t="str">
        <x:v>afterUndeployEarly</x:v>
      </x:c>
      <x:c r="J6" s="34" t="str">
        <x:v>after-undeploy-early</x:v>
      </x:c>
      <x:c r="K6" s="36" t="n">
        <x:v>1</x:v>
      </x:c>
      <x:c r="L6" s="34" t="str">
        <x:v>early</x:v>
      </x:c>
      <x:c r="M6" s="34" t="str">
        <x:v>article1-unified-v4-2-fb3f101b-20260903-000401-default-f01-p1-caffeine-1-after-undeploy-early-2s</x:v>
      </x:c>
      <x:c r="N6" s="38" t="n">
        <x:v>46267.92444721065</x:v>
      </x:c>
      <x:c r="O6" s="36"/>
      <x:c r="P6" s="43"/>
      <x:c r="Q6" s="43"/>
      <x:c r="R6" s="43"/>
      <x:c r="S6" s="36"/>
      <x:c r="T6" s="44"/>
      <x:c r="U6" s="36" t="n">
        <x:v>30</x:v>
      </x:c>
      <x:c r="V6" s="36" t="n">
        <x:v>0</x:v>
      </x:c>
      <x:c r="W6" s="44"/>
      <x:c r="X6" s="36"/>
      <x:c r="Y6" s="36"/>
      <x:c r="Z6" s="44"/>
      <x:c r="AA6" s="49"/>
      <x:c r="AB6" s="43" t="n">
        <x:v>1</x:v>
      </x:c>
      <x:c r="AC6" s="34"/>
      <x:c r="AD6" s="34"/>
      <x:c r="AE6" s="34" t="str">
        <x:v>article1-unified-v4-2-fb3f101b-20260903-000401-default-f01-p1-caffeine-1-after-undeploy-early-2s-thread-dump.txt</x:v>
      </x:c>
      <x:c r="AF6" s="34" t="str">
        <x:v>article1-unified-v4-2-fb3f101b-20260903-000401-default-f01-p1-caffeine-1-after-undeploy-early-tomcat-log.txt</x:v>
      </x:c>
      <x:c r="AG6" s="34"/>
      <x:c r="AH6" s="34"/>
      <x:c r="AI6" s="34"/>
    </x:row>
    <x:row r="7">
      <x:c r="A7" s="34" t="str">
        <x:v>article1-unified-v4-2-fb3f101b-20260903-000401-default-f01-p1-caffeine</x:v>
      </x:c>
      <x:c r="B7" s="34" t="str">
        <x:v>default</x:v>
      </x:c>
      <x:c r="C7" s="34" t="str">
        <x:v>caffeine</x:v>
      </x:c>
      <x:c r="D7" s="34" t="str">
        <x:v>caffeine</x:v>
      </x:c>
      <x:c r="E7" s="36" t="n">
        <x:v>1</x:v>
      </x:c>
      <x:c r="F7" s="36" t="n">
        <x:v>1</x:v>
      </x:c>
      <x:c r="G7" s="36" t="n">
        <x:v>1</x:v>
      </x:c>
      <x:c r="H7" s="36" t="n">
        <x:v>1</x:v>
      </x:c>
      <x:c r="I7" s="34" t="str">
        <x:v>afterUndeploy</x:v>
      </x:c>
      <x:c r="J7" s="34" t="str">
        <x:v>after-undeploy-final</x:v>
      </x:c>
      <x:c r="K7" s="36" t="n">
        <x:v>1</x:v>
      </x:c>
      <x:c r="L7" s="34" t="str">
        <x:v>final</x:v>
      </x:c>
      <x:c r="M7" s="34" t="str">
        <x:v>article1-unified-v4-2-fb3f101b-20260903-000401-default-f01-p1-caffeine-1-after-undeploy-final-10s</x:v>
      </x:c>
      <x:c r="N7" s="38" t="n">
        <x:v>46267.924607835645</x:v>
      </x:c>
      <x:c r="O7" s="36" t="n">
        <x:v>2</x:v>
      </x:c>
      <x:c r="P7" s="43" t="n">
        <x:v>15729664</x:v>
      </x:c>
      <x:c r="Q7" s="43" t="n">
        <x:v>268435456</x:v>
      </x:c>
      <x:c r="R7" s="43" t="n">
        <x:v>410155008</x:v>
      </x:c>
      <x:c r="S7" s="36" t="n">
        <x:v>2</x:v>
      </x:c>
      <x:c r="T7" s="44" t="str">
        <x:v>0x000000008b1177b8  0x000000008b003818  0x00007cbc44655bd0       0         0         0  org.apache.catalina.loader.ParallelWebappClassLoader | 0x000000008b1177b8  0x000000008b003818  0x00007cbba00461e0    4403  21129216  21108704  org.apache.catalina.loader.ParallelWebappClassLoader</x:v>
      </x:c>
      <x:c r="U7" s="36" t="n">
        <x:v>30</x:v>
      </x:c>
      <x:c r="V7" s="36" t="n">
        <x:v>0</x:v>
      </x:c>
      <x:c r="W7" s="44"/>
      <x:c r="X7" s="36" t="n">
        <x:v>1</x:v>
      </x:c>
      <x:c r="Y7" s="36" t="n">
        <x:v>1</x:v>
      </x:c>
      <x:c r="Z7" s="44" t="str">
        <x:v>/caffeine</x:v>
      </x:c>
      <x:c r="AA7" s="45" t="b">
        <x:v>1</x:v>
      </x:c>
      <x:c r="AB7" s="43"/>
      <x:c r="AC7" s="34" t="str">
        <x:v>article1-unified-v4-2-fb3f101b-20260903-000401-default-f01-p1-caffeine-1-after-undeploy-final-10s-heap-info.txt</x:v>
      </x:c>
      <x:c r="AD7" s="34" t="str">
        <x:v>article1-unified-v4-2-fb3f101b-20260903-000401-default-f01-p1-caffeine-1-after-undeploy-final-10s-classloader-stats.txt</x:v>
      </x:c>
      <x:c r="AE7" s="34" t="str">
        <x:v>article1-unified-v4-2-fb3f101b-20260903-000401-default-f01-p1-caffeine-1-after-undeploy-final-10s-thread-dump.txt</x:v>
      </x:c>
      <x:c r="AF7" s="34"/>
      <x:c r="AG7" s="34" t="str">
        <x:v>article1-unified-v4-2-fb3f101b-20260903-000401-default-f01-p1-caffeine-1-after-undeploy-final-10s-native-memory.txt</x:v>
      </x:c>
      <x:c r="AH7" s="34" t="str">
        <x:v>article1-unified-v4-2-fb3f101b-20260903-000401-default-f01-p1-caffeine-1-after-undeploy-final-10s-class-histogram.txt</x:v>
      </x:c>
      <x:c r="AI7" s="34" t="str">
        <x:v>article1-unified-v4-2-fb3f101b-20260903-000401-default-f01-p1-caffeine-1-after-undeploy-tomcat-findleaks.txt</x:v>
      </x:c>
    </x:row>
    <x:row r="8">
      <x:c r="A8" s="34" t="str">
        <x:v>article1-unified-v4-2-fb3f101b-20260903-000401-default-f01-p1-caffeine</x:v>
      </x:c>
      <x:c r="B8" s="34" t="str">
        <x:v>default</x:v>
      </x:c>
      <x:c r="C8" s="34" t="str">
        <x:v>caffeine</x:v>
      </x:c>
      <x:c r="D8" s="34" t="str">
        <x:v>caffeine</x:v>
      </x:c>
      <x:c r="E8" s="36" t="n">
        <x:v>1</x:v>
      </x:c>
      <x:c r="F8" s="36" t="n">
        <x:v>1</x:v>
      </x:c>
      <x:c r="G8" s="36" t="n">
        <x:v>1</x:v>
      </x:c>
      <x:c r="H8" s="36" t="n">
        <x:v>1</x:v>
      </x:c>
      <x:c r="I8" s="34" t="str">
        <x:v>redeployedLoaded</x:v>
      </x:c>
      <x:c r="J8" s="34" t="str">
        <x:v>redeployed-loaded</x:v>
      </x:c>
      <x:c r="K8" s="36" t="n">
        <x:v>0</x:v>
      </x:c>
      <x:c r="L8" s="34" t="str">
        <x:v>redeploy</x:v>
      </x:c>
      <x:c r="M8" s="34" t="str">
        <x:v>article1-unified-v4-2-fb3f101b-20260903-000401-default-f01-p1-caffeine-1-redeployed-loaded</x:v>
      </x:c>
      <x:c r="N8" s="38" t="n">
        <x:v>46267.92486636574</x:v>
      </x:c>
      <x:c r="O8" s="36" t="n">
        <x:v>0</x:v>
      </x:c>
      <x:c r="P8" s="43" t="n">
        <x:v>201859072</x:v>
      </x:c>
      <x:c r="Q8" s="43" t="n">
        <x:v>268435456</x:v>
      </x:c>
      <x:c r="R8" s="43" t="n">
        <x:v>439022592</x:v>
      </x:c>
      <x:c r="S8" s="36" t="n">
        <x:v>3</x:v>
      </x:c>
      <x:c r="T8" s="44" t="str">
        <x:v>0x000000008b1177b8  0x000000008b003818  0x00007cbba000d2e0    4394  21171200  21156136  org.apache.catalina.loader.ParallelWebappClassLoader | 0x000000008b1177b8  0x000000008b003818  0x00007cbc44655bd0       0         0         0  org.apache.catalina.loader.ParallelWebappClassLoader | 0x000000008b1177b8  0x000000008b003818  0x00007cbba00461e0    4403  21129216  21108704  org.apache.catalina.loader.ParallelWebappClassLoader</x:v>
      </x:c>
      <x:c r="U8" s="36" t="n">
        <x:v>30</x:v>
      </x:c>
      <x:c r="V8" s="36" t="n">
        <x:v>0</x:v>
      </x:c>
      <x:c r="W8" s="44"/>
      <x:c r="X8" s="36"/>
      <x:c r="Y8" s="36"/>
      <x:c r="Z8" s="44"/>
      <x:c r="AA8" s="49"/>
      <x:c r="AB8" s="43"/>
      <x:c r="AC8" s="34"/>
      <x:c r="AD8" s="34"/>
      <x:c r="AE8" s="34"/>
      <x:c r="AF8" s="34"/>
      <x:c r="AG8" s="34"/>
      <x:c r="AH8" s="34"/>
      <x:c r="AI8" s="34"/>
    </x:row>
    <x:row r="9">
      <x:c r="A9" s="34" t="str">
        <x:v>article1-unified-v4-2-fb3f101b-20260903-000401-default-f01-p1-caffeine</x:v>
      </x:c>
      <x:c r="B9" s="34" t="str">
        <x:v>default</x:v>
      </x:c>
      <x:c r="C9" s="34" t="str">
        <x:v>caffeine</x:v>
      </x:c>
      <x:c r="D9" s="34" t="str">
        <x:v>caffeine</x:v>
      </x:c>
      <x:c r="E9" s="36" t="n">
        <x:v>1</x:v>
      </x:c>
      <x:c r="F9" s="36" t="n">
        <x:v>1</x:v>
      </x:c>
      <x:c r="G9" s="36" t="n">
        <x:v>1</x:v>
      </x:c>
      <x:c r="H9" s="36" t="n">
        <x:v>1</x:v>
      </x:c>
      <x:c r="I9" s="34" t="str">
        <x:v>afterFinalUndeployEarly</x:v>
      </x:c>
      <x:c r="J9" s="34" t="str">
        <x:v>after-final-undeploy-early</x:v>
      </x:c>
      <x:c r="K9" s="36" t="n">
        <x:v>2</x:v>
      </x:c>
      <x:c r="L9" s="34" t="str">
        <x:v>early</x:v>
      </x:c>
      <x:c r="M9" s="34" t="str">
        <x:v>article1-unified-v4-2-fb3f101b-20260903-000401-default-f01-p1-caffeine-1-after-final-undeploy-early-2s</x:v>
      </x:c>
      <x:c r="N9" s="38" t="n">
        <x:v>46267.92494841435</x:v>
      </x:c>
      <x:c r="O9" s="36"/>
      <x:c r="P9" s="43"/>
      <x:c r="Q9" s="43"/>
      <x:c r="R9" s="43"/>
      <x:c r="S9" s="36"/>
      <x:c r="T9" s="44"/>
      <x:c r="U9" s="36" t="n">
        <x:v>30</x:v>
      </x:c>
      <x:c r="V9" s="36" t="n">
        <x:v>0</x:v>
      </x:c>
      <x:c r="W9" s="44"/>
      <x:c r="X9" s="36"/>
      <x:c r="Y9" s="36"/>
      <x:c r="Z9" s="44"/>
      <x:c r="AA9" s="49"/>
      <x:c r="AB9" s="43" t="n">
        <x:v>1</x:v>
      </x:c>
      <x:c r="AC9" s="34"/>
      <x:c r="AD9" s="34"/>
      <x:c r="AE9" s="34" t="str">
        <x:v>article1-unified-v4-2-fb3f101b-20260903-000401-default-f01-p1-caffeine-1-after-final-undeploy-early-2s-thread-dump.txt</x:v>
      </x:c>
      <x:c r="AF9" s="34" t="str">
        <x:v>article1-unified-v4-2-fb3f101b-20260903-000401-default-f01-p1-caffeine-1-after-final-undeploy-early-tomcat-log.txt</x:v>
      </x:c>
      <x:c r="AG9" s="34"/>
      <x:c r="AH9" s="34"/>
      <x:c r="AI9" s="34"/>
    </x:row>
    <x:row r="10">
      <x:c r="A10" s="34" t="str">
        <x:v>article1-unified-v4-2-fb3f101b-20260903-000401-default-f01-p1-caffeine</x:v>
      </x:c>
      <x:c r="B10" s="34" t="str">
        <x:v>default</x:v>
      </x:c>
      <x:c r="C10" s="34" t="str">
        <x:v>caffeine</x:v>
      </x:c>
      <x:c r="D10" s="34" t="str">
        <x:v>caffeine</x:v>
      </x:c>
      <x:c r="E10" s="36" t="n">
        <x:v>1</x:v>
      </x:c>
      <x:c r="F10" s="36" t="n">
        <x:v>1</x:v>
      </x:c>
      <x:c r="G10" s="36" t="n">
        <x:v>1</x:v>
      </x:c>
      <x:c r="H10" s="36" t="n">
        <x:v>1</x:v>
      </x:c>
      <x:c r="I10" s="34" t="str">
        <x:v>afterFinalUndeploy</x:v>
      </x:c>
      <x:c r="J10" s="34" t="str">
        <x:v>after-final-undeploy-final</x:v>
      </x:c>
      <x:c r="K10" s="36" t="n">
        <x:v>2</x:v>
      </x:c>
      <x:c r="L10" s="34" t="str">
        <x:v>final</x:v>
      </x:c>
      <x:c r="M10" s="34" t="str">
        <x:v>article1-unified-v4-2-fb3f101b-20260903-000401-default-f01-p1-caffeine-1-after-final-undeploy-final-10s</x:v>
      </x:c>
      <x:c r="N10" s="38" t="n">
        <x:v>46267.92510552084</x:v>
      </x:c>
      <x:c r="O10" s="36" t="n">
        <x:v>2</x:v>
      </x:c>
      <x:c r="P10" s="43" t="n">
        <x:v>19576832</x:v>
      </x:c>
      <x:c r="Q10" s="43" t="n">
        <x:v>268435456</x:v>
      </x:c>
      <x:c r="R10" s="43" t="n">
        <x:v>437657600</x:v>
      </x:c>
      <x:c r="S10" s="36" t="n">
        <x:v>3</x:v>
      </x:c>
      <x:c r="T10" s="44" t="str">
        <x:v>0x000000008b1177b8  0x000000008b003818  0x00007cbba000d2e0    4402  21203968  21180808  org.apache.catalina.loader.ParallelWebappClassLoader | 0x000000008b1177b8  0x000000008b003818  0x00007cbc44655bd0       0         0         0  org.apache.catalina.loader.ParallelWebappClassLoader | 0x000000008b1177b8  0x000000008b003818  0x00007cbba00461e0    4403  21129216  21108704  org.apache.catalina.loader.ParallelWebappClassLoader</x:v>
      </x:c>
      <x:c r="U10" s="36" t="n">
        <x:v>30</x:v>
      </x:c>
      <x:c r="V10" s="36" t="n">
        <x:v>0</x:v>
      </x:c>
      <x:c r="W10" s="44"/>
      <x:c r="X10" s="36" t="n">
        <x:v>2</x:v>
      </x:c>
      <x:c r="Y10" s="36" t="n">
        <x:v>2</x:v>
      </x:c>
      <x:c r="Z10" s="44" t="str">
        <x:v>/caffeine</x:v>
      </x:c>
      <x:c r="AA10" s="45" t="b">
        <x:v>1</x:v>
      </x:c>
      <x:c r="AB10" s="43"/>
      <x:c r="AC10" s="34" t="str">
        <x:v>article1-unified-v4-2-fb3f101b-20260903-000401-default-f01-p1-caffeine-1-after-final-undeploy-final-10s-heap-info.txt</x:v>
      </x:c>
      <x:c r="AD10" s="34" t="str">
        <x:v>article1-unified-v4-2-fb3f101b-20260903-000401-default-f01-p1-caffeine-1-after-final-undeploy-final-10s-classloader-stats.txt</x:v>
      </x:c>
      <x:c r="AE10" s="34" t="str">
        <x:v>article1-unified-v4-2-fb3f101b-20260903-000401-default-f01-p1-caffeine-1-after-final-undeploy-final-10s-thread-dump.txt</x:v>
      </x:c>
      <x:c r="AF10" s="34"/>
      <x:c r="AG10" s="34" t="str">
        <x:v>article1-unified-v4-2-fb3f101b-20260903-000401-default-f01-p1-caffeine-1-after-final-undeploy-final-10s-native-memory.txt</x:v>
      </x:c>
      <x:c r="AH10" s="34" t="str">
        <x:v>article1-unified-v4-2-fb3f101b-20260903-000401-default-f01-p1-caffeine-1-after-final-undeploy-final-10s-class-histogram.txt</x:v>
      </x:c>
      <x:c r="AI10" s="34" t="str">
        <x:v>article1-unified-v4-2-fb3f101b-20260903-000401-default-f01-p1-caffeine-1-after-final-undeploy-tomcat-findleaks.txt</x:v>
      </x:c>
    </x:row>
    <x:row r="11">
      <x:c r="A11" s="34" t="str">
        <x:v>article1-unified-v4-2-fb3f101b-20260903-000401-default-f01-p1-caffeine</x:v>
      </x:c>
      <x:c r="B11" s="34" t="str">
        <x:v>default</x:v>
      </x:c>
      <x:c r="C11" s="34" t="str">
        <x:v>caffeine</x:v>
      </x:c>
      <x:c r="D11" s="34" t="str">
        <x:v>caffeine</x:v>
      </x:c>
      <x:c r="E11" s="36" t="n">
        <x:v>1</x:v>
      </x:c>
      <x:c r="F11" s="36" t="n">
        <x:v>1</x:v>
      </x:c>
      <x:c r="G11" s="36" t="n">
        <x:v>1</x:v>
      </x:c>
      <x:c r="H11" s="36" t="n">
        <x:v>2</x:v>
      </x:c>
      <x:c r="I11" s="34" t="str">
        <x:v>baseline</x:v>
      </x:c>
      <x:c r="J11" s="34" t="str">
        <x:v>cycle-baseline</x:v>
      </x:c>
      <x:c r="K11" s="36" t="n">
        <x:v>0</x:v>
      </x:c>
      <x:c r="L11" s="34" t="str">
        <x:v>baseline</x:v>
      </x:c>
      <x:c r="M11" s="34" t="str">
        <x:v>article1-unified-v4-2-fb3f101b-20260903-000401-default-f01-p1-caffeine-2-baseline</x:v>
      </x:c>
      <x:c r="N11" s="38" t="n">
        <x:v>46267.925148981485</x:v>
      </x:c>
      <x:c r="O11" s="36" t="n">
        <x:v>0</x:v>
      </x:c>
      <x:c r="P11" s="43" t="n">
        <x:v>19634176</x:v>
      </x:c>
      <x:c r="Q11" s="43" t="n">
        <x:v>268435456</x:v>
      </x:c>
      <x:c r="R11" s="43" t="n">
        <x:v>437623808</x:v>
      </x:c>
      <x:c r="S11" s="36" t="n">
        <x:v>3</x:v>
      </x:c>
      <x:c r="T11" s="44" t="str">
        <x:v>0x000000008b1177b8  0x000000008b003818  0x00007cbba000d2e0    4402  21203968  21180808  org.apache.catalina.loader.ParallelWebappClassLoader | 0x000000008b1177b8  0x000000008b003818  0x00007cbc44655bd0       0         0         0  org.apache.catalina.loader.ParallelWebappClassLoader | 0x000000008b1177b8  0x000000008b003818  0x00007cbba00461e0    4403  21129216  21108704  org.apache.catalina.loader.ParallelWebappClassLoader</x:v>
      </x:c>
      <x:c r="U11" s="36" t="n">
        <x:v>30</x:v>
      </x:c>
      <x:c r="V11" s="36" t="n">
        <x:v>0</x:v>
      </x:c>
      <x:c r="W11" s="44"/>
      <x:c r="X11" s="36"/>
      <x:c r="Y11" s="36"/>
      <x:c r="Z11" s="44"/>
      <x:c r="AA11" s="49"/>
      <x:c r="AB11" s="43"/>
      <x:c r="AC11" s="34" t="str">
        <x:v>article1-unified-v4-2-fb3f101b-20260903-000401-default-f01-p1-caffeine-2-baseline-heap-info.txt</x:v>
      </x:c>
      <x:c r="AD11" s="34" t="str">
        <x:v>article1-unified-v4-2-fb3f101b-20260903-000401-default-f01-p1-caffeine-2-baseline-classloader-stats.txt</x:v>
      </x:c>
      <x:c r="AE11" s="34" t="str">
        <x:v>article1-unified-v4-2-fb3f101b-20260903-000401-default-f01-p1-caffeine-2-baseline-thread-dump.txt</x:v>
      </x:c>
      <x:c r="AF11" s="34"/>
      <x:c r="AG11" s="34" t="str">
        <x:v>article1-unified-v4-2-fb3f101b-20260903-000401-default-f01-p1-caffeine-2-baseline-native-memory.txt</x:v>
      </x:c>
      <x:c r="AH11" s="34"/>
      <x:c r="AI11" s="34"/>
    </x:row>
    <x:row r="12">
      <x:c r="A12" s="34" t="str">
        <x:v>article1-unified-v4-2-fb3f101b-20260903-000401-default-f01-p1-caffeine</x:v>
      </x:c>
      <x:c r="B12" s="34" t="str">
        <x:v>default</x:v>
      </x:c>
      <x:c r="C12" s="34" t="str">
        <x:v>caffeine</x:v>
      </x:c>
      <x:c r="D12" s="34" t="str">
        <x:v>caffeine</x:v>
      </x:c>
      <x:c r="E12" s="36" t="n">
        <x:v>1</x:v>
      </x:c>
      <x:c r="F12" s="36" t="n">
        <x:v>1</x:v>
      </x:c>
      <x:c r="G12" s="36" t="n">
        <x:v>1</x:v>
      </x:c>
      <x:c r="H12" s="36" t="n">
        <x:v>2</x:v>
      </x:c>
      <x:c r="I12" s="34" t="str">
        <x:v>deployedIdle</x:v>
      </x:c>
      <x:c r="J12" s="34" t="str">
        <x:v>deployed-idle</x:v>
      </x:c>
      <x:c r="K12" s="36" t="n">
        <x:v>0</x:v>
      </x:c>
      <x:c r="L12" s="34" t="str">
        <x:v>initial</x:v>
      </x:c>
      <x:c r="M12" s="34" t="str">
        <x:v>article1-unified-v4-2-fb3f101b-20260903-000401-default-f01-p1-caffeine-2-deployed-idle</x:v>
      </x:c>
      <x:c r="N12" s="38" t="n">
        <x:v>46267.92524974537</x:v>
      </x:c>
      <x:c r="O12" s="36" t="n">
        <x:v>0</x:v>
      </x:c>
      <x:c r="P12" s="43" t="n">
        <x:v>170543104</x:v>
      </x:c>
      <x:c r="Q12" s="43" t="n">
        <x:v>268435456</x:v>
      </x:c>
      <x:c r="R12" s="43" t="n">
        <x:v>478819328</x:v>
      </x:c>
      <x:c r="S12" s="36" t="n">
        <x:v>4</x:v>
      </x:c>
      <x:c r="T12" s="44" t="str">
        <x:v>0x000000008b1177b8  0x000000008b003818  0x00007cbba000d2e0    4402  21203968  21180808  org.apache.catalina.loader.ParallelWebappClassLoader | 0x000000008b1177b8  0x000000008b003818  0x00007cbc44655bd0       0         0         0  org.apache.catalina.loader.ParallelWebappClassLoader | 0x000000008b1177b8  0x000000008b003818  0x00007cbb94151690    4091  19438592  19431152  org.apache.catalina.loader.ParallelWebappClassLoader | 0x000000008b1177b8  0x000000008b003818  0x00007cbba00461e0    4403  21129216  21108704  org.apache.catalina.loader.ParallelWebappClassLoader</x:v>
      </x:c>
      <x:c r="U12" s="36" t="n">
        <x:v>30</x:v>
      </x:c>
      <x:c r="V12" s="36" t="n">
        <x:v>0</x:v>
      </x:c>
      <x:c r="W12" s="44"/>
      <x:c r="X12" s="36"/>
      <x:c r="Y12" s="36"/>
      <x:c r="Z12" s="44"/>
      <x:c r="AA12" s="49"/>
      <x:c r="AB12" s="43"/>
      <x:c r="AC12" s="34"/>
      <x:c r="AD12" s="34"/>
      <x:c r="AE12" s="34"/>
      <x:c r="AF12" s="34"/>
      <x:c r="AG12" s="34"/>
      <x:c r="AH12" s="34"/>
      <x:c r="AI12" s="34"/>
    </x:row>
    <x:row r="13">
      <x:c r="A13" s="34" t="str">
        <x:v>article1-unified-v4-2-fb3f101b-20260903-000401-default-f01-p1-caffeine</x:v>
      </x:c>
      <x:c r="B13" s="34" t="str">
        <x:v>default</x:v>
      </x:c>
      <x:c r="C13" s="34" t="str">
        <x:v>caffeine</x:v>
      </x:c>
      <x:c r="D13" s="34" t="str">
        <x:v>caffeine</x:v>
      </x:c>
      <x:c r="E13" s="36" t="n">
        <x:v>1</x:v>
      </x:c>
      <x:c r="F13" s="36" t="n">
        <x:v>1</x:v>
      </x:c>
      <x:c r="G13" s="36" t="n">
        <x:v>1</x:v>
      </x:c>
      <x:c r="H13" s="36" t="n">
        <x:v>2</x:v>
      </x:c>
      <x:c r="I13" s="34" t="str">
        <x:v>loaded</x:v>
      </x:c>
      <x:c r="J13" s="34" t="str">
        <x:v>loaded</x:v>
      </x:c>
      <x:c r="K13" s="36" t="n">
        <x:v>0</x:v>
      </x:c>
      <x:c r="L13" s="34" t="str">
        <x:v>initial</x:v>
      </x:c>
      <x:c r="M13" s="34" t="str">
        <x:v>article1-unified-v4-2-fb3f101b-20260903-000401-default-f01-p1-caffeine-2-loaded</x:v>
      </x:c>
      <x:c r="N13" s="38" t="n">
        <x:v>46267.92540555556</x:v>
      </x:c>
      <x:c r="O13" s="36" t="n">
        <x:v>0</x:v>
      </x:c>
      <x:c r="P13" s="43" t="n">
        <x:v>203924480</x:v>
      </x:c>
      <x:c r="Q13" s="43" t="n">
        <x:v>268435456</x:v>
      </x:c>
      <x:c r="R13" s="43" t="n">
        <x:v>465661952</x:v>
      </x:c>
      <x:c r="S13" s="36" t="n">
        <x:v>4</x:v>
      </x:c>
      <x:c r="T13" s="44" t="str">
        <x:v>0x000000008b1177b8  0x000000008b003818  0x00007cbba000d2e0    4402  21203968  21180808  org.apache.catalina.loader.ParallelWebappClassLoader | 0x000000008b1177b8  0x000000008b003818  0x00007cbc44655bd0       0         0         0  org.apache.catalina.loader.ParallelWebappClassLoader | 0x000000008b1177b8  0x000000008b003818  0x00007cbb94151690    4390  21158912  21141640  org.apache.catalina.loader.ParallelWebappClassLoader | 0x000000008b1177b8  0x000000008b003818  0x00007cbba00461e0    4403  21129216  21108704  org.apache.catalina.loader.ParallelWebappClassLoader</x:v>
      </x:c>
      <x:c r="U13" s="36" t="n">
        <x:v>31</x:v>
      </x:c>
      <x:c r="V13" s="36" t="n">
        <x:v>0</x:v>
      </x:c>
      <x:c r="W13" s="44"/>
      <x:c r="X13" s="36"/>
      <x:c r="Y13" s="36"/>
      <x:c r="Z13" s="44"/>
      <x:c r="AA13" s="49"/>
      <x:c r="AB13" s="43"/>
      <x:c r="AC13" s="34"/>
      <x:c r="AD13" s="34"/>
      <x:c r="AE13" s="34"/>
      <x:c r="AF13" s="34"/>
      <x:c r="AG13" s="34"/>
      <x:c r="AH13" s="34"/>
      <x:c r="AI13" s="34"/>
    </x:row>
    <x:row r="14">
      <x:c r="A14" s="34" t="str">
        <x:v>article1-unified-v4-2-fb3f101b-20260903-000401-default-f01-p1-caffeine</x:v>
      </x:c>
      <x:c r="B14" s="34" t="str">
        <x:v>default</x:v>
      </x:c>
      <x:c r="C14" s="34" t="str">
        <x:v>caffeine</x:v>
      </x:c>
      <x:c r="D14" s="34" t="str">
        <x:v>caffeine</x:v>
      </x:c>
      <x:c r="E14" s="36" t="n">
        <x:v>1</x:v>
      </x:c>
      <x:c r="F14" s="36" t="n">
        <x:v>1</x:v>
      </x:c>
      <x:c r="G14" s="36" t="n">
        <x:v>1</x:v>
      </x:c>
      <x:c r="H14" s="36" t="n">
        <x:v>2</x:v>
      </x:c>
      <x:c r="I14" s="34" t="str">
        <x:v>afterUndeployEarly</x:v>
      </x:c>
      <x:c r="J14" s="34" t="str">
        <x:v>after-undeploy-early</x:v>
      </x:c>
      <x:c r="K14" s="36" t="n">
        <x:v>1</x:v>
      </x:c>
      <x:c r="L14" s="34" t="str">
        <x:v>early</x:v>
      </x:c>
      <x:c r="M14" s="34" t="str">
        <x:v>article1-unified-v4-2-fb3f101b-20260903-000401-default-f01-p1-caffeine-2-after-undeploy-early-2s</x:v>
      </x:c>
      <x:c r="N14" s="38" t="n">
        <x:v>46267.925489375</x:v>
      </x:c>
      <x:c r="O14" s="36"/>
      <x:c r="P14" s="43"/>
      <x:c r="Q14" s="43"/>
      <x:c r="R14" s="43"/>
      <x:c r="S14" s="36"/>
      <x:c r="T14" s="44"/>
      <x:c r="U14" s="36" t="n">
        <x:v>30</x:v>
      </x:c>
      <x:c r="V14" s="36" t="n">
        <x:v>0</x:v>
      </x:c>
      <x:c r="W14" s="44"/>
      <x:c r="X14" s="36"/>
      <x:c r="Y14" s="36"/>
      <x:c r="Z14" s="44"/>
      <x:c r="AA14" s="49"/>
      <x:c r="AB14" s="43" t="n">
        <x:v>1</x:v>
      </x:c>
      <x:c r="AC14" s="34"/>
      <x:c r="AD14" s="34"/>
      <x:c r="AE14" s="34" t="str">
        <x:v>article1-unified-v4-2-fb3f101b-20260903-000401-default-f01-p1-caffeine-2-after-undeploy-early-2s-thread-dump.txt</x:v>
      </x:c>
      <x:c r="AF14" s="34" t="str">
        <x:v>article1-unified-v4-2-fb3f101b-20260903-000401-default-f01-p1-caffeine-2-after-undeploy-early-tomcat-log.txt</x:v>
      </x:c>
      <x:c r="AG14" s="34"/>
      <x:c r="AH14" s="34"/>
      <x:c r="AI14" s="34"/>
    </x:row>
    <x:row r="15">
      <x:c r="A15" s="34" t="str">
        <x:v>article1-unified-v4-2-fb3f101b-20260903-000401-default-f01-p1-caffeine</x:v>
      </x:c>
      <x:c r="B15" s="34" t="str">
        <x:v>default</x:v>
      </x:c>
      <x:c r="C15" s="34" t="str">
        <x:v>caffeine</x:v>
      </x:c>
      <x:c r="D15" s="34" t="str">
        <x:v>caffeine</x:v>
      </x:c>
      <x:c r="E15" s="36" t="n">
        <x:v>1</x:v>
      </x:c>
      <x:c r="F15" s="36" t="n">
        <x:v>1</x:v>
      </x:c>
      <x:c r="G15" s="36" t="n">
        <x:v>1</x:v>
      </x:c>
      <x:c r="H15" s="36" t="n">
        <x:v>2</x:v>
      </x:c>
      <x:c r="I15" s="34" t="str">
        <x:v>afterUndeploy</x:v>
      </x:c>
      <x:c r="J15" s="34" t="str">
        <x:v>after-undeploy-final</x:v>
      </x:c>
      <x:c r="K15" s="36" t="n">
        <x:v>1</x:v>
      </x:c>
      <x:c r="L15" s="34" t="str">
        <x:v>final</x:v>
      </x:c>
      <x:c r="M15" s="34" t="str">
        <x:v>article1-unified-v4-2-fb3f101b-20260903-000401-default-f01-p1-caffeine-2-after-undeploy-final-10s</x:v>
      </x:c>
      <x:c r="N15" s="38" t="n">
        <x:v>46267.92564828704</x:v>
      </x:c>
      <x:c r="O15" s="36" t="n">
        <x:v>2</x:v>
      </x:c>
      <x:c r="P15" s="43" t="n">
        <x:v>15671296</x:v>
      </x:c>
      <x:c r="Q15" s="43" t="n">
        <x:v>268435456</x:v>
      </x:c>
      <x:c r="R15" s="43" t="n">
        <x:v>424232960</x:v>
      </x:c>
      <x:c r="S15" s="36" t="n">
        <x:v>2</x:v>
      </x:c>
      <x:c r="T15" s="44" t="str">
        <x:v>0x000000008b1177b8  0x000000008b003818  0x00007cbc44655bd0       0         0         0  org.apache.catalina.loader.ParallelWebappClassLoader | 0x000000008b1177b8  0x000000008b003818  0x00007cbb94151690    4398  21191680  21166320  org.apache.catalina.loader.ParallelWebappClassLoader</x:v>
      </x:c>
      <x:c r="U15" s="36" t="n">
        <x:v>30</x:v>
      </x:c>
      <x:c r="V15" s="36" t="n">
        <x:v>0</x:v>
      </x:c>
      <x:c r="W15" s="44"/>
      <x:c r="X15" s="36" t="n">
        <x:v>1</x:v>
      </x:c>
      <x:c r="Y15" s="36" t="n">
        <x:v>1</x:v>
      </x:c>
      <x:c r="Z15" s="44" t="str">
        <x:v>/caffeine</x:v>
      </x:c>
      <x:c r="AA15" s="45" t="b">
        <x:v>1</x:v>
      </x:c>
      <x:c r="AB15" s="43"/>
      <x:c r="AC15" s="34" t="str">
        <x:v>article1-unified-v4-2-fb3f101b-20260903-000401-default-f01-p1-caffeine-2-after-undeploy-final-10s-heap-info.txt</x:v>
      </x:c>
      <x:c r="AD15" s="34" t="str">
        <x:v>article1-unified-v4-2-fb3f101b-20260903-000401-default-f01-p1-caffeine-2-after-undeploy-final-10s-classloader-stats.txt</x:v>
      </x:c>
      <x:c r="AE15" s="34" t="str">
        <x:v>article1-unified-v4-2-fb3f101b-20260903-000401-default-f01-p1-caffeine-2-after-undeploy-final-10s-thread-dump.txt</x:v>
      </x:c>
      <x:c r="AF15" s="34"/>
      <x:c r="AG15" s="34" t="str">
        <x:v>article1-unified-v4-2-fb3f101b-20260903-000401-default-f01-p1-caffeine-2-after-undeploy-final-10s-native-memory.txt</x:v>
      </x:c>
      <x:c r="AH15" s="34" t="str">
        <x:v>article1-unified-v4-2-fb3f101b-20260903-000401-default-f01-p1-caffeine-2-after-undeploy-final-10s-class-histogram.txt</x:v>
      </x:c>
      <x:c r="AI15" s="34" t="str">
        <x:v>article1-unified-v4-2-fb3f101b-20260903-000401-default-f01-p1-caffeine-2-after-undeploy-tomcat-findleaks.txt</x:v>
      </x:c>
    </x:row>
    <x:row r="16">
      <x:c r="A16" s="34" t="str">
        <x:v>article1-unified-v4-2-fb3f101b-20260903-000401-default-f01-p1-caffeine</x:v>
      </x:c>
      <x:c r="B16" s="34" t="str">
        <x:v>default</x:v>
      </x:c>
      <x:c r="C16" s="34" t="str">
        <x:v>caffeine</x:v>
      </x:c>
      <x:c r="D16" s="34" t="str">
        <x:v>caffeine</x:v>
      </x:c>
      <x:c r="E16" s="36" t="n">
        <x:v>1</x:v>
      </x:c>
      <x:c r="F16" s="36" t="n">
        <x:v>1</x:v>
      </x:c>
      <x:c r="G16" s="36" t="n">
        <x:v>1</x:v>
      </x:c>
      <x:c r="H16" s="36" t="n">
        <x:v>2</x:v>
      </x:c>
      <x:c r="I16" s="34" t="str">
        <x:v>redeployedLoaded</x:v>
      </x:c>
      <x:c r="J16" s="34" t="str">
        <x:v>redeployed-loaded</x:v>
      </x:c>
      <x:c r="K16" s="36" t="n">
        <x:v>0</x:v>
      </x:c>
      <x:c r="L16" s="34" t="str">
        <x:v>redeploy</x:v>
      </x:c>
      <x:c r="M16" s="34" t="str">
        <x:v>article1-unified-v4-2-fb3f101b-20260903-000401-default-f01-p1-caffeine-2-redeployed-loaded</x:v>
      </x:c>
      <x:c r="N16" s="38" t="n">
        <x:v>46267.925910543985</x:v>
      </x:c>
      <x:c r="O16" s="36" t="n">
        <x:v>0</x:v>
      </x:c>
      <x:c r="P16" s="43" t="n">
        <x:v>198715392</x:v>
      </x:c>
      <x:c r="Q16" s="43" t="n">
        <x:v>268435456</x:v>
      </x:c>
      <x:c r="R16" s="43" t="n">
        <x:v>443527168</x:v>
      </x:c>
      <x:c r="S16" s="36" t="n">
        <x:v>3</x:v>
      </x:c>
      <x:c r="T16" s="44" t="str">
        <x:v>0x000000008b1177b8  0x000000008b003818  0x00007cbbb819a330    4392  21163008  21134736  org.apache.catalina.loader.ParallelWebappClassLoader | 0x000000008b1177b8  0x000000008b003818  0x00007cbc44655bd0       0         0         0  org.apache.catalina.loader.ParallelWebappClassLoader | 0x000000008b1177b8  0x000000008b003818  0x00007cbb94151690    4398  21191680  21166320  org.apache.catalina.loader.ParallelWebappClassLoader</x:v>
      </x:c>
      <x:c r="U16" s="36" t="n">
        <x:v>31</x:v>
      </x:c>
      <x:c r="V16" s="36" t="n">
        <x:v>0</x:v>
      </x:c>
      <x:c r="W16" s="44"/>
      <x:c r="X16" s="36"/>
      <x:c r="Y16" s="36"/>
      <x:c r="Z16" s="44"/>
      <x:c r="AA16" s="49"/>
      <x:c r="AB16" s="43"/>
      <x:c r="AC16" s="34"/>
      <x:c r="AD16" s="34"/>
      <x:c r="AE16" s="34"/>
      <x:c r="AF16" s="34"/>
      <x:c r="AG16" s="34"/>
      <x:c r="AH16" s="34"/>
      <x:c r="AI16" s="34"/>
    </x:row>
    <x:row r="17">
      <x:c r="A17" s="34" t="str">
        <x:v>article1-unified-v4-2-fb3f101b-20260903-000401-default-f01-p1-caffeine</x:v>
      </x:c>
      <x:c r="B17" s="34" t="str">
        <x:v>default</x:v>
      </x:c>
      <x:c r="C17" s="34" t="str">
        <x:v>caffeine</x:v>
      </x:c>
      <x:c r="D17" s="34" t="str">
        <x:v>caffeine</x:v>
      </x:c>
      <x:c r="E17" s="36" t="n">
        <x:v>1</x:v>
      </x:c>
      <x:c r="F17" s="36" t="n">
        <x:v>1</x:v>
      </x:c>
      <x:c r="G17" s="36" t="n">
        <x:v>1</x:v>
      </x:c>
      <x:c r="H17" s="36" t="n">
        <x:v>2</x:v>
      </x:c>
      <x:c r="I17" s="34" t="str">
        <x:v>afterFinalUndeployEarly</x:v>
      </x:c>
      <x:c r="J17" s="34" t="str">
        <x:v>after-final-undeploy-early</x:v>
      </x:c>
      <x:c r="K17" s="36" t="n">
        <x:v>2</x:v>
      </x:c>
      <x:c r="L17" s="34" t="str">
        <x:v>early</x:v>
      </x:c>
      <x:c r="M17" s="34" t="str">
        <x:v>article1-unified-v4-2-fb3f101b-20260903-000401-default-f01-p1-caffeine-2-after-final-undeploy-early-2s</x:v>
      </x:c>
      <x:c r="N17" s="38" t="n">
        <x:v>46267.925996273145</x:v>
      </x:c>
      <x:c r="O17" s="36"/>
      <x:c r="P17" s="43"/>
      <x:c r="Q17" s="43"/>
      <x:c r="R17" s="43"/>
      <x:c r="S17" s="36"/>
      <x:c r="T17" s="44"/>
      <x:c r="U17" s="36" t="n">
        <x:v>30</x:v>
      </x:c>
      <x:c r="V17" s="36" t="n">
        <x:v>0</x:v>
      </x:c>
      <x:c r="W17" s="44"/>
      <x:c r="X17" s="36"/>
      <x:c r="Y17" s="36"/>
      <x:c r="Z17" s="44"/>
      <x:c r="AA17" s="49"/>
      <x:c r="AB17" s="43" t="n">
        <x:v>1</x:v>
      </x:c>
      <x:c r="AC17" s="34"/>
      <x:c r="AD17" s="34"/>
      <x:c r="AE17" s="34" t="str">
        <x:v>article1-unified-v4-2-fb3f101b-20260903-000401-default-f01-p1-caffeine-2-after-final-undeploy-early-2s-thread-dump.txt</x:v>
      </x:c>
      <x:c r="AF17" s="34" t="str">
        <x:v>article1-unified-v4-2-fb3f101b-20260903-000401-default-f01-p1-caffeine-2-after-final-undeploy-early-tomcat-log.txt</x:v>
      </x:c>
      <x:c r="AG17" s="34"/>
      <x:c r="AH17" s="34"/>
      <x:c r="AI17" s="34"/>
    </x:row>
    <x:row r="18">
      <x:c r="A18" s="34" t="str">
        <x:v>article1-unified-v4-2-fb3f101b-20260903-000401-default-f01-p1-caffeine</x:v>
      </x:c>
      <x:c r="B18" s="34" t="str">
        <x:v>default</x:v>
      </x:c>
      <x:c r="C18" s="34" t="str">
        <x:v>caffeine</x:v>
      </x:c>
      <x:c r="D18" s="34" t="str">
        <x:v>caffeine</x:v>
      </x:c>
      <x:c r="E18" s="36" t="n">
        <x:v>1</x:v>
      </x:c>
      <x:c r="F18" s="36" t="n">
        <x:v>1</x:v>
      </x:c>
      <x:c r="G18" s="36" t="n">
        <x:v>1</x:v>
      </x:c>
      <x:c r="H18" s="36" t="n">
        <x:v>2</x:v>
      </x:c>
      <x:c r="I18" s="34" t="str">
        <x:v>afterFinalUndeploy</x:v>
      </x:c>
      <x:c r="J18" s="34" t="str">
        <x:v>after-final-undeploy-final</x:v>
      </x:c>
      <x:c r="K18" s="36" t="n">
        <x:v>2</x:v>
      </x:c>
      <x:c r="L18" s="34" t="str">
        <x:v>final</x:v>
      </x:c>
      <x:c r="M18" s="34" t="str">
        <x:v>article1-unified-v4-2-fb3f101b-20260903-000401-default-f01-p1-caffeine-2-after-final-undeploy-final-10s</x:v>
      </x:c>
      <x:c r="N18" s="38" t="n">
        <x:v>46267.9261512963</x:v>
      </x:c>
      <x:c r="O18" s="36" t="n">
        <x:v>2</x:v>
      </x:c>
      <x:c r="P18" s="43" t="n">
        <x:v>15629312</x:v>
      </x:c>
      <x:c r="Q18" s="43" t="n">
        <x:v>268435456</x:v>
      </x:c>
      <x:c r="R18" s="43" t="n">
        <x:v>421089280</x:v>
      </x:c>
      <x:c r="S18" s="36" t="n">
        <x:v>2</x:v>
      </x:c>
      <x:c r="T18" s="44" t="str">
        <x:v>0x000000008b1177b8  0x000000008b003818  0x00007cbbb819a330    4400  21179392  21159504  org.apache.catalina.loader.ParallelWebappClassLoader | 0x000000008b1177b8  0x000000008b003818  0x00007cbc44655bd0       0         0         0  org.apache.catalina.loader.ParallelWebappClassLoader</x:v>
      </x:c>
      <x:c r="U18" s="36" t="n">
        <x:v>30</x:v>
      </x:c>
      <x:c r="V18" s="36" t="n">
        <x:v>0</x:v>
      </x:c>
      <x:c r="W18" s="44"/>
      <x:c r="X18" s="36" t="n">
        <x:v>1</x:v>
      </x:c>
      <x:c r="Y18" s="36" t="n">
        <x:v>1</x:v>
      </x:c>
      <x:c r="Z18" s="44" t="str">
        <x:v>/caffeine</x:v>
      </x:c>
      <x:c r="AA18" s="45" t="b">
        <x:v>1</x:v>
      </x:c>
      <x:c r="AB18" s="43"/>
      <x:c r="AC18" s="34" t="str">
        <x:v>article1-unified-v4-2-fb3f101b-20260903-000401-default-f01-p1-caffeine-2-after-final-undeploy-final-10s-heap-info.txt</x:v>
      </x:c>
      <x:c r="AD18" s="34" t="str">
        <x:v>article1-unified-v4-2-fb3f101b-20260903-000401-default-f01-p1-caffeine-2-after-final-undeploy-final-10s-classloader-stats.txt</x:v>
      </x:c>
      <x:c r="AE18" s="34" t="str">
        <x:v>article1-unified-v4-2-fb3f101b-20260903-000401-default-f01-p1-caffeine-2-after-final-undeploy-final-10s-thread-dump.txt</x:v>
      </x:c>
      <x:c r="AF18" s="34"/>
      <x:c r="AG18" s="34" t="str">
        <x:v>article1-unified-v4-2-fb3f101b-20260903-000401-default-f01-p1-caffeine-2-after-final-undeploy-final-10s-native-memory.txt</x:v>
      </x:c>
      <x:c r="AH18" s="34" t="str">
        <x:v>article1-unified-v4-2-fb3f101b-20260903-000401-default-f01-p1-caffeine-2-after-final-undeploy-final-10s-class-histogram.txt</x:v>
      </x:c>
      <x:c r="AI18" s="34" t="str">
        <x:v>article1-unified-v4-2-fb3f101b-20260903-000401-default-f01-p1-caffeine-2-after-final-undeploy-tomcat-findleaks.txt</x:v>
      </x:c>
    </x:row>
    <x:row r="19">
      <x:c r="A19" s="34" t="str">
        <x:v>article1-unified-v4-2-fb3f101b-20260903-000401-default-f01-p1-caffeine</x:v>
      </x:c>
      <x:c r="B19" s="34" t="str">
        <x:v>default</x:v>
      </x:c>
      <x:c r="C19" s="34" t="str">
        <x:v>caffeine</x:v>
      </x:c>
      <x:c r="D19" s="34" t="str">
        <x:v>caffeine</x:v>
      </x:c>
      <x:c r="E19" s="36" t="n">
        <x:v>1</x:v>
      </x:c>
      <x:c r="F19" s="36" t="n">
        <x:v>1</x:v>
      </x:c>
      <x:c r="G19" s="36" t="n">
        <x:v>1</x:v>
      </x:c>
      <x:c r="H19" s="36" t="n">
        <x:v>3</x:v>
      </x:c>
      <x:c r="I19" s="34" t="str">
        <x:v>baseline</x:v>
      </x:c>
      <x:c r="J19" s="34" t="str">
        <x:v>cycle-baseline</x:v>
      </x:c>
      <x:c r="K19" s="36" t="n">
        <x:v>0</x:v>
      </x:c>
      <x:c r="L19" s="34" t="str">
        <x:v>baseline</x:v>
      </x:c>
      <x:c r="M19" s="34" t="str">
        <x:v>article1-unified-v4-2-fb3f101b-20260903-000401-default-f01-p1-caffeine-3-baseline</x:v>
      </x:c>
      <x:c r="N19" s="38" t="n">
        <x:v>46267.9261921412</x:v>
      </x:c>
      <x:c r="O19" s="36" t="n">
        <x:v>0</x:v>
      </x:c>
      <x:c r="P19" s="43" t="n">
        <x:v>15629312</x:v>
      </x:c>
      <x:c r="Q19" s="43" t="n">
        <x:v>268435456</x:v>
      </x:c>
      <x:c r="R19" s="43" t="n">
        <x:v>420662272</x:v>
      </x:c>
      <x:c r="S19" s="36" t="n">
        <x:v>2</x:v>
      </x:c>
      <x:c r="T19" s="44" t="str">
        <x:v>0x000000008b1177b8  0x000000008b003818  0x00007cbbb819a330    4400  21179392  21159504  org.apache.catalina.loader.ParallelWebappClassLoader | 0x000000008b1177b8  0x000000008b003818  0x00007cbc44655bd0       0         0         0  org.apache.catalina.loader.ParallelWebappClassLoader</x:v>
      </x:c>
      <x:c r="U19" s="36" t="n">
        <x:v>30</x:v>
      </x:c>
      <x:c r="V19" s="36" t="n">
        <x:v>0</x:v>
      </x:c>
      <x:c r="W19" s="44"/>
      <x:c r="X19" s="36"/>
      <x:c r="Y19" s="36"/>
      <x:c r="Z19" s="44"/>
      <x:c r="AA19" s="49"/>
      <x:c r="AB19" s="43"/>
      <x:c r="AC19" s="34" t="str">
        <x:v>article1-unified-v4-2-fb3f101b-20260903-000401-default-f01-p1-caffeine-3-baseline-heap-info.txt</x:v>
      </x:c>
      <x:c r="AD19" s="34" t="str">
        <x:v>article1-unified-v4-2-fb3f101b-20260903-000401-default-f01-p1-caffeine-3-baseline-classloader-stats.txt</x:v>
      </x:c>
      <x:c r="AE19" s="34" t="str">
        <x:v>article1-unified-v4-2-fb3f101b-20260903-000401-default-f01-p1-caffeine-3-baseline-thread-dump.txt</x:v>
      </x:c>
      <x:c r="AF19" s="34"/>
      <x:c r="AG19" s="34" t="str">
        <x:v>article1-unified-v4-2-fb3f101b-20260903-000401-default-f01-p1-caffeine-3-baseline-native-memory.txt</x:v>
      </x:c>
      <x:c r="AH19" s="34"/>
      <x:c r="AI19" s="34"/>
    </x:row>
    <x:row r="20">
      <x:c r="A20" s="34" t="str">
        <x:v>article1-unified-v4-2-fb3f101b-20260903-000401-default-f01-p1-caffeine</x:v>
      </x:c>
      <x:c r="B20" s="34" t="str">
        <x:v>default</x:v>
      </x:c>
      <x:c r="C20" s="34" t="str">
        <x:v>caffeine</x:v>
      </x:c>
      <x:c r="D20" s="34" t="str">
        <x:v>caffeine</x:v>
      </x:c>
      <x:c r="E20" s="36" t="n">
        <x:v>1</x:v>
      </x:c>
      <x:c r="F20" s="36" t="n">
        <x:v>1</x:v>
      </x:c>
      <x:c r="G20" s="36" t="n">
        <x:v>1</x:v>
      </x:c>
      <x:c r="H20" s="36" t="n">
        <x:v>3</x:v>
      </x:c>
      <x:c r="I20" s="34" t="str">
        <x:v>deployedIdle</x:v>
      </x:c>
      <x:c r="J20" s="34" t="str">
        <x:v>deployed-idle</x:v>
      </x:c>
      <x:c r="K20" s="36" t="n">
        <x:v>0</x:v>
      </x:c>
      <x:c r="L20" s="34" t="str">
        <x:v>initial</x:v>
      </x:c>
      <x:c r="M20" s="34" t="str">
        <x:v>article1-unified-v4-2-fb3f101b-20260903-000401-default-f01-p1-caffeine-3-deployed-idle</x:v>
      </x:c>
      <x:c r="N20" s="38" t="n">
        <x:v>46267.926293125</x:v>
      </x:c>
      <x:c r="O20" s="36" t="n">
        <x:v>0</x:v>
      </x:c>
      <x:c r="P20" s="43" t="n">
        <x:v>164824064</x:v>
      </x:c>
      <x:c r="Q20" s="43" t="n">
        <x:v>268435456</x:v>
      </x:c>
      <x:c r="R20" s="43" t="n">
        <x:v>459570176</x:v>
      </x:c>
      <x:c r="S20" s="36" t="n">
        <x:v>3</x:v>
      </x:c>
      <x:c r="T20" s="44" t="str">
        <x:v>0x000000008b1177b8  0x000000008b003818  0x00007cbbb819a330    4400  21179392  21159504  org.apache.catalina.loader.ParallelWebappClassLoader | 0x000000008b1177b8  0x000000008b003818  0x00007cbc44655bd0       0         0         0  org.apache.catalina.loader.ParallelWebappClassLoader | 0x000000008b1177b8  0x000000008b003818  0x00007cbb501a5050    4091  19448832  19431000  org.apache.catalina.loader.ParallelWebappClassLoader</x:v>
      </x:c>
      <x:c r="U20" s="36" t="n">
        <x:v>30</x:v>
      </x:c>
      <x:c r="V20" s="36" t="n">
        <x:v>0</x:v>
      </x:c>
      <x:c r="W20" s="44"/>
      <x:c r="X20" s="36"/>
      <x:c r="Y20" s="36"/>
      <x:c r="Z20" s="44"/>
      <x:c r="AA20" s="49"/>
      <x:c r="AB20" s="43"/>
      <x:c r="AC20" s="34"/>
      <x:c r="AD20" s="34"/>
      <x:c r="AE20" s="34"/>
      <x:c r="AF20" s="34"/>
      <x:c r="AG20" s="34"/>
      <x:c r="AH20" s="34"/>
      <x:c r="AI20" s="34"/>
    </x:row>
    <x:row r="21">
      <x:c r="A21" s="34" t="str">
        <x:v>article1-unified-v4-2-fb3f101b-20260903-000401-default-f01-p1-caffeine</x:v>
      </x:c>
      <x:c r="B21" s="34" t="str">
        <x:v>default</x:v>
      </x:c>
      <x:c r="C21" s="34" t="str">
        <x:v>caffeine</x:v>
      </x:c>
      <x:c r="D21" s="34" t="str">
        <x:v>caffeine</x:v>
      </x:c>
      <x:c r="E21" s="36" t="n">
        <x:v>1</x:v>
      </x:c>
      <x:c r="F21" s="36" t="n">
        <x:v>1</x:v>
      </x:c>
      <x:c r="G21" s="36" t="n">
        <x:v>1</x:v>
      </x:c>
      <x:c r="H21" s="36" t="n">
        <x:v>3</x:v>
      </x:c>
      <x:c r="I21" s="34" t="str">
        <x:v>loaded</x:v>
      </x:c>
      <x:c r="J21" s="34" t="str">
        <x:v>loaded</x:v>
      </x:c>
      <x:c r="K21" s="36" t="n">
        <x:v>0</x:v>
      </x:c>
      <x:c r="L21" s="34" t="str">
        <x:v>initial</x:v>
      </x:c>
      <x:c r="M21" s="34" t="str">
        <x:v>article1-unified-v4-2-fb3f101b-20260903-000401-default-f01-p1-caffeine-3-loaded</x:v>
      </x:c>
      <x:c r="N21" s="38" t="n">
        <x:v>46267.9264452662</x:v>
      </x:c>
      <x:c r="O21" s="36" t="n">
        <x:v>0</x:v>
      </x:c>
      <x:c r="P21" s="43" t="n">
        <x:v>198942720</x:v>
      </x:c>
      <x:c r="Q21" s="43" t="n">
        <x:v>268435456</x:v>
      </x:c>
      <x:c r="R21" s="43" t="n">
        <x:v>444592128</x:v>
      </x:c>
      <x:c r="S21" s="36" t="n">
        <x:v>3</x:v>
      </x:c>
      <x:c r="T21" s="44" t="str">
        <x:v>0x000000008b1177b8  0x000000008b003818  0x00007cbbb819a330    4400  21179392  21159504  org.apache.catalina.loader.ParallelWebappClassLoader | 0x000000008b1177b8  0x000000008b003818  0x00007cbb501a5050    4390  21152768  21138848  org.apache.catalina.loader.ParallelWebappClassLoader | 0x000000008b1177b8  0x000000008b003818  0x00007cbc44655bd0       0         0         0  org.apache.catalina.loader.ParallelWebappClassLoader</x:v>
      </x:c>
      <x:c r="U21" s="36" t="n">
        <x:v>31</x:v>
      </x:c>
      <x:c r="V21" s="36" t="n">
        <x:v>0</x:v>
      </x:c>
      <x:c r="W21" s="44"/>
      <x:c r="X21" s="36"/>
      <x:c r="Y21" s="36"/>
      <x:c r="Z21" s="44"/>
      <x:c r="AA21" s="49"/>
      <x:c r="AB21" s="43"/>
      <x:c r="AC21" s="34"/>
      <x:c r="AD21" s="34"/>
      <x:c r="AE21" s="34"/>
      <x:c r="AF21" s="34"/>
      <x:c r="AG21" s="34"/>
      <x:c r="AH21" s="34"/>
      <x:c r="AI21" s="34"/>
    </x:row>
    <x:row r="22">
      <x:c r="A22" s="34" t="str">
        <x:v>article1-unified-v4-2-fb3f101b-20260903-000401-default-f01-p1-caffeine</x:v>
      </x:c>
      <x:c r="B22" s="34" t="str">
        <x:v>default</x:v>
      </x:c>
      <x:c r="C22" s="34" t="str">
        <x:v>caffeine</x:v>
      </x:c>
      <x:c r="D22" s="34" t="str">
        <x:v>caffeine</x:v>
      </x:c>
      <x:c r="E22" s="36" t="n">
        <x:v>1</x:v>
      </x:c>
      <x:c r="F22" s="36" t="n">
        <x:v>1</x:v>
      </x:c>
      <x:c r="G22" s="36" t="n">
        <x:v>1</x:v>
      </x:c>
      <x:c r="H22" s="36" t="n">
        <x:v>3</x:v>
      </x:c>
      <x:c r="I22" s="34" t="str">
        <x:v>afterUndeployEarly</x:v>
      </x:c>
      <x:c r="J22" s="34" t="str">
        <x:v>after-undeploy-early</x:v>
      </x:c>
      <x:c r="K22" s="36" t="n">
        <x:v>1</x:v>
      </x:c>
      <x:c r="L22" s="34" t="str">
        <x:v>early</x:v>
      </x:c>
      <x:c r="M22" s="34" t="str">
        <x:v>article1-unified-v4-2-fb3f101b-20260903-000401-default-f01-p1-caffeine-3-after-undeploy-early-2s</x:v>
      </x:c>
      <x:c r="N22" s="38" t="n">
        <x:v>46267.92652724537</x:v>
      </x:c>
      <x:c r="O22" s="36"/>
      <x:c r="P22" s="43"/>
      <x:c r="Q22" s="43"/>
      <x:c r="R22" s="43"/>
      <x:c r="S22" s="36"/>
      <x:c r="T22" s="44"/>
      <x:c r="U22" s="36" t="n">
        <x:v>30</x:v>
      </x:c>
      <x:c r="V22" s="36" t="n">
        <x:v>0</x:v>
      </x:c>
      <x:c r="W22" s="44"/>
      <x:c r="X22" s="36"/>
      <x:c r="Y22" s="36"/>
      <x:c r="Z22" s="44"/>
      <x:c r="AA22" s="49"/>
      <x:c r="AB22" s="43" t="n">
        <x:v>1</x:v>
      </x:c>
      <x:c r="AC22" s="34"/>
      <x:c r="AD22" s="34"/>
      <x:c r="AE22" s="34" t="str">
        <x:v>article1-unified-v4-2-fb3f101b-20260903-000401-default-f01-p1-caffeine-3-after-undeploy-early-2s-thread-dump.txt</x:v>
      </x:c>
      <x:c r="AF22" s="34" t="str">
        <x:v>article1-unified-v4-2-fb3f101b-20260903-000401-default-f01-p1-caffeine-3-after-undeploy-early-tomcat-log.txt</x:v>
      </x:c>
      <x:c r="AG22" s="34"/>
      <x:c r="AH22" s="34"/>
      <x:c r="AI22" s="34"/>
    </x:row>
    <x:row r="23">
      <x:c r="A23" s="34" t="str">
        <x:v>article1-unified-v4-2-fb3f101b-20260903-000401-default-f01-p1-caffeine</x:v>
      </x:c>
      <x:c r="B23" s="34" t="str">
        <x:v>default</x:v>
      </x:c>
      <x:c r="C23" s="34" t="str">
        <x:v>caffeine</x:v>
      </x:c>
      <x:c r="D23" s="34" t="str">
        <x:v>caffeine</x:v>
      </x:c>
      <x:c r="E23" s="36" t="n">
        <x:v>1</x:v>
      </x:c>
      <x:c r="F23" s="36" t="n">
        <x:v>1</x:v>
      </x:c>
      <x:c r="G23" s="36" t="n">
        <x:v>1</x:v>
      </x:c>
      <x:c r="H23" s="36" t="n">
        <x:v>3</x:v>
      </x:c>
      <x:c r="I23" s="34" t="str">
        <x:v>afterUndeploy</x:v>
      </x:c>
      <x:c r="J23" s="34" t="str">
        <x:v>after-undeploy-final</x:v>
      </x:c>
      <x:c r="K23" s="36" t="n">
        <x:v>1</x:v>
      </x:c>
      <x:c r="L23" s="34" t="str">
        <x:v>final</x:v>
      </x:c>
      <x:c r="M23" s="34" t="str">
        <x:v>article1-unified-v4-2-fb3f101b-20260903-000401-default-f01-p1-caffeine-3-after-undeploy-final-10s</x:v>
      </x:c>
      <x:c r="N23" s="38" t="n">
        <x:v>46267.92668211806</x:v>
      </x:c>
      <x:c r="O23" s="36" t="n">
        <x:v>2</x:v>
      </x:c>
      <x:c r="P23" s="43" t="n">
        <x:v>15655936</x:v>
      </x:c>
      <x:c r="Q23" s="43" t="n">
        <x:v>268435456</x:v>
      </x:c>
      <x:c r="R23" s="43" t="n">
        <x:v>426980352</x:v>
      </x:c>
      <x:c r="S23" s="36" t="n">
        <x:v>2</x:v>
      </x:c>
      <x:c r="T23" s="44" t="str">
        <x:v>0x000000008b1177b8  0x000000008b003818  0x00007cbc44655bd0       0         0         0  org.apache.catalina.loader.ParallelWebappClassLoader | 0x000000008b1177b8  0x000000008b003818  0x00007cbb501a5050    4398  21185536  21163656  org.apache.catalina.loader.ParallelWebappClassLoader</x:v>
      </x:c>
      <x:c r="U23" s="36" t="n">
        <x:v>30</x:v>
      </x:c>
      <x:c r="V23" s="36" t="n">
        <x:v>0</x:v>
      </x:c>
      <x:c r="W23" s="44"/>
      <x:c r="X23" s="36" t="n">
        <x:v>1</x:v>
      </x:c>
      <x:c r="Y23" s="36" t="n">
        <x:v>1</x:v>
      </x:c>
      <x:c r="Z23" s="44" t="str">
        <x:v>/caffeine</x:v>
      </x:c>
      <x:c r="AA23" s="45" t="b">
        <x:v>1</x:v>
      </x:c>
      <x:c r="AB23" s="43"/>
      <x:c r="AC23" s="34" t="str">
        <x:v>article1-unified-v4-2-fb3f101b-20260903-000401-default-f01-p1-caffeine-3-after-undeploy-final-10s-heap-info.txt</x:v>
      </x:c>
      <x:c r="AD23" s="34" t="str">
        <x:v>article1-unified-v4-2-fb3f101b-20260903-000401-default-f01-p1-caffeine-3-after-undeploy-final-10s-classloader-stats.txt</x:v>
      </x:c>
      <x:c r="AE23" s="34" t="str">
        <x:v>article1-unified-v4-2-fb3f101b-20260903-000401-default-f01-p1-caffeine-3-after-undeploy-final-10s-thread-dump.txt</x:v>
      </x:c>
      <x:c r="AF23" s="34"/>
      <x:c r="AG23" s="34" t="str">
        <x:v>article1-unified-v4-2-fb3f101b-20260903-000401-default-f01-p1-caffeine-3-after-undeploy-final-10s-native-memory.txt</x:v>
      </x:c>
      <x:c r="AH23" s="34" t="str">
        <x:v>article1-unified-v4-2-fb3f101b-20260903-000401-default-f01-p1-caffeine-3-after-undeploy-final-10s-class-histogram.txt</x:v>
      </x:c>
      <x:c r="AI23" s="34" t="str">
        <x:v>article1-unified-v4-2-fb3f101b-20260903-000401-default-f01-p1-caffeine-3-after-undeploy-tomcat-findleaks.txt</x:v>
      </x:c>
    </x:row>
    <x:row r="24">
      <x:c r="A24" s="34" t="str">
        <x:v>article1-unified-v4-2-fb3f101b-20260903-000401-default-f01-p1-caffeine</x:v>
      </x:c>
      <x:c r="B24" s="34" t="str">
        <x:v>default</x:v>
      </x:c>
      <x:c r="C24" s="34" t="str">
        <x:v>caffeine</x:v>
      </x:c>
      <x:c r="D24" s="34" t="str">
        <x:v>caffeine</x:v>
      </x:c>
      <x:c r="E24" s="36" t="n">
        <x:v>1</x:v>
      </x:c>
      <x:c r="F24" s="36" t="n">
        <x:v>1</x:v>
      </x:c>
      <x:c r="G24" s="36" t="n">
        <x:v>1</x:v>
      </x:c>
      <x:c r="H24" s="36" t="n">
        <x:v>3</x:v>
      </x:c>
      <x:c r="I24" s="34" t="str">
        <x:v>redeployedLoaded</x:v>
      </x:c>
      <x:c r="J24" s="34" t="str">
        <x:v>redeployed-loaded</x:v>
      </x:c>
      <x:c r="K24" s="36" t="n">
        <x:v>0</x:v>
      </x:c>
      <x:c r="L24" s="34" t="str">
        <x:v>redeploy</x:v>
      </x:c>
      <x:c r="M24" s="34" t="str">
        <x:v>article1-unified-v4-2-fb3f101b-20260903-000401-default-f01-p1-caffeine-3-redeployed-loaded</x:v>
      </x:c>
      <x:c r="N24" s="38" t="n">
        <x:v>46267.92694366898</x:v>
      </x:c>
      <x:c r="O24" s="36" t="n">
        <x:v>0</x:v>
      </x:c>
      <x:c r="P24" s="43" t="n">
        <x:v>199149568</x:v>
      </x:c>
      <x:c r="Q24" s="43" t="n">
        <x:v>268435456</x:v>
      </x:c>
      <x:c r="R24" s="43" t="n">
        <x:v>445274112</x:v>
      </x:c>
      <x:c r="S24" s="36" t="n">
        <x:v>3</x:v>
      </x:c>
      <x:c r="T24" s="44" t="str">
        <x:v>0x000000008b1177b8  0x000000008b003818  0x00007cbbb4021d70    4388  21149696  21134584  org.apache.catalina.loader.ParallelWebappClassLoader | 0x000000008b1177b8  0x000000008b003818  0x00007cbc44655bd0       0         0         0  org.apache.catalina.loader.ParallelWebappClassLoader | 0x000000008b1177b8  0x000000008b003818  0x00007cbb501a5050    4398  21185536  21163656  org.apache.catalina.loader.ParallelWebappClassLoader</x:v>
      </x:c>
      <x:c r="U24" s="36" t="n">
        <x:v>31</x:v>
      </x:c>
      <x:c r="V24" s="36" t="n">
        <x:v>0</x:v>
      </x:c>
      <x:c r="W24" s="44"/>
      <x:c r="X24" s="36"/>
      <x:c r="Y24" s="36"/>
      <x:c r="Z24" s="44"/>
      <x:c r="AA24" s="49"/>
      <x:c r="AB24" s="43"/>
      <x:c r="AC24" s="34"/>
      <x:c r="AD24" s="34"/>
      <x:c r="AE24" s="34"/>
      <x:c r="AF24" s="34"/>
      <x:c r="AG24" s="34"/>
      <x:c r="AH24" s="34"/>
      <x:c r="AI24" s="34"/>
    </x:row>
    <x:row r="25">
      <x:c r="A25" s="34" t="str">
        <x:v>article1-unified-v4-2-fb3f101b-20260903-000401-default-f01-p1-caffeine</x:v>
      </x:c>
      <x:c r="B25" s="34" t="str">
        <x:v>default</x:v>
      </x:c>
      <x:c r="C25" s="34" t="str">
        <x:v>caffeine</x:v>
      </x:c>
      <x:c r="D25" s="34" t="str">
        <x:v>caffeine</x:v>
      </x:c>
      <x:c r="E25" s="36" t="n">
        <x:v>1</x:v>
      </x:c>
      <x:c r="F25" s="36" t="n">
        <x:v>1</x:v>
      </x:c>
      <x:c r="G25" s="36" t="n">
        <x:v>1</x:v>
      </x:c>
      <x:c r="H25" s="36" t="n">
        <x:v>3</x:v>
      </x:c>
      <x:c r="I25" s="34" t="str">
        <x:v>afterFinalUndeployEarly</x:v>
      </x:c>
      <x:c r="J25" s="34" t="str">
        <x:v>after-final-undeploy-early</x:v>
      </x:c>
      <x:c r="K25" s="36" t="n">
        <x:v>2</x:v>
      </x:c>
      <x:c r="L25" s="34" t="str">
        <x:v>early</x:v>
      </x:c>
      <x:c r="M25" s="34" t="str">
        <x:v>article1-unified-v4-2-fb3f101b-20260903-000401-default-f01-p1-caffeine-3-after-final-undeploy-early-2s</x:v>
      </x:c>
      <x:c r="N25" s="38" t="n">
        <x:v>46267.92702804398</x:v>
      </x:c>
      <x:c r="O25" s="36"/>
      <x:c r="P25" s="43"/>
      <x:c r="Q25" s="43"/>
      <x:c r="R25" s="43"/>
      <x:c r="S25" s="36"/>
      <x:c r="T25" s="44"/>
      <x:c r="U25" s="36" t="n">
        <x:v>30</x:v>
      </x:c>
      <x:c r="V25" s="36" t="n">
        <x:v>0</x:v>
      </x:c>
      <x:c r="W25" s="44"/>
      <x:c r="X25" s="36"/>
      <x:c r="Y25" s="36"/>
      <x:c r="Z25" s="44"/>
      <x:c r="AA25" s="49"/>
      <x:c r="AB25" s="43" t="n">
        <x:v>1</x:v>
      </x:c>
      <x:c r="AC25" s="34"/>
      <x:c r="AD25" s="34"/>
      <x:c r="AE25" s="34" t="str">
        <x:v>article1-unified-v4-2-fb3f101b-20260903-000401-default-f01-p1-caffeine-3-after-final-undeploy-early-2s-thread-dump.txt</x:v>
      </x:c>
      <x:c r="AF25" s="34" t="str">
        <x:v>article1-unified-v4-2-fb3f101b-20260903-000401-default-f01-p1-caffeine-3-after-final-undeploy-early-tomcat-log.txt</x:v>
      </x:c>
      <x:c r="AG25" s="34"/>
      <x:c r="AH25" s="34"/>
      <x:c r="AI25" s="34"/>
    </x:row>
    <x:row r="26">
      <x:c r="A26" s="34" t="str">
        <x:v>article1-unified-v4-2-fb3f101b-20260903-000401-default-f01-p1-caffeine</x:v>
      </x:c>
      <x:c r="B26" s="34" t="str">
        <x:v>default</x:v>
      </x:c>
      <x:c r="C26" s="34" t="str">
        <x:v>caffeine</x:v>
      </x:c>
      <x:c r="D26" s="34" t="str">
        <x:v>caffeine</x:v>
      </x:c>
      <x:c r="E26" s="36" t="n">
        <x:v>1</x:v>
      </x:c>
      <x:c r="F26" s="36" t="n">
        <x:v>1</x:v>
      </x:c>
      <x:c r="G26" s="36" t="n">
        <x:v>1</x:v>
      </x:c>
      <x:c r="H26" s="36" t="n">
        <x:v>3</x:v>
      </x:c>
      <x:c r="I26" s="34" t="str">
        <x:v>afterFinalUndeploy</x:v>
      </x:c>
      <x:c r="J26" s="34" t="str">
        <x:v>after-final-undeploy-final</x:v>
      </x:c>
      <x:c r="K26" s="36" t="n">
        <x:v>2</x:v>
      </x:c>
      <x:c r="L26" s="34" t="str">
        <x:v>final</x:v>
      </x:c>
      <x:c r="M26" s="34" t="str">
        <x:v>article1-unified-v4-2-fb3f101b-20260903-000401-default-f01-p1-caffeine-3-after-final-undeploy-final-10s</x:v>
      </x:c>
      <x:c r="N26" s="38" t="n">
        <x:v>46267.92718465278</x:v>
      </x:c>
      <x:c r="O26" s="36" t="n">
        <x:v>2</x:v>
      </x:c>
      <x:c r="P26" s="43" t="n">
        <x:v>15668224</x:v>
      </x:c>
      <x:c r="Q26" s="43" t="n">
        <x:v>268435456</x:v>
      </x:c>
      <x:c r="R26" s="43" t="n">
        <x:v>423759872</x:v>
      </x:c>
      <x:c r="S26" s="36" t="n">
        <x:v>2</x:v>
      </x:c>
      <x:c r="T26" s="44" t="str">
        <x:v>0x000000008b1177b8  0x000000008b003818  0x00007cbc44655bd0       0         0         0  org.apache.catalina.loader.ParallelWebappClassLoader | 0x000000008b1177b8  0x000000008b003818  0x00007cbbb4021d70    4396  21173248  21159448  org.apache.catalina.loader.ParallelWebappClassLoader</x:v>
      </x:c>
      <x:c r="U26" s="36" t="n">
        <x:v>30</x:v>
      </x:c>
      <x:c r="V26" s="36" t="n">
        <x:v>0</x:v>
      </x:c>
      <x:c r="W26" s="44"/>
      <x:c r="X26" s="36" t="n">
        <x:v>1</x:v>
      </x:c>
      <x:c r="Y26" s="36" t="n">
        <x:v>1</x:v>
      </x:c>
      <x:c r="Z26" s="44" t="str">
        <x:v>/caffeine</x:v>
      </x:c>
      <x:c r="AA26" s="45" t="b">
        <x:v>1</x:v>
      </x:c>
      <x:c r="AB26" s="43"/>
      <x:c r="AC26" s="34" t="str">
        <x:v>article1-unified-v4-2-fb3f101b-20260903-000401-default-f01-p1-caffeine-3-after-final-undeploy-final-10s-heap-info.txt</x:v>
      </x:c>
      <x:c r="AD26" s="34" t="str">
        <x:v>article1-unified-v4-2-fb3f101b-20260903-000401-default-f01-p1-caffeine-3-after-final-undeploy-final-10s-classloader-stats.txt</x:v>
      </x:c>
      <x:c r="AE26" s="34" t="str">
        <x:v>article1-unified-v4-2-fb3f101b-20260903-000401-default-f01-p1-caffeine-3-after-final-undeploy-final-10s-thread-dump.txt</x:v>
      </x:c>
      <x:c r="AF26" s="34"/>
      <x:c r="AG26" s="34" t="str">
        <x:v>article1-unified-v4-2-fb3f101b-20260903-000401-default-f01-p1-caffeine-3-after-final-undeploy-final-10s-native-memory.txt</x:v>
      </x:c>
      <x:c r="AH26" s="34" t="str">
        <x:v>article1-unified-v4-2-fb3f101b-20260903-000401-default-f01-p1-caffeine-3-after-final-undeploy-final-10s-class-histogram.txt</x:v>
      </x:c>
      <x:c r="AI26" s="34" t="str">
        <x:v>article1-unified-v4-2-fb3f101b-20260903-000401-default-f01-p1-caffeine-3-after-final-undeploy-tomcat-findleaks.txt</x:v>
      </x:c>
    </x:row>
    <x:row r="27">
      <x:c r="A27" s="34" t="str">
        <x:v>article1-unified-v4-2-fb3f101b-20260903-000401-default-f01-p1-caffeine</x:v>
      </x:c>
      <x:c r="B27" s="34" t="str">
        <x:v>default</x:v>
      </x:c>
      <x:c r="C27" s="34" t="str">
        <x:v>caffeine</x:v>
      </x:c>
      <x:c r="D27" s="34" t="str">
        <x:v>caffeine</x:v>
      </x:c>
      <x:c r="E27" s="36" t="n">
        <x:v>1</x:v>
      </x:c>
      <x:c r="F27" s="36" t="n">
        <x:v>1</x:v>
      </x:c>
      <x:c r="G27" s="36" t="n">
        <x:v>1</x:v>
      </x:c>
      <x:c r="H27" s="36" t="n">
        <x:v>4</x:v>
      </x:c>
      <x:c r="I27" s="34" t="str">
        <x:v>baseline</x:v>
      </x:c>
      <x:c r="J27" s="34" t="str">
        <x:v>cycle-baseline</x:v>
      </x:c>
      <x:c r="K27" s="36" t="n">
        <x:v>0</x:v>
      </x:c>
      <x:c r="L27" s="34" t="str">
        <x:v>baseline</x:v>
      </x:c>
      <x:c r="M27" s="34" t="str">
        <x:v>article1-unified-v4-2-fb3f101b-20260903-000401-default-f01-p1-caffeine-4-baseline</x:v>
      </x:c>
      <x:c r="N27" s="38" t="n">
        <x:v>46267.92722474537</x:v>
      </x:c>
      <x:c r="O27" s="36" t="n">
        <x:v>0</x:v>
      </x:c>
      <x:c r="P27" s="43" t="n">
        <x:v>15671296</x:v>
      </x:c>
      <x:c r="Q27" s="43" t="n">
        <x:v>268435456</x:v>
      </x:c>
      <x:c r="R27" s="43" t="n">
        <x:v>424568832</x:v>
      </x:c>
      <x:c r="S27" s="36" t="n">
        <x:v>2</x:v>
      </x:c>
      <x:c r="T27" s="44" t="str">
        <x:v>0x000000008b1177b8  0x000000008b003818  0x00007cbc44655bd0       0         0         0  org.apache.catalina.loader.ParallelWebappClassLoader | 0x000000008b1177b8  0x000000008b003818  0x00007cbbb4021d70    4396  21173248  21159448  org.apache.catalina.loader.ParallelWebappClassLoader</x:v>
      </x:c>
      <x:c r="U27" s="36" t="n">
        <x:v>30</x:v>
      </x:c>
      <x:c r="V27" s="36" t="n">
        <x:v>0</x:v>
      </x:c>
      <x:c r="W27" s="44"/>
      <x:c r="X27" s="36"/>
      <x:c r="Y27" s="36"/>
      <x:c r="Z27" s="44"/>
      <x:c r="AA27" s="49"/>
      <x:c r="AB27" s="43"/>
      <x:c r="AC27" s="34" t="str">
        <x:v>article1-unified-v4-2-fb3f101b-20260903-000401-default-f01-p1-caffeine-4-baseline-heap-info.txt</x:v>
      </x:c>
      <x:c r="AD27" s="34" t="str">
        <x:v>article1-unified-v4-2-fb3f101b-20260903-000401-default-f01-p1-caffeine-4-baseline-classloader-stats.txt</x:v>
      </x:c>
      <x:c r="AE27" s="34" t="str">
        <x:v>article1-unified-v4-2-fb3f101b-20260903-000401-default-f01-p1-caffeine-4-baseline-thread-dump.txt</x:v>
      </x:c>
      <x:c r="AF27" s="34"/>
      <x:c r="AG27" s="34" t="str">
        <x:v>article1-unified-v4-2-fb3f101b-20260903-000401-default-f01-p1-caffeine-4-baseline-native-memory.txt</x:v>
      </x:c>
      <x:c r="AH27" s="34"/>
      <x:c r="AI27" s="34"/>
    </x:row>
    <x:row r="28">
      <x:c r="A28" s="34" t="str">
        <x:v>article1-unified-v4-2-fb3f101b-20260903-000401-default-f01-p1-caffeine</x:v>
      </x:c>
      <x:c r="B28" s="34" t="str">
        <x:v>default</x:v>
      </x:c>
      <x:c r="C28" s="34" t="str">
        <x:v>caffeine</x:v>
      </x:c>
      <x:c r="D28" s="34" t="str">
        <x:v>caffeine</x:v>
      </x:c>
      <x:c r="E28" s="36" t="n">
        <x:v>1</x:v>
      </x:c>
      <x:c r="F28" s="36" t="n">
        <x:v>1</x:v>
      </x:c>
      <x:c r="G28" s="36" t="n">
        <x:v>1</x:v>
      </x:c>
      <x:c r="H28" s="36" t="n">
        <x:v>4</x:v>
      </x:c>
      <x:c r="I28" s="34" t="str">
        <x:v>deployedIdle</x:v>
      </x:c>
      <x:c r="J28" s="34" t="str">
        <x:v>deployed-idle</x:v>
      </x:c>
      <x:c r="K28" s="36" t="n">
        <x:v>0</x:v>
      </x:c>
      <x:c r="L28" s="34" t="str">
        <x:v>initial</x:v>
      </x:c>
      <x:c r="M28" s="34" t="str">
        <x:v>article1-unified-v4-2-fb3f101b-20260903-000401-default-f01-p1-caffeine-4-deployed-idle</x:v>
      </x:c>
      <x:c r="N28" s="38" t="n">
        <x:v>46267.92732659722</x:v>
      </x:c>
      <x:c r="O28" s="36" t="n">
        <x:v>0</x:v>
      </x:c>
      <x:c r="P28" s="43" t="n">
        <x:v>166144000</x:v>
      </x:c>
      <x:c r="Q28" s="43" t="n">
        <x:v>268435456</x:v>
      </x:c>
      <x:c r="R28" s="43" t="n">
        <x:v>461399040</x:v>
      </x:c>
      <x:c r="S28" s="36" t="n">
        <x:v>3</x:v>
      </x:c>
      <x:c r="T28" s="44" t="str">
        <x:v>0x000000008b1177b8  0x000000008b003818  0x00007cbb70012660    4091  19456000  19432920  org.apache.catalina.loader.ParallelWebappClassLoader | 0x000000008b1177b8  0x000000008b003818  0x00007cbc44655bd0       0         0         0  org.apache.catalina.loader.ParallelWebappClassLoader | 0x000000008b1177b8  0x000000008b003818  0x00007cbbb4021d70    4396  21173248  21159448  org.apache.catalina.loader.ParallelWebappClassLoader</x:v>
      </x:c>
      <x:c r="U28" s="36" t="n">
        <x:v>30</x:v>
      </x:c>
      <x:c r="V28" s="36" t="n">
        <x:v>0</x:v>
      </x:c>
      <x:c r="W28" s="44"/>
      <x:c r="X28" s="36"/>
      <x:c r="Y28" s="36"/>
      <x:c r="Z28" s="44"/>
      <x:c r="AA28" s="49"/>
      <x:c r="AB28" s="43"/>
      <x:c r="AC28" s="34"/>
      <x:c r="AD28" s="34"/>
      <x:c r="AE28" s="34"/>
      <x:c r="AF28" s="34"/>
      <x:c r="AG28" s="34"/>
      <x:c r="AH28" s="34"/>
      <x:c r="AI28" s="34"/>
    </x:row>
    <x:row r="29">
      <x:c r="A29" s="34" t="str">
        <x:v>article1-unified-v4-2-fb3f101b-20260903-000401-default-f01-p1-caffeine</x:v>
      </x:c>
      <x:c r="B29" s="34" t="str">
        <x:v>default</x:v>
      </x:c>
      <x:c r="C29" s="34" t="str">
        <x:v>caffeine</x:v>
      </x:c>
      <x:c r="D29" s="34" t="str">
        <x:v>caffeine</x:v>
      </x:c>
      <x:c r="E29" s="36" t="n">
        <x:v>1</x:v>
      </x:c>
      <x:c r="F29" s="36" t="n">
        <x:v>1</x:v>
      </x:c>
      <x:c r="G29" s="36" t="n">
        <x:v>1</x:v>
      </x:c>
      <x:c r="H29" s="36" t="n">
        <x:v>4</x:v>
      </x:c>
      <x:c r="I29" s="34" t="str">
        <x:v>loaded</x:v>
      </x:c>
      <x:c r="J29" s="34" t="str">
        <x:v>loaded</x:v>
      </x:c>
      <x:c r="K29" s="36" t="n">
        <x:v>0</x:v>
      </x:c>
      <x:c r="L29" s="34" t="str">
        <x:v>initial</x:v>
      </x:c>
      <x:c r="M29" s="34" t="str">
        <x:v>article1-unified-v4-2-fb3f101b-20260903-000401-default-f01-p1-caffeine-4-loaded</x:v>
      </x:c>
      <x:c r="N29" s="38" t="n">
        <x:v>46267.92747212963</x:v>
      </x:c>
      <x:c r="O29" s="36" t="n">
        <x:v>0</x:v>
      </x:c>
      <x:c r="P29" s="43" t="n">
        <x:v>206858240</x:v>
      </x:c>
      <x:c r="Q29" s="43" t="n">
        <x:v>268435456</x:v>
      </x:c>
      <x:c r="R29" s="43" t="n">
        <x:v>446326784</x:v>
      </x:c>
      <x:c r="S29" s="36" t="n">
        <x:v>3</x:v>
      </x:c>
      <x:c r="T29" s="44" t="str">
        <x:v>0x000000008b1177b8  0x000000008b003818  0x00007cbb70012660    4388  21143552  21136200  org.apache.catalina.loader.ParallelWebappClassLoader | 0x000000008b1177b8  0x000000008b003818  0x00007cbc44655bd0       0         0         0  org.apache.catalina.loader.ParallelWebappClassLoader | 0x000000008b1177b8  0x000000008b003818  0x00007cbbb4021d70    4396  21173248  21159448  org.apache.catalina.loader.ParallelWebappClassLoader</x:v>
      </x:c>
      <x:c r="U29" s="36" t="n">
        <x:v>31</x:v>
      </x:c>
      <x:c r="V29" s="36" t="n">
        <x:v>0</x:v>
      </x:c>
      <x:c r="W29" s="44"/>
      <x:c r="X29" s="36"/>
      <x:c r="Y29" s="36"/>
      <x:c r="Z29" s="44"/>
      <x:c r="AA29" s="49"/>
      <x:c r="AB29" s="43"/>
      <x:c r="AC29" s="34"/>
      <x:c r="AD29" s="34"/>
      <x:c r="AE29" s="34"/>
      <x:c r="AF29" s="34"/>
      <x:c r="AG29" s="34"/>
      <x:c r="AH29" s="34"/>
      <x:c r="AI29" s="34"/>
    </x:row>
    <x:row r="30">
      <x:c r="A30" s="34" t="str">
        <x:v>article1-unified-v4-2-fb3f101b-20260903-000401-default-f01-p1-caffeine</x:v>
      </x:c>
      <x:c r="B30" s="34" t="str">
        <x:v>default</x:v>
      </x:c>
      <x:c r="C30" s="34" t="str">
        <x:v>caffeine</x:v>
      </x:c>
      <x:c r="D30" s="34" t="str">
        <x:v>caffeine</x:v>
      </x:c>
      <x:c r="E30" s="36" t="n">
        <x:v>1</x:v>
      </x:c>
      <x:c r="F30" s="36" t="n">
        <x:v>1</x:v>
      </x:c>
      <x:c r="G30" s="36" t="n">
        <x:v>1</x:v>
      </x:c>
      <x:c r="H30" s="36" t="n">
        <x:v>4</x:v>
      </x:c>
      <x:c r="I30" s="34" t="str">
        <x:v>afterUndeployEarly</x:v>
      </x:c>
      <x:c r="J30" s="34" t="str">
        <x:v>after-undeploy-early</x:v>
      </x:c>
      <x:c r="K30" s="36" t="n">
        <x:v>1</x:v>
      </x:c>
      <x:c r="L30" s="34" t="str">
        <x:v>early</x:v>
      </x:c>
      <x:c r="M30" s="34" t="str">
        <x:v>article1-unified-v4-2-fb3f101b-20260903-000401-default-f01-p1-caffeine-4-after-undeploy-early-2s</x:v>
      </x:c>
      <x:c r="N30" s="38" t="n">
        <x:v>46267.92756015046</x:v>
      </x:c>
      <x:c r="O30" s="36"/>
      <x:c r="P30" s="43"/>
      <x:c r="Q30" s="43"/>
      <x:c r="R30" s="43"/>
      <x:c r="S30" s="36"/>
      <x:c r="T30" s="44"/>
      <x:c r="U30" s="36" t="n">
        <x:v>30</x:v>
      </x:c>
      <x:c r="V30" s="36" t="n">
        <x:v>0</x:v>
      </x:c>
      <x:c r="W30" s="44"/>
      <x:c r="X30" s="36"/>
      <x:c r="Y30" s="36"/>
      <x:c r="Z30" s="44"/>
      <x:c r="AA30" s="49"/>
      <x:c r="AB30" s="43" t="n">
        <x:v>1</x:v>
      </x:c>
      <x:c r="AC30" s="34"/>
      <x:c r="AD30" s="34"/>
      <x:c r="AE30" s="34" t="str">
        <x:v>article1-unified-v4-2-fb3f101b-20260903-000401-default-f01-p1-caffeine-4-after-undeploy-early-2s-thread-dump.txt</x:v>
      </x:c>
      <x:c r="AF30" s="34" t="str">
        <x:v>article1-unified-v4-2-fb3f101b-20260903-000401-default-f01-p1-caffeine-4-after-undeploy-early-tomcat-log.txt</x:v>
      </x:c>
      <x:c r="AG30" s="34"/>
      <x:c r="AH30" s="34"/>
      <x:c r="AI30" s="34"/>
    </x:row>
    <x:row r="31">
      <x:c r="A31" s="34" t="str">
        <x:v>article1-unified-v4-2-fb3f101b-20260903-000401-default-f01-p1-caffeine</x:v>
      </x:c>
      <x:c r="B31" s="34" t="str">
        <x:v>default</x:v>
      </x:c>
      <x:c r="C31" s="34" t="str">
        <x:v>caffeine</x:v>
      </x:c>
      <x:c r="D31" s="34" t="str">
        <x:v>caffeine</x:v>
      </x:c>
      <x:c r="E31" s="36" t="n">
        <x:v>1</x:v>
      </x:c>
      <x:c r="F31" s="36" t="n">
        <x:v>1</x:v>
      </x:c>
      <x:c r="G31" s="36" t="n">
        <x:v>1</x:v>
      </x:c>
      <x:c r="H31" s="36" t="n">
        <x:v>4</x:v>
      </x:c>
      <x:c r="I31" s="34" t="str">
        <x:v>afterUndeploy</x:v>
      </x:c>
      <x:c r="J31" s="34" t="str">
        <x:v>after-undeploy-final</x:v>
      </x:c>
      <x:c r="K31" s="36" t="n">
        <x:v>1</x:v>
      </x:c>
      <x:c r="L31" s="34" t="str">
        <x:v>final</x:v>
      </x:c>
      <x:c r="M31" s="34" t="str">
        <x:v>article1-unified-v4-2-fb3f101b-20260903-000401-default-f01-p1-caffeine-4-after-undeploy-final-10s</x:v>
      </x:c>
      <x:c r="N31" s="38" t="n">
        <x:v>46267.92771826389</x:v>
      </x:c>
      <x:c r="O31" s="36" t="n">
        <x:v>2</x:v>
      </x:c>
      <x:c r="P31" s="43" t="n">
        <x:v>15676416</x:v>
      </x:c>
      <x:c r="Q31" s="43" t="n">
        <x:v>268435456</x:v>
      </x:c>
      <x:c r="R31" s="43" t="n">
        <x:v>429275136</x:v>
      </x:c>
      <x:c r="S31" s="36" t="n">
        <x:v>2</x:v>
      </x:c>
      <x:c r="T31" s="44" t="str">
        <x:v>0x000000008b1177b8  0x000000008b003818  0x00007cbc44655bd0       0         0         0  org.apache.catalina.loader.ParallelWebappClassLoader | 0x000000008b1177b8  0x000000008b003818  0x00007cbb70012660    4396  21176320  21160880  org.apache.catalina.loader.ParallelWebappClassLoader</x:v>
      </x:c>
      <x:c r="U31" s="36" t="n">
        <x:v>30</x:v>
      </x:c>
      <x:c r="V31" s="36" t="n">
        <x:v>0</x:v>
      </x:c>
      <x:c r="W31" s="44"/>
      <x:c r="X31" s="36" t="n">
        <x:v>1</x:v>
      </x:c>
      <x:c r="Y31" s="36" t="n">
        <x:v>1</x:v>
      </x:c>
      <x:c r="Z31" s="44" t="str">
        <x:v>/caffeine</x:v>
      </x:c>
      <x:c r="AA31" s="45" t="b">
        <x:v>1</x:v>
      </x:c>
      <x:c r="AB31" s="43"/>
      <x:c r="AC31" s="34" t="str">
        <x:v>article1-unified-v4-2-fb3f101b-20260903-000401-default-f01-p1-caffeine-4-after-undeploy-final-10s-heap-info.txt</x:v>
      </x:c>
      <x:c r="AD31" s="34" t="str">
        <x:v>article1-unified-v4-2-fb3f101b-20260903-000401-default-f01-p1-caffeine-4-after-undeploy-final-10s-classloader-stats.txt</x:v>
      </x:c>
      <x:c r="AE31" s="34" t="str">
        <x:v>article1-unified-v4-2-fb3f101b-20260903-000401-default-f01-p1-caffeine-4-after-undeploy-final-10s-thread-dump.txt</x:v>
      </x:c>
      <x:c r="AF31" s="34"/>
      <x:c r="AG31" s="34" t="str">
        <x:v>article1-unified-v4-2-fb3f101b-20260903-000401-default-f01-p1-caffeine-4-after-undeploy-final-10s-native-memory.txt</x:v>
      </x:c>
      <x:c r="AH31" s="34" t="str">
        <x:v>article1-unified-v4-2-fb3f101b-20260903-000401-default-f01-p1-caffeine-4-after-undeploy-final-10s-class-histogram.txt</x:v>
      </x:c>
      <x:c r="AI31" s="34" t="str">
        <x:v>article1-unified-v4-2-fb3f101b-20260903-000401-default-f01-p1-caffeine-4-after-undeploy-tomcat-findleaks.txt</x:v>
      </x:c>
    </x:row>
    <x:row r="32">
      <x:c r="A32" s="34" t="str">
        <x:v>article1-unified-v4-2-fb3f101b-20260903-000401-default-f01-p1-caffeine</x:v>
      </x:c>
      <x:c r="B32" s="34" t="str">
        <x:v>default</x:v>
      </x:c>
      <x:c r="C32" s="34" t="str">
        <x:v>caffeine</x:v>
      </x:c>
      <x:c r="D32" s="34" t="str">
        <x:v>caffeine</x:v>
      </x:c>
      <x:c r="E32" s="36" t="n">
        <x:v>1</x:v>
      </x:c>
      <x:c r="F32" s="36" t="n">
        <x:v>1</x:v>
      </x:c>
      <x:c r="G32" s="36" t="n">
        <x:v>1</x:v>
      </x:c>
      <x:c r="H32" s="36" t="n">
        <x:v>4</x:v>
      </x:c>
      <x:c r="I32" s="34" t="str">
        <x:v>redeployedLoaded</x:v>
      </x:c>
      <x:c r="J32" s="34" t="str">
        <x:v>redeployed-loaded</x:v>
      </x:c>
      <x:c r="K32" s="36" t="n">
        <x:v>0</x:v>
      </x:c>
      <x:c r="L32" s="34" t="str">
        <x:v>redeploy</x:v>
      </x:c>
      <x:c r="M32" s="34" t="str">
        <x:v>article1-unified-v4-2-fb3f101b-20260903-000401-default-f01-p1-caffeine-4-redeployed-loaded</x:v>
      </x:c>
      <x:c r="N32" s="38" t="n">
        <x:v>46267.92797670139</x:v>
      </x:c>
      <x:c r="O32" s="36" t="n">
        <x:v>0</x:v>
      </x:c>
      <x:c r="P32" s="43" t="n">
        <x:v>197755904</x:v>
      </x:c>
      <x:c r="Q32" s="43" t="n">
        <x:v>268435456</x:v>
      </x:c>
      <x:c r="R32" s="43" t="n">
        <x:v>452950016</x:v>
      </x:c>
      <x:c r="S32" s="36" t="n">
        <x:v>3</x:v>
      </x:c>
      <x:c r="T32" s="44" t="str">
        <x:v>0x000000008b1177b8  0x000000008b003818  0x00007cbb581a18b0    4385  21151744  21137320  org.apache.catalina.loader.ParallelWebappClassLoader | 0x000000008b1177b8  0x000000008b003818  0x00007cbc44655bd0       0         0         0  org.apache.catalina.loader.ParallelWebappClassLoader | 0x000000008b1177b8  0x000000008b003818  0x00007cbb70012660    4396  21176320  21160880  org.apache.catalina.loader.ParallelWebappClassLoader</x:v>
      </x:c>
      <x:c r="U32" s="36" t="n">
        <x:v>31</x:v>
      </x:c>
      <x:c r="V32" s="36" t="n">
        <x:v>0</x:v>
      </x:c>
      <x:c r="W32" s="44"/>
      <x:c r="X32" s="36"/>
      <x:c r="Y32" s="36"/>
      <x:c r="Z32" s="44"/>
      <x:c r="AA32" s="49"/>
      <x:c r="AB32" s="43"/>
      <x:c r="AC32" s="34"/>
      <x:c r="AD32" s="34"/>
      <x:c r="AE32" s="34"/>
      <x:c r="AF32" s="34"/>
      <x:c r="AG32" s="34"/>
      <x:c r="AH32" s="34"/>
      <x:c r="AI32" s="34"/>
    </x:row>
    <x:row r="33">
      <x:c r="A33" s="34" t="str">
        <x:v>article1-unified-v4-2-fb3f101b-20260903-000401-default-f01-p1-caffeine</x:v>
      </x:c>
      <x:c r="B33" s="34" t="str">
        <x:v>default</x:v>
      </x:c>
      <x:c r="C33" s="34" t="str">
        <x:v>caffeine</x:v>
      </x:c>
      <x:c r="D33" s="34" t="str">
        <x:v>caffeine</x:v>
      </x:c>
      <x:c r="E33" s="36" t="n">
        <x:v>1</x:v>
      </x:c>
      <x:c r="F33" s="36" t="n">
        <x:v>1</x:v>
      </x:c>
      <x:c r="G33" s="36" t="n">
        <x:v>1</x:v>
      </x:c>
      <x:c r="H33" s="36" t="n">
        <x:v>4</x:v>
      </x:c>
      <x:c r="I33" s="34" t="str">
        <x:v>afterFinalUndeployEarly</x:v>
      </x:c>
      <x:c r="J33" s="34" t="str">
        <x:v>after-final-undeploy-early</x:v>
      </x:c>
      <x:c r="K33" s="36" t="n">
        <x:v>2</x:v>
      </x:c>
      <x:c r="L33" s="34" t="str">
        <x:v>early</x:v>
      </x:c>
      <x:c r="M33" s="34" t="str">
        <x:v>article1-unified-v4-2-fb3f101b-20260903-000401-default-f01-p1-caffeine-4-after-final-undeploy-early-2s</x:v>
      </x:c>
      <x:c r="N33" s="38" t="n">
        <x:v>46267.92806572917</x:v>
      </x:c>
      <x:c r="O33" s="36"/>
      <x:c r="P33" s="43"/>
      <x:c r="Q33" s="43"/>
      <x:c r="R33" s="43"/>
      <x:c r="S33" s="36"/>
      <x:c r="T33" s="44"/>
      <x:c r="U33" s="36" t="n">
        <x:v>30</x:v>
      </x:c>
      <x:c r="V33" s="36" t="n">
        <x:v>0</x:v>
      </x:c>
      <x:c r="W33" s="44"/>
      <x:c r="X33" s="36"/>
      <x:c r="Y33" s="36"/>
      <x:c r="Z33" s="44"/>
      <x:c r="AA33" s="49"/>
      <x:c r="AB33" s="43" t="n">
        <x:v>1</x:v>
      </x:c>
      <x:c r="AC33" s="34"/>
      <x:c r="AD33" s="34"/>
      <x:c r="AE33" s="34" t="str">
        <x:v>article1-unified-v4-2-fb3f101b-20260903-000401-default-f01-p1-caffeine-4-after-final-undeploy-early-2s-thread-dump.txt</x:v>
      </x:c>
      <x:c r="AF33" s="34" t="str">
        <x:v>article1-unified-v4-2-fb3f101b-20260903-000401-default-f01-p1-caffeine-4-after-final-undeploy-early-tomcat-log.txt</x:v>
      </x:c>
      <x:c r="AG33" s="34"/>
      <x:c r="AH33" s="34"/>
      <x:c r="AI33" s="34"/>
    </x:row>
    <x:row r="34">
      <x:c r="A34" s="34" t="str">
        <x:v>article1-unified-v4-2-fb3f101b-20260903-000401-default-f01-p1-caffeine</x:v>
      </x:c>
      <x:c r="B34" s="34" t="str">
        <x:v>default</x:v>
      </x:c>
      <x:c r="C34" s="34" t="str">
        <x:v>caffeine</x:v>
      </x:c>
      <x:c r="D34" s="34" t="str">
        <x:v>caffeine</x:v>
      </x:c>
      <x:c r="E34" s="36" t="n">
        <x:v>1</x:v>
      </x:c>
      <x:c r="F34" s="36" t="n">
        <x:v>1</x:v>
      </x:c>
      <x:c r="G34" s="36" t="n">
        <x:v>1</x:v>
      </x:c>
      <x:c r="H34" s="36" t="n">
        <x:v>4</x:v>
      </x:c>
      <x:c r="I34" s="34" t="str">
        <x:v>afterFinalUndeploy</x:v>
      </x:c>
      <x:c r="J34" s="34" t="str">
        <x:v>after-final-undeploy-final</x:v>
      </x:c>
      <x:c r="K34" s="36" t="n">
        <x:v>2</x:v>
      </x:c>
      <x:c r="L34" s="34" t="str">
        <x:v>final</x:v>
      </x:c>
      <x:c r="M34" s="34" t="str">
        <x:v>article1-unified-v4-2-fb3f101b-20260903-000401-default-f01-p1-caffeine-4-after-final-undeploy-final-10s</x:v>
      </x:c>
      <x:c r="N34" s="38" t="n">
        <x:v>46267.928218912035</x:v>
      </x:c>
      <x:c r="O34" s="36" t="n">
        <x:v>2</x:v>
      </x:c>
      <x:c r="P34" s="43" t="n">
        <x:v>15691776</x:v>
      </x:c>
      <x:c r="Q34" s="43" t="n">
        <x:v>268435456</x:v>
      </x:c>
      <x:c r="R34" s="43" t="n">
        <x:v>425772032</x:v>
      </x:c>
      <x:c r="S34" s="36" t="n">
        <x:v>2</x:v>
      </x:c>
      <x:c r="T34" s="44" t="str">
        <x:v>0x000000008b1177b8  0x000000008b003818  0x00007cbc44655bd0       0         0         0  org.apache.catalina.loader.ParallelWebappClassLoader | 0x000000008b1177b8  0x000000008b003818  0x00007cbb581a18b0    4393  21184512  21162000  org.apache.catalina.loader.ParallelWebappClassLoader</x:v>
      </x:c>
      <x:c r="U34" s="36" t="n">
        <x:v>30</x:v>
      </x:c>
      <x:c r="V34" s="36" t="n">
        <x:v>0</x:v>
      </x:c>
      <x:c r="W34" s="44"/>
      <x:c r="X34" s="36" t="n">
        <x:v>1</x:v>
      </x:c>
      <x:c r="Y34" s="36" t="n">
        <x:v>1</x:v>
      </x:c>
      <x:c r="Z34" s="44" t="str">
        <x:v>/caffeine</x:v>
      </x:c>
      <x:c r="AA34" s="45" t="b">
        <x:v>1</x:v>
      </x:c>
      <x:c r="AB34" s="43"/>
      <x:c r="AC34" s="34" t="str">
        <x:v>article1-unified-v4-2-fb3f101b-20260903-000401-default-f01-p1-caffeine-4-after-final-undeploy-final-10s-heap-info.txt</x:v>
      </x:c>
      <x:c r="AD34" s="34" t="str">
        <x:v>article1-unified-v4-2-fb3f101b-20260903-000401-default-f01-p1-caffeine-4-after-final-undeploy-final-10s-classloader-stats.txt</x:v>
      </x:c>
      <x:c r="AE34" s="34" t="str">
        <x:v>article1-unified-v4-2-fb3f101b-20260903-000401-default-f01-p1-caffeine-4-after-final-undeploy-final-10s-thread-dump.txt</x:v>
      </x:c>
      <x:c r="AF34" s="34"/>
      <x:c r="AG34" s="34" t="str">
        <x:v>article1-unified-v4-2-fb3f101b-20260903-000401-default-f01-p1-caffeine-4-after-final-undeploy-final-10s-native-memory.txt</x:v>
      </x:c>
      <x:c r="AH34" s="34" t="str">
        <x:v>article1-unified-v4-2-fb3f101b-20260903-000401-default-f01-p1-caffeine-4-after-final-undeploy-final-10s-class-histogram.txt</x:v>
      </x:c>
      <x:c r="AI34" s="34" t="str">
        <x:v>article1-unified-v4-2-fb3f101b-20260903-000401-default-f01-p1-caffeine-4-after-final-undeploy-tomcat-findleaks.txt</x:v>
      </x:c>
    </x:row>
    <x:row r="35">
      <x:c r="A35" s="34" t="str">
        <x:v>article1-unified-v4-2-fb3f101b-20260903-000401-default-f01-p1-caffeine</x:v>
      </x:c>
      <x:c r="B35" s="34" t="str">
        <x:v>default</x:v>
      </x:c>
      <x:c r="C35" s="34" t="str">
        <x:v>caffeine</x:v>
      </x:c>
      <x:c r="D35" s="34" t="str">
        <x:v>caffeine</x:v>
      </x:c>
      <x:c r="E35" s="36" t="n">
        <x:v>1</x:v>
      </x:c>
      <x:c r="F35" s="36" t="n">
        <x:v>1</x:v>
      </x:c>
      <x:c r="G35" s="36" t="n">
        <x:v>1</x:v>
      </x:c>
      <x:c r="H35" s="36" t="n">
        <x:v>5</x:v>
      </x:c>
      <x:c r="I35" s="34" t="str">
        <x:v>baseline</x:v>
      </x:c>
      <x:c r="J35" s="34" t="str">
        <x:v>cycle-baseline</x:v>
      </x:c>
      <x:c r="K35" s="36" t="n">
        <x:v>0</x:v>
      </x:c>
      <x:c r="L35" s="34" t="str">
        <x:v>baseline</x:v>
      </x:c>
      <x:c r="M35" s="34" t="str">
        <x:v>article1-unified-v4-2-fb3f101b-20260903-000401-default-f01-p1-caffeine-5-baseline</x:v>
      </x:c>
      <x:c r="N35" s="38" t="n">
        <x:v>46267.928272847224</x:v>
      </x:c>
      <x:c r="O35" s="36" t="n">
        <x:v>0</x:v>
      </x:c>
      <x:c r="P35" s="43" t="n">
        <x:v>15699968</x:v>
      </x:c>
      <x:c r="Q35" s="43" t="n">
        <x:v>268435456</x:v>
      </x:c>
      <x:c r="R35" s="43" t="n">
        <x:v>425673728</x:v>
      </x:c>
      <x:c r="S35" s="36" t="n">
        <x:v>2</x:v>
      </x:c>
      <x:c r="T35" s="44" t="str">
        <x:v>0x000000008b1177b8  0x000000008b003818  0x00007cbc44655bd0       0         0         0  org.apache.catalina.loader.ParallelWebappClassLoader | 0x000000008b1177b8  0x000000008b003818  0x00007cbb581a18b0    4393  21184512  21162000  org.apache.catalina.loader.ParallelWebappClassLoader</x:v>
      </x:c>
      <x:c r="U35" s="36" t="n">
        <x:v>30</x:v>
      </x:c>
      <x:c r="V35" s="36" t="n">
        <x:v>0</x:v>
      </x:c>
      <x:c r="W35" s="44"/>
      <x:c r="X35" s="36"/>
      <x:c r="Y35" s="36"/>
      <x:c r="Z35" s="44"/>
      <x:c r="AA35" s="49"/>
      <x:c r="AB35" s="43"/>
      <x:c r="AC35" s="34" t="str">
        <x:v>article1-unified-v4-2-fb3f101b-20260903-000401-default-f01-p1-caffeine-5-baseline-heap-info.txt</x:v>
      </x:c>
      <x:c r="AD35" s="34" t="str">
        <x:v>article1-unified-v4-2-fb3f101b-20260903-000401-default-f01-p1-caffeine-5-baseline-classloader-stats.txt</x:v>
      </x:c>
      <x:c r="AE35" s="34" t="str">
        <x:v>article1-unified-v4-2-fb3f101b-20260903-000401-default-f01-p1-caffeine-5-baseline-thread-dump.txt</x:v>
      </x:c>
      <x:c r="AF35" s="34"/>
      <x:c r="AG35" s="34" t="str">
        <x:v>article1-unified-v4-2-fb3f101b-20260903-000401-default-f01-p1-caffeine-5-baseline-native-memory.txt</x:v>
      </x:c>
      <x:c r="AH35" s="34"/>
      <x:c r="AI35" s="34"/>
    </x:row>
    <x:row r="36">
      <x:c r="A36" s="34" t="str">
        <x:v>article1-unified-v4-2-fb3f101b-20260903-000401-default-f01-p1-caffeine</x:v>
      </x:c>
      <x:c r="B36" s="34" t="str">
        <x:v>default</x:v>
      </x:c>
      <x:c r="C36" s="34" t="str">
        <x:v>caffeine</x:v>
      </x:c>
      <x:c r="D36" s="34" t="str">
        <x:v>caffeine</x:v>
      </x:c>
      <x:c r="E36" s="36" t="n">
        <x:v>1</x:v>
      </x:c>
      <x:c r="F36" s="36" t="n">
        <x:v>1</x:v>
      </x:c>
      <x:c r="G36" s="36" t="n">
        <x:v>1</x:v>
      </x:c>
      <x:c r="H36" s="36" t="n">
        <x:v>5</x:v>
      </x:c>
      <x:c r="I36" s="34" t="str">
        <x:v>deployedIdle</x:v>
      </x:c>
      <x:c r="J36" s="34" t="str">
        <x:v>deployed-idle</x:v>
      </x:c>
      <x:c r="K36" s="36" t="n">
        <x:v>0</x:v>
      </x:c>
      <x:c r="L36" s="34" t="str">
        <x:v>initial</x:v>
      </x:c>
      <x:c r="M36" s="34" t="str">
        <x:v>article1-unified-v4-2-fb3f101b-20260903-000401-default-f01-p1-caffeine-5-deployed-idle</x:v>
      </x:c>
      <x:c r="N36" s="38" t="n">
        <x:v>46267.92837637731</x:v>
      </x:c>
      <x:c r="O36" s="36" t="n">
        <x:v>0</x:v>
      </x:c>
      <x:c r="P36" s="43" t="n">
        <x:v>163847168</x:v>
      </x:c>
      <x:c r="Q36" s="43" t="n">
        <x:v>268435456</x:v>
      </x:c>
      <x:c r="R36" s="43" t="n">
        <x:v>466471936</x:v>
      </x:c>
      <x:c r="S36" s="36" t="n">
        <x:v>3</x:v>
      </x:c>
      <x:c r="T36" s="44" t="str">
        <x:v>0x000000008b1177b8  0x000000008b003818  0x00007cbb44152360    4091  19440640  19433016  org.apache.catalina.loader.ParallelWebappClassLoader | 0x000000008b1177b8  0x000000008b003818  0x00007cbc44655bd0       0         0         0  org.apache.catalina.loader.ParallelWebappClassLoader | 0x000000008b1177b8  0x000000008b003818  0x00007cbb581a18b0    4393  21184512  21162000  org.apache.catalina.loader.ParallelWebappClassLoader</x:v>
      </x:c>
      <x:c r="U36" s="36" t="n">
        <x:v>30</x:v>
      </x:c>
      <x:c r="V36" s="36" t="n">
        <x:v>0</x:v>
      </x:c>
      <x:c r="W36" s="44"/>
      <x:c r="X36" s="36"/>
      <x:c r="Y36" s="36"/>
      <x:c r="Z36" s="44"/>
      <x:c r="AA36" s="49"/>
      <x:c r="AB36" s="43"/>
      <x:c r="AC36" s="34"/>
      <x:c r="AD36" s="34"/>
      <x:c r="AE36" s="34"/>
      <x:c r="AF36" s="34"/>
      <x:c r="AG36" s="34"/>
      <x:c r="AH36" s="34"/>
      <x:c r="AI36" s="34"/>
    </x:row>
    <x:row r="37">
      <x:c r="A37" s="34" t="str">
        <x:v>article1-unified-v4-2-fb3f101b-20260903-000401-default-f01-p1-caffeine</x:v>
      </x:c>
      <x:c r="B37" s="34" t="str">
        <x:v>default</x:v>
      </x:c>
      <x:c r="C37" s="34" t="str">
        <x:v>caffeine</x:v>
      </x:c>
      <x:c r="D37" s="34" t="str">
        <x:v>caffeine</x:v>
      </x:c>
      <x:c r="E37" s="36" t="n">
        <x:v>1</x:v>
      </x:c>
      <x:c r="F37" s="36" t="n">
        <x:v>1</x:v>
      </x:c>
      <x:c r="G37" s="36" t="n">
        <x:v>1</x:v>
      </x:c>
      <x:c r="H37" s="36" t="n">
        <x:v>5</x:v>
      </x:c>
      <x:c r="I37" s="34" t="str">
        <x:v>loaded</x:v>
      </x:c>
      <x:c r="J37" s="34" t="str">
        <x:v>loaded</x:v>
      </x:c>
      <x:c r="K37" s="36" t="n">
        <x:v>0</x:v>
      </x:c>
      <x:c r="L37" s="34" t="str">
        <x:v>initial</x:v>
      </x:c>
      <x:c r="M37" s="34" t="str">
        <x:v>article1-unified-v4-2-fb3f101b-20260903-000401-default-f01-p1-caffeine-5-loaded</x:v>
      </x:c>
      <x:c r="N37" s="38" t="n">
        <x:v>46267.92853084491</x:v>
      </x:c>
      <x:c r="O37" s="36" t="n">
        <x:v>0</x:v>
      </x:c>
      <x:c r="P37" s="43" t="n">
        <x:v>201695232</x:v>
      </x:c>
      <x:c r="Q37" s="43" t="n">
        <x:v>268435456</x:v>
      </x:c>
      <x:c r="R37" s="43" t="n">
        <x:v>448020480</x:v>
      </x:c>
      <x:c r="S37" s="36" t="n">
        <x:v>3</x:v>
      </x:c>
      <x:c r="T37" s="44" t="str">
        <x:v>0x000000008b1177b8  0x000000008b003818  0x00007cbb44152360    4387  21144576  21135080  org.apache.catalina.loader.ParallelWebappClassLoader | 0x000000008b1177b8  0x000000008b003818  0x00007cbc44655bd0       0         0         0  org.apache.catalina.loader.ParallelWebappClassLoader | 0x000000008b1177b8  0x000000008b003818  0x00007cbb581a18b0    4393  21184512  21162000  org.apache.catalina.loader.ParallelWebappClassLoader</x:v>
      </x:c>
      <x:c r="U37" s="36" t="n">
        <x:v>31</x:v>
      </x:c>
      <x:c r="V37" s="36" t="n">
        <x:v>0</x:v>
      </x:c>
      <x:c r="W37" s="44"/>
      <x:c r="X37" s="36"/>
      <x:c r="Y37" s="36"/>
      <x:c r="Z37" s="44"/>
      <x:c r="AA37" s="49"/>
      <x:c r="AB37" s="43"/>
      <x:c r="AC37" s="34"/>
      <x:c r="AD37" s="34"/>
      <x:c r="AE37" s="34"/>
      <x:c r="AF37" s="34"/>
      <x:c r="AG37" s="34"/>
      <x:c r="AH37" s="34"/>
      <x:c r="AI37" s="34"/>
    </x:row>
    <x:row r="38">
      <x:c r="A38" s="34" t="str">
        <x:v>article1-unified-v4-2-fb3f101b-20260903-000401-default-f01-p1-caffeine</x:v>
      </x:c>
      <x:c r="B38" s="34" t="str">
        <x:v>default</x:v>
      </x:c>
      <x:c r="C38" s="34" t="str">
        <x:v>caffeine</x:v>
      </x:c>
      <x:c r="D38" s="34" t="str">
        <x:v>caffeine</x:v>
      </x:c>
      <x:c r="E38" s="36" t="n">
        <x:v>1</x:v>
      </x:c>
      <x:c r="F38" s="36" t="n">
        <x:v>1</x:v>
      </x:c>
      <x:c r="G38" s="36" t="n">
        <x:v>1</x:v>
      </x:c>
      <x:c r="H38" s="36" t="n">
        <x:v>5</x:v>
      </x:c>
      <x:c r="I38" s="34" t="str">
        <x:v>afterUndeployEarly</x:v>
      </x:c>
      <x:c r="J38" s="34" t="str">
        <x:v>after-undeploy-early</x:v>
      </x:c>
      <x:c r="K38" s="36" t="n">
        <x:v>1</x:v>
      </x:c>
      <x:c r="L38" s="34" t="str">
        <x:v>early</x:v>
      </x:c>
      <x:c r="M38" s="34" t="str">
        <x:v>article1-unified-v4-2-fb3f101b-20260903-000401-default-f01-p1-caffeine-5-after-undeploy-early-2s</x:v>
      </x:c>
      <x:c r="N38" s="38" t="n">
        <x:v>46267.928613125</x:v>
      </x:c>
      <x:c r="O38" s="36"/>
      <x:c r="P38" s="43"/>
      <x:c r="Q38" s="43"/>
      <x:c r="R38" s="43"/>
      <x:c r="S38" s="36"/>
      <x:c r="T38" s="44"/>
      <x:c r="U38" s="36" t="n">
        <x:v>30</x:v>
      </x:c>
      <x:c r="V38" s="36" t="n">
        <x:v>0</x:v>
      </x:c>
      <x:c r="W38" s="44"/>
      <x:c r="X38" s="36"/>
      <x:c r="Y38" s="36"/>
      <x:c r="Z38" s="44"/>
      <x:c r="AA38" s="49"/>
      <x:c r="AB38" s="43" t="n">
        <x:v>1</x:v>
      </x:c>
      <x:c r="AC38" s="34"/>
      <x:c r="AD38" s="34"/>
      <x:c r="AE38" s="34" t="str">
        <x:v>article1-unified-v4-2-fb3f101b-20260903-000401-default-f01-p1-caffeine-5-after-undeploy-early-2s-thread-dump.txt</x:v>
      </x:c>
      <x:c r="AF38" s="34" t="str">
        <x:v>article1-unified-v4-2-fb3f101b-20260903-000401-default-f01-p1-caffeine-5-after-undeploy-early-tomcat-log.txt</x:v>
      </x:c>
      <x:c r="AG38" s="34"/>
      <x:c r="AH38" s="34"/>
      <x:c r="AI38" s="34"/>
    </x:row>
    <x:row r="39">
      <x:c r="A39" s="34" t="str">
        <x:v>article1-unified-v4-2-fb3f101b-20260903-000401-default-f01-p1-caffeine</x:v>
      </x:c>
      <x:c r="B39" s="34" t="str">
        <x:v>default</x:v>
      </x:c>
      <x:c r="C39" s="34" t="str">
        <x:v>caffeine</x:v>
      </x:c>
      <x:c r="D39" s="34" t="str">
        <x:v>caffeine</x:v>
      </x:c>
      <x:c r="E39" s="36" t="n">
        <x:v>1</x:v>
      </x:c>
      <x:c r="F39" s="36" t="n">
        <x:v>1</x:v>
      </x:c>
      <x:c r="G39" s="36" t="n">
        <x:v>1</x:v>
      </x:c>
      <x:c r="H39" s="36" t="n">
        <x:v>5</x:v>
      </x:c>
      <x:c r="I39" s="34" t="str">
        <x:v>afterUndeploy</x:v>
      </x:c>
      <x:c r="J39" s="34" t="str">
        <x:v>after-undeploy-final</x:v>
      </x:c>
      <x:c r="K39" s="36" t="n">
        <x:v>1</x:v>
      </x:c>
      <x:c r="L39" s="34" t="str">
        <x:v>final</x:v>
      </x:c>
      <x:c r="M39" s="34" t="str">
        <x:v>article1-unified-v4-2-fb3f101b-20260903-000401-default-f01-p1-caffeine-5-after-undeploy-final-10s</x:v>
      </x:c>
      <x:c r="N39" s="38" t="n">
        <x:v>46267.92877493056</x:v>
      </x:c>
      <x:c r="O39" s="36" t="n">
        <x:v>2</x:v>
      </x:c>
      <x:c r="P39" s="43" t="n">
        <x:v>15697920</x:v>
      </x:c>
      <x:c r="Q39" s="43" t="n">
        <x:v>268435456</x:v>
      </x:c>
      <x:c r="R39" s="43" t="n">
        <x:v>431175680</x:v>
      </x:c>
      <x:c r="S39" s="36" t="n">
        <x:v>2</x:v>
      </x:c>
      <x:c r="T39" s="44" t="str">
        <x:v>0x000000008b1177b8  0x000000008b003818  0x00007cbc44655bd0       0         0         0  org.apache.catalina.loader.ParallelWebappClassLoader | 0x000000008b1177b8  0x000000008b003818  0x00007cbb44152360    4395  21177344  21159952  org.apache.catalina.loader.ParallelWebappClassLoader</x:v>
      </x:c>
      <x:c r="U39" s="36" t="n">
        <x:v>30</x:v>
      </x:c>
      <x:c r="V39" s="36" t="n">
        <x:v>0</x:v>
      </x:c>
      <x:c r="W39" s="44"/>
      <x:c r="X39" s="36" t="n">
        <x:v>1</x:v>
      </x:c>
      <x:c r="Y39" s="36" t="n">
        <x:v>1</x:v>
      </x:c>
      <x:c r="Z39" s="44" t="str">
        <x:v>/caffeine</x:v>
      </x:c>
      <x:c r="AA39" s="45" t="b">
        <x:v>1</x:v>
      </x:c>
      <x:c r="AB39" s="43"/>
      <x:c r="AC39" s="34" t="str">
        <x:v>article1-unified-v4-2-fb3f101b-20260903-000401-default-f01-p1-caffeine-5-after-undeploy-final-10s-heap-info.txt</x:v>
      </x:c>
      <x:c r="AD39" s="34" t="str">
        <x:v>article1-unified-v4-2-fb3f101b-20260903-000401-default-f01-p1-caffeine-5-after-undeploy-final-10s-classloader-stats.txt</x:v>
      </x:c>
      <x:c r="AE39" s="34" t="str">
        <x:v>article1-unified-v4-2-fb3f101b-20260903-000401-default-f01-p1-caffeine-5-after-undeploy-final-10s-thread-dump.txt</x:v>
      </x:c>
      <x:c r="AF39" s="34"/>
      <x:c r="AG39" s="34" t="str">
        <x:v>article1-unified-v4-2-fb3f101b-20260903-000401-default-f01-p1-caffeine-5-after-undeploy-final-10s-native-memory.txt</x:v>
      </x:c>
      <x:c r="AH39" s="34" t="str">
        <x:v>article1-unified-v4-2-fb3f101b-20260903-000401-default-f01-p1-caffeine-5-after-undeploy-final-10s-class-histogram.txt</x:v>
      </x:c>
      <x:c r="AI39" s="34" t="str">
        <x:v>article1-unified-v4-2-fb3f101b-20260903-000401-default-f01-p1-caffeine-5-after-undeploy-tomcat-findleaks.txt</x:v>
      </x:c>
    </x:row>
    <x:row r="40">
      <x:c r="A40" s="34" t="str">
        <x:v>article1-unified-v4-2-fb3f101b-20260903-000401-default-f01-p1-caffeine</x:v>
      </x:c>
      <x:c r="B40" s="34" t="str">
        <x:v>default</x:v>
      </x:c>
      <x:c r="C40" s="34" t="str">
        <x:v>caffeine</x:v>
      </x:c>
      <x:c r="D40" s="34" t="str">
        <x:v>caffeine</x:v>
      </x:c>
      <x:c r="E40" s="36" t="n">
        <x:v>1</x:v>
      </x:c>
      <x:c r="F40" s="36" t="n">
        <x:v>1</x:v>
      </x:c>
      <x:c r="G40" s="36" t="n">
        <x:v>1</x:v>
      </x:c>
      <x:c r="H40" s="36" t="n">
        <x:v>5</x:v>
      </x:c>
      <x:c r="I40" s="34" t="str">
        <x:v>redeployedLoaded</x:v>
      </x:c>
      <x:c r="J40" s="34" t="str">
        <x:v>redeployed-loaded</x:v>
      </x:c>
      <x:c r="K40" s="36" t="n">
        <x:v>0</x:v>
      </x:c>
      <x:c r="L40" s="34" t="str">
        <x:v>redeploy</x:v>
      </x:c>
      <x:c r="M40" s="34" t="str">
        <x:v>article1-unified-v4-2-fb3f101b-20260903-000401-default-f01-p1-caffeine-5-redeployed-loaded</x:v>
      </x:c>
      <x:c r="N40" s="38" t="n">
        <x:v>46267.929030266205</x:v>
      </x:c>
      <x:c r="O40" s="36" t="n">
        <x:v>0</x:v>
      </x:c>
      <x:c r="P40" s="43" t="n">
        <x:v>209529856</x:v>
      </x:c>
      <x:c r="Q40" s="43" t="n">
        <x:v>268435456</x:v>
      </x:c>
      <x:c r="R40" s="43" t="n">
        <x:v>448681984</x:v>
      </x:c>
      <x:c r="S40" s="36" t="n">
        <x:v>3</x:v>
      </x:c>
      <x:c r="T40" s="44" t="str">
        <x:v>0x000000008b1177b8  0x000000008b003818  0x00007cbb54008240    4386  21153792  21130808  org.apache.catalina.loader.ParallelWebappClassLoader | 0x000000008b1177b8  0x000000008b003818  0x00007cbc44655bd0       0         0         0  org.apache.catalina.loader.ParallelWebappClassLoader | 0x000000008b1177b8  0x000000008b003818  0x00007cbb44152360    4395  21177344  21159952  org.apache.catalina.loader.ParallelWebappClassLoader</x:v>
      </x:c>
      <x:c r="U40" s="36" t="n">
        <x:v>30</x:v>
      </x:c>
      <x:c r="V40" s="36" t="n">
        <x:v>0</x:v>
      </x:c>
      <x:c r="W40" s="44"/>
      <x:c r="X40" s="36"/>
      <x:c r="Y40" s="36"/>
      <x:c r="Z40" s="44"/>
      <x:c r="AA40" s="49"/>
      <x:c r="AB40" s="43"/>
      <x:c r="AC40" s="34"/>
      <x:c r="AD40" s="34"/>
      <x:c r="AE40" s="34"/>
      <x:c r="AF40" s="34"/>
      <x:c r="AG40" s="34"/>
      <x:c r="AH40" s="34"/>
      <x:c r="AI40" s="34"/>
    </x:row>
    <x:row r="41">
      <x:c r="A41" s="34" t="str">
        <x:v>article1-unified-v4-2-fb3f101b-20260903-000401-default-f01-p1-caffeine</x:v>
      </x:c>
      <x:c r="B41" s="34" t="str">
        <x:v>default</x:v>
      </x:c>
      <x:c r="C41" s="34" t="str">
        <x:v>caffeine</x:v>
      </x:c>
      <x:c r="D41" s="34" t="str">
        <x:v>caffeine</x:v>
      </x:c>
      <x:c r="E41" s="36" t="n">
        <x:v>1</x:v>
      </x:c>
      <x:c r="F41" s="36" t="n">
        <x:v>1</x:v>
      </x:c>
      <x:c r="G41" s="36" t="n">
        <x:v>1</x:v>
      </x:c>
      <x:c r="H41" s="36" t="n">
        <x:v>5</x:v>
      </x:c>
      <x:c r="I41" s="34" t="str">
        <x:v>afterFinalUndeployEarly</x:v>
      </x:c>
      <x:c r="J41" s="34" t="str">
        <x:v>after-final-undeploy-early</x:v>
      </x:c>
      <x:c r="K41" s="36" t="n">
        <x:v>2</x:v>
      </x:c>
      <x:c r="L41" s="34" t="str">
        <x:v>early</x:v>
      </x:c>
      <x:c r="M41" s="34" t="str">
        <x:v>article1-unified-v4-2-fb3f101b-20260903-000401-default-f01-p1-caffeine-5-after-final-undeploy-early-2s</x:v>
      </x:c>
      <x:c r="N41" s="38" t="n">
        <x:v>46267.92911503472</x:v>
      </x:c>
      <x:c r="O41" s="36"/>
      <x:c r="P41" s="43"/>
      <x:c r="Q41" s="43"/>
      <x:c r="R41" s="43"/>
      <x:c r="S41" s="36"/>
      <x:c r="T41" s="44"/>
      <x:c r="U41" s="36" t="n">
        <x:v>30</x:v>
      </x:c>
      <x:c r="V41" s="36" t="n">
        <x:v>0</x:v>
      </x:c>
      <x:c r="W41" s="44"/>
      <x:c r="X41" s="36"/>
      <x:c r="Y41" s="36"/>
      <x:c r="Z41" s="44"/>
      <x:c r="AA41" s="49"/>
      <x:c r="AB41" s="43" t="n">
        <x:v>1</x:v>
      </x:c>
      <x:c r="AC41" s="34"/>
      <x:c r="AD41" s="34"/>
      <x:c r="AE41" s="34" t="str">
        <x:v>article1-unified-v4-2-fb3f101b-20260903-000401-default-f01-p1-caffeine-5-after-final-undeploy-early-2s-thread-dump.txt</x:v>
      </x:c>
      <x:c r="AF41" s="34" t="str">
        <x:v>article1-unified-v4-2-fb3f101b-20260903-000401-default-f01-p1-caffeine-5-after-final-undeploy-early-tomcat-log.txt</x:v>
      </x:c>
      <x:c r="AG41" s="34"/>
      <x:c r="AH41" s="34"/>
      <x:c r="AI41" s="34"/>
    </x:row>
    <x:row r="42">
      <x:c r="A42" s="34" t="str">
        <x:v>article1-unified-v4-2-fb3f101b-20260903-000401-default-f01-p1-caffeine</x:v>
      </x:c>
      <x:c r="B42" s="34" t="str">
        <x:v>default</x:v>
      </x:c>
      <x:c r="C42" s="34" t="str">
        <x:v>caffeine</x:v>
      </x:c>
      <x:c r="D42" s="34" t="str">
        <x:v>caffeine</x:v>
      </x:c>
      <x:c r="E42" s="36" t="n">
        <x:v>1</x:v>
      </x:c>
      <x:c r="F42" s="36" t="n">
        <x:v>1</x:v>
      </x:c>
      <x:c r="G42" s="36" t="n">
        <x:v>1</x:v>
      </x:c>
      <x:c r="H42" s="36" t="n">
        <x:v>5</x:v>
      </x:c>
      <x:c r="I42" s="34" t="str">
        <x:v>afterFinalUndeploy</x:v>
      </x:c>
      <x:c r="J42" s="34" t="str">
        <x:v>after-final-undeploy-final</x:v>
      </x:c>
      <x:c r="K42" s="36" t="n">
        <x:v>2</x:v>
      </x:c>
      <x:c r="L42" s="34" t="str">
        <x:v>final</x:v>
      </x:c>
      <x:c r="M42" s="34" t="str">
        <x:v>article1-unified-v4-2-fb3f101b-20260903-000401-default-f01-p1-caffeine-5-after-final-undeploy-final-10s</x:v>
      </x:c>
      <x:c r="N42" s="38" t="n">
        <x:v>46267.929272511574</x:v>
      </x:c>
      <x:c r="O42" s="36" t="n">
        <x:v>2</x:v>
      </x:c>
      <x:c r="P42" s="43" t="n">
        <x:v>15710208</x:v>
      </x:c>
      <x:c r="Q42" s="43" t="n">
        <x:v>268435456</x:v>
      </x:c>
      <x:c r="R42" s="43" t="n">
        <x:v>427345920</x:v>
      </x:c>
      <x:c r="S42" s="36" t="n">
        <x:v>2</x:v>
      </x:c>
      <x:c r="T42" s="44" t="str">
        <x:v>0x000000008b1177b8  0x000000008b003818  0x00007cbc44655bd0       0         0         0  org.apache.catalina.loader.ParallelWebappClassLoader | 0x000000008b1177b8  0x000000008b003818  0x00007cbb54008240    4394  21170176  21155496  org.apache.catalina.loader.ParallelWebappClassLoader</x:v>
      </x:c>
      <x:c r="U42" s="36" t="n">
        <x:v>30</x:v>
      </x:c>
      <x:c r="V42" s="36" t="n">
        <x:v>0</x:v>
      </x:c>
      <x:c r="W42" s="44"/>
      <x:c r="X42" s="36" t="n">
        <x:v>1</x:v>
      </x:c>
      <x:c r="Y42" s="36" t="n">
        <x:v>1</x:v>
      </x:c>
      <x:c r="Z42" s="44" t="str">
        <x:v>/caffeine</x:v>
      </x:c>
      <x:c r="AA42" s="45" t="b">
        <x:v>1</x:v>
      </x:c>
      <x:c r="AB42" s="43"/>
      <x:c r="AC42" s="34" t="str">
        <x:v>article1-unified-v4-2-fb3f101b-20260903-000401-default-f01-p1-caffeine-5-after-final-undeploy-final-10s-heap-info.txt</x:v>
      </x:c>
      <x:c r="AD42" s="34" t="str">
        <x:v>article1-unified-v4-2-fb3f101b-20260903-000401-default-f01-p1-caffeine-5-after-final-undeploy-final-10s-classloader-stats.txt</x:v>
      </x:c>
      <x:c r="AE42" s="34" t="str">
        <x:v>article1-unified-v4-2-fb3f101b-20260903-000401-default-f01-p1-caffeine-5-after-final-undeploy-final-10s-thread-dump.txt</x:v>
      </x:c>
      <x:c r="AF42" s="34"/>
      <x:c r="AG42" s="34" t="str">
        <x:v>article1-unified-v4-2-fb3f101b-20260903-000401-default-f01-p1-caffeine-5-after-final-undeploy-final-10s-native-memory.txt</x:v>
      </x:c>
      <x:c r="AH42" s="34" t="str">
        <x:v>article1-unified-v4-2-fb3f101b-20260903-000401-default-f01-p1-caffeine-5-after-final-undeploy-final-10s-class-histogram.txt</x:v>
      </x:c>
      <x:c r="AI42" s="34" t="str">
        <x:v>article1-unified-v4-2-fb3f101b-20260903-000401-default-f01-p1-caffeine-5-after-final-undeploy-tomcat-findleaks.txt</x:v>
      </x:c>
    </x:row>
    <x:row r="43">
      <x:c r="A43" s="34" t="str">
        <x:v>article1-unified-v4-2-fb3f101b-20260903-000401-default-f01-p2-ehcache</x:v>
      </x:c>
      <x:c r="B43" s="34" t="str">
        <x:v>default</x:v>
      </x:c>
      <x:c r="C43" s="34" t="str">
        <x:v>ehcache</x:v>
      </x:c>
      <x:c r="D43" s="34" t="str">
        <x:v>ehcache</x:v>
      </x:c>
      <x:c r="E43" s="36" t="n">
        <x:v>1</x:v>
      </x:c>
      <x:c r="F43" s="36" t="n">
        <x:v>1</x:v>
      </x:c>
      <x:c r="G43" s="36" t="n">
        <x:v>2</x:v>
      </x:c>
      <x:c r="H43" s="36" t="n">
        <x:v>0</x:v>
      </x:c>
      <x:c r="I43" s="34" t="str">
        <x:v>processBaseline</x:v>
      </x:c>
      <x:c r="J43" s="34" t="str">
        <x:v>process-baseline</x:v>
      </x:c>
      <x:c r="K43" s="36" t="n">
        <x:v>0</x:v>
      </x:c>
      <x:c r="L43" s="34" t="str">
        <x:v>baseline</x:v>
      </x:c>
      <x:c r="M43" s="34" t="str">
        <x:v>article1-unified-v4-2-fb3f101b-20260903-000401-default-f01-p2-ehcache-process-baseline</x:v>
      </x:c>
      <x:c r="N43" s="38" t="n">
        <x:v>46267.92951513889</x:v>
      </x:c>
      <x:c r="O43" s="36" t="n">
        <x:v>0</x:v>
      </x:c>
      <x:c r="P43" s="43" t="n">
        <x:v>32706560</x:v>
      </x:c>
      <x:c r="Q43" s="43" t="n">
        <x:v>270532608</x:v>
      </x:c>
      <x:c r="R43" s="43" t="n">
        <x:v>369362944</x:v>
      </x:c>
      <x:c r="S43" s="36" t="n">
        <x:v>1</x:v>
      </x:c>
      <x:c r="T43" s="44" t="str">
        <x:v>0x00000000461177b8  0x0000000046003818  0x00007327b8626e30       0         0         0  org.apache.catalina.loader.ParallelWebappClassLoader</x:v>
      </x:c>
      <x:c r="U43" s="36" t="n">
        <x:v>27</x:v>
      </x:c>
      <x:c r="V43" s="36" t="n">
        <x:v>0</x:v>
      </x:c>
      <x:c r="W43" s="44"/>
      <x:c r="X43" s="36"/>
      <x:c r="Y43" s="36"/>
      <x:c r="Z43" s="44"/>
      <x:c r="AA43" s="49"/>
      <x:c r="AB43" s="43"/>
      <x:c r="AC43" s="34" t="str">
        <x:v>article1-unified-v4-2-fb3f101b-20260903-000401-default-f01-p2-ehcache-process-baseline-heap-info.txt</x:v>
      </x:c>
      <x:c r="AD43" s="34" t="str">
        <x:v>article1-unified-v4-2-fb3f101b-20260903-000401-default-f01-p2-ehcache-process-baseline-classloader-stats.txt</x:v>
      </x:c>
      <x:c r="AE43" s="34" t="str">
        <x:v>article1-unified-v4-2-fb3f101b-20260903-000401-default-f01-p2-ehcache-process-baseline-thread-dump.txt</x:v>
      </x:c>
      <x:c r="AF43" s="34"/>
      <x:c r="AG43" s="34" t="str">
        <x:v>article1-unified-v4-2-fb3f101b-20260903-000401-default-f01-p2-ehcache-process-baseline-native-memory.txt</x:v>
      </x:c>
      <x:c r="AH43" s="34"/>
      <x:c r="AI43" s="34"/>
    </x:row>
    <x:row r="44">
      <x:c r="A44" s="34" t="str">
        <x:v>article1-unified-v4-2-fb3f101b-20260903-000401-default-f01-p2-ehcache</x:v>
      </x:c>
      <x:c r="B44" s="34" t="str">
        <x:v>default</x:v>
      </x:c>
      <x:c r="C44" s="34" t="str">
        <x:v>ehcache</x:v>
      </x:c>
      <x:c r="D44" s="34" t="str">
        <x:v>ehcache</x:v>
      </x:c>
      <x:c r="E44" s="36" t="n">
        <x:v>1</x:v>
      </x:c>
      <x:c r="F44" s="36" t="n">
        <x:v>1</x:v>
      </x:c>
      <x:c r="G44" s="36" t="n">
        <x:v>2</x:v>
      </x:c>
      <x:c r="H44" s="36" t="n">
        <x:v>1</x:v>
      </x:c>
      <x:c r="I44" s="34" t="str">
        <x:v>baseline</x:v>
      </x:c>
      <x:c r="J44" s="34" t="str">
        <x:v>cycle-baseline</x:v>
      </x:c>
      <x:c r="K44" s="36" t="n">
        <x:v>0</x:v>
      </x:c>
      <x:c r="L44" s="34" t="str">
        <x:v>baseline</x:v>
      </x:c>
      <x:c r="M44" s="34" t="str">
        <x:v>article1-unified-v4-2-fb3f101b-20260903-000401-default-f01-p2-ehcache-1-baseline</x:v>
      </x:c>
      <x:c r="N44" s="38" t="n">
        <x:v>46267.92970891204</x:v>
      </x:c>
      <x:c r="O44" s="36" t="n">
        <x:v>0</x:v>
      </x:c>
      <x:c r="P44" s="43" t="n">
        <x:v>32706560</x:v>
      </x:c>
      <x:c r="Q44" s="43" t="n">
        <x:v>270532608</x:v>
      </x:c>
      <x:c r="R44" s="43" t="n">
        <x:v>369850368</x:v>
      </x:c>
      <x:c r="S44" s="36" t="n">
        <x:v>1</x:v>
      </x:c>
      <x:c r="T44" s="44" t="str">
        <x:v>0x00000000461177b8  0x0000000046003818  0x00007327b8626e30       0         0         0  org.apache.catalina.loader.ParallelWebappClassLoader</x:v>
      </x:c>
      <x:c r="U44" s="36" t="n">
        <x:v>27</x:v>
      </x:c>
      <x:c r="V44" s="36" t="n">
        <x:v>0</x:v>
      </x:c>
      <x:c r="W44" s="44"/>
      <x:c r="X44" s="36"/>
      <x:c r="Y44" s="36"/>
      <x:c r="Z44" s="44"/>
      <x:c r="AA44" s="49"/>
      <x:c r="AB44" s="43"/>
      <x:c r="AC44" s="34" t="str">
        <x:v>article1-unified-v4-2-fb3f101b-20260903-000401-default-f01-p2-ehcache-1-baseline-heap-info.txt</x:v>
      </x:c>
      <x:c r="AD44" s="34" t="str">
        <x:v>article1-unified-v4-2-fb3f101b-20260903-000401-default-f01-p2-ehcache-1-baseline-classloader-stats.txt</x:v>
      </x:c>
      <x:c r="AE44" s="34" t="str">
        <x:v>article1-unified-v4-2-fb3f101b-20260903-000401-default-f01-p2-ehcache-1-baseline-thread-dump.txt</x:v>
      </x:c>
      <x:c r="AF44" s="34"/>
      <x:c r="AG44" s="34" t="str">
        <x:v>article1-unified-v4-2-fb3f101b-20260903-000401-default-f01-p2-ehcache-1-baseline-native-memory.txt</x:v>
      </x:c>
      <x:c r="AH44" s="34"/>
      <x:c r="AI44" s="34"/>
    </x:row>
    <x:row r="45">
      <x:c r="A45" s="34" t="str">
        <x:v>article1-unified-v4-2-fb3f101b-20260903-000401-default-f01-p2-ehcache</x:v>
      </x:c>
      <x:c r="B45" s="34" t="str">
        <x:v>default</x:v>
      </x:c>
      <x:c r="C45" s="34" t="str">
        <x:v>ehcache</x:v>
      </x:c>
      <x:c r="D45" s="34" t="str">
        <x:v>ehcache</x:v>
      </x:c>
      <x:c r="E45" s="36" t="n">
        <x:v>1</x:v>
      </x:c>
      <x:c r="F45" s="36" t="n">
        <x:v>1</x:v>
      </x:c>
      <x:c r="G45" s="36" t="n">
        <x:v>2</x:v>
      </x:c>
      <x:c r="H45" s="36" t="n">
        <x:v>1</x:v>
      </x:c>
      <x:c r="I45" s="34" t="str">
        <x:v>deployedIdle</x:v>
      </x:c>
      <x:c r="J45" s="34" t="str">
        <x:v>deployed-idle</x:v>
      </x:c>
      <x:c r="K45" s="36" t="n">
        <x:v>0</x:v>
      </x:c>
      <x:c r="L45" s="34" t="str">
        <x:v>initial</x:v>
      </x:c>
      <x:c r="M45" s="34" t="str">
        <x:v>article1-unified-v4-2-fb3f101b-20260903-000401-default-f01-p2-ehcache-1-deployed-idle</x:v>
      </x:c>
      <x:c r="N45" s="38" t="n">
        <x:v>46267.929820405094</x:v>
      </x:c>
      <x:c r="O45" s="36" t="n">
        <x:v>0</x:v>
      </x:c>
      <x:c r="P45" s="43" t="n">
        <x:v>21556224</x:v>
      </x:c>
      <x:c r="Q45" s="43" t="n">
        <x:v>268435456</x:v>
      </x:c>
      <x:c r="R45" s="43" t="n">
        <x:v>426618880</x:v>
      </x:c>
      <x:c r="S45" s="36" t="n">
        <x:v>2</x:v>
      </x:c>
      <x:c r="T45" s="44" t="str">
        <x:v>0x00000000461177b8  0x0000000046003818  0x00007327b8626e30       0         0         0  org.apache.catalina.loader.ParallelWebappClassLoader | 0x00000000461177b8  0x0000000046003818  0x00007327100fff70    4091  19425280  19404928  org.apache.catalina.loader.ParallelWebappClassLoader</x:v>
      </x:c>
      <x:c r="U45" s="36" t="n">
        <x:v>27</x:v>
      </x:c>
      <x:c r="V45" s="36" t="n">
        <x:v>0</x:v>
      </x:c>
      <x:c r="W45" s="44"/>
      <x:c r="X45" s="36"/>
      <x:c r="Y45" s="36"/>
      <x:c r="Z45" s="44"/>
      <x:c r="AA45" s="49"/>
      <x:c r="AB45" s="43"/>
      <x:c r="AC45" s="34"/>
      <x:c r="AD45" s="34"/>
      <x:c r="AE45" s="34"/>
      <x:c r="AF45" s="34"/>
      <x:c r="AG45" s="34"/>
      <x:c r="AH45" s="34"/>
      <x:c r="AI45" s="34"/>
    </x:row>
    <x:row r="46">
      <x:c r="A46" s="34" t="str">
        <x:v>article1-unified-v4-2-fb3f101b-20260903-000401-default-f01-p2-ehcache</x:v>
      </x:c>
      <x:c r="B46" s="34" t="str">
        <x:v>default</x:v>
      </x:c>
      <x:c r="C46" s="34" t="str">
        <x:v>ehcache</x:v>
      </x:c>
      <x:c r="D46" s="34" t="str">
        <x:v>ehcache</x:v>
      </x:c>
      <x:c r="E46" s="36" t="n">
        <x:v>1</x:v>
      </x:c>
      <x:c r="F46" s="36" t="n">
        <x:v>1</x:v>
      </x:c>
      <x:c r="G46" s="36" t="n">
        <x:v>2</x:v>
      </x:c>
      <x:c r="H46" s="36" t="n">
        <x:v>1</x:v>
      </x:c>
      <x:c r="I46" s="34" t="str">
        <x:v>loaded</x:v>
      </x:c>
      <x:c r="J46" s="34" t="str">
        <x:v>loaded</x:v>
      </x:c>
      <x:c r="K46" s="36" t="n">
        <x:v>0</x:v>
      </x:c>
      <x:c r="L46" s="34" t="str">
        <x:v>initial</x:v>
      </x:c>
      <x:c r="M46" s="34" t="str">
        <x:v>article1-unified-v4-2-fb3f101b-20260903-000401-default-f01-p2-ehcache-1-loaded</x:v>
      </x:c>
      <x:c r="N46" s="38" t="n">
        <x:v>46267.92997505787</x:v>
      </x:c>
      <x:c r="O46" s="36" t="n">
        <x:v>0</x:v>
      </x:c>
      <x:c r="P46" s="43" t="n">
        <x:v>215842816</x:v>
      </x:c>
      <x:c r="Q46" s="43" t="n">
        <x:v>268435456</x:v>
      </x:c>
      <x:c r="R46" s="43" t="n">
        <x:v>412776448</x:v>
      </x:c>
      <x:c r="S46" s="36" t="n">
        <x:v>2</x:v>
      </x:c>
      <x:c r="T46" s="44" t="str">
        <x:v>0x00000000461177b8  0x0000000046003818  0x00007327b8626e30       0         0         0  org.apache.catalina.loader.ParallelWebappClassLoader | 0x00000000461177b8  0x0000000046003818  0x00007327100fff70    4858  22629376  22611520  org.apache.catalina.loader.ParallelWebappClassLoader</x:v>
      </x:c>
      <x:c r="U46" s="36" t="n">
        <x:v>28</x:v>
      </x:c>
      <x:c r="V46" s="36" t="n">
        <x:v>0</x:v>
      </x:c>
      <x:c r="W46" s="44"/>
      <x:c r="X46" s="36"/>
      <x:c r="Y46" s="36"/>
      <x:c r="Z46" s="44"/>
      <x:c r="AA46" s="49"/>
      <x:c r="AB46" s="43"/>
      <x:c r="AC46" s="34"/>
      <x:c r="AD46" s="34"/>
      <x:c r="AE46" s="34"/>
      <x:c r="AF46" s="34"/>
      <x:c r="AG46" s="34"/>
      <x:c r="AH46" s="34"/>
      <x:c r="AI46" s="34"/>
    </x:row>
    <x:row r="47">
      <x:c r="A47" s="34" t="str">
        <x:v>article1-unified-v4-2-fb3f101b-20260903-000401-default-f01-p2-ehcache</x:v>
      </x:c>
      <x:c r="B47" s="34" t="str">
        <x:v>default</x:v>
      </x:c>
      <x:c r="C47" s="34" t="str">
        <x:v>ehcache</x:v>
      </x:c>
      <x:c r="D47" s="34" t="str">
        <x:v>ehcache</x:v>
      </x:c>
      <x:c r="E47" s="36" t="n">
        <x:v>1</x:v>
      </x:c>
      <x:c r="F47" s="36" t="n">
        <x:v>1</x:v>
      </x:c>
      <x:c r="G47" s="36" t="n">
        <x:v>2</x:v>
      </x:c>
      <x:c r="H47" s="36" t="n">
        <x:v>1</x:v>
      </x:c>
      <x:c r="I47" s="34" t="str">
        <x:v>afterUndeployEarly</x:v>
      </x:c>
      <x:c r="J47" s="34" t="str">
        <x:v>after-undeploy-early</x:v>
      </x:c>
      <x:c r="K47" s="36" t="n">
        <x:v>1</x:v>
      </x:c>
      <x:c r="L47" s="34" t="str">
        <x:v>early</x:v>
      </x:c>
      <x:c r="M47" s="34" t="str">
        <x:v>article1-unified-v4-2-fb3f101b-20260903-000401-default-f01-p2-ehcache-1-after-undeploy-early-2s</x:v>
      </x:c>
      <x:c r="N47" s="38" t="n">
        <x:v>46267.93005780093</x:v>
      </x:c>
      <x:c r="O47" s="36"/>
      <x:c r="P47" s="43"/>
      <x:c r="Q47" s="43"/>
      <x:c r="R47" s="43"/>
      <x:c r="S47" s="36"/>
      <x:c r="T47" s="44"/>
      <x:c r="U47" s="36" t="n">
        <x:v>27</x:v>
      </x:c>
      <x:c r="V47" s="36" t="n">
        <x:v>0</x:v>
      </x:c>
      <x:c r="W47" s="44"/>
      <x:c r="X47" s="36"/>
      <x:c r="Y47" s="36"/>
      <x:c r="Z47" s="44"/>
      <x:c r="AA47" s="49"/>
      <x:c r="AB47" s="43" t="n">
        <x:v>2</x:v>
      </x:c>
      <x:c r="AC47" s="34"/>
      <x:c r="AD47" s="34"/>
      <x:c r="AE47" s="34" t="str">
        <x:v>article1-unified-v4-2-fb3f101b-20260903-000401-default-f01-p2-ehcache-1-after-undeploy-early-2s-thread-dump.txt</x:v>
      </x:c>
      <x:c r="AF47" s="34" t="str">
        <x:v>article1-unified-v4-2-fb3f101b-20260903-000401-default-f01-p2-ehcache-1-after-undeploy-early-tomcat-log.txt</x:v>
      </x:c>
      <x:c r="AG47" s="34"/>
      <x:c r="AH47" s="34"/>
      <x:c r="AI47" s="34"/>
    </x:row>
    <x:row r="48">
      <x:c r="A48" s="34" t="str">
        <x:v>article1-unified-v4-2-fb3f101b-20260903-000401-default-f01-p2-ehcache</x:v>
      </x:c>
      <x:c r="B48" s="34" t="str">
        <x:v>default</x:v>
      </x:c>
      <x:c r="C48" s="34" t="str">
        <x:v>ehcache</x:v>
      </x:c>
      <x:c r="D48" s="34" t="str">
        <x:v>ehcache</x:v>
      </x:c>
      <x:c r="E48" s="36" t="n">
        <x:v>1</x:v>
      </x:c>
      <x:c r="F48" s="36" t="n">
        <x:v>1</x:v>
      </x:c>
      <x:c r="G48" s="36" t="n">
        <x:v>2</x:v>
      </x:c>
      <x:c r="H48" s="36" t="n">
        <x:v>1</x:v>
      </x:c>
      <x:c r="I48" s="34" t="str">
        <x:v>afterUndeploy</x:v>
      </x:c>
      <x:c r="J48" s="34" t="str">
        <x:v>after-undeploy-final</x:v>
      </x:c>
      <x:c r="K48" s="36" t="n">
        <x:v>1</x:v>
      </x:c>
      <x:c r="L48" s="34" t="str">
        <x:v>final</x:v>
      </x:c>
      <x:c r="M48" s="34" t="str">
        <x:v>article1-unified-v4-2-fb3f101b-20260903-000401-default-f01-p2-ehcache-1-after-undeploy-final-10s</x:v>
      </x:c>
      <x:c r="N48" s="38" t="n">
        <x:v>46267.93021115741</x:v>
      </x:c>
      <x:c r="O48" s="36" t="n">
        <x:v>2</x:v>
      </x:c>
      <x:c r="P48" s="43" t="n">
        <x:v>15848448</x:v>
      </x:c>
      <x:c r="Q48" s="43" t="n">
        <x:v>268435456</x:v>
      </x:c>
      <x:c r="R48" s="43" t="n">
        <x:v>411494400</x:v>
      </x:c>
      <x:c r="S48" s="36" t="n">
        <x:v>2</x:v>
      </x:c>
      <x:c r="T48" s="44" t="str">
        <x:v>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</x:v>
      </x:c>
      <x:c r="U48" s="36" t="n">
        <x:v>27</x:v>
      </x:c>
      <x:c r="V48" s="36" t="n">
        <x:v>0</x:v>
      </x:c>
      <x:c r="W48" s="44"/>
      <x:c r="X48" s="36" t="n">
        <x:v>1</x:v>
      </x:c>
      <x:c r="Y48" s="36" t="n">
        <x:v>1</x:v>
      </x:c>
      <x:c r="Z48" s="44" t="str">
        <x:v>/ehcache</x:v>
      </x:c>
      <x:c r="AA48" s="45" t="b">
        <x:v>1</x:v>
      </x:c>
      <x:c r="AB48" s="43"/>
      <x:c r="AC48" s="34" t="str">
        <x:v>article1-unified-v4-2-fb3f101b-20260903-000401-default-f01-p2-ehcache-1-after-undeploy-final-10s-heap-info.txt</x:v>
      </x:c>
      <x:c r="AD48" s="34" t="str">
        <x:v>article1-unified-v4-2-fb3f101b-20260903-000401-default-f01-p2-ehcache-1-after-undeploy-final-10s-classloader-stats.txt</x:v>
      </x:c>
      <x:c r="AE48" s="34" t="str">
        <x:v>article1-unified-v4-2-fb3f101b-20260903-000401-default-f01-p2-ehcache-1-after-undeploy-final-10s-thread-dump.txt</x:v>
      </x:c>
      <x:c r="AF48" s="34"/>
      <x:c r="AG48" s="34" t="str">
        <x:v>article1-unified-v4-2-fb3f101b-20260903-000401-default-f01-p2-ehcache-1-after-undeploy-final-10s-native-memory.txt</x:v>
      </x:c>
      <x:c r="AH48" s="34" t="str">
        <x:v>article1-unified-v4-2-fb3f101b-20260903-000401-default-f01-p2-ehcache-1-after-undeploy-final-10s-class-histogram.txt</x:v>
      </x:c>
      <x:c r="AI48" s="34" t="str">
        <x:v>article1-unified-v4-2-fb3f101b-20260903-000401-default-f01-p2-ehcache-1-after-undeploy-tomcat-findleaks.txt</x:v>
      </x:c>
    </x:row>
    <x:row r="49">
      <x:c r="A49" s="34" t="str">
        <x:v>article1-unified-v4-2-fb3f101b-20260903-000401-default-f01-p2-ehcache</x:v>
      </x:c>
      <x:c r="B49" s="34" t="str">
        <x:v>default</x:v>
      </x:c>
      <x:c r="C49" s="34" t="str">
        <x:v>ehcache</x:v>
      </x:c>
      <x:c r="D49" s="34" t="str">
        <x:v>ehcache</x:v>
      </x:c>
      <x:c r="E49" s="36" t="n">
        <x:v>1</x:v>
      </x:c>
      <x:c r="F49" s="36" t="n">
        <x:v>1</x:v>
      </x:c>
      <x:c r="G49" s="36" t="n">
        <x:v>2</x:v>
      </x:c>
      <x:c r="H49" s="36" t="n">
        <x:v>1</x:v>
      </x:c>
      <x:c r="I49" s="34" t="str">
        <x:v>redeployedLoaded</x:v>
      </x:c>
      <x:c r="J49" s="34" t="str">
        <x:v>redeployed-loaded</x:v>
      </x:c>
      <x:c r="K49" s="36" t="n">
        <x:v>0</x:v>
      </x:c>
      <x:c r="L49" s="34" t="str">
        <x:v>redeploy</x:v>
      </x:c>
      <x:c r="M49" s="34" t="str">
        <x:v>article1-unified-v4-2-fb3f101b-20260903-000401-default-f01-p2-ehcache-1-redeployed-loaded</x:v>
      </x:c>
      <x:c r="N49" s="38" t="n">
        <x:v>46267.930465335645</x:v>
      </x:c>
      <x:c r="O49" s="36" t="n">
        <x:v>0</x:v>
      </x:c>
      <x:c r="P49" s="43" t="n">
        <x:v>181307392</x:v>
      </x:c>
      <x:c r="Q49" s="43" t="n">
        <x:v>268435456</x:v>
      </x:c>
      <x:c r="R49" s="43" t="n">
        <x:v>447796224</x:v>
      </x:c>
      <x:c r="S49" s="36" t="n">
        <x:v>3</x:v>
      </x:c>
      <x:c r="T49" s="44" t="str">
        <x:v>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 | 0x00000000461177b8  0x0000000046003818  0x0000732710009a20    4858  22678528  22661608  org.apache.catalina.loader.ParallelWebappClassLoader</x:v>
      </x:c>
      <x:c r="U49" s="36" t="n">
        <x:v>28</x:v>
      </x:c>
      <x:c r="V49" s="36" t="n">
        <x:v>0</x:v>
      </x:c>
      <x:c r="W49" s="44"/>
      <x:c r="X49" s="36"/>
      <x:c r="Y49" s="36"/>
      <x:c r="Z49" s="44"/>
      <x:c r="AA49" s="49"/>
      <x:c r="AB49" s="43"/>
      <x:c r="AC49" s="34"/>
      <x:c r="AD49" s="34"/>
      <x:c r="AE49" s="34"/>
      <x:c r="AF49" s="34"/>
      <x:c r="AG49" s="34"/>
      <x:c r="AH49" s="34"/>
      <x:c r="AI49" s="34"/>
    </x:row>
    <x:row r="50">
      <x:c r="A50" s="34" t="str">
        <x:v>article1-unified-v4-2-fb3f101b-20260903-000401-default-f01-p2-ehcache</x:v>
      </x:c>
      <x:c r="B50" s="34" t="str">
        <x:v>default</x:v>
      </x:c>
      <x:c r="C50" s="34" t="str">
        <x:v>ehcache</x:v>
      </x:c>
      <x:c r="D50" s="34" t="str">
        <x:v>ehcache</x:v>
      </x:c>
      <x:c r="E50" s="36" t="n">
        <x:v>1</x:v>
      </x:c>
      <x:c r="F50" s="36" t="n">
        <x:v>1</x:v>
      </x:c>
      <x:c r="G50" s="36" t="n">
        <x:v>2</x:v>
      </x:c>
      <x:c r="H50" s="36" t="n">
        <x:v>1</x:v>
      </x:c>
      <x:c r="I50" s="34" t="str">
        <x:v>afterFinalUndeployEarly</x:v>
      </x:c>
      <x:c r="J50" s="34" t="str">
        <x:v>after-final-undeploy-early</x:v>
      </x:c>
      <x:c r="K50" s="36" t="n">
        <x:v>2</x:v>
      </x:c>
      <x:c r="L50" s="34" t="str">
        <x:v>early</x:v>
      </x:c>
      <x:c r="M50" s="34" t="str">
        <x:v>article1-unified-v4-2-fb3f101b-20260903-000401-default-f01-p2-ehcache-1-after-final-undeploy-early-2s</x:v>
      </x:c>
      <x:c r="N50" s="38" t="n">
        <x:v>46267.93054990741</x:v>
      </x:c>
      <x:c r="O50" s="36"/>
      <x:c r="P50" s="43"/>
      <x:c r="Q50" s="43"/>
      <x:c r="R50" s="43"/>
      <x:c r="S50" s="36"/>
      <x:c r="T50" s="44"/>
      <x:c r="U50" s="36" t="n">
        <x:v>27</x:v>
      </x:c>
      <x:c r="V50" s="36" t="n">
        <x:v>0</x:v>
      </x:c>
      <x:c r="W50" s="44"/>
      <x:c r="X50" s="36"/>
      <x:c r="Y50" s="36"/>
      <x:c r="Z50" s="44"/>
      <x:c r="AA50" s="49"/>
      <x:c r="AB50" s="43" t="n">
        <x:v>2</x:v>
      </x:c>
      <x:c r="AC50" s="34"/>
      <x:c r="AD50" s="34"/>
      <x:c r="AE50" s="34" t="str">
        <x:v>article1-unified-v4-2-fb3f101b-20260903-000401-default-f01-p2-ehcache-1-after-final-undeploy-early-2s-thread-dump.txt</x:v>
      </x:c>
      <x:c r="AF50" s="34" t="str">
        <x:v>article1-unified-v4-2-fb3f101b-20260903-000401-default-f01-p2-ehcache-1-after-final-undeploy-early-tomcat-log.txt</x:v>
      </x:c>
      <x:c r="AG50" s="34"/>
      <x:c r="AH50" s="34"/>
      <x:c r="AI50" s="34"/>
    </x:row>
    <x:row r="51">
      <x:c r="A51" s="34" t="str">
        <x:v>article1-unified-v4-2-fb3f101b-20260903-000401-default-f01-p2-ehcache</x:v>
      </x:c>
      <x:c r="B51" s="34" t="str">
        <x:v>default</x:v>
      </x:c>
      <x:c r="C51" s="34" t="str">
        <x:v>ehcache</x:v>
      </x:c>
      <x:c r="D51" s="34" t="str">
        <x:v>ehcache</x:v>
      </x:c>
      <x:c r="E51" s="36" t="n">
        <x:v>1</x:v>
      </x:c>
      <x:c r="F51" s="36" t="n">
        <x:v>1</x:v>
      </x:c>
      <x:c r="G51" s="36" t="n">
        <x:v>2</x:v>
      </x:c>
      <x:c r="H51" s="36" t="n">
        <x:v>1</x:v>
      </x:c>
      <x:c r="I51" s="34" t="str">
        <x:v>afterFinalUndeploy</x:v>
      </x:c>
      <x:c r="J51" s="34" t="str">
        <x:v>after-final-undeploy-final</x:v>
      </x:c>
      <x:c r="K51" s="36" t="n">
        <x:v>2</x:v>
      </x:c>
      <x:c r="L51" s="34" t="str">
        <x:v>final</x:v>
      </x:c>
      <x:c r="M51" s="34" t="str">
        <x:v>article1-unified-v4-2-fb3f101b-20260903-000401-default-f01-p2-ehcache-1-after-final-undeploy-final-10s</x:v>
      </x:c>
      <x:c r="N51" s="38" t="n">
        <x:v>46267.930705833336</x:v>
      </x:c>
      <x:c r="O51" s="36" t="n">
        <x:v>2</x:v>
      </x:c>
      <x:c r="P51" s="43" t="n">
        <x:v>20383744</x:v>
      </x:c>
      <x:c r="Q51" s="43" t="n">
        <x:v>268435456</x:v>
      </x:c>
      <x:c r="R51" s="43" t="n">
        <x:v>439962624</x:v>
      </x:c>
      <x:c r="S51" s="36" t="n">
        <x:v>3</x:v>
      </x:c>
      <x:c r="T51" s="44" t="str">
        <x:v>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 | 0x00000000461177b8  0x0000000046003818  0x0000732710009a20    4868  22717440  22707328  org.apache.catalina.loader.ParallelWebappClassLoader</x:v>
      </x:c>
      <x:c r="U51" s="36" t="n">
        <x:v>27</x:v>
      </x:c>
      <x:c r="V51" s="36" t="n">
        <x:v>0</x:v>
      </x:c>
      <x:c r="W51" s="44"/>
      <x:c r="X51" s="36" t="n">
        <x:v>2</x:v>
      </x:c>
      <x:c r="Y51" s="36" t="n">
        <x:v>2</x:v>
      </x:c>
      <x:c r="Z51" s="44" t="str">
        <x:v>/ehcache</x:v>
      </x:c>
      <x:c r="AA51" s="45" t="b">
        <x:v>1</x:v>
      </x:c>
      <x:c r="AB51" s="43"/>
      <x:c r="AC51" s="34" t="str">
        <x:v>article1-unified-v4-2-fb3f101b-20260903-000401-default-f01-p2-ehcache-1-after-final-undeploy-final-10s-heap-info.txt</x:v>
      </x:c>
      <x:c r="AD51" s="34" t="str">
        <x:v>article1-unified-v4-2-fb3f101b-20260903-000401-default-f01-p2-ehcache-1-after-final-undeploy-final-10s-classloader-stats.txt</x:v>
      </x:c>
      <x:c r="AE51" s="34" t="str">
        <x:v>article1-unified-v4-2-fb3f101b-20260903-000401-default-f01-p2-ehcache-1-after-final-undeploy-final-10s-thread-dump.txt</x:v>
      </x:c>
      <x:c r="AF51" s="34"/>
      <x:c r="AG51" s="34" t="str">
        <x:v>article1-unified-v4-2-fb3f101b-20260903-000401-default-f01-p2-ehcache-1-after-final-undeploy-final-10s-native-memory.txt</x:v>
      </x:c>
      <x:c r="AH51" s="34" t="str">
        <x:v>article1-unified-v4-2-fb3f101b-20260903-000401-default-f01-p2-ehcache-1-after-final-undeploy-final-10s-class-histogram.txt</x:v>
      </x:c>
      <x:c r="AI51" s="34" t="str">
        <x:v>article1-unified-v4-2-fb3f101b-20260903-000401-default-f01-p2-ehcache-1-after-final-undeploy-tomcat-findleaks.txt</x:v>
      </x:c>
    </x:row>
    <x:row r="52">
      <x:c r="A52" s="34" t="str">
        <x:v>article1-unified-v4-2-fb3f101b-20260903-000401-default-f01-p2-ehcache</x:v>
      </x:c>
      <x:c r="B52" s="34" t="str">
        <x:v>default</x:v>
      </x:c>
      <x:c r="C52" s="34" t="str">
        <x:v>ehcache</x:v>
      </x:c>
      <x:c r="D52" s="34" t="str">
        <x:v>ehcache</x:v>
      </x:c>
      <x:c r="E52" s="36" t="n">
        <x:v>1</x:v>
      </x:c>
      <x:c r="F52" s="36" t="n">
        <x:v>1</x:v>
      </x:c>
      <x:c r="G52" s="36" t="n">
        <x:v>2</x:v>
      </x:c>
      <x:c r="H52" s="36" t="n">
        <x:v>2</x:v>
      </x:c>
      <x:c r="I52" s="34" t="str">
        <x:v>baseline</x:v>
      </x:c>
      <x:c r="J52" s="34" t="str">
        <x:v>cycle-baseline</x:v>
      </x:c>
      <x:c r="K52" s="36" t="n">
        <x:v>0</x:v>
      </x:c>
      <x:c r="L52" s="34" t="str">
        <x:v>baseline</x:v>
      </x:c>
      <x:c r="M52" s="34" t="str">
        <x:v>article1-unified-v4-2-fb3f101b-20260903-000401-default-f01-p2-ehcache-2-baseline</x:v>
      </x:c>
      <x:c r="N52" s="38" t="n">
        <x:v>46267.93074921297</x:v>
      </x:c>
      <x:c r="O52" s="36" t="n">
        <x:v>0</x:v>
      </x:c>
      <x:c r="P52" s="43" t="n">
        <x:v>20383744</x:v>
      </x:c>
      <x:c r="Q52" s="43" t="n">
        <x:v>268435456</x:v>
      </x:c>
      <x:c r="R52" s="43" t="n">
        <x:v>440244224</x:v>
      </x:c>
      <x:c r="S52" s="36" t="n">
        <x:v>3</x:v>
      </x:c>
      <x:c r="T52" s="44" t="str">
        <x:v>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 | 0x00000000461177b8  0x0000000046003818  0x0000732710009a20    4868  22717440  22707328  org.apache.catalina.loader.ParallelWebappClassLoader</x:v>
      </x:c>
      <x:c r="U52" s="36" t="n">
        <x:v>27</x:v>
      </x:c>
      <x:c r="V52" s="36" t="n">
        <x:v>0</x:v>
      </x:c>
      <x:c r="W52" s="44"/>
      <x:c r="X52" s="36"/>
      <x:c r="Y52" s="36"/>
      <x:c r="Z52" s="44"/>
      <x:c r="AA52" s="49"/>
      <x:c r="AB52" s="43"/>
      <x:c r="AC52" s="34" t="str">
        <x:v>article1-unified-v4-2-fb3f101b-20260903-000401-default-f01-p2-ehcache-2-baseline-heap-info.txt</x:v>
      </x:c>
      <x:c r="AD52" s="34" t="str">
        <x:v>article1-unified-v4-2-fb3f101b-20260903-000401-default-f01-p2-ehcache-2-baseline-classloader-stats.txt</x:v>
      </x:c>
      <x:c r="AE52" s="34" t="str">
        <x:v>article1-unified-v4-2-fb3f101b-20260903-000401-default-f01-p2-ehcache-2-baseline-thread-dump.txt</x:v>
      </x:c>
      <x:c r="AF52" s="34"/>
      <x:c r="AG52" s="34" t="str">
        <x:v>article1-unified-v4-2-fb3f101b-20260903-000401-default-f01-p2-ehcache-2-baseline-native-memory.txt</x:v>
      </x:c>
      <x:c r="AH52" s="34"/>
      <x:c r="AI52" s="34"/>
    </x:row>
    <x:row r="53">
      <x:c r="A53" s="34" t="str">
        <x:v>article1-unified-v4-2-fb3f101b-20260903-000401-default-f01-p2-ehcache</x:v>
      </x:c>
      <x:c r="B53" s="34" t="str">
        <x:v>default</x:v>
      </x:c>
      <x:c r="C53" s="34" t="str">
        <x:v>ehcache</x:v>
      </x:c>
      <x:c r="D53" s="34" t="str">
        <x:v>ehcache</x:v>
      </x:c>
      <x:c r="E53" s="36" t="n">
        <x:v>1</x:v>
      </x:c>
      <x:c r="F53" s="36" t="n">
        <x:v>1</x:v>
      </x:c>
      <x:c r="G53" s="36" t="n">
        <x:v>2</x:v>
      </x:c>
      <x:c r="H53" s="36" t="n">
        <x:v>2</x:v>
      </x:c>
      <x:c r="I53" s="34" t="str">
        <x:v>deployedIdle</x:v>
      </x:c>
      <x:c r="J53" s="34" t="str">
        <x:v>deployed-idle</x:v>
      </x:c>
      <x:c r="K53" s="36" t="n">
        <x:v>0</x:v>
      </x:c>
      <x:c r="L53" s="34" t="str">
        <x:v>initial</x:v>
      </x:c>
      <x:c r="M53" s="34" t="str">
        <x:v>article1-unified-v4-2-fb3f101b-20260903-000401-default-f01-p2-ehcache-2-deployed-idle</x:v>
      </x:c>
      <x:c r="N53" s="38" t="n">
        <x:v>46267.93085769676</x:v>
      </x:c>
      <x:c r="O53" s="36" t="n">
        <x:v>0</x:v>
      </x:c>
      <x:c r="P53" s="43" t="n">
        <x:v>171305984</x:v>
      </x:c>
      <x:c r="Q53" s="43" t="n">
        <x:v>268435456</x:v>
      </x:c>
      <x:c r="R53" s="43" t="n">
        <x:v>482564096</x:v>
      </x:c>
      <x:c r="S53" s="36" t="n">
        <x:v>4</x:v>
      </x:c>
      <x:c r="T53" s="44" t="str">
        <x:v>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 | 0x00000000461177b8  0x0000000046003818  0x00007326d0009370    4091  19454976  19436144  org.apache.catalina.loader.ParallelWebappClassLoader | 0x00000000461177b8  0x0000000046003818  0x0000732710009a20    4868  22717440  22707328  org.apache.catalina.loader.ParallelWebappClassLoader</x:v>
      </x:c>
      <x:c r="U53" s="36" t="n">
        <x:v>27</x:v>
      </x:c>
      <x:c r="V53" s="36" t="n">
        <x:v>0</x:v>
      </x:c>
      <x:c r="W53" s="44"/>
      <x:c r="X53" s="36"/>
      <x:c r="Y53" s="36"/>
      <x:c r="Z53" s="44"/>
      <x:c r="AA53" s="49"/>
      <x:c r="AB53" s="43"/>
      <x:c r="AC53" s="34"/>
      <x:c r="AD53" s="34"/>
      <x:c r="AE53" s="34"/>
      <x:c r="AF53" s="34"/>
      <x:c r="AG53" s="34"/>
      <x:c r="AH53" s="34"/>
      <x:c r="AI53" s="34"/>
    </x:row>
    <x:row r="54">
      <x:c r="A54" s="34" t="str">
        <x:v>article1-unified-v4-2-fb3f101b-20260903-000401-default-f01-p2-ehcache</x:v>
      </x:c>
      <x:c r="B54" s="34" t="str">
        <x:v>default</x:v>
      </x:c>
      <x:c r="C54" s="34" t="str">
        <x:v>ehcache</x:v>
      </x:c>
      <x:c r="D54" s="34" t="str">
        <x:v>ehcache</x:v>
      </x:c>
      <x:c r="E54" s="36" t="n">
        <x:v>1</x:v>
      </x:c>
      <x:c r="F54" s="36" t="n">
        <x:v>1</x:v>
      </x:c>
      <x:c r="G54" s="36" t="n">
        <x:v>2</x:v>
      </x:c>
      <x:c r="H54" s="36" t="n">
        <x:v>2</x:v>
      </x:c>
      <x:c r="I54" s="34" t="str">
        <x:v>loaded</x:v>
      </x:c>
      <x:c r="J54" s="34" t="str">
        <x:v>loaded</x:v>
      </x:c>
      <x:c r="K54" s="36" t="n">
        <x:v>0</x:v>
      </x:c>
      <x:c r="L54" s="34" t="str">
        <x:v>initial</x:v>
      </x:c>
      <x:c r="M54" s="34" t="str">
        <x:v>article1-unified-v4-2-fb3f101b-20260903-000401-default-f01-p2-ehcache-2-loaded</x:v>
      </x:c>
      <x:c r="N54" s="38" t="n">
        <x:v>46267.93100989583</x:v>
      </x:c>
      <x:c r="O54" s="36" t="n">
        <x:v>0</x:v>
      </x:c>
      <x:c r="P54" s="43" t="n">
        <x:v>211942400</x:v>
      </x:c>
      <x:c r="Q54" s="43" t="n">
        <x:v>268435456</x:v>
      </x:c>
      <x:c r="R54" s="43" t="n">
        <x:v>469145600</x:v>
      </x:c>
      <x:c r="S54" s="36" t="n">
        <x:v>4</x:v>
      </x:c>
      <x:c r="T54" s="44" t="str">
        <x:v>0x00000000461177b8  0x0000000046003818  0x00007326d0009370    4851  22682624  22664640  org.apache.catalina.loader.ParallelWebappClassLoader | 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 | 0x00000000461177b8  0x0000000046003818  0x0000732710009a20    4868  22717440  22707328  org.apache.catalina.loader.ParallelWebappClassLoader</x:v>
      </x:c>
      <x:c r="U54" s="36" t="n">
        <x:v>28</x:v>
      </x:c>
      <x:c r="V54" s="36" t="n">
        <x:v>0</x:v>
      </x:c>
      <x:c r="W54" s="44"/>
      <x:c r="X54" s="36"/>
      <x:c r="Y54" s="36"/>
      <x:c r="Z54" s="44"/>
      <x:c r="AA54" s="49"/>
      <x:c r="AB54" s="43"/>
      <x:c r="AC54" s="34"/>
      <x:c r="AD54" s="34"/>
      <x:c r="AE54" s="34"/>
      <x:c r="AF54" s="34"/>
      <x:c r="AG54" s="34"/>
      <x:c r="AH54" s="34"/>
      <x:c r="AI54" s="34"/>
    </x:row>
    <x:row r="55">
      <x:c r="A55" s="34" t="str">
        <x:v>article1-unified-v4-2-fb3f101b-20260903-000401-default-f01-p2-ehcache</x:v>
      </x:c>
      <x:c r="B55" s="34" t="str">
        <x:v>default</x:v>
      </x:c>
      <x:c r="C55" s="34" t="str">
        <x:v>ehcache</x:v>
      </x:c>
      <x:c r="D55" s="34" t="str">
        <x:v>ehcache</x:v>
      </x:c>
      <x:c r="E55" s="36" t="n">
        <x:v>1</x:v>
      </x:c>
      <x:c r="F55" s="36" t="n">
        <x:v>1</x:v>
      </x:c>
      <x:c r="G55" s="36" t="n">
        <x:v>2</x:v>
      </x:c>
      <x:c r="H55" s="36" t="n">
        <x:v>2</x:v>
      </x:c>
      <x:c r="I55" s="34" t="str">
        <x:v>afterUndeployEarly</x:v>
      </x:c>
      <x:c r="J55" s="34" t="str">
        <x:v>after-undeploy-early</x:v>
      </x:c>
      <x:c r="K55" s="36" t="n">
        <x:v>1</x:v>
      </x:c>
      <x:c r="L55" s="34" t="str">
        <x:v>early</x:v>
      </x:c>
      <x:c r="M55" s="34" t="str">
        <x:v>article1-unified-v4-2-fb3f101b-20260903-000401-default-f01-p2-ehcache-2-after-undeploy-early-2s</x:v>
      </x:c>
      <x:c r="N55" s="38" t="n">
        <x:v>46267.93109599537</x:v>
      </x:c>
      <x:c r="O55" s="36"/>
      <x:c r="P55" s="43"/>
      <x:c r="Q55" s="43"/>
      <x:c r="R55" s="43"/>
      <x:c r="S55" s="36"/>
      <x:c r="T55" s="44"/>
      <x:c r="U55" s="36" t="n">
        <x:v>27</x:v>
      </x:c>
      <x:c r="V55" s="36" t="n">
        <x:v>0</x:v>
      </x:c>
      <x:c r="W55" s="44"/>
      <x:c r="X55" s="36"/>
      <x:c r="Y55" s="36"/>
      <x:c r="Z55" s="44"/>
      <x:c r="AA55" s="49"/>
      <x:c r="AB55" s="43" t="n">
        <x:v>2</x:v>
      </x:c>
      <x:c r="AC55" s="34"/>
      <x:c r="AD55" s="34"/>
      <x:c r="AE55" s="34" t="str">
        <x:v>article1-unified-v4-2-fb3f101b-20260903-000401-default-f01-p2-ehcache-2-after-undeploy-early-2s-thread-dump.txt</x:v>
      </x:c>
      <x:c r="AF55" s="34" t="str">
        <x:v>article1-unified-v4-2-fb3f101b-20260903-000401-default-f01-p2-ehcache-2-after-undeploy-early-tomcat-log.txt</x:v>
      </x:c>
      <x:c r="AG55" s="34"/>
      <x:c r="AH55" s="34"/>
      <x:c r="AI55" s="34"/>
    </x:row>
    <x:row r="56">
      <x:c r="A56" s="34" t="str">
        <x:v>article1-unified-v4-2-fb3f101b-20260903-000401-default-f01-p2-ehcache</x:v>
      </x:c>
      <x:c r="B56" s="34" t="str">
        <x:v>default</x:v>
      </x:c>
      <x:c r="C56" s="34" t="str">
        <x:v>ehcache</x:v>
      </x:c>
      <x:c r="D56" s="34" t="str">
        <x:v>ehcache</x:v>
      </x:c>
      <x:c r="E56" s="36" t="n">
        <x:v>1</x:v>
      </x:c>
      <x:c r="F56" s="36" t="n">
        <x:v>1</x:v>
      </x:c>
      <x:c r="G56" s="36" t="n">
        <x:v>2</x:v>
      </x:c>
      <x:c r="H56" s="36" t="n">
        <x:v>2</x:v>
      </x:c>
      <x:c r="I56" s="34" t="str">
        <x:v>afterUndeploy</x:v>
      </x:c>
      <x:c r="J56" s="34" t="str">
        <x:v>after-undeploy-final</x:v>
      </x:c>
      <x:c r="K56" s="36" t="n">
        <x:v>1</x:v>
      </x:c>
      <x:c r="L56" s="34" t="str">
        <x:v>final</x:v>
      </x:c>
      <x:c r="M56" s="34" t="str">
        <x:v>article1-unified-v4-2-fb3f101b-20260903-000401-default-f01-p2-ehcache-2-after-undeploy-final-10s</x:v>
      </x:c>
      <x:c r="N56" s="38" t="n">
        <x:v>46267.931252939816</x:v>
      </x:c>
      <x:c r="O56" s="36" t="n">
        <x:v>2</x:v>
      </x:c>
      <x:c r="P56" s="43" t="n">
        <x:v>20546560</x:v>
      </x:c>
      <x:c r="Q56" s="43" t="n">
        <x:v>268435456</x:v>
      </x:c>
      <x:c r="R56" s="43" t="n">
        <x:v>445858816</x:v>
      </x:c>
      <x:c r="S56" s="36" t="n">
        <x:v>3</x:v>
      </x:c>
      <x:c r="T56" s="44" t="str">
        <x:v>0x00000000461177b8  0x0000000046003818  0x00007326d0009370    4861  22731776  22709424  org.apache.catalina.loader.ParallelWebappClassLoader | 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</x:v>
      </x:c>
      <x:c r="U56" s="36" t="n">
        <x:v>27</x:v>
      </x:c>
      <x:c r="V56" s="36" t="n">
        <x:v>0</x:v>
      </x:c>
      <x:c r="W56" s="44"/>
      <x:c r="X56" s="36" t="n">
        <x:v>2</x:v>
      </x:c>
      <x:c r="Y56" s="36" t="n">
        <x:v>2</x:v>
      </x:c>
      <x:c r="Z56" s="44" t="str">
        <x:v>/ehcache</x:v>
      </x:c>
      <x:c r="AA56" s="45" t="b">
        <x:v>1</x:v>
      </x:c>
      <x:c r="AB56" s="43"/>
      <x:c r="AC56" s="34" t="str">
        <x:v>article1-unified-v4-2-fb3f101b-20260903-000401-default-f01-p2-ehcache-2-after-undeploy-final-10s-heap-info.txt</x:v>
      </x:c>
      <x:c r="AD56" s="34" t="str">
        <x:v>article1-unified-v4-2-fb3f101b-20260903-000401-default-f01-p2-ehcache-2-after-undeploy-final-10s-classloader-stats.txt</x:v>
      </x:c>
      <x:c r="AE56" s="34" t="str">
        <x:v>article1-unified-v4-2-fb3f101b-20260903-000401-default-f01-p2-ehcache-2-after-undeploy-final-10s-thread-dump.txt</x:v>
      </x:c>
      <x:c r="AF56" s="34"/>
      <x:c r="AG56" s="34" t="str">
        <x:v>article1-unified-v4-2-fb3f101b-20260903-000401-default-f01-p2-ehcache-2-after-undeploy-final-10s-native-memory.txt</x:v>
      </x:c>
      <x:c r="AH56" s="34" t="str">
        <x:v>article1-unified-v4-2-fb3f101b-20260903-000401-default-f01-p2-ehcache-2-after-undeploy-final-10s-class-histogram.txt</x:v>
      </x:c>
      <x:c r="AI56" s="34" t="str">
        <x:v>article1-unified-v4-2-fb3f101b-20260903-000401-default-f01-p2-ehcache-2-after-undeploy-tomcat-findleaks.txt</x:v>
      </x:c>
    </x:row>
    <x:row r="57">
      <x:c r="A57" s="34" t="str">
        <x:v>article1-unified-v4-2-fb3f101b-20260903-000401-default-f01-p2-ehcache</x:v>
      </x:c>
      <x:c r="B57" s="34" t="str">
        <x:v>default</x:v>
      </x:c>
      <x:c r="C57" s="34" t="str">
        <x:v>ehcache</x:v>
      </x:c>
      <x:c r="D57" s="34" t="str">
        <x:v>ehcache</x:v>
      </x:c>
      <x:c r="E57" s="36" t="n">
        <x:v>1</x:v>
      </x:c>
      <x:c r="F57" s="36" t="n">
        <x:v>1</x:v>
      </x:c>
      <x:c r="G57" s="36" t="n">
        <x:v>2</x:v>
      </x:c>
      <x:c r="H57" s="36" t="n">
        <x:v>2</x:v>
      </x:c>
      <x:c r="I57" s="34" t="str">
        <x:v>redeployedLoaded</x:v>
      </x:c>
      <x:c r="J57" s="34" t="str">
        <x:v>redeployed-loaded</x:v>
      </x:c>
      <x:c r="K57" s="36" t="n">
        <x:v>0</x:v>
      </x:c>
      <x:c r="L57" s="34" t="str">
        <x:v>redeploy</x:v>
      </x:c>
      <x:c r="M57" s="34" t="str">
        <x:v>article1-unified-v4-2-fb3f101b-20260903-000401-default-f01-p2-ehcache-2-redeployed-loaded</x:v>
      </x:c>
      <x:c r="N57" s="38" t="n">
        <x:v>46267.931517233796</x:v>
      </x:c>
      <x:c r="O57" s="36" t="n">
        <x:v>0</x:v>
      </x:c>
      <x:c r="P57" s="43" t="n">
        <x:v>211278848</x:v>
      </x:c>
      <x:c r="Q57" s="43" t="n">
        <x:v>268435456</x:v>
      </x:c>
      <x:c r="R57" s="43" t="n">
        <x:v>469867520</x:v>
      </x:c>
      <x:c r="S57" s="36" t="n">
        <x:v>4</x:v>
      </x:c>
      <x:c r="T57" s="44" t="str">
        <x:v>0x00000000461177b8  0x0000000046003818  0x00007326d0009370    4861  22731776  22709424  org.apache.catalina.loader.ParallelWebappClassLoader | 0x00000000461177b8  0x0000000046003818  0x000073272014dbe0    4851  22666240  22658544  org.apache.catalina.loader.ParallelWebappClassLoader | 0x00000000461177b8  0x0000000046003818  0x00007327b8626e30       0         0         0  org.apache.catalina.loader.ParallelWebappClassLoader | 0x00000000461177b8  0x0000000046003818  0x00007327100fff70    4868  22680576  22657760  org.apache.catalina.loader.ParallelWebappClassLoader</x:v>
      </x:c>
      <x:c r="U57" s="36" t="n">
        <x:v>27</x:v>
      </x:c>
      <x:c r="V57" s="36" t="n">
        <x:v>0</x:v>
      </x:c>
      <x:c r="W57" s="44"/>
      <x:c r="X57" s="36"/>
      <x:c r="Y57" s="36"/>
      <x:c r="Z57" s="44"/>
      <x:c r="AA57" s="49"/>
      <x:c r="AB57" s="43"/>
      <x:c r="AC57" s="34"/>
      <x:c r="AD57" s="34"/>
      <x:c r="AE57" s="34"/>
      <x:c r="AF57" s="34"/>
      <x:c r="AG57" s="34"/>
      <x:c r="AH57" s="34"/>
      <x:c r="AI57" s="34"/>
    </x:row>
    <x:row r="58">
      <x:c r="A58" s="34" t="str">
        <x:v>article1-unified-v4-2-fb3f101b-20260903-000401-default-f01-p2-ehcache</x:v>
      </x:c>
      <x:c r="B58" s="34" t="str">
        <x:v>default</x:v>
      </x:c>
      <x:c r="C58" s="34" t="str">
        <x:v>ehcache</x:v>
      </x:c>
      <x:c r="D58" s="34" t="str">
        <x:v>ehcache</x:v>
      </x:c>
      <x:c r="E58" s="36" t="n">
        <x:v>1</x:v>
      </x:c>
      <x:c r="F58" s="36" t="n">
        <x:v>1</x:v>
      </x:c>
      <x:c r="G58" s="36" t="n">
        <x:v>2</x:v>
      </x:c>
      <x:c r="H58" s="36" t="n">
        <x:v>2</x:v>
      </x:c>
      <x:c r="I58" s="34" t="str">
        <x:v>afterFinalUndeployEarly</x:v>
      </x:c>
      <x:c r="J58" s="34" t="str">
        <x:v>after-final-undeploy-early</x:v>
      </x:c>
      <x:c r="K58" s="36" t="n">
        <x:v>2</x:v>
      </x:c>
      <x:c r="L58" s="34" t="str">
        <x:v>early</x:v>
      </x:c>
      <x:c r="M58" s="34" t="str">
        <x:v>article1-unified-v4-2-fb3f101b-20260903-000401-default-f01-p2-ehcache-2-after-final-undeploy-early-2s</x:v>
      </x:c>
      <x:c r="N58" s="38" t="n">
        <x:v>46267.93160065972</x:v>
      </x:c>
      <x:c r="O58" s="36"/>
      <x:c r="P58" s="43"/>
      <x:c r="Q58" s="43"/>
      <x:c r="R58" s="43"/>
      <x:c r="S58" s="36"/>
      <x:c r="T58" s="44"/>
      <x:c r="U58" s="36" t="n">
        <x:v>27</x:v>
      </x:c>
      <x:c r="V58" s="36" t="n">
        <x:v>0</x:v>
      </x:c>
      <x:c r="W58" s="44"/>
      <x:c r="X58" s="36"/>
      <x:c r="Y58" s="36"/>
      <x:c r="Z58" s="44"/>
      <x:c r="AA58" s="49"/>
      <x:c r="AB58" s="43" t="n">
        <x:v>2</x:v>
      </x:c>
      <x:c r="AC58" s="34"/>
      <x:c r="AD58" s="34"/>
      <x:c r="AE58" s="34" t="str">
        <x:v>article1-unified-v4-2-fb3f101b-20260903-000401-default-f01-p2-ehcache-2-after-final-undeploy-early-2s-thread-dump.txt</x:v>
      </x:c>
      <x:c r="AF58" s="34" t="str">
        <x:v>article1-unified-v4-2-fb3f101b-20260903-000401-default-f01-p2-ehcache-2-after-final-undeploy-early-tomcat-log.txt</x:v>
      </x:c>
      <x:c r="AG58" s="34"/>
      <x:c r="AH58" s="34"/>
      <x:c r="AI58" s="34"/>
    </x:row>
    <x:row r="59">
      <x:c r="A59" s="34" t="str">
        <x:v>article1-unified-v4-2-fb3f101b-20260903-000401-default-f01-p2-ehcache</x:v>
      </x:c>
      <x:c r="B59" s="34" t="str">
        <x:v>default</x:v>
      </x:c>
      <x:c r="C59" s="34" t="str">
        <x:v>ehcache</x:v>
      </x:c>
      <x:c r="D59" s="34" t="str">
        <x:v>ehcache</x:v>
      </x:c>
      <x:c r="E59" s="36" t="n">
        <x:v>1</x:v>
      </x:c>
      <x:c r="F59" s="36" t="n">
        <x:v>1</x:v>
      </x:c>
      <x:c r="G59" s="36" t="n">
        <x:v>2</x:v>
      </x:c>
      <x:c r="H59" s="36" t="n">
        <x:v>2</x:v>
      </x:c>
      <x:c r="I59" s="34" t="str">
        <x:v>afterFinalUndeploy</x:v>
      </x:c>
      <x:c r="J59" s="34" t="str">
        <x:v>after-final-undeploy-final</x:v>
      </x:c>
      <x:c r="K59" s="36" t="n">
        <x:v>2</x:v>
      </x:c>
      <x:c r="L59" s="34" t="str">
        <x:v>final</x:v>
      </x:c>
      <x:c r="M59" s="34" t="str">
        <x:v>article1-unified-v4-2-fb3f101b-20260903-000401-default-f01-p2-ehcache-2-after-final-undeploy-final-10s</x:v>
      </x:c>
      <x:c r="N59" s="38" t="n">
        <x:v>46267.931756238424</x:v>
      </x:c>
      <x:c r="O59" s="36" t="n">
        <x:v>2</x:v>
      </x:c>
      <x:c r="P59" s="43" t="n">
        <x:v>16129024</x:v>
      </x:c>
      <x:c r="Q59" s="43" t="n">
        <x:v>268435456</x:v>
      </x:c>
      <x:c r="R59" s="43" t="n">
        <x:v>425847808</x:v>
      </x:c>
      <x:c r="S59" s="36" t="n">
        <x:v>2</x:v>
      </x:c>
      <x:c r="T59" s="44" t="str">
        <x:v>0x00000000461177b8  0x0000000046003818  0x000073272014dbe0    4861  22731776  22704288  org.apache.catalina.loader.ParallelWebappClassLoader | 0x00000000461177b8  0x0000000046003818  0x00007327b8626e30       0         0         0  org.apache.catalina.loader.ParallelWebappClassLoader</x:v>
      </x:c>
      <x:c r="U59" s="36" t="n">
        <x:v>27</x:v>
      </x:c>
      <x:c r="V59" s="36" t="n">
        <x:v>0</x:v>
      </x:c>
      <x:c r="W59" s="44"/>
      <x:c r="X59" s="36" t="n">
        <x:v>1</x:v>
      </x:c>
      <x:c r="Y59" s="36" t="n">
        <x:v>1</x:v>
      </x:c>
      <x:c r="Z59" s="44" t="str">
        <x:v>/ehcache</x:v>
      </x:c>
      <x:c r="AA59" s="45" t="b">
        <x:v>1</x:v>
      </x:c>
      <x:c r="AB59" s="43"/>
      <x:c r="AC59" s="34" t="str">
        <x:v>article1-unified-v4-2-fb3f101b-20260903-000401-default-f01-p2-ehcache-2-after-final-undeploy-final-10s-heap-info.txt</x:v>
      </x:c>
      <x:c r="AD59" s="34" t="str">
        <x:v>article1-unified-v4-2-fb3f101b-20260903-000401-default-f01-p2-ehcache-2-after-final-undeploy-final-10s-classloader-stats.txt</x:v>
      </x:c>
      <x:c r="AE59" s="34" t="str">
        <x:v>article1-unified-v4-2-fb3f101b-20260903-000401-default-f01-p2-ehcache-2-after-final-undeploy-final-10s-thread-dump.txt</x:v>
      </x:c>
      <x:c r="AF59" s="34"/>
      <x:c r="AG59" s="34" t="str">
        <x:v>article1-unified-v4-2-fb3f101b-20260903-000401-default-f01-p2-ehcache-2-after-final-undeploy-final-10s-native-memory.txt</x:v>
      </x:c>
      <x:c r="AH59" s="34" t="str">
        <x:v>article1-unified-v4-2-fb3f101b-20260903-000401-default-f01-p2-ehcache-2-after-final-undeploy-final-10s-class-histogram.txt</x:v>
      </x:c>
      <x:c r="AI59" s="34" t="str">
        <x:v>article1-unified-v4-2-fb3f101b-20260903-000401-default-f01-p2-ehcache-2-after-final-undeploy-tomcat-findleaks.txt</x:v>
      </x:c>
    </x:row>
    <x:row r="60">
      <x:c r="A60" s="34" t="str">
        <x:v>article1-unified-v4-2-fb3f101b-20260903-000401-default-f01-p2-ehcache</x:v>
      </x:c>
      <x:c r="B60" s="34" t="str">
        <x:v>default</x:v>
      </x:c>
      <x:c r="C60" s="34" t="str">
        <x:v>ehcache</x:v>
      </x:c>
      <x:c r="D60" s="34" t="str">
        <x:v>ehcache</x:v>
      </x:c>
      <x:c r="E60" s="36" t="n">
        <x:v>1</x:v>
      </x:c>
      <x:c r="F60" s="36" t="n">
        <x:v>1</x:v>
      </x:c>
      <x:c r="G60" s="36" t="n">
        <x:v>2</x:v>
      </x:c>
      <x:c r="H60" s="36" t="n">
        <x:v>3</x:v>
      </x:c>
      <x:c r="I60" s="34" t="str">
        <x:v>baseline</x:v>
      </x:c>
      <x:c r="J60" s="34" t="str">
        <x:v>cycle-baseline</x:v>
      </x:c>
      <x:c r="K60" s="36" t="n">
        <x:v>0</x:v>
      </x:c>
      <x:c r="L60" s="34" t="str">
        <x:v>baseline</x:v>
      </x:c>
      <x:c r="M60" s="34" t="str">
        <x:v>article1-unified-v4-2-fb3f101b-20260903-000401-default-f01-p2-ehcache-3-baseline</x:v>
      </x:c>
      <x:c r="N60" s="38" t="n">
        <x:v>46267.93180546296</x:v>
      </x:c>
      <x:c r="O60" s="36" t="n">
        <x:v>0</x:v>
      </x:c>
      <x:c r="P60" s="43" t="n">
        <x:v>16129024</x:v>
      </x:c>
      <x:c r="Q60" s="43" t="n">
        <x:v>268435456</x:v>
      </x:c>
      <x:c r="R60" s="43" t="n">
        <x:v>425749504</x:v>
      </x:c>
      <x:c r="S60" s="36" t="n">
        <x:v>2</x:v>
      </x:c>
      <x:c r="T60" s="44" t="str">
        <x:v>0x00000000461177b8  0x0000000046003818  0x000073272014dbe0    4861  22731776  22704288  org.apache.catalina.loader.ParallelWebappClassLoader | 0x00000000461177b8  0x0000000046003818  0x00007327b8626e30       0         0         0  org.apache.catalina.loader.ParallelWebappClassLoader</x:v>
      </x:c>
      <x:c r="U60" s="36" t="n">
        <x:v>27</x:v>
      </x:c>
      <x:c r="V60" s="36" t="n">
        <x:v>0</x:v>
      </x:c>
      <x:c r="W60" s="44"/>
      <x:c r="X60" s="36"/>
      <x:c r="Y60" s="36"/>
      <x:c r="Z60" s="44"/>
      <x:c r="AA60" s="49"/>
      <x:c r="AB60" s="43"/>
      <x:c r="AC60" s="34" t="str">
        <x:v>article1-unified-v4-2-fb3f101b-20260903-000401-default-f01-p2-ehcache-3-baseline-heap-info.txt</x:v>
      </x:c>
      <x:c r="AD60" s="34" t="str">
        <x:v>article1-unified-v4-2-fb3f101b-20260903-000401-default-f01-p2-ehcache-3-baseline-classloader-stats.txt</x:v>
      </x:c>
      <x:c r="AE60" s="34" t="str">
        <x:v>article1-unified-v4-2-fb3f101b-20260903-000401-default-f01-p2-ehcache-3-baseline-thread-dump.txt</x:v>
      </x:c>
      <x:c r="AF60" s="34"/>
      <x:c r="AG60" s="34" t="str">
        <x:v>article1-unified-v4-2-fb3f101b-20260903-000401-default-f01-p2-ehcache-3-baseline-native-memory.txt</x:v>
      </x:c>
      <x:c r="AH60" s="34"/>
      <x:c r="AI60" s="34"/>
    </x:row>
    <x:row r="61">
      <x:c r="A61" s="34" t="str">
        <x:v>article1-unified-v4-2-fb3f101b-20260903-000401-default-f01-p2-ehcache</x:v>
      </x:c>
      <x:c r="B61" s="34" t="str">
        <x:v>default</x:v>
      </x:c>
      <x:c r="C61" s="34" t="str">
        <x:v>ehcache</x:v>
      </x:c>
      <x:c r="D61" s="34" t="str">
        <x:v>ehcache</x:v>
      </x:c>
      <x:c r="E61" s="36" t="n">
        <x:v>1</x:v>
      </x:c>
      <x:c r="F61" s="36" t="n">
        <x:v>1</x:v>
      </x:c>
      <x:c r="G61" s="36" t="n">
        <x:v>2</x:v>
      </x:c>
      <x:c r="H61" s="36" t="n">
        <x:v>3</x:v>
      </x:c>
      <x:c r="I61" s="34" t="str">
        <x:v>deployedIdle</x:v>
      </x:c>
      <x:c r="J61" s="34" t="str">
        <x:v>deployed-idle</x:v>
      </x:c>
      <x:c r="K61" s="36" t="n">
        <x:v>0</x:v>
      </x:c>
      <x:c r="L61" s="34" t="str">
        <x:v>initial</x:v>
      </x:c>
      <x:c r="M61" s="34" t="str">
        <x:v>article1-unified-v4-2-fb3f101b-20260903-000401-default-f01-p2-ehcache-3-deployed-idle</x:v>
      </x:c>
      <x:c r="N61" s="38" t="n">
        <x:v>46267.93190650463</x:v>
      </x:c>
      <x:c r="O61" s="36" t="n">
        <x:v>0</x:v>
      </x:c>
      <x:c r="P61" s="43" t="n">
        <x:v>167109632</x:v>
      </x:c>
      <x:c r="Q61" s="43" t="n">
        <x:v>268435456</x:v>
      </x:c>
      <x:c r="R61" s="43" t="n">
        <x:v>451073024</x:v>
      </x:c>
      <x:c r="S61" s="36" t="n">
        <x:v>3</x:v>
      </x:c>
      <x:c r="T61" s="44" t="str">
        <x:v>0x00000000461177b8  0x0000000046003818  0x000073272014dbe0    4861  22731776  22704288  org.apache.catalina.loader.ParallelWebappClassLoader | 0x00000000461177b8  0x0000000046003818  0x00007327b8626e30       0         0         0  org.apache.catalina.loader.ParallelWebappClassLoader | 0x00000000461177b8  0x0000000046003818  0x00007326dc004e90    4091  19445760  19430312  org.apache.catalina.loader.ParallelWebappClassLoader</x:v>
      </x:c>
      <x:c r="U61" s="36" t="n">
        <x:v>27</x:v>
      </x:c>
      <x:c r="V61" s="36" t="n">
        <x:v>0</x:v>
      </x:c>
      <x:c r="W61" s="44"/>
      <x:c r="X61" s="36"/>
      <x:c r="Y61" s="36"/>
      <x:c r="Z61" s="44"/>
      <x:c r="AA61" s="49"/>
      <x:c r="AB61" s="43"/>
      <x:c r="AC61" s="34"/>
      <x:c r="AD61" s="34"/>
      <x:c r="AE61" s="34"/>
      <x:c r="AF61" s="34"/>
      <x:c r="AG61" s="34"/>
      <x:c r="AH61" s="34"/>
      <x:c r="AI61" s="34"/>
    </x:row>
    <x:row r="62">
      <x:c r="A62" s="34" t="str">
        <x:v>article1-unified-v4-2-fb3f101b-20260903-000401-default-f01-p2-ehcache</x:v>
      </x:c>
      <x:c r="B62" s="34" t="str">
        <x:v>default</x:v>
      </x:c>
      <x:c r="C62" s="34" t="str">
        <x:v>ehcache</x:v>
      </x:c>
      <x:c r="D62" s="34" t="str">
        <x:v>ehcache</x:v>
      </x:c>
      <x:c r="E62" s="36" t="n">
        <x:v>1</x:v>
      </x:c>
      <x:c r="F62" s="36" t="n">
        <x:v>1</x:v>
      </x:c>
      <x:c r="G62" s="36" t="n">
        <x:v>2</x:v>
      </x:c>
      <x:c r="H62" s="36" t="n">
        <x:v>3</x:v>
      </x:c>
      <x:c r="I62" s="34" t="str">
        <x:v>loaded</x:v>
      </x:c>
      <x:c r="J62" s="34" t="str">
        <x:v>loaded</x:v>
      </x:c>
      <x:c r="K62" s="36" t="n">
        <x:v>0</x:v>
      </x:c>
      <x:c r="L62" s="34" t="str">
        <x:v>initial</x:v>
      </x:c>
      <x:c r="M62" s="34" t="str">
        <x:v>article1-unified-v4-2-fb3f101b-20260903-000401-default-f01-p2-ehcache-3-loaded</x:v>
      </x:c>
      <x:c r="N62" s="38" t="n">
        <x:v>46267.93205902778</x:v>
      </x:c>
      <x:c r="O62" s="36" t="n">
        <x:v>0</x:v>
      </x:c>
      <x:c r="P62" s="43" t="n">
        <x:v>208872448</x:v>
      </x:c>
      <x:c r="Q62" s="43" t="n">
        <x:v>268435456</x:v>
      </x:c>
      <x:c r="R62" s="43" t="n">
        <x:v>446863360</x:v>
      </x:c>
      <x:c r="S62" s="36" t="n">
        <x:v>3</x:v>
      </x:c>
      <x:c r="T62" s="44" t="str">
        <x:v>0x00000000461177b8  0x0000000046003818  0x000073272014dbe0    4861  22731776  22704288  org.apache.catalina.loader.ParallelWebappClassLoader | 0x00000000461177b8  0x0000000046003818  0x00007326dc004e90    4851  22673408  22662664  org.apache.catalina.loader.ParallelWebappClassLoader | 0x00000000461177b8  0x0000000046003818  0x00007327b8626e30       0         0         0  org.apache.catalina.loader.ParallelWebappClassLoader</x:v>
      </x:c>
      <x:c r="U62" s="36" t="n">
        <x:v>27</x:v>
      </x:c>
      <x:c r="V62" s="36" t="n">
        <x:v>0</x:v>
      </x:c>
      <x:c r="W62" s="44"/>
      <x:c r="X62" s="36"/>
      <x:c r="Y62" s="36"/>
      <x:c r="Z62" s="44"/>
      <x:c r="AA62" s="49"/>
      <x:c r="AB62" s="43"/>
      <x:c r="AC62" s="34"/>
      <x:c r="AD62" s="34"/>
      <x:c r="AE62" s="34"/>
      <x:c r="AF62" s="34"/>
      <x:c r="AG62" s="34"/>
      <x:c r="AH62" s="34"/>
      <x:c r="AI62" s="34"/>
    </x:row>
    <x:row r="63">
      <x:c r="A63" s="34" t="str">
        <x:v>article1-unified-v4-2-fb3f101b-20260903-000401-default-f01-p2-ehcache</x:v>
      </x:c>
      <x:c r="B63" s="34" t="str">
        <x:v>default</x:v>
      </x:c>
      <x:c r="C63" s="34" t="str">
        <x:v>ehcache</x:v>
      </x:c>
      <x:c r="D63" s="34" t="str">
        <x:v>ehcache</x:v>
      </x:c>
      <x:c r="E63" s="36" t="n">
        <x:v>1</x:v>
      </x:c>
      <x:c r="F63" s="36" t="n">
        <x:v>1</x:v>
      </x:c>
      <x:c r="G63" s="36" t="n">
        <x:v>2</x:v>
      </x:c>
      <x:c r="H63" s="36" t="n">
        <x:v>3</x:v>
      </x:c>
      <x:c r="I63" s="34" t="str">
        <x:v>afterUndeployEarly</x:v>
      </x:c>
      <x:c r="J63" s="34" t="str">
        <x:v>after-undeploy-early</x:v>
      </x:c>
      <x:c r="K63" s="36" t="n">
        <x:v>1</x:v>
      </x:c>
      <x:c r="L63" s="34" t="str">
        <x:v>early</x:v>
      </x:c>
      <x:c r="M63" s="34" t="str">
        <x:v>article1-unified-v4-2-fb3f101b-20260903-000401-default-f01-p2-ehcache-3-after-undeploy-early-2s</x:v>
      </x:c>
      <x:c r="N63" s="38" t="n">
        <x:v>46267.93214158565</x:v>
      </x:c>
      <x:c r="O63" s="36"/>
      <x:c r="P63" s="43"/>
      <x:c r="Q63" s="43"/>
      <x:c r="R63" s="43"/>
      <x:c r="S63" s="36"/>
      <x:c r="T63" s="44"/>
      <x:c r="U63" s="36" t="n">
        <x:v>27</x:v>
      </x:c>
      <x:c r="V63" s="36" t="n">
        <x:v>0</x:v>
      </x:c>
      <x:c r="W63" s="44"/>
      <x:c r="X63" s="36"/>
      <x:c r="Y63" s="36"/>
      <x:c r="Z63" s="44"/>
      <x:c r="AA63" s="49"/>
      <x:c r="AB63" s="43" t="n">
        <x:v>2</x:v>
      </x:c>
      <x:c r="AC63" s="34"/>
      <x:c r="AD63" s="34"/>
      <x:c r="AE63" s="34" t="str">
        <x:v>article1-unified-v4-2-fb3f101b-20260903-000401-default-f01-p2-ehcache-3-after-undeploy-early-2s-thread-dump.txt</x:v>
      </x:c>
      <x:c r="AF63" s="34" t="str">
        <x:v>article1-unified-v4-2-fb3f101b-20260903-000401-default-f01-p2-ehcache-3-after-undeploy-early-tomcat-log.txt</x:v>
      </x:c>
      <x:c r="AG63" s="34"/>
      <x:c r="AH63" s="34"/>
      <x:c r="AI63" s="34"/>
    </x:row>
    <x:row r="64">
      <x:c r="A64" s="34" t="str">
        <x:v>article1-unified-v4-2-fb3f101b-20260903-000401-default-f01-p2-ehcache</x:v>
      </x:c>
      <x:c r="B64" s="34" t="str">
        <x:v>default</x:v>
      </x:c>
      <x:c r="C64" s="34" t="str">
        <x:v>ehcache</x:v>
      </x:c>
      <x:c r="D64" s="34" t="str">
        <x:v>ehcache</x:v>
      </x:c>
      <x:c r="E64" s="36" t="n">
        <x:v>1</x:v>
      </x:c>
      <x:c r="F64" s="36" t="n">
        <x:v>1</x:v>
      </x:c>
      <x:c r="G64" s="36" t="n">
        <x:v>2</x:v>
      </x:c>
      <x:c r="H64" s="36" t="n">
        <x:v>3</x:v>
      </x:c>
      <x:c r="I64" s="34" t="str">
        <x:v>afterUndeploy</x:v>
      </x:c>
      <x:c r="J64" s="34" t="str">
        <x:v>after-undeploy-final</x:v>
      </x:c>
      <x:c r="K64" s="36" t="n">
        <x:v>1</x:v>
      </x:c>
      <x:c r="L64" s="34" t="str">
        <x:v>final</x:v>
      </x:c>
      <x:c r="M64" s="34" t="str">
        <x:v>article1-unified-v4-2-fb3f101b-20260903-000401-default-f01-p2-ehcache-3-after-undeploy-final-10s</x:v>
      </x:c>
      <x:c r="N64" s="38" t="n">
        <x:v>46267.93230454861</x:v>
      </x:c>
      <x:c r="O64" s="36" t="n">
        <x:v>2</x:v>
      </x:c>
      <x:c r="P64" s="43" t="n">
        <x:v>16070656</x:v>
      </x:c>
      <x:c r="Q64" s="43" t="n">
        <x:v>268435456</x:v>
      </x:c>
      <x:c r="R64" s="43" t="n">
        <x:v>424394752</x:v>
      </x:c>
      <x:c r="S64" s="36" t="n">
        <x:v>2</x:v>
      </x:c>
      <x:c r="T64" s="44" t="str">
        <x:v>0x00000000461177b8  0x0000000046003818  0x00007326dc004e90    4861  22722560  22708416  org.apache.catalina.loader.ParallelWebappClassLoader | 0x00000000461177b8  0x0000000046003818  0x00007327b8626e30       0         0         0  org.apache.catalina.loader.ParallelWebappClassLoader</x:v>
      </x:c>
      <x:c r="U64" s="36" t="n">
        <x:v>27</x:v>
      </x:c>
      <x:c r="V64" s="36" t="n">
        <x:v>0</x:v>
      </x:c>
      <x:c r="W64" s="44"/>
      <x:c r="X64" s="36" t="n">
        <x:v>1</x:v>
      </x:c>
      <x:c r="Y64" s="36" t="n">
        <x:v>1</x:v>
      </x:c>
      <x:c r="Z64" s="44" t="str">
        <x:v>/ehcache</x:v>
      </x:c>
      <x:c r="AA64" s="45" t="b">
        <x:v>1</x:v>
      </x:c>
      <x:c r="AB64" s="43"/>
      <x:c r="AC64" s="34" t="str">
        <x:v>article1-unified-v4-2-fb3f101b-20260903-000401-default-f01-p2-ehcache-3-after-undeploy-final-10s-heap-info.txt</x:v>
      </x:c>
      <x:c r="AD64" s="34" t="str">
        <x:v>article1-unified-v4-2-fb3f101b-20260903-000401-default-f01-p2-ehcache-3-after-undeploy-final-10s-classloader-stats.txt</x:v>
      </x:c>
      <x:c r="AE64" s="34" t="str">
        <x:v>article1-unified-v4-2-fb3f101b-20260903-000401-default-f01-p2-ehcache-3-after-undeploy-final-10s-thread-dump.txt</x:v>
      </x:c>
      <x:c r="AF64" s="34"/>
      <x:c r="AG64" s="34" t="str">
        <x:v>article1-unified-v4-2-fb3f101b-20260903-000401-default-f01-p2-ehcache-3-after-undeploy-final-10s-native-memory.txt</x:v>
      </x:c>
      <x:c r="AH64" s="34" t="str">
        <x:v>article1-unified-v4-2-fb3f101b-20260903-000401-default-f01-p2-ehcache-3-after-undeploy-final-10s-class-histogram.txt</x:v>
      </x:c>
      <x:c r="AI64" s="34" t="str">
        <x:v>article1-unified-v4-2-fb3f101b-20260903-000401-default-f01-p2-ehcache-3-after-undeploy-tomcat-findleaks.txt</x:v>
      </x:c>
    </x:row>
    <x:row r="65">
      <x:c r="A65" s="34" t="str">
        <x:v>article1-unified-v4-2-fb3f101b-20260903-000401-default-f01-p2-ehcache</x:v>
      </x:c>
      <x:c r="B65" s="34" t="str">
        <x:v>default</x:v>
      </x:c>
      <x:c r="C65" s="34" t="str">
        <x:v>ehcache</x:v>
      </x:c>
      <x:c r="D65" s="34" t="str">
        <x:v>ehcache</x:v>
      </x:c>
      <x:c r="E65" s="36" t="n">
        <x:v>1</x:v>
      </x:c>
      <x:c r="F65" s="36" t="n">
        <x:v>1</x:v>
      </x:c>
      <x:c r="G65" s="36" t="n">
        <x:v>2</x:v>
      </x:c>
      <x:c r="H65" s="36" t="n">
        <x:v>3</x:v>
      </x:c>
      <x:c r="I65" s="34" t="str">
        <x:v>redeployedLoaded</x:v>
      </x:c>
      <x:c r="J65" s="34" t="str">
        <x:v>redeployed-loaded</x:v>
      </x:c>
      <x:c r="K65" s="36" t="n">
        <x:v>0</x:v>
      </x:c>
      <x:c r="L65" s="34" t="str">
        <x:v>redeploy</x:v>
      </x:c>
      <x:c r="M65" s="34" t="str">
        <x:v>article1-unified-v4-2-fb3f101b-20260903-000401-default-f01-p2-ehcache-3-redeployed-loaded</x:v>
      </x:c>
      <x:c r="N65" s="38" t="n">
        <x:v>46267.93256619213</x:v>
      </x:c>
      <x:c r="O65" s="36" t="n">
        <x:v>0</x:v>
      </x:c>
      <x:c r="P65" s="43" t="n">
        <x:v>203722752</x:v>
      </x:c>
      <x:c r="Q65" s="43" t="n">
        <x:v>268435456</x:v>
      </x:c>
      <x:c r="R65" s="43" t="n">
        <x:v>447676416</x:v>
      </x:c>
      <x:c r="S65" s="36" t="n">
        <x:v>3</x:v>
      </x:c>
      <x:c r="T65" s="44" t="str">
        <x:v>0x00000000461177b8  0x0000000046003818  0x00007326dc004e90    4861  22722560  22708416  org.apache.catalina.loader.ParallelWebappClassLoader | 0x00000000461177b8  0x0000000046003818  0x00007327b8626e30       0         0         0  org.apache.catalina.loader.ParallelWebappClassLoader | 0x00000000461177b8  0x0000000046003818  0x00007327341ba6d0    4853  22688768  22670440  org.apache.catalina.loader.ParallelWebappClassLoader</x:v>
      </x:c>
      <x:c r="U65" s="36" t="n">
        <x:v>28</x:v>
      </x:c>
      <x:c r="V65" s="36" t="n">
        <x:v>0</x:v>
      </x:c>
      <x:c r="W65" s="44"/>
      <x:c r="X65" s="36"/>
      <x:c r="Y65" s="36"/>
      <x:c r="Z65" s="44"/>
      <x:c r="AA65" s="49"/>
      <x:c r="AB65" s="43"/>
      <x:c r="AC65" s="34"/>
      <x:c r="AD65" s="34"/>
      <x:c r="AE65" s="34"/>
      <x:c r="AF65" s="34"/>
      <x:c r="AG65" s="34"/>
      <x:c r="AH65" s="34"/>
      <x:c r="AI65" s="34"/>
    </x:row>
    <x:row r="66">
      <x:c r="A66" s="34" t="str">
        <x:v>article1-unified-v4-2-fb3f101b-20260903-000401-default-f01-p2-ehcache</x:v>
      </x:c>
      <x:c r="B66" s="34" t="str">
        <x:v>default</x:v>
      </x:c>
      <x:c r="C66" s="34" t="str">
        <x:v>ehcache</x:v>
      </x:c>
      <x:c r="D66" s="34" t="str">
        <x:v>ehcache</x:v>
      </x:c>
      <x:c r="E66" s="36" t="n">
        <x:v>1</x:v>
      </x:c>
      <x:c r="F66" s="36" t="n">
        <x:v>1</x:v>
      </x:c>
      <x:c r="G66" s="36" t="n">
        <x:v>2</x:v>
      </x:c>
      <x:c r="H66" s="36" t="n">
        <x:v>3</x:v>
      </x:c>
      <x:c r="I66" s="34" t="str">
        <x:v>afterFinalUndeployEarly</x:v>
      </x:c>
      <x:c r="J66" s="34" t="str">
        <x:v>after-final-undeploy-early</x:v>
      </x:c>
      <x:c r="K66" s="36" t="n">
        <x:v>2</x:v>
      </x:c>
      <x:c r="L66" s="34" t="str">
        <x:v>early</x:v>
      </x:c>
      <x:c r="M66" s="34" t="str">
        <x:v>article1-unified-v4-2-fb3f101b-20260903-000401-default-f01-p2-ehcache-3-after-final-undeploy-early-2s</x:v>
      </x:c>
      <x:c r="N66" s="38" t="n">
        <x:v>46267.93265091435</x:v>
      </x:c>
      <x:c r="O66" s="36"/>
      <x:c r="P66" s="43"/>
      <x:c r="Q66" s="43"/>
      <x:c r="R66" s="43"/>
      <x:c r="S66" s="36"/>
      <x:c r="T66" s="44"/>
      <x:c r="U66" s="36" t="n">
        <x:v>27</x:v>
      </x:c>
      <x:c r="V66" s="36" t="n">
        <x:v>0</x:v>
      </x:c>
      <x:c r="W66" s="44"/>
      <x:c r="X66" s="36"/>
      <x:c r="Y66" s="36"/>
      <x:c r="Z66" s="44"/>
      <x:c r="AA66" s="49"/>
      <x:c r="AB66" s="43" t="n">
        <x:v>2</x:v>
      </x:c>
      <x:c r="AC66" s="34"/>
      <x:c r="AD66" s="34"/>
      <x:c r="AE66" s="34" t="str">
        <x:v>article1-unified-v4-2-fb3f101b-20260903-000401-default-f01-p2-ehcache-3-after-final-undeploy-early-2s-thread-dump.txt</x:v>
      </x:c>
      <x:c r="AF66" s="34" t="str">
        <x:v>article1-unified-v4-2-fb3f101b-20260903-000401-default-f01-p2-ehcache-3-after-final-undeploy-early-tomcat-log.txt</x:v>
      </x:c>
      <x:c r="AG66" s="34"/>
      <x:c r="AH66" s="34"/>
      <x:c r="AI66" s="34"/>
    </x:row>
    <x:row r="67">
      <x:c r="A67" s="34" t="str">
        <x:v>article1-unified-v4-2-fb3f101b-20260903-000401-default-f01-p2-ehcache</x:v>
      </x:c>
      <x:c r="B67" s="34" t="str">
        <x:v>default</x:v>
      </x:c>
      <x:c r="C67" s="34" t="str">
        <x:v>ehcache</x:v>
      </x:c>
      <x:c r="D67" s="34" t="str">
        <x:v>ehcache</x:v>
      </x:c>
      <x:c r="E67" s="36" t="n">
        <x:v>1</x:v>
      </x:c>
      <x:c r="F67" s="36" t="n">
        <x:v>1</x:v>
      </x:c>
      <x:c r="G67" s="36" t="n">
        <x:v>2</x:v>
      </x:c>
      <x:c r="H67" s="36" t="n">
        <x:v>3</x:v>
      </x:c>
      <x:c r="I67" s="34" t="str">
        <x:v>afterFinalUndeploy</x:v>
      </x:c>
      <x:c r="J67" s="34" t="str">
        <x:v>after-final-undeploy-final</x:v>
      </x:c>
      <x:c r="K67" s="36" t="n">
        <x:v>2</x:v>
      </x:c>
      <x:c r="L67" s="34" t="str">
        <x:v>final</x:v>
      </x:c>
      <x:c r="M67" s="34" t="str">
        <x:v>article1-unified-v4-2-fb3f101b-20260903-000401-default-f01-p2-ehcache-3-after-final-undeploy-final-10s</x:v>
      </x:c>
      <x:c r="N67" s="38" t="n">
        <x:v>46267.93281042824</x:v>
      </x:c>
      <x:c r="O67" s="36" t="n">
        <x:v>2</x:v>
      </x:c>
      <x:c r="P67" s="43" t="n">
        <x:v>16086016</x:v>
      </x:c>
      <x:c r="Q67" s="43" t="n">
        <x:v>268435456</x:v>
      </x:c>
      <x:c r="R67" s="43" t="n">
        <x:v>428888064</x:v>
      </x:c>
      <x:c r="S67" s="36" t="n">
        <x:v>2</x:v>
      </x:c>
      <x:c r="T67" s="44" t="str">
        <x:v>0x00000000461177b8  0x0000000046003818  0x00007327b8626e30       0         0         0  org.apache.catalina.loader.ParallelWebappClassLoader | 0x00000000461177b8  0x0000000046003818  0x00007327341ba6d0    4863  22736896  22716192  org.apache.catalina.loader.ParallelWebappClassLoader</x:v>
      </x:c>
      <x:c r="U67" s="36" t="n">
        <x:v>27</x:v>
      </x:c>
      <x:c r="V67" s="36" t="n">
        <x:v>0</x:v>
      </x:c>
      <x:c r="W67" s="44"/>
      <x:c r="X67" s="36" t="n">
        <x:v>1</x:v>
      </x:c>
      <x:c r="Y67" s="36" t="n">
        <x:v>1</x:v>
      </x:c>
      <x:c r="Z67" s="44" t="str">
        <x:v>/ehcache</x:v>
      </x:c>
      <x:c r="AA67" s="45" t="b">
        <x:v>1</x:v>
      </x:c>
      <x:c r="AB67" s="43"/>
      <x:c r="AC67" s="34" t="str">
        <x:v>article1-unified-v4-2-fb3f101b-20260903-000401-default-f01-p2-ehcache-3-after-final-undeploy-final-10s-heap-info.txt</x:v>
      </x:c>
      <x:c r="AD67" s="34" t="str">
        <x:v>article1-unified-v4-2-fb3f101b-20260903-000401-default-f01-p2-ehcache-3-after-final-undeploy-final-10s-classloader-stats.txt</x:v>
      </x:c>
      <x:c r="AE67" s="34" t="str">
        <x:v>article1-unified-v4-2-fb3f101b-20260903-000401-default-f01-p2-ehcache-3-after-final-undeploy-final-10s-thread-dump.txt</x:v>
      </x:c>
      <x:c r="AF67" s="34"/>
      <x:c r="AG67" s="34" t="str">
        <x:v>article1-unified-v4-2-fb3f101b-20260903-000401-default-f01-p2-ehcache-3-after-final-undeploy-final-10s-native-memory.txt</x:v>
      </x:c>
      <x:c r="AH67" s="34" t="str">
        <x:v>article1-unified-v4-2-fb3f101b-20260903-000401-default-f01-p2-ehcache-3-after-final-undeploy-final-10s-class-histogram.txt</x:v>
      </x:c>
      <x:c r="AI67" s="34" t="str">
        <x:v>article1-unified-v4-2-fb3f101b-20260903-000401-default-f01-p2-ehcache-3-after-final-undeploy-tomcat-findleaks.txt</x:v>
      </x:c>
    </x:row>
    <x:row r="68">
      <x:c r="A68" s="34" t="str">
        <x:v>article1-unified-v4-2-fb3f101b-20260903-000401-default-f01-p2-ehcache</x:v>
      </x:c>
      <x:c r="B68" s="34" t="str">
        <x:v>default</x:v>
      </x:c>
      <x:c r="C68" s="34" t="str">
        <x:v>ehcache</x:v>
      </x:c>
      <x:c r="D68" s="34" t="str">
        <x:v>ehcache</x:v>
      </x:c>
      <x:c r="E68" s="36" t="n">
        <x:v>1</x:v>
      </x:c>
      <x:c r="F68" s="36" t="n">
        <x:v>1</x:v>
      </x:c>
      <x:c r="G68" s="36" t="n">
        <x:v>2</x:v>
      </x:c>
      <x:c r="H68" s="36" t="n">
        <x:v>4</x:v>
      </x:c>
      <x:c r="I68" s="34" t="str">
        <x:v>baseline</x:v>
      </x:c>
      <x:c r="J68" s="34" t="str">
        <x:v>cycle-baseline</x:v>
      </x:c>
      <x:c r="K68" s="36" t="n">
        <x:v>0</x:v>
      </x:c>
      <x:c r="L68" s="34" t="str">
        <x:v>baseline</x:v>
      </x:c>
      <x:c r="M68" s="34" t="str">
        <x:v>article1-unified-v4-2-fb3f101b-20260903-000401-default-f01-p2-ehcache-4-baseline</x:v>
      </x:c>
      <x:c r="N68" s="38" t="n">
        <x:v>46267.93285293981</x:v>
      </x:c>
      <x:c r="O68" s="36" t="n">
        <x:v>0</x:v>
      </x:c>
      <x:c r="P68" s="43" t="n">
        <x:v>16086016</x:v>
      </x:c>
      <x:c r="Q68" s="43" t="n">
        <x:v>268435456</x:v>
      </x:c>
      <x:c r="R68" s="43" t="n">
        <x:v>428306432</x:v>
      </x:c>
      <x:c r="S68" s="36" t="n">
        <x:v>2</x:v>
      </x:c>
      <x:c r="T68" s="44" t="str">
        <x:v>0x00000000461177b8  0x0000000046003818  0x00007327b8626e30       0         0         0  org.apache.catalina.loader.ParallelWebappClassLoader | 0x00000000461177b8  0x0000000046003818  0x00007327341ba6d0    4863  22736896  22716192  org.apache.catalina.loader.ParallelWebappClassLoader</x:v>
      </x:c>
      <x:c r="U68" s="36" t="n">
        <x:v>27</x:v>
      </x:c>
      <x:c r="V68" s="36" t="n">
        <x:v>0</x:v>
      </x:c>
      <x:c r="W68" s="44"/>
      <x:c r="X68" s="36"/>
      <x:c r="Y68" s="36"/>
      <x:c r="Z68" s="44"/>
      <x:c r="AA68" s="49"/>
      <x:c r="AB68" s="43"/>
      <x:c r="AC68" s="34" t="str">
        <x:v>article1-unified-v4-2-fb3f101b-20260903-000401-default-f01-p2-ehcache-4-baseline-heap-info.txt</x:v>
      </x:c>
      <x:c r="AD68" s="34" t="str">
        <x:v>article1-unified-v4-2-fb3f101b-20260903-000401-default-f01-p2-ehcache-4-baseline-classloader-stats.txt</x:v>
      </x:c>
      <x:c r="AE68" s="34" t="str">
        <x:v>article1-unified-v4-2-fb3f101b-20260903-000401-default-f01-p2-ehcache-4-baseline-thread-dump.txt</x:v>
      </x:c>
      <x:c r="AF68" s="34"/>
      <x:c r="AG68" s="34" t="str">
        <x:v>article1-unified-v4-2-fb3f101b-20260903-000401-default-f01-p2-ehcache-4-baseline-native-memory.txt</x:v>
      </x:c>
      <x:c r="AH68" s="34"/>
      <x:c r="AI68" s="34"/>
    </x:row>
    <x:row r="69">
      <x:c r="A69" s="34" t="str">
        <x:v>article1-unified-v4-2-fb3f101b-20260903-000401-default-f01-p2-ehcache</x:v>
      </x:c>
      <x:c r="B69" s="34" t="str">
        <x:v>default</x:v>
      </x:c>
      <x:c r="C69" s="34" t="str">
        <x:v>ehcache</x:v>
      </x:c>
      <x:c r="D69" s="34" t="str">
        <x:v>ehcache</x:v>
      </x:c>
      <x:c r="E69" s="36" t="n">
        <x:v>1</x:v>
      </x:c>
      <x:c r="F69" s="36" t="n">
        <x:v>1</x:v>
      </x:c>
      <x:c r="G69" s="36" t="n">
        <x:v>2</x:v>
      </x:c>
      <x:c r="H69" s="36" t="n">
        <x:v>4</x:v>
      </x:c>
      <x:c r="I69" s="34" t="str">
        <x:v>deployedIdle</x:v>
      </x:c>
      <x:c r="J69" s="34" t="str">
        <x:v>deployed-idle</x:v>
      </x:c>
      <x:c r="K69" s="36" t="n">
        <x:v>0</x:v>
      </x:c>
      <x:c r="L69" s="34" t="str">
        <x:v>initial</x:v>
      </x:c>
      <x:c r="M69" s="34" t="str">
        <x:v>article1-unified-v4-2-fb3f101b-20260903-000401-default-f01-p2-ehcache-4-deployed-idle</x:v>
      </x:c>
      <x:c r="N69" s="38" t="n">
        <x:v>46267.93295310185</x:v>
      </x:c>
      <x:c r="O69" s="36" t="n">
        <x:v>0</x:v>
      </x:c>
      <x:c r="P69" s="43" t="n">
        <x:v>166024192</x:v>
      </x:c>
      <x:c r="Q69" s="43" t="n">
        <x:v>268435456</x:v>
      </x:c>
      <x:c r="R69" s="43" t="n">
        <x:v>461967360</x:v>
      </x:c>
      <x:c r="S69" s="36" t="n">
        <x:v>3</x:v>
      </x:c>
      <x:c r="T69" s="44" t="str">
        <x:v>0x00000000461177b8  0x0000000046003818  0x00007327b8626e30       0         0         0  org.apache.catalina.loader.ParallelWebappClassLoader | 0x00000000461177b8  0x0000000046003818  0x00007327341ba6d0    4863  22736896  22716192  org.apache.catalina.loader.ParallelWebappClassLoader | 0x00000000461177b8  0x0000000046003818  0x0000732724218800    4091  19454976  19432440  org.apache.catalina.loader.ParallelWebappClassLoader</x:v>
      </x:c>
      <x:c r="U69" s="36" t="n">
        <x:v>27</x:v>
      </x:c>
      <x:c r="V69" s="36" t="n">
        <x:v>0</x:v>
      </x:c>
      <x:c r="W69" s="44"/>
      <x:c r="X69" s="36"/>
      <x:c r="Y69" s="36"/>
      <x:c r="Z69" s="44"/>
      <x:c r="AA69" s="49"/>
      <x:c r="AB69" s="43"/>
      <x:c r="AC69" s="34"/>
      <x:c r="AD69" s="34"/>
      <x:c r="AE69" s="34"/>
      <x:c r="AF69" s="34"/>
      <x:c r="AG69" s="34"/>
      <x:c r="AH69" s="34"/>
      <x:c r="AI69" s="34"/>
    </x:row>
    <x:row r="70">
      <x:c r="A70" s="34" t="str">
        <x:v>article1-unified-v4-2-fb3f101b-20260903-000401-default-f01-p2-ehcache</x:v>
      </x:c>
      <x:c r="B70" s="34" t="str">
        <x:v>default</x:v>
      </x:c>
      <x:c r="C70" s="34" t="str">
        <x:v>ehcache</x:v>
      </x:c>
      <x:c r="D70" s="34" t="str">
        <x:v>ehcache</x:v>
      </x:c>
      <x:c r="E70" s="36" t="n">
        <x:v>1</x:v>
      </x:c>
      <x:c r="F70" s="36" t="n">
        <x:v>1</x:v>
      </x:c>
      <x:c r="G70" s="36" t="n">
        <x:v>2</x:v>
      </x:c>
      <x:c r="H70" s="36" t="n">
        <x:v>4</x:v>
      </x:c>
      <x:c r="I70" s="34" t="str">
        <x:v>loaded</x:v>
      </x:c>
      <x:c r="J70" s="34" t="str">
        <x:v>loaded</x:v>
      </x:c>
      <x:c r="K70" s="36" t="n">
        <x:v>0</x:v>
      </x:c>
      <x:c r="L70" s="34" t="str">
        <x:v>initial</x:v>
      </x:c>
      <x:c r="M70" s="34" t="str">
        <x:v>article1-unified-v4-2-fb3f101b-20260903-000401-default-f01-p2-ehcache-4-loaded</x:v>
      </x:c>
      <x:c r="N70" s="38" t="n">
        <x:v>46267.93310606482</x:v>
      </x:c>
      <x:c r="O70" s="36" t="n">
        <x:v>0</x:v>
      </x:c>
      <x:c r="P70" s="43" t="n">
        <x:v>209015808</x:v>
      </x:c>
      <x:c r="Q70" s="43" t="n">
        <x:v>268435456</x:v>
      </x:c>
      <x:c r="R70" s="43" t="n">
        <x:v>448589824</x:v>
      </x:c>
      <x:c r="S70" s="36" t="n">
        <x:v>3</x:v>
      </x:c>
      <x:c r="T70" s="44" t="str">
        <x:v>0x00000000461177b8  0x0000000046003818  0x00007327b8626e30       0         0         0  org.apache.catalina.loader.ParallelWebappClassLoader | 0x00000000461177b8  0x0000000046003818  0x00007327341ba6d0    4863  22736896  22716192  org.apache.catalina.loader.ParallelWebappClassLoader | 0x00000000461177b8  0x0000000046003818  0x0000732724218800    4848  22682624  22664904  org.apache.catalina.loader.ParallelWebappClassLoader</x:v>
      </x:c>
      <x:c r="U70" s="36" t="n">
        <x:v>28</x:v>
      </x:c>
      <x:c r="V70" s="36" t="n">
        <x:v>0</x:v>
      </x:c>
      <x:c r="W70" s="44"/>
      <x:c r="X70" s="36"/>
      <x:c r="Y70" s="36"/>
      <x:c r="Z70" s="44"/>
      <x:c r="AA70" s="49"/>
      <x:c r="AB70" s="43"/>
      <x:c r="AC70" s="34"/>
      <x:c r="AD70" s="34"/>
      <x:c r="AE70" s="34"/>
      <x:c r="AF70" s="34"/>
      <x:c r="AG70" s="34"/>
      <x:c r="AH70" s="34"/>
      <x:c r="AI70" s="34"/>
    </x:row>
    <x:row r="71">
      <x:c r="A71" s="34" t="str">
        <x:v>article1-unified-v4-2-fb3f101b-20260903-000401-default-f01-p2-ehcache</x:v>
      </x:c>
      <x:c r="B71" s="34" t="str">
        <x:v>default</x:v>
      </x:c>
      <x:c r="C71" s="34" t="str">
        <x:v>ehcache</x:v>
      </x:c>
      <x:c r="D71" s="34" t="str">
        <x:v>ehcache</x:v>
      </x:c>
      <x:c r="E71" s="36" t="n">
        <x:v>1</x:v>
      </x:c>
      <x:c r="F71" s="36" t="n">
        <x:v>1</x:v>
      </x:c>
      <x:c r="G71" s="36" t="n">
        <x:v>2</x:v>
      </x:c>
      <x:c r="H71" s="36" t="n">
        <x:v>4</x:v>
      </x:c>
      <x:c r="I71" s="34" t="str">
        <x:v>afterUndeployEarly</x:v>
      </x:c>
      <x:c r="J71" s="34" t="str">
        <x:v>after-undeploy-early</x:v>
      </x:c>
      <x:c r="K71" s="36" t="n">
        <x:v>1</x:v>
      </x:c>
      <x:c r="L71" s="34" t="str">
        <x:v>early</x:v>
      </x:c>
      <x:c r="M71" s="34" t="str">
        <x:v>article1-unified-v4-2-fb3f101b-20260903-000401-default-f01-p2-ehcache-4-after-undeploy-early-2s</x:v>
      </x:c>
      <x:c r="N71" s="38" t="n">
        <x:v>46267.933189814816</x:v>
      </x:c>
      <x:c r="O71" s="36"/>
      <x:c r="P71" s="43"/>
      <x:c r="Q71" s="43"/>
      <x:c r="R71" s="43"/>
      <x:c r="S71" s="36"/>
      <x:c r="T71" s="44"/>
      <x:c r="U71" s="36" t="n">
        <x:v>27</x:v>
      </x:c>
      <x:c r="V71" s="36" t="n">
        <x:v>0</x:v>
      </x:c>
      <x:c r="W71" s="44"/>
      <x:c r="X71" s="36"/>
      <x:c r="Y71" s="36"/>
      <x:c r="Z71" s="44"/>
      <x:c r="AA71" s="49"/>
      <x:c r="AB71" s="43" t="n">
        <x:v>2</x:v>
      </x:c>
      <x:c r="AC71" s="34"/>
      <x:c r="AD71" s="34"/>
      <x:c r="AE71" s="34" t="str">
        <x:v>article1-unified-v4-2-fb3f101b-20260903-000401-default-f01-p2-ehcache-4-after-undeploy-early-2s-thread-dump.txt</x:v>
      </x:c>
      <x:c r="AF71" s="34" t="str">
        <x:v>article1-unified-v4-2-fb3f101b-20260903-000401-default-f01-p2-ehcache-4-after-undeploy-early-tomcat-log.txt</x:v>
      </x:c>
      <x:c r="AG71" s="34"/>
      <x:c r="AH71" s="34"/>
      <x:c r="AI71" s="34"/>
    </x:row>
    <x:row r="72">
      <x:c r="A72" s="34" t="str">
        <x:v>article1-unified-v4-2-fb3f101b-20260903-000401-default-f01-p2-ehcache</x:v>
      </x:c>
      <x:c r="B72" s="34" t="str">
        <x:v>default</x:v>
      </x:c>
      <x:c r="C72" s="34" t="str">
        <x:v>ehcache</x:v>
      </x:c>
      <x:c r="D72" s="34" t="str">
        <x:v>ehcache</x:v>
      </x:c>
      <x:c r="E72" s="36" t="n">
        <x:v>1</x:v>
      </x:c>
      <x:c r="F72" s="36" t="n">
        <x:v>1</x:v>
      </x:c>
      <x:c r="G72" s="36" t="n">
        <x:v>2</x:v>
      </x:c>
      <x:c r="H72" s="36" t="n">
        <x:v>4</x:v>
      </x:c>
      <x:c r="I72" s="34" t="str">
        <x:v>afterUndeploy</x:v>
      </x:c>
      <x:c r="J72" s="34" t="str">
        <x:v>after-undeploy-final</x:v>
      </x:c>
      <x:c r="K72" s="36" t="n">
        <x:v>1</x:v>
      </x:c>
      <x:c r="L72" s="34" t="str">
        <x:v>final</x:v>
      </x:c>
      <x:c r="M72" s="34" t="str">
        <x:v>article1-unified-v4-2-fb3f101b-20260903-000401-default-f01-p2-ehcache-4-after-undeploy-final-10s</x:v>
      </x:c>
      <x:c r="N72" s="38" t="n">
        <x:v>46267.933347025464</x:v>
      </x:c>
      <x:c r="O72" s="36" t="n">
        <x:v>2</x:v>
      </x:c>
      <x:c r="P72" s="43" t="n">
        <x:v>16086016</x:v>
      </x:c>
      <x:c r="Q72" s="43" t="n">
        <x:v>268435456</x:v>
      </x:c>
      <x:c r="R72" s="43" t="n">
        <x:v>427196416</x:v>
      </x:c>
      <x:c r="S72" s="36" t="n">
        <x:v>2</x:v>
      </x:c>
      <x:c r="T72" s="44" t="str">
        <x:v>0x00000000461177b8  0x0000000046003818  0x00007327b8626e30       0         0         0  org.apache.catalina.loader.ParallelWebappClassLoader | 0x00000000461177b8  0x0000000046003818  0x0000732724218800    4858  22731776  22710656  org.apache.catalina.loader.ParallelWebappClassLoader</x:v>
      </x:c>
      <x:c r="U72" s="36" t="n">
        <x:v>27</x:v>
      </x:c>
      <x:c r="V72" s="36" t="n">
        <x:v>0</x:v>
      </x:c>
      <x:c r="W72" s="44"/>
      <x:c r="X72" s="36" t="n">
        <x:v>1</x:v>
      </x:c>
      <x:c r="Y72" s="36" t="n">
        <x:v>1</x:v>
      </x:c>
      <x:c r="Z72" s="44" t="str">
        <x:v>/ehcache</x:v>
      </x:c>
      <x:c r="AA72" s="45" t="b">
        <x:v>1</x:v>
      </x:c>
      <x:c r="AB72" s="43"/>
      <x:c r="AC72" s="34" t="str">
        <x:v>article1-unified-v4-2-fb3f101b-20260903-000401-default-f01-p2-ehcache-4-after-undeploy-final-10s-heap-info.txt</x:v>
      </x:c>
      <x:c r="AD72" s="34" t="str">
        <x:v>article1-unified-v4-2-fb3f101b-20260903-000401-default-f01-p2-ehcache-4-after-undeploy-final-10s-classloader-stats.txt</x:v>
      </x:c>
      <x:c r="AE72" s="34" t="str">
        <x:v>article1-unified-v4-2-fb3f101b-20260903-000401-default-f01-p2-ehcache-4-after-undeploy-final-10s-thread-dump.txt</x:v>
      </x:c>
      <x:c r="AF72" s="34"/>
      <x:c r="AG72" s="34" t="str">
        <x:v>article1-unified-v4-2-fb3f101b-20260903-000401-default-f01-p2-ehcache-4-after-undeploy-final-10s-native-memory.txt</x:v>
      </x:c>
      <x:c r="AH72" s="34" t="str">
        <x:v>article1-unified-v4-2-fb3f101b-20260903-000401-default-f01-p2-ehcache-4-after-undeploy-final-10s-class-histogram.txt</x:v>
      </x:c>
      <x:c r="AI72" s="34" t="str">
        <x:v>article1-unified-v4-2-fb3f101b-20260903-000401-default-f01-p2-ehcache-4-after-undeploy-tomcat-findleaks.txt</x:v>
      </x:c>
    </x:row>
    <x:row r="73">
      <x:c r="A73" s="34" t="str">
        <x:v>article1-unified-v4-2-fb3f101b-20260903-000401-default-f01-p2-ehcache</x:v>
      </x:c>
      <x:c r="B73" s="34" t="str">
        <x:v>default</x:v>
      </x:c>
      <x:c r="C73" s="34" t="str">
        <x:v>ehcache</x:v>
      </x:c>
      <x:c r="D73" s="34" t="str">
        <x:v>ehcache</x:v>
      </x:c>
      <x:c r="E73" s="36" t="n">
        <x:v>1</x:v>
      </x:c>
      <x:c r="F73" s="36" t="n">
        <x:v>1</x:v>
      </x:c>
      <x:c r="G73" s="36" t="n">
        <x:v>2</x:v>
      </x:c>
      <x:c r="H73" s="36" t="n">
        <x:v>4</x:v>
      </x:c>
      <x:c r="I73" s="34" t="str">
        <x:v>redeployedLoaded</x:v>
      </x:c>
      <x:c r="J73" s="34" t="str">
        <x:v>redeployed-loaded</x:v>
      </x:c>
      <x:c r="K73" s="36" t="n">
        <x:v>0</x:v>
      </x:c>
      <x:c r="L73" s="34" t="str">
        <x:v>redeploy</x:v>
      </x:c>
      <x:c r="M73" s="34" t="str">
        <x:v>article1-unified-v4-2-fb3f101b-20260903-000401-default-f01-p2-ehcache-4-redeployed-loaded</x:v>
      </x:c>
      <x:c r="N73" s="38" t="n">
        <x:v>46267.93360178241</x:v>
      </x:c>
      <x:c r="O73" s="36" t="n">
        <x:v>0</x:v>
      </x:c>
      <x:c r="P73" s="43" t="n">
        <x:v>208683008</x:v>
      </x:c>
      <x:c r="Q73" s="43" t="n">
        <x:v>268435456</x:v>
      </x:c>
      <x:c r="R73" s="43" t="n">
        <x:v>449488896</x:v>
      </x:c>
      <x:c r="S73" s="36" t="n">
        <x:v>3</x:v>
      </x:c>
      <x:c r="T73" s="44" t="str">
        <x:v>0x00000000461177b8  0x0000000046003818  0x00007327b8626e30       0         0         0  org.apache.catalina.loader.ParallelWebappClassLoader | 0x00000000461177b8  0x0000000046003818  0x000073271c0cd1f0    4854  22668288  22654032  org.apache.catalina.loader.ParallelWebappClassLoader | 0x00000000461177b8  0x0000000046003818  0x0000732724218800    4858  22731776  22710656  org.apache.catalina.loader.ParallelWebappClassLoader</x:v>
      </x:c>
      <x:c r="U73" s="36" t="n">
        <x:v>28</x:v>
      </x:c>
      <x:c r="V73" s="36" t="n">
        <x:v>0</x:v>
      </x:c>
      <x:c r="W73" s="44"/>
      <x:c r="X73" s="36"/>
      <x:c r="Y73" s="36"/>
      <x:c r="Z73" s="44"/>
      <x:c r="AA73" s="49"/>
      <x:c r="AB73" s="43"/>
      <x:c r="AC73" s="34"/>
      <x:c r="AD73" s="34"/>
      <x:c r="AE73" s="34"/>
      <x:c r="AF73" s="34"/>
      <x:c r="AG73" s="34"/>
      <x:c r="AH73" s="34"/>
      <x:c r="AI73" s="34"/>
    </x:row>
    <x:row r="74">
      <x:c r="A74" s="34" t="str">
        <x:v>article1-unified-v4-2-fb3f101b-20260903-000401-default-f01-p2-ehcache</x:v>
      </x:c>
      <x:c r="B74" s="34" t="str">
        <x:v>default</x:v>
      </x:c>
      <x:c r="C74" s="34" t="str">
        <x:v>ehcache</x:v>
      </x:c>
      <x:c r="D74" s="34" t="str">
        <x:v>ehcache</x:v>
      </x:c>
      <x:c r="E74" s="36" t="n">
        <x:v>1</x:v>
      </x:c>
      <x:c r="F74" s="36" t="n">
        <x:v>1</x:v>
      </x:c>
      <x:c r="G74" s="36" t="n">
        <x:v>2</x:v>
      </x:c>
      <x:c r="H74" s="36" t="n">
        <x:v>4</x:v>
      </x:c>
      <x:c r="I74" s="34" t="str">
        <x:v>afterFinalUndeployEarly</x:v>
      </x:c>
      <x:c r="J74" s="34" t="str">
        <x:v>after-final-undeploy-early</x:v>
      </x:c>
      <x:c r="K74" s="36" t="n">
        <x:v>2</x:v>
      </x:c>
      <x:c r="L74" s="34" t="str">
        <x:v>early</x:v>
      </x:c>
      <x:c r="M74" s="34" t="str">
        <x:v>article1-unified-v4-2-fb3f101b-20260903-000401-default-f01-p2-ehcache-4-after-final-undeploy-early-2s</x:v>
      </x:c>
      <x:c r="N74" s="38" t="n">
        <x:v>46267.93368905093</x:v>
      </x:c>
      <x:c r="O74" s="36"/>
      <x:c r="P74" s="43"/>
      <x:c r="Q74" s="43"/>
      <x:c r="R74" s="43"/>
      <x:c r="S74" s="36"/>
      <x:c r="T74" s="44"/>
      <x:c r="U74" s="36" t="n">
        <x:v>27</x:v>
      </x:c>
      <x:c r="V74" s="36" t="n">
        <x:v>0</x:v>
      </x:c>
      <x:c r="W74" s="44"/>
      <x:c r="X74" s="36"/>
      <x:c r="Y74" s="36"/>
      <x:c r="Z74" s="44"/>
      <x:c r="AA74" s="49"/>
      <x:c r="AB74" s="43" t="n">
        <x:v>2</x:v>
      </x:c>
      <x:c r="AC74" s="34"/>
      <x:c r="AD74" s="34"/>
      <x:c r="AE74" s="34" t="str">
        <x:v>article1-unified-v4-2-fb3f101b-20260903-000401-default-f01-p2-ehcache-4-after-final-undeploy-early-2s-thread-dump.txt</x:v>
      </x:c>
      <x:c r="AF74" s="34" t="str">
        <x:v>article1-unified-v4-2-fb3f101b-20260903-000401-default-f01-p2-ehcache-4-after-final-undeploy-early-tomcat-log.txt</x:v>
      </x:c>
      <x:c r="AG74" s="34"/>
      <x:c r="AH74" s="34"/>
      <x:c r="AI74" s="34"/>
    </x:row>
    <x:row r="75">
      <x:c r="A75" s="34" t="str">
        <x:v>article1-unified-v4-2-fb3f101b-20260903-000401-default-f01-p2-ehcache</x:v>
      </x:c>
      <x:c r="B75" s="34" t="str">
        <x:v>default</x:v>
      </x:c>
      <x:c r="C75" s="34" t="str">
        <x:v>ehcache</x:v>
      </x:c>
      <x:c r="D75" s="34" t="str">
        <x:v>ehcache</x:v>
      </x:c>
      <x:c r="E75" s="36" t="n">
        <x:v>1</x:v>
      </x:c>
      <x:c r="F75" s="36" t="n">
        <x:v>1</x:v>
      </x:c>
      <x:c r="G75" s="36" t="n">
        <x:v>2</x:v>
      </x:c>
      <x:c r="H75" s="36" t="n">
        <x:v>4</x:v>
      </x:c>
      <x:c r="I75" s="34" t="str">
        <x:v>afterFinalUndeploy</x:v>
      </x:c>
      <x:c r="J75" s="34" t="str">
        <x:v>after-final-undeploy-final</x:v>
      </x:c>
      <x:c r="K75" s="36" t="n">
        <x:v>2</x:v>
      </x:c>
      <x:c r="L75" s="34" t="str">
        <x:v>final</x:v>
      </x:c>
      <x:c r="M75" s="34" t="str">
        <x:v>article1-unified-v4-2-fb3f101b-20260903-000401-default-f01-p2-ehcache-4-after-final-undeploy-final-10s</x:v>
      </x:c>
      <x:c r="N75" s="38" t="n">
        <x:v>46267.933843819446</x:v>
      </x:c>
      <x:c r="O75" s="36" t="n">
        <x:v>2</x:v>
      </x:c>
      <x:c r="P75" s="43" t="n">
        <x:v>16107520</x:v>
      </x:c>
      <x:c r="Q75" s="43" t="n">
        <x:v>268435456</x:v>
      </x:c>
      <x:c r="R75" s="43" t="n">
        <x:v>430385152</x:v>
      </x:c>
      <x:c r="S75" s="36" t="n">
        <x:v>2</x:v>
      </x:c>
      <x:c r="T75" s="44" t="str">
        <x:v>0x00000000461177b8  0x0000000046003818  0x00007327b8626e30       0         0         0  org.apache.catalina.loader.ParallelWebappClassLoader | 0x00000000461177b8  0x0000000046003818  0x000073271c0cd1f0    4864  22717440  22699736  org.apache.catalina.loader.ParallelWebappClassLoader</x:v>
      </x:c>
      <x:c r="U75" s="36" t="n">
        <x:v>27</x:v>
      </x:c>
      <x:c r="V75" s="36" t="n">
        <x:v>0</x:v>
      </x:c>
      <x:c r="W75" s="44"/>
      <x:c r="X75" s="36" t="n">
        <x:v>1</x:v>
      </x:c>
      <x:c r="Y75" s="36" t="n">
        <x:v>1</x:v>
      </x:c>
      <x:c r="Z75" s="44" t="str">
        <x:v>/ehcache</x:v>
      </x:c>
      <x:c r="AA75" s="45" t="b">
        <x:v>1</x:v>
      </x:c>
      <x:c r="AB75" s="43"/>
      <x:c r="AC75" s="34" t="str">
        <x:v>article1-unified-v4-2-fb3f101b-20260903-000401-default-f01-p2-ehcache-4-after-final-undeploy-final-10s-heap-info.txt</x:v>
      </x:c>
      <x:c r="AD75" s="34" t="str">
        <x:v>article1-unified-v4-2-fb3f101b-20260903-000401-default-f01-p2-ehcache-4-after-final-undeploy-final-10s-classloader-stats.txt</x:v>
      </x:c>
      <x:c r="AE75" s="34" t="str">
        <x:v>article1-unified-v4-2-fb3f101b-20260903-000401-default-f01-p2-ehcache-4-after-final-undeploy-final-10s-thread-dump.txt</x:v>
      </x:c>
      <x:c r="AF75" s="34"/>
      <x:c r="AG75" s="34" t="str">
        <x:v>article1-unified-v4-2-fb3f101b-20260903-000401-default-f01-p2-ehcache-4-after-final-undeploy-final-10s-native-memory.txt</x:v>
      </x:c>
      <x:c r="AH75" s="34" t="str">
        <x:v>article1-unified-v4-2-fb3f101b-20260903-000401-default-f01-p2-ehcache-4-after-final-undeploy-final-10s-class-histogram.txt</x:v>
      </x:c>
      <x:c r="AI75" s="34" t="str">
        <x:v>article1-unified-v4-2-fb3f101b-20260903-000401-default-f01-p2-ehcache-4-after-final-undeploy-tomcat-findleaks.txt</x:v>
      </x:c>
    </x:row>
    <x:row r="76">
      <x:c r="A76" s="34" t="str">
        <x:v>article1-unified-v4-2-fb3f101b-20260903-000401-default-f01-p2-ehcache</x:v>
      </x:c>
      <x:c r="B76" s="34" t="str">
        <x:v>default</x:v>
      </x:c>
      <x:c r="C76" s="34" t="str">
        <x:v>ehcache</x:v>
      </x:c>
      <x:c r="D76" s="34" t="str">
        <x:v>ehcache</x:v>
      </x:c>
      <x:c r="E76" s="36" t="n">
        <x:v>1</x:v>
      </x:c>
      <x:c r="F76" s="36" t="n">
        <x:v>1</x:v>
      </x:c>
      <x:c r="G76" s="36" t="n">
        <x:v>2</x:v>
      </x:c>
      <x:c r="H76" s="36" t="n">
        <x:v>5</x:v>
      </x:c>
      <x:c r="I76" s="34" t="str">
        <x:v>baseline</x:v>
      </x:c>
      <x:c r="J76" s="34" t="str">
        <x:v>cycle-baseline</x:v>
      </x:c>
      <x:c r="K76" s="36" t="n">
        <x:v>0</x:v>
      </x:c>
      <x:c r="L76" s="34" t="str">
        <x:v>baseline</x:v>
      </x:c>
      <x:c r="M76" s="34" t="str">
        <x:v>article1-unified-v4-2-fb3f101b-20260903-000401-default-f01-p2-ehcache-5-baseline</x:v>
      </x:c>
      <x:c r="N76" s="38" t="n">
        <x:v>46267.93388375</x:v>
      </x:c>
      <x:c r="O76" s="36" t="n">
        <x:v>0</x:v>
      </x:c>
      <x:c r="P76" s="43" t="n">
        <x:v>16109568</x:v>
      </x:c>
      <x:c r="Q76" s="43" t="n">
        <x:v>268435456</x:v>
      </x:c>
      <x:c r="R76" s="43" t="n">
        <x:v>430385152</x:v>
      </x:c>
      <x:c r="S76" s="36" t="n">
        <x:v>2</x:v>
      </x:c>
      <x:c r="T76" s="44" t="str">
        <x:v>0x00000000461177b8  0x0000000046003818  0x00007327b8626e30       0         0         0  org.apache.catalina.loader.ParallelWebappClassLoader | 0x00000000461177b8  0x0000000046003818  0x000073271c0cd1f0    4864  22717440  22699736  org.apache.catalina.loader.ParallelWebappClassLoader</x:v>
      </x:c>
      <x:c r="U76" s="36" t="n">
        <x:v>27</x:v>
      </x:c>
      <x:c r="V76" s="36" t="n">
        <x:v>0</x:v>
      </x:c>
      <x:c r="W76" s="44"/>
      <x:c r="X76" s="36"/>
      <x:c r="Y76" s="36"/>
      <x:c r="Z76" s="44"/>
      <x:c r="AA76" s="49"/>
      <x:c r="AB76" s="43"/>
      <x:c r="AC76" s="34" t="str">
        <x:v>article1-unified-v4-2-fb3f101b-20260903-000401-default-f01-p2-ehcache-5-baseline-heap-info.txt</x:v>
      </x:c>
      <x:c r="AD76" s="34" t="str">
        <x:v>article1-unified-v4-2-fb3f101b-20260903-000401-default-f01-p2-ehcache-5-baseline-classloader-stats.txt</x:v>
      </x:c>
      <x:c r="AE76" s="34" t="str">
        <x:v>article1-unified-v4-2-fb3f101b-20260903-000401-default-f01-p2-ehcache-5-baseline-thread-dump.txt</x:v>
      </x:c>
      <x:c r="AF76" s="34"/>
      <x:c r="AG76" s="34" t="str">
        <x:v>article1-unified-v4-2-fb3f101b-20260903-000401-default-f01-p2-ehcache-5-baseline-native-memory.txt</x:v>
      </x:c>
      <x:c r="AH76" s="34"/>
      <x:c r="AI76" s="34"/>
    </x:row>
    <x:row r="77">
      <x:c r="A77" s="34" t="str">
        <x:v>article1-unified-v4-2-fb3f101b-20260903-000401-default-f01-p2-ehcache</x:v>
      </x:c>
      <x:c r="B77" s="34" t="str">
        <x:v>default</x:v>
      </x:c>
      <x:c r="C77" s="34" t="str">
        <x:v>ehcache</x:v>
      </x:c>
      <x:c r="D77" s="34" t="str">
        <x:v>ehcache</x:v>
      </x:c>
      <x:c r="E77" s="36" t="n">
        <x:v>1</x:v>
      </x:c>
      <x:c r="F77" s="36" t="n">
        <x:v>1</x:v>
      </x:c>
      <x:c r="G77" s="36" t="n">
        <x:v>2</x:v>
      </x:c>
      <x:c r="H77" s="36" t="n">
        <x:v>5</x:v>
      </x:c>
      <x:c r="I77" s="34" t="str">
        <x:v>deployedIdle</x:v>
      </x:c>
      <x:c r="J77" s="34" t="str">
        <x:v>deployed-idle</x:v>
      </x:c>
      <x:c r="K77" s="36" t="n">
        <x:v>0</x:v>
      </x:c>
      <x:c r="L77" s="34" t="str">
        <x:v>initial</x:v>
      </x:c>
      <x:c r="M77" s="34" t="str">
        <x:v>article1-unified-v4-2-fb3f101b-20260903-000401-default-f01-p2-ehcache-5-deployed-idle</x:v>
      </x:c>
      <x:c r="N77" s="38" t="n">
        <x:v>46267.93398314815</x:v>
      </x:c>
      <x:c r="O77" s="36" t="n">
        <x:v>0</x:v>
      </x:c>
      <x:c r="P77" s="43" t="n">
        <x:v>166038528</x:v>
      </x:c>
      <x:c r="Q77" s="43" t="n">
        <x:v>268435456</x:v>
      </x:c>
      <x:c r="R77" s="43" t="n">
        <x:v>466369536</x:v>
      </x:c>
      <x:c r="S77" s="36" t="n">
        <x:v>3</x:v>
      </x:c>
      <x:c r="T77" s="44" t="str">
        <x:v>0x00000000461177b8  0x0000000046003818  0x000073271083ca70    4091  19446784  19432392  org.apache.catalina.loader.ParallelWebappClassLoader | 0x00000000461177b8  0x0000000046003818  0x00007327b8626e30       0         0         0  org.apache.catalina.loader.ParallelWebappClassLoader | 0x00000000461177b8  0x0000000046003818  0x000073271c0cd1f0    4864  22717440  22699736  org.apache.catalina.loader.ParallelWebappClassLoader</x:v>
      </x:c>
      <x:c r="U77" s="36" t="n">
        <x:v>27</x:v>
      </x:c>
      <x:c r="V77" s="36" t="n">
        <x:v>0</x:v>
      </x:c>
      <x:c r="W77" s="44"/>
      <x:c r="X77" s="36"/>
      <x:c r="Y77" s="36"/>
      <x:c r="Z77" s="44"/>
      <x:c r="AA77" s="49"/>
      <x:c r="AB77" s="43"/>
      <x:c r="AC77" s="34"/>
      <x:c r="AD77" s="34"/>
      <x:c r="AE77" s="34"/>
      <x:c r="AF77" s="34"/>
      <x:c r="AG77" s="34"/>
      <x:c r="AH77" s="34"/>
      <x:c r="AI77" s="34"/>
    </x:row>
    <x:row r="78">
      <x:c r="A78" s="34" t="str">
        <x:v>article1-unified-v4-2-fb3f101b-20260903-000401-default-f01-p2-ehcache</x:v>
      </x:c>
      <x:c r="B78" s="34" t="str">
        <x:v>default</x:v>
      </x:c>
      <x:c r="C78" s="34" t="str">
        <x:v>ehcache</x:v>
      </x:c>
      <x:c r="D78" s="34" t="str">
        <x:v>ehcache</x:v>
      </x:c>
      <x:c r="E78" s="36" t="n">
        <x:v>1</x:v>
      </x:c>
      <x:c r="F78" s="36" t="n">
        <x:v>1</x:v>
      </x:c>
      <x:c r="G78" s="36" t="n">
        <x:v>2</x:v>
      </x:c>
      <x:c r="H78" s="36" t="n">
        <x:v>5</x:v>
      </x:c>
      <x:c r="I78" s="34" t="str">
        <x:v>loaded</x:v>
      </x:c>
      <x:c r="J78" s="34" t="str">
        <x:v>loaded</x:v>
      </x:c>
      <x:c r="K78" s="36" t="n">
        <x:v>0</x:v>
      </x:c>
      <x:c r="L78" s="34" t="str">
        <x:v>initial</x:v>
      </x:c>
      <x:c r="M78" s="34" t="str">
        <x:v>article1-unified-v4-2-fb3f101b-20260903-000401-default-f01-p2-ehcache-5-loaded</x:v>
      </x:c>
      <x:c r="N78" s="38" t="n">
        <x:v>46267.93413130787</x:v>
      </x:c>
      <x:c r="O78" s="36" t="n">
        <x:v>0</x:v>
      </x:c>
      <x:c r="P78" s="43" t="n">
        <x:v>208844800</x:v>
      </x:c>
      <x:c r="Q78" s="43" t="n">
        <x:v>268435456</x:v>
      </x:c>
      <x:c r="R78" s="43" t="n">
        <x:v>450091008</x:v>
      </x:c>
      <x:c r="S78" s="36" t="n">
        <x:v>3</x:v>
      </x:c>
      <x:c r="T78" s="44" t="str">
        <x:v>0x00000000461177b8  0x0000000046003818  0x00007327b8626e30       0         0         0  org.apache.catalina.loader.ParallelWebappClassLoader | 0x00000000461177b8  0x0000000046003818  0x000073271083ca70    4849  22674432  22659816  org.apache.catalina.loader.ParallelWebappClassLoader | 0x00000000461177b8  0x0000000046003818  0x000073271c0cd1f0    4864  22717440  22699736  org.apache.catalina.loader.ParallelWebappClassLoader</x:v>
      </x:c>
      <x:c r="U78" s="36" t="n">
        <x:v>28</x:v>
      </x:c>
      <x:c r="V78" s="36" t="n">
        <x:v>0</x:v>
      </x:c>
      <x:c r="W78" s="44"/>
      <x:c r="X78" s="36"/>
      <x:c r="Y78" s="36"/>
      <x:c r="Z78" s="44"/>
      <x:c r="AA78" s="49"/>
      <x:c r="AB78" s="43"/>
      <x:c r="AC78" s="34"/>
      <x:c r="AD78" s="34"/>
      <x:c r="AE78" s="34"/>
      <x:c r="AF78" s="34"/>
      <x:c r="AG78" s="34"/>
      <x:c r="AH78" s="34"/>
      <x:c r="AI78" s="34"/>
    </x:row>
    <x:row r="79">
      <x:c r="A79" s="34" t="str">
        <x:v>article1-unified-v4-2-fb3f101b-20260903-000401-default-f01-p2-ehcache</x:v>
      </x:c>
      <x:c r="B79" s="34" t="str">
        <x:v>default</x:v>
      </x:c>
      <x:c r="C79" s="34" t="str">
        <x:v>ehcache</x:v>
      </x:c>
      <x:c r="D79" s="34" t="str">
        <x:v>ehcache</x:v>
      </x:c>
      <x:c r="E79" s="36" t="n">
        <x:v>1</x:v>
      </x:c>
      <x:c r="F79" s="36" t="n">
        <x:v>1</x:v>
      </x:c>
      <x:c r="G79" s="36" t="n">
        <x:v>2</x:v>
      </x:c>
      <x:c r="H79" s="36" t="n">
        <x:v>5</x:v>
      </x:c>
      <x:c r="I79" s="34" t="str">
        <x:v>afterUndeployEarly</x:v>
      </x:c>
      <x:c r="J79" s="34" t="str">
        <x:v>after-undeploy-early</x:v>
      </x:c>
      <x:c r="K79" s="36" t="n">
        <x:v>1</x:v>
      </x:c>
      <x:c r="L79" s="34" t="str">
        <x:v>early</x:v>
      </x:c>
      <x:c r="M79" s="34" t="str">
        <x:v>article1-unified-v4-2-fb3f101b-20260903-000401-default-f01-p2-ehcache-5-after-undeploy-early-2s</x:v>
      </x:c>
      <x:c r="N79" s="38" t="n">
        <x:v>46267.93421353009</x:v>
      </x:c>
      <x:c r="O79" s="36"/>
      <x:c r="P79" s="43"/>
      <x:c r="Q79" s="43"/>
      <x:c r="R79" s="43"/>
      <x:c r="S79" s="36"/>
      <x:c r="T79" s="44"/>
      <x:c r="U79" s="36" t="n">
        <x:v>27</x:v>
      </x:c>
      <x:c r="V79" s="36" t="n">
        <x:v>0</x:v>
      </x:c>
      <x:c r="W79" s="44"/>
      <x:c r="X79" s="36"/>
      <x:c r="Y79" s="36"/>
      <x:c r="Z79" s="44"/>
      <x:c r="AA79" s="49"/>
      <x:c r="AB79" s="43" t="n">
        <x:v>2</x:v>
      </x:c>
      <x:c r="AC79" s="34"/>
      <x:c r="AD79" s="34"/>
      <x:c r="AE79" s="34" t="str">
        <x:v>article1-unified-v4-2-fb3f101b-20260903-000401-default-f01-p2-ehcache-5-after-undeploy-early-2s-thread-dump.txt</x:v>
      </x:c>
      <x:c r="AF79" s="34" t="str">
        <x:v>article1-unified-v4-2-fb3f101b-20260903-000401-default-f01-p2-ehcache-5-after-undeploy-early-tomcat-log.txt</x:v>
      </x:c>
      <x:c r="AG79" s="34"/>
      <x:c r="AH79" s="34"/>
      <x:c r="AI79" s="34"/>
    </x:row>
    <x:row r="80">
      <x:c r="A80" s="34" t="str">
        <x:v>article1-unified-v4-2-fb3f101b-20260903-000401-default-f01-p2-ehcache</x:v>
      </x:c>
      <x:c r="B80" s="34" t="str">
        <x:v>default</x:v>
      </x:c>
      <x:c r="C80" s="34" t="str">
        <x:v>ehcache</x:v>
      </x:c>
      <x:c r="D80" s="34" t="str">
        <x:v>ehcache</x:v>
      </x:c>
      <x:c r="E80" s="36" t="n">
        <x:v>1</x:v>
      </x:c>
      <x:c r="F80" s="36" t="n">
        <x:v>1</x:v>
      </x:c>
      <x:c r="G80" s="36" t="n">
        <x:v>2</x:v>
      </x:c>
      <x:c r="H80" s="36" t="n">
        <x:v>5</x:v>
      </x:c>
      <x:c r="I80" s="34" t="str">
        <x:v>afterUndeploy</x:v>
      </x:c>
      <x:c r="J80" s="34" t="str">
        <x:v>after-undeploy-final</x:v>
      </x:c>
      <x:c r="K80" s="36" t="n">
        <x:v>1</x:v>
      </x:c>
      <x:c r="L80" s="34" t="str">
        <x:v>final</x:v>
      </x:c>
      <x:c r="M80" s="34" t="str">
        <x:v>article1-unified-v4-2-fb3f101b-20260903-000401-default-f01-p2-ehcache-5-after-undeploy-final-10s</x:v>
      </x:c>
      <x:c r="N80" s="38" t="n">
        <x:v>46267.934372083335</x:v>
      </x:c>
      <x:c r="O80" s="36" t="n">
        <x:v>2</x:v>
      </x:c>
      <x:c r="P80" s="43" t="n">
        <x:v>16133120</x:v>
      </x:c>
      <x:c r="Q80" s="43" t="n">
        <x:v>268435456</x:v>
      </x:c>
      <x:c r="R80" s="43" t="n">
        <x:v>429442048</x:v>
      </x:c>
      <x:c r="S80" s="36" t="n">
        <x:v>2</x:v>
      </x:c>
      <x:c r="T80" s="44" t="str">
        <x:v>0x00000000461177b8  0x0000000046003818  0x000073271083ca70    4859  22723584  22705560  org.apache.catalina.loader.ParallelWebappClassLoader | 0x00000000461177b8  0x0000000046003818  0x00007327b8626e30       0         0         0  org.apache.catalina.loader.ParallelWebappClassLoader</x:v>
      </x:c>
      <x:c r="U80" s="36" t="n">
        <x:v>27</x:v>
      </x:c>
      <x:c r="V80" s="36" t="n">
        <x:v>0</x:v>
      </x:c>
      <x:c r="W80" s="44"/>
      <x:c r="X80" s="36" t="n">
        <x:v>1</x:v>
      </x:c>
      <x:c r="Y80" s="36" t="n">
        <x:v>1</x:v>
      </x:c>
      <x:c r="Z80" s="44" t="str">
        <x:v>/ehcache</x:v>
      </x:c>
      <x:c r="AA80" s="45" t="b">
        <x:v>1</x:v>
      </x:c>
      <x:c r="AB80" s="43"/>
      <x:c r="AC80" s="34" t="str">
        <x:v>article1-unified-v4-2-fb3f101b-20260903-000401-default-f01-p2-ehcache-5-after-undeploy-final-10s-heap-info.txt</x:v>
      </x:c>
      <x:c r="AD80" s="34" t="str">
        <x:v>article1-unified-v4-2-fb3f101b-20260903-000401-default-f01-p2-ehcache-5-after-undeploy-final-10s-classloader-stats.txt</x:v>
      </x:c>
      <x:c r="AE80" s="34" t="str">
        <x:v>article1-unified-v4-2-fb3f101b-20260903-000401-default-f01-p2-ehcache-5-after-undeploy-final-10s-thread-dump.txt</x:v>
      </x:c>
      <x:c r="AF80" s="34"/>
      <x:c r="AG80" s="34" t="str">
        <x:v>article1-unified-v4-2-fb3f101b-20260903-000401-default-f01-p2-ehcache-5-after-undeploy-final-10s-native-memory.txt</x:v>
      </x:c>
      <x:c r="AH80" s="34" t="str">
        <x:v>article1-unified-v4-2-fb3f101b-20260903-000401-default-f01-p2-ehcache-5-after-undeploy-final-10s-class-histogram.txt</x:v>
      </x:c>
      <x:c r="AI80" s="34" t="str">
        <x:v>article1-unified-v4-2-fb3f101b-20260903-000401-default-f01-p2-ehcache-5-after-undeploy-tomcat-findleaks.txt</x:v>
      </x:c>
    </x:row>
    <x:row r="81">
      <x:c r="A81" s="34" t="str">
        <x:v>article1-unified-v4-2-fb3f101b-20260903-000401-default-f01-p2-ehcache</x:v>
      </x:c>
      <x:c r="B81" s="34" t="str">
        <x:v>default</x:v>
      </x:c>
      <x:c r="C81" s="34" t="str">
        <x:v>ehcache</x:v>
      </x:c>
      <x:c r="D81" s="34" t="str">
        <x:v>ehcache</x:v>
      </x:c>
      <x:c r="E81" s="36" t="n">
        <x:v>1</x:v>
      </x:c>
      <x:c r="F81" s="36" t="n">
        <x:v>1</x:v>
      </x:c>
      <x:c r="G81" s="36" t="n">
        <x:v>2</x:v>
      </x:c>
      <x:c r="H81" s="36" t="n">
        <x:v>5</x:v>
      </x:c>
      <x:c r="I81" s="34" t="str">
        <x:v>redeployedLoaded</x:v>
      </x:c>
      <x:c r="J81" s="34" t="str">
        <x:v>redeployed-loaded</x:v>
      </x:c>
      <x:c r="K81" s="36" t="n">
        <x:v>0</x:v>
      </x:c>
      <x:c r="L81" s="34" t="str">
        <x:v>redeploy</x:v>
      </x:c>
      <x:c r="M81" s="34" t="str">
        <x:v>article1-unified-v4-2-fb3f101b-20260903-000401-default-f01-p2-ehcache-5-redeployed-loaded</x:v>
      </x:c>
      <x:c r="N81" s="38" t="n">
        <x:v>46267.93463299768</x:v>
      </x:c>
      <x:c r="O81" s="36" t="n">
        <x:v>0</x:v>
      </x:c>
      <x:c r="P81" s="43" t="n">
        <x:v>208675840</x:v>
      </x:c>
      <x:c r="Q81" s="43" t="n">
        <x:v>268435456</x:v>
      </x:c>
      <x:c r="R81" s="43" t="n">
        <x:v>455034880</x:v>
      </x:c>
      <x:c r="S81" s="36" t="n">
        <x:v>3</x:v>
      </x:c>
      <x:c r="T81" s="44" t="str">
        <x:v>0x00000000461177b8  0x0000000046003818  0x000073271083ca70    4859  22723584  22705560  org.apache.catalina.loader.ParallelWebappClassLoader | 0x00000000461177b8  0x0000000046003818  0x00007327b8626e30       0         0         0  org.apache.catalina.loader.ParallelWebappClassLoader | 0x00000000461177b8  0x0000000046003818  0x000073272c219250    4848  22670336  22650392  org.apache.catalina.loader.ParallelWebappClassLoader</x:v>
      </x:c>
      <x:c r="U81" s="36" t="n">
        <x:v>28</x:v>
      </x:c>
      <x:c r="V81" s="36" t="n">
        <x:v>0</x:v>
      </x:c>
      <x:c r="W81" s="44"/>
      <x:c r="X81" s="36"/>
      <x:c r="Y81" s="36"/>
      <x:c r="Z81" s="44"/>
      <x:c r="AA81" s="49"/>
      <x:c r="AB81" s="43"/>
      <x:c r="AC81" s="34"/>
      <x:c r="AD81" s="34"/>
      <x:c r="AE81" s="34"/>
      <x:c r="AF81" s="34"/>
      <x:c r="AG81" s="34"/>
      <x:c r="AH81" s="34"/>
      <x:c r="AI81" s="34"/>
    </x:row>
    <x:row r="82">
      <x:c r="A82" s="34" t="str">
        <x:v>article1-unified-v4-2-fb3f101b-20260903-000401-default-f01-p2-ehcache</x:v>
      </x:c>
      <x:c r="B82" s="34" t="str">
        <x:v>default</x:v>
      </x:c>
      <x:c r="C82" s="34" t="str">
        <x:v>ehcache</x:v>
      </x:c>
      <x:c r="D82" s="34" t="str">
        <x:v>ehcache</x:v>
      </x:c>
      <x:c r="E82" s="36" t="n">
        <x:v>1</x:v>
      </x:c>
      <x:c r="F82" s="36" t="n">
        <x:v>1</x:v>
      </x:c>
      <x:c r="G82" s="36" t="n">
        <x:v>2</x:v>
      </x:c>
      <x:c r="H82" s="36" t="n">
        <x:v>5</x:v>
      </x:c>
      <x:c r="I82" s="34" t="str">
        <x:v>afterFinalUndeployEarly</x:v>
      </x:c>
      <x:c r="J82" s="34" t="str">
        <x:v>after-final-undeploy-early</x:v>
      </x:c>
      <x:c r="K82" s="36" t="n">
        <x:v>2</x:v>
      </x:c>
      <x:c r="L82" s="34" t="str">
        <x:v>early</x:v>
      </x:c>
      <x:c r="M82" s="34" t="str">
        <x:v>article1-unified-v4-2-fb3f101b-20260903-000401-default-f01-p2-ehcache-5-after-final-undeploy-early-2s</x:v>
      </x:c>
      <x:c r="N82" s="38" t="n">
        <x:v>46267.934717592594</x:v>
      </x:c>
      <x:c r="O82" s="36"/>
      <x:c r="P82" s="43"/>
      <x:c r="Q82" s="43"/>
      <x:c r="R82" s="43"/>
      <x:c r="S82" s="36"/>
      <x:c r="T82" s="44"/>
      <x:c r="U82" s="36" t="n">
        <x:v>27</x:v>
      </x:c>
      <x:c r="V82" s="36" t="n">
        <x:v>0</x:v>
      </x:c>
      <x:c r="W82" s="44"/>
      <x:c r="X82" s="36"/>
      <x:c r="Y82" s="36"/>
      <x:c r="Z82" s="44"/>
      <x:c r="AA82" s="49"/>
      <x:c r="AB82" s="43" t="n">
        <x:v>2</x:v>
      </x:c>
      <x:c r="AC82" s="34"/>
      <x:c r="AD82" s="34"/>
      <x:c r="AE82" s="34" t="str">
        <x:v>article1-unified-v4-2-fb3f101b-20260903-000401-default-f01-p2-ehcache-5-after-final-undeploy-early-2s-thread-dump.txt</x:v>
      </x:c>
      <x:c r="AF82" s="34" t="str">
        <x:v>article1-unified-v4-2-fb3f101b-20260903-000401-default-f01-p2-ehcache-5-after-final-undeploy-early-tomcat-log.txt</x:v>
      </x:c>
      <x:c r="AG82" s="34"/>
      <x:c r="AH82" s="34"/>
      <x:c r="AI82" s="34"/>
    </x:row>
    <x:row r="83">
      <x:c r="A83" s="34" t="str">
        <x:v>article1-unified-v4-2-fb3f101b-20260903-000401-default-f01-p2-ehcache</x:v>
      </x:c>
      <x:c r="B83" s="34" t="str">
        <x:v>default</x:v>
      </x:c>
      <x:c r="C83" s="34" t="str">
        <x:v>ehcache</x:v>
      </x:c>
      <x:c r="D83" s="34" t="str">
        <x:v>ehcache</x:v>
      </x:c>
      <x:c r="E83" s="36" t="n">
        <x:v>1</x:v>
      </x:c>
      <x:c r="F83" s="36" t="n">
        <x:v>1</x:v>
      </x:c>
      <x:c r="G83" s="36" t="n">
        <x:v>2</x:v>
      </x:c>
      <x:c r="H83" s="36" t="n">
        <x:v>5</x:v>
      </x:c>
      <x:c r="I83" s="34" t="str">
        <x:v>afterFinalUndeploy</x:v>
      </x:c>
      <x:c r="J83" s="34" t="str">
        <x:v>after-final-undeploy-final</x:v>
      </x:c>
      <x:c r="K83" s="36" t="n">
        <x:v>2</x:v>
      </x:c>
      <x:c r="L83" s="34" t="str">
        <x:v>final</x:v>
      </x:c>
      <x:c r="M83" s="34" t="str">
        <x:v>article1-unified-v4-2-fb3f101b-20260903-000401-default-f01-p2-ehcache-5-after-final-undeploy-final-10s</x:v>
      </x:c>
      <x:c r="N83" s="38" t="n">
        <x:v>46267.93487614583</x:v>
      </x:c>
      <x:c r="O83" s="36" t="n">
        <x:v>2</x:v>
      </x:c>
      <x:c r="P83" s="43" t="n">
        <x:v>16139264</x:v>
      </x:c>
      <x:c r="Q83" s="43" t="n">
        <x:v>268435456</x:v>
      </x:c>
      <x:c r="R83" s="43" t="n">
        <x:v>431777792</x:v>
      </x:c>
      <x:c r="S83" s="36" t="n">
        <x:v>2</x:v>
      </x:c>
      <x:c r="T83" s="44" t="str">
        <x:v>0x00000000461177b8  0x0000000046003818  0x000073272c219250    4858  22703104  22696144  org.apache.catalina.loader.ParallelWebappClassLoader | 0x00000000461177b8  0x0000000046003818  0x00007327b8626e30       0         0         0  org.apache.catalina.loader.ParallelWebappClassLoader</x:v>
      </x:c>
      <x:c r="U83" s="36" t="n">
        <x:v>27</x:v>
      </x:c>
      <x:c r="V83" s="36" t="n">
        <x:v>0</x:v>
      </x:c>
      <x:c r="W83" s="44"/>
      <x:c r="X83" s="36" t="n">
        <x:v>1</x:v>
      </x:c>
      <x:c r="Y83" s="36" t="n">
        <x:v>1</x:v>
      </x:c>
      <x:c r="Z83" s="44" t="str">
        <x:v>/ehcache</x:v>
      </x:c>
      <x:c r="AA83" s="45" t="b">
        <x:v>1</x:v>
      </x:c>
      <x:c r="AB83" s="43"/>
      <x:c r="AC83" s="34" t="str">
        <x:v>article1-unified-v4-2-fb3f101b-20260903-000401-default-f01-p2-ehcache-5-after-final-undeploy-final-10s-heap-info.txt</x:v>
      </x:c>
      <x:c r="AD83" s="34" t="str">
        <x:v>article1-unified-v4-2-fb3f101b-20260903-000401-default-f01-p2-ehcache-5-after-final-undeploy-final-10s-classloader-stats.txt</x:v>
      </x:c>
      <x:c r="AE83" s="34" t="str">
        <x:v>article1-unified-v4-2-fb3f101b-20260903-000401-default-f01-p2-ehcache-5-after-final-undeploy-final-10s-thread-dump.txt</x:v>
      </x:c>
      <x:c r="AF83" s="34"/>
      <x:c r="AG83" s="34" t="str">
        <x:v>article1-unified-v4-2-fb3f101b-20260903-000401-default-f01-p2-ehcache-5-after-final-undeploy-final-10s-native-memory.txt</x:v>
      </x:c>
      <x:c r="AH83" s="34" t="str">
        <x:v>article1-unified-v4-2-fb3f101b-20260903-000401-default-f01-p2-ehcache-5-after-final-undeploy-final-10s-class-histogram.txt</x:v>
      </x:c>
      <x:c r="AI83" s="34" t="str">
        <x:v>article1-unified-v4-2-fb3f101b-20260903-000401-default-f01-p2-ehcache-5-after-final-undeploy-tomcat-findleaks.txt</x:v>
      </x:c>
    </x:row>
    <x:row r="84">
      <x:c r="A84" s="34" t="str">
        <x:v>article1-unified-v4-2-fb3f101b-20260903-000401-default-f01-p3-nostore</x:v>
      </x:c>
      <x:c r="B84" s="34" t="str">
        <x:v>default</x:v>
      </x:c>
      <x:c r="C84" s="34" t="str">
        <x:v>nostore</x:v>
      </x:c>
      <x:c r="D84" s="34" t="str">
        <x:v>nostore</x:v>
      </x:c>
      <x:c r="E84" s="36" t="n">
        <x:v>1</x:v>
      </x:c>
      <x:c r="F84" s="36" t="n">
        <x:v>1</x:v>
      </x:c>
      <x:c r="G84" s="36" t="n">
        <x:v>3</x:v>
      </x:c>
      <x:c r="H84" s="36" t="n">
        <x:v>0</x:v>
      </x:c>
      <x:c r="I84" s="34" t="str">
        <x:v>processBaseline</x:v>
      </x:c>
      <x:c r="J84" s="34" t="str">
        <x:v>process-baseline</x:v>
      </x:c>
      <x:c r="K84" s="36" t="n">
        <x:v>0</x:v>
      </x:c>
      <x:c r="L84" s="34" t="str">
        <x:v>baseline</x:v>
      </x:c>
      <x:c r="M84" s="34" t="str">
        <x:v>article1-unified-v4-2-fb3f101b-20260903-000401-default-f01-p3-nostore-process-baseline</x:v>
      </x:c>
      <x:c r="N84" s="38" t="n">
        <x:v>46267.93511675926</x:v>
      </x:c>
      <x:c r="O84" s="36" t="n">
        <x:v>0</x:v>
      </x:c>
      <x:c r="P84" s="43" t="n">
        <x:v>32915456</x:v>
      </x:c>
      <x:c r="Q84" s="43" t="n">
        <x:v>270532608</x:v>
      </x:c>
      <x:c r="R84" s="43" t="n">
        <x:v>369250304</x:v>
      </x:c>
      <x:c r="S84" s="36" t="n">
        <x:v>1</x:v>
      </x:c>
      <x:c r="T84" s="44" t="str">
        <x:v>0x00000000181177b8  0x0000000018003818  0x0000774f686534c0       0         0         0  org.apache.catalina.loader.ParallelWebappClassLoader</x:v>
      </x:c>
      <x:c r="U84" s="36" t="n">
        <x:v>27</x:v>
      </x:c>
      <x:c r="V84" s="36" t="n">
        <x:v>0</x:v>
      </x:c>
      <x:c r="W84" s="44"/>
      <x:c r="X84" s="36"/>
      <x:c r="Y84" s="36"/>
      <x:c r="Z84" s="44"/>
      <x:c r="AA84" s="49"/>
      <x:c r="AB84" s="43"/>
      <x:c r="AC84" s="34" t="str">
        <x:v>article1-unified-v4-2-fb3f101b-20260903-000401-default-f01-p3-nostore-process-baseline-heap-info.txt</x:v>
      </x:c>
      <x:c r="AD84" s="34" t="str">
        <x:v>article1-unified-v4-2-fb3f101b-20260903-000401-default-f01-p3-nostore-process-baseline-classloader-stats.txt</x:v>
      </x:c>
      <x:c r="AE84" s="34" t="str">
        <x:v>article1-unified-v4-2-fb3f101b-20260903-000401-default-f01-p3-nostore-process-baseline-thread-dump.txt</x:v>
      </x:c>
      <x:c r="AF84" s="34"/>
      <x:c r="AG84" s="34" t="str">
        <x:v>article1-unified-v4-2-fb3f101b-20260903-000401-default-f01-p3-nostore-process-baseline-native-memory.txt</x:v>
      </x:c>
      <x:c r="AH84" s="34"/>
      <x:c r="AI84" s="34"/>
    </x:row>
    <x:row r="85">
      <x:c r="A85" s="34" t="str">
        <x:v>article1-unified-v4-2-fb3f101b-20260903-000401-default-f01-p3-nostore</x:v>
      </x:c>
      <x:c r="B85" s="34" t="str">
        <x:v>default</x:v>
      </x:c>
      <x:c r="C85" s="34" t="str">
        <x:v>nostore</x:v>
      </x:c>
      <x:c r="D85" s="34" t="str">
        <x:v>nostore</x:v>
      </x:c>
      <x:c r="E85" s="36" t="n">
        <x:v>1</x:v>
      </x:c>
      <x:c r="F85" s="36" t="n">
        <x:v>1</x:v>
      </x:c>
      <x:c r="G85" s="36" t="n">
        <x:v>3</x:v>
      </x:c>
      <x:c r="H85" s="36" t="n">
        <x:v>1</x:v>
      </x:c>
      <x:c r="I85" s="34" t="str">
        <x:v>baseline</x:v>
      </x:c>
      <x:c r="J85" s="34" t="str">
        <x:v>cycle-baseline</x:v>
      </x:c>
      <x:c r="K85" s="36" t="n">
        <x:v>0</x:v>
      </x:c>
      <x:c r="L85" s="34" t="str">
        <x:v>baseline</x:v>
      </x:c>
      <x:c r="M85" s="34" t="str">
        <x:v>article1-unified-v4-2-fb3f101b-20260903-000401-default-f01-p3-nostore-1-baseline</x:v>
      </x:c>
      <x:c r="N85" s="38" t="n">
        <x:v>46267.935320752316</x:v>
      </x:c>
      <x:c r="O85" s="36" t="n">
        <x:v>0</x:v>
      </x:c>
      <x:c r="P85" s="43" t="n">
        <x:v>32915456</x:v>
      </x:c>
      <x:c r="Q85" s="43" t="n">
        <x:v>270532608</x:v>
      </x:c>
      <x:c r="R85" s="43" t="n">
        <x:v>369246208</x:v>
      </x:c>
      <x:c r="S85" s="36" t="n">
        <x:v>1</x:v>
      </x:c>
      <x:c r="T85" s="44" t="str">
        <x:v>0x00000000181177b8  0x0000000018003818  0x0000774f686534c0       0         0         0  org.apache.catalina.loader.ParallelWebappClassLoader</x:v>
      </x:c>
      <x:c r="U85" s="36" t="n">
        <x:v>27</x:v>
      </x:c>
      <x:c r="V85" s="36" t="n">
        <x:v>0</x:v>
      </x:c>
      <x:c r="W85" s="44"/>
      <x:c r="X85" s="36"/>
      <x:c r="Y85" s="36"/>
      <x:c r="Z85" s="44"/>
      <x:c r="AA85" s="49"/>
      <x:c r="AB85" s="43"/>
      <x:c r="AC85" s="34" t="str">
        <x:v>article1-unified-v4-2-fb3f101b-20260903-000401-default-f01-p3-nostore-1-baseline-heap-info.txt</x:v>
      </x:c>
      <x:c r="AD85" s="34" t="str">
        <x:v>article1-unified-v4-2-fb3f101b-20260903-000401-default-f01-p3-nostore-1-baseline-classloader-stats.txt</x:v>
      </x:c>
      <x:c r="AE85" s="34" t="str">
        <x:v>article1-unified-v4-2-fb3f101b-20260903-000401-default-f01-p3-nostore-1-baseline-thread-dump.txt</x:v>
      </x:c>
      <x:c r="AF85" s="34"/>
      <x:c r="AG85" s="34" t="str">
        <x:v>article1-unified-v4-2-fb3f101b-20260903-000401-default-f01-p3-nostore-1-baseline-native-memory.txt</x:v>
      </x:c>
      <x:c r="AH85" s="34"/>
      <x:c r="AI85" s="34"/>
    </x:row>
    <x:row r="86">
      <x:c r="A86" s="34" t="str">
        <x:v>article1-unified-v4-2-fb3f101b-20260903-000401-default-f01-p3-nostore</x:v>
      </x:c>
      <x:c r="B86" s="34" t="str">
        <x:v>default</x:v>
      </x:c>
      <x:c r="C86" s="34" t="str">
        <x:v>nostore</x:v>
      </x:c>
      <x:c r="D86" s="34" t="str">
        <x:v>nostore</x:v>
      </x:c>
      <x:c r="E86" s="36" t="n">
        <x:v>1</x:v>
      </x:c>
      <x:c r="F86" s="36" t="n">
        <x:v>1</x:v>
      </x:c>
      <x:c r="G86" s="36" t="n">
        <x:v>3</x:v>
      </x:c>
      <x:c r="H86" s="36" t="n">
        <x:v>1</x:v>
      </x:c>
      <x:c r="I86" s="34" t="str">
        <x:v>deployedIdle</x:v>
      </x:c>
      <x:c r="J86" s="34" t="str">
        <x:v>deployed-idle</x:v>
      </x:c>
      <x:c r="K86" s="36" t="n">
        <x:v>0</x:v>
      </x:c>
      <x:c r="L86" s="34" t="str">
        <x:v>initial</x:v>
      </x:c>
      <x:c r="M86" s="34" t="str">
        <x:v>article1-unified-v4-2-fb3f101b-20260903-000401-default-f01-p3-nostore-1-deployed-idle</x:v>
      </x:c>
      <x:c r="N86" s="38" t="n">
        <x:v>46267.93543707176</x:v>
      </x:c>
      <x:c r="O86" s="36" t="n">
        <x:v>0</x:v>
      </x:c>
      <x:c r="P86" s="43" t="n">
        <x:v>23591936</x:v>
      </x:c>
      <x:c r="Q86" s="43" t="n">
        <x:v>268435456</x:v>
      </x:c>
      <x:c r="R86" s="43" t="n">
        <x:v>407896064</x:v>
      </x:c>
      <x:c r="S86" s="36" t="n">
        <x:v>2</x:v>
      </x:c>
      <x:c r="T86" s="44" t="str">
        <x:v>0x00000000181177b8  0x0000000018003818  0x0000774f686534c0       0         0         0  org.apache.catalina.loader.ParallelWebappClassLoader | 0x00000000181177b8  0x0000000018003818  0x0000774ec00451d0    4091  19419136  19406032  org.apache.catalina.loader.ParallelWebappClassLoader</x:v>
      </x:c>
      <x:c r="U86" s="36" t="n">
        <x:v>27</x:v>
      </x:c>
      <x:c r="V86" s="36" t="n">
        <x:v>0</x:v>
      </x:c>
      <x:c r="W86" s="44"/>
      <x:c r="X86" s="36"/>
      <x:c r="Y86" s="36"/>
      <x:c r="Z86" s="44"/>
      <x:c r="AA86" s="49"/>
      <x:c r="AB86" s="43"/>
      <x:c r="AC86" s="34"/>
      <x:c r="AD86" s="34"/>
      <x:c r="AE86" s="34"/>
      <x:c r="AF86" s="34"/>
      <x:c r="AG86" s="34"/>
      <x:c r="AH86" s="34"/>
      <x:c r="AI86" s="34"/>
    </x:row>
    <x:row r="87">
      <x:c r="A87" s="34" t="str">
        <x:v>article1-unified-v4-2-fb3f101b-20260903-000401-default-f01-p3-nostore</x:v>
      </x:c>
      <x:c r="B87" s="34" t="str">
        <x:v>default</x:v>
      </x:c>
      <x:c r="C87" s="34" t="str">
        <x:v>nostore</x:v>
      </x:c>
      <x:c r="D87" s="34" t="str">
        <x:v>nostore</x:v>
      </x:c>
      <x:c r="E87" s="36" t="n">
        <x:v>1</x:v>
      </x:c>
      <x:c r="F87" s="36" t="n">
        <x:v>1</x:v>
      </x:c>
      <x:c r="G87" s="36" t="n">
        <x:v>3</x:v>
      </x:c>
      <x:c r="H87" s="36" t="n">
        <x:v>1</x:v>
      </x:c>
      <x:c r="I87" s="34" t="str">
        <x:v>loaded</x:v>
      </x:c>
      <x:c r="J87" s="34" t="str">
        <x:v>loaded</x:v>
      </x:c>
      <x:c r="K87" s="36" t="n">
        <x:v>0</x:v>
      </x:c>
      <x:c r="L87" s="34" t="str">
        <x:v>initial</x:v>
      </x:c>
      <x:c r="M87" s="34" t="str">
        <x:v>article1-unified-v4-2-fb3f101b-20260903-000401-default-f01-p3-nostore-1-loaded</x:v>
      </x:c>
      <x:c r="N87" s="38" t="n">
        <x:v>46267.93559739583</x:v>
      </x:c>
      <x:c r="O87" s="36" t="n">
        <x:v>0</x:v>
      </x:c>
      <x:c r="P87" s="43" t="n">
        <x:v>109332480</x:v>
      </x:c>
      <x:c r="Q87" s="43" t="n">
        <x:v>481296384</x:v>
      </x:c>
      <x:c r="R87" s="43" t="n">
        <x:v>642476032</x:v>
      </x:c>
      <x:c r="S87" s="36" t="n">
        <x:v>2</x:v>
      </x:c>
      <x:c r="T87" s="44" t="str">
        <x:v>0x00000000181177b8  0x0000000018003818  0x0000774ec00451d0    4295  20438016  20427456  org.apache.catalina.loader.ParallelWebappClassLoader | 0x00000000181177b8  0x0000000018003818  0x0000774f686534c0       0         0         0  org.apache.catalina.loader.ParallelWebappClassLoader</x:v>
      </x:c>
      <x:c r="U87" s="36" t="n">
        <x:v>27</x:v>
      </x:c>
      <x:c r="V87" s="36" t="n">
        <x:v>0</x:v>
      </x:c>
      <x:c r="W87" s="44"/>
      <x:c r="X87" s="36"/>
      <x:c r="Y87" s="36"/>
      <x:c r="Z87" s="44"/>
      <x:c r="AA87" s="49"/>
      <x:c r="AB87" s="43"/>
      <x:c r="AC87" s="34"/>
      <x:c r="AD87" s="34"/>
      <x:c r="AE87" s="34"/>
      <x:c r="AF87" s="34"/>
      <x:c r="AG87" s="34"/>
      <x:c r="AH87" s="34"/>
      <x:c r="AI87" s="34"/>
    </x:row>
    <x:row r="88">
      <x:c r="A88" s="34" t="str">
        <x:v>article1-unified-v4-2-fb3f101b-20260903-000401-default-f01-p3-nostore</x:v>
      </x:c>
      <x:c r="B88" s="34" t="str">
        <x:v>default</x:v>
      </x:c>
      <x:c r="C88" s="34" t="str">
        <x:v>nostore</x:v>
      </x:c>
      <x:c r="D88" s="34" t="str">
        <x:v>nostore</x:v>
      </x:c>
      <x:c r="E88" s="36" t="n">
        <x:v>1</x:v>
      </x:c>
      <x:c r="F88" s="36" t="n">
        <x:v>1</x:v>
      </x:c>
      <x:c r="G88" s="36" t="n">
        <x:v>3</x:v>
      </x:c>
      <x:c r="H88" s="36" t="n">
        <x:v>1</x:v>
      </x:c>
      <x:c r="I88" s="34" t="str">
        <x:v>afterUndeployEarly</x:v>
      </x:c>
      <x:c r="J88" s="34" t="str">
        <x:v>after-undeploy-early</x:v>
      </x:c>
      <x:c r="K88" s="36" t="n">
        <x:v>1</x:v>
      </x:c>
      <x:c r="L88" s="34" t="str">
        <x:v>early</x:v>
      </x:c>
      <x:c r="M88" s="34" t="str">
        <x:v>article1-unified-v4-2-fb3f101b-20260903-000401-default-f01-p3-nostore-1-after-undeploy-early-2s</x:v>
      </x:c>
      <x:c r="N88" s="38" t="n">
        <x:v>46267.93568106482</x:v>
      </x:c>
      <x:c r="O88" s="36"/>
      <x:c r="P88" s="43"/>
      <x:c r="Q88" s="43"/>
      <x:c r="R88" s="43"/>
      <x:c r="S88" s="36"/>
      <x:c r="T88" s="44"/>
      <x:c r="U88" s="36" t="n">
        <x:v>27</x:v>
      </x:c>
      <x:c r="V88" s="36" t="n">
        <x:v>0</x:v>
      </x:c>
      <x:c r="W88" s="44"/>
      <x:c r="X88" s="36"/>
      <x:c r="Y88" s="36"/>
      <x:c r="Z88" s="44"/>
      <x:c r="AA88" s="49"/>
      <x:c r="AB88" s="43" t="n">
        <x:v>1</x:v>
      </x:c>
      <x:c r="AC88" s="34"/>
      <x:c r="AD88" s="34"/>
      <x:c r="AE88" s="34" t="str">
        <x:v>article1-unified-v4-2-fb3f101b-20260903-000401-default-f01-p3-nostore-1-after-undeploy-early-2s-thread-dump.txt</x:v>
      </x:c>
      <x:c r="AF88" s="34" t="str">
        <x:v>article1-unified-v4-2-fb3f101b-20260903-000401-default-f01-p3-nostore-1-after-undeploy-early-tomcat-log.txt</x:v>
      </x:c>
      <x:c r="AG88" s="34"/>
      <x:c r="AH88" s="34"/>
      <x:c r="AI88" s="34"/>
    </x:row>
    <x:row r="89">
      <x:c r="A89" s="34" t="str">
        <x:v>article1-unified-v4-2-fb3f101b-20260903-000401-default-f01-p3-nostore</x:v>
      </x:c>
      <x:c r="B89" s="34" t="str">
        <x:v>default</x:v>
      </x:c>
      <x:c r="C89" s="34" t="str">
        <x:v>nostore</x:v>
      </x:c>
      <x:c r="D89" s="34" t="str">
        <x:v>nostore</x:v>
      </x:c>
      <x:c r="E89" s="36" t="n">
        <x:v>1</x:v>
      </x:c>
      <x:c r="F89" s="36" t="n">
        <x:v>1</x:v>
      </x:c>
      <x:c r="G89" s="36" t="n">
        <x:v>3</x:v>
      </x:c>
      <x:c r="H89" s="36" t="n">
        <x:v>1</x:v>
      </x:c>
      <x:c r="I89" s="34" t="str">
        <x:v>afterUndeploy</x:v>
      </x:c>
      <x:c r="J89" s="34" t="str">
        <x:v>after-undeploy-final</x:v>
      </x:c>
      <x:c r="K89" s="36" t="n">
        <x:v>1</x:v>
      </x:c>
      <x:c r="L89" s="34" t="str">
        <x:v>final</x:v>
      </x:c>
      <x:c r="M89" s="34" t="str">
        <x:v>article1-unified-v4-2-fb3f101b-20260903-000401-default-f01-p3-nostore-1-after-undeploy-final-10s</x:v>
      </x:c>
      <x:c r="N89" s="38" t="n">
        <x:v>46267.935842465275</x:v>
      </x:c>
      <x:c r="O89" s="36" t="n">
        <x:v>2</x:v>
      </x:c>
      <x:c r="P89" s="43" t="n">
        <x:v>15583232</x:v>
      </x:c>
      <x:c r="Q89" s="43" t="n">
        <x:v>268435456</x:v>
      </x:c>
      <x:c r="R89" s="43" t="n">
        <x:v>408356864</x:v>
      </x:c>
      <x:c r="S89" s="36" t="n">
        <x:v>2</x:v>
      </x:c>
      <x:c r="T89" s="44" t="str">
        <x:v>0x00000000181177b8  0x0000000018003818  0x0000774ec00451d0    4303  20472832  20452088  org.apache.catalina.loader.ParallelWebappClassLoader | 0x00000000181177b8  0x0000000018003818  0x0000774f686534c0       0         0         0  org.apache.catalina.loader.ParallelWebappClassLoader</x:v>
      </x:c>
      <x:c r="U89" s="36" t="n">
        <x:v>27</x:v>
      </x:c>
      <x:c r="V89" s="36" t="n">
        <x:v>0</x:v>
      </x:c>
      <x:c r="W89" s="44"/>
      <x:c r="X89" s="36" t="n">
        <x:v>1</x:v>
      </x:c>
      <x:c r="Y89" s="36" t="n">
        <x:v>1</x:v>
      </x:c>
      <x:c r="Z89" s="44" t="str">
        <x:v>/nostore</x:v>
      </x:c>
      <x:c r="AA89" s="45" t="b">
        <x:v>1</x:v>
      </x:c>
      <x:c r="AB89" s="43"/>
      <x:c r="AC89" s="34" t="str">
        <x:v>article1-unified-v4-2-fb3f101b-20260903-000401-default-f01-p3-nostore-1-after-undeploy-final-10s-heap-info.txt</x:v>
      </x:c>
      <x:c r="AD89" s="34" t="str">
        <x:v>article1-unified-v4-2-fb3f101b-20260903-000401-default-f01-p3-nostore-1-after-undeploy-final-10s-classloader-stats.txt</x:v>
      </x:c>
      <x:c r="AE89" s="34" t="str">
        <x:v>article1-unified-v4-2-fb3f101b-20260903-000401-default-f01-p3-nostore-1-after-undeploy-final-10s-thread-dump.txt</x:v>
      </x:c>
      <x:c r="AF89" s="34"/>
      <x:c r="AG89" s="34" t="str">
        <x:v>article1-unified-v4-2-fb3f101b-20260903-000401-default-f01-p3-nostore-1-after-undeploy-final-10s-native-memory.txt</x:v>
      </x:c>
      <x:c r="AH89" s="34" t="str">
        <x:v>article1-unified-v4-2-fb3f101b-20260903-000401-default-f01-p3-nostore-1-after-undeploy-final-10s-class-histogram.txt</x:v>
      </x:c>
      <x:c r="AI89" s="34" t="str">
        <x:v>article1-unified-v4-2-fb3f101b-20260903-000401-default-f01-p3-nostore-1-after-undeploy-tomcat-findleaks.txt</x:v>
      </x:c>
    </x:row>
    <x:row r="90">
      <x:c r="A90" s="34" t="str">
        <x:v>article1-unified-v4-2-fb3f101b-20260903-000401-default-f01-p3-nostore</x:v>
      </x:c>
      <x:c r="B90" s="34" t="str">
        <x:v>default</x:v>
      </x:c>
      <x:c r="C90" s="34" t="str">
        <x:v>nostore</x:v>
      </x:c>
      <x:c r="D90" s="34" t="str">
        <x:v>nostore</x:v>
      </x:c>
      <x:c r="E90" s="36" t="n">
        <x:v>1</x:v>
      </x:c>
      <x:c r="F90" s="36" t="n">
        <x:v>1</x:v>
      </x:c>
      <x:c r="G90" s="36" t="n">
        <x:v>3</x:v>
      </x:c>
      <x:c r="H90" s="36" t="n">
        <x:v>1</x:v>
      </x:c>
      <x:c r="I90" s="34" t="str">
        <x:v>redeployedLoaded</x:v>
      </x:c>
      <x:c r="J90" s="34" t="str">
        <x:v>redeployed-loaded</x:v>
      </x:c>
      <x:c r="K90" s="36" t="n">
        <x:v>0</x:v>
      </x:c>
      <x:c r="L90" s="34" t="str">
        <x:v>redeploy</x:v>
      </x:c>
      <x:c r="M90" s="34" t="str">
        <x:v>article1-unified-v4-2-fb3f101b-20260903-000401-default-f01-p3-nostore-1-redeployed-loaded</x:v>
      </x:c>
      <x:c r="N90" s="38" t="n">
        <x:v>46267.9361171412</x:v>
      </x:c>
      <x:c r="O90" s="36" t="n">
        <x:v>0</x:v>
      </x:c>
      <x:c r="P90" s="43" t="n">
        <x:v>313986048</x:v>
      </x:c>
      <x:c r="Q90" s="43" t="n">
        <x:v>336592896</x:v>
      </x:c>
      <x:c r="R90" s="43" t="n">
        <x:v>505283584</x:v>
      </x:c>
      <x:c r="S90" s="36" t="n">
        <x:v>3</x:v>
      </x:c>
      <x:c r="T90" s="44" t="str">
        <x:v>0x00000000181177b8  0x0000000018003818  0x0000774ec00451d0    4303  20472832  20452088  org.apache.catalina.loader.ParallelWebappClassLoader | 0x00000000181177b8  0x0000000018003818  0x0000774f686534c0       0         0         0  org.apache.catalina.loader.ParallelWebappClassLoader | 0x00000000181177b8  0x0000000018003818  0x0000774ecc011050    4287  20419584  20413560  org.apache.catalina.loader.ParallelWebappClassLoader</x:v>
      </x:c>
      <x:c r="U90" s="36" t="n">
        <x:v>27</x:v>
      </x:c>
      <x:c r="V90" s="36" t="n">
        <x:v>0</x:v>
      </x:c>
      <x:c r="W90" s="44"/>
      <x:c r="X90" s="36"/>
      <x:c r="Y90" s="36"/>
      <x:c r="Z90" s="44"/>
      <x:c r="AA90" s="49"/>
      <x:c r="AB90" s="43"/>
      <x:c r="AC90" s="34"/>
      <x:c r="AD90" s="34"/>
      <x:c r="AE90" s="34"/>
      <x:c r="AF90" s="34"/>
      <x:c r="AG90" s="34"/>
      <x:c r="AH90" s="34"/>
      <x:c r="AI90" s="34"/>
    </x:row>
    <x:row r="91">
      <x:c r="A91" s="34" t="str">
        <x:v>article1-unified-v4-2-fb3f101b-20260903-000401-default-f01-p3-nostore</x:v>
      </x:c>
      <x:c r="B91" s="34" t="str">
        <x:v>default</x:v>
      </x:c>
      <x:c r="C91" s="34" t="str">
        <x:v>nostore</x:v>
      </x:c>
      <x:c r="D91" s="34" t="str">
        <x:v>nostore</x:v>
      </x:c>
      <x:c r="E91" s="36" t="n">
        <x:v>1</x:v>
      </x:c>
      <x:c r="F91" s="36" t="n">
        <x:v>1</x:v>
      </x:c>
      <x:c r="G91" s="36" t="n">
        <x:v>3</x:v>
      </x:c>
      <x:c r="H91" s="36" t="n">
        <x:v>1</x:v>
      </x:c>
      <x:c r="I91" s="34" t="str">
        <x:v>afterFinalUndeployEarly</x:v>
      </x:c>
      <x:c r="J91" s="34" t="str">
        <x:v>after-final-undeploy-early</x:v>
      </x:c>
      <x:c r="K91" s="36" t="n">
        <x:v>2</x:v>
      </x:c>
      <x:c r="L91" s="34" t="str">
        <x:v>early</x:v>
      </x:c>
      <x:c r="M91" s="34" t="str">
        <x:v>article1-unified-v4-2-fb3f101b-20260903-000401-default-f01-p3-nostore-1-after-final-undeploy-early-2s</x:v>
      </x:c>
      <x:c r="N91" s="38" t="n">
        <x:v>46267.93619880787</x:v>
      </x:c>
      <x:c r="O91" s="36"/>
      <x:c r="P91" s="43"/>
      <x:c r="Q91" s="43"/>
      <x:c r="R91" s="43"/>
      <x:c r="S91" s="36"/>
      <x:c r="T91" s="44"/>
      <x:c r="U91" s="36" t="n">
        <x:v>27</x:v>
      </x:c>
      <x:c r="V91" s="36" t="n">
        <x:v>0</x:v>
      </x:c>
      <x:c r="W91" s="44"/>
      <x:c r="X91" s="36"/>
      <x:c r="Y91" s="36"/>
      <x:c r="Z91" s="44"/>
      <x:c r="AA91" s="49"/>
      <x:c r="AB91" s="43" t="n">
        <x:v>1</x:v>
      </x:c>
      <x:c r="AC91" s="34"/>
      <x:c r="AD91" s="34"/>
      <x:c r="AE91" s="34" t="str">
        <x:v>article1-unified-v4-2-fb3f101b-20260903-000401-default-f01-p3-nostore-1-after-final-undeploy-early-2s-thread-dump.txt</x:v>
      </x:c>
      <x:c r="AF91" s="34" t="str">
        <x:v>article1-unified-v4-2-fb3f101b-20260903-000401-default-f01-p3-nostore-1-after-final-undeploy-early-tomcat-log.txt</x:v>
      </x:c>
      <x:c r="AG91" s="34"/>
      <x:c r="AH91" s="34"/>
      <x:c r="AI91" s="34"/>
    </x:row>
    <x:row r="92">
      <x:c r="A92" s="34" t="str">
        <x:v>article1-unified-v4-2-fb3f101b-20260903-000401-default-f01-p3-nostore</x:v>
      </x:c>
      <x:c r="B92" s="34" t="str">
        <x:v>default</x:v>
      </x:c>
      <x:c r="C92" s="34" t="str">
        <x:v>nostore</x:v>
      </x:c>
      <x:c r="D92" s="34" t="str">
        <x:v>nostore</x:v>
      </x:c>
      <x:c r="E92" s="36" t="n">
        <x:v>1</x:v>
      </x:c>
      <x:c r="F92" s="36" t="n">
        <x:v>1</x:v>
      </x:c>
      <x:c r="G92" s="36" t="n">
        <x:v>3</x:v>
      </x:c>
      <x:c r="H92" s="36" t="n">
        <x:v>1</x:v>
      </x:c>
      <x:c r="I92" s="34" t="str">
        <x:v>afterFinalUndeploy</x:v>
      </x:c>
      <x:c r="J92" s="34" t="str">
        <x:v>after-final-undeploy-final</x:v>
      </x:c>
      <x:c r="K92" s="36" t="n">
        <x:v>2</x:v>
      </x:c>
      <x:c r="L92" s="34" t="str">
        <x:v>final</x:v>
      </x:c>
      <x:c r="M92" s="34" t="str">
        <x:v>article1-unified-v4-2-fb3f101b-20260903-000401-default-f01-p3-nostore-1-after-final-undeploy-final-10s</x:v>
      </x:c>
      <x:c r="N92" s="38" t="n">
        <x:v>46267.9363552662</x:v>
      </x:c>
      <x:c r="O92" s="36" t="n">
        <x:v>2</x:v>
      </x:c>
      <x:c r="P92" s="43" t="n">
        <x:v>15370240</x:v>
      </x:c>
      <x:c r="Q92" s="43" t="n">
        <x:v>268435456</x:v>
      </x:c>
      <x:c r="R92" s="43" t="n">
        <x:v>415788032</x:v>
      </x:c>
      <x:c r="S92" s="36" t="n">
        <x:v>2</x:v>
      </x:c>
      <x:c r="T92" s="44" t="str">
        <x:v>0x00000000181177b8  0x0000000018003818  0x0000774ecc011050    4295  20455424  20438200  org.apache.catalina.loader.ParallelWebappClassLoader | 0x00000000181177b8  0x0000000018003818  0x0000774f686534c0       0         0         0  org.apache.catalina.loader.ParallelWebappClassLoader</x:v>
      </x:c>
      <x:c r="U92" s="36" t="n">
        <x:v>27</x:v>
      </x:c>
      <x:c r="V92" s="36" t="n">
        <x:v>0</x:v>
      </x:c>
      <x:c r="W92" s="44"/>
      <x:c r="X92" s="36" t="n">
        <x:v>1</x:v>
      </x:c>
      <x:c r="Y92" s="36" t="n">
        <x:v>1</x:v>
      </x:c>
      <x:c r="Z92" s="44" t="str">
        <x:v>/nostore</x:v>
      </x:c>
      <x:c r="AA92" s="45" t="b">
        <x:v>1</x:v>
      </x:c>
      <x:c r="AB92" s="43"/>
      <x:c r="AC92" s="34" t="str">
        <x:v>article1-unified-v4-2-fb3f101b-20260903-000401-default-f01-p3-nostore-1-after-final-undeploy-final-10s-heap-info.txt</x:v>
      </x:c>
      <x:c r="AD92" s="34" t="str">
        <x:v>article1-unified-v4-2-fb3f101b-20260903-000401-default-f01-p3-nostore-1-after-final-undeploy-final-10s-classloader-stats.txt</x:v>
      </x:c>
      <x:c r="AE92" s="34" t="str">
        <x:v>article1-unified-v4-2-fb3f101b-20260903-000401-default-f01-p3-nostore-1-after-final-undeploy-final-10s-thread-dump.txt</x:v>
      </x:c>
      <x:c r="AF92" s="34"/>
      <x:c r="AG92" s="34" t="str">
        <x:v>article1-unified-v4-2-fb3f101b-20260903-000401-default-f01-p3-nostore-1-after-final-undeploy-final-10s-native-memory.txt</x:v>
      </x:c>
      <x:c r="AH92" s="34" t="str">
        <x:v>article1-unified-v4-2-fb3f101b-20260903-000401-default-f01-p3-nostore-1-after-final-undeploy-final-10s-class-histogram.txt</x:v>
      </x:c>
      <x:c r="AI92" s="34" t="str">
        <x:v>article1-unified-v4-2-fb3f101b-20260903-000401-default-f01-p3-nostore-1-after-final-undeploy-tomcat-findleaks.txt</x:v>
      </x:c>
    </x:row>
    <x:row r="93">
      <x:c r="A93" s="34" t="str">
        <x:v>article1-unified-v4-2-fb3f101b-20260903-000401-default-f01-p3-nostore</x:v>
      </x:c>
      <x:c r="B93" s="34" t="str">
        <x:v>default</x:v>
      </x:c>
      <x:c r="C93" s="34" t="str">
        <x:v>nostore</x:v>
      </x:c>
      <x:c r="D93" s="34" t="str">
        <x:v>nostore</x:v>
      </x:c>
      <x:c r="E93" s="36" t="n">
        <x:v>1</x:v>
      </x:c>
      <x:c r="F93" s="36" t="n">
        <x:v>1</x:v>
      </x:c>
      <x:c r="G93" s="36" t="n">
        <x:v>3</x:v>
      </x:c>
      <x:c r="H93" s="36" t="n">
        <x:v>2</x:v>
      </x:c>
      <x:c r="I93" s="34" t="str">
        <x:v>baseline</x:v>
      </x:c>
      <x:c r="J93" s="34" t="str">
        <x:v>cycle-baseline</x:v>
      </x:c>
      <x:c r="K93" s="36" t="n">
        <x:v>0</x:v>
      </x:c>
      <x:c r="L93" s="34" t="str">
        <x:v>baseline</x:v>
      </x:c>
      <x:c r="M93" s="34" t="str">
        <x:v>article1-unified-v4-2-fb3f101b-20260903-000401-default-f01-p3-nostore-2-baseline</x:v>
      </x:c>
      <x:c r="N93" s="38" t="n">
        <x:v>46267.93641202546</x:v>
      </x:c>
      <x:c r="O93" s="36" t="n">
        <x:v>0</x:v>
      </x:c>
      <x:c r="P93" s="43" t="n">
        <x:v>15409152</x:v>
      </x:c>
      <x:c r="Q93" s="43" t="n">
        <x:v>268435456</x:v>
      </x:c>
      <x:c r="R93" s="43" t="n">
        <x:v>415788032</x:v>
      </x:c>
      <x:c r="S93" s="36" t="n">
        <x:v>2</x:v>
      </x:c>
      <x:c r="T93" s="44" t="str">
        <x:v>0x00000000181177b8  0x0000000018003818  0x0000774ecc011050    4295  20455424  20438200  org.apache.catalina.loader.ParallelWebappClassLoader | 0x00000000181177b8  0x0000000018003818  0x0000774f686534c0       0         0         0  org.apache.catalina.loader.ParallelWebappClassLoader</x:v>
      </x:c>
      <x:c r="U93" s="36" t="n">
        <x:v>27</x:v>
      </x:c>
      <x:c r="V93" s="36" t="n">
        <x:v>0</x:v>
      </x:c>
      <x:c r="W93" s="44"/>
      <x:c r="X93" s="36"/>
      <x:c r="Y93" s="36"/>
      <x:c r="Z93" s="44"/>
      <x:c r="AA93" s="49"/>
      <x:c r="AB93" s="43"/>
      <x:c r="AC93" s="34" t="str">
        <x:v>article1-unified-v4-2-fb3f101b-20260903-000401-default-f01-p3-nostore-2-baseline-heap-info.txt</x:v>
      </x:c>
      <x:c r="AD93" s="34" t="str">
        <x:v>article1-unified-v4-2-fb3f101b-20260903-000401-default-f01-p3-nostore-2-baseline-classloader-stats.txt</x:v>
      </x:c>
      <x:c r="AE93" s="34" t="str">
        <x:v>article1-unified-v4-2-fb3f101b-20260903-000401-default-f01-p3-nostore-2-baseline-thread-dump.txt</x:v>
      </x:c>
      <x:c r="AF93" s="34"/>
      <x:c r="AG93" s="34" t="str">
        <x:v>article1-unified-v4-2-fb3f101b-20260903-000401-default-f01-p3-nostore-2-baseline-native-memory.txt</x:v>
      </x:c>
      <x:c r="AH93" s="34"/>
      <x:c r="AI93" s="34"/>
    </x:row>
    <x:row r="94">
      <x:c r="A94" s="34" t="str">
        <x:v>article1-unified-v4-2-fb3f101b-20260903-000401-default-f01-p3-nostore</x:v>
      </x:c>
      <x:c r="B94" s="34" t="str">
        <x:v>default</x:v>
      </x:c>
      <x:c r="C94" s="34" t="str">
        <x:v>nostore</x:v>
      </x:c>
      <x:c r="D94" s="34" t="str">
        <x:v>nostore</x:v>
      </x:c>
      <x:c r="E94" s="36" t="n">
        <x:v>1</x:v>
      </x:c>
      <x:c r="F94" s="36" t="n">
        <x:v>1</x:v>
      </x:c>
      <x:c r="G94" s="36" t="n">
        <x:v>3</x:v>
      </x:c>
      <x:c r="H94" s="36" t="n">
        <x:v>2</x:v>
      </x:c>
      <x:c r="I94" s="34" t="str">
        <x:v>deployedIdle</x:v>
      </x:c>
      <x:c r="J94" s="34" t="str">
        <x:v>deployed-idle</x:v>
      </x:c>
      <x:c r="K94" s="36" t="n">
        <x:v>0</x:v>
      </x:c>
      <x:c r="L94" s="34" t="str">
        <x:v>initial</x:v>
      </x:c>
      <x:c r="M94" s="34" t="str">
        <x:v>article1-unified-v4-2-fb3f101b-20260903-000401-default-f01-p3-nostore-2-deployed-idle</x:v>
      </x:c>
      <x:c r="N94" s="38" t="n">
        <x:v>46267.93651680555</x:v>
      </x:c>
      <x:c r="O94" s="36" t="n">
        <x:v>0</x:v>
      </x:c>
      <x:c r="P94" s="43" t="n">
        <x:v>145333248</x:v>
      </x:c>
      <x:c r="Q94" s="43" t="n">
        <x:v>268435456</x:v>
      </x:c>
      <x:c r="R94" s="43" t="n">
        <x:v>451974144</x:v>
      </x:c>
      <x:c r="S94" s="36" t="n">
        <x:v>3</x:v>
      </x:c>
      <x:c r="T94" s="44" t="str">
        <x:v>0x00000000181177b8  0x0000000018003818  0x0000774ecc011050    4295  20455424  20438200  org.apache.catalina.loader.ParallelWebappClassLoader | 0x00000000181177b8  0x0000000018003818  0x0000774ec800d460    4091  19441664  19431696  org.apache.catalina.loader.ParallelWebappClassLoader | 0x00000000181177b8  0x0000000018003818  0x0000774f686534c0       0         0         0  org.apache.catalina.loader.ParallelWebappClassLoader</x:v>
      </x:c>
      <x:c r="U94" s="36" t="n">
        <x:v>27</x:v>
      </x:c>
      <x:c r="V94" s="36" t="n">
        <x:v>0</x:v>
      </x:c>
      <x:c r="W94" s="44"/>
      <x:c r="X94" s="36"/>
      <x:c r="Y94" s="36"/>
      <x:c r="Z94" s="44"/>
      <x:c r="AA94" s="49"/>
      <x:c r="AB94" s="43"/>
      <x:c r="AC94" s="34"/>
      <x:c r="AD94" s="34"/>
      <x:c r="AE94" s="34"/>
      <x:c r="AF94" s="34"/>
      <x:c r="AG94" s="34"/>
      <x:c r="AH94" s="34"/>
      <x:c r="AI94" s="34"/>
    </x:row>
    <x:row r="95">
      <x:c r="A95" s="34" t="str">
        <x:v>article1-unified-v4-2-fb3f101b-20260903-000401-default-f01-p3-nostore</x:v>
      </x:c>
      <x:c r="B95" s="34" t="str">
        <x:v>default</x:v>
      </x:c>
      <x:c r="C95" s="34" t="str">
        <x:v>nostore</x:v>
      </x:c>
      <x:c r="D95" s="34" t="str">
        <x:v>nostore</x:v>
      </x:c>
      <x:c r="E95" s="36" t="n">
        <x:v>1</x:v>
      </x:c>
      <x:c r="F95" s="36" t="n">
        <x:v>1</x:v>
      </x:c>
      <x:c r="G95" s="36" t="n">
        <x:v>3</x:v>
      </x:c>
      <x:c r="H95" s="36" t="n">
        <x:v>2</x:v>
      </x:c>
      <x:c r="I95" s="34" t="str">
        <x:v>loaded</x:v>
      </x:c>
      <x:c r="J95" s="34" t="str">
        <x:v>loaded</x:v>
      </x:c>
      <x:c r="K95" s="36" t="n">
        <x:v>0</x:v>
      </x:c>
      <x:c r="L95" s="34" t="str">
        <x:v>initial</x:v>
      </x:c>
      <x:c r="M95" s="34" t="str">
        <x:v>article1-unified-v4-2-fb3f101b-20260903-000401-default-f01-p3-nostore-2-loaded</x:v>
      </x:c>
      <x:c r="N95" s="38" t="n">
        <x:v>46267.93667001157</x:v>
      </x:c>
      <x:c r="O95" s="36" t="n">
        <x:v>0</x:v>
      </x:c>
      <x:c r="P95" s="43" t="n">
        <x:v>310865920</x:v>
      </x:c>
      <x:c r="Q95" s="43" t="n">
        <x:v>328204288</x:v>
      </x:c>
      <x:c r="R95" s="43" t="n">
        <x:v>476453888</x:v>
      </x:c>
      <x:c r="S95" s="36" t="n">
        <x:v>2</x:v>
      </x:c>
      <x:c r="T95" s="44" t="str">
        <x:v>0x00000000181177b8  0x0000000018003818  0x0000774ec800d460    4290  20441088  20420440  org.apache.catalina.loader.ParallelWebappClassLoader | 0x00000000181177b8  0x0000000018003818  0x0000774f686534c0       0         0         0  org.apache.catalina.loader.ParallelWebappClassLoader</x:v>
      </x:c>
      <x:c r="U95" s="36" t="n">
        <x:v>27</x:v>
      </x:c>
      <x:c r="V95" s="36" t="n">
        <x:v>0</x:v>
      </x:c>
      <x:c r="W95" s="44"/>
      <x:c r="X95" s="36"/>
      <x:c r="Y95" s="36"/>
      <x:c r="Z95" s="44"/>
      <x:c r="AA95" s="49"/>
      <x:c r="AB95" s="43"/>
      <x:c r="AC95" s="34"/>
      <x:c r="AD95" s="34"/>
      <x:c r="AE95" s="34"/>
      <x:c r="AF95" s="34"/>
      <x:c r="AG95" s="34"/>
      <x:c r="AH95" s="34"/>
      <x:c r="AI95" s="34"/>
    </x:row>
    <x:row r="96">
      <x:c r="A96" s="34" t="str">
        <x:v>article1-unified-v4-2-fb3f101b-20260903-000401-default-f01-p3-nostore</x:v>
      </x:c>
      <x:c r="B96" s="34" t="str">
        <x:v>default</x:v>
      </x:c>
      <x:c r="C96" s="34" t="str">
        <x:v>nostore</x:v>
      </x:c>
      <x:c r="D96" s="34" t="str">
        <x:v>nostore</x:v>
      </x:c>
      <x:c r="E96" s="36" t="n">
        <x:v>1</x:v>
      </x:c>
      <x:c r="F96" s="36" t="n">
        <x:v>1</x:v>
      </x:c>
      <x:c r="G96" s="36" t="n">
        <x:v>3</x:v>
      </x:c>
      <x:c r="H96" s="36" t="n">
        <x:v>2</x:v>
      </x:c>
      <x:c r="I96" s="34" t="str">
        <x:v>afterUndeployEarly</x:v>
      </x:c>
      <x:c r="J96" s="34" t="str">
        <x:v>after-undeploy-early</x:v>
      </x:c>
      <x:c r="K96" s="36" t="n">
        <x:v>1</x:v>
      </x:c>
      <x:c r="L96" s="34" t="str">
        <x:v>early</x:v>
      </x:c>
      <x:c r="M96" s="34" t="str">
        <x:v>article1-unified-v4-2-fb3f101b-20260903-000401-default-f01-p3-nostore-2-after-undeploy-early-2s</x:v>
      </x:c>
      <x:c r="N96" s="38" t="n">
        <x:v>46267.936755138886</x:v>
      </x:c>
      <x:c r="O96" s="36"/>
      <x:c r="P96" s="43"/>
      <x:c r="Q96" s="43"/>
      <x:c r="R96" s="43"/>
      <x:c r="S96" s="36"/>
      <x:c r="T96" s="44"/>
      <x:c r="U96" s="36" t="n">
        <x:v>27</x:v>
      </x:c>
      <x:c r="V96" s="36" t="n">
        <x:v>0</x:v>
      </x:c>
      <x:c r="W96" s="44"/>
      <x:c r="X96" s="36"/>
      <x:c r="Y96" s="36"/>
      <x:c r="Z96" s="44"/>
      <x:c r="AA96" s="49"/>
      <x:c r="AB96" s="43" t="n">
        <x:v>1</x:v>
      </x:c>
      <x:c r="AC96" s="34"/>
      <x:c r="AD96" s="34"/>
      <x:c r="AE96" s="34" t="str">
        <x:v>article1-unified-v4-2-fb3f101b-20260903-000401-default-f01-p3-nostore-2-after-undeploy-early-2s-thread-dump.txt</x:v>
      </x:c>
      <x:c r="AF96" s="34" t="str">
        <x:v>article1-unified-v4-2-fb3f101b-20260903-000401-default-f01-p3-nostore-2-after-undeploy-early-tomcat-log.txt</x:v>
      </x:c>
      <x:c r="AG96" s="34"/>
      <x:c r="AH96" s="34"/>
      <x:c r="AI96" s="34"/>
    </x:row>
    <x:row r="97">
      <x:c r="A97" s="34" t="str">
        <x:v>article1-unified-v4-2-fb3f101b-20260903-000401-default-f01-p3-nostore</x:v>
      </x:c>
      <x:c r="B97" s="34" t="str">
        <x:v>default</x:v>
      </x:c>
      <x:c r="C97" s="34" t="str">
        <x:v>nostore</x:v>
      </x:c>
      <x:c r="D97" s="34" t="str">
        <x:v>nostore</x:v>
      </x:c>
      <x:c r="E97" s="36" t="n">
        <x:v>1</x:v>
      </x:c>
      <x:c r="F97" s="36" t="n">
        <x:v>1</x:v>
      </x:c>
      <x:c r="G97" s="36" t="n">
        <x:v>3</x:v>
      </x:c>
      <x:c r="H97" s="36" t="n">
        <x:v>2</x:v>
      </x:c>
      <x:c r="I97" s="34" t="str">
        <x:v>afterUndeploy</x:v>
      </x:c>
      <x:c r="J97" s="34" t="str">
        <x:v>after-undeploy-final</x:v>
      </x:c>
      <x:c r="K97" s="36" t="n">
        <x:v>1</x:v>
      </x:c>
      <x:c r="L97" s="34" t="str">
        <x:v>final</x:v>
      </x:c>
      <x:c r="M97" s="34" t="str">
        <x:v>article1-unified-v4-2-fb3f101b-20260903-000401-default-f01-p3-nostore-2-after-undeploy-final-10s</x:v>
      </x:c>
      <x:c r="N97" s="38" t="n">
        <x:v>46267.936905393515</x:v>
      </x:c>
      <x:c r="O97" s="36" t="n">
        <x:v>2</x:v>
      </x:c>
      <x:c r="P97" s="43" t="n">
        <x:v>15262720</x:v>
      </x:c>
      <x:c r="Q97" s="43" t="n">
        <x:v>268435456</x:v>
      </x:c>
      <x:c r="R97" s="43" t="n">
        <x:v>414282752</x:v>
      </x:c>
      <x:c r="S97" s="36" t="n">
        <x:v>2</x:v>
      </x:c>
      <x:c r="T97" s="44" t="str">
        <x:v>0x00000000181177b8  0x0000000018003818  0x0000774f686534c0       0         0         0  org.apache.catalina.loader.ParallelWebappClassLoader | 0x00000000181177b8  0x0000000018003818  0x0000774ec800d460    4298  20457472  20444768  org.apache.catalina.loader.ParallelWebappClassLoader</x:v>
      </x:c>
      <x:c r="U97" s="36" t="n">
        <x:v>27</x:v>
      </x:c>
      <x:c r="V97" s="36" t="n">
        <x:v>0</x:v>
      </x:c>
      <x:c r="W97" s="44"/>
      <x:c r="X97" s="36" t="n">
        <x:v>1</x:v>
      </x:c>
      <x:c r="Y97" s="36" t="n">
        <x:v>1</x:v>
      </x:c>
      <x:c r="Z97" s="44" t="str">
        <x:v>/nostore</x:v>
      </x:c>
      <x:c r="AA97" s="45" t="b">
        <x:v>1</x:v>
      </x:c>
      <x:c r="AB97" s="43"/>
      <x:c r="AC97" s="34" t="str">
        <x:v>article1-unified-v4-2-fb3f101b-20260903-000401-default-f01-p3-nostore-2-after-undeploy-final-10s-heap-info.txt</x:v>
      </x:c>
      <x:c r="AD97" s="34" t="str">
        <x:v>article1-unified-v4-2-fb3f101b-20260903-000401-default-f01-p3-nostore-2-after-undeploy-final-10s-classloader-stats.txt</x:v>
      </x:c>
      <x:c r="AE97" s="34" t="str">
        <x:v>article1-unified-v4-2-fb3f101b-20260903-000401-default-f01-p3-nostore-2-after-undeploy-final-10s-thread-dump.txt</x:v>
      </x:c>
      <x:c r="AF97" s="34"/>
      <x:c r="AG97" s="34" t="str">
        <x:v>article1-unified-v4-2-fb3f101b-20260903-000401-default-f01-p3-nostore-2-after-undeploy-final-10s-native-memory.txt</x:v>
      </x:c>
      <x:c r="AH97" s="34" t="str">
        <x:v>article1-unified-v4-2-fb3f101b-20260903-000401-default-f01-p3-nostore-2-after-undeploy-final-10s-class-histogram.txt</x:v>
      </x:c>
      <x:c r="AI97" s="34" t="str">
        <x:v>article1-unified-v4-2-fb3f101b-20260903-000401-default-f01-p3-nostore-2-after-undeploy-tomcat-findleaks.txt</x:v>
      </x:c>
    </x:row>
    <x:row r="98">
      <x:c r="A98" s="34" t="str">
        <x:v>article1-unified-v4-2-fb3f101b-20260903-000401-default-f01-p3-nostore</x:v>
      </x:c>
      <x:c r="B98" s="34" t="str">
        <x:v>default</x:v>
      </x:c>
      <x:c r="C98" s="34" t="str">
        <x:v>nostore</x:v>
      </x:c>
      <x:c r="D98" s="34" t="str">
        <x:v>nostore</x:v>
      </x:c>
      <x:c r="E98" s="36" t="n">
        <x:v>1</x:v>
      </x:c>
      <x:c r="F98" s="36" t="n">
        <x:v>1</x:v>
      </x:c>
      <x:c r="G98" s="36" t="n">
        <x:v>3</x:v>
      </x:c>
      <x:c r="H98" s="36" t="n">
        <x:v>2</x:v>
      </x:c>
      <x:c r="I98" s="34" t="str">
        <x:v>redeployedLoaded</x:v>
      </x:c>
      <x:c r="J98" s="34" t="str">
        <x:v>redeployed-loaded</x:v>
      </x:c>
      <x:c r="K98" s="36" t="n">
        <x:v>0</x:v>
      </x:c>
      <x:c r="L98" s="34" t="str">
        <x:v>redeploy</x:v>
      </x:c>
      <x:c r="M98" s="34" t="str">
        <x:v>article1-unified-v4-2-fb3f101b-20260903-000401-default-f01-p3-nostore-2-redeployed-loaded</x:v>
      </x:c>
      <x:c r="N98" s="38" t="n">
        <x:v>46267.93716628472</x:v>
      </x:c>
      <x:c r="O98" s="36" t="n">
        <x:v>0</x:v>
      </x:c>
      <x:c r="P98" s="43" t="n">
        <x:v>186278912</x:v>
      </x:c>
      <x:c r="Q98" s="43" t="n">
        <x:v>473956352</x:v>
      </x:c>
      <x:c r="R98" s="43" t="n">
        <x:v>648537088</x:v>
      </x:c>
      <x:c r="S98" s="36" t="n">
        <x:v>3</x:v>
      </x:c>
      <x:c r="T98" s="44" t="str">
        <x:v>0x00000000181177b8  0x0000000018003818  0x0000774f686534c0       0         0         0  org.apache.catalina.loader.ParallelWebappClassLoader | 0x00000000181177b8  0x0000000018003818  0x0000774ec4014820    4289  20492288  20483400  org.apache.catalina.loader.ParallelWebappClassLoader | 0x00000000181177b8  0x0000000018003818  0x0000774ec800d460    4298  20457472  20444768  org.apache.catalina.loader.ParallelWebappClassLoader</x:v>
      </x:c>
      <x:c r="U98" s="36" t="n">
        <x:v>27</x:v>
      </x:c>
      <x:c r="V98" s="36" t="n">
        <x:v>0</x:v>
      </x:c>
      <x:c r="W98" s="44"/>
      <x:c r="X98" s="36"/>
      <x:c r="Y98" s="36"/>
      <x:c r="Z98" s="44"/>
      <x:c r="AA98" s="49"/>
      <x:c r="AB98" s="43"/>
      <x:c r="AC98" s="34"/>
      <x:c r="AD98" s="34"/>
      <x:c r="AE98" s="34"/>
      <x:c r="AF98" s="34"/>
      <x:c r="AG98" s="34"/>
      <x:c r="AH98" s="34"/>
      <x:c r="AI98" s="34"/>
    </x:row>
    <x:row r="99">
      <x:c r="A99" s="34" t="str">
        <x:v>article1-unified-v4-2-fb3f101b-20260903-000401-default-f01-p3-nostore</x:v>
      </x:c>
      <x:c r="B99" s="34" t="str">
        <x:v>default</x:v>
      </x:c>
      <x:c r="C99" s="34" t="str">
        <x:v>nostore</x:v>
      </x:c>
      <x:c r="D99" s="34" t="str">
        <x:v>nostore</x:v>
      </x:c>
      <x:c r="E99" s="36" t="n">
        <x:v>1</x:v>
      </x:c>
      <x:c r="F99" s="36" t="n">
        <x:v>1</x:v>
      </x:c>
      <x:c r="G99" s="36" t="n">
        <x:v>3</x:v>
      </x:c>
      <x:c r="H99" s="36" t="n">
        <x:v>2</x:v>
      </x:c>
      <x:c r="I99" s="34" t="str">
        <x:v>afterFinalUndeployEarly</x:v>
      </x:c>
      <x:c r="J99" s="34" t="str">
        <x:v>after-final-undeploy-early</x:v>
      </x:c>
      <x:c r="K99" s="36" t="n">
        <x:v>2</x:v>
      </x:c>
      <x:c r="L99" s="34" t="str">
        <x:v>early</x:v>
      </x:c>
      <x:c r="M99" s="34" t="str">
        <x:v>article1-unified-v4-2-fb3f101b-20260903-000401-default-f01-p3-nostore-2-after-final-undeploy-early-2s</x:v>
      </x:c>
      <x:c r="N99" s="38" t="n">
        <x:v>46267.93724861111</x:v>
      </x:c>
      <x:c r="O99" s="36"/>
      <x:c r="P99" s="43"/>
      <x:c r="Q99" s="43"/>
      <x:c r="R99" s="43"/>
      <x:c r="S99" s="36"/>
      <x:c r="T99" s="44"/>
      <x:c r="U99" s="36" t="n">
        <x:v>27</x:v>
      </x:c>
      <x:c r="V99" s="36" t="n">
        <x:v>0</x:v>
      </x:c>
      <x:c r="W99" s="44"/>
      <x:c r="X99" s="36"/>
      <x:c r="Y99" s="36"/>
      <x:c r="Z99" s="44"/>
      <x:c r="AA99" s="49"/>
      <x:c r="AB99" s="43" t="n">
        <x:v>1</x:v>
      </x:c>
      <x:c r="AC99" s="34"/>
      <x:c r="AD99" s="34"/>
      <x:c r="AE99" s="34" t="str">
        <x:v>article1-unified-v4-2-fb3f101b-20260903-000401-default-f01-p3-nostore-2-after-final-undeploy-early-2s-thread-dump.txt</x:v>
      </x:c>
      <x:c r="AF99" s="34" t="str">
        <x:v>article1-unified-v4-2-fb3f101b-20260903-000401-default-f01-p3-nostore-2-after-final-undeploy-early-tomcat-log.txt</x:v>
      </x:c>
      <x:c r="AG99" s="34"/>
      <x:c r="AH99" s="34"/>
      <x:c r="AI99" s="34"/>
    </x:row>
    <x:row r="100">
      <x:c r="A100" s="34" t="str">
        <x:v>article1-unified-v4-2-fb3f101b-20260903-000401-default-f01-p3-nostore</x:v>
      </x:c>
      <x:c r="B100" s="34" t="str">
        <x:v>default</x:v>
      </x:c>
      <x:c r="C100" s="34" t="str">
        <x:v>nostore</x:v>
      </x:c>
      <x:c r="D100" s="34" t="str">
        <x:v>nostore</x:v>
      </x:c>
      <x:c r="E100" s="36" t="n">
        <x:v>1</x:v>
      </x:c>
      <x:c r="F100" s="36" t="n">
        <x:v>1</x:v>
      </x:c>
      <x:c r="G100" s="36" t="n">
        <x:v>3</x:v>
      </x:c>
      <x:c r="H100" s="36" t="n">
        <x:v>2</x:v>
      </x:c>
      <x:c r="I100" s="34" t="str">
        <x:v>afterFinalUndeploy</x:v>
      </x:c>
      <x:c r="J100" s="34" t="str">
        <x:v>after-final-undeploy-final</x:v>
      </x:c>
      <x:c r="K100" s="36" t="n">
        <x:v>2</x:v>
      </x:c>
      <x:c r="L100" s="34" t="str">
        <x:v>final</x:v>
      </x:c>
      <x:c r="M100" s="34" t="str">
        <x:v>article1-unified-v4-2-fb3f101b-20260903-000401-default-f01-p3-nostore-2-after-final-undeploy-final-10s</x:v>
      </x:c>
      <x:c r="N100" s="38" t="n">
        <x:v>46267.93740722222</x:v>
      </x:c>
      <x:c r="O100" s="36" t="n">
        <x:v>2</x:v>
      </x:c>
      <x:c r="P100" s="43" t="n">
        <x:v>15401984</x:v>
      </x:c>
      <x:c r="Q100" s="43" t="n">
        <x:v>268435456</x:v>
      </x:c>
      <x:c r="R100" s="43" t="n">
        <x:v>419359744</x:v>
      </x:c>
      <x:c r="S100" s="36" t="n">
        <x:v>2</x:v>
      </x:c>
      <x:c r="T100" s="44" t="str">
        <x:v>0x00000000181177b8  0x0000000018003818  0x0000774ec4014820    4297  20525056  20508088  org.apache.catalina.loader.ParallelWebappClassLoader | 0x00000000181177b8  0x0000000018003818  0x0000774f686534c0       0         0         0  org.apache.catalina.loader.ParallelWebappClassLoader</x:v>
      </x:c>
      <x:c r="U100" s="36" t="n">
        <x:v>27</x:v>
      </x:c>
      <x:c r="V100" s="36" t="n">
        <x:v>0</x:v>
      </x:c>
      <x:c r="W100" s="44"/>
      <x:c r="X100" s="36" t="n">
        <x:v>1</x:v>
      </x:c>
      <x:c r="Y100" s="36" t="n">
        <x:v>1</x:v>
      </x:c>
      <x:c r="Z100" s="44" t="str">
        <x:v>/nostore</x:v>
      </x:c>
      <x:c r="AA100" s="45" t="b">
        <x:v>1</x:v>
      </x:c>
      <x:c r="AB100" s="43"/>
      <x:c r="AC100" s="34" t="str">
        <x:v>article1-unified-v4-2-fb3f101b-20260903-000401-default-f01-p3-nostore-2-after-final-undeploy-final-10s-heap-info.txt</x:v>
      </x:c>
      <x:c r="AD100" s="34" t="str">
        <x:v>article1-unified-v4-2-fb3f101b-20260903-000401-default-f01-p3-nostore-2-after-final-undeploy-final-10s-classloader-stats.txt</x:v>
      </x:c>
      <x:c r="AE100" s="34" t="str">
        <x:v>article1-unified-v4-2-fb3f101b-20260903-000401-default-f01-p3-nostore-2-after-final-undeploy-final-10s-thread-dump.txt</x:v>
      </x:c>
      <x:c r="AF100" s="34"/>
      <x:c r="AG100" s="34" t="str">
        <x:v>article1-unified-v4-2-fb3f101b-20260903-000401-default-f01-p3-nostore-2-after-final-undeploy-final-10s-native-memory.txt</x:v>
      </x:c>
      <x:c r="AH100" s="34" t="str">
        <x:v>article1-unified-v4-2-fb3f101b-20260903-000401-default-f01-p3-nostore-2-after-final-undeploy-final-10s-class-histogram.txt</x:v>
      </x:c>
      <x:c r="AI100" s="34" t="str">
        <x:v>article1-unified-v4-2-fb3f101b-20260903-000401-default-f01-p3-nostore-2-after-final-undeploy-tomcat-findleaks.txt</x:v>
      </x:c>
    </x:row>
    <x:row r="101">
      <x:c r="A101" s="34" t="str">
        <x:v>article1-unified-v4-2-fb3f101b-20260903-000401-default-f01-p3-nostore</x:v>
      </x:c>
      <x:c r="B101" s="34" t="str">
        <x:v>default</x:v>
      </x:c>
      <x:c r="C101" s="34" t="str">
        <x:v>nostore</x:v>
      </x:c>
      <x:c r="D101" s="34" t="str">
        <x:v>nostore</x:v>
      </x:c>
      <x:c r="E101" s="36" t="n">
        <x:v>1</x:v>
      </x:c>
      <x:c r="F101" s="36" t="n">
        <x:v>1</x:v>
      </x:c>
      <x:c r="G101" s="36" t="n">
        <x:v>3</x:v>
      </x:c>
      <x:c r="H101" s="36" t="n">
        <x:v>3</x:v>
      </x:c>
      <x:c r="I101" s="34" t="str">
        <x:v>baseline</x:v>
      </x:c>
      <x:c r="J101" s="34" t="str">
        <x:v>cycle-baseline</x:v>
      </x:c>
      <x:c r="K101" s="36" t="n">
        <x:v>0</x:v>
      </x:c>
      <x:c r="L101" s="34" t="str">
        <x:v>baseline</x:v>
      </x:c>
      <x:c r="M101" s="34" t="str">
        <x:v>article1-unified-v4-2-fb3f101b-20260903-000401-default-f01-p3-nostore-3-baseline</x:v>
      </x:c>
      <x:c r="N101" s="38" t="n">
        <x:v>46267.93745670139</x:v>
      </x:c>
      <x:c r="O101" s="36" t="n">
        <x:v>0</x:v>
      </x:c>
      <x:c r="P101" s="43" t="n">
        <x:v>15413248</x:v>
      </x:c>
      <x:c r="Q101" s="43" t="n">
        <x:v>268435456</x:v>
      </x:c>
      <x:c r="R101" s="43" t="n">
        <x:v>419459072</x:v>
      </x:c>
      <x:c r="S101" s="36" t="n">
        <x:v>2</x:v>
      </x:c>
      <x:c r="T101" s="44" t="str">
        <x:v>0x00000000181177b8  0x0000000018003818  0x0000774ec4014820    4297  20525056  20508088  org.apache.catalina.loader.ParallelWebappClassLoader | 0x00000000181177b8  0x0000000018003818  0x0000774f686534c0       0         0         0  org.apache.catalina.loader.ParallelWebappClassLoader</x:v>
      </x:c>
      <x:c r="U101" s="36" t="n">
        <x:v>27</x:v>
      </x:c>
      <x:c r="V101" s="36" t="n">
        <x:v>0</x:v>
      </x:c>
      <x:c r="W101" s="44"/>
      <x:c r="X101" s="36"/>
      <x:c r="Y101" s="36"/>
      <x:c r="Z101" s="44"/>
      <x:c r="AA101" s="49"/>
      <x:c r="AB101" s="43"/>
      <x:c r="AC101" s="34" t="str">
        <x:v>article1-unified-v4-2-fb3f101b-20260903-000401-default-f01-p3-nostore-3-baseline-heap-info.txt</x:v>
      </x:c>
      <x:c r="AD101" s="34" t="str">
        <x:v>article1-unified-v4-2-fb3f101b-20260903-000401-default-f01-p3-nostore-3-baseline-classloader-stats.txt</x:v>
      </x:c>
      <x:c r="AE101" s="34" t="str">
        <x:v>article1-unified-v4-2-fb3f101b-20260903-000401-default-f01-p3-nostore-3-baseline-thread-dump.txt</x:v>
      </x:c>
      <x:c r="AF101" s="34"/>
      <x:c r="AG101" s="34" t="str">
        <x:v>article1-unified-v4-2-fb3f101b-20260903-000401-default-f01-p3-nostore-3-baseline-native-memory.txt</x:v>
      </x:c>
      <x:c r="AH101" s="34"/>
      <x:c r="AI101" s="34"/>
    </x:row>
    <x:row r="102">
      <x:c r="A102" s="34" t="str">
        <x:v>article1-unified-v4-2-fb3f101b-20260903-000401-default-f01-p3-nostore</x:v>
      </x:c>
      <x:c r="B102" s="34" t="str">
        <x:v>default</x:v>
      </x:c>
      <x:c r="C102" s="34" t="str">
        <x:v>nostore</x:v>
      </x:c>
      <x:c r="D102" s="34" t="str">
        <x:v>nostore</x:v>
      </x:c>
      <x:c r="E102" s="36" t="n">
        <x:v>1</x:v>
      </x:c>
      <x:c r="F102" s="36" t="n">
        <x:v>1</x:v>
      </x:c>
      <x:c r="G102" s="36" t="n">
        <x:v>3</x:v>
      </x:c>
      <x:c r="H102" s="36" t="n">
        <x:v>3</x:v>
      </x:c>
      <x:c r="I102" s="34" t="str">
        <x:v>deployedIdle</x:v>
      </x:c>
      <x:c r="J102" s="34" t="str">
        <x:v>deployed-idle</x:v>
      </x:c>
      <x:c r="K102" s="36" t="n">
        <x:v>0</x:v>
      </x:c>
      <x:c r="L102" s="34" t="str">
        <x:v>initial</x:v>
      </x:c>
      <x:c r="M102" s="34" t="str">
        <x:v>article1-unified-v4-2-fb3f101b-20260903-000401-default-f01-p3-nostore-3-deployed-idle</x:v>
      </x:c>
      <x:c r="N102" s="38" t="n">
        <x:v>46267.93755818287</x:v>
      </x:c>
      <x:c r="O102" s="36" t="n">
        <x:v>0</x:v>
      </x:c>
      <x:c r="P102" s="43" t="n">
        <x:v>164530176</x:v>
      </x:c>
      <x:c r="Q102" s="43" t="n">
        <x:v>268435456</x:v>
      </x:c>
      <x:c r="R102" s="43" t="n">
        <x:v>448366592</x:v>
      </x:c>
      <x:c r="S102" s="36" t="n">
        <x:v>3</x:v>
      </x:c>
      <x:c r="T102" s="44" t="str">
        <x:v>0x00000000181177b8  0x0000000018003818  0x0000774ec4014820    4297  20525056  20508088  org.apache.catalina.loader.ParallelWebappClassLoader | 0x00000000181177b8  0x0000000018003818  0x0000774e8802cdb0    4091  19442688  19431656  org.apache.catalina.loader.ParallelWebappClassLoader | 0x00000000181177b8  0x0000000018003818  0x0000774f686534c0       0         0         0  org.apache.catalina.loader.ParallelWebappClassLoader</x:v>
      </x:c>
      <x:c r="U102" s="36" t="n">
        <x:v>27</x:v>
      </x:c>
      <x:c r="V102" s="36" t="n">
        <x:v>0</x:v>
      </x:c>
      <x:c r="W102" s="44"/>
      <x:c r="X102" s="36"/>
      <x:c r="Y102" s="36"/>
      <x:c r="Z102" s="44"/>
      <x:c r="AA102" s="49"/>
      <x:c r="AB102" s="43"/>
      <x:c r="AC102" s="34"/>
      <x:c r="AD102" s="34"/>
      <x:c r="AE102" s="34"/>
      <x:c r="AF102" s="34"/>
      <x:c r="AG102" s="34"/>
      <x:c r="AH102" s="34"/>
      <x:c r="AI102" s="34"/>
    </x:row>
    <x:row r="103">
      <x:c r="A103" s="34" t="str">
        <x:v>article1-unified-v4-2-fb3f101b-20260903-000401-default-f01-p3-nostore</x:v>
      </x:c>
      <x:c r="B103" s="34" t="str">
        <x:v>default</x:v>
      </x:c>
      <x:c r="C103" s="34" t="str">
        <x:v>nostore</x:v>
      </x:c>
      <x:c r="D103" s="34" t="str">
        <x:v>nostore</x:v>
      </x:c>
      <x:c r="E103" s="36" t="n">
        <x:v>1</x:v>
      </x:c>
      <x:c r="F103" s="36" t="n">
        <x:v>1</x:v>
      </x:c>
      <x:c r="G103" s="36" t="n">
        <x:v>3</x:v>
      </x:c>
      <x:c r="H103" s="36" t="n">
        <x:v>3</x:v>
      </x:c>
      <x:c r="I103" s="34" t="str">
        <x:v>loaded</x:v>
      </x:c>
      <x:c r="J103" s="34" t="str">
        <x:v>loaded</x:v>
      </x:c>
      <x:c r="K103" s="36" t="n">
        <x:v>0</x:v>
      </x:c>
      <x:c r="L103" s="34" t="str">
        <x:v>initial</x:v>
      </x:c>
      <x:c r="M103" s="34" t="str">
        <x:v>article1-unified-v4-2-fb3f101b-20260903-000401-default-f01-p3-nostore-3-loaded</x:v>
      </x:c>
      <x:c r="N103" s="38" t="n">
        <x:v>46267.93770987268</x:v>
      </x:c>
      <x:c r="O103" s="36" t="n">
        <x:v>0</x:v>
      </x:c>
      <x:c r="P103" s="43" t="n">
        <x:v>312137728</x:v>
      </x:c>
      <x:c r="Q103" s="43" t="n">
        <x:v>332398592</x:v>
      </x:c>
      <x:c r="R103" s="43" t="n">
        <x:v>483288064</x:v>
      </x:c>
      <x:c r="S103" s="36" t="n">
        <x:v>2</x:v>
      </x:c>
      <x:c r="T103" s="44" t="str">
        <x:v>0x00000000181177b8  0x0000000018003818  0x0000774f686534c0       0         0         0  org.apache.catalina.loader.ParallelWebappClassLoader | 0x00000000181177b8  0x0000000018003818  0x0000774e8802cdb0    4287  20442112  20420576  org.apache.catalina.loader.ParallelWebappClassLoader</x:v>
      </x:c>
      <x:c r="U103" s="36" t="n">
        <x:v>27</x:v>
      </x:c>
      <x:c r="V103" s="36" t="n">
        <x:v>0</x:v>
      </x:c>
      <x:c r="W103" s="44"/>
      <x:c r="X103" s="36"/>
      <x:c r="Y103" s="36"/>
      <x:c r="Z103" s="44"/>
      <x:c r="AA103" s="49"/>
      <x:c r="AB103" s="43"/>
      <x:c r="AC103" s="34"/>
      <x:c r="AD103" s="34"/>
      <x:c r="AE103" s="34"/>
      <x:c r="AF103" s="34"/>
      <x:c r="AG103" s="34"/>
      <x:c r="AH103" s="34"/>
      <x:c r="AI103" s="34"/>
    </x:row>
    <x:row r="104">
      <x:c r="A104" s="34" t="str">
        <x:v>article1-unified-v4-2-fb3f101b-20260903-000401-default-f01-p3-nostore</x:v>
      </x:c>
      <x:c r="B104" s="34" t="str">
        <x:v>default</x:v>
      </x:c>
      <x:c r="C104" s="34" t="str">
        <x:v>nostore</x:v>
      </x:c>
      <x:c r="D104" s="34" t="str">
        <x:v>nostore</x:v>
      </x:c>
      <x:c r="E104" s="36" t="n">
        <x:v>1</x:v>
      </x:c>
      <x:c r="F104" s="36" t="n">
        <x:v>1</x:v>
      </x:c>
      <x:c r="G104" s="36" t="n">
        <x:v>3</x:v>
      </x:c>
      <x:c r="H104" s="36" t="n">
        <x:v>3</x:v>
      </x:c>
      <x:c r="I104" s="34" t="str">
        <x:v>afterUndeployEarly</x:v>
      </x:c>
      <x:c r="J104" s="34" t="str">
        <x:v>after-undeploy-early</x:v>
      </x:c>
      <x:c r="K104" s="36" t="n">
        <x:v>1</x:v>
      </x:c>
      <x:c r="L104" s="34" t="str">
        <x:v>early</x:v>
      </x:c>
      <x:c r="M104" s="34" t="str">
        <x:v>article1-unified-v4-2-fb3f101b-20260903-000401-default-f01-p3-nostore-3-after-undeploy-early-2s</x:v>
      </x:c>
      <x:c r="N104" s="38" t="n">
        <x:v>46267.93779509259</x:v>
      </x:c>
      <x:c r="O104" s="36"/>
      <x:c r="P104" s="43"/>
      <x:c r="Q104" s="43"/>
      <x:c r="R104" s="43"/>
      <x:c r="S104" s="36"/>
      <x:c r="T104" s="44"/>
      <x:c r="U104" s="36" t="n">
        <x:v>27</x:v>
      </x:c>
      <x:c r="V104" s="36" t="n">
        <x:v>0</x:v>
      </x:c>
      <x:c r="W104" s="44"/>
      <x:c r="X104" s="36"/>
      <x:c r="Y104" s="36"/>
      <x:c r="Z104" s="44"/>
      <x:c r="AA104" s="49"/>
      <x:c r="AB104" s="43" t="n">
        <x:v>1</x:v>
      </x:c>
      <x:c r="AC104" s="34"/>
      <x:c r="AD104" s="34"/>
      <x:c r="AE104" s="34" t="str">
        <x:v>article1-unified-v4-2-fb3f101b-20260903-000401-default-f01-p3-nostore-3-after-undeploy-early-2s-thread-dump.txt</x:v>
      </x:c>
      <x:c r="AF104" s="34" t="str">
        <x:v>article1-unified-v4-2-fb3f101b-20260903-000401-default-f01-p3-nostore-3-after-undeploy-early-tomcat-log.txt</x:v>
      </x:c>
      <x:c r="AG104" s="34"/>
      <x:c r="AH104" s="34"/>
      <x:c r="AI104" s="34"/>
    </x:row>
    <x:row r="105">
      <x:c r="A105" s="34" t="str">
        <x:v>article1-unified-v4-2-fb3f101b-20260903-000401-default-f01-p3-nostore</x:v>
      </x:c>
      <x:c r="B105" s="34" t="str">
        <x:v>default</x:v>
      </x:c>
      <x:c r="C105" s="34" t="str">
        <x:v>nostore</x:v>
      </x:c>
      <x:c r="D105" s="34" t="str">
        <x:v>nostore</x:v>
      </x:c>
      <x:c r="E105" s="36" t="n">
        <x:v>1</x:v>
      </x:c>
      <x:c r="F105" s="36" t="n">
        <x:v>1</x:v>
      </x:c>
      <x:c r="G105" s="36" t="n">
        <x:v>3</x:v>
      </x:c>
      <x:c r="H105" s="36" t="n">
        <x:v>3</x:v>
      </x:c>
      <x:c r="I105" s="34" t="str">
        <x:v>afterUndeploy</x:v>
      </x:c>
      <x:c r="J105" s="34" t="str">
        <x:v>after-undeploy-final</x:v>
      </x:c>
      <x:c r="K105" s="36" t="n">
        <x:v>1</x:v>
      </x:c>
      <x:c r="L105" s="34" t="str">
        <x:v>final</x:v>
      </x:c>
      <x:c r="M105" s="34" t="str">
        <x:v>article1-unified-v4-2-fb3f101b-20260903-000401-default-f01-p3-nostore-3-after-undeploy-final-10s</x:v>
      </x:c>
      <x:c r="N105" s="38" t="n">
        <x:v>46267.93795186342</x:v>
      </x:c>
      <x:c r="O105" s="36" t="n">
        <x:v>2</x:v>
      </x:c>
      <x:c r="P105" s="43" t="n">
        <x:v>15305728</x:v>
      </x:c>
      <x:c r="Q105" s="43" t="n">
        <x:v>268435456</x:v>
      </x:c>
      <x:c r="R105" s="43" t="n">
        <x:v>417515520</x:v>
      </x:c>
      <x:c r="S105" s="36" t="n">
        <x:v>2</x:v>
      </x:c>
      <x:c r="T105" s="44" t="str">
        <x:v>0x00000000181177b8  0x0000000018003818  0x0000774f686534c0       0         0         0  org.apache.catalina.loader.ParallelWebappClassLoader | 0x00000000181177b8  0x0000000018003818  0x0000774e8802cdb0    4295  20458496  20445200  org.apache.catalina.loader.ParallelWebappClassLoader</x:v>
      </x:c>
      <x:c r="U105" s="36" t="n">
        <x:v>27</x:v>
      </x:c>
      <x:c r="V105" s="36" t="n">
        <x:v>0</x:v>
      </x:c>
      <x:c r="W105" s="44"/>
      <x:c r="X105" s="36" t="n">
        <x:v>1</x:v>
      </x:c>
      <x:c r="Y105" s="36" t="n">
        <x:v>1</x:v>
      </x:c>
      <x:c r="Z105" s="44" t="str">
        <x:v>/nostore</x:v>
      </x:c>
      <x:c r="AA105" s="45" t="b">
        <x:v>1</x:v>
      </x:c>
      <x:c r="AB105" s="43"/>
      <x:c r="AC105" s="34" t="str">
        <x:v>article1-unified-v4-2-fb3f101b-20260903-000401-default-f01-p3-nostore-3-after-undeploy-final-10s-heap-info.txt</x:v>
      </x:c>
      <x:c r="AD105" s="34" t="str">
        <x:v>article1-unified-v4-2-fb3f101b-20260903-000401-default-f01-p3-nostore-3-after-undeploy-final-10s-classloader-stats.txt</x:v>
      </x:c>
      <x:c r="AE105" s="34" t="str">
        <x:v>article1-unified-v4-2-fb3f101b-20260903-000401-default-f01-p3-nostore-3-after-undeploy-final-10s-thread-dump.txt</x:v>
      </x:c>
      <x:c r="AF105" s="34"/>
      <x:c r="AG105" s="34" t="str">
        <x:v>article1-unified-v4-2-fb3f101b-20260903-000401-default-f01-p3-nostore-3-after-undeploy-final-10s-native-memory.txt</x:v>
      </x:c>
      <x:c r="AH105" s="34" t="str">
        <x:v>article1-unified-v4-2-fb3f101b-20260903-000401-default-f01-p3-nostore-3-after-undeploy-final-10s-class-histogram.txt</x:v>
      </x:c>
      <x:c r="AI105" s="34" t="str">
        <x:v>article1-unified-v4-2-fb3f101b-20260903-000401-default-f01-p3-nostore-3-after-undeploy-tomcat-findleaks.txt</x:v>
      </x:c>
    </x:row>
    <x:row r="106">
      <x:c r="A106" s="34" t="str">
        <x:v>article1-unified-v4-2-fb3f101b-20260903-000401-default-f01-p3-nostore</x:v>
      </x:c>
      <x:c r="B106" s="34" t="str">
        <x:v>default</x:v>
      </x:c>
      <x:c r="C106" s="34" t="str">
        <x:v>nostore</x:v>
      </x:c>
      <x:c r="D106" s="34" t="str">
        <x:v>nostore</x:v>
      </x:c>
      <x:c r="E106" s="36" t="n">
        <x:v>1</x:v>
      </x:c>
      <x:c r="F106" s="36" t="n">
        <x:v>1</x:v>
      </x:c>
      <x:c r="G106" s="36" t="n">
        <x:v>3</x:v>
      </x:c>
      <x:c r="H106" s="36" t="n">
        <x:v>3</x:v>
      </x:c>
      <x:c r="I106" s="34" t="str">
        <x:v>redeployedLoaded</x:v>
      </x:c>
      <x:c r="J106" s="34" t="str">
        <x:v>redeployed-loaded</x:v>
      </x:c>
      <x:c r="K106" s="36" t="n">
        <x:v>0</x:v>
      </x:c>
      <x:c r="L106" s="34" t="str">
        <x:v>redeploy</x:v>
      </x:c>
      <x:c r="M106" s="34" t="str">
        <x:v>article1-unified-v4-2-fb3f101b-20260903-000401-default-f01-p3-nostore-3-redeployed-loaded</x:v>
      </x:c>
      <x:c r="N106" s="38" t="n">
        <x:v>46267.93821685185</x:v>
      </x:c>
      <x:c r="O106" s="36" t="n">
        <x:v>0</x:v>
      </x:c>
      <x:c r="P106" s="43" t="n">
        <x:v>297626624</x:v>
      </x:c>
      <x:c r="Q106" s="43" t="n">
        <x:v>330301440</x:v>
      </x:c>
      <x:c r="R106" s="43" t="n">
        <x:v>485785600</x:v>
      </x:c>
      <x:c r="S106" s="36" t="n">
        <x:v>2</x:v>
      </x:c>
      <x:c r="T106" s="44" t="str">
        <x:v>0x00000000181177b8  0x0000000018003818  0x0000774ed414cb30    4288  20450304  20422560  org.apache.catalina.loader.ParallelWebappClassLoader | 0x00000000181177b8  0x0000000018003818  0x0000774f686534c0       0         0         0  org.apache.catalina.loader.ParallelWebappClassLoader</x:v>
      </x:c>
      <x:c r="U106" s="36" t="n">
        <x:v>27</x:v>
      </x:c>
      <x:c r="V106" s="36" t="n">
        <x:v>0</x:v>
      </x:c>
      <x:c r="W106" s="44"/>
      <x:c r="X106" s="36"/>
      <x:c r="Y106" s="36"/>
      <x:c r="Z106" s="44"/>
      <x:c r="AA106" s="49"/>
      <x:c r="AB106" s="43"/>
      <x:c r="AC106" s="34"/>
      <x:c r="AD106" s="34"/>
      <x:c r="AE106" s="34"/>
      <x:c r="AF106" s="34"/>
      <x:c r="AG106" s="34"/>
      <x:c r="AH106" s="34"/>
      <x:c r="AI106" s="34"/>
    </x:row>
    <x:row r="107">
      <x:c r="A107" s="34" t="str">
        <x:v>article1-unified-v4-2-fb3f101b-20260903-000401-default-f01-p3-nostore</x:v>
      </x:c>
      <x:c r="B107" s="34" t="str">
        <x:v>default</x:v>
      </x:c>
      <x:c r="C107" s="34" t="str">
        <x:v>nostore</x:v>
      </x:c>
      <x:c r="D107" s="34" t="str">
        <x:v>nostore</x:v>
      </x:c>
      <x:c r="E107" s="36" t="n">
        <x:v>1</x:v>
      </x:c>
      <x:c r="F107" s="36" t="n">
        <x:v>1</x:v>
      </x:c>
      <x:c r="G107" s="36" t="n">
        <x:v>3</x:v>
      </x:c>
      <x:c r="H107" s="36" t="n">
        <x:v>3</x:v>
      </x:c>
      <x:c r="I107" s="34" t="str">
        <x:v>afterFinalUndeployEarly</x:v>
      </x:c>
      <x:c r="J107" s="34" t="str">
        <x:v>after-final-undeploy-early</x:v>
      </x:c>
      <x:c r="K107" s="36" t="n">
        <x:v>2</x:v>
      </x:c>
      <x:c r="L107" s="34" t="str">
        <x:v>early</x:v>
      </x:c>
      <x:c r="M107" s="34" t="str">
        <x:v>article1-unified-v4-2-fb3f101b-20260903-000401-default-f01-p3-nostore-3-after-final-undeploy-early-2s</x:v>
      </x:c>
      <x:c r="N107" s="38" t="n">
        <x:v>46267.93829851852</x:v>
      </x:c>
      <x:c r="O107" s="36"/>
      <x:c r="P107" s="43"/>
      <x:c r="Q107" s="43"/>
      <x:c r="R107" s="43"/>
      <x:c r="S107" s="36"/>
      <x:c r="T107" s="44"/>
      <x:c r="U107" s="36" t="n">
        <x:v>27</x:v>
      </x:c>
      <x:c r="V107" s="36" t="n">
        <x:v>0</x:v>
      </x:c>
      <x:c r="W107" s="44"/>
      <x:c r="X107" s="36"/>
      <x:c r="Y107" s="36"/>
      <x:c r="Z107" s="44"/>
      <x:c r="AA107" s="49"/>
      <x:c r="AB107" s="43" t="n">
        <x:v>1</x:v>
      </x:c>
      <x:c r="AC107" s="34"/>
      <x:c r="AD107" s="34"/>
      <x:c r="AE107" s="34" t="str">
        <x:v>article1-unified-v4-2-fb3f101b-20260903-000401-default-f01-p3-nostore-3-after-final-undeploy-early-2s-thread-dump.txt</x:v>
      </x:c>
      <x:c r="AF107" s="34" t="str">
        <x:v>article1-unified-v4-2-fb3f101b-20260903-000401-default-f01-p3-nostore-3-after-final-undeploy-early-tomcat-log.txt</x:v>
      </x:c>
      <x:c r="AG107" s="34"/>
      <x:c r="AH107" s="34"/>
      <x:c r="AI107" s="34"/>
    </x:row>
    <x:row r="108">
      <x:c r="A108" s="34" t="str">
        <x:v>article1-unified-v4-2-fb3f101b-20260903-000401-default-f01-p3-nostore</x:v>
      </x:c>
      <x:c r="B108" s="34" t="str">
        <x:v>default</x:v>
      </x:c>
      <x:c r="C108" s="34" t="str">
        <x:v>nostore</x:v>
      </x:c>
      <x:c r="D108" s="34" t="str">
        <x:v>nostore</x:v>
      </x:c>
      <x:c r="E108" s="36" t="n">
        <x:v>1</x:v>
      </x:c>
      <x:c r="F108" s="36" t="n">
        <x:v>1</x:v>
      </x:c>
      <x:c r="G108" s="36" t="n">
        <x:v>3</x:v>
      </x:c>
      <x:c r="H108" s="36" t="n">
        <x:v>3</x:v>
      </x:c>
      <x:c r="I108" s="34" t="str">
        <x:v>afterFinalUndeploy</x:v>
      </x:c>
      <x:c r="J108" s="34" t="str">
        <x:v>after-final-undeploy-final</x:v>
      </x:c>
      <x:c r="K108" s="36" t="n">
        <x:v>2</x:v>
      </x:c>
      <x:c r="L108" s="34" t="str">
        <x:v>final</x:v>
      </x:c>
      <x:c r="M108" s="34" t="str">
        <x:v>article1-unified-v4-2-fb3f101b-20260903-000401-default-f01-p3-nostore-3-after-final-undeploy-final-10s</x:v>
      </x:c>
      <x:c r="N108" s="38" t="n">
        <x:v>46267.93845619213</x:v>
      </x:c>
      <x:c r="O108" s="36" t="n">
        <x:v>2</x:v>
      </x:c>
      <x:c r="P108" s="43" t="n">
        <x:v>15326208</x:v>
      </x:c>
      <x:c r="Q108" s="43" t="n">
        <x:v>268435456</x:v>
      </x:c>
      <x:c r="R108" s="43" t="n">
        <x:v>423407616</x:v>
      </x:c>
      <x:c r="S108" s="36" t="n">
        <x:v>2</x:v>
      </x:c>
      <x:c r="T108" s="44" t="str">
        <x:v>0x00000000181177b8  0x0000000018003818  0x0000774ed414cb30    4296  20466688  20447168  org.apache.catalina.loader.ParallelWebappClassLoader | 0x00000000181177b8  0x0000000018003818  0x0000774f686534c0       0         0         0  org.apache.catalina.loader.ParallelWebappClassLoader</x:v>
      </x:c>
      <x:c r="U108" s="36" t="n">
        <x:v>27</x:v>
      </x:c>
      <x:c r="V108" s="36" t="n">
        <x:v>0</x:v>
      </x:c>
      <x:c r="W108" s="44"/>
      <x:c r="X108" s="36" t="n">
        <x:v>1</x:v>
      </x:c>
      <x:c r="Y108" s="36" t="n">
        <x:v>1</x:v>
      </x:c>
      <x:c r="Z108" s="44" t="str">
        <x:v>/nostore</x:v>
      </x:c>
      <x:c r="AA108" s="45" t="b">
        <x:v>1</x:v>
      </x:c>
      <x:c r="AB108" s="43"/>
      <x:c r="AC108" s="34" t="str">
        <x:v>article1-unified-v4-2-fb3f101b-20260903-000401-default-f01-p3-nostore-3-after-final-undeploy-final-10s-heap-info.txt</x:v>
      </x:c>
      <x:c r="AD108" s="34" t="str">
        <x:v>article1-unified-v4-2-fb3f101b-20260903-000401-default-f01-p3-nostore-3-after-final-undeploy-final-10s-classloader-stats.txt</x:v>
      </x:c>
      <x:c r="AE108" s="34" t="str">
        <x:v>article1-unified-v4-2-fb3f101b-20260903-000401-default-f01-p3-nostore-3-after-final-undeploy-final-10s-thread-dump.txt</x:v>
      </x:c>
      <x:c r="AF108" s="34"/>
      <x:c r="AG108" s="34" t="str">
        <x:v>article1-unified-v4-2-fb3f101b-20260903-000401-default-f01-p3-nostore-3-after-final-undeploy-final-10s-native-memory.txt</x:v>
      </x:c>
      <x:c r="AH108" s="34" t="str">
        <x:v>article1-unified-v4-2-fb3f101b-20260903-000401-default-f01-p3-nostore-3-after-final-undeploy-final-10s-class-histogram.txt</x:v>
      </x:c>
      <x:c r="AI108" s="34" t="str">
        <x:v>article1-unified-v4-2-fb3f101b-20260903-000401-default-f01-p3-nostore-3-after-final-undeploy-tomcat-findleaks.txt</x:v>
      </x:c>
    </x:row>
    <x:row r="109">
      <x:c r="A109" s="34" t="str">
        <x:v>article1-unified-v4-2-fb3f101b-20260903-000401-default-f01-p3-nostore</x:v>
      </x:c>
      <x:c r="B109" s="34" t="str">
        <x:v>default</x:v>
      </x:c>
      <x:c r="C109" s="34" t="str">
        <x:v>nostore</x:v>
      </x:c>
      <x:c r="D109" s="34" t="str">
        <x:v>nostore</x:v>
      </x:c>
      <x:c r="E109" s="36" t="n">
        <x:v>1</x:v>
      </x:c>
      <x:c r="F109" s="36" t="n">
        <x:v>1</x:v>
      </x:c>
      <x:c r="G109" s="36" t="n">
        <x:v>3</x:v>
      </x:c>
      <x:c r="H109" s="36" t="n">
        <x:v>4</x:v>
      </x:c>
      <x:c r="I109" s="34" t="str">
        <x:v>baseline</x:v>
      </x:c>
      <x:c r="J109" s="34" t="str">
        <x:v>cycle-baseline</x:v>
      </x:c>
      <x:c r="K109" s="36" t="n">
        <x:v>0</x:v>
      </x:c>
      <x:c r="L109" s="34" t="str">
        <x:v>baseline</x:v>
      </x:c>
      <x:c r="M109" s="34" t="str">
        <x:v>article1-unified-v4-2-fb3f101b-20260903-000401-default-f01-p3-nostore-4-baseline</x:v>
      </x:c>
      <x:c r="N109" s="38" t="n">
        <x:v>46267.93849930556</x:v>
      </x:c>
      <x:c r="O109" s="36" t="n">
        <x:v>0</x:v>
      </x:c>
      <x:c r="P109" s="43" t="n">
        <x:v>15326208</x:v>
      </x:c>
      <x:c r="Q109" s="43" t="n">
        <x:v>268435456</x:v>
      </x:c>
      <x:c r="R109" s="43" t="n">
        <x:v>423409664</x:v>
      </x:c>
      <x:c r="S109" s="36" t="n">
        <x:v>2</x:v>
      </x:c>
      <x:c r="T109" s="44" t="str">
        <x:v>0x00000000181177b8  0x0000000018003818  0x0000774ed414cb30    4296  20466688  20447168  org.apache.catalina.loader.ParallelWebappClassLoader | 0x00000000181177b8  0x0000000018003818  0x0000774f686534c0       0         0         0  org.apache.catalina.loader.ParallelWebappClassLoader</x:v>
      </x:c>
      <x:c r="U109" s="36" t="n">
        <x:v>27</x:v>
      </x:c>
      <x:c r="V109" s="36" t="n">
        <x:v>0</x:v>
      </x:c>
      <x:c r="W109" s="44"/>
      <x:c r="X109" s="36"/>
      <x:c r="Y109" s="36"/>
      <x:c r="Z109" s="44"/>
      <x:c r="AA109" s="49"/>
      <x:c r="AB109" s="43"/>
      <x:c r="AC109" s="34" t="str">
        <x:v>article1-unified-v4-2-fb3f101b-20260903-000401-default-f01-p3-nostore-4-baseline-heap-info.txt</x:v>
      </x:c>
      <x:c r="AD109" s="34" t="str">
        <x:v>article1-unified-v4-2-fb3f101b-20260903-000401-default-f01-p3-nostore-4-baseline-classloader-stats.txt</x:v>
      </x:c>
      <x:c r="AE109" s="34" t="str">
        <x:v>article1-unified-v4-2-fb3f101b-20260903-000401-default-f01-p3-nostore-4-baseline-thread-dump.txt</x:v>
      </x:c>
      <x:c r="AF109" s="34"/>
      <x:c r="AG109" s="34" t="str">
        <x:v>article1-unified-v4-2-fb3f101b-20260903-000401-default-f01-p3-nostore-4-baseline-native-memory.txt</x:v>
      </x:c>
      <x:c r="AH109" s="34"/>
      <x:c r="AI109" s="34"/>
    </x:row>
    <x:row r="110">
      <x:c r="A110" s="34" t="str">
        <x:v>article1-unified-v4-2-fb3f101b-20260903-000401-default-f01-p3-nostore</x:v>
      </x:c>
      <x:c r="B110" s="34" t="str">
        <x:v>default</x:v>
      </x:c>
      <x:c r="C110" s="34" t="str">
        <x:v>nostore</x:v>
      </x:c>
      <x:c r="D110" s="34" t="str">
        <x:v>nostore</x:v>
      </x:c>
      <x:c r="E110" s="36" t="n">
        <x:v>1</x:v>
      </x:c>
      <x:c r="F110" s="36" t="n">
        <x:v>1</x:v>
      </x:c>
      <x:c r="G110" s="36" t="n">
        <x:v>3</x:v>
      </x:c>
      <x:c r="H110" s="36" t="n">
        <x:v>4</x:v>
      </x:c>
      <x:c r="I110" s="34" t="str">
        <x:v>deployedIdle</x:v>
      </x:c>
      <x:c r="J110" s="34" t="str">
        <x:v>deployed-idle</x:v>
      </x:c>
      <x:c r="K110" s="36" t="n">
        <x:v>0</x:v>
      </x:c>
      <x:c r="L110" s="34" t="str">
        <x:v>initial</x:v>
      </x:c>
      <x:c r="M110" s="34" t="str">
        <x:v>article1-unified-v4-2-fb3f101b-20260903-000401-default-f01-p3-nostore-4-deployed-idle</x:v>
      </x:c>
      <x:c r="N110" s="38" t="n">
        <x:v>46267.93860297454</x:v>
      </x:c>
      <x:c r="O110" s="36" t="n">
        <x:v>0</x:v>
      </x:c>
      <x:c r="P110" s="43" t="n">
        <x:v>166550528</x:v>
      </x:c>
      <x:c r="Q110" s="43" t="n">
        <x:v>268435456</x:v>
      </x:c>
      <x:c r="R110" s="43" t="n">
        <x:v>457016320</x:v>
      </x:c>
      <x:c r="S110" s="36" t="n">
        <x:v>3</x:v>
      </x:c>
      <x:c r="T110" s="44" t="str">
        <x:v>0x00000000181177b8  0x0000000018003818  0x0000774ed414cb30    4296  20466688  20447168  org.apache.catalina.loader.ParallelWebappClassLoader | 0x00000000181177b8  0x0000000018003818  0x0000774f686534c0       0         0         0  org.apache.catalina.loader.ParallelWebappClassLoader | 0x00000000181177b8  0x0000000018003818  0x0000774ee006a980    4091  19447808  19429904  org.apache.catalina.loader.ParallelWebappClassLoader</x:v>
      </x:c>
      <x:c r="U110" s="36" t="n">
        <x:v>28</x:v>
      </x:c>
      <x:c r="V110" s="36" t="n">
        <x:v>0</x:v>
      </x:c>
      <x:c r="W110" s="44"/>
      <x:c r="X110" s="36"/>
      <x:c r="Y110" s="36"/>
      <x:c r="Z110" s="44"/>
      <x:c r="AA110" s="49"/>
      <x:c r="AB110" s="43"/>
      <x:c r="AC110" s="34"/>
      <x:c r="AD110" s="34"/>
      <x:c r="AE110" s="34"/>
      <x:c r="AF110" s="34"/>
      <x:c r="AG110" s="34"/>
      <x:c r="AH110" s="34"/>
      <x:c r="AI110" s="34"/>
    </x:row>
    <x:row r="111">
      <x:c r="A111" s="34" t="str">
        <x:v>article1-unified-v4-2-fb3f101b-20260903-000401-default-f01-p3-nostore</x:v>
      </x:c>
      <x:c r="B111" s="34" t="str">
        <x:v>default</x:v>
      </x:c>
      <x:c r="C111" s="34" t="str">
        <x:v>nostore</x:v>
      </x:c>
      <x:c r="D111" s="34" t="str">
        <x:v>nostore</x:v>
      </x:c>
      <x:c r="E111" s="36" t="n">
        <x:v>1</x:v>
      </x:c>
      <x:c r="F111" s="36" t="n">
        <x:v>1</x:v>
      </x:c>
      <x:c r="G111" s="36" t="n">
        <x:v>3</x:v>
      </x:c>
      <x:c r="H111" s="36" t="n">
        <x:v>4</x:v>
      </x:c>
      <x:c r="I111" s="34" t="str">
        <x:v>loaded</x:v>
      </x:c>
      <x:c r="J111" s="34" t="str">
        <x:v>loaded</x:v>
      </x:c>
      <x:c r="K111" s="36" t="n">
        <x:v>0</x:v>
      </x:c>
      <x:c r="L111" s="34" t="str">
        <x:v>initial</x:v>
      </x:c>
      <x:c r="M111" s="34" t="str">
        <x:v>article1-unified-v4-2-fb3f101b-20260903-000401-default-f01-p3-nostore-4-loaded</x:v>
      </x:c>
      <x:c r="N111" s="38" t="n">
        <x:v>46267.93875221065</x:v>
      </x:c>
      <x:c r="O111" s="36" t="n">
        <x:v>0</x:v>
      </x:c>
      <x:c r="P111" s="43" t="n">
        <x:v>311102464</x:v>
      </x:c>
      <x:c r="Q111" s="43" t="n">
        <x:v>346030080</x:v>
      </x:c>
      <x:c r="R111" s="43" t="n">
        <x:v>499939328</x:v>
      </x:c>
      <x:c r="S111" s="36" t="n">
        <x:v>2</x:v>
      </x:c>
      <x:c r="T111" s="44" t="str">
        <x:v>0x00000000181177b8  0x0000000018003818  0x0000774f686534c0       0         0         0  org.apache.catalina.loader.ParallelWebappClassLoader | 0x00000000181177b8  0x0000000018003818  0x0000774ee006a980    4288  20430848  20418232  org.apache.catalina.loader.ParallelWebappClassLoader</x:v>
      </x:c>
      <x:c r="U111" s="36" t="n">
        <x:v>27</x:v>
      </x:c>
      <x:c r="V111" s="36" t="n">
        <x:v>0</x:v>
      </x:c>
      <x:c r="W111" s="44"/>
      <x:c r="X111" s="36"/>
      <x:c r="Y111" s="36"/>
      <x:c r="Z111" s="44"/>
      <x:c r="AA111" s="49"/>
      <x:c r="AB111" s="43"/>
      <x:c r="AC111" s="34"/>
      <x:c r="AD111" s="34"/>
      <x:c r="AE111" s="34"/>
      <x:c r="AF111" s="34"/>
      <x:c r="AG111" s="34"/>
      <x:c r="AH111" s="34"/>
      <x:c r="AI111" s="34"/>
    </x:row>
    <x:row r="112">
      <x:c r="A112" s="34" t="str">
        <x:v>article1-unified-v4-2-fb3f101b-20260903-000401-default-f01-p3-nostore</x:v>
      </x:c>
      <x:c r="B112" s="34" t="str">
        <x:v>default</x:v>
      </x:c>
      <x:c r="C112" s="34" t="str">
        <x:v>nostore</x:v>
      </x:c>
      <x:c r="D112" s="34" t="str">
        <x:v>nostore</x:v>
      </x:c>
      <x:c r="E112" s="36" t="n">
        <x:v>1</x:v>
      </x:c>
      <x:c r="F112" s="36" t="n">
        <x:v>1</x:v>
      </x:c>
      <x:c r="G112" s="36" t="n">
        <x:v>3</x:v>
      </x:c>
      <x:c r="H112" s="36" t="n">
        <x:v>4</x:v>
      </x:c>
      <x:c r="I112" s="34" t="str">
        <x:v>afterUndeployEarly</x:v>
      </x:c>
      <x:c r="J112" s="34" t="str">
        <x:v>after-undeploy-early</x:v>
      </x:c>
      <x:c r="K112" s="36" t="n">
        <x:v>1</x:v>
      </x:c>
      <x:c r="L112" s="34" t="str">
        <x:v>early</x:v>
      </x:c>
      <x:c r="M112" s="34" t="str">
        <x:v>article1-unified-v4-2-fb3f101b-20260903-000401-default-f01-p3-nostore-4-after-undeploy-early-2s</x:v>
      </x:c>
      <x:c r="N112" s="38" t="n">
        <x:v>46267.938837974536</x:v>
      </x:c>
      <x:c r="O112" s="36"/>
      <x:c r="P112" s="43"/>
      <x:c r="Q112" s="43"/>
      <x:c r="R112" s="43"/>
      <x:c r="S112" s="36"/>
      <x:c r="T112" s="44"/>
      <x:c r="U112" s="36" t="n">
        <x:v>27</x:v>
      </x:c>
      <x:c r="V112" s="36" t="n">
        <x:v>0</x:v>
      </x:c>
      <x:c r="W112" s="44"/>
      <x:c r="X112" s="36"/>
      <x:c r="Y112" s="36"/>
      <x:c r="Z112" s="44"/>
      <x:c r="AA112" s="49"/>
      <x:c r="AB112" s="43" t="n">
        <x:v>1</x:v>
      </x:c>
      <x:c r="AC112" s="34"/>
      <x:c r="AD112" s="34"/>
      <x:c r="AE112" s="34" t="str">
        <x:v>article1-unified-v4-2-fb3f101b-20260903-000401-default-f01-p3-nostore-4-after-undeploy-early-2s-thread-dump.txt</x:v>
      </x:c>
      <x:c r="AF112" s="34" t="str">
        <x:v>article1-unified-v4-2-fb3f101b-20260903-000401-default-f01-p3-nostore-4-after-undeploy-early-tomcat-log.txt</x:v>
      </x:c>
      <x:c r="AG112" s="34"/>
      <x:c r="AH112" s="34"/>
      <x:c r="AI112" s="34"/>
    </x:row>
    <x:row r="113">
      <x:c r="A113" s="34" t="str">
        <x:v>article1-unified-v4-2-fb3f101b-20260903-000401-default-f01-p3-nostore</x:v>
      </x:c>
      <x:c r="B113" s="34" t="str">
        <x:v>default</x:v>
      </x:c>
      <x:c r="C113" s="34" t="str">
        <x:v>nostore</x:v>
      </x:c>
      <x:c r="D113" s="34" t="str">
        <x:v>nostore</x:v>
      </x:c>
      <x:c r="E113" s="36" t="n">
        <x:v>1</x:v>
      </x:c>
      <x:c r="F113" s="36" t="n">
        <x:v>1</x:v>
      </x:c>
      <x:c r="G113" s="36" t="n">
        <x:v>3</x:v>
      </x:c>
      <x:c r="H113" s="36" t="n">
        <x:v>4</x:v>
      </x:c>
      <x:c r="I113" s="34" t="str">
        <x:v>afterUndeploy</x:v>
      </x:c>
      <x:c r="J113" s="34" t="str">
        <x:v>after-undeploy-final</x:v>
      </x:c>
      <x:c r="K113" s="36" t="n">
        <x:v>1</x:v>
      </x:c>
      <x:c r="L113" s="34" t="str">
        <x:v>final</x:v>
      </x:c>
      <x:c r="M113" s="34" t="str">
        <x:v>article1-unified-v4-2-fb3f101b-20260903-000401-default-f01-p3-nostore-4-after-undeploy-final-10s</x:v>
      </x:c>
      <x:c r="N113" s="38" t="n">
        <x:v>46267.93898616898</x:v>
      </x:c>
      <x:c r="O113" s="36" t="n">
        <x:v>2</x:v>
      </x:c>
      <x:c r="P113" s="43" t="n">
        <x:v>15330304</x:v>
      </x:c>
      <x:c r="Q113" s="43" t="n">
        <x:v>268435456</x:v>
      </x:c>
      <x:c r="R113" s="43" t="n">
        <x:v>420395008</x:v>
      </x:c>
      <x:c r="S113" s="36" t="n">
        <x:v>2</x:v>
      </x:c>
      <x:c r="T113" s="44" t="str">
        <x:v>0x00000000181177b8  0x0000000018003818  0x0000774f686534c0       0         0         0  org.apache.catalina.loader.ParallelWebappClassLoader | 0x00000000181177b8  0x0000000018003818  0x0000774ee006a980    4296  20463616  20443136  org.apache.catalina.loader.ParallelWebappClassLoader</x:v>
      </x:c>
      <x:c r="U113" s="36" t="n">
        <x:v>27</x:v>
      </x:c>
      <x:c r="V113" s="36" t="n">
        <x:v>0</x:v>
      </x:c>
      <x:c r="W113" s="44"/>
      <x:c r="X113" s="36" t="n">
        <x:v>1</x:v>
      </x:c>
      <x:c r="Y113" s="36" t="n">
        <x:v>1</x:v>
      </x:c>
      <x:c r="Z113" s="44" t="str">
        <x:v>/nostore</x:v>
      </x:c>
      <x:c r="AA113" s="45" t="b">
        <x:v>1</x:v>
      </x:c>
      <x:c r="AB113" s="43"/>
      <x:c r="AC113" s="34" t="str">
        <x:v>article1-unified-v4-2-fb3f101b-20260903-000401-default-f01-p3-nostore-4-after-undeploy-final-10s-heap-info.txt</x:v>
      </x:c>
      <x:c r="AD113" s="34" t="str">
        <x:v>article1-unified-v4-2-fb3f101b-20260903-000401-default-f01-p3-nostore-4-after-undeploy-final-10s-classloader-stats.txt</x:v>
      </x:c>
      <x:c r="AE113" s="34" t="str">
        <x:v>article1-unified-v4-2-fb3f101b-20260903-000401-default-f01-p3-nostore-4-after-undeploy-final-10s-thread-dump.txt</x:v>
      </x:c>
      <x:c r="AF113" s="34"/>
      <x:c r="AG113" s="34" t="str">
        <x:v>article1-unified-v4-2-fb3f101b-20260903-000401-default-f01-p3-nostore-4-after-undeploy-final-10s-native-memory.txt</x:v>
      </x:c>
      <x:c r="AH113" s="34" t="str">
        <x:v>article1-unified-v4-2-fb3f101b-20260903-000401-default-f01-p3-nostore-4-after-undeploy-final-10s-class-histogram.txt</x:v>
      </x:c>
      <x:c r="AI113" s="34" t="str">
        <x:v>article1-unified-v4-2-fb3f101b-20260903-000401-default-f01-p3-nostore-4-after-undeploy-tomcat-findleaks.txt</x:v>
      </x:c>
    </x:row>
    <x:row r="114">
      <x:c r="A114" s="34" t="str">
        <x:v>article1-unified-v4-2-fb3f101b-20260903-000401-default-f01-p3-nostore</x:v>
      </x:c>
      <x:c r="B114" s="34" t="str">
        <x:v>default</x:v>
      </x:c>
      <x:c r="C114" s="34" t="str">
        <x:v>nostore</x:v>
      </x:c>
      <x:c r="D114" s="34" t="str">
        <x:v>nostore</x:v>
      </x:c>
      <x:c r="E114" s="36" t="n">
        <x:v>1</x:v>
      </x:c>
      <x:c r="F114" s="36" t="n">
        <x:v>1</x:v>
      </x:c>
      <x:c r="G114" s="36" t="n">
        <x:v>3</x:v>
      </x:c>
      <x:c r="H114" s="36" t="n">
        <x:v>4</x:v>
      </x:c>
      <x:c r="I114" s="34" t="str">
        <x:v>redeployedLoaded</x:v>
      </x:c>
      <x:c r="J114" s="34" t="str">
        <x:v>redeployed-loaded</x:v>
      </x:c>
      <x:c r="K114" s="36" t="n">
        <x:v>0</x:v>
      </x:c>
      <x:c r="L114" s="34" t="str">
        <x:v>redeploy</x:v>
      </x:c>
      <x:c r="M114" s="34" t="str">
        <x:v>article1-unified-v4-2-fb3f101b-20260903-000401-default-f01-p3-nostore-4-redeployed-loaded</x:v>
      </x:c>
      <x:c r="N114" s="38" t="n">
        <x:v>46267.939248773146</x:v>
      </x:c>
      <x:c r="O114" s="36" t="n">
        <x:v>0</x:v>
      </x:c>
      <x:c r="P114" s="43" t="n">
        <x:v>312160256</x:v>
      </x:c>
      <x:c r="Q114" s="43" t="n">
        <x:v>333447168</x:v>
      </x:c>
      <x:c r="R114" s="43" t="n">
        <x:v>493207552</x:v>
      </x:c>
      <x:c r="S114" s="36" t="n">
        <x:v>2</x:v>
      </x:c>
      <x:c r="T114" s="44" t="str">
        <x:v>0x00000000181177b8  0x0000000018003818  0x0000774f686534c0       0         0         0  org.apache.catalina.loader.ParallelWebappClassLoader | 0x00000000181177b8  0x0000000018003818  0x0000774ed4008510    4287  20441088  20416224  org.apache.catalina.loader.ParallelWebappClassLoader</x:v>
      </x:c>
      <x:c r="U114" s="36" t="n">
        <x:v>27</x:v>
      </x:c>
      <x:c r="V114" s="36" t="n">
        <x:v>0</x:v>
      </x:c>
      <x:c r="W114" s="44"/>
      <x:c r="X114" s="36"/>
      <x:c r="Y114" s="36"/>
      <x:c r="Z114" s="44"/>
      <x:c r="AA114" s="49"/>
      <x:c r="AB114" s="43"/>
      <x:c r="AC114" s="34"/>
      <x:c r="AD114" s="34"/>
      <x:c r="AE114" s="34"/>
      <x:c r="AF114" s="34"/>
      <x:c r="AG114" s="34"/>
      <x:c r="AH114" s="34"/>
      <x:c r="AI114" s="34"/>
    </x:row>
    <x:row r="115">
      <x:c r="A115" s="34" t="str">
        <x:v>article1-unified-v4-2-fb3f101b-20260903-000401-default-f01-p3-nostore</x:v>
      </x:c>
      <x:c r="B115" s="34" t="str">
        <x:v>default</x:v>
      </x:c>
      <x:c r="C115" s="34" t="str">
        <x:v>nostore</x:v>
      </x:c>
      <x:c r="D115" s="34" t="str">
        <x:v>nostore</x:v>
      </x:c>
      <x:c r="E115" s="36" t="n">
        <x:v>1</x:v>
      </x:c>
      <x:c r="F115" s="36" t="n">
        <x:v>1</x:v>
      </x:c>
      <x:c r="G115" s="36" t="n">
        <x:v>3</x:v>
      </x:c>
      <x:c r="H115" s="36" t="n">
        <x:v>4</x:v>
      </x:c>
      <x:c r="I115" s="34" t="str">
        <x:v>afterFinalUndeployEarly</x:v>
      </x:c>
      <x:c r="J115" s="34" t="str">
        <x:v>after-final-undeploy-early</x:v>
      </x:c>
      <x:c r="K115" s="36" t="n">
        <x:v>2</x:v>
      </x:c>
      <x:c r="L115" s="34" t="str">
        <x:v>early</x:v>
      </x:c>
      <x:c r="M115" s="34" t="str">
        <x:v>article1-unified-v4-2-fb3f101b-20260903-000401-default-f01-p3-nostore-4-after-final-undeploy-early-2s</x:v>
      </x:c>
      <x:c r="N115" s="38" t="n">
        <x:v>46267.939329872686</x:v>
      </x:c>
      <x:c r="O115" s="36"/>
      <x:c r="P115" s="43"/>
      <x:c r="Q115" s="43"/>
      <x:c r="R115" s="43"/>
      <x:c r="S115" s="36"/>
      <x:c r="T115" s="44"/>
      <x:c r="U115" s="36" t="n">
        <x:v>27</x:v>
      </x:c>
      <x:c r="V115" s="36" t="n">
        <x:v>0</x:v>
      </x:c>
      <x:c r="W115" s="44"/>
      <x:c r="X115" s="36"/>
      <x:c r="Y115" s="36"/>
      <x:c r="Z115" s="44"/>
      <x:c r="AA115" s="49"/>
      <x:c r="AB115" s="43" t="n">
        <x:v>1</x:v>
      </x:c>
      <x:c r="AC115" s="34"/>
      <x:c r="AD115" s="34"/>
      <x:c r="AE115" s="34" t="str">
        <x:v>article1-unified-v4-2-fb3f101b-20260903-000401-default-f01-p3-nostore-4-after-final-undeploy-early-2s-thread-dump.txt</x:v>
      </x:c>
      <x:c r="AF115" s="34" t="str">
        <x:v>article1-unified-v4-2-fb3f101b-20260903-000401-default-f01-p3-nostore-4-after-final-undeploy-early-tomcat-log.txt</x:v>
      </x:c>
      <x:c r="AG115" s="34"/>
      <x:c r="AH115" s="34"/>
      <x:c r="AI115" s="34"/>
    </x:row>
    <x:row r="116">
      <x:c r="A116" s="34" t="str">
        <x:v>article1-unified-v4-2-fb3f101b-20260903-000401-default-f01-p3-nostore</x:v>
      </x:c>
      <x:c r="B116" s="34" t="str">
        <x:v>default</x:v>
      </x:c>
      <x:c r="C116" s="34" t="str">
        <x:v>nostore</x:v>
      </x:c>
      <x:c r="D116" s="34" t="str">
        <x:v>nostore</x:v>
      </x:c>
      <x:c r="E116" s="36" t="n">
        <x:v>1</x:v>
      </x:c>
      <x:c r="F116" s="36" t="n">
        <x:v>1</x:v>
      </x:c>
      <x:c r="G116" s="36" t="n">
        <x:v>3</x:v>
      </x:c>
      <x:c r="H116" s="36" t="n">
        <x:v>4</x:v>
      </x:c>
      <x:c r="I116" s="34" t="str">
        <x:v>afterFinalUndeploy</x:v>
      </x:c>
      <x:c r="J116" s="34" t="str">
        <x:v>after-final-undeploy-final</x:v>
      </x:c>
      <x:c r="K116" s="36" t="n">
        <x:v>2</x:v>
      </x:c>
      <x:c r="L116" s="34" t="str">
        <x:v>final</x:v>
      </x:c>
      <x:c r="M116" s="34" t="str">
        <x:v>article1-unified-v4-2-fb3f101b-20260903-000401-default-f01-p3-nostore-4-after-final-undeploy-final-10s</x:v>
      </x:c>
      <x:c r="N116" s="38" t="n">
        <x:v>46267.93948508102</x:v>
      </x:c>
      <x:c r="O116" s="36" t="n">
        <x:v>2</x:v>
      </x:c>
      <x:c r="P116" s="43" t="n">
        <x:v>15345664</x:v>
      </x:c>
      <x:c r="Q116" s="43" t="n">
        <x:v>268435456</x:v>
      </x:c>
      <x:c r="R116" s="43" t="n">
        <x:v>425095168</x:v>
      </x:c>
      <x:c r="S116" s="36" t="n">
        <x:v>2</x:v>
      </x:c>
      <x:c r="T116" s="44" t="str">
        <x:v>0x00000000181177b8  0x0000000018003818  0x0000774ed4008510    4295  20457472  20440856  org.apache.catalina.loader.ParallelWebappClassLoader | 0x00000000181177b8  0x0000000018003818  0x0000774f686534c0       0         0         0  org.apache.catalina.loader.ParallelWebappClassLoader</x:v>
      </x:c>
      <x:c r="U116" s="36" t="n">
        <x:v>27</x:v>
      </x:c>
      <x:c r="V116" s="36" t="n">
        <x:v>0</x:v>
      </x:c>
      <x:c r="W116" s="44"/>
      <x:c r="X116" s="36" t="n">
        <x:v>1</x:v>
      </x:c>
      <x:c r="Y116" s="36" t="n">
        <x:v>1</x:v>
      </x:c>
      <x:c r="Z116" s="44" t="str">
        <x:v>/nostore</x:v>
      </x:c>
      <x:c r="AA116" s="45" t="b">
        <x:v>1</x:v>
      </x:c>
      <x:c r="AB116" s="43"/>
      <x:c r="AC116" s="34" t="str">
        <x:v>article1-unified-v4-2-fb3f101b-20260903-000401-default-f01-p3-nostore-4-after-final-undeploy-final-10s-heap-info.txt</x:v>
      </x:c>
      <x:c r="AD116" s="34" t="str">
        <x:v>article1-unified-v4-2-fb3f101b-20260903-000401-default-f01-p3-nostore-4-after-final-undeploy-final-10s-classloader-stats.txt</x:v>
      </x:c>
      <x:c r="AE116" s="34" t="str">
        <x:v>article1-unified-v4-2-fb3f101b-20260903-000401-default-f01-p3-nostore-4-after-final-undeploy-final-10s-thread-dump.txt</x:v>
      </x:c>
      <x:c r="AF116" s="34"/>
      <x:c r="AG116" s="34" t="str">
        <x:v>article1-unified-v4-2-fb3f101b-20260903-000401-default-f01-p3-nostore-4-after-final-undeploy-final-10s-native-memory.txt</x:v>
      </x:c>
      <x:c r="AH116" s="34" t="str">
        <x:v>article1-unified-v4-2-fb3f101b-20260903-000401-default-f01-p3-nostore-4-after-final-undeploy-final-10s-class-histogram.txt</x:v>
      </x:c>
      <x:c r="AI116" s="34" t="str">
        <x:v>article1-unified-v4-2-fb3f101b-20260903-000401-default-f01-p3-nostore-4-after-final-undeploy-tomcat-findleaks.txt</x:v>
      </x:c>
    </x:row>
    <x:row r="117">
      <x:c r="A117" s="34" t="str">
        <x:v>article1-unified-v4-2-fb3f101b-20260903-000401-default-f01-p3-nostore</x:v>
      </x:c>
      <x:c r="B117" s="34" t="str">
        <x:v>default</x:v>
      </x:c>
      <x:c r="C117" s="34" t="str">
        <x:v>nostore</x:v>
      </x:c>
      <x:c r="D117" s="34" t="str">
        <x:v>nostore</x:v>
      </x:c>
      <x:c r="E117" s="36" t="n">
        <x:v>1</x:v>
      </x:c>
      <x:c r="F117" s="36" t="n">
        <x:v>1</x:v>
      </x:c>
      <x:c r="G117" s="36" t="n">
        <x:v>3</x:v>
      </x:c>
      <x:c r="H117" s="36" t="n">
        <x:v>5</x:v>
      </x:c>
      <x:c r="I117" s="34" t="str">
        <x:v>baseline</x:v>
      </x:c>
      <x:c r="J117" s="34" t="str">
        <x:v>cycle-baseline</x:v>
      </x:c>
      <x:c r="K117" s="36" t="n">
        <x:v>0</x:v>
      </x:c>
      <x:c r="L117" s="34" t="str">
        <x:v>baseline</x:v>
      </x:c>
      <x:c r="M117" s="34" t="str">
        <x:v>article1-unified-v4-2-fb3f101b-20260903-000401-default-f01-p3-nostore-5-baseline</x:v>
      </x:c>
      <x:c r="N117" s="38" t="n">
        <x:v>46267.939527152776</x:v>
      </x:c>
      <x:c r="O117" s="36" t="n">
        <x:v>0</x:v>
      </x:c>
      <x:c r="P117" s="43" t="n">
        <x:v>15345664</x:v>
      </x:c>
      <x:c r="Q117" s="43" t="n">
        <x:v>268435456</x:v>
      </x:c>
      <x:c r="R117" s="43" t="n">
        <x:v>424832000</x:v>
      </x:c>
      <x:c r="S117" s="36" t="n">
        <x:v>2</x:v>
      </x:c>
      <x:c r="T117" s="44" t="str">
        <x:v>0x00000000181177b8  0x0000000018003818  0x0000774ed4008510    4295  20457472  20440856  org.apache.catalina.loader.ParallelWebappClassLoader | 0x00000000181177b8  0x0000000018003818  0x0000774f686534c0       0         0         0  org.apache.catalina.loader.ParallelWebappClassLoader</x:v>
      </x:c>
      <x:c r="U117" s="36" t="n">
        <x:v>27</x:v>
      </x:c>
      <x:c r="V117" s="36" t="n">
        <x:v>0</x:v>
      </x:c>
      <x:c r="W117" s="44"/>
      <x:c r="X117" s="36"/>
      <x:c r="Y117" s="36"/>
      <x:c r="Z117" s="44"/>
      <x:c r="AA117" s="49"/>
      <x:c r="AB117" s="43"/>
      <x:c r="AC117" s="34" t="str">
        <x:v>article1-unified-v4-2-fb3f101b-20260903-000401-default-f01-p3-nostore-5-baseline-heap-info.txt</x:v>
      </x:c>
      <x:c r="AD117" s="34" t="str">
        <x:v>article1-unified-v4-2-fb3f101b-20260903-000401-default-f01-p3-nostore-5-baseline-classloader-stats.txt</x:v>
      </x:c>
      <x:c r="AE117" s="34" t="str">
        <x:v>article1-unified-v4-2-fb3f101b-20260903-000401-default-f01-p3-nostore-5-baseline-thread-dump.txt</x:v>
      </x:c>
      <x:c r="AF117" s="34"/>
      <x:c r="AG117" s="34" t="str">
        <x:v>article1-unified-v4-2-fb3f101b-20260903-000401-default-f01-p3-nostore-5-baseline-native-memory.txt</x:v>
      </x:c>
      <x:c r="AH117" s="34"/>
      <x:c r="AI117" s="34"/>
    </x:row>
    <x:row r="118">
      <x:c r="A118" s="34" t="str">
        <x:v>article1-unified-v4-2-fb3f101b-20260903-000401-default-f01-p3-nostore</x:v>
      </x:c>
      <x:c r="B118" s="34" t="str">
        <x:v>default</x:v>
      </x:c>
      <x:c r="C118" s="34" t="str">
        <x:v>nostore</x:v>
      </x:c>
      <x:c r="D118" s="34" t="str">
        <x:v>nostore</x:v>
      </x:c>
      <x:c r="E118" s="36" t="n">
        <x:v>1</x:v>
      </x:c>
      <x:c r="F118" s="36" t="n">
        <x:v>1</x:v>
      </x:c>
      <x:c r="G118" s="36" t="n">
        <x:v>3</x:v>
      </x:c>
      <x:c r="H118" s="36" t="n">
        <x:v>5</x:v>
      </x:c>
      <x:c r="I118" s="34" t="str">
        <x:v>deployedIdle</x:v>
      </x:c>
      <x:c r="J118" s="34" t="str">
        <x:v>deployed-idle</x:v>
      </x:c>
      <x:c r="K118" s="36" t="n">
        <x:v>0</x:v>
      </x:c>
      <x:c r="L118" s="34" t="str">
        <x:v>initial</x:v>
      </x:c>
      <x:c r="M118" s="34" t="str">
        <x:v>article1-unified-v4-2-fb3f101b-20260903-000401-default-f01-p3-nostore-5-deployed-idle</x:v>
      </x:c>
      <x:c r="N118" s="38" t="n">
        <x:v>46267.93962377315</x:v>
      </x:c>
      <x:c r="O118" s="36" t="n">
        <x:v>0</x:v>
      </x:c>
      <x:c r="P118" s="43" t="n">
        <x:v>167684096</x:v>
      </x:c>
      <x:c r="Q118" s="43" t="n">
        <x:v>268435456</x:v>
      </x:c>
      <x:c r="R118" s="43" t="n">
        <x:v>440540160</x:v>
      </x:c>
      <x:c r="S118" s="36" t="n">
        <x:v>3</x:v>
      </x:c>
      <x:c r="T118" s="44" t="str">
        <x:v>0x00000000181177b8  0x0000000018003818  0x0000774ed4008510    4295  20457472  20440856  org.apache.catalina.loader.ParallelWebappClassLoader | 0x00000000181177b8  0x0000000018003818  0x0000774f686534c0       0         0         0  org.apache.catalina.loader.ParallelWebappClassLoader | 0x00000000181177b8  0x0000000018003818  0x0000774ec07a4c00    4091  19451904  19430760  org.apache.catalina.loader.ParallelWebappClassLoader</x:v>
      </x:c>
      <x:c r="U118" s="36" t="n">
        <x:v>27</x:v>
      </x:c>
      <x:c r="V118" s="36" t="n">
        <x:v>0</x:v>
      </x:c>
      <x:c r="W118" s="44"/>
      <x:c r="X118" s="36"/>
      <x:c r="Y118" s="36"/>
      <x:c r="Z118" s="44"/>
      <x:c r="AA118" s="49"/>
      <x:c r="AB118" s="43"/>
      <x:c r="AC118" s="34"/>
      <x:c r="AD118" s="34"/>
      <x:c r="AE118" s="34"/>
      <x:c r="AF118" s="34"/>
      <x:c r="AG118" s="34"/>
      <x:c r="AH118" s="34"/>
      <x:c r="AI118" s="34"/>
    </x:row>
    <x:row r="119">
      <x:c r="A119" s="34" t="str">
        <x:v>article1-unified-v4-2-fb3f101b-20260903-000401-default-f01-p3-nostore</x:v>
      </x:c>
      <x:c r="B119" s="34" t="str">
        <x:v>default</x:v>
      </x:c>
      <x:c r="C119" s="34" t="str">
        <x:v>nostore</x:v>
      </x:c>
      <x:c r="D119" s="34" t="str">
        <x:v>nostore</x:v>
      </x:c>
      <x:c r="E119" s="36" t="n">
        <x:v>1</x:v>
      </x:c>
      <x:c r="F119" s="36" t="n">
        <x:v>1</x:v>
      </x:c>
      <x:c r="G119" s="36" t="n">
        <x:v>3</x:v>
      </x:c>
      <x:c r="H119" s="36" t="n">
        <x:v>5</x:v>
      </x:c>
      <x:c r="I119" s="34" t="str">
        <x:v>loaded</x:v>
      </x:c>
      <x:c r="J119" s="34" t="str">
        <x:v>loaded</x:v>
      </x:c>
      <x:c r="K119" s="36" t="n">
        <x:v>0</x:v>
      </x:c>
      <x:c r="L119" s="34" t="str">
        <x:v>initial</x:v>
      </x:c>
      <x:c r="M119" s="34" t="str">
        <x:v>article1-unified-v4-2-fb3f101b-20260903-000401-default-f01-p3-nostore-5-loaded</x:v>
      </x:c>
      <x:c r="N119" s="38" t="n">
        <x:v>46267.93978349537</x:v>
      </x:c>
      <x:c r="O119" s="36" t="n">
        <x:v>0</x:v>
      </x:c>
      <x:c r="P119" s="43" t="n">
        <x:v>299873280</x:v>
      </x:c>
      <x:c r="Q119" s="43" t="n">
        <x:v>331350016</x:v>
      </x:c>
      <x:c r="R119" s="43" t="n">
        <x:v>487105536</x:v>
      </x:c>
      <x:c r="S119" s="36" t="n">
        <x:v>2</x:v>
      </x:c>
      <x:c r="T119" s="44" t="str">
        <x:v>0x00000000181177b8  0x0000000018003818  0x0000774f686534c0       0         0         0  org.apache.catalina.loader.ParallelWebappClassLoader | 0x00000000181177b8  0x0000000018003818  0x0000774ec07a4c00    4289  20434944  20422536  org.apache.catalina.loader.ParallelWebappClassLoader</x:v>
      </x:c>
      <x:c r="U119" s="36" t="n">
        <x:v>27</x:v>
      </x:c>
      <x:c r="V119" s="36" t="n">
        <x:v>0</x:v>
      </x:c>
      <x:c r="W119" s="44"/>
      <x:c r="X119" s="36"/>
      <x:c r="Y119" s="36"/>
      <x:c r="Z119" s="44"/>
      <x:c r="AA119" s="49"/>
      <x:c r="AB119" s="43"/>
      <x:c r="AC119" s="34"/>
      <x:c r="AD119" s="34"/>
      <x:c r="AE119" s="34"/>
      <x:c r="AF119" s="34"/>
      <x:c r="AG119" s="34"/>
      <x:c r="AH119" s="34"/>
      <x:c r="AI119" s="34"/>
    </x:row>
    <x:row r="120">
      <x:c r="A120" s="34" t="str">
        <x:v>article1-unified-v4-2-fb3f101b-20260903-000401-default-f01-p3-nostore</x:v>
      </x:c>
      <x:c r="B120" s="34" t="str">
        <x:v>default</x:v>
      </x:c>
      <x:c r="C120" s="34" t="str">
        <x:v>nostore</x:v>
      </x:c>
      <x:c r="D120" s="34" t="str">
        <x:v>nostore</x:v>
      </x:c>
      <x:c r="E120" s="36" t="n">
        <x:v>1</x:v>
      </x:c>
      <x:c r="F120" s="36" t="n">
        <x:v>1</x:v>
      </x:c>
      <x:c r="G120" s="36" t="n">
        <x:v>3</x:v>
      </x:c>
      <x:c r="H120" s="36" t="n">
        <x:v>5</x:v>
      </x:c>
      <x:c r="I120" s="34" t="str">
        <x:v>afterUndeployEarly</x:v>
      </x:c>
      <x:c r="J120" s="34" t="str">
        <x:v>after-undeploy-early</x:v>
      </x:c>
      <x:c r="K120" s="36" t="n">
        <x:v>1</x:v>
      </x:c>
      <x:c r="L120" s="34" t="str">
        <x:v>early</x:v>
      </x:c>
      <x:c r="M120" s="34" t="str">
        <x:v>article1-unified-v4-2-fb3f101b-20260903-000401-default-f01-p3-nostore-5-after-undeploy-early-2s</x:v>
      </x:c>
      <x:c r="N120" s="38" t="n">
        <x:v>46267.93986590278</x:v>
      </x:c>
      <x:c r="O120" s="36"/>
      <x:c r="P120" s="43"/>
      <x:c r="Q120" s="43"/>
      <x:c r="R120" s="43"/>
      <x:c r="S120" s="36"/>
      <x:c r="T120" s="44"/>
      <x:c r="U120" s="36" t="n">
        <x:v>27</x:v>
      </x:c>
      <x:c r="V120" s="36" t="n">
        <x:v>0</x:v>
      </x:c>
      <x:c r="W120" s="44"/>
      <x:c r="X120" s="36"/>
      <x:c r="Y120" s="36"/>
      <x:c r="Z120" s="44"/>
      <x:c r="AA120" s="49"/>
      <x:c r="AB120" s="43" t="n">
        <x:v>1</x:v>
      </x:c>
      <x:c r="AC120" s="34"/>
      <x:c r="AD120" s="34"/>
      <x:c r="AE120" s="34" t="str">
        <x:v>article1-unified-v4-2-fb3f101b-20260903-000401-default-f01-p3-nostore-5-after-undeploy-early-2s-thread-dump.txt</x:v>
      </x:c>
      <x:c r="AF120" s="34" t="str">
        <x:v>article1-unified-v4-2-fb3f101b-20260903-000401-default-f01-p3-nostore-5-after-undeploy-early-tomcat-log.txt</x:v>
      </x:c>
      <x:c r="AG120" s="34"/>
      <x:c r="AH120" s="34"/>
      <x:c r="AI120" s="34"/>
    </x:row>
    <x:row r="121">
      <x:c r="A121" s="34" t="str">
        <x:v>article1-unified-v4-2-fb3f101b-20260903-000401-default-f01-p3-nostore</x:v>
      </x:c>
      <x:c r="B121" s="34" t="str">
        <x:v>default</x:v>
      </x:c>
      <x:c r="C121" s="34" t="str">
        <x:v>nostore</x:v>
      </x:c>
      <x:c r="D121" s="34" t="str">
        <x:v>nostore</x:v>
      </x:c>
      <x:c r="E121" s="36" t="n">
        <x:v>1</x:v>
      </x:c>
      <x:c r="F121" s="36" t="n">
        <x:v>1</x:v>
      </x:c>
      <x:c r="G121" s="36" t="n">
        <x:v>3</x:v>
      </x:c>
      <x:c r="H121" s="36" t="n">
        <x:v>5</x:v>
      </x:c>
      <x:c r="I121" s="34" t="str">
        <x:v>afterUndeploy</x:v>
      </x:c>
      <x:c r="J121" s="34" t="str">
        <x:v>after-undeploy-final</x:v>
      </x:c>
      <x:c r="K121" s="36" t="n">
        <x:v>1</x:v>
      </x:c>
      <x:c r="L121" s="34" t="str">
        <x:v>final</x:v>
      </x:c>
      <x:c r="M121" s="34" t="str">
        <x:v>article1-unified-v4-2-fb3f101b-20260903-000401-default-f01-p3-nostore-5-after-undeploy-final-10s</x:v>
      </x:c>
      <x:c r="N121" s="38" t="n">
        <x:v>46267.940021296294</x:v>
      </x:c>
      <x:c r="O121" s="36" t="n">
        <x:v>2</x:v>
      </x:c>
      <x:c r="P121" s="43" t="n">
        <x:v>15367168</x:v>
      </x:c>
      <x:c r="Q121" s="43" t="n">
        <x:v>268435456</x:v>
      </x:c>
      <x:c r="R121" s="43" t="n">
        <x:v>422689792</x:v>
      </x:c>
      <x:c r="S121" s="36" t="n">
        <x:v>2</x:v>
      </x:c>
      <x:c r="T121" s="44" t="str">
        <x:v>0x00000000181177b8  0x0000000018003818  0x0000774f686534c0       0         0         0  org.apache.catalina.loader.ParallelWebappClassLoader | 0x00000000181177b8  0x0000000018003818  0x0000774ec07a4c00    4297  20467712  20447168  org.apache.catalina.loader.ParallelWebappClassLoader</x:v>
      </x:c>
      <x:c r="U121" s="36" t="n">
        <x:v>27</x:v>
      </x:c>
      <x:c r="V121" s="36" t="n">
        <x:v>0</x:v>
      </x:c>
      <x:c r="W121" s="44"/>
      <x:c r="X121" s="36" t="n">
        <x:v>1</x:v>
      </x:c>
      <x:c r="Y121" s="36" t="n">
        <x:v>1</x:v>
      </x:c>
      <x:c r="Z121" s="44" t="str">
        <x:v>/nostore</x:v>
      </x:c>
      <x:c r="AA121" s="45" t="b">
        <x:v>1</x:v>
      </x:c>
      <x:c r="AB121" s="43"/>
      <x:c r="AC121" s="34" t="str">
        <x:v>article1-unified-v4-2-fb3f101b-20260903-000401-default-f01-p3-nostore-5-after-undeploy-final-10s-heap-info.txt</x:v>
      </x:c>
      <x:c r="AD121" s="34" t="str">
        <x:v>article1-unified-v4-2-fb3f101b-20260903-000401-default-f01-p3-nostore-5-after-undeploy-final-10s-classloader-stats.txt</x:v>
      </x:c>
      <x:c r="AE121" s="34" t="str">
        <x:v>article1-unified-v4-2-fb3f101b-20260903-000401-default-f01-p3-nostore-5-after-undeploy-final-10s-thread-dump.txt</x:v>
      </x:c>
      <x:c r="AF121" s="34"/>
      <x:c r="AG121" s="34" t="str">
        <x:v>article1-unified-v4-2-fb3f101b-20260903-000401-default-f01-p3-nostore-5-after-undeploy-final-10s-native-memory.txt</x:v>
      </x:c>
      <x:c r="AH121" s="34" t="str">
        <x:v>article1-unified-v4-2-fb3f101b-20260903-000401-default-f01-p3-nostore-5-after-undeploy-final-10s-class-histogram.txt</x:v>
      </x:c>
      <x:c r="AI121" s="34" t="str">
        <x:v>article1-unified-v4-2-fb3f101b-20260903-000401-default-f01-p3-nostore-5-after-undeploy-tomcat-findleaks.txt</x:v>
      </x:c>
    </x:row>
    <x:row r="122">
      <x:c r="A122" s="34" t="str">
        <x:v>article1-unified-v4-2-fb3f101b-20260903-000401-default-f01-p3-nostore</x:v>
      </x:c>
      <x:c r="B122" s="34" t="str">
        <x:v>default</x:v>
      </x:c>
      <x:c r="C122" s="34" t="str">
        <x:v>nostore</x:v>
      </x:c>
      <x:c r="D122" s="34" t="str">
        <x:v>nostore</x:v>
      </x:c>
      <x:c r="E122" s="36" t="n">
        <x:v>1</x:v>
      </x:c>
      <x:c r="F122" s="36" t="n">
        <x:v>1</x:v>
      </x:c>
      <x:c r="G122" s="36" t="n">
        <x:v>3</x:v>
      </x:c>
      <x:c r="H122" s="36" t="n">
        <x:v>5</x:v>
      </x:c>
      <x:c r="I122" s="34" t="str">
        <x:v>redeployedLoaded</x:v>
      </x:c>
      <x:c r="J122" s="34" t="str">
        <x:v>redeployed-loaded</x:v>
      </x:c>
      <x:c r="K122" s="36" t="n">
        <x:v>0</x:v>
      </x:c>
      <x:c r="L122" s="34" t="str">
        <x:v>redeploy</x:v>
      </x:c>
      <x:c r="M122" s="34" t="str">
        <x:v>article1-unified-v4-2-fb3f101b-20260903-000401-default-f01-p3-nostore-5-redeployed-loaded</x:v>
      </x:c>
      <x:c r="N122" s="38" t="n">
        <x:v>46267.94028726852</x:v>
      </x:c>
      <x:c r="O122" s="36" t="n">
        <x:v>0</x:v>
      </x:c>
      <x:c r="P122" s="43" t="n">
        <x:v>298186752</x:v>
      </x:c>
      <x:c r="Q122" s="43" t="n">
        <x:v>326107136</x:v>
      </x:c>
      <x:c r="R122" s="43" t="n">
        <x:v>486755328</x:v>
      </x:c>
      <x:c r="S122" s="36" t="n">
        <x:v>2</x:v>
      </x:c>
      <x:c r="T122" s="44" t="str">
        <x:v>0x00000000181177b8  0x0000000018003818  0x0000774f686534c0       0         0         0  org.apache.catalina.loader.ParallelWebappClassLoader | 0x00000000181177b8  0x0000000018003818  0x0000774e7c001ad0    4292  20439040  20425800  org.apache.catalina.loader.ParallelWebappClassLoader</x:v>
      </x:c>
      <x:c r="U122" s="36" t="n">
        <x:v>27</x:v>
      </x:c>
      <x:c r="V122" s="36" t="n">
        <x:v>0</x:v>
      </x:c>
      <x:c r="W122" s="44"/>
      <x:c r="X122" s="36"/>
      <x:c r="Y122" s="36"/>
      <x:c r="Z122" s="44"/>
      <x:c r="AA122" s="49"/>
      <x:c r="AB122" s="43"/>
      <x:c r="AC122" s="34"/>
      <x:c r="AD122" s="34"/>
      <x:c r="AE122" s="34"/>
      <x:c r="AF122" s="34"/>
      <x:c r="AG122" s="34"/>
      <x:c r="AH122" s="34"/>
      <x:c r="AI122" s="34"/>
    </x:row>
    <x:row r="123">
      <x:c r="A123" s="34" t="str">
        <x:v>article1-unified-v4-2-fb3f101b-20260903-000401-default-f01-p3-nostore</x:v>
      </x:c>
      <x:c r="B123" s="34" t="str">
        <x:v>default</x:v>
      </x:c>
      <x:c r="C123" s="34" t="str">
        <x:v>nostore</x:v>
      </x:c>
      <x:c r="D123" s="34" t="str">
        <x:v>nostore</x:v>
      </x:c>
      <x:c r="E123" s="36" t="n">
        <x:v>1</x:v>
      </x:c>
      <x:c r="F123" s="36" t="n">
        <x:v>1</x:v>
      </x:c>
      <x:c r="G123" s="36" t="n">
        <x:v>3</x:v>
      </x:c>
      <x:c r="H123" s="36" t="n">
        <x:v>5</x:v>
      </x:c>
      <x:c r="I123" s="34" t="str">
        <x:v>afterFinalUndeployEarly</x:v>
      </x:c>
      <x:c r="J123" s="34" t="str">
        <x:v>after-final-undeploy-early</x:v>
      </x:c>
      <x:c r="K123" s="36" t="n">
        <x:v>2</x:v>
      </x:c>
      <x:c r="L123" s="34" t="str">
        <x:v>early</x:v>
      </x:c>
      <x:c r="M123" s="34" t="str">
        <x:v>article1-unified-v4-2-fb3f101b-20260903-000401-default-f01-p3-nostore-5-after-final-undeploy-early-2s</x:v>
      </x:c>
      <x:c r="N123" s="38" t="n">
        <x:v>46267.94036961805</x:v>
      </x:c>
      <x:c r="O123" s="36"/>
      <x:c r="P123" s="43"/>
      <x:c r="Q123" s="43"/>
      <x:c r="R123" s="43"/>
      <x:c r="S123" s="36"/>
      <x:c r="T123" s="44"/>
      <x:c r="U123" s="36" t="n">
        <x:v>27</x:v>
      </x:c>
      <x:c r="V123" s="36" t="n">
        <x:v>0</x:v>
      </x:c>
      <x:c r="W123" s="44"/>
      <x:c r="X123" s="36"/>
      <x:c r="Y123" s="36"/>
      <x:c r="Z123" s="44"/>
      <x:c r="AA123" s="49"/>
      <x:c r="AB123" s="43" t="n">
        <x:v>1</x:v>
      </x:c>
      <x:c r="AC123" s="34"/>
      <x:c r="AD123" s="34"/>
      <x:c r="AE123" s="34" t="str">
        <x:v>article1-unified-v4-2-fb3f101b-20260903-000401-default-f01-p3-nostore-5-after-final-undeploy-early-2s-thread-dump.txt</x:v>
      </x:c>
      <x:c r="AF123" s="34" t="str">
        <x:v>article1-unified-v4-2-fb3f101b-20260903-000401-default-f01-p3-nostore-5-after-final-undeploy-early-tomcat-log.txt</x:v>
      </x:c>
      <x:c r="AG123" s="34"/>
      <x:c r="AH123" s="34"/>
      <x:c r="AI123" s="34"/>
    </x:row>
    <x:row r="124">
      <x:c r="A124" s="34" t="str">
        <x:v>article1-unified-v4-2-fb3f101b-20260903-000401-default-f01-p3-nostore</x:v>
      </x:c>
      <x:c r="B124" s="34" t="str">
        <x:v>default</x:v>
      </x:c>
      <x:c r="C124" s="34" t="str">
        <x:v>nostore</x:v>
      </x:c>
      <x:c r="D124" s="34" t="str">
        <x:v>nostore</x:v>
      </x:c>
      <x:c r="E124" s="36" t="n">
        <x:v>1</x:v>
      </x:c>
      <x:c r="F124" s="36" t="n">
        <x:v>1</x:v>
      </x:c>
      <x:c r="G124" s="36" t="n">
        <x:v>3</x:v>
      </x:c>
      <x:c r="H124" s="36" t="n">
        <x:v>5</x:v>
      </x:c>
      <x:c r="I124" s="34" t="str">
        <x:v>afterFinalUndeploy</x:v>
      </x:c>
      <x:c r="J124" s="34" t="str">
        <x:v>after-final-undeploy-final</x:v>
      </x:c>
      <x:c r="K124" s="36" t="n">
        <x:v>2</x:v>
      </x:c>
      <x:c r="L124" s="34" t="str">
        <x:v>final</x:v>
      </x:c>
      <x:c r="M124" s="34" t="str">
        <x:v>article1-unified-v4-2-fb3f101b-20260903-000401-default-f01-p3-nostore-5-after-final-undeploy-final-10s</x:v>
      </x:c>
      <x:c r="N124" s="38" t="n">
        <x:v>46267.940520613425</x:v>
      </x:c>
      <x:c r="O124" s="36" t="n">
        <x:v>2</x:v>
      </x:c>
      <x:c r="P124" s="43" t="n">
        <x:v>15384576</x:v>
      </x:c>
      <x:c r="Q124" s="43" t="n">
        <x:v>268435456</x:v>
      </x:c>
      <x:c r="R124" s="43" t="n">
        <x:v>426703872</x:v>
      </x:c>
      <x:c r="S124" s="36" t="n">
        <x:v>2</x:v>
      </x:c>
      <x:c r="T124" s="44" t="str">
        <x:v>0x00000000181177b8  0x0000000018003818  0x0000774f686534c0       0         0         0  org.apache.catalina.loader.ParallelWebappClassLoader | 0x00000000181177b8  0x0000000018003818  0x0000774e7c001ad0    4300  20471808  20449896  org.apache.catalina.loader.ParallelWebappClassLoader</x:v>
      </x:c>
      <x:c r="U124" s="36" t="n">
        <x:v>27</x:v>
      </x:c>
      <x:c r="V124" s="36" t="n">
        <x:v>0</x:v>
      </x:c>
      <x:c r="W124" s="44"/>
      <x:c r="X124" s="36" t="n">
        <x:v>1</x:v>
      </x:c>
      <x:c r="Y124" s="36" t="n">
        <x:v>1</x:v>
      </x:c>
      <x:c r="Z124" s="44" t="str">
        <x:v>/nostore</x:v>
      </x:c>
      <x:c r="AA124" s="45" t="b">
        <x:v>1</x:v>
      </x:c>
      <x:c r="AB124" s="43"/>
      <x:c r="AC124" s="34" t="str">
        <x:v>article1-unified-v4-2-fb3f101b-20260903-000401-default-f01-p3-nostore-5-after-final-undeploy-final-10s-heap-info.txt</x:v>
      </x:c>
      <x:c r="AD124" s="34" t="str">
        <x:v>article1-unified-v4-2-fb3f101b-20260903-000401-default-f01-p3-nostore-5-after-final-undeploy-final-10s-classloader-stats.txt</x:v>
      </x:c>
      <x:c r="AE124" s="34" t="str">
        <x:v>article1-unified-v4-2-fb3f101b-20260903-000401-default-f01-p3-nostore-5-after-final-undeploy-final-10s-thread-dump.txt</x:v>
      </x:c>
      <x:c r="AF124" s="34"/>
      <x:c r="AG124" s="34" t="str">
        <x:v>article1-unified-v4-2-fb3f101b-20260903-000401-default-f01-p3-nostore-5-after-final-undeploy-final-10s-native-memory.txt</x:v>
      </x:c>
      <x:c r="AH124" s="34" t="str">
        <x:v>article1-unified-v4-2-fb3f101b-20260903-000401-default-f01-p3-nostore-5-after-final-undeploy-final-10s-class-histogram.txt</x:v>
      </x:c>
      <x:c r="AI124" s="34" t="str">
        <x:v>article1-unified-v4-2-fb3f101b-20260903-000401-default-f01-p3-nostore-5-after-final-undeploy-tomcat-findleaks.txt</x:v>
      </x:c>
    </x:row>
    <x:row r="125">
      <x:c r="A125" s="34" t="str">
        <x:v>article1-unified-v4-2-fb3f101b-20260903-000401-default-f01-p4-cache2k</x:v>
      </x:c>
      <x:c r="B125" s="34" t="str">
        <x:v>default</x:v>
      </x:c>
      <x:c r="C125" s="34" t="str">
        <x:v>cache2k</x:v>
      </x:c>
      <x:c r="D125" s="34" t="str">
        <x:v>cache2k</x:v>
      </x:c>
      <x:c r="E125" s="36" t="n">
        <x:v>1</x:v>
      </x:c>
      <x:c r="F125" s="36" t="n">
        <x:v>1</x:v>
      </x:c>
      <x:c r="G125" s="36" t="n">
        <x:v>4</x:v>
      </x:c>
      <x:c r="H125" s="36" t="n">
        <x:v>0</x:v>
      </x:c>
      <x:c r="I125" s="34" t="str">
        <x:v>processBaseline</x:v>
      </x:c>
      <x:c r="J125" s="34" t="str">
        <x:v>process-baseline</x:v>
      </x:c>
      <x:c r="K125" s="36" t="n">
        <x:v>0</x:v>
      </x:c>
      <x:c r="L125" s="34" t="str">
        <x:v>baseline</x:v>
      </x:c>
      <x:c r="M125" s="34" t="str">
        <x:v>article1-unified-v4-2-fb3f101b-20260903-000401-default-f01-p4-cache2k-process-baseline</x:v>
      </x:c>
      <x:c r="N125" s="38" t="n">
        <x:v>46267.94075298611</x:v>
      </x:c>
      <x:c r="O125" s="36" t="n">
        <x:v>0</x:v>
      </x:c>
      <x:c r="P125" s="43" t="n">
        <x:v>32696320</x:v>
      </x:c>
      <x:c r="Q125" s="43" t="n">
        <x:v>270532608</x:v>
      </x:c>
      <x:c r="R125" s="43" t="n">
        <x:v>369276928</x:v>
      </x:c>
      <x:c r="S125" s="36" t="n">
        <x:v>1</x:v>
      </x:c>
      <x:c r="T125" s="44" t="str">
        <x:v>0x00000000461177b8  0x0000000046003818  0x00007499685f52b0       0         0         0  org.apache.catalina.loader.ParallelWebappClassLoader</x:v>
      </x:c>
      <x:c r="U125" s="36" t="n">
        <x:v>27</x:v>
      </x:c>
      <x:c r="V125" s="36" t="n">
        <x:v>0</x:v>
      </x:c>
      <x:c r="W125" s="44"/>
      <x:c r="X125" s="36"/>
      <x:c r="Y125" s="36"/>
      <x:c r="Z125" s="44"/>
      <x:c r="AA125" s="49"/>
      <x:c r="AB125" s="43"/>
      <x:c r="AC125" s="34" t="str">
        <x:v>article1-unified-v4-2-fb3f101b-20260903-000401-default-f01-p4-cache2k-process-baseline-heap-info.txt</x:v>
      </x:c>
      <x:c r="AD125" s="34" t="str">
        <x:v>article1-unified-v4-2-fb3f101b-20260903-000401-default-f01-p4-cache2k-process-baseline-classloader-stats.txt</x:v>
      </x:c>
      <x:c r="AE125" s="34" t="str">
        <x:v>article1-unified-v4-2-fb3f101b-20260903-000401-default-f01-p4-cache2k-process-baseline-thread-dump.txt</x:v>
      </x:c>
      <x:c r="AF125" s="34"/>
      <x:c r="AG125" s="34" t="str">
        <x:v>article1-unified-v4-2-fb3f101b-20260903-000401-default-f01-p4-cache2k-process-baseline-native-memory.txt</x:v>
      </x:c>
      <x:c r="AH125" s="34"/>
      <x:c r="AI125" s="34"/>
    </x:row>
    <x:row r="126">
      <x:c r="A126" s="34" t="str">
        <x:v>article1-unified-v4-2-fb3f101b-20260903-000401-default-f01-p4-cache2k</x:v>
      </x:c>
      <x:c r="B126" s="34" t="str">
        <x:v>default</x:v>
      </x:c>
      <x:c r="C126" s="34" t="str">
        <x:v>cache2k</x:v>
      </x:c>
      <x:c r="D126" s="34" t="str">
        <x:v>cache2k</x:v>
      </x:c>
      <x:c r="E126" s="36" t="n">
        <x:v>1</x:v>
      </x:c>
      <x:c r="F126" s="36" t="n">
        <x:v>1</x:v>
      </x:c>
      <x:c r="G126" s="36" t="n">
        <x:v>4</x:v>
      </x:c>
      <x:c r="H126" s="36" t="n">
        <x:v>1</x:v>
      </x:c>
      <x:c r="I126" s="34" t="str">
        <x:v>baseline</x:v>
      </x:c>
      <x:c r="J126" s="34" t="str">
        <x:v>cycle-baseline</x:v>
      </x:c>
      <x:c r="K126" s="36" t="n">
        <x:v>0</x:v>
      </x:c>
      <x:c r="L126" s="34" t="str">
        <x:v>baseline</x:v>
      </x:c>
      <x:c r="M126" s="34" t="str">
        <x:v>article1-unified-v4-2-fb3f101b-20260903-000401-default-f01-p4-cache2k-1-baseline</x:v>
      </x:c>
      <x:c r="N126" s="38" t="n">
        <x:v>46267.94093324074</x:v>
      </x:c>
      <x:c r="O126" s="36" t="n">
        <x:v>0</x:v>
      </x:c>
      <x:c r="P126" s="43" t="n">
        <x:v>32696320</x:v>
      </x:c>
      <x:c r="Q126" s="43" t="n">
        <x:v>270532608</x:v>
      </x:c>
      <x:c r="R126" s="43" t="n">
        <x:v>369862656</x:v>
      </x:c>
      <x:c r="S126" s="36" t="n">
        <x:v>1</x:v>
      </x:c>
      <x:c r="T126" s="44" t="str">
        <x:v>0x00000000461177b8  0x0000000046003818  0x00007499685f52b0       0         0         0  org.apache.catalina.loader.ParallelWebappClassLoader</x:v>
      </x:c>
      <x:c r="U126" s="36" t="n">
        <x:v>27</x:v>
      </x:c>
      <x:c r="V126" s="36" t="n">
        <x:v>0</x:v>
      </x:c>
      <x:c r="W126" s="44"/>
      <x:c r="X126" s="36"/>
      <x:c r="Y126" s="36"/>
      <x:c r="Z126" s="44"/>
      <x:c r="AA126" s="49"/>
      <x:c r="AB126" s="43"/>
      <x:c r="AC126" s="34" t="str">
        <x:v>article1-unified-v4-2-fb3f101b-20260903-000401-default-f01-p4-cache2k-1-baseline-heap-info.txt</x:v>
      </x:c>
      <x:c r="AD126" s="34" t="str">
        <x:v>article1-unified-v4-2-fb3f101b-20260903-000401-default-f01-p4-cache2k-1-baseline-classloader-stats.txt</x:v>
      </x:c>
      <x:c r="AE126" s="34" t="str">
        <x:v>article1-unified-v4-2-fb3f101b-20260903-000401-default-f01-p4-cache2k-1-baseline-thread-dump.txt</x:v>
      </x:c>
      <x:c r="AF126" s="34"/>
      <x:c r="AG126" s="34" t="str">
        <x:v>article1-unified-v4-2-fb3f101b-20260903-000401-default-f01-p4-cache2k-1-baseline-native-memory.txt</x:v>
      </x:c>
      <x:c r="AH126" s="34"/>
      <x:c r="AI126" s="34"/>
    </x:row>
    <x:row r="127">
      <x:c r="A127" s="34" t="str">
        <x:v>article1-unified-v4-2-fb3f101b-20260903-000401-default-f01-p4-cache2k</x:v>
      </x:c>
      <x:c r="B127" s="34" t="str">
        <x:v>default</x:v>
      </x:c>
      <x:c r="C127" s="34" t="str">
        <x:v>cache2k</x:v>
      </x:c>
      <x:c r="D127" s="34" t="str">
        <x:v>cache2k</x:v>
      </x:c>
      <x:c r="E127" s="36" t="n">
        <x:v>1</x:v>
      </x:c>
      <x:c r="F127" s="36" t="n">
        <x:v>1</x:v>
      </x:c>
      <x:c r="G127" s="36" t="n">
        <x:v>4</x:v>
      </x:c>
      <x:c r="H127" s="36" t="n">
        <x:v>1</x:v>
      </x:c>
      <x:c r="I127" s="34" t="str">
        <x:v>deployedIdle</x:v>
      </x:c>
      <x:c r="J127" s="34" t="str">
        <x:v>deployed-idle</x:v>
      </x:c>
      <x:c r="K127" s="36" t="n">
        <x:v>0</x:v>
      </x:c>
      <x:c r="L127" s="34" t="str">
        <x:v>initial</x:v>
      </x:c>
      <x:c r="M127" s="34" t="str">
        <x:v>article1-unified-v4-2-fb3f101b-20260903-000401-default-f01-p4-cache2k-1-deployed-idle</x:v>
      </x:c>
      <x:c r="N127" s="38" t="n">
        <x:v>46267.94104349537</x:v>
      </x:c>
      <x:c r="O127" s="36" t="n">
        <x:v>0</x:v>
      </x:c>
      <x:c r="P127" s="43" t="n">
        <x:v>23888896</x:v>
      </x:c>
      <x:c r="Q127" s="43" t="n">
        <x:v>268435456</x:v>
      </x:c>
      <x:c r="R127" s="43" t="n">
        <x:v>407940096</x:v>
      </x:c>
      <x:c r="S127" s="36" t="n">
        <x:v>2</x:v>
      </x:c>
      <x:c r="T127" s="44" t="str">
        <x:v>0x00000000461177b8  0x0000000046003818  0x00007498c4045880    4091  19418112  19413640  org.apache.catalina.loader.ParallelWebappClassLoader | 0x00000000461177b8  0x0000000046003818  0x00007499685f52b0       0         0         0  org.apache.catalina.loader.ParallelWebappClassLoader</x:v>
      </x:c>
      <x:c r="U127" s="36" t="n">
        <x:v>27</x:v>
      </x:c>
      <x:c r="V127" s="36" t="n">
        <x:v>0</x:v>
      </x:c>
      <x:c r="W127" s="44"/>
      <x:c r="X127" s="36"/>
      <x:c r="Y127" s="36"/>
      <x:c r="Z127" s="44"/>
      <x:c r="AA127" s="49"/>
      <x:c r="AB127" s="43"/>
      <x:c r="AC127" s="34"/>
      <x:c r="AD127" s="34"/>
      <x:c r="AE127" s="34"/>
      <x:c r="AF127" s="34"/>
      <x:c r="AG127" s="34"/>
      <x:c r="AH127" s="34"/>
      <x:c r="AI127" s="34"/>
    </x:row>
    <x:row r="128">
      <x:c r="A128" s="34" t="str">
        <x:v>article1-unified-v4-2-fb3f101b-20260903-000401-default-f01-p4-cache2k</x:v>
      </x:c>
      <x:c r="B128" s="34" t="str">
        <x:v>default</x:v>
      </x:c>
      <x:c r="C128" s="34" t="str">
        <x:v>cache2k</x:v>
      </x:c>
      <x:c r="D128" s="34" t="str">
        <x:v>cache2k</x:v>
      </x:c>
      <x:c r="E128" s="36" t="n">
        <x:v>1</x:v>
      </x:c>
      <x:c r="F128" s="36" t="n">
        <x:v>1</x:v>
      </x:c>
      <x:c r="G128" s="36" t="n">
        <x:v>4</x:v>
      </x:c>
      <x:c r="H128" s="36" t="n">
        <x:v>1</x:v>
      </x:c>
      <x:c r="I128" s="34" t="str">
        <x:v>loaded</x:v>
      </x:c>
      <x:c r="J128" s="34" t="str">
        <x:v>loaded</x:v>
      </x:c>
      <x:c r="K128" s="36" t="n">
        <x:v>0</x:v>
      </x:c>
      <x:c r="L128" s="34" t="str">
        <x:v>initial</x:v>
      </x:c>
      <x:c r="M128" s="34" t="str">
        <x:v>article1-unified-v4-2-fb3f101b-20260903-000401-default-f01-p4-cache2k-1-loaded</x:v>
      </x:c>
      <x:c r="N128" s="38" t="n">
        <x:v>46267.941193101855</x:v>
      </x:c>
      <x:c r="O128" s="36" t="n">
        <x:v>0</x:v>
      </x:c>
      <x:c r="P128" s="43" t="n">
        <x:v>218929152</x:v>
      </x:c>
      <x:c r="Q128" s="43" t="n">
        <x:v>268435456</x:v>
      </x:c>
      <x:c r="R128" s="43" t="n">
        <x:v>410831872</x:v>
      </x:c>
      <x:c r="S128" s="36" t="n">
        <x:v>2</x:v>
      </x:c>
      <x:c r="T128" s="44" t="str">
        <x:v>0x00000000461177b8  0x0000000046003818  0x00007499685f52b0       0         0         0  org.apache.catalina.loader.ParallelWebappClassLoader | 0x00000000461177b8  0x0000000046003818  0x00007498c4045880    4449  21227520  21211320  org.apache.catalina.loader.ParallelWebappClassLoader</x:v>
      </x:c>
      <x:c r="U128" s="36" t="n">
        <x:v>28</x:v>
      </x:c>
      <x:c r="V128" s="36" t="n">
        <x:v>0</x:v>
      </x:c>
      <x:c r="W128" s="44"/>
      <x:c r="X128" s="36"/>
      <x:c r="Y128" s="36"/>
      <x:c r="Z128" s="44"/>
      <x:c r="AA128" s="49"/>
      <x:c r="AB128" s="43"/>
      <x:c r="AC128" s="34"/>
      <x:c r="AD128" s="34"/>
      <x:c r="AE128" s="34"/>
      <x:c r="AF128" s="34"/>
      <x:c r="AG128" s="34"/>
      <x:c r="AH128" s="34"/>
      <x:c r="AI128" s="34"/>
    </x:row>
    <x:row r="129">
      <x:c r="A129" s="34" t="str">
        <x:v>article1-unified-v4-2-fb3f101b-20260903-000401-default-f01-p4-cache2k</x:v>
      </x:c>
      <x:c r="B129" s="34" t="str">
        <x:v>default</x:v>
      </x:c>
      <x:c r="C129" s="34" t="str">
        <x:v>cache2k</x:v>
      </x:c>
      <x:c r="D129" s="34" t="str">
        <x:v>cache2k</x:v>
      </x:c>
      <x:c r="E129" s="36" t="n">
        <x:v>1</x:v>
      </x:c>
      <x:c r="F129" s="36" t="n">
        <x:v>1</x:v>
      </x:c>
      <x:c r="G129" s="36" t="n">
        <x:v>4</x:v>
      </x:c>
      <x:c r="H129" s="36" t="n">
        <x:v>1</x:v>
      </x:c>
      <x:c r="I129" s="34" t="str">
        <x:v>afterUndeployEarly</x:v>
      </x:c>
      <x:c r="J129" s="34" t="str">
        <x:v>after-undeploy-early</x:v>
      </x:c>
      <x:c r="K129" s="36" t="n">
        <x:v>1</x:v>
      </x:c>
      <x:c r="L129" s="34" t="str">
        <x:v>early</x:v>
      </x:c>
      <x:c r="M129" s="34" t="str">
        <x:v>article1-unified-v4-2-fb3f101b-20260903-000401-default-f01-p4-cache2k-1-after-undeploy-early-2s</x:v>
      </x:c>
      <x:c r="N129" s="38" t="n">
        <x:v>46267.941275081015</x:v>
      </x:c>
      <x:c r="O129" s="36"/>
      <x:c r="P129" s="43"/>
      <x:c r="Q129" s="43"/>
      <x:c r="R129" s="43"/>
      <x:c r="S129" s="36"/>
      <x:c r="T129" s="44"/>
      <x:c r="U129" s="36" t="n">
        <x:v>27</x:v>
      </x:c>
      <x:c r="V129" s="36" t="n">
        <x:v>0</x:v>
      </x:c>
      <x:c r="W129" s="44"/>
      <x:c r="X129" s="36"/>
      <x:c r="Y129" s="36"/>
      <x:c r="Z129" s="44"/>
      <x:c r="AA129" s="49"/>
      <x:c r="AB129" s="43" t="n">
        <x:v>1</x:v>
      </x:c>
      <x:c r="AC129" s="34"/>
      <x:c r="AD129" s="34"/>
      <x:c r="AE129" s="34" t="str">
        <x:v>article1-unified-v4-2-fb3f101b-20260903-000401-default-f01-p4-cache2k-1-after-undeploy-early-2s-thread-dump.txt</x:v>
      </x:c>
      <x:c r="AF129" s="34" t="str">
        <x:v>article1-unified-v4-2-fb3f101b-20260903-000401-default-f01-p4-cache2k-1-after-undeploy-early-tomcat-log.txt</x:v>
      </x:c>
      <x:c r="AG129" s="34"/>
      <x:c r="AH129" s="34"/>
      <x:c r="AI129" s="34"/>
    </x:row>
    <x:row r="130">
      <x:c r="A130" s="34" t="str">
        <x:v>article1-unified-v4-2-fb3f101b-20260903-000401-default-f01-p4-cache2k</x:v>
      </x:c>
      <x:c r="B130" s="34" t="str">
        <x:v>default</x:v>
      </x:c>
      <x:c r="C130" s="34" t="str">
        <x:v>cache2k</x:v>
      </x:c>
      <x:c r="D130" s="34" t="str">
        <x:v>cache2k</x:v>
      </x:c>
      <x:c r="E130" s="36" t="n">
        <x:v>1</x:v>
      </x:c>
      <x:c r="F130" s="36" t="n">
        <x:v>1</x:v>
      </x:c>
      <x:c r="G130" s="36" t="n">
        <x:v>4</x:v>
      </x:c>
      <x:c r="H130" s="36" t="n">
        <x:v>1</x:v>
      </x:c>
      <x:c r="I130" s="34" t="str">
        <x:v>afterUndeploy</x:v>
      </x:c>
      <x:c r="J130" s="34" t="str">
        <x:v>after-undeploy-final</x:v>
      </x:c>
      <x:c r="K130" s="36" t="n">
        <x:v>1</x:v>
      </x:c>
      <x:c r="L130" s="34" t="str">
        <x:v>final</x:v>
      </x:c>
      <x:c r="M130" s="34" t="str">
        <x:v>article1-unified-v4-2-fb3f101b-20260903-000401-default-f01-p4-cache2k-1-after-undeploy-final-10s</x:v>
      </x:c>
      <x:c r="N130" s="38" t="n">
        <x:v>46267.94143075232</x:v>
      </x:c>
      <x:c r="O130" s="36" t="n">
        <x:v>2</x:v>
      </x:c>
      <x:c r="P130" s="43" t="n">
        <x:v>15417344</x:v>
      </x:c>
      <x:c r="Q130" s="43" t="n">
        <x:v>268435456</x:v>
      </x:c>
      <x:c r="R130" s="43" t="n">
        <x:v>409564160</x:v>
      </x:c>
      <x:c r="S130" s="36" t="n">
        <x:v>2</x:v>
      </x:c>
      <x:c r="T130" s="44" t="str">
        <x:v>0x00000000461177b8  0x0000000046003818  0x00007499685f52b0       0         0         0  org.apache.catalina.loader.ParallelWebappClassLoader | 0x00000000461177b8  0x0000000046003818  0x00007498c4045880    4459  21262336  21240176  org.apache.catalina.loader.ParallelWebappClassLoader</x:v>
      </x:c>
      <x:c r="U130" s="36" t="n">
        <x:v>27</x:v>
      </x:c>
      <x:c r="V130" s="36" t="n">
        <x:v>0</x:v>
      </x:c>
      <x:c r="W130" s="44"/>
      <x:c r="X130" s="36" t="n">
        <x:v>1</x:v>
      </x:c>
      <x:c r="Y130" s="36" t="n">
        <x:v>1</x:v>
      </x:c>
      <x:c r="Z130" s="44" t="str">
        <x:v>/cache2k</x:v>
      </x:c>
      <x:c r="AA130" s="45" t="b">
        <x:v>1</x:v>
      </x:c>
      <x:c r="AB130" s="43"/>
      <x:c r="AC130" s="34" t="str">
        <x:v>article1-unified-v4-2-fb3f101b-20260903-000401-default-f01-p4-cache2k-1-after-undeploy-final-10s-heap-info.txt</x:v>
      </x:c>
      <x:c r="AD130" s="34" t="str">
        <x:v>article1-unified-v4-2-fb3f101b-20260903-000401-default-f01-p4-cache2k-1-after-undeploy-final-10s-classloader-stats.txt</x:v>
      </x:c>
      <x:c r="AE130" s="34" t="str">
        <x:v>article1-unified-v4-2-fb3f101b-20260903-000401-default-f01-p4-cache2k-1-after-undeploy-final-10s-thread-dump.txt</x:v>
      </x:c>
      <x:c r="AF130" s="34"/>
      <x:c r="AG130" s="34" t="str">
        <x:v>article1-unified-v4-2-fb3f101b-20260903-000401-default-f01-p4-cache2k-1-after-undeploy-final-10s-native-memory.txt</x:v>
      </x:c>
      <x:c r="AH130" s="34" t="str">
        <x:v>article1-unified-v4-2-fb3f101b-20260903-000401-default-f01-p4-cache2k-1-after-undeploy-final-10s-class-histogram.txt</x:v>
      </x:c>
      <x:c r="AI130" s="34" t="str">
        <x:v>article1-unified-v4-2-fb3f101b-20260903-000401-default-f01-p4-cache2k-1-after-undeploy-tomcat-findleaks.txt</x:v>
      </x:c>
    </x:row>
    <x:row r="131">
      <x:c r="A131" s="34" t="str">
        <x:v>article1-unified-v4-2-fb3f101b-20260903-000401-default-f01-p4-cache2k</x:v>
      </x:c>
      <x:c r="B131" s="34" t="str">
        <x:v>default</x:v>
      </x:c>
      <x:c r="C131" s="34" t="str">
        <x:v>cache2k</x:v>
      </x:c>
      <x:c r="D131" s="34" t="str">
        <x:v>cache2k</x:v>
      </x:c>
      <x:c r="E131" s="36" t="n">
        <x:v>1</x:v>
      </x:c>
      <x:c r="F131" s="36" t="n">
        <x:v>1</x:v>
      </x:c>
      <x:c r="G131" s="36" t="n">
        <x:v>4</x:v>
      </x:c>
      <x:c r="H131" s="36" t="n">
        <x:v>1</x:v>
      </x:c>
      <x:c r="I131" s="34" t="str">
        <x:v>redeployedLoaded</x:v>
      </x:c>
      <x:c r="J131" s="34" t="str">
        <x:v>redeployed-loaded</x:v>
      </x:c>
      <x:c r="K131" s="36" t="n">
        <x:v>0</x:v>
      </x:c>
      <x:c r="L131" s="34" t="str">
        <x:v>redeploy</x:v>
      </x:c>
      <x:c r="M131" s="34" t="str">
        <x:v>article1-unified-v4-2-fb3f101b-20260903-000401-default-f01-p4-cache2k-1-redeployed-loaded</x:v>
      </x:c>
      <x:c r="N131" s="38" t="n">
        <x:v>46267.941687997685</x:v>
      </x:c>
      <x:c r="O131" s="36" t="n">
        <x:v>0</x:v>
      </x:c>
      <x:c r="P131" s="43" t="n">
        <x:v>93930496</x:v>
      </x:c>
      <x:c r="Q131" s="43" t="n">
        <x:v>268435456</x:v>
      </x:c>
      <x:c r="R131" s="43" t="n">
        <x:v>445985792</x:v>
      </x:c>
      <x:c r="S131" s="36" t="n">
        <x:v>3</x:v>
      </x:c>
      <x:c r="T131" s="44" t="str">
        <x:v>0x00000000461177b8  0x0000000046003818  0x00007499685f52b0       0         0         0  org.apache.catalina.loader.ParallelWebappClassLoader | 0x00000000461177b8  0x0000000046003818  0x00007498dc1559d0    4444  21272576  21266184  org.apache.catalina.loader.ParallelWebappClassLoader | 0x00000000461177b8  0x0000000046003818  0x00007498c4045880    4459  21262336  21240176  org.apache.catalina.loader.ParallelWebappClassLoader</x:v>
      </x:c>
      <x:c r="U131" s="36" t="n">
        <x:v>28</x:v>
      </x:c>
      <x:c r="V131" s="36" t="n">
        <x:v>0</x:v>
      </x:c>
      <x:c r="W131" s="44"/>
      <x:c r="X131" s="36"/>
      <x:c r="Y131" s="36"/>
      <x:c r="Z131" s="44"/>
      <x:c r="AA131" s="49"/>
      <x:c r="AB131" s="43"/>
      <x:c r="AC131" s="34"/>
      <x:c r="AD131" s="34"/>
      <x:c r="AE131" s="34"/>
      <x:c r="AF131" s="34"/>
      <x:c r="AG131" s="34"/>
      <x:c r="AH131" s="34"/>
      <x:c r="AI131" s="34"/>
    </x:row>
    <x:row r="132">
      <x:c r="A132" s="34" t="str">
        <x:v>article1-unified-v4-2-fb3f101b-20260903-000401-default-f01-p4-cache2k</x:v>
      </x:c>
      <x:c r="B132" s="34" t="str">
        <x:v>default</x:v>
      </x:c>
      <x:c r="C132" s="34" t="str">
        <x:v>cache2k</x:v>
      </x:c>
      <x:c r="D132" s="34" t="str">
        <x:v>cache2k</x:v>
      </x:c>
      <x:c r="E132" s="36" t="n">
        <x:v>1</x:v>
      </x:c>
      <x:c r="F132" s="36" t="n">
        <x:v>1</x:v>
      </x:c>
      <x:c r="G132" s="36" t="n">
        <x:v>4</x:v>
      </x:c>
      <x:c r="H132" s="36" t="n">
        <x:v>1</x:v>
      </x:c>
      <x:c r="I132" s="34" t="str">
        <x:v>afterFinalUndeployEarly</x:v>
      </x:c>
      <x:c r="J132" s="34" t="str">
        <x:v>after-final-undeploy-early</x:v>
      </x:c>
      <x:c r="K132" s="36" t="n">
        <x:v>2</x:v>
      </x:c>
      <x:c r="L132" s="34" t="str">
        <x:v>early</x:v>
      </x:c>
      <x:c r="M132" s="34" t="str">
        <x:v>article1-unified-v4-2-fb3f101b-20260903-000401-default-f01-p4-cache2k-1-after-final-undeploy-early-2s</x:v>
      </x:c>
      <x:c r="N132" s="38" t="n">
        <x:v>46267.94177075232</x:v>
      </x:c>
      <x:c r="O132" s="36"/>
      <x:c r="P132" s="43"/>
      <x:c r="Q132" s="43"/>
      <x:c r="R132" s="43"/>
      <x:c r="S132" s="36"/>
      <x:c r="T132" s="44"/>
      <x:c r="U132" s="36" t="n">
        <x:v>27</x:v>
      </x:c>
      <x:c r="V132" s="36" t="n">
        <x:v>0</x:v>
      </x:c>
      <x:c r="W132" s="44"/>
      <x:c r="X132" s="36"/>
      <x:c r="Y132" s="36"/>
      <x:c r="Z132" s="44"/>
      <x:c r="AA132" s="49"/>
      <x:c r="AB132" s="43" t="n">
        <x:v>1</x:v>
      </x:c>
      <x:c r="AC132" s="34"/>
      <x:c r="AD132" s="34"/>
      <x:c r="AE132" s="34" t="str">
        <x:v>article1-unified-v4-2-fb3f101b-20260903-000401-default-f01-p4-cache2k-1-after-final-undeploy-early-2s-thread-dump.txt</x:v>
      </x:c>
      <x:c r="AF132" s="34" t="str">
        <x:v>article1-unified-v4-2-fb3f101b-20260903-000401-default-f01-p4-cache2k-1-after-final-undeploy-early-tomcat-log.txt</x:v>
      </x:c>
      <x:c r="AG132" s="34"/>
      <x:c r="AH132" s="34"/>
      <x:c r="AI132" s="34"/>
    </x:row>
    <x:row r="133">
      <x:c r="A133" s="34" t="str">
        <x:v>article1-unified-v4-2-fb3f101b-20260903-000401-default-f01-p4-cache2k</x:v>
      </x:c>
      <x:c r="B133" s="34" t="str">
        <x:v>default</x:v>
      </x:c>
      <x:c r="C133" s="34" t="str">
        <x:v>cache2k</x:v>
      </x:c>
      <x:c r="D133" s="34" t="str">
        <x:v>cache2k</x:v>
      </x:c>
      <x:c r="E133" s="36" t="n">
        <x:v>1</x:v>
      </x:c>
      <x:c r="F133" s="36" t="n">
        <x:v>1</x:v>
      </x:c>
      <x:c r="G133" s="36" t="n">
        <x:v>4</x:v>
      </x:c>
      <x:c r="H133" s="36" t="n">
        <x:v>1</x:v>
      </x:c>
      <x:c r="I133" s="34" t="str">
        <x:v>afterFinalUndeploy</x:v>
      </x:c>
      <x:c r="J133" s="34" t="str">
        <x:v>after-final-undeploy-final</x:v>
      </x:c>
      <x:c r="K133" s="36" t="n">
        <x:v>2</x:v>
      </x:c>
      <x:c r="L133" s="34" t="str">
        <x:v>final</x:v>
      </x:c>
      <x:c r="M133" s="34" t="str">
        <x:v>article1-unified-v4-2-fb3f101b-20260903-000401-default-f01-p4-cache2k-1-after-final-undeploy-final-10s</x:v>
      </x:c>
      <x:c r="N133" s="38" t="n">
        <x:v>46267.941925127314</x:v>
      </x:c>
      <x:c r="O133" s="36" t="n">
        <x:v>2</x:v>
      </x:c>
      <x:c r="P133" s="43" t="n">
        <x:v>15536128</x:v>
      </x:c>
      <x:c r="Q133" s="43" t="n">
        <x:v>268435456</x:v>
      </x:c>
      <x:c r="R133" s="43" t="n">
        <x:v>418359296</x:v>
      </x:c>
      <x:c r="S133" s="36" t="n">
        <x:v>2</x:v>
      </x:c>
      <x:c r="T133" s="44" t="str">
        <x:v>0x00000000461177b8  0x0000000046003818  0x00007499685f52b0       0         0         0  org.apache.catalina.loader.ParallelWebappClassLoader | 0x00000000461177b8  0x0000000046003818  0x00007498dc1559d0    4454  21322752  21295072  org.apache.catalina.loader.ParallelWebappClassLoader</x:v>
      </x:c>
      <x:c r="U133" s="36" t="n">
        <x:v>27</x:v>
      </x:c>
      <x:c r="V133" s="36" t="n">
        <x:v>0</x:v>
      </x:c>
      <x:c r="W133" s="44"/>
      <x:c r="X133" s="36" t="n">
        <x:v>1</x:v>
      </x:c>
      <x:c r="Y133" s="36" t="n">
        <x:v>1</x:v>
      </x:c>
      <x:c r="Z133" s="44" t="str">
        <x:v>/cache2k</x:v>
      </x:c>
      <x:c r="AA133" s="45" t="b">
        <x:v>1</x:v>
      </x:c>
      <x:c r="AB133" s="43"/>
      <x:c r="AC133" s="34" t="str">
        <x:v>article1-unified-v4-2-fb3f101b-20260903-000401-default-f01-p4-cache2k-1-after-final-undeploy-final-10s-heap-info.txt</x:v>
      </x:c>
      <x:c r="AD133" s="34" t="str">
        <x:v>article1-unified-v4-2-fb3f101b-20260903-000401-default-f01-p4-cache2k-1-after-final-undeploy-final-10s-classloader-stats.txt</x:v>
      </x:c>
      <x:c r="AE133" s="34" t="str">
        <x:v>article1-unified-v4-2-fb3f101b-20260903-000401-default-f01-p4-cache2k-1-after-final-undeploy-final-10s-thread-dump.txt</x:v>
      </x:c>
      <x:c r="AF133" s="34"/>
      <x:c r="AG133" s="34" t="str">
        <x:v>article1-unified-v4-2-fb3f101b-20260903-000401-default-f01-p4-cache2k-1-after-final-undeploy-final-10s-native-memory.txt</x:v>
      </x:c>
      <x:c r="AH133" s="34" t="str">
        <x:v>article1-unified-v4-2-fb3f101b-20260903-000401-default-f01-p4-cache2k-1-after-final-undeploy-final-10s-class-histogram.txt</x:v>
      </x:c>
      <x:c r="AI133" s="34" t="str">
        <x:v>article1-unified-v4-2-fb3f101b-20260903-000401-default-f01-p4-cache2k-1-after-final-undeploy-tomcat-findleaks.txt</x:v>
      </x:c>
    </x:row>
    <x:row r="134">
      <x:c r="A134" s="34" t="str">
        <x:v>article1-unified-v4-2-fb3f101b-20260903-000401-default-f01-p4-cache2k</x:v>
      </x:c>
      <x:c r="B134" s="34" t="str">
        <x:v>default</x:v>
      </x:c>
      <x:c r="C134" s="34" t="str">
        <x:v>cache2k</x:v>
      </x:c>
      <x:c r="D134" s="34" t="str">
        <x:v>cache2k</x:v>
      </x:c>
      <x:c r="E134" s="36" t="n">
        <x:v>1</x:v>
      </x:c>
      <x:c r="F134" s="36" t="n">
        <x:v>1</x:v>
      </x:c>
      <x:c r="G134" s="36" t="n">
        <x:v>4</x:v>
      </x:c>
      <x:c r="H134" s="36" t="n">
        <x:v>2</x:v>
      </x:c>
      <x:c r="I134" s="34" t="str">
        <x:v>baseline</x:v>
      </x:c>
      <x:c r="J134" s="34" t="str">
        <x:v>cycle-baseline</x:v>
      </x:c>
      <x:c r="K134" s="36" t="n">
        <x:v>0</x:v>
      </x:c>
      <x:c r="L134" s="34" t="str">
        <x:v>baseline</x:v>
      </x:c>
      <x:c r="M134" s="34" t="str">
        <x:v>article1-unified-v4-2-fb3f101b-20260903-000401-default-f01-p4-cache2k-2-baseline</x:v>
      </x:c>
      <x:c r="N134" s="38" t="n">
        <x:v>46267.94196751157</x:v>
      </x:c>
      <x:c r="O134" s="36" t="n">
        <x:v>0</x:v>
      </x:c>
      <x:c r="P134" s="43" t="n">
        <x:v>15625216</x:v>
      </x:c>
      <x:c r="Q134" s="43" t="n">
        <x:v>268435456</x:v>
      </x:c>
      <x:c r="R134" s="43" t="n">
        <x:v>418313216</x:v>
      </x:c>
      <x:c r="S134" s="36" t="n">
        <x:v>2</x:v>
      </x:c>
      <x:c r="T134" s="44" t="str">
        <x:v>0x00000000461177b8  0x0000000046003818  0x00007499685f52b0       0         0         0  org.apache.catalina.loader.ParallelWebappClassLoader | 0x00000000461177b8  0x0000000046003818  0x00007498dc1559d0    4454  21322752  21295072  org.apache.catalina.loader.ParallelWebappClassLoader</x:v>
      </x:c>
      <x:c r="U134" s="36" t="n">
        <x:v>27</x:v>
      </x:c>
      <x:c r="V134" s="36" t="n">
        <x:v>0</x:v>
      </x:c>
      <x:c r="W134" s="44"/>
      <x:c r="X134" s="36"/>
      <x:c r="Y134" s="36"/>
      <x:c r="Z134" s="44"/>
      <x:c r="AA134" s="49"/>
      <x:c r="AB134" s="43"/>
      <x:c r="AC134" s="34" t="str">
        <x:v>article1-unified-v4-2-fb3f101b-20260903-000401-default-f01-p4-cache2k-2-baseline-heap-info.txt</x:v>
      </x:c>
      <x:c r="AD134" s="34" t="str">
        <x:v>article1-unified-v4-2-fb3f101b-20260903-000401-default-f01-p4-cache2k-2-baseline-classloader-stats.txt</x:v>
      </x:c>
      <x:c r="AE134" s="34" t="str">
        <x:v>article1-unified-v4-2-fb3f101b-20260903-000401-default-f01-p4-cache2k-2-baseline-thread-dump.txt</x:v>
      </x:c>
      <x:c r="AF134" s="34"/>
      <x:c r="AG134" s="34" t="str">
        <x:v>article1-unified-v4-2-fb3f101b-20260903-000401-default-f01-p4-cache2k-2-baseline-native-memory.txt</x:v>
      </x:c>
      <x:c r="AH134" s="34"/>
      <x:c r="AI134" s="34"/>
    </x:row>
    <x:row r="135">
      <x:c r="A135" s="34" t="str">
        <x:v>article1-unified-v4-2-fb3f101b-20260903-000401-default-f01-p4-cache2k</x:v>
      </x:c>
      <x:c r="B135" s="34" t="str">
        <x:v>default</x:v>
      </x:c>
      <x:c r="C135" s="34" t="str">
        <x:v>cache2k</x:v>
      </x:c>
      <x:c r="D135" s="34" t="str">
        <x:v>cache2k</x:v>
      </x:c>
      <x:c r="E135" s="36" t="n">
        <x:v>1</x:v>
      </x:c>
      <x:c r="F135" s="36" t="n">
        <x:v>1</x:v>
      </x:c>
      <x:c r="G135" s="36" t="n">
        <x:v>4</x:v>
      </x:c>
      <x:c r="H135" s="36" t="n">
        <x:v>2</x:v>
      </x:c>
      <x:c r="I135" s="34" t="str">
        <x:v>deployedIdle</x:v>
      </x:c>
      <x:c r="J135" s="34" t="str">
        <x:v>deployed-idle</x:v>
      </x:c>
      <x:c r="K135" s="36" t="n">
        <x:v>0</x:v>
      </x:c>
      <x:c r="L135" s="34" t="str">
        <x:v>initial</x:v>
      </x:c>
      <x:c r="M135" s="34" t="str">
        <x:v>article1-unified-v4-2-fb3f101b-20260903-000401-default-f01-p4-cache2k-2-deployed-idle</x:v>
      </x:c>
      <x:c r="N135" s="38" t="n">
        <x:v>46267.94207336805</x:v>
      </x:c>
      <x:c r="O135" s="36" t="n">
        <x:v>0</x:v>
      </x:c>
      <x:c r="P135" s="43" t="n">
        <x:v>167011328</x:v>
      </x:c>
      <x:c r="Q135" s="43" t="n">
        <x:v>268435456</x:v>
      </x:c>
      <x:c r="R135" s="43" t="n">
        <x:v>435964928</x:v>
      </x:c>
      <x:c r="S135" s="36" t="n">
        <x:v>3</x:v>
      </x:c>
      <x:c r="T135" s="44" t="str">
        <x:v>0x00000000461177b8  0x0000000046003818  0x00007499685f52b0       0         0         0  org.apache.catalina.loader.ParallelWebappClassLoader | 0x00000000461177b8  0x0000000046003818  0x00007498c4899b60    4091  19460096  19434424  org.apache.catalina.loader.ParallelWebappClassLoader | 0x00000000461177b8  0x0000000046003818  0x00007498dc1559d0    4454  21322752  21295072  org.apache.catalina.loader.ParallelWebappClassLoader</x:v>
      </x:c>
      <x:c r="U135" s="36" t="n">
        <x:v>27</x:v>
      </x:c>
      <x:c r="V135" s="36" t="n">
        <x:v>0</x:v>
      </x:c>
      <x:c r="W135" s="44"/>
      <x:c r="X135" s="36"/>
      <x:c r="Y135" s="36"/>
      <x:c r="Z135" s="44"/>
      <x:c r="AA135" s="49"/>
      <x:c r="AB135" s="43"/>
      <x:c r="AC135" s="34"/>
      <x:c r="AD135" s="34"/>
      <x:c r="AE135" s="34"/>
      <x:c r="AF135" s="34"/>
      <x:c r="AG135" s="34"/>
      <x:c r="AH135" s="34"/>
      <x:c r="AI135" s="34"/>
    </x:row>
    <x:row r="136">
      <x:c r="A136" s="34" t="str">
        <x:v>article1-unified-v4-2-fb3f101b-20260903-000401-default-f01-p4-cache2k</x:v>
      </x:c>
      <x:c r="B136" s="34" t="str">
        <x:v>default</x:v>
      </x:c>
      <x:c r="C136" s="34" t="str">
        <x:v>cache2k</x:v>
      </x:c>
      <x:c r="D136" s="34" t="str">
        <x:v>cache2k</x:v>
      </x:c>
      <x:c r="E136" s="36" t="n">
        <x:v>1</x:v>
      </x:c>
      <x:c r="F136" s="36" t="n">
        <x:v>1</x:v>
      </x:c>
      <x:c r="G136" s="36" t="n">
        <x:v>4</x:v>
      </x:c>
      <x:c r="H136" s="36" t="n">
        <x:v>2</x:v>
      </x:c>
      <x:c r="I136" s="34" t="str">
        <x:v>loaded</x:v>
      </x:c>
      <x:c r="J136" s="34" t="str">
        <x:v>loaded</x:v>
      </x:c>
      <x:c r="K136" s="36" t="n">
        <x:v>0</x:v>
      </x:c>
      <x:c r="L136" s="34" t="str">
        <x:v>initial</x:v>
      </x:c>
      <x:c r="M136" s="34" t="str">
        <x:v>article1-unified-v4-2-fb3f101b-20260903-000401-default-f01-p4-cache2k-2-loaded</x:v>
      </x:c>
      <x:c r="N136" s="38" t="n">
        <x:v>46267.94222060185</x:v>
      </x:c>
      <x:c r="O136" s="36" t="n">
        <x:v>0</x:v>
      </x:c>
      <x:c r="P136" s="43" t="n">
        <x:v>93571072</x:v>
      </x:c>
      <x:c r="Q136" s="43" t="n">
        <x:v>268435456</x:v>
      </x:c>
      <x:c r="R136" s="43" t="n">
        <x:v>441217024</x:v>
      </x:c>
      <x:c r="S136" s="36" t="n">
        <x:v>3</x:v>
      </x:c>
      <x:c r="T136" s="44" t="str">
        <x:v>0x00000000461177b8  0x0000000046003818  0x00007499685f52b0       0         0         0  org.apache.catalina.loader.ParallelWebappClassLoader | 0x00000000461177b8  0x0000000046003818  0x00007498c4899b60    4441  21278720  21262112  org.apache.catalina.loader.ParallelWebappClassLoader | 0x00000000461177b8  0x0000000046003818  0x00007498dc1559d0    4454  21322752  21295072  org.apache.catalina.loader.ParallelWebappClassLoader</x:v>
      </x:c>
      <x:c r="U136" s="36" t="n">
        <x:v>29</x:v>
      </x:c>
      <x:c r="V136" s="36" t="n">
        <x:v>0</x:v>
      </x:c>
      <x:c r="W136" s="44"/>
      <x:c r="X136" s="36"/>
      <x:c r="Y136" s="36"/>
      <x:c r="Z136" s="44"/>
      <x:c r="AA136" s="49"/>
      <x:c r="AB136" s="43"/>
      <x:c r="AC136" s="34"/>
      <x:c r="AD136" s="34"/>
      <x:c r="AE136" s="34"/>
      <x:c r="AF136" s="34"/>
      <x:c r="AG136" s="34"/>
      <x:c r="AH136" s="34"/>
      <x:c r="AI136" s="34"/>
    </x:row>
    <x:row r="137">
      <x:c r="A137" s="34" t="str">
        <x:v>article1-unified-v4-2-fb3f101b-20260903-000401-default-f01-p4-cache2k</x:v>
      </x:c>
      <x:c r="B137" s="34" t="str">
        <x:v>default</x:v>
      </x:c>
      <x:c r="C137" s="34" t="str">
        <x:v>cache2k</x:v>
      </x:c>
      <x:c r="D137" s="34" t="str">
        <x:v>cache2k</x:v>
      </x:c>
      <x:c r="E137" s="36" t="n">
        <x:v>1</x:v>
      </x:c>
      <x:c r="F137" s="36" t="n">
        <x:v>1</x:v>
      </x:c>
      <x:c r="G137" s="36" t="n">
        <x:v>4</x:v>
      </x:c>
      <x:c r="H137" s="36" t="n">
        <x:v>2</x:v>
      </x:c>
      <x:c r="I137" s="34" t="str">
        <x:v>afterUndeployEarly</x:v>
      </x:c>
      <x:c r="J137" s="34" t="str">
        <x:v>after-undeploy-early</x:v>
      </x:c>
      <x:c r="K137" s="36" t="n">
        <x:v>1</x:v>
      </x:c>
      <x:c r="L137" s="34" t="str">
        <x:v>early</x:v>
      </x:c>
      <x:c r="M137" s="34" t="str">
        <x:v>article1-unified-v4-2-fb3f101b-20260903-000401-default-f01-p4-cache2k-2-after-undeploy-early-2s</x:v>
      </x:c>
      <x:c r="N137" s="38" t="n">
        <x:v>46267.94230548611</x:v>
      </x:c>
      <x:c r="O137" s="36"/>
      <x:c r="P137" s="43"/>
      <x:c r="Q137" s="43"/>
      <x:c r="R137" s="43"/>
      <x:c r="S137" s="36"/>
      <x:c r="T137" s="44"/>
      <x:c r="U137" s="36" t="n">
        <x:v>27</x:v>
      </x:c>
      <x:c r="V137" s="36" t="n">
        <x:v>0</x:v>
      </x:c>
      <x:c r="W137" s="44"/>
      <x:c r="X137" s="36"/>
      <x:c r="Y137" s="36"/>
      <x:c r="Z137" s="44"/>
      <x:c r="AA137" s="49"/>
      <x:c r="AB137" s="43" t="n">
        <x:v>1</x:v>
      </x:c>
      <x:c r="AC137" s="34"/>
      <x:c r="AD137" s="34"/>
      <x:c r="AE137" s="34" t="str">
        <x:v>article1-unified-v4-2-fb3f101b-20260903-000401-default-f01-p4-cache2k-2-after-undeploy-early-2s-thread-dump.txt</x:v>
      </x:c>
      <x:c r="AF137" s="34" t="str">
        <x:v>article1-unified-v4-2-fb3f101b-20260903-000401-default-f01-p4-cache2k-2-after-undeploy-early-tomcat-log.txt</x:v>
      </x:c>
      <x:c r="AG137" s="34"/>
      <x:c r="AH137" s="34"/>
      <x:c r="AI137" s="34"/>
    </x:row>
    <x:row r="138">
      <x:c r="A138" s="34" t="str">
        <x:v>article1-unified-v4-2-fb3f101b-20260903-000401-default-f01-p4-cache2k</x:v>
      </x:c>
      <x:c r="B138" s="34" t="str">
        <x:v>default</x:v>
      </x:c>
      <x:c r="C138" s="34" t="str">
        <x:v>cache2k</x:v>
      </x:c>
      <x:c r="D138" s="34" t="str">
        <x:v>cache2k</x:v>
      </x:c>
      <x:c r="E138" s="36" t="n">
        <x:v>1</x:v>
      </x:c>
      <x:c r="F138" s="36" t="n">
        <x:v>1</x:v>
      </x:c>
      <x:c r="G138" s="36" t="n">
        <x:v>4</x:v>
      </x:c>
      <x:c r="H138" s="36" t="n">
        <x:v>2</x:v>
      </x:c>
      <x:c r="I138" s="34" t="str">
        <x:v>afterUndeploy</x:v>
      </x:c>
      <x:c r="J138" s="34" t="str">
        <x:v>after-undeploy-final</x:v>
      </x:c>
      <x:c r="K138" s="36" t="n">
        <x:v>1</x:v>
      </x:c>
      <x:c r="L138" s="34" t="str">
        <x:v>final</x:v>
      </x:c>
      <x:c r="M138" s="34" t="str">
        <x:v>article1-unified-v4-2-fb3f101b-20260903-000401-default-f01-p4-cache2k-2-after-undeploy-final-10s</x:v>
      </x:c>
      <x:c r="N138" s="38" t="n">
        <x:v>46267.942464548614</x:v>
      </x:c>
      <x:c r="O138" s="36" t="n">
        <x:v>2</x:v>
      </x:c>
      <x:c r="P138" s="43" t="n">
        <x:v>15576064</x:v>
      </x:c>
      <x:c r="Q138" s="43" t="n">
        <x:v>268435456</x:v>
      </x:c>
      <x:c r="R138" s="43" t="n">
        <x:v>416937984</x:v>
      </x:c>
      <x:c r="S138" s="36" t="n">
        <x:v>2</x:v>
      </x:c>
      <x:c r="T138" s="44" t="str">
        <x:v>0x00000000461177b8  0x0000000046003818  0x00007499685f52b0       0         0         0  org.apache.catalina.loader.ParallelWebappClassLoader | 0x00000000461177b8  0x0000000046003818  0x00007498c4899b60    4451  21311488  21291048  org.apache.catalina.loader.ParallelWebappClassLoader</x:v>
      </x:c>
      <x:c r="U138" s="36" t="n">
        <x:v>27</x:v>
      </x:c>
      <x:c r="V138" s="36" t="n">
        <x:v>0</x:v>
      </x:c>
      <x:c r="W138" s="44"/>
      <x:c r="X138" s="36" t="n">
        <x:v>1</x:v>
      </x:c>
      <x:c r="Y138" s="36" t="n">
        <x:v>1</x:v>
      </x:c>
      <x:c r="Z138" s="44" t="str">
        <x:v>/cache2k</x:v>
      </x:c>
      <x:c r="AA138" s="45" t="b">
        <x:v>1</x:v>
      </x:c>
      <x:c r="AB138" s="43"/>
      <x:c r="AC138" s="34" t="str">
        <x:v>article1-unified-v4-2-fb3f101b-20260903-000401-default-f01-p4-cache2k-2-after-undeploy-final-10s-heap-info.txt</x:v>
      </x:c>
      <x:c r="AD138" s="34" t="str">
        <x:v>article1-unified-v4-2-fb3f101b-20260903-000401-default-f01-p4-cache2k-2-after-undeploy-final-10s-classloader-stats.txt</x:v>
      </x:c>
      <x:c r="AE138" s="34" t="str">
        <x:v>article1-unified-v4-2-fb3f101b-20260903-000401-default-f01-p4-cache2k-2-after-undeploy-final-10s-thread-dump.txt</x:v>
      </x:c>
      <x:c r="AF138" s="34"/>
      <x:c r="AG138" s="34" t="str">
        <x:v>article1-unified-v4-2-fb3f101b-20260903-000401-default-f01-p4-cache2k-2-after-undeploy-final-10s-native-memory.txt</x:v>
      </x:c>
      <x:c r="AH138" s="34" t="str">
        <x:v>article1-unified-v4-2-fb3f101b-20260903-000401-default-f01-p4-cache2k-2-after-undeploy-final-10s-class-histogram.txt</x:v>
      </x:c>
      <x:c r="AI138" s="34" t="str">
        <x:v>article1-unified-v4-2-fb3f101b-20260903-000401-default-f01-p4-cache2k-2-after-undeploy-tomcat-findleaks.txt</x:v>
      </x:c>
    </x:row>
    <x:row r="139">
      <x:c r="A139" s="34" t="str">
        <x:v>article1-unified-v4-2-fb3f101b-20260903-000401-default-f01-p4-cache2k</x:v>
      </x:c>
      <x:c r="B139" s="34" t="str">
        <x:v>default</x:v>
      </x:c>
      <x:c r="C139" s="34" t="str">
        <x:v>cache2k</x:v>
      </x:c>
      <x:c r="D139" s="34" t="str">
        <x:v>cache2k</x:v>
      </x:c>
      <x:c r="E139" s="36" t="n">
        <x:v>1</x:v>
      </x:c>
      <x:c r="F139" s="36" t="n">
        <x:v>1</x:v>
      </x:c>
      <x:c r="G139" s="36" t="n">
        <x:v>4</x:v>
      </x:c>
      <x:c r="H139" s="36" t="n">
        <x:v>2</x:v>
      </x:c>
      <x:c r="I139" s="34" t="str">
        <x:v>redeployedLoaded</x:v>
      </x:c>
      <x:c r="J139" s="34" t="str">
        <x:v>redeployed-loaded</x:v>
      </x:c>
      <x:c r="K139" s="36" t="n">
        <x:v>0</x:v>
      </x:c>
      <x:c r="L139" s="34" t="str">
        <x:v>redeploy</x:v>
      </x:c>
      <x:c r="M139" s="34" t="str">
        <x:v>article1-unified-v4-2-fb3f101b-20260903-000401-default-f01-p4-cache2k-2-redeployed-loaded</x:v>
      </x:c>
      <x:c r="N139" s="38" t="n">
        <x:v>46267.94272398148</x:v>
      </x:c>
      <x:c r="O139" s="36" t="n">
        <x:v>0</x:v>
      </x:c>
      <x:c r="P139" s="43" t="n">
        <x:v>207998976</x:v>
      </x:c>
      <x:c r="Q139" s="43" t="n">
        <x:v>268435456</x:v>
      </x:c>
      <x:c r="R139" s="43" t="n">
        <x:v>439650304</x:v>
      </x:c>
      <x:c r="S139" s="36" t="n">
        <x:v>3</x:v>
      </x:c>
      <x:c r="T139" s="44" t="str">
        <x:v>0x00000000461177b8  0x0000000046003818  0x00007499685f52b0       0         0         0  org.apache.catalina.loader.ParallelWebappClassLoader | 0x00000000461177b8  0x0000000046003818  0x00007498c4899b60    4451  21311488  21291048  org.apache.catalina.loader.ParallelWebappClassLoader | 0x00000000461177b8  0x0000000046003818  0x00007498d419c570    4442  21291008  21266904  org.apache.catalina.loader.ParallelWebappClassLoader</x:v>
      </x:c>
      <x:c r="U139" s="36" t="n">
        <x:v>29</x:v>
      </x:c>
      <x:c r="V139" s="36" t="n">
        <x:v>0</x:v>
      </x:c>
      <x:c r="W139" s="44"/>
      <x:c r="X139" s="36"/>
      <x:c r="Y139" s="36"/>
      <x:c r="Z139" s="44"/>
      <x:c r="AA139" s="49"/>
      <x:c r="AB139" s="43"/>
      <x:c r="AC139" s="34"/>
      <x:c r="AD139" s="34"/>
      <x:c r="AE139" s="34"/>
      <x:c r="AF139" s="34"/>
      <x:c r="AG139" s="34"/>
      <x:c r="AH139" s="34"/>
      <x:c r="AI139" s="34"/>
    </x:row>
    <x:row r="140">
      <x:c r="A140" s="34" t="str">
        <x:v>article1-unified-v4-2-fb3f101b-20260903-000401-default-f01-p4-cache2k</x:v>
      </x:c>
      <x:c r="B140" s="34" t="str">
        <x:v>default</x:v>
      </x:c>
      <x:c r="C140" s="34" t="str">
        <x:v>cache2k</x:v>
      </x:c>
      <x:c r="D140" s="34" t="str">
        <x:v>cache2k</x:v>
      </x:c>
      <x:c r="E140" s="36" t="n">
        <x:v>1</x:v>
      </x:c>
      <x:c r="F140" s="36" t="n">
        <x:v>1</x:v>
      </x:c>
      <x:c r="G140" s="36" t="n">
        <x:v>4</x:v>
      </x:c>
      <x:c r="H140" s="36" t="n">
        <x:v>2</x:v>
      </x:c>
      <x:c r="I140" s="34" t="str">
        <x:v>afterFinalUndeployEarly</x:v>
      </x:c>
      <x:c r="J140" s="34" t="str">
        <x:v>after-final-undeploy-early</x:v>
      </x:c>
      <x:c r="K140" s="36" t="n">
        <x:v>2</x:v>
      </x:c>
      <x:c r="L140" s="34" t="str">
        <x:v>early</x:v>
      </x:c>
      <x:c r="M140" s="34" t="str">
        <x:v>article1-unified-v4-2-fb3f101b-20260903-000401-default-f01-p4-cache2k-2-after-final-undeploy-early-2s</x:v>
      </x:c>
      <x:c r="N140" s="38" t="n">
        <x:v>46267.942806203704</x:v>
      </x:c>
      <x:c r="O140" s="36"/>
      <x:c r="P140" s="43"/>
      <x:c r="Q140" s="43"/>
      <x:c r="R140" s="43"/>
      <x:c r="S140" s="36"/>
      <x:c r="T140" s="44"/>
      <x:c r="U140" s="36" t="n">
        <x:v>27</x:v>
      </x:c>
      <x:c r="V140" s="36" t="n">
        <x:v>0</x:v>
      </x:c>
      <x:c r="W140" s="44"/>
      <x:c r="X140" s="36"/>
      <x:c r="Y140" s="36"/>
      <x:c r="Z140" s="44"/>
      <x:c r="AA140" s="49"/>
      <x:c r="AB140" s="43" t="n">
        <x:v>1</x:v>
      </x:c>
      <x:c r="AC140" s="34"/>
      <x:c r="AD140" s="34"/>
      <x:c r="AE140" s="34" t="str">
        <x:v>article1-unified-v4-2-fb3f101b-20260903-000401-default-f01-p4-cache2k-2-after-final-undeploy-early-2s-thread-dump.txt</x:v>
      </x:c>
      <x:c r="AF140" s="34" t="str">
        <x:v>article1-unified-v4-2-fb3f101b-20260903-000401-default-f01-p4-cache2k-2-after-final-undeploy-early-tomcat-log.txt</x:v>
      </x:c>
      <x:c r="AG140" s="34"/>
      <x:c r="AH140" s="34"/>
      <x:c r="AI140" s="34"/>
    </x:row>
    <x:row r="141">
      <x:c r="A141" s="34" t="str">
        <x:v>article1-unified-v4-2-fb3f101b-20260903-000401-default-f01-p4-cache2k</x:v>
      </x:c>
      <x:c r="B141" s="34" t="str">
        <x:v>default</x:v>
      </x:c>
      <x:c r="C141" s="34" t="str">
        <x:v>cache2k</x:v>
      </x:c>
      <x:c r="D141" s="34" t="str">
        <x:v>cache2k</x:v>
      </x:c>
      <x:c r="E141" s="36" t="n">
        <x:v>1</x:v>
      </x:c>
      <x:c r="F141" s="36" t="n">
        <x:v>1</x:v>
      </x:c>
      <x:c r="G141" s="36" t="n">
        <x:v>4</x:v>
      </x:c>
      <x:c r="H141" s="36" t="n">
        <x:v>2</x:v>
      </x:c>
      <x:c r="I141" s="34" t="str">
        <x:v>afterFinalUndeploy</x:v>
      </x:c>
      <x:c r="J141" s="34" t="str">
        <x:v>after-final-undeploy-final</x:v>
      </x:c>
      <x:c r="K141" s="36" t="n">
        <x:v>2</x:v>
      </x:c>
      <x:c r="L141" s="34" t="str">
        <x:v>final</x:v>
      </x:c>
      <x:c r="M141" s="34" t="str">
        <x:v>article1-unified-v4-2-fb3f101b-20260903-000401-default-f01-p4-cache2k-2-after-final-undeploy-final-10s</x:v>
      </x:c>
      <x:c r="N141" s="38" t="n">
        <x:v>46267.94296314815</x:v>
      </x:c>
      <x:c r="O141" s="36" t="n">
        <x:v>2</x:v>
      </x:c>
      <x:c r="P141" s="43" t="n">
        <x:v>15553536</x:v>
      </x:c>
      <x:c r="Q141" s="43" t="n">
        <x:v>268435456</x:v>
      </x:c>
      <x:c r="R141" s="43" t="n">
        <x:v>422064128</x:v>
      </x:c>
      <x:c r="S141" s="36" t="n">
        <x:v>2</x:v>
      </x:c>
      <x:c r="T141" s="44" t="str">
        <x:v>0x00000000461177b8  0x0000000046003818  0x00007499685f52b0       0         0         0  org.apache.catalina.loader.ParallelWebappClassLoader | 0x00000000461177b8  0x0000000046003818  0x00007498d419c570    4452  21307392  21295800  org.apache.catalina.loader.ParallelWebappClassLoader</x:v>
      </x:c>
      <x:c r="U141" s="36" t="n">
        <x:v>27</x:v>
      </x:c>
      <x:c r="V141" s="36" t="n">
        <x:v>0</x:v>
      </x:c>
      <x:c r="W141" s="44"/>
      <x:c r="X141" s="36" t="n">
        <x:v>1</x:v>
      </x:c>
      <x:c r="Y141" s="36" t="n">
        <x:v>1</x:v>
      </x:c>
      <x:c r="Z141" s="44" t="str">
        <x:v>/cache2k</x:v>
      </x:c>
      <x:c r="AA141" s="45" t="b">
        <x:v>1</x:v>
      </x:c>
      <x:c r="AB141" s="43"/>
      <x:c r="AC141" s="34" t="str">
        <x:v>article1-unified-v4-2-fb3f101b-20260903-000401-default-f01-p4-cache2k-2-after-final-undeploy-final-10s-heap-info.txt</x:v>
      </x:c>
      <x:c r="AD141" s="34" t="str">
        <x:v>article1-unified-v4-2-fb3f101b-20260903-000401-default-f01-p4-cache2k-2-after-final-undeploy-final-10s-classloader-stats.txt</x:v>
      </x:c>
      <x:c r="AE141" s="34" t="str">
        <x:v>article1-unified-v4-2-fb3f101b-20260903-000401-default-f01-p4-cache2k-2-after-final-undeploy-final-10s-thread-dump.txt</x:v>
      </x:c>
      <x:c r="AF141" s="34"/>
      <x:c r="AG141" s="34" t="str">
        <x:v>article1-unified-v4-2-fb3f101b-20260903-000401-default-f01-p4-cache2k-2-after-final-undeploy-final-10s-native-memory.txt</x:v>
      </x:c>
      <x:c r="AH141" s="34" t="str">
        <x:v>article1-unified-v4-2-fb3f101b-20260903-000401-default-f01-p4-cache2k-2-after-final-undeploy-final-10s-class-histogram.txt</x:v>
      </x:c>
      <x:c r="AI141" s="34" t="str">
        <x:v>article1-unified-v4-2-fb3f101b-20260903-000401-default-f01-p4-cache2k-2-after-final-undeploy-tomcat-findleaks.txt</x:v>
      </x:c>
    </x:row>
    <x:row r="142">
      <x:c r="A142" s="34" t="str">
        <x:v>article1-unified-v4-2-fb3f101b-20260903-000401-default-f01-p4-cache2k</x:v>
      </x:c>
      <x:c r="B142" s="34" t="str">
        <x:v>default</x:v>
      </x:c>
      <x:c r="C142" s="34" t="str">
        <x:v>cache2k</x:v>
      </x:c>
      <x:c r="D142" s="34" t="str">
        <x:v>cache2k</x:v>
      </x:c>
      <x:c r="E142" s="36" t="n">
        <x:v>1</x:v>
      </x:c>
      <x:c r="F142" s="36" t="n">
        <x:v>1</x:v>
      </x:c>
      <x:c r="G142" s="36" t="n">
        <x:v>4</x:v>
      </x:c>
      <x:c r="H142" s="36" t="n">
        <x:v>3</x:v>
      </x:c>
      <x:c r="I142" s="34" t="str">
        <x:v>baseline</x:v>
      </x:c>
      <x:c r="J142" s="34" t="str">
        <x:v>cycle-baseline</x:v>
      </x:c>
      <x:c r="K142" s="36" t="n">
        <x:v>0</x:v>
      </x:c>
      <x:c r="L142" s="34" t="str">
        <x:v>baseline</x:v>
      </x:c>
      <x:c r="M142" s="34" t="str">
        <x:v>article1-unified-v4-2-fb3f101b-20260903-000401-default-f01-p4-cache2k-3-baseline</x:v>
      </x:c>
      <x:c r="N142" s="38" t="n">
        <x:v>46267.94301181713</x:v>
      </x:c>
      <x:c r="O142" s="36" t="n">
        <x:v>0</x:v>
      </x:c>
      <x:c r="P142" s="43" t="n">
        <x:v>15553536</x:v>
      </x:c>
      <x:c r="Q142" s="43" t="n">
        <x:v>268435456</x:v>
      </x:c>
      <x:c r="R142" s="43" t="n">
        <x:v>421899264</x:v>
      </x:c>
      <x:c r="S142" s="36" t="n">
        <x:v>2</x:v>
      </x:c>
      <x:c r="T142" s="44" t="str">
        <x:v>0x00000000461177b8  0x0000000046003818  0x00007499685f52b0       0         0         0  org.apache.catalina.loader.ParallelWebappClassLoader | 0x00000000461177b8  0x0000000046003818  0x00007498d419c570    4452  21307392  21295800  org.apache.catalina.loader.ParallelWebappClassLoader</x:v>
      </x:c>
      <x:c r="U142" s="36" t="n">
        <x:v>27</x:v>
      </x:c>
      <x:c r="V142" s="36" t="n">
        <x:v>0</x:v>
      </x:c>
      <x:c r="W142" s="44"/>
      <x:c r="X142" s="36"/>
      <x:c r="Y142" s="36"/>
      <x:c r="Z142" s="44"/>
      <x:c r="AA142" s="49"/>
      <x:c r="AB142" s="43"/>
      <x:c r="AC142" s="34" t="str">
        <x:v>article1-unified-v4-2-fb3f101b-20260903-000401-default-f01-p4-cache2k-3-baseline-heap-info.txt</x:v>
      </x:c>
      <x:c r="AD142" s="34" t="str">
        <x:v>article1-unified-v4-2-fb3f101b-20260903-000401-default-f01-p4-cache2k-3-baseline-classloader-stats.txt</x:v>
      </x:c>
      <x:c r="AE142" s="34" t="str">
        <x:v>article1-unified-v4-2-fb3f101b-20260903-000401-default-f01-p4-cache2k-3-baseline-thread-dump.txt</x:v>
      </x:c>
      <x:c r="AF142" s="34"/>
      <x:c r="AG142" s="34" t="str">
        <x:v>article1-unified-v4-2-fb3f101b-20260903-000401-default-f01-p4-cache2k-3-baseline-native-memory.txt</x:v>
      </x:c>
      <x:c r="AH142" s="34"/>
      <x:c r="AI142" s="34"/>
    </x:row>
    <x:row r="143">
      <x:c r="A143" s="34" t="str">
        <x:v>article1-unified-v4-2-fb3f101b-20260903-000401-default-f01-p4-cache2k</x:v>
      </x:c>
      <x:c r="B143" s="34" t="str">
        <x:v>default</x:v>
      </x:c>
      <x:c r="C143" s="34" t="str">
        <x:v>cache2k</x:v>
      </x:c>
      <x:c r="D143" s="34" t="str">
        <x:v>cache2k</x:v>
      </x:c>
      <x:c r="E143" s="36" t="n">
        <x:v>1</x:v>
      </x:c>
      <x:c r="F143" s="36" t="n">
        <x:v>1</x:v>
      </x:c>
      <x:c r="G143" s="36" t="n">
        <x:v>4</x:v>
      </x:c>
      <x:c r="H143" s="36" t="n">
        <x:v>3</x:v>
      </x:c>
      <x:c r="I143" s="34" t="str">
        <x:v>deployedIdle</x:v>
      </x:c>
      <x:c r="J143" s="34" t="str">
        <x:v>deployed-idle</x:v>
      </x:c>
      <x:c r="K143" s="36" t="n">
        <x:v>0</x:v>
      </x:c>
      <x:c r="L143" s="34" t="str">
        <x:v>initial</x:v>
      </x:c>
      <x:c r="M143" s="34" t="str">
        <x:v>article1-unified-v4-2-fb3f101b-20260903-000401-default-f01-p4-cache2k-3-deployed-idle</x:v>
      </x:c>
      <x:c r="N143" s="38" t="n">
        <x:v>46267.943125798614</x:v>
      </x:c>
      <x:c r="O143" s="36" t="n">
        <x:v>0</x:v>
      </x:c>
      <x:c r="P143" s="43" t="n">
        <x:v>167056384</x:v>
      </x:c>
      <x:c r="Q143" s="43" t="n">
        <x:v>268435456</x:v>
      </x:c>
      <x:c r="R143" s="43" t="n">
        <x:v>438376448</x:v>
      </x:c>
      <x:c r="S143" s="36" t="n">
        <x:v>3</x:v>
      </x:c>
      <x:c r="T143" s="44" t="str">
        <x:v>0x00000000461177b8  0x0000000046003818  0x000074987000d760    4091  19456000  19431656  org.apache.catalina.loader.ParallelWebappClassLoader | 0x00000000461177b8  0x0000000046003818  0x00007499685f52b0       0         0         0  org.apache.catalina.loader.ParallelWebappClassLoader | 0x00000000461177b8  0x0000000046003818  0x00007498d419c570    4452  21307392  21295800  org.apache.catalina.loader.ParallelWebappClassLoader</x:v>
      </x:c>
      <x:c r="U143" s="36" t="n">
        <x:v>27</x:v>
      </x:c>
      <x:c r="V143" s="36" t="n">
        <x:v>0</x:v>
      </x:c>
      <x:c r="W143" s="44"/>
      <x:c r="X143" s="36"/>
      <x:c r="Y143" s="36"/>
      <x:c r="Z143" s="44"/>
      <x:c r="AA143" s="49"/>
      <x:c r="AB143" s="43"/>
      <x:c r="AC143" s="34"/>
      <x:c r="AD143" s="34"/>
      <x:c r="AE143" s="34"/>
      <x:c r="AF143" s="34"/>
      <x:c r="AG143" s="34"/>
      <x:c r="AH143" s="34"/>
      <x:c r="AI143" s="34"/>
    </x:row>
    <x:row r="144">
      <x:c r="A144" s="34" t="str">
        <x:v>article1-unified-v4-2-fb3f101b-20260903-000401-default-f01-p4-cache2k</x:v>
      </x:c>
      <x:c r="B144" s="34" t="str">
        <x:v>default</x:v>
      </x:c>
      <x:c r="C144" s="34" t="str">
        <x:v>cache2k</x:v>
      </x:c>
      <x:c r="D144" s="34" t="str">
        <x:v>cache2k</x:v>
      </x:c>
      <x:c r="E144" s="36" t="n">
        <x:v>1</x:v>
      </x:c>
      <x:c r="F144" s="36" t="n">
        <x:v>1</x:v>
      </x:c>
      <x:c r="G144" s="36" t="n">
        <x:v>4</x:v>
      </x:c>
      <x:c r="H144" s="36" t="n">
        <x:v>3</x:v>
      </x:c>
      <x:c r="I144" s="34" t="str">
        <x:v>loaded</x:v>
      </x:c>
      <x:c r="J144" s="34" t="str">
        <x:v>loaded</x:v>
      </x:c>
      <x:c r="K144" s="36" t="n">
        <x:v>0</x:v>
      </x:c>
      <x:c r="L144" s="34" t="str">
        <x:v>initial</x:v>
      </x:c>
      <x:c r="M144" s="34" t="str">
        <x:v>article1-unified-v4-2-fb3f101b-20260903-000401-default-f01-p4-cache2k-3-loaded</x:v>
      </x:c>
      <x:c r="N144" s="38" t="n">
        <x:v>46267.943278611114</x:v>
      </x:c>
      <x:c r="O144" s="36" t="n">
        <x:v>0</x:v>
      </x:c>
      <x:c r="P144" s="43" t="n">
        <x:v>92495872</x:v>
      </x:c>
      <x:c r="Q144" s="43" t="n">
        <x:v>268435456</x:v>
      </x:c>
      <x:c r="R144" s="43" t="n">
        <x:v>441197568</x:v>
      </x:c>
      <x:c r="S144" s="36" t="n">
        <x:v>3</x:v>
      </x:c>
      <x:c r="T144" s="44" t="str">
        <x:v>0x00000000461177b8  0x0000000046003818  0x00007499685f52b0       0         0         0  org.apache.catalina.loader.ParallelWebappClassLoader | 0x00000000461177b8  0x0000000046003818  0x000074987000d760    4440  21274624  21259432  org.apache.catalina.loader.ParallelWebappClassLoader | 0x00000000461177b8  0x0000000046003818  0x00007498d419c570    4452  21307392  21295800  org.apache.catalina.loader.ParallelWebappClassLoader</x:v>
      </x:c>
      <x:c r="U144" s="36" t="n">
        <x:v>29</x:v>
      </x:c>
      <x:c r="V144" s="36" t="n">
        <x:v>0</x:v>
      </x:c>
      <x:c r="W144" s="44"/>
      <x:c r="X144" s="36"/>
      <x:c r="Y144" s="36"/>
      <x:c r="Z144" s="44"/>
      <x:c r="AA144" s="49"/>
      <x:c r="AB144" s="43"/>
      <x:c r="AC144" s="34"/>
      <x:c r="AD144" s="34"/>
      <x:c r="AE144" s="34"/>
      <x:c r="AF144" s="34"/>
      <x:c r="AG144" s="34"/>
      <x:c r="AH144" s="34"/>
      <x:c r="AI144" s="34"/>
    </x:row>
    <x:row r="145">
      <x:c r="A145" s="34" t="str">
        <x:v>article1-unified-v4-2-fb3f101b-20260903-000401-default-f01-p4-cache2k</x:v>
      </x:c>
      <x:c r="B145" s="34" t="str">
        <x:v>default</x:v>
      </x:c>
      <x:c r="C145" s="34" t="str">
        <x:v>cache2k</x:v>
      </x:c>
      <x:c r="D145" s="34" t="str">
        <x:v>cache2k</x:v>
      </x:c>
      <x:c r="E145" s="36" t="n">
        <x:v>1</x:v>
      </x:c>
      <x:c r="F145" s="36" t="n">
        <x:v>1</x:v>
      </x:c>
      <x:c r="G145" s="36" t="n">
        <x:v>4</x:v>
      </x:c>
      <x:c r="H145" s="36" t="n">
        <x:v>3</x:v>
      </x:c>
      <x:c r="I145" s="34" t="str">
        <x:v>afterUndeployEarly</x:v>
      </x:c>
      <x:c r="J145" s="34" t="str">
        <x:v>after-undeploy-early</x:v>
      </x:c>
      <x:c r="K145" s="36" t="n">
        <x:v>1</x:v>
      </x:c>
      <x:c r="L145" s="34" t="str">
        <x:v>early</x:v>
      </x:c>
      <x:c r="M145" s="34" t="str">
        <x:v>article1-unified-v4-2-fb3f101b-20260903-000401-default-f01-p4-cache2k-3-after-undeploy-early-2s</x:v>
      </x:c>
      <x:c r="N145" s="38" t="n">
        <x:v>46267.943361481484</x:v>
      </x:c>
      <x:c r="O145" s="36"/>
      <x:c r="P145" s="43"/>
      <x:c r="Q145" s="43"/>
      <x:c r="R145" s="43"/>
      <x:c r="S145" s="36"/>
      <x:c r="T145" s="44"/>
      <x:c r="U145" s="36" t="n">
        <x:v>27</x:v>
      </x:c>
      <x:c r="V145" s="36" t="n">
        <x:v>0</x:v>
      </x:c>
      <x:c r="W145" s="44"/>
      <x:c r="X145" s="36"/>
      <x:c r="Y145" s="36"/>
      <x:c r="Z145" s="44"/>
      <x:c r="AA145" s="49"/>
      <x:c r="AB145" s="43" t="n">
        <x:v>1</x:v>
      </x:c>
      <x:c r="AC145" s="34"/>
      <x:c r="AD145" s="34"/>
      <x:c r="AE145" s="34" t="str">
        <x:v>article1-unified-v4-2-fb3f101b-20260903-000401-default-f01-p4-cache2k-3-after-undeploy-early-2s-thread-dump.txt</x:v>
      </x:c>
      <x:c r="AF145" s="34" t="str">
        <x:v>article1-unified-v4-2-fb3f101b-20260903-000401-default-f01-p4-cache2k-3-after-undeploy-early-tomcat-log.txt</x:v>
      </x:c>
      <x:c r="AG145" s="34"/>
      <x:c r="AH145" s="34"/>
      <x:c r="AI145" s="34"/>
    </x:row>
    <x:row r="146">
      <x:c r="A146" s="34" t="str">
        <x:v>article1-unified-v4-2-fb3f101b-20260903-000401-default-f01-p4-cache2k</x:v>
      </x:c>
      <x:c r="B146" s="34" t="str">
        <x:v>default</x:v>
      </x:c>
      <x:c r="C146" s="34" t="str">
        <x:v>cache2k</x:v>
      </x:c>
      <x:c r="D146" s="34" t="str">
        <x:v>cache2k</x:v>
      </x:c>
      <x:c r="E146" s="36" t="n">
        <x:v>1</x:v>
      </x:c>
      <x:c r="F146" s="36" t="n">
        <x:v>1</x:v>
      </x:c>
      <x:c r="G146" s="36" t="n">
        <x:v>4</x:v>
      </x:c>
      <x:c r="H146" s="36" t="n">
        <x:v>3</x:v>
      </x:c>
      <x:c r="I146" s="34" t="str">
        <x:v>afterUndeploy</x:v>
      </x:c>
      <x:c r="J146" s="34" t="str">
        <x:v>after-undeploy-final</x:v>
      </x:c>
      <x:c r="K146" s="36" t="n">
        <x:v>1</x:v>
      </x:c>
      <x:c r="L146" s="34" t="str">
        <x:v>final</x:v>
      </x:c>
      <x:c r="M146" s="34" t="str">
        <x:v>article1-unified-v4-2-fb3f101b-20260903-000401-default-f01-p4-cache2k-3-after-undeploy-final-10s</x:v>
      </x:c>
      <x:c r="N146" s="38" t="n">
        <x:v>46267.943513680555</x:v>
      </x:c>
      <x:c r="O146" s="36" t="n">
        <x:v>2</x:v>
      </x:c>
      <x:c r="P146" s="43" t="n">
        <x:v>15557632</x:v>
      </x:c>
      <x:c r="Q146" s="43" t="n">
        <x:v>268435456</x:v>
      </x:c>
      <x:c r="R146" s="43" t="n">
        <x:v>419558400</x:v>
      </x:c>
      <x:c r="S146" s="36" t="n">
        <x:v>2</x:v>
      </x:c>
      <x:c r="T146" s="44" t="str">
        <x:v>0x00000000461177b8  0x0000000046003818  0x00007499685f52b0       0         0         0  org.apache.catalina.loader.ParallelWebappClassLoader | 0x00000000461177b8  0x0000000046003818  0x000074987000d760    4450  21307392  21288376  org.apache.catalina.loader.ParallelWebappClassLoader</x:v>
      </x:c>
      <x:c r="U146" s="36" t="n">
        <x:v>27</x:v>
      </x:c>
      <x:c r="V146" s="36" t="n">
        <x:v>0</x:v>
      </x:c>
      <x:c r="W146" s="44"/>
      <x:c r="X146" s="36" t="n">
        <x:v>1</x:v>
      </x:c>
      <x:c r="Y146" s="36" t="n">
        <x:v>1</x:v>
      </x:c>
      <x:c r="Z146" s="44" t="str">
        <x:v>/cache2k</x:v>
      </x:c>
      <x:c r="AA146" s="45" t="b">
        <x:v>1</x:v>
      </x:c>
      <x:c r="AB146" s="43"/>
      <x:c r="AC146" s="34" t="str">
        <x:v>article1-unified-v4-2-fb3f101b-20260903-000401-default-f01-p4-cache2k-3-after-undeploy-final-10s-heap-info.txt</x:v>
      </x:c>
      <x:c r="AD146" s="34" t="str">
        <x:v>article1-unified-v4-2-fb3f101b-20260903-000401-default-f01-p4-cache2k-3-after-undeploy-final-10s-classloader-stats.txt</x:v>
      </x:c>
      <x:c r="AE146" s="34" t="str">
        <x:v>article1-unified-v4-2-fb3f101b-20260903-000401-default-f01-p4-cache2k-3-after-undeploy-final-10s-thread-dump.txt</x:v>
      </x:c>
      <x:c r="AF146" s="34"/>
      <x:c r="AG146" s="34" t="str">
        <x:v>article1-unified-v4-2-fb3f101b-20260903-000401-default-f01-p4-cache2k-3-after-undeploy-final-10s-native-memory.txt</x:v>
      </x:c>
      <x:c r="AH146" s="34" t="str">
        <x:v>article1-unified-v4-2-fb3f101b-20260903-000401-default-f01-p4-cache2k-3-after-undeploy-final-10s-class-histogram.txt</x:v>
      </x:c>
      <x:c r="AI146" s="34" t="str">
        <x:v>article1-unified-v4-2-fb3f101b-20260903-000401-default-f01-p4-cache2k-3-after-undeploy-tomcat-findleaks.txt</x:v>
      </x:c>
    </x:row>
    <x:row r="147">
      <x:c r="A147" s="34" t="str">
        <x:v>article1-unified-v4-2-fb3f101b-20260903-000401-default-f01-p4-cache2k</x:v>
      </x:c>
      <x:c r="B147" s="34" t="str">
        <x:v>default</x:v>
      </x:c>
      <x:c r="C147" s="34" t="str">
        <x:v>cache2k</x:v>
      </x:c>
      <x:c r="D147" s="34" t="str">
        <x:v>cache2k</x:v>
      </x:c>
      <x:c r="E147" s="36" t="n">
        <x:v>1</x:v>
      </x:c>
      <x:c r="F147" s="36" t="n">
        <x:v>1</x:v>
      </x:c>
      <x:c r="G147" s="36" t="n">
        <x:v>4</x:v>
      </x:c>
      <x:c r="H147" s="36" t="n">
        <x:v>3</x:v>
      </x:c>
      <x:c r="I147" s="34" t="str">
        <x:v>redeployedLoaded</x:v>
      </x:c>
      <x:c r="J147" s="34" t="str">
        <x:v>redeployed-loaded</x:v>
      </x:c>
      <x:c r="K147" s="36" t="n">
        <x:v>0</x:v>
      </x:c>
      <x:c r="L147" s="34" t="str">
        <x:v>redeploy</x:v>
      </x:c>
      <x:c r="M147" s="34" t="str">
        <x:v>article1-unified-v4-2-fb3f101b-20260903-000401-default-f01-p4-cache2k-3-redeployed-loaded</x:v>
      </x:c>
      <x:c r="N147" s="38" t="n">
        <x:v>46267.94377409722</x:v>
      </x:c>
      <x:c r="O147" s="36" t="n">
        <x:v>0</x:v>
      </x:c>
      <x:c r="P147" s="43" t="n">
        <x:v>94682112</x:v>
      </x:c>
      <x:c r="Q147" s="43" t="n">
        <x:v>268435456</x:v>
      </x:c>
      <x:c r="R147" s="43" t="n">
        <x:v>450931712</x:v>
      </x:c>
      <x:c r="S147" s="36" t="n">
        <x:v>3</x:v>
      </x:c>
      <x:c r="T147" s="44" t="str">
        <x:v>0x00000000461177b8  0x0000000046003818  0x00007499685f52b0       0         0         0  org.apache.catalina.loader.ParallelWebappClassLoader | 0x00000000461177b8  0x0000000046003818  0x000074988c0db300    4440  21274624  21259736  org.apache.catalina.loader.ParallelWebappClassLoader | 0x00000000461177b8  0x0000000046003818  0x000074987000d760    4450  21307392  21288376  org.apache.catalina.loader.ParallelWebappClassLoader</x:v>
      </x:c>
      <x:c r="U147" s="36" t="n">
        <x:v>29</x:v>
      </x:c>
      <x:c r="V147" s="36" t="n">
        <x:v>0</x:v>
      </x:c>
      <x:c r="W147" s="44"/>
      <x:c r="X147" s="36"/>
      <x:c r="Y147" s="36"/>
      <x:c r="Z147" s="44"/>
      <x:c r="AA147" s="49"/>
      <x:c r="AB147" s="43"/>
      <x:c r="AC147" s="34"/>
      <x:c r="AD147" s="34"/>
      <x:c r="AE147" s="34"/>
      <x:c r="AF147" s="34"/>
      <x:c r="AG147" s="34"/>
      <x:c r="AH147" s="34"/>
      <x:c r="AI147" s="34"/>
    </x:row>
    <x:row r="148">
      <x:c r="A148" s="34" t="str">
        <x:v>article1-unified-v4-2-fb3f101b-20260903-000401-default-f01-p4-cache2k</x:v>
      </x:c>
      <x:c r="B148" s="34" t="str">
        <x:v>default</x:v>
      </x:c>
      <x:c r="C148" s="34" t="str">
        <x:v>cache2k</x:v>
      </x:c>
      <x:c r="D148" s="34" t="str">
        <x:v>cache2k</x:v>
      </x:c>
      <x:c r="E148" s="36" t="n">
        <x:v>1</x:v>
      </x:c>
      <x:c r="F148" s="36" t="n">
        <x:v>1</x:v>
      </x:c>
      <x:c r="G148" s="36" t="n">
        <x:v>4</x:v>
      </x:c>
      <x:c r="H148" s="36" t="n">
        <x:v>3</x:v>
      </x:c>
      <x:c r="I148" s="34" t="str">
        <x:v>afterFinalUndeployEarly</x:v>
      </x:c>
      <x:c r="J148" s="34" t="str">
        <x:v>after-final-undeploy-early</x:v>
      </x:c>
      <x:c r="K148" s="36" t="n">
        <x:v>2</x:v>
      </x:c>
      <x:c r="L148" s="34" t="str">
        <x:v>early</x:v>
      </x:c>
      <x:c r="M148" s="34" t="str">
        <x:v>article1-unified-v4-2-fb3f101b-20260903-000401-default-f01-p4-cache2k-3-after-final-undeploy-early-2s</x:v>
      </x:c>
      <x:c r="N148" s="38" t="n">
        <x:v>46267.94385578704</x:v>
      </x:c>
      <x:c r="O148" s="36"/>
      <x:c r="P148" s="43"/>
      <x:c r="Q148" s="43"/>
      <x:c r="R148" s="43"/>
      <x:c r="S148" s="36"/>
      <x:c r="T148" s="44"/>
      <x:c r="U148" s="36" t="n">
        <x:v>27</x:v>
      </x:c>
      <x:c r="V148" s="36" t="n">
        <x:v>0</x:v>
      </x:c>
      <x:c r="W148" s="44"/>
      <x:c r="X148" s="36"/>
      <x:c r="Y148" s="36"/>
      <x:c r="Z148" s="44"/>
      <x:c r="AA148" s="49"/>
      <x:c r="AB148" s="43" t="n">
        <x:v>1</x:v>
      </x:c>
      <x:c r="AC148" s="34"/>
      <x:c r="AD148" s="34"/>
      <x:c r="AE148" s="34" t="str">
        <x:v>article1-unified-v4-2-fb3f101b-20260903-000401-default-f01-p4-cache2k-3-after-final-undeploy-early-2s-thread-dump.txt</x:v>
      </x:c>
      <x:c r="AF148" s="34" t="str">
        <x:v>article1-unified-v4-2-fb3f101b-20260903-000401-default-f01-p4-cache2k-3-after-final-undeploy-early-tomcat-log.txt</x:v>
      </x:c>
      <x:c r="AG148" s="34"/>
      <x:c r="AH148" s="34"/>
      <x:c r="AI148" s="34"/>
    </x:row>
    <x:row r="149">
      <x:c r="A149" s="34" t="str">
        <x:v>article1-unified-v4-2-fb3f101b-20260903-000401-default-f01-p4-cache2k</x:v>
      </x:c>
      <x:c r="B149" s="34" t="str">
        <x:v>default</x:v>
      </x:c>
      <x:c r="C149" s="34" t="str">
        <x:v>cache2k</x:v>
      </x:c>
      <x:c r="D149" s="34" t="str">
        <x:v>cache2k</x:v>
      </x:c>
      <x:c r="E149" s="36" t="n">
        <x:v>1</x:v>
      </x:c>
      <x:c r="F149" s="36" t="n">
        <x:v>1</x:v>
      </x:c>
      <x:c r="G149" s="36" t="n">
        <x:v>4</x:v>
      </x:c>
      <x:c r="H149" s="36" t="n">
        <x:v>3</x:v>
      </x:c>
      <x:c r="I149" s="34" t="str">
        <x:v>afterFinalUndeploy</x:v>
      </x:c>
      <x:c r="J149" s="34" t="str">
        <x:v>after-final-undeploy-final</x:v>
      </x:c>
      <x:c r="K149" s="36" t="n">
        <x:v>2</x:v>
      </x:c>
      <x:c r="L149" s="34" t="str">
        <x:v>final</x:v>
      </x:c>
      <x:c r="M149" s="34" t="str">
        <x:v>article1-unified-v4-2-fb3f101b-20260903-000401-default-f01-p4-cache2k-3-after-final-undeploy-final-10s</x:v>
      </x:c>
      <x:c r="N149" s="38" t="n">
        <x:v>46267.94401259259</x:v>
      </x:c>
      <x:c r="O149" s="36" t="n">
        <x:v>2</x:v>
      </x:c>
      <x:c r="P149" s="43" t="n">
        <x:v>15582208</x:v>
      </x:c>
      <x:c r="Q149" s="43" t="n">
        <x:v>268435456</x:v>
      </x:c>
      <x:c r="R149" s="43" t="n">
        <x:v>425263104</x:v>
      </x:c>
      <x:c r="S149" s="36" t="n">
        <x:v>2</x:v>
      </x:c>
      <x:c r="T149" s="44" t="str">
        <x:v>0x00000000461177b8  0x0000000046003818  0x00007499685f52b0       0         0         0  org.apache.catalina.loader.ParallelWebappClassLoader | 0x00000000461177b8  0x0000000046003818  0x000074988c0db300    4450  21291008  21288680  org.apache.catalina.loader.ParallelWebappClassLoader</x:v>
      </x:c>
      <x:c r="U149" s="36" t="n">
        <x:v>27</x:v>
      </x:c>
      <x:c r="V149" s="36" t="n">
        <x:v>0</x:v>
      </x:c>
      <x:c r="W149" s="44"/>
      <x:c r="X149" s="36" t="n">
        <x:v>1</x:v>
      </x:c>
      <x:c r="Y149" s="36" t="n">
        <x:v>1</x:v>
      </x:c>
      <x:c r="Z149" s="44" t="str">
        <x:v>/cache2k</x:v>
      </x:c>
      <x:c r="AA149" s="45" t="b">
        <x:v>1</x:v>
      </x:c>
      <x:c r="AB149" s="43"/>
      <x:c r="AC149" s="34" t="str">
        <x:v>article1-unified-v4-2-fb3f101b-20260903-000401-default-f01-p4-cache2k-3-after-final-undeploy-final-10s-heap-info.txt</x:v>
      </x:c>
      <x:c r="AD149" s="34" t="str">
        <x:v>article1-unified-v4-2-fb3f101b-20260903-000401-default-f01-p4-cache2k-3-after-final-undeploy-final-10s-classloader-stats.txt</x:v>
      </x:c>
      <x:c r="AE149" s="34" t="str">
        <x:v>article1-unified-v4-2-fb3f101b-20260903-000401-default-f01-p4-cache2k-3-after-final-undeploy-final-10s-thread-dump.txt</x:v>
      </x:c>
      <x:c r="AF149" s="34"/>
      <x:c r="AG149" s="34" t="str">
        <x:v>article1-unified-v4-2-fb3f101b-20260903-000401-default-f01-p4-cache2k-3-after-final-undeploy-final-10s-native-memory.txt</x:v>
      </x:c>
      <x:c r="AH149" s="34" t="str">
        <x:v>article1-unified-v4-2-fb3f101b-20260903-000401-default-f01-p4-cache2k-3-after-final-undeploy-final-10s-class-histogram.txt</x:v>
      </x:c>
      <x:c r="AI149" s="34" t="str">
        <x:v>article1-unified-v4-2-fb3f101b-20260903-000401-default-f01-p4-cache2k-3-after-final-undeploy-tomcat-findleaks.txt</x:v>
      </x:c>
    </x:row>
    <x:row r="150">
      <x:c r="A150" s="34" t="str">
        <x:v>article1-unified-v4-2-fb3f101b-20260903-000401-default-f01-p4-cache2k</x:v>
      </x:c>
      <x:c r="B150" s="34" t="str">
        <x:v>default</x:v>
      </x:c>
      <x:c r="C150" s="34" t="str">
        <x:v>cache2k</x:v>
      </x:c>
      <x:c r="D150" s="34" t="str">
        <x:v>cache2k</x:v>
      </x:c>
      <x:c r="E150" s="36" t="n">
        <x:v>1</x:v>
      </x:c>
      <x:c r="F150" s="36" t="n">
        <x:v>1</x:v>
      </x:c>
      <x:c r="G150" s="36" t="n">
        <x:v>4</x:v>
      </x:c>
      <x:c r="H150" s="36" t="n">
        <x:v>4</x:v>
      </x:c>
      <x:c r="I150" s="34" t="str">
        <x:v>baseline</x:v>
      </x:c>
      <x:c r="J150" s="34" t="str">
        <x:v>cycle-baseline</x:v>
      </x:c>
      <x:c r="K150" s="36" t="n">
        <x:v>0</x:v>
      </x:c>
      <x:c r="L150" s="34" t="str">
        <x:v>baseline</x:v>
      </x:c>
      <x:c r="M150" s="34" t="str">
        <x:v>article1-unified-v4-2-fb3f101b-20260903-000401-default-f01-p4-cache2k-4-baseline</x:v>
      </x:c>
      <x:c r="N150" s="38" t="n">
        <x:v>46267.94405792824</x:v>
      </x:c>
      <x:c r="O150" s="36" t="n">
        <x:v>0</x:v>
      </x:c>
      <x:c r="P150" s="43" t="n">
        <x:v>15582208</x:v>
      </x:c>
      <x:c r="Q150" s="43" t="n">
        <x:v>268435456</x:v>
      </x:c>
      <x:c r="R150" s="43" t="n">
        <x:v>425728000</x:v>
      </x:c>
      <x:c r="S150" s="36" t="n">
        <x:v>2</x:v>
      </x:c>
      <x:c r="T150" s="44" t="str">
        <x:v>0x00000000461177b8  0x0000000046003818  0x00007499685f52b0       0         0         0  org.apache.catalina.loader.ParallelWebappClassLoader | 0x00000000461177b8  0x0000000046003818  0x000074988c0db300    4450  21291008  21288680  org.apache.catalina.loader.ParallelWebappClassLoader</x:v>
      </x:c>
      <x:c r="U150" s="36" t="n">
        <x:v>27</x:v>
      </x:c>
      <x:c r="V150" s="36" t="n">
        <x:v>0</x:v>
      </x:c>
      <x:c r="W150" s="44"/>
      <x:c r="X150" s="36"/>
      <x:c r="Y150" s="36"/>
      <x:c r="Z150" s="44"/>
      <x:c r="AA150" s="49"/>
      <x:c r="AB150" s="43"/>
      <x:c r="AC150" s="34" t="str">
        <x:v>article1-unified-v4-2-fb3f101b-20260903-000401-default-f01-p4-cache2k-4-baseline-heap-info.txt</x:v>
      </x:c>
      <x:c r="AD150" s="34" t="str">
        <x:v>article1-unified-v4-2-fb3f101b-20260903-000401-default-f01-p4-cache2k-4-baseline-classloader-stats.txt</x:v>
      </x:c>
      <x:c r="AE150" s="34" t="str">
        <x:v>article1-unified-v4-2-fb3f101b-20260903-000401-default-f01-p4-cache2k-4-baseline-thread-dump.txt</x:v>
      </x:c>
      <x:c r="AF150" s="34"/>
      <x:c r="AG150" s="34" t="str">
        <x:v>article1-unified-v4-2-fb3f101b-20260903-000401-default-f01-p4-cache2k-4-baseline-native-memory.txt</x:v>
      </x:c>
      <x:c r="AH150" s="34"/>
      <x:c r="AI150" s="34"/>
    </x:row>
    <x:row r="151">
      <x:c r="A151" s="34" t="str">
        <x:v>article1-unified-v4-2-fb3f101b-20260903-000401-default-f01-p4-cache2k</x:v>
      </x:c>
      <x:c r="B151" s="34" t="str">
        <x:v>default</x:v>
      </x:c>
      <x:c r="C151" s="34" t="str">
        <x:v>cache2k</x:v>
      </x:c>
      <x:c r="D151" s="34" t="str">
        <x:v>cache2k</x:v>
      </x:c>
      <x:c r="E151" s="36" t="n">
        <x:v>1</x:v>
      </x:c>
      <x:c r="F151" s="36" t="n">
        <x:v>1</x:v>
      </x:c>
      <x:c r="G151" s="36" t="n">
        <x:v>4</x:v>
      </x:c>
      <x:c r="H151" s="36" t="n">
        <x:v>4</x:v>
      </x:c>
      <x:c r="I151" s="34" t="str">
        <x:v>deployedIdle</x:v>
      </x:c>
      <x:c r="J151" s="34" t="str">
        <x:v>deployed-idle</x:v>
      </x:c>
      <x:c r="K151" s="36" t="n">
        <x:v>0</x:v>
      </x:c>
      <x:c r="L151" s="34" t="str">
        <x:v>initial</x:v>
      </x:c>
      <x:c r="M151" s="34" t="str">
        <x:v>article1-unified-v4-2-fb3f101b-20260903-000401-default-f01-p4-cache2k-4-deployed-idle</x:v>
      </x:c>
      <x:c r="N151" s="38" t="n">
        <x:v>46267.94416443287</x:v>
      </x:c>
      <x:c r="O151" s="36" t="n">
        <x:v>0</x:v>
      </x:c>
      <x:c r="P151" s="43" t="n">
        <x:v>172001280</x:v>
      </x:c>
      <x:c r="Q151" s="43" t="n">
        <x:v>268435456</x:v>
      </x:c>
      <x:c r="R151" s="43" t="n">
        <x:v>440704000</x:v>
      </x:c>
      <x:c r="S151" s="36" t="n">
        <x:v>3</x:v>
      </x:c>
      <x:c r="T151" s="44" t="str">
        <x:v>0x00000000461177b8  0x0000000046003818  0x00007499685f52b0       0         0         0  org.apache.catalina.loader.ParallelWebappClassLoader | 0x00000000461177b8  0x0000000046003818  0x00007498d44d3180    4091  19453952  19435960  org.apache.catalina.loader.ParallelWebappClassLoader | 0x00000000461177b8  0x0000000046003818  0x000074988c0db300    4450  21291008  21288680  org.apache.catalina.loader.ParallelWebappClassLoader</x:v>
      </x:c>
      <x:c r="U151" s="36" t="n">
        <x:v>27</x:v>
      </x:c>
      <x:c r="V151" s="36" t="n">
        <x:v>0</x:v>
      </x:c>
      <x:c r="W151" s="44"/>
      <x:c r="X151" s="36"/>
      <x:c r="Y151" s="36"/>
      <x:c r="Z151" s="44"/>
      <x:c r="AA151" s="49"/>
      <x:c r="AB151" s="43"/>
      <x:c r="AC151" s="34"/>
      <x:c r="AD151" s="34"/>
      <x:c r="AE151" s="34"/>
      <x:c r="AF151" s="34"/>
      <x:c r="AG151" s="34"/>
      <x:c r="AH151" s="34"/>
      <x:c r="AI151" s="34"/>
    </x:row>
    <x:row r="152">
      <x:c r="A152" s="34" t="str">
        <x:v>article1-unified-v4-2-fb3f101b-20260903-000401-default-f01-p4-cache2k</x:v>
      </x:c>
      <x:c r="B152" s="34" t="str">
        <x:v>default</x:v>
      </x:c>
      <x:c r="C152" s="34" t="str">
        <x:v>cache2k</x:v>
      </x:c>
      <x:c r="D152" s="34" t="str">
        <x:v>cache2k</x:v>
      </x:c>
      <x:c r="E152" s="36" t="n">
        <x:v>1</x:v>
      </x:c>
      <x:c r="F152" s="36" t="n">
        <x:v>1</x:v>
      </x:c>
      <x:c r="G152" s="36" t="n">
        <x:v>4</x:v>
      </x:c>
      <x:c r="H152" s="36" t="n">
        <x:v>4</x:v>
      </x:c>
      <x:c r="I152" s="34" t="str">
        <x:v>loaded</x:v>
      </x:c>
      <x:c r="J152" s="34" t="str">
        <x:v>loaded</x:v>
      </x:c>
      <x:c r="K152" s="36" t="n">
        <x:v>0</x:v>
      </x:c>
      <x:c r="L152" s="34" t="str">
        <x:v>initial</x:v>
      </x:c>
      <x:c r="M152" s="34" t="str">
        <x:v>article1-unified-v4-2-fb3f101b-20260903-000401-default-f01-p4-cache2k-4-loaded</x:v>
      </x:c>
      <x:c r="N152" s="38" t="n">
        <x:v>46267.944314305554</x:v>
      </x:c>
      <x:c r="O152" s="36" t="n">
        <x:v>0</x:v>
      </x:c>
      <x:c r="P152" s="43" t="n">
        <x:v>201921536</x:v>
      </x:c>
      <x:c r="Q152" s="43" t="n">
        <x:v>268435456</x:v>
      </x:c>
      <x:c r="R152" s="43" t="n">
        <x:v>451313664</x:v>
      </x:c>
      <x:c r="S152" s="36" t="n">
        <x:v>3</x:v>
      </x:c>
      <x:c r="T152" s="44" t="str">
        <x:v>0x00000000461177b8  0x0000000046003818  0x00007499685f52b0       0         0         0  org.apache.catalina.loader.ParallelWebappClassLoader | 0x00000000461177b8  0x0000000046003818  0x000074988c0db300    4450  21291008  21288680  org.apache.catalina.loader.ParallelWebappClassLoader | 0x00000000461177b8  0x0000000046003818  0x00007498d44d3180    4441  21272576  21259776  org.apache.catalina.loader.ParallelWebappClassLoader</x:v>
      </x:c>
      <x:c r="U152" s="36" t="n">
        <x:v>28</x:v>
      </x:c>
      <x:c r="V152" s="36" t="n">
        <x:v>0</x:v>
      </x:c>
      <x:c r="W152" s="44"/>
      <x:c r="X152" s="36"/>
      <x:c r="Y152" s="36"/>
      <x:c r="Z152" s="44"/>
      <x:c r="AA152" s="49"/>
      <x:c r="AB152" s="43"/>
      <x:c r="AC152" s="34"/>
      <x:c r="AD152" s="34"/>
      <x:c r="AE152" s="34"/>
      <x:c r="AF152" s="34"/>
      <x:c r="AG152" s="34"/>
      <x:c r="AH152" s="34"/>
      <x:c r="AI152" s="34"/>
    </x:row>
    <x:row r="153">
      <x:c r="A153" s="34" t="str">
        <x:v>article1-unified-v4-2-fb3f101b-20260903-000401-default-f01-p4-cache2k</x:v>
      </x:c>
      <x:c r="B153" s="34" t="str">
        <x:v>default</x:v>
      </x:c>
      <x:c r="C153" s="34" t="str">
        <x:v>cache2k</x:v>
      </x:c>
      <x:c r="D153" s="34" t="str">
        <x:v>cache2k</x:v>
      </x:c>
      <x:c r="E153" s="36" t="n">
        <x:v>1</x:v>
      </x:c>
      <x:c r="F153" s="36" t="n">
        <x:v>1</x:v>
      </x:c>
      <x:c r="G153" s="36" t="n">
        <x:v>4</x:v>
      </x:c>
      <x:c r="H153" s="36" t="n">
        <x:v>4</x:v>
      </x:c>
      <x:c r="I153" s="34" t="str">
        <x:v>afterUndeployEarly</x:v>
      </x:c>
      <x:c r="J153" s="34" t="str">
        <x:v>after-undeploy-early</x:v>
      </x:c>
      <x:c r="K153" s="36" t="n">
        <x:v>1</x:v>
      </x:c>
      <x:c r="L153" s="34" t="str">
        <x:v>early</x:v>
      </x:c>
      <x:c r="M153" s="34" t="str">
        <x:v>article1-unified-v4-2-fb3f101b-20260903-000401-default-f01-p4-cache2k-4-after-undeploy-early-2s</x:v>
      </x:c>
      <x:c r="N153" s="38" t="n">
        <x:v>46267.94439621528</x:v>
      </x:c>
      <x:c r="O153" s="36"/>
      <x:c r="P153" s="43"/>
      <x:c r="Q153" s="43"/>
      <x:c r="R153" s="43"/>
      <x:c r="S153" s="36"/>
      <x:c r="T153" s="44"/>
      <x:c r="U153" s="36" t="n">
        <x:v>27</x:v>
      </x:c>
      <x:c r="V153" s="36" t="n">
        <x:v>0</x:v>
      </x:c>
      <x:c r="W153" s="44"/>
      <x:c r="X153" s="36"/>
      <x:c r="Y153" s="36"/>
      <x:c r="Z153" s="44"/>
      <x:c r="AA153" s="49"/>
      <x:c r="AB153" s="43" t="n">
        <x:v>1</x:v>
      </x:c>
      <x:c r="AC153" s="34"/>
      <x:c r="AD153" s="34"/>
      <x:c r="AE153" s="34" t="str">
        <x:v>article1-unified-v4-2-fb3f101b-20260903-000401-default-f01-p4-cache2k-4-after-undeploy-early-2s-thread-dump.txt</x:v>
      </x:c>
      <x:c r="AF153" s="34" t="str">
        <x:v>article1-unified-v4-2-fb3f101b-20260903-000401-default-f01-p4-cache2k-4-after-undeploy-early-tomcat-log.txt</x:v>
      </x:c>
      <x:c r="AG153" s="34"/>
      <x:c r="AH153" s="34"/>
      <x:c r="AI153" s="34"/>
    </x:row>
    <x:row r="154">
      <x:c r="A154" s="34" t="str">
        <x:v>article1-unified-v4-2-fb3f101b-20260903-000401-default-f01-p4-cache2k</x:v>
      </x:c>
      <x:c r="B154" s="34" t="str">
        <x:v>default</x:v>
      </x:c>
      <x:c r="C154" s="34" t="str">
        <x:v>cache2k</x:v>
      </x:c>
      <x:c r="D154" s="34" t="str">
        <x:v>cache2k</x:v>
      </x:c>
      <x:c r="E154" s="36" t="n">
        <x:v>1</x:v>
      </x:c>
      <x:c r="F154" s="36" t="n">
        <x:v>1</x:v>
      </x:c>
      <x:c r="G154" s="36" t="n">
        <x:v>4</x:v>
      </x:c>
      <x:c r="H154" s="36" t="n">
        <x:v>4</x:v>
      </x:c>
      <x:c r="I154" s="34" t="str">
        <x:v>afterUndeploy</x:v>
      </x:c>
      <x:c r="J154" s="34" t="str">
        <x:v>after-undeploy-final</x:v>
      </x:c>
      <x:c r="K154" s="36" t="n">
        <x:v>1</x:v>
      </x:c>
      <x:c r="L154" s="34" t="str">
        <x:v>final</x:v>
      </x:c>
      <x:c r="M154" s="34" t="str">
        <x:v>article1-unified-v4-2-fb3f101b-20260903-000401-default-f01-p4-cache2k-4-after-undeploy-final-10s</x:v>
      </x:c>
      <x:c r="N154" s="38" t="n">
        <x:v>46267.94455127315</x:v>
      </x:c>
      <x:c r="O154" s="36" t="n">
        <x:v>2</x:v>
      </x:c>
      <x:c r="P154" s="43" t="n">
        <x:v>15604736</x:v>
      </x:c>
      <x:c r="Q154" s="43" t="n">
        <x:v>268435456</x:v>
      </x:c>
      <x:c r="R154" s="43" t="n">
        <x:v>422782976</x:v>
      </x:c>
      <x:c r="S154" s="36" t="n">
        <x:v>2</x:v>
      </x:c>
      <x:c r="T154" s="44" t="str">
        <x:v>0x00000000461177b8  0x0000000046003818  0x00007499685f52b0       0         0         0  org.apache.catalina.loader.ParallelWebappClassLoader | 0x00000000461177b8  0x0000000046003818  0x00007498d44d3180    4451  21305344  21288720  org.apache.catalina.loader.ParallelWebappClassLoader</x:v>
      </x:c>
      <x:c r="U154" s="36" t="n">
        <x:v>27</x:v>
      </x:c>
      <x:c r="V154" s="36" t="n">
        <x:v>0</x:v>
      </x:c>
      <x:c r="W154" s="44"/>
      <x:c r="X154" s="36" t="n">
        <x:v>1</x:v>
      </x:c>
      <x:c r="Y154" s="36" t="n">
        <x:v>1</x:v>
      </x:c>
      <x:c r="Z154" s="44" t="str">
        <x:v>/cache2k</x:v>
      </x:c>
      <x:c r="AA154" s="45" t="b">
        <x:v>1</x:v>
      </x:c>
      <x:c r="AB154" s="43"/>
      <x:c r="AC154" s="34" t="str">
        <x:v>article1-unified-v4-2-fb3f101b-20260903-000401-default-f01-p4-cache2k-4-after-undeploy-final-10s-heap-info.txt</x:v>
      </x:c>
      <x:c r="AD154" s="34" t="str">
        <x:v>article1-unified-v4-2-fb3f101b-20260903-000401-default-f01-p4-cache2k-4-after-undeploy-final-10s-classloader-stats.txt</x:v>
      </x:c>
      <x:c r="AE154" s="34" t="str">
        <x:v>article1-unified-v4-2-fb3f101b-20260903-000401-default-f01-p4-cache2k-4-after-undeploy-final-10s-thread-dump.txt</x:v>
      </x:c>
      <x:c r="AF154" s="34"/>
      <x:c r="AG154" s="34" t="str">
        <x:v>article1-unified-v4-2-fb3f101b-20260903-000401-default-f01-p4-cache2k-4-after-undeploy-final-10s-native-memory.txt</x:v>
      </x:c>
      <x:c r="AH154" s="34" t="str">
        <x:v>article1-unified-v4-2-fb3f101b-20260903-000401-default-f01-p4-cache2k-4-after-undeploy-final-10s-class-histogram.txt</x:v>
      </x:c>
      <x:c r="AI154" s="34" t="str">
        <x:v>article1-unified-v4-2-fb3f101b-20260903-000401-default-f01-p4-cache2k-4-after-undeploy-tomcat-findleaks.txt</x:v>
      </x:c>
    </x:row>
    <x:row r="155">
      <x:c r="A155" s="34" t="str">
        <x:v>article1-unified-v4-2-fb3f101b-20260903-000401-default-f01-p4-cache2k</x:v>
      </x:c>
      <x:c r="B155" s="34" t="str">
        <x:v>default</x:v>
      </x:c>
      <x:c r="C155" s="34" t="str">
        <x:v>cache2k</x:v>
      </x:c>
      <x:c r="D155" s="34" t="str">
        <x:v>cache2k</x:v>
      </x:c>
      <x:c r="E155" s="36" t="n">
        <x:v>1</x:v>
      </x:c>
      <x:c r="F155" s="36" t="n">
        <x:v>1</x:v>
      </x:c>
      <x:c r="G155" s="36" t="n">
        <x:v>4</x:v>
      </x:c>
      <x:c r="H155" s="36" t="n">
        <x:v>4</x:v>
      </x:c>
      <x:c r="I155" s="34" t="str">
        <x:v>redeployedLoaded</x:v>
      </x:c>
      <x:c r="J155" s="34" t="str">
        <x:v>redeployed-loaded</x:v>
      </x:c>
      <x:c r="K155" s="36" t="n">
        <x:v>0</x:v>
      </x:c>
      <x:c r="L155" s="34" t="str">
        <x:v>redeploy</x:v>
      </x:c>
      <x:c r="M155" s="34" t="str">
        <x:v>article1-unified-v4-2-fb3f101b-20260903-000401-default-f01-p4-cache2k-4-redeployed-loaded</x:v>
      </x:c>
      <x:c r="N155" s="38" t="n">
        <x:v>46267.94480954861</x:v>
      </x:c>
      <x:c r="O155" s="36" t="n">
        <x:v>0</x:v>
      </x:c>
      <x:c r="P155" s="43" t="n">
        <x:v>92634112</x:v>
      </x:c>
      <x:c r="Q155" s="43" t="n">
        <x:v>268435456</x:v>
      </x:c>
      <x:c r="R155" s="43" t="n">
        <x:v>459899904</x:v>
      </x:c>
      <x:c r="S155" s="36" t="n">
        <x:v>3</x:v>
      </x:c>
      <x:c r="T155" s="44" t="str">
        <x:v>0x00000000461177b8  0x0000000046003818  0x00007499685f52b0       0         0         0  org.apache.catalina.loader.ParallelWebappClassLoader | 0x00000000461177b8  0x0000000046003818  0x00007498d44d3180    4451  21305344  21288720  org.apache.catalina.loader.ParallelWebappClassLoader | 0x00000000461177b8  0x0000000046003818  0x00007498dc55bdd0    4440  21276672  21261008  org.apache.catalina.loader.ParallelWebappClassLoader</x:v>
      </x:c>
      <x:c r="U155" s="36" t="n">
        <x:v>29</x:v>
      </x:c>
      <x:c r="V155" s="36" t="n">
        <x:v>0</x:v>
      </x:c>
      <x:c r="W155" s="44"/>
      <x:c r="X155" s="36"/>
      <x:c r="Y155" s="36"/>
      <x:c r="Z155" s="44"/>
      <x:c r="AA155" s="49"/>
      <x:c r="AB155" s="43"/>
      <x:c r="AC155" s="34"/>
      <x:c r="AD155" s="34"/>
      <x:c r="AE155" s="34"/>
      <x:c r="AF155" s="34"/>
      <x:c r="AG155" s="34"/>
      <x:c r="AH155" s="34"/>
      <x:c r="AI155" s="34"/>
    </x:row>
    <x:row r="156">
      <x:c r="A156" s="34" t="str">
        <x:v>article1-unified-v4-2-fb3f101b-20260903-000401-default-f01-p4-cache2k</x:v>
      </x:c>
      <x:c r="B156" s="34" t="str">
        <x:v>default</x:v>
      </x:c>
      <x:c r="C156" s="34" t="str">
        <x:v>cache2k</x:v>
      </x:c>
      <x:c r="D156" s="34" t="str">
        <x:v>cache2k</x:v>
      </x:c>
      <x:c r="E156" s="36" t="n">
        <x:v>1</x:v>
      </x:c>
      <x:c r="F156" s="36" t="n">
        <x:v>1</x:v>
      </x:c>
      <x:c r="G156" s="36" t="n">
        <x:v>4</x:v>
      </x:c>
      <x:c r="H156" s="36" t="n">
        <x:v>4</x:v>
      </x:c>
      <x:c r="I156" s="34" t="str">
        <x:v>afterFinalUndeployEarly</x:v>
      </x:c>
      <x:c r="J156" s="34" t="str">
        <x:v>after-final-undeploy-early</x:v>
      </x:c>
      <x:c r="K156" s="36" t="n">
        <x:v>2</x:v>
      </x:c>
      <x:c r="L156" s="34" t="str">
        <x:v>early</x:v>
      </x:c>
      <x:c r="M156" s="34" t="str">
        <x:v>article1-unified-v4-2-fb3f101b-20260903-000401-default-f01-p4-cache2k-4-after-final-undeploy-early-2s</x:v>
      </x:c>
      <x:c r="N156" s="38" t="n">
        <x:v>46267.94489236111</x:v>
      </x:c>
      <x:c r="O156" s="36"/>
      <x:c r="P156" s="43"/>
      <x:c r="Q156" s="43"/>
      <x:c r="R156" s="43"/>
      <x:c r="S156" s="36"/>
      <x:c r="T156" s="44"/>
      <x:c r="U156" s="36" t="n">
        <x:v>27</x:v>
      </x:c>
      <x:c r="V156" s="36" t="n">
        <x:v>0</x:v>
      </x:c>
      <x:c r="W156" s="44"/>
      <x:c r="X156" s="36"/>
      <x:c r="Y156" s="36"/>
      <x:c r="Z156" s="44"/>
      <x:c r="AA156" s="49"/>
      <x:c r="AB156" s="43" t="n">
        <x:v>1</x:v>
      </x:c>
      <x:c r="AC156" s="34"/>
      <x:c r="AD156" s="34"/>
      <x:c r="AE156" s="34" t="str">
        <x:v>article1-unified-v4-2-fb3f101b-20260903-000401-default-f01-p4-cache2k-4-after-final-undeploy-early-2s-thread-dump.txt</x:v>
      </x:c>
      <x:c r="AF156" s="34" t="str">
        <x:v>article1-unified-v4-2-fb3f101b-20260903-000401-default-f01-p4-cache2k-4-after-final-undeploy-early-tomcat-log.txt</x:v>
      </x:c>
      <x:c r="AG156" s="34"/>
      <x:c r="AH156" s="34"/>
      <x:c r="AI156" s="34"/>
    </x:row>
    <x:row r="157">
      <x:c r="A157" s="34" t="str">
        <x:v>article1-unified-v4-2-fb3f101b-20260903-000401-default-f01-p4-cache2k</x:v>
      </x:c>
      <x:c r="B157" s="34" t="str">
        <x:v>default</x:v>
      </x:c>
      <x:c r="C157" s="34" t="str">
        <x:v>cache2k</x:v>
      </x:c>
      <x:c r="D157" s="34" t="str">
        <x:v>cache2k</x:v>
      </x:c>
      <x:c r="E157" s="36" t="n">
        <x:v>1</x:v>
      </x:c>
      <x:c r="F157" s="36" t="n">
        <x:v>1</x:v>
      </x:c>
      <x:c r="G157" s="36" t="n">
        <x:v>4</x:v>
      </x:c>
      <x:c r="H157" s="36" t="n">
        <x:v>4</x:v>
      </x:c>
      <x:c r="I157" s="34" t="str">
        <x:v>afterFinalUndeploy</x:v>
      </x:c>
      <x:c r="J157" s="34" t="str">
        <x:v>after-final-undeploy-final</x:v>
      </x:c>
      <x:c r="K157" s="36" t="n">
        <x:v>2</x:v>
      </x:c>
      <x:c r="L157" s="34" t="str">
        <x:v>final</x:v>
      </x:c>
      <x:c r="M157" s="34" t="str">
        <x:v>article1-unified-v4-2-fb3f101b-20260903-000401-default-f01-p4-cache2k-4-after-final-undeploy-final-10s</x:v>
      </x:c>
      <x:c r="N157" s="38" t="n">
        <x:v>46267.945048368056</x:v>
      </x:c>
      <x:c r="O157" s="36" t="n">
        <x:v>2</x:v>
      </x:c>
      <x:c r="P157" s="43" t="n">
        <x:v>15616000</x:v>
      </x:c>
      <x:c r="Q157" s="43" t="n">
        <x:v>268435456</x:v>
      </x:c>
      <x:c r="R157" s="43" t="n">
        <x:v>428442624</x:v>
      </x:c>
      <x:c r="S157" s="36" t="n">
        <x:v>2</x:v>
      </x:c>
      <x:c r="T157" s="44" t="str">
        <x:v>0x00000000461177b8  0x0000000046003818  0x00007499685f52b0       0         0         0  org.apache.catalina.loader.ParallelWebappClassLoader | 0x00000000461177b8  0x0000000046003818  0x00007498dc55bdd0    4450  21309440  21289952  org.apache.catalina.loader.ParallelWebappClassLoader</x:v>
      </x:c>
      <x:c r="U157" s="36" t="n">
        <x:v>27</x:v>
      </x:c>
      <x:c r="V157" s="36" t="n">
        <x:v>0</x:v>
      </x:c>
      <x:c r="W157" s="44"/>
      <x:c r="X157" s="36" t="n">
        <x:v>1</x:v>
      </x:c>
      <x:c r="Y157" s="36" t="n">
        <x:v>1</x:v>
      </x:c>
      <x:c r="Z157" s="44" t="str">
        <x:v>/cache2k</x:v>
      </x:c>
      <x:c r="AA157" s="45" t="b">
        <x:v>1</x:v>
      </x:c>
      <x:c r="AB157" s="43"/>
      <x:c r="AC157" s="34" t="str">
        <x:v>article1-unified-v4-2-fb3f101b-20260903-000401-default-f01-p4-cache2k-4-after-final-undeploy-final-10s-heap-info.txt</x:v>
      </x:c>
      <x:c r="AD157" s="34" t="str">
        <x:v>article1-unified-v4-2-fb3f101b-20260903-000401-default-f01-p4-cache2k-4-after-final-undeploy-final-10s-classloader-stats.txt</x:v>
      </x:c>
      <x:c r="AE157" s="34" t="str">
        <x:v>article1-unified-v4-2-fb3f101b-20260903-000401-default-f01-p4-cache2k-4-after-final-undeploy-final-10s-thread-dump.txt</x:v>
      </x:c>
      <x:c r="AF157" s="34"/>
      <x:c r="AG157" s="34" t="str">
        <x:v>article1-unified-v4-2-fb3f101b-20260903-000401-default-f01-p4-cache2k-4-after-final-undeploy-final-10s-native-memory.txt</x:v>
      </x:c>
      <x:c r="AH157" s="34" t="str">
        <x:v>article1-unified-v4-2-fb3f101b-20260903-000401-default-f01-p4-cache2k-4-after-final-undeploy-final-10s-class-histogram.txt</x:v>
      </x:c>
      <x:c r="AI157" s="34" t="str">
        <x:v>article1-unified-v4-2-fb3f101b-20260903-000401-default-f01-p4-cache2k-4-after-final-undeploy-tomcat-findleaks.txt</x:v>
      </x:c>
    </x:row>
    <x:row r="158">
      <x:c r="A158" s="34" t="str">
        <x:v>article1-unified-v4-2-fb3f101b-20260903-000401-default-f01-p4-cache2k</x:v>
      </x:c>
      <x:c r="B158" s="34" t="str">
        <x:v>default</x:v>
      </x:c>
      <x:c r="C158" s="34" t="str">
        <x:v>cache2k</x:v>
      </x:c>
      <x:c r="D158" s="34" t="str">
        <x:v>cache2k</x:v>
      </x:c>
      <x:c r="E158" s="36" t="n">
        <x:v>1</x:v>
      </x:c>
      <x:c r="F158" s="36" t="n">
        <x:v>1</x:v>
      </x:c>
      <x:c r="G158" s="36" t="n">
        <x:v>4</x:v>
      </x:c>
      <x:c r="H158" s="36" t="n">
        <x:v>5</x:v>
      </x:c>
      <x:c r="I158" s="34" t="str">
        <x:v>baseline</x:v>
      </x:c>
      <x:c r="J158" s="34" t="str">
        <x:v>cycle-baseline</x:v>
      </x:c>
      <x:c r="K158" s="36" t="n">
        <x:v>0</x:v>
      </x:c>
      <x:c r="L158" s="34" t="str">
        <x:v>baseline</x:v>
      </x:c>
      <x:c r="M158" s="34" t="str">
        <x:v>article1-unified-v4-2-fb3f101b-20260903-000401-default-f01-p4-cache2k-5-baseline</x:v>
      </x:c>
      <x:c r="N158" s="38" t="n">
        <x:v>46267.945093449074</x:v>
      </x:c>
      <x:c r="O158" s="36" t="n">
        <x:v>0</x:v>
      </x:c>
      <x:c r="P158" s="43" t="n">
        <x:v>15616000</x:v>
      </x:c>
      <x:c r="Q158" s="43" t="n">
        <x:v>268435456</x:v>
      </x:c>
      <x:c r="R158" s="43" t="n">
        <x:v>428442624</x:v>
      </x:c>
      <x:c r="S158" s="36" t="n">
        <x:v>2</x:v>
      </x:c>
      <x:c r="T158" s="44" t="str">
        <x:v>0x00000000461177b8  0x0000000046003818  0x00007499685f52b0       0         0         0  org.apache.catalina.loader.ParallelWebappClassLoader | 0x00000000461177b8  0x0000000046003818  0x00007498dc55bdd0    4450  21309440  21289952  org.apache.catalina.loader.ParallelWebappClassLoader</x:v>
      </x:c>
      <x:c r="U158" s="36" t="n">
        <x:v>27</x:v>
      </x:c>
      <x:c r="V158" s="36" t="n">
        <x:v>0</x:v>
      </x:c>
      <x:c r="W158" s="44"/>
      <x:c r="X158" s="36"/>
      <x:c r="Y158" s="36"/>
      <x:c r="Z158" s="44"/>
      <x:c r="AA158" s="49"/>
      <x:c r="AB158" s="43"/>
      <x:c r="AC158" s="34" t="str">
        <x:v>article1-unified-v4-2-fb3f101b-20260903-000401-default-f01-p4-cache2k-5-baseline-heap-info.txt</x:v>
      </x:c>
      <x:c r="AD158" s="34" t="str">
        <x:v>article1-unified-v4-2-fb3f101b-20260903-000401-default-f01-p4-cache2k-5-baseline-classloader-stats.txt</x:v>
      </x:c>
      <x:c r="AE158" s="34" t="str">
        <x:v>article1-unified-v4-2-fb3f101b-20260903-000401-default-f01-p4-cache2k-5-baseline-thread-dump.txt</x:v>
      </x:c>
      <x:c r="AF158" s="34"/>
      <x:c r="AG158" s="34" t="str">
        <x:v>article1-unified-v4-2-fb3f101b-20260903-000401-default-f01-p4-cache2k-5-baseline-native-memory.txt</x:v>
      </x:c>
      <x:c r="AH158" s="34"/>
      <x:c r="AI158" s="34"/>
    </x:row>
    <x:row r="159">
      <x:c r="A159" s="34" t="str">
        <x:v>article1-unified-v4-2-fb3f101b-20260903-000401-default-f01-p4-cache2k</x:v>
      </x:c>
      <x:c r="B159" s="34" t="str">
        <x:v>default</x:v>
      </x:c>
      <x:c r="C159" s="34" t="str">
        <x:v>cache2k</x:v>
      </x:c>
      <x:c r="D159" s="34" t="str">
        <x:v>cache2k</x:v>
      </x:c>
      <x:c r="E159" s="36" t="n">
        <x:v>1</x:v>
      </x:c>
      <x:c r="F159" s="36" t="n">
        <x:v>1</x:v>
      </x:c>
      <x:c r="G159" s="36" t="n">
        <x:v>4</x:v>
      </x:c>
      <x:c r="H159" s="36" t="n">
        <x:v>5</x:v>
      </x:c>
      <x:c r="I159" s="34" t="str">
        <x:v>deployedIdle</x:v>
      </x:c>
      <x:c r="J159" s="34" t="str">
        <x:v>deployed-idle</x:v>
      </x:c>
      <x:c r="K159" s="36" t="n">
        <x:v>0</x:v>
      </x:c>
      <x:c r="L159" s="34" t="str">
        <x:v>initial</x:v>
      </x:c>
      <x:c r="M159" s="34" t="str">
        <x:v>article1-unified-v4-2-fb3f101b-20260903-000401-default-f01-p4-cache2k-5-deployed-idle</x:v>
      </x:c>
      <x:c r="N159" s="38" t="n">
        <x:v>46267.94519482639</x:v>
      </x:c>
      <x:c r="O159" s="36" t="n">
        <x:v>0</x:v>
      </x:c>
      <x:c r="P159" s="43" t="n">
        <x:v>167127040</x:v>
      </x:c>
      <x:c r="Q159" s="43" t="n">
        <x:v>268435456</x:v>
      </x:c>
      <x:c r="R159" s="43" t="n">
        <x:v>442901504</x:v>
      </x:c>
      <x:c r="S159" s="36" t="n">
        <x:v>3</x:v>
      </x:c>
      <x:c r="T159" s="44" t="str">
        <x:v>0x00000000461177b8  0x0000000046003818  0x00007499685f52b0       0         0         0  org.apache.catalina.loader.ParallelWebappClassLoader | 0x00000000461177b8  0x0000000046003818  0x00007498dc55bdd0    4450  21309440  21289952  org.apache.catalina.loader.ParallelWebappClassLoader | 0x00000000461177b8  0x0000000046003818  0x00007498a8295280    4091  19454976  19433328  org.apache.catalina.loader.ParallelWebappClassLoader</x:v>
      </x:c>
      <x:c r="U159" s="36" t="n">
        <x:v>27</x:v>
      </x:c>
      <x:c r="V159" s="36" t="n">
        <x:v>0</x:v>
      </x:c>
      <x:c r="W159" s="44"/>
      <x:c r="X159" s="36"/>
      <x:c r="Y159" s="36"/>
      <x:c r="Z159" s="44"/>
      <x:c r="AA159" s="49"/>
      <x:c r="AB159" s="43"/>
      <x:c r="AC159" s="34"/>
      <x:c r="AD159" s="34"/>
      <x:c r="AE159" s="34"/>
      <x:c r="AF159" s="34"/>
      <x:c r="AG159" s="34"/>
      <x:c r="AH159" s="34"/>
      <x:c r="AI159" s="34"/>
    </x:row>
    <x:row r="160">
      <x:c r="A160" s="34" t="str">
        <x:v>article1-unified-v4-2-fb3f101b-20260903-000401-default-f01-p4-cache2k</x:v>
      </x:c>
      <x:c r="B160" s="34" t="str">
        <x:v>default</x:v>
      </x:c>
      <x:c r="C160" s="34" t="str">
        <x:v>cache2k</x:v>
      </x:c>
      <x:c r="D160" s="34" t="str">
        <x:v>cache2k</x:v>
      </x:c>
      <x:c r="E160" s="36" t="n">
        <x:v>1</x:v>
      </x:c>
      <x:c r="F160" s="36" t="n">
        <x:v>1</x:v>
      </x:c>
      <x:c r="G160" s="36" t="n">
        <x:v>4</x:v>
      </x:c>
      <x:c r="H160" s="36" t="n">
        <x:v>5</x:v>
      </x:c>
      <x:c r="I160" s="34" t="str">
        <x:v>loaded</x:v>
      </x:c>
      <x:c r="J160" s="34" t="str">
        <x:v>loaded</x:v>
      </x:c>
      <x:c r="K160" s="36" t="n">
        <x:v>0</x:v>
      </x:c>
      <x:c r="L160" s="34" t="str">
        <x:v>initial</x:v>
      </x:c>
      <x:c r="M160" s="34" t="str">
        <x:v>article1-unified-v4-2-fb3f101b-20260903-000401-default-f01-p4-cache2k-5-loaded</x:v>
      </x:c>
      <x:c r="N160" s="38" t="n">
        <x:v>46267.94534280093</x:v>
      </x:c>
      <x:c r="O160" s="36" t="n">
        <x:v>0</x:v>
      </x:c>
      <x:c r="P160" s="43" t="n">
        <x:v>93165568</x:v>
      </x:c>
      <x:c r="Q160" s="43" t="n">
        <x:v>268435456</x:v>
      </x:c>
      <x:c r="R160" s="43" t="n">
        <x:v>448307200</x:v>
      </x:c>
      <x:c r="S160" s="36" t="n">
        <x:v>3</x:v>
      </x:c>
      <x:c r="T160" s="44" t="str">
        <x:v>0x00000000461177b8  0x0000000046003818  0x00007499685f52b0       0         0         0  org.apache.catalina.loader.ParallelWebappClassLoader | 0x00000000461177b8  0x0000000046003818  0x00007498a8295280    4444  21273600  21267416  org.apache.catalina.loader.ParallelWebappClassLoader | 0x00000000461177b8  0x0000000046003818  0x00007498dc55bdd0    4450  21309440  21289952  org.apache.catalina.loader.ParallelWebappClassLoader</x:v>
      </x:c>
      <x:c r="U160" s="36" t="n">
        <x:v>29</x:v>
      </x:c>
      <x:c r="V160" s="36" t="n">
        <x:v>0</x:v>
      </x:c>
      <x:c r="W160" s="44"/>
      <x:c r="X160" s="36"/>
      <x:c r="Y160" s="36"/>
      <x:c r="Z160" s="44"/>
      <x:c r="AA160" s="49"/>
      <x:c r="AB160" s="43"/>
      <x:c r="AC160" s="34"/>
      <x:c r="AD160" s="34"/>
      <x:c r="AE160" s="34"/>
      <x:c r="AF160" s="34"/>
      <x:c r="AG160" s="34"/>
      <x:c r="AH160" s="34"/>
      <x:c r="AI160" s="34"/>
    </x:row>
    <x:row r="161">
      <x:c r="A161" s="34" t="str">
        <x:v>article1-unified-v4-2-fb3f101b-20260903-000401-default-f01-p4-cache2k</x:v>
      </x:c>
      <x:c r="B161" s="34" t="str">
        <x:v>default</x:v>
      </x:c>
      <x:c r="C161" s="34" t="str">
        <x:v>cache2k</x:v>
      </x:c>
      <x:c r="D161" s="34" t="str">
        <x:v>cache2k</x:v>
      </x:c>
      <x:c r="E161" s="36" t="n">
        <x:v>1</x:v>
      </x:c>
      <x:c r="F161" s="36" t="n">
        <x:v>1</x:v>
      </x:c>
      <x:c r="G161" s="36" t="n">
        <x:v>4</x:v>
      </x:c>
      <x:c r="H161" s="36" t="n">
        <x:v>5</x:v>
      </x:c>
      <x:c r="I161" s="34" t="str">
        <x:v>afterUndeployEarly</x:v>
      </x:c>
      <x:c r="J161" s="34" t="str">
        <x:v>after-undeploy-early</x:v>
      </x:c>
      <x:c r="K161" s="36" t="n">
        <x:v>1</x:v>
      </x:c>
      <x:c r="L161" s="34" t="str">
        <x:v>early</x:v>
      </x:c>
      <x:c r="M161" s="34" t="str">
        <x:v>article1-unified-v4-2-fb3f101b-20260903-000401-default-f01-p4-cache2k-5-after-undeploy-early-2s</x:v>
      </x:c>
      <x:c r="N161" s="38" t="n">
        <x:v>46267.94542409722</x:v>
      </x:c>
      <x:c r="O161" s="36"/>
      <x:c r="P161" s="43"/>
      <x:c r="Q161" s="43"/>
      <x:c r="R161" s="43"/>
      <x:c r="S161" s="36"/>
      <x:c r="T161" s="44"/>
      <x:c r="U161" s="36" t="n">
        <x:v>27</x:v>
      </x:c>
      <x:c r="V161" s="36" t="n">
        <x:v>0</x:v>
      </x:c>
      <x:c r="W161" s="44"/>
      <x:c r="X161" s="36"/>
      <x:c r="Y161" s="36"/>
      <x:c r="Z161" s="44"/>
      <x:c r="AA161" s="49"/>
      <x:c r="AB161" s="43" t="n">
        <x:v>1</x:v>
      </x:c>
      <x:c r="AC161" s="34"/>
      <x:c r="AD161" s="34"/>
      <x:c r="AE161" s="34" t="str">
        <x:v>article1-unified-v4-2-fb3f101b-20260903-000401-default-f01-p4-cache2k-5-after-undeploy-early-2s-thread-dump.txt</x:v>
      </x:c>
      <x:c r="AF161" s="34" t="str">
        <x:v>article1-unified-v4-2-fb3f101b-20260903-000401-default-f01-p4-cache2k-5-after-undeploy-early-tomcat-log.txt</x:v>
      </x:c>
      <x:c r="AG161" s="34"/>
      <x:c r="AH161" s="34"/>
      <x:c r="AI161" s="34"/>
    </x:row>
    <x:row r="162">
      <x:c r="A162" s="34" t="str">
        <x:v>article1-unified-v4-2-fb3f101b-20260903-000401-default-f01-p4-cache2k</x:v>
      </x:c>
      <x:c r="B162" s="34" t="str">
        <x:v>default</x:v>
      </x:c>
      <x:c r="C162" s="34" t="str">
        <x:v>cache2k</x:v>
      </x:c>
      <x:c r="D162" s="34" t="str">
        <x:v>cache2k</x:v>
      </x:c>
      <x:c r="E162" s="36" t="n">
        <x:v>1</x:v>
      </x:c>
      <x:c r="F162" s="36" t="n">
        <x:v>1</x:v>
      </x:c>
      <x:c r="G162" s="36" t="n">
        <x:v>4</x:v>
      </x:c>
      <x:c r="H162" s="36" t="n">
        <x:v>5</x:v>
      </x:c>
      <x:c r="I162" s="34" t="str">
        <x:v>afterUndeploy</x:v>
      </x:c>
      <x:c r="J162" s="34" t="str">
        <x:v>after-undeploy-final</x:v>
      </x:c>
      <x:c r="K162" s="36" t="n">
        <x:v>1</x:v>
      </x:c>
      <x:c r="L162" s="34" t="str">
        <x:v>final</x:v>
      </x:c>
      <x:c r="M162" s="34" t="str">
        <x:v>article1-unified-v4-2-fb3f101b-20260903-000401-default-f01-p4-cache2k-5-after-undeploy-final-10s</x:v>
      </x:c>
      <x:c r="N162" s="38" t="n">
        <x:v>46267.94557981481</x:v>
      </x:c>
      <x:c r="O162" s="36" t="n">
        <x:v>2</x:v>
      </x:c>
      <x:c r="P162" s="43" t="n">
        <x:v>15647744</x:v>
      </x:c>
      <x:c r="Q162" s="43" t="n">
        <x:v>268435456</x:v>
      </x:c>
      <x:c r="R162" s="43" t="n">
        <x:v>425154560</x:v>
      </x:c>
      <x:c r="S162" s="36" t="n">
        <x:v>2</x:v>
      </x:c>
      <x:c r="T162" s="44" t="str">
        <x:v>0x00000000461177b8  0x0000000046003818  0x00007499685f52b0       0         0         0  org.apache.catalina.loader.ParallelWebappClassLoader | 0x00000000461177b8  0x0000000046003818  0x00007498a8295280    4454  21322752  21296352  org.apache.catalina.loader.ParallelWebappClassLoader</x:v>
      </x:c>
      <x:c r="U162" s="36" t="n">
        <x:v>27</x:v>
      </x:c>
      <x:c r="V162" s="36" t="n">
        <x:v>0</x:v>
      </x:c>
      <x:c r="W162" s="44"/>
      <x:c r="X162" s="36" t="n">
        <x:v>1</x:v>
      </x:c>
      <x:c r="Y162" s="36" t="n">
        <x:v>1</x:v>
      </x:c>
      <x:c r="Z162" s="44" t="str">
        <x:v>/cache2k</x:v>
      </x:c>
      <x:c r="AA162" s="45" t="b">
        <x:v>1</x:v>
      </x:c>
      <x:c r="AB162" s="43"/>
      <x:c r="AC162" s="34" t="str">
        <x:v>article1-unified-v4-2-fb3f101b-20260903-000401-default-f01-p4-cache2k-5-after-undeploy-final-10s-heap-info.txt</x:v>
      </x:c>
      <x:c r="AD162" s="34" t="str">
        <x:v>article1-unified-v4-2-fb3f101b-20260903-000401-default-f01-p4-cache2k-5-after-undeploy-final-10s-classloader-stats.txt</x:v>
      </x:c>
      <x:c r="AE162" s="34" t="str">
        <x:v>article1-unified-v4-2-fb3f101b-20260903-000401-default-f01-p4-cache2k-5-after-undeploy-final-10s-thread-dump.txt</x:v>
      </x:c>
      <x:c r="AF162" s="34"/>
      <x:c r="AG162" s="34" t="str">
        <x:v>article1-unified-v4-2-fb3f101b-20260903-000401-default-f01-p4-cache2k-5-after-undeploy-final-10s-native-memory.txt</x:v>
      </x:c>
      <x:c r="AH162" s="34" t="str">
        <x:v>article1-unified-v4-2-fb3f101b-20260903-000401-default-f01-p4-cache2k-5-after-undeploy-final-10s-class-histogram.txt</x:v>
      </x:c>
      <x:c r="AI162" s="34" t="str">
        <x:v>article1-unified-v4-2-fb3f101b-20260903-000401-default-f01-p4-cache2k-5-after-undeploy-tomcat-findleaks.txt</x:v>
      </x:c>
    </x:row>
    <x:row r="163">
      <x:c r="A163" s="34" t="str">
        <x:v>article1-unified-v4-2-fb3f101b-20260903-000401-default-f01-p4-cache2k</x:v>
      </x:c>
      <x:c r="B163" s="34" t="str">
        <x:v>default</x:v>
      </x:c>
      <x:c r="C163" s="34" t="str">
        <x:v>cache2k</x:v>
      </x:c>
      <x:c r="D163" s="34" t="str">
        <x:v>cache2k</x:v>
      </x:c>
      <x:c r="E163" s="36" t="n">
        <x:v>1</x:v>
      </x:c>
      <x:c r="F163" s="36" t="n">
        <x:v>1</x:v>
      </x:c>
      <x:c r="G163" s="36" t="n">
        <x:v>4</x:v>
      </x:c>
      <x:c r="H163" s="36" t="n">
        <x:v>5</x:v>
      </x:c>
      <x:c r="I163" s="34" t="str">
        <x:v>redeployedLoaded</x:v>
      </x:c>
      <x:c r="J163" s="34" t="str">
        <x:v>redeployed-loaded</x:v>
      </x:c>
      <x:c r="K163" s="36" t="n">
        <x:v>0</x:v>
      </x:c>
      <x:c r="L163" s="34" t="str">
        <x:v>redeploy</x:v>
      </x:c>
      <x:c r="M163" s="34" t="str">
        <x:v>article1-unified-v4-2-fb3f101b-20260903-000401-default-f01-p4-cache2k-5-redeployed-loaded</x:v>
      </x:c>
      <x:c r="N163" s="38" t="n">
        <x:v>46267.94583408565</x:v>
      </x:c>
      <x:c r="O163" s="36" t="n">
        <x:v>0</x:v>
      </x:c>
      <x:c r="P163" s="43" t="n">
        <x:v>92085248</x:v>
      </x:c>
      <x:c r="Q163" s="43" t="n">
        <x:v>268435456</x:v>
      </x:c>
      <x:c r="R163" s="43" t="n">
        <x:v>445965312</x:v>
      </x:c>
      <x:c r="S163" s="36" t="n">
        <x:v>3</x:v>
      </x:c>
      <x:c r="T163" s="44" t="str">
        <x:v>0x00000000461177b8  0x0000000046003818  0x00007499685f52b0       0         0         0  org.apache.catalina.loader.ParallelWebappClassLoader | 0x00000000461177b8  0x0000000046003818  0x00007498a8295280    4454  21322752  21296352  org.apache.catalina.loader.ParallelWebappClassLoader | 0x00000000461177b8  0x0000000046003818  0x00007498dc532b80    4440  21267456  21255632  org.apache.catalina.loader.ParallelWebappClassLoader</x:v>
      </x:c>
      <x:c r="U163" s="36" t="n">
        <x:v>28</x:v>
      </x:c>
      <x:c r="V163" s="36" t="n">
        <x:v>0</x:v>
      </x:c>
      <x:c r="W163" s="44"/>
      <x:c r="X163" s="36"/>
      <x:c r="Y163" s="36"/>
      <x:c r="Z163" s="44"/>
      <x:c r="AA163" s="49"/>
      <x:c r="AB163" s="43"/>
      <x:c r="AC163" s="34"/>
      <x:c r="AD163" s="34"/>
      <x:c r="AE163" s="34"/>
      <x:c r="AF163" s="34"/>
      <x:c r="AG163" s="34"/>
      <x:c r="AH163" s="34"/>
      <x:c r="AI163" s="34"/>
    </x:row>
    <x:row r="164">
      <x:c r="A164" s="34" t="str">
        <x:v>article1-unified-v4-2-fb3f101b-20260903-000401-default-f01-p4-cache2k</x:v>
      </x:c>
      <x:c r="B164" s="34" t="str">
        <x:v>default</x:v>
      </x:c>
      <x:c r="C164" s="34" t="str">
        <x:v>cache2k</x:v>
      </x:c>
      <x:c r="D164" s="34" t="str">
        <x:v>cache2k</x:v>
      </x:c>
      <x:c r="E164" s="36" t="n">
        <x:v>1</x:v>
      </x:c>
      <x:c r="F164" s="36" t="n">
        <x:v>1</x:v>
      </x:c>
      <x:c r="G164" s="36" t="n">
        <x:v>4</x:v>
      </x:c>
      <x:c r="H164" s="36" t="n">
        <x:v>5</x:v>
      </x:c>
      <x:c r="I164" s="34" t="str">
        <x:v>afterFinalUndeployEarly</x:v>
      </x:c>
      <x:c r="J164" s="34" t="str">
        <x:v>after-final-undeploy-early</x:v>
      </x:c>
      <x:c r="K164" s="36" t="n">
        <x:v>2</x:v>
      </x:c>
      <x:c r="L164" s="34" t="str">
        <x:v>early</x:v>
      </x:c>
      <x:c r="M164" s="34" t="str">
        <x:v>article1-unified-v4-2-fb3f101b-20260903-000401-default-f01-p4-cache2k-5-after-final-undeploy-early-2s</x:v>
      </x:c>
      <x:c r="N164" s="38" t="n">
        <x:v>46267.94591603009</x:v>
      </x:c>
      <x:c r="O164" s="36"/>
      <x:c r="P164" s="43"/>
      <x:c r="Q164" s="43"/>
      <x:c r="R164" s="43"/>
      <x:c r="S164" s="36"/>
      <x:c r="T164" s="44"/>
      <x:c r="U164" s="36" t="n">
        <x:v>27</x:v>
      </x:c>
      <x:c r="V164" s="36" t="n">
        <x:v>0</x:v>
      </x:c>
      <x:c r="W164" s="44"/>
      <x:c r="X164" s="36"/>
      <x:c r="Y164" s="36"/>
      <x:c r="Z164" s="44"/>
      <x:c r="AA164" s="49"/>
      <x:c r="AB164" s="43" t="n">
        <x:v>1</x:v>
      </x:c>
      <x:c r="AC164" s="34"/>
      <x:c r="AD164" s="34"/>
      <x:c r="AE164" s="34" t="str">
        <x:v>article1-unified-v4-2-fb3f101b-20260903-000401-default-f01-p4-cache2k-5-after-final-undeploy-early-2s-thread-dump.txt</x:v>
      </x:c>
      <x:c r="AF164" s="34" t="str">
        <x:v>article1-unified-v4-2-fb3f101b-20260903-000401-default-f01-p4-cache2k-5-after-final-undeploy-early-tomcat-log.txt</x:v>
      </x:c>
      <x:c r="AG164" s="34"/>
      <x:c r="AH164" s="34"/>
      <x:c r="AI164" s="34"/>
    </x:row>
    <x:row r="165">
      <x:c r="A165" s="34" t="str">
        <x:v>article1-unified-v4-2-fb3f101b-20260903-000401-default-f01-p4-cache2k</x:v>
      </x:c>
      <x:c r="B165" s="34" t="str">
        <x:v>default</x:v>
      </x:c>
      <x:c r="C165" s="34" t="str">
        <x:v>cache2k</x:v>
      </x:c>
      <x:c r="D165" s="34" t="str">
        <x:v>cache2k</x:v>
      </x:c>
      <x:c r="E165" s="36" t="n">
        <x:v>1</x:v>
      </x:c>
      <x:c r="F165" s="36" t="n">
        <x:v>1</x:v>
      </x:c>
      <x:c r="G165" s="36" t="n">
        <x:v>4</x:v>
      </x:c>
      <x:c r="H165" s="36" t="n">
        <x:v>5</x:v>
      </x:c>
      <x:c r="I165" s="34" t="str">
        <x:v>afterFinalUndeploy</x:v>
      </x:c>
      <x:c r="J165" s="34" t="str">
        <x:v>after-final-undeploy-final</x:v>
      </x:c>
      <x:c r="K165" s="36" t="n">
        <x:v>2</x:v>
      </x:c>
      <x:c r="L165" s="34" t="str">
        <x:v>final</x:v>
      </x:c>
      <x:c r="M165" s="34" t="str">
        <x:v>article1-unified-v4-2-fb3f101b-20260903-000401-default-f01-p4-cache2k-5-after-final-undeploy-final-10s</x:v>
      </x:c>
      <x:c r="N165" s="38" t="n">
        <x:v>46267.94607493056</x:v>
      </x:c>
      <x:c r="O165" s="36" t="n">
        <x:v>2</x:v>
      </x:c>
      <x:c r="P165" s="43" t="n">
        <x:v>15643648</x:v>
      </x:c>
      <x:c r="Q165" s="43" t="n">
        <x:v>268435456</x:v>
      </x:c>
      <x:c r="R165" s="43" t="n">
        <x:v>429906944</x:v>
      </x:c>
      <x:c r="S165" s="36" t="n">
        <x:v>2</x:v>
      </x:c>
      <x:c r="T165" s="44" t="str">
        <x:v>0x00000000461177b8  0x0000000046003818  0x00007499685f52b0       0         0         0  org.apache.catalina.loader.ParallelWebappClassLoader | 0x00000000461177b8  0x0000000046003818  0x00007498dc532b80    4450  21300224  21284568  org.apache.catalina.loader.ParallelWebappClassLoader</x:v>
      </x:c>
      <x:c r="U165" s="36" t="n">
        <x:v>27</x:v>
      </x:c>
      <x:c r="V165" s="36" t="n">
        <x:v>0</x:v>
      </x:c>
      <x:c r="W165" s="44"/>
      <x:c r="X165" s="36" t="n">
        <x:v>1</x:v>
      </x:c>
      <x:c r="Y165" s="36" t="n">
        <x:v>1</x:v>
      </x:c>
      <x:c r="Z165" s="44" t="str">
        <x:v>/cache2k</x:v>
      </x:c>
      <x:c r="AA165" s="45" t="b">
        <x:v>1</x:v>
      </x:c>
      <x:c r="AB165" s="43"/>
      <x:c r="AC165" s="34" t="str">
        <x:v>article1-unified-v4-2-fb3f101b-20260903-000401-default-f01-p4-cache2k-5-after-final-undeploy-final-10s-heap-info.txt</x:v>
      </x:c>
      <x:c r="AD165" s="34" t="str">
        <x:v>article1-unified-v4-2-fb3f101b-20260903-000401-default-f01-p4-cache2k-5-after-final-undeploy-final-10s-classloader-stats.txt</x:v>
      </x:c>
      <x:c r="AE165" s="34" t="str">
        <x:v>article1-unified-v4-2-fb3f101b-20260903-000401-default-f01-p4-cache2k-5-after-final-undeploy-final-10s-thread-dump.txt</x:v>
      </x:c>
      <x:c r="AF165" s="34"/>
      <x:c r="AG165" s="34" t="str">
        <x:v>article1-unified-v4-2-fb3f101b-20260903-000401-default-f01-p4-cache2k-5-after-final-undeploy-final-10s-native-memory.txt</x:v>
      </x:c>
      <x:c r="AH165" s="34" t="str">
        <x:v>article1-unified-v4-2-fb3f101b-20260903-000401-default-f01-p4-cache2k-5-after-final-undeploy-final-10s-class-histogram.txt</x:v>
      </x:c>
      <x:c r="AI165" s="34" t="str">
        <x:v>article1-unified-v4-2-fb3f101b-20260903-000401-default-f01-p4-cache2k-5-after-final-undeploy-tomcat-findleaks.txt</x:v>
      </x:c>
    </x:row>
    <x:row r="166">
      <x:c r="A166" s="34" t="str">
        <x:v>article1-unified-v4-2-fb3f101b-20260903-000401-default-f01-p5-jcs321</x:v>
      </x:c>
      <x:c r="B166" s="34" t="str">
        <x:v>default</x:v>
      </x:c>
      <x:c r="C166" s="34" t="str">
        <x:v>jcs321</x:v>
      </x:c>
      <x:c r="D166" s="34" t="str">
        <x:v>jcs321</x:v>
      </x:c>
      <x:c r="E166" s="36" t="n">
        <x:v>1</x:v>
      </x:c>
      <x:c r="F166" s="36" t="n">
        <x:v>1</x:v>
      </x:c>
      <x:c r="G166" s="36" t="n">
        <x:v>5</x:v>
      </x:c>
      <x:c r="H166" s="36" t="n">
        <x:v>0</x:v>
      </x:c>
      <x:c r="I166" s="34" t="str">
        <x:v>processBaseline</x:v>
      </x:c>
      <x:c r="J166" s="34" t="str">
        <x:v>process-baseline</x:v>
      </x:c>
      <x:c r="K166" s="36" t="n">
        <x:v>0</x:v>
      </x:c>
      <x:c r="L166" s="34" t="str">
        <x:v>baseline</x:v>
      </x:c>
      <x:c r="M166" s="34" t="str">
        <x:v>article1-unified-v4-2-fb3f101b-20260903-000401-default-f01-p5-jcs321-process-baseline</x:v>
      </x:c>
      <x:c r="N166" s="38" t="n">
        <x:v>46267.94631601852</x:v>
      </x:c>
      <x:c r="O166" s="36" t="n">
        <x:v>0</x:v>
      </x:c>
      <x:c r="P166" s="43" t="n">
        <x:v>32790528</x:v>
      </x:c>
      <x:c r="Q166" s="43" t="n">
        <x:v>270532608</x:v>
      </x:c>
      <x:c r="R166" s="43" t="n">
        <x:v>369300480</x:v>
      </x:c>
      <x:c r="S166" s="36" t="n">
        <x:v>1</x:v>
      </x:c>
      <x:c r="T166" s="44" t="str">
        <x:v>0x00000000571177b8  0x0000000057003818  0x00007ab5ac6170d0       0         0         0  org.apache.catalina.loader.ParallelWebappClassLoader</x:v>
      </x:c>
      <x:c r="U166" s="36" t="n">
        <x:v>27</x:v>
      </x:c>
      <x:c r="V166" s="36" t="n">
        <x:v>0</x:v>
      </x:c>
      <x:c r="W166" s="44"/>
      <x:c r="X166" s="36"/>
      <x:c r="Y166" s="36"/>
      <x:c r="Z166" s="44"/>
      <x:c r="AA166" s="49"/>
      <x:c r="AB166" s="43"/>
      <x:c r="AC166" s="34" t="str">
        <x:v>article1-unified-v4-2-fb3f101b-20260903-000401-default-f01-p5-jcs321-process-baseline-heap-info.txt</x:v>
      </x:c>
      <x:c r="AD166" s="34" t="str">
        <x:v>article1-unified-v4-2-fb3f101b-20260903-000401-default-f01-p5-jcs321-process-baseline-classloader-stats.txt</x:v>
      </x:c>
      <x:c r="AE166" s="34" t="str">
        <x:v>article1-unified-v4-2-fb3f101b-20260903-000401-default-f01-p5-jcs321-process-baseline-thread-dump.txt</x:v>
      </x:c>
      <x:c r="AF166" s="34"/>
      <x:c r="AG166" s="34" t="str">
        <x:v>article1-unified-v4-2-fb3f101b-20260903-000401-default-f01-p5-jcs321-process-baseline-native-memory.txt</x:v>
      </x:c>
      <x:c r="AH166" s="34"/>
      <x:c r="AI166" s="34"/>
    </x:row>
    <x:row r="167">
      <x:c r="A167" s="34" t="str">
        <x:v>article1-unified-v4-2-fb3f101b-20260903-000401-default-f01-p5-jcs321</x:v>
      </x:c>
      <x:c r="B167" s="34" t="str">
        <x:v>default</x:v>
      </x:c>
      <x:c r="C167" s="34" t="str">
        <x:v>jcs321</x:v>
      </x:c>
      <x:c r="D167" s="34" t="str">
        <x:v>jcs321</x:v>
      </x:c>
      <x:c r="E167" s="36" t="n">
        <x:v>1</x:v>
      </x:c>
      <x:c r="F167" s="36" t="n">
        <x:v>1</x:v>
      </x:c>
      <x:c r="G167" s="36" t="n">
        <x:v>5</x:v>
      </x:c>
      <x:c r="H167" s="36" t="n">
        <x:v>1</x:v>
      </x:c>
      <x:c r="I167" s="34" t="str">
        <x:v>baseline</x:v>
      </x:c>
      <x:c r="J167" s="34" t="str">
        <x:v>cycle-baseline</x:v>
      </x:c>
      <x:c r="K167" s="36" t="n">
        <x:v>0</x:v>
      </x:c>
      <x:c r="L167" s="34" t="str">
        <x:v>baseline</x:v>
      </x:c>
      <x:c r="M167" s="34" t="str">
        <x:v>article1-unified-v4-2-fb3f101b-20260903-000401-default-f01-p5-jcs321-1-baseline</x:v>
      </x:c>
      <x:c r="N167" s="38" t="n">
        <x:v>46267.94650929398</x:v>
      </x:c>
      <x:c r="O167" s="36" t="n">
        <x:v>0</x:v>
      </x:c>
      <x:c r="P167" s="43" t="n">
        <x:v>33314816</x:v>
      </x:c>
      <x:c r="Q167" s="43" t="n">
        <x:v>270532608</x:v>
      </x:c>
      <x:c r="R167" s="43" t="n">
        <x:v>369888256</x:v>
      </x:c>
      <x:c r="S167" s="36" t="n">
        <x:v>1</x:v>
      </x:c>
      <x:c r="T167" s="44" t="str">
        <x:v>0x00000000571177b8  0x0000000057003818  0x00007ab5ac6170d0       0         0         0  org.apache.catalina.loader.ParallelWebappClassLoader</x:v>
      </x:c>
      <x:c r="U167" s="36" t="n">
        <x:v>27</x:v>
      </x:c>
      <x:c r="V167" s="36" t="n">
        <x:v>0</x:v>
      </x:c>
      <x:c r="W167" s="44"/>
      <x:c r="X167" s="36"/>
      <x:c r="Y167" s="36"/>
      <x:c r="Z167" s="44"/>
      <x:c r="AA167" s="49"/>
      <x:c r="AB167" s="43"/>
      <x:c r="AC167" s="34" t="str">
        <x:v>article1-unified-v4-2-fb3f101b-20260903-000401-default-f01-p5-jcs321-1-baseline-heap-info.txt</x:v>
      </x:c>
      <x:c r="AD167" s="34" t="str">
        <x:v>article1-unified-v4-2-fb3f101b-20260903-000401-default-f01-p5-jcs321-1-baseline-classloader-stats.txt</x:v>
      </x:c>
      <x:c r="AE167" s="34" t="str">
        <x:v>article1-unified-v4-2-fb3f101b-20260903-000401-default-f01-p5-jcs321-1-baseline-thread-dump.txt</x:v>
      </x:c>
      <x:c r="AF167" s="34"/>
      <x:c r="AG167" s="34" t="str">
        <x:v>article1-unified-v4-2-fb3f101b-20260903-000401-default-f01-p5-jcs321-1-baseline-native-memory.txt</x:v>
      </x:c>
      <x:c r="AH167" s="34"/>
      <x:c r="AI167" s="34"/>
    </x:row>
    <x:row r="168">
      <x:c r="A168" s="34" t="str">
        <x:v>article1-unified-v4-2-fb3f101b-20260903-000401-default-f01-p5-jcs321</x:v>
      </x:c>
      <x:c r="B168" s="34" t="str">
        <x:v>default</x:v>
      </x:c>
      <x:c r="C168" s="34" t="str">
        <x:v>jcs321</x:v>
      </x:c>
      <x:c r="D168" s="34" t="str">
        <x:v>jcs321</x:v>
      </x:c>
      <x:c r="E168" s="36" t="n">
        <x:v>1</x:v>
      </x:c>
      <x:c r="F168" s="36" t="n">
        <x:v>1</x:v>
      </x:c>
      <x:c r="G168" s="36" t="n">
        <x:v>5</x:v>
      </x:c>
      <x:c r="H168" s="36" t="n">
        <x:v>1</x:v>
      </x:c>
      <x:c r="I168" s="34" t="str">
        <x:v>deployedIdle</x:v>
      </x:c>
      <x:c r="J168" s="34" t="str">
        <x:v>deployed-idle</x:v>
      </x:c>
      <x:c r="K168" s="36" t="n">
        <x:v>0</x:v>
      </x:c>
      <x:c r="L168" s="34" t="str">
        <x:v>initial</x:v>
      </x:c>
      <x:c r="M168" s="34" t="str">
        <x:v>article1-unified-v4-2-fb3f101b-20260903-000401-default-f01-p5-jcs321-1-deployed-idle</x:v>
      </x:c>
      <x:c r="N168" s="38" t="n">
        <x:v>46267.94662662037</x:v>
      </x:c>
      <x:c r="O168" s="36" t="n">
        <x:v>0</x:v>
      </x:c>
      <x:c r="P168" s="43" t="n">
        <x:v>22776832</x:v>
      </x:c>
      <x:c r="Q168" s="43" t="n">
        <x:v>268435456</x:v>
      </x:c>
      <x:c r="R168" s="43" t="n">
        <x:v>426708992</x:v>
      </x:c>
      <x:c r="S168" s="36" t="n">
        <x:v>2</x:v>
      </x:c>
      <x:c r="T168" s="44" t="str">
        <x:v>0x00000000571177b8  0x0000000057003818  0x00007ab508118720    4091  19436544  19410712  org.apache.catalina.loader.ParallelWebappClassLoader | 0x00000000571177b8  0x0000000057003818  0x00007ab5ac6170d0       0         0         0  org.apache.catalina.loader.ParallelWebappClassLoader</x:v>
      </x:c>
      <x:c r="U168" s="36" t="n">
        <x:v>27</x:v>
      </x:c>
      <x:c r="V168" s="36" t="n">
        <x:v>0</x:v>
      </x:c>
      <x:c r="W168" s="44"/>
      <x:c r="X168" s="36"/>
      <x:c r="Y168" s="36"/>
      <x:c r="Z168" s="44"/>
      <x:c r="AA168" s="49"/>
      <x:c r="AB168" s="43"/>
      <x:c r="AC168" s="34"/>
      <x:c r="AD168" s="34"/>
      <x:c r="AE168" s="34"/>
      <x:c r="AF168" s="34"/>
      <x:c r="AG168" s="34"/>
      <x:c r="AH168" s="34"/>
      <x:c r="AI168" s="34"/>
    </x:row>
    <x:row r="169">
      <x:c r="A169" s="34" t="str">
        <x:v>article1-unified-v4-2-fb3f101b-20260903-000401-default-f01-p5-jcs321</x:v>
      </x:c>
      <x:c r="B169" s="34" t="str">
        <x:v>default</x:v>
      </x:c>
      <x:c r="C169" s="34" t="str">
        <x:v>jcs321</x:v>
      </x:c>
      <x:c r="D169" s="34" t="str">
        <x:v>jcs321</x:v>
      </x:c>
      <x:c r="E169" s="36" t="n">
        <x:v>1</x:v>
      </x:c>
      <x:c r="F169" s="36" t="n">
        <x:v>1</x:v>
      </x:c>
      <x:c r="G169" s="36" t="n">
        <x:v>5</x:v>
      </x:c>
      <x:c r="H169" s="36" t="n">
        <x:v>1</x:v>
      </x:c>
      <x:c r="I169" s="34" t="str">
        <x:v>loaded</x:v>
      </x:c>
      <x:c r="J169" s="34" t="str">
        <x:v>loaded</x:v>
      </x:c>
      <x:c r="K169" s="36" t="n">
        <x:v>0</x:v>
      </x:c>
      <x:c r="L169" s="34" t="str">
        <x:v>initial</x:v>
      </x:c>
      <x:c r="M169" s="34" t="str">
        <x:v>article1-unified-v4-2-fb3f101b-20260903-000401-default-f01-p5-jcs321-1-loaded</x:v>
      </x:c>
      <x:c r="N169" s="38" t="n">
        <x:v>46267.946776944445</x:v>
      </x:c>
      <x:c r="O169" s="36" t="n">
        <x:v>0</x:v>
      </x:c>
      <x:c r="P169" s="43" t="n">
        <x:v>136662016</x:v>
      </x:c>
      <x:c r="Q169" s="43" t="n">
        <x:v>268435456</x:v>
      </x:c>
      <x:c r="R169" s="43" t="n">
        <x:v>410399744</x:v>
      </x:c>
      <x:c r="S169" s="36" t="n">
        <x:v>2</x:v>
      </x:c>
      <x:c r="T169" s="44" t="str">
        <x:v>0x00000000571177b8  0x0000000057003818  0x00007ab508118720    4430  20964352  20943688  org.apache.catalina.loader.ParallelWebappClassLoader | 0x00000000571177b8  0x0000000057003818  0x00007ab5ac6170d0       0         0         0  org.apache.catalina.loader.ParallelWebappClassLoader</x:v>
      </x:c>
      <x:c r="U169" s="36" t="n">
        <x:v>28</x:v>
      </x:c>
      <x:c r="V169" s="36" t="n">
        <x:v>1</x:v>
      </x:c>
      <x:c r="W169" s="44" t="str">
        <x:v>jcs3-element-event-queue:JCS-ElementEventQueue-Thread-4#49</x:v>
      </x:c>
      <x:c r="X169" s="36"/>
      <x:c r="Y169" s="36"/>
      <x:c r="Z169" s="44"/>
      <x:c r="AA169" s="49"/>
      <x:c r="AB169" s="43"/>
      <x:c r="AC169" s="34"/>
      <x:c r="AD169" s="34"/>
      <x:c r="AE169" s="34"/>
      <x:c r="AF169" s="34"/>
      <x:c r="AG169" s="34"/>
      <x:c r="AH169" s="34"/>
      <x:c r="AI169" s="34"/>
    </x:row>
    <x:row r="170">
      <x:c r="A170" s="34" t="str">
        <x:v>article1-unified-v4-2-fb3f101b-20260903-000401-default-f01-p5-jcs321</x:v>
      </x:c>
      <x:c r="B170" s="34" t="str">
        <x:v>default</x:v>
      </x:c>
      <x:c r="C170" s="34" t="str">
        <x:v>jcs321</x:v>
      </x:c>
      <x:c r="D170" s="34" t="str">
        <x:v>jcs321</x:v>
      </x:c>
      <x:c r="E170" s="36" t="n">
        <x:v>1</x:v>
      </x:c>
      <x:c r="F170" s="36" t="n">
        <x:v>1</x:v>
      </x:c>
      <x:c r="G170" s="36" t="n">
        <x:v>5</x:v>
      </x:c>
      <x:c r="H170" s="36" t="n">
        <x:v>1</x:v>
      </x:c>
      <x:c r="I170" s="34" t="str">
        <x:v>afterUndeployEarly</x:v>
      </x:c>
      <x:c r="J170" s="34" t="str">
        <x:v>after-undeploy-early</x:v>
      </x:c>
      <x:c r="K170" s="36" t="n">
        <x:v>1</x:v>
      </x:c>
      <x:c r="L170" s="34" t="str">
        <x:v>early</x:v>
      </x:c>
      <x:c r="M170" s="34" t="str">
        <x:v>article1-unified-v4-2-fb3f101b-20260903-000401-default-f01-p5-jcs321-1-after-undeploy-early-2s</x:v>
      </x:c>
      <x:c r="N170" s="38" t="n">
        <x:v>46267.946858703704</x:v>
      </x:c>
      <x:c r="O170" s="36"/>
      <x:c r="P170" s="43"/>
      <x:c r="Q170" s="43"/>
      <x:c r="R170" s="43"/>
      <x:c r="S170" s="36"/>
      <x:c r="T170" s="44"/>
      <x:c r="U170" s="36" t="n">
        <x:v>28</x:v>
      </x:c>
      <x:c r="V170" s="36" t="n">
        <x:v>1</x:v>
      </x:c>
      <x:c r="W170" s="44" t="str">
        <x:v>jcs3-element-event-queue:JCS-ElementEventQueue-Thread-4#49</x:v>
      </x:c>
      <x:c r="X170" s="36"/>
      <x:c r="Y170" s="36"/>
      <x:c r="Z170" s="44"/>
      <x:c r="AA170" s="49"/>
      <x:c r="AB170" s="43" t="n">
        <x:v>17</x:v>
      </x:c>
      <x:c r="AC170" s="34"/>
      <x:c r="AD170" s="34"/>
      <x:c r="AE170" s="34" t="str">
        <x:v>article1-unified-v4-2-fb3f101b-20260903-000401-default-f01-p5-jcs321-1-after-undeploy-early-2s-thread-dump.txt</x:v>
      </x:c>
      <x:c r="AF170" s="34" t="str">
        <x:v>article1-unified-v4-2-fb3f101b-20260903-000401-default-f01-p5-jcs321-1-after-undeploy-early-tomcat-log.txt</x:v>
      </x:c>
      <x:c r="AG170" s="34"/>
      <x:c r="AH170" s="34"/>
      <x:c r="AI170" s="34"/>
    </x:row>
    <x:row r="171">
      <x:c r="A171" s="34" t="str">
        <x:v>article1-unified-v4-2-fb3f101b-20260903-000401-default-f01-p5-jcs321</x:v>
      </x:c>
      <x:c r="B171" s="34" t="str">
        <x:v>default</x:v>
      </x:c>
      <x:c r="C171" s="34" t="str">
        <x:v>jcs321</x:v>
      </x:c>
      <x:c r="D171" s="34" t="str">
        <x:v>jcs321</x:v>
      </x:c>
      <x:c r="E171" s="36" t="n">
        <x:v>1</x:v>
      </x:c>
      <x:c r="F171" s="36" t="n">
        <x:v>1</x:v>
      </x:c>
      <x:c r="G171" s="36" t="n">
        <x:v>5</x:v>
      </x:c>
      <x:c r="H171" s="36" t="n">
        <x:v>1</x:v>
      </x:c>
      <x:c r="I171" s="34" t="str">
        <x:v>afterUndeploy</x:v>
      </x:c>
      <x:c r="J171" s="34" t="str">
        <x:v>after-undeploy-final</x:v>
      </x:c>
      <x:c r="K171" s="36" t="n">
        <x:v>1</x:v>
      </x:c>
      <x:c r="L171" s="34" t="str">
        <x:v>final</x:v>
      </x:c>
      <x:c r="M171" s="34" t="str">
        <x:v>article1-unified-v4-2-fb3f101b-20260903-000401-default-f01-p5-jcs321-1-after-undeploy-final-10s</x:v>
      </x:c>
      <x:c r="N171" s="38" t="n">
        <x:v>46267.947014826386</x:v>
      </x:c>
      <x:c r="O171" s="36" t="n">
        <x:v>2</x:v>
      </x:c>
      <x:c r="P171" s="43" t="n">
        <x:v>15521792</x:v>
      </x:c>
      <x:c r="Q171" s="43" t="n">
        <x:v>268435456</x:v>
      </x:c>
      <x:c r="R171" s="43" t="n">
        <x:v>409153536</x:v>
      </x:c>
      <x:c r="S171" s="36" t="n">
        <x:v>2</x:v>
      </x:c>
      <x:c r="T171" s="44" t="str">
        <x:v>0x00000000571177b8  0x0000000057003818  0x00007ab508118720    4444  21001216  20978120  org.apache.catalina.loader.ParallelWebappClassLoader | 0x00000000571177b8  0x0000000057003818  0x00007ab5ac6170d0       0         0         0  org.apache.catalina.loader.ParallelWebappClassLoader</x:v>
      </x:c>
      <x:c r="U171" s="36" t="n">
        <x:v>28</x:v>
      </x:c>
      <x:c r="V171" s="36" t="n">
        <x:v>1</x:v>
      </x:c>
      <x:c r="W171" s="44" t="str">
        <x:v>jcs3-element-event-queue:JCS-ElementEventQueue-Thread-4#49</x:v>
      </x:c>
      <x:c r="X171" s="36" t="n">
        <x:v>1</x:v>
      </x:c>
      <x:c r="Y171" s="36" t="n">
        <x:v>1</x:v>
      </x:c>
      <x:c r="Z171" s="44" t="str">
        <x:v>/jcs321</x:v>
      </x:c>
      <x:c r="AA171" s="45" t="b">
        <x:v>1</x:v>
      </x:c>
      <x:c r="AB171" s="43"/>
      <x:c r="AC171" s="34" t="str">
        <x:v>article1-unified-v4-2-fb3f101b-20260903-000401-default-f01-p5-jcs321-1-after-undeploy-final-10s-heap-info.txt</x:v>
      </x:c>
      <x:c r="AD171" s="34" t="str">
        <x:v>article1-unified-v4-2-fb3f101b-20260903-000401-default-f01-p5-jcs321-1-after-undeploy-final-10s-classloader-stats.txt</x:v>
      </x:c>
      <x:c r="AE171" s="34" t="str">
        <x:v>article1-unified-v4-2-fb3f101b-20260903-000401-default-f01-p5-jcs321-1-after-undeploy-final-10s-thread-dump.txt</x:v>
      </x:c>
      <x:c r="AF171" s="34"/>
      <x:c r="AG171" s="34" t="str">
        <x:v>article1-unified-v4-2-fb3f101b-20260903-000401-default-f01-p5-jcs321-1-after-undeploy-final-10s-native-memory.txt</x:v>
      </x:c>
      <x:c r="AH171" s="34" t="str">
        <x:v>article1-unified-v4-2-fb3f101b-20260903-000401-default-f01-p5-jcs321-1-after-undeploy-final-10s-class-histogram.txt</x:v>
      </x:c>
      <x:c r="AI171" s="34" t="str">
        <x:v>article1-unified-v4-2-fb3f101b-20260903-000401-default-f01-p5-jcs321-1-after-undeploy-tomcat-findleaks.txt</x:v>
      </x:c>
    </x:row>
    <x:row r="172">
      <x:c r="A172" s="34" t="str">
        <x:v>article1-unified-v4-2-fb3f101b-20260903-000401-default-f01-p5-jcs321</x:v>
      </x:c>
      <x:c r="B172" s="34" t="str">
        <x:v>default</x:v>
      </x:c>
      <x:c r="C172" s="34" t="str">
        <x:v>jcs321</x:v>
      </x:c>
      <x:c r="D172" s="34" t="str">
        <x:v>jcs321</x:v>
      </x:c>
      <x:c r="E172" s="36" t="n">
        <x:v>1</x:v>
      </x:c>
      <x:c r="F172" s="36" t="n">
        <x:v>1</x:v>
      </x:c>
      <x:c r="G172" s="36" t="n">
        <x:v>5</x:v>
      </x:c>
      <x:c r="H172" s="36" t="n">
        <x:v>1</x:v>
      </x:c>
      <x:c r="I172" s="34" t="str">
        <x:v>redeployedLoaded</x:v>
      </x:c>
      <x:c r="J172" s="34" t="str">
        <x:v>redeployed-loaded</x:v>
      </x:c>
      <x:c r="K172" s="36" t="n">
        <x:v>0</x:v>
      </x:c>
      <x:c r="L172" s="34" t="str">
        <x:v>redeploy</x:v>
      </x:c>
      <x:c r="M172" s="34" t="str">
        <x:v>article1-unified-v4-2-fb3f101b-20260903-000401-default-f01-p5-jcs321-1-redeployed-loaded</x:v>
      </x:c>
      <x:c r="N172" s="38" t="n">
        <x:v>46267.947272627316</x:v>
      </x:c>
      <x:c r="O172" s="36" t="n">
        <x:v>0</x:v>
      </x:c>
      <x:c r="P172" s="43" t="n">
        <x:v>127368192</x:v>
      </x:c>
      <x:c r="Q172" s="43" t="n">
        <x:v>268435456</x:v>
      </x:c>
      <x:c r="R172" s="43" t="n">
        <x:v>436554752</x:v>
      </x:c>
      <x:c r="S172" s="36" t="n">
        <x:v>3</x:v>
      </x:c>
      <x:c r="T172" s="44" t="str">
        <x:v>0x00000000571177b8  0x0000000057003818  0x00007ab508118720    4444  21001216  20978120  org.apache.catalina.loader.ParallelWebappClassLoader | 0x00000000571177b8  0x0000000057003818  0x00007ab504012ad0    4420  21009408  20985168  org.apache.catalina.loader.ParallelWebappClassLoader | 0x00000000571177b8  0x0000000057003818  0x00007ab5ac6170d0       0         0         0  org.apache.catalina.loader.ParallelWebappClassLoader</x:v>
      </x:c>
      <x:c r="U172" s="36" t="n">
        <x:v>29</x:v>
      </x:c>
      <x:c r="V172" s="36" t="n">
        <x:v>2</x:v>
      </x:c>
      <x:c r="W172" s="44" t="str">
        <x:v>jcs3-element-event-queue:JCS-ElementEventQueue-Thread-4#49 | jcs3-element-event-queue:JCS-ElementEventQueue-Thread-7#91</x:v>
      </x:c>
      <x:c r="X172" s="36"/>
      <x:c r="Y172" s="36"/>
      <x:c r="Z172" s="44"/>
      <x:c r="AA172" s="49"/>
      <x:c r="AB172" s="43"/>
      <x:c r="AC172" s="34"/>
      <x:c r="AD172" s="34"/>
      <x:c r="AE172" s="34"/>
      <x:c r="AF172" s="34"/>
      <x:c r="AG172" s="34"/>
      <x:c r="AH172" s="34"/>
      <x:c r="AI172" s="34"/>
    </x:row>
    <x:row r="173">
      <x:c r="A173" s="34" t="str">
        <x:v>article1-unified-v4-2-fb3f101b-20260903-000401-default-f01-p5-jcs321</x:v>
      </x:c>
      <x:c r="B173" s="34" t="str">
        <x:v>default</x:v>
      </x:c>
      <x:c r="C173" s="34" t="str">
        <x:v>jcs321</x:v>
      </x:c>
      <x:c r="D173" s="34" t="str">
        <x:v>jcs321</x:v>
      </x:c>
      <x:c r="E173" s="36" t="n">
        <x:v>1</x:v>
      </x:c>
      <x:c r="F173" s="36" t="n">
        <x:v>1</x:v>
      </x:c>
      <x:c r="G173" s="36" t="n">
        <x:v>5</x:v>
      </x:c>
      <x:c r="H173" s="36" t="n">
        <x:v>1</x:v>
      </x:c>
      <x:c r="I173" s="34" t="str">
        <x:v>afterFinalUndeployEarly</x:v>
      </x:c>
      <x:c r="J173" s="34" t="str">
        <x:v>after-final-undeploy-early</x:v>
      </x:c>
      <x:c r="K173" s="36" t="n">
        <x:v>2</x:v>
      </x:c>
      <x:c r="L173" s="34" t="str">
        <x:v>early</x:v>
      </x:c>
      <x:c r="M173" s="34" t="str">
        <x:v>article1-unified-v4-2-fb3f101b-20260903-000401-default-f01-p5-jcs321-1-after-final-undeploy-early-2s</x:v>
      </x:c>
      <x:c r="N173" s="38" t="n">
        <x:v>46267.947355833334</x:v>
      </x:c>
      <x:c r="O173" s="36"/>
      <x:c r="P173" s="43"/>
      <x:c r="Q173" s="43"/>
      <x:c r="R173" s="43"/>
      <x:c r="S173" s="36"/>
      <x:c r="T173" s="44"/>
      <x:c r="U173" s="36" t="n">
        <x:v>29</x:v>
      </x:c>
      <x:c r="V173" s="36" t="n">
        <x:v>2</x:v>
      </x:c>
      <x:c r="W173" s="44" t="str">
        <x:v>jcs3-element-event-queue:JCS-ElementEventQueue-Thread-4#49 | jcs3-element-event-queue:JCS-ElementEventQueue-Thread-7#91</x:v>
      </x:c>
      <x:c r="X173" s="36"/>
      <x:c r="Y173" s="36"/>
      <x:c r="Z173" s="44"/>
      <x:c r="AA173" s="49"/>
      <x:c r="AB173" s="43" t="n">
        <x:v>17</x:v>
      </x:c>
      <x:c r="AC173" s="34"/>
      <x:c r="AD173" s="34"/>
      <x:c r="AE173" s="34" t="str">
        <x:v>article1-unified-v4-2-fb3f101b-20260903-000401-default-f01-p5-jcs321-1-after-final-undeploy-early-2s-thread-dump.txt</x:v>
      </x:c>
      <x:c r="AF173" s="34" t="str">
        <x:v>article1-unified-v4-2-fb3f101b-20260903-000401-default-f01-p5-jcs321-1-after-final-undeploy-early-tomcat-log.txt</x:v>
      </x:c>
      <x:c r="AG173" s="34"/>
      <x:c r="AH173" s="34"/>
      <x:c r="AI173" s="34"/>
    </x:row>
    <x:row r="174">
      <x:c r="A174" s="34" t="str">
        <x:v>article1-unified-v4-2-fb3f101b-20260903-000401-default-f01-p5-jcs321</x:v>
      </x:c>
      <x:c r="B174" s="34" t="str">
        <x:v>default</x:v>
      </x:c>
      <x:c r="C174" s="34" t="str">
        <x:v>jcs321</x:v>
      </x:c>
      <x:c r="D174" s="34" t="str">
        <x:v>jcs321</x:v>
      </x:c>
      <x:c r="E174" s="36" t="n">
        <x:v>1</x:v>
      </x:c>
      <x:c r="F174" s="36" t="n">
        <x:v>1</x:v>
      </x:c>
      <x:c r="G174" s="36" t="n">
        <x:v>5</x:v>
      </x:c>
      <x:c r="H174" s="36" t="n">
        <x:v>1</x:v>
      </x:c>
      <x:c r="I174" s="34" t="str">
        <x:v>afterFinalUndeploy</x:v>
      </x:c>
      <x:c r="J174" s="34" t="str">
        <x:v>after-final-undeploy-final</x:v>
      </x:c>
      <x:c r="K174" s="36" t="n">
        <x:v>2</x:v>
      </x:c>
      <x:c r="L174" s="34" t="str">
        <x:v>final</x:v>
      </x:c>
      <x:c r="M174" s="34" t="str">
        <x:v>article1-unified-v4-2-fb3f101b-20260903-000401-default-f01-p5-jcs321-1-after-final-undeploy-final-10s</x:v>
      </x:c>
      <x:c r="N174" s="38" t="n">
        <x:v>46267.94750962963</x:v>
      </x:c>
      <x:c r="O174" s="36" t="n">
        <x:v>2</x:v>
      </x:c>
      <x:c r="P174" s="43" t="n">
        <x:v>19697664</x:v>
      </x:c>
      <x:c r="Q174" s="43" t="n">
        <x:v>268435456</x:v>
      </x:c>
      <x:c r="R174" s="43" t="n">
        <x:v>435820544</x:v>
      </x:c>
      <x:c r="S174" s="36" t="n">
        <x:v>3</x:v>
      </x:c>
      <x:c r="T174" s="44" t="str">
        <x:v>0x00000000571177b8  0x0000000057003818  0x00007ab504012ad0    4434  21042176  21020080  org.apache.catalina.loader.ParallelWebappClassLoader | 0x00000000571177b8  0x0000000057003818  0x00007ab508118720    4444  21001216  20978120  org.apache.catalina.loader.ParallelWebappClassLoader | 0x00000000571177b8  0x0000000057003818  0x00007ab5ac6170d0       0         0         0  org.apache.catalina.loader.ParallelWebappClassLoader</x:v>
      </x:c>
      <x:c r="U174" s="36" t="n">
        <x:v>29</x:v>
      </x:c>
      <x:c r="V174" s="36" t="n">
        <x:v>2</x:v>
      </x:c>
      <x:c r="W174" s="44" t="str">
        <x:v>jcs3-element-event-queue:JCS-ElementEventQueue-Thread-4#49 | jcs3-element-event-queue:JCS-ElementEventQueue-Thread-7#91</x:v>
      </x:c>
      <x:c r="X174" s="36" t="n">
        <x:v>2</x:v>
      </x:c>
      <x:c r="Y174" s="36" t="n">
        <x:v>2</x:v>
      </x:c>
      <x:c r="Z174" s="44" t="str">
        <x:v>/jcs321</x:v>
      </x:c>
      <x:c r="AA174" s="45" t="b">
        <x:v>1</x:v>
      </x:c>
      <x:c r="AB174" s="43"/>
      <x:c r="AC174" s="34" t="str">
        <x:v>article1-unified-v4-2-fb3f101b-20260903-000401-default-f01-p5-jcs321-1-after-final-undeploy-final-10s-heap-info.txt</x:v>
      </x:c>
      <x:c r="AD174" s="34" t="str">
        <x:v>article1-unified-v4-2-fb3f101b-20260903-000401-default-f01-p5-jcs321-1-after-final-undeploy-final-10s-classloader-stats.txt</x:v>
      </x:c>
      <x:c r="AE174" s="34" t="str">
        <x:v>article1-unified-v4-2-fb3f101b-20260903-000401-default-f01-p5-jcs321-1-after-final-undeploy-final-10s-thread-dump.txt</x:v>
      </x:c>
      <x:c r="AF174" s="34"/>
      <x:c r="AG174" s="34" t="str">
        <x:v>article1-unified-v4-2-fb3f101b-20260903-000401-default-f01-p5-jcs321-1-after-final-undeploy-final-10s-native-memory.txt</x:v>
      </x:c>
      <x:c r="AH174" s="34" t="str">
        <x:v>article1-unified-v4-2-fb3f101b-20260903-000401-default-f01-p5-jcs321-1-after-final-undeploy-final-10s-class-histogram.txt</x:v>
      </x:c>
      <x:c r="AI174" s="34" t="str">
        <x:v>article1-unified-v4-2-fb3f101b-20260903-000401-default-f01-p5-jcs321-1-after-final-undeploy-tomcat-findleaks.txt</x:v>
      </x:c>
    </x:row>
    <x:row r="175">
      <x:c r="A175" s="34" t="str">
        <x:v>article1-unified-v4-2-fb3f101b-20260903-000401-default-f01-p5-jcs321</x:v>
      </x:c>
      <x:c r="B175" s="34" t="str">
        <x:v>default</x:v>
      </x:c>
      <x:c r="C175" s="34" t="str">
        <x:v>jcs321</x:v>
      </x:c>
      <x:c r="D175" s="34" t="str">
        <x:v>jcs321</x:v>
      </x:c>
      <x:c r="E175" s="36" t="n">
        <x:v>1</x:v>
      </x:c>
      <x:c r="F175" s="36" t="n">
        <x:v>1</x:v>
      </x:c>
      <x:c r="G175" s="36" t="n">
        <x:v>5</x:v>
      </x:c>
      <x:c r="H175" s="36" t="n">
        <x:v>2</x:v>
      </x:c>
      <x:c r="I175" s="34" t="str">
        <x:v>baseline</x:v>
      </x:c>
      <x:c r="J175" s="34" t="str">
        <x:v>cycle-baseline</x:v>
      </x:c>
      <x:c r="K175" s="36" t="n">
        <x:v>0</x:v>
      </x:c>
      <x:c r="L175" s="34" t="str">
        <x:v>baseline</x:v>
      </x:c>
      <x:c r="M175" s="34" t="str">
        <x:v>article1-unified-v4-2-fb3f101b-20260903-000401-default-f01-p5-jcs321-2-baseline</x:v>
      </x:c>
      <x:c r="N175" s="38" t="n">
        <x:v>46267.94755333333</x:v>
      </x:c>
      <x:c r="O175" s="36" t="n">
        <x:v>0</x:v>
      </x:c>
      <x:c r="P175" s="43" t="n">
        <x:v>19784704</x:v>
      </x:c>
      <x:c r="Q175" s="43" t="n">
        <x:v>268435456</x:v>
      </x:c>
      <x:c r="R175" s="43" t="n">
        <x:v>435887104</x:v>
      </x:c>
      <x:c r="S175" s="36" t="n">
        <x:v>3</x:v>
      </x:c>
      <x:c r="T175" s="44" t="str">
        <x:v>0x00000000571177b8  0x0000000057003818  0x00007ab504012ad0    4434  21042176  21020080  org.apache.catalina.loader.ParallelWebappClassLoader | 0x00000000571177b8  0x0000000057003818  0x00007ab508118720    4444  21001216  20978120  org.apache.catalina.loader.ParallelWebappClassLoader | 0x00000000571177b8  0x0000000057003818  0x00007ab5ac6170d0       0         0         0  org.apache.catalina.loader.ParallelWebappClassLoader</x:v>
      </x:c>
      <x:c r="U175" s="36" t="n">
        <x:v>29</x:v>
      </x:c>
      <x:c r="V175" s="36" t="n">
        <x:v>2</x:v>
      </x:c>
      <x:c r="W175" s="44" t="str">
        <x:v>jcs3-element-event-queue:JCS-ElementEventQueue-Thread-4#49 | jcs3-element-event-queue:JCS-ElementEventQueue-Thread-7#91</x:v>
      </x:c>
      <x:c r="X175" s="36"/>
      <x:c r="Y175" s="36"/>
      <x:c r="Z175" s="44"/>
      <x:c r="AA175" s="49"/>
      <x:c r="AB175" s="43"/>
      <x:c r="AC175" s="34" t="str">
        <x:v>article1-unified-v4-2-fb3f101b-20260903-000401-default-f01-p5-jcs321-2-baseline-heap-info.txt</x:v>
      </x:c>
      <x:c r="AD175" s="34" t="str">
        <x:v>article1-unified-v4-2-fb3f101b-20260903-000401-default-f01-p5-jcs321-2-baseline-classloader-stats.txt</x:v>
      </x:c>
      <x:c r="AE175" s="34" t="str">
        <x:v>article1-unified-v4-2-fb3f101b-20260903-000401-default-f01-p5-jcs321-2-baseline-thread-dump.txt</x:v>
      </x:c>
      <x:c r="AF175" s="34"/>
      <x:c r="AG175" s="34" t="str">
        <x:v>article1-unified-v4-2-fb3f101b-20260903-000401-default-f01-p5-jcs321-2-baseline-native-memory.txt</x:v>
      </x:c>
      <x:c r="AH175" s="34"/>
      <x:c r="AI175" s="34"/>
    </x:row>
    <x:row r="176">
      <x:c r="A176" s="34" t="str">
        <x:v>article1-unified-v4-2-fb3f101b-20260903-000401-default-f01-p5-jcs321</x:v>
      </x:c>
      <x:c r="B176" s="34" t="str">
        <x:v>default</x:v>
      </x:c>
      <x:c r="C176" s="34" t="str">
        <x:v>jcs321</x:v>
      </x:c>
      <x:c r="D176" s="34" t="str">
        <x:v>jcs321</x:v>
      </x:c>
      <x:c r="E176" s="36" t="n">
        <x:v>1</x:v>
      </x:c>
      <x:c r="F176" s="36" t="n">
        <x:v>1</x:v>
      </x:c>
      <x:c r="G176" s="36" t="n">
        <x:v>5</x:v>
      </x:c>
      <x:c r="H176" s="36" t="n">
        <x:v>2</x:v>
      </x:c>
      <x:c r="I176" s="34" t="str">
        <x:v>deployedIdle</x:v>
      </x:c>
      <x:c r="J176" s="34" t="str">
        <x:v>deployed-idle</x:v>
      </x:c>
      <x:c r="K176" s="36" t="n">
        <x:v>0</x:v>
      </x:c>
      <x:c r="L176" s="34" t="str">
        <x:v>initial</x:v>
      </x:c>
      <x:c r="M176" s="34" t="str">
        <x:v>article1-unified-v4-2-fb3f101b-20260903-000401-default-f01-p5-jcs321-2-deployed-idle</x:v>
      </x:c>
      <x:c r="N176" s="38" t="n">
        <x:v>46267.947658136574</x:v>
      </x:c>
      <x:c r="O176" s="36" t="n">
        <x:v>0</x:v>
      </x:c>
      <x:c r="P176" s="43" t="n">
        <x:v>169630720</x:v>
      </x:c>
      <x:c r="Q176" s="43" t="n">
        <x:v>268435456</x:v>
      </x:c>
      <x:c r="R176" s="43" t="n">
        <x:v>461168640</x:v>
      </x:c>
      <x:c r="S176" s="36" t="n">
        <x:v>4</x:v>
      </x:c>
      <x:c r="T176" s="44" t="str">
        <x:v>0x00000000571177b8  0x0000000057003818  0x00007ab504012ad0    4434  21042176  21020080  org.apache.catalina.loader.ParallelWebappClassLoader | 0x00000000571177b8  0x0000000057003818  0x00007ab508118720    4444  21001216  20978120  org.apache.catalina.loader.ParallelWebappClassLoader | 0x00000000571177b8  0x0000000057003818  0x00007ab4f80fa210    4091  19458048  19433488  org.apache.catalina.loader.ParallelWebappClassLoader | 0x00000000571177b8  0x0000000057003818  0x00007ab5ac6170d0       0         0         0  org.apache.catalina.loader.ParallelWebappClassLoader</x:v>
      </x:c>
      <x:c r="U176" s="36" t="n">
        <x:v>29</x:v>
      </x:c>
      <x:c r="V176" s="36" t="n">
        <x:v>2</x:v>
      </x:c>
      <x:c r="W176" s="44" t="str">
        <x:v>jcs3-element-event-queue:JCS-ElementEventQueue-Thread-4#49 | jcs3-element-event-queue:JCS-ElementEventQueue-Thread-7#91</x:v>
      </x:c>
      <x:c r="X176" s="36"/>
      <x:c r="Y176" s="36"/>
      <x:c r="Z176" s="44"/>
      <x:c r="AA176" s="49"/>
      <x:c r="AB176" s="43"/>
      <x:c r="AC176" s="34"/>
      <x:c r="AD176" s="34"/>
      <x:c r="AE176" s="34"/>
      <x:c r="AF176" s="34"/>
      <x:c r="AG176" s="34"/>
      <x:c r="AH176" s="34"/>
      <x:c r="AI176" s="34"/>
    </x:row>
    <x:row r="177">
      <x:c r="A177" s="34" t="str">
        <x:v>article1-unified-v4-2-fb3f101b-20260903-000401-default-f01-p5-jcs321</x:v>
      </x:c>
      <x:c r="B177" s="34" t="str">
        <x:v>default</x:v>
      </x:c>
      <x:c r="C177" s="34" t="str">
        <x:v>jcs321</x:v>
      </x:c>
      <x:c r="D177" s="34" t="str">
        <x:v>jcs321</x:v>
      </x:c>
      <x:c r="E177" s="36" t="n">
        <x:v>1</x:v>
      </x:c>
      <x:c r="F177" s="36" t="n">
        <x:v>1</x:v>
      </x:c>
      <x:c r="G177" s="36" t="n">
        <x:v>5</x:v>
      </x:c>
      <x:c r="H177" s="36" t="n">
        <x:v>2</x:v>
      </x:c>
      <x:c r="I177" s="34" t="str">
        <x:v>loaded</x:v>
      </x:c>
      <x:c r="J177" s="34" t="str">
        <x:v>loaded</x:v>
      </x:c>
      <x:c r="K177" s="36" t="n">
        <x:v>0</x:v>
      </x:c>
      <x:c r="L177" s="34" t="str">
        <x:v>initial</x:v>
      </x:c>
      <x:c r="M177" s="34" t="str">
        <x:v>article1-unified-v4-2-fb3f101b-20260903-000401-default-f01-p5-jcs321-2-loaded</x:v>
      </x:c>
      <x:c r="N177" s="38" t="n">
        <x:v>46267.94780560185</x:v>
      </x:c>
      <x:c r="O177" s="36" t="n">
        <x:v>0</x:v>
      </x:c>
      <x:c r="P177" s="43" t="n">
        <x:v>132495360</x:v>
      </x:c>
      <x:c r="Q177" s="43" t="n">
        <x:v>268435456</x:v>
      </x:c>
      <x:c r="R177" s="43" t="n">
        <x:v>463415296</x:v>
      </x:c>
      <x:c r="S177" s="36" t="n">
        <x:v>4</x:v>
      </x:c>
      <x:c r="T177" s="44" t="str">
        <x:v>0x00000000571177b8  0x0000000057003818  0x00007ab4f80fa210    4416  21004288  20984504  org.apache.catalina.loader.ParallelWebappClassLoader | 0x00000000571177b8  0x0000000057003818  0x00007ab504012ad0    4434  21042176  21020080  org.apache.catalina.loader.ParallelWebappClassLoader | 0x00000000571177b8  0x0000000057003818  0x00007ab508118720    4444  21001216  20978120  org.apache.catalina.loader.ParallelWebappClassLoader | 0x00000000571177b8  0x0000000057003818  0x00007ab5ac6170d0       0         0         0  org.apache.catalina.loader.ParallelWebappClassLoader</x:v>
      </x:c>
      <x:c r="U177" s="36" t="n">
        <x:v>30</x:v>
      </x:c>
      <x:c r="V177" s="36" t="n">
        <x:v>3</x:v>
      </x:c>
      <x:c r="W177" s="44" t="str">
        <x:v>jcs3-element-event-queue:JCS-ElementEventQueue-Thread-4#49 | jcs3-element-event-queue:JCS-ElementEventQueue-Thread-7#91 | jcs3-element-event-queue:JCS-ElementEventQueue-Thread-10#133</x:v>
      </x:c>
      <x:c r="X177" s="36"/>
      <x:c r="Y177" s="36"/>
      <x:c r="Z177" s="44"/>
      <x:c r="AA177" s="49"/>
      <x:c r="AB177" s="43"/>
      <x:c r="AC177" s="34"/>
      <x:c r="AD177" s="34"/>
      <x:c r="AE177" s="34"/>
      <x:c r="AF177" s="34"/>
      <x:c r="AG177" s="34"/>
      <x:c r="AH177" s="34"/>
      <x:c r="AI177" s="34"/>
    </x:row>
    <x:row r="178">
      <x:c r="A178" s="34" t="str">
        <x:v>article1-unified-v4-2-fb3f101b-20260903-000401-default-f01-p5-jcs321</x:v>
      </x:c>
      <x:c r="B178" s="34" t="str">
        <x:v>default</x:v>
      </x:c>
      <x:c r="C178" s="34" t="str">
        <x:v>jcs321</x:v>
      </x:c>
      <x:c r="D178" s="34" t="str">
        <x:v>jcs321</x:v>
      </x:c>
      <x:c r="E178" s="36" t="n">
        <x:v>1</x:v>
      </x:c>
      <x:c r="F178" s="36" t="n">
        <x:v>1</x:v>
      </x:c>
      <x:c r="G178" s="36" t="n">
        <x:v>5</x:v>
      </x:c>
      <x:c r="H178" s="36" t="n">
        <x:v>2</x:v>
      </x:c>
      <x:c r="I178" s="34" t="str">
        <x:v>afterUndeployEarly</x:v>
      </x:c>
      <x:c r="J178" s="34" t="str">
        <x:v>after-undeploy-early</x:v>
      </x:c>
      <x:c r="K178" s="36" t="n">
        <x:v>1</x:v>
      </x:c>
      <x:c r="L178" s="34" t="str">
        <x:v>early</x:v>
      </x:c>
      <x:c r="M178" s="34" t="str">
        <x:v>article1-unified-v4-2-fb3f101b-20260903-000401-default-f01-p5-jcs321-2-after-undeploy-early-2s</x:v>
      </x:c>
      <x:c r="N178" s="38" t="n">
        <x:v>46267.94788972222</x:v>
      </x:c>
      <x:c r="O178" s="36"/>
      <x:c r="P178" s="43"/>
      <x:c r="Q178" s="43"/>
      <x:c r="R178" s="43"/>
      <x:c r="S178" s="36"/>
      <x:c r="T178" s="44"/>
      <x:c r="U178" s="36" t="n">
        <x:v>30</x:v>
      </x:c>
      <x:c r="V178" s="36" t="n">
        <x:v>3</x:v>
      </x:c>
      <x:c r="W178" s="44" t="str">
        <x:v>jcs3-element-event-queue:JCS-ElementEventQueue-Thread-4#49 | jcs3-element-event-queue:JCS-ElementEventQueue-Thread-7#91 | jcs3-element-event-queue:JCS-ElementEventQueue-Thread-10#133</x:v>
      </x:c>
      <x:c r="X178" s="36"/>
      <x:c r="Y178" s="36"/>
      <x:c r="Z178" s="44"/>
      <x:c r="AA178" s="49"/>
      <x:c r="AB178" s="43" t="n">
        <x:v>17</x:v>
      </x:c>
      <x:c r="AC178" s="34"/>
      <x:c r="AD178" s="34"/>
      <x:c r="AE178" s="34" t="str">
        <x:v>article1-unified-v4-2-fb3f101b-20260903-000401-default-f01-p5-jcs321-2-after-undeploy-early-2s-thread-dump.txt</x:v>
      </x:c>
      <x:c r="AF178" s="34" t="str">
        <x:v>article1-unified-v4-2-fb3f101b-20260903-000401-default-f01-p5-jcs321-2-after-undeploy-early-tomcat-log.txt</x:v>
      </x:c>
      <x:c r="AG178" s="34"/>
      <x:c r="AH178" s="34"/>
      <x:c r="AI178" s="34"/>
    </x:row>
    <x:row r="179">
      <x:c r="A179" s="34" t="str">
        <x:v>article1-unified-v4-2-fb3f101b-20260903-000401-default-f01-p5-jcs321</x:v>
      </x:c>
      <x:c r="B179" s="34" t="str">
        <x:v>default</x:v>
      </x:c>
      <x:c r="C179" s="34" t="str">
        <x:v>jcs321</x:v>
      </x:c>
      <x:c r="D179" s="34" t="str">
        <x:v>jcs321</x:v>
      </x:c>
      <x:c r="E179" s="36" t="n">
        <x:v>1</x:v>
      </x:c>
      <x:c r="F179" s="36" t="n">
        <x:v>1</x:v>
      </x:c>
      <x:c r="G179" s="36" t="n">
        <x:v>5</x:v>
      </x:c>
      <x:c r="H179" s="36" t="n">
        <x:v>2</x:v>
      </x:c>
      <x:c r="I179" s="34" t="str">
        <x:v>afterUndeploy</x:v>
      </x:c>
      <x:c r="J179" s="34" t="str">
        <x:v>after-undeploy-final</x:v>
      </x:c>
      <x:c r="K179" s="36" t="n">
        <x:v>1</x:v>
      </x:c>
      <x:c r="L179" s="34" t="str">
        <x:v>final</x:v>
      </x:c>
      <x:c r="M179" s="34" t="str">
        <x:v>article1-unified-v4-2-fb3f101b-20260903-000401-default-f01-p5-jcs321-2-after-undeploy-final-10s</x:v>
      </x:c>
      <x:c r="N179" s="38" t="n">
        <x:v>46267.94804505787</x:v>
      </x:c>
      <x:c r="O179" s="36" t="n">
        <x:v>2</x:v>
      </x:c>
      <x:c r="P179" s="43" t="n">
        <x:v>24047616</x:v>
      </x:c>
      <x:c r="Q179" s="43" t="n">
        <x:v>268435456</x:v>
      </x:c>
      <x:c r="R179" s="43" t="n">
        <x:v>463137792</x:v>
      </x:c>
      <x:c r="S179" s="36" t="n">
        <x:v>4</x:v>
      </x:c>
      <x:c r="T179" s="44" t="str">
        <x:v>0x00000000571177b8  0x0000000057003818  0x00007ab508118720    4444  21001216  20978120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79" s="36" t="n">
        <x:v>30</x:v>
      </x:c>
      <x:c r="V179" s="36" t="n">
        <x:v>3</x:v>
      </x:c>
      <x:c r="W179" s="44" t="str">
        <x:v>jcs3-element-event-queue:JCS-ElementEventQueue-Thread-4#49 | jcs3-element-event-queue:JCS-ElementEventQueue-Thread-7#91 | jcs3-element-event-queue:JCS-ElementEventQueue-Thread-10#133</x:v>
      </x:c>
      <x:c r="X179" s="36" t="n">
        <x:v>3</x:v>
      </x:c>
      <x:c r="Y179" s="36" t="n">
        <x:v>3</x:v>
      </x:c>
      <x:c r="Z179" s="44" t="str">
        <x:v>/jcs321</x:v>
      </x:c>
      <x:c r="AA179" s="45" t="b">
        <x:v>1</x:v>
      </x:c>
      <x:c r="AB179" s="43"/>
      <x:c r="AC179" s="34" t="str">
        <x:v>article1-unified-v4-2-fb3f101b-20260903-000401-default-f01-p5-jcs321-2-after-undeploy-final-10s-heap-info.txt</x:v>
      </x:c>
      <x:c r="AD179" s="34" t="str">
        <x:v>article1-unified-v4-2-fb3f101b-20260903-000401-default-f01-p5-jcs321-2-after-undeploy-final-10s-classloader-stats.txt</x:v>
      </x:c>
      <x:c r="AE179" s="34" t="str">
        <x:v>article1-unified-v4-2-fb3f101b-20260903-000401-default-f01-p5-jcs321-2-after-undeploy-final-10s-thread-dump.txt</x:v>
      </x:c>
      <x:c r="AF179" s="34"/>
      <x:c r="AG179" s="34" t="str">
        <x:v>article1-unified-v4-2-fb3f101b-20260903-000401-default-f01-p5-jcs321-2-after-undeploy-final-10s-native-memory.txt</x:v>
      </x:c>
      <x:c r="AH179" s="34" t="str">
        <x:v>article1-unified-v4-2-fb3f101b-20260903-000401-default-f01-p5-jcs321-2-after-undeploy-final-10s-class-histogram.txt</x:v>
      </x:c>
      <x:c r="AI179" s="34" t="str">
        <x:v>article1-unified-v4-2-fb3f101b-20260903-000401-default-f01-p5-jcs321-2-after-undeploy-tomcat-findleaks.txt</x:v>
      </x:c>
    </x:row>
    <x:row r="180">
      <x:c r="A180" s="34" t="str">
        <x:v>article1-unified-v4-2-fb3f101b-20260903-000401-default-f01-p5-jcs321</x:v>
      </x:c>
      <x:c r="B180" s="34" t="str">
        <x:v>default</x:v>
      </x:c>
      <x:c r="C180" s="34" t="str">
        <x:v>jcs321</x:v>
      </x:c>
      <x:c r="D180" s="34" t="str">
        <x:v>jcs321</x:v>
      </x:c>
      <x:c r="E180" s="36" t="n">
        <x:v>1</x:v>
      </x:c>
      <x:c r="F180" s="36" t="n">
        <x:v>1</x:v>
      </x:c>
      <x:c r="G180" s="36" t="n">
        <x:v>5</x:v>
      </x:c>
      <x:c r="H180" s="36" t="n">
        <x:v>2</x:v>
      </x:c>
      <x:c r="I180" s="34" t="str">
        <x:v>redeployedLoaded</x:v>
      </x:c>
      <x:c r="J180" s="34" t="str">
        <x:v>redeployed-loaded</x:v>
      </x:c>
      <x:c r="K180" s="36" t="n">
        <x:v>0</x:v>
      </x:c>
      <x:c r="L180" s="34" t="str">
        <x:v>redeploy</x:v>
      </x:c>
      <x:c r="M180" s="34" t="str">
        <x:v>article1-unified-v4-2-fb3f101b-20260903-000401-default-f01-p5-jcs321-2-redeployed-loaded</x:v>
      </x:c>
      <x:c r="N180" s="38" t="n">
        <x:v>46267.94830186343</x:v>
      </x:c>
      <x:c r="O180" s="36" t="n">
        <x:v>0</x:v>
      </x:c>
      <x:c r="P180" s="43" t="n">
        <x:v>131359744</x:v>
      </x:c>
      <x:c r="Q180" s="43" t="n">
        <x:v>268435456</x:v>
      </x:c>
      <x:c r="R180" s="43" t="n">
        <x:v>492103680</x:v>
      </x:c>
      <x:c r="S180" s="36" t="n">
        <x:v>5</x:v>
      </x:c>
      <x:c r="T180" s="44" t="str">
        <x:v>0x00000000571177b8  0x0000000057003818  0x00007ab5181a3cc0    4413  20994048  20971704  org.apache.catalina.loader.ParallelWebappClassLoader | 0x00000000571177b8  0x0000000057003818  0x00007ab508118720    4444  21001216  20978120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80" s="36" t="n">
        <x:v>31</x:v>
      </x:c>
      <x:c r="V180" s="36" t="n">
        <x:v>4</x:v>
      </x:c>
      <x:c r="W180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80" s="36"/>
      <x:c r="Y180" s="36"/>
      <x:c r="Z180" s="44"/>
      <x:c r="AA180" s="49"/>
      <x:c r="AB180" s="43"/>
      <x:c r="AC180" s="34"/>
      <x:c r="AD180" s="34"/>
      <x:c r="AE180" s="34"/>
      <x:c r="AF180" s="34"/>
      <x:c r="AG180" s="34"/>
      <x:c r="AH180" s="34"/>
      <x:c r="AI180" s="34"/>
    </x:row>
    <x:row r="181">
      <x:c r="A181" s="34" t="str">
        <x:v>article1-unified-v4-2-fb3f101b-20260903-000401-default-f01-p5-jcs321</x:v>
      </x:c>
      <x:c r="B181" s="34" t="str">
        <x:v>default</x:v>
      </x:c>
      <x:c r="C181" s="34" t="str">
        <x:v>jcs321</x:v>
      </x:c>
      <x:c r="D181" s="34" t="str">
        <x:v>jcs321</x:v>
      </x:c>
      <x:c r="E181" s="36" t="n">
        <x:v>1</x:v>
      </x:c>
      <x:c r="F181" s="36" t="n">
        <x:v>1</x:v>
      </x:c>
      <x:c r="G181" s="36" t="n">
        <x:v>5</x:v>
      </x:c>
      <x:c r="H181" s="36" t="n">
        <x:v>2</x:v>
      </x:c>
      <x:c r="I181" s="34" t="str">
        <x:v>afterFinalUndeployEarly</x:v>
      </x:c>
      <x:c r="J181" s="34" t="str">
        <x:v>after-final-undeploy-early</x:v>
      </x:c>
      <x:c r="K181" s="36" t="n">
        <x:v>2</x:v>
      </x:c>
      <x:c r="L181" s="34" t="str">
        <x:v>early</x:v>
      </x:c>
      <x:c r="M181" s="34" t="str">
        <x:v>article1-unified-v4-2-fb3f101b-20260903-000401-default-f01-p5-jcs321-2-after-final-undeploy-early-2s</x:v>
      </x:c>
      <x:c r="N181" s="38" t="n">
        <x:v>46267.948386585645</x:v>
      </x:c>
      <x:c r="O181" s="36"/>
      <x:c r="P181" s="43"/>
      <x:c r="Q181" s="43"/>
      <x:c r="R181" s="43"/>
      <x:c r="S181" s="36"/>
      <x:c r="T181" s="44"/>
      <x:c r="U181" s="36" t="n">
        <x:v>31</x:v>
      </x:c>
      <x:c r="V181" s="36" t="n">
        <x:v>4</x:v>
      </x:c>
      <x:c r="W181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81" s="36"/>
      <x:c r="Y181" s="36"/>
      <x:c r="Z181" s="44"/>
      <x:c r="AA181" s="49"/>
      <x:c r="AB181" s="43" t="n">
        <x:v>17</x:v>
      </x:c>
      <x:c r="AC181" s="34"/>
      <x:c r="AD181" s="34"/>
      <x:c r="AE181" s="34" t="str">
        <x:v>article1-unified-v4-2-fb3f101b-20260903-000401-default-f01-p5-jcs321-2-after-final-undeploy-early-2s-thread-dump.txt</x:v>
      </x:c>
      <x:c r="AF181" s="34" t="str">
        <x:v>article1-unified-v4-2-fb3f101b-20260903-000401-default-f01-p5-jcs321-2-after-final-undeploy-early-tomcat-log.txt</x:v>
      </x:c>
      <x:c r="AG181" s="34"/>
      <x:c r="AH181" s="34"/>
      <x:c r="AI181" s="34"/>
    </x:row>
    <x:row r="182">
      <x:c r="A182" s="34" t="str">
        <x:v>article1-unified-v4-2-fb3f101b-20260903-000401-default-f01-p5-jcs321</x:v>
      </x:c>
      <x:c r="B182" s="34" t="str">
        <x:v>default</x:v>
      </x:c>
      <x:c r="C182" s="34" t="str">
        <x:v>jcs321</x:v>
      </x:c>
      <x:c r="D182" s="34" t="str">
        <x:v>jcs321</x:v>
      </x:c>
      <x:c r="E182" s="36" t="n">
        <x:v>1</x:v>
      </x:c>
      <x:c r="F182" s="36" t="n">
        <x:v>1</x:v>
      </x:c>
      <x:c r="G182" s="36" t="n">
        <x:v>5</x:v>
      </x:c>
      <x:c r="H182" s="36" t="n">
        <x:v>2</x:v>
      </x:c>
      <x:c r="I182" s="34" t="str">
        <x:v>afterFinalUndeploy</x:v>
      </x:c>
      <x:c r="J182" s="34" t="str">
        <x:v>after-final-undeploy-final</x:v>
      </x:c>
      <x:c r="K182" s="36" t="n">
        <x:v>2</x:v>
      </x:c>
      <x:c r="L182" s="34" t="str">
        <x:v>final</x:v>
      </x:c>
      <x:c r="M182" s="34" t="str">
        <x:v>article1-unified-v4-2-fb3f101b-20260903-000401-default-f01-p5-jcs321-2-after-final-undeploy-final-10s</x:v>
      </x:c>
      <x:c r="N182" s="38" t="n">
        <x:v>46267.94854356482</x:v>
      </x:c>
      <x:c r="O182" s="36" t="n">
        <x:v>2</x:v>
      </x:c>
      <x:c r="P182" s="43" t="n">
        <x:v>28234752</x:v>
      </x:c>
      <x:c r="Q182" s="43" t="n">
        <x:v>268435456</x:v>
      </x:c>
      <x:c r="R182" s="43" t="n">
        <x:v>490133504</x:v>
      </x:c>
      <x:c r="S182" s="36" t="n">
        <x:v>5</x:v>
      </x:c>
      <x:c r="T182" s="44" t="str">
        <x:v>0x00000000571177b8  0x0000000057003818  0x00007ab508118720    4444  21001216  20978120  org.apache.catalina.loader.ParallelWebappClassLoader | 0x00000000571177b8  0x0000000057003818  0x00007ab5181a3cc0    4427  21026816  21006616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82" s="36" t="n">
        <x:v>31</x:v>
      </x:c>
      <x:c r="V182" s="36" t="n">
        <x:v>4</x:v>
      </x:c>
      <x:c r="W182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82" s="36" t="n">
        <x:v>4</x:v>
      </x:c>
      <x:c r="Y182" s="36" t="n">
        <x:v>4</x:v>
      </x:c>
      <x:c r="Z182" s="44" t="str">
        <x:v>/jcs321</x:v>
      </x:c>
      <x:c r="AA182" s="45" t="b">
        <x:v>1</x:v>
      </x:c>
      <x:c r="AB182" s="43"/>
      <x:c r="AC182" s="34" t="str">
        <x:v>article1-unified-v4-2-fb3f101b-20260903-000401-default-f01-p5-jcs321-2-after-final-undeploy-final-10s-heap-info.txt</x:v>
      </x:c>
      <x:c r="AD182" s="34" t="str">
        <x:v>article1-unified-v4-2-fb3f101b-20260903-000401-default-f01-p5-jcs321-2-after-final-undeploy-final-10s-classloader-stats.txt</x:v>
      </x:c>
      <x:c r="AE182" s="34" t="str">
        <x:v>article1-unified-v4-2-fb3f101b-20260903-000401-default-f01-p5-jcs321-2-after-final-undeploy-final-10s-thread-dump.txt</x:v>
      </x:c>
      <x:c r="AF182" s="34"/>
      <x:c r="AG182" s="34" t="str">
        <x:v>article1-unified-v4-2-fb3f101b-20260903-000401-default-f01-p5-jcs321-2-after-final-undeploy-final-10s-native-memory.txt</x:v>
      </x:c>
      <x:c r="AH182" s="34" t="str">
        <x:v>article1-unified-v4-2-fb3f101b-20260903-000401-default-f01-p5-jcs321-2-after-final-undeploy-final-10s-class-histogram.txt</x:v>
      </x:c>
      <x:c r="AI182" s="34" t="str">
        <x:v>article1-unified-v4-2-fb3f101b-20260903-000401-default-f01-p5-jcs321-2-after-final-undeploy-tomcat-findleaks.txt</x:v>
      </x:c>
    </x:row>
    <x:row r="183">
      <x:c r="A183" s="34" t="str">
        <x:v>article1-unified-v4-2-fb3f101b-20260903-000401-default-f01-p5-jcs321</x:v>
      </x:c>
      <x:c r="B183" s="34" t="str">
        <x:v>default</x:v>
      </x:c>
      <x:c r="C183" s="34" t="str">
        <x:v>jcs321</x:v>
      </x:c>
      <x:c r="D183" s="34" t="str">
        <x:v>jcs321</x:v>
      </x:c>
      <x:c r="E183" s="36" t="n">
        <x:v>1</x:v>
      </x:c>
      <x:c r="F183" s="36" t="n">
        <x:v>1</x:v>
      </x:c>
      <x:c r="G183" s="36" t="n">
        <x:v>5</x:v>
      </x:c>
      <x:c r="H183" s="36" t="n">
        <x:v>3</x:v>
      </x:c>
      <x:c r="I183" s="34" t="str">
        <x:v>baseline</x:v>
      </x:c>
      <x:c r="J183" s="34" t="str">
        <x:v>cycle-baseline</x:v>
      </x:c>
      <x:c r="K183" s="36" t="n">
        <x:v>0</x:v>
      </x:c>
      <x:c r="L183" s="34" t="str">
        <x:v>baseline</x:v>
      </x:c>
      <x:c r="M183" s="34" t="str">
        <x:v>article1-unified-v4-2-fb3f101b-20260903-000401-default-f01-p5-jcs321-3-baseline</x:v>
      </x:c>
      <x:c r="N183" s="38" t="n">
        <x:v>46267.948587314815</x:v>
      </x:c>
      <x:c r="O183" s="36" t="n">
        <x:v>0</x:v>
      </x:c>
      <x:c r="P183" s="43" t="n">
        <x:v>28239872</x:v>
      </x:c>
      <x:c r="Q183" s="43" t="n">
        <x:v>268435456</x:v>
      </x:c>
      <x:c r="R183" s="43" t="n">
        <x:v>489329664</x:v>
      </x:c>
      <x:c r="S183" s="36" t="n">
        <x:v>5</x:v>
      </x:c>
      <x:c r="T183" s="44" t="str">
        <x:v>0x00000000571177b8  0x0000000057003818  0x00007ab508118720    4444  21001216  20978120  org.apache.catalina.loader.ParallelWebappClassLoader | 0x00000000571177b8  0x0000000057003818  0x00007ab5181a3cc0    4427  21026816  21006616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83" s="36" t="n">
        <x:v>31</x:v>
      </x:c>
      <x:c r="V183" s="36" t="n">
        <x:v>4</x:v>
      </x:c>
      <x:c r="W183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83" s="36"/>
      <x:c r="Y183" s="36"/>
      <x:c r="Z183" s="44"/>
      <x:c r="AA183" s="49"/>
      <x:c r="AB183" s="43"/>
      <x:c r="AC183" s="34" t="str">
        <x:v>article1-unified-v4-2-fb3f101b-20260903-000401-default-f01-p5-jcs321-3-baseline-heap-info.txt</x:v>
      </x:c>
      <x:c r="AD183" s="34" t="str">
        <x:v>article1-unified-v4-2-fb3f101b-20260903-000401-default-f01-p5-jcs321-3-baseline-classloader-stats.txt</x:v>
      </x:c>
      <x:c r="AE183" s="34" t="str">
        <x:v>article1-unified-v4-2-fb3f101b-20260903-000401-default-f01-p5-jcs321-3-baseline-thread-dump.txt</x:v>
      </x:c>
      <x:c r="AF183" s="34"/>
      <x:c r="AG183" s="34" t="str">
        <x:v>article1-unified-v4-2-fb3f101b-20260903-000401-default-f01-p5-jcs321-3-baseline-native-memory.txt</x:v>
      </x:c>
      <x:c r="AH183" s="34"/>
      <x:c r="AI183" s="34"/>
    </x:row>
    <x:row r="184">
      <x:c r="A184" s="34" t="str">
        <x:v>article1-unified-v4-2-fb3f101b-20260903-000401-default-f01-p5-jcs321</x:v>
      </x:c>
      <x:c r="B184" s="34" t="str">
        <x:v>default</x:v>
      </x:c>
      <x:c r="C184" s="34" t="str">
        <x:v>jcs321</x:v>
      </x:c>
      <x:c r="D184" s="34" t="str">
        <x:v>jcs321</x:v>
      </x:c>
      <x:c r="E184" s="36" t="n">
        <x:v>1</x:v>
      </x:c>
      <x:c r="F184" s="36" t="n">
        <x:v>1</x:v>
      </x:c>
      <x:c r="G184" s="36" t="n">
        <x:v>5</x:v>
      </x:c>
      <x:c r="H184" s="36" t="n">
        <x:v>3</x:v>
      </x:c>
      <x:c r="I184" s="34" t="str">
        <x:v>deployedIdle</x:v>
      </x:c>
      <x:c r="J184" s="34" t="str">
        <x:v>deployed-idle</x:v>
      </x:c>
      <x:c r="K184" s="36" t="n">
        <x:v>0</x:v>
      </x:c>
      <x:c r="L184" s="34" t="str">
        <x:v>initial</x:v>
      </x:c>
      <x:c r="M184" s="34" t="str">
        <x:v>article1-unified-v4-2-fb3f101b-20260903-000401-default-f01-p5-jcs321-3-deployed-idle</x:v>
      </x:c>
      <x:c r="N184" s="38" t="n">
        <x:v>46267.94869125</x:v>
      </x:c>
      <x:c r="O184" s="36" t="n">
        <x:v>0</x:v>
      </x:c>
      <x:c r="P184" s="43" t="n">
        <x:v>180710400</x:v>
      </x:c>
      <x:c r="Q184" s="43" t="n">
        <x:v>268435456</x:v>
      </x:c>
      <x:c r="R184" s="43" t="n">
        <x:v>531305472</x:v>
      </x:c>
      <x:c r="S184" s="36" t="n">
        <x:v>6</x:v>
      </x:c>
      <x:c r="T184" s="44" t="str">
        <x:v>0x00000000571177b8  0x0000000057003818  0x00007ab51c002e90    4091  19445760  19429480  org.apache.catalina.loader.ParallelWebappClassLoader | 0x00000000571177b8  0x0000000057003818  0x00007ab508118720    4444  21001216  20978120  org.apache.catalina.loader.ParallelWebappClassLoader | 0x00000000571177b8  0x0000000057003818  0x00007ab5181a3cc0    4427  21026816  21006616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84" s="36" t="n">
        <x:v>31</x:v>
      </x:c>
      <x:c r="V184" s="36" t="n">
        <x:v>4</x:v>
      </x:c>
      <x:c r="W184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84" s="36"/>
      <x:c r="Y184" s="36"/>
      <x:c r="Z184" s="44"/>
      <x:c r="AA184" s="49"/>
      <x:c r="AB184" s="43"/>
      <x:c r="AC184" s="34"/>
      <x:c r="AD184" s="34"/>
      <x:c r="AE184" s="34"/>
      <x:c r="AF184" s="34"/>
      <x:c r="AG184" s="34"/>
      <x:c r="AH184" s="34"/>
      <x:c r="AI184" s="34"/>
    </x:row>
    <x:row r="185">
      <x:c r="A185" s="34" t="str">
        <x:v>article1-unified-v4-2-fb3f101b-20260903-000401-default-f01-p5-jcs321</x:v>
      </x:c>
      <x:c r="B185" s="34" t="str">
        <x:v>default</x:v>
      </x:c>
      <x:c r="C185" s="34" t="str">
        <x:v>jcs321</x:v>
      </x:c>
      <x:c r="D185" s="34" t="str">
        <x:v>jcs321</x:v>
      </x:c>
      <x:c r="E185" s="36" t="n">
        <x:v>1</x:v>
      </x:c>
      <x:c r="F185" s="36" t="n">
        <x:v>1</x:v>
      </x:c>
      <x:c r="G185" s="36" t="n">
        <x:v>5</x:v>
      </x:c>
      <x:c r="H185" s="36" t="n">
        <x:v>3</x:v>
      </x:c>
      <x:c r="I185" s="34" t="str">
        <x:v>loaded</x:v>
      </x:c>
      <x:c r="J185" s="34" t="str">
        <x:v>loaded</x:v>
      </x:c>
      <x:c r="K185" s="36" t="n">
        <x:v>0</x:v>
      </x:c>
      <x:c r="L185" s="34" t="str">
        <x:v>initial</x:v>
      </x:c>
      <x:c r="M185" s="34" t="str">
        <x:v>article1-unified-v4-2-fb3f101b-20260903-000401-default-f01-p5-jcs321-3-loaded</x:v>
      </x:c>
      <x:c r="N185" s="38" t="n">
        <x:v>46267.948837372685</x:v>
      </x:c>
      <x:c r="O185" s="36" t="n">
        <x:v>0</x:v>
      </x:c>
      <x:c r="P185" s="43" t="n">
        <x:v>136251392</x:v>
      </x:c>
      <x:c r="Q185" s="43" t="n">
        <x:v>268435456</x:v>
      </x:c>
      <x:c r="R185" s="43" t="n">
        <x:v>516475904</x:v>
      </x:c>
      <x:c r="S185" s="36" t="n">
        <x:v>6</x:v>
      </x:c>
      <x:c r="T185" s="44" t="str">
        <x:v>0x00000000571177b8  0x0000000057003818  0x00007ab508118720    4444  21001216  20978120  org.apache.catalina.loader.ParallelWebappClassLoader | 0x00000000571177b8  0x0000000057003818  0x00007ab51c002e90    4438  21035008  21010360  org.apache.catalina.loader.ParallelWebappClassLoader | 0x00000000571177b8  0x0000000057003818  0x00007ab5181a3cc0    4427  21026816  21006616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85" s="36" t="n">
        <x:v>32</x:v>
      </x:c>
      <x:c r="V185" s="36" t="n">
        <x:v>5</x:v>
      </x:c>
      <x:c r="W18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85" s="36"/>
      <x:c r="Y185" s="36"/>
      <x:c r="Z185" s="44"/>
      <x:c r="AA185" s="49"/>
      <x:c r="AB185" s="43"/>
      <x:c r="AC185" s="34"/>
      <x:c r="AD185" s="34"/>
      <x:c r="AE185" s="34"/>
      <x:c r="AF185" s="34"/>
      <x:c r="AG185" s="34"/>
      <x:c r="AH185" s="34"/>
      <x:c r="AI185" s="34"/>
    </x:row>
    <x:row r="186">
      <x:c r="A186" s="34" t="str">
        <x:v>article1-unified-v4-2-fb3f101b-20260903-000401-default-f01-p5-jcs321</x:v>
      </x:c>
      <x:c r="B186" s="34" t="str">
        <x:v>default</x:v>
      </x:c>
      <x:c r="C186" s="34" t="str">
        <x:v>jcs321</x:v>
      </x:c>
      <x:c r="D186" s="34" t="str">
        <x:v>jcs321</x:v>
      </x:c>
      <x:c r="E186" s="36" t="n">
        <x:v>1</x:v>
      </x:c>
      <x:c r="F186" s="36" t="n">
        <x:v>1</x:v>
      </x:c>
      <x:c r="G186" s="36" t="n">
        <x:v>5</x:v>
      </x:c>
      <x:c r="H186" s="36" t="n">
        <x:v>3</x:v>
      </x:c>
      <x:c r="I186" s="34" t="str">
        <x:v>afterUndeployEarly</x:v>
      </x:c>
      <x:c r="J186" s="34" t="str">
        <x:v>after-undeploy-early</x:v>
      </x:c>
      <x:c r="K186" s="36" t="n">
        <x:v>1</x:v>
      </x:c>
      <x:c r="L186" s="34" t="str">
        <x:v>early</x:v>
      </x:c>
      <x:c r="M186" s="34" t="str">
        <x:v>article1-unified-v4-2-fb3f101b-20260903-000401-default-f01-p5-jcs321-3-after-undeploy-early-2s</x:v>
      </x:c>
      <x:c r="N186" s="38" t="n">
        <x:v>46267.94892059028</x:v>
      </x:c>
      <x:c r="O186" s="36"/>
      <x:c r="P186" s="43"/>
      <x:c r="Q186" s="43"/>
      <x:c r="R186" s="43"/>
      <x:c r="S186" s="36"/>
      <x:c r="T186" s="44"/>
      <x:c r="U186" s="36" t="n">
        <x:v>32</x:v>
      </x:c>
      <x:c r="V186" s="36" t="n">
        <x:v>5</x:v>
      </x:c>
      <x:c r="W18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86" s="36"/>
      <x:c r="Y186" s="36"/>
      <x:c r="Z186" s="44"/>
      <x:c r="AA186" s="49"/>
      <x:c r="AB186" s="43" t="n">
        <x:v>17</x:v>
      </x:c>
      <x:c r="AC186" s="34"/>
      <x:c r="AD186" s="34"/>
      <x:c r="AE186" s="34" t="str">
        <x:v>article1-unified-v4-2-fb3f101b-20260903-000401-default-f01-p5-jcs321-3-after-undeploy-early-2s-thread-dump.txt</x:v>
      </x:c>
      <x:c r="AF186" s="34" t="str">
        <x:v>article1-unified-v4-2-fb3f101b-20260903-000401-default-f01-p5-jcs321-3-after-undeploy-early-tomcat-log.txt</x:v>
      </x:c>
      <x:c r="AG186" s="34"/>
      <x:c r="AH186" s="34"/>
      <x:c r="AI186" s="34"/>
    </x:row>
    <x:row r="187">
      <x:c r="A187" s="34" t="str">
        <x:v>article1-unified-v4-2-fb3f101b-20260903-000401-default-f01-p5-jcs321</x:v>
      </x:c>
      <x:c r="B187" s="34" t="str">
        <x:v>default</x:v>
      </x:c>
      <x:c r="C187" s="34" t="str">
        <x:v>jcs321</x:v>
      </x:c>
      <x:c r="D187" s="34" t="str">
        <x:v>jcs321</x:v>
      </x:c>
      <x:c r="E187" s="36" t="n">
        <x:v>1</x:v>
      </x:c>
      <x:c r="F187" s="36" t="n">
        <x:v>1</x:v>
      </x:c>
      <x:c r="G187" s="36" t="n">
        <x:v>5</x:v>
      </x:c>
      <x:c r="H187" s="36" t="n">
        <x:v>3</x:v>
      </x:c>
      <x:c r="I187" s="34" t="str">
        <x:v>afterUndeploy</x:v>
      </x:c>
      <x:c r="J187" s="34" t="str">
        <x:v>after-undeploy-final</x:v>
      </x:c>
      <x:c r="K187" s="36" t="n">
        <x:v>1</x:v>
      </x:c>
      <x:c r="L187" s="34" t="str">
        <x:v>final</x:v>
      </x:c>
      <x:c r="M187" s="34" t="str">
        <x:v>article1-unified-v4-2-fb3f101b-20260903-000401-default-f01-p5-jcs321-3-after-undeploy-final-10s</x:v>
      </x:c>
      <x:c r="N187" s="38" t="n">
        <x:v>46267.94907439815</x:v>
      </x:c>
      <x:c r="O187" s="36" t="n">
        <x:v>2</x:v>
      </x:c>
      <x:c r="P187" s="43" t="n">
        <x:v>32480256</x:v>
      </x:c>
      <x:c r="Q187" s="43" t="n">
        <x:v>268435456</x:v>
      </x:c>
      <x:c r="R187" s="43" t="n">
        <x:v>516207616</x:v>
      </x:c>
      <x:c r="S187" s="36" t="n">
        <x:v>6</x:v>
      </x:c>
      <x:c r="T187" s="44" t="str">
        <x:v>0x00000000571177b8  0x0000000057003818  0x00007ab508118720    4444  21001216  20978120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87" s="36" t="n">
        <x:v>32</x:v>
      </x:c>
      <x:c r="V187" s="36" t="n">
        <x:v>5</x:v>
      </x:c>
      <x:c r="W18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87" s="36" t="n">
        <x:v>5</x:v>
      </x:c>
      <x:c r="Y187" s="36" t="n">
        <x:v>5</x:v>
      </x:c>
      <x:c r="Z187" s="44" t="str">
        <x:v>/jcs321</x:v>
      </x:c>
      <x:c r="AA187" s="45" t="b">
        <x:v>1</x:v>
      </x:c>
      <x:c r="AB187" s="43"/>
      <x:c r="AC187" s="34" t="str">
        <x:v>article1-unified-v4-2-fb3f101b-20260903-000401-default-f01-p5-jcs321-3-after-undeploy-final-10s-heap-info.txt</x:v>
      </x:c>
      <x:c r="AD187" s="34" t="str">
        <x:v>article1-unified-v4-2-fb3f101b-20260903-000401-default-f01-p5-jcs321-3-after-undeploy-final-10s-classloader-stats.txt</x:v>
      </x:c>
      <x:c r="AE187" s="34" t="str">
        <x:v>article1-unified-v4-2-fb3f101b-20260903-000401-default-f01-p5-jcs321-3-after-undeploy-final-10s-thread-dump.txt</x:v>
      </x:c>
      <x:c r="AF187" s="34"/>
      <x:c r="AG187" s="34" t="str">
        <x:v>article1-unified-v4-2-fb3f101b-20260903-000401-default-f01-p5-jcs321-3-after-undeploy-final-10s-native-memory.txt</x:v>
      </x:c>
      <x:c r="AH187" s="34" t="str">
        <x:v>article1-unified-v4-2-fb3f101b-20260903-000401-default-f01-p5-jcs321-3-after-undeploy-final-10s-class-histogram.txt</x:v>
      </x:c>
      <x:c r="AI187" s="34" t="str">
        <x:v>article1-unified-v4-2-fb3f101b-20260903-000401-default-f01-p5-jcs321-3-after-undeploy-tomcat-findleaks.txt</x:v>
      </x:c>
    </x:row>
    <x:row r="188">
      <x:c r="A188" s="34" t="str">
        <x:v>article1-unified-v4-2-fb3f101b-20260903-000401-default-f01-p5-jcs321</x:v>
      </x:c>
      <x:c r="B188" s="34" t="str">
        <x:v>default</x:v>
      </x:c>
      <x:c r="C188" s="34" t="str">
        <x:v>jcs321</x:v>
      </x:c>
      <x:c r="D188" s="34" t="str">
        <x:v>jcs321</x:v>
      </x:c>
      <x:c r="E188" s="36" t="n">
        <x:v>1</x:v>
      </x:c>
      <x:c r="F188" s="36" t="n">
        <x:v>1</x:v>
      </x:c>
      <x:c r="G188" s="36" t="n">
        <x:v>5</x:v>
      </x:c>
      <x:c r="H188" s="36" t="n">
        <x:v>3</x:v>
      </x:c>
      <x:c r="I188" s="34" t="str">
        <x:v>redeployedLoaded</x:v>
      </x:c>
      <x:c r="J188" s="34" t="str">
        <x:v>redeployed-loaded</x:v>
      </x:c>
      <x:c r="K188" s="36" t="n">
        <x:v>0</x:v>
      </x:c>
      <x:c r="L188" s="34" t="str">
        <x:v>redeploy</x:v>
      </x:c>
      <x:c r="M188" s="34" t="str">
        <x:v>article1-unified-v4-2-fb3f101b-20260903-000401-default-f01-p5-jcs321-3-redeployed-loaded</x:v>
      </x:c>
      <x:c r="N188" s="38" t="n">
        <x:v>46267.949332662036</x:v>
      </x:c>
      <x:c r="O188" s="36" t="n">
        <x:v>0</x:v>
      </x:c>
      <x:c r="P188" s="43" t="n">
        <x:v>148820992</x:v>
      </x:c>
      <x:c r="Q188" s="43" t="n">
        <x:v>268435456</x:v>
      </x:c>
      <x:c r="R188" s="43" t="n">
        <x:v>564992000</x:v>
      </x:c>
      <x:c r="S188" s="36" t="n">
        <x:v>7</x:v>
      </x:c>
      <x:c r="T188" s="44" t="str">
        <x:v>0x00000000571177b8  0x0000000057003818  0x00007ab50845dcf0    4420  21003264  20989480  org.apache.catalina.loader.ParallelWebappClassLoader | 0x00000000571177b8  0x0000000057003818  0x00007ab508118720    4444  21001216  20978120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88" s="36" t="n">
        <x:v>33</x:v>
      </x:c>
      <x:c r="V188" s="36" t="n">
        <x:v>6</x:v>
      </x:c>
      <x:c r="W18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88" s="36"/>
      <x:c r="Y188" s="36"/>
      <x:c r="Z188" s="44"/>
      <x:c r="AA188" s="49"/>
      <x:c r="AB188" s="43"/>
      <x:c r="AC188" s="34"/>
      <x:c r="AD188" s="34"/>
      <x:c r="AE188" s="34"/>
      <x:c r="AF188" s="34"/>
      <x:c r="AG188" s="34"/>
      <x:c r="AH188" s="34"/>
      <x:c r="AI188" s="34"/>
    </x:row>
    <x:row r="189">
      <x:c r="A189" s="34" t="str">
        <x:v>article1-unified-v4-2-fb3f101b-20260903-000401-default-f01-p5-jcs321</x:v>
      </x:c>
      <x:c r="B189" s="34" t="str">
        <x:v>default</x:v>
      </x:c>
      <x:c r="C189" s="34" t="str">
        <x:v>jcs321</x:v>
      </x:c>
      <x:c r="D189" s="34" t="str">
        <x:v>jcs321</x:v>
      </x:c>
      <x:c r="E189" s="36" t="n">
        <x:v>1</x:v>
      </x:c>
      <x:c r="F189" s="36" t="n">
        <x:v>1</x:v>
      </x:c>
      <x:c r="G189" s="36" t="n">
        <x:v>5</x:v>
      </x:c>
      <x:c r="H189" s="36" t="n">
        <x:v>3</x:v>
      </x:c>
      <x:c r="I189" s="34" t="str">
        <x:v>afterFinalUndeployEarly</x:v>
      </x:c>
      <x:c r="J189" s="34" t="str">
        <x:v>after-final-undeploy-early</x:v>
      </x:c>
      <x:c r="K189" s="36" t="n">
        <x:v>2</x:v>
      </x:c>
      <x:c r="L189" s="34" t="str">
        <x:v>early</x:v>
      </x:c>
      <x:c r="M189" s="34" t="str">
        <x:v>article1-unified-v4-2-fb3f101b-20260903-000401-default-f01-p5-jcs321-3-after-final-undeploy-early-2s</x:v>
      </x:c>
      <x:c r="N189" s="38" t="n">
        <x:v>46267.949415069445</x:v>
      </x:c>
      <x:c r="O189" s="36"/>
      <x:c r="P189" s="43"/>
      <x:c r="Q189" s="43"/>
      <x:c r="R189" s="43"/>
      <x:c r="S189" s="36"/>
      <x:c r="T189" s="44"/>
      <x:c r="U189" s="36" t="n">
        <x:v>33</x:v>
      </x:c>
      <x:c r="V189" s="36" t="n">
        <x:v>6</x:v>
      </x:c>
      <x:c r="W18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89" s="36"/>
      <x:c r="Y189" s="36"/>
      <x:c r="Z189" s="44"/>
      <x:c r="AA189" s="49"/>
      <x:c r="AB189" s="43" t="n">
        <x:v>17</x:v>
      </x:c>
      <x:c r="AC189" s="34"/>
      <x:c r="AD189" s="34"/>
      <x:c r="AE189" s="34" t="str">
        <x:v>article1-unified-v4-2-fb3f101b-20260903-000401-default-f01-p5-jcs321-3-after-final-undeploy-early-2s-thread-dump.txt</x:v>
      </x:c>
      <x:c r="AF189" s="34" t="str">
        <x:v>article1-unified-v4-2-fb3f101b-20260903-000401-default-f01-p5-jcs321-3-after-final-undeploy-early-tomcat-log.txt</x:v>
      </x:c>
      <x:c r="AG189" s="34"/>
      <x:c r="AH189" s="34"/>
      <x:c r="AI189" s="34"/>
    </x:row>
    <x:row r="190">
      <x:c r="A190" s="34" t="str">
        <x:v>article1-unified-v4-2-fb3f101b-20260903-000401-default-f01-p5-jcs321</x:v>
      </x:c>
      <x:c r="B190" s="34" t="str">
        <x:v>default</x:v>
      </x:c>
      <x:c r="C190" s="34" t="str">
        <x:v>jcs321</x:v>
      </x:c>
      <x:c r="D190" s="34" t="str">
        <x:v>jcs321</x:v>
      </x:c>
      <x:c r="E190" s="36" t="n">
        <x:v>1</x:v>
      </x:c>
      <x:c r="F190" s="36" t="n">
        <x:v>1</x:v>
      </x:c>
      <x:c r="G190" s="36" t="n">
        <x:v>5</x:v>
      </x:c>
      <x:c r="H190" s="36" t="n">
        <x:v>3</x:v>
      </x:c>
      <x:c r="I190" s="34" t="str">
        <x:v>afterFinalUndeploy</x:v>
      </x:c>
      <x:c r="J190" s="34" t="str">
        <x:v>after-final-undeploy-final</x:v>
      </x:c>
      <x:c r="K190" s="36" t="n">
        <x:v>2</x:v>
      </x:c>
      <x:c r="L190" s="34" t="str">
        <x:v>final</x:v>
      </x:c>
      <x:c r="M190" s="34" t="str">
        <x:v>article1-unified-v4-2-fb3f101b-20260903-000401-default-f01-p5-jcs321-3-after-final-undeploy-final-10s</x:v>
      </x:c>
      <x:c r="N190" s="38" t="n">
        <x:v>46267.94957114584</x:v>
      </x:c>
      <x:c r="O190" s="36" t="n">
        <x:v>2</x:v>
      </x:c>
      <x:c r="P190" s="43" t="n">
        <x:v>36714496</x:v>
      </x:c>
      <x:c r="Q190" s="43" t="n">
        <x:v>268435456</x:v>
      </x:c>
      <x:c r="R190" s="43" t="n">
        <x:v>543111168</x:v>
      </x:c>
      <x:c r="S190" s="36" t="n">
        <x:v>7</x:v>
      </x:c>
      <x:c r="T190" s="44" t="str">
        <x:v>0x00000000571177b8  0x0000000057003818  0x00007ab508118720    4444  21001216  20978120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0" s="36" t="n">
        <x:v>33</x:v>
      </x:c>
      <x:c r="V190" s="36" t="n">
        <x:v>6</x:v>
      </x:c>
      <x:c r="W19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90" s="36" t="n">
        <x:v>6</x:v>
      </x:c>
      <x:c r="Y190" s="36" t="n">
        <x:v>6</x:v>
      </x:c>
      <x:c r="Z190" s="44" t="str">
        <x:v>/jcs321</x:v>
      </x:c>
      <x:c r="AA190" s="45" t="b">
        <x:v>1</x:v>
      </x:c>
      <x:c r="AB190" s="43"/>
      <x:c r="AC190" s="34" t="str">
        <x:v>article1-unified-v4-2-fb3f101b-20260903-000401-default-f01-p5-jcs321-3-after-final-undeploy-final-10s-heap-info.txt</x:v>
      </x:c>
      <x:c r="AD190" s="34" t="str">
        <x:v>article1-unified-v4-2-fb3f101b-20260903-000401-default-f01-p5-jcs321-3-after-final-undeploy-final-10s-classloader-stats.txt</x:v>
      </x:c>
      <x:c r="AE190" s="34" t="str">
        <x:v>article1-unified-v4-2-fb3f101b-20260903-000401-default-f01-p5-jcs321-3-after-final-undeploy-final-10s-thread-dump.txt</x:v>
      </x:c>
      <x:c r="AF190" s="34"/>
      <x:c r="AG190" s="34" t="str">
        <x:v>article1-unified-v4-2-fb3f101b-20260903-000401-default-f01-p5-jcs321-3-after-final-undeploy-final-10s-native-memory.txt</x:v>
      </x:c>
      <x:c r="AH190" s="34" t="str">
        <x:v>article1-unified-v4-2-fb3f101b-20260903-000401-default-f01-p5-jcs321-3-after-final-undeploy-final-10s-class-histogram.txt</x:v>
      </x:c>
      <x:c r="AI190" s="34" t="str">
        <x:v>article1-unified-v4-2-fb3f101b-20260903-000401-default-f01-p5-jcs321-3-after-final-undeploy-tomcat-findleaks.txt</x:v>
      </x:c>
    </x:row>
    <x:row r="191">
      <x:c r="A191" s="34" t="str">
        <x:v>article1-unified-v4-2-fb3f101b-20260903-000401-default-f01-p5-jcs321</x:v>
      </x:c>
      <x:c r="B191" s="34" t="str">
        <x:v>default</x:v>
      </x:c>
      <x:c r="C191" s="34" t="str">
        <x:v>jcs321</x:v>
      </x:c>
      <x:c r="D191" s="34" t="str">
        <x:v>jcs321</x:v>
      </x:c>
      <x:c r="E191" s="36" t="n">
        <x:v>1</x:v>
      </x:c>
      <x:c r="F191" s="36" t="n">
        <x:v>1</x:v>
      </x:c>
      <x:c r="G191" s="36" t="n">
        <x:v>5</x:v>
      </x:c>
      <x:c r="H191" s="36" t="n">
        <x:v>4</x:v>
      </x:c>
      <x:c r="I191" s="34" t="str">
        <x:v>baseline</x:v>
      </x:c>
      <x:c r="J191" s="34" t="str">
        <x:v>cycle-baseline</x:v>
      </x:c>
      <x:c r="K191" s="36" t="n">
        <x:v>0</x:v>
      </x:c>
      <x:c r="L191" s="34" t="str">
        <x:v>baseline</x:v>
      </x:c>
      <x:c r="M191" s="34" t="str">
        <x:v>article1-unified-v4-2-fb3f101b-20260903-000401-default-f01-p5-jcs321-4-baseline</x:v>
      </x:c>
      <x:c r="N191" s="38" t="n">
        <x:v>46267.94961773148</x:v>
      </x:c>
      <x:c r="O191" s="36" t="n">
        <x:v>0</x:v>
      </x:c>
      <x:c r="P191" s="43" t="n">
        <x:v>36720640</x:v>
      </x:c>
      <x:c r="Q191" s="43" t="n">
        <x:v>268435456</x:v>
      </x:c>
      <x:c r="R191" s="43" t="n">
        <x:v>544142336</x:v>
      </x:c>
      <x:c r="S191" s="36" t="n">
        <x:v>7</x:v>
      </x:c>
      <x:c r="T191" s="44" t="str">
        <x:v>0x00000000571177b8  0x0000000057003818  0x00007ab508118720    4444  21001216  20978120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1" s="36" t="n">
        <x:v>33</x:v>
      </x:c>
      <x:c r="V191" s="36" t="n">
        <x:v>6</x:v>
      </x:c>
      <x:c r="W19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91" s="36"/>
      <x:c r="Y191" s="36"/>
      <x:c r="Z191" s="44"/>
      <x:c r="AA191" s="49"/>
      <x:c r="AB191" s="43"/>
      <x:c r="AC191" s="34" t="str">
        <x:v>article1-unified-v4-2-fb3f101b-20260903-000401-default-f01-p5-jcs321-4-baseline-heap-info.txt</x:v>
      </x:c>
      <x:c r="AD191" s="34" t="str">
        <x:v>article1-unified-v4-2-fb3f101b-20260903-000401-default-f01-p5-jcs321-4-baseline-classloader-stats.txt</x:v>
      </x:c>
      <x:c r="AE191" s="34" t="str">
        <x:v>article1-unified-v4-2-fb3f101b-20260903-000401-default-f01-p5-jcs321-4-baseline-thread-dump.txt</x:v>
      </x:c>
      <x:c r="AF191" s="34"/>
      <x:c r="AG191" s="34" t="str">
        <x:v>article1-unified-v4-2-fb3f101b-20260903-000401-default-f01-p5-jcs321-4-baseline-native-memory.txt</x:v>
      </x:c>
      <x:c r="AH191" s="34"/>
      <x:c r="AI191" s="34"/>
    </x:row>
    <x:row r="192">
      <x:c r="A192" s="34" t="str">
        <x:v>article1-unified-v4-2-fb3f101b-20260903-000401-default-f01-p5-jcs321</x:v>
      </x:c>
      <x:c r="B192" s="34" t="str">
        <x:v>default</x:v>
      </x:c>
      <x:c r="C192" s="34" t="str">
        <x:v>jcs321</x:v>
      </x:c>
      <x:c r="D192" s="34" t="str">
        <x:v>jcs321</x:v>
      </x:c>
      <x:c r="E192" s="36" t="n">
        <x:v>1</x:v>
      </x:c>
      <x:c r="F192" s="36" t="n">
        <x:v>1</x:v>
      </x:c>
      <x:c r="G192" s="36" t="n">
        <x:v>5</x:v>
      </x:c>
      <x:c r="H192" s="36" t="n">
        <x:v>4</x:v>
      </x:c>
      <x:c r="I192" s="34" t="str">
        <x:v>deployedIdle</x:v>
      </x:c>
      <x:c r="J192" s="34" t="str">
        <x:v>deployed-idle</x:v>
      </x:c>
      <x:c r="K192" s="36" t="n">
        <x:v>0</x:v>
      </x:c>
      <x:c r="L192" s="34" t="str">
        <x:v>initial</x:v>
      </x:c>
      <x:c r="M192" s="34" t="str">
        <x:v>article1-unified-v4-2-fb3f101b-20260903-000401-default-f01-p5-jcs321-4-deployed-idle</x:v>
      </x:c>
      <x:c r="N192" s="38" t="n">
        <x:v>46267.94971765047</x:v>
      </x:c>
      <x:c r="O192" s="36" t="n">
        <x:v>0</x:v>
      </x:c>
      <x:c r="P192" s="43" t="n">
        <x:v>184561664</x:v>
      </x:c>
      <x:c r="Q192" s="43" t="n">
        <x:v>268435456</x:v>
      </x:c>
      <x:c r="R192" s="43" t="n">
        <x:v>567234560</x:v>
      </x:c>
      <x:c r="S192" s="36" t="n">
        <x:v>8</x:v>
      </x:c>
      <x:c r="T192" s="44" t="str">
        <x:v>0x00000000571177b8  0x0000000057003818  0x00007ab52811cae0    4091  19447808  19430960  org.apache.catalina.loader.ParallelWebappClassLoader | 0x00000000571177b8  0x0000000057003818  0x00007ab508118720    4444  21001216  20978120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2" s="36" t="n">
        <x:v>33</x:v>
      </x:c>
      <x:c r="V192" s="36" t="n">
        <x:v>6</x:v>
      </x:c>
      <x:c r="W19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92" s="36"/>
      <x:c r="Y192" s="36"/>
      <x:c r="Z192" s="44"/>
      <x:c r="AA192" s="49"/>
      <x:c r="AB192" s="43"/>
      <x:c r="AC192" s="34"/>
      <x:c r="AD192" s="34"/>
      <x:c r="AE192" s="34"/>
      <x:c r="AF192" s="34"/>
      <x:c r="AG192" s="34"/>
      <x:c r="AH192" s="34"/>
      <x:c r="AI192" s="34"/>
    </x:row>
    <x:row r="193">
      <x:c r="A193" s="34" t="str">
        <x:v>article1-unified-v4-2-fb3f101b-20260903-000401-default-f01-p5-jcs321</x:v>
      </x:c>
      <x:c r="B193" s="34" t="str">
        <x:v>default</x:v>
      </x:c>
      <x:c r="C193" s="34" t="str">
        <x:v>jcs321</x:v>
      </x:c>
      <x:c r="D193" s="34" t="str">
        <x:v>jcs321</x:v>
      </x:c>
      <x:c r="E193" s="36" t="n">
        <x:v>1</x:v>
      </x:c>
      <x:c r="F193" s="36" t="n">
        <x:v>1</x:v>
      </x:c>
      <x:c r="G193" s="36" t="n">
        <x:v>5</x:v>
      </x:c>
      <x:c r="H193" s="36" t="n">
        <x:v>4</x:v>
      </x:c>
      <x:c r="I193" s="34" t="str">
        <x:v>loaded</x:v>
      </x:c>
      <x:c r="J193" s="34" t="str">
        <x:v>loaded</x:v>
      </x:c>
      <x:c r="K193" s="36" t="n">
        <x:v>0</x:v>
      </x:c>
      <x:c r="L193" s="34" t="str">
        <x:v>initial</x:v>
      </x:c>
      <x:c r="M193" s="34" t="str">
        <x:v>article1-unified-v4-2-fb3f101b-20260903-000401-default-f01-p5-jcs321-4-loaded</x:v>
      </x:c>
      <x:c r="N193" s="38" t="n">
        <x:v>46267.94986390046</x:v>
      </x:c>
      <x:c r="O193" s="36" t="n">
        <x:v>0</x:v>
      </x:c>
      <x:c r="P193" s="43" t="n">
        <x:v>142394368</x:v>
      </x:c>
      <x:c r="Q193" s="43" t="n">
        <x:v>268435456</x:v>
      </x:c>
      <x:c r="R193" s="43" t="n">
        <x:v>581436416</x:v>
      </x:c>
      <x:c r="S193" s="36" t="n">
        <x:v>8</x:v>
      </x:c>
      <x:c r="T193" s="44" t="str">
        <x:v>0x00000000571177b8  0x0000000057003818  0x00007ab52811cae0    4415  20987904  20977824  org.apache.catalina.loader.ParallelWebappClassLoader | 0x00000000571177b8  0x0000000057003818  0x00007ab508118720    4444  21001216  20978120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3" s="36" t="n">
        <x:v>34</x:v>
      </x:c>
      <x:c r="V193" s="36" t="n">
        <x:v>7</x:v>
      </x:c>
      <x:c r="W19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93" s="36"/>
      <x:c r="Y193" s="36"/>
      <x:c r="Z193" s="44"/>
      <x:c r="AA193" s="49"/>
      <x:c r="AB193" s="43"/>
      <x:c r="AC193" s="34"/>
      <x:c r="AD193" s="34"/>
      <x:c r="AE193" s="34"/>
      <x:c r="AF193" s="34"/>
      <x:c r="AG193" s="34"/>
      <x:c r="AH193" s="34"/>
      <x:c r="AI193" s="34"/>
    </x:row>
    <x:row r="194">
      <x:c r="A194" s="34" t="str">
        <x:v>article1-unified-v4-2-fb3f101b-20260903-000401-default-f01-p5-jcs321</x:v>
      </x:c>
      <x:c r="B194" s="34" t="str">
        <x:v>default</x:v>
      </x:c>
      <x:c r="C194" s="34" t="str">
        <x:v>jcs321</x:v>
      </x:c>
      <x:c r="D194" s="34" t="str">
        <x:v>jcs321</x:v>
      </x:c>
      <x:c r="E194" s="36" t="n">
        <x:v>1</x:v>
      </x:c>
      <x:c r="F194" s="36" t="n">
        <x:v>1</x:v>
      </x:c>
      <x:c r="G194" s="36" t="n">
        <x:v>5</x:v>
      </x:c>
      <x:c r="H194" s="36" t="n">
        <x:v>4</x:v>
      </x:c>
      <x:c r="I194" s="34" t="str">
        <x:v>afterUndeployEarly</x:v>
      </x:c>
      <x:c r="J194" s="34" t="str">
        <x:v>after-undeploy-early</x:v>
      </x:c>
      <x:c r="K194" s="36" t="n">
        <x:v>1</x:v>
      </x:c>
      <x:c r="L194" s="34" t="str">
        <x:v>early</x:v>
      </x:c>
      <x:c r="M194" s="34" t="str">
        <x:v>article1-unified-v4-2-fb3f101b-20260903-000401-default-f01-p5-jcs321-4-after-undeploy-early-2s</x:v>
      </x:c>
      <x:c r="N194" s="38" t="n">
        <x:v>46267.94995086805</x:v>
      </x:c>
      <x:c r="O194" s="36"/>
      <x:c r="P194" s="43"/>
      <x:c r="Q194" s="43"/>
      <x:c r="R194" s="43"/>
      <x:c r="S194" s="36"/>
      <x:c r="T194" s="44"/>
      <x:c r="U194" s="36" t="n">
        <x:v>34</x:v>
      </x:c>
      <x:c r="V194" s="36" t="n">
        <x:v>7</x:v>
      </x:c>
      <x:c r="W19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94" s="36"/>
      <x:c r="Y194" s="36"/>
      <x:c r="Z194" s="44"/>
      <x:c r="AA194" s="49"/>
      <x:c r="AB194" s="43" t="n">
        <x:v>17</x:v>
      </x:c>
      <x:c r="AC194" s="34"/>
      <x:c r="AD194" s="34"/>
      <x:c r="AE194" s="34" t="str">
        <x:v>article1-unified-v4-2-fb3f101b-20260903-000401-default-f01-p5-jcs321-4-after-undeploy-early-2s-thread-dump.txt</x:v>
      </x:c>
      <x:c r="AF194" s="34" t="str">
        <x:v>article1-unified-v4-2-fb3f101b-20260903-000401-default-f01-p5-jcs321-4-after-undeploy-early-tomcat-log.txt</x:v>
      </x:c>
      <x:c r="AG194" s="34"/>
      <x:c r="AH194" s="34"/>
      <x:c r="AI194" s="34"/>
    </x:row>
    <x:row r="195">
      <x:c r="A195" s="34" t="str">
        <x:v>article1-unified-v4-2-fb3f101b-20260903-000401-default-f01-p5-jcs321</x:v>
      </x:c>
      <x:c r="B195" s="34" t="str">
        <x:v>default</x:v>
      </x:c>
      <x:c r="C195" s="34" t="str">
        <x:v>jcs321</x:v>
      </x:c>
      <x:c r="D195" s="34" t="str">
        <x:v>jcs321</x:v>
      </x:c>
      <x:c r="E195" s="36" t="n">
        <x:v>1</x:v>
      </x:c>
      <x:c r="F195" s="36" t="n">
        <x:v>1</x:v>
      </x:c>
      <x:c r="G195" s="36" t="n">
        <x:v>5</x:v>
      </x:c>
      <x:c r="H195" s="36" t="n">
        <x:v>4</x:v>
      </x:c>
      <x:c r="I195" s="34" t="str">
        <x:v>afterUndeploy</x:v>
      </x:c>
      <x:c r="J195" s="34" t="str">
        <x:v>after-undeploy-final</x:v>
      </x:c>
      <x:c r="K195" s="36" t="n">
        <x:v>1</x:v>
      </x:c>
      <x:c r="L195" s="34" t="str">
        <x:v>final</x:v>
      </x:c>
      <x:c r="M195" s="34" t="str">
        <x:v>article1-unified-v4-2-fb3f101b-20260903-000401-default-f01-p5-jcs321-4-after-undeploy-final-10s</x:v>
      </x:c>
      <x:c r="N195" s="38" t="n">
        <x:v>46267.95010700232</x:v>
      </x:c>
      <x:c r="O195" s="36" t="n">
        <x:v>2</x:v>
      </x:c>
      <x:c r="P195" s="43" t="n">
        <x:v>40945664</x:v>
      </x:c>
      <x:c r="Q195" s="43" t="n">
        <x:v>268435456</x:v>
      </x:c>
      <x:c r="R195" s="43" t="n">
        <x:v>569634816</x:v>
      </x:c>
      <x:c r="S195" s="36" t="n">
        <x:v>8</x:v>
      </x:c>
      <x:c r="T195" s="44" t="str">
        <x:v>0x00000000571177b8  0x0000000057003818  0x00007ab508118720    4444  21001216  20978120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5" s="36" t="n">
        <x:v>34</x:v>
      </x:c>
      <x:c r="V195" s="36" t="n">
        <x:v>7</x:v>
      </x:c>
      <x:c r="W19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95" s="36" t="n">
        <x:v>7</x:v>
      </x:c>
      <x:c r="Y195" s="36" t="n">
        <x:v>7</x:v>
      </x:c>
      <x:c r="Z195" s="44" t="str">
        <x:v>/jcs321</x:v>
      </x:c>
      <x:c r="AA195" s="45" t="b">
        <x:v>1</x:v>
      </x:c>
      <x:c r="AB195" s="43"/>
      <x:c r="AC195" s="34" t="str">
        <x:v>article1-unified-v4-2-fb3f101b-20260903-000401-default-f01-p5-jcs321-4-after-undeploy-final-10s-heap-info.txt</x:v>
      </x:c>
      <x:c r="AD195" s="34" t="str">
        <x:v>article1-unified-v4-2-fb3f101b-20260903-000401-default-f01-p5-jcs321-4-after-undeploy-final-10s-classloader-stats.txt</x:v>
      </x:c>
      <x:c r="AE195" s="34" t="str">
        <x:v>article1-unified-v4-2-fb3f101b-20260903-000401-default-f01-p5-jcs321-4-after-undeploy-final-10s-thread-dump.txt</x:v>
      </x:c>
      <x:c r="AF195" s="34"/>
      <x:c r="AG195" s="34" t="str">
        <x:v>article1-unified-v4-2-fb3f101b-20260903-000401-default-f01-p5-jcs321-4-after-undeploy-final-10s-native-memory.txt</x:v>
      </x:c>
      <x:c r="AH195" s="34" t="str">
        <x:v>article1-unified-v4-2-fb3f101b-20260903-000401-default-f01-p5-jcs321-4-after-undeploy-final-10s-class-histogram.txt</x:v>
      </x:c>
      <x:c r="AI195" s="34" t="str">
        <x:v>article1-unified-v4-2-fb3f101b-20260903-000401-default-f01-p5-jcs321-4-after-undeploy-tomcat-findleaks.txt</x:v>
      </x:c>
    </x:row>
    <x:row r="196">
      <x:c r="A196" s="34" t="str">
        <x:v>article1-unified-v4-2-fb3f101b-20260903-000401-default-f01-p5-jcs321</x:v>
      </x:c>
      <x:c r="B196" s="34" t="str">
        <x:v>default</x:v>
      </x:c>
      <x:c r="C196" s="34" t="str">
        <x:v>jcs321</x:v>
      </x:c>
      <x:c r="D196" s="34" t="str">
        <x:v>jcs321</x:v>
      </x:c>
      <x:c r="E196" s="36" t="n">
        <x:v>1</x:v>
      </x:c>
      <x:c r="F196" s="36" t="n">
        <x:v>1</x:v>
      </x:c>
      <x:c r="G196" s="36" t="n">
        <x:v>5</x:v>
      </x:c>
      <x:c r="H196" s="36" t="n">
        <x:v>4</x:v>
      </x:c>
      <x:c r="I196" s="34" t="str">
        <x:v>redeployedLoaded</x:v>
      </x:c>
      <x:c r="J196" s="34" t="str">
        <x:v>redeployed-loaded</x:v>
      </x:c>
      <x:c r="K196" s="36" t="n">
        <x:v>0</x:v>
      </x:c>
      <x:c r="L196" s="34" t="str">
        <x:v>redeploy</x:v>
      </x:c>
      <x:c r="M196" s="34" t="str">
        <x:v>article1-unified-v4-2-fb3f101b-20260903-000401-default-f01-p5-jcs321-4-redeployed-loaded</x:v>
      </x:c>
      <x:c r="N196" s="38" t="n">
        <x:v>46267.95036795139</x:v>
      </x:c>
      <x:c r="O196" s="36" t="n">
        <x:v>0</x:v>
      </x:c>
      <x:c r="P196" s="43" t="n">
        <x:v>152779776</x:v>
      </x:c>
      <x:c r="Q196" s="43" t="n">
        <x:v>268435456</x:v>
      </x:c>
      <x:c r="R196" s="43" t="n">
        <x:v>596372480</x:v>
      </x:c>
      <x:c r="S196" s="36" t="n">
        <x:v>9</x:v>
      </x:c>
      <x:c r="T196" s="44" t="str">
        <x:v>0x00000000571177b8  0x0000000057003818  0x00007ab51426f530    4411  20982784  20966168  org.apache.catalina.loader.ParallelWebappClassLoader | 0x00000000571177b8  0x0000000057003818  0x00007ab508118720    4444  21001216  20978120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6" s="36" t="n">
        <x:v>35</x:v>
      </x:c>
      <x:c r="V196" s="36" t="n">
        <x:v>8</x:v>
      </x:c>
      <x:c r="W19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96" s="36"/>
      <x:c r="Y196" s="36"/>
      <x:c r="Z196" s="44"/>
      <x:c r="AA196" s="49"/>
      <x:c r="AB196" s="43"/>
      <x:c r="AC196" s="34"/>
      <x:c r="AD196" s="34"/>
      <x:c r="AE196" s="34"/>
      <x:c r="AF196" s="34"/>
      <x:c r="AG196" s="34"/>
      <x:c r="AH196" s="34"/>
      <x:c r="AI196" s="34"/>
    </x:row>
    <x:row r="197">
      <x:c r="A197" s="34" t="str">
        <x:v>article1-unified-v4-2-fb3f101b-20260903-000401-default-f01-p5-jcs321</x:v>
      </x:c>
      <x:c r="B197" s="34" t="str">
        <x:v>default</x:v>
      </x:c>
      <x:c r="C197" s="34" t="str">
        <x:v>jcs321</x:v>
      </x:c>
      <x:c r="D197" s="34" t="str">
        <x:v>jcs321</x:v>
      </x:c>
      <x:c r="E197" s="36" t="n">
        <x:v>1</x:v>
      </x:c>
      <x:c r="F197" s="36" t="n">
        <x:v>1</x:v>
      </x:c>
      <x:c r="G197" s="36" t="n">
        <x:v>5</x:v>
      </x:c>
      <x:c r="H197" s="36" t="n">
        <x:v>4</x:v>
      </x:c>
      <x:c r="I197" s="34" t="str">
        <x:v>afterFinalUndeployEarly</x:v>
      </x:c>
      <x:c r="J197" s="34" t="str">
        <x:v>after-final-undeploy-early</x:v>
      </x:c>
      <x:c r="K197" s="36" t="n">
        <x:v>2</x:v>
      </x:c>
      <x:c r="L197" s="34" t="str">
        <x:v>early</x:v>
      </x:c>
      <x:c r="M197" s="34" t="str">
        <x:v>article1-unified-v4-2-fb3f101b-20260903-000401-default-f01-p5-jcs321-4-after-final-undeploy-early-2s</x:v>
      </x:c>
      <x:c r="N197" s="38" t="n">
        <x:v>46267.95045045139</x:v>
      </x:c>
      <x:c r="O197" s="36"/>
      <x:c r="P197" s="43"/>
      <x:c r="Q197" s="43"/>
      <x:c r="R197" s="43"/>
      <x:c r="S197" s="36"/>
      <x:c r="T197" s="44"/>
      <x:c r="U197" s="36" t="n">
        <x:v>35</x:v>
      </x:c>
      <x:c r="V197" s="36" t="n">
        <x:v>8</x:v>
      </x:c>
      <x:c r="W19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97" s="36"/>
      <x:c r="Y197" s="36"/>
      <x:c r="Z197" s="44"/>
      <x:c r="AA197" s="49"/>
      <x:c r="AB197" s="43" t="n">
        <x:v>17</x:v>
      </x:c>
      <x:c r="AC197" s="34"/>
      <x:c r="AD197" s="34"/>
      <x:c r="AE197" s="34" t="str">
        <x:v>article1-unified-v4-2-fb3f101b-20260903-000401-default-f01-p5-jcs321-4-after-final-undeploy-early-2s-thread-dump.txt</x:v>
      </x:c>
      <x:c r="AF197" s="34" t="str">
        <x:v>article1-unified-v4-2-fb3f101b-20260903-000401-default-f01-p5-jcs321-4-after-final-undeploy-early-tomcat-log.txt</x:v>
      </x:c>
      <x:c r="AG197" s="34"/>
      <x:c r="AH197" s="34"/>
      <x:c r="AI197" s="34"/>
    </x:row>
    <x:row r="198">
      <x:c r="A198" s="34" t="str">
        <x:v>article1-unified-v4-2-fb3f101b-20260903-000401-default-f01-p5-jcs321</x:v>
      </x:c>
      <x:c r="B198" s="34" t="str">
        <x:v>default</x:v>
      </x:c>
      <x:c r="C198" s="34" t="str">
        <x:v>jcs321</x:v>
      </x:c>
      <x:c r="D198" s="34" t="str">
        <x:v>jcs321</x:v>
      </x:c>
      <x:c r="E198" s="36" t="n">
        <x:v>1</x:v>
      </x:c>
      <x:c r="F198" s="36" t="n">
        <x:v>1</x:v>
      </x:c>
      <x:c r="G198" s="36" t="n">
        <x:v>5</x:v>
      </x:c>
      <x:c r="H198" s="36" t="n">
        <x:v>4</x:v>
      </x:c>
      <x:c r="I198" s="34" t="str">
        <x:v>afterFinalUndeploy</x:v>
      </x:c>
      <x:c r="J198" s="34" t="str">
        <x:v>after-final-undeploy-final</x:v>
      </x:c>
      <x:c r="K198" s="36" t="n">
        <x:v>2</x:v>
      </x:c>
      <x:c r="L198" s="34" t="str">
        <x:v>final</x:v>
      </x:c>
      <x:c r="M198" s="34" t="str">
        <x:v>article1-unified-v4-2-fb3f101b-20260903-000401-default-f01-p5-jcs321-4-after-final-undeploy-final-10s</x:v>
      </x:c>
      <x:c r="N198" s="38" t="n">
        <x:v>46267.95060709491</x:v>
      </x:c>
      <x:c r="O198" s="36" t="n">
        <x:v>2</x:v>
      </x:c>
      <x:c r="P198" s="43" t="n">
        <x:v>45242368</x:v>
      </x:c>
      <x:c r="Q198" s="43" t="n">
        <x:v>268435456</x:v>
      </x:c>
      <x:c r="R198" s="43" t="n">
        <x:v>596128768</x:v>
      </x:c>
      <x:c r="S198" s="36" t="n">
        <x:v>9</x:v>
      </x:c>
      <x:c r="T198" s="44" t="str">
        <x:v>0x00000000571177b8  0x0000000057003818  0x00007ab508118720    4444  21001216  20978120  org.apache.catalina.loader.ParallelWebappClassLoader | 0x00000000571177b8  0x0000000057003818  0x00007ab51426f530    4425  21015552  21001112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8" s="36" t="n">
        <x:v>35</x:v>
      </x:c>
      <x:c r="V198" s="36" t="n">
        <x:v>8</x:v>
      </x:c>
      <x:c r="W19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98" s="36" t="n">
        <x:v>8</x:v>
      </x:c>
      <x:c r="Y198" s="36" t="n">
        <x:v>8</x:v>
      </x:c>
      <x:c r="Z198" s="44" t="str">
        <x:v>/jcs321</x:v>
      </x:c>
      <x:c r="AA198" s="45" t="b">
        <x:v>1</x:v>
      </x:c>
      <x:c r="AB198" s="43"/>
      <x:c r="AC198" s="34" t="str">
        <x:v>article1-unified-v4-2-fb3f101b-20260903-000401-default-f01-p5-jcs321-4-after-final-undeploy-final-10s-heap-info.txt</x:v>
      </x:c>
      <x:c r="AD198" s="34" t="str">
        <x:v>article1-unified-v4-2-fb3f101b-20260903-000401-default-f01-p5-jcs321-4-after-final-undeploy-final-10s-classloader-stats.txt</x:v>
      </x:c>
      <x:c r="AE198" s="34" t="str">
        <x:v>article1-unified-v4-2-fb3f101b-20260903-000401-default-f01-p5-jcs321-4-after-final-undeploy-final-10s-thread-dump.txt</x:v>
      </x:c>
      <x:c r="AF198" s="34"/>
      <x:c r="AG198" s="34" t="str">
        <x:v>article1-unified-v4-2-fb3f101b-20260903-000401-default-f01-p5-jcs321-4-after-final-undeploy-final-10s-native-memory.txt</x:v>
      </x:c>
      <x:c r="AH198" s="34" t="str">
        <x:v>article1-unified-v4-2-fb3f101b-20260903-000401-default-f01-p5-jcs321-4-after-final-undeploy-final-10s-class-histogram.txt</x:v>
      </x:c>
      <x:c r="AI198" s="34" t="str">
        <x:v>article1-unified-v4-2-fb3f101b-20260903-000401-default-f01-p5-jcs321-4-after-final-undeploy-tomcat-findleaks.txt</x:v>
      </x:c>
    </x:row>
    <x:row r="199">
      <x:c r="A199" s="34" t="str">
        <x:v>article1-unified-v4-2-fb3f101b-20260903-000401-default-f01-p5-jcs321</x:v>
      </x:c>
      <x:c r="B199" s="34" t="str">
        <x:v>default</x:v>
      </x:c>
      <x:c r="C199" s="34" t="str">
        <x:v>jcs321</x:v>
      </x:c>
      <x:c r="D199" s="34" t="str">
        <x:v>jcs321</x:v>
      </x:c>
      <x:c r="E199" s="36" t="n">
        <x:v>1</x:v>
      </x:c>
      <x:c r="F199" s="36" t="n">
        <x:v>1</x:v>
      </x:c>
      <x:c r="G199" s="36" t="n">
        <x:v>5</x:v>
      </x:c>
      <x:c r="H199" s="36" t="n">
        <x:v>5</x:v>
      </x:c>
      <x:c r="I199" s="34" t="str">
        <x:v>baseline</x:v>
      </x:c>
      <x:c r="J199" s="34" t="str">
        <x:v>cycle-baseline</x:v>
      </x:c>
      <x:c r="K199" s="36" t="n">
        <x:v>0</x:v>
      </x:c>
      <x:c r="L199" s="34" t="str">
        <x:v>baseline</x:v>
      </x:c>
      <x:c r="M199" s="34" t="str">
        <x:v>article1-unified-v4-2-fb3f101b-20260903-000401-default-f01-p5-jcs321-5-baseline</x:v>
      </x:c>
      <x:c r="N199" s="38" t="n">
        <x:v>46267.95065594908</x:v>
      </x:c>
      <x:c r="O199" s="36" t="n">
        <x:v>0</x:v>
      </x:c>
      <x:c r="P199" s="43" t="n">
        <x:v>45242368</x:v>
      </x:c>
      <x:c r="Q199" s="43" t="n">
        <x:v>268435456</x:v>
      </x:c>
      <x:c r="R199" s="43" t="n">
        <x:v>596128768</x:v>
      </x:c>
      <x:c r="S199" s="36" t="n">
        <x:v>9</x:v>
      </x:c>
      <x:c r="T199" s="44" t="str">
        <x:v>0x00000000571177b8  0x0000000057003818  0x00007ab508118720    4444  21001216  20978120  org.apache.catalina.loader.ParallelWebappClassLoader | 0x00000000571177b8  0x0000000057003818  0x00007ab51426f530    4425  21015552  21001112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199" s="36" t="n">
        <x:v>35</x:v>
      </x:c>
      <x:c r="V199" s="36" t="n">
        <x:v>8</x:v>
      </x:c>
      <x:c r="W19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99" s="36"/>
      <x:c r="Y199" s="36"/>
      <x:c r="Z199" s="44"/>
      <x:c r="AA199" s="49"/>
      <x:c r="AB199" s="43"/>
      <x:c r="AC199" s="34" t="str">
        <x:v>article1-unified-v4-2-fb3f101b-20260903-000401-default-f01-p5-jcs321-5-baseline-heap-info.txt</x:v>
      </x:c>
      <x:c r="AD199" s="34" t="str">
        <x:v>article1-unified-v4-2-fb3f101b-20260903-000401-default-f01-p5-jcs321-5-baseline-classloader-stats.txt</x:v>
      </x:c>
      <x:c r="AE199" s="34" t="str">
        <x:v>article1-unified-v4-2-fb3f101b-20260903-000401-default-f01-p5-jcs321-5-baseline-thread-dump.txt</x:v>
      </x:c>
      <x:c r="AF199" s="34"/>
      <x:c r="AG199" s="34" t="str">
        <x:v>article1-unified-v4-2-fb3f101b-20260903-000401-default-f01-p5-jcs321-5-baseline-native-memory.txt</x:v>
      </x:c>
      <x:c r="AH199" s="34"/>
      <x:c r="AI199" s="34"/>
    </x:row>
    <x:row r="200">
      <x:c r="A200" s="34" t="str">
        <x:v>article1-unified-v4-2-fb3f101b-20260903-000401-default-f01-p5-jcs321</x:v>
      </x:c>
      <x:c r="B200" s="34" t="str">
        <x:v>default</x:v>
      </x:c>
      <x:c r="C200" s="34" t="str">
        <x:v>jcs321</x:v>
      </x:c>
      <x:c r="D200" s="34" t="str">
        <x:v>jcs321</x:v>
      </x:c>
      <x:c r="E200" s="36" t="n">
        <x:v>1</x:v>
      </x:c>
      <x:c r="F200" s="36" t="n">
        <x:v>1</x:v>
      </x:c>
      <x:c r="G200" s="36" t="n">
        <x:v>5</x:v>
      </x:c>
      <x:c r="H200" s="36" t="n">
        <x:v>5</x:v>
      </x:c>
      <x:c r="I200" s="34" t="str">
        <x:v>deployedIdle</x:v>
      </x:c>
      <x:c r="J200" s="34" t="str">
        <x:v>deployed-idle</x:v>
      </x:c>
      <x:c r="K200" s="36" t="n">
        <x:v>0</x:v>
      </x:c>
      <x:c r="L200" s="34" t="str">
        <x:v>initial</x:v>
      </x:c>
      <x:c r="M200" s="34" t="str">
        <x:v>article1-unified-v4-2-fb3f101b-20260903-000401-default-f01-p5-jcs321-5-deployed-idle</x:v>
      </x:c>
      <x:c r="N200" s="38" t="n">
        <x:v>46267.95075729167</x:v>
      </x:c>
      <x:c r="O200" s="36" t="n">
        <x:v>0</x:v>
      </x:c>
      <x:c r="P200" s="43" t="n">
        <x:v>197028864</x:v>
      </x:c>
      <x:c r="Q200" s="43" t="n">
        <x:v>268435456</x:v>
      </x:c>
      <x:c r="R200" s="43" t="n">
        <x:v>620132352</x:v>
      </x:c>
      <x:c r="S200" s="36" t="n">
        <x:v>10</x:v>
      </x:c>
      <x:c r="T200" s="44" t="str">
        <x:v>0x00000000571177b8  0x0000000057003818  0x00007ab4e8023100    4091  19447808  19429224  org.apache.catalina.loader.ParallelWebappClassLoader | 0x00000000571177b8  0x0000000057003818  0x00007ab508118720    4444  21001216  20978120  org.apache.catalina.loader.ParallelWebappClassLoader | 0x00000000571177b8  0x0000000057003818  0x00007ab51426f530    4425  21015552  21001112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200" s="36" t="n">
        <x:v>35</x:v>
      </x:c>
      <x:c r="V200" s="36" t="n">
        <x:v>8</x:v>
      </x:c>
      <x:c r="W20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200" s="36"/>
      <x:c r="Y200" s="36"/>
      <x:c r="Z200" s="44"/>
      <x:c r="AA200" s="49"/>
      <x:c r="AB200" s="43"/>
      <x:c r="AC200" s="34"/>
      <x:c r="AD200" s="34"/>
      <x:c r="AE200" s="34"/>
      <x:c r="AF200" s="34"/>
      <x:c r="AG200" s="34"/>
      <x:c r="AH200" s="34"/>
      <x:c r="AI200" s="34"/>
    </x:row>
    <x:row r="201">
      <x:c r="A201" s="34" t="str">
        <x:v>article1-unified-v4-2-fb3f101b-20260903-000401-default-f01-p5-jcs321</x:v>
      </x:c>
      <x:c r="B201" s="34" t="str">
        <x:v>default</x:v>
      </x:c>
      <x:c r="C201" s="34" t="str">
        <x:v>jcs321</x:v>
      </x:c>
      <x:c r="D201" s="34" t="str">
        <x:v>jcs321</x:v>
      </x:c>
      <x:c r="E201" s="36" t="n">
        <x:v>1</x:v>
      </x:c>
      <x:c r="F201" s="36" t="n">
        <x:v>1</x:v>
      </x:c>
      <x:c r="G201" s="36" t="n">
        <x:v>5</x:v>
      </x:c>
      <x:c r="H201" s="36" t="n">
        <x:v>5</x:v>
      </x:c>
      <x:c r="I201" s="34" t="str">
        <x:v>loaded</x:v>
      </x:c>
      <x:c r="J201" s="34" t="str">
        <x:v>loaded</x:v>
      </x:c>
      <x:c r="K201" s="36" t="n">
        <x:v>0</x:v>
      </x:c>
      <x:c r="L201" s="34" t="str">
        <x:v>initial</x:v>
      </x:c>
      <x:c r="M201" s="34" t="str">
        <x:v>article1-unified-v4-2-fb3f101b-20260903-000401-default-f01-p5-jcs321-5-loaded</x:v>
      </x:c>
      <x:c r="N201" s="38" t="n">
        <x:v>46267.95090498843</x:v>
      </x:c>
      <x:c r="O201" s="36" t="n">
        <x:v>0</x:v>
      </x:c>
      <x:c r="P201" s="43" t="n">
        <x:v>157431808</x:v>
      </x:c>
      <x:c r="Q201" s="43" t="n">
        <x:v>268435456</x:v>
      </x:c>
      <x:c r="R201" s="43" t="n">
        <x:v>623761408</x:v>
      </x:c>
      <x:c r="S201" s="36" t="n">
        <x:v>10</x:v>
      </x:c>
      <x:c r="T201" s="44" t="str">
        <x:v>0x00000000571177b8  0x0000000057003818  0x00007ab4e8023100    4422  21004288  20987688  org.apache.catalina.loader.ParallelWebappClassLoader | 0x00000000571177b8  0x0000000057003818  0x00007ab508118720    4444  21001216  20978120  org.apache.catalina.loader.ParallelWebappClassLoader | 0x00000000571177b8  0x0000000057003818  0x00007ab51426f530    4425  21015552  21001112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201" s="36" t="n">
        <x:v>36</x:v>
      </x:c>
      <x:c r="V201" s="36" t="n">
        <x:v>9</x:v>
      </x:c>
      <x:c r="W20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201" s="36"/>
      <x:c r="Y201" s="36"/>
      <x:c r="Z201" s="44"/>
      <x:c r="AA201" s="49"/>
      <x:c r="AB201" s="43"/>
      <x:c r="AC201" s="34"/>
      <x:c r="AD201" s="34"/>
      <x:c r="AE201" s="34"/>
      <x:c r="AF201" s="34"/>
      <x:c r="AG201" s="34"/>
      <x:c r="AH201" s="34"/>
      <x:c r="AI201" s="34"/>
    </x:row>
    <x:row r="202">
      <x:c r="A202" s="34" t="str">
        <x:v>article1-unified-v4-2-fb3f101b-20260903-000401-default-f01-p5-jcs321</x:v>
      </x:c>
      <x:c r="B202" s="34" t="str">
        <x:v>default</x:v>
      </x:c>
      <x:c r="C202" s="34" t="str">
        <x:v>jcs321</x:v>
      </x:c>
      <x:c r="D202" s="34" t="str">
        <x:v>jcs321</x:v>
      </x:c>
      <x:c r="E202" s="36" t="n">
        <x:v>1</x:v>
      </x:c>
      <x:c r="F202" s="36" t="n">
        <x:v>1</x:v>
      </x:c>
      <x:c r="G202" s="36" t="n">
        <x:v>5</x:v>
      </x:c>
      <x:c r="H202" s="36" t="n">
        <x:v>5</x:v>
      </x:c>
      <x:c r="I202" s="34" t="str">
        <x:v>afterUndeployEarly</x:v>
      </x:c>
      <x:c r="J202" s="34" t="str">
        <x:v>after-undeploy-early</x:v>
      </x:c>
      <x:c r="K202" s="36" t="n">
        <x:v>1</x:v>
      </x:c>
      <x:c r="L202" s="34" t="str">
        <x:v>early</x:v>
      </x:c>
      <x:c r="M202" s="34" t="str">
        <x:v>article1-unified-v4-2-fb3f101b-20260903-000401-default-f01-p5-jcs321-5-after-undeploy-early-2s</x:v>
      </x:c>
      <x:c r="N202" s="38" t="n">
        <x:v>46267.950991261576</x:v>
      </x:c>
      <x:c r="O202" s="36"/>
      <x:c r="P202" s="43"/>
      <x:c r="Q202" s="43"/>
      <x:c r="R202" s="43"/>
      <x:c r="S202" s="36"/>
      <x:c r="T202" s="44"/>
      <x:c r="U202" s="36" t="n">
        <x:v>36</x:v>
      </x:c>
      <x:c r="V202" s="36" t="n">
        <x:v>9</x:v>
      </x:c>
      <x:c r="W20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202" s="36"/>
      <x:c r="Y202" s="36"/>
      <x:c r="Z202" s="44"/>
      <x:c r="AA202" s="49"/>
      <x:c r="AB202" s="43" t="n">
        <x:v>17</x:v>
      </x:c>
      <x:c r="AC202" s="34"/>
      <x:c r="AD202" s="34"/>
      <x:c r="AE202" s="34" t="str">
        <x:v>article1-unified-v4-2-fb3f101b-20260903-000401-default-f01-p5-jcs321-5-after-undeploy-early-2s-thread-dump.txt</x:v>
      </x:c>
      <x:c r="AF202" s="34" t="str">
        <x:v>article1-unified-v4-2-fb3f101b-20260903-000401-default-f01-p5-jcs321-5-after-undeploy-early-tomcat-log.txt</x:v>
      </x:c>
      <x:c r="AG202" s="34"/>
      <x:c r="AH202" s="34"/>
      <x:c r="AI202" s="34"/>
    </x:row>
    <x:row r="203">
      <x:c r="A203" s="34" t="str">
        <x:v>article1-unified-v4-2-fb3f101b-20260903-000401-default-f01-p5-jcs321</x:v>
      </x:c>
      <x:c r="B203" s="34" t="str">
        <x:v>default</x:v>
      </x:c>
      <x:c r="C203" s="34" t="str">
        <x:v>jcs321</x:v>
      </x:c>
      <x:c r="D203" s="34" t="str">
        <x:v>jcs321</x:v>
      </x:c>
      <x:c r="E203" s="36" t="n">
        <x:v>1</x:v>
      </x:c>
      <x:c r="F203" s="36" t="n">
        <x:v>1</x:v>
      </x:c>
      <x:c r="G203" s="36" t="n">
        <x:v>5</x:v>
      </x:c>
      <x:c r="H203" s="36" t="n">
        <x:v>5</x:v>
      </x:c>
      <x:c r="I203" s="34" t="str">
        <x:v>afterUndeploy</x:v>
      </x:c>
      <x:c r="J203" s="34" t="str">
        <x:v>after-undeploy-final</x:v>
      </x:c>
      <x:c r="K203" s="36" t="n">
        <x:v>1</x:v>
      </x:c>
      <x:c r="L203" s="34" t="str">
        <x:v>final</x:v>
      </x:c>
      <x:c r="M203" s="34" t="str">
        <x:v>article1-unified-v4-2-fb3f101b-20260903-000401-default-f01-p5-jcs321-5-after-undeploy-final-10s</x:v>
      </x:c>
      <x:c r="N203" s="38" t="n">
        <x:v>46267.95115180556</x:v>
      </x:c>
      <x:c r="O203" s="36" t="n">
        <x:v>2</x:v>
      </x:c>
      <x:c r="P203" s="43" t="n">
        <x:v>49490944</x:v>
      </x:c>
      <x:c r="Q203" s="43" t="n">
        <x:v>268435456</x:v>
      </x:c>
      <x:c r="R203" s="43" t="n">
        <x:v>621621248</x:v>
      </x:c>
      <x:c r="S203" s="36" t="n">
        <x:v>10</x:v>
      </x:c>
      <x:c r="T203" s="44" t="str">
        <x:v>0x00000000571177b8  0x0000000057003818  0x00007ab4e8023100    4436  21037056  21022360  org.apache.catalina.loader.ParallelWebappClassLoader | 0x00000000571177b8  0x0000000057003818  0x00007ab508118720    4444  21001216  20978120  org.apache.catalina.loader.ParallelWebappClassLoader | 0x00000000571177b8  0x0000000057003818  0x00007ab51426f530    4425  21015552  21001112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203" s="36" t="n">
        <x:v>36</x:v>
      </x:c>
      <x:c r="V203" s="36" t="n">
        <x:v>9</x:v>
      </x:c>
      <x:c r="W20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203" s="36" t="n">
        <x:v>9</x:v>
      </x:c>
      <x:c r="Y203" s="36" t="n">
        <x:v>9</x:v>
      </x:c>
      <x:c r="Z203" s="44" t="str">
        <x:v>/jcs321</x:v>
      </x:c>
      <x:c r="AA203" s="45" t="b">
        <x:v>1</x:v>
      </x:c>
      <x:c r="AB203" s="43"/>
      <x:c r="AC203" s="34" t="str">
        <x:v>article1-unified-v4-2-fb3f101b-20260903-000401-default-f01-p5-jcs321-5-after-undeploy-final-10s-heap-info.txt</x:v>
      </x:c>
      <x:c r="AD203" s="34" t="str">
        <x:v>article1-unified-v4-2-fb3f101b-20260903-000401-default-f01-p5-jcs321-5-after-undeploy-final-10s-classloader-stats.txt</x:v>
      </x:c>
      <x:c r="AE203" s="34" t="str">
        <x:v>article1-unified-v4-2-fb3f101b-20260903-000401-default-f01-p5-jcs321-5-after-undeploy-final-10s-thread-dump.txt</x:v>
      </x:c>
      <x:c r="AF203" s="34"/>
      <x:c r="AG203" s="34" t="str">
        <x:v>article1-unified-v4-2-fb3f101b-20260903-000401-default-f01-p5-jcs321-5-after-undeploy-final-10s-native-memory.txt</x:v>
      </x:c>
      <x:c r="AH203" s="34" t="str">
        <x:v>article1-unified-v4-2-fb3f101b-20260903-000401-default-f01-p5-jcs321-5-after-undeploy-final-10s-class-histogram.txt</x:v>
      </x:c>
      <x:c r="AI203" s="34" t="str">
        <x:v>article1-unified-v4-2-fb3f101b-20260903-000401-default-f01-p5-jcs321-5-after-undeploy-tomcat-findleaks.txt</x:v>
      </x:c>
    </x:row>
    <x:row r="204">
      <x:c r="A204" s="34" t="str">
        <x:v>article1-unified-v4-2-fb3f101b-20260903-000401-default-f01-p5-jcs321</x:v>
      </x:c>
      <x:c r="B204" s="34" t="str">
        <x:v>default</x:v>
      </x:c>
      <x:c r="C204" s="34" t="str">
        <x:v>jcs321</x:v>
      </x:c>
      <x:c r="D204" s="34" t="str">
        <x:v>jcs321</x:v>
      </x:c>
      <x:c r="E204" s="36" t="n">
        <x:v>1</x:v>
      </x:c>
      <x:c r="F204" s="36" t="n">
        <x:v>1</x:v>
      </x:c>
      <x:c r="G204" s="36" t="n">
        <x:v>5</x:v>
      </x:c>
      <x:c r="H204" s="36" t="n">
        <x:v>5</x:v>
      </x:c>
      <x:c r="I204" s="34" t="str">
        <x:v>redeployedLoaded</x:v>
      </x:c>
      <x:c r="J204" s="34" t="str">
        <x:v>redeployed-loaded</x:v>
      </x:c>
      <x:c r="K204" s="36" t="n">
        <x:v>0</x:v>
      </x:c>
      <x:c r="L204" s="34" t="str">
        <x:v>redeploy</x:v>
      </x:c>
      <x:c r="M204" s="34" t="str">
        <x:v>article1-unified-v4-2-fb3f101b-20260903-000401-default-f01-p5-jcs321-5-redeployed-loaded</x:v>
      </x:c>
      <x:c r="N204" s="38" t="n">
        <x:v>46267.95142798611</x:v>
      </x:c>
      <x:c r="O204" s="36" t="n">
        <x:v>0</x:v>
      </x:c>
      <x:c r="P204" s="43" t="n">
        <x:v>162868224</x:v>
      </x:c>
      <x:c r="Q204" s="43" t="n">
        <x:v>268435456</x:v>
      </x:c>
      <x:c r="R204" s="43" t="n">
        <x:v>648054784</x:v>
      </x:c>
      <x:c r="S204" s="36" t="n">
        <x:v>11</x:v>
      </x:c>
      <x:c r="T204" s="44" t="str">
        <x:v>0x00000000571177b8  0x0000000057003818  0x00007ab4e8023100    4436  21037056  21022360  org.apache.catalina.loader.ParallelWebappClassLoader | 0x00000000571177b8  0x0000000057003818  0x00007ab4f01aa510    4414  21007360  20984560  org.apache.catalina.loader.ParallelWebappClassLoader | 0x00000000571177b8  0x0000000057003818  0x00007ab508118720    4444  21001216  20978120  org.apache.catalina.loader.ParallelWebappClassLoader | 0x00000000571177b8  0x0000000057003818  0x00007ab51426f530    4425  21015552  21001112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204" s="36" t="n">
        <x:v>37</x:v>
      </x:c>
      <x:c r="V204" s="36" t="n">
        <x:v>10</x:v>
      </x:c>
      <x:c r="W20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204" s="36"/>
      <x:c r="Y204" s="36"/>
      <x:c r="Z204" s="44"/>
      <x:c r="AA204" s="49"/>
      <x:c r="AB204" s="43"/>
      <x:c r="AC204" s="34"/>
      <x:c r="AD204" s="34"/>
      <x:c r="AE204" s="34"/>
      <x:c r="AF204" s="34"/>
      <x:c r="AG204" s="34"/>
      <x:c r="AH204" s="34"/>
      <x:c r="AI204" s="34"/>
    </x:row>
    <x:row r="205">
      <x:c r="A205" s="34" t="str">
        <x:v>article1-unified-v4-2-fb3f101b-20260903-000401-default-f01-p5-jcs321</x:v>
      </x:c>
      <x:c r="B205" s="34" t="str">
        <x:v>default</x:v>
      </x:c>
      <x:c r="C205" s="34" t="str">
        <x:v>jcs321</x:v>
      </x:c>
      <x:c r="D205" s="34" t="str">
        <x:v>jcs321</x:v>
      </x:c>
      <x:c r="E205" s="36" t="n">
        <x:v>1</x:v>
      </x:c>
      <x:c r="F205" s="36" t="n">
        <x:v>1</x:v>
      </x:c>
      <x:c r="G205" s="36" t="n">
        <x:v>5</x:v>
      </x:c>
      <x:c r="H205" s="36" t="n">
        <x:v>5</x:v>
      </x:c>
      <x:c r="I205" s="34" t="str">
        <x:v>afterFinalUndeployEarly</x:v>
      </x:c>
      <x:c r="J205" s="34" t="str">
        <x:v>after-final-undeploy-early</x:v>
      </x:c>
      <x:c r="K205" s="36" t="n">
        <x:v>2</x:v>
      </x:c>
      <x:c r="L205" s="34" t="str">
        <x:v>early</x:v>
      </x:c>
      <x:c r="M205" s="34" t="str">
        <x:v>article1-unified-v4-2-fb3f101b-20260903-000401-default-f01-p5-jcs321-5-after-final-undeploy-early-2s</x:v>
      </x:c>
      <x:c r="N205" s="38" t="n">
        <x:v>46267.95151248843</x:v>
      </x:c>
      <x:c r="O205" s="36"/>
      <x:c r="P205" s="43"/>
      <x:c r="Q205" s="43"/>
      <x:c r="R205" s="43"/>
      <x:c r="S205" s="36"/>
      <x:c r="T205" s="44"/>
      <x:c r="U205" s="36" t="n">
        <x:v>37</x:v>
      </x:c>
      <x:c r="V205" s="36" t="n">
        <x:v>10</x:v>
      </x:c>
      <x:c r="W20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205" s="36"/>
      <x:c r="Y205" s="36"/>
      <x:c r="Z205" s="44"/>
      <x:c r="AA205" s="49"/>
      <x:c r="AB205" s="43" t="n">
        <x:v>17</x:v>
      </x:c>
      <x:c r="AC205" s="34"/>
      <x:c r="AD205" s="34"/>
      <x:c r="AE205" s="34" t="str">
        <x:v>article1-unified-v4-2-fb3f101b-20260903-000401-default-f01-p5-jcs321-5-after-final-undeploy-early-2s-thread-dump.txt</x:v>
      </x:c>
      <x:c r="AF205" s="34" t="str">
        <x:v>article1-unified-v4-2-fb3f101b-20260903-000401-default-f01-p5-jcs321-5-after-final-undeploy-early-tomcat-log.txt</x:v>
      </x:c>
      <x:c r="AG205" s="34"/>
      <x:c r="AH205" s="34"/>
      <x:c r="AI205" s="34"/>
    </x:row>
    <x:row r="206">
      <x:c r="A206" s="34" t="str">
        <x:v>article1-unified-v4-2-fb3f101b-20260903-000401-default-f01-p5-jcs321</x:v>
      </x:c>
      <x:c r="B206" s="34" t="str">
        <x:v>default</x:v>
      </x:c>
      <x:c r="C206" s="34" t="str">
        <x:v>jcs321</x:v>
      </x:c>
      <x:c r="D206" s="34" t="str">
        <x:v>jcs321</x:v>
      </x:c>
      <x:c r="E206" s="36" t="n">
        <x:v>1</x:v>
      </x:c>
      <x:c r="F206" s="36" t="n">
        <x:v>1</x:v>
      </x:c>
      <x:c r="G206" s="36" t="n">
        <x:v>5</x:v>
      </x:c>
      <x:c r="H206" s="36" t="n">
        <x:v>5</x:v>
      </x:c>
      <x:c r="I206" s="34" t="str">
        <x:v>afterFinalUndeploy</x:v>
      </x:c>
      <x:c r="J206" s="34" t="str">
        <x:v>after-final-undeploy-final</x:v>
      </x:c>
      <x:c r="K206" s="36" t="n">
        <x:v>2</x:v>
      </x:c>
      <x:c r="L206" s="34" t="str">
        <x:v>final</x:v>
      </x:c>
      <x:c r="M206" s="34" t="str">
        <x:v>article1-unified-v4-2-fb3f101b-20260903-000401-default-f01-p5-jcs321-5-after-final-undeploy-final-10s</x:v>
      </x:c>
      <x:c r="N206" s="38" t="n">
        <x:v>46267.95167069444</x:v>
      </x:c>
      <x:c r="O206" s="36" t="n">
        <x:v>2</x:v>
      </x:c>
      <x:c r="P206" s="43" t="n">
        <x:v>53723136</x:v>
      </x:c>
      <x:c r="Q206" s="43" t="n">
        <x:v>268435456</x:v>
      </x:c>
      <x:c r="R206" s="43" t="n">
        <x:v>641851392</x:v>
      </x:c>
      <x:c r="S206" s="36" t="n">
        <x:v>11</x:v>
      </x:c>
      <x:c r="T206" s="44" t="str">
        <x:v>0x00000000571177b8  0x0000000057003818  0x00007ab4e8023100    4436  21037056  21022360  org.apache.catalina.loader.ParallelWebappClassLoader | 0x00000000571177b8  0x0000000057003818  0x00007ab4f01aa510    4428  21040128  21019240  org.apache.catalina.loader.ParallelWebappClassLoader | 0x00000000571177b8  0x0000000057003818  0x00007ab508118720    4444  21001216  20978120  org.apache.catalina.loader.ParallelWebappClassLoader | 0x00000000571177b8  0x0000000057003818  0x00007ab51426f530    4425  21015552  21001112  org.apache.catalina.loader.ParallelWebappClassLoader | 0x00000000571177b8  0x0000000057003818  0x00007ab52811cae0    4429  21037056  21012776  org.apache.catalina.loader.ParallelWebappClassLoader | 0x00000000571177b8  0x0000000057003818  0x00007ab51c002e90    4452  21051392  21045288  org.apache.catalina.loader.ParallelWebappClassLoader | 0x00000000571177b8  0x0000000057003818  0x00007ab5181a3cc0    4427  21026816  21006616  org.apache.catalina.loader.ParallelWebappClassLoader | 0x00000000571177b8  0x0000000057003818  0x00007ab50845dcf0    4434  21035008  21024424  org.apache.catalina.loader.ParallelWebappClassLoader | 0x00000000571177b8  0x0000000057003818  0x00007ab4f80fa210    4430  21037056  21019456  org.apache.catalina.loader.ParallelWebappClassLoader | 0x00000000571177b8  0x0000000057003818  0x00007ab504012ad0    4434  21042176  21020080  org.apache.catalina.loader.ParallelWebappClassLoader | 0x00000000571177b8  0x0000000057003818  0x00007ab5ac6170d0       0         0         0  org.apache.catalina.loader.ParallelWebappClassLoader</x:v>
      </x:c>
      <x:c r="U206" s="36" t="n">
        <x:v>37</x:v>
      </x:c>
      <x:c r="V206" s="36" t="n">
        <x:v>10</x:v>
      </x:c>
      <x:c r="W20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206" s="36" t="n">
        <x:v>10</x:v>
      </x:c>
      <x:c r="Y206" s="36" t="n">
        <x:v>10</x:v>
      </x:c>
      <x:c r="Z206" s="44" t="str">
        <x:v>/jcs321</x:v>
      </x:c>
      <x:c r="AA206" s="45" t="b">
        <x:v>1</x:v>
      </x:c>
      <x:c r="AB206" s="43"/>
      <x:c r="AC206" s="34" t="str">
        <x:v>article1-unified-v4-2-fb3f101b-20260903-000401-default-f01-p5-jcs321-5-after-final-undeploy-final-10s-heap-info.txt</x:v>
      </x:c>
      <x:c r="AD206" s="34" t="str">
        <x:v>article1-unified-v4-2-fb3f101b-20260903-000401-default-f01-p5-jcs321-5-after-final-undeploy-final-10s-classloader-stats.txt</x:v>
      </x:c>
      <x:c r="AE206" s="34" t="str">
        <x:v>article1-unified-v4-2-fb3f101b-20260903-000401-default-f01-p5-jcs321-5-after-final-undeploy-final-10s-thread-dump.txt</x:v>
      </x:c>
      <x:c r="AF206" s="34"/>
      <x:c r="AG206" s="34" t="str">
        <x:v>article1-unified-v4-2-fb3f101b-20260903-000401-default-f01-p5-jcs321-5-after-final-undeploy-final-10s-native-memory.txt</x:v>
      </x:c>
      <x:c r="AH206" s="34" t="str">
        <x:v>article1-unified-v4-2-fb3f101b-20260903-000401-default-f01-p5-jcs321-5-after-final-undeploy-final-10s-class-histogram.txt</x:v>
      </x:c>
      <x:c r="AI206" s="34" t="str">
        <x:v>article1-unified-v4-2-fb3f101b-20260903-000401-default-f01-p5-jcs321-5-after-final-undeploy-tomcat-findleaks.txt</x:v>
      </x:c>
    </x:row>
    <x:row r="207">
      <x:c r="A207" s="34" t="str">
        <x:v>article1-unified-v4-2-fb3f101b-20260903-000401-default-f01-p6-jcs4</x:v>
      </x:c>
      <x:c r="B207" s="34" t="str">
        <x:v>default</x:v>
      </x:c>
      <x:c r="C207" s="34" t="str">
        <x:v>jcs4</x:v>
      </x:c>
      <x:c r="D207" s="34" t="str">
        <x:v>jcs4</x:v>
      </x:c>
      <x:c r="E207" s="36" t="n">
        <x:v>1</x:v>
      </x:c>
      <x:c r="F207" s="36" t="n">
        <x:v>1</x:v>
      </x:c>
      <x:c r="G207" s="36" t="n">
        <x:v>6</x:v>
      </x:c>
      <x:c r="H207" s="36" t="n">
        <x:v>0</x:v>
      </x:c>
      <x:c r="I207" s="34" t="str">
        <x:v>processBaseline</x:v>
      </x:c>
      <x:c r="J207" s="34" t="str">
        <x:v>process-baseline</x:v>
      </x:c>
      <x:c r="K207" s="36" t="n">
        <x:v>0</x:v>
      </x:c>
      <x:c r="L207" s="34" t="str">
        <x:v>baseline</x:v>
      </x:c>
      <x:c r="M207" s="34" t="str">
        <x:v>article1-unified-v4-2-fb3f101b-20260903-000401-default-f01-p6-jcs4-process-baseline</x:v>
      </x:c>
      <x:c r="N207" s="38" t="n">
        <x:v>46267.95194280092</x:v>
      </x:c>
      <x:c r="O207" s="36" t="n">
        <x:v>0</x:v>
      </x:c>
      <x:c r="P207" s="43" t="n">
        <x:v>32696320</x:v>
      </x:c>
      <x:c r="Q207" s="43" t="n">
        <x:v>270532608</x:v>
      </x:c>
      <x:c r="R207" s="43" t="n">
        <x:v>369315840</x:v>
      </x:c>
      <x:c r="S207" s="36" t="n">
        <x:v>1</x:v>
      </x:c>
      <x:c r="T207" s="44" t="str">
        <x:v>0x000000001d1177b8  0x000000001d003818  0x000073bb705f61a0       0         0         0  org.apache.catalina.loader.ParallelWebappClassLoader</x:v>
      </x:c>
      <x:c r="U207" s="36" t="n">
        <x:v>27</x:v>
      </x:c>
      <x:c r="V207" s="36" t="n">
        <x:v>0</x:v>
      </x:c>
      <x:c r="W207" s="44"/>
      <x:c r="X207" s="36"/>
      <x:c r="Y207" s="36"/>
      <x:c r="Z207" s="44"/>
      <x:c r="AA207" s="49"/>
      <x:c r="AB207" s="43"/>
      <x:c r="AC207" s="34" t="str">
        <x:v>article1-unified-v4-2-fb3f101b-20260903-000401-default-f01-p6-jcs4-process-baseline-heap-info.txt</x:v>
      </x:c>
      <x:c r="AD207" s="34" t="str">
        <x:v>article1-unified-v4-2-fb3f101b-20260903-000401-default-f01-p6-jcs4-process-baseline-classloader-stats.txt</x:v>
      </x:c>
      <x:c r="AE207" s="34" t="str">
        <x:v>article1-unified-v4-2-fb3f101b-20260903-000401-default-f01-p6-jcs4-process-baseline-thread-dump.txt</x:v>
      </x:c>
      <x:c r="AF207" s="34"/>
      <x:c r="AG207" s="34" t="str">
        <x:v>article1-unified-v4-2-fb3f101b-20260903-000401-default-f01-p6-jcs4-process-baseline-native-memory.txt</x:v>
      </x:c>
      <x:c r="AH207" s="34"/>
      <x:c r="AI207" s="34"/>
    </x:row>
    <x:row r="208">
      <x:c r="A208" s="34" t="str">
        <x:v>article1-unified-v4-2-fb3f101b-20260903-000401-default-f01-p6-jcs4</x:v>
      </x:c>
      <x:c r="B208" s="34" t="str">
        <x:v>default</x:v>
      </x:c>
      <x:c r="C208" s="34" t="str">
        <x:v>jcs4</x:v>
      </x:c>
      <x:c r="D208" s="34" t="str">
        <x:v>jcs4</x:v>
      </x:c>
      <x:c r="E208" s="36" t="n">
        <x:v>1</x:v>
      </x:c>
      <x:c r="F208" s="36" t="n">
        <x:v>1</x:v>
      </x:c>
      <x:c r="G208" s="36" t="n">
        <x:v>6</x:v>
      </x:c>
      <x:c r="H208" s="36" t="n">
        <x:v>1</x:v>
      </x:c>
      <x:c r="I208" s="34" t="str">
        <x:v>baseline</x:v>
      </x:c>
      <x:c r="J208" s="34" t="str">
        <x:v>cycle-baseline</x:v>
      </x:c>
      <x:c r="K208" s="36" t="n">
        <x:v>0</x:v>
      </x:c>
      <x:c r="L208" s="34" t="str">
        <x:v>baseline</x:v>
      </x:c>
      <x:c r="M208" s="34" t="str">
        <x:v>article1-unified-v4-2-fb3f101b-20260903-000401-default-f01-p6-jcs4-1-baseline</x:v>
      </x:c>
      <x:c r="N208" s="38" t="n">
        <x:v>46267.95213664352</x:v>
      </x:c>
      <x:c r="O208" s="36" t="n">
        <x:v>0</x:v>
      </x:c>
      <x:c r="P208" s="43" t="n">
        <x:v>32696320</x:v>
      </x:c>
      <x:c r="Q208" s="43" t="n">
        <x:v>270532608</x:v>
      </x:c>
      <x:c r="R208" s="43" t="n">
        <x:v>369900544</x:v>
      </x:c>
      <x:c r="S208" s="36" t="n">
        <x:v>1</x:v>
      </x:c>
      <x:c r="T208" s="44" t="str">
        <x:v>0x000000001d1177b8  0x000000001d003818  0x000073bb705f61a0       0         0         0  org.apache.catalina.loader.ParallelWebappClassLoader</x:v>
      </x:c>
      <x:c r="U208" s="36" t="n">
        <x:v>27</x:v>
      </x:c>
      <x:c r="V208" s="36" t="n">
        <x:v>0</x:v>
      </x:c>
      <x:c r="W208" s="44"/>
      <x:c r="X208" s="36"/>
      <x:c r="Y208" s="36"/>
      <x:c r="Z208" s="44"/>
      <x:c r="AA208" s="49"/>
      <x:c r="AB208" s="43"/>
      <x:c r="AC208" s="34" t="str">
        <x:v>article1-unified-v4-2-fb3f101b-20260903-000401-default-f01-p6-jcs4-1-baseline-heap-info.txt</x:v>
      </x:c>
      <x:c r="AD208" s="34" t="str">
        <x:v>article1-unified-v4-2-fb3f101b-20260903-000401-default-f01-p6-jcs4-1-baseline-classloader-stats.txt</x:v>
      </x:c>
      <x:c r="AE208" s="34" t="str">
        <x:v>article1-unified-v4-2-fb3f101b-20260903-000401-default-f01-p6-jcs4-1-baseline-thread-dump.txt</x:v>
      </x:c>
      <x:c r="AF208" s="34"/>
      <x:c r="AG208" s="34" t="str">
        <x:v>article1-unified-v4-2-fb3f101b-20260903-000401-default-f01-p6-jcs4-1-baseline-native-memory.txt</x:v>
      </x:c>
      <x:c r="AH208" s="34"/>
      <x:c r="AI208" s="34"/>
    </x:row>
    <x:row r="209">
      <x:c r="A209" s="34" t="str">
        <x:v>article1-unified-v4-2-fb3f101b-20260903-000401-default-f01-p6-jcs4</x:v>
      </x:c>
      <x:c r="B209" s="34" t="str">
        <x:v>default</x:v>
      </x:c>
      <x:c r="C209" s="34" t="str">
        <x:v>jcs4</x:v>
      </x:c>
      <x:c r="D209" s="34" t="str">
        <x:v>jcs4</x:v>
      </x:c>
      <x:c r="E209" s="36" t="n">
        <x:v>1</x:v>
      </x:c>
      <x:c r="F209" s="36" t="n">
        <x:v>1</x:v>
      </x:c>
      <x:c r="G209" s="36" t="n">
        <x:v>6</x:v>
      </x:c>
      <x:c r="H209" s="36" t="n">
        <x:v>1</x:v>
      </x:c>
      <x:c r="I209" s="34" t="str">
        <x:v>deployedIdle</x:v>
      </x:c>
      <x:c r="J209" s="34" t="str">
        <x:v>deployed-idle</x:v>
      </x:c>
      <x:c r="K209" s="36" t="n">
        <x:v>0</x:v>
      </x:c>
      <x:c r="L209" s="34" t="str">
        <x:v>initial</x:v>
      </x:c>
      <x:c r="M209" s="34" t="str">
        <x:v>article1-unified-v4-2-fb3f101b-20260903-000401-default-f01-p6-jcs4-1-deployed-idle</x:v>
      </x:c>
      <x:c r="N209" s="38" t="n">
        <x:v>46267.95224976852</x:v>
      </x:c>
      <x:c r="O209" s="36" t="n">
        <x:v>0</x:v>
      </x:c>
      <x:c r="P209" s="43" t="n">
        <x:v>22497280</x:v>
      </x:c>
      <x:c r="Q209" s="43" t="n">
        <x:v>268435456</x:v>
      </x:c>
      <x:c r="R209" s="43" t="n">
        <x:v>412452864</x:v>
      </x:c>
      <x:c r="S209" s="36" t="n">
        <x:v>2</x:v>
      </x:c>
      <x:c r="T209" s="44" t="str">
        <x:v>0x000000001d1177b8  0x000000001d003818  0x000073bac805ba70    4091  19420160  19401528  org.apache.catalina.loader.ParallelWebappClassLoader | 0x000000001d1177b8  0x000000001d003818  0x000073bb705f61a0       0         0         0  org.apache.catalina.loader.ParallelWebappClassLoader</x:v>
      </x:c>
      <x:c r="U209" s="36" t="n">
        <x:v>27</x:v>
      </x:c>
      <x:c r="V209" s="36" t="n">
        <x:v>0</x:v>
      </x:c>
      <x:c r="W209" s="44"/>
      <x:c r="X209" s="36"/>
      <x:c r="Y209" s="36"/>
      <x:c r="Z209" s="44"/>
      <x:c r="AA209" s="49"/>
      <x:c r="AB209" s="43"/>
      <x:c r="AC209" s="34"/>
      <x:c r="AD209" s="34"/>
      <x:c r="AE209" s="34"/>
      <x:c r="AF209" s="34"/>
      <x:c r="AG209" s="34"/>
      <x:c r="AH209" s="34"/>
      <x:c r="AI209" s="34"/>
    </x:row>
    <x:row r="210">
      <x:c r="A210" s="34" t="str">
        <x:v>article1-unified-v4-2-fb3f101b-20260903-000401-default-f01-p6-jcs4</x:v>
      </x:c>
      <x:c r="B210" s="34" t="str">
        <x:v>default</x:v>
      </x:c>
      <x:c r="C210" s="34" t="str">
        <x:v>jcs4</x:v>
      </x:c>
      <x:c r="D210" s="34" t="str">
        <x:v>jcs4</x:v>
      </x:c>
      <x:c r="E210" s="36" t="n">
        <x:v>1</x:v>
      </x:c>
      <x:c r="F210" s="36" t="n">
        <x:v>1</x:v>
      </x:c>
      <x:c r="G210" s="36" t="n">
        <x:v>6</x:v>
      </x:c>
      <x:c r="H210" s="36" t="n">
        <x:v>1</x:v>
      </x:c>
      <x:c r="I210" s="34" t="str">
        <x:v>loaded</x:v>
      </x:c>
      <x:c r="J210" s="34" t="str">
        <x:v>loaded</x:v>
      </x:c>
      <x:c r="K210" s="36" t="n">
        <x:v>0</x:v>
      </x:c>
      <x:c r="L210" s="34" t="str">
        <x:v>initial</x:v>
      </x:c>
      <x:c r="M210" s="34" t="str">
        <x:v>article1-unified-v4-2-fb3f101b-20260903-000401-default-f01-p6-jcs4-1-loaded</x:v>
      </x:c>
      <x:c r="N210" s="38" t="n">
        <x:v>46267.952402939816</x:v>
      </x:c>
      <x:c r="O210" s="36" t="n">
        <x:v>0</x:v>
      </x:c>
      <x:c r="P210" s="43" t="n">
        <x:v>96198656</x:v>
      </x:c>
      <x:c r="Q210" s="43" t="n">
        <x:v>268435456</x:v>
      </x:c>
      <x:c r="R210" s="43" t="n">
        <x:v>410228736</x:v>
      </x:c>
      <x:c r="S210" s="36" t="n">
        <x:v>2</x:v>
      </x:c>
      <x:c r="T210" s="44" t="str">
        <x:v>0x000000001d1177b8  0x000000001d003818  0x000073bac805ba70    4400  20895744  20887528  org.apache.catalina.loader.ParallelWebappClassLoader | 0x000000001d1177b8  0x000000001d003818  0x000073bb705f61a0       0         0         0  org.apache.catalina.loader.ParallelWebappClassLoader</x:v>
      </x:c>
      <x:c r="U210" s="36" t="n">
        <x:v>28</x:v>
      </x:c>
      <x:c r="V210" s="36" t="n">
        <x:v>1</x:v>
      </x:c>
      <x:c r="W210" s="44" t="str">
        <x:v>jcs4-thread-pool-event-queue:JCS-ThreadPoolManager-ElementEventQueue-Thread-4#49</x:v>
      </x:c>
      <x:c r="X210" s="36"/>
      <x:c r="Y210" s="36"/>
      <x:c r="Z210" s="44"/>
      <x:c r="AA210" s="49"/>
      <x:c r="AB210" s="43"/>
      <x:c r="AC210" s="34"/>
      <x:c r="AD210" s="34"/>
      <x:c r="AE210" s="34"/>
      <x:c r="AF210" s="34"/>
      <x:c r="AG210" s="34"/>
      <x:c r="AH210" s="34"/>
      <x:c r="AI210" s="34"/>
    </x:row>
    <x:row r="211">
      <x:c r="A211" s="34" t="str">
        <x:v>article1-unified-v4-2-fb3f101b-20260903-000401-default-f01-p6-jcs4</x:v>
      </x:c>
      <x:c r="B211" s="34" t="str">
        <x:v>default</x:v>
      </x:c>
      <x:c r="C211" s="34" t="str">
        <x:v>jcs4</x:v>
      </x:c>
      <x:c r="D211" s="34" t="str">
        <x:v>jcs4</x:v>
      </x:c>
      <x:c r="E211" s="36" t="n">
        <x:v>1</x:v>
      </x:c>
      <x:c r="F211" s="36" t="n">
        <x:v>1</x:v>
      </x:c>
      <x:c r="G211" s="36" t="n">
        <x:v>6</x:v>
      </x:c>
      <x:c r="H211" s="36" t="n">
        <x:v>1</x:v>
      </x:c>
      <x:c r="I211" s="34" t="str">
        <x:v>afterUndeployEarly</x:v>
      </x:c>
      <x:c r="J211" s="34" t="str">
        <x:v>after-undeploy-early</x:v>
      </x:c>
      <x:c r="K211" s="36" t="n">
        <x:v>1</x:v>
      </x:c>
      <x:c r="L211" s="34" t="str">
        <x:v>early</x:v>
      </x:c>
      <x:c r="M211" s="34" t="str">
        <x:v>article1-unified-v4-2-fb3f101b-20260903-000401-default-f01-p6-jcs4-1-after-undeploy-early-2s</x:v>
      </x:c>
      <x:c r="N211" s="38" t="n">
        <x:v>46267.95248723379</x:v>
      </x:c>
      <x:c r="O211" s="36"/>
      <x:c r="P211" s="43"/>
      <x:c r="Q211" s="43"/>
      <x:c r="R211" s="43"/>
      <x:c r="S211" s="36"/>
      <x:c r="T211" s="44"/>
      <x:c r="U211" s="36" t="n">
        <x:v>27</x:v>
      </x:c>
      <x:c r="V211" s="36" t="n">
        <x:v>0</x:v>
      </x:c>
      <x:c r="W211" s="44"/>
      <x:c r="X211" s="36"/>
      <x:c r="Y211" s="36"/>
      <x:c r="Z211" s="44"/>
      <x:c r="AA211" s="49"/>
      <x:c r="AB211" s="43" t="n">
        <x:v>5</x:v>
      </x:c>
      <x:c r="AC211" s="34"/>
      <x:c r="AD211" s="34"/>
      <x:c r="AE211" s="34" t="str">
        <x:v>article1-unified-v4-2-fb3f101b-20260903-000401-default-f01-p6-jcs4-1-after-undeploy-early-2s-thread-dump.txt</x:v>
      </x:c>
      <x:c r="AF211" s="34" t="str">
        <x:v>article1-unified-v4-2-fb3f101b-20260903-000401-default-f01-p6-jcs4-1-after-undeploy-early-tomcat-log.txt</x:v>
      </x:c>
      <x:c r="AG211" s="34"/>
      <x:c r="AH211" s="34"/>
      <x:c r="AI211" s="34"/>
    </x:row>
    <x:row r="212">
      <x:c r="A212" s="34" t="str">
        <x:v>article1-unified-v4-2-fb3f101b-20260903-000401-default-f01-p6-jcs4</x:v>
      </x:c>
      <x:c r="B212" s="34" t="str">
        <x:v>default</x:v>
      </x:c>
      <x:c r="C212" s="34" t="str">
        <x:v>jcs4</x:v>
      </x:c>
      <x:c r="D212" s="34" t="str">
        <x:v>jcs4</x:v>
      </x:c>
      <x:c r="E212" s="36" t="n">
        <x:v>1</x:v>
      </x:c>
      <x:c r="F212" s="36" t="n">
        <x:v>1</x:v>
      </x:c>
      <x:c r="G212" s="36" t="n">
        <x:v>6</x:v>
      </x:c>
      <x:c r="H212" s="36" t="n">
        <x:v>1</x:v>
      </x:c>
      <x:c r="I212" s="34" t="str">
        <x:v>afterUndeploy</x:v>
      </x:c>
      <x:c r="J212" s="34" t="str">
        <x:v>after-undeploy-final</x:v>
      </x:c>
      <x:c r="K212" s="36" t="n">
        <x:v>1</x:v>
      </x:c>
      <x:c r="L212" s="34" t="str">
        <x:v>final</x:v>
      </x:c>
      <x:c r="M212" s="34" t="str">
        <x:v>article1-unified-v4-2-fb3f101b-20260903-000401-default-f01-p6-jcs4-1-after-undeploy-final-10s</x:v>
      </x:c>
      <x:c r="N212" s="38" t="n">
        <x:v>46267.952645729165</x:v>
      </x:c>
      <x:c r="O212" s="36" t="n">
        <x:v>2</x:v>
      </x:c>
      <x:c r="P212" s="43" t="n">
        <x:v>15593472</x:v>
      </x:c>
      <x:c r="Q212" s="43" t="n">
        <x:v>268435456</x:v>
      </x:c>
      <x:c r="R212" s="43" t="n">
        <x:v>409110528</x:v>
      </x:c>
      <x:c r="S212" s="36" t="n">
        <x:v>2</x:v>
      </x:c>
      <x:c r="T212" s="44" t="str">
        <x:v>0x000000001d1177b8  0x000000001d003818  0x000073bb705f61a0       0         0         0  org.apache.catalina.loader.ParallelWebappClassLoader | 0x000000001d1177b8  0x000000001d003818  0x000073bac805ba70    4414  20938752  20922640  org.apache.catalina.loader.ParallelWebappClassLoader</x:v>
      </x:c>
      <x:c r="U212" s="36" t="n">
        <x:v>27</x:v>
      </x:c>
      <x:c r="V212" s="36" t="n">
        <x:v>0</x:v>
      </x:c>
      <x:c r="W212" s="44"/>
      <x:c r="X212" s="36" t="n">
        <x:v>1</x:v>
      </x:c>
      <x:c r="Y212" s="36" t="n">
        <x:v>1</x:v>
      </x:c>
      <x:c r="Z212" s="44" t="str">
        <x:v>/jcs4</x:v>
      </x:c>
      <x:c r="AA212" s="45" t="b">
        <x:v>1</x:v>
      </x:c>
      <x:c r="AB212" s="43"/>
      <x:c r="AC212" s="34" t="str">
        <x:v>article1-unified-v4-2-fb3f101b-20260903-000401-default-f01-p6-jcs4-1-after-undeploy-final-10s-heap-info.txt</x:v>
      </x:c>
      <x:c r="AD212" s="34" t="str">
        <x:v>article1-unified-v4-2-fb3f101b-20260903-000401-default-f01-p6-jcs4-1-after-undeploy-final-10s-classloader-stats.txt</x:v>
      </x:c>
      <x:c r="AE212" s="34" t="str">
        <x:v>article1-unified-v4-2-fb3f101b-20260903-000401-default-f01-p6-jcs4-1-after-undeploy-final-10s-thread-dump.txt</x:v>
      </x:c>
      <x:c r="AF212" s="34"/>
      <x:c r="AG212" s="34" t="str">
        <x:v>article1-unified-v4-2-fb3f101b-20260903-000401-default-f01-p6-jcs4-1-after-undeploy-final-10s-native-memory.txt</x:v>
      </x:c>
      <x:c r="AH212" s="34" t="str">
        <x:v>article1-unified-v4-2-fb3f101b-20260903-000401-default-f01-p6-jcs4-1-after-undeploy-final-10s-class-histogram.txt</x:v>
      </x:c>
      <x:c r="AI212" s="34" t="str">
        <x:v>article1-unified-v4-2-fb3f101b-20260903-000401-default-f01-p6-jcs4-1-after-undeploy-tomcat-findleaks.txt</x:v>
      </x:c>
    </x:row>
    <x:row r="213">
      <x:c r="A213" s="34" t="str">
        <x:v>article1-unified-v4-2-fb3f101b-20260903-000401-default-f01-p6-jcs4</x:v>
      </x:c>
      <x:c r="B213" s="34" t="str">
        <x:v>default</x:v>
      </x:c>
      <x:c r="C213" s="34" t="str">
        <x:v>jcs4</x:v>
      </x:c>
      <x:c r="D213" s="34" t="str">
        <x:v>jcs4</x:v>
      </x:c>
      <x:c r="E213" s="36" t="n">
        <x:v>1</x:v>
      </x:c>
      <x:c r="F213" s="36" t="n">
        <x:v>1</x:v>
      </x:c>
      <x:c r="G213" s="36" t="n">
        <x:v>6</x:v>
      </x:c>
      <x:c r="H213" s="36" t="n">
        <x:v>1</x:v>
      </x:c>
      <x:c r="I213" s="34" t="str">
        <x:v>redeployedLoaded</x:v>
      </x:c>
      <x:c r="J213" s="34" t="str">
        <x:v>redeployed-loaded</x:v>
      </x:c>
      <x:c r="K213" s="36" t="n">
        <x:v>0</x:v>
      </x:c>
      <x:c r="L213" s="34" t="str">
        <x:v>redeploy</x:v>
      </x:c>
      <x:c r="M213" s="34" t="str">
        <x:v>article1-unified-v4-2-fb3f101b-20260903-000401-default-f01-p6-jcs4-1-redeployed-loaded</x:v>
      </x:c>
      <x:c r="N213" s="38" t="n">
        <x:v>46267.952912685185</x:v>
      </x:c>
      <x:c r="O213" s="36" t="n">
        <x:v>0</x:v>
      </x:c>
      <x:c r="P213" s="43" t="n">
        <x:v>86267904</x:v>
      </x:c>
      <x:c r="Q213" s="43" t="n">
        <x:v>268435456</x:v>
      </x:c>
      <x:c r="R213" s="43" t="n">
        <x:v>436637696</x:v>
      </x:c>
      <x:c r="S213" s="36" t="n">
        <x:v>3</x:v>
      </x:c>
      <x:c r="T213" s="44" t="str">
        <x:v>0x000000001d1177b8  0x000000001d003818  0x000073bb705f61a0       0         0         0  org.apache.catalina.loader.ParallelWebappClassLoader | 0x000000001d1177b8  0x000000001d003818  0x000073bae400fd10    4395  20971520  20948304  org.apache.catalina.loader.ParallelWebappClassLoader | 0x000000001d1177b8  0x000000001d003818  0x000073bac805ba70    4414  20938752  20922640  org.apache.catalina.loader.ParallelWebappClassLoader</x:v>
      </x:c>
      <x:c r="U213" s="36" t="n">
        <x:v>28</x:v>
      </x:c>
      <x:c r="V213" s="36" t="n">
        <x:v>1</x:v>
      </x:c>
      <x:c r="W213" s="44" t="str">
        <x:v>jcs4-thread-pool-event-queue:JCS-ThreadPoolManager-ElementEventQueue-Thread-7#91</x:v>
      </x:c>
      <x:c r="X213" s="36"/>
      <x:c r="Y213" s="36"/>
      <x:c r="Z213" s="44"/>
      <x:c r="AA213" s="49"/>
      <x:c r="AB213" s="43"/>
      <x:c r="AC213" s="34"/>
      <x:c r="AD213" s="34"/>
      <x:c r="AE213" s="34"/>
      <x:c r="AF213" s="34"/>
      <x:c r="AG213" s="34"/>
      <x:c r="AH213" s="34"/>
      <x:c r="AI213" s="34"/>
    </x:row>
    <x:row r="214">
      <x:c r="A214" s="34" t="str">
        <x:v>article1-unified-v4-2-fb3f101b-20260903-000401-default-f01-p6-jcs4</x:v>
      </x:c>
      <x:c r="B214" s="34" t="str">
        <x:v>default</x:v>
      </x:c>
      <x:c r="C214" s="34" t="str">
        <x:v>jcs4</x:v>
      </x:c>
      <x:c r="D214" s="34" t="str">
        <x:v>jcs4</x:v>
      </x:c>
      <x:c r="E214" s="36" t="n">
        <x:v>1</x:v>
      </x:c>
      <x:c r="F214" s="36" t="n">
        <x:v>1</x:v>
      </x:c>
      <x:c r="G214" s="36" t="n">
        <x:v>6</x:v>
      </x:c>
      <x:c r="H214" s="36" t="n">
        <x:v>1</x:v>
      </x:c>
      <x:c r="I214" s="34" t="str">
        <x:v>afterFinalUndeployEarly</x:v>
      </x:c>
      <x:c r="J214" s="34" t="str">
        <x:v>after-final-undeploy-early</x:v>
      </x:c>
      <x:c r="K214" s="36" t="n">
        <x:v>2</x:v>
      </x:c>
      <x:c r="L214" s="34" t="str">
        <x:v>early</x:v>
      </x:c>
      <x:c r="M214" s="34" t="str">
        <x:v>article1-unified-v4-2-fb3f101b-20260903-000401-default-f01-p6-jcs4-1-after-final-undeploy-early-2s</x:v>
      </x:c>
      <x:c r="N214" s="38" t="n">
        <x:v>46267.95299603009</x:v>
      </x:c>
      <x:c r="O214" s="36"/>
      <x:c r="P214" s="43"/>
      <x:c r="Q214" s="43"/>
      <x:c r="R214" s="43"/>
      <x:c r="S214" s="36"/>
      <x:c r="T214" s="44"/>
      <x:c r="U214" s="36" t="n">
        <x:v>27</x:v>
      </x:c>
      <x:c r="V214" s="36" t="n">
        <x:v>0</x:v>
      </x:c>
      <x:c r="W214" s="44"/>
      <x:c r="X214" s="36"/>
      <x:c r="Y214" s="36"/>
      <x:c r="Z214" s="44"/>
      <x:c r="AA214" s="49"/>
      <x:c r="AB214" s="43" t="n">
        <x:v>5</x:v>
      </x:c>
      <x:c r="AC214" s="34"/>
      <x:c r="AD214" s="34"/>
      <x:c r="AE214" s="34" t="str">
        <x:v>article1-unified-v4-2-fb3f101b-20260903-000401-default-f01-p6-jcs4-1-after-final-undeploy-early-2s-thread-dump.txt</x:v>
      </x:c>
      <x:c r="AF214" s="34" t="str">
        <x:v>article1-unified-v4-2-fb3f101b-20260903-000401-default-f01-p6-jcs4-1-after-final-undeploy-early-tomcat-log.txt</x:v>
      </x:c>
      <x:c r="AG214" s="34"/>
      <x:c r="AH214" s="34"/>
      <x:c r="AI214" s="34"/>
    </x:row>
    <x:row r="215">
      <x:c r="A215" s="34" t="str">
        <x:v>article1-unified-v4-2-fb3f101b-20260903-000401-default-f01-p6-jcs4</x:v>
      </x:c>
      <x:c r="B215" s="34" t="str">
        <x:v>default</x:v>
      </x:c>
      <x:c r="C215" s="34" t="str">
        <x:v>jcs4</x:v>
      </x:c>
      <x:c r="D215" s="34" t="str">
        <x:v>jcs4</x:v>
      </x:c>
      <x:c r="E215" s="36" t="n">
        <x:v>1</x:v>
      </x:c>
      <x:c r="F215" s="36" t="n">
        <x:v>1</x:v>
      </x:c>
      <x:c r="G215" s="36" t="n">
        <x:v>6</x:v>
      </x:c>
      <x:c r="H215" s="36" t="n">
        <x:v>1</x:v>
      </x:c>
      <x:c r="I215" s="34" t="str">
        <x:v>afterFinalUndeploy</x:v>
      </x:c>
      <x:c r="J215" s="34" t="str">
        <x:v>after-final-undeploy-final</x:v>
      </x:c>
      <x:c r="K215" s="36" t="n">
        <x:v>2</x:v>
      </x:c>
      <x:c r="L215" s="34" t="str">
        <x:v>final</x:v>
      </x:c>
      <x:c r="M215" s="34" t="str">
        <x:v>article1-unified-v4-2-fb3f101b-20260903-000401-default-f01-p6-jcs4-1-after-final-undeploy-final-10s</x:v>
      </x:c>
      <x:c r="N215" s="38" t="n">
        <x:v>46267.95315243056</x:v>
      </x:c>
      <x:c r="O215" s="36" t="n">
        <x:v>2</x:v>
      </x:c>
      <x:c r="P215" s="43" t="n">
        <x:v>15631360</x:v>
      </x:c>
      <x:c r="Q215" s="43" t="n">
        <x:v>268435456</x:v>
      </x:c>
      <x:c r="R215" s="43" t="n">
        <x:v>417545216</x:v>
      </x:c>
      <x:c r="S215" s="36" t="n">
        <x:v>2</x:v>
      </x:c>
      <x:c r="T215" s="44" t="str">
        <x:v>0x000000001d1177b8  0x000000001d003818  0x000073bb705f61a0       0         0         0  org.apache.catalina.loader.ParallelWebappClassLoader | 0x000000001d1177b8  0x000000001d003818  0x000073bae400fd10    4409  20987904  20983688  org.apache.catalina.loader.ParallelWebappClassLoader</x:v>
      </x:c>
      <x:c r="U215" s="36" t="n">
        <x:v>27</x:v>
      </x:c>
      <x:c r="V215" s="36" t="n">
        <x:v>0</x:v>
      </x:c>
      <x:c r="W215" s="44"/>
      <x:c r="X215" s="36" t="n">
        <x:v>1</x:v>
      </x:c>
      <x:c r="Y215" s="36" t="n">
        <x:v>1</x:v>
      </x:c>
      <x:c r="Z215" s="44" t="str">
        <x:v>/jcs4</x:v>
      </x:c>
      <x:c r="AA215" s="45" t="b">
        <x:v>1</x:v>
      </x:c>
      <x:c r="AB215" s="43"/>
      <x:c r="AC215" s="34" t="str">
        <x:v>article1-unified-v4-2-fb3f101b-20260903-000401-default-f01-p6-jcs4-1-after-final-undeploy-final-10s-heap-info.txt</x:v>
      </x:c>
      <x:c r="AD215" s="34" t="str">
        <x:v>article1-unified-v4-2-fb3f101b-20260903-000401-default-f01-p6-jcs4-1-after-final-undeploy-final-10s-classloader-stats.txt</x:v>
      </x:c>
      <x:c r="AE215" s="34" t="str">
        <x:v>article1-unified-v4-2-fb3f101b-20260903-000401-default-f01-p6-jcs4-1-after-final-undeploy-final-10s-thread-dump.txt</x:v>
      </x:c>
      <x:c r="AF215" s="34"/>
      <x:c r="AG215" s="34" t="str">
        <x:v>article1-unified-v4-2-fb3f101b-20260903-000401-default-f01-p6-jcs4-1-after-final-undeploy-final-10s-native-memory.txt</x:v>
      </x:c>
      <x:c r="AH215" s="34" t="str">
        <x:v>article1-unified-v4-2-fb3f101b-20260903-000401-default-f01-p6-jcs4-1-after-final-undeploy-final-10s-class-histogram.txt</x:v>
      </x:c>
      <x:c r="AI215" s="34" t="str">
        <x:v>article1-unified-v4-2-fb3f101b-20260903-000401-default-f01-p6-jcs4-1-after-final-undeploy-tomcat-findleaks.txt</x:v>
      </x:c>
    </x:row>
    <x:row r="216">
      <x:c r="A216" s="34" t="str">
        <x:v>article1-unified-v4-2-fb3f101b-20260903-000401-default-f01-p6-jcs4</x:v>
      </x:c>
      <x:c r="B216" s="34" t="str">
        <x:v>default</x:v>
      </x:c>
      <x:c r="C216" s="34" t="str">
        <x:v>jcs4</x:v>
      </x:c>
      <x:c r="D216" s="34" t="str">
        <x:v>jcs4</x:v>
      </x:c>
      <x:c r="E216" s="36" t="n">
        <x:v>1</x:v>
      </x:c>
      <x:c r="F216" s="36" t="n">
        <x:v>1</x:v>
      </x:c>
      <x:c r="G216" s="36" t="n">
        <x:v>6</x:v>
      </x:c>
      <x:c r="H216" s="36" t="n">
        <x:v>2</x:v>
      </x:c>
      <x:c r="I216" s="34" t="str">
        <x:v>baseline</x:v>
      </x:c>
      <x:c r="J216" s="34" t="str">
        <x:v>cycle-baseline</x:v>
      </x:c>
      <x:c r="K216" s="36" t="n">
        <x:v>0</x:v>
      </x:c>
      <x:c r="L216" s="34" t="str">
        <x:v>baseline</x:v>
      </x:c>
      <x:c r="M216" s="34" t="str">
        <x:v>article1-unified-v4-2-fb3f101b-20260903-000401-default-f01-p6-jcs4-2-baseline</x:v>
      </x:c>
      <x:c r="N216" s="38" t="n">
        <x:v>46267.9531971875</x:v>
      </x:c>
      <x:c r="O216" s="36" t="n">
        <x:v>0</x:v>
      </x:c>
      <x:c r="P216" s="43" t="n">
        <x:v>15631360</x:v>
      </x:c>
      <x:c r="Q216" s="43" t="n">
        <x:v>268435456</x:v>
      </x:c>
      <x:c r="R216" s="43" t="n">
        <x:v>417544192</x:v>
      </x:c>
      <x:c r="S216" s="36" t="n">
        <x:v>2</x:v>
      </x:c>
      <x:c r="T216" s="44" t="str">
        <x:v>0x000000001d1177b8  0x000000001d003818  0x000073bb705f61a0       0         0         0  org.apache.catalina.loader.ParallelWebappClassLoader | 0x000000001d1177b8  0x000000001d003818  0x000073bae400fd10    4409  20987904  20983688  org.apache.catalina.loader.ParallelWebappClassLoader</x:v>
      </x:c>
      <x:c r="U216" s="36" t="n">
        <x:v>27</x:v>
      </x:c>
      <x:c r="V216" s="36" t="n">
        <x:v>0</x:v>
      </x:c>
      <x:c r="W216" s="44"/>
      <x:c r="X216" s="36"/>
      <x:c r="Y216" s="36"/>
      <x:c r="Z216" s="44"/>
      <x:c r="AA216" s="49"/>
      <x:c r="AB216" s="43"/>
      <x:c r="AC216" s="34" t="str">
        <x:v>article1-unified-v4-2-fb3f101b-20260903-000401-default-f01-p6-jcs4-2-baseline-heap-info.txt</x:v>
      </x:c>
      <x:c r="AD216" s="34" t="str">
        <x:v>article1-unified-v4-2-fb3f101b-20260903-000401-default-f01-p6-jcs4-2-baseline-classloader-stats.txt</x:v>
      </x:c>
      <x:c r="AE216" s="34" t="str">
        <x:v>article1-unified-v4-2-fb3f101b-20260903-000401-default-f01-p6-jcs4-2-baseline-thread-dump.txt</x:v>
      </x:c>
      <x:c r="AF216" s="34"/>
      <x:c r="AG216" s="34" t="str">
        <x:v>article1-unified-v4-2-fb3f101b-20260903-000401-default-f01-p6-jcs4-2-baseline-native-memory.txt</x:v>
      </x:c>
      <x:c r="AH216" s="34"/>
      <x:c r="AI216" s="34"/>
    </x:row>
    <x:row r="217">
      <x:c r="A217" s="34" t="str">
        <x:v>article1-unified-v4-2-fb3f101b-20260903-000401-default-f01-p6-jcs4</x:v>
      </x:c>
      <x:c r="B217" s="34" t="str">
        <x:v>default</x:v>
      </x:c>
      <x:c r="C217" s="34" t="str">
        <x:v>jcs4</x:v>
      </x:c>
      <x:c r="D217" s="34" t="str">
        <x:v>jcs4</x:v>
      </x:c>
      <x:c r="E217" s="36" t="n">
        <x:v>1</x:v>
      </x:c>
      <x:c r="F217" s="36" t="n">
        <x:v>1</x:v>
      </x:c>
      <x:c r="G217" s="36" t="n">
        <x:v>6</x:v>
      </x:c>
      <x:c r="H217" s="36" t="n">
        <x:v>2</x:v>
      </x:c>
      <x:c r="I217" s="34" t="str">
        <x:v>deployedIdle</x:v>
      </x:c>
      <x:c r="J217" s="34" t="str">
        <x:v>deployed-idle</x:v>
      </x:c>
      <x:c r="K217" s="36" t="n">
        <x:v>0</x:v>
      </x:c>
      <x:c r="L217" s="34" t="str">
        <x:v>initial</x:v>
      </x:c>
      <x:c r="M217" s="34" t="str">
        <x:v>article1-unified-v4-2-fb3f101b-20260903-000401-default-f01-p6-jcs4-2-deployed-idle</x:v>
      </x:c>
      <x:c r="N217" s="38" t="n">
        <x:v>46267.95331372685</x:v>
      </x:c>
      <x:c r="O217" s="36" t="n">
        <x:v>0</x:v>
      </x:c>
      <x:c r="P217" s="43" t="n">
        <x:v>169011200</x:v>
      </x:c>
      <x:c r="Q217" s="43" t="n">
        <x:v>268435456</x:v>
      </x:c>
      <x:c r="R217" s="43" t="n">
        <x:v>435526656</x:v>
      </x:c>
      <x:c r="S217" s="36" t="n">
        <x:v>3</x:v>
      </x:c>
      <x:c r="T217" s="44" t="str">
        <x:v>0x000000001d1177b8  0x000000001d003818  0x000073bb705f61a0       0         0         0  org.apache.catalina.loader.ParallelWebappClassLoader | 0x000000001d1177b8  0x000000001d003818  0x000073bae400fd10    4409  20987904  20983688  org.apache.catalina.loader.ParallelWebappClassLoader | 0x000000001d1177b8  0x000000001d003818  0x000073baec060d10    4091  19441664  19430648  org.apache.catalina.loader.ParallelWebappClassLoader</x:v>
      </x:c>
      <x:c r="U217" s="36" t="n">
        <x:v>27</x:v>
      </x:c>
      <x:c r="V217" s="36" t="n">
        <x:v>0</x:v>
      </x:c>
      <x:c r="W217" s="44"/>
      <x:c r="X217" s="36"/>
      <x:c r="Y217" s="36"/>
      <x:c r="Z217" s="44"/>
      <x:c r="AA217" s="49"/>
      <x:c r="AB217" s="43"/>
      <x:c r="AC217" s="34"/>
      <x:c r="AD217" s="34"/>
      <x:c r="AE217" s="34"/>
      <x:c r="AF217" s="34"/>
      <x:c r="AG217" s="34"/>
      <x:c r="AH217" s="34"/>
      <x:c r="AI217" s="34"/>
    </x:row>
    <x:row r="218">
      <x:c r="A218" s="34" t="str">
        <x:v>article1-unified-v4-2-fb3f101b-20260903-000401-default-f01-p6-jcs4</x:v>
      </x:c>
      <x:c r="B218" s="34" t="str">
        <x:v>default</x:v>
      </x:c>
      <x:c r="C218" s="34" t="str">
        <x:v>jcs4</x:v>
      </x:c>
      <x:c r="D218" s="34" t="str">
        <x:v>jcs4</x:v>
      </x:c>
      <x:c r="E218" s="36" t="n">
        <x:v>1</x:v>
      </x:c>
      <x:c r="F218" s="36" t="n">
        <x:v>1</x:v>
      </x:c>
      <x:c r="G218" s="36" t="n">
        <x:v>6</x:v>
      </x:c>
      <x:c r="H218" s="36" t="n">
        <x:v>2</x:v>
      </x:c>
      <x:c r="I218" s="34" t="str">
        <x:v>loaded</x:v>
      </x:c>
      <x:c r="J218" s="34" t="str">
        <x:v>loaded</x:v>
      </x:c>
      <x:c r="K218" s="36" t="n">
        <x:v>0</x:v>
      </x:c>
      <x:c r="L218" s="34" t="str">
        <x:v>initial</x:v>
      </x:c>
      <x:c r="M218" s="34" t="str">
        <x:v>article1-unified-v4-2-fb3f101b-20260903-000401-default-f01-p6-jcs4-2-loaded</x:v>
      </x:c>
      <x:c r="N218" s="38" t="n">
        <x:v>46267.95345872685</x:v>
      </x:c>
      <x:c r="O218" s="36" t="n">
        <x:v>0</x:v>
      </x:c>
      <x:c r="P218" s="43" t="n">
        <x:v>99363840</x:v>
      </x:c>
      <x:c r="Q218" s="43" t="n">
        <x:v>268435456</x:v>
      </x:c>
      <x:c r="R218" s="43" t="n">
        <x:v>439770112</x:v>
      </x:c>
      <x:c r="S218" s="36" t="n">
        <x:v>3</x:v>
      </x:c>
      <x:c r="T218" s="44" t="str">
        <x:v>0x000000001d1177b8  0x000000001d003818  0x000073baec060d10    4388  20939776  20937848  org.apache.catalina.loader.ParallelWebappClassLoader | 0x000000001d1177b8  0x000000001d003818  0x000073bb705f61a0       0         0         0  org.apache.catalina.loader.ParallelWebappClassLoader | 0x000000001d1177b8  0x000000001d003818  0x000073bae400fd10    4409  20987904  20983688  org.apache.catalina.loader.ParallelWebappClassLoader</x:v>
      </x:c>
      <x:c r="U218" s="36" t="n">
        <x:v>28</x:v>
      </x:c>
      <x:c r="V218" s="36" t="n">
        <x:v>1</x:v>
      </x:c>
      <x:c r="W218" s="44" t="str">
        <x:v>jcs4-thread-pool-event-queue:JCS-ThreadPoolManager-ElementEventQueue-Thread-10#133</x:v>
      </x:c>
      <x:c r="X218" s="36"/>
      <x:c r="Y218" s="36"/>
      <x:c r="Z218" s="44"/>
      <x:c r="AA218" s="49"/>
      <x:c r="AB218" s="43"/>
      <x:c r="AC218" s="34"/>
      <x:c r="AD218" s="34"/>
      <x:c r="AE218" s="34"/>
      <x:c r="AF218" s="34"/>
      <x:c r="AG218" s="34"/>
      <x:c r="AH218" s="34"/>
      <x:c r="AI218" s="34"/>
    </x:row>
    <x:row r="219">
      <x:c r="A219" s="34" t="str">
        <x:v>article1-unified-v4-2-fb3f101b-20260903-000401-default-f01-p6-jcs4</x:v>
      </x:c>
      <x:c r="B219" s="34" t="str">
        <x:v>default</x:v>
      </x:c>
      <x:c r="C219" s="34" t="str">
        <x:v>jcs4</x:v>
      </x:c>
      <x:c r="D219" s="34" t="str">
        <x:v>jcs4</x:v>
      </x:c>
      <x:c r="E219" s="36" t="n">
        <x:v>1</x:v>
      </x:c>
      <x:c r="F219" s="36" t="n">
        <x:v>1</x:v>
      </x:c>
      <x:c r="G219" s="36" t="n">
        <x:v>6</x:v>
      </x:c>
      <x:c r="H219" s="36" t="n">
        <x:v>2</x:v>
      </x:c>
      <x:c r="I219" s="34" t="str">
        <x:v>afterUndeployEarly</x:v>
      </x:c>
      <x:c r="J219" s="34" t="str">
        <x:v>after-undeploy-early</x:v>
      </x:c>
      <x:c r="K219" s="36" t="n">
        <x:v>1</x:v>
      </x:c>
      <x:c r="L219" s="34" t="str">
        <x:v>early</x:v>
      </x:c>
      <x:c r="M219" s="34" t="str">
        <x:v>article1-unified-v4-2-fb3f101b-20260903-000401-default-f01-p6-jcs4-2-after-undeploy-early-2s</x:v>
      </x:c>
      <x:c r="N219" s="38" t="n">
        <x:v>46267.95354510417</x:v>
      </x:c>
      <x:c r="O219" s="36"/>
      <x:c r="P219" s="43"/>
      <x:c r="Q219" s="43"/>
      <x:c r="R219" s="43"/>
      <x:c r="S219" s="36"/>
      <x:c r="T219" s="44"/>
      <x:c r="U219" s="36" t="n">
        <x:v>27</x:v>
      </x:c>
      <x:c r="V219" s="36" t="n">
        <x:v>0</x:v>
      </x:c>
      <x:c r="W219" s="44"/>
      <x:c r="X219" s="36"/>
      <x:c r="Y219" s="36"/>
      <x:c r="Z219" s="44"/>
      <x:c r="AA219" s="49"/>
      <x:c r="AB219" s="43" t="n">
        <x:v>5</x:v>
      </x:c>
      <x:c r="AC219" s="34"/>
      <x:c r="AD219" s="34"/>
      <x:c r="AE219" s="34" t="str">
        <x:v>article1-unified-v4-2-fb3f101b-20260903-000401-default-f01-p6-jcs4-2-after-undeploy-early-2s-thread-dump.txt</x:v>
      </x:c>
      <x:c r="AF219" s="34" t="str">
        <x:v>article1-unified-v4-2-fb3f101b-20260903-000401-default-f01-p6-jcs4-2-after-undeploy-early-tomcat-log.txt</x:v>
      </x:c>
      <x:c r="AG219" s="34"/>
      <x:c r="AH219" s="34"/>
      <x:c r="AI219" s="34"/>
    </x:row>
    <x:row r="220">
      <x:c r="A220" s="34" t="str">
        <x:v>article1-unified-v4-2-fb3f101b-20260903-000401-default-f01-p6-jcs4</x:v>
      </x:c>
      <x:c r="B220" s="34" t="str">
        <x:v>default</x:v>
      </x:c>
      <x:c r="C220" s="34" t="str">
        <x:v>jcs4</x:v>
      </x:c>
      <x:c r="D220" s="34" t="str">
        <x:v>jcs4</x:v>
      </x:c>
      <x:c r="E220" s="36" t="n">
        <x:v>1</x:v>
      </x:c>
      <x:c r="F220" s="36" t="n">
        <x:v>1</x:v>
      </x:c>
      <x:c r="G220" s="36" t="n">
        <x:v>6</x:v>
      </x:c>
      <x:c r="H220" s="36" t="n">
        <x:v>2</x:v>
      </x:c>
      <x:c r="I220" s="34" t="str">
        <x:v>afterUndeploy</x:v>
      </x:c>
      <x:c r="J220" s="34" t="str">
        <x:v>after-undeploy-final</x:v>
      </x:c>
      <x:c r="K220" s="36" t="n">
        <x:v>1</x:v>
      </x:c>
      <x:c r="L220" s="34" t="str">
        <x:v>final</x:v>
      </x:c>
      <x:c r="M220" s="34" t="str">
        <x:v>article1-unified-v4-2-fb3f101b-20260903-000401-default-f01-p6-jcs4-2-after-undeploy-final-10s</x:v>
      </x:c>
      <x:c r="N220" s="38" t="n">
        <x:v>46267.95370420139</x:v>
      </x:c>
      <x:c r="O220" s="36" t="n">
        <x:v>2</x:v>
      </x:c>
      <x:c r="P220" s="43" t="n">
        <x:v>15651840</x:v>
      </x:c>
      <x:c r="Q220" s="43" t="n">
        <x:v>268435456</x:v>
      </x:c>
      <x:c r="R220" s="43" t="n">
        <x:v>416205824</x:v>
      </x:c>
      <x:c r="S220" s="36" t="n">
        <x:v>2</x:v>
      </x:c>
      <x:c r="T220" s="44" t="str">
        <x:v>0x000000001d1177b8  0x000000001d003818  0x000073bb705f61a0       0         0         0  org.apache.catalina.loader.ParallelWebappClassLoader | 0x000000001d1177b8  0x000000001d003818  0x000073baec060d10    4402  20988928  20972976  org.apache.catalina.loader.ParallelWebappClassLoader</x:v>
      </x:c>
      <x:c r="U220" s="36" t="n">
        <x:v>27</x:v>
      </x:c>
      <x:c r="V220" s="36" t="n">
        <x:v>0</x:v>
      </x:c>
      <x:c r="W220" s="44"/>
      <x:c r="X220" s="36" t="n">
        <x:v>1</x:v>
      </x:c>
      <x:c r="Y220" s="36" t="n">
        <x:v>1</x:v>
      </x:c>
      <x:c r="Z220" s="44" t="str">
        <x:v>/jcs4</x:v>
      </x:c>
      <x:c r="AA220" s="45" t="b">
        <x:v>1</x:v>
      </x:c>
      <x:c r="AB220" s="43"/>
      <x:c r="AC220" s="34" t="str">
        <x:v>article1-unified-v4-2-fb3f101b-20260903-000401-default-f01-p6-jcs4-2-after-undeploy-final-10s-heap-info.txt</x:v>
      </x:c>
      <x:c r="AD220" s="34" t="str">
        <x:v>article1-unified-v4-2-fb3f101b-20260903-000401-default-f01-p6-jcs4-2-after-undeploy-final-10s-classloader-stats.txt</x:v>
      </x:c>
      <x:c r="AE220" s="34" t="str">
        <x:v>article1-unified-v4-2-fb3f101b-20260903-000401-default-f01-p6-jcs4-2-after-undeploy-final-10s-thread-dump.txt</x:v>
      </x:c>
      <x:c r="AF220" s="34"/>
      <x:c r="AG220" s="34" t="str">
        <x:v>article1-unified-v4-2-fb3f101b-20260903-000401-default-f01-p6-jcs4-2-after-undeploy-final-10s-native-memory.txt</x:v>
      </x:c>
      <x:c r="AH220" s="34" t="str">
        <x:v>article1-unified-v4-2-fb3f101b-20260903-000401-default-f01-p6-jcs4-2-after-undeploy-final-10s-class-histogram.txt</x:v>
      </x:c>
      <x:c r="AI220" s="34" t="str">
        <x:v>article1-unified-v4-2-fb3f101b-20260903-000401-default-f01-p6-jcs4-2-after-undeploy-tomcat-findleaks.txt</x:v>
      </x:c>
    </x:row>
    <x:row r="221">
      <x:c r="A221" s="34" t="str">
        <x:v>article1-unified-v4-2-fb3f101b-20260903-000401-default-f01-p6-jcs4</x:v>
      </x:c>
      <x:c r="B221" s="34" t="str">
        <x:v>default</x:v>
      </x:c>
      <x:c r="C221" s="34" t="str">
        <x:v>jcs4</x:v>
      </x:c>
      <x:c r="D221" s="34" t="str">
        <x:v>jcs4</x:v>
      </x:c>
      <x:c r="E221" s="36" t="n">
        <x:v>1</x:v>
      </x:c>
      <x:c r="F221" s="36" t="n">
        <x:v>1</x:v>
      </x:c>
      <x:c r="G221" s="36" t="n">
        <x:v>6</x:v>
      </x:c>
      <x:c r="H221" s="36" t="n">
        <x:v>2</x:v>
      </x:c>
      <x:c r="I221" s="34" t="str">
        <x:v>redeployedLoaded</x:v>
      </x:c>
      <x:c r="J221" s="34" t="str">
        <x:v>redeployed-loaded</x:v>
      </x:c>
      <x:c r="K221" s="36" t="n">
        <x:v>0</x:v>
      </x:c>
      <x:c r="L221" s="34" t="str">
        <x:v>redeploy</x:v>
      </x:c>
      <x:c r="M221" s="34" t="str">
        <x:v>article1-unified-v4-2-fb3f101b-20260903-000401-default-f01-p6-jcs4-2-redeployed-loaded</x:v>
      </x:c>
      <x:c r="N221" s="38" t="n">
        <x:v>46267.95395850694</x:v>
      </x:c>
      <x:c r="O221" s="36" t="n">
        <x:v>0</x:v>
      </x:c>
      <x:c r="P221" s="43" t="n">
        <x:v>103043072</x:v>
      </x:c>
      <x:c r="Q221" s="43" t="n">
        <x:v>268435456</x:v>
      </x:c>
      <x:c r="R221" s="43" t="n">
        <x:v>439272448</x:v>
      </x:c>
      <x:c r="S221" s="36" t="n">
        <x:v>3</x:v>
      </x:c>
      <x:c r="T221" s="44" t="str">
        <x:v>0x000000001d1177b8  0x000000001d003818  0x000073bad41a3cc0    4395  20960256  20938992  org.apache.catalina.loader.ParallelWebappClassLoader | 0x000000001d1177b8  0x000000001d003818  0x000073bb705f61a0       0         0         0  org.apache.catalina.loader.ParallelWebappClassLoader | 0x000000001d1177b8  0x000000001d003818  0x000073baec060d10    4402  20988928  20972976  org.apache.catalina.loader.ParallelWebappClassLoader</x:v>
      </x:c>
      <x:c r="U221" s="36" t="n">
        <x:v>28</x:v>
      </x:c>
      <x:c r="V221" s="36" t="n">
        <x:v>1</x:v>
      </x:c>
      <x:c r="W221" s="44" t="str">
        <x:v>jcs4-thread-pool-event-queue:JCS-ThreadPoolManager-ElementEventQueue-Thread-13#176</x:v>
      </x:c>
      <x:c r="X221" s="36"/>
      <x:c r="Y221" s="36"/>
      <x:c r="Z221" s="44"/>
      <x:c r="AA221" s="49"/>
      <x:c r="AB221" s="43"/>
      <x:c r="AC221" s="34"/>
      <x:c r="AD221" s="34"/>
      <x:c r="AE221" s="34"/>
      <x:c r="AF221" s="34"/>
      <x:c r="AG221" s="34"/>
      <x:c r="AH221" s="34"/>
      <x:c r="AI221" s="34"/>
    </x:row>
    <x:row r="222">
      <x:c r="A222" s="34" t="str">
        <x:v>article1-unified-v4-2-fb3f101b-20260903-000401-default-f01-p6-jcs4</x:v>
      </x:c>
      <x:c r="B222" s="34" t="str">
        <x:v>default</x:v>
      </x:c>
      <x:c r="C222" s="34" t="str">
        <x:v>jcs4</x:v>
      </x:c>
      <x:c r="D222" s="34" t="str">
        <x:v>jcs4</x:v>
      </x:c>
      <x:c r="E222" s="36" t="n">
        <x:v>1</x:v>
      </x:c>
      <x:c r="F222" s="36" t="n">
        <x:v>1</x:v>
      </x:c>
      <x:c r="G222" s="36" t="n">
        <x:v>6</x:v>
      </x:c>
      <x:c r="H222" s="36" t="n">
        <x:v>2</x:v>
      </x:c>
      <x:c r="I222" s="34" t="str">
        <x:v>afterFinalUndeployEarly</x:v>
      </x:c>
      <x:c r="J222" s="34" t="str">
        <x:v>after-final-undeploy-early</x:v>
      </x:c>
      <x:c r="K222" s="36" t="n">
        <x:v>2</x:v>
      </x:c>
      <x:c r="L222" s="34" t="str">
        <x:v>early</x:v>
      </x:c>
      <x:c r="M222" s="34" t="str">
        <x:v>article1-unified-v4-2-fb3f101b-20260903-000401-default-f01-p6-jcs4-2-after-final-undeploy-early-2s</x:v>
      </x:c>
      <x:c r="N222" s="38" t="n">
        <x:v>46267.95404347222</x:v>
      </x:c>
      <x:c r="O222" s="36"/>
      <x:c r="P222" s="43"/>
      <x:c r="Q222" s="43"/>
      <x:c r="R222" s="43"/>
      <x:c r="S222" s="36"/>
      <x:c r="T222" s="44"/>
      <x:c r="U222" s="36" t="n">
        <x:v>27</x:v>
      </x:c>
      <x:c r="V222" s="36" t="n">
        <x:v>0</x:v>
      </x:c>
      <x:c r="W222" s="44"/>
      <x:c r="X222" s="36"/>
      <x:c r="Y222" s="36"/>
      <x:c r="Z222" s="44"/>
      <x:c r="AA222" s="49"/>
      <x:c r="AB222" s="43" t="n">
        <x:v>5</x:v>
      </x:c>
      <x:c r="AC222" s="34"/>
      <x:c r="AD222" s="34"/>
      <x:c r="AE222" s="34" t="str">
        <x:v>article1-unified-v4-2-fb3f101b-20260903-000401-default-f01-p6-jcs4-2-after-final-undeploy-early-2s-thread-dump.txt</x:v>
      </x:c>
      <x:c r="AF222" s="34" t="str">
        <x:v>article1-unified-v4-2-fb3f101b-20260903-000401-default-f01-p6-jcs4-2-after-final-undeploy-early-tomcat-log.txt</x:v>
      </x:c>
      <x:c r="AG222" s="34"/>
      <x:c r="AH222" s="34"/>
      <x:c r="AI222" s="34"/>
    </x:row>
    <x:row r="223">
      <x:c r="A223" s="34" t="str">
        <x:v>article1-unified-v4-2-fb3f101b-20260903-000401-default-f01-p6-jcs4</x:v>
      </x:c>
      <x:c r="B223" s="34" t="str">
        <x:v>default</x:v>
      </x:c>
      <x:c r="C223" s="34" t="str">
        <x:v>jcs4</x:v>
      </x:c>
      <x:c r="D223" s="34" t="str">
        <x:v>jcs4</x:v>
      </x:c>
      <x:c r="E223" s="36" t="n">
        <x:v>1</x:v>
      </x:c>
      <x:c r="F223" s="36" t="n">
        <x:v>1</x:v>
      </x:c>
      <x:c r="G223" s="36" t="n">
        <x:v>6</x:v>
      </x:c>
      <x:c r="H223" s="36" t="n">
        <x:v>2</x:v>
      </x:c>
      <x:c r="I223" s="34" t="str">
        <x:v>afterFinalUndeploy</x:v>
      </x:c>
      <x:c r="J223" s="34" t="str">
        <x:v>after-final-undeploy-final</x:v>
      </x:c>
      <x:c r="K223" s="36" t="n">
        <x:v>2</x:v>
      </x:c>
      <x:c r="L223" s="34" t="str">
        <x:v>final</x:v>
      </x:c>
      <x:c r="M223" s="34" t="str">
        <x:v>article1-unified-v4-2-fb3f101b-20260903-000401-default-f01-p6-jcs4-2-after-final-undeploy-final-10s</x:v>
      </x:c>
      <x:c r="N223" s="38" t="n">
        <x:v>46267.9541968287</x:v>
      </x:c>
      <x:c r="O223" s="36" t="n">
        <x:v>2</x:v>
      </x:c>
      <x:c r="P223" s="43" t="n">
        <x:v>15663104</x:v>
      </x:c>
      <x:c r="Q223" s="43" t="n">
        <x:v>268435456</x:v>
      </x:c>
      <x:c r="R223" s="43" t="n">
        <x:v>421799936</x:v>
      </x:c>
      <x:c r="S223" s="36" t="n">
        <x:v>2</x:v>
      </x:c>
      <x:c r="T223" s="44" t="str">
        <x:v>0x000000001d1177b8  0x000000001d003818  0x000073bb705f61a0       0         0         0  org.apache.catalina.loader.ParallelWebappClassLoader | 0x000000001d1177b8  0x000000001d003818  0x000073bad41a3cc0    4409  20976640  20974376  org.apache.catalina.loader.ParallelWebappClassLoader</x:v>
      </x:c>
      <x:c r="U223" s="36" t="n">
        <x:v>27</x:v>
      </x:c>
      <x:c r="V223" s="36" t="n">
        <x:v>0</x:v>
      </x:c>
      <x:c r="W223" s="44"/>
      <x:c r="X223" s="36" t="n">
        <x:v>1</x:v>
      </x:c>
      <x:c r="Y223" s="36" t="n">
        <x:v>1</x:v>
      </x:c>
      <x:c r="Z223" s="44" t="str">
        <x:v>/jcs4</x:v>
      </x:c>
      <x:c r="AA223" s="45" t="b">
        <x:v>1</x:v>
      </x:c>
      <x:c r="AB223" s="43"/>
      <x:c r="AC223" s="34" t="str">
        <x:v>article1-unified-v4-2-fb3f101b-20260903-000401-default-f01-p6-jcs4-2-after-final-undeploy-final-10s-heap-info.txt</x:v>
      </x:c>
      <x:c r="AD223" s="34" t="str">
        <x:v>article1-unified-v4-2-fb3f101b-20260903-000401-default-f01-p6-jcs4-2-after-final-undeploy-final-10s-classloader-stats.txt</x:v>
      </x:c>
      <x:c r="AE223" s="34" t="str">
        <x:v>article1-unified-v4-2-fb3f101b-20260903-000401-default-f01-p6-jcs4-2-after-final-undeploy-final-10s-thread-dump.txt</x:v>
      </x:c>
      <x:c r="AF223" s="34"/>
      <x:c r="AG223" s="34" t="str">
        <x:v>article1-unified-v4-2-fb3f101b-20260903-000401-default-f01-p6-jcs4-2-after-final-undeploy-final-10s-native-memory.txt</x:v>
      </x:c>
      <x:c r="AH223" s="34" t="str">
        <x:v>article1-unified-v4-2-fb3f101b-20260903-000401-default-f01-p6-jcs4-2-after-final-undeploy-final-10s-class-histogram.txt</x:v>
      </x:c>
      <x:c r="AI223" s="34" t="str">
        <x:v>article1-unified-v4-2-fb3f101b-20260903-000401-default-f01-p6-jcs4-2-after-final-undeploy-tomcat-findleaks.txt</x:v>
      </x:c>
    </x:row>
    <x:row r="224">
      <x:c r="A224" s="34" t="str">
        <x:v>article1-unified-v4-2-fb3f101b-20260903-000401-default-f01-p6-jcs4</x:v>
      </x:c>
      <x:c r="B224" s="34" t="str">
        <x:v>default</x:v>
      </x:c>
      <x:c r="C224" s="34" t="str">
        <x:v>jcs4</x:v>
      </x:c>
      <x:c r="D224" s="34" t="str">
        <x:v>jcs4</x:v>
      </x:c>
      <x:c r="E224" s="36" t="n">
        <x:v>1</x:v>
      </x:c>
      <x:c r="F224" s="36" t="n">
        <x:v>1</x:v>
      </x:c>
      <x:c r="G224" s="36" t="n">
        <x:v>6</x:v>
      </x:c>
      <x:c r="H224" s="36" t="n">
        <x:v>3</x:v>
      </x:c>
      <x:c r="I224" s="34" t="str">
        <x:v>baseline</x:v>
      </x:c>
      <x:c r="J224" s="34" t="str">
        <x:v>cycle-baseline</x:v>
      </x:c>
      <x:c r="K224" s="36" t="n">
        <x:v>0</x:v>
      </x:c>
      <x:c r="L224" s="34" t="str">
        <x:v>baseline</x:v>
      </x:c>
      <x:c r="M224" s="34" t="str">
        <x:v>article1-unified-v4-2-fb3f101b-20260903-000401-default-f01-p6-jcs4-3-baseline</x:v>
      </x:c>
      <x:c r="N224" s="38" t="n">
        <x:v>46267.954240659725</x:v>
      </x:c>
      <x:c r="O224" s="36" t="n">
        <x:v>0</x:v>
      </x:c>
      <x:c r="P224" s="43" t="n">
        <x:v>15668224</x:v>
      </x:c>
      <x:c r="Q224" s="43" t="n">
        <x:v>268435456</x:v>
      </x:c>
      <x:c r="R224" s="43" t="n">
        <x:v>421569536</x:v>
      </x:c>
      <x:c r="S224" s="36" t="n">
        <x:v>2</x:v>
      </x:c>
      <x:c r="T224" s="44" t="str">
        <x:v>0x000000001d1177b8  0x000000001d003818  0x000073bb705f61a0       0         0         0  org.apache.catalina.loader.ParallelWebappClassLoader | 0x000000001d1177b8  0x000000001d003818  0x000073bad41a3cc0    4409  20976640  20974376  org.apache.catalina.loader.ParallelWebappClassLoader</x:v>
      </x:c>
      <x:c r="U224" s="36" t="n">
        <x:v>27</x:v>
      </x:c>
      <x:c r="V224" s="36" t="n">
        <x:v>0</x:v>
      </x:c>
      <x:c r="W224" s="44"/>
      <x:c r="X224" s="36"/>
      <x:c r="Y224" s="36"/>
      <x:c r="Z224" s="44"/>
      <x:c r="AA224" s="49"/>
      <x:c r="AB224" s="43"/>
      <x:c r="AC224" s="34" t="str">
        <x:v>article1-unified-v4-2-fb3f101b-20260903-000401-default-f01-p6-jcs4-3-baseline-heap-info.txt</x:v>
      </x:c>
      <x:c r="AD224" s="34" t="str">
        <x:v>article1-unified-v4-2-fb3f101b-20260903-000401-default-f01-p6-jcs4-3-baseline-classloader-stats.txt</x:v>
      </x:c>
      <x:c r="AE224" s="34" t="str">
        <x:v>article1-unified-v4-2-fb3f101b-20260903-000401-default-f01-p6-jcs4-3-baseline-thread-dump.txt</x:v>
      </x:c>
      <x:c r="AF224" s="34"/>
      <x:c r="AG224" s="34" t="str">
        <x:v>article1-unified-v4-2-fb3f101b-20260903-000401-default-f01-p6-jcs4-3-baseline-native-memory.txt</x:v>
      </x:c>
      <x:c r="AH224" s="34"/>
      <x:c r="AI224" s="34"/>
    </x:row>
    <x:row r="225">
      <x:c r="A225" s="34" t="str">
        <x:v>article1-unified-v4-2-fb3f101b-20260903-000401-default-f01-p6-jcs4</x:v>
      </x:c>
      <x:c r="B225" s="34" t="str">
        <x:v>default</x:v>
      </x:c>
      <x:c r="C225" s="34" t="str">
        <x:v>jcs4</x:v>
      </x:c>
      <x:c r="D225" s="34" t="str">
        <x:v>jcs4</x:v>
      </x:c>
      <x:c r="E225" s="36" t="n">
        <x:v>1</x:v>
      </x:c>
      <x:c r="F225" s="36" t="n">
        <x:v>1</x:v>
      </x:c>
      <x:c r="G225" s="36" t="n">
        <x:v>6</x:v>
      </x:c>
      <x:c r="H225" s="36" t="n">
        <x:v>3</x:v>
      </x:c>
      <x:c r="I225" s="34" t="str">
        <x:v>deployedIdle</x:v>
      </x:c>
      <x:c r="J225" s="34" t="str">
        <x:v>deployed-idle</x:v>
      </x:c>
      <x:c r="K225" s="36" t="n">
        <x:v>0</x:v>
      </x:c>
      <x:c r="L225" s="34" t="str">
        <x:v>initial</x:v>
      </x:c>
      <x:c r="M225" s="34" t="str">
        <x:v>article1-unified-v4-2-fb3f101b-20260903-000401-default-f01-p6-jcs4-3-deployed-idle</x:v>
      </x:c>
      <x:c r="N225" s="38" t="n">
        <x:v>46267.95433800926</x:v>
      </x:c>
      <x:c r="O225" s="36" t="n">
        <x:v>0</x:v>
      </x:c>
      <x:c r="P225" s="43" t="n">
        <x:v>167044096</x:v>
      </x:c>
      <x:c r="Q225" s="43" t="n">
        <x:v>268435456</x:v>
      </x:c>
      <x:c r="R225" s="43" t="n">
        <x:v>455926784</x:v>
      </x:c>
      <x:c r="S225" s="36" t="n">
        <x:v>3</x:v>
      </x:c>
      <x:c r="T225" s="44" t="str">
        <x:v>0x000000001d1177b8  0x000000001d003818  0x000073bb705f61a0       0         0         0  org.apache.catalina.loader.ParallelWebappClassLoader | 0x000000001d1177b8  0x000000001d003818  0x000073badc1d8470    4091  19439616  19429576  org.apache.catalina.loader.ParallelWebappClassLoader | 0x000000001d1177b8  0x000000001d003818  0x000073bad41a3cc0    4409  20976640  20974376  org.apache.catalina.loader.ParallelWebappClassLoader</x:v>
      </x:c>
      <x:c r="U225" s="36" t="n">
        <x:v>27</x:v>
      </x:c>
      <x:c r="V225" s="36" t="n">
        <x:v>0</x:v>
      </x:c>
      <x:c r="W225" s="44"/>
      <x:c r="X225" s="36"/>
      <x:c r="Y225" s="36"/>
      <x:c r="Z225" s="44"/>
      <x:c r="AA225" s="49"/>
      <x:c r="AB225" s="43"/>
      <x:c r="AC225" s="34"/>
      <x:c r="AD225" s="34"/>
      <x:c r="AE225" s="34"/>
      <x:c r="AF225" s="34"/>
      <x:c r="AG225" s="34"/>
      <x:c r="AH225" s="34"/>
      <x:c r="AI225" s="34"/>
    </x:row>
    <x:row r="226">
      <x:c r="A226" s="34" t="str">
        <x:v>article1-unified-v4-2-fb3f101b-20260903-000401-default-f01-p6-jcs4</x:v>
      </x:c>
      <x:c r="B226" s="34" t="str">
        <x:v>default</x:v>
      </x:c>
      <x:c r="C226" s="34" t="str">
        <x:v>jcs4</x:v>
      </x:c>
      <x:c r="D226" s="34" t="str">
        <x:v>jcs4</x:v>
      </x:c>
      <x:c r="E226" s="36" t="n">
        <x:v>1</x:v>
      </x:c>
      <x:c r="F226" s="36" t="n">
        <x:v>1</x:v>
      </x:c>
      <x:c r="G226" s="36" t="n">
        <x:v>6</x:v>
      </x:c>
      <x:c r="H226" s="36" t="n">
        <x:v>3</x:v>
      </x:c>
      <x:c r="I226" s="34" t="str">
        <x:v>loaded</x:v>
      </x:c>
      <x:c r="J226" s="34" t="str">
        <x:v>loaded</x:v>
      </x:c>
      <x:c r="K226" s="36" t="n">
        <x:v>0</x:v>
      </x:c>
      <x:c r="L226" s="34" t="str">
        <x:v>initial</x:v>
      </x:c>
      <x:c r="M226" s="34" t="str">
        <x:v>article1-unified-v4-2-fb3f101b-20260903-000401-default-f01-p6-jcs4-3-loaded</x:v>
      </x:c>
      <x:c r="N226" s="38" t="n">
        <x:v>46267.954484421294</x:v>
      </x:c>
      <x:c r="O226" s="36" t="n">
        <x:v>0</x:v>
      </x:c>
      <x:c r="P226" s="43" t="n">
        <x:v>144108544</x:v>
      </x:c>
      <x:c r="Q226" s="43" t="n">
        <x:v>268435456</x:v>
      </x:c>
      <x:c r="R226" s="43" t="n">
        <x:v>441580544</x:v>
      </x:c>
      <x:c r="S226" s="36" t="n">
        <x:v>3</x:v>
      </x:c>
      <x:c r="T226" s="44" t="str">
        <x:v>0x000000001d1177b8  0x000000001d003818  0x000073bb705f61a0       0         0         0  org.apache.catalina.loader.ParallelWebappClassLoader | 0x000000001d1177b8  0x000000001d003818  0x000073badc1d8470    4390  20947968  20932136  org.apache.catalina.loader.ParallelWebappClassLoader | 0x000000001d1177b8  0x000000001d003818  0x000073bad41a3cc0    4409  20976640  20974376  org.apache.catalina.loader.ParallelWebappClassLoader</x:v>
      </x:c>
      <x:c r="U226" s="36" t="n">
        <x:v>28</x:v>
      </x:c>
      <x:c r="V226" s="36" t="n">
        <x:v>1</x:v>
      </x:c>
      <x:c r="W226" s="44" t="str">
        <x:v>jcs4-thread-pool-event-queue:JCS-ThreadPoolManager-ElementEventQueue-Thread-16#218</x:v>
      </x:c>
      <x:c r="X226" s="36"/>
      <x:c r="Y226" s="36"/>
      <x:c r="Z226" s="44"/>
      <x:c r="AA226" s="49"/>
      <x:c r="AB226" s="43"/>
      <x:c r="AC226" s="34"/>
      <x:c r="AD226" s="34"/>
      <x:c r="AE226" s="34"/>
      <x:c r="AF226" s="34"/>
      <x:c r="AG226" s="34"/>
      <x:c r="AH226" s="34"/>
      <x:c r="AI226" s="34"/>
    </x:row>
    <x:row r="227">
      <x:c r="A227" s="34" t="str">
        <x:v>article1-unified-v4-2-fb3f101b-20260903-000401-default-f01-p6-jcs4</x:v>
      </x:c>
      <x:c r="B227" s="34" t="str">
        <x:v>default</x:v>
      </x:c>
      <x:c r="C227" s="34" t="str">
        <x:v>jcs4</x:v>
      </x:c>
      <x:c r="D227" s="34" t="str">
        <x:v>jcs4</x:v>
      </x:c>
      <x:c r="E227" s="36" t="n">
        <x:v>1</x:v>
      </x:c>
      <x:c r="F227" s="36" t="n">
        <x:v>1</x:v>
      </x:c>
      <x:c r="G227" s="36" t="n">
        <x:v>6</x:v>
      </x:c>
      <x:c r="H227" s="36" t="n">
        <x:v>3</x:v>
      </x:c>
      <x:c r="I227" s="34" t="str">
        <x:v>afterUndeployEarly</x:v>
      </x:c>
      <x:c r="J227" s="34" t="str">
        <x:v>after-undeploy-early</x:v>
      </x:c>
      <x:c r="K227" s="36" t="n">
        <x:v>1</x:v>
      </x:c>
      <x:c r="L227" s="34" t="str">
        <x:v>early</x:v>
      </x:c>
      <x:c r="M227" s="34" t="str">
        <x:v>article1-unified-v4-2-fb3f101b-20260903-000401-default-f01-p6-jcs4-3-after-undeploy-early-2s</x:v>
      </x:c>
      <x:c r="N227" s="38" t="n">
        <x:v>46267.95456702547</x:v>
      </x:c>
      <x:c r="O227" s="36"/>
      <x:c r="P227" s="43"/>
      <x:c r="Q227" s="43"/>
      <x:c r="R227" s="43"/>
      <x:c r="S227" s="36"/>
      <x:c r="T227" s="44"/>
      <x:c r="U227" s="36" t="n">
        <x:v>27</x:v>
      </x:c>
      <x:c r="V227" s="36" t="n">
        <x:v>0</x:v>
      </x:c>
      <x:c r="W227" s="44"/>
      <x:c r="X227" s="36"/>
      <x:c r="Y227" s="36"/>
      <x:c r="Z227" s="44"/>
      <x:c r="AA227" s="49"/>
      <x:c r="AB227" s="43" t="n">
        <x:v>5</x:v>
      </x:c>
      <x:c r="AC227" s="34"/>
      <x:c r="AD227" s="34"/>
      <x:c r="AE227" s="34" t="str">
        <x:v>article1-unified-v4-2-fb3f101b-20260903-000401-default-f01-p6-jcs4-3-after-undeploy-early-2s-thread-dump.txt</x:v>
      </x:c>
      <x:c r="AF227" s="34" t="str">
        <x:v>article1-unified-v4-2-fb3f101b-20260903-000401-default-f01-p6-jcs4-3-after-undeploy-early-tomcat-log.txt</x:v>
      </x:c>
      <x:c r="AG227" s="34"/>
      <x:c r="AH227" s="34"/>
      <x:c r="AI227" s="34"/>
    </x:row>
    <x:row r="228">
      <x:c r="A228" s="34" t="str">
        <x:v>article1-unified-v4-2-fb3f101b-20260903-000401-default-f01-p6-jcs4</x:v>
      </x:c>
      <x:c r="B228" s="34" t="str">
        <x:v>default</x:v>
      </x:c>
      <x:c r="C228" s="34" t="str">
        <x:v>jcs4</x:v>
      </x:c>
      <x:c r="D228" s="34" t="str">
        <x:v>jcs4</x:v>
      </x:c>
      <x:c r="E228" s="36" t="n">
        <x:v>1</x:v>
      </x:c>
      <x:c r="F228" s="36" t="n">
        <x:v>1</x:v>
      </x:c>
      <x:c r="G228" s="36" t="n">
        <x:v>6</x:v>
      </x:c>
      <x:c r="H228" s="36" t="n">
        <x:v>3</x:v>
      </x:c>
      <x:c r="I228" s="34" t="str">
        <x:v>afterUndeploy</x:v>
      </x:c>
      <x:c r="J228" s="34" t="str">
        <x:v>after-undeploy-final</x:v>
      </x:c>
      <x:c r="K228" s="36" t="n">
        <x:v>1</x:v>
      </x:c>
      <x:c r="L228" s="34" t="str">
        <x:v>final</x:v>
      </x:c>
      <x:c r="M228" s="34" t="str">
        <x:v>article1-unified-v4-2-fb3f101b-20260903-000401-default-f01-p6-jcs4-3-after-undeploy-final-10s</x:v>
      </x:c>
      <x:c r="N228" s="38" t="n">
        <x:v>46267.95472015046</x:v>
      </x:c>
      <x:c r="O228" s="36" t="n">
        <x:v>2</x:v>
      </x:c>
      <x:c r="P228" s="43" t="n">
        <x:v>15691776</x:v>
      </x:c>
      <x:c r="Q228" s="43" t="n">
        <x:v>268435456</x:v>
      </x:c>
      <x:c r="R228" s="43" t="n">
        <x:v>419762176</x:v>
      </x:c>
      <x:c r="S228" s="36" t="n">
        <x:v>2</x:v>
      </x:c>
      <x:c r="T228" s="44" t="str">
        <x:v>0x000000001d1177b8  0x000000001d003818  0x000073bb705f61a0       0         0         0  org.apache.catalina.loader.ParallelWebappClassLoader | 0x000000001d1177b8  0x000000001d003818  0x000073badc1d8470    4404  20980736  20967528  org.apache.catalina.loader.ParallelWebappClassLoader</x:v>
      </x:c>
      <x:c r="U228" s="36" t="n">
        <x:v>27</x:v>
      </x:c>
      <x:c r="V228" s="36" t="n">
        <x:v>0</x:v>
      </x:c>
      <x:c r="W228" s="44"/>
      <x:c r="X228" s="36" t="n">
        <x:v>1</x:v>
      </x:c>
      <x:c r="Y228" s="36" t="n">
        <x:v>1</x:v>
      </x:c>
      <x:c r="Z228" s="44" t="str">
        <x:v>/jcs4</x:v>
      </x:c>
      <x:c r="AA228" s="45" t="b">
        <x:v>1</x:v>
      </x:c>
      <x:c r="AB228" s="43"/>
      <x:c r="AC228" s="34" t="str">
        <x:v>article1-unified-v4-2-fb3f101b-20260903-000401-default-f01-p6-jcs4-3-after-undeploy-final-10s-heap-info.txt</x:v>
      </x:c>
      <x:c r="AD228" s="34" t="str">
        <x:v>article1-unified-v4-2-fb3f101b-20260903-000401-default-f01-p6-jcs4-3-after-undeploy-final-10s-classloader-stats.txt</x:v>
      </x:c>
      <x:c r="AE228" s="34" t="str">
        <x:v>article1-unified-v4-2-fb3f101b-20260903-000401-default-f01-p6-jcs4-3-after-undeploy-final-10s-thread-dump.txt</x:v>
      </x:c>
      <x:c r="AF228" s="34"/>
      <x:c r="AG228" s="34" t="str">
        <x:v>article1-unified-v4-2-fb3f101b-20260903-000401-default-f01-p6-jcs4-3-after-undeploy-final-10s-native-memory.txt</x:v>
      </x:c>
      <x:c r="AH228" s="34" t="str">
        <x:v>article1-unified-v4-2-fb3f101b-20260903-000401-default-f01-p6-jcs4-3-after-undeploy-final-10s-class-histogram.txt</x:v>
      </x:c>
      <x:c r="AI228" s="34" t="str">
        <x:v>article1-unified-v4-2-fb3f101b-20260903-000401-default-f01-p6-jcs4-3-after-undeploy-tomcat-findleaks.txt</x:v>
      </x:c>
    </x:row>
    <x:row r="229">
      <x:c r="A229" s="34" t="str">
        <x:v>article1-unified-v4-2-fb3f101b-20260903-000401-default-f01-p6-jcs4</x:v>
      </x:c>
      <x:c r="B229" s="34" t="str">
        <x:v>default</x:v>
      </x:c>
      <x:c r="C229" s="34" t="str">
        <x:v>jcs4</x:v>
      </x:c>
      <x:c r="D229" s="34" t="str">
        <x:v>jcs4</x:v>
      </x:c>
      <x:c r="E229" s="36" t="n">
        <x:v>1</x:v>
      </x:c>
      <x:c r="F229" s="36" t="n">
        <x:v>1</x:v>
      </x:c>
      <x:c r="G229" s="36" t="n">
        <x:v>6</x:v>
      </x:c>
      <x:c r="H229" s="36" t="n">
        <x:v>3</x:v>
      </x:c>
      <x:c r="I229" s="34" t="str">
        <x:v>redeployedLoaded</x:v>
      </x:c>
      <x:c r="J229" s="34" t="str">
        <x:v>redeployed-loaded</x:v>
      </x:c>
      <x:c r="K229" s="36" t="n">
        <x:v>0</x:v>
      </x:c>
      <x:c r="L229" s="34" t="str">
        <x:v>redeploy</x:v>
      </x:c>
      <x:c r="M229" s="34" t="str">
        <x:v>article1-unified-v4-2-fb3f101b-20260903-000401-default-f01-p6-jcs4-3-redeployed-loaded</x:v>
      </x:c>
      <x:c r="N229" s="38" t="n">
        <x:v>46267.954974016204</x:v>
      </x:c>
      <x:c r="O229" s="36" t="n">
        <x:v>0</x:v>
      </x:c>
      <x:c r="P229" s="43" t="n">
        <x:v>141513728</x:v>
      </x:c>
      <x:c r="Q229" s="43" t="n">
        <x:v>268435456</x:v>
      </x:c>
      <x:c r="R229" s="43" t="n">
        <x:v>442540032</x:v>
      </x:c>
      <x:c r="S229" s="36" t="n">
        <x:v>3</x:v>
      </x:c>
      <x:c r="T229" s="44" t="str">
        <x:v>0x000000001d1177b8  0x000000001d003818  0x000073bb705f61a0       0         0         0  org.apache.catalina.loader.ParallelWebappClassLoader | 0x000000001d1177b8  0x000000001d003818  0x000073badc1d8470    4404  20980736  20967528  org.apache.catalina.loader.ParallelWebappClassLoader | 0x000000001d1177b8  0x000000001d003818  0x000073bae0006e00    4390  20954112  20936552  org.apache.catalina.loader.ParallelWebappClassLoader</x:v>
      </x:c>
      <x:c r="U229" s="36" t="n">
        <x:v>28</x:v>
      </x:c>
      <x:c r="V229" s="36" t="n">
        <x:v>1</x:v>
      </x:c>
      <x:c r="W229" s="44" t="str">
        <x:v>jcs4-thread-pool-event-queue:JCS-ThreadPoolManager-ElementEventQueue-Thread-19#261</x:v>
      </x:c>
      <x:c r="X229" s="36"/>
      <x:c r="Y229" s="36"/>
      <x:c r="Z229" s="44"/>
      <x:c r="AA229" s="49"/>
      <x:c r="AB229" s="43"/>
      <x:c r="AC229" s="34"/>
      <x:c r="AD229" s="34"/>
      <x:c r="AE229" s="34"/>
      <x:c r="AF229" s="34"/>
      <x:c r="AG229" s="34"/>
      <x:c r="AH229" s="34"/>
      <x:c r="AI229" s="34"/>
    </x:row>
    <x:row r="230">
      <x:c r="A230" s="34" t="str">
        <x:v>article1-unified-v4-2-fb3f101b-20260903-000401-default-f01-p6-jcs4</x:v>
      </x:c>
      <x:c r="B230" s="34" t="str">
        <x:v>default</x:v>
      </x:c>
      <x:c r="C230" s="34" t="str">
        <x:v>jcs4</x:v>
      </x:c>
      <x:c r="D230" s="34" t="str">
        <x:v>jcs4</x:v>
      </x:c>
      <x:c r="E230" s="36" t="n">
        <x:v>1</x:v>
      </x:c>
      <x:c r="F230" s="36" t="n">
        <x:v>1</x:v>
      </x:c>
      <x:c r="G230" s="36" t="n">
        <x:v>6</x:v>
      </x:c>
      <x:c r="H230" s="36" t="n">
        <x:v>3</x:v>
      </x:c>
      <x:c r="I230" s="34" t="str">
        <x:v>afterFinalUndeployEarly</x:v>
      </x:c>
      <x:c r="J230" s="34" t="str">
        <x:v>after-final-undeploy-early</x:v>
      </x:c>
      <x:c r="K230" s="36" t="n">
        <x:v>2</x:v>
      </x:c>
      <x:c r="L230" s="34" t="str">
        <x:v>early</x:v>
      </x:c>
      <x:c r="M230" s="34" t="str">
        <x:v>article1-unified-v4-2-fb3f101b-20260903-000401-default-f01-p6-jcs4-3-after-final-undeploy-early-2s</x:v>
      </x:c>
      <x:c r="N230" s="38" t="n">
        <x:v>46267.95505549769</x:v>
      </x:c>
      <x:c r="O230" s="36"/>
      <x:c r="P230" s="43"/>
      <x:c r="Q230" s="43"/>
      <x:c r="R230" s="43"/>
      <x:c r="S230" s="36"/>
      <x:c r="T230" s="44"/>
      <x:c r="U230" s="36" t="n">
        <x:v>27</x:v>
      </x:c>
      <x:c r="V230" s="36" t="n">
        <x:v>0</x:v>
      </x:c>
      <x:c r="W230" s="44"/>
      <x:c r="X230" s="36"/>
      <x:c r="Y230" s="36"/>
      <x:c r="Z230" s="44"/>
      <x:c r="AA230" s="49"/>
      <x:c r="AB230" s="43" t="n">
        <x:v>5</x:v>
      </x:c>
      <x:c r="AC230" s="34"/>
      <x:c r="AD230" s="34"/>
      <x:c r="AE230" s="34" t="str">
        <x:v>article1-unified-v4-2-fb3f101b-20260903-000401-default-f01-p6-jcs4-3-after-final-undeploy-early-2s-thread-dump.txt</x:v>
      </x:c>
      <x:c r="AF230" s="34" t="str">
        <x:v>article1-unified-v4-2-fb3f101b-20260903-000401-default-f01-p6-jcs4-3-after-final-undeploy-early-tomcat-log.txt</x:v>
      </x:c>
      <x:c r="AG230" s="34"/>
      <x:c r="AH230" s="34"/>
      <x:c r="AI230" s="34"/>
    </x:row>
    <x:row r="231">
      <x:c r="A231" s="34" t="str">
        <x:v>article1-unified-v4-2-fb3f101b-20260903-000401-default-f01-p6-jcs4</x:v>
      </x:c>
      <x:c r="B231" s="34" t="str">
        <x:v>default</x:v>
      </x:c>
      <x:c r="C231" s="34" t="str">
        <x:v>jcs4</x:v>
      </x:c>
      <x:c r="D231" s="34" t="str">
        <x:v>jcs4</x:v>
      </x:c>
      <x:c r="E231" s="36" t="n">
        <x:v>1</x:v>
      </x:c>
      <x:c r="F231" s="36" t="n">
        <x:v>1</x:v>
      </x:c>
      <x:c r="G231" s="36" t="n">
        <x:v>6</x:v>
      </x:c>
      <x:c r="H231" s="36" t="n">
        <x:v>3</x:v>
      </x:c>
      <x:c r="I231" s="34" t="str">
        <x:v>afterFinalUndeploy</x:v>
      </x:c>
      <x:c r="J231" s="34" t="str">
        <x:v>after-final-undeploy-final</x:v>
      </x:c>
      <x:c r="K231" s="36" t="n">
        <x:v>2</x:v>
      </x:c>
      <x:c r="L231" s="34" t="str">
        <x:v>final</x:v>
      </x:c>
      <x:c r="M231" s="34" t="str">
        <x:v>article1-unified-v4-2-fb3f101b-20260903-000401-default-f01-p6-jcs4-3-after-final-undeploy-final-10s</x:v>
      </x:c>
      <x:c r="N231" s="38" t="n">
        <x:v>46267.95521018519</x:v>
      </x:c>
      <x:c r="O231" s="36" t="n">
        <x:v>2</x:v>
      </x:c>
      <x:c r="P231" s="43" t="n">
        <x:v>15711232</x:v>
      </x:c>
      <x:c r="Q231" s="43" t="n">
        <x:v>268435456</x:v>
      </x:c>
      <x:c r="R231" s="43" t="n">
        <x:v>424794112</x:v>
      </x:c>
      <x:c r="S231" s="36" t="n">
        <x:v>2</x:v>
      </x:c>
      <x:c r="T231" s="44" t="str">
        <x:v>0x000000001d1177b8  0x000000001d003818  0x000073bb705f61a0       0         0         0  org.apache.catalina.loader.ParallelWebappClassLoader | 0x000000001d1177b8  0x000000001d003818  0x000073bae0006e00    4404  21002240  20971920  org.apache.catalina.loader.ParallelWebappClassLoader</x:v>
      </x:c>
      <x:c r="U231" s="36" t="n">
        <x:v>27</x:v>
      </x:c>
      <x:c r="V231" s="36" t="n">
        <x:v>0</x:v>
      </x:c>
      <x:c r="W231" s="44"/>
      <x:c r="X231" s="36" t="n">
        <x:v>1</x:v>
      </x:c>
      <x:c r="Y231" s="36" t="n">
        <x:v>1</x:v>
      </x:c>
      <x:c r="Z231" s="44" t="str">
        <x:v>/jcs4</x:v>
      </x:c>
      <x:c r="AA231" s="45" t="b">
        <x:v>1</x:v>
      </x:c>
      <x:c r="AB231" s="43"/>
      <x:c r="AC231" s="34" t="str">
        <x:v>article1-unified-v4-2-fb3f101b-20260903-000401-default-f01-p6-jcs4-3-after-final-undeploy-final-10s-heap-info.txt</x:v>
      </x:c>
      <x:c r="AD231" s="34" t="str">
        <x:v>article1-unified-v4-2-fb3f101b-20260903-000401-default-f01-p6-jcs4-3-after-final-undeploy-final-10s-classloader-stats.txt</x:v>
      </x:c>
      <x:c r="AE231" s="34" t="str">
        <x:v>article1-unified-v4-2-fb3f101b-20260903-000401-default-f01-p6-jcs4-3-after-final-undeploy-final-10s-thread-dump.txt</x:v>
      </x:c>
      <x:c r="AF231" s="34"/>
      <x:c r="AG231" s="34" t="str">
        <x:v>article1-unified-v4-2-fb3f101b-20260903-000401-default-f01-p6-jcs4-3-after-final-undeploy-final-10s-native-memory.txt</x:v>
      </x:c>
      <x:c r="AH231" s="34" t="str">
        <x:v>article1-unified-v4-2-fb3f101b-20260903-000401-default-f01-p6-jcs4-3-after-final-undeploy-final-10s-class-histogram.txt</x:v>
      </x:c>
      <x:c r="AI231" s="34" t="str">
        <x:v>article1-unified-v4-2-fb3f101b-20260903-000401-default-f01-p6-jcs4-3-after-final-undeploy-tomcat-findleaks.txt</x:v>
      </x:c>
    </x:row>
    <x:row r="232">
      <x:c r="A232" s="34" t="str">
        <x:v>article1-unified-v4-2-fb3f101b-20260903-000401-default-f01-p6-jcs4</x:v>
      </x:c>
      <x:c r="B232" s="34" t="str">
        <x:v>default</x:v>
      </x:c>
      <x:c r="C232" s="34" t="str">
        <x:v>jcs4</x:v>
      </x:c>
      <x:c r="D232" s="34" t="str">
        <x:v>jcs4</x:v>
      </x:c>
      <x:c r="E232" s="36" t="n">
        <x:v>1</x:v>
      </x:c>
      <x:c r="F232" s="36" t="n">
        <x:v>1</x:v>
      </x:c>
      <x:c r="G232" s="36" t="n">
        <x:v>6</x:v>
      </x:c>
      <x:c r="H232" s="36" t="n">
        <x:v>4</x:v>
      </x:c>
      <x:c r="I232" s="34" t="str">
        <x:v>baseline</x:v>
      </x:c>
      <x:c r="J232" s="34" t="str">
        <x:v>cycle-baseline</x:v>
      </x:c>
      <x:c r="K232" s="36" t="n">
        <x:v>0</x:v>
      </x:c>
      <x:c r="L232" s="34" t="str">
        <x:v>baseline</x:v>
      </x:c>
      <x:c r="M232" s="34" t="str">
        <x:v>article1-unified-v4-2-fb3f101b-20260903-000401-default-f01-p6-jcs4-4-baseline</x:v>
      </x:c>
      <x:c r="N232" s="38" t="n">
        <x:v>46267.955251493055</x:v>
      </x:c>
      <x:c r="O232" s="36" t="n">
        <x:v>0</x:v>
      </x:c>
      <x:c r="P232" s="43" t="n">
        <x:v>15713280</x:v>
      </x:c>
      <x:c r="Q232" s="43" t="n">
        <x:v>268435456</x:v>
      </x:c>
      <x:c r="R232" s="43" t="n">
        <x:v>425924608</x:v>
      </x:c>
      <x:c r="S232" s="36" t="n">
        <x:v>2</x:v>
      </x:c>
      <x:c r="T232" s="44" t="str">
        <x:v>0x000000001d1177b8  0x000000001d003818  0x000073bb705f61a0       0         0         0  org.apache.catalina.loader.ParallelWebappClassLoader | 0x000000001d1177b8  0x000000001d003818  0x000073bae0006e00    4404  21002240  20971920  org.apache.catalina.loader.ParallelWebappClassLoader</x:v>
      </x:c>
      <x:c r="U232" s="36" t="n">
        <x:v>27</x:v>
      </x:c>
      <x:c r="V232" s="36" t="n">
        <x:v>0</x:v>
      </x:c>
      <x:c r="W232" s="44"/>
      <x:c r="X232" s="36"/>
      <x:c r="Y232" s="36"/>
      <x:c r="Z232" s="44"/>
      <x:c r="AA232" s="49"/>
      <x:c r="AB232" s="43"/>
      <x:c r="AC232" s="34" t="str">
        <x:v>article1-unified-v4-2-fb3f101b-20260903-000401-default-f01-p6-jcs4-4-baseline-heap-info.txt</x:v>
      </x:c>
      <x:c r="AD232" s="34" t="str">
        <x:v>article1-unified-v4-2-fb3f101b-20260903-000401-default-f01-p6-jcs4-4-baseline-classloader-stats.txt</x:v>
      </x:c>
      <x:c r="AE232" s="34" t="str">
        <x:v>article1-unified-v4-2-fb3f101b-20260903-000401-default-f01-p6-jcs4-4-baseline-thread-dump.txt</x:v>
      </x:c>
      <x:c r="AF232" s="34"/>
      <x:c r="AG232" s="34" t="str">
        <x:v>article1-unified-v4-2-fb3f101b-20260903-000401-default-f01-p6-jcs4-4-baseline-native-memory.txt</x:v>
      </x:c>
      <x:c r="AH232" s="34"/>
      <x:c r="AI232" s="34"/>
    </x:row>
    <x:row r="233">
      <x:c r="A233" s="34" t="str">
        <x:v>article1-unified-v4-2-fb3f101b-20260903-000401-default-f01-p6-jcs4</x:v>
      </x:c>
      <x:c r="B233" s="34" t="str">
        <x:v>default</x:v>
      </x:c>
      <x:c r="C233" s="34" t="str">
        <x:v>jcs4</x:v>
      </x:c>
      <x:c r="D233" s="34" t="str">
        <x:v>jcs4</x:v>
      </x:c>
      <x:c r="E233" s="36" t="n">
        <x:v>1</x:v>
      </x:c>
      <x:c r="F233" s="36" t="n">
        <x:v>1</x:v>
      </x:c>
      <x:c r="G233" s="36" t="n">
        <x:v>6</x:v>
      </x:c>
      <x:c r="H233" s="36" t="n">
        <x:v>4</x:v>
      </x:c>
      <x:c r="I233" s="34" t="str">
        <x:v>deployedIdle</x:v>
      </x:c>
      <x:c r="J233" s="34" t="str">
        <x:v>deployed-idle</x:v>
      </x:c>
      <x:c r="K233" s="36" t="n">
        <x:v>0</x:v>
      </x:c>
      <x:c r="L233" s="34" t="str">
        <x:v>initial</x:v>
      </x:c>
      <x:c r="M233" s="34" t="str">
        <x:v>article1-unified-v4-2-fb3f101b-20260903-000401-default-f01-p6-jcs4-4-deployed-idle</x:v>
      </x:c>
      <x:c r="N233" s="38" t="n">
        <x:v>46267.95534778935</x:v>
      </x:c>
      <x:c r="O233" s="36" t="n">
        <x:v>0</x:v>
      </x:c>
      <x:c r="P233" s="43" t="n">
        <x:v>165484544</x:v>
      </x:c>
      <x:c r="Q233" s="43" t="n">
        <x:v>268435456</x:v>
      </x:c>
      <x:c r="R233" s="43" t="n">
        <x:v>440322048</x:v>
      </x:c>
      <x:c r="S233" s="36" t="n">
        <x:v>3</x:v>
      </x:c>
      <x:c r="T233" s="44" t="str">
        <x:v>0x000000001d1177b8  0x000000001d003818  0x000073baa0161020    4091  19452928  19428528  org.apache.catalina.loader.ParallelWebappClassLoader | 0x000000001d1177b8  0x000000001d003818  0x000073bb705f61a0       0         0         0  org.apache.catalina.loader.ParallelWebappClassLoader | 0x000000001d1177b8  0x000000001d003818  0x000073bae0006e00    4404  21002240  20971920  org.apache.catalina.loader.ParallelWebappClassLoader</x:v>
      </x:c>
      <x:c r="U233" s="36" t="n">
        <x:v>27</x:v>
      </x:c>
      <x:c r="V233" s="36" t="n">
        <x:v>0</x:v>
      </x:c>
      <x:c r="W233" s="44"/>
      <x:c r="X233" s="36"/>
      <x:c r="Y233" s="36"/>
      <x:c r="Z233" s="44"/>
      <x:c r="AA233" s="49"/>
      <x:c r="AB233" s="43"/>
      <x:c r="AC233" s="34"/>
      <x:c r="AD233" s="34"/>
      <x:c r="AE233" s="34"/>
      <x:c r="AF233" s="34"/>
      <x:c r="AG233" s="34"/>
      <x:c r="AH233" s="34"/>
      <x:c r="AI233" s="34"/>
    </x:row>
    <x:row r="234">
      <x:c r="A234" s="34" t="str">
        <x:v>article1-unified-v4-2-fb3f101b-20260903-000401-default-f01-p6-jcs4</x:v>
      </x:c>
      <x:c r="B234" s="34" t="str">
        <x:v>default</x:v>
      </x:c>
      <x:c r="C234" s="34" t="str">
        <x:v>jcs4</x:v>
      </x:c>
      <x:c r="D234" s="34" t="str">
        <x:v>jcs4</x:v>
      </x:c>
      <x:c r="E234" s="36" t="n">
        <x:v>1</x:v>
      </x:c>
      <x:c r="F234" s="36" t="n">
        <x:v>1</x:v>
      </x:c>
      <x:c r="G234" s="36" t="n">
        <x:v>6</x:v>
      </x:c>
      <x:c r="H234" s="36" t="n">
        <x:v>4</x:v>
      </x:c>
      <x:c r="I234" s="34" t="str">
        <x:v>loaded</x:v>
      </x:c>
      <x:c r="J234" s="34" t="str">
        <x:v>loaded</x:v>
      </x:c>
      <x:c r="K234" s="36" t="n">
        <x:v>0</x:v>
      </x:c>
      <x:c r="L234" s="34" t="str">
        <x:v>initial</x:v>
      </x:c>
      <x:c r="M234" s="34" t="str">
        <x:v>article1-unified-v4-2-fb3f101b-20260903-000401-default-f01-p6-jcs4-4-loaded</x:v>
      </x:c>
      <x:c r="N234" s="38" t="n">
        <x:v>46267.95549451389</x:v>
      </x:c>
      <x:c r="O234" s="36" t="n">
        <x:v>0</x:v>
      </x:c>
      <x:c r="P234" s="43" t="n">
        <x:v>157431808</x:v>
      </x:c>
      <x:c r="Q234" s="43" t="n">
        <x:v>268435456</x:v>
      </x:c>
      <x:c r="R234" s="43" t="n">
        <x:v>443887616</x:v>
      </x:c>
      <x:c r="S234" s="36" t="n">
        <x:v>3</x:v>
      </x:c>
      <x:c r="T234" s="44" t="str">
        <x:v>0x000000001d1177b8  0x000000001d003818  0x000073bb705f61a0       0         0         0  org.apache.catalina.loader.ParallelWebappClassLoader | 0x000000001d1177b8  0x000000001d003818  0x000073bae0006e00    4404  21002240  20971920  org.apache.catalina.loader.ParallelWebappClassLoader | 0x000000001d1177b8  0x000000001d003818  0x000073baa0161020    4391  20960256  20938160  org.apache.catalina.loader.ParallelWebappClassLoader</x:v>
      </x:c>
      <x:c r="U234" s="36" t="n">
        <x:v>28</x:v>
      </x:c>
      <x:c r="V234" s="36" t="n">
        <x:v>1</x:v>
      </x:c>
      <x:c r="W234" s="44" t="str">
        <x:v>jcs4-thread-pool-event-queue:JCS-ThreadPoolManager-ElementEventQueue-Thread-22#303</x:v>
      </x:c>
      <x:c r="X234" s="36"/>
      <x:c r="Y234" s="36"/>
      <x:c r="Z234" s="44"/>
      <x:c r="AA234" s="49"/>
      <x:c r="AB234" s="43"/>
      <x:c r="AC234" s="34"/>
      <x:c r="AD234" s="34"/>
      <x:c r="AE234" s="34"/>
      <x:c r="AF234" s="34"/>
      <x:c r="AG234" s="34"/>
      <x:c r="AH234" s="34"/>
      <x:c r="AI234" s="34"/>
    </x:row>
    <x:row r="235">
      <x:c r="A235" s="34" t="str">
        <x:v>article1-unified-v4-2-fb3f101b-20260903-000401-default-f01-p6-jcs4</x:v>
      </x:c>
      <x:c r="B235" s="34" t="str">
        <x:v>default</x:v>
      </x:c>
      <x:c r="C235" s="34" t="str">
        <x:v>jcs4</x:v>
      </x:c>
      <x:c r="D235" s="34" t="str">
        <x:v>jcs4</x:v>
      </x:c>
      <x:c r="E235" s="36" t="n">
        <x:v>1</x:v>
      </x:c>
      <x:c r="F235" s="36" t="n">
        <x:v>1</x:v>
      </x:c>
      <x:c r="G235" s="36" t="n">
        <x:v>6</x:v>
      </x:c>
      <x:c r="H235" s="36" t="n">
        <x:v>4</x:v>
      </x:c>
      <x:c r="I235" s="34" t="str">
        <x:v>afterUndeployEarly</x:v>
      </x:c>
      <x:c r="J235" s="34" t="str">
        <x:v>after-undeploy-early</x:v>
      </x:c>
      <x:c r="K235" s="36" t="n">
        <x:v>1</x:v>
      </x:c>
      <x:c r="L235" s="34" t="str">
        <x:v>early</x:v>
      </x:c>
      <x:c r="M235" s="34" t="str">
        <x:v>article1-unified-v4-2-fb3f101b-20260903-000401-default-f01-p6-jcs4-4-after-undeploy-early-2s</x:v>
      </x:c>
      <x:c r="N235" s="38" t="n">
        <x:v>46267.9555765625</x:v>
      </x:c>
      <x:c r="O235" s="36"/>
      <x:c r="P235" s="43"/>
      <x:c r="Q235" s="43"/>
      <x:c r="R235" s="43"/>
      <x:c r="S235" s="36"/>
      <x:c r="T235" s="44"/>
      <x:c r="U235" s="36" t="n">
        <x:v>27</x:v>
      </x:c>
      <x:c r="V235" s="36" t="n">
        <x:v>0</x:v>
      </x:c>
      <x:c r="W235" s="44"/>
      <x:c r="X235" s="36"/>
      <x:c r="Y235" s="36"/>
      <x:c r="Z235" s="44"/>
      <x:c r="AA235" s="49"/>
      <x:c r="AB235" s="43" t="n">
        <x:v>5</x:v>
      </x:c>
      <x:c r="AC235" s="34"/>
      <x:c r="AD235" s="34"/>
      <x:c r="AE235" s="34" t="str">
        <x:v>article1-unified-v4-2-fb3f101b-20260903-000401-default-f01-p6-jcs4-4-after-undeploy-early-2s-thread-dump.txt</x:v>
      </x:c>
      <x:c r="AF235" s="34" t="str">
        <x:v>article1-unified-v4-2-fb3f101b-20260903-000401-default-f01-p6-jcs4-4-after-undeploy-early-tomcat-log.txt</x:v>
      </x:c>
      <x:c r="AG235" s="34"/>
      <x:c r="AH235" s="34"/>
      <x:c r="AI235" s="34"/>
    </x:row>
    <x:row r="236">
      <x:c r="A236" s="34" t="str">
        <x:v>article1-unified-v4-2-fb3f101b-20260903-000401-default-f01-p6-jcs4</x:v>
      </x:c>
      <x:c r="B236" s="34" t="str">
        <x:v>default</x:v>
      </x:c>
      <x:c r="C236" s="34" t="str">
        <x:v>jcs4</x:v>
      </x:c>
      <x:c r="D236" s="34" t="str">
        <x:v>jcs4</x:v>
      </x:c>
      <x:c r="E236" s="36" t="n">
        <x:v>1</x:v>
      </x:c>
      <x:c r="F236" s="36" t="n">
        <x:v>1</x:v>
      </x:c>
      <x:c r="G236" s="36" t="n">
        <x:v>6</x:v>
      </x:c>
      <x:c r="H236" s="36" t="n">
        <x:v>4</x:v>
      </x:c>
      <x:c r="I236" s="34" t="str">
        <x:v>afterUndeploy</x:v>
      </x:c>
      <x:c r="J236" s="34" t="str">
        <x:v>after-undeploy-final</x:v>
      </x:c>
      <x:c r="K236" s="36" t="n">
        <x:v>1</x:v>
      </x:c>
      <x:c r="L236" s="34" t="str">
        <x:v>final</x:v>
      </x:c>
      <x:c r="M236" s="34" t="str">
        <x:v>article1-unified-v4-2-fb3f101b-20260903-000401-default-f01-p6-jcs4-4-after-undeploy-final-10s</x:v>
      </x:c>
      <x:c r="N236" s="38" t="n">
        <x:v>46267.955730208334</x:v>
      </x:c>
      <x:c r="O236" s="36" t="n">
        <x:v>2</x:v>
      </x:c>
      <x:c r="P236" s="43" t="n">
        <x:v>15736832</x:v>
      </x:c>
      <x:c r="Q236" s="43" t="n">
        <x:v>268435456</x:v>
      </x:c>
      <x:c r="R236" s="43" t="n">
        <x:v>422622208</x:v>
      </x:c>
      <x:c r="S236" s="36" t="n">
        <x:v>2</x:v>
      </x:c>
      <x:c r="T236" s="44" t="str">
        <x:v>0x000000001d1177b8  0x000000001d003818  0x000073bb705f61a0       0         0         0  org.apache.catalina.loader.ParallelWebappClassLoader | 0x000000001d1177b8  0x000000001d003818  0x000073baa0161020    4405  20993024  20973560  org.apache.catalina.loader.ParallelWebappClassLoader</x:v>
      </x:c>
      <x:c r="U236" s="36" t="n">
        <x:v>27</x:v>
      </x:c>
      <x:c r="V236" s="36" t="n">
        <x:v>0</x:v>
      </x:c>
      <x:c r="W236" s="44"/>
      <x:c r="X236" s="36" t="n">
        <x:v>1</x:v>
      </x:c>
      <x:c r="Y236" s="36" t="n">
        <x:v>1</x:v>
      </x:c>
      <x:c r="Z236" s="44" t="str">
        <x:v>/jcs4</x:v>
      </x:c>
      <x:c r="AA236" s="45" t="b">
        <x:v>1</x:v>
      </x:c>
      <x:c r="AB236" s="43"/>
      <x:c r="AC236" s="34" t="str">
        <x:v>article1-unified-v4-2-fb3f101b-20260903-000401-default-f01-p6-jcs4-4-after-undeploy-final-10s-heap-info.txt</x:v>
      </x:c>
      <x:c r="AD236" s="34" t="str">
        <x:v>article1-unified-v4-2-fb3f101b-20260903-000401-default-f01-p6-jcs4-4-after-undeploy-final-10s-classloader-stats.txt</x:v>
      </x:c>
      <x:c r="AE236" s="34" t="str">
        <x:v>article1-unified-v4-2-fb3f101b-20260903-000401-default-f01-p6-jcs4-4-after-undeploy-final-10s-thread-dump.txt</x:v>
      </x:c>
      <x:c r="AF236" s="34"/>
      <x:c r="AG236" s="34" t="str">
        <x:v>article1-unified-v4-2-fb3f101b-20260903-000401-default-f01-p6-jcs4-4-after-undeploy-final-10s-native-memory.txt</x:v>
      </x:c>
      <x:c r="AH236" s="34" t="str">
        <x:v>article1-unified-v4-2-fb3f101b-20260903-000401-default-f01-p6-jcs4-4-after-undeploy-final-10s-class-histogram.txt</x:v>
      </x:c>
      <x:c r="AI236" s="34" t="str">
        <x:v>article1-unified-v4-2-fb3f101b-20260903-000401-default-f01-p6-jcs4-4-after-undeploy-tomcat-findleaks.txt</x:v>
      </x:c>
    </x:row>
    <x:row r="237">
      <x:c r="A237" s="34" t="str">
        <x:v>article1-unified-v4-2-fb3f101b-20260903-000401-default-f01-p6-jcs4</x:v>
      </x:c>
      <x:c r="B237" s="34" t="str">
        <x:v>default</x:v>
      </x:c>
      <x:c r="C237" s="34" t="str">
        <x:v>jcs4</x:v>
      </x:c>
      <x:c r="D237" s="34" t="str">
        <x:v>jcs4</x:v>
      </x:c>
      <x:c r="E237" s="36" t="n">
        <x:v>1</x:v>
      </x:c>
      <x:c r="F237" s="36" t="n">
        <x:v>1</x:v>
      </x:c>
      <x:c r="G237" s="36" t="n">
        <x:v>6</x:v>
      </x:c>
      <x:c r="H237" s="36" t="n">
        <x:v>4</x:v>
      </x:c>
      <x:c r="I237" s="34" t="str">
        <x:v>redeployedLoaded</x:v>
      </x:c>
      <x:c r="J237" s="34" t="str">
        <x:v>redeployed-loaded</x:v>
      </x:c>
      <x:c r="K237" s="36" t="n">
        <x:v>0</x:v>
      </x:c>
      <x:c r="L237" s="34" t="str">
        <x:v>redeploy</x:v>
      </x:c>
      <x:c r="M237" s="34" t="str">
        <x:v>article1-unified-v4-2-fb3f101b-20260903-000401-default-f01-p6-jcs4-4-redeployed-loaded</x:v>
      </x:c>
      <x:c r="N237" s="38" t="n">
        <x:v>46267.9559897338</x:v>
      </x:c>
      <x:c r="O237" s="36" t="n">
        <x:v>0</x:v>
      </x:c>
      <x:c r="P237" s="43" t="n">
        <x:v>161359872</x:v>
      </x:c>
      <x:c r="Q237" s="43" t="n">
        <x:v>268435456</x:v>
      </x:c>
      <x:c r="R237" s="43" t="n">
        <x:v>443988992</x:v>
      </x:c>
      <x:c r="S237" s="36" t="n">
        <x:v>3</x:v>
      </x:c>
      <x:c r="T237" s="44" t="str">
        <x:v>0x000000001d1177b8  0x000000001d003818  0x000073bb705f61a0       0         0         0  org.apache.catalina.loader.ParallelWebappClassLoader | 0x000000001d1177b8  0x000000001d003818  0x000073baa0161020    4405  20993024  20973560  org.apache.catalina.loader.ParallelWebappClassLoader | 0x000000001d1177b8  0x000000001d003818  0x000073bae03d6560    4389  20955136  20937232  org.apache.catalina.loader.ParallelWebappClassLoader</x:v>
      </x:c>
      <x:c r="U237" s="36" t="n">
        <x:v>28</x:v>
      </x:c>
      <x:c r="V237" s="36" t="n">
        <x:v>1</x:v>
      </x:c>
      <x:c r="W237" s="44" t="str">
        <x:v>jcs4-thread-pool-event-queue:JCS-ThreadPoolManager-ElementEventQueue-Thread-25#346</x:v>
      </x:c>
      <x:c r="X237" s="36"/>
      <x:c r="Y237" s="36"/>
      <x:c r="Z237" s="44"/>
      <x:c r="AA237" s="49"/>
      <x:c r="AB237" s="43"/>
      <x:c r="AC237" s="34"/>
      <x:c r="AD237" s="34"/>
      <x:c r="AE237" s="34"/>
      <x:c r="AF237" s="34"/>
      <x:c r="AG237" s="34"/>
      <x:c r="AH237" s="34"/>
      <x:c r="AI237" s="34"/>
    </x:row>
    <x:row r="238">
      <x:c r="A238" s="34" t="str">
        <x:v>article1-unified-v4-2-fb3f101b-20260903-000401-default-f01-p6-jcs4</x:v>
      </x:c>
      <x:c r="B238" s="34" t="str">
        <x:v>default</x:v>
      </x:c>
      <x:c r="C238" s="34" t="str">
        <x:v>jcs4</x:v>
      </x:c>
      <x:c r="D238" s="34" t="str">
        <x:v>jcs4</x:v>
      </x:c>
      <x:c r="E238" s="36" t="n">
        <x:v>1</x:v>
      </x:c>
      <x:c r="F238" s="36" t="n">
        <x:v>1</x:v>
      </x:c>
      <x:c r="G238" s="36" t="n">
        <x:v>6</x:v>
      </x:c>
      <x:c r="H238" s="36" t="n">
        <x:v>4</x:v>
      </x:c>
      <x:c r="I238" s="34" t="str">
        <x:v>afterFinalUndeployEarly</x:v>
      </x:c>
      <x:c r="J238" s="34" t="str">
        <x:v>after-final-undeploy-early</x:v>
      </x:c>
      <x:c r="K238" s="36" t="n">
        <x:v>2</x:v>
      </x:c>
      <x:c r="L238" s="34" t="str">
        <x:v>early</x:v>
      </x:c>
      <x:c r="M238" s="34" t="str">
        <x:v>article1-unified-v4-2-fb3f101b-20260903-000401-default-f01-p6-jcs4-4-after-final-undeploy-early-2s</x:v>
      </x:c>
      <x:c r="N238" s="38" t="n">
        <x:v>46267.95607275463</x:v>
      </x:c>
      <x:c r="O238" s="36"/>
      <x:c r="P238" s="43"/>
      <x:c r="Q238" s="43"/>
      <x:c r="R238" s="43"/>
      <x:c r="S238" s="36"/>
      <x:c r="T238" s="44"/>
      <x:c r="U238" s="36" t="n">
        <x:v>27</x:v>
      </x:c>
      <x:c r="V238" s="36" t="n">
        <x:v>0</x:v>
      </x:c>
      <x:c r="W238" s="44"/>
      <x:c r="X238" s="36"/>
      <x:c r="Y238" s="36"/>
      <x:c r="Z238" s="44"/>
      <x:c r="AA238" s="49"/>
      <x:c r="AB238" s="43" t="n">
        <x:v>5</x:v>
      </x:c>
      <x:c r="AC238" s="34"/>
      <x:c r="AD238" s="34"/>
      <x:c r="AE238" s="34" t="str">
        <x:v>article1-unified-v4-2-fb3f101b-20260903-000401-default-f01-p6-jcs4-4-after-final-undeploy-early-2s-thread-dump.txt</x:v>
      </x:c>
      <x:c r="AF238" s="34" t="str">
        <x:v>article1-unified-v4-2-fb3f101b-20260903-000401-default-f01-p6-jcs4-4-after-final-undeploy-early-tomcat-log.txt</x:v>
      </x:c>
      <x:c r="AG238" s="34"/>
      <x:c r="AH238" s="34"/>
      <x:c r="AI238" s="34"/>
    </x:row>
    <x:row r="239">
      <x:c r="A239" s="34" t="str">
        <x:v>article1-unified-v4-2-fb3f101b-20260903-000401-default-f01-p6-jcs4</x:v>
      </x:c>
      <x:c r="B239" s="34" t="str">
        <x:v>default</x:v>
      </x:c>
      <x:c r="C239" s="34" t="str">
        <x:v>jcs4</x:v>
      </x:c>
      <x:c r="D239" s="34" t="str">
        <x:v>jcs4</x:v>
      </x:c>
      <x:c r="E239" s="36" t="n">
        <x:v>1</x:v>
      </x:c>
      <x:c r="F239" s="36" t="n">
        <x:v>1</x:v>
      </x:c>
      <x:c r="G239" s="36" t="n">
        <x:v>6</x:v>
      </x:c>
      <x:c r="H239" s="36" t="n">
        <x:v>4</x:v>
      </x:c>
      <x:c r="I239" s="34" t="str">
        <x:v>afterFinalUndeploy</x:v>
      </x:c>
      <x:c r="J239" s="34" t="str">
        <x:v>after-final-undeploy-final</x:v>
      </x:c>
      <x:c r="K239" s="36" t="n">
        <x:v>2</x:v>
      </x:c>
      <x:c r="L239" s="34" t="str">
        <x:v>final</x:v>
      </x:c>
      <x:c r="M239" s="34" t="str">
        <x:v>article1-unified-v4-2-fb3f101b-20260903-000401-default-f01-p6-jcs4-4-after-final-undeploy-final-10s</x:v>
      </x:c>
      <x:c r="N239" s="38" t="n">
        <x:v>46267.956229421296</x:v>
      </x:c>
      <x:c r="O239" s="36" t="n">
        <x:v>2</x:v>
      </x:c>
      <x:c r="P239" s="43" t="n">
        <x:v>15741952</x:v>
      </x:c>
      <x:c r="Q239" s="43" t="n">
        <x:v>268435456</x:v>
      </x:c>
      <x:c r="R239" s="43" t="n">
        <x:v>427822080</x:v>
      </x:c>
      <x:c r="S239" s="36" t="n">
        <x:v>2</x:v>
      </x:c>
      <x:c r="T239" s="44" t="str">
        <x:v>0x000000001d1177b8  0x000000001d003818  0x000073bb705f61a0       0         0         0  org.apache.catalina.loader.ParallelWebappClassLoader | 0x000000001d1177b8  0x000000001d003818  0x000073bae03d6560    4403  20987904  20972624  org.apache.catalina.loader.ParallelWebappClassLoader</x:v>
      </x:c>
      <x:c r="U239" s="36" t="n">
        <x:v>27</x:v>
      </x:c>
      <x:c r="V239" s="36" t="n">
        <x:v>0</x:v>
      </x:c>
      <x:c r="W239" s="44"/>
      <x:c r="X239" s="36" t="n">
        <x:v>1</x:v>
      </x:c>
      <x:c r="Y239" s="36" t="n">
        <x:v>1</x:v>
      </x:c>
      <x:c r="Z239" s="44" t="str">
        <x:v>/jcs4</x:v>
      </x:c>
      <x:c r="AA239" s="45" t="b">
        <x:v>1</x:v>
      </x:c>
      <x:c r="AB239" s="43"/>
      <x:c r="AC239" s="34" t="str">
        <x:v>article1-unified-v4-2-fb3f101b-20260903-000401-default-f01-p6-jcs4-4-after-final-undeploy-final-10s-heap-info.txt</x:v>
      </x:c>
      <x:c r="AD239" s="34" t="str">
        <x:v>article1-unified-v4-2-fb3f101b-20260903-000401-default-f01-p6-jcs4-4-after-final-undeploy-final-10s-classloader-stats.txt</x:v>
      </x:c>
      <x:c r="AE239" s="34" t="str">
        <x:v>article1-unified-v4-2-fb3f101b-20260903-000401-default-f01-p6-jcs4-4-after-final-undeploy-final-10s-thread-dump.txt</x:v>
      </x:c>
      <x:c r="AF239" s="34"/>
      <x:c r="AG239" s="34" t="str">
        <x:v>article1-unified-v4-2-fb3f101b-20260903-000401-default-f01-p6-jcs4-4-after-final-undeploy-final-10s-native-memory.txt</x:v>
      </x:c>
      <x:c r="AH239" s="34" t="str">
        <x:v>article1-unified-v4-2-fb3f101b-20260903-000401-default-f01-p6-jcs4-4-after-final-undeploy-final-10s-class-histogram.txt</x:v>
      </x:c>
      <x:c r="AI239" s="34" t="str">
        <x:v>article1-unified-v4-2-fb3f101b-20260903-000401-default-f01-p6-jcs4-4-after-final-undeploy-tomcat-findleaks.txt</x:v>
      </x:c>
    </x:row>
    <x:row r="240">
      <x:c r="A240" s="34" t="str">
        <x:v>article1-unified-v4-2-fb3f101b-20260903-000401-default-f01-p6-jcs4</x:v>
      </x:c>
      <x:c r="B240" s="34" t="str">
        <x:v>default</x:v>
      </x:c>
      <x:c r="C240" s="34" t="str">
        <x:v>jcs4</x:v>
      </x:c>
      <x:c r="D240" s="34" t="str">
        <x:v>jcs4</x:v>
      </x:c>
      <x:c r="E240" s="36" t="n">
        <x:v>1</x:v>
      </x:c>
      <x:c r="F240" s="36" t="n">
        <x:v>1</x:v>
      </x:c>
      <x:c r="G240" s="36" t="n">
        <x:v>6</x:v>
      </x:c>
      <x:c r="H240" s="36" t="n">
        <x:v>5</x:v>
      </x:c>
      <x:c r="I240" s="34" t="str">
        <x:v>baseline</x:v>
      </x:c>
      <x:c r="J240" s="34" t="str">
        <x:v>cycle-baseline</x:v>
      </x:c>
      <x:c r="K240" s="36" t="n">
        <x:v>0</x:v>
      </x:c>
      <x:c r="L240" s="34" t="str">
        <x:v>baseline</x:v>
      </x:c>
      <x:c r="M240" s="34" t="str">
        <x:v>article1-unified-v4-2-fb3f101b-20260903-000401-default-f01-p6-jcs4-5-baseline</x:v>
      </x:c>
      <x:c r="N240" s="38" t="n">
        <x:v>46267.956268981485</x:v>
      </x:c>
      <x:c r="O240" s="36" t="n">
        <x:v>0</x:v>
      </x:c>
      <x:c r="P240" s="43" t="n">
        <x:v>15741952</x:v>
      </x:c>
      <x:c r="Q240" s="43" t="n">
        <x:v>268435456</x:v>
      </x:c>
      <x:c r="R240" s="43" t="n">
        <x:v>427822080</x:v>
      </x:c>
      <x:c r="S240" s="36" t="n">
        <x:v>2</x:v>
      </x:c>
      <x:c r="T240" s="44" t="str">
        <x:v>0x000000001d1177b8  0x000000001d003818  0x000073bb705f61a0       0         0         0  org.apache.catalina.loader.ParallelWebappClassLoader | 0x000000001d1177b8  0x000000001d003818  0x000073bae03d6560    4403  20987904  20972624  org.apache.catalina.loader.ParallelWebappClassLoader</x:v>
      </x:c>
      <x:c r="U240" s="36" t="n">
        <x:v>27</x:v>
      </x:c>
      <x:c r="V240" s="36" t="n">
        <x:v>0</x:v>
      </x:c>
      <x:c r="W240" s="44"/>
      <x:c r="X240" s="36"/>
      <x:c r="Y240" s="36"/>
      <x:c r="Z240" s="44"/>
      <x:c r="AA240" s="49"/>
      <x:c r="AB240" s="43"/>
      <x:c r="AC240" s="34" t="str">
        <x:v>article1-unified-v4-2-fb3f101b-20260903-000401-default-f01-p6-jcs4-5-baseline-heap-info.txt</x:v>
      </x:c>
      <x:c r="AD240" s="34" t="str">
        <x:v>article1-unified-v4-2-fb3f101b-20260903-000401-default-f01-p6-jcs4-5-baseline-classloader-stats.txt</x:v>
      </x:c>
      <x:c r="AE240" s="34" t="str">
        <x:v>article1-unified-v4-2-fb3f101b-20260903-000401-default-f01-p6-jcs4-5-baseline-thread-dump.txt</x:v>
      </x:c>
      <x:c r="AF240" s="34"/>
      <x:c r="AG240" s="34" t="str">
        <x:v>article1-unified-v4-2-fb3f101b-20260903-000401-default-f01-p6-jcs4-5-baseline-native-memory.txt</x:v>
      </x:c>
      <x:c r="AH240" s="34"/>
      <x:c r="AI240" s="34"/>
    </x:row>
    <x:row r="241">
      <x:c r="A241" s="34" t="str">
        <x:v>article1-unified-v4-2-fb3f101b-20260903-000401-default-f01-p6-jcs4</x:v>
      </x:c>
      <x:c r="B241" s="34" t="str">
        <x:v>default</x:v>
      </x:c>
      <x:c r="C241" s="34" t="str">
        <x:v>jcs4</x:v>
      </x:c>
      <x:c r="D241" s="34" t="str">
        <x:v>jcs4</x:v>
      </x:c>
      <x:c r="E241" s="36" t="n">
        <x:v>1</x:v>
      </x:c>
      <x:c r="F241" s="36" t="n">
        <x:v>1</x:v>
      </x:c>
      <x:c r="G241" s="36" t="n">
        <x:v>6</x:v>
      </x:c>
      <x:c r="H241" s="36" t="n">
        <x:v>5</x:v>
      </x:c>
      <x:c r="I241" s="34" t="str">
        <x:v>deployedIdle</x:v>
      </x:c>
      <x:c r="J241" s="34" t="str">
        <x:v>deployed-idle</x:v>
      </x:c>
      <x:c r="K241" s="36" t="n">
        <x:v>0</x:v>
      </x:c>
      <x:c r="L241" s="34" t="str">
        <x:v>initial</x:v>
      </x:c>
      <x:c r="M241" s="34" t="str">
        <x:v>article1-unified-v4-2-fb3f101b-20260903-000401-default-f01-p6-jcs4-5-deployed-idle</x:v>
      </x:c>
      <x:c r="N241" s="38" t="n">
        <x:v>46267.95636362269</x:v>
      </x:c>
      <x:c r="O241" s="36" t="n">
        <x:v>0</x:v>
      </x:c>
      <x:c r="P241" s="43" t="n">
        <x:v>166062080</x:v>
      </x:c>
      <x:c r="Q241" s="43" t="n">
        <x:v>268435456</x:v>
      </x:c>
      <x:c r="R241" s="43" t="n">
        <x:v>462914560</x:v>
      </x:c>
      <x:c r="S241" s="36" t="n">
        <x:v>3</x:v>
      </x:c>
      <x:c r="T241" s="44" t="str">
        <x:v>0x000000001d1177b8  0x000000001d003818  0x000073bb705f61a0       0         0         0  org.apache.catalina.loader.ParallelWebappClassLoader | 0x000000001d1177b8  0x000000001d003818  0x000073bad82898b0    4091  19433472  19421240  org.apache.catalina.loader.ParallelWebappClassLoader | 0x000000001d1177b8  0x000000001d003818  0x000073bae03d6560    4403  20987904  20972624  org.apache.catalina.loader.ParallelWebappClassLoader</x:v>
      </x:c>
      <x:c r="U241" s="36" t="n">
        <x:v>27</x:v>
      </x:c>
      <x:c r="V241" s="36" t="n">
        <x:v>0</x:v>
      </x:c>
      <x:c r="W241" s="44"/>
      <x:c r="X241" s="36"/>
      <x:c r="Y241" s="36"/>
      <x:c r="Z241" s="44"/>
      <x:c r="AA241" s="49"/>
      <x:c r="AB241" s="43"/>
      <x:c r="AC241" s="34"/>
      <x:c r="AD241" s="34"/>
      <x:c r="AE241" s="34"/>
      <x:c r="AF241" s="34"/>
      <x:c r="AG241" s="34"/>
      <x:c r="AH241" s="34"/>
      <x:c r="AI241" s="34"/>
    </x:row>
    <x:row r="242">
      <x:c r="A242" s="34" t="str">
        <x:v>article1-unified-v4-2-fb3f101b-20260903-000401-default-f01-p6-jcs4</x:v>
      </x:c>
      <x:c r="B242" s="34" t="str">
        <x:v>default</x:v>
      </x:c>
      <x:c r="C242" s="34" t="str">
        <x:v>jcs4</x:v>
      </x:c>
      <x:c r="D242" s="34" t="str">
        <x:v>jcs4</x:v>
      </x:c>
      <x:c r="E242" s="36" t="n">
        <x:v>1</x:v>
      </x:c>
      <x:c r="F242" s="36" t="n">
        <x:v>1</x:v>
      </x:c>
      <x:c r="G242" s="36" t="n">
        <x:v>6</x:v>
      </x:c>
      <x:c r="H242" s="36" t="n">
        <x:v>5</x:v>
      </x:c>
      <x:c r="I242" s="34" t="str">
        <x:v>loaded</x:v>
      </x:c>
      <x:c r="J242" s="34" t="str">
        <x:v>loaded</x:v>
      </x:c>
      <x:c r="K242" s="36" t="n">
        <x:v>0</x:v>
      </x:c>
      <x:c r="L242" s="34" t="str">
        <x:v>initial</x:v>
      </x:c>
      <x:c r="M242" s="34" t="str">
        <x:v>article1-unified-v4-2-fb3f101b-20260903-000401-default-f01-p6-jcs4-5-loaded</x:v>
      </x:c>
      <x:c r="N242" s="38" t="n">
        <x:v>46267.95650958333</x:v>
      </x:c>
      <x:c r="O242" s="36" t="n">
        <x:v>0</x:v>
      </x:c>
      <x:c r="P242" s="43" t="n">
        <x:v>152713216</x:v>
      </x:c>
      <x:c r="Q242" s="43" t="n">
        <x:v>268435456</x:v>
      </x:c>
      <x:c r="R242" s="43" t="n">
        <x:v>445954048</x:v>
      </x:c>
      <x:c r="S242" s="36" t="n">
        <x:v>3</x:v>
      </x:c>
      <x:c r="T242" s="44" t="str">
        <x:v>0x000000001d1177b8  0x000000001d003818  0x000073bb705f61a0       0         0         0  org.apache.catalina.loader.ParallelWebappClassLoader | 0x000000001d1177b8  0x000000001d003818  0x000073bae03d6560    4403  20987904  20972624  org.apache.catalina.loader.ParallelWebappClassLoader | 0x000000001d1177b8  0x000000001d003818  0x000073bad82898b0    4394  20940800  20930904  org.apache.catalina.loader.ParallelWebappClassLoader</x:v>
      </x:c>
      <x:c r="U242" s="36" t="n">
        <x:v>28</x:v>
      </x:c>
      <x:c r="V242" s="36" t="n">
        <x:v>1</x:v>
      </x:c>
      <x:c r="W242" s="44" t="str">
        <x:v>jcs4-thread-pool-event-queue:JCS-ThreadPoolManager-ElementEventQueue-Thread-28#388</x:v>
      </x:c>
      <x:c r="X242" s="36"/>
      <x:c r="Y242" s="36"/>
      <x:c r="Z242" s="44"/>
      <x:c r="AA242" s="49"/>
      <x:c r="AB242" s="43"/>
      <x:c r="AC242" s="34"/>
      <x:c r="AD242" s="34"/>
      <x:c r="AE242" s="34"/>
      <x:c r="AF242" s="34"/>
      <x:c r="AG242" s="34"/>
      <x:c r="AH242" s="34"/>
      <x:c r="AI242" s="34"/>
    </x:row>
    <x:row r="243">
      <x:c r="A243" s="34" t="str">
        <x:v>article1-unified-v4-2-fb3f101b-20260903-000401-default-f01-p6-jcs4</x:v>
      </x:c>
      <x:c r="B243" s="34" t="str">
        <x:v>default</x:v>
      </x:c>
      <x:c r="C243" s="34" t="str">
        <x:v>jcs4</x:v>
      </x:c>
      <x:c r="D243" s="34" t="str">
        <x:v>jcs4</x:v>
      </x:c>
      <x:c r="E243" s="36" t="n">
        <x:v>1</x:v>
      </x:c>
      <x:c r="F243" s="36" t="n">
        <x:v>1</x:v>
      </x:c>
      <x:c r="G243" s="36" t="n">
        <x:v>6</x:v>
      </x:c>
      <x:c r="H243" s="36" t="n">
        <x:v>5</x:v>
      </x:c>
      <x:c r="I243" s="34" t="str">
        <x:v>afterUndeployEarly</x:v>
      </x:c>
      <x:c r="J243" s="34" t="str">
        <x:v>after-undeploy-early</x:v>
      </x:c>
      <x:c r="K243" s="36" t="n">
        <x:v>1</x:v>
      </x:c>
      <x:c r="L243" s="34" t="str">
        <x:v>early</x:v>
      </x:c>
      <x:c r="M243" s="34" t="str">
        <x:v>article1-unified-v4-2-fb3f101b-20260903-000401-default-f01-p6-jcs4-5-after-undeploy-early-2s</x:v>
      </x:c>
      <x:c r="N243" s="38" t="n">
        <x:v>46267.95659440972</x:v>
      </x:c>
      <x:c r="O243" s="36"/>
      <x:c r="P243" s="43"/>
      <x:c r="Q243" s="43"/>
      <x:c r="R243" s="43"/>
      <x:c r="S243" s="36"/>
      <x:c r="T243" s="44"/>
      <x:c r="U243" s="36" t="n">
        <x:v>27</x:v>
      </x:c>
      <x:c r="V243" s="36" t="n">
        <x:v>0</x:v>
      </x:c>
      <x:c r="W243" s="44"/>
      <x:c r="X243" s="36"/>
      <x:c r="Y243" s="36"/>
      <x:c r="Z243" s="44"/>
      <x:c r="AA243" s="49"/>
      <x:c r="AB243" s="43" t="n">
        <x:v>5</x:v>
      </x:c>
      <x:c r="AC243" s="34"/>
      <x:c r="AD243" s="34"/>
      <x:c r="AE243" s="34" t="str">
        <x:v>article1-unified-v4-2-fb3f101b-20260903-000401-default-f01-p6-jcs4-5-after-undeploy-early-2s-thread-dump.txt</x:v>
      </x:c>
      <x:c r="AF243" s="34" t="str">
        <x:v>article1-unified-v4-2-fb3f101b-20260903-000401-default-f01-p6-jcs4-5-after-undeploy-early-tomcat-log.txt</x:v>
      </x:c>
      <x:c r="AG243" s="34"/>
      <x:c r="AH243" s="34"/>
      <x:c r="AI243" s="34"/>
    </x:row>
    <x:row r="244">
      <x:c r="A244" s="34" t="str">
        <x:v>article1-unified-v4-2-fb3f101b-20260903-000401-default-f01-p6-jcs4</x:v>
      </x:c>
      <x:c r="B244" s="34" t="str">
        <x:v>default</x:v>
      </x:c>
      <x:c r="C244" s="34" t="str">
        <x:v>jcs4</x:v>
      </x:c>
      <x:c r="D244" s="34" t="str">
        <x:v>jcs4</x:v>
      </x:c>
      <x:c r="E244" s="36" t="n">
        <x:v>1</x:v>
      </x:c>
      <x:c r="F244" s="36" t="n">
        <x:v>1</x:v>
      </x:c>
      <x:c r="G244" s="36" t="n">
        <x:v>6</x:v>
      </x:c>
      <x:c r="H244" s="36" t="n">
        <x:v>5</x:v>
      </x:c>
      <x:c r="I244" s="34" t="str">
        <x:v>afterUndeploy</x:v>
      </x:c>
      <x:c r="J244" s="34" t="str">
        <x:v>after-undeploy-final</x:v>
      </x:c>
      <x:c r="K244" s="36" t="n">
        <x:v>1</x:v>
      </x:c>
      <x:c r="L244" s="34" t="str">
        <x:v>final</x:v>
      </x:c>
      <x:c r="M244" s="34" t="str">
        <x:v>article1-unified-v4-2-fb3f101b-20260903-000401-default-f01-p6-jcs4-5-after-undeploy-final-10s</x:v>
      </x:c>
      <x:c r="N244" s="38" t="n">
        <x:v>46267.95674414352</x:v>
      </x:c>
      <x:c r="O244" s="36" t="n">
        <x:v>2</x:v>
      </x:c>
      <x:c r="P244" s="43" t="n">
        <x:v>15768576</x:v>
      </x:c>
      <x:c r="Q244" s="43" t="n">
        <x:v>268435456</x:v>
      </x:c>
      <x:c r="R244" s="43" t="n">
        <x:v>424956928</x:v>
      </x:c>
      <x:c r="S244" s="36" t="n">
        <x:v>2</x:v>
      </x:c>
      <x:c r="T244" s="44" t="str">
        <x:v>0x000000001d1177b8  0x000000001d003818  0x000073bb705f61a0       0         0         0  org.apache.catalina.loader.ParallelWebappClassLoader | 0x000000001d1177b8  0x000000001d003818  0x000073bad82898b0    4408  20973568  20966296  org.apache.catalina.loader.ParallelWebappClassLoader</x:v>
      </x:c>
      <x:c r="U244" s="36" t="n">
        <x:v>27</x:v>
      </x:c>
      <x:c r="V244" s="36" t="n">
        <x:v>0</x:v>
      </x:c>
      <x:c r="W244" s="44"/>
      <x:c r="X244" s="36" t="n">
        <x:v>1</x:v>
      </x:c>
      <x:c r="Y244" s="36" t="n">
        <x:v>1</x:v>
      </x:c>
      <x:c r="Z244" s="44" t="str">
        <x:v>/jcs4</x:v>
      </x:c>
      <x:c r="AA244" s="45" t="b">
        <x:v>1</x:v>
      </x:c>
      <x:c r="AB244" s="43"/>
      <x:c r="AC244" s="34" t="str">
        <x:v>article1-unified-v4-2-fb3f101b-20260903-000401-default-f01-p6-jcs4-5-after-undeploy-final-10s-heap-info.txt</x:v>
      </x:c>
      <x:c r="AD244" s="34" t="str">
        <x:v>article1-unified-v4-2-fb3f101b-20260903-000401-default-f01-p6-jcs4-5-after-undeploy-final-10s-classloader-stats.txt</x:v>
      </x:c>
      <x:c r="AE244" s="34" t="str">
        <x:v>article1-unified-v4-2-fb3f101b-20260903-000401-default-f01-p6-jcs4-5-after-undeploy-final-10s-thread-dump.txt</x:v>
      </x:c>
      <x:c r="AF244" s="34"/>
      <x:c r="AG244" s="34" t="str">
        <x:v>article1-unified-v4-2-fb3f101b-20260903-000401-default-f01-p6-jcs4-5-after-undeploy-final-10s-native-memory.txt</x:v>
      </x:c>
      <x:c r="AH244" s="34" t="str">
        <x:v>article1-unified-v4-2-fb3f101b-20260903-000401-default-f01-p6-jcs4-5-after-undeploy-final-10s-class-histogram.txt</x:v>
      </x:c>
      <x:c r="AI244" s="34" t="str">
        <x:v>article1-unified-v4-2-fb3f101b-20260903-000401-default-f01-p6-jcs4-5-after-undeploy-tomcat-findleaks.txt</x:v>
      </x:c>
    </x:row>
    <x:row r="245">
      <x:c r="A245" s="34" t="str">
        <x:v>article1-unified-v4-2-fb3f101b-20260903-000401-default-f01-p6-jcs4</x:v>
      </x:c>
      <x:c r="B245" s="34" t="str">
        <x:v>default</x:v>
      </x:c>
      <x:c r="C245" s="34" t="str">
        <x:v>jcs4</x:v>
      </x:c>
      <x:c r="D245" s="34" t="str">
        <x:v>jcs4</x:v>
      </x:c>
      <x:c r="E245" s="36" t="n">
        <x:v>1</x:v>
      </x:c>
      <x:c r="F245" s="36" t="n">
        <x:v>1</x:v>
      </x:c>
      <x:c r="G245" s="36" t="n">
        <x:v>6</x:v>
      </x:c>
      <x:c r="H245" s="36" t="n">
        <x:v>5</x:v>
      </x:c>
      <x:c r="I245" s="34" t="str">
        <x:v>redeployedLoaded</x:v>
      </x:c>
      <x:c r="J245" s="34" t="str">
        <x:v>redeployed-loaded</x:v>
      </x:c>
      <x:c r="K245" s="36" t="n">
        <x:v>0</x:v>
      </x:c>
      <x:c r="L245" s="34" t="str">
        <x:v>redeploy</x:v>
      </x:c>
      <x:c r="M245" s="34" t="str">
        <x:v>article1-unified-v4-2-fb3f101b-20260903-000401-default-f01-p6-jcs4-5-redeployed-loaded</x:v>
      </x:c>
      <x:c r="N245" s="38" t="n">
        <x:v>46267.9569946412</x:v>
      </x:c>
      <x:c r="O245" s="36" t="n">
        <x:v>0</x:v>
      </x:c>
      <x:c r="P245" s="43" t="n">
        <x:v>135019520</x:v>
      </x:c>
      <x:c r="Q245" s="43" t="n">
        <x:v>268435456</x:v>
      </x:c>
      <x:c r="R245" s="43" t="n">
        <x:v>446158848</x:v>
      </x:c>
      <x:c r="S245" s="36" t="n">
        <x:v>3</x:v>
      </x:c>
      <x:c r="T245" s="44" t="str">
        <x:v>0x000000001d1177b8  0x000000001d003818  0x000073bb705f61a0       0         0         0  org.apache.catalina.loader.ParallelWebappClassLoader | 0x000000001d1177b8  0x000000001d003818  0x000073bad82898b0    4408  20973568  20966296  org.apache.catalina.loader.ParallelWebappClassLoader | 0x000000001d1177b8  0x000000001d003818  0x000073baa80020a0    4391  20957184  20944768  org.apache.catalina.loader.ParallelWebappClassLoader</x:v>
      </x:c>
      <x:c r="U245" s="36" t="n">
        <x:v>28</x:v>
      </x:c>
      <x:c r="V245" s="36" t="n">
        <x:v>1</x:v>
      </x:c>
      <x:c r="W245" s="44" t="str">
        <x:v>jcs4-thread-pool-event-queue:JCS-ThreadPoolManager-ElementEventQueue-Thread-31#431</x:v>
      </x:c>
      <x:c r="X245" s="36"/>
      <x:c r="Y245" s="36"/>
      <x:c r="Z245" s="44"/>
      <x:c r="AA245" s="49"/>
      <x:c r="AB245" s="43"/>
      <x:c r="AC245" s="34"/>
      <x:c r="AD245" s="34"/>
      <x:c r="AE245" s="34"/>
      <x:c r="AF245" s="34"/>
      <x:c r="AG245" s="34"/>
      <x:c r="AH245" s="34"/>
      <x:c r="AI245" s="34"/>
    </x:row>
    <x:row r="246">
      <x:c r="A246" s="34" t="str">
        <x:v>article1-unified-v4-2-fb3f101b-20260903-000401-default-f01-p6-jcs4</x:v>
      </x:c>
      <x:c r="B246" s="34" t="str">
        <x:v>default</x:v>
      </x:c>
      <x:c r="C246" s="34" t="str">
        <x:v>jcs4</x:v>
      </x:c>
      <x:c r="D246" s="34" t="str">
        <x:v>jcs4</x:v>
      </x:c>
      <x:c r="E246" s="36" t="n">
        <x:v>1</x:v>
      </x:c>
      <x:c r="F246" s="36" t="n">
        <x:v>1</x:v>
      </x:c>
      <x:c r="G246" s="36" t="n">
        <x:v>6</x:v>
      </x:c>
      <x:c r="H246" s="36" t="n">
        <x:v>5</x:v>
      </x:c>
      <x:c r="I246" s="34" t="str">
        <x:v>afterFinalUndeployEarly</x:v>
      </x:c>
      <x:c r="J246" s="34" t="str">
        <x:v>after-final-undeploy-early</x:v>
      </x:c>
      <x:c r="K246" s="36" t="n">
        <x:v>2</x:v>
      </x:c>
      <x:c r="L246" s="34" t="str">
        <x:v>early</x:v>
      </x:c>
      <x:c r="M246" s="34" t="str">
        <x:v>article1-unified-v4-2-fb3f101b-20260903-000401-default-f01-p6-jcs4-5-after-final-undeploy-early-2s</x:v>
      </x:c>
      <x:c r="N246" s="38" t="n">
        <x:v>46267.957076273146</x:v>
      </x:c>
      <x:c r="O246" s="36"/>
      <x:c r="P246" s="43"/>
      <x:c r="Q246" s="43"/>
      <x:c r="R246" s="43"/>
      <x:c r="S246" s="36"/>
      <x:c r="T246" s="44"/>
      <x:c r="U246" s="36" t="n">
        <x:v>27</x:v>
      </x:c>
      <x:c r="V246" s="36" t="n">
        <x:v>0</x:v>
      </x:c>
      <x:c r="W246" s="44"/>
      <x:c r="X246" s="36"/>
      <x:c r="Y246" s="36"/>
      <x:c r="Z246" s="44"/>
      <x:c r="AA246" s="49"/>
      <x:c r="AB246" s="43" t="n">
        <x:v>5</x:v>
      </x:c>
      <x:c r="AC246" s="34"/>
      <x:c r="AD246" s="34"/>
      <x:c r="AE246" s="34" t="str">
        <x:v>article1-unified-v4-2-fb3f101b-20260903-000401-default-f01-p6-jcs4-5-after-final-undeploy-early-2s-thread-dump.txt</x:v>
      </x:c>
      <x:c r="AF246" s="34" t="str">
        <x:v>article1-unified-v4-2-fb3f101b-20260903-000401-default-f01-p6-jcs4-5-after-final-undeploy-early-tomcat-log.txt</x:v>
      </x:c>
      <x:c r="AG246" s="34"/>
      <x:c r="AH246" s="34"/>
      <x:c r="AI246" s="34"/>
    </x:row>
    <x:row r="247">
      <x:c r="A247" s="34" t="str">
        <x:v>article1-unified-v4-2-fb3f101b-20260903-000401-default-f01-p6-jcs4</x:v>
      </x:c>
      <x:c r="B247" s="34" t="str">
        <x:v>default</x:v>
      </x:c>
      <x:c r="C247" s="34" t="str">
        <x:v>jcs4</x:v>
      </x:c>
      <x:c r="D247" s="34" t="str">
        <x:v>jcs4</x:v>
      </x:c>
      <x:c r="E247" s="36" t="n">
        <x:v>1</x:v>
      </x:c>
      <x:c r="F247" s="36" t="n">
        <x:v>1</x:v>
      </x:c>
      <x:c r="G247" s="36" t="n">
        <x:v>6</x:v>
      </x:c>
      <x:c r="H247" s="36" t="n">
        <x:v>5</x:v>
      </x:c>
      <x:c r="I247" s="34" t="str">
        <x:v>afterFinalUndeploy</x:v>
      </x:c>
      <x:c r="J247" s="34" t="str">
        <x:v>after-final-undeploy-final</x:v>
      </x:c>
      <x:c r="K247" s="36" t="n">
        <x:v>2</x:v>
      </x:c>
      <x:c r="L247" s="34" t="str">
        <x:v>final</x:v>
      </x:c>
      <x:c r="M247" s="34" t="str">
        <x:v>article1-unified-v4-2-fb3f101b-20260903-000401-default-f01-p6-jcs4-5-after-final-undeploy-final-10s</x:v>
      </x:c>
      <x:c r="N247" s="38" t="n">
        <x:v>46267.9572340625</x:v>
      </x:c>
      <x:c r="O247" s="36" t="n">
        <x:v>2</x:v>
      </x:c>
      <x:c r="P247" s="43" t="n">
        <x:v>15776768</x:v>
      </x:c>
      <x:c r="Q247" s="43" t="n">
        <x:v>268435456</x:v>
      </x:c>
      <x:c r="R247" s="43" t="n">
        <x:v>429184000</x:v>
      </x:c>
      <x:c r="S247" s="36" t="n">
        <x:v>2</x:v>
      </x:c>
      <x:c r="T247" s="44" t="str">
        <x:v>0x000000001d1177b8  0x000000001d003818  0x000073bb705f61a0       0         0         0  org.apache.catalina.loader.ParallelWebappClassLoader | 0x000000001d1177b8  0x000000001d003818  0x000073baa80020a0    4405  21006336  20980152  org.apache.catalina.loader.ParallelWebappClassLoader</x:v>
      </x:c>
      <x:c r="U247" s="36" t="n">
        <x:v>27</x:v>
      </x:c>
      <x:c r="V247" s="36" t="n">
        <x:v>0</x:v>
      </x:c>
      <x:c r="W247" s="44"/>
      <x:c r="X247" s="36" t="n">
        <x:v>1</x:v>
      </x:c>
      <x:c r="Y247" s="36" t="n">
        <x:v>1</x:v>
      </x:c>
      <x:c r="Z247" s="44" t="str">
        <x:v>/jcs4</x:v>
      </x:c>
      <x:c r="AA247" s="45" t="b">
        <x:v>1</x:v>
      </x:c>
      <x:c r="AB247" s="43"/>
      <x:c r="AC247" s="34" t="str">
        <x:v>article1-unified-v4-2-fb3f101b-20260903-000401-default-f01-p6-jcs4-5-after-final-undeploy-final-10s-heap-info.txt</x:v>
      </x:c>
      <x:c r="AD247" s="34" t="str">
        <x:v>article1-unified-v4-2-fb3f101b-20260903-000401-default-f01-p6-jcs4-5-after-final-undeploy-final-10s-classloader-stats.txt</x:v>
      </x:c>
      <x:c r="AE247" s="34" t="str">
        <x:v>article1-unified-v4-2-fb3f101b-20260903-000401-default-f01-p6-jcs4-5-after-final-undeploy-final-10s-thread-dump.txt</x:v>
      </x:c>
      <x:c r="AF247" s="34"/>
      <x:c r="AG247" s="34" t="str">
        <x:v>article1-unified-v4-2-fb3f101b-20260903-000401-default-f01-p6-jcs4-5-after-final-undeploy-final-10s-native-memory.txt</x:v>
      </x:c>
      <x:c r="AH247" s="34" t="str">
        <x:v>article1-unified-v4-2-fb3f101b-20260903-000401-default-f01-p6-jcs4-5-after-final-undeploy-final-10s-class-histogram.txt</x:v>
      </x:c>
      <x:c r="AI247" s="34" t="str">
        <x:v>article1-unified-v4-2-fb3f101b-20260903-000401-default-f01-p6-jcs4-5-after-final-undeploy-tomcat-findleaks.txt</x:v>
      </x:c>
    </x:row>
    <x:row r="248">
      <x:c r="A248" s="34" t="str">
        <x:v>article1-unified-v4-2-fb3f101b-20260903-000401-default-f02-p1-ehcache</x:v>
      </x:c>
      <x:c r="B248" s="34" t="str">
        <x:v>default</x:v>
      </x:c>
      <x:c r="C248" s="34" t="str">
        <x:v>ehcache</x:v>
      </x:c>
      <x:c r="D248" s="34" t="str">
        <x:v>ehcache</x:v>
      </x:c>
      <x:c r="E248" s="36" t="n">
        <x:v>2</x:v>
      </x:c>
      <x:c r="F248" s="36" t="n">
        <x:v>2</x:v>
      </x:c>
      <x:c r="G248" s="36" t="n">
        <x:v>1</x:v>
      </x:c>
      <x:c r="H248" s="36" t="n">
        <x:v>0</x:v>
      </x:c>
      <x:c r="I248" s="34" t="str">
        <x:v>processBaseline</x:v>
      </x:c>
      <x:c r="J248" s="34" t="str">
        <x:v>process-baseline</x:v>
      </x:c>
      <x:c r="K248" s="36" t="n">
        <x:v>0</x:v>
      </x:c>
      <x:c r="L248" s="34" t="str">
        <x:v>baseline</x:v>
      </x:c>
      <x:c r="M248" s="34" t="str">
        <x:v>article1-unified-v4-2-fb3f101b-20260903-000401-default-f02-p1-ehcache-process-baseline</x:v>
      </x:c>
      <x:c r="N248" s="38" t="n">
        <x:v>46267.95749630787</x:v>
      </x:c>
      <x:c r="O248" s="36" t="n">
        <x:v>0</x:v>
      </x:c>
      <x:c r="P248" s="43" t="n">
        <x:v>32798720</x:v>
      </x:c>
      <x:c r="Q248" s="43" t="n">
        <x:v>270532608</x:v>
      </x:c>
      <x:c r="R248" s="43" t="n">
        <x:v>369393664</x:v>
      </x:c>
      <x:c r="S248" s="36" t="n">
        <x:v>1</x:v>
      </x:c>
      <x:c r="T248" s="44" t="str">
        <x:v>0x00000000821177b8  0x0000000082003818  0x0000716f68616890       0         0         0  org.apache.catalina.loader.ParallelWebappClassLoader</x:v>
      </x:c>
      <x:c r="U248" s="36" t="n">
        <x:v>27</x:v>
      </x:c>
      <x:c r="V248" s="36" t="n">
        <x:v>0</x:v>
      </x:c>
      <x:c r="W248" s="44"/>
      <x:c r="X248" s="36"/>
      <x:c r="Y248" s="36"/>
      <x:c r="Z248" s="44"/>
      <x:c r="AA248" s="49"/>
      <x:c r="AB248" s="43"/>
      <x:c r="AC248" s="34" t="str">
        <x:v>article1-unified-v4-2-fb3f101b-20260903-000401-default-f02-p1-ehcache-process-baseline-heap-info.txt</x:v>
      </x:c>
      <x:c r="AD248" s="34" t="str">
        <x:v>article1-unified-v4-2-fb3f101b-20260903-000401-default-f02-p1-ehcache-process-baseline-classloader-stats.txt</x:v>
      </x:c>
      <x:c r="AE248" s="34" t="str">
        <x:v>article1-unified-v4-2-fb3f101b-20260903-000401-default-f02-p1-ehcache-process-baseline-thread-dump.txt</x:v>
      </x:c>
      <x:c r="AF248" s="34"/>
      <x:c r="AG248" s="34" t="str">
        <x:v>article1-unified-v4-2-fb3f101b-20260903-000401-default-f02-p1-ehcache-process-baseline-native-memory.txt</x:v>
      </x:c>
      <x:c r="AH248" s="34"/>
      <x:c r="AI248" s="34"/>
    </x:row>
    <x:row r="249">
      <x:c r="A249" s="34" t="str">
        <x:v>article1-unified-v4-2-fb3f101b-20260903-000401-default-f02-p1-ehcache</x:v>
      </x:c>
      <x:c r="B249" s="34" t="str">
        <x:v>default</x:v>
      </x:c>
      <x:c r="C249" s="34" t="str">
        <x:v>ehcache</x:v>
      </x:c>
      <x:c r="D249" s="34" t="str">
        <x:v>ehcache</x:v>
      </x:c>
      <x:c r="E249" s="36" t="n">
        <x:v>2</x:v>
      </x:c>
      <x:c r="F249" s="36" t="n">
        <x:v>2</x:v>
      </x:c>
      <x:c r="G249" s="36" t="n">
        <x:v>1</x:v>
      </x:c>
      <x:c r="H249" s="36" t="n">
        <x:v>1</x:v>
      </x:c>
      <x:c r="I249" s="34" t="str">
        <x:v>baseline</x:v>
      </x:c>
      <x:c r="J249" s="34" t="str">
        <x:v>cycle-baseline</x:v>
      </x:c>
      <x:c r="K249" s="36" t="n">
        <x:v>0</x:v>
      </x:c>
      <x:c r="L249" s="34" t="str">
        <x:v>baseline</x:v>
      </x:c>
      <x:c r="M249" s="34" t="str">
        <x:v>article1-unified-v4-2-fb3f101b-20260903-000401-default-f02-p1-ehcache-1-baseline</x:v>
      </x:c>
      <x:c r="N249" s="38" t="n">
        <x:v>46267.95769859954</x:v>
      </x:c>
      <x:c r="O249" s="36" t="n">
        <x:v>0</x:v>
      </x:c>
      <x:c r="P249" s="43" t="n">
        <x:v>33323008</x:v>
      </x:c>
      <x:c r="Q249" s="43" t="n">
        <x:v>270532608</x:v>
      </x:c>
      <x:c r="R249" s="43" t="n">
        <x:v>369323008</x:v>
      </x:c>
      <x:c r="S249" s="36" t="n">
        <x:v>1</x:v>
      </x:c>
      <x:c r="T249" s="44" t="str">
        <x:v>0x00000000821177b8  0x0000000082003818  0x0000716f68616890       0         0         0  org.apache.catalina.loader.ParallelWebappClassLoader</x:v>
      </x:c>
      <x:c r="U249" s="36" t="n">
        <x:v>27</x:v>
      </x:c>
      <x:c r="V249" s="36" t="n">
        <x:v>0</x:v>
      </x:c>
      <x:c r="W249" s="44"/>
      <x:c r="X249" s="36"/>
      <x:c r="Y249" s="36"/>
      <x:c r="Z249" s="44"/>
      <x:c r="AA249" s="49"/>
      <x:c r="AB249" s="43"/>
      <x:c r="AC249" s="34" t="str">
        <x:v>article1-unified-v4-2-fb3f101b-20260903-000401-default-f02-p1-ehcache-1-baseline-heap-info.txt</x:v>
      </x:c>
      <x:c r="AD249" s="34" t="str">
        <x:v>article1-unified-v4-2-fb3f101b-20260903-000401-default-f02-p1-ehcache-1-baseline-classloader-stats.txt</x:v>
      </x:c>
      <x:c r="AE249" s="34" t="str">
        <x:v>article1-unified-v4-2-fb3f101b-20260903-000401-default-f02-p1-ehcache-1-baseline-thread-dump.txt</x:v>
      </x:c>
      <x:c r="AF249" s="34"/>
      <x:c r="AG249" s="34" t="str">
        <x:v>article1-unified-v4-2-fb3f101b-20260903-000401-default-f02-p1-ehcache-1-baseline-native-memory.txt</x:v>
      </x:c>
      <x:c r="AH249" s="34"/>
      <x:c r="AI249" s="34"/>
    </x:row>
    <x:row r="250">
      <x:c r="A250" s="34" t="str">
        <x:v>article1-unified-v4-2-fb3f101b-20260903-000401-default-f02-p1-ehcache</x:v>
      </x:c>
      <x:c r="B250" s="34" t="str">
        <x:v>default</x:v>
      </x:c>
      <x:c r="C250" s="34" t="str">
        <x:v>ehcache</x:v>
      </x:c>
      <x:c r="D250" s="34" t="str">
        <x:v>ehcache</x:v>
      </x:c>
      <x:c r="E250" s="36" t="n">
        <x:v>2</x:v>
      </x:c>
      <x:c r="F250" s="36" t="n">
        <x:v>2</x:v>
      </x:c>
      <x:c r="G250" s="36" t="n">
        <x:v>1</x:v>
      </x:c>
      <x:c r="H250" s="36" t="n">
        <x:v>1</x:v>
      </x:c>
      <x:c r="I250" s="34" t="str">
        <x:v>deployedIdle</x:v>
      </x:c>
      <x:c r="J250" s="34" t="str">
        <x:v>deployed-idle</x:v>
      </x:c>
      <x:c r="K250" s="36" t="n">
        <x:v>0</x:v>
      </x:c>
      <x:c r="L250" s="34" t="str">
        <x:v>initial</x:v>
      </x:c>
      <x:c r="M250" s="34" t="str">
        <x:v>article1-unified-v4-2-fb3f101b-20260903-000401-default-f02-p1-ehcache-1-deployed-idle</x:v>
      </x:c>
      <x:c r="N250" s="38" t="n">
        <x:v>46267.95781474537</x:v>
      </x:c>
      <x:c r="O250" s="36" t="n">
        <x:v>0</x:v>
      </x:c>
      <x:c r="P250" s="43" t="n">
        <x:v>22824960</x:v>
      </x:c>
      <x:c r="Q250" s="43" t="n">
        <x:v>268435456</x:v>
      </x:c>
      <x:c r="R250" s="43" t="n">
        <x:v>407627776</x:v>
      </x:c>
      <x:c r="S250" s="36" t="n">
        <x:v>2</x:v>
      </x:c>
      <x:c r="T250" s="44" t="str">
        <x:v>0x00000000821177b8  0x0000000082003818  0x0000716ebc074980    4091  19429376  19412656  org.apache.catalina.loader.ParallelWebappClassLoader | 0x00000000821177b8  0x0000000082003818  0x0000716f68616890       0         0         0  org.apache.catalina.loader.ParallelWebappClassLoader</x:v>
      </x:c>
      <x:c r="U250" s="36" t="n">
        <x:v>27</x:v>
      </x:c>
      <x:c r="V250" s="36" t="n">
        <x:v>0</x:v>
      </x:c>
      <x:c r="W250" s="44"/>
      <x:c r="X250" s="36"/>
      <x:c r="Y250" s="36"/>
      <x:c r="Z250" s="44"/>
      <x:c r="AA250" s="49"/>
      <x:c r="AB250" s="43"/>
      <x:c r="AC250" s="34"/>
      <x:c r="AD250" s="34"/>
      <x:c r="AE250" s="34"/>
      <x:c r="AF250" s="34"/>
      <x:c r="AG250" s="34"/>
      <x:c r="AH250" s="34"/>
      <x:c r="AI250" s="34"/>
    </x:row>
    <x:row r="251">
      <x:c r="A251" s="34" t="str">
        <x:v>article1-unified-v4-2-fb3f101b-20260903-000401-default-f02-p1-ehcache</x:v>
      </x:c>
      <x:c r="B251" s="34" t="str">
        <x:v>default</x:v>
      </x:c>
      <x:c r="C251" s="34" t="str">
        <x:v>ehcache</x:v>
      </x:c>
      <x:c r="D251" s="34" t="str">
        <x:v>ehcache</x:v>
      </x:c>
      <x:c r="E251" s="36" t="n">
        <x:v>2</x:v>
      </x:c>
      <x:c r="F251" s="36" t="n">
        <x:v>2</x:v>
      </x:c>
      <x:c r="G251" s="36" t="n">
        <x:v>1</x:v>
      </x:c>
      <x:c r="H251" s="36" t="n">
        <x:v>1</x:v>
      </x:c>
      <x:c r="I251" s="34" t="str">
        <x:v>loaded</x:v>
      </x:c>
      <x:c r="J251" s="34" t="str">
        <x:v>loaded</x:v>
      </x:c>
      <x:c r="K251" s="36" t="n">
        <x:v>0</x:v>
      </x:c>
      <x:c r="L251" s="34" t="str">
        <x:v>initial</x:v>
      </x:c>
      <x:c r="M251" s="34" t="str">
        <x:v>article1-unified-v4-2-fb3f101b-20260903-000401-default-f02-p1-ehcache-1-loaded</x:v>
      </x:c>
      <x:c r="N251" s="38" t="n">
        <x:v>46267.95796827546</x:v>
      </x:c>
      <x:c r="O251" s="36" t="n">
        <x:v>0</x:v>
      </x:c>
      <x:c r="P251" s="43" t="n">
        <x:v>216989696</x:v>
      </x:c>
      <x:c r="Q251" s="43" t="n">
        <x:v>268435456</x:v>
      </x:c>
      <x:c r="R251" s="43" t="n">
        <x:v>417844224</x:v>
      </x:c>
      <x:c r="S251" s="36" t="n">
        <x:v>2</x:v>
      </x:c>
      <x:c r="T251" s="44" t="str">
        <x:v>0x00000000821177b8  0x0000000082003818  0x0000716ebc074980    4858  22625280  22614312  org.apache.catalina.loader.ParallelWebappClassLoader | 0x00000000821177b8  0x0000000082003818  0x0000716f68616890       0         0         0  org.apache.catalina.loader.ParallelWebappClassLoader</x:v>
      </x:c>
      <x:c r="U251" s="36" t="n">
        <x:v>27</x:v>
      </x:c>
      <x:c r="V251" s="36" t="n">
        <x:v>0</x:v>
      </x:c>
      <x:c r="W251" s="44"/>
      <x:c r="X251" s="36"/>
      <x:c r="Y251" s="36"/>
      <x:c r="Z251" s="44"/>
      <x:c r="AA251" s="49"/>
      <x:c r="AB251" s="43"/>
      <x:c r="AC251" s="34"/>
      <x:c r="AD251" s="34"/>
      <x:c r="AE251" s="34"/>
      <x:c r="AF251" s="34"/>
      <x:c r="AG251" s="34"/>
      <x:c r="AH251" s="34"/>
      <x:c r="AI251" s="34"/>
    </x:row>
    <x:row r="252">
      <x:c r="A252" s="34" t="str">
        <x:v>article1-unified-v4-2-fb3f101b-20260903-000401-default-f02-p1-ehcache</x:v>
      </x:c>
      <x:c r="B252" s="34" t="str">
        <x:v>default</x:v>
      </x:c>
      <x:c r="C252" s="34" t="str">
        <x:v>ehcache</x:v>
      </x:c>
      <x:c r="D252" s="34" t="str">
        <x:v>ehcache</x:v>
      </x:c>
      <x:c r="E252" s="36" t="n">
        <x:v>2</x:v>
      </x:c>
      <x:c r="F252" s="36" t="n">
        <x:v>2</x:v>
      </x:c>
      <x:c r="G252" s="36" t="n">
        <x:v>1</x:v>
      </x:c>
      <x:c r="H252" s="36" t="n">
        <x:v>1</x:v>
      </x:c>
      <x:c r="I252" s="34" t="str">
        <x:v>afterUndeployEarly</x:v>
      </x:c>
      <x:c r="J252" s="34" t="str">
        <x:v>after-undeploy-early</x:v>
      </x:c>
      <x:c r="K252" s="36" t="n">
        <x:v>1</x:v>
      </x:c>
      <x:c r="L252" s="34" t="str">
        <x:v>early</x:v>
      </x:c>
      <x:c r="M252" s="34" t="str">
        <x:v>article1-unified-v4-2-fb3f101b-20260903-000401-default-f02-p1-ehcache-1-after-undeploy-early-2s</x:v>
      </x:c>
      <x:c r="N252" s="38" t="n">
        <x:v>46267.95805221065</x:v>
      </x:c>
      <x:c r="O252" s="36"/>
      <x:c r="P252" s="43"/>
      <x:c r="Q252" s="43"/>
      <x:c r="R252" s="43"/>
      <x:c r="S252" s="36"/>
      <x:c r="T252" s="44"/>
      <x:c r="U252" s="36" t="n">
        <x:v>27</x:v>
      </x:c>
      <x:c r="V252" s="36" t="n">
        <x:v>0</x:v>
      </x:c>
      <x:c r="W252" s="44"/>
      <x:c r="X252" s="36"/>
      <x:c r="Y252" s="36"/>
      <x:c r="Z252" s="44"/>
      <x:c r="AA252" s="49"/>
      <x:c r="AB252" s="43" t="n">
        <x:v>15</x:v>
      </x:c>
      <x:c r="AC252" s="34"/>
      <x:c r="AD252" s="34"/>
      <x:c r="AE252" s="34" t="str">
        <x:v>article1-unified-v4-2-fb3f101b-20260903-000401-default-f02-p1-ehcache-1-after-undeploy-early-2s-thread-dump.txt</x:v>
      </x:c>
      <x:c r="AF252" s="34" t="str">
        <x:v>article1-unified-v4-2-fb3f101b-20260903-000401-default-f02-p1-ehcache-1-after-undeploy-early-tomcat-log.txt</x:v>
      </x:c>
      <x:c r="AG252" s="34"/>
      <x:c r="AH252" s="34"/>
      <x:c r="AI252" s="34"/>
    </x:row>
    <x:row r="253">
      <x:c r="A253" s="34" t="str">
        <x:v>article1-unified-v4-2-fb3f101b-20260903-000401-default-f02-p1-ehcache</x:v>
      </x:c>
      <x:c r="B253" s="34" t="str">
        <x:v>default</x:v>
      </x:c>
      <x:c r="C253" s="34" t="str">
        <x:v>ehcache</x:v>
      </x:c>
      <x:c r="D253" s="34" t="str">
        <x:v>ehcache</x:v>
      </x:c>
      <x:c r="E253" s="36" t="n">
        <x:v>2</x:v>
      </x:c>
      <x:c r="F253" s="36" t="n">
        <x:v>2</x:v>
      </x:c>
      <x:c r="G253" s="36" t="n">
        <x:v>1</x:v>
      </x:c>
      <x:c r="H253" s="36" t="n">
        <x:v>1</x:v>
      </x:c>
      <x:c r="I253" s="34" t="str">
        <x:v>afterUndeploy</x:v>
      </x:c>
      <x:c r="J253" s="34" t="str">
        <x:v>after-undeploy-final</x:v>
      </x:c>
      <x:c r="K253" s="36" t="n">
        <x:v>1</x:v>
      </x:c>
      <x:c r="L253" s="34" t="str">
        <x:v>final</x:v>
      </x:c>
      <x:c r="M253" s="34" t="str">
        <x:v>article1-unified-v4-2-fb3f101b-20260903-000401-default-f02-p1-ehcache-1-after-undeploy-final-10s</x:v>
      </x:c>
      <x:c r="N253" s="38" t="n">
        <x:v>46267.95821556713</x:v>
      </x:c>
      <x:c r="O253" s="36" t="n">
        <x:v>2</x:v>
      </x:c>
      <x:c r="P253" s="43" t="n">
        <x:v>15888384</x:v>
      </x:c>
      <x:c r="Q253" s="43" t="n">
        <x:v>268435456</x:v>
      </x:c>
      <x:c r="R253" s="43" t="n">
        <x:v>412115968</x:v>
      </x:c>
      <x:c r="S253" s="36" t="n">
        <x:v>2</x:v>
      </x:c>
      <x:c r="T253" s="44" t="str">
        <x:v>0x00000000821177b8  0x0000000082003818  0x0000716f68616890       0         0         0  org.apache.catalina.loader.ParallelWebappClassLoader | 0x00000000821177b8  0x0000000082003818  0x0000716ebc074980    4868  22660096  22659120  org.apache.catalina.loader.ParallelWebappClassLoader</x:v>
      </x:c>
      <x:c r="U253" s="36" t="n">
        <x:v>27</x:v>
      </x:c>
      <x:c r="V253" s="36" t="n">
        <x:v>0</x:v>
      </x:c>
      <x:c r="W253" s="44"/>
      <x:c r="X253" s="36" t="n">
        <x:v>1</x:v>
      </x:c>
      <x:c r="Y253" s="36" t="n">
        <x:v>1</x:v>
      </x:c>
      <x:c r="Z253" s="44" t="str">
        <x:v>/ehcache</x:v>
      </x:c>
      <x:c r="AA253" s="45" t="b">
        <x:v>1</x:v>
      </x:c>
      <x:c r="AB253" s="43"/>
      <x:c r="AC253" s="34" t="str">
        <x:v>article1-unified-v4-2-fb3f101b-20260903-000401-default-f02-p1-ehcache-1-after-undeploy-final-10s-heap-info.txt</x:v>
      </x:c>
      <x:c r="AD253" s="34" t="str">
        <x:v>article1-unified-v4-2-fb3f101b-20260903-000401-default-f02-p1-ehcache-1-after-undeploy-final-10s-classloader-stats.txt</x:v>
      </x:c>
      <x:c r="AE253" s="34" t="str">
        <x:v>article1-unified-v4-2-fb3f101b-20260903-000401-default-f02-p1-ehcache-1-after-undeploy-final-10s-thread-dump.txt</x:v>
      </x:c>
      <x:c r="AF253" s="34"/>
      <x:c r="AG253" s="34" t="str">
        <x:v>article1-unified-v4-2-fb3f101b-20260903-000401-default-f02-p1-ehcache-1-after-undeploy-final-10s-native-memory.txt</x:v>
      </x:c>
      <x:c r="AH253" s="34" t="str">
        <x:v>article1-unified-v4-2-fb3f101b-20260903-000401-default-f02-p1-ehcache-1-after-undeploy-final-10s-class-histogram.txt</x:v>
      </x:c>
      <x:c r="AI253" s="34" t="str">
        <x:v>article1-unified-v4-2-fb3f101b-20260903-000401-default-f02-p1-ehcache-1-after-undeploy-tomcat-findleaks.txt</x:v>
      </x:c>
    </x:row>
    <x:row r="254">
      <x:c r="A254" s="34" t="str">
        <x:v>article1-unified-v4-2-fb3f101b-20260903-000401-default-f02-p1-ehcache</x:v>
      </x:c>
      <x:c r="B254" s="34" t="str">
        <x:v>default</x:v>
      </x:c>
      <x:c r="C254" s="34" t="str">
        <x:v>ehcache</x:v>
      </x:c>
      <x:c r="D254" s="34" t="str">
        <x:v>ehcache</x:v>
      </x:c>
      <x:c r="E254" s="36" t="n">
        <x:v>2</x:v>
      </x:c>
      <x:c r="F254" s="36" t="n">
        <x:v>2</x:v>
      </x:c>
      <x:c r="G254" s="36" t="n">
        <x:v>1</x:v>
      </x:c>
      <x:c r="H254" s="36" t="n">
        <x:v>1</x:v>
      </x:c>
      <x:c r="I254" s="34" t="str">
        <x:v>redeployedLoaded</x:v>
      </x:c>
      <x:c r="J254" s="34" t="str">
        <x:v>redeployed-loaded</x:v>
      </x:c>
      <x:c r="K254" s="36" t="n">
        <x:v>0</x:v>
      </x:c>
      <x:c r="L254" s="34" t="str">
        <x:v>redeploy</x:v>
      </x:c>
      <x:c r="M254" s="34" t="str">
        <x:v>article1-unified-v4-2-fb3f101b-20260903-000401-default-f02-p1-ehcache-1-redeployed-loaded</x:v>
      </x:c>
      <x:c r="N254" s="38" t="n">
        <x:v>46267.958476064814</x:v>
      </x:c>
      <x:c r="O254" s="36" t="n">
        <x:v>0</x:v>
      </x:c>
      <x:c r="P254" s="43" t="n">
        <x:v>208721920</x:v>
      </x:c>
      <x:c r="Q254" s="43" t="n">
        <x:v>268435456</x:v>
      </x:c>
      <x:c r="R254" s="43" t="n">
        <x:v>441025536</x:v>
      </x:c>
      <x:c r="S254" s="36" t="n">
        <x:v>3</x:v>
      </x:c>
      <x:c r="T254" s="44" t="str">
        <x:v>0x00000000821177b8  0x0000000082003818  0x0000716ec8012850    4852  22689792  22658336  org.apache.catalina.loader.ParallelWebappClassLoader | 0x00000000821177b8  0x0000000082003818  0x0000716f68616890       0         0         0  org.apache.catalina.loader.ParallelWebappClassLoader | 0x00000000821177b8  0x0000000082003818  0x0000716ebc074980    4868  22660096  22659120  org.apache.catalina.loader.ParallelWebappClassLoader</x:v>
      </x:c>
      <x:c r="U254" s="36" t="n">
        <x:v>27</x:v>
      </x:c>
      <x:c r="V254" s="36" t="n">
        <x:v>0</x:v>
      </x:c>
      <x:c r="W254" s="44"/>
      <x:c r="X254" s="36"/>
      <x:c r="Y254" s="36"/>
      <x:c r="Z254" s="44"/>
      <x:c r="AA254" s="49"/>
      <x:c r="AB254" s="43"/>
      <x:c r="AC254" s="34"/>
      <x:c r="AD254" s="34"/>
      <x:c r="AE254" s="34"/>
      <x:c r="AF254" s="34"/>
      <x:c r="AG254" s="34"/>
      <x:c r="AH254" s="34"/>
      <x:c r="AI254" s="34"/>
    </x:row>
    <x:row r="255">
      <x:c r="A255" s="34" t="str">
        <x:v>article1-unified-v4-2-fb3f101b-20260903-000401-default-f02-p1-ehcache</x:v>
      </x:c>
      <x:c r="B255" s="34" t="str">
        <x:v>default</x:v>
      </x:c>
      <x:c r="C255" s="34" t="str">
        <x:v>ehcache</x:v>
      </x:c>
      <x:c r="D255" s="34" t="str">
        <x:v>ehcache</x:v>
      </x:c>
      <x:c r="E255" s="36" t="n">
        <x:v>2</x:v>
      </x:c>
      <x:c r="F255" s="36" t="n">
        <x:v>2</x:v>
      </x:c>
      <x:c r="G255" s="36" t="n">
        <x:v>1</x:v>
      </x:c>
      <x:c r="H255" s="36" t="n">
        <x:v>1</x:v>
      </x:c>
      <x:c r="I255" s="34" t="str">
        <x:v>afterFinalUndeployEarly</x:v>
      </x:c>
      <x:c r="J255" s="34" t="str">
        <x:v>after-final-undeploy-early</x:v>
      </x:c>
      <x:c r="K255" s="36" t="n">
        <x:v>2</x:v>
      </x:c>
      <x:c r="L255" s="34" t="str">
        <x:v>early</x:v>
      </x:c>
      <x:c r="M255" s="34" t="str">
        <x:v>article1-unified-v4-2-fb3f101b-20260903-000401-default-f02-p1-ehcache-1-after-final-undeploy-early-2s</x:v>
      </x:c>
      <x:c r="N255" s="38" t="n">
        <x:v>46267.95855899306</x:v>
      </x:c>
      <x:c r="O255" s="36"/>
      <x:c r="P255" s="43"/>
      <x:c r="Q255" s="43"/>
      <x:c r="R255" s="43"/>
      <x:c r="S255" s="36"/>
      <x:c r="T255" s="44"/>
      <x:c r="U255" s="36" t="n">
        <x:v>27</x:v>
      </x:c>
      <x:c r="V255" s="36" t="n">
        <x:v>0</x:v>
      </x:c>
      <x:c r="W255" s="44"/>
      <x:c r="X255" s="36"/>
      <x:c r="Y255" s="36"/>
      <x:c r="Z255" s="44"/>
      <x:c r="AA255" s="49"/>
      <x:c r="AB255" s="43" t="n">
        <x:v>2</x:v>
      </x:c>
      <x:c r="AC255" s="34"/>
      <x:c r="AD255" s="34"/>
      <x:c r="AE255" s="34" t="str">
        <x:v>article1-unified-v4-2-fb3f101b-20260903-000401-default-f02-p1-ehcache-1-after-final-undeploy-early-2s-thread-dump.txt</x:v>
      </x:c>
      <x:c r="AF255" s="34" t="str">
        <x:v>article1-unified-v4-2-fb3f101b-20260903-000401-default-f02-p1-ehcache-1-after-final-undeploy-early-tomcat-log.txt</x:v>
      </x:c>
      <x:c r="AG255" s="34"/>
      <x:c r="AH255" s="34"/>
      <x:c r="AI255" s="34"/>
    </x:row>
    <x:row r="256">
      <x:c r="A256" s="34" t="str">
        <x:v>article1-unified-v4-2-fb3f101b-20260903-000401-default-f02-p1-ehcache</x:v>
      </x:c>
      <x:c r="B256" s="34" t="str">
        <x:v>default</x:v>
      </x:c>
      <x:c r="C256" s="34" t="str">
        <x:v>ehcache</x:v>
      </x:c>
      <x:c r="D256" s="34" t="str">
        <x:v>ehcache</x:v>
      </x:c>
      <x:c r="E256" s="36" t="n">
        <x:v>2</x:v>
      </x:c>
      <x:c r="F256" s="36" t="n">
        <x:v>2</x:v>
      </x:c>
      <x:c r="G256" s="36" t="n">
        <x:v>1</x:v>
      </x:c>
      <x:c r="H256" s="36" t="n">
        <x:v>1</x:v>
      </x:c>
      <x:c r="I256" s="34" t="str">
        <x:v>afterFinalUndeploy</x:v>
      </x:c>
      <x:c r="J256" s="34" t="str">
        <x:v>after-final-undeploy-final</x:v>
      </x:c>
      <x:c r="K256" s="36" t="n">
        <x:v>2</x:v>
      </x:c>
      <x:c r="L256" s="34" t="str">
        <x:v>final</x:v>
      </x:c>
      <x:c r="M256" s="34" t="str">
        <x:v>article1-unified-v4-2-fb3f101b-20260903-000401-default-f02-p1-ehcache-1-after-final-undeploy-final-10s</x:v>
      </x:c>
      <x:c r="N256" s="38" t="n">
        <x:v>46267.958719699076</x:v>
      </x:c>
      <x:c r="O256" s="36" t="n">
        <x:v>2</x:v>
      </x:c>
      <x:c r="P256" s="43" t="n">
        <x:v>15987712</x:v>
      </x:c>
      <x:c r="Q256" s="43" t="n">
        <x:v>268435456</x:v>
      </x:c>
      <x:c r="R256" s="43" t="n">
        <x:v>419812352</x:v>
      </x:c>
      <x:c r="S256" s="36" t="n">
        <x:v>2</x:v>
      </x:c>
      <x:c r="T256" s="44" t="str">
        <x:v>0x00000000821177b8  0x0000000082003818  0x0000716f68616890       0         0         0  org.apache.catalina.loader.ParallelWebappClassLoader | 0x00000000821177b8  0x0000000082003818  0x0000716ec8012850    4862  22725632  22703144  org.apache.catalina.loader.ParallelWebappClassLoader</x:v>
      </x:c>
      <x:c r="U256" s="36" t="n">
        <x:v>27</x:v>
      </x:c>
      <x:c r="V256" s="36" t="n">
        <x:v>0</x:v>
      </x:c>
      <x:c r="W256" s="44"/>
      <x:c r="X256" s="36" t="n">
        <x:v>1</x:v>
      </x:c>
      <x:c r="Y256" s="36" t="n">
        <x:v>1</x:v>
      </x:c>
      <x:c r="Z256" s="44" t="str">
        <x:v>/ehcache</x:v>
      </x:c>
      <x:c r="AA256" s="45" t="b">
        <x:v>1</x:v>
      </x:c>
      <x:c r="AB256" s="43"/>
      <x:c r="AC256" s="34" t="str">
        <x:v>article1-unified-v4-2-fb3f101b-20260903-000401-default-f02-p1-ehcache-1-after-final-undeploy-final-10s-heap-info.txt</x:v>
      </x:c>
      <x:c r="AD256" s="34" t="str">
        <x:v>article1-unified-v4-2-fb3f101b-20260903-000401-default-f02-p1-ehcache-1-after-final-undeploy-final-10s-classloader-stats.txt</x:v>
      </x:c>
      <x:c r="AE256" s="34" t="str">
        <x:v>article1-unified-v4-2-fb3f101b-20260903-000401-default-f02-p1-ehcache-1-after-final-undeploy-final-10s-thread-dump.txt</x:v>
      </x:c>
      <x:c r="AF256" s="34"/>
      <x:c r="AG256" s="34" t="str">
        <x:v>article1-unified-v4-2-fb3f101b-20260903-000401-default-f02-p1-ehcache-1-after-final-undeploy-final-10s-native-memory.txt</x:v>
      </x:c>
      <x:c r="AH256" s="34" t="str">
        <x:v>article1-unified-v4-2-fb3f101b-20260903-000401-default-f02-p1-ehcache-1-after-final-undeploy-final-10s-class-histogram.txt</x:v>
      </x:c>
      <x:c r="AI256" s="34" t="str">
        <x:v>article1-unified-v4-2-fb3f101b-20260903-000401-default-f02-p1-ehcache-1-after-final-undeploy-tomcat-findleaks.txt</x:v>
      </x:c>
    </x:row>
    <x:row r="257">
      <x:c r="A257" s="34" t="str">
        <x:v>article1-unified-v4-2-fb3f101b-20260903-000401-default-f02-p1-ehcache</x:v>
      </x:c>
      <x:c r="B257" s="34" t="str">
        <x:v>default</x:v>
      </x:c>
      <x:c r="C257" s="34" t="str">
        <x:v>ehcache</x:v>
      </x:c>
      <x:c r="D257" s="34" t="str">
        <x:v>ehcache</x:v>
      </x:c>
      <x:c r="E257" s="36" t="n">
        <x:v>2</x:v>
      </x:c>
      <x:c r="F257" s="36" t="n">
        <x:v>2</x:v>
      </x:c>
      <x:c r="G257" s="36" t="n">
        <x:v>1</x:v>
      </x:c>
      <x:c r="H257" s="36" t="n">
        <x:v>2</x:v>
      </x:c>
      <x:c r="I257" s="34" t="str">
        <x:v>baseline</x:v>
      </x:c>
      <x:c r="J257" s="34" t="str">
        <x:v>cycle-baseline</x:v>
      </x:c>
      <x:c r="K257" s="36" t="n">
        <x:v>0</x:v>
      </x:c>
      <x:c r="L257" s="34" t="str">
        <x:v>baseline</x:v>
      </x:c>
      <x:c r="M257" s="34" t="str">
        <x:v>article1-unified-v4-2-fb3f101b-20260903-000401-default-f02-p1-ehcache-2-baseline</x:v>
      </x:c>
      <x:c r="N257" s="38" t="n">
        <x:v>46267.95876741898</x:v>
      </x:c>
      <x:c r="O257" s="36" t="n">
        <x:v>0</x:v>
      </x:c>
      <x:c r="P257" s="43" t="n">
        <x:v>15987712</x:v>
      </x:c>
      <x:c r="Q257" s="43" t="n">
        <x:v>268435456</x:v>
      </x:c>
      <x:c r="R257" s="43" t="n">
        <x:v>419879936</x:v>
      </x:c>
      <x:c r="S257" s="36" t="n">
        <x:v>2</x:v>
      </x:c>
      <x:c r="T257" s="44" t="str">
        <x:v>0x00000000821177b8  0x0000000082003818  0x0000716f68616890       0         0         0  org.apache.catalina.loader.ParallelWebappClassLoader | 0x00000000821177b8  0x0000000082003818  0x0000716ec8012850    4862  22725632  22703144  org.apache.catalina.loader.ParallelWebappClassLoader</x:v>
      </x:c>
      <x:c r="U257" s="36" t="n">
        <x:v>27</x:v>
      </x:c>
      <x:c r="V257" s="36" t="n">
        <x:v>0</x:v>
      </x:c>
      <x:c r="W257" s="44"/>
      <x:c r="X257" s="36"/>
      <x:c r="Y257" s="36"/>
      <x:c r="Z257" s="44"/>
      <x:c r="AA257" s="49"/>
      <x:c r="AB257" s="43"/>
      <x:c r="AC257" s="34" t="str">
        <x:v>article1-unified-v4-2-fb3f101b-20260903-000401-default-f02-p1-ehcache-2-baseline-heap-info.txt</x:v>
      </x:c>
      <x:c r="AD257" s="34" t="str">
        <x:v>article1-unified-v4-2-fb3f101b-20260903-000401-default-f02-p1-ehcache-2-baseline-classloader-stats.txt</x:v>
      </x:c>
      <x:c r="AE257" s="34" t="str">
        <x:v>article1-unified-v4-2-fb3f101b-20260903-000401-default-f02-p1-ehcache-2-baseline-thread-dump.txt</x:v>
      </x:c>
      <x:c r="AF257" s="34"/>
      <x:c r="AG257" s="34" t="str">
        <x:v>article1-unified-v4-2-fb3f101b-20260903-000401-default-f02-p1-ehcache-2-baseline-native-memory.txt</x:v>
      </x:c>
      <x:c r="AH257" s="34"/>
      <x:c r="AI257" s="34"/>
    </x:row>
    <x:row r="258">
      <x:c r="A258" s="34" t="str">
        <x:v>article1-unified-v4-2-fb3f101b-20260903-000401-default-f02-p1-ehcache</x:v>
      </x:c>
      <x:c r="B258" s="34" t="str">
        <x:v>default</x:v>
      </x:c>
      <x:c r="C258" s="34" t="str">
        <x:v>ehcache</x:v>
      </x:c>
      <x:c r="D258" s="34" t="str">
        <x:v>ehcache</x:v>
      </x:c>
      <x:c r="E258" s="36" t="n">
        <x:v>2</x:v>
      </x:c>
      <x:c r="F258" s="36" t="n">
        <x:v>2</x:v>
      </x:c>
      <x:c r="G258" s="36" t="n">
        <x:v>1</x:v>
      </x:c>
      <x:c r="H258" s="36" t="n">
        <x:v>2</x:v>
      </x:c>
      <x:c r="I258" s="34" t="str">
        <x:v>deployedIdle</x:v>
      </x:c>
      <x:c r="J258" s="34" t="str">
        <x:v>deployed-idle</x:v>
      </x:c>
      <x:c r="K258" s="36" t="n">
        <x:v>0</x:v>
      </x:c>
      <x:c r="L258" s="34" t="str">
        <x:v>initial</x:v>
      </x:c>
      <x:c r="M258" s="34" t="str">
        <x:v>article1-unified-v4-2-fb3f101b-20260903-000401-default-f02-p1-ehcache-2-deployed-idle</x:v>
      </x:c>
      <x:c r="N258" s="38" t="n">
        <x:v>46267.95887618056</x:v>
      </x:c>
      <x:c r="O258" s="36" t="n">
        <x:v>0</x:v>
      </x:c>
      <x:c r="P258" s="43" t="n">
        <x:v>168953856</x:v>
      </x:c>
      <x:c r="Q258" s="43" t="n">
        <x:v>268435456</x:v>
      </x:c>
      <x:c r="R258" s="43" t="n">
        <x:v>437912576</x:v>
      </x:c>
      <x:c r="S258" s="36" t="n">
        <x:v>3</x:v>
      </x:c>
      <x:c r="T258" s="44" t="str">
        <x:v>0x00000000821177b8  0x0000000082003818  0x0000716f68616890       0         0         0  org.apache.catalina.loader.ParallelWebappClassLoader | 0x00000000821177b8  0x0000000082003818  0x0000716ec8012850    4862  22725632  22703144  org.apache.catalina.loader.ParallelWebappClassLoader | 0x00000000821177b8  0x0000000082003818  0x0000716e9c198f30    4091  19445760  19432448  org.apache.catalina.loader.ParallelWebappClassLoader</x:v>
      </x:c>
      <x:c r="U258" s="36" t="n">
        <x:v>27</x:v>
      </x:c>
      <x:c r="V258" s="36" t="n">
        <x:v>0</x:v>
      </x:c>
      <x:c r="W258" s="44"/>
      <x:c r="X258" s="36"/>
      <x:c r="Y258" s="36"/>
      <x:c r="Z258" s="44"/>
      <x:c r="AA258" s="49"/>
      <x:c r="AB258" s="43"/>
      <x:c r="AC258" s="34"/>
      <x:c r="AD258" s="34"/>
      <x:c r="AE258" s="34"/>
      <x:c r="AF258" s="34"/>
      <x:c r="AG258" s="34"/>
      <x:c r="AH258" s="34"/>
      <x:c r="AI258" s="34"/>
    </x:row>
    <x:row r="259">
      <x:c r="A259" s="34" t="str">
        <x:v>article1-unified-v4-2-fb3f101b-20260903-000401-default-f02-p1-ehcache</x:v>
      </x:c>
      <x:c r="B259" s="34" t="str">
        <x:v>default</x:v>
      </x:c>
      <x:c r="C259" s="34" t="str">
        <x:v>ehcache</x:v>
      </x:c>
      <x:c r="D259" s="34" t="str">
        <x:v>ehcache</x:v>
      </x:c>
      <x:c r="E259" s="36" t="n">
        <x:v>2</x:v>
      </x:c>
      <x:c r="F259" s="36" t="n">
        <x:v>2</x:v>
      </x:c>
      <x:c r="G259" s="36" t="n">
        <x:v>1</x:v>
      </x:c>
      <x:c r="H259" s="36" t="n">
        <x:v>2</x:v>
      </x:c>
      <x:c r="I259" s="34" t="str">
        <x:v>loaded</x:v>
      </x:c>
      <x:c r="J259" s="34" t="str">
        <x:v>loaded</x:v>
      </x:c>
      <x:c r="K259" s="36" t="n">
        <x:v>0</x:v>
      </x:c>
      <x:c r="L259" s="34" t="str">
        <x:v>initial</x:v>
      </x:c>
      <x:c r="M259" s="34" t="str">
        <x:v>article1-unified-v4-2-fb3f101b-20260903-000401-default-f02-p1-ehcache-2-loaded</x:v>
      </x:c>
      <x:c r="N259" s="38" t="n">
        <x:v>46267.95903114583</x:v>
      </x:c>
      <x:c r="O259" s="36" t="n">
        <x:v>0</x:v>
      </x:c>
      <x:c r="P259" s="43" t="n">
        <x:v>207810560</x:v>
      </x:c>
      <x:c r="Q259" s="43" t="n">
        <x:v>268435456</x:v>
      </x:c>
      <x:c r="R259" s="43" t="n">
        <x:v>442171392</x:v>
      </x:c>
      <x:c r="S259" s="36" t="n">
        <x:v>3</x:v>
      </x:c>
      <x:c r="T259" s="44" t="str">
        <x:v>0x00000000821177b8  0x0000000082003818  0x0000716e9c198f30    4851  22673408  22661208  org.apache.catalina.loader.ParallelWebappClassLoader | 0x00000000821177b8  0x0000000082003818  0x0000716f68616890       0         0         0  org.apache.catalina.loader.ParallelWebappClassLoader | 0x00000000821177b8  0x0000000082003818  0x0000716ec8012850    4862  22725632  22703144  org.apache.catalina.loader.ParallelWebappClassLoader</x:v>
      </x:c>
      <x:c r="U259" s="36" t="n">
        <x:v>28</x:v>
      </x:c>
      <x:c r="V259" s="36" t="n">
        <x:v>0</x:v>
      </x:c>
      <x:c r="W259" s="44"/>
      <x:c r="X259" s="36"/>
      <x:c r="Y259" s="36"/>
      <x:c r="Z259" s="44"/>
      <x:c r="AA259" s="49"/>
      <x:c r="AB259" s="43"/>
      <x:c r="AC259" s="34"/>
      <x:c r="AD259" s="34"/>
      <x:c r="AE259" s="34"/>
      <x:c r="AF259" s="34"/>
      <x:c r="AG259" s="34"/>
      <x:c r="AH259" s="34"/>
      <x:c r="AI259" s="34"/>
    </x:row>
    <x:row r="260">
      <x:c r="A260" s="34" t="str">
        <x:v>article1-unified-v4-2-fb3f101b-20260903-000401-default-f02-p1-ehcache</x:v>
      </x:c>
      <x:c r="B260" s="34" t="str">
        <x:v>default</x:v>
      </x:c>
      <x:c r="C260" s="34" t="str">
        <x:v>ehcache</x:v>
      </x:c>
      <x:c r="D260" s="34" t="str">
        <x:v>ehcache</x:v>
      </x:c>
      <x:c r="E260" s="36" t="n">
        <x:v>2</x:v>
      </x:c>
      <x:c r="F260" s="36" t="n">
        <x:v>2</x:v>
      </x:c>
      <x:c r="G260" s="36" t="n">
        <x:v>1</x:v>
      </x:c>
      <x:c r="H260" s="36" t="n">
        <x:v>2</x:v>
      </x:c>
      <x:c r="I260" s="34" t="str">
        <x:v>afterUndeployEarly</x:v>
      </x:c>
      <x:c r="J260" s="34" t="str">
        <x:v>after-undeploy-early</x:v>
      </x:c>
      <x:c r="K260" s="36" t="n">
        <x:v>1</x:v>
      </x:c>
      <x:c r="L260" s="34" t="str">
        <x:v>early</x:v>
      </x:c>
      <x:c r="M260" s="34" t="str">
        <x:v>article1-unified-v4-2-fb3f101b-20260903-000401-default-f02-p1-ehcache-2-after-undeploy-early-2s</x:v>
      </x:c>
      <x:c r="N260" s="38" t="n">
        <x:v>46267.95911394676</x:v>
      </x:c>
      <x:c r="O260" s="36"/>
      <x:c r="P260" s="43"/>
      <x:c r="Q260" s="43"/>
      <x:c r="R260" s="43"/>
      <x:c r="S260" s="36"/>
      <x:c r="T260" s="44"/>
      <x:c r="U260" s="36" t="n">
        <x:v>27</x:v>
      </x:c>
      <x:c r="V260" s="36" t="n">
        <x:v>0</x:v>
      </x:c>
      <x:c r="W260" s="44"/>
      <x:c r="X260" s="36"/>
      <x:c r="Y260" s="36"/>
      <x:c r="Z260" s="44"/>
      <x:c r="AA260" s="49"/>
      <x:c r="AB260" s="43" t="n">
        <x:v>2</x:v>
      </x:c>
      <x:c r="AC260" s="34"/>
      <x:c r="AD260" s="34"/>
      <x:c r="AE260" s="34" t="str">
        <x:v>article1-unified-v4-2-fb3f101b-20260903-000401-default-f02-p1-ehcache-2-after-undeploy-early-2s-thread-dump.txt</x:v>
      </x:c>
      <x:c r="AF260" s="34" t="str">
        <x:v>article1-unified-v4-2-fb3f101b-20260903-000401-default-f02-p1-ehcache-2-after-undeploy-early-tomcat-log.txt</x:v>
      </x:c>
      <x:c r="AG260" s="34"/>
      <x:c r="AH260" s="34"/>
      <x:c r="AI260" s="34"/>
    </x:row>
    <x:row r="261">
      <x:c r="A261" s="34" t="str">
        <x:v>article1-unified-v4-2-fb3f101b-20260903-000401-default-f02-p1-ehcache</x:v>
      </x:c>
      <x:c r="B261" s="34" t="str">
        <x:v>default</x:v>
      </x:c>
      <x:c r="C261" s="34" t="str">
        <x:v>ehcache</x:v>
      </x:c>
      <x:c r="D261" s="34" t="str">
        <x:v>ehcache</x:v>
      </x:c>
      <x:c r="E261" s="36" t="n">
        <x:v>2</x:v>
      </x:c>
      <x:c r="F261" s="36" t="n">
        <x:v>2</x:v>
      </x:c>
      <x:c r="G261" s="36" t="n">
        <x:v>1</x:v>
      </x:c>
      <x:c r="H261" s="36" t="n">
        <x:v>2</x:v>
      </x:c>
      <x:c r="I261" s="34" t="str">
        <x:v>afterUndeploy</x:v>
      </x:c>
      <x:c r="J261" s="34" t="str">
        <x:v>after-undeploy-final</x:v>
      </x:c>
      <x:c r="K261" s="36" t="n">
        <x:v>1</x:v>
      </x:c>
      <x:c r="L261" s="34" t="str">
        <x:v>final</x:v>
      </x:c>
      <x:c r="M261" s="34" t="str">
        <x:v>article1-unified-v4-2-fb3f101b-20260903-000401-default-f02-p1-ehcache-2-after-undeploy-final-10s</x:v>
      </x:c>
      <x:c r="N261" s="38" t="n">
        <x:v>46267.959270671294</x:v>
      </x:c>
      <x:c r="O261" s="36" t="n">
        <x:v>2</x:v>
      </x:c>
      <x:c r="P261" s="43" t="n">
        <x:v>15993856</x:v>
      </x:c>
      <x:c r="Q261" s="43" t="n">
        <x:v>268435456</x:v>
      </x:c>
      <x:c r="R261" s="43" t="n">
        <x:v>418486272</x:v>
      </x:c>
      <x:c r="S261" s="36" t="n">
        <x:v>2</x:v>
      </x:c>
      <x:c r="T261" s="44" t="str">
        <x:v>0x00000000821177b8  0x0000000082003818  0x0000716f68616890       0         0         0  org.apache.catalina.loader.ParallelWebappClassLoader | 0x00000000821177b8  0x0000000082003818  0x0000716e9c198f30    4861  22722560  22706936  org.apache.catalina.loader.ParallelWebappClassLoader</x:v>
      </x:c>
      <x:c r="U261" s="36" t="n">
        <x:v>27</x:v>
      </x:c>
      <x:c r="V261" s="36" t="n">
        <x:v>0</x:v>
      </x:c>
      <x:c r="W261" s="44"/>
      <x:c r="X261" s="36" t="n">
        <x:v>1</x:v>
      </x:c>
      <x:c r="Y261" s="36" t="n">
        <x:v>1</x:v>
      </x:c>
      <x:c r="Z261" s="44" t="str">
        <x:v>/ehcache</x:v>
      </x:c>
      <x:c r="AA261" s="45" t="b">
        <x:v>1</x:v>
      </x:c>
      <x:c r="AB261" s="43"/>
      <x:c r="AC261" s="34" t="str">
        <x:v>article1-unified-v4-2-fb3f101b-20260903-000401-default-f02-p1-ehcache-2-after-undeploy-final-10s-heap-info.txt</x:v>
      </x:c>
      <x:c r="AD261" s="34" t="str">
        <x:v>article1-unified-v4-2-fb3f101b-20260903-000401-default-f02-p1-ehcache-2-after-undeploy-final-10s-classloader-stats.txt</x:v>
      </x:c>
      <x:c r="AE261" s="34" t="str">
        <x:v>article1-unified-v4-2-fb3f101b-20260903-000401-default-f02-p1-ehcache-2-after-undeploy-final-10s-thread-dump.txt</x:v>
      </x:c>
      <x:c r="AF261" s="34"/>
      <x:c r="AG261" s="34" t="str">
        <x:v>article1-unified-v4-2-fb3f101b-20260903-000401-default-f02-p1-ehcache-2-after-undeploy-final-10s-native-memory.txt</x:v>
      </x:c>
      <x:c r="AH261" s="34" t="str">
        <x:v>article1-unified-v4-2-fb3f101b-20260903-000401-default-f02-p1-ehcache-2-after-undeploy-final-10s-class-histogram.txt</x:v>
      </x:c>
      <x:c r="AI261" s="34" t="str">
        <x:v>article1-unified-v4-2-fb3f101b-20260903-000401-default-f02-p1-ehcache-2-after-undeploy-tomcat-findleaks.txt</x:v>
      </x:c>
    </x:row>
    <x:row r="262">
      <x:c r="A262" s="34" t="str">
        <x:v>article1-unified-v4-2-fb3f101b-20260903-000401-default-f02-p1-ehcache</x:v>
      </x:c>
      <x:c r="B262" s="34" t="str">
        <x:v>default</x:v>
      </x:c>
      <x:c r="C262" s="34" t="str">
        <x:v>ehcache</x:v>
      </x:c>
      <x:c r="D262" s="34" t="str">
        <x:v>ehcache</x:v>
      </x:c>
      <x:c r="E262" s="36" t="n">
        <x:v>2</x:v>
      </x:c>
      <x:c r="F262" s="36" t="n">
        <x:v>2</x:v>
      </x:c>
      <x:c r="G262" s="36" t="n">
        <x:v>1</x:v>
      </x:c>
      <x:c r="H262" s="36" t="n">
        <x:v>2</x:v>
      </x:c>
      <x:c r="I262" s="34" t="str">
        <x:v>redeployedLoaded</x:v>
      </x:c>
      <x:c r="J262" s="34" t="str">
        <x:v>redeployed-loaded</x:v>
      </x:c>
      <x:c r="K262" s="36" t="n">
        <x:v>0</x:v>
      </x:c>
      <x:c r="L262" s="34" t="str">
        <x:v>redeploy</x:v>
      </x:c>
      <x:c r="M262" s="34" t="str">
        <x:v>article1-unified-v4-2-fb3f101b-20260903-000401-default-f02-p1-ehcache-2-redeployed-loaded</x:v>
      </x:c>
      <x:c r="N262" s="38" t="n">
        <x:v>46267.95953170139</x:v>
      </x:c>
      <x:c r="O262" s="36" t="n">
        <x:v>0</x:v>
      </x:c>
      <x:c r="P262" s="43" t="n">
        <x:v>202999808</x:v>
      </x:c>
      <x:c r="Q262" s="43" t="n">
        <x:v>268435456</x:v>
      </x:c>
      <x:c r="R262" s="43" t="n">
        <x:v>446684160</x:v>
      </x:c>
      <x:c r="S262" s="36" t="n">
        <x:v>3</x:v>
      </x:c>
      <x:c r="T262" s="44" t="str">
        <x:v>0x00000000821177b8  0x0000000082003818  0x0000716f68616890       0         0         0  org.apache.catalina.loader.ParallelWebappClassLoader | 0x00000000821177b8  0x0000000082003818  0x0000716ebc5e05e0    4851  22670336  22664096  org.apache.catalina.loader.ParallelWebappClassLoader | 0x00000000821177b8  0x0000000082003818  0x0000716e9c198f30    4861  22722560  22706936  org.apache.catalina.loader.ParallelWebappClassLoader</x:v>
      </x:c>
      <x:c r="U262" s="36" t="n">
        <x:v>27</x:v>
      </x:c>
      <x:c r="V262" s="36" t="n">
        <x:v>0</x:v>
      </x:c>
      <x:c r="W262" s="44"/>
      <x:c r="X262" s="36"/>
      <x:c r="Y262" s="36"/>
      <x:c r="Z262" s="44"/>
      <x:c r="AA262" s="49"/>
      <x:c r="AB262" s="43"/>
      <x:c r="AC262" s="34"/>
      <x:c r="AD262" s="34"/>
      <x:c r="AE262" s="34"/>
      <x:c r="AF262" s="34"/>
      <x:c r="AG262" s="34"/>
      <x:c r="AH262" s="34"/>
      <x:c r="AI262" s="34"/>
    </x:row>
    <x:row r="263">
      <x:c r="A263" s="34" t="str">
        <x:v>article1-unified-v4-2-fb3f101b-20260903-000401-default-f02-p1-ehcache</x:v>
      </x:c>
      <x:c r="B263" s="34" t="str">
        <x:v>default</x:v>
      </x:c>
      <x:c r="C263" s="34" t="str">
        <x:v>ehcache</x:v>
      </x:c>
      <x:c r="D263" s="34" t="str">
        <x:v>ehcache</x:v>
      </x:c>
      <x:c r="E263" s="36" t="n">
        <x:v>2</x:v>
      </x:c>
      <x:c r="F263" s="36" t="n">
        <x:v>2</x:v>
      </x:c>
      <x:c r="G263" s="36" t="n">
        <x:v>1</x:v>
      </x:c>
      <x:c r="H263" s="36" t="n">
        <x:v>2</x:v>
      </x:c>
      <x:c r="I263" s="34" t="str">
        <x:v>afterFinalUndeployEarly</x:v>
      </x:c>
      <x:c r="J263" s="34" t="str">
        <x:v>after-final-undeploy-early</x:v>
      </x:c>
      <x:c r="K263" s="36" t="n">
        <x:v>2</x:v>
      </x:c>
      <x:c r="L263" s="34" t="str">
        <x:v>early</x:v>
      </x:c>
      <x:c r="M263" s="34" t="str">
        <x:v>article1-unified-v4-2-fb3f101b-20260903-000401-default-f02-p1-ehcache-2-after-final-undeploy-early-2s</x:v>
      </x:c>
      <x:c r="N263" s="38" t="n">
        <x:v>46267.95961413194</x:v>
      </x:c>
      <x:c r="O263" s="36"/>
      <x:c r="P263" s="43"/>
      <x:c r="Q263" s="43"/>
      <x:c r="R263" s="43"/>
      <x:c r="S263" s="36"/>
      <x:c r="T263" s="44"/>
      <x:c r="U263" s="36" t="n">
        <x:v>27</x:v>
      </x:c>
      <x:c r="V263" s="36" t="n">
        <x:v>0</x:v>
      </x:c>
      <x:c r="W263" s="44"/>
      <x:c r="X263" s="36"/>
      <x:c r="Y263" s="36"/>
      <x:c r="Z263" s="44"/>
      <x:c r="AA263" s="49"/>
      <x:c r="AB263" s="43" t="n">
        <x:v>2</x:v>
      </x:c>
      <x:c r="AC263" s="34"/>
      <x:c r="AD263" s="34"/>
      <x:c r="AE263" s="34" t="str">
        <x:v>article1-unified-v4-2-fb3f101b-20260903-000401-default-f02-p1-ehcache-2-after-final-undeploy-early-2s-thread-dump.txt</x:v>
      </x:c>
      <x:c r="AF263" s="34" t="str">
        <x:v>article1-unified-v4-2-fb3f101b-20260903-000401-default-f02-p1-ehcache-2-after-final-undeploy-early-tomcat-log.txt</x:v>
      </x:c>
      <x:c r="AG263" s="34"/>
      <x:c r="AH263" s="34"/>
      <x:c r="AI263" s="34"/>
    </x:row>
    <x:row r="264">
      <x:c r="A264" s="34" t="str">
        <x:v>article1-unified-v4-2-fb3f101b-20260903-000401-default-f02-p1-ehcache</x:v>
      </x:c>
      <x:c r="B264" s="34" t="str">
        <x:v>default</x:v>
      </x:c>
      <x:c r="C264" s="34" t="str">
        <x:v>ehcache</x:v>
      </x:c>
      <x:c r="D264" s="34" t="str">
        <x:v>ehcache</x:v>
      </x:c>
      <x:c r="E264" s="36" t="n">
        <x:v>2</x:v>
      </x:c>
      <x:c r="F264" s="36" t="n">
        <x:v>2</x:v>
      </x:c>
      <x:c r="G264" s="36" t="n">
        <x:v>1</x:v>
      </x:c>
      <x:c r="H264" s="36" t="n">
        <x:v>2</x:v>
      </x:c>
      <x:c r="I264" s="34" t="str">
        <x:v>afterFinalUndeploy</x:v>
      </x:c>
      <x:c r="J264" s="34" t="str">
        <x:v>after-final-undeploy-final</x:v>
      </x:c>
      <x:c r="K264" s="36" t="n">
        <x:v>2</x:v>
      </x:c>
      <x:c r="L264" s="34" t="str">
        <x:v>final</x:v>
      </x:c>
      <x:c r="M264" s="34" t="str">
        <x:v>article1-unified-v4-2-fb3f101b-20260903-000401-default-f02-p1-ehcache-2-after-final-undeploy-final-10s</x:v>
      </x:c>
      <x:c r="N264" s="38" t="n">
        <x:v>46267.959770104164</x:v>
      </x:c>
      <x:c r="O264" s="36" t="n">
        <x:v>2</x:v>
      </x:c>
      <x:c r="P264" s="43" t="n">
        <x:v>16033792</x:v>
      </x:c>
      <x:c r="Q264" s="43" t="n">
        <x:v>268435456</x:v>
      </x:c>
      <x:c r="R264" s="43" t="n">
        <x:v>424473600</x:v>
      </x:c>
      <x:c r="S264" s="36" t="n">
        <x:v>2</x:v>
      </x:c>
      <x:c r="T264" s="44" t="str">
        <x:v>0x00000000821177b8  0x0000000082003818  0x0000716f68616890       0         0         0  org.apache.catalina.loader.ParallelWebappClassLoader | 0x00000000821177b8  0x0000000082003818  0x0000716ebc5e05e0    4861  22735872  22709848  org.apache.catalina.loader.ParallelWebappClassLoader</x:v>
      </x:c>
      <x:c r="U264" s="36" t="n">
        <x:v>27</x:v>
      </x:c>
      <x:c r="V264" s="36" t="n">
        <x:v>0</x:v>
      </x:c>
      <x:c r="W264" s="44"/>
      <x:c r="X264" s="36" t="n">
        <x:v>1</x:v>
      </x:c>
      <x:c r="Y264" s="36" t="n">
        <x:v>1</x:v>
      </x:c>
      <x:c r="Z264" s="44" t="str">
        <x:v>/ehcache</x:v>
      </x:c>
      <x:c r="AA264" s="45" t="b">
        <x:v>1</x:v>
      </x:c>
      <x:c r="AB264" s="43"/>
      <x:c r="AC264" s="34" t="str">
        <x:v>article1-unified-v4-2-fb3f101b-20260903-000401-default-f02-p1-ehcache-2-after-final-undeploy-final-10s-heap-info.txt</x:v>
      </x:c>
      <x:c r="AD264" s="34" t="str">
        <x:v>article1-unified-v4-2-fb3f101b-20260903-000401-default-f02-p1-ehcache-2-after-final-undeploy-final-10s-classloader-stats.txt</x:v>
      </x:c>
      <x:c r="AE264" s="34" t="str">
        <x:v>article1-unified-v4-2-fb3f101b-20260903-000401-default-f02-p1-ehcache-2-after-final-undeploy-final-10s-thread-dump.txt</x:v>
      </x:c>
      <x:c r="AF264" s="34"/>
      <x:c r="AG264" s="34" t="str">
        <x:v>article1-unified-v4-2-fb3f101b-20260903-000401-default-f02-p1-ehcache-2-after-final-undeploy-final-10s-native-memory.txt</x:v>
      </x:c>
      <x:c r="AH264" s="34" t="str">
        <x:v>article1-unified-v4-2-fb3f101b-20260903-000401-default-f02-p1-ehcache-2-after-final-undeploy-final-10s-class-histogram.txt</x:v>
      </x:c>
      <x:c r="AI264" s="34" t="str">
        <x:v>article1-unified-v4-2-fb3f101b-20260903-000401-default-f02-p1-ehcache-2-after-final-undeploy-tomcat-findleaks.txt</x:v>
      </x:c>
    </x:row>
    <x:row r="265">
      <x:c r="A265" s="34" t="str">
        <x:v>article1-unified-v4-2-fb3f101b-20260903-000401-default-f02-p1-ehcache</x:v>
      </x:c>
      <x:c r="B265" s="34" t="str">
        <x:v>default</x:v>
      </x:c>
      <x:c r="C265" s="34" t="str">
        <x:v>ehcache</x:v>
      </x:c>
      <x:c r="D265" s="34" t="str">
        <x:v>ehcache</x:v>
      </x:c>
      <x:c r="E265" s="36" t="n">
        <x:v>2</x:v>
      </x:c>
      <x:c r="F265" s="36" t="n">
        <x:v>2</x:v>
      </x:c>
      <x:c r="G265" s="36" t="n">
        <x:v>1</x:v>
      </x:c>
      <x:c r="H265" s="36" t="n">
        <x:v>3</x:v>
      </x:c>
      <x:c r="I265" s="34" t="str">
        <x:v>baseline</x:v>
      </x:c>
      <x:c r="J265" s="34" t="str">
        <x:v>cycle-baseline</x:v>
      </x:c>
      <x:c r="K265" s="36" t="n">
        <x:v>0</x:v>
      </x:c>
      <x:c r="L265" s="34" t="str">
        <x:v>baseline</x:v>
      </x:c>
      <x:c r="M265" s="34" t="str">
        <x:v>article1-unified-v4-2-fb3f101b-20260903-000401-default-f02-p1-ehcache-3-baseline</x:v>
      </x:c>
      <x:c r="N265" s="38" t="n">
        <x:v>46267.95981857639</x:v>
      </x:c>
      <x:c r="O265" s="36" t="n">
        <x:v>0</x:v>
      </x:c>
      <x:c r="P265" s="43" t="n">
        <x:v>16025600</x:v>
      </x:c>
      <x:c r="Q265" s="43" t="n">
        <x:v>268435456</x:v>
      </x:c>
      <x:c r="R265" s="43" t="n">
        <x:v>424062976</x:v>
      </x:c>
      <x:c r="S265" s="36" t="n">
        <x:v>2</x:v>
      </x:c>
      <x:c r="T265" s="44" t="str">
        <x:v>0x00000000821177b8  0x0000000082003818  0x0000716f68616890       0         0         0  org.apache.catalina.loader.ParallelWebappClassLoader | 0x00000000821177b8  0x0000000082003818  0x0000716ebc5e05e0    4861  22735872  22709848  org.apache.catalina.loader.ParallelWebappClassLoader</x:v>
      </x:c>
      <x:c r="U265" s="36" t="n">
        <x:v>27</x:v>
      </x:c>
      <x:c r="V265" s="36" t="n">
        <x:v>0</x:v>
      </x:c>
      <x:c r="W265" s="44"/>
      <x:c r="X265" s="36"/>
      <x:c r="Y265" s="36"/>
      <x:c r="Z265" s="44"/>
      <x:c r="AA265" s="49"/>
      <x:c r="AB265" s="43"/>
      <x:c r="AC265" s="34" t="str">
        <x:v>article1-unified-v4-2-fb3f101b-20260903-000401-default-f02-p1-ehcache-3-baseline-heap-info.txt</x:v>
      </x:c>
      <x:c r="AD265" s="34" t="str">
        <x:v>article1-unified-v4-2-fb3f101b-20260903-000401-default-f02-p1-ehcache-3-baseline-classloader-stats.txt</x:v>
      </x:c>
      <x:c r="AE265" s="34" t="str">
        <x:v>article1-unified-v4-2-fb3f101b-20260903-000401-default-f02-p1-ehcache-3-baseline-thread-dump.txt</x:v>
      </x:c>
      <x:c r="AF265" s="34"/>
      <x:c r="AG265" s="34" t="str">
        <x:v>article1-unified-v4-2-fb3f101b-20260903-000401-default-f02-p1-ehcache-3-baseline-native-memory.txt</x:v>
      </x:c>
      <x:c r="AH265" s="34"/>
      <x:c r="AI265" s="34"/>
    </x:row>
    <x:row r="266">
      <x:c r="A266" s="34" t="str">
        <x:v>article1-unified-v4-2-fb3f101b-20260903-000401-default-f02-p1-ehcache</x:v>
      </x:c>
      <x:c r="B266" s="34" t="str">
        <x:v>default</x:v>
      </x:c>
      <x:c r="C266" s="34" t="str">
        <x:v>ehcache</x:v>
      </x:c>
      <x:c r="D266" s="34" t="str">
        <x:v>ehcache</x:v>
      </x:c>
      <x:c r="E266" s="36" t="n">
        <x:v>2</x:v>
      </x:c>
      <x:c r="F266" s="36" t="n">
        <x:v>2</x:v>
      </x:c>
      <x:c r="G266" s="36" t="n">
        <x:v>1</x:v>
      </x:c>
      <x:c r="H266" s="36" t="n">
        <x:v>3</x:v>
      </x:c>
      <x:c r="I266" s="34" t="str">
        <x:v>deployedIdle</x:v>
      </x:c>
      <x:c r="J266" s="34" t="str">
        <x:v>deployed-idle</x:v>
      </x:c>
      <x:c r="K266" s="36" t="n">
        <x:v>0</x:v>
      </x:c>
      <x:c r="L266" s="34" t="str">
        <x:v>initial</x:v>
      </x:c>
      <x:c r="M266" s="34" t="str">
        <x:v>article1-unified-v4-2-fb3f101b-20260903-000401-default-f02-p1-ehcache-3-deployed-idle</x:v>
      </x:c>
      <x:c r="N266" s="38" t="n">
        <x:v>46267.95992340278</x:v>
      </x:c>
      <x:c r="O266" s="36" t="n">
        <x:v>0</x:v>
      </x:c>
      <x:c r="P266" s="43" t="n">
        <x:v>167279616</x:v>
      </x:c>
      <x:c r="Q266" s="43" t="n">
        <x:v>268435456</x:v>
      </x:c>
      <x:c r="R266" s="43" t="n">
        <x:v>440836096</x:v>
      </x:c>
      <x:c r="S266" s="36" t="n">
        <x:v>3</x:v>
      </x:c>
      <x:c r="T266" s="44" t="str">
        <x:v>0x00000000821177b8  0x0000000082003818  0x0000716ed00503b0    4091  19448832  19430624  org.apache.catalina.loader.ParallelWebappClassLoader | 0x00000000821177b8  0x0000000082003818  0x0000716f68616890       0         0         0  org.apache.catalina.loader.ParallelWebappClassLoader | 0x00000000821177b8  0x0000000082003818  0x0000716ebc5e05e0    4861  22735872  22709848  org.apache.catalina.loader.ParallelWebappClassLoader</x:v>
      </x:c>
      <x:c r="U266" s="36" t="n">
        <x:v>28</x:v>
      </x:c>
      <x:c r="V266" s="36" t="n">
        <x:v>0</x:v>
      </x:c>
      <x:c r="W266" s="44"/>
      <x:c r="X266" s="36"/>
      <x:c r="Y266" s="36"/>
      <x:c r="Z266" s="44"/>
      <x:c r="AA266" s="49"/>
      <x:c r="AB266" s="43"/>
      <x:c r="AC266" s="34"/>
      <x:c r="AD266" s="34"/>
      <x:c r="AE266" s="34"/>
      <x:c r="AF266" s="34"/>
      <x:c r="AG266" s="34"/>
      <x:c r="AH266" s="34"/>
      <x:c r="AI266" s="34"/>
    </x:row>
    <x:row r="267">
      <x:c r="A267" s="34" t="str">
        <x:v>article1-unified-v4-2-fb3f101b-20260903-000401-default-f02-p1-ehcache</x:v>
      </x:c>
      <x:c r="B267" s="34" t="str">
        <x:v>default</x:v>
      </x:c>
      <x:c r="C267" s="34" t="str">
        <x:v>ehcache</x:v>
      </x:c>
      <x:c r="D267" s="34" t="str">
        <x:v>ehcache</x:v>
      </x:c>
      <x:c r="E267" s="36" t="n">
        <x:v>2</x:v>
      </x:c>
      <x:c r="F267" s="36" t="n">
        <x:v>2</x:v>
      </x:c>
      <x:c r="G267" s="36" t="n">
        <x:v>1</x:v>
      </x:c>
      <x:c r="H267" s="36" t="n">
        <x:v>3</x:v>
      </x:c>
      <x:c r="I267" s="34" t="str">
        <x:v>loaded</x:v>
      </x:c>
      <x:c r="J267" s="34" t="str">
        <x:v>loaded</x:v>
      </x:c>
      <x:c r="K267" s="36" t="n">
        <x:v>0</x:v>
      </x:c>
      <x:c r="L267" s="34" t="str">
        <x:v>initial</x:v>
      </x:c>
      <x:c r="M267" s="34" t="str">
        <x:v>article1-unified-v4-2-fb3f101b-20260903-000401-default-f02-p1-ehcache-3-loaded</x:v>
      </x:c>
      <x:c r="N267" s="38" t="n">
        <x:v>46267.96007217593</x:v>
      </x:c>
      <x:c r="O267" s="36" t="n">
        <x:v>0</x:v>
      </x:c>
      <x:c r="P267" s="43" t="n">
        <x:v>176125952</x:v>
      </x:c>
      <x:c r="Q267" s="43" t="n">
        <x:v>268435456</x:v>
      </x:c>
      <x:c r="R267" s="43" t="n">
        <x:v>445034496</x:v>
      </x:c>
      <x:c r="S267" s="36" t="n">
        <x:v>3</x:v>
      </x:c>
      <x:c r="T267" s="44" t="str">
        <x:v>0x00000000821177b8  0x0000000082003818  0x0000716f68616890       0         0         0  org.apache.catalina.loader.ParallelWebappClassLoader | 0x00000000821177b8  0x0000000082003818  0x0000716ed00503b0    4850  22676480  22664072  org.apache.catalina.loader.ParallelWebappClassLoader | 0x00000000821177b8  0x0000000082003818  0x0000716ebc5e05e0    4861  22735872  22709848  org.apache.catalina.loader.ParallelWebappClassLoader</x:v>
      </x:c>
      <x:c r="U267" s="36" t="n">
        <x:v>28</x:v>
      </x:c>
      <x:c r="V267" s="36" t="n">
        <x:v>0</x:v>
      </x:c>
      <x:c r="W267" s="44"/>
      <x:c r="X267" s="36"/>
      <x:c r="Y267" s="36"/>
      <x:c r="Z267" s="44"/>
      <x:c r="AA267" s="49"/>
      <x:c r="AB267" s="43"/>
      <x:c r="AC267" s="34"/>
      <x:c r="AD267" s="34"/>
      <x:c r="AE267" s="34"/>
      <x:c r="AF267" s="34"/>
      <x:c r="AG267" s="34"/>
      <x:c r="AH267" s="34"/>
      <x:c r="AI267" s="34"/>
    </x:row>
    <x:row r="268">
      <x:c r="A268" s="34" t="str">
        <x:v>article1-unified-v4-2-fb3f101b-20260903-000401-default-f02-p1-ehcache</x:v>
      </x:c>
      <x:c r="B268" s="34" t="str">
        <x:v>default</x:v>
      </x:c>
      <x:c r="C268" s="34" t="str">
        <x:v>ehcache</x:v>
      </x:c>
      <x:c r="D268" s="34" t="str">
        <x:v>ehcache</x:v>
      </x:c>
      <x:c r="E268" s="36" t="n">
        <x:v>2</x:v>
      </x:c>
      <x:c r="F268" s="36" t="n">
        <x:v>2</x:v>
      </x:c>
      <x:c r="G268" s="36" t="n">
        <x:v>1</x:v>
      </x:c>
      <x:c r="H268" s="36" t="n">
        <x:v>3</x:v>
      </x:c>
      <x:c r="I268" s="34" t="str">
        <x:v>afterUndeployEarly</x:v>
      </x:c>
      <x:c r="J268" s="34" t="str">
        <x:v>after-undeploy-early</x:v>
      </x:c>
      <x:c r="K268" s="36" t="n">
        <x:v>1</x:v>
      </x:c>
      <x:c r="L268" s="34" t="str">
        <x:v>early</x:v>
      </x:c>
      <x:c r="M268" s="34" t="str">
        <x:v>article1-unified-v4-2-fb3f101b-20260903-000401-default-f02-p1-ehcache-3-after-undeploy-early-2s</x:v>
      </x:c>
      <x:c r="N268" s="38" t="n">
        <x:v>46267.96015859954</x:v>
      </x:c>
      <x:c r="O268" s="36"/>
      <x:c r="P268" s="43"/>
      <x:c r="Q268" s="43"/>
      <x:c r="R268" s="43"/>
      <x:c r="S268" s="36"/>
      <x:c r="T268" s="44"/>
      <x:c r="U268" s="36" t="n">
        <x:v>27</x:v>
      </x:c>
      <x:c r="V268" s="36" t="n">
        <x:v>0</x:v>
      </x:c>
      <x:c r="W268" s="44"/>
      <x:c r="X268" s="36"/>
      <x:c r="Y268" s="36"/>
      <x:c r="Z268" s="44"/>
      <x:c r="AA268" s="49"/>
      <x:c r="AB268" s="43" t="n">
        <x:v>2</x:v>
      </x:c>
      <x:c r="AC268" s="34"/>
      <x:c r="AD268" s="34"/>
      <x:c r="AE268" s="34" t="str">
        <x:v>article1-unified-v4-2-fb3f101b-20260903-000401-default-f02-p1-ehcache-3-after-undeploy-early-2s-thread-dump.txt</x:v>
      </x:c>
      <x:c r="AF268" s="34" t="str">
        <x:v>article1-unified-v4-2-fb3f101b-20260903-000401-default-f02-p1-ehcache-3-after-undeploy-early-tomcat-log.txt</x:v>
      </x:c>
      <x:c r="AG268" s="34"/>
      <x:c r="AH268" s="34"/>
      <x:c r="AI268" s="34"/>
    </x:row>
    <x:row r="269">
      <x:c r="A269" s="34" t="str">
        <x:v>article1-unified-v4-2-fb3f101b-20260903-000401-default-f02-p1-ehcache</x:v>
      </x:c>
      <x:c r="B269" s="34" t="str">
        <x:v>default</x:v>
      </x:c>
      <x:c r="C269" s="34" t="str">
        <x:v>ehcache</x:v>
      </x:c>
      <x:c r="D269" s="34" t="str">
        <x:v>ehcache</x:v>
      </x:c>
      <x:c r="E269" s="36" t="n">
        <x:v>2</x:v>
      </x:c>
      <x:c r="F269" s="36" t="n">
        <x:v>2</x:v>
      </x:c>
      <x:c r="G269" s="36" t="n">
        <x:v>1</x:v>
      </x:c>
      <x:c r="H269" s="36" t="n">
        <x:v>3</x:v>
      </x:c>
      <x:c r="I269" s="34" t="str">
        <x:v>afterUndeploy</x:v>
      </x:c>
      <x:c r="J269" s="34" t="str">
        <x:v>after-undeploy-final</x:v>
      </x:c>
      <x:c r="K269" s="36" t="n">
        <x:v>1</x:v>
      </x:c>
      <x:c r="L269" s="34" t="str">
        <x:v>final</x:v>
      </x:c>
      <x:c r="M269" s="34" t="str">
        <x:v>article1-unified-v4-2-fb3f101b-20260903-000401-default-f02-p1-ehcache-3-after-undeploy-final-10s</x:v>
      </x:c>
      <x:c r="N269" s="38" t="n">
        <x:v>46267.96031244213</x:v>
      </x:c>
      <x:c r="O269" s="36" t="n">
        <x:v>2</x:v>
      </x:c>
      <x:c r="P269" s="43" t="n">
        <x:v>16037888</x:v>
      </x:c>
      <x:c r="Q269" s="43" t="n">
        <x:v>268435456</x:v>
      </x:c>
      <x:c r="R269" s="43" t="n">
        <x:v>422251520</x:v>
      </x:c>
      <x:c r="S269" s="36" t="n">
        <x:v>2</x:v>
      </x:c>
      <x:c r="T269" s="44" t="str">
        <x:v>0x00000000821177b8  0x0000000082003818  0x0000716f68616890       0         0         0  org.apache.catalina.loader.ParallelWebappClassLoader | 0x00000000821177b8  0x0000000082003818  0x0000716ed00503b0    4860  22725632  22709824  org.apache.catalina.loader.ParallelWebappClassLoader</x:v>
      </x:c>
      <x:c r="U269" s="36" t="n">
        <x:v>27</x:v>
      </x:c>
      <x:c r="V269" s="36" t="n">
        <x:v>0</x:v>
      </x:c>
      <x:c r="W269" s="44"/>
      <x:c r="X269" s="36" t="n">
        <x:v>1</x:v>
      </x:c>
      <x:c r="Y269" s="36" t="n">
        <x:v>1</x:v>
      </x:c>
      <x:c r="Z269" s="44" t="str">
        <x:v>/ehcache</x:v>
      </x:c>
      <x:c r="AA269" s="45" t="b">
        <x:v>1</x:v>
      </x:c>
      <x:c r="AB269" s="43"/>
      <x:c r="AC269" s="34" t="str">
        <x:v>article1-unified-v4-2-fb3f101b-20260903-000401-default-f02-p1-ehcache-3-after-undeploy-final-10s-heap-info.txt</x:v>
      </x:c>
      <x:c r="AD269" s="34" t="str">
        <x:v>article1-unified-v4-2-fb3f101b-20260903-000401-default-f02-p1-ehcache-3-after-undeploy-final-10s-classloader-stats.txt</x:v>
      </x:c>
      <x:c r="AE269" s="34" t="str">
        <x:v>article1-unified-v4-2-fb3f101b-20260903-000401-default-f02-p1-ehcache-3-after-undeploy-final-10s-thread-dump.txt</x:v>
      </x:c>
      <x:c r="AF269" s="34"/>
      <x:c r="AG269" s="34" t="str">
        <x:v>article1-unified-v4-2-fb3f101b-20260903-000401-default-f02-p1-ehcache-3-after-undeploy-final-10s-native-memory.txt</x:v>
      </x:c>
      <x:c r="AH269" s="34" t="str">
        <x:v>article1-unified-v4-2-fb3f101b-20260903-000401-default-f02-p1-ehcache-3-after-undeploy-final-10s-class-histogram.txt</x:v>
      </x:c>
      <x:c r="AI269" s="34" t="str">
        <x:v>article1-unified-v4-2-fb3f101b-20260903-000401-default-f02-p1-ehcache-3-after-undeploy-tomcat-findleaks.txt</x:v>
      </x:c>
    </x:row>
    <x:row r="270">
      <x:c r="A270" s="34" t="str">
        <x:v>article1-unified-v4-2-fb3f101b-20260903-000401-default-f02-p1-ehcache</x:v>
      </x:c>
      <x:c r="B270" s="34" t="str">
        <x:v>default</x:v>
      </x:c>
      <x:c r="C270" s="34" t="str">
        <x:v>ehcache</x:v>
      </x:c>
      <x:c r="D270" s="34" t="str">
        <x:v>ehcache</x:v>
      </x:c>
      <x:c r="E270" s="36" t="n">
        <x:v>2</x:v>
      </x:c>
      <x:c r="F270" s="36" t="n">
        <x:v>2</x:v>
      </x:c>
      <x:c r="G270" s="36" t="n">
        <x:v>1</x:v>
      </x:c>
      <x:c r="H270" s="36" t="n">
        <x:v>3</x:v>
      </x:c>
      <x:c r="I270" s="34" t="str">
        <x:v>redeployedLoaded</x:v>
      </x:c>
      <x:c r="J270" s="34" t="str">
        <x:v>redeployed-loaded</x:v>
      </x:c>
      <x:c r="K270" s="36" t="n">
        <x:v>0</x:v>
      </x:c>
      <x:c r="L270" s="34" t="str">
        <x:v>redeploy</x:v>
      </x:c>
      <x:c r="M270" s="34" t="str">
        <x:v>article1-unified-v4-2-fb3f101b-20260903-000401-default-f02-p1-ehcache-3-redeployed-loaded</x:v>
      </x:c>
      <x:c r="N270" s="38" t="n">
        <x:v>46267.960576840276</x:v>
      </x:c>
      <x:c r="O270" s="36" t="n">
        <x:v>0</x:v>
      </x:c>
      <x:c r="P270" s="43" t="n">
        <x:v>206063616</x:v>
      </x:c>
      <x:c r="Q270" s="43" t="n">
        <x:v>268435456</x:v>
      </x:c>
      <x:c r="R270" s="43" t="n">
        <x:v>450466816</x:v>
      </x:c>
      <x:c r="S270" s="36" t="n">
        <x:v>3</x:v>
      </x:c>
      <x:c r="T270" s="44" t="str">
        <x:v>0x00000000821177b8  0x0000000082003818  0x0000716f68616890       0         0         0  org.apache.catalina.loader.ParallelWebappClassLoader | 0x00000000821177b8  0x0000000082003818  0x0000716ed00503b0    4860  22725632  22709824  org.apache.catalina.loader.ParallelWebappClassLoader | 0x00000000821177b8  0x0000000082003818  0x0000716edc0eb180    4851  22686720  22663992  org.apache.catalina.loader.ParallelWebappClassLoader</x:v>
      </x:c>
      <x:c r="U270" s="36" t="n">
        <x:v>27</x:v>
      </x:c>
      <x:c r="V270" s="36" t="n">
        <x:v>0</x:v>
      </x:c>
      <x:c r="W270" s="44"/>
      <x:c r="X270" s="36"/>
      <x:c r="Y270" s="36"/>
      <x:c r="Z270" s="44"/>
      <x:c r="AA270" s="49"/>
      <x:c r="AB270" s="43"/>
      <x:c r="AC270" s="34"/>
      <x:c r="AD270" s="34"/>
      <x:c r="AE270" s="34"/>
      <x:c r="AF270" s="34"/>
      <x:c r="AG270" s="34"/>
      <x:c r="AH270" s="34"/>
      <x:c r="AI270" s="34"/>
    </x:row>
    <x:row r="271">
      <x:c r="A271" s="34" t="str">
        <x:v>article1-unified-v4-2-fb3f101b-20260903-000401-default-f02-p1-ehcache</x:v>
      </x:c>
      <x:c r="B271" s="34" t="str">
        <x:v>default</x:v>
      </x:c>
      <x:c r="C271" s="34" t="str">
        <x:v>ehcache</x:v>
      </x:c>
      <x:c r="D271" s="34" t="str">
        <x:v>ehcache</x:v>
      </x:c>
      <x:c r="E271" s="36" t="n">
        <x:v>2</x:v>
      </x:c>
      <x:c r="F271" s="36" t="n">
        <x:v>2</x:v>
      </x:c>
      <x:c r="G271" s="36" t="n">
        <x:v>1</x:v>
      </x:c>
      <x:c r="H271" s="36" t="n">
        <x:v>3</x:v>
      </x:c>
      <x:c r="I271" s="34" t="str">
        <x:v>afterFinalUndeployEarly</x:v>
      </x:c>
      <x:c r="J271" s="34" t="str">
        <x:v>after-final-undeploy-early</x:v>
      </x:c>
      <x:c r="K271" s="36" t="n">
        <x:v>2</x:v>
      </x:c>
      <x:c r="L271" s="34" t="str">
        <x:v>early</x:v>
      </x:c>
      <x:c r="M271" s="34" t="str">
        <x:v>article1-unified-v4-2-fb3f101b-20260903-000401-default-f02-p1-ehcache-3-after-final-undeploy-early-2s</x:v>
      </x:c>
      <x:c r="N271" s="38" t="n">
        <x:v>46267.960661550926</x:v>
      </x:c>
      <x:c r="O271" s="36"/>
      <x:c r="P271" s="43"/>
      <x:c r="Q271" s="43"/>
      <x:c r="R271" s="43"/>
      <x:c r="S271" s="36"/>
      <x:c r="T271" s="44"/>
      <x:c r="U271" s="36" t="n">
        <x:v>27</x:v>
      </x:c>
      <x:c r="V271" s="36" t="n">
        <x:v>0</x:v>
      </x:c>
      <x:c r="W271" s="44"/>
      <x:c r="X271" s="36"/>
      <x:c r="Y271" s="36"/>
      <x:c r="Z271" s="44"/>
      <x:c r="AA271" s="49"/>
      <x:c r="AB271" s="43" t="n">
        <x:v>2</x:v>
      </x:c>
      <x:c r="AC271" s="34"/>
      <x:c r="AD271" s="34"/>
      <x:c r="AE271" s="34" t="str">
        <x:v>article1-unified-v4-2-fb3f101b-20260903-000401-default-f02-p1-ehcache-3-after-final-undeploy-early-2s-thread-dump.txt</x:v>
      </x:c>
      <x:c r="AF271" s="34" t="str">
        <x:v>article1-unified-v4-2-fb3f101b-20260903-000401-default-f02-p1-ehcache-3-after-final-undeploy-early-tomcat-log.txt</x:v>
      </x:c>
      <x:c r="AG271" s="34"/>
      <x:c r="AH271" s="34"/>
      <x:c r="AI271" s="34"/>
    </x:row>
    <x:row r="272">
      <x:c r="A272" s="34" t="str">
        <x:v>article1-unified-v4-2-fb3f101b-20260903-000401-default-f02-p1-ehcache</x:v>
      </x:c>
      <x:c r="B272" s="34" t="str">
        <x:v>default</x:v>
      </x:c>
      <x:c r="C272" s="34" t="str">
        <x:v>ehcache</x:v>
      </x:c>
      <x:c r="D272" s="34" t="str">
        <x:v>ehcache</x:v>
      </x:c>
      <x:c r="E272" s="36" t="n">
        <x:v>2</x:v>
      </x:c>
      <x:c r="F272" s="36" t="n">
        <x:v>2</x:v>
      </x:c>
      <x:c r="G272" s="36" t="n">
        <x:v>1</x:v>
      </x:c>
      <x:c r="H272" s="36" t="n">
        <x:v>3</x:v>
      </x:c>
      <x:c r="I272" s="34" t="str">
        <x:v>afterFinalUndeploy</x:v>
      </x:c>
      <x:c r="J272" s="34" t="str">
        <x:v>after-final-undeploy-final</x:v>
      </x:c>
      <x:c r="K272" s="36" t="n">
        <x:v>2</x:v>
      </x:c>
      <x:c r="L272" s="34" t="str">
        <x:v>final</x:v>
      </x:c>
      <x:c r="M272" s="34" t="str">
        <x:v>article1-unified-v4-2-fb3f101b-20260903-000401-default-f02-p1-ehcache-3-after-final-undeploy-final-10s</x:v>
      </x:c>
      <x:c r="N272" s="38" t="n">
        <x:v>46267.960817210645</x:v>
      </x:c>
      <x:c r="O272" s="36" t="n">
        <x:v>2</x:v>
      </x:c>
      <x:c r="P272" s="43" t="n">
        <x:v>16069632</x:v>
      </x:c>
      <x:c r="Q272" s="43" t="n">
        <x:v>268435456</x:v>
      </x:c>
      <x:c r="R272" s="43" t="n">
        <x:v>428464128</x:v>
      </x:c>
      <x:c r="S272" s="36" t="n">
        <x:v>2</x:v>
      </x:c>
      <x:c r="T272" s="44" t="str">
        <x:v>0x00000000821177b8  0x0000000082003818  0x0000716edc0eb180    4861  22734848  22709728  org.apache.catalina.loader.ParallelWebappClassLoader | 0x00000000821177b8  0x0000000082003818  0x0000716f68616890       0         0         0  org.apache.catalina.loader.ParallelWebappClassLoader</x:v>
      </x:c>
      <x:c r="U272" s="36" t="n">
        <x:v>27</x:v>
      </x:c>
      <x:c r="V272" s="36" t="n">
        <x:v>0</x:v>
      </x:c>
      <x:c r="W272" s="44"/>
      <x:c r="X272" s="36" t="n">
        <x:v>1</x:v>
      </x:c>
      <x:c r="Y272" s="36" t="n">
        <x:v>1</x:v>
      </x:c>
      <x:c r="Z272" s="44" t="str">
        <x:v>/ehcache</x:v>
      </x:c>
      <x:c r="AA272" s="45" t="b">
        <x:v>1</x:v>
      </x:c>
      <x:c r="AB272" s="43"/>
      <x:c r="AC272" s="34" t="str">
        <x:v>article1-unified-v4-2-fb3f101b-20260903-000401-default-f02-p1-ehcache-3-after-final-undeploy-final-10s-heap-info.txt</x:v>
      </x:c>
      <x:c r="AD272" s="34" t="str">
        <x:v>article1-unified-v4-2-fb3f101b-20260903-000401-default-f02-p1-ehcache-3-after-final-undeploy-final-10s-classloader-stats.txt</x:v>
      </x:c>
      <x:c r="AE272" s="34" t="str">
        <x:v>article1-unified-v4-2-fb3f101b-20260903-000401-default-f02-p1-ehcache-3-after-final-undeploy-final-10s-thread-dump.txt</x:v>
      </x:c>
      <x:c r="AF272" s="34"/>
      <x:c r="AG272" s="34" t="str">
        <x:v>article1-unified-v4-2-fb3f101b-20260903-000401-default-f02-p1-ehcache-3-after-final-undeploy-final-10s-native-memory.txt</x:v>
      </x:c>
      <x:c r="AH272" s="34" t="str">
        <x:v>article1-unified-v4-2-fb3f101b-20260903-000401-default-f02-p1-ehcache-3-after-final-undeploy-final-10s-class-histogram.txt</x:v>
      </x:c>
      <x:c r="AI272" s="34" t="str">
        <x:v>article1-unified-v4-2-fb3f101b-20260903-000401-default-f02-p1-ehcache-3-after-final-undeploy-tomcat-findleaks.txt</x:v>
      </x:c>
    </x:row>
    <x:row r="273">
      <x:c r="A273" s="34" t="str">
        <x:v>article1-unified-v4-2-fb3f101b-20260903-000401-default-f02-p1-ehcache</x:v>
      </x:c>
      <x:c r="B273" s="34" t="str">
        <x:v>default</x:v>
      </x:c>
      <x:c r="C273" s="34" t="str">
        <x:v>ehcache</x:v>
      </x:c>
      <x:c r="D273" s="34" t="str">
        <x:v>ehcache</x:v>
      </x:c>
      <x:c r="E273" s="36" t="n">
        <x:v>2</x:v>
      </x:c>
      <x:c r="F273" s="36" t="n">
        <x:v>2</x:v>
      </x:c>
      <x:c r="G273" s="36" t="n">
        <x:v>1</x:v>
      </x:c>
      <x:c r="H273" s="36" t="n">
        <x:v>4</x:v>
      </x:c>
      <x:c r="I273" s="34" t="str">
        <x:v>baseline</x:v>
      </x:c>
      <x:c r="J273" s="34" t="str">
        <x:v>cycle-baseline</x:v>
      </x:c>
      <x:c r="K273" s="36" t="n">
        <x:v>0</x:v>
      </x:c>
      <x:c r="L273" s="34" t="str">
        <x:v>baseline</x:v>
      </x:c>
      <x:c r="M273" s="34" t="str">
        <x:v>article1-unified-v4-2-fb3f101b-20260903-000401-default-f02-p1-ehcache-4-baseline</x:v>
      </x:c>
      <x:c r="N273" s="38" t="n">
        <x:v>46267.960859976854</x:v>
      </x:c>
      <x:c r="O273" s="36" t="n">
        <x:v>0</x:v>
      </x:c>
      <x:c r="P273" s="43" t="n">
        <x:v>16058368</x:v>
      </x:c>
      <x:c r="Q273" s="43" t="n">
        <x:v>268435456</x:v>
      </x:c>
      <x:c r="R273" s="43" t="n">
        <x:v>427466752</x:v>
      </x:c>
      <x:c r="S273" s="36" t="n">
        <x:v>2</x:v>
      </x:c>
      <x:c r="T273" s="44" t="str">
        <x:v>0x00000000821177b8  0x0000000082003818  0x0000716edc0eb180    4861  22734848  22709728  org.apache.catalina.loader.ParallelWebappClassLoader | 0x00000000821177b8  0x0000000082003818  0x0000716f68616890       0         0         0  org.apache.catalina.loader.ParallelWebappClassLoader</x:v>
      </x:c>
      <x:c r="U273" s="36" t="n">
        <x:v>27</x:v>
      </x:c>
      <x:c r="V273" s="36" t="n">
        <x:v>0</x:v>
      </x:c>
      <x:c r="W273" s="44"/>
      <x:c r="X273" s="36"/>
      <x:c r="Y273" s="36"/>
      <x:c r="Z273" s="44"/>
      <x:c r="AA273" s="49"/>
      <x:c r="AB273" s="43"/>
      <x:c r="AC273" s="34" t="str">
        <x:v>article1-unified-v4-2-fb3f101b-20260903-000401-default-f02-p1-ehcache-4-baseline-heap-info.txt</x:v>
      </x:c>
      <x:c r="AD273" s="34" t="str">
        <x:v>article1-unified-v4-2-fb3f101b-20260903-000401-default-f02-p1-ehcache-4-baseline-classloader-stats.txt</x:v>
      </x:c>
      <x:c r="AE273" s="34" t="str">
        <x:v>article1-unified-v4-2-fb3f101b-20260903-000401-default-f02-p1-ehcache-4-baseline-thread-dump.txt</x:v>
      </x:c>
      <x:c r="AF273" s="34"/>
      <x:c r="AG273" s="34" t="str">
        <x:v>article1-unified-v4-2-fb3f101b-20260903-000401-default-f02-p1-ehcache-4-baseline-native-memory.txt</x:v>
      </x:c>
      <x:c r="AH273" s="34"/>
      <x:c r="AI273" s="34"/>
    </x:row>
    <x:row r="274">
      <x:c r="A274" s="34" t="str">
        <x:v>article1-unified-v4-2-fb3f101b-20260903-000401-default-f02-p1-ehcache</x:v>
      </x:c>
      <x:c r="B274" s="34" t="str">
        <x:v>default</x:v>
      </x:c>
      <x:c r="C274" s="34" t="str">
        <x:v>ehcache</x:v>
      </x:c>
      <x:c r="D274" s="34" t="str">
        <x:v>ehcache</x:v>
      </x:c>
      <x:c r="E274" s="36" t="n">
        <x:v>2</x:v>
      </x:c>
      <x:c r="F274" s="36" t="n">
        <x:v>2</x:v>
      </x:c>
      <x:c r="G274" s="36" t="n">
        <x:v>1</x:v>
      </x:c>
      <x:c r="H274" s="36" t="n">
        <x:v>4</x:v>
      </x:c>
      <x:c r="I274" s="34" t="str">
        <x:v>deployedIdle</x:v>
      </x:c>
      <x:c r="J274" s="34" t="str">
        <x:v>deployed-idle</x:v>
      </x:c>
      <x:c r="K274" s="36" t="n">
        <x:v>0</x:v>
      </x:c>
      <x:c r="L274" s="34" t="str">
        <x:v>initial</x:v>
      </x:c>
      <x:c r="M274" s="34" t="str">
        <x:v>article1-unified-v4-2-fb3f101b-20260903-000401-default-f02-p1-ehcache-4-deployed-idle</x:v>
      </x:c>
      <x:c r="N274" s="38" t="n">
        <x:v>46267.9609672338</x:v>
      </x:c>
      <x:c r="O274" s="36" t="n">
        <x:v>0</x:v>
      </x:c>
      <x:c r="P274" s="43" t="n">
        <x:v>166259712</x:v>
      </x:c>
      <x:c r="Q274" s="43" t="n">
        <x:v>268435456</x:v>
      </x:c>
      <x:c r="R274" s="43" t="n">
        <x:v>443195392</x:v>
      </x:c>
      <x:c r="S274" s="36" t="n">
        <x:v>3</x:v>
      </x:c>
      <x:c r="T274" s="44" t="str">
        <x:v>0x00000000821177b8  0x0000000082003818  0x0000716edc0eb180    4861  22734848  22709728  org.apache.catalina.loader.ParallelWebappClassLoader | 0x00000000821177b8  0x0000000082003818  0x0000716f68616890       0         0         0  org.apache.catalina.loader.ParallelWebappClassLoader | 0x00000000821177b8  0x0000000082003818  0x0000716e80028400    4091  19458048  19434072  org.apache.catalina.loader.ParallelWebappClassLoader</x:v>
      </x:c>
      <x:c r="U274" s="36" t="n">
        <x:v>28</x:v>
      </x:c>
      <x:c r="V274" s="36" t="n">
        <x:v>0</x:v>
      </x:c>
      <x:c r="W274" s="44"/>
      <x:c r="X274" s="36"/>
      <x:c r="Y274" s="36"/>
      <x:c r="Z274" s="44"/>
      <x:c r="AA274" s="49"/>
      <x:c r="AB274" s="43"/>
      <x:c r="AC274" s="34"/>
      <x:c r="AD274" s="34"/>
      <x:c r="AE274" s="34"/>
      <x:c r="AF274" s="34"/>
      <x:c r="AG274" s="34"/>
      <x:c r="AH274" s="34"/>
      <x:c r="AI274" s="34"/>
    </x:row>
    <x:row r="275">
      <x:c r="A275" s="34" t="str">
        <x:v>article1-unified-v4-2-fb3f101b-20260903-000401-default-f02-p1-ehcache</x:v>
      </x:c>
      <x:c r="B275" s="34" t="str">
        <x:v>default</x:v>
      </x:c>
      <x:c r="C275" s="34" t="str">
        <x:v>ehcache</x:v>
      </x:c>
      <x:c r="D275" s="34" t="str">
        <x:v>ehcache</x:v>
      </x:c>
      <x:c r="E275" s="36" t="n">
        <x:v>2</x:v>
      </x:c>
      <x:c r="F275" s="36" t="n">
        <x:v>2</x:v>
      </x:c>
      <x:c r="G275" s="36" t="n">
        <x:v>1</x:v>
      </x:c>
      <x:c r="H275" s="36" t="n">
        <x:v>4</x:v>
      </x:c>
      <x:c r="I275" s="34" t="str">
        <x:v>loaded</x:v>
      </x:c>
      <x:c r="J275" s="34" t="str">
        <x:v>loaded</x:v>
      </x:c>
      <x:c r="K275" s="36" t="n">
        <x:v>0</x:v>
      </x:c>
      <x:c r="L275" s="34" t="str">
        <x:v>initial</x:v>
      </x:c>
      <x:c r="M275" s="34" t="str">
        <x:v>article1-unified-v4-2-fb3f101b-20260903-000401-default-f02-p1-ehcache-4-loaded</x:v>
      </x:c>
      <x:c r="N275" s="38" t="n">
        <x:v>46267.96111979167</x:v>
      </x:c>
      <x:c r="O275" s="36" t="n">
        <x:v>0</x:v>
      </x:c>
      <x:c r="P275" s="43" t="n">
        <x:v>206144512</x:v>
      </x:c>
      <x:c r="Q275" s="43" t="n">
        <x:v>268435456</x:v>
      </x:c>
      <x:c r="R275" s="43" t="n">
        <x:v>447915008</x:v>
      </x:c>
      <x:c r="S275" s="36" t="n">
        <x:v>3</x:v>
      </x:c>
      <x:c r="T275" s="44" t="str">
        <x:v>0x00000000821177b8  0x0000000082003818  0x0000716edc0eb180    4861  22734848  22709728  org.apache.catalina.loader.ParallelWebappClassLoader | 0x00000000821177b8  0x0000000082003818  0x0000716f68616890       0         0         0  org.apache.catalina.loader.ParallelWebappClassLoader | 0x00000000821177b8  0x0000000082003818  0x0000716e80028400    4858  22685696  22679960  org.apache.catalina.loader.ParallelWebappClassLoader</x:v>
      </x:c>
      <x:c r="U275" s="36" t="n">
        <x:v>28</x:v>
      </x:c>
      <x:c r="V275" s="36" t="n">
        <x:v>0</x:v>
      </x:c>
      <x:c r="W275" s="44"/>
      <x:c r="X275" s="36"/>
      <x:c r="Y275" s="36"/>
      <x:c r="Z275" s="44"/>
      <x:c r="AA275" s="49"/>
      <x:c r="AB275" s="43"/>
      <x:c r="AC275" s="34"/>
      <x:c r="AD275" s="34"/>
      <x:c r="AE275" s="34"/>
      <x:c r="AF275" s="34"/>
      <x:c r="AG275" s="34"/>
      <x:c r="AH275" s="34"/>
      <x:c r="AI275" s="34"/>
    </x:row>
    <x:row r="276">
      <x:c r="A276" s="34" t="str">
        <x:v>article1-unified-v4-2-fb3f101b-20260903-000401-default-f02-p1-ehcache</x:v>
      </x:c>
      <x:c r="B276" s="34" t="str">
        <x:v>default</x:v>
      </x:c>
      <x:c r="C276" s="34" t="str">
        <x:v>ehcache</x:v>
      </x:c>
      <x:c r="D276" s="34" t="str">
        <x:v>ehcache</x:v>
      </x:c>
      <x:c r="E276" s="36" t="n">
        <x:v>2</x:v>
      </x:c>
      <x:c r="F276" s="36" t="n">
        <x:v>2</x:v>
      </x:c>
      <x:c r="G276" s="36" t="n">
        <x:v>1</x:v>
      </x:c>
      <x:c r="H276" s="36" t="n">
        <x:v>4</x:v>
      </x:c>
      <x:c r="I276" s="34" t="str">
        <x:v>afterUndeployEarly</x:v>
      </x:c>
      <x:c r="J276" s="34" t="str">
        <x:v>after-undeploy-early</x:v>
      </x:c>
      <x:c r="K276" s="36" t="n">
        <x:v>1</x:v>
      </x:c>
      <x:c r="L276" s="34" t="str">
        <x:v>early</x:v>
      </x:c>
      <x:c r="M276" s="34" t="str">
        <x:v>article1-unified-v4-2-fb3f101b-20260903-000401-default-f02-p1-ehcache-4-after-undeploy-early-2s</x:v>
      </x:c>
      <x:c r="N276" s="38" t="n">
        <x:v>46267.96120434028</x:v>
      </x:c>
      <x:c r="O276" s="36"/>
      <x:c r="P276" s="43"/>
      <x:c r="Q276" s="43"/>
      <x:c r="R276" s="43"/>
      <x:c r="S276" s="36"/>
      <x:c r="T276" s="44"/>
      <x:c r="U276" s="36" t="n">
        <x:v>27</x:v>
      </x:c>
      <x:c r="V276" s="36" t="n">
        <x:v>0</x:v>
      </x:c>
      <x:c r="W276" s="44"/>
      <x:c r="X276" s="36"/>
      <x:c r="Y276" s="36"/>
      <x:c r="Z276" s="44"/>
      <x:c r="AA276" s="49"/>
      <x:c r="AB276" s="43" t="n">
        <x:v>2</x:v>
      </x:c>
      <x:c r="AC276" s="34"/>
      <x:c r="AD276" s="34"/>
      <x:c r="AE276" s="34" t="str">
        <x:v>article1-unified-v4-2-fb3f101b-20260903-000401-default-f02-p1-ehcache-4-after-undeploy-early-2s-thread-dump.txt</x:v>
      </x:c>
      <x:c r="AF276" s="34" t="str">
        <x:v>article1-unified-v4-2-fb3f101b-20260903-000401-default-f02-p1-ehcache-4-after-undeploy-early-tomcat-log.txt</x:v>
      </x:c>
      <x:c r="AG276" s="34"/>
      <x:c r="AH276" s="34"/>
      <x:c r="AI276" s="34"/>
    </x:row>
    <x:row r="277">
      <x:c r="A277" s="34" t="str">
        <x:v>article1-unified-v4-2-fb3f101b-20260903-000401-default-f02-p1-ehcache</x:v>
      </x:c>
      <x:c r="B277" s="34" t="str">
        <x:v>default</x:v>
      </x:c>
      <x:c r="C277" s="34" t="str">
        <x:v>ehcache</x:v>
      </x:c>
      <x:c r="D277" s="34" t="str">
        <x:v>ehcache</x:v>
      </x:c>
      <x:c r="E277" s="36" t="n">
        <x:v>2</x:v>
      </x:c>
      <x:c r="F277" s="36" t="n">
        <x:v>2</x:v>
      </x:c>
      <x:c r="G277" s="36" t="n">
        <x:v>1</x:v>
      </x:c>
      <x:c r="H277" s="36" t="n">
        <x:v>4</x:v>
      </x:c>
      <x:c r="I277" s="34" t="str">
        <x:v>afterUndeploy</x:v>
      </x:c>
      <x:c r="J277" s="34" t="str">
        <x:v>after-undeploy-final</x:v>
      </x:c>
      <x:c r="K277" s="36" t="n">
        <x:v>1</x:v>
      </x:c>
      <x:c r="L277" s="34" t="str">
        <x:v>final</x:v>
      </x:c>
      <x:c r="M277" s="34" t="str">
        <x:v>article1-unified-v4-2-fb3f101b-20260903-000401-default-f02-p1-ehcache-4-after-undeploy-final-10s</x:v>
      </x:c>
      <x:c r="N277" s="38" t="n">
        <x:v>46267.96135898148</x:v>
      </x:c>
      <x:c r="O277" s="36" t="n">
        <x:v>2</x:v>
      </x:c>
      <x:c r="P277" s="43" t="n">
        <x:v>16115712</x:v>
      </x:c>
      <x:c r="Q277" s="43" t="n">
        <x:v>268435456</x:v>
      </x:c>
      <x:c r="R277" s="43" t="n">
        <x:v>425742336</x:v>
      </x:c>
      <x:c r="S277" s="36" t="n">
        <x:v>2</x:v>
      </x:c>
      <x:c r="T277" s="44" t="str">
        <x:v>0x00000000821177b8  0x0000000082003818  0x0000716f68616890       0         0         0  org.apache.catalina.loader.ParallelWebappClassLoader | 0x00000000821177b8  0x0000000082003818  0x0000716e80028400    4868  22751232  22724776  org.apache.catalina.loader.ParallelWebappClassLoader</x:v>
      </x:c>
      <x:c r="U277" s="36" t="n">
        <x:v>27</x:v>
      </x:c>
      <x:c r="V277" s="36" t="n">
        <x:v>0</x:v>
      </x:c>
      <x:c r="W277" s="44"/>
      <x:c r="X277" s="36" t="n">
        <x:v>1</x:v>
      </x:c>
      <x:c r="Y277" s="36" t="n">
        <x:v>1</x:v>
      </x:c>
      <x:c r="Z277" s="44" t="str">
        <x:v>/ehcache</x:v>
      </x:c>
      <x:c r="AA277" s="45" t="b">
        <x:v>1</x:v>
      </x:c>
      <x:c r="AB277" s="43"/>
      <x:c r="AC277" s="34" t="str">
        <x:v>article1-unified-v4-2-fb3f101b-20260903-000401-default-f02-p1-ehcache-4-after-undeploy-final-10s-heap-info.txt</x:v>
      </x:c>
      <x:c r="AD277" s="34" t="str">
        <x:v>article1-unified-v4-2-fb3f101b-20260903-000401-default-f02-p1-ehcache-4-after-undeploy-final-10s-classloader-stats.txt</x:v>
      </x:c>
      <x:c r="AE277" s="34" t="str">
        <x:v>article1-unified-v4-2-fb3f101b-20260903-000401-default-f02-p1-ehcache-4-after-undeploy-final-10s-thread-dump.txt</x:v>
      </x:c>
      <x:c r="AF277" s="34"/>
      <x:c r="AG277" s="34" t="str">
        <x:v>article1-unified-v4-2-fb3f101b-20260903-000401-default-f02-p1-ehcache-4-after-undeploy-final-10s-native-memory.txt</x:v>
      </x:c>
      <x:c r="AH277" s="34" t="str">
        <x:v>article1-unified-v4-2-fb3f101b-20260903-000401-default-f02-p1-ehcache-4-after-undeploy-final-10s-class-histogram.txt</x:v>
      </x:c>
      <x:c r="AI277" s="34" t="str">
        <x:v>article1-unified-v4-2-fb3f101b-20260903-000401-default-f02-p1-ehcache-4-after-undeploy-tomcat-findleaks.txt</x:v>
      </x:c>
    </x:row>
    <x:row r="278">
      <x:c r="A278" s="34" t="str">
        <x:v>article1-unified-v4-2-fb3f101b-20260903-000401-default-f02-p1-ehcache</x:v>
      </x:c>
      <x:c r="B278" s="34" t="str">
        <x:v>default</x:v>
      </x:c>
      <x:c r="C278" s="34" t="str">
        <x:v>ehcache</x:v>
      </x:c>
      <x:c r="D278" s="34" t="str">
        <x:v>ehcache</x:v>
      </x:c>
      <x:c r="E278" s="36" t="n">
        <x:v>2</x:v>
      </x:c>
      <x:c r="F278" s="36" t="n">
        <x:v>2</x:v>
      </x:c>
      <x:c r="G278" s="36" t="n">
        <x:v>1</x:v>
      </x:c>
      <x:c r="H278" s="36" t="n">
        <x:v>4</x:v>
      </x:c>
      <x:c r="I278" s="34" t="str">
        <x:v>redeployedLoaded</x:v>
      </x:c>
      <x:c r="J278" s="34" t="str">
        <x:v>redeployed-loaded</x:v>
      </x:c>
      <x:c r="K278" s="36" t="n">
        <x:v>0</x:v>
      </x:c>
      <x:c r="L278" s="34" t="str">
        <x:v>redeploy</x:v>
      </x:c>
      <x:c r="M278" s="34" t="str">
        <x:v>article1-unified-v4-2-fb3f101b-20260903-000401-default-f02-p1-ehcache-4-redeployed-loaded</x:v>
      </x:c>
      <x:c r="N278" s="38" t="n">
        <x:v>46267.96162019676</x:v>
      </x:c>
      <x:c r="O278" s="36" t="n">
        <x:v>0</x:v>
      </x:c>
      <x:c r="P278" s="43" t="n">
        <x:v>206887936</x:v>
      </x:c>
      <x:c r="Q278" s="43" t="n">
        <x:v>268435456</x:v>
      </x:c>
      <x:c r="R278" s="43" t="n">
        <x:v>451922944</x:v>
      </x:c>
      <x:c r="S278" s="36" t="n">
        <x:v>3</x:v>
      </x:c>
      <x:c r="T278" s="44" t="str">
        <x:v>0x00000000821177b8  0x0000000082003818  0x0000716eac4849f0    4849  22668288  22655744  org.apache.catalina.loader.ParallelWebappClassLoader | 0x00000000821177b8  0x0000000082003818  0x0000716f68616890       0         0         0  org.apache.catalina.loader.ParallelWebappClassLoader | 0x00000000821177b8  0x0000000082003818  0x0000716e80028400    4868  22751232  22724776  org.apache.catalina.loader.ParallelWebappClassLoader</x:v>
      </x:c>
      <x:c r="U278" s="36" t="n">
        <x:v>28</x:v>
      </x:c>
      <x:c r="V278" s="36" t="n">
        <x:v>0</x:v>
      </x:c>
      <x:c r="W278" s="44"/>
      <x:c r="X278" s="36"/>
      <x:c r="Y278" s="36"/>
      <x:c r="Z278" s="44"/>
      <x:c r="AA278" s="49"/>
      <x:c r="AB278" s="43"/>
      <x:c r="AC278" s="34"/>
      <x:c r="AD278" s="34"/>
      <x:c r="AE278" s="34"/>
      <x:c r="AF278" s="34"/>
      <x:c r="AG278" s="34"/>
      <x:c r="AH278" s="34"/>
      <x:c r="AI278" s="34"/>
    </x:row>
    <x:row r="279">
      <x:c r="A279" s="34" t="str">
        <x:v>article1-unified-v4-2-fb3f101b-20260903-000401-default-f02-p1-ehcache</x:v>
      </x:c>
      <x:c r="B279" s="34" t="str">
        <x:v>default</x:v>
      </x:c>
      <x:c r="C279" s="34" t="str">
        <x:v>ehcache</x:v>
      </x:c>
      <x:c r="D279" s="34" t="str">
        <x:v>ehcache</x:v>
      </x:c>
      <x:c r="E279" s="36" t="n">
        <x:v>2</x:v>
      </x:c>
      <x:c r="F279" s="36" t="n">
        <x:v>2</x:v>
      </x:c>
      <x:c r="G279" s="36" t="n">
        <x:v>1</x:v>
      </x:c>
      <x:c r="H279" s="36" t="n">
        <x:v>4</x:v>
      </x:c>
      <x:c r="I279" s="34" t="str">
        <x:v>afterFinalUndeployEarly</x:v>
      </x:c>
      <x:c r="J279" s="34" t="str">
        <x:v>after-final-undeploy-early</x:v>
      </x:c>
      <x:c r="K279" s="36" t="n">
        <x:v>2</x:v>
      </x:c>
      <x:c r="L279" s="34" t="str">
        <x:v>early</x:v>
      </x:c>
      <x:c r="M279" s="34" t="str">
        <x:v>article1-unified-v4-2-fb3f101b-20260903-000401-default-f02-p1-ehcache-4-after-final-undeploy-early-2s</x:v>
      </x:c>
      <x:c r="N279" s="38" t="n">
        <x:v>46267.96170601852</x:v>
      </x:c>
      <x:c r="O279" s="36"/>
      <x:c r="P279" s="43"/>
      <x:c r="Q279" s="43"/>
      <x:c r="R279" s="43"/>
      <x:c r="S279" s="36"/>
      <x:c r="T279" s="44"/>
      <x:c r="U279" s="36" t="n">
        <x:v>27</x:v>
      </x:c>
      <x:c r="V279" s="36" t="n">
        <x:v>0</x:v>
      </x:c>
      <x:c r="W279" s="44"/>
      <x:c r="X279" s="36"/>
      <x:c r="Y279" s="36"/>
      <x:c r="Z279" s="44"/>
      <x:c r="AA279" s="49"/>
      <x:c r="AB279" s="43" t="n">
        <x:v>2</x:v>
      </x:c>
      <x:c r="AC279" s="34"/>
      <x:c r="AD279" s="34"/>
      <x:c r="AE279" s="34" t="str">
        <x:v>article1-unified-v4-2-fb3f101b-20260903-000401-default-f02-p1-ehcache-4-after-final-undeploy-early-2s-thread-dump.txt</x:v>
      </x:c>
      <x:c r="AF279" s="34" t="str">
        <x:v>article1-unified-v4-2-fb3f101b-20260903-000401-default-f02-p1-ehcache-4-after-final-undeploy-early-tomcat-log.txt</x:v>
      </x:c>
      <x:c r="AG279" s="34"/>
      <x:c r="AH279" s="34"/>
      <x:c r="AI279" s="34"/>
    </x:row>
    <x:row r="280">
      <x:c r="A280" s="34" t="str">
        <x:v>article1-unified-v4-2-fb3f101b-20260903-000401-default-f02-p1-ehcache</x:v>
      </x:c>
      <x:c r="B280" s="34" t="str">
        <x:v>default</x:v>
      </x:c>
      <x:c r="C280" s="34" t="str">
        <x:v>ehcache</x:v>
      </x:c>
      <x:c r="D280" s="34" t="str">
        <x:v>ehcache</x:v>
      </x:c>
      <x:c r="E280" s="36" t="n">
        <x:v>2</x:v>
      </x:c>
      <x:c r="F280" s="36" t="n">
        <x:v>2</x:v>
      </x:c>
      <x:c r="G280" s="36" t="n">
        <x:v>1</x:v>
      </x:c>
      <x:c r="H280" s="36" t="n">
        <x:v>4</x:v>
      </x:c>
      <x:c r="I280" s="34" t="str">
        <x:v>afterFinalUndeploy</x:v>
      </x:c>
      <x:c r="J280" s="34" t="str">
        <x:v>after-final-undeploy-final</x:v>
      </x:c>
      <x:c r="K280" s="36" t="n">
        <x:v>2</x:v>
      </x:c>
      <x:c r="L280" s="34" t="str">
        <x:v>final</x:v>
      </x:c>
      <x:c r="M280" s="34" t="str">
        <x:v>article1-unified-v4-2-fb3f101b-20260903-000401-default-f02-p1-ehcache-4-after-final-undeploy-final-10s</x:v>
      </x:c>
      <x:c r="N280" s="38" t="n">
        <x:v>46267.96187712963</x:v>
      </x:c>
      <x:c r="O280" s="36" t="n">
        <x:v>2</x:v>
      </x:c>
      <x:c r="P280" s="43" t="n">
        <x:v>16087040</x:v>
      </x:c>
      <x:c r="Q280" s="43" t="n">
        <x:v>268435456</x:v>
      </x:c>
      <x:c r="R280" s="43" t="n">
        <x:v>430040064</x:v>
      </x:c>
      <x:c r="S280" s="36" t="n">
        <x:v>2</x:v>
      </x:c>
      <x:c r="T280" s="44" t="str">
        <x:v>0x00000000821177b8  0x0000000082003818  0x0000716f68616890       0         0         0  org.apache.catalina.loader.ParallelWebappClassLoader | 0x00000000821177b8  0x0000000082003818  0x0000716eac4849f0    4859  22717440  22701448  org.apache.catalina.loader.ParallelWebappClassLoader</x:v>
      </x:c>
      <x:c r="U280" s="36" t="n">
        <x:v>27</x:v>
      </x:c>
      <x:c r="V280" s="36" t="n">
        <x:v>0</x:v>
      </x:c>
      <x:c r="W280" s="44"/>
      <x:c r="X280" s="36" t="n">
        <x:v>1</x:v>
      </x:c>
      <x:c r="Y280" s="36" t="n">
        <x:v>1</x:v>
      </x:c>
      <x:c r="Z280" s="44" t="str">
        <x:v>/ehcache</x:v>
      </x:c>
      <x:c r="AA280" s="45" t="b">
        <x:v>1</x:v>
      </x:c>
      <x:c r="AB280" s="43"/>
      <x:c r="AC280" s="34" t="str">
        <x:v>article1-unified-v4-2-fb3f101b-20260903-000401-default-f02-p1-ehcache-4-after-final-undeploy-final-10s-heap-info.txt</x:v>
      </x:c>
      <x:c r="AD280" s="34" t="str">
        <x:v>article1-unified-v4-2-fb3f101b-20260903-000401-default-f02-p1-ehcache-4-after-final-undeploy-final-10s-classloader-stats.txt</x:v>
      </x:c>
      <x:c r="AE280" s="34" t="str">
        <x:v>article1-unified-v4-2-fb3f101b-20260903-000401-default-f02-p1-ehcache-4-after-final-undeploy-final-10s-thread-dump.txt</x:v>
      </x:c>
      <x:c r="AF280" s="34"/>
      <x:c r="AG280" s="34" t="str">
        <x:v>article1-unified-v4-2-fb3f101b-20260903-000401-default-f02-p1-ehcache-4-after-final-undeploy-final-10s-native-memory.txt</x:v>
      </x:c>
      <x:c r="AH280" s="34" t="str">
        <x:v>article1-unified-v4-2-fb3f101b-20260903-000401-default-f02-p1-ehcache-4-after-final-undeploy-final-10s-class-histogram.txt</x:v>
      </x:c>
      <x:c r="AI280" s="34" t="str">
        <x:v>article1-unified-v4-2-fb3f101b-20260903-000401-default-f02-p1-ehcache-4-after-final-undeploy-tomcat-findleaks.txt</x:v>
      </x:c>
    </x:row>
    <x:row r="281">
      <x:c r="A281" s="34" t="str">
        <x:v>article1-unified-v4-2-fb3f101b-20260903-000401-default-f02-p1-ehcache</x:v>
      </x:c>
      <x:c r="B281" s="34" t="str">
        <x:v>default</x:v>
      </x:c>
      <x:c r="C281" s="34" t="str">
        <x:v>ehcache</x:v>
      </x:c>
      <x:c r="D281" s="34" t="str">
        <x:v>ehcache</x:v>
      </x:c>
      <x:c r="E281" s="36" t="n">
        <x:v>2</x:v>
      </x:c>
      <x:c r="F281" s="36" t="n">
        <x:v>2</x:v>
      </x:c>
      <x:c r="G281" s="36" t="n">
        <x:v>1</x:v>
      </x:c>
      <x:c r="H281" s="36" t="n">
        <x:v>5</x:v>
      </x:c>
      <x:c r="I281" s="34" t="str">
        <x:v>baseline</x:v>
      </x:c>
      <x:c r="J281" s="34" t="str">
        <x:v>cycle-baseline</x:v>
      </x:c>
      <x:c r="K281" s="36" t="n">
        <x:v>0</x:v>
      </x:c>
      <x:c r="L281" s="34" t="str">
        <x:v>baseline</x:v>
      </x:c>
      <x:c r="M281" s="34" t="str">
        <x:v>article1-unified-v4-2-fb3f101b-20260903-000401-default-f02-p1-ehcache-5-baseline</x:v>
      </x:c>
      <x:c r="N281" s="38" t="n">
        <x:v>46267.961928564815</x:v>
      </x:c>
      <x:c r="O281" s="36" t="n">
        <x:v>0</x:v>
      </x:c>
      <x:c r="P281" s="43" t="n">
        <x:v>16078848</x:v>
      </x:c>
      <x:c r="Q281" s="43" t="n">
        <x:v>268435456</x:v>
      </x:c>
      <x:c r="R281" s="43" t="n">
        <x:v>430039040</x:v>
      </x:c>
      <x:c r="S281" s="36" t="n">
        <x:v>2</x:v>
      </x:c>
      <x:c r="T281" s="44" t="str">
        <x:v>0x00000000821177b8  0x0000000082003818  0x0000716f68616890       0         0         0  org.apache.catalina.loader.ParallelWebappClassLoader | 0x00000000821177b8  0x0000000082003818  0x0000716eac4849f0    4859  22717440  22701448  org.apache.catalina.loader.ParallelWebappClassLoader</x:v>
      </x:c>
      <x:c r="U281" s="36" t="n">
        <x:v>27</x:v>
      </x:c>
      <x:c r="V281" s="36" t="n">
        <x:v>0</x:v>
      </x:c>
      <x:c r="W281" s="44"/>
      <x:c r="X281" s="36"/>
      <x:c r="Y281" s="36"/>
      <x:c r="Z281" s="44"/>
      <x:c r="AA281" s="49"/>
      <x:c r="AB281" s="43"/>
      <x:c r="AC281" s="34" t="str">
        <x:v>article1-unified-v4-2-fb3f101b-20260903-000401-default-f02-p1-ehcache-5-baseline-heap-info.txt</x:v>
      </x:c>
      <x:c r="AD281" s="34" t="str">
        <x:v>article1-unified-v4-2-fb3f101b-20260903-000401-default-f02-p1-ehcache-5-baseline-classloader-stats.txt</x:v>
      </x:c>
      <x:c r="AE281" s="34" t="str">
        <x:v>article1-unified-v4-2-fb3f101b-20260903-000401-default-f02-p1-ehcache-5-baseline-thread-dump.txt</x:v>
      </x:c>
      <x:c r="AF281" s="34"/>
      <x:c r="AG281" s="34" t="str">
        <x:v>article1-unified-v4-2-fb3f101b-20260903-000401-default-f02-p1-ehcache-5-baseline-native-memory.txt</x:v>
      </x:c>
      <x:c r="AH281" s="34"/>
      <x:c r="AI281" s="34"/>
    </x:row>
    <x:row r="282">
      <x:c r="A282" s="34" t="str">
        <x:v>article1-unified-v4-2-fb3f101b-20260903-000401-default-f02-p1-ehcache</x:v>
      </x:c>
      <x:c r="B282" s="34" t="str">
        <x:v>default</x:v>
      </x:c>
      <x:c r="C282" s="34" t="str">
        <x:v>ehcache</x:v>
      </x:c>
      <x:c r="D282" s="34" t="str">
        <x:v>ehcache</x:v>
      </x:c>
      <x:c r="E282" s="36" t="n">
        <x:v>2</x:v>
      </x:c>
      <x:c r="F282" s="36" t="n">
        <x:v>2</x:v>
      </x:c>
      <x:c r="G282" s="36" t="n">
        <x:v>1</x:v>
      </x:c>
      <x:c r="H282" s="36" t="n">
        <x:v>5</x:v>
      </x:c>
      <x:c r="I282" s="34" t="str">
        <x:v>deployedIdle</x:v>
      </x:c>
      <x:c r="J282" s="34" t="str">
        <x:v>deployed-idle</x:v>
      </x:c>
      <x:c r="K282" s="36" t="n">
        <x:v>0</x:v>
      </x:c>
      <x:c r="L282" s="34" t="str">
        <x:v>initial</x:v>
      </x:c>
      <x:c r="M282" s="34" t="str">
        <x:v>article1-unified-v4-2-fb3f101b-20260903-000401-default-f02-p1-ehcache-5-deployed-idle</x:v>
      </x:c>
      <x:c r="N282" s="38" t="n">
        <x:v>46267.9620316088</x:v>
      </x:c>
      <x:c r="O282" s="36" t="n">
        <x:v>0</x:v>
      </x:c>
      <x:c r="P282" s="43" t="n">
        <x:v>164968448</x:v>
      </x:c>
      <x:c r="Q282" s="43" t="n">
        <x:v>268435456</x:v>
      </x:c>
      <x:c r="R282" s="43" t="n">
        <x:v>465466368</x:v>
      </x:c>
      <x:c r="S282" s="36" t="n">
        <x:v>3</x:v>
      </x:c>
      <x:c r="T282" s="44" t="str">
        <x:v>0x00000000821177b8  0x0000000082003818  0x0000716f68616890       0         0         0  org.apache.catalina.loader.ParallelWebappClassLoader | 0x00000000821177b8  0x0000000082003818  0x0000716ee0025030    4091  19438592  19430280  org.apache.catalina.loader.ParallelWebappClassLoader | 0x00000000821177b8  0x0000000082003818  0x0000716eac4849f0    4859  22717440  22701448  org.apache.catalina.loader.ParallelWebappClassLoader</x:v>
      </x:c>
      <x:c r="U282" s="36" t="n">
        <x:v>27</x:v>
      </x:c>
      <x:c r="V282" s="36" t="n">
        <x:v>0</x:v>
      </x:c>
      <x:c r="W282" s="44"/>
      <x:c r="X282" s="36"/>
      <x:c r="Y282" s="36"/>
      <x:c r="Z282" s="44"/>
      <x:c r="AA282" s="49"/>
      <x:c r="AB282" s="43"/>
      <x:c r="AC282" s="34"/>
      <x:c r="AD282" s="34"/>
      <x:c r="AE282" s="34"/>
      <x:c r="AF282" s="34"/>
      <x:c r="AG282" s="34"/>
      <x:c r="AH282" s="34"/>
      <x:c r="AI282" s="34"/>
    </x:row>
    <x:row r="283">
      <x:c r="A283" s="34" t="str">
        <x:v>article1-unified-v4-2-fb3f101b-20260903-000401-default-f02-p1-ehcache</x:v>
      </x:c>
      <x:c r="B283" s="34" t="str">
        <x:v>default</x:v>
      </x:c>
      <x:c r="C283" s="34" t="str">
        <x:v>ehcache</x:v>
      </x:c>
      <x:c r="D283" s="34" t="str">
        <x:v>ehcache</x:v>
      </x:c>
      <x:c r="E283" s="36" t="n">
        <x:v>2</x:v>
      </x:c>
      <x:c r="F283" s="36" t="n">
        <x:v>2</x:v>
      </x:c>
      <x:c r="G283" s="36" t="n">
        <x:v>1</x:v>
      </x:c>
      <x:c r="H283" s="36" t="n">
        <x:v>5</x:v>
      </x:c>
      <x:c r="I283" s="34" t="str">
        <x:v>loaded</x:v>
      </x:c>
      <x:c r="J283" s="34" t="str">
        <x:v>loaded</x:v>
      </x:c>
      <x:c r="K283" s="36" t="n">
        <x:v>0</x:v>
      </x:c>
      <x:c r="L283" s="34" t="str">
        <x:v>initial</x:v>
      </x:c>
      <x:c r="M283" s="34" t="str">
        <x:v>article1-unified-v4-2-fb3f101b-20260903-000401-default-f02-p1-ehcache-5-loaded</x:v>
      </x:c>
      <x:c r="N283" s="38" t="n">
        <x:v>46267.962186805555</x:v>
      </x:c>
      <x:c r="O283" s="36" t="n">
        <x:v>0</x:v>
      </x:c>
      <x:c r="P283" s="43" t="n">
        <x:v>206429184</x:v>
      </x:c>
      <x:c r="Q283" s="43" t="n">
        <x:v>268435456</x:v>
      </x:c>
      <x:c r="R283" s="43" t="n">
        <x:v>449070080</x:v>
      </x:c>
      <x:c r="S283" s="36" t="n">
        <x:v>3</x:v>
      </x:c>
      <x:c r="T283" s="44" t="str">
        <x:v>0x00000000821177b8  0x0000000082003818  0x0000716f68616890       0         0         0  org.apache.catalina.loader.ParallelWebappClassLoader | 0x00000000821177b8  0x0000000082003818  0x0000716eac4849f0    4859  22717440  22701448  org.apache.catalina.loader.ParallelWebappClassLoader | 0x00000000821177b8  0x0000000082003818  0x0000716ee0025030    4852  22682624  22661264  org.apache.catalina.loader.ParallelWebappClassLoader</x:v>
      </x:c>
      <x:c r="U283" s="36" t="n">
        <x:v>28</x:v>
      </x:c>
      <x:c r="V283" s="36" t="n">
        <x:v>0</x:v>
      </x:c>
      <x:c r="W283" s="44"/>
      <x:c r="X283" s="36"/>
      <x:c r="Y283" s="36"/>
      <x:c r="Z283" s="44"/>
      <x:c r="AA283" s="49"/>
      <x:c r="AB283" s="43"/>
      <x:c r="AC283" s="34"/>
      <x:c r="AD283" s="34"/>
      <x:c r="AE283" s="34"/>
      <x:c r="AF283" s="34"/>
      <x:c r="AG283" s="34"/>
      <x:c r="AH283" s="34"/>
      <x:c r="AI283" s="34"/>
    </x:row>
    <x:row r="284">
      <x:c r="A284" s="34" t="str">
        <x:v>article1-unified-v4-2-fb3f101b-20260903-000401-default-f02-p1-ehcache</x:v>
      </x:c>
      <x:c r="B284" s="34" t="str">
        <x:v>default</x:v>
      </x:c>
      <x:c r="C284" s="34" t="str">
        <x:v>ehcache</x:v>
      </x:c>
      <x:c r="D284" s="34" t="str">
        <x:v>ehcache</x:v>
      </x:c>
      <x:c r="E284" s="36" t="n">
        <x:v>2</x:v>
      </x:c>
      <x:c r="F284" s="36" t="n">
        <x:v>2</x:v>
      </x:c>
      <x:c r="G284" s="36" t="n">
        <x:v>1</x:v>
      </x:c>
      <x:c r="H284" s="36" t="n">
        <x:v>5</x:v>
      </x:c>
      <x:c r="I284" s="34" t="str">
        <x:v>afterUndeployEarly</x:v>
      </x:c>
      <x:c r="J284" s="34" t="str">
        <x:v>after-undeploy-early</x:v>
      </x:c>
      <x:c r="K284" s="36" t="n">
        <x:v>1</x:v>
      </x:c>
      <x:c r="L284" s="34" t="str">
        <x:v>early</x:v>
      </x:c>
      <x:c r="M284" s="34" t="str">
        <x:v>article1-unified-v4-2-fb3f101b-20260903-000401-default-f02-p1-ehcache-5-after-undeploy-early-2s</x:v>
      </x:c>
      <x:c r="N284" s="38" t="n">
        <x:v>46267.962268842595</x:v>
      </x:c>
      <x:c r="O284" s="36"/>
      <x:c r="P284" s="43"/>
      <x:c r="Q284" s="43"/>
      <x:c r="R284" s="43"/>
      <x:c r="S284" s="36"/>
      <x:c r="T284" s="44"/>
      <x:c r="U284" s="36" t="n">
        <x:v>27</x:v>
      </x:c>
      <x:c r="V284" s="36" t="n">
        <x:v>0</x:v>
      </x:c>
      <x:c r="W284" s="44"/>
      <x:c r="X284" s="36"/>
      <x:c r="Y284" s="36"/>
      <x:c r="Z284" s="44"/>
      <x:c r="AA284" s="49"/>
      <x:c r="AB284" s="43" t="n">
        <x:v>2</x:v>
      </x:c>
      <x:c r="AC284" s="34"/>
      <x:c r="AD284" s="34"/>
      <x:c r="AE284" s="34" t="str">
        <x:v>article1-unified-v4-2-fb3f101b-20260903-000401-default-f02-p1-ehcache-5-after-undeploy-early-2s-thread-dump.txt</x:v>
      </x:c>
      <x:c r="AF284" s="34" t="str">
        <x:v>article1-unified-v4-2-fb3f101b-20260903-000401-default-f02-p1-ehcache-5-after-undeploy-early-tomcat-log.txt</x:v>
      </x:c>
      <x:c r="AG284" s="34"/>
      <x:c r="AH284" s="34"/>
      <x:c r="AI284" s="34"/>
    </x:row>
    <x:row r="285">
      <x:c r="A285" s="34" t="str">
        <x:v>article1-unified-v4-2-fb3f101b-20260903-000401-default-f02-p1-ehcache</x:v>
      </x:c>
      <x:c r="B285" s="34" t="str">
        <x:v>default</x:v>
      </x:c>
      <x:c r="C285" s="34" t="str">
        <x:v>ehcache</x:v>
      </x:c>
      <x:c r="D285" s="34" t="str">
        <x:v>ehcache</x:v>
      </x:c>
      <x:c r="E285" s="36" t="n">
        <x:v>2</x:v>
      </x:c>
      <x:c r="F285" s="36" t="n">
        <x:v>2</x:v>
      </x:c>
      <x:c r="G285" s="36" t="n">
        <x:v>1</x:v>
      </x:c>
      <x:c r="H285" s="36" t="n">
        <x:v>5</x:v>
      </x:c>
      <x:c r="I285" s="34" t="str">
        <x:v>afterUndeploy</x:v>
      </x:c>
      <x:c r="J285" s="34" t="str">
        <x:v>after-undeploy-final</x:v>
      </x:c>
      <x:c r="K285" s="36" t="n">
        <x:v>1</x:v>
      </x:c>
      <x:c r="L285" s="34" t="str">
        <x:v>final</x:v>
      </x:c>
      <x:c r="M285" s="34" t="str">
        <x:v>article1-unified-v4-2-fb3f101b-20260903-000401-default-f02-p1-ehcache-5-after-undeploy-final-10s</x:v>
      </x:c>
      <x:c r="N285" s="38" t="n">
        <x:v>46267.96242565972</x:v>
      </x:c>
      <x:c r="O285" s="36" t="n">
        <x:v>2</x:v>
      </x:c>
      <x:c r="P285" s="43" t="n">
        <x:v>16083968</x:v>
      </x:c>
      <x:c r="Q285" s="43" t="n">
        <x:v>268435456</x:v>
      </x:c>
      <x:c r="R285" s="43" t="n">
        <x:v>427580416</x:v>
      </x:c>
      <x:c r="S285" s="36" t="n">
        <x:v>2</x:v>
      </x:c>
      <x:c r="T285" s="44" t="str">
        <x:v>0x00000000821177b8  0x0000000082003818  0x0000716ee0025030    4862  22731776  22707016  org.apache.catalina.loader.ParallelWebappClassLoader | 0x00000000821177b8  0x0000000082003818  0x0000716f68616890       0         0         0  org.apache.catalina.loader.ParallelWebappClassLoader</x:v>
      </x:c>
      <x:c r="U285" s="36" t="n">
        <x:v>27</x:v>
      </x:c>
      <x:c r="V285" s="36" t="n">
        <x:v>0</x:v>
      </x:c>
      <x:c r="W285" s="44"/>
      <x:c r="X285" s="36" t="n">
        <x:v>1</x:v>
      </x:c>
      <x:c r="Y285" s="36" t="n">
        <x:v>1</x:v>
      </x:c>
      <x:c r="Z285" s="44" t="str">
        <x:v>/ehcache</x:v>
      </x:c>
      <x:c r="AA285" s="45" t="b">
        <x:v>1</x:v>
      </x:c>
      <x:c r="AB285" s="43"/>
      <x:c r="AC285" s="34" t="str">
        <x:v>article1-unified-v4-2-fb3f101b-20260903-000401-default-f02-p1-ehcache-5-after-undeploy-final-10s-heap-info.txt</x:v>
      </x:c>
      <x:c r="AD285" s="34" t="str">
        <x:v>article1-unified-v4-2-fb3f101b-20260903-000401-default-f02-p1-ehcache-5-after-undeploy-final-10s-classloader-stats.txt</x:v>
      </x:c>
      <x:c r="AE285" s="34" t="str">
        <x:v>article1-unified-v4-2-fb3f101b-20260903-000401-default-f02-p1-ehcache-5-after-undeploy-final-10s-thread-dump.txt</x:v>
      </x:c>
      <x:c r="AF285" s="34"/>
      <x:c r="AG285" s="34" t="str">
        <x:v>article1-unified-v4-2-fb3f101b-20260903-000401-default-f02-p1-ehcache-5-after-undeploy-final-10s-native-memory.txt</x:v>
      </x:c>
      <x:c r="AH285" s="34" t="str">
        <x:v>article1-unified-v4-2-fb3f101b-20260903-000401-default-f02-p1-ehcache-5-after-undeploy-final-10s-class-histogram.txt</x:v>
      </x:c>
      <x:c r="AI285" s="34" t="str">
        <x:v>article1-unified-v4-2-fb3f101b-20260903-000401-default-f02-p1-ehcache-5-after-undeploy-tomcat-findleaks.txt</x:v>
      </x:c>
    </x:row>
    <x:row r="286">
      <x:c r="A286" s="34" t="str">
        <x:v>article1-unified-v4-2-fb3f101b-20260903-000401-default-f02-p1-ehcache</x:v>
      </x:c>
      <x:c r="B286" s="34" t="str">
        <x:v>default</x:v>
      </x:c>
      <x:c r="C286" s="34" t="str">
        <x:v>ehcache</x:v>
      </x:c>
      <x:c r="D286" s="34" t="str">
        <x:v>ehcache</x:v>
      </x:c>
      <x:c r="E286" s="36" t="n">
        <x:v>2</x:v>
      </x:c>
      <x:c r="F286" s="36" t="n">
        <x:v>2</x:v>
      </x:c>
      <x:c r="G286" s="36" t="n">
        <x:v>1</x:v>
      </x:c>
      <x:c r="H286" s="36" t="n">
        <x:v>5</x:v>
      </x:c>
      <x:c r="I286" s="34" t="str">
        <x:v>redeployedLoaded</x:v>
      </x:c>
      <x:c r="J286" s="34" t="str">
        <x:v>redeployed-loaded</x:v>
      </x:c>
      <x:c r="K286" s="36" t="n">
        <x:v>0</x:v>
      </x:c>
      <x:c r="L286" s="34" t="str">
        <x:v>redeploy</x:v>
      </x:c>
      <x:c r="M286" s="34" t="str">
        <x:v>article1-unified-v4-2-fb3f101b-20260903-000401-default-f02-p1-ehcache-5-redeployed-loaded</x:v>
      </x:c>
      <x:c r="N286" s="38" t="n">
        <x:v>46267.96268775463</x:v>
      </x:c>
      <x:c r="O286" s="36" t="n">
        <x:v>0</x:v>
      </x:c>
      <x:c r="P286" s="43" t="n">
        <x:v>207958016</x:v>
      </x:c>
      <x:c r="Q286" s="43" t="n">
        <x:v>268435456</x:v>
      </x:c>
      <x:c r="R286" s="43" t="n">
        <x:v>449788928</x:v>
      </x:c>
      <x:c r="S286" s="36" t="n">
        <x:v>3</x:v>
      </x:c>
      <x:c r="T286" s="44" t="str">
        <x:v>0x00000000821177b8  0x0000000082003818  0x0000716ee0025030    4862  22731776  22707016  org.apache.catalina.loader.ParallelWebappClassLoader | 0x00000000821177b8  0x0000000082003818  0x0000716f68616890       0         0         0  org.apache.catalina.loader.ParallelWebappClassLoader | 0x00000000821177b8  0x0000000082003818  0x0000716ec01757e0    4849  22667264  22656344  org.apache.catalina.loader.ParallelWebappClassLoader</x:v>
      </x:c>
      <x:c r="U286" s="36" t="n">
        <x:v>28</x:v>
      </x:c>
      <x:c r="V286" s="36" t="n">
        <x:v>0</x:v>
      </x:c>
      <x:c r="W286" s="44"/>
      <x:c r="X286" s="36"/>
      <x:c r="Y286" s="36"/>
      <x:c r="Z286" s="44"/>
      <x:c r="AA286" s="49"/>
      <x:c r="AB286" s="43"/>
      <x:c r="AC286" s="34"/>
      <x:c r="AD286" s="34"/>
      <x:c r="AE286" s="34"/>
      <x:c r="AF286" s="34"/>
      <x:c r="AG286" s="34"/>
      <x:c r="AH286" s="34"/>
      <x:c r="AI286" s="34"/>
    </x:row>
    <x:row r="287">
      <x:c r="A287" s="34" t="str">
        <x:v>article1-unified-v4-2-fb3f101b-20260903-000401-default-f02-p1-ehcache</x:v>
      </x:c>
      <x:c r="B287" s="34" t="str">
        <x:v>default</x:v>
      </x:c>
      <x:c r="C287" s="34" t="str">
        <x:v>ehcache</x:v>
      </x:c>
      <x:c r="D287" s="34" t="str">
        <x:v>ehcache</x:v>
      </x:c>
      <x:c r="E287" s="36" t="n">
        <x:v>2</x:v>
      </x:c>
      <x:c r="F287" s="36" t="n">
        <x:v>2</x:v>
      </x:c>
      <x:c r="G287" s="36" t="n">
        <x:v>1</x:v>
      </x:c>
      <x:c r="H287" s="36" t="n">
        <x:v>5</x:v>
      </x:c>
      <x:c r="I287" s="34" t="str">
        <x:v>afterFinalUndeployEarly</x:v>
      </x:c>
      <x:c r="J287" s="34" t="str">
        <x:v>after-final-undeploy-early</x:v>
      </x:c>
      <x:c r="K287" s="36" t="n">
        <x:v>2</x:v>
      </x:c>
      <x:c r="L287" s="34" t="str">
        <x:v>early</x:v>
      </x:c>
      <x:c r="M287" s="34" t="str">
        <x:v>article1-unified-v4-2-fb3f101b-20260903-000401-default-f02-p1-ehcache-5-after-final-undeploy-early-2s</x:v>
      </x:c>
      <x:c r="N287" s="38" t="n">
        <x:v>46267.96277096065</x:v>
      </x:c>
      <x:c r="O287" s="36"/>
      <x:c r="P287" s="43"/>
      <x:c r="Q287" s="43"/>
      <x:c r="R287" s="43"/>
      <x:c r="S287" s="36"/>
      <x:c r="T287" s="44"/>
      <x:c r="U287" s="36" t="n">
        <x:v>27</x:v>
      </x:c>
      <x:c r="V287" s="36" t="n">
        <x:v>0</x:v>
      </x:c>
      <x:c r="W287" s="44"/>
      <x:c r="X287" s="36"/>
      <x:c r="Y287" s="36"/>
      <x:c r="Z287" s="44"/>
      <x:c r="AA287" s="49"/>
      <x:c r="AB287" s="43" t="n">
        <x:v>2</x:v>
      </x:c>
      <x:c r="AC287" s="34"/>
      <x:c r="AD287" s="34"/>
      <x:c r="AE287" s="34" t="str">
        <x:v>article1-unified-v4-2-fb3f101b-20260903-000401-default-f02-p1-ehcache-5-after-final-undeploy-early-2s-thread-dump.txt</x:v>
      </x:c>
      <x:c r="AF287" s="34" t="str">
        <x:v>article1-unified-v4-2-fb3f101b-20260903-000401-default-f02-p1-ehcache-5-after-final-undeploy-early-tomcat-log.txt</x:v>
      </x:c>
      <x:c r="AG287" s="34"/>
      <x:c r="AH287" s="34"/>
      <x:c r="AI287" s="34"/>
    </x:row>
    <x:row r="288">
      <x:c r="A288" s="34" t="str">
        <x:v>article1-unified-v4-2-fb3f101b-20260903-000401-default-f02-p1-ehcache</x:v>
      </x:c>
      <x:c r="B288" s="34" t="str">
        <x:v>default</x:v>
      </x:c>
      <x:c r="C288" s="34" t="str">
        <x:v>ehcache</x:v>
      </x:c>
      <x:c r="D288" s="34" t="str">
        <x:v>ehcache</x:v>
      </x:c>
      <x:c r="E288" s="36" t="n">
        <x:v>2</x:v>
      </x:c>
      <x:c r="F288" s="36" t="n">
        <x:v>2</x:v>
      </x:c>
      <x:c r="G288" s="36" t="n">
        <x:v>1</x:v>
      </x:c>
      <x:c r="H288" s="36" t="n">
        <x:v>5</x:v>
      </x:c>
      <x:c r="I288" s="34" t="str">
        <x:v>afterFinalUndeploy</x:v>
      </x:c>
      <x:c r="J288" s="34" t="str">
        <x:v>after-final-undeploy-final</x:v>
      </x:c>
      <x:c r="K288" s="36" t="n">
        <x:v>2</x:v>
      </x:c>
      <x:c r="L288" s="34" t="str">
        <x:v>final</x:v>
      </x:c>
      <x:c r="M288" s="34" t="str">
        <x:v>article1-unified-v4-2-fb3f101b-20260903-000401-default-f02-p1-ehcache-5-after-final-undeploy-final-10s</x:v>
      </x:c>
      <x:c r="N288" s="38" t="n">
        <x:v>46267.962932766204</x:v>
      </x:c>
      <x:c r="O288" s="36" t="n">
        <x:v>2</x:v>
      </x:c>
      <x:c r="P288" s="43" t="n">
        <x:v>16103424</x:v>
      </x:c>
      <x:c r="Q288" s="43" t="n">
        <x:v>268435456</x:v>
      </x:c>
      <x:c r="R288" s="43" t="n">
        <x:v>431344640</x:v>
      </x:c>
      <x:c r="S288" s="36" t="n">
        <x:v>2</x:v>
      </x:c>
      <x:c r="T288" s="44" t="str">
        <x:v>0x00000000821177b8  0x0000000082003818  0x0000716f68616890       0         0         0  org.apache.catalina.loader.ParallelWebappClassLoader | 0x00000000821177b8  0x0000000082003818  0x0000716ec01757e0    4859  22716416  22702088  org.apache.catalina.loader.ParallelWebappClassLoader</x:v>
      </x:c>
      <x:c r="U288" s="36" t="n">
        <x:v>27</x:v>
      </x:c>
      <x:c r="V288" s="36" t="n">
        <x:v>0</x:v>
      </x:c>
      <x:c r="W288" s="44"/>
      <x:c r="X288" s="36" t="n">
        <x:v>1</x:v>
      </x:c>
      <x:c r="Y288" s="36" t="n">
        <x:v>1</x:v>
      </x:c>
      <x:c r="Z288" s="44" t="str">
        <x:v>/ehcache</x:v>
      </x:c>
      <x:c r="AA288" s="45" t="b">
        <x:v>1</x:v>
      </x:c>
      <x:c r="AB288" s="43"/>
      <x:c r="AC288" s="34" t="str">
        <x:v>article1-unified-v4-2-fb3f101b-20260903-000401-default-f02-p1-ehcache-5-after-final-undeploy-final-10s-heap-info.txt</x:v>
      </x:c>
      <x:c r="AD288" s="34" t="str">
        <x:v>article1-unified-v4-2-fb3f101b-20260903-000401-default-f02-p1-ehcache-5-after-final-undeploy-final-10s-classloader-stats.txt</x:v>
      </x:c>
      <x:c r="AE288" s="34" t="str">
        <x:v>article1-unified-v4-2-fb3f101b-20260903-000401-default-f02-p1-ehcache-5-after-final-undeploy-final-10s-thread-dump.txt</x:v>
      </x:c>
      <x:c r="AF288" s="34"/>
      <x:c r="AG288" s="34" t="str">
        <x:v>article1-unified-v4-2-fb3f101b-20260903-000401-default-f02-p1-ehcache-5-after-final-undeploy-final-10s-native-memory.txt</x:v>
      </x:c>
      <x:c r="AH288" s="34" t="str">
        <x:v>article1-unified-v4-2-fb3f101b-20260903-000401-default-f02-p1-ehcache-5-after-final-undeploy-final-10s-class-histogram.txt</x:v>
      </x:c>
      <x:c r="AI288" s="34" t="str">
        <x:v>article1-unified-v4-2-fb3f101b-20260903-000401-default-f02-p1-ehcache-5-after-final-undeploy-tomcat-findleaks.txt</x:v>
      </x:c>
    </x:row>
    <x:row r="289">
      <x:c r="A289" s="34" t="str">
        <x:v>article1-unified-v4-2-fb3f101b-20260903-000401-default-f02-p2-cache2k</x:v>
      </x:c>
      <x:c r="B289" s="34" t="str">
        <x:v>default</x:v>
      </x:c>
      <x:c r="C289" s="34" t="str">
        <x:v>cache2k</x:v>
      </x:c>
      <x:c r="D289" s="34" t="str">
        <x:v>cache2k</x:v>
      </x:c>
      <x:c r="E289" s="36" t="n">
        <x:v>2</x:v>
      </x:c>
      <x:c r="F289" s="36" t="n">
        <x:v>2</x:v>
      </x:c>
      <x:c r="G289" s="36" t="n">
        <x:v>2</x:v>
      </x:c>
      <x:c r="H289" s="36" t="n">
        <x:v>0</x:v>
      </x:c>
      <x:c r="I289" s="34" t="str">
        <x:v>processBaseline</x:v>
      </x:c>
      <x:c r="J289" s="34" t="str">
        <x:v>process-baseline</x:v>
      </x:c>
      <x:c r="K289" s="36" t="n">
        <x:v>0</x:v>
      </x:c>
      <x:c r="L289" s="34" t="str">
        <x:v>baseline</x:v>
      </x:c>
      <x:c r="M289" s="34" t="str">
        <x:v>article1-unified-v4-2-fb3f101b-20260903-000401-default-f02-p2-cache2k-process-baseline</x:v>
      </x:c>
      <x:c r="N289" s="38" t="n">
        <x:v>46267.963180520834</x:v>
      </x:c>
      <x:c r="O289" s="36" t="n">
        <x:v>0</x:v>
      </x:c>
      <x:c r="P289" s="43" t="n">
        <x:v>32787456</x:v>
      </x:c>
      <x:c r="Q289" s="43" t="n">
        <x:v>270532608</x:v>
      </x:c>
      <x:c r="R289" s="43" t="n">
        <x:v>369286144</x:v>
      </x:c>
      <x:c r="S289" s="36" t="n">
        <x:v>1</x:v>
      </x:c>
      <x:c r="T289" s="44" t="str">
        <x:v>0x000000000e1177b8  0x000000000e003818  0x000075c84c60d540       0         0         0  org.apache.catalina.loader.ParallelWebappClassLoader</x:v>
      </x:c>
      <x:c r="U289" s="36" t="n">
        <x:v>27</x:v>
      </x:c>
      <x:c r="V289" s="36" t="n">
        <x:v>0</x:v>
      </x:c>
      <x:c r="W289" s="44"/>
      <x:c r="X289" s="36"/>
      <x:c r="Y289" s="36"/>
      <x:c r="Z289" s="44"/>
      <x:c r="AA289" s="49"/>
      <x:c r="AB289" s="43"/>
      <x:c r="AC289" s="34" t="str">
        <x:v>article1-unified-v4-2-fb3f101b-20260903-000401-default-f02-p2-cache2k-process-baseline-heap-info.txt</x:v>
      </x:c>
      <x:c r="AD289" s="34" t="str">
        <x:v>article1-unified-v4-2-fb3f101b-20260903-000401-default-f02-p2-cache2k-process-baseline-classloader-stats.txt</x:v>
      </x:c>
      <x:c r="AE289" s="34" t="str">
        <x:v>article1-unified-v4-2-fb3f101b-20260903-000401-default-f02-p2-cache2k-process-baseline-thread-dump.txt</x:v>
      </x:c>
      <x:c r="AF289" s="34"/>
      <x:c r="AG289" s="34" t="str">
        <x:v>article1-unified-v4-2-fb3f101b-20260903-000401-default-f02-p2-cache2k-process-baseline-native-memory.txt</x:v>
      </x:c>
      <x:c r="AH289" s="34"/>
      <x:c r="AI289" s="34"/>
    </x:row>
    <x:row r="290">
      <x:c r="A290" s="34" t="str">
        <x:v>article1-unified-v4-2-fb3f101b-20260903-000401-default-f02-p2-cache2k</x:v>
      </x:c>
      <x:c r="B290" s="34" t="str">
        <x:v>default</x:v>
      </x:c>
      <x:c r="C290" s="34" t="str">
        <x:v>cache2k</x:v>
      </x:c>
      <x:c r="D290" s="34" t="str">
        <x:v>cache2k</x:v>
      </x:c>
      <x:c r="E290" s="36" t="n">
        <x:v>2</x:v>
      </x:c>
      <x:c r="F290" s="36" t="n">
        <x:v>2</x:v>
      </x:c>
      <x:c r="G290" s="36" t="n">
        <x:v>2</x:v>
      </x:c>
      <x:c r="H290" s="36" t="n">
        <x:v>1</x:v>
      </x:c>
      <x:c r="I290" s="34" t="str">
        <x:v>baseline</x:v>
      </x:c>
      <x:c r="J290" s="34" t="str">
        <x:v>cycle-baseline</x:v>
      </x:c>
      <x:c r="K290" s="36" t="n">
        <x:v>0</x:v>
      </x:c>
      <x:c r="L290" s="34" t="str">
        <x:v>baseline</x:v>
      </x:c>
      <x:c r="M290" s="34" t="str">
        <x:v>article1-unified-v4-2-fb3f101b-20260903-000401-default-f02-p2-cache2k-1-baseline</x:v>
      </x:c>
      <x:c r="N290" s="38" t="n">
        <x:v>46267.96337518519</x:v>
      </x:c>
      <x:c r="O290" s="36" t="n">
        <x:v>0</x:v>
      </x:c>
      <x:c r="P290" s="43" t="n">
        <x:v>32787456</x:v>
      </x:c>
      <x:c r="Q290" s="43" t="n">
        <x:v>270532608</x:v>
      </x:c>
      <x:c r="R290" s="43" t="n">
        <x:v>369870848</x:v>
      </x:c>
      <x:c r="S290" s="36" t="n">
        <x:v>1</x:v>
      </x:c>
      <x:c r="T290" s="44" t="str">
        <x:v>0x000000000e1177b8  0x000000000e003818  0x000075c84c60d540       0         0         0  org.apache.catalina.loader.ParallelWebappClassLoader</x:v>
      </x:c>
      <x:c r="U290" s="36" t="n">
        <x:v>27</x:v>
      </x:c>
      <x:c r="V290" s="36" t="n">
        <x:v>0</x:v>
      </x:c>
      <x:c r="W290" s="44"/>
      <x:c r="X290" s="36"/>
      <x:c r="Y290" s="36"/>
      <x:c r="Z290" s="44"/>
      <x:c r="AA290" s="49"/>
      <x:c r="AB290" s="43"/>
      <x:c r="AC290" s="34" t="str">
        <x:v>article1-unified-v4-2-fb3f101b-20260903-000401-default-f02-p2-cache2k-1-baseline-heap-info.txt</x:v>
      </x:c>
      <x:c r="AD290" s="34" t="str">
        <x:v>article1-unified-v4-2-fb3f101b-20260903-000401-default-f02-p2-cache2k-1-baseline-classloader-stats.txt</x:v>
      </x:c>
      <x:c r="AE290" s="34" t="str">
        <x:v>article1-unified-v4-2-fb3f101b-20260903-000401-default-f02-p2-cache2k-1-baseline-thread-dump.txt</x:v>
      </x:c>
      <x:c r="AF290" s="34"/>
      <x:c r="AG290" s="34" t="str">
        <x:v>article1-unified-v4-2-fb3f101b-20260903-000401-default-f02-p2-cache2k-1-baseline-native-memory.txt</x:v>
      </x:c>
      <x:c r="AH290" s="34"/>
      <x:c r="AI290" s="34"/>
    </x:row>
    <x:row r="291">
      <x:c r="A291" s="34" t="str">
        <x:v>article1-unified-v4-2-fb3f101b-20260903-000401-default-f02-p2-cache2k</x:v>
      </x:c>
      <x:c r="B291" s="34" t="str">
        <x:v>default</x:v>
      </x:c>
      <x:c r="C291" s="34" t="str">
        <x:v>cache2k</x:v>
      </x:c>
      <x:c r="D291" s="34" t="str">
        <x:v>cache2k</x:v>
      </x:c>
      <x:c r="E291" s="36" t="n">
        <x:v>2</x:v>
      </x:c>
      <x:c r="F291" s="36" t="n">
        <x:v>2</x:v>
      </x:c>
      <x:c r="G291" s="36" t="n">
        <x:v>2</x:v>
      </x:c>
      <x:c r="H291" s="36" t="n">
        <x:v>1</x:v>
      </x:c>
      <x:c r="I291" s="34" t="str">
        <x:v>deployedIdle</x:v>
      </x:c>
      <x:c r="J291" s="34" t="str">
        <x:v>deployed-idle</x:v>
      </x:c>
      <x:c r="K291" s="36" t="n">
        <x:v>0</x:v>
      </x:c>
      <x:c r="L291" s="34" t="str">
        <x:v>initial</x:v>
      </x:c>
      <x:c r="M291" s="34" t="str">
        <x:v>article1-unified-v4-2-fb3f101b-20260903-000401-default-f02-p2-cache2k-1-deployed-idle</x:v>
      </x:c>
      <x:c r="N291" s="38" t="n">
        <x:v>46267.96348435185</x:v>
      </x:c>
      <x:c r="O291" s="36" t="n">
        <x:v>0</x:v>
      </x:c>
      <x:c r="P291" s="43" t="n">
        <x:v>23333888</x:v>
      </x:c>
      <x:c r="Q291" s="43" t="n">
        <x:v>268435456</x:v>
      </x:c>
      <x:c r="R291" s="43" t="n">
        <x:v>426915840</x:v>
      </x:c>
      <x:c r="S291" s="36" t="n">
        <x:v>2</x:v>
      </x:c>
      <x:c r="T291" s="44" t="str">
        <x:v>0x000000000e1177b8  0x000000000e003818  0x000075c7a404d950    4091  19433472  19410240  org.apache.catalina.loader.ParallelWebappClassLoader | 0x000000000e1177b8  0x000000000e003818  0x000075c84c60d540       0         0         0  org.apache.catalina.loader.ParallelWebappClassLoader</x:v>
      </x:c>
      <x:c r="U291" s="36" t="n">
        <x:v>27</x:v>
      </x:c>
      <x:c r="V291" s="36" t="n">
        <x:v>0</x:v>
      </x:c>
      <x:c r="W291" s="44"/>
      <x:c r="X291" s="36"/>
      <x:c r="Y291" s="36"/>
      <x:c r="Z291" s="44"/>
      <x:c r="AA291" s="49"/>
      <x:c r="AB291" s="43"/>
      <x:c r="AC291" s="34"/>
      <x:c r="AD291" s="34"/>
      <x:c r="AE291" s="34"/>
      <x:c r="AF291" s="34"/>
      <x:c r="AG291" s="34"/>
      <x:c r="AH291" s="34"/>
      <x:c r="AI291" s="34"/>
    </x:row>
    <x:row r="292">
      <x:c r="A292" s="34" t="str">
        <x:v>article1-unified-v4-2-fb3f101b-20260903-000401-default-f02-p2-cache2k</x:v>
      </x:c>
      <x:c r="B292" s="34" t="str">
        <x:v>default</x:v>
      </x:c>
      <x:c r="C292" s="34" t="str">
        <x:v>cache2k</x:v>
      </x:c>
      <x:c r="D292" s="34" t="str">
        <x:v>cache2k</x:v>
      </x:c>
      <x:c r="E292" s="36" t="n">
        <x:v>2</x:v>
      </x:c>
      <x:c r="F292" s="36" t="n">
        <x:v>2</x:v>
      </x:c>
      <x:c r="G292" s="36" t="n">
        <x:v>2</x:v>
      </x:c>
      <x:c r="H292" s="36" t="n">
        <x:v>1</x:v>
      </x:c>
      <x:c r="I292" s="34" t="str">
        <x:v>loaded</x:v>
      </x:c>
      <x:c r="J292" s="34" t="str">
        <x:v>loaded</x:v>
      </x:c>
      <x:c r="K292" s="36" t="n">
        <x:v>0</x:v>
      </x:c>
      <x:c r="L292" s="34" t="str">
        <x:v>initial</x:v>
      </x:c>
      <x:c r="M292" s="34" t="str">
        <x:v>article1-unified-v4-2-fb3f101b-20260903-000401-default-f02-p2-cache2k-1-loaded</x:v>
      </x:c>
      <x:c r="N292" s="38" t="n">
        <x:v>46267.96363681713</x:v>
      </x:c>
      <x:c r="O292" s="36" t="n">
        <x:v>0</x:v>
      </x:c>
      <x:c r="P292" s="43" t="n">
        <x:v>218457088</x:v>
      </x:c>
      <x:c r="Q292" s="43" t="n">
        <x:v>268435456</x:v>
      </x:c>
      <x:c r="R292" s="43" t="n">
        <x:v>411029504</x:v>
      </x:c>
      <x:c r="S292" s="36" t="n">
        <x:v>2</x:v>
      </x:c>
      <x:c r="T292" s="44" t="str">
        <x:v>0x000000000e1177b8  0x000000000e003818  0x000075c7a404d950    4449  21224448  21212400  org.apache.catalina.loader.ParallelWebappClassLoader | 0x000000000e1177b8  0x000000000e003818  0x000075c84c60d540       0         0         0  org.apache.catalina.loader.ParallelWebappClassLoader</x:v>
      </x:c>
      <x:c r="U292" s="36" t="n">
        <x:v>28</x:v>
      </x:c>
      <x:c r="V292" s="36" t="n">
        <x:v>0</x:v>
      </x:c>
      <x:c r="W292" s="44"/>
      <x:c r="X292" s="36"/>
      <x:c r="Y292" s="36"/>
      <x:c r="Z292" s="44"/>
      <x:c r="AA292" s="49"/>
      <x:c r="AB292" s="43"/>
      <x:c r="AC292" s="34"/>
      <x:c r="AD292" s="34"/>
      <x:c r="AE292" s="34"/>
      <x:c r="AF292" s="34"/>
      <x:c r="AG292" s="34"/>
      <x:c r="AH292" s="34"/>
      <x:c r="AI292" s="34"/>
    </x:row>
    <x:row r="293">
      <x:c r="A293" s="34" t="str">
        <x:v>article1-unified-v4-2-fb3f101b-20260903-000401-default-f02-p2-cache2k</x:v>
      </x:c>
      <x:c r="B293" s="34" t="str">
        <x:v>default</x:v>
      </x:c>
      <x:c r="C293" s="34" t="str">
        <x:v>cache2k</x:v>
      </x:c>
      <x:c r="D293" s="34" t="str">
        <x:v>cache2k</x:v>
      </x:c>
      <x:c r="E293" s="36" t="n">
        <x:v>2</x:v>
      </x:c>
      <x:c r="F293" s="36" t="n">
        <x:v>2</x:v>
      </x:c>
      <x:c r="G293" s="36" t="n">
        <x:v>2</x:v>
      </x:c>
      <x:c r="H293" s="36" t="n">
        <x:v>1</x:v>
      </x:c>
      <x:c r="I293" s="34" t="str">
        <x:v>afterUndeployEarly</x:v>
      </x:c>
      <x:c r="J293" s="34" t="str">
        <x:v>after-undeploy-early</x:v>
      </x:c>
      <x:c r="K293" s="36" t="n">
        <x:v>1</x:v>
      </x:c>
      <x:c r="L293" s="34" t="str">
        <x:v>early</x:v>
      </x:c>
      <x:c r="M293" s="34" t="str">
        <x:v>article1-unified-v4-2-fb3f101b-20260903-000401-default-f02-p2-cache2k-1-after-undeploy-early-2s</x:v>
      </x:c>
      <x:c r="N293" s="38" t="n">
        <x:v>46267.96372074074</x:v>
      </x:c>
      <x:c r="O293" s="36"/>
      <x:c r="P293" s="43"/>
      <x:c r="Q293" s="43"/>
      <x:c r="R293" s="43"/>
      <x:c r="S293" s="36"/>
      <x:c r="T293" s="44"/>
      <x:c r="U293" s="36" t="n">
        <x:v>27</x:v>
      </x:c>
      <x:c r="V293" s="36" t="n">
        <x:v>0</x:v>
      </x:c>
      <x:c r="W293" s="44"/>
      <x:c r="X293" s="36"/>
      <x:c r="Y293" s="36"/>
      <x:c r="Z293" s="44"/>
      <x:c r="AA293" s="49"/>
      <x:c r="AB293" s="43" t="n">
        <x:v>1</x:v>
      </x:c>
      <x:c r="AC293" s="34"/>
      <x:c r="AD293" s="34"/>
      <x:c r="AE293" s="34" t="str">
        <x:v>article1-unified-v4-2-fb3f101b-20260903-000401-default-f02-p2-cache2k-1-after-undeploy-early-2s-thread-dump.txt</x:v>
      </x:c>
      <x:c r="AF293" s="34" t="str">
        <x:v>article1-unified-v4-2-fb3f101b-20260903-000401-default-f02-p2-cache2k-1-after-undeploy-early-tomcat-log.txt</x:v>
      </x:c>
      <x:c r="AG293" s="34"/>
      <x:c r="AH293" s="34"/>
      <x:c r="AI293" s="34"/>
    </x:row>
    <x:row r="294">
      <x:c r="A294" s="34" t="str">
        <x:v>article1-unified-v4-2-fb3f101b-20260903-000401-default-f02-p2-cache2k</x:v>
      </x:c>
      <x:c r="B294" s="34" t="str">
        <x:v>default</x:v>
      </x:c>
      <x:c r="C294" s="34" t="str">
        <x:v>cache2k</x:v>
      </x:c>
      <x:c r="D294" s="34" t="str">
        <x:v>cache2k</x:v>
      </x:c>
      <x:c r="E294" s="36" t="n">
        <x:v>2</x:v>
      </x:c>
      <x:c r="F294" s="36" t="n">
        <x:v>2</x:v>
      </x:c>
      <x:c r="G294" s="36" t="n">
        <x:v>2</x:v>
      </x:c>
      <x:c r="H294" s="36" t="n">
        <x:v>1</x:v>
      </x:c>
      <x:c r="I294" s="34" t="str">
        <x:v>afterUndeploy</x:v>
      </x:c>
      <x:c r="J294" s="34" t="str">
        <x:v>after-undeploy-final</x:v>
      </x:c>
      <x:c r="K294" s="36" t="n">
        <x:v>1</x:v>
      </x:c>
      <x:c r="L294" s="34" t="str">
        <x:v>final</x:v>
      </x:c>
      <x:c r="M294" s="34" t="str">
        <x:v>article1-unified-v4-2-fb3f101b-20260903-000401-default-f02-p2-cache2k-1-after-undeploy-final-10s</x:v>
      </x:c>
      <x:c r="N294" s="38" t="n">
        <x:v>46267.96388131945</x:v>
      </x:c>
      <x:c r="O294" s="36" t="n">
        <x:v>2</x:v>
      </x:c>
      <x:c r="P294" s="43" t="n">
        <x:v>15722496</x:v>
      </x:c>
      <x:c r="Q294" s="43" t="n">
        <x:v>268435456</x:v>
      </x:c>
      <x:c r="R294" s="43" t="n">
        <x:v>409517056</x:v>
      </x:c>
      <x:c r="S294" s="36" t="n">
        <x:v>2</x:v>
      </x:c>
      <x:c r="T294" s="44" t="str">
        <x:v>0x000000000e1177b8  0x000000000e003818  0x000075c7a404d950    4459  21259264  21241304  org.apache.catalina.loader.ParallelWebappClassLoader | 0x000000000e1177b8  0x000000000e003818  0x000075c84c60d540       0         0         0  org.apache.catalina.loader.ParallelWebappClassLoader</x:v>
      </x:c>
      <x:c r="U294" s="36" t="n">
        <x:v>27</x:v>
      </x:c>
      <x:c r="V294" s="36" t="n">
        <x:v>0</x:v>
      </x:c>
      <x:c r="W294" s="44"/>
      <x:c r="X294" s="36" t="n">
        <x:v>1</x:v>
      </x:c>
      <x:c r="Y294" s="36" t="n">
        <x:v>1</x:v>
      </x:c>
      <x:c r="Z294" s="44" t="str">
        <x:v>/cache2k</x:v>
      </x:c>
      <x:c r="AA294" s="45" t="b">
        <x:v>1</x:v>
      </x:c>
      <x:c r="AB294" s="43"/>
      <x:c r="AC294" s="34" t="str">
        <x:v>article1-unified-v4-2-fb3f101b-20260903-000401-default-f02-p2-cache2k-1-after-undeploy-final-10s-heap-info.txt</x:v>
      </x:c>
      <x:c r="AD294" s="34" t="str">
        <x:v>article1-unified-v4-2-fb3f101b-20260903-000401-default-f02-p2-cache2k-1-after-undeploy-final-10s-classloader-stats.txt</x:v>
      </x:c>
      <x:c r="AE294" s="34" t="str">
        <x:v>article1-unified-v4-2-fb3f101b-20260903-000401-default-f02-p2-cache2k-1-after-undeploy-final-10s-thread-dump.txt</x:v>
      </x:c>
      <x:c r="AF294" s="34"/>
      <x:c r="AG294" s="34" t="str">
        <x:v>article1-unified-v4-2-fb3f101b-20260903-000401-default-f02-p2-cache2k-1-after-undeploy-final-10s-native-memory.txt</x:v>
      </x:c>
      <x:c r="AH294" s="34" t="str">
        <x:v>article1-unified-v4-2-fb3f101b-20260903-000401-default-f02-p2-cache2k-1-after-undeploy-final-10s-class-histogram.txt</x:v>
      </x:c>
      <x:c r="AI294" s="34" t="str">
        <x:v>article1-unified-v4-2-fb3f101b-20260903-000401-default-f02-p2-cache2k-1-after-undeploy-tomcat-findleaks.txt</x:v>
      </x:c>
    </x:row>
    <x:row r="295">
      <x:c r="A295" s="34" t="str">
        <x:v>article1-unified-v4-2-fb3f101b-20260903-000401-default-f02-p2-cache2k</x:v>
      </x:c>
      <x:c r="B295" s="34" t="str">
        <x:v>default</x:v>
      </x:c>
      <x:c r="C295" s="34" t="str">
        <x:v>cache2k</x:v>
      </x:c>
      <x:c r="D295" s="34" t="str">
        <x:v>cache2k</x:v>
      </x:c>
      <x:c r="E295" s="36" t="n">
        <x:v>2</x:v>
      </x:c>
      <x:c r="F295" s="36" t="n">
        <x:v>2</x:v>
      </x:c>
      <x:c r="G295" s="36" t="n">
        <x:v>2</x:v>
      </x:c>
      <x:c r="H295" s="36" t="n">
        <x:v>1</x:v>
      </x:c>
      <x:c r="I295" s="34" t="str">
        <x:v>redeployedLoaded</x:v>
      </x:c>
      <x:c r="J295" s="34" t="str">
        <x:v>redeployed-loaded</x:v>
      </x:c>
      <x:c r="K295" s="36" t="n">
        <x:v>0</x:v>
      </x:c>
      <x:c r="L295" s="34" t="str">
        <x:v>redeploy</x:v>
      </x:c>
      <x:c r="M295" s="34" t="str">
        <x:v>article1-unified-v4-2-fb3f101b-20260903-000401-default-f02-p2-cache2k-1-redeployed-loaded</x:v>
      </x:c>
      <x:c r="N295" s="38" t="n">
        <x:v>46267.96414456019</x:v>
      </x:c>
      <x:c r="O295" s="36" t="n">
        <x:v>0</x:v>
      </x:c>
      <x:c r="P295" s="43" t="n">
        <x:v>92002304</x:v>
      </x:c>
      <x:c r="Q295" s="43" t="n">
        <x:v>268435456</x:v>
      </x:c>
      <x:c r="R295" s="43" t="n">
        <x:v>437472256</x:v>
      </x:c>
      <x:c r="S295" s="36" t="n">
        <x:v>3</x:v>
      </x:c>
      <x:c r="T295" s="44" t="str">
        <x:v>0x000000000e1177b8  0x000000000e003818  0x000075c7a404d950    4459  21259264  21241304  org.apache.catalina.loader.ParallelWebappClassLoader | 0x000000000e1177b8  0x000000000e003818  0x000075c84c60d540       0         0         0  org.apache.catalina.loader.ParallelWebappClassLoader | 0x000000000e1177b8  0x000000000e003818  0x000075c7bc011280    4442  21296128  21269800  org.apache.catalina.loader.ParallelWebappClassLoader</x:v>
      </x:c>
      <x:c r="U295" s="36" t="n">
        <x:v>28</x:v>
      </x:c>
      <x:c r="V295" s="36" t="n">
        <x:v>0</x:v>
      </x:c>
      <x:c r="W295" s="44"/>
      <x:c r="X295" s="36"/>
      <x:c r="Y295" s="36"/>
      <x:c r="Z295" s="44"/>
      <x:c r="AA295" s="49"/>
      <x:c r="AB295" s="43"/>
      <x:c r="AC295" s="34"/>
      <x:c r="AD295" s="34"/>
      <x:c r="AE295" s="34"/>
      <x:c r="AF295" s="34"/>
      <x:c r="AG295" s="34"/>
      <x:c r="AH295" s="34"/>
      <x:c r="AI295" s="34"/>
    </x:row>
    <x:row r="296">
      <x:c r="A296" s="34" t="str">
        <x:v>article1-unified-v4-2-fb3f101b-20260903-000401-default-f02-p2-cache2k</x:v>
      </x:c>
      <x:c r="B296" s="34" t="str">
        <x:v>default</x:v>
      </x:c>
      <x:c r="C296" s="34" t="str">
        <x:v>cache2k</x:v>
      </x:c>
      <x:c r="D296" s="34" t="str">
        <x:v>cache2k</x:v>
      </x:c>
      <x:c r="E296" s="36" t="n">
        <x:v>2</x:v>
      </x:c>
      <x:c r="F296" s="36" t="n">
        <x:v>2</x:v>
      </x:c>
      <x:c r="G296" s="36" t="n">
        <x:v>2</x:v>
      </x:c>
      <x:c r="H296" s="36" t="n">
        <x:v>1</x:v>
      </x:c>
      <x:c r="I296" s="34" t="str">
        <x:v>afterFinalUndeployEarly</x:v>
      </x:c>
      <x:c r="J296" s="34" t="str">
        <x:v>after-final-undeploy-early</x:v>
      </x:c>
      <x:c r="K296" s="36" t="n">
        <x:v>2</x:v>
      </x:c>
      <x:c r="L296" s="34" t="str">
        <x:v>early</x:v>
      </x:c>
      <x:c r="M296" s="34" t="str">
        <x:v>article1-unified-v4-2-fb3f101b-20260903-000401-default-f02-p2-cache2k-1-after-final-undeploy-early-2s</x:v>
      </x:c>
      <x:c r="N296" s="38" t="n">
        <x:v>46267.964229247686</x:v>
      </x:c>
      <x:c r="O296" s="36"/>
      <x:c r="P296" s="43"/>
      <x:c r="Q296" s="43"/>
      <x:c r="R296" s="43"/>
      <x:c r="S296" s="36"/>
      <x:c r="T296" s="44"/>
      <x:c r="U296" s="36" t="n">
        <x:v>27</x:v>
      </x:c>
      <x:c r="V296" s="36" t="n">
        <x:v>0</x:v>
      </x:c>
      <x:c r="W296" s="44"/>
      <x:c r="X296" s="36"/>
      <x:c r="Y296" s="36"/>
      <x:c r="Z296" s="44"/>
      <x:c r="AA296" s="49"/>
      <x:c r="AB296" s="43" t="n">
        <x:v>1</x:v>
      </x:c>
      <x:c r="AC296" s="34"/>
      <x:c r="AD296" s="34"/>
      <x:c r="AE296" s="34" t="str">
        <x:v>article1-unified-v4-2-fb3f101b-20260903-000401-default-f02-p2-cache2k-1-after-final-undeploy-early-2s-thread-dump.txt</x:v>
      </x:c>
      <x:c r="AF296" s="34" t="str">
        <x:v>article1-unified-v4-2-fb3f101b-20260903-000401-default-f02-p2-cache2k-1-after-final-undeploy-early-tomcat-log.txt</x:v>
      </x:c>
      <x:c r="AG296" s="34"/>
      <x:c r="AH296" s="34"/>
      <x:c r="AI296" s="34"/>
    </x:row>
    <x:row r="297">
      <x:c r="A297" s="34" t="str">
        <x:v>article1-unified-v4-2-fb3f101b-20260903-000401-default-f02-p2-cache2k</x:v>
      </x:c>
      <x:c r="B297" s="34" t="str">
        <x:v>default</x:v>
      </x:c>
      <x:c r="C297" s="34" t="str">
        <x:v>cache2k</x:v>
      </x:c>
      <x:c r="D297" s="34" t="str">
        <x:v>cache2k</x:v>
      </x:c>
      <x:c r="E297" s="36" t="n">
        <x:v>2</x:v>
      </x:c>
      <x:c r="F297" s="36" t="n">
        <x:v>2</x:v>
      </x:c>
      <x:c r="G297" s="36" t="n">
        <x:v>2</x:v>
      </x:c>
      <x:c r="H297" s="36" t="n">
        <x:v>1</x:v>
      </x:c>
      <x:c r="I297" s="34" t="str">
        <x:v>afterFinalUndeploy</x:v>
      </x:c>
      <x:c r="J297" s="34" t="str">
        <x:v>after-final-undeploy-final</x:v>
      </x:c>
      <x:c r="K297" s="36" t="n">
        <x:v>2</x:v>
      </x:c>
      <x:c r="L297" s="34" t="str">
        <x:v>final</x:v>
      </x:c>
      <x:c r="M297" s="34" t="str">
        <x:v>article1-unified-v4-2-fb3f101b-20260903-000401-default-f02-p2-cache2k-1-after-final-undeploy-final-10s</x:v>
      </x:c>
      <x:c r="N297" s="38" t="n">
        <x:v>46267.96438670139</x:v>
      </x:c>
      <x:c r="O297" s="36" t="n">
        <x:v>2</x:v>
      </x:c>
      <x:c r="P297" s="43" t="n">
        <x:v>15639552</x:v>
      </x:c>
      <x:c r="Q297" s="43" t="n">
        <x:v>268435456</x:v>
      </x:c>
      <x:c r="R297" s="43" t="n">
        <x:v>418244608</x:v>
      </x:c>
      <x:c r="S297" s="36" t="n">
        <x:v>2</x:v>
      </x:c>
      <x:c r="T297" s="44" t="str">
        <x:v>0x000000000e1177b8  0x000000000e003818  0x000075c84c60d540       0         0         0  org.apache.catalina.loader.ParallelWebappClassLoader | 0x000000000e1177b8  0x000000000e003818  0x000075c7bc011280    4452  21312512  21298688  org.apache.catalina.loader.ParallelWebappClassLoader</x:v>
      </x:c>
      <x:c r="U297" s="36" t="n">
        <x:v>27</x:v>
      </x:c>
      <x:c r="V297" s="36" t="n">
        <x:v>0</x:v>
      </x:c>
      <x:c r="W297" s="44"/>
      <x:c r="X297" s="36" t="n">
        <x:v>1</x:v>
      </x:c>
      <x:c r="Y297" s="36" t="n">
        <x:v>1</x:v>
      </x:c>
      <x:c r="Z297" s="44" t="str">
        <x:v>/cache2k</x:v>
      </x:c>
      <x:c r="AA297" s="45" t="b">
        <x:v>1</x:v>
      </x:c>
      <x:c r="AB297" s="43"/>
      <x:c r="AC297" s="34" t="str">
        <x:v>article1-unified-v4-2-fb3f101b-20260903-000401-default-f02-p2-cache2k-1-after-final-undeploy-final-10s-heap-info.txt</x:v>
      </x:c>
      <x:c r="AD297" s="34" t="str">
        <x:v>article1-unified-v4-2-fb3f101b-20260903-000401-default-f02-p2-cache2k-1-after-final-undeploy-final-10s-classloader-stats.txt</x:v>
      </x:c>
      <x:c r="AE297" s="34" t="str">
        <x:v>article1-unified-v4-2-fb3f101b-20260903-000401-default-f02-p2-cache2k-1-after-final-undeploy-final-10s-thread-dump.txt</x:v>
      </x:c>
      <x:c r="AF297" s="34"/>
      <x:c r="AG297" s="34" t="str">
        <x:v>article1-unified-v4-2-fb3f101b-20260903-000401-default-f02-p2-cache2k-1-after-final-undeploy-final-10s-native-memory.txt</x:v>
      </x:c>
      <x:c r="AH297" s="34" t="str">
        <x:v>article1-unified-v4-2-fb3f101b-20260903-000401-default-f02-p2-cache2k-1-after-final-undeploy-final-10s-class-histogram.txt</x:v>
      </x:c>
      <x:c r="AI297" s="34" t="str">
        <x:v>article1-unified-v4-2-fb3f101b-20260903-000401-default-f02-p2-cache2k-1-after-final-undeploy-tomcat-findleaks.txt</x:v>
      </x:c>
    </x:row>
    <x:row r="298">
      <x:c r="A298" s="34" t="str">
        <x:v>article1-unified-v4-2-fb3f101b-20260903-000401-default-f02-p2-cache2k</x:v>
      </x:c>
      <x:c r="B298" s="34" t="str">
        <x:v>default</x:v>
      </x:c>
      <x:c r="C298" s="34" t="str">
        <x:v>cache2k</x:v>
      </x:c>
      <x:c r="D298" s="34" t="str">
        <x:v>cache2k</x:v>
      </x:c>
      <x:c r="E298" s="36" t="n">
        <x:v>2</x:v>
      </x:c>
      <x:c r="F298" s="36" t="n">
        <x:v>2</x:v>
      </x:c>
      <x:c r="G298" s="36" t="n">
        <x:v>2</x:v>
      </x:c>
      <x:c r="H298" s="36" t="n">
        <x:v>2</x:v>
      </x:c>
      <x:c r="I298" s="34" t="str">
        <x:v>baseline</x:v>
      </x:c>
      <x:c r="J298" s="34" t="str">
        <x:v>cycle-baseline</x:v>
      </x:c>
      <x:c r="K298" s="36" t="n">
        <x:v>0</x:v>
      </x:c>
      <x:c r="L298" s="34" t="str">
        <x:v>baseline</x:v>
      </x:c>
      <x:c r="M298" s="34" t="str">
        <x:v>article1-unified-v4-2-fb3f101b-20260903-000401-default-f02-p2-cache2k-2-baseline</x:v>
      </x:c>
      <x:c r="N298" s="38" t="n">
        <x:v>46267.96443706018</x:v>
      </x:c>
      <x:c r="O298" s="36" t="n">
        <x:v>0</x:v>
      </x:c>
      <x:c r="P298" s="43" t="n">
        <x:v>15639552</x:v>
      </x:c>
      <x:c r="Q298" s="43" t="n">
        <x:v>268435456</x:v>
      </x:c>
      <x:c r="R298" s="43" t="n">
        <x:v>418243584</x:v>
      </x:c>
      <x:c r="S298" s="36" t="n">
        <x:v>2</x:v>
      </x:c>
      <x:c r="T298" s="44" t="str">
        <x:v>0x000000000e1177b8  0x000000000e003818  0x000075c84c60d540       0         0         0  org.apache.catalina.loader.ParallelWebappClassLoader | 0x000000000e1177b8  0x000000000e003818  0x000075c7bc011280    4452  21312512  21298688  org.apache.catalina.loader.ParallelWebappClassLoader</x:v>
      </x:c>
      <x:c r="U298" s="36" t="n">
        <x:v>27</x:v>
      </x:c>
      <x:c r="V298" s="36" t="n">
        <x:v>0</x:v>
      </x:c>
      <x:c r="W298" s="44"/>
      <x:c r="X298" s="36"/>
      <x:c r="Y298" s="36"/>
      <x:c r="Z298" s="44"/>
      <x:c r="AA298" s="49"/>
      <x:c r="AB298" s="43"/>
      <x:c r="AC298" s="34" t="str">
        <x:v>article1-unified-v4-2-fb3f101b-20260903-000401-default-f02-p2-cache2k-2-baseline-heap-info.txt</x:v>
      </x:c>
      <x:c r="AD298" s="34" t="str">
        <x:v>article1-unified-v4-2-fb3f101b-20260903-000401-default-f02-p2-cache2k-2-baseline-classloader-stats.txt</x:v>
      </x:c>
      <x:c r="AE298" s="34" t="str">
        <x:v>article1-unified-v4-2-fb3f101b-20260903-000401-default-f02-p2-cache2k-2-baseline-thread-dump.txt</x:v>
      </x:c>
      <x:c r="AF298" s="34"/>
      <x:c r="AG298" s="34" t="str">
        <x:v>article1-unified-v4-2-fb3f101b-20260903-000401-default-f02-p2-cache2k-2-baseline-native-memory.txt</x:v>
      </x:c>
      <x:c r="AH298" s="34"/>
      <x:c r="AI298" s="34"/>
    </x:row>
    <x:row r="299">
      <x:c r="A299" s="34" t="str">
        <x:v>article1-unified-v4-2-fb3f101b-20260903-000401-default-f02-p2-cache2k</x:v>
      </x:c>
      <x:c r="B299" s="34" t="str">
        <x:v>default</x:v>
      </x:c>
      <x:c r="C299" s="34" t="str">
        <x:v>cache2k</x:v>
      </x:c>
      <x:c r="D299" s="34" t="str">
        <x:v>cache2k</x:v>
      </x:c>
      <x:c r="E299" s="36" t="n">
        <x:v>2</x:v>
      </x:c>
      <x:c r="F299" s="36" t="n">
        <x:v>2</x:v>
      </x:c>
      <x:c r="G299" s="36" t="n">
        <x:v>2</x:v>
      </x:c>
      <x:c r="H299" s="36" t="n">
        <x:v>2</x:v>
      </x:c>
      <x:c r="I299" s="34" t="str">
        <x:v>deployedIdle</x:v>
      </x:c>
      <x:c r="J299" s="34" t="str">
        <x:v>deployed-idle</x:v>
      </x:c>
      <x:c r="K299" s="36" t="n">
        <x:v>0</x:v>
      </x:c>
      <x:c r="L299" s="34" t="str">
        <x:v>initial</x:v>
      </x:c>
      <x:c r="M299" s="34" t="str">
        <x:v>article1-unified-v4-2-fb3f101b-20260903-000401-default-f02-p2-cache2k-2-deployed-idle</x:v>
      </x:c>
      <x:c r="N299" s="38" t="n">
        <x:v>46267.96453650463</x:v>
      </x:c>
      <x:c r="O299" s="36" t="n">
        <x:v>0</x:v>
      </x:c>
      <x:c r="P299" s="43" t="n">
        <x:v>168980480</x:v>
      </x:c>
      <x:c r="Q299" s="43" t="n">
        <x:v>268435456</x:v>
      </x:c>
      <x:c r="R299" s="43" t="n">
        <x:v>454909952</x:v>
      </x:c>
      <x:c r="S299" s="36" t="n">
        <x:v>3</x:v>
      </x:c>
      <x:c r="T299" s="44" t="str">
        <x:v>0x000000000e1177b8  0x000000000e003818  0x000075c79818c5c0    4091  19461120  19432656  org.apache.catalina.loader.ParallelWebappClassLoader | 0x000000000e1177b8  0x000000000e003818  0x000075c84c60d540       0         0         0  org.apache.catalina.loader.ParallelWebappClassLoader | 0x000000000e1177b8  0x000000000e003818  0x000075c7bc011280    4452  21312512  21298688  org.apache.catalina.loader.ParallelWebappClassLoader</x:v>
      </x:c>
      <x:c r="U299" s="36" t="n">
        <x:v>28</x:v>
      </x:c>
      <x:c r="V299" s="36" t="n">
        <x:v>0</x:v>
      </x:c>
      <x:c r="W299" s="44"/>
      <x:c r="X299" s="36"/>
      <x:c r="Y299" s="36"/>
      <x:c r="Z299" s="44"/>
      <x:c r="AA299" s="49"/>
      <x:c r="AB299" s="43"/>
      <x:c r="AC299" s="34"/>
      <x:c r="AD299" s="34"/>
      <x:c r="AE299" s="34"/>
      <x:c r="AF299" s="34"/>
      <x:c r="AG299" s="34"/>
      <x:c r="AH299" s="34"/>
      <x:c r="AI299" s="34"/>
    </x:row>
    <x:row r="300">
      <x:c r="A300" s="34" t="str">
        <x:v>article1-unified-v4-2-fb3f101b-20260903-000401-default-f02-p2-cache2k</x:v>
      </x:c>
      <x:c r="B300" s="34" t="str">
        <x:v>default</x:v>
      </x:c>
      <x:c r="C300" s="34" t="str">
        <x:v>cache2k</x:v>
      </x:c>
      <x:c r="D300" s="34" t="str">
        <x:v>cache2k</x:v>
      </x:c>
      <x:c r="E300" s="36" t="n">
        <x:v>2</x:v>
      </x:c>
      <x:c r="F300" s="36" t="n">
        <x:v>2</x:v>
      </x:c>
      <x:c r="G300" s="36" t="n">
        <x:v>2</x:v>
      </x:c>
      <x:c r="H300" s="36" t="n">
        <x:v>2</x:v>
      </x:c>
      <x:c r="I300" s="34" t="str">
        <x:v>loaded</x:v>
      </x:c>
      <x:c r="J300" s="34" t="str">
        <x:v>loaded</x:v>
      </x:c>
      <x:c r="K300" s="36" t="n">
        <x:v>0</x:v>
      </x:c>
      <x:c r="L300" s="34" t="str">
        <x:v>initial</x:v>
      </x:c>
      <x:c r="M300" s="34" t="str">
        <x:v>article1-unified-v4-2-fb3f101b-20260903-000401-default-f02-p2-cache2k-2-loaded</x:v>
      </x:c>
      <x:c r="N300" s="38" t="n">
        <x:v>46267.964682349535</x:v>
      </x:c>
      <x:c r="O300" s="36" t="n">
        <x:v>0</x:v>
      </x:c>
      <x:c r="P300" s="43" t="n">
        <x:v>93498368</x:v>
      </x:c>
      <x:c r="Q300" s="43" t="n">
        <x:v>268435456</x:v>
      </x:c>
      <x:c r="R300" s="43" t="n">
        <x:v>440391680</x:v>
      </x:c>
      <x:c r="S300" s="36" t="n">
        <x:v>3</x:v>
      </x:c>
      <x:c r="T300" s="44" t="str">
        <x:v>0x000000000e1177b8  0x000000000e003818  0x000075c79818c5c0    4443  21279744  21265928  org.apache.catalina.loader.ParallelWebappClassLoader | 0x000000000e1177b8  0x000000000e003818  0x000075c84c60d540       0         0         0  org.apache.catalina.loader.ParallelWebappClassLoader | 0x000000000e1177b8  0x000000000e003818  0x000075c7bc011280    4452  21312512  21298688  org.apache.catalina.loader.ParallelWebappClassLoader</x:v>
      </x:c>
      <x:c r="U300" s="36" t="n">
        <x:v>29</x:v>
      </x:c>
      <x:c r="V300" s="36" t="n">
        <x:v>0</x:v>
      </x:c>
      <x:c r="W300" s="44"/>
      <x:c r="X300" s="36"/>
      <x:c r="Y300" s="36"/>
      <x:c r="Z300" s="44"/>
      <x:c r="AA300" s="49"/>
      <x:c r="AB300" s="43"/>
      <x:c r="AC300" s="34"/>
      <x:c r="AD300" s="34"/>
      <x:c r="AE300" s="34"/>
      <x:c r="AF300" s="34"/>
      <x:c r="AG300" s="34"/>
      <x:c r="AH300" s="34"/>
      <x:c r="AI300" s="34"/>
    </x:row>
    <x:row r="301">
      <x:c r="A301" s="34" t="str">
        <x:v>article1-unified-v4-2-fb3f101b-20260903-000401-default-f02-p2-cache2k</x:v>
      </x:c>
      <x:c r="B301" s="34" t="str">
        <x:v>default</x:v>
      </x:c>
      <x:c r="C301" s="34" t="str">
        <x:v>cache2k</x:v>
      </x:c>
      <x:c r="D301" s="34" t="str">
        <x:v>cache2k</x:v>
      </x:c>
      <x:c r="E301" s="36" t="n">
        <x:v>2</x:v>
      </x:c>
      <x:c r="F301" s="36" t="n">
        <x:v>2</x:v>
      </x:c>
      <x:c r="G301" s="36" t="n">
        <x:v>2</x:v>
      </x:c>
      <x:c r="H301" s="36" t="n">
        <x:v>2</x:v>
      </x:c>
      <x:c r="I301" s="34" t="str">
        <x:v>afterUndeployEarly</x:v>
      </x:c>
      <x:c r="J301" s="34" t="str">
        <x:v>after-undeploy-early</x:v>
      </x:c>
      <x:c r="K301" s="36" t="n">
        <x:v>1</x:v>
      </x:c>
      <x:c r="L301" s="34" t="str">
        <x:v>early</x:v>
      </x:c>
      <x:c r="M301" s="34" t="str">
        <x:v>article1-unified-v4-2-fb3f101b-20260903-000401-default-f02-p2-cache2k-2-after-undeploy-early-2s</x:v>
      </x:c>
      <x:c r="N301" s="38" t="n">
        <x:v>46267.96476436342</x:v>
      </x:c>
      <x:c r="O301" s="36"/>
      <x:c r="P301" s="43"/>
      <x:c r="Q301" s="43"/>
      <x:c r="R301" s="43"/>
      <x:c r="S301" s="36"/>
      <x:c r="T301" s="44"/>
      <x:c r="U301" s="36" t="n">
        <x:v>27</x:v>
      </x:c>
      <x:c r="V301" s="36" t="n">
        <x:v>0</x:v>
      </x:c>
      <x:c r="W301" s="44"/>
      <x:c r="X301" s="36"/>
      <x:c r="Y301" s="36"/>
      <x:c r="Z301" s="44"/>
      <x:c r="AA301" s="49"/>
      <x:c r="AB301" s="43" t="n">
        <x:v>1</x:v>
      </x:c>
      <x:c r="AC301" s="34"/>
      <x:c r="AD301" s="34"/>
      <x:c r="AE301" s="34" t="str">
        <x:v>article1-unified-v4-2-fb3f101b-20260903-000401-default-f02-p2-cache2k-2-after-undeploy-early-2s-thread-dump.txt</x:v>
      </x:c>
      <x:c r="AF301" s="34" t="str">
        <x:v>article1-unified-v4-2-fb3f101b-20260903-000401-default-f02-p2-cache2k-2-after-undeploy-early-tomcat-log.txt</x:v>
      </x:c>
      <x:c r="AG301" s="34"/>
      <x:c r="AH301" s="34"/>
      <x:c r="AI301" s="34"/>
    </x:row>
    <x:row r="302">
      <x:c r="A302" s="34" t="str">
        <x:v>article1-unified-v4-2-fb3f101b-20260903-000401-default-f02-p2-cache2k</x:v>
      </x:c>
      <x:c r="B302" s="34" t="str">
        <x:v>default</x:v>
      </x:c>
      <x:c r="C302" s="34" t="str">
        <x:v>cache2k</x:v>
      </x:c>
      <x:c r="D302" s="34" t="str">
        <x:v>cache2k</x:v>
      </x:c>
      <x:c r="E302" s="36" t="n">
        <x:v>2</x:v>
      </x:c>
      <x:c r="F302" s="36" t="n">
        <x:v>2</x:v>
      </x:c>
      <x:c r="G302" s="36" t="n">
        <x:v>2</x:v>
      </x:c>
      <x:c r="H302" s="36" t="n">
        <x:v>2</x:v>
      </x:c>
      <x:c r="I302" s="34" t="str">
        <x:v>afterUndeploy</x:v>
      </x:c>
      <x:c r="J302" s="34" t="str">
        <x:v>after-undeploy-final</x:v>
      </x:c>
      <x:c r="K302" s="36" t="n">
        <x:v>1</x:v>
      </x:c>
      <x:c r="L302" s="34" t="str">
        <x:v>final</x:v>
      </x:c>
      <x:c r="M302" s="34" t="str">
        <x:v>article1-unified-v4-2-fb3f101b-20260903-000401-default-f02-p2-cache2k-2-after-undeploy-final-10s</x:v>
      </x:c>
      <x:c r="N302" s="38" t="n">
        <x:v>46267.964922025465</x:v>
      </x:c>
      <x:c r="O302" s="36" t="n">
        <x:v>2</x:v>
      </x:c>
      <x:c r="P302" s="43" t="n">
        <x:v>15549440</x:v>
      </x:c>
      <x:c r="Q302" s="43" t="n">
        <x:v>268435456</x:v>
      </x:c>
      <x:c r="R302" s="43" t="n">
        <x:v>416147456</x:v>
      </x:c>
      <x:c r="S302" s="36" t="n">
        <x:v>2</x:v>
      </x:c>
      <x:c r="T302" s="44" t="str">
        <x:v>0x000000000e1177b8  0x000000000e003818  0x000075c79818c5c0    4453  21312512  21294872  org.apache.catalina.loader.ParallelWebappClassLoader | 0x000000000e1177b8  0x000000000e003818  0x000075c84c60d540       0         0         0  org.apache.catalina.loader.ParallelWebappClassLoader</x:v>
      </x:c>
      <x:c r="U302" s="36" t="n">
        <x:v>27</x:v>
      </x:c>
      <x:c r="V302" s="36" t="n">
        <x:v>0</x:v>
      </x:c>
      <x:c r="W302" s="44"/>
      <x:c r="X302" s="36" t="n">
        <x:v>1</x:v>
      </x:c>
      <x:c r="Y302" s="36" t="n">
        <x:v>1</x:v>
      </x:c>
      <x:c r="Z302" s="44" t="str">
        <x:v>/cache2k</x:v>
      </x:c>
      <x:c r="AA302" s="45" t="b">
        <x:v>1</x:v>
      </x:c>
      <x:c r="AB302" s="43"/>
      <x:c r="AC302" s="34" t="str">
        <x:v>article1-unified-v4-2-fb3f101b-20260903-000401-default-f02-p2-cache2k-2-after-undeploy-final-10s-heap-info.txt</x:v>
      </x:c>
      <x:c r="AD302" s="34" t="str">
        <x:v>article1-unified-v4-2-fb3f101b-20260903-000401-default-f02-p2-cache2k-2-after-undeploy-final-10s-classloader-stats.txt</x:v>
      </x:c>
      <x:c r="AE302" s="34" t="str">
        <x:v>article1-unified-v4-2-fb3f101b-20260903-000401-default-f02-p2-cache2k-2-after-undeploy-final-10s-thread-dump.txt</x:v>
      </x:c>
      <x:c r="AF302" s="34"/>
      <x:c r="AG302" s="34" t="str">
        <x:v>article1-unified-v4-2-fb3f101b-20260903-000401-default-f02-p2-cache2k-2-after-undeploy-final-10s-native-memory.txt</x:v>
      </x:c>
      <x:c r="AH302" s="34" t="str">
        <x:v>article1-unified-v4-2-fb3f101b-20260903-000401-default-f02-p2-cache2k-2-after-undeploy-final-10s-class-histogram.txt</x:v>
      </x:c>
      <x:c r="AI302" s="34" t="str">
        <x:v>article1-unified-v4-2-fb3f101b-20260903-000401-default-f02-p2-cache2k-2-after-undeploy-tomcat-findleaks.txt</x:v>
      </x:c>
    </x:row>
    <x:row r="303">
      <x:c r="A303" s="34" t="str">
        <x:v>article1-unified-v4-2-fb3f101b-20260903-000401-default-f02-p2-cache2k</x:v>
      </x:c>
      <x:c r="B303" s="34" t="str">
        <x:v>default</x:v>
      </x:c>
      <x:c r="C303" s="34" t="str">
        <x:v>cache2k</x:v>
      </x:c>
      <x:c r="D303" s="34" t="str">
        <x:v>cache2k</x:v>
      </x:c>
      <x:c r="E303" s="36" t="n">
        <x:v>2</x:v>
      </x:c>
      <x:c r="F303" s="36" t="n">
        <x:v>2</x:v>
      </x:c>
      <x:c r="G303" s="36" t="n">
        <x:v>2</x:v>
      </x:c>
      <x:c r="H303" s="36" t="n">
        <x:v>2</x:v>
      </x:c>
      <x:c r="I303" s="34" t="str">
        <x:v>redeployedLoaded</x:v>
      </x:c>
      <x:c r="J303" s="34" t="str">
        <x:v>redeployed-loaded</x:v>
      </x:c>
      <x:c r="K303" s="36" t="n">
        <x:v>0</x:v>
      </x:c>
      <x:c r="L303" s="34" t="str">
        <x:v>redeploy</x:v>
      </x:c>
      <x:c r="M303" s="34" t="str">
        <x:v>article1-unified-v4-2-fb3f101b-20260903-000401-default-f02-p2-cache2k-2-redeployed-loaded</x:v>
      </x:c>
      <x:c r="N303" s="38" t="n">
        <x:v>46267.9651756713</x:v>
      </x:c>
      <x:c r="O303" s="36" t="n">
        <x:v>0</x:v>
      </x:c>
      <x:c r="P303" s="43" t="n">
        <x:v>198481920</x:v>
      </x:c>
      <x:c r="Q303" s="43" t="n">
        <x:v>268435456</x:v>
      </x:c>
      <x:c r="R303" s="43" t="n">
        <x:v>439309312</x:v>
      </x:c>
      <x:c r="S303" s="36" t="n">
        <x:v>3</x:v>
      </x:c>
      <x:c r="T303" s="44" t="str">
        <x:v>0x000000000e1177b8  0x000000000e003818  0x000075c79818c5c0    4453  21312512  21294872  org.apache.catalina.loader.ParallelWebappClassLoader | 0x000000000e1177b8  0x000000000e003818  0x000075c77c002d30    4443  21270528  21258232  org.apache.catalina.loader.ParallelWebappClassLoader | 0x000000000e1177b8  0x000000000e003818  0x000075c84c60d540       0         0         0  org.apache.catalina.loader.ParallelWebappClassLoader</x:v>
      </x:c>
      <x:c r="U303" s="36" t="n">
        <x:v>29</x:v>
      </x:c>
      <x:c r="V303" s="36" t="n">
        <x:v>0</x:v>
      </x:c>
      <x:c r="W303" s="44"/>
      <x:c r="X303" s="36"/>
      <x:c r="Y303" s="36"/>
      <x:c r="Z303" s="44"/>
      <x:c r="AA303" s="49"/>
      <x:c r="AB303" s="43"/>
      <x:c r="AC303" s="34"/>
      <x:c r="AD303" s="34"/>
      <x:c r="AE303" s="34"/>
      <x:c r="AF303" s="34"/>
      <x:c r="AG303" s="34"/>
      <x:c r="AH303" s="34"/>
      <x:c r="AI303" s="34"/>
    </x:row>
    <x:row r="304">
      <x:c r="A304" s="34" t="str">
        <x:v>article1-unified-v4-2-fb3f101b-20260903-000401-default-f02-p2-cache2k</x:v>
      </x:c>
      <x:c r="B304" s="34" t="str">
        <x:v>default</x:v>
      </x:c>
      <x:c r="C304" s="34" t="str">
        <x:v>cache2k</x:v>
      </x:c>
      <x:c r="D304" s="34" t="str">
        <x:v>cache2k</x:v>
      </x:c>
      <x:c r="E304" s="36" t="n">
        <x:v>2</x:v>
      </x:c>
      <x:c r="F304" s="36" t="n">
        <x:v>2</x:v>
      </x:c>
      <x:c r="G304" s="36" t="n">
        <x:v>2</x:v>
      </x:c>
      <x:c r="H304" s="36" t="n">
        <x:v>2</x:v>
      </x:c>
      <x:c r="I304" s="34" t="str">
        <x:v>afterFinalUndeployEarly</x:v>
      </x:c>
      <x:c r="J304" s="34" t="str">
        <x:v>after-final-undeploy-early</x:v>
      </x:c>
      <x:c r="K304" s="36" t="n">
        <x:v>2</x:v>
      </x:c>
      <x:c r="L304" s="34" t="str">
        <x:v>early</x:v>
      </x:c>
      <x:c r="M304" s="34" t="str">
        <x:v>article1-unified-v4-2-fb3f101b-20260903-000401-default-f02-p2-cache2k-2-after-final-undeploy-early-2s</x:v>
      </x:c>
      <x:c r="N304" s="38" t="n">
        <x:v>46267.96525864583</x:v>
      </x:c>
      <x:c r="O304" s="36"/>
      <x:c r="P304" s="43"/>
      <x:c r="Q304" s="43"/>
      <x:c r="R304" s="43"/>
      <x:c r="S304" s="36"/>
      <x:c r="T304" s="44"/>
      <x:c r="U304" s="36" t="n">
        <x:v>27</x:v>
      </x:c>
      <x:c r="V304" s="36" t="n">
        <x:v>0</x:v>
      </x:c>
      <x:c r="W304" s="44"/>
      <x:c r="X304" s="36"/>
      <x:c r="Y304" s="36"/>
      <x:c r="Z304" s="44"/>
      <x:c r="AA304" s="49"/>
      <x:c r="AB304" s="43" t="n">
        <x:v>1</x:v>
      </x:c>
      <x:c r="AC304" s="34"/>
      <x:c r="AD304" s="34"/>
      <x:c r="AE304" s="34" t="str">
        <x:v>article1-unified-v4-2-fb3f101b-20260903-000401-default-f02-p2-cache2k-2-after-final-undeploy-early-2s-thread-dump.txt</x:v>
      </x:c>
      <x:c r="AF304" s="34" t="str">
        <x:v>article1-unified-v4-2-fb3f101b-20260903-000401-default-f02-p2-cache2k-2-after-final-undeploy-early-tomcat-log.txt</x:v>
      </x:c>
      <x:c r="AG304" s="34"/>
      <x:c r="AH304" s="34"/>
      <x:c r="AI304" s="34"/>
    </x:row>
    <x:row r="305">
      <x:c r="A305" s="34" t="str">
        <x:v>article1-unified-v4-2-fb3f101b-20260903-000401-default-f02-p2-cache2k</x:v>
      </x:c>
      <x:c r="B305" s="34" t="str">
        <x:v>default</x:v>
      </x:c>
      <x:c r="C305" s="34" t="str">
        <x:v>cache2k</x:v>
      </x:c>
      <x:c r="D305" s="34" t="str">
        <x:v>cache2k</x:v>
      </x:c>
      <x:c r="E305" s="36" t="n">
        <x:v>2</x:v>
      </x:c>
      <x:c r="F305" s="36" t="n">
        <x:v>2</x:v>
      </x:c>
      <x:c r="G305" s="36" t="n">
        <x:v>2</x:v>
      </x:c>
      <x:c r="H305" s="36" t="n">
        <x:v>2</x:v>
      </x:c>
      <x:c r="I305" s="34" t="str">
        <x:v>afterFinalUndeploy</x:v>
      </x:c>
      <x:c r="J305" s="34" t="str">
        <x:v>after-final-undeploy-final</x:v>
      </x:c>
      <x:c r="K305" s="36" t="n">
        <x:v>2</x:v>
      </x:c>
      <x:c r="L305" s="34" t="str">
        <x:v>final</x:v>
      </x:c>
      <x:c r="M305" s="34" t="str">
        <x:v>article1-unified-v4-2-fb3f101b-20260903-000401-default-f02-p2-cache2k-2-after-final-undeploy-final-10s</x:v>
      </x:c>
      <x:c r="N305" s="38" t="n">
        <x:v>46267.96542303241</x:v>
      </x:c>
      <x:c r="O305" s="36" t="n">
        <x:v>2</x:v>
      </x:c>
      <x:c r="P305" s="43" t="n">
        <x:v>15526912</x:v>
      </x:c>
      <x:c r="Q305" s="43" t="n">
        <x:v>268435456</x:v>
      </x:c>
      <x:c r="R305" s="43" t="n">
        <x:v>421849088</x:v>
      </x:c>
      <x:c r="S305" s="36" t="n">
        <x:v>2</x:v>
      </x:c>
      <x:c r="T305" s="44" t="str">
        <x:v>0x000000000e1177b8  0x000000000e003818  0x000075c77c002d30    4453  21303296  21287176  org.apache.catalina.loader.ParallelWebappClassLoader | 0x000000000e1177b8  0x000000000e003818  0x000075c84c60d540       0         0         0  org.apache.catalina.loader.ParallelWebappClassLoader</x:v>
      </x:c>
      <x:c r="U305" s="36" t="n">
        <x:v>27</x:v>
      </x:c>
      <x:c r="V305" s="36" t="n">
        <x:v>0</x:v>
      </x:c>
      <x:c r="W305" s="44"/>
      <x:c r="X305" s="36" t="n">
        <x:v>1</x:v>
      </x:c>
      <x:c r="Y305" s="36" t="n">
        <x:v>1</x:v>
      </x:c>
      <x:c r="Z305" s="44" t="str">
        <x:v>/cache2k</x:v>
      </x:c>
      <x:c r="AA305" s="45" t="b">
        <x:v>1</x:v>
      </x:c>
      <x:c r="AB305" s="43"/>
      <x:c r="AC305" s="34" t="str">
        <x:v>article1-unified-v4-2-fb3f101b-20260903-000401-default-f02-p2-cache2k-2-after-final-undeploy-final-10s-heap-info.txt</x:v>
      </x:c>
      <x:c r="AD305" s="34" t="str">
        <x:v>article1-unified-v4-2-fb3f101b-20260903-000401-default-f02-p2-cache2k-2-after-final-undeploy-final-10s-classloader-stats.txt</x:v>
      </x:c>
      <x:c r="AE305" s="34" t="str">
        <x:v>article1-unified-v4-2-fb3f101b-20260903-000401-default-f02-p2-cache2k-2-after-final-undeploy-final-10s-thread-dump.txt</x:v>
      </x:c>
      <x:c r="AF305" s="34"/>
      <x:c r="AG305" s="34" t="str">
        <x:v>article1-unified-v4-2-fb3f101b-20260903-000401-default-f02-p2-cache2k-2-after-final-undeploy-final-10s-native-memory.txt</x:v>
      </x:c>
      <x:c r="AH305" s="34" t="str">
        <x:v>article1-unified-v4-2-fb3f101b-20260903-000401-default-f02-p2-cache2k-2-after-final-undeploy-final-10s-class-histogram.txt</x:v>
      </x:c>
      <x:c r="AI305" s="34" t="str">
        <x:v>article1-unified-v4-2-fb3f101b-20260903-000401-default-f02-p2-cache2k-2-after-final-undeploy-tomcat-findleaks.txt</x:v>
      </x:c>
    </x:row>
    <x:row r="306">
      <x:c r="A306" s="34" t="str">
        <x:v>article1-unified-v4-2-fb3f101b-20260903-000401-default-f02-p2-cache2k</x:v>
      </x:c>
      <x:c r="B306" s="34" t="str">
        <x:v>default</x:v>
      </x:c>
      <x:c r="C306" s="34" t="str">
        <x:v>cache2k</x:v>
      </x:c>
      <x:c r="D306" s="34" t="str">
        <x:v>cache2k</x:v>
      </x:c>
      <x:c r="E306" s="36" t="n">
        <x:v>2</x:v>
      </x:c>
      <x:c r="F306" s="36" t="n">
        <x:v>2</x:v>
      </x:c>
      <x:c r="G306" s="36" t="n">
        <x:v>2</x:v>
      </x:c>
      <x:c r="H306" s="36" t="n">
        <x:v>3</x:v>
      </x:c>
      <x:c r="I306" s="34" t="str">
        <x:v>baseline</x:v>
      </x:c>
      <x:c r="J306" s="34" t="str">
        <x:v>cycle-baseline</x:v>
      </x:c>
      <x:c r="K306" s="36" t="n">
        <x:v>0</x:v>
      </x:c>
      <x:c r="L306" s="34" t="str">
        <x:v>baseline</x:v>
      </x:c>
      <x:c r="M306" s="34" t="str">
        <x:v>article1-unified-v4-2-fb3f101b-20260903-000401-default-f02-p2-cache2k-3-baseline</x:v>
      </x:c>
      <x:c r="N306" s="38" t="n">
        <x:v>46267.96547016204</x:v>
      </x:c>
      <x:c r="O306" s="36" t="n">
        <x:v>0</x:v>
      </x:c>
      <x:c r="P306" s="43" t="n">
        <x:v>15526912</x:v>
      </x:c>
      <x:c r="Q306" s="43" t="n">
        <x:v>268435456</x:v>
      </x:c>
      <x:c r="R306" s="43" t="n">
        <x:v>421323776</x:v>
      </x:c>
      <x:c r="S306" s="36" t="n">
        <x:v>2</x:v>
      </x:c>
      <x:c r="T306" s="44" t="str">
        <x:v>0x000000000e1177b8  0x000000000e003818  0x000075c77c002d30    4453  21303296  21287176  org.apache.catalina.loader.ParallelWebappClassLoader | 0x000000000e1177b8  0x000000000e003818  0x000075c84c60d540       0         0         0  org.apache.catalina.loader.ParallelWebappClassLoader</x:v>
      </x:c>
      <x:c r="U306" s="36" t="n">
        <x:v>27</x:v>
      </x:c>
      <x:c r="V306" s="36" t="n">
        <x:v>0</x:v>
      </x:c>
      <x:c r="W306" s="44"/>
      <x:c r="X306" s="36"/>
      <x:c r="Y306" s="36"/>
      <x:c r="Z306" s="44"/>
      <x:c r="AA306" s="49"/>
      <x:c r="AB306" s="43"/>
      <x:c r="AC306" s="34" t="str">
        <x:v>article1-unified-v4-2-fb3f101b-20260903-000401-default-f02-p2-cache2k-3-baseline-heap-info.txt</x:v>
      </x:c>
      <x:c r="AD306" s="34" t="str">
        <x:v>article1-unified-v4-2-fb3f101b-20260903-000401-default-f02-p2-cache2k-3-baseline-classloader-stats.txt</x:v>
      </x:c>
      <x:c r="AE306" s="34" t="str">
        <x:v>article1-unified-v4-2-fb3f101b-20260903-000401-default-f02-p2-cache2k-3-baseline-thread-dump.txt</x:v>
      </x:c>
      <x:c r="AF306" s="34"/>
      <x:c r="AG306" s="34" t="str">
        <x:v>article1-unified-v4-2-fb3f101b-20260903-000401-default-f02-p2-cache2k-3-baseline-native-memory.txt</x:v>
      </x:c>
      <x:c r="AH306" s="34"/>
      <x:c r="AI306" s="34"/>
    </x:row>
    <x:row r="307">
      <x:c r="A307" s="34" t="str">
        <x:v>article1-unified-v4-2-fb3f101b-20260903-000401-default-f02-p2-cache2k</x:v>
      </x:c>
      <x:c r="B307" s="34" t="str">
        <x:v>default</x:v>
      </x:c>
      <x:c r="C307" s="34" t="str">
        <x:v>cache2k</x:v>
      </x:c>
      <x:c r="D307" s="34" t="str">
        <x:v>cache2k</x:v>
      </x:c>
      <x:c r="E307" s="36" t="n">
        <x:v>2</x:v>
      </x:c>
      <x:c r="F307" s="36" t="n">
        <x:v>2</x:v>
      </x:c>
      <x:c r="G307" s="36" t="n">
        <x:v>2</x:v>
      </x:c>
      <x:c r="H307" s="36" t="n">
        <x:v>3</x:v>
      </x:c>
      <x:c r="I307" s="34" t="str">
        <x:v>deployedIdle</x:v>
      </x:c>
      <x:c r="J307" s="34" t="str">
        <x:v>deployed-idle</x:v>
      </x:c>
      <x:c r="K307" s="36" t="n">
        <x:v>0</x:v>
      </x:c>
      <x:c r="L307" s="34" t="str">
        <x:v>initial</x:v>
      </x:c>
      <x:c r="M307" s="34" t="str">
        <x:v>article1-unified-v4-2-fb3f101b-20260903-000401-default-f02-p2-cache2k-3-deployed-idle</x:v>
      </x:c>
      <x:c r="N307" s="38" t="n">
        <x:v>46267.965568113425</x:v>
      </x:c>
      <x:c r="O307" s="36" t="n">
        <x:v>0</x:v>
      </x:c>
      <x:c r="P307" s="43" t="n">
        <x:v>165985280</x:v>
      </x:c>
      <x:c r="Q307" s="43" t="n">
        <x:v>268435456</x:v>
      </x:c>
      <x:c r="R307" s="43" t="n">
        <x:v>455561216</x:v>
      </x:c>
      <x:c r="S307" s="36" t="n">
        <x:v>3</x:v>
      </x:c>
      <x:c r="T307" s="44" t="str">
        <x:v>0x000000000e1177b8  0x000000000e003818  0x000075c77c002d30    4453  21303296  21287176  org.apache.catalina.loader.ParallelWebappClassLoader | 0x000000000e1177b8  0x000000000e003818  0x000075c75c203d70    4091  19452928  19433568  org.apache.catalina.loader.ParallelWebappClassLoader | 0x000000000e1177b8  0x000000000e003818  0x000075c84c60d540       0         0         0  org.apache.catalina.loader.ParallelWebappClassLoader</x:v>
      </x:c>
      <x:c r="U307" s="36" t="n">
        <x:v>27</x:v>
      </x:c>
      <x:c r="V307" s="36" t="n">
        <x:v>0</x:v>
      </x:c>
      <x:c r="W307" s="44"/>
      <x:c r="X307" s="36"/>
      <x:c r="Y307" s="36"/>
      <x:c r="Z307" s="44"/>
      <x:c r="AA307" s="49"/>
      <x:c r="AB307" s="43"/>
      <x:c r="AC307" s="34"/>
      <x:c r="AD307" s="34"/>
      <x:c r="AE307" s="34"/>
      <x:c r="AF307" s="34"/>
      <x:c r="AG307" s="34"/>
      <x:c r="AH307" s="34"/>
      <x:c r="AI307" s="34"/>
    </x:row>
    <x:row r="308">
      <x:c r="A308" s="34" t="str">
        <x:v>article1-unified-v4-2-fb3f101b-20260903-000401-default-f02-p2-cache2k</x:v>
      </x:c>
      <x:c r="B308" s="34" t="str">
        <x:v>default</x:v>
      </x:c>
      <x:c r="C308" s="34" t="str">
        <x:v>cache2k</x:v>
      </x:c>
      <x:c r="D308" s="34" t="str">
        <x:v>cache2k</x:v>
      </x:c>
      <x:c r="E308" s="36" t="n">
        <x:v>2</x:v>
      </x:c>
      <x:c r="F308" s="36" t="n">
        <x:v>2</x:v>
      </x:c>
      <x:c r="G308" s="36" t="n">
        <x:v>2</x:v>
      </x:c>
      <x:c r="H308" s="36" t="n">
        <x:v>3</x:v>
      </x:c>
      <x:c r="I308" s="34" t="str">
        <x:v>loaded</x:v>
      </x:c>
      <x:c r="J308" s="34" t="str">
        <x:v>loaded</x:v>
      </x:c>
      <x:c r="K308" s="36" t="n">
        <x:v>0</x:v>
      </x:c>
      <x:c r="L308" s="34" t="str">
        <x:v>initial</x:v>
      </x:c>
      <x:c r="M308" s="34" t="str">
        <x:v>article1-unified-v4-2-fb3f101b-20260903-000401-default-f02-p2-cache2k-3-loaded</x:v>
      </x:c>
      <x:c r="N308" s="38" t="n">
        <x:v>46267.965720555556</x:v>
      </x:c>
      <x:c r="O308" s="36" t="n">
        <x:v>0</x:v>
      </x:c>
      <x:c r="P308" s="43" t="n">
        <x:v>92538880</x:v>
      </x:c>
      <x:c r="Q308" s="43" t="n">
        <x:v>268435456</x:v>
      </x:c>
      <x:c r="R308" s="43" t="n">
        <x:v>440869888</x:v>
      </x:c>
      <x:c r="S308" s="36" t="n">
        <x:v>3</x:v>
      </x:c>
      <x:c r="T308" s="44" t="str">
        <x:v>0x000000000e1177b8  0x000000000e003818  0x000075c77c002d30    4453  21303296  21287176  org.apache.catalina.loader.ParallelWebappClassLoader | 0x000000000e1177b8  0x000000000e003818  0x000075c75c203d70    4440  21271552  21256760  org.apache.catalina.loader.ParallelWebappClassLoader | 0x000000000e1177b8  0x000000000e003818  0x000075c84c60d540       0         0         0  org.apache.catalina.loader.ParallelWebappClassLoader</x:v>
      </x:c>
      <x:c r="U308" s="36" t="n">
        <x:v>29</x:v>
      </x:c>
      <x:c r="V308" s="36" t="n">
        <x:v>0</x:v>
      </x:c>
      <x:c r="W308" s="44"/>
      <x:c r="X308" s="36"/>
      <x:c r="Y308" s="36"/>
      <x:c r="Z308" s="44"/>
      <x:c r="AA308" s="49"/>
      <x:c r="AB308" s="43"/>
      <x:c r="AC308" s="34"/>
      <x:c r="AD308" s="34"/>
      <x:c r="AE308" s="34"/>
      <x:c r="AF308" s="34"/>
      <x:c r="AG308" s="34"/>
      <x:c r="AH308" s="34"/>
      <x:c r="AI308" s="34"/>
    </x:row>
    <x:row r="309">
      <x:c r="A309" s="34" t="str">
        <x:v>article1-unified-v4-2-fb3f101b-20260903-000401-default-f02-p2-cache2k</x:v>
      </x:c>
      <x:c r="B309" s="34" t="str">
        <x:v>default</x:v>
      </x:c>
      <x:c r="C309" s="34" t="str">
        <x:v>cache2k</x:v>
      </x:c>
      <x:c r="D309" s="34" t="str">
        <x:v>cache2k</x:v>
      </x:c>
      <x:c r="E309" s="36" t="n">
        <x:v>2</x:v>
      </x:c>
      <x:c r="F309" s="36" t="n">
        <x:v>2</x:v>
      </x:c>
      <x:c r="G309" s="36" t="n">
        <x:v>2</x:v>
      </x:c>
      <x:c r="H309" s="36" t="n">
        <x:v>3</x:v>
      </x:c>
      <x:c r="I309" s="34" t="str">
        <x:v>afterUndeployEarly</x:v>
      </x:c>
      <x:c r="J309" s="34" t="str">
        <x:v>after-undeploy-early</x:v>
      </x:c>
      <x:c r="K309" s="36" t="n">
        <x:v>1</x:v>
      </x:c>
      <x:c r="L309" s="34" t="str">
        <x:v>early</x:v>
      </x:c>
      <x:c r="M309" s="34" t="str">
        <x:v>article1-unified-v4-2-fb3f101b-20260903-000401-default-f02-p2-cache2k-3-after-undeploy-early-2s</x:v>
      </x:c>
      <x:c r="N309" s="38" t="n">
        <x:v>46267.965806319444</x:v>
      </x:c>
      <x:c r="O309" s="36"/>
      <x:c r="P309" s="43"/>
      <x:c r="Q309" s="43"/>
      <x:c r="R309" s="43"/>
      <x:c r="S309" s="36"/>
      <x:c r="T309" s="44"/>
      <x:c r="U309" s="36" t="n">
        <x:v>27</x:v>
      </x:c>
      <x:c r="V309" s="36" t="n">
        <x:v>0</x:v>
      </x:c>
      <x:c r="W309" s="44"/>
      <x:c r="X309" s="36"/>
      <x:c r="Y309" s="36"/>
      <x:c r="Z309" s="44"/>
      <x:c r="AA309" s="49"/>
      <x:c r="AB309" s="43" t="n">
        <x:v>1</x:v>
      </x:c>
      <x:c r="AC309" s="34"/>
      <x:c r="AD309" s="34"/>
      <x:c r="AE309" s="34" t="str">
        <x:v>article1-unified-v4-2-fb3f101b-20260903-000401-default-f02-p2-cache2k-3-after-undeploy-early-2s-thread-dump.txt</x:v>
      </x:c>
      <x:c r="AF309" s="34" t="str">
        <x:v>article1-unified-v4-2-fb3f101b-20260903-000401-default-f02-p2-cache2k-3-after-undeploy-early-tomcat-log.txt</x:v>
      </x:c>
      <x:c r="AG309" s="34"/>
      <x:c r="AH309" s="34"/>
      <x:c r="AI309" s="34"/>
    </x:row>
    <x:row r="310">
      <x:c r="A310" s="34" t="str">
        <x:v>article1-unified-v4-2-fb3f101b-20260903-000401-default-f02-p2-cache2k</x:v>
      </x:c>
      <x:c r="B310" s="34" t="str">
        <x:v>default</x:v>
      </x:c>
      <x:c r="C310" s="34" t="str">
        <x:v>cache2k</x:v>
      </x:c>
      <x:c r="D310" s="34" t="str">
        <x:v>cache2k</x:v>
      </x:c>
      <x:c r="E310" s="36" t="n">
        <x:v>2</x:v>
      </x:c>
      <x:c r="F310" s="36" t="n">
        <x:v>2</x:v>
      </x:c>
      <x:c r="G310" s="36" t="n">
        <x:v>2</x:v>
      </x:c>
      <x:c r="H310" s="36" t="n">
        <x:v>3</x:v>
      </x:c>
      <x:c r="I310" s="34" t="str">
        <x:v>afterUndeploy</x:v>
      </x:c>
      <x:c r="J310" s="34" t="str">
        <x:v>after-undeploy-final</x:v>
      </x:c>
      <x:c r="K310" s="36" t="n">
        <x:v>1</x:v>
      </x:c>
      <x:c r="L310" s="34" t="str">
        <x:v>final</x:v>
      </x:c>
      <x:c r="M310" s="34" t="str">
        <x:v>article1-unified-v4-2-fb3f101b-20260903-000401-default-f02-p2-cache2k-3-after-undeploy-final-10s</x:v>
      </x:c>
      <x:c r="N310" s="38" t="n">
        <x:v>46267.96596489583</x:v>
      </x:c>
      <x:c r="O310" s="36" t="n">
        <x:v>2</x:v>
      </x:c>
      <x:c r="P310" s="43" t="n">
        <x:v>15534080</x:v>
      </x:c>
      <x:c r="Q310" s="43" t="n">
        <x:v>268435456</x:v>
      </x:c>
      <x:c r="R310" s="43" t="n">
        <x:v>419469312</x:v>
      </x:c>
      <x:c r="S310" s="36" t="n">
        <x:v>2</x:v>
      </x:c>
      <x:c r="T310" s="44" t="str">
        <x:v>0x000000000e1177b8  0x000000000e003818  0x000075c84c60d540       0         0         0  org.apache.catalina.loader.ParallelWebappClassLoader | 0x000000000e1177b8  0x000000000e003818  0x000075c75c203d70    4450  21287936  21285704  org.apache.catalina.loader.ParallelWebappClassLoader</x:v>
      </x:c>
      <x:c r="U310" s="36" t="n">
        <x:v>27</x:v>
      </x:c>
      <x:c r="V310" s="36" t="n">
        <x:v>0</x:v>
      </x:c>
      <x:c r="W310" s="44"/>
      <x:c r="X310" s="36" t="n">
        <x:v>1</x:v>
      </x:c>
      <x:c r="Y310" s="36" t="n">
        <x:v>1</x:v>
      </x:c>
      <x:c r="Z310" s="44" t="str">
        <x:v>/cache2k</x:v>
      </x:c>
      <x:c r="AA310" s="45" t="b">
        <x:v>1</x:v>
      </x:c>
      <x:c r="AB310" s="43"/>
      <x:c r="AC310" s="34" t="str">
        <x:v>article1-unified-v4-2-fb3f101b-20260903-000401-default-f02-p2-cache2k-3-after-undeploy-final-10s-heap-info.txt</x:v>
      </x:c>
      <x:c r="AD310" s="34" t="str">
        <x:v>article1-unified-v4-2-fb3f101b-20260903-000401-default-f02-p2-cache2k-3-after-undeploy-final-10s-classloader-stats.txt</x:v>
      </x:c>
      <x:c r="AE310" s="34" t="str">
        <x:v>article1-unified-v4-2-fb3f101b-20260903-000401-default-f02-p2-cache2k-3-after-undeploy-final-10s-thread-dump.txt</x:v>
      </x:c>
      <x:c r="AF310" s="34"/>
      <x:c r="AG310" s="34" t="str">
        <x:v>article1-unified-v4-2-fb3f101b-20260903-000401-default-f02-p2-cache2k-3-after-undeploy-final-10s-native-memory.txt</x:v>
      </x:c>
      <x:c r="AH310" s="34" t="str">
        <x:v>article1-unified-v4-2-fb3f101b-20260903-000401-default-f02-p2-cache2k-3-after-undeploy-final-10s-class-histogram.txt</x:v>
      </x:c>
      <x:c r="AI310" s="34" t="str">
        <x:v>article1-unified-v4-2-fb3f101b-20260903-000401-default-f02-p2-cache2k-3-after-undeploy-tomcat-findleaks.txt</x:v>
      </x:c>
    </x:row>
    <x:row r="311">
      <x:c r="A311" s="34" t="str">
        <x:v>article1-unified-v4-2-fb3f101b-20260903-000401-default-f02-p2-cache2k</x:v>
      </x:c>
      <x:c r="B311" s="34" t="str">
        <x:v>default</x:v>
      </x:c>
      <x:c r="C311" s="34" t="str">
        <x:v>cache2k</x:v>
      </x:c>
      <x:c r="D311" s="34" t="str">
        <x:v>cache2k</x:v>
      </x:c>
      <x:c r="E311" s="36" t="n">
        <x:v>2</x:v>
      </x:c>
      <x:c r="F311" s="36" t="n">
        <x:v>2</x:v>
      </x:c>
      <x:c r="G311" s="36" t="n">
        <x:v>2</x:v>
      </x:c>
      <x:c r="H311" s="36" t="n">
        <x:v>3</x:v>
      </x:c>
      <x:c r="I311" s="34" t="str">
        <x:v>redeployedLoaded</x:v>
      </x:c>
      <x:c r="J311" s="34" t="str">
        <x:v>redeployed-loaded</x:v>
      </x:c>
      <x:c r="K311" s="36" t="n">
        <x:v>0</x:v>
      </x:c>
      <x:c r="L311" s="34" t="str">
        <x:v>redeploy</x:v>
      </x:c>
      <x:c r="M311" s="34" t="str">
        <x:v>article1-unified-v4-2-fb3f101b-20260903-000401-default-f02-p2-cache2k-3-redeployed-loaded</x:v>
      </x:c>
      <x:c r="N311" s="38" t="n">
        <x:v>46267.96621820602</x:v>
      </x:c>
      <x:c r="O311" s="36" t="n">
        <x:v>0</x:v>
      </x:c>
      <x:c r="P311" s="43" t="n">
        <x:v>92581888</x:v>
      </x:c>
      <x:c r="Q311" s="43" t="n">
        <x:v>268435456</x:v>
      </x:c>
      <x:c r="R311" s="43" t="n">
        <x:v>442052608</x:v>
      </x:c>
      <x:c r="S311" s="36" t="n">
        <x:v>3</x:v>
      </x:c>
      <x:c r="T311" s="44" t="str">
        <x:v>0x000000000e1177b8  0x000000000e003818  0x000075c7a8248c30    4440  21283840  21255512  org.apache.catalina.loader.ParallelWebappClassLoader | 0x000000000e1177b8  0x000000000e003818  0x000075c84c60d540       0         0         0  org.apache.catalina.loader.ParallelWebappClassLoader | 0x000000000e1177b8  0x000000000e003818  0x000075c75c203d70    4450  21287936  21285704  org.apache.catalina.loader.ParallelWebappClassLoader</x:v>
      </x:c>
      <x:c r="U311" s="36" t="n">
        <x:v>29</x:v>
      </x:c>
      <x:c r="V311" s="36" t="n">
        <x:v>0</x:v>
      </x:c>
      <x:c r="W311" s="44"/>
      <x:c r="X311" s="36"/>
      <x:c r="Y311" s="36"/>
      <x:c r="Z311" s="44"/>
      <x:c r="AA311" s="49"/>
      <x:c r="AB311" s="43"/>
      <x:c r="AC311" s="34"/>
      <x:c r="AD311" s="34"/>
      <x:c r="AE311" s="34"/>
      <x:c r="AF311" s="34"/>
      <x:c r="AG311" s="34"/>
      <x:c r="AH311" s="34"/>
      <x:c r="AI311" s="34"/>
    </x:row>
    <x:row r="312">
      <x:c r="A312" s="34" t="str">
        <x:v>article1-unified-v4-2-fb3f101b-20260903-000401-default-f02-p2-cache2k</x:v>
      </x:c>
      <x:c r="B312" s="34" t="str">
        <x:v>default</x:v>
      </x:c>
      <x:c r="C312" s="34" t="str">
        <x:v>cache2k</x:v>
      </x:c>
      <x:c r="D312" s="34" t="str">
        <x:v>cache2k</x:v>
      </x:c>
      <x:c r="E312" s="36" t="n">
        <x:v>2</x:v>
      </x:c>
      <x:c r="F312" s="36" t="n">
        <x:v>2</x:v>
      </x:c>
      <x:c r="G312" s="36" t="n">
        <x:v>2</x:v>
      </x:c>
      <x:c r="H312" s="36" t="n">
        <x:v>3</x:v>
      </x:c>
      <x:c r="I312" s="34" t="str">
        <x:v>afterFinalUndeployEarly</x:v>
      </x:c>
      <x:c r="J312" s="34" t="str">
        <x:v>after-final-undeploy-early</x:v>
      </x:c>
      <x:c r="K312" s="36" t="n">
        <x:v>2</x:v>
      </x:c>
      <x:c r="L312" s="34" t="str">
        <x:v>early</x:v>
      </x:c>
      <x:c r="M312" s="34" t="str">
        <x:v>article1-unified-v4-2-fb3f101b-20260903-000401-default-f02-p2-cache2k-3-after-final-undeploy-early-2s</x:v>
      </x:c>
      <x:c r="N312" s="38" t="n">
        <x:v>46267.9663</x:v>
      </x:c>
      <x:c r="O312" s="36"/>
      <x:c r="P312" s="43"/>
      <x:c r="Q312" s="43"/>
      <x:c r="R312" s="43"/>
      <x:c r="S312" s="36"/>
      <x:c r="T312" s="44"/>
      <x:c r="U312" s="36" t="n">
        <x:v>27</x:v>
      </x:c>
      <x:c r="V312" s="36" t="n">
        <x:v>0</x:v>
      </x:c>
      <x:c r="W312" s="44"/>
      <x:c r="X312" s="36"/>
      <x:c r="Y312" s="36"/>
      <x:c r="Z312" s="44"/>
      <x:c r="AA312" s="49"/>
      <x:c r="AB312" s="43" t="n">
        <x:v>1</x:v>
      </x:c>
      <x:c r="AC312" s="34"/>
      <x:c r="AD312" s="34"/>
      <x:c r="AE312" s="34" t="str">
        <x:v>article1-unified-v4-2-fb3f101b-20260903-000401-default-f02-p2-cache2k-3-after-final-undeploy-early-2s-thread-dump.txt</x:v>
      </x:c>
      <x:c r="AF312" s="34" t="str">
        <x:v>article1-unified-v4-2-fb3f101b-20260903-000401-default-f02-p2-cache2k-3-after-final-undeploy-early-tomcat-log.txt</x:v>
      </x:c>
      <x:c r="AG312" s="34"/>
      <x:c r="AH312" s="34"/>
      <x:c r="AI312" s="34"/>
    </x:row>
    <x:row r="313">
      <x:c r="A313" s="34" t="str">
        <x:v>article1-unified-v4-2-fb3f101b-20260903-000401-default-f02-p2-cache2k</x:v>
      </x:c>
      <x:c r="B313" s="34" t="str">
        <x:v>default</x:v>
      </x:c>
      <x:c r="C313" s="34" t="str">
        <x:v>cache2k</x:v>
      </x:c>
      <x:c r="D313" s="34" t="str">
        <x:v>cache2k</x:v>
      </x:c>
      <x:c r="E313" s="36" t="n">
        <x:v>2</x:v>
      </x:c>
      <x:c r="F313" s="36" t="n">
        <x:v>2</x:v>
      </x:c>
      <x:c r="G313" s="36" t="n">
        <x:v>2</x:v>
      </x:c>
      <x:c r="H313" s="36" t="n">
        <x:v>3</x:v>
      </x:c>
      <x:c r="I313" s="34" t="str">
        <x:v>afterFinalUndeploy</x:v>
      </x:c>
      <x:c r="J313" s="34" t="str">
        <x:v>after-final-undeploy-final</x:v>
      </x:c>
      <x:c r="K313" s="36" t="n">
        <x:v>2</x:v>
      </x:c>
      <x:c r="L313" s="34" t="str">
        <x:v>final</x:v>
      </x:c>
      <x:c r="M313" s="34" t="str">
        <x:v>article1-unified-v4-2-fb3f101b-20260903-000401-default-f02-p2-cache2k-3-after-final-undeploy-final-10s</x:v>
      </x:c>
      <x:c r="N313" s="38" t="n">
        <x:v>46267.96646096065</x:v>
      </x:c>
      <x:c r="O313" s="36" t="n">
        <x:v>2</x:v>
      </x:c>
      <x:c r="P313" s="43" t="n">
        <x:v>15555584</x:v>
      </x:c>
      <x:c r="Q313" s="43" t="n">
        <x:v>268435456</x:v>
      </x:c>
      <x:c r="R313" s="43" t="n">
        <x:v>424897536</x:v>
      </x:c>
      <x:c r="S313" s="36" t="n">
        <x:v>2</x:v>
      </x:c>
      <x:c r="T313" s="44" t="str">
        <x:v>0x000000000e1177b8  0x000000000e003818  0x000075c84c60d540       0         0         0  org.apache.catalina.loader.ParallelWebappClassLoader | 0x000000000e1177b8  0x000000000e003818  0x000075c7a8248c30    4450  21307392  21284216  org.apache.catalina.loader.ParallelWebappClassLoader</x:v>
      </x:c>
      <x:c r="U313" s="36" t="n">
        <x:v>27</x:v>
      </x:c>
      <x:c r="V313" s="36" t="n">
        <x:v>0</x:v>
      </x:c>
      <x:c r="W313" s="44"/>
      <x:c r="X313" s="36" t="n">
        <x:v>1</x:v>
      </x:c>
      <x:c r="Y313" s="36" t="n">
        <x:v>1</x:v>
      </x:c>
      <x:c r="Z313" s="44" t="str">
        <x:v>/cache2k</x:v>
      </x:c>
      <x:c r="AA313" s="45" t="b">
        <x:v>1</x:v>
      </x:c>
      <x:c r="AB313" s="43"/>
      <x:c r="AC313" s="34" t="str">
        <x:v>article1-unified-v4-2-fb3f101b-20260903-000401-default-f02-p2-cache2k-3-after-final-undeploy-final-10s-heap-info.txt</x:v>
      </x:c>
      <x:c r="AD313" s="34" t="str">
        <x:v>article1-unified-v4-2-fb3f101b-20260903-000401-default-f02-p2-cache2k-3-after-final-undeploy-final-10s-classloader-stats.txt</x:v>
      </x:c>
      <x:c r="AE313" s="34" t="str">
        <x:v>article1-unified-v4-2-fb3f101b-20260903-000401-default-f02-p2-cache2k-3-after-final-undeploy-final-10s-thread-dump.txt</x:v>
      </x:c>
      <x:c r="AF313" s="34"/>
      <x:c r="AG313" s="34" t="str">
        <x:v>article1-unified-v4-2-fb3f101b-20260903-000401-default-f02-p2-cache2k-3-after-final-undeploy-final-10s-native-memory.txt</x:v>
      </x:c>
      <x:c r="AH313" s="34" t="str">
        <x:v>article1-unified-v4-2-fb3f101b-20260903-000401-default-f02-p2-cache2k-3-after-final-undeploy-final-10s-class-histogram.txt</x:v>
      </x:c>
      <x:c r="AI313" s="34" t="str">
        <x:v>article1-unified-v4-2-fb3f101b-20260903-000401-default-f02-p2-cache2k-3-after-final-undeploy-tomcat-findleaks.txt</x:v>
      </x:c>
    </x:row>
    <x:row r="314">
      <x:c r="A314" s="34" t="str">
        <x:v>article1-unified-v4-2-fb3f101b-20260903-000401-default-f02-p2-cache2k</x:v>
      </x:c>
      <x:c r="B314" s="34" t="str">
        <x:v>default</x:v>
      </x:c>
      <x:c r="C314" s="34" t="str">
        <x:v>cache2k</x:v>
      </x:c>
      <x:c r="D314" s="34" t="str">
        <x:v>cache2k</x:v>
      </x:c>
      <x:c r="E314" s="36" t="n">
        <x:v>2</x:v>
      </x:c>
      <x:c r="F314" s="36" t="n">
        <x:v>2</x:v>
      </x:c>
      <x:c r="G314" s="36" t="n">
        <x:v>2</x:v>
      </x:c>
      <x:c r="H314" s="36" t="n">
        <x:v>4</x:v>
      </x:c>
      <x:c r="I314" s="34" t="str">
        <x:v>baseline</x:v>
      </x:c>
      <x:c r="J314" s="34" t="str">
        <x:v>cycle-baseline</x:v>
      </x:c>
      <x:c r="K314" s="36" t="n">
        <x:v>0</x:v>
      </x:c>
      <x:c r="L314" s="34" t="str">
        <x:v>baseline</x:v>
      </x:c>
      <x:c r="M314" s="34" t="str">
        <x:v>article1-unified-v4-2-fb3f101b-20260903-000401-default-f02-p2-cache2k-4-baseline</x:v>
      </x:c>
      <x:c r="N314" s="38" t="n">
        <x:v>46267.966510625</x:v>
      </x:c>
      <x:c r="O314" s="36" t="n">
        <x:v>0</x:v>
      </x:c>
      <x:c r="P314" s="43" t="n">
        <x:v>15555584</x:v>
      </x:c>
      <x:c r="Q314" s="43" t="n">
        <x:v>268435456</x:v>
      </x:c>
      <x:c r="R314" s="43" t="n">
        <x:v>424820736</x:v>
      </x:c>
      <x:c r="S314" s="36" t="n">
        <x:v>2</x:v>
      </x:c>
      <x:c r="T314" s="44" t="str">
        <x:v>0x000000000e1177b8  0x000000000e003818  0x000075c84c60d540       0         0         0  org.apache.catalina.loader.ParallelWebappClassLoader | 0x000000000e1177b8  0x000000000e003818  0x000075c7a8248c30    4450  21307392  21284216  org.apache.catalina.loader.ParallelWebappClassLoader</x:v>
      </x:c>
      <x:c r="U314" s="36" t="n">
        <x:v>27</x:v>
      </x:c>
      <x:c r="V314" s="36" t="n">
        <x:v>0</x:v>
      </x:c>
      <x:c r="W314" s="44"/>
      <x:c r="X314" s="36"/>
      <x:c r="Y314" s="36"/>
      <x:c r="Z314" s="44"/>
      <x:c r="AA314" s="49"/>
      <x:c r="AB314" s="43"/>
      <x:c r="AC314" s="34" t="str">
        <x:v>article1-unified-v4-2-fb3f101b-20260903-000401-default-f02-p2-cache2k-4-baseline-heap-info.txt</x:v>
      </x:c>
      <x:c r="AD314" s="34" t="str">
        <x:v>article1-unified-v4-2-fb3f101b-20260903-000401-default-f02-p2-cache2k-4-baseline-classloader-stats.txt</x:v>
      </x:c>
      <x:c r="AE314" s="34" t="str">
        <x:v>article1-unified-v4-2-fb3f101b-20260903-000401-default-f02-p2-cache2k-4-baseline-thread-dump.txt</x:v>
      </x:c>
      <x:c r="AF314" s="34"/>
      <x:c r="AG314" s="34" t="str">
        <x:v>article1-unified-v4-2-fb3f101b-20260903-000401-default-f02-p2-cache2k-4-baseline-native-memory.txt</x:v>
      </x:c>
      <x:c r="AH314" s="34"/>
      <x:c r="AI314" s="34"/>
    </x:row>
    <x:row r="315">
      <x:c r="A315" s="34" t="str">
        <x:v>article1-unified-v4-2-fb3f101b-20260903-000401-default-f02-p2-cache2k</x:v>
      </x:c>
      <x:c r="B315" s="34" t="str">
        <x:v>default</x:v>
      </x:c>
      <x:c r="C315" s="34" t="str">
        <x:v>cache2k</x:v>
      </x:c>
      <x:c r="D315" s="34" t="str">
        <x:v>cache2k</x:v>
      </x:c>
      <x:c r="E315" s="36" t="n">
        <x:v>2</x:v>
      </x:c>
      <x:c r="F315" s="36" t="n">
        <x:v>2</x:v>
      </x:c>
      <x:c r="G315" s="36" t="n">
        <x:v>2</x:v>
      </x:c>
      <x:c r="H315" s="36" t="n">
        <x:v>4</x:v>
      </x:c>
      <x:c r="I315" s="34" t="str">
        <x:v>deployedIdle</x:v>
      </x:c>
      <x:c r="J315" s="34" t="str">
        <x:v>deployed-idle</x:v>
      </x:c>
      <x:c r="K315" s="36" t="n">
        <x:v>0</x:v>
      </x:c>
      <x:c r="L315" s="34" t="str">
        <x:v>initial</x:v>
      </x:c>
      <x:c r="M315" s="34" t="str">
        <x:v>article1-unified-v4-2-fb3f101b-20260903-000401-default-f02-p2-cache2k-4-deployed-idle</x:v>
      </x:c>
      <x:c r="N315" s="38" t="n">
        <x:v>46267.96661173611</x:v>
      </x:c>
      <x:c r="O315" s="36" t="n">
        <x:v>0</x:v>
      </x:c>
      <x:c r="P315" s="43" t="n">
        <x:v>171038720</x:v>
      </x:c>
      <x:c r="Q315" s="43" t="n">
        <x:v>268435456</x:v>
      </x:c>
      <x:c r="R315" s="43" t="n">
        <x:v>451463168</x:v>
      </x:c>
      <x:c r="S315" s="36" t="n">
        <x:v>3</x:v>
      </x:c>
      <x:c r="T315" s="44" t="str">
        <x:v>0x000000000e1177b8  0x000000000e003818  0x000075c784198430    4091  19464192  19435744  org.apache.catalina.loader.ParallelWebappClassLoader | 0x000000000e1177b8  0x000000000e003818  0x000075c84c60d540       0         0         0  org.apache.catalina.loader.ParallelWebappClassLoader | 0x000000000e1177b8  0x000000000e003818  0x000075c7a8248c30    4450  21307392  21284216  org.apache.catalina.loader.ParallelWebappClassLoader</x:v>
      </x:c>
      <x:c r="U315" s="36" t="n">
        <x:v>27</x:v>
      </x:c>
      <x:c r="V315" s="36" t="n">
        <x:v>0</x:v>
      </x:c>
      <x:c r="W315" s="44"/>
      <x:c r="X315" s="36"/>
      <x:c r="Y315" s="36"/>
      <x:c r="Z315" s="44"/>
      <x:c r="AA315" s="49"/>
      <x:c r="AB315" s="43"/>
      <x:c r="AC315" s="34"/>
      <x:c r="AD315" s="34"/>
      <x:c r="AE315" s="34"/>
      <x:c r="AF315" s="34"/>
      <x:c r="AG315" s="34"/>
      <x:c r="AH315" s="34"/>
      <x:c r="AI315" s="34"/>
    </x:row>
    <x:row r="316">
      <x:c r="A316" s="34" t="str">
        <x:v>article1-unified-v4-2-fb3f101b-20260903-000401-default-f02-p2-cache2k</x:v>
      </x:c>
      <x:c r="B316" s="34" t="str">
        <x:v>default</x:v>
      </x:c>
      <x:c r="C316" s="34" t="str">
        <x:v>cache2k</x:v>
      </x:c>
      <x:c r="D316" s="34" t="str">
        <x:v>cache2k</x:v>
      </x:c>
      <x:c r="E316" s="36" t="n">
        <x:v>2</x:v>
      </x:c>
      <x:c r="F316" s="36" t="n">
        <x:v>2</x:v>
      </x:c>
      <x:c r="G316" s="36" t="n">
        <x:v>2</x:v>
      </x:c>
      <x:c r="H316" s="36" t="n">
        <x:v>4</x:v>
      </x:c>
      <x:c r="I316" s="34" t="str">
        <x:v>loaded</x:v>
      </x:c>
      <x:c r="J316" s="34" t="str">
        <x:v>loaded</x:v>
      </x:c>
      <x:c r="K316" s="36" t="n">
        <x:v>0</x:v>
      </x:c>
      <x:c r="L316" s="34" t="str">
        <x:v>initial</x:v>
      </x:c>
      <x:c r="M316" s="34" t="str">
        <x:v>article1-unified-v4-2-fb3f101b-20260903-000401-default-f02-p2-cache2k-4-loaded</x:v>
      </x:c>
      <x:c r="N316" s="38" t="n">
        <x:v>46267.96676802084</x:v>
      </x:c>
      <x:c r="O316" s="36" t="n">
        <x:v>0</x:v>
      </x:c>
      <x:c r="P316" s="43" t="n">
        <x:v>92232704</x:v>
      </x:c>
      <x:c r="Q316" s="43" t="n">
        <x:v>268435456</x:v>
      </x:c>
      <x:c r="R316" s="43" t="n">
        <x:v>443723776</x:v>
      </x:c>
      <x:c r="S316" s="36" t="n">
        <x:v>3</x:v>
      </x:c>
      <x:c r="T316" s="44" t="str">
        <x:v>0x000000000e1177b8  0x000000000e003818  0x000075c84c60d540       0         0         0  org.apache.catalina.loader.ParallelWebappClassLoader | 0x000000000e1177b8  0x000000000e003818  0x000075c784198430    4446  21282816  21275616  org.apache.catalina.loader.ParallelWebappClassLoader | 0x000000000e1177b8  0x000000000e003818  0x000075c7a8248c30    4450  21307392  21284216  org.apache.catalina.loader.ParallelWebappClassLoader</x:v>
      </x:c>
      <x:c r="U316" s="36" t="n">
        <x:v>29</x:v>
      </x:c>
      <x:c r="V316" s="36" t="n">
        <x:v>0</x:v>
      </x:c>
      <x:c r="W316" s="44"/>
      <x:c r="X316" s="36"/>
      <x:c r="Y316" s="36"/>
      <x:c r="Z316" s="44"/>
      <x:c r="AA316" s="49"/>
      <x:c r="AB316" s="43"/>
      <x:c r="AC316" s="34"/>
      <x:c r="AD316" s="34"/>
      <x:c r="AE316" s="34"/>
      <x:c r="AF316" s="34"/>
      <x:c r="AG316" s="34"/>
      <x:c r="AH316" s="34"/>
      <x:c r="AI316" s="34"/>
    </x:row>
    <x:row r="317">
      <x:c r="A317" s="34" t="str">
        <x:v>article1-unified-v4-2-fb3f101b-20260903-000401-default-f02-p2-cache2k</x:v>
      </x:c>
      <x:c r="B317" s="34" t="str">
        <x:v>default</x:v>
      </x:c>
      <x:c r="C317" s="34" t="str">
        <x:v>cache2k</x:v>
      </x:c>
      <x:c r="D317" s="34" t="str">
        <x:v>cache2k</x:v>
      </x:c>
      <x:c r="E317" s="36" t="n">
        <x:v>2</x:v>
      </x:c>
      <x:c r="F317" s="36" t="n">
        <x:v>2</x:v>
      </x:c>
      <x:c r="G317" s="36" t="n">
        <x:v>2</x:v>
      </x:c>
      <x:c r="H317" s="36" t="n">
        <x:v>4</x:v>
      </x:c>
      <x:c r="I317" s="34" t="str">
        <x:v>afterUndeployEarly</x:v>
      </x:c>
      <x:c r="J317" s="34" t="str">
        <x:v>after-undeploy-early</x:v>
      </x:c>
      <x:c r="K317" s="36" t="n">
        <x:v>1</x:v>
      </x:c>
      <x:c r="L317" s="34" t="str">
        <x:v>early</x:v>
      </x:c>
      <x:c r="M317" s="34" t="str">
        <x:v>article1-unified-v4-2-fb3f101b-20260903-000401-default-f02-p2-cache2k-4-after-undeploy-early-2s</x:v>
      </x:c>
      <x:c r="N317" s="38" t="n">
        <x:v>46267.966854502316</x:v>
      </x:c>
      <x:c r="O317" s="36"/>
      <x:c r="P317" s="43"/>
      <x:c r="Q317" s="43"/>
      <x:c r="R317" s="43"/>
      <x:c r="S317" s="36"/>
      <x:c r="T317" s="44"/>
      <x:c r="U317" s="36" t="n">
        <x:v>27</x:v>
      </x:c>
      <x:c r="V317" s="36" t="n">
        <x:v>0</x:v>
      </x:c>
      <x:c r="W317" s="44"/>
      <x:c r="X317" s="36"/>
      <x:c r="Y317" s="36"/>
      <x:c r="Z317" s="44"/>
      <x:c r="AA317" s="49"/>
      <x:c r="AB317" s="43" t="n">
        <x:v>1</x:v>
      </x:c>
      <x:c r="AC317" s="34"/>
      <x:c r="AD317" s="34"/>
      <x:c r="AE317" s="34" t="str">
        <x:v>article1-unified-v4-2-fb3f101b-20260903-000401-default-f02-p2-cache2k-4-after-undeploy-early-2s-thread-dump.txt</x:v>
      </x:c>
      <x:c r="AF317" s="34" t="str">
        <x:v>article1-unified-v4-2-fb3f101b-20260903-000401-default-f02-p2-cache2k-4-after-undeploy-early-tomcat-log.txt</x:v>
      </x:c>
      <x:c r="AG317" s="34"/>
      <x:c r="AH317" s="34"/>
      <x:c r="AI317" s="34"/>
    </x:row>
    <x:row r="318">
      <x:c r="A318" s="34" t="str">
        <x:v>article1-unified-v4-2-fb3f101b-20260903-000401-default-f02-p2-cache2k</x:v>
      </x:c>
      <x:c r="B318" s="34" t="str">
        <x:v>default</x:v>
      </x:c>
      <x:c r="C318" s="34" t="str">
        <x:v>cache2k</x:v>
      </x:c>
      <x:c r="D318" s="34" t="str">
        <x:v>cache2k</x:v>
      </x:c>
      <x:c r="E318" s="36" t="n">
        <x:v>2</x:v>
      </x:c>
      <x:c r="F318" s="36" t="n">
        <x:v>2</x:v>
      </x:c>
      <x:c r="G318" s="36" t="n">
        <x:v>2</x:v>
      </x:c>
      <x:c r="H318" s="36" t="n">
        <x:v>4</x:v>
      </x:c>
      <x:c r="I318" s="34" t="str">
        <x:v>afterUndeploy</x:v>
      </x:c>
      <x:c r="J318" s="34" t="str">
        <x:v>after-undeploy-final</x:v>
      </x:c>
      <x:c r="K318" s="36" t="n">
        <x:v>1</x:v>
      </x:c>
      <x:c r="L318" s="34" t="str">
        <x:v>final</x:v>
      </x:c>
      <x:c r="M318" s="34" t="str">
        <x:v>article1-unified-v4-2-fb3f101b-20260903-000401-default-f02-p2-cache2k-4-after-undeploy-final-10s</x:v>
      </x:c>
      <x:c r="N318" s="38" t="n">
        <x:v>46267.96701436343</x:v>
      </x:c>
      <x:c r="O318" s="36" t="n">
        <x:v>2</x:v>
      </x:c>
      <x:c r="P318" s="43" t="n">
        <x:v>15568896</x:v>
      </x:c>
      <x:c r="Q318" s="43" t="n">
        <x:v>268435456</x:v>
      </x:c>
      <x:c r="R318" s="43" t="n">
        <x:v>422643712</x:v>
      </x:c>
      <x:c r="S318" s="36" t="n">
        <x:v>2</x:v>
      </x:c>
      <x:c r="T318" s="44" t="str">
        <x:v>0x000000000e1177b8  0x000000000e003818  0x000075c784198430    4456  21331968  21304560  org.apache.catalina.loader.ParallelWebappClassLoader | 0x000000000e1177b8  0x000000000e003818  0x000075c84c60d540       0         0         0  org.apache.catalina.loader.ParallelWebappClassLoader</x:v>
      </x:c>
      <x:c r="U318" s="36" t="n">
        <x:v>27</x:v>
      </x:c>
      <x:c r="V318" s="36" t="n">
        <x:v>0</x:v>
      </x:c>
      <x:c r="W318" s="44"/>
      <x:c r="X318" s="36" t="n">
        <x:v>1</x:v>
      </x:c>
      <x:c r="Y318" s="36" t="n">
        <x:v>1</x:v>
      </x:c>
      <x:c r="Z318" s="44" t="str">
        <x:v>/cache2k</x:v>
      </x:c>
      <x:c r="AA318" s="45" t="b">
        <x:v>1</x:v>
      </x:c>
      <x:c r="AB318" s="43"/>
      <x:c r="AC318" s="34" t="str">
        <x:v>article1-unified-v4-2-fb3f101b-20260903-000401-default-f02-p2-cache2k-4-after-undeploy-final-10s-heap-info.txt</x:v>
      </x:c>
      <x:c r="AD318" s="34" t="str">
        <x:v>article1-unified-v4-2-fb3f101b-20260903-000401-default-f02-p2-cache2k-4-after-undeploy-final-10s-classloader-stats.txt</x:v>
      </x:c>
      <x:c r="AE318" s="34" t="str">
        <x:v>article1-unified-v4-2-fb3f101b-20260903-000401-default-f02-p2-cache2k-4-after-undeploy-final-10s-thread-dump.txt</x:v>
      </x:c>
      <x:c r="AF318" s="34"/>
      <x:c r="AG318" s="34" t="str">
        <x:v>article1-unified-v4-2-fb3f101b-20260903-000401-default-f02-p2-cache2k-4-after-undeploy-final-10s-native-memory.txt</x:v>
      </x:c>
      <x:c r="AH318" s="34" t="str">
        <x:v>article1-unified-v4-2-fb3f101b-20260903-000401-default-f02-p2-cache2k-4-after-undeploy-final-10s-class-histogram.txt</x:v>
      </x:c>
      <x:c r="AI318" s="34" t="str">
        <x:v>article1-unified-v4-2-fb3f101b-20260903-000401-default-f02-p2-cache2k-4-after-undeploy-tomcat-findleaks.txt</x:v>
      </x:c>
    </x:row>
    <x:row r="319">
      <x:c r="A319" s="34" t="str">
        <x:v>article1-unified-v4-2-fb3f101b-20260903-000401-default-f02-p2-cache2k</x:v>
      </x:c>
      <x:c r="B319" s="34" t="str">
        <x:v>default</x:v>
      </x:c>
      <x:c r="C319" s="34" t="str">
        <x:v>cache2k</x:v>
      </x:c>
      <x:c r="D319" s="34" t="str">
        <x:v>cache2k</x:v>
      </x:c>
      <x:c r="E319" s="36" t="n">
        <x:v>2</x:v>
      </x:c>
      <x:c r="F319" s="36" t="n">
        <x:v>2</x:v>
      </x:c>
      <x:c r="G319" s="36" t="n">
        <x:v>2</x:v>
      </x:c>
      <x:c r="H319" s="36" t="n">
        <x:v>4</x:v>
      </x:c>
      <x:c r="I319" s="34" t="str">
        <x:v>redeployedLoaded</x:v>
      </x:c>
      <x:c r="J319" s="34" t="str">
        <x:v>redeployed-loaded</x:v>
      </x:c>
      <x:c r="K319" s="36" t="n">
        <x:v>0</x:v>
      </x:c>
      <x:c r="L319" s="34" t="str">
        <x:v>redeploy</x:v>
      </x:c>
      <x:c r="M319" s="34" t="str">
        <x:v>article1-unified-v4-2-fb3f101b-20260903-000401-default-f02-p2-cache2k-4-redeployed-loaded</x:v>
      </x:c>
      <x:c r="N319" s="38" t="n">
        <x:v>46267.967278668984</x:v>
      </x:c>
      <x:c r="O319" s="36" t="n">
        <x:v>0</x:v>
      </x:c>
      <x:c r="P319" s="43" t="n">
        <x:v>93400064</x:v>
      </x:c>
      <x:c r="Q319" s="43" t="n">
        <x:v>268435456</x:v>
      </x:c>
      <x:c r="R319" s="43" t="n">
        <x:v>444568576</x:v>
      </x:c>
      <x:c r="S319" s="36" t="n">
        <x:v>3</x:v>
      </x:c>
      <x:c r="T319" s="44" t="str">
        <x:v>0x000000000e1177b8  0x000000000e003818  0x000075c77c017f10    4442  21277696  21262232  org.apache.catalina.loader.ParallelWebappClassLoader | 0x000000000e1177b8  0x000000000e003818  0x000075c784198430    4456  21331968  21304560  org.apache.catalina.loader.ParallelWebappClassLoader | 0x000000000e1177b8  0x000000000e003818  0x000075c84c60d540       0         0         0  org.apache.catalina.loader.ParallelWebappClassLoader</x:v>
      </x:c>
      <x:c r="U319" s="36" t="n">
        <x:v>29</x:v>
      </x:c>
      <x:c r="V319" s="36" t="n">
        <x:v>0</x:v>
      </x:c>
      <x:c r="W319" s="44"/>
      <x:c r="X319" s="36"/>
      <x:c r="Y319" s="36"/>
      <x:c r="Z319" s="44"/>
      <x:c r="AA319" s="49"/>
      <x:c r="AB319" s="43"/>
      <x:c r="AC319" s="34"/>
      <x:c r="AD319" s="34"/>
      <x:c r="AE319" s="34"/>
      <x:c r="AF319" s="34"/>
      <x:c r="AG319" s="34"/>
      <x:c r="AH319" s="34"/>
      <x:c r="AI319" s="34"/>
    </x:row>
    <x:row r="320">
      <x:c r="A320" s="34" t="str">
        <x:v>article1-unified-v4-2-fb3f101b-20260903-000401-default-f02-p2-cache2k</x:v>
      </x:c>
      <x:c r="B320" s="34" t="str">
        <x:v>default</x:v>
      </x:c>
      <x:c r="C320" s="34" t="str">
        <x:v>cache2k</x:v>
      </x:c>
      <x:c r="D320" s="34" t="str">
        <x:v>cache2k</x:v>
      </x:c>
      <x:c r="E320" s="36" t="n">
        <x:v>2</x:v>
      </x:c>
      <x:c r="F320" s="36" t="n">
        <x:v>2</x:v>
      </x:c>
      <x:c r="G320" s="36" t="n">
        <x:v>2</x:v>
      </x:c>
      <x:c r="H320" s="36" t="n">
        <x:v>4</x:v>
      </x:c>
      <x:c r="I320" s="34" t="str">
        <x:v>afterFinalUndeployEarly</x:v>
      </x:c>
      <x:c r="J320" s="34" t="str">
        <x:v>after-final-undeploy-early</x:v>
      </x:c>
      <x:c r="K320" s="36" t="n">
        <x:v>2</x:v>
      </x:c>
      <x:c r="L320" s="34" t="str">
        <x:v>early</x:v>
      </x:c>
      <x:c r="M320" s="34" t="str">
        <x:v>article1-unified-v4-2-fb3f101b-20260903-000401-default-f02-p2-cache2k-4-after-final-undeploy-early-2s</x:v>
      </x:c>
      <x:c r="N320" s="38" t="n">
        <x:v>46267.96736115741</x:v>
      </x:c>
      <x:c r="O320" s="36"/>
      <x:c r="P320" s="43"/>
      <x:c r="Q320" s="43"/>
      <x:c r="R320" s="43"/>
      <x:c r="S320" s="36"/>
      <x:c r="T320" s="44"/>
      <x:c r="U320" s="36" t="n">
        <x:v>27</x:v>
      </x:c>
      <x:c r="V320" s="36" t="n">
        <x:v>0</x:v>
      </x:c>
      <x:c r="W320" s="44"/>
      <x:c r="X320" s="36"/>
      <x:c r="Y320" s="36"/>
      <x:c r="Z320" s="44"/>
      <x:c r="AA320" s="49"/>
      <x:c r="AB320" s="43" t="n">
        <x:v>1</x:v>
      </x:c>
      <x:c r="AC320" s="34"/>
      <x:c r="AD320" s="34"/>
      <x:c r="AE320" s="34" t="str">
        <x:v>article1-unified-v4-2-fb3f101b-20260903-000401-default-f02-p2-cache2k-4-after-final-undeploy-early-2s-thread-dump.txt</x:v>
      </x:c>
      <x:c r="AF320" s="34" t="str">
        <x:v>article1-unified-v4-2-fb3f101b-20260903-000401-default-f02-p2-cache2k-4-after-final-undeploy-early-tomcat-log.txt</x:v>
      </x:c>
      <x:c r="AG320" s="34"/>
      <x:c r="AH320" s="34"/>
      <x:c r="AI320" s="34"/>
    </x:row>
    <x:row r="321">
      <x:c r="A321" s="34" t="str">
        <x:v>article1-unified-v4-2-fb3f101b-20260903-000401-default-f02-p2-cache2k</x:v>
      </x:c>
      <x:c r="B321" s="34" t="str">
        <x:v>default</x:v>
      </x:c>
      <x:c r="C321" s="34" t="str">
        <x:v>cache2k</x:v>
      </x:c>
      <x:c r="D321" s="34" t="str">
        <x:v>cache2k</x:v>
      </x:c>
      <x:c r="E321" s="36" t="n">
        <x:v>2</x:v>
      </x:c>
      <x:c r="F321" s="36" t="n">
        <x:v>2</x:v>
      </x:c>
      <x:c r="G321" s="36" t="n">
        <x:v>2</x:v>
      </x:c>
      <x:c r="H321" s="36" t="n">
        <x:v>4</x:v>
      </x:c>
      <x:c r="I321" s="34" t="str">
        <x:v>afterFinalUndeploy</x:v>
      </x:c>
      <x:c r="J321" s="34" t="str">
        <x:v>after-final-undeploy-final</x:v>
      </x:c>
      <x:c r="K321" s="36" t="n">
        <x:v>2</x:v>
      </x:c>
      <x:c r="L321" s="34" t="str">
        <x:v>final</x:v>
      </x:c>
      <x:c r="M321" s="34" t="str">
        <x:v>article1-unified-v4-2-fb3f101b-20260903-000401-default-f02-p2-cache2k-4-after-final-undeploy-final-10s</x:v>
      </x:c>
      <x:c r="N321" s="38" t="n">
        <x:v>46267.967521099534</x:v>
      </x:c>
      <x:c r="O321" s="36" t="n">
        <x:v>2</x:v>
      </x:c>
      <x:c r="P321" s="43" t="n">
        <x:v>15578112</x:v>
      </x:c>
      <x:c r="Q321" s="43" t="n">
        <x:v>268435456</x:v>
      </x:c>
      <x:c r="R321" s="43" t="n">
        <x:v>427804672</x:v>
      </x:c>
      <x:c r="S321" s="36" t="n">
        <x:v>2</x:v>
      </x:c>
      <x:c r="T321" s="44" t="str">
        <x:v>0x000000000e1177b8  0x000000000e003818  0x000075c77c017f10    4452  21310464  21291176  org.apache.catalina.loader.ParallelWebappClassLoader | 0x000000000e1177b8  0x000000000e003818  0x000075c84c60d540       0         0         0  org.apache.catalina.loader.ParallelWebappClassLoader</x:v>
      </x:c>
      <x:c r="U321" s="36" t="n">
        <x:v>27</x:v>
      </x:c>
      <x:c r="V321" s="36" t="n">
        <x:v>0</x:v>
      </x:c>
      <x:c r="W321" s="44"/>
      <x:c r="X321" s="36" t="n">
        <x:v>1</x:v>
      </x:c>
      <x:c r="Y321" s="36" t="n">
        <x:v>1</x:v>
      </x:c>
      <x:c r="Z321" s="44" t="str">
        <x:v>/cache2k</x:v>
      </x:c>
      <x:c r="AA321" s="45" t="b">
        <x:v>1</x:v>
      </x:c>
      <x:c r="AB321" s="43"/>
      <x:c r="AC321" s="34" t="str">
        <x:v>article1-unified-v4-2-fb3f101b-20260903-000401-default-f02-p2-cache2k-4-after-final-undeploy-final-10s-heap-info.txt</x:v>
      </x:c>
      <x:c r="AD321" s="34" t="str">
        <x:v>article1-unified-v4-2-fb3f101b-20260903-000401-default-f02-p2-cache2k-4-after-final-undeploy-final-10s-classloader-stats.txt</x:v>
      </x:c>
      <x:c r="AE321" s="34" t="str">
        <x:v>article1-unified-v4-2-fb3f101b-20260903-000401-default-f02-p2-cache2k-4-after-final-undeploy-final-10s-thread-dump.txt</x:v>
      </x:c>
      <x:c r="AF321" s="34"/>
      <x:c r="AG321" s="34" t="str">
        <x:v>article1-unified-v4-2-fb3f101b-20260903-000401-default-f02-p2-cache2k-4-after-final-undeploy-final-10s-native-memory.txt</x:v>
      </x:c>
      <x:c r="AH321" s="34" t="str">
        <x:v>article1-unified-v4-2-fb3f101b-20260903-000401-default-f02-p2-cache2k-4-after-final-undeploy-final-10s-class-histogram.txt</x:v>
      </x:c>
      <x:c r="AI321" s="34" t="str">
        <x:v>article1-unified-v4-2-fb3f101b-20260903-000401-default-f02-p2-cache2k-4-after-final-undeploy-tomcat-findleaks.txt</x:v>
      </x:c>
    </x:row>
    <x:row r="322">
      <x:c r="A322" s="34" t="str">
        <x:v>article1-unified-v4-2-fb3f101b-20260903-000401-default-f02-p2-cache2k</x:v>
      </x:c>
      <x:c r="B322" s="34" t="str">
        <x:v>default</x:v>
      </x:c>
      <x:c r="C322" s="34" t="str">
        <x:v>cache2k</x:v>
      </x:c>
      <x:c r="D322" s="34" t="str">
        <x:v>cache2k</x:v>
      </x:c>
      <x:c r="E322" s="36" t="n">
        <x:v>2</x:v>
      </x:c>
      <x:c r="F322" s="36" t="n">
        <x:v>2</x:v>
      </x:c>
      <x:c r="G322" s="36" t="n">
        <x:v>2</x:v>
      </x:c>
      <x:c r="H322" s="36" t="n">
        <x:v>5</x:v>
      </x:c>
      <x:c r="I322" s="34" t="str">
        <x:v>baseline</x:v>
      </x:c>
      <x:c r="J322" s="34" t="str">
        <x:v>cycle-baseline</x:v>
      </x:c>
      <x:c r="K322" s="36" t="n">
        <x:v>0</x:v>
      </x:c>
      <x:c r="L322" s="34" t="str">
        <x:v>baseline</x:v>
      </x:c>
      <x:c r="M322" s="34" t="str">
        <x:v>article1-unified-v4-2-fb3f101b-20260903-000401-default-f02-p2-cache2k-5-baseline</x:v>
      </x:c>
      <x:c r="N322" s="38" t="n">
        <x:v>46267.96756975695</x:v>
      </x:c>
      <x:c r="O322" s="36" t="n">
        <x:v>0</x:v>
      </x:c>
      <x:c r="P322" s="43" t="n">
        <x:v>15584256</x:v>
      </x:c>
      <x:c r="Q322" s="43" t="n">
        <x:v>268435456</x:v>
      </x:c>
      <x:c r="R322" s="43" t="n">
        <x:v>427804672</x:v>
      </x:c>
      <x:c r="S322" s="36" t="n">
        <x:v>2</x:v>
      </x:c>
      <x:c r="T322" s="44" t="str">
        <x:v>0x000000000e1177b8  0x000000000e003818  0x000075c77c017f10    4452  21310464  21291176  org.apache.catalina.loader.ParallelWebappClassLoader | 0x000000000e1177b8  0x000000000e003818  0x000075c84c60d540       0         0         0  org.apache.catalina.loader.ParallelWebappClassLoader</x:v>
      </x:c>
      <x:c r="U322" s="36" t="n">
        <x:v>27</x:v>
      </x:c>
      <x:c r="V322" s="36" t="n">
        <x:v>0</x:v>
      </x:c>
      <x:c r="W322" s="44"/>
      <x:c r="X322" s="36"/>
      <x:c r="Y322" s="36"/>
      <x:c r="Z322" s="44"/>
      <x:c r="AA322" s="49"/>
      <x:c r="AB322" s="43"/>
      <x:c r="AC322" s="34" t="str">
        <x:v>article1-unified-v4-2-fb3f101b-20260903-000401-default-f02-p2-cache2k-5-baseline-heap-info.txt</x:v>
      </x:c>
      <x:c r="AD322" s="34" t="str">
        <x:v>article1-unified-v4-2-fb3f101b-20260903-000401-default-f02-p2-cache2k-5-baseline-classloader-stats.txt</x:v>
      </x:c>
      <x:c r="AE322" s="34" t="str">
        <x:v>article1-unified-v4-2-fb3f101b-20260903-000401-default-f02-p2-cache2k-5-baseline-thread-dump.txt</x:v>
      </x:c>
      <x:c r="AF322" s="34"/>
      <x:c r="AG322" s="34" t="str">
        <x:v>article1-unified-v4-2-fb3f101b-20260903-000401-default-f02-p2-cache2k-5-baseline-native-memory.txt</x:v>
      </x:c>
      <x:c r="AH322" s="34"/>
      <x:c r="AI322" s="34"/>
    </x:row>
    <x:row r="323">
      <x:c r="A323" s="34" t="str">
        <x:v>article1-unified-v4-2-fb3f101b-20260903-000401-default-f02-p2-cache2k</x:v>
      </x:c>
      <x:c r="B323" s="34" t="str">
        <x:v>default</x:v>
      </x:c>
      <x:c r="C323" s="34" t="str">
        <x:v>cache2k</x:v>
      </x:c>
      <x:c r="D323" s="34" t="str">
        <x:v>cache2k</x:v>
      </x:c>
      <x:c r="E323" s="36" t="n">
        <x:v>2</x:v>
      </x:c>
      <x:c r="F323" s="36" t="n">
        <x:v>2</x:v>
      </x:c>
      <x:c r="G323" s="36" t="n">
        <x:v>2</x:v>
      </x:c>
      <x:c r="H323" s="36" t="n">
        <x:v>5</x:v>
      </x:c>
      <x:c r="I323" s="34" t="str">
        <x:v>deployedIdle</x:v>
      </x:c>
      <x:c r="J323" s="34" t="str">
        <x:v>deployed-idle</x:v>
      </x:c>
      <x:c r="K323" s="36" t="n">
        <x:v>0</x:v>
      </x:c>
      <x:c r="L323" s="34" t="str">
        <x:v>initial</x:v>
      </x:c>
      <x:c r="M323" s="34" t="str">
        <x:v>article1-unified-v4-2-fb3f101b-20260903-000401-default-f02-p2-cache2k-5-deployed-idle</x:v>
      </x:c>
      <x:c r="N323" s="38" t="n">
        <x:v>46267.96767775463</x:v>
      </x:c>
      <x:c r="O323" s="36" t="n">
        <x:v>0</x:v>
      </x:c>
      <x:c r="P323" s="43" t="n">
        <x:v>166425600</x:v>
      </x:c>
      <x:c r="Q323" s="43" t="n">
        <x:v>268435456</x:v>
      </x:c>
      <x:c r="R323" s="43" t="n">
        <x:v>442999808</x:v>
      </x:c>
      <x:c r="S323" s="36" t="n">
        <x:v>3</x:v>
      </x:c>
      <x:c r="T323" s="44" t="str">
        <x:v>0x000000000e1177b8  0x000000000e003818  0x000075c77c017f10    4452  21310464  21291176  org.apache.catalina.loader.ParallelWebappClassLoader | 0x000000000e1177b8  0x000000000e003818  0x000075c84c60d540       0         0         0  org.apache.catalina.loader.ParallelWebappClassLoader | 0x000000000e1177b8  0x000000000e003818  0x000075c75c4f1920    4091  19446784  19431440  org.apache.catalina.loader.ParallelWebappClassLoader</x:v>
      </x:c>
      <x:c r="U323" s="36" t="n">
        <x:v>27</x:v>
      </x:c>
      <x:c r="V323" s="36" t="n">
        <x:v>0</x:v>
      </x:c>
      <x:c r="W323" s="44"/>
      <x:c r="X323" s="36"/>
      <x:c r="Y323" s="36"/>
      <x:c r="Z323" s="44"/>
      <x:c r="AA323" s="49"/>
      <x:c r="AB323" s="43"/>
      <x:c r="AC323" s="34"/>
      <x:c r="AD323" s="34"/>
      <x:c r="AE323" s="34"/>
      <x:c r="AF323" s="34"/>
      <x:c r="AG323" s="34"/>
      <x:c r="AH323" s="34"/>
      <x:c r="AI323" s="34"/>
    </x:row>
    <x:row r="324">
      <x:c r="A324" s="34" t="str">
        <x:v>article1-unified-v4-2-fb3f101b-20260903-000401-default-f02-p2-cache2k</x:v>
      </x:c>
      <x:c r="B324" s="34" t="str">
        <x:v>default</x:v>
      </x:c>
      <x:c r="C324" s="34" t="str">
        <x:v>cache2k</x:v>
      </x:c>
      <x:c r="D324" s="34" t="str">
        <x:v>cache2k</x:v>
      </x:c>
      <x:c r="E324" s="36" t="n">
        <x:v>2</x:v>
      </x:c>
      <x:c r="F324" s="36" t="n">
        <x:v>2</x:v>
      </x:c>
      <x:c r="G324" s="36" t="n">
        <x:v>2</x:v>
      </x:c>
      <x:c r="H324" s="36" t="n">
        <x:v>5</x:v>
      </x:c>
      <x:c r="I324" s="34" t="str">
        <x:v>loaded</x:v>
      </x:c>
      <x:c r="J324" s="34" t="str">
        <x:v>loaded</x:v>
      </x:c>
      <x:c r="K324" s="36" t="n">
        <x:v>0</x:v>
      </x:c>
      <x:c r="L324" s="34" t="str">
        <x:v>initial</x:v>
      </x:c>
      <x:c r="M324" s="34" t="str">
        <x:v>article1-unified-v4-2-fb3f101b-20260903-000401-default-f02-p2-cache2k-5-loaded</x:v>
      </x:c>
      <x:c r="N324" s="38" t="n">
        <x:v>46267.967825416665</x:v>
      </x:c>
      <x:c r="O324" s="36" t="n">
        <x:v>0</x:v>
      </x:c>
      <x:c r="P324" s="43" t="n">
        <x:v>92243968</x:v>
      </x:c>
      <x:c r="Q324" s="43" t="n">
        <x:v>268435456</x:v>
      </x:c>
      <x:c r="R324" s="43" t="n">
        <x:v>448198656</x:v>
      </x:c>
      <x:c r="S324" s="36" t="n">
        <x:v>3</x:v>
      </x:c>
      <x:c r="T324" s="44" t="str">
        <x:v>0x000000000e1177b8  0x000000000e003818  0x000075c77c017f10    4452  21310464  21291176  org.apache.catalina.loader.ParallelWebappClassLoader | 0x000000000e1177b8  0x000000000e003818  0x000075c84c60d540       0         0         0  org.apache.catalina.loader.ParallelWebappClassLoader | 0x000000000e1177b8  0x000000000e003818  0x000075c75c4f1920    4441  21281792  21265472  org.apache.catalina.loader.ParallelWebappClassLoader</x:v>
      </x:c>
      <x:c r="U324" s="36" t="n">
        <x:v>29</x:v>
      </x:c>
      <x:c r="V324" s="36" t="n">
        <x:v>0</x:v>
      </x:c>
      <x:c r="W324" s="44"/>
      <x:c r="X324" s="36"/>
      <x:c r="Y324" s="36"/>
      <x:c r="Z324" s="44"/>
      <x:c r="AA324" s="49"/>
      <x:c r="AB324" s="43"/>
      <x:c r="AC324" s="34"/>
      <x:c r="AD324" s="34"/>
      <x:c r="AE324" s="34"/>
      <x:c r="AF324" s="34"/>
      <x:c r="AG324" s="34"/>
      <x:c r="AH324" s="34"/>
      <x:c r="AI324" s="34"/>
    </x:row>
    <x:row r="325">
      <x:c r="A325" s="34" t="str">
        <x:v>article1-unified-v4-2-fb3f101b-20260903-000401-default-f02-p2-cache2k</x:v>
      </x:c>
      <x:c r="B325" s="34" t="str">
        <x:v>default</x:v>
      </x:c>
      <x:c r="C325" s="34" t="str">
        <x:v>cache2k</x:v>
      </x:c>
      <x:c r="D325" s="34" t="str">
        <x:v>cache2k</x:v>
      </x:c>
      <x:c r="E325" s="36" t="n">
        <x:v>2</x:v>
      </x:c>
      <x:c r="F325" s="36" t="n">
        <x:v>2</x:v>
      </x:c>
      <x:c r="G325" s="36" t="n">
        <x:v>2</x:v>
      </x:c>
      <x:c r="H325" s="36" t="n">
        <x:v>5</x:v>
      </x:c>
      <x:c r="I325" s="34" t="str">
        <x:v>afterUndeployEarly</x:v>
      </x:c>
      <x:c r="J325" s="34" t="str">
        <x:v>after-undeploy-early</x:v>
      </x:c>
      <x:c r="K325" s="36" t="n">
        <x:v>1</x:v>
      </x:c>
      <x:c r="L325" s="34" t="str">
        <x:v>early</x:v>
      </x:c>
      <x:c r="M325" s="34" t="str">
        <x:v>article1-unified-v4-2-fb3f101b-20260903-000401-default-f02-p2-cache2k-5-after-undeploy-early-2s</x:v>
      </x:c>
      <x:c r="N325" s="38" t="n">
        <x:v>46267.967907847225</x:v>
      </x:c>
      <x:c r="O325" s="36"/>
      <x:c r="P325" s="43"/>
      <x:c r="Q325" s="43"/>
      <x:c r="R325" s="43"/>
      <x:c r="S325" s="36"/>
      <x:c r="T325" s="44"/>
      <x:c r="U325" s="36" t="n">
        <x:v>27</x:v>
      </x:c>
      <x:c r="V325" s="36" t="n">
        <x:v>0</x:v>
      </x:c>
      <x:c r="W325" s="44"/>
      <x:c r="X325" s="36"/>
      <x:c r="Y325" s="36"/>
      <x:c r="Z325" s="44"/>
      <x:c r="AA325" s="49"/>
      <x:c r="AB325" s="43" t="n">
        <x:v>1</x:v>
      </x:c>
      <x:c r="AC325" s="34"/>
      <x:c r="AD325" s="34"/>
      <x:c r="AE325" s="34" t="str">
        <x:v>article1-unified-v4-2-fb3f101b-20260903-000401-default-f02-p2-cache2k-5-after-undeploy-early-2s-thread-dump.txt</x:v>
      </x:c>
      <x:c r="AF325" s="34" t="str">
        <x:v>article1-unified-v4-2-fb3f101b-20260903-000401-default-f02-p2-cache2k-5-after-undeploy-early-tomcat-log.txt</x:v>
      </x:c>
      <x:c r="AG325" s="34"/>
      <x:c r="AH325" s="34"/>
      <x:c r="AI325" s="34"/>
    </x:row>
    <x:row r="326">
      <x:c r="A326" s="34" t="str">
        <x:v>article1-unified-v4-2-fb3f101b-20260903-000401-default-f02-p2-cache2k</x:v>
      </x:c>
      <x:c r="B326" s="34" t="str">
        <x:v>default</x:v>
      </x:c>
      <x:c r="C326" s="34" t="str">
        <x:v>cache2k</x:v>
      </x:c>
      <x:c r="D326" s="34" t="str">
        <x:v>cache2k</x:v>
      </x:c>
      <x:c r="E326" s="36" t="n">
        <x:v>2</x:v>
      </x:c>
      <x:c r="F326" s="36" t="n">
        <x:v>2</x:v>
      </x:c>
      <x:c r="G326" s="36" t="n">
        <x:v>2</x:v>
      </x:c>
      <x:c r="H326" s="36" t="n">
        <x:v>5</x:v>
      </x:c>
      <x:c r="I326" s="34" t="str">
        <x:v>afterUndeploy</x:v>
      </x:c>
      <x:c r="J326" s="34" t="str">
        <x:v>after-undeploy-final</x:v>
      </x:c>
      <x:c r="K326" s="36" t="n">
        <x:v>1</x:v>
      </x:c>
      <x:c r="L326" s="34" t="str">
        <x:v>final</x:v>
      </x:c>
      <x:c r="M326" s="34" t="str">
        <x:v>article1-unified-v4-2-fb3f101b-20260903-000401-default-f02-p2-cache2k-5-after-undeploy-final-10s</x:v>
      </x:c>
      <x:c r="N326" s="38" t="n">
        <x:v>46267.96806400463</x:v>
      </x:c>
      <x:c r="O326" s="36" t="n">
        <x:v>2</x:v>
      </x:c>
      <x:c r="P326" s="43" t="n">
        <x:v>15602688</x:v>
      </x:c>
      <x:c r="Q326" s="43" t="n">
        <x:v>268435456</x:v>
      </x:c>
      <x:c r="R326" s="43" t="n">
        <x:v>425031680</x:v>
      </x:c>
      <x:c r="S326" s="36" t="n">
        <x:v>2</x:v>
      </x:c>
      <x:c r="T326" s="44" t="str">
        <x:v>0x000000000e1177b8  0x000000000e003818  0x000075c84c60d540       0         0         0  org.apache.catalina.loader.ParallelWebappClassLoader | 0x000000000e1177b8  0x000000000e003818  0x000075c75c4f1920    4451  21314560  21294360  org.apache.catalina.loader.ParallelWebappClassLoader</x:v>
      </x:c>
      <x:c r="U326" s="36" t="n">
        <x:v>27</x:v>
      </x:c>
      <x:c r="V326" s="36" t="n">
        <x:v>0</x:v>
      </x:c>
      <x:c r="W326" s="44"/>
      <x:c r="X326" s="36" t="n">
        <x:v>1</x:v>
      </x:c>
      <x:c r="Y326" s="36" t="n">
        <x:v>1</x:v>
      </x:c>
      <x:c r="Z326" s="44" t="str">
        <x:v>/cache2k</x:v>
      </x:c>
      <x:c r="AA326" s="45" t="b">
        <x:v>1</x:v>
      </x:c>
      <x:c r="AB326" s="43"/>
      <x:c r="AC326" s="34" t="str">
        <x:v>article1-unified-v4-2-fb3f101b-20260903-000401-default-f02-p2-cache2k-5-after-undeploy-final-10s-heap-info.txt</x:v>
      </x:c>
      <x:c r="AD326" s="34" t="str">
        <x:v>article1-unified-v4-2-fb3f101b-20260903-000401-default-f02-p2-cache2k-5-after-undeploy-final-10s-classloader-stats.txt</x:v>
      </x:c>
      <x:c r="AE326" s="34" t="str">
        <x:v>article1-unified-v4-2-fb3f101b-20260903-000401-default-f02-p2-cache2k-5-after-undeploy-final-10s-thread-dump.txt</x:v>
      </x:c>
      <x:c r="AF326" s="34"/>
      <x:c r="AG326" s="34" t="str">
        <x:v>article1-unified-v4-2-fb3f101b-20260903-000401-default-f02-p2-cache2k-5-after-undeploy-final-10s-native-memory.txt</x:v>
      </x:c>
      <x:c r="AH326" s="34" t="str">
        <x:v>article1-unified-v4-2-fb3f101b-20260903-000401-default-f02-p2-cache2k-5-after-undeploy-final-10s-class-histogram.txt</x:v>
      </x:c>
      <x:c r="AI326" s="34" t="str">
        <x:v>article1-unified-v4-2-fb3f101b-20260903-000401-default-f02-p2-cache2k-5-after-undeploy-tomcat-findleaks.txt</x:v>
      </x:c>
    </x:row>
    <x:row r="327">
      <x:c r="A327" s="34" t="str">
        <x:v>article1-unified-v4-2-fb3f101b-20260903-000401-default-f02-p2-cache2k</x:v>
      </x:c>
      <x:c r="B327" s="34" t="str">
        <x:v>default</x:v>
      </x:c>
      <x:c r="C327" s="34" t="str">
        <x:v>cache2k</x:v>
      </x:c>
      <x:c r="D327" s="34" t="str">
        <x:v>cache2k</x:v>
      </x:c>
      <x:c r="E327" s="36" t="n">
        <x:v>2</x:v>
      </x:c>
      <x:c r="F327" s="36" t="n">
        <x:v>2</x:v>
      </x:c>
      <x:c r="G327" s="36" t="n">
        <x:v>2</x:v>
      </x:c>
      <x:c r="H327" s="36" t="n">
        <x:v>5</x:v>
      </x:c>
      <x:c r="I327" s="34" t="str">
        <x:v>redeployedLoaded</x:v>
      </x:c>
      <x:c r="J327" s="34" t="str">
        <x:v>redeployed-loaded</x:v>
      </x:c>
      <x:c r="K327" s="36" t="n">
        <x:v>0</x:v>
      </x:c>
      <x:c r="L327" s="34" t="str">
        <x:v>redeploy</x:v>
      </x:c>
      <x:c r="M327" s="34" t="str">
        <x:v>article1-unified-v4-2-fb3f101b-20260903-000401-default-f02-p2-cache2k-5-redeployed-loaded</x:v>
      </x:c>
      <x:c r="N327" s="38" t="n">
        <x:v>46267.96832717593</x:v>
      </x:c>
      <x:c r="O327" s="36" t="n">
        <x:v>0</x:v>
      </x:c>
      <x:c r="P327" s="43" t="n">
        <x:v>93797376</x:v>
      </x:c>
      <x:c r="Q327" s="43" t="n">
        <x:v>268435456</x:v>
      </x:c>
      <x:c r="R327" s="43" t="n">
        <x:v>448041984</x:v>
      </x:c>
      <x:c r="S327" s="36" t="n">
        <x:v>3</x:v>
      </x:c>
      <x:c r="T327" s="44" t="str">
        <x:v>0x000000000e1177b8  0x000000000e003818  0x000075c84c60d540       0         0         0  org.apache.catalina.loader.ParallelWebappClassLoader | 0x000000000e1177b8  0x000000000e003818  0x000075c7681787f0    4442  21260288  21249368  org.apache.catalina.loader.ParallelWebappClassLoader | 0x000000000e1177b8  0x000000000e003818  0x000075c75c4f1920    4451  21314560  21294360  org.apache.catalina.loader.ParallelWebappClassLoader</x:v>
      </x:c>
      <x:c r="U327" s="36" t="n">
        <x:v>29</x:v>
      </x:c>
      <x:c r="V327" s="36" t="n">
        <x:v>0</x:v>
      </x:c>
      <x:c r="W327" s="44"/>
      <x:c r="X327" s="36"/>
      <x:c r="Y327" s="36"/>
      <x:c r="Z327" s="44"/>
      <x:c r="AA327" s="49"/>
      <x:c r="AB327" s="43"/>
      <x:c r="AC327" s="34"/>
      <x:c r="AD327" s="34"/>
      <x:c r="AE327" s="34"/>
      <x:c r="AF327" s="34"/>
      <x:c r="AG327" s="34"/>
      <x:c r="AH327" s="34"/>
      <x:c r="AI327" s="34"/>
    </x:row>
    <x:row r="328">
      <x:c r="A328" s="34" t="str">
        <x:v>article1-unified-v4-2-fb3f101b-20260903-000401-default-f02-p2-cache2k</x:v>
      </x:c>
      <x:c r="B328" s="34" t="str">
        <x:v>default</x:v>
      </x:c>
      <x:c r="C328" s="34" t="str">
        <x:v>cache2k</x:v>
      </x:c>
      <x:c r="D328" s="34" t="str">
        <x:v>cache2k</x:v>
      </x:c>
      <x:c r="E328" s="36" t="n">
        <x:v>2</x:v>
      </x:c>
      <x:c r="F328" s="36" t="n">
        <x:v>2</x:v>
      </x:c>
      <x:c r="G328" s="36" t="n">
        <x:v>2</x:v>
      </x:c>
      <x:c r="H328" s="36" t="n">
        <x:v>5</x:v>
      </x:c>
      <x:c r="I328" s="34" t="str">
        <x:v>afterFinalUndeployEarly</x:v>
      </x:c>
      <x:c r="J328" s="34" t="str">
        <x:v>after-final-undeploy-early</x:v>
      </x:c>
      <x:c r="K328" s="36" t="n">
        <x:v>2</x:v>
      </x:c>
      <x:c r="L328" s="34" t="str">
        <x:v>early</x:v>
      </x:c>
      <x:c r="M328" s="34" t="str">
        <x:v>article1-unified-v4-2-fb3f101b-20260903-000401-default-f02-p2-cache2k-5-after-final-undeploy-early-2s</x:v>
      </x:c>
      <x:c r="N328" s="38" t="n">
        <x:v>46267.96841324074</x:v>
      </x:c>
      <x:c r="O328" s="36"/>
      <x:c r="P328" s="43"/>
      <x:c r="Q328" s="43"/>
      <x:c r="R328" s="43"/>
      <x:c r="S328" s="36"/>
      <x:c r="T328" s="44"/>
      <x:c r="U328" s="36" t="n">
        <x:v>27</x:v>
      </x:c>
      <x:c r="V328" s="36" t="n">
        <x:v>0</x:v>
      </x:c>
      <x:c r="W328" s="44"/>
      <x:c r="X328" s="36"/>
      <x:c r="Y328" s="36"/>
      <x:c r="Z328" s="44"/>
      <x:c r="AA328" s="49"/>
      <x:c r="AB328" s="43" t="n">
        <x:v>1</x:v>
      </x:c>
      <x:c r="AC328" s="34"/>
      <x:c r="AD328" s="34"/>
      <x:c r="AE328" s="34" t="str">
        <x:v>article1-unified-v4-2-fb3f101b-20260903-000401-default-f02-p2-cache2k-5-after-final-undeploy-early-2s-thread-dump.txt</x:v>
      </x:c>
      <x:c r="AF328" s="34" t="str">
        <x:v>article1-unified-v4-2-fb3f101b-20260903-000401-default-f02-p2-cache2k-5-after-final-undeploy-early-tomcat-log.txt</x:v>
      </x:c>
      <x:c r="AG328" s="34"/>
      <x:c r="AH328" s="34"/>
      <x:c r="AI328" s="34"/>
    </x:row>
    <x:row r="329">
      <x:c r="A329" s="34" t="str">
        <x:v>article1-unified-v4-2-fb3f101b-20260903-000401-default-f02-p2-cache2k</x:v>
      </x:c>
      <x:c r="B329" s="34" t="str">
        <x:v>default</x:v>
      </x:c>
      <x:c r="C329" s="34" t="str">
        <x:v>cache2k</x:v>
      </x:c>
      <x:c r="D329" s="34" t="str">
        <x:v>cache2k</x:v>
      </x:c>
      <x:c r="E329" s="36" t="n">
        <x:v>2</x:v>
      </x:c>
      <x:c r="F329" s="36" t="n">
        <x:v>2</x:v>
      </x:c>
      <x:c r="G329" s="36" t="n">
        <x:v>2</x:v>
      </x:c>
      <x:c r="H329" s="36" t="n">
        <x:v>5</x:v>
      </x:c>
      <x:c r="I329" s="34" t="str">
        <x:v>afterFinalUndeploy</x:v>
      </x:c>
      <x:c r="J329" s="34" t="str">
        <x:v>after-final-undeploy-final</x:v>
      </x:c>
      <x:c r="K329" s="36" t="n">
        <x:v>2</x:v>
      </x:c>
      <x:c r="L329" s="34" t="str">
        <x:v>final</x:v>
      </x:c>
      <x:c r="M329" s="34" t="str">
        <x:v>article1-unified-v4-2-fb3f101b-20260903-000401-default-f02-p2-cache2k-5-after-final-undeploy-final-10s</x:v>
      </x:c>
      <x:c r="N329" s="38" t="n">
        <x:v>46267.96856944444</x:v>
      </x:c>
      <x:c r="O329" s="36" t="n">
        <x:v>2</x:v>
      </x:c>
      <x:c r="P329" s="43" t="n">
        <x:v>15677440</x:v>
      </x:c>
      <x:c r="Q329" s="43" t="n">
        <x:v>268435456</x:v>
      </x:c>
      <x:c r="R329" s="43" t="n">
        <x:v>429356032</x:v>
      </x:c>
      <x:c r="S329" s="36" t="n">
        <x:v>2</x:v>
      </x:c>
      <x:c r="T329" s="44" t="str">
        <x:v>0x000000000e1177b8  0x000000000e003818  0x000075c7681787f0    4452  21293056  21278312  org.apache.catalina.loader.ParallelWebappClassLoader | 0x000000000e1177b8  0x000000000e003818  0x000075c84c60d540       0         0         0  org.apache.catalina.loader.ParallelWebappClassLoader</x:v>
      </x:c>
      <x:c r="U329" s="36" t="n">
        <x:v>27</x:v>
      </x:c>
      <x:c r="V329" s="36" t="n">
        <x:v>0</x:v>
      </x:c>
      <x:c r="W329" s="44"/>
      <x:c r="X329" s="36" t="n">
        <x:v>1</x:v>
      </x:c>
      <x:c r="Y329" s="36" t="n">
        <x:v>1</x:v>
      </x:c>
      <x:c r="Z329" s="44" t="str">
        <x:v>/cache2k</x:v>
      </x:c>
      <x:c r="AA329" s="45" t="b">
        <x:v>1</x:v>
      </x:c>
      <x:c r="AB329" s="43"/>
      <x:c r="AC329" s="34" t="str">
        <x:v>article1-unified-v4-2-fb3f101b-20260903-000401-default-f02-p2-cache2k-5-after-final-undeploy-final-10s-heap-info.txt</x:v>
      </x:c>
      <x:c r="AD329" s="34" t="str">
        <x:v>article1-unified-v4-2-fb3f101b-20260903-000401-default-f02-p2-cache2k-5-after-final-undeploy-final-10s-classloader-stats.txt</x:v>
      </x:c>
      <x:c r="AE329" s="34" t="str">
        <x:v>article1-unified-v4-2-fb3f101b-20260903-000401-default-f02-p2-cache2k-5-after-final-undeploy-final-10s-thread-dump.txt</x:v>
      </x:c>
      <x:c r="AF329" s="34"/>
      <x:c r="AG329" s="34" t="str">
        <x:v>article1-unified-v4-2-fb3f101b-20260903-000401-default-f02-p2-cache2k-5-after-final-undeploy-final-10s-native-memory.txt</x:v>
      </x:c>
      <x:c r="AH329" s="34" t="str">
        <x:v>article1-unified-v4-2-fb3f101b-20260903-000401-default-f02-p2-cache2k-5-after-final-undeploy-final-10s-class-histogram.txt</x:v>
      </x:c>
      <x:c r="AI329" s="34" t="str">
        <x:v>article1-unified-v4-2-fb3f101b-20260903-000401-default-f02-p2-cache2k-5-after-final-undeploy-tomcat-findleaks.txt</x:v>
      </x:c>
    </x:row>
    <x:row r="330">
      <x:c r="A330" s="34" t="str">
        <x:v>article1-unified-v4-2-fb3f101b-20260903-000401-default-f02-p3-caffeine</x:v>
      </x:c>
      <x:c r="B330" s="34" t="str">
        <x:v>default</x:v>
      </x:c>
      <x:c r="C330" s="34" t="str">
        <x:v>caffeine</x:v>
      </x:c>
      <x:c r="D330" s="34" t="str">
        <x:v>caffeine</x:v>
      </x:c>
      <x:c r="E330" s="36" t="n">
        <x:v>2</x:v>
      </x:c>
      <x:c r="F330" s="36" t="n">
        <x:v>2</x:v>
      </x:c>
      <x:c r="G330" s="36" t="n">
        <x:v>3</x:v>
      </x:c>
      <x:c r="H330" s="36" t="n">
        <x:v>0</x:v>
      </x:c>
      <x:c r="I330" s="34" t="str">
        <x:v>processBaseline</x:v>
      </x:c>
      <x:c r="J330" s="34" t="str">
        <x:v>process-baseline</x:v>
      </x:c>
      <x:c r="K330" s="36" t="n">
        <x:v>0</x:v>
      </x:c>
      <x:c r="L330" s="34" t="str">
        <x:v>baseline</x:v>
      </x:c>
      <x:c r="M330" s="34" t="str">
        <x:v>article1-unified-v4-2-fb3f101b-20260903-000401-default-f02-p3-caffeine-process-baseline</x:v>
      </x:c>
      <x:c r="N330" s="38" t="n">
        <x:v>46267.968814872685</x:v>
      </x:c>
      <x:c r="O330" s="36" t="n">
        <x:v>0</x:v>
      </x:c>
      <x:c r="P330" s="43" t="n">
        <x:v>32720896</x:v>
      </x:c>
      <x:c r="Q330" s="43" t="n">
        <x:v>270532608</x:v>
      </x:c>
      <x:c r="R330" s="43" t="n">
        <x:v>369241088</x:v>
      </x:c>
      <x:c r="S330" s="36" t="n">
        <x:v>1</x:v>
      </x:c>
      <x:c r="T330" s="44" t="str">
        <x:v>0x000000004c1177b8  0x000000004c003818  0x00007e45c0686510       0         0         0  org.apache.catalina.loader.ParallelWebappClassLoader</x:v>
      </x:c>
      <x:c r="U330" s="36" t="n">
        <x:v>27</x:v>
      </x:c>
      <x:c r="V330" s="36" t="n">
        <x:v>0</x:v>
      </x:c>
      <x:c r="W330" s="44"/>
      <x:c r="X330" s="36"/>
      <x:c r="Y330" s="36"/>
      <x:c r="Z330" s="44"/>
      <x:c r="AA330" s="49"/>
      <x:c r="AB330" s="43"/>
      <x:c r="AC330" s="34" t="str">
        <x:v>article1-unified-v4-2-fb3f101b-20260903-000401-default-f02-p3-caffeine-process-baseline-heap-info.txt</x:v>
      </x:c>
      <x:c r="AD330" s="34" t="str">
        <x:v>article1-unified-v4-2-fb3f101b-20260903-000401-default-f02-p3-caffeine-process-baseline-classloader-stats.txt</x:v>
      </x:c>
      <x:c r="AE330" s="34" t="str">
        <x:v>article1-unified-v4-2-fb3f101b-20260903-000401-default-f02-p3-caffeine-process-baseline-thread-dump.txt</x:v>
      </x:c>
      <x:c r="AF330" s="34"/>
      <x:c r="AG330" s="34" t="str">
        <x:v>article1-unified-v4-2-fb3f101b-20260903-000401-default-f02-p3-caffeine-process-baseline-native-memory.txt</x:v>
      </x:c>
      <x:c r="AH330" s="34"/>
      <x:c r="AI330" s="34"/>
    </x:row>
    <x:row r="331">
      <x:c r="A331" s="34" t="str">
        <x:v>article1-unified-v4-2-fb3f101b-20260903-000401-default-f02-p3-caffeine</x:v>
      </x:c>
      <x:c r="B331" s="34" t="str">
        <x:v>default</x:v>
      </x:c>
      <x:c r="C331" s="34" t="str">
        <x:v>caffeine</x:v>
      </x:c>
      <x:c r="D331" s="34" t="str">
        <x:v>caffeine</x:v>
      </x:c>
      <x:c r="E331" s="36" t="n">
        <x:v>2</x:v>
      </x:c>
      <x:c r="F331" s="36" t="n">
        <x:v>2</x:v>
      </x:c>
      <x:c r="G331" s="36" t="n">
        <x:v>3</x:v>
      </x:c>
      <x:c r="H331" s="36" t="n">
        <x:v>1</x:v>
      </x:c>
      <x:c r="I331" s="34" t="str">
        <x:v>baseline</x:v>
      </x:c>
      <x:c r="J331" s="34" t="str">
        <x:v>cycle-baseline</x:v>
      </x:c>
      <x:c r="K331" s="36" t="n">
        <x:v>0</x:v>
      </x:c>
      <x:c r="L331" s="34" t="str">
        <x:v>baseline</x:v>
      </x:c>
      <x:c r="M331" s="34" t="str">
        <x:v>article1-unified-v4-2-fb3f101b-20260903-000401-default-f02-p3-caffeine-1-baseline</x:v>
      </x:c>
      <x:c r="N331" s="38" t="n">
        <x:v>46267.969030532404</x:v>
      </x:c>
      <x:c r="O331" s="36" t="n">
        <x:v>0</x:v>
      </x:c>
      <x:c r="P331" s="43" t="n">
        <x:v>32720896</x:v>
      </x:c>
      <x:c r="Q331" s="43" t="n">
        <x:v>270532608</x:v>
      </x:c>
      <x:c r="R331" s="43" t="n">
        <x:v>369274880</x:v>
      </x:c>
      <x:c r="S331" s="36" t="n">
        <x:v>1</x:v>
      </x:c>
      <x:c r="T331" s="44" t="str">
        <x:v>0x000000004c1177b8  0x000000004c003818  0x00007e45c0686510       0         0         0  org.apache.catalina.loader.ParallelWebappClassLoader</x:v>
      </x:c>
      <x:c r="U331" s="36" t="n">
        <x:v>27</x:v>
      </x:c>
      <x:c r="V331" s="36" t="n">
        <x:v>0</x:v>
      </x:c>
      <x:c r="W331" s="44"/>
      <x:c r="X331" s="36"/>
      <x:c r="Y331" s="36"/>
      <x:c r="Z331" s="44"/>
      <x:c r="AA331" s="49"/>
      <x:c r="AB331" s="43"/>
      <x:c r="AC331" s="34" t="str">
        <x:v>article1-unified-v4-2-fb3f101b-20260903-000401-default-f02-p3-caffeine-1-baseline-heap-info.txt</x:v>
      </x:c>
      <x:c r="AD331" s="34" t="str">
        <x:v>article1-unified-v4-2-fb3f101b-20260903-000401-default-f02-p3-caffeine-1-baseline-classloader-stats.txt</x:v>
      </x:c>
      <x:c r="AE331" s="34" t="str">
        <x:v>article1-unified-v4-2-fb3f101b-20260903-000401-default-f02-p3-caffeine-1-baseline-thread-dump.txt</x:v>
      </x:c>
      <x:c r="AF331" s="34"/>
      <x:c r="AG331" s="34" t="str">
        <x:v>article1-unified-v4-2-fb3f101b-20260903-000401-default-f02-p3-caffeine-1-baseline-native-memory.txt</x:v>
      </x:c>
      <x:c r="AH331" s="34"/>
      <x:c r="AI331" s="34"/>
    </x:row>
    <x:row r="332">
      <x:c r="A332" s="34" t="str">
        <x:v>article1-unified-v4-2-fb3f101b-20260903-000401-default-f02-p3-caffeine</x:v>
      </x:c>
      <x:c r="B332" s="34" t="str">
        <x:v>default</x:v>
      </x:c>
      <x:c r="C332" s="34" t="str">
        <x:v>caffeine</x:v>
      </x:c>
      <x:c r="D332" s="34" t="str">
        <x:v>caffeine</x:v>
      </x:c>
      <x:c r="E332" s="36" t="n">
        <x:v>2</x:v>
      </x:c>
      <x:c r="F332" s="36" t="n">
        <x:v>2</x:v>
      </x:c>
      <x:c r="G332" s="36" t="n">
        <x:v>3</x:v>
      </x:c>
      <x:c r="H332" s="36" t="n">
        <x:v>1</x:v>
      </x:c>
      <x:c r="I332" s="34" t="str">
        <x:v>deployedIdle</x:v>
      </x:c>
      <x:c r="J332" s="34" t="str">
        <x:v>deployed-idle</x:v>
      </x:c>
      <x:c r="K332" s="36" t="n">
        <x:v>0</x:v>
      </x:c>
      <x:c r="L332" s="34" t="str">
        <x:v>initial</x:v>
      </x:c>
      <x:c r="M332" s="34" t="str">
        <x:v>article1-unified-v4-2-fb3f101b-20260903-000401-default-f02-p3-caffeine-1-deployed-idle</x:v>
      </x:c>
      <x:c r="N332" s="38" t="n">
        <x:v>46267.96914472222</x:v>
      </x:c>
      <x:c r="O332" s="36" t="n">
        <x:v>0</x:v>
      </x:c>
      <x:c r="P332" s="43" t="n">
        <x:v>21708800</x:v>
      </x:c>
      <x:c r="Q332" s="43" t="n">
        <x:v>268435456</x:v>
      </x:c>
      <x:c r="R332" s="43" t="n">
        <x:v>407735296</x:v>
      </x:c>
      <x:c r="S332" s="36" t="n">
        <x:v>2</x:v>
      </x:c>
      <x:c r="T332" s="44" t="str">
        <x:v>0x000000004c1177b8  0x000000004c003818  0x00007e45c0686510       0         0         0  org.apache.catalina.loader.ParallelWebappClassLoader | 0x000000004c1177b8  0x000000004c003818  0x00007e4518075860    4091  19432448  19409672  org.apache.catalina.loader.ParallelWebappClassLoader</x:v>
      </x:c>
      <x:c r="U332" s="36" t="n">
        <x:v>27</x:v>
      </x:c>
      <x:c r="V332" s="36" t="n">
        <x:v>0</x:v>
      </x:c>
      <x:c r="W332" s="44"/>
      <x:c r="X332" s="36"/>
      <x:c r="Y332" s="36"/>
      <x:c r="Z332" s="44"/>
      <x:c r="AA332" s="49"/>
      <x:c r="AB332" s="43"/>
      <x:c r="AC332" s="34"/>
      <x:c r="AD332" s="34"/>
      <x:c r="AE332" s="34"/>
      <x:c r="AF332" s="34"/>
      <x:c r="AG332" s="34"/>
      <x:c r="AH332" s="34"/>
      <x:c r="AI332" s="34"/>
    </x:row>
    <x:row r="333">
      <x:c r="A333" s="34" t="str">
        <x:v>article1-unified-v4-2-fb3f101b-20260903-000401-default-f02-p3-caffeine</x:v>
      </x:c>
      <x:c r="B333" s="34" t="str">
        <x:v>default</x:v>
      </x:c>
      <x:c r="C333" s="34" t="str">
        <x:v>caffeine</x:v>
      </x:c>
      <x:c r="D333" s="34" t="str">
        <x:v>caffeine</x:v>
      </x:c>
      <x:c r="E333" s="36" t="n">
        <x:v>2</x:v>
      </x:c>
      <x:c r="F333" s="36" t="n">
        <x:v>2</x:v>
      </x:c>
      <x:c r="G333" s="36" t="n">
        <x:v>3</x:v>
      </x:c>
      <x:c r="H333" s="36" t="n">
        <x:v>1</x:v>
      </x:c>
      <x:c r="I333" s="34" t="str">
        <x:v>loaded</x:v>
      </x:c>
      <x:c r="J333" s="34" t="str">
        <x:v>loaded</x:v>
      </x:c>
      <x:c r="K333" s="36" t="n">
        <x:v>0</x:v>
      </x:c>
      <x:c r="L333" s="34" t="str">
        <x:v>initial</x:v>
      </x:c>
      <x:c r="M333" s="34" t="str">
        <x:v>article1-unified-v4-2-fb3f101b-20260903-000401-default-f02-p3-caffeine-1-loaded</x:v>
      </x:c>
      <x:c r="N333" s="38" t="n">
        <x:v>46267.96930520833</x:v>
      </x:c>
      <x:c r="O333" s="36" t="n">
        <x:v>0</x:v>
      </x:c>
      <x:c r="P333" s="43" t="n">
        <x:v>214641664</x:v>
      </x:c>
      <x:c r="Q333" s="43" t="n">
        <x:v>268435456</x:v>
      </x:c>
      <x:c r="R333" s="43" t="n">
        <x:v>416510976</x:v>
      </x:c>
      <x:c r="S333" s="36" t="n">
        <x:v>2</x:v>
      </x:c>
      <x:c r="T333" s="44" t="str">
        <x:v>0x000000004c1177b8  0x000000004c003818  0x00007e45c0686510       0         0         0  org.apache.catalina.loader.ParallelWebappClassLoader | 0x000000004c1177b8  0x000000004c003818  0x00007e4518075860    4395  21088256  21082720  org.apache.catalina.loader.ParallelWebappClassLoader</x:v>
      </x:c>
      <x:c r="U333" s="36" t="n">
        <x:v>30</x:v>
      </x:c>
      <x:c r="V333" s="36" t="n">
        <x:v>0</x:v>
      </x:c>
      <x:c r="W333" s="44"/>
      <x:c r="X333" s="36"/>
      <x:c r="Y333" s="36"/>
      <x:c r="Z333" s="44"/>
      <x:c r="AA333" s="49"/>
      <x:c r="AB333" s="43"/>
      <x:c r="AC333" s="34"/>
      <x:c r="AD333" s="34"/>
      <x:c r="AE333" s="34"/>
      <x:c r="AF333" s="34"/>
      <x:c r="AG333" s="34"/>
      <x:c r="AH333" s="34"/>
      <x:c r="AI333" s="34"/>
    </x:row>
    <x:row r="334">
      <x:c r="A334" s="34" t="str">
        <x:v>article1-unified-v4-2-fb3f101b-20260903-000401-default-f02-p3-caffeine</x:v>
      </x:c>
      <x:c r="B334" s="34" t="str">
        <x:v>default</x:v>
      </x:c>
      <x:c r="C334" s="34" t="str">
        <x:v>caffeine</x:v>
      </x:c>
      <x:c r="D334" s="34" t="str">
        <x:v>caffeine</x:v>
      </x:c>
      <x:c r="E334" s="36" t="n">
        <x:v>2</x:v>
      </x:c>
      <x:c r="F334" s="36" t="n">
        <x:v>2</x:v>
      </x:c>
      <x:c r="G334" s="36" t="n">
        <x:v>3</x:v>
      </x:c>
      <x:c r="H334" s="36" t="n">
        <x:v>1</x:v>
      </x:c>
      <x:c r="I334" s="34" t="str">
        <x:v>afterUndeployEarly</x:v>
      </x:c>
      <x:c r="J334" s="34" t="str">
        <x:v>after-undeploy-early</x:v>
      </x:c>
      <x:c r="K334" s="36" t="n">
        <x:v>1</x:v>
      </x:c>
      <x:c r="L334" s="34" t="str">
        <x:v>early</x:v>
      </x:c>
      <x:c r="M334" s="34" t="str">
        <x:v>article1-unified-v4-2-fb3f101b-20260903-000401-default-f02-p3-caffeine-1-after-undeploy-early-2s</x:v>
      </x:c>
      <x:c r="N334" s="38" t="n">
        <x:v>46267.9693918287</x:v>
      </x:c>
      <x:c r="O334" s="36"/>
      <x:c r="P334" s="43"/>
      <x:c r="Q334" s="43"/>
      <x:c r="R334" s="43"/>
      <x:c r="S334" s="36"/>
      <x:c r="T334" s="44"/>
      <x:c r="U334" s="36" t="n">
        <x:v>30</x:v>
      </x:c>
      <x:c r="V334" s="36" t="n">
        <x:v>0</x:v>
      </x:c>
      <x:c r="W334" s="44"/>
      <x:c r="X334" s="36"/>
      <x:c r="Y334" s="36"/>
      <x:c r="Z334" s="44"/>
      <x:c r="AA334" s="49"/>
      <x:c r="AB334" s="43" t="n">
        <x:v>1</x:v>
      </x:c>
      <x:c r="AC334" s="34"/>
      <x:c r="AD334" s="34"/>
      <x:c r="AE334" s="34" t="str">
        <x:v>article1-unified-v4-2-fb3f101b-20260903-000401-default-f02-p3-caffeine-1-after-undeploy-early-2s-thread-dump.txt</x:v>
      </x:c>
      <x:c r="AF334" s="34" t="str">
        <x:v>article1-unified-v4-2-fb3f101b-20260903-000401-default-f02-p3-caffeine-1-after-undeploy-early-tomcat-log.txt</x:v>
      </x:c>
      <x:c r="AG334" s="34"/>
      <x:c r="AH334" s="34"/>
      <x:c r="AI334" s="34"/>
    </x:row>
    <x:row r="335">
      <x:c r="A335" s="34" t="str">
        <x:v>article1-unified-v4-2-fb3f101b-20260903-000401-default-f02-p3-caffeine</x:v>
      </x:c>
      <x:c r="B335" s="34" t="str">
        <x:v>default</x:v>
      </x:c>
      <x:c r="C335" s="34" t="str">
        <x:v>caffeine</x:v>
      </x:c>
      <x:c r="D335" s="34" t="str">
        <x:v>caffeine</x:v>
      </x:c>
      <x:c r="E335" s="36" t="n">
        <x:v>2</x:v>
      </x:c>
      <x:c r="F335" s="36" t="n">
        <x:v>2</x:v>
      </x:c>
      <x:c r="G335" s="36" t="n">
        <x:v>3</x:v>
      </x:c>
      <x:c r="H335" s="36" t="n">
        <x:v>1</x:v>
      </x:c>
      <x:c r="I335" s="34" t="str">
        <x:v>afterUndeploy</x:v>
      </x:c>
      <x:c r="J335" s="34" t="str">
        <x:v>after-undeploy-final</x:v>
      </x:c>
      <x:c r="K335" s="36" t="n">
        <x:v>1</x:v>
      </x:c>
      <x:c r="L335" s="34" t="str">
        <x:v>final</x:v>
      </x:c>
      <x:c r="M335" s="34" t="str">
        <x:v>article1-unified-v4-2-fb3f101b-20260903-000401-default-f02-p3-caffeine-1-after-undeploy-final-10s</x:v>
      </x:c>
      <x:c r="N335" s="38" t="n">
        <x:v>46267.96955097222</x:v>
      </x:c>
      <x:c r="O335" s="36" t="n">
        <x:v>2</x:v>
      </x:c>
      <x:c r="P335" s="43" t="n">
        <x:v>15668224</x:v>
      </x:c>
      <x:c r="Q335" s="43" t="n">
        <x:v>268435456</x:v>
      </x:c>
      <x:c r="R335" s="43" t="n">
        <x:v>410160128</x:v>
      </x:c>
      <x:c r="S335" s="36" t="n">
        <x:v>2</x:v>
      </x:c>
      <x:c r="T335" s="44" t="str">
        <x:v>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</x:v>
      </x:c>
      <x:c r="U335" s="36" t="n">
        <x:v>30</x:v>
      </x:c>
      <x:c r="V335" s="36" t="n">
        <x:v>0</x:v>
      </x:c>
      <x:c r="W335" s="44"/>
      <x:c r="X335" s="36" t="n">
        <x:v>1</x:v>
      </x:c>
      <x:c r="Y335" s="36" t="n">
        <x:v>1</x:v>
      </x:c>
      <x:c r="Z335" s="44" t="str">
        <x:v>/caffeine</x:v>
      </x:c>
      <x:c r="AA335" s="45" t="b">
        <x:v>1</x:v>
      </x:c>
      <x:c r="AB335" s="43"/>
      <x:c r="AC335" s="34" t="str">
        <x:v>article1-unified-v4-2-fb3f101b-20260903-000401-default-f02-p3-caffeine-1-after-undeploy-final-10s-heap-info.txt</x:v>
      </x:c>
      <x:c r="AD335" s="34" t="str">
        <x:v>article1-unified-v4-2-fb3f101b-20260903-000401-default-f02-p3-caffeine-1-after-undeploy-final-10s-classloader-stats.txt</x:v>
      </x:c>
      <x:c r="AE335" s="34" t="str">
        <x:v>article1-unified-v4-2-fb3f101b-20260903-000401-default-f02-p3-caffeine-1-after-undeploy-final-10s-thread-dump.txt</x:v>
      </x:c>
      <x:c r="AF335" s="34"/>
      <x:c r="AG335" s="34" t="str">
        <x:v>article1-unified-v4-2-fb3f101b-20260903-000401-default-f02-p3-caffeine-1-after-undeploy-final-10s-native-memory.txt</x:v>
      </x:c>
      <x:c r="AH335" s="34" t="str">
        <x:v>article1-unified-v4-2-fb3f101b-20260903-000401-default-f02-p3-caffeine-1-after-undeploy-final-10s-class-histogram.txt</x:v>
      </x:c>
      <x:c r="AI335" s="34" t="str">
        <x:v>article1-unified-v4-2-fb3f101b-20260903-000401-default-f02-p3-caffeine-1-after-undeploy-tomcat-findleaks.txt</x:v>
      </x:c>
    </x:row>
    <x:row r="336">
      <x:c r="A336" s="34" t="str">
        <x:v>article1-unified-v4-2-fb3f101b-20260903-000401-default-f02-p3-caffeine</x:v>
      </x:c>
      <x:c r="B336" s="34" t="str">
        <x:v>default</x:v>
      </x:c>
      <x:c r="C336" s="34" t="str">
        <x:v>caffeine</x:v>
      </x:c>
      <x:c r="D336" s="34" t="str">
        <x:v>caffeine</x:v>
      </x:c>
      <x:c r="E336" s="36" t="n">
        <x:v>2</x:v>
      </x:c>
      <x:c r="F336" s="36" t="n">
        <x:v>2</x:v>
      </x:c>
      <x:c r="G336" s="36" t="n">
        <x:v>3</x:v>
      </x:c>
      <x:c r="H336" s="36" t="n">
        <x:v>1</x:v>
      </x:c>
      <x:c r="I336" s="34" t="str">
        <x:v>redeployedLoaded</x:v>
      </x:c>
      <x:c r="J336" s="34" t="str">
        <x:v>redeployed-loaded</x:v>
      </x:c>
      <x:c r="K336" s="36" t="n">
        <x:v>0</x:v>
      </x:c>
      <x:c r="L336" s="34" t="str">
        <x:v>redeploy</x:v>
      </x:c>
      <x:c r="M336" s="34" t="str">
        <x:v>article1-unified-v4-2-fb3f101b-20260903-000401-default-f02-p3-caffeine-1-redeployed-loaded</x:v>
      </x:c>
      <x:c r="N336" s="38" t="n">
        <x:v>46267.96981913195</x:v>
      </x:c>
      <x:c r="O336" s="36" t="n">
        <x:v>0</x:v>
      </x:c>
      <x:c r="P336" s="43" t="n">
        <x:v>200755200</x:v>
      </x:c>
      <x:c r="Q336" s="43" t="n">
        <x:v>268435456</x:v>
      </x:c>
      <x:c r="R336" s="43" t="n">
        <x:v>440750080</x:v>
      </x:c>
      <x:c r="S336" s="36" t="n">
        <x:v>3</x:v>
      </x:c>
      <x:c r="T336" s="44" t="str">
        <x:v>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 | 0x000000004c1177b8  0x000000004c003818  0x00007e4524011050    4395  21176320  21156816  org.apache.catalina.loader.ParallelWebappClassLoader</x:v>
      </x:c>
      <x:c r="U336" s="36" t="n">
        <x:v>30</x:v>
      </x:c>
      <x:c r="V336" s="36" t="n">
        <x:v>0</x:v>
      </x:c>
      <x:c r="W336" s="44"/>
      <x:c r="X336" s="36"/>
      <x:c r="Y336" s="36"/>
      <x:c r="Z336" s="44"/>
      <x:c r="AA336" s="49"/>
      <x:c r="AB336" s="43"/>
      <x:c r="AC336" s="34"/>
      <x:c r="AD336" s="34"/>
      <x:c r="AE336" s="34"/>
      <x:c r="AF336" s="34"/>
      <x:c r="AG336" s="34"/>
      <x:c r="AH336" s="34"/>
      <x:c r="AI336" s="34"/>
    </x:row>
    <x:row r="337">
      <x:c r="A337" s="34" t="str">
        <x:v>article1-unified-v4-2-fb3f101b-20260903-000401-default-f02-p3-caffeine</x:v>
      </x:c>
      <x:c r="B337" s="34" t="str">
        <x:v>default</x:v>
      </x:c>
      <x:c r="C337" s="34" t="str">
        <x:v>caffeine</x:v>
      </x:c>
      <x:c r="D337" s="34" t="str">
        <x:v>caffeine</x:v>
      </x:c>
      <x:c r="E337" s="36" t="n">
        <x:v>2</x:v>
      </x:c>
      <x:c r="F337" s="36" t="n">
        <x:v>2</x:v>
      </x:c>
      <x:c r="G337" s="36" t="n">
        <x:v>3</x:v>
      </x:c>
      <x:c r="H337" s="36" t="n">
        <x:v>1</x:v>
      </x:c>
      <x:c r="I337" s="34" t="str">
        <x:v>afterFinalUndeployEarly</x:v>
      </x:c>
      <x:c r="J337" s="34" t="str">
        <x:v>after-final-undeploy-early</x:v>
      </x:c>
      <x:c r="K337" s="36" t="n">
        <x:v>2</x:v>
      </x:c>
      <x:c r="L337" s="34" t="str">
        <x:v>early</x:v>
      </x:c>
      <x:c r="M337" s="34" t="str">
        <x:v>article1-unified-v4-2-fb3f101b-20260903-000401-default-f02-p3-caffeine-1-after-final-undeploy-early-2s</x:v>
      </x:c>
      <x:c r="N337" s="38" t="n">
        <x:v>46267.969906087965</x:v>
      </x:c>
      <x:c r="O337" s="36"/>
      <x:c r="P337" s="43"/>
      <x:c r="Q337" s="43"/>
      <x:c r="R337" s="43"/>
      <x:c r="S337" s="36"/>
      <x:c r="T337" s="44"/>
      <x:c r="U337" s="36" t="n">
        <x:v>30</x:v>
      </x:c>
      <x:c r="V337" s="36" t="n">
        <x:v>0</x:v>
      </x:c>
      <x:c r="W337" s="44"/>
      <x:c r="X337" s="36"/>
      <x:c r="Y337" s="36"/>
      <x:c r="Z337" s="44"/>
      <x:c r="AA337" s="49"/>
      <x:c r="AB337" s="43" t="n">
        <x:v>1</x:v>
      </x:c>
      <x:c r="AC337" s="34"/>
      <x:c r="AD337" s="34"/>
      <x:c r="AE337" s="34" t="str">
        <x:v>article1-unified-v4-2-fb3f101b-20260903-000401-default-f02-p3-caffeine-1-after-final-undeploy-early-2s-thread-dump.txt</x:v>
      </x:c>
      <x:c r="AF337" s="34" t="str">
        <x:v>article1-unified-v4-2-fb3f101b-20260903-000401-default-f02-p3-caffeine-1-after-final-undeploy-early-tomcat-log.txt</x:v>
      </x:c>
      <x:c r="AG337" s="34"/>
      <x:c r="AH337" s="34"/>
      <x:c r="AI337" s="34"/>
    </x:row>
    <x:row r="338">
      <x:c r="A338" s="34" t="str">
        <x:v>article1-unified-v4-2-fb3f101b-20260903-000401-default-f02-p3-caffeine</x:v>
      </x:c>
      <x:c r="B338" s="34" t="str">
        <x:v>default</x:v>
      </x:c>
      <x:c r="C338" s="34" t="str">
        <x:v>caffeine</x:v>
      </x:c>
      <x:c r="D338" s="34" t="str">
        <x:v>caffeine</x:v>
      </x:c>
      <x:c r="E338" s="36" t="n">
        <x:v>2</x:v>
      </x:c>
      <x:c r="F338" s="36" t="n">
        <x:v>2</x:v>
      </x:c>
      <x:c r="G338" s="36" t="n">
        <x:v>3</x:v>
      </x:c>
      <x:c r="H338" s="36" t="n">
        <x:v>1</x:v>
      </x:c>
      <x:c r="I338" s="34" t="str">
        <x:v>afterFinalUndeploy</x:v>
      </x:c>
      <x:c r="J338" s="34" t="str">
        <x:v>after-final-undeploy-final</x:v>
      </x:c>
      <x:c r="K338" s="36" t="n">
        <x:v>2</x:v>
      </x:c>
      <x:c r="L338" s="34" t="str">
        <x:v>final</x:v>
      </x:c>
      <x:c r="M338" s="34" t="str">
        <x:v>article1-unified-v4-2-fb3f101b-20260903-000401-default-f02-p3-caffeine-1-after-final-undeploy-final-10s</x:v>
      </x:c>
      <x:c r="N338" s="38" t="n">
        <x:v>46267.97006517361</x:v>
      </x:c>
      <x:c r="O338" s="36" t="n">
        <x:v>2</x:v>
      </x:c>
      <x:c r="P338" s="43" t="n">
        <x:v>19744768</x:v>
      </x:c>
      <x:c r="Q338" s="43" t="n">
        <x:v>268435456</x:v>
      </x:c>
      <x:c r="R338" s="43" t="n">
        <x:v>437431296</x:v>
      </x:c>
      <x:c r="S338" s="36" t="n">
        <x:v>3</x:v>
      </x:c>
      <x:c r="T338" s="44" t="str">
        <x:v>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 | 0x000000004c1177b8  0x000000004c003818  0x00007e4524011050    4403  21192704  21181504  org.apache.catalina.loader.ParallelWebappClassLoader</x:v>
      </x:c>
      <x:c r="U338" s="36" t="n">
        <x:v>30</x:v>
      </x:c>
      <x:c r="V338" s="36" t="n">
        <x:v>0</x:v>
      </x:c>
      <x:c r="W338" s="44"/>
      <x:c r="X338" s="36" t="n">
        <x:v>2</x:v>
      </x:c>
      <x:c r="Y338" s="36" t="n">
        <x:v>2</x:v>
      </x:c>
      <x:c r="Z338" s="44" t="str">
        <x:v>/caffeine</x:v>
      </x:c>
      <x:c r="AA338" s="45" t="b">
        <x:v>1</x:v>
      </x:c>
      <x:c r="AB338" s="43"/>
      <x:c r="AC338" s="34" t="str">
        <x:v>article1-unified-v4-2-fb3f101b-20260903-000401-default-f02-p3-caffeine-1-after-final-undeploy-final-10s-heap-info.txt</x:v>
      </x:c>
      <x:c r="AD338" s="34" t="str">
        <x:v>article1-unified-v4-2-fb3f101b-20260903-000401-default-f02-p3-caffeine-1-after-final-undeploy-final-10s-classloader-stats.txt</x:v>
      </x:c>
      <x:c r="AE338" s="34" t="str">
        <x:v>article1-unified-v4-2-fb3f101b-20260903-000401-default-f02-p3-caffeine-1-after-final-undeploy-final-10s-thread-dump.txt</x:v>
      </x:c>
      <x:c r="AF338" s="34"/>
      <x:c r="AG338" s="34" t="str">
        <x:v>article1-unified-v4-2-fb3f101b-20260903-000401-default-f02-p3-caffeine-1-after-final-undeploy-final-10s-native-memory.txt</x:v>
      </x:c>
      <x:c r="AH338" s="34" t="str">
        <x:v>article1-unified-v4-2-fb3f101b-20260903-000401-default-f02-p3-caffeine-1-after-final-undeploy-final-10s-class-histogram.txt</x:v>
      </x:c>
      <x:c r="AI338" s="34" t="str">
        <x:v>article1-unified-v4-2-fb3f101b-20260903-000401-default-f02-p3-caffeine-1-after-final-undeploy-tomcat-findleaks.txt</x:v>
      </x:c>
    </x:row>
    <x:row r="339">
      <x:c r="A339" s="34" t="str">
        <x:v>article1-unified-v4-2-fb3f101b-20260903-000401-default-f02-p3-caffeine</x:v>
      </x:c>
      <x:c r="B339" s="34" t="str">
        <x:v>default</x:v>
      </x:c>
      <x:c r="C339" s="34" t="str">
        <x:v>caffeine</x:v>
      </x:c>
      <x:c r="D339" s="34" t="str">
        <x:v>caffeine</x:v>
      </x:c>
      <x:c r="E339" s="36" t="n">
        <x:v>2</x:v>
      </x:c>
      <x:c r="F339" s="36" t="n">
        <x:v>2</x:v>
      </x:c>
      <x:c r="G339" s="36" t="n">
        <x:v>3</x:v>
      </x:c>
      <x:c r="H339" s="36" t="n">
        <x:v>2</x:v>
      </x:c>
      <x:c r="I339" s="34" t="str">
        <x:v>baseline</x:v>
      </x:c>
      <x:c r="J339" s="34" t="str">
        <x:v>cycle-baseline</x:v>
      </x:c>
      <x:c r="K339" s="36" t="n">
        <x:v>0</x:v>
      </x:c>
      <x:c r="L339" s="34" t="str">
        <x:v>baseline</x:v>
      </x:c>
      <x:c r="M339" s="34" t="str">
        <x:v>article1-unified-v4-2-fb3f101b-20260903-000401-default-f02-p3-caffeine-2-baseline</x:v>
      </x:c>
      <x:c r="N339" s="38" t="n">
        <x:v>46267.970116909724</x:v>
      </x:c>
      <x:c r="O339" s="36" t="n">
        <x:v>0</x:v>
      </x:c>
      <x:c r="P339" s="43" t="n">
        <x:v>19744768</x:v>
      </x:c>
      <x:c r="Q339" s="43" t="n">
        <x:v>268435456</x:v>
      </x:c>
      <x:c r="R339" s="43" t="n">
        <x:v>437529600</x:v>
      </x:c>
      <x:c r="S339" s="36" t="n">
        <x:v>3</x:v>
      </x:c>
      <x:c r="T339" s="44" t="str">
        <x:v>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 | 0x000000004c1177b8  0x000000004c003818  0x00007e4524011050    4403  21192704  21181504  org.apache.catalina.loader.ParallelWebappClassLoader</x:v>
      </x:c>
      <x:c r="U339" s="36" t="n">
        <x:v>30</x:v>
      </x:c>
      <x:c r="V339" s="36" t="n">
        <x:v>0</x:v>
      </x:c>
      <x:c r="W339" s="44"/>
      <x:c r="X339" s="36"/>
      <x:c r="Y339" s="36"/>
      <x:c r="Z339" s="44"/>
      <x:c r="AA339" s="49"/>
      <x:c r="AB339" s="43"/>
      <x:c r="AC339" s="34" t="str">
        <x:v>article1-unified-v4-2-fb3f101b-20260903-000401-default-f02-p3-caffeine-2-baseline-heap-info.txt</x:v>
      </x:c>
      <x:c r="AD339" s="34" t="str">
        <x:v>article1-unified-v4-2-fb3f101b-20260903-000401-default-f02-p3-caffeine-2-baseline-classloader-stats.txt</x:v>
      </x:c>
      <x:c r="AE339" s="34" t="str">
        <x:v>article1-unified-v4-2-fb3f101b-20260903-000401-default-f02-p3-caffeine-2-baseline-thread-dump.txt</x:v>
      </x:c>
      <x:c r="AF339" s="34"/>
      <x:c r="AG339" s="34" t="str">
        <x:v>article1-unified-v4-2-fb3f101b-20260903-000401-default-f02-p3-caffeine-2-baseline-native-memory.txt</x:v>
      </x:c>
      <x:c r="AH339" s="34"/>
      <x:c r="AI339" s="34"/>
    </x:row>
    <x:row r="340">
      <x:c r="A340" s="34" t="str">
        <x:v>article1-unified-v4-2-fb3f101b-20260903-000401-default-f02-p3-caffeine</x:v>
      </x:c>
      <x:c r="B340" s="34" t="str">
        <x:v>default</x:v>
      </x:c>
      <x:c r="C340" s="34" t="str">
        <x:v>caffeine</x:v>
      </x:c>
      <x:c r="D340" s="34" t="str">
        <x:v>caffeine</x:v>
      </x:c>
      <x:c r="E340" s="36" t="n">
        <x:v>2</x:v>
      </x:c>
      <x:c r="F340" s="36" t="n">
        <x:v>2</x:v>
      </x:c>
      <x:c r="G340" s="36" t="n">
        <x:v>3</x:v>
      </x:c>
      <x:c r="H340" s="36" t="n">
        <x:v>2</x:v>
      </x:c>
      <x:c r="I340" s="34" t="str">
        <x:v>deployedIdle</x:v>
      </x:c>
      <x:c r="J340" s="34" t="str">
        <x:v>deployed-idle</x:v>
      </x:c>
      <x:c r="K340" s="36" t="n">
        <x:v>0</x:v>
      </x:c>
      <x:c r="L340" s="34" t="str">
        <x:v>initial</x:v>
      </x:c>
      <x:c r="M340" s="34" t="str">
        <x:v>article1-unified-v4-2-fb3f101b-20260903-000401-default-f02-p3-caffeine-2-deployed-idle</x:v>
      </x:c>
      <x:c r="N340" s="38" t="n">
        <x:v>46267.97023811343</x:v>
      </x:c>
      <x:c r="O340" s="36" t="n">
        <x:v>0</x:v>
      </x:c>
      <x:c r="P340" s="43" t="n">
        <x:v>175276032</x:v>
      </x:c>
      <x:c r="Q340" s="43" t="n">
        <x:v>268435456</x:v>
      </x:c>
      <x:c r="R340" s="43" t="n">
        <x:v>461318144</x:v>
      </x:c>
      <x:c r="S340" s="36" t="n">
        <x:v>4</x:v>
      </x:c>
      <x:c r="T340" s="44" t="str">
        <x:v>0x000000004c1177b8  0x000000004c003818  0x00007e44c01a04c0    4091  19443712  19434736  org.apache.catalina.loader.ParallelWebappClassLoader | 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 | 0x000000004c1177b8  0x000000004c003818  0x00007e4524011050    4403  21192704  21181504  org.apache.catalina.loader.ParallelWebappClassLoader</x:v>
      </x:c>
      <x:c r="U340" s="36" t="n">
        <x:v>30</x:v>
      </x:c>
      <x:c r="V340" s="36" t="n">
        <x:v>0</x:v>
      </x:c>
      <x:c r="W340" s="44"/>
      <x:c r="X340" s="36"/>
      <x:c r="Y340" s="36"/>
      <x:c r="Z340" s="44"/>
      <x:c r="AA340" s="49"/>
      <x:c r="AB340" s="43"/>
      <x:c r="AC340" s="34"/>
      <x:c r="AD340" s="34"/>
      <x:c r="AE340" s="34"/>
      <x:c r="AF340" s="34"/>
      <x:c r="AG340" s="34"/>
      <x:c r="AH340" s="34"/>
      <x:c r="AI340" s="34"/>
    </x:row>
    <x:row r="341">
      <x:c r="A341" s="34" t="str">
        <x:v>article1-unified-v4-2-fb3f101b-20260903-000401-default-f02-p3-caffeine</x:v>
      </x:c>
      <x:c r="B341" s="34" t="str">
        <x:v>default</x:v>
      </x:c>
      <x:c r="C341" s="34" t="str">
        <x:v>caffeine</x:v>
      </x:c>
      <x:c r="D341" s="34" t="str">
        <x:v>caffeine</x:v>
      </x:c>
      <x:c r="E341" s="36" t="n">
        <x:v>2</x:v>
      </x:c>
      <x:c r="F341" s="36" t="n">
        <x:v>2</x:v>
      </x:c>
      <x:c r="G341" s="36" t="n">
        <x:v>3</x:v>
      </x:c>
      <x:c r="H341" s="36" t="n">
        <x:v>2</x:v>
      </x:c>
      <x:c r="I341" s="34" t="str">
        <x:v>loaded</x:v>
      </x:c>
      <x:c r="J341" s="34" t="str">
        <x:v>loaded</x:v>
      </x:c>
      <x:c r="K341" s="36" t="n">
        <x:v>0</x:v>
      </x:c>
      <x:c r="L341" s="34" t="str">
        <x:v>initial</x:v>
      </x:c>
      <x:c r="M341" s="34" t="str">
        <x:v>article1-unified-v4-2-fb3f101b-20260903-000401-default-f02-p3-caffeine-2-loaded</x:v>
      </x:c>
      <x:c r="N341" s="38" t="n">
        <x:v>46267.970387581016</x:v>
      </x:c>
      <x:c r="O341" s="36" t="n">
        <x:v>0</x:v>
      </x:c>
      <x:c r="P341" s="43" t="n">
        <x:v>204005376</x:v>
      </x:c>
      <x:c r="Q341" s="43" t="n">
        <x:v>268435456</x:v>
      </x:c>
      <x:c r="R341" s="43" t="n">
        <x:v>467723264</x:v>
      </x:c>
      <x:c r="S341" s="36" t="n">
        <x:v>4</x:v>
      </x:c>
      <x:c r="T341" s="44" t="str">
        <x:v>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 | 0x000000004c1177b8  0x000000004c003818  0x00007e44c01a04c0    4390  21146624  21139552  org.apache.catalina.loader.ParallelWebappClassLoader | 0x000000004c1177b8  0x000000004c003818  0x00007e4524011050    4403  21192704  21181504  org.apache.catalina.loader.ParallelWebappClassLoader</x:v>
      </x:c>
      <x:c r="U341" s="36" t="n">
        <x:v>30</x:v>
      </x:c>
      <x:c r="V341" s="36" t="n">
        <x:v>0</x:v>
      </x:c>
      <x:c r="W341" s="44"/>
      <x:c r="X341" s="36"/>
      <x:c r="Y341" s="36"/>
      <x:c r="Z341" s="44"/>
      <x:c r="AA341" s="49"/>
      <x:c r="AB341" s="43"/>
      <x:c r="AC341" s="34"/>
      <x:c r="AD341" s="34"/>
      <x:c r="AE341" s="34"/>
      <x:c r="AF341" s="34"/>
      <x:c r="AG341" s="34"/>
      <x:c r="AH341" s="34"/>
      <x:c r="AI341" s="34"/>
    </x:row>
    <x:row r="342">
      <x:c r="A342" s="34" t="str">
        <x:v>article1-unified-v4-2-fb3f101b-20260903-000401-default-f02-p3-caffeine</x:v>
      </x:c>
      <x:c r="B342" s="34" t="str">
        <x:v>default</x:v>
      </x:c>
      <x:c r="C342" s="34" t="str">
        <x:v>caffeine</x:v>
      </x:c>
      <x:c r="D342" s="34" t="str">
        <x:v>caffeine</x:v>
      </x:c>
      <x:c r="E342" s="36" t="n">
        <x:v>2</x:v>
      </x:c>
      <x:c r="F342" s="36" t="n">
        <x:v>2</x:v>
      </x:c>
      <x:c r="G342" s="36" t="n">
        <x:v>3</x:v>
      </x:c>
      <x:c r="H342" s="36" t="n">
        <x:v>2</x:v>
      </x:c>
      <x:c r="I342" s="34" t="str">
        <x:v>afterUndeployEarly</x:v>
      </x:c>
      <x:c r="J342" s="34" t="str">
        <x:v>after-undeploy-early</x:v>
      </x:c>
      <x:c r="K342" s="36" t="n">
        <x:v>1</x:v>
      </x:c>
      <x:c r="L342" s="34" t="str">
        <x:v>early</x:v>
      </x:c>
      <x:c r="M342" s="34" t="str">
        <x:v>article1-unified-v4-2-fb3f101b-20260903-000401-default-f02-p3-caffeine-2-after-undeploy-early-2s</x:v>
      </x:c>
      <x:c r="N342" s="38" t="n">
        <x:v>46267.97047320602</x:v>
      </x:c>
      <x:c r="O342" s="36"/>
      <x:c r="P342" s="43"/>
      <x:c r="Q342" s="43"/>
      <x:c r="R342" s="43"/>
      <x:c r="S342" s="36"/>
      <x:c r="T342" s="44"/>
      <x:c r="U342" s="36" t="n">
        <x:v>30</x:v>
      </x:c>
      <x:c r="V342" s="36" t="n">
        <x:v>0</x:v>
      </x:c>
      <x:c r="W342" s="44"/>
      <x:c r="X342" s="36"/>
      <x:c r="Y342" s="36"/>
      <x:c r="Z342" s="44"/>
      <x:c r="AA342" s="49"/>
      <x:c r="AB342" s="43" t="n">
        <x:v>1</x:v>
      </x:c>
      <x:c r="AC342" s="34"/>
      <x:c r="AD342" s="34"/>
      <x:c r="AE342" s="34" t="str">
        <x:v>article1-unified-v4-2-fb3f101b-20260903-000401-default-f02-p3-caffeine-2-after-undeploy-early-2s-thread-dump.txt</x:v>
      </x:c>
      <x:c r="AF342" s="34" t="str">
        <x:v>article1-unified-v4-2-fb3f101b-20260903-000401-default-f02-p3-caffeine-2-after-undeploy-early-tomcat-log.txt</x:v>
      </x:c>
      <x:c r="AG342" s="34"/>
      <x:c r="AH342" s="34"/>
      <x:c r="AI342" s="34"/>
    </x:row>
    <x:row r="343">
      <x:c r="A343" s="34" t="str">
        <x:v>article1-unified-v4-2-fb3f101b-20260903-000401-default-f02-p3-caffeine</x:v>
      </x:c>
      <x:c r="B343" s="34" t="str">
        <x:v>default</x:v>
      </x:c>
      <x:c r="C343" s="34" t="str">
        <x:v>caffeine</x:v>
      </x:c>
      <x:c r="D343" s="34" t="str">
        <x:v>caffeine</x:v>
      </x:c>
      <x:c r="E343" s="36" t="n">
        <x:v>2</x:v>
      </x:c>
      <x:c r="F343" s="36" t="n">
        <x:v>2</x:v>
      </x:c>
      <x:c r="G343" s="36" t="n">
        <x:v>3</x:v>
      </x:c>
      <x:c r="H343" s="36" t="n">
        <x:v>2</x:v>
      </x:c>
      <x:c r="I343" s="34" t="str">
        <x:v>afterUndeploy</x:v>
      </x:c>
      <x:c r="J343" s="34" t="str">
        <x:v>after-undeploy-final</x:v>
      </x:c>
      <x:c r="K343" s="36" t="n">
        <x:v>1</x:v>
      </x:c>
      <x:c r="L343" s="34" t="str">
        <x:v>final</x:v>
      </x:c>
      <x:c r="M343" s="34" t="str">
        <x:v>article1-unified-v4-2-fb3f101b-20260903-000401-default-f02-p3-caffeine-2-after-undeploy-final-10s</x:v>
      </x:c>
      <x:c r="N343" s="38" t="n">
        <x:v>46267.97063603009</x:v>
      </x:c>
      <x:c r="O343" s="36" t="n">
        <x:v>2</x:v>
      </x:c>
      <x:c r="P343" s="43" t="n">
        <x:v>19893248</x:v>
      </x:c>
      <x:c r="Q343" s="43" t="n">
        <x:v>268435456</x:v>
      </x:c>
      <x:c r="R343" s="43" t="n">
        <x:v>443279360</x:v>
      </x:c>
      <x:c r="S343" s="36" t="n">
        <x:v>3</x:v>
      </x:c>
      <x:c r="T343" s="44" t="str">
        <x:v>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 | 0x000000004c1177b8  0x000000004c003818  0x00007e44c01a04c0    4398  21179392  21164088  org.apache.catalina.loader.ParallelWebappClassLoader</x:v>
      </x:c>
      <x:c r="U343" s="36" t="n">
        <x:v>30</x:v>
      </x:c>
      <x:c r="V343" s="36" t="n">
        <x:v>0</x:v>
      </x:c>
      <x:c r="W343" s="44"/>
      <x:c r="X343" s="36" t="n">
        <x:v>2</x:v>
      </x:c>
      <x:c r="Y343" s="36" t="n">
        <x:v>2</x:v>
      </x:c>
      <x:c r="Z343" s="44" t="str">
        <x:v>/caffeine</x:v>
      </x:c>
      <x:c r="AA343" s="45" t="b">
        <x:v>1</x:v>
      </x:c>
      <x:c r="AB343" s="43"/>
      <x:c r="AC343" s="34" t="str">
        <x:v>article1-unified-v4-2-fb3f101b-20260903-000401-default-f02-p3-caffeine-2-after-undeploy-final-10s-heap-info.txt</x:v>
      </x:c>
      <x:c r="AD343" s="34" t="str">
        <x:v>article1-unified-v4-2-fb3f101b-20260903-000401-default-f02-p3-caffeine-2-after-undeploy-final-10s-classloader-stats.txt</x:v>
      </x:c>
      <x:c r="AE343" s="34" t="str">
        <x:v>article1-unified-v4-2-fb3f101b-20260903-000401-default-f02-p3-caffeine-2-after-undeploy-final-10s-thread-dump.txt</x:v>
      </x:c>
      <x:c r="AF343" s="34"/>
      <x:c r="AG343" s="34" t="str">
        <x:v>article1-unified-v4-2-fb3f101b-20260903-000401-default-f02-p3-caffeine-2-after-undeploy-final-10s-native-memory.txt</x:v>
      </x:c>
      <x:c r="AH343" s="34" t="str">
        <x:v>article1-unified-v4-2-fb3f101b-20260903-000401-default-f02-p3-caffeine-2-after-undeploy-final-10s-class-histogram.txt</x:v>
      </x:c>
      <x:c r="AI343" s="34" t="str">
        <x:v>article1-unified-v4-2-fb3f101b-20260903-000401-default-f02-p3-caffeine-2-after-undeploy-tomcat-findleaks.txt</x:v>
      </x:c>
    </x:row>
    <x:row r="344">
      <x:c r="A344" s="34" t="str">
        <x:v>article1-unified-v4-2-fb3f101b-20260903-000401-default-f02-p3-caffeine</x:v>
      </x:c>
      <x:c r="B344" s="34" t="str">
        <x:v>default</x:v>
      </x:c>
      <x:c r="C344" s="34" t="str">
        <x:v>caffeine</x:v>
      </x:c>
      <x:c r="D344" s="34" t="str">
        <x:v>caffeine</x:v>
      </x:c>
      <x:c r="E344" s="36" t="n">
        <x:v>2</x:v>
      </x:c>
      <x:c r="F344" s="36" t="n">
        <x:v>2</x:v>
      </x:c>
      <x:c r="G344" s="36" t="n">
        <x:v>3</x:v>
      </x:c>
      <x:c r="H344" s="36" t="n">
        <x:v>2</x:v>
      </x:c>
      <x:c r="I344" s="34" t="str">
        <x:v>redeployedLoaded</x:v>
      </x:c>
      <x:c r="J344" s="34" t="str">
        <x:v>redeployed-loaded</x:v>
      </x:c>
      <x:c r="K344" s="36" t="n">
        <x:v>0</x:v>
      </x:c>
      <x:c r="L344" s="34" t="str">
        <x:v>redeploy</x:v>
      </x:c>
      <x:c r="M344" s="34" t="str">
        <x:v>article1-unified-v4-2-fb3f101b-20260903-000401-default-f02-p3-caffeine-2-redeployed-loaded</x:v>
      </x:c>
      <x:c r="N344" s="38" t="n">
        <x:v>46267.970896631945</x:v>
      </x:c>
      <x:c r="O344" s="36" t="n">
        <x:v>0</x:v>
      </x:c>
      <x:c r="P344" s="43" t="n">
        <x:v>206530560</x:v>
      </x:c>
      <x:c r="Q344" s="43" t="n">
        <x:v>268435456</x:v>
      </x:c>
      <x:c r="R344" s="43" t="n">
        <x:v>466484224</x:v>
      </x:c>
      <x:c r="S344" s="36" t="n">
        <x:v>4</x:v>
      </x:c>
      <x:c r="T344" s="44" t="str">
        <x:v>0x000000004c1177b8  0x000000004c003818  0x00007e451c176c00    4387  21143552  21120656  org.apache.catalina.loader.ParallelWebappClassLoader | 0x000000004c1177b8  0x000000004c003818  0x00007e4518075860    4403  21137408  21107552  org.apache.catalina.loader.ParallelWebappClassLoader | 0x000000004c1177b8  0x000000004c003818  0x00007e45c0686510       0         0         0  org.apache.catalina.loader.ParallelWebappClassLoader | 0x000000004c1177b8  0x000000004c003818  0x00007e44c01a04c0    4398  21179392  21164088  org.apache.catalina.loader.ParallelWebappClassLoader</x:v>
      </x:c>
      <x:c r="U344" s="36" t="n">
        <x:v>30</x:v>
      </x:c>
      <x:c r="V344" s="36" t="n">
        <x:v>0</x:v>
      </x:c>
      <x:c r="W344" s="44"/>
      <x:c r="X344" s="36"/>
      <x:c r="Y344" s="36"/>
      <x:c r="Z344" s="44"/>
      <x:c r="AA344" s="49"/>
      <x:c r="AB344" s="43"/>
      <x:c r="AC344" s="34"/>
      <x:c r="AD344" s="34"/>
      <x:c r="AE344" s="34"/>
      <x:c r="AF344" s="34"/>
      <x:c r="AG344" s="34"/>
      <x:c r="AH344" s="34"/>
      <x:c r="AI344" s="34"/>
    </x:row>
    <x:row r="345">
      <x:c r="A345" s="34" t="str">
        <x:v>article1-unified-v4-2-fb3f101b-20260903-000401-default-f02-p3-caffeine</x:v>
      </x:c>
      <x:c r="B345" s="34" t="str">
        <x:v>default</x:v>
      </x:c>
      <x:c r="C345" s="34" t="str">
        <x:v>caffeine</x:v>
      </x:c>
      <x:c r="D345" s="34" t="str">
        <x:v>caffeine</x:v>
      </x:c>
      <x:c r="E345" s="36" t="n">
        <x:v>2</x:v>
      </x:c>
      <x:c r="F345" s="36" t="n">
        <x:v>2</x:v>
      </x:c>
      <x:c r="G345" s="36" t="n">
        <x:v>3</x:v>
      </x:c>
      <x:c r="H345" s="36" t="n">
        <x:v>2</x:v>
      </x:c>
      <x:c r="I345" s="34" t="str">
        <x:v>afterFinalUndeployEarly</x:v>
      </x:c>
      <x:c r="J345" s="34" t="str">
        <x:v>after-final-undeploy-early</x:v>
      </x:c>
      <x:c r="K345" s="36" t="n">
        <x:v>2</x:v>
      </x:c>
      <x:c r="L345" s="34" t="str">
        <x:v>early</x:v>
      </x:c>
      <x:c r="M345" s="34" t="str">
        <x:v>article1-unified-v4-2-fb3f101b-20260903-000401-default-f02-p3-caffeine-2-after-final-undeploy-early-2s</x:v>
      </x:c>
      <x:c r="N345" s="38" t="n">
        <x:v>46267.97098388889</x:v>
      </x:c>
      <x:c r="O345" s="36"/>
      <x:c r="P345" s="43"/>
      <x:c r="Q345" s="43"/>
      <x:c r="R345" s="43"/>
      <x:c r="S345" s="36"/>
      <x:c r="T345" s="44"/>
      <x:c r="U345" s="36" t="n">
        <x:v>30</x:v>
      </x:c>
      <x:c r="V345" s="36" t="n">
        <x:v>0</x:v>
      </x:c>
      <x:c r="W345" s="44"/>
      <x:c r="X345" s="36"/>
      <x:c r="Y345" s="36"/>
      <x:c r="Z345" s="44"/>
      <x:c r="AA345" s="49"/>
      <x:c r="AB345" s="43" t="n">
        <x:v>1</x:v>
      </x:c>
      <x:c r="AC345" s="34"/>
      <x:c r="AD345" s="34"/>
      <x:c r="AE345" s="34" t="str">
        <x:v>article1-unified-v4-2-fb3f101b-20260903-000401-default-f02-p3-caffeine-2-after-final-undeploy-early-2s-thread-dump.txt</x:v>
      </x:c>
      <x:c r="AF345" s="34" t="str">
        <x:v>article1-unified-v4-2-fb3f101b-20260903-000401-default-f02-p3-caffeine-2-after-final-undeploy-early-tomcat-log.txt</x:v>
      </x:c>
      <x:c r="AG345" s="34"/>
      <x:c r="AH345" s="34"/>
      <x:c r="AI345" s="34"/>
    </x:row>
    <x:row r="346">
      <x:c r="A346" s="34" t="str">
        <x:v>article1-unified-v4-2-fb3f101b-20260903-000401-default-f02-p3-caffeine</x:v>
      </x:c>
      <x:c r="B346" s="34" t="str">
        <x:v>default</x:v>
      </x:c>
      <x:c r="C346" s="34" t="str">
        <x:v>caffeine</x:v>
      </x:c>
      <x:c r="D346" s="34" t="str">
        <x:v>caffeine</x:v>
      </x:c>
      <x:c r="E346" s="36" t="n">
        <x:v>2</x:v>
      </x:c>
      <x:c r="F346" s="36" t="n">
        <x:v>2</x:v>
      </x:c>
      <x:c r="G346" s="36" t="n">
        <x:v>3</x:v>
      </x:c>
      <x:c r="H346" s="36" t="n">
        <x:v>2</x:v>
      </x:c>
      <x:c r="I346" s="34" t="str">
        <x:v>afterFinalUndeploy</x:v>
      </x:c>
      <x:c r="J346" s="34" t="str">
        <x:v>after-final-undeploy-final</x:v>
      </x:c>
      <x:c r="K346" s="36" t="n">
        <x:v>2</x:v>
      </x:c>
      <x:c r="L346" s="34" t="str">
        <x:v>final</x:v>
      </x:c>
      <x:c r="M346" s="34" t="str">
        <x:v>article1-unified-v4-2-fb3f101b-20260903-000401-default-f02-p3-caffeine-2-after-final-undeploy-final-10s</x:v>
      </x:c>
      <x:c r="N346" s="38" t="n">
        <x:v>46267.97114991898</x:v>
      </x:c>
      <x:c r="O346" s="36" t="n">
        <x:v>2</x:v>
      </x:c>
      <x:c r="P346" s="43" t="n">
        <x:v>15723520</x:v>
      </x:c>
      <x:c r="Q346" s="43" t="n">
        <x:v>268435456</x:v>
      </x:c>
      <x:c r="R346" s="43" t="n">
        <x:v>425582592</x:v>
      </x:c>
      <x:c r="S346" s="36" t="n">
        <x:v>2</x:v>
      </x:c>
      <x:c r="T346" s="44" t="str">
        <x:v>0x000000004c1177b8  0x000000004c003818  0x00007e45c0686510       0         0         0  org.apache.catalina.loader.ParallelWebappClassLoader | 0x000000004c1177b8  0x000000004c003818  0x00007e451c176c00    4395  21159936  21145464  org.apache.catalina.loader.ParallelWebappClassLoader</x:v>
      </x:c>
      <x:c r="U346" s="36" t="n">
        <x:v>30</x:v>
      </x:c>
      <x:c r="V346" s="36" t="n">
        <x:v>0</x:v>
      </x:c>
      <x:c r="W346" s="44"/>
      <x:c r="X346" s="36" t="n">
        <x:v>1</x:v>
      </x:c>
      <x:c r="Y346" s="36" t="n">
        <x:v>1</x:v>
      </x:c>
      <x:c r="Z346" s="44" t="str">
        <x:v>/caffeine</x:v>
      </x:c>
      <x:c r="AA346" s="45" t="b">
        <x:v>1</x:v>
      </x:c>
      <x:c r="AB346" s="43"/>
      <x:c r="AC346" s="34" t="str">
        <x:v>article1-unified-v4-2-fb3f101b-20260903-000401-default-f02-p3-caffeine-2-after-final-undeploy-final-10s-heap-info.txt</x:v>
      </x:c>
      <x:c r="AD346" s="34" t="str">
        <x:v>article1-unified-v4-2-fb3f101b-20260903-000401-default-f02-p3-caffeine-2-after-final-undeploy-final-10s-classloader-stats.txt</x:v>
      </x:c>
      <x:c r="AE346" s="34" t="str">
        <x:v>article1-unified-v4-2-fb3f101b-20260903-000401-default-f02-p3-caffeine-2-after-final-undeploy-final-10s-thread-dump.txt</x:v>
      </x:c>
      <x:c r="AF346" s="34"/>
      <x:c r="AG346" s="34" t="str">
        <x:v>article1-unified-v4-2-fb3f101b-20260903-000401-default-f02-p3-caffeine-2-after-final-undeploy-final-10s-native-memory.txt</x:v>
      </x:c>
      <x:c r="AH346" s="34" t="str">
        <x:v>article1-unified-v4-2-fb3f101b-20260903-000401-default-f02-p3-caffeine-2-after-final-undeploy-final-10s-class-histogram.txt</x:v>
      </x:c>
      <x:c r="AI346" s="34" t="str">
        <x:v>article1-unified-v4-2-fb3f101b-20260903-000401-default-f02-p3-caffeine-2-after-final-undeploy-tomcat-findleaks.txt</x:v>
      </x:c>
    </x:row>
    <x:row r="347">
      <x:c r="A347" s="34" t="str">
        <x:v>article1-unified-v4-2-fb3f101b-20260903-000401-default-f02-p3-caffeine</x:v>
      </x:c>
      <x:c r="B347" s="34" t="str">
        <x:v>default</x:v>
      </x:c>
      <x:c r="C347" s="34" t="str">
        <x:v>caffeine</x:v>
      </x:c>
      <x:c r="D347" s="34" t="str">
        <x:v>caffeine</x:v>
      </x:c>
      <x:c r="E347" s="36" t="n">
        <x:v>2</x:v>
      </x:c>
      <x:c r="F347" s="36" t="n">
        <x:v>2</x:v>
      </x:c>
      <x:c r="G347" s="36" t="n">
        <x:v>3</x:v>
      </x:c>
      <x:c r="H347" s="36" t="n">
        <x:v>3</x:v>
      </x:c>
      <x:c r="I347" s="34" t="str">
        <x:v>baseline</x:v>
      </x:c>
      <x:c r="J347" s="34" t="str">
        <x:v>cycle-baseline</x:v>
      </x:c>
      <x:c r="K347" s="36" t="n">
        <x:v>0</x:v>
      </x:c>
      <x:c r="L347" s="34" t="str">
        <x:v>baseline</x:v>
      </x:c>
      <x:c r="M347" s="34" t="str">
        <x:v>article1-unified-v4-2-fb3f101b-20260903-000401-default-f02-p3-caffeine-3-baseline</x:v>
      </x:c>
      <x:c r="N347" s="38" t="n">
        <x:v>46267.97119098379</x:v>
      </x:c>
      <x:c r="O347" s="36" t="n">
        <x:v>0</x:v>
      </x:c>
      <x:c r="P347" s="43" t="n">
        <x:v>15723520</x:v>
      </x:c>
      <x:c r="Q347" s="43" t="n">
        <x:v>268435456</x:v>
      </x:c>
      <x:c r="R347" s="43" t="n">
        <x:v>425582592</x:v>
      </x:c>
      <x:c r="S347" s="36" t="n">
        <x:v>2</x:v>
      </x:c>
      <x:c r="T347" s="44" t="str">
        <x:v>0x000000004c1177b8  0x000000004c003818  0x00007e45c0686510       0         0         0  org.apache.catalina.loader.ParallelWebappClassLoader | 0x000000004c1177b8  0x000000004c003818  0x00007e451c176c00    4395  21159936  21145464  org.apache.catalina.loader.ParallelWebappClassLoader</x:v>
      </x:c>
      <x:c r="U347" s="36" t="n">
        <x:v>30</x:v>
      </x:c>
      <x:c r="V347" s="36" t="n">
        <x:v>0</x:v>
      </x:c>
      <x:c r="W347" s="44"/>
      <x:c r="X347" s="36"/>
      <x:c r="Y347" s="36"/>
      <x:c r="Z347" s="44"/>
      <x:c r="AA347" s="49"/>
      <x:c r="AB347" s="43"/>
      <x:c r="AC347" s="34" t="str">
        <x:v>article1-unified-v4-2-fb3f101b-20260903-000401-default-f02-p3-caffeine-3-baseline-heap-info.txt</x:v>
      </x:c>
      <x:c r="AD347" s="34" t="str">
        <x:v>article1-unified-v4-2-fb3f101b-20260903-000401-default-f02-p3-caffeine-3-baseline-classloader-stats.txt</x:v>
      </x:c>
      <x:c r="AE347" s="34" t="str">
        <x:v>article1-unified-v4-2-fb3f101b-20260903-000401-default-f02-p3-caffeine-3-baseline-thread-dump.txt</x:v>
      </x:c>
      <x:c r="AF347" s="34"/>
      <x:c r="AG347" s="34" t="str">
        <x:v>article1-unified-v4-2-fb3f101b-20260903-000401-default-f02-p3-caffeine-3-baseline-native-memory.txt</x:v>
      </x:c>
      <x:c r="AH347" s="34"/>
      <x:c r="AI347" s="34"/>
    </x:row>
    <x:row r="348">
      <x:c r="A348" s="34" t="str">
        <x:v>article1-unified-v4-2-fb3f101b-20260903-000401-default-f02-p3-caffeine</x:v>
      </x:c>
      <x:c r="B348" s="34" t="str">
        <x:v>default</x:v>
      </x:c>
      <x:c r="C348" s="34" t="str">
        <x:v>caffeine</x:v>
      </x:c>
      <x:c r="D348" s="34" t="str">
        <x:v>caffeine</x:v>
      </x:c>
      <x:c r="E348" s="36" t="n">
        <x:v>2</x:v>
      </x:c>
      <x:c r="F348" s="36" t="n">
        <x:v>2</x:v>
      </x:c>
      <x:c r="G348" s="36" t="n">
        <x:v>3</x:v>
      </x:c>
      <x:c r="H348" s="36" t="n">
        <x:v>3</x:v>
      </x:c>
      <x:c r="I348" s="34" t="str">
        <x:v>deployedIdle</x:v>
      </x:c>
      <x:c r="J348" s="34" t="str">
        <x:v>deployed-idle</x:v>
      </x:c>
      <x:c r="K348" s="36" t="n">
        <x:v>0</x:v>
      </x:c>
      <x:c r="L348" s="34" t="str">
        <x:v>initial</x:v>
      </x:c>
      <x:c r="M348" s="34" t="str">
        <x:v>article1-unified-v4-2-fb3f101b-20260903-000401-default-f02-p3-caffeine-3-deployed-idle</x:v>
      </x:c>
      <x:c r="N348" s="38" t="n">
        <x:v>46267.971290347225</x:v>
      </x:c>
      <x:c r="O348" s="36" t="n">
        <x:v>0</x:v>
      </x:c>
      <x:c r="P348" s="43" t="n">
        <x:v>165649408</x:v>
      </x:c>
      <x:c r="Q348" s="43" t="n">
        <x:v>268435456</x:v>
      </x:c>
      <x:c r="R348" s="43" t="n">
        <x:v>441761792</x:v>
      </x:c>
      <x:c r="S348" s="36" t="n">
        <x:v>3</x:v>
      </x:c>
      <x:c r="T348" s="44" t="str">
        <x:v>0x000000004c1177b8  0x000000004c003818  0x00007e45c0686510       0         0         0  org.apache.catalina.loader.ParallelWebappClassLoader | 0x000000004c1177b8  0x000000004c003818  0x00007e451c176c00    4395  21159936  21145464  org.apache.catalina.loader.ParallelWebappClassLoader | 0x000000004c1177b8  0x000000004c003818  0x00007e44c01aefc0    4091  19456000  19431200  org.apache.catalina.loader.ParallelWebappClassLoader</x:v>
      </x:c>
      <x:c r="U348" s="36" t="n">
        <x:v>30</x:v>
      </x:c>
      <x:c r="V348" s="36" t="n">
        <x:v>0</x:v>
      </x:c>
      <x:c r="W348" s="44"/>
      <x:c r="X348" s="36"/>
      <x:c r="Y348" s="36"/>
      <x:c r="Z348" s="44"/>
      <x:c r="AA348" s="49"/>
      <x:c r="AB348" s="43"/>
      <x:c r="AC348" s="34"/>
      <x:c r="AD348" s="34"/>
      <x:c r="AE348" s="34"/>
      <x:c r="AF348" s="34"/>
      <x:c r="AG348" s="34"/>
      <x:c r="AH348" s="34"/>
      <x:c r="AI348" s="34"/>
    </x:row>
    <x:row r="349">
      <x:c r="A349" s="34" t="str">
        <x:v>article1-unified-v4-2-fb3f101b-20260903-000401-default-f02-p3-caffeine</x:v>
      </x:c>
      <x:c r="B349" s="34" t="str">
        <x:v>default</x:v>
      </x:c>
      <x:c r="C349" s="34" t="str">
        <x:v>caffeine</x:v>
      </x:c>
      <x:c r="D349" s="34" t="str">
        <x:v>caffeine</x:v>
      </x:c>
      <x:c r="E349" s="36" t="n">
        <x:v>2</x:v>
      </x:c>
      <x:c r="F349" s="36" t="n">
        <x:v>2</x:v>
      </x:c>
      <x:c r="G349" s="36" t="n">
        <x:v>3</x:v>
      </x:c>
      <x:c r="H349" s="36" t="n">
        <x:v>3</x:v>
      </x:c>
      <x:c r="I349" s="34" t="str">
        <x:v>loaded</x:v>
      </x:c>
      <x:c r="J349" s="34" t="str">
        <x:v>loaded</x:v>
      </x:c>
      <x:c r="K349" s="36" t="n">
        <x:v>0</x:v>
      </x:c>
      <x:c r="L349" s="34" t="str">
        <x:v>initial</x:v>
      </x:c>
      <x:c r="M349" s="34" t="str">
        <x:v>article1-unified-v4-2-fb3f101b-20260903-000401-default-f02-p3-caffeine-3-loaded</x:v>
      </x:c>
      <x:c r="N349" s="38" t="n">
        <x:v>46267.9714421875</x:v>
      </x:c>
      <x:c r="O349" s="36" t="n">
        <x:v>0</x:v>
      </x:c>
      <x:c r="P349" s="43" t="n">
        <x:v>207367168</x:v>
      </x:c>
      <x:c r="Q349" s="43" t="n">
        <x:v>268435456</x:v>
      </x:c>
      <x:c r="R349" s="43" t="n">
        <x:v>446904320</x:v>
      </x:c>
      <x:c r="S349" s="36" t="n">
        <x:v>3</x:v>
      </x:c>
      <x:c r="T349" s="44" t="str">
        <x:v>0x000000004c1177b8  0x000000004c003818  0x00007e44c01aefc0    4385  21143552  21124208  org.apache.catalina.loader.ParallelWebappClassLoader | 0x000000004c1177b8  0x000000004c003818  0x00007e45c0686510       0         0         0  org.apache.catalina.loader.ParallelWebappClassLoader | 0x000000004c1177b8  0x000000004c003818  0x00007e451c176c00    4395  21159936  21145464  org.apache.catalina.loader.ParallelWebappClassLoader</x:v>
      </x:c>
      <x:c r="U349" s="36" t="n">
        <x:v>30</x:v>
      </x:c>
      <x:c r="V349" s="36" t="n">
        <x:v>0</x:v>
      </x:c>
      <x:c r="W349" s="44"/>
      <x:c r="X349" s="36"/>
      <x:c r="Y349" s="36"/>
      <x:c r="Z349" s="44"/>
      <x:c r="AA349" s="49"/>
      <x:c r="AB349" s="43"/>
      <x:c r="AC349" s="34"/>
      <x:c r="AD349" s="34"/>
      <x:c r="AE349" s="34"/>
      <x:c r="AF349" s="34"/>
      <x:c r="AG349" s="34"/>
      <x:c r="AH349" s="34"/>
      <x:c r="AI349" s="34"/>
    </x:row>
    <x:row r="350">
      <x:c r="A350" s="34" t="str">
        <x:v>article1-unified-v4-2-fb3f101b-20260903-000401-default-f02-p3-caffeine</x:v>
      </x:c>
      <x:c r="B350" s="34" t="str">
        <x:v>default</x:v>
      </x:c>
      <x:c r="C350" s="34" t="str">
        <x:v>caffeine</x:v>
      </x:c>
      <x:c r="D350" s="34" t="str">
        <x:v>caffeine</x:v>
      </x:c>
      <x:c r="E350" s="36" t="n">
        <x:v>2</x:v>
      </x:c>
      <x:c r="F350" s="36" t="n">
        <x:v>2</x:v>
      </x:c>
      <x:c r="G350" s="36" t="n">
        <x:v>3</x:v>
      </x:c>
      <x:c r="H350" s="36" t="n">
        <x:v>3</x:v>
      </x:c>
      <x:c r="I350" s="34" t="str">
        <x:v>afterUndeployEarly</x:v>
      </x:c>
      <x:c r="J350" s="34" t="str">
        <x:v>after-undeploy-early</x:v>
      </x:c>
      <x:c r="K350" s="36" t="n">
        <x:v>1</x:v>
      </x:c>
      <x:c r="L350" s="34" t="str">
        <x:v>early</x:v>
      </x:c>
      <x:c r="M350" s="34" t="str">
        <x:v>article1-unified-v4-2-fb3f101b-20260903-000401-default-f02-p3-caffeine-3-after-undeploy-early-2s</x:v>
      </x:c>
      <x:c r="N350" s="38" t="n">
        <x:v>46267.97152605324</x:v>
      </x:c>
      <x:c r="O350" s="36"/>
      <x:c r="P350" s="43"/>
      <x:c r="Q350" s="43"/>
      <x:c r="R350" s="43"/>
      <x:c r="S350" s="36"/>
      <x:c r="T350" s="44"/>
      <x:c r="U350" s="36" t="n">
        <x:v>30</x:v>
      </x:c>
      <x:c r="V350" s="36" t="n">
        <x:v>0</x:v>
      </x:c>
      <x:c r="W350" s="44"/>
      <x:c r="X350" s="36"/>
      <x:c r="Y350" s="36"/>
      <x:c r="Z350" s="44"/>
      <x:c r="AA350" s="49"/>
      <x:c r="AB350" s="43" t="n">
        <x:v>1</x:v>
      </x:c>
      <x:c r="AC350" s="34"/>
      <x:c r="AD350" s="34"/>
      <x:c r="AE350" s="34" t="str">
        <x:v>article1-unified-v4-2-fb3f101b-20260903-000401-default-f02-p3-caffeine-3-after-undeploy-early-2s-thread-dump.txt</x:v>
      </x:c>
      <x:c r="AF350" s="34" t="str">
        <x:v>article1-unified-v4-2-fb3f101b-20260903-000401-default-f02-p3-caffeine-3-after-undeploy-early-tomcat-log.txt</x:v>
      </x:c>
      <x:c r="AG350" s="34"/>
      <x:c r="AH350" s="34"/>
      <x:c r="AI350" s="34"/>
    </x:row>
    <x:row r="351">
      <x:c r="A351" s="34" t="str">
        <x:v>article1-unified-v4-2-fb3f101b-20260903-000401-default-f02-p3-caffeine</x:v>
      </x:c>
      <x:c r="B351" s="34" t="str">
        <x:v>default</x:v>
      </x:c>
      <x:c r="C351" s="34" t="str">
        <x:v>caffeine</x:v>
      </x:c>
      <x:c r="D351" s="34" t="str">
        <x:v>caffeine</x:v>
      </x:c>
      <x:c r="E351" s="36" t="n">
        <x:v>2</x:v>
      </x:c>
      <x:c r="F351" s="36" t="n">
        <x:v>2</x:v>
      </x:c>
      <x:c r="G351" s="36" t="n">
        <x:v>3</x:v>
      </x:c>
      <x:c r="H351" s="36" t="n">
        <x:v>3</x:v>
      </x:c>
      <x:c r="I351" s="34" t="str">
        <x:v>afterUndeploy</x:v>
      </x:c>
      <x:c r="J351" s="34" t="str">
        <x:v>after-undeploy-final</x:v>
      </x:c>
      <x:c r="K351" s="36" t="n">
        <x:v>1</x:v>
      </x:c>
      <x:c r="L351" s="34" t="str">
        <x:v>final</x:v>
      </x:c>
      <x:c r="M351" s="34" t="str">
        <x:v>article1-unified-v4-2-fb3f101b-20260903-000401-default-f02-p3-caffeine-3-after-undeploy-final-10s</x:v>
      </x:c>
      <x:c r="N351" s="38" t="n">
        <x:v>46267.971688460646</x:v>
      </x:c>
      <x:c r="O351" s="36" t="n">
        <x:v>2</x:v>
      </x:c>
      <x:c r="P351" s="43" t="n">
        <x:v>15682560</x:v>
      </x:c>
      <x:c r="Q351" s="43" t="n">
        <x:v>268435456</x:v>
      </x:c>
      <x:c r="R351" s="43" t="n">
        <x:v>422949888</x:v>
      </x:c>
      <x:c r="S351" s="36" t="n">
        <x:v>2</x:v>
      </x:c>
      <x:c r="T351" s="44" t="str">
        <x:v>0x000000004c1177b8  0x000000004c003818  0x00007e45c0686510       0         0         0  org.apache.catalina.loader.ParallelWebappClassLoader | 0x000000004c1177b8  0x000000004c003818  0x00007e44c01aefc0    4393  21159936  21148856  org.apache.catalina.loader.ParallelWebappClassLoader</x:v>
      </x:c>
      <x:c r="U351" s="36" t="n">
        <x:v>30</x:v>
      </x:c>
      <x:c r="V351" s="36" t="n">
        <x:v>0</x:v>
      </x:c>
      <x:c r="W351" s="44"/>
      <x:c r="X351" s="36" t="n">
        <x:v>1</x:v>
      </x:c>
      <x:c r="Y351" s="36" t="n">
        <x:v>1</x:v>
      </x:c>
      <x:c r="Z351" s="44" t="str">
        <x:v>/caffeine</x:v>
      </x:c>
      <x:c r="AA351" s="45" t="b">
        <x:v>1</x:v>
      </x:c>
      <x:c r="AB351" s="43"/>
      <x:c r="AC351" s="34" t="str">
        <x:v>article1-unified-v4-2-fb3f101b-20260903-000401-default-f02-p3-caffeine-3-after-undeploy-final-10s-heap-info.txt</x:v>
      </x:c>
      <x:c r="AD351" s="34" t="str">
        <x:v>article1-unified-v4-2-fb3f101b-20260903-000401-default-f02-p3-caffeine-3-after-undeploy-final-10s-classloader-stats.txt</x:v>
      </x:c>
      <x:c r="AE351" s="34" t="str">
        <x:v>article1-unified-v4-2-fb3f101b-20260903-000401-default-f02-p3-caffeine-3-after-undeploy-final-10s-thread-dump.txt</x:v>
      </x:c>
      <x:c r="AF351" s="34"/>
      <x:c r="AG351" s="34" t="str">
        <x:v>article1-unified-v4-2-fb3f101b-20260903-000401-default-f02-p3-caffeine-3-after-undeploy-final-10s-native-memory.txt</x:v>
      </x:c>
      <x:c r="AH351" s="34" t="str">
        <x:v>article1-unified-v4-2-fb3f101b-20260903-000401-default-f02-p3-caffeine-3-after-undeploy-final-10s-class-histogram.txt</x:v>
      </x:c>
      <x:c r="AI351" s="34" t="str">
        <x:v>article1-unified-v4-2-fb3f101b-20260903-000401-default-f02-p3-caffeine-3-after-undeploy-tomcat-findleaks.txt</x:v>
      </x:c>
    </x:row>
    <x:row r="352">
      <x:c r="A352" s="34" t="str">
        <x:v>article1-unified-v4-2-fb3f101b-20260903-000401-default-f02-p3-caffeine</x:v>
      </x:c>
      <x:c r="B352" s="34" t="str">
        <x:v>default</x:v>
      </x:c>
      <x:c r="C352" s="34" t="str">
        <x:v>caffeine</x:v>
      </x:c>
      <x:c r="D352" s="34" t="str">
        <x:v>caffeine</x:v>
      </x:c>
      <x:c r="E352" s="36" t="n">
        <x:v>2</x:v>
      </x:c>
      <x:c r="F352" s="36" t="n">
        <x:v>2</x:v>
      </x:c>
      <x:c r="G352" s="36" t="n">
        <x:v>3</x:v>
      </x:c>
      <x:c r="H352" s="36" t="n">
        <x:v>3</x:v>
      </x:c>
      <x:c r="I352" s="34" t="str">
        <x:v>redeployedLoaded</x:v>
      </x:c>
      <x:c r="J352" s="34" t="str">
        <x:v>redeployed-loaded</x:v>
      </x:c>
      <x:c r="K352" s="36" t="n">
        <x:v>0</x:v>
      </x:c>
      <x:c r="L352" s="34" t="str">
        <x:v>redeploy</x:v>
      </x:c>
      <x:c r="M352" s="34" t="str">
        <x:v>article1-unified-v4-2-fb3f101b-20260903-000401-default-f02-p3-caffeine-3-redeployed-loaded</x:v>
      </x:c>
      <x:c r="N352" s="38" t="n">
        <x:v>46267.97194570602</x:v>
      </x:c>
      <x:c r="O352" s="36" t="n">
        <x:v>0</x:v>
      </x:c>
      <x:c r="P352" s="43" t="n">
        <x:v>207843328</x:v>
      </x:c>
      <x:c r="Q352" s="43" t="n">
        <x:v>268435456</x:v>
      </x:c>
      <x:c r="R352" s="43" t="n">
        <x:v>452733952</x:v>
      </x:c>
      <x:c r="S352" s="36" t="n">
        <x:v>3</x:v>
      </x:c>
      <x:c r="T352" s="44" t="str">
        <x:v>0x000000004c1177b8  0x000000004c003818  0x00007e4538148650    4390  21147648  21133264  org.apache.catalina.loader.ParallelWebappClassLoader | 0x000000004c1177b8  0x000000004c003818  0x00007e45c0686510       0         0         0  org.apache.catalina.loader.ParallelWebappClassLoader | 0x000000004c1177b8  0x000000004c003818  0x00007e44c01aefc0    4393  21159936  21148856  org.apache.catalina.loader.ParallelWebappClassLoader</x:v>
      </x:c>
      <x:c r="U352" s="36" t="n">
        <x:v>31</x:v>
      </x:c>
      <x:c r="V352" s="36" t="n">
        <x:v>0</x:v>
      </x:c>
      <x:c r="W352" s="44"/>
      <x:c r="X352" s="36"/>
      <x:c r="Y352" s="36"/>
      <x:c r="Z352" s="44"/>
      <x:c r="AA352" s="49"/>
      <x:c r="AB352" s="43"/>
      <x:c r="AC352" s="34"/>
      <x:c r="AD352" s="34"/>
      <x:c r="AE352" s="34"/>
      <x:c r="AF352" s="34"/>
      <x:c r="AG352" s="34"/>
      <x:c r="AH352" s="34"/>
      <x:c r="AI352" s="34"/>
    </x:row>
    <x:row r="353">
      <x:c r="A353" s="34" t="str">
        <x:v>article1-unified-v4-2-fb3f101b-20260903-000401-default-f02-p3-caffeine</x:v>
      </x:c>
      <x:c r="B353" s="34" t="str">
        <x:v>default</x:v>
      </x:c>
      <x:c r="C353" s="34" t="str">
        <x:v>caffeine</x:v>
      </x:c>
      <x:c r="D353" s="34" t="str">
        <x:v>caffeine</x:v>
      </x:c>
      <x:c r="E353" s="36" t="n">
        <x:v>2</x:v>
      </x:c>
      <x:c r="F353" s="36" t="n">
        <x:v>2</x:v>
      </x:c>
      <x:c r="G353" s="36" t="n">
        <x:v>3</x:v>
      </x:c>
      <x:c r="H353" s="36" t="n">
        <x:v>3</x:v>
      </x:c>
      <x:c r="I353" s="34" t="str">
        <x:v>afterFinalUndeployEarly</x:v>
      </x:c>
      <x:c r="J353" s="34" t="str">
        <x:v>after-final-undeploy-early</x:v>
      </x:c>
      <x:c r="K353" s="36" t="n">
        <x:v>2</x:v>
      </x:c>
      <x:c r="L353" s="34" t="str">
        <x:v>early</x:v>
      </x:c>
      <x:c r="M353" s="34" t="str">
        <x:v>article1-unified-v4-2-fb3f101b-20260903-000401-default-f02-p3-caffeine-3-after-final-undeploy-early-2s</x:v>
      </x:c>
      <x:c r="N353" s="38" t="n">
        <x:v>46267.97203228009</x:v>
      </x:c>
      <x:c r="O353" s="36"/>
      <x:c r="P353" s="43"/>
      <x:c r="Q353" s="43"/>
      <x:c r="R353" s="43"/>
      <x:c r="S353" s="36"/>
      <x:c r="T353" s="44"/>
      <x:c r="U353" s="36" t="n">
        <x:v>30</x:v>
      </x:c>
      <x:c r="V353" s="36" t="n">
        <x:v>0</x:v>
      </x:c>
      <x:c r="W353" s="44"/>
      <x:c r="X353" s="36"/>
      <x:c r="Y353" s="36"/>
      <x:c r="Z353" s="44"/>
      <x:c r="AA353" s="49"/>
      <x:c r="AB353" s="43" t="n">
        <x:v>1</x:v>
      </x:c>
      <x:c r="AC353" s="34"/>
      <x:c r="AD353" s="34"/>
      <x:c r="AE353" s="34" t="str">
        <x:v>article1-unified-v4-2-fb3f101b-20260903-000401-default-f02-p3-caffeine-3-after-final-undeploy-early-2s-thread-dump.txt</x:v>
      </x:c>
      <x:c r="AF353" s="34" t="str">
        <x:v>article1-unified-v4-2-fb3f101b-20260903-000401-default-f02-p3-caffeine-3-after-final-undeploy-early-tomcat-log.txt</x:v>
      </x:c>
      <x:c r="AG353" s="34"/>
      <x:c r="AH353" s="34"/>
      <x:c r="AI353" s="34"/>
    </x:row>
    <x:row r="354">
      <x:c r="A354" s="34" t="str">
        <x:v>article1-unified-v4-2-fb3f101b-20260903-000401-default-f02-p3-caffeine</x:v>
      </x:c>
      <x:c r="B354" s="34" t="str">
        <x:v>default</x:v>
      </x:c>
      <x:c r="C354" s="34" t="str">
        <x:v>caffeine</x:v>
      </x:c>
      <x:c r="D354" s="34" t="str">
        <x:v>caffeine</x:v>
      </x:c>
      <x:c r="E354" s="36" t="n">
        <x:v>2</x:v>
      </x:c>
      <x:c r="F354" s="36" t="n">
        <x:v>2</x:v>
      </x:c>
      <x:c r="G354" s="36" t="n">
        <x:v>3</x:v>
      </x:c>
      <x:c r="H354" s="36" t="n">
        <x:v>3</x:v>
      </x:c>
      <x:c r="I354" s="34" t="str">
        <x:v>afterFinalUndeploy</x:v>
      </x:c>
      <x:c r="J354" s="34" t="str">
        <x:v>after-final-undeploy-final</x:v>
      </x:c>
      <x:c r="K354" s="36" t="n">
        <x:v>2</x:v>
      </x:c>
      <x:c r="L354" s="34" t="str">
        <x:v>final</x:v>
      </x:c>
      <x:c r="M354" s="34" t="str">
        <x:v>article1-unified-v4-2-fb3f101b-20260903-000401-default-f02-p3-caffeine-3-after-final-undeploy-final-10s</x:v>
      </x:c>
      <x:c r="N354" s="38" t="n">
        <x:v>46267.97219270833</x:v>
      </x:c>
      <x:c r="O354" s="36" t="n">
        <x:v>2</x:v>
      </x:c>
      <x:c r="P354" s="43" t="n">
        <x:v>15706112</x:v>
      </x:c>
      <x:c r="Q354" s="43" t="n">
        <x:v>268435456</x:v>
      </x:c>
      <x:c r="R354" s="43" t="n">
        <x:v>428039168</x:v>
      </x:c>
      <x:c r="S354" s="36" t="n">
        <x:v>2</x:v>
      </x:c>
      <x:c r="T354" s="44" t="str">
        <x:v>0x000000004c1177b8  0x000000004c003818  0x00007e4538148650    4398  21172224  21157904  org.apache.catalina.loader.ParallelWebappClassLoader | 0x000000004c1177b8  0x000000004c003818  0x00007e45c0686510       0         0         0  org.apache.catalina.loader.ParallelWebappClassLoader</x:v>
      </x:c>
      <x:c r="U354" s="36" t="n">
        <x:v>30</x:v>
      </x:c>
      <x:c r="V354" s="36" t="n">
        <x:v>0</x:v>
      </x:c>
      <x:c r="W354" s="44"/>
      <x:c r="X354" s="36" t="n">
        <x:v>1</x:v>
      </x:c>
      <x:c r="Y354" s="36" t="n">
        <x:v>1</x:v>
      </x:c>
      <x:c r="Z354" s="44" t="str">
        <x:v>/caffeine</x:v>
      </x:c>
      <x:c r="AA354" s="45" t="b">
        <x:v>1</x:v>
      </x:c>
      <x:c r="AB354" s="43"/>
      <x:c r="AC354" s="34" t="str">
        <x:v>article1-unified-v4-2-fb3f101b-20260903-000401-default-f02-p3-caffeine-3-after-final-undeploy-final-10s-heap-info.txt</x:v>
      </x:c>
      <x:c r="AD354" s="34" t="str">
        <x:v>article1-unified-v4-2-fb3f101b-20260903-000401-default-f02-p3-caffeine-3-after-final-undeploy-final-10s-classloader-stats.txt</x:v>
      </x:c>
      <x:c r="AE354" s="34" t="str">
        <x:v>article1-unified-v4-2-fb3f101b-20260903-000401-default-f02-p3-caffeine-3-after-final-undeploy-final-10s-thread-dump.txt</x:v>
      </x:c>
      <x:c r="AF354" s="34"/>
      <x:c r="AG354" s="34" t="str">
        <x:v>article1-unified-v4-2-fb3f101b-20260903-000401-default-f02-p3-caffeine-3-after-final-undeploy-final-10s-native-memory.txt</x:v>
      </x:c>
      <x:c r="AH354" s="34" t="str">
        <x:v>article1-unified-v4-2-fb3f101b-20260903-000401-default-f02-p3-caffeine-3-after-final-undeploy-final-10s-class-histogram.txt</x:v>
      </x:c>
      <x:c r="AI354" s="34" t="str">
        <x:v>article1-unified-v4-2-fb3f101b-20260903-000401-default-f02-p3-caffeine-3-after-final-undeploy-tomcat-findleaks.txt</x:v>
      </x:c>
    </x:row>
    <x:row r="355">
      <x:c r="A355" s="34" t="str">
        <x:v>article1-unified-v4-2-fb3f101b-20260903-000401-default-f02-p3-caffeine</x:v>
      </x:c>
      <x:c r="B355" s="34" t="str">
        <x:v>default</x:v>
      </x:c>
      <x:c r="C355" s="34" t="str">
        <x:v>caffeine</x:v>
      </x:c>
      <x:c r="D355" s="34" t="str">
        <x:v>caffeine</x:v>
      </x:c>
      <x:c r="E355" s="36" t="n">
        <x:v>2</x:v>
      </x:c>
      <x:c r="F355" s="36" t="n">
        <x:v>2</x:v>
      </x:c>
      <x:c r="G355" s="36" t="n">
        <x:v>3</x:v>
      </x:c>
      <x:c r="H355" s="36" t="n">
        <x:v>4</x:v>
      </x:c>
      <x:c r="I355" s="34" t="str">
        <x:v>baseline</x:v>
      </x:c>
      <x:c r="J355" s="34" t="str">
        <x:v>cycle-baseline</x:v>
      </x:c>
      <x:c r="K355" s="36" t="n">
        <x:v>0</x:v>
      </x:c>
      <x:c r="L355" s="34" t="str">
        <x:v>baseline</x:v>
      </x:c>
      <x:c r="M355" s="34" t="str">
        <x:v>article1-unified-v4-2-fb3f101b-20260903-000401-default-f02-p3-caffeine-4-baseline</x:v>
      </x:c>
      <x:c r="N355" s="38" t="n">
        <x:v>46267.972231817126</x:v>
      </x:c>
      <x:c r="O355" s="36" t="n">
        <x:v>0</x:v>
      </x:c>
      <x:c r="P355" s="43" t="n">
        <x:v>15706112</x:v>
      </x:c>
      <x:c r="Q355" s="43" t="n">
        <x:v>268435456</x:v>
      </x:c>
      <x:c r="R355" s="43" t="n">
        <x:v>427970560</x:v>
      </x:c>
      <x:c r="S355" s="36" t="n">
        <x:v>2</x:v>
      </x:c>
      <x:c r="T355" s="44" t="str">
        <x:v>0x000000004c1177b8  0x000000004c003818  0x00007e4538148650    4398  21172224  21157904  org.apache.catalina.loader.ParallelWebappClassLoader | 0x000000004c1177b8  0x000000004c003818  0x00007e45c0686510       0         0         0  org.apache.catalina.loader.ParallelWebappClassLoader</x:v>
      </x:c>
      <x:c r="U355" s="36" t="n">
        <x:v>30</x:v>
      </x:c>
      <x:c r="V355" s="36" t="n">
        <x:v>0</x:v>
      </x:c>
      <x:c r="W355" s="44"/>
      <x:c r="X355" s="36"/>
      <x:c r="Y355" s="36"/>
      <x:c r="Z355" s="44"/>
      <x:c r="AA355" s="49"/>
      <x:c r="AB355" s="43"/>
      <x:c r="AC355" s="34" t="str">
        <x:v>article1-unified-v4-2-fb3f101b-20260903-000401-default-f02-p3-caffeine-4-baseline-heap-info.txt</x:v>
      </x:c>
      <x:c r="AD355" s="34" t="str">
        <x:v>article1-unified-v4-2-fb3f101b-20260903-000401-default-f02-p3-caffeine-4-baseline-classloader-stats.txt</x:v>
      </x:c>
      <x:c r="AE355" s="34" t="str">
        <x:v>article1-unified-v4-2-fb3f101b-20260903-000401-default-f02-p3-caffeine-4-baseline-thread-dump.txt</x:v>
      </x:c>
      <x:c r="AF355" s="34"/>
      <x:c r="AG355" s="34" t="str">
        <x:v>article1-unified-v4-2-fb3f101b-20260903-000401-default-f02-p3-caffeine-4-baseline-native-memory.txt</x:v>
      </x:c>
      <x:c r="AH355" s="34"/>
      <x:c r="AI355" s="34"/>
    </x:row>
    <x:row r="356">
      <x:c r="A356" s="34" t="str">
        <x:v>article1-unified-v4-2-fb3f101b-20260903-000401-default-f02-p3-caffeine</x:v>
      </x:c>
      <x:c r="B356" s="34" t="str">
        <x:v>default</x:v>
      </x:c>
      <x:c r="C356" s="34" t="str">
        <x:v>caffeine</x:v>
      </x:c>
      <x:c r="D356" s="34" t="str">
        <x:v>caffeine</x:v>
      </x:c>
      <x:c r="E356" s="36" t="n">
        <x:v>2</x:v>
      </x:c>
      <x:c r="F356" s="36" t="n">
        <x:v>2</x:v>
      </x:c>
      <x:c r="G356" s="36" t="n">
        <x:v>3</x:v>
      </x:c>
      <x:c r="H356" s="36" t="n">
        <x:v>4</x:v>
      </x:c>
      <x:c r="I356" s="34" t="str">
        <x:v>deployedIdle</x:v>
      </x:c>
      <x:c r="J356" s="34" t="str">
        <x:v>deployed-idle</x:v>
      </x:c>
      <x:c r="K356" s="36" t="n">
        <x:v>0</x:v>
      </x:c>
      <x:c r="L356" s="34" t="str">
        <x:v>initial</x:v>
      </x:c>
      <x:c r="M356" s="34" t="str">
        <x:v>article1-unified-v4-2-fb3f101b-20260903-000401-default-f02-p3-caffeine-4-deployed-idle</x:v>
      </x:c>
      <x:c r="N356" s="38" t="n">
        <x:v>46267.9723297338</x:v>
      </x:c>
      <x:c r="O356" s="36" t="n">
        <x:v>0</x:v>
      </x:c>
      <x:c r="P356" s="43" t="n">
        <x:v>166964224</x:v>
      </x:c>
      <x:c r="Q356" s="43" t="n">
        <x:v>268435456</x:v>
      </x:c>
      <x:c r="R356" s="43" t="n">
        <x:v>443344896</x:v>
      </x:c>
      <x:c r="S356" s="36" t="n">
        <x:v>3</x:v>
      </x:c>
      <x:c r="T356" s="44" t="str">
        <x:v>0x000000004c1177b8  0x000000004c003818  0x00007e4538148650    4398  21172224  21157904  org.apache.catalina.loader.ParallelWebappClassLoader | 0x000000004c1177b8  0x000000004c003818  0x00007e45c0686510       0         0         0  org.apache.catalina.loader.ParallelWebappClassLoader | 0x000000004c1177b8  0x000000004c003818  0x00007e44e0198a20    4091  19440640  19424864  org.apache.catalina.loader.ParallelWebappClassLoader</x:v>
      </x:c>
      <x:c r="U356" s="36" t="n">
        <x:v>30</x:v>
      </x:c>
      <x:c r="V356" s="36" t="n">
        <x:v>0</x:v>
      </x:c>
      <x:c r="W356" s="44"/>
      <x:c r="X356" s="36"/>
      <x:c r="Y356" s="36"/>
      <x:c r="Z356" s="44"/>
      <x:c r="AA356" s="49"/>
      <x:c r="AB356" s="43"/>
      <x:c r="AC356" s="34"/>
      <x:c r="AD356" s="34"/>
      <x:c r="AE356" s="34"/>
      <x:c r="AF356" s="34"/>
      <x:c r="AG356" s="34"/>
      <x:c r="AH356" s="34"/>
      <x:c r="AI356" s="34"/>
    </x:row>
    <x:row r="357">
      <x:c r="A357" s="34" t="str">
        <x:v>article1-unified-v4-2-fb3f101b-20260903-000401-default-f02-p3-caffeine</x:v>
      </x:c>
      <x:c r="B357" s="34" t="str">
        <x:v>default</x:v>
      </x:c>
      <x:c r="C357" s="34" t="str">
        <x:v>caffeine</x:v>
      </x:c>
      <x:c r="D357" s="34" t="str">
        <x:v>caffeine</x:v>
      </x:c>
      <x:c r="E357" s="36" t="n">
        <x:v>2</x:v>
      </x:c>
      <x:c r="F357" s="36" t="n">
        <x:v>2</x:v>
      </x:c>
      <x:c r="G357" s="36" t="n">
        <x:v>3</x:v>
      </x:c>
      <x:c r="H357" s="36" t="n">
        <x:v>4</x:v>
      </x:c>
      <x:c r="I357" s="34" t="str">
        <x:v>loaded</x:v>
      </x:c>
      <x:c r="J357" s="34" t="str">
        <x:v>loaded</x:v>
      </x:c>
      <x:c r="K357" s="36" t="n">
        <x:v>0</x:v>
      </x:c>
      <x:c r="L357" s="34" t="str">
        <x:v>initial</x:v>
      </x:c>
      <x:c r="M357" s="34" t="str">
        <x:v>article1-unified-v4-2-fb3f101b-20260903-000401-default-f02-p3-caffeine-4-loaded</x:v>
      </x:c>
      <x:c r="N357" s="38" t="n">
        <x:v>46267.97248060185</x:v>
      </x:c>
      <x:c r="O357" s="36" t="n">
        <x:v>0</x:v>
      </x:c>
      <x:c r="P357" s="43" t="n">
        <x:v>209519616</x:v>
      </x:c>
      <x:c r="Q357" s="43" t="n">
        <x:v>268435456</x:v>
      </x:c>
      <x:c r="R357" s="43" t="n">
        <x:v>447906816</x:v>
      </x:c>
      <x:c r="S357" s="36" t="n">
        <x:v>3</x:v>
      </x:c>
      <x:c r="T357" s="44" t="str">
        <x:v>0x000000004c1177b8  0x000000004c003818  0x00007e4538148650    4398  21172224  21157904  org.apache.catalina.loader.ParallelWebappClassLoader | 0x000000004c1177b8  0x000000004c003818  0x00007e45c0686510       0         0         0  org.apache.catalina.loader.ParallelWebappClassLoader | 0x000000004c1177b8  0x000000004c003818  0x00007e44e0198a20    4387  21128192  21123504  org.apache.catalina.loader.ParallelWebappClassLoader</x:v>
      </x:c>
      <x:c r="U357" s="36" t="n">
        <x:v>30</x:v>
      </x:c>
      <x:c r="V357" s="36" t="n">
        <x:v>0</x:v>
      </x:c>
      <x:c r="W357" s="44"/>
      <x:c r="X357" s="36"/>
      <x:c r="Y357" s="36"/>
      <x:c r="Z357" s="44"/>
      <x:c r="AA357" s="49"/>
      <x:c r="AB357" s="43"/>
      <x:c r="AC357" s="34"/>
      <x:c r="AD357" s="34"/>
      <x:c r="AE357" s="34"/>
      <x:c r="AF357" s="34"/>
      <x:c r="AG357" s="34"/>
      <x:c r="AH357" s="34"/>
      <x:c r="AI357" s="34"/>
    </x:row>
    <x:row r="358">
      <x:c r="A358" s="34" t="str">
        <x:v>article1-unified-v4-2-fb3f101b-20260903-000401-default-f02-p3-caffeine</x:v>
      </x:c>
      <x:c r="B358" s="34" t="str">
        <x:v>default</x:v>
      </x:c>
      <x:c r="C358" s="34" t="str">
        <x:v>caffeine</x:v>
      </x:c>
      <x:c r="D358" s="34" t="str">
        <x:v>caffeine</x:v>
      </x:c>
      <x:c r="E358" s="36" t="n">
        <x:v>2</x:v>
      </x:c>
      <x:c r="F358" s="36" t="n">
        <x:v>2</x:v>
      </x:c>
      <x:c r="G358" s="36" t="n">
        <x:v>3</x:v>
      </x:c>
      <x:c r="H358" s="36" t="n">
        <x:v>4</x:v>
      </x:c>
      <x:c r="I358" s="34" t="str">
        <x:v>afterUndeployEarly</x:v>
      </x:c>
      <x:c r="J358" s="34" t="str">
        <x:v>after-undeploy-early</x:v>
      </x:c>
      <x:c r="K358" s="36" t="n">
        <x:v>1</x:v>
      </x:c>
      <x:c r="L358" s="34" t="str">
        <x:v>early</x:v>
      </x:c>
      <x:c r="M358" s="34" t="str">
        <x:v>article1-unified-v4-2-fb3f101b-20260903-000401-default-f02-p3-caffeine-4-after-undeploy-early-2s</x:v>
      </x:c>
      <x:c r="N358" s="38" t="n">
        <x:v>46267.97256625</x:v>
      </x:c>
      <x:c r="O358" s="36"/>
      <x:c r="P358" s="43"/>
      <x:c r="Q358" s="43"/>
      <x:c r="R358" s="43"/>
      <x:c r="S358" s="36"/>
      <x:c r="T358" s="44"/>
      <x:c r="U358" s="36" t="n">
        <x:v>30</x:v>
      </x:c>
      <x:c r="V358" s="36" t="n">
        <x:v>0</x:v>
      </x:c>
      <x:c r="W358" s="44"/>
      <x:c r="X358" s="36"/>
      <x:c r="Y358" s="36"/>
      <x:c r="Z358" s="44"/>
      <x:c r="AA358" s="49"/>
      <x:c r="AB358" s="43" t="n">
        <x:v>1</x:v>
      </x:c>
      <x:c r="AC358" s="34"/>
      <x:c r="AD358" s="34"/>
      <x:c r="AE358" s="34" t="str">
        <x:v>article1-unified-v4-2-fb3f101b-20260903-000401-default-f02-p3-caffeine-4-after-undeploy-early-2s-thread-dump.txt</x:v>
      </x:c>
      <x:c r="AF358" s="34" t="str">
        <x:v>article1-unified-v4-2-fb3f101b-20260903-000401-default-f02-p3-caffeine-4-after-undeploy-early-tomcat-log.txt</x:v>
      </x:c>
      <x:c r="AG358" s="34"/>
      <x:c r="AH358" s="34"/>
      <x:c r="AI358" s="34"/>
    </x:row>
    <x:row r="359">
      <x:c r="A359" s="34" t="str">
        <x:v>article1-unified-v4-2-fb3f101b-20260903-000401-default-f02-p3-caffeine</x:v>
      </x:c>
      <x:c r="B359" s="34" t="str">
        <x:v>default</x:v>
      </x:c>
      <x:c r="C359" s="34" t="str">
        <x:v>caffeine</x:v>
      </x:c>
      <x:c r="D359" s="34" t="str">
        <x:v>caffeine</x:v>
      </x:c>
      <x:c r="E359" s="36" t="n">
        <x:v>2</x:v>
      </x:c>
      <x:c r="F359" s="36" t="n">
        <x:v>2</x:v>
      </x:c>
      <x:c r="G359" s="36" t="n">
        <x:v>3</x:v>
      </x:c>
      <x:c r="H359" s="36" t="n">
        <x:v>4</x:v>
      </x:c>
      <x:c r="I359" s="34" t="str">
        <x:v>afterUndeploy</x:v>
      </x:c>
      <x:c r="J359" s="34" t="str">
        <x:v>after-undeploy-final</x:v>
      </x:c>
      <x:c r="K359" s="36" t="n">
        <x:v>1</x:v>
      </x:c>
      <x:c r="L359" s="34" t="str">
        <x:v>final</x:v>
      </x:c>
      <x:c r="M359" s="34" t="str">
        <x:v>article1-unified-v4-2-fb3f101b-20260903-000401-default-f02-p3-caffeine-4-after-undeploy-final-10s</x:v>
      </x:c>
      <x:c r="N359" s="38" t="n">
        <x:v>46267.972718206016</x:v>
      </x:c>
      <x:c r="O359" s="36" t="n">
        <x:v>2</x:v>
      </x:c>
      <x:c r="P359" s="43" t="n">
        <x:v>15734784</x:v>
      </x:c>
      <x:c r="Q359" s="43" t="n">
        <x:v>268435456</x:v>
      </x:c>
      <x:c r="R359" s="43" t="n">
        <x:v>425654272</x:v>
      </x:c>
      <x:c r="S359" s="36" t="n">
        <x:v>2</x:v>
      </x:c>
      <x:c r="T359" s="44" t="str">
        <x:v>0x000000004c1177b8  0x000000004c003818  0x00007e44e0198a20    4395  21177344  21148376  org.apache.catalina.loader.ParallelWebappClassLoader | 0x000000004c1177b8  0x000000004c003818  0x00007e45c0686510       0         0         0  org.apache.catalina.loader.ParallelWebappClassLoader</x:v>
      </x:c>
      <x:c r="U359" s="36" t="n">
        <x:v>30</x:v>
      </x:c>
      <x:c r="V359" s="36" t="n">
        <x:v>0</x:v>
      </x:c>
      <x:c r="W359" s="44"/>
      <x:c r="X359" s="36" t="n">
        <x:v>1</x:v>
      </x:c>
      <x:c r="Y359" s="36" t="n">
        <x:v>1</x:v>
      </x:c>
      <x:c r="Z359" s="44" t="str">
        <x:v>/caffeine</x:v>
      </x:c>
      <x:c r="AA359" s="45" t="b">
        <x:v>1</x:v>
      </x:c>
      <x:c r="AB359" s="43"/>
      <x:c r="AC359" s="34" t="str">
        <x:v>article1-unified-v4-2-fb3f101b-20260903-000401-default-f02-p3-caffeine-4-after-undeploy-final-10s-heap-info.txt</x:v>
      </x:c>
      <x:c r="AD359" s="34" t="str">
        <x:v>article1-unified-v4-2-fb3f101b-20260903-000401-default-f02-p3-caffeine-4-after-undeploy-final-10s-classloader-stats.txt</x:v>
      </x:c>
      <x:c r="AE359" s="34" t="str">
        <x:v>article1-unified-v4-2-fb3f101b-20260903-000401-default-f02-p3-caffeine-4-after-undeploy-final-10s-thread-dump.txt</x:v>
      </x:c>
      <x:c r="AF359" s="34"/>
      <x:c r="AG359" s="34" t="str">
        <x:v>article1-unified-v4-2-fb3f101b-20260903-000401-default-f02-p3-caffeine-4-after-undeploy-final-10s-native-memory.txt</x:v>
      </x:c>
      <x:c r="AH359" s="34" t="str">
        <x:v>article1-unified-v4-2-fb3f101b-20260903-000401-default-f02-p3-caffeine-4-after-undeploy-final-10s-class-histogram.txt</x:v>
      </x:c>
      <x:c r="AI359" s="34" t="str">
        <x:v>article1-unified-v4-2-fb3f101b-20260903-000401-default-f02-p3-caffeine-4-after-undeploy-tomcat-findleaks.txt</x:v>
      </x:c>
    </x:row>
    <x:row r="360">
      <x:c r="A360" s="34" t="str">
        <x:v>article1-unified-v4-2-fb3f101b-20260903-000401-default-f02-p3-caffeine</x:v>
      </x:c>
      <x:c r="B360" s="34" t="str">
        <x:v>default</x:v>
      </x:c>
      <x:c r="C360" s="34" t="str">
        <x:v>caffeine</x:v>
      </x:c>
      <x:c r="D360" s="34" t="str">
        <x:v>caffeine</x:v>
      </x:c>
      <x:c r="E360" s="36" t="n">
        <x:v>2</x:v>
      </x:c>
      <x:c r="F360" s="36" t="n">
        <x:v>2</x:v>
      </x:c>
      <x:c r="G360" s="36" t="n">
        <x:v>3</x:v>
      </x:c>
      <x:c r="H360" s="36" t="n">
        <x:v>4</x:v>
      </x:c>
      <x:c r="I360" s="34" t="str">
        <x:v>redeployedLoaded</x:v>
      </x:c>
      <x:c r="J360" s="34" t="str">
        <x:v>redeployed-loaded</x:v>
      </x:c>
      <x:c r="K360" s="36" t="n">
        <x:v>0</x:v>
      </x:c>
      <x:c r="L360" s="34" t="str">
        <x:v>redeploy</x:v>
      </x:c>
      <x:c r="M360" s="34" t="str">
        <x:v>article1-unified-v4-2-fb3f101b-20260903-000401-default-f02-p3-caffeine-4-redeployed-loaded</x:v>
      </x:c>
      <x:c r="N360" s="38" t="n">
        <x:v>46267.972971793984</x:v>
      </x:c>
      <x:c r="O360" s="36" t="n">
        <x:v>0</x:v>
      </x:c>
      <x:c r="P360" s="43" t="n">
        <x:v>200275968</x:v>
      </x:c>
      <x:c r="Q360" s="43" t="n">
        <x:v>268435456</x:v>
      </x:c>
      <x:c r="R360" s="43" t="n">
        <x:v>447156224</x:v>
      </x:c>
      <x:c r="S360" s="36" t="n">
        <x:v>3</x:v>
      </x:c>
      <x:c r="T360" s="44" t="str">
        <x:v>0x000000004c1177b8  0x000000004c003818  0x00007e44e0198a20    4395  21177344  21148376  org.apache.catalina.loader.ParallelWebappClassLoader | 0x000000004c1177b8  0x000000004c003818  0x00007e453415a1c0    4387  21148672  21128832  org.apache.catalina.loader.ParallelWebappClassLoader | 0x000000004c1177b8  0x000000004c003818  0x00007e45c0686510       0         0         0  org.apache.catalina.loader.ParallelWebappClassLoader</x:v>
      </x:c>
      <x:c r="U360" s="36" t="n">
        <x:v>31</x:v>
      </x:c>
      <x:c r="V360" s="36" t="n">
        <x:v>0</x:v>
      </x:c>
      <x:c r="W360" s="44"/>
      <x:c r="X360" s="36"/>
      <x:c r="Y360" s="36"/>
      <x:c r="Z360" s="44"/>
      <x:c r="AA360" s="49"/>
      <x:c r="AB360" s="43"/>
      <x:c r="AC360" s="34"/>
      <x:c r="AD360" s="34"/>
      <x:c r="AE360" s="34"/>
      <x:c r="AF360" s="34"/>
      <x:c r="AG360" s="34"/>
      <x:c r="AH360" s="34"/>
      <x:c r="AI360" s="34"/>
    </x:row>
    <x:row r="361">
      <x:c r="A361" s="34" t="str">
        <x:v>article1-unified-v4-2-fb3f101b-20260903-000401-default-f02-p3-caffeine</x:v>
      </x:c>
      <x:c r="B361" s="34" t="str">
        <x:v>default</x:v>
      </x:c>
      <x:c r="C361" s="34" t="str">
        <x:v>caffeine</x:v>
      </x:c>
      <x:c r="D361" s="34" t="str">
        <x:v>caffeine</x:v>
      </x:c>
      <x:c r="E361" s="36" t="n">
        <x:v>2</x:v>
      </x:c>
      <x:c r="F361" s="36" t="n">
        <x:v>2</x:v>
      </x:c>
      <x:c r="G361" s="36" t="n">
        <x:v>3</x:v>
      </x:c>
      <x:c r="H361" s="36" t="n">
        <x:v>4</x:v>
      </x:c>
      <x:c r="I361" s="34" t="str">
        <x:v>afterFinalUndeployEarly</x:v>
      </x:c>
      <x:c r="J361" s="34" t="str">
        <x:v>after-final-undeploy-early</x:v>
      </x:c>
      <x:c r="K361" s="36" t="n">
        <x:v>2</x:v>
      </x:c>
      <x:c r="L361" s="34" t="str">
        <x:v>early</x:v>
      </x:c>
      <x:c r="M361" s="34" t="str">
        <x:v>article1-unified-v4-2-fb3f101b-20260903-000401-default-f02-p3-caffeine-4-after-final-undeploy-early-2s</x:v>
      </x:c>
      <x:c r="N361" s="38" t="n">
        <x:v>46267.973056979165</x:v>
      </x:c>
      <x:c r="O361" s="36"/>
      <x:c r="P361" s="43"/>
      <x:c r="Q361" s="43"/>
      <x:c r="R361" s="43"/>
      <x:c r="S361" s="36"/>
      <x:c r="T361" s="44"/>
      <x:c r="U361" s="36" t="n">
        <x:v>30</x:v>
      </x:c>
      <x:c r="V361" s="36" t="n">
        <x:v>0</x:v>
      </x:c>
      <x:c r="W361" s="44"/>
      <x:c r="X361" s="36"/>
      <x:c r="Y361" s="36"/>
      <x:c r="Z361" s="44"/>
      <x:c r="AA361" s="49"/>
      <x:c r="AB361" s="43" t="n">
        <x:v>1</x:v>
      </x:c>
      <x:c r="AC361" s="34"/>
      <x:c r="AD361" s="34"/>
      <x:c r="AE361" s="34" t="str">
        <x:v>article1-unified-v4-2-fb3f101b-20260903-000401-default-f02-p3-caffeine-4-after-final-undeploy-early-2s-thread-dump.txt</x:v>
      </x:c>
      <x:c r="AF361" s="34" t="str">
        <x:v>article1-unified-v4-2-fb3f101b-20260903-000401-default-f02-p3-caffeine-4-after-final-undeploy-early-tomcat-log.txt</x:v>
      </x:c>
      <x:c r="AG361" s="34"/>
      <x:c r="AH361" s="34"/>
      <x:c r="AI361" s="34"/>
    </x:row>
    <x:row r="362">
      <x:c r="A362" s="34" t="str">
        <x:v>article1-unified-v4-2-fb3f101b-20260903-000401-default-f02-p3-caffeine</x:v>
      </x:c>
      <x:c r="B362" s="34" t="str">
        <x:v>default</x:v>
      </x:c>
      <x:c r="C362" s="34" t="str">
        <x:v>caffeine</x:v>
      </x:c>
      <x:c r="D362" s="34" t="str">
        <x:v>caffeine</x:v>
      </x:c>
      <x:c r="E362" s="36" t="n">
        <x:v>2</x:v>
      </x:c>
      <x:c r="F362" s="36" t="n">
        <x:v>2</x:v>
      </x:c>
      <x:c r="G362" s="36" t="n">
        <x:v>3</x:v>
      </x:c>
      <x:c r="H362" s="36" t="n">
        <x:v>4</x:v>
      </x:c>
      <x:c r="I362" s="34" t="str">
        <x:v>afterFinalUndeploy</x:v>
      </x:c>
      <x:c r="J362" s="34" t="str">
        <x:v>after-final-undeploy-final</x:v>
      </x:c>
      <x:c r="K362" s="36" t="n">
        <x:v>2</x:v>
      </x:c>
      <x:c r="L362" s="34" t="str">
        <x:v>final</x:v>
      </x:c>
      <x:c r="M362" s="34" t="str">
        <x:v>article1-unified-v4-2-fb3f101b-20260903-000401-default-f02-p3-caffeine-4-after-final-undeploy-final-10s</x:v>
      </x:c>
      <x:c r="N362" s="38" t="n">
        <x:v>46267.97321238426</x:v>
      </x:c>
      <x:c r="O362" s="36" t="n">
        <x:v>2</x:v>
      </x:c>
      <x:c r="P362" s="43" t="n">
        <x:v>15729664</x:v>
      </x:c>
      <x:c r="Q362" s="43" t="n">
        <x:v>268435456</x:v>
      </x:c>
      <x:c r="R362" s="43" t="n">
        <x:v>430467072</x:v>
      </x:c>
      <x:c r="S362" s="36" t="n">
        <x:v>2</x:v>
      </x:c>
      <x:c r="T362" s="44" t="str">
        <x:v>0x000000004c1177b8  0x000000004c003818  0x00007e453415a1c0    4395  21165056  21153344  org.apache.catalina.loader.ParallelWebappClassLoader | 0x000000004c1177b8  0x000000004c003818  0x00007e45c0686510       0         0         0  org.apache.catalina.loader.ParallelWebappClassLoader</x:v>
      </x:c>
      <x:c r="U362" s="36" t="n">
        <x:v>30</x:v>
      </x:c>
      <x:c r="V362" s="36" t="n">
        <x:v>0</x:v>
      </x:c>
      <x:c r="W362" s="44"/>
      <x:c r="X362" s="36" t="n">
        <x:v>1</x:v>
      </x:c>
      <x:c r="Y362" s="36" t="n">
        <x:v>1</x:v>
      </x:c>
      <x:c r="Z362" s="44" t="str">
        <x:v>/caffeine</x:v>
      </x:c>
      <x:c r="AA362" s="45" t="b">
        <x:v>1</x:v>
      </x:c>
      <x:c r="AB362" s="43"/>
      <x:c r="AC362" s="34" t="str">
        <x:v>article1-unified-v4-2-fb3f101b-20260903-000401-default-f02-p3-caffeine-4-after-final-undeploy-final-10s-heap-info.txt</x:v>
      </x:c>
      <x:c r="AD362" s="34" t="str">
        <x:v>article1-unified-v4-2-fb3f101b-20260903-000401-default-f02-p3-caffeine-4-after-final-undeploy-final-10s-classloader-stats.txt</x:v>
      </x:c>
      <x:c r="AE362" s="34" t="str">
        <x:v>article1-unified-v4-2-fb3f101b-20260903-000401-default-f02-p3-caffeine-4-after-final-undeploy-final-10s-thread-dump.txt</x:v>
      </x:c>
      <x:c r="AF362" s="34"/>
      <x:c r="AG362" s="34" t="str">
        <x:v>article1-unified-v4-2-fb3f101b-20260903-000401-default-f02-p3-caffeine-4-after-final-undeploy-final-10s-native-memory.txt</x:v>
      </x:c>
      <x:c r="AH362" s="34" t="str">
        <x:v>article1-unified-v4-2-fb3f101b-20260903-000401-default-f02-p3-caffeine-4-after-final-undeploy-final-10s-class-histogram.txt</x:v>
      </x:c>
      <x:c r="AI362" s="34" t="str">
        <x:v>article1-unified-v4-2-fb3f101b-20260903-000401-default-f02-p3-caffeine-4-after-final-undeploy-tomcat-findleaks.txt</x:v>
      </x:c>
    </x:row>
    <x:row r="363">
      <x:c r="A363" s="34" t="str">
        <x:v>article1-unified-v4-2-fb3f101b-20260903-000401-default-f02-p3-caffeine</x:v>
      </x:c>
      <x:c r="B363" s="34" t="str">
        <x:v>default</x:v>
      </x:c>
      <x:c r="C363" s="34" t="str">
        <x:v>caffeine</x:v>
      </x:c>
      <x:c r="D363" s="34" t="str">
        <x:v>caffeine</x:v>
      </x:c>
      <x:c r="E363" s="36" t="n">
        <x:v>2</x:v>
      </x:c>
      <x:c r="F363" s="36" t="n">
        <x:v>2</x:v>
      </x:c>
      <x:c r="G363" s="36" t="n">
        <x:v>3</x:v>
      </x:c>
      <x:c r="H363" s="36" t="n">
        <x:v>5</x:v>
      </x:c>
      <x:c r="I363" s="34" t="str">
        <x:v>baseline</x:v>
      </x:c>
      <x:c r="J363" s="34" t="str">
        <x:v>cycle-baseline</x:v>
      </x:c>
      <x:c r="K363" s="36" t="n">
        <x:v>0</x:v>
      </x:c>
      <x:c r="L363" s="34" t="str">
        <x:v>baseline</x:v>
      </x:c>
      <x:c r="M363" s="34" t="str">
        <x:v>article1-unified-v4-2-fb3f101b-20260903-000401-default-f02-p3-caffeine-5-baseline</x:v>
      </x:c>
      <x:c r="N363" s="38" t="n">
        <x:v>46267.973255833334</x:v>
      </x:c>
      <x:c r="O363" s="36" t="n">
        <x:v>0</x:v>
      </x:c>
      <x:c r="P363" s="43" t="n">
        <x:v>15734784</x:v>
      </x:c>
      <x:c r="Q363" s="43" t="n">
        <x:v>268435456</x:v>
      </x:c>
      <x:c r="R363" s="43" t="n">
        <x:v>430466048</x:v>
      </x:c>
      <x:c r="S363" s="36" t="n">
        <x:v>2</x:v>
      </x:c>
      <x:c r="T363" s="44" t="str">
        <x:v>0x000000004c1177b8  0x000000004c003818  0x00007e453415a1c0    4395  21165056  21153344  org.apache.catalina.loader.ParallelWebappClassLoader | 0x000000004c1177b8  0x000000004c003818  0x00007e45c0686510       0         0         0  org.apache.catalina.loader.ParallelWebappClassLoader</x:v>
      </x:c>
      <x:c r="U363" s="36" t="n">
        <x:v>30</x:v>
      </x:c>
      <x:c r="V363" s="36" t="n">
        <x:v>0</x:v>
      </x:c>
      <x:c r="W363" s="44"/>
      <x:c r="X363" s="36"/>
      <x:c r="Y363" s="36"/>
      <x:c r="Z363" s="44"/>
      <x:c r="AA363" s="49"/>
      <x:c r="AB363" s="43"/>
      <x:c r="AC363" s="34" t="str">
        <x:v>article1-unified-v4-2-fb3f101b-20260903-000401-default-f02-p3-caffeine-5-baseline-heap-info.txt</x:v>
      </x:c>
      <x:c r="AD363" s="34" t="str">
        <x:v>article1-unified-v4-2-fb3f101b-20260903-000401-default-f02-p3-caffeine-5-baseline-classloader-stats.txt</x:v>
      </x:c>
      <x:c r="AE363" s="34" t="str">
        <x:v>article1-unified-v4-2-fb3f101b-20260903-000401-default-f02-p3-caffeine-5-baseline-thread-dump.txt</x:v>
      </x:c>
      <x:c r="AF363" s="34"/>
      <x:c r="AG363" s="34" t="str">
        <x:v>article1-unified-v4-2-fb3f101b-20260903-000401-default-f02-p3-caffeine-5-baseline-native-memory.txt</x:v>
      </x:c>
      <x:c r="AH363" s="34"/>
      <x:c r="AI363" s="34"/>
    </x:row>
    <x:row r="364">
      <x:c r="A364" s="34" t="str">
        <x:v>article1-unified-v4-2-fb3f101b-20260903-000401-default-f02-p3-caffeine</x:v>
      </x:c>
      <x:c r="B364" s="34" t="str">
        <x:v>default</x:v>
      </x:c>
      <x:c r="C364" s="34" t="str">
        <x:v>caffeine</x:v>
      </x:c>
      <x:c r="D364" s="34" t="str">
        <x:v>caffeine</x:v>
      </x:c>
      <x:c r="E364" s="36" t="n">
        <x:v>2</x:v>
      </x:c>
      <x:c r="F364" s="36" t="n">
        <x:v>2</x:v>
      </x:c>
      <x:c r="G364" s="36" t="n">
        <x:v>3</x:v>
      </x:c>
      <x:c r="H364" s="36" t="n">
        <x:v>5</x:v>
      </x:c>
      <x:c r="I364" s="34" t="str">
        <x:v>deployedIdle</x:v>
      </x:c>
      <x:c r="J364" s="34" t="str">
        <x:v>deployed-idle</x:v>
      </x:c>
      <x:c r="K364" s="36" t="n">
        <x:v>0</x:v>
      </x:c>
      <x:c r="L364" s="34" t="str">
        <x:v>initial</x:v>
      </x:c>
      <x:c r="M364" s="34" t="str">
        <x:v>article1-unified-v4-2-fb3f101b-20260903-000401-default-f02-p3-caffeine-5-deployed-idle</x:v>
      </x:c>
      <x:c r="N364" s="38" t="n">
        <x:v>46267.97335731481</x:v>
      </x:c>
      <x:c r="O364" s="36" t="n">
        <x:v>0</x:v>
      </x:c>
      <x:c r="P364" s="43" t="n">
        <x:v>167020544</x:v>
      </x:c>
      <x:c r="Q364" s="43" t="n">
        <x:v>268435456</x:v>
      </x:c>
      <x:c r="R364" s="43" t="n">
        <x:v>466146304</x:v>
      </x:c>
      <x:c r="S364" s="36" t="n">
        <x:v>3</x:v>
      </x:c>
      <x:c r="T364" s="44" t="str">
        <x:v>0x000000004c1177b8  0x000000004c003818  0x00007e453415a1c0    4395  21165056  21153344  org.apache.catalina.loader.ParallelWebappClassLoader | 0x000000004c1177b8  0x000000004c003818  0x00007e45c0686510       0         0         0  org.apache.catalina.loader.ParallelWebappClassLoader | 0x000000004c1177b8  0x000000004c003818  0x00007e4530c7a380    4091  19436544  19425888  org.apache.catalina.loader.ParallelWebappClassLoader</x:v>
      </x:c>
      <x:c r="U364" s="36" t="n">
        <x:v>30</x:v>
      </x:c>
      <x:c r="V364" s="36" t="n">
        <x:v>0</x:v>
      </x:c>
      <x:c r="W364" s="44"/>
      <x:c r="X364" s="36"/>
      <x:c r="Y364" s="36"/>
      <x:c r="Z364" s="44"/>
      <x:c r="AA364" s="49"/>
      <x:c r="AB364" s="43"/>
      <x:c r="AC364" s="34"/>
      <x:c r="AD364" s="34"/>
      <x:c r="AE364" s="34"/>
      <x:c r="AF364" s="34"/>
      <x:c r="AG364" s="34"/>
      <x:c r="AH364" s="34"/>
      <x:c r="AI364" s="34"/>
    </x:row>
    <x:row r="365">
      <x:c r="A365" s="34" t="str">
        <x:v>article1-unified-v4-2-fb3f101b-20260903-000401-default-f02-p3-caffeine</x:v>
      </x:c>
      <x:c r="B365" s="34" t="str">
        <x:v>default</x:v>
      </x:c>
      <x:c r="C365" s="34" t="str">
        <x:v>caffeine</x:v>
      </x:c>
      <x:c r="D365" s="34" t="str">
        <x:v>caffeine</x:v>
      </x:c>
      <x:c r="E365" s="36" t="n">
        <x:v>2</x:v>
      </x:c>
      <x:c r="F365" s="36" t="n">
        <x:v>2</x:v>
      </x:c>
      <x:c r="G365" s="36" t="n">
        <x:v>3</x:v>
      </x:c>
      <x:c r="H365" s="36" t="n">
        <x:v>5</x:v>
      </x:c>
      <x:c r="I365" s="34" t="str">
        <x:v>loaded</x:v>
      </x:c>
      <x:c r="J365" s="34" t="str">
        <x:v>loaded</x:v>
      </x:c>
      <x:c r="K365" s="36" t="n">
        <x:v>0</x:v>
      </x:c>
      <x:c r="L365" s="34" t="str">
        <x:v>initial</x:v>
      </x:c>
      <x:c r="M365" s="34" t="str">
        <x:v>article1-unified-v4-2-fb3f101b-20260903-000401-default-f02-p3-caffeine-5-loaded</x:v>
      </x:c>
      <x:c r="N365" s="38" t="n">
        <x:v>46267.97351121528</x:v>
      </x:c>
      <x:c r="O365" s="36" t="n">
        <x:v>0</x:v>
      </x:c>
      <x:c r="P365" s="43" t="n">
        <x:v>202659840</x:v>
      </x:c>
      <x:c r="Q365" s="43" t="n">
        <x:v>268435456</x:v>
      </x:c>
      <x:c r="R365" s="43" t="n">
        <x:v>451693568</x:v>
      </x:c>
      <x:c r="S365" s="36" t="n">
        <x:v>3</x:v>
      </x:c>
      <x:c r="T365" s="44" t="str">
        <x:v>0x000000004c1177b8  0x000000004c003818  0x00007e453415a1c0    4395  21165056  21153344  org.apache.catalina.loader.ParallelWebappClassLoader | 0x000000004c1177b8  0x000000004c003818  0x00007e45c0686510       0         0         0  org.apache.catalina.loader.ParallelWebappClassLoader | 0x000000004c1177b8  0x000000004c003818  0x00007e4530c7a380    4389  21140480  21130264  org.apache.catalina.loader.ParallelWebappClassLoader</x:v>
      </x:c>
      <x:c r="U365" s="36" t="n">
        <x:v>30</x:v>
      </x:c>
      <x:c r="V365" s="36" t="n">
        <x:v>0</x:v>
      </x:c>
      <x:c r="W365" s="44"/>
      <x:c r="X365" s="36"/>
      <x:c r="Y365" s="36"/>
      <x:c r="Z365" s="44"/>
      <x:c r="AA365" s="49"/>
      <x:c r="AB365" s="43"/>
      <x:c r="AC365" s="34"/>
      <x:c r="AD365" s="34"/>
      <x:c r="AE365" s="34"/>
      <x:c r="AF365" s="34"/>
      <x:c r="AG365" s="34"/>
      <x:c r="AH365" s="34"/>
      <x:c r="AI365" s="34"/>
    </x:row>
    <x:row r="366">
      <x:c r="A366" s="34" t="str">
        <x:v>article1-unified-v4-2-fb3f101b-20260903-000401-default-f02-p3-caffeine</x:v>
      </x:c>
      <x:c r="B366" s="34" t="str">
        <x:v>default</x:v>
      </x:c>
      <x:c r="C366" s="34" t="str">
        <x:v>caffeine</x:v>
      </x:c>
      <x:c r="D366" s="34" t="str">
        <x:v>caffeine</x:v>
      </x:c>
      <x:c r="E366" s="36" t="n">
        <x:v>2</x:v>
      </x:c>
      <x:c r="F366" s="36" t="n">
        <x:v>2</x:v>
      </x:c>
      <x:c r="G366" s="36" t="n">
        <x:v>3</x:v>
      </x:c>
      <x:c r="H366" s="36" t="n">
        <x:v>5</x:v>
      </x:c>
      <x:c r="I366" s="34" t="str">
        <x:v>afterUndeployEarly</x:v>
      </x:c>
      <x:c r="J366" s="34" t="str">
        <x:v>after-undeploy-early</x:v>
      </x:c>
      <x:c r="K366" s="36" t="n">
        <x:v>1</x:v>
      </x:c>
      <x:c r="L366" s="34" t="str">
        <x:v>early</x:v>
      </x:c>
      <x:c r="M366" s="34" t="str">
        <x:v>article1-unified-v4-2-fb3f101b-20260903-000401-default-f02-p3-caffeine-5-after-undeploy-early-2s</x:v>
      </x:c>
      <x:c r="N366" s="38" t="n">
        <x:v>46267.97359400463</x:v>
      </x:c>
      <x:c r="O366" s="36"/>
      <x:c r="P366" s="43"/>
      <x:c r="Q366" s="43"/>
      <x:c r="R366" s="43"/>
      <x:c r="S366" s="36"/>
      <x:c r="T366" s="44"/>
      <x:c r="U366" s="36" t="n">
        <x:v>30</x:v>
      </x:c>
      <x:c r="V366" s="36" t="n">
        <x:v>0</x:v>
      </x:c>
      <x:c r="W366" s="44"/>
      <x:c r="X366" s="36"/>
      <x:c r="Y366" s="36"/>
      <x:c r="Z366" s="44"/>
      <x:c r="AA366" s="49"/>
      <x:c r="AB366" s="43" t="n">
        <x:v>1</x:v>
      </x:c>
      <x:c r="AC366" s="34"/>
      <x:c r="AD366" s="34"/>
      <x:c r="AE366" s="34" t="str">
        <x:v>article1-unified-v4-2-fb3f101b-20260903-000401-default-f02-p3-caffeine-5-after-undeploy-early-2s-thread-dump.txt</x:v>
      </x:c>
      <x:c r="AF366" s="34" t="str">
        <x:v>article1-unified-v4-2-fb3f101b-20260903-000401-default-f02-p3-caffeine-5-after-undeploy-early-tomcat-log.txt</x:v>
      </x:c>
      <x:c r="AG366" s="34"/>
      <x:c r="AH366" s="34"/>
      <x:c r="AI366" s="34"/>
    </x:row>
    <x:row r="367">
      <x:c r="A367" s="34" t="str">
        <x:v>article1-unified-v4-2-fb3f101b-20260903-000401-default-f02-p3-caffeine</x:v>
      </x:c>
      <x:c r="B367" s="34" t="str">
        <x:v>default</x:v>
      </x:c>
      <x:c r="C367" s="34" t="str">
        <x:v>caffeine</x:v>
      </x:c>
      <x:c r="D367" s="34" t="str">
        <x:v>caffeine</x:v>
      </x:c>
      <x:c r="E367" s="36" t="n">
        <x:v>2</x:v>
      </x:c>
      <x:c r="F367" s="36" t="n">
        <x:v>2</x:v>
      </x:c>
      <x:c r="G367" s="36" t="n">
        <x:v>3</x:v>
      </x:c>
      <x:c r="H367" s="36" t="n">
        <x:v>5</x:v>
      </x:c>
      <x:c r="I367" s="34" t="str">
        <x:v>afterUndeploy</x:v>
      </x:c>
      <x:c r="J367" s="34" t="str">
        <x:v>after-undeploy-final</x:v>
      </x:c>
      <x:c r="K367" s="36" t="n">
        <x:v>1</x:v>
      </x:c>
      <x:c r="L367" s="34" t="str">
        <x:v>final</x:v>
      </x:c>
      <x:c r="M367" s="34" t="str">
        <x:v>article1-unified-v4-2-fb3f101b-20260903-000401-default-f02-p3-caffeine-5-after-undeploy-final-10s</x:v>
      </x:c>
      <x:c r="N367" s="38" t="n">
        <x:v>46267.97375027778</x:v>
      </x:c>
      <x:c r="O367" s="36" t="n">
        <x:v>2</x:v>
      </x:c>
      <x:c r="P367" s="43" t="n">
        <x:v>15766528</x:v>
      </x:c>
      <x:c r="Q367" s="43" t="n">
        <x:v>268435456</x:v>
      </x:c>
      <x:c r="R367" s="43" t="n">
        <x:v>427703296</x:v>
      </x:c>
      <x:c r="S367" s="36" t="n">
        <x:v>2</x:v>
      </x:c>
      <x:c r="T367" s="44" t="str">
        <x:v>0x000000004c1177b8  0x000000004c003818  0x00007e4530c7a380    4397  21173248  21154952  org.apache.catalina.loader.ParallelWebappClassLoader | 0x000000004c1177b8  0x000000004c003818  0x00007e45c0686510       0         0         0  org.apache.catalina.loader.ParallelWebappClassLoader</x:v>
      </x:c>
      <x:c r="U367" s="36" t="n">
        <x:v>30</x:v>
      </x:c>
      <x:c r="V367" s="36" t="n">
        <x:v>0</x:v>
      </x:c>
      <x:c r="W367" s="44"/>
      <x:c r="X367" s="36" t="n">
        <x:v>1</x:v>
      </x:c>
      <x:c r="Y367" s="36" t="n">
        <x:v>1</x:v>
      </x:c>
      <x:c r="Z367" s="44" t="str">
        <x:v>/caffeine</x:v>
      </x:c>
      <x:c r="AA367" s="45" t="b">
        <x:v>1</x:v>
      </x:c>
      <x:c r="AB367" s="43"/>
      <x:c r="AC367" s="34" t="str">
        <x:v>article1-unified-v4-2-fb3f101b-20260903-000401-default-f02-p3-caffeine-5-after-undeploy-final-10s-heap-info.txt</x:v>
      </x:c>
      <x:c r="AD367" s="34" t="str">
        <x:v>article1-unified-v4-2-fb3f101b-20260903-000401-default-f02-p3-caffeine-5-after-undeploy-final-10s-classloader-stats.txt</x:v>
      </x:c>
      <x:c r="AE367" s="34" t="str">
        <x:v>article1-unified-v4-2-fb3f101b-20260903-000401-default-f02-p3-caffeine-5-after-undeploy-final-10s-thread-dump.txt</x:v>
      </x:c>
      <x:c r="AF367" s="34"/>
      <x:c r="AG367" s="34" t="str">
        <x:v>article1-unified-v4-2-fb3f101b-20260903-000401-default-f02-p3-caffeine-5-after-undeploy-final-10s-native-memory.txt</x:v>
      </x:c>
      <x:c r="AH367" s="34" t="str">
        <x:v>article1-unified-v4-2-fb3f101b-20260903-000401-default-f02-p3-caffeine-5-after-undeploy-final-10s-class-histogram.txt</x:v>
      </x:c>
      <x:c r="AI367" s="34" t="str">
        <x:v>article1-unified-v4-2-fb3f101b-20260903-000401-default-f02-p3-caffeine-5-after-undeploy-tomcat-findleaks.txt</x:v>
      </x:c>
    </x:row>
    <x:row r="368">
      <x:c r="A368" s="34" t="str">
        <x:v>article1-unified-v4-2-fb3f101b-20260903-000401-default-f02-p3-caffeine</x:v>
      </x:c>
      <x:c r="B368" s="34" t="str">
        <x:v>default</x:v>
      </x:c>
      <x:c r="C368" s="34" t="str">
        <x:v>caffeine</x:v>
      </x:c>
      <x:c r="D368" s="34" t="str">
        <x:v>caffeine</x:v>
      </x:c>
      <x:c r="E368" s="36" t="n">
        <x:v>2</x:v>
      </x:c>
      <x:c r="F368" s="36" t="n">
        <x:v>2</x:v>
      </x:c>
      <x:c r="G368" s="36" t="n">
        <x:v>3</x:v>
      </x:c>
      <x:c r="H368" s="36" t="n">
        <x:v>5</x:v>
      </x:c>
      <x:c r="I368" s="34" t="str">
        <x:v>redeployedLoaded</x:v>
      </x:c>
      <x:c r="J368" s="34" t="str">
        <x:v>redeployed-loaded</x:v>
      </x:c>
      <x:c r="K368" s="36" t="n">
        <x:v>0</x:v>
      </x:c>
      <x:c r="L368" s="34" t="str">
        <x:v>redeploy</x:v>
      </x:c>
      <x:c r="M368" s="34" t="str">
        <x:v>article1-unified-v4-2-fb3f101b-20260903-000401-default-f02-p3-caffeine-5-redeployed-loaded</x:v>
      </x:c>
      <x:c r="N368" s="38" t="n">
        <x:v>46267.97400616898</x:v>
      </x:c>
      <x:c r="O368" s="36" t="n">
        <x:v>0</x:v>
      </x:c>
      <x:c r="P368" s="43" t="n">
        <x:v>201812992</x:v>
      </x:c>
      <x:c r="Q368" s="43" t="n">
        <x:v>268435456</x:v>
      </x:c>
      <x:c r="R368" s="43" t="n">
        <x:v>448488448</x:v>
      </x:c>
      <x:c r="S368" s="36" t="n">
        <x:v>3</x:v>
      </x:c>
      <x:c r="T368" s="44" t="str">
        <x:v>0x000000004c1177b8  0x000000004c003818  0x00007e44dc0069a0    4389  21130240  21111944  org.apache.catalina.loader.ParallelWebappClassLoader | 0x000000004c1177b8  0x000000004c003818  0x00007e4530c7a380    4397  21173248  21154952  org.apache.catalina.loader.ParallelWebappClassLoader | 0x000000004c1177b8  0x000000004c003818  0x00007e45c0686510       0         0         0  org.apache.catalina.loader.ParallelWebappClassLoader</x:v>
      </x:c>
      <x:c r="U368" s="36" t="n">
        <x:v>31</x:v>
      </x:c>
      <x:c r="V368" s="36" t="n">
        <x:v>0</x:v>
      </x:c>
      <x:c r="W368" s="44"/>
      <x:c r="X368" s="36"/>
      <x:c r="Y368" s="36"/>
      <x:c r="Z368" s="44"/>
      <x:c r="AA368" s="49"/>
      <x:c r="AB368" s="43"/>
      <x:c r="AC368" s="34"/>
      <x:c r="AD368" s="34"/>
      <x:c r="AE368" s="34"/>
      <x:c r="AF368" s="34"/>
      <x:c r="AG368" s="34"/>
      <x:c r="AH368" s="34"/>
      <x:c r="AI368" s="34"/>
    </x:row>
    <x:row r="369">
      <x:c r="A369" s="34" t="str">
        <x:v>article1-unified-v4-2-fb3f101b-20260903-000401-default-f02-p3-caffeine</x:v>
      </x:c>
      <x:c r="B369" s="34" t="str">
        <x:v>default</x:v>
      </x:c>
      <x:c r="C369" s="34" t="str">
        <x:v>caffeine</x:v>
      </x:c>
      <x:c r="D369" s="34" t="str">
        <x:v>caffeine</x:v>
      </x:c>
      <x:c r="E369" s="36" t="n">
        <x:v>2</x:v>
      </x:c>
      <x:c r="F369" s="36" t="n">
        <x:v>2</x:v>
      </x:c>
      <x:c r="G369" s="36" t="n">
        <x:v>3</x:v>
      </x:c>
      <x:c r="H369" s="36" t="n">
        <x:v>5</x:v>
      </x:c>
      <x:c r="I369" s="34" t="str">
        <x:v>afterFinalUndeployEarly</x:v>
      </x:c>
      <x:c r="J369" s="34" t="str">
        <x:v>after-final-undeploy-early</x:v>
      </x:c>
      <x:c r="K369" s="36" t="n">
        <x:v>2</x:v>
      </x:c>
      <x:c r="L369" s="34" t="str">
        <x:v>early</x:v>
      </x:c>
      <x:c r="M369" s="34" t="str">
        <x:v>article1-unified-v4-2-fb3f101b-20260903-000401-default-f02-p3-caffeine-5-after-final-undeploy-early-2s</x:v>
      </x:c>
      <x:c r="N369" s="38" t="n">
        <x:v>46267.97409181713</x:v>
      </x:c>
      <x:c r="O369" s="36"/>
      <x:c r="P369" s="43"/>
      <x:c r="Q369" s="43"/>
      <x:c r="R369" s="43"/>
      <x:c r="S369" s="36"/>
      <x:c r="T369" s="44"/>
      <x:c r="U369" s="36" t="n">
        <x:v>30</x:v>
      </x:c>
      <x:c r="V369" s="36" t="n">
        <x:v>0</x:v>
      </x:c>
      <x:c r="W369" s="44"/>
      <x:c r="X369" s="36"/>
      <x:c r="Y369" s="36"/>
      <x:c r="Z369" s="44"/>
      <x:c r="AA369" s="49"/>
      <x:c r="AB369" s="43" t="n">
        <x:v>1</x:v>
      </x:c>
      <x:c r="AC369" s="34"/>
      <x:c r="AD369" s="34"/>
      <x:c r="AE369" s="34" t="str">
        <x:v>article1-unified-v4-2-fb3f101b-20260903-000401-default-f02-p3-caffeine-5-after-final-undeploy-early-2s-thread-dump.txt</x:v>
      </x:c>
      <x:c r="AF369" s="34" t="str">
        <x:v>article1-unified-v4-2-fb3f101b-20260903-000401-default-f02-p3-caffeine-5-after-final-undeploy-early-tomcat-log.txt</x:v>
      </x:c>
      <x:c r="AG369" s="34"/>
      <x:c r="AH369" s="34"/>
      <x:c r="AI369" s="34"/>
    </x:row>
    <x:row r="370">
      <x:c r="A370" s="34" t="str">
        <x:v>article1-unified-v4-2-fb3f101b-20260903-000401-default-f02-p3-caffeine</x:v>
      </x:c>
      <x:c r="B370" s="34" t="str">
        <x:v>default</x:v>
      </x:c>
      <x:c r="C370" s="34" t="str">
        <x:v>caffeine</x:v>
      </x:c>
      <x:c r="D370" s="34" t="str">
        <x:v>caffeine</x:v>
      </x:c>
      <x:c r="E370" s="36" t="n">
        <x:v>2</x:v>
      </x:c>
      <x:c r="F370" s="36" t="n">
        <x:v>2</x:v>
      </x:c>
      <x:c r="G370" s="36" t="n">
        <x:v>3</x:v>
      </x:c>
      <x:c r="H370" s="36" t="n">
        <x:v>5</x:v>
      </x:c>
      <x:c r="I370" s="34" t="str">
        <x:v>afterFinalUndeploy</x:v>
      </x:c>
      <x:c r="J370" s="34" t="str">
        <x:v>after-final-undeploy-final</x:v>
      </x:c>
      <x:c r="K370" s="36" t="n">
        <x:v>2</x:v>
      </x:c>
      <x:c r="L370" s="34" t="str">
        <x:v>final</x:v>
      </x:c>
      <x:c r="M370" s="34" t="str">
        <x:v>article1-unified-v4-2-fb3f101b-20260903-000401-default-f02-p3-caffeine-5-after-final-undeploy-final-10s</x:v>
      </x:c>
      <x:c r="N370" s="38" t="n">
        <x:v>46267.97424429398</x:v>
      </x:c>
      <x:c r="O370" s="36" t="n">
        <x:v>2</x:v>
      </x:c>
      <x:c r="P370" s="43" t="n">
        <x:v>15763456</x:v>
      </x:c>
      <x:c r="Q370" s="43" t="n">
        <x:v>268435456</x:v>
      </x:c>
      <x:c r="R370" s="43" t="n">
        <x:v>432234496</x:v>
      </x:c>
      <x:c r="S370" s="36" t="n">
        <x:v>2</x:v>
      </x:c>
      <x:c r="T370" s="44" t="str">
        <x:v>0x000000004c1177b8  0x000000004c003818  0x00007e45c0686510       0         0         0  org.apache.catalina.loader.ParallelWebappClassLoader | 0x000000004c1177b8  0x000000004c003818  0x00007e44dc0069a0    4397  21163008  21136784  org.apache.catalina.loader.ParallelWebappClassLoader</x:v>
      </x:c>
      <x:c r="U370" s="36" t="n">
        <x:v>30</x:v>
      </x:c>
      <x:c r="V370" s="36" t="n">
        <x:v>0</x:v>
      </x:c>
      <x:c r="W370" s="44"/>
      <x:c r="X370" s="36" t="n">
        <x:v>1</x:v>
      </x:c>
      <x:c r="Y370" s="36" t="n">
        <x:v>1</x:v>
      </x:c>
      <x:c r="Z370" s="44" t="str">
        <x:v>/caffeine</x:v>
      </x:c>
      <x:c r="AA370" s="45" t="b">
        <x:v>1</x:v>
      </x:c>
      <x:c r="AB370" s="43"/>
      <x:c r="AC370" s="34" t="str">
        <x:v>article1-unified-v4-2-fb3f101b-20260903-000401-default-f02-p3-caffeine-5-after-final-undeploy-final-10s-heap-info.txt</x:v>
      </x:c>
      <x:c r="AD370" s="34" t="str">
        <x:v>article1-unified-v4-2-fb3f101b-20260903-000401-default-f02-p3-caffeine-5-after-final-undeploy-final-10s-classloader-stats.txt</x:v>
      </x:c>
      <x:c r="AE370" s="34" t="str">
        <x:v>article1-unified-v4-2-fb3f101b-20260903-000401-default-f02-p3-caffeine-5-after-final-undeploy-final-10s-thread-dump.txt</x:v>
      </x:c>
      <x:c r="AF370" s="34"/>
      <x:c r="AG370" s="34" t="str">
        <x:v>article1-unified-v4-2-fb3f101b-20260903-000401-default-f02-p3-caffeine-5-after-final-undeploy-final-10s-native-memory.txt</x:v>
      </x:c>
      <x:c r="AH370" s="34" t="str">
        <x:v>article1-unified-v4-2-fb3f101b-20260903-000401-default-f02-p3-caffeine-5-after-final-undeploy-final-10s-class-histogram.txt</x:v>
      </x:c>
      <x:c r="AI370" s="34" t="str">
        <x:v>article1-unified-v4-2-fb3f101b-20260903-000401-default-f02-p3-caffeine-5-after-final-undeploy-tomcat-findleaks.txt</x:v>
      </x:c>
    </x:row>
    <x:row r="371">
      <x:c r="A371" s="34" t="str">
        <x:v>article1-unified-v4-2-fb3f101b-20260903-000401-default-f02-p4-jcs4</x:v>
      </x:c>
      <x:c r="B371" s="34" t="str">
        <x:v>default</x:v>
      </x:c>
      <x:c r="C371" s="34" t="str">
        <x:v>jcs4</x:v>
      </x:c>
      <x:c r="D371" s="34" t="str">
        <x:v>jcs4</x:v>
      </x:c>
      <x:c r="E371" s="36" t="n">
        <x:v>2</x:v>
      </x:c>
      <x:c r="F371" s="36" t="n">
        <x:v>2</x:v>
      </x:c>
      <x:c r="G371" s="36" t="n">
        <x:v>4</x:v>
      </x:c>
      <x:c r="H371" s="36" t="n">
        <x:v>0</x:v>
      </x:c>
      <x:c r="I371" s="34" t="str">
        <x:v>processBaseline</x:v>
      </x:c>
      <x:c r="J371" s="34" t="str">
        <x:v>process-baseline</x:v>
      </x:c>
      <x:c r="K371" s="36" t="n">
        <x:v>0</x:v>
      </x:c>
      <x:c r="L371" s="34" t="str">
        <x:v>baseline</x:v>
      </x:c>
      <x:c r="M371" s="34" t="str">
        <x:v>article1-unified-v4-2-fb3f101b-20260903-000401-default-f02-p4-jcs4-process-baseline</x:v>
      </x:c>
      <x:c r="N371" s="38" t="n">
        <x:v>46267.974489189815</x:v>
      </x:c>
      <x:c r="O371" s="36" t="n">
        <x:v>0</x:v>
      </x:c>
      <x:c r="P371" s="43" t="n">
        <x:v>32299008</x:v>
      </x:c>
      <x:c r="Q371" s="43" t="n">
        <x:v>270532608</x:v>
      </x:c>
      <x:c r="R371" s="43" t="n">
        <x:v>369267712</x:v>
      </x:c>
      <x:c r="S371" s="36" t="n">
        <x:v>1</x:v>
      </x:c>
      <x:c r="T371" s="44" t="str">
        <x:v>0x0000000083116bd8  0x0000000083003818  0x000070f5c45f1d70       0         0         0  org.apache.catalina.loader.ParallelWebappClassLoader</x:v>
      </x:c>
      <x:c r="U371" s="36" t="n">
        <x:v>27</x:v>
      </x:c>
      <x:c r="V371" s="36" t="n">
        <x:v>0</x:v>
      </x:c>
      <x:c r="W371" s="44"/>
      <x:c r="X371" s="36"/>
      <x:c r="Y371" s="36"/>
      <x:c r="Z371" s="44"/>
      <x:c r="AA371" s="49"/>
      <x:c r="AB371" s="43"/>
      <x:c r="AC371" s="34" t="str">
        <x:v>article1-unified-v4-2-fb3f101b-20260903-000401-default-f02-p4-jcs4-process-baseline-heap-info.txt</x:v>
      </x:c>
      <x:c r="AD371" s="34" t="str">
        <x:v>article1-unified-v4-2-fb3f101b-20260903-000401-default-f02-p4-jcs4-process-baseline-classloader-stats.txt</x:v>
      </x:c>
      <x:c r="AE371" s="34" t="str">
        <x:v>article1-unified-v4-2-fb3f101b-20260903-000401-default-f02-p4-jcs4-process-baseline-thread-dump.txt</x:v>
      </x:c>
      <x:c r="AF371" s="34"/>
      <x:c r="AG371" s="34" t="str">
        <x:v>article1-unified-v4-2-fb3f101b-20260903-000401-default-f02-p4-jcs4-process-baseline-native-memory.txt</x:v>
      </x:c>
      <x:c r="AH371" s="34"/>
      <x:c r="AI371" s="34"/>
    </x:row>
    <x:row r="372">
      <x:c r="A372" s="34" t="str">
        <x:v>article1-unified-v4-2-fb3f101b-20260903-000401-default-f02-p4-jcs4</x:v>
      </x:c>
      <x:c r="B372" s="34" t="str">
        <x:v>default</x:v>
      </x:c>
      <x:c r="C372" s="34" t="str">
        <x:v>jcs4</x:v>
      </x:c>
      <x:c r="D372" s="34" t="str">
        <x:v>jcs4</x:v>
      </x:c>
      <x:c r="E372" s="36" t="n">
        <x:v>2</x:v>
      </x:c>
      <x:c r="F372" s="36" t="n">
        <x:v>2</x:v>
      </x:c>
      <x:c r="G372" s="36" t="n">
        <x:v>4</x:v>
      </x:c>
      <x:c r="H372" s="36" t="n">
        <x:v>1</x:v>
      </x:c>
      <x:c r="I372" s="34" t="str">
        <x:v>baseline</x:v>
      </x:c>
      <x:c r="J372" s="34" t="str">
        <x:v>cycle-baseline</x:v>
      </x:c>
      <x:c r="K372" s="36" t="n">
        <x:v>0</x:v>
      </x:c>
      <x:c r="L372" s="34" t="str">
        <x:v>baseline</x:v>
      </x:c>
      <x:c r="M372" s="34" t="str">
        <x:v>article1-unified-v4-2-fb3f101b-20260903-000401-default-f02-p4-jcs4-1-baseline</x:v>
      </x:c>
      <x:c r="N372" s="38" t="n">
        <x:v>46267.97467730324</x:v>
      </x:c>
      <x:c r="O372" s="36" t="n">
        <x:v>0</x:v>
      </x:c>
      <x:c r="P372" s="43" t="n">
        <x:v>32299008</x:v>
      </x:c>
      <x:c r="Q372" s="43" t="n">
        <x:v>270532608</x:v>
      </x:c>
      <x:c r="R372" s="43" t="n">
        <x:v>369853440</x:v>
      </x:c>
      <x:c r="S372" s="36" t="n">
        <x:v>1</x:v>
      </x:c>
      <x:c r="T372" s="44" t="str">
        <x:v>0x0000000083116bd8  0x0000000083003818  0x000070f5c45f1d70       0         0         0  org.apache.catalina.loader.ParallelWebappClassLoader</x:v>
      </x:c>
      <x:c r="U372" s="36" t="n">
        <x:v>27</x:v>
      </x:c>
      <x:c r="V372" s="36" t="n">
        <x:v>0</x:v>
      </x:c>
      <x:c r="W372" s="44"/>
      <x:c r="X372" s="36"/>
      <x:c r="Y372" s="36"/>
      <x:c r="Z372" s="44"/>
      <x:c r="AA372" s="49"/>
      <x:c r="AB372" s="43"/>
      <x:c r="AC372" s="34" t="str">
        <x:v>article1-unified-v4-2-fb3f101b-20260903-000401-default-f02-p4-jcs4-1-baseline-heap-info.txt</x:v>
      </x:c>
      <x:c r="AD372" s="34" t="str">
        <x:v>article1-unified-v4-2-fb3f101b-20260903-000401-default-f02-p4-jcs4-1-baseline-classloader-stats.txt</x:v>
      </x:c>
      <x:c r="AE372" s="34" t="str">
        <x:v>article1-unified-v4-2-fb3f101b-20260903-000401-default-f02-p4-jcs4-1-baseline-thread-dump.txt</x:v>
      </x:c>
      <x:c r="AF372" s="34"/>
      <x:c r="AG372" s="34" t="str">
        <x:v>article1-unified-v4-2-fb3f101b-20260903-000401-default-f02-p4-jcs4-1-baseline-native-memory.txt</x:v>
      </x:c>
      <x:c r="AH372" s="34"/>
      <x:c r="AI372" s="34"/>
    </x:row>
    <x:row r="373">
      <x:c r="A373" s="34" t="str">
        <x:v>article1-unified-v4-2-fb3f101b-20260903-000401-default-f02-p4-jcs4</x:v>
      </x:c>
      <x:c r="B373" s="34" t="str">
        <x:v>default</x:v>
      </x:c>
      <x:c r="C373" s="34" t="str">
        <x:v>jcs4</x:v>
      </x:c>
      <x:c r="D373" s="34" t="str">
        <x:v>jcs4</x:v>
      </x:c>
      <x:c r="E373" s="36" t="n">
        <x:v>2</x:v>
      </x:c>
      <x:c r="F373" s="36" t="n">
        <x:v>2</x:v>
      </x:c>
      <x:c r="G373" s="36" t="n">
        <x:v>4</x:v>
      </x:c>
      <x:c r="H373" s="36" t="n">
        <x:v>1</x:v>
      </x:c>
      <x:c r="I373" s="34" t="str">
        <x:v>deployedIdle</x:v>
      </x:c>
      <x:c r="J373" s="34" t="str">
        <x:v>deployed-idle</x:v>
      </x:c>
      <x:c r="K373" s="36" t="n">
        <x:v>0</x:v>
      </x:c>
      <x:c r="L373" s="34" t="str">
        <x:v>initial</x:v>
      </x:c>
      <x:c r="M373" s="34" t="str">
        <x:v>article1-unified-v4-2-fb3f101b-20260903-000401-default-f02-p4-jcs4-1-deployed-idle</x:v>
      </x:c>
      <x:c r="N373" s="38" t="n">
        <x:v>46267.97478826389</x:v>
      </x:c>
      <x:c r="O373" s="36" t="n">
        <x:v>0</x:v>
      </x:c>
      <x:c r="P373" s="43" t="n">
        <x:v>22201344</x:v>
      </x:c>
      <x:c r="Q373" s="43" t="n">
        <x:v>268435456</x:v>
      </x:c>
      <x:c r="R373" s="43" t="n">
        <x:v>426940416</x:v>
      </x:c>
      <x:c r="S373" s="36" t="n">
        <x:v>2</x:v>
      </x:c>
      <x:c r="T373" s="44" t="str">
        <x:v>0x0000000083116bd8  0x0000000083003818  0x000070f5c45f1d70       0         0         0  org.apache.catalina.loader.ParallelWebappClassLoader | 0x0000000083116bd8  0x0000000083003818  0x000070f51c117640    4091  19421184  19414400  org.apache.catalina.loader.ParallelWebappClassLoader</x:v>
      </x:c>
      <x:c r="U373" s="36" t="n">
        <x:v>27</x:v>
      </x:c>
      <x:c r="V373" s="36" t="n">
        <x:v>0</x:v>
      </x:c>
      <x:c r="W373" s="44"/>
      <x:c r="X373" s="36"/>
      <x:c r="Y373" s="36"/>
      <x:c r="Z373" s="44"/>
      <x:c r="AA373" s="49"/>
      <x:c r="AB373" s="43"/>
      <x:c r="AC373" s="34"/>
      <x:c r="AD373" s="34"/>
      <x:c r="AE373" s="34"/>
      <x:c r="AF373" s="34"/>
      <x:c r="AG373" s="34"/>
      <x:c r="AH373" s="34"/>
      <x:c r="AI373" s="34"/>
    </x:row>
    <x:row r="374">
      <x:c r="A374" s="34" t="str">
        <x:v>article1-unified-v4-2-fb3f101b-20260903-000401-default-f02-p4-jcs4</x:v>
      </x:c>
      <x:c r="B374" s="34" t="str">
        <x:v>default</x:v>
      </x:c>
      <x:c r="C374" s="34" t="str">
        <x:v>jcs4</x:v>
      </x:c>
      <x:c r="D374" s="34" t="str">
        <x:v>jcs4</x:v>
      </x:c>
      <x:c r="E374" s="36" t="n">
        <x:v>2</x:v>
      </x:c>
      <x:c r="F374" s="36" t="n">
        <x:v>2</x:v>
      </x:c>
      <x:c r="G374" s="36" t="n">
        <x:v>4</x:v>
      </x:c>
      <x:c r="H374" s="36" t="n">
        <x:v>1</x:v>
      </x:c>
      <x:c r="I374" s="34" t="str">
        <x:v>loaded</x:v>
      </x:c>
      <x:c r="J374" s="34" t="str">
        <x:v>loaded</x:v>
      </x:c>
      <x:c r="K374" s="36" t="n">
        <x:v>0</x:v>
      </x:c>
      <x:c r="L374" s="34" t="str">
        <x:v>initial</x:v>
      </x:c>
      <x:c r="M374" s="34" t="str">
        <x:v>article1-unified-v4-2-fb3f101b-20260903-000401-default-f02-p4-jcs4-1-loaded</x:v>
      </x:c>
      <x:c r="N374" s="38" t="n">
        <x:v>46267.974940092594</x:v>
      </x:c>
      <x:c r="O374" s="36" t="n">
        <x:v>0</x:v>
      </x:c>
      <x:c r="P374" s="43" t="n">
        <x:v>171199488</x:v>
      </x:c>
      <x:c r="Q374" s="43" t="n">
        <x:v>268435456</x:v>
      </x:c>
      <x:c r="R374" s="43" t="n">
        <x:v>410748928</x:v>
      </x:c>
      <x:c r="S374" s="36" t="n">
        <x:v>2</x:v>
      </x:c>
      <x:c r="T374" s="44" t="str">
        <x:v>0x0000000083116bd8  0x0000000083003818  0x000070f5c45f1d70       0         0         0  org.apache.catalina.loader.ParallelWebappClassLoader | 0x0000000083116bd8  0x0000000083003818  0x000070f51c117640    4402  20923392  20898160  org.apache.catalina.loader.ParallelWebappClassLoader</x:v>
      </x:c>
      <x:c r="U374" s="36" t="n">
        <x:v>28</x:v>
      </x:c>
      <x:c r="V374" s="36" t="n">
        <x:v>1</x:v>
      </x:c>
      <x:c r="W374" s="44" t="str">
        <x:v>jcs4-thread-pool-event-queue:JCS-ThreadPoolManager-ElementEventQueue-Thread-4#49</x:v>
      </x:c>
      <x:c r="X374" s="36"/>
      <x:c r="Y374" s="36"/>
      <x:c r="Z374" s="44"/>
      <x:c r="AA374" s="49"/>
      <x:c r="AB374" s="43"/>
      <x:c r="AC374" s="34"/>
      <x:c r="AD374" s="34"/>
      <x:c r="AE374" s="34"/>
      <x:c r="AF374" s="34"/>
      <x:c r="AG374" s="34"/>
      <x:c r="AH374" s="34"/>
      <x:c r="AI374" s="34"/>
    </x:row>
    <x:row r="375">
      <x:c r="A375" s="34" t="str">
        <x:v>article1-unified-v4-2-fb3f101b-20260903-000401-default-f02-p4-jcs4</x:v>
      </x:c>
      <x:c r="B375" s="34" t="str">
        <x:v>default</x:v>
      </x:c>
      <x:c r="C375" s="34" t="str">
        <x:v>jcs4</x:v>
      </x:c>
      <x:c r="D375" s="34" t="str">
        <x:v>jcs4</x:v>
      </x:c>
      <x:c r="E375" s="36" t="n">
        <x:v>2</x:v>
      </x:c>
      <x:c r="F375" s="36" t="n">
        <x:v>2</x:v>
      </x:c>
      <x:c r="G375" s="36" t="n">
        <x:v>4</x:v>
      </x:c>
      <x:c r="H375" s="36" t="n">
        <x:v>1</x:v>
      </x:c>
      <x:c r="I375" s="34" t="str">
        <x:v>afterUndeployEarly</x:v>
      </x:c>
      <x:c r="J375" s="34" t="str">
        <x:v>after-undeploy-early</x:v>
      </x:c>
      <x:c r="K375" s="36" t="n">
        <x:v>1</x:v>
      </x:c>
      <x:c r="L375" s="34" t="str">
        <x:v>early</x:v>
      </x:c>
      <x:c r="M375" s="34" t="str">
        <x:v>article1-unified-v4-2-fb3f101b-20260903-000401-default-f02-p4-jcs4-1-after-undeploy-early-2s</x:v>
      </x:c>
      <x:c r="N375" s="38" t="n">
        <x:v>46267.97502719907</x:v>
      </x:c>
      <x:c r="O375" s="36"/>
      <x:c r="P375" s="43"/>
      <x:c r="Q375" s="43"/>
      <x:c r="R375" s="43"/>
      <x:c r="S375" s="36"/>
      <x:c r="T375" s="44"/>
      <x:c r="U375" s="36" t="n">
        <x:v>27</x:v>
      </x:c>
      <x:c r="V375" s="36" t="n">
        <x:v>0</x:v>
      </x:c>
      <x:c r="W375" s="44"/>
      <x:c r="X375" s="36"/>
      <x:c r="Y375" s="36"/>
      <x:c r="Z375" s="44"/>
      <x:c r="AA375" s="49"/>
      <x:c r="AB375" s="43" t="n">
        <x:v>5</x:v>
      </x:c>
      <x:c r="AC375" s="34"/>
      <x:c r="AD375" s="34"/>
      <x:c r="AE375" s="34" t="str">
        <x:v>article1-unified-v4-2-fb3f101b-20260903-000401-default-f02-p4-jcs4-1-after-undeploy-early-2s-thread-dump.txt</x:v>
      </x:c>
      <x:c r="AF375" s="34" t="str">
        <x:v>article1-unified-v4-2-fb3f101b-20260903-000401-default-f02-p4-jcs4-1-after-undeploy-early-tomcat-log.txt</x:v>
      </x:c>
      <x:c r="AG375" s="34"/>
      <x:c r="AH375" s="34"/>
      <x:c r="AI375" s="34"/>
    </x:row>
    <x:row r="376">
      <x:c r="A376" s="34" t="str">
        <x:v>article1-unified-v4-2-fb3f101b-20260903-000401-default-f02-p4-jcs4</x:v>
      </x:c>
      <x:c r="B376" s="34" t="str">
        <x:v>default</x:v>
      </x:c>
      <x:c r="C376" s="34" t="str">
        <x:v>jcs4</x:v>
      </x:c>
      <x:c r="D376" s="34" t="str">
        <x:v>jcs4</x:v>
      </x:c>
      <x:c r="E376" s="36" t="n">
        <x:v>2</x:v>
      </x:c>
      <x:c r="F376" s="36" t="n">
        <x:v>2</x:v>
      </x:c>
      <x:c r="G376" s="36" t="n">
        <x:v>4</x:v>
      </x:c>
      <x:c r="H376" s="36" t="n">
        <x:v>1</x:v>
      </x:c>
      <x:c r="I376" s="34" t="str">
        <x:v>afterUndeploy</x:v>
      </x:c>
      <x:c r="J376" s="34" t="str">
        <x:v>after-undeploy-final</x:v>
      </x:c>
      <x:c r="K376" s="36" t="n">
        <x:v>1</x:v>
      </x:c>
      <x:c r="L376" s="34" t="str">
        <x:v>final</x:v>
      </x:c>
      <x:c r="M376" s="34" t="str">
        <x:v>article1-unified-v4-2-fb3f101b-20260903-000401-default-f02-p4-jcs4-1-after-undeploy-final-10s</x:v>
      </x:c>
      <x:c r="N376" s="38" t="n">
        <x:v>46267.97518150463</x:v>
      </x:c>
      <x:c r="O376" s="36" t="n">
        <x:v>2</x:v>
      </x:c>
      <x:c r="P376" s="43" t="n">
        <x:v>15753216</x:v>
      </x:c>
      <x:c r="Q376" s="43" t="n">
        <x:v>268435456</x:v>
      </x:c>
      <x:c r="R376" s="43" t="n">
        <x:v>409456640</x:v>
      </x:c>
      <x:c r="S376" s="36" t="n">
        <x:v>2</x:v>
      </x:c>
      <x:c r="T376" s="44" t="str">
        <x:v>0x0000000083116bd8  0x0000000083003818  0x000070f5c45f1d70       0         0         0  org.apache.catalina.loader.ParallelWebappClassLoader | 0x0000000083116bd8  0x0000000083003818  0x000070f51c117640    4416  20947968  20933240  org.apache.catalina.loader.ParallelWebappClassLoader</x:v>
      </x:c>
      <x:c r="U376" s="36" t="n">
        <x:v>27</x:v>
      </x:c>
      <x:c r="V376" s="36" t="n">
        <x:v>0</x:v>
      </x:c>
      <x:c r="W376" s="44"/>
      <x:c r="X376" s="36" t="n">
        <x:v>1</x:v>
      </x:c>
      <x:c r="Y376" s="36" t="n">
        <x:v>1</x:v>
      </x:c>
      <x:c r="Z376" s="44" t="str">
        <x:v>/jcs4</x:v>
      </x:c>
      <x:c r="AA376" s="45" t="b">
        <x:v>1</x:v>
      </x:c>
      <x:c r="AB376" s="43"/>
      <x:c r="AC376" s="34" t="str">
        <x:v>article1-unified-v4-2-fb3f101b-20260903-000401-default-f02-p4-jcs4-1-after-undeploy-final-10s-heap-info.txt</x:v>
      </x:c>
      <x:c r="AD376" s="34" t="str">
        <x:v>article1-unified-v4-2-fb3f101b-20260903-000401-default-f02-p4-jcs4-1-after-undeploy-final-10s-classloader-stats.txt</x:v>
      </x:c>
      <x:c r="AE376" s="34" t="str">
        <x:v>article1-unified-v4-2-fb3f101b-20260903-000401-default-f02-p4-jcs4-1-after-undeploy-final-10s-thread-dump.txt</x:v>
      </x:c>
      <x:c r="AF376" s="34"/>
      <x:c r="AG376" s="34" t="str">
        <x:v>article1-unified-v4-2-fb3f101b-20260903-000401-default-f02-p4-jcs4-1-after-undeploy-final-10s-native-memory.txt</x:v>
      </x:c>
      <x:c r="AH376" s="34" t="str">
        <x:v>article1-unified-v4-2-fb3f101b-20260903-000401-default-f02-p4-jcs4-1-after-undeploy-final-10s-class-histogram.txt</x:v>
      </x:c>
      <x:c r="AI376" s="34" t="str">
        <x:v>article1-unified-v4-2-fb3f101b-20260903-000401-default-f02-p4-jcs4-1-after-undeploy-tomcat-findleaks.txt</x:v>
      </x:c>
    </x:row>
    <x:row r="377">
      <x:c r="A377" s="34" t="str">
        <x:v>article1-unified-v4-2-fb3f101b-20260903-000401-default-f02-p4-jcs4</x:v>
      </x:c>
      <x:c r="B377" s="34" t="str">
        <x:v>default</x:v>
      </x:c>
      <x:c r="C377" s="34" t="str">
        <x:v>jcs4</x:v>
      </x:c>
      <x:c r="D377" s="34" t="str">
        <x:v>jcs4</x:v>
      </x:c>
      <x:c r="E377" s="36" t="n">
        <x:v>2</x:v>
      </x:c>
      <x:c r="F377" s="36" t="n">
        <x:v>2</x:v>
      </x:c>
      <x:c r="G377" s="36" t="n">
        <x:v>4</x:v>
      </x:c>
      <x:c r="H377" s="36" t="n">
        <x:v>1</x:v>
      </x:c>
      <x:c r="I377" s="34" t="str">
        <x:v>redeployedLoaded</x:v>
      </x:c>
      <x:c r="J377" s="34" t="str">
        <x:v>redeployed-loaded</x:v>
      </x:c>
      <x:c r="K377" s="36" t="n">
        <x:v>0</x:v>
      </x:c>
      <x:c r="L377" s="34" t="str">
        <x:v>redeploy</x:v>
      </x:c>
      <x:c r="M377" s="34" t="str">
        <x:v>article1-unified-v4-2-fb3f101b-20260903-000401-default-f02-p4-jcs4-1-redeployed-loaded</x:v>
      </x:c>
      <x:c r="N377" s="38" t="n">
        <x:v>46267.97544876157</x:v>
      </x:c>
      <x:c r="O377" s="36" t="n">
        <x:v>0</x:v>
      </x:c>
      <x:c r="P377" s="43" t="n">
        <x:v>116201472</x:v>
      </x:c>
      <x:c r="Q377" s="43" t="n">
        <x:v>268435456</x:v>
      </x:c>
      <x:c r="R377" s="43" t="n">
        <x:v>437172224</x:v>
      </x:c>
      <x:c r="S377" s="36" t="n">
        <x:v>3</x:v>
      </x:c>
      <x:c r="T377" s="44" t="str">
        <x:v>0x0000000083116bd8  0x0000000083003818  0x000070f5c45f1d70       0         0         0  org.apache.catalina.loader.ParallelWebappClassLoader | 0x0000000083116bd8  0x0000000083003818  0x000070f51c117640    4416  20947968  20933240  org.apache.catalina.loader.ParallelWebappClassLoader | 0x0000000083116bd8  0x0000000083003818  0x000070f52c08c760    4396  20958208  20940808  org.apache.catalina.loader.ParallelWebappClassLoader</x:v>
      </x:c>
      <x:c r="U377" s="36" t="n">
        <x:v>28</x:v>
      </x:c>
      <x:c r="V377" s="36" t="n">
        <x:v>1</x:v>
      </x:c>
      <x:c r="W377" s="44" t="str">
        <x:v>jcs4-thread-pool-event-queue:JCS-ThreadPoolManager-ElementEventQueue-Thread-7#91</x:v>
      </x:c>
      <x:c r="X377" s="36"/>
      <x:c r="Y377" s="36"/>
      <x:c r="Z377" s="44"/>
      <x:c r="AA377" s="49"/>
      <x:c r="AB377" s="43"/>
      <x:c r="AC377" s="34"/>
      <x:c r="AD377" s="34"/>
      <x:c r="AE377" s="34"/>
      <x:c r="AF377" s="34"/>
      <x:c r="AG377" s="34"/>
      <x:c r="AH377" s="34"/>
      <x:c r="AI377" s="34"/>
    </x:row>
    <x:row r="378">
      <x:c r="A378" s="34" t="str">
        <x:v>article1-unified-v4-2-fb3f101b-20260903-000401-default-f02-p4-jcs4</x:v>
      </x:c>
      <x:c r="B378" s="34" t="str">
        <x:v>default</x:v>
      </x:c>
      <x:c r="C378" s="34" t="str">
        <x:v>jcs4</x:v>
      </x:c>
      <x:c r="D378" s="34" t="str">
        <x:v>jcs4</x:v>
      </x:c>
      <x:c r="E378" s="36" t="n">
        <x:v>2</x:v>
      </x:c>
      <x:c r="F378" s="36" t="n">
        <x:v>2</x:v>
      </x:c>
      <x:c r="G378" s="36" t="n">
        <x:v>4</x:v>
      </x:c>
      <x:c r="H378" s="36" t="n">
        <x:v>1</x:v>
      </x:c>
      <x:c r="I378" s="34" t="str">
        <x:v>afterFinalUndeployEarly</x:v>
      </x:c>
      <x:c r="J378" s="34" t="str">
        <x:v>after-final-undeploy-early</x:v>
      </x:c>
      <x:c r="K378" s="36" t="n">
        <x:v>2</x:v>
      </x:c>
      <x:c r="L378" s="34" t="str">
        <x:v>early</x:v>
      </x:c>
      <x:c r="M378" s="34" t="str">
        <x:v>article1-unified-v4-2-fb3f101b-20260903-000401-default-f02-p4-jcs4-1-after-final-undeploy-early-2s</x:v>
      </x:c>
      <x:c r="N378" s="38" t="n">
        <x:v>46267.97553423611</x:v>
      </x:c>
      <x:c r="O378" s="36"/>
      <x:c r="P378" s="43"/>
      <x:c r="Q378" s="43"/>
      <x:c r="R378" s="43"/>
      <x:c r="S378" s="36"/>
      <x:c r="T378" s="44"/>
      <x:c r="U378" s="36" t="n">
        <x:v>27</x:v>
      </x:c>
      <x:c r="V378" s="36" t="n">
        <x:v>0</x:v>
      </x:c>
      <x:c r="W378" s="44"/>
      <x:c r="X378" s="36"/>
      <x:c r="Y378" s="36"/>
      <x:c r="Z378" s="44"/>
      <x:c r="AA378" s="49"/>
      <x:c r="AB378" s="43" t="n">
        <x:v>5</x:v>
      </x:c>
      <x:c r="AC378" s="34"/>
      <x:c r="AD378" s="34"/>
      <x:c r="AE378" s="34" t="str">
        <x:v>article1-unified-v4-2-fb3f101b-20260903-000401-default-f02-p4-jcs4-1-after-final-undeploy-early-2s-thread-dump.txt</x:v>
      </x:c>
      <x:c r="AF378" s="34" t="str">
        <x:v>article1-unified-v4-2-fb3f101b-20260903-000401-default-f02-p4-jcs4-1-after-final-undeploy-early-tomcat-log.txt</x:v>
      </x:c>
      <x:c r="AG378" s="34"/>
      <x:c r="AH378" s="34"/>
      <x:c r="AI378" s="34"/>
    </x:row>
    <x:row r="379">
      <x:c r="A379" s="34" t="str">
        <x:v>article1-unified-v4-2-fb3f101b-20260903-000401-default-f02-p4-jcs4</x:v>
      </x:c>
      <x:c r="B379" s="34" t="str">
        <x:v>default</x:v>
      </x:c>
      <x:c r="C379" s="34" t="str">
        <x:v>jcs4</x:v>
      </x:c>
      <x:c r="D379" s="34" t="str">
        <x:v>jcs4</x:v>
      </x:c>
      <x:c r="E379" s="36" t="n">
        <x:v>2</x:v>
      </x:c>
      <x:c r="F379" s="36" t="n">
        <x:v>2</x:v>
      </x:c>
      <x:c r="G379" s="36" t="n">
        <x:v>4</x:v>
      </x:c>
      <x:c r="H379" s="36" t="n">
        <x:v>1</x:v>
      </x:c>
      <x:c r="I379" s="34" t="str">
        <x:v>afterFinalUndeploy</x:v>
      </x:c>
      <x:c r="J379" s="34" t="str">
        <x:v>after-final-undeploy-final</x:v>
      </x:c>
      <x:c r="K379" s="36" t="n">
        <x:v>2</x:v>
      </x:c>
      <x:c r="L379" s="34" t="str">
        <x:v>final</x:v>
      </x:c>
      <x:c r="M379" s="34" t="str">
        <x:v>article1-unified-v4-2-fb3f101b-20260903-000401-default-f02-p4-jcs4-1-after-final-undeploy-final-10s</x:v>
      </x:c>
      <x:c r="N379" s="38" t="n">
        <x:v>46267.9756953125</x:v>
      </x:c>
      <x:c r="O379" s="36" t="n">
        <x:v>2</x:v>
      </x:c>
      <x:c r="P379" s="43" t="n">
        <x:v>19775488</x:v>
      </x:c>
      <x:c r="Q379" s="43" t="n">
        <x:v>268435456</x:v>
      </x:c>
      <x:c r="R379" s="43" t="n">
        <x:v>436261888</x:v>
      </x:c>
      <x:c r="S379" s="36" t="n">
        <x:v>3</x:v>
      </x:c>
      <x:c r="T379" s="44" t="str">
        <x:v>0x0000000083116bd8  0x0000000083003818  0x000070f5c45f1d70       0         0         0  org.apache.catalina.loader.ParallelWebappClassLoader | 0x0000000083116bd8  0x0000000083003818  0x000070f52c08c760    4410  20990976  20976200  org.apache.catalina.loader.ParallelWebappClassLoader | 0x0000000083116bd8  0x0000000083003818  0x000070f51c117640    4416  20947968  20933240  org.apache.catalina.loader.ParallelWebappClassLoader</x:v>
      </x:c>
      <x:c r="U379" s="36" t="n">
        <x:v>27</x:v>
      </x:c>
      <x:c r="V379" s="36" t="n">
        <x:v>0</x:v>
      </x:c>
      <x:c r="W379" s="44"/>
      <x:c r="X379" s="36" t="n">
        <x:v>2</x:v>
      </x:c>
      <x:c r="Y379" s="36" t="n">
        <x:v>2</x:v>
      </x:c>
      <x:c r="Z379" s="44" t="str">
        <x:v>/jcs4</x:v>
      </x:c>
      <x:c r="AA379" s="45" t="b">
        <x:v>1</x:v>
      </x:c>
      <x:c r="AB379" s="43"/>
      <x:c r="AC379" s="34" t="str">
        <x:v>article1-unified-v4-2-fb3f101b-20260903-000401-default-f02-p4-jcs4-1-after-final-undeploy-final-10s-heap-info.txt</x:v>
      </x:c>
      <x:c r="AD379" s="34" t="str">
        <x:v>article1-unified-v4-2-fb3f101b-20260903-000401-default-f02-p4-jcs4-1-after-final-undeploy-final-10s-classloader-stats.txt</x:v>
      </x:c>
      <x:c r="AE379" s="34" t="str">
        <x:v>article1-unified-v4-2-fb3f101b-20260903-000401-default-f02-p4-jcs4-1-after-final-undeploy-final-10s-thread-dump.txt</x:v>
      </x:c>
      <x:c r="AF379" s="34"/>
      <x:c r="AG379" s="34" t="str">
        <x:v>article1-unified-v4-2-fb3f101b-20260903-000401-default-f02-p4-jcs4-1-after-final-undeploy-final-10s-native-memory.txt</x:v>
      </x:c>
      <x:c r="AH379" s="34" t="str">
        <x:v>article1-unified-v4-2-fb3f101b-20260903-000401-default-f02-p4-jcs4-1-after-final-undeploy-final-10s-class-histogram.txt</x:v>
      </x:c>
      <x:c r="AI379" s="34" t="str">
        <x:v>article1-unified-v4-2-fb3f101b-20260903-000401-default-f02-p4-jcs4-1-after-final-undeploy-tomcat-findleaks.txt</x:v>
      </x:c>
    </x:row>
    <x:row r="380">
      <x:c r="A380" s="34" t="str">
        <x:v>article1-unified-v4-2-fb3f101b-20260903-000401-default-f02-p4-jcs4</x:v>
      </x:c>
      <x:c r="B380" s="34" t="str">
        <x:v>default</x:v>
      </x:c>
      <x:c r="C380" s="34" t="str">
        <x:v>jcs4</x:v>
      </x:c>
      <x:c r="D380" s="34" t="str">
        <x:v>jcs4</x:v>
      </x:c>
      <x:c r="E380" s="36" t="n">
        <x:v>2</x:v>
      </x:c>
      <x:c r="F380" s="36" t="n">
        <x:v>2</x:v>
      </x:c>
      <x:c r="G380" s="36" t="n">
        <x:v>4</x:v>
      </x:c>
      <x:c r="H380" s="36" t="n">
        <x:v>2</x:v>
      </x:c>
      <x:c r="I380" s="34" t="str">
        <x:v>baseline</x:v>
      </x:c>
      <x:c r="J380" s="34" t="str">
        <x:v>cycle-baseline</x:v>
      </x:c>
      <x:c r="K380" s="36" t="n">
        <x:v>0</x:v>
      </x:c>
      <x:c r="L380" s="34" t="str">
        <x:v>baseline</x:v>
      </x:c>
      <x:c r="M380" s="34" t="str">
        <x:v>article1-unified-v4-2-fb3f101b-20260903-000401-default-f02-p4-jcs4-2-baseline</x:v>
      </x:c>
      <x:c r="N380" s="38" t="n">
        <x:v>46267.97574371528</x:v>
      </x:c>
      <x:c r="O380" s="36" t="n">
        <x:v>0</x:v>
      </x:c>
      <x:c r="P380" s="43" t="n">
        <x:v>19775488</x:v>
      </x:c>
      <x:c r="Q380" s="43" t="n">
        <x:v>268435456</x:v>
      </x:c>
      <x:c r="R380" s="43" t="n">
        <x:v>436262912</x:v>
      </x:c>
      <x:c r="S380" s="36" t="n">
        <x:v>3</x:v>
      </x:c>
      <x:c r="T380" s="44" t="str">
        <x:v>0x0000000083116bd8  0x0000000083003818  0x000070f5c45f1d70       0         0         0  org.apache.catalina.loader.ParallelWebappClassLoader | 0x0000000083116bd8  0x0000000083003818  0x000070f52c08c760    4410  20990976  20976200  org.apache.catalina.loader.ParallelWebappClassLoader | 0x0000000083116bd8  0x0000000083003818  0x000070f51c117640    4416  20947968  20933240  org.apache.catalina.loader.ParallelWebappClassLoader</x:v>
      </x:c>
      <x:c r="U380" s="36" t="n">
        <x:v>27</x:v>
      </x:c>
      <x:c r="V380" s="36" t="n">
        <x:v>0</x:v>
      </x:c>
      <x:c r="W380" s="44"/>
      <x:c r="X380" s="36"/>
      <x:c r="Y380" s="36"/>
      <x:c r="Z380" s="44"/>
      <x:c r="AA380" s="49"/>
      <x:c r="AB380" s="43"/>
      <x:c r="AC380" s="34" t="str">
        <x:v>article1-unified-v4-2-fb3f101b-20260903-000401-default-f02-p4-jcs4-2-baseline-heap-info.txt</x:v>
      </x:c>
      <x:c r="AD380" s="34" t="str">
        <x:v>article1-unified-v4-2-fb3f101b-20260903-000401-default-f02-p4-jcs4-2-baseline-classloader-stats.txt</x:v>
      </x:c>
      <x:c r="AE380" s="34" t="str">
        <x:v>article1-unified-v4-2-fb3f101b-20260903-000401-default-f02-p4-jcs4-2-baseline-thread-dump.txt</x:v>
      </x:c>
      <x:c r="AF380" s="34"/>
      <x:c r="AG380" s="34" t="str">
        <x:v>article1-unified-v4-2-fb3f101b-20260903-000401-default-f02-p4-jcs4-2-baseline-native-memory.txt</x:v>
      </x:c>
      <x:c r="AH380" s="34"/>
      <x:c r="AI380" s="34"/>
    </x:row>
    <x:row r="381">
      <x:c r="A381" s="34" t="str">
        <x:v>article1-unified-v4-2-fb3f101b-20260903-000401-default-f02-p4-jcs4</x:v>
      </x:c>
      <x:c r="B381" s="34" t="str">
        <x:v>default</x:v>
      </x:c>
      <x:c r="C381" s="34" t="str">
        <x:v>jcs4</x:v>
      </x:c>
      <x:c r="D381" s="34" t="str">
        <x:v>jcs4</x:v>
      </x:c>
      <x:c r="E381" s="36" t="n">
        <x:v>2</x:v>
      </x:c>
      <x:c r="F381" s="36" t="n">
        <x:v>2</x:v>
      </x:c>
      <x:c r="G381" s="36" t="n">
        <x:v>4</x:v>
      </x:c>
      <x:c r="H381" s="36" t="n">
        <x:v>2</x:v>
      </x:c>
      <x:c r="I381" s="34" t="str">
        <x:v>deployedIdle</x:v>
      </x:c>
      <x:c r="J381" s="34" t="str">
        <x:v>deployed-idle</x:v>
      </x:c>
      <x:c r="K381" s="36" t="n">
        <x:v>0</x:v>
      </x:c>
      <x:c r="L381" s="34" t="str">
        <x:v>initial</x:v>
      </x:c>
      <x:c r="M381" s="34" t="str">
        <x:v>article1-unified-v4-2-fb3f101b-20260903-000401-default-f02-p4-jcs4-2-deployed-idle</x:v>
      </x:c>
      <x:c r="N381" s="38" t="n">
        <x:v>46267.975848043985</x:v>
      </x:c>
      <x:c r="O381" s="36" t="n">
        <x:v>0</x:v>
      </x:c>
      <x:c r="P381" s="43" t="n">
        <x:v>173880320</x:v>
      </x:c>
      <x:c r="Q381" s="43" t="n">
        <x:v>268435456</x:v>
      </x:c>
      <x:c r="R381" s="43" t="n">
        <x:v>468685824</x:v>
      </x:c>
      <x:c r="S381" s="36" t="n">
        <x:v>4</x:v>
      </x:c>
      <x:c r="T381" s="44" t="str">
        <x:v>0x0000000083116bd8  0x0000000083003818  0x000070f5202365c0    4091  19449856  19432352  org.apache.catalina.loader.ParallelWebappClassLoader | 0x0000000083116bd8  0x0000000083003818  0x000070f5c45f1d70       0         0         0  org.apache.catalina.loader.ParallelWebappClassLoader | 0x0000000083116bd8  0x0000000083003818  0x000070f52c08c760    4410  20990976  20976200  org.apache.catalina.loader.ParallelWebappClassLoader | 0x0000000083116bd8  0x0000000083003818  0x000070f51c117640    4416  20947968  20933240  org.apache.catalina.loader.ParallelWebappClassLoader</x:v>
      </x:c>
      <x:c r="U381" s="36" t="n">
        <x:v>27</x:v>
      </x:c>
      <x:c r="V381" s="36" t="n">
        <x:v>0</x:v>
      </x:c>
      <x:c r="W381" s="44"/>
      <x:c r="X381" s="36"/>
      <x:c r="Y381" s="36"/>
      <x:c r="Z381" s="44"/>
      <x:c r="AA381" s="49"/>
      <x:c r="AB381" s="43"/>
      <x:c r="AC381" s="34"/>
      <x:c r="AD381" s="34"/>
      <x:c r="AE381" s="34"/>
      <x:c r="AF381" s="34"/>
      <x:c r="AG381" s="34"/>
      <x:c r="AH381" s="34"/>
      <x:c r="AI381" s="34"/>
    </x:row>
    <x:row r="382">
      <x:c r="A382" s="34" t="str">
        <x:v>article1-unified-v4-2-fb3f101b-20260903-000401-default-f02-p4-jcs4</x:v>
      </x:c>
      <x:c r="B382" s="34" t="str">
        <x:v>default</x:v>
      </x:c>
      <x:c r="C382" s="34" t="str">
        <x:v>jcs4</x:v>
      </x:c>
      <x:c r="D382" s="34" t="str">
        <x:v>jcs4</x:v>
      </x:c>
      <x:c r="E382" s="36" t="n">
        <x:v>2</x:v>
      </x:c>
      <x:c r="F382" s="36" t="n">
        <x:v>2</x:v>
      </x:c>
      <x:c r="G382" s="36" t="n">
        <x:v>4</x:v>
      </x:c>
      <x:c r="H382" s="36" t="n">
        <x:v>2</x:v>
      </x:c>
      <x:c r="I382" s="34" t="str">
        <x:v>loaded</x:v>
      </x:c>
      <x:c r="J382" s="34" t="str">
        <x:v>loaded</x:v>
      </x:c>
      <x:c r="K382" s="36" t="n">
        <x:v>0</x:v>
      </x:c>
      <x:c r="L382" s="34" t="str">
        <x:v>initial</x:v>
      </x:c>
      <x:c r="M382" s="34" t="str">
        <x:v>article1-unified-v4-2-fb3f101b-20260903-000401-default-f02-p4-jcs4-2-loaded</x:v>
      </x:c>
      <x:c r="N382" s="38" t="n">
        <x:v>46267.9759984375</x:v>
      </x:c>
      <x:c r="O382" s="36" t="n">
        <x:v>0</x:v>
      </x:c>
      <x:c r="P382" s="43" t="n">
        <x:v>120423424</x:v>
      </x:c>
      <x:c r="Q382" s="43" t="n">
        <x:v>268435456</x:v>
      </x:c>
      <x:c r="R382" s="43" t="n">
        <x:v>464894976</x:v>
      </x:c>
      <x:c r="S382" s="36" t="n">
        <x:v>4</x:v>
      </x:c>
      <x:c r="T382" s="44" t="str">
        <x:v>0x0000000083116bd8  0x0000000083003818  0x000070f5202365c0    4395  20977664  20949032  org.apache.catalina.loader.ParallelWebappClassLoader | 0x0000000083116bd8  0x0000000083003818  0x000070f5c45f1d70       0         0         0  org.apache.catalina.loader.ParallelWebappClassLoader | 0x0000000083116bd8  0x0000000083003818  0x000070f52c08c760    4410  20990976  20976200  org.apache.catalina.loader.ParallelWebappClassLoader | 0x0000000083116bd8  0x0000000083003818  0x000070f51c117640    4416  20947968  20933240  org.apache.catalina.loader.ParallelWebappClassLoader</x:v>
      </x:c>
      <x:c r="U382" s="36" t="n">
        <x:v>28</x:v>
      </x:c>
      <x:c r="V382" s="36" t="n">
        <x:v>1</x:v>
      </x:c>
      <x:c r="W382" s="44" t="str">
        <x:v>jcs4-thread-pool-event-queue:JCS-ThreadPoolManager-ElementEventQueue-Thread-10#133</x:v>
      </x:c>
      <x:c r="X382" s="36"/>
      <x:c r="Y382" s="36"/>
      <x:c r="Z382" s="44"/>
      <x:c r="AA382" s="49"/>
      <x:c r="AB382" s="43"/>
      <x:c r="AC382" s="34"/>
      <x:c r="AD382" s="34"/>
      <x:c r="AE382" s="34"/>
      <x:c r="AF382" s="34"/>
      <x:c r="AG382" s="34"/>
      <x:c r="AH382" s="34"/>
      <x:c r="AI382" s="34"/>
    </x:row>
    <x:row r="383">
      <x:c r="A383" s="34" t="str">
        <x:v>article1-unified-v4-2-fb3f101b-20260903-000401-default-f02-p4-jcs4</x:v>
      </x:c>
      <x:c r="B383" s="34" t="str">
        <x:v>default</x:v>
      </x:c>
      <x:c r="C383" s="34" t="str">
        <x:v>jcs4</x:v>
      </x:c>
      <x:c r="D383" s="34" t="str">
        <x:v>jcs4</x:v>
      </x:c>
      <x:c r="E383" s="36" t="n">
        <x:v>2</x:v>
      </x:c>
      <x:c r="F383" s="36" t="n">
        <x:v>2</x:v>
      </x:c>
      <x:c r="G383" s="36" t="n">
        <x:v>4</x:v>
      </x:c>
      <x:c r="H383" s="36" t="n">
        <x:v>2</x:v>
      </x:c>
      <x:c r="I383" s="34" t="str">
        <x:v>afterUndeployEarly</x:v>
      </x:c>
      <x:c r="J383" s="34" t="str">
        <x:v>after-undeploy-early</x:v>
      </x:c>
      <x:c r="K383" s="36" t="n">
        <x:v>1</x:v>
      </x:c>
      <x:c r="L383" s="34" t="str">
        <x:v>early</x:v>
      </x:c>
      <x:c r="M383" s="34" t="str">
        <x:v>article1-unified-v4-2-fb3f101b-20260903-000401-default-f02-p4-jcs4-2-after-undeploy-early-2s</x:v>
      </x:c>
      <x:c r="N383" s="38" t="n">
        <x:v>46267.97608209491</x:v>
      </x:c>
      <x:c r="O383" s="36"/>
      <x:c r="P383" s="43"/>
      <x:c r="Q383" s="43"/>
      <x:c r="R383" s="43"/>
      <x:c r="S383" s="36"/>
      <x:c r="T383" s="44"/>
      <x:c r="U383" s="36" t="n">
        <x:v>27</x:v>
      </x:c>
      <x:c r="V383" s="36" t="n">
        <x:v>0</x:v>
      </x:c>
      <x:c r="W383" s="44"/>
      <x:c r="X383" s="36"/>
      <x:c r="Y383" s="36"/>
      <x:c r="Z383" s="44"/>
      <x:c r="AA383" s="49"/>
      <x:c r="AB383" s="43" t="n">
        <x:v>5</x:v>
      </x:c>
      <x:c r="AC383" s="34"/>
      <x:c r="AD383" s="34"/>
      <x:c r="AE383" s="34" t="str">
        <x:v>article1-unified-v4-2-fb3f101b-20260903-000401-default-f02-p4-jcs4-2-after-undeploy-early-2s-thread-dump.txt</x:v>
      </x:c>
      <x:c r="AF383" s="34" t="str">
        <x:v>article1-unified-v4-2-fb3f101b-20260903-000401-default-f02-p4-jcs4-2-after-undeploy-early-tomcat-log.txt</x:v>
      </x:c>
      <x:c r="AG383" s="34"/>
      <x:c r="AH383" s="34"/>
      <x:c r="AI383" s="34"/>
    </x:row>
    <x:row r="384">
      <x:c r="A384" s="34" t="str">
        <x:v>article1-unified-v4-2-fb3f101b-20260903-000401-default-f02-p4-jcs4</x:v>
      </x:c>
      <x:c r="B384" s="34" t="str">
        <x:v>default</x:v>
      </x:c>
      <x:c r="C384" s="34" t="str">
        <x:v>jcs4</x:v>
      </x:c>
      <x:c r="D384" s="34" t="str">
        <x:v>jcs4</x:v>
      </x:c>
      <x:c r="E384" s="36" t="n">
        <x:v>2</x:v>
      </x:c>
      <x:c r="F384" s="36" t="n">
        <x:v>2</x:v>
      </x:c>
      <x:c r="G384" s="36" t="n">
        <x:v>4</x:v>
      </x:c>
      <x:c r="H384" s="36" t="n">
        <x:v>2</x:v>
      </x:c>
      <x:c r="I384" s="34" t="str">
        <x:v>afterUndeploy</x:v>
      </x:c>
      <x:c r="J384" s="34" t="str">
        <x:v>after-undeploy-final</x:v>
      </x:c>
      <x:c r="K384" s="36" t="n">
        <x:v>1</x:v>
      </x:c>
      <x:c r="L384" s="34" t="str">
        <x:v>final</x:v>
      </x:c>
      <x:c r="M384" s="34" t="str">
        <x:v>article1-unified-v4-2-fb3f101b-20260903-000401-default-f02-p4-jcs4-2-after-undeploy-final-10s</x:v>
      </x:c>
      <x:c r="N384" s="38" t="n">
        <x:v>46267.97624144676</x:v>
      </x:c>
      <x:c r="O384" s="36" t="n">
        <x:v>2</x:v>
      </x:c>
      <x:c r="P384" s="43" t="n">
        <x:v>15830016</x:v>
      </x:c>
      <x:c r="Q384" s="43" t="n">
        <x:v>268435456</x:v>
      </x:c>
      <x:c r="R384" s="43" t="n">
        <x:v>423603200</x:v>
      </x:c>
      <x:c r="S384" s="36" t="n">
        <x:v>2</x:v>
      </x:c>
      <x:c r="T384" s="44" t="str">
        <x:v>0x0000000083116bd8  0x0000000083003818  0x000070f5202365c0    4409  20994048  20984104  org.apache.catalina.loader.ParallelWebappClassLoader | 0x0000000083116bd8  0x0000000083003818  0x000070f5c45f1d70       0         0         0  org.apache.catalina.loader.ParallelWebappClassLoader</x:v>
      </x:c>
      <x:c r="U384" s="36" t="n">
        <x:v>27</x:v>
      </x:c>
      <x:c r="V384" s="36" t="n">
        <x:v>0</x:v>
      </x:c>
      <x:c r="W384" s="44"/>
      <x:c r="X384" s="36" t="n">
        <x:v>1</x:v>
      </x:c>
      <x:c r="Y384" s="36" t="n">
        <x:v>1</x:v>
      </x:c>
      <x:c r="Z384" s="44" t="str">
        <x:v>/jcs4</x:v>
      </x:c>
      <x:c r="AA384" s="45" t="b">
        <x:v>1</x:v>
      </x:c>
      <x:c r="AB384" s="43"/>
      <x:c r="AC384" s="34" t="str">
        <x:v>article1-unified-v4-2-fb3f101b-20260903-000401-default-f02-p4-jcs4-2-after-undeploy-final-10s-heap-info.txt</x:v>
      </x:c>
      <x:c r="AD384" s="34" t="str">
        <x:v>article1-unified-v4-2-fb3f101b-20260903-000401-default-f02-p4-jcs4-2-after-undeploy-final-10s-classloader-stats.txt</x:v>
      </x:c>
      <x:c r="AE384" s="34" t="str">
        <x:v>article1-unified-v4-2-fb3f101b-20260903-000401-default-f02-p4-jcs4-2-after-undeploy-final-10s-thread-dump.txt</x:v>
      </x:c>
      <x:c r="AF384" s="34"/>
      <x:c r="AG384" s="34" t="str">
        <x:v>article1-unified-v4-2-fb3f101b-20260903-000401-default-f02-p4-jcs4-2-after-undeploy-final-10s-native-memory.txt</x:v>
      </x:c>
      <x:c r="AH384" s="34" t="str">
        <x:v>article1-unified-v4-2-fb3f101b-20260903-000401-default-f02-p4-jcs4-2-after-undeploy-final-10s-class-histogram.txt</x:v>
      </x:c>
      <x:c r="AI384" s="34" t="str">
        <x:v>article1-unified-v4-2-fb3f101b-20260903-000401-default-f02-p4-jcs4-2-after-undeploy-tomcat-findleaks.txt</x:v>
      </x:c>
    </x:row>
    <x:row r="385">
      <x:c r="A385" s="34" t="str">
        <x:v>article1-unified-v4-2-fb3f101b-20260903-000401-default-f02-p4-jcs4</x:v>
      </x:c>
      <x:c r="B385" s="34" t="str">
        <x:v>default</x:v>
      </x:c>
      <x:c r="C385" s="34" t="str">
        <x:v>jcs4</x:v>
      </x:c>
      <x:c r="D385" s="34" t="str">
        <x:v>jcs4</x:v>
      </x:c>
      <x:c r="E385" s="36" t="n">
        <x:v>2</x:v>
      </x:c>
      <x:c r="F385" s="36" t="n">
        <x:v>2</x:v>
      </x:c>
      <x:c r="G385" s="36" t="n">
        <x:v>4</x:v>
      </x:c>
      <x:c r="H385" s="36" t="n">
        <x:v>2</x:v>
      </x:c>
      <x:c r="I385" s="34" t="str">
        <x:v>redeployedLoaded</x:v>
      </x:c>
      <x:c r="J385" s="34" t="str">
        <x:v>redeployed-loaded</x:v>
      </x:c>
      <x:c r="K385" s="36" t="n">
        <x:v>0</x:v>
      </x:c>
      <x:c r="L385" s="34" t="str">
        <x:v>redeploy</x:v>
      </x:c>
      <x:c r="M385" s="34" t="str">
        <x:v>article1-unified-v4-2-fb3f101b-20260903-000401-default-f02-p4-jcs4-2-redeployed-loaded</x:v>
      </x:c>
      <x:c r="N385" s="38" t="n">
        <x:v>46267.976497986114</x:v>
      </x:c>
      <x:c r="O385" s="36" t="n">
        <x:v>0</x:v>
      </x:c>
      <x:c r="P385" s="43" t="n">
        <x:v>123616256</x:v>
      </x:c>
      <x:c r="Q385" s="43" t="n">
        <x:v>268435456</x:v>
      </x:c>
      <x:c r="R385" s="43" t="n">
        <x:v>441493504</x:v>
      </x:c>
      <x:c r="S385" s="36" t="n">
        <x:v>3</x:v>
      </x:c>
      <x:c r="T385" s="44" t="str">
        <x:v>0x0000000083116bd8  0x0000000083003818  0x000070f5202365c0    4409  20994048  20984104  org.apache.catalina.loader.ParallelWebappClassLoader | 0x0000000083116bd8  0x0000000083003818  0x000070f540002850    4393  20936704  20920144  org.apache.catalina.loader.ParallelWebappClassLoader | 0x0000000083116bd8  0x0000000083003818  0x000070f5c45f1d70       0         0         0  org.apache.catalina.loader.ParallelWebappClassLoader</x:v>
      </x:c>
      <x:c r="U385" s="36" t="n">
        <x:v>28</x:v>
      </x:c>
      <x:c r="V385" s="36" t="n">
        <x:v>1</x:v>
      </x:c>
      <x:c r="W385" s="44" t="str">
        <x:v>jcs4-thread-pool-event-queue:JCS-ThreadPoolManager-ElementEventQueue-Thread-13#176</x:v>
      </x:c>
      <x:c r="X385" s="36"/>
      <x:c r="Y385" s="36"/>
      <x:c r="Z385" s="44"/>
      <x:c r="AA385" s="49"/>
      <x:c r="AB385" s="43"/>
      <x:c r="AC385" s="34"/>
      <x:c r="AD385" s="34"/>
      <x:c r="AE385" s="34"/>
      <x:c r="AF385" s="34"/>
      <x:c r="AG385" s="34"/>
      <x:c r="AH385" s="34"/>
      <x:c r="AI385" s="34"/>
    </x:row>
    <x:row r="386">
      <x:c r="A386" s="34" t="str">
        <x:v>article1-unified-v4-2-fb3f101b-20260903-000401-default-f02-p4-jcs4</x:v>
      </x:c>
      <x:c r="B386" s="34" t="str">
        <x:v>default</x:v>
      </x:c>
      <x:c r="C386" s="34" t="str">
        <x:v>jcs4</x:v>
      </x:c>
      <x:c r="D386" s="34" t="str">
        <x:v>jcs4</x:v>
      </x:c>
      <x:c r="E386" s="36" t="n">
        <x:v>2</x:v>
      </x:c>
      <x:c r="F386" s="36" t="n">
        <x:v>2</x:v>
      </x:c>
      <x:c r="G386" s="36" t="n">
        <x:v>4</x:v>
      </x:c>
      <x:c r="H386" s="36" t="n">
        <x:v>2</x:v>
      </x:c>
      <x:c r="I386" s="34" t="str">
        <x:v>afterFinalUndeployEarly</x:v>
      </x:c>
      <x:c r="J386" s="34" t="str">
        <x:v>after-final-undeploy-early</x:v>
      </x:c>
      <x:c r="K386" s="36" t="n">
        <x:v>2</x:v>
      </x:c>
      <x:c r="L386" s="34" t="str">
        <x:v>early</x:v>
      </x:c>
      <x:c r="M386" s="34" t="str">
        <x:v>article1-unified-v4-2-fb3f101b-20260903-000401-default-f02-p4-jcs4-2-after-final-undeploy-early-2s</x:v>
      </x:c>
      <x:c r="N386" s="38" t="n">
        <x:v>46267.976581967596</x:v>
      </x:c>
      <x:c r="O386" s="36"/>
      <x:c r="P386" s="43"/>
      <x:c r="Q386" s="43"/>
      <x:c r="R386" s="43"/>
      <x:c r="S386" s="36"/>
      <x:c r="T386" s="44"/>
      <x:c r="U386" s="36" t="n">
        <x:v>27</x:v>
      </x:c>
      <x:c r="V386" s="36" t="n">
        <x:v>0</x:v>
      </x:c>
      <x:c r="W386" s="44"/>
      <x:c r="X386" s="36"/>
      <x:c r="Y386" s="36"/>
      <x:c r="Z386" s="44"/>
      <x:c r="AA386" s="49"/>
      <x:c r="AB386" s="43" t="n">
        <x:v>5</x:v>
      </x:c>
      <x:c r="AC386" s="34"/>
      <x:c r="AD386" s="34"/>
      <x:c r="AE386" s="34" t="str">
        <x:v>article1-unified-v4-2-fb3f101b-20260903-000401-default-f02-p4-jcs4-2-after-final-undeploy-early-2s-thread-dump.txt</x:v>
      </x:c>
      <x:c r="AF386" s="34" t="str">
        <x:v>article1-unified-v4-2-fb3f101b-20260903-000401-default-f02-p4-jcs4-2-after-final-undeploy-early-tomcat-log.txt</x:v>
      </x:c>
      <x:c r="AG386" s="34"/>
      <x:c r="AH386" s="34"/>
      <x:c r="AI386" s="34"/>
    </x:row>
    <x:row r="387">
      <x:c r="A387" s="34" t="str">
        <x:v>article1-unified-v4-2-fb3f101b-20260903-000401-default-f02-p4-jcs4</x:v>
      </x:c>
      <x:c r="B387" s="34" t="str">
        <x:v>default</x:v>
      </x:c>
      <x:c r="C387" s="34" t="str">
        <x:v>jcs4</x:v>
      </x:c>
      <x:c r="D387" s="34" t="str">
        <x:v>jcs4</x:v>
      </x:c>
      <x:c r="E387" s="36" t="n">
        <x:v>2</x:v>
      </x:c>
      <x:c r="F387" s="36" t="n">
        <x:v>2</x:v>
      </x:c>
      <x:c r="G387" s="36" t="n">
        <x:v>4</x:v>
      </x:c>
      <x:c r="H387" s="36" t="n">
        <x:v>2</x:v>
      </x:c>
      <x:c r="I387" s="34" t="str">
        <x:v>afterFinalUndeploy</x:v>
      </x:c>
      <x:c r="J387" s="34" t="str">
        <x:v>after-final-undeploy-final</x:v>
      </x:c>
      <x:c r="K387" s="36" t="n">
        <x:v>2</x:v>
      </x:c>
      <x:c r="L387" s="34" t="str">
        <x:v>final</x:v>
      </x:c>
      <x:c r="M387" s="34" t="str">
        <x:v>article1-unified-v4-2-fb3f101b-20260903-000401-default-f02-p4-jcs4-2-after-final-undeploy-final-10s</x:v>
      </x:c>
      <x:c r="N387" s="38" t="n">
        <x:v>46267.976740798615</x:v>
      </x:c>
      <x:c r="O387" s="36" t="n">
        <x:v>2</x:v>
      </x:c>
      <x:c r="P387" s="43" t="n">
        <x:v>15741952</x:v>
      </x:c>
      <x:c r="Q387" s="43" t="n">
        <x:v>268435456</x:v>
      </x:c>
      <x:c r="R387" s="43" t="n">
        <x:v>419368960</x:v>
      </x:c>
      <x:c r="S387" s="36" t="n">
        <x:v>2</x:v>
      </x:c>
      <x:c r="T387" s="44" t="str">
        <x:v>0x0000000083116bd8  0x0000000083003818  0x000070f540002850    4407  20969472  20955536  org.apache.catalina.loader.ParallelWebappClassLoader | 0x0000000083116bd8  0x0000000083003818  0x000070f5c45f1d70       0         0         0  org.apache.catalina.loader.ParallelWebappClassLoader</x:v>
      </x:c>
      <x:c r="U387" s="36" t="n">
        <x:v>27</x:v>
      </x:c>
      <x:c r="V387" s="36" t="n">
        <x:v>0</x:v>
      </x:c>
      <x:c r="W387" s="44"/>
      <x:c r="X387" s="36" t="n">
        <x:v>1</x:v>
      </x:c>
      <x:c r="Y387" s="36" t="n">
        <x:v>1</x:v>
      </x:c>
      <x:c r="Z387" s="44" t="str">
        <x:v>/jcs4</x:v>
      </x:c>
      <x:c r="AA387" s="45" t="b">
        <x:v>1</x:v>
      </x:c>
      <x:c r="AB387" s="43"/>
      <x:c r="AC387" s="34" t="str">
        <x:v>article1-unified-v4-2-fb3f101b-20260903-000401-default-f02-p4-jcs4-2-after-final-undeploy-final-10s-heap-info.txt</x:v>
      </x:c>
      <x:c r="AD387" s="34" t="str">
        <x:v>article1-unified-v4-2-fb3f101b-20260903-000401-default-f02-p4-jcs4-2-after-final-undeploy-final-10s-classloader-stats.txt</x:v>
      </x:c>
      <x:c r="AE387" s="34" t="str">
        <x:v>article1-unified-v4-2-fb3f101b-20260903-000401-default-f02-p4-jcs4-2-after-final-undeploy-final-10s-thread-dump.txt</x:v>
      </x:c>
      <x:c r="AF387" s="34"/>
      <x:c r="AG387" s="34" t="str">
        <x:v>article1-unified-v4-2-fb3f101b-20260903-000401-default-f02-p4-jcs4-2-after-final-undeploy-final-10s-native-memory.txt</x:v>
      </x:c>
      <x:c r="AH387" s="34" t="str">
        <x:v>article1-unified-v4-2-fb3f101b-20260903-000401-default-f02-p4-jcs4-2-after-final-undeploy-final-10s-class-histogram.txt</x:v>
      </x:c>
      <x:c r="AI387" s="34" t="str">
        <x:v>article1-unified-v4-2-fb3f101b-20260903-000401-default-f02-p4-jcs4-2-after-final-undeploy-tomcat-findleaks.txt</x:v>
      </x:c>
    </x:row>
    <x:row r="388">
      <x:c r="A388" s="34" t="str">
        <x:v>article1-unified-v4-2-fb3f101b-20260903-000401-default-f02-p4-jcs4</x:v>
      </x:c>
      <x:c r="B388" s="34" t="str">
        <x:v>default</x:v>
      </x:c>
      <x:c r="C388" s="34" t="str">
        <x:v>jcs4</x:v>
      </x:c>
      <x:c r="D388" s="34" t="str">
        <x:v>jcs4</x:v>
      </x:c>
      <x:c r="E388" s="36" t="n">
        <x:v>2</x:v>
      </x:c>
      <x:c r="F388" s="36" t="n">
        <x:v>2</x:v>
      </x:c>
      <x:c r="G388" s="36" t="n">
        <x:v>4</x:v>
      </x:c>
      <x:c r="H388" s="36" t="n">
        <x:v>3</x:v>
      </x:c>
      <x:c r="I388" s="34" t="str">
        <x:v>baseline</x:v>
      </x:c>
      <x:c r="J388" s="34" t="str">
        <x:v>cycle-baseline</x:v>
      </x:c>
      <x:c r="K388" s="36" t="n">
        <x:v>0</x:v>
      </x:c>
      <x:c r="L388" s="34" t="str">
        <x:v>baseline</x:v>
      </x:c>
      <x:c r="M388" s="34" t="str">
        <x:v>article1-unified-v4-2-fb3f101b-20260903-000401-default-f02-p4-jcs4-3-baseline</x:v>
      </x:c>
      <x:c r="N388" s="38" t="n">
        <x:v>46267.97678689815</x:v>
      </x:c>
      <x:c r="O388" s="36" t="n">
        <x:v>0</x:v>
      </x:c>
      <x:c r="P388" s="43" t="n">
        <x:v>15755264</x:v>
      </x:c>
      <x:c r="Q388" s="43" t="n">
        <x:v>268435456</x:v>
      </x:c>
      <x:c r="R388" s="43" t="n">
        <x:v>419368960</x:v>
      </x:c>
      <x:c r="S388" s="36" t="n">
        <x:v>2</x:v>
      </x:c>
      <x:c r="T388" s="44" t="str">
        <x:v>0x0000000083116bd8  0x0000000083003818  0x000070f540002850    4407  20969472  20955536  org.apache.catalina.loader.ParallelWebappClassLoader | 0x0000000083116bd8  0x0000000083003818  0x000070f5c45f1d70       0         0         0  org.apache.catalina.loader.ParallelWebappClassLoader</x:v>
      </x:c>
      <x:c r="U388" s="36" t="n">
        <x:v>27</x:v>
      </x:c>
      <x:c r="V388" s="36" t="n">
        <x:v>0</x:v>
      </x:c>
      <x:c r="W388" s="44"/>
      <x:c r="X388" s="36"/>
      <x:c r="Y388" s="36"/>
      <x:c r="Z388" s="44"/>
      <x:c r="AA388" s="49"/>
      <x:c r="AB388" s="43"/>
      <x:c r="AC388" s="34" t="str">
        <x:v>article1-unified-v4-2-fb3f101b-20260903-000401-default-f02-p4-jcs4-3-baseline-heap-info.txt</x:v>
      </x:c>
      <x:c r="AD388" s="34" t="str">
        <x:v>article1-unified-v4-2-fb3f101b-20260903-000401-default-f02-p4-jcs4-3-baseline-classloader-stats.txt</x:v>
      </x:c>
      <x:c r="AE388" s="34" t="str">
        <x:v>article1-unified-v4-2-fb3f101b-20260903-000401-default-f02-p4-jcs4-3-baseline-thread-dump.txt</x:v>
      </x:c>
      <x:c r="AF388" s="34"/>
      <x:c r="AG388" s="34" t="str">
        <x:v>article1-unified-v4-2-fb3f101b-20260903-000401-default-f02-p4-jcs4-3-baseline-native-memory.txt</x:v>
      </x:c>
      <x:c r="AH388" s="34"/>
      <x:c r="AI388" s="34"/>
    </x:row>
    <x:row r="389">
      <x:c r="A389" s="34" t="str">
        <x:v>article1-unified-v4-2-fb3f101b-20260903-000401-default-f02-p4-jcs4</x:v>
      </x:c>
      <x:c r="B389" s="34" t="str">
        <x:v>default</x:v>
      </x:c>
      <x:c r="C389" s="34" t="str">
        <x:v>jcs4</x:v>
      </x:c>
      <x:c r="D389" s="34" t="str">
        <x:v>jcs4</x:v>
      </x:c>
      <x:c r="E389" s="36" t="n">
        <x:v>2</x:v>
      </x:c>
      <x:c r="F389" s="36" t="n">
        <x:v>2</x:v>
      </x:c>
      <x:c r="G389" s="36" t="n">
        <x:v>4</x:v>
      </x:c>
      <x:c r="H389" s="36" t="n">
        <x:v>3</x:v>
      </x:c>
      <x:c r="I389" s="34" t="str">
        <x:v>deployedIdle</x:v>
      </x:c>
      <x:c r="J389" s="34" t="str">
        <x:v>deployed-idle</x:v>
      </x:c>
      <x:c r="K389" s="36" t="n">
        <x:v>0</x:v>
      </x:c>
      <x:c r="L389" s="34" t="str">
        <x:v>initial</x:v>
      </x:c>
      <x:c r="M389" s="34" t="str">
        <x:v>article1-unified-v4-2-fb3f101b-20260903-000401-default-f02-p4-jcs4-3-deployed-idle</x:v>
      </x:c>
      <x:c r="N389" s="38" t="n">
        <x:v>46267.9768959838</x:v>
      </x:c>
      <x:c r="O389" s="36" t="n">
        <x:v>0</x:v>
      </x:c>
      <x:c r="P389" s="43" t="n">
        <x:v>166055936</x:v>
      </x:c>
      <x:c r="Q389" s="43" t="n">
        <x:v>268435456</x:v>
      </x:c>
      <x:c r="R389" s="43" t="n">
        <x:v>440424448</x:v>
      </x:c>
      <x:c r="S389" s="36" t="n">
        <x:v>3</x:v>
      </x:c>
      <x:c r="T389" s="44" t="str">
        <x:v>0x0000000083116bd8  0x0000000083003818  0x000070f540002850    4407  20969472  20955536  org.apache.catalina.loader.ParallelWebappClassLoader | 0x0000000083116bd8  0x0000000083003818  0x000070f50c9cdaa0    4091  19441664  19437600  org.apache.catalina.loader.ParallelWebappClassLoader | 0x0000000083116bd8  0x0000000083003818  0x000070f5c45f1d70       0         0         0  org.apache.catalina.loader.ParallelWebappClassLoader</x:v>
      </x:c>
      <x:c r="U389" s="36" t="n">
        <x:v>27</x:v>
      </x:c>
      <x:c r="V389" s="36" t="n">
        <x:v>0</x:v>
      </x:c>
      <x:c r="W389" s="44"/>
      <x:c r="X389" s="36"/>
      <x:c r="Y389" s="36"/>
      <x:c r="Z389" s="44"/>
      <x:c r="AA389" s="49"/>
      <x:c r="AB389" s="43"/>
      <x:c r="AC389" s="34"/>
      <x:c r="AD389" s="34"/>
      <x:c r="AE389" s="34"/>
      <x:c r="AF389" s="34"/>
      <x:c r="AG389" s="34"/>
      <x:c r="AH389" s="34"/>
      <x:c r="AI389" s="34"/>
    </x:row>
    <x:row r="390">
      <x:c r="A390" s="34" t="str">
        <x:v>article1-unified-v4-2-fb3f101b-20260903-000401-default-f02-p4-jcs4</x:v>
      </x:c>
      <x:c r="B390" s="34" t="str">
        <x:v>default</x:v>
      </x:c>
      <x:c r="C390" s="34" t="str">
        <x:v>jcs4</x:v>
      </x:c>
      <x:c r="D390" s="34" t="str">
        <x:v>jcs4</x:v>
      </x:c>
      <x:c r="E390" s="36" t="n">
        <x:v>2</x:v>
      </x:c>
      <x:c r="F390" s="36" t="n">
        <x:v>2</x:v>
      </x:c>
      <x:c r="G390" s="36" t="n">
        <x:v>4</x:v>
      </x:c>
      <x:c r="H390" s="36" t="n">
        <x:v>3</x:v>
      </x:c>
      <x:c r="I390" s="34" t="str">
        <x:v>loaded</x:v>
      </x:c>
      <x:c r="J390" s="34" t="str">
        <x:v>loaded</x:v>
      </x:c>
      <x:c r="K390" s="36" t="n">
        <x:v>0</x:v>
      </x:c>
      <x:c r="L390" s="34" t="str">
        <x:v>initial</x:v>
      </x:c>
      <x:c r="M390" s="34" t="str">
        <x:v>article1-unified-v4-2-fb3f101b-20260903-000401-default-f02-p4-jcs4-3-loaded</x:v>
      </x:c>
      <x:c r="N390" s="38" t="n">
        <x:v>46267.97704509259</x:v>
      </x:c>
      <x:c r="O390" s="36" t="n">
        <x:v>0</x:v>
      </x:c>
      <x:c r="P390" s="43" t="n">
        <x:v>105566208</x:v>
      </x:c>
      <x:c r="Q390" s="43" t="n">
        <x:v>268435456</x:v>
      </x:c>
      <x:c r="R390" s="43" t="n">
        <x:v>443588608</x:v>
      </x:c>
      <x:c r="S390" s="36" t="n">
        <x:v>3</x:v>
      </x:c>
      <x:c r="T390" s="44" t="str">
        <x:v>0x0000000083116bd8  0x0000000083003818  0x000070f540002850    4407  20969472  20955536  org.apache.catalina.loader.ParallelWebappClassLoader | 0x0000000083116bd8  0x0000000083003818  0x000070f50c9cdaa0    4396  20981760  20960376  org.apache.catalina.loader.ParallelWebappClassLoader | 0x0000000083116bd8  0x0000000083003818  0x000070f5c45f1d70       0         0         0  org.apache.catalina.loader.ParallelWebappClassLoader</x:v>
      </x:c>
      <x:c r="U390" s="36" t="n">
        <x:v>28</x:v>
      </x:c>
      <x:c r="V390" s="36" t="n">
        <x:v>1</x:v>
      </x:c>
      <x:c r="W390" s="44" t="str">
        <x:v>jcs4-thread-pool-event-queue:JCS-ThreadPoolManager-ElementEventQueue-Thread-16#218</x:v>
      </x:c>
      <x:c r="X390" s="36"/>
      <x:c r="Y390" s="36"/>
      <x:c r="Z390" s="44"/>
      <x:c r="AA390" s="49"/>
      <x:c r="AB390" s="43"/>
      <x:c r="AC390" s="34"/>
      <x:c r="AD390" s="34"/>
      <x:c r="AE390" s="34"/>
      <x:c r="AF390" s="34"/>
      <x:c r="AG390" s="34"/>
      <x:c r="AH390" s="34"/>
      <x:c r="AI390" s="34"/>
    </x:row>
    <x:row r="391">
      <x:c r="A391" s="34" t="str">
        <x:v>article1-unified-v4-2-fb3f101b-20260903-000401-default-f02-p4-jcs4</x:v>
      </x:c>
      <x:c r="B391" s="34" t="str">
        <x:v>default</x:v>
      </x:c>
      <x:c r="C391" s="34" t="str">
        <x:v>jcs4</x:v>
      </x:c>
      <x:c r="D391" s="34" t="str">
        <x:v>jcs4</x:v>
      </x:c>
      <x:c r="E391" s="36" t="n">
        <x:v>2</x:v>
      </x:c>
      <x:c r="F391" s="36" t="n">
        <x:v>2</x:v>
      </x:c>
      <x:c r="G391" s="36" t="n">
        <x:v>4</x:v>
      </x:c>
      <x:c r="H391" s="36" t="n">
        <x:v>3</x:v>
      </x:c>
      <x:c r="I391" s="34" t="str">
        <x:v>afterUndeployEarly</x:v>
      </x:c>
      <x:c r="J391" s="34" t="str">
        <x:v>after-undeploy-early</x:v>
      </x:c>
      <x:c r="K391" s="36" t="n">
        <x:v>1</x:v>
      </x:c>
      <x:c r="L391" s="34" t="str">
        <x:v>early</x:v>
      </x:c>
      <x:c r="M391" s="34" t="str">
        <x:v>article1-unified-v4-2-fb3f101b-20260903-000401-default-f02-p4-jcs4-3-after-undeploy-early-2s</x:v>
      </x:c>
      <x:c r="N391" s="38" t="n">
        <x:v>46267.97713407408</x:v>
      </x:c>
      <x:c r="O391" s="36"/>
      <x:c r="P391" s="43"/>
      <x:c r="Q391" s="43"/>
      <x:c r="R391" s="43"/>
      <x:c r="S391" s="36"/>
      <x:c r="T391" s="44"/>
      <x:c r="U391" s="36" t="n">
        <x:v>27</x:v>
      </x:c>
      <x:c r="V391" s="36" t="n">
        <x:v>0</x:v>
      </x:c>
      <x:c r="W391" s="44"/>
      <x:c r="X391" s="36"/>
      <x:c r="Y391" s="36"/>
      <x:c r="Z391" s="44"/>
      <x:c r="AA391" s="49"/>
      <x:c r="AB391" s="43" t="n">
        <x:v>5</x:v>
      </x:c>
      <x:c r="AC391" s="34"/>
      <x:c r="AD391" s="34"/>
      <x:c r="AE391" s="34" t="str">
        <x:v>article1-unified-v4-2-fb3f101b-20260903-000401-default-f02-p4-jcs4-3-after-undeploy-early-2s-thread-dump.txt</x:v>
      </x:c>
      <x:c r="AF391" s="34" t="str">
        <x:v>article1-unified-v4-2-fb3f101b-20260903-000401-default-f02-p4-jcs4-3-after-undeploy-early-tomcat-log.txt</x:v>
      </x:c>
      <x:c r="AG391" s="34"/>
      <x:c r="AH391" s="34"/>
      <x:c r="AI391" s="34"/>
    </x:row>
    <x:row r="392">
      <x:c r="A392" s="34" t="str">
        <x:v>article1-unified-v4-2-fb3f101b-20260903-000401-default-f02-p4-jcs4</x:v>
      </x:c>
      <x:c r="B392" s="34" t="str">
        <x:v>default</x:v>
      </x:c>
      <x:c r="C392" s="34" t="str">
        <x:v>jcs4</x:v>
      </x:c>
      <x:c r="D392" s="34" t="str">
        <x:v>jcs4</x:v>
      </x:c>
      <x:c r="E392" s="36" t="n">
        <x:v>2</x:v>
      </x:c>
      <x:c r="F392" s="36" t="n">
        <x:v>2</x:v>
      </x:c>
      <x:c r="G392" s="36" t="n">
        <x:v>4</x:v>
      </x:c>
      <x:c r="H392" s="36" t="n">
        <x:v>3</x:v>
      </x:c>
      <x:c r="I392" s="34" t="str">
        <x:v>afterUndeploy</x:v>
      </x:c>
      <x:c r="J392" s="34" t="str">
        <x:v>after-undeploy-final</x:v>
      </x:c>
      <x:c r="K392" s="36" t="n">
        <x:v>1</x:v>
      </x:c>
      <x:c r="L392" s="34" t="str">
        <x:v>final</x:v>
      </x:c>
      <x:c r="M392" s="34" t="str">
        <x:v>article1-unified-v4-2-fb3f101b-20260903-000401-default-f02-p4-jcs4-3-after-undeploy-final-10s</x:v>
      </x:c>
      <x:c r="N392" s="38" t="n">
        <x:v>46267.97729756944</x:v>
      </x:c>
      <x:c r="O392" s="36" t="n">
        <x:v>2</x:v>
      </x:c>
      <x:c r="P392" s="43" t="n">
        <x:v>15767552</x:v>
      </x:c>
      <x:c r="Q392" s="43" t="n">
        <x:v>268435456</x:v>
      </x:c>
      <x:c r="R392" s="43" t="n">
        <x:v>425585664</x:v>
      </x:c>
      <x:c r="S392" s="36" t="n">
        <x:v>2</x:v>
      </x:c>
      <x:c r="T392" s="44" t="str">
        <x:v>0x0000000083116bd8  0x0000000083003818  0x000070f50c9cdaa0    4410  21014528  20995760  org.apache.catalina.loader.ParallelWebappClassLoader | 0x0000000083116bd8  0x0000000083003818  0x000070f5c45f1d70       0         0         0  org.apache.catalina.loader.ParallelWebappClassLoader</x:v>
      </x:c>
      <x:c r="U392" s="36" t="n">
        <x:v>27</x:v>
      </x:c>
      <x:c r="V392" s="36" t="n">
        <x:v>0</x:v>
      </x:c>
      <x:c r="W392" s="44"/>
      <x:c r="X392" s="36" t="n">
        <x:v>1</x:v>
      </x:c>
      <x:c r="Y392" s="36" t="n">
        <x:v>1</x:v>
      </x:c>
      <x:c r="Z392" s="44" t="str">
        <x:v>/jcs4</x:v>
      </x:c>
      <x:c r="AA392" s="45" t="b">
        <x:v>1</x:v>
      </x:c>
      <x:c r="AB392" s="43"/>
      <x:c r="AC392" s="34" t="str">
        <x:v>article1-unified-v4-2-fb3f101b-20260903-000401-default-f02-p4-jcs4-3-after-undeploy-final-10s-heap-info.txt</x:v>
      </x:c>
      <x:c r="AD392" s="34" t="str">
        <x:v>article1-unified-v4-2-fb3f101b-20260903-000401-default-f02-p4-jcs4-3-after-undeploy-final-10s-classloader-stats.txt</x:v>
      </x:c>
      <x:c r="AE392" s="34" t="str">
        <x:v>article1-unified-v4-2-fb3f101b-20260903-000401-default-f02-p4-jcs4-3-after-undeploy-final-10s-thread-dump.txt</x:v>
      </x:c>
      <x:c r="AF392" s="34"/>
      <x:c r="AG392" s="34" t="str">
        <x:v>article1-unified-v4-2-fb3f101b-20260903-000401-default-f02-p4-jcs4-3-after-undeploy-final-10s-native-memory.txt</x:v>
      </x:c>
      <x:c r="AH392" s="34" t="str">
        <x:v>article1-unified-v4-2-fb3f101b-20260903-000401-default-f02-p4-jcs4-3-after-undeploy-final-10s-class-histogram.txt</x:v>
      </x:c>
      <x:c r="AI392" s="34" t="str">
        <x:v>article1-unified-v4-2-fb3f101b-20260903-000401-default-f02-p4-jcs4-3-after-undeploy-tomcat-findleaks.txt</x:v>
      </x:c>
    </x:row>
    <x:row r="393">
      <x:c r="A393" s="34" t="str">
        <x:v>article1-unified-v4-2-fb3f101b-20260903-000401-default-f02-p4-jcs4</x:v>
      </x:c>
      <x:c r="B393" s="34" t="str">
        <x:v>default</x:v>
      </x:c>
      <x:c r="C393" s="34" t="str">
        <x:v>jcs4</x:v>
      </x:c>
      <x:c r="D393" s="34" t="str">
        <x:v>jcs4</x:v>
      </x:c>
      <x:c r="E393" s="36" t="n">
        <x:v>2</x:v>
      </x:c>
      <x:c r="F393" s="36" t="n">
        <x:v>2</x:v>
      </x:c>
      <x:c r="G393" s="36" t="n">
        <x:v>4</x:v>
      </x:c>
      <x:c r="H393" s="36" t="n">
        <x:v>3</x:v>
      </x:c>
      <x:c r="I393" s="34" t="str">
        <x:v>redeployedLoaded</x:v>
      </x:c>
      <x:c r="J393" s="34" t="str">
        <x:v>redeployed-loaded</x:v>
      </x:c>
      <x:c r="K393" s="36" t="n">
        <x:v>0</x:v>
      </x:c>
      <x:c r="L393" s="34" t="str">
        <x:v>redeploy</x:v>
      </x:c>
      <x:c r="M393" s="34" t="str">
        <x:v>article1-unified-v4-2-fb3f101b-20260903-000401-default-f02-p4-jcs4-3-redeployed-loaded</x:v>
      </x:c>
      <x:c r="N393" s="38" t="n">
        <x:v>46267.97754975694</x:v>
      </x:c>
      <x:c r="O393" s="36" t="n">
        <x:v>0</x:v>
      </x:c>
      <x:c r="P393" s="43" t="n">
        <x:v>127638528</x:v>
      </x:c>
      <x:c r="Q393" s="43" t="n">
        <x:v>268435456</x:v>
      </x:c>
      <x:c r="R393" s="43" t="n">
        <x:v>442605568</x:v>
      </x:c>
      <x:c r="S393" s="36" t="n">
        <x:v>3</x:v>
      </x:c>
      <x:c r="T393" s="44" t="str">
        <x:v>0x0000000083116bd8  0x0000000083003818  0x000070f4d802f180    4394  20956160  20945584  org.apache.catalina.loader.ParallelWebappClassLoader | 0x0000000083116bd8  0x0000000083003818  0x000070f50c9cdaa0    4410  21014528  20995760  org.apache.catalina.loader.ParallelWebappClassLoader | 0x0000000083116bd8  0x0000000083003818  0x000070f5c45f1d70       0         0         0  org.apache.catalina.loader.ParallelWebappClassLoader</x:v>
      </x:c>
      <x:c r="U393" s="36" t="n">
        <x:v>28</x:v>
      </x:c>
      <x:c r="V393" s="36" t="n">
        <x:v>1</x:v>
      </x:c>
      <x:c r="W393" s="44" t="str">
        <x:v>jcs4-thread-pool-event-queue:JCS-ThreadPoolManager-ElementEventQueue-Thread-19#261</x:v>
      </x:c>
      <x:c r="X393" s="36"/>
      <x:c r="Y393" s="36"/>
      <x:c r="Z393" s="44"/>
      <x:c r="AA393" s="49"/>
      <x:c r="AB393" s="43"/>
      <x:c r="AC393" s="34"/>
      <x:c r="AD393" s="34"/>
      <x:c r="AE393" s="34"/>
      <x:c r="AF393" s="34"/>
      <x:c r="AG393" s="34"/>
      <x:c r="AH393" s="34"/>
      <x:c r="AI393" s="34"/>
    </x:row>
    <x:row r="394">
      <x:c r="A394" s="34" t="str">
        <x:v>article1-unified-v4-2-fb3f101b-20260903-000401-default-f02-p4-jcs4</x:v>
      </x:c>
      <x:c r="B394" s="34" t="str">
        <x:v>default</x:v>
      </x:c>
      <x:c r="C394" s="34" t="str">
        <x:v>jcs4</x:v>
      </x:c>
      <x:c r="D394" s="34" t="str">
        <x:v>jcs4</x:v>
      </x:c>
      <x:c r="E394" s="36" t="n">
        <x:v>2</x:v>
      </x:c>
      <x:c r="F394" s="36" t="n">
        <x:v>2</x:v>
      </x:c>
      <x:c r="G394" s="36" t="n">
        <x:v>4</x:v>
      </x:c>
      <x:c r="H394" s="36" t="n">
        <x:v>3</x:v>
      </x:c>
      <x:c r="I394" s="34" t="str">
        <x:v>afterFinalUndeployEarly</x:v>
      </x:c>
      <x:c r="J394" s="34" t="str">
        <x:v>after-final-undeploy-early</x:v>
      </x:c>
      <x:c r="K394" s="36" t="n">
        <x:v>2</x:v>
      </x:c>
      <x:c r="L394" s="34" t="str">
        <x:v>early</x:v>
      </x:c>
      <x:c r="M394" s="34" t="str">
        <x:v>article1-unified-v4-2-fb3f101b-20260903-000401-default-f02-p4-jcs4-3-after-final-undeploy-early-2s</x:v>
      </x:c>
      <x:c r="N394" s="38" t="n">
        <x:v>46267.9776347338</x:v>
      </x:c>
      <x:c r="O394" s="36"/>
      <x:c r="P394" s="43"/>
      <x:c r="Q394" s="43"/>
      <x:c r="R394" s="43"/>
      <x:c r="S394" s="36"/>
      <x:c r="T394" s="44"/>
      <x:c r="U394" s="36" t="n">
        <x:v>27</x:v>
      </x:c>
      <x:c r="V394" s="36" t="n">
        <x:v>0</x:v>
      </x:c>
      <x:c r="W394" s="44"/>
      <x:c r="X394" s="36"/>
      <x:c r="Y394" s="36"/>
      <x:c r="Z394" s="44"/>
      <x:c r="AA394" s="49"/>
      <x:c r="AB394" s="43" t="n">
        <x:v>5</x:v>
      </x:c>
      <x:c r="AC394" s="34"/>
      <x:c r="AD394" s="34"/>
      <x:c r="AE394" s="34" t="str">
        <x:v>article1-unified-v4-2-fb3f101b-20260903-000401-default-f02-p4-jcs4-3-after-final-undeploy-early-2s-thread-dump.txt</x:v>
      </x:c>
      <x:c r="AF394" s="34" t="str">
        <x:v>article1-unified-v4-2-fb3f101b-20260903-000401-default-f02-p4-jcs4-3-after-final-undeploy-early-tomcat-log.txt</x:v>
      </x:c>
      <x:c r="AG394" s="34"/>
      <x:c r="AH394" s="34"/>
      <x:c r="AI394" s="34"/>
    </x:row>
    <x:row r="395">
      <x:c r="A395" s="34" t="str">
        <x:v>article1-unified-v4-2-fb3f101b-20260903-000401-default-f02-p4-jcs4</x:v>
      </x:c>
      <x:c r="B395" s="34" t="str">
        <x:v>default</x:v>
      </x:c>
      <x:c r="C395" s="34" t="str">
        <x:v>jcs4</x:v>
      </x:c>
      <x:c r="D395" s="34" t="str">
        <x:v>jcs4</x:v>
      </x:c>
      <x:c r="E395" s="36" t="n">
        <x:v>2</x:v>
      </x:c>
      <x:c r="F395" s="36" t="n">
        <x:v>2</x:v>
      </x:c>
      <x:c r="G395" s="36" t="n">
        <x:v>4</x:v>
      </x:c>
      <x:c r="H395" s="36" t="n">
        <x:v>3</x:v>
      </x:c>
      <x:c r="I395" s="34" t="str">
        <x:v>afterFinalUndeploy</x:v>
      </x:c>
      <x:c r="J395" s="34" t="str">
        <x:v>after-final-undeploy-final</x:v>
      </x:c>
      <x:c r="K395" s="36" t="n">
        <x:v>2</x:v>
      </x:c>
      <x:c r="L395" s="34" t="str">
        <x:v>final</x:v>
      </x:c>
      <x:c r="M395" s="34" t="str">
        <x:v>article1-unified-v4-2-fb3f101b-20260903-000401-default-f02-p4-jcs4-3-after-final-undeploy-final-10s</x:v>
      </x:c>
      <x:c r="N395" s="38" t="n">
        <x:v>46267.977792337966</x:v>
      </x:c>
      <x:c r="O395" s="36" t="n">
        <x:v>2</x:v>
      </x:c>
      <x:c r="P395" s="43" t="n">
        <x:v>15795200</x:v>
      </x:c>
      <x:c r="Q395" s="43" t="n">
        <x:v>268435456</x:v>
      </x:c>
      <x:c r="R395" s="43" t="n">
        <x:v>421042176</x:v>
      </x:c>
      <x:c r="S395" s="36" t="n">
        <x:v>2</x:v>
      </x:c>
      <x:c r="T395" s="44" t="str">
        <x:v>0x0000000083116bd8  0x0000000083003818  0x000070f4d802f180    4408  20997120  20980976  org.apache.catalina.loader.ParallelWebappClassLoader | 0x0000000083116bd8  0x0000000083003818  0x000070f5c45f1d70       0         0         0  org.apache.catalina.loader.ParallelWebappClassLoader</x:v>
      </x:c>
      <x:c r="U395" s="36" t="n">
        <x:v>27</x:v>
      </x:c>
      <x:c r="V395" s="36" t="n">
        <x:v>0</x:v>
      </x:c>
      <x:c r="W395" s="44"/>
      <x:c r="X395" s="36" t="n">
        <x:v>1</x:v>
      </x:c>
      <x:c r="Y395" s="36" t="n">
        <x:v>1</x:v>
      </x:c>
      <x:c r="Z395" s="44" t="str">
        <x:v>/jcs4</x:v>
      </x:c>
      <x:c r="AA395" s="45" t="b">
        <x:v>1</x:v>
      </x:c>
      <x:c r="AB395" s="43"/>
      <x:c r="AC395" s="34" t="str">
        <x:v>article1-unified-v4-2-fb3f101b-20260903-000401-default-f02-p4-jcs4-3-after-final-undeploy-final-10s-heap-info.txt</x:v>
      </x:c>
      <x:c r="AD395" s="34" t="str">
        <x:v>article1-unified-v4-2-fb3f101b-20260903-000401-default-f02-p4-jcs4-3-after-final-undeploy-final-10s-classloader-stats.txt</x:v>
      </x:c>
      <x:c r="AE395" s="34" t="str">
        <x:v>article1-unified-v4-2-fb3f101b-20260903-000401-default-f02-p4-jcs4-3-after-final-undeploy-final-10s-thread-dump.txt</x:v>
      </x:c>
      <x:c r="AF395" s="34"/>
      <x:c r="AG395" s="34" t="str">
        <x:v>article1-unified-v4-2-fb3f101b-20260903-000401-default-f02-p4-jcs4-3-after-final-undeploy-final-10s-native-memory.txt</x:v>
      </x:c>
      <x:c r="AH395" s="34" t="str">
        <x:v>article1-unified-v4-2-fb3f101b-20260903-000401-default-f02-p4-jcs4-3-after-final-undeploy-final-10s-class-histogram.txt</x:v>
      </x:c>
      <x:c r="AI395" s="34" t="str">
        <x:v>article1-unified-v4-2-fb3f101b-20260903-000401-default-f02-p4-jcs4-3-after-final-undeploy-tomcat-findleaks.txt</x:v>
      </x:c>
    </x:row>
    <x:row r="396">
      <x:c r="A396" s="34" t="str">
        <x:v>article1-unified-v4-2-fb3f101b-20260903-000401-default-f02-p4-jcs4</x:v>
      </x:c>
      <x:c r="B396" s="34" t="str">
        <x:v>default</x:v>
      </x:c>
      <x:c r="C396" s="34" t="str">
        <x:v>jcs4</x:v>
      </x:c>
      <x:c r="D396" s="34" t="str">
        <x:v>jcs4</x:v>
      </x:c>
      <x:c r="E396" s="36" t="n">
        <x:v>2</x:v>
      </x:c>
      <x:c r="F396" s="36" t="n">
        <x:v>2</x:v>
      </x:c>
      <x:c r="G396" s="36" t="n">
        <x:v>4</x:v>
      </x:c>
      <x:c r="H396" s="36" t="n">
        <x:v>4</x:v>
      </x:c>
      <x:c r="I396" s="34" t="str">
        <x:v>baseline</x:v>
      </x:c>
      <x:c r="J396" s="34" t="str">
        <x:v>cycle-baseline</x:v>
      </x:c>
      <x:c r="K396" s="36" t="n">
        <x:v>0</x:v>
      </x:c>
      <x:c r="L396" s="34" t="str">
        <x:v>baseline</x:v>
      </x:c>
      <x:c r="M396" s="34" t="str">
        <x:v>article1-unified-v4-2-fb3f101b-20260903-000401-default-f02-p4-jcs4-4-baseline</x:v>
      </x:c>
      <x:c r="N396" s="38" t="n">
        <x:v>46267.97783820602</x:v>
      </x:c>
      <x:c r="O396" s="36" t="n">
        <x:v>0</x:v>
      </x:c>
      <x:c r="P396" s="43" t="n">
        <x:v>15803392</x:v>
      </x:c>
      <x:c r="Q396" s="43" t="n">
        <x:v>268435456</x:v>
      </x:c>
      <x:c r="R396" s="43" t="n">
        <x:v>422085632</x:v>
      </x:c>
      <x:c r="S396" s="36" t="n">
        <x:v>2</x:v>
      </x:c>
      <x:c r="T396" s="44" t="str">
        <x:v>0x0000000083116bd8  0x0000000083003818  0x000070f4d802f180    4408  20997120  20980976  org.apache.catalina.loader.ParallelWebappClassLoader | 0x0000000083116bd8  0x0000000083003818  0x000070f5c45f1d70       0         0         0  org.apache.catalina.loader.ParallelWebappClassLoader</x:v>
      </x:c>
      <x:c r="U396" s="36" t="n">
        <x:v>27</x:v>
      </x:c>
      <x:c r="V396" s="36" t="n">
        <x:v>0</x:v>
      </x:c>
      <x:c r="W396" s="44"/>
      <x:c r="X396" s="36"/>
      <x:c r="Y396" s="36"/>
      <x:c r="Z396" s="44"/>
      <x:c r="AA396" s="49"/>
      <x:c r="AB396" s="43"/>
      <x:c r="AC396" s="34" t="str">
        <x:v>article1-unified-v4-2-fb3f101b-20260903-000401-default-f02-p4-jcs4-4-baseline-heap-info.txt</x:v>
      </x:c>
      <x:c r="AD396" s="34" t="str">
        <x:v>article1-unified-v4-2-fb3f101b-20260903-000401-default-f02-p4-jcs4-4-baseline-classloader-stats.txt</x:v>
      </x:c>
      <x:c r="AE396" s="34" t="str">
        <x:v>article1-unified-v4-2-fb3f101b-20260903-000401-default-f02-p4-jcs4-4-baseline-thread-dump.txt</x:v>
      </x:c>
      <x:c r="AF396" s="34"/>
      <x:c r="AG396" s="34" t="str">
        <x:v>article1-unified-v4-2-fb3f101b-20260903-000401-default-f02-p4-jcs4-4-baseline-native-memory.txt</x:v>
      </x:c>
      <x:c r="AH396" s="34"/>
      <x:c r="AI396" s="34"/>
    </x:row>
    <x:row r="397">
      <x:c r="A397" s="34" t="str">
        <x:v>article1-unified-v4-2-fb3f101b-20260903-000401-default-f02-p4-jcs4</x:v>
      </x:c>
      <x:c r="B397" s="34" t="str">
        <x:v>default</x:v>
      </x:c>
      <x:c r="C397" s="34" t="str">
        <x:v>jcs4</x:v>
      </x:c>
      <x:c r="D397" s="34" t="str">
        <x:v>jcs4</x:v>
      </x:c>
      <x:c r="E397" s="36" t="n">
        <x:v>2</x:v>
      </x:c>
      <x:c r="F397" s="36" t="n">
        <x:v>2</x:v>
      </x:c>
      <x:c r="G397" s="36" t="n">
        <x:v>4</x:v>
      </x:c>
      <x:c r="H397" s="36" t="n">
        <x:v>4</x:v>
      </x:c>
      <x:c r="I397" s="34" t="str">
        <x:v>deployedIdle</x:v>
      </x:c>
      <x:c r="J397" s="34" t="str">
        <x:v>deployed-idle</x:v>
      </x:c>
      <x:c r="K397" s="36" t="n">
        <x:v>0</x:v>
      </x:c>
      <x:c r="L397" s="34" t="str">
        <x:v>initial</x:v>
      </x:c>
      <x:c r="M397" s="34" t="str">
        <x:v>article1-unified-v4-2-fb3f101b-20260903-000401-default-f02-p4-jcs4-4-deployed-idle</x:v>
      </x:c>
      <x:c r="N397" s="38" t="n">
        <x:v>46267.97794103009</x:v>
      </x:c>
      <x:c r="O397" s="36" t="n">
        <x:v>0</x:v>
      </x:c>
      <x:c r="P397" s="43" t="n">
        <x:v>167070720</x:v>
      </x:c>
      <x:c r="Q397" s="43" t="n">
        <x:v>268435456</x:v>
      </x:c>
      <x:c r="R397" s="43" t="n">
        <x:v>441169920</x:v>
      </x:c>
      <x:c r="S397" s="36" t="n">
        <x:v>3</x:v>
      </x:c>
      <x:c r="T397" s="44" t="str">
        <x:v>0x0000000083116bd8  0x0000000083003818  0x000070f52c472200    4091  19450880  19433776  org.apache.catalina.loader.ParallelWebappClassLoader | 0x0000000083116bd8  0x0000000083003818  0x000070f4d802f180    4408  20997120  20980976  org.apache.catalina.loader.ParallelWebappClassLoader | 0x0000000083116bd8  0x0000000083003818  0x000070f5c45f1d70       0         0         0  org.apache.catalina.loader.ParallelWebappClassLoader</x:v>
      </x:c>
      <x:c r="U397" s="36" t="n">
        <x:v>28</x:v>
      </x:c>
      <x:c r="V397" s="36" t="n">
        <x:v>0</x:v>
      </x:c>
      <x:c r="W397" s="44"/>
      <x:c r="X397" s="36"/>
      <x:c r="Y397" s="36"/>
      <x:c r="Z397" s="44"/>
      <x:c r="AA397" s="49"/>
      <x:c r="AB397" s="43"/>
      <x:c r="AC397" s="34"/>
      <x:c r="AD397" s="34"/>
      <x:c r="AE397" s="34"/>
      <x:c r="AF397" s="34"/>
      <x:c r="AG397" s="34"/>
      <x:c r="AH397" s="34"/>
      <x:c r="AI397" s="34"/>
    </x:row>
    <x:row r="398">
      <x:c r="A398" s="34" t="str">
        <x:v>article1-unified-v4-2-fb3f101b-20260903-000401-default-f02-p4-jcs4</x:v>
      </x:c>
      <x:c r="B398" s="34" t="str">
        <x:v>default</x:v>
      </x:c>
      <x:c r="C398" s="34" t="str">
        <x:v>jcs4</x:v>
      </x:c>
      <x:c r="D398" s="34" t="str">
        <x:v>jcs4</x:v>
      </x:c>
      <x:c r="E398" s="36" t="n">
        <x:v>2</x:v>
      </x:c>
      <x:c r="F398" s="36" t="n">
        <x:v>2</x:v>
      </x:c>
      <x:c r="G398" s="36" t="n">
        <x:v>4</x:v>
      </x:c>
      <x:c r="H398" s="36" t="n">
        <x:v>4</x:v>
      </x:c>
      <x:c r="I398" s="34" t="str">
        <x:v>loaded</x:v>
      </x:c>
      <x:c r="J398" s="34" t="str">
        <x:v>loaded</x:v>
      </x:c>
      <x:c r="K398" s="36" t="n">
        <x:v>0</x:v>
      </x:c>
      <x:c r="L398" s="34" t="str">
        <x:v>initial</x:v>
      </x:c>
      <x:c r="M398" s="34" t="str">
        <x:v>article1-unified-v4-2-fb3f101b-20260903-000401-default-f02-p4-jcs4-4-loaded</x:v>
      </x:c>
      <x:c r="N398" s="38" t="n">
        <x:v>46267.978094895836</x:v>
      </x:c>
      <x:c r="O398" s="36" t="n">
        <x:v>0</x:v>
      </x:c>
      <x:c r="P398" s="43" t="n">
        <x:v>130926592</x:v>
      </x:c>
      <x:c r="Q398" s="43" t="n">
        <x:v>268435456</x:v>
      </x:c>
      <x:c r="R398" s="43" t="n">
        <x:v>444427264</x:v>
      </x:c>
      <x:c r="S398" s="36" t="n">
        <x:v>3</x:v>
      </x:c>
      <x:c r="T398" s="44" t="str">
        <x:v>0x0000000083116bd8  0x0000000083003818  0x000070f52c472200    4392  20958208  20939408  org.apache.catalina.loader.ParallelWebappClassLoader | 0x0000000083116bd8  0x0000000083003818  0x000070f4d802f180    4408  20997120  20980976  org.apache.catalina.loader.ParallelWebappClassLoader | 0x0000000083116bd8  0x0000000083003818  0x000070f5c45f1d70       0         0         0  org.apache.catalina.loader.ParallelWebappClassLoader</x:v>
      </x:c>
      <x:c r="U398" s="36" t="n">
        <x:v>28</x:v>
      </x:c>
      <x:c r="V398" s="36" t="n">
        <x:v>1</x:v>
      </x:c>
      <x:c r="W398" s="44" t="str">
        <x:v>jcs4-thread-pool-event-queue:JCS-ThreadPoolManager-ElementEventQueue-Thread-22#303</x:v>
      </x:c>
      <x:c r="X398" s="36"/>
      <x:c r="Y398" s="36"/>
      <x:c r="Z398" s="44"/>
      <x:c r="AA398" s="49"/>
      <x:c r="AB398" s="43"/>
      <x:c r="AC398" s="34"/>
      <x:c r="AD398" s="34"/>
      <x:c r="AE398" s="34"/>
      <x:c r="AF398" s="34"/>
      <x:c r="AG398" s="34"/>
      <x:c r="AH398" s="34"/>
      <x:c r="AI398" s="34"/>
    </x:row>
    <x:row r="399">
      <x:c r="A399" s="34" t="str">
        <x:v>article1-unified-v4-2-fb3f101b-20260903-000401-default-f02-p4-jcs4</x:v>
      </x:c>
      <x:c r="B399" s="34" t="str">
        <x:v>default</x:v>
      </x:c>
      <x:c r="C399" s="34" t="str">
        <x:v>jcs4</x:v>
      </x:c>
      <x:c r="D399" s="34" t="str">
        <x:v>jcs4</x:v>
      </x:c>
      <x:c r="E399" s="36" t="n">
        <x:v>2</x:v>
      </x:c>
      <x:c r="F399" s="36" t="n">
        <x:v>2</x:v>
      </x:c>
      <x:c r="G399" s="36" t="n">
        <x:v>4</x:v>
      </x:c>
      <x:c r="H399" s="36" t="n">
        <x:v>4</x:v>
      </x:c>
      <x:c r="I399" s="34" t="str">
        <x:v>afterUndeployEarly</x:v>
      </x:c>
      <x:c r="J399" s="34" t="str">
        <x:v>after-undeploy-early</x:v>
      </x:c>
      <x:c r="K399" s="36" t="n">
        <x:v>1</x:v>
      </x:c>
      <x:c r="L399" s="34" t="str">
        <x:v>early</x:v>
      </x:c>
      <x:c r="M399" s="34" t="str">
        <x:v>article1-unified-v4-2-fb3f101b-20260903-000401-default-f02-p4-jcs4-4-after-undeploy-early-2s</x:v>
      </x:c>
      <x:c r="N399" s="38" t="n">
        <x:v>46267.97817931713</x:v>
      </x:c>
      <x:c r="O399" s="36"/>
      <x:c r="P399" s="43"/>
      <x:c r="Q399" s="43"/>
      <x:c r="R399" s="43"/>
      <x:c r="S399" s="36"/>
      <x:c r="T399" s="44"/>
      <x:c r="U399" s="36" t="n">
        <x:v>27</x:v>
      </x:c>
      <x:c r="V399" s="36" t="n">
        <x:v>0</x:v>
      </x:c>
      <x:c r="W399" s="44"/>
      <x:c r="X399" s="36"/>
      <x:c r="Y399" s="36"/>
      <x:c r="Z399" s="44"/>
      <x:c r="AA399" s="49"/>
      <x:c r="AB399" s="43" t="n">
        <x:v>5</x:v>
      </x:c>
      <x:c r="AC399" s="34"/>
      <x:c r="AD399" s="34"/>
      <x:c r="AE399" s="34" t="str">
        <x:v>article1-unified-v4-2-fb3f101b-20260903-000401-default-f02-p4-jcs4-4-after-undeploy-early-2s-thread-dump.txt</x:v>
      </x:c>
      <x:c r="AF399" s="34" t="str">
        <x:v>article1-unified-v4-2-fb3f101b-20260903-000401-default-f02-p4-jcs4-4-after-undeploy-early-tomcat-log.txt</x:v>
      </x:c>
      <x:c r="AG399" s="34"/>
      <x:c r="AH399" s="34"/>
      <x:c r="AI399" s="34"/>
    </x:row>
    <x:row r="400">
      <x:c r="A400" s="34" t="str">
        <x:v>article1-unified-v4-2-fb3f101b-20260903-000401-default-f02-p4-jcs4</x:v>
      </x:c>
      <x:c r="B400" s="34" t="str">
        <x:v>default</x:v>
      </x:c>
      <x:c r="C400" s="34" t="str">
        <x:v>jcs4</x:v>
      </x:c>
      <x:c r="D400" s="34" t="str">
        <x:v>jcs4</x:v>
      </x:c>
      <x:c r="E400" s="36" t="n">
        <x:v>2</x:v>
      </x:c>
      <x:c r="F400" s="36" t="n">
        <x:v>2</x:v>
      </x:c>
      <x:c r="G400" s="36" t="n">
        <x:v>4</x:v>
      </x:c>
      <x:c r="H400" s="36" t="n">
        <x:v>4</x:v>
      </x:c>
      <x:c r="I400" s="34" t="str">
        <x:v>afterUndeploy</x:v>
      </x:c>
      <x:c r="J400" s="34" t="str">
        <x:v>after-undeploy-final</x:v>
      </x:c>
      <x:c r="K400" s="36" t="n">
        <x:v>1</x:v>
      </x:c>
      <x:c r="L400" s="34" t="str">
        <x:v>final</x:v>
      </x:c>
      <x:c r="M400" s="34" t="str">
        <x:v>article1-unified-v4-2-fb3f101b-20260903-000401-default-f02-p4-jcs4-4-after-undeploy-final-10s</x:v>
      </x:c>
      <x:c r="N400" s="38" t="n">
        <x:v>46267.97834116898</x:v>
      </x:c>
      <x:c r="O400" s="36" t="n">
        <x:v>2</x:v>
      </x:c>
      <x:c r="P400" s="43" t="n">
        <x:v>15797248</x:v>
      </x:c>
      <x:c r="Q400" s="43" t="n">
        <x:v>268435456</x:v>
      </x:c>
      <x:c r="R400" s="43" t="n">
        <x:v>427608064</x:v>
      </x:c>
      <x:c r="S400" s="36" t="n">
        <x:v>2</x:v>
      </x:c>
      <x:c r="T400" s="44" t="str">
        <x:v>0x0000000083116bd8  0x0000000083003818  0x000070f52c472200    4406  20990976  20974792  org.apache.catalina.loader.ParallelWebappClassLoader | 0x0000000083116bd8  0x0000000083003818  0x000070f5c45f1d70       0         0         0  org.apache.catalina.loader.ParallelWebappClassLoader</x:v>
      </x:c>
      <x:c r="U400" s="36" t="n">
        <x:v>27</x:v>
      </x:c>
      <x:c r="V400" s="36" t="n">
        <x:v>0</x:v>
      </x:c>
      <x:c r="W400" s="44"/>
      <x:c r="X400" s="36" t="n">
        <x:v>1</x:v>
      </x:c>
      <x:c r="Y400" s="36" t="n">
        <x:v>1</x:v>
      </x:c>
      <x:c r="Z400" s="44" t="str">
        <x:v>/jcs4</x:v>
      </x:c>
      <x:c r="AA400" s="45" t="b">
        <x:v>1</x:v>
      </x:c>
      <x:c r="AB400" s="43"/>
      <x:c r="AC400" s="34" t="str">
        <x:v>article1-unified-v4-2-fb3f101b-20260903-000401-default-f02-p4-jcs4-4-after-undeploy-final-10s-heap-info.txt</x:v>
      </x:c>
      <x:c r="AD400" s="34" t="str">
        <x:v>article1-unified-v4-2-fb3f101b-20260903-000401-default-f02-p4-jcs4-4-after-undeploy-final-10s-classloader-stats.txt</x:v>
      </x:c>
      <x:c r="AE400" s="34" t="str">
        <x:v>article1-unified-v4-2-fb3f101b-20260903-000401-default-f02-p4-jcs4-4-after-undeploy-final-10s-thread-dump.txt</x:v>
      </x:c>
      <x:c r="AF400" s="34"/>
      <x:c r="AG400" s="34" t="str">
        <x:v>article1-unified-v4-2-fb3f101b-20260903-000401-default-f02-p4-jcs4-4-after-undeploy-final-10s-native-memory.txt</x:v>
      </x:c>
      <x:c r="AH400" s="34" t="str">
        <x:v>article1-unified-v4-2-fb3f101b-20260903-000401-default-f02-p4-jcs4-4-after-undeploy-final-10s-class-histogram.txt</x:v>
      </x:c>
      <x:c r="AI400" s="34" t="str">
        <x:v>article1-unified-v4-2-fb3f101b-20260903-000401-default-f02-p4-jcs4-4-after-undeploy-tomcat-findleaks.txt</x:v>
      </x:c>
    </x:row>
    <x:row r="401">
      <x:c r="A401" s="34" t="str">
        <x:v>article1-unified-v4-2-fb3f101b-20260903-000401-default-f02-p4-jcs4</x:v>
      </x:c>
      <x:c r="B401" s="34" t="str">
        <x:v>default</x:v>
      </x:c>
      <x:c r="C401" s="34" t="str">
        <x:v>jcs4</x:v>
      </x:c>
      <x:c r="D401" s="34" t="str">
        <x:v>jcs4</x:v>
      </x:c>
      <x:c r="E401" s="36" t="n">
        <x:v>2</x:v>
      </x:c>
      <x:c r="F401" s="36" t="n">
        <x:v>2</x:v>
      </x:c>
      <x:c r="G401" s="36" t="n">
        <x:v>4</x:v>
      </x:c>
      <x:c r="H401" s="36" t="n">
        <x:v>4</x:v>
      </x:c>
      <x:c r="I401" s="34" t="str">
        <x:v>redeployedLoaded</x:v>
      </x:c>
      <x:c r="J401" s="34" t="str">
        <x:v>redeployed-loaded</x:v>
      </x:c>
      <x:c r="K401" s="36" t="n">
        <x:v>0</x:v>
      </x:c>
      <x:c r="L401" s="34" t="str">
        <x:v>redeploy</x:v>
      </x:c>
      <x:c r="M401" s="34" t="str">
        <x:v>article1-unified-v4-2-fb3f101b-20260903-000401-default-f02-p4-jcs4-4-redeployed-loaded</x:v>
      </x:c>
      <x:c r="N401" s="38" t="n">
        <x:v>46267.97859842593</x:v>
      </x:c>
      <x:c r="O401" s="36" t="n">
        <x:v>0</x:v>
      </x:c>
      <x:c r="P401" s="43" t="n">
        <x:v>133753856</x:v>
      </x:c>
      <x:c r="Q401" s="43" t="n">
        <x:v>268435456</x:v>
      </x:c>
      <x:c r="R401" s="43" t="n">
        <x:v>444338176</x:v>
      </x:c>
      <x:c r="S401" s="36" t="n">
        <x:v>3</x:v>
      </x:c>
      <x:c r="T401" s="44" t="str">
        <x:v>0x0000000083116bd8  0x0000000083003818  0x000070f5241cbf00    4394  20958208  20932616  org.apache.catalina.loader.ParallelWebappClassLoader | 0x0000000083116bd8  0x0000000083003818  0x000070f52c472200    4406  20990976  20974792  org.apache.catalina.loader.ParallelWebappClassLoader | 0x0000000083116bd8  0x0000000083003818  0x000070f5c45f1d70       0         0         0  org.apache.catalina.loader.ParallelWebappClassLoader</x:v>
      </x:c>
      <x:c r="U401" s="36" t="n">
        <x:v>28</x:v>
      </x:c>
      <x:c r="V401" s="36" t="n">
        <x:v>1</x:v>
      </x:c>
      <x:c r="W401" s="44" t="str">
        <x:v>jcs4-thread-pool-event-queue:JCS-ThreadPoolManager-ElementEventQueue-Thread-25#346</x:v>
      </x:c>
      <x:c r="X401" s="36"/>
      <x:c r="Y401" s="36"/>
      <x:c r="Z401" s="44"/>
      <x:c r="AA401" s="49"/>
      <x:c r="AB401" s="43"/>
      <x:c r="AC401" s="34"/>
      <x:c r="AD401" s="34"/>
      <x:c r="AE401" s="34"/>
      <x:c r="AF401" s="34"/>
      <x:c r="AG401" s="34"/>
      <x:c r="AH401" s="34"/>
      <x:c r="AI401" s="34"/>
    </x:row>
    <x:row r="402">
      <x:c r="A402" s="34" t="str">
        <x:v>article1-unified-v4-2-fb3f101b-20260903-000401-default-f02-p4-jcs4</x:v>
      </x:c>
      <x:c r="B402" s="34" t="str">
        <x:v>default</x:v>
      </x:c>
      <x:c r="C402" s="34" t="str">
        <x:v>jcs4</x:v>
      </x:c>
      <x:c r="D402" s="34" t="str">
        <x:v>jcs4</x:v>
      </x:c>
      <x:c r="E402" s="36" t="n">
        <x:v>2</x:v>
      </x:c>
      <x:c r="F402" s="36" t="n">
        <x:v>2</x:v>
      </x:c>
      <x:c r="G402" s="36" t="n">
        <x:v>4</x:v>
      </x:c>
      <x:c r="H402" s="36" t="n">
        <x:v>4</x:v>
      </x:c>
      <x:c r="I402" s="34" t="str">
        <x:v>afterFinalUndeployEarly</x:v>
      </x:c>
      <x:c r="J402" s="34" t="str">
        <x:v>after-final-undeploy-early</x:v>
      </x:c>
      <x:c r="K402" s="36" t="n">
        <x:v>2</x:v>
      </x:c>
      <x:c r="L402" s="34" t="str">
        <x:v>early</x:v>
      </x:c>
      <x:c r="M402" s="34" t="str">
        <x:v>article1-unified-v4-2-fb3f101b-20260903-000401-default-f02-p4-jcs4-4-after-final-undeploy-early-2s</x:v>
      </x:c>
      <x:c r="N402" s="38" t="n">
        <x:v>46267.978695474536</x:v>
      </x:c>
      <x:c r="O402" s="36"/>
      <x:c r="P402" s="43"/>
      <x:c r="Q402" s="43"/>
      <x:c r="R402" s="43"/>
      <x:c r="S402" s="36"/>
      <x:c r="T402" s="44"/>
      <x:c r="U402" s="36" t="n">
        <x:v>27</x:v>
      </x:c>
      <x:c r="V402" s="36" t="n">
        <x:v>0</x:v>
      </x:c>
      <x:c r="W402" s="44"/>
      <x:c r="X402" s="36"/>
      <x:c r="Y402" s="36"/>
      <x:c r="Z402" s="44"/>
      <x:c r="AA402" s="49"/>
      <x:c r="AB402" s="43" t="n">
        <x:v>5</x:v>
      </x:c>
      <x:c r="AC402" s="34"/>
      <x:c r="AD402" s="34"/>
      <x:c r="AE402" s="34" t="str">
        <x:v>article1-unified-v4-2-fb3f101b-20260903-000401-default-f02-p4-jcs4-4-after-final-undeploy-early-2s-thread-dump.txt</x:v>
      </x:c>
      <x:c r="AF402" s="34" t="str">
        <x:v>article1-unified-v4-2-fb3f101b-20260903-000401-default-f02-p4-jcs4-4-after-final-undeploy-early-tomcat-log.txt</x:v>
      </x:c>
      <x:c r="AG402" s="34"/>
      <x:c r="AH402" s="34"/>
      <x:c r="AI402" s="34"/>
    </x:row>
    <x:row r="403">
      <x:c r="A403" s="34" t="str">
        <x:v>article1-unified-v4-2-fb3f101b-20260903-000401-default-f02-p4-jcs4</x:v>
      </x:c>
      <x:c r="B403" s="34" t="str">
        <x:v>default</x:v>
      </x:c>
      <x:c r="C403" s="34" t="str">
        <x:v>jcs4</x:v>
      </x:c>
      <x:c r="D403" s="34" t="str">
        <x:v>jcs4</x:v>
      </x:c>
      <x:c r="E403" s="36" t="n">
        <x:v>2</x:v>
      </x:c>
      <x:c r="F403" s="36" t="n">
        <x:v>2</x:v>
      </x:c>
      <x:c r="G403" s="36" t="n">
        <x:v>4</x:v>
      </x:c>
      <x:c r="H403" s="36" t="n">
        <x:v>4</x:v>
      </x:c>
      <x:c r="I403" s="34" t="str">
        <x:v>afterFinalUndeploy</x:v>
      </x:c>
      <x:c r="J403" s="34" t="str">
        <x:v>after-final-undeploy-final</x:v>
      </x:c>
      <x:c r="K403" s="36" t="n">
        <x:v>2</x:v>
      </x:c>
      <x:c r="L403" s="34" t="str">
        <x:v>final</x:v>
      </x:c>
      <x:c r="M403" s="34" t="str">
        <x:v>article1-unified-v4-2-fb3f101b-20260903-000401-default-f02-p4-jcs4-4-after-final-undeploy-final-10s</x:v>
      </x:c>
      <x:c r="N403" s="38" t="n">
        <x:v>46267.978839247684</x:v>
      </x:c>
      <x:c r="O403" s="36" t="n">
        <x:v>2</x:v>
      </x:c>
      <x:c r="P403" s="43" t="n">
        <x:v>15860736</x:v>
      </x:c>
      <x:c r="Q403" s="43" t="n">
        <x:v>268435456</x:v>
      </x:c>
      <x:c r="R403" s="43" t="n">
        <x:v>423345152</x:v>
      </x:c>
      <x:c r="S403" s="36" t="n">
        <x:v>2</x:v>
      </x:c>
      <x:c r="T403" s="44" t="str">
        <x:v>0x0000000083116bd8  0x0000000083003818  0x000070f5241cbf00    4408  20974592  20968008  org.apache.catalina.loader.ParallelWebappClassLoader | 0x0000000083116bd8  0x0000000083003818  0x000070f5c45f1d70       0         0         0  org.apache.catalina.loader.ParallelWebappClassLoader</x:v>
      </x:c>
      <x:c r="U403" s="36" t="n">
        <x:v>27</x:v>
      </x:c>
      <x:c r="V403" s="36" t="n">
        <x:v>0</x:v>
      </x:c>
      <x:c r="W403" s="44"/>
      <x:c r="X403" s="36" t="n">
        <x:v>1</x:v>
      </x:c>
      <x:c r="Y403" s="36" t="n">
        <x:v>1</x:v>
      </x:c>
      <x:c r="Z403" s="44" t="str">
        <x:v>/jcs4</x:v>
      </x:c>
      <x:c r="AA403" s="45" t="b">
        <x:v>1</x:v>
      </x:c>
      <x:c r="AB403" s="43"/>
      <x:c r="AC403" s="34" t="str">
        <x:v>article1-unified-v4-2-fb3f101b-20260903-000401-default-f02-p4-jcs4-4-after-final-undeploy-final-10s-heap-info.txt</x:v>
      </x:c>
      <x:c r="AD403" s="34" t="str">
        <x:v>article1-unified-v4-2-fb3f101b-20260903-000401-default-f02-p4-jcs4-4-after-final-undeploy-final-10s-classloader-stats.txt</x:v>
      </x:c>
      <x:c r="AE403" s="34" t="str">
        <x:v>article1-unified-v4-2-fb3f101b-20260903-000401-default-f02-p4-jcs4-4-after-final-undeploy-final-10s-thread-dump.txt</x:v>
      </x:c>
      <x:c r="AF403" s="34"/>
      <x:c r="AG403" s="34" t="str">
        <x:v>article1-unified-v4-2-fb3f101b-20260903-000401-default-f02-p4-jcs4-4-after-final-undeploy-final-10s-native-memory.txt</x:v>
      </x:c>
      <x:c r="AH403" s="34" t="str">
        <x:v>article1-unified-v4-2-fb3f101b-20260903-000401-default-f02-p4-jcs4-4-after-final-undeploy-final-10s-class-histogram.txt</x:v>
      </x:c>
      <x:c r="AI403" s="34" t="str">
        <x:v>article1-unified-v4-2-fb3f101b-20260903-000401-default-f02-p4-jcs4-4-after-final-undeploy-tomcat-findleaks.txt</x:v>
      </x:c>
    </x:row>
    <x:row r="404">
      <x:c r="A404" s="34" t="str">
        <x:v>article1-unified-v4-2-fb3f101b-20260903-000401-default-f02-p4-jcs4</x:v>
      </x:c>
      <x:c r="B404" s="34" t="str">
        <x:v>default</x:v>
      </x:c>
      <x:c r="C404" s="34" t="str">
        <x:v>jcs4</x:v>
      </x:c>
      <x:c r="D404" s="34" t="str">
        <x:v>jcs4</x:v>
      </x:c>
      <x:c r="E404" s="36" t="n">
        <x:v>2</x:v>
      </x:c>
      <x:c r="F404" s="36" t="n">
        <x:v>2</x:v>
      </x:c>
      <x:c r="G404" s="36" t="n">
        <x:v>4</x:v>
      </x:c>
      <x:c r="H404" s="36" t="n">
        <x:v>5</x:v>
      </x:c>
      <x:c r="I404" s="34" t="str">
        <x:v>baseline</x:v>
      </x:c>
      <x:c r="J404" s="34" t="str">
        <x:v>cycle-baseline</x:v>
      </x:c>
      <x:c r="K404" s="36" t="n">
        <x:v>0</x:v>
      </x:c>
      <x:c r="L404" s="34" t="str">
        <x:v>baseline</x:v>
      </x:c>
      <x:c r="M404" s="34" t="str">
        <x:v>article1-unified-v4-2-fb3f101b-20260903-000401-default-f02-p4-jcs4-5-baseline</x:v>
      </x:c>
      <x:c r="N404" s="38" t="n">
        <x:v>46267.97888456019</x:v>
      </x:c>
      <x:c r="O404" s="36" t="n">
        <x:v>0</x:v>
      </x:c>
      <x:c r="P404" s="43" t="n">
        <x:v>15860736</x:v>
      </x:c>
      <x:c r="Q404" s="43" t="n">
        <x:v>268435456</x:v>
      </x:c>
      <x:c r="R404" s="43" t="n">
        <x:v>423345152</x:v>
      </x:c>
      <x:c r="S404" s="36" t="n">
        <x:v>2</x:v>
      </x:c>
      <x:c r="T404" s="44" t="str">
        <x:v>0x0000000083116bd8  0x0000000083003818  0x000070f5241cbf00    4408  20974592  20968008  org.apache.catalina.loader.ParallelWebappClassLoader | 0x0000000083116bd8  0x0000000083003818  0x000070f5c45f1d70       0         0         0  org.apache.catalina.loader.ParallelWebappClassLoader</x:v>
      </x:c>
      <x:c r="U404" s="36" t="n">
        <x:v>27</x:v>
      </x:c>
      <x:c r="V404" s="36" t="n">
        <x:v>0</x:v>
      </x:c>
      <x:c r="W404" s="44"/>
      <x:c r="X404" s="36"/>
      <x:c r="Y404" s="36"/>
      <x:c r="Z404" s="44"/>
      <x:c r="AA404" s="49"/>
      <x:c r="AB404" s="43"/>
      <x:c r="AC404" s="34" t="str">
        <x:v>article1-unified-v4-2-fb3f101b-20260903-000401-default-f02-p4-jcs4-5-baseline-heap-info.txt</x:v>
      </x:c>
      <x:c r="AD404" s="34" t="str">
        <x:v>article1-unified-v4-2-fb3f101b-20260903-000401-default-f02-p4-jcs4-5-baseline-classloader-stats.txt</x:v>
      </x:c>
      <x:c r="AE404" s="34" t="str">
        <x:v>article1-unified-v4-2-fb3f101b-20260903-000401-default-f02-p4-jcs4-5-baseline-thread-dump.txt</x:v>
      </x:c>
      <x:c r="AF404" s="34"/>
      <x:c r="AG404" s="34" t="str">
        <x:v>article1-unified-v4-2-fb3f101b-20260903-000401-default-f02-p4-jcs4-5-baseline-native-memory.txt</x:v>
      </x:c>
      <x:c r="AH404" s="34"/>
      <x:c r="AI404" s="34"/>
    </x:row>
    <x:row r="405">
      <x:c r="A405" s="34" t="str">
        <x:v>article1-unified-v4-2-fb3f101b-20260903-000401-default-f02-p4-jcs4</x:v>
      </x:c>
      <x:c r="B405" s="34" t="str">
        <x:v>default</x:v>
      </x:c>
      <x:c r="C405" s="34" t="str">
        <x:v>jcs4</x:v>
      </x:c>
      <x:c r="D405" s="34" t="str">
        <x:v>jcs4</x:v>
      </x:c>
      <x:c r="E405" s="36" t="n">
        <x:v>2</x:v>
      </x:c>
      <x:c r="F405" s="36" t="n">
        <x:v>2</x:v>
      </x:c>
      <x:c r="G405" s="36" t="n">
        <x:v>4</x:v>
      </x:c>
      <x:c r="H405" s="36" t="n">
        <x:v>5</x:v>
      </x:c>
      <x:c r="I405" s="34" t="str">
        <x:v>deployedIdle</x:v>
      </x:c>
      <x:c r="J405" s="34" t="str">
        <x:v>deployed-idle</x:v>
      </x:c>
      <x:c r="K405" s="36" t="n">
        <x:v>0</x:v>
      </x:c>
      <x:c r="L405" s="34" t="str">
        <x:v>initial</x:v>
      </x:c>
      <x:c r="M405" s="34" t="str">
        <x:v>article1-unified-v4-2-fb3f101b-20260903-000401-default-f02-p4-jcs4-5-deployed-idle</x:v>
      </x:c>
      <x:c r="N405" s="38" t="n">
        <x:v>46267.97898854167</x:v>
      </x:c>
      <x:c r="O405" s="36" t="n">
        <x:v>0</x:v>
      </x:c>
      <x:c r="P405" s="43" t="n">
        <x:v>166167552</x:v>
      </x:c>
      <x:c r="Q405" s="43" t="n">
        <x:v>268435456</x:v>
      </x:c>
      <x:c r="R405" s="43" t="n">
        <x:v>443028480</x:v>
      </x:c>
      <x:c r="S405" s="36" t="n">
        <x:v>3</x:v>
      </x:c>
      <x:c r="T405" s="44" t="str">
        <x:v>0x0000000083116bd8  0x0000000083003818  0x000070f500198590    4091  19440640  19429888  org.apache.catalina.loader.ParallelWebappClassLoader | 0x0000000083116bd8  0x0000000083003818  0x000070f5241cbf00    4408  20974592  20968008  org.apache.catalina.loader.ParallelWebappClassLoader | 0x0000000083116bd8  0x0000000083003818  0x000070f5c45f1d70       0         0         0  org.apache.catalina.loader.ParallelWebappClassLoader</x:v>
      </x:c>
      <x:c r="U405" s="36" t="n">
        <x:v>27</x:v>
      </x:c>
      <x:c r="V405" s="36" t="n">
        <x:v>0</x:v>
      </x:c>
      <x:c r="W405" s="44"/>
      <x:c r="X405" s="36"/>
      <x:c r="Y405" s="36"/>
      <x:c r="Z405" s="44"/>
      <x:c r="AA405" s="49"/>
      <x:c r="AB405" s="43"/>
      <x:c r="AC405" s="34"/>
      <x:c r="AD405" s="34"/>
      <x:c r="AE405" s="34"/>
      <x:c r="AF405" s="34"/>
      <x:c r="AG405" s="34"/>
      <x:c r="AH405" s="34"/>
      <x:c r="AI405" s="34"/>
    </x:row>
    <x:row r="406">
      <x:c r="A406" s="34" t="str">
        <x:v>article1-unified-v4-2-fb3f101b-20260903-000401-default-f02-p4-jcs4</x:v>
      </x:c>
      <x:c r="B406" s="34" t="str">
        <x:v>default</x:v>
      </x:c>
      <x:c r="C406" s="34" t="str">
        <x:v>jcs4</x:v>
      </x:c>
      <x:c r="D406" s="34" t="str">
        <x:v>jcs4</x:v>
      </x:c>
      <x:c r="E406" s="36" t="n">
        <x:v>2</x:v>
      </x:c>
      <x:c r="F406" s="36" t="n">
        <x:v>2</x:v>
      </x:c>
      <x:c r="G406" s="36" t="n">
        <x:v>4</x:v>
      </x:c>
      <x:c r="H406" s="36" t="n">
        <x:v>5</x:v>
      </x:c>
      <x:c r="I406" s="34" t="str">
        <x:v>loaded</x:v>
      </x:c>
      <x:c r="J406" s="34" t="str">
        <x:v>loaded</x:v>
      </x:c>
      <x:c r="K406" s="36" t="n">
        <x:v>0</x:v>
      </x:c>
      <x:c r="L406" s="34" t="str">
        <x:v>initial</x:v>
      </x:c>
      <x:c r="M406" s="34" t="str">
        <x:v>article1-unified-v4-2-fb3f101b-20260903-000401-default-f02-p4-jcs4-5-loaded</x:v>
      </x:c>
      <x:c r="N406" s="38" t="n">
        <x:v>46267.979144074074</x:v>
      </x:c>
      <x:c r="O406" s="36" t="n">
        <x:v>0</x:v>
      </x:c>
      <x:c r="P406" s="43" t="n">
        <x:v>103916544</x:v>
      </x:c>
      <x:c r="Q406" s="43" t="n">
        <x:v>268435456</x:v>
      </x:c>
      <x:c r="R406" s="43" t="n">
        <x:v>447531008</x:v>
      </x:c>
      <x:c r="S406" s="36" t="n">
        <x:v>3</x:v>
      </x:c>
      <x:c r="T406" s="44" t="str">
        <x:v>0x0000000083116bd8  0x0000000083003818  0x000070f5241cbf00    4408  20974592  20968008  org.apache.catalina.loader.ParallelWebappClassLoader | 0x0000000083116bd8  0x0000000083003818  0x000070f500198590    4391  20947968  20936448  org.apache.catalina.loader.ParallelWebappClassLoader | 0x0000000083116bd8  0x0000000083003818  0x000070f5c45f1d70       0         0         0  org.apache.catalina.loader.ParallelWebappClassLoader</x:v>
      </x:c>
      <x:c r="U406" s="36" t="n">
        <x:v>28</x:v>
      </x:c>
      <x:c r="V406" s="36" t="n">
        <x:v>1</x:v>
      </x:c>
      <x:c r="W406" s="44" t="str">
        <x:v>jcs4-thread-pool-event-queue:JCS-ThreadPoolManager-ElementEventQueue-Thread-28#388</x:v>
      </x:c>
      <x:c r="X406" s="36"/>
      <x:c r="Y406" s="36"/>
      <x:c r="Z406" s="44"/>
      <x:c r="AA406" s="49"/>
      <x:c r="AB406" s="43"/>
      <x:c r="AC406" s="34"/>
      <x:c r="AD406" s="34"/>
      <x:c r="AE406" s="34"/>
      <x:c r="AF406" s="34"/>
      <x:c r="AG406" s="34"/>
      <x:c r="AH406" s="34"/>
      <x:c r="AI406" s="34"/>
    </x:row>
    <x:row r="407">
      <x:c r="A407" s="34" t="str">
        <x:v>article1-unified-v4-2-fb3f101b-20260903-000401-default-f02-p4-jcs4</x:v>
      </x:c>
      <x:c r="B407" s="34" t="str">
        <x:v>default</x:v>
      </x:c>
      <x:c r="C407" s="34" t="str">
        <x:v>jcs4</x:v>
      </x:c>
      <x:c r="D407" s="34" t="str">
        <x:v>jcs4</x:v>
      </x:c>
      <x:c r="E407" s="36" t="n">
        <x:v>2</x:v>
      </x:c>
      <x:c r="F407" s="36" t="n">
        <x:v>2</x:v>
      </x:c>
      <x:c r="G407" s="36" t="n">
        <x:v>4</x:v>
      </x:c>
      <x:c r="H407" s="36" t="n">
        <x:v>5</x:v>
      </x:c>
      <x:c r="I407" s="34" t="str">
        <x:v>afterUndeployEarly</x:v>
      </x:c>
      <x:c r="J407" s="34" t="str">
        <x:v>after-undeploy-early</x:v>
      </x:c>
      <x:c r="K407" s="36" t="n">
        <x:v>1</x:v>
      </x:c>
      <x:c r="L407" s="34" t="str">
        <x:v>early</x:v>
      </x:c>
      <x:c r="M407" s="34" t="str">
        <x:v>article1-unified-v4-2-fb3f101b-20260903-000401-default-f02-p4-jcs4-5-after-undeploy-early-2s</x:v>
      </x:c>
      <x:c r="N407" s="38" t="n">
        <x:v>46267.979228449076</x:v>
      </x:c>
      <x:c r="O407" s="36"/>
      <x:c r="P407" s="43"/>
      <x:c r="Q407" s="43"/>
      <x:c r="R407" s="43"/>
      <x:c r="S407" s="36"/>
      <x:c r="T407" s="44"/>
      <x:c r="U407" s="36" t="n">
        <x:v>27</x:v>
      </x:c>
      <x:c r="V407" s="36" t="n">
        <x:v>0</x:v>
      </x:c>
      <x:c r="W407" s="44"/>
      <x:c r="X407" s="36"/>
      <x:c r="Y407" s="36"/>
      <x:c r="Z407" s="44"/>
      <x:c r="AA407" s="49"/>
      <x:c r="AB407" s="43" t="n">
        <x:v>5</x:v>
      </x:c>
      <x:c r="AC407" s="34"/>
      <x:c r="AD407" s="34"/>
      <x:c r="AE407" s="34" t="str">
        <x:v>article1-unified-v4-2-fb3f101b-20260903-000401-default-f02-p4-jcs4-5-after-undeploy-early-2s-thread-dump.txt</x:v>
      </x:c>
      <x:c r="AF407" s="34" t="str">
        <x:v>article1-unified-v4-2-fb3f101b-20260903-000401-default-f02-p4-jcs4-5-after-undeploy-early-tomcat-log.txt</x:v>
      </x:c>
      <x:c r="AG407" s="34"/>
      <x:c r="AH407" s="34"/>
      <x:c r="AI407" s="34"/>
    </x:row>
    <x:row r="408">
      <x:c r="A408" s="34" t="str">
        <x:v>article1-unified-v4-2-fb3f101b-20260903-000401-default-f02-p4-jcs4</x:v>
      </x:c>
      <x:c r="B408" s="34" t="str">
        <x:v>default</x:v>
      </x:c>
      <x:c r="C408" s="34" t="str">
        <x:v>jcs4</x:v>
      </x:c>
      <x:c r="D408" s="34" t="str">
        <x:v>jcs4</x:v>
      </x:c>
      <x:c r="E408" s="36" t="n">
        <x:v>2</x:v>
      </x:c>
      <x:c r="F408" s="36" t="n">
        <x:v>2</x:v>
      </x:c>
      <x:c r="G408" s="36" t="n">
        <x:v>4</x:v>
      </x:c>
      <x:c r="H408" s="36" t="n">
        <x:v>5</x:v>
      </x:c>
      <x:c r="I408" s="34" t="str">
        <x:v>afterUndeploy</x:v>
      </x:c>
      <x:c r="J408" s="34" t="str">
        <x:v>after-undeploy-final</x:v>
      </x:c>
      <x:c r="K408" s="36" t="n">
        <x:v>1</x:v>
      </x:c>
      <x:c r="L408" s="34" t="str">
        <x:v>final</x:v>
      </x:c>
      <x:c r="M408" s="34" t="str">
        <x:v>article1-unified-v4-2-fb3f101b-20260903-000401-default-f02-p4-jcs4-5-after-undeploy-final-10s</x:v>
      </x:c>
      <x:c r="N408" s="38" t="n">
        <x:v>46267.97938762732</x:v>
      </x:c>
      <x:c r="O408" s="36" t="n">
        <x:v>2</x:v>
      </x:c>
      <x:c r="P408" s="43" t="n">
        <x:v>15892480</x:v>
      </x:c>
      <x:c r="Q408" s="43" t="n">
        <x:v>268435456</x:v>
      </x:c>
      <x:c r="R408" s="43" t="n">
        <x:v>429822976</x:v>
      </x:c>
      <x:c r="S408" s="36" t="n">
        <x:v>2</x:v>
      </x:c>
      <x:c r="T408" s="44" t="str">
        <x:v>0x0000000083116bd8  0x0000000083003818  0x000070f500198590    4405  20997120  20971840  org.apache.catalina.loader.ParallelWebappClassLoader | 0x0000000083116bd8  0x0000000083003818  0x000070f5c45f1d70       0         0         0  org.apache.catalina.loader.ParallelWebappClassLoader</x:v>
      </x:c>
      <x:c r="U408" s="36" t="n">
        <x:v>27</x:v>
      </x:c>
      <x:c r="V408" s="36" t="n">
        <x:v>0</x:v>
      </x:c>
      <x:c r="W408" s="44"/>
      <x:c r="X408" s="36" t="n">
        <x:v>1</x:v>
      </x:c>
      <x:c r="Y408" s="36" t="n">
        <x:v>1</x:v>
      </x:c>
      <x:c r="Z408" s="44" t="str">
        <x:v>/jcs4</x:v>
      </x:c>
      <x:c r="AA408" s="45" t="b">
        <x:v>1</x:v>
      </x:c>
      <x:c r="AB408" s="43"/>
      <x:c r="AC408" s="34" t="str">
        <x:v>article1-unified-v4-2-fb3f101b-20260903-000401-default-f02-p4-jcs4-5-after-undeploy-final-10s-heap-info.txt</x:v>
      </x:c>
      <x:c r="AD408" s="34" t="str">
        <x:v>article1-unified-v4-2-fb3f101b-20260903-000401-default-f02-p4-jcs4-5-after-undeploy-final-10s-classloader-stats.txt</x:v>
      </x:c>
      <x:c r="AE408" s="34" t="str">
        <x:v>article1-unified-v4-2-fb3f101b-20260903-000401-default-f02-p4-jcs4-5-after-undeploy-final-10s-thread-dump.txt</x:v>
      </x:c>
      <x:c r="AF408" s="34"/>
      <x:c r="AG408" s="34" t="str">
        <x:v>article1-unified-v4-2-fb3f101b-20260903-000401-default-f02-p4-jcs4-5-after-undeploy-final-10s-native-memory.txt</x:v>
      </x:c>
      <x:c r="AH408" s="34" t="str">
        <x:v>article1-unified-v4-2-fb3f101b-20260903-000401-default-f02-p4-jcs4-5-after-undeploy-final-10s-class-histogram.txt</x:v>
      </x:c>
      <x:c r="AI408" s="34" t="str">
        <x:v>article1-unified-v4-2-fb3f101b-20260903-000401-default-f02-p4-jcs4-5-after-undeploy-tomcat-findleaks.txt</x:v>
      </x:c>
    </x:row>
    <x:row r="409">
      <x:c r="A409" s="34" t="str">
        <x:v>article1-unified-v4-2-fb3f101b-20260903-000401-default-f02-p4-jcs4</x:v>
      </x:c>
      <x:c r="B409" s="34" t="str">
        <x:v>default</x:v>
      </x:c>
      <x:c r="C409" s="34" t="str">
        <x:v>jcs4</x:v>
      </x:c>
      <x:c r="D409" s="34" t="str">
        <x:v>jcs4</x:v>
      </x:c>
      <x:c r="E409" s="36" t="n">
        <x:v>2</x:v>
      </x:c>
      <x:c r="F409" s="36" t="n">
        <x:v>2</x:v>
      </x:c>
      <x:c r="G409" s="36" t="n">
        <x:v>4</x:v>
      </x:c>
      <x:c r="H409" s="36" t="n">
        <x:v>5</x:v>
      </x:c>
      <x:c r="I409" s="34" t="str">
        <x:v>redeployedLoaded</x:v>
      </x:c>
      <x:c r="J409" s="34" t="str">
        <x:v>redeployed-loaded</x:v>
      </x:c>
      <x:c r="K409" s="36" t="n">
        <x:v>0</x:v>
      </x:c>
      <x:c r="L409" s="34" t="str">
        <x:v>redeploy</x:v>
      </x:c>
      <x:c r="M409" s="34" t="str">
        <x:v>article1-unified-v4-2-fb3f101b-20260903-000401-default-f02-p4-jcs4-5-redeployed-loaded</x:v>
      </x:c>
      <x:c r="N409" s="38" t="n">
        <x:v>46267.97964186343</x:v>
      </x:c>
      <x:c r="O409" s="36" t="n">
        <x:v>0</x:v>
      </x:c>
      <x:c r="P409" s="43" t="n">
        <x:v>151674880</x:v>
      </x:c>
      <x:c r="Q409" s="43" t="n">
        <x:v>268435456</x:v>
      </x:c>
      <x:c r="R409" s="43" t="n">
        <x:v>446555136</x:v>
      </x:c>
      <x:c r="S409" s="36" t="n">
        <x:v>3</x:v>
      </x:c>
      <x:c r="T409" s="44" t="str">
        <x:v>0x0000000083116bd8  0x0000000083003818  0x000070f500198590    4405  20997120  20971840  org.apache.catalina.loader.ParallelWebappClassLoader | 0x0000000083116bd8  0x0000000083003818  0x000070f5c45f1d70       0         0         0  org.apache.catalina.loader.ParallelWebappClassLoader | 0x0000000083116bd8  0x0000000083003818  0x000070f4e81cb7d0    4391  20954112  20932424  org.apache.catalina.loader.ParallelWebappClassLoader</x:v>
      </x:c>
      <x:c r="U409" s="36" t="n">
        <x:v>28</x:v>
      </x:c>
      <x:c r="V409" s="36" t="n">
        <x:v>1</x:v>
      </x:c>
      <x:c r="W409" s="44" t="str">
        <x:v>jcs4-thread-pool-event-queue:JCS-ThreadPoolManager-ElementEventQueue-Thread-31#431</x:v>
      </x:c>
      <x:c r="X409" s="36"/>
      <x:c r="Y409" s="36"/>
      <x:c r="Z409" s="44"/>
      <x:c r="AA409" s="49"/>
      <x:c r="AB409" s="43"/>
      <x:c r="AC409" s="34"/>
      <x:c r="AD409" s="34"/>
      <x:c r="AE409" s="34"/>
      <x:c r="AF409" s="34"/>
      <x:c r="AG409" s="34"/>
      <x:c r="AH409" s="34"/>
      <x:c r="AI409" s="34"/>
    </x:row>
    <x:row r="410">
      <x:c r="A410" s="34" t="str">
        <x:v>article1-unified-v4-2-fb3f101b-20260903-000401-default-f02-p4-jcs4</x:v>
      </x:c>
      <x:c r="B410" s="34" t="str">
        <x:v>default</x:v>
      </x:c>
      <x:c r="C410" s="34" t="str">
        <x:v>jcs4</x:v>
      </x:c>
      <x:c r="D410" s="34" t="str">
        <x:v>jcs4</x:v>
      </x:c>
      <x:c r="E410" s="36" t="n">
        <x:v>2</x:v>
      </x:c>
      <x:c r="F410" s="36" t="n">
        <x:v>2</x:v>
      </x:c>
      <x:c r="G410" s="36" t="n">
        <x:v>4</x:v>
      </x:c>
      <x:c r="H410" s="36" t="n">
        <x:v>5</x:v>
      </x:c>
      <x:c r="I410" s="34" t="str">
        <x:v>afterFinalUndeployEarly</x:v>
      </x:c>
      <x:c r="J410" s="34" t="str">
        <x:v>after-final-undeploy-early</x:v>
      </x:c>
      <x:c r="K410" s="36" t="n">
        <x:v>2</x:v>
      </x:c>
      <x:c r="L410" s="34" t="str">
        <x:v>early</x:v>
      </x:c>
      <x:c r="M410" s="34" t="str">
        <x:v>article1-unified-v4-2-fb3f101b-20260903-000401-default-f02-p4-jcs4-5-after-final-undeploy-early-2s</x:v>
      </x:c>
      <x:c r="N410" s="38" t="n">
        <x:v>46267.97972724537</x:v>
      </x:c>
      <x:c r="O410" s="36"/>
      <x:c r="P410" s="43"/>
      <x:c r="Q410" s="43"/>
      <x:c r="R410" s="43"/>
      <x:c r="S410" s="36"/>
      <x:c r="T410" s="44"/>
      <x:c r="U410" s="36" t="n">
        <x:v>27</x:v>
      </x:c>
      <x:c r="V410" s="36" t="n">
        <x:v>0</x:v>
      </x:c>
      <x:c r="W410" s="44"/>
      <x:c r="X410" s="36"/>
      <x:c r="Y410" s="36"/>
      <x:c r="Z410" s="44"/>
      <x:c r="AA410" s="49"/>
      <x:c r="AB410" s="43" t="n">
        <x:v>5</x:v>
      </x:c>
      <x:c r="AC410" s="34"/>
      <x:c r="AD410" s="34"/>
      <x:c r="AE410" s="34" t="str">
        <x:v>article1-unified-v4-2-fb3f101b-20260903-000401-default-f02-p4-jcs4-5-after-final-undeploy-early-2s-thread-dump.txt</x:v>
      </x:c>
      <x:c r="AF410" s="34" t="str">
        <x:v>article1-unified-v4-2-fb3f101b-20260903-000401-default-f02-p4-jcs4-5-after-final-undeploy-early-tomcat-log.txt</x:v>
      </x:c>
      <x:c r="AG410" s="34"/>
      <x:c r="AH410" s="34"/>
      <x:c r="AI410" s="34"/>
    </x:row>
    <x:row r="411">
      <x:c r="A411" s="34" t="str">
        <x:v>article1-unified-v4-2-fb3f101b-20260903-000401-default-f02-p4-jcs4</x:v>
      </x:c>
      <x:c r="B411" s="34" t="str">
        <x:v>default</x:v>
      </x:c>
      <x:c r="C411" s="34" t="str">
        <x:v>jcs4</x:v>
      </x:c>
      <x:c r="D411" s="34" t="str">
        <x:v>jcs4</x:v>
      </x:c>
      <x:c r="E411" s="36" t="n">
        <x:v>2</x:v>
      </x:c>
      <x:c r="F411" s="36" t="n">
        <x:v>2</x:v>
      </x:c>
      <x:c r="G411" s="36" t="n">
        <x:v>4</x:v>
      </x:c>
      <x:c r="H411" s="36" t="n">
        <x:v>5</x:v>
      </x:c>
      <x:c r="I411" s="34" t="str">
        <x:v>afterFinalUndeploy</x:v>
      </x:c>
      <x:c r="J411" s="34" t="str">
        <x:v>after-final-undeploy-final</x:v>
      </x:c>
      <x:c r="K411" s="36" t="n">
        <x:v>2</x:v>
      </x:c>
      <x:c r="L411" s="34" t="str">
        <x:v>final</x:v>
      </x:c>
      <x:c r="M411" s="34" t="str">
        <x:v>article1-unified-v4-2-fb3f101b-20260903-000401-default-f02-p4-jcs4-5-after-final-undeploy-final-10s</x:v>
      </x:c>
      <x:c r="N411" s="38" t="n">
        <x:v>46267.979884189815</x:v>
      </x:c>
      <x:c r="O411" s="36" t="n">
        <x:v>2</x:v>
      </x:c>
      <x:c r="P411" s="43" t="n">
        <x:v>15899648</x:v>
      </x:c>
      <x:c r="Q411" s="43" t="n">
        <x:v>268435456</x:v>
      </x:c>
      <x:c r="R411" s="43" t="n">
        <x:v>425084928</x:v>
      </x:c>
      <x:c r="S411" s="36" t="n">
        <x:v>2</x:v>
      </x:c>
      <x:c r="T411" s="44" t="str">
        <x:v>0x0000000083116bd8  0x0000000083003818  0x000070f4e81cb7d0    4405  20986880  20967816  org.apache.catalina.loader.ParallelWebappClassLoader | 0x0000000083116bd8  0x0000000083003818  0x000070f5c45f1d70       0         0         0  org.apache.catalina.loader.ParallelWebappClassLoader</x:v>
      </x:c>
      <x:c r="U411" s="36" t="n">
        <x:v>27</x:v>
      </x:c>
      <x:c r="V411" s="36" t="n">
        <x:v>0</x:v>
      </x:c>
      <x:c r="W411" s="44"/>
      <x:c r="X411" s="36" t="n">
        <x:v>1</x:v>
      </x:c>
      <x:c r="Y411" s="36" t="n">
        <x:v>1</x:v>
      </x:c>
      <x:c r="Z411" s="44" t="str">
        <x:v>/jcs4</x:v>
      </x:c>
      <x:c r="AA411" s="45" t="b">
        <x:v>1</x:v>
      </x:c>
      <x:c r="AB411" s="43"/>
      <x:c r="AC411" s="34" t="str">
        <x:v>article1-unified-v4-2-fb3f101b-20260903-000401-default-f02-p4-jcs4-5-after-final-undeploy-final-10s-heap-info.txt</x:v>
      </x:c>
      <x:c r="AD411" s="34" t="str">
        <x:v>article1-unified-v4-2-fb3f101b-20260903-000401-default-f02-p4-jcs4-5-after-final-undeploy-final-10s-classloader-stats.txt</x:v>
      </x:c>
      <x:c r="AE411" s="34" t="str">
        <x:v>article1-unified-v4-2-fb3f101b-20260903-000401-default-f02-p4-jcs4-5-after-final-undeploy-final-10s-thread-dump.txt</x:v>
      </x:c>
      <x:c r="AF411" s="34"/>
      <x:c r="AG411" s="34" t="str">
        <x:v>article1-unified-v4-2-fb3f101b-20260903-000401-default-f02-p4-jcs4-5-after-final-undeploy-final-10s-native-memory.txt</x:v>
      </x:c>
      <x:c r="AH411" s="34" t="str">
        <x:v>article1-unified-v4-2-fb3f101b-20260903-000401-default-f02-p4-jcs4-5-after-final-undeploy-final-10s-class-histogram.txt</x:v>
      </x:c>
      <x:c r="AI411" s="34" t="str">
        <x:v>article1-unified-v4-2-fb3f101b-20260903-000401-default-f02-p4-jcs4-5-after-final-undeploy-tomcat-findleaks.txt</x:v>
      </x:c>
    </x:row>
    <x:row r="412">
      <x:c r="A412" s="34" t="str">
        <x:v>article1-unified-v4-2-fb3f101b-20260903-000401-default-f02-p5-nostore</x:v>
      </x:c>
      <x:c r="B412" s="34" t="str">
        <x:v>default</x:v>
      </x:c>
      <x:c r="C412" s="34" t="str">
        <x:v>nostore</x:v>
      </x:c>
      <x:c r="D412" s="34" t="str">
        <x:v>nostore</x:v>
      </x:c>
      <x:c r="E412" s="36" t="n">
        <x:v>2</x:v>
      </x:c>
      <x:c r="F412" s="36" t="n">
        <x:v>2</x:v>
      </x:c>
      <x:c r="G412" s="36" t="n">
        <x:v>5</x:v>
      </x:c>
      <x:c r="H412" s="36" t="n">
        <x:v>0</x:v>
      </x:c>
      <x:c r="I412" s="34" t="str">
        <x:v>processBaseline</x:v>
      </x:c>
      <x:c r="J412" s="34" t="str">
        <x:v>process-baseline</x:v>
      </x:c>
      <x:c r="K412" s="36" t="n">
        <x:v>0</x:v>
      </x:c>
      <x:c r="L412" s="34" t="str">
        <x:v>baseline</x:v>
      </x:c>
      <x:c r="M412" s="34" t="str">
        <x:v>article1-unified-v4-2-fb3f101b-20260903-000401-default-f02-p5-nostore-process-baseline</x:v>
      </x:c>
      <x:c r="N412" s="38" t="n">
        <x:v>46267.98014523148</x:v>
      </x:c>
      <x:c r="O412" s="36" t="n">
        <x:v>0</x:v>
      </x:c>
      <x:c r="P412" s="43" t="n">
        <x:v>32729088</x:v>
      </x:c>
      <x:c r="Q412" s="43" t="n">
        <x:v>270532608</x:v>
      </x:c>
      <x:c r="R412" s="43" t="n">
        <x:v>369316864</x:v>
      </x:c>
      <x:c r="S412" s="36" t="n">
        <x:v>1</x:v>
      </x:c>
      <x:c r="T412" s="44" t="str">
        <x:v>0x000000008a1177b8  0x000000008a003818  0x000076ab34646540       0         0         0  org.apache.catalina.loader.ParallelWebappClassLoader</x:v>
      </x:c>
      <x:c r="U412" s="36" t="n">
        <x:v>27</x:v>
      </x:c>
      <x:c r="V412" s="36" t="n">
        <x:v>0</x:v>
      </x:c>
      <x:c r="W412" s="44"/>
      <x:c r="X412" s="36"/>
      <x:c r="Y412" s="36"/>
      <x:c r="Z412" s="44"/>
      <x:c r="AA412" s="49"/>
      <x:c r="AB412" s="43"/>
      <x:c r="AC412" s="34" t="str">
        <x:v>article1-unified-v4-2-fb3f101b-20260903-000401-default-f02-p5-nostore-process-baseline-heap-info.txt</x:v>
      </x:c>
      <x:c r="AD412" s="34" t="str">
        <x:v>article1-unified-v4-2-fb3f101b-20260903-000401-default-f02-p5-nostore-process-baseline-classloader-stats.txt</x:v>
      </x:c>
      <x:c r="AE412" s="34" t="str">
        <x:v>article1-unified-v4-2-fb3f101b-20260903-000401-default-f02-p5-nostore-process-baseline-thread-dump.txt</x:v>
      </x:c>
      <x:c r="AF412" s="34"/>
      <x:c r="AG412" s="34" t="str">
        <x:v>article1-unified-v4-2-fb3f101b-20260903-000401-default-f02-p5-nostore-process-baseline-native-memory.txt</x:v>
      </x:c>
      <x:c r="AH412" s="34"/>
      <x:c r="AI412" s="34"/>
    </x:row>
    <x:row r="413">
      <x:c r="A413" s="34" t="str">
        <x:v>article1-unified-v4-2-fb3f101b-20260903-000401-default-f02-p5-nostore</x:v>
      </x:c>
      <x:c r="B413" s="34" t="str">
        <x:v>default</x:v>
      </x:c>
      <x:c r="C413" s="34" t="str">
        <x:v>nostore</x:v>
      </x:c>
      <x:c r="D413" s="34" t="str">
        <x:v>nostore</x:v>
      </x:c>
      <x:c r="E413" s="36" t="n">
        <x:v>2</x:v>
      </x:c>
      <x:c r="F413" s="36" t="n">
        <x:v>2</x:v>
      </x:c>
      <x:c r="G413" s="36" t="n">
        <x:v>5</x:v>
      </x:c>
      <x:c r="H413" s="36" t="n">
        <x:v>1</x:v>
      </x:c>
      <x:c r="I413" s="34" t="str">
        <x:v>baseline</x:v>
      </x:c>
      <x:c r="J413" s="34" t="str">
        <x:v>cycle-baseline</x:v>
      </x:c>
      <x:c r="K413" s="36" t="n">
        <x:v>0</x:v>
      </x:c>
      <x:c r="L413" s="34" t="str">
        <x:v>baseline</x:v>
      </x:c>
      <x:c r="M413" s="34" t="str">
        <x:v>article1-unified-v4-2-fb3f101b-20260903-000401-default-f02-p5-nostore-1-baseline</x:v>
      </x:c>
      <x:c r="N413" s="38" t="n">
        <x:v>46267.98035045139</x:v>
      </x:c>
      <x:c r="O413" s="36" t="n">
        <x:v>0</x:v>
      </x:c>
      <x:c r="P413" s="43" t="n">
        <x:v>32729088</x:v>
      </x:c>
      <x:c r="Q413" s="43" t="n">
        <x:v>270532608</x:v>
      </x:c>
      <x:c r="R413" s="43" t="n">
        <x:v>369249280</x:v>
      </x:c>
      <x:c r="S413" s="36" t="n">
        <x:v>1</x:v>
      </x:c>
      <x:c r="T413" s="44" t="str">
        <x:v>0x000000008a1177b8  0x000000008a003818  0x000076ab34646540       0         0         0  org.apache.catalina.loader.ParallelWebappClassLoader</x:v>
      </x:c>
      <x:c r="U413" s="36" t="n">
        <x:v>27</x:v>
      </x:c>
      <x:c r="V413" s="36" t="n">
        <x:v>0</x:v>
      </x:c>
      <x:c r="W413" s="44"/>
      <x:c r="X413" s="36"/>
      <x:c r="Y413" s="36"/>
      <x:c r="Z413" s="44"/>
      <x:c r="AA413" s="49"/>
      <x:c r="AB413" s="43"/>
      <x:c r="AC413" s="34" t="str">
        <x:v>article1-unified-v4-2-fb3f101b-20260903-000401-default-f02-p5-nostore-1-baseline-heap-info.txt</x:v>
      </x:c>
      <x:c r="AD413" s="34" t="str">
        <x:v>article1-unified-v4-2-fb3f101b-20260903-000401-default-f02-p5-nostore-1-baseline-classloader-stats.txt</x:v>
      </x:c>
      <x:c r="AE413" s="34" t="str">
        <x:v>article1-unified-v4-2-fb3f101b-20260903-000401-default-f02-p5-nostore-1-baseline-thread-dump.txt</x:v>
      </x:c>
      <x:c r="AF413" s="34"/>
      <x:c r="AG413" s="34" t="str">
        <x:v>article1-unified-v4-2-fb3f101b-20260903-000401-default-f02-p5-nostore-1-baseline-native-memory.txt</x:v>
      </x:c>
      <x:c r="AH413" s="34"/>
      <x:c r="AI413" s="34"/>
    </x:row>
    <x:row r="414">
      <x:c r="A414" s="34" t="str">
        <x:v>article1-unified-v4-2-fb3f101b-20260903-000401-default-f02-p5-nostore</x:v>
      </x:c>
      <x:c r="B414" s="34" t="str">
        <x:v>default</x:v>
      </x:c>
      <x:c r="C414" s="34" t="str">
        <x:v>nostore</x:v>
      </x:c>
      <x:c r="D414" s="34" t="str">
        <x:v>nostore</x:v>
      </x:c>
      <x:c r="E414" s="36" t="n">
        <x:v>2</x:v>
      </x:c>
      <x:c r="F414" s="36" t="n">
        <x:v>2</x:v>
      </x:c>
      <x:c r="G414" s="36" t="n">
        <x:v>5</x:v>
      </x:c>
      <x:c r="H414" s="36" t="n">
        <x:v>1</x:v>
      </x:c>
      <x:c r="I414" s="34" t="str">
        <x:v>deployedIdle</x:v>
      </x:c>
      <x:c r="J414" s="34" t="str">
        <x:v>deployed-idle</x:v>
      </x:c>
      <x:c r="K414" s="36" t="n">
        <x:v>0</x:v>
      </x:c>
      <x:c r="L414" s="34" t="str">
        <x:v>initial</x:v>
      </x:c>
      <x:c r="M414" s="34" t="str">
        <x:v>article1-unified-v4-2-fb3f101b-20260903-000401-default-f02-p5-nostore-1-deployed-idle</x:v>
      </x:c>
      <x:c r="N414" s="38" t="n">
        <x:v>46267.98046034722</x:v>
      </x:c>
      <x:c r="O414" s="36" t="n">
        <x:v>0</x:v>
      </x:c>
      <x:c r="P414" s="43" t="n">
        <x:v>23008256</x:v>
      </x:c>
      <x:c r="Q414" s="43" t="n">
        <x:v>268435456</x:v>
      </x:c>
      <x:c r="R414" s="43" t="n">
        <x:v>426800128</x:v>
      </x:c>
      <x:c r="S414" s="36" t="n">
        <x:v>2</x:v>
      </x:c>
      <x:c r="T414" s="44" t="str">
        <x:v>0x000000008a1177b8  0x000000008a003818  0x000076ab34646540       0         0         0  org.apache.catalina.loader.ParallelWebappClassLoader | 0x000000008a1177b8  0x000000008a003818  0x000076aa8c082c30    4091  19428352  19412096  org.apache.catalina.loader.ParallelWebappClassLoader</x:v>
      </x:c>
      <x:c r="U414" s="36" t="n">
        <x:v>27</x:v>
      </x:c>
      <x:c r="V414" s="36" t="n">
        <x:v>0</x:v>
      </x:c>
      <x:c r="W414" s="44"/>
      <x:c r="X414" s="36"/>
      <x:c r="Y414" s="36"/>
      <x:c r="Z414" s="44"/>
      <x:c r="AA414" s="49"/>
      <x:c r="AB414" s="43"/>
      <x:c r="AC414" s="34"/>
      <x:c r="AD414" s="34"/>
      <x:c r="AE414" s="34"/>
      <x:c r="AF414" s="34"/>
      <x:c r="AG414" s="34"/>
      <x:c r="AH414" s="34"/>
      <x:c r="AI414" s="34"/>
    </x:row>
    <x:row r="415">
      <x:c r="A415" s="34" t="str">
        <x:v>article1-unified-v4-2-fb3f101b-20260903-000401-default-f02-p5-nostore</x:v>
      </x:c>
      <x:c r="B415" s="34" t="str">
        <x:v>default</x:v>
      </x:c>
      <x:c r="C415" s="34" t="str">
        <x:v>nostore</x:v>
      </x:c>
      <x:c r="D415" s="34" t="str">
        <x:v>nostore</x:v>
      </x:c>
      <x:c r="E415" s="36" t="n">
        <x:v>2</x:v>
      </x:c>
      <x:c r="F415" s="36" t="n">
        <x:v>2</x:v>
      </x:c>
      <x:c r="G415" s="36" t="n">
        <x:v>5</x:v>
      </x:c>
      <x:c r="H415" s="36" t="n">
        <x:v>1</x:v>
      </x:c>
      <x:c r="I415" s="34" t="str">
        <x:v>loaded</x:v>
      </x:c>
      <x:c r="J415" s="34" t="str">
        <x:v>loaded</x:v>
      </x:c>
      <x:c r="K415" s="36" t="n">
        <x:v>0</x:v>
      </x:c>
      <x:c r="L415" s="34" t="str">
        <x:v>initial</x:v>
      </x:c>
      <x:c r="M415" s="34" t="str">
        <x:v>article1-unified-v4-2-fb3f101b-20260903-000401-default-f02-p5-nostore-1-loaded</x:v>
      </x:c>
      <x:c r="N415" s="38" t="n">
        <x:v>46267.980615960645</x:v>
      </x:c>
      <x:c r="O415" s="36" t="n">
        <x:v>0</x:v>
      </x:c>
      <x:c r="P415" s="43" t="n">
        <x:v>106200064</x:v>
      </x:c>
      <x:c r="Q415" s="43" t="n">
        <x:v>477102080</x:v>
      </x:c>
      <x:c r="R415" s="43" t="n">
        <x:v>637937664</x:v>
      </x:c>
      <x:c r="S415" s="36" t="n">
        <x:v>2</x:v>
      </x:c>
      <x:c r="T415" s="44" t="str">
        <x:v>0x000000008a1177b8  0x000000008a003818  0x000076aa8c082c30    4296  20447232  20435728  org.apache.catalina.loader.ParallelWebappClassLoader | 0x000000008a1177b8  0x000000008a003818  0x000076ab34646540       0         0         0  org.apache.catalina.loader.ParallelWebappClassLoader</x:v>
      </x:c>
      <x:c r="U415" s="36" t="n">
        <x:v>27</x:v>
      </x:c>
      <x:c r="V415" s="36" t="n">
        <x:v>0</x:v>
      </x:c>
      <x:c r="W415" s="44"/>
      <x:c r="X415" s="36"/>
      <x:c r="Y415" s="36"/>
      <x:c r="Z415" s="44"/>
      <x:c r="AA415" s="49"/>
      <x:c r="AB415" s="43"/>
      <x:c r="AC415" s="34"/>
      <x:c r="AD415" s="34"/>
      <x:c r="AE415" s="34"/>
      <x:c r="AF415" s="34"/>
      <x:c r="AG415" s="34"/>
      <x:c r="AH415" s="34"/>
      <x:c r="AI415" s="34"/>
    </x:row>
    <x:row r="416">
      <x:c r="A416" s="34" t="str">
        <x:v>article1-unified-v4-2-fb3f101b-20260903-000401-default-f02-p5-nostore</x:v>
      </x:c>
      <x:c r="B416" s="34" t="str">
        <x:v>default</x:v>
      </x:c>
      <x:c r="C416" s="34" t="str">
        <x:v>nostore</x:v>
      </x:c>
      <x:c r="D416" s="34" t="str">
        <x:v>nostore</x:v>
      </x:c>
      <x:c r="E416" s="36" t="n">
        <x:v>2</x:v>
      </x:c>
      <x:c r="F416" s="36" t="n">
        <x:v>2</x:v>
      </x:c>
      <x:c r="G416" s="36" t="n">
        <x:v>5</x:v>
      </x:c>
      <x:c r="H416" s="36" t="n">
        <x:v>1</x:v>
      </x:c>
      <x:c r="I416" s="34" t="str">
        <x:v>afterUndeployEarly</x:v>
      </x:c>
      <x:c r="J416" s="34" t="str">
        <x:v>after-undeploy-early</x:v>
      </x:c>
      <x:c r="K416" s="36" t="n">
        <x:v>1</x:v>
      </x:c>
      <x:c r="L416" s="34" t="str">
        <x:v>early</x:v>
      </x:c>
      <x:c r="M416" s="34" t="str">
        <x:v>article1-unified-v4-2-fb3f101b-20260903-000401-default-f02-p5-nostore-1-after-undeploy-early-2s</x:v>
      </x:c>
      <x:c r="N416" s="38" t="n">
        <x:v>46267.98070199074</x:v>
      </x:c>
      <x:c r="O416" s="36"/>
      <x:c r="P416" s="43"/>
      <x:c r="Q416" s="43"/>
      <x:c r="R416" s="43"/>
      <x:c r="S416" s="36"/>
      <x:c r="T416" s="44"/>
      <x:c r="U416" s="36" t="n">
        <x:v>27</x:v>
      </x:c>
      <x:c r="V416" s="36" t="n">
        <x:v>0</x:v>
      </x:c>
      <x:c r="W416" s="44"/>
      <x:c r="X416" s="36"/>
      <x:c r="Y416" s="36"/>
      <x:c r="Z416" s="44"/>
      <x:c r="AA416" s="49"/>
      <x:c r="AB416" s="43" t="n">
        <x:v>1</x:v>
      </x:c>
      <x:c r="AC416" s="34"/>
      <x:c r="AD416" s="34"/>
      <x:c r="AE416" s="34" t="str">
        <x:v>article1-unified-v4-2-fb3f101b-20260903-000401-default-f02-p5-nostore-1-after-undeploy-early-2s-thread-dump.txt</x:v>
      </x:c>
      <x:c r="AF416" s="34" t="str">
        <x:v>article1-unified-v4-2-fb3f101b-20260903-000401-default-f02-p5-nostore-1-after-undeploy-early-tomcat-log.txt</x:v>
      </x:c>
      <x:c r="AG416" s="34"/>
      <x:c r="AH416" s="34"/>
      <x:c r="AI416" s="34"/>
    </x:row>
    <x:row r="417">
      <x:c r="A417" s="34" t="str">
        <x:v>article1-unified-v4-2-fb3f101b-20260903-000401-default-f02-p5-nostore</x:v>
      </x:c>
      <x:c r="B417" s="34" t="str">
        <x:v>default</x:v>
      </x:c>
      <x:c r="C417" s="34" t="str">
        <x:v>nostore</x:v>
      </x:c>
      <x:c r="D417" s="34" t="str">
        <x:v>nostore</x:v>
      </x:c>
      <x:c r="E417" s="36" t="n">
        <x:v>2</x:v>
      </x:c>
      <x:c r="F417" s="36" t="n">
        <x:v>2</x:v>
      </x:c>
      <x:c r="G417" s="36" t="n">
        <x:v>5</x:v>
      </x:c>
      <x:c r="H417" s="36" t="n">
        <x:v>1</x:v>
      </x:c>
      <x:c r="I417" s="34" t="str">
        <x:v>afterUndeploy</x:v>
      </x:c>
      <x:c r="J417" s="34" t="str">
        <x:v>after-undeploy-final</x:v>
      </x:c>
      <x:c r="K417" s="36" t="n">
        <x:v>1</x:v>
      </x:c>
      <x:c r="L417" s="34" t="str">
        <x:v>final</x:v>
      </x:c>
      <x:c r="M417" s="34" t="str">
        <x:v>article1-unified-v4-2-fb3f101b-20260903-000401-default-f02-p5-nostore-1-after-undeploy-final-10s</x:v>
      </x:c>
      <x:c r="N417" s="38" t="n">
        <x:v>46267.98085864583</x:v>
      </x:c>
      <x:c r="O417" s="36" t="n">
        <x:v>2</x:v>
      </x:c>
      <x:c r="P417" s="43" t="n">
        <x:v>15744000</x:v>
      </x:c>
      <x:c r="Q417" s="43" t="n">
        <x:v>268435456</x:v>
      </x:c>
      <x:c r="R417" s="43" t="n">
        <x:v>408270848</x:v>
      </x:c>
      <x:c r="S417" s="36" t="n">
        <x:v>2</x:v>
      </x:c>
      <x:c r="T417" s="44" t="str">
        <x:v>0x000000008a1177b8  0x000000008a003818  0x000076ab34646540       0         0         0  org.apache.catalina.loader.ParallelWebappClassLoader | 0x000000008a1177b8  0x000000008a003818  0x000076aa8c082c30    4304  20488192  20460624  org.apache.catalina.loader.ParallelWebappClassLoader</x:v>
      </x:c>
      <x:c r="U417" s="36" t="n">
        <x:v>27</x:v>
      </x:c>
      <x:c r="V417" s="36" t="n">
        <x:v>0</x:v>
      </x:c>
      <x:c r="W417" s="44"/>
      <x:c r="X417" s="36" t="n">
        <x:v>1</x:v>
      </x:c>
      <x:c r="Y417" s="36" t="n">
        <x:v>1</x:v>
      </x:c>
      <x:c r="Z417" s="44" t="str">
        <x:v>/nostore</x:v>
      </x:c>
      <x:c r="AA417" s="45" t="b">
        <x:v>1</x:v>
      </x:c>
      <x:c r="AB417" s="43"/>
      <x:c r="AC417" s="34" t="str">
        <x:v>article1-unified-v4-2-fb3f101b-20260903-000401-default-f02-p5-nostore-1-after-undeploy-final-10s-heap-info.txt</x:v>
      </x:c>
      <x:c r="AD417" s="34" t="str">
        <x:v>article1-unified-v4-2-fb3f101b-20260903-000401-default-f02-p5-nostore-1-after-undeploy-final-10s-classloader-stats.txt</x:v>
      </x:c>
      <x:c r="AE417" s="34" t="str">
        <x:v>article1-unified-v4-2-fb3f101b-20260903-000401-default-f02-p5-nostore-1-after-undeploy-final-10s-thread-dump.txt</x:v>
      </x:c>
      <x:c r="AF417" s="34"/>
      <x:c r="AG417" s="34" t="str">
        <x:v>article1-unified-v4-2-fb3f101b-20260903-000401-default-f02-p5-nostore-1-after-undeploy-final-10s-native-memory.txt</x:v>
      </x:c>
      <x:c r="AH417" s="34" t="str">
        <x:v>article1-unified-v4-2-fb3f101b-20260903-000401-default-f02-p5-nostore-1-after-undeploy-final-10s-class-histogram.txt</x:v>
      </x:c>
      <x:c r="AI417" s="34" t="str">
        <x:v>article1-unified-v4-2-fb3f101b-20260903-000401-default-f02-p5-nostore-1-after-undeploy-tomcat-findleaks.txt</x:v>
      </x:c>
    </x:row>
    <x:row r="418">
      <x:c r="A418" s="34" t="str">
        <x:v>article1-unified-v4-2-fb3f101b-20260903-000401-default-f02-p5-nostore</x:v>
      </x:c>
      <x:c r="B418" s="34" t="str">
        <x:v>default</x:v>
      </x:c>
      <x:c r="C418" s="34" t="str">
        <x:v>nostore</x:v>
      </x:c>
      <x:c r="D418" s="34" t="str">
        <x:v>nostore</x:v>
      </x:c>
      <x:c r="E418" s="36" t="n">
        <x:v>2</x:v>
      </x:c>
      <x:c r="F418" s="36" t="n">
        <x:v>2</x:v>
      </x:c>
      <x:c r="G418" s="36" t="n">
        <x:v>5</x:v>
      </x:c>
      <x:c r="H418" s="36" t="n">
        <x:v>1</x:v>
      </x:c>
      <x:c r="I418" s="34" t="str">
        <x:v>redeployedLoaded</x:v>
      </x:c>
      <x:c r="J418" s="34" t="str">
        <x:v>redeployed-loaded</x:v>
      </x:c>
      <x:c r="K418" s="36" t="n">
        <x:v>0</x:v>
      </x:c>
      <x:c r="L418" s="34" t="str">
        <x:v>redeploy</x:v>
      </x:c>
      <x:c r="M418" s="34" t="str">
        <x:v>article1-unified-v4-2-fb3f101b-20260903-000401-default-f02-p5-nostore-1-redeployed-loaded</x:v>
      </x:c>
      <x:c r="N418" s="38" t="n">
        <x:v>46267.98113175926</x:v>
      </x:c>
      <x:c r="O418" s="36" t="n">
        <x:v>0</x:v>
      </x:c>
      <x:c r="P418" s="43" t="n">
        <x:v>305872896</x:v>
      </x:c>
      <x:c r="Q418" s="43" t="n">
        <x:v>333447168</x:v>
      </x:c>
      <x:c r="R418" s="43" t="n">
        <x:v>500797440</x:v>
      </x:c>
      <x:c r="S418" s="36" t="n">
        <x:v>3</x:v>
      </x:c>
      <x:c r="T418" s="44" t="str">
        <x:v>0x000000008a1177b8  0x000000008a003818  0x000076aaa4011a10    4289  20429824  20416496  org.apache.catalina.loader.ParallelWebappClassLoader | 0x000000008a1177b8  0x000000008a003818  0x000076ab34646540       0         0         0  org.apache.catalina.loader.ParallelWebappClassLoader | 0x000000008a1177b8  0x000000008a003818  0x000076aa8c082c30    4304  20488192  20460624  org.apache.catalina.loader.ParallelWebappClassLoader</x:v>
      </x:c>
      <x:c r="U418" s="36" t="n">
        <x:v>27</x:v>
      </x:c>
      <x:c r="V418" s="36" t="n">
        <x:v>0</x:v>
      </x:c>
      <x:c r="W418" s="44"/>
      <x:c r="X418" s="36"/>
      <x:c r="Y418" s="36"/>
      <x:c r="Z418" s="44"/>
      <x:c r="AA418" s="49"/>
      <x:c r="AB418" s="43"/>
      <x:c r="AC418" s="34"/>
      <x:c r="AD418" s="34"/>
      <x:c r="AE418" s="34"/>
      <x:c r="AF418" s="34"/>
      <x:c r="AG418" s="34"/>
      <x:c r="AH418" s="34"/>
      <x:c r="AI418" s="34"/>
    </x:row>
    <x:row r="419">
      <x:c r="A419" s="34" t="str">
        <x:v>article1-unified-v4-2-fb3f101b-20260903-000401-default-f02-p5-nostore</x:v>
      </x:c>
      <x:c r="B419" s="34" t="str">
        <x:v>default</x:v>
      </x:c>
      <x:c r="C419" s="34" t="str">
        <x:v>nostore</x:v>
      </x:c>
      <x:c r="D419" s="34" t="str">
        <x:v>nostore</x:v>
      </x:c>
      <x:c r="E419" s="36" t="n">
        <x:v>2</x:v>
      </x:c>
      <x:c r="F419" s="36" t="n">
        <x:v>2</x:v>
      </x:c>
      <x:c r="G419" s="36" t="n">
        <x:v>5</x:v>
      </x:c>
      <x:c r="H419" s="36" t="n">
        <x:v>1</x:v>
      </x:c>
      <x:c r="I419" s="34" t="str">
        <x:v>afterFinalUndeployEarly</x:v>
      </x:c>
      <x:c r="J419" s="34" t="str">
        <x:v>after-final-undeploy-early</x:v>
      </x:c>
      <x:c r="K419" s="36" t="n">
        <x:v>2</x:v>
      </x:c>
      <x:c r="L419" s="34" t="str">
        <x:v>early</x:v>
      </x:c>
      <x:c r="M419" s="34" t="str">
        <x:v>article1-unified-v4-2-fb3f101b-20260903-000401-default-f02-p5-nostore-1-after-final-undeploy-early-2s</x:v>
      </x:c>
      <x:c r="N419" s="38" t="n">
        <x:v>46267.98121457176</x:v>
      </x:c>
      <x:c r="O419" s="36"/>
      <x:c r="P419" s="43"/>
      <x:c r="Q419" s="43"/>
      <x:c r="R419" s="43"/>
      <x:c r="S419" s="36"/>
      <x:c r="T419" s="44"/>
      <x:c r="U419" s="36" t="n">
        <x:v>27</x:v>
      </x:c>
      <x:c r="V419" s="36" t="n">
        <x:v>0</x:v>
      </x:c>
      <x:c r="W419" s="44"/>
      <x:c r="X419" s="36"/>
      <x:c r="Y419" s="36"/>
      <x:c r="Z419" s="44"/>
      <x:c r="AA419" s="49"/>
      <x:c r="AB419" s="43" t="n">
        <x:v>1</x:v>
      </x:c>
      <x:c r="AC419" s="34"/>
      <x:c r="AD419" s="34"/>
      <x:c r="AE419" s="34" t="str">
        <x:v>article1-unified-v4-2-fb3f101b-20260903-000401-default-f02-p5-nostore-1-after-final-undeploy-early-2s-thread-dump.txt</x:v>
      </x:c>
      <x:c r="AF419" s="34" t="str">
        <x:v>article1-unified-v4-2-fb3f101b-20260903-000401-default-f02-p5-nostore-1-after-final-undeploy-early-tomcat-log.txt</x:v>
      </x:c>
      <x:c r="AG419" s="34"/>
      <x:c r="AH419" s="34"/>
      <x:c r="AI419" s="34"/>
    </x:row>
    <x:row r="420">
      <x:c r="A420" s="34" t="str">
        <x:v>article1-unified-v4-2-fb3f101b-20260903-000401-default-f02-p5-nostore</x:v>
      </x:c>
      <x:c r="B420" s="34" t="str">
        <x:v>default</x:v>
      </x:c>
      <x:c r="C420" s="34" t="str">
        <x:v>nostore</x:v>
      </x:c>
      <x:c r="D420" s="34" t="str">
        <x:v>nostore</x:v>
      </x:c>
      <x:c r="E420" s="36" t="n">
        <x:v>2</x:v>
      </x:c>
      <x:c r="F420" s="36" t="n">
        <x:v>2</x:v>
      </x:c>
      <x:c r="G420" s="36" t="n">
        <x:v>5</x:v>
      </x:c>
      <x:c r="H420" s="36" t="n">
        <x:v>1</x:v>
      </x:c>
      <x:c r="I420" s="34" t="str">
        <x:v>afterFinalUndeploy</x:v>
      </x:c>
      <x:c r="J420" s="34" t="str">
        <x:v>after-final-undeploy-final</x:v>
      </x:c>
      <x:c r="K420" s="36" t="n">
        <x:v>2</x:v>
      </x:c>
      <x:c r="L420" s="34" t="str">
        <x:v>final</x:v>
      </x:c>
      <x:c r="M420" s="34" t="str">
        <x:v>article1-unified-v4-2-fb3f101b-20260903-000401-default-f02-p5-nostore-1-after-final-undeploy-final-10s</x:v>
      </x:c>
      <x:c r="N420" s="38" t="n">
        <x:v>46267.98137612268</x:v>
      </x:c>
      <x:c r="O420" s="36" t="n">
        <x:v>2</x:v>
      </x:c>
      <x:c r="P420" s="43" t="n">
        <x:v>15385600</x:v>
      </x:c>
      <x:c r="Q420" s="43" t="n">
        <x:v>268435456</x:v>
      </x:c>
      <x:c r="R420" s="43" t="n">
        <x:v>415606784</x:v>
      </x:c>
      <x:c r="S420" s="36" t="n">
        <x:v>2</x:v>
      </x:c>
      <x:c r="T420" s="44" t="str">
        <x:v>0x000000008a1177b8  0x000000008a003818  0x000076aaa4011a10    4297  20462592  20441120  org.apache.catalina.loader.ParallelWebappClassLoader | 0x000000008a1177b8  0x000000008a003818  0x000076ab34646540       0         0         0  org.apache.catalina.loader.ParallelWebappClassLoader</x:v>
      </x:c>
      <x:c r="U420" s="36" t="n">
        <x:v>27</x:v>
      </x:c>
      <x:c r="V420" s="36" t="n">
        <x:v>0</x:v>
      </x:c>
      <x:c r="W420" s="44"/>
      <x:c r="X420" s="36" t="n">
        <x:v>1</x:v>
      </x:c>
      <x:c r="Y420" s="36" t="n">
        <x:v>1</x:v>
      </x:c>
      <x:c r="Z420" s="44" t="str">
        <x:v>/nostore</x:v>
      </x:c>
      <x:c r="AA420" s="45" t="b">
        <x:v>1</x:v>
      </x:c>
      <x:c r="AB420" s="43"/>
      <x:c r="AC420" s="34" t="str">
        <x:v>article1-unified-v4-2-fb3f101b-20260903-000401-default-f02-p5-nostore-1-after-final-undeploy-final-10s-heap-info.txt</x:v>
      </x:c>
      <x:c r="AD420" s="34" t="str">
        <x:v>article1-unified-v4-2-fb3f101b-20260903-000401-default-f02-p5-nostore-1-after-final-undeploy-final-10s-classloader-stats.txt</x:v>
      </x:c>
      <x:c r="AE420" s="34" t="str">
        <x:v>article1-unified-v4-2-fb3f101b-20260903-000401-default-f02-p5-nostore-1-after-final-undeploy-final-10s-thread-dump.txt</x:v>
      </x:c>
      <x:c r="AF420" s="34"/>
      <x:c r="AG420" s="34" t="str">
        <x:v>article1-unified-v4-2-fb3f101b-20260903-000401-default-f02-p5-nostore-1-after-final-undeploy-final-10s-native-memory.txt</x:v>
      </x:c>
      <x:c r="AH420" s="34" t="str">
        <x:v>article1-unified-v4-2-fb3f101b-20260903-000401-default-f02-p5-nostore-1-after-final-undeploy-final-10s-class-histogram.txt</x:v>
      </x:c>
      <x:c r="AI420" s="34" t="str">
        <x:v>article1-unified-v4-2-fb3f101b-20260903-000401-default-f02-p5-nostore-1-after-final-undeploy-tomcat-findleaks.txt</x:v>
      </x:c>
    </x:row>
    <x:row r="421">
      <x:c r="A421" s="34" t="str">
        <x:v>article1-unified-v4-2-fb3f101b-20260903-000401-default-f02-p5-nostore</x:v>
      </x:c>
      <x:c r="B421" s="34" t="str">
        <x:v>default</x:v>
      </x:c>
      <x:c r="C421" s="34" t="str">
        <x:v>nostore</x:v>
      </x:c>
      <x:c r="D421" s="34" t="str">
        <x:v>nostore</x:v>
      </x:c>
      <x:c r="E421" s="36" t="n">
        <x:v>2</x:v>
      </x:c>
      <x:c r="F421" s="36" t="n">
        <x:v>2</x:v>
      </x:c>
      <x:c r="G421" s="36" t="n">
        <x:v>5</x:v>
      </x:c>
      <x:c r="H421" s="36" t="n">
        <x:v>2</x:v>
      </x:c>
      <x:c r="I421" s="34" t="str">
        <x:v>baseline</x:v>
      </x:c>
      <x:c r="J421" s="34" t="str">
        <x:v>cycle-baseline</x:v>
      </x:c>
      <x:c r="K421" s="36" t="n">
        <x:v>0</x:v>
      </x:c>
      <x:c r="L421" s="34" t="str">
        <x:v>baseline</x:v>
      </x:c>
      <x:c r="M421" s="34" t="str">
        <x:v>article1-unified-v4-2-fb3f101b-20260903-000401-default-f02-p5-nostore-2-baseline</x:v>
      </x:c>
      <x:c r="N421" s="38" t="n">
        <x:v>46267.981419791664</x:v>
      </x:c>
      <x:c r="O421" s="36" t="n">
        <x:v>0</x:v>
      </x:c>
      <x:c r="P421" s="43" t="n">
        <x:v>15456256</x:v>
      </x:c>
      <x:c r="Q421" s="43" t="n">
        <x:v>268435456</x:v>
      </x:c>
      <x:c r="R421" s="43" t="n">
        <x:v>415541248</x:v>
      </x:c>
      <x:c r="S421" s="36" t="n">
        <x:v>2</x:v>
      </x:c>
      <x:c r="T421" s="44" t="str">
        <x:v>0x000000008a1177b8  0x000000008a003818  0x000076aaa4011a10    4297  20462592  20441120  org.apache.catalina.loader.ParallelWebappClassLoader | 0x000000008a1177b8  0x000000008a003818  0x000076ab34646540       0         0         0  org.apache.catalina.loader.ParallelWebappClassLoader</x:v>
      </x:c>
      <x:c r="U421" s="36" t="n">
        <x:v>27</x:v>
      </x:c>
      <x:c r="V421" s="36" t="n">
        <x:v>0</x:v>
      </x:c>
      <x:c r="W421" s="44"/>
      <x:c r="X421" s="36"/>
      <x:c r="Y421" s="36"/>
      <x:c r="Z421" s="44"/>
      <x:c r="AA421" s="49"/>
      <x:c r="AB421" s="43"/>
      <x:c r="AC421" s="34" t="str">
        <x:v>article1-unified-v4-2-fb3f101b-20260903-000401-default-f02-p5-nostore-2-baseline-heap-info.txt</x:v>
      </x:c>
      <x:c r="AD421" s="34" t="str">
        <x:v>article1-unified-v4-2-fb3f101b-20260903-000401-default-f02-p5-nostore-2-baseline-classloader-stats.txt</x:v>
      </x:c>
      <x:c r="AE421" s="34" t="str">
        <x:v>article1-unified-v4-2-fb3f101b-20260903-000401-default-f02-p5-nostore-2-baseline-thread-dump.txt</x:v>
      </x:c>
      <x:c r="AF421" s="34"/>
      <x:c r="AG421" s="34" t="str">
        <x:v>article1-unified-v4-2-fb3f101b-20260903-000401-default-f02-p5-nostore-2-baseline-native-memory.txt</x:v>
      </x:c>
      <x:c r="AH421" s="34"/>
      <x:c r="AI421" s="34"/>
    </x:row>
    <x:row r="422">
      <x:c r="A422" s="34" t="str">
        <x:v>article1-unified-v4-2-fb3f101b-20260903-000401-default-f02-p5-nostore</x:v>
      </x:c>
      <x:c r="B422" s="34" t="str">
        <x:v>default</x:v>
      </x:c>
      <x:c r="C422" s="34" t="str">
        <x:v>nostore</x:v>
      </x:c>
      <x:c r="D422" s="34" t="str">
        <x:v>nostore</x:v>
      </x:c>
      <x:c r="E422" s="36" t="n">
        <x:v>2</x:v>
      </x:c>
      <x:c r="F422" s="36" t="n">
        <x:v>2</x:v>
      </x:c>
      <x:c r="G422" s="36" t="n">
        <x:v>5</x:v>
      </x:c>
      <x:c r="H422" s="36" t="n">
        <x:v>2</x:v>
      </x:c>
      <x:c r="I422" s="34" t="str">
        <x:v>deployedIdle</x:v>
      </x:c>
      <x:c r="J422" s="34" t="str">
        <x:v>deployed-idle</x:v>
      </x:c>
      <x:c r="K422" s="36" t="n">
        <x:v>0</x:v>
      </x:c>
      <x:c r="L422" s="34" t="str">
        <x:v>initial</x:v>
      </x:c>
      <x:c r="M422" s="34" t="str">
        <x:v>article1-unified-v4-2-fb3f101b-20260903-000401-default-f02-p5-nostore-2-deployed-idle</x:v>
      </x:c>
      <x:c r="N422" s="38" t="n">
        <x:v>46267.98152201389</x:v>
      </x:c>
      <x:c r="O422" s="36" t="n">
        <x:v>0</x:v>
      </x:c>
      <x:c r="P422" s="43" t="n">
        <x:v>44142592</x:v>
      </x:c>
      <x:c r="Q422" s="43" t="n">
        <x:v>268435456</x:v>
      </x:c>
      <x:c r="R422" s="43" t="n">
        <x:v>434107392</x:v>
      </x:c>
      <x:c r="S422" s="36" t="n">
        <x:v>3</x:v>
      </x:c>
      <x:c r="T422" s="44" t="str">
        <x:v>0x000000008a1177b8  0x000000008a003818  0x000076aa9c02bab0    4091  19456000  19432280  org.apache.catalina.loader.ParallelWebappClassLoader | 0x000000008a1177b8  0x000000008a003818  0x000076aaa4011a10    4297  20462592  20441120  org.apache.catalina.loader.ParallelWebappClassLoader | 0x000000008a1177b8  0x000000008a003818  0x000076ab34646540       0         0         0  org.apache.catalina.loader.ParallelWebappClassLoader</x:v>
      </x:c>
      <x:c r="U422" s="36" t="n">
        <x:v>27</x:v>
      </x:c>
      <x:c r="V422" s="36" t="n">
        <x:v>0</x:v>
      </x:c>
      <x:c r="W422" s="44"/>
      <x:c r="X422" s="36"/>
      <x:c r="Y422" s="36"/>
      <x:c r="Z422" s="44"/>
      <x:c r="AA422" s="49"/>
      <x:c r="AB422" s="43"/>
      <x:c r="AC422" s="34"/>
      <x:c r="AD422" s="34"/>
      <x:c r="AE422" s="34"/>
      <x:c r="AF422" s="34"/>
      <x:c r="AG422" s="34"/>
      <x:c r="AH422" s="34"/>
      <x:c r="AI422" s="34"/>
    </x:row>
    <x:row r="423">
      <x:c r="A423" s="34" t="str">
        <x:v>article1-unified-v4-2-fb3f101b-20260903-000401-default-f02-p5-nostore</x:v>
      </x:c>
      <x:c r="B423" s="34" t="str">
        <x:v>default</x:v>
      </x:c>
      <x:c r="C423" s="34" t="str">
        <x:v>nostore</x:v>
      </x:c>
      <x:c r="D423" s="34" t="str">
        <x:v>nostore</x:v>
      </x:c>
      <x:c r="E423" s="36" t="n">
        <x:v>2</x:v>
      </x:c>
      <x:c r="F423" s="36" t="n">
        <x:v>2</x:v>
      </x:c>
      <x:c r="G423" s="36" t="n">
        <x:v>5</x:v>
      </x:c>
      <x:c r="H423" s="36" t="n">
        <x:v>2</x:v>
      </x:c>
      <x:c r="I423" s="34" t="str">
        <x:v>loaded</x:v>
      </x:c>
      <x:c r="J423" s="34" t="str">
        <x:v>loaded</x:v>
      </x:c>
      <x:c r="K423" s="36" t="n">
        <x:v>0</x:v>
      </x:c>
      <x:c r="L423" s="34" t="str">
        <x:v>initial</x:v>
      </x:c>
      <x:c r="M423" s="34" t="str">
        <x:v>article1-unified-v4-2-fb3f101b-20260903-000401-default-f02-p5-nostore-2-loaded</x:v>
      </x:c>
      <x:c r="N423" s="38" t="n">
        <x:v>46267.98167469908</x:v>
      </x:c>
      <x:c r="O423" s="36" t="n">
        <x:v>0</x:v>
      </x:c>
      <x:c r="P423" s="43" t="n">
        <x:v>307810304</x:v>
      </x:c>
      <x:c r="Q423" s="43" t="n">
        <x:v>328204288</x:v>
      </x:c>
      <x:c r="R423" s="43" t="n">
        <x:v>477776896</x:v>
      </x:c>
      <x:c r="S423" s="36" t="n">
        <x:v>2</x:v>
      </x:c>
      <x:c r="T423" s="44" t="str">
        <x:v>0x000000008a1177b8  0x000000008a003818  0x000076ab34646540       0         0         0  org.apache.catalina.loader.ParallelWebappClassLoader | 0x000000008a1177b8  0x000000008a003818  0x000076aa9c02bab0    4286  20422656  20414064  org.apache.catalina.loader.ParallelWebappClassLoader</x:v>
      </x:c>
      <x:c r="U423" s="36" t="n">
        <x:v>27</x:v>
      </x:c>
      <x:c r="V423" s="36" t="n">
        <x:v>0</x:v>
      </x:c>
      <x:c r="W423" s="44"/>
      <x:c r="X423" s="36"/>
      <x:c r="Y423" s="36"/>
      <x:c r="Z423" s="44"/>
      <x:c r="AA423" s="49"/>
      <x:c r="AB423" s="43"/>
      <x:c r="AC423" s="34"/>
      <x:c r="AD423" s="34"/>
      <x:c r="AE423" s="34"/>
      <x:c r="AF423" s="34"/>
      <x:c r="AG423" s="34"/>
      <x:c r="AH423" s="34"/>
      <x:c r="AI423" s="34"/>
    </x:row>
    <x:row r="424">
      <x:c r="A424" s="34" t="str">
        <x:v>article1-unified-v4-2-fb3f101b-20260903-000401-default-f02-p5-nostore</x:v>
      </x:c>
      <x:c r="B424" s="34" t="str">
        <x:v>default</x:v>
      </x:c>
      <x:c r="C424" s="34" t="str">
        <x:v>nostore</x:v>
      </x:c>
      <x:c r="D424" s="34" t="str">
        <x:v>nostore</x:v>
      </x:c>
      <x:c r="E424" s="36" t="n">
        <x:v>2</x:v>
      </x:c>
      <x:c r="F424" s="36" t="n">
        <x:v>2</x:v>
      </x:c>
      <x:c r="G424" s="36" t="n">
        <x:v>5</x:v>
      </x:c>
      <x:c r="H424" s="36" t="n">
        <x:v>2</x:v>
      </x:c>
      <x:c r="I424" s="34" t="str">
        <x:v>afterUndeployEarly</x:v>
      </x:c>
      <x:c r="J424" s="34" t="str">
        <x:v>after-undeploy-early</x:v>
      </x:c>
      <x:c r="K424" s="36" t="n">
        <x:v>1</x:v>
      </x:c>
      <x:c r="L424" s="34" t="str">
        <x:v>early</x:v>
      </x:c>
      <x:c r="M424" s="34" t="str">
        <x:v>article1-unified-v4-2-fb3f101b-20260903-000401-default-f02-p5-nostore-2-after-undeploy-early-2s</x:v>
      </x:c>
      <x:c r="N424" s="38" t="n">
        <x:v>46267.98176106482</x:v>
      </x:c>
      <x:c r="O424" s="36"/>
      <x:c r="P424" s="43"/>
      <x:c r="Q424" s="43"/>
      <x:c r="R424" s="43"/>
      <x:c r="S424" s="36"/>
      <x:c r="T424" s="44"/>
      <x:c r="U424" s="36" t="n">
        <x:v>27</x:v>
      </x:c>
      <x:c r="V424" s="36" t="n">
        <x:v>0</x:v>
      </x:c>
      <x:c r="W424" s="44"/>
      <x:c r="X424" s="36"/>
      <x:c r="Y424" s="36"/>
      <x:c r="Z424" s="44"/>
      <x:c r="AA424" s="49"/>
      <x:c r="AB424" s="43" t="n">
        <x:v>1</x:v>
      </x:c>
      <x:c r="AC424" s="34"/>
      <x:c r="AD424" s="34"/>
      <x:c r="AE424" s="34" t="str">
        <x:v>article1-unified-v4-2-fb3f101b-20260903-000401-default-f02-p5-nostore-2-after-undeploy-early-2s-thread-dump.txt</x:v>
      </x:c>
      <x:c r="AF424" s="34" t="str">
        <x:v>article1-unified-v4-2-fb3f101b-20260903-000401-default-f02-p5-nostore-2-after-undeploy-early-tomcat-log.txt</x:v>
      </x:c>
      <x:c r="AG424" s="34"/>
      <x:c r="AH424" s="34"/>
      <x:c r="AI424" s="34"/>
    </x:row>
    <x:row r="425">
      <x:c r="A425" s="34" t="str">
        <x:v>article1-unified-v4-2-fb3f101b-20260903-000401-default-f02-p5-nostore</x:v>
      </x:c>
      <x:c r="B425" s="34" t="str">
        <x:v>default</x:v>
      </x:c>
      <x:c r="C425" s="34" t="str">
        <x:v>nostore</x:v>
      </x:c>
      <x:c r="D425" s="34" t="str">
        <x:v>nostore</x:v>
      </x:c>
      <x:c r="E425" s="36" t="n">
        <x:v>2</x:v>
      </x:c>
      <x:c r="F425" s="36" t="n">
        <x:v>2</x:v>
      </x:c>
      <x:c r="G425" s="36" t="n">
        <x:v>5</x:v>
      </x:c>
      <x:c r="H425" s="36" t="n">
        <x:v>2</x:v>
      </x:c>
      <x:c r="I425" s="34" t="str">
        <x:v>afterUndeploy</x:v>
      </x:c>
      <x:c r="J425" s="34" t="str">
        <x:v>after-undeploy-final</x:v>
      </x:c>
      <x:c r="K425" s="36" t="n">
        <x:v>1</x:v>
      </x:c>
      <x:c r="L425" s="34" t="str">
        <x:v>final</x:v>
      </x:c>
      <x:c r="M425" s="34" t="str">
        <x:v>article1-unified-v4-2-fb3f101b-20260903-000401-default-f02-p5-nostore-2-after-undeploy-final-10s</x:v>
      </x:c>
      <x:c r="N425" s="38" t="n">
        <x:v>46267.98192168982</x:v>
      </x:c>
      <x:c r="O425" s="36" t="n">
        <x:v>2</x:v>
      </x:c>
      <x:c r="P425" s="43" t="n">
        <x:v>15406080</x:v>
      </x:c>
      <x:c r="Q425" s="43" t="n">
        <x:v>268435456</x:v>
      </x:c>
      <x:c r="R425" s="43" t="n">
        <x:v>413957120</x:v>
      </x:c>
      <x:c r="S425" s="36" t="n">
        <x:v>2</x:v>
      </x:c>
      <x:c r="T425" s="44" t="str">
        <x:v>0x000000008a1177b8  0x000000008a003818  0x000076aa9c02bab0    4294  20455424  20438728  org.apache.catalina.loader.ParallelWebappClassLoader | 0x000000008a1177b8  0x000000008a003818  0x000076ab34646540       0         0         0  org.apache.catalina.loader.ParallelWebappClassLoader</x:v>
      </x:c>
      <x:c r="U425" s="36" t="n">
        <x:v>27</x:v>
      </x:c>
      <x:c r="V425" s="36" t="n">
        <x:v>0</x:v>
      </x:c>
      <x:c r="W425" s="44"/>
      <x:c r="X425" s="36" t="n">
        <x:v>1</x:v>
      </x:c>
      <x:c r="Y425" s="36" t="n">
        <x:v>1</x:v>
      </x:c>
      <x:c r="Z425" s="44" t="str">
        <x:v>/nostore</x:v>
      </x:c>
      <x:c r="AA425" s="45" t="b">
        <x:v>1</x:v>
      </x:c>
      <x:c r="AB425" s="43"/>
      <x:c r="AC425" s="34" t="str">
        <x:v>article1-unified-v4-2-fb3f101b-20260903-000401-default-f02-p5-nostore-2-after-undeploy-final-10s-heap-info.txt</x:v>
      </x:c>
      <x:c r="AD425" s="34" t="str">
        <x:v>article1-unified-v4-2-fb3f101b-20260903-000401-default-f02-p5-nostore-2-after-undeploy-final-10s-classloader-stats.txt</x:v>
      </x:c>
      <x:c r="AE425" s="34" t="str">
        <x:v>article1-unified-v4-2-fb3f101b-20260903-000401-default-f02-p5-nostore-2-after-undeploy-final-10s-thread-dump.txt</x:v>
      </x:c>
      <x:c r="AF425" s="34"/>
      <x:c r="AG425" s="34" t="str">
        <x:v>article1-unified-v4-2-fb3f101b-20260903-000401-default-f02-p5-nostore-2-after-undeploy-final-10s-native-memory.txt</x:v>
      </x:c>
      <x:c r="AH425" s="34" t="str">
        <x:v>article1-unified-v4-2-fb3f101b-20260903-000401-default-f02-p5-nostore-2-after-undeploy-final-10s-class-histogram.txt</x:v>
      </x:c>
      <x:c r="AI425" s="34" t="str">
        <x:v>article1-unified-v4-2-fb3f101b-20260903-000401-default-f02-p5-nostore-2-after-undeploy-tomcat-findleaks.txt</x:v>
      </x:c>
    </x:row>
    <x:row r="426">
      <x:c r="A426" s="34" t="str">
        <x:v>article1-unified-v4-2-fb3f101b-20260903-000401-default-f02-p5-nostore</x:v>
      </x:c>
      <x:c r="B426" s="34" t="str">
        <x:v>default</x:v>
      </x:c>
      <x:c r="C426" s="34" t="str">
        <x:v>nostore</x:v>
      </x:c>
      <x:c r="D426" s="34" t="str">
        <x:v>nostore</x:v>
      </x:c>
      <x:c r="E426" s="36" t="n">
        <x:v>2</x:v>
      </x:c>
      <x:c r="F426" s="36" t="n">
        <x:v>2</x:v>
      </x:c>
      <x:c r="G426" s="36" t="n">
        <x:v>5</x:v>
      </x:c>
      <x:c r="H426" s="36" t="n">
        <x:v>2</x:v>
      </x:c>
      <x:c r="I426" s="34" t="str">
        <x:v>redeployedLoaded</x:v>
      </x:c>
      <x:c r="J426" s="34" t="str">
        <x:v>redeployed-loaded</x:v>
      </x:c>
      <x:c r="K426" s="36" t="n">
        <x:v>0</x:v>
      </x:c>
      <x:c r="L426" s="34" t="str">
        <x:v>redeploy</x:v>
      </x:c>
      <x:c r="M426" s="34" t="str">
        <x:v>article1-unified-v4-2-fb3f101b-20260903-000401-default-f02-p5-nostore-2-redeployed-loaded</x:v>
      </x:c>
      <x:c r="N426" s="38" t="n">
        <x:v>46267.98218018519</x:v>
      </x:c>
      <x:c r="O426" s="36" t="n">
        <x:v>0</x:v>
      </x:c>
      <x:c r="P426" s="43" t="n">
        <x:v>104977408</x:v>
      </x:c>
      <x:c r="Q426" s="43" t="n">
        <x:v>330301440</x:v>
      </x:c>
      <x:c r="R426" s="43" t="n">
        <x:v>483156992</x:v>
      </x:c>
      <x:c r="S426" s="36" t="n">
        <x:v>2</x:v>
      </x:c>
      <x:c r="T426" s="44" t="str">
        <x:v>0x000000008a1177b8  0x000000008a003818  0x000076ab34646540       0         0         0  org.apache.catalina.loader.ParallelWebappClassLoader | 0x000000008a1177b8  0x000000008a003818  0x000076aa9014ce20    4290  20434944  20416680  org.apache.catalina.loader.ParallelWebappClassLoader</x:v>
      </x:c>
      <x:c r="U426" s="36" t="n">
        <x:v>27</x:v>
      </x:c>
      <x:c r="V426" s="36" t="n">
        <x:v>0</x:v>
      </x:c>
      <x:c r="W426" s="44"/>
      <x:c r="X426" s="36"/>
      <x:c r="Y426" s="36"/>
      <x:c r="Z426" s="44"/>
      <x:c r="AA426" s="49"/>
      <x:c r="AB426" s="43"/>
      <x:c r="AC426" s="34"/>
      <x:c r="AD426" s="34"/>
      <x:c r="AE426" s="34"/>
      <x:c r="AF426" s="34"/>
      <x:c r="AG426" s="34"/>
      <x:c r="AH426" s="34"/>
      <x:c r="AI426" s="34"/>
    </x:row>
    <x:row r="427">
      <x:c r="A427" s="34" t="str">
        <x:v>article1-unified-v4-2-fb3f101b-20260903-000401-default-f02-p5-nostore</x:v>
      </x:c>
      <x:c r="B427" s="34" t="str">
        <x:v>default</x:v>
      </x:c>
      <x:c r="C427" s="34" t="str">
        <x:v>nostore</x:v>
      </x:c>
      <x:c r="D427" s="34" t="str">
        <x:v>nostore</x:v>
      </x:c>
      <x:c r="E427" s="36" t="n">
        <x:v>2</x:v>
      </x:c>
      <x:c r="F427" s="36" t="n">
        <x:v>2</x:v>
      </x:c>
      <x:c r="G427" s="36" t="n">
        <x:v>5</x:v>
      </x:c>
      <x:c r="H427" s="36" t="n">
        <x:v>2</x:v>
      </x:c>
      <x:c r="I427" s="34" t="str">
        <x:v>afterFinalUndeployEarly</x:v>
      </x:c>
      <x:c r="J427" s="34" t="str">
        <x:v>after-final-undeploy-early</x:v>
      </x:c>
      <x:c r="K427" s="36" t="n">
        <x:v>2</x:v>
      </x:c>
      <x:c r="L427" s="34" t="str">
        <x:v>early</x:v>
      </x:c>
      <x:c r="M427" s="34" t="str">
        <x:v>article1-unified-v4-2-fb3f101b-20260903-000401-default-f02-p5-nostore-2-after-final-undeploy-early-2s</x:v>
      </x:c>
      <x:c r="N427" s="38" t="n">
        <x:v>46267.982269768516</x:v>
      </x:c>
      <x:c r="O427" s="36"/>
      <x:c r="P427" s="43"/>
      <x:c r="Q427" s="43"/>
      <x:c r="R427" s="43"/>
      <x:c r="S427" s="36"/>
      <x:c r="T427" s="44"/>
      <x:c r="U427" s="36" t="n">
        <x:v>27</x:v>
      </x:c>
      <x:c r="V427" s="36" t="n">
        <x:v>0</x:v>
      </x:c>
      <x:c r="W427" s="44"/>
      <x:c r="X427" s="36"/>
      <x:c r="Y427" s="36"/>
      <x:c r="Z427" s="44"/>
      <x:c r="AA427" s="49"/>
      <x:c r="AB427" s="43" t="n">
        <x:v>1</x:v>
      </x:c>
      <x:c r="AC427" s="34"/>
      <x:c r="AD427" s="34"/>
      <x:c r="AE427" s="34" t="str">
        <x:v>article1-unified-v4-2-fb3f101b-20260903-000401-default-f02-p5-nostore-2-after-final-undeploy-early-2s-thread-dump.txt</x:v>
      </x:c>
      <x:c r="AF427" s="34" t="str">
        <x:v>article1-unified-v4-2-fb3f101b-20260903-000401-default-f02-p5-nostore-2-after-final-undeploy-early-tomcat-log.txt</x:v>
      </x:c>
      <x:c r="AG427" s="34"/>
      <x:c r="AH427" s="34"/>
      <x:c r="AI427" s="34"/>
    </x:row>
    <x:row r="428">
      <x:c r="A428" s="34" t="str">
        <x:v>article1-unified-v4-2-fb3f101b-20260903-000401-default-f02-p5-nostore</x:v>
      </x:c>
      <x:c r="B428" s="34" t="str">
        <x:v>default</x:v>
      </x:c>
      <x:c r="C428" s="34" t="str">
        <x:v>nostore</x:v>
      </x:c>
      <x:c r="D428" s="34" t="str">
        <x:v>nostore</x:v>
      </x:c>
      <x:c r="E428" s="36" t="n">
        <x:v>2</x:v>
      </x:c>
      <x:c r="F428" s="36" t="n">
        <x:v>2</x:v>
      </x:c>
      <x:c r="G428" s="36" t="n">
        <x:v>5</x:v>
      </x:c>
      <x:c r="H428" s="36" t="n">
        <x:v>2</x:v>
      </x:c>
      <x:c r="I428" s="34" t="str">
        <x:v>afterFinalUndeploy</x:v>
      </x:c>
      <x:c r="J428" s="34" t="str">
        <x:v>after-final-undeploy-final</x:v>
      </x:c>
      <x:c r="K428" s="36" t="n">
        <x:v>2</x:v>
      </x:c>
      <x:c r="L428" s="34" t="str">
        <x:v>final</x:v>
      </x:c>
      <x:c r="M428" s="34" t="str">
        <x:v>article1-unified-v4-2-fb3f101b-20260903-000401-default-f02-p5-nostore-2-after-final-undeploy-final-10s</x:v>
      </x:c>
      <x:c r="N428" s="38" t="n">
        <x:v>46267.98242255787</x:v>
      </x:c>
      <x:c r="O428" s="36" t="n">
        <x:v>2</x:v>
      </x:c>
      <x:c r="P428" s="43" t="n">
        <x:v>15412224</x:v>
      </x:c>
      <x:c r="Q428" s="43" t="n">
        <x:v>268435456</x:v>
      </x:c>
      <x:c r="R428" s="43" t="n">
        <x:v>419182592</x:v>
      </x:c>
      <x:c r="S428" s="36" t="n">
        <x:v>2</x:v>
      </x:c>
      <x:c r="T428" s="44" t="str">
        <x:v>0x000000008a1177b8  0x000000008a003818  0x000076aa9014ce20    4298  20451328  20441280  org.apache.catalina.loader.ParallelWebappClassLoader | 0x000000008a1177b8  0x000000008a003818  0x000076ab34646540       0         0         0  org.apache.catalina.loader.ParallelWebappClassLoader</x:v>
      </x:c>
      <x:c r="U428" s="36" t="n">
        <x:v>27</x:v>
      </x:c>
      <x:c r="V428" s="36" t="n">
        <x:v>0</x:v>
      </x:c>
      <x:c r="W428" s="44"/>
      <x:c r="X428" s="36" t="n">
        <x:v>1</x:v>
      </x:c>
      <x:c r="Y428" s="36" t="n">
        <x:v>1</x:v>
      </x:c>
      <x:c r="Z428" s="44" t="str">
        <x:v>/nostore</x:v>
      </x:c>
      <x:c r="AA428" s="45" t="b">
        <x:v>1</x:v>
      </x:c>
      <x:c r="AB428" s="43"/>
      <x:c r="AC428" s="34" t="str">
        <x:v>article1-unified-v4-2-fb3f101b-20260903-000401-default-f02-p5-nostore-2-after-final-undeploy-final-10s-heap-info.txt</x:v>
      </x:c>
      <x:c r="AD428" s="34" t="str">
        <x:v>article1-unified-v4-2-fb3f101b-20260903-000401-default-f02-p5-nostore-2-after-final-undeploy-final-10s-classloader-stats.txt</x:v>
      </x:c>
      <x:c r="AE428" s="34" t="str">
        <x:v>article1-unified-v4-2-fb3f101b-20260903-000401-default-f02-p5-nostore-2-after-final-undeploy-final-10s-thread-dump.txt</x:v>
      </x:c>
      <x:c r="AF428" s="34"/>
      <x:c r="AG428" s="34" t="str">
        <x:v>article1-unified-v4-2-fb3f101b-20260903-000401-default-f02-p5-nostore-2-after-final-undeploy-final-10s-native-memory.txt</x:v>
      </x:c>
      <x:c r="AH428" s="34" t="str">
        <x:v>article1-unified-v4-2-fb3f101b-20260903-000401-default-f02-p5-nostore-2-after-final-undeploy-final-10s-class-histogram.txt</x:v>
      </x:c>
      <x:c r="AI428" s="34" t="str">
        <x:v>article1-unified-v4-2-fb3f101b-20260903-000401-default-f02-p5-nostore-2-after-final-undeploy-tomcat-findleaks.txt</x:v>
      </x:c>
    </x:row>
    <x:row r="429">
      <x:c r="A429" s="34" t="str">
        <x:v>article1-unified-v4-2-fb3f101b-20260903-000401-default-f02-p5-nostore</x:v>
      </x:c>
      <x:c r="B429" s="34" t="str">
        <x:v>default</x:v>
      </x:c>
      <x:c r="C429" s="34" t="str">
        <x:v>nostore</x:v>
      </x:c>
      <x:c r="D429" s="34" t="str">
        <x:v>nostore</x:v>
      </x:c>
      <x:c r="E429" s="36" t="n">
        <x:v>2</x:v>
      </x:c>
      <x:c r="F429" s="36" t="n">
        <x:v>2</x:v>
      </x:c>
      <x:c r="G429" s="36" t="n">
        <x:v>5</x:v>
      </x:c>
      <x:c r="H429" s="36" t="n">
        <x:v>3</x:v>
      </x:c>
      <x:c r="I429" s="34" t="str">
        <x:v>baseline</x:v>
      </x:c>
      <x:c r="J429" s="34" t="str">
        <x:v>cycle-baseline</x:v>
      </x:c>
      <x:c r="K429" s="36" t="n">
        <x:v>0</x:v>
      </x:c>
      <x:c r="L429" s="34" t="str">
        <x:v>baseline</x:v>
      </x:c>
      <x:c r="M429" s="34" t="str">
        <x:v>article1-unified-v4-2-fb3f101b-20260903-000401-default-f02-p5-nostore-3-baseline</x:v>
      </x:c>
      <x:c r="N429" s="38" t="n">
        <x:v>46267.98246525463</x:v>
      </x:c>
      <x:c r="O429" s="36" t="n">
        <x:v>0</x:v>
      </x:c>
      <x:c r="P429" s="43" t="n">
        <x:v>15405056</x:v>
      </x:c>
      <x:c r="Q429" s="43" t="n">
        <x:v>268435456</x:v>
      </x:c>
      <x:c r="R429" s="43" t="n">
        <x:v>418755584</x:v>
      </x:c>
      <x:c r="S429" s="36" t="n">
        <x:v>2</x:v>
      </x:c>
      <x:c r="T429" s="44" t="str">
        <x:v>0x000000008a1177b8  0x000000008a003818  0x000076aa9014ce20    4298  20451328  20441280  org.apache.catalina.loader.ParallelWebappClassLoader | 0x000000008a1177b8  0x000000008a003818  0x000076ab34646540       0         0         0  org.apache.catalina.loader.ParallelWebappClassLoader</x:v>
      </x:c>
      <x:c r="U429" s="36" t="n">
        <x:v>27</x:v>
      </x:c>
      <x:c r="V429" s="36" t="n">
        <x:v>0</x:v>
      </x:c>
      <x:c r="W429" s="44"/>
      <x:c r="X429" s="36"/>
      <x:c r="Y429" s="36"/>
      <x:c r="Z429" s="44"/>
      <x:c r="AA429" s="49"/>
      <x:c r="AB429" s="43"/>
      <x:c r="AC429" s="34" t="str">
        <x:v>article1-unified-v4-2-fb3f101b-20260903-000401-default-f02-p5-nostore-3-baseline-heap-info.txt</x:v>
      </x:c>
      <x:c r="AD429" s="34" t="str">
        <x:v>article1-unified-v4-2-fb3f101b-20260903-000401-default-f02-p5-nostore-3-baseline-classloader-stats.txt</x:v>
      </x:c>
      <x:c r="AE429" s="34" t="str">
        <x:v>article1-unified-v4-2-fb3f101b-20260903-000401-default-f02-p5-nostore-3-baseline-thread-dump.txt</x:v>
      </x:c>
      <x:c r="AF429" s="34"/>
      <x:c r="AG429" s="34" t="str">
        <x:v>article1-unified-v4-2-fb3f101b-20260903-000401-default-f02-p5-nostore-3-baseline-native-memory.txt</x:v>
      </x:c>
      <x:c r="AH429" s="34"/>
      <x:c r="AI429" s="34"/>
    </x:row>
    <x:row r="430">
      <x:c r="A430" s="34" t="str">
        <x:v>article1-unified-v4-2-fb3f101b-20260903-000401-default-f02-p5-nostore</x:v>
      </x:c>
      <x:c r="B430" s="34" t="str">
        <x:v>default</x:v>
      </x:c>
      <x:c r="C430" s="34" t="str">
        <x:v>nostore</x:v>
      </x:c>
      <x:c r="D430" s="34" t="str">
        <x:v>nostore</x:v>
      </x:c>
      <x:c r="E430" s="36" t="n">
        <x:v>2</x:v>
      </x:c>
      <x:c r="F430" s="36" t="n">
        <x:v>2</x:v>
      </x:c>
      <x:c r="G430" s="36" t="n">
        <x:v>5</x:v>
      </x:c>
      <x:c r="H430" s="36" t="n">
        <x:v>3</x:v>
      </x:c>
      <x:c r="I430" s="34" t="str">
        <x:v>deployedIdle</x:v>
      </x:c>
      <x:c r="J430" s="34" t="str">
        <x:v>deployed-idle</x:v>
      </x:c>
      <x:c r="K430" s="36" t="n">
        <x:v>0</x:v>
      </x:c>
      <x:c r="L430" s="34" t="str">
        <x:v>initial</x:v>
      </x:c>
      <x:c r="M430" s="34" t="str">
        <x:v>article1-unified-v4-2-fb3f101b-20260903-000401-default-f02-p5-nostore-3-deployed-idle</x:v>
      </x:c>
      <x:c r="N430" s="38" t="n">
        <x:v>46267.98256532408</x:v>
      </x:c>
      <x:c r="O430" s="36" t="n">
        <x:v>0</x:v>
      </x:c>
      <x:c r="P430" s="43" t="n">
        <x:v>165544960</x:v>
      </x:c>
      <x:c r="Q430" s="43" t="n">
        <x:v>268435456</x:v>
      </x:c>
      <x:c r="R430" s="43" t="n">
        <x:v>436162560</x:v>
      </x:c>
      <x:c r="S430" s="36" t="n">
        <x:v>3</x:v>
      </x:c>
      <x:c r="T430" s="44" t="str">
        <x:v>0x000000008a1177b8  0x000000008a003818  0x000076aa9014ce20    4298  20451328  20441280  org.apache.catalina.loader.ParallelWebappClassLoader | 0x000000008a1177b8  0x000000008a003818  0x000076aa5419aed0    4091  19437568  19428760  org.apache.catalina.loader.ParallelWebappClassLoader | 0x000000008a1177b8  0x000000008a003818  0x000076ab34646540       0         0         0  org.apache.catalina.loader.ParallelWebappClassLoader</x:v>
      </x:c>
      <x:c r="U430" s="36" t="n">
        <x:v>27</x:v>
      </x:c>
      <x:c r="V430" s="36" t="n">
        <x:v>0</x:v>
      </x:c>
      <x:c r="W430" s="44"/>
      <x:c r="X430" s="36"/>
      <x:c r="Y430" s="36"/>
      <x:c r="Z430" s="44"/>
      <x:c r="AA430" s="49"/>
      <x:c r="AB430" s="43"/>
      <x:c r="AC430" s="34"/>
      <x:c r="AD430" s="34"/>
      <x:c r="AE430" s="34"/>
      <x:c r="AF430" s="34"/>
      <x:c r="AG430" s="34"/>
      <x:c r="AH430" s="34"/>
      <x:c r="AI430" s="34"/>
    </x:row>
    <x:row r="431">
      <x:c r="A431" s="34" t="str">
        <x:v>article1-unified-v4-2-fb3f101b-20260903-000401-default-f02-p5-nostore</x:v>
      </x:c>
      <x:c r="B431" s="34" t="str">
        <x:v>default</x:v>
      </x:c>
      <x:c r="C431" s="34" t="str">
        <x:v>nostore</x:v>
      </x:c>
      <x:c r="D431" s="34" t="str">
        <x:v>nostore</x:v>
      </x:c>
      <x:c r="E431" s="36" t="n">
        <x:v>2</x:v>
      </x:c>
      <x:c r="F431" s="36" t="n">
        <x:v>2</x:v>
      </x:c>
      <x:c r="G431" s="36" t="n">
        <x:v>5</x:v>
      </x:c>
      <x:c r="H431" s="36" t="n">
        <x:v>3</x:v>
      </x:c>
      <x:c r="I431" s="34" t="str">
        <x:v>loaded</x:v>
      </x:c>
      <x:c r="J431" s="34" t="str">
        <x:v>loaded</x:v>
      </x:c>
      <x:c r="K431" s="36" t="n">
        <x:v>0</x:v>
      </x:c>
      <x:c r="L431" s="34" t="str">
        <x:v>initial</x:v>
      </x:c>
      <x:c r="M431" s="34" t="str">
        <x:v>article1-unified-v4-2-fb3f101b-20260903-000401-default-f02-p5-nostore-3-loaded</x:v>
      </x:c>
      <x:c r="N431" s="38" t="n">
        <x:v>46267.982718541665</x:v>
      </x:c>
      <x:c r="O431" s="36" t="n">
        <x:v>0</x:v>
      </x:c>
      <x:c r="P431" s="43" t="n">
        <x:v>287053824</x:v>
      </x:c>
      <x:c r="Q431" s="43" t="n">
        <x:v>327155712</x:v>
      </x:c>
      <x:c r="R431" s="43" t="n">
        <x:v>478645248</x:v>
      </x:c>
      <x:c r="S431" s="36" t="n">
        <x:v>2</x:v>
      </x:c>
      <x:c r="T431" s="44" t="str">
        <x:v>0x000000008a1177b8  0x000000008a003818  0x000076aa5419aed0    4290  20436992  20420624  org.apache.catalina.loader.ParallelWebappClassLoader | 0x000000008a1177b8  0x000000008a003818  0x000076ab34646540       0         0         0  org.apache.catalina.loader.ParallelWebappClassLoader</x:v>
      </x:c>
      <x:c r="U431" s="36" t="n">
        <x:v>27</x:v>
      </x:c>
      <x:c r="V431" s="36" t="n">
        <x:v>0</x:v>
      </x:c>
      <x:c r="W431" s="44"/>
      <x:c r="X431" s="36"/>
      <x:c r="Y431" s="36"/>
      <x:c r="Z431" s="44"/>
      <x:c r="AA431" s="49"/>
      <x:c r="AB431" s="43"/>
      <x:c r="AC431" s="34"/>
      <x:c r="AD431" s="34"/>
      <x:c r="AE431" s="34"/>
      <x:c r="AF431" s="34"/>
      <x:c r="AG431" s="34"/>
      <x:c r="AH431" s="34"/>
      <x:c r="AI431" s="34"/>
    </x:row>
    <x:row r="432">
      <x:c r="A432" s="34" t="str">
        <x:v>article1-unified-v4-2-fb3f101b-20260903-000401-default-f02-p5-nostore</x:v>
      </x:c>
      <x:c r="B432" s="34" t="str">
        <x:v>default</x:v>
      </x:c>
      <x:c r="C432" s="34" t="str">
        <x:v>nostore</x:v>
      </x:c>
      <x:c r="D432" s="34" t="str">
        <x:v>nostore</x:v>
      </x:c>
      <x:c r="E432" s="36" t="n">
        <x:v>2</x:v>
      </x:c>
      <x:c r="F432" s="36" t="n">
        <x:v>2</x:v>
      </x:c>
      <x:c r="G432" s="36" t="n">
        <x:v>5</x:v>
      </x:c>
      <x:c r="H432" s="36" t="n">
        <x:v>3</x:v>
      </x:c>
      <x:c r="I432" s="34" t="str">
        <x:v>afterUndeployEarly</x:v>
      </x:c>
      <x:c r="J432" s="34" t="str">
        <x:v>after-undeploy-early</x:v>
      </x:c>
      <x:c r="K432" s="36" t="n">
        <x:v>1</x:v>
      </x:c>
      <x:c r="L432" s="34" t="str">
        <x:v>early</x:v>
      </x:c>
      <x:c r="M432" s="34" t="str">
        <x:v>article1-unified-v4-2-fb3f101b-20260903-000401-default-f02-p5-nostore-3-after-undeploy-early-2s</x:v>
      </x:c>
      <x:c r="N432" s="38" t="n">
        <x:v>46267.98280236111</x:v>
      </x:c>
      <x:c r="O432" s="36"/>
      <x:c r="P432" s="43"/>
      <x:c r="Q432" s="43"/>
      <x:c r="R432" s="43"/>
      <x:c r="S432" s="36"/>
      <x:c r="T432" s="44"/>
      <x:c r="U432" s="36" t="n">
        <x:v>27</x:v>
      </x:c>
      <x:c r="V432" s="36" t="n">
        <x:v>0</x:v>
      </x:c>
      <x:c r="W432" s="44"/>
      <x:c r="X432" s="36"/>
      <x:c r="Y432" s="36"/>
      <x:c r="Z432" s="44"/>
      <x:c r="AA432" s="49"/>
      <x:c r="AB432" s="43" t="n">
        <x:v>1</x:v>
      </x:c>
      <x:c r="AC432" s="34"/>
      <x:c r="AD432" s="34"/>
      <x:c r="AE432" s="34" t="str">
        <x:v>article1-unified-v4-2-fb3f101b-20260903-000401-default-f02-p5-nostore-3-after-undeploy-early-2s-thread-dump.txt</x:v>
      </x:c>
      <x:c r="AF432" s="34" t="str">
        <x:v>article1-unified-v4-2-fb3f101b-20260903-000401-default-f02-p5-nostore-3-after-undeploy-early-tomcat-log.txt</x:v>
      </x:c>
      <x:c r="AG432" s="34"/>
      <x:c r="AH432" s="34"/>
      <x:c r="AI432" s="34"/>
    </x:row>
    <x:row r="433">
      <x:c r="A433" s="34" t="str">
        <x:v>article1-unified-v4-2-fb3f101b-20260903-000401-default-f02-p5-nostore</x:v>
      </x:c>
      <x:c r="B433" s="34" t="str">
        <x:v>default</x:v>
      </x:c>
      <x:c r="C433" s="34" t="str">
        <x:v>nostore</x:v>
      </x:c>
      <x:c r="D433" s="34" t="str">
        <x:v>nostore</x:v>
      </x:c>
      <x:c r="E433" s="36" t="n">
        <x:v>2</x:v>
      </x:c>
      <x:c r="F433" s="36" t="n">
        <x:v>2</x:v>
      </x:c>
      <x:c r="G433" s="36" t="n">
        <x:v>5</x:v>
      </x:c>
      <x:c r="H433" s="36" t="n">
        <x:v>3</x:v>
      </x:c>
      <x:c r="I433" s="34" t="str">
        <x:v>afterUndeploy</x:v>
      </x:c>
      <x:c r="J433" s="34" t="str">
        <x:v>after-undeploy-final</x:v>
      </x:c>
      <x:c r="K433" s="36" t="n">
        <x:v>1</x:v>
      </x:c>
      <x:c r="L433" s="34" t="str">
        <x:v>final</x:v>
      </x:c>
      <x:c r="M433" s="34" t="str">
        <x:v>article1-unified-v4-2-fb3f101b-20260903-000401-default-f02-p5-nostore-3-after-undeploy-final-10s</x:v>
      </x:c>
      <x:c r="N433" s="38" t="n">
        <x:v>46267.98296109954</x:v>
      </x:c>
      <x:c r="O433" s="36" t="n">
        <x:v>2</x:v>
      </x:c>
      <x:c r="P433" s="43" t="n">
        <x:v>15417344</x:v>
      </x:c>
      <x:c r="Q433" s="43" t="n">
        <x:v>268435456</x:v>
      </x:c>
      <x:c r="R433" s="43" t="n">
        <x:v>416925696</x:v>
      </x:c>
      <x:c r="S433" s="36" t="n">
        <x:v>2</x:v>
      </x:c>
      <x:c r="T433" s="44" t="str">
        <x:v>0x000000008a1177b8  0x000000008a003818  0x000076ab34646540       0         0         0  org.apache.catalina.loader.ParallelWebappClassLoader | 0x000000008a1177b8  0x000000008a003818  0x000076aa5419aed0    4298  20469760  20445272  org.apache.catalina.loader.ParallelWebappClassLoader</x:v>
      </x:c>
      <x:c r="U433" s="36" t="n">
        <x:v>27</x:v>
      </x:c>
      <x:c r="V433" s="36" t="n">
        <x:v>0</x:v>
      </x:c>
      <x:c r="W433" s="44"/>
      <x:c r="X433" s="36" t="n">
        <x:v>1</x:v>
      </x:c>
      <x:c r="Y433" s="36" t="n">
        <x:v>1</x:v>
      </x:c>
      <x:c r="Z433" s="44" t="str">
        <x:v>/nostore</x:v>
      </x:c>
      <x:c r="AA433" s="45" t="b">
        <x:v>1</x:v>
      </x:c>
      <x:c r="AB433" s="43"/>
      <x:c r="AC433" s="34" t="str">
        <x:v>article1-unified-v4-2-fb3f101b-20260903-000401-default-f02-p5-nostore-3-after-undeploy-final-10s-heap-info.txt</x:v>
      </x:c>
      <x:c r="AD433" s="34" t="str">
        <x:v>article1-unified-v4-2-fb3f101b-20260903-000401-default-f02-p5-nostore-3-after-undeploy-final-10s-classloader-stats.txt</x:v>
      </x:c>
      <x:c r="AE433" s="34" t="str">
        <x:v>article1-unified-v4-2-fb3f101b-20260903-000401-default-f02-p5-nostore-3-after-undeploy-final-10s-thread-dump.txt</x:v>
      </x:c>
      <x:c r="AF433" s="34"/>
      <x:c r="AG433" s="34" t="str">
        <x:v>article1-unified-v4-2-fb3f101b-20260903-000401-default-f02-p5-nostore-3-after-undeploy-final-10s-native-memory.txt</x:v>
      </x:c>
      <x:c r="AH433" s="34" t="str">
        <x:v>article1-unified-v4-2-fb3f101b-20260903-000401-default-f02-p5-nostore-3-after-undeploy-final-10s-class-histogram.txt</x:v>
      </x:c>
      <x:c r="AI433" s="34" t="str">
        <x:v>article1-unified-v4-2-fb3f101b-20260903-000401-default-f02-p5-nostore-3-after-undeploy-tomcat-findleaks.txt</x:v>
      </x:c>
    </x:row>
    <x:row r="434">
      <x:c r="A434" s="34" t="str">
        <x:v>article1-unified-v4-2-fb3f101b-20260903-000401-default-f02-p5-nostore</x:v>
      </x:c>
      <x:c r="B434" s="34" t="str">
        <x:v>default</x:v>
      </x:c>
      <x:c r="C434" s="34" t="str">
        <x:v>nostore</x:v>
      </x:c>
      <x:c r="D434" s="34" t="str">
        <x:v>nostore</x:v>
      </x:c>
      <x:c r="E434" s="36" t="n">
        <x:v>2</x:v>
      </x:c>
      <x:c r="F434" s="36" t="n">
        <x:v>2</x:v>
      </x:c>
      <x:c r="G434" s="36" t="n">
        <x:v>5</x:v>
      </x:c>
      <x:c r="H434" s="36" t="n">
        <x:v>3</x:v>
      </x:c>
      <x:c r="I434" s="34" t="str">
        <x:v>redeployedLoaded</x:v>
      </x:c>
      <x:c r="J434" s="34" t="str">
        <x:v>redeployed-loaded</x:v>
      </x:c>
      <x:c r="K434" s="36" t="n">
        <x:v>0</x:v>
      </x:c>
      <x:c r="L434" s="34" t="str">
        <x:v>redeploy</x:v>
      </x:c>
      <x:c r="M434" s="34" t="str">
        <x:v>article1-unified-v4-2-fb3f101b-20260903-000401-default-f02-p5-nostore-3-redeployed-loaded</x:v>
      </x:c>
      <x:c r="N434" s="38" t="n">
        <x:v>46267.98321646991</x:v>
      </x:c>
      <x:c r="O434" s="36" t="n">
        <x:v>0</x:v>
      </x:c>
      <x:c r="P434" s="43" t="n">
        <x:v>177692672</x:v>
      </x:c>
      <x:c r="Q434" s="43" t="n">
        <x:v>457179136</x:v>
      </x:c>
      <x:c r="R434" s="43" t="n">
        <x:v>635097088</x:v>
      </x:c>
      <x:c r="S434" s="36" t="n">
        <x:v>3</x:v>
      </x:c>
      <x:c r="T434" s="44" t="str">
        <x:v>0x000000008a1177b8  0x000000008a003818  0x000076aa74007870    4290  20509696  20496696  org.apache.catalina.loader.ParallelWebappClassLoader | 0x000000008a1177b8  0x000000008a003818  0x000076ab34646540       0         0         0  org.apache.catalina.loader.ParallelWebappClassLoader | 0x000000008a1177b8  0x000000008a003818  0x000076aa5419aed0    4298  20469760  20445272  org.apache.catalina.loader.ParallelWebappClassLoader</x:v>
      </x:c>
      <x:c r="U434" s="36" t="n">
        <x:v>27</x:v>
      </x:c>
      <x:c r="V434" s="36" t="n">
        <x:v>0</x:v>
      </x:c>
      <x:c r="W434" s="44"/>
      <x:c r="X434" s="36"/>
      <x:c r="Y434" s="36"/>
      <x:c r="Z434" s="44"/>
      <x:c r="AA434" s="49"/>
      <x:c r="AB434" s="43"/>
      <x:c r="AC434" s="34"/>
      <x:c r="AD434" s="34"/>
      <x:c r="AE434" s="34"/>
      <x:c r="AF434" s="34"/>
      <x:c r="AG434" s="34"/>
      <x:c r="AH434" s="34"/>
      <x:c r="AI434" s="34"/>
    </x:row>
    <x:row r="435">
      <x:c r="A435" s="34" t="str">
        <x:v>article1-unified-v4-2-fb3f101b-20260903-000401-default-f02-p5-nostore</x:v>
      </x:c>
      <x:c r="B435" s="34" t="str">
        <x:v>default</x:v>
      </x:c>
      <x:c r="C435" s="34" t="str">
        <x:v>nostore</x:v>
      </x:c>
      <x:c r="D435" s="34" t="str">
        <x:v>nostore</x:v>
      </x:c>
      <x:c r="E435" s="36" t="n">
        <x:v>2</x:v>
      </x:c>
      <x:c r="F435" s="36" t="n">
        <x:v>2</x:v>
      </x:c>
      <x:c r="G435" s="36" t="n">
        <x:v>5</x:v>
      </x:c>
      <x:c r="H435" s="36" t="n">
        <x:v>3</x:v>
      </x:c>
      <x:c r="I435" s="34" t="str">
        <x:v>afterFinalUndeployEarly</x:v>
      </x:c>
      <x:c r="J435" s="34" t="str">
        <x:v>after-final-undeploy-early</x:v>
      </x:c>
      <x:c r="K435" s="36" t="n">
        <x:v>2</x:v>
      </x:c>
      <x:c r="L435" s="34" t="str">
        <x:v>early</x:v>
      </x:c>
      <x:c r="M435" s="34" t="str">
        <x:v>article1-unified-v4-2-fb3f101b-20260903-000401-default-f02-p5-nostore-3-after-final-undeploy-early-2s</x:v>
      </x:c>
      <x:c r="N435" s="38" t="n">
        <x:v>46267.98329842593</x:v>
      </x:c>
      <x:c r="O435" s="36"/>
      <x:c r="P435" s="43"/>
      <x:c r="Q435" s="43"/>
      <x:c r="R435" s="43"/>
      <x:c r="S435" s="36"/>
      <x:c r="T435" s="44"/>
      <x:c r="U435" s="36" t="n">
        <x:v>27</x:v>
      </x:c>
      <x:c r="V435" s="36" t="n">
        <x:v>0</x:v>
      </x:c>
      <x:c r="W435" s="44"/>
      <x:c r="X435" s="36"/>
      <x:c r="Y435" s="36"/>
      <x:c r="Z435" s="44"/>
      <x:c r="AA435" s="49"/>
      <x:c r="AB435" s="43" t="n">
        <x:v>1</x:v>
      </x:c>
      <x:c r="AC435" s="34"/>
      <x:c r="AD435" s="34"/>
      <x:c r="AE435" s="34" t="str">
        <x:v>article1-unified-v4-2-fb3f101b-20260903-000401-default-f02-p5-nostore-3-after-final-undeploy-early-2s-thread-dump.txt</x:v>
      </x:c>
      <x:c r="AF435" s="34" t="str">
        <x:v>article1-unified-v4-2-fb3f101b-20260903-000401-default-f02-p5-nostore-3-after-final-undeploy-early-tomcat-log.txt</x:v>
      </x:c>
      <x:c r="AG435" s="34"/>
      <x:c r="AH435" s="34"/>
      <x:c r="AI435" s="34"/>
    </x:row>
    <x:row r="436">
      <x:c r="A436" s="34" t="str">
        <x:v>article1-unified-v4-2-fb3f101b-20260903-000401-default-f02-p5-nostore</x:v>
      </x:c>
      <x:c r="B436" s="34" t="str">
        <x:v>default</x:v>
      </x:c>
      <x:c r="C436" s="34" t="str">
        <x:v>nostore</x:v>
      </x:c>
      <x:c r="D436" s="34" t="str">
        <x:v>nostore</x:v>
      </x:c>
      <x:c r="E436" s="36" t="n">
        <x:v>2</x:v>
      </x:c>
      <x:c r="F436" s="36" t="n">
        <x:v>2</x:v>
      </x:c>
      <x:c r="G436" s="36" t="n">
        <x:v>5</x:v>
      </x:c>
      <x:c r="H436" s="36" t="n">
        <x:v>3</x:v>
      </x:c>
      <x:c r="I436" s="34" t="str">
        <x:v>afterFinalUndeploy</x:v>
      </x:c>
      <x:c r="J436" s="34" t="str">
        <x:v>after-final-undeploy-final</x:v>
      </x:c>
      <x:c r="K436" s="36" t="n">
        <x:v>2</x:v>
      </x:c>
      <x:c r="L436" s="34" t="str">
        <x:v>final</x:v>
      </x:c>
      <x:c r="M436" s="34" t="str">
        <x:v>article1-unified-v4-2-fb3f101b-20260903-000401-default-f02-p5-nostore-3-after-final-undeploy-final-10s</x:v>
      </x:c>
      <x:c r="N436" s="38" t="n">
        <x:v>46267.983454988425</x:v>
      </x:c>
      <x:c r="O436" s="36" t="n">
        <x:v>2</x:v>
      </x:c>
      <x:c r="P436" s="43" t="n">
        <x:v>15535104</x:v>
      </x:c>
      <x:c r="Q436" s="43" t="n">
        <x:v>268435456</x:v>
      </x:c>
      <x:c r="R436" s="43" t="n">
        <x:v>423083008</x:v>
      </x:c>
      <x:c r="S436" s="36" t="n">
        <x:v>2</x:v>
      </x:c>
      <x:c r="T436" s="44" t="str">
        <x:v>0x000000008a1177b8  0x000000008a003818  0x000076aa74007870    4298  20541440  20521392  org.apache.catalina.loader.ParallelWebappClassLoader | 0x000000008a1177b8  0x000000008a003818  0x000076ab34646540       0         0         0  org.apache.catalina.loader.ParallelWebappClassLoader</x:v>
      </x:c>
      <x:c r="U436" s="36" t="n">
        <x:v>27</x:v>
      </x:c>
      <x:c r="V436" s="36" t="n">
        <x:v>0</x:v>
      </x:c>
      <x:c r="W436" s="44"/>
      <x:c r="X436" s="36" t="n">
        <x:v>1</x:v>
      </x:c>
      <x:c r="Y436" s="36" t="n">
        <x:v>1</x:v>
      </x:c>
      <x:c r="Z436" s="44" t="str">
        <x:v>/nostore</x:v>
      </x:c>
      <x:c r="AA436" s="45" t="b">
        <x:v>1</x:v>
      </x:c>
      <x:c r="AB436" s="43"/>
      <x:c r="AC436" s="34" t="str">
        <x:v>article1-unified-v4-2-fb3f101b-20260903-000401-default-f02-p5-nostore-3-after-final-undeploy-final-10s-heap-info.txt</x:v>
      </x:c>
      <x:c r="AD436" s="34" t="str">
        <x:v>article1-unified-v4-2-fb3f101b-20260903-000401-default-f02-p5-nostore-3-after-final-undeploy-final-10s-classloader-stats.txt</x:v>
      </x:c>
      <x:c r="AE436" s="34" t="str">
        <x:v>article1-unified-v4-2-fb3f101b-20260903-000401-default-f02-p5-nostore-3-after-final-undeploy-final-10s-thread-dump.txt</x:v>
      </x:c>
      <x:c r="AF436" s="34"/>
      <x:c r="AG436" s="34" t="str">
        <x:v>article1-unified-v4-2-fb3f101b-20260903-000401-default-f02-p5-nostore-3-after-final-undeploy-final-10s-native-memory.txt</x:v>
      </x:c>
      <x:c r="AH436" s="34" t="str">
        <x:v>article1-unified-v4-2-fb3f101b-20260903-000401-default-f02-p5-nostore-3-after-final-undeploy-final-10s-class-histogram.txt</x:v>
      </x:c>
      <x:c r="AI436" s="34" t="str">
        <x:v>article1-unified-v4-2-fb3f101b-20260903-000401-default-f02-p5-nostore-3-after-final-undeploy-tomcat-findleaks.txt</x:v>
      </x:c>
    </x:row>
    <x:row r="437">
      <x:c r="A437" s="34" t="str">
        <x:v>article1-unified-v4-2-fb3f101b-20260903-000401-default-f02-p5-nostore</x:v>
      </x:c>
      <x:c r="B437" s="34" t="str">
        <x:v>default</x:v>
      </x:c>
      <x:c r="C437" s="34" t="str">
        <x:v>nostore</x:v>
      </x:c>
      <x:c r="D437" s="34" t="str">
        <x:v>nostore</x:v>
      </x:c>
      <x:c r="E437" s="36" t="n">
        <x:v>2</x:v>
      </x:c>
      <x:c r="F437" s="36" t="n">
        <x:v>2</x:v>
      </x:c>
      <x:c r="G437" s="36" t="n">
        <x:v>5</x:v>
      </x:c>
      <x:c r="H437" s="36" t="n">
        <x:v>4</x:v>
      </x:c>
      <x:c r="I437" s="34" t="str">
        <x:v>baseline</x:v>
      </x:c>
      <x:c r="J437" s="34" t="str">
        <x:v>cycle-baseline</x:v>
      </x:c>
      <x:c r="K437" s="36" t="n">
        <x:v>0</x:v>
      </x:c>
      <x:c r="L437" s="34" t="str">
        <x:v>baseline</x:v>
      </x:c>
      <x:c r="M437" s="34" t="str">
        <x:v>article1-unified-v4-2-fb3f101b-20260903-000401-default-f02-p5-nostore-4-baseline</x:v>
      </x:c>
      <x:c r="N437" s="38" t="n">
        <x:v>46267.98349902778</x:v>
      </x:c>
      <x:c r="O437" s="36" t="n">
        <x:v>0</x:v>
      </x:c>
      <x:c r="P437" s="43" t="n">
        <x:v>15543296</x:v>
      </x:c>
      <x:c r="Q437" s="43" t="n">
        <x:v>268435456</x:v>
      </x:c>
      <x:c r="R437" s="43" t="n">
        <x:v>422667264</x:v>
      </x:c>
      <x:c r="S437" s="36" t="n">
        <x:v>2</x:v>
      </x:c>
      <x:c r="T437" s="44" t="str">
        <x:v>0x000000008a1177b8  0x000000008a003818  0x000076aa74007870    4298  20541440  20521392  org.apache.catalina.loader.ParallelWebappClassLoader | 0x000000008a1177b8  0x000000008a003818  0x000076ab34646540       0         0         0  org.apache.catalina.loader.ParallelWebappClassLoader</x:v>
      </x:c>
      <x:c r="U437" s="36" t="n">
        <x:v>27</x:v>
      </x:c>
      <x:c r="V437" s="36" t="n">
        <x:v>0</x:v>
      </x:c>
      <x:c r="W437" s="44"/>
      <x:c r="X437" s="36"/>
      <x:c r="Y437" s="36"/>
      <x:c r="Z437" s="44"/>
      <x:c r="AA437" s="49"/>
      <x:c r="AB437" s="43"/>
      <x:c r="AC437" s="34" t="str">
        <x:v>article1-unified-v4-2-fb3f101b-20260903-000401-default-f02-p5-nostore-4-baseline-heap-info.txt</x:v>
      </x:c>
      <x:c r="AD437" s="34" t="str">
        <x:v>article1-unified-v4-2-fb3f101b-20260903-000401-default-f02-p5-nostore-4-baseline-classloader-stats.txt</x:v>
      </x:c>
      <x:c r="AE437" s="34" t="str">
        <x:v>article1-unified-v4-2-fb3f101b-20260903-000401-default-f02-p5-nostore-4-baseline-thread-dump.txt</x:v>
      </x:c>
      <x:c r="AF437" s="34"/>
      <x:c r="AG437" s="34" t="str">
        <x:v>article1-unified-v4-2-fb3f101b-20260903-000401-default-f02-p5-nostore-4-baseline-native-memory.txt</x:v>
      </x:c>
      <x:c r="AH437" s="34"/>
      <x:c r="AI437" s="34"/>
    </x:row>
    <x:row r="438">
      <x:c r="A438" s="34" t="str">
        <x:v>article1-unified-v4-2-fb3f101b-20260903-000401-default-f02-p5-nostore</x:v>
      </x:c>
      <x:c r="B438" s="34" t="str">
        <x:v>default</x:v>
      </x:c>
      <x:c r="C438" s="34" t="str">
        <x:v>nostore</x:v>
      </x:c>
      <x:c r="D438" s="34" t="str">
        <x:v>nostore</x:v>
      </x:c>
      <x:c r="E438" s="36" t="n">
        <x:v>2</x:v>
      </x:c>
      <x:c r="F438" s="36" t="n">
        <x:v>2</x:v>
      </x:c>
      <x:c r="G438" s="36" t="n">
        <x:v>5</x:v>
      </x:c>
      <x:c r="H438" s="36" t="n">
        <x:v>4</x:v>
      </x:c>
      <x:c r="I438" s="34" t="str">
        <x:v>deployedIdle</x:v>
      </x:c>
      <x:c r="J438" s="34" t="str">
        <x:v>deployed-idle</x:v>
      </x:c>
      <x:c r="K438" s="36" t="n">
        <x:v>0</x:v>
      </x:c>
      <x:c r="L438" s="34" t="str">
        <x:v>initial</x:v>
      </x:c>
      <x:c r="M438" s="34" t="str">
        <x:v>article1-unified-v4-2-fb3f101b-20260903-000401-default-f02-p5-nostore-4-deployed-idle</x:v>
      </x:c>
      <x:c r="N438" s="38" t="n">
        <x:v>46267.983597025464</x:v>
      </x:c>
      <x:c r="O438" s="36" t="n">
        <x:v>0</x:v>
      </x:c>
      <x:c r="P438" s="43" t="n">
        <x:v>163863552</x:v>
      </x:c>
      <x:c r="Q438" s="43" t="n">
        <x:v>268435456</x:v>
      </x:c>
      <x:c r="R438" s="43" t="n">
        <x:v>438850560</x:v>
      </x:c>
      <x:c r="S438" s="36" t="n">
        <x:v>3</x:v>
      </x:c>
      <x:c r="T438" s="44" t="str">
        <x:v>0x000000008a1177b8  0x000000008a003818  0x000076aa74007870    4298  20541440  20521392  org.apache.catalina.loader.ParallelWebappClassLoader | 0x000000008a1177b8  0x000000008a003818  0x000076aa8c6d9700    4091  19449856  19427408  org.apache.catalina.loader.ParallelWebappClassLoader | 0x000000008a1177b8  0x000000008a003818  0x000076ab34646540       0         0         0  org.apache.catalina.loader.ParallelWebappClassLoader</x:v>
      </x:c>
      <x:c r="U438" s="36" t="n">
        <x:v>27</x:v>
      </x:c>
      <x:c r="V438" s="36" t="n">
        <x:v>0</x:v>
      </x:c>
      <x:c r="W438" s="44"/>
      <x:c r="X438" s="36"/>
      <x:c r="Y438" s="36"/>
      <x:c r="Z438" s="44"/>
      <x:c r="AA438" s="49"/>
      <x:c r="AB438" s="43"/>
      <x:c r="AC438" s="34"/>
      <x:c r="AD438" s="34"/>
      <x:c r="AE438" s="34"/>
      <x:c r="AF438" s="34"/>
      <x:c r="AG438" s="34"/>
      <x:c r="AH438" s="34"/>
      <x:c r="AI438" s="34"/>
    </x:row>
    <x:row r="439">
      <x:c r="A439" s="34" t="str">
        <x:v>article1-unified-v4-2-fb3f101b-20260903-000401-default-f02-p5-nostore</x:v>
      </x:c>
      <x:c r="B439" s="34" t="str">
        <x:v>default</x:v>
      </x:c>
      <x:c r="C439" s="34" t="str">
        <x:v>nostore</x:v>
      </x:c>
      <x:c r="D439" s="34" t="str">
        <x:v>nostore</x:v>
      </x:c>
      <x:c r="E439" s="36" t="n">
        <x:v>2</x:v>
      </x:c>
      <x:c r="F439" s="36" t="n">
        <x:v>2</x:v>
      </x:c>
      <x:c r="G439" s="36" t="n">
        <x:v>5</x:v>
      </x:c>
      <x:c r="H439" s="36" t="n">
        <x:v>4</x:v>
      </x:c>
      <x:c r="I439" s="34" t="str">
        <x:v>loaded</x:v>
      </x:c>
      <x:c r="J439" s="34" t="str">
        <x:v>loaded</x:v>
      </x:c>
      <x:c r="K439" s="36" t="n">
        <x:v>0</x:v>
      </x:c>
      <x:c r="L439" s="34" t="str">
        <x:v>initial</x:v>
      </x:c>
      <x:c r="M439" s="34" t="str">
        <x:v>article1-unified-v4-2-fb3f101b-20260903-000401-default-f02-p5-nostore-4-loaded</x:v>
      </x:c>
      <x:c r="N439" s="38" t="n">
        <x:v>46267.98374952546</x:v>
      </x:c>
      <x:c r="O439" s="36" t="n">
        <x:v>0</x:v>
      </x:c>
      <x:c r="P439" s="43" t="n">
        <x:v>320284672</x:v>
      </x:c>
      <x:c r="Q439" s="43" t="n">
        <x:v>338690048</x:v>
      </x:c>
      <x:c r="R439" s="43" t="n">
        <x:v>497632256</x:v>
      </x:c>
      <x:c r="S439" s="36" t="n">
        <x:v>2</x:v>
      </x:c>
      <x:c r="T439" s="44" t="str">
        <x:v>0x000000008a1177b8  0x000000008a003818  0x000076aa8c6d9700    4286  20432896  20408432  org.apache.catalina.loader.ParallelWebappClassLoader | 0x000000008a1177b8  0x000000008a003818  0x000076ab34646540       0         0         0  org.apache.catalina.loader.ParallelWebappClassLoader</x:v>
      </x:c>
      <x:c r="U439" s="36" t="n">
        <x:v>27</x:v>
      </x:c>
      <x:c r="V439" s="36" t="n">
        <x:v>0</x:v>
      </x:c>
      <x:c r="W439" s="44"/>
      <x:c r="X439" s="36"/>
      <x:c r="Y439" s="36"/>
      <x:c r="Z439" s="44"/>
      <x:c r="AA439" s="49"/>
      <x:c r="AB439" s="43"/>
      <x:c r="AC439" s="34"/>
      <x:c r="AD439" s="34"/>
      <x:c r="AE439" s="34"/>
      <x:c r="AF439" s="34"/>
      <x:c r="AG439" s="34"/>
      <x:c r="AH439" s="34"/>
      <x:c r="AI439" s="34"/>
    </x:row>
    <x:row r="440">
      <x:c r="A440" s="34" t="str">
        <x:v>article1-unified-v4-2-fb3f101b-20260903-000401-default-f02-p5-nostore</x:v>
      </x:c>
      <x:c r="B440" s="34" t="str">
        <x:v>default</x:v>
      </x:c>
      <x:c r="C440" s="34" t="str">
        <x:v>nostore</x:v>
      </x:c>
      <x:c r="D440" s="34" t="str">
        <x:v>nostore</x:v>
      </x:c>
      <x:c r="E440" s="36" t="n">
        <x:v>2</x:v>
      </x:c>
      <x:c r="F440" s="36" t="n">
        <x:v>2</x:v>
      </x:c>
      <x:c r="G440" s="36" t="n">
        <x:v>5</x:v>
      </x:c>
      <x:c r="H440" s="36" t="n">
        <x:v>4</x:v>
      </x:c>
      <x:c r="I440" s="34" t="str">
        <x:v>afterUndeployEarly</x:v>
      </x:c>
      <x:c r="J440" s="34" t="str">
        <x:v>after-undeploy-early</x:v>
      </x:c>
      <x:c r="K440" s="36" t="n">
        <x:v>1</x:v>
      </x:c>
      <x:c r="L440" s="34" t="str">
        <x:v>early</x:v>
      </x:c>
      <x:c r="M440" s="34" t="str">
        <x:v>article1-unified-v4-2-fb3f101b-20260903-000401-default-f02-p5-nostore-4-after-undeploy-early-2s</x:v>
      </x:c>
      <x:c r="N440" s="38" t="n">
        <x:v>46267.98383331019</x:v>
      </x:c>
      <x:c r="O440" s="36"/>
      <x:c r="P440" s="43"/>
      <x:c r="Q440" s="43"/>
      <x:c r="R440" s="43"/>
      <x:c r="S440" s="36"/>
      <x:c r="T440" s="44"/>
      <x:c r="U440" s="36" t="n">
        <x:v>27</x:v>
      </x:c>
      <x:c r="V440" s="36" t="n">
        <x:v>0</x:v>
      </x:c>
      <x:c r="W440" s="44"/>
      <x:c r="X440" s="36"/>
      <x:c r="Y440" s="36"/>
      <x:c r="Z440" s="44"/>
      <x:c r="AA440" s="49"/>
      <x:c r="AB440" s="43" t="n">
        <x:v>1</x:v>
      </x:c>
      <x:c r="AC440" s="34"/>
      <x:c r="AD440" s="34"/>
      <x:c r="AE440" s="34" t="str">
        <x:v>article1-unified-v4-2-fb3f101b-20260903-000401-default-f02-p5-nostore-4-after-undeploy-early-2s-thread-dump.txt</x:v>
      </x:c>
      <x:c r="AF440" s="34" t="str">
        <x:v>article1-unified-v4-2-fb3f101b-20260903-000401-default-f02-p5-nostore-4-after-undeploy-early-tomcat-log.txt</x:v>
      </x:c>
      <x:c r="AG440" s="34"/>
      <x:c r="AH440" s="34"/>
      <x:c r="AI440" s="34"/>
    </x:row>
    <x:row r="441">
      <x:c r="A441" s="34" t="str">
        <x:v>article1-unified-v4-2-fb3f101b-20260903-000401-default-f02-p5-nostore</x:v>
      </x:c>
      <x:c r="B441" s="34" t="str">
        <x:v>default</x:v>
      </x:c>
      <x:c r="C441" s="34" t="str">
        <x:v>nostore</x:v>
      </x:c>
      <x:c r="D441" s="34" t="str">
        <x:v>nostore</x:v>
      </x:c>
      <x:c r="E441" s="36" t="n">
        <x:v>2</x:v>
      </x:c>
      <x:c r="F441" s="36" t="n">
        <x:v>2</x:v>
      </x:c>
      <x:c r="G441" s="36" t="n">
        <x:v>5</x:v>
      </x:c>
      <x:c r="H441" s="36" t="n">
        <x:v>4</x:v>
      </x:c>
      <x:c r="I441" s="34" t="str">
        <x:v>afterUndeploy</x:v>
      </x:c>
      <x:c r="J441" s="34" t="str">
        <x:v>after-undeploy-final</x:v>
      </x:c>
      <x:c r="K441" s="36" t="n">
        <x:v>1</x:v>
      </x:c>
      <x:c r="L441" s="34" t="str">
        <x:v>final</x:v>
      </x:c>
      <x:c r="M441" s="34" t="str">
        <x:v>article1-unified-v4-2-fb3f101b-20260903-000401-default-f02-p5-nostore-4-after-undeploy-final-10s</x:v>
      </x:c>
      <x:c r="N441" s="38" t="n">
        <x:v>46267.98398754629</x:v>
      </x:c>
      <x:c r="O441" s="36" t="n">
        <x:v>2</x:v>
      </x:c>
      <x:c r="P441" s="43" t="n">
        <x:v>15443968</x:v>
      </x:c>
      <x:c r="Q441" s="43" t="n">
        <x:v>268435456</x:v>
      </x:c>
      <x:c r="R441" s="43" t="n">
        <x:v>420269056</x:v>
      </x:c>
      <x:c r="S441" s="36" t="n">
        <x:v>2</x:v>
      </x:c>
      <x:c r="T441" s="44" t="str">
        <x:v>0x000000008a1177b8  0x000000008a003818  0x000076ab34646540       0         0         0  org.apache.catalina.loader.ParallelWebappClassLoader | 0x000000008a1177b8  0x000000008a003818  0x000076aa8c6d9700    4294  20449280  20432776  org.apache.catalina.loader.ParallelWebappClassLoader</x:v>
      </x:c>
      <x:c r="U441" s="36" t="n">
        <x:v>27</x:v>
      </x:c>
      <x:c r="V441" s="36" t="n">
        <x:v>0</x:v>
      </x:c>
      <x:c r="W441" s="44"/>
      <x:c r="X441" s="36" t="n">
        <x:v>1</x:v>
      </x:c>
      <x:c r="Y441" s="36" t="n">
        <x:v>1</x:v>
      </x:c>
      <x:c r="Z441" s="44" t="str">
        <x:v>/nostore</x:v>
      </x:c>
      <x:c r="AA441" s="45" t="b">
        <x:v>1</x:v>
      </x:c>
      <x:c r="AB441" s="43"/>
      <x:c r="AC441" s="34" t="str">
        <x:v>article1-unified-v4-2-fb3f101b-20260903-000401-default-f02-p5-nostore-4-after-undeploy-final-10s-heap-info.txt</x:v>
      </x:c>
      <x:c r="AD441" s="34" t="str">
        <x:v>article1-unified-v4-2-fb3f101b-20260903-000401-default-f02-p5-nostore-4-after-undeploy-final-10s-classloader-stats.txt</x:v>
      </x:c>
      <x:c r="AE441" s="34" t="str">
        <x:v>article1-unified-v4-2-fb3f101b-20260903-000401-default-f02-p5-nostore-4-after-undeploy-final-10s-thread-dump.txt</x:v>
      </x:c>
      <x:c r="AF441" s="34"/>
      <x:c r="AG441" s="34" t="str">
        <x:v>article1-unified-v4-2-fb3f101b-20260903-000401-default-f02-p5-nostore-4-after-undeploy-final-10s-native-memory.txt</x:v>
      </x:c>
      <x:c r="AH441" s="34" t="str">
        <x:v>article1-unified-v4-2-fb3f101b-20260903-000401-default-f02-p5-nostore-4-after-undeploy-final-10s-class-histogram.txt</x:v>
      </x:c>
      <x:c r="AI441" s="34" t="str">
        <x:v>article1-unified-v4-2-fb3f101b-20260903-000401-default-f02-p5-nostore-4-after-undeploy-tomcat-findleaks.txt</x:v>
      </x:c>
    </x:row>
    <x:row r="442">
      <x:c r="A442" s="34" t="str">
        <x:v>article1-unified-v4-2-fb3f101b-20260903-000401-default-f02-p5-nostore</x:v>
      </x:c>
      <x:c r="B442" s="34" t="str">
        <x:v>default</x:v>
      </x:c>
      <x:c r="C442" s="34" t="str">
        <x:v>nostore</x:v>
      </x:c>
      <x:c r="D442" s="34" t="str">
        <x:v>nostore</x:v>
      </x:c>
      <x:c r="E442" s="36" t="n">
        <x:v>2</x:v>
      </x:c>
      <x:c r="F442" s="36" t="n">
        <x:v>2</x:v>
      </x:c>
      <x:c r="G442" s="36" t="n">
        <x:v>5</x:v>
      </x:c>
      <x:c r="H442" s="36" t="n">
        <x:v>4</x:v>
      </x:c>
      <x:c r="I442" s="34" t="str">
        <x:v>redeployedLoaded</x:v>
      </x:c>
      <x:c r="J442" s="34" t="str">
        <x:v>redeployed-loaded</x:v>
      </x:c>
      <x:c r="K442" s="36" t="n">
        <x:v>0</x:v>
      </x:c>
      <x:c r="L442" s="34" t="str">
        <x:v>redeploy</x:v>
      </x:c>
      <x:c r="M442" s="34" t="str">
        <x:v>article1-unified-v4-2-fb3f101b-20260903-000401-default-f02-p5-nostore-4-redeployed-loaded</x:v>
      </x:c>
      <x:c r="N442" s="38" t="n">
        <x:v>46267.98425479166</x:v>
      </x:c>
      <x:c r="O442" s="36" t="n">
        <x:v>0</x:v>
      </x:c>
      <x:c r="P442" s="43" t="n">
        <x:v>297295872</x:v>
      </x:c>
      <x:c r="Q442" s="43" t="n">
        <x:v>332398592</x:v>
      </x:c>
      <x:c r="R442" s="43" t="n">
        <x:v>490517504</x:v>
      </x:c>
      <x:c r="S442" s="36" t="n">
        <x:v>2</x:v>
      </x:c>
      <x:c r="T442" s="44" t="str">
        <x:v>0x000000008a1177b8  0x000000008a003818  0x000076aaa800b380    4286  20425728  20424360  org.apache.catalina.loader.ParallelWebappClassLoader | 0x000000008a1177b8  0x000000008a003818  0x000076ab34646540       0         0         0  org.apache.catalina.loader.ParallelWebappClassLoader</x:v>
      </x:c>
      <x:c r="U442" s="36" t="n">
        <x:v>27</x:v>
      </x:c>
      <x:c r="V442" s="36" t="n">
        <x:v>0</x:v>
      </x:c>
      <x:c r="W442" s="44"/>
      <x:c r="X442" s="36"/>
      <x:c r="Y442" s="36"/>
      <x:c r="Z442" s="44"/>
      <x:c r="AA442" s="49"/>
      <x:c r="AB442" s="43"/>
      <x:c r="AC442" s="34"/>
      <x:c r="AD442" s="34"/>
      <x:c r="AE442" s="34"/>
      <x:c r="AF442" s="34"/>
      <x:c r="AG442" s="34"/>
      <x:c r="AH442" s="34"/>
      <x:c r="AI442" s="34"/>
    </x:row>
    <x:row r="443">
      <x:c r="A443" s="34" t="str">
        <x:v>article1-unified-v4-2-fb3f101b-20260903-000401-default-f02-p5-nostore</x:v>
      </x:c>
      <x:c r="B443" s="34" t="str">
        <x:v>default</x:v>
      </x:c>
      <x:c r="C443" s="34" t="str">
        <x:v>nostore</x:v>
      </x:c>
      <x:c r="D443" s="34" t="str">
        <x:v>nostore</x:v>
      </x:c>
      <x:c r="E443" s="36" t="n">
        <x:v>2</x:v>
      </x:c>
      <x:c r="F443" s="36" t="n">
        <x:v>2</x:v>
      </x:c>
      <x:c r="G443" s="36" t="n">
        <x:v>5</x:v>
      </x:c>
      <x:c r="H443" s="36" t="n">
        <x:v>4</x:v>
      </x:c>
      <x:c r="I443" s="34" t="str">
        <x:v>afterFinalUndeployEarly</x:v>
      </x:c>
      <x:c r="J443" s="34" t="str">
        <x:v>after-final-undeploy-early</x:v>
      </x:c>
      <x:c r="K443" s="36" t="n">
        <x:v>2</x:v>
      </x:c>
      <x:c r="L443" s="34" t="str">
        <x:v>early</x:v>
      </x:c>
      <x:c r="M443" s="34" t="str">
        <x:v>article1-unified-v4-2-fb3f101b-20260903-000401-default-f02-p5-nostore-4-after-final-undeploy-early-2s</x:v>
      </x:c>
      <x:c r="N443" s="38" t="n">
        <x:v>46267.98433738426</x:v>
      </x:c>
      <x:c r="O443" s="36"/>
      <x:c r="P443" s="43"/>
      <x:c r="Q443" s="43"/>
      <x:c r="R443" s="43"/>
      <x:c r="S443" s="36"/>
      <x:c r="T443" s="44"/>
      <x:c r="U443" s="36" t="n">
        <x:v>27</x:v>
      </x:c>
      <x:c r="V443" s="36" t="n">
        <x:v>0</x:v>
      </x:c>
      <x:c r="W443" s="44"/>
      <x:c r="X443" s="36"/>
      <x:c r="Y443" s="36"/>
      <x:c r="Z443" s="44"/>
      <x:c r="AA443" s="49"/>
      <x:c r="AB443" s="43" t="n">
        <x:v>1</x:v>
      </x:c>
      <x:c r="AC443" s="34"/>
      <x:c r="AD443" s="34"/>
      <x:c r="AE443" s="34" t="str">
        <x:v>article1-unified-v4-2-fb3f101b-20260903-000401-default-f02-p5-nostore-4-after-final-undeploy-early-2s-thread-dump.txt</x:v>
      </x:c>
      <x:c r="AF443" s="34" t="str">
        <x:v>article1-unified-v4-2-fb3f101b-20260903-000401-default-f02-p5-nostore-4-after-final-undeploy-early-tomcat-log.txt</x:v>
      </x:c>
      <x:c r="AG443" s="34"/>
      <x:c r="AH443" s="34"/>
      <x:c r="AI443" s="34"/>
    </x:row>
    <x:row r="444">
      <x:c r="A444" s="34" t="str">
        <x:v>article1-unified-v4-2-fb3f101b-20260903-000401-default-f02-p5-nostore</x:v>
      </x:c>
      <x:c r="B444" s="34" t="str">
        <x:v>default</x:v>
      </x:c>
      <x:c r="C444" s="34" t="str">
        <x:v>nostore</x:v>
      </x:c>
      <x:c r="D444" s="34" t="str">
        <x:v>nostore</x:v>
      </x:c>
      <x:c r="E444" s="36" t="n">
        <x:v>2</x:v>
      </x:c>
      <x:c r="F444" s="36" t="n">
        <x:v>2</x:v>
      </x:c>
      <x:c r="G444" s="36" t="n">
        <x:v>5</x:v>
      </x:c>
      <x:c r="H444" s="36" t="n">
        <x:v>4</x:v>
      </x:c>
      <x:c r="I444" s="34" t="str">
        <x:v>afterFinalUndeploy</x:v>
      </x:c>
      <x:c r="J444" s="34" t="str">
        <x:v>after-final-undeploy-final</x:v>
      </x:c>
      <x:c r="K444" s="36" t="n">
        <x:v>2</x:v>
      </x:c>
      <x:c r="L444" s="34" t="str">
        <x:v>final</x:v>
      </x:c>
      <x:c r="M444" s="34" t="str">
        <x:v>article1-unified-v4-2-fb3f101b-20260903-000401-default-f02-p5-nostore-4-after-final-undeploy-final-10s</x:v>
      </x:c>
      <x:c r="N444" s="38" t="n">
        <x:v>46267.98449199074</x:v>
      </x:c>
      <x:c r="O444" s="36" t="n">
        <x:v>2</x:v>
      </x:c>
      <x:c r="P444" s="43" t="n">
        <x:v>15460352</x:v>
      </x:c>
      <x:c r="Q444" s="43" t="n">
        <x:v>268435456</x:v>
      </x:c>
      <x:c r="R444" s="43" t="n">
        <x:v>424819712</x:v>
      </x:c>
      <x:c r="S444" s="36" t="n">
        <x:v>2</x:v>
      </x:c>
      <x:c r="T444" s="44" t="str">
        <x:v>0x000000008a1177b8  0x000000008a003818  0x000076ab34646540       0         0         0  org.apache.catalina.loader.ParallelWebappClassLoader | 0x000000008a1177b8  0x000000008a003818  0x000076aaa800b380    4294  20474880  20448744  org.apache.catalina.loader.ParallelWebappClassLoader</x:v>
      </x:c>
      <x:c r="U444" s="36" t="n">
        <x:v>27</x:v>
      </x:c>
      <x:c r="V444" s="36" t="n">
        <x:v>0</x:v>
      </x:c>
      <x:c r="W444" s="44"/>
      <x:c r="X444" s="36" t="n">
        <x:v>1</x:v>
      </x:c>
      <x:c r="Y444" s="36" t="n">
        <x:v>1</x:v>
      </x:c>
      <x:c r="Z444" s="44" t="str">
        <x:v>/nostore</x:v>
      </x:c>
      <x:c r="AA444" s="45" t="b">
        <x:v>1</x:v>
      </x:c>
      <x:c r="AB444" s="43"/>
      <x:c r="AC444" s="34" t="str">
        <x:v>article1-unified-v4-2-fb3f101b-20260903-000401-default-f02-p5-nostore-4-after-final-undeploy-final-10s-heap-info.txt</x:v>
      </x:c>
      <x:c r="AD444" s="34" t="str">
        <x:v>article1-unified-v4-2-fb3f101b-20260903-000401-default-f02-p5-nostore-4-after-final-undeploy-final-10s-classloader-stats.txt</x:v>
      </x:c>
      <x:c r="AE444" s="34" t="str">
        <x:v>article1-unified-v4-2-fb3f101b-20260903-000401-default-f02-p5-nostore-4-after-final-undeploy-final-10s-thread-dump.txt</x:v>
      </x:c>
      <x:c r="AF444" s="34"/>
      <x:c r="AG444" s="34" t="str">
        <x:v>article1-unified-v4-2-fb3f101b-20260903-000401-default-f02-p5-nostore-4-after-final-undeploy-final-10s-native-memory.txt</x:v>
      </x:c>
      <x:c r="AH444" s="34" t="str">
        <x:v>article1-unified-v4-2-fb3f101b-20260903-000401-default-f02-p5-nostore-4-after-final-undeploy-final-10s-class-histogram.txt</x:v>
      </x:c>
      <x:c r="AI444" s="34" t="str">
        <x:v>article1-unified-v4-2-fb3f101b-20260903-000401-default-f02-p5-nostore-4-after-final-undeploy-tomcat-findleaks.txt</x:v>
      </x:c>
    </x:row>
    <x:row r="445">
      <x:c r="A445" s="34" t="str">
        <x:v>article1-unified-v4-2-fb3f101b-20260903-000401-default-f02-p5-nostore</x:v>
      </x:c>
      <x:c r="B445" s="34" t="str">
        <x:v>default</x:v>
      </x:c>
      <x:c r="C445" s="34" t="str">
        <x:v>nostore</x:v>
      </x:c>
      <x:c r="D445" s="34" t="str">
        <x:v>nostore</x:v>
      </x:c>
      <x:c r="E445" s="36" t="n">
        <x:v>2</x:v>
      </x:c>
      <x:c r="F445" s="36" t="n">
        <x:v>2</x:v>
      </x:c>
      <x:c r="G445" s="36" t="n">
        <x:v>5</x:v>
      </x:c>
      <x:c r="H445" s="36" t="n">
        <x:v>5</x:v>
      </x:c>
      <x:c r="I445" s="34" t="str">
        <x:v>baseline</x:v>
      </x:c>
      <x:c r="J445" s="34" t="str">
        <x:v>cycle-baseline</x:v>
      </x:c>
      <x:c r="K445" s="36" t="n">
        <x:v>0</x:v>
      </x:c>
      <x:c r="L445" s="34" t="str">
        <x:v>baseline</x:v>
      </x:c>
      <x:c r="M445" s="34" t="str">
        <x:v>article1-unified-v4-2-fb3f101b-20260903-000401-default-f02-p5-nostore-5-baseline</x:v>
      </x:c>
      <x:c r="N445" s="38" t="n">
        <x:v>46267.98452939815</x:v>
      </x:c>
      <x:c r="O445" s="36" t="n">
        <x:v>0</x:v>
      </x:c>
      <x:c r="P445" s="43" t="n">
        <x:v>15460352</x:v>
      </x:c>
      <x:c r="Q445" s="43" t="n">
        <x:v>268435456</x:v>
      </x:c>
      <x:c r="R445" s="43" t="n">
        <x:v>424819712</x:v>
      </x:c>
      <x:c r="S445" s="36" t="n">
        <x:v>2</x:v>
      </x:c>
      <x:c r="T445" s="44" t="str">
        <x:v>0x000000008a1177b8  0x000000008a003818  0x000076ab34646540       0         0         0  org.apache.catalina.loader.ParallelWebappClassLoader | 0x000000008a1177b8  0x000000008a003818  0x000076aaa800b380    4294  20474880  20448744  org.apache.catalina.loader.ParallelWebappClassLoader</x:v>
      </x:c>
      <x:c r="U445" s="36" t="n">
        <x:v>27</x:v>
      </x:c>
      <x:c r="V445" s="36" t="n">
        <x:v>0</x:v>
      </x:c>
      <x:c r="W445" s="44"/>
      <x:c r="X445" s="36"/>
      <x:c r="Y445" s="36"/>
      <x:c r="Z445" s="44"/>
      <x:c r="AA445" s="49"/>
      <x:c r="AB445" s="43"/>
      <x:c r="AC445" s="34" t="str">
        <x:v>article1-unified-v4-2-fb3f101b-20260903-000401-default-f02-p5-nostore-5-baseline-heap-info.txt</x:v>
      </x:c>
      <x:c r="AD445" s="34" t="str">
        <x:v>article1-unified-v4-2-fb3f101b-20260903-000401-default-f02-p5-nostore-5-baseline-classloader-stats.txt</x:v>
      </x:c>
      <x:c r="AE445" s="34" t="str">
        <x:v>article1-unified-v4-2-fb3f101b-20260903-000401-default-f02-p5-nostore-5-baseline-thread-dump.txt</x:v>
      </x:c>
      <x:c r="AF445" s="34"/>
      <x:c r="AG445" s="34" t="str">
        <x:v>article1-unified-v4-2-fb3f101b-20260903-000401-default-f02-p5-nostore-5-baseline-native-memory.txt</x:v>
      </x:c>
      <x:c r="AH445" s="34"/>
      <x:c r="AI445" s="34"/>
    </x:row>
    <x:row r="446">
      <x:c r="A446" s="34" t="str">
        <x:v>article1-unified-v4-2-fb3f101b-20260903-000401-default-f02-p5-nostore</x:v>
      </x:c>
      <x:c r="B446" s="34" t="str">
        <x:v>default</x:v>
      </x:c>
      <x:c r="C446" s="34" t="str">
        <x:v>nostore</x:v>
      </x:c>
      <x:c r="D446" s="34" t="str">
        <x:v>nostore</x:v>
      </x:c>
      <x:c r="E446" s="36" t="n">
        <x:v>2</x:v>
      </x:c>
      <x:c r="F446" s="36" t="n">
        <x:v>2</x:v>
      </x:c>
      <x:c r="G446" s="36" t="n">
        <x:v>5</x:v>
      </x:c>
      <x:c r="H446" s="36" t="n">
        <x:v>5</x:v>
      </x:c>
      <x:c r="I446" s="34" t="str">
        <x:v>deployedIdle</x:v>
      </x:c>
      <x:c r="J446" s="34" t="str">
        <x:v>deployed-idle</x:v>
      </x:c>
      <x:c r="K446" s="36" t="n">
        <x:v>0</x:v>
      </x:c>
      <x:c r="L446" s="34" t="str">
        <x:v>initial</x:v>
      </x:c>
      <x:c r="M446" s="34" t="str">
        <x:v>article1-unified-v4-2-fb3f101b-20260903-000401-default-f02-p5-nostore-5-deployed-idle</x:v>
      </x:c>
      <x:c r="N446" s="38" t="n">
        <x:v>46267.984626377314</x:v>
      </x:c>
      <x:c r="O446" s="36" t="n">
        <x:v>0</x:v>
      </x:c>
      <x:c r="P446" s="43" t="n">
        <x:v>166090752</x:v>
      </x:c>
      <x:c r="Q446" s="43" t="n">
        <x:v>268435456</x:v>
      </x:c>
      <x:c r="R446" s="43" t="n">
        <x:v>461590528</x:v>
      </x:c>
      <x:c r="S446" s="36" t="n">
        <x:v>3</x:v>
      </x:c>
      <x:c r="T446" s="44" t="str">
        <x:v>0x000000008a1177b8  0x000000008a003818  0x000076aa68015f80    4091  19442688  19413688  org.apache.catalina.loader.ParallelWebappClassLoader | 0x000000008a1177b8  0x000000008a003818  0x000076ab34646540       0         0         0  org.apache.catalina.loader.ParallelWebappClassLoader | 0x000000008a1177b8  0x000000008a003818  0x000076aaa800b380    4294  20474880  20448744  org.apache.catalina.loader.ParallelWebappClassLoader</x:v>
      </x:c>
      <x:c r="U446" s="36" t="n">
        <x:v>27</x:v>
      </x:c>
      <x:c r="V446" s="36" t="n">
        <x:v>0</x:v>
      </x:c>
      <x:c r="W446" s="44"/>
      <x:c r="X446" s="36"/>
      <x:c r="Y446" s="36"/>
      <x:c r="Z446" s="44"/>
      <x:c r="AA446" s="49"/>
      <x:c r="AB446" s="43"/>
      <x:c r="AC446" s="34"/>
      <x:c r="AD446" s="34"/>
      <x:c r="AE446" s="34"/>
      <x:c r="AF446" s="34"/>
      <x:c r="AG446" s="34"/>
      <x:c r="AH446" s="34"/>
      <x:c r="AI446" s="34"/>
    </x:row>
    <x:row r="447">
      <x:c r="A447" s="34" t="str">
        <x:v>article1-unified-v4-2-fb3f101b-20260903-000401-default-f02-p5-nostore</x:v>
      </x:c>
      <x:c r="B447" s="34" t="str">
        <x:v>default</x:v>
      </x:c>
      <x:c r="C447" s="34" t="str">
        <x:v>nostore</x:v>
      </x:c>
      <x:c r="D447" s="34" t="str">
        <x:v>nostore</x:v>
      </x:c>
      <x:c r="E447" s="36" t="n">
        <x:v>2</x:v>
      </x:c>
      <x:c r="F447" s="36" t="n">
        <x:v>2</x:v>
      </x:c>
      <x:c r="G447" s="36" t="n">
        <x:v>5</x:v>
      </x:c>
      <x:c r="H447" s="36" t="n">
        <x:v>5</x:v>
      </x:c>
      <x:c r="I447" s="34" t="str">
        <x:v>loaded</x:v>
      </x:c>
      <x:c r="J447" s="34" t="str">
        <x:v>loaded</x:v>
      </x:c>
      <x:c r="K447" s="36" t="n">
        <x:v>0</x:v>
      </x:c>
      <x:c r="L447" s="34" t="str">
        <x:v>initial</x:v>
      </x:c>
      <x:c r="M447" s="34" t="str">
        <x:v>article1-unified-v4-2-fb3f101b-20260903-000401-default-f02-p5-nostore-5-loaded</x:v>
      </x:c>
      <x:c r="N447" s="38" t="n">
        <x:v>46267.984778171296</x:v>
      </x:c>
      <x:c r="O447" s="36" t="n">
        <x:v>0</x:v>
      </x:c>
      <x:c r="P447" s="43" t="n">
        <x:v>178573312</x:v>
      </x:c>
      <x:c r="Q447" s="43" t="n">
        <x:v>433061888</x:v>
      </x:c>
      <x:c r="R447" s="43" t="n">
        <x:v>611138560</x:v>
      </x:c>
      <x:c r="S447" s="36" t="n">
        <x:v>3</x:v>
      </x:c>
      <x:c r="T447" s="44" t="str">
        <x:v>0x000000008a1177b8  0x000000008a003818  0x000076aa68015f80    4291  20491264  20475296  org.apache.catalina.loader.ParallelWebappClassLoader | 0x000000008a1177b8  0x000000008a003818  0x000076ab34646540       0         0         0  org.apache.catalina.loader.ParallelWebappClassLoader | 0x000000008a1177b8  0x000000008a003818  0x000076aaa800b380    4294  20474880  20448744  org.apache.catalina.loader.ParallelWebappClassLoader</x:v>
      </x:c>
      <x:c r="U447" s="36" t="n">
        <x:v>27</x:v>
      </x:c>
      <x:c r="V447" s="36" t="n">
        <x:v>0</x:v>
      </x:c>
      <x:c r="W447" s="44"/>
      <x:c r="X447" s="36"/>
      <x:c r="Y447" s="36"/>
      <x:c r="Z447" s="44"/>
      <x:c r="AA447" s="49"/>
      <x:c r="AB447" s="43"/>
      <x:c r="AC447" s="34"/>
      <x:c r="AD447" s="34"/>
      <x:c r="AE447" s="34"/>
      <x:c r="AF447" s="34"/>
      <x:c r="AG447" s="34"/>
      <x:c r="AH447" s="34"/>
      <x:c r="AI447" s="34"/>
    </x:row>
    <x:row r="448">
      <x:c r="A448" s="34" t="str">
        <x:v>article1-unified-v4-2-fb3f101b-20260903-000401-default-f02-p5-nostore</x:v>
      </x:c>
      <x:c r="B448" s="34" t="str">
        <x:v>default</x:v>
      </x:c>
      <x:c r="C448" s="34" t="str">
        <x:v>nostore</x:v>
      </x:c>
      <x:c r="D448" s="34" t="str">
        <x:v>nostore</x:v>
      </x:c>
      <x:c r="E448" s="36" t="n">
        <x:v>2</x:v>
      </x:c>
      <x:c r="F448" s="36" t="n">
        <x:v>2</x:v>
      </x:c>
      <x:c r="G448" s="36" t="n">
        <x:v>5</x:v>
      </x:c>
      <x:c r="H448" s="36" t="n">
        <x:v>5</x:v>
      </x:c>
      <x:c r="I448" s="34" t="str">
        <x:v>afterUndeployEarly</x:v>
      </x:c>
      <x:c r="J448" s="34" t="str">
        <x:v>after-undeploy-early</x:v>
      </x:c>
      <x:c r="K448" s="36" t="n">
        <x:v>1</x:v>
      </x:c>
      <x:c r="L448" s="34" t="str">
        <x:v>early</x:v>
      </x:c>
      <x:c r="M448" s="34" t="str">
        <x:v>article1-unified-v4-2-fb3f101b-20260903-000401-default-f02-p5-nostore-5-after-undeploy-early-2s</x:v>
      </x:c>
      <x:c r="N448" s="38" t="n">
        <x:v>46267.98485929398</x:v>
      </x:c>
      <x:c r="O448" s="36"/>
      <x:c r="P448" s="43"/>
      <x:c r="Q448" s="43"/>
      <x:c r="R448" s="43"/>
      <x:c r="S448" s="36"/>
      <x:c r="T448" s="44"/>
      <x:c r="U448" s="36" t="n">
        <x:v>27</x:v>
      </x:c>
      <x:c r="V448" s="36" t="n">
        <x:v>0</x:v>
      </x:c>
      <x:c r="W448" s="44"/>
      <x:c r="X448" s="36"/>
      <x:c r="Y448" s="36"/>
      <x:c r="Z448" s="44"/>
      <x:c r="AA448" s="49"/>
      <x:c r="AB448" s="43" t="n">
        <x:v>1</x:v>
      </x:c>
      <x:c r="AC448" s="34"/>
      <x:c r="AD448" s="34"/>
      <x:c r="AE448" s="34" t="str">
        <x:v>article1-unified-v4-2-fb3f101b-20260903-000401-default-f02-p5-nostore-5-after-undeploy-early-2s-thread-dump.txt</x:v>
      </x:c>
      <x:c r="AF448" s="34" t="str">
        <x:v>article1-unified-v4-2-fb3f101b-20260903-000401-default-f02-p5-nostore-5-after-undeploy-early-tomcat-log.txt</x:v>
      </x:c>
      <x:c r="AG448" s="34"/>
      <x:c r="AH448" s="34"/>
      <x:c r="AI448" s="34"/>
    </x:row>
    <x:row r="449">
      <x:c r="A449" s="34" t="str">
        <x:v>article1-unified-v4-2-fb3f101b-20260903-000401-default-f02-p5-nostore</x:v>
      </x:c>
      <x:c r="B449" s="34" t="str">
        <x:v>default</x:v>
      </x:c>
      <x:c r="C449" s="34" t="str">
        <x:v>nostore</x:v>
      </x:c>
      <x:c r="D449" s="34" t="str">
        <x:v>nostore</x:v>
      </x:c>
      <x:c r="E449" s="36" t="n">
        <x:v>2</x:v>
      </x:c>
      <x:c r="F449" s="36" t="n">
        <x:v>2</x:v>
      </x:c>
      <x:c r="G449" s="36" t="n">
        <x:v>5</x:v>
      </x:c>
      <x:c r="H449" s="36" t="n">
        <x:v>5</x:v>
      </x:c>
      <x:c r="I449" s="34" t="str">
        <x:v>afterUndeploy</x:v>
      </x:c>
      <x:c r="J449" s="34" t="str">
        <x:v>after-undeploy-final</x:v>
      </x:c>
      <x:c r="K449" s="36" t="n">
        <x:v>1</x:v>
      </x:c>
      <x:c r="L449" s="34" t="str">
        <x:v>final</x:v>
      </x:c>
      <x:c r="M449" s="34" t="str">
        <x:v>article1-unified-v4-2-fb3f101b-20260903-000401-default-f02-p5-nostore-5-after-undeploy-final-10s</x:v>
      </x:c>
      <x:c r="N449" s="38" t="n">
        <x:v>46267.98501916667</x:v>
      </x:c>
      <x:c r="O449" s="36" t="n">
        <x:v>2</x:v>
      </x:c>
      <x:c r="P449" s="43" t="n">
        <x:v>15596544</x:v>
      </x:c>
      <x:c r="Q449" s="43" t="n">
        <x:v>268435456</x:v>
      </x:c>
      <x:c r="R449" s="43" t="n">
        <x:v>422489088</x:v>
      </x:c>
      <x:c r="S449" s="36" t="n">
        <x:v>2</x:v>
      </x:c>
      <x:c r="T449" s="44" t="str">
        <x:v>0x000000008a1177b8  0x000000008a003818  0x000076aa68015f80    4299  20507648  20499984  org.apache.catalina.loader.ParallelWebappClassLoader | 0x000000008a1177b8  0x000000008a003818  0x000076ab34646540       0         0         0  org.apache.catalina.loader.ParallelWebappClassLoader</x:v>
      </x:c>
      <x:c r="U449" s="36" t="n">
        <x:v>27</x:v>
      </x:c>
      <x:c r="V449" s="36" t="n">
        <x:v>0</x:v>
      </x:c>
      <x:c r="W449" s="44"/>
      <x:c r="X449" s="36" t="n">
        <x:v>1</x:v>
      </x:c>
      <x:c r="Y449" s="36" t="n">
        <x:v>1</x:v>
      </x:c>
      <x:c r="Z449" s="44" t="str">
        <x:v>/nostore</x:v>
      </x:c>
      <x:c r="AA449" s="45" t="b">
        <x:v>1</x:v>
      </x:c>
      <x:c r="AB449" s="43"/>
      <x:c r="AC449" s="34" t="str">
        <x:v>article1-unified-v4-2-fb3f101b-20260903-000401-default-f02-p5-nostore-5-after-undeploy-final-10s-heap-info.txt</x:v>
      </x:c>
      <x:c r="AD449" s="34" t="str">
        <x:v>article1-unified-v4-2-fb3f101b-20260903-000401-default-f02-p5-nostore-5-after-undeploy-final-10s-classloader-stats.txt</x:v>
      </x:c>
      <x:c r="AE449" s="34" t="str">
        <x:v>article1-unified-v4-2-fb3f101b-20260903-000401-default-f02-p5-nostore-5-after-undeploy-final-10s-thread-dump.txt</x:v>
      </x:c>
      <x:c r="AF449" s="34"/>
      <x:c r="AG449" s="34" t="str">
        <x:v>article1-unified-v4-2-fb3f101b-20260903-000401-default-f02-p5-nostore-5-after-undeploy-final-10s-native-memory.txt</x:v>
      </x:c>
      <x:c r="AH449" s="34" t="str">
        <x:v>article1-unified-v4-2-fb3f101b-20260903-000401-default-f02-p5-nostore-5-after-undeploy-final-10s-class-histogram.txt</x:v>
      </x:c>
      <x:c r="AI449" s="34" t="str">
        <x:v>article1-unified-v4-2-fb3f101b-20260903-000401-default-f02-p5-nostore-5-after-undeploy-tomcat-findleaks.txt</x:v>
      </x:c>
    </x:row>
    <x:row r="450">
      <x:c r="A450" s="34" t="str">
        <x:v>article1-unified-v4-2-fb3f101b-20260903-000401-default-f02-p5-nostore</x:v>
      </x:c>
      <x:c r="B450" s="34" t="str">
        <x:v>default</x:v>
      </x:c>
      <x:c r="C450" s="34" t="str">
        <x:v>nostore</x:v>
      </x:c>
      <x:c r="D450" s="34" t="str">
        <x:v>nostore</x:v>
      </x:c>
      <x:c r="E450" s="36" t="n">
        <x:v>2</x:v>
      </x:c>
      <x:c r="F450" s="36" t="n">
        <x:v>2</x:v>
      </x:c>
      <x:c r="G450" s="36" t="n">
        <x:v>5</x:v>
      </x:c>
      <x:c r="H450" s="36" t="n">
        <x:v>5</x:v>
      </x:c>
      <x:c r="I450" s="34" t="str">
        <x:v>redeployedLoaded</x:v>
      </x:c>
      <x:c r="J450" s="34" t="str">
        <x:v>redeployed-loaded</x:v>
      </x:c>
      <x:c r="K450" s="36" t="n">
        <x:v>0</x:v>
      </x:c>
      <x:c r="L450" s="34" t="str">
        <x:v>redeploy</x:v>
      </x:c>
      <x:c r="M450" s="34" t="str">
        <x:v>article1-unified-v4-2-fb3f101b-20260903-000401-default-f02-p5-nostore-5-redeployed-loaded</x:v>
      </x:c>
      <x:c r="N450" s="38" t="n">
        <x:v>46267.98528670139</x:v>
      </x:c>
      <x:c r="O450" s="36" t="n">
        <x:v>0</x:v>
      </x:c>
      <x:c r="P450" s="43" t="n">
        <x:v>322488320</x:v>
      </x:c>
      <x:c r="Q450" s="43" t="n">
        <x:v>355467264</x:v>
      </x:c>
      <x:c r="R450" s="43" t="n">
        <x:v>515734528</x:v>
      </x:c>
      <x:c r="S450" s="36" t="n">
        <x:v>2</x:v>
      </x:c>
      <x:c r="T450" s="44" t="str">
        <x:v>0x000000008a1177b8  0x000000008a003818  0x000076aa5c1a5510    4290  20422656  20398712  org.apache.catalina.loader.ParallelWebappClassLoader | 0x000000008a1177b8  0x000000008a003818  0x000076ab34646540       0         0         0  org.apache.catalina.loader.ParallelWebappClassLoader</x:v>
      </x:c>
      <x:c r="U450" s="36" t="n">
        <x:v>27</x:v>
      </x:c>
      <x:c r="V450" s="36" t="n">
        <x:v>0</x:v>
      </x:c>
      <x:c r="W450" s="44"/>
      <x:c r="X450" s="36"/>
      <x:c r="Y450" s="36"/>
      <x:c r="Z450" s="44"/>
      <x:c r="AA450" s="49"/>
      <x:c r="AB450" s="43"/>
      <x:c r="AC450" s="34"/>
      <x:c r="AD450" s="34"/>
      <x:c r="AE450" s="34"/>
      <x:c r="AF450" s="34"/>
      <x:c r="AG450" s="34"/>
      <x:c r="AH450" s="34"/>
      <x:c r="AI450" s="34"/>
    </x:row>
    <x:row r="451">
      <x:c r="A451" s="34" t="str">
        <x:v>article1-unified-v4-2-fb3f101b-20260903-000401-default-f02-p5-nostore</x:v>
      </x:c>
      <x:c r="B451" s="34" t="str">
        <x:v>default</x:v>
      </x:c>
      <x:c r="C451" s="34" t="str">
        <x:v>nostore</x:v>
      </x:c>
      <x:c r="D451" s="34" t="str">
        <x:v>nostore</x:v>
      </x:c>
      <x:c r="E451" s="36" t="n">
        <x:v>2</x:v>
      </x:c>
      <x:c r="F451" s="36" t="n">
        <x:v>2</x:v>
      </x:c>
      <x:c r="G451" s="36" t="n">
        <x:v>5</x:v>
      </x:c>
      <x:c r="H451" s="36" t="n">
        <x:v>5</x:v>
      </x:c>
      <x:c r="I451" s="34" t="str">
        <x:v>afterFinalUndeployEarly</x:v>
      </x:c>
      <x:c r="J451" s="34" t="str">
        <x:v>after-final-undeploy-early</x:v>
      </x:c>
      <x:c r="K451" s="36" t="n">
        <x:v>2</x:v>
      </x:c>
      <x:c r="L451" s="34" t="str">
        <x:v>early</x:v>
      </x:c>
      <x:c r="M451" s="34" t="str">
        <x:v>article1-unified-v4-2-fb3f101b-20260903-000401-default-f02-p5-nostore-5-after-final-undeploy-early-2s</x:v>
      </x:c>
      <x:c r="N451" s="38" t="n">
        <x:v>46267.98536853009</x:v>
      </x:c>
      <x:c r="O451" s="36"/>
      <x:c r="P451" s="43"/>
      <x:c r="Q451" s="43"/>
      <x:c r="R451" s="43"/>
      <x:c r="S451" s="36"/>
      <x:c r="T451" s="44"/>
      <x:c r="U451" s="36" t="n">
        <x:v>27</x:v>
      </x:c>
      <x:c r="V451" s="36" t="n">
        <x:v>0</x:v>
      </x:c>
      <x:c r="W451" s="44"/>
      <x:c r="X451" s="36"/>
      <x:c r="Y451" s="36"/>
      <x:c r="Z451" s="44"/>
      <x:c r="AA451" s="49"/>
      <x:c r="AB451" s="43" t="n">
        <x:v>1</x:v>
      </x:c>
      <x:c r="AC451" s="34"/>
      <x:c r="AD451" s="34"/>
      <x:c r="AE451" s="34" t="str">
        <x:v>article1-unified-v4-2-fb3f101b-20260903-000401-default-f02-p5-nostore-5-after-final-undeploy-early-2s-thread-dump.txt</x:v>
      </x:c>
      <x:c r="AF451" s="34" t="str">
        <x:v>article1-unified-v4-2-fb3f101b-20260903-000401-default-f02-p5-nostore-5-after-final-undeploy-early-tomcat-log.txt</x:v>
      </x:c>
      <x:c r="AG451" s="34"/>
      <x:c r="AH451" s="34"/>
      <x:c r="AI451" s="34"/>
    </x:row>
    <x:row r="452">
      <x:c r="A452" s="34" t="str">
        <x:v>article1-unified-v4-2-fb3f101b-20260903-000401-default-f02-p5-nostore</x:v>
      </x:c>
      <x:c r="B452" s="34" t="str">
        <x:v>default</x:v>
      </x:c>
      <x:c r="C452" s="34" t="str">
        <x:v>nostore</x:v>
      </x:c>
      <x:c r="D452" s="34" t="str">
        <x:v>nostore</x:v>
      </x:c>
      <x:c r="E452" s="36" t="n">
        <x:v>2</x:v>
      </x:c>
      <x:c r="F452" s="36" t="n">
        <x:v>2</x:v>
      </x:c>
      <x:c r="G452" s="36" t="n">
        <x:v>5</x:v>
      </x:c>
      <x:c r="H452" s="36" t="n">
        <x:v>5</x:v>
      </x:c>
      <x:c r="I452" s="34" t="str">
        <x:v>afterFinalUndeploy</x:v>
      </x:c>
      <x:c r="J452" s="34" t="str">
        <x:v>after-final-undeploy-final</x:v>
      </x:c>
      <x:c r="K452" s="36" t="n">
        <x:v>2</x:v>
      </x:c>
      <x:c r="L452" s="34" t="str">
        <x:v>final</x:v>
      </x:c>
      <x:c r="M452" s="34" t="str">
        <x:v>article1-unified-v4-2-fb3f101b-20260903-000401-default-f02-p5-nostore-5-after-final-undeploy-final-10s</x:v>
      </x:c>
      <x:c r="N452" s="38" t="n">
        <x:v>46267.9855275463</x:v>
      </x:c>
      <x:c r="O452" s="36" t="n">
        <x:v>2</x:v>
      </x:c>
      <x:c r="P452" s="43" t="n">
        <x:v>15496192</x:v>
      </x:c>
      <x:c r="Q452" s="43" t="n">
        <x:v>268435456</x:v>
      </x:c>
      <x:c r="R452" s="43" t="n">
        <x:v>426499072</x:v>
      </x:c>
      <x:c r="S452" s="36" t="n">
        <x:v>2</x:v>
      </x:c>
      <x:c r="T452" s="44" t="str">
        <x:v>0x000000008a1177b8  0x000000008a003818  0x000076ab34646540       0         0         0  org.apache.catalina.loader.ParallelWebappClassLoader | 0x000000008a1177b8  0x000000008a003818  0x000076aa5c1a5510    4298  20439040  20423288  org.apache.catalina.loader.ParallelWebappClassLoader</x:v>
      </x:c>
      <x:c r="U452" s="36" t="n">
        <x:v>27</x:v>
      </x:c>
      <x:c r="V452" s="36" t="n">
        <x:v>0</x:v>
      </x:c>
      <x:c r="W452" s="44"/>
      <x:c r="X452" s="36" t="n">
        <x:v>1</x:v>
      </x:c>
      <x:c r="Y452" s="36" t="n">
        <x:v>1</x:v>
      </x:c>
      <x:c r="Z452" s="44" t="str">
        <x:v>/nostore</x:v>
      </x:c>
      <x:c r="AA452" s="45" t="b">
        <x:v>1</x:v>
      </x:c>
      <x:c r="AB452" s="43"/>
      <x:c r="AC452" s="34" t="str">
        <x:v>article1-unified-v4-2-fb3f101b-20260903-000401-default-f02-p5-nostore-5-after-final-undeploy-final-10s-heap-info.txt</x:v>
      </x:c>
      <x:c r="AD452" s="34" t="str">
        <x:v>article1-unified-v4-2-fb3f101b-20260903-000401-default-f02-p5-nostore-5-after-final-undeploy-final-10s-classloader-stats.txt</x:v>
      </x:c>
      <x:c r="AE452" s="34" t="str">
        <x:v>article1-unified-v4-2-fb3f101b-20260903-000401-default-f02-p5-nostore-5-after-final-undeploy-final-10s-thread-dump.txt</x:v>
      </x:c>
      <x:c r="AF452" s="34"/>
      <x:c r="AG452" s="34" t="str">
        <x:v>article1-unified-v4-2-fb3f101b-20260903-000401-default-f02-p5-nostore-5-after-final-undeploy-final-10s-native-memory.txt</x:v>
      </x:c>
      <x:c r="AH452" s="34" t="str">
        <x:v>article1-unified-v4-2-fb3f101b-20260903-000401-default-f02-p5-nostore-5-after-final-undeploy-final-10s-class-histogram.txt</x:v>
      </x:c>
      <x:c r="AI452" s="34" t="str">
        <x:v>article1-unified-v4-2-fb3f101b-20260903-000401-default-f02-p5-nostore-5-after-final-undeploy-tomcat-findleaks.txt</x:v>
      </x:c>
    </x:row>
    <x:row r="453">
      <x:c r="A453" s="34" t="str">
        <x:v>article1-unified-v4-2-fb3f101b-20260903-000401-default-f02-p6-jcs321</x:v>
      </x:c>
      <x:c r="B453" s="34" t="str">
        <x:v>default</x:v>
      </x:c>
      <x:c r="C453" s="34" t="str">
        <x:v>jcs321</x:v>
      </x:c>
      <x:c r="D453" s="34" t="str">
        <x:v>jcs321</x:v>
      </x:c>
      <x:c r="E453" s="36" t="n">
        <x:v>2</x:v>
      </x:c>
      <x:c r="F453" s="36" t="n">
        <x:v>2</x:v>
      </x:c>
      <x:c r="G453" s="36" t="n">
        <x:v>6</x:v>
      </x:c>
      <x:c r="H453" s="36" t="n">
        <x:v>0</x:v>
      </x:c>
      <x:c r="I453" s="34" t="str">
        <x:v>processBaseline</x:v>
      </x:c>
      <x:c r="J453" s="34" t="str">
        <x:v>process-baseline</x:v>
      </x:c>
      <x:c r="K453" s="36" t="n">
        <x:v>0</x:v>
      </x:c>
      <x:c r="L453" s="34" t="str">
        <x:v>baseline</x:v>
      </x:c>
      <x:c r="M453" s="34" t="str">
        <x:v>article1-unified-v4-2-fb3f101b-20260903-000401-default-f02-p6-jcs321-process-baseline</x:v>
      </x:c>
      <x:c r="N453" s="38" t="n">
        <x:v>46267.985772291664</x:v>
      </x:c>
      <x:c r="O453" s="36" t="n">
        <x:v>0</x:v>
      </x:c>
      <x:c r="P453" s="43" t="n">
        <x:v>32798720</x:v>
      </x:c>
      <x:c r="Q453" s="43" t="n">
        <x:v>270532608</x:v>
      </x:c>
      <x:c r="R453" s="43" t="n">
        <x:v>369207296</x:v>
      </x:c>
      <x:c r="S453" s="36" t="n">
        <x:v>1</x:v>
      </x:c>
      <x:c r="T453" s="44" t="str">
        <x:v>0x000000006d1177b8  0x000000006d003818  0x00007b21fc607080       0         0         0  org.apache.catalina.loader.ParallelWebappClassLoader</x:v>
      </x:c>
      <x:c r="U453" s="36" t="n">
        <x:v>27</x:v>
      </x:c>
      <x:c r="V453" s="36" t="n">
        <x:v>0</x:v>
      </x:c>
      <x:c r="W453" s="44"/>
      <x:c r="X453" s="36"/>
      <x:c r="Y453" s="36"/>
      <x:c r="Z453" s="44"/>
      <x:c r="AA453" s="49"/>
      <x:c r="AB453" s="43"/>
      <x:c r="AC453" s="34" t="str">
        <x:v>article1-unified-v4-2-fb3f101b-20260903-000401-default-f02-p6-jcs321-process-baseline-heap-info.txt</x:v>
      </x:c>
      <x:c r="AD453" s="34" t="str">
        <x:v>article1-unified-v4-2-fb3f101b-20260903-000401-default-f02-p6-jcs321-process-baseline-classloader-stats.txt</x:v>
      </x:c>
      <x:c r="AE453" s="34" t="str">
        <x:v>article1-unified-v4-2-fb3f101b-20260903-000401-default-f02-p6-jcs321-process-baseline-thread-dump.txt</x:v>
      </x:c>
      <x:c r="AF453" s="34"/>
      <x:c r="AG453" s="34" t="str">
        <x:v>article1-unified-v4-2-fb3f101b-20260903-000401-default-f02-p6-jcs321-process-baseline-native-memory.txt</x:v>
      </x:c>
      <x:c r="AH453" s="34"/>
      <x:c r="AI453" s="34"/>
    </x:row>
    <x:row r="454">
      <x:c r="A454" s="34" t="str">
        <x:v>article1-unified-v4-2-fb3f101b-20260903-000401-default-f02-p6-jcs321</x:v>
      </x:c>
      <x:c r="B454" s="34" t="str">
        <x:v>default</x:v>
      </x:c>
      <x:c r="C454" s="34" t="str">
        <x:v>jcs321</x:v>
      </x:c>
      <x:c r="D454" s="34" t="str">
        <x:v>jcs321</x:v>
      </x:c>
      <x:c r="E454" s="36" t="n">
        <x:v>2</x:v>
      </x:c>
      <x:c r="F454" s="36" t="n">
        <x:v>2</x:v>
      </x:c>
      <x:c r="G454" s="36" t="n">
        <x:v>6</x:v>
      </x:c>
      <x:c r="H454" s="36" t="n">
        <x:v>1</x:v>
      </x:c>
      <x:c r="I454" s="34" t="str">
        <x:v>baseline</x:v>
      </x:c>
      <x:c r="J454" s="34" t="str">
        <x:v>cycle-baseline</x:v>
      </x:c>
      <x:c r="K454" s="36" t="n">
        <x:v>0</x:v>
      </x:c>
      <x:c r="L454" s="34" t="str">
        <x:v>baseline</x:v>
      </x:c>
      <x:c r="M454" s="34" t="str">
        <x:v>article1-unified-v4-2-fb3f101b-20260903-000401-default-f02-p6-jcs321-1-baseline</x:v>
      </x:c>
      <x:c r="N454" s="38" t="n">
        <x:v>46267.98596997685</x:v>
      </x:c>
      <x:c r="O454" s="36" t="n">
        <x:v>0</x:v>
      </x:c>
      <x:c r="P454" s="43" t="n">
        <x:v>33323008</x:v>
      </x:c>
      <x:c r="Q454" s="43" t="n">
        <x:v>270532608</x:v>
      </x:c>
      <x:c r="R454" s="43" t="n">
        <x:v>369861632</x:v>
      </x:c>
      <x:c r="S454" s="36" t="n">
        <x:v>1</x:v>
      </x:c>
      <x:c r="T454" s="44" t="str">
        <x:v>0x000000006d1177b8  0x000000006d003818  0x00007b21fc607080       0         0         0  org.apache.catalina.loader.ParallelWebappClassLoader</x:v>
      </x:c>
      <x:c r="U454" s="36" t="n">
        <x:v>27</x:v>
      </x:c>
      <x:c r="V454" s="36" t="n">
        <x:v>0</x:v>
      </x:c>
      <x:c r="W454" s="44"/>
      <x:c r="X454" s="36"/>
      <x:c r="Y454" s="36"/>
      <x:c r="Z454" s="44"/>
      <x:c r="AA454" s="49"/>
      <x:c r="AB454" s="43"/>
      <x:c r="AC454" s="34" t="str">
        <x:v>article1-unified-v4-2-fb3f101b-20260903-000401-default-f02-p6-jcs321-1-baseline-heap-info.txt</x:v>
      </x:c>
      <x:c r="AD454" s="34" t="str">
        <x:v>article1-unified-v4-2-fb3f101b-20260903-000401-default-f02-p6-jcs321-1-baseline-classloader-stats.txt</x:v>
      </x:c>
      <x:c r="AE454" s="34" t="str">
        <x:v>article1-unified-v4-2-fb3f101b-20260903-000401-default-f02-p6-jcs321-1-baseline-thread-dump.txt</x:v>
      </x:c>
      <x:c r="AF454" s="34"/>
      <x:c r="AG454" s="34" t="str">
        <x:v>article1-unified-v4-2-fb3f101b-20260903-000401-default-f02-p6-jcs321-1-baseline-native-memory.txt</x:v>
      </x:c>
      <x:c r="AH454" s="34"/>
      <x:c r="AI454" s="34"/>
    </x:row>
    <x:row r="455">
      <x:c r="A455" s="34" t="str">
        <x:v>article1-unified-v4-2-fb3f101b-20260903-000401-default-f02-p6-jcs321</x:v>
      </x:c>
      <x:c r="B455" s="34" t="str">
        <x:v>default</x:v>
      </x:c>
      <x:c r="C455" s="34" t="str">
        <x:v>jcs321</x:v>
      </x:c>
      <x:c r="D455" s="34" t="str">
        <x:v>jcs321</x:v>
      </x:c>
      <x:c r="E455" s="36" t="n">
        <x:v>2</x:v>
      </x:c>
      <x:c r="F455" s="36" t="n">
        <x:v>2</x:v>
      </x:c>
      <x:c r="G455" s="36" t="n">
        <x:v>6</x:v>
      </x:c>
      <x:c r="H455" s="36" t="n">
        <x:v>1</x:v>
      </x:c>
      <x:c r="I455" s="34" t="str">
        <x:v>deployedIdle</x:v>
      </x:c>
      <x:c r="J455" s="34" t="str">
        <x:v>deployed-idle</x:v>
      </x:c>
      <x:c r="K455" s="36" t="n">
        <x:v>0</x:v>
      </x:c>
      <x:c r="L455" s="34" t="str">
        <x:v>initial</x:v>
      </x:c>
      <x:c r="M455" s="34" t="str">
        <x:v>article1-unified-v4-2-fb3f101b-20260903-000401-default-f02-p6-jcs321-1-deployed-idle</x:v>
      </x:c>
      <x:c r="N455" s="38" t="n">
        <x:v>46267.98607690972</x:v>
      </x:c>
      <x:c r="O455" s="36" t="n">
        <x:v>0</x:v>
      </x:c>
      <x:c r="P455" s="43" t="n">
        <x:v>21846016</x:v>
      </x:c>
      <x:c r="Q455" s="43" t="n">
        <x:v>268435456</x:v>
      </x:c>
      <x:c r="R455" s="43" t="n">
        <x:v>426881024</x:v>
      </x:c>
      <x:c r="S455" s="36" t="n">
        <x:v>2</x:v>
      </x:c>
      <x:c r="T455" s="44" t="str">
        <x:v>0x000000006d1177b8  0x000000006d003818  0x00007b215806cd90    4091  19411968  19402000  org.apache.catalina.loader.ParallelWebappClassLoader | 0x000000006d1177b8  0x000000006d003818  0x00007b21fc607080       0         0         0  org.apache.catalina.loader.ParallelWebappClassLoader</x:v>
      </x:c>
      <x:c r="U455" s="36" t="n">
        <x:v>27</x:v>
      </x:c>
      <x:c r="V455" s="36" t="n">
        <x:v>0</x:v>
      </x:c>
      <x:c r="W455" s="44"/>
      <x:c r="X455" s="36"/>
      <x:c r="Y455" s="36"/>
      <x:c r="Z455" s="44"/>
      <x:c r="AA455" s="49"/>
      <x:c r="AB455" s="43"/>
      <x:c r="AC455" s="34"/>
      <x:c r="AD455" s="34"/>
      <x:c r="AE455" s="34"/>
      <x:c r="AF455" s="34"/>
      <x:c r="AG455" s="34"/>
      <x:c r="AH455" s="34"/>
      <x:c r="AI455" s="34"/>
    </x:row>
    <x:row r="456">
      <x:c r="A456" s="34" t="str">
        <x:v>article1-unified-v4-2-fb3f101b-20260903-000401-default-f02-p6-jcs321</x:v>
      </x:c>
      <x:c r="B456" s="34" t="str">
        <x:v>default</x:v>
      </x:c>
      <x:c r="C456" s="34" t="str">
        <x:v>jcs321</x:v>
      </x:c>
      <x:c r="D456" s="34" t="str">
        <x:v>jcs321</x:v>
      </x:c>
      <x:c r="E456" s="36" t="n">
        <x:v>2</x:v>
      </x:c>
      <x:c r="F456" s="36" t="n">
        <x:v>2</x:v>
      </x:c>
      <x:c r="G456" s="36" t="n">
        <x:v>6</x:v>
      </x:c>
      <x:c r="H456" s="36" t="n">
        <x:v>1</x:v>
      </x:c>
      <x:c r="I456" s="34" t="str">
        <x:v>loaded</x:v>
      </x:c>
      <x:c r="J456" s="34" t="str">
        <x:v>loaded</x:v>
      </x:c>
      <x:c r="K456" s="36" t="n">
        <x:v>0</x:v>
      </x:c>
      <x:c r="L456" s="34" t="str">
        <x:v>initial</x:v>
      </x:c>
      <x:c r="M456" s="34" t="str">
        <x:v>article1-unified-v4-2-fb3f101b-20260903-000401-default-f02-p6-jcs321-1-loaded</x:v>
      </x:c>
      <x:c r="N456" s="38" t="n">
        <x:v>46267.986225740744</x:v>
      </x:c>
      <x:c r="O456" s="36" t="n">
        <x:v>0</x:v>
      </x:c>
      <x:c r="P456" s="43" t="n">
        <x:v>138212352</x:v>
      </x:c>
      <x:c r="Q456" s="43" t="n">
        <x:v>268435456</x:v>
      </x:c>
      <x:c r="R456" s="43" t="n">
        <x:v>410597376</x:v>
      </x:c>
      <x:c r="S456" s="36" t="n">
        <x:v>2</x:v>
      </x:c>
      <x:c r="T456" s="44" t="str">
        <x:v>0x000000006d1177b8  0x000000006d003818  0x00007b215806cd90    4442  20968448  20948544  org.apache.catalina.loader.ParallelWebappClassLoader | 0x000000006d1177b8  0x000000006d003818  0x00007b21fc607080       0         0         0  org.apache.catalina.loader.ParallelWebappClassLoader</x:v>
      </x:c>
      <x:c r="U456" s="36" t="n">
        <x:v>28</x:v>
      </x:c>
      <x:c r="V456" s="36" t="n">
        <x:v>1</x:v>
      </x:c>
      <x:c r="W456" s="44" t="str">
        <x:v>jcs3-element-event-queue:JCS-ElementEventQueue-Thread-4#49</x:v>
      </x:c>
      <x:c r="X456" s="36"/>
      <x:c r="Y456" s="36"/>
      <x:c r="Z456" s="44"/>
      <x:c r="AA456" s="49"/>
      <x:c r="AB456" s="43"/>
      <x:c r="AC456" s="34"/>
      <x:c r="AD456" s="34"/>
      <x:c r="AE456" s="34"/>
      <x:c r="AF456" s="34"/>
      <x:c r="AG456" s="34"/>
      <x:c r="AH456" s="34"/>
      <x:c r="AI456" s="34"/>
    </x:row>
    <x:row r="457">
      <x:c r="A457" s="34" t="str">
        <x:v>article1-unified-v4-2-fb3f101b-20260903-000401-default-f02-p6-jcs321</x:v>
      </x:c>
      <x:c r="B457" s="34" t="str">
        <x:v>default</x:v>
      </x:c>
      <x:c r="C457" s="34" t="str">
        <x:v>jcs321</x:v>
      </x:c>
      <x:c r="D457" s="34" t="str">
        <x:v>jcs321</x:v>
      </x:c>
      <x:c r="E457" s="36" t="n">
        <x:v>2</x:v>
      </x:c>
      <x:c r="F457" s="36" t="n">
        <x:v>2</x:v>
      </x:c>
      <x:c r="G457" s="36" t="n">
        <x:v>6</x:v>
      </x:c>
      <x:c r="H457" s="36" t="n">
        <x:v>1</x:v>
      </x:c>
      <x:c r="I457" s="34" t="str">
        <x:v>afterUndeployEarly</x:v>
      </x:c>
      <x:c r="J457" s="34" t="str">
        <x:v>after-undeploy-early</x:v>
      </x:c>
      <x:c r="K457" s="36" t="n">
        <x:v>1</x:v>
      </x:c>
      <x:c r="L457" s="34" t="str">
        <x:v>early</x:v>
      </x:c>
      <x:c r="M457" s="34" t="str">
        <x:v>article1-unified-v4-2-fb3f101b-20260903-000401-default-f02-p6-jcs321-1-after-undeploy-early-2s</x:v>
      </x:c>
      <x:c r="N457" s="38" t="n">
        <x:v>46267.98630813658</x:v>
      </x:c>
      <x:c r="O457" s="36"/>
      <x:c r="P457" s="43"/>
      <x:c r="Q457" s="43"/>
      <x:c r="R457" s="43"/>
      <x:c r="S457" s="36"/>
      <x:c r="T457" s="44"/>
      <x:c r="U457" s="36" t="n">
        <x:v>28</x:v>
      </x:c>
      <x:c r="V457" s="36" t="n">
        <x:v>1</x:v>
      </x:c>
      <x:c r="W457" s="44" t="str">
        <x:v>jcs3-element-event-queue:JCS-ElementEventQueue-Thread-4#49</x:v>
      </x:c>
      <x:c r="X457" s="36"/>
      <x:c r="Y457" s="36"/>
      <x:c r="Z457" s="44"/>
      <x:c r="AA457" s="49"/>
      <x:c r="AB457" s="43" t="n">
        <x:v>17</x:v>
      </x:c>
      <x:c r="AC457" s="34"/>
      <x:c r="AD457" s="34"/>
      <x:c r="AE457" s="34" t="str">
        <x:v>article1-unified-v4-2-fb3f101b-20260903-000401-default-f02-p6-jcs321-1-after-undeploy-early-2s-thread-dump.txt</x:v>
      </x:c>
      <x:c r="AF457" s="34" t="str">
        <x:v>article1-unified-v4-2-fb3f101b-20260903-000401-default-f02-p6-jcs321-1-after-undeploy-early-tomcat-log.txt</x:v>
      </x:c>
      <x:c r="AG457" s="34"/>
      <x:c r="AH457" s="34"/>
      <x:c r="AI457" s="34"/>
    </x:row>
    <x:row r="458">
      <x:c r="A458" s="34" t="str">
        <x:v>article1-unified-v4-2-fb3f101b-20260903-000401-default-f02-p6-jcs321</x:v>
      </x:c>
      <x:c r="B458" s="34" t="str">
        <x:v>default</x:v>
      </x:c>
      <x:c r="C458" s="34" t="str">
        <x:v>jcs321</x:v>
      </x:c>
      <x:c r="D458" s="34" t="str">
        <x:v>jcs321</x:v>
      </x:c>
      <x:c r="E458" s="36" t="n">
        <x:v>2</x:v>
      </x:c>
      <x:c r="F458" s="36" t="n">
        <x:v>2</x:v>
      </x:c>
      <x:c r="G458" s="36" t="n">
        <x:v>6</x:v>
      </x:c>
      <x:c r="H458" s="36" t="n">
        <x:v>1</x:v>
      </x:c>
      <x:c r="I458" s="34" t="str">
        <x:v>afterUndeploy</x:v>
      </x:c>
      <x:c r="J458" s="34" t="str">
        <x:v>after-undeploy-final</x:v>
      </x:c>
      <x:c r="K458" s="36" t="n">
        <x:v>1</x:v>
      </x:c>
      <x:c r="L458" s="34" t="str">
        <x:v>final</x:v>
      </x:c>
      <x:c r="M458" s="34" t="str">
        <x:v>article1-unified-v4-2-fb3f101b-20260903-000401-default-f02-p6-jcs321-1-after-undeploy-final-10s</x:v>
      </x:c>
      <x:c r="N458" s="38" t="n">
        <x:v>46267.98646429398</x:v>
      </x:c>
      <x:c r="O458" s="36" t="n">
        <x:v>2</x:v>
      </x:c>
      <x:c r="P458" s="43" t="n">
        <x:v>15801344</x:v>
      </x:c>
      <x:c r="Q458" s="43" t="n">
        <x:v>268435456</x:v>
      </x:c>
      <x:c r="R458" s="43" t="n">
        <x:v>409114624</x:v>
      </x:c>
      <x:c r="S458" s="36" t="n">
        <x:v>2</x:v>
      </x:c>
      <x:c r="T458" s="44" t="str">
        <x:v>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58" s="36" t="n">
        <x:v>28</x:v>
      </x:c>
      <x:c r="V458" s="36" t="n">
        <x:v>1</x:v>
      </x:c>
      <x:c r="W458" s="44" t="str">
        <x:v>jcs3-element-event-queue:JCS-ElementEventQueue-Thread-4#49</x:v>
      </x:c>
      <x:c r="X458" s="36" t="n">
        <x:v>1</x:v>
      </x:c>
      <x:c r="Y458" s="36" t="n">
        <x:v>1</x:v>
      </x:c>
      <x:c r="Z458" s="44" t="str">
        <x:v>/jcs321</x:v>
      </x:c>
      <x:c r="AA458" s="45" t="b">
        <x:v>1</x:v>
      </x:c>
      <x:c r="AB458" s="43"/>
      <x:c r="AC458" s="34" t="str">
        <x:v>article1-unified-v4-2-fb3f101b-20260903-000401-default-f02-p6-jcs321-1-after-undeploy-final-10s-heap-info.txt</x:v>
      </x:c>
      <x:c r="AD458" s="34" t="str">
        <x:v>article1-unified-v4-2-fb3f101b-20260903-000401-default-f02-p6-jcs321-1-after-undeploy-final-10s-classloader-stats.txt</x:v>
      </x:c>
      <x:c r="AE458" s="34" t="str">
        <x:v>article1-unified-v4-2-fb3f101b-20260903-000401-default-f02-p6-jcs321-1-after-undeploy-final-10s-thread-dump.txt</x:v>
      </x:c>
      <x:c r="AF458" s="34"/>
      <x:c r="AG458" s="34" t="str">
        <x:v>article1-unified-v4-2-fb3f101b-20260903-000401-default-f02-p6-jcs321-1-after-undeploy-final-10s-native-memory.txt</x:v>
      </x:c>
      <x:c r="AH458" s="34" t="str">
        <x:v>article1-unified-v4-2-fb3f101b-20260903-000401-default-f02-p6-jcs321-1-after-undeploy-final-10s-class-histogram.txt</x:v>
      </x:c>
      <x:c r="AI458" s="34" t="str">
        <x:v>article1-unified-v4-2-fb3f101b-20260903-000401-default-f02-p6-jcs321-1-after-undeploy-tomcat-findleaks.txt</x:v>
      </x:c>
    </x:row>
    <x:row r="459">
      <x:c r="A459" s="34" t="str">
        <x:v>article1-unified-v4-2-fb3f101b-20260903-000401-default-f02-p6-jcs321</x:v>
      </x:c>
      <x:c r="B459" s="34" t="str">
        <x:v>default</x:v>
      </x:c>
      <x:c r="C459" s="34" t="str">
        <x:v>jcs321</x:v>
      </x:c>
      <x:c r="D459" s="34" t="str">
        <x:v>jcs321</x:v>
      </x:c>
      <x:c r="E459" s="36" t="n">
        <x:v>2</x:v>
      </x:c>
      <x:c r="F459" s="36" t="n">
        <x:v>2</x:v>
      </x:c>
      <x:c r="G459" s="36" t="n">
        <x:v>6</x:v>
      </x:c>
      <x:c r="H459" s="36" t="n">
        <x:v>1</x:v>
      </x:c>
      <x:c r="I459" s="34" t="str">
        <x:v>redeployedLoaded</x:v>
      </x:c>
      <x:c r="J459" s="34" t="str">
        <x:v>redeployed-loaded</x:v>
      </x:c>
      <x:c r="K459" s="36" t="n">
        <x:v>0</x:v>
      </x:c>
      <x:c r="L459" s="34" t="str">
        <x:v>redeploy</x:v>
      </x:c>
      <x:c r="M459" s="34" t="str">
        <x:v>article1-unified-v4-2-fb3f101b-20260903-000401-default-f02-p6-jcs321-1-redeployed-loaded</x:v>
      </x:c>
      <x:c r="N459" s="38" t="n">
        <x:v>46267.986727407406</x:v>
      </x:c>
      <x:c r="O459" s="36" t="n">
        <x:v>0</x:v>
      </x:c>
      <x:c r="P459" s="43" t="n">
        <x:v>126956544</x:v>
      </x:c>
      <x:c r="Q459" s="43" t="n">
        <x:v>268435456</x:v>
      </x:c>
      <x:c r="R459" s="43" t="n">
        <x:v>436326400</x:v>
      </x:c>
      <x:c r="S459" s="36" t="n">
        <x:v>3</x:v>
      </x:c>
      <x:c r="T459" s="44" t="str">
        <x:v>0x000000006d1177b8  0x000000006d003818  0x00007b21700079c0    4433  21002240  20993520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59" s="36" t="n">
        <x:v>29</x:v>
      </x:c>
      <x:c r="V459" s="36" t="n">
        <x:v>2</x:v>
      </x:c>
      <x:c r="W459" s="44" t="str">
        <x:v>jcs3-element-event-queue:JCS-ElementEventQueue-Thread-4#49 | jcs3-element-event-queue:JCS-ElementEventQueue-Thread-7#91</x:v>
      </x:c>
      <x:c r="X459" s="36"/>
      <x:c r="Y459" s="36"/>
      <x:c r="Z459" s="44"/>
      <x:c r="AA459" s="49"/>
      <x:c r="AB459" s="43"/>
      <x:c r="AC459" s="34"/>
      <x:c r="AD459" s="34"/>
      <x:c r="AE459" s="34"/>
      <x:c r="AF459" s="34"/>
      <x:c r="AG459" s="34"/>
      <x:c r="AH459" s="34"/>
      <x:c r="AI459" s="34"/>
    </x:row>
    <x:row r="460">
      <x:c r="A460" s="34" t="str">
        <x:v>article1-unified-v4-2-fb3f101b-20260903-000401-default-f02-p6-jcs321</x:v>
      </x:c>
      <x:c r="B460" s="34" t="str">
        <x:v>default</x:v>
      </x:c>
      <x:c r="C460" s="34" t="str">
        <x:v>jcs321</x:v>
      </x:c>
      <x:c r="D460" s="34" t="str">
        <x:v>jcs321</x:v>
      </x:c>
      <x:c r="E460" s="36" t="n">
        <x:v>2</x:v>
      </x:c>
      <x:c r="F460" s="36" t="n">
        <x:v>2</x:v>
      </x:c>
      <x:c r="G460" s="36" t="n">
        <x:v>6</x:v>
      </x:c>
      <x:c r="H460" s="36" t="n">
        <x:v>1</x:v>
      </x:c>
      <x:c r="I460" s="34" t="str">
        <x:v>afterFinalUndeployEarly</x:v>
      </x:c>
      <x:c r="J460" s="34" t="str">
        <x:v>after-final-undeploy-early</x:v>
      </x:c>
      <x:c r="K460" s="36" t="n">
        <x:v>2</x:v>
      </x:c>
      <x:c r="L460" s="34" t="str">
        <x:v>early</x:v>
      </x:c>
      <x:c r="M460" s="34" t="str">
        <x:v>article1-unified-v4-2-fb3f101b-20260903-000401-default-f02-p6-jcs321-1-after-final-undeploy-early-2s</x:v>
      </x:c>
      <x:c r="N460" s="38" t="n">
        <x:v>46267.98681055556</x:v>
      </x:c>
      <x:c r="O460" s="36"/>
      <x:c r="P460" s="43"/>
      <x:c r="Q460" s="43"/>
      <x:c r="R460" s="43"/>
      <x:c r="S460" s="36"/>
      <x:c r="T460" s="44"/>
      <x:c r="U460" s="36" t="n">
        <x:v>29</x:v>
      </x:c>
      <x:c r="V460" s="36" t="n">
        <x:v>2</x:v>
      </x:c>
      <x:c r="W460" s="44" t="str">
        <x:v>jcs3-element-event-queue:JCS-ElementEventQueue-Thread-4#49 | jcs3-element-event-queue:JCS-ElementEventQueue-Thread-7#91</x:v>
      </x:c>
      <x:c r="X460" s="36"/>
      <x:c r="Y460" s="36"/>
      <x:c r="Z460" s="44"/>
      <x:c r="AA460" s="49"/>
      <x:c r="AB460" s="43" t="n">
        <x:v>17</x:v>
      </x:c>
      <x:c r="AC460" s="34"/>
      <x:c r="AD460" s="34"/>
      <x:c r="AE460" s="34" t="str">
        <x:v>article1-unified-v4-2-fb3f101b-20260903-000401-default-f02-p6-jcs321-1-after-final-undeploy-early-2s-thread-dump.txt</x:v>
      </x:c>
      <x:c r="AF460" s="34" t="str">
        <x:v>article1-unified-v4-2-fb3f101b-20260903-000401-default-f02-p6-jcs321-1-after-final-undeploy-early-tomcat-log.txt</x:v>
      </x:c>
      <x:c r="AG460" s="34"/>
      <x:c r="AH460" s="34"/>
      <x:c r="AI460" s="34"/>
    </x:row>
    <x:row r="461">
      <x:c r="A461" s="34" t="str">
        <x:v>article1-unified-v4-2-fb3f101b-20260903-000401-default-f02-p6-jcs321</x:v>
      </x:c>
      <x:c r="B461" s="34" t="str">
        <x:v>default</x:v>
      </x:c>
      <x:c r="C461" s="34" t="str">
        <x:v>jcs321</x:v>
      </x:c>
      <x:c r="D461" s="34" t="str">
        <x:v>jcs321</x:v>
      </x:c>
      <x:c r="E461" s="36" t="n">
        <x:v>2</x:v>
      </x:c>
      <x:c r="F461" s="36" t="n">
        <x:v>2</x:v>
      </x:c>
      <x:c r="G461" s="36" t="n">
        <x:v>6</x:v>
      </x:c>
      <x:c r="H461" s="36" t="n">
        <x:v>1</x:v>
      </x:c>
      <x:c r="I461" s="34" t="str">
        <x:v>afterFinalUndeploy</x:v>
      </x:c>
      <x:c r="J461" s="34" t="str">
        <x:v>after-final-undeploy-final</x:v>
      </x:c>
      <x:c r="K461" s="36" t="n">
        <x:v>2</x:v>
      </x:c>
      <x:c r="L461" s="34" t="str">
        <x:v>final</x:v>
      </x:c>
      <x:c r="M461" s="34" t="str">
        <x:v>article1-unified-v4-2-fb3f101b-20260903-000401-default-f02-p6-jcs321-1-after-final-undeploy-final-10s</x:v>
      </x:c>
      <x:c r="N461" s="38" t="n">
        <x:v>46267.98696751158</x:v>
      </x:c>
      <x:c r="O461" s="36" t="n">
        <x:v>2</x:v>
      </x:c>
      <x:c r="P461" s="43" t="n">
        <x:v>19823616</x:v>
      </x:c>
      <x:c r="Q461" s="43" t="n">
        <x:v>268435456</x:v>
      </x:c>
      <x:c r="R461" s="43" t="n">
        <x:v>435720192</x:v>
      </x:c>
      <x:c r="S461" s="36" t="n">
        <x:v>3</x:v>
      </x:c>
      <x:c r="T461" s="44" t="str">
        <x:v>0x000000006d1177b8  0x000000006d003818  0x00007b21700079c0    4447  21051392  21028464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61" s="36" t="n">
        <x:v>29</x:v>
      </x:c>
      <x:c r="V461" s="36" t="n">
        <x:v>2</x:v>
      </x:c>
      <x:c r="W461" s="44" t="str">
        <x:v>jcs3-element-event-queue:JCS-ElementEventQueue-Thread-4#49 | jcs3-element-event-queue:JCS-ElementEventQueue-Thread-7#91</x:v>
      </x:c>
      <x:c r="X461" s="36" t="n">
        <x:v>2</x:v>
      </x:c>
      <x:c r="Y461" s="36" t="n">
        <x:v>2</x:v>
      </x:c>
      <x:c r="Z461" s="44" t="str">
        <x:v>/jcs321</x:v>
      </x:c>
      <x:c r="AA461" s="45" t="b">
        <x:v>1</x:v>
      </x:c>
      <x:c r="AB461" s="43"/>
      <x:c r="AC461" s="34" t="str">
        <x:v>article1-unified-v4-2-fb3f101b-20260903-000401-default-f02-p6-jcs321-1-after-final-undeploy-final-10s-heap-info.txt</x:v>
      </x:c>
      <x:c r="AD461" s="34" t="str">
        <x:v>article1-unified-v4-2-fb3f101b-20260903-000401-default-f02-p6-jcs321-1-after-final-undeploy-final-10s-classloader-stats.txt</x:v>
      </x:c>
      <x:c r="AE461" s="34" t="str">
        <x:v>article1-unified-v4-2-fb3f101b-20260903-000401-default-f02-p6-jcs321-1-after-final-undeploy-final-10s-thread-dump.txt</x:v>
      </x:c>
      <x:c r="AF461" s="34"/>
      <x:c r="AG461" s="34" t="str">
        <x:v>article1-unified-v4-2-fb3f101b-20260903-000401-default-f02-p6-jcs321-1-after-final-undeploy-final-10s-native-memory.txt</x:v>
      </x:c>
      <x:c r="AH461" s="34" t="str">
        <x:v>article1-unified-v4-2-fb3f101b-20260903-000401-default-f02-p6-jcs321-1-after-final-undeploy-final-10s-class-histogram.txt</x:v>
      </x:c>
      <x:c r="AI461" s="34" t="str">
        <x:v>article1-unified-v4-2-fb3f101b-20260903-000401-default-f02-p6-jcs321-1-after-final-undeploy-tomcat-findleaks.txt</x:v>
      </x:c>
    </x:row>
    <x:row r="462">
      <x:c r="A462" s="34" t="str">
        <x:v>article1-unified-v4-2-fb3f101b-20260903-000401-default-f02-p6-jcs321</x:v>
      </x:c>
      <x:c r="B462" s="34" t="str">
        <x:v>default</x:v>
      </x:c>
      <x:c r="C462" s="34" t="str">
        <x:v>jcs321</x:v>
      </x:c>
      <x:c r="D462" s="34" t="str">
        <x:v>jcs321</x:v>
      </x:c>
      <x:c r="E462" s="36" t="n">
        <x:v>2</x:v>
      </x:c>
      <x:c r="F462" s="36" t="n">
        <x:v>2</x:v>
      </x:c>
      <x:c r="G462" s="36" t="n">
        <x:v>6</x:v>
      </x:c>
      <x:c r="H462" s="36" t="n">
        <x:v>2</x:v>
      </x:c>
      <x:c r="I462" s="34" t="str">
        <x:v>baseline</x:v>
      </x:c>
      <x:c r="J462" s="34" t="str">
        <x:v>cycle-baseline</x:v>
      </x:c>
      <x:c r="K462" s="36" t="n">
        <x:v>0</x:v>
      </x:c>
      <x:c r="L462" s="34" t="str">
        <x:v>baseline</x:v>
      </x:c>
      <x:c r="M462" s="34" t="str">
        <x:v>article1-unified-v4-2-fb3f101b-20260903-000401-default-f02-p6-jcs321-2-baseline</x:v>
      </x:c>
      <x:c r="N462" s="38" t="n">
        <x:v>46267.987007476855</x:v>
      </x:c>
      <x:c r="O462" s="36" t="n">
        <x:v>0</x:v>
      </x:c>
      <x:c r="P462" s="43" t="n">
        <x:v>19823616</x:v>
      </x:c>
      <x:c r="Q462" s="43" t="n">
        <x:v>268435456</x:v>
      </x:c>
      <x:c r="R462" s="43" t="n">
        <x:v>435720192</x:v>
      </x:c>
      <x:c r="S462" s="36" t="n">
        <x:v>3</x:v>
      </x:c>
      <x:c r="T462" s="44" t="str">
        <x:v>0x000000006d1177b8  0x000000006d003818  0x00007b21700079c0    4447  21051392  21028464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62" s="36" t="n">
        <x:v>29</x:v>
      </x:c>
      <x:c r="V462" s="36" t="n">
        <x:v>2</x:v>
      </x:c>
      <x:c r="W462" s="44" t="str">
        <x:v>jcs3-element-event-queue:JCS-ElementEventQueue-Thread-4#49 | jcs3-element-event-queue:JCS-ElementEventQueue-Thread-7#91</x:v>
      </x:c>
      <x:c r="X462" s="36"/>
      <x:c r="Y462" s="36"/>
      <x:c r="Z462" s="44"/>
      <x:c r="AA462" s="49"/>
      <x:c r="AB462" s="43"/>
      <x:c r="AC462" s="34" t="str">
        <x:v>article1-unified-v4-2-fb3f101b-20260903-000401-default-f02-p6-jcs321-2-baseline-heap-info.txt</x:v>
      </x:c>
      <x:c r="AD462" s="34" t="str">
        <x:v>article1-unified-v4-2-fb3f101b-20260903-000401-default-f02-p6-jcs321-2-baseline-classloader-stats.txt</x:v>
      </x:c>
      <x:c r="AE462" s="34" t="str">
        <x:v>article1-unified-v4-2-fb3f101b-20260903-000401-default-f02-p6-jcs321-2-baseline-thread-dump.txt</x:v>
      </x:c>
      <x:c r="AF462" s="34"/>
      <x:c r="AG462" s="34" t="str">
        <x:v>article1-unified-v4-2-fb3f101b-20260903-000401-default-f02-p6-jcs321-2-baseline-native-memory.txt</x:v>
      </x:c>
      <x:c r="AH462" s="34"/>
      <x:c r="AI462" s="34"/>
    </x:row>
    <x:row r="463">
      <x:c r="A463" s="34" t="str">
        <x:v>article1-unified-v4-2-fb3f101b-20260903-000401-default-f02-p6-jcs321</x:v>
      </x:c>
      <x:c r="B463" s="34" t="str">
        <x:v>default</x:v>
      </x:c>
      <x:c r="C463" s="34" t="str">
        <x:v>jcs321</x:v>
      </x:c>
      <x:c r="D463" s="34" t="str">
        <x:v>jcs321</x:v>
      </x:c>
      <x:c r="E463" s="36" t="n">
        <x:v>2</x:v>
      </x:c>
      <x:c r="F463" s="36" t="n">
        <x:v>2</x:v>
      </x:c>
      <x:c r="G463" s="36" t="n">
        <x:v>6</x:v>
      </x:c>
      <x:c r="H463" s="36" t="n">
        <x:v>2</x:v>
      </x:c>
      <x:c r="I463" s="34" t="str">
        <x:v>deployedIdle</x:v>
      </x:c>
      <x:c r="J463" s="34" t="str">
        <x:v>deployed-idle</x:v>
      </x:c>
      <x:c r="K463" s="36" t="n">
        <x:v>0</x:v>
      </x:c>
      <x:c r="L463" s="34" t="str">
        <x:v>initial</x:v>
      </x:c>
      <x:c r="M463" s="34" t="str">
        <x:v>article1-unified-v4-2-fb3f101b-20260903-000401-default-f02-p6-jcs321-2-deployed-idle</x:v>
      </x:c>
      <x:c r="N463" s="38" t="n">
        <x:v>46267.98710644676</x:v>
      </x:c>
      <x:c r="O463" s="36" t="n">
        <x:v>0</x:v>
      </x:c>
      <x:c r="P463" s="43" t="n">
        <x:v>172594176</x:v>
      </x:c>
      <x:c r="Q463" s="43" t="n">
        <x:v>268435456</x:v>
      </x:c>
      <x:c r="R463" s="43" t="n">
        <x:v>478981120</x:v>
      </x:c>
      <x:c r="S463" s="36" t="n">
        <x:v>4</x:v>
      </x:c>
      <x:c r="T463" s="44" t="str">
        <x:v>0x000000006d1177b8  0x000000006d003818  0x00007b21700079c0    4447  21051392  21028464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 | 0x000000006d1177b8  0x000000006d003818  0x00007b2178014480    4091  19449856  19426824  org.apache.catalina.loader.ParallelWebappClassLoader</x:v>
      </x:c>
      <x:c r="U463" s="36" t="n">
        <x:v>30</x:v>
      </x:c>
      <x:c r="V463" s="36" t="n">
        <x:v>2</x:v>
      </x:c>
      <x:c r="W463" s="44" t="str">
        <x:v>jcs3-element-event-queue:JCS-ElementEventQueue-Thread-4#49 | jcs3-element-event-queue:JCS-ElementEventQueue-Thread-7#91</x:v>
      </x:c>
      <x:c r="X463" s="36"/>
      <x:c r="Y463" s="36"/>
      <x:c r="Z463" s="44"/>
      <x:c r="AA463" s="49"/>
      <x:c r="AB463" s="43"/>
      <x:c r="AC463" s="34"/>
      <x:c r="AD463" s="34"/>
      <x:c r="AE463" s="34"/>
      <x:c r="AF463" s="34"/>
      <x:c r="AG463" s="34"/>
      <x:c r="AH463" s="34"/>
      <x:c r="AI463" s="34"/>
    </x:row>
    <x:row r="464">
      <x:c r="A464" s="34" t="str">
        <x:v>article1-unified-v4-2-fb3f101b-20260903-000401-default-f02-p6-jcs321</x:v>
      </x:c>
      <x:c r="B464" s="34" t="str">
        <x:v>default</x:v>
      </x:c>
      <x:c r="C464" s="34" t="str">
        <x:v>jcs321</x:v>
      </x:c>
      <x:c r="D464" s="34" t="str">
        <x:v>jcs321</x:v>
      </x:c>
      <x:c r="E464" s="36" t="n">
        <x:v>2</x:v>
      </x:c>
      <x:c r="F464" s="36" t="n">
        <x:v>2</x:v>
      </x:c>
      <x:c r="G464" s="36" t="n">
        <x:v>6</x:v>
      </x:c>
      <x:c r="H464" s="36" t="n">
        <x:v>2</x:v>
      </x:c>
      <x:c r="I464" s="34" t="str">
        <x:v>loaded</x:v>
      </x:c>
      <x:c r="J464" s="34" t="str">
        <x:v>loaded</x:v>
      </x:c>
      <x:c r="K464" s="36" t="n">
        <x:v>0</x:v>
      </x:c>
      <x:c r="L464" s="34" t="str">
        <x:v>initial</x:v>
      </x:c>
      <x:c r="M464" s="34" t="str">
        <x:v>article1-unified-v4-2-fb3f101b-20260903-000401-default-f02-p6-jcs321-2-loaded</x:v>
      </x:c>
      <x:c r="N464" s="38" t="n">
        <x:v>46267.98726307871</x:v>
      </x:c>
      <x:c r="O464" s="36" t="n">
        <x:v>0</x:v>
      </x:c>
      <x:c r="P464" s="43" t="n">
        <x:v>134725632</x:v>
      </x:c>
      <x:c r="Q464" s="43" t="n">
        <x:v>268435456</x:v>
      </x:c>
      <x:c r="R464" s="43" t="n">
        <x:v>463064064</x:v>
      </x:c>
      <x:c r="S464" s="36" t="n">
        <x:v>4</x:v>
      </x:c>
      <x:c r="T464" s="44" t="str">
        <x:v>0x000000006d1177b8  0x000000006d003818  0x00007b21700079c0    4447  21051392  21028464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 | 0x000000006d1177b8  0x000000006d003818  0x00007b2178014480    4419  20988928  20978488  org.apache.catalina.loader.ParallelWebappClassLoader</x:v>
      </x:c>
      <x:c r="U464" s="36" t="n">
        <x:v>30</x:v>
      </x:c>
      <x:c r="V464" s="36" t="n">
        <x:v>3</x:v>
      </x:c>
      <x:c r="W464" s="44" t="str">
        <x:v>jcs3-element-event-queue:JCS-ElementEventQueue-Thread-4#49 | jcs3-element-event-queue:JCS-ElementEventQueue-Thread-7#91 | jcs3-element-event-queue:JCS-ElementEventQueue-Thread-10#133</x:v>
      </x:c>
      <x:c r="X464" s="36"/>
      <x:c r="Y464" s="36"/>
      <x:c r="Z464" s="44"/>
      <x:c r="AA464" s="49"/>
      <x:c r="AB464" s="43"/>
      <x:c r="AC464" s="34"/>
      <x:c r="AD464" s="34"/>
      <x:c r="AE464" s="34"/>
      <x:c r="AF464" s="34"/>
      <x:c r="AG464" s="34"/>
      <x:c r="AH464" s="34"/>
      <x:c r="AI464" s="34"/>
    </x:row>
    <x:row r="465">
      <x:c r="A465" s="34" t="str">
        <x:v>article1-unified-v4-2-fb3f101b-20260903-000401-default-f02-p6-jcs321</x:v>
      </x:c>
      <x:c r="B465" s="34" t="str">
        <x:v>default</x:v>
      </x:c>
      <x:c r="C465" s="34" t="str">
        <x:v>jcs321</x:v>
      </x:c>
      <x:c r="D465" s="34" t="str">
        <x:v>jcs321</x:v>
      </x:c>
      <x:c r="E465" s="36" t="n">
        <x:v>2</x:v>
      </x:c>
      <x:c r="F465" s="36" t="n">
        <x:v>2</x:v>
      </x:c>
      <x:c r="G465" s="36" t="n">
        <x:v>6</x:v>
      </x:c>
      <x:c r="H465" s="36" t="n">
        <x:v>2</x:v>
      </x:c>
      <x:c r="I465" s="34" t="str">
        <x:v>afterUndeployEarly</x:v>
      </x:c>
      <x:c r="J465" s="34" t="str">
        <x:v>after-undeploy-early</x:v>
      </x:c>
      <x:c r="K465" s="36" t="n">
        <x:v>1</x:v>
      </x:c>
      <x:c r="L465" s="34" t="str">
        <x:v>early</x:v>
      </x:c>
      <x:c r="M465" s="34" t="str">
        <x:v>article1-unified-v4-2-fb3f101b-20260903-000401-default-f02-p6-jcs321-2-after-undeploy-early-2s</x:v>
      </x:c>
      <x:c r="N465" s="38" t="n">
        <x:v>46267.98734987269</x:v>
      </x:c>
      <x:c r="O465" s="36"/>
      <x:c r="P465" s="43"/>
      <x:c r="Q465" s="43"/>
      <x:c r="R465" s="43"/>
      <x:c r="S465" s="36"/>
      <x:c r="T465" s="44"/>
      <x:c r="U465" s="36" t="n">
        <x:v>30</x:v>
      </x:c>
      <x:c r="V465" s="36" t="n">
        <x:v>3</x:v>
      </x:c>
      <x:c r="W465" s="44" t="str">
        <x:v>jcs3-element-event-queue:JCS-ElementEventQueue-Thread-4#49 | jcs3-element-event-queue:JCS-ElementEventQueue-Thread-7#91 | jcs3-element-event-queue:JCS-ElementEventQueue-Thread-10#133</x:v>
      </x:c>
      <x:c r="X465" s="36"/>
      <x:c r="Y465" s="36"/>
      <x:c r="Z465" s="44"/>
      <x:c r="AA465" s="49"/>
      <x:c r="AB465" s="43" t="n">
        <x:v>17</x:v>
      </x:c>
      <x:c r="AC465" s="34"/>
      <x:c r="AD465" s="34"/>
      <x:c r="AE465" s="34" t="str">
        <x:v>article1-unified-v4-2-fb3f101b-20260903-000401-default-f02-p6-jcs321-2-after-undeploy-early-2s-thread-dump.txt</x:v>
      </x:c>
      <x:c r="AF465" s="34" t="str">
        <x:v>article1-unified-v4-2-fb3f101b-20260903-000401-default-f02-p6-jcs321-2-after-undeploy-early-tomcat-log.txt</x:v>
      </x:c>
      <x:c r="AG465" s="34"/>
      <x:c r="AH465" s="34"/>
      <x:c r="AI465" s="34"/>
    </x:row>
    <x:row r="466">
      <x:c r="A466" s="34" t="str">
        <x:v>article1-unified-v4-2-fb3f101b-20260903-000401-default-f02-p6-jcs321</x:v>
      </x:c>
      <x:c r="B466" s="34" t="str">
        <x:v>default</x:v>
      </x:c>
      <x:c r="C466" s="34" t="str">
        <x:v>jcs321</x:v>
      </x:c>
      <x:c r="D466" s="34" t="str">
        <x:v>jcs321</x:v>
      </x:c>
      <x:c r="E466" s="36" t="n">
        <x:v>2</x:v>
      </x:c>
      <x:c r="F466" s="36" t="n">
        <x:v>2</x:v>
      </x:c>
      <x:c r="G466" s="36" t="n">
        <x:v>6</x:v>
      </x:c>
      <x:c r="H466" s="36" t="n">
        <x:v>2</x:v>
      </x:c>
      <x:c r="I466" s="34" t="str">
        <x:v>afterUndeploy</x:v>
      </x:c>
      <x:c r="J466" s="34" t="str">
        <x:v>after-undeploy-final</x:v>
      </x:c>
      <x:c r="K466" s="36" t="n">
        <x:v>1</x:v>
      </x:c>
      <x:c r="L466" s="34" t="str">
        <x:v>final</x:v>
      </x:c>
      <x:c r="M466" s="34" t="str">
        <x:v>article1-unified-v4-2-fb3f101b-20260903-000401-default-f02-p6-jcs321-2-after-undeploy-final-10s</x:v>
      </x:c>
      <x:c r="N466" s="38" t="n">
        <x:v>46267.987507418984</x:v>
      </x:c>
      <x:c r="O466" s="36" t="n">
        <x:v>2</x:v>
      </x:c>
      <x:c r="P466" s="43" t="n">
        <x:v>24089600</x:v>
      </x:c>
      <x:c r="Q466" s="43" t="n">
        <x:v>268435456</x:v>
      </x:c>
      <x:c r="R466" s="43" t="n">
        <x:v>462727168</x:v>
      </x:c>
      <x:c r="S466" s="36" t="n">
        <x:v>4</x:v>
      </x:c>
      <x:c r="T466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66" s="36" t="n">
        <x:v>30</x:v>
      </x:c>
      <x:c r="V466" s="36" t="n">
        <x:v>3</x:v>
      </x:c>
      <x:c r="W466" s="44" t="str">
        <x:v>jcs3-element-event-queue:JCS-ElementEventQueue-Thread-4#49 | jcs3-element-event-queue:JCS-ElementEventQueue-Thread-7#91 | jcs3-element-event-queue:JCS-ElementEventQueue-Thread-10#133</x:v>
      </x:c>
      <x:c r="X466" s="36" t="n">
        <x:v>3</x:v>
      </x:c>
      <x:c r="Y466" s="36" t="n">
        <x:v>3</x:v>
      </x:c>
      <x:c r="Z466" s="44" t="str">
        <x:v>/jcs321</x:v>
      </x:c>
      <x:c r="AA466" s="45" t="b">
        <x:v>1</x:v>
      </x:c>
      <x:c r="AB466" s="43"/>
      <x:c r="AC466" s="34" t="str">
        <x:v>article1-unified-v4-2-fb3f101b-20260903-000401-default-f02-p6-jcs321-2-after-undeploy-final-10s-heap-info.txt</x:v>
      </x:c>
      <x:c r="AD466" s="34" t="str">
        <x:v>article1-unified-v4-2-fb3f101b-20260903-000401-default-f02-p6-jcs321-2-after-undeploy-final-10s-classloader-stats.txt</x:v>
      </x:c>
      <x:c r="AE466" s="34" t="str">
        <x:v>article1-unified-v4-2-fb3f101b-20260903-000401-default-f02-p6-jcs321-2-after-undeploy-final-10s-thread-dump.txt</x:v>
      </x:c>
      <x:c r="AF466" s="34"/>
      <x:c r="AG466" s="34" t="str">
        <x:v>article1-unified-v4-2-fb3f101b-20260903-000401-default-f02-p6-jcs321-2-after-undeploy-final-10s-native-memory.txt</x:v>
      </x:c>
      <x:c r="AH466" s="34" t="str">
        <x:v>article1-unified-v4-2-fb3f101b-20260903-000401-default-f02-p6-jcs321-2-after-undeploy-final-10s-class-histogram.txt</x:v>
      </x:c>
      <x:c r="AI466" s="34" t="str">
        <x:v>article1-unified-v4-2-fb3f101b-20260903-000401-default-f02-p6-jcs321-2-after-undeploy-tomcat-findleaks.txt</x:v>
      </x:c>
    </x:row>
    <x:row r="467">
      <x:c r="A467" s="34" t="str">
        <x:v>article1-unified-v4-2-fb3f101b-20260903-000401-default-f02-p6-jcs321</x:v>
      </x:c>
      <x:c r="B467" s="34" t="str">
        <x:v>default</x:v>
      </x:c>
      <x:c r="C467" s="34" t="str">
        <x:v>jcs321</x:v>
      </x:c>
      <x:c r="D467" s="34" t="str">
        <x:v>jcs321</x:v>
      </x:c>
      <x:c r="E467" s="36" t="n">
        <x:v>2</x:v>
      </x:c>
      <x:c r="F467" s="36" t="n">
        <x:v>2</x:v>
      </x:c>
      <x:c r="G467" s="36" t="n">
        <x:v>6</x:v>
      </x:c>
      <x:c r="H467" s="36" t="n">
        <x:v>2</x:v>
      </x:c>
      <x:c r="I467" s="34" t="str">
        <x:v>redeployedLoaded</x:v>
      </x:c>
      <x:c r="J467" s="34" t="str">
        <x:v>redeployed-loaded</x:v>
      </x:c>
      <x:c r="K467" s="36" t="n">
        <x:v>0</x:v>
      </x:c>
      <x:c r="L467" s="34" t="str">
        <x:v>redeploy</x:v>
      </x:c>
      <x:c r="M467" s="34" t="str">
        <x:v>article1-unified-v4-2-fb3f101b-20260903-000401-default-f02-p6-jcs321-2-redeployed-loaded</x:v>
      </x:c>
      <x:c r="N467" s="38" t="n">
        <x:v>46267.9877705787</x:v>
      </x:c>
      <x:c r="O467" s="36" t="n">
        <x:v>0</x:v>
      </x:c>
      <x:c r="P467" s="43" t="n">
        <x:v>138376192</x:v>
      </x:c>
      <x:c r="Q467" s="43" t="n">
        <x:v>268435456</x:v>
      </x:c>
      <x:c r="R467" s="43" t="n">
        <x:v>489406464</x:v>
      </x:c>
      <x:c r="S467" s="36" t="n">
        <x:v>5</x:v>
      </x:c>
      <x:c r="T467" s="44" t="str">
        <x:v>0x000000006d1177b8  0x000000006d003818  0x00007b216800bb00    4417  20986880  20975280  org.apache.catalina.loader.ParallelWebappClassLoader | 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67" s="36" t="n">
        <x:v>31</x:v>
      </x:c>
      <x:c r="V467" s="36" t="n">
        <x:v>4</x:v>
      </x:c>
      <x:c r="W467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467" s="36"/>
      <x:c r="Y467" s="36"/>
      <x:c r="Z467" s="44"/>
      <x:c r="AA467" s="49"/>
      <x:c r="AB467" s="43"/>
      <x:c r="AC467" s="34"/>
      <x:c r="AD467" s="34"/>
      <x:c r="AE467" s="34"/>
      <x:c r="AF467" s="34"/>
      <x:c r="AG467" s="34"/>
      <x:c r="AH467" s="34"/>
      <x:c r="AI467" s="34"/>
    </x:row>
    <x:row r="468">
      <x:c r="A468" s="34" t="str">
        <x:v>article1-unified-v4-2-fb3f101b-20260903-000401-default-f02-p6-jcs321</x:v>
      </x:c>
      <x:c r="B468" s="34" t="str">
        <x:v>default</x:v>
      </x:c>
      <x:c r="C468" s="34" t="str">
        <x:v>jcs321</x:v>
      </x:c>
      <x:c r="D468" s="34" t="str">
        <x:v>jcs321</x:v>
      </x:c>
      <x:c r="E468" s="36" t="n">
        <x:v>2</x:v>
      </x:c>
      <x:c r="F468" s="36" t="n">
        <x:v>2</x:v>
      </x:c>
      <x:c r="G468" s="36" t="n">
        <x:v>6</x:v>
      </x:c>
      <x:c r="H468" s="36" t="n">
        <x:v>2</x:v>
      </x:c>
      <x:c r="I468" s="34" t="str">
        <x:v>afterFinalUndeployEarly</x:v>
      </x:c>
      <x:c r="J468" s="34" t="str">
        <x:v>after-final-undeploy-early</x:v>
      </x:c>
      <x:c r="K468" s="36" t="n">
        <x:v>2</x:v>
      </x:c>
      <x:c r="L468" s="34" t="str">
        <x:v>early</x:v>
      </x:c>
      <x:c r="M468" s="34" t="str">
        <x:v>article1-unified-v4-2-fb3f101b-20260903-000401-default-f02-p6-jcs321-2-after-final-undeploy-early-2s</x:v>
      </x:c>
      <x:c r="N468" s="38" t="n">
        <x:v>46267.987853425926</x:v>
      </x:c>
      <x:c r="O468" s="36"/>
      <x:c r="P468" s="43"/>
      <x:c r="Q468" s="43"/>
      <x:c r="R468" s="43"/>
      <x:c r="S468" s="36"/>
      <x:c r="T468" s="44"/>
      <x:c r="U468" s="36" t="n">
        <x:v>31</x:v>
      </x:c>
      <x:c r="V468" s="36" t="n">
        <x:v>4</x:v>
      </x:c>
      <x:c r="W46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468" s="36"/>
      <x:c r="Y468" s="36"/>
      <x:c r="Z468" s="44"/>
      <x:c r="AA468" s="49"/>
      <x:c r="AB468" s="43" t="n">
        <x:v>17</x:v>
      </x:c>
      <x:c r="AC468" s="34"/>
      <x:c r="AD468" s="34"/>
      <x:c r="AE468" s="34" t="str">
        <x:v>article1-unified-v4-2-fb3f101b-20260903-000401-default-f02-p6-jcs321-2-after-final-undeploy-early-2s-thread-dump.txt</x:v>
      </x:c>
      <x:c r="AF468" s="34" t="str">
        <x:v>article1-unified-v4-2-fb3f101b-20260903-000401-default-f02-p6-jcs321-2-after-final-undeploy-early-tomcat-log.txt</x:v>
      </x:c>
      <x:c r="AG468" s="34"/>
      <x:c r="AH468" s="34"/>
      <x:c r="AI468" s="34"/>
    </x:row>
    <x:row r="469">
      <x:c r="A469" s="34" t="str">
        <x:v>article1-unified-v4-2-fb3f101b-20260903-000401-default-f02-p6-jcs321</x:v>
      </x:c>
      <x:c r="B469" s="34" t="str">
        <x:v>default</x:v>
      </x:c>
      <x:c r="C469" s="34" t="str">
        <x:v>jcs321</x:v>
      </x:c>
      <x:c r="D469" s="34" t="str">
        <x:v>jcs321</x:v>
      </x:c>
      <x:c r="E469" s="36" t="n">
        <x:v>2</x:v>
      </x:c>
      <x:c r="F469" s="36" t="n">
        <x:v>2</x:v>
      </x:c>
      <x:c r="G469" s="36" t="n">
        <x:v>6</x:v>
      </x:c>
      <x:c r="H469" s="36" t="n">
        <x:v>2</x:v>
      </x:c>
      <x:c r="I469" s="34" t="str">
        <x:v>afterFinalUndeploy</x:v>
      </x:c>
      <x:c r="J469" s="34" t="str">
        <x:v>after-final-undeploy-final</x:v>
      </x:c>
      <x:c r="K469" s="36" t="n">
        <x:v>2</x:v>
      </x:c>
      <x:c r="L469" s="34" t="str">
        <x:v>final</x:v>
      </x:c>
      <x:c r="M469" s="34" t="str">
        <x:v>article1-unified-v4-2-fb3f101b-20260903-000401-default-f02-p6-jcs321-2-after-final-undeploy-final-10s</x:v>
      </x:c>
      <x:c r="N469" s="38" t="n">
        <x:v>46267.98801090278</x:v>
      </x:c>
      <x:c r="O469" s="36" t="n">
        <x:v>2</x:v>
      </x:c>
      <x:c r="P469" s="43" t="n">
        <x:v>28325888</x:v>
      </x:c>
      <x:c r="Q469" s="43" t="n">
        <x:v>268435456</x:v>
      </x:c>
      <x:c r="R469" s="43" t="n">
        <x:v>489140224</x:v>
      </x:c>
      <x:c r="S469" s="36" t="n">
        <x:v>5</x:v>
      </x:c>
      <x:c r="T469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69" s="36" t="n">
        <x:v>31</x:v>
      </x:c>
      <x:c r="V469" s="36" t="n">
        <x:v>4</x:v>
      </x:c>
      <x:c r="W46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469" s="36" t="n">
        <x:v>4</x:v>
      </x:c>
      <x:c r="Y469" s="36" t="n">
        <x:v>4</x:v>
      </x:c>
      <x:c r="Z469" s="44" t="str">
        <x:v>/jcs321</x:v>
      </x:c>
      <x:c r="AA469" s="45" t="b">
        <x:v>1</x:v>
      </x:c>
      <x:c r="AB469" s="43"/>
      <x:c r="AC469" s="34" t="str">
        <x:v>article1-unified-v4-2-fb3f101b-20260903-000401-default-f02-p6-jcs321-2-after-final-undeploy-final-10s-heap-info.txt</x:v>
      </x:c>
      <x:c r="AD469" s="34" t="str">
        <x:v>article1-unified-v4-2-fb3f101b-20260903-000401-default-f02-p6-jcs321-2-after-final-undeploy-final-10s-classloader-stats.txt</x:v>
      </x:c>
      <x:c r="AE469" s="34" t="str">
        <x:v>article1-unified-v4-2-fb3f101b-20260903-000401-default-f02-p6-jcs321-2-after-final-undeploy-final-10s-thread-dump.txt</x:v>
      </x:c>
      <x:c r="AF469" s="34"/>
      <x:c r="AG469" s="34" t="str">
        <x:v>article1-unified-v4-2-fb3f101b-20260903-000401-default-f02-p6-jcs321-2-after-final-undeploy-final-10s-native-memory.txt</x:v>
      </x:c>
      <x:c r="AH469" s="34" t="str">
        <x:v>article1-unified-v4-2-fb3f101b-20260903-000401-default-f02-p6-jcs321-2-after-final-undeploy-final-10s-class-histogram.txt</x:v>
      </x:c>
      <x:c r="AI469" s="34" t="str">
        <x:v>article1-unified-v4-2-fb3f101b-20260903-000401-default-f02-p6-jcs321-2-after-final-undeploy-tomcat-findleaks.txt</x:v>
      </x:c>
    </x:row>
    <x:row r="470">
      <x:c r="A470" s="34" t="str">
        <x:v>article1-unified-v4-2-fb3f101b-20260903-000401-default-f02-p6-jcs321</x:v>
      </x:c>
      <x:c r="B470" s="34" t="str">
        <x:v>default</x:v>
      </x:c>
      <x:c r="C470" s="34" t="str">
        <x:v>jcs321</x:v>
      </x:c>
      <x:c r="D470" s="34" t="str">
        <x:v>jcs321</x:v>
      </x:c>
      <x:c r="E470" s="36" t="n">
        <x:v>2</x:v>
      </x:c>
      <x:c r="F470" s="36" t="n">
        <x:v>2</x:v>
      </x:c>
      <x:c r="G470" s="36" t="n">
        <x:v>6</x:v>
      </x:c>
      <x:c r="H470" s="36" t="n">
        <x:v>3</x:v>
      </x:c>
      <x:c r="I470" s="34" t="str">
        <x:v>baseline</x:v>
      </x:c>
      <x:c r="J470" s="34" t="str">
        <x:v>cycle-baseline</x:v>
      </x:c>
      <x:c r="K470" s="36" t="n">
        <x:v>0</x:v>
      </x:c>
      <x:c r="L470" s="34" t="str">
        <x:v>baseline</x:v>
      </x:c>
      <x:c r="M470" s="34" t="str">
        <x:v>article1-unified-v4-2-fb3f101b-20260903-000401-default-f02-p6-jcs321-3-baseline</x:v>
      </x:c>
      <x:c r="N470" s="38" t="n">
        <x:v>46267.98805674769</x:v>
      </x:c>
      <x:c r="O470" s="36" t="n">
        <x:v>0</x:v>
      </x:c>
      <x:c r="P470" s="43" t="n">
        <x:v>28331008</x:v>
      </x:c>
      <x:c r="Q470" s="43" t="n">
        <x:v>268435456</x:v>
      </x:c>
      <x:c r="R470" s="43" t="n">
        <x:v>489041920</x:v>
      </x:c>
      <x:c r="S470" s="36" t="n">
        <x:v>5</x:v>
      </x:c>
      <x:c r="T470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70" s="36" t="n">
        <x:v>31</x:v>
      </x:c>
      <x:c r="V470" s="36" t="n">
        <x:v>4</x:v>
      </x:c>
      <x:c r="W470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470" s="36"/>
      <x:c r="Y470" s="36"/>
      <x:c r="Z470" s="44"/>
      <x:c r="AA470" s="49"/>
      <x:c r="AB470" s="43"/>
      <x:c r="AC470" s="34" t="str">
        <x:v>article1-unified-v4-2-fb3f101b-20260903-000401-default-f02-p6-jcs321-3-baseline-heap-info.txt</x:v>
      </x:c>
      <x:c r="AD470" s="34" t="str">
        <x:v>article1-unified-v4-2-fb3f101b-20260903-000401-default-f02-p6-jcs321-3-baseline-classloader-stats.txt</x:v>
      </x:c>
      <x:c r="AE470" s="34" t="str">
        <x:v>article1-unified-v4-2-fb3f101b-20260903-000401-default-f02-p6-jcs321-3-baseline-thread-dump.txt</x:v>
      </x:c>
      <x:c r="AF470" s="34"/>
      <x:c r="AG470" s="34" t="str">
        <x:v>article1-unified-v4-2-fb3f101b-20260903-000401-default-f02-p6-jcs321-3-baseline-native-memory.txt</x:v>
      </x:c>
      <x:c r="AH470" s="34"/>
      <x:c r="AI470" s="34"/>
    </x:row>
    <x:row r="471">
      <x:c r="A471" s="34" t="str">
        <x:v>article1-unified-v4-2-fb3f101b-20260903-000401-default-f02-p6-jcs321</x:v>
      </x:c>
      <x:c r="B471" s="34" t="str">
        <x:v>default</x:v>
      </x:c>
      <x:c r="C471" s="34" t="str">
        <x:v>jcs321</x:v>
      </x:c>
      <x:c r="D471" s="34" t="str">
        <x:v>jcs321</x:v>
      </x:c>
      <x:c r="E471" s="36" t="n">
        <x:v>2</x:v>
      </x:c>
      <x:c r="F471" s="36" t="n">
        <x:v>2</x:v>
      </x:c>
      <x:c r="G471" s="36" t="n">
        <x:v>6</x:v>
      </x:c>
      <x:c r="H471" s="36" t="n">
        <x:v>3</x:v>
      </x:c>
      <x:c r="I471" s="34" t="str">
        <x:v>deployedIdle</x:v>
      </x:c>
      <x:c r="J471" s="34" t="str">
        <x:v>deployed-idle</x:v>
      </x:c>
      <x:c r="K471" s="36" t="n">
        <x:v>0</x:v>
      </x:c>
      <x:c r="L471" s="34" t="str">
        <x:v>initial</x:v>
      </x:c>
      <x:c r="M471" s="34" t="str">
        <x:v>article1-unified-v4-2-fb3f101b-20260903-000401-default-f02-p6-jcs321-3-deployed-idle</x:v>
      </x:c>
      <x:c r="N471" s="38" t="n">
        <x:v>46267.98815344907</x:v>
      </x:c>
      <x:c r="O471" s="36" t="n">
        <x:v>0</x:v>
      </x:c>
      <x:c r="P471" s="43" t="n">
        <x:v>178269184</x:v>
      </x:c>
      <x:c r="Q471" s="43" t="n">
        <x:v>268435456</x:v>
      </x:c>
      <x:c r="R471" s="43" t="n">
        <x:v>531678208</x:v>
      </x:c>
      <x:c r="S471" s="36" t="n">
        <x:v>6</x:v>
      </x:c>
      <x:c r="T471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 | 0x000000006d1177b8  0x000000006d003818  0x00007b21780a55f0    4091  19439616  19425288  org.apache.catalina.loader.ParallelWebappClassLoader</x:v>
      </x:c>
      <x:c r="U471" s="36" t="n">
        <x:v>31</x:v>
      </x:c>
      <x:c r="V471" s="36" t="n">
        <x:v>4</x:v>
      </x:c>
      <x:c r="W471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471" s="36"/>
      <x:c r="Y471" s="36"/>
      <x:c r="Z471" s="44"/>
      <x:c r="AA471" s="49"/>
      <x:c r="AB471" s="43"/>
      <x:c r="AC471" s="34"/>
      <x:c r="AD471" s="34"/>
      <x:c r="AE471" s="34"/>
      <x:c r="AF471" s="34"/>
      <x:c r="AG471" s="34"/>
      <x:c r="AH471" s="34"/>
      <x:c r="AI471" s="34"/>
    </x:row>
    <x:row r="472">
      <x:c r="A472" s="34" t="str">
        <x:v>article1-unified-v4-2-fb3f101b-20260903-000401-default-f02-p6-jcs321</x:v>
      </x:c>
      <x:c r="B472" s="34" t="str">
        <x:v>default</x:v>
      </x:c>
      <x:c r="C472" s="34" t="str">
        <x:v>jcs321</x:v>
      </x:c>
      <x:c r="D472" s="34" t="str">
        <x:v>jcs321</x:v>
      </x:c>
      <x:c r="E472" s="36" t="n">
        <x:v>2</x:v>
      </x:c>
      <x:c r="F472" s="36" t="n">
        <x:v>2</x:v>
      </x:c>
      <x:c r="G472" s="36" t="n">
        <x:v>6</x:v>
      </x:c>
      <x:c r="H472" s="36" t="n">
        <x:v>3</x:v>
      </x:c>
      <x:c r="I472" s="34" t="str">
        <x:v>loaded</x:v>
      </x:c>
      <x:c r="J472" s="34" t="str">
        <x:v>loaded</x:v>
      </x:c>
      <x:c r="K472" s="36" t="n">
        <x:v>0</x:v>
      </x:c>
      <x:c r="L472" s="34" t="str">
        <x:v>initial</x:v>
      </x:c>
      <x:c r="M472" s="34" t="str">
        <x:v>article1-unified-v4-2-fb3f101b-20260903-000401-default-f02-p6-jcs321-3-loaded</x:v>
      </x:c>
      <x:c r="N472" s="38" t="n">
        <x:v>46267.98830424769</x:v>
      </x:c>
      <x:c r="O472" s="36" t="n">
        <x:v>0</x:v>
      </x:c>
      <x:c r="P472" s="43" t="n">
        <x:v>140814336</x:v>
      </x:c>
      <x:c r="Q472" s="43" t="n">
        <x:v>268435456</x:v>
      </x:c>
      <x:c r="R472" s="43" t="n">
        <x:v>516317184</x:v>
      </x:c>
      <x:c r="S472" s="36" t="n">
        <x:v>6</x:v>
      </x:c>
      <x:c r="T472" s="44" t="str">
        <x:v>0x000000006d1177b8  0x000000006d003818  0x00007b21780a55f0    4422  20996096  20979336  org.apache.catalina.loader.ParallelWebappClassLoader | 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0x00007b21fc607080       0         0         0  org.apache.catalina.loader.ParallelWebappClassLoader</x:v>
      </x:c>
      <x:c r="U472" s="36" t="n">
        <x:v>32</x:v>
      </x:c>
      <x:c r="V472" s="36" t="n">
        <x:v>5</x:v>
      </x:c>
      <x:c r="W47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472" s="36"/>
      <x:c r="Y472" s="36"/>
      <x:c r="Z472" s="44"/>
      <x:c r="AA472" s="49"/>
      <x:c r="AB472" s="43"/>
      <x:c r="AC472" s="34"/>
      <x:c r="AD472" s="34"/>
      <x:c r="AE472" s="34"/>
      <x:c r="AF472" s="34"/>
      <x:c r="AG472" s="34"/>
      <x:c r="AH472" s="34"/>
      <x:c r="AI472" s="34"/>
    </x:row>
    <x:row r="473">
      <x:c r="A473" s="34" t="str">
        <x:v>article1-unified-v4-2-fb3f101b-20260903-000401-default-f02-p6-jcs321</x:v>
      </x:c>
      <x:c r="B473" s="34" t="str">
        <x:v>default</x:v>
      </x:c>
      <x:c r="C473" s="34" t="str">
        <x:v>jcs321</x:v>
      </x:c>
      <x:c r="D473" s="34" t="str">
        <x:v>jcs321</x:v>
      </x:c>
      <x:c r="E473" s="36" t="n">
        <x:v>2</x:v>
      </x:c>
      <x:c r="F473" s="36" t="n">
        <x:v>2</x:v>
      </x:c>
      <x:c r="G473" s="36" t="n">
        <x:v>6</x:v>
      </x:c>
      <x:c r="H473" s="36" t="n">
        <x:v>3</x:v>
      </x:c>
      <x:c r="I473" s="34" t="str">
        <x:v>afterUndeployEarly</x:v>
      </x:c>
      <x:c r="J473" s="34" t="str">
        <x:v>after-undeploy-early</x:v>
      </x:c>
      <x:c r="K473" s="36" t="n">
        <x:v>1</x:v>
      </x:c>
      <x:c r="L473" s="34" t="str">
        <x:v>early</x:v>
      </x:c>
      <x:c r="M473" s="34" t="str">
        <x:v>article1-unified-v4-2-fb3f101b-20260903-000401-default-f02-p6-jcs321-3-after-undeploy-early-2s</x:v>
      </x:c>
      <x:c r="N473" s="38" t="n">
        <x:v>46267.98838836805</x:v>
      </x:c>
      <x:c r="O473" s="36"/>
      <x:c r="P473" s="43"/>
      <x:c r="Q473" s="43"/>
      <x:c r="R473" s="43"/>
      <x:c r="S473" s="36"/>
      <x:c r="T473" s="44"/>
      <x:c r="U473" s="36" t="n">
        <x:v>32</x:v>
      </x:c>
      <x:c r="V473" s="36" t="n">
        <x:v>5</x:v>
      </x:c>
      <x:c r="W47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473" s="36"/>
      <x:c r="Y473" s="36"/>
      <x:c r="Z473" s="44"/>
      <x:c r="AA473" s="49"/>
      <x:c r="AB473" s="43" t="n">
        <x:v>17</x:v>
      </x:c>
      <x:c r="AC473" s="34"/>
      <x:c r="AD473" s="34"/>
      <x:c r="AE473" s="34" t="str">
        <x:v>article1-unified-v4-2-fb3f101b-20260903-000401-default-f02-p6-jcs321-3-after-undeploy-early-2s-thread-dump.txt</x:v>
      </x:c>
      <x:c r="AF473" s="34" t="str">
        <x:v>article1-unified-v4-2-fb3f101b-20260903-000401-default-f02-p6-jcs321-3-after-undeploy-early-tomcat-log.txt</x:v>
      </x:c>
      <x:c r="AG473" s="34"/>
      <x:c r="AH473" s="34"/>
      <x:c r="AI473" s="34"/>
    </x:row>
    <x:row r="474">
      <x:c r="A474" s="34" t="str">
        <x:v>article1-unified-v4-2-fb3f101b-20260903-000401-default-f02-p6-jcs321</x:v>
      </x:c>
      <x:c r="B474" s="34" t="str">
        <x:v>default</x:v>
      </x:c>
      <x:c r="C474" s="34" t="str">
        <x:v>jcs321</x:v>
      </x:c>
      <x:c r="D474" s="34" t="str">
        <x:v>jcs321</x:v>
      </x:c>
      <x:c r="E474" s="36" t="n">
        <x:v>2</x:v>
      </x:c>
      <x:c r="F474" s="36" t="n">
        <x:v>2</x:v>
      </x:c>
      <x:c r="G474" s="36" t="n">
        <x:v>6</x:v>
      </x:c>
      <x:c r="H474" s="36" t="n">
        <x:v>3</x:v>
      </x:c>
      <x:c r="I474" s="34" t="str">
        <x:v>afterUndeploy</x:v>
      </x:c>
      <x:c r="J474" s="34" t="str">
        <x:v>after-undeploy-final</x:v>
      </x:c>
      <x:c r="K474" s="36" t="n">
        <x:v>1</x:v>
      </x:c>
      <x:c r="L474" s="34" t="str">
        <x:v>final</x:v>
      </x:c>
      <x:c r="M474" s="34" t="str">
        <x:v>article1-unified-v4-2-fb3f101b-20260903-000401-default-f02-p6-jcs321-3-after-undeploy-final-10s</x:v>
      </x:c>
      <x:c r="N474" s="38" t="n">
        <x:v>46267.98854427083</x:v>
      </x:c>
      <x:c r="O474" s="36" t="n">
        <x:v>2</x:v>
      </x:c>
      <x:c r="P474" s="43" t="n">
        <x:v>32569344</x:v>
      </x:c>
      <x:c r="Q474" s="43" t="n">
        <x:v>268435456</x:v>
      </x:c>
      <x:c r="R474" s="43" t="n">
        <x:v>513627136</x:v>
      </x:c>
      <x:c r="S474" s="36" t="n">
        <x:v>6</x:v>
      </x:c>
      <x:c r="T474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</x:v>
      </x:c>
      <x:c r="U474" s="36" t="n">
        <x:v>32</x:v>
      </x:c>
      <x:c r="V474" s="36" t="n">
        <x:v>5</x:v>
      </x:c>
      <x:c r="W47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474" s="36" t="n">
        <x:v>5</x:v>
      </x:c>
      <x:c r="Y474" s="36" t="n">
        <x:v>5</x:v>
      </x:c>
      <x:c r="Z474" s="44" t="str">
        <x:v>/jcs321</x:v>
      </x:c>
      <x:c r="AA474" s="45" t="b">
        <x:v>1</x:v>
      </x:c>
      <x:c r="AB474" s="43"/>
      <x:c r="AC474" s="34" t="str">
        <x:v>article1-unified-v4-2-fb3f101b-20260903-000401-default-f02-p6-jcs321-3-after-undeploy-final-10s-heap-info.txt</x:v>
      </x:c>
      <x:c r="AD474" s="34" t="str">
        <x:v>article1-unified-v4-2-fb3f101b-20260903-000401-default-f02-p6-jcs321-3-after-undeploy-final-10s-classloader-stats.txt</x:v>
      </x:c>
      <x:c r="AE474" s="34" t="str">
        <x:v>article1-unified-v4-2-fb3f101b-20260903-000401-default-f02-p6-jcs321-3-after-undeploy-final-10s-thread-dump.txt</x:v>
      </x:c>
      <x:c r="AF474" s="34"/>
      <x:c r="AG474" s="34" t="str">
        <x:v>article1-unified-v4-2-fb3f101b-20260903-000401-default-f02-p6-jcs321-3-after-undeploy-final-10s-native-memory.txt</x:v>
      </x:c>
      <x:c r="AH474" s="34" t="str">
        <x:v>article1-unified-v4-2-fb3f101b-20260903-000401-default-f02-p6-jcs321-3-after-undeploy-final-10s-class-histogram.txt</x:v>
      </x:c>
      <x:c r="AI474" s="34" t="str">
        <x:v>article1-unified-v4-2-fb3f101b-20260903-000401-default-f02-p6-jcs321-3-after-undeploy-tomcat-findleaks.txt</x:v>
      </x:c>
    </x:row>
    <x:row r="475">
      <x:c r="A475" s="34" t="str">
        <x:v>article1-unified-v4-2-fb3f101b-20260903-000401-default-f02-p6-jcs321</x:v>
      </x:c>
      <x:c r="B475" s="34" t="str">
        <x:v>default</x:v>
      </x:c>
      <x:c r="C475" s="34" t="str">
        <x:v>jcs321</x:v>
      </x:c>
      <x:c r="D475" s="34" t="str">
        <x:v>jcs321</x:v>
      </x:c>
      <x:c r="E475" s="36" t="n">
        <x:v>2</x:v>
      </x:c>
      <x:c r="F475" s="36" t="n">
        <x:v>2</x:v>
      </x:c>
      <x:c r="G475" s="36" t="n">
        <x:v>6</x:v>
      </x:c>
      <x:c r="H475" s="36" t="n">
        <x:v>3</x:v>
      </x:c>
      <x:c r="I475" s="34" t="str">
        <x:v>redeployedLoaded</x:v>
      </x:c>
      <x:c r="J475" s="34" t="str">
        <x:v>redeployed-loaded</x:v>
      </x:c>
      <x:c r="K475" s="36" t="n">
        <x:v>0</x:v>
      </x:c>
      <x:c r="L475" s="34" t="str">
        <x:v>redeploy</x:v>
      </x:c>
      <x:c r="M475" s="34" t="str">
        <x:v>article1-unified-v4-2-fb3f101b-20260903-000401-default-f02-p6-jcs321-3-redeployed-loaded</x:v>
      </x:c>
      <x:c r="N475" s="38" t="n">
        <x:v>46267.98880568287</x:v>
      </x:c>
      <x:c r="O475" s="36" t="n">
        <x:v>0</x:v>
      </x:c>
      <x:c r="P475" s="43" t="n">
        <x:v>148858880</x:v>
      </x:c>
      <x:c r="Q475" s="43" t="n">
        <x:v>268435456</x:v>
      </x:c>
      <x:c r="R475" s="43" t="n">
        <x:v>539842560</x:v>
      </x:c>
      <x:c r="S475" s="36" t="n">
        <x:v>7</x:v>
      </x:c>
      <x:c r="T475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0x00007b20f000d2e0    4422  20993024  20984160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</x:v>
      </x:c>
      <x:c r="U475" s="36" t="n">
        <x:v>33</x:v>
      </x:c>
      <x:c r="V475" s="36" t="n">
        <x:v>6</x:v>
      </x:c>
      <x:c r="W47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475" s="36"/>
      <x:c r="Y475" s="36"/>
      <x:c r="Z475" s="44"/>
      <x:c r="AA475" s="49"/>
      <x:c r="AB475" s="43"/>
      <x:c r="AC475" s="34"/>
      <x:c r="AD475" s="34"/>
      <x:c r="AE475" s="34"/>
      <x:c r="AF475" s="34"/>
      <x:c r="AG475" s="34"/>
      <x:c r="AH475" s="34"/>
      <x:c r="AI475" s="34"/>
    </x:row>
    <x:row r="476">
      <x:c r="A476" s="34" t="str">
        <x:v>article1-unified-v4-2-fb3f101b-20260903-000401-default-f02-p6-jcs321</x:v>
      </x:c>
      <x:c r="B476" s="34" t="str">
        <x:v>default</x:v>
      </x:c>
      <x:c r="C476" s="34" t="str">
        <x:v>jcs321</x:v>
      </x:c>
      <x:c r="D476" s="34" t="str">
        <x:v>jcs321</x:v>
      </x:c>
      <x:c r="E476" s="36" t="n">
        <x:v>2</x:v>
      </x:c>
      <x:c r="F476" s="36" t="n">
        <x:v>2</x:v>
      </x:c>
      <x:c r="G476" s="36" t="n">
        <x:v>6</x:v>
      </x:c>
      <x:c r="H476" s="36" t="n">
        <x:v>3</x:v>
      </x:c>
      <x:c r="I476" s="34" t="str">
        <x:v>afterFinalUndeployEarly</x:v>
      </x:c>
      <x:c r="J476" s="34" t="str">
        <x:v>after-final-undeploy-early</x:v>
      </x:c>
      <x:c r="K476" s="36" t="n">
        <x:v>2</x:v>
      </x:c>
      <x:c r="L476" s="34" t="str">
        <x:v>early</x:v>
      </x:c>
      <x:c r="M476" s="34" t="str">
        <x:v>article1-unified-v4-2-fb3f101b-20260903-000401-default-f02-p6-jcs321-3-after-final-undeploy-early-2s</x:v>
      </x:c>
      <x:c r="N476" s="38" t="n">
        <x:v>46267.98888835648</x:v>
      </x:c>
      <x:c r="O476" s="36"/>
      <x:c r="P476" s="43"/>
      <x:c r="Q476" s="43"/>
      <x:c r="R476" s="43"/>
      <x:c r="S476" s="36"/>
      <x:c r="T476" s="44"/>
      <x:c r="U476" s="36" t="n">
        <x:v>33</x:v>
      </x:c>
      <x:c r="V476" s="36" t="n">
        <x:v>6</x:v>
      </x:c>
      <x:c r="W47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476" s="36"/>
      <x:c r="Y476" s="36"/>
      <x:c r="Z476" s="44"/>
      <x:c r="AA476" s="49"/>
      <x:c r="AB476" s="43" t="n">
        <x:v>17</x:v>
      </x:c>
      <x:c r="AC476" s="34"/>
      <x:c r="AD476" s="34"/>
      <x:c r="AE476" s="34" t="str">
        <x:v>article1-unified-v4-2-fb3f101b-20260903-000401-default-f02-p6-jcs321-3-after-final-undeploy-early-2s-thread-dump.txt</x:v>
      </x:c>
      <x:c r="AF476" s="34" t="str">
        <x:v>article1-unified-v4-2-fb3f101b-20260903-000401-default-f02-p6-jcs321-3-after-final-undeploy-early-tomcat-log.txt</x:v>
      </x:c>
      <x:c r="AG476" s="34"/>
      <x:c r="AH476" s="34"/>
      <x:c r="AI476" s="34"/>
    </x:row>
    <x:row r="477">
      <x:c r="A477" s="34" t="str">
        <x:v>article1-unified-v4-2-fb3f101b-20260903-000401-default-f02-p6-jcs321</x:v>
      </x:c>
      <x:c r="B477" s="34" t="str">
        <x:v>default</x:v>
      </x:c>
      <x:c r="C477" s="34" t="str">
        <x:v>jcs321</x:v>
      </x:c>
      <x:c r="D477" s="34" t="str">
        <x:v>jcs321</x:v>
      </x:c>
      <x:c r="E477" s="36" t="n">
        <x:v>2</x:v>
      </x:c>
      <x:c r="F477" s="36" t="n">
        <x:v>2</x:v>
      </x:c>
      <x:c r="G477" s="36" t="n">
        <x:v>6</x:v>
      </x:c>
      <x:c r="H477" s="36" t="n">
        <x:v>3</x:v>
      </x:c>
      <x:c r="I477" s="34" t="str">
        <x:v>afterFinalUndeploy</x:v>
      </x:c>
      <x:c r="J477" s="34" t="str">
        <x:v>after-final-undeploy-final</x:v>
      </x:c>
      <x:c r="K477" s="36" t="n">
        <x:v>2</x:v>
      </x:c>
      <x:c r="L477" s="34" t="str">
        <x:v>final</x:v>
      </x:c>
      <x:c r="M477" s="34" t="str">
        <x:v>article1-unified-v4-2-fb3f101b-20260903-000401-default-f02-p6-jcs321-3-after-final-undeploy-final-10s</x:v>
      </x:c>
      <x:c r="N477" s="38" t="n">
        <x:v>46267.989043738424</x:v>
      </x:c>
      <x:c r="O477" s="36" t="n">
        <x:v>2</x:v>
      </x:c>
      <x:c r="P477" s="43" t="n">
        <x:v>36798464</x:v>
      </x:c>
      <x:c r="Q477" s="43" t="n">
        <x:v>268435456</x:v>
      </x:c>
      <x:c r="R477" s="43" t="n">
        <x:v>537231360</x:v>
      </x:c>
      <x:c r="S477" s="36" t="n">
        <x:v>7</x:v>
      </x:c>
      <x:c r="T477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0x00007b20f000d2e0    4436  21033984  21019112  org.apache.catalina.loader.ParallelWebappClassLoader | 0x000000006d1177b8  0x000000006d003818  0x00007b21fc607080       0         0         0  org.apache.catalina.loader.ParallelWebappClassLoader</x:v>
      </x:c>
      <x:c r="U477" s="36" t="n">
        <x:v>33</x:v>
      </x:c>
      <x:c r="V477" s="36" t="n">
        <x:v>6</x:v>
      </x:c>
      <x:c r="W47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477" s="36" t="n">
        <x:v>6</x:v>
      </x:c>
      <x:c r="Y477" s="36" t="n">
        <x:v>6</x:v>
      </x:c>
      <x:c r="Z477" s="44" t="str">
        <x:v>/jcs321</x:v>
      </x:c>
      <x:c r="AA477" s="45" t="b">
        <x:v>1</x:v>
      </x:c>
      <x:c r="AB477" s="43"/>
      <x:c r="AC477" s="34" t="str">
        <x:v>article1-unified-v4-2-fb3f101b-20260903-000401-default-f02-p6-jcs321-3-after-final-undeploy-final-10s-heap-info.txt</x:v>
      </x:c>
      <x:c r="AD477" s="34" t="str">
        <x:v>article1-unified-v4-2-fb3f101b-20260903-000401-default-f02-p6-jcs321-3-after-final-undeploy-final-10s-classloader-stats.txt</x:v>
      </x:c>
      <x:c r="AE477" s="34" t="str">
        <x:v>article1-unified-v4-2-fb3f101b-20260903-000401-default-f02-p6-jcs321-3-after-final-undeploy-final-10s-thread-dump.txt</x:v>
      </x:c>
      <x:c r="AF477" s="34"/>
      <x:c r="AG477" s="34" t="str">
        <x:v>article1-unified-v4-2-fb3f101b-20260903-000401-default-f02-p6-jcs321-3-after-final-undeploy-final-10s-native-memory.txt</x:v>
      </x:c>
      <x:c r="AH477" s="34" t="str">
        <x:v>article1-unified-v4-2-fb3f101b-20260903-000401-default-f02-p6-jcs321-3-after-final-undeploy-final-10s-class-histogram.txt</x:v>
      </x:c>
      <x:c r="AI477" s="34" t="str">
        <x:v>article1-unified-v4-2-fb3f101b-20260903-000401-default-f02-p6-jcs321-3-after-final-undeploy-tomcat-findleaks.txt</x:v>
      </x:c>
    </x:row>
    <x:row r="478">
      <x:c r="A478" s="34" t="str">
        <x:v>article1-unified-v4-2-fb3f101b-20260903-000401-default-f02-p6-jcs321</x:v>
      </x:c>
      <x:c r="B478" s="34" t="str">
        <x:v>default</x:v>
      </x:c>
      <x:c r="C478" s="34" t="str">
        <x:v>jcs321</x:v>
      </x:c>
      <x:c r="D478" s="34" t="str">
        <x:v>jcs321</x:v>
      </x:c>
      <x:c r="E478" s="36" t="n">
        <x:v>2</x:v>
      </x:c>
      <x:c r="F478" s="36" t="n">
        <x:v>2</x:v>
      </x:c>
      <x:c r="G478" s="36" t="n">
        <x:v>6</x:v>
      </x:c>
      <x:c r="H478" s="36" t="n">
        <x:v>4</x:v>
      </x:c>
      <x:c r="I478" s="34" t="str">
        <x:v>baseline</x:v>
      </x:c>
      <x:c r="J478" s="34" t="str">
        <x:v>cycle-baseline</x:v>
      </x:c>
      <x:c r="K478" s="36" t="n">
        <x:v>0</x:v>
      </x:c>
      <x:c r="L478" s="34" t="str">
        <x:v>baseline</x:v>
      </x:c>
      <x:c r="M478" s="34" t="str">
        <x:v>article1-unified-v4-2-fb3f101b-20260903-000401-default-f02-p6-jcs321-4-baseline</x:v>
      </x:c>
      <x:c r="N478" s="38" t="n">
        <x:v>46267.98909005787</x:v>
      </x:c>
      <x:c r="O478" s="36" t="n">
        <x:v>0</x:v>
      </x:c>
      <x:c r="P478" s="43" t="n">
        <x:v>36803584</x:v>
      </x:c>
      <x:c r="Q478" s="43" t="n">
        <x:v>268435456</x:v>
      </x:c>
      <x:c r="R478" s="43" t="n">
        <x:v>538372096</x:v>
      </x:c>
      <x:c r="S478" s="36" t="n">
        <x:v>7</x:v>
      </x:c>
      <x:c r="T478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0x00007b20f000d2e0    4436  21033984  21019112  org.apache.catalina.loader.ParallelWebappClassLoader | 0x000000006d1177b8  0x000000006d003818  0x00007b21fc607080       0         0         0  org.apache.catalina.loader.ParallelWebappClassLoader</x:v>
      </x:c>
      <x:c r="U478" s="36" t="n">
        <x:v>33</x:v>
      </x:c>
      <x:c r="V478" s="36" t="n">
        <x:v>6</x:v>
      </x:c>
      <x:c r="W47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478" s="36"/>
      <x:c r="Y478" s="36"/>
      <x:c r="Z478" s="44"/>
      <x:c r="AA478" s="49"/>
      <x:c r="AB478" s="43"/>
      <x:c r="AC478" s="34" t="str">
        <x:v>article1-unified-v4-2-fb3f101b-20260903-000401-default-f02-p6-jcs321-4-baseline-heap-info.txt</x:v>
      </x:c>
      <x:c r="AD478" s="34" t="str">
        <x:v>article1-unified-v4-2-fb3f101b-20260903-000401-default-f02-p6-jcs321-4-baseline-classloader-stats.txt</x:v>
      </x:c>
      <x:c r="AE478" s="34" t="str">
        <x:v>article1-unified-v4-2-fb3f101b-20260903-000401-default-f02-p6-jcs321-4-baseline-thread-dump.txt</x:v>
      </x:c>
      <x:c r="AF478" s="34"/>
      <x:c r="AG478" s="34" t="str">
        <x:v>article1-unified-v4-2-fb3f101b-20260903-000401-default-f02-p6-jcs321-4-baseline-native-memory.txt</x:v>
      </x:c>
      <x:c r="AH478" s="34"/>
      <x:c r="AI478" s="34"/>
    </x:row>
    <x:row r="479">
      <x:c r="A479" s="34" t="str">
        <x:v>article1-unified-v4-2-fb3f101b-20260903-000401-default-f02-p6-jcs321</x:v>
      </x:c>
      <x:c r="B479" s="34" t="str">
        <x:v>default</x:v>
      </x:c>
      <x:c r="C479" s="34" t="str">
        <x:v>jcs321</x:v>
      </x:c>
      <x:c r="D479" s="34" t="str">
        <x:v>jcs321</x:v>
      </x:c>
      <x:c r="E479" s="36" t="n">
        <x:v>2</x:v>
      </x:c>
      <x:c r="F479" s="36" t="n">
        <x:v>2</x:v>
      </x:c>
      <x:c r="G479" s="36" t="n">
        <x:v>6</x:v>
      </x:c>
      <x:c r="H479" s="36" t="n">
        <x:v>4</x:v>
      </x:c>
      <x:c r="I479" s="34" t="str">
        <x:v>deployedIdle</x:v>
      </x:c>
      <x:c r="J479" s="34" t="str">
        <x:v>deployed-idle</x:v>
      </x:c>
      <x:c r="K479" s="36" t="n">
        <x:v>0</x:v>
      </x:c>
      <x:c r="L479" s="34" t="str">
        <x:v>initial</x:v>
      </x:c>
      <x:c r="M479" s="34" t="str">
        <x:v>article1-unified-v4-2-fb3f101b-20260903-000401-default-f02-p6-jcs321-4-deployed-idle</x:v>
      </x:c>
      <x:c r="N479" s="38" t="n">
        <x:v>46267.989186412036</x:v>
      </x:c>
      <x:c r="O479" s="36" t="n">
        <x:v>0</x:v>
      </x:c>
      <x:c r="P479" s="43" t="n">
        <x:v>185693184</x:v>
      </x:c>
      <x:c r="Q479" s="43" t="n">
        <x:v>268435456</x:v>
      </x:c>
      <x:c r="R479" s="43" t="n">
        <x:v>578843648</x:v>
      </x:c>
      <x:c r="S479" s="36" t="n">
        <x:v>8</x:v>
      </x:c>
      <x:c r="T479" s="44" t="str">
        <x:v>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0x00007b20f000d2e0    4436  21033984  21019112  org.apache.catalina.loader.ParallelWebappClassLoader | 0x000000006d1177b8  0x000000006d003818  0x00007b21fc607080       0         0         0  org.apache.catalina.loader.ParallelWebappClassLoader | 0x000000006d1177b8  0x000000006d003818  0x00007b21541c89b0    4091  19434496  19428920  org.apache.catalina.loader.ParallelWebappClassLoader</x:v>
      </x:c>
      <x:c r="U479" s="36" t="n">
        <x:v>34</x:v>
      </x:c>
      <x:c r="V479" s="36" t="n">
        <x:v>6</x:v>
      </x:c>
      <x:c r="W47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479" s="36"/>
      <x:c r="Y479" s="36"/>
      <x:c r="Z479" s="44"/>
      <x:c r="AA479" s="49"/>
      <x:c r="AB479" s="43"/>
      <x:c r="AC479" s="34"/>
      <x:c r="AD479" s="34"/>
      <x:c r="AE479" s="34"/>
      <x:c r="AF479" s="34"/>
      <x:c r="AG479" s="34"/>
      <x:c r="AH479" s="34"/>
      <x:c r="AI479" s="34"/>
    </x:row>
    <x:row r="480">
      <x:c r="A480" s="34" t="str">
        <x:v>article1-unified-v4-2-fb3f101b-20260903-000401-default-f02-p6-jcs321</x:v>
      </x:c>
      <x:c r="B480" s="34" t="str">
        <x:v>default</x:v>
      </x:c>
      <x:c r="C480" s="34" t="str">
        <x:v>jcs321</x:v>
      </x:c>
      <x:c r="D480" s="34" t="str">
        <x:v>jcs321</x:v>
      </x:c>
      <x:c r="E480" s="36" t="n">
        <x:v>2</x:v>
      </x:c>
      <x:c r="F480" s="36" t="n">
        <x:v>2</x:v>
      </x:c>
      <x:c r="G480" s="36" t="n">
        <x:v>6</x:v>
      </x:c>
      <x:c r="H480" s="36" t="n">
        <x:v>4</x:v>
      </x:c>
      <x:c r="I480" s="34" t="str">
        <x:v>loaded</x:v>
      </x:c>
      <x:c r="J480" s="34" t="str">
        <x:v>loaded</x:v>
      </x:c>
      <x:c r="K480" s="36" t="n">
        <x:v>0</x:v>
      </x:c>
      <x:c r="L480" s="34" t="str">
        <x:v>initial</x:v>
      </x:c>
      <x:c r="M480" s="34" t="str">
        <x:v>article1-unified-v4-2-fb3f101b-20260903-000401-default-f02-p6-jcs321-4-loaded</x:v>
      </x:c>
      <x:c r="N480" s="38" t="n">
        <x:v>46267.989338645835</x:v>
      </x:c>
      <x:c r="O480" s="36" t="n">
        <x:v>0</x:v>
      </x:c>
      <x:c r="P480" s="43" t="n">
        <x:v>144451584</x:v>
      </x:c>
      <x:c r="Q480" s="43" t="n">
        <x:v>268435456</x:v>
      </x:c>
      <x:c r="R480" s="43" t="n">
        <x:v>563518464</x:v>
      </x:c>
      <x:c r="S480" s="36" t="n">
        <x:v>8</x:v>
      </x:c>
      <x:c r="T480" s="44" t="str">
        <x:v>0x000000006d1177b8  0x000000006d003818  0x00007b21541c89b0    4413  20990976  20973152  org.apache.catalina.loader.ParallelWebappClassLoader | 0x000000006d1177b8  0x000000006d003818  0x00007b21700079c0    4447  21051392  21028464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0x00007b20f000d2e0    4436  21033984  21019112  org.apache.catalina.loader.ParallelWebappClassLoader | 0x000000006d1177b8  0x000000006d003818  0x00007b21fc607080       0         0         0  org.apache.catalina.loader.ParallelWebappClassLoader</x:v>
      </x:c>
      <x:c r="U480" s="36" t="n">
        <x:v>34</x:v>
      </x:c>
      <x:c r="V480" s="36" t="n">
        <x:v>7</x:v>
      </x:c>
      <x:c r="W48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480" s="36"/>
      <x:c r="Y480" s="36"/>
      <x:c r="Z480" s="44"/>
      <x:c r="AA480" s="49"/>
      <x:c r="AB480" s="43"/>
      <x:c r="AC480" s="34"/>
      <x:c r="AD480" s="34"/>
      <x:c r="AE480" s="34"/>
      <x:c r="AF480" s="34"/>
      <x:c r="AG480" s="34"/>
      <x:c r="AH480" s="34"/>
      <x:c r="AI480" s="34"/>
    </x:row>
    <x:row r="481">
      <x:c r="A481" s="34" t="str">
        <x:v>article1-unified-v4-2-fb3f101b-20260903-000401-default-f02-p6-jcs321</x:v>
      </x:c>
      <x:c r="B481" s="34" t="str">
        <x:v>default</x:v>
      </x:c>
      <x:c r="C481" s="34" t="str">
        <x:v>jcs321</x:v>
      </x:c>
      <x:c r="D481" s="34" t="str">
        <x:v>jcs321</x:v>
      </x:c>
      <x:c r="E481" s="36" t="n">
        <x:v>2</x:v>
      </x:c>
      <x:c r="F481" s="36" t="n">
        <x:v>2</x:v>
      </x:c>
      <x:c r="G481" s="36" t="n">
        <x:v>6</x:v>
      </x:c>
      <x:c r="H481" s="36" t="n">
        <x:v>4</x:v>
      </x:c>
      <x:c r="I481" s="34" t="str">
        <x:v>afterUndeployEarly</x:v>
      </x:c>
      <x:c r="J481" s="34" t="str">
        <x:v>after-undeploy-early</x:v>
      </x:c>
      <x:c r="K481" s="36" t="n">
        <x:v>1</x:v>
      </x:c>
      <x:c r="L481" s="34" t="str">
        <x:v>early</x:v>
      </x:c>
      <x:c r="M481" s="34" t="str">
        <x:v>article1-unified-v4-2-fb3f101b-20260903-000401-default-f02-p6-jcs321-4-after-undeploy-early-2s</x:v>
      </x:c>
      <x:c r="N481" s="38" t="n">
        <x:v>46267.98942268518</x:v>
      </x:c>
      <x:c r="O481" s="36"/>
      <x:c r="P481" s="43"/>
      <x:c r="Q481" s="43"/>
      <x:c r="R481" s="43"/>
      <x:c r="S481" s="36"/>
      <x:c r="T481" s="44"/>
      <x:c r="U481" s="36" t="n">
        <x:v>34</x:v>
      </x:c>
      <x:c r="V481" s="36" t="n">
        <x:v>7</x:v>
      </x:c>
      <x:c r="W48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481" s="36"/>
      <x:c r="Y481" s="36"/>
      <x:c r="Z481" s="44"/>
      <x:c r="AA481" s="49"/>
      <x:c r="AB481" s="43" t="n">
        <x:v>17</x:v>
      </x:c>
      <x:c r="AC481" s="34"/>
      <x:c r="AD481" s="34"/>
      <x:c r="AE481" s="34" t="str">
        <x:v>article1-unified-v4-2-fb3f101b-20260903-000401-default-f02-p6-jcs321-4-after-undeploy-early-2s-thread-dump.txt</x:v>
      </x:c>
      <x:c r="AF481" s="34" t="str">
        <x:v>article1-unified-v4-2-fb3f101b-20260903-000401-default-f02-p6-jcs321-4-after-undeploy-early-tomcat-log.txt</x:v>
      </x:c>
      <x:c r="AG481" s="34"/>
      <x:c r="AH481" s="34"/>
      <x:c r="AI481" s="34"/>
    </x:row>
    <x:row r="482">
      <x:c r="A482" s="34" t="str">
        <x:v>article1-unified-v4-2-fb3f101b-20260903-000401-default-f02-p6-jcs321</x:v>
      </x:c>
      <x:c r="B482" s="34" t="str">
        <x:v>default</x:v>
      </x:c>
      <x:c r="C482" s="34" t="str">
        <x:v>jcs321</x:v>
      </x:c>
      <x:c r="D482" s="34" t="str">
        <x:v>jcs321</x:v>
      </x:c>
      <x:c r="E482" s="36" t="n">
        <x:v>2</x:v>
      </x:c>
      <x:c r="F482" s="36" t="n">
        <x:v>2</x:v>
      </x:c>
      <x:c r="G482" s="36" t="n">
        <x:v>6</x:v>
      </x:c>
      <x:c r="H482" s="36" t="n">
        <x:v>4</x:v>
      </x:c>
      <x:c r="I482" s="34" t="str">
        <x:v>afterUndeploy</x:v>
      </x:c>
      <x:c r="J482" s="34" t="str">
        <x:v>after-undeploy-final</x:v>
      </x:c>
      <x:c r="K482" s="36" t="n">
        <x:v>1</x:v>
      </x:c>
      <x:c r="L482" s="34" t="str">
        <x:v>final</x:v>
      </x:c>
      <x:c r="M482" s="34" t="str">
        <x:v>article1-unified-v4-2-fb3f101b-20260903-000401-default-f02-p6-jcs321-4-after-undeploy-final-10s</x:v>
      </x:c>
      <x:c r="N482" s="38" t="n">
        <x:v>46267.98958302083</x:v>
      </x:c>
      <x:c r="O482" s="36" t="n">
        <x:v>2</x:v>
      </x:c>
      <x:c r="P482" s="43" t="n">
        <x:v>41028608</x:v>
      </x:c>
      <x:c r="Q482" s="43" t="n">
        <x:v>268435456</x:v>
      </x:c>
      <x:c r="R482" s="43" t="n">
        <x:v>561588224</x:v>
      </x:c>
      <x:c r="S482" s="36" t="n">
        <x:v>8</x:v>
      </x:c>
      <x:c r="T482" s="44" t="str">
        <x:v>0x000000006d1177b8  0x000000006d003818  0x00007b21700079c0    4447  21051392  21028464  org.apache.catalina.loader.ParallelWebappClassLoader | 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0x00007b20f000d2e0    4436  21033984  21019112  org.apache.catalina.loader.ParallelWebappClassLoader</x:v>
      </x:c>
      <x:c r="U482" s="36" t="n">
        <x:v>34</x:v>
      </x:c>
      <x:c r="V482" s="36" t="n">
        <x:v>7</x:v>
      </x:c>
      <x:c r="W48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482" s="36" t="n">
        <x:v>7</x:v>
      </x:c>
      <x:c r="Y482" s="36" t="n">
        <x:v>7</x:v>
      </x:c>
      <x:c r="Z482" s="44" t="str">
        <x:v>/jcs321</x:v>
      </x:c>
      <x:c r="AA482" s="45" t="b">
        <x:v>1</x:v>
      </x:c>
      <x:c r="AB482" s="43"/>
      <x:c r="AC482" s="34" t="str">
        <x:v>article1-unified-v4-2-fb3f101b-20260903-000401-default-f02-p6-jcs321-4-after-undeploy-final-10s-heap-info.txt</x:v>
      </x:c>
      <x:c r="AD482" s="34" t="str">
        <x:v>article1-unified-v4-2-fb3f101b-20260903-000401-default-f02-p6-jcs321-4-after-undeploy-final-10s-classloader-stats.txt</x:v>
      </x:c>
      <x:c r="AE482" s="34" t="str">
        <x:v>article1-unified-v4-2-fb3f101b-20260903-000401-default-f02-p6-jcs321-4-after-undeploy-final-10s-thread-dump.txt</x:v>
      </x:c>
      <x:c r="AF482" s="34"/>
      <x:c r="AG482" s="34" t="str">
        <x:v>article1-unified-v4-2-fb3f101b-20260903-000401-default-f02-p6-jcs321-4-after-undeploy-final-10s-native-memory.txt</x:v>
      </x:c>
      <x:c r="AH482" s="34" t="str">
        <x:v>article1-unified-v4-2-fb3f101b-20260903-000401-default-f02-p6-jcs321-4-after-undeploy-final-10s-class-histogram.txt</x:v>
      </x:c>
      <x:c r="AI482" s="34" t="str">
        <x:v>article1-unified-v4-2-fb3f101b-20260903-000401-default-f02-p6-jcs321-4-after-undeploy-tomcat-findleaks.txt</x:v>
      </x:c>
    </x:row>
    <x:row r="483">
      <x:c r="A483" s="34" t="str">
        <x:v>article1-unified-v4-2-fb3f101b-20260903-000401-default-f02-p6-jcs321</x:v>
      </x:c>
      <x:c r="B483" s="34" t="str">
        <x:v>default</x:v>
      </x:c>
      <x:c r="C483" s="34" t="str">
        <x:v>jcs321</x:v>
      </x:c>
      <x:c r="D483" s="34" t="str">
        <x:v>jcs321</x:v>
      </x:c>
      <x:c r="E483" s="36" t="n">
        <x:v>2</x:v>
      </x:c>
      <x:c r="F483" s="36" t="n">
        <x:v>2</x:v>
      </x:c>
      <x:c r="G483" s="36" t="n">
        <x:v>6</x:v>
      </x:c>
      <x:c r="H483" s="36" t="n">
        <x:v>4</x:v>
      </x:c>
      <x:c r="I483" s="34" t="str">
        <x:v>redeployedLoaded</x:v>
      </x:c>
      <x:c r="J483" s="34" t="str">
        <x:v>redeployed-loaded</x:v>
      </x:c>
      <x:c r="K483" s="36" t="n">
        <x:v>0</x:v>
      </x:c>
      <x:c r="L483" s="34" t="str">
        <x:v>redeploy</x:v>
      </x:c>
      <x:c r="M483" s="34" t="str">
        <x:v>article1-unified-v4-2-fb3f101b-20260903-000401-default-f02-p6-jcs321-4-redeployed-loaded</x:v>
      </x:c>
      <x:c r="N483" s="38" t="n">
        <x:v>46267.98984203704</x:v>
      </x:c>
      <x:c r="O483" s="36" t="n">
        <x:v>0</x:v>
      </x:c>
      <x:c r="P483" s="43" t="n">
        <x:v>150196224</x:v>
      </x:c>
      <x:c r="Q483" s="43" t="n">
        <x:v>268435456</x:v>
      </x:c>
      <x:c r="R483" s="43" t="n">
        <x:v>587036672</x:v>
      </x:c>
      <x:c r="S483" s="36" t="n">
        <x:v>9</x:v>
      </x:c>
      <x:c r="T483" s="44" t="str">
        <x:v>0x000000006d1177b8  0x000000006d003818  0x00007b21700079c0    4447  21051392  21028464  org.apache.catalina.loader.ParallelWebappClassLoader | 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0x00007b211c1a1c30    4404  20965376  20955448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0x00007b20f000d2e0    4436  21033984  21019112  org.apache.catalina.loader.ParallelWebappClassLoader</x:v>
      </x:c>
      <x:c r="U483" s="36" t="n">
        <x:v>35</x:v>
      </x:c>
      <x:c r="V483" s="36" t="n">
        <x:v>8</x:v>
      </x:c>
      <x:c r="W48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483" s="36"/>
      <x:c r="Y483" s="36"/>
      <x:c r="Z483" s="44"/>
      <x:c r="AA483" s="49"/>
      <x:c r="AB483" s="43"/>
      <x:c r="AC483" s="34"/>
      <x:c r="AD483" s="34"/>
      <x:c r="AE483" s="34"/>
      <x:c r="AF483" s="34"/>
      <x:c r="AG483" s="34"/>
      <x:c r="AH483" s="34"/>
      <x:c r="AI483" s="34"/>
    </x:row>
    <x:row r="484">
      <x:c r="A484" s="34" t="str">
        <x:v>article1-unified-v4-2-fb3f101b-20260903-000401-default-f02-p6-jcs321</x:v>
      </x:c>
      <x:c r="B484" s="34" t="str">
        <x:v>default</x:v>
      </x:c>
      <x:c r="C484" s="34" t="str">
        <x:v>jcs321</x:v>
      </x:c>
      <x:c r="D484" s="34" t="str">
        <x:v>jcs321</x:v>
      </x:c>
      <x:c r="E484" s="36" t="n">
        <x:v>2</x:v>
      </x:c>
      <x:c r="F484" s="36" t="n">
        <x:v>2</x:v>
      </x:c>
      <x:c r="G484" s="36" t="n">
        <x:v>6</x:v>
      </x:c>
      <x:c r="H484" s="36" t="n">
        <x:v>4</x:v>
      </x:c>
      <x:c r="I484" s="34" t="str">
        <x:v>afterFinalUndeployEarly</x:v>
      </x:c>
      <x:c r="J484" s="34" t="str">
        <x:v>after-final-undeploy-early</x:v>
      </x:c>
      <x:c r="K484" s="36" t="n">
        <x:v>2</x:v>
      </x:c>
      <x:c r="L484" s="34" t="str">
        <x:v>early</x:v>
      </x:c>
      <x:c r="M484" s="34" t="str">
        <x:v>article1-unified-v4-2-fb3f101b-20260903-000401-default-f02-p6-jcs321-4-after-final-undeploy-early-2s</x:v>
      </x:c>
      <x:c r="N484" s="38" t="n">
        <x:v>46267.98992423611</x:v>
      </x:c>
      <x:c r="O484" s="36"/>
      <x:c r="P484" s="43"/>
      <x:c r="Q484" s="43"/>
      <x:c r="R484" s="43"/>
      <x:c r="S484" s="36"/>
      <x:c r="T484" s="44"/>
      <x:c r="U484" s="36" t="n">
        <x:v>35</x:v>
      </x:c>
      <x:c r="V484" s="36" t="n">
        <x:v>8</x:v>
      </x:c>
      <x:c r="W48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484" s="36"/>
      <x:c r="Y484" s="36"/>
      <x:c r="Z484" s="44"/>
      <x:c r="AA484" s="49"/>
      <x:c r="AB484" s="43" t="n">
        <x:v>17</x:v>
      </x:c>
      <x:c r="AC484" s="34"/>
      <x:c r="AD484" s="34"/>
      <x:c r="AE484" s="34" t="str">
        <x:v>article1-unified-v4-2-fb3f101b-20260903-000401-default-f02-p6-jcs321-4-after-final-undeploy-early-2s-thread-dump.txt</x:v>
      </x:c>
      <x:c r="AF484" s="34" t="str">
        <x:v>article1-unified-v4-2-fb3f101b-20260903-000401-default-f02-p6-jcs321-4-after-final-undeploy-early-tomcat-log.txt</x:v>
      </x:c>
      <x:c r="AG484" s="34"/>
      <x:c r="AH484" s="34"/>
      <x:c r="AI484" s="34"/>
    </x:row>
    <x:row r="485">
      <x:c r="A485" s="34" t="str">
        <x:v>article1-unified-v4-2-fb3f101b-20260903-000401-default-f02-p6-jcs321</x:v>
      </x:c>
      <x:c r="B485" s="34" t="str">
        <x:v>default</x:v>
      </x:c>
      <x:c r="C485" s="34" t="str">
        <x:v>jcs321</x:v>
      </x:c>
      <x:c r="D485" s="34" t="str">
        <x:v>jcs321</x:v>
      </x:c>
      <x:c r="E485" s="36" t="n">
        <x:v>2</x:v>
      </x:c>
      <x:c r="F485" s="36" t="n">
        <x:v>2</x:v>
      </x:c>
      <x:c r="G485" s="36" t="n">
        <x:v>6</x:v>
      </x:c>
      <x:c r="H485" s="36" t="n">
        <x:v>4</x:v>
      </x:c>
      <x:c r="I485" s="34" t="str">
        <x:v>afterFinalUndeploy</x:v>
      </x:c>
      <x:c r="J485" s="34" t="str">
        <x:v>after-final-undeploy-final</x:v>
      </x:c>
      <x:c r="K485" s="36" t="n">
        <x:v>2</x:v>
      </x:c>
      <x:c r="L485" s="34" t="str">
        <x:v>final</x:v>
      </x:c>
      <x:c r="M485" s="34" t="str">
        <x:v>article1-unified-v4-2-fb3f101b-20260903-000401-default-f02-p6-jcs321-4-after-final-undeploy-final-10s</x:v>
      </x:c>
      <x:c r="N485" s="38" t="n">
        <x:v>46267.990080752315</x:v>
      </x:c>
      <x:c r="O485" s="36" t="n">
        <x:v>2</x:v>
      </x:c>
      <x:c r="P485" s="43" t="n">
        <x:v>45319168</x:v>
      </x:c>
      <x:c r="Q485" s="43" t="n">
        <x:v>268435456</x:v>
      </x:c>
      <x:c r="R485" s="43" t="n">
        <x:v>585379840</x:v>
      </x:c>
      <x:c r="S485" s="36" t="n">
        <x:v>9</x:v>
      </x:c>
      <x:c r="T485" s="44" t="str">
        <x:v>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0x00007b21700079c0    4447  21051392  21028464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0x00007b211c1a1c30    4418  20998144  20990392  org.apache.catalina.loader.ParallelWebappClassLoader | 0x000000006d1177b8  0x000000006d003818  0x00007b20f000d2e0    4436  21033984  21019112  org.apache.catalina.loader.ParallelWebappClassLoader</x:v>
      </x:c>
      <x:c r="U485" s="36" t="n">
        <x:v>35</x:v>
      </x:c>
      <x:c r="V485" s="36" t="n">
        <x:v>8</x:v>
      </x:c>
      <x:c r="W48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485" s="36" t="n">
        <x:v>8</x:v>
      </x:c>
      <x:c r="Y485" s="36" t="n">
        <x:v>8</x:v>
      </x:c>
      <x:c r="Z485" s="44" t="str">
        <x:v>/jcs321</x:v>
      </x:c>
      <x:c r="AA485" s="45" t="b">
        <x:v>1</x:v>
      </x:c>
      <x:c r="AB485" s="43"/>
      <x:c r="AC485" s="34" t="str">
        <x:v>article1-unified-v4-2-fb3f101b-20260903-000401-default-f02-p6-jcs321-4-after-final-undeploy-final-10s-heap-info.txt</x:v>
      </x:c>
      <x:c r="AD485" s="34" t="str">
        <x:v>article1-unified-v4-2-fb3f101b-20260903-000401-default-f02-p6-jcs321-4-after-final-undeploy-final-10s-classloader-stats.txt</x:v>
      </x:c>
      <x:c r="AE485" s="34" t="str">
        <x:v>article1-unified-v4-2-fb3f101b-20260903-000401-default-f02-p6-jcs321-4-after-final-undeploy-final-10s-thread-dump.txt</x:v>
      </x:c>
      <x:c r="AF485" s="34"/>
      <x:c r="AG485" s="34" t="str">
        <x:v>article1-unified-v4-2-fb3f101b-20260903-000401-default-f02-p6-jcs321-4-after-final-undeploy-final-10s-native-memory.txt</x:v>
      </x:c>
      <x:c r="AH485" s="34" t="str">
        <x:v>article1-unified-v4-2-fb3f101b-20260903-000401-default-f02-p6-jcs321-4-after-final-undeploy-final-10s-class-histogram.txt</x:v>
      </x:c>
      <x:c r="AI485" s="34" t="str">
        <x:v>article1-unified-v4-2-fb3f101b-20260903-000401-default-f02-p6-jcs321-4-after-final-undeploy-tomcat-findleaks.txt</x:v>
      </x:c>
    </x:row>
    <x:row r="486">
      <x:c r="A486" s="34" t="str">
        <x:v>article1-unified-v4-2-fb3f101b-20260903-000401-default-f02-p6-jcs321</x:v>
      </x:c>
      <x:c r="B486" s="34" t="str">
        <x:v>default</x:v>
      </x:c>
      <x:c r="C486" s="34" t="str">
        <x:v>jcs321</x:v>
      </x:c>
      <x:c r="D486" s="34" t="str">
        <x:v>jcs321</x:v>
      </x:c>
      <x:c r="E486" s="36" t="n">
        <x:v>2</x:v>
      </x:c>
      <x:c r="F486" s="36" t="n">
        <x:v>2</x:v>
      </x:c>
      <x:c r="G486" s="36" t="n">
        <x:v>6</x:v>
      </x:c>
      <x:c r="H486" s="36" t="n">
        <x:v>5</x:v>
      </x:c>
      <x:c r="I486" s="34" t="str">
        <x:v>baseline</x:v>
      </x:c>
      <x:c r="J486" s="34" t="str">
        <x:v>cycle-baseline</x:v>
      </x:c>
      <x:c r="K486" s="36" t="n">
        <x:v>0</x:v>
      </x:c>
      <x:c r="L486" s="34" t="str">
        <x:v>baseline</x:v>
      </x:c>
      <x:c r="M486" s="34" t="str">
        <x:v>article1-unified-v4-2-fb3f101b-20260903-000401-default-f02-p6-jcs321-5-baseline</x:v>
      </x:c>
      <x:c r="N486" s="38" t="n">
        <x:v>46267.99012353009</x:v>
      </x:c>
      <x:c r="O486" s="36" t="n">
        <x:v>0</x:v>
      </x:c>
      <x:c r="P486" s="43" t="n">
        <x:v>45319168</x:v>
      </x:c>
      <x:c r="Q486" s="43" t="n">
        <x:v>268435456</x:v>
      </x:c>
      <x:c r="R486" s="43" t="n">
        <x:v>585612288</x:v>
      </x:c>
      <x:c r="S486" s="36" t="n">
        <x:v>9</x:v>
      </x:c>
      <x:c r="T486" s="44" t="str">
        <x:v>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0x00007b21700079c0    4447  21051392  21028464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0x00007b211c1a1c30    4418  20998144  20990392  org.apache.catalina.loader.ParallelWebappClassLoader | 0x000000006d1177b8  0x000000006d003818  0x00007b20f000d2e0    4436  21033984  21019112  org.apache.catalina.loader.ParallelWebappClassLoader</x:v>
      </x:c>
      <x:c r="U486" s="36" t="n">
        <x:v>35</x:v>
      </x:c>
      <x:c r="V486" s="36" t="n">
        <x:v>8</x:v>
      </x:c>
      <x:c r="W48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486" s="36"/>
      <x:c r="Y486" s="36"/>
      <x:c r="Z486" s="44"/>
      <x:c r="AA486" s="49"/>
      <x:c r="AB486" s="43"/>
      <x:c r="AC486" s="34" t="str">
        <x:v>article1-unified-v4-2-fb3f101b-20260903-000401-default-f02-p6-jcs321-5-baseline-heap-info.txt</x:v>
      </x:c>
      <x:c r="AD486" s="34" t="str">
        <x:v>article1-unified-v4-2-fb3f101b-20260903-000401-default-f02-p6-jcs321-5-baseline-classloader-stats.txt</x:v>
      </x:c>
      <x:c r="AE486" s="34" t="str">
        <x:v>article1-unified-v4-2-fb3f101b-20260903-000401-default-f02-p6-jcs321-5-baseline-thread-dump.txt</x:v>
      </x:c>
      <x:c r="AF486" s="34"/>
      <x:c r="AG486" s="34" t="str">
        <x:v>article1-unified-v4-2-fb3f101b-20260903-000401-default-f02-p6-jcs321-5-baseline-native-memory.txt</x:v>
      </x:c>
      <x:c r="AH486" s="34"/>
      <x:c r="AI486" s="34"/>
    </x:row>
    <x:row r="487">
      <x:c r="A487" s="34" t="str">
        <x:v>article1-unified-v4-2-fb3f101b-20260903-000401-default-f02-p6-jcs321</x:v>
      </x:c>
      <x:c r="B487" s="34" t="str">
        <x:v>default</x:v>
      </x:c>
      <x:c r="C487" s="34" t="str">
        <x:v>jcs321</x:v>
      </x:c>
      <x:c r="D487" s="34" t="str">
        <x:v>jcs321</x:v>
      </x:c>
      <x:c r="E487" s="36" t="n">
        <x:v>2</x:v>
      </x:c>
      <x:c r="F487" s="36" t="n">
        <x:v>2</x:v>
      </x:c>
      <x:c r="G487" s="36" t="n">
        <x:v>6</x:v>
      </x:c>
      <x:c r="H487" s="36" t="n">
        <x:v>5</x:v>
      </x:c>
      <x:c r="I487" s="34" t="str">
        <x:v>deployedIdle</x:v>
      </x:c>
      <x:c r="J487" s="34" t="str">
        <x:v>deployed-idle</x:v>
      </x:c>
      <x:c r="K487" s="36" t="n">
        <x:v>0</x:v>
      </x:c>
      <x:c r="L487" s="34" t="str">
        <x:v>initial</x:v>
      </x:c>
      <x:c r="M487" s="34" t="str">
        <x:v>article1-unified-v4-2-fb3f101b-20260903-000401-default-f02-p6-jcs321-5-deployed-idle</x:v>
      </x:c>
      <x:c r="N487" s="38" t="n">
        <x:v>46267.99022061343</x:v>
      </x:c>
      <x:c r="O487" s="36" t="n">
        <x:v>0</x:v>
      </x:c>
      <x:c r="P487" s="43" t="n">
        <x:v>193434624</x:v>
      </x:c>
      <x:c r="Q487" s="43" t="n">
        <x:v>268435456</x:v>
      </x:c>
      <x:c r="R487" s="43" t="n">
        <x:v>609078272</x:v>
      </x:c>
      <x:c r="S487" s="36" t="n">
        <x:v>10</x:v>
      </x:c>
      <x:c r="T487" s="44" t="str">
        <x:v>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0x00007b21700079c0    4447  21051392  21028464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0x00007b211c1a1c30    4418  20998144  20990392  org.apache.catalina.loader.ParallelWebappClassLoader | 0x000000006d1177b8  0x000000006d003818  0x00007b217812b1b0    4091  19436544  19427968  org.apache.catalina.loader.ParallelWebappClassLoader | 0x000000006d1177b8  0x000000006d003818  0x00007b20f000d2e0    4436  21033984  21019112  org.apache.catalina.loader.ParallelWebappClassLoader</x:v>
      </x:c>
      <x:c r="U487" s="36" t="n">
        <x:v>35</x:v>
      </x:c>
      <x:c r="V487" s="36" t="n">
        <x:v>8</x:v>
      </x:c>
      <x:c r="W48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487" s="36"/>
      <x:c r="Y487" s="36"/>
      <x:c r="Z487" s="44"/>
      <x:c r="AA487" s="49"/>
      <x:c r="AB487" s="43"/>
      <x:c r="AC487" s="34"/>
      <x:c r="AD487" s="34"/>
      <x:c r="AE487" s="34"/>
      <x:c r="AF487" s="34"/>
      <x:c r="AG487" s="34"/>
      <x:c r="AH487" s="34"/>
      <x:c r="AI487" s="34"/>
    </x:row>
    <x:row r="488">
      <x:c r="A488" s="34" t="str">
        <x:v>article1-unified-v4-2-fb3f101b-20260903-000401-default-f02-p6-jcs321</x:v>
      </x:c>
      <x:c r="B488" s="34" t="str">
        <x:v>default</x:v>
      </x:c>
      <x:c r="C488" s="34" t="str">
        <x:v>jcs321</x:v>
      </x:c>
      <x:c r="D488" s="34" t="str">
        <x:v>jcs321</x:v>
      </x:c>
      <x:c r="E488" s="36" t="n">
        <x:v>2</x:v>
      </x:c>
      <x:c r="F488" s="36" t="n">
        <x:v>2</x:v>
      </x:c>
      <x:c r="G488" s="36" t="n">
        <x:v>6</x:v>
      </x:c>
      <x:c r="H488" s="36" t="n">
        <x:v>5</x:v>
      </x:c>
      <x:c r="I488" s="34" t="str">
        <x:v>loaded</x:v>
      </x:c>
      <x:c r="J488" s="34" t="str">
        <x:v>loaded</x:v>
      </x:c>
      <x:c r="K488" s="36" t="n">
        <x:v>0</x:v>
      </x:c>
      <x:c r="L488" s="34" t="str">
        <x:v>initial</x:v>
      </x:c>
      <x:c r="M488" s="34" t="str">
        <x:v>article1-unified-v4-2-fb3f101b-20260903-000401-default-f02-p6-jcs321-5-loaded</x:v>
      </x:c>
      <x:c r="N488" s="38" t="n">
        <x:v>46267.99037881944</x:v>
      </x:c>
      <x:c r="O488" s="36" t="n">
        <x:v>0</x:v>
      </x:c>
      <x:c r="P488" s="43" t="n">
        <x:v>151302144</x:v>
      </x:c>
      <x:c r="Q488" s="43" t="n">
        <x:v>268435456</x:v>
      </x:c>
      <x:c r="R488" s="43" t="n">
        <x:v>611820544</x:v>
      </x:c>
      <x:c r="S488" s="36" t="n">
        <x:v>10</x:v>
      </x:c>
      <x:c r="T488" s="44" t="str">
        <x:v>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0x00007b21700079c0    4447  21051392  21028464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0x00007b217812b1b0    4422  21009408  20989696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0x00007b211c1a1c30    4418  20998144  20990392  org.apache.catalina.loader.ParallelWebappClassLoader | 0x000000006d1177b8  0x000000006d003818  0x00007b20f000d2e0    4436  21033984  21019112  org.apache.catalina.loader.ParallelWebappClassLoader</x:v>
      </x:c>
      <x:c r="U488" s="36" t="n">
        <x:v>36</x:v>
      </x:c>
      <x:c r="V488" s="36" t="n">
        <x:v>9</x:v>
      </x:c>
      <x:c r="W48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488" s="36"/>
      <x:c r="Y488" s="36"/>
      <x:c r="Z488" s="44"/>
      <x:c r="AA488" s="49"/>
      <x:c r="AB488" s="43"/>
      <x:c r="AC488" s="34"/>
      <x:c r="AD488" s="34"/>
      <x:c r="AE488" s="34"/>
      <x:c r="AF488" s="34"/>
      <x:c r="AG488" s="34"/>
      <x:c r="AH488" s="34"/>
      <x:c r="AI488" s="34"/>
    </x:row>
    <x:row r="489">
      <x:c r="A489" s="34" t="str">
        <x:v>article1-unified-v4-2-fb3f101b-20260903-000401-default-f02-p6-jcs321</x:v>
      </x:c>
      <x:c r="B489" s="34" t="str">
        <x:v>default</x:v>
      </x:c>
      <x:c r="C489" s="34" t="str">
        <x:v>jcs321</x:v>
      </x:c>
      <x:c r="D489" s="34" t="str">
        <x:v>jcs321</x:v>
      </x:c>
      <x:c r="E489" s="36" t="n">
        <x:v>2</x:v>
      </x:c>
      <x:c r="F489" s="36" t="n">
        <x:v>2</x:v>
      </x:c>
      <x:c r="G489" s="36" t="n">
        <x:v>6</x:v>
      </x:c>
      <x:c r="H489" s="36" t="n">
        <x:v>5</x:v>
      </x:c>
      <x:c r="I489" s="34" t="str">
        <x:v>afterUndeployEarly</x:v>
      </x:c>
      <x:c r="J489" s="34" t="str">
        <x:v>after-undeploy-early</x:v>
      </x:c>
      <x:c r="K489" s="36" t="n">
        <x:v>1</x:v>
      </x:c>
      <x:c r="L489" s="34" t="str">
        <x:v>early</x:v>
      </x:c>
      <x:c r="M489" s="34" t="str">
        <x:v>article1-unified-v4-2-fb3f101b-20260903-000401-default-f02-p6-jcs321-5-after-undeploy-early-2s</x:v>
      </x:c>
      <x:c r="N489" s="38" t="n">
        <x:v>46267.99047420139</x:v>
      </x:c>
      <x:c r="O489" s="36"/>
      <x:c r="P489" s="43"/>
      <x:c r="Q489" s="43"/>
      <x:c r="R489" s="43"/>
      <x:c r="S489" s="36"/>
      <x:c r="T489" s="44"/>
      <x:c r="U489" s="36" t="n">
        <x:v>36</x:v>
      </x:c>
      <x:c r="V489" s="36" t="n">
        <x:v>9</x:v>
      </x:c>
      <x:c r="W48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489" s="36"/>
      <x:c r="Y489" s="36"/>
      <x:c r="Z489" s="44"/>
      <x:c r="AA489" s="49"/>
      <x:c r="AB489" s="43" t="n">
        <x:v>17</x:v>
      </x:c>
      <x:c r="AC489" s="34"/>
      <x:c r="AD489" s="34"/>
      <x:c r="AE489" s="34" t="str">
        <x:v>article1-unified-v4-2-fb3f101b-20260903-000401-default-f02-p6-jcs321-5-after-undeploy-early-2s-thread-dump.txt</x:v>
      </x:c>
      <x:c r="AF489" s="34" t="str">
        <x:v>article1-unified-v4-2-fb3f101b-20260903-000401-default-f02-p6-jcs321-5-after-undeploy-early-tomcat-log.txt</x:v>
      </x:c>
      <x:c r="AG489" s="34"/>
      <x:c r="AH489" s="34"/>
      <x:c r="AI489" s="34"/>
    </x:row>
    <x:row r="490">
      <x:c r="A490" s="34" t="str">
        <x:v>article1-unified-v4-2-fb3f101b-20260903-000401-default-f02-p6-jcs321</x:v>
      </x:c>
      <x:c r="B490" s="34" t="str">
        <x:v>default</x:v>
      </x:c>
      <x:c r="C490" s="34" t="str">
        <x:v>jcs321</x:v>
      </x:c>
      <x:c r="D490" s="34" t="str">
        <x:v>jcs321</x:v>
      </x:c>
      <x:c r="E490" s="36" t="n">
        <x:v>2</x:v>
      </x:c>
      <x:c r="F490" s="36" t="n">
        <x:v>2</x:v>
      </x:c>
      <x:c r="G490" s="36" t="n">
        <x:v>6</x:v>
      </x:c>
      <x:c r="H490" s="36" t="n">
        <x:v>5</x:v>
      </x:c>
      <x:c r="I490" s="34" t="str">
        <x:v>afterUndeploy</x:v>
      </x:c>
      <x:c r="J490" s="34" t="str">
        <x:v>after-undeploy-final</x:v>
      </x:c>
      <x:c r="K490" s="36" t="n">
        <x:v>1</x:v>
      </x:c>
      <x:c r="L490" s="34" t="str">
        <x:v>final</x:v>
      </x:c>
      <x:c r="M490" s="34" t="str">
        <x:v>article1-unified-v4-2-fb3f101b-20260903-000401-default-f02-p6-jcs321-5-after-undeploy-final-10s</x:v>
      </x:c>
      <x:c r="N490" s="38" t="n">
        <x:v>46267.99062646991</x:v>
      </x:c>
      <x:c r="O490" s="36" t="n">
        <x:v>2</x:v>
      </x:c>
      <x:c r="P490" s="43" t="n">
        <x:v>49561600</x:v>
      </x:c>
      <x:c r="Q490" s="43" t="n">
        <x:v>268435456</x:v>
      </x:c>
      <x:c r="R490" s="43" t="n">
        <x:v>611338240</x:v>
      </x:c>
      <x:c r="S490" s="36" t="n">
        <x:v>10</x:v>
      </x:c>
      <x:c r="T490" s="44" t="str">
        <x:v>0x000000006d1177b8  0x000000006d003818  0x00007b217812b1b0    4436  21042176  21024640  org.apache.catalina.loader.ParallelWebappClassLoader | 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0x00007b21700079c0    4447  21051392  21028464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0x00007b211c1a1c30    4418  20998144  20990392  org.apache.catalina.loader.ParallelWebappClassLoader | 0x000000006d1177b8  0x000000006d003818  0x00007b20f000d2e0    4436  21033984  21019112  org.apache.catalina.loader.ParallelWebappClassLoader</x:v>
      </x:c>
      <x:c r="U490" s="36" t="n">
        <x:v>36</x:v>
      </x:c>
      <x:c r="V490" s="36" t="n">
        <x:v>9</x:v>
      </x:c>
      <x:c r="W49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490" s="36" t="n">
        <x:v>9</x:v>
      </x:c>
      <x:c r="Y490" s="36" t="n">
        <x:v>9</x:v>
      </x:c>
      <x:c r="Z490" s="44" t="str">
        <x:v>/jcs321</x:v>
      </x:c>
      <x:c r="AA490" s="45" t="b">
        <x:v>1</x:v>
      </x:c>
      <x:c r="AB490" s="43"/>
      <x:c r="AC490" s="34" t="str">
        <x:v>article1-unified-v4-2-fb3f101b-20260903-000401-default-f02-p6-jcs321-5-after-undeploy-final-10s-heap-info.txt</x:v>
      </x:c>
      <x:c r="AD490" s="34" t="str">
        <x:v>article1-unified-v4-2-fb3f101b-20260903-000401-default-f02-p6-jcs321-5-after-undeploy-final-10s-classloader-stats.txt</x:v>
      </x:c>
      <x:c r="AE490" s="34" t="str">
        <x:v>article1-unified-v4-2-fb3f101b-20260903-000401-default-f02-p6-jcs321-5-after-undeploy-final-10s-thread-dump.txt</x:v>
      </x:c>
      <x:c r="AF490" s="34"/>
      <x:c r="AG490" s="34" t="str">
        <x:v>article1-unified-v4-2-fb3f101b-20260903-000401-default-f02-p6-jcs321-5-after-undeploy-final-10s-native-memory.txt</x:v>
      </x:c>
      <x:c r="AH490" s="34" t="str">
        <x:v>article1-unified-v4-2-fb3f101b-20260903-000401-default-f02-p6-jcs321-5-after-undeploy-final-10s-class-histogram.txt</x:v>
      </x:c>
      <x:c r="AI490" s="34" t="str">
        <x:v>article1-unified-v4-2-fb3f101b-20260903-000401-default-f02-p6-jcs321-5-after-undeploy-tomcat-findleaks.txt</x:v>
      </x:c>
    </x:row>
    <x:row r="491">
      <x:c r="A491" s="34" t="str">
        <x:v>article1-unified-v4-2-fb3f101b-20260903-000401-default-f02-p6-jcs321</x:v>
      </x:c>
      <x:c r="B491" s="34" t="str">
        <x:v>default</x:v>
      </x:c>
      <x:c r="C491" s="34" t="str">
        <x:v>jcs321</x:v>
      </x:c>
      <x:c r="D491" s="34" t="str">
        <x:v>jcs321</x:v>
      </x:c>
      <x:c r="E491" s="36" t="n">
        <x:v>2</x:v>
      </x:c>
      <x:c r="F491" s="36" t="n">
        <x:v>2</x:v>
      </x:c>
      <x:c r="G491" s="36" t="n">
        <x:v>6</x:v>
      </x:c>
      <x:c r="H491" s="36" t="n">
        <x:v>5</x:v>
      </x:c>
      <x:c r="I491" s="34" t="str">
        <x:v>redeployedLoaded</x:v>
      </x:c>
      <x:c r="J491" s="34" t="str">
        <x:v>redeployed-loaded</x:v>
      </x:c>
      <x:c r="K491" s="36" t="n">
        <x:v>0</x:v>
      </x:c>
      <x:c r="L491" s="34" t="str">
        <x:v>redeploy</x:v>
      </x:c>
      <x:c r="M491" s="34" t="str">
        <x:v>article1-unified-v4-2-fb3f101b-20260903-000401-default-f02-p6-jcs321-5-redeployed-loaded</x:v>
      </x:c>
      <x:c r="N491" s="38" t="n">
        <x:v>46267.99089111111</x:v>
      </x:c>
      <x:c r="O491" s="36" t="n">
        <x:v>0</x:v>
      </x:c>
      <x:c r="P491" s="43" t="n">
        <x:v>157032448</x:v>
      </x:c>
      <x:c r="Q491" s="43" t="n">
        <x:v>268435456</x:v>
      </x:c>
      <x:c r="R491" s="43" t="n">
        <x:v>637874176</x:v>
      </x:c>
      <x:c r="S491" s="36" t="n">
        <x:v>11</x:v>
      </x:c>
      <x:c r="T491" s="44" t="str">
        <x:v>0x000000006d1177b8  0x000000006d003818  0x00007b217812b1b0    4436  21042176  21024640  org.apache.catalina.loader.ParallelWebappClassLoader | 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0x00007b21700079c0    4447  21051392  21028464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0x00007b211c1a1c30    4418  20998144  20990392  org.apache.catalina.loader.ParallelWebappClassLoader | 0x000000006d1177b8  0x000000006d003818  0x00007b217035eac0    4419  21002240  20985808  org.apache.catalina.loader.ParallelWebappClassLoader | 0x000000006d1177b8  0x000000006d003818  0x00007b20f000d2e0    4436  21033984  21019112  org.apache.catalina.loader.ParallelWebappClassLoader</x:v>
      </x:c>
      <x:c r="U491" s="36" t="n">
        <x:v>37</x:v>
      </x:c>
      <x:c r="V491" s="36" t="n">
        <x:v>10</x:v>
      </x:c>
      <x:c r="W49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491" s="36"/>
      <x:c r="Y491" s="36"/>
      <x:c r="Z491" s="44"/>
      <x:c r="AA491" s="49"/>
      <x:c r="AB491" s="43"/>
      <x:c r="AC491" s="34"/>
      <x:c r="AD491" s="34"/>
      <x:c r="AE491" s="34"/>
      <x:c r="AF491" s="34"/>
      <x:c r="AG491" s="34"/>
      <x:c r="AH491" s="34"/>
      <x:c r="AI491" s="34"/>
    </x:row>
    <x:row r="492">
      <x:c r="A492" s="34" t="str">
        <x:v>article1-unified-v4-2-fb3f101b-20260903-000401-default-f02-p6-jcs321</x:v>
      </x:c>
      <x:c r="B492" s="34" t="str">
        <x:v>default</x:v>
      </x:c>
      <x:c r="C492" s="34" t="str">
        <x:v>jcs321</x:v>
      </x:c>
      <x:c r="D492" s="34" t="str">
        <x:v>jcs321</x:v>
      </x:c>
      <x:c r="E492" s="36" t="n">
        <x:v>2</x:v>
      </x:c>
      <x:c r="F492" s="36" t="n">
        <x:v>2</x:v>
      </x:c>
      <x:c r="G492" s="36" t="n">
        <x:v>6</x:v>
      </x:c>
      <x:c r="H492" s="36" t="n">
        <x:v>5</x:v>
      </x:c>
      <x:c r="I492" s="34" t="str">
        <x:v>afterFinalUndeployEarly</x:v>
      </x:c>
      <x:c r="J492" s="34" t="str">
        <x:v>after-final-undeploy-early</x:v>
      </x:c>
      <x:c r="K492" s="36" t="n">
        <x:v>2</x:v>
      </x:c>
      <x:c r="L492" s="34" t="str">
        <x:v>early</x:v>
      </x:c>
      <x:c r="M492" s="34" t="str">
        <x:v>article1-unified-v4-2-fb3f101b-20260903-000401-default-f02-p6-jcs321-5-after-final-undeploy-early-2s</x:v>
      </x:c>
      <x:c r="N492" s="38" t="n">
        <x:v>46267.99097506944</x:v>
      </x:c>
      <x:c r="O492" s="36"/>
      <x:c r="P492" s="43"/>
      <x:c r="Q492" s="43"/>
      <x:c r="R492" s="43"/>
      <x:c r="S492" s="36"/>
      <x:c r="T492" s="44"/>
      <x:c r="U492" s="36" t="n">
        <x:v>37</x:v>
      </x:c>
      <x:c r="V492" s="36" t="n">
        <x:v>10</x:v>
      </x:c>
      <x:c r="W49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492" s="36"/>
      <x:c r="Y492" s="36"/>
      <x:c r="Z492" s="44"/>
      <x:c r="AA492" s="49"/>
      <x:c r="AB492" s="43" t="n">
        <x:v>17</x:v>
      </x:c>
      <x:c r="AC492" s="34"/>
      <x:c r="AD492" s="34"/>
      <x:c r="AE492" s="34" t="str">
        <x:v>article1-unified-v4-2-fb3f101b-20260903-000401-default-f02-p6-jcs321-5-after-final-undeploy-early-2s-thread-dump.txt</x:v>
      </x:c>
      <x:c r="AF492" s="34" t="str">
        <x:v>article1-unified-v4-2-fb3f101b-20260903-000401-default-f02-p6-jcs321-5-after-final-undeploy-early-tomcat-log.txt</x:v>
      </x:c>
      <x:c r="AG492" s="34"/>
      <x:c r="AH492" s="34"/>
      <x:c r="AI492" s="34"/>
    </x:row>
    <x:row r="493">
      <x:c r="A493" s="34" t="str">
        <x:v>article1-unified-v4-2-fb3f101b-20260903-000401-default-f02-p6-jcs321</x:v>
      </x:c>
      <x:c r="B493" s="34" t="str">
        <x:v>default</x:v>
      </x:c>
      <x:c r="C493" s="34" t="str">
        <x:v>jcs321</x:v>
      </x:c>
      <x:c r="D493" s="34" t="str">
        <x:v>jcs321</x:v>
      </x:c>
      <x:c r="E493" s="36" t="n">
        <x:v>2</x:v>
      </x:c>
      <x:c r="F493" s="36" t="n">
        <x:v>2</x:v>
      </x:c>
      <x:c r="G493" s="36" t="n">
        <x:v>6</x:v>
      </x:c>
      <x:c r="H493" s="36" t="n">
        <x:v>5</x:v>
      </x:c>
      <x:c r="I493" s="34" t="str">
        <x:v>afterFinalUndeploy</x:v>
      </x:c>
      <x:c r="J493" s="34" t="str">
        <x:v>after-final-undeploy-final</x:v>
      </x:c>
      <x:c r="K493" s="36" t="n">
        <x:v>2</x:v>
      </x:c>
      <x:c r="L493" s="34" t="str">
        <x:v>final</x:v>
      </x:c>
      <x:c r="M493" s="34" t="str">
        <x:v>article1-unified-v4-2-fb3f101b-20260903-000401-default-f02-p6-jcs321-5-after-final-undeploy-final-10s</x:v>
      </x:c>
      <x:c r="N493" s="38" t="n">
        <x:v>46267.99114144676</x:v>
      </x:c>
      <x:c r="O493" s="36" t="n">
        <x:v>2</x:v>
      </x:c>
      <x:c r="P493" s="43" t="n">
        <x:v>53784576</x:v>
      </x:c>
      <x:c r="Q493" s="43" t="n">
        <x:v>268435456</x:v>
      </x:c>
      <x:c r="R493" s="43" t="n">
        <x:v>636153856</x:v>
      </x:c>
      <x:c r="S493" s="36" t="n">
        <x:v>11</x:v>
      </x:c>
      <x:c r="T493" s="44" t="str">
        <x:v>0x000000006d1177b8  0x000000006d003818  0x00007b21541c89b0    4427  21023744  21007728  org.apache.catalina.loader.ParallelWebappClassLoader | 0x000000006d1177b8  0x000000006d003818  0x00007b2178014480    4433  21038080  21013440  org.apache.catalina.loader.ParallelWebappClassLoader | 0x000000006d1177b8  0x000000006d003818  0x00007b21700079c0    4447  21051392  21028464  org.apache.catalina.loader.ParallelWebappClassLoader | 0x000000006d1177b8  0x000000006d003818  0x00007b216800bb00    4431  21036032  21010232  org.apache.catalina.loader.ParallelWebappClassLoader | 0x000000006d1177b8  0x000000006d003818  0x00007b215806cd90    4456  20988928  20983448  org.apache.catalina.loader.ParallelWebappClassLoader | 0x000000006d1177b8  0x000000006d003818  0x00007b21780a55f0    4436  21028864  21014280  org.apache.catalina.loader.ParallelWebappClassLoader | 0x000000006d1177b8  0x000000006d003818  0x00007b21fc607080       0         0         0  org.apache.catalina.loader.ParallelWebappClassLoader | 0x000000006d1177b8  0x000000006d003818  0x00007b217812b1b0    4436  21042176  21024640  org.apache.catalina.loader.ParallelWebappClassLoader | 0x000000006d1177b8  0x000000006d003818  0x00007b211c1a1c30    4418  20998144  20990392  org.apache.catalina.loader.ParallelWebappClassLoader | 0x000000006d1177b8  0x000000006d003818  0x00007b20f000d2e0    4436  21033984  21019112  org.apache.catalina.loader.ParallelWebappClassLoader | 0x000000006d1177b8  0x000000006d003818  0x00007b217035eac0    4433  21035008  21020704  org.apache.catalina.loader.ParallelWebappClassLoader</x:v>
      </x:c>
      <x:c r="U493" s="36" t="n">
        <x:v>37</x:v>
      </x:c>
      <x:c r="V493" s="36" t="n">
        <x:v>10</x:v>
      </x:c>
      <x:c r="W49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493" s="36" t="n">
        <x:v>10</x:v>
      </x:c>
      <x:c r="Y493" s="36" t="n">
        <x:v>10</x:v>
      </x:c>
      <x:c r="Z493" s="44" t="str">
        <x:v>/jcs321</x:v>
      </x:c>
      <x:c r="AA493" s="45" t="b">
        <x:v>1</x:v>
      </x:c>
      <x:c r="AB493" s="43"/>
      <x:c r="AC493" s="34" t="str">
        <x:v>article1-unified-v4-2-fb3f101b-20260903-000401-default-f02-p6-jcs321-5-after-final-undeploy-final-10s-heap-info.txt</x:v>
      </x:c>
      <x:c r="AD493" s="34" t="str">
        <x:v>article1-unified-v4-2-fb3f101b-20260903-000401-default-f02-p6-jcs321-5-after-final-undeploy-final-10s-classloader-stats.txt</x:v>
      </x:c>
      <x:c r="AE493" s="34" t="str">
        <x:v>article1-unified-v4-2-fb3f101b-20260903-000401-default-f02-p6-jcs321-5-after-final-undeploy-final-10s-thread-dump.txt</x:v>
      </x:c>
      <x:c r="AF493" s="34"/>
      <x:c r="AG493" s="34" t="str">
        <x:v>article1-unified-v4-2-fb3f101b-20260903-000401-default-f02-p6-jcs321-5-after-final-undeploy-final-10s-native-memory.txt</x:v>
      </x:c>
      <x:c r="AH493" s="34" t="str">
        <x:v>article1-unified-v4-2-fb3f101b-20260903-000401-default-f02-p6-jcs321-5-after-final-undeploy-final-10s-class-histogram.txt</x:v>
      </x:c>
      <x:c r="AI493" s="34" t="str">
        <x:v>article1-unified-v4-2-fb3f101b-20260903-000401-default-f02-p6-jcs321-5-after-final-undeploy-tomcat-findleaks.txt</x:v>
      </x:c>
    </x:row>
    <x:row r="494">
      <x:c r="A494" s="34" t="str">
        <x:v>article1-unified-v4-2-fb3f101b-20260903-000401-default-f03-p1-cache2k</x:v>
      </x:c>
      <x:c r="B494" s="34" t="str">
        <x:v>default</x:v>
      </x:c>
      <x:c r="C494" s="34" t="str">
        <x:v>cache2k</x:v>
      </x:c>
      <x:c r="D494" s="34" t="str">
        <x:v>cache2k</x:v>
      </x:c>
      <x:c r="E494" s="36" t="n">
        <x:v>3</x:v>
      </x:c>
      <x:c r="F494" s="36" t="n">
        <x:v>3</x:v>
      </x:c>
      <x:c r="G494" s="36" t="n">
        <x:v>1</x:v>
      </x:c>
      <x:c r="H494" s="36" t="n">
        <x:v>0</x:v>
      </x:c>
      <x:c r="I494" s="34" t="str">
        <x:v>processBaseline</x:v>
      </x:c>
      <x:c r="J494" s="34" t="str">
        <x:v>process-baseline</x:v>
      </x:c>
      <x:c r="K494" s="36" t="n">
        <x:v>0</x:v>
      </x:c>
      <x:c r="L494" s="34" t="str">
        <x:v>baseline</x:v>
      </x:c>
      <x:c r="M494" s="34" t="str">
        <x:v>article1-unified-v4-2-fb3f101b-20260903-000401-default-f03-p1-cache2k-process-baseline</x:v>
      </x:c>
      <x:c r="N494" s="38" t="n">
        <x:v>46267.99141859954</x:v>
      </x:c>
      <x:c r="O494" s="36" t="n">
        <x:v>0</x:v>
      </x:c>
      <x:c r="P494" s="43" t="n">
        <x:v>32772096</x:v>
      </x:c>
      <x:c r="Q494" s="43" t="n">
        <x:v>270532608</x:v>
      </x:c>
      <x:c r="R494" s="43" t="n">
        <x:v>369408000</x:v>
      </x:c>
      <x:c r="S494" s="36" t="n">
        <x:v>1</x:v>
      </x:c>
      <x:c r="T494" s="44" t="str">
        <x:v>0x00000000561177b8  0x0000000056003818  0x00007b136c62db10       0         0         0  org.apache.catalina.loader.ParallelWebappClassLoader</x:v>
      </x:c>
      <x:c r="U494" s="36" t="n">
        <x:v>27</x:v>
      </x:c>
      <x:c r="V494" s="36" t="n">
        <x:v>0</x:v>
      </x:c>
      <x:c r="W494" s="44"/>
      <x:c r="X494" s="36"/>
      <x:c r="Y494" s="36"/>
      <x:c r="Z494" s="44"/>
      <x:c r="AA494" s="49"/>
      <x:c r="AB494" s="43"/>
      <x:c r="AC494" s="34" t="str">
        <x:v>article1-unified-v4-2-fb3f101b-20260903-000401-default-f03-p1-cache2k-process-baseline-heap-info.txt</x:v>
      </x:c>
      <x:c r="AD494" s="34" t="str">
        <x:v>article1-unified-v4-2-fb3f101b-20260903-000401-default-f03-p1-cache2k-process-baseline-classloader-stats.txt</x:v>
      </x:c>
      <x:c r="AE494" s="34" t="str">
        <x:v>article1-unified-v4-2-fb3f101b-20260903-000401-default-f03-p1-cache2k-process-baseline-thread-dump.txt</x:v>
      </x:c>
      <x:c r="AF494" s="34"/>
      <x:c r="AG494" s="34" t="str">
        <x:v>article1-unified-v4-2-fb3f101b-20260903-000401-default-f03-p1-cache2k-process-baseline-native-memory.txt</x:v>
      </x:c>
      <x:c r="AH494" s="34"/>
      <x:c r="AI494" s="34"/>
    </x:row>
    <x:row r="495">
      <x:c r="A495" s="34" t="str">
        <x:v>article1-unified-v4-2-fb3f101b-20260903-000401-default-f03-p1-cache2k</x:v>
      </x:c>
      <x:c r="B495" s="34" t="str">
        <x:v>default</x:v>
      </x:c>
      <x:c r="C495" s="34" t="str">
        <x:v>cache2k</x:v>
      </x:c>
      <x:c r="D495" s="34" t="str">
        <x:v>cache2k</x:v>
      </x:c>
      <x:c r="E495" s="36" t="n">
        <x:v>3</x:v>
      </x:c>
      <x:c r="F495" s="36" t="n">
        <x:v>3</x:v>
      </x:c>
      <x:c r="G495" s="36" t="n">
        <x:v>1</x:v>
      </x:c>
      <x:c r="H495" s="36" t="n">
        <x:v>1</x:v>
      </x:c>
      <x:c r="I495" s="34" t="str">
        <x:v>baseline</x:v>
      </x:c>
      <x:c r="J495" s="34" t="str">
        <x:v>cycle-baseline</x:v>
      </x:c>
      <x:c r="K495" s="36" t="n">
        <x:v>0</x:v>
      </x:c>
      <x:c r="L495" s="34" t="str">
        <x:v>baseline</x:v>
      </x:c>
      <x:c r="M495" s="34" t="str">
        <x:v>article1-unified-v4-2-fb3f101b-20260903-000401-default-f03-p1-cache2k-1-baseline</x:v>
      </x:c>
      <x:c r="N495" s="38" t="n">
        <x:v>46267.99162434028</x:v>
      </x:c>
      <x:c r="O495" s="36" t="n">
        <x:v>0</x:v>
      </x:c>
      <x:c r="P495" s="43" t="n">
        <x:v>32772096</x:v>
      </x:c>
      <x:c r="Q495" s="43" t="n">
        <x:v>270532608</x:v>
      </x:c>
      <x:c r="R495" s="43" t="n">
        <x:v>369337344</x:v>
      </x:c>
      <x:c r="S495" s="36" t="n">
        <x:v>1</x:v>
      </x:c>
      <x:c r="T495" s="44" t="str">
        <x:v>0x00000000561177b8  0x0000000056003818  0x00007b136c62db10       0         0         0  org.apache.catalina.loader.ParallelWebappClassLoader</x:v>
      </x:c>
      <x:c r="U495" s="36" t="n">
        <x:v>27</x:v>
      </x:c>
      <x:c r="V495" s="36" t="n">
        <x:v>0</x:v>
      </x:c>
      <x:c r="W495" s="44"/>
      <x:c r="X495" s="36"/>
      <x:c r="Y495" s="36"/>
      <x:c r="Z495" s="44"/>
      <x:c r="AA495" s="49"/>
      <x:c r="AB495" s="43"/>
      <x:c r="AC495" s="34" t="str">
        <x:v>article1-unified-v4-2-fb3f101b-20260903-000401-default-f03-p1-cache2k-1-baseline-heap-info.txt</x:v>
      </x:c>
      <x:c r="AD495" s="34" t="str">
        <x:v>article1-unified-v4-2-fb3f101b-20260903-000401-default-f03-p1-cache2k-1-baseline-classloader-stats.txt</x:v>
      </x:c>
      <x:c r="AE495" s="34" t="str">
        <x:v>article1-unified-v4-2-fb3f101b-20260903-000401-default-f03-p1-cache2k-1-baseline-thread-dump.txt</x:v>
      </x:c>
      <x:c r="AF495" s="34"/>
      <x:c r="AG495" s="34" t="str">
        <x:v>article1-unified-v4-2-fb3f101b-20260903-000401-default-f03-p1-cache2k-1-baseline-native-memory.txt</x:v>
      </x:c>
      <x:c r="AH495" s="34"/>
      <x:c r="AI495" s="34"/>
    </x:row>
    <x:row r="496">
      <x:c r="A496" s="34" t="str">
        <x:v>article1-unified-v4-2-fb3f101b-20260903-000401-default-f03-p1-cache2k</x:v>
      </x:c>
      <x:c r="B496" s="34" t="str">
        <x:v>default</x:v>
      </x:c>
      <x:c r="C496" s="34" t="str">
        <x:v>cache2k</x:v>
      </x:c>
      <x:c r="D496" s="34" t="str">
        <x:v>cache2k</x:v>
      </x:c>
      <x:c r="E496" s="36" t="n">
        <x:v>3</x:v>
      </x:c>
      <x:c r="F496" s="36" t="n">
        <x:v>3</x:v>
      </x:c>
      <x:c r="G496" s="36" t="n">
        <x:v>1</x:v>
      </x:c>
      <x:c r="H496" s="36" t="n">
        <x:v>1</x:v>
      </x:c>
      <x:c r="I496" s="34" t="str">
        <x:v>deployedIdle</x:v>
      </x:c>
      <x:c r="J496" s="34" t="str">
        <x:v>deployed-idle</x:v>
      </x:c>
      <x:c r="K496" s="36" t="n">
        <x:v>0</x:v>
      </x:c>
      <x:c r="L496" s="34" t="str">
        <x:v>initial</x:v>
      </x:c>
      <x:c r="M496" s="34" t="str">
        <x:v>article1-unified-v4-2-fb3f101b-20260903-000401-default-f03-p1-cache2k-1-deployed-idle</x:v>
      </x:c>
      <x:c r="N496" s="38" t="n">
        <x:v>46267.9917352662</x:v>
      </x:c>
      <x:c r="O496" s="36" t="n">
        <x:v>0</x:v>
      </x:c>
      <x:c r="P496" s="43" t="n">
        <x:v>22806528</x:v>
      </x:c>
      <x:c r="Q496" s="43" t="n">
        <x:v>268435456</x:v>
      </x:c>
      <x:c r="R496" s="43" t="n">
        <x:v>407635968</x:v>
      </x:c>
      <x:c r="S496" s="36" t="n">
        <x:v>2</x:v>
      </x:c>
      <x:c r="T496" s="44" t="str">
        <x:v>0x00000000561177b8  0x0000000056003818  0x00007b12c003e170    4091  19409920  19404096  org.apache.catalina.loader.ParallelWebappClassLoader | 0x00000000561177b8  0x0000000056003818  0x00007b136c62db10       0         0         0  org.apache.catalina.loader.ParallelWebappClassLoader</x:v>
      </x:c>
      <x:c r="U496" s="36" t="n">
        <x:v>27</x:v>
      </x:c>
      <x:c r="V496" s="36" t="n">
        <x:v>0</x:v>
      </x:c>
      <x:c r="W496" s="44"/>
      <x:c r="X496" s="36"/>
      <x:c r="Y496" s="36"/>
      <x:c r="Z496" s="44"/>
      <x:c r="AA496" s="49"/>
      <x:c r="AB496" s="43"/>
      <x:c r="AC496" s="34"/>
      <x:c r="AD496" s="34"/>
      <x:c r="AE496" s="34"/>
      <x:c r="AF496" s="34"/>
      <x:c r="AG496" s="34"/>
      <x:c r="AH496" s="34"/>
      <x:c r="AI496" s="34"/>
    </x:row>
    <x:row r="497">
      <x:c r="A497" s="34" t="str">
        <x:v>article1-unified-v4-2-fb3f101b-20260903-000401-default-f03-p1-cache2k</x:v>
      </x:c>
      <x:c r="B497" s="34" t="str">
        <x:v>default</x:v>
      </x:c>
      <x:c r="C497" s="34" t="str">
        <x:v>cache2k</x:v>
      </x:c>
      <x:c r="D497" s="34" t="str">
        <x:v>cache2k</x:v>
      </x:c>
      <x:c r="E497" s="36" t="n">
        <x:v>3</x:v>
      </x:c>
      <x:c r="F497" s="36" t="n">
        <x:v>3</x:v>
      </x:c>
      <x:c r="G497" s="36" t="n">
        <x:v>1</x:v>
      </x:c>
      <x:c r="H497" s="36" t="n">
        <x:v>1</x:v>
      </x:c>
      <x:c r="I497" s="34" t="str">
        <x:v>loaded</x:v>
      </x:c>
      <x:c r="J497" s="34" t="str">
        <x:v>loaded</x:v>
      </x:c>
      <x:c r="K497" s="36" t="n">
        <x:v>0</x:v>
      </x:c>
      <x:c r="L497" s="34" t="str">
        <x:v>initial</x:v>
      </x:c>
      <x:c r="M497" s="34" t="str">
        <x:v>article1-unified-v4-2-fb3f101b-20260903-000401-default-f03-p1-cache2k-1-loaded</x:v>
      </x:c>
      <x:c r="N497" s="38" t="n">
        <x:v>46267.99189091435</x:v>
      </x:c>
      <x:c r="O497" s="36" t="n">
        <x:v>0</x:v>
      </x:c>
      <x:c r="P497" s="43" t="n">
        <x:v>217647104</x:v>
      </x:c>
      <x:c r="Q497" s="43" t="n">
        <x:v>268435456</x:v>
      </x:c>
      <x:c r="R497" s="43" t="n">
        <x:v>418127872</x:v>
      </x:c>
      <x:c r="S497" s="36" t="n">
        <x:v>2</x:v>
      </x:c>
      <x:c r="T497" s="44" t="str">
        <x:v>0x00000000561177b8  0x0000000056003818  0x00007b136c62db10       0         0         0  org.apache.catalina.loader.ParallelWebappClassLoader | 0x00000000561177b8  0x0000000056003818  0x00007b12c003e170    4449  21213184  21204576  org.apache.catalina.loader.ParallelWebappClassLoader</x:v>
      </x:c>
      <x:c r="U497" s="36" t="n">
        <x:v>28</x:v>
      </x:c>
      <x:c r="V497" s="36" t="n">
        <x:v>0</x:v>
      </x:c>
      <x:c r="W497" s="44"/>
      <x:c r="X497" s="36"/>
      <x:c r="Y497" s="36"/>
      <x:c r="Z497" s="44"/>
      <x:c r="AA497" s="49"/>
      <x:c r="AB497" s="43"/>
      <x:c r="AC497" s="34"/>
      <x:c r="AD497" s="34"/>
      <x:c r="AE497" s="34"/>
      <x:c r="AF497" s="34"/>
      <x:c r="AG497" s="34"/>
      <x:c r="AH497" s="34"/>
      <x:c r="AI497" s="34"/>
    </x:row>
    <x:row r="498">
      <x:c r="A498" s="34" t="str">
        <x:v>article1-unified-v4-2-fb3f101b-20260903-000401-default-f03-p1-cache2k</x:v>
      </x:c>
      <x:c r="B498" s="34" t="str">
        <x:v>default</x:v>
      </x:c>
      <x:c r="C498" s="34" t="str">
        <x:v>cache2k</x:v>
      </x:c>
      <x:c r="D498" s="34" t="str">
        <x:v>cache2k</x:v>
      </x:c>
      <x:c r="E498" s="36" t="n">
        <x:v>3</x:v>
      </x:c>
      <x:c r="F498" s="36" t="n">
        <x:v>3</x:v>
      </x:c>
      <x:c r="G498" s="36" t="n">
        <x:v>1</x:v>
      </x:c>
      <x:c r="H498" s="36" t="n">
        <x:v>1</x:v>
      </x:c>
      <x:c r="I498" s="34" t="str">
        <x:v>afterUndeployEarly</x:v>
      </x:c>
      <x:c r="J498" s="34" t="str">
        <x:v>after-undeploy-early</x:v>
      </x:c>
      <x:c r="K498" s="36" t="n">
        <x:v>1</x:v>
      </x:c>
      <x:c r="L498" s="34" t="str">
        <x:v>early</x:v>
      </x:c>
      <x:c r="M498" s="34" t="str">
        <x:v>article1-unified-v4-2-fb3f101b-20260903-000401-default-f03-p1-cache2k-1-after-undeploy-early-2s</x:v>
      </x:c>
      <x:c r="N498" s="38" t="n">
        <x:v>46267.99198104167</x:v>
      </x:c>
      <x:c r="O498" s="36"/>
      <x:c r="P498" s="43"/>
      <x:c r="Q498" s="43"/>
      <x:c r="R498" s="43"/>
      <x:c r="S498" s="36"/>
      <x:c r="T498" s="44"/>
      <x:c r="U498" s="36" t="n">
        <x:v>27</x:v>
      </x:c>
      <x:c r="V498" s="36" t="n">
        <x:v>0</x:v>
      </x:c>
      <x:c r="W498" s="44"/>
      <x:c r="X498" s="36"/>
      <x:c r="Y498" s="36"/>
      <x:c r="Z498" s="44"/>
      <x:c r="AA498" s="49"/>
      <x:c r="AB498" s="43" t="n">
        <x:v>1</x:v>
      </x:c>
      <x:c r="AC498" s="34"/>
      <x:c r="AD498" s="34"/>
      <x:c r="AE498" s="34" t="str">
        <x:v>article1-unified-v4-2-fb3f101b-20260903-000401-default-f03-p1-cache2k-1-after-undeploy-early-2s-thread-dump.txt</x:v>
      </x:c>
      <x:c r="AF498" s="34" t="str">
        <x:v>article1-unified-v4-2-fb3f101b-20260903-000401-default-f03-p1-cache2k-1-after-undeploy-early-tomcat-log.txt</x:v>
      </x:c>
      <x:c r="AG498" s="34"/>
      <x:c r="AH498" s="34"/>
      <x:c r="AI498" s="34"/>
    </x:row>
    <x:row r="499">
      <x:c r="A499" s="34" t="str">
        <x:v>article1-unified-v4-2-fb3f101b-20260903-000401-default-f03-p1-cache2k</x:v>
      </x:c>
      <x:c r="B499" s="34" t="str">
        <x:v>default</x:v>
      </x:c>
      <x:c r="C499" s="34" t="str">
        <x:v>cache2k</x:v>
      </x:c>
      <x:c r="D499" s="34" t="str">
        <x:v>cache2k</x:v>
      </x:c>
      <x:c r="E499" s="36" t="n">
        <x:v>3</x:v>
      </x:c>
      <x:c r="F499" s="36" t="n">
        <x:v>3</x:v>
      </x:c>
      <x:c r="G499" s="36" t="n">
        <x:v>1</x:v>
      </x:c>
      <x:c r="H499" s="36" t="n">
        <x:v>1</x:v>
      </x:c>
      <x:c r="I499" s="34" t="str">
        <x:v>afterUndeploy</x:v>
      </x:c>
      <x:c r="J499" s="34" t="str">
        <x:v>after-undeploy-final</x:v>
      </x:c>
      <x:c r="K499" s="36" t="n">
        <x:v>1</x:v>
      </x:c>
      <x:c r="L499" s="34" t="str">
        <x:v>final</x:v>
      </x:c>
      <x:c r="M499" s="34" t="str">
        <x:v>article1-unified-v4-2-fb3f101b-20260903-000401-default-f03-p1-cache2k-1-after-undeploy-final-10s</x:v>
      </x:c>
      <x:c r="N499" s="38" t="n">
        <x:v>46267.99213820602</x:v>
      </x:c>
      <x:c r="O499" s="36" t="n">
        <x:v>2</x:v>
      </x:c>
      <x:c r="P499" s="43" t="n">
        <x:v>15533056</x:v>
      </x:c>
      <x:c r="Q499" s="43" t="n">
        <x:v>268435456</x:v>
      </x:c>
      <x:c r="R499" s="43" t="n">
        <x:v>409999360</x:v>
      </x:c>
      <x:c r="S499" s="36" t="n">
        <x:v>2</x:v>
      </x:c>
      <x:c r="T499" s="44" t="str">
        <x:v>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</x:v>
      </x:c>
      <x:c r="U499" s="36" t="n">
        <x:v>27</x:v>
      </x:c>
      <x:c r="V499" s="36" t="n">
        <x:v>0</x:v>
      </x:c>
      <x:c r="W499" s="44"/>
      <x:c r="X499" s="36" t="n">
        <x:v>1</x:v>
      </x:c>
      <x:c r="Y499" s="36" t="n">
        <x:v>1</x:v>
      </x:c>
      <x:c r="Z499" s="44" t="str">
        <x:v>/cache2k</x:v>
      </x:c>
      <x:c r="AA499" s="45" t="b">
        <x:v>1</x:v>
      </x:c>
      <x:c r="AB499" s="43"/>
      <x:c r="AC499" s="34" t="str">
        <x:v>article1-unified-v4-2-fb3f101b-20260903-000401-default-f03-p1-cache2k-1-after-undeploy-final-10s-heap-info.txt</x:v>
      </x:c>
      <x:c r="AD499" s="34" t="str">
        <x:v>article1-unified-v4-2-fb3f101b-20260903-000401-default-f03-p1-cache2k-1-after-undeploy-final-10s-classloader-stats.txt</x:v>
      </x:c>
      <x:c r="AE499" s="34" t="str">
        <x:v>article1-unified-v4-2-fb3f101b-20260903-000401-default-f03-p1-cache2k-1-after-undeploy-final-10s-thread-dump.txt</x:v>
      </x:c>
      <x:c r="AF499" s="34"/>
      <x:c r="AG499" s="34" t="str">
        <x:v>article1-unified-v4-2-fb3f101b-20260903-000401-default-f03-p1-cache2k-1-after-undeploy-final-10s-native-memory.txt</x:v>
      </x:c>
      <x:c r="AH499" s="34" t="str">
        <x:v>article1-unified-v4-2-fb3f101b-20260903-000401-default-f03-p1-cache2k-1-after-undeploy-final-10s-class-histogram.txt</x:v>
      </x:c>
      <x:c r="AI499" s="34" t="str">
        <x:v>article1-unified-v4-2-fb3f101b-20260903-000401-default-f03-p1-cache2k-1-after-undeploy-tomcat-findleaks.txt</x:v>
      </x:c>
    </x:row>
    <x:row r="500">
      <x:c r="A500" s="34" t="str">
        <x:v>article1-unified-v4-2-fb3f101b-20260903-000401-default-f03-p1-cache2k</x:v>
      </x:c>
      <x:c r="B500" s="34" t="str">
        <x:v>default</x:v>
      </x:c>
      <x:c r="C500" s="34" t="str">
        <x:v>cache2k</x:v>
      </x:c>
      <x:c r="D500" s="34" t="str">
        <x:v>cache2k</x:v>
      </x:c>
      <x:c r="E500" s="36" t="n">
        <x:v>3</x:v>
      </x:c>
      <x:c r="F500" s="36" t="n">
        <x:v>3</x:v>
      </x:c>
      <x:c r="G500" s="36" t="n">
        <x:v>1</x:v>
      </x:c>
      <x:c r="H500" s="36" t="n">
        <x:v>1</x:v>
      </x:c>
      <x:c r="I500" s="34" t="str">
        <x:v>redeployedLoaded</x:v>
      </x:c>
      <x:c r="J500" s="34" t="str">
        <x:v>redeployed-loaded</x:v>
      </x:c>
      <x:c r="K500" s="36" t="n">
        <x:v>0</x:v>
      </x:c>
      <x:c r="L500" s="34" t="str">
        <x:v>redeploy</x:v>
      </x:c>
      <x:c r="M500" s="34" t="str">
        <x:v>article1-unified-v4-2-fb3f101b-20260903-000401-default-f03-p1-cache2k-1-redeployed-loaded</x:v>
      </x:c>
      <x:c r="N500" s="38" t="n">
        <x:v>46267.9924002662</x:v>
      </x:c>
      <x:c r="O500" s="36" t="n">
        <x:v>0</x:v>
      </x:c>
      <x:c r="P500" s="43" t="n">
        <x:v>91966464</x:v>
      </x:c>
      <x:c r="Q500" s="43" t="n">
        <x:v>268435456</x:v>
      </x:c>
      <x:c r="R500" s="43" t="n">
        <x:v>437502976</x:v>
      </x:c>
      <x:c r="S500" s="36" t="n">
        <x:v>3</x:v>
      </x:c>
      <x:c r="T500" s="44" t="str">
        <x:v>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 | 0x00000000561177b8  0x0000000056003818  0x00007b12d8007d00    4442  21270528  21264800  org.apache.catalina.loader.ParallelWebappClassLoader</x:v>
      </x:c>
      <x:c r="U500" s="36" t="n">
        <x:v>28</x:v>
      </x:c>
      <x:c r="V500" s="36" t="n">
        <x:v>0</x:v>
      </x:c>
      <x:c r="W500" s="44"/>
      <x:c r="X500" s="36"/>
      <x:c r="Y500" s="36"/>
      <x:c r="Z500" s="44"/>
      <x:c r="AA500" s="49"/>
      <x:c r="AB500" s="43"/>
      <x:c r="AC500" s="34"/>
      <x:c r="AD500" s="34"/>
      <x:c r="AE500" s="34"/>
      <x:c r="AF500" s="34"/>
      <x:c r="AG500" s="34"/>
      <x:c r="AH500" s="34"/>
      <x:c r="AI500" s="34"/>
    </x:row>
    <x:row r="501">
      <x:c r="A501" s="34" t="str">
        <x:v>article1-unified-v4-2-fb3f101b-20260903-000401-default-f03-p1-cache2k</x:v>
      </x:c>
      <x:c r="B501" s="34" t="str">
        <x:v>default</x:v>
      </x:c>
      <x:c r="C501" s="34" t="str">
        <x:v>cache2k</x:v>
      </x:c>
      <x:c r="D501" s="34" t="str">
        <x:v>cache2k</x:v>
      </x:c>
      <x:c r="E501" s="36" t="n">
        <x:v>3</x:v>
      </x:c>
      <x:c r="F501" s="36" t="n">
        <x:v>3</x:v>
      </x:c>
      <x:c r="G501" s="36" t="n">
        <x:v>1</x:v>
      </x:c>
      <x:c r="H501" s="36" t="n">
        <x:v>1</x:v>
      </x:c>
      <x:c r="I501" s="34" t="str">
        <x:v>afterFinalUndeployEarly</x:v>
      </x:c>
      <x:c r="J501" s="34" t="str">
        <x:v>after-final-undeploy-early</x:v>
      </x:c>
      <x:c r="K501" s="36" t="n">
        <x:v>2</x:v>
      </x:c>
      <x:c r="L501" s="34" t="str">
        <x:v>early</x:v>
      </x:c>
      <x:c r="M501" s="34" t="str">
        <x:v>article1-unified-v4-2-fb3f101b-20260903-000401-default-f03-p1-cache2k-1-after-final-undeploy-early-2s</x:v>
      </x:c>
      <x:c r="N501" s="38" t="n">
        <x:v>46267.99248550926</x:v>
      </x:c>
      <x:c r="O501" s="36"/>
      <x:c r="P501" s="43"/>
      <x:c r="Q501" s="43"/>
      <x:c r="R501" s="43"/>
      <x:c r="S501" s="36"/>
      <x:c r="T501" s="44"/>
      <x:c r="U501" s="36" t="n">
        <x:v>27</x:v>
      </x:c>
      <x:c r="V501" s="36" t="n">
        <x:v>0</x:v>
      </x:c>
      <x:c r="W501" s="44"/>
      <x:c r="X501" s="36"/>
      <x:c r="Y501" s="36"/>
      <x:c r="Z501" s="44"/>
      <x:c r="AA501" s="49"/>
      <x:c r="AB501" s="43" t="n">
        <x:v>1</x:v>
      </x:c>
      <x:c r="AC501" s="34"/>
      <x:c r="AD501" s="34"/>
      <x:c r="AE501" s="34" t="str">
        <x:v>article1-unified-v4-2-fb3f101b-20260903-000401-default-f03-p1-cache2k-1-after-final-undeploy-early-2s-thread-dump.txt</x:v>
      </x:c>
      <x:c r="AF501" s="34" t="str">
        <x:v>article1-unified-v4-2-fb3f101b-20260903-000401-default-f03-p1-cache2k-1-after-final-undeploy-early-tomcat-log.txt</x:v>
      </x:c>
      <x:c r="AG501" s="34"/>
      <x:c r="AH501" s="34"/>
      <x:c r="AI501" s="34"/>
    </x:row>
    <x:row r="502">
      <x:c r="A502" s="34" t="str">
        <x:v>article1-unified-v4-2-fb3f101b-20260903-000401-default-f03-p1-cache2k</x:v>
      </x:c>
      <x:c r="B502" s="34" t="str">
        <x:v>default</x:v>
      </x:c>
      <x:c r="C502" s="34" t="str">
        <x:v>cache2k</x:v>
      </x:c>
      <x:c r="D502" s="34" t="str">
        <x:v>cache2k</x:v>
      </x:c>
      <x:c r="E502" s="36" t="n">
        <x:v>3</x:v>
      </x:c>
      <x:c r="F502" s="36" t="n">
        <x:v>3</x:v>
      </x:c>
      <x:c r="G502" s="36" t="n">
        <x:v>1</x:v>
      </x:c>
      <x:c r="H502" s="36" t="n">
        <x:v>1</x:v>
      </x:c>
      <x:c r="I502" s="34" t="str">
        <x:v>afterFinalUndeploy</x:v>
      </x:c>
      <x:c r="J502" s="34" t="str">
        <x:v>after-final-undeploy-final</x:v>
      </x:c>
      <x:c r="K502" s="36" t="n">
        <x:v>2</x:v>
      </x:c>
      <x:c r="L502" s="34" t="str">
        <x:v>final</x:v>
      </x:c>
      <x:c r="M502" s="34" t="str">
        <x:v>article1-unified-v4-2-fb3f101b-20260903-000401-default-f03-p1-cache2k-1-after-final-undeploy-final-10s</x:v>
      </x:c>
      <x:c r="N502" s="38" t="n">
        <x:v>46267.99264179398</x:v>
      </x:c>
      <x:c r="O502" s="36" t="n">
        <x:v>2</x:v>
      </x:c>
      <x:c r="P502" s="43" t="n">
        <x:v>19661824</x:v>
      </x:c>
      <x:c r="Q502" s="43" t="n">
        <x:v>268435456</x:v>
      </x:c>
      <x:c r="R502" s="43" t="n">
        <x:v>436306944</x:v>
      </x:c>
      <x:c r="S502" s="36" t="n">
        <x:v>3</x:v>
      </x:c>
      <x:c r="T502" s="44" t="str">
        <x:v>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 | 0x00000000561177b8  0x0000000056003818  0x00007b12d8007d00    4452  21319680  21293480  org.apache.catalina.loader.ParallelWebappClassLoader</x:v>
      </x:c>
      <x:c r="U502" s="36" t="n">
        <x:v>27</x:v>
      </x:c>
      <x:c r="V502" s="36" t="n">
        <x:v>0</x:v>
      </x:c>
      <x:c r="W502" s="44"/>
      <x:c r="X502" s="36" t="n">
        <x:v>2</x:v>
      </x:c>
      <x:c r="Y502" s="36" t="n">
        <x:v>2</x:v>
      </x:c>
      <x:c r="Z502" s="44" t="str">
        <x:v>/cache2k</x:v>
      </x:c>
      <x:c r="AA502" s="45" t="b">
        <x:v>1</x:v>
      </x:c>
      <x:c r="AB502" s="43"/>
      <x:c r="AC502" s="34" t="str">
        <x:v>article1-unified-v4-2-fb3f101b-20260903-000401-default-f03-p1-cache2k-1-after-final-undeploy-final-10s-heap-info.txt</x:v>
      </x:c>
      <x:c r="AD502" s="34" t="str">
        <x:v>article1-unified-v4-2-fb3f101b-20260903-000401-default-f03-p1-cache2k-1-after-final-undeploy-final-10s-classloader-stats.txt</x:v>
      </x:c>
      <x:c r="AE502" s="34" t="str">
        <x:v>article1-unified-v4-2-fb3f101b-20260903-000401-default-f03-p1-cache2k-1-after-final-undeploy-final-10s-thread-dump.txt</x:v>
      </x:c>
      <x:c r="AF502" s="34"/>
      <x:c r="AG502" s="34" t="str">
        <x:v>article1-unified-v4-2-fb3f101b-20260903-000401-default-f03-p1-cache2k-1-after-final-undeploy-final-10s-native-memory.txt</x:v>
      </x:c>
      <x:c r="AH502" s="34" t="str">
        <x:v>article1-unified-v4-2-fb3f101b-20260903-000401-default-f03-p1-cache2k-1-after-final-undeploy-final-10s-class-histogram.txt</x:v>
      </x:c>
      <x:c r="AI502" s="34" t="str">
        <x:v>article1-unified-v4-2-fb3f101b-20260903-000401-default-f03-p1-cache2k-1-after-final-undeploy-tomcat-findleaks.txt</x:v>
      </x:c>
    </x:row>
    <x:row r="503">
      <x:c r="A503" s="34" t="str">
        <x:v>article1-unified-v4-2-fb3f101b-20260903-000401-default-f03-p1-cache2k</x:v>
      </x:c>
      <x:c r="B503" s="34" t="str">
        <x:v>default</x:v>
      </x:c>
      <x:c r="C503" s="34" t="str">
        <x:v>cache2k</x:v>
      </x:c>
      <x:c r="D503" s="34" t="str">
        <x:v>cache2k</x:v>
      </x:c>
      <x:c r="E503" s="36" t="n">
        <x:v>3</x:v>
      </x:c>
      <x:c r="F503" s="36" t="n">
        <x:v>3</x:v>
      </x:c>
      <x:c r="G503" s="36" t="n">
        <x:v>1</x:v>
      </x:c>
      <x:c r="H503" s="36" t="n">
        <x:v>2</x:v>
      </x:c>
      <x:c r="I503" s="34" t="str">
        <x:v>baseline</x:v>
      </x:c>
      <x:c r="J503" s="34" t="str">
        <x:v>cycle-baseline</x:v>
      </x:c>
      <x:c r="K503" s="36" t="n">
        <x:v>0</x:v>
      </x:c>
      <x:c r="L503" s="34" t="str">
        <x:v>baseline</x:v>
      </x:c>
      <x:c r="M503" s="34" t="str">
        <x:v>article1-unified-v4-2-fb3f101b-20260903-000401-default-f03-p1-cache2k-2-baseline</x:v>
      </x:c>
      <x:c r="N503" s="38" t="n">
        <x:v>46267.99268287037</x:v>
      </x:c>
      <x:c r="O503" s="36" t="n">
        <x:v>0</x:v>
      </x:c>
      <x:c r="P503" s="43" t="n">
        <x:v>19749888</x:v>
      </x:c>
      <x:c r="Q503" s="43" t="n">
        <x:v>268435456</x:v>
      </x:c>
      <x:c r="R503" s="43" t="n">
        <x:v>436241408</x:v>
      </x:c>
      <x:c r="S503" s="36" t="n">
        <x:v>3</x:v>
      </x:c>
      <x:c r="T503" s="44" t="str">
        <x:v>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 | 0x00000000561177b8  0x0000000056003818  0x00007b12d8007d00    4452  21319680  21293480  org.apache.catalina.loader.ParallelWebappClassLoader</x:v>
      </x:c>
      <x:c r="U503" s="36" t="n">
        <x:v>27</x:v>
      </x:c>
      <x:c r="V503" s="36" t="n">
        <x:v>0</x:v>
      </x:c>
      <x:c r="W503" s="44"/>
      <x:c r="X503" s="36"/>
      <x:c r="Y503" s="36"/>
      <x:c r="Z503" s="44"/>
      <x:c r="AA503" s="49"/>
      <x:c r="AB503" s="43"/>
      <x:c r="AC503" s="34" t="str">
        <x:v>article1-unified-v4-2-fb3f101b-20260903-000401-default-f03-p1-cache2k-2-baseline-heap-info.txt</x:v>
      </x:c>
      <x:c r="AD503" s="34" t="str">
        <x:v>article1-unified-v4-2-fb3f101b-20260903-000401-default-f03-p1-cache2k-2-baseline-classloader-stats.txt</x:v>
      </x:c>
      <x:c r="AE503" s="34" t="str">
        <x:v>article1-unified-v4-2-fb3f101b-20260903-000401-default-f03-p1-cache2k-2-baseline-thread-dump.txt</x:v>
      </x:c>
      <x:c r="AF503" s="34"/>
      <x:c r="AG503" s="34" t="str">
        <x:v>article1-unified-v4-2-fb3f101b-20260903-000401-default-f03-p1-cache2k-2-baseline-native-memory.txt</x:v>
      </x:c>
      <x:c r="AH503" s="34"/>
      <x:c r="AI503" s="34"/>
    </x:row>
    <x:row r="504">
      <x:c r="A504" s="34" t="str">
        <x:v>article1-unified-v4-2-fb3f101b-20260903-000401-default-f03-p1-cache2k</x:v>
      </x:c>
      <x:c r="B504" s="34" t="str">
        <x:v>default</x:v>
      </x:c>
      <x:c r="C504" s="34" t="str">
        <x:v>cache2k</x:v>
      </x:c>
      <x:c r="D504" s="34" t="str">
        <x:v>cache2k</x:v>
      </x:c>
      <x:c r="E504" s="36" t="n">
        <x:v>3</x:v>
      </x:c>
      <x:c r="F504" s="36" t="n">
        <x:v>3</x:v>
      </x:c>
      <x:c r="G504" s="36" t="n">
        <x:v>1</x:v>
      </x:c>
      <x:c r="H504" s="36" t="n">
        <x:v>2</x:v>
      </x:c>
      <x:c r="I504" s="34" t="str">
        <x:v>deployedIdle</x:v>
      </x:c>
      <x:c r="J504" s="34" t="str">
        <x:v>deployed-idle</x:v>
      </x:c>
      <x:c r="K504" s="36" t="n">
        <x:v>0</x:v>
      </x:c>
      <x:c r="L504" s="34" t="str">
        <x:v>initial</x:v>
      </x:c>
      <x:c r="M504" s="34" t="str">
        <x:v>article1-unified-v4-2-fb3f101b-20260903-000401-default-f03-p1-cache2k-2-deployed-idle</x:v>
      </x:c>
      <x:c r="N504" s="38" t="n">
        <x:v>46267.9927791088</x:v>
      </x:c>
      <x:c r="O504" s="36" t="n">
        <x:v>0</x:v>
      </x:c>
      <x:c r="P504" s="43" t="n">
        <x:v>173611008</x:v>
      </x:c>
      <x:c r="Q504" s="43" t="n">
        <x:v>268435456</x:v>
      </x:c>
      <x:c r="R504" s="43" t="n">
        <x:v>460893184</x:v>
      </x:c>
      <x:c r="S504" s="36" t="n">
        <x:v>4</x:v>
      </x:c>
      <x:c r="T504" s="44" t="str">
        <x:v>0x00000000561177b8  0x0000000056003818  0x00007b12d4009b50    4091  19462144  19434856  org.apache.catalina.loader.ParallelWebappClassLoader | 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 | 0x00000000561177b8  0x0000000056003818  0x00007b12d8007d00    4452  21319680  21293480  org.apache.catalina.loader.ParallelWebappClassLoader</x:v>
      </x:c>
      <x:c r="U504" s="36" t="n">
        <x:v>28</x:v>
      </x:c>
      <x:c r="V504" s="36" t="n">
        <x:v>0</x:v>
      </x:c>
      <x:c r="W504" s="44"/>
      <x:c r="X504" s="36"/>
      <x:c r="Y504" s="36"/>
      <x:c r="Z504" s="44"/>
      <x:c r="AA504" s="49"/>
      <x:c r="AB504" s="43"/>
      <x:c r="AC504" s="34"/>
      <x:c r="AD504" s="34"/>
      <x:c r="AE504" s="34"/>
      <x:c r="AF504" s="34"/>
      <x:c r="AG504" s="34"/>
      <x:c r="AH504" s="34"/>
      <x:c r="AI504" s="34"/>
    </x:row>
    <x:row r="505">
      <x:c r="A505" s="34" t="str">
        <x:v>article1-unified-v4-2-fb3f101b-20260903-000401-default-f03-p1-cache2k</x:v>
      </x:c>
      <x:c r="B505" s="34" t="str">
        <x:v>default</x:v>
      </x:c>
      <x:c r="C505" s="34" t="str">
        <x:v>cache2k</x:v>
      </x:c>
      <x:c r="D505" s="34" t="str">
        <x:v>cache2k</x:v>
      </x:c>
      <x:c r="E505" s="36" t="n">
        <x:v>3</x:v>
      </x:c>
      <x:c r="F505" s="36" t="n">
        <x:v>3</x:v>
      </x:c>
      <x:c r="G505" s="36" t="n">
        <x:v>1</x:v>
      </x:c>
      <x:c r="H505" s="36" t="n">
        <x:v>2</x:v>
      </x:c>
      <x:c r="I505" s="34" t="str">
        <x:v>loaded</x:v>
      </x:c>
      <x:c r="J505" s="34" t="str">
        <x:v>loaded</x:v>
      </x:c>
      <x:c r="K505" s="36" t="n">
        <x:v>0</x:v>
      </x:c>
      <x:c r="L505" s="34" t="str">
        <x:v>initial</x:v>
      </x:c>
      <x:c r="M505" s="34" t="str">
        <x:v>article1-unified-v4-2-fb3f101b-20260903-000401-default-f03-p1-cache2k-2-loaded</x:v>
      </x:c>
      <x:c r="N505" s="38" t="n">
        <x:v>46267.99293920139</x:v>
      </x:c>
      <x:c r="O505" s="36" t="n">
        <x:v>0</x:v>
      </x:c>
      <x:c r="P505" s="43" t="n">
        <x:v>96219136</x:v>
      </x:c>
      <x:c r="Q505" s="43" t="n">
        <x:v>268435456</x:v>
      </x:c>
      <x:c r="R505" s="43" t="n">
        <x:v>471076864</x:v>
      </x:c>
      <x:c r="S505" s="36" t="n">
        <x:v>4</x:v>
      </x:c>
      <x:c r="T505" s="44" t="str">
        <x:v>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 | 0x00000000561177b8  0x0000000056003818  0x00007b12d4009b50    4440  21279744  21264912  org.apache.catalina.loader.ParallelWebappClassLoader | 0x00000000561177b8  0x0000000056003818  0x00007b12d8007d00    4452  21319680  21293480  org.apache.catalina.loader.ParallelWebappClassLoader</x:v>
      </x:c>
      <x:c r="U505" s="36" t="n">
        <x:v>29</x:v>
      </x:c>
      <x:c r="V505" s="36" t="n">
        <x:v>0</x:v>
      </x:c>
      <x:c r="W505" s="44"/>
      <x:c r="X505" s="36"/>
      <x:c r="Y505" s="36"/>
      <x:c r="Z505" s="44"/>
      <x:c r="AA505" s="49"/>
      <x:c r="AB505" s="43"/>
      <x:c r="AC505" s="34"/>
      <x:c r="AD505" s="34"/>
      <x:c r="AE505" s="34"/>
      <x:c r="AF505" s="34"/>
      <x:c r="AG505" s="34"/>
      <x:c r="AH505" s="34"/>
      <x:c r="AI505" s="34"/>
    </x:row>
    <x:row r="506">
      <x:c r="A506" s="34" t="str">
        <x:v>article1-unified-v4-2-fb3f101b-20260903-000401-default-f03-p1-cache2k</x:v>
      </x:c>
      <x:c r="B506" s="34" t="str">
        <x:v>default</x:v>
      </x:c>
      <x:c r="C506" s="34" t="str">
        <x:v>cache2k</x:v>
      </x:c>
      <x:c r="D506" s="34" t="str">
        <x:v>cache2k</x:v>
      </x:c>
      <x:c r="E506" s="36" t="n">
        <x:v>3</x:v>
      </x:c>
      <x:c r="F506" s="36" t="n">
        <x:v>3</x:v>
      </x:c>
      <x:c r="G506" s="36" t="n">
        <x:v>1</x:v>
      </x:c>
      <x:c r="H506" s="36" t="n">
        <x:v>2</x:v>
      </x:c>
      <x:c r="I506" s="34" t="str">
        <x:v>afterUndeployEarly</x:v>
      </x:c>
      <x:c r="J506" s="34" t="str">
        <x:v>after-undeploy-early</x:v>
      </x:c>
      <x:c r="K506" s="36" t="n">
        <x:v>1</x:v>
      </x:c>
      <x:c r="L506" s="34" t="str">
        <x:v>early</x:v>
      </x:c>
      <x:c r="M506" s="34" t="str">
        <x:v>article1-unified-v4-2-fb3f101b-20260903-000401-default-f03-p1-cache2k-2-after-undeploy-early-2s</x:v>
      </x:c>
      <x:c r="N506" s="38" t="n">
        <x:v>46267.99302287037</x:v>
      </x:c>
      <x:c r="O506" s="36"/>
      <x:c r="P506" s="43"/>
      <x:c r="Q506" s="43"/>
      <x:c r="R506" s="43"/>
      <x:c r="S506" s="36"/>
      <x:c r="T506" s="44"/>
      <x:c r="U506" s="36" t="n">
        <x:v>27</x:v>
      </x:c>
      <x:c r="V506" s="36" t="n">
        <x:v>0</x:v>
      </x:c>
      <x:c r="W506" s="44"/>
      <x:c r="X506" s="36"/>
      <x:c r="Y506" s="36"/>
      <x:c r="Z506" s="44"/>
      <x:c r="AA506" s="49"/>
      <x:c r="AB506" s="43" t="n">
        <x:v>1</x:v>
      </x:c>
      <x:c r="AC506" s="34"/>
      <x:c r="AD506" s="34"/>
      <x:c r="AE506" s="34" t="str">
        <x:v>article1-unified-v4-2-fb3f101b-20260903-000401-default-f03-p1-cache2k-2-after-undeploy-early-2s-thread-dump.txt</x:v>
      </x:c>
      <x:c r="AF506" s="34" t="str">
        <x:v>article1-unified-v4-2-fb3f101b-20260903-000401-default-f03-p1-cache2k-2-after-undeploy-early-tomcat-log.txt</x:v>
      </x:c>
      <x:c r="AG506" s="34"/>
      <x:c r="AH506" s="34"/>
      <x:c r="AI506" s="34"/>
    </x:row>
    <x:row r="507">
      <x:c r="A507" s="34" t="str">
        <x:v>article1-unified-v4-2-fb3f101b-20260903-000401-default-f03-p1-cache2k</x:v>
      </x:c>
      <x:c r="B507" s="34" t="str">
        <x:v>default</x:v>
      </x:c>
      <x:c r="C507" s="34" t="str">
        <x:v>cache2k</x:v>
      </x:c>
      <x:c r="D507" s="34" t="str">
        <x:v>cache2k</x:v>
      </x:c>
      <x:c r="E507" s="36" t="n">
        <x:v>3</x:v>
      </x:c>
      <x:c r="F507" s="36" t="n">
        <x:v>3</x:v>
      </x:c>
      <x:c r="G507" s="36" t="n">
        <x:v>1</x:v>
      </x:c>
      <x:c r="H507" s="36" t="n">
        <x:v>2</x:v>
      </x:c>
      <x:c r="I507" s="34" t="str">
        <x:v>afterUndeploy</x:v>
      </x:c>
      <x:c r="J507" s="34" t="str">
        <x:v>after-undeploy-final</x:v>
      </x:c>
      <x:c r="K507" s="36" t="n">
        <x:v>1</x:v>
      </x:c>
      <x:c r="L507" s="34" t="str">
        <x:v>final</x:v>
      </x:c>
      <x:c r="M507" s="34" t="str">
        <x:v>article1-unified-v4-2-fb3f101b-20260903-000401-default-f03-p1-cache2k-2-after-undeploy-final-10s</x:v>
      </x:c>
      <x:c r="N507" s="38" t="n">
        <x:v>46267.993179363424</x:v>
      </x:c>
      <x:c r="O507" s="36" t="n">
        <x:v>2</x:v>
      </x:c>
      <x:c r="P507" s="43" t="n">
        <x:v>19838976</x:v>
      </x:c>
      <x:c r="Q507" s="43" t="n">
        <x:v>268435456</x:v>
      </x:c>
      <x:c r="R507" s="43" t="n">
        <x:v>441825280</x:v>
      </x:c>
      <x:c r="S507" s="36" t="n">
        <x:v>3</x:v>
      </x:c>
      <x:c r="T507" s="44" t="str">
        <x:v>0x00000000561177b8  0x0000000056003818  0x00007b12d4009b50    4450  21312512  21293856  org.apache.catalina.loader.ParallelWebappClassLoader | 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</x:v>
      </x:c>
      <x:c r="U507" s="36" t="n">
        <x:v>27</x:v>
      </x:c>
      <x:c r="V507" s="36" t="n">
        <x:v>0</x:v>
      </x:c>
      <x:c r="W507" s="44"/>
      <x:c r="X507" s="36" t="n">
        <x:v>2</x:v>
      </x:c>
      <x:c r="Y507" s="36" t="n">
        <x:v>2</x:v>
      </x:c>
      <x:c r="Z507" s="44" t="str">
        <x:v>/cache2k</x:v>
      </x:c>
      <x:c r="AA507" s="45" t="b">
        <x:v>1</x:v>
      </x:c>
      <x:c r="AB507" s="43"/>
      <x:c r="AC507" s="34" t="str">
        <x:v>article1-unified-v4-2-fb3f101b-20260903-000401-default-f03-p1-cache2k-2-after-undeploy-final-10s-heap-info.txt</x:v>
      </x:c>
      <x:c r="AD507" s="34" t="str">
        <x:v>article1-unified-v4-2-fb3f101b-20260903-000401-default-f03-p1-cache2k-2-after-undeploy-final-10s-classloader-stats.txt</x:v>
      </x:c>
      <x:c r="AE507" s="34" t="str">
        <x:v>article1-unified-v4-2-fb3f101b-20260903-000401-default-f03-p1-cache2k-2-after-undeploy-final-10s-thread-dump.txt</x:v>
      </x:c>
      <x:c r="AF507" s="34"/>
      <x:c r="AG507" s="34" t="str">
        <x:v>article1-unified-v4-2-fb3f101b-20260903-000401-default-f03-p1-cache2k-2-after-undeploy-final-10s-native-memory.txt</x:v>
      </x:c>
      <x:c r="AH507" s="34" t="str">
        <x:v>article1-unified-v4-2-fb3f101b-20260903-000401-default-f03-p1-cache2k-2-after-undeploy-final-10s-class-histogram.txt</x:v>
      </x:c>
      <x:c r="AI507" s="34" t="str">
        <x:v>article1-unified-v4-2-fb3f101b-20260903-000401-default-f03-p1-cache2k-2-after-undeploy-tomcat-findleaks.txt</x:v>
      </x:c>
    </x:row>
    <x:row r="508">
      <x:c r="A508" s="34" t="str">
        <x:v>article1-unified-v4-2-fb3f101b-20260903-000401-default-f03-p1-cache2k</x:v>
      </x:c>
      <x:c r="B508" s="34" t="str">
        <x:v>default</x:v>
      </x:c>
      <x:c r="C508" s="34" t="str">
        <x:v>cache2k</x:v>
      </x:c>
      <x:c r="D508" s="34" t="str">
        <x:v>cache2k</x:v>
      </x:c>
      <x:c r="E508" s="36" t="n">
        <x:v>3</x:v>
      </x:c>
      <x:c r="F508" s="36" t="n">
        <x:v>3</x:v>
      </x:c>
      <x:c r="G508" s="36" t="n">
        <x:v>1</x:v>
      </x:c>
      <x:c r="H508" s="36" t="n">
        <x:v>2</x:v>
      </x:c>
      <x:c r="I508" s="34" t="str">
        <x:v>redeployedLoaded</x:v>
      </x:c>
      <x:c r="J508" s="34" t="str">
        <x:v>redeployed-loaded</x:v>
      </x:c>
      <x:c r="K508" s="36" t="n">
        <x:v>0</x:v>
      </x:c>
      <x:c r="L508" s="34" t="str">
        <x:v>redeploy</x:v>
      </x:c>
      <x:c r="M508" s="34" t="str">
        <x:v>article1-unified-v4-2-fb3f101b-20260903-000401-default-f03-p1-cache2k-2-redeployed-loaded</x:v>
      </x:c>
      <x:c r="N508" s="38" t="n">
        <x:v>46267.99343633102</x:v>
      </x:c>
      <x:c r="O508" s="36" t="n">
        <x:v>0</x:v>
      </x:c>
      <x:c r="P508" s="43" t="n">
        <x:v>96841728</x:v>
      </x:c>
      <x:c r="Q508" s="43" t="n">
        <x:v>268435456</x:v>
      </x:c>
      <x:c r="R508" s="43" t="n">
        <x:v>465388544</x:v>
      </x:c>
      <x:c r="S508" s="36" t="n">
        <x:v>4</x:v>
      </x:c>
      <x:c r="T508" s="44" t="str">
        <x:v>0x00000000561177b8  0x0000000056003818  0x00007b12e013b670    4442  21275648  21255136  org.apache.catalina.loader.ParallelWebappClassLoader | 0x00000000561177b8  0x0000000056003818  0x00007b12d4009b50    4450  21312512  21293856  org.apache.catalina.loader.ParallelWebappClassLoader | 0x00000000561177b8  0x0000000056003818  0x00007b12c003e170    4459  21237760  21233424  org.apache.catalina.loader.ParallelWebappClassLoader | 0x00000000561177b8  0x0000000056003818  0x00007b136c62db10       0         0         0  org.apache.catalina.loader.ParallelWebappClassLoader</x:v>
      </x:c>
      <x:c r="U508" s="36" t="n">
        <x:v>28</x:v>
      </x:c>
      <x:c r="V508" s="36" t="n">
        <x:v>0</x:v>
      </x:c>
      <x:c r="W508" s="44"/>
      <x:c r="X508" s="36"/>
      <x:c r="Y508" s="36"/>
      <x:c r="Z508" s="44"/>
      <x:c r="AA508" s="49"/>
      <x:c r="AB508" s="43"/>
      <x:c r="AC508" s="34"/>
      <x:c r="AD508" s="34"/>
      <x:c r="AE508" s="34"/>
      <x:c r="AF508" s="34"/>
      <x:c r="AG508" s="34"/>
      <x:c r="AH508" s="34"/>
      <x:c r="AI508" s="34"/>
    </x:row>
    <x:row r="509">
      <x:c r="A509" s="34" t="str">
        <x:v>article1-unified-v4-2-fb3f101b-20260903-000401-default-f03-p1-cache2k</x:v>
      </x:c>
      <x:c r="B509" s="34" t="str">
        <x:v>default</x:v>
      </x:c>
      <x:c r="C509" s="34" t="str">
        <x:v>cache2k</x:v>
      </x:c>
      <x:c r="D509" s="34" t="str">
        <x:v>cache2k</x:v>
      </x:c>
      <x:c r="E509" s="36" t="n">
        <x:v>3</x:v>
      </x:c>
      <x:c r="F509" s="36" t="n">
        <x:v>3</x:v>
      </x:c>
      <x:c r="G509" s="36" t="n">
        <x:v>1</x:v>
      </x:c>
      <x:c r="H509" s="36" t="n">
        <x:v>2</x:v>
      </x:c>
      <x:c r="I509" s="34" t="str">
        <x:v>afterFinalUndeployEarly</x:v>
      </x:c>
      <x:c r="J509" s="34" t="str">
        <x:v>after-final-undeploy-early</x:v>
      </x:c>
      <x:c r="K509" s="36" t="n">
        <x:v>2</x:v>
      </x:c>
      <x:c r="L509" s="34" t="str">
        <x:v>early</x:v>
      </x:c>
      <x:c r="M509" s="34" t="str">
        <x:v>article1-unified-v4-2-fb3f101b-20260903-000401-default-f03-p1-cache2k-2-after-final-undeploy-early-2s</x:v>
      </x:c>
      <x:c r="N509" s="38" t="n">
        <x:v>46267.99351835648</x:v>
      </x:c>
      <x:c r="O509" s="36"/>
      <x:c r="P509" s="43"/>
      <x:c r="Q509" s="43"/>
      <x:c r="R509" s="43"/>
      <x:c r="S509" s="36"/>
      <x:c r="T509" s="44"/>
      <x:c r="U509" s="36" t="n">
        <x:v>27</x:v>
      </x:c>
      <x:c r="V509" s="36" t="n">
        <x:v>0</x:v>
      </x:c>
      <x:c r="W509" s="44"/>
      <x:c r="X509" s="36"/>
      <x:c r="Y509" s="36"/>
      <x:c r="Z509" s="44"/>
      <x:c r="AA509" s="49"/>
      <x:c r="AB509" s="43" t="n">
        <x:v>1</x:v>
      </x:c>
      <x:c r="AC509" s="34"/>
      <x:c r="AD509" s="34"/>
      <x:c r="AE509" s="34" t="str">
        <x:v>article1-unified-v4-2-fb3f101b-20260903-000401-default-f03-p1-cache2k-2-after-final-undeploy-early-2s-thread-dump.txt</x:v>
      </x:c>
      <x:c r="AF509" s="34" t="str">
        <x:v>article1-unified-v4-2-fb3f101b-20260903-000401-default-f03-p1-cache2k-2-after-final-undeploy-early-tomcat-log.txt</x:v>
      </x:c>
      <x:c r="AG509" s="34"/>
      <x:c r="AH509" s="34"/>
      <x:c r="AI509" s="34"/>
    </x:row>
    <x:row r="510">
      <x:c r="A510" s="34" t="str">
        <x:v>article1-unified-v4-2-fb3f101b-20260903-000401-default-f03-p1-cache2k</x:v>
      </x:c>
      <x:c r="B510" s="34" t="str">
        <x:v>default</x:v>
      </x:c>
      <x:c r="C510" s="34" t="str">
        <x:v>cache2k</x:v>
      </x:c>
      <x:c r="D510" s="34" t="str">
        <x:v>cache2k</x:v>
      </x:c>
      <x:c r="E510" s="36" t="n">
        <x:v>3</x:v>
      </x:c>
      <x:c r="F510" s="36" t="n">
        <x:v>3</x:v>
      </x:c>
      <x:c r="G510" s="36" t="n">
        <x:v>1</x:v>
      </x:c>
      <x:c r="H510" s="36" t="n">
        <x:v>2</x:v>
      </x:c>
      <x:c r="I510" s="34" t="str">
        <x:v>afterFinalUndeploy</x:v>
      </x:c>
      <x:c r="J510" s="34" t="str">
        <x:v>after-final-undeploy-final</x:v>
      </x:c>
      <x:c r="K510" s="36" t="n">
        <x:v>2</x:v>
      </x:c>
      <x:c r="L510" s="34" t="str">
        <x:v>final</x:v>
      </x:c>
      <x:c r="M510" s="34" t="str">
        <x:v>article1-unified-v4-2-fb3f101b-20260903-000401-default-f03-p1-cache2k-2-after-final-undeploy-final-10s</x:v>
      </x:c>
      <x:c r="N510" s="38" t="n">
        <x:v>46267.99367152778</x:v>
      </x:c>
      <x:c r="O510" s="36" t="n">
        <x:v>2</x:v>
      </x:c>
      <x:c r="P510" s="43" t="n">
        <x:v>15664128</x:v>
      </x:c>
      <x:c r="Q510" s="43" t="n">
        <x:v>268435456</x:v>
      </x:c>
      <x:c r="R510" s="43" t="n">
        <x:v>424696832</x:v>
      </x:c>
      <x:c r="S510" s="36" t="n">
        <x:v>2</x:v>
      </x:c>
      <x:c r="T510" s="44" t="str">
        <x:v>0x00000000561177b8  0x0000000056003818  0x00007b12e013b670    4452  21292032  21284064  org.apache.catalina.loader.ParallelWebappClassLoader | 0x00000000561177b8  0x0000000056003818  0x00007b136c62db10       0         0         0  org.apache.catalina.loader.ParallelWebappClassLoader</x:v>
      </x:c>
      <x:c r="U510" s="36" t="n">
        <x:v>27</x:v>
      </x:c>
      <x:c r="V510" s="36" t="n">
        <x:v>0</x:v>
      </x:c>
      <x:c r="W510" s="44"/>
      <x:c r="X510" s="36" t="n">
        <x:v>1</x:v>
      </x:c>
      <x:c r="Y510" s="36" t="n">
        <x:v>1</x:v>
      </x:c>
      <x:c r="Z510" s="44" t="str">
        <x:v>/cache2k</x:v>
      </x:c>
      <x:c r="AA510" s="45" t="b">
        <x:v>1</x:v>
      </x:c>
      <x:c r="AB510" s="43"/>
      <x:c r="AC510" s="34" t="str">
        <x:v>article1-unified-v4-2-fb3f101b-20260903-000401-default-f03-p1-cache2k-2-after-final-undeploy-final-10s-heap-info.txt</x:v>
      </x:c>
      <x:c r="AD510" s="34" t="str">
        <x:v>article1-unified-v4-2-fb3f101b-20260903-000401-default-f03-p1-cache2k-2-after-final-undeploy-final-10s-classloader-stats.txt</x:v>
      </x:c>
      <x:c r="AE510" s="34" t="str">
        <x:v>article1-unified-v4-2-fb3f101b-20260903-000401-default-f03-p1-cache2k-2-after-final-undeploy-final-10s-thread-dump.txt</x:v>
      </x:c>
      <x:c r="AF510" s="34"/>
      <x:c r="AG510" s="34" t="str">
        <x:v>article1-unified-v4-2-fb3f101b-20260903-000401-default-f03-p1-cache2k-2-after-final-undeploy-final-10s-native-memory.txt</x:v>
      </x:c>
      <x:c r="AH510" s="34" t="str">
        <x:v>article1-unified-v4-2-fb3f101b-20260903-000401-default-f03-p1-cache2k-2-after-final-undeploy-final-10s-class-histogram.txt</x:v>
      </x:c>
      <x:c r="AI510" s="34" t="str">
        <x:v>article1-unified-v4-2-fb3f101b-20260903-000401-default-f03-p1-cache2k-2-after-final-undeploy-tomcat-findleaks.txt</x:v>
      </x:c>
    </x:row>
    <x:row r="511">
      <x:c r="A511" s="34" t="str">
        <x:v>article1-unified-v4-2-fb3f101b-20260903-000401-default-f03-p1-cache2k</x:v>
      </x:c>
      <x:c r="B511" s="34" t="str">
        <x:v>default</x:v>
      </x:c>
      <x:c r="C511" s="34" t="str">
        <x:v>cache2k</x:v>
      </x:c>
      <x:c r="D511" s="34" t="str">
        <x:v>cache2k</x:v>
      </x:c>
      <x:c r="E511" s="36" t="n">
        <x:v>3</x:v>
      </x:c>
      <x:c r="F511" s="36" t="n">
        <x:v>3</x:v>
      </x:c>
      <x:c r="G511" s="36" t="n">
        <x:v>1</x:v>
      </x:c>
      <x:c r="H511" s="36" t="n">
        <x:v>3</x:v>
      </x:c>
      <x:c r="I511" s="34" t="str">
        <x:v>baseline</x:v>
      </x:c>
      <x:c r="J511" s="34" t="str">
        <x:v>cycle-baseline</x:v>
      </x:c>
      <x:c r="K511" s="36" t="n">
        <x:v>0</x:v>
      </x:c>
      <x:c r="L511" s="34" t="str">
        <x:v>baseline</x:v>
      </x:c>
      <x:c r="M511" s="34" t="str">
        <x:v>article1-unified-v4-2-fb3f101b-20260903-000401-default-f03-p1-cache2k-3-baseline</x:v>
      </x:c>
      <x:c r="N511" s="38" t="n">
        <x:v>46267.993712268515</x:v>
      </x:c>
      <x:c r="O511" s="36" t="n">
        <x:v>0</x:v>
      </x:c>
      <x:c r="P511" s="43" t="n">
        <x:v>15682560</x:v>
      </x:c>
      <x:c r="Q511" s="43" t="n">
        <x:v>268435456</x:v>
      </x:c>
      <x:c r="R511" s="43" t="n">
        <x:v>424269824</x:v>
      </x:c>
      <x:c r="S511" s="36" t="n">
        <x:v>2</x:v>
      </x:c>
      <x:c r="T511" s="44" t="str">
        <x:v>0x00000000561177b8  0x0000000056003818  0x00007b12e013b670    4452  21292032  21284064  org.apache.catalina.loader.ParallelWebappClassLoader | 0x00000000561177b8  0x0000000056003818  0x00007b136c62db10       0         0         0  org.apache.catalina.loader.ParallelWebappClassLoader</x:v>
      </x:c>
      <x:c r="U511" s="36" t="n">
        <x:v>27</x:v>
      </x:c>
      <x:c r="V511" s="36" t="n">
        <x:v>0</x:v>
      </x:c>
      <x:c r="W511" s="44"/>
      <x:c r="X511" s="36"/>
      <x:c r="Y511" s="36"/>
      <x:c r="Z511" s="44"/>
      <x:c r="AA511" s="49"/>
      <x:c r="AB511" s="43"/>
      <x:c r="AC511" s="34" t="str">
        <x:v>article1-unified-v4-2-fb3f101b-20260903-000401-default-f03-p1-cache2k-3-baseline-heap-info.txt</x:v>
      </x:c>
      <x:c r="AD511" s="34" t="str">
        <x:v>article1-unified-v4-2-fb3f101b-20260903-000401-default-f03-p1-cache2k-3-baseline-classloader-stats.txt</x:v>
      </x:c>
      <x:c r="AE511" s="34" t="str">
        <x:v>article1-unified-v4-2-fb3f101b-20260903-000401-default-f03-p1-cache2k-3-baseline-thread-dump.txt</x:v>
      </x:c>
      <x:c r="AF511" s="34"/>
      <x:c r="AG511" s="34" t="str">
        <x:v>article1-unified-v4-2-fb3f101b-20260903-000401-default-f03-p1-cache2k-3-baseline-native-memory.txt</x:v>
      </x:c>
      <x:c r="AH511" s="34"/>
      <x:c r="AI511" s="34"/>
    </x:row>
    <x:row r="512">
      <x:c r="A512" s="34" t="str">
        <x:v>article1-unified-v4-2-fb3f101b-20260903-000401-default-f03-p1-cache2k</x:v>
      </x:c>
      <x:c r="B512" s="34" t="str">
        <x:v>default</x:v>
      </x:c>
      <x:c r="C512" s="34" t="str">
        <x:v>cache2k</x:v>
      </x:c>
      <x:c r="D512" s="34" t="str">
        <x:v>cache2k</x:v>
      </x:c>
      <x:c r="E512" s="36" t="n">
        <x:v>3</x:v>
      </x:c>
      <x:c r="F512" s="36" t="n">
        <x:v>3</x:v>
      </x:c>
      <x:c r="G512" s="36" t="n">
        <x:v>1</x:v>
      </x:c>
      <x:c r="H512" s="36" t="n">
        <x:v>3</x:v>
      </x:c>
      <x:c r="I512" s="34" t="str">
        <x:v>deployedIdle</x:v>
      </x:c>
      <x:c r="J512" s="34" t="str">
        <x:v>deployed-idle</x:v>
      </x:c>
      <x:c r="K512" s="36" t="n">
        <x:v>0</x:v>
      </x:c>
      <x:c r="L512" s="34" t="str">
        <x:v>initial</x:v>
      </x:c>
      <x:c r="M512" s="34" t="str">
        <x:v>article1-unified-v4-2-fb3f101b-20260903-000401-default-f03-p1-cache2k-3-deployed-idle</x:v>
      </x:c>
      <x:c r="N512" s="38" t="n">
        <x:v>46267.993816469905</x:v>
      </x:c>
      <x:c r="O512" s="36" t="n">
        <x:v>0</x:v>
      </x:c>
      <x:c r="P512" s="43" t="n">
        <x:v>167037952</x:v>
      </x:c>
      <x:c r="Q512" s="43" t="n">
        <x:v>268435456</x:v>
      </x:c>
      <x:c r="R512" s="43" t="n">
        <x:v>447967232</x:v>
      </x:c>
      <x:c r="S512" s="36" t="n">
        <x:v>3</x:v>
      </x:c>
      <x:c r="T512" s="44" t="str">
        <x:v>0x00000000561177b8  0x0000000056003818  0x00007b12dc156dd0    4091  19436544  19431304  org.apache.catalina.loader.ParallelWebappClassLoader | 0x00000000561177b8  0x0000000056003818  0x00007b12e013b670    4452  21292032  21284064  org.apache.catalina.loader.ParallelWebappClassLoader | 0x00000000561177b8  0x0000000056003818  0x00007b136c62db10       0         0         0  org.apache.catalina.loader.ParallelWebappClassLoader</x:v>
      </x:c>
      <x:c r="U512" s="36" t="n">
        <x:v>27</x:v>
      </x:c>
      <x:c r="V512" s="36" t="n">
        <x:v>0</x:v>
      </x:c>
      <x:c r="W512" s="44"/>
      <x:c r="X512" s="36"/>
      <x:c r="Y512" s="36"/>
      <x:c r="Z512" s="44"/>
      <x:c r="AA512" s="49"/>
      <x:c r="AB512" s="43"/>
      <x:c r="AC512" s="34"/>
      <x:c r="AD512" s="34"/>
      <x:c r="AE512" s="34"/>
      <x:c r="AF512" s="34"/>
      <x:c r="AG512" s="34"/>
      <x:c r="AH512" s="34"/>
      <x:c r="AI512" s="34"/>
    </x:row>
    <x:row r="513">
      <x:c r="A513" s="34" t="str">
        <x:v>article1-unified-v4-2-fb3f101b-20260903-000401-default-f03-p1-cache2k</x:v>
      </x:c>
      <x:c r="B513" s="34" t="str">
        <x:v>default</x:v>
      </x:c>
      <x:c r="C513" s="34" t="str">
        <x:v>cache2k</x:v>
      </x:c>
      <x:c r="D513" s="34" t="str">
        <x:v>cache2k</x:v>
      </x:c>
      <x:c r="E513" s="36" t="n">
        <x:v>3</x:v>
      </x:c>
      <x:c r="F513" s="36" t="n">
        <x:v>3</x:v>
      </x:c>
      <x:c r="G513" s="36" t="n">
        <x:v>1</x:v>
      </x:c>
      <x:c r="H513" s="36" t="n">
        <x:v>3</x:v>
      </x:c>
      <x:c r="I513" s="34" t="str">
        <x:v>loaded</x:v>
      </x:c>
      <x:c r="J513" s="34" t="str">
        <x:v>loaded</x:v>
      </x:c>
      <x:c r="K513" s="36" t="n">
        <x:v>0</x:v>
      </x:c>
      <x:c r="L513" s="34" t="str">
        <x:v>initial</x:v>
      </x:c>
      <x:c r="M513" s="34" t="str">
        <x:v>article1-unified-v4-2-fb3f101b-20260903-000401-default-f03-p1-cache2k-3-loaded</x:v>
      </x:c>
      <x:c r="N513" s="38" t="n">
        <x:v>46267.99396840278</x:v>
      </x:c>
      <x:c r="O513" s="36" t="n">
        <x:v>0</x:v>
      </x:c>
      <x:c r="P513" s="43" t="n">
        <x:v>94987264</x:v>
      </x:c>
      <x:c r="Q513" s="43" t="n">
        <x:v>268435456</x:v>
      </x:c>
      <x:c r="R513" s="43" t="n">
        <x:v>444405760</x:v>
      </x:c>
      <x:c r="S513" s="36" t="n">
        <x:v>3</x:v>
      </x:c>
      <x:c r="T513" s="44" t="str">
        <x:v>0x00000000561177b8  0x0000000056003818  0x00007b12e013b670    4452  21292032  21284064  org.apache.catalina.loader.ParallelWebappClassLoader | 0x00000000561177b8  0x0000000056003818  0x00007b136c62db10       0         0         0  org.apache.catalina.loader.ParallelWebappClassLoader | 0x00000000561177b8  0x0000000056003818  0x00007b12dc156dd0    4439  21271552  21253032  org.apache.catalina.loader.ParallelWebappClassLoader</x:v>
      </x:c>
      <x:c r="U513" s="36" t="n">
        <x:v>29</x:v>
      </x:c>
      <x:c r="V513" s="36" t="n">
        <x:v>0</x:v>
      </x:c>
      <x:c r="W513" s="44"/>
      <x:c r="X513" s="36"/>
      <x:c r="Y513" s="36"/>
      <x:c r="Z513" s="44"/>
      <x:c r="AA513" s="49"/>
      <x:c r="AB513" s="43"/>
      <x:c r="AC513" s="34"/>
      <x:c r="AD513" s="34"/>
      <x:c r="AE513" s="34"/>
      <x:c r="AF513" s="34"/>
      <x:c r="AG513" s="34"/>
      <x:c r="AH513" s="34"/>
      <x:c r="AI513" s="34"/>
    </x:row>
    <x:row r="514">
      <x:c r="A514" s="34" t="str">
        <x:v>article1-unified-v4-2-fb3f101b-20260903-000401-default-f03-p1-cache2k</x:v>
      </x:c>
      <x:c r="B514" s="34" t="str">
        <x:v>default</x:v>
      </x:c>
      <x:c r="C514" s="34" t="str">
        <x:v>cache2k</x:v>
      </x:c>
      <x:c r="D514" s="34" t="str">
        <x:v>cache2k</x:v>
      </x:c>
      <x:c r="E514" s="36" t="n">
        <x:v>3</x:v>
      </x:c>
      <x:c r="F514" s="36" t="n">
        <x:v>3</x:v>
      </x:c>
      <x:c r="G514" s="36" t="n">
        <x:v>1</x:v>
      </x:c>
      <x:c r="H514" s="36" t="n">
        <x:v>3</x:v>
      </x:c>
      <x:c r="I514" s="34" t="str">
        <x:v>afterUndeployEarly</x:v>
      </x:c>
      <x:c r="J514" s="34" t="str">
        <x:v>after-undeploy-early</x:v>
      </x:c>
      <x:c r="K514" s="36" t="n">
        <x:v>1</x:v>
      </x:c>
      <x:c r="L514" s="34" t="str">
        <x:v>early</x:v>
      </x:c>
      <x:c r="M514" s="34" t="str">
        <x:v>article1-unified-v4-2-fb3f101b-20260903-000401-default-f03-p1-cache2k-3-after-undeploy-early-2s</x:v>
      </x:c>
      <x:c r="N514" s="38" t="n">
        <x:v>46267.99405241898</x:v>
      </x:c>
      <x:c r="O514" s="36"/>
      <x:c r="P514" s="43"/>
      <x:c r="Q514" s="43"/>
      <x:c r="R514" s="43"/>
      <x:c r="S514" s="36"/>
      <x:c r="T514" s="44"/>
      <x:c r="U514" s="36" t="n">
        <x:v>27</x:v>
      </x:c>
      <x:c r="V514" s="36" t="n">
        <x:v>0</x:v>
      </x:c>
      <x:c r="W514" s="44"/>
      <x:c r="X514" s="36"/>
      <x:c r="Y514" s="36"/>
      <x:c r="Z514" s="44"/>
      <x:c r="AA514" s="49"/>
      <x:c r="AB514" s="43" t="n">
        <x:v>1</x:v>
      </x:c>
      <x:c r="AC514" s="34"/>
      <x:c r="AD514" s="34"/>
      <x:c r="AE514" s="34" t="str">
        <x:v>article1-unified-v4-2-fb3f101b-20260903-000401-default-f03-p1-cache2k-3-after-undeploy-early-2s-thread-dump.txt</x:v>
      </x:c>
      <x:c r="AF514" s="34" t="str">
        <x:v>article1-unified-v4-2-fb3f101b-20260903-000401-default-f03-p1-cache2k-3-after-undeploy-early-tomcat-log.txt</x:v>
      </x:c>
      <x:c r="AG514" s="34"/>
      <x:c r="AH514" s="34"/>
      <x:c r="AI514" s="34"/>
    </x:row>
    <x:row r="515">
      <x:c r="A515" s="34" t="str">
        <x:v>article1-unified-v4-2-fb3f101b-20260903-000401-default-f03-p1-cache2k</x:v>
      </x:c>
      <x:c r="B515" s="34" t="str">
        <x:v>default</x:v>
      </x:c>
      <x:c r="C515" s="34" t="str">
        <x:v>cache2k</x:v>
      </x:c>
      <x:c r="D515" s="34" t="str">
        <x:v>cache2k</x:v>
      </x:c>
      <x:c r="E515" s="36" t="n">
        <x:v>3</x:v>
      </x:c>
      <x:c r="F515" s="36" t="n">
        <x:v>3</x:v>
      </x:c>
      <x:c r="G515" s="36" t="n">
        <x:v>1</x:v>
      </x:c>
      <x:c r="H515" s="36" t="n">
        <x:v>3</x:v>
      </x:c>
      <x:c r="I515" s="34" t="str">
        <x:v>afterUndeploy</x:v>
      </x:c>
      <x:c r="J515" s="34" t="str">
        <x:v>after-undeploy-final</x:v>
      </x:c>
      <x:c r="K515" s="36" t="n">
        <x:v>1</x:v>
      </x:c>
      <x:c r="L515" s="34" t="str">
        <x:v>final</x:v>
      </x:c>
      <x:c r="M515" s="34" t="str">
        <x:v>article1-unified-v4-2-fb3f101b-20260903-000401-default-f03-p1-cache2k-3-after-undeploy-final-10s</x:v>
      </x:c>
      <x:c r="N515" s="38" t="n">
        <x:v>46267.99421357639</x:v>
      </x:c>
      <x:c r="O515" s="36" t="n">
        <x:v>2</x:v>
      </x:c>
      <x:c r="P515" s="43" t="n">
        <x:v>15590400</x:v>
      </x:c>
      <x:c r="Q515" s="43" t="n">
        <x:v>268435456</x:v>
      </x:c>
      <x:c r="R515" s="43" t="n">
        <x:v>421814272</x:v>
      </x:c>
      <x:c r="S515" s="36" t="n">
        <x:v>2</x:v>
      </x:c>
      <x:c r="T515" s="44" t="str">
        <x:v>0x00000000561177b8  0x0000000056003818  0x00007b136c62db10       0         0         0  org.apache.catalina.loader.ParallelWebappClassLoader | 0x00000000561177b8  0x0000000056003818  0x00007b12dc156dd0    4449  21287936  21281976  org.apache.catalina.loader.ParallelWebappClassLoader</x:v>
      </x:c>
      <x:c r="U515" s="36" t="n">
        <x:v>27</x:v>
      </x:c>
      <x:c r="V515" s="36" t="n">
        <x:v>0</x:v>
      </x:c>
      <x:c r="W515" s="44"/>
      <x:c r="X515" s="36" t="n">
        <x:v>1</x:v>
      </x:c>
      <x:c r="Y515" s="36" t="n">
        <x:v>1</x:v>
      </x:c>
      <x:c r="Z515" s="44" t="str">
        <x:v>/cache2k</x:v>
      </x:c>
      <x:c r="AA515" s="45" t="b">
        <x:v>1</x:v>
      </x:c>
      <x:c r="AB515" s="43"/>
      <x:c r="AC515" s="34" t="str">
        <x:v>article1-unified-v4-2-fb3f101b-20260903-000401-default-f03-p1-cache2k-3-after-undeploy-final-10s-heap-info.txt</x:v>
      </x:c>
      <x:c r="AD515" s="34" t="str">
        <x:v>article1-unified-v4-2-fb3f101b-20260903-000401-default-f03-p1-cache2k-3-after-undeploy-final-10s-classloader-stats.txt</x:v>
      </x:c>
      <x:c r="AE515" s="34" t="str">
        <x:v>article1-unified-v4-2-fb3f101b-20260903-000401-default-f03-p1-cache2k-3-after-undeploy-final-10s-thread-dump.txt</x:v>
      </x:c>
      <x:c r="AF515" s="34"/>
      <x:c r="AG515" s="34" t="str">
        <x:v>article1-unified-v4-2-fb3f101b-20260903-000401-default-f03-p1-cache2k-3-after-undeploy-final-10s-native-memory.txt</x:v>
      </x:c>
      <x:c r="AH515" s="34" t="str">
        <x:v>article1-unified-v4-2-fb3f101b-20260903-000401-default-f03-p1-cache2k-3-after-undeploy-final-10s-class-histogram.txt</x:v>
      </x:c>
      <x:c r="AI515" s="34" t="str">
        <x:v>article1-unified-v4-2-fb3f101b-20260903-000401-default-f03-p1-cache2k-3-after-undeploy-tomcat-findleaks.txt</x:v>
      </x:c>
    </x:row>
    <x:row r="516">
      <x:c r="A516" s="34" t="str">
        <x:v>article1-unified-v4-2-fb3f101b-20260903-000401-default-f03-p1-cache2k</x:v>
      </x:c>
      <x:c r="B516" s="34" t="str">
        <x:v>default</x:v>
      </x:c>
      <x:c r="C516" s="34" t="str">
        <x:v>cache2k</x:v>
      </x:c>
      <x:c r="D516" s="34" t="str">
        <x:v>cache2k</x:v>
      </x:c>
      <x:c r="E516" s="36" t="n">
        <x:v>3</x:v>
      </x:c>
      <x:c r="F516" s="36" t="n">
        <x:v>3</x:v>
      </x:c>
      <x:c r="G516" s="36" t="n">
        <x:v>1</x:v>
      </x:c>
      <x:c r="H516" s="36" t="n">
        <x:v>3</x:v>
      </x:c>
      <x:c r="I516" s="34" t="str">
        <x:v>redeployedLoaded</x:v>
      </x:c>
      <x:c r="J516" s="34" t="str">
        <x:v>redeployed-loaded</x:v>
      </x:c>
      <x:c r="K516" s="36" t="n">
        <x:v>0</x:v>
      </x:c>
      <x:c r="L516" s="34" t="str">
        <x:v>redeploy</x:v>
      </x:c>
      <x:c r="M516" s="34" t="str">
        <x:v>article1-unified-v4-2-fb3f101b-20260903-000401-default-f03-p1-cache2k-3-redeployed-loaded</x:v>
      </x:c>
      <x:c r="N516" s="38" t="n">
        <x:v>46267.99446753472</x:v>
      </x:c>
      <x:c r="O516" s="36" t="n">
        <x:v>0</x:v>
      </x:c>
      <x:c r="P516" s="43" t="n">
        <x:v>92347392</x:v>
      </x:c>
      <x:c r="Q516" s="43" t="n">
        <x:v>268435456</x:v>
      </x:c>
      <x:c r="R516" s="43" t="n">
        <x:v>443826176</x:v>
      </x:c>
      <x:c r="S516" s="36" t="n">
        <x:v>3</x:v>
      </x:c>
      <x:c r="T516" s="44" t="str">
        <x:v>0x00000000561177b8  0x0000000056003818  0x00007b129c010100    4442  21287936  21263704  org.apache.catalina.loader.ParallelWebappClassLoader | 0x00000000561177b8  0x0000000056003818  0x00007b136c62db10       0         0         0  org.apache.catalina.loader.ParallelWebappClassLoader | 0x00000000561177b8  0x0000000056003818  0x00007b12dc156dd0    4449  21287936  21281976  org.apache.catalina.loader.ParallelWebappClassLoader</x:v>
      </x:c>
      <x:c r="U516" s="36" t="n">
        <x:v>29</x:v>
      </x:c>
      <x:c r="V516" s="36" t="n">
        <x:v>0</x:v>
      </x:c>
      <x:c r="W516" s="44"/>
      <x:c r="X516" s="36"/>
      <x:c r="Y516" s="36"/>
      <x:c r="Z516" s="44"/>
      <x:c r="AA516" s="49"/>
      <x:c r="AB516" s="43"/>
      <x:c r="AC516" s="34"/>
      <x:c r="AD516" s="34"/>
      <x:c r="AE516" s="34"/>
      <x:c r="AF516" s="34"/>
      <x:c r="AG516" s="34"/>
      <x:c r="AH516" s="34"/>
      <x:c r="AI516" s="34"/>
    </x:row>
    <x:row r="517">
      <x:c r="A517" s="34" t="str">
        <x:v>article1-unified-v4-2-fb3f101b-20260903-000401-default-f03-p1-cache2k</x:v>
      </x:c>
      <x:c r="B517" s="34" t="str">
        <x:v>default</x:v>
      </x:c>
      <x:c r="C517" s="34" t="str">
        <x:v>cache2k</x:v>
      </x:c>
      <x:c r="D517" s="34" t="str">
        <x:v>cache2k</x:v>
      </x:c>
      <x:c r="E517" s="36" t="n">
        <x:v>3</x:v>
      </x:c>
      <x:c r="F517" s="36" t="n">
        <x:v>3</x:v>
      </x:c>
      <x:c r="G517" s="36" t="n">
        <x:v>1</x:v>
      </x:c>
      <x:c r="H517" s="36" t="n">
        <x:v>3</x:v>
      </x:c>
      <x:c r="I517" s="34" t="str">
        <x:v>afterFinalUndeployEarly</x:v>
      </x:c>
      <x:c r="J517" s="34" t="str">
        <x:v>after-final-undeploy-early</x:v>
      </x:c>
      <x:c r="K517" s="36" t="n">
        <x:v>2</x:v>
      </x:c>
      <x:c r="L517" s="34" t="str">
        <x:v>early</x:v>
      </x:c>
      <x:c r="M517" s="34" t="str">
        <x:v>article1-unified-v4-2-fb3f101b-20260903-000401-default-f03-p1-cache2k-3-after-final-undeploy-early-2s</x:v>
      </x:c>
      <x:c r="N517" s="38" t="n">
        <x:v>46267.99455027778</x:v>
      </x:c>
      <x:c r="O517" s="36"/>
      <x:c r="P517" s="43"/>
      <x:c r="Q517" s="43"/>
      <x:c r="R517" s="43"/>
      <x:c r="S517" s="36"/>
      <x:c r="T517" s="44"/>
      <x:c r="U517" s="36" t="n">
        <x:v>27</x:v>
      </x:c>
      <x:c r="V517" s="36" t="n">
        <x:v>0</x:v>
      </x:c>
      <x:c r="W517" s="44"/>
      <x:c r="X517" s="36"/>
      <x:c r="Y517" s="36"/>
      <x:c r="Z517" s="44"/>
      <x:c r="AA517" s="49"/>
      <x:c r="AB517" s="43" t="n">
        <x:v>1</x:v>
      </x:c>
      <x:c r="AC517" s="34"/>
      <x:c r="AD517" s="34"/>
      <x:c r="AE517" s="34" t="str">
        <x:v>article1-unified-v4-2-fb3f101b-20260903-000401-default-f03-p1-cache2k-3-after-final-undeploy-early-2s-thread-dump.txt</x:v>
      </x:c>
      <x:c r="AF517" s="34" t="str">
        <x:v>article1-unified-v4-2-fb3f101b-20260903-000401-default-f03-p1-cache2k-3-after-final-undeploy-early-tomcat-log.txt</x:v>
      </x:c>
      <x:c r="AG517" s="34"/>
      <x:c r="AH517" s="34"/>
      <x:c r="AI517" s="34"/>
    </x:row>
    <x:row r="518">
      <x:c r="A518" s="34" t="str">
        <x:v>article1-unified-v4-2-fb3f101b-20260903-000401-default-f03-p1-cache2k</x:v>
      </x:c>
      <x:c r="B518" s="34" t="str">
        <x:v>default</x:v>
      </x:c>
      <x:c r="C518" s="34" t="str">
        <x:v>cache2k</x:v>
      </x:c>
      <x:c r="D518" s="34" t="str">
        <x:v>cache2k</x:v>
      </x:c>
      <x:c r="E518" s="36" t="n">
        <x:v>3</x:v>
      </x:c>
      <x:c r="F518" s="36" t="n">
        <x:v>3</x:v>
      </x:c>
      <x:c r="G518" s="36" t="n">
        <x:v>1</x:v>
      </x:c>
      <x:c r="H518" s="36" t="n">
        <x:v>3</x:v>
      </x:c>
      <x:c r="I518" s="34" t="str">
        <x:v>afterFinalUndeploy</x:v>
      </x:c>
      <x:c r="J518" s="34" t="str">
        <x:v>after-final-undeploy-final</x:v>
      </x:c>
      <x:c r="K518" s="36" t="n">
        <x:v>2</x:v>
      </x:c>
      <x:c r="L518" s="34" t="str">
        <x:v>final</x:v>
      </x:c>
      <x:c r="M518" s="34" t="str">
        <x:v>article1-unified-v4-2-fb3f101b-20260903-000401-default-f03-p1-cache2k-3-after-final-undeploy-final-10s</x:v>
      </x:c>
      <x:c r="N518" s="38" t="n">
        <x:v>46267.99470501157</x:v>
      </x:c>
      <x:c r="O518" s="36" t="n">
        <x:v>2</x:v>
      </x:c>
      <x:c r="P518" s="43" t="n">
        <x:v>15632384</x:v>
      </x:c>
      <x:c r="Q518" s="43" t="n">
        <x:v>268435456</x:v>
      </x:c>
      <x:c r="R518" s="43" t="n">
        <x:v>426560512</x:v>
      </x:c>
      <x:c r="S518" s="36" t="n">
        <x:v>2</x:v>
      </x:c>
      <x:c r="T518" s="44" t="str">
        <x:v>0x00000000561177b8  0x0000000056003818  0x00007b129c010100    4452  21300224  21292368  org.apache.catalina.loader.ParallelWebappClassLoader | 0x00000000561177b8  0x0000000056003818  0x00007b136c62db10       0         0         0  org.apache.catalina.loader.ParallelWebappClassLoader</x:v>
      </x:c>
      <x:c r="U518" s="36" t="n">
        <x:v>27</x:v>
      </x:c>
      <x:c r="V518" s="36" t="n">
        <x:v>0</x:v>
      </x:c>
      <x:c r="W518" s="44"/>
      <x:c r="X518" s="36" t="n">
        <x:v>1</x:v>
      </x:c>
      <x:c r="Y518" s="36" t="n">
        <x:v>1</x:v>
      </x:c>
      <x:c r="Z518" s="44" t="str">
        <x:v>/cache2k</x:v>
      </x:c>
      <x:c r="AA518" s="45" t="b">
        <x:v>1</x:v>
      </x:c>
      <x:c r="AB518" s="43"/>
      <x:c r="AC518" s="34" t="str">
        <x:v>article1-unified-v4-2-fb3f101b-20260903-000401-default-f03-p1-cache2k-3-after-final-undeploy-final-10s-heap-info.txt</x:v>
      </x:c>
      <x:c r="AD518" s="34" t="str">
        <x:v>article1-unified-v4-2-fb3f101b-20260903-000401-default-f03-p1-cache2k-3-after-final-undeploy-final-10s-classloader-stats.txt</x:v>
      </x:c>
      <x:c r="AE518" s="34" t="str">
        <x:v>article1-unified-v4-2-fb3f101b-20260903-000401-default-f03-p1-cache2k-3-after-final-undeploy-final-10s-thread-dump.txt</x:v>
      </x:c>
      <x:c r="AF518" s="34"/>
      <x:c r="AG518" s="34" t="str">
        <x:v>article1-unified-v4-2-fb3f101b-20260903-000401-default-f03-p1-cache2k-3-after-final-undeploy-final-10s-native-memory.txt</x:v>
      </x:c>
      <x:c r="AH518" s="34" t="str">
        <x:v>article1-unified-v4-2-fb3f101b-20260903-000401-default-f03-p1-cache2k-3-after-final-undeploy-final-10s-class-histogram.txt</x:v>
      </x:c>
      <x:c r="AI518" s="34" t="str">
        <x:v>article1-unified-v4-2-fb3f101b-20260903-000401-default-f03-p1-cache2k-3-after-final-undeploy-tomcat-findleaks.txt</x:v>
      </x:c>
    </x:row>
    <x:row r="519">
      <x:c r="A519" s="34" t="str">
        <x:v>article1-unified-v4-2-fb3f101b-20260903-000401-default-f03-p1-cache2k</x:v>
      </x:c>
      <x:c r="B519" s="34" t="str">
        <x:v>default</x:v>
      </x:c>
      <x:c r="C519" s="34" t="str">
        <x:v>cache2k</x:v>
      </x:c>
      <x:c r="D519" s="34" t="str">
        <x:v>cache2k</x:v>
      </x:c>
      <x:c r="E519" s="36" t="n">
        <x:v>3</x:v>
      </x:c>
      <x:c r="F519" s="36" t="n">
        <x:v>3</x:v>
      </x:c>
      <x:c r="G519" s="36" t="n">
        <x:v>1</x:v>
      </x:c>
      <x:c r="H519" s="36" t="n">
        <x:v>4</x:v>
      </x:c>
      <x:c r="I519" s="34" t="str">
        <x:v>baseline</x:v>
      </x:c>
      <x:c r="J519" s="34" t="str">
        <x:v>cycle-baseline</x:v>
      </x:c>
      <x:c r="K519" s="36" t="n">
        <x:v>0</x:v>
      </x:c>
      <x:c r="L519" s="34" t="str">
        <x:v>baseline</x:v>
      </x:c>
      <x:c r="M519" s="34" t="str">
        <x:v>article1-unified-v4-2-fb3f101b-20260903-000401-default-f03-p1-cache2k-4-baseline</x:v>
      </x:c>
      <x:c r="N519" s="38" t="n">
        <x:v>46267.99474326389</x:v>
      </x:c>
      <x:c r="O519" s="36" t="n">
        <x:v>0</x:v>
      </x:c>
      <x:c r="P519" s="43" t="n">
        <x:v>15640576</x:v>
      </x:c>
      <x:c r="Q519" s="43" t="n">
        <x:v>268435456</x:v>
      </x:c>
      <x:c r="R519" s="43" t="n">
        <x:v>426481664</x:v>
      </x:c>
      <x:c r="S519" s="36" t="n">
        <x:v>2</x:v>
      </x:c>
      <x:c r="T519" s="44" t="str">
        <x:v>0x00000000561177b8  0x0000000056003818  0x00007b129c010100    4452  21300224  21292368  org.apache.catalina.loader.ParallelWebappClassLoader | 0x00000000561177b8  0x0000000056003818  0x00007b136c62db10       0         0         0  org.apache.catalina.loader.ParallelWebappClassLoader</x:v>
      </x:c>
      <x:c r="U519" s="36" t="n">
        <x:v>27</x:v>
      </x:c>
      <x:c r="V519" s="36" t="n">
        <x:v>0</x:v>
      </x:c>
      <x:c r="W519" s="44"/>
      <x:c r="X519" s="36"/>
      <x:c r="Y519" s="36"/>
      <x:c r="Z519" s="44"/>
      <x:c r="AA519" s="49"/>
      <x:c r="AB519" s="43"/>
      <x:c r="AC519" s="34" t="str">
        <x:v>article1-unified-v4-2-fb3f101b-20260903-000401-default-f03-p1-cache2k-4-baseline-heap-info.txt</x:v>
      </x:c>
      <x:c r="AD519" s="34" t="str">
        <x:v>article1-unified-v4-2-fb3f101b-20260903-000401-default-f03-p1-cache2k-4-baseline-classloader-stats.txt</x:v>
      </x:c>
      <x:c r="AE519" s="34" t="str">
        <x:v>article1-unified-v4-2-fb3f101b-20260903-000401-default-f03-p1-cache2k-4-baseline-thread-dump.txt</x:v>
      </x:c>
      <x:c r="AF519" s="34"/>
      <x:c r="AG519" s="34" t="str">
        <x:v>article1-unified-v4-2-fb3f101b-20260903-000401-default-f03-p1-cache2k-4-baseline-native-memory.txt</x:v>
      </x:c>
      <x:c r="AH519" s="34"/>
      <x:c r="AI519" s="34"/>
    </x:row>
    <x:row r="520">
      <x:c r="A520" s="34" t="str">
        <x:v>article1-unified-v4-2-fb3f101b-20260903-000401-default-f03-p1-cache2k</x:v>
      </x:c>
      <x:c r="B520" s="34" t="str">
        <x:v>default</x:v>
      </x:c>
      <x:c r="C520" s="34" t="str">
        <x:v>cache2k</x:v>
      </x:c>
      <x:c r="D520" s="34" t="str">
        <x:v>cache2k</x:v>
      </x:c>
      <x:c r="E520" s="36" t="n">
        <x:v>3</x:v>
      </x:c>
      <x:c r="F520" s="36" t="n">
        <x:v>3</x:v>
      </x:c>
      <x:c r="G520" s="36" t="n">
        <x:v>1</x:v>
      </x:c>
      <x:c r="H520" s="36" t="n">
        <x:v>4</x:v>
      </x:c>
      <x:c r="I520" s="34" t="str">
        <x:v>deployedIdle</x:v>
      </x:c>
      <x:c r="J520" s="34" t="str">
        <x:v>deployed-idle</x:v>
      </x:c>
      <x:c r="K520" s="36" t="n">
        <x:v>0</x:v>
      </x:c>
      <x:c r="L520" s="34" t="str">
        <x:v>initial</x:v>
      </x:c>
      <x:c r="M520" s="34" t="str">
        <x:v>article1-unified-v4-2-fb3f101b-20260903-000401-default-f03-p1-cache2k-4-deployed-idle</x:v>
      </x:c>
      <x:c r="N520" s="38" t="n">
        <x:v>46267.994847685186</x:v>
      </x:c>
      <x:c r="O520" s="36" t="n">
        <x:v>0</x:v>
      </x:c>
      <x:c r="P520" s="43" t="n">
        <x:v>170522624</x:v>
      </x:c>
      <x:c r="Q520" s="43" t="n">
        <x:v>268435456</x:v>
      </x:c>
      <x:c r="R520" s="43" t="n">
        <x:v>460431360</x:v>
      </x:c>
      <x:c r="S520" s="36" t="n">
        <x:v>3</x:v>
      </x:c>
      <x:c r="T520" s="44" t="str">
        <x:v>0x00000000561177b8  0x0000000056003818  0x00007b12d83e76d0    4091  19435520  19430280  org.apache.catalina.loader.ParallelWebappClassLoader | 0x00000000561177b8  0x0000000056003818  0x00007b129c010100    4452  21300224  21292368  org.apache.catalina.loader.ParallelWebappClassLoader | 0x00000000561177b8  0x0000000056003818  0x00007b136c62db10       0         0         0  org.apache.catalina.loader.ParallelWebappClassLoader</x:v>
      </x:c>
      <x:c r="U520" s="36" t="n">
        <x:v>27</x:v>
      </x:c>
      <x:c r="V520" s="36" t="n">
        <x:v>0</x:v>
      </x:c>
      <x:c r="W520" s="44"/>
      <x:c r="X520" s="36"/>
      <x:c r="Y520" s="36"/>
      <x:c r="Z520" s="44"/>
      <x:c r="AA520" s="49"/>
      <x:c r="AB520" s="43"/>
      <x:c r="AC520" s="34"/>
      <x:c r="AD520" s="34"/>
      <x:c r="AE520" s="34"/>
      <x:c r="AF520" s="34"/>
      <x:c r="AG520" s="34"/>
      <x:c r="AH520" s="34"/>
      <x:c r="AI520" s="34"/>
    </x:row>
    <x:row r="521">
      <x:c r="A521" s="34" t="str">
        <x:v>article1-unified-v4-2-fb3f101b-20260903-000401-default-f03-p1-cache2k</x:v>
      </x:c>
      <x:c r="B521" s="34" t="str">
        <x:v>default</x:v>
      </x:c>
      <x:c r="C521" s="34" t="str">
        <x:v>cache2k</x:v>
      </x:c>
      <x:c r="D521" s="34" t="str">
        <x:v>cache2k</x:v>
      </x:c>
      <x:c r="E521" s="36" t="n">
        <x:v>3</x:v>
      </x:c>
      <x:c r="F521" s="36" t="n">
        <x:v>3</x:v>
      </x:c>
      <x:c r="G521" s="36" t="n">
        <x:v>1</x:v>
      </x:c>
      <x:c r="H521" s="36" t="n">
        <x:v>4</x:v>
      </x:c>
      <x:c r="I521" s="34" t="str">
        <x:v>loaded</x:v>
      </x:c>
      <x:c r="J521" s="34" t="str">
        <x:v>loaded</x:v>
      </x:c>
      <x:c r="K521" s="36" t="n">
        <x:v>0</x:v>
      </x:c>
      <x:c r="L521" s="34" t="str">
        <x:v>initial</x:v>
      </x:c>
      <x:c r="M521" s="34" t="str">
        <x:v>article1-unified-v4-2-fb3f101b-20260903-000401-default-f03-p1-cache2k-4-loaded</x:v>
      </x:c>
      <x:c r="N521" s="38" t="n">
        <x:v>46267.99499756945</x:v>
      </x:c>
      <x:c r="O521" s="36" t="n">
        <x:v>0</x:v>
      </x:c>
      <x:c r="P521" s="43" t="n">
        <x:v>93330432</x:v>
      </x:c>
      <x:c r="Q521" s="43" t="n">
        <x:v>268435456</x:v>
      </x:c>
      <x:c r="R521" s="43" t="n">
        <x:v>444608512</x:v>
      </x:c>
      <x:c r="S521" s="36" t="n">
        <x:v>3</x:v>
      </x:c>
      <x:c r="T521" s="44" t="str">
        <x:v>0x00000000561177b8  0x0000000056003818  0x00007b129c010100    4452  21300224  21292368  org.apache.catalina.loader.ParallelWebappClassLoader | 0x00000000561177b8  0x0000000056003818  0x00007b12d83e76d0    4442  21286912  21263776  org.apache.catalina.loader.ParallelWebappClassLoader | 0x00000000561177b8  0x0000000056003818  0x00007b136c62db10       0         0         0  org.apache.catalina.loader.ParallelWebappClassLoader</x:v>
      </x:c>
      <x:c r="U521" s="36" t="n">
        <x:v>29</x:v>
      </x:c>
      <x:c r="V521" s="36" t="n">
        <x:v>0</x:v>
      </x:c>
      <x:c r="W521" s="44"/>
      <x:c r="X521" s="36"/>
      <x:c r="Y521" s="36"/>
      <x:c r="Z521" s="44"/>
      <x:c r="AA521" s="49"/>
      <x:c r="AB521" s="43"/>
      <x:c r="AC521" s="34"/>
      <x:c r="AD521" s="34"/>
      <x:c r="AE521" s="34"/>
      <x:c r="AF521" s="34"/>
      <x:c r="AG521" s="34"/>
      <x:c r="AH521" s="34"/>
      <x:c r="AI521" s="34"/>
    </x:row>
    <x:row r="522">
      <x:c r="A522" s="34" t="str">
        <x:v>article1-unified-v4-2-fb3f101b-20260903-000401-default-f03-p1-cache2k</x:v>
      </x:c>
      <x:c r="B522" s="34" t="str">
        <x:v>default</x:v>
      </x:c>
      <x:c r="C522" s="34" t="str">
        <x:v>cache2k</x:v>
      </x:c>
      <x:c r="D522" s="34" t="str">
        <x:v>cache2k</x:v>
      </x:c>
      <x:c r="E522" s="36" t="n">
        <x:v>3</x:v>
      </x:c>
      <x:c r="F522" s="36" t="n">
        <x:v>3</x:v>
      </x:c>
      <x:c r="G522" s="36" t="n">
        <x:v>1</x:v>
      </x:c>
      <x:c r="H522" s="36" t="n">
        <x:v>4</x:v>
      </x:c>
      <x:c r="I522" s="34" t="str">
        <x:v>afterUndeployEarly</x:v>
      </x:c>
      <x:c r="J522" s="34" t="str">
        <x:v>after-undeploy-early</x:v>
      </x:c>
      <x:c r="K522" s="36" t="n">
        <x:v>1</x:v>
      </x:c>
      <x:c r="L522" s="34" t="str">
        <x:v>early</x:v>
      </x:c>
      <x:c r="M522" s="34" t="str">
        <x:v>article1-unified-v4-2-fb3f101b-20260903-000401-default-f03-p1-cache2k-4-after-undeploy-early-2s</x:v>
      </x:c>
      <x:c r="N522" s="38" t="n">
        <x:v>46267.9950831713</x:v>
      </x:c>
      <x:c r="O522" s="36"/>
      <x:c r="P522" s="43"/>
      <x:c r="Q522" s="43"/>
      <x:c r="R522" s="43"/>
      <x:c r="S522" s="36"/>
      <x:c r="T522" s="44"/>
      <x:c r="U522" s="36" t="n">
        <x:v>27</x:v>
      </x:c>
      <x:c r="V522" s="36" t="n">
        <x:v>0</x:v>
      </x:c>
      <x:c r="W522" s="44"/>
      <x:c r="X522" s="36"/>
      <x:c r="Y522" s="36"/>
      <x:c r="Z522" s="44"/>
      <x:c r="AA522" s="49"/>
      <x:c r="AB522" s="43" t="n">
        <x:v>1</x:v>
      </x:c>
      <x:c r="AC522" s="34"/>
      <x:c r="AD522" s="34"/>
      <x:c r="AE522" s="34" t="str">
        <x:v>article1-unified-v4-2-fb3f101b-20260903-000401-default-f03-p1-cache2k-4-after-undeploy-early-2s-thread-dump.txt</x:v>
      </x:c>
      <x:c r="AF522" s="34" t="str">
        <x:v>article1-unified-v4-2-fb3f101b-20260903-000401-default-f03-p1-cache2k-4-after-undeploy-early-tomcat-log.txt</x:v>
      </x:c>
      <x:c r="AG522" s="34"/>
      <x:c r="AH522" s="34"/>
      <x:c r="AI522" s="34"/>
    </x:row>
    <x:row r="523">
      <x:c r="A523" s="34" t="str">
        <x:v>article1-unified-v4-2-fb3f101b-20260903-000401-default-f03-p1-cache2k</x:v>
      </x:c>
      <x:c r="B523" s="34" t="str">
        <x:v>default</x:v>
      </x:c>
      <x:c r="C523" s="34" t="str">
        <x:v>cache2k</x:v>
      </x:c>
      <x:c r="D523" s="34" t="str">
        <x:v>cache2k</x:v>
      </x:c>
      <x:c r="E523" s="36" t="n">
        <x:v>3</x:v>
      </x:c>
      <x:c r="F523" s="36" t="n">
        <x:v>3</x:v>
      </x:c>
      <x:c r="G523" s="36" t="n">
        <x:v>1</x:v>
      </x:c>
      <x:c r="H523" s="36" t="n">
        <x:v>4</x:v>
      </x:c>
      <x:c r="I523" s="34" t="str">
        <x:v>afterUndeploy</x:v>
      </x:c>
      <x:c r="J523" s="34" t="str">
        <x:v>after-undeploy-final</x:v>
      </x:c>
      <x:c r="K523" s="36" t="n">
        <x:v>1</x:v>
      </x:c>
      <x:c r="L523" s="34" t="str">
        <x:v>final</x:v>
      </x:c>
      <x:c r="M523" s="34" t="str">
        <x:v>article1-unified-v4-2-fb3f101b-20260903-000401-default-f03-p1-cache2k-4-after-undeploy-final-10s</x:v>
      </x:c>
      <x:c r="N523" s="38" t="n">
        <x:v>46267.99524416667</x:v>
      </x:c>
      <x:c r="O523" s="36" t="n">
        <x:v>2</x:v>
      </x:c>
      <x:c r="P523" s="43" t="n">
        <x:v>15648768</x:v>
      </x:c>
      <x:c r="Q523" s="43" t="n">
        <x:v>268435456</x:v>
      </x:c>
      <x:c r="R523" s="43" t="n">
        <x:v>424097792</x:v>
      </x:c>
      <x:c r="S523" s="36" t="n">
        <x:v>2</x:v>
      </x:c>
      <x:c r="T523" s="44" t="str">
        <x:v>0x00000000561177b8  0x0000000056003818  0x00007b12d83e76d0    4452  21303296  21292664  org.apache.catalina.loader.ParallelWebappClassLoader | 0x00000000561177b8  0x0000000056003818  0x00007b136c62db10       0         0         0  org.apache.catalina.loader.ParallelWebappClassLoader</x:v>
      </x:c>
      <x:c r="U523" s="36" t="n">
        <x:v>27</x:v>
      </x:c>
      <x:c r="V523" s="36" t="n">
        <x:v>0</x:v>
      </x:c>
      <x:c r="W523" s="44"/>
      <x:c r="X523" s="36" t="n">
        <x:v>1</x:v>
      </x:c>
      <x:c r="Y523" s="36" t="n">
        <x:v>1</x:v>
      </x:c>
      <x:c r="Z523" s="44" t="str">
        <x:v>/cache2k</x:v>
      </x:c>
      <x:c r="AA523" s="45" t="b">
        <x:v>1</x:v>
      </x:c>
      <x:c r="AB523" s="43"/>
      <x:c r="AC523" s="34" t="str">
        <x:v>article1-unified-v4-2-fb3f101b-20260903-000401-default-f03-p1-cache2k-4-after-undeploy-final-10s-heap-info.txt</x:v>
      </x:c>
      <x:c r="AD523" s="34" t="str">
        <x:v>article1-unified-v4-2-fb3f101b-20260903-000401-default-f03-p1-cache2k-4-after-undeploy-final-10s-classloader-stats.txt</x:v>
      </x:c>
      <x:c r="AE523" s="34" t="str">
        <x:v>article1-unified-v4-2-fb3f101b-20260903-000401-default-f03-p1-cache2k-4-after-undeploy-final-10s-thread-dump.txt</x:v>
      </x:c>
      <x:c r="AF523" s="34"/>
      <x:c r="AG523" s="34" t="str">
        <x:v>article1-unified-v4-2-fb3f101b-20260903-000401-default-f03-p1-cache2k-4-after-undeploy-final-10s-native-memory.txt</x:v>
      </x:c>
      <x:c r="AH523" s="34" t="str">
        <x:v>article1-unified-v4-2-fb3f101b-20260903-000401-default-f03-p1-cache2k-4-after-undeploy-final-10s-class-histogram.txt</x:v>
      </x:c>
      <x:c r="AI523" s="34" t="str">
        <x:v>article1-unified-v4-2-fb3f101b-20260903-000401-default-f03-p1-cache2k-4-after-undeploy-tomcat-findleaks.txt</x:v>
      </x:c>
    </x:row>
    <x:row r="524">
      <x:c r="A524" s="34" t="str">
        <x:v>article1-unified-v4-2-fb3f101b-20260903-000401-default-f03-p1-cache2k</x:v>
      </x:c>
      <x:c r="B524" s="34" t="str">
        <x:v>default</x:v>
      </x:c>
      <x:c r="C524" s="34" t="str">
        <x:v>cache2k</x:v>
      </x:c>
      <x:c r="D524" s="34" t="str">
        <x:v>cache2k</x:v>
      </x:c>
      <x:c r="E524" s="36" t="n">
        <x:v>3</x:v>
      </x:c>
      <x:c r="F524" s="36" t="n">
        <x:v>3</x:v>
      </x:c>
      <x:c r="G524" s="36" t="n">
        <x:v>1</x:v>
      </x:c>
      <x:c r="H524" s="36" t="n">
        <x:v>4</x:v>
      </x:c>
      <x:c r="I524" s="34" t="str">
        <x:v>redeployedLoaded</x:v>
      </x:c>
      <x:c r="J524" s="34" t="str">
        <x:v>redeployed-loaded</x:v>
      </x:c>
      <x:c r="K524" s="36" t="n">
        <x:v>0</x:v>
      </x:c>
      <x:c r="L524" s="34" t="str">
        <x:v>redeploy</x:v>
      </x:c>
      <x:c r="M524" s="34" t="str">
        <x:v>article1-unified-v4-2-fb3f101b-20260903-000401-default-f03-p1-cache2k-4-redeployed-loaded</x:v>
      </x:c>
      <x:c r="N524" s="38" t="n">
        <x:v>46267.99551248843</x:v>
      </x:c>
      <x:c r="O524" s="36" t="n">
        <x:v>0</x:v>
      </x:c>
      <x:c r="P524" s="43" t="n">
        <x:v>92981248</x:v>
      </x:c>
      <x:c r="Q524" s="43" t="n">
        <x:v>268435456</x:v>
      </x:c>
      <x:c r="R524" s="43" t="n">
        <x:v>445558784</x:v>
      </x:c>
      <x:c r="S524" s="36" t="n">
        <x:v>3</x:v>
      </x:c>
      <x:c r="T524" s="44" t="str">
        <x:v>0x00000000561177b8  0x0000000056003818  0x00007b12d83e76d0    4452  21303296  21292664  org.apache.catalina.loader.ParallelWebappClassLoader | 0x00000000561177b8  0x0000000056003818  0x00007b12c4f168d0    4439  21274624  21254952  org.apache.catalina.loader.ParallelWebappClassLoader | 0x00000000561177b8  0x0000000056003818  0x00007b136c62db10       0         0         0  org.apache.catalina.loader.ParallelWebappClassLoader</x:v>
      </x:c>
      <x:c r="U524" s="36" t="n">
        <x:v>29</x:v>
      </x:c>
      <x:c r="V524" s="36" t="n">
        <x:v>0</x:v>
      </x:c>
      <x:c r="W524" s="44"/>
      <x:c r="X524" s="36"/>
      <x:c r="Y524" s="36"/>
      <x:c r="Z524" s="44"/>
      <x:c r="AA524" s="49"/>
      <x:c r="AB524" s="43"/>
      <x:c r="AC524" s="34"/>
      <x:c r="AD524" s="34"/>
      <x:c r="AE524" s="34"/>
      <x:c r="AF524" s="34"/>
      <x:c r="AG524" s="34"/>
      <x:c r="AH524" s="34"/>
      <x:c r="AI524" s="34"/>
    </x:row>
    <x:row r="525">
      <x:c r="A525" s="34" t="str">
        <x:v>article1-unified-v4-2-fb3f101b-20260903-000401-default-f03-p1-cache2k</x:v>
      </x:c>
      <x:c r="B525" s="34" t="str">
        <x:v>default</x:v>
      </x:c>
      <x:c r="C525" s="34" t="str">
        <x:v>cache2k</x:v>
      </x:c>
      <x:c r="D525" s="34" t="str">
        <x:v>cache2k</x:v>
      </x:c>
      <x:c r="E525" s="36" t="n">
        <x:v>3</x:v>
      </x:c>
      <x:c r="F525" s="36" t="n">
        <x:v>3</x:v>
      </x:c>
      <x:c r="G525" s="36" t="n">
        <x:v>1</x:v>
      </x:c>
      <x:c r="H525" s="36" t="n">
        <x:v>4</x:v>
      </x:c>
      <x:c r="I525" s="34" t="str">
        <x:v>afterFinalUndeployEarly</x:v>
      </x:c>
      <x:c r="J525" s="34" t="str">
        <x:v>after-final-undeploy-early</x:v>
      </x:c>
      <x:c r="K525" s="36" t="n">
        <x:v>2</x:v>
      </x:c>
      <x:c r="L525" s="34" t="str">
        <x:v>early</x:v>
      </x:c>
      <x:c r="M525" s="34" t="str">
        <x:v>article1-unified-v4-2-fb3f101b-20260903-000401-default-f03-p1-cache2k-4-after-final-undeploy-early-2s</x:v>
      </x:c>
      <x:c r="N525" s="38" t="n">
        <x:v>46267.99559572917</x:v>
      </x:c>
      <x:c r="O525" s="36"/>
      <x:c r="P525" s="43"/>
      <x:c r="Q525" s="43"/>
      <x:c r="R525" s="43"/>
      <x:c r="S525" s="36"/>
      <x:c r="T525" s="44"/>
      <x:c r="U525" s="36" t="n">
        <x:v>27</x:v>
      </x:c>
      <x:c r="V525" s="36" t="n">
        <x:v>0</x:v>
      </x:c>
      <x:c r="W525" s="44"/>
      <x:c r="X525" s="36"/>
      <x:c r="Y525" s="36"/>
      <x:c r="Z525" s="44"/>
      <x:c r="AA525" s="49"/>
      <x:c r="AB525" s="43" t="n">
        <x:v>1</x:v>
      </x:c>
      <x:c r="AC525" s="34"/>
      <x:c r="AD525" s="34"/>
      <x:c r="AE525" s="34" t="str">
        <x:v>article1-unified-v4-2-fb3f101b-20260903-000401-default-f03-p1-cache2k-4-after-final-undeploy-early-2s-thread-dump.txt</x:v>
      </x:c>
      <x:c r="AF525" s="34" t="str">
        <x:v>article1-unified-v4-2-fb3f101b-20260903-000401-default-f03-p1-cache2k-4-after-final-undeploy-early-tomcat-log.txt</x:v>
      </x:c>
      <x:c r="AG525" s="34"/>
      <x:c r="AH525" s="34"/>
      <x:c r="AI525" s="34"/>
    </x:row>
    <x:row r="526">
      <x:c r="A526" s="34" t="str">
        <x:v>article1-unified-v4-2-fb3f101b-20260903-000401-default-f03-p1-cache2k</x:v>
      </x:c>
      <x:c r="B526" s="34" t="str">
        <x:v>default</x:v>
      </x:c>
      <x:c r="C526" s="34" t="str">
        <x:v>cache2k</x:v>
      </x:c>
      <x:c r="D526" s="34" t="str">
        <x:v>cache2k</x:v>
      </x:c>
      <x:c r="E526" s="36" t="n">
        <x:v>3</x:v>
      </x:c>
      <x:c r="F526" s="36" t="n">
        <x:v>3</x:v>
      </x:c>
      <x:c r="G526" s="36" t="n">
        <x:v>1</x:v>
      </x:c>
      <x:c r="H526" s="36" t="n">
        <x:v>4</x:v>
      </x:c>
      <x:c r="I526" s="34" t="str">
        <x:v>afterFinalUndeploy</x:v>
      </x:c>
      <x:c r="J526" s="34" t="str">
        <x:v>after-final-undeploy-final</x:v>
      </x:c>
      <x:c r="K526" s="36" t="n">
        <x:v>2</x:v>
      </x:c>
      <x:c r="L526" s="34" t="str">
        <x:v>final</x:v>
      </x:c>
      <x:c r="M526" s="34" t="str">
        <x:v>article1-unified-v4-2-fb3f101b-20260903-000401-default-f03-p1-cache2k-4-after-final-undeploy-final-10s</x:v>
      </x:c>
      <x:c r="N526" s="38" t="n">
        <x:v>46267.9957543287</x:v>
      </x:c>
      <x:c r="O526" s="36" t="n">
        <x:v>2</x:v>
      </x:c>
      <x:c r="P526" s="43" t="n">
        <x:v>15671296</x:v>
      </x:c>
      <x:c r="Q526" s="43" t="n">
        <x:v>268435456</x:v>
      </x:c>
      <x:c r="R526" s="43" t="n">
        <x:v>428995584</x:v>
      </x:c>
      <x:c r="S526" s="36" t="n">
        <x:v>2</x:v>
      </x:c>
      <x:c r="T526" s="44" t="str">
        <x:v>0x00000000561177b8  0x0000000056003818  0x00007b136c62db10       0         0         0  org.apache.catalina.loader.ParallelWebappClassLoader | 0x00000000561177b8  0x0000000056003818  0x00007b12c4f168d0    4449  21307392  21283896  org.apache.catalina.loader.ParallelWebappClassLoader</x:v>
      </x:c>
      <x:c r="U526" s="36" t="n">
        <x:v>27</x:v>
      </x:c>
      <x:c r="V526" s="36" t="n">
        <x:v>0</x:v>
      </x:c>
      <x:c r="W526" s="44"/>
      <x:c r="X526" s="36" t="n">
        <x:v>1</x:v>
      </x:c>
      <x:c r="Y526" s="36" t="n">
        <x:v>1</x:v>
      </x:c>
      <x:c r="Z526" s="44" t="str">
        <x:v>/cache2k</x:v>
      </x:c>
      <x:c r="AA526" s="45" t="b">
        <x:v>1</x:v>
      </x:c>
      <x:c r="AB526" s="43"/>
      <x:c r="AC526" s="34" t="str">
        <x:v>article1-unified-v4-2-fb3f101b-20260903-000401-default-f03-p1-cache2k-4-after-final-undeploy-final-10s-heap-info.txt</x:v>
      </x:c>
      <x:c r="AD526" s="34" t="str">
        <x:v>article1-unified-v4-2-fb3f101b-20260903-000401-default-f03-p1-cache2k-4-after-final-undeploy-final-10s-classloader-stats.txt</x:v>
      </x:c>
      <x:c r="AE526" s="34" t="str">
        <x:v>article1-unified-v4-2-fb3f101b-20260903-000401-default-f03-p1-cache2k-4-after-final-undeploy-final-10s-thread-dump.txt</x:v>
      </x:c>
      <x:c r="AF526" s="34"/>
      <x:c r="AG526" s="34" t="str">
        <x:v>article1-unified-v4-2-fb3f101b-20260903-000401-default-f03-p1-cache2k-4-after-final-undeploy-final-10s-native-memory.txt</x:v>
      </x:c>
      <x:c r="AH526" s="34" t="str">
        <x:v>article1-unified-v4-2-fb3f101b-20260903-000401-default-f03-p1-cache2k-4-after-final-undeploy-final-10s-class-histogram.txt</x:v>
      </x:c>
      <x:c r="AI526" s="34" t="str">
        <x:v>article1-unified-v4-2-fb3f101b-20260903-000401-default-f03-p1-cache2k-4-after-final-undeploy-tomcat-findleaks.txt</x:v>
      </x:c>
    </x:row>
    <x:row r="527">
      <x:c r="A527" s="34" t="str">
        <x:v>article1-unified-v4-2-fb3f101b-20260903-000401-default-f03-p1-cache2k</x:v>
      </x:c>
      <x:c r="B527" s="34" t="str">
        <x:v>default</x:v>
      </x:c>
      <x:c r="C527" s="34" t="str">
        <x:v>cache2k</x:v>
      </x:c>
      <x:c r="D527" s="34" t="str">
        <x:v>cache2k</x:v>
      </x:c>
      <x:c r="E527" s="36" t="n">
        <x:v>3</x:v>
      </x:c>
      <x:c r="F527" s="36" t="n">
        <x:v>3</x:v>
      </x:c>
      <x:c r="G527" s="36" t="n">
        <x:v>1</x:v>
      </x:c>
      <x:c r="H527" s="36" t="n">
        <x:v>5</x:v>
      </x:c>
      <x:c r="I527" s="34" t="str">
        <x:v>baseline</x:v>
      </x:c>
      <x:c r="J527" s="34" t="str">
        <x:v>cycle-baseline</x:v>
      </x:c>
      <x:c r="K527" s="36" t="n">
        <x:v>0</x:v>
      </x:c>
      <x:c r="L527" s="34" t="str">
        <x:v>baseline</x:v>
      </x:c>
      <x:c r="M527" s="34" t="str">
        <x:v>article1-unified-v4-2-fb3f101b-20260903-000401-default-f03-p1-cache2k-5-baseline</x:v>
      </x:c>
      <x:c r="N527" s="38" t="n">
        <x:v>46267.99579931713</x:v>
      </x:c>
      <x:c r="O527" s="36" t="n">
        <x:v>0</x:v>
      </x:c>
      <x:c r="P527" s="43" t="n">
        <x:v>15671296</x:v>
      </x:c>
      <x:c r="Q527" s="43" t="n">
        <x:v>268435456</x:v>
      </x:c>
      <x:c r="R527" s="43" t="n">
        <x:v>428996608</x:v>
      </x:c>
      <x:c r="S527" s="36" t="n">
        <x:v>2</x:v>
      </x:c>
      <x:c r="T527" s="44" t="str">
        <x:v>0x00000000561177b8  0x0000000056003818  0x00007b136c62db10       0         0         0  org.apache.catalina.loader.ParallelWebappClassLoader | 0x00000000561177b8  0x0000000056003818  0x00007b12c4f168d0    4449  21307392  21283896  org.apache.catalina.loader.ParallelWebappClassLoader</x:v>
      </x:c>
      <x:c r="U527" s="36" t="n">
        <x:v>27</x:v>
      </x:c>
      <x:c r="V527" s="36" t="n">
        <x:v>0</x:v>
      </x:c>
      <x:c r="W527" s="44"/>
      <x:c r="X527" s="36"/>
      <x:c r="Y527" s="36"/>
      <x:c r="Z527" s="44"/>
      <x:c r="AA527" s="49"/>
      <x:c r="AB527" s="43"/>
      <x:c r="AC527" s="34" t="str">
        <x:v>article1-unified-v4-2-fb3f101b-20260903-000401-default-f03-p1-cache2k-5-baseline-heap-info.txt</x:v>
      </x:c>
      <x:c r="AD527" s="34" t="str">
        <x:v>article1-unified-v4-2-fb3f101b-20260903-000401-default-f03-p1-cache2k-5-baseline-classloader-stats.txt</x:v>
      </x:c>
      <x:c r="AE527" s="34" t="str">
        <x:v>article1-unified-v4-2-fb3f101b-20260903-000401-default-f03-p1-cache2k-5-baseline-thread-dump.txt</x:v>
      </x:c>
      <x:c r="AF527" s="34"/>
      <x:c r="AG527" s="34" t="str">
        <x:v>article1-unified-v4-2-fb3f101b-20260903-000401-default-f03-p1-cache2k-5-baseline-native-memory.txt</x:v>
      </x:c>
      <x:c r="AH527" s="34"/>
      <x:c r="AI527" s="34"/>
    </x:row>
    <x:row r="528">
      <x:c r="A528" s="34" t="str">
        <x:v>article1-unified-v4-2-fb3f101b-20260903-000401-default-f03-p1-cache2k</x:v>
      </x:c>
      <x:c r="B528" s="34" t="str">
        <x:v>default</x:v>
      </x:c>
      <x:c r="C528" s="34" t="str">
        <x:v>cache2k</x:v>
      </x:c>
      <x:c r="D528" s="34" t="str">
        <x:v>cache2k</x:v>
      </x:c>
      <x:c r="E528" s="36" t="n">
        <x:v>3</x:v>
      </x:c>
      <x:c r="F528" s="36" t="n">
        <x:v>3</x:v>
      </x:c>
      <x:c r="G528" s="36" t="n">
        <x:v>1</x:v>
      </x:c>
      <x:c r="H528" s="36" t="n">
        <x:v>5</x:v>
      </x:c>
      <x:c r="I528" s="34" t="str">
        <x:v>deployedIdle</x:v>
      </x:c>
      <x:c r="J528" s="34" t="str">
        <x:v>deployed-idle</x:v>
      </x:c>
      <x:c r="K528" s="36" t="n">
        <x:v>0</x:v>
      </x:c>
      <x:c r="L528" s="34" t="str">
        <x:v>initial</x:v>
      </x:c>
      <x:c r="M528" s="34" t="str">
        <x:v>article1-unified-v4-2-fb3f101b-20260903-000401-default-f03-p1-cache2k-5-deployed-idle</x:v>
      </x:c>
      <x:c r="N528" s="38" t="n">
        <x:v>46267.995900277776</x:v>
      </x:c>
      <x:c r="O528" s="36" t="n">
        <x:v>0</x:v>
      </x:c>
      <x:c r="P528" s="43" t="n">
        <x:v>169803776</x:v>
      </x:c>
      <x:c r="Q528" s="43" t="n">
        <x:v>268435456</x:v>
      </x:c>
      <x:c r="R528" s="43" t="n">
        <x:v>464913408</x:v>
      </x:c>
      <x:c r="S528" s="36" t="n">
        <x:v>3</x:v>
      </x:c>
      <x:c r="T528" s="44" t="str">
        <x:v>0x00000000561177b8  0x0000000056003818  0x00007b136c62db10       0         0         0  org.apache.catalina.loader.ParallelWebappClassLoader | 0x00000000561177b8  0x0000000056003818  0x00007b12c4f168d0    4449  21307392  21283896  org.apache.catalina.loader.ParallelWebappClassLoader | 0x00000000561177b8  0x0000000056003818  0x00007b12c05cc7a0    4091  19443712  19430912  org.apache.catalina.loader.ParallelWebappClassLoader</x:v>
      </x:c>
      <x:c r="U528" s="36" t="n">
        <x:v>27</x:v>
      </x:c>
      <x:c r="V528" s="36" t="n">
        <x:v>0</x:v>
      </x:c>
      <x:c r="W528" s="44"/>
      <x:c r="X528" s="36"/>
      <x:c r="Y528" s="36"/>
      <x:c r="Z528" s="44"/>
      <x:c r="AA528" s="49"/>
      <x:c r="AB528" s="43"/>
      <x:c r="AC528" s="34"/>
      <x:c r="AD528" s="34"/>
      <x:c r="AE528" s="34"/>
      <x:c r="AF528" s="34"/>
      <x:c r="AG528" s="34"/>
      <x:c r="AH528" s="34"/>
      <x:c r="AI528" s="34"/>
    </x:row>
    <x:row r="529">
      <x:c r="A529" s="34" t="str">
        <x:v>article1-unified-v4-2-fb3f101b-20260903-000401-default-f03-p1-cache2k</x:v>
      </x:c>
      <x:c r="B529" s="34" t="str">
        <x:v>default</x:v>
      </x:c>
      <x:c r="C529" s="34" t="str">
        <x:v>cache2k</x:v>
      </x:c>
      <x:c r="D529" s="34" t="str">
        <x:v>cache2k</x:v>
      </x:c>
      <x:c r="E529" s="36" t="n">
        <x:v>3</x:v>
      </x:c>
      <x:c r="F529" s="36" t="n">
        <x:v>3</x:v>
      </x:c>
      <x:c r="G529" s="36" t="n">
        <x:v>1</x:v>
      </x:c>
      <x:c r="H529" s="36" t="n">
        <x:v>5</x:v>
      </x:c>
      <x:c r="I529" s="34" t="str">
        <x:v>loaded</x:v>
      </x:c>
      <x:c r="J529" s="34" t="str">
        <x:v>loaded</x:v>
      </x:c>
      <x:c r="K529" s="36" t="n">
        <x:v>0</x:v>
      </x:c>
      <x:c r="L529" s="34" t="str">
        <x:v>initial</x:v>
      </x:c>
      <x:c r="M529" s="34" t="str">
        <x:v>article1-unified-v4-2-fb3f101b-20260903-000401-default-f03-p1-cache2k-5-loaded</x:v>
      </x:c>
      <x:c r="N529" s="38" t="n">
        <x:v>46267.9960509375</x:v>
      </x:c>
      <x:c r="O529" s="36" t="n">
        <x:v>0</x:v>
      </x:c>
      <x:c r="P529" s="43" t="n">
        <x:v>92680192</x:v>
      </x:c>
      <x:c r="Q529" s="43" t="n">
        <x:v>268435456</x:v>
      </x:c>
      <x:c r="R529" s="43" t="n">
        <x:v>455117824</x:v>
      </x:c>
      <x:c r="S529" s="36" t="n">
        <x:v>3</x:v>
      </x:c>
      <x:c r="T529" s="44" t="str">
        <x:v>0x00000000561177b8  0x0000000056003818  0x00007b12c05cc7a0    4441  21278720  21263944  org.apache.catalina.loader.ParallelWebappClassLoader | 0x00000000561177b8  0x0000000056003818  0x00007b136c62db10       0         0         0  org.apache.catalina.loader.ParallelWebappClassLoader | 0x00000000561177b8  0x0000000056003818  0x00007b12c4f168d0    4449  21307392  21283896  org.apache.catalina.loader.ParallelWebappClassLoader</x:v>
      </x:c>
      <x:c r="U529" s="36" t="n">
        <x:v>29</x:v>
      </x:c>
      <x:c r="V529" s="36" t="n">
        <x:v>0</x:v>
      </x:c>
      <x:c r="W529" s="44"/>
      <x:c r="X529" s="36"/>
      <x:c r="Y529" s="36"/>
      <x:c r="Z529" s="44"/>
      <x:c r="AA529" s="49"/>
      <x:c r="AB529" s="43"/>
      <x:c r="AC529" s="34"/>
      <x:c r="AD529" s="34"/>
      <x:c r="AE529" s="34"/>
      <x:c r="AF529" s="34"/>
      <x:c r="AG529" s="34"/>
      <x:c r="AH529" s="34"/>
      <x:c r="AI529" s="34"/>
    </x:row>
    <x:row r="530">
      <x:c r="A530" s="34" t="str">
        <x:v>article1-unified-v4-2-fb3f101b-20260903-000401-default-f03-p1-cache2k</x:v>
      </x:c>
      <x:c r="B530" s="34" t="str">
        <x:v>default</x:v>
      </x:c>
      <x:c r="C530" s="34" t="str">
        <x:v>cache2k</x:v>
      </x:c>
      <x:c r="D530" s="34" t="str">
        <x:v>cache2k</x:v>
      </x:c>
      <x:c r="E530" s="36" t="n">
        <x:v>3</x:v>
      </x:c>
      <x:c r="F530" s="36" t="n">
        <x:v>3</x:v>
      </x:c>
      <x:c r="G530" s="36" t="n">
        <x:v>1</x:v>
      </x:c>
      <x:c r="H530" s="36" t="n">
        <x:v>5</x:v>
      </x:c>
      <x:c r="I530" s="34" t="str">
        <x:v>afterUndeployEarly</x:v>
      </x:c>
      <x:c r="J530" s="34" t="str">
        <x:v>after-undeploy-early</x:v>
      </x:c>
      <x:c r="K530" s="36" t="n">
        <x:v>1</x:v>
      </x:c>
      <x:c r="L530" s="34" t="str">
        <x:v>early</x:v>
      </x:c>
      <x:c r="M530" s="34" t="str">
        <x:v>article1-unified-v4-2-fb3f101b-20260903-000401-default-f03-p1-cache2k-5-after-undeploy-early-2s</x:v>
      </x:c>
      <x:c r="N530" s="38" t="n">
        <x:v>46267.996135520836</x:v>
      </x:c>
      <x:c r="O530" s="36"/>
      <x:c r="P530" s="43"/>
      <x:c r="Q530" s="43"/>
      <x:c r="R530" s="43"/>
      <x:c r="S530" s="36"/>
      <x:c r="T530" s="44"/>
      <x:c r="U530" s="36" t="n">
        <x:v>27</x:v>
      </x:c>
      <x:c r="V530" s="36" t="n">
        <x:v>0</x:v>
      </x:c>
      <x:c r="W530" s="44"/>
      <x:c r="X530" s="36"/>
      <x:c r="Y530" s="36"/>
      <x:c r="Z530" s="44"/>
      <x:c r="AA530" s="49"/>
      <x:c r="AB530" s="43" t="n">
        <x:v>1</x:v>
      </x:c>
      <x:c r="AC530" s="34"/>
      <x:c r="AD530" s="34"/>
      <x:c r="AE530" s="34" t="str">
        <x:v>article1-unified-v4-2-fb3f101b-20260903-000401-default-f03-p1-cache2k-5-after-undeploy-early-2s-thread-dump.txt</x:v>
      </x:c>
      <x:c r="AF530" s="34" t="str">
        <x:v>article1-unified-v4-2-fb3f101b-20260903-000401-default-f03-p1-cache2k-5-after-undeploy-early-tomcat-log.txt</x:v>
      </x:c>
      <x:c r="AG530" s="34"/>
      <x:c r="AH530" s="34"/>
      <x:c r="AI530" s="34"/>
    </x:row>
    <x:row r="531">
      <x:c r="A531" s="34" t="str">
        <x:v>article1-unified-v4-2-fb3f101b-20260903-000401-default-f03-p1-cache2k</x:v>
      </x:c>
      <x:c r="B531" s="34" t="str">
        <x:v>default</x:v>
      </x:c>
      <x:c r="C531" s="34" t="str">
        <x:v>cache2k</x:v>
      </x:c>
      <x:c r="D531" s="34" t="str">
        <x:v>cache2k</x:v>
      </x:c>
      <x:c r="E531" s="36" t="n">
        <x:v>3</x:v>
      </x:c>
      <x:c r="F531" s="36" t="n">
        <x:v>3</x:v>
      </x:c>
      <x:c r="G531" s="36" t="n">
        <x:v>1</x:v>
      </x:c>
      <x:c r="H531" s="36" t="n">
        <x:v>5</x:v>
      </x:c>
      <x:c r="I531" s="34" t="str">
        <x:v>afterUndeploy</x:v>
      </x:c>
      <x:c r="J531" s="34" t="str">
        <x:v>after-undeploy-final</x:v>
      </x:c>
      <x:c r="K531" s="36" t="n">
        <x:v>1</x:v>
      </x:c>
      <x:c r="L531" s="34" t="str">
        <x:v>final</x:v>
      </x:c>
      <x:c r="M531" s="34" t="str">
        <x:v>article1-unified-v4-2-fb3f101b-20260903-000401-default-f03-p1-cache2k-5-after-undeploy-final-10s</x:v>
      </x:c>
      <x:c r="N531" s="38" t="n">
        <x:v>46267.996296481484</x:v>
      </x:c>
      <x:c r="O531" s="36" t="n">
        <x:v>2</x:v>
      </x:c>
      <x:c r="P531" s="43" t="n">
        <x:v>15680512</x:v>
      </x:c>
      <x:c r="Q531" s="43" t="n">
        <x:v>268435456</x:v>
      </x:c>
      <x:c r="R531" s="43" t="n">
        <x:v>426121216</x:v>
      </x:c>
      <x:c r="S531" s="36" t="n">
        <x:v>2</x:v>
      </x:c>
      <x:c r="T531" s="44" t="str">
        <x:v>0x00000000561177b8  0x0000000056003818  0x00007b12c05cc7a0    4451  21311488  21292888  org.apache.catalina.loader.ParallelWebappClassLoader | 0x00000000561177b8  0x0000000056003818  0x00007b136c62db10       0         0         0  org.apache.catalina.loader.ParallelWebappClassLoader</x:v>
      </x:c>
      <x:c r="U531" s="36" t="n">
        <x:v>27</x:v>
      </x:c>
      <x:c r="V531" s="36" t="n">
        <x:v>0</x:v>
      </x:c>
      <x:c r="W531" s="44"/>
      <x:c r="X531" s="36" t="n">
        <x:v>1</x:v>
      </x:c>
      <x:c r="Y531" s="36" t="n">
        <x:v>1</x:v>
      </x:c>
      <x:c r="Z531" s="44" t="str">
        <x:v>/cache2k</x:v>
      </x:c>
      <x:c r="AA531" s="45" t="b">
        <x:v>1</x:v>
      </x:c>
      <x:c r="AB531" s="43"/>
      <x:c r="AC531" s="34" t="str">
        <x:v>article1-unified-v4-2-fb3f101b-20260903-000401-default-f03-p1-cache2k-5-after-undeploy-final-10s-heap-info.txt</x:v>
      </x:c>
      <x:c r="AD531" s="34" t="str">
        <x:v>article1-unified-v4-2-fb3f101b-20260903-000401-default-f03-p1-cache2k-5-after-undeploy-final-10s-classloader-stats.txt</x:v>
      </x:c>
      <x:c r="AE531" s="34" t="str">
        <x:v>article1-unified-v4-2-fb3f101b-20260903-000401-default-f03-p1-cache2k-5-after-undeploy-final-10s-thread-dump.txt</x:v>
      </x:c>
      <x:c r="AF531" s="34"/>
      <x:c r="AG531" s="34" t="str">
        <x:v>article1-unified-v4-2-fb3f101b-20260903-000401-default-f03-p1-cache2k-5-after-undeploy-final-10s-native-memory.txt</x:v>
      </x:c>
      <x:c r="AH531" s="34" t="str">
        <x:v>article1-unified-v4-2-fb3f101b-20260903-000401-default-f03-p1-cache2k-5-after-undeploy-final-10s-class-histogram.txt</x:v>
      </x:c>
      <x:c r="AI531" s="34" t="str">
        <x:v>article1-unified-v4-2-fb3f101b-20260903-000401-default-f03-p1-cache2k-5-after-undeploy-tomcat-findleaks.txt</x:v>
      </x:c>
    </x:row>
    <x:row r="532">
      <x:c r="A532" s="34" t="str">
        <x:v>article1-unified-v4-2-fb3f101b-20260903-000401-default-f03-p1-cache2k</x:v>
      </x:c>
      <x:c r="B532" s="34" t="str">
        <x:v>default</x:v>
      </x:c>
      <x:c r="C532" s="34" t="str">
        <x:v>cache2k</x:v>
      </x:c>
      <x:c r="D532" s="34" t="str">
        <x:v>cache2k</x:v>
      </x:c>
      <x:c r="E532" s="36" t="n">
        <x:v>3</x:v>
      </x:c>
      <x:c r="F532" s="36" t="n">
        <x:v>3</x:v>
      </x:c>
      <x:c r="G532" s="36" t="n">
        <x:v>1</x:v>
      </x:c>
      <x:c r="H532" s="36" t="n">
        <x:v>5</x:v>
      </x:c>
      <x:c r="I532" s="34" t="str">
        <x:v>redeployedLoaded</x:v>
      </x:c>
      <x:c r="J532" s="34" t="str">
        <x:v>redeployed-loaded</x:v>
      </x:c>
      <x:c r="K532" s="36" t="n">
        <x:v>0</x:v>
      </x:c>
      <x:c r="L532" s="34" t="str">
        <x:v>redeploy</x:v>
      </x:c>
      <x:c r="M532" s="34" t="str">
        <x:v>article1-unified-v4-2-fb3f101b-20260903-000401-default-f03-p1-cache2k-5-redeployed-loaded</x:v>
      </x:c>
      <x:c r="N532" s="38" t="n">
        <x:v>46267.99655791667</x:v>
      </x:c>
      <x:c r="O532" s="36" t="n">
        <x:v>0</x:v>
      </x:c>
      <x:c r="P532" s="43" t="n">
        <x:v>207373312</x:v>
      </x:c>
      <x:c r="Q532" s="43" t="n">
        <x:v>268435456</x:v>
      </x:c>
      <x:c r="R532" s="43" t="n">
        <x:v>449150976</x:v>
      </x:c>
      <x:c r="S532" s="36" t="n">
        <x:v>3</x:v>
      </x:c>
      <x:c r="T532" s="44" t="str">
        <x:v>0x00000000561177b8  0x0000000056003818  0x00007b12b0013540    4442  21275648  21265072  org.apache.catalina.loader.ParallelWebappClassLoader | 0x00000000561177b8  0x0000000056003818  0x00007b12c05cc7a0    4451  21311488  21292888  org.apache.catalina.loader.ParallelWebappClassLoader | 0x00000000561177b8  0x0000000056003818  0x00007b136c62db10       0         0         0  org.apache.catalina.loader.ParallelWebappClassLoader</x:v>
      </x:c>
      <x:c r="U532" s="36" t="n">
        <x:v>29</x:v>
      </x:c>
      <x:c r="V532" s="36" t="n">
        <x:v>0</x:v>
      </x:c>
      <x:c r="W532" s="44"/>
      <x:c r="X532" s="36"/>
      <x:c r="Y532" s="36"/>
      <x:c r="Z532" s="44"/>
      <x:c r="AA532" s="49"/>
      <x:c r="AB532" s="43"/>
      <x:c r="AC532" s="34"/>
      <x:c r="AD532" s="34"/>
      <x:c r="AE532" s="34"/>
      <x:c r="AF532" s="34"/>
      <x:c r="AG532" s="34"/>
      <x:c r="AH532" s="34"/>
      <x:c r="AI532" s="34"/>
    </x:row>
    <x:row r="533">
      <x:c r="A533" s="34" t="str">
        <x:v>article1-unified-v4-2-fb3f101b-20260903-000401-default-f03-p1-cache2k</x:v>
      </x:c>
      <x:c r="B533" s="34" t="str">
        <x:v>default</x:v>
      </x:c>
      <x:c r="C533" s="34" t="str">
        <x:v>cache2k</x:v>
      </x:c>
      <x:c r="D533" s="34" t="str">
        <x:v>cache2k</x:v>
      </x:c>
      <x:c r="E533" s="36" t="n">
        <x:v>3</x:v>
      </x:c>
      <x:c r="F533" s="36" t="n">
        <x:v>3</x:v>
      </x:c>
      <x:c r="G533" s="36" t="n">
        <x:v>1</x:v>
      </x:c>
      <x:c r="H533" s="36" t="n">
        <x:v>5</x:v>
      </x:c>
      <x:c r="I533" s="34" t="str">
        <x:v>afterFinalUndeployEarly</x:v>
      </x:c>
      <x:c r="J533" s="34" t="str">
        <x:v>after-final-undeploy-early</x:v>
      </x:c>
      <x:c r="K533" s="36" t="n">
        <x:v>2</x:v>
      </x:c>
      <x:c r="L533" s="34" t="str">
        <x:v>early</x:v>
      </x:c>
      <x:c r="M533" s="34" t="str">
        <x:v>article1-unified-v4-2-fb3f101b-20260903-000401-default-f03-p1-cache2k-5-after-final-undeploy-early-2s</x:v>
      </x:c>
      <x:c r="N533" s="38" t="n">
        <x:v>46267.99664006945</x:v>
      </x:c>
      <x:c r="O533" s="36"/>
      <x:c r="P533" s="43"/>
      <x:c r="Q533" s="43"/>
      <x:c r="R533" s="43"/>
      <x:c r="S533" s="36"/>
      <x:c r="T533" s="44"/>
      <x:c r="U533" s="36" t="n">
        <x:v>27</x:v>
      </x:c>
      <x:c r="V533" s="36" t="n">
        <x:v>0</x:v>
      </x:c>
      <x:c r="W533" s="44"/>
      <x:c r="X533" s="36"/>
      <x:c r="Y533" s="36"/>
      <x:c r="Z533" s="44"/>
      <x:c r="AA533" s="49"/>
      <x:c r="AB533" s="43" t="n">
        <x:v>1</x:v>
      </x:c>
      <x:c r="AC533" s="34"/>
      <x:c r="AD533" s="34"/>
      <x:c r="AE533" s="34" t="str">
        <x:v>article1-unified-v4-2-fb3f101b-20260903-000401-default-f03-p1-cache2k-5-after-final-undeploy-early-2s-thread-dump.txt</x:v>
      </x:c>
      <x:c r="AF533" s="34" t="str">
        <x:v>article1-unified-v4-2-fb3f101b-20260903-000401-default-f03-p1-cache2k-5-after-final-undeploy-early-tomcat-log.txt</x:v>
      </x:c>
      <x:c r="AG533" s="34"/>
      <x:c r="AH533" s="34"/>
      <x:c r="AI533" s="34"/>
    </x:row>
    <x:row r="534">
      <x:c r="A534" s="34" t="str">
        <x:v>article1-unified-v4-2-fb3f101b-20260903-000401-default-f03-p1-cache2k</x:v>
      </x:c>
      <x:c r="B534" s="34" t="str">
        <x:v>default</x:v>
      </x:c>
      <x:c r="C534" s="34" t="str">
        <x:v>cache2k</x:v>
      </x:c>
      <x:c r="D534" s="34" t="str">
        <x:v>cache2k</x:v>
      </x:c>
      <x:c r="E534" s="36" t="n">
        <x:v>3</x:v>
      </x:c>
      <x:c r="F534" s="36" t="n">
        <x:v>3</x:v>
      </x:c>
      <x:c r="G534" s="36" t="n">
        <x:v>1</x:v>
      </x:c>
      <x:c r="H534" s="36" t="n">
        <x:v>5</x:v>
      </x:c>
      <x:c r="I534" s="34" t="str">
        <x:v>afterFinalUndeploy</x:v>
      </x:c>
      <x:c r="J534" s="34" t="str">
        <x:v>after-final-undeploy-final</x:v>
      </x:c>
      <x:c r="K534" s="36" t="n">
        <x:v>2</x:v>
      </x:c>
      <x:c r="L534" s="34" t="str">
        <x:v>final</x:v>
      </x:c>
      <x:c r="M534" s="34" t="str">
        <x:v>article1-unified-v4-2-fb3f101b-20260903-000401-default-f03-p1-cache2k-5-after-final-undeploy-final-10s</x:v>
      </x:c>
      <x:c r="N534" s="38" t="n">
        <x:v>46267.99679579861</x:v>
      </x:c>
      <x:c r="O534" s="36" t="n">
        <x:v>2</x:v>
      </x:c>
      <x:c r="P534" s="43" t="n">
        <x:v>15693824</x:v>
      </x:c>
      <x:c r="Q534" s="43" t="n">
        <x:v>268435456</x:v>
      </x:c>
      <x:c r="R534" s="43" t="n">
        <x:v>430736384</x:v>
      </x:c>
      <x:c r="S534" s="36" t="n">
        <x:v>2</x:v>
      </x:c>
      <x:c r="T534" s="44" t="str">
        <x:v>0x00000000561177b8  0x0000000056003818  0x00007b12b0013540    4452  21308416  21294016  org.apache.catalina.loader.ParallelWebappClassLoader | 0x00000000561177b8  0x0000000056003818  0x00007b136c62db10       0         0         0  org.apache.catalina.loader.ParallelWebappClassLoader</x:v>
      </x:c>
      <x:c r="U534" s="36" t="n">
        <x:v>27</x:v>
      </x:c>
      <x:c r="V534" s="36" t="n">
        <x:v>0</x:v>
      </x:c>
      <x:c r="W534" s="44"/>
      <x:c r="X534" s="36" t="n">
        <x:v>1</x:v>
      </x:c>
      <x:c r="Y534" s="36" t="n">
        <x:v>1</x:v>
      </x:c>
      <x:c r="Z534" s="44" t="str">
        <x:v>/cache2k</x:v>
      </x:c>
      <x:c r="AA534" s="45" t="b">
        <x:v>1</x:v>
      </x:c>
      <x:c r="AB534" s="43"/>
      <x:c r="AC534" s="34" t="str">
        <x:v>article1-unified-v4-2-fb3f101b-20260903-000401-default-f03-p1-cache2k-5-after-final-undeploy-final-10s-heap-info.txt</x:v>
      </x:c>
      <x:c r="AD534" s="34" t="str">
        <x:v>article1-unified-v4-2-fb3f101b-20260903-000401-default-f03-p1-cache2k-5-after-final-undeploy-final-10s-classloader-stats.txt</x:v>
      </x:c>
      <x:c r="AE534" s="34" t="str">
        <x:v>article1-unified-v4-2-fb3f101b-20260903-000401-default-f03-p1-cache2k-5-after-final-undeploy-final-10s-thread-dump.txt</x:v>
      </x:c>
      <x:c r="AF534" s="34"/>
      <x:c r="AG534" s="34" t="str">
        <x:v>article1-unified-v4-2-fb3f101b-20260903-000401-default-f03-p1-cache2k-5-after-final-undeploy-final-10s-native-memory.txt</x:v>
      </x:c>
      <x:c r="AH534" s="34" t="str">
        <x:v>article1-unified-v4-2-fb3f101b-20260903-000401-default-f03-p1-cache2k-5-after-final-undeploy-final-10s-class-histogram.txt</x:v>
      </x:c>
      <x:c r="AI534" s="34" t="str">
        <x:v>article1-unified-v4-2-fb3f101b-20260903-000401-default-f03-p1-cache2k-5-after-final-undeploy-tomcat-findleaks.txt</x:v>
      </x:c>
    </x:row>
    <x:row r="535">
      <x:c r="A535" s="34" t="str">
        <x:v>article1-unified-v4-2-fb3f101b-20260903-000401-default-f03-p2-jcs4</x:v>
      </x:c>
      <x:c r="B535" s="34" t="str">
        <x:v>default</x:v>
      </x:c>
      <x:c r="C535" s="34" t="str">
        <x:v>jcs4</x:v>
      </x:c>
      <x:c r="D535" s="34" t="str">
        <x:v>jcs4</x:v>
      </x:c>
      <x:c r="E535" s="36" t="n">
        <x:v>3</x:v>
      </x:c>
      <x:c r="F535" s="36" t="n">
        <x:v>3</x:v>
      </x:c>
      <x:c r="G535" s="36" t="n">
        <x:v>2</x:v>
      </x:c>
      <x:c r="H535" s="36" t="n">
        <x:v>0</x:v>
      </x:c>
      <x:c r="I535" s="34" t="str">
        <x:v>processBaseline</x:v>
      </x:c>
      <x:c r="J535" s="34" t="str">
        <x:v>process-baseline</x:v>
      </x:c>
      <x:c r="K535" s="36" t="n">
        <x:v>0</x:v>
      </x:c>
      <x:c r="L535" s="34" t="str">
        <x:v>baseline</x:v>
      </x:c>
      <x:c r="M535" s="34" t="str">
        <x:v>article1-unified-v4-2-fb3f101b-20260903-000401-default-f03-p2-jcs4-process-baseline</x:v>
      </x:c>
      <x:c r="N535" s="38" t="n">
        <x:v>46267.99703721065</x:v>
      </x:c>
      <x:c r="O535" s="36" t="n">
        <x:v>0</x:v>
      </x:c>
      <x:c r="P535" s="43" t="n">
        <x:v>32843776</x:v>
      </x:c>
      <x:c r="Q535" s="43" t="n">
        <x:v>270532608</x:v>
      </x:c>
      <x:c r="R535" s="43" t="n">
        <x:v>369306624</x:v>
      </x:c>
      <x:c r="S535" s="36" t="n">
        <x:v>1</x:v>
      </x:c>
      <x:c r="T535" s="44" t="str">
        <x:v>0x00000000111177b8  0x0000000011003818  0x00007cfab862ded0       0         0         0  org.apache.catalina.loader.ParallelWebappClassLoader</x:v>
      </x:c>
      <x:c r="U535" s="36" t="n">
        <x:v>27</x:v>
      </x:c>
      <x:c r="V535" s="36" t="n">
        <x:v>0</x:v>
      </x:c>
      <x:c r="W535" s="44"/>
      <x:c r="X535" s="36"/>
      <x:c r="Y535" s="36"/>
      <x:c r="Z535" s="44"/>
      <x:c r="AA535" s="49"/>
      <x:c r="AB535" s="43"/>
      <x:c r="AC535" s="34" t="str">
        <x:v>article1-unified-v4-2-fb3f101b-20260903-000401-default-f03-p2-jcs4-process-baseline-heap-info.txt</x:v>
      </x:c>
      <x:c r="AD535" s="34" t="str">
        <x:v>article1-unified-v4-2-fb3f101b-20260903-000401-default-f03-p2-jcs4-process-baseline-classloader-stats.txt</x:v>
      </x:c>
      <x:c r="AE535" s="34" t="str">
        <x:v>article1-unified-v4-2-fb3f101b-20260903-000401-default-f03-p2-jcs4-process-baseline-thread-dump.txt</x:v>
      </x:c>
      <x:c r="AF535" s="34"/>
      <x:c r="AG535" s="34" t="str">
        <x:v>article1-unified-v4-2-fb3f101b-20260903-000401-default-f03-p2-jcs4-process-baseline-native-memory.txt</x:v>
      </x:c>
      <x:c r="AH535" s="34"/>
      <x:c r="AI535" s="34"/>
    </x:row>
    <x:row r="536">
      <x:c r="A536" s="34" t="str">
        <x:v>article1-unified-v4-2-fb3f101b-20260903-000401-default-f03-p2-jcs4</x:v>
      </x:c>
      <x:c r="B536" s="34" t="str">
        <x:v>default</x:v>
      </x:c>
      <x:c r="C536" s="34" t="str">
        <x:v>jcs4</x:v>
      </x:c>
      <x:c r="D536" s="34" t="str">
        <x:v>jcs4</x:v>
      </x:c>
      <x:c r="E536" s="36" t="n">
        <x:v>3</x:v>
      </x:c>
      <x:c r="F536" s="36" t="n">
        <x:v>3</x:v>
      </x:c>
      <x:c r="G536" s="36" t="n">
        <x:v>2</x:v>
      </x:c>
      <x:c r="H536" s="36" t="n">
        <x:v>1</x:v>
      </x:c>
      <x:c r="I536" s="34" t="str">
        <x:v>baseline</x:v>
      </x:c>
      <x:c r="J536" s="34" t="str">
        <x:v>cycle-baseline</x:v>
      </x:c>
      <x:c r="K536" s="36" t="n">
        <x:v>0</x:v>
      </x:c>
      <x:c r="L536" s="34" t="str">
        <x:v>baseline</x:v>
      </x:c>
      <x:c r="M536" s="34" t="str">
        <x:v>article1-unified-v4-2-fb3f101b-20260903-000401-default-f03-p2-jcs4-1-baseline</x:v>
      </x:c>
      <x:c r="N536" s="38" t="n">
        <x:v>46267.997239131946</x:v>
      </x:c>
      <x:c r="O536" s="36" t="n">
        <x:v>0</x:v>
      </x:c>
      <x:c r="P536" s="43" t="n">
        <x:v>33368064</x:v>
      </x:c>
      <x:c r="Q536" s="43" t="n">
        <x:v>270532608</x:v>
      </x:c>
      <x:c r="R536" s="43" t="n">
        <x:v>369958912</x:v>
      </x:c>
      <x:c r="S536" s="36" t="n">
        <x:v>1</x:v>
      </x:c>
      <x:c r="T536" s="44" t="str">
        <x:v>0x00000000111177b8  0x0000000011003818  0x00007cfab862ded0       0         0         0  org.apache.catalina.loader.ParallelWebappClassLoader</x:v>
      </x:c>
      <x:c r="U536" s="36" t="n">
        <x:v>27</x:v>
      </x:c>
      <x:c r="V536" s="36" t="n">
        <x:v>0</x:v>
      </x:c>
      <x:c r="W536" s="44"/>
      <x:c r="X536" s="36"/>
      <x:c r="Y536" s="36"/>
      <x:c r="Z536" s="44"/>
      <x:c r="AA536" s="49"/>
      <x:c r="AB536" s="43"/>
      <x:c r="AC536" s="34" t="str">
        <x:v>article1-unified-v4-2-fb3f101b-20260903-000401-default-f03-p2-jcs4-1-baseline-heap-info.txt</x:v>
      </x:c>
      <x:c r="AD536" s="34" t="str">
        <x:v>article1-unified-v4-2-fb3f101b-20260903-000401-default-f03-p2-jcs4-1-baseline-classloader-stats.txt</x:v>
      </x:c>
      <x:c r="AE536" s="34" t="str">
        <x:v>article1-unified-v4-2-fb3f101b-20260903-000401-default-f03-p2-jcs4-1-baseline-thread-dump.txt</x:v>
      </x:c>
      <x:c r="AF536" s="34"/>
      <x:c r="AG536" s="34" t="str">
        <x:v>article1-unified-v4-2-fb3f101b-20260903-000401-default-f03-p2-jcs4-1-baseline-native-memory.txt</x:v>
      </x:c>
      <x:c r="AH536" s="34"/>
      <x:c r="AI536" s="34"/>
    </x:row>
    <x:row r="537">
      <x:c r="A537" s="34" t="str">
        <x:v>article1-unified-v4-2-fb3f101b-20260903-000401-default-f03-p2-jcs4</x:v>
      </x:c>
      <x:c r="B537" s="34" t="str">
        <x:v>default</x:v>
      </x:c>
      <x:c r="C537" s="34" t="str">
        <x:v>jcs4</x:v>
      </x:c>
      <x:c r="D537" s="34" t="str">
        <x:v>jcs4</x:v>
      </x:c>
      <x:c r="E537" s="36" t="n">
        <x:v>3</x:v>
      </x:c>
      <x:c r="F537" s="36" t="n">
        <x:v>3</x:v>
      </x:c>
      <x:c r="G537" s="36" t="n">
        <x:v>2</x:v>
      </x:c>
      <x:c r="H537" s="36" t="n">
        <x:v>1</x:v>
      </x:c>
      <x:c r="I537" s="34" t="str">
        <x:v>deployedIdle</x:v>
      </x:c>
      <x:c r="J537" s="34" t="str">
        <x:v>deployed-idle</x:v>
      </x:c>
      <x:c r="K537" s="36" t="n">
        <x:v>0</x:v>
      </x:c>
      <x:c r="L537" s="34" t="str">
        <x:v>initial</x:v>
      </x:c>
      <x:c r="M537" s="34" t="str">
        <x:v>article1-unified-v4-2-fb3f101b-20260903-000401-default-f03-p2-jcs4-1-deployed-idle</x:v>
      </x:c>
      <x:c r="N537" s="38" t="n">
        <x:v>46267.99735641204</x:v>
      </x:c>
      <x:c r="O537" s="36" t="n">
        <x:v>0</x:v>
      </x:c>
      <x:c r="P537" s="43" t="n">
        <x:v>22471680</x:v>
      </x:c>
      <x:c r="Q537" s="43" t="n">
        <x:v>268435456</x:v>
      </x:c>
      <x:c r="R537" s="43" t="n">
        <x:v>427122688</x:v>
      </x:c>
      <x:c r="S537" s="36" t="n">
        <x:v>2</x:v>
      </x:c>
      <x:c r="T537" s="44" t="str">
        <x:v>0x00000000111177b8  0x0000000011003818  0x00007cfab862ded0       0         0         0  org.apache.catalina.loader.ParallelWebappClassLoader | 0x00000000111177b8  0x0000000011003818  0x00007cfa18027340    4091  19431424  19411304  org.apache.catalina.loader.ParallelWebappClassLoader</x:v>
      </x:c>
      <x:c r="U537" s="36" t="n">
        <x:v>27</x:v>
      </x:c>
      <x:c r="V537" s="36" t="n">
        <x:v>0</x:v>
      </x:c>
      <x:c r="W537" s="44"/>
      <x:c r="X537" s="36"/>
      <x:c r="Y537" s="36"/>
      <x:c r="Z537" s="44"/>
      <x:c r="AA537" s="49"/>
      <x:c r="AB537" s="43"/>
      <x:c r="AC537" s="34"/>
      <x:c r="AD537" s="34"/>
      <x:c r="AE537" s="34"/>
      <x:c r="AF537" s="34"/>
      <x:c r="AG537" s="34"/>
      <x:c r="AH537" s="34"/>
      <x:c r="AI537" s="34"/>
    </x:row>
    <x:row r="538">
      <x:c r="A538" s="34" t="str">
        <x:v>article1-unified-v4-2-fb3f101b-20260903-000401-default-f03-p2-jcs4</x:v>
      </x:c>
      <x:c r="B538" s="34" t="str">
        <x:v>default</x:v>
      </x:c>
      <x:c r="C538" s="34" t="str">
        <x:v>jcs4</x:v>
      </x:c>
      <x:c r="D538" s="34" t="str">
        <x:v>jcs4</x:v>
      </x:c>
      <x:c r="E538" s="36" t="n">
        <x:v>3</x:v>
      </x:c>
      <x:c r="F538" s="36" t="n">
        <x:v>3</x:v>
      </x:c>
      <x:c r="G538" s="36" t="n">
        <x:v>2</x:v>
      </x:c>
      <x:c r="H538" s="36" t="n">
        <x:v>1</x:v>
      </x:c>
      <x:c r="I538" s="34" t="str">
        <x:v>loaded</x:v>
      </x:c>
      <x:c r="J538" s="34" t="str">
        <x:v>loaded</x:v>
      </x:c>
      <x:c r="K538" s="36" t="n">
        <x:v>0</x:v>
      </x:c>
      <x:c r="L538" s="34" t="str">
        <x:v>initial</x:v>
      </x:c>
      <x:c r="M538" s="34" t="str">
        <x:v>article1-unified-v4-2-fb3f101b-20260903-000401-default-f03-p2-jcs4-1-loaded</x:v>
      </x:c>
      <x:c r="N538" s="38" t="n">
        <x:v>46267.99750532407</x:v>
      </x:c>
      <x:c r="O538" s="36" t="n">
        <x:v>0</x:v>
      </x:c>
      <x:c r="P538" s="43" t="n">
        <x:v>107898880</x:v>
      </x:c>
      <x:c r="Q538" s="43" t="n">
        <x:v>268435456</x:v>
      </x:c>
      <x:c r="R538" s="43" t="n">
        <x:v>415415296</x:v>
      </x:c>
      <x:c r="S538" s="36" t="n">
        <x:v>2</x:v>
      </x:c>
      <x:c r="T538" s="44" t="str">
        <x:v>0x00000000111177b8  0x0000000011003818  0x00007cfab862ded0       0         0         0  org.apache.catalina.loader.ParallelWebappClassLoader | 0x00000000111177b8  0x0000000011003818  0x00007cfa18027340    4403  20919296  20895792  org.apache.catalina.loader.ParallelWebappClassLoader</x:v>
      </x:c>
      <x:c r="U538" s="36" t="n">
        <x:v>28</x:v>
      </x:c>
      <x:c r="V538" s="36" t="n">
        <x:v>1</x:v>
      </x:c>
      <x:c r="W538" s="44" t="str">
        <x:v>jcs4-thread-pool-event-queue:JCS-ThreadPoolManager-ElementEventQueue-Thread-4#49</x:v>
      </x:c>
      <x:c r="X538" s="36"/>
      <x:c r="Y538" s="36"/>
      <x:c r="Z538" s="44"/>
      <x:c r="AA538" s="49"/>
      <x:c r="AB538" s="43"/>
      <x:c r="AC538" s="34"/>
      <x:c r="AD538" s="34"/>
      <x:c r="AE538" s="34"/>
      <x:c r="AF538" s="34"/>
      <x:c r="AG538" s="34"/>
      <x:c r="AH538" s="34"/>
      <x:c r="AI538" s="34"/>
    </x:row>
    <x:row r="539">
      <x:c r="A539" s="34" t="str">
        <x:v>article1-unified-v4-2-fb3f101b-20260903-000401-default-f03-p2-jcs4</x:v>
      </x:c>
      <x:c r="B539" s="34" t="str">
        <x:v>default</x:v>
      </x:c>
      <x:c r="C539" s="34" t="str">
        <x:v>jcs4</x:v>
      </x:c>
      <x:c r="D539" s="34" t="str">
        <x:v>jcs4</x:v>
      </x:c>
      <x:c r="E539" s="36" t="n">
        <x:v>3</x:v>
      </x:c>
      <x:c r="F539" s="36" t="n">
        <x:v>3</x:v>
      </x:c>
      <x:c r="G539" s="36" t="n">
        <x:v>2</x:v>
      </x:c>
      <x:c r="H539" s="36" t="n">
        <x:v>1</x:v>
      </x:c>
      <x:c r="I539" s="34" t="str">
        <x:v>afterUndeployEarly</x:v>
      </x:c>
      <x:c r="J539" s="34" t="str">
        <x:v>after-undeploy-early</x:v>
      </x:c>
      <x:c r="K539" s="36" t="n">
        <x:v>1</x:v>
      </x:c>
      <x:c r="L539" s="34" t="str">
        <x:v>early</x:v>
      </x:c>
      <x:c r="M539" s="34" t="str">
        <x:v>article1-unified-v4-2-fb3f101b-20260903-000401-default-f03-p2-jcs4-1-after-undeploy-early-2s</x:v>
      </x:c>
      <x:c r="N539" s="38" t="n">
        <x:v>46267.99759452546</x:v>
      </x:c>
      <x:c r="O539" s="36"/>
      <x:c r="P539" s="43"/>
      <x:c r="Q539" s="43"/>
      <x:c r="R539" s="43"/>
      <x:c r="S539" s="36"/>
      <x:c r="T539" s="44"/>
      <x:c r="U539" s="36" t="n">
        <x:v>27</x:v>
      </x:c>
      <x:c r="V539" s="36" t="n">
        <x:v>0</x:v>
      </x:c>
      <x:c r="W539" s="44"/>
      <x:c r="X539" s="36"/>
      <x:c r="Y539" s="36"/>
      <x:c r="Z539" s="44"/>
      <x:c r="AA539" s="49"/>
      <x:c r="AB539" s="43" t="n">
        <x:v>5</x:v>
      </x:c>
      <x:c r="AC539" s="34"/>
      <x:c r="AD539" s="34"/>
      <x:c r="AE539" s="34" t="str">
        <x:v>article1-unified-v4-2-fb3f101b-20260903-000401-default-f03-p2-jcs4-1-after-undeploy-early-2s-thread-dump.txt</x:v>
      </x:c>
      <x:c r="AF539" s="34" t="str">
        <x:v>article1-unified-v4-2-fb3f101b-20260903-000401-default-f03-p2-jcs4-1-after-undeploy-early-tomcat-log.txt</x:v>
      </x:c>
      <x:c r="AG539" s="34"/>
      <x:c r="AH539" s="34"/>
      <x:c r="AI539" s="34"/>
    </x:row>
    <x:row r="540">
      <x:c r="A540" s="34" t="str">
        <x:v>article1-unified-v4-2-fb3f101b-20260903-000401-default-f03-p2-jcs4</x:v>
      </x:c>
      <x:c r="B540" s="34" t="str">
        <x:v>default</x:v>
      </x:c>
      <x:c r="C540" s="34" t="str">
        <x:v>jcs4</x:v>
      </x:c>
      <x:c r="D540" s="34" t="str">
        <x:v>jcs4</x:v>
      </x:c>
      <x:c r="E540" s="36" t="n">
        <x:v>3</x:v>
      </x:c>
      <x:c r="F540" s="36" t="n">
        <x:v>3</x:v>
      </x:c>
      <x:c r="G540" s="36" t="n">
        <x:v>2</x:v>
      </x:c>
      <x:c r="H540" s="36" t="n">
        <x:v>1</x:v>
      </x:c>
      <x:c r="I540" s="34" t="str">
        <x:v>afterUndeploy</x:v>
      </x:c>
      <x:c r="J540" s="34" t="str">
        <x:v>after-undeploy-final</x:v>
      </x:c>
      <x:c r="K540" s="36" t="n">
        <x:v>1</x:v>
      </x:c>
      <x:c r="L540" s="34" t="str">
        <x:v>final</x:v>
      </x:c>
      <x:c r="M540" s="34" t="str">
        <x:v>article1-unified-v4-2-fb3f101b-20260903-000401-default-f03-p2-jcs4-1-after-undeploy-final-10s</x:v>
      </x:c>
      <x:c r="N540" s="38" t="n">
        <x:v>46267.99774355324</x:v>
      </x:c>
      <x:c r="O540" s="36" t="n">
        <x:v>2</x:v>
      </x:c>
      <x:c r="P540" s="43" t="n">
        <x:v>15436800</x:v>
      </x:c>
      <x:c r="Q540" s="43" t="n">
        <x:v>268435456</x:v>
      </x:c>
      <x:c r="R540" s="43" t="n">
        <x:v>409385984</x:v>
      </x:c>
      <x:c r="S540" s="36" t="n">
        <x:v>2</x:v>
      </x:c>
      <x:c r="T540" s="44" t="str">
        <x:v>0x00000000111177b8  0x0000000011003818  0x00007cfab862ded0       0         0         0  org.apache.catalina.loader.ParallelWebappClassLoader | 0x00000000111177b8  0x0000000011003818  0x00007cfa18027340    4417  20937728  20931168  org.apache.catalina.loader.ParallelWebappClassLoader</x:v>
      </x:c>
      <x:c r="U540" s="36" t="n">
        <x:v>27</x:v>
      </x:c>
      <x:c r="V540" s="36" t="n">
        <x:v>0</x:v>
      </x:c>
      <x:c r="W540" s="44"/>
      <x:c r="X540" s="36" t="n">
        <x:v>1</x:v>
      </x:c>
      <x:c r="Y540" s="36" t="n">
        <x:v>1</x:v>
      </x:c>
      <x:c r="Z540" s="44" t="str">
        <x:v>/jcs4</x:v>
      </x:c>
      <x:c r="AA540" s="45" t="b">
        <x:v>1</x:v>
      </x:c>
      <x:c r="AB540" s="43"/>
      <x:c r="AC540" s="34" t="str">
        <x:v>article1-unified-v4-2-fb3f101b-20260903-000401-default-f03-p2-jcs4-1-after-undeploy-final-10s-heap-info.txt</x:v>
      </x:c>
      <x:c r="AD540" s="34" t="str">
        <x:v>article1-unified-v4-2-fb3f101b-20260903-000401-default-f03-p2-jcs4-1-after-undeploy-final-10s-classloader-stats.txt</x:v>
      </x:c>
      <x:c r="AE540" s="34" t="str">
        <x:v>article1-unified-v4-2-fb3f101b-20260903-000401-default-f03-p2-jcs4-1-after-undeploy-final-10s-thread-dump.txt</x:v>
      </x:c>
      <x:c r="AF540" s="34"/>
      <x:c r="AG540" s="34" t="str">
        <x:v>article1-unified-v4-2-fb3f101b-20260903-000401-default-f03-p2-jcs4-1-after-undeploy-final-10s-native-memory.txt</x:v>
      </x:c>
      <x:c r="AH540" s="34" t="str">
        <x:v>article1-unified-v4-2-fb3f101b-20260903-000401-default-f03-p2-jcs4-1-after-undeploy-final-10s-class-histogram.txt</x:v>
      </x:c>
      <x:c r="AI540" s="34" t="str">
        <x:v>article1-unified-v4-2-fb3f101b-20260903-000401-default-f03-p2-jcs4-1-after-undeploy-tomcat-findleaks.txt</x:v>
      </x:c>
    </x:row>
    <x:row r="541">
      <x:c r="A541" s="34" t="str">
        <x:v>article1-unified-v4-2-fb3f101b-20260903-000401-default-f03-p2-jcs4</x:v>
      </x:c>
      <x:c r="B541" s="34" t="str">
        <x:v>default</x:v>
      </x:c>
      <x:c r="C541" s="34" t="str">
        <x:v>jcs4</x:v>
      </x:c>
      <x:c r="D541" s="34" t="str">
        <x:v>jcs4</x:v>
      </x:c>
      <x:c r="E541" s="36" t="n">
        <x:v>3</x:v>
      </x:c>
      <x:c r="F541" s="36" t="n">
        <x:v>3</x:v>
      </x:c>
      <x:c r="G541" s="36" t="n">
        <x:v>2</x:v>
      </x:c>
      <x:c r="H541" s="36" t="n">
        <x:v>1</x:v>
      </x:c>
      <x:c r="I541" s="34" t="str">
        <x:v>redeployedLoaded</x:v>
      </x:c>
      <x:c r="J541" s="34" t="str">
        <x:v>redeployed-loaded</x:v>
      </x:c>
      <x:c r="K541" s="36" t="n">
        <x:v>0</x:v>
      </x:c>
      <x:c r="L541" s="34" t="str">
        <x:v>redeploy</x:v>
      </x:c>
      <x:c r="M541" s="34" t="str">
        <x:v>article1-unified-v4-2-fb3f101b-20260903-000401-default-f03-p2-jcs4-1-redeployed-loaded</x:v>
      </x:c>
      <x:c r="N541" s="38" t="n">
        <x:v>46267.99800417824</x:v>
      </x:c>
      <x:c r="O541" s="36" t="n">
        <x:v>0</x:v>
      </x:c>
      <x:c r="P541" s="43" t="n">
        <x:v>127504384</x:v>
      </x:c>
      <x:c r="Q541" s="43" t="n">
        <x:v>268435456</x:v>
      </x:c>
      <x:c r="R541" s="43" t="n">
        <x:v>436826112</x:v>
      </x:c>
      <x:c r="S541" s="36" t="n">
        <x:v>3</x:v>
      </x:c>
      <x:c r="T541" s="44" t="str">
        <x:v>0x00000000111177b8  0x0000000011003818  0x00007cfa1800d750    4397  20961280  20947240  org.apache.catalina.loader.ParallelWebappClassLoader | 0x00000000111177b8  0x0000000011003818  0x00007cfab862ded0       0         0         0  org.apache.catalina.loader.ParallelWebappClassLoader | 0x00000000111177b8  0x0000000011003818  0x00007cfa18027340    4417  20937728  20931168  org.apache.catalina.loader.ParallelWebappClassLoader</x:v>
      </x:c>
      <x:c r="U541" s="36" t="n">
        <x:v>28</x:v>
      </x:c>
      <x:c r="V541" s="36" t="n">
        <x:v>1</x:v>
      </x:c>
      <x:c r="W541" s="44" t="str">
        <x:v>jcs4-thread-pool-event-queue:JCS-ThreadPoolManager-ElementEventQueue-Thread-7#91</x:v>
      </x:c>
      <x:c r="X541" s="36"/>
      <x:c r="Y541" s="36"/>
      <x:c r="Z541" s="44"/>
      <x:c r="AA541" s="49"/>
      <x:c r="AB541" s="43"/>
      <x:c r="AC541" s="34"/>
      <x:c r="AD541" s="34"/>
      <x:c r="AE541" s="34"/>
      <x:c r="AF541" s="34"/>
      <x:c r="AG541" s="34"/>
      <x:c r="AH541" s="34"/>
      <x:c r="AI541" s="34"/>
    </x:row>
    <x:row r="542">
      <x:c r="A542" s="34" t="str">
        <x:v>article1-unified-v4-2-fb3f101b-20260903-000401-default-f03-p2-jcs4</x:v>
      </x:c>
      <x:c r="B542" s="34" t="str">
        <x:v>default</x:v>
      </x:c>
      <x:c r="C542" s="34" t="str">
        <x:v>jcs4</x:v>
      </x:c>
      <x:c r="D542" s="34" t="str">
        <x:v>jcs4</x:v>
      </x:c>
      <x:c r="E542" s="36" t="n">
        <x:v>3</x:v>
      </x:c>
      <x:c r="F542" s="36" t="n">
        <x:v>3</x:v>
      </x:c>
      <x:c r="G542" s="36" t="n">
        <x:v>2</x:v>
      </x:c>
      <x:c r="H542" s="36" t="n">
        <x:v>1</x:v>
      </x:c>
      <x:c r="I542" s="34" t="str">
        <x:v>afterFinalUndeployEarly</x:v>
      </x:c>
      <x:c r="J542" s="34" t="str">
        <x:v>after-final-undeploy-early</x:v>
      </x:c>
      <x:c r="K542" s="36" t="n">
        <x:v>2</x:v>
      </x:c>
      <x:c r="L542" s="34" t="str">
        <x:v>early</x:v>
      </x:c>
      <x:c r="M542" s="34" t="str">
        <x:v>article1-unified-v4-2-fb3f101b-20260903-000401-default-f03-p2-jcs4-1-after-final-undeploy-early-2s</x:v>
      </x:c>
      <x:c r="N542" s="38" t="n">
        <x:v>46267.998088078704</x:v>
      </x:c>
      <x:c r="O542" s="36"/>
      <x:c r="P542" s="43"/>
      <x:c r="Q542" s="43"/>
      <x:c r="R542" s="43"/>
      <x:c r="S542" s="36"/>
      <x:c r="T542" s="44"/>
      <x:c r="U542" s="36" t="n">
        <x:v>27</x:v>
      </x:c>
      <x:c r="V542" s="36" t="n">
        <x:v>0</x:v>
      </x:c>
      <x:c r="W542" s="44"/>
      <x:c r="X542" s="36"/>
      <x:c r="Y542" s="36"/>
      <x:c r="Z542" s="44"/>
      <x:c r="AA542" s="49"/>
      <x:c r="AB542" s="43" t="n">
        <x:v>5</x:v>
      </x:c>
      <x:c r="AC542" s="34"/>
      <x:c r="AD542" s="34"/>
      <x:c r="AE542" s="34" t="str">
        <x:v>article1-unified-v4-2-fb3f101b-20260903-000401-default-f03-p2-jcs4-1-after-final-undeploy-early-2s-thread-dump.txt</x:v>
      </x:c>
      <x:c r="AF542" s="34" t="str">
        <x:v>article1-unified-v4-2-fb3f101b-20260903-000401-default-f03-p2-jcs4-1-after-final-undeploy-early-tomcat-log.txt</x:v>
      </x:c>
      <x:c r="AG542" s="34"/>
      <x:c r="AH542" s="34"/>
      <x:c r="AI542" s="34"/>
    </x:row>
    <x:row r="543">
      <x:c r="A543" s="34" t="str">
        <x:v>article1-unified-v4-2-fb3f101b-20260903-000401-default-f03-p2-jcs4</x:v>
      </x:c>
      <x:c r="B543" s="34" t="str">
        <x:v>default</x:v>
      </x:c>
      <x:c r="C543" s="34" t="str">
        <x:v>jcs4</x:v>
      </x:c>
      <x:c r="D543" s="34" t="str">
        <x:v>jcs4</x:v>
      </x:c>
      <x:c r="E543" s="36" t="n">
        <x:v>3</x:v>
      </x:c>
      <x:c r="F543" s="36" t="n">
        <x:v>3</x:v>
      </x:c>
      <x:c r="G543" s="36" t="n">
        <x:v>2</x:v>
      </x:c>
      <x:c r="H543" s="36" t="n">
        <x:v>1</x:v>
      </x:c>
      <x:c r="I543" s="34" t="str">
        <x:v>afterFinalUndeploy</x:v>
      </x:c>
      <x:c r="J543" s="34" t="str">
        <x:v>after-final-undeploy-final</x:v>
      </x:c>
      <x:c r="K543" s="36" t="n">
        <x:v>2</x:v>
      </x:c>
      <x:c r="L543" s="34" t="str">
        <x:v>final</x:v>
      </x:c>
      <x:c r="M543" s="34" t="str">
        <x:v>article1-unified-v4-2-fb3f101b-20260903-000401-default-f03-p2-jcs4-1-after-final-undeploy-final-10s</x:v>
      </x:c>
      <x:c r="N543" s="38" t="n">
        <x:v>46267.998242685186</x:v>
      </x:c>
      <x:c r="O543" s="36" t="n">
        <x:v>2</x:v>
      </x:c>
      <x:c r="P543" s="43" t="n">
        <x:v>15626240</x:v>
      </x:c>
      <x:c r="Q543" s="43" t="n">
        <x:v>268435456</x:v>
      </x:c>
      <x:c r="R543" s="43" t="n">
        <x:v>417876992</x:v>
      </x:c>
      <x:c r="S543" s="36" t="n">
        <x:v>2</x:v>
      </x:c>
      <x:c r="T543" s="44" t="str">
        <x:v>0x00000000111177b8  0x0000000011003818  0x00007cfab862ded0       0         0         0  org.apache.catalina.loader.ParallelWebappClassLoader | 0x00000000111177b8  0x0000000011003818  0x00007cfa1800d750    4411  20994048  20982584  org.apache.catalina.loader.ParallelWebappClassLoader</x:v>
      </x:c>
      <x:c r="U543" s="36" t="n">
        <x:v>27</x:v>
      </x:c>
      <x:c r="V543" s="36" t="n">
        <x:v>0</x:v>
      </x:c>
      <x:c r="W543" s="44"/>
      <x:c r="X543" s="36" t="n">
        <x:v>1</x:v>
      </x:c>
      <x:c r="Y543" s="36" t="n">
        <x:v>1</x:v>
      </x:c>
      <x:c r="Z543" s="44" t="str">
        <x:v>/jcs4</x:v>
      </x:c>
      <x:c r="AA543" s="45" t="b">
        <x:v>1</x:v>
      </x:c>
      <x:c r="AB543" s="43"/>
      <x:c r="AC543" s="34" t="str">
        <x:v>article1-unified-v4-2-fb3f101b-20260903-000401-default-f03-p2-jcs4-1-after-final-undeploy-final-10s-heap-info.txt</x:v>
      </x:c>
      <x:c r="AD543" s="34" t="str">
        <x:v>article1-unified-v4-2-fb3f101b-20260903-000401-default-f03-p2-jcs4-1-after-final-undeploy-final-10s-classloader-stats.txt</x:v>
      </x:c>
      <x:c r="AE543" s="34" t="str">
        <x:v>article1-unified-v4-2-fb3f101b-20260903-000401-default-f03-p2-jcs4-1-after-final-undeploy-final-10s-thread-dump.txt</x:v>
      </x:c>
      <x:c r="AF543" s="34"/>
      <x:c r="AG543" s="34" t="str">
        <x:v>article1-unified-v4-2-fb3f101b-20260903-000401-default-f03-p2-jcs4-1-after-final-undeploy-final-10s-native-memory.txt</x:v>
      </x:c>
      <x:c r="AH543" s="34" t="str">
        <x:v>article1-unified-v4-2-fb3f101b-20260903-000401-default-f03-p2-jcs4-1-after-final-undeploy-final-10s-class-histogram.txt</x:v>
      </x:c>
      <x:c r="AI543" s="34" t="str">
        <x:v>article1-unified-v4-2-fb3f101b-20260903-000401-default-f03-p2-jcs4-1-after-final-undeploy-tomcat-findleaks.txt</x:v>
      </x:c>
    </x:row>
    <x:row r="544">
      <x:c r="A544" s="34" t="str">
        <x:v>article1-unified-v4-2-fb3f101b-20260903-000401-default-f03-p2-jcs4</x:v>
      </x:c>
      <x:c r="B544" s="34" t="str">
        <x:v>default</x:v>
      </x:c>
      <x:c r="C544" s="34" t="str">
        <x:v>jcs4</x:v>
      </x:c>
      <x:c r="D544" s="34" t="str">
        <x:v>jcs4</x:v>
      </x:c>
      <x:c r="E544" s="36" t="n">
        <x:v>3</x:v>
      </x:c>
      <x:c r="F544" s="36" t="n">
        <x:v>3</x:v>
      </x:c>
      <x:c r="G544" s="36" t="n">
        <x:v>2</x:v>
      </x:c>
      <x:c r="H544" s="36" t="n">
        <x:v>2</x:v>
      </x:c>
      <x:c r="I544" s="34" t="str">
        <x:v>baseline</x:v>
      </x:c>
      <x:c r="J544" s="34" t="str">
        <x:v>cycle-baseline</x:v>
      </x:c>
      <x:c r="K544" s="36" t="n">
        <x:v>0</x:v>
      </x:c>
      <x:c r="L544" s="34" t="str">
        <x:v>baseline</x:v>
      </x:c>
      <x:c r="M544" s="34" t="str">
        <x:v>article1-unified-v4-2-fb3f101b-20260903-000401-default-f03-p2-jcs4-2-baseline</x:v>
      </x:c>
      <x:c r="N544" s="38" t="n">
        <x:v>46267.99828172454</x:v>
      </x:c>
      <x:c r="O544" s="36" t="n">
        <x:v>0</x:v>
      </x:c>
      <x:c r="P544" s="43" t="n">
        <x:v>15626240</x:v>
      </x:c>
      <x:c r="Q544" s="43" t="n">
        <x:v>268435456</x:v>
      </x:c>
      <x:c r="R544" s="43" t="n">
        <x:v>417876992</x:v>
      </x:c>
      <x:c r="S544" s="36" t="n">
        <x:v>2</x:v>
      </x:c>
      <x:c r="T544" s="44" t="str">
        <x:v>0x00000000111177b8  0x0000000011003818  0x00007cfab862ded0       0         0         0  org.apache.catalina.loader.ParallelWebappClassLoader | 0x00000000111177b8  0x0000000011003818  0x00007cfa1800d750    4411  20994048  20982584  org.apache.catalina.loader.ParallelWebappClassLoader</x:v>
      </x:c>
      <x:c r="U544" s="36" t="n">
        <x:v>27</x:v>
      </x:c>
      <x:c r="V544" s="36" t="n">
        <x:v>0</x:v>
      </x:c>
      <x:c r="W544" s="44"/>
      <x:c r="X544" s="36"/>
      <x:c r="Y544" s="36"/>
      <x:c r="Z544" s="44"/>
      <x:c r="AA544" s="49"/>
      <x:c r="AB544" s="43"/>
      <x:c r="AC544" s="34" t="str">
        <x:v>article1-unified-v4-2-fb3f101b-20260903-000401-default-f03-p2-jcs4-2-baseline-heap-info.txt</x:v>
      </x:c>
      <x:c r="AD544" s="34" t="str">
        <x:v>article1-unified-v4-2-fb3f101b-20260903-000401-default-f03-p2-jcs4-2-baseline-classloader-stats.txt</x:v>
      </x:c>
      <x:c r="AE544" s="34" t="str">
        <x:v>article1-unified-v4-2-fb3f101b-20260903-000401-default-f03-p2-jcs4-2-baseline-thread-dump.txt</x:v>
      </x:c>
      <x:c r="AF544" s="34"/>
      <x:c r="AG544" s="34" t="str">
        <x:v>article1-unified-v4-2-fb3f101b-20260903-000401-default-f03-p2-jcs4-2-baseline-native-memory.txt</x:v>
      </x:c>
      <x:c r="AH544" s="34"/>
      <x:c r="AI544" s="34"/>
    </x:row>
    <x:row r="545">
      <x:c r="A545" s="34" t="str">
        <x:v>article1-unified-v4-2-fb3f101b-20260903-000401-default-f03-p2-jcs4</x:v>
      </x:c>
      <x:c r="B545" s="34" t="str">
        <x:v>default</x:v>
      </x:c>
      <x:c r="C545" s="34" t="str">
        <x:v>jcs4</x:v>
      </x:c>
      <x:c r="D545" s="34" t="str">
        <x:v>jcs4</x:v>
      </x:c>
      <x:c r="E545" s="36" t="n">
        <x:v>3</x:v>
      </x:c>
      <x:c r="F545" s="36" t="n">
        <x:v>3</x:v>
      </x:c>
      <x:c r="G545" s="36" t="n">
        <x:v>2</x:v>
      </x:c>
      <x:c r="H545" s="36" t="n">
        <x:v>2</x:v>
      </x:c>
      <x:c r="I545" s="34" t="str">
        <x:v>deployedIdle</x:v>
      </x:c>
      <x:c r="J545" s="34" t="str">
        <x:v>deployed-idle</x:v>
      </x:c>
      <x:c r="K545" s="36" t="n">
        <x:v>0</x:v>
      </x:c>
      <x:c r="L545" s="34" t="str">
        <x:v>initial</x:v>
      </x:c>
      <x:c r="M545" s="34" t="str">
        <x:v>article1-unified-v4-2-fb3f101b-20260903-000401-default-f03-p2-jcs4-2-deployed-idle</x:v>
      </x:c>
      <x:c r="N545" s="38" t="n">
        <x:v>46267.99838527778</x:v>
      </x:c>
      <x:c r="O545" s="36" t="n">
        <x:v>0</x:v>
      </x:c>
      <x:c r="P545" s="43" t="n">
        <x:v>167333888</x:v>
      </x:c>
      <x:c r="Q545" s="43" t="n">
        <x:v>268435456</x:v>
      </x:c>
      <x:c r="R545" s="43" t="n">
        <x:v>453877760</x:v>
      </x:c>
      <x:c r="S545" s="36" t="n">
        <x:v>3</x:v>
      </x:c>
      <x:c r="T545" s="44" t="str">
        <x:v>0x00000000111177b8  0x0000000011003818  0x00007cfa241a1370    4091  19434496  19427272  org.apache.catalina.loader.ParallelWebappClassLoader | 0x00000000111177b8  0x0000000011003818  0x00007cfab862ded0       0         0         0  org.apache.catalina.loader.ParallelWebappClassLoader | 0x00000000111177b8  0x0000000011003818  0x00007cfa1800d750    4411  20994048  20982584  org.apache.catalina.loader.ParallelWebappClassLoader</x:v>
      </x:c>
      <x:c r="U545" s="36" t="n">
        <x:v>27</x:v>
      </x:c>
      <x:c r="V545" s="36" t="n">
        <x:v>0</x:v>
      </x:c>
      <x:c r="W545" s="44"/>
      <x:c r="X545" s="36"/>
      <x:c r="Y545" s="36"/>
      <x:c r="Z545" s="44"/>
      <x:c r="AA545" s="49"/>
      <x:c r="AB545" s="43"/>
      <x:c r="AC545" s="34"/>
      <x:c r="AD545" s="34"/>
      <x:c r="AE545" s="34"/>
      <x:c r="AF545" s="34"/>
      <x:c r="AG545" s="34"/>
      <x:c r="AH545" s="34"/>
      <x:c r="AI545" s="34"/>
    </x:row>
    <x:row r="546">
      <x:c r="A546" s="34" t="str">
        <x:v>article1-unified-v4-2-fb3f101b-20260903-000401-default-f03-p2-jcs4</x:v>
      </x:c>
      <x:c r="B546" s="34" t="str">
        <x:v>default</x:v>
      </x:c>
      <x:c r="C546" s="34" t="str">
        <x:v>jcs4</x:v>
      </x:c>
      <x:c r="D546" s="34" t="str">
        <x:v>jcs4</x:v>
      </x:c>
      <x:c r="E546" s="36" t="n">
        <x:v>3</x:v>
      </x:c>
      <x:c r="F546" s="36" t="n">
        <x:v>3</x:v>
      </x:c>
      <x:c r="G546" s="36" t="n">
        <x:v>2</x:v>
      </x:c>
      <x:c r="H546" s="36" t="n">
        <x:v>2</x:v>
      </x:c>
      <x:c r="I546" s="34" t="str">
        <x:v>loaded</x:v>
      </x:c>
      <x:c r="J546" s="34" t="str">
        <x:v>loaded</x:v>
      </x:c>
      <x:c r="K546" s="36" t="n">
        <x:v>0</x:v>
      </x:c>
      <x:c r="L546" s="34" t="str">
        <x:v>initial</x:v>
      </x:c>
      <x:c r="M546" s="34" t="str">
        <x:v>article1-unified-v4-2-fb3f101b-20260903-000401-default-f03-p2-jcs4-2-loaded</x:v>
      </x:c>
      <x:c r="N546" s="38" t="n">
        <x:v>46267.998534618055</x:v>
      </x:c>
      <x:c r="O546" s="36" t="n">
        <x:v>0</x:v>
      </x:c>
      <x:c r="P546" s="43" t="n">
        <x:v>151767040</x:v>
      </x:c>
      <x:c r="Q546" s="43" t="n">
        <x:v>268435456</x:v>
      </x:c>
      <x:c r="R546" s="43" t="n">
        <x:v>438145024</x:v>
      </x:c>
      <x:c r="S546" s="36" t="n">
        <x:v>3</x:v>
      </x:c>
      <x:c r="T546" s="44" t="str">
        <x:v>0x00000000111177b8  0x0000000011003818  0x00007cfa241a1370    4394  20957184  20942768  org.apache.catalina.loader.ParallelWebappClassLoader | 0x00000000111177b8  0x0000000011003818  0x00007cfab862ded0       0         0         0  org.apache.catalina.loader.ParallelWebappClassLoader | 0x00000000111177b8  0x0000000011003818  0x00007cfa1800d750    4411  20994048  20982584  org.apache.catalina.loader.ParallelWebappClassLoader</x:v>
      </x:c>
      <x:c r="U546" s="36" t="n">
        <x:v>29</x:v>
      </x:c>
      <x:c r="V546" s="36" t="n">
        <x:v>1</x:v>
      </x:c>
      <x:c r="W546" s="44" t="str">
        <x:v>jcs4-thread-pool-event-queue:JCS-ThreadPoolManager-ElementEventQueue-Thread-10#133</x:v>
      </x:c>
      <x:c r="X546" s="36"/>
      <x:c r="Y546" s="36"/>
      <x:c r="Z546" s="44"/>
      <x:c r="AA546" s="49"/>
      <x:c r="AB546" s="43"/>
      <x:c r="AC546" s="34"/>
      <x:c r="AD546" s="34"/>
      <x:c r="AE546" s="34"/>
      <x:c r="AF546" s="34"/>
      <x:c r="AG546" s="34"/>
      <x:c r="AH546" s="34"/>
      <x:c r="AI546" s="34"/>
    </x:row>
    <x:row r="547">
      <x:c r="A547" s="34" t="str">
        <x:v>article1-unified-v4-2-fb3f101b-20260903-000401-default-f03-p2-jcs4</x:v>
      </x:c>
      <x:c r="B547" s="34" t="str">
        <x:v>default</x:v>
      </x:c>
      <x:c r="C547" s="34" t="str">
        <x:v>jcs4</x:v>
      </x:c>
      <x:c r="D547" s="34" t="str">
        <x:v>jcs4</x:v>
      </x:c>
      <x:c r="E547" s="36" t="n">
        <x:v>3</x:v>
      </x:c>
      <x:c r="F547" s="36" t="n">
        <x:v>3</x:v>
      </x:c>
      <x:c r="G547" s="36" t="n">
        <x:v>2</x:v>
      </x:c>
      <x:c r="H547" s="36" t="n">
        <x:v>2</x:v>
      </x:c>
      <x:c r="I547" s="34" t="str">
        <x:v>afterUndeployEarly</x:v>
      </x:c>
      <x:c r="J547" s="34" t="str">
        <x:v>after-undeploy-early</x:v>
      </x:c>
      <x:c r="K547" s="36" t="n">
        <x:v>1</x:v>
      </x:c>
      <x:c r="L547" s="34" t="str">
        <x:v>early</x:v>
      </x:c>
      <x:c r="M547" s="34" t="str">
        <x:v>article1-unified-v4-2-fb3f101b-20260903-000401-default-f03-p2-jcs4-2-after-undeploy-early-2s</x:v>
      </x:c>
      <x:c r="N547" s="38" t="n">
        <x:v>46267.99861657408</x:v>
      </x:c>
      <x:c r="O547" s="36"/>
      <x:c r="P547" s="43"/>
      <x:c r="Q547" s="43"/>
      <x:c r="R547" s="43"/>
      <x:c r="S547" s="36"/>
      <x:c r="T547" s="44"/>
      <x:c r="U547" s="36" t="n">
        <x:v>27</x:v>
      </x:c>
      <x:c r="V547" s="36" t="n">
        <x:v>0</x:v>
      </x:c>
      <x:c r="W547" s="44"/>
      <x:c r="X547" s="36"/>
      <x:c r="Y547" s="36"/>
      <x:c r="Z547" s="44"/>
      <x:c r="AA547" s="49"/>
      <x:c r="AB547" s="43" t="n">
        <x:v>5</x:v>
      </x:c>
      <x:c r="AC547" s="34"/>
      <x:c r="AD547" s="34"/>
      <x:c r="AE547" s="34" t="str">
        <x:v>article1-unified-v4-2-fb3f101b-20260903-000401-default-f03-p2-jcs4-2-after-undeploy-early-2s-thread-dump.txt</x:v>
      </x:c>
      <x:c r="AF547" s="34" t="str">
        <x:v>article1-unified-v4-2-fb3f101b-20260903-000401-default-f03-p2-jcs4-2-after-undeploy-early-tomcat-log.txt</x:v>
      </x:c>
      <x:c r="AG547" s="34"/>
      <x:c r="AH547" s="34"/>
      <x:c r="AI547" s="34"/>
    </x:row>
    <x:row r="548">
      <x:c r="A548" s="34" t="str">
        <x:v>article1-unified-v4-2-fb3f101b-20260903-000401-default-f03-p2-jcs4</x:v>
      </x:c>
      <x:c r="B548" s="34" t="str">
        <x:v>default</x:v>
      </x:c>
      <x:c r="C548" s="34" t="str">
        <x:v>jcs4</x:v>
      </x:c>
      <x:c r="D548" s="34" t="str">
        <x:v>jcs4</x:v>
      </x:c>
      <x:c r="E548" s="36" t="n">
        <x:v>3</x:v>
      </x:c>
      <x:c r="F548" s="36" t="n">
        <x:v>3</x:v>
      </x:c>
      <x:c r="G548" s="36" t="n">
        <x:v>2</x:v>
      </x:c>
      <x:c r="H548" s="36" t="n">
        <x:v>2</x:v>
      </x:c>
      <x:c r="I548" s="34" t="str">
        <x:v>afterUndeploy</x:v>
      </x:c>
      <x:c r="J548" s="34" t="str">
        <x:v>after-undeploy-final</x:v>
      </x:c>
      <x:c r="K548" s="36" t="n">
        <x:v>1</x:v>
      </x:c>
      <x:c r="L548" s="34" t="str">
        <x:v>final</x:v>
      </x:c>
      <x:c r="M548" s="34" t="str">
        <x:v>article1-unified-v4-2-fb3f101b-20260903-000401-default-f03-p2-jcs4-2-after-undeploy-final-10s</x:v>
      </x:c>
      <x:c r="N548" s="38" t="n">
        <x:v>46267.998771018516</x:v>
      </x:c>
      <x:c r="O548" s="36" t="n">
        <x:v>2</x:v>
      </x:c>
      <x:c r="P548" s="43" t="n">
        <x:v>15650816</x:v>
      </x:c>
      <x:c r="Q548" s="43" t="n">
        <x:v>268435456</x:v>
      </x:c>
      <x:c r="R548" s="43" t="n">
        <x:v>415992832</x:v>
      </x:c>
      <x:c r="S548" s="36" t="n">
        <x:v>2</x:v>
      </x:c>
      <x:c r="T548" s="44" t="str">
        <x:v>0x00000000111177b8  0x0000000011003818  0x00007cfa241a1370    4408  20989952  20978096  org.apache.catalina.loader.ParallelWebappClassLoader | 0x00000000111177b8  0x0000000011003818  0x00007cfab862ded0       0         0         0  org.apache.catalina.loader.ParallelWebappClassLoader</x:v>
      </x:c>
      <x:c r="U548" s="36" t="n">
        <x:v>27</x:v>
      </x:c>
      <x:c r="V548" s="36" t="n">
        <x:v>0</x:v>
      </x:c>
      <x:c r="W548" s="44"/>
      <x:c r="X548" s="36" t="n">
        <x:v>1</x:v>
      </x:c>
      <x:c r="Y548" s="36" t="n">
        <x:v>1</x:v>
      </x:c>
      <x:c r="Z548" s="44" t="str">
        <x:v>/jcs4</x:v>
      </x:c>
      <x:c r="AA548" s="45" t="b">
        <x:v>1</x:v>
      </x:c>
      <x:c r="AB548" s="43"/>
      <x:c r="AC548" s="34" t="str">
        <x:v>article1-unified-v4-2-fb3f101b-20260903-000401-default-f03-p2-jcs4-2-after-undeploy-final-10s-heap-info.txt</x:v>
      </x:c>
      <x:c r="AD548" s="34" t="str">
        <x:v>article1-unified-v4-2-fb3f101b-20260903-000401-default-f03-p2-jcs4-2-after-undeploy-final-10s-classloader-stats.txt</x:v>
      </x:c>
      <x:c r="AE548" s="34" t="str">
        <x:v>article1-unified-v4-2-fb3f101b-20260903-000401-default-f03-p2-jcs4-2-after-undeploy-final-10s-thread-dump.txt</x:v>
      </x:c>
      <x:c r="AF548" s="34"/>
      <x:c r="AG548" s="34" t="str">
        <x:v>article1-unified-v4-2-fb3f101b-20260903-000401-default-f03-p2-jcs4-2-after-undeploy-final-10s-native-memory.txt</x:v>
      </x:c>
      <x:c r="AH548" s="34" t="str">
        <x:v>article1-unified-v4-2-fb3f101b-20260903-000401-default-f03-p2-jcs4-2-after-undeploy-final-10s-class-histogram.txt</x:v>
      </x:c>
      <x:c r="AI548" s="34" t="str">
        <x:v>article1-unified-v4-2-fb3f101b-20260903-000401-default-f03-p2-jcs4-2-after-undeploy-tomcat-findleaks.txt</x:v>
      </x:c>
    </x:row>
    <x:row r="549">
      <x:c r="A549" s="34" t="str">
        <x:v>article1-unified-v4-2-fb3f101b-20260903-000401-default-f03-p2-jcs4</x:v>
      </x:c>
      <x:c r="B549" s="34" t="str">
        <x:v>default</x:v>
      </x:c>
      <x:c r="C549" s="34" t="str">
        <x:v>jcs4</x:v>
      </x:c>
      <x:c r="D549" s="34" t="str">
        <x:v>jcs4</x:v>
      </x:c>
      <x:c r="E549" s="36" t="n">
        <x:v>3</x:v>
      </x:c>
      <x:c r="F549" s="36" t="n">
        <x:v>3</x:v>
      </x:c>
      <x:c r="G549" s="36" t="n">
        <x:v>2</x:v>
      </x:c>
      <x:c r="H549" s="36" t="n">
        <x:v>2</x:v>
      </x:c>
      <x:c r="I549" s="34" t="str">
        <x:v>redeployedLoaded</x:v>
      </x:c>
      <x:c r="J549" s="34" t="str">
        <x:v>redeployed-loaded</x:v>
      </x:c>
      <x:c r="K549" s="36" t="n">
        <x:v>0</x:v>
      </x:c>
      <x:c r="L549" s="34" t="str">
        <x:v>redeploy</x:v>
      </x:c>
      <x:c r="M549" s="34" t="str">
        <x:v>article1-unified-v4-2-fb3f101b-20260903-000401-default-f03-p2-jcs4-2-redeployed-loaded</x:v>
      </x:c>
      <x:c r="N549" s="38" t="n">
        <x:v>46267.99902949074</x:v>
      </x:c>
      <x:c r="O549" s="36" t="n">
        <x:v>0</x:v>
      </x:c>
      <x:c r="P549" s="43" t="n">
        <x:v>114068480</x:v>
      </x:c>
      <x:c r="Q549" s="43" t="n">
        <x:v>268435456</x:v>
      </x:c>
      <x:c r="R549" s="43" t="n">
        <x:v>442146816</x:v>
      </x:c>
      <x:c r="S549" s="36" t="n">
        <x:v>3</x:v>
      </x:c>
      <x:c r="T549" s="44" t="str">
        <x:v>0x00000000111177b8  0x0000000011003818  0x00007cfa241a1370    4408  20989952  20978096  org.apache.catalina.loader.ParallelWebappClassLoader | 0x00000000111177b8  0x0000000011003818  0x00007cf9e019c090    4389  20960256  20940840  org.apache.catalina.loader.ParallelWebappClassLoader | 0x00000000111177b8  0x0000000011003818  0x00007cfab862ded0       0         0         0  org.apache.catalina.loader.ParallelWebappClassLoader</x:v>
      </x:c>
      <x:c r="U549" s="36" t="n">
        <x:v>29</x:v>
      </x:c>
      <x:c r="V549" s="36" t="n">
        <x:v>1</x:v>
      </x:c>
      <x:c r="W549" s="44" t="str">
        <x:v>jcs4-thread-pool-event-queue:JCS-ThreadPoolManager-ElementEventQueue-Thread-13#176</x:v>
      </x:c>
      <x:c r="X549" s="36"/>
      <x:c r="Y549" s="36"/>
      <x:c r="Z549" s="44"/>
      <x:c r="AA549" s="49"/>
      <x:c r="AB549" s="43"/>
      <x:c r="AC549" s="34"/>
      <x:c r="AD549" s="34"/>
      <x:c r="AE549" s="34"/>
      <x:c r="AF549" s="34"/>
      <x:c r="AG549" s="34"/>
      <x:c r="AH549" s="34"/>
      <x:c r="AI549" s="34"/>
    </x:row>
    <x:row r="550">
      <x:c r="A550" s="34" t="str">
        <x:v>article1-unified-v4-2-fb3f101b-20260903-000401-default-f03-p2-jcs4</x:v>
      </x:c>
      <x:c r="B550" s="34" t="str">
        <x:v>default</x:v>
      </x:c>
      <x:c r="C550" s="34" t="str">
        <x:v>jcs4</x:v>
      </x:c>
      <x:c r="D550" s="34" t="str">
        <x:v>jcs4</x:v>
      </x:c>
      <x:c r="E550" s="36" t="n">
        <x:v>3</x:v>
      </x:c>
      <x:c r="F550" s="36" t="n">
        <x:v>3</x:v>
      </x:c>
      <x:c r="G550" s="36" t="n">
        <x:v>2</x:v>
      </x:c>
      <x:c r="H550" s="36" t="n">
        <x:v>2</x:v>
      </x:c>
      <x:c r="I550" s="34" t="str">
        <x:v>afterFinalUndeployEarly</x:v>
      </x:c>
      <x:c r="J550" s="34" t="str">
        <x:v>after-final-undeploy-early</x:v>
      </x:c>
      <x:c r="K550" s="36" t="n">
        <x:v>2</x:v>
      </x:c>
      <x:c r="L550" s="34" t="str">
        <x:v>early</x:v>
      </x:c>
      <x:c r="M550" s="34" t="str">
        <x:v>article1-unified-v4-2-fb3f101b-20260903-000401-default-f03-p2-jcs4-2-after-final-undeploy-early-2s</x:v>
      </x:c>
      <x:c r="N550" s="38" t="n">
        <x:v>46267.999112349535</x:v>
      </x:c>
      <x:c r="O550" s="36"/>
      <x:c r="P550" s="43"/>
      <x:c r="Q550" s="43"/>
      <x:c r="R550" s="43"/>
      <x:c r="S550" s="36"/>
      <x:c r="T550" s="44"/>
      <x:c r="U550" s="36" t="n">
        <x:v>27</x:v>
      </x:c>
      <x:c r="V550" s="36" t="n">
        <x:v>0</x:v>
      </x:c>
      <x:c r="W550" s="44"/>
      <x:c r="X550" s="36"/>
      <x:c r="Y550" s="36"/>
      <x:c r="Z550" s="44"/>
      <x:c r="AA550" s="49"/>
      <x:c r="AB550" s="43" t="n">
        <x:v>5</x:v>
      </x:c>
      <x:c r="AC550" s="34"/>
      <x:c r="AD550" s="34"/>
      <x:c r="AE550" s="34" t="str">
        <x:v>article1-unified-v4-2-fb3f101b-20260903-000401-default-f03-p2-jcs4-2-after-final-undeploy-early-2s-thread-dump.txt</x:v>
      </x:c>
      <x:c r="AF550" s="34" t="str">
        <x:v>article1-unified-v4-2-fb3f101b-20260903-000401-default-f03-p2-jcs4-2-after-final-undeploy-early-tomcat-log.txt</x:v>
      </x:c>
      <x:c r="AG550" s="34"/>
      <x:c r="AH550" s="34"/>
      <x:c r="AI550" s="34"/>
    </x:row>
    <x:row r="551">
      <x:c r="A551" s="34" t="str">
        <x:v>article1-unified-v4-2-fb3f101b-20260903-000401-default-f03-p2-jcs4</x:v>
      </x:c>
      <x:c r="B551" s="34" t="str">
        <x:v>default</x:v>
      </x:c>
      <x:c r="C551" s="34" t="str">
        <x:v>jcs4</x:v>
      </x:c>
      <x:c r="D551" s="34" t="str">
        <x:v>jcs4</x:v>
      </x:c>
      <x:c r="E551" s="36" t="n">
        <x:v>3</x:v>
      </x:c>
      <x:c r="F551" s="36" t="n">
        <x:v>3</x:v>
      </x:c>
      <x:c r="G551" s="36" t="n">
        <x:v>2</x:v>
      </x:c>
      <x:c r="H551" s="36" t="n">
        <x:v>2</x:v>
      </x:c>
      <x:c r="I551" s="34" t="str">
        <x:v>afterFinalUndeploy</x:v>
      </x:c>
      <x:c r="J551" s="34" t="str">
        <x:v>after-final-undeploy-final</x:v>
      </x:c>
      <x:c r="K551" s="36" t="n">
        <x:v>2</x:v>
      </x:c>
      <x:c r="L551" s="34" t="str">
        <x:v>final</x:v>
      </x:c>
      <x:c r="M551" s="34" t="str">
        <x:v>article1-unified-v4-2-fb3f101b-20260903-000401-default-f03-p2-jcs4-2-after-final-undeploy-final-10s</x:v>
      </x:c>
      <x:c r="N551" s="38" t="n">
        <x:v>46267.999265625</x:v>
      </x:c>
      <x:c r="O551" s="36" t="n">
        <x:v>2</x:v>
      </x:c>
      <x:c r="P551" s="43" t="n">
        <x:v>15686656</x:v>
      </x:c>
      <x:c r="Q551" s="43" t="n">
        <x:v>268435456</x:v>
      </x:c>
      <x:c r="R551" s="43" t="n">
        <x:v>422195200</x:v>
      </x:c>
      <x:c r="S551" s="36" t="n">
        <x:v>2</x:v>
      </x:c>
      <x:c r="T551" s="44" t="str">
        <x:v>0x00000000111177b8  0x0000000011003818  0x00007cf9e019c090    4403  20993024  20976232  org.apache.catalina.loader.ParallelWebappClassLoader | 0x00000000111177b8  0x0000000011003818  0x00007cfab862ded0       0         0         0  org.apache.catalina.loader.ParallelWebappClassLoader</x:v>
      </x:c>
      <x:c r="U551" s="36" t="n">
        <x:v>27</x:v>
      </x:c>
      <x:c r="V551" s="36" t="n">
        <x:v>0</x:v>
      </x:c>
      <x:c r="W551" s="44"/>
      <x:c r="X551" s="36" t="n">
        <x:v>1</x:v>
      </x:c>
      <x:c r="Y551" s="36" t="n">
        <x:v>1</x:v>
      </x:c>
      <x:c r="Z551" s="44" t="str">
        <x:v>/jcs4</x:v>
      </x:c>
      <x:c r="AA551" s="45" t="b">
        <x:v>1</x:v>
      </x:c>
      <x:c r="AB551" s="43"/>
      <x:c r="AC551" s="34" t="str">
        <x:v>article1-unified-v4-2-fb3f101b-20260903-000401-default-f03-p2-jcs4-2-after-final-undeploy-final-10s-heap-info.txt</x:v>
      </x:c>
      <x:c r="AD551" s="34" t="str">
        <x:v>article1-unified-v4-2-fb3f101b-20260903-000401-default-f03-p2-jcs4-2-after-final-undeploy-final-10s-classloader-stats.txt</x:v>
      </x:c>
      <x:c r="AE551" s="34" t="str">
        <x:v>article1-unified-v4-2-fb3f101b-20260903-000401-default-f03-p2-jcs4-2-after-final-undeploy-final-10s-thread-dump.txt</x:v>
      </x:c>
      <x:c r="AF551" s="34"/>
      <x:c r="AG551" s="34" t="str">
        <x:v>article1-unified-v4-2-fb3f101b-20260903-000401-default-f03-p2-jcs4-2-after-final-undeploy-final-10s-native-memory.txt</x:v>
      </x:c>
      <x:c r="AH551" s="34" t="str">
        <x:v>article1-unified-v4-2-fb3f101b-20260903-000401-default-f03-p2-jcs4-2-after-final-undeploy-final-10s-class-histogram.txt</x:v>
      </x:c>
      <x:c r="AI551" s="34" t="str">
        <x:v>article1-unified-v4-2-fb3f101b-20260903-000401-default-f03-p2-jcs4-2-after-final-undeploy-tomcat-findleaks.txt</x:v>
      </x:c>
    </x:row>
    <x:row r="552">
      <x:c r="A552" s="34" t="str">
        <x:v>article1-unified-v4-2-fb3f101b-20260903-000401-default-f03-p2-jcs4</x:v>
      </x:c>
      <x:c r="B552" s="34" t="str">
        <x:v>default</x:v>
      </x:c>
      <x:c r="C552" s="34" t="str">
        <x:v>jcs4</x:v>
      </x:c>
      <x:c r="D552" s="34" t="str">
        <x:v>jcs4</x:v>
      </x:c>
      <x:c r="E552" s="36" t="n">
        <x:v>3</x:v>
      </x:c>
      <x:c r="F552" s="36" t="n">
        <x:v>3</x:v>
      </x:c>
      <x:c r="G552" s="36" t="n">
        <x:v>2</x:v>
      </x:c>
      <x:c r="H552" s="36" t="n">
        <x:v>3</x:v>
      </x:c>
      <x:c r="I552" s="34" t="str">
        <x:v>baseline</x:v>
      </x:c>
      <x:c r="J552" s="34" t="str">
        <x:v>cycle-baseline</x:v>
      </x:c>
      <x:c r="K552" s="36" t="n">
        <x:v>0</x:v>
      </x:c>
      <x:c r="L552" s="34" t="str">
        <x:v>baseline</x:v>
      </x:c>
      <x:c r="M552" s="34" t="str">
        <x:v>article1-unified-v4-2-fb3f101b-20260903-000401-default-f03-p2-jcs4-3-baseline</x:v>
      </x:c>
      <x:c r="N552" s="38" t="n">
        <x:v>46267.99931201389</x:v>
      </x:c>
      <x:c r="O552" s="36" t="n">
        <x:v>0</x:v>
      </x:c>
      <x:c r="P552" s="43" t="n">
        <x:v>15686656</x:v>
      </x:c>
      <x:c r="Q552" s="43" t="n">
        <x:v>268435456</x:v>
      </x:c>
      <x:c r="R552" s="43" t="n">
        <x:v>421784576</x:v>
      </x:c>
      <x:c r="S552" s="36" t="n">
        <x:v>2</x:v>
      </x:c>
      <x:c r="T552" s="44" t="str">
        <x:v>0x00000000111177b8  0x0000000011003818  0x00007cf9e019c090    4403  20993024  20976232  org.apache.catalina.loader.ParallelWebappClassLoader | 0x00000000111177b8  0x0000000011003818  0x00007cfab862ded0       0         0         0  org.apache.catalina.loader.ParallelWebappClassLoader</x:v>
      </x:c>
      <x:c r="U552" s="36" t="n">
        <x:v>27</x:v>
      </x:c>
      <x:c r="V552" s="36" t="n">
        <x:v>0</x:v>
      </x:c>
      <x:c r="W552" s="44"/>
      <x:c r="X552" s="36"/>
      <x:c r="Y552" s="36"/>
      <x:c r="Z552" s="44"/>
      <x:c r="AA552" s="49"/>
      <x:c r="AB552" s="43"/>
      <x:c r="AC552" s="34" t="str">
        <x:v>article1-unified-v4-2-fb3f101b-20260903-000401-default-f03-p2-jcs4-3-baseline-heap-info.txt</x:v>
      </x:c>
      <x:c r="AD552" s="34" t="str">
        <x:v>article1-unified-v4-2-fb3f101b-20260903-000401-default-f03-p2-jcs4-3-baseline-classloader-stats.txt</x:v>
      </x:c>
      <x:c r="AE552" s="34" t="str">
        <x:v>article1-unified-v4-2-fb3f101b-20260903-000401-default-f03-p2-jcs4-3-baseline-thread-dump.txt</x:v>
      </x:c>
      <x:c r="AF552" s="34"/>
      <x:c r="AG552" s="34" t="str">
        <x:v>article1-unified-v4-2-fb3f101b-20260903-000401-default-f03-p2-jcs4-3-baseline-native-memory.txt</x:v>
      </x:c>
      <x:c r="AH552" s="34"/>
      <x:c r="AI552" s="34"/>
    </x:row>
    <x:row r="553">
      <x:c r="A553" s="34" t="str">
        <x:v>article1-unified-v4-2-fb3f101b-20260903-000401-default-f03-p2-jcs4</x:v>
      </x:c>
      <x:c r="B553" s="34" t="str">
        <x:v>default</x:v>
      </x:c>
      <x:c r="C553" s="34" t="str">
        <x:v>jcs4</x:v>
      </x:c>
      <x:c r="D553" s="34" t="str">
        <x:v>jcs4</x:v>
      </x:c>
      <x:c r="E553" s="36" t="n">
        <x:v>3</x:v>
      </x:c>
      <x:c r="F553" s="36" t="n">
        <x:v>3</x:v>
      </x:c>
      <x:c r="G553" s="36" t="n">
        <x:v>2</x:v>
      </x:c>
      <x:c r="H553" s="36" t="n">
        <x:v>3</x:v>
      </x:c>
      <x:c r="I553" s="34" t="str">
        <x:v>deployedIdle</x:v>
      </x:c>
      <x:c r="J553" s="34" t="str">
        <x:v>deployed-idle</x:v>
      </x:c>
      <x:c r="K553" s="36" t="n">
        <x:v>0</x:v>
      </x:c>
      <x:c r="L553" s="34" t="str">
        <x:v>initial</x:v>
      </x:c>
      <x:c r="M553" s="34" t="str">
        <x:v>article1-unified-v4-2-fb3f101b-20260903-000401-default-f03-p2-jcs4-3-deployed-idle</x:v>
      </x:c>
      <x:c r="N553" s="38" t="n">
        <x:v>46267.99941553241</x:v>
      </x:c>
      <x:c r="O553" s="36" t="n">
        <x:v>0</x:v>
      </x:c>
      <x:c r="P553" s="43" t="n">
        <x:v>167948288</x:v>
      </x:c>
      <x:c r="Q553" s="43" t="n">
        <x:v>268435456</x:v>
      </x:c>
      <x:c r="R553" s="43" t="n">
        <x:v>456381440</x:v>
      </x:c>
      <x:c r="S553" s="36" t="n">
        <x:v>3</x:v>
      </x:c>
      <x:c r="T553" s="44" t="str">
        <x:v>0x00000000111177b8  0x0000000011003818  0x00007cf9e019c090    4403  20993024  20976232  org.apache.catalina.loader.ParallelWebappClassLoader | 0x00000000111177b8  0x0000000011003818  0x00007cf9dc003390    4091  19443712  19414496  org.apache.catalina.loader.ParallelWebappClassLoader | 0x00000000111177b8  0x0000000011003818  0x00007cfab862ded0       0         0         0  org.apache.catalina.loader.ParallelWebappClassLoader</x:v>
      </x:c>
      <x:c r="U553" s="36" t="n">
        <x:v>27</x:v>
      </x:c>
      <x:c r="V553" s="36" t="n">
        <x:v>0</x:v>
      </x:c>
      <x:c r="W553" s="44"/>
      <x:c r="X553" s="36"/>
      <x:c r="Y553" s="36"/>
      <x:c r="Z553" s="44"/>
      <x:c r="AA553" s="49"/>
      <x:c r="AB553" s="43"/>
      <x:c r="AC553" s="34"/>
      <x:c r="AD553" s="34"/>
      <x:c r="AE553" s="34"/>
      <x:c r="AF553" s="34"/>
      <x:c r="AG553" s="34"/>
      <x:c r="AH553" s="34"/>
      <x:c r="AI553" s="34"/>
    </x:row>
    <x:row r="554">
      <x:c r="A554" s="34" t="str">
        <x:v>article1-unified-v4-2-fb3f101b-20260903-000401-default-f03-p2-jcs4</x:v>
      </x:c>
      <x:c r="B554" s="34" t="str">
        <x:v>default</x:v>
      </x:c>
      <x:c r="C554" s="34" t="str">
        <x:v>jcs4</x:v>
      </x:c>
      <x:c r="D554" s="34" t="str">
        <x:v>jcs4</x:v>
      </x:c>
      <x:c r="E554" s="36" t="n">
        <x:v>3</x:v>
      </x:c>
      <x:c r="F554" s="36" t="n">
        <x:v>3</x:v>
      </x:c>
      <x:c r="G554" s="36" t="n">
        <x:v>2</x:v>
      </x:c>
      <x:c r="H554" s="36" t="n">
        <x:v>3</x:v>
      </x:c>
      <x:c r="I554" s="34" t="str">
        <x:v>loaded</x:v>
      </x:c>
      <x:c r="J554" s="34" t="str">
        <x:v>loaded</x:v>
      </x:c>
      <x:c r="K554" s="36" t="n">
        <x:v>0</x:v>
      </x:c>
      <x:c r="L554" s="34" t="str">
        <x:v>initial</x:v>
      </x:c>
      <x:c r="M554" s="34" t="str">
        <x:v>article1-unified-v4-2-fb3f101b-20260903-000401-default-f03-p2-jcs4-3-loaded</x:v>
      </x:c>
      <x:c r="N554" s="38" t="n">
        <x:v>46267.999562488425</x:v>
      </x:c>
      <x:c r="O554" s="36" t="n">
        <x:v>0</x:v>
      </x:c>
      <x:c r="P554" s="43" t="n">
        <x:v>92107776</x:v>
      </x:c>
      <x:c r="Q554" s="43" t="n">
        <x:v>268435456</x:v>
      </x:c>
      <x:c r="R554" s="43" t="n">
        <x:v>440604672</x:v>
      </x:c>
      <x:c r="S554" s="36" t="n">
        <x:v>3</x:v>
      </x:c>
      <x:c r="T554" s="44" t="str">
        <x:v>0x00000000111177b8  0x0000000011003818  0x00007cf9e019c090    4403  20993024  20976232  org.apache.catalina.loader.ParallelWebappClassLoader | 0x00000000111177b8  0x0000000011003818  0x00007cfab862ded0       0         0         0  org.apache.catalina.loader.ParallelWebappClassLoader | 0x00000000111177b8  0x0000000011003818  0x00007cf9dc003390    4390  20938752  20921264  org.apache.catalina.loader.ParallelWebappClassLoader</x:v>
      </x:c>
      <x:c r="U554" s="36" t="n">
        <x:v>28</x:v>
      </x:c>
      <x:c r="V554" s="36" t="n">
        <x:v>1</x:v>
      </x:c>
      <x:c r="W554" s="44" t="str">
        <x:v>jcs4-thread-pool-event-queue:JCS-ThreadPoolManager-ElementEventQueue-Thread-16#218</x:v>
      </x:c>
      <x:c r="X554" s="36"/>
      <x:c r="Y554" s="36"/>
      <x:c r="Z554" s="44"/>
      <x:c r="AA554" s="49"/>
      <x:c r="AB554" s="43"/>
      <x:c r="AC554" s="34"/>
      <x:c r="AD554" s="34"/>
      <x:c r="AE554" s="34"/>
      <x:c r="AF554" s="34"/>
      <x:c r="AG554" s="34"/>
      <x:c r="AH554" s="34"/>
      <x:c r="AI554" s="34"/>
    </x:row>
    <x:row r="555">
      <x:c r="A555" s="34" t="str">
        <x:v>article1-unified-v4-2-fb3f101b-20260903-000401-default-f03-p2-jcs4</x:v>
      </x:c>
      <x:c r="B555" s="34" t="str">
        <x:v>default</x:v>
      </x:c>
      <x:c r="C555" s="34" t="str">
        <x:v>jcs4</x:v>
      </x:c>
      <x:c r="D555" s="34" t="str">
        <x:v>jcs4</x:v>
      </x:c>
      <x:c r="E555" s="36" t="n">
        <x:v>3</x:v>
      </x:c>
      <x:c r="F555" s="36" t="n">
        <x:v>3</x:v>
      </x:c>
      <x:c r="G555" s="36" t="n">
        <x:v>2</x:v>
      </x:c>
      <x:c r="H555" s="36" t="n">
        <x:v>3</x:v>
      </x:c>
      <x:c r="I555" s="34" t="str">
        <x:v>afterUndeployEarly</x:v>
      </x:c>
      <x:c r="J555" s="34" t="str">
        <x:v>after-undeploy-early</x:v>
      </x:c>
      <x:c r="K555" s="36" t="n">
        <x:v>1</x:v>
      </x:c>
      <x:c r="L555" s="34" t="str">
        <x:v>early</x:v>
      </x:c>
      <x:c r="M555" s="34" t="str">
        <x:v>article1-unified-v4-2-fb3f101b-20260903-000401-default-f03-p2-jcs4-3-after-undeploy-early-2s</x:v>
      </x:c>
      <x:c r="N555" s="38" t="n">
        <x:v>46267.99964501157</x:v>
      </x:c>
      <x:c r="O555" s="36"/>
      <x:c r="P555" s="43"/>
      <x:c r="Q555" s="43"/>
      <x:c r="R555" s="43"/>
      <x:c r="S555" s="36"/>
      <x:c r="T555" s="44"/>
      <x:c r="U555" s="36" t="n">
        <x:v>27</x:v>
      </x:c>
      <x:c r="V555" s="36" t="n">
        <x:v>0</x:v>
      </x:c>
      <x:c r="W555" s="44"/>
      <x:c r="X555" s="36"/>
      <x:c r="Y555" s="36"/>
      <x:c r="Z555" s="44"/>
      <x:c r="AA555" s="49"/>
      <x:c r="AB555" s="43" t="n">
        <x:v>5</x:v>
      </x:c>
      <x:c r="AC555" s="34"/>
      <x:c r="AD555" s="34"/>
      <x:c r="AE555" s="34" t="str">
        <x:v>article1-unified-v4-2-fb3f101b-20260903-000401-default-f03-p2-jcs4-3-after-undeploy-early-2s-thread-dump.txt</x:v>
      </x:c>
      <x:c r="AF555" s="34" t="str">
        <x:v>article1-unified-v4-2-fb3f101b-20260903-000401-default-f03-p2-jcs4-3-after-undeploy-early-tomcat-log.txt</x:v>
      </x:c>
      <x:c r="AG555" s="34"/>
      <x:c r="AH555" s="34"/>
      <x:c r="AI555" s="34"/>
    </x:row>
    <x:row r="556">
      <x:c r="A556" s="34" t="str">
        <x:v>article1-unified-v4-2-fb3f101b-20260903-000401-default-f03-p2-jcs4</x:v>
      </x:c>
      <x:c r="B556" s="34" t="str">
        <x:v>default</x:v>
      </x:c>
      <x:c r="C556" s="34" t="str">
        <x:v>jcs4</x:v>
      </x:c>
      <x:c r="D556" s="34" t="str">
        <x:v>jcs4</x:v>
      </x:c>
      <x:c r="E556" s="36" t="n">
        <x:v>3</x:v>
      </x:c>
      <x:c r="F556" s="36" t="n">
        <x:v>3</x:v>
      </x:c>
      <x:c r="G556" s="36" t="n">
        <x:v>2</x:v>
      </x:c>
      <x:c r="H556" s="36" t="n">
        <x:v>3</x:v>
      </x:c>
      <x:c r="I556" s="34" t="str">
        <x:v>afterUndeploy</x:v>
      </x:c>
      <x:c r="J556" s="34" t="str">
        <x:v>after-undeploy-final</x:v>
      </x:c>
      <x:c r="K556" s="36" t="n">
        <x:v>1</x:v>
      </x:c>
      <x:c r="L556" s="34" t="str">
        <x:v>final</x:v>
      </x:c>
      <x:c r="M556" s="34" t="str">
        <x:v>article1-unified-v4-2-fb3f101b-20260903-000401-default-f03-p2-jcs4-3-after-undeploy-final-10s</x:v>
      </x:c>
      <x:c r="N556" s="38" t="n">
        <x:v>46267.999801226855</x:v>
      </x:c>
      <x:c r="O556" s="36" t="n">
        <x:v>2</x:v>
      </x:c>
      <x:c r="P556" s="43" t="n">
        <x:v>15719424</x:v>
      </x:c>
      <x:c r="Q556" s="43" t="n">
        <x:v>268435456</x:v>
      </x:c>
      <x:c r="R556" s="43" t="n">
        <x:v>419568640</x:v>
      </x:c>
      <x:c r="S556" s="36" t="n">
        <x:v>2</x:v>
      </x:c>
      <x:c r="T556" s="44" t="str">
        <x:v>0x00000000111177b8  0x0000000011003818  0x00007cf9dc003390    4404  20971520  20956656  org.apache.catalina.loader.ParallelWebappClassLoader | 0x00000000111177b8  0x0000000011003818  0x00007cfab862ded0       0         0         0  org.apache.catalina.loader.ParallelWebappClassLoader</x:v>
      </x:c>
      <x:c r="U556" s="36" t="n">
        <x:v>27</x:v>
      </x:c>
      <x:c r="V556" s="36" t="n">
        <x:v>0</x:v>
      </x:c>
      <x:c r="W556" s="44"/>
      <x:c r="X556" s="36" t="n">
        <x:v>1</x:v>
      </x:c>
      <x:c r="Y556" s="36" t="n">
        <x:v>1</x:v>
      </x:c>
      <x:c r="Z556" s="44" t="str">
        <x:v>/jcs4</x:v>
      </x:c>
      <x:c r="AA556" s="45" t="b">
        <x:v>1</x:v>
      </x:c>
      <x:c r="AB556" s="43"/>
      <x:c r="AC556" s="34" t="str">
        <x:v>article1-unified-v4-2-fb3f101b-20260903-000401-default-f03-p2-jcs4-3-after-undeploy-final-10s-heap-info.txt</x:v>
      </x:c>
      <x:c r="AD556" s="34" t="str">
        <x:v>article1-unified-v4-2-fb3f101b-20260903-000401-default-f03-p2-jcs4-3-after-undeploy-final-10s-classloader-stats.txt</x:v>
      </x:c>
      <x:c r="AE556" s="34" t="str">
        <x:v>article1-unified-v4-2-fb3f101b-20260903-000401-default-f03-p2-jcs4-3-after-undeploy-final-10s-thread-dump.txt</x:v>
      </x:c>
      <x:c r="AF556" s="34"/>
      <x:c r="AG556" s="34" t="str">
        <x:v>article1-unified-v4-2-fb3f101b-20260903-000401-default-f03-p2-jcs4-3-after-undeploy-final-10s-native-memory.txt</x:v>
      </x:c>
      <x:c r="AH556" s="34" t="str">
        <x:v>article1-unified-v4-2-fb3f101b-20260903-000401-default-f03-p2-jcs4-3-after-undeploy-final-10s-class-histogram.txt</x:v>
      </x:c>
      <x:c r="AI556" s="34" t="str">
        <x:v>article1-unified-v4-2-fb3f101b-20260903-000401-default-f03-p2-jcs4-3-after-undeploy-tomcat-findleaks.txt</x:v>
      </x:c>
    </x:row>
    <x:row r="557">
      <x:c r="A557" s="34" t="str">
        <x:v>article1-unified-v4-2-fb3f101b-20260903-000401-default-f03-p2-jcs4</x:v>
      </x:c>
      <x:c r="B557" s="34" t="str">
        <x:v>default</x:v>
      </x:c>
      <x:c r="C557" s="34" t="str">
        <x:v>jcs4</x:v>
      </x:c>
      <x:c r="D557" s="34" t="str">
        <x:v>jcs4</x:v>
      </x:c>
      <x:c r="E557" s="36" t="n">
        <x:v>3</x:v>
      </x:c>
      <x:c r="F557" s="36" t="n">
        <x:v>3</x:v>
      </x:c>
      <x:c r="G557" s="36" t="n">
        <x:v>2</x:v>
      </x:c>
      <x:c r="H557" s="36" t="n">
        <x:v>3</x:v>
      </x:c>
      <x:c r="I557" s="34" t="str">
        <x:v>redeployedLoaded</x:v>
      </x:c>
      <x:c r="J557" s="34" t="str">
        <x:v>redeployed-loaded</x:v>
      </x:c>
      <x:c r="K557" s="36" t="n">
        <x:v>0</x:v>
      </x:c>
      <x:c r="L557" s="34" t="str">
        <x:v>redeploy</x:v>
      </x:c>
      <x:c r="M557" s="34" t="str">
        <x:v>article1-unified-v4-2-fb3f101b-20260903-000401-default-f03-p2-jcs4-3-redeployed-loaded</x:v>
      </x:c>
      <x:c r="N557" s="38" t="n">
        <x:v>46268.00005920139</x:v>
      </x:c>
      <x:c r="O557" s="36" t="n">
        <x:v>0</x:v>
      </x:c>
      <x:c r="P557" s="43" t="n">
        <x:v>145734656</x:v>
      </x:c>
      <x:c r="Q557" s="43" t="n">
        <x:v>268435456</x:v>
      </x:c>
      <x:c r="R557" s="43" t="n">
        <x:v>442697728</x:v>
      </x:c>
      <x:c r="S557" s="36" t="n">
        <x:v>3</x:v>
      </x:c>
      <x:c r="T557" s="44" t="str">
        <x:v>0x00000000111177b8  0x0000000011003818  0x00007cfa2013c060    4394  20962304  20937752  org.apache.catalina.loader.ParallelWebappClassLoader | 0x00000000111177b8  0x0000000011003818  0x00007cf9dc003390    4404  20971520  20956656  org.apache.catalina.loader.ParallelWebappClassLoader | 0x00000000111177b8  0x0000000011003818  0x00007cfab862ded0       0         0         0  org.apache.catalina.loader.ParallelWebappClassLoader</x:v>
      </x:c>
      <x:c r="U557" s="36" t="n">
        <x:v>28</x:v>
      </x:c>
      <x:c r="V557" s="36" t="n">
        <x:v>1</x:v>
      </x:c>
      <x:c r="W557" s="44" t="str">
        <x:v>jcs4-thread-pool-event-queue:JCS-ThreadPoolManager-ElementEventQueue-Thread-19#261</x:v>
      </x:c>
      <x:c r="X557" s="36"/>
      <x:c r="Y557" s="36"/>
      <x:c r="Z557" s="44"/>
      <x:c r="AA557" s="49"/>
      <x:c r="AB557" s="43"/>
      <x:c r="AC557" s="34"/>
      <x:c r="AD557" s="34"/>
      <x:c r="AE557" s="34"/>
      <x:c r="AF557" s="34"/>
      <x:c r="AG557" s="34"/>
      <x:c r="AH557" s="34"/>
      <x:c r="AI557" s="34"/>
    </x:row>
    <x:row r="558">
      <x:c r="A558" s="34" t="str">
        <x:v>article1-unified-v4-2-fb3f101b-20260903-000401-default-f03-p2-jcs4</x:v>
      </x:c>
      <x:c r="B558" s="34" t="str">
        <x:v>default</x:v>
      </x:c>
      <x:c r="C558" s="34" t="str">
        <x:v>jcs4</x:v>
      </x:c>
      <x:c r="D558" s="34" t="str">
        <x:v>jcs4</x:v>
      </x:c>
      <x:c r="E558" s="36" t="n">
        <x:v>3</x:v>
      </x:c>
      <x:c r="F558" s="36" t="n">
        <x:v>3</x:v>
      </x:c>
      <x:c r="G558" s="36" t="n">
        <x:v>2</x:v>
      </x:c>
      <x:c r="H558" s="36" t="n">
        <x:v>3</x:v>
      </x:c>
      <x:c r="I558" s="34" t="str">
        <x:v>afterFinalUndeployEarly</x:v>
      </x:c>
      <x:c r="J558" s="34" t="str">
        <x:v>after-final-undeploy-early</x:v>
      </x:c>
      <x:c r="K558" s="36" t="n">
        <x:v>2</x:v>
      </x:c>
      <x:c r="L558" s="34" t="str">
        <x:v>early</x:v>
      </x:c>
      <x:c r="M558" s="34" t="str">
        <x:v>article1-unified-v4-2-fb3f101b-20260903-000401-default-f03-p2-jcs4-3-after-final-undeploy-early-2s</x:v>
      </x:c>
      <x:c r="N558" s="38" t="n">
        <x:v>46268.000142083336</x:v>
      </x:c>
      <x:c r="O558" s="36"/>
      <x:c r="P558" s="43"/>
      <x:c r="Q558" s="43"/>
      <x:c r="R558" s="43"/>
      <x:c r="S558" s="36"/>
      <x:c r="T558" s="44"/>
      <x:c r="U558" s="36" t="n">
        <x:v>27</x:v>
      </x:c>
      <x:c r="V558" s="36" t="n">
        <x:v>0</x:v>
      </x:c>
      <x:c r="W558" s="44"/>
      <x:c r="X558" s="36"/>
      <x:c r="Y558" s="36"/>
      <x:c r="Z558" s="44"/>
      <x:c r="AA558" s="49"/>
      <x:c r="AB558" s="43" t="n">
        <x:v>5</x:v>
      </x:c>
      <x:c r="AC558" s="34"/>
      <x:c r="AD558" s="34"/>
      <x:c r="AE558" s="34" t="str">
        <x:v>article1-unified-v4-2-fb3f101b-20260903-000401-default-f03-p2-jcs4-3-after-final-undeploy-early-2s-thread-dump.txt</x:v>
      </x:c>
      <x:c r="AF558" s="34" t="str">
        <x:v>article1-unified-v4-2-fb3f101b-20260903-000401-default-f03-p2-jcs4-3-after-final-undeploy-early-tomcat-log.txt</x:v>
      </x:c>
      <x:c r="AG558" s="34"/>
      <x:c r="AH558" s="34"/>
      <x:c r="AI558" s="34"/>
    </x:row>
    <x:row r="559">
      <x:c r="A559" s="34" t="str">
        <x:v>article1-unified-v4-2-fb3f101b-20260903-000401-default-f03-p2-jcs4</x:v>
      </x:c>
      <x:c r="B559" s="34" t="str">
        <x:v>default</x:v>
      </x:c>
      <x:c r="C559" s="34" t="str">
        <x:v>jcs4</x:v>
      </x:c>
      <x:c r="D559" s="34" t="str">
        <x:v>jcs4</x:v>
      </x:c>
      <x:c r="E559" s="36" t="n">
        <x:v>3</x:v>
      </x:c>
      <x:c r="F559" s="36" t="n">
        <x:v>3</x:v>
      </x:c>
      <x:c r="G559" s="36" t="n">
        <x:v>2</x:v>
      </x:c>
      <x:c r="H559" s="36" t="n">
        <x:v>3</x:v>
      </x:c>
      <x:c r="I559" s="34" t="str">
        <x:v>afterFinalUndeploy</x:v>
      </x:c>
      <x:c r="J559" s="34" t="str">
        <x:v>after-final-undeploy-final</x:v>
      </x:c>
      <x:c r="K559" s="36" t="n">
        <x:v>2</x:v>
      </x:c>
      <x:c r="L559" s="34" t="str">
        <x:v>final</x:v>
      </x:c>
      <x:c r="M559" s="34" t="str">
        <x:v>article1-unified-v4-2-fb3f101b-20260903-000401-default-f03-p2-jcs4-3-after-final-undeploy-final-10s</x:v>
      </x:c>
      <x:c r="N559" s="38" t="n">
        <x:v>46268.00029788195</x:v>
      </x:c>
      <x:c r="O559" s="36" t="n">
        <x:v>2</x:v>
      </x:c>
      <x:c r="P559" s="43" t="n">
        <x:v>15675392</x:v>
      </x:c>
      <x:c r="Q559" s="43" t="n">
        <x:v>268435456</x:v>
      </x:c>
      <x:c r="R559" s="43" t="n">
        <x:v>425718784</x:v>
      </x:c>
      <x:c r="S559" s="36" t="n">
        <x:v>2</x:v>
      </x:c>
      <x:c r="T559" s="44" t="str">
        <x:v>0x00000000111177b8  0x0000000011003818  0x00007cfab862ded0       0         0         0  org.apache.catalina.loader.ParallelWebappClassLoader | 0x00000000111177b8  0x0000000011003818  0x00007cfa2013c060    4408  20978688  20973144  org.apache.catalina.loader.ParallelWebappClassLoader</x:v>
      </x:c>
      <x:c r="U559" s="36" t="n">
        <x:v>27</x:v>
      </x:c>
      <x:c r="V559" s="36" t="n">
        <x:v>0</x:v>
      </x:c>
      <x:c r="W559" s="44"/>
      <x:c r="X559" s="36" t="n">
        <x:v>1</x:v>
      </x:c>
      <x:c r="Y559" s="36" t="n">
        <x:v>1</x:v>
      </x:c>
      <x:c r="Z559" s="44" t="str">
        <x:v>/jcs4</x:v>
      </x:c>
      <x:c r="AA559" s="45" t="b">
        <x:v>1</x:v>
      </x:c>
      <x:c r="AB559" s="43"/>
      <x:c r="AC559" s="34" t="str">
        <x:v>article1-unified-v4-2-fb3f101b-20260903-000401-default-f03-p2-jcs4-3-after-final-undeploy-final-10s-heap-info.txt</x:v>
      </x:c>
      <x:c r="AD559" s="34" t="str">
        <x:v>article1-unified-v4-2-fb3f101b-20260903-000401-default-f03-p2-jcs4-3-after-final-undeploy-final-10s-classloader-stats.txt</x:v>
      </x:c>
      <x:c r="AE559" s="34" t="str">
        <x:v>article1-unified-v4-2-fb3f101b-20260903-000401-default-f03-p2-jcs4-3-after-final-undeploy-final-10s-thread-dump.txt</x:v>
      </x:c>
      <x:c r="AF559" s="34"/>
      <x:c r="AG559" s="34" t="str">
        <x:v>article1-unified-v4-2-fb3f101b-20260903-000401-default-f03-p2-jcs4-3-after-final-undeploy-final-10s-native-memory.txt</x:v>
      </x:c>
      <x:c r="AH559" s="34" t="str">
        <x:v>article1-unified-v4-2-fb3f101b-20260903-000401-default-f03-p2-jcs4-3-after-final-undeploy-final-10s-class-histogram.txt</x:v>
      </x:c>
      <x:c r="AI559" s="34" t="str">
        <x:v>article1-unified-v4-2-fb3f101b-20260903-000401-default-f03-p2-jcs4-3-after-final-undeploy-tomcat-findleaks.txt</x:v>
      </x:c>
    </x:row>
    <x:row r="560">
      <x:c r="A560" s="34" t="str">
        <x:v>article1-unified-v4-2-fb3f101b-20260903-000401-default-f03-p2-jcs4</x:v>
      </x:c>
      <x:c r="B560" s="34" t="str">
        <x:v>default</x:v>
      </x:c>
      <x:c r="C560" s="34" t="str">
        <x:v>jcs4</x:v>
      </x:c>
      <x:c r="D560" s="34" t="str">
        <x:v>jcs4</x:v>
      </x:c>
      <x:c r="E560" s="36" t="n">
        <x:v>3</x:v>
      </x:c>
      <x:c r="F560" s="36" t="n">
        <x:v>3</x:v>
      </x:c>
      <x:c r="G560" s="36" t="n">
        <x:v>2</x:v>
      </x:c>
      <x:c r="H560" s="36" t="n">
        <x:v>4</x:v>
      </x:c>
      <x:c r="I560" s="34" t="str">
        <x:v>baseline</x:v>
      </x:c>
      <x:c r="J560" s="34" t="str">
        <x:v>cycle-baseline</x:v>
      </x:c>
      <x:c r="K560" s="36" t="n">
        <x:v>0</x:v>
      </x:c>
      <x:c r="L560" s="34" t="str">
        <x:v>baseline</x:v>
      </x:c>
      <x:c r="M560" s="34" t="str">
        <x:v>article1-unified-v4-2-fb3f101b-20260903-000401-default-f03-p2-jcs4-4-baseline</x:v>
      </x:c>
      <x:c r="N560" s="38" t="n">
        <x:v>46268.00033971065</x:v>
      </x:c>
      <x:c r="O560" s="36" t="n">
        <x:v>0</x:v>
      </x:c>
      <x:c r="P560" s="43" t="n">
        <x:v>15678464</x:v>
      </x:c>
      <x:c r="Q560" s="43" t="n">
        <x:v>268435456</x:v>
      </x:c>
      <x:c r="R560" s="43" t="n">
        <x:v>425752576</x:v>
      </x:c>
      <x:c r="S560" s="36" t="n">
        <x:v>2</x:v>
      </x:c>
      <x:c r="T560" s="44" t="str">
        <x:v>0x00000000111177b8  0x0000000011003818  0x00007cfab862ded0       0         0         0  org.apache.catalina.loader.ParallelWebappClassLoader | 0x00000000111177b8  0x0000000011003818  0x00007cfa2013c060    4408  20978688  20973144  org.apache.catalina.loader.ParallelWebappClassLoader</x:v>
      </x:c>
      <x:c r="U560" s="36" t="n">
        <x:v>27</x:v>
      </x:c>
      <x:c r="V560" s="36" t="n">
        <x:v>0</x:v>
      </x:c>
      <x:c r="W560" s="44"/>
      <x:c r="X560" s="36"/>
      <x:c r="Y560" s="36"/>
      <x:c r="Z560" s="44"/>
      <x:c r="AA560" s="49"/>
      <x:c r="AB560" s="43"/>
      <x:c r="AC560" s="34" t="str">
        <x:v>article1-unified-v4-2-fb3f101b-20260903-000401-default-f03-p2-jcs4-4-baseline-heap-info.txt</x:v>
      </x:c>
      <x:c r="AD560" s="34" t="str">
        <x:v>article1-unified-v4-2-fb3f101b-20260903-000401-default-f03-p2-jcs4-4-baseline-classloader-stats.txt</x:v>
      </x:c>
      <x:c r="AE560" s="34" t="str">
        <x:v>article1-unified-v4-2-fb3f101b-20260903-000401-default-f03-p2-jcs4-4-baseline-thread-dump.txt</x:v>
      </x:c>
      <x:c r="AF560" s="34"/>
      <x:c r="AG560" s="34" t="str">
        <x:v>article1-unified-v4-2-fb3f101b-20260903-000401-default-f03-p2-jcs4-4-baseline-native-memory.txt</x:v>
      </x:c>
      <x:c r="AH560" s="34"/>
      <x:c r="AI560" s="34"/>
    </x:row>
    <x:row r="561">
      <x:c r="A561" s="34" t="str">
        <x:v>article1-unified-v4-2-fb3f101b-20260903-000401-default-f03-p2-jcs4</x:v>
      </x:c>
      <x:c r="B561" s="34" t="str">
        <x:v>default</x:v>
      </x:c>
      <x:c r="C561" s="34" t="str">
        <x:v>jcs4</x:v>
      </x:c>
      <x:c r="D561" s="34" t="str">
        <x:v>jcs4</x:v>
      </x:c>
      <x:c r="E561" s="36" t="n">
        <x:v>3</x:v>
      </x:c>
      <x:c r="F561" s="36" t="n">
        <x:v>3</x:v>
      </x:c>
      <x:c r="G561" s="36" t="n">
        <x:v>2</x:v>
      </x:c>
      <x:c r="H561" s="36" t="n">
        <x:v>4</x:v>
      </x:c>
      <x:c r="I561" s="34" t="str">
        <x:v>deployedIdle</x:v>
      </x:c>
      <x:c r="J561" s="34" t="str">
        <x:v>deployed-idle</x:v>
      </x:c>
      <x:c r="K561" s="36" t="n">
        <x:v>0</x:v>
      </x:c>
      <x:c r="L561" s="34" t="str">
        <x:v>initial</x:v>
      </x:c>
      <x:c r="M561" s="34" t="str">
        <x:v>article1-unified-v4-2-fb3f101b-20260903-000401-default-f03-p2-jcs4-4-deployed-idle</x:v>
      </x:c>
      <x:c r="N561" s="38" t="n">
        <x:v>46268.00043861111</x:v>
      </x:c>
      <x:c r="O561" s="36" t="n">
        <x:v>0</x:v>
      </x:c>
      <x:c r="P561" s="43" t="n">
        <x:v>164935680</x:v>
      </x:c>
      <x:c r="Q561" s="43" t="n">
        <x:v>268435456</x:v>
      </x:c>
      <x:c r="R561" s="43" t="n">
        <x:v>440380416</x:v>
      </x:c>
      <x:c r="S561" s="36" t="n">
        <x:v>3</x:v>
      </x:c>
      <x:c r="T561" s="44" t="str">
        <x:v>0x00000000111177b8  0x0000000011003818  0x00007cfab862ded0       0         0         0  org.apache.catalina.loader.ParallelWebappClassLoader | 0x00000000111177b8  0x0000000011003818  0x00007cfa0c389870    4091  19438592  19422720  org.apache.catalina.loader.ParallelWebappClassLoader | 0x00000000111177b8  0x0000000011003818  0x00007cfa2013c060    4408  20978688  20973144  org.apache.catalina.loader.ParallelWebappClassLoader</x:v>
      </x:c>
      <x:c r="U561" s="36" t="n">
        <x:v>27</x:v>
      </x:c>
      <x:c r="V561" s="36" t="n">
        <x:v>0</x:v>
      </x:c>
      <x:c r="W561" s="44"/>
      <x:c r="X561" s="36"/>
      <x:c r="Y561" s="36"/>
      <x:c r="Z561" s="44"/>
      <x:c r="AA561" s="49"/>
      <x:c r="AB561" s="43"/>
      <x:c r="AC561" s="34"/>
      <x:c r="AD561" s="34"/>
      <x:c r="AE561" s="34"/>
      <x:c r="AF561" s="34"/>
      <x:c r="AG561" s="34"/>
      <x:c r="AH561" s="34"/>
      <x:c r="AI561" s="34"/>
    </x:row>
    <x:row r="562">
      <x:c r="A562" s="34" t="str">
        <x:v>article1-unified-v4-2-fb3f101b-20260903-000401-default-f03-p2-jcs4</x:v>
      </x:c>
      <x:c r="B562" s="34" t="str">
        <x:v>default</x:v>
      </x:c>
      <x:c r="C562" s="34" t="str">
        <x:v>jcs4</x:v>
      </x:c>
      <x:c r="D562" s="34" t="str">
        <x:v>jcs4</x:v>
      </x:c>
      <x:c r="E562" s="36" t="n">
        <x:v>3</x:v>
      </x:c>
      <x:c r="F562" s="36" t="n">
        <x:v>3</x:v>
      </x:c>
      <x:c r="G562" s="36" t="n">
        <x:v>2</x:v>
      </x:c>
      <x:c r="H562" s="36" t="n">
        <x:v>4</x:v>
      </x:c>
      <x:c r="I562" s="34" t="str">
        <x:v>loaded</x:v>
      </x:c>
      <x:c r="J562" s="34" t="str">
        <x:v>loaded</x:v>
      </x:c>
      <x:c r="K562" s="36" t="n">
        <x:v>0</x:v>
      </x:c>
      <x:c r="L562" s="34" t="str">
        <x:v>initial</x:v>
      </x:c>
      <x:c r="M562" s="34" t="str">
        <x:v>article1-unified-v4-2-fb3f101b-20260903-000401-default-f03-p2-jcs4-4-loaded</x:v>
      </x:c>
      <x:c r="N562" s="38" t="n">
        <x:v>46268.00059037037</x:v>
      </x:c>
      <x:c r="O562" s="36" t="n">
        <x:v>0</x:v>
      </x:c>
      <x:c r="P562" s="43" t="n">
        <x:v>144265216</x:v>
      </x:c>
      <x:c r="Q562" s="43" t="n">
        <x:v>268435456</x:v>
      </x:c>
      <x:c r="R562" s="43" t="n">
        <x:v>443921408</x:v>
      </x:c>
      <x:c r="S562" s="36" t="n">
        <x:v>3</x:v>
      </x:c>
      <x:c r="T562" s="44" t="str">
        <x:v>0x00000000111177b8  0x0000000011003818  0x00007cfab862ded0       0         0         0  org.apache.catalina.loader.ParallelWebappClassLoader | 0x00000000111177b8  0x0000000011003818  0x00007cfa0c389870    4392  20945920  20935312  org.apache.catalina.loader.ParallelWebappClassLoader | 0x00000000111177b8  0x0000000011003818  0x00007cfa2013c060    4408  20978688  20973144  org.apache.catalina.loader.ParallelWebappClassLoader</x:v>
      </x:c>
      <x:c r="U562" s="36" t="n">
        <x:v>28</x:v>
      </x:c>
      <x:c r="V562" s="36" t="n">
        <x:v>1</x:v>
      </x:c>
      <x:c r="W562" s="44" t="str">
        <x:v>jcs4-thread-pool-event-queue:JCS-ThreadPoolManager-ElementEventQueue-Thread-22#303</x:v>
      </x:c>
      <x:c r="X562" s="36"/>
      <x:c r="Y562" s="36"/>
      <x:c r="Z562" s="44"/>
      <x:c r="AA562" s="49"/>
      <x:c r="AB562" s="43"/>
      <x:c r="AC562" s="34"/>
      <x:c r="AD562" s="34"/>
      <x:c r="AE562" s="34"/>
      <x:c r="AF562" s="34"/>
      <x:c r="AG562" s="34"/>
      <x:c r="AH562" s="34"/>
      <x:c r="AI562" s="34"/>
    </x:row>
    <x:row r="563">
      <x:c r="A563" s="34" t="str">
        <x:v>article1-unified-v4-2-fb3f101b-20260903-000401-default-f03-p2-jcs4</x:v>
      </x:c>
      <x:c r="B563" s="34" t="str">
        <x:v>default</x:v>
      </x:c>
      <x:c r="C563" s="34" t="str">
        <x:v>jcs4</x:v>
      </x:c>
      <x:c r="D563" s="34" t="str">
        <x:v>jcs4</x:v>
      </x:c>
      <x:c r="E563" s="36" t="n">
        <x:v>3</x:v>
      </x:c>
      <x:c r="F563" s="36" t="n">
        <x:v>3</x:v>
      </x:c>
      <x:c r="G563" s="36" t="n">
        <x:v>2</x:v>
      </x:c>
      <x:c r="H563" s="36" t="n">
        <x:v>4</x:v>
      </x:c>
      <x:c r="I563" s="34" t="str">
        <x:v>afterUndeployEarly</x:v>
      </x:c>
      <x:c r="J563" s="34" t="str">
        <x:v>after-undeploy-early</x:v>
      </x:c>
      <x:c r="K563" s="36" t="n">
        <x:v>1</x:v>
      </x:c>
      <x:c r="L563" s="34" t="str">
        <x:v>early</x:v>
      </x:c>
      <x:c r="M563" s="34" t="str">
        <x:v>article1-unified-v4-2-fb3f101b-20260903-000401-default-f03-p2-jcs4-4-after-undeploy-early-2s</x:v>
      </x:c>
      <x:c r="N563" s="38" t="n">
        <x:v>46268.00067217593</x:v>
      </x:c>
      <x:c r="O563" s="36"/>
      <x:c r="P563" s="43"/>
      <x:c r="Q563" s="43"/>
      <x:c r="R563" s="43"/>
      <x:c r="S563" s="36"/>
      <x:c r="T563" s="44"/>
      <x:c r="U563" s="36" t="n">
        <x:v>27</x:v>
      </x:c>
      <x:c r="V563" s="36" t="n">
        <x:v>0</x:v>
      </x:c>
      <x:c r="W563" s="44"/>
      <x:c r="X563" s="36"/>
      <x:c r="Y563" s="36"/>
      <x:c r="Z563" s="44"/>
      <x:c r="AA563" s="49"/>
      <x:c r="AB563" s="43" t="n">
        <x:v>5</x:v>
      </x:c>
      <x:c r="AC563" s="34"/>
      <x:c r="AD563" s="34"/>
      <x:c r="AE563" s="34" t="str">
        <x:v>article1-unified-v4-2-fb3f101b-20260903-000401-default-f03-p2-jcs4-4-after-undeploy-early-2s-thread-dump.txt</x:v>
      </x:c>
      <x:c r="AF563" s="34" t="str">
        <x:v>article1-unified-v4-2-fb3f101b-20260903-000401-default-f03-p2-jcs4-4-after-undeploy-early-tomcat-log.txt</x:v>
      </x:c>
      <x:c r="AG563" s="34"/>
      <x:c r="AH563" s="34"/>
      <x:c r="AI563" s="34"/>
    </x:row>
    <x:row r="564">
      <x:c r="A564" s="34" t="str">
        <x:v>article1-unified-v4-2-fb3f101b-20260903-000401-default-f03-p2-jcs4</x:v>
      </x:c>
      <x:c r="B564" s="34" t="str">
        <x:v>default</x:v>
      </x:c>
      <x:c r="C564" s="34" t="str">
        <x:v>jcs4</x:v>
      </x:c>
      <x:c r="D564" s="34" t="str">
        <x:v>jcs4</x:v>
      </x:c>
      <x:c r="E564" s="36" t="n">
        <x:v>3</x:v>
      </x:c>
      <x:c r="F564" s="36" t="n">
        <x:v>3</x:v>
      </x:c>
      <x:c r="G564" s="36" t="n">
        <x:v>2</x:v>
      </x:c>
      <x:c r="H564" s="36" t="n">
        <x:v>4</x:v>
      </x:c>
      <x:c r="I564" s="34" t="str">
        <x:v>afterUndeploy</x:v>
      </x:c>
      <x:c r="J564" s="34" t="str">
        <x:v>after-undeploy-final</x:v>
      </x:c>
      <x:c r="K564" s="36" t="n">
        <x:v>1</x:v>
      </x:c>
      <x:c r="L564" s="34" t="str">
        <x:v>final</x:v>
      </x:c>
      <x:c r="M564" s="34" t="str">
        <x:v>article1-unified-v4-2-fb3f101b-20260903-000401-default-f03-p2-jcs4-4-after-undeploy-final-10s</x:v>
      </x:c>
      <x:c r="N564" s="38" t="n">
        <x:v>46268.000829756944</x:v>
      </x:c>
      <x:c r="O564" s="36" t="n">
        <x:v>2</x:v>
      </x:c>
      <x:c r="P564" s="43" t="n">
        <x:v>15709184</x:v>
      </x:c>
      <x:c r="Q564" s="43" t="n">
        <x:v>268435456</x:v>
      </x:c>
      <x:c r="R564" s="43" t="n">
        <x:v>422190080</x:v>
      </x:c>
      <x:c r="S564" s="36" t="n">
        <x:v>2</x:v>
      </x:c>
      <x:c r="T564" s="44" t="str">
        <x:v>0x00000000111177b8  0x0000000011003818  0x00007cfab862ded0       0         0         0  org.apache.catalina.loader.ParallelWebappClassLoader | 0x00000000111177b8  0x0000000011003818  0x00007cfa0c389870    4406  20978688  20970704  org.apache.catalina.loader.ParallelWebappClassLoader</x:v>
      </x:c>
      <x:c r="U564" s="36" t="n">
        <x:v>27</x:v>
      </x:c>
      <x:c r="V564" s="36" t="n">
        <x:v>0</x:v>
      </x:c>
      <x:c r="W564" s="44"/>
      <x:c r="X564" s="36" t="n">
        <x:v>1</x:v>
      </x:c>
      <x:c r="Y564" s="36" t="n">
        <x:v>1</x:v>
      </x:c>
      <x:c r="Z564" s="44" t="str">
        <x:v>/jcs4</x:v>
      </x:c>
      <x:c r="AA564" s="45" t="b">
        <x:v>1</x:v>
      </x:c>
      <x:c r="AB564" s="43"/>
      <x:c r="AC564" s="34" t="str">
        <x:v>article1-unified-v4-2-fb3f101b-20260903-000401-default-f03-p2-jcs4-4-after-undeploy-final-10s-heap-info.txt</x:v>
      </x:c>
      <x:c r="AD564" s="34" t="str">
        <x:v>article1-unified-v4-2-fb3f101b-20260903-000401-default-f03-p2-jcs4-4-after-undeploy-final-10s-classloader-stats.txt</x:v>
      </x:c>
      <x:c r="AE564" s="34" t="str">
        <x:v>article1-unified-v4-2-fb3f101b-20260903-000401-default-f03-p2-jcs4-4-after-undeploy-final-10s-thread-dump.txt</x:v>
      </x:c>
      <x:c r="AF564" s="34"/>
      <x:c r="AG564" s="34" t="str">
        <x:v>article1-unified-v4-2-fb3f101b-20260903-000401-default-f03-p2-jcs4-4-after-undeploy-final-10s-native-memory.txt</x:v>
      </x:c>
      <x:c r="AH564" s="34" t="str">
        <x:v>article1-unified-v4-2-fb3f101b-20260903-000401-default-f03-p2-jcs4-4-after-undeploy-final-10s-class-histogram.txt</x:v>
      </x:c>
      <x:c r="AI564" s="34" t="str">
        <x:v>article1-unified-v4-2-fb3f101b-20260903-000401-default-f03-p2-jcs4-4-after-undeploy-tomcat-findleaks.txt</x:v>
      </x:c>
    </x:row>
    <x:row r="565">
      <x:c r="A565" s="34" t="str">
        <x:v>article1-unified-v4-2-fb3f101b-20260903-000401-default-f03-p2-jcs4</x:v>
      </x:c>
      <x:c r="B565" s="34" t="str">
        <x:v>default</x:v>
      </x:c>
      <x:c r="C565" s="34" t="str">
        <x:v>jcs4</x:v>
      </x:c>
      <x:c r="D565" s="34" t="str">
        <x:v>jcs4</x:v>
      </x:c>
      <x:c r="E565" s="36" t="n">
        <x:v>3</x:v>
      </x:c>
      <x:c r="F565" s="36" t="n">
        <x:v>3</x:v>
      </x:c>
      <x:c r="G565" s="36" t="n">
        <x:v>2</x:v>
      </x:c>
      <x:c r="H565" s="36" t="n">
        <x:v>4</x:v>
      </x:c>
      <x:c r="I565" s="34" t="str">
        <x:v>redeployedLoaded</x:v>
      </x:c>
      <x:c r="J565" s="34" t="str">
        <x:v>redeployed-loaded</x:v>
      </x:c>
      <x:c r="K565" s="36" t="n">
        <x:v>0</x:v>
      </x:c>
      <x:c r="L565" s="34" t="str">
        <x:v>redeploy</x:v>
      </x:c>
      <x:c r="M565" s="34" t="str">
        <x:v>article1-unified-v4-2-fb3f101b-20260903-000401-default-f03-p2-jcs4-4-redeployed-loaded</x:v>
      </x:c>
      <x:c r="N565" s="38" t="n">
        <x:v>46268.001087986115</x:v>
      </x:c>
      <x:c r="O565" s="36" t="n">
        <x:v>0</x:v>
      </x:c>
      <x:c r="P565" s="43" t="n">
        <x:v>107843584</x:v>
      </x:c>
      <x:c r="Q565" s="43" t="n">
        <x:v>268435456</x:v>
      </x:c>
      <x:c r="R565" s="43" t="n">
        <x:v>444981248</x:v>
      </x:c>
      <x:c r="S565" s="36" t="n">
        <x:v>3</x:v>
      </x:c>
      <x:c r="T565" s="44" t="str">
        <x:v>0x00000000111177b8  0x0000000011003818  0x00007cfab862ded0       0         0         0  org.apache.catalina.loader.ParallelWebappClassLoader | 0x00000000111177b8  0x0000000011003818  0x00007cf9bc00cb10    4392  20950016  20933448  org.apache.catalina.loader.ParallelWebappClassLoader | 0x00000000111177b8  0x0000000011003818  0x00007cfa0c389870    4406  20978688  20970704  org.apache.catalina.loader.ParallelWebappClassLoader</x:v>
      </x:c>
      <x:c r="U565" s="36" t="n">
        <x:v>28</x:v>
      </x:c>
      <x:c r="V565" s="36" t="n">
        <x:v>1</x:v>
      </x:c>
      <x:c r="W565" s="44" t="str">
        <x:v>jcs4-thread-pool-event-queue:JCS-ThreadPoolManager-ElementEventQueue-Thread-25#346</x:v>
      </x:c>
      <x:c r="X565" s="36"/>
      <x:c r="Y565" s="36"/>
      <x:c r="Z565" s="44"/>
      <x:c r="AA565" s="49"/>
      <x:c r="AB565" s="43"/>
      <x:c r="AC565" s="34"/>
      <x:c r="AD565" s="34"/>
      <x:c r="AE565" s="34"/>
      <x:c r="AF565" s="34"/>
      <x:c r="AG565" s="34"/>
      <x:c r="AH565" s="34"/>
      <x:c r="AI565" s="34"/>
    </x:row>
    <x:row r="566">
      <x:c r="A566" s="34" t="str">
        <x:v>article1-unified-v4-2-fb3f101b-20260903-000401-default-f03-p2-jcs4</x:v>
      </x:c>
      <x:c r="B566" s="34" t="str">
        <x:v>default</x:v>
      </x:c>
      <x:c r="C566" s="34" t="str">
        <x:v>jcs4</x:v>
      </x:c>
      <x:c r="D566" s="34" t="str">
        <x:v>jcs4</x:v>
      </x:c>
      <x:c r="E566" s="36" t="n">
        <x:v>3</x:v>
      </x:c>
      <x:c r="F566" s="36" t="n">
        <x:v>3</x:v>
      </x:c>
      <x:c r="G566" s="36" t="n">
        <x:v>2</x:v>
      </x:c>
      <x:c r="H566" s="36" t="n">
        <x:v>4</x:v>
      </x:c>
      <x:c r="I566" s="34" t="str">
        <x:v>afterFinalUndeployEarly</x:v>
      </x:c>
      <x:c r="J566" s="34" t="str">
        <x:v>after-final-undeploy-early</x:v>
      </x:c>
      <x:c r="K566" s="36" t="n">
        <x:v>2</x:v>
      </x:c>
      <x:c r="L566" s="34" t="str">
        <x:v>early</x:v>
      </x:c>
      <x:c r="M566" s="34" t="str">
        <x:v>article1-unified-v4-2-fb3f101b-20260903-000401-default-f03-p2-jcs4-4-after-final-undeploy-early-2s</x:v>
      </x:c>
      <x:c r="N566" s="38" t="n">
        <x:v>46268.00117476852</x:v>
      </x:c>
      <x:c r="O566" s="36"/>
      <x:c r="P566" s="43"/>
      <x:c r="Q566" s="43"/>
      <x:c r="R566" s="43"/>
      <x:c r="S566" s="36"/>
      <x:c r="T566" s="44"/>
      <x:c r="U566" s="36" t="n">
        <x:v>27</x:v>
      </x:c>
      <x:c r="V566" s="36" t="n">
        <x:v>0</x:v>
      </x:c>
      <x:c r="W566" s="44"/>
      <x:c r="X566" s="36"/>
      <x:c r="Y566" s="36"/>
      <x:c r="Z566" s="44"/>
      <x:c r="AA566" s="49"/>
      <x:c r="AB566" s="43" t="n">
        <x:v>5</x:v>
      </x:c>
      <x:c r="AC566" s="34"/>
      <x:c r="AD566" s="34"/>
      <x:c r="AE566" s="34" t="str">
        <x:v>article1-unified-v4-2-fb3f101b-20260903-000401-default-f03-p2-jcs4-4-after-final-undeploy-early-2s-thread-dump.txt</x:v>
      </x:c>
      <x:c r="AF566" s="34" t="str">
        <x:v>article1-unified-v4-2-fb3f101b-20260903-000401-default-f03-p2-jcs4-4-after-final-undeploy-early-tomcat-log.txt</x:v>
      </x:c>
      <x:c r="AG566" s="34"/>
      <x:c r="AH566" s="34"/>
      <x:c r="AI566" s="34"/>
    </x:row>
    <x:row r="567">
      <x:c r="A567" s="34" t="str">
        <x:v>article1-unified-v4-2-fb3f101b-20260903-000401-default-f03-p2-jcs4</x:v>
      </x:c>
      <x:c r="B567" s="34" t="str">
        <x:v>default</x:v>
      </x:c>
      <x:c r="C567" s="34" t="str">
        <x:v>jcs4</x:v>
      </x:c>
      <x:c r="D567" s="34" t="str">
        <x:v>jcs4</x:v>
      </x:c>
      <x:c r="E567" s="36" t="n">
        <x:v>3</x:v>
      </x:c>
      <x:c r="F567" s="36" t="n">
        <x:v>3</x:v>
      </x:c>
      <x:c r="G567" s="36" t="n">
        <x:v>2</x:v>
      </x:c>
      <x:c r="H567" s="36" t="n">
        <x:v>4</x:v>
      </x:c>
      <x:c r="I567" s="34" t="str">
        <x:v>afterFinalUndeploy</x:v>
      </x:c>
      <x:c r="J567" s="34" t="str">
        <x:v>after-final-undeploy-final</x:v>
      </x:c>
      <x:c r="K567" s="36" t="n">
        <x:v>2</x:v>
      </x:c>
      <x:c r="L567" s="34" t="str">
        <x:v>final</x:v>
      </x:c>
      <x:c r="M567" s="34" t="str">
        <x:v>article1-unified-v4-2-fb3f101b-20260903-000401-default-f03-p2-jcs4-4-after-final-undeploy-final-10s</x:v>
      </x:c>
      <x:c r="N567" s="38" t="n">
        <x:v>46268.00133162037</x:v>
      </x:c>
      <x:c r="O567" s="36" t="n">
        <x:v>2</x:v>
      </x:c>
      <x:c r="P567" s="43" t="n">
        <x:v>15738880</x:v>
      </x:c>
      <x:c r="Q567" s="43" t="n">
        <x:v>268435456</x:v>
      </x:c>
      <x:c r="R567" s="43" t="n">
        <x:v>427881472</x:v>
      </x:c>
      <x:c r="S567" s="36" t="n">
        <x:v>2</x:v>
      </x:c>
      <x:c r="T567" s="44" t="str">
        <x:v>0x00000000111177b8  0x0000000011003818  0x00007cf9bc00cb10    4406  20982784  20968800  org.apache.catalina.loader.ParallelWebappClassLoader | 0x00000000111177b8  0x0000000011003818  0x00007cfab862ded0       0         0         0  org.apache.catalina.loader.ParallelWebappClassLoader</x:v>
      </x:c>
      <x:c r="U567" s="36" t="n">
        <x:v>27</x:v>
      </x:c>
      <x:c r="V567" s="36" t="n">
        <x:v>0</x:v>
      </x:c>
      <x:c r="W567" s="44"/>
      <x:c r="X567" s="36" t="n">
        <x:v>1</x:v>
      </x:c>
      <x:c r="Y567" s="36" t="n">
        <x:v>1</x:v>
      </x:c>
      <x:c r="Z567" s="44" t="str">
        <x:v>/jcs4</x:v>
      </x:c>
      <x:c r="AA567" s="45" t="b">
        <x:v>1</x:v>
      </x:c>
      <x:c r="AB567" s="43"/>
      <x:c r="AC567" s="34" t="str">
        <x:v>article1-unified-v4-2-fb3f101b-20260903-000401-default-f03-p2-jcs4-4-after-final-undeploy-final-10s-heap-info.txt</x:v>
      </x:c>
      <x:c r="AD567" s="34" t="str">
        <x:v>article1-unified-v4-2-fb3f101b-20260903-000401-default-f03-p2-jcs4-4-after-final-undeploy-final-10s-classloader-stats.txt</x:v>
      </x:c>
      <x:c r="AE567" s="34" t="str">
        <x:v>article1-unified-v4-2-fb3f101b-20260903-000401-default-f03-p2-jcs4-4-after-final-undeploy-final-10s-thread-dump.txt</x:v>
      </x:c>
      <x:c r="AF567" s="34"/>
      <x:c r="AG567" s="34" t="str">
        <x:v>article1-unified-v4-2-fb3f101b-20260903-000401-default-f03-p2-jcs4-4-after-final-undeploy-final-10s-native-memory.txt</x:v>
      </x:c>
      <x:c r="AH567" s="34" t="str">
        <x:v>article1-unified-v4-2-fb3f101b-20260903-000401-default-f03-p2-jcs4-4-after-final-undeploy-final-10s-class-histogram.txt</x:v>
      </x:c>
      <x:c r="AI567" s="34" t="str">
        <x:v>article1-unified-v4-2-fb3f101b-20260903-000401-default-f03-p2-jcs4-4-after-final-undeploy-tomcat-findleaks.txt</x:v>
      </x:c>
    </x:row>
    <x:row r="568">
      <x:c r="A568" s="34" t="str">
        <x:v>article1-unified-v4-2-fb3f101b-20260903-000401-default-f03-p2-jcs4</x:v>
      </x:c>
      <x:c r="B568" s="34" t="str">
        <x:v>default</x:v>
      </x:c>
      <x:c r="C568" s="34" t="str">
        <x:v>jcs4</x:v>
      </x:c>
      <x:c r="D568" s="34" t="str">
        <x:v>jcs4</x:v>
      </x:c>
      <x:c r="E568" s="36" t="n">
        <x:v>3</x:v>
      </x:c>
      <x:c r="F568" s="36" t="n">
        <x:v>3</x:v>
      </x:c>
      <x:c r="G568" s="36" t="n">
        <x:v>2</x:v>
      </x:c>
      <x:c r="H568" s="36" t="n">
        <x:v>5</x:v>
      </x:c>
      <x:c r="I568" s="34" t="str">
        <x:v>baseline</x:v>
      </x:c>
      <x:c r="J568" s="34" t="str">
        <x:v>cycle-baseline</x:v>
      </x:c>
      <x:c r="K568" s="36" t="n">
        <x:v>0</x:v>
      </x:c>
      <x:c r="L568" s="34" t="str">
        <x:v>baseline</x:v>
      </x:c>
      <x:c r="M568" s="34" t="str">
        <x:v>article1-unified-v4-2-fb3f101b-20260903-000401-default-f03-p2-jcs4-5-baseline</x:v>
      </x:c>
      <x:c r="N568" s="38" t="n">
        <x:v>46268.00137116898</x:v>
      </x:c>
      <x:c r="O568" s="36" t="n">
        <x:v>0</x:v>
      </x:c>
      <x:c r="P568" s="43" t="n">
        <x:v>15738880</x:v>
      </x:c>
      <x:c r="Q568" s="43" t="n">
        <x:v>268435456</x:v>
      </x:c>
      <x:c r="R568" s="43" t="n">
        <x:v>427882496</x:v>
      </x:c>
      <x:c r="S568" s="36" t="n">
        <x:v>2</x:v>
      </x:c>
      <x:c r="T568" s="44" t="str">
        <x:v>0x00000000111177b8  0x0000000011003818  0x00007cf9bc00cb10    4406  20982784  20968800  org.apache.catalina.loader.ParallelWebappClassLoader | 0x00000000111177b8  0x0000000011003818  0x00007cfab862ded0       0         0         0  org.apache.catalina.loader.ParallelWebappClassLoader</x:v>
      </x:c>
      <x:c r="U568" s="36" t="n">
        <x:v>27</x:v>
      </x:c>
      <x:c r="V568" s="36" t="n">
        <x:v>0</x:v>
      </x:c>
      <x:c r="W568" s="44"/>
      <x:c r="X568" s="36"/>
      <x:c r="Y568" s="36"/>
      <x:c r="Z568" s="44"/>
      <x:c r="AA568" s="49"/>
      <x:c r="AB568" s="43"/>
      <x:c r="AC568" s="34" t="str">
        <x:v>article1-unified-v4-2-fb3f101b-20260903-000401-default-f03-p2-jcs4-5-baseline-heap-info.txt</x:v>
      </x:c>
      <x:c r="AD568" s="34" t="str">
        <x:v>article1-unified-v4-2-fb3f101b-20260903-000401-default-f03-p2-jcs4-5-baseline-classloader-stats.txt</x:v>
      </x:c>
      <x:c r="AE568" s="34" t="str">
        <x:v>article1-unified-v4-2-fb3f101b-20260903-000401-default-f03-p2-jcs4-5-baseline-thread-dump.txt</x:v>
      </x:c>
      <x:c r="AF568" s="34"/>
      <x:c r="AG568" s="34" t="str">
        <x:v>article1-unified-v4-2-fb3f101b-20260903-000401-default-f03-p2-jcs4-5-baseline-native-memory.txt</x:v>
      </x:c>
      <x:c r="AH568" s="34"/>
      <x:c r="AI568" s="34"/>
    </x:row>
    <x:row r="569">
      <x:c r="A569" s="34" t="str">
        <x:v>article1-unified-v4-2-fb3f101b-20260903-000401-default-f03-p2-jcs4</x:v>
      </x:c>
      <x:c r="B569" s="34" t="str">
        <x:v>default</x:v>
      </x:c>
      <x:c r="C569" s="34" t="str">
        <x:v>jcs4</x:v>
      </x:c>
      <x:c r="D569" s="34" t="str">
        <x:v>jcs4</x:v>
      </x:c>
      <x:c r="E569" s="36" t="n">
        <x:v>3</x:v>
      </x:c>
      <x:c r="F569" s="36" t="n">
        <x:v>3</x:v>
      </x:c>
      <x:c r="G569" s="36" t="n">
        <x:v>2</x:v>
      </x:c>
      <x:c r="H569" s="36" t="n">
        <x:v>5</x:v>
      </x:c>
      <x:c r="I569" s="34" t="str">
        <x:v>deployedIdle</x:v>
      </x:c>
      <x:c r="J569" s="34" t="str">
        <x:v>deployed-idle</x:v>
      </x:c>
      <x:c r="K569" s="36" t="n">
        <x:v>0</x:v>
      </x:c>
      <x:c r="L569" s="34" t="str">
        <x:v>initial</x:v>
      </x:c>
      <x:c r="M569" s="34" t="str">
        <x:v>article1-unified-v4-2-fb3f101b-20260903-000401-default-f03-p2-jcs4-5-deployed-idle</x:v>
      </x:c>
      <x:c r="N569" s="38" t="n">
        <x:v>46268.001469710645</x:v>
      </x:c>
      <x:c r="O569" s="36" t="n">
        <x:v>0</x:v>
      </x:c>
      <x:c r="P569" s="43" t="n">
        <x:v>166183936</x:v>
      </x:c>
      <x:c r="Q569" s="43" t="n">
        <x:v>268435456</x:v>
      </x:c>
      <x:c r="R569" s="43" t="n">
        <x:v>442138624</x:v>
      </x:c>
      <x:c r="S569" s="36" t="n">
        <x:v>3</x:v>
      </x:c>
      <x:c r="T569" s="44" t="str">
        <x:v>0x00000000111177b8  0x0000000011003818  0x00007cf9bc00cb10    4406  20982784  20968800  org.apache.catalina.loader.ParallelWebappClassLoader | 0x00000000111177b8  0x0000000011003818  0x00007cfa380f55c0    4091  19454976  19428984  org.apache.catalina.loader.ParallelWebappClassLoader | 0x00000000111177b8  0x0000000011003818  0x00007cfab862ded0       0         0         0  org.apache.catalina.loader.ParallelWebappClassLoader</x:v>
      </x:c>
      <x:c r="U569" s="36" t="n">
        <x:v>27</x:v>
      </x:c>
      <x:c r="V569" s="36" t="n">
        <x:v>0</x:v>
      </x:c>
      <x:c r="W569" s="44"/>
      <x:c r="X569" s="36"/>
      <x:c r="Y569" s="36"/>
      <x:c r="Z569" s="44"/>
      <x:c r="AA569" s="49"/>
      <x:c r="AB569" s="43"/>
      <x:c r="AC569" s="34"/>
      <x:c r="AD569" s="34"/>
      <x:c r="AE569" s="34"/>
      <x:c r="AF569" s="34"/>
      <x:c r="AG569" s="34"/>
      <x:c r="AH569" s="34"/>
      <x:c r="AI569" s="34"/>
    </x:row>
    <x:row r="570">
      <x:c r="A570" s="34" t="str">
        <x:v>article1-unified-v4-2-fb3f101b-20260903-000401-default-f03-p2-jcs4</x:v>
      </x:c>
      <x:c r="B570" s="34" t="str">
        <x:v>default</x:v>
      </x:c>
      <x:c r="C570" s="34" t="str">
        <x:v>jcs4</x:v>
      </x:c>
      <x:c r="D570" s="34" t="str">
        <x:v>jcs4</x:v>
      </x:c>
      <x:c r="E570" s="36" t="n">
        <x:v>3</x:v>
      </x:c>
      <x:c r="F570" s="36" t="n">
        <x:v>3</x:v>
      </x:c>
      <x:c r="G570" s="36" t="n">
        <x:v>2</x:v>
      </x:c>
      <x:c r="H570" s="36" t="n">
        <x:v>5</x:v>
      </x:c>
      <x:c r="I570" s="34" t="str">
        <x:v>loaded</x:v>
      </x:c>
      <x:c r="J570" s="34" t="str">
        <x:v>loaded</x:v>
      </x:c>
      <x:c r="K570" s="36" t="n">
        <x:v>0</x:v>
      </x:c>
      <x:c r="L570" s="34" t="str">
        <x:v>initial</x:v>
      </x:c>
      <x:c r="M570" s="34" t="str">
        <x:v>article1-unified-v4-2-fb3f101b-20260903-000401-default-f03-p2-jcs4-5-loaded</x:v>
      </x:c>
      <x:c r="N570" s="38" t="n">
        <x:v>46268.001622233794</x:v>
      </x:c>
      <x:c r="O570" s="36" t="n">
        <x:v>0</x:v>
      </x:c>
      <x:c r="P570" s="43" t="n">
        <x:v>109204480</x:v>
      </x:c>
      <x:c r="Q570" s="43" t="n">
        <x:v>268435456</x:v>
      </x:c>
      <x:c r="R570" s="43" t="n">
        <x:v>445962240</x:v>
      </x:c>
      <x:c r="S570" s="36" t="n">
        <x:v>3</x:v>
      </x:c>
      <x:c r="T570" s="44" t="str">
        <x:v>0x00000000111177b8  0x0000000011003818  0x00007cf9bc00cb10    4406  20982784  20968800  org.apache.catalina.loader.ParallelWebappClassLoader | 0x00000000111177b8  0x0000000011003818  0x00007cfab862ded0       0         0         0  org.apache.catalina.loader.ParallelWebappClassLoader | 0x00000000111177b8  0x0000000011003818  0x00007cfa380f55c0    4395  20962304  20940448  org.apache.catalina.loader.ParallelWebappClassLoader</x:v>
      </x:c>
      <x:c r="U570" s="36" t="n">
        <x:v>28</x:v>
      </x:c>
      <x:c r="V570" s="36" t="n">
        <x:v>1</x:v>
      </x:c>
      <x:c r="W570" s="44" t="str">
        <x:v>jcs4-thread-pool-event-queue:JCS-ThreadPoolManager-ElementEventQueue-Thread-28#388</x:v>
      </x:c>
      <x:c r="X570" s="36"/>
      <x:c r="Y570" s="36"/>
      <x:c r="Z570" s="44"/>
      <x:c r="AA570" s="49"/>
      <x:c r="AB570" s="43"/>
      <x:c r="AC570" s="34"/>
      <x:c r="AD570" s="34"/>
      <x:c r="AE570" s="34"/>
      <x:c r="AF570" s="34"/>
      <x:c r="AG570" s="34"/>
      <x:c r="AH570" s="34"/>
      <x:c r="AI570" s="34"/>
    </x:row>
    <x:row r="571">
      <x:c r="A571" s="34" t="str">
        <x:v>article1-unified-v4-2-fb3f101b-20260903-000401-default-f03-p2-jcs4</x:v>
      </x:c>
      <x:c r="B571" s="34" t="str">
        <x:v>default</x:v>
      </x:c>
      <x:c r="C571" s="34" t="str">
        <x:v>jcs4</x:v>
      </x:c>
      <x:c r="D571" s="34" t="str">
        <x:v>jcs4</x:v>
      </x:c>
      <x:c r="E571" s="36" t="n">
        <x:v>3</x:v>
      </x:c>
      <x:c r="F571" s="36" t="n">
        <x:v>3</x:v>
      </x:c>
      <x:c r="G571" s="36" t="n">
        <x:v>2</x:v>
      </x:c>
      <x:c r="H571" s="36" t="n">
        <x:v>5</x:v>
      </x:c>
      <x:c r="I571" s="34" t="str">
        <x:v>afterUndeployEarly</x:v>
      </x:c>
      <x:c r="J571" s="34" t="str">
        <x:v>after-undeploy-early</x:v>
      </x:c>
      <x:c r="K571" s="36" t="n">
        <x:v>1</x:v>
      </x:c>
      <x:c r="L571" s="34" t="str">
        <x:v>early</x:v>
      </x:c>
      <x:c r="M571" s="34" t="str">
        <x:v>article1-unified-v4-2-fb3f101b-20260903-000401-default-f03-p2-jcs4-5-after-undeploy-early-2s</x:v>
      </x:c>
      <x:c r="N571" s="38" t="n">
        <x:v>46268.001705891205</x:v>
      </x:c>
      <x:c r="O571" s="36"/>
      <x:c r="P571" s="43"/>
      <x:c r="Q571" s="43"/>
      <x:c r="R571" s="43"/>
      <x:c r="S571" s="36"/>
      <x:c r="T571" s="44"/>
      <x:c r="U571" s="36" t="n">
        <x:v>27</x:v>
      </x:c>
      <x:c r="V571" s="36" t="n">
        <x:v>0</x:v>
      </x:c>
      <x:c r="W571" s="44"/>
      <x:c r="X571" s="36"/>
      <x:c r="Y571" s="36"/>
      <x:c r="Z571" s="44"/>
      <x:c r="AA571" s="49"/>
      <x:c r="AB571" s="43" t="n">
        <x:v>5</x:v>
      </x:c>
      <x:c r="AC571" s="34"/>
      <x:c r="AD571" s="34"/>
      <x:c r="AE571" s="34" t="str">
        <x:v>article1-unified-v4-2-fb3f101b-20260903-000401-default-f03-p2-jcs4-5-after-undeploy-early-2s-thread-dump.txt</x:v>
      </x:c>
      <x:c r="AF571" s="34" t="str">
        <x:v>article1-unified-v4-2-fb3f101b-20260903-000401-default-f03-p2-jcs4-5-after-undeploy-early-tomcat-log.txt</x:v>
      </x:c>
      <x:c r="AG571" s="34"/>
      <x:c r="AH571" s="34"/>
      <x:c r="AI571" s="34"/>
    </x:row>
    <x:row r="572">
      <x:c r="A572" s="34" t="str">
        <x:v>article1-unified-v4-2-fb3f101b-20260903-000401-default-f03-p2-jcs4</x:v>
      </x:c>
      <x:c r="B572" s="34" t="str">
        <x:v>default</x:v>
      </x:c>
      <x:c r="C572" s="34" t="str">
        <x:v>jcs4</x:v>
      </x:c>
      <x:c r="D572" s="34" t="str">
        <x:v>jcs4</x:v>
      </x:c>
      <x:c r="E572" s="36" t="n">
        <x:v>3</x:v>
      </x:c>
      <x:c r="F572" s="36" t="n">
        <x:v>3</x:v>
      </x:c>
      <x:c r="G572" s="36" t="n">
        <x:v>2</x:v>
      </x:c>
      <x:c r="H572" s="36" t="n">
        <x:v>5</x:v>
      </x:c>
      <x:c r="I572" s="34" t="str">
        <x:v>afterUndeploy</x:v>
      </x:c>
      <x:c r="J572" s="34" t="str">
        <x:v>after-undeploy-final</x:v>
      </x:c>
      <x:c r="K572" s="36" t="n">
        <x:v>1</x:v>
      </x:c>
      <x:c r="L572" s="34" t="str">
        <x:v>final</x:v>
      </x:c>
      <x:c r="M572" s="34" t="str">
        <x:v>article1-unified-v4-2-fb3f101b-20260903-000401-default-f03-p2-jcs4-5-after-undeploy-final-10s</x:v>
      </x:c>
      <x:c r="N572" s="38" t="n">
        <x:v>46268.00186304398</x:v>
      </x:c>
      <x:c r="O572" s="36" t="n">
        <x:v>2</x:v>
      </x:c>
      <x:c r="P572" s="43" t="n">
        <x:v>15747072</x:v>
      </x:c>
      <x:c r="Q572" s="43" t="n">
        <x:v>268435456</x:v>
      </x:c>
      <x:c r="R572" s="43" t="n">
        <x:v>424646656</x:v>
      </x:c>
      <x:c r="S572" s="36" t="n">
        <x:v>2</x:v>
      </x:c>
      <x:c r="T572" s="44" t="str">
        <x:v>0x00000000111177b8  0x0000000011003818  0x00007cfab862ded0       0         0         0  org.apache.catalina.loader.ParallelWebappClassLoader | 0x00000000111177b8  0x0000000011003818  0x00007cfa380f55c0    4409  20995072  20975840  org.apache.catalina.loader.ParallelWebappClassLoader</x:v>
      </x:c>
      <x:c r="U572" s="36" t="n">
        <x:v>27</x:v>
      </x:c>
      <x:c r="V572" s="36" t="n">
        <x:v>0</x:v>
      </x:c>
      <x:c r="W572" s="44"/>
      <x:c r="X572" s="36" t="n">
        <x:v>1</x:v>
      </x:c>
      <x:c r="Y572" s="36" t="n">
        <x:v>1</x:v>
      </x:c>
      <x:c r="Z572" s="44" t="str">
        <x:v>/jcs4</x:v>
      </x:c>
      <x:c r="AA572" s="45" t="b">
        <x:v>1</x:v>
      </x:c>
      <x:c r="AB572" s="43"/>
      <x:c r="AC572" s="34" t="str">
        <x:v>article1-unified-v4-2-fb3f101b-20260903-000401-default-f03-p2-jcs4-5-after-undeploy-final-10s-heap-info.txt</x:v>
      </x:c>
      <x:c r="AD572" s="34" t="str">
        <x:v>article1-unified-v4-2-fb3f101b-20260903-000401-default-f03-p2-jcs4-5-after-undeploy-final-10s-classloader-stats.txt</x:v>
      </x:c>
      <x:c r="AE572" s="34" t="str">
        <x:v>article1-unified-v4-2-fb3f101b-20260903-000401-default-f03-p2-jcs4-5-after-undeploy-final-10s-thread-dump.txt</x:v>
      </x:c>
      <x:c r="AF572" s="34"/>
      <x:c r="AG572" s="34" t="str">
        <x:v>article1-unified-v4-2-fb3f101b-20260903-000401-default-f03-p2-jcs4-5-after-undeploy-final-10s-native-memory.txt</x:v>
      </x:c>
      <x:c r="AH572" s="34" t="str">
        <x:v>article1-unified-v4-2-fb3f101b-20260903-000401-default-f03-p2-jcs4-5-after-undeploy-final-10s-class-histogram.txt</x:v>
      </x:c>
      <x:c r="AI572" s="34" t="str">
        <x:v>article1-unified-v4-2-fb3f101b-20260903-000401-default-f03-p2-jcs4-5-after-undeploy-tomcat-findleaks.txt</x:v>
      </x:c>
    </x:row>
    <x:row r="573">
      <x:c r="A573" s="34" t="str">
        <x:v>article1-unified-v4-2-fb3f101b-20260903-000401-default-f03-p2-jcs4</x:v>
      </x:c>
      <x:c r="B573" s="34" t="str">
        <x:v>default</x:v>
      </x:c>
      <x:c r="C573" s="34" t="str">
        <x:v>jcs4</x:v>
      </x:c>
      <x:c r="D573" s="34" t="str">
        <x:v>jcs4</x:v>
      </x:c>
      <x:c r="E573" s="36" t="n">
        <x:v>3</x:v>
      </x:c>
      <x:c r="F573" s="36" t="n">
        <x:v>3</x:v>
      </x:c>
      <x:c r="G573" s="36" t="n">
        <x:v>2</x:v>
      </x:c>
      <x:c r="H573" s="36" t="n">
        <x:v>5</x:v>
      </x:c>
      <x:c r="I573" s="34" t="str">
        <x:v>redeployedLoaded</x:v>
      </x:c>
      <x:c r="J573" s="34" t="str">
        <x:v>redeployed-loaded</x:v>
      </x:c>
      <x:c r="K573" s="36" t="n">
        <x:v>0</x:v>
      </x:c>
      <x:c r="L573" s="34" t="str">
        <x:v>redeploy</x:v>
      </x:c>
      <x:c r="M573" s="34" t="str">
        <x:v>article1-unified-v4-2-fb3f101b-20260903-000401-default-f03-p2-jcs4-5-redeployed-loaded</x:v>
      </x:c>
      <x:c r="N573" s="38" t="n">
        <x:v>46268.00211996528</x:v>
      </x:c>
      <x:c r="O573" s="36" t="n">
        <x:v>0</x:v>
      </x:c>
      <x:c r="P573" s="43" t="n">
        <x:v>112026624</x:v>
      </x:c>
      <x:c r="Q573" s="43" t="n">
        <x:v>268435456</x:v>
      </x:c>
      <x:c r="R573" s="43" t="n">
        <x:v>445551616</x:v>
      </x:c>
      <x:c r="S573" s="36" t="n">
        <x:v>3</x:v>
      </x:c>
      <x:c r="T573" s="44" t="str">
        <x:v>0x00000000111177b8  0x0000000011003818  0x00007cfab862ded0       0         0         0  org.apache.catalina.loader.ParallelWebappClassLoader | 0x00000000111177b8  0x0000000011003818  0x00007cf9d4260980    4400  20982784  20961400  org.apache.catalina.loader.ParallelWebappClassLoader | 0x00000000111177b8  0x0000000011003818  0x00007cfa380f55c0    4409  20995072  20975840  org.apache.catalina.loader.ParallelWebappClassLoader</x:v>
      </x:c>
      <x:c r="U573" s="36" t="n">
        <x:v>28</x:v>
      </x:c>
      <x:c r="V573" s="36" t="n">
        <x:v>1</x:v>
      </x:c>
      <x:c r="W573" s="44" t="str">
        <x:v>jcs4-thread-pool-event-queue:JCS-ThreadPoolManager-ElementEventQueue-Thread-31#431</x:v>
      </x:c>
      <x:c r="X573" s="36"/>
      <x:c r="Y573" s="36"/>
      <x:c r="Z573" s="44"/>
      <x:c r="AA573" s="49"/>
      <x:c r="AB573" s="43"/>
      <x:c r="AC573" s="34"/>
      <x:c r="AD573" s="34"/>
      <x:c r="AE573" s="34"/>
      <x:c r="AF573" s="34"/>
      <x:c r="AG573" s="34"/>
      <x:c r="AH573" s="34"/>
      <x:c r="AI573" s="34"/>
    </x:row>
    <x:row r="574">
      <x:c r="A574" s="34" t="str">
        <x:v>article1-unified-v4-2-fb3f101b-20260903-000401-default-f03-p2-jcs4</x:v>
      </x:c>
      <x:c r="B574" s="34" t="str">
        <x:v>default</x:v>
      </x:c>
      <x:c r="C574" s="34" t="str">
        <x:v>jcs4</x:v>
      </x:c>
      <x:c r="D574" s="34" t="str">
        <x:v>jcs4</x:v>
      </x:c>
      <x:c r="E574" s="36" t="n">
        <x:v>3</x:v>
      </x:c>
      <x:c r="F574" s="36" t="n">
        <x:v>3</x:v>
      </x:c>
      <x:c r="G574" s="36" t="n">
        <x:v>2</x:v>
      </x:c>
      <x:c r="H574" s="36" t="n">
        <x:v>5</x:v>
      </x:c>
      <x:c r="I574" s="34" t="str">
        <x:v>afterFinalUndeployEarly</x:v>
      </x:c>
      <x:c r="J574" s="34" t="str">
        <x:v>after-final-undeploy-early</x:v>
      </x:c>
      <x:c r="K574" s="36" t="n">
        <x:v>2</x:v>
      </x:c>
      <x:c r="L574" s="34" t="str">
        <x:v>early</x:v>
      </x:c>
      <x:c r="M574" s="34" t="str">
        <x:v>article1-unified-v4-2-fb3f101b-20260903-000401-default-f03-p2-jcs4-5-after-final-undeploy-early-2s</x:v>
      </x:c>
      <x:c r="N574" s="38" t="n">
        <x:v>46268.002201435185</x:v>
      </x:c>
      <x:c r="O574" s="36"/>
      <x:c r="P574" s="43"/>
      <x:c r="Q574" s="43"/>
      <x:c r="R574" s="43"/>
      <x:c r="S574" s="36"/>
      <x:c r="T574" s="44"/>
      <x:c r="U574" s="36" t="n">
        <x:v>27</x:v>
      </x:c>
      <x:c r="V574" s="36" t="n">
        <x:v>0</x:v>
      </x:c>
      <x:c r="W574" s="44"/>
      <x:c r="X574" s="36"/>
      <x:c r="Y574" s="36"/>
      <x:c r="Z574" s="44"/>
      <x:c r="AA574" s="49"/>
      <x:c r="AB574" s="43" t="n">
        <x:v>5</x:v>
      </x:c>
      <x:c r="AC574" s="34"/>
      <x:c r="AD574" s="34"/>
      <x:c r="AE574" s="34" t="str">
        <x:v>article1-unified-v4-2-fb3f101b-20260903-000401-default-f03-p2-jcs4-5-after-final-undeploy-early-2s-thread-dump.txt</x:v>
      </x:c>
      <x:c r="AF574" s="34" t="str">
        <x:v>article1-unified-v4-2-fb3f101b-20260903-000401-default-f03-p2-jcs4-5-after-final-undeploy-early-tomcat-log.txt</x:v>
      </x:c>
      <x:c r="AG574" s="34"/>
      <x:c r="AH574" s="34"/>
      <x:c r="AI574" s="34"/>
    </x:row>
    <x:row r="575">
      <x:c r="A575" s="34" t="str">
        <x:v>article1-unified-v4-2-fb3f101b-20260903-000401-default-f03-p2-jcs4</x:v>
      </x:c>
      <x:c r="B575" s="34" t="str">
        <x:v>default</x:v>
      </x:c>
      <x:c r="C575" s="34" t="str">
        <x:v>jcs4</x:v>
      </x:c>
      <x:c r="D575" s="34" t="str">
        <x:v>jcs4</x:v>
      </x:c>
      <x:c r="E575" s="36" t="n">
        <x:v>3</x:v>
      </x:c>
      <x:c r="F575" s="36" t="n">
        <x:v>3</x:v>
      </x:c>
      <x:c r="G575" s="36" t="n">
        <x:v>2</x:v>
      </x:c>
      <x:c r="H575" s="36" t="n">
        <x:v>5</x:v>
      </x:c>
      <x:c r="I575" s="34" t="str">
        <x:v>afterFinalUndeploy</x:v>
      </x:c>
      <x:c r="J575" s="34" t="str">
        <x:v>after-final-undeploy-final</x:v>
      </x:c>
      <x:c r="K575" s="36" t="n">
        <x:v>2</x:v>
      </x:c>
      <x:c r="L575" s="34" t="str">
        <x:v>final</x:v>
      </x:c>
      <x:c r="M575" s="34" t="str">
        <x:v>article1-unified-v4-2-fb3f101b-20260903-000401-default-f03-p2-jcs4-5-after-final-undeploy-final-10s</x:v>
      </x:c>
      <x:c r="N575" s="38" t="n">
        <x:v>46268.002358391204</x:v>
      </x:c>
      <x:c r="O575" s="36" t="n">
        <x:v>2</x:v>
      </x:c>
      <x:c r="P575" s="43" t="n">
        <x:v>15782912</x:v>
      </x:c>
      <x:c r="Q575" s="43" t="n">
        <x:v>268435456</x:v>
      </x:c>
      <x:c r="R575" s="43" t="n">
        <x:v>430020608</x:v>
      </x:c>
      <x:c r="S575" s="36" t="n">
        <x:v>2</x:v>
      </x:c>
      <x:c r="T575" s="44" t="str">
        <x:v>0x00000000111177b8  0x0000000011003818  0x00007cfab862ded0       0         0         0  org.apache.catalina.loader.ParallelWebappClassLoader | 0x00000000111177b8  0x0000000011003818  0x00007cf9d4260980    4414  20999168  20996792  org.apache.catalina.loader.ParallelWebappClassLoader</x:v>
      </x:c>
      <x:c r="U575" s="36" t="n">
        <x:v>27</x:v>
      </x:c>
      <x:c r="V575" s="36" t="n">
        <x:v>0</x:v>
      </x:c>
      <x:c r="W575" s="44"/>
      <x:c r="X575" s="36" t="n">
        <x:v>1</x:v>
      </x:c>
      <x:c r="Y575" s="36" t="n">
        <x:v>1</x:v>
      </x:c>
      <x:c r="Z575" s="44" t="str">
        <x:v>/jcs4</x:v>
      </x:c>
      <x:c r="AA575" s="45" t="b">
        <x:v>1</x:v>
      </x:c>
      <x:c r="AB575" s="43"/>
      <x:c r="AC575" s="34" t="str">
        <x:v>article1-unified-v4-2-fb3f101b-20260903-000401-default-f03-p2-jcs4-5-after-final-undeploy-final-10s-heap-info.txt</x:v>
      </x:c>
      <x:c r="AD575" s="34" t="str">
        <x:v>article1-unified-v4-2-fb3f101b-20260903-000401-default-f03-p2-jcs4-5-after-final-undeploy-final-10s-classloader-stats.txt</x:v>
      </x:c>
      <x:c r="AE575" s="34" t="str">
        <x:v>article1-unified-v4-2-fb3f101b-20260903-000401-default-f03-p2-jcs4-5-after-final-undeploy-final-10s-thread-dump.txt</x:v>
      </x:c>
      <x:c r="AF575" s="34"/>
      <x:c r="AG575" s="34" t="str">
        <x:v>article1-unified-v4-2-fb3f101b-20260903-000401-default-f03-p2-jcs4-5-after-final-undeploy-final-10s-native-memory.txt</x:v>
      </x:c>
      <x:c r="AH575" s="34" t="str">
        <x:v>article1-unified-v4-2-fb3f101b-20260903-000401-default-f03-p2-jcs4-5-after-final-undeploy-final-10s-class-histogram.txt</x:v>
      </x:c>
      <x:c r="AI575" s="34" t="str">
        <x:v>article1-unified-v4-2-fb3f101b-20260903-000401-default-f03-p2-jcs4-5-after-final-undeploy-tomcat-findleaks.txt</x:v>
      </x:c>
    </x:row>
    <x:row r="576">
      <x:c r="A576" s="34" t="str">
        <x:v>article1-unified-v4-2-fb3f101b-20260903-000401-default-f03-p3-ehcache</x:v>
      </x:c>
      <x:c r="B576" s="34" t="str">
        <x:v>default</x:v>
      </x:c>
      <x:c r="C576" s="34" t="str">
        <x:v>ehcache</x:v>
      </x:c>
      <x:c r="D576" s="34" t="str">
        <x:v>ehcache</x:v>
      </x:c>
      <x:c r="E576" s="36" t="n">
        <x:v>3</x:v>
      </x:c>
      <x:c r="F576" s="36" t="n">
        <x:v>3</x:v>
      </x:c>
      <x:c r="G576" s="36" t="n">
        <x:v>3</x:v>
      </x:c>
      <x:c r="H576" s="36" t="n">
        <x:v>0</x:v>
      </x:c>
      <x:c r="I576" s="34" t="str">
        <x:v>processBaseline</x:v>
      </x:c>
      <x:c r="J576" s="34" t="str">
        <x:v>process-baseline</x:v>
      </x:c>
      <x:c r="K576" s="36" t="n">
        <x:v>0</x:v>
      </x:c>
      <x:c r="L576" s="34" t="str">
        <x:v>baseline</x:v>
      </x:c>
      <x:c r="M576" s="34" t="str">
        <x:v>article1-unified-v4-2-fb3f101b-20260903-000401-default-f03-p3-ehcache-process-baseline</x:v>
      </x:c>
      <x:c r="N576" s="38" t="n">
        <x:v>46268.002608125</x:v>
      </x:c>
      <x:c r="O576" s="36" t="n">
        <x:v>0</x:v>
      </x:c>
      <x:c r="P576" s="43" t="n">
        <x:v>32766976</x:v>
      </x:c>
      <x:c r="Q576" s="43" t="n">
        <x:v>270532608</x:v>
      </x:c>
      <x:c r="R576" s="43" t="n">
        <x:v>369294336</x:v>
      </x:c>
      <x:c r="S576" s="36" t="n">
        <x:v>1</x:v>
      </x:c>
      <x:c r="T576" s="44" t="str">
        <x:v>0x00000000551177b8  0x0000000055003818  0x00007a4ed0616c20       0         0         0  org.apache.catalina.loader.ParallelWebappClassLoader</x:v>
      </x:c>
      <x:c r="U576" s="36" t="n">
        <x:v>27</x:v>
      </x:c>
      <x:c r="V576" s="36" t="n">
        <x:v>0</x:v>
      </x:c>
      <x:c r="W576" s="44"/>
      <x:c r="X576" s="36"/>
      <x:c r="Y576" s="36"/>
      <x:c r="Z576" s="44"/>
      <x:c r="AA576" s="49"/>
      <x:c r="AB576" s="43"/>
      <x:c r="AC576" s="34" t="str">
        <x:v>article1-unified-v4-2-fb3f101b-20260903-000401-default-f03-p3-ehcache-process-baseline-heap-info.txt</x:v>
      </x:c>
      <x:c r="AD576" s="34" t="str">
        <x:v>article1-unified-v4-2-fb3f101b-20260903-000401-default-f03-p3-ehcache-process-baseline-classloader-stats.txt</x:v>
      </x:c>
      <x:c r="AE576" s="34" t="str">
        <x:v>article1-unified-v4-2-fb3f101b-20260903-000401-default-f03-p3-ehcache-process-baseline-thread-dump.txt</x:v>
      </x:c>
      <x:c r="AF576" s="34"/>
      <x:c r="AG576" s="34" t="str">
        <x:v>article1-unified-v4-2-fb3f101b-20260903-000401-default-f03-p3-ehcache-process-baseline-native-memory.txt</x:v>
      </x:c>
      <x:c r="AH576" s="34"/>
      <x:c r="AI576" s="34"/>
    </x:row>
    <x:row r="577">
      <x:c r="A577" s="34" t="str">
        <x:v>article1-unified-v4-2-fb3f101b-20260903-000401-default-f03-p3-ehcache</x:v>
      </x:c>
      <x:c r="B577" s="34" t="str">
        <x:v>default</x:v>
      </x:c>
      <x:c r="C577" s="34" t="str">
        <x:v>ehcache</x:v>
      </x:c>
      <x:c r="D577" s="34" t="str">
        <x:v>ehcache</x:v>
      </x:c>
      <x:c r="E577" s="36" t="n">
        <x:v>3</x:v>
      </x:c>
      <x:c r="F577" s="36" t="n">
        <x:v>3</x:v>
      </x:c>
      <x:c r="G577" s="36" t="n">
        <x:v>3</x:v>
      </x:c>
      <x:c r="H577" s="36" t="n">
        <x:v>1</x:v>
      </x:c>
      <x:c r="I577" s="34" t="str">
        <x:v>baseline</x:v>
      </x:c>
      <x:c r="J577" s="34" t="str">
        <x:v>cycle-baseline</x:v>
      </x:c>
      <x:c r="K577" s="36" t="n">
        <x:v>0</x:v>
      </x:c>
      <x:c r="L577" s="34" t="str">
        <x:v>baseline</x:v>
      </x:c>
      <x:c r="M577" s="34" t="str">
        <x:v>article1-unified-v4-2-fb3f101b-20260903-000401-default-f03-p3-ehcache-1-baseline</x:v>
      </x:c>
      <x:c r="N577" s="38" t="n">
        <x:v>46268.002800775466</x:v>
      </x:c>
      <x:c r="O577" s="36" t="n">
        <x:v>0</x:v>
      </x:c>
      <x:c r="P577" s="43" t="n">
        <x:v>33291264</x:v>
      </x:c>
      <x:c r="Q577" s="43" t="n">
        <x:v>270532608</x:v>
      </x:c>
      <x:c r="R577" s="43" t="n">
        <x:v>369880064</x:v>
      </x:c>
      <x:c r="S577" s="36" t="n">
        <x:v>1</x:v>
      </x:c>
      <x:c r="T577" s="44" t="str">
        <x:v>0x00000000551177b8  0x0000000055003818  0x00007a4ed0616c20       0         0         0  org.apache.catalina.loader.ParallelWebappClassLoader</x:v>
      </x:c>
      <x:c r="U577" s="36" t="n">
        <x:v>27</x:v>
      </x:c>
      <x:c r="V577" s="36" t="n">
        <x:v>0</x:v>
      </x:c>
      <x:c r="W577" s="44"/>
      <x:c r="X577" s="36"/>
      <x:c r="Y577" s="36"/>
      <x:c r="Z577" s="44"/>
      <x:c r="AA577" s="49"/>
      <x:c r="AB577" s="43"/>
      <x:c r="AC577" s="34" t="str">
        <x:v>article1-unified-v4-2-fb3f101b-20260903-000401-default-f03-p3-ehcache-1-baseline-heap-info.txt</x:v>
      </x:c>
      <x:c r="AD577" s="34" t="str">
        <x:v>article1-unified-v4-2-fb3f101b-20260903-000401-default-f03-p3-ehcache-1-baseline-classloader-stats.txt</x:v>
      </x:c>
      <x:c r="AE577" s="34" t="str">
        <x:v>article1-unified-v4-2-fb3f101b-20260903-000401-default-f03-p3-ehcache-1-baseline-thread-dump.txt</x:v>
      </x:c>
      <x:c r="AF577" s="34"/>
      <x:c r="AG577" s="34" t="str">
        <x:v>article1-unified-v4-2-fb3f101b-20260903-000401-default-f03-p3-ehcache-1-baseline-native-memory.txt</x:v>
      </x:c>
      <x:c r="AH577" s="34"/>
      <x:c r="AI577" s="34"/>
    </x:row>
    <x:row r="578">
      <x:c r="A578" s="34" t="str">
        <x:v>article1-unified-v4-2-fb3f101b-20260903-000401-default-f03-p3-ehcache</x:v>
      </x:c>
      <x:c r="B578" s="34" t="str">
        <x:v>default</x:v>
      </x:c>
      <x:c r="C578" s="34" t="str">
        <x:v>ehcache</x:v>
      </x:c>
      <x:c r="D578" s="34" t="str">
        <x:v>ehcache</x:v>
      </x:c>
      <x:c r="E578" s="36" t="n">
        <x:v>3</x:v>
      </x:c>
      <x:c r="F578" s="36" t="n">
        <x:v>3</x:v>
      </x:c>
      <x:c r="G578" s="36" t="n">
        <x:v>3</x:v>
      </x:c>
      <x:c r="H578" s="36" t="n">
        <x:v>1</x:v>
      </x:c>
      <x:c r="I578" s="34" t="str">
        <x:v>deployedIdle</x:v>
      </x:c>
      <x:c r="J578" s="34" t="str">
        <x:v>deployed-idle</x:v>
      </x:c>
      <x:c r="K578" s="36" t="n">
        <x:v>0</x:v>
      </x:c>
      <x:c r="L578" s="34" t="str">
        <x:v>initial</x:v>
      </x:c>
      <x:c r="M578" s="34" t="str">
        <x:v>article1-unified-v4-2-fb3f101b-20260903-000401-default-f03-p3-ehcache-1-deployed-idle</x:v>
      </x:c>
      <x:c r="N578" s="38" t="n">
        <x:v>46268.002910856485</x:v>
      </x:c>
      <x:c r="O578" s="36" t="n">
        <x:v>0</x:v>
      </x:c>
      <x:c r="P578" s="43" t="n">
        <x:v>21206016</x:v>
      </x:c>
      <x:c r="Q578" s="43" t="n">
        <x:v>268435456</x:v>
      </x:c>
      <x:c r="R578" s="43" t="n">
        <x:v>426683392</x:v>
      </x:c>
      <x:c r="S578" s="36" t="n">
        <x:v>2</x:v>
      </x:c>
      <x:c r="T578" s="44" t="str">
        <x:v>0x00000000551177b8  0x0000000055003818  0x00007a4ed0616c20       0         0         0  org.apache.catalina.loader.ParallelWebappClassLoader | 0x00000000551177b8  0x0000000055003818  0x00007a4e2c08b4e0    4091  19425280  19402056  org.apache.catalina.loader.ParallelWebappClassLoader</x:v>
      </x:c>
      <x:c r="U578" s="36" t="n">
        <x:v>28</x:v>
      </x:c>
      <x:c r="V578" s="36" t="n">
        <x:v>0</x:v>
      </x:c>
      <x:c r="W578" s="44"/>
      <x:c r="X578" s="36"/>
      <x:c r="Y578" s="36"/>
      <x:c r="Z578" s="44"/>
      <x:c r="AA578" s="49"/>
      <x:c r="AB578" s="43"/>
      <x:c r="AC578" s="34"/>
      <x:c r="AD578" s="34"/>
      <x:c r="AE578" s="34"/>
      <x:c r="AF578" s="34"/>
      <x:c r="AG578" s="34"/>
      <x:c r="AH578" s="34"/>
      <x:c r="AI578" s="34"/>
    </x:row>
    <x:row r="579">
      <x:c r="A579" s="34" t="str">
        <x:v>article1-unified-v4-2-fb3f101b-20260903-000401-default-f03-p3-ehcache</x:v>
      </x:c>
      <x:c r="B579" s="34" t="str">
        <x:v>default</x:v>
      </x:c>
      <x:c r="C579" s="34" t="str">
        <x:v>ehcache</x:v>
      </x:c>
      <x:c r="D579" s="34" t="str">
        <x:v>ehcache</x:v>
      </x:c>
      <x:c r="E579" s="36" t="n">
        <x:v>3</x:v>
      </x:c>
      <x:c r="F579" s="36" t="n">
        <x:v>3</x:v>
      </x:c>
      <x:c r="G579" s="36" t="n">
        <x:v>3</x:v>
      </x:c>
      <x:c r="H579" s="36" t="n">
        <x:v>1</x:v>
      </x:c>
      <x:c r="I579" s="34" t="str">
        <x:v>loaded</x:v>
      </x:c>
      <x:c r="J579" s="34" t="str">
        <x:v>loaded</x:v>
      </x:c>
      <x:c r="K579" s="36" t="n">
        <x:v>0</x:v>
      </x:c>
      <x:c r="L579" s="34" t="str">
        <x:v>initial</x:v>
      </x:c>
      <x:c r="M579" s="34" t="str">
        <x:v>article1-unified-v4-2-fb3f101b-20260903-000401-default-f03-p3-ehcache-1-loaded</x:v>
      </x:c>
      <x:c r="N579" s="38" t="n">
        <x:v>46268.00306163194</x:v>
      </x:c>
      <x:c r="O579" s="36" t="n">
        <x:v>0</x:v>
      </x:c>
      <x:c r="P579" s="43" t="n">
        <x:v>215537664</x:v>
      </x:c>
      <x:c r="Q579" s="43" t="n">
        <x:v>268435456</x:v>
      </x:c>
      <x:c r="R579" s="43" t="n">
        <x:v>412781568</x:v>
      </x:c>
      <x:c r="S579" s="36" t="n">
        <x:v>2</x:v>
      </x:c>
      <x:c r="T579" s="44" t="str">
        <x:v>0x00000000551177b8  0x0000000055003818  0x00007a4ed0616c20       0         0         0  org.apache.catalina.loader.ParallelWebappClassLoader | 0x00000000551177b8  0x0000000055003818  0x00007a4e2c08b4e0    4858  22606848  22604360  org.apache.catalina.loader.ParallelWebappClassLoader</x:v>
      </x:c>
      <x:c r="U579" s="36" t="n">
        <x:v>28</x:v>
      </x:c>
      <x:c r="V579" s="36" t="n">
        <x:v>0</x:v>
      </x:c>
      <x:c r="W579" s="44"/>
      <x:c r="X579" s="36"/>
      <x:c r="Y579" s="36"/>
      <x:c r="Z579" s="44"/>
      <x:c r="AA579" s="49"/>
      <x:c r="AB579" s="43"/>
      <x:c r="AC579" s="34"/>
      <x:c r="AD579" s="34"/>
      <x:c r="AE579" s="34"/>
      <x:c r="AF579" s="34"/>
      <x:c r="AG579" s="34"/>
      <x:c r="AH579" s="34"/>
      <x:c r="AI579" s="34"/>
    </x:row>
    <x:row r="580">
      <x:c r="A580" s="34" t="str">
        <x:v>article1-unified-v4-2-fb3f101b-20260903-000401-default-f03-p3-ehcache</x:v>
      </x:c>
      <x:c r="B580" s="34" t="str">
        <x:v>default</x:v>
      </x:c>
      <x:c r="C580" s="34" t="str">
        <x:v>ehcache</x:v>
      </x:c>
      <x:c r="D580" s="34" t="str">
        <x:v>ehcache</x:v>
      </x:c>
      <x:c r="E580" s="36" t="n">
        <x:v>3</x:v>
      </x:c>
      <x:c r="F580" s="36" t="n">
        <x:v>3</x:v>
      </x:c>
      <x:c r="G580" s="36" t="n">
        <x:v>3</x:v>
      </x:c>
      <x:c r="H580" s="36" t="n">
        <x:v>1</x:v>
      </x:c>
      <x:c r="I580" s="34" t="str">
        <x:v>afterUndeployEarly</x:v>
      </x:c>
      <x:c r="J580" s="34" t="str">
        <x:v>after-undeploy-early</x:v>
      </x:c>
      <x:c r="K580" s="36" t="n">
        <x:v>1</x:v>
      </x:c>
      <x:c r="L580" s="34" t="str">
        <x:v>early</x:v>
      </x:c>
      <x:c r="M580" s="34" t="str">
        <x:v>article1-unified-v4-2-fb3f101b-20260903-000401-default-f03-p3-ehcache-1-after-undeploy-early-2s</x:v>
      </x:c>
      <x:c r="N580" s="38" t="n">
        <x:v>46268.003148564814</x:v>
      </x:c>
      <x:c r="O580" s="36"/>
      <x:c r="P580" s="43"/>
      <x:c r="Q580" s="43"/>
      <x:c r="R580" s="43"/>
      <x:c r="S580" s="36"/>
      <x:c r="T580" s="44"/>
      <x:c r="U580" s="36" t="n">
        <x:v>27</x:v>
      </x:c>
      <x:c r="V580" s="36" t="n">
        <x:v>0</x:v>
      </x:c>
      <x:c r="W580" s="44"/>
      <x:c r="X580" s="36"/>
      <x:c r="Y580" s="36"/>
      <x:c r="Z580" s="44"/>
      <x:c r="AA580" s="49"/>
      <x:c r="AB580" s="43" t="n">
        <x:v>2</x:v>
      </x:c>
      <x:c r="AC580" s="34"/>
      <x:c r="AD580" s="34"/>
      <x:c r="AE580" s="34" t="str">
        <x:v>article1-unified-v4-2-fb3f101b-20260903-000401-default-f03-p3-ehcache-1-after-undeploy-early-2s-thread-dump.txt</x:v>
      </x:c>
      <x:c r="AF580" s="34" t="str">
        <x:v>article1-unified-v4-2-fb3f101b-20260903-000401-default-f03-p3-ehcache-1-after-undeploy-early-tomcat-log.txt</x:v>
      </x:c>
      <x:c r="AG580" s="34"/>
      <x:c r="AH580" s="34"/>
      <x:c r="AI580" s="34"/>
    </x:row>
    <x:row r="581">
      <x:c r="A581" s="34" t="str">
        <x:v>article1-unified-v4-2-fb3f101b-20260903-000401-default-f03-p3-ehcache</x:v>
      </x:c>
      <x:c r="B581" s="34" t="str">
        <x:v>default</x:v>
      </x:c>
      <x:c r="C581" s="34" t="str">
        <x:v>ehcache</x:v>
      </x:c>
      <x:c r="D581" s="34" t="str">
        <x:v>ehcache</x:v>
      </x:c>
      <x:c r="E581" s="36" t="n">
        <x:v>3</x:v>
      </x:c>
      <x:c r="F581" s="36" t="n">
        <x:v>3</x:v>
      </x:c>
      <x:c r="G581" s="36" t="n">
        <x:v>3</x:v>
      </x:c>
      <x:c r="H581" s="36" t="n">
        <x:v>1</x:v>
      </x:c>
      <x:c r="I581" s="34" t="str">
        <x:v>afterUndeploy</x:v>
      </x:c>
      <x:c r="J581" s="34" t="str">
        <x:v>after-undeploy-final</x:v>
      </x:c>
      <x:c r="K581" s="36" t="n">
        <x:v>1</x:v>
      </x:c>
      <x:c r="L581" s="34" t="str">
        <x:v>final</x:v>
      </x:c>
      <x:c r="M581" s="34" t="str">
        <x:v>article1-unified-v4-2-fb3f101b-20260903-000401-default-f03-p3-ehcache-1-after-undeploy-final-10s</x:v>
      </x:c>
      <x:c r="N581" s="38" t="n">
        <x:v>46268.00330211806</x:v>
      </x:c>
      <x:c r="O581" s="36" t="n">
        <x:v>2</x:v>
      </x:c>
      <x:c r="P581" s="43" t="n">
        <x:v>16168960</x:v>
      </x:c>
      <x:c r="Q581" s="43" t="n">
        <x:v>268435456</x:v>
      </x:c>
      <x:c r="R581" s="43" t="n">
        <x:v>411541504</x:v>
      </x:c>
      <x:c r="S581" s="36" t="n">
        <x:v>2</x:v>
      </x:c>
      <x:c r="T581" s="44" t="str">
        <x:v>0x00000000551177b8  0x0000000055003818  0x00007a4e2c08b4e0    4868  22664192  22650800  org.apache.catalina.loader.ParallelWebappClassLoader | 0x00000000551177b8  0x0000000055003818  0x00007a4ed0616c20       0         0         0  org.apache.catalina.loader.ParallelWebappClassLoader</x:v>
      </x:c>
      <x:c r="U581" s="36" t="n">
        <x:v>27</x:v>
      </x:c>
      <x:c r="V581" s="36" t="n">
        <x:v>0</x:v>
      </x:c>
      <x:c r="W581" s="44"/>
      <x:c r="X581" s="36" t="n">
        <x:v>1</x:v>
      </x:c>
      <x:c r="Y581" s="36" t="n">
        <x:v>1</x:v>
      </x:c>
      <x:c r="Z581" s="44" t="str">
        <x:v>/ehcache</x:v>
      </x:c>
      <x:c r="AA581" s="45" t="b">
        <x:v>1</x:v>
      </x:c>
      <x:c r="AB581" s="43"/>
      <x:c r="AC581" s="34" t="str">
        <x:v>article1-unified-v4-2-fb3f101b-20260903-000401-default-f03-p3-ehcache-1-after-undeploy-final-10s-heap-info.txt</x:v>
      </x:c>
      <x:c r="AD581" s="34" t="str">
        <x:v>article1-unified-v4-2-fb3f101b-20260903-000401-default-f03-p3-ehcache-1-after-undeploy-final-10s-classloader-stats.txt</x:v>
      </x:c>
      <x:c r="AE581" s="34" t="str">
        <x:v>article1-unified-v4-2-fb3f101b-20260903-000401-default-f03-p3-ehcache-1-after-undeploy-final-10s-thread-dump.txt</x:v>
      </x:c>
      <x:c r="AF581" s="34"/>
      <x:c r="AG581" s="34" t="str">
        <x:v>article1-unified-v4-2-fb3f101b-20260903-000401-default-f03-p3-ehcache-1-after-undeploy-final-10s-native-memory.txt</x:v>
      </x:c>
      <x:c r="AH581" s="34" t="str">
        <x:v>article1-unified-v4-2-fb3f101b-20260903-000401-default-f03-p3-ehcache-1-after-undeploy-final-10s-class-histogram.txt</x:v>
      </x:c>
      <x:c r="AI581" s="34" t="str">
        <x:v>article1-unified-v4-2-fb3f101b-20260903-000401-default-f03-p3-ehcache-1-after-undeploy-tomcat-findleaks.txt</x:v>
      </x:c>
    </x:row>
    <x:row r="582">
      <x:c r="A582" s="34" t="str">
        <x:v>article1-unified-v4-2-fb3f101b-20260903-000401-default-f03-p3-ehcache</x:v>
      </x:c>
      <x:c r="B582" s="34" t="str">
        <x:v>default</x:v>
      </x:c>
      <x:c r="C582" s="34" t="str">
        <x:v>ehcache</x:v>
      </x:c>
      <x:c r="D582" s="34" t="str">
        <x:v>ehcache</x:v>
      </x:c>
      <x:c r="E582" s="36" t="n">
        <x:v>3</x:v>
      </x:c>
      <x:c r="F582" s="36" t="n">
        <x:v>3</x:v>
      </x:c>
      <x:c r="G582" s="36" t="n">
        <x:v>3</x:v>
      </x:c>
      <x:c r="H582" s="36" t="n">
        <x:v>1</x:v>
      </x:c>
      <x:c r="I582" s="34" t="str">
        <x:v>redeployedLoaded</x:v>
      </x:c>
      <x:c r="J582" s="34" t="str">
        <x:v>redeployed-loaded</x:v>
      </x:c>
      <x:c r="K582" s="36" t="n">
        <x:v>0</x:v>
      </x:c>
      <x:c r="L582" s="34" t="str">
        <x:v>redeploy</x:v>
      </x:c>
      <x:c r="M582" s="34" t="str">
        <x:v>article1-unified-v4-2-fb3f101b-20260903-000401-default-f03-p3-ehcache-1-redeployed-loaded</x:v>
      </x:c>
      <x:c r="N582" s="38" t="n">
        <x:v>46268.00356340278</x:v>
      </x:c>
      <x:c r="O582" s="36" t="n">
        <x:v>0</x:v>
      </x:c>
      <x:c r="P582" s="43" t="n">
        <x:v>171044864</x:v>
      </x:c>
      <x:c r="Q582" s="43" t="n">
        <x:v>268435456</x:v>
      </x:c>
      <x:c r="R582" s="43" t="n">
        <x:v>444139520</x:v>
      </x:c>
      <x:c r="S582" s="36" t="n">
        <x:v>3</x:v>
      </x:c>
      <x:c r="T582" s="44" t="str">
        <x:v>0x00000000551177b8  0x0000000055003818  0x00007a4e4c20ed20    4853  22670336  22646936  org.apache.catalina.loader.ParallelWebappClassLoader | 0x00000000551177b8  0x0000000055003818  0x00007a4e2c08b4e0    4868  22664192  22650800  org.apache.catalina.loader.ParallelWebappClassLoader | 0x00000000551177b8  0x0000000055003818  0x00007a4ed0616c20       0         0         0  org.apache.catalina.loader.ParallelWebappClassLoader</x:v>
      </x:c>
      <x:c r="U582" s="36" t="n">
        <x:v>27</x:v>
      </x:c>
      <x:c r="V582" s="36" t="n">
        <x:v>0</x:v>
      </x:c>
      <x:c r="W582" s="44"/>
      <x:c r="X582" s="36"/>
      <x:c r="Y582" s="36"/>
      <x:c r="Z582" s="44"/>
      <x:c r="AA582" s="49"/>
      <x:c r="AB582" s="43"/>
      <x:c r="AC582" s="34"/>
      <x:c r="AD582" s="34"/>
      <x:c r="AE582" s="34"/>
      <x:c r="AF582" s="34"/>
      <x:c r="AG582" s="34"/>
      <x:c r="AH582" s="34"/>
      <x:c r="AI582" s="34"/>
    </x:row>
    <x:row r="583">
      <x:c r="A583" s="34" t="str">
        <x:v>article1-unified-v4-2-fb3f101b-20260903-000401-default-f03-p3-ehcache</x:v>
      </x:c>
      <x:c r="B583" s="34" t="str">
        <x:v>default</x:v>
      </x:c>
      <x:c r="C583" s="34" t="str">
        <x:v>ehcache</x:v>
      </x:c>
      <x:c r="D583" s="34" t="str">
        <x:v>ehcache</x:v>
      </x:c>
      <x:c r="E583" s="36" t="n">
        <x:v>3</x:v>
      </x:c>
      <x:c r="F583" s="36" t="n">
        <x:v>3</x:v>
      </x:c>
      <x:c r="G583" s="36" t="n">
        <x:v>3</x:v>
      </x:c>
      <x:c r="H583" s="36" t="n">
        <x:v>1</x:v>
      </x:c>
      <x:c r="I583" s="34" t="str">
        <x:v>afterFinalUndeployEarly</x:v>
      </x:c>
      <x:c r="J583" s="34" t="str">
        <x:v>after-final-undeploy-early</x:v>
      </x:c>
      <x:c r="K583" s="36" t="n">
        <x:v>2</x:v>
      </x:c>
      <x:c r="L583" s="34" t="str">
        <x:v>early</x:v>
      </x:c>
      <x:c r="M583" s="34" t="str">
        <x:v>article1-unified-v4-2-fb3f101b-20260903-000401-default-f03-p3-ehcache-1-after-final-undeploy-early-2s</x:v>
      </x:c>
      <x:c r="N583" s="38" t="n">
        <x:v>46268.003648125</x:v>
      </x:c>
      <x:c r="O583" s="36"/>
      <x:c r="P583" s="43"/>
      <x:c r="Q583" s="43"/>
      <x:c r="R583" s="43"/>
      <x:c r="S583" s="36"/>
      <x:c r="T583" s="44"/>
      <x:c r="U583" s="36" t="n">
        <x:v>27</x:v>
      </x:c>
      <x:c r="V583" s="36" t="n">
        <x:v>0</x:v>
      </x:c>
      <x:c r="W583" s="44"/>
      <x:c r="X583" s="36"/>
      <x:c r="Y583" s="36"/>
      <x:c r="Z583" s="44"/>
      <x:c r="AA583" s="49"/>
      <x:c r="AB583" s="43" t="n">
        <x:v>2</x:v>
      </x:c>
      <x:c r="AC583" s="34"/>
      <x:c r="AD583" s="34"/>
      <x:c r="AE583" s="34" t="str">
        <x:v>article1-unified-v4-2-fb3f101b-20260903-000401-default-f03-p3-ehcache-1-after-final-undeploy-early-2s-thread-dump.txt</x:v>
      </x:c>
      <x:c r="AF583" s="34" t="str">
        <x:v>article1-unified-v4-2-fb3f101b-20260903-000401-default-f03-p3-ehcache-1-after-final-undeploy-early-tomcat-log.txt</x:v>
      </x:c>
      <x:c r="AG583" s="34"/>
      <x:c r="AH583" s="34"/>
      <x:c r="AI583" s="34"/>
    </x:row>
    <x:row r="584">
      <x:c r="A584" s="34" t="str">
        <x:v>article1-unified-v4-2-fb3f101b-20260903-000401-default-f03-p3-ehcache</x:v>
      </x:c>
      <x:c r="B584" s="34" t="str">
        <x:v>default</x:v>
      </x:c>
      <x:c r="C584" s="34" t="str">
        <x:v>ehcache</x:v>
      </x:c>
      <x:c r="D584" s="34" t="str">
        <x:v>ehcache</x:v>
      </x:c>
      <x:c r="E584" s="36" t="n">
        <x:v>3</x:v>
      </x:c>
      <x:c r="F584" s="36" t="n">
        <x:v>3</x:v>
      </x:c>
      <x:c r="G584" s="36" t="n">
        <x:v>3</x:v>
      </x:c>
      <x:c r="H584" s="36" t="n">
        <x:v>1</x:v>
      </x:c>
      <x:c r="I584" s="34" t="str">
        <x:v>afterFinalUndeploy</x:v>
      </x:c>
      <x:c r="J584" s="34" t="str">
        <x:v>after-final-undeploy-final</x:v>
      </x:c>
      <x:c r="K584" s="36" t="n">
        <x:v>2</x:v>
      </x:c>
      <x:c r="L584" s="34" t="str">
        <x:v>final</x:v>
      </x:c>
      <x:c r="M584" s="34" t="str">
        <x:v>article1-unified-v4-2-fb3f101b-20260903-000401-default-f03-p3-ehcache-1-after-final-undeploy-final-10s</x:v>
      </x:c>
      <x:c r="N584" s="38" t="n">
        <x:v>46268.003815104166</x:v>
      </x:c>
      <x:c r="O584" s="36" t="n">
        <x:v>2</x:v>
      </x:c>
      <x:c r="P584" s="43" t="n">
        <x:v>15958016</x:v>
      </x:c>
      <x:c r="Q584" s="43" t="n">
        <x:v>268435456</x:v>
      </x:c>
      <x:c r="R584" s="43" t="n">
        <x:v>420202496</x:v>
      </x:c>
      <x:c r="S584" s="36" t="n">
        <x:v>2</x:v>
      </x:c>
      <x:c r="T584" s="44" t="str">
        <x:v>0x00000000551177b8  0x0000000055003818  0x00007a4ed0616c20       0         0         0  org.apache.catalina.loader.ParallelWebappClassLoader | 0x00000000551177b8  0x0000000055003818  0x00007a4e4c20ed20    4863  22703104  22692688  org.apache.catalina.loader.ParallelWebappClassLoader</x:v>
      </x:c>
      <x:c r="U584" s="36" t="n">
        <x:v>27</x:v>
      </x:c>
      <x:c r="V584" s="36" t="n">
        <x:v>0</x:v>
      </x:c>
      <x:c r="W584" s="44"/>
      <x:c r="X584" s="36" t="n">
        <x:v>2</x:v>
      </x:c>
      <x:c r="Y584" s="36" t="n">
        <x:v>2</x:v>
      </x:c>
      <x:c r="Z584" s="44" t="str">
        <x:v>/ehcache</x:v>
      </x:c>
      <x:c r="AA584" s="45" t="b">
        <x:v>1</x:v>
      </x:c>
      <x:c r="AB584" s="43"/>
      <x:c r="AC584" s="34" t="str">
        <x:v>article1-unified-v4-2-fb3f101b-20260903-000401-default-f03-p3-ehcache-1-after-final-undeploy-final-10s-heap-info.txt</x:v>
      </x:c>
      <x:c r="AD584" s="34" t="str">
        <x:v>article1-unified-v4-2-fb3f101b-20260903-000401-default-f03-p3-ehcache-1-after-final-undeploy-final-10s-classloader-stats.txt</x:v>
      </x:c>
      <x:c r="AE584" s="34" t="str">
        <x:v>article1-unified-v4-2-fb3f101b-20260903-000401-default-f03-p3-ehcache-1-after-final-undeploy-final-10s-thread-dump.txt</x:v>
      </x:c>
      <x:c r="AF584" s="34"/>
      <x:c r="AG584" s="34" t="str">
        <x:v>article1-unified-v4-2-fb3f101b-20260903-000401-default-f03-p3-ehcache-1-after-final-undeploy-final-10s-native-memory.txt</x:v>
      </x:c>
      <x:c r="AH584" s="34" t="str">
        <x:v>article1-unified-v4-2-fb3f101b-20260903-000401-default-f03-p3-ehcache-1-after-final-undeploy-final-10s-class-histogram.txt</x:v>
      </x:c>
      <x:c r="AI584" s="34" t="str">
        <x:v>article1-unified-v4-2-fb3f101b-20260903-000401-default-f03-p3-ehcache-1-after-final-undeploy-tomcat-findleaks.txt</x:v>
      </x:c>
    </x:row>
    <x:row r="585">
      <x:c r="A585" s="34" t="str">
        <x:v>article1-unified-v4-2-fb3f101b-20260903-000401-default-f03-p3-ehcache</x:v>
      </x:c>
      <x:c r="B585" s="34" t="str">
        <x:v>default</x:v>
      </x:c>
      <x:c r="C585" s="34" t="str">
        <x:v>ehcache</x:v>
      </x:c>
      <x:c r="D585" s="34" t="str">
        <x:v>ehcache</x:v>
      </x:c>
      <x:c r="E585" s="36" t="n">
        <x:v>3</x:v>
      </x:c>
      <x:c r="F585" s="36" t="n">
        <x:v>3</x:v>
      </x:c>
      <x:c r="G585" s="36" t="n">
        <x:v>3</x:v>
      </x:c>
      <x:c r="H585" s="36" t="n">
        <x:v>2</x:v>
      </x:c>
      <x:c r="I585" s="34" t="str">
        <x:v>baseline</x:v>
      </x:c>
      <x:c r="J585" s="34" t="str">
        <x:v>cycle-baseline</x:v>
      </x:c>
      <x:c r="K585" s="36" t="n">
        <x:v>0</x:v>
      </x:c>
      <x:c r="L585" s="34" t="str">
        <x:v>baseline</x:v>
      </x:c>
      <x:c r="M585" s="34" t="str">
        <x:v>article1-unified-v4-2-fb3f101b-20260903-000401-default-f03-p3-ehcache-2-baseline</x:v>
      </x:c>
      <x:c r="N585" s="38" t="n">
        <x:v>46268.0038621875</x:v>
      </x:c>
      <x:c r="O585" s="36" t="n">
        <x:v>0</x:v>
      </x:c>
      <x:c r="P585" s="43" t="n">
        <x:v>15958016</x:v>
      </x:c>
      <x:c r="Q585" s="43" t="n">
        <x:v>268435456</x:v>
      </x:c>
      <x:c r="R585" s="43" t="n">
        <x:v>420037632</x:v>
      </x:c>
      <x:c r="S585" s="36" t="n">
        <x:v>2</x:v>
      </x:c>
      <x:c r="T585" s="44" t="str">
        <x:v>0x00000000551177b8  0x0000000055003818  0x00007a4ed0616c20       0         0         0  org.apache.catalina.loader.ParallelWebappClassLoader | 0x00000000551177b8  0x0000000055003818  0x00007a4e4c20ed20    4863  22703104  22692688  org.apache.catalina.loader.ParallelWebappClassLoader</x:v>
      </x:c>
      <x:c r="U585" s="36" t="n">
        <x:v>27</x:v>
      </x:c>
      <x:c r="V585" s="36" t="n">
        <x:v>0</x:v>
      </x:c>
      <x:c r="W585" s="44"/>
      <x:c r="X585" s="36"/>
      <x:c r="Y585" s="36"/>
      <x:c r="Z585" s="44"/>
      <x:c r="AA585" s="49"/>
      <x:c r="AB585" s="43"/>
      <x:c r="AC585" s="34" t="str">
        <x:v>article1-unified-v4-2-fb3f101b-20260903-000401-default-f03-p3-ehcache-2-baseline-heap-info.txt</x:v>
      </x:c>
      <x:c r="AD585" s="34" t="str">
        <x:v>article1-unified-v4-2-fb3f101b-20260903-000401-default-f03-p3-ehcache-2-baseline-classloader-stats.txt</x:v>
      </x:c>
      <x:c r="AE585" s="34" t="str">
        <x:v>article1-unified-v4-2-fb3f101b-20260903-000401-default-f03-p3-ehcache-2-baseline-thread-dump.txt</x:v>
      </x:c>
      <x:c r="AF585" s="34"/>
      <x:c r="AG585" s="34" t="str">
        <x:v>article1-unified-v4-2-fb3f101b-20260903-000401-default-f03-p3-ehcache-2-baseline-native-memory.txt</x:v>
      </x:c>
      <x:c r="AH585" s="34"/>
      <x:c r="AI585" s="34"/>
    </x:row>
    <x:row r="586">
      <x:c r="A586" s="34" t="str">
        <x:v>article1-unified-v4-2-fb3f101b-20260903-000401-default-f03-p3-ehcache</x:v>
      </x:c>
      <x:c r="B586" s="34" t="str">
        <x:v>default</x:v>
      </x:c>
      <x:c r="C586" s="34" t="str">
        <x:v>ehcache</x:v>
      </x:c>
      <x:c r="D586" s="34" t="str">
        <x:v>ehcache</x:v>
      </x:c>
      <x:c r="E586" s="36" t="n">
        <x:v>3</x:v>
      </x:c>
      <x:c r="F586" s="36" t="n">
        <x:v>3</x:v>
      </x:c>
      <x:c r="G586" s="36" t="n">
        <x:v>3</x:v>
      </x:c>
      <x:c r="H586" s="36" t="n">
        <x:v>2</x:v>
      </x:c>
      <x:c r="I586" s="34" t="str">
        <x:v>deployedIdle</x:v>
      </x:c>
      <x:c r="J586" s="34" t="str">
        <x:v>deployed-idle</x:v>
      </x:c>
      <x:c r="K586" s="36" t="n">
        <x:v>0</x:v>
      </x:c>
      <x:c r="L586" s="34" t="str">
        <x:v>initial</x:v>
      </x:c>
      <x:c r="M586" s="34" t="str">
        <x:v>article1-unified-v4-2-fb3f101b-20260903-000401-default-f03-p3-ehcache-2-deployed-idle</x:v>
      </x:c>
      <x:c r="N586" s="38" t="n">
        <x:v>46268.00396243056</x:v>
      </x:c>
      <x:c r="O586" s="36" t="n">
        <x:v>0</x:v>
      </x:c>
      <x:c r="P586" s="43" t="n">
        <x:v>166859776</x:v>
      </x:c>
      <x:c r="Q586" s="43" t="n">
        <x:v>268435456</x:v>
      </x:c>
      <x:c r="R586" s="43" t="n">
        <x:v>440846336</x:v>
      </x:c>
      <x:c r="S586" s="36" t="n">
        <x:v>3</x:v>
      </x:c>
      <x:c r="T586" s="44" t="str">
        <x:v>0x00000000551177b8  0x0000000055003818  0x00007a4ed0616c20       0         0         0  org.apache.catalina.loader.ParallelWebappClassLoader | 0x00000000551177b8  0x0000000055003818  0x00007a4e28199a00    4091  19444736  19431720  org.apache.catalina.loader.ParallelWebappClassLoader | 0x00000000551177b8  0x0000000055003818  0x00007a4e4c20ed20    4863  22703104  22692688  org.apache.catalina.loader.ParallelWebappClassLoader</x:v>
      </x:c>
      <x:c r="U586" s="36" t="n">
        <x:v>27</x:v>
      </x:c>
      <x:c r="V586" s="36" t="n">
        <x:v>0</x:v>
      </x:c>
      <x:c r="W586" s="44"/>
      <x:c r="X586" s="36"/>
      <x:c r="Y586" s="36"/>
      <x:c r="Z586" s="44"/>
      <x:c r="AA586" s="49"/>
      <x:c r="AB586" s="43"/>
      <x:c r="AC586" s="34"/>
      <x:c r="AD586" s="34"/>
      <x:c r="AE586" s="34"/>
      <x:c r="AF586" s="34"/>
      <x:c r="AG586" s="34"/>
      <x:c r="AH586" s="34"/>
      <x:c r="AI586" s="34"/>
    </x:row>
    <x:row r="587">
      <x:c r="A587" s="34" t="str">
        <x:v>article1-unified-v4-2-fb3f101b-20260903-000401-default-f03-p3-ehcache</x:v>
      </x:c>
      <x:c r="B587" s="34" t="str">
        <x:v>default</x:v>
      </x:c>
      <x:c r="C587" s="34" t="str">
        <x:v>ehcache</x:v>
      </x:c>
      <x:c r="D587" s="34" t="str">
        <x:v>ehcache</x:v>
      </x:c>
      <x:c r="E587" s="36" t="n">
        <x:v>3</x:v>
      </x:c>
      <x:c r="F587" s="36" t="n">
        <x:v>3</x:v>
      </x:c>
      <x:c r="G587" s="36" t="n">
        <x:v>3</x:v>
      </x:c>
      <x:c r="H587" s="36" t="n">
        <x:v>2</x:v>
      </x:c>
      <x:c r="I587" s="34" t="str">
        <x:v>loaded</x:v>
      </x:c>
      <x:c r="J587" s="34" t="str">
        <x:v>loaded</x:v>
      </x:c>
      <x:c r="K587" s="36" t="n">
        <x:v>0</x:v>
      </x:c>
      <x:c r="L587" s="34" t="str">
        <x:v>initial</x:v>
      </x:c>
      <x:c r="M587" s="34" t="str">
        <x:v>article1-unified-v4-2-fb3f101b-20260903-000401-default-f03-p3-ehcache-2-loaded</x:v>
      </x:c>
      <x:c r="N587" s="38" t="n">
        <x:v>46268.00411223379</x:v>
      </x:c>
      <x:c r="O587" s="36" t="n">
        <x:v>0</x:v>
      </x:c>
      <x:c r="P587" s="43" t="n">
        <x:v>208105472</x:v>
      </x:c>
      <x:c r="Q587" s="43" t="n">
        <x:v>268435456</x:v>
      </x:c>
      <x:c r="R587" s="43" t="n">
        <x:v>442344448</x:v>
      </x:c>
      <x:c r="S587" s="36" t="n">
        <x:v>3</x:v>
      </x:c>
      <x:c r="T587" s="44" t="str">
        <x:v>0x00000000551177b8  0x0000000055003818  0x00007a4e28199a00    4851  22687744  22668000  org.apache.catalina.loader.ParallelWebappClassLoader | 0x00000000551177b8  0x0000000055003818  0x00007a4ed0616c20       0         0         0  org.apache.catalina.loader.ParallelWebappClassLoader | 0x00000000551177b8  0x0000000055003818  0x00007a4e4c20ed20    4863  22703104  22692688  org.apache.catalina.loader.ParallelWebappClassLoader</x:v>
      </x:c>
      <x:c r="U587" s="36" t="n">
        <x:v>28</x:v>
      </x:c>
      <x:c r="V587" s="36" t="n">
        <x:v>0</x:v>
      </x:c>
      <x:c r="W587" s="44"/>
      <x:c r="X587" s="36"/>
      <x:c r="Y587" s="36"/>
      <x:c r="Z587" s="44"/>
      <x:c r="AA587" s="49"/>
      <x:c r="AB587" s="43"/>
      <x:c r="AC587" s="34"/>
      <x:c r="AD587" s="34"/>
      <x:c r="AE587" s="34"/>
      <x:c r="AF587" s="34"/>
      <x:c r="AG587" s="34"/>
      <x:c r="AH587" s="34"/>
      <x:c r="AI587" s="34"/>
    </x:row>
    <x:row r="588">
      <x:c r="A588" s="34" t="str">
        <x:v>article1-unified-v4-2-fb3f101b-20260903-000401-default-f03-p3-ehcache</x:v>
      </x:c>
      <x:c r="B588" s="34" t="str">
        <x:v>default</x:v>
      </x:c>
      <x:c r="C588" s="34" t="str">
        <x:v>ehcache</x:v>
      </x:c>
      <x:c r="D588" s="34" t="str">
        <x:v>ehcache</x:v>
      </x:c>
      <x:c r="E588" s="36" t="n">
        <x:v>3</x:v>
      </x:c>
      <x:c r="F588" s="36" t="n">
        <x:v>3</x:v>
      </x:c>
      <x:c r="G588" s="36" t="n">
        <x:v>3</x:v>
      </x:c>
      <x:c r="H588" s="36" t="n">
        <x:v>2</x:v>
      </x:c>
      <x:c r="I588" s="34" t="str">
        <x:v>afterUndeployEarly</x:v>
      </x:c>
      <x:c r="J588" s="34" t="str">
        <x:v>after-undeploy-early</x:v>
      </x:c>
      <x:c r="K588" s="36" t="n">
        <x:v>1</x:v>
      </x:c>
      <x:c r="L588" s="34" t="str">
        <x:v>early</x:v>
      </x:c>
      <x:c r="M588" s="34" t="str">
        <x:v>article1-unified-v4-2-fb3f101b-20260903-000401-default-f03-p3-ehcache-2-after-undeploy-early-2s</x:v>
      </x:c>
      <x:c r="N588" s="38" t="n">
        <x:v>46268.00419576389</x:v>
      </x:c>
      <x:c r="O588" s="36"/>
      <x:c r="P588" s="43"/>
      <x:c r="Q588" s="43"/>
      <x:c r="R588" s="43"/>
      <x:c r="S588" s="36"/>
      <x:c r="T588" s="44"/>
      <x:c r="U588" s="36" t="n">
        <x:v>27</x:v>
      </x:c>
      <x:c r="V588" s="36" t="n">
        <x:v>0</x:v>
      </x:c>
      <x:c r="W588" s="44"/>
      <x:c r="X588" s="36"/>
      <x:c r="Y588" s="36"/>
      <x:c r="Z588" s="44"/>
      <x:c r="AA588" s="49"/>
      <x:c r="AB588" s="43" t="n">
        <x:v>2</x:v>
      </x:c>
      <x:c r="AC588" s="34"/>
      <x:c r="AD588" s="34"/>
      <x:c r="AE588" s="34" t="str">
        <x:v>article1-unified-v4-2-fb3f101b-20260903-000401-default-f03-p3-ehcache-2-after-undeploy-early-2s-thread-dump.txt</x:v>
      </x:c>
      <x:c r="AF588" s="34" t="str">
        <x:v>article1-unified-v4-2-fb3f101b-20260903-000401-default-f03-p3-ehcache-2-after-undeploy-early-tomcat-log.txt</x:v>
      </x:c>
      <x:c r="AG588" s="34"/>
      <x:c r="AH588" s="34"/>
      <x:c r="AI588" s="34"/>
    </x:row>
    <x:row r="589">
      <x:c r="A589" s="34" t="str">
        <x:v>article1-unified-v4-2-fb3f101b-20260903-000401-default-f03-p3-ehcache</x:v>
      </x:c>
      <x:c r="B589" s="34" t="str">
        <x:v>default</x:v>
      </x:c>
      <x:c r="C589" s="34" t="str">
        <x:v>ehcache</x:v>
      </x:c>
      <x:c r="D589" s="34" t="str">
        <x:v>ehcache</x:v>
      </x:c>
      <x:c r="E589" s="36" t="n">
        <x:v>3</x:v>
      </x:c>
      <x:c r="F589" s="36" t="n">
        <x:v>3</x:v>
      </x:c>
      <x:c r="G589" s="36" t="n">
        <x:v>3</x:v>
      </x:c>
      <x:c r="H589" s="36" t="n">
        <x:v>2</x:v>
      </x:c>
      <x:c r="I589" s="34" t="str">
        <x:v>afterUndeploy</x:v>
      </x:c>
      <x:c r="J589" s="34" t="str">
        <x:v>after-undeploy-final</x:v>
      </x:c>
      <x:c r="K589" s="36" t="n">
        <x:v>1</x:v>
      </x:c>
      <x:c r="L589" s="34" t="str">
        <x:v>final</x:v>
      </x:c>
      <x:c r="M589" s="34" t="str">
        <x:v>article1-unified-v4-2-fb3f101b-20260903-000401-default-f03-p3-ehcache-2-after-undeploy-final-10s</x:v>
      </x:c>
      <x:c r="N589" s="38" t="n">
        <x:v>46268.00435099537</x:v>
      </x:c>
      <x:c r="O589" s="36" t="n">
        <x:v>2</x:v>
      </x:c>
      <x:c r="P589" s="43" t="n">
        <x:v>15912960</x:v>
      </x:c>
      <x:c r="Q589" s="43" t="n">
        <x:v>268435456</x:v>
      </x:c>
      <x:c r="R589" s="43" t="n">
        <x:v>418287616</x:v>
      </x:c>
      <x:c r="S589" s="36" t="n">
        <x:v>2</x:v>
      </x:c>
      <x:c r="T589" s="44" t="str">
        <x:v>0x00000000551177b8  0x0000000055003818  0x00007a4ed0616c20       0         0         0  org.apache.catalina.loader.ParallelWebappClassLoader | 0x00000000551177b8  0x0000000055003818  0x00007a4e28199a00    4861  22720512  22713736  org.apache.catalina.loader.ParallelWebappClassLoader</x:v>
      </x:c>
      <x:c r="U589" s="36" t="n">
        <x:v>27</x:v>
      </x:c>
      <x:c r="V589" s="36" t="n">
        <x:v>0</x:v>
      </x:c>
      <x:c r="W589" s="44"/>
      <x:c r="X589" s="36" t="n">
        <x:v>1</x:v>
      </x:c>
      <x:c r="Y589" s="36" t="n">
        <x:v>1</x:v>
      </x:c>
      <x:c r="Z589" s="44" t="str">
        <x:v>/ehcache</x:v>
      </x:c>
      <x:c r="AA589" s="45" t="b">
        <x:v>1</x:v>
      </x:c>
      <x:c r="AB589" s="43"/>
      <x:c r="AC589" s="34" t="str">
        <x:v>article1-unified-v4-2-fb3f101b-20260903-000401-default-f03-p3-ehcache-2-after-undeploy-final-10s-heap-info.txt</x:v>
      </x:c>
      <x:c r="AD589" s="34" t="str">
        <x:v>article1-unified-v4-2-fb3f101b-20260903-000401-default-f03-p3-ehcache-2-after-undeploy-final-10s-classloader-stats.txt</x:v>
      </x:c>
      <x:c r="AE589" s="34" t="str">
        <x:v>article1-unified-v4-2-fb3f101b-20260903-000401-default-f03-p3-ehcache-2-after-undeploy-final-10s-thread-dump.txt</x:v>
      </x:c>
      <x:c r="AF589" s="34"/>
      <x:c r="AG589" s="34" t="str">
        <x:v>article1-unified-v4-2-fb3f101b-20260903-000401-default-f03-p3-ehcache-2-after-undeploy-final-10s-native-memory.txt</x:v>
      </x:c>
      <x:c r="AH589" s="34" t="str">
        <x:v>article1-unified-v4-2-fb3f101b-20260903-000401-default-f03-p3-ehcache-2-after-undeploy-final-10s-class-histogram.txt</x:v>
      </x:c>
      <x:c r="AI589" s="34" t="str">
        <x:v>article1-unified-v4-2-fb3f101b-20260903-000401-default-f03-p3-ehcache-2-after-undeploy-tomcat-findleaks.txt</x:v>
      </x:c>
    </x:row>
    <x:row r="590">
      <x:c r="A590" s="34" t="str">
        <x:v>article1-unified-v4-2-fb3f101b-20260903-000401-default-f03-p3-ehcache</x:v>
      </x:c>
      <x:c r="B590" s="34" t="str">
        <x:v>default</x:v>
      </x:c>
      <x:c r="C590" s="34" t="str">
        <x:v>ehcache</x:v>
      </x:c>
      <x:c r="D590" s="34" t="str">
        <x:v>ehcache</x:v>
      </x:c>
      <x:c r="E590" s="36" t="n">
        <x:v>3</x:v>
      </x:c>
      <x:c r="F590" s="36" t="n">
        <x:v>3</x:v>
      </x:c>
      <x:c r="G590" s="36" t="n">
        <x:v>3</x:v>
      </x:c>
      <x:c r="H590" s="36" t="n">
        <x:v>2</x:v>
      </x:c>
      <x:c r="I590" s="34" t="str">
        <x:v>redeployedLoaded</x:v>
      </x:c>
      <x:c r="J590" s="34" t="str">
        <x:v>redeployed-loaded</x:v>
      </x:c>
      <x:c r="K590" s="36" t="n">
        <x:v>0</x:v>
      </x:c>
      <x:c r="L590" s="34" t="str">
        <x:v>redeploy</x:v>
      </x:c>
      <x:c r="M590" s="34" t="str">
        <x:v>article1-unified-v4-2-fb3f101b-20260903-000401-default-f03-p3-ehcache-2-redeployed-loaded</x:v>
      </x:c>
      <x:c r="N590" s="38" t="n">
        <x:v>46268.004606724535</x:v>
      </x:c>
      <x:c r="O590" s="36" t="n">
        <x:v>0</x:v>
      </x:c>
      <x:c r="P590" s="43" t="n">
        <x:v>204638208</x:v>
      </x:c>
      <x:c r="Q590" s="43" t="n">
        <x:v>268435456</x:v>
      </x:c>
      <x:c r="R590" s="43" t="n">
        <x:v>447167488</x:v>
      </x:c>
      <x:c r="S590" s="36" t="n">
        <x:v>3</x:v>
      </x:c>
      <x:c r="T590" s="44" t="str">
        <x:v>0x00000000551177b8  0x0000000055003818  0x00007a4e2c874460    4852  22665216  22649440  org.apache.catalina.loader.ParallelWebappClassLoader | 0x00000000551177b8  0x0000000055003818  0x00007a4ed0616c20       0         0         0  org.apache.catalina.loader.ParallelWebappClassLoader | 0x00000000551177b8  0x0000000055003818  0x00007a4e28199a00    4861  22720512  22713736  org.apache.catalina.loader.ParallelWebappClassLoader</x:v>
      </x:c>
      <x:c r="U590" s="36" t="n">
        <x:v>27</x:v>
      </x:c>
      <x:c r="V590" s="36" t="n">
        <x:v>0</x:v>
      </x:c>
      <x:c r="W590" s="44"/>
      <x:c r="X590" s="36"/>
      <x:c r="Y590" s="36"/>
      <x:c r="Z590" s="44"/>
      <x:c r="AA590" s="49"/>
      <x:c r="AB590" s="43"/>
      <x:c r="AC590" s="34"/>
      <x:c r="AD590" s="34"/>
      <x:c r="AE590" s="34"/>
      <x:c r="AF590" s="34"/>
      <x:c r="AG590" s="34"/>
      <x:c r="AH590" s="34"/>
      <x:c r="AI590" s="34"/>
    </x:row>
    <x:row r="591">
      <x:c r="A591" s="34" t="str">
        <x:v>article1-unified-v4-2-fb3f101b-20260903-000401-default-f03-p3-ehcache</x:v>
      </x:c>
      <x:c r="B591" s="34" t="str">
        <x:v>default</x:v>
      </x:c>
      <x:c r="C591" s="34" t="str">
        <x:v>ehcache</x:v>
      </x:c>
      <x:c r="D591" s="34" t="str">
        <x:v>ehcache</x:v>
      </x:c>
      <x:c r="E591" s="36" t="n">
        <x:v>3</x:v>
      </x:c>
      <x:c r="F591" s="36" t="n">
        <x:v>3</x:v>
      </x:c>
      <x:c r="G591" s="36" t="n">
        <x:v>3</x:v>
      </x:c>
      <x:c r="H591" s="36" t="n">
        <x:v>2</x:v>
      </x:c>
      <x:c r="I591" s="34" t="str">
        <x:v>afterFinalUndeployEarly</x:v>
      </x:c>
      <x:c r="J591" s="34" t="str">
        <x:v>after-final-undeploy-early</x:v>
      </x:c>
      <x:c r="K591" s="36" t="n">
        <x:v>2</x:v>
      </x:c>
      <x:c r="L591" s="34" t="str">
        <x:v>early</x:v>
      </x:c>
      <x:c r="M591" s="34" t="str">
        <x:v>article1-unified-v4-2-fb3f101b-20260903-000401-default-f03-p3-ehcache-2-after-final-undeploy-early-2s</x:v>
      </x:c>
      <x:c r="N591" s="38" t="n">
        <x:v>46268.004690243055</x:v>
      </x:c>
      <x:c r="O591" s="36"/>
      <x:c r="P591" s="43"/>
      <x:c r="Q591" s="43"/>
      <x:c r="R591" s="43"/>
      <x:c r="S591" s="36"/>
      <x:c r="T591" s="44"/>
      <x:c r="U591" s="36" t="n">
        <x:v>27</x:v>
      </x:c>
      <x:c r="V591" s="36" t="n">
        <x:v>0</x:v>
      </x:c>
      <x:c r="W591" s="44"/>
      <x:c r="X591" s="36"/>
      <x:c r="Y591" s="36"/>
      <x:c r="Z591" s="44"/>
      <x:c r="AA591" s="49"/>
      <x:c r="AB591" s="43" t="n">
        <x:v>2</x:v>
      </x:c>
      <x:c r="AC591" s="34"/>
      <x:c r="AD591" s="34"/>
      <x:c r="AE591" s="34" t="str">
        <x:v>article1-unified-v4-2-fb3f101b-20260903-000401-default-f03-p3-ehcache-2-after-final-undeploy-early-2s-thread-dump.txt</x:v>
      </x:c>
      <x:c r="AF591" s="34" t="str">
        <x:v>article1-unified-v4-2-fb3f101b-20260903-000401-default-f03-p3-ehcache-2-after-final-undeploy-early-tomcat-log.txt</x:v>
      </x:c>
      <x:c r="AG591" s="34"/>
      <x:c r="AH591" s="34"/>
      <x:c r="AI591" s="34"/>
    </x:row>
    <x:row r="592">
      <x:c r="A592" s="34" t="str">
        <x:v>article1-unified-v4-2-fb3f101b-20260903-000401-default-f03-p3-ehcache</x:v>
      </x:c>
      <x:c r="B592" s="34" t="str">
        <x:v>default</x:v>
      </x:c>
      <x:c r="C592" s="34" t="str">
        <x:v>ehcache</x:v>
      </x:c>
      <x:c r="D592" s="34" t="str">
        <x:v>ehcache</x:v>
      </x:c>
      <x:c r="E592" s="36" t="n">
        <x:v>3</x:v>
      </x:c>
      <x:c r="F592" s="36" t="n">
        <x:v>3</x:v>
      </x:c>
      <x:c r="G592" s="36" t="n">
        <x:v>3</x:v>
      </x:c>
      <x:c r="H592" s="36" t="n">
        <x:v>2</x:v>
      </x:c>
      <x:c r="I592" s="34" t="str">
        <x:v>afterFinalUndeploy</x:v>
      </x:c>
      <x:c r="J592" s="34" t="str">
        <x:v>after-final-undeploy-final</x:v>
      </x:c>
      <x:c r="K592" s="36" t="n">
        <x:v>2</x:v>
      </x:c>
      <x:c r="L592" s="34" t="str">
        <x:v>final</x:v>
      </x:c>
      <x:c r="M592" s="34" t="str">
        <x:v>article1-unified-v4-2-fb3f101b-20260903-000401-default-f03-p3-ehcache-2-after-final-undeploy-final-10s</x:v>
      </x:c>
      <x:c r="N592" s="38" t="n">
        <x:v>46268.004847627315</x:v>
      </x:c>
      <x:c r="O592" s="36" t="n">
        <x:v>2</x:v>
      </x:c>
      <x:c r="P592" s="43" t="n">
        <x:v>15939584</x:v>
      </x:c>
      <x:c r="Q592" s="43" t="n">
        <x:v>268435456</x:v>
      </x:c>
      <x:c r="R592" s="43" t="n">
        <x:v>423589888</x:v>
      </x:c>
      <x:c r="S592" s="36" t="n">
        <x:v>2</x:v>
      </x:c>
      <x:c r="T592" s="44" t="str">
        <x:v>0x00000000551177b8  0x0000000055003818  0x00007a4ed0616c20       0         0         0  org.apache.catalina.loader.ParallelWebappClassLoader | 0x00000000551177b8  0x0000000055003818  0x00007a4e2c874460    4862  22714368  22694912  org.apache.catalina.loader.ParallelWebappClassLoader</x:v>
      </x:c>
      <x:c r="U592" s="36" t="n">
        <x:v>27</x:v>
      </x:c>
      <x:c r="V592" s="36" t="n">
        <x:v>0</x:v>
      </x:c>
      <x:c r="W592" s="44"/>
      <x:c r="X592" s="36" t="n">
        <x:v>1</x:v>
      </x:c>
      <x:c r="Y592" s="36" t="n">
        <x:v>1</x:v>
      </x:c>
      <x:c r="Z592" s="44" t="str">
        <x:v>/ehcache</x:v>
      </x:c>
      <x:c r="AA592" s="45" t="b">
        <x:v>1</x:v>
      </x:c>
      <x:c r="AB592" s="43"/>
      <x:c r="AC592" s="34" t="str">
        <x:v>article1-unified-v4-2-fb3f101b-20260903-000401-default-f03-p3-ehcache-2-after-final-undeploy-final-10s-heap-info.txt</x:v>
      </x:c>
      <x:c r="AD592" s="34" t="str">
        <x:v>article1-unified-v4-2-fb3f101b-20260903-000401-default-f03-p3-ehcache-2-after-final-undeploy-final-10s-classloader-stats.txt</x:v>
      </x:c>
      <x:c r="AE592" s="34" t="str">
        <x:v>article1-unified-v4-2-fb3f101b-20260903-000401-default-f03-p3-ehcache-2-after-final-undeploy-final-10s-thread-dump.txt</x:v>
      </x:c>
      <x:c r="AF592" s="34"/>
      <x:c r="AG592" s="34" t="str">
        <x:v>article1-unified-v4-2-fb3f101b-20260903-000401-default-f03-p3-ehcache-2-after-final-undeploy-final-10s-native-memory.txt</x:v>
      </x:c>
      <x:c r="AH592" s="34" t="str">
        <x:v>article1-unified-v4-2-fb3f101b-20260903-000401-default-f03-p3-ehcache-2-after-final-undeploy-final-10s-class-histogram.txt</x:v>
      </x:c>
      <x:c r="AI592" s="34" t="str">
        <x:v>article1-unified-v4-2-fb3f101b-20260903-000401-default-f03-p3-ehcache-2-after-final-undeploy-tomcat-findleaks.txt</x:v>
      </x:c>
    </x:row>
    <x:row r="593">
      <x:c r="A593" s="34" t="str">
        <x:v>article1-unified-v4-2-fb3f101b-20260903-000401-default-f03-p3-ehcache</x:v>
      </x:c>
      <x:c r="B593" s="34" t="str">
        <x:v>default</x:v>
      </x:c>
      <x:c r="C593" s="34" t="str">
        <x:v>ehcache</x:v>
      </x:c>
      <x:c r="D593" s="34" t="str">
        <x:v>ehcache</x:v>
      </x:c>
      <x:c r="E593" s="36" t="n">
        <x:v>3</x:v>
      </x:c>
      <x:c r="F593" s="36" t="n">
        <x:v>3</x:v>
      </x:c>
      <x:c r="G593" s="36" t="n">
        <x:v>3</x:v>
      </x:c>
      <x:c r="H593" s="36" t="n">
        <x:v>3</x:v>
      </x:c>
      <x:c r="I593" s="34" t="str">
        <x:v>baseline</x:v>
      </x:c>
      <x:c r="J593" s="34" t="str">
        <x:v>cycle-baseline</x:v>
      </x:c>
      <x:c r="K593" s="36" t="n">
        <x:v>0</x:v>
      </x:c>
      <x:c r="L593" s="34" t="str">
        <x:v>baseline</x:v>
      </x:c>
      <x:c r="M593" s="34" t="str">
        <x:v>article1-unified-v4-2-fb3f101b-20260903-000401-default-f03-p3-ehcache-3-baseline</x:v>
      </x:c>
      <x:c r="N593" s="38" t="n">
        <x:v>46268.00489203704</x:v>
      </x:c>
      <x:c r="O593" s="36" t="n">
        <x:v>0</x:v>
      </x:c>
      <x:c r="P593" s="43" t="n">
        <x:v>15944704</x:v>
      </x:c>
      <x:c r="Q593" s="43" t="n">
        <x:v>268435456</x:v>
      </x:c>
      <x:c r="R593" s="43" t="n">
        <x:v>423689216</x:v>
      </x:c>
      <x:c r="S593" s="36" t="n">
        <x:v>2</x:v>
      </x:c>
      <x:c r="T593" s="44" t="str">
        <x:v>0x00000000551177b8  0x0000000055003818  0x00007a4ed0616c20       0         0         0  org.apache.catalina.loader.ParallelWebappClassLoader | 0x00000000551177b8  0x0000000055003818  0x00007a4e2c874460    4862  22714368  22694912  org.apache.catalina.loader.ParallelWebappClassLoader</x:v>
      </x:c>
      <x:c r="U593" s="36" t="n">
        <x:v>27</x:v>
      </x:c>
      <x:c r="V593" s="36" t="n">
        <x:v>0</x:v>
      </x:c>
      <x:c r="W593" s="44"/>
      <x:c r="X593" s="36"/>
      <x:c r="Y593" s="36"/>
      <x:c r="Z593" s="44"/>
      <x:c r="AA593" s="49"/>
      <x:c r="AB593" s="43"/>
      <x:c r="AC593" s="34" t="str">
        <x:v>article1-unified-v4-2-fb3f101b-20260903-000401-default-f03-p3-ehcache-3-baseline-heap-info.txt</x:v>
      </x:c>
      <x:c r="AD593" s="34" t="str">
        <x:v>article1-unified-v4-2-fb3f101b-20260903-000401-default-f03-p3-ehcache-3-baseline-classloader-stats.txt</x:v>
      </x:c>
      <x:c r="AE593" s="34" t="str">
        <x:v>article1-unified-v4-2-fb3f101b-20260903-000401-default-f03-p3-ehcache-3-baseline-thread-dump.txt</x:v>
      </x:c>
      <x:c r="AF593" s="34"/>
      <x:c r="AG593" s="34" t="str">
        <x:v>article1-unified-v4-2-fb3f101b-20260903-000401-default-f03-p3-ehcache-3-baseline-native-memory.txt</x:v>
      </x:c>
      <x:c r="AH593" s="34"/>
      <x:c r="AI593" s="34"/>
    </x:row>
    <x:row r="594">
      <x:c r="A594" s="34" t="str">
        <x:v>article1-unified-v4-2-fb3f101b-20260903-000401-default-f03-p3-ehcache</x:v>
      </x:c>
      <x:c r="B594" s="34" t="str">
        <x:v>default</x:v>
      </x:c>
      <x:c r="C594" s="34" t="str">
        <x:v>ehcache</x:v>
      </x:c>
      <x:c r="D594" s="34" t="str">
        <x:v>ehcache</x:v>
      </x:c>
      <x:c r="E594" s="36" t="n">
        <x:v>3</x:v>
      </x:c>
      <x:c r="F594" s="36" t="n">
        <x:v>3</x:v>
      </x:c>
      <x:c r="G594" s="36" t="n">
        <x:v>3</x:v>
      </x:c>
      <x:c r="H594" s="36" t="n">
        <x:v>3</x:v>
      </x:c>
      <x:c r="I594" s="34" t="str">
        <x:v>deployedIdle</x:v>
      </x:c>
      <x:c r="J594" s="34" t="str">
        <x:v>deployed-idle</x:v>
      </x:c>
      <x:c r="K594" s="36" t="n">
        <x:v>0</x:v>
      </x:c>
      <x:c r="L594" s="34" t="str">
        <x:v>initial</x:v>
      </x:c>
      <x:c r="M594" s="34" t="str">
        <x:v>article1-unified-v4-2-fb3f101b-20260903-000401-default-f03-p3-ehcache-3-deployed-idle</x:v>
      </x:c>
      <x:c r="N594" s="38" t="n">
        <x:v>46268.004996006945</x:v>
      </x:c>
      <x:c r="O594" s="36" t="n">
        <x:v>0</x:v>
      </x:c>
      <x:c r="P594" s="43" t="n">
        <x:v>166932480</x:v>
      </x:c>
      <x:c r="Q594" s="43" t="n">
        <x:v>268435456</x:v>
      </x:c>
      <x:c r="R594" s="43" t="n">
        <x:v>452336640</x:v>
      </x:c>
      <x:c r="S594" s="36" t="n">
        <x:v>3</x:v>
      </x:c>
      <x:c r="T594" s="44" t="str">
        <x:v>0x00000000551177b8  0x0000000055003818  0x00007a4ed0616c20       0         0         0  org.apache.catalina.loader.ParallelWebappClassLoader | 0x00000000551177b8  0x0000000055003818  0x00007a4e388419d0    4091  19451904  19428080  org.apache.catalina.loader.ParallelWebappClassLoader | 0x00000000551177b8  0x0000000055003818  0x00007a4e2c874460    4862  22714368  22694912  org.apache.catalina.loader.ParallelWebappClassLoader</x:v>
      </x:c>
      <x:c r="U594" s="36" t="n">
        <x:v>27</x:v>
      </x:c>
      <x:c r="V594" s="36" t="n">
        <x:v>0</x:v>
      </x:c>
      <x:c r="W594" s="44"/>
      <x:c r="X594" s="36"/>
      <x:c r="Y594" s="36"/>
      <x:c r="Z594" s="44"/>
      <x:c r="AA594" s="49"/>
      <x:c r="AB594" s="43"/>
      <x:c r="AC594" s="34"/>
      <x:c r="AD594" s="34"/>
      <x:c r="AE594" s="34"/>
      <x:c r="AF594" s="34"/>
      <x:c r="AG594" s="34"/>
      <x:c r="AH594" s="34"/>
      <x:c r="AI594" s="34"/>
    </x:row>
    <x:row r="595">
      <x:c r="A595" s="34" t="str">
        <x:v>article1-unified-v4-2-fb3f101b-20260903-000401-default-f03-p3-ehcache</x:v>
      </x:c>
      <x:c r="B595" s="34" t="str">
        <x:v>default</x:v>
      </x:c>
      <x:c r="C595" s="34" t="str">
        <x:v>ehcache</x:v>
      </x:c>
      <x:c r="D595" s="34" t="str">
        <x:v>ehcache</x:v>
      </x:c>
      <x:c r="E595" s="36" t="n">
        <x:v>3</x:v>
      </x:c>
      <x:c r="F595" s="36" t="n">
        <x:v>3</x:v>
      </x:c>
      <x:c r="G595" s="36" t="n">
        <x:v>3</x:v>
      </x:c>
      <x:c r="H595" s="36" t="n">
        <x:v>3</x:v>
      </x:c>
      <x:c r="I595" s="34" t="str">
        <x:v>loaded</x:v>
      </x:c>
      <x:c r="J595" s="34" t="str">
        <x:v>loaded</x:v>
      </x:c>
      <x:c r="K595" s="36" t="n">
        <x:v>0</x:v>
      </x:c>
      <x:c r="L595" s="34" t="str">
        <x:v>initial</x:v>
      </x:c>
      <x:c r="M595" s="34" t="str">
        <x:v>article1-unified-v4-2-fb3f101b-20260903-000401-default-f03-p3-ehcache-3-loaded</x:v>
      </x:c>
      <x:c r="N595" s="38" t="n">
        <x:v>46268.005144375</x:v>
      </x:c>
      <x:c r="O595" s="36" t="n">
        <x:v>0</x:v>
      </x:c>
      <x:c r="P595" s="43" t="n">
        <x:v>207302656</x:v>
      </x:c>
      <x:c r="Q595" s="43" t="n">
        <x:v>268435456</x:v>
      </x:c>
      <x:c r="R595" s="43" t="n">
        <x:v>444744704</x:v>
      </x:c>
      <x:c r="S595" s="36" t="n">
        <x:v>3</x:v>
      </x:c>
      <x:c r="T595" s="44" t="str">
        <x:v>0x00000000551177b8  0x0000000055003818  0x00007a4e388419d0    4851  22679552  22661480  org.apache.catalina.loader.ParallelWebappClassLoader | 0x00000000551177b8  0x0000000055003818  0x00007a4ed0616c20       0         0         0  org.apache.catalina.loader.ParallelWebappClassLoader | 0x00000000551177b8  0x0000000055003818  0x00007a4e2c874460    4862  22714368  22694912  org.apache.catalina.loader.ParallelWebappClassLoader</x:v>
      </x:c>
      <x:c r="U595" s="36" t="n">
        <x:v>28</x:v>
      </x:c>
      <x:c r="V595" s="36" t="n">
        <x:v>0</x:v>
      </x:c>
      <x:c r="W595" s="44"/>
      <x:c r="X595" s="36"/>
      <x:c r="Y595" s="36"/>
      <x:c r="Z595" s="44"/>
      <x:c r="AA595" s="49"/>
      <x:c r="AB595" s="43"/>
      <x:c r="AC595" s="34"/>
      <x:c r="AD595" s="34"/>
      <x:c r="AE595" s="34"/>
      <x:c r="AF595" s="34"/>
      <x:c r="AG595" s="34"/>
      <x:c r="AH595" s="34"/>
      <x:c r="AI595" s="34"/>
    </x:row>
    <x:row r="596">
      <x:c r="A596" s="34" t="str">
        <x:v>article1-unified-v4-2-fb3f101b-20260903-000401-default-f03-p3-ehcache</x:v>
      </x:c>
      <x:c r="B596" s="34" t="str">
        <x:v>default</x:v>
      </x:c>
      <x:c r="C596" s="34" t="str">
        <x:v>ehcache</x:v>
      </x:c>
      <x:c r="D596" s="34" t="str">
        <x:v>ehcache</x:v>
      </x:c>
      <x:c r="E596" s="36" t="n">
        <x:v>3</x:v>
      </x:c>
      <x:c r="F596" s="36" t="n">
        <x:v>3</x:v>
      </x:c>
      <x:c r="G596" s="36" t="n">
        <x:v>3</x:v>
      </x:c>
      <x:c r="H596" s="36" t="n">
        <x:v>3</x:v>
      </x:c>
      <x:c r="I596" s="34" t="str">
        <x:v>afterUndeployEarly</x:v>
      </x:c>
      <x:c r="J596" s="34" t="str">
        <x:v>after-undeploy-early</x:v>
      </x:c>
      <x:c r="K596" s="36" t="n">
        <x:v>1</x:v>
      </x:c>
      <x:c r="L596" s="34" t="str">
        <x:v>early</x:v>
      </x:c>
      <x:c r="M596" s="34" t="str">
        <x:v>article1-unified-v4-2-fb3f101b-20260903-000401-default-f03-p3-ehcache-3-after-undeploy-early-2s</x:v>
      </x:c>
      <x:c r="N596" s="38" t="n">
        <x:v>46268.005230104165</x:v>
      </x:c>
      <x:c r="O596" s="36"/>
      <x:c r="P596" s="43"/>
      <x:c r="Q596" s="43"/>
      <x:c r="R596" s="43"/>
      <x:c r="S596" s="36"/>
      <x:c r="T596" s="44"/>
      <x:c r="U596" s="36" t="n">
        <x:v>27</x:v>
      </x:c>
      <x:c r="V596" s="36" t="n">
        <x:v>0</x:v>
      </x:c>
      <x:c r="W596" s="44"/>
      <x:c r="X596" s="36"/>
      <x:c r="Y596" s="36"/>
      <x:c r="Z596" s="44"/>
      <x:c r="AA596" s="49"/>
      <x:c r="AB596" s="43" t="n">
        <x:v>2</x:v>
      </x:c>
      <x:c r="AC596" s="34"/>
      <x:c r="AD596" s="34"/>
      <x:c r="AE596" s="34" t="str">
        <x:v>article1-unified-v4-2-fb3f101b-20260903-000401-default-f03-p3-ehcache-3-after-undeploy-early-2s-thread-dump.txt</x:v>
      </x:c>
      <x:c r="AF596" s="34" t="str">
        <x:v>article1-unified-v4-2-fb3f101b-20260903-000401-default-f03-p3-ehcache-3-after-undeploy-early-tomcat-log.txt</x:v>
      </x:c>
      <x:c r="AG596" s="34"/>
      <x:c r="AH596" s="34"/>
      <x:c r="AI596" s="34"/>
    </x:row>
    <x:row r="597">
      <x:c r="A597" s="34" t="str">
        <x:v>article1-unified-v4-2-fb3f101b-20260903-000401-default-f03-p3-ehcache</x:v>
      </x:c>
      <x:c r="B597" s="34" t="str">
        <x:v>default</x:v>
      </x:c>
      <x:c r="C597" s="34" t="str">
        <x:v>ehcache</x:v>
      </x:c>
      <x:c r="D597" s="34" t="str">
        <x:v>ehcache</x:v>
      </x:c>
      <x:c r="E597" s="36" t="n">
        <x:v>3</x:v>
      </x:c>
      <x:c r="F597" s="36" t="n">
        <x:v>3</x:v>
      </x:c>
      <x:c r="G597" s="36" t="n">
        <x:v>3</x:v>
      </x:c>
      <x:c r="H597" s="36" t="n">
        <x:v>3</x:v>
      </x:c>
      <x:c r="I597" s="34" t="str">
        <x:v>afterUndeploy</x:v>
      </x:c>
      <x:c r="J597" s="34" t="str">
        <x:v>after-undeploy-final</x:v>
      </x:c>
      <x:c r="K597" s="36" t="n">
        <x:v>1</x:v>
      </x:c>
      <x:c r="L597" s="34" t="str">
        <x:v>final</x:v>
      </x:c>
      <x:c r="M597" s="34" t="str">
        <x:v>article1-unified-v4-2-fb3f101b-20260903-000401-default-f03-p3-ehcache-3-after-undeploy-final-10s</x:v>
      </x:c>
      <x:c r="N597" s="38" t="n">
        <x:v>46268.00538663194</x:v>
      </x:c>
      <x:c r="O597" s="36" t="n">
        <x:v>2</x:v>
      </x:c>
      <x:c r="P597" s="43" t="n">
        <x:v>15963136</x:v>
      </x:c>
      <x:c r="Q597" s="43" t="n">
        <x:v>268435456</x:v>
      </x:c>
      <x:c r="R597" s="43" t="n">
        <x:v>421625856</x:v>
      </x:c>
      <x:c r="S597" s="36" t="n">
        <x:v>2</x:v>
      </x:c>
      <x:c r="T597" s="44" t="str">
        <x:v>0x00000000551177b8  0x0000000055003818  0x00007a4e388419d0    4861  22728704  22707968  org.apache.catalina.loader.ParallelWebappClassLoader | 0x00000000551177b8  0x0000000055003818  0x00007a4ed0616c20       0         0         0  org.apache.catalina.loader.ParallelWebappClassLoader</x:v>
      </x:c>
      <x:c r="U597" s="36" t="n">
        <x:v>27</x:v>
      </x:c>
      <x:c r="V597" s="36" t="n">
        <x:v>0</x:v>
      </x:c>
      <x:c r="W597" s="44"/>
      <x:c r="X597" s="36" t="n">
        <x:v>1</x:v>
      </x:c>
      <x:c r="Y597" s="36" t="n">
        <x:v>1</x:v>
      </x:c>
      <x:c r="Z597" s="44" t="str">
        <x:v>/ehcache</x:v>
      </x:c>
      <x:c r="AA597" s="45" t="b">
        <x:v>1</x:v>
      </x:c>
      <x:c r="AB597" s="43"/>
      <x:c r="AC597" s="34" t="str">
        <x:v>article1-unified-v4-2-fb3f101b-20260903-000401-default-f03-p3-ehcache-3-after-undeploy-final-10s-heap-info.txt</x:v>
      </x:c>
      <x:c r="AD597" s="34" t="str">
        <x:v>article1-unified-v4-2-fb3f101b-20260903-000401-default-f03-p3-ehcache-3-after-undeploy-final-10s-classloader-stats.txt</x:v>
      </x:c>
      <x:c r="AE597" s="34" t="str">
        <x:v>article1-unified-v4-2-fb3f101b-20260903-000401-default-f03-p3-ehcache-3-after-undeploy-final-10s-thread-dump.txt</x:v>
      </x:c>
      <x:c r="AF597" s="34"/>
      <x:c r="AG597" s="34" t="str">
        <x:v>article1-unified-v4-2-fb3f101b-20260903-000401-default-f03-p3-ehcache-3-after-undeploy-final-10s-native-memory.txt</x:v>
      </x:c>
      <x:c r="AH597" s="34" t="str">
        <x:v>article1-unified-v4-2-fb3f101b-20260903-000401-default-f03-p3-ehcache-3-after-undeploy-final-10s-class-histogram.txt</x:v>
      </x:c>
      <x:c r="AI597" s="34" t="str">
        <x:v>article1-unified-v4-2-fb3f101b-20260903-000401-default-f03-p3-ehcache-3-after-undeploy-tomcat-findleaks.txt</x:v>
      </x:c>
    </x:row>
    <x:row r="598">
      <x:c r="A598" s="34" t="str">
        <x:v>article1-unified-v4-2-fb3f101b-20260903-000401-default-f03-p3-ehcache</x:v>
      </x:c>
      <x:c r="B598" s="34" t="str">
        <x:v>default</x:v>
      </x:c>
      <x:c r="C598" s="34" t="str">
        <x:v>ehcache</x:v>
      </x:c>
      <x:c r="D598" s="34" t="str">
        <x:v>ehcache</x:v>
      </x:c>
      <x:c r="E598" s="36" t="n">
        <x:v>3</x:v>
      </x:c>
      <x:c r="F598" s="36" t="n">
        <x:v>3</x:v>
      </x:c>
      <x:c r="G598" s="36" t="n">
        <x:v>3</x:v>
      </x:c>
      <x:c r="H598" s="36" t="n">
        <x:v>3</x:v>
      </x:c>
      <x:c r="I598" s="34" t="str">
        <x:v>redeployedLoaded</x:v>
      </x:c>
      <x:c r="J598" s="34" t="str">
        <x:v>redeployed-loaded</x:v>
      </x:c>
      <x:c r="K598" s="36" t="n">
        <x:v>0</x:v>
      </x:c>
      <x:c r="L598" s="34" t="str">
        <x:v>redeploy</x:v>
      </x:c>
      <x:c r="M598" s="34" t="str">
        <x:v>article1-unified-v4-2-fb3f101b-20260903-000401-default-f03-p3-ehcache-3-redeployed-loaded</x:v>
      </x:c>
      <x:c r="N598" s="38" t="n">
        <x:v>46268.00564108796</x:v>
      </x:c>
      <x:c r="O598" s="36" t="n">
        <x:v>0</x:v>
      </x:c>
      <x:c r="P598" s="43" t="n">
        <x:v>205747200</x:v>
      </x:c>
      <x:c r="Q598" s="43" t="n">
        <x:v>268435456</x:v>
      </x:c>
      <x:c r="R598" s="43" t="n">
        <x:v>450532352</x:v>
      </x:c>
      <x:c r="S598" s="36" t="n">
        <x:v>3</x:v>
      </x:c>
      <x:c r="T598" s="44" t="str">
        <x:v>0x00000000551177b8  0x0000000055003818  0x00007a4e388419d0    4861  22728704  22707968  org.apache.catalina.loader.ParallelWebappClassLoader | 0x00000000551177b8  0x0000000055003818  0x00007a4ed0616c20       0         0         0  org.apache.catalina.loader.ParallelWebappClassLoader | 0x00000000551177b8  0x0000000055003818  0x00007a4e001980f0    4852  22678528  22664952  org.apache.catalina.loader.ParallelWebappClassLoader</x:v>
      </x:c>
      <x:c r="U598" s="36" t="n">
        <x:v>28</x:v>
      </x:c>
      <x:c r="V598" s="36" t="n">
        <x:v>0</x:v>
      </x:c>
      <x:c r="W598" s="44"/>
      <x:c r="X598" s="36"/>
      <x:c r="Y598" s="36"/>
      <x:c r="Z598" s="44"/>
      <x:c r="AA598" s="49"/>
      <x:c r="AB598" s="43"/>
      <x:c r="AC598" s="34"/>
      <x:c r="AD598" s="34"/>
      <x:c r="AE598" s="34"/>
      <x:c r="AF598" s="34"/>
      <x:c r="AG598" s="34"/>
      <x:c r="AH598" s="34"/>
      <x:c r="AI598" s="34"/>
    </x:row>
    <x:row r="599">
      <x:c r="A599" s="34" t="str">
        <x:v>article1-unified-v4-2-fb3f101b-20260903-000401-default-f03-p3-ehcache</x:v>
      </x:c>
      <x:c r="B599" s="34" t="str">
        <x:v>default</x:v>
      </x:c>
      <x:c r="C599" s="34" t="str">
        <x:v>ehcache</x:v>
      </x:c>
      <x:c r="D599" s="34" t="str">
        <x:v>ehcache</x:v>
      </x:c>
      <x:c r="E599" s="36" t="n">
        <x:v>3</x:v>
      </x:c>
      <x:c r="F599" s="36" t="n">
        <x:v>3</x:v>
      </x:c>
      <x:c r="G599" s="36" t="n">
        <x:v>3</x:v>
      </x:c>
      <x:c r="H599" s="36" t="n">
        <x:v>3</x:v>
      </x:c>
      <x:c r="I599" s="34" t="str">
        <x:v>afterFinalUndeployEarly</x:v>
      </x:c>
      <x:c r="J599" s="34" t="str">
        <x:v>after-final-undeploy-early</x:v>
      </x:c>
      <x:c r="K599" s="36" t="n">
        <x:v>2</x:v>
      </x:c>
      <x:c r="L599" s="34" t="str">
        <x:v>early</x:v>
      </x:c>
      <x:c r="M599" s="34" t="str">
        <x:v>article1-unified-v4-2-fb3f101b-20260903-000401-default-f03-p3-ehcache-3-after-final-undeploy-early-2s</x:v>
      </x:c>
      <x:c r="N599" s="38" t="n">
        <x:v>46268.005724560186</x:v>
      </x:c>
      <x:c r="O599" s="36"/>
      <x:c r="P599" s="43"/>
      <x:c r="Q599" s="43"/>
      <x:c r="R599" s="43"/>
      <x:c r="S599" s="36"/>
      <x:c r="T599" s="44"/>
      <x:c r="U599" s="36" t="n">
        <x:v>27</x:v>
      </x:c>
      <x:c r="V599" s="36" t="n">
        <x:v>0</x:v>
      </x:c>
      <x:c r="W599" s="44"/>
      <x:c r="X599" s="36"/>
      <x:c r="Y599" s="36"/>
      <x:c r="Z599" s="44"/>
      <x:c r="AA599" s="49"/>
      <x:c r="AB599" s="43" t="n">
        <x:v>2</x:v>
      </x:c>
      <x:c r="AC599" s="34"/>
      <x:c r="AD599" s="34"/>
      <x:c r="AE599" s="34" t="str">
        <x:v>article1-unified-v4-2-fb3f101b-20260903-000401-default-f03-p3-ehcache-3-after-final-undeploy-early-2s-thread-dump.txt</x:v>
      </x:c>
      <x:c r="AF599" s="34" t="str">
        <x:v>article1-unified-v4-2-fb3f101b-20260903-000401-default-f03-p3-ehcache-3-after-final-undeploy-early-tomcat-log.txt</x:v>
      </x:c>
      <x:c r="AG599" s="34"/>
      <x:c r="AH599" s="34"/>
      <x:c r="AI599" s="34"/>
    </x:row>
    <x:row r="600">
      <x:c r="A600" s="34" t="str">
        <x:v>article1-unified-v4-2-fb3f101b-20260903-000401-default-f03-p3-ehcache</x:v>
      </x:c>
      <x:c r="B600" s="34" t="str">
        <x:v>default</x:v>
      </x:c>
      <x:c r="C600" s="34" t="str">
        <x:v>ehcache</x:v>
      </x:c>
      <x:c r="D600" s="34" t="str">
        <x:v>ehcache</x:v>
      </x:c>
      <x:c r="E600" s="36" t="n">
        <x:v>3</x:v>
      </x:c>
      <x:c r="F600" s="36" t="n">
        <x:v>3</x:v>
      </x:c>
      <x:c r="G600" s="36" t="n">
        <x:v>3</x:v>
      </x:c>
      <x:c r="H600" s="36" t="n">
        <x:v>3</x:v>
      </x:c>
      <x:c r="I600" s="34" t="str">
        <x:v>afterFinalUndeploy</x:v>
      </x:c>
      <x:c r="J600" s="34" t="str">
        <x:v>after-final-undeploy-final</x:v>
      </x:c>
      <x:c r="K600" s="36" t="n">
        <x:v>2</x:v>
      </x:c>
      <x:c r="L600" s="34" t="str">
        <x:v>final</x:v>
      </x:c>
      <x:c r="M600" s="34" t="str">
        <x:v>article1-unified-v4-2-fb3f101b-20260903-000401-default-f03-p3-ehcache-3-after-final-undeploy-final-10s</x:v>
      </x:c>
      <x:c r="N600" s="38" t="n">
        <x:v>46268.00588078704</x:v>
      </x:c>
      <x:c r="O600" s="36" t="n">
        <x:v>2</x:v>
      </x:c>
      <x:c r="P600" s="43" t="n">
        <x:v>15985664</x:v>
      </x:c>
      <x:c r="Q600" s="43" t="n">
        <x:v>268435456</x:v>
      </x:c>
      <x:c r="R600" s="43" t="n">
        <x:v>427587584</x:v>
      </x:c>
      <x:c r="S600" s="36" t="n">
        <x:v>2</x:v>
      </x:c>
      <x:c r="T600" s="44" t="str">
        <x:v>0x00000000551177b8  0x0000000055003818  0x00007a4e001980f0    4862  22725632  22710696  org.apache.catalina.loader.ParallelWebappClassLoader | 0x00000000551177b8  0x0000000055003818  0x00007a4ed0616c20       0         0         0  org.apache.catalina.loader.ParallelWebappClassLoader</x:v>
      </x:c>
      <x:c r="U600" s="36" t="n">
        <x:v>27</x:v>
      </x:c>
      <x:c r="V600" s="36" t="n">
        <x:v>0</x:v>
      </x:c>
      <x:c r="W600" s="44"/>
      <x:c r="X600" s="36" t="n">
        <x:v>1</x:v>
      </x:c>
      <x:c r="Y600" s="36" t="n">
        <x:v>1</x:v>
      </x:c>
      <x:c r="Z600" s="44" t="str">
        <x:v>/ehcache</x:v>
      </x:c>
      <x:c r="AA600" s="45" t="b">
        <x:v>1</x:v>
      </x:c>
      <x:c r="AB600" s="43"/>
      <x:c r="AC600" s="34" t="str">
        <x:v>article1-unified-v4-2-fb3f101b-20260903-000401-default-f03-p3-ehcache-3-after-final-undeploy-final-10s-heap-info.txt</x:v>
      </x:c>
      <x:c r="AD600" s="34" t="str">
        <x:v>article1-unified-v4-2-fb3f101b-20260903-000401-default-f03-p3-ehcache-3-after-final-undeploy-final-10s-classloader-stats.txt</x:v>
      </x:c>
      <x:c r="AE600" s="34" t="str">
        <x:v>article1-unified-v4-2-fb3f101b-20260903-000401-default-f03-p3-ehcache-3-after-final-undeploy-final-10s-thread-dump.txt</x:v>
      </x:c>
      <x:c r="AF600" s="34"/>
      <x:c r="AG600" s="34" t="str">
        <x:v>article1-unified-v4-2-fb3f101b-20260903-000401-default-f03-p3-ehcache-3-after-final-undeploy-final-10s-native-memory.txt</x:v>
      </x:c>
      <x:c r="AH600" s="34" t="str">
        <x:v>article1-unified-v4-2-fb3f101b-20260903-000401-default-f03-p3-ehcache-3-after-final-undeploy-final-10s-class-histogram.txt</x:v>
      </x:c>
      <x:c r="AI600" s="34" t="str">
        <x:v>article1-unified-v4-2-fb3f101b-20260903-000401-default-f03-p3-ehcache-3-after-final-undeploy-tomcat-findleaks.txt</x:v>
      </x:c>
    </x:row>
    <x:row r="601">
      <x:c r="A601" s="34" t="str">
        <x:v>article1-unified-v4-2-fb3f101b-20260903-000401-default-f03-p3-ehcache</x:v>
      </x:c>
      <x:c r="B601" s="34" t="str">
        <x:v>default</x:v>
      </x:c>
      <x:c r="C601" s="34" t="str">
        <x:v>ehcache</x:v>
      </x:c>
      <x:c r="D601" s="34" t="str">
        <x:v>ehcache</x:v>
      </x:c>
      <x:c r="E601" s="36" t="n">
        <x:v>3</x:v>
      </x:c>
      <x:c r="F601" s="36" t="n">
        <x:v>3</x:v>
      </x:c>
      <x:c r="G601" s="36" t="n">
        <x:v>3</x:v>
      </x:c>
      <x:c r="H601" s="36" t="n">
        <x:v>4</x:v>
      </x:c>
      <x:c r="I601" s="34" t="str">
        <x:v>baseline</x:v>
      </x:c>
      <x:c r="J601" s="34" t="str">
        <x:v>cycle-baseline</x:v>
      </x:c>
      <x:c r="K601" s="36" t="n">
        <x:v>0</x:v>
      </x:c>
      <x:c r="L601" s="34" t="str">
        <x:v>baseline</x:v>
      </x:c>
      <x:c r="M601" s="34" t="str">
        <x:v>article1-unified-v4-2-fb3f101b-20260903-000401-default-f03-p3-ehcache-4-baseline</x:v>
      </x:c>
      <x:c r="N601" s="38" t="n">
        <x:v>46268.00592607639</x:v>
      </x:c>
      <x:c r="O601" s="36" t="n">
        <x:v>0</x:v>
      </x:c>
      <x:c r="P601" s="43" t="n">
        <x:v>15987712</x:v>
      </x:c>
      <x:c r="Q601" s="43" t="n">
        <x:v>268435456</x:v>
      </x:c>
      <x:c r="R601" s="43" t="n">
        <x:v>428188672</x:v>
      </x:c>
      <x:c r="S601" s="36" t="n">
        <x:v>2</x:v>
      </x:c>
      <x:c r="T601" s="44" t="str">
        <x:v>0x00000000551177b8  0x0000000055003818  0x00007a4e001980f0    4862  22725632  22710696  org.apache.catalina.loader.ParallelWebappClassLoader | 0x00000000551177b8  0x0000000055003818  0x00007a4ed0616c20       0         0         0  org.apache.catalina.loader.ParallelWebappClassLoader</x:v>
      </x:c>
      <x:c r="U601" s="36" t="n">
        <x:v>27</x:v>
      </x:c>
      <x:c r="V601" s="36" t="n">
        <x:v>0</x:v>
      </x:c>
      <x:c r="W601" s="44"/>
      <x:c r="X601" s="36"/>
      <x:c r="Y601" s="36"/>
      <x:c r="Z601" s="44"/>
      <x:c r="AA601" s="49"/>
      <x:c r="AB601" s="43"/>
      <x:c r="AC601" s="34" t="str">
        <x:v>article1-unified-v4-2-fb3f101b-20260903-000401-default-f03-p3-ehcache-4-baseline-heap-info.txt</x:v>
      </x:c>
      <x:c r="AD601" s="34" t="str">
        <x:v>article1-unified-v4-2-fb3f101b-20260903-000401-default-f03-p3-ehcache-4-baseline-classloader-stats.txt</x:v>
      </x:c>
      <x:c r="AE601" s="34" t="str">
        <x:v>article1-unified-v4-2-fb3f101b-20260903-000401-default-f03-p3-ehcache-4-baseline-thread-dump.txt</x:v>
      </x:c>
      <x:c r="AF601" s="34"/>
      <x:c r="AG601" s="34" t="str">
        <x:v>article1-unified-v4-2-fb3f101b-20260903-000401-default-f03-p3-ehcache-4-baseline-native-memory.txt</x:v>
      </x:c>
      <x:c r="AH601" s="34"/>
      <x:c r="AI601" s="34"/>
    </x:row>
    <x:row r="602">
      <x:c r="A602" s="34" t="str">
        <x:v>article1-unified-v4-2-fb3f101b-20260903-000401-default-f03-p3-ehcache</x:v>
      </x:c>
      <x:c r="B602" s="34" t="str">
        <x:v>default</x:v>
      </x:c>
      <x:c r="C602" s="34" t="str">
        <x:v>ehcache</x:v>
      </x:c>
      <x:c r="D602" s="34" t="str">
        <x:v>ehcache</x:v>
      </x:c>
      <x:c r="E602" s="36" t="n">
        <x:v>3</x:v>
      </x:c>
      <x:c r="F602" s="36" t="n">
        <x:v>3</x:v>
      </x:c>
      <x:c r="G602" s="36" t="n">
        <x:v>3</x:v>
      </x:c>
      <x:c r="H602" s="36" t="n">
        <x:v>4</x:v>
      </x:c>
      <x:c r="I602" s="34" t="str">
        <x:v>deployedIdle</x:v>
      </x:c>
      <x:c r="J602" s="34" t="str">
        <x:v>deployed-idle</x:v>
      </x:c>
      <x:c r="K602" s="36" t="n">
        <x:v>0</x:v>
      </x:c>
      <x:c r="L602" s="34" t="str">
        <x:v>initial</x:v>
      </x:c>
      <x:c r="M602" s="34" t="str">
        <x:v>article1-unified-v4-2-fb3f101b-20260903-000401-default-f03-p3-ehcache-4-deployed-idle</x:v>
      </x:c>
      <x:c r="N602" s="38" t="n">
        <x:v>46268.006030324075</x:v>
      </x:c>
      <x:c r="O602" s="36" t="n">
        <x:v>0</x:v>
      </x:c>
      <x:c r="P602" s="43" t="n">
        <x:v>165054464</x:v>
      </x:c>
      <x:c r="Q602" s="43" t="n">
        <x:v>268435456</x:v>
      </x:c>
      <x:c r="R602" s="43" t="n">
        <x:v>460759040</x:v>
      </x:c>
      <x:c r="S602" s="36" t="n">
        <x:v>3</x:v>
      </x:c>
      <x:c r="T602" s="44" t="str">
        <x:v>0x00000000551177b8  0x0000000055003818  0x00007a4e341ec620    4091  19436544  19434472  org.apache.catalina.loader.ParallelWebappClassLoader | 0x00000000551177b8  0x0000000055003818  0x00007a4e001980f0    4862  22725632  22710696  org.apache.catalina.loader.ParallelWebappClassLoader | 0x00000000551177b8  0x0000000055003818  0x00007a4ed0616c20       0         0         0  org.apache.catalina.loader.ParallelWebappClassLoader</x:v>
      </x:c>
      <x:c r="U602" s="36" t="n">
        <x:v>28</x:v>
      </x:c>
      <x:c r="V602" s="36" t="n">
        <x:v>0</x:v>
      </x:c>
      <x:c r="W602" s="44"/>
      <x:c r="X602" s="36"/>
      <x:c r="Y602" s="36"/>
      <x:c r="Z602" s="44"/>
      <x:c r="AA602" s="49"/>
      <x:c r="AB602" s="43"/>
      <x:c r="AC602" s="34"/>
      <x:c r="AD602" s="34"/>
      <x:c r="AE602" s="34"/>
      <x:c r="AF602" s="34"/>
      <x:c r="AG602" s="34"/>
      <x:c r="AH602" s="34"/>
      <x:c r="AI602" s="34"/>
    </x:row>
    <x:row r="603">
      <x:c r="A603" s="34" t="str">
        <x:v>article1-unified-v4-2-fb3f101b-20260903-000401-default-f03-p3-ehcache</x:v>
      </x:c>
      <x:c r="B603" s="34" t="str">
        <x:v>default</x:v>
      </x:c>
      <x:c r="C603" s="34" t="str">
        <x:v>ehcache</x:v>
      </x:c>
      <x:c r="D603" s="34" t="str">
        <x:v>ehcache</x:v>
      </x:c>
      <x:c r="E603" s="36" t="n">
        <x:v>3</x:v>
      </x:c>
      <x:c r="F603" s="36" t="n">
        <x:v>3</x:v>
      </x:c>
      <x:c r="G603" s="36" t="n">
        <x:v>3</x:v>
      </x:c>
      <x:c r="H603" s="36" t="n">
        <x:v>4</x:v>
      </x:c>
      <x:c r="I603" s="34" t="str">
        <x:v>loaded</x:v>
      </x:c>
      <x:c r="J603" s="34" t="str">
        <x:v>loaded</x:v>
      </x:c>
      <x:c r="K603" s="36" t="n">
        <x:v>0</x:v>
      </x:c>
      <x:c r="L603" s="34" t="str">
        <x:v>initial</x:v>
      </x:c>
      <x:c r="M603" s="34" t="str">
        <x:v>article1-unified-v4-2-fb3f101b-20260903-000401-default-f03-p3-ehcache-4-loaded</x:v>
      </x:c>
      <x:c r="N603" s="38" t="n">
        <x:v>46268.00618002315</x:v>
      </x:c>
      <x:c r="O603" s="36" t="n">
        <x:v>0</x:v>
      </x:c>
      <x:c r="P603" s="43" t="n">
        <x:v>206818304</x:v>
      </x:c>
      <x:c r="Q603" s="43" t="n">
        <x:v>268435456</x:v>
      </x:c>
      <x:c r="R603" s="43" t="n">
        <x:v>447328256</x:v>
      </x:c>
      <x:c r="S603" s="36" t="n">
        <x:v>3</x:v>
      </x:c>
      <x:c r="T603" s="44" t="str">
        <x:v>0x00000000551177b8  0x0000000055003818  0x00007a4e001980f0    4862  22725632  22710696  org.apache.catalina.loader.ParallelWebappClassLoader | 0x00000000551177b8  0x0000000055003818  0x00007a4ed0616c20       0         0         0  org.apache.catalina.loader.ParallelWebappClassLoader | 0x00000000551177b8  0x0000000055003818  0x00007a4e341ec620    4851  22680576  22668208  org.apache.catalina.loader.ParallelWebappClassLoader</x:v>
      </x:c>
      <x:c r="U603" s="36" t="n">
        <x:v>27</x:v>
      </x:c>
      <x:c r="V603" s="36" t="n">
        <x:v>0</x:v>
      </x:c>
      <x:c r="W603" s="44"/>
      <x:c r="X603" s="36"/>
      <x:c r="Y603" s="36"/>
      <x:c r="Z603" s="44"/>
      <x:c r="AA603" s="49"/>
      <x:c r="AB603" s="43"/>
      <x:c r="AC603" s="34"/>
      <x:c r="AD603" s="34"/>
      <x:c r="AE603" s="34"/>
      <x:c r="AF603" s="34"/>
      <x:c r="AG603" s="34"/>
      <x:c r="AH603" s="34"/>
      <x:c r="AI603" s="34"/>
    </x:row>
    <x:row r="604">
      <x:c r="A604" s="34" t="str">
        <x:v>article1-unified-v4-2-fb3f101b-20260903-000401-default-f03-p3-ehcache</x:v>
      </x:c>
      <x:c r="B604" s="34" t="str">
        <x:v>default</x:v>
      </x:c>
      <x:c r="C604" s="34" t="str">
        <x:v>ehcache</x:v>
      </x:c>
      <x:c r="D604" s="34" t="str">
        <x:v>ehcache</x:v>
      </x:c>
      <x:c r="E604" s="36" t="n">
        <x:v>3</x:v>
      </x:c>
      <x:c r="F604" s="36" t="n">
        <x:v>3</x:v>
      </x:c>
      <x:c r="G604" s="36" t="n">
        <x:v>3</x:v>
      </x:c>
      <x:c r="H604" s="36" t="n">
        <x:v>4</x:v>
      </x:c>
      <x:c r="I604" s="34" t="str">
        <x:v>afterUndeployEarly</x:v>
      </x:c>
      <x:c r="J604" s="34" t="str">
        <x:v>after-undeploy-early</x:v>
      </x:c>
      <x:c r="K604" s="36" t="n">
        <x:v>1</x:v>
      </x:c>
      <x:c r="L604" s="34" t="str">
        <x:v>early</x:v>
      </x:c>
      <x:c r="M604" s="34" t="str">
        <x:v>article1-unified-v4-2-fb3f101b-20260903-000401-default-f03-p3-ehcache-4-after-undeploy-early-2s</x:v>
      </x:c>
      <x:c r="N604" s="38" t="n">
        <x:v>46268.00626181713</x:v>
      </x:c>
      <x:c r="O604" s="36"/>
      <x:c r="P604" s="43"/>
      <x:c r="Q604" s="43"/>
      <x:c r="R604" s="43"/>
      <x:c r="S604" s="36"/>
      <x:c r="T604" s="44"/>
      <x:c r="U604" s="36" t="n">
        <x:v>27</x:v>
      </x:c>
      <x:c r="V604" s="36" t="n">
        <x:v>0</x:v>
      </x:c>
      <x:c r="W604" s="44"/>
      <x:c r="X604" s="36"/>
      <x:c r="Y604" s="36"/>
      <x:c r="Z604" s="44"/>
      <x:c r="AA604" s="49"/>
      <x:c r="AB604" s="43" t="n">
        <x:v>2</x:v>
      </x:c>
      <x:c r="AC604" s="34"/>
      <x:c r="AD604" s="34"/>
      <x:c r="AE604" s="34" t="str">
        <x:v>article1-unified-v4-2-fb3f101b-20260903-000401-default-f03-p3-ehcache-4-after-undeploy-early-2s-thread-dump.txt</x:v>
      </x:c>
      <x:c r="AF604" s="34" t="str">
        <x:v>article1-unified-v4-2-fb3f101b-20260903-000401-default-f03-p3-ehcache-4-after-undeploy-early-tomcat-log.txt</x:v>
      </x:c>
      <x:c r="AG604" s="34"/>
      <x:c r="AH604" s="34"/>
      <x:c r="AI604" s="34"/>
    </x:row>
    <x:row r="605">
      <x:c r="A605" s="34" t="str">
        <x:v>article1-unified-v4-2-fb3f101b-20260903-000401-default-f03-p3-ehcache</x:v>
      </x:c>
      <x:c r="B605" s="34" t="str">
        <x:v>default</x:v>
      </x:c>
      <x:c r="C605" s="34" t="str">
        <x:v>ehcache</x:v>
      </x:c>
      <x:c r="D605" s="34" t="str">
        <x:v>ehcache</x:v>
      </x:c>
      <x:c r="E605" s="36" t="n">
        <x:v>3</x:v>
      </x:c>
      <x:c r="F605" s="36" t="n">
        <x:v>3</x:v>
      </x:c>
      <x:c r="G605" s="36" t="n">
        <x:v>3</x:v>
      </x:c>
      <x:c r="H605" s="36" t="n">
        <x:v>4</x:v>
      </x:c>
      <x:c r="I605" s="34" t="str">
        <x:v>afterUndeploy</x:v>
      </x:c>
      <x:c r="J605" s="34" t="str">
        <x:v>after-undeploy-final</x:v>
      </x:c>
      <x:c r="K605" s="36" t="n">
        <x:v>1</x:v>
      </x:c>
      <x:c r="L605" s="34" t="str">
        <x:v>final</x:v>
      </x:c>
      <x:c r="M605" s="34" t="str">
        <x:v>article1-unified-v4-2-fb3f101b-20260903-000401-default-f03-p3-ehcache-4-after-undeploy-final-10s</x:v>
      </x:c>
      <x:c r="N605" s="38" t="n">
        <x:v>46268.006419861114</x:v>
      </x:c>
      <x:c r="O605" s="36" t="n">
        <x:v>2</x:v>
      </x:c>
      <x:c r="P605" s="43" t="n">
        <x:v>16015360</x:v>
      </x:c>
      <x:c r="Q605" s="43" t="n">
        <x:v>268435456</x:v>
      </x:c>
      <x:c r="R605" s="43" t="n">
        <x:v>425195520</x:v>
      </x:c>
      <x:c r="S605" s="36" t="n">
        <x:v>2</x:v>
      </x:c>
      <x:c r="T605" s="44" t="str">
        <x:v>0x00000000551177b8  0x0000000055003818  0x00007a4ed0616c20       0         0         0  org.apache.catalina.loader.ParallelWebappClassLoader | 0x00000000551177b8  0x0000000055003818  0x00007a4e341ec620    4861  22729728  22714696  org.apache.catalina.loader.ParallelWebappClassLoader</x:v>
      </x:c>
      <x:c r="U605" s="36" t="n">
        <x:v>27</x:v>
      </x:c>
      <x:c r="V605" s="36" t="n">
        <x:v>0</x:v>
      </x:c>
      <x:c r="W605" s="44"/>
      <x:c r="X605" s="36" t="n">
        <x:v>1</x:v>
      </x:c>
      <x:c r="Y605" s="36" t="n">
        <x:v>1</x:v>
      </x:c>
      <x:c r="Z605" s="44" t="str">
        <x:v>/ehcache</x:v>
      </x:c>
      <x:c r="AA605" s="45" t="b">
        <x:v>1</x:v>
      </x:c>
      <x:c r="AB605" s="43"/>
      <x:c r="AC605" s="34" t="str">
        <x:v>article1-unified-v4-2-fb3f101b-20260903-000401-default-f03-p3-ehcache-4-after-undeploy-final-10s-heap-info.txt</x:v>
      </x:c>
      <x:c r="AD605" s="34" t="str">
        <x:v>article1-unified-v4-2-fb3f101b-20260903-000401-default-f03-p3-ehcache-4-after-undeploy-final-10s-classloader-stats.txt</x:v>
      </x:c>
      <x:c r="AE605" s="34" t="str">
        <x:v>article1-unified-v4-2-fb3f101b-20260903-000401-default-f03-p3-ehcache-4-after-undeploy-final-10s-thread-dump.txt</x:v>
      </x:c>
      <x:c r="AF605" s="34"/>
      <x:c r="AG605" s="34" t="str">
        <x:v>article1-unified-v4-2-fb3f101b-20260903-000401-default-f03-p3-ehcache-4-after-undeploy-final-10s-native-memory.txt</x:v>
      </x:c>
      <x:c r="AH605" s="34" t="str">
        <x:v>article1-unified-v4-2-fb3f101b-20260903-000401-default-f03-p3-ehcache-4-after-undeploy-final-10s-class-histogram.txt</x:v>
      </x:c>
      <x:c r="AI605" s="34" t="str">
        <x:v>article1-unified-v4-2-fb3f101b-20260903-000401-default-f03-p3-ehcache-4-after-undeploy-tomcat-findleaks.txt</x:v>
      </x:c>
    </x:row>
    <x:row r="606">
      <x:c r="A606" s="34" t="str">
        <x:v>article1-unified-v4-2-fb3f101b-20260903-000401-default-f03-p3-ehcache</x:v>
      </x:c>
      <x:c r="B606" s="34" t="str">
        <x:v>default</x:v>
      </x:c>
      <x:c r="C606" s="34" t="str">
        <x:v>ehcache</x:v>
      </x:c>
      <x:c r="D606" s="34" t="str">
        <x:v>ehcache</x:v>
      </x:c>
      <x:c r="E606" s="36" t="n">
        <x:v>3</x:v>
      </x:c>
      <x:c r="F606" s="36" t="n">
        <x:v>3</x:v>
      </x:c>
      <x:c r="G606" s="36" t="n">
        <x:v>3</x:v>
      </x:c>
      <x:c r="H606" s="36" t="n">
        <x:v>4</x:v>
      </x:c>
      <x:c r="I606" s="34" t="str">
        <x:v>redeployedLoaded</x:v>
      </x:c>
      <x:c r="J606" s="34" t="str">
        <x:v>redeployed-loaded</x:v>
      </x:c>
      <x:c r="K606" s="36" t="n">
        <x:v>0</x:v>
      </x:c>
      <x:c r="L606" s="34" t="str">
        <x:v>redeploy</x:v>
      </x:c>
      <x:c r="M606" s="34" t="str">
        <x:v>article1-unified-v4-2-fb3f101b-20260903-000401-default-f03-p3-ehcache-4-redeployed-loaded</x:v>
      </x:c>
      <x:c r="N606" s="38" t="n">
        <x:v>46268.00668045139</x:v>
      </x:c>
      <x:c r="O606" s="36" t="n">
        <x:v>0</x:v>
      </x:c>
      <x:c r="P606" s="43" t="n">
        <x:v>205799424</x:v>
      </x:c>
      <x:c r="Q606" s="43" t="n">
        <x:v>268435456</x:v>
      </x:c>
      <x:c r="R606" s="43" t="n">
        <x:v>451533824</x:v>
      </x:c>
      <x:c r="S606" s="36" t="n">
        <x:v>3</x:v>
      </x:c>
      <x:c r="T606" s="44" t="str">
        <x:v>0x00000000551177b8  0x0000000055003818  0x00007a4ed0616c20       0         0         0  org.apache.catalina.loader.ParallelWebappClassLoader | 0x00000000551177b8  0x0000000055003818  0x00007a4e341ec620    4861  22729728  22714696  org.apache.catalina.loader.ParallelWebappClassLoader | 0x00000000551177b8  0x0000000055003818  0x00007a4e2c874460    4850  22678528  22664176  org.apache.catalina.loader.ParallelWebappClassLoader</x:v>
      </x:c>
      <x:c r="U606" s="36" t="n">
        <x:v>28</x:v>
      </x:c>
      <x:c r="V606" s="36" t="n">
        <x:v>0</x:v>
      </x:c>
      <x:c r="W606" s="44"/>
      <x:c r="X606" s="36"/>
      <x:c r="Y606" s="36"/>
      <x:c r="Z606" s="44"/>
      <x:c r="AA606" s="49"/>
      <x:c r="AB606" s="43"/>
      <x:c r="AC606" s="34"/>
      <x:c r="AD606" s="34"/>
      <x:c r="AE606" s="34"/>
      <x:c r="AF606" s="34"/>
      <x:c r="AG606" s="34"/>
      <x:c r="AH606" s="34"/>
      <x:c r="AI606" s="34"/>
    </x:row>
    <x:row r="607">
      <x:c r="A607" s="34" t="str">
        <x:v>article1-unified-v4-2-fb3f101b-20260903-000401-default-f03-p3-ehcache</x:v>
      </x:c>
      <x:c r="B607" s="34" t="str">
        <x:v>default</x:v>
      </x:c>
      <x:c r="C607" s="34" t="str">
        <x:v>ehcache</x:v>
      </x:c>
      <x:c r="D607" s="34" t="str">
        <x:v>ehcache</x:v>
      </x:c>
      <x:c r="E607" s="36" t="n">
        <x:v>3</x:v>
      </x:c>
      <x:c r="F607" s="36" t="n">
        <x:v>3</x:v>
      </x:c>
      <x:c r="G607" s="36" t="n">
        <x:v>3</x:v>
      </x:c>
      <x:c r="H607" s="36" t="n">
        <x:v>4</x:v>
      </x:c>
      <x:c r="I607" s="34" t="str">
        <x:v>afterFinalUndeployEarly</x:v>
      </x:c>
      <x:c r="J607" s="34" t="str">
        <x:v>after-final-undeploy-early</x:v>
      </x:c>
      <x:c r="K607" s="36" t="n">
        <x:v>2</x:v>
      </x:c>
      <x:c r="L607" s="34" t="str">
        <x:v>early</x:v>
      </x:c>
      <x:c r="M607" s="34" t="str">
        <x:v>article1-unified-v4-2-fb3f101b-20260903-000401-default-f03-p3-ehcache-4-after-final-undeploy-early-2s</x:v>
      </x:c>
      <x:c r="N607" s="38" t="n">
        <x:v>46268.00676321759</x:v>
      </x:c>
      <x:c r="O607" s="36"/>
      <x:c r="P607" s="43"/>
      <x:c r="Q607" s="43"/>
      <x:c r="R607" s="43"/>
      <x:c r="S607" s="36"/>
      <x:c r="T607" s="44"/>
      <x:c r="U607" s="36" t="n">
        <x:v>27</x:v>
      </x:c>
      <x:c r="V607" s="36" t="n">
        <x:v>0</x:v>
      </x:c>
      <x:c r="W607" s="44"/>
      <x:c r="X607" s="36"/>
      <x:c r="Y607" s="36"/>
      <x:c r="Z607" s="44"/>
      <x:c r="AA607" s="49"/>
      <x:c r="AB607" s="43" t="n">
        <x:v>2</x:v>
      </x:c>
      <x:c r="AC607" s="34"/>
      <x:c r="AD607" s="34"/>
      <x:c r="AE607" s="34" t="str">
        <x:v>article1-unified-v4-2-fb3f101b-20260903-000401-default-f03-p3-ehcache-4-after-final-undeploy-early-2s-thread-dump.txt</x:v>
      </x:c>
      <x:c r="AF607" s="34" t="str">
        <x:v>article1-unified-v4-2-fb3f101b-20260903-000401-default-f03-p3-ehcache-4-after-final-undeploy-early-tomcat-log.txt</x:v>
      </x:c>
      <x:c r="AG607" s="34"/>
      <x:c r="AH607" s="34"/>
      <x:c r="AI607" s="34"/>
    </x:row>
    <x:row r="608">
      <x:c r="A608" s="34" t="str">
        <x:v>article1-unified-v4-2-fb3f101b-20260903-000401-default-f03-p3-ehcache</x:v>
      </x:c>
      <x:c r="B608" s="34" t="str">
        <x:v>default</x:v>
      </x:c>
      <x:c r="C608" s="34" t="str">
        <x:v>ehcache</x:v>
      </x:c>
      <x:c r="D608" s="34" t="str">
        <x:v>ehcache</x:v>
      </x:c>
      <x:c r="E608" s="36" t="n">
        <x:v>3</x:v>
      </x:c>
      <x:c r="F608" s="36" t="n">
        <x:v>3</x:v>
      </x:c>
      <x:c r="G608" s="36" t="n">
        <x:v>3</x:v>
      </x:c>
      <x:c r="H608" s="36" t="n">
        <x:v>4</x:v>
      </x:c>
      <x:c r="I608" s="34" t="str">
        <x:v>afterFinalUndeploy</x:v>
      </x:c>
      <x:c r="J608" s="34" t="str">
        <x:v>after-final-undeploy-final</x:v>
      </x:c>
      <x:c r="K608" s="36" t="n">
        <x:v>2</x:v>
      </x:c>
      <x:c r="L608" s="34" t="str">
        <x:v>final</x:v>
      </x:c>
      <x:c r="M608" s="34" t="str">
        <x:v>article1-unified-v4-2-fb3f101b-20260903-000401-default-f03-p3-ehcache-4-after-final-undeploy-final-10s</x:v>
      </x:c>
      <x:c r="N608" s="38" t="n">
        <x:v>46268.00692532407</x:v>
      </x:c>
      <x:c r="O608" s="36" t="n">
        <x:v>2</x:v>
      </x:c>
      <x:c r="P608" s="43" t="n">
        <x:v>15998976</x:v>
      </x:c>
      <x:c r="Q608" s="43" t="n">
        <x:v>268435456</x:v>
      </x:c>
      <x:c r="R608" s="43" t="n">
        <x:v>429896704</x:v>
      </x:c>
      <x:c r="S608" s="36" t="n">
        <x:v>2</x:v>
      </x:c>
      <x:c r="T608" s="44" t="str">
        <x:v>0x00000000551177b8  0x0000000055003818  0x00007a4ed0616c20       0         0         0  org.apache.catalina.loader.ParallelWebappClassLoader | 0x00000000551177b8  0x0000000055003818  0x00007a4e2c874460    4860  22727680  22709928  org.apache.catalina.loader.ParallelWebappClassLoader</x:v>
      </x:c>
      <x:c r="U608" s="36" t="n">
        <x:v>27</x:v>
      </x:c>
      <x:c r="V608" s="36" t="n">
        <x:v>0</x:v>
      </x:c>
      <x:c r="W608" s="44"/>
      <x:c r="X608" s="36" t="n">
        <x:v>1</x:v>
      </x:c>
      <x:c r="Y608" s="36" t="n">
        <x:v>1</x:v>
      </x:c>
      <x:c r="Z608" s="44" t="str">
        <x:v>/ehcache</x:v>
      </x:c>
      <x:c r="AA608" s="45" t="b">
        <x:v>1</x:v>
      </x:c>
      <x:c r="AB608" s="43"/>
      <x:c r="AC608" s="34" t="str">
        <x:v>article1-unified-v4-2-fb3f101b-20260903-000401-default-f03-p3-ehcache-4-after-final-undeploy-final-10s-heap-info.txt</x:v>
      </x:c>
      <x:c r="AD608" s="34" t="str">
        <x:v>article1-unified-v4-2-fb3f101b-20260903-000401-default-f03-p3-ehcache-4-after-final-undeploy-final-10s-classloader-stats.txt</x:v>
      </x:c>
      <x:c r="AE608" s="34" t="str">
        <x:v>article1-unified-v4-2-fb3f101b-20260903-000401-default-f03-p3-ehcache-4-after-final-undeploy-final-10s-thread-dump.txt</x:v>
      </x:c>
      <x:c r="AF608" s="34"/>
      <x:c r="AG608" s="34" t="str">
        <x:v>article1-unified-v4-2-fb3f101b-20260903-000401-default-f03-p3-ehcache-4-after-final-undeploy-final-10s-native-memory.txt</x:v>
      </x:c>
      <x:c r="AH608" s="34" t="str">
        <x:v>article1-unified-v4-2-fb3f101b-20260903-000401-default-f03-p3-ehcache-4-after-final-undeploy-final-10s-class-histogram.txt</x:v>
      </x:c>
      <x:c r="AI608" s="34" t="str">
        <x:v>article1-unified-v4-2-fb3f101b-20260903-000401-default-f03-p3-ehcache-4-after-final-undeploy-tomcat-findleaks.txt</x:v>
      </x:c>
    </x:row>
    <x:row r="609">
      <x:c r="A609" s="34" t="str">
        <x:v>article1-unified-v4-2-fb3f101b-20260903-000401-default-f03-p3-ehcache</x:v>
      </x:c>
      <x:c r="B609" s="34" t="str">
        <x:v>default</x:v>
      </x:c>
      <x:c r="C609" s="34" t="str">
        <x:v>ehcache</x:v>
      </x:c>
      <x:c r="D609" s="34" t="str">
        <x:v>ehcache</x:v>
      </x:c>
      <x:c r="E609" s="36" t="n">
        <x:v>3</x:v>
      </x:c>
      <x:c r="F609" s="36" t="n">
        <x:v>3</x:v>
      </x:c>
      <x:c r="G609" s="36" t="n">
        <x:v>3</x:v>
      </x:c>
      <x:c r="H609" s="36" t="n">
        <x:v>5</x:v>
      </x:c>
      <x:c r="I609" s="34" t="str">
        <x:v>baseline</x:v>
      </x:c>
      <x:c r="J609" s="34" t="str">
        <x:v>cycle-baseline</x:v>
      </x:c>
      <x:c r="K609" s="36" t="n">
        <x:v>0</x:v>
      </x:c>
      <x:c r="L609" s="34" t="str">
        <x:v>baseline</x:v>
      </x:c>
      <x:c r="M609" s="34" t="str">
        <x:v>article1-unified-v4-2-fb3f101b-20260903-000401-default-f03-p3-ehcache-5-baseline</x:v>
      </x:c>
      <x:c r="N609" s="38" t="n">
        <x:v>46268.006971030096</x:v>
      </x:c>
      <x:c r="O609" s="36" t="n">
        <x:v>0</x:v>
      </x:c>
      <x:c r="P609" s="43" t="n">
        <x:v>15998976</x:v>
      </x:c>
      <x:c r="Q609" s="43" t="n">
        <x:v>268435456</x:v>
      </x:c>
      <x:c r="R609" s="43" t="n">
        <x:v>429995008</x:v>
      </x:c>
      <x:c r="S609" s="36" t="n">
        <x:v>2</x:v>
      </x:c>
      <x:c r="T609" s="44" t="str">
        <x:v>0x00000000551177b8  0x0000000055003818  0x00007a4ed0616c20       0         0         0  org.apache.catalina.loader.ParallelWebappClassLoader | 0x00000000551177b8  0x0000000055003818  0x00007a4e2c874460    4860  22727680  22709928  org.apache.catalina.loader.ParallelWebappClassLoader</x:v>
      </x:c>
      <x:c r="U609" s="36" t="n">
        <x:v>27</x:v>
      </x:c>
      <x:c r="V609" s="36" t="n">
        <x:v>0</x:v>
      </x:c>
      <x:c r="W609" s="44"/>
      <x:c r="X609" s="36"/>
      <x:c r="Y609" s="36"/>
      <x:c r="Z609" s="44"/>
      <x:c r="AA609" s="49"/>
      <x:c r="AB609" s="43"/>
      <x:c r="AC609" s="34" t="str">
        <x:v>article1-unified-v4-2-fb3f101b-20260903-000401-default-f03-p3-ehcache-5-baseline-heap-info.txt</x:v>
      </x:c>
      <x:c r="AD609" s="34" t="str">
        <x:v>article1-unified-v4-2-fb3f101b-20260903-000401-default-f03-p3-ehcache-5-baseline-classloader-stats.txt</x:v>
      </x:c>
      <x:c r="AE609" s="34" t="str">
        <x:v>article1-unified-v4-2-fb3f101b-20260903-000401-default-f03-p3-ehcache-5-baseline-thread-dump.txt</x:v>
      </x:c>
      <x:c r="AF609" s="34"/>
      <x:c r="AG609" s="34" t="str">
        <x:v>article1-unified-v4-2-fb3f101b-20260903-000401-default-f03-p3-ehcache-5-baseline-native-memory.txt</x:v>
      </x:c>
      <x:c r="AH609" s="34"/>
      <x:c r="AI609" s="34"/>
    </x:row>
    <x:row r="610">
      <x:c r="A610" s="34" t="str">
        <x:v>article1-unified-v4-2-fb3f101b-20260903-000401-default-f03-p3-ehcache</x:v>
      </x:c>
      <x:c r="B610" s="34" t="str">
        <x:v>default</x:v>
      </x:c>
      <x:c r="C610" s="34" t="str">
        <x:v>ehcache</x:v>
      </x:c>
      <x:c r="D610" s="34" t="str">
        <x:v>ehcache</x:v>
      </x:c>
      <x:c r="E610" s="36" t="n">
        <x:v>3</x:v>
      </x:c>
      <x:c r="F610" s="36" t="n">
        <x:v>3</x:v>
      </x:c>
      <x:c r="G610" s="36" t="n">
        <x:v>3</x:v>
      </x:c>
      <x:c r="H610" s="36" t="n">
        <x:v>5</x:v>
      </x:c>
      <x:c r="I610" s="34" t="str">
        <x:v>deployedIdle</x:v>
      </x:c>
      <x:c r="J610" s="34" t="str">
        <x:v>deployed-idle</x:v>
      </x:c>
      <x:c r="K610" s="36" t="n">
        <x:v>0</x:v>
      </x:c>
      <x:c r="L610" s="34" t="str">
        <x:v>initial</x:v>
      </x:c>
      <x:c r="M610" s="34" t="str">
        <x:v>article1-unified-v4-2-fb3f101b-20260903-000401-default-f03-p3-ehcache-5-deployed-idle</x:v>
      </x:c>
      <x:c r="N610" s="38" t="n">
        <x:v>46268.00707518518</x:v>
      </x:c>
      <x:c r="O610" s="36" t="n">
        <x:v>0</x:v>
      </x:c>
      <x:c r="P610" s="43" t="n">
        <x:v>166133760</x:v>
      </x:c>
      <x:c r="Q610" s="43" t="n">
        <x:v>268435456</x:v>
      </x:c>
      <x:c r="R610" s="43" t="n">
        <x:v>446117888</x:v>
      </x:c>
      <x:c r="S610" s="36" t="n">
        <x:v>3</x:v>
      </x:c>
      <x:c r="T610" s="44" t="str">
        <x:v>0x00000000551177b8  0x0000000055003818  0x00007a4ed0616c20       0         0         0  org.apache.catalina.loader.ParallelWebappClassLoader | 0x00000000551177b8  0x0000000055003818  0x00007a4dec306280    4091  19444736  19430296  org.apache.catalina.loader.ParallelWebappClassLoader | 0x00000000551177b8  0x0000000055003818  0x00007a4e2c874460    4860  22727680  22709928  org.apache.catalina.loader.ParallelWebappClassLoader</x:v>
      </x:c>
      <x:c r="U610" s="36" t="n">
        <x:v>27</x:v>
      </x:c>
      <x:c r="V610" s="36" t="n">
        <x:v>0</x:v>
      </x:c>
      <x:c r="W610" s="44"/>
      <x:c r="X610" s="36"/>
      <x:c r="Y610" s="36"/>
      <x:c r="Z610" s="44"/>
      <x:c r="AA610" s="49"/>
      <x:c r="AB610" s="43"/>
      <x:c r="AC610" s="34"/>
      <x:c r="AD610" s="34"/>
      <x:c r="AE610" s="34"/>
      <x:c r="AF610" s="34"/>
      <x:c r="AG610" s="34"/>
      <x:c r="AH610" s="34"/>
      <x:c r="AI610" s="34"/>
    </x:row>
    <x:row r="611">
      <x:c r="A611" s="34" t="str">
        <x:v>article1-unified-v4-2-fb3f101b-20260903-000401-default-f03-p3-ehcache</x:v>
      </x:c>
      <x:c r="B611" s="34" t="str">
        <x:v>default</x:v>
      </x:c>
      <x:c r="C611" s="34" t="str">
        <x:v>ehcache</x:v>
      </x:c>
      <x:c r="D611" s="34" t="str">
        <x:v>ehcache</x:v>
      </x:c>
      <x:c r="E611" s="36" t="n">
        <x:v>3</x:v>
      </x:c>
      <x:c r="F611" s="36" t="n">
        <x:v>3</x:v>
      </x:c>
      <x:c r="G611" s="36" t="n">
        <x:v>3</x:v>
      </x:c>
      <x:c r="H611" s="36" t="n">
        <x:v>5</x:v>
      </x:c>
      <x:c r="I611" s="34" t="str">
        <x:v>loaded</x:v>
      </x:c>
      <x:c r="J611" s="34" t="str">
        <x:v>loaded</x:v>
      </x:c>
      <x:c r="K611" s="36" t="n">
        <x:v>0</x:v>
      </x:c>
      <x:c r="L611" s="34" t="str">
        <x:v>initial</x:v>
      </x:c>
      <x:c r="M611" s="34" t="str">
        <x:v>article1-unified-v4-2-fb3f101b-20260903-000401-default-f03-p3-ehcache-5-loaded</x:v>
      </x:c>
      <x:c r="N611" s="38" t="n">
        <x:v>46268.00722142361</x:v>
      </x:c>
      <x:c r="O611" s="36" t="n">
        <x:v>0</x:v>
      </x:c>
      <x:c r="P611" s="43" t="n">
        <x:v>208928768</x:v>
      </x:c>
      <x:c r="Q611" s="43" t="n">
        <x:v>268435456</x:v>
      </x:c>
      <x:c r="R611" s="43" t="n">
        <x:v>449017856</x:v>
      </x:c>
      <x:c r="S611" s="36" t="n">
        <x:v>3</x:v>
      </x:c>
      <x:c r="T611" s="44" t="str">
        <x:v>0x00000000551177b8  0x0000000055003818  0x00007a4ed0616c20       0         0         0  org.apache.catalina.loader.ParallelWebappClassLoader | 0x00000000551177b8  0x0000000055003818  0x00007a4dec306280    4848  22672384  22656568  org.apache.catalina.loader.ParallelWebappClassLoader | 0x00000000551177b8  0x0000000055003818  0x00007a4e2c874460    4860  22727680  22709928  org.apache.catalina.loader.ParallelWebappClassLoader</x:v>
      </x:c>
      <x:c r="U611" s="36" t="n">
        <x:v>28</x:v>
      </x:c>
      <x:c r="V611" s="36" t="n">
        <x:v>0</x:v>
      </x:c>
      <x:c r="W611" s="44"/>
      <x:c r="X611" s="36"/>
      <x:c r="Y611" s="36"/>
      <x:c r="Z611" s="44"/>
      <x:c r="AA611" s="49"/>
      <x:c r="AB611" s="43"/>
      <x:c r="AC611" s="34"/>
      <x:c r="AD611" s="34"/>
      <x:c r="AE611" s="34"/>
      <x:c r="AF611" s="34"/>
      <x:c r="AG611" s="34"/>
      <x:c r="AH611" s="34"/>
      <x:c r="AI611" s="34"/>
    </x:row>
    <x:row r="612">
      <x:c r="A612" s="34" t="str">
        <x:v>article1-unified-v4-2-fb3f101b-20260903-000401-default-f03-p3-ehcache</x:v>
      </x:c>
      <x:c r="B612" s="34" t="str">
        <x:v>default</x:v>
      </x:c>
      <x:c r="C612" s="34" t="str">
        <x:v>ehcache</x:v>
      </x:c>
      <x:c r="D612" s="34" t="str">
        <x:v>ehcache</x:v>
      </x:c>
      <x:c r="E612" s="36" t="n">
        <x:v>3</x:v>
      </x:c>
      <x:c r="F612" s="36" t="n">
        <x:v>3</x:v>
      </x:c>
      <x:c r="G612" s="36" t="n">
        <x:v>3</x:v>
      </x:c>
      <x:c r="H612" s="36" t="n">
        <x:v>5</x:v>
      </x:c>
      <x:c r="I612" s="34" t="str">
        <x:v>afterUndeployEarly</x:v>
      </x:c>
      <x:c r="J612" s="34" t="str">
        <x:v>after-undeploy-early</x:v>
      </x:c>
      <x:c r="K612" s="36" t="n">
        <x:v>1</x:v>
      </x:c>
      <x:c r="L612" s="34" t="str">
        <x:v>early</x:v>
      </x:c>
      <x:c r="M612" s="34" t="str">
        <x:v>article1-unified-v4-2-fb3f101b-20260903-000401-default-f03-p3-ehcache-5-after-undeploy-early-2s</x:v>
      </x:c>
      <x:c r="N612" s="38" t="n">
        <x:v>46268.00730572917</x:v>
      </x:c>
      <x:c r="O612" s="36"/>
      <x:c r="P612" s="43"/>
      <x:c r="Q612" s="43"/>
      <x:c r="R612" s="43"/>
      <x:c r="S612" s="36"/>
      <x:c r="T612" s="44"/>
      <x:c r="U612" s="36" t="n">
        <x:v>27</x:v>
      </x:c>
      <x:c r="V612" s="36" t="n">
        <x:v>0</x:v>
      </x:c>
      <x:c r="W612" s="44"/>
      <x:c r="X612" s="36"/>
      <x:c r="Y612" s="36"/>
      <x:c r="Z612" s="44"/>
      <x:c r="AA612" s="49"/>
      <x:c r="AB612" s="43" t="n">
        <x:v>2</x:v>
      </x:c>
      <x:c r="AC612" s="34"/>
      <x:c r="AD612" s="34"/>
      <x:c r="AE612" s="34" t="str">
        <x:v>article1-unified-v4-2-fb3f101b-20260903-000401-default-f03-p3-ehcache-5-after-undeploy-early-2s-thread-dump.txt</x:v>
      </x:c>
      <x:c r="AF612" s="34" t="str">
        <x:v>article1-unified-v4-2-fb3f101b-20260903-000401-default-f03-p3-ehcache-5-after-undeploy-early-tomcat-log.txt</x:v>
      </x:c>
      <x:c r="AG612" s="34"/>
      <x:c r="AH612" s="34"/>
      <x:c r="AI612" s="34"/>
    </x:row>
    <x:row r="613">
      <x:c r="A613" s="34" t="str">
        <x:v>article1-unified-v4-2-fb3f101b-20260903-000401-default-f03-p3-ehcache</x:v>
      </x:c>
      <x:c r="B613" s="34" t="str">
        <x:v>default</x:v>
      </x:c>
      <x:c r="C613" s="34" t="str">
        <x:v>ehcache</x:v>
      </x:c>
      <x:c r="D613" s="34" t="str">
        <x:v>ehcache</x:v>
      </x:c>
      <x:c r="E613" s="36" t="n">
        <x:v>3</x:v>
      </x:c>
      <x:c r="F613" s="36" t="n">
        <x:v>3</x:v>
      </x:c>
      <x:c r="G613" s="36" t="n">
        <x:v>3</x:v>
      </x:c>
      <x:c r="H613" s="36" t="n">
        <x:v>5</x:v>
      </x:c>
      <x:c r="I613" s="34" t="str">
        <x:v>afterUndeploy</x:v>
      </x:c>
      <x:c r="J613" s="34" t="str">
        <x:v>after-undeploy-final</x:v>
      </x:c>
      <x:c r="K613" s="36" t="n">
        <x:v>1</x:v>
      </x:c>
      <x:c r="L613" s="34" t="str">
        <x:v>final</x:v>
      </x:c>
      <x:c r="M613" s="34" t="str">
        <x:v>article1-unified-v4-2-fb3f101b-20260903-000401-default-f03-p3-ehcache-5-after-undeploy-final-10s</x:v>
      </x:c>
      <x:c r="N613" s="38" t="n">
        <x:v>46268.00746385417</x:v>
      </x:c>
      <x:c r="O613" s="36" t="n">
        <x:v>2</x:v>
      </x:c>
      <x:c r="P613" s="43" t="n">
        <x:v>16017408</x:v>
      </x:c>
      <x:c r="Q613" s="43" t="n">
        <x:v>268435456</x:v>
      </x:c>
      <x:c r="R613" s="43" t="n">
        <x:v>427157504</x:v>
      </x:c>
      <x:c r="S613" s="36" t="n">
        <x:v>2</x:v>
      </x:c>
      <x:c r="T613" s="44" t="str">
        <x:v>0x00000000551177b8  0x0000000055003818  0x00007a4ed0616c20       0         0         0  org.apache.catalina.loader.ParallelWebappClassLoader | 0x00000000551177b8  0x0000000055003818  0x00007a4dec306280    4858  22721536  22702312  org.apache.catalina.loader.ParallelWebappClassLoader</x:v>
      </x:c>
      <x:c r="U613" s="36" t="n">
        <x:v>27</x:v>
      </x:c>
      <x:c r="V613" s="36" t="n">
        <x:v>0</x:v>
      </x:c>
      <x:c r="W613" s="44"/>
      <x:c r="X613" s="36" t="n">
        <x:v>1</x:v>
      </x:c>
      <x:c r="Y613" s="36" t="n">
        <x:v>1</x:v>
      </x:c>
      <x:c r="Z613" s="44" t="str">
        <x:v>/ehcache</x:v>
      </x:c>
      <x:c r="AA613" s="45" t="b">
        <x:v>1</x:v>
      </x:c>
      <x:c r="AB613" s="43"/>
      <x:c r="AC613" s="34" t="str">
        <x:v>article1-unified-v4-2-fb3f101b-20260903-000401-default-f03-p3-ehcache-5-after-undeploy-final-10s-heap-info.txt</x:v>
      </x:c>
      <x:c r="AD613" s="34" t="str">
        <x:v>article1-unified-v4-2-fb3f101b-20260903-000401-default-f03-p3-ehcache-5-after-undeploy-final-10s-classloader-stats.txt</x:v>
      </x:c>
      <x:c r="AE613" s="34" t="str">
        <x:v>article1-unified-v4-2-fb3f101b-20260903-000401-default-f03-p3-ehcache-5-after-undeploy-final-10s-thread-dump.txt</x:v>
      </x:c>
      <x:c r="AF613" s="34"/>
      <x:c r="AG613" s="34" t="str">
        <x:v>article1-unified-v4-2-fb3f101b-20260903-000401-default-f03-p3-ehcache-5-after-undeploy-final-10s-native-memory.txt</x:v>
      </x:c>
      <x:c r="AH613" s="34" t="str">
        <x:v>article1-unified-v4-2-fb3f101b-20260903-000401-default-f03-p3-ehcache-5-after-undeploy-final-10s-class-histogram.txt</x:v>
      </x:c>
      <x:c r="AI613" s="34" t="str">
        <x:v>article1-unified-v4-2-fb3f101b-20260903-000401-default-f03-p3-ehcache-5-after-undeploy-tomcat-findleaks.txt</x:v>
      </x:c>
    </x:row>
    <x:row r="614">
      <x:c r="A614" s="34" t="str">
        <x:v>article1-unified-v4-2-fb3f101b-20260903-000401-default-f03-p3-ehcache</x:v>
      </x:c>
      <x:c r="B614" s="34" t="str">
        <x:v>default</x:v>
      </x:c>
      <x:c r="C614" s="34" t="str">
        <x:v>ehcache</x:v>
      </x:c>
      <x:c r="D614" s="34" t="str">
        <x:v>ehcache</x:v>
      </x:c>
      <x:c r="E614" s="36" t="n">
        <x:v>3</x:v>
      </x:c>
      <x:c r="F614" s="36" t="n">
        <x:v>3</x:v>
      </x:c>
      <x:c r="G614" s="36" t="n">
        <x:v>3</x:v>
      </x:c>
      <x:c r="H614" s="36" t="n">
        <x:v>5</x:v>
      </x:c>
      <x:c r="I614" s="34" t="str">
        <x:v>redeployedLoaded</x:v>
      </x:c>
      <x:c r="J614" s="34" t="str">
        <x:v>redeployed-loaded</x:v>
      </x:c>
      <x:c r="K614" s="36" t="n">
        <x:v>0</x:v>
      </x:c>
      <x:c r="L614" s="34" t="str">
        <x:v>redeploy</x:v>
      </x:c>
      <x:c r="M614" s="34" t="str">
        <x:v>article1-unified-v4-2-fb3f101b-20260903-000401-default-f03-p3-ehcache-5-redeployed-loaded</x:v>
      </x:c>
      <x:c r="N614" s="38" t="n">
        <x:v>46268.00772070602</x:v>
      </x:c>
      <x:c r="O614" s="36" t="n">
        <x:v>0</x:v>
      </x:c>
      <x:c r="P614" s="43" t="n">
        <x:v>206330880</x:v>
      </x:c>
      <x:c r="Q614" s="43" t="n">
        <x:v>268435456</x:v>
      </x:c>
      <x:c r="R614" s="43" t="n">
        <x:v>454197248</x:v>
      </x:c>
      <x:c r="S614" s="36" t="n">
        <x:v>3</x:v>
      </x:c>
      <x:c r="T614" s="44" t="str">
        <x:v>0x00000000551177b8  0x0000000055003818  0x00007a4ddc1021c0    4852  22671360  22662088  org.apache.catalina.loader.ParallelWebappClassLoader | 0x00000000551177b8  0x0000000055003818  0x00007a4ed0616c20       0         0         0  org.apache.catalina.loader.ParallelWebappClassLoader | 0x00000000551177b8  0x0000000055003818  0x00007a4dec306280    4858  22721536  22702312  org.apache.catalina.loader.ParallelWebappClassLoader</x:v>
      </x:c>
      <x:c r="U614" s="36" t="n">
        <x:v>28</x:v>
      </x:c>
      <x:c r="V614" s="36" t="n">
        <x:v>0</x:v>
      </x:c>
      <x:c r="W614" s="44"/>
      <x:c r="X614" s="36"/>
      <x:c r="Y614" s="36"/>
      <x:c r="Z614" s="44"/>
      <x:c r="AA614" s="49"/>
      <x:c r="AB614" s="43"/>
      <x:c r="AC614" s="34"/>
      <x:c r="AD614" s="34"/>
      <x:c r="AE614" s="34"/>
      <x:c r="AF614" s="34"/>
      <x:c r="AG614" s="34"/>
      <x:c r="AH614" s="34"/>
      <x:c r="AI614" s="34"/>
    </x:row>
    <x:row r="615">
      <x:c r="A615" s="34" t="str">
        <x:v>article1-unified-v4-2-fb3f101b-20260903-000401-default-f03-p3-ehcache</x:v>
      </x:c>
      <x:c r="B615" s="34" t="str">
        <x:v>default</x:v>
      </x:c>
      <x:c r="C615" s="34" t="str">
        <x:v>ehcache</x:v>
      </x:c>
      <x:c r="D615" s="34" t="str">
        <x:v>ehcache</x:v>
      </x:c>
      <x:c r="E615" s="36" t="n">
        <x:v>3</x:v>
      </x:c>
      <x:c r="F615" s="36" t="n">
        <x:v>3</x:v>
      </x:c>
      <x:c r="G615" s="36" t="n">
        <x:v>3</x:v>
      </x:c>
      <x:c r="H615" s="36" t="n">
        <x:v>5</x:v>
      </x:c>
      <x:c r="I615" s="34" t="str">
        <x:v>afterFinalUndeployEarly</x:v>
      </x:c>
      <x:c r="J615" s="34" t="str">
        <x:v>after-final-undeploy-early</x:v>
      </x:c>
      <x:c r="K615" s="36" t="n">
        <x:v>2</x:v>
      </x:c>
      <x:c r="L615" s="34" t="str">
        <x:v>early</x:v>
      </x:c>
      <x:c r="M615" s="34" t="str">
        <x:v>article1-unified-v4-2-fb3f101b-20260903-000401-default-f03-p3-ehcache-5-after-final-undeploy-early-2s</x:v>
      </x:c>
      <x:c r="N615" s="38" t="n">
        <x:v>46268.00780359954</x:v>
      </x:c>
      <x:c r="O615" s="36"/>
      <x:c r="P615" s="43"/>
      <x:c r="Q615" s="43"/>
      <x:c r="R615" s="43"/>
      <x:c r="S615" s="36"/>
      <x:c r="T615" s="44"/>
      <x:c r="U615" s="36" t="n">
        <x:v>27</x:v>
      </x:c>
      <x:c r="V615" s="36" t="n">
        <x:v>0</x:v>
      </x:c>
      <x:c r="W615" s="44"/>
      <x:c r="X615" s="36"/>
      <x:c r="Y615" s="36"/>
      <x:c r="Z615" s="44"/>
      <x:c r="AA615" s="49"/>
      <x:c r="AB615" s="43" t="n">
        <x:v>2</x:v>
      </x:c>
      <x:c r="AC615" s="34"/>
      <x:c r="AD615" s="34"/>
      <x:c r="AE615" s="34" t="str">
        <x:v>article1-unified-v4-2-fb3f101b-20260903-000401-default-f03-p3-ehcache-5-after-final-undeploy-early-2s-thread-dump.txt</x:v>
      </x:c>
      <x:c r="AF615" s="34" t="str">
        <x:v>article1-unified-v4-2-fb3f101b-20260903-000401-default-f03-p3-ehcache-5-after-final-undeploy-early-tomcat-log.txt</x:v>
      </x:c>
      <x:c r="AG615" s="34"/>
      <x:c r="AH615" s="34"/>
      <x:c r="AI615" s="34"/>
    </x:row>
    <x:row r="616">
      <x:c r="A616" s="34" t="str">
        <x:v>article1-unified-v4-2-fb3f101b-20260903-000401-default-f03-p3-ehcache</x:v>
      </x:c>
      <x:c r="B616" s="34" t="str">
        <x:v>default</x:v>
      </x:c>
      <x:c r="C616" s="34" t="str">
        <x:v>ehcache</x:v>
      </x:c>
      <x:c r="D616" s="34" t="str">
        <x:v>ehcache</x:v>
      </x:c>
      <x:c r="E616" s="36" t="n">
        <x:v>3</x:v>
      </x:c>
      <x:c r="F616" s="36" t="n">
        <x:v>3</x:v>
      </x:c>
      <x:c r="G616" s="36" t="n">
        <x:v>3</x:v>
      </x:c>
      <x:c r="H616" s="36" t="n">
        <x:v>5</x:v>
      </x:c>
      <x:c r="I616" s="34" t="str">
        <x:v>afterFinalUndeploy</x:v>
      </x:c>
      <x:c r="J616" s="34" t="str">
        <x:v>after-final-undeploy-final</x:v>
      </x:c>
      <x:c r="K616" s="36" t="n">
        <x:v>2</x:v>
      </x:c>
      <x:c r="L616" s="34" t="str">
        <x:v>final</x:v>
      </x:c>
      <x:c r="M616" s="34" t="str">
        <x:v>article1-unified-v4-2-fb3f101b-20260903-000401-default-f03-p3-ehcache-5-after-final-undeploy-final-10s</x:v>
      </x:c>
      <x:c r="N616" s="38" t="n">
        <x:v>46268.00795609954</x:v>
      </x:c>
      <x:c r="O616" s="36" t="n">
        <x:v>2</x:v>
      </x:c>
      <x:c r="P616" s="43" t="n">
        <x:v>16030720</x:v>
      </x:c>
      <x:c r="Q616" s="43" t="n">
        <x:v>268435456</x:v>
      </x:c>
      <x:c r="R616" s="43" t="n">
        <x:v>431920128</x:v>
      </x:c>
      <x:c r="S616" s="36" t="n">
        <x:v>2</x:v>
      </x:c>
      <x:c r="T616" s="44" t="str">
        <x:v>0x00000000551177b8  0x0000000055003818  0x00007a4ed0616c20       0         0         0  org.apache.catalina.loader.ParallelWebappClassLoader | 0x00000000551177b8  0x0000000055003818  0x00007a4ddc1021c0    4862  22736896  22707840  org.apache.catalina.loader.ParallelWebappClassLoader</x:v>
      </x:c>
      <x:c r="U616" s="36" t="n">
        <x:v>27</x:v>
      </x:c>
      <x:c r="V616" s="36" t="n">
        <x:v>0</x:v>
      </x:c>
      <x:c r="W616" s="44"/>
      <x:c r="X616" s="36" t="n">
        <x:v>1</x:v>
      </x:c>
      <x:c r="Y616" s="36" t="n">
        <x:v>1</x:v>
      </x:c>
      <x:c r="Z616" s="44" t="str">
        <x:v>/ehcache</x:v>
      </x:c>
      <x:c r="AA616" s="45" t="b">
        <x:v>1</x:v>
      </x:c>
      <x:c r="AB616" s="43"/>
      <x:c r="AC616" s="34" t="str">
        <x:v>article1-unified-v4-2-fb3f101b-20260903-000401-default-f03-p3-ehcache-5-after-final-undeploy-final-10s-heap-info.txt</x:v>
      </x:c>
      <x:c r="AD616" s="34" t="str">
        <x:v>article1-unified-v4-2-fb3f101b-20260903-000401-default-f03-p3-ehcache-5-after-final-undeploy-final-10s-classloader-stats.txt</x:v>
      </x:c>
      <x:c r="AE616" s="34" t="str">
        <x:v>article1-unified-v4-2-fb3f101b-20260903-000401-default-f03-p3-ehcache-5-after-final-undeploy-final-10s-thread-dump.txt</x:v>
      </x:c>
      <x:c r="AF616" s="34"/>
      <x:c r="AG616" s="34" t="str">
        <x:v>article1-unified-v4-2-fb3f101b-20260903-000401-default-f03-p3-ehcache-5-after-final-undeploy-final-10s-native-memory.txt</x:v>
      </x:c>
      <x:c r="AH616" s="34" t="str">
        <x:v>article1-unified-v4-2-fb3f101b-20260903-000401-default-f03-p3-ehcache-5-after-final-undeploy-final-10s-class-histogram.txt</x:v>
      </x:c>
      <x:c r="AI616" s="34" t="str">
        <x:v>article1-unified-v4-2-fb3f101b-20260903-000401-default-f03-p3-ehcache-5-after-final-undeploy-tomcat-findleaks.txt</x:v>
      </x:c>
    </x:row>
    <x:row r="617">
      <x:c r="A617" s="34" t="str">
        <x:v>article1-unified-v4-2-fb3f101b-20260903-000401-default-f03-p4-jcs321</x:v>
      </x:c>
      <x:c r="B617" s="34" t="str">
        <x:v>default</x:v>
      </x:c>
      <x:c r="C617" s="34" t="str">
        <x:v>jcs321</x:v>
      </x:c>
      <x:c r="D617" s="34" t="str">
        <x:v>jcs321</x:v>
      </x:c>
      <x:c r="E617" s="36" t="n">
        <x:v>3</x:v>
      </x:c>
      <x:c r="F617" s="36" t="n">
        <x:v>3</x:v>
      </x:c>
      <x:c r="G617" s="36" t="n">
        <x:v>4</x:v>
      </x:c>
      <x:c r="H617" s="36" t="n">
        <x:v>0</x:v>
      </x:c>
      <x:c r="I617" s="34" t="str">
        <x:v>processBaseline</x:v>
      </x:c>
      <x:c r="J617" s="34" t="str">
        <x:v>process-baseline</x:v>
      </x:c>
      <x:c r="K617" s="36" t="n">
        <x:v>0</x:v>
      </x:c>
      <x:c r="L617" s="34" t="str">
        <x:v>baseline</x:v>
      </x:c>
      <x:c r="M617" s="34" t="str">
        <x:v>article1-unified-v4-2-fb3f101b-20260903-000401-default-f03-p4-jcs321-process-baseline</x:v>
      </x:c>
      <x:c r="N617" s="38" t="n">
        <x:v>46268.008199317126</x:v>
      </x:c>
      <x:c r="O617" s="36" t="n">
        <x:v>0</x:v>
      </x:c>
      <x:c r="P617" s="43" t="n">
        <x:v>32832512</x:v>
      </x:c>
      <x:c r="Q617" s="43" t="n">
        <x:v>270532608</x:v>
      </x:c>
      <x:c r="R617" s="43" t="n">
        <x:v>369261568</x:v>
      </x:c>
      <x:c r="S617" s="36" t="n">
        <x:v>1</x:v>
      </x:c>
      <x:c r="T617" s="44" t="str">
        <x:v>0x00000000081177b8  0x0000000008003818  0x000079f3f4615c70       0         0         0  org.apache.catalina.loader.ParallelWebappClassLoader</x:v>
      </x:c>
      <x:c r="U617" s="36" t="n">
        <x:v>27</x:v>
      </x:c>
      <x:c r="V617" s="36" t="n">
        <x:v>0</x:v>
      </x:c>
      <x:c r="W617" s="44"/>
      <x:c r="X617" s="36"/>
      <x:c r="Y617" s="36"/>
      <x:c r="Z617" s="44"/>
      <x:c r="AA617" s="49"/>
      <x:c r="AB617" s="43"/>
      <x:c r="AC617" s="34" t="str">
        <x:v>article1-unified-v4-2-fb3f101b-20260903-000401-default-f03-p4-jcs321-process-baseline-heap-info.txt</x:v>
      </x:c>
      <x:c r="AD617" s="34" t="str">
        <x:v>article1-unified-v4-2-fb3f101b-20260903-000401-default-f03-p4-jcs321-process-baseline-classloader-stats.txt</x:v>
      </x:c>
      <x:c r="AE617" s="34" t="str">
        <x:v>article1-unified-v4-2-fb3f101b-20260903-000401-default-f03-p4-jcs321-process-baseline-thread-dump.txt</x:v>
      </x:c>
      <x:c r="AF617" s="34"/>
      <x:c r="AG617" s="34" t="str">
        <x:v>article1-unified-v4-2-fb3f101b-20260903-000401-default-f03-p4-jcs321-process-baseline-native-memory.txt</x:v>
      </x:c>
      <x:c r="AH617" s="34"/>
      <x:c r="AI617" s="34"/>
    </x:row>
    <x:row r="618">
      <x:c r="A618" s="34" t="str">
        <x:v>article1-unified-v4-2-fb3f101b-20260903-000401-default-f03-p4-jcs321</x:v>
      </x:c>
      <x:c r="B618" s="34" t="str">
        <x:v>default</x:v>
      </x:c>
      <x:c r="C618" s="34" t="str">
        <x:v>jcs321</x:v>
      </x:c>
      <x:c r="D618" s="34" t="str">
        <x:v>jcs321</x:v>
      </x:c>
      <x:c r="E618" s="36" t="n">
        <x:v>3</x:v>
      </x:c>
      <x:c r="F618" s="36" t="n">
        <x:v>3</x:v>
      </x:c>
      <x:c r="G618" s="36" t="n">
        <x:v>4</x:v>
      </x:c>
      <x:c r="H618" s="36" t="n">
        <x:v>1</x:v>
      </x:c>
      <x:c r="I618" s="34" t="str">
        <x:v>baseline</x:v>
      </x:c>
      <x:c r="J618" s="34" t="str">
        <x:v>cycle-baseline</x:v>
      </x:c>
      <x:c r="K618" s="36" t="n">
        <x:v>0</x:v>
      </x:c>
      <x:c r="L618" s="34" t="str">
        <x:v>baseline</x:v>
      </x:c>
      <x:c r="M618" s="34" t="str">
        <x:v>article1-unified-v4-2-fb3f101b-20260903-000401-default-f03-p4-jcs321-1-baseline</x:v>
      </x:c>
      <x:c r="N618" s="38" t="n">
        <x:v>46268.00837614583</x:v>
      </x:c>
      <x:c r="O618" s="36" t="n">
        <x:v>0</x:v>
      </x:c>
      <x:c r="P618" s="43" t="n">
        <x:v>32832512</x:v>
      </x:c>
      <x:c r="Q618" s="43" t="n">
        <x:v>270532608</x:v>
      </x:c>
      <x:c r="R618" s="43" t="n">
        <x:v>369846272</x:v>
      </x:c>
      <x:c r="S618" s="36" t="n">
        <x:v>1</x:v>
      </x:c>
      <x:c r="T618" s="44" t="str">
        <x:v>0x00000000081177b8  0x0000000008003818  0x000079f3f4615c70       0         0         0  org.apache.catalina.loader.ParallelWebappClassLoader</x:v>
      </x:c>
      <x:c r="U618" s="36" t="n">
        <x:v>27</x:v>
      </x:c>
      <x:c r="V618" s="36" t="n">
        <x:v>0</x:v>
      </x:c>
      <x:c r="W618" s="44"/>
      <x:c r="X618" s="36"/>
      <x:c r="Y618" s="36"/>
      <x:c r="Z618" s="44"/>
      <x:c r="AA618" s="49"/>
      <x:c r="AB618" s="43"/>
      <x:c r="AC618" s="34" t="str">
        <x:v>article1-unified-v4-2-fb3f101b-20260903-000401-default-f03-p4-jcs321-1-baseline-heap-info.txt</x:v>
      </x:c>
      <x:c r="AD618" s="34" t="str">
        <x:v>article1-unified-v4-2-fb3f101b-20260903-000401-default-f03-p4-jcs321-1-baseline-classloader-stats.txt</x:v>
      </x:c>
      <x:c r="AE618" s="34" t="str">
        <x:v>article1-unified-v4-2-fb3f101b-20260903-000401-default-f03-p4-jcs321-1-baseline-thread-dump.txt</x:v>
      </x:c>
      <x:c r="AF618" s="34"/>
      <x:c r="AG618" s="34" t="str">
        <x:v>article1-unified-v4-2-fb3f101b-20260903-000401-default-f03-p4-jcs321-1-baseline-native-memory.txt</x:v>
      </x:c>
      <x:c r="AH618" s="34"/>
      <x:c r="AI618" s="34"/>
    </x:row>
    <x:row r="619">
      <x:c r="A619" s="34" t="str">
        <x:v>article1-unified-v4-2-fb3f101b-20260903-000401-default-f03-p4-jcs321</x:v>
      </x:c>
      <x:c r="B619" s="34" t="str">
        <x:v>default</x:v>
      </x:c>
      <x:c r="C619" s="34" t="str">
        <x:v>jcs321</x:v>
      </x:c>
      <x:c r="D619" s="34" t="str">
        <x:v>jcs321</x:v>
      </x:c>
      <x:c r="E619" s="36" t="n">
        <x:v>3</x:v>
      </x:c>
      <x:c r="F619" s="36" t="n">
        <x:v>3</x:v>
      </x:c>
      <x:c r="G619" s="36" t="n">
        <x:v>4</x:v>
      </x:c>
      <x:c r="H619" s="36" t="n">
        <x:v>1</x:v>
      </x:c>
      <x:c r="I619" s="34" t="str">
        <x:v>deployedIdle</x:v>
      </x:c>
      <x:c r="J619" s="34" t="str">
        <x:v>deployed-idle</x:v>
      </x:c>
      <x:c r="K619" s="36" t="n">
        <x:v>0</x:v>
      </x:c>
      <x:c r="L619" s="34" t="str">
        <x:v>initial</x:v>
      </x:c>
      <x:c r="M619" s="34" t="str">
        <x:v>article1-unified-v4-2-fb3f101b-20260903-000401-default-f03-p4-jcs321-1-deployed-idle</x:v>
      </x:c>
      <x:c r="N619" s="38" t="n">
        <x:v>46268.00848457176</x:v>
      </x:c>
      <x:c r="O619" s="36" t="n">
        <x:v>0</x:v>
      </x:c>
      <x:c r="P619" s="43" t="n">
        <x:v>22793216</x:v>
      </x:c>
      <x:c r="Q619" s="43" t="n">
        <x:v>268435456</x:v>
      </x:c>
      <x:c r="R619" s="43" t="n">
        <x:v>409273344</x:v>
      </x:c>
      <x:c r="S619" s="36" t="n">
        <x:v>2</x:v>
      </x:c>
      <x:c r="T619" s="44" t="str">
        <x:v>0x00000000081177b8  0x0000000008003818  0x000079f34c033c00    4091  19420160  19413360  org.apache.catalina.loader.ParallelWebappClassLoader | 0x00000000081177b8  0x0000000008003818  0x000079f3f4615c70       0         0         0  org.apache.catalina.loader.ParallelWebappClassLoader</x:v>
      </x:c>
      <x:c r="U619" s="36" t="n">
        <x:v>27</x:v>
      </x:c>
      <x:c r="V619" s="36" t="n">
        <x:v>0</x:v>
      </x:c>
      <x:c r="W619" s="44"/>
      <x:c r="X619" s="36"/>
      <x:c r="Y619" s="36"/>
      <x:c r="Z619" s="44"/>
      <x:c r="AA619" s="49"/>
      <x:c r="AB619" s="43"/>
      <x:c r="AC619" s="34"/>
      <x:c r="AD619" s="34"/>
      <x:c r="AE619" s="34"/>
      <x:c r="AF619" s="34"/>
      <x:c r="AG619" s="34"/>
      <x:c r="AH619" s="34"/>
      <x:c r="AI619" s="34"/>
    </x:row>
    <x:row r="620">
      <x:c r="A620" s="34" t="str">
        <x:v>article1-unified-v4-2-fb3f101b-20260903-000401-default-f03-p4-jcs321</x:v>
      </x:c>
      <x:c r="B620" s="34" t="str">
        <x:v>default</x:v>
      </x:c>
      <x:c r="C620" s="34" t="str">
        <x:v>jcs321</x:v>
      </x:c>
      <x:c r="D620" s="34" t="str">
        <x:v>jcs321</x:v>
      </x:c>
      <x:c r="E620" s="36" t="n">
        <x:v>3</x:v>
      </x:c>
      <x:c r="F620" s="36" t="n">
        <x:v>3</x:v>
      </x:c>
      <x:c r="G620" s="36" t="n">
        <x:v>4</x:v>
      </x:c>
      <x:c r="H620" s="36" t="n">
        <x:v>1</x:v>
      </x:c>
      <x:c r="I620" s="34" t="str">
        <x:v>loaded</x:v>
      </x:c>
      <x:c r="J620" s="34" t="str">
        <x:v>loaded</x:v>
      </x:c>
      <x:c r="K620" s="36" t="n">
        <x:v>0</x:v>
      </x:c>
      <x:c r="L620" s="34" t="str">
        <x:v>initial</x:v>
      </x:c>
      <x:c r="M620" s="34" t="str">
        <x:v>article1-unified-v4-2-fb3f101b-20260903-000401-default-f03-p4-jcs321-1-loaded</x:v>
      </x:c>
      <x:c r="N620" s="38" t="n">
        <x:v>46268.008632627316</x:v>
      </x:c>
      <x:c r="O620" s="36" t="n">
        <x:v>0</x:v>
      </x:c>
      <x:c r="P620" s="43" t="n">
        <x:v>137321472</x:v>
      </x:c>
      <x:c r="Q620" s="43" t="n">
        <x:v>268435456</x:v>
      </x:c>
      <x:c r="R620" s="43" t="n">
        <x:v>414726144</x:v>
      </x:c>
      <x:c r="S620" s="36" t="n">
        <x:v>2</x:v>
      </x:c>
      <x:c r="T620" s="44" t="str">
        <x:v>0x00000000081177b8  0x0000000008003818  0x000079f3f4615c70       0         0         0  org.apache.catalina.loader.ParallelWebappClassLoader | 0x00000000081177b8  0x0000000008003818  0x000079f34c033c00    4446  20978688  20963104  org.apache.catalina.loader.ParallelWebappClassLoader</x:v>
      </x:c>
      <x:c r="U620" s="36" t="n">
        <x:v>28</x:v>
      </x:c>
      <x:c r="V620" s="36" t="n">
        <x:v>1</x:v>
      </x:c>
      <x:c r="W620" s="44" t="str">
        <x:v>jcs3-element-event-queue:JCS-ElementEventQueue-Thread-4#49</x:v>
      </x:c>
      <x:c r="X620" s="36"/>
      <x:c r="Y620" s="36"/>
      <x:c r="Z620" s="44"/>
      <x:c r="AA620" s="49"/>
      <x:c r="AB620" s="43"/>
      <x:c r="AC620" s="34"/>
      <x:c r="AD620" s="34"/>
      <x:c r="AE620" s="34"/>
      <x:c r="AF620" s="34"/>
      <x:c r="AG620" s="34"/>
      <x:c r="AH620" s="34"/>
      <x:c r="AI620" s="34"/>
    </x:row>
    <x:row r="621">
      <x:c r="A621" s="34" t="str">
        <x:v>article1-unified-v4-2-fb3f101b-20260903-000401-default-f03-p4-jcs321</x:v>
      </x:c>
      <x:c r="B621" s="34" t="str">
        <x:v>default</x:v>
      </x:c>
      <x:c r="C621" s="34" t="str">
        <x:v>jcs321</x:v>
      </x:c>
      <x:c r="D621" s="34" t="str">
        <x:v>jcs321</x:v>
      </x:c>
      <x:c r="E621" s="36" t="n">
        <x:v>3</x:v>
      </x:c>
      <x:c r="F621" s="36" t="n">
        <x:v>3</x:v>
      </x:c>
      <x:c r="G621" s="36" t="n">
        <x:v>4</x:v>
      </x:c>
      <x:c r="H621" s="36" t="n">
        <x:v>1</x:v>
      </x:c>
      <x:c r="I621" s="34" t="str">
        <x:v>afterUndeployEarly</x:v>
      </x:c>
      <x:c r="J621" s="34" t="str">
        <x:v>after-undeploy-early</x:v>
      </x:c>
      <x:c r="K621" s="36" t="n">
        <x:v>1</x:v>
      </x:c>
      <x:c r="L621" s="34" t="str">
        <x:v>early</x:v>
      </x:c>
      <x:c r="M621" s="34" t="str">
        <x:v>article1-unified-v4-2-fb3f101b-20260903-000401-default-f03-p4-jcs321-1-after-undeploy-early-2s</x:v>
      </x:c>
      <x:c r="N621" s="38" t="n">
        <x:v>46268.00871599537</x:v>
      </x:c>
      <x:c r="O621" s="36"/>
      <x:c r="P621" s="43"/>
      <x:c r="Q621" s="43"/>
      <x:c r="R621" s="43"/>
      <x:c r="S621" s="36"/>
      <x:c r="T621" s="44"/>
      <x:c r="U621" s="36" t="n">
        <x:v>28</x:v>
      </x:c>
      <x:c r="V621" s="36" t="n">
        <x:v>1</x:v>
      </x:c>
      <x:c r="W621" s="44" t="str">
        <x:v>jcs3-element-event-queue:JCS-ElementEventQueue-Thread-4#49</x:v>
      </x:c>
      <x:c r="X621" s="36"/>
      <x:c r="Y621" s="36"/>
      <x:c r="Z621" s="44"/>
      <x:c r="AA621" s="49"/>
      <x:c r="AB621" s="43" t="n">
        <x:v>17</x:v>
      </x:c>
      <x:c r="AC621" s="34"/>
      <x:c r="AD621" s="34"/>
      <x:c r="AE621" s="34" t="str">
        <x:v>article1-unified-v4-2-fb3f101b-20260903-000401-default-f03-p4-jcs321-1-after-undeploy-early-2s-thread-dump.txt</x:v>
      </x:c>
      <x:c r="AF621" s="34" t="str">
        <x:v>article1-unified-v4-2-fb3f101b-20260903-000401-default-f03-p4-jcs321-1-after-undeploy-early-tomcat-log.txt</x:v>
      </x:c>
      <x:c r="AG621" s="34"/>
      <x:c r="AH621" s="34"/>
      <x:c r="AI621" s="34"/>
    </x:row>
    <x:row r="622">
      <x:c r="A622" s="34" t="str">
        <x:v>article1-unified-v4-2-fb3f101b-20260903-000401-default-f03-p4-jcs321</x:v>
      </x:c>
      <x:c r="B622" s="34" t="str">
        <x:v>default</x:v>
      </x:c>
      <x:c r="C622" s="34" t="str">
        <x:v>jcs321</x:v>
      </x:c>
      <x:c r="D622" s="34" t="str">
        <x:v>jcs321</x:v>
      </x:c>
      <x:c r="E622" s="36" t="n">
        <x:v>3</x:v>
      </x:c>
      <x:c r="F622" s="36" t="n">
        <x:v>3</x:v>
      </x:c>
      <x:c r="G622" s="36" t="n">
        <x:v>4</x:v>
      </x:c>
      <x:c r="H622" s="36" t="n">
        <x:v>1</x:v>
      </x:c>
      <x:c r="I622" s="34" t="str">
        <x:v>afterUndeploy</x:v>
      </x:c>
      <x:c r="J622" s="34" t="str">
        <x:v>after-undeploy-final</x:v>
      </x:c>
      <x:c r="K622" s="36" t="n">
        <x:v>1</x:v>
      </x:c>
      <x:c r="L622" s="34" t="str">
        <x:v>final</x:v>
      </x:c>
      <x:c r="M622" s="34" t="str">
        <x:v>article1-unified-v4-2-fb3f101b-20260903-000401-default-f03-p4-jcs321-1-after-undeploy-final-10s</x:v>
      </x:c>
      <x:c r="N622" s="38" t="n">
        <x:v>46268.00887788194</x:v>
      </x:c>
      <x:c r="O622" s="36" t="n">
        <x:v>2</x:v>
      </x:c>
      <x:c r="P622" s="43" t="n">
        <x:v>15708160</x:v>
      </x:c>
      <x:c r="Q622" s="43" t="n">
        <x:v>268435456</x:v>
      </x:c>
      <x:c r="R622" s="43" t="n">
        <x:v>409174016</x:v>
      </x:c>
      <x:c r="S622" s="36" t="n">
        <x:v>2</x:v>
      </x:c>
      <x:c r="T622" s="44" t="str">
        <x:v>0x00000000081177b8  0x0000000008003818  0x000079f3f4615c70       0         0         0  org.apache.catalina.loader.ParallelWebappClassLoader | 0x00000000081177b8  0x0000000008003818  0x000079f34c033c00    4460  21013504  20998040  org.apache.catalina.loader.ParallelWebappClassLoader</x:v>
      </x:c>
      <x:c r="U622" s="36" t="n">
        <x:v>28</x:v>
      </x:c>
      <x:c r="V622" s="36" t="n">
        <x:v>1</x:v>
      </x:c>
      <x:c r="W622" s="44" t="str">
        <x:v>jcs3-element-event-queue:JCS-ElementEventQueue-Thread-4#49</x:v>
      </x:c>
      <x:c r="X622" s="36" t="n">
        <x:v>1</x:v>
      </x:c>
      <x:c r="Y622" s="36" t="n">
        <x:v>1</x:v>
      </x:c>
      <x:c r="Z622" s="44" t="str">
        <x:v>/jcs321</x:v>
      </x:c>
      <x:c r="AA622" s="45" t="b">
        <x:v>1</x:v>
      </x:c>
      <x:c r="AB622" s="43"/>
      <x:c r="AC622" s="34" t="str">
        <x:v>article1-unified-v4-2-fb3f101b-20260903-000401-default-f03-p4-jcs321-1-after-undeploy-final-10s-heap-info.txt</x:v>
      </x:c>
      <x:c r="AD622" s="34" t="str">
        <x:v>article1-unified-v4-2-fb3f101b-20260903-000401-default-f03-p4-jcs321-1-after-undeploy-final-10s-classloader-stats.txt</x:v>
      </x:c>
      <x:c r="AE622" s="34" t="str">
        <x:v>article1-unified-v4-2-fb3f101b-20260903-000401-default-f03-p4-jcs321-1-after-undeploy-final-10s-thread-dump.txt</x:v>
      </x:c>
      <x:c r="AF622" s="34"/>
      <x:c r="AG622" s="34" t="str">
        <x:v>article1-unified-v4-2-fb3f101b-20260903-000401-default-f03-p4-jcs321-1-after-undeploy-final-10s-native-memory.txt</x:v>
      </x:c>
      <x:c r="AH622" s="34" t="str">
        <x:v>article1-unified-v4-2-fb3f101b-20260903-000401-default-f03-p4-jcs321-1-after-undeploy-final-10s-class-histogram.txt</x:v>
      </x:c>
      <x:c r="AI622" s="34" t="str">
        <x:v>article1-unified-v4-2-fb3f101b-20260903-000401-default-f03-p4-jcs321-1-after-undeploy-tomcat-findleaks.txt</x:v>
      </x:c>
    </x:row>
    <x:row r="623">
      <x:c r="A623" s="34" t="str">
        <x:v>article1-unified-v4-2-fb3f101b-20260903-000401-default-f03-p4-jcs321</x:v>
      </x:c>
      <x:c r="B623" s="34" t="str">
        <x:v>default</x:v>
      </x:c>
      <x:c r="C623" s="34" t="str">
        <x:v>jcs321</x:v>
      </x:c>
      <x:c r="D623" s="34" t="str">
        <x:v>jcs321</x:v>
      </x:c>
      <x:c r="E623" s="36" t="n">
        <x:v>3</x:v>
      </x:c>
      <x:c r="F623" s="36" t="n">
        <x:v>3</x:v>
      </x:c>
      <x:c r="G623" s="36" t="n">
        <x:v>4</x:v>
      </x:c>
      <x:c r="H623" s="36" t="n">
        <x:v>1</x:v>
      </x:c>
      <x:c r="I623" s="34" t="str">
        <x:v>redeployedLoaded</x:v>
      </x:c>
      <x:c r="J623" s="34" t="str">
        <x:v>redeployed-loaded</x:v>
      </x:c>
      <x:c r="K623" s="36" t="n">
        <x:v>0</x:v>
      </x:c>
      <x:c r="L623" s="34" t="str">
        <x:v>redeploy</x:v>
      </x:c>
      <x:c r="M623" s="34" t="str">
        <x:v>article1-unified-v4-2-fb3f101b-20260903-000401-default-f03-p4-jcs321-1-redeployed-loaded</x:v>
      </x:c>
      <x:c r="N623" s="38" t="n">
        <x:v>46268.00914822917</x:v>
      </x:c>
      <x:c r="O623" s="36" t="n">
        <x:v>0</x:v>
      </x:c>
      <x:c r="P623" s="43" t="n">
        <x:v>175632384</x:v>
      </x:c>
      <x:c r="Q623" s="43" t="n">
        <x:v>268435456</x:v>
      </x:c>
      <x:c r="R623" s="43" t="n">
        <x:v>438908928</x:v>
      </x:c>
      <x:c r="S623" s="36" t="n">
        <x:v>3</x:v>
      </x:c>
      <x:c r="T623" s="44" t="str">
        <x:v>0x00000000081177b8  0x0000000008003818  0x000079f3f4615c70       0         0         0  org.apache.catalina.loader.ParallelWebappClassLoader | 0x00000000081177b8  0x0000000008003818  0x000079f34c033c00    4460  21013504  20998040  org.apache.catalina.loader.ParallelWebappClassLoader | 0x00000000081177b8  0x0000000008003818  0x000079f36000e0b0    4441  21014528  21012320  org.apache.catalina.loader.ParallelWebappClassLoader</x:v>
      </x:c>
      <x:c r="U623" s="36" t="n">
        <x:v>29</x:v>
      </x:c>
      <x:c r="V623" s="36" t="n">
        <x:v>2</x:v>
      </x:c>
      <x:c r="W623" s="44" t="str">
        <x:v>jcs3-element-event-queue:JCS-ElementEventQueue-Thread-4#49 | jcs3-element-event-queue:JCS-ElementEventQueue-Thread-7#91</x:v>
      </x:c>
      <x:c r="X623" s="36"/>
      <x:c r="Y623" s="36"/>
      <x:c r="Z623" s="44"/>
      <x:c r="AA623" s="49"/>
      <x:c r="AB623" s="43"/>
      <x:c r="AC623" s="34"/>
      <x:c r="AD623" s="34"/>
      <x:c r="AE623" s="34"/>
      <x:c r="AF623" s="34"/>
      <x:c r="AG623" s="34"/>
      <x:c r="AH623" s="34"/>
      <x:c r="AI623" s="34"/>
    </x:row>
    <x:row r="624">
      <x:c r="A624" s="34" t="str">
        <x:v>article1-unified-v4-2-fb3f101b-20260903-000401-default-f03-p4-jcs321</x:v>
      </x:c>
      <x:c r="B624" s="34" t="str">
        <x:v>default</x:v>
      </x:c>
      <x:c r="C624" s="34" t="str">
        <x:v>jcs321</x:v>
      </x:c>
      <x:c r="D624" s="34" t="str">
        <x:v>jcs321</x:v>
      </x:c>
      <x:c r="E624" s="36" t="n">
        <x:v>3</x:v>
      </x:c>
      <x:c r="F624" s="36" t="n">
        <x:v>3</x:v>
      </x:c>
      <x:c r="G624" s="36" t="n">
        <x:v>4</x:v>
      </x:c>
      <x:c r="H624" s="36" t="n">
        <x:v>1</x:v>
      </x:c>
      <x:c r="I624" s="34" t="str">
        <x:v>afterFinalUndeployEarly</x:v>
      </x:c>
      <x:c r="J624" s="34" t="str">
        <x:v>after-final-undeploy-early</x:v>
      </x:c>
      <x:c r="K624" s="36" t="n">
        <x:v>2</x:v>
      </x:c>
      <x:c r="L624" s="34" t="str">
        <x:v>early</x:v>
      </x:c>
      <x:c r="M624" s="34" t="str">
        <x:v>article1-unified-v4-2-fb3f101b-20260903-000401-default-f03-p4-jcs321-1-after-final-undeploy-early-2s</x:v>
      </x:c>
      <x:c r="N624" s="38" t="n">
        <x:v>46268.00923019676</x:v>
      </x:c>
      <x:c r="O624" s="36"/>
      <x:c r="P624" s="43"/>
      <x:c r="Q624" s="43"/>
      <x:c r="R624" s="43"/>
      <x:c r="S624" s="36"/>
      <x:c r="T624" s="44"/>
      <x:c r="U624" s="36" t="n">
        <x:v>29</x:v>
      </x:c>
      <x:c r="V624" s="36" t="n">
        <x:v>2</x:v>
      </x:c>
      <x:c r="W624" s="44" t="str">
        <x:v>jcs3-element-event-queue:JCS-ElementEventQueue-Thread-4#49 | jcs3-element-event-queue:JCS-ElementEventQueue-Thread-7#91</x:v>
      </x:c>
      <x:c r="X624" s="36"/>
      <x:c r="Y624" s="36"/>
      <x:c r="Z624" s="44"/>
      <x:c r="AA624" s="49"/>
      <x:c r="AB624" s="43" t="n">
        <x:v>17</x:v>
      </x:c>
      <x:c r="AC624" s="34"/>
      <x:c r="AD624" s="34"/>
      <x:c r="AE624" s="34" t="str">
        <x:v>article1-unified-v4-2-fb3f101b-20260903-000401-default-f03-p4-jcs321-1-after-final-undeploy-early-2s-thread-dump.txt</x:v>
      </x:c>
      <x:c r="AF624" s="34" t="str">
        <x:v>article1-unified-v4-2-fb3f101b-20260903-000401-default-f03-p4-jcs321-1-after-final-undeploy-early-tomcat-log.txt</x:v>
      </x:c>
      <x:c r="AG624" s="34"/>
      <x:c r="AH624" s="34"/>
      <x:c r="AI624" s="34"/>
    </x:row>
    <x:row r="625">
      <x:c r="A625" s="34" t="str">
        <x:v>article1-unified-v4-2-fb3f101b-20260903-000401-default-f03-p4-jcs321</x:v>
      </x:c>
      <x:c r="B625" s="34" t="str">
        <x:v>default</x:v>
      </x:c>
      <x:c r="C625" s="34" t="str">
        <x:v>jcs321</x:v>
      </x:c>
      <x:c r="D625" s="34" t="str">
        <x:v>jcs321</x:v>
      </x:c>
      <x:c r="E625" s="36" t="n">
        <x:v>3</x:v>
      </x:c>
      <x:c r="F625" s="36" t="n">
        <x:v>3</x:v>
      </x:c>
      <x:c r="G625" s="36" t="n">
        <x:v>4</x:v>
      </x:c>
      <x:c r="H625" s="36" t="n">
        <x:v>1</x:v>
      </x:c>
      <x:c r="I625" s="34" t="str">
        <x:v>afterFinalUndeploy</x:v>
      </x:c>
      <x:c r="J625" s="34" t="str">
        <x:v>after-final-undeploy-final</x:v>
      </x:c>
      <x:c r="K625" s="36" t="n">
        <x:v>2</x:v>
      </x:c>
      <x:c r="L625" s="34" t="str">
        <x:v>final</x:v>
      </x:c>
      <x:c r="M625" s="34" t="str">
        <x:v>article1-unified-v4-2-fb3f101b-20260903-000401-default-f03-p4-jcs321-1-after-final-undeploy-final-10s</x:v>
      </x:c>
      <x:c r="N625" s="38" t="n">
        <x:v>46268.009393113425</x:v>
      </x:c>
      <x:c r="O625" s="36" t="n">
        <x:v>2</x:v>
      </x:c>
      <x:c r="P625" s="43" t="n">
        <x:v>19836928</x:v>
      </x:c>
      <x:c r="Q625" s="43" t="n">
        <x:v>268435456</x:v>
      </x:c>
      <x:c r="R625" s="43" t="n">
        <x:v>435744768</x:v>
      </x:c>
      <x:c r="S625" s="36" t="n">
        <x:v>3</x:v>
      </x:c>
      <x:c r="T625" s="44" t="str">
        <x:v>0x00000000081177b8  0x0000000008003818  0x000079f3f4615c70       0         0         0  org.apache.catalina.loader.ParallelWebappClassLoader | 0x00000000081177b8  0x0000000008003818  0x000079f36000e0b0    4455  21066752  21047240  org.apache.catalina.loader.ParallelWebappClassLoader | 0x00000000081177b8  0x0000000008003818  0x000079f34c033c00    4460  21013504  20998040  org.apache.catalina.loader.ParallelWebappClassLoader</x:v>
      </x:c>
      <x:c r="U625" s="36" t="n">
        <x:v>29</x:v>
      </x:c>
      <x:c r="V625" s="36" t="n">
        <x:v>2</x:v>
      </x:c>
      <x:c r="W625" s="44" t="str">
        <x:v>jcs3-element-event-queue:JCS-ElementEventQueue-Thread-4#49 | jcs3-element-event-queue:JCS-ElementEventQueue-Thread-7#91</x:v>
      </x:c>
      <x:c r="X625" s="36" t="n">
        <x:v>2</x:v>
      </x:c>
      <x:c r="Y625" s="36" t="n">
        <x:v>2</x:v>
      </x:c>
      <x:c r="Z625" s="44" t="str">
        <x:v>/jcs321</x:v>
      </x:c>
      <x:c r="AA625" s="45" t="b">
        <x:v>1</x:v>
      </x:c>
      <x:c r="AB625" s="43"/>
      <x:c r="AC625" s="34" t="str">
        <x:v>article1-unified-v4-2-fb3f101b-20260903-000401-default-f03-p4-jcs321-1-after-final-undeploy-final-10s-heap-info.txt</x:v>
      </x:c>
      <x:c r="AD625" s="34" t="str">
        <x:v>article1-unified-v4-2-fb3f101b-20260903-000401-default-f03-p4-jcs321-1-after-final-undeploy-final-10s-classloader-stats.txt</x:v>
      </x:c>
      <x:c r="AE625" s="34" t="str">
        <x:v>article1-unified-v4-2-fb3f101b-20260903-000401-default-f03-p4-jcs321-1-after-final-undeploy-final-10s-thread-dump.txt</x:v>
      </x:c>
      <x:c r="AF625" s="34"/>
      <x:c r="AG625" s="34" t="str">
        <x:v>article1-unified-v4-2-fb3f101b-20260903-000401-default-f03-p4-jcs321-1-after-final-undeploy-final-10s-native-memory.txt</x:v>
      </x:c>
      <x:c r="AH625" s="34" t="str">
        <x:v>article1-unified-v4-2-fb3f101b-20260903-000401-default-f03-p4-jcs321-1-after-final-undeploy-final-10s-class-histogram.txt</x:v>
      </x:c>
      <x:c r="AI625" s="34" t="str">
        <x:v>article1-unified-v4-2-fb3f101b-20260903-000401-default-f03-p4-jcs321-1-after-final-undeploy-tomcat-findleaks.txt</x:v>
      </x:c>
    </x:row>
    <x:row r="626">
      <x:c r="A626" s="34" t="str">
        <x:v>article1-unified-v4-2-fb3f101b-20260903-000401-default-f03-p4-jcs321</x:v>
      </x:c>
      <x:c r="B626" s="34" t="str">
        <x:v>default</x:v>
      </x:c>
      <x:c r="C626" s="34" t="str">
        <x:v>jcs321</x:v>
      </x:c>
      <x:c r="D626" s="34" t="str">
        <x:v>jcs321</x:v>
      </x:c>
      <x:c r="E626" s="36" t="n">
        <x:v>3</x:v>
      </x:c>
      <x:c r="F626" s="36" t="n">
        <x:v>3</x:v>
      </x:c>
      <x:c r="G626" s="36" t="n">
        <x:v>4</x:v>
      </x:c>
      <x:c r="H626" s="36" t="n">
        <x:v>2</x:v>
      </x:c>
      <x:c r="I626" s="34" t="str">
        <x:v>baseline</x:v>
      </x:c>
      <x:c r="J626" s="34" t="str">
        <x:v>cycle-baseline</x:v>
      </x:c>
      <x:c r="K626" s="36" t="n">
        <x:v>0</x:v>
      </x:c>
      <x:c r="L626" s="34" t="str">
        <x:v>baseline</x:v>
      </x:c>
      <x:c r="M626" s="34" t="str">
        <x:v>article1-unified-v4-2-fb3f101b-20260903-000401-default-f03-p4-jcs321-2-baseline</x:v>
      </x:c>
      <x:c r="N626" s="38" t="n">
        <x:v>46268.00943116898</x:v>
      </x:c>
      <x:c r="O626" s="36" t="n">
        <x:v>0</x:v>
      </x:c>
      <x:c r="P626" s="43" t="n">
        <x:v>19836928</x:v>
      </x:c>
      <x:c r="Q626" s="43" t="n">
        <x:v>268435456</x:v>
      </x:c>
      <x:c r="R626" s="43" t="n">
        <x:v>435811328</x:v>
      </x:c>
      <x:c r="S626" s="36" t="n">
        <x:v>3</x:v>
      </x:c>
      <x:c r="T626" s="44" t="str">
        <x:v>0x00000000081177b8  0x0000000008003818  0x000079f3f4615c70       0         0         0  org.apache.catalina.loader.ParallelWebappClassLoader | 0x00000000081177b8  0x0000000008003818  0x000079f36000e0b0    4455  21066752  21047240  org.apache.catalina.loader.ParallelWebappClassLoader | 0x00000000081177b8  0x0000000008003818  0x000079f34c033c00    4460  21013504  20998040  org.apache.catalina.loader.ParallelWebappClassLoader</x:v>
      </x:c>
      <x:c r="U626" s="36" t="n">
        <x:v>29</x:v>
      </x:c>
      <x:c r="V626" s="36" t="n">
        <x:v>2</x:v>
      </x:c>
      <x:c r="W626" s="44" t="str">
        <x:v>jcs3-element-event-queue:JCS-ElementEventQueue-Thread-4#49 | jcs3-element-event-queue:JCS-ElementEventQueue-Thread-7#91</x:v>
      </x:c>
      <x:c r="X626" s="36"/>
      <x:c r="Y626" s="36"/>
      <x:c r="Z626" s="44"/>
      <x:c r="AA626" s="49"/>
      <x:c r="AB626" s="43"/>
      <x:c r="AC626" s="34" t="str">
        <x:v>article1-unified-v4-2-fb3f101b-20260903-000401-default-f03-p4-jcs321-2-baseline-heap-info.txt</x:v>
      </x:c>
      <x:c r="AD626" s="34" t="str">
        <x:v>article1-unified-v4-2-fb3f101b-20260903-000401-default-f03-p4-jcs321-2-baseline-classloader-stats.txt</x:v>
      </x:c>
      <x:c r="AE626" s="34" t="str">
        <x:v>article1-unified-v4-2-fb3f101b-20260903-000401-default-f03-p4-jcs321-2-baseline-thread-dump.txt</x:v>
      </x:c>
      <x:c r="AF626" s="34"/>
      <x:c r="AG626" s="34" t="str">
        <x:v>article1-unified-v4-2-fb3f101b-20260903-000401-default-f03-p4-jcs321-2-baseline-native-memory.txt</x:v>
      </x:c>
      <x:c r="AH626" s="34"/>
      <x:c r="AI626" s="34"/>
    </x:row>
    <x:row r="627">
      <x:c r="A627" s="34" t="str">
        <x:v>article1-unified-v4-2-fb3f101b-20260903-000401-default-f03-p4-jcs321</x:v>
      </x:c>
      <x:c r="B627" s="34" t="str">
        <x:v>default</x:v>
      </x:c>
      <x:c r="C627" s="34" t="str">
        <x:v>jcs321</x:v>
      </x:c>
      <x:c r="D627" s="34" t="str">
        <x:v>jcs321</x:v>
      </x:c>
      <x:c r="E627" s="36" t="n">
        <x:v>3</x:v>
      </x:c>
      <x:c r="F627" s="36" t="n">
        <x:v>3</x:v>
      </x:c>
      <x:c r="G627" s="36" t="n">
        <x:v>4</x:v>
      </x:c>
      <x:c r="H627" s="36" t="n">
        <x:v>2</x:v>
      </x:c>
      <x:c r="I627" s="34" t="str">
        <x:v>deployedIdle</x:v>
      </x:c>
      <x:c r="J627" s="34" t="str">
        <x:v>deployed-idle</x:v>
      </x:c>
      <x:c r="K627" s="36" t="n">
        <x:v>0</x:v>
      </x:c>
      <x:c r="L627" s="34" t="str">
        <x:v>initial</x:v>
      </x:c>
      <x:c r="M627" s="34" t="str">
        <x:v>article1-unified-v4-2-fb3f101b-20260903-000401-default-f03-p4-jcs321-2-deployed-idle</x:v>
      </x:c>
      <x:c r="N627" s="38" t="n">
        <x:v>46268.00953116898</x:v>
      </x:c>
      <x:c r="O627" s="36" t="n">
        <x:v>0</x:v>
      </x:c>
      <x:c r="P627" s="43" t="n">
        <x:v>171021312</x:v>
      </x:c>
      <x:c r="Q627" s="43" t="n">
        <x:v>268435456</x:v>
      </x:c>
      <x:c r="R627" s="43" t="n">
        <x:v>477499392</x:v>
      </x:c>
      <x:c r="S627" s="36" t="n">
        <x:v>4</x:v>
      </x:c>
      <x:c r="T627" s="44" t="str">
        <x:v>0x00000000081177b8  0x0000000008003818  0x000079f3f4615c70       0         0         0  org.apache.catalina.loader.ParallelWebappClassLoader | 0x00000000081177b8  0x0000000008003818  0x000079f36800d780    4091  19426304  19413688  org.apache.catalina.loader.ParallelWebappClassLoader | 0x00000000081177b8  0x0000000008003818  0x000079f36000e0b0    4455  21066752  21047240  org.apache.catalina.loader.ParallelWebappClassLoader | 0x00000000081177b8  0x0000000008003818  0x000079f34c033c00    4460  21013504  20998040  org.apache.catalina.loader.ParallelWebappClassLoader</x:v>
      </x:c>
      <x:c r="U627" s="36" t="n">
        <x:v>30</x:v>
      </x:c>
      <x:c r="V627" s="36" t="n">
        <x:v>2</x:v>
      </x:c>
      <x:c r="W627" s="44" t="str">
        <x:v>jcs3-element-event-queue:JCS-ElementEventQueue-Thread-4#49 | jcs3-element-event-queue:JCS-ElementEventQueue-Thread-7#91</x:v>
      </x:c>
      <x:c r="X627" s="36"/>
      <x:c r="Y627" s="36"/>
      <x:c r="Z627" s="44"/>
      <x:c r="AA627" s="49"/>
      <x:c r="AB627" s="43"/>
      <x:c r="AC627" s="34"/>
      <x:c r="AD627" s="34"/>
      <x:c r="AE627" s="34"/>
      <x:c r="AF627" s="34"/>
      <x:c r="AG627" s="34"/>
      <x:c r="AH627" s="34"/>
      <x:c r="AI627" s="34"/>
    </x:row>
    <x:row r="628">
      <x:c r="A628" s="34" t="str">
        <x:v>article1-unified-v4-2-fb3f101b-20260903-000401-default-f03-p4-jcs321</x:v>
      </x:c>
      <x:c r="B628" s="34" t="str">
        <x:v>default</x:v>
      </x:c>
      <x:c r="C628" s="34" t="str">
        <x:v>jcs321</x:v>
      </x:c>
      <x:c r="D628" s="34" t="str">
        <x:v>jcs321</x:v>
      </x:c>
      <x:c r="E628" s="36" t="n">
        <x:v>3</x:v>
      </x:c>
      <x:c r="F628" s="36" t="n">
        <x:v>3</x:v>
      </x:c>
      <x:c r="G628" s="36" t="n">
        <x:v>4</x:v>
      </x:c>
      <x:c r="H628" s="36" t="n">
        <x:v>2</x:v>
      </x:c>
      <x:c r="I628" s="34" t="str">
        <x:v>loaded</x:v>
      </x:c>
      <x:c r="J628" s="34" t="str">
        <x:v>loaded</x:v>
      </x:c>
      <x:c r="K628" s="36" t="n">
        <x:v>0</x:v>
      </x:c>
      <x:c r="L628" s="34" t="str">
        <x:v>initial</x:v>
      </x:c>
      <x:c r="M628" s="34" t="str">
        <x:v>article1-unified-v4-2-fb3f101b-20260903-000401-default-f03-p4-jcs321-2-loaded</x:v>
      </x:c>
      <x:c r="N628" s="38" t="n">
        <x:v>46268.009679305556</x:v>
      </x:c>
      <x:c r="O628" s="36" t="n">
        <x:v>0</x:v>
      </x:c>
      <x:c r="P628" s="43" t="n">
        <x:v>131968000</x:v>
      </x:c>
      <x:c r="Q628" s="43" t="n">
        <x:v>268435456</x:v>
      </x:c>
      <x:c r="R628" s="43" t="n">
        <x:v>462976000</x:v>
      </x:c>
      <x:c r="S628" s="36" t="n">
        <x:v>4</x:v>
      </x:c>
      <x:c r="T628" s="44" t="str">
        <x:v>0x00000000081177b8  0x0000000008003818  0x000079f3f4615c70       0         0         0  org.apache.catalina.loader.ParallelWebappClassLoader | 0x00000000081177b8  0x0000000008003818  0x000079f36800d780    4414  20982784  20961632  org.apache.catalina.loader.ParallelWebappClassLoader | 0x00000000081177b8  0x0000000008003818  0x000079f36000e0b0    4455  21066752  21047240  org.apache.catalina.loader.ParallelWebappClassLoader | 0x00000000081177b8  0x0000000008003818  0x000079f34c033c00    4460  21013504  20998040  org.apache.catalina.loader.ParallelWebappClassLoader</x:v>
      </x:c>
      <x:c r="U628" s="36" t="n">
        <x:v>30</x:v>
      </x:c>
      <x:c r="V628" s="36" t="n">
        <x:v>3</x:v>
      </x:c>
      <x:c r="W628" s="44" t="str">
        <x:v>jcs3-element-event-queue:JCS-ElementEventQueue-Thread-4#49 | jcs3-element-event-queue:JCS-ElementEventQueue-Thread-7#91 | jcs3-element-event-queue:JCS-ElementEventQueue-Thread-10#133</x:v>
      </x:c>
      <x:c r="X628" s="36"/>
      <x:c r="Y628" s="36"/>
      <x:c r="Z628" s="44"/>
      <x:c r="AA628" s="49"/>
      <x:c r="AB628" s="43"/>
      <x:c r="AC628" s="34"/>
      <x:c r="AD628" s="34"/>
      <x:c r="AE628" s="34"/>
      <x:c r="AF628" s="34"/>
      <x:c r="AG628" s="34"/>
      <x:c r="AH628" s="34"/>
      <x:c r="AI628" s="34"/>
    </x:row>
    <x:row r="629">
      <x:c r="A629" s="34" t="str">
        <x:v>article1-unified-v4-2-fb3f101b-20260903-000401-default-f03-p4-jcs321</x:v>
      </x:c>
      <x:c r="B629" s="34" t="str">
        <x:v>default</x:v>
      </x:c>
      <x:c r="C629" s="34" t="str">
        <x:v>jcs321</x:v>
      </x:c>
      <x:c r="D629" s="34" t="str">
        <x:v>jcs321</x:v>
      </x:c>
      <x:c r="E629" s="36" t="n">
        <x:v>3</x:v>
      </x:c>
      <x:c r="F629" s="36" t="n">
        <x:v>3</x:v>
      </x:c>
      <x:c r="G629" s="36" t="n">
        <x:v>4</x:v>
      </x:c>
      <x:c r="H629" s="36" t="n">
        <x:v>2</x:v>
      </x:c>
      <x:c r="I629" s="34" t="str">
        <x:v>afterUndeployEarly</x:v>
      </x:c>
      <x:c r="J629" s="34" t="str">
        <x:v>after-undeploy-early</x:v>
      </x:c>
      <x:c r="K629" s="36" t="n">
        <x:v>1</x:v>
      </x:c>
      <x:c r="L629" s="34" t="str">
        <x:v>early</x:v>
      </x:c>
      <x:c r="M629" s="34" t="str">
        <x:v>article1-unified-v4-2-fb3f101b-20260903-000401-default-f03-p4-jcs321-2-after-undeploy-early-2s</x:v>
      </x:c>
      <x:c r="N629" s="38" t="n">
        <x:v>46268.00976107639</x:v>
      </x:c>
      <x:c r="O629" s="36"/>
      <x:c r="P629" s="43"/>
      <x:c r="Q629" s="43"/>
      <x:c r="R629" s="43"/>
      <x:c r="S629" s="36"/>
      <x:c r="T629" s="44"/>
      <x:c r="U629" s="36" t="n">
        <x:v>30</x:v>
      </x:c>
      <x:c r="V629" s="36" t="n">
        <x:v>3</x:v>
      </x:c>
      <x:c r="W629" s="44" t="str">
        <x:v>jcs3-element-event-queue:JCS-ElementEventQueue-Thread-4#49 | jcs3-element-event-queue:JCS-ElementEventQueue-Thread-7#91 | jcs3-element-event-queue:JCS-ElementEventQueue-Thread-10#133</x:v>
      </x:c>
      <x:c r="X629" s="36"/>
      <x:c r="Y629" s="36"/>
      <x:c r="Z629" s="44"/>
      <x:c r="AA629" s="49"/>
      <x:c r="AB629" s="43" t="n">
        <x:v>17</x:v>
      </x:c>
      <x:c r="AC629" s="34"/>
      <x:c r="AD629" s="34"/>
      <x:c r="AE629" s="34" t="str">
        <x:v>article1-unified-v4-2-fb3f101b-20260903-000401-default-f03-p4-jcs321-2-after-undeploy-early-2s-thread-dump.txt</x:v>
      </x:c>
      <x:c r="AF629" s="34" t="str">
        <x:v>article1-unified-v4-2-fb3f101b-20260903-000401-default-f03-p4-jcs321-2-after-undeploy-early-tomcat-log.txt</x:v>
      </x:c>
      <x:c r="AG629" s="34"/>
      <x:c r="AH629" s="34"/>
      <x:c r="AI629" s="34"/>
    </x:row>
    <x:row r="630">
      <x:c r="A630" s="34" t="str">
        <x:v>article1-unified-v4-2-fb3f101b-20260903-000401-default-f03-p4-jcs321</x:v>
      </x:c>
      <x:c r="B630" s="34" t="str">
        <x:v>default</x:v>
      </x:c>
      <x:c r="C630" s="34" t="str">
        <x:v>jcs321</x:v>
      </x:c>
      <x:c r="D630" s="34" t="str">
        <x:v>jcs321</x:v>
      </x:c>
      <x:c r="E630" s="36" t="n">
        <x:v>3</x:v>
      </x:c>
      <x:c r="F630" s="36" t="n">
        <x:v>3</x:v>
      </x:c>
      <x:c r="G630" s="36" t="n">
        <x:v>4</x:v>
      </x:c>
      <x:c r="H630" s="36" t="n">
        <x:v>2</x:v>
      </x:c>
      <x:c r="I630" s="34" t="str">
        <x:v>afterUndeploy</x:v>
      </x:c>
      <x:c r="J630" s="34" t="str">
        <x:v>after-undeploy-final</x:v>
      </x:c>
      <x:c r="K630" s="36" t="n">
        <x:v>1</x:v>
      </x:c>
      <x:c r="L630" s="34" t="str">
        <x:v>final</x:v>
      </x:c>
      <x:c r="M630" s="34" t="str">
        <x:v>article1-unified-v4-2-fb3f101b-20260903-000401-default-f03-p4-jcs321-2-after-undeploy-final-10s</x:v>
      </x:c>
      <x:c r="N630" s="38" t="n">
        <x:v>46268.009915208335</x:v>
      </x:c>
      <x:c r="O630" s="36" t="n">
        <x:v>2</x:v>
      </x:c>
      <x:c r="P630" s="43" t="n">
        <x:v>23982080</x:v>
      </x:c>
      <x:c r="Q630" s="43" t="n">
        <x:v>268435456</x:v>
      </x:c>
      <x:c r="R630" s="43" t="n">
        <x:v>462741504</x:v>
      </x:c>
      <x:c r="S630" s="36" t="n">
        <x:v>4</x:v>
      </x:c>
      <x:c r="T630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0x000079f34c033c00    4460  21013504  20998040  org.apache.catalina.loader.ParallelWebappClassLoader</x:v>
      </x:c>
      <x:c r="U630" s="36" t="n">
        <x:v>30</x:v>
      </x:c>
      <x:c r="V630" s="36" t="n">
        <x:v>3</x:v>
      </x:c>
      <x:c r="W630" s="44" t="str">
        <x:v>jcs3-element-event-queue:JCS-ElementEventQueue-Thread-4#49 | jcs3-element-event-queue:JCS-ElementEventQueue-Thread-7#91 | jcs3-element-event-queue:JCS-ElementEventQueue-Thread-10#133</x:v>
      </x:c>
      <x:c r="X630" s="36" t="n">
        <x:v>3</x:v>
      </x:c>
      <x:c r="Y630" s="36" t="n">
        <x:v>3</x:v>
      </x:c>
      <x:c r="Z630" s="44" t="str">
        <x:v>/jcs321</x:v>
      </x:c>
      <x:c r="AA630" s="45" t="b">
        <x:v>1</x:v>
      </x:c>
      <x:c r="AB630" s="43"/>
      <x:c r="AC630" s="34" t="str">
        <x:v>article1-unified-v4-2-fb3f101b-20260903-000401-default-f03-p4-jcs321-2-after-undeploy-final-10s-heap-info.txt</x:v>
      </x:c>
      <x:c r="AD630" s="34" t="str">
        <x:v>article1-unified-v4-2-fb3f101b-20260903-000401-default-f03-p4-jcs321-2-after-undeploy-final-10s-classloader-stats.txt</x:v>
      </x:c>
      <x:c r="AE630" s="34" t="str">
        <x:v>article1-unified-v4-2-fb3f101b-20260903-000401-default-f03-p4-jcs321-2-after-undeploy-final-10s-thread-dump.txt</x:v>
      </x:c>
      <x:c r="AF630" s="34"/>
      <x:c r="AG630" s="34" t="str">
        <x:v>article1-unified-v4-2-fb3f101b-20260903-000401-default-f03-p4-jcs321-2-after-undeploy-final-10s-native-memory.txt</x:v>
      </x:c>
      <x:c r="AH630" s="34" t="str">
        <x:v>article1-unified-v4-2-fb3f101b-20260903-000401-default-f03-p4-jcs321-2-after-undeploy-final-10s-class-histogram.txt</x:v>
      </x:c>
      <x:c r="AI630" s="34" t="str">
        <x:v>article1-unified-v4-2-fb3f101b-20260903-000401-default-f03-p4-jcs321-2-after-undeploy-tomcat-findleaks.txt</x:v>
      </x:c>
    </x:row>
    <x:row r="631">
      <x:c r="A631" s="34" t="str">
        <x:v>article1-unified-v4-2-fb3f101b-20260903-000401-default-f03-p4-jcs321</x:v>
      </x:c>
      <x:c r="B631" s="34" t="str">
        <x:v>default</x:v>
      </x:c>
      <x:c r="C631" s="34" t="str">
        <x:v>jcs321</x:v>
      </x:c>
      <x:c r="D631" s="34" t="str">
        <x:v>jcs321</x:v>
      </x:c>
      <x:c r="E631" s="36" t="n">
        <x:v>3</x:v>
      </x:c>
      <x:c r="F631" s="36" t="n">
        <x:v>3</x:v>
      </x:c>
      <x:c r="G631" s="36" t="n">
        <x:v>4</x:v>
      </x:c>
      <x:c r="H631" s="36" t="n">
        <x:v>2</x:v>
      </x:c>
      <x:c r="I631" s="34" t="str">
        <x:v>redeployedLoaded</x:v>
      </x:c>
      <x:c r="J631" s="34" t="str">
        <x:v>redeployed-loaded</x:v>
      </x:c>
      <x:c r="K631" s="36" t="n">
        <x:v>0</x:v>
      </x:c>
      <x:c r="L631" s="34" t="str">
        <x:v>redeploy</x:v>
      </x:c>
      <x:c r="M631" s="34" t="str">
        <x:v>article1-unified-v4-2-fb3f101b-20260903-000401-default-f03-p4-jcs321-2-redeployed-loaded</x:v>
      </x:c>
      <x:c r="N631" s="38" t="n">
        <x:v>46268.01017070602</x:v>
      </x:c>
      <x:c r="O631" s="36" t="n">
        <x:v>0</x:v>
      </x:c>
      <x:c r="P631" s="43" t="n">
        <x:v>132603904</x:v>
      </x:c>
      <x:c r="Q631" s="43" t="n">
        <x:v>268435456</x:v>
      </x:c>
      <x:c r="R631" s="43" t="n">
        <x:v>490465280</x:v>
      </x:c>
      <x:c r="S631" s="36" t="n">
        <x:v>5</x:v>
      </x:c>
      <x:c r="T631" s="44" t="str">
        <x:v>0x00000000081177b8  0x0000000008003818  0x000079f3f4615c70       0         0         0  org.apache.catalina.loader.ParallelWebappClassLoader | 0x00000000081177b8  0x0000000008003818  0x000079f358008660    4420  20970496  20961528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0x000079f34c033c00    4460  21013504  20998040  org.apache.catalina.loader.ParallelWebappClassLoader</x:v>
      </x:c>
      <x:c r="U631" s="36" t="n">
        <x:v>31</x:v>
      </x:c>
      <x:c r="V631" s="36" t="n">
        <x:v>4</x:v>
      </x:c>
      <x:c r="W631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631" s="36"/>
      <x:c r="Y631" s="36"/>
      <x:c r="Z631" s="44"/>
      <x:c r="AA631" s="49"/>
      <x:c r="AB631" s="43"/>
      <x:c r="AC631" s="34"/>
      <x:c r="AD631" s="34"/>
      <x:c r="AE631" s="34"/>
      <x:c r="AF631" s="34"/>
      <x:c r="AG631" s="34"/>
      <x:c r="AH631" s="34"/>
      <x:c r="AI631" s="34"/>
    </x:row>
    <x:row r="632">
      <x:c r="A632" s="34" t="str">
        <x:v>article1-unified-v4-2-fb3f101b-20260903-000401-default-f03-p4-jcs321</x:v>
      </x:c>
      <x:c r="B632" s="34" t="str">
        <x:v>default</x:v>
      </x:c>
      <x:c r="C632" s="34" t="str">
        <x:v>jcs321</x:v>
      </x:c>
      <x:c r="D632" s="34" t="str">
        <x:v>jcs321</x:v>
      </x:c>
      <x:c r="E632" s="36" t="n">
        <x:v>3</x:v>
      </x:c>
      <x:c r="F632" s="36" t="n">
        <x:v>3</x:v>
      </x:c>
      <x:c r="G632" s="36" t="n">
        <x:v>4</x:v>
      </x:c>
      <x:c r="H632" s="36" t="n">
        <x:v>2</x:v>
      </x:c>
      <x:c r="I632" s="34" t="str">
        <x:v>afterFinalUndeployEarly</x:v>
      </x:c>
      <x:c r="J632" s="34" t="str">
        <x:v>after-final-undeploy-early</x:v>
      </x:c>
      <x:c r="K632" s="36" t="n">
        <x:v>2</x:v>
      </x:c>
      <x:c r="L632" s="34" t="str">
        <x:v>early</x:v>
      </x:c>
      <x:c r="M632" s="34" t="str">
        <x:v>article1-unified-v4-2-fb3f101b-20260903-000401-default-f03-p4-jcs321-2-after-final-undeploy-early-2s</x:v>
      </x:c>
      <x:c r="N632" s="38" t="n">
        <x:v>46268.010256608795</x:v>
      </x:c>
      <x:c r="O632" s="36"/>
      <x:c r="P632" s="43"/>
      <x:c r="Q632" s="43"/>
      <x:c r="R632" s="43"/>
      <x:c r="S632" s="36"/>
      <x:c r="T632" s="44"/>
      <x:c r="U632" s="36" t="n">
        <x:v>31</x:v>
      </x:c>
      <x:c r="V632" s="36" t="n">
        <x:v>4</x:v>
      </x:c>
      <x:c r="W632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632" s="36"/>
      <x:c r="Y632" s="36"/>
      <x:c r="Z632" s="44"/>
      <x:c r="AA632" s="49"/>
      <x:c r="AB632" s="43" t="n">
        <x:v>17</x:v>
      </x:c>
      <x:c r="AC632" s="34"/>
      <x:c r="AD632" s="34"/>
      <x:c r="AE632" s="34" t="str">
        <x:v>article1-unified-v4-2-fb3f101b-20260903-000401-default-f03-p4-jcs321-2-after-final-undeploy-early-2s-thread-dump.txt</x:v>
      </x:c>
      <x:c r="AF632" s="34" t="str">
        <x:v>article1-unified-v4-2-fb3f101b-20260903-000401-default-f03-p4-jcs321-2-after-final-undeploy-early-tomcat-log.txt</x:v>
      </x:c>
      <x:c r="AG632" s="34"/>
      <x:c r="AH632" s="34"/>
      <x:c r="AI632" s="34"/>
    </x:row>
    <x:row r="633">
      <x:c r="A633" s="34" t="str">
        <x:v>article1-unified-v4-2-fb3f101b-20260903-000401-default-f03-p4-jcs321</x:v>
      </x:c>
      <x:c r="B633" s="34" t="str">
        <x:v>default</x:v>
      </x:c>
      <x:c r="C633" s="34" t="str">
        <x:v>jcs321</x:v>
      </x:c>
      <x:c r="D633" s="34" t="str">
        <x:v>jcs321</x:v>
      </x:c>
      <x:c r="E633" s="36" t="n">
        <x:v>3</x:v>
      </x:c>
      <x:c r="F633" s="36" t="n">
        <x:v>3</x:v>
      </x:c>
      <x:c r="G633" s="36" t="n">
        <x:v>4</x:v>
      </x:c>
      <x:c r="H633" s="36" t="n">
        <x:v>2</x:v>
      </x:c>
      <x:c r="I633" s="34" t="str">
        <x:v>afterFinalUndeploy</x:v>
      </x:c>
      <x:c r="J633" s="34" t="str">
        <x:v>after-final-undeploy-final</x:v>
      </x:c>
      <x:c r="K633" s="36" t="n">
        <x:v>2</x:v>
      </x:c>
      <x:c r="L633" s="34" t="str">
        <x:v>final</x:v>
      </x:c>
      <x:c r="M633" s="34" t="str">
        <x:v>article1-unified-v4-2-fb3f101b-20260903-000401-default-f03-p4-jcs321-2-after-final-undeploy-final-10s</x:v>
      </x:c>
      <x:c r="N633" s="38" t="n">
        <x:v>46268.01041634259</x:v>
      </x:c>
      <x:c r="O633" s="36" t="n">
        <x:v>2</x:v>
      </x:c>
      <x:c r="P633" s="43" t="n">
        <x:v>28231680</x:v>
      </x:c>
      <x:c r="Q633" s="43" t="n">
        <x:v>268435456</x:v>
      </x:c>
      <x:c r="R633" s="43" t="n">
        <x:v>489468928</x:v>
      </x:c>
      <x:c r="S633" s="36" t="n">
        <x:v>5</x:v>
      </x:c>
      <x:c r="T633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33" s="36" t="n">
        <x:v>31</x:v>
      </x:c>
      <x:c r="V633" s="36" t="n">
        <x:v>4</x:v>
      </x:c>
      <x:c r="W633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633" s="36" t="n">
        <x:v>4</x:v>
      </x:c>
      <x:c r="Y633" s="36" t="n">
        <x:v>4</x:v>
      </x:c>
      <x:c r="Z633" s="44" t="str">
        <x:v>/jcs321</x:v>
      </x:c>
      <x:c r="AA633" s="45" t="b">
        <x:v>1</x:v>
      </x:c>
      <x:c r="AB633" s="43"/>
      <x:c r="AC633" s="34" t="str">
        <x:v>article1-unified-v4-2-fb3f101b-20260903-000401-default-f03-p4-jcs321-2-after-final-undeploy-final-10s-heap-info.txt</x:v>
      </x:c>
      <x:c r="AD633" s="34" t="str">
        <x:v>article1-unified-v4-2-fb3f101b-20260903-000401-default-f03-p4-jcs321-2-after-final-undeploy-final-10s-classloader-stats.txt</x:v>
      </x:c>
      <x:c r="AE633" s="34" t="str">
        <x:v>article1-unified-v4-2-fb3f101b-20260903-000401-default-f03-p4-jcs321-2-after-final-undeploy-final-10s-thread-dump.txt</x:v>
      </x:c>
      <x:c r="AF633" s="34"/>
      <x:c r="AG633" s="34" t="str">
        <x:v>article1-unified-v4-2-fb3f101b-20260903-000401-default-f03-p4-jcs321-2-after-final-undeploy-final-10s-native-memory.txt</x:v>
      </x:c>
      <x:c r="AH633" s="34" t="str">
        <x:v>article1-unified-v4-2-fb3f101b-20260903-000401-default-f03-p4-jcs321-2-after-final-undeploy-final-10s-class-histogram.txt</x:v>
      </x:c>
      <x:c r="AI633" s="34" t="str">
        <x:v>article1-unified-v4-2-fb3f101b-20260903-000401-default-f03-p4-jcs321-2-after-final-undeploy-tomcat-findleaks.txt</x:v>
      </x:c>
    </x:row>
    <x:row r="634">
      <x:c r="A634" s="34" t="str">
        <x:v>article1-unified-v4-2-fb3f101b-20260903-000401-default-f03-p4-jcs321</x:v>
      </x:c>
      <x:c r="B634" s="34" t="str">
        <x:v>default</x:v>
      </x:c>
      <x:c r="C634" s="34" t="str">
        <x:v>jcs321</x:v>
      </x:c>
      <x:c r="D634" s="34" t="str">
        <x:v>jcs321</x:v>
      </x:c>
      <x:c r="E634" s="36" t="n">
        <x:v>3</x:v>
      </x:c>
      <x:c r="F634" s="36" t="n">
        <x:v>3</x:v>
      </x:c>
      <x:c r="G634" s="36" t="n">
        <x:v>4</x:v>
      </x:c>
      <x:c r="H634" s="36" t="n">
        <x:v>3</x:v>
      </x:c>
      <x:c r="I634" s="34" t="str">
        <x:v>baseline</x:v>
      </x:c>
      <x:c r="J634" s="34" t="str">
        <x:v>cycle-baseline</x:v>
      </x:c>
      <x:c r="K634" s="36" t="n">
        <x:v>0</x:v>
      </x:c>
      <x:c r="L634" s="34" t="str">
        <x:v>baseline</x:v>
      </x:c>
      <x:c r="M634" s="34" t="str">
        <x:v>article1-unified-v4-2-fb3f101b-20260903-000401-default-f03-p4-jcs321-3-baseline</x:v>
      </x:c>
      <x:c r="N634" s="38" t="n">
        <x:v>46268.01046038194</x:v>
      </x:c>
      <x:c r="O634" s="36" t="n">
        <x:v>0</x:v>
      </x:c>
      <x:c r="P634" s="43" t="n">
        <x:v>28236800</x:v>
      </x:c>
      <x:c r="Q634" s="43" t="n">
        <x:v>268435456</x:v>
      </x:c>
      <x:c r="R634" s="43" t="n">
        <x:v>489304064</x:v>
      </x:c>
      <x:c r="S634" s="36" t="n">
        <x:v>5</x:v>
      </x:c>
      <x:c r="T634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34" s="36" t="n">
        <x:v>31</x:v>
      </x:c>
      <x:c r="V634" s="36" t="n">
        <x:v>4</x:v>
      </x:c>
      <x:c r="W634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634" s="36"/>
      <x:c r="Y634" s="36"/>
      <x:c r="Z634" s="44"/>
      <x:c r="AA634" s="49"/>
      <x:c r="AB634" s="43"/>
      <x:c r="AC634" s="34" t="str">
        <x:v>article1-unified-v4-2-fb3f101b-20260903-000401-default-f03-p4-jcs321-3-baseline-heap-info.txt</x:v>
      </x:c>
      <x:c r="AD634" s="34" t="str">
        <x:v>article1-unified-v4-2-fb3f101b-20260903-000401-default-f03-p4-jcs321-3-baseline-classloader-stats.txt</x:v>
      </x:c>
      <x:c r="AE634" s="34" t="str">
        <x:v>article1-unified-v4-2-fb3f101b-20260903-000401-default-f03-p4-jcs321-3-baseline-thread-dump.txt</x:v>
      </x:c>
      <x:c r="AF634" s="34"/>
      <x:c r="AG634" s="34" t="str">
        <x:v>article1-unified-v4-2-fb3f101b-20260903-000401-default-f03-p4-jcs321-3-baseline-native-memory.txt</x:v>
      </x:c>
      <x:c r="AH634" s="34"/>
      <x:c r="AI634" s="34"/>
    </x:row>
    <x:row r="635">
      <x:c r="A635" s="34" t="str">
        <x:v>article1-unified-v4-2-fb3f101b-20260903-000401-default-f03-p4-jcs321</x:v>
      </x:c>
      <x:c r="B635" s="34" t="str">
        <x:v>default</x:v>
      </x:c>
      <x:c r="C635" s="34" t="str">
        <x:v>jcs321</x:v>
      </x:c>
      <x:c r="D635" s="34" t="str">
        <x:v>jcs321</x:v>
      </x:c>
      <x:c r="E635" s="36" t="n">
        <x:v>3</x:v>
      </x:c>
      <x:c r="F635" s="36" t="n">
        <x:v>3</x:v>
      </x:c>
      <x:c r="G635" s="36" t="n">
        <x:v>4</x:v>
      </x:c>
      <x:c r="H635" s="36" t="n">
        <x:v>3</x:v>
      </x:c>
      <x:c r="I635" s="34" t="str">
        <x:v>deployedIdle</x:v>
      </x:c>
      <x:c r="J635" s="34" t="str">
        <x:v>deployed-idle</x:v>
      </x:c>
      <x:c r="K635" s="36" t="n">
        <x:v>0</x:v>
      </x:c>
      <x:c r="L635" s="34" t="str">
        <x:v>initial</x:v>
      </x:c>
      <x:c r="M635" s="34" t="str">
        <x:v>article1-unified-v4-2-fb3f101b-20260903-000401-default-f03-p4-jcs321-3-deployed-idle</x:v>
      </x:c>
      <x:c r="N635" s="38" t="n">
        <x:v>46268.01056119213</x:v>
      </x:c>
      <x:c r="O635" s="36" t="n">
        <x:v>0</x:v>
      </x:c>
      <x:c r="P635" s="43" t="n">
        <x:v>180023296</x:v>
      </x:c>
      <x:c r="Q635" s="43" t="n">
        <x:v>268435456</x:v>
      </x:c>
      <x:c r="R635" s="43" t="n">
        <x:v>513741824</x:v>
      </x:c>
      <x:c r="S635" s="36" t="n">
        <x:v>6</x:v>
      </x:c>
      <x:c r="T635" s="44" t="str">
        <x:v>0x00000000081177b8  0x0000000008003818  0x000079f36c1dd430    4091  19425280  19412760  org.apache.catalina.loader.ParallelWebappClassLoader | 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35" s="36" t="n">
        <x:v>31</x:v>
      </x:c>
      <x:c r="V635" s="36" t="n">
        <x:v>4</x:v>
      </x:c>
      <x:c r="W635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635" s="36"/>
      <x:c r="Y635" s="36"/>
      <x:c r="Z635" s="44"/>
      <x:c r="AA635" s="49"/>
      <x:c r="AB635" s="43"/>
      <x:c r="AC635" s="34"/>
      <x:c r="AD635" s="34"/>
      <x:c r="AE635" s="34"/>
      <x:c r="AF635" s="34"/>
      <x:c r="AG635" s="34"/>
      <x:c r="AH635" s="34"/>
      <x:c r="AI635" s="34"/>
    </x:row>
    <x:row r="636">
      <x:c r="A636" s="34" t="str">
        <x:v>article1-unified-v4-2-fb3f101b-20260903-000401-default-f03-p4-jcs321</x:v>
      </x:c>
      <x:c r="B636" s="34" t="str">
        <x:v>default</x:v>
      </x:c>
      <x:c r="C636" s="34" t="str">
        <x:v>jcs321</x:v>
      </x:c>
      <x:c r="D636" s="34" t="str">
        <x:v>jcs321</x:v>
      </x:c>
      <x:c r="E636" s="36" t="n">
        <x:v>3</x:v>
      </x:c>
      <x:c r="F636" s="36" t="n">
        <x:v>3</x:v>
      </x:c>
      <x:c r="G636" s="36" t="n">
        <x:v>4</x:v>
      </x:c>
      <x:c r="H636" s="36" t="n">
        <x:v>3</x:v>
      </x:c>
      <x:c r="I636" s="34" t="str">
        <x:v>loaded</x:v>
      </x:c>
      <x:c r="J636" s="34" t="str">
        <x:v>loaded</x:v>
      </x:c>
      <x:c r="K636" s="36" t="n">
        <x:v>0</x:v>
      </x:c>
      <x:c r="L636" s="34" t="str">
        <x:v>initial</x:v>
      </x:c>
      <x:c r="M636" s="34" t="str">
        <x:v>article1-unified-v4-2-fb3f101b-20260903-000401-default-f03-p4-jcs321-3-loaded</x:v>
      </x:c>
      <x:c r="N636" s="38" t="n">
        <x:v>46268.01070693287</x:v>
      </x:c>
      <x:c r="O636" s="36" t="n">
        <x:v>0</x:v>
      </x:c>
      <x:c r="P636" s="43" t="n">
        <x:v>142865408</x:v>
      </x:c>
      <x:c r="Q636" s="43" t="n">
        <x:v>268435456</x:v>
      </x:c>
      <x:c r="R636" s="43" t="n">
        <x:v>519559168</x:v>
      </x:c>
      <x:c r="S636" s="36" t="n">
        <x:v>6</x:v>
      </x:c>
      <x:c r="T636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0x000079f36c1dd430    4416  20981760  20960664  org.apache.catalina.loader.ParallelWebappClassLoader | 0x00000000081177b8  0x0000000008003818  0x000079f36000e0b0    4455  21066752  21047240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36" s="36" t="n">
        <x:v>32</x:v>
      </x:c>
      <x:c r="V636" s="36" t="n">
        <x:v>5</x:v>
      </x:c>
      <x:c r="W63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636" s="36"/>
      <x:c r="Y636" s="36"/>
      <x:c r="Z636" s="44"/>
      <x:c r="AA636" s="49"/>
      <x:c r="AB636" s="43"/>
      <x:c r="AC636" s="34"/>
      <x:c r="AD636" s="34"/>
      <x:c r="AE636" s="34"/>
      <x:c r="AF636" s="34"/>
      <x:c r="AG636" s="34"/>
      <x:c r="AH636" s="34"/>
      <x:c r="AI636" s="34"/>
    </x:row>
    <x:row r="637">
      <x:c r="A637" s="34" t="str">
        <x:v>article1-unified-v4-2-fb3f101b-20260903-000401-default-f03-p4-jcs321</x:v>
      </x:c>
      <x:c r="B637" s="34" t="str">
        <x:v>default</x:v>
      </x:c>
      <x:c r="C637" s="34" t="str">
        <x:v>jcs321</x:v>
      </x:c>
      <x:c r="D637" s="34" t="str">
        <x:v>jcs321</x:v>
      </x:c>
      <x:c r="E637" s="36" t="n">
        <x:v>3</x:v>
      </x:c>
      <x:c r="F637" s="36" t="n">
        <x:v>3</x:v>
      </x:c>
      <x:c r="G637" s="36" t="n">
        <x:v>4</x:v>
      </x:c>
      <x:c r="H637" s="36" t="n">
        <x:v>3</x:v>
      </x:c>
      <x:c r="I637" s="34" t="str">
        <x:v>afterUndeployEarly</x:v>
      </x:c>
      <x:c r="J637" s="34" t="str">
        <x:v>after-undeploy-early</x:v>
      </x:c>
      <x:c r="K637" s="36" t="n">
        <x:v>1</x:v>
      </x:c>
      <x:c r="L637" s="34" t="str">
        <x:v>early</x:v>
      </x:c>
      <x:c r="M637" s="34" t="str">
        <x:v>article1-unified-v4-2-fb3f101b-20260903-000401-default-f03-p4-jcs321-3-after-undeploy-early-2s</x:v>
      </x:c>
      <x:c r="N637" s="38" t="n">
        <x:v>46268.010789837965</x:v>
      </x:c>
      <x:c r="O637" s="36"/>
      <x:c r="P637" s="43"/>
      <x:c r="Q637" s="43"/>
      <x:c r="R637" s="43"/>
      <x:c r="S637" s="36"/>
      <x:c r="T637" s="44"/>
      <x:c r="U637" s="36" t="n">
        <x:v>32</x:v>
      </x:c>
      <x:c r="V637" s="36" t="n">
        <x:v>5</x:v>
      </x:c>
      <x:c r="W63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637" s="36"/>
      <x:c r="Y637" s="36"/>
      <x:c r="Z637" s="44"/>
      <x:c r="AA637" s="49"/>
      <x:c r="AB637" s="43" t="n">
        <x:v>17</x:v>
      </x:c>
      <x:c r="AC637" s="34"/>
      <x:c r="AD637" s="34"/>
      <x:c r="AE637" s="34" t="str">
        <x:v>article1-unified-v4-2-fb3f101b-20260903-000401-default-f03-p4-jcs321-3-after-undeploy-early-2s-thread-dump.txt</x:v>
      </x:c>
      <x:c r="AF637" s="34" t="str">
        <x:v>article1-unified-v4-2-fb3f101b-20260903-000401-default-f03-p4-jcs321-3-after-undeploy-early-tomcat-log.txt</x:v>
      </x:c>
      <x:c r="AG637" s="34"/>
      <x:c r="AH637" s="34"/>
      <x:c r="AI637" s="34"/>
    </x:row>
    <x:row r="638">
      <x:c r="A638" s="34" t="str">
        <x:v>article1-unified-v4-2-fb3f101b-20260903-000401-default-f03-p4-jcs321</x:v>
      </x:c>
      <x:c r="B638" s="34" t="str">
        <x:v>default</x:v>
      </x:c>
      <x:c r="C638" s="34" t="str">
        <x:v>jcs321</x:v>
      </x:c>
      <x:c r="D638" s="34" t="str">
        <x:v>jcs321</x:v>
      </x:c>
      <x:c r="E638" s="36" t="n">
        <x:v>3</x:v>
      </x:c>
      <x:c r="F638" s="36" t="n">
        <x:v>3</x:v>
      </x:c>
      <x:c r="G638" s="36" t="n">
        <x:v>4</x:v>
      </x:c>
      <x:c r="H638" s="36" t="n">
        <x:v>3</x:v>
      </x:c>
      <x:c r="I638" s="34" t="str">
        <x:v>afterUndeploy</x:v>
      </x:c>
      <x:c r="J638" s="34" t="str">
        <x:v>after-undeploy-final</x:v>
      </x:c>
      <x:c r="K638" s="36" t="n">
        <x:v>1</x:v>
      </x:c>
      <x:c r="L638" s="34" t="str">
        <x:v>final</x:v>
      </x:c>
      <x:c r="M638" s="34" t="str">
        <x:v>article1-unified-v4-2-fb3f101b-20260903-000401-default-f03-p4-jcs321-3-after-undeploy-final-10s</x:v>
      </x:c>
      <x:c r="N638" s="38" t="n">
        <x:v>46268.01094803241</x:v>
      </x:c>
      <x:c r="O638" s="36" t="n">
        <x:v>2</x:v>
      </x:c>
      <x:c r="P638" s="43" t="n">
        <x:v>32478208</x:v>
      </x:c>
      <x:c r="Q638" s="43" t="n">
        <x:v>268435456</x:v>
      </x:c>
      <x:c r="R638" s="43" t="n">
        <x:v>516254720</x:v>
      </x:c>
      <x:c r="S638" s="36" t="n">
        <x:v>6</x:v>
      </x:c>
      <x:c r="T638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38" s="36" t="n">
        <x:v>32</x:v>
      </x:c>
      <x:c r="V638" s="36" t="n">
        <x:v>5</x:v>
      </x:c>
      <x:c r="W63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638" s="36" t="n">
        <x:v>5</x:v>
      </x:c>
      <x:c r="Y638" s="36" t="n">
        <x:v>5</x:v>
      </x:c>
      <x:c r="Z638" s="44" t="str">
        <x:v>/jcs321</x:v>
      </x:c>
      <x:c r="AA638" s="45" t="b">
        <x:v>1</x:v>
      </x:c>
      <x:c r="AB638" s="43"/>
      <x:c r="AC638" s="34" t="str">
        <x:v>article1-unified-v4-2-fb3f101b-20260903-000401-default-f03-p4-jcs321-3-after-undeploy-final-10s-heap-info.txt</x:v>
      </x:c>
      <x:c r="AD638" s="34" t="str">
        <x:v>article1-unified-v4-2-fb3f101b-20260903-000401-default-f03-p4-jcs321-3-after-undeploy-final-10s-classloader-stats.txt</x:v>
      </x:c>
      <x:c r="AE638" s="34" t="str">
        <x:v>article1-unified-v4-2-fb3f101b-20260903-000401-default-f03-p4-jcs321-3-after-undeploy-final-10s-thread-dump.txt</x:v>
      </x:c>
      <x:c r="AF638" s="34"/>
      <x:c r="AG638" s="34" t="str">
        <x:v>article1-unified-v4-2-fb3f101b-20260903-000401-default-f03-p4-jcs321-3-after-undeploy-final-10s-native-memory.txt</x:v>
      </x:c>
      <x:c r="AH638" s="34" t="str">
        <x:v>article1-unified-v4-2-fb3f101b-20260903-000401-default-f03-p4-jcs321-3-after-undeploy-final-10s-class-histogram.txt</x:v>
      </x:c>
      <x:c r="AI638" s="34" t="str">
        <x:v>article1-unified-v4-2-fb3f101b-20260903-000401-default-f03-p4-jcs321-3-after-undeploy-tomcat-findleaks.txt</x:v>
      </x:c>
    </x:row>
    <x:row r="639">
      <x:c r="A639" s="34" t="str">
        <x:v>article1-unified-v4-2-fb3f101b-20260903-000401-default-f03-p4-jcs321</x:v>
      </x:c>
      <x:c r="B639" s="34" t="str">
        <x:v>default</x:v>
      </x:c>
      <x:c r="C639" s="34" t="str">
        <x:v>jcs321</x:v>
      </x:c>
      <x:c r="D639" s="34" t="str">
        <x:v>jcs321</x:v>
      </x:c>
      <x:c r="E639" s="36" t="n">
        <x:v>3</x:v>
      </x:c>
      <x:c r="F639" s="36" t="n">
        <x:v>3</x:v>
      </x:c>
      <x:c r="G639" s="36" t="n">
        <x:v>4</x:v>
      </x:c>
      <x:c r="H639" s="36" t="n">
        <x:v>3</x:v>
      </x:c>
      <x:c r="I639" s="34" t="str">
        <x:v>redeployedLoaded</x:v>
      </x:c>
      <x:c r="J639" s="34" t="str">
        <x:v>redeployed-loaded</x:v>
      </x:c>
      <x:c r="K639" s="36" t="n">
        <x:v>0</x:v>
      </x:c>
      <x:c r="L639" s="34" t="str">
        <x:v>redeploy</x:v>
      </x:c>
      <x:c r="M639" s="34" t="str">
        <x:v>article1-unified-v4-2-fb3f101b-20260903-000401-default-f03-p4-jcs321-3-redeployed-loaded</x:v>
      </x:c>
      <x:c r="N639" s="38" t="n">
        <x:v>46268.0111996412</x:v>
      </x:c>
      <x:c r="O639" s="36" t="n">
        <x:v>0</x:v>
      </x:c>
      <x:c r="P639" s="43" t="n">
        <x:v>147121152</x:v>
      </x:c>
      <x:c r="Q639" s="43" t="n">
        <x:v>268435456</x:v>
      </x:c>
      <x:c r="R639" s="43" t="n">
        <x:v>542968832</x:v>
      </x:c>
      <x:c r="S639" s="36" t="n">
        <x:v>7</x:v>
      </x:c>
      <x:c r="T639" s="44" t="str">
        <x:v>0x00000000081177b8  0x0000000008003818  0x000079f3f4615c70       0         0         0  org.apache.catalina.loader.ParallelWebappClassLoader | 0x00000000081177b8  0x0000000008003818  0x000079f354168f50    4414  20990976  20973648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39" s="36" t="n">
        <x:v>33</x:v>
      </x:c>
      <x:c r="V639" s="36" t="n">
        <x:v>6</x:v>
      </x:c>
      <x:c r="W63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639" s="36"/>
      <x:c r="Y639" s="36"/>
      <x:c r="Z639" s="44"/>
      <x:c r="AA639" s="49"/>
      <x:c r="AB639" s="43"/>
      <x:c r="AC639" s="34"/>
      <x:c r="AD639" s="34"/>
      <x:c r="AE639" s="34"/>
      <x:c r="AF639" s="34"/>
      <x:c r="AG639" s="34"/>
      <x:c r="AH639" s="34"/>
      <x:c r="AI639" s="34"/>
    </x:row>
    <x:row r="640">
      <x:c r="A640" s="34" t="str">
        <x:v>article1-unified-v4-2-fb3f101b-20260903-000401-default-f03-p4-jcs321</x:v>
      </x:c>
      <x:c r="B640" s="34" t="str">
        <x:v>default</x:v>
      </x:c>
      <x:c r="C640" s="34" t="str">
        <x:v>jcs321</x:v>
      </x:c>
      <x:c r="D640" s="34" t="str">
        <x:v>jcs321</x:v>
      </x:c>
      <x:c r="E640" s="36" t="n">
        <x:v>3</x:v>
      </x:c>
      <x:c r="F640" s="36" t="n">
        <x:v>3</x:v>
      </x:c>
      <x:c r="G640" s="36" t="n">
        <x:v>4</x:v>
      </x:c>
      <x:c r="H640" s="36" t="n">
        <x:v>3</x:v>
      </x:c>
      <x:c r="I640" s="34" t="str">
        <x:v>afterFinalUndeployEarly</x:v>
      </x:c>
      <x:c r="J640" s="34" t="str">
        <x:v>after-final-undeploy-early</x:v>
      </x:c>
      <x:c r="K640" s="36" t="n">
        <x:v>2</x:v>
      </x:c>
      <x:c r="L640" s="34" t="str">
        <x:v>early</x:v>
      </x:c>
      <x:c r="M640" s="34" t="str">
        <x:v>article1-unified-v4-2-fb3f101b-20260903-000401-default-f03-p4-jcs321-3-after-final-undeploy-early-2s</x:v>
      </x:c>
      <x:c r="N640" s="38" t="n">
        <x:v>46268.0112831713</x:v>
      </x:c>
      <x:c r="O640" s="36"/>
      <x:c r="P640" s="43"/>
      <x:c r="Q640" s="43"/>
      <x:c r="R640" s="43"/>
      <x:c r="S640" s="36"/>
      <x:c r="T640" s="44"/>
      <x:c r="U640" s="36" t="n">
        <x:v>33</x:v>
      </x:c>
      <x:c r="V640" s="36" t="n">
        <x:v>6</x:v>
      </x:c>
      <x:c r="W64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640" s="36"/>
      <x:c r="Y640" s="36"/>
      <x:c r="Z640" s="44"/>
      <x:c r="AA640" s="49"/>
      <x:c r="AB640" s="43" t="n">
        <x:v>17</x:v>
      </x:c>
      <x:c r="AC640" s="34"/>
      <x:c r="AD640" s="34"/>
      <x:c r="AE640" s="34" t="str">
        <x:v>article1-unified-v4-2-fb3f101b-20260903-000401-default-f03-p4-jcs321-3-after-final-undeploy-early-2s-thread-dump.txt</x:v>
      </x:c>
      <x:c r="AF640" s="34" t="str">
        <x:v>article1-unified-v4-2-fb3f101b-20260903-000401-default-f03-p4-jcs321-3-after-final-undeploy-early-tomcat-log.txt</x:v>
      </x:c>
      <x:c r="AG640" s="34"/>
      <x:c r="AH640" s="34"/>
      <x:c r="AI640" s="34"/>
    </x:row>
    <x:row r="641">
      <x:c r="A641" s="34" t="str">
        <x:v>article1-unified-v4-2-fb3f101b-20260903-000401-default-f03-p4-jcs321</x:v>
      </x:c>
      <x:c r="B641" s="34" t="str">
        <x:v>default</x:v>
      </x:c>
      <x:c r="C641" s="34" t="str">
        <x:v>jcs321</x:v>
      </x:c>
      <x:c r="D641" s="34" t="str">
        <x:v>jcs321</x:v>
      </x:c>
      <x:c r="E641" s="36" t="n">
        <x:v>3</x:v>
      </x:c>
      <x:c r="F641" s="36" t="n">
        <x:v>3</x:v>
      </x:c>
      <x:c r="G641" s="36" t="n">
        <x:v>4</x:v>
      </x:c>
      <x:c r="H641" s="36" t="n">
        <x:v>3</x:v>
      </x:c>
      <x:c r="I641" s="34" t="str">
        <x:v>afterFinalUndeploy</x:v>
      </x:c>
      <x:c r="J641" s="34" t="str">
        <x:v>after-final-undeploy-final</x:v>
      </x:c>
      <x:c r="K641" s="36" t="n">
        <x:v>2</x:v>
      </x:c>
      <x:c r="L641" s="34" t="str">
        <x:v>final</x:v>
      </x:c>
      <x:c r="M641" s="34" t="str">
        <x:v>article1-unified-v4-2-fb3f101b-20260903-000401-default-f03-p4-jcs321-3-after-final-undeploy-final-10s</x:v>
      </x:c>
      <x:c r="N641" s="38" t="n">
        <x:v>46268.0114400463</x:v>
      </x:c>
      <x:c r="O641" s="36" t="n">
        <x:v>2</x:v>
      </x:c>
      <x:c r="P641" s="43" t="n">
        <x:v>36704256</x:v>
      </x:c>
      <x:c r="Q641" s="43" t="n">
        <x:v>268435456</x:v>
      </x:c>
      <x:c r="R641" s="43" t="n">
        <x:v>540367872</x:v>
      </x:c>
      <x:c r="S641" s="36" t="n">
        <x:v>7</x:v>
      </x:c>
      <x:c r="T641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41" s="36" t="n">
        <x:v>33</x:v>
      </x:c>
      <x:c r="V641" s="36" t="n">
        <x:v>6</x:v>
      </x:c>
      <x:c r="W64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641" s="36" t="n">
        <x:v>6</x:v>
      </x:c>
      <x:c r="Y641" s="36" t="n">
        <x:v>6</x:v>
      </x:c>
      <x:c r="Z641" s="44" t="str">
        <x:v>/jcs321</x:v>
      </x:c>
      <x:c r="AA641" s="45" t="b">
        <x:v>1</x:v>
      </x:c>
      <x:c r="AB641" s="43"/>
      <x:c r="AC641" s="34" t="str">
        <x:v>article1-unified-v4-2-fb3f101b-20260903-000401-default-f03-p4-jcs321-3-after-final-undeploy-final-10s-heap-info.txt</x:v>
      </x:c>
      <x:c r="AD641" s="34" t="str">
        <x:v>article1-unified-v4-2-fb3f101b-20260903-000401-default-f03-p4-jcs321-3-after-final-undeploy-final-10s-classloader-stats.txt</x:v>
      </x:c>
      <x:c r="AE641" s="34" t="str">
        <x:v>article1-unified-v4-2-fb3f101b-20260903-000401-default-f03-p4-jcs321-3-after-final-undeploy-final-10s-thread-dump.txt</x:v>
      </x:c>
      <x:c r="AF641" s="34"/>
      <x:c r="AG641" s="34" t="str">
        <x:v>article1-unified-v4-2-fb3f101b-20260903-000401-default-f03-p4-jcs321-3-after-final-undeploy-final-10s-native-memory.txt</x:v>
      </x:c>
      <x:c r="AH641" s="34" t="str">
        <x:v>article1-unified-v4-2-fb3f101b-20260903-000401-default-f03-p4-jcs321-3-after-final-undeploy-final-10s-class-histogram.txt</x:v>
      </x:c>
      <x:c r="AI641" s="34" t="str">
        <x:v>article1-unified-v4-2-fb3f101b-20260903-000401-default-f03-p4-jcs321-3-after-final-undeploy-tomcat-findleaks.txt</x:v>
      </x:c>
    </x:row>
    <x:row r="642">
      <x:c r="A642" s="34" t="str">
        <x:v>article1-unified-v4-2-fb3f101b-20260903-000401-default-f03-p4-jcs321</x:v>
      </x:c>
      <x:c r="B642" s="34" t="str">
        <x:v>default</x:v>
      </x:c>
      <x:c r="C642" s="34" t="str">
        <x:v>jcs321</x:v>
      </x:c>
      <x:c r="D642" s="34" t="str">
        <x:v>jcs321</x:v>
      </x:c>
      <x:c r="E642" s="36" t="n">
        <x:v>3</x:v>
      </x:c>
      <x:c r="F642" s="36" t="n">
        <x:v>3</x:v>
      </x:c>
      <x:c r="G642" s="36" t="n">
        <x:v>4</x:v>
      </x:c>
      <x:c r="H642" s="36" t="n">
        <x:v>4</x:v>
      </x:c>
      <x:c r="I642" s="34" t="str">
        <x:v>baseline</x:v>
      </x:c>
      <x:c r="J642" s="34" t="str">
        <x:v>cycle-baseline</x:v>
      </x:c>
      <x:c r="K642" s="36" t="n">
        <x:v>0</x:v>
      </x:c>
      <x:c r="L642" s="34" t="str">
        <x:v>baseline</x:v>
      </x:c>
      <x:c r="M642" s="34" t="str">
        <x:v>article1-unified-v4-2-fb3f101b-20260903-000401-default-f03-p4-jcs321-4-baseline</x:v>
      </x:c>
      <x:c r="N642" s="38" t="n">
        <x:v>46268.0114871875</x:v>
      </x:c>
      <x:c r="O642" s="36" t="n">
        <x:v>0</x:v>
      </x:c>
      <x:c r="P642" s="43" t="n">
        <x:v>36704256</x:v>
      </x:c>
      <x:c r="Q642" s="43" t="n">
        <x:v>268435456</x:v>
      </x:c>
      <x:c r="R642" s="43" t="n">
        <x:v>540832768</x:v>
      </x:c>
      <x:c r="S642" s="36" t="n">
        <x:v>7</x:v>
      </x:c>
      <x:c r="T642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42" s="36" t="n">
        <x:v>33</x:v>
      </x:c>
      <x:c r="V642" s="36" t="n">
        <x:v>6</x:v>
      </x:c>
      <x:c r="W64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642" s="36"/>
      <x:c r="Y642" s="36"/>
      <x:c r="Z642" s="44"/>
      <x:c r="AA642" s="49"/>
      <x:c r="AB642" s="43"/>
      <x:c r="AC642" s="34" t="str">
        <x:v>article1-unified-v4-2-fb3f101b-20260903-000401-default-f03-p4-jcs321-4-baseline-heap-info.txt</x:v>
      </x:c>
      <x:c r="AD642" s="34" t="str">
        <x:v>article1-unified-v4-2-fb3f101b-20260903-000401-default-f03-p4-jcs321-4-baseline-classloader-stats.txt</x:v>
      </x:c>
      <x:c r="AE642" s="34" t="str">
        <x:v>article1-unified-v4-2-fb3f101b-20260903-000401-default-f03-p4-jcs321-4-baseline-thread-dump.txt</x:v>
      </x:c>
      <x:c r="AF642" s="34"/>
      <x:c r="AG642" s="34" t="str">
        <x:v>article1-unified-v4-2-fb3f101b-20260903-000401-default-f03-p4-jcs321-4-baseline-native-memory.txt</x:v>
      </x:c>
      <x:c r="AH642" s="34"/>
      <x:c r="AI642" s="34"/>
    </x:row>
    <x:row r="643">
      <x:c r="A643" s="34" t="str">
        <x:v>article1-unified-v4-2-fb3f101b-20260903-000401-default-f03-p4-jcs321</x:v>
      </x:c>
      <x:c r="B643" s="34" t="str">
        <x:v>default</x:v>
      </x:c>
      <x:c r="C643" s="34" t="str">
        <x:v>jcs321</x:v>
      </x:c>
      <x:c r="D643" s="34" t="str">
        <x:v>jcs321</x:v>
      </x:c>
      <x:c r="E643" s="36" t="n">
        <x:v>3</x:v>
      </x:c>
      <x:c r="F643" s="36" t="n">
        <x:v>3</x:v>
      </x:c>
      <x:c r="G643" s="36" t="n">
        <x:v>4</x:v>
      </x:c>
      <x:c r="H643" s="36" t="n">
        <x:v>4</x:v>
      </x:c>
      <x:c r="I643" s="34" t="str">
        <x:v>deployedIdle</x:v>
      </x:c>
      <x:c r="J643" s="34" t="str">
        <x:v>deployed-idle</x:v>
      </x:c>
      <x:c r="K643" s="36" t="n">
        <x:v>0</x:v>
      </x:c>
      <x:c r="L643" s="34" t="str">
        <x:v>initial</x:v>
      </x:c>
      <x:c r="M643" s="34" t="str">
        <x:v>article1-unified-v4-2-fb3f101b-20260903-000401-default-f03-p4-jcs321-4-deployed-idle</x:v>
      </x:c>
      <x:c r="N643" s="38" t="n">
        <x:v>46268.01158971065</x:v>
      </x:c>
      <x:c r="O643" s="36" t="n">
        <x:v>0</x:v>
      </x:c>
      <x:c r="P643" s="43" t="n">
        <x:v>187169792</x:v>
      </x:c>
      <x:c r="Q643" s="43" t="n">
        <x:v>268435456</x:v>
      </x:c>
      <x:c r="R643" s="43" t="n">
        <x:v>562308096</x:v>
      </x:c>
      <x:c r="S643" s="36" t="n">
        <x:v>8</x:v>
      </x:c>
      <x:c r="T643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0x000079f33019a180    4091  19445760  19429552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43" s="36" t="n">
        <x:v>33</x:v>
      </x:c>
      <x:c r="V643" s="36" t="n">
        <x:v>6</x:v>
      </x:c>
      <x:c r="W64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643" s="36"/>
      <x:c r="Y643" s="36"/>
      <x:c r="Z643" s="44"/>
      <x:c r="AA643" s="49"/>
      <x:c r="AB643" s="43"/>
      <x:c r="AC643" s="34"/>
      <x:c r="AD643" s="34"/>
      <x:c r="AE643" s="34"/>
      <x:c r="AF643" s="34"/>
      <x:c r="AG643" s="34"/>
      <x:c r="AH643" s="34"/>
      <x:c r="AI643" s="34"/>
    </x:row>
    <x:row r="644">
      <x:c r="A644" s="34" t="str">
        <x:v>article1-unified-v4-2-fb3f101b-20260903-000401-default-f03-p4-jcs321</x:v>
      </x:c>
      <x:c r="B644" s="34" t="str">
        <x:v>default</x:v>
      </x:c>
      <x:c r="C644" s="34" t="str">
        <x:v>jcs321</x:v>
      </x:c>
      <x:c r="D644" s="34" t="str">
        <x:v>jcs321</x:v>
      </x:c>
      <x:c r="E644" s="36" t="n">
        <x:v>3</x:v>
      </x:c>
      <x:c r="F644" s="36" t="n">
        <x:v>3</x:v>
      </x:c>
      <x:c r="G644" s="36" t="n">
        <x:v>4</x:v>
      </x:c>
      <x:c r="H644" s="36" t="n">
        <x:v>4</x:v>
      </x:c>
      <x:c r="I644" s="34" t="str">
        <x:v>loaded</x:v>
      </x:c>
      <x:c r="J644" s="34" t="str">
        <x:v>loaded</x:v>
      </x:c>
      <x:c r="K644" s="36" t="n">
        <x:v>0</x:v>
      </x:c>
      <x:c r="L644" s="34" t="str">
        <x:v>initial</x:v>
      </x:c>
      <x:c r="M644" s="34" t="str">
        <x:v>article1-unified-v4-2-fb3f101b-20260903-000401-default-f03-p4-jcs321-4-loaded</x:v>
      </x:c>
      <x:c r="N644" s="38" t="n">
        <x:v>46268.01173313658</x:v>
      </x:c>
      <x:c r="O644" s="36" t="n">
        <x:v>0</x:v>
      </x:c>
      <x:c r="P644" s="43" t="n">
        <x:v>151305216</x:v>
      </x:c>
      <x:c r="Q644" s="43" t="n">
        <x:v>268435456</x:v>
      </x:c>
      <x:c r="R644" s="43" t="n">
        <x:v>581028864</x:v>
      </x:c>
      <x:c r="S644" s="36" t="n">
        <x:v>8</x:v>
      </x:c>
      <x:c r="T644" s="44" t="str">
        <x:v>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0x000079f33019a180    4412  21002240  20974304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44" s="36" t="n">
        <x:v>34</x:v>
      </x:c>
      <x:c r="V644" s="36" t="n">
        <x:v>7</x:v>
      </x:c>
      <x:c r="W64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644" s="36"/>
      <x:c r="Y644" s="36"/>
      <x:c r="Z644" s="44"/>
      <x:c r="AA644" s="49"/>
      <x:c r="AB644" s="43"/>
      <x:c r="AC644" s="34"/>
      <x:c r="AD644" s="34"/>
      <x:c r="AE644" s="34"/>
      <x:c r="AF644" s="34"/>
      <x:c r="AG644" s="34"/>
      <x:c r="AH644" s="34"/>
      <x:c r="AI644" s="34"/>
    </x:row>
    <x:row r="645">
      <x:c r="A645" s="34" t="str">
        <x:v>article1-unified-v4-2-fb3f101b-20260903-000401-default-f03-p4-jcs321</x:v>
      </x:c>
      <x:c r="B645" s="34" t="str">
        <x:v>default</x:v>
      </x:c>
      <x:c r="C645" s="34" t="str">
        <x:v>jcs321</x:v>
      </x:c>
      <x:c r="D645" s="34" t="str">
        <x:v>jcs321</x:v>
      </x:c>
      <x:c r="E645" s="36" t="n">
        <x:v>3</x:v>
      </x:c>
      <x:c r="F645" s="36" t="n">
        <x:v>3</x:v>
      </x:c>
      <x:c r="G645" s="36" t="n">
        <x:v>4</x:v>
      </x:c>
      <x:c r="H645" s="36" t="n">
        <x:v>4</x:v>
      </x:c>
      <x:c r="I645" s="34" t="str">
        <x:v>afterUndeployEarly</x:v>
      </x:c>
      <x:c r="J645" s="34" t="str">
        <x:v>after-undeploy-early</x:v>
      </x:c>
      <x:c r="K645" s="36" t="n">
        <x:v>1</x:v>
      </x:c>
      <x:c r="L645" s="34" t="str">
        <x:v>early</x:v>
      </x:c>
      <x:c r="M645" s="34" t="str">
        <x:v>article1-unified-v4-2-fb3f101b-20260903-000401-default-f03-p4-jcs321-4-after-undeploy-early-2s</x:v>
      </x:c>
      <x:c r="N645" s="38" t="n">
        <x:v>46268.01181560185</x:v>
      </x:c>
      <x:c r="O645" s="36"/>
      <x:c r="P645" s="43"/>
      <x:c r="Q645" s="43"/>
      <x:c r="R645" s="43"/>
      <x:c r="S645" s="36"/>
      <x:c r="T645" s="44"/>
      <x:c r="U645" s="36" t="n">
        <x:v>34</x:v>
      </x:c>
      <x:c r="V645" s="36" t="n">
        <x:v>7</x:v>
      </x:c>
      <x:c r="W64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645" s="36"/>
      <x:c r="Y645" s="36"/>
      <x:c r="Z645" s="44"/>
      <x:c r="AA645" s="49"/>
      <x:c r="AB645" s="43" t="n">
        <x:v>17</x:v>
      </x:c>
      <x:c r="AC645" s="34"/>
      <x:c r="AD645" s="34"/>
      <x:c r="AE645" s="34" t="str">
        <x:v>article1-unified-v4-2-fb3f101b-20260903-000401-default-f03-p4-jcs321-4-after-undeploy-early-2s-thread-dump.txt</x:v>
      </x:c>
      <x:c r="AF645" s="34" t="str">
        <x:v>article1-unified-v4-2-fb3f101b-20260903-000401-default-f03-p4-jcs321-4-after-undeploy-early-tomcat-log.txt</x:v>
      </x:c>
      <x:c r="AG645" s="34"/>
      <x:c r="AH645" s="34"/>
      <x:c r="AI645" s="34"/>
    </x:row>
    <x:row r="646">
      <x:c r="A646" s="34" t="str">
        <x:v>article1-unified-v4-2-fb3f101b-20260903-000401-default-f03-p4-jcs321</x:v>
      </x:c>
      <x:c r="B646" s="34" t="str">
        <x:v>default</x:v>
      </x:c>
      <x:c r="C646" s="34" t="str">
        <x:v>jcs321</x:v>
      </x:c>
      <x:c r="D646" s="34" t="str">
        <x:v>jcs321</x:v>
      </x:c>
      <x:c r="E646" s="36" t="n">
        <x:v>3</x:v>
      </x:c>
      <x:c r="F646" s="36" t="n">
        <x:v>3</x:v>
      </x:c>
      <x:c r="G646" s="36" t="n">
        <x:v>4</x:v>
      </x:c>
      <x:c r="H646" s="36" t="n">
        <x:v>4</x:v>
      </x:c>
      <x:c r="I646" s="34" t="str">
        <x:v>afterUndeploy</x:v>
      </x:c>
      <x:c r="J646" s="34" t="str">
        <x:v>after-undeploy-final</x:v>
      </x:c>
      <x:c r="K646" s="36" t="n">
        <x:v>1</x:v>
      </x:c>
      <x:c r="L646" s="34" t="str">
        <x:v>final</x:v>
      </x:c>
      <x:c r="M646" s="34" t="str">
        <x:v>article1-unified-v4-2-fb3f101b-20260903-000401-default-f03-p4-jcs321-4-after-undeploy-final-10s</x:v>
      </x:c>
      <x:c r="N646" s="38" t="n">
        <x:v>46268.01196846065</x:v>
      </x:c>
      <x:c r="O646" s="36" t="n">
        <x:v>2</x:v>
      </x:c>
      <x:c r="P646" s="43" t="n">
        <x:v>40936448</x:v>
      </x:c>
      <x:c r="Q646" s="43" t="n">
        <x:v>268435456</x:v>
      </x:c>
      <x:c r="R646" s="43" t="n">
        <x:v>562633728</x:v>
      </x:c>
      <x:c r="S646" s="36" t="n">
        <x:v>8</x:v>
      </x:c>
      <x:c r="T646" s="44" t="str">
        <x:v>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46" s="36" t="n">
        <x:v>34</x:v>
      </x:c>
      <x:c r="V646" s="36" t="n">
        <x:v>7</x:v>
      </x:c>
      <x:c r="W64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646" s="36" t="n">
        <x:v>7</x:v>
      </x:c>
      <x:c r="Y646" s="36" t="n">
        <x:v>7</x:v>
      </x:c>
      <x:c r="Z646" s="44" t="str">
        <x:v>/jcs321</x:v>
      </x:c>
      <x:c r="AA646" s="45" t="b">
        <x:v>1</x:v>
      </x:c>
      <x:c r="AB646" s="43"/>
      <x:c r="AC646" s="34" t="str">
        <x:v>article1-unified-v4-2-fb3f101b-20260903-000401-default-f03-p4-jcs321-4-after-undeploy-final-10s-heap-info.txt</x:v>
      </x:c>
      <x:c r="AD646" s="34" t="str">
        <x:v>article1-unified-v4-2-fb3f101b-20260903-000401-default-f03-p4-jcs321-4-after-undeploy-final-10s-classloader-stats.txt</x:v>
      </x:c>
      <x:c r="AE646" s="34" t="str">
        <x:v>article1-unified-v4-2-fb3f101b-20260903-000401-default-f03-p4-jcs321-4-after-undeploy-final-10s-thread-dump.txt</x:v>
      </x:c>
      <x:c r="AF646" s="34"/>
      <x:c r="AG646" s="34" t="str">
        <x:v>article1-unified-v4-2-fb3f101b-20260903-000401-default-f03-p4-jcs321-4-after-undeploy-final-10s-native-memory.txt</x:v>
      </x:c>
      <x:c r="AH646" s="34" t="str">
        <x:v>article1-unified-v4-2-fb3f101b-20260903-000401-default-f03-p4-jcs321-4-after-undeploy-final-10s-class-histogram.txt</x:v>
      </x:c>
      <x:c r="AI646" s="34" t="str">
        <x:v>article1-unified-v4-2-fb3f101b-20260903-000401-default-f03-p4-jcs321-4-after-undeploy-tomcat-findleaks.txt</x:v>
      </x:c>
    </x:row>
    <x:row r="647">
      <x:c r="A647" s="34" t="str">
        <x:v>article1-unified-v4-2-fb3f101b-20260903-000401-default-f03-p4-jcs321</x:v>
      </x:c>
      <x:c r="B647" s="34" t="str">
        <x:v>default</x:v>
      </x:c>
      <x:c r="C647" s="34" t="str">
        <x:v>jcs321</x:v>
      </x:c>
      <x:c r="D647" s="34" t="str">
        <x:v>jcs321</x:v>
      </x:c>
      <x:c r="E647" s="36" t="n">
        <x:v>3</x:v>
      </x:c>
      <x:c r="F647" s="36" t="n">
        <x:v>3</x:v>
      </x:c>
      <x:c r="G647" s="36" t="n">
        <x:v>4</x:v>
      </x:c>
      <x:c r="H647" s="36" t="n">
        <x:v>4</x:v>
      </x:c>
      <x:c r="I647" s="34" t="str">
        <x:v>redeployedLoaded</x:v>
      </x:c>
      <x:c r="J647" s="34" t="str">
        <x:v>redeployed-loaded</x:v>
      </x:c>
      <x:c r="K647" s="36" t="n">
        <x:v>0</x:v>
      </x:c>
      <x:c r="L647" s="34" t="str">
        <x:v>redeploy</x:v>
      </x:c>
      <x:c r="M647" s="34" t="str">
        <x:v>article1-unified-v4-2-fb3f101b-20260903-000401-default-f03-p4-jcs321-4-redeployed-loaded</x:v>
      </x:c>
      <x:c r="N647" s="38" t="n">
        <x:v>46268.01222795139</x:v>
      </x:c>
      <x:c r="O647" s="36" t="n">
        <x:v>0</x:v>
      </x:c>
      <x:c r="P647" s="43" t="n">
        <x:v>162844672</x:v>
      </x:c>
      <x:c r="Q647" s="43" t="n">
        <x:v>268435456</x:v>
      </x:c>
      <x:c r="R647" s="43" t="n">
        <x:v>586982400</x:v>
      </x:c>
      <x:c r="S647" s="36" t="n">
        <x:v>9</x:v>
      </x:c>
      <x:c r="T647" s="44" t="str">
        <x:v>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0x000079f37015a2d0    4422  21005312  20991456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47" s="36" t="n">
        <x:v>35</x:v>
      </x:c>
      <x:c r="V647" s="36" t="n">
        <x:v>8</x:v>
      </x:c>
      <x:c r="W64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647" s="36"/>
      <x:c r="Y647" s="36"/>
      <x:c r="Z647" s="44"/>
      <x:c r="AA647" s="49"/>
      <x:c r="AB647" s="43"/>
      <x:c r="AC647" s="34"/>
      <x:c r="AD647" s="34"/>
      <x:c r="AE647" s="34"/>
      <x:c r="AF647" s="34"/>
      <x:c r="AG647" s="34"/>
      <x:c r="AH647" s="34"/>
      <x:c r="AI647" s="34"/>
    </x:row>
    <x:row r="648">
      <x:c r="A648" s="34" t="str">
        <x:v>article1-unified-v4-2-fb3f101b-20260903-000401-default-f03-p4-jcs321</x:v>
      </x:c>
      <x:c r="B648" s="34" t="str">
        <x:v>default</x:v>
      </x:c>
      <x:c r="C648" s="34" t="str">
        <x:v>jcs321</x:v>
      </x:c>
      <x:c r="D648" s="34" t="str">
        <x:v>jcs321</x:v>
      </x:c>
      <x:c r="E648" s="36" t="n">
        <x:v>3</x:v>
      </x:c>
      <x:c r="F648" s="36" t="n">
        <x:v>3</x:v>
      </x:c>
      <x:c r="G648" s="36" t="n">
        <x:v>4</x:v>
      </x:c>
      <x:c r="H648" s="36" t="n">
        <x:v>4</x:v>
      </x:c>
      <x:c r="I648" s="34" t="str">
        <x:v>afterFinalUndeployEarly</x:v>
      </x:c>
      <x:c r="J648" s="34" t="str">
        <x:v>after-final-undeploy-early</x:v>
      </x:c>
      <x:c r="K648" s="36" t="n">
        <x:v>2</x:v>
      </x:c>
      <x:c r="L648" s="34" t="str">
        <x:v>early</x:v>
      </x:c>
      <x:c r="M648" s="34" t="str">
        <x:v>article1-unified-v4-2-fb3f101b-20260903-000401-default-f03-p4-jcs321-4-after-final-undeploy-early-2s</x:v>
      </x:c>
      <x:c r="N648" s="38" t="n">
        <x:v>46268.01230944444</x:v>
      </x:c>
      <x:c r="O648" s="36"/>
      <x:c r="P648" s="43"/>
      <x:c r="Q648" s="43"/>
      <x:c r="R648" s="43"/>
      <x:c r="S648" s="36"/>
      <x:c r="T648" s="44"/>
      <x:c r="U648" s="36" t="n">
        <x:v>35</x:v>
      </x:c>
      <x:c r="V648" s="36" t="n">
        <x:v>8</x:v>
      </x:c>
      <x:c r="W64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648" s="36"/>
      <x:c r="Y648" s="36"/>
      <x:c r="Z648" s="44"/>
      <x:c r="AA648" s="49"/>
      <x:c r="AB648" s="43" t="n">
        <x:v>17</x:v>
      </x:c>
      <x:c r="AC648" s="34"/>
      <x:c r="AD648" s="34"/>
      <x:c r="AE648" s="34" t="str">
        <x:v>article1-unified-v4-2-fb3f101b-20260903-000401-default-f03-p4-jcs321-4-after-final-undeploy-early-2s-thread-dump.txt</x:v>
      </x:c>
      <x:c r="AF648" s="34" t="str">
        <x:v>article1-unified-v4-2-fb3f101b-20260903-000401-default-f03-p4-jcs321-4-after-final-undeploy-early-tomcat-log.txt</x:v>
      </x:c>
      <x:c r="AG648" s="34"/>
      <x:c r="AH648" s="34"/>
      <x:c r="AI648" s="34"/>
    </x:row>
    <x:row r="649">
      <x:c r="A649" s="34" t="str">
        <x:v>article1-unified-v4-2-fb3f101b-20260903-000401-default-f03-p4-jcs321</x:v>
      </x:c>
      <x:c r="B649" s="34" t="str">
        <x:v>default</x:v>
      </x:c>
      <x:c r="C649" s="34" t="str">
        <x:v>jcs321</x:v>
      </x:c>
      <x:c r="D649" s="34" t="str">
        <x:v>jcs321</x:v>
      </x:c>
      <x:c r="E649" s="36" t="n">
        <x:v>3</x:v>
      </x:c>
      <x:c r="F649" s="36" t="n">
        <x:v>3</x:v>
      </x:c>
      <x:c r="G649" s="36" t="n">
        <x:v>4</x:v>
      </x:c>
      <x:c r="H649" s="36" t="n">
        <x:v>4</x:v>
      </x:c>
      <x:c r="I649" s="34" t="str">
        <x:v>afterFinalUndeploy</x:v>
      </x:c>
      <x:c r="J649" s="34" t="str">
        <x:v>after-final-undeploy-final</x:v>
      </x:c>
      <x:c r="K649" s="36" t="n">
        <x:v>2</x:v>
      </x:c>
      <x:c r="L649" s="34" t="str">
        <x:v>final</x:v>
      </x:c>
      <x:c r="M649" s="34" t="str">
        <x:v>article1-unified-v4-2-fb3f101b-20260903-000401-default-f03-p4-jcs321-4-after-final-undeploy-final-10s</x:v>
      </x:c>
      <x:c r="N649" s="38" t="n">
        <x:v>46268.012464039355</x:v>
      </x:c>
      <x:c r="O649" s="36" t="n">
        <x:v>2</x:v>
      </x:c>
      <x:c r="P649" s="43" t="n">
        <x:v>45209600</x:v>
      </x:c>
      <x:c r="Q649" s="43" t="n">
        <x:v>268435456</x:v>
      </x:c>
      <x:c r="R649" s="43" t="n">
        <x:v>584940544</x:v>
      </x:c>
      <x:c r="S649" s="36" t="n">
        <x:v>9</x:v>
      </x:c>
      <x:c r="T649" s="44" t="str">
        <x:v>0x00000000081177b8  0x0000000008003818  0x000079f37015a2d0    4436  21038080  21026408  org.apache.catalina.loader.ParallelWebappClassLoader | 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49" s="36" t="n">
        <x:v>35</x:v>
      </x:c>
      <x:c r="V649" s="36" t="n">
        <x:v>8</x:v>
      </x:c>
      <x:c r="W64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649" s="36" t="n">
        <x:v>8</x:v>
      </x:c>
      <x:c r="Y649" s="36" t="n">
        <x:v>8</x:v>
      </x:c>
      <x:c r="Z649" s="44" t="str">
        <x:v>/jcs321</x:v>
      </x:c>
      <x:c r="AA649" s="45" t="b">
        <x:v>1</x:v>
      </x:c>
      <x:c r="AB649" s="43"/>
      <x:c r="AC649" s="34" t="str">
        <x:v>article1-unified-v4-2-fb3f101b-20260903-000401-default-f03-p4-jcs321-4-after-final-undeploy-final-10s-heap-info.txt</x:v>
      </x:c>
      <x:c r="AD649" s="34" t="str">
        <x:v>article1-unified-v4-2-fb3f101b-20260903-000401-default-f03-p4-jcs321-4-after-final-undeploy-final-10s-classloader-stats.txt</x:v>
      </x:c>
      <x:c r="AE649" s="34" t="str">
        <x:v>article1-unified-v4-2-fb3f101b-20260903-000401-default-f03-p4-jcs321-4-after-final-undeploy-final-10s-thread-dump.txt</x:v>
      </x:c>
      <x:c r="AF649" s="34"/>
      <x:c r="AG649" s="34" t="str">
        <x:v>article1-unified-v4-2-fb3f101b-20260903-000401-default-f03-p4-jcs321-4-after-final-undeploy-final-10s-native-memory.txt</x:v>
      </x:c>
      <x:c r="AH649" s="34" t="str">
        <x:v>article1-unified-v4-2-fb3f101b-20260903-000401-default-f03-p4-jcs321-4-after-final-undeploy-final-10s-class-histogram.txt</x:v>
      </x:c>
      <x:c r="AI649" s="34" t="str">
        <x:v>article1-unified-v4-2-fb3f101b-20260903-000401-default-f03-p4-jcs321-4-after-final-undeploy-tomcat-findleaks.txt</x:v>
      </x:c>
    </x:row>
    <x:row r="650">
      <x:c r="A650" s="34" t="str">
        <x:v>article1-unified-v4-2-fb3f101b-20260903-000401-default-f03-p4-jcs321</x:v>
      </x:c>
      <x:c r="B650" s="34" t="str">
        <x:v>default</x:v>
      </x:c>
      <x:c r="C650" s="34" t="str">
        <x:v>jcs321</x:v>
      </x:c>
      <x:c r="D650" s="34" t="str">
        <x:v>jcs321</x:v>
      </x:c>
      <x:c r="E650" s="36" t="n">
        <x:v>3</x:v>
      </x:c>
      <x:c r="F650" s="36" t="n">
        <x:v>3</x:v>
      </x:c>
      <x:c r="G650" s="36" t="n">
        <x:v>4</x:v>
      </x:c>
      <x:c r="H650" s="36" t="n">
        <x:v>5</x:v>
      </x:c>
      <x:c r="I650" s="34" t="str">
        <x:v>baseline</x:v>
      </x:c>
      <x:c r="J650" s="34" t="str">
        <x:v>cycle-baseline</x:v>
      </x:c>
      <x:c r="K650" s="36" t="n">
        <x:v>0</x:v>
      </x:c>
      <x:c r="L650" s="34" t="str">
        <x:v>baseline</x:v>
      </x:c>
      <x:c r="M650" s="34" t="str">
        <x:v>article1-unified-v4-2-fb3f101b-20260903-000401-default-f03-p4-jcs321-5-baseline</x:v>
      </x:c>
      <x:c r="N650" s="38" t="n">
        <x:v>46268.01250582176</x:v>
      </x:c>
      <x:c r="O650" s="36" t="n">
        <x:v>0</x:v>
      </x:c>
      <x:c r="P650" s="43" t="n">
        <x:v>45211648</x:v>
      </x:c>
      <x:c r="Q650" s="43" t="n">
        <x:v>268435456</x:v>
      </x:c>
      <x:c r="R650" s="43" t="n">
        <x:v>584939520</x:v>
      </x:c>
      <x:c r="S650" s="36" t="n">
        <x:v>9</x:v>
      </x:c>
      <x:c r="T650" s="44" t="str">
        <x:v>0x00000000081177b8  0x0000000008003818  0x000079f37015a2d0    4436  21038080  21026408  org.apache.catalina.loader.ParallelWebappClassLoader | 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50" s="36" t="n">
        <x:v>35</x:v>
      </x:c>
      <x:c r="V650" s="36" t="n">
        <x:v>8</x:v>
      </x:c>
      <x:c r="W65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650" s="36"/>
      <x:c r="Y650" s="36"/>
      <x:c r="Z650" s="44"/>
      <x:c r="AA650" s="49"/>
      <x:c r="AB650" s="43"/>
      <x:c r="AC650" s="34" t="str">
        <x:v>article1-unified-v4-2-fb3f101b-20260903-000401-default-f03-p4-jcs321-5-baseline-heap-info.txt</x:v>
      </x:c>
      <x:c r="AD650" s="34" t="str">
        <x:v>article1-unified-v4-2-fb3f101b-20260903-000401-default-f03-p4-jcs321-5-baseline-classloader-stats.txt</x:v>
      </x:c>
      <x:c r="AE650" s="34" t="str">
        <x:v>article1-unified-v4-2-fb3f101b-20260903-000401-default-f03-p4-jcs321-5-baseline-thread-dump.txt</x:v>
      </x:c>
      <x:c r="AF650" s="34"/>
      <x:c r="AG650" s="34" t="str">
        <x:v>article1-unified-v4-2-fb3f101b-20260903-000401-default-f03-p4-jcs321-5-baseline-native-memory.txt</x:v>
      </x:c>
      <x:c r="AH650" s="34"/>
      <x:c r="AI650" s="34"/>
    </x:row>
    <x:row r="651">
      <x:c r="A651" s="34" t="str">
        <x:v>article1-unified-v4-2-fb3f101b-20260903-000401-default-f03-p4-jcs321</x:v>
      </x:c>
      <x:c r="B651" s="34" t="str">
        <x:v>default</x:v>
      </x:c>
      <x:c r="C651" s="34" t="str">
        <x:v>jcs321</x:v>
      </x:c>
      <x:c r="D651" s="34" t="str">
        <x:v>jcs321</x:v>
      </x:c>
      <x:c r="E651" s="36" t="n">
        <x:v>3</x:v>
      </x:c>
      <x:c r="F651" s="36" t="n">
        <x:v>3</x:v>
      </x:c>
      <x:c r="G651" s="36" t="n">
        <x:v>4</x:v>
      </x:c>
      <x:c r="H651" s="36" t="n">
        <x:v>5</x:v>
      </x:c>
      <x:c r="I651" s="34" t="str">
        <x:v>deployedIdle</x:v>
      </x:c>
      <x:c r="J651" s="34" t="str">
        <x:v>deployed-idle</x:v>
      </x:c>
      <x:c r="K651" s="36" t="n">
        <x:v>0</x:v>
      </x:c>
      <x:c r="L651" s="34" t="str">
        <x:v>initial</x:v>
      </x:c>
      <x:c r="M651" s="34" t="str">
        <x:v>article1-unified-v4-2-fb3f101b-20260903-000401-default-f03-p4-jcs321-5-deployed-idle</x:v>
      </x:c>
      <x:c r="N651" s="38" t="n">
        <x:v>46268.01260094907</x:v>
      </x:c>
      <x:c r="O651" s="36" t="n">
        <x:v>0</x:v>
      </x:c>
      <x:c r="P651" s="43" t="n">
        <x:v>189410304</x:v>
      </x:c>
      <x:c r="Q651" s="43" t="n">
        <x:v>268435456</x:v>
      </x:c>
      <x:c r="R651" s="43" t="n">
        <x:v>620463104</x:v>
      </x:c>
      <x:c r="S651" s="36" t="n">
        <x:v>10</x:v>
      </x:c>
      <x:c r="T651" s="44" t="str">
        <x:v>0x00000000081177b8  0x0000000008003818  0x000079f37015a2d0    4436  21038080  21026408  org.apache.catalina.loader.ParallelWebappClassLoader | 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0x000079f34c491be0    4091  19436544  19428864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51" s="36" t="n">
        <x:v>35</x:v>
      </x:c>
      <x:c r="V651" s="36" t="n">
        <x:v>8</x:v>
      </x:c>
      <x:c r="W65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651" s="36"/>
      <x:c r="Y651" s="36"/>
      <x:c r="Z651" s="44"/>
      <x:c r="AA651" s="49"/>
      <x:c r="AB651" s="43"/>
      <x:c r="AC651" s="34"/>
      <x:c r="AD651" s="34"/>
      <x:c r="AE651" s="34"/>
      <x:c r="AF651" s="34"/>
      <x:c r="AG651" s="34"/>
      <x:c r="AH651" s="34"/>
      <x:c r="AI651" s="34"/>
    </x:row>
    <x:row r="652">
      <x:c r="A652" s="34" t="str">
        <x:v>article1-unified-v4-2-fb3f101b-20260903-000401-default-f03-p4-jcs321</x:v>
      </x:c>
      <x:c r="B652" s="34" t="str">
        <x:v>default</x:v>
      </x:c>
      <x:c r="C652" s="34" t="str">
        <x:v>jcs321</x:v>
      </x:c>
      <x:c r="D652" s="34" t="str">
        <x:v>jcs321</x:v>
      </x:c>
      <x:c r="E652" s="36" t="n">
        <x:v>3</x:v>
      </x:c>
      <x:c r="F652" s="36" t="n">
        <x:v>3</x:v>
      </x:c>
      <x:c r="G652" s="36" t="n">
        <x:v>4</x:v>
      </x:c>
      <x:c r="H652" s="36" t="n">
        <x:v>5</x:v>
      </x:c>
      <x:c r="I652" s="34" t="str">
        <x:v>loaded</x:v>
      </x:c>
      <x:c r="J652" s="34" t="str">
        <x:v>loaded</x:v>
      </x:c>
      <x:c r="K652" s="36" t="n">
        <x:v>0</x:v>
      </x:c>
      <x:c r="L652" s="34" t="str">
        <x:v>initial</x:v>
      </x:c>
      <x:c r="M652" s="34" t="str">
        <x:v>article1-unified-v4-2-fb3f101b-20260903-000401-default-f03-p4-jcs321-5-loaded</x:v>
      </x:c>
      <x:c r="N652" s="38" t="n">
        <x:v>46268.012752083334</x:v>
      </x:c>
      <x:c r="O652" s="36" t="n">
        <x:v>0</x:v>
      </x:c>
      <x:c r="P652" s="43" t="n">
        <x:v>158533632</x:v>
      </x:c>
      <x:c r="Q652" s="43" t="n">
        <x:v>268435456</x:v>
      </x:c>
      <x:c r="R652" s="43" t="n">
        <x:v>609071104</x:v>
      </x:c>
      <x:c r="S652" s="36" t="n">
        <x:v>10</x:v>
      </x:c>
      <x:c r="T652" s="44" t="str">
        <x:v>0x00000000081177b8  0x0000000008003818  0x000079f37015a2d0    4436  21038080  21026408  org.apache.catalina.loader.ParallelWebappClassLoader | 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0x000079f34c491be0    4418  20993024  20977232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52" s="36" t="n">
        <x:v>36</x:v>
      </x:c>
      <x:c r="V652" s="36" t="n">
        <x:v>9</x:v>
      </x:c>
      <x:c r="W65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652" s="36"/>
      <x:c r="Y652" s="36"/>
      <x:c r="Z652" s="44"/>
      <x:c r="AA652" s="49"/>
      <x:c r="AB652" s="43"/>
      <x:c r="AC652" s="34"/>
      <x:c r="AD652" s="34"/>
      <x:c r="AE652" s="34"/>
      <x:c r="AF652" s="34"/>
      <x:c r="AG652" s="34"/>
      <x:c r="AH652" s="34"/>
      <x:c r="AI652" s="34"/>
    </x:row>
    <x:row r="653">
      <x:c r="A653" s="34" t="str">
        <x:v>article1-unified-v4-2-fb3f101b-20260903-000401-default-f03-p4-jcs321</x:v>
      </x:c>
      <x:c r="B653" s="34" t="str">
        <x:v>default</x:v>
      </x:c>
      <x:c r="C653" s="34" t="str">
        <x:v>jcs321</x:v>
      </x:c>
      <x:c r="D653" s="34" t="str">
        <x:v>jcs321</x:v>
      </x:c>
      <x:c r="E653" s="36" t="n">
        <x:v>3</x:v>
      </x:c>
      <x:c r="F653" s="36" t="n">
        <x:v>3</x:v>
      </x:c>
      <x:c r="G653" s="36" t="n">
        <x:v>4</x:v>
      </x:c>
      <x:c r="H653" s="36" t="n">
        <x:v>5</x:v>
      </x:c>
      <x:c r="I653" s="34" t="str">
        <x:v>afterUndeployEarly</x:v>
      </x:c>
      <x:c r="J653" s="34" t="str">
        <x:v>after-undeploy-early</x:v>
      </x:c>
      <x:c r="K653" s="36" t="n">
        <x:v>1</x:v>
      </x:c>
      <x:c r="L653" s="34" t="str">
        <x:v>early</x:v>
      </x:c>
      <x:c r="M653" s="34" t="str">
        <x:v>article1-unified-v4-2-fb3f101b-20260903-000401-default-f03-p4-jcs321-5-after-undeploy-early-2s</x:v>
      </x:c>
      <x:c r="N653" s="38" t="n">
        <x:v>46268.01283472222</x:v>
      </x:c>
      <x:c r="O653" s="36"/>
      <x:c r="P653" s="43"/>
      <x:c r="Q653" s="43"/>
      <x:c r="R653" s="43"/>
      <x:c r="S653" s="36"/>
      <x:c r="T653" s="44"/>
      <x:c r="U653" s="36" t="n">
        <x:v>36</x:v>
      </x:c>
      <x:c r="V653" s="36" t="n">
        <x:v>9</x:v>
      </x:c>
      <x:c r="W65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653" s="36"/>
      <x:c r="Y653" s="36"/>
      <x:c r="Z653" s="44"/>
      <x:c r="AA653" s="49"/>
      <x:c r="AB653" s="43" t="n">
        <x:v>17</x:v>
      </x:c>
      <x:c r="AC653" s="34"/>
      <x:c r="AD653" s="34"/>
      <x:c r="AE653" s="34" t="str">
        <x:v>article1-unified-v4-2-fb3f101b-20260903-000401-default-f03-p4-jcs321-5-after-undeploy-early-2s-thread-dump.txt</x:v>
      </x:c>
      <x:c r="AF653" s="34" t="str">
        <x:v>article1-unified-v4-2-fb3f101b-20260903-000401-default-f03-p4-jcs321-5-after-undeploy-early-tomcat-log.txt</x:v>
      </x:c>
      <x:c r="AG653" s="34"/>
      <x:c r="AH653" s="34"/>
      <x:c r="AI653" s="34"/>
    </x:row>
    <x:row r="654">
      <x:c r="A654" s="34" t="str">
        <x:v>article1-unified-v4-2-fb3f101b-20260903-000401-default-f03-p4-jcs321</x:v>
      </x:c>
      <x:c r="B654" s="34" t="str">
        <x:v>default</x:v>
      </x:c>
      <x:c r="C654" s="34" t="str">
        <x:v>jcs321</x:v>
      </x:c>
      <x:c r="D654" s="34" t="str">
        <x:v>jcs321</x:v>
      </x:c>
      <x:c r="E654" s="36" t="n">
        <x:v>3</x:v>
      </x:c>
      <x:c r="F654" s="36" t="n">
        <x:v>3</x:v>
      </x:c>
      <x:c r="G654" s="36" t="n">
        <x:v>4</x:v>
      </x:c>
      <x:c r="H654" s="36" t="n">
        <x:v>5</x:v>
      </x:c>
      <x:c r="I654" s="34" t="str">
        <x:v>afterUndeploy</x:v>
      </x:c>
      <x:c r="J654" s="34" t="str">
        <x:v>after-undeploy-final</x:v>
      </x:c>
      <x:c r="K654" s="36" t="n">
        <x:v>1</x:v>
      </x:c>
      <x:c r="L654" s="34" t="str">
        <x:v>final</x:v>
      </x:c>
      <x:c r="M654" s="34" t="str">
        <x:v>article1-unified-v4-2-fb3f101b-20260903-000401-default-f03-p4-jcs321-5-after-undeploy-final-10s</x:v>
      </x:c>
      <x:c r="N654" s="38" t="n">
        <x:v>46268.012993344906</x:v>
      </x:c>
      <x:c r="O654" s="36" t="n">
        <x:v>2</x:v>
      </x:c>
      <x:c r="P654" s="43" t="n">
        <x:v>49452032</x:v>
      </x:c>
      <x:c r="Q654" s="43" t="n">
        <x:v>268435456</x:v>
      </x:c>
      <x:c r="R654" s="43" t="n">
        <x:v>606995456</x:v>
      </x:c>
      <x:c r="S654" s="36" t="n">
        <x:v>10</x:v>
      </x:c>
      <x:c r="T654" s="44" t="str">
        <x:v>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0x000079f37015a2d0    4436  21038080  21026408  org.apache.catalina.loader.ParallelWebappClassLoader | 0x00000000081177b8  0x0000000008003818  0x000079f34c491be0    4432  21025792  21012176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54" s="36" t="n">
        <x:v>36</x:v>
      </x:c>
      <x:c r="V654" s="36" t="n">
        <x:v>9</x:v>
      </x:c>
      <x:c r="W65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654" s="36" t="n">
        <x:v>9</x:v>
      </x:c>
      <x:c r="Y654" s="36" t="n">
        <x:v>9</x:v>
      </x:c>
      <x:c r="Z654" s="44" t="str">
        <x:v>/jcs321</x:v>
      </x:c>
      <x:c r="AA654" s="45" t="b">
        <x:v>1</x:v>
      </x:c>
      <x:c r="AB654" s="43"/>
      <x:c r="AC654" s="34" t="str">
        <x:v>article1-unified-v4-2-fb3f101b-20260903-000401-default-f03-p4-jcs321-5-after-undeploy-final-10s-heap-info.txt</x:v>
      </x:c>
      <x:c r="AD654" s="34" t="str">
        <x:v>article1-unified-v4-2-fb3f101b-20260903-000401-default-f03-p4-jcs321-5-after-undeploy-final-10s-classloader-stats.txt</x:v>
      </x:c>
      <x:c r="AE654" s="34" t="str">
        <x:v>article1-unified-v4-2-fb3f101b-20260903-000401-default-f03-p4-jcs321-5-after-undeploy-final-10s-thread-dump.txt</x:v>
      </x:c>
      <x:c r="AF654" s="34"/>
      <x:c r="AG654" s="34" t="str">
        <x:v>article1-unified-v4-2-fb3f101b-20260903-000401-default-f03-p4-jcs321-5-after-undeploy-final-10s-native-memory.txt</x:v>
      </x:c>
      <x:c r="AH654" s="34" t="str">
        <x:v>article1-unified-v4-2-fb3f101b-20260903-000401-default-f03-p4-jcs321-5-after-undeploy-final-10s-class-histogram.txt</x:v>
      </x:c>
      <x:c r="AI654" s="34" t="str">
        <x:v>article1-unified-v4-2-fb3f101b-20260903-000401-default-f03-p4-jcs321-5-after-undeploy-tomcat-findleaks.txt</x:v>
      </x:c>
    </x:row>
    <x:row r="655">
      <x:c r="A655" s="34" t="str">
        <x:v>article1-unified-v4-2-fb3f101b-20260903-000401-default-f03-p4-jcs321</x:v>
      </x:c>
      <x:c r="B655" s="34" t="str">
        <x:v>default</x:v>
      </x:c>
      <x:c r="C655" s="34" t="str">
        <x:v>jcs321</x:v>
      </x:c>
      <x:c r="D655" s="34" t="str">
        <x:v>jcs321</x:v>
      </x:c>
      <x:c r="E655" s="36" t="n">
        <x:v>3</x:v>
      </x:c>
      <x:c r="F655" s="36" t="n">
        <x:v>3</x:v>
      </x:c>
      <x:c r="G655" s="36" t="n">
        <x:v>4</x:v>
      </x:c>
      <x:c r="H655" s="36" t="n">
        <x:v>5</x:v>
      </x:c>
      <x:c r="I655" s="34" t="str">
        <x:v>redeployedLoaded</x:v>
      </x:c>
      <x:c r="J655" s="34" t="str">
        <x:v>redeployed-loaded</x:v>
      </x:c>
      <x:c r="K655" s="36" t="n">
        <x:v>0</x:v>
      </x:c>
      <x:c r="L655" s="34" t="str">
        <x:v>redeploy</x:v>
      </x:c>
      <x:c r="M655" s="34" t="str">
        <x:v>article1-unified-v4-2-fb3f101b-20260903-000401-default-f03-p4-jcs321-5-redeployed-loaded</x:v>
      </x:c>
      <x:c r="N655" s="38" t="n">
        <x:v>46268.013250219905</x:v>
      </x:c>
      <x:c r="O655" s="36" t="n">
        <x:v>0</x:v>
      </x:c>
      <x:c r="P655" s="43" t="n">
        <x:v>164390912</x:v>
      </x:c>
      <x:c r="Q655" s="43" t="n">
        <x:v>268435456</x:v>
      </x:c>
      <x:c r="R655" s="43" t="n">
        <x:v>632171520</x:v>
      </x:c>
      <x:c r="S655" s="36" t="n">
        <x:v>11</x:v>
      </x:c>
      <x:c r="T655" s="44" t="str">
        <x:v>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0x000079f3584085a0    4428  21019648  20998008  org.apache.catalina.loader.ParallelWebappClassLoader | 0x00000000081177b8  0x0000000008003818  0x000079f37015a2d0    4436  21038080  21026408  org.apache.catalina.loader.ParallelWebappClassLoader | 0x00000000081177b8  0x0000000008003818  0x000079f34c491be0    4432  21025792  21012176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55" s="36" t="n">
        <x:v>37</x:v>
      </x:c>
      <x:c r="V655" s="36" t="n">
        <x:v>10</x:v>
      </x:c>
      <x:c r="W65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655" s="36"/>
      <x:c r="Y655" s="36"/>
      <x:c r="Z655" s="44"/>
      <x:c r="AA655" s="49"/>
      <x:c r="AB655" s="43"/>
      <x:c r="AC655" s="34"/>
      <x:c r="AD655" s="34"/>
      <x:c r="AE655" s="34"/>
      <x:c r="AF655" s="34"/>
      <x:c r="AG655" s="34"/>
      <x:c r="AH655" s="34"/>
      <x:c r="AI655" s="34"/>
    </x:row>
    <x:row r="656">
      <x:c r="A656" s="34" t="str">
        <x:v>article1-unified-v4-2-fb3f101b-20260903-000401-default-f03-p4-jcs321</x:v>
      </x:c>
      <x:c r="B656" s="34" t="str">
        <x:v>default</x:v>
      </x:c>
      <x:c r="C656" s="34" t="str">
        <x:v>jcs321</x:v>
      </x:c>
      <x:c r="D656" s="34" t="str">
        <x:v>jcs321</x:v>
      </x:c>
      <x:c r="E656" s="36" t="n">
        <x:v>3</x:v>
      </x:c>
      <x:c r="F656" s="36" t="n">
        <x:v>3</x:v>
      </x:c>
      <x:c r="G656" s="36" t="n">
        <x:v>4</x:v>
      </x:c>
      <x:c r="H656" s="36" t="n">
        <x:v>5</x:v>
      </x:c>
      <x:c r="I656" s="34" t="str">
        <x:v>afterFinalUndeployEarly</x:v>
      </x:c>
      <x:c r="J656" s="34" t="str">
        <x:v>after-final-undeploy-early</x:v>
      </x:c>
      <x:c r="K656" s="36" t="n">
        <x:v>2</x:v>
      </x:c>
      <x:c r="L656" s="34" t="str">
        <x:v>early</x:v>
      </x:c>
      <x:c r="M656" s="34" t="str">
        <x:v>article1-unified-v4-2-fb3f101b-20260903-000401-default-f03-p4-jcs321-5-after-final-undeploy-early-2s</x:v>
      </x:c>
      <x:c r="N656" s="38" t="n">
        <x:v>46268.01333260417</x:v>
      </x:c>
      <x:c r="O656" s="36"/>
      <x:c r="P656" s="43"/>
      <x:c r="Q656" s="43"/>
      <x:c r="R656" s="43"/>
      <x:c r="S656" s="36"/>
      <x:c r="T656" s="44"/>
      <x:c r="U656" s="36" t="n">
        <x:v>37</x:v>
      </x:c>
      <x:c r="V656" s="36" t="n">
        <x:v>10</x:v>
      </x:c>
      <x:c r="W65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656" s="36"/>
      <x:c r="Y656" s="36"/>
      <x:c r="Z656" s="44"/>
      <x:c r="AA656" s="49"/>
      <x:c r="AB656" s="43" t="n">
        <x:v>17</x:v>
      </x:c>
      <x:c r="AC656" s="34"/>
      <x:c r="AD656" s="34"/>
      <x:c r="AE656" s="34" t="str">
        <x:v>article1-unified-v4-2-fb3f101b-20260903-000401-default-f03-p4-jcs321-5-after-final-undeploy-early-2s-thread-dump.txt</x:v>
      </x:c>
      <x:c r="AF656" s="34" t="str">
        <x:v>article1-unified-v4-2-fb3f101b-20260903-000401-default-f03-p4-jcs321-5-after-final-undeploy-early-tomcat-log.txt</x:v>
      </x:c>
      <x:c r="AG656" s="34"/>
      <x:c r="AH656" s="34"/>
      <x:c r="AI656" s="34"/>
    </x:row>
    <x:row r="657">
      <x:c r="A657" s="34" t="str">
        <x:v>article1-unified-v4-2-fb3f101b-20260903-000401-default-f03-p4-jcs321</x:v>
      </x:c>
      <x:c r="B657" s="34" t="str">
        <x:v>default</x:v>
      </x:c>
      <x:c r="C657" s="34" t="str">
        <x:v>jcs321</x:v>
      </x:c>
      <x:c r="D657" s="34" t="str">
        <x:v>jcs321</x:v>
      </x:c>
      <x:c r="E657" s="36" t="n">
        <x:v>3</x:v>
      </x:c>
      <x:c r="F657" s="36" t="n">
        <x:v>3</x:v>
      </x:c>
      <x:c r="G657" s="36" t="n">
        <x:v>4</x:v>
      </x:c>
      <x:c r="H657" s="36" t="n">
        <x:v>5</x:v>
      </x:c>
      <x:c r="I657" s="34" t="str">
        <x:v>afterFinalUndeploy</x:v>
      </x:c>
      <x:c r="J657" s="34" t="str">
        <x:v>after-final-undeploy-final</x:v>
      </x:c>
      <x:c r="K657" s="36" t="n">
        <x:v>2</x:v>
      </x:c>
      <x:c r="L657" s="34" t="str">
        <x:v>final</x:v>
      </x:c>
      <x:c r="M657" s="34" t="str">
        <x:v>article1-unified-v4-2-fb3f101b-20260903-000401-default-f03-p4-jcs321-5-after-final-undeploy-final-10s</x:v>
      </x:c>
      <x:c r="N657" s="38" t="n">
        <x:v>46268.01349179398</x:v>
      </x:c>
      <x:c r="O657" s="36" t="n">
        <x:v>2</x:v>
      </x:c>
      <x:c r="P657" s="43" t="n">
        <x:v>53680128</x:v>
      </x:c>
      <x:c r="Q657" s="43" t="n">
        <x:v>268435456</x:v>
      </x:c>
      <x:c r="R657" s="43" t="n">
        <x:v>629208064</x:v>
      </x:c>
      <x:c r="S657" s="36" t="n">
        <x:v>11</x:v>
      </x:c>
      <x:c r="T657" s="44" t="str">
        <x:v>0x00000000081177b8  0x0000000008003818  0x000079f33019a180    4426  21018624  21009256  org.apache.catalina.loader.ParallelWebappClassLoader | 0x00000000081177b8  0x0000000008003818  0x000079f3f4615c70       0         0         0  org.apache.catalina.loader.ParallelWebappClassLoader | 0x00000000081177b8  0x0000000008003818  0x000079f3584085a0    4442  21052416  21032960  org.apache.catalina.loader.ParallelWebappClassLoader | 0x00000000081177b8  0x0000000008003818  0x000079f37015a2d0    4436  21038080  21026408  org.apache.catalina.loader.ParallelWebappClassLoader | 0x00000000081177b8  0x0000000008003818  0x000079f34c491be0    4432  21025792  21012176  org.apache.catalina.loader.ParallelWebappClassLoader | 0x00000000081177b8  0x0000000008003818  0x000079f36800d780    4428  21015552  20996584  org.apache.catalina.loader.ParallelWebappClassLoader | 0x00000000081177b8  0x0000000008003818  0x000079f36000e0b0    4455  21066752  21047240  org.apache.catalina.loader.ParallelWebappClassLoader | 0x00000000081177b8  0x0000000008003818  0x000079f36c1dd430    4430  21014528  20995616  org.apache.catalina.loader.ParallelWebappClassLoader | 0x00000000081177b8  0x0000000008003818  0x000079f354168f50    4428  21014528  21008576  org.apache.catalina.loader.ParallelWebappClassLoader | 0x00000000081177b8  0x0000000008003818  0x000079f358008660    4434  21019648  20996472  org.apache.catalina.loader.ParallelWebappClassLoader | 0x00000000081177b8  0x0000000008003818  0x000079f34c033c00    4460  21013504  20998040  org.apache.catalina.loader.ParallelWebappClassLoader</x:v>
      </x:c>
      <x:c r="U657" s="36" t="n">
        <x:v>37</x:v>
      </x:c>
      <x:c r="V657" s="36" t="n">
        <x:v>10</x:v>
      </x:c>
      <x:c r="W65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657" s="36" t="n">
        <x:v>10</x:v>
      </x:c>
      <x:c r="Y657" s="36" t="n">
        <x:v>10</x:v>
      </x:c>
      <x:c r="Z657" s="44" t="str">
        <x:v>/jcs321</x:v>
      </x:c>
      <x:c r="AA657" s="45" t="b">
        <x:v>1</x:v>
      </x:c>
      <x:c r="AB657" s="43"/>
      <x:c r="AC657" s="34" t="str">
        <x:v>article1-unified-v4-2-fb3f101b-20260903-000401-default-f03-p4-jcs321-5-after-final-undeploy-final-10s-heap-info.txt</x:v>
      </x:c>
      <x:c r="AD657" s="34" t="str">
        <x:v>article1-unified-v4-2-fb3f101b-20260903-000401-default-f03-p4-jcs321-5-after-final-undeploy-final-10s-classloader-stats.txt</x:v>
      </x:c>
      <x:c r="AE657" s="34" t="str">
        <x:v>article1-unified-v4-2-fb3f101b-20260903-000401-default-f03-p4-jcs321-5-after-final-undeploy-final-10s-thread-dump.txt</x:v>
      </x:c>
      <x:c r="AF657" s="34"/>
      <x:c r="AG657" s="34" t="str">
        <x:v>article1-unified-v4-2-fb3f101b-20260903-000401-default-f03-p4-jcs321-5-after-final-undeploy-final-10s-native-memory.txt</x:v>
      </x:c>
      <x:c r="AH657" s="34" t="str">
        <x:v>article1-unified-v4-2-fb3f101b-20260903-000401-default-f03-p4-jcs321-5-after-final-undeploy-final-10s-class-histogram.txt</x:v>
      </x:c>
      <x:c r="AI657" s="34" t="str">
        <x:v>article1-unified-v4-2-fb3f101b-20260903-000401-default-f03-p4-jcs321-5-after-final-undeploy-tomcat-findleaks.txt</x:v>
      </x:c>
    </x:row>
    <x:row r="658">
      <x:c r="A658" s="34" t="str">
        <x:v>article1-unified-v4-2-fb3f101b-20260903-000401-default-f03-p5-caffeine</x:v>
      </x:c>
      <x:c r="B658" s="34" t="str">
        <x:v>default</x:v>
      </x:c>
      <x:c r="C658" s="34" t="str">
        <x:v>caffeine</x:v>
      </x:c>
      <x:c r="D658" s="34" t="str">
        <x:v>caffeine</x:v>
      </x:c>
      <x:c r="E658" s="36" t="n">
        <x:v>3</x:v>
      </x:c>
      <x:c r="F658" s="36" t="n">
        <x:v>3</x:v>
      </x:c>
      <x:c r="G658" s="36" t="n">
        <x:v>5</x:v>
      </x:c>
      <x:c r="H658" s="36" t="n">
        <x:v>0</x:v>
      </x:c>
      <x:c r="I658" s="34" t="str">
        <x:v>processBaseline</x:v>
      </x:c>
      <x:c r="J658" s="34" t="str">
        <x:v>process-baseline</x:v>
      </x:c>
      <x:c r="K658" s="36" t="n">
        <x:v>0</x:v>
      </x:c>
      <x:c r="L658" s="34" t="str">
        <x:v>baseline</x:v>
      </x:c>
      <x:c r="M658" s="34" t="str">
        <x:v>article1-unified-v4-2-fb3f101b-20260903-000401-default-f03-p5-caffeine-process-baseline</x:v>
      </x:c>
      <x:c r="N658" s="38" t="n">
        <x:v>46268.013759733796</x:v>
      </x:c>
      <x:c r="O658" s="36" t="n">
        <x:v>0</x:v>
      </x:c>
      <x:c r="P658" s="43" t="n">
        <x:v>32745472</x:v>
      </x:c>
      <x:c r="Q658" s="43" t="n">
        <x:v>270532608</x:v>
      </x:c>
      <x:c r="R658" s="43" t="n">
        <x:v>369254400</x:v>
      </x:c>
      <x:c r="S658" s="36" t="n">
        <x:v>1</x:v>
      </x:c>
      <x:c r="T658" s="44" t="str">
        <x:v>0x00000000581177b8  0x0000000058003818  0x00007abe80615470       0         0         0  org.apache.catalina.loader.ParallelWebappClassLoader</x:v>
      </x:c>
      <x:c r="U658" s="36" t="n">
        <x:v>27</x:v>
      </x:c>
      <x:c r="V658" s="36" t="n">
        <x:v>0</x:v>
      </x:c>
      <x:c r="W658" s="44"/>
      <x:c r="X658" s="36"/>
      <x:c r="Y658" s="36"/>
      <x:c r="Z658" s="44"/>
      <x:c r="AA658" s="49"/>
      <x:c r="AB658" s="43"/>
      <x:c r="AC658" s="34" t="str">
        <x:v>article1-unified-v4-2-fb3f101b-20260903-000401-default-f03-p5-caffeine-process-baseline-heap-info.txt</x:v>
      </x:c>
      <x:c r="AD658" s="34" t="str">
        <x:v>article1-unified-v4-2-fb3f101b-20260903-000401-default-f03-p5-caffeine-process-baseline-classloader-stats.txt</x:v>
      </x:c>
      <x:c r="AE658" s="34" t="str">
        <x:v>article1-unified-v4-2-fb3f101b-20260903-000401-default-f03-p5-caffeine-process-baseline-thread-dump.txt</x:v>
      </x:c>
      <x:c r="AF658" s="34"/>
      <x:c r="AG658" s="34" t="str">
        <x:v>article1-unified-v4-2-fb3f101b-20260903-000401-default-f03-p5-caffeine-process-baseline-native-memory.txt</x:v>
      </x:c>
      <x:c r="AH658" s="34"/>
      <x:c r="AI658" s="34"/>
    </x:row>
    <x:row r="659">
      <x:c r="A659" s="34" t="str">
        <x:v>article1-unified-v4-2-fb3f101b-20260903-000401-default-f03-p5-caffeine</x:v>
      </x:c>
      <x:c r="B659" s="34" t="str">
        <x:v>default</x:v>
      </x:c>
      <x:c r="C659" s="34" t="str">
        <x:v>caffeine</x:v>
      </x:c>
      <x:c r="D659" s="34" t="str">
        <x:v>caffeine</x:v>
      </x:c>
      <x:c r="E659" s="36" t="n">
        <x:v>3</x:v>
      </x:c>
      <x:c r="F659" s="36" t="n">
        <x:v>3</x:v>
      </x:c>
      <x:c r="G659" s="36" t="n">
        <x:v>5</x:v>
      </x:c>
      <x:c r="H659" s="36" t="n">
        <x:v>1</x:v>
      </x:c>
      <x:c r="I659" s="34" t="str">
        <x:v>baseline</x:v>
      </x:c>
      <x:c r="J659" s="34" t="str">
        <x:v>cycle-baseline</x:v>
      </x:c>
      <x:c r="K659" s="36" t="n">
        <x:v>0</x:v>
      </x:c>
      <x:c r="L659" s="34" t="str">
        <x:v>baseline</x:v>
      </x:c>
      <x:c r="M659" s="34" t="str">
        <x:v>article1-unified-v4-2-fb3f101b-20260903-000401-default-f03-p5-caffeine-1-baseline</x:v>
      </x:c>
      <x:c r="N659" s="38" t="n">
        <x:v>46268.01394537037</x:v>
      </x:c>
      <x:c r="O659" s="36" t="n">
        <x:v>0</x:v>
      </x:c>
      <x:c r="P659" s="43" t="n">
        <x:v>33269760</x:v>
      </x:c>
      <x:c r="Q659" s="43" t="n">
        <x:v>270532608</x:v>
      </x:c>
      <x:c r="R659" s="43" t="n">
        <x:v>369840128</x:v>
      </x:c>
      <x:c r="S659" s="36" t="n">
        <x:v>1</x:v>
      </x:c>
      <x:c r="T659" s="44" t="str">
        <x:v>0x00000000581177b8  0x0000000058003818  0x00007abe80615470       0         0         0  org.apache.catalina.loader.ParallelWebappClassLoader</x:v>
      </x:c>
      <x:c r="U659" s="36" t="n">
        <x:v>27</x:v>
      </x:c>
      <x:c r="V659" s="36" t="n">
        <x:v>0</x:v>
      </x:c>
      <x:c r="W659" s="44"/>
      <x:c r="X659" s="36"/>
      <x:c r="Y659" s="36"/>
      <x:c r="Z659" s="44"/>
      <x:c r="AA659" s="49"/>
      <x:c r="AB659" s="43"/>
      <x:c r="AC659" s="34" t="str">
        <x:v>article1-unified-v4-2-fb3f101b-20260903-000401-default-f03-p5-caffeine-1-baseline-heap-info.txt</x:v>
      </x:c>
      <x:c r="AD659" s="34" t="str">
        <x:v>article1-unified-v4-2-fb3f101b-20260903-000401-default-f03-p5-caffeine-1-baseline-classloader-stats.txt</x:v>
      </x:c>
      <x:c r="AE659" s="34" t="str">
        <x:v>article1-unified-v4-2-fb3f101b-20260903-000401-default-f03-p5-caffeine-1-baseline-thread-dump.txt</x:v>
      </x:c>
      <x:c r="AF659" s="34"/>
      <x:c r="AG659" s="34" t="str">
        <x:v>article1-unified-v4-2-fb3f101b-20260903-000401-default-f03-p5-caffeine-1-baseline-native-memory.txt</x:v>
      </x:c>
      <x:c r="AH659" s="34"/>
      <x:c r="AI659" s="34"/>
    </x:row>
    <x:row r="660">
      <x:c r="A660" s="34" t="str">
        <x:v>article1-unified-v4-2-fb3f101b-20260903-000401-default-f03-p5-caffeine</x:v>
      </x:c>
      <x:c r="B660" s="34" t="str">
        <x:v>default</x:v>
      </x:c>
      <x:c r="C660" s="34" t="str">
        <x:v>caffeine</x:v>
      </x:c>
      <x:c r="D660" s="34" t="str">
        <x:v>caffeine</x:v>
      </x:c>
      <x:c r="E660" s="36" t="n">
        <x:v>3</x:v>
      </x:c>
      <x:c r="F660" s="36" t="n">
        <x:v>3</x:v>
      </x:c>
      <x:c r="G660" s="36" t="n">
        <x:v>5</x:v>
      </x:c>
      <x:c r="H660" s="36" t="n">
        <x:v>1</x:v>
      </x:c>
      <x:c r="I660" s="34" t="str">
        <x:v>deployedIdle</x:v>
      </x:c>
      <x:c r="J660" s="34" t="str">
        <x:v>deployed-idle</x:v>
      </x:c>
      <x:c r="K660" s="36" t="n">
        <x:v>0</x:v>
      </x:c>
      <x:c r="L660" s="34" t="str">
        <x:v>initial</x:v>
      </x:c>
      <x:c r="M660" s="34" t="str">
        <x:v>article1-unified-v4-2-fb3f101b-20260903-000401-default-f03-p5-caffeine-1-deployed-idle</x:v>
      </x:c>
      <x:c r="N660" s="38" t="n">
        <x:v>46268.014054548614</x:v>
      </x:c>
      <x:c r="O660" s="36" t="n">
        <x:v>0</x:v>
      </x:c>
      <x:c r="P660" s="43" t="n">
        <x:v>22599680</x:v>
      </x:c>
      <x:c r="Q660" s="43" t="n">
        <x:v>268435456</x:v>
      </x:c>
      <x:c r="R660" s="43" t="n">
        <x:v>426596352</x:v>
      </x:c>
      <x:c r="S660" s="36" t="n">
        <x:v>2</x:v>
      </x:c>
      <x:c r="T660" s="44" t="str">
        <x:v>0x00000000581177b8  0x0000000058003818  0x00007abe80615470       0         0         0  org.apache.catalina.loader.ParallelWebappClassLoader | 0x00000000581177b8  0x0000000058003818  0x00007abddc0431c0    4091  19444736  19414168  org.apache.catalina.loader.ParallelWebappClassLoader</x:v>
      </x:c>
      <x:c r="U660" s="36" t="n">
        <x:v>27</x:v>
      </x:c>
      <x:c r="V660" s="36" t="n">
        <x:v>0</x:v>
      </x:c>
      <x:c r="W660" s="44"/>
      <x:c r="X660" s="36"/>
      <x:c r="Y660" s="36"/>
      <x:c r="Z660" s="44"/>
      <x:c r="AA660" s="49"/>
      <x:c r="AB660" s="43"/>
      <x:c r="AC660" s="34"/>
      <x:c r="AD660" s="34"/>
      <x:c r="AE660" s="34"/>
      <x:c r="AF660" s="34"/>
      <x:c r="AG660" s="34"/>
      <x:c r="AH660" s="34"/>
      <x:c r="AI660" s="34"/>
    </x:row>
    <x:row r="661">
      <x:c r="A661" s="34" t="str">
        <x:v>article1-unified-v4-2-fb3f101b-20260903-000401-default-f03-p5-caffeine</x:v>
      </x:c>
      <x:c r="B661" s="34" t="str">
        <x:v>default</x:v>
      </x:c>
      <x:c r="C661" s="34" t="str">
        <x:v>caffeine</x:v>
      </x:c>
      <x:c r="D661" s="34" t="str">
        <x:v>caffeine</x:v>
      </x:c>
      <x:c r="E661" s="36" t="n">
        <x:v>3</x:v>
      </x:c>
      <x:c r="F661" s="36" t="n">
        <x:v>3</x:v>
      </x:c>
      <x:c r="G661" s="36" t="n">
        <x:v>5</x:v>
      </x:c>
      <x:c r="H661" s="36" t="n">
        <x:v>1</x:v>
      </x:c>
      <x:c r="I661" s="34" t="str">
        <x:v>loaded</x:v>
      </x:c>
      <x:c r="J661" s="34" t="str">
        <x:v>loaded</x:v>
      </x:c>
      <x:c r="K661" s="36" t="n">
        <x:v>0</x:v>
      </x:c>
      <x:c r="L661" s="34" t="str">
        <x:v>initial</x:v>
      </x:c>
      <x:c r="M661" s="34" t="str">
        <x:v>article1-unified-v4-2-fb3f101b-20260903-000401-default-f03-p5-caffeine-1-loaded</x:v>
      </x:c>
      <x:c r="N661" s="38" t="n">
        <x:v>46268.014202199076</x:v>
      </x:c>
      <x:c r="O661" s="36" t="n">
        <x:v>0</x:v>
      </x:c>
      <x:c r="P661" s="43" t="n">
        <x:v>218032128</x:v>
      </x:c>
      <x:c r="Q661" s="43" t="n">
        <x:v>268435456</x:v>
      </x:c>
      <x:c r="R661" s="43" t="n">
        <x:v>411716608</x:v>
      </x:c>
      <x:c r="S661" s="36" t="n">
        <x:v>2</x:v>
      </x:c>
      <x:c r="T661" s="44" t="str">
        <x:v>0x00000000581177b8  0x0000000058003818  0x00007abddc0431c0    4395  21090304  21081976  org.apache.catalina.loader.ParallelWebappClassLoader | 0x00000000581177b8  0x0000000058003818  0x00007abe80615470       0         0         0  org.apache.catalina.loader.ParallelWebappClassLoader</x:v>
      </x:c>
      <x:c r="U661" s="36" t="n">
        <x:v>30</x:v>
      </x:c>
      <x:c r="V661" s="36" t="n">
        <x:v>0</x:v>
      </x:c>
      <x:c r="W661" s="44"/>
      <x:c r="X661" s="36"/>
      <x:c r="Y661" s="36"/>
      <x:c r="Z661" s="44"/>
      <x:c r="AA661" s="49"/>
      <x:c r="AB661" s="43"/>
      <x:c r="AC661" s="34"/>
      <x:c r="AD661" s="34"/>
      <x:c r="AE661" s="34"/>
      <x:c r="AF661" s="34"/>
      <x:c r="AG661" s="34"/>
      <x:c r="AH661" s="34"/>
      <x:c r="AI661" s="34"/>
    </x:row>
    <x:row r="662">
      <x:c r="A662" s="34" t="str">
        <x:v>article1-unified-v4-2-fb3f101b-20260903-000401-default-f03-p5-caffeine</x:v>
      </x:c>
      <x:c r="B662" s="34" t="str">
        <x:v>default</x:v>
      </x:c>
      <x:c r="C662" s="34" t="str">
        <x:v>caffeine</x:v>
      </x:c>
      <x:c r="D662" s="34" t="str">
        <x:v>caffeine</x:v>
      </x:c>
      <x:c r="E662" s="36" t="n">
        <x:v>3</x:v>
      </x:c>
      <x:c r="F662" s="36" t="n">
        <x:v>3</x:v>
      </x:c>
      <x:c r="G662" s="36" t="n">
        <x:v>5</x:v>
      </x:c>
      <x:c r="H662" s="36" t="n">
        <x:v>1</x:v>
      </x:c>
      <x:c r="I662" s="34" t="str">
        <x:v>afterUndeployEarly</x:v>
      </x:c>
      <x:c r="J662" s="34" t="str">
        <x:v>after-undeploy-early</x:v>
      </x:c>
      <x:c r="K662" s="36" t="n">
        <x:v>1</x:v>
      </x:c>
      <x:c r="L662" s="34" t="str">
        <x:v>early</x:v>
      </x:c>
      <x:c r="M662" s="34" t="str">
        <x:v>article1-unified-v4-2-fb3f101b-20260903-000401-default-f03-p5-caffeine-1-after-undeploy-early-2s</x:v>
      </x:c>
      <x:c r="N662" s="38" t="n">
        <x:v>46268.01428425926</x:v>
      </x:c>
      <x:c r="O662" s="36"/>
      <x:c r="P662" s="43"/>
      <x:c r="Q662" s="43"/>
      <x:c r="R662" s="43"/>
      <x:c r="S662" s="36"/>
      <x:c r="T662" s="44"/>
      <x:c r="U662" s="36" t="n">
        <x:v>30</x:v>
      </x:c>
      <x:c r="V662" s="36" t="n">
        <x:v>0</x:v>
      </x:c>
      <x:c r="W662" s="44"/>
      <x:c r="X662" s="36"/>
      <x:c r="Y662" s="36"/>
      <x:c r="Z662" s="44"/>
      <x:c r="AA662" s="49"/>
      <x:c r="AB662" s="43" t="n">
        <x:v>1</x:v>
      </x:c>
      <x:c r="AC662" s="34"/>
      <x:c r="AD662" s="34"/>
      <x:c r="AE662" s="34" t="str">
        <x:v>article1-unified-v4-2-fb3f101b-20260903-000401-default-f03-p5-caffeine-1-after-undeploy-early-2s-thread-dump.txt</x:v>
      </x:c>
      <x:c r="AF662" s="34" t="str">
        <x:v>article1-unified-v4-2-fb3f101b-20260903-000401-default-f03-p5-caffeine-1-after-undeploy-early-tomcat-log.txt</x:v>
      </x:c>
      <x:c r="AG662" s="34"/>
      <x:c r="AH662" s="34"/>
      <x:c r="AI662" s="34"/>
    </x:row>
    <x:row r="663">
      <x:c r="A663" s="34" t="str">
        <x:v>article1-unified-v4-2-fb3f101b-20260903-000401-default-f03-p5-caffeine</x:v>
      </x:c>
      <x:c r="B663" s="34" t="str">
        <x:v>default</x:v>
      </x:c>
      <x:c r="C663" s="34" t="str">
        <x:v>caffeine</x:v>
      </x:c>
      <x:c r="D663" s="34" t="str">
        <x:v>caffeine</x:v>
      </x:c>
      <x:c r="E663" s="36" t="n">
        <x:v>3</x:v>
      </x:c>
      <x:c r="F663" s="36" t="n">
        <x:v>3</x:v>
      </x:c>
      <x:c r="G663" s="36" t="n">
        <x:v>5</x:v>
      </x:c>
      <x:c r="H663" s="36" t="n">
        <x:v>1</x:v>
      </x:c>
      <x:c r="I663" s="34" t="str">
        <x:v>afterUndeploy</x:v>
      </x:c>
      <x:c r="J663" s="34" t="str">
        <x:v>after-undeploy-final</x:v>
      </x:c>
      <x:c r="K663" s="36" t="n">
        <x:v>1</x:v>
      </x:c>
      <x:c r="L663" s="34" t="str">
        <x:v>final</x:v>
      </x:c>
      <x:c r="M663" s="34" t="str">
        <x:v>article1-unified-v4-2-fb3f101b-20260903-000401-default-f03-p5-caffeine-1-after-undeploy-final-10s</x:v>
      </x:c>
      <x:c r="N663" s="38" t="n">
        <x:v>46268.01443938658</x:v>
      </x:c>
      <x:c r="O663" s="36" t="n">
        <x:v>2</x:v>
      </x:c>
      <x:c r="P663" s="43" t="n">
        <x:v>15659008</x:v>
      </x:c>
      <x:c r="Q663" s="43" t="n">
        <x:v>268435456</x:v>
      </x:c>
      <x:c r="R663" s="43" t="n">
        <x:v>410232832</x:v>
      </x:c>
      <x:c r="S663" s="36" t="n">
        <x:v>2</x:v>
      </x:c>
      <x:c r="T663" s="44" t="str">
        <x:v>0x00000000581177b8  0x0000000058003818  0x00007abddc0431c0    4403  21125120  21106776  org.apache.catalina.loader.ParallelWebappClassLoader | 0x00000000581177b8  0x0000000058003818  0x00007abe80615470       0         0         0  org.apache.catalina.loader.ParallelWebappClassLoader</x:v>
      </x:c>
      <x:c r="U663" s="36" t="n">
        <x:v>30</x:v>
      </x:c>
      <x:c r="V663" s="36" t="n">
        <x:v>0</x:v>
      </x:c>
      <x:c r="W663" s="44"/>
      <x:c r="X663" s="36" t="n">
        <x:v>1</x:v>
      </x:c>
      <x:c r="Y663" s="36" t="n">
        <x:v>1</x:v>
      </x:c>
      <x:c r="Z663" s="44" t="str">
        <x:v>/caffeine</x:v>
      </x:c>
      <x:c r="AA663" s="45" t="b">
        <x:v>1</x:v>
      </x:c>
      <x:c r="AB663" s="43"/>
      <x:c r="AC663" s="34" t="str">
        <x:v>article1-unified-v4-2-fb3f101b-20260903-000401-default-f03-p5-caffeine-1-after-undeploy-final-10s-heap-info.txt</x:v>
      </x:c>
      <x:c r="AD663" s="34" t="str">
        <x:v>article1-unified-v4-2-fb3f101b-20260903-000401-default-f03-p5-caffeine-1-after-undeploy-final-10s-classloader-stats.txt</x:v>
      </x:c>
      <x:c r="AE663" s="34" t="str">
        <x:v>article1-unified-v4-2-fb3f101b-20260903-000401-default-f03-p5-caffeine-1-after-undeploy-final-10s-thread-dump.txt</x:v>
      </x:c>
      <x:c r="AF663" s="34"/>
      <x:c r="AG663" s="34" t="str">
        <x:v>article1-unified-v4-2-fb3f101b-20260903-000401-default-f03-p5-caffeine-1-after-undeploy-final-10s-native-memory.txt</x:v>
      </x:c>
      <x:c r="AH663" s="34" t="str">
        <x:v>article1-unified-v4-2-fb3f101b-20260903-000401-default-f03-p5-caffeine-1-after-undeploy-final-10s-class-histogram.txt</x:v>
      </x:c>
      <x:c r="AI663" s="34" t="str">
        <x:v>article1-unified-v4-2-fb3f101b-20260903-000401-default-f03-p5-caffeine-1-after-undeploy-tomcat-findleaks.txt</x:v>
      </x:c>
    </x:row>
    <x:row r="664">
      <x:c r="A664" s="34" t="str">
        <x:v>article1-unified-v4-2-fb3f101b-20260903-000401-default-f03-p5-caffeine</x:v>
      </x:c>
      <x:c r="B664" s="34" t="str">
        <x:v>default</x:v>
      </x:c>
      <x:c r="C664" s="34" t="str">
        <x:v>caffeine</x:v>
      </x:c>
      <x:c r="D664" s="34" t="str">
        <x:v>caffeine</x:v>
      </x:c>
      <x:c r="E664" s="36" t="n">
        <x:v>3</x:v>
      </x:c>
      <x:c r="F664" s="36" t="n">
        <x:v>3</x:v>
      </x:c>
      <x:c r="G664" s="36" t="n">
        <x:v>5</x:v>
      </x:c>
      <x:c r="H664" s="36" t="n">
        <x:v>1</x:v>
      </x:c>
      <x:c r="I664" s="34" t="str">
        <x:v>redeployedLoaded</x:v>
      </x:c>
      <x:c r="J664" s="34" t="str">
        <x:v>redeployed-loaded</x:v>
      </x:c>
      <x:c r="K664" s="36" t="n">
        <x:v>0</x:v>
      </x:c>
      <x:c r="L664" s="34" t="str">
        <x:v>redeploy</x:v>
      </x:c>
      <x:c r="M664" s="34" t="str">
        <x:v>article1-unified-v4-2-fb3f101b-20260903-000401-default-f03-p5-caffeine-1-redeployed-loaded</x:v>
      </x:c>
      <x:c r="N664" s="38" t="n">
        <x:v>46268.01469635417</x:v>
      </x:c>
      <x:c r="O664" s="36" t="n">
        <x:v>0</x:v>
      </x:c>
      <x:c r="P664" s="43" t="n">
        <x:v>92914688</x:v>
      </x:c>
      <x:c r="Q664" s="43" t="n">
        <x:v>268435456</x:v>
      </x:c>
      <x:c r="R664" s="43" t="n">
        <x:v>441013248</x:v>
      </x:c>
      <x:c r="S664" s="36" t="n">
        <x:v>3</x:v>
      </x:c>
      <x:c r="T664" s="44" t="str">
        <x:v>0x00000000581177b8  0x0000000058003818  0x00007abddc0431c0    4403  21125120  21106776  org.apache.catalina.loader.ParallelWebappClassLoader | 0x00000000581177b8  0x0000000058003818  0x00007abdd0388690    4386  21138432  21129288  org.apache.catalina.loader.ParallelWebappClassLoader | 0x00000000581177b8  0x0000000058003818  0x00007abe80615470       0         0         0  org.apache.catalina.loader.ParallelWebappClassLoader</x:v>
      </x:c>
      <x:c r="U664" s="36" t="n">
        <x:v>31</x:v>
      </x:c>
      <x:c r="V664" s="36" t="n">
        <x:v>0</x:v>
      </x:c>
      <x:c r="W664" s="44"/>
      <x:c r="X664" s="36"/>
      <x:c r="Y664" s="36"/>
      <x:c r="Z664" s="44"/>
      <x:c r="AA664" s="49"/>
      <x:c r="AB664" s="43"/>
      <x:c r="AC664" s="34"/>
      <x:c r="AD664" s="34"/>
      <x:c r="AE664" s="34"/>
      <x:c r="AF664" s="34"/>
      <x:c r="AG664" s="34"/>
      <x:c r="AH664" s="34"/>
      <x:c r="AI664" s="34"/>
    </x:row>
    <x:row r="665">
      <x:c r="A665" s="34" t="str">
        <x:v>article1-unified-v4-2-fb3f101b-20260903-000401-default-f03-p5-caffeine</x:v>
      </x:c>
      <x:c r="B665" s="34" t="str">
        <x:v>default</x:v>
      </x:c>
      <x:c r="C665" s="34" t="str">
        <x:v>caffeine</x:v>
      </x:c>
      <x:c r="D665" s="34" t="str">
        <x:v>caffeine</x:v>
      </x:c>
      <x:c r="E665" s="36" t="n">
        <x:v>3</x:v>
      </x:c>
      <x:c r="F665" s="36" t="n">
        <x:v>3</x:v>
      </x:c>
      <x:c r="G665" s="36" t="n">
        <x:v>5</x:v>
      </x:c>
      <x:c r="H665" s="36" t="n">
        <x:v>1</x:v>
      </x:c>
      <x:c r="I665" s="34" t="str">
        <x:v>afterFinalUndeployEarly</x:v>
      </x:c>
      <x:c r="J665" s="34" t="str">
        <x:v>after-final-undeploy-early</x:v>
      </x:c>
      <x:c r="K665" s="36" t="n">
        <x:v>2</x:v>
      </x:c>
      <x:c r="L665" s="34" t="str">
        <x:v>early</x:v>
      </x:c>
      <x:c r="M665" s="34" t="str">
        <x:v>article1-unified-v4-2-fb3f101b-20260903-000401-default-f03-p5-caffeine-1-after-final-undeploy-early-2s</x:v>
      </x:c>
      <x:c r="N665" s="38" t="n">
        <x:v>46268.014777777775</x:v>
      </x:c>
      <x:c r="O665" s="36"/>
      <x:c r="P665" s="43"/>
      <x:c r="Q665" s="43"/>
      <x:c r="R665" s="43"/>
      <x:c r="S665" s="36"/>
      <x:c r="T665" s="44"/>
      <x:c r="U665" s="36" t="n">
        <x:v>30</x:v>
      </x:c>
      <x:c r="V665" s="36" t="n">
        <x:v>0</x:v>
      </x:c>
      <x:c r="W665" s="44"/>
      <x:c r="X665" s="36"/>
      <x:c r="Y665" s="36"/>
      <x:c r="Z665" s="44"/>
      <x:c r="AA665" s="49"/>
      <x:c r="AB665" s="43" t="n">
        <x:v>1</x:v>
      </x:c>
      <x:c r="AC665" s="34"/>
      <x:c r="AD665" s="34"/>
      <x:c r="AE665" s="34" t="str">
        <x:v>article1-unified-v4-2-fb3f101b-20260903-000401-default-f03-p5-caffeine-1-after-final-undeploy-early-2s-thread-dump.txt</x:v>
      </x:c>
      <x:c r="AF665" s="34" t="str">
        <x:v>article1-unified-v4-2-fb3f101b-20260903-000401-default-f03-p5-caffeine-1-after-final-undeploy-early-tomcat-log.txt</x:v>
      </x:c>
      <x:c r="AG665" s="34"/>
      <x:c r="AH665" s="34"/>
      <x:c r="AI665" s="34"/>
    </x:row>
    <x:row r="666">
      <x:c r="A666" s="34" t="str">
        <x:v>article1-unified-v4-2-fb3f101b-20260903-000401-default-f03-p5-caffeine</x:v>
      </x:c>
      <x:c r="B666" s="34" t="str">
        <x:v>default</x:v>
      </x:c>
      <x:c r="C666" s="34" t="str">
        <x:v>caffeine</x:v>
      </x:c>
      <x:c r="D666" s="34" t="str">
        <x:v>caffeine</x:v>
      </x:c>
      <x:c r="E666" s="36" t="n">
        <x:v>3</x:v>
      </x:c>
      <x:c r="F666" s="36" t="n">
        <x:v>3</x:v>
      </x:c>
      <x:c r="G666" s="36" t="n">
        <x:v>5</x:v>
      </x:c>
      <x:c r="H666" s="36" t="n">
        <x:v>1</x:v>
      </x:c>
      <x:c r="I666" s="34" t="str">
        <x:v>afterFinalUndeploy</x:v>
      </x:c>
      <x:c r="J666" s="34" t="str">
        <x:v>after-final-undeploy-final</x:v>
      </x:c>
      <x:c r="K666" s="36" t="n">
        <x:v>2</x:v>
      </x:c>
      <x:c r="L666" s="34" t="str">
        <x:v>final</x:v>
      </x:c>
      <x:c r="M666" s="34" t="str">
        <x:v>article1-unified-v4-2-fb3f101b-20260903-000401-default-f03-p5-caffeine-1-after-final-undeploy-final-10s</x:v>
      </x:c>
      <x:c r="N666" s="38" t="n">
        <x:v>46268.0149349537</x:v>
      </x:c>
      <x:c r="O666" s="36" t="n">
        <x:v>2</x:v>
      </x:c>
      <x:c r="P666" s="43" t="n">
        <x:v>15467520</x:v>
      </x:c>
      <x:c r="Q666" s="43" t="n">
        <x:v>268435456</x:v>
      </x:c>
      <x:c r="R666" s="43" t="n">
        <x:v>419258368</x:v>
      </x:c>
      <x:c r="S666" s="36" t="n">
        <x:v>2</x:v>
      </x:c>
      <x:c r="T666" s="44" t="str">
        <x:v>0x00000000581177b8  0x0000000058003818  0x00007abe80615470       0         0         0  org.apache.catalina.loader.ParallelWebappClassLoader | 0x00000000581177b8  0x0000000058003818  0x00007abdd0388690    4394  21171200  21153976  org.apache.catalina.loader.ParallelWebappClassLoader</x:v>
      </x:c>
      <x:c r="U666" s="36" t="n">
        <x:v>30</x:v>
      </x:c>
      <x:c r="V666" s="36" t="n">
        <x:v>0</x:v>
      </x:c>
      <x:c r="W666" s="44"/>
      <x:c r="X666" s="36" t="n">
        <x:v>1</x:v>
      </x:c>
      <x:c r="Y666" s="36" t="n">
        <x:v>1</x:v>
      </x:c>
      <x:c r="Z666" s="44" t="str">
        <x:v>/caffeine</x:v>
      </x:c>
      <x:c r="AA666" s="45" t="b">
        <x:v>1</x:v>
      </x:c>
      <x:c r="AB666" s="43"/>
      <x:c r="AC666" s="34" t="str">
        <x:v>article1-unified-v4-2-fb3f101b-20260903-000401-default-f03-p5-caffeine-1-after-final-undeploy-final-10s-heap-info.txt</x:v>
      </x:c>
      <x:c r="AD666" s="34" t="str">
        <x:v>article1-unified-v4-2-fb3f101b-20260903-000401-default-f03-p5-caffeine-1-after-final-undeploy-final-10s-classloader-stats.txt</x:v>
      </x:c>
      <x:c r="AE666" s="34" t="str">
        <x:v>article1-unified-v4-2-fb3f101b-20260903-000401-default-f03-p5-caffeine-1-after-final-undeploy-final-10s-thread-dump.txt</x:v>
      </x:c>
      <x:c r="AF666" s="34"/>
      <x:c r="AG666" s="34" t="str">
        <x:v>article1-unified-v4-2-fb3f101b-20260903-000401-default-f03-p5-caffeine-1-after-final-undeploy-final-10s-native-memory.txt</x:v>
      </x:c>
      <x:c r="AH666" s="34" t="str">
        <x:v>article1-unified-v4-2-fb3f101b-20260903-000401-default-f03-p5-caffeine-1-after-final-undeploy-final-10s-class-histogram.txt</x:v>
      </x:c>
      <x:c r="AI666" s="34" t="str">
        <x:v>article1-unified-v4-2-fb3f101b-20260903-000401-default-f03-p5-caffeine-1-after-final-undeploy-tomcat-findleaks.txt</x:v>
      </x:c>
    </x:row>
    <x:row r="667">
      <x:c r="A667" s="34" t="str">
        <x:v>article1-unified-v4-2-fb3f101b-20260903-000401-default-f03-p5-caffeine</x:v>
      </x:c>
      <x:c r="B667" s="34" t="str">
        <x:v>default</x:v>
      </x:c>
      <x:c r="C667" s="34" t="str">
        <x:v>caffeine</x:v>
      </x:c>
      <x:c r="D667" s="34" t="str">
        <x:v>caffeine</x:v>
      </x:c>
      <x:c r="E667" s="36" t="n">
        <x:v>3</x:v>
      </x:c>
      <x:c r="F667" s="36" t="n">
        <x:v>3</x:v>
      </x:c>
      <x:c r="G667" s="36" t="n">
        <x:v>5</x:v>
      </x:c>
      <x:c r="H667" s="36" t="n">
        <x:v>2</x:v>
      </x:c>
      <x:c r="I667" s="34" t="str">
        <x:v>baseline</x:v>
      </x:c>
      <x:c r="J667" s="34" t="str">
        <x:v>cycle-baseline</x:v>
      </x:c>
      <x:c r="K667" s="36" t="n">
        <x:v>0</x:v>
      </x:c>
      <x:c r="L667" s="34" t="str">
        <x:v>baseline</x:v>
      </x:c>
      <x:c r="M667" s="34" t="str">
        <x:v>article1-unified-v4-2-fb3f101b-20260903-000401-default-f03-p5-caffeine-2-baseline</x:v>
      </x:c>
      <x:c r="N667" s="38" t="n">
        <x:v>46268.01497174768</x:v>
      </x:c>
      <x:c r="O667" s="36" t="n">
        <x:v>0</x:v>
      </x:c>
      <x:c r="P667" s="43" t="n">
        <x:v>15511552</x:v>
      </x:c>
      <x:c r="Q667" s="43" t="n">
        <x:v>268435456</x:v>
      </x:c>
      <x:c r="R667" s="43" t="n">
        <x:v>419140608</x:v>
      </x:c>
      <x:c r="S667" s="36" t="n">
        <x:v>2</x:v>
      </x:c>
      <x:c r="T667" s="44" t="str">
        <x:v>0x00000000581177b8  0x0000000058003818  0x00007abe80615470       0         0         0  org.apache.catalina.loader.ParallelWebappClassLoader | 0x00000000581177b8  0x0000000058003818  0x00007abdd0388690    4394  21171200  21153976  org.apache.catalina.loader.ParallelWebappClassLoader</x:v>
      </x:c>
      <x:c r="U667" s="36" t="n">
        <x:v>30</x:v>
      </x:c>
      <x:c r="V667" s="36" t="n">
        <x:v>0</x:v>
      </x:c>
      <x:c r="W667" s="44"/>
      <x:c r="X667" s="36"/>
      <x:c r="Y667" s="36"/>
      <x:c r="Z667" s="44"/>
      <x:c r="AA667" s="49"/>
      <x:c r="AB667" s="43"/>
      <x:c r="AC667" s="34" t="str">
        <x:v>article1-unified-v4-2-fb3f101b-20260903-000401-default-f03-p5-caffeine-2-baseline-heap-info.txt</x:v>
      </x:c>
      <x:c r="AD667" s="34" t="str">
        <x:v>article1-unified-v4-2-fb3f101b-20260903-000401-default-f03-p5-caffeine-2-baseline-classloader-stats.txt</x:v>
      </x:c>
      <x:c r="AE667" s="34" t="str">
        <x:v>article1-unified-v4-2-fb3f101b-20260903-000401-default-f03-p5-caffeine-2-baseline-thread-dump.txt</x:v>
      </x:c>
      <x:c r="AF667" s="34"/>
      <x:c r="AG667" s="34" t="str">
        <x:v>article1-unified-v4-2-fb3f101b-20260903-000401-default-f03-p5-caffeine-2-baseline-native-memory.txt</x:v>
      </x:c>
      <x:c r="AH667" s="34"/>
      <x:c r="AI667" s="34"/>
    </x:row>
    <x:row r="668">
      <x:c r="A668" s="34" t="str">
        <x:v>article1-unified-v4-2-fb3f101b-20260903-000401-default-f03-p5-caffeine</x:v>
      </x:c>
      <x:c r="B668" s="34" t="str">
        <x:v>default</x:v>
      </x:c>
      <x:c r="C668" s="34" t="str">
        <x:v>caffeine</x:v>
      </x:c>
      <x:c r="D668" s="34" t="str">
        <x:v>caffeine</x:v>
      </x:c>
      <x:c r="E668" s="36" t="n">
        <x:v>3</x:v>
      </x:c>
      <x:c r="F668" s="36" t="n">
        <x:v>3</x:v>
      </x:c>
      <x:c r="G668" s="36" t="n">
        <x:v>5</x:v>
      </x:c>
      <x:c r="H668" s="36" t="n">
        <x:v>2</x:v>
      </x:c>
      <x:c r="I668" s="34" t="str">
        <x:v>deployedIdle</x:v>
      </x:c>
      <x:c r="J668" s="34" t="str">
        <x:v>deployed-idle</x:v>
      </x:c>
      <x:c r="K668" s="36" t="n">
        <x:v>0</x:v>
      </x:c>
      <x:c r="L668" s="34" t="str">
        <x:v>initial</x:v>
      </x:c>
      <x:c r="M668" s="34" t="str">
        <x:v>article1-unified-v4-2-fb3f101b-20260903-000401-default-f03-p5-caffeine-2-deployed-idle</x:v>
      </x:c>
      <x:c r="N668" s="38" t="n">
        <x:v>46268.01507048611</x:v>
      </x:c>
      <x:c r="O668" s="36" t="n">
        <x:v>0</x:v>
      </x:c>
      <x:c r="P668" s="43" t="n">
        <x:v>167808000</x:v>
      </x:c>
      <x:c r="Q668" s="43" t="n">
        <x:v>268435456</x:v>
      </x:c>
      <x:c r="R668" s="43" t="n">
        <x:v>437134336</x:v>
      </x:c>
      <x:c r="S668" s="36" t="n">
        <x:v>3</x:v>
      </x:c>
      <x:c r="T668" s="44" t="str">
        <x:v>0x00000000581177b8  0x0000000058003818  0x00007abd8001ba20    4091  19447808  19429680  org.apache.catalina.loader.ParallelWebappClassLoader | 0x00000000581177b8  0x0000000058003818  0x00007abe80615470       0         0         0  org.apache.catalina.loader.ParallelWebappClassLoader | 0x00000000581177b8  0x0000000058003818  0x00007abdd0388690    4394  21171200  21153976  org.apache.catalina.loader.ParallelWebappClassLoader</x:v>
      </x:c>
      <x:c r="U668" s="36" t="n">
        <x:v>30</x:v>
      </x:c>
      <x:c r="V668" s="36" t="n">
        <x:v>0</x:v>
      </x:c>
      <x:c r="W668" s="44"/>
      <x:c r="X668" s="36"/>
      <x:c r="Y668" s="36"/>
      <x:c r="Z668" s="44"/>
      <x:c r="AA668" s="49"/>
      <x:c r="AB668" s="43"/>
      <x:c r="AC668" s="34"/>
      <x:c r="AD668" s="34"/>
      <x:c r="AE668" s="34"/>
      <x:c r="AF668" s="34"/>
      <x:c r="AG668" s="34"/>
      <x:c r="AH668" s="34"/>
      <x:c r="AI668" s="34"/>
    </x:row>
    <x:row r="669">
      <x:c r="A669" s="34" t="str">
        <x:v>article1-unified-v4-2-fb3f101b-20260903-000401-default-f03-p5-caffeine</x:v>
      </x:c>
      <x:c r="B669" s="34" t="str">
        <x:v>default</x:v>
      </x:c>
      <x:c r="C669" s="34" t="str">
        <x:v>caffeine</x:v>
      </x:c>
      <x:c r="D669" s="34" t="str">
        <x:v>caffeine</x:v>
      </x:c>
      <x:c r="E669" s="36" t="n">
        <x:v>3</x:v>
      </x:c>
      <x:c r="F669" s="36" t="n">
        <x:v>3</x:v>
      </x:c>
      <x:c r="G669" s="36" t="n">
        <x:v>5</x:v>
      </x:c>
      <x:c r="H669" s="36" t="n">
        <x:v>2</x:v>
      </x:c>
      <x:c r="I669" s="34" t="str">
        <x:v>loaded</x:v>
      </x:c>
      <x:c r="J669" s="34" t="str">
        <x:v>loaded</x:v>
      </x:c>
      <x:c r="K669" s="36" t="n">
        <x:v>0</x:v>
      </x:c>
      <x:c r="L669" s="34" t="str">
        <x:v>initial</x:v>
      </x:c>
      <x:c r="M669" s="34" t="str">
        <x:v>article1-unified-v4-2-fb3f101b-20260903-000401-default-f03-p5-caffeine-2-loaded</x:v>
      </x:c>
      <x:c r="N669" s="38" t="n">
        <x:v>46268.01521826389</x:v>
      </x:c>
      <x:c r="O669" s="36" t="n">
        <x:v>0</x:v>
      </x:c>
      <x:c r="P669" s="43" t="n">
        <x:v>200856576</x:v>
      </x:c>
      <x:c r="Q669" s="43" t="n">
        <x:v>268435456</x:v>
      </x:c>
      <x:c r="R669" s="43" t="n">
        <x:v>444862464</x:v>
      </x:c>
      <x:c r="S669" s="36" t="n">
        <x:v>3</x:v>
      </x:c>
      <x:c r="T669" s="44" t="str">
        <x:v>0x00000000581177b8  0x0000000058003818  0x00007abd8001ba20    4386  21150720  21128456  org.apache.catalina.loader.ParallelWebappClassLoader | 0x00000000581177b8  0x0000000058003818  0x00007abe80615470       0         0         0  org.apache.catalina.loader.ParallelWebappClassLoader | 0x00000000581177b8  0x0000000058003818  0x00007abdd0388690    4394  21171200  21153976  org.apache.catalina.loader.ParallelWebappClassLoader</x:v>
      </x:c>
      <x:c r="U669" s="36" t="n">
        <x:v>30</x:v>
      </x:c>
      <x:c r="V669" s="36" t="n">
        <x:v>0</x:v>
      </x:c>
      <x:c r="W669" s="44"/>
      <x:c r="X669" s="36"/>
      <x:c r="Y669" s="36"/>
      <x:c r="Z669" s="44"/>
      <x:c r="AA669" s="49"/>
      <x:c r="AB669" s="43"/>
      <x:c r="AC669" s="34"/>
      <x:c r="AD669" s="34"/>
      <x:c r="AE669" s="34"/>
      <x:c r="AF669" s="34"/>
      <x:c r="AG669" s="34"/>
      <x:c r="AH669" s="34"/>
      <x:c r="AI669" s="34"/>
    </x:row>
    <x:row r="670">
      <x:c r="A670" s="34" t="str">
        <x:v>article1-unified-v4-2-fb3f101b-20260903-000401-default-f03-p5-caffeine</x:v>
      </x:c>
      <x:c r="B670" s="34" t="str">
        <x:v>default</x:v>
      </x:c>
      <x:c r="C670" s="34" t="str">
        <x:v>caffeine</x:v>
      </x:c>
      <x:c r="D670" s="34" t="str">
        <x:v>caffeine</x:v>
      </x:c>
      <x:c r="E670" s="36" t="n">
        <x:v>3</x:v>
      </x:c>
      <x:c r="F670" s="36" t="n">
        <x:v>3</x:v>
      </x:c>
      <x:c r="G670" s="36" t="n">
        <x:v>5</x:v>
      </x:c>
      <x:c r="H670" s="36" t="n">
        <x:v>2</x:v>
      </x:c>
      <x:c r="I670" s="34" t="str">
        <x:v>afterUndeployEarly</x:v>
      </x:c>
      <x:c r="J670" s="34" t="str">
        <x:v>after-undeploy-early</x:v>
      </x:c>
      <x:c r="K670" s="36" t="n">
        <x:v>1</x:v>
      </x:c>
      <x:c r="L670" s="34" t="str">
        <x:v>early</x:v>
      </x:c>
      <x:c r="M670" s="34" t="str">
        <x:v>article1-unified-v4-2-fb3f101b-20260903-000401-default-f03-p5-caffeine-2-after-undeploy-early-2s</x:v>
      </x:c>
      <x:c r="N670" s="38" t="n">
        <x:v>46268.01530293981</x:v>
      </x:c>
      <x:c r="O670" s="36"/>
      <x:c r="P670" s="43"/>
      <x:c r="Q670" s="43"/>
      <x:c r="R670" s="43"/>
      <x:c r="S670" s="36"/>
      <x:c r="T670" s="44"/>
      <x:c r="U670" s="36" t="n">
        <x:v>30</x:v>
      </x:c>
      <x:c r="V670" s="36" t="n">
        <x:v>0</x:v>
      </x:c>
      <x:c r="W670" s="44"/>
      <x:c r="X670" s="36"/>
      <x:c r="Y670" s="36"/>
      <x:c r="Z670" s="44"/>
      <x:c r="AA670" s="49"/>
      <x:c r="AB670" s="43" t="n">
        <x:v>1</x:v>
      </x:c>
      <x:c r="AC670" s="34"/>
      <x:c r="AD670" s="34"/>
      <x:c r="AE670" s="34" t="str">
        <x:v>article1-unified-v4-2-fb3f101b-20260903-000401-default-f03-p5-caffeine-2-after-undeploy-early-2s-thread-dump.txt</x:v>
      </x:c>
      <x:c r="AF670" s="34" t="str">
        <x:v>article1-unified-v4-2-fb3f101b-20260903-000401-default-f03-p5-caffeine-2-after-undeploy-early-tomcat-log.txt</x:v>
      </x:c>
      <x:c r="AG670" s="34"/>
      <x:c r="AH670" s="34"/>
      <x:c r="AI670" s="34"/>
    </x:row>
    <x:row r="671">
      <x:c r="A671" s="34" t="str">
        <x:v>article1-unified-v4-2-fb3f101b-20260903-000401-default-f03-p5-caffeine</x:v>
      </x:c>
      <x:c r="B671" s="34" t="str">
        <x:v>default</x:v>
      </x:c>
      <x:c r="C671" s="34" t="str">
        <x:v>caffeine</x:v>
      </x:c>
      <x:c r="D671" s="34" t="str">
        <x:v>caffeine</x:v>
      </x:c>
      <x:c r="E671" s="36" t="n">
        <x:v>3</x:v>
      </x:c>
      <x:c r="F671" s="36" t="n">
        <x:v>3</x:v>
      </x:c>
      <x:c r="G671" s="36" t="n">
        <x:v>5</x:v>
      </x:c>
      <x:c r="H671" s="36" t="n">
        <x:v>2</x:v>
      </x:c>
      <x:c r="I671" s="34" t="str">
        <x:v>afterUndeploy</x:v>
      </x:c>
      <x:c r="J671" s="34" t="str">
        <x:v>after-undeploy-final</x:v>
      </x:c>
      <x:c r="K671" s="36" t="n">
        <x:v>1</x:v>
      </x:c>
      <x:c r="L671" s="34" t="str">
        <x:v>final</x:v>
      </x:c>
      <x:c r="M671" s="34" t="str">
        <x:v>article1-unified-v4-2-fb3f101b-20260903-000401-default-f03-p5-caffeine-2-after-undeploy-final-10s</x:v>
      </x:c>
      <x:c r="N671" s="38" t="n">
        <x:v>46268.01545535879</x:v>
      </x:c>
      <x:c r="O671" s="36" t="n">
        <x:v>2</x:v>
      </x:c>
      <x:c r="P671" s="43" t="n">
        <x:v>15494144</x:v>
      </x:c>
      <x:c r="Q671" s="43" t="n">
        <x:v>268435456</x:v>
      </x:c>
      <x:c r="R671" s="43" t="n">
        <x:v>417413120</x:v>
      </x:c>
      <x:c r="S671" s="36" t="n">
        <x:v>2</x:v>
      </x:c>
      <x:c r="T671" s="44" t="str">
        <x:v>0x00000000581177b8  0x0000000058003818  0x00007abd8001ba20    4394  21167104  21153136  org.apache.catalina.loader.ParallelWebappClassLoader | 0x00000000581177b8  0x0000000058003818  0x00007abe80615470       0         0         0  org.apache.catalina.loader.ParallelWebappClassLoader</x:v>
      </x:c>
      <x:c r="U671" s="36" t="n">
        <x:v>30</x:v>
      </x:c>
      <x:c r="V671" s="36" t="n">
        <x:v>0</x:v>
      </x:c>
      <x:c r="W671" s="44"/>
      <x:c r="X671" s="36" t="n">
        <x:v>1</x:v>
      </x:c>
      <x:c r="Y671" s="36" t="n">
        <x:v>1</x:v>
      </x:c>
      <x:c r="Z671" s="44" t="str">
        <x:v>/caffeine</x:v>
      </x:c>
      <x:c r="AA671" s="45" t="b">
        <x:v>1</x:v>
      </x:c>
      <x:c r="AB671" s="43"/>
      <x:c r="AC671" s="34" t="str">
        <x:v>article1-unified-v4-2-fb3f101b-20260903-000401-default-f03-p5-caffeine-2-after-undeploy-final-10s-heap-info.txt</x:v>
      </x:c>
      <x:c r="AD671" s="34" t="str">
        <x:v>article1-unified-v4-2-fb3f101b-20260903-000401-default-f03-p5-caffeine-2-after-undeploy-final-10s-classloader-stats.txt</x:v>
      </x:c>
      <x:c r="AE671" s="34" t="str">
        <x:v>article1-unified-v4-2-fb3f101b-20260903-000401-default-f03-p5-caffeine-2-after-undeploy-final-10s-thread-dump.txt</x:v>
      </x:c>
      <x:c r="AF671" s="34"/>
      <x:c r="AG671" s="34" t="str">
        <x:v>article1-unified-v4-2-fb3f101b-20260903-000401-default-f03-p5-caffeine-2-after-undeploy-final-10s-native-memory.txt</x:v>
      </x:c>
      <x:c r="AH671" s="34" t="str">
        <x:v>article1-unified-v4-2-fb3f101b-20260903-000401-default-f03-p5-caffeine-2-after-undeploy-final-10s-class-histogram.txt</x:v>
      </x:c>
      <x:c r="AI671" s="34" t="str">
        <x:v>article1-unified-v4-2-fb3f101b-20260903-000401-default-f03-p5-caffeine-2-after-undeploy-tomcat-findleaks.txt</x:v>
      </x:c>
    </x:row>
    <x:row r="672">
      <x:c r="A672" s="34" t="str">
        <x:v>article1-unified-v4-2-fb3f101b-20260903-000401-default-f03-p5-caffeine</x:v>
      </x:c>
      <x:c r="B672" s="34" t="str">
        <x:v>default</x:v>
      </x:c>
      <x:c r="C672" s="34" t="str">
        <x:v>caffeine</x:v>
      </x:c>
      <x:c r="D672" s="34" t="str">
        <x:v>caffeine</x:v>
      </x:c>
      <x:c r="E672" s="36" t="n">
        <x:v>3</x:v>
      </x:c>
      <x:c r="F672" s="36" t="n">
        <x:v>3</x:v>
      </x:c>
      <x:c r="G672" s="36" t="n">
        <x:v>5</x:v>
      </x:c>
      <x:c r="H672" s="36" t="n">
        <x:v>2</x:v>
      </x:c>
      <x:c r="I672" s="34" t="str">
        <x:v>redeployedLoaded</x:v>
      </x:c>
      <x:c r="J672" s="34" t="str">
        <x:v>redeployed-loaded</x:v>
      </x:c>
      <x:c r="K672" s="36" t="n">
        <x:v>0</x:v>
      </x:c>
      <x:c r="L672" s="34" t="str">
        <x:v>redeploy</x:v>
      </x:c>
      <x:c r="M672" s="34" t="str">
        <x:v>article1-unified-v4-2-fb3f101b-20260903-000401-default-f03-p5-caffeine-2-redeployed-loaded</x:v>
      </x:c>
      <x:c r="N672" s="38" t="n">
        <x:v>46268.01571142361</x:v>
      </x:c>
      <x:c r="O672" s="36" t="n">
        <x:v>0</x:v>
      </x:c>
      <x:c r="P672" s="43" t="n">
        <x:v>207816704</x:v>
      </x:c>
      <x:c r="Q672" s="43" t="n">
        <x:v>268435456</x:v>
      </x:c>
      <x:c r="R672" s="43" t="n">
        <x:v>441049088</x:v>
      </x:c>
      <x:c r="S672" s="36" t="n">
        <x:v>3</x:v>
      </x:c>
      <x:c r="T672" s="44" t="str">
        <x:v>0x00000000581177b8  0x0000000058003818  0x00007abd8001ba20    4394  21167104  21153136  org.apache.catalina.loader.ParallelWebappClassLoader | 0x00000000581177b8  0x0000000058003818  0x00007abd80008700    4389  21150720  21131880  org.apache.catalina.loader.ParallelWebappClassLoader | 0x00000000581177b8  0x0000000058003818  0x00007abe80615470       0         0         0  org.apache.catalina.loader.ParallelWebappClassLoader</x:v>
      </x:c>
      <x:c r="U672" s="36" t="n">
        <x:v>31</x:v>
      </x:c>
      <x:c r="V672" s="36" t="n">
        <x:v>0</x:v>
      </x:c>
      <x:c r="W672" s="44"/>
      <x:c r="X672" s="36"/>
      <x:c r="Y672" s="36"/>
      <x:c r="Z672" s="44"/>
      <x:c r="AA672" s="49"/>
      <x:c r="AB672" s="43"/>
      <x:c r="AC672" s="34"/>
      <x:c r="AD672" s="34"/>
      <x:c r="AE672" s="34"/>
      <x:c r="AF672" s="34"/>
      <x:c r="AG672" s="34"/>
      <x:c r="AH672" s="34"/>
      <x:c r="AI672" s="34"/>
    </x:row>
    <x:row r="673">
      <x:c r="A673" s="34" t="str">
        <x:v>article1-unified-v4-2-fb3f101b-20260903-000401-default-f03-p5-caffeine</x:v>
      </x:c>
      <x:c r="B673" s="34" t="str">
        <x:v>default</x:v>
      </x:c>
      <x:c r="C673" s="34" t="str">
        <x:v>caffeine</x:v>
      </x:c>
      <x:c r="D673" s="34" t="str">
        <x:v>caffeine</x:v>
      </x:c>
      <x:c r="E673" s="36" t="n">
        <x:v>3</x:v>
      </x:c>
      <x:c r="F673" s="36" t="n">
        <x:v>3</x:v>
      </x:c>
      <x:c r="G673" s="36" t="n">
        <x:v>5</x:v>
      </x:c>
      <x:c r="H673" s="36" t="n">
        <x:v>2</x:v>
      </x:c>
      <x:c r="I673" s="34" t="str">
        <x:v>afterFinalUndeployEarly</x:v>
      </x:c>
      <x:c r="J673" s="34" t="str">
        <x:v>after-final-undeploy-early</x:v>
      </x:c>
      <x:c r="K673" s="36" t="n">
        <x:v>2</x:v>
      </x:c>
      <x:c r="L673" s="34" t="str">
        <x:v>early</x:v>
      </x:c>
      <x:c r="M673" s="34" t="str">
        <x:v>article1-unified-v4-2-fb3f101b-20260903-000401-default-f03-p5-caffeine-2-after-final-undeploy-early-2s</x:v>
      </x:c>
      <x:c r="N673" s="38" t="n">
        <x:v>46268.01579543982</x:v>
      </x:c>
      <x:c r="O673" s="36"/>
      <x:c r="P673" s="43"/>
      <x:c r="Q673" s="43"/>
      <x:c r="R673" s="43"/>
      <x:c r="S673" s="36"/>
      <x:c r="T673" s="44"/>
      <x:c r="U673" s="36" t="n">
        <x:v>30</x:v>
      </x:c>
      <x:c r="V673" s="36" t="n">
        <x:v>0</x:v>
      </x:c>
      <x:c r="W673" s="44"/>
      <x:c r="X673" s="36"/>
      <x:c r="Y673" s="36"/>
      <x:c r="Z673" s="44"/>
      <x:c r="AA673" s="49"/>
      <x:c r="AB673" s="43" t="n">
        <x:v>1</x:v>
      </x:c>
      <x:c r="AC673" s="34"/>
      <x:c r="AD673" s="34"/>
      <x:c r="AE673" s="34" t="str">
        <x:v>article1-unified-v4-2-fb3f101b-20260903-000401-default-f03-p5-caffeine-2-after-final-undeploy-early-2s-thread-dump.txt</x:v>
      </x:c>
      <x:c r="AF673" s="34" t="str">
        <x:v>article1-unified-v4-2-fb3f101b-20260903-000401-default-f03-p5-caffeine-2-after-final-undeploy-early-tomcat-log.txt</x:v>
      </x:c>
      <x:c r="AG673" s="34"/>
      <x:c r="AH673" s="34"/>
      <x:c r="AI673" s="34"/>
    </x:row>
    <x:row r="674">
      <x:c r="A674" s="34" t="str">
        <x:v>article1-unified-v4-2-fb3f101b-20260903-000401-default-f03-p5-caffeine</x:v>
      </x:c>
      <x:c r="B674" s="34" t="str">
        <x:v>default</x:v>
      </x:c>
      <x:c r="C674" s="34" t="str">
        <x:v>caffeine</x:v>
      </x:c>
      <x:c r="D674" s="34" t="str">
        <x:v>caffeine</x:v>
      </x:c>
      <x:c r="E674" s="36" t="n">
        <x:v>3</x:v>
      </x:c>
      <x:c r="F674" s="36" t="n">
        <x:v>3</x:v>
      </x:c>
      <x:c r="G674" s="36" t="n">
        <x:v>5</x:v>
      </x:c>
      <x:c r="H674" s="36" t="n">
        <x:v>2</x:v>
      </x:c>
      <x:c r="I674" s="34" t="str">
        <x:v>afterFinalUndeploy</x:v>
      </x:c>
      <x:c r="J674" s="34" t="str">
        <x:v>after-final-undeploy-final</x:v>
      </x:c>
      <x:c r="K674" s="36" t="n">
        <x:v>2</x:v>
      </x:c>
      <x:c r="L674" s="34" t="str">
        <x:v>final</x:v>
      </x:c>
      <x:c r="M674" s="34" t="str">
        <x:v>article1-unified-v4-2-fb3f101b-20260903-000401-default-f03-p5-caffeine-2-after-final-undeploy-final-10s</x:v>
      </x:c>
      <x:c r="N674" s="38" t="n">
        <x:v>46268.01594802083</x:v>
      </x:c>
      <x:c r="O674" s="36" t="n">
        <x:v>2</x:v>
      </x:c>
      <x:c r="P674" s="43" t="n">
        <x:v>15500288</x:v>
      </x:c>
      <x:c r="Q674" s="43" t="n">
        <x:v>268435456</x:v>
      </x:c>
      <x:c r="R674" s="43" t="n">
        <x:v>422767616</x:v>
      </x:c>
      <x:c r="S674" s="36" t="n">
        <x:v>2</x:v>
      </x:c>
      <x:c r="T674" s="44" t="str">
        <x:v>0x00000000581177b8  0x0000000058003818  0x00007abd80008700    4397  21167104  21156696  org.apache.catalina.loader.ParallelWebappClassLoader | 0x00000000581177b8  0x0000000058003818  0x00007abe80615470       0         0         0  org.apache.catalina.loader.ParallelWebappClassLoader</x:v>
      </x:c>
      <x:c r="U674" s="36" t="n">
        <x:v>30</x:v>
      </x:c>
      <x:c r="V674" s="36" t="n">
        <x:v>0</x:v>
      </x:c>
      <x:c r="W674" s="44"/>
      <x:c r="X674" s="36" t="n">
        <x:v>1</x:v>
      </x:c>
      <x:c r="Y674" s="36" t="n">
        <x:v>1</x:v>
      </x:c>
      <x:c r="Z674" s="44" t="str">
        <x:v>/caffeine</x:v>
      </x:c>
      <x:c r="AA674" s="45" t="b">
        <x:v>1</x:v>
      </x:c>
      <x:c r="AB674" s="43"/>
      <x:c r="AC674" s="34" t="str">
        <x:v>article1-unified-v4-2-fb3f101b-20260903-000401-default-f03-p5-caffeine-2-after-final-undeploy-final-10s-heap-info.txt</x:v>
      </x:c>
      <x:c r="AD674" s="34" t="str">
        <x:v>article1-unified-v4-2-fb3f101b-20260903-000401-default-f03-p5-caffeine-2-after-final-undeploy-final-10s-classloader-stats.txt</x:v>
      </x:c>
      <x:c r="AE674" s="34" t="str">
        <x:v>article1-unified-v4-2-fb3f101b-20260903-000401-default-f03-p5-caffeine-2-after-final-undeploy-final-10s-thread-dump.txt</x:v>
      </x:c>
      <x:c r="AF674" s="34"/>
      <x:c r="AG674" s="34" t="str">
        <x:v>article1-unified-v4-2-fb3f101b-20260903-000401-default-f03-p5-caffeine-2-after-final-undeploy-final-10s-native-memory.txt</x:v>
      </x:c>
      <x:c r="AH674" s="34" t="str">
        <x:v>article1-unified-v4-2-fb3f101b-20260903-000401-default-f03-p5-caffeine-2-after-final-undeploy-final-10s-class-histogram.txt</x:v>
      </x:c>
      <x:c r="AI674" s="34" t="str">
        <x:v>article1-unified-v4-2-fb3f101b-20260903-000401-default-f03-p5-caffeine-2-after-final-undeploy-tomcat-findleaks.txt</x:v>
      </x:c>
    </x:row>
    <x:row r="675">
      <x:c r="A675" s="34" t="str">
        <x:v>article1-unified-v4-2-fb3f101b-20260903-000401-default-f03-p5-caffeine</x:v>
      </x:c>
      <x:c r="B675" s="34" t="str">
        <x:v>default</x:v>
      </x:c>
      <x:c r="C675" s="34" t="str">
        <x:v>caffeine</x:v>
      </x:c>
      <x:c r="D675" s="34" t="str">
        <x:v>caffeine</x:v>
      </x:c>
      <x:c r="E675" s="36" t="n">
        <x:v>3</x:v>
      </x:c>
      <x:c r="F675" s="36" t="n">
        <x:v>3</x:v>
      </x:c>
      <x:c r="G675" s="36" t="n">
        <x:v>5</x:v>
      </x:c>
      <x:c r="H675" s="36" t="n">
        <x:v>3</x:v>
      </x:c>
      <x:c r="I675" s="34" t="str">
        <x:v>baseline</x:v>
      </x:c>
      <x:c r="J675" s="34" t="str">
        <x:v>cycle-baseline</x:v>
      </x:c>
      <x:c r="K675" s="36" t="n">
        <x:v>0</x:v>
      </x:c>
      <x:c r="L675" s="34" t="str">
        <x:v>baseline</x:v>
      </x:c>
      <x:c r="M675" s="34" t="str">
        <x:v>article1-unified-v4-2-fb3f101b-20260903-000401-default-f03-p5-caffeine-3-baseline</x:v>
      </x:c>
      <x:c r="N675" s="38" t="n">
        <x:v>46268.01599503472</x:v>
      </x:c>
      <x:c r="O675" s="36" t="n">
        <x:v>0</x:v>
      </x:c>
      <x:c r="P675" s="43" t="n">
        <x:v>15506432</x:v>
      </x:c>
      <x:c r="Q675" s="43" t="n">
        <x:v>268435456</x:v>
      </x:c>
      <x:c r="R675" s="43" t="n">
        <x:v>422504448</x:v>
      </x:c>
      <x:c r="S675" s="36" t="n">
        <x:v>2</x:v>
      </x:c>
      <x:c r="T675" s="44" t="str">
        <x:v>0x00000000581177b8  0x0000000058003818  0x00007abd80008700    4397  21167104  21156696  org.apache.catalina.loader.ParallelWebappClassLoader | 0x00000000581177b8  0x0000000058003818  0x00007abe80615470       0         0         0  org.apache.catalina.loader.ParallelWebappClassLoader</x:v>
      </x:c>
      <x:c r="U675" s="36" t="n">
        <x:v>30</x:v>
      </x:c>
      <x:c r="V675" s="36" t="n">
        <x:v>0</x:v>
      </x:c>
      <x:c r="W675" s="44"/>
      <x:c r="X675" s="36"/>
      <x:c r="Y675" s="36"/>
      <x:c r="Z675" s="44"/>
      <x:c r="AA675" s="49"/>
      <x:c r="AB675" s="43"/>
      <x:c r="AC675" s="34" t="str">
        <x:v>article1-unified-v4-2-fb3f101b-20260903-000401-default-f03-p5-caffeine-3-baseline-heap-info.txt</x:v>
      </x:c>
      <x:c r="AD675" s="34" t="str">
        <x:v>article1-unified-v4-2-fb3f101b-20260903-000401-default-f03-p5-caffeine-3-baseline-classloader-stats.txt</x:v>
      </x:c>
      <x:c r="AE675" s="34" t="str">
        <x:v>article1-unified-v4-2-fb3f101b-20260903-000401-default-f03-p5-caffeine-3-baseline-thread-dump.txt</x:v>
      </x:c>
      <x:c r="AF675" s="34"/>
      <x:c r="AG675" s="34" t="str">
        <x:v>article1-unified-v4-2-fb3f101b-20260903-000401-default-f03-p5-caffeine-3-baseline-native-memory.txt</x:v>
      </x:c>
      <x:c r="AH675" s="34"/>
      <x:c r="AI675" s="34"/>
    </x:row>
    <x:row r="676">
      <x:c r="A676" s="34" t="str">
        <x:v>article1-unified-v4-2-fb3f101b-20260903-000401-default-f03-p5-caffeine</x:v>
      </x:c>
      <x:c r="B676" s="34" t="str">
        <x:v>default</x:v>
      </x:c>
      <x:c r="C676" s="34" t="str">
        <x:v>caffeine</x:v>
      </x:c>
      <x:c r="D676" s="34" t="str">
        <x:v>caffeine</x:v>
      </x:c>
      <x:c r="E676" s="36" t="n">
        <x:v>3</x:v>
      </x:c>
      <x:c r="F676" s="36" t="n">
        <x:v>3</x:v>
      </x:c>
      <x:c r="G676" s="36" t="n">
        <x:v>5</x:v>
      </x:c>
      <x:c r="H676" s="36" t="n">
        <x:v>3</x:v>
      </x:c>
      <x:c r="I676" s="34" t="str">
        <x:v>deployedIdle</x:v>
      </x:c>
      <x:c r="J676" s="34" t="str">
        <x:v>deployed-idle</x:v>
      </x:c>
      <x:c r="K676" s="36" t="n">
        <x:v>0</x:v>
      </x:c>
      <x:c r="L676" s="34" t="str">
        <x:v>initial</x:v>
      </x:c>
      <x:c r="M676" s="34" t="str">
        <x:v>article1-unified-v4-2-fb3f101b-20260903-000401-default-f03-p5-caffeine-3-deployed-idle</x:v>
      </x:c>
      <x:c r="N676" s="38" t="n">
        <x:v>46268.01610011574</x:v>
      </x:c>
      <x:c r="O676" s="36" t="n">
        <x:v>0</x:v>
      </x:c>
      <x:c r="P676" s="43" t="n">
        <x:v>164395008</x:v>
      </x:c>
      <x:c r="Q676" s="43" t="n">
        <x:v>268435456</x:v>
      </x:c>
      <x:c r="R676" s="43" t="n">
        <x:v>457144320</x:v>
      </x:c>
      <x:c r="S676" s="36" t="n">
        <x:v>3</x:v>
      </x:c>
      <x:c r="T676" s="44" t="str">
        <x:v>0x00000000581177b8  0x0000000058003818  0x00007abd78150b20    4091  19430400  19428600  org.apache.catalina.loader.ParallelWebappClassLoader | 0x00000000581177b8  0x0000000058003818  0x00007abd80008700    4397  21167104  21156696  org.apache.catalina.loader.ParallelWebappClassLoader | 0x00000000581177b8  0x0000000058003818  0x00007abe80615470       0         0         0  org.apache.catalina.loader.ParallelWebappClassLoader</x:v>
      </x:c>
      <x:c r="U676" s="36" t="n">
        <x:v>30</x:v>
      </x:c>
      <x:c r="V676" s="36" t="n">
        <x:v>0</x:v>
      </x:c>
      <x:c r="W676" s="44"/>
      <x:c r="X676" s="36"/>
      <x:c r="Y676" s="36"/>
      <x:c r="Z676" s="44"/>
      <x:c r="AA676" s="49"/>
      <x:c r="AB676" s="43"/>
      <x:c r="AC676" s="34"/>
      <x:c r="AD676" s="34"/>
      <x:c r="AE676" s="34"/>
      <x:c r="AF676" s="34"/>
      <x:c r="AG676" s="34"/>
      <x:c r="AH676" s="34"/>
      <x:c r="AI676" s="34"/>
    </x:row>
    <x:row r="677">
      <x:c r="A677" s="34" t="str">
        <x:v>article1-unified-v4-2-fb3f101b-20260903-000401-default-f03-p5-caffeine</x:v>
      </x:c>
      <x:c r="B677" s="34" t="str">
        <x:v>default</x:v>
      </x:c>
      <x:c r="C677" s="34" t="str">
        <x:v>caffeine</x:v>
      </x:c>
      <x:c r="D677" s="34" t="str">
        <x:v>caffeine</x:v>
      </x:c>
      <x:c r="E677" s="36" t="n">
        <x:v>3</x:v>
      </x:c>
      <x:c r="F677" s="36" t="n">
        <x:v>3</x:v>
      </x:c>
      <x:c r="G677" s="36" t="n">
        <x:v>5</x:v>
      </x:c>
      <x:c r="H677" s="36" t="n">
        <x:v>3</x:v>
      </x:c>
      <x:c r="I677" s="34" t="str">
        <x:v>loaded</x:v>
      </x:c>
      <x:c r="J677" s="34" t="str">
        <x:v>loaded</x:v>
      </x:c>
      <x:c r="K677" s="36" t="n">
        <x:v>0</x:v>
      </x:c>
      <x:c r="L677" s="34" t="str">
        <x:v>initial</x:v>
      </x:c>
      <x:c r="M677" s="34" t="str">
        <x:v>article1-unified-v4-2-fb3f101b-20260903-000401-default-f03-p5-caffeine-3-loaded</x:v>
      </x:c>
      <x:c r="N677" s="38" t="n">
        <x:v>46268.016245844905</x:v>
      </x:c>
      <x:c r="O677" s="36" t="n">
        <x:v>0</x:v>
      </x:c>
      <x:c r="P677" s="43" t="n">
        <x:v>204765184</x:v>
      </x:c>
      <x:c r="Q677" s="43" t="n">
        <x:v>268435456</x:v>
      </x:c>
      <x:c r="R677" s="43" t="n">
        <x:v>442471424</x:v>
      </x:c>
      <x:c r="S677" s="36" t="n">
        <x:v>3</x:v>
      </x:c>
      <x:c r="T677" s="44" t="str">
        <x:v>0x00000000581177b8  0x0000000058003818  0x00007abd80008700    4397  21167104  21156696  org.apache.catalina.loader.ParallelWebappClassLoader | 0x00000000581177b8  0x0000000058003818  0x00007abd78150b20    4388  21150720  21132064  org.apache.catalina.loader.ParallelWebappClassLoader | 0x00000000581177b8  0x0000000058003818  0x00007abe80615470       0         0         0  org.apache.catalina.loader.ParallelWebappClassLoader</x:v>
      </x:c>
      <x:c r="U677" s="36" t="n">
        <x:v>30</x:v>
      </x:c>
      <x:c r="V677" s="36" t="n">
        <x:v>0</x:v>
      </x:c>
      <x:c r="W677" s="44"/>
      <x:c r="X677" s="36"/>
      <x:c r="Y677" s="36"/>
      <x:c r="Z677" s="44"/>
      <x:c r="AA677" s="49"/>
      <x:c r="AB677" s="43"/>
      <x:c r="AC677" s="34"/>
      <x:c r="AD677" s="34"/>
      <x:c r="AE677" s="34"/>
      <x:c r="AF677" s="34"/>
      <x:c r="AG677" s="34"/>
      <x:c r="AH677" s="34"/>
      <x:c r="AI677" s="34"/>
    </x:row>
    <x:row r="678">
      <x:c r="A678" s="34" t="str">
        <x:v>article1-unified-v4-2-fb3f101b-20260903-000401-default-f03-p5-caffeine</x:v>
      </x:c>
      <x:c r="B678" s="34" t="str">
        <x:v>default</x:v>
      </x:c>
      <x:c r="C678" s="34" t="str">
        <x:v>caffeine</x:v>
      </x:c>
      <x:c r="D678" s="34" t="str">
        <x:v>caffeine</x:v>
      </x:c>
      <x:c r="E678" s="36" t="n">
        <x:v>3</x:v>
      </x:c>
      <x:c r="F678" s="36" t="n">
        <x:v>3</x:v>
      </x:c>
      <x:c r="G678" s="36" t="n">
        <x:v>5</x:v>
      </x:c>
      <x:c r="H678" s="36" t="n">
        <x:v>3</x:v>
      </x:c>
      <x:c r="I678" s="34" t="str">
        <x:v>afterUndeployEarly</x:v>
      </x:c>
      <x:c r="J678" s="34" t="str">
        <x:v>after-undeploy-early</x:v>
      </x:c>
      <x:c r="K678" s="36" t="n">
        <x:v>1</x:v>
      </x:c>
      <x:c r="L678" s="34" t="str">
        <x:v>early</x:v>
      </x:c>
      <x:c r="M678" s="34" t="str">
        <x:v>article1-unified-v4-2-fb3f101b-20260903-000401-default-f03-p5-caffeine-3-after-undeploy-early-2s</x:v>
      </x:c>
      <x:c r="N678" s="38" t="n">
        <x:v>46268.016327997684</x:v>
      </x:c>
      <x:c r="O678" s="36"/>
      <x:c r="P678" s="43"/>
      <x:c r="Q678" s="43"/>
      <x:c r="R678" s="43"/>
      <x:c r="S678" s="36"/>
      <x:c r="T678" s="44"/>
      <x:c r="U678" s="36" t="n">
        <x:v>30</x:v>
      </x:c>
      <x:c r="V678" s="36" t="n">
        <x:v>0</x:v>
      </x:c>
      <x:c r="W678" s="44"/>
      <x:c r="X678" s="36"/>
      <x:c r="Y678" s="36"/>
      <x:c r="Z678" s="44"/>
      <x:c r="AA678" s="49"/>
      <x:c r="AB678" s="43" t="n">
        <x:v>1</x:v>
      </x:c>
      <x:c r="AC678" s="34"/>
      <x:c r="AD678" s="34"/>
      <x:c r="AE678" s="34" t="str">
        <x:v>article1-unified-v4-2-fb3f101b-20260903-000401-default-f03-p5-caffeine-3-after-undeploy-early-2s-thread-dump.txt</x:v>
      </x:c>
      <x:c r="AF678" s="34" t="str">
        <x:v>article1-unified-v4-2-fb3f101b-20260903-000401-default-f03-p5-caffeine-3-after-undeploy-early-tomcat-log.txt</x:v>
      </x:c>
      <x:c r="AG678" s="34"/>
      <x:c r="AH678" s="34"/>
      <x:c r="AI678" s="34"/>
    </x:row>
    <x:row r="679">
      <x:c r="A679" s="34" t="str">
        <x:v>article1-unified-v4-2-fb3f101b-20260903-000401-default-f03-p5-caffeine</x:v>
      </x:c>
      <x:c r="B679" s="34" t="str">
        <x:v>default</x:v>
      </x:c>
      <x:c r="C679" s="34" t="str">
        <x:v>caffeine</x:v>
      </x:c>
      <x:c r="D679" s="34" t="str">
        <x:v>caffeine</x:v>
      </x:c>
      <x:c r="E679" s="36" t="n">
        <x:v>3</x:v>
      </x:c>
      <x:c r="F679" s="36" t="n">
        <x:v>3</x:v>
      </x:c>
      <x:c r="G679" s="36" t="n">
        <x:v>5</x:v>
      </x:c>
      <x:c r="H679" s="36" t="n">
        <x:v>3</x:v>
      </x:c>
      <x:c r="I679" s="34" t="str">
        <x:v>afterUndeploy</x:v>
      </x:c>
      <x:c r="J679" s="34" t="str">
        <x:v>after-undeploy-final</x:v>
      </x:c>
      <x:c r="K679" s="36" t="n">
        <x:v>1</x:v>
      </x:c>
      <x:c r="L679" s="34" t="str">
        <x:v>final</x:v>
      </x:c>
      <x:c r="M679" s="34" t="str">
        <x:v>article1-unified-v4-2-fb3f101b-20260903-000401-default-f03-p5-caffeine-3-after-undeploy-final-10s</x:v>
      </x:c>
      <x:c r="N679" s="38" t="n">
        <x:v>46268.01648097222</x:v>
      </x:c>
      <x:c r="O679" s="36" t="n">
        <x:v>2</x:v>
      </x:c>
      <x:c r="P679" s="43" t="n">
        <x:v>15542272</x:v>
      </x:c>
      <x:c r="Q679" s="43" t="n">
        <x:v>268435456</x:v>
      </x:c>
      <x:c r="R679" s="43" t="n">
        <x:v>420288512</x:v>
      </x:c>
      <x:c r="S679" s="36" t="n">
        <x:v>2</x:v>
      </x:c>
      <x:c r="T679" s="44" t="str">
        <x:v>0x00000000581177b8  0x0000000058003818  0x00007abd78150b20    4396  21167104  21156880  org.apache.catalina.loader.ParallelWebappClassLoader | 0x00000000581177b8  0x0000000058003818  0x00007abe80615470       0         0         0  org.apache.catalina.loader.ParallelWebappClassLoader</x:v>
      </x:c>
      <x:c r="U679" s="36" t="n">
        <x:v>30</x:v>
      </x:c>
      <x:c r="V679" s="36" t="n">
        <x:v>0</x:v>
      </x:c>
      <x:c r="W679" s="44"/>
      <x:c r="X679" s="36" t="n">
        <x:v>1</x:v>
      </x:c>
      <x:c r="Y679" s="36" t="n">
        <x:v>1</x:v>
      </x:c>
      <x:c r="Z679" s="44" t="str">
        <x:v>/caffeine</x:v>
      </x:c>
      <x:c r="AA679" s="45" t="b">
        <x:v>1</x:v>
      </x:c>
      <x:c r="AB679" s="43"/>
      <x:c r="AC679" s="34" t="str">
        <x:v>article1-unified-v4-2-fb3f101b-20260903-000401-default-f03-p5-caffeine-3-after-undeploy-final-10s-heap-info.txt</x:v>
      </x:c>
      <x:c r="AD679" s="34" t="str">
        <x:v>article1-unified-v4-2-fb3f101b-20260903-000401-default-f03-p5-caffeine-3-after-undeploy-final-10s-classloader-stats.txt</x:v>
      </x:c>
      <x:c r="AE679" s="34" t="str">
        <x:v>article1-unified-v4-2-fb3f101b-20260903-000401-default-f03-p5-caffeine-3-after-undeploy-final-10s-thread-dump.txt</x:v>
      </x:c>
      <x:c r="AF679" s="34"/>
      <x:c r="AG679" s="34" t="str">
        <x:v>article1-unified-v4-2-fb3f101b-20260903-000401-default-f03-p5-caffeine-3-after-undeploy-final-10s-native-memory.txt</x:v>
      </x:c>
      <x:c r="AH679" s="34" t="str">
        <x:v>article1-unified-v4-2-fb3f101b-20260903-000401-default-f03-p5-caffeine-3-after-undeploy-final-10s-class-histogram.txt</x:v>
      </x:c>
      <x:c r="AI679" s="34" t="str">
        <x:v>article1-unified-v4-2-fb3f101b-20260903-000401-default-f03-p5-caffeine-3-after-undeploy-tomcat-findleaks.txt</x:v>
      </x:c>
    </x:row>
    <x:row r="680">
      <x:c r="A680" s="34" t="str">
        <x:v>article1-unified-v4-2-fb3f101b-20260903-000401-default-f03-p5-caffeine</x:v>
      </x:c>
      <x:c r="B680" s="34" t="str">
        <x:v>default</x:v>
      </x:c>
      <x:c r="C680" s="34" t="str">
        <x:v>caffeine</x:v>
      </x:c>
      <x:c r="D680" s="34" t="str">
        <x:v>caffeine</x:v>
      </x:c>
      <x:c r="E680" s="36" t="n">
        <x:v>3</x:v>
      </x:c>
      <x:c r="F680" s="36" t="n">
        <x:v>3</x:v>
      </x:c>
      <x:c r="G680" s="36" t="n">
        <x:v>5</x:v>
      </x:c>
      <x:c r="H680" s="36" t="n">
        <x:v>3</x:v>
      </x:c>
      <x:c r="I680" s="34" t="str">
        <x:v>redeployedLoaded</x:v>
      </x:c>
      <x:c r="J680" s="34" t="str">
        <x:v>redeployed-loaded</x:v>
      </x:c>
      <x:c r="K680" s="36" t="n">
        <x:v>0</x:v>
      </x:c>
      <x:c r="L680" s="34" t="str">
        <x:v>redeploy</x:v>
      </x:c>
      <x:c r="M680" s="34" t="str">
        <x:v>article1-unified-v4-2-fb3f101b-20260903-000401-default-f03-p5-caffeine-3-redeployed-loaded</x:v>
      </x:c>
      <x:c r="N680" s="38" t="n">
        <x:v>46268.01674318287</x:v>
      </x:c>
      <x:c r="O680" s="36" t="n">
        <x:v>0</x:v>
      </x:c>
      <x:c r="P680" s="43" t="n">
        <x:v>210812928</x:v>
      </x:c>
      <x:c r="Q680" s="43" t="n">
        <x:v>268435456</x:v>
      </x:c>
      <x:c r="R680" s="43" t="n">
        <x:v>443571200</x:v>
      </x:c>
      <x:c r="S680" s="36" t="n">
        <x:v>3</x:v>
      </x:c>
      <x:c r="T680" s="44" t="str">
        <x:v>0x00000000581177b8  0x0000000058003818  0x00007abd98002490    4386  21146624  21130456  org.apache.catalina.loader.ParallelWebappClassLoader | 0x00000000581177b8  0x0000000058003818  0x00007abd78150b20    4396  21167104  21156880  org.apache.catalina.loader.ParallelWebappClassLoader | 0x00000000581177b8  0x0000000058003818  0x00007abe80615470       0         0         0  org.apache.catalina.loader.ParallelWebappClassLoader</x:v>
      </x:c>
      <x:c r="U680" s="36" t="n">
        <x:v>30</x:v>
      </x:c>
      <x:c r="V680" s="36" t="n">
        <x:v>0</x:v>
      </x:c>
      <x:c r="W680" s="44"/>
      <x:c r="X680" s="36"/>
      <x:c r="Y680" s="36"/>
      <x:c r="Z680" s="44"/>
      <x:c r="AA680" s="49"/>
      <x:c r="AB680" s="43"/>
      <x:c r="AC680" s="34"/>
      <x:c r="AD680" s="34"/>
      <x:c r="AE680" s="34"/>
      <x:c r="AF680" s="34"/>
      <x:c r="AG680" s="34"/>
      <x:c r="AH680" s="34"/>
      <x:c r="AI680" s="34"/>
    </x:row>
    <x:row r="681">
      <x:c r="A681" s="34" t="str">
        <x:v>article1-unified-v4-2-fb3f101b-20260903-000401-default-f03-p5-caffeine</x:v>
      </x:c>
      <x:c r="B681" s="34" t="str">
        <x:v>default</x:v>
      </x:c>
      <x:c r="C681" s="34" t="str">
        <x:v>caffeine</x:v>
      </x:c>
      <x:c r="D681" s="34" t="str">
        <x:v>caffeine</x:v>
      </x:c>
      <x:c r="E681" s="36" t="n">
        <x:v>3</x:v>
      </x:c>
      <x:c r="F681" s="36" t="n">
        <x:v>3</x:v>
      </x:c>
      <x:c r="G681" s="36" t="n">
        <x:v>5</x:v>
      </x:c>
      <x:c r="H681" s="36" t="n">
        <x:v>3</x:v>
      </x:c>
      <x:c r="I681" s="34" t="str">
        <x:v>afterFinalUndeployEarly</x:v>
      </x:c>
      <x:c r="J681" s="34" t="str">
        <x:v>after-final-undeploy-early</x:v>
      </x:c>
      <x:c r="K681" s="36" t="n">
        <x:v>2</x:v>
      </x:c>
      <x:c r="L681" s="34" t="str">
        <x:v>early</x:v>
      </x:c>
      <x:c r="M681" s="34" t="str">
        <x:v>article1-unified-v4-2-fb3f101b-20260903-000401-default-f03-p5-caffeine-3-after-final-undeploy-early-2s</x:v>
      </x:c>
      <x:c r="N681" s="38" t="n">
        <x:v>46268.01682547454</x:v>
      </x:c>
      <x:c r="O681" s="36"/>
      <x:c r="P681" s="43"/>
      <x:c r="Q681" s="43"/>
      <x:c r="R681" s="43"/>
      <x:c r="S681" s="36"/>
      <x:c r="T681" s="44"/>
      <x:c r="U681" s="36" t="n">
        <x:v>30</x:v>
      </x:c>
      <x:c r="V681" s="36" t="n">
        <x:v>0</x:v>
      </x:c>
      <x:c r="W681" s="44"/>
      <x:c r="X681" s="36"/>
      <x:c r="Y681" s="36"/>
      <x:c r="Z681" s="44"/>
      <x:c r="AA681" s="49"/>
      <x:c r="AB681" s="43" t="n">
        <x:v>1</x:v>
      </x:c>
      <x:c r="AC681" s="34"/>
      <x:c r="AD681" s="34"/>
      <x:c r="AE681" s="34" t="str">
        <x:v>article1-unified-v4-2-fb3f101b-20260903-000401-default-f03-p5-caffeine-3-after-final-undeploy-early-2s-thread-dump.txt</x:v>
      </x:c>
      <x:c r="AF681" s="34" t="str">
        <x:v>article1-unified-v4-2-fb3f101b-20260903-000401-default-f03-p5-caffeine-3-after-final-undeploy-early-tomcat-log.txt</x:v>
      </x:c>
      <x:c r="AG681" s="34"/>
      <x:c r="AH681" s="34"/>
      <x:c r="AI681" s="34"/>
    </x:row>
    <x:row r="682">
      <x:c r="A682" s="34" t="str">
        <x:v>article1-unified-v4-2-fb3f101b-20260903-000401-default-f03-p5-caffeine</x:v>
      </x:c>
      <x:c r="B682" s="34" t="str">
        <x:v>default</x:v>
      </x:c>
      <x:c r="C682" s="34" t="str">
        <x:v>caffeine</x:v>
      </x:c>
      <x:c r="D682" s="34" t="str">
        <x:v>caffeine</x:v>
      </x:c>
      <x:c r="E682" s="36" t="n">
        <x:v>3</x:v>
      </x:c>
      <x:c r="F682" s="36" t="n">
        <x:v>3</x:v>
      </x:c>
      <x:c r="G682" s="36" t="n">
        <x:v>5</x:v>
      </x:c>
      <x:c r="H682" s="36" t="n">
        <x:v>3</x:v>
      </x:c>
      <x:c r="I682" s="34" t="str">
        <x:v>afterFinalUndeploy</x:v>
      </x:c>
      <x:c r="J682" s="34" t="str">
        <x:v>after-final-undeploy-final</x:v>
      </x:c>
      <x:c r="K682" s="36" t="n">
        <x:v>2</x:v>
      </x:c>
      <x:c r="L682" s="34" t="str">
        <x:v>final</x:v>
      </x:c>
      <x:c r="M682" s="34" t="str">
        <x:v>article1-unified-v4-2-fb3f101b-20260903-000401-default-f03-p5-caffeine-3-after-final-undeploy-final-10s</x:v>
      </x:c>
      <x:c r="N682" s="38" t="n">
        <x:v>46268.01698357639</x:v>
      </x:c>
      <x:c r="O682" s="36" t="n">
        <x:v>2</x:v>
      </x:c>
      <x:c r="P682" s="43" t="n">
        <x:v>15539200</x:v>
      </x:c>
      <x:c r="Q682" s="43" t="n">
        <x:v>268435456</x:v>
      </x:c>
      <x:c r="R682" s="43" t="n">
        <x:v>425850880</x:v>
      </x:c>
      <x:c r="S682" s="36" t="n">
        <x:v>2</x:v>
      </x:c>
      <x:c r="T682" s="44" t="str">
        <x:v>0x00000000581177b8  0x0000000058003818  0x00007abd98002490    4394  21170176  21155112  org.apache.catalina.loader.ParallelWebappClassLoader | 0x00000000581177b8  0x0000000058003818  0x00007abe80615470       0         0         0  org.apache.catalina.loader.ParallelWebappClassLoader</x:v>
      </x:c>
      <x:c r="U682" s="36" t="n">
        <x:v>30</x:v>
      </x:c>
      <x:c r="V682" s="36" t="n">
        <x:v>0</x:v>
      </x:c>
      <x:c r="W682" s="44"/>
      <x:c r="X682" s="36" t="n">
        <x:v>1</x:v>
      </x:c>
      <x:c r="Y682" s="36" t="n">
        <x:v>1</x:v>
      </x:c>
      <x:c r="Z682" s="44" t="str">
        <x:v>/caffeine</x:v>
      </x:c>
      <x:c r="AA682" s="45" t="b">
        <x:v>1</x:v>
      </x:c>
      <x:c r="AB682" s="43"/>
      <x:c r="AC682" s="34" t="str">
        <x:v>article1-unified-v4-2-fb3f101b-20260903-000401-default-f03-p5-caffeine-3-after-final-undeploy-final-10s-heap-info.txt</x:v>
      </x:c>
      <x:c r="AD682" s="34" t="str">
        <x:v>article1-unified-v4-2-fb3f101b-20260903-000401-default-f03-p5-caffeine-3-after-final-undeploy-final-10s-classloader-stats.txt</x:v>
      </x:c>
      <x:c r="AE682" s="34" t="str">
        <x:v>article1-unified-v4-2-fb3f101b-20260903-000401-default-f03-p5-caffeine-3-after-final-undeploy-final-10s-thread-dump.txt</x:v>
      </x:c>
      <x:c r="AF682" s="34"/>
      <x:c r="AG682" s="34" t="str">
        <x:v>article1-unified-v4-2-fb3f101b-20260903-000401-default-f03-p5-caffeine-3-after-final-undeploy-final-10s-native-memory.txt</x:v>
      </x:c>
      <x:c r="AH682" s="34" t="str">
        <x:v>article1-unified-v4-2-fb3f101b-20260903-000401-default-f03-p5-caffeine-3-after-final-undeploy-final-10s-class-histogram.txt</x:v>
      </x:c>
      <x:c r="AI682" s="34" t="str">
        <x:v>article1-unified-v4-2-fb3f101b-20260903-000401-default-f03-p5-caffeine-3-after-final-undeploy-tomcat-findleaks.txt</x:v>
      </x:c>
    </x:row>
    <x:row r="683">
      <x:c r="A683" s="34" t="str">
        <x:v>article1-unified-v4-2-fb3f101b-20260903-000401-default-f03-p5-caffeine</x:v>
      </x:c>
      <x:c r="B683" s="34" t="str">
        <x:v>default</x:v>
      </x:c>
      <x:c r="C683" s="34" t="str">
        <x:v>caffeine</x:v>
      </x:c>
      <x:c r="D683" s="34" t="str">
        <x:v>caffeine</x:v>
      </x:c>
      <x:c r="E683" s="36" t="n">
        <x:v>3</x:v>
      </x:c>
      <x:c r="F683" s="36" t="n">
        <x:v>3</x:v>
      </x:c>
      <x:c r="G683" s="36" t="n">
        <x:v>5</x:v>
      </x:c>
      <x:c r="H683" s="36" t="n">
        <x:v>4</x:v>
      </x:c>
      <x:c r="I683" s="34" t="str">
        <x:v>baseline</x:v>
      </x:c>
      <x:c r="J683" s="34" t="str">
        <x:v>cycle-baseline</x:v>
      </x:c>
      <x:c r="K683" s="36" t="n">
        <x:v>0</x:v>
      </x:c>
      <x:c r="L683" s="34" t="str">
        <x:v>baseline</x:v>
      </x:c>
      <x:c r="M683" s="34" t="str">
        <x:v>article1-unified-v4-2-fb3f101b-20260903-000401-default-f03-p5-caffeine-4-baseline</x:v>
      </x:c>
      <x:c r="N683" s="38" t="n">
        <x:v>46268.017027800925</x:v>
      </x:c>
      <x:c r="O683" s="36" t="n">
        <x:v>0</x:v>
      </x:c>
      <x:c r="P683" s="43" t="n">
        <x:v>15539200</x:v>
      </x:c>
      <x:c r="Q683" s="43" t="n">
        <x:v>268435456</x:v>
      </x:c>
      <x:c r="R683" s="43" t="n">
        <x:v>426355712</x:v>
      </x:c>
      <x:c r="S683" s="36" t="n">
        <x:v>2</x:v>
      </x:c>
      <x:c r="T683" s="44" t="str">
        <x:v>0x00000000581177b8  0x0000000058003818  0x00007abd98002490    4394  21170176  21155112  org.apache.catalina.loader.ParallelWebappClassLoader | 0x00000000581177b8  0x0000000058003818  0x00007abe80615470       0         0         0  org.apache.catalina.loader.ParallelWebappClassLoader</x:v>
      </x:c>
      <x:c r="U683" s="36" t="n">
        <x:v>30</x:v>
      </x:c>
      <x:c r="V683" s="36" t="n">
        <x:v>0</x:v>
      </x:c>
      <x:c r="W683" s="44"/>
      <x:c r="X683" s="36"/>
      <x:c r="Y683" s="36"/>
      <x:c r="Z683" s="44"/>
      <x:c r="AA683" s="49"/>
      <x:c r="AB683" s="43"/>
      <x:c r="AC683" s="34" t="str">
        <x:v>article1-unified-v4-2-fb3f101b-20260903-000401-default-f03-p5-caffeine-4-baseline-heap-info.txt</x:v>
      </x:c>
      <x:c r="AD683" s="34" t="str">
        <x:v>article1-unified-v4-2-fb3f101b-20260903-000401-default-f03-p5-caffeine-4-baseline-classloader-stats.txt</x:v>
      </x:c>
      <x:c r="AE683" s="34" t="str">
        <x:v>article1-unified-v4-2-fb3f101b-20260903-000401-default-f03-p5-caffeine-4-baseline-thread-dump.txt</x:v>
      </x:c>
      <x:c r="AF683" s="34"/>
      <x:c r="AG683" s="34" t="str">
        <x:v>article1-unified-v4-2-fb3f101b-20260903-000401-default-f03-p5-caffeine-4-baseline-native-memory.txt</x:v>
      </x:c>
      <x:c r="AH683" s="34"/>
      <x:c r="AI683" s="34"/>
    </x:row>
    <x:row r="684">
      <x:c r="A684" s="34" t="str">
        <x:v>article1-unified-v4-2-fb3f101b-20260903-000401-default-f03-p5-caffeine</x:v>
      </x:c>
      <x:c r="B684" s="34" t="str">
        <x:v>default</x:v>
      </x:c>
      <x:c r="C684" s="34" t="str">
        <x:v>caffeine</x:v>
      </x:c>
      <x:c r="D684" s="34" t="str">
        <x:v>caffeine</x:v>
      </x:c>
      <x:c r="E684" s="36" t="n">
        <x:v>3</x:v>
      </x:c>
      <x:c r="F684" s="36" t="n">
        <x:v>3</x:v>
      </x:c>
      <x:c r="G684" s="36" t="n">
        <x:v>5</x:v>
      </x:c>
      <x:c r="H684" s="36" t="n">
        <x:v>4</x:v>
      </x:c>
      <x:c r="I684" s="34" t="str">
        <x:v>deployedIdle</x:v>
      </x:c>
      <x:c r="J684" s="34" t="str">
        <x:v>deployed-idle</x:v>
      </x:c>
      <x:c r="K684" s="36" t="n">
        <x:v>0</x:v>
      </x:c>
      <x:c r="L684" s="34" t="str">
        <x:v>initial</x:v>
      </x:c>
      <x:c r="M684" s="34" t="str">
        <x:v>article1-unified-v4-2-fb3f101b-20260903-000401-default-f03-p5-caffeine-4-deployed-idle</x:v>
      </x:c>
      <x:c r="N684" s="38" t="n">
        <x:v>46268.01712386574</x:v>
      </x:c>
      <x:c r="O684" s="36" t="n">
        <x:v>0</x:v>
      </x:c>
      <x:c r="P684" s="43" t="n">
        <x:v>165750784</x:v>
      </x:c>
      <x:c r="Q684" s="43" t="n">
        <x:v>268435456</x:v>
      </x:c>
      <x:c r="R684" s="43" t="n">
        <x:v>459851776</x:v>
      </x:c>
      <x:c r="S684" s="36" t="n">
        <x:v>3</x:v>
      </x:c>
      <x:c r="T684" s="44" t="str">
        <x:v>0x00000000581177b8  0x0000000058003818  0x00007abdd8152540    4091  19442688  19432728  org.apache.catalina.loader.ParallelWebappClassLoader | 0x00000000581177b8  0x0000000058003818  0x00007abd98002490    4394  21170176  21155112  org.apache.catalina.loader.ParallelWebappClassLoader | 0x00000000581177b8  0x0000000058003818  0x00007abe80615470       0         0         0  org.apache.catalina.loader.ParallelWebappClassLoader</x:v>
      </x:c>
      <x:c r="U684" s="36" t="n">
        <x:v>30</x:v>
      </x:c>
      <x:c r="V684" s="36" t="n">
        <x:v>0</x:v>
      </x:c>
      <x:c r="W684" s="44"/>
      <x:c r="X684" s="36"/>
      <x:c r="Y684" s="36"/>
      <x:c r="Z684" s="44"/>
      <x:c r="AA684" s="49"/>
      <x:c r="AB684" s="43"/>
      <x:c r="AC684" s="34"/>
      <x:c r="AD684" s="34"/>
      <x:c r="AE684" s="34"/>
      <x:c r="AF684" s="34"/>
      <x:c r="AG684" s="34"/>
      <x:c r="AH684" s="34"/>
      <x:c r="AI684" s="34"/>
    </x:row>
    <x:row r="685">
      <x:c r="A685" s="34" t="str">
        <x:v>article1-unified-v4-2-fb3f101b-20260903-000401-default-f03-p5-caffeine</x:v>
      </x:c>
      <x:c r="B685" s="34" t="str">
        <x:v>default</x:v>
      </x:c>
      <x:c r="C685" s="34" t="str">
        <x:v>caffeine</x:v>
      </x:c>
      <x:c r="D685" s="34" t="str">
        <x:v>caffeine</x:v>
      </x:c>
      <x:c r="E685" s="36" t="n">
        <x:v>3</x:v>
      </x:c>
      <x:c r="F685" s="36" t="n">
        <x:v>3</x:v>
      </x:c>
      <x:c r="G685" s="36" t="n">
        <x:v>5</x:v>
      </x:c>
      <x:c r="H685" s="36" t="n">
        <x:v>4</x:v>
      </x:c>
      <x:c r="I685" s="34" t="str">
        <x:v>loaded</x:v>
      </x:c>
      <x:c r="J685" s="34" t="str">
        <x:v>loaded</x:v>
      </x:c>
      <x:c r="K685" s="36" t="n">
        <x:v>0</x:v>
      </x:c>
      <x:c r="L685" s="34" t="str">
        <x:v>initial</x:v>
      </x:c>
      <x:c r="M685" s="34" t="str">
        <x:v>article1-unified-v4-2-fb3f101b-20260903-000401-default-f03-p5-caffeine-4-loaded</x:v>
      </x:c>
      <x:c r="N685" s="38" t="n">
        <x:v>46268.01727496528</x:v>
      </x:c>
      <x:c r="O685" s="36" t="n">
        <x:v>0</x:v>
      </x:c>
      <x:c r="P685" s="43" t="n">
        <x:v>201613312</x:v>
      </x:c>
      <x:c r="Q685" s="43" t="n">
        <x:v>268435456</x:v>
      </x:c>
      <x:c r="R685" s="43" t="n">
        <x:v>444980224</x:v>
      </x:c>
      <x:c r="S685" s="36" t="n">
        <x:v>3</x:v>
      </x:c>
      <x:c r="T685" s="44" t="str">
        <x:v>0x00000000581177b8  0x0000000058003818  0x00007abdd8152540    4386  21146624  21135432  org.apache.catalina.loader.ParallelWebappClassLoader | 0x00000000581177b8  0x0000000058003818  0x00007abd98002490    4394  21170176  21155112  org.apache.catalina.loader.ParallelWebappClassLoader | 0x00000000581177b8  0x0000000058003818  0x00007abe80615470       0         0         0  org.apache.catalina.loader.ParallelWebappClassLoader</x:v>
      </x:c>
      <x:c r="U685" s="36" t="n">
        <x:v>31</x:v>
      </x:c>
      <x:c r="V685" s="36" t="n">
        <x:v>0</x:v>
      </x:c>
      <x:c r="W685" s="44"/>
      <x:c r="X685" s="36"/>
      <x:c r="Y685" s="36"/>
      <x:c r="Z685" s="44"/>
      <x:c r="AA685" s="49"/>
      <x:c r="AB685" s="43"/>
      <x:c r="AC685" s="34"/>
      <x:c r="AD685" s="34"/>
      <x:c r="AE685" s="34"/>
      <x:c r="AF685" s="34"/>
      <x:c r="AG685" s="34"/>
      <x:c r="AH685" s="34"/>
      <x:c r="AI685" s="34"/>
    </x:row>
    <x:row r="686">
      <x:c r="A686" s="34" t="str">
        <x:v>article1-unified-v4-2-fb3f101b-20260903-000401-default-f03-p5-caffeine</x:v>
      </x:c>
      <x:c r="B686" s="34" t="str">
        <x:v>default</x:v>
      </x:c>
      <x:c r="C686" s="34" t="str">
        <x:v>caffeine</x:v>
      </x:c>
      <x:c r="D686" s="34" t="str">
        <x:v>caffeine</x:v>
      </x:c>
      <x:c r="E686" s="36" t="n">
        <x:v>3</x:v>
      </x:c>
      <x:c r="F686" s="36" t="n">
        <x:v>3</x:v>
      </x:c>
      <x:c r="G686" s="36" t="n">
        <x:v>5</x:v>
      </x:c>
      <x:c r="H686" s="36" t="n">
        <x:v>4</x:v>
      </x:c>
      <x:c r="I686" s="34" t="str">
        <x:v>afterUndeployEarly</x:v>
      </x:c>
      <x:c r="J686" s="34" t="str">
        <x:v>after-undeploy-early</x:v>
      </x:c>
      <x:c r="K686" s="36" t="n">
        <x:v>1</x:v>
      </x:c>
      <x:c r="L686" s="34" t="str">
        <x:v>early</x:v>
      </x:c>
      <x:c r="M686" s="34" t="str">
        <x:v>article1-unified-v4-2-fb3f101b-20260903-000401-default-f03-p5-caffeine-4-after-undeploy-early-2s</x:v>
      </x:c>
      <x:c r="N686" s="38" t="n">
        <x:v>46268.01735659722</x:v>
      </x:c>
      <x:c r="O686" s="36"/>
      <x:c r="P686" s="43"/>
      <x:c r="Q686" s="43"/>
      <x:c r="R686" s="43"/>
      <x:c r="S686" s="36"/>
      <x:c r="T686" s="44"/>
      <x:c r="U686" s="36" t="n">
        <x:v>30</x:v>
      </x:c>
      <x:c r="V686" s="36" t="n">
        <x:v>0</x:v>
      </x:c>
      <x:c r="W686" s="44"/>
      <x:c r="X686" s="36"/>
      <x:c r="Y686" s="36"/>
      <x:c r="Z686" s="44"/>
      <x:c r="AA686" s="49"/>
      <x:c r="AB686" s="43" t="n">
        <x:v>1</x:v>
      </x:c>
      <x:c r="AC686" s="34"/>
      <x:c r="AD686" s="34"/>
      <x:c r="AE686" s="34" t="str">
        <x:v>article1-unified-v4-2-fb3f101b-20260903-000401-default-f03-p5-caffeine-4-after-undeploy-early-2s-thread-dump.txt</x:v>
      </x:c>
      <x:c r="AF686" s="34" t="str">
        <x:v>article1-unified-v4-2-fb3f101b-20260903-000401-default-f03-p5-caffeine-4-after-undeploy-early-tomcat-log.txt</x:v>
      </x:c>
      <x:c r="AG686" s="34"/>
      <x:c r="AH686" s="34"/>
      <x:c r="AI686" s="34"/>
    </x:row>
    <x:row r="687">
      <x:c r="A687" s="34" t="str">
        <x:v>article1-unified-v4-2-fb3f101b-20260903-000401-default-f03-p5-caffeine</x:v>
      </x:c>
      <x:c r="B687" s="34" t="str">
        <x:v>default</x:v>
      </x:c>
      <x:c r="C687" s="34" t="str">
        <x:v>caffeine</x:v>
      </x:c>
      <x:c r="D687" s="34" t="str">
        <x:v>caffeine</x:v>
      </x:c>
      <x:c r="E687" s="36" t="n">
        <x:v>3</x:v>
      </x:c>
      <x:c r="F687" s="36" t="n">
        <x:v>3</x:v>
      </x:c>
      <x:c r="G687" s="36" t="n">
        <x:v>5</x:v>
      </x:c>
      <x:c r="H687" s="36" t="n">
        <x:v>4</x:v>
      </x:c>
      <x:c r="I687" s="34" t="str">
        <x:v>afterUndeploy</x:v>
      </x:c>
      <x:c r="J687" s="34" t="str">
        <x:v>after-undeploy-final</x:v>
      </x:c>
      <x:c r="K687" s="36" t="n">
        <x:v>1</x:v>
      </x:c>
      <x:c r="L687" s="34" t="str">
        <x:v>final</x:v>
      </x:c>
      <x:c r="M687" s="34" t="str">
        <x:v>article1-unified-v4-2-fb3f101b-20260903-000401-default-f03-p5-caffeine-4-after-undeploy-final-10s</x:v>
      </x:c>
      <x:c r="N687" s="38" t="n">
        <x:v>46268.01751587963</x:v>
      </x:c>
      <x:c r="O687" s="36" t="n">
        <x:v>2</x:v>
      </x:c>
      <x:c r="P687" s="43" t="n">
        <x:v>15557632</x:v>
      </x:c>
      <x:c r="Q687" s="43" t="n">
        <x:v>268435456</x:v>
      </x:c>
      <x:c r="R687" s="43" t="n">
        <x:v>423744512</x:v>
      </x:c>
      <x:c r="S687" s="36" t="n">
        <x:v>2</x:v>
      </x:c>
      <x:c r="T687" s="44" t="str">
        <x:v>0x00000000581177b8  0x0000000058003818  0x00007abe80615470       0         0         0  org.apache.catalina.loader.ParallelWebappClassLoader | 0x00000000581177b8  0x0000000058003818  0x00007abdd8152540    4394  21163008  21160248  org.apache.catalina.loader.ParallelWebappClassLoader</x:v>
      </x:c>
      <x:c r="U687" s="36" t="n">
        <x:v>30</x:v>
      </x:c>
      <x:c r="V687" s="36" t="n">
        <x:v>0</x:v>
      </x:c>
      <x:c r="W687" s="44"/>
      <x:c r="X687" s="36" t="n">
        <x:v>1</x:v>
      </x:c>
      <x:c r="Y687" s="36" t="n">
        <x:v>1</x:v>
      </x:c>
      <x:c r="Z687" s="44" t="str">
        <x:v>/caffeine</x:v>
      </x:c>
      <x:c r="AA687" s="45" t="b">
        <x:v>1</x:v>
      </x:c>
      <x:c r="AB687" s="43"/>
      <x:c r="AC687" s="34" t="str">
        <x:v>article1-unified-v4-2-fb3f101b-20260903-000401-default-f03-p5-caffeine-4-after-undeploy-final-10s-heap-info.txt</x:v>
      </x:c>
      <x:c r="AD687" s="34" t="str">
        <x:v>article1-unified-v4-2-fb3f101b-20260903-000401-default-f03-p5-caffeine-4-after-undeploy-final-10s-classloader-stats.txt</x:v>
      </x:c>
      <x:c r="AE687" s="34" t="str">
        <x:v>article1-unified-v4-2-fb3f101b-20260903-000401-default-f03-p5-caffeine-4-after-undeploy-final-10s-thread-dump.txt</x:v>
      </x:c>
      <x:c r="AF687" s="34"/>
      <x:c r="AG687" s="34" t="str">
        <x:v>article1-unified-v4-2-fb3f101b-20260903-000401-default-f03-p5-caffeine-4-after-undeploy-final-10s-native-memory.txt</x:v>
      </x:c>
      <x:c r="AH687" s="34" t="str">
        <x:v>article1-unified-v4-2-fb3f101b-20260903-000401-default-f03-p5-caffeine-4-after-undeploy-final-10s-class-histogram.txt</x:v>
      </x:c>
      <x:c r="AI687" s="34" t="str">
        <x:v>article1-unified-v4-2-fb3f101b-20260903-000401-default-f03-p5-caffeine-4-after-undeploy-tomcat-findleaks.txt</x:v>
      </x:c>
    </x:row>
    <x:row r="688">
      <x:c r="A688" s="34" t="str">
        <x:v>article1-unified-v4-2-fb3f101b-20260903-000401-default-f03-p5-caffeine</x:v>
      </x:c>
      <x:c r="B688" s="34" t="str">
        <x:v>default</x:v>
      </x:c>
      <x:c r="C688" s="34" t="str">
        <x:v>caffeine</x:v>
      </x:c>
      <x:c r="D688" s="34" t="str">
        <x:v>caffeine</x:v>
      </x:c>
      <x:c r="E688" s="36" t="n">
        <x:v>3</x:v>
      </x:c>
      <x:c r="F688" s="36" t="n">
        <x:v>3</x:v>
      </x:c>
      <x:c r="G688" s="36" t="n">
        <x:v>5</x:v>
      </x:c>
      <x:c r="H688" s="36" t="n">
        <x:v>4</x:v>
      </x:c>
      <x:c r="I688" s="34" t="str">
        <x:v>redeployedLoaded</x:v>
      </x:c>
      <x:c r="J688" s="34" t="str">
        <x:v>redeployed-loaded</x:v>
      </x:c>
      <x:c r="K688" s="36" t="n">
        <x:v>0</x:v>
      </x:c>
      <x:c r="L688" s="34" t="str">
        <x:v>redeploy</x:v>
      </x:c>
      <x:c r="M688" s="34" t="str">
        <x:v>article1-unified-v4-2-fb3f101b-20260903-000401-default-f03-p5-caffeine-4-redeployed-loaded</x:v>
      </x:c>
      <x:c r="N688" s="38" t="n">
        <x:v>46268.01776988426</x:v>
      </x:c>
      <x:c r="O688" s="36" t="n">
        <x:v>0</x:v>
      </x:c>
      <x:c r="P688" s="43" t="n">
        <x:v>90520576</x:v>
      </x:c>
      <x:c r="Q688" s="43" t="n">
        <x:v>268435456</x:v>
      </x:c>
      <x:c r="R688" s="43" t="n">
        <x:v>447707136</x:v>
      </x:c>
      <x:c r="S688" s="36" t="n">
        <x:v>3</x:v>
      </x:c>
      <x:c r="T688" s="44" t="str">
        <x:v>0x00000000581177b8  0x0000000058003818  0x00007abde83a9320    4384  21142528  21122456  org.apache.catalina.loader.ParallelWebappClassLoader | 0x00000000581177b8  0x0000000058003818  0x00007abe80615470       0         0         0  org.apache.catalina.loader.ParallelWebappClassLoader | 0x00000000581177b8  0x0000000058003818  0x00007abdd8152540    4394  21163008  21160248  org.apache.catalina.loader.ParallelWebappClassLoader</x:v>
      </x:c>
      <x:c r="U688" s="36" t="n">
        <x:v>30</x:v>
      </x:c>
      <x:c r="V688" s="36" t="n">
        <x:v>0</x:v>
      </x:c>
      <x:c r="W688" s="44"/>
      <x:c r="X688" s="36"/>
      <x:c r="Y688" s="36"/>
      <x:c r="Z688" s="44"/>
      <x:c r="AA688" s="49"/>
      <x:c r="AB688" s="43"/>
      <x:c r="AC688" s="34"/>
      <x:c r="AD688" s="34"/>
      <x:c r="AE688" s="34"/>
      <x:c r="AF688" s="34"/>
      <x:c r="AG688" s="34"/>
      <x:c r="AH688" s="34"/>
      <x:c r="AI688" s="34"/>
    </x:row>
    <x:row r="689">
      <x:c r="A689" s="34" t="str">
        <x:v>article1-unified-v4-2-fb3f101b-20260903-000401-default-f03-p5-caffeine</x:v>
      </x:c>
      <x:c r="B689" s="34" t="str">
        <x:v>default</x:v>
      </x:c>
      <x:c r="C689" s="34" t="str">
        <x:v>caffeine</x:v>
      </x:c>
      <x:c r="D689" s="34" t="str">
        <x:v>caffeine</x:v>
      </x:c>
      <x:c r="E689" s="36" t="n">
        <x:v>3</x:v>
      </x:c>
      <x:c r="F689" s="36" t="n">
        <x:v>3</x:v>
      </x:c>
      <x:c r="G689" s="36" t="n">
        <x:v>5</x:v>
      </x:c>
      <x:c r="H689" s="36" t="n">
        <x:v>4</x:v>
      </x:c>
      <x:c r="I689" s="34" t="str">
        <x:v>afterFinalUndeployEarly</x:v>
      </x:c>
      <x:c r="J689" s="34" t="str">
        <x:v>after-final-undeploy-early</x:v>
      </x:c>
      <x:c r="K689" s="36" t="n">
        <x:v>2</x:v>
      </x:c>
      <x:c r="L689" s="34" t="str">
        <x:v>early</x:v>
      </x:c>
      <x:c r="M689" s="34" t="str">
        <x:v>article1-unified-v4-2-fb3f101b-20260903-000401-default-f03-p5-caffeine-4-after-final-undeploy-early-2s</x:v>
      </x:c>
      <x:c r="N689" s="38" t="n">
        <x:v>46268.017852592595</x:v>
      </x:c>
      <x:c r="O689" s="36"/>
      <x:c r="P689" s="43"/>
      <x:c r="Q689" s="43"/>
      <x:c r="R689" s="43"/>
      <x:c r="S689" s="36"/>
      <x:c r="T689" s="44"/>
      <x:c r="U689" s="36" t="n">
        <x:v>30</x:v>
      </x:c>
      <x:c r="V689" s="36" t="n">
        <x:v>0</x:v>
      </x:c>
      <x:c r="W689" s="44"/>
      <x:c r="X689" s="36"/>
      <x:c r="Y689" s="36"/>
      <x:c r="Z689" s="44"/>
      <x:c r="AA689" s="49"/>
      <x:c r="AB689" s="43" t="n">
        <x:v>1</x:v>
      </x:c>
      <x:c r="AC689" s="34"/>
      <x:c r="AD689" s="34"/>
      <x:c r="AE689" s="34" t="str">
        <x:v>article1-unified-v4-2-fb3f101b-20260903-000401-default-f03-p5-caffeine-4-after-final-undeploy-early-2s-thread-dump.txt</x:v>
      </x:c>
      <x:c r="AF689" s="34" t="str">
        <x:v>article1-unified-v4-2-fb3f101b-20260903-000401-default-f03-p5-caffeine-4-after-final-undeploy-early-tomcat-log.txt</x:v>
      </x:c>
      <x:c r="AG689" s="34"/>
      <x:c r="AH689" s="34"/>
      <x:c r="AI689" s="34"/>
    </x:row>
    <x:row r="690">
      <x:c r="A690" s="34" t="str">
        <x:v>article1-unified-v4-2-fb3f101b-20260903-000401-default-f03-p5-caffeine</x:v>
      </x:c>
      <x:c r="B690" s="34" t="str">
        <x:v>default</x:v>
      </x:c>
      <x:c r="C690" s="34" t="str">
        <x:v>caffeine</x:v>
      </x:c>
      <x:c r="D690" s="34" t="str">
        <x:v>caffeine</x:v>
      </x:c>
      <x:c r="E690" s="36" t="n">
        <x:v>3</x:v>
      </x:c>
      <x:c r="F690" s="36" t="n">
        <x:v>3</x:v>
      </x:c>
      <x:c r="G690" s="36" t="n">
        <x:v>5</x:v>
      </x:c>
      <x:c r="H690" s="36" t="n">
        <x:v>4</x:v>
      </x:c>
      <x:c r="I690" s="34" t="str">
        <x:v>afterFinalUndeploy</x:v>
      </x:c>
      <x:c r="J690" s="34" t="str">
        <x:v>after-final-undeploy-final</x:v>
      </x:c>
      <x:c r="K690" s="36" t="n">
        <x:v>2</x:v>
      </x:c>
      <x:c r="L690" s="34" t="str">
        <x:v>final</x:v>
      </x:c>
      <x:c r="M690" s="34" t="str">
        <x:v>article1-unified-v4-2-fb3f101b-20260903-000401-default-f03-p5-caffeine-4-after-final-undeploy-final-10s</x:v>
      </x:c>
      <x:c r="N690" s="38" t="n">
        <x:v>46268.018003819445</x:v>
      </x:c>
      <x:c r="O690" s="36" t="n">
        <x:v>2</x:v>
      </x:c>
      <x:c r="P690" s="43" t="n">
        <x:v>15557632</x:v>
      </x:c>
      <x:c r="Q690" s="43" t="n">
        <x:v>268435456</x:v>
      </x:c>
      <x:c r="R690" s="43" t="n">
        <x:v>429030400</x:v>
      </x:c>
      <x:c r="S690" s="36" t="n">
        <x:v>2</x:v>
      </x:c>
      <x:c r="T690" s="44" t="str">
        <x:v>0x00000000581177b8  0x0000000058003818  0x00007abde83a9320    4392  21158912  21147144  org.apache.catalina.loader.ParallelWebappClassLoader | 0x00000000581177b8  0x0000000058003818  0x00007abe80615470       0         0         0  org.apache.catalina.loader.ParallelWebappClassLoader</x:v>
      </x:c>
      <x:c r="U690" s="36" t="n">
        <x:v>30</x:v>
      </x:c>
      <x:c r="V690" s="36" t="n">
        <x:v>0</x:v>
      </x:c>
      <x:c r="W690" s="44"/>
      <x:c r="X690" s="36" t="n">
        <x:v>1</x:v>
      </x:c>
      <x:c r="Y690" s="36" t="n">
        <x:v>1</x:v>
      </x:c>
      <x:c r="Z690" s="44" t="str">
        <x:v>/caffeine</x:v>
      </x:c>
      <x:c r="AA690" s="45" t="b">
        <x:v>1</x:v>
      </x:c>
      <x:c r="AB690" s="43"/>
      <x:c r="AC690" s="34" t="str">
        <x:v>article1-unified-v4-2-fb3f101b-20260903-000401-default-f03-p5-caffeine-4-after-final-undeploy-final-10s-heap-info.txt</x:v>
      </x:c>
      <x:c r="AD690" s="34" t="str">
        <x:v>article1-unified-v4-2-fb3f101b-20260903-000401-default-f03-p5-caffeine-4-after-final-undeploy-final-10s-classloader-stats.txt</x:v>
      </x:c>
      <x:c r="AE690" s="34" t="str">
        <x:v>article1-unified-v4-2-fb3f101b-20260903-000401-default-f03-p5-caffeine-4-after-final-undeploy-final-10s-thread-dump.txt</x:v>
      </x:c>
      <x:c r="AF690" s="34"/>
      <x:c r="AG690" s="34" t="str">
        <x:v>article1-unified-v4-2-fb3f101b-20260903-000401-default-f03-p5-caffeine-4-after-final-undeploy-final-10s-native-memory.txt</x:v>
      </x:c>
      <x:c r="AH690" s="34" t="str">
        <x:v>article1-unified-v4-2-fb3f101b-20260903-000401-default-f03-p5-caffeine-4-after-final-undeploy-final-10s-class-histogram.txt</x:v>
      </x:c>
      <x:c r="AI690" s="34" t="str">
        <x:v>article1-unified-v4-2-fb3f101b-20260903-000401-default-f03-p5-caffeine-4-after-final-undeploy-tomcat-findleaks.txt</x:v>
      </x:c>
    </x:row>
    <x:row r="691">
      <x:c r="A691" s="34" t="str">
        <x:v>article1-unified-v4-2-fb3f101b-20260903-000401-default-f03-p5-caffeine</x:v>
      </x:c>
      <x:c r="B691" s="34" t="str">
        <x:v>default</x:v>
      </x:c>
      <x:c r="C691" s="34" t="str">
        <x:v>caffeine</x:v>
      </x:c>
      <x:c r="D691" s="34" t="str">
        <x:v>caffeine</x:v>
      </x:c>
      <x:c r="E691" s="36" t="n">
        <x:v>3</x:v>
      </x:c>
      <x:c r="F691" s="36" t="n">
        <x:v>3</x:v>
      </x:c>
      <x:c r="G691" s="36" t="n">
        <x:v>5</x:v>
      </x:c>
      <x:c r="H691" s="36" t="n">
        <x:v>5</x:v>
      </x:c>
      <x:c r="I691" s="34" t="str">
        <x:v>baseline</x:v>
      </x:c>
      <x:c r="J691" s="34" t="str">
        <x:v>cycle-baseline</x:v>
      </x:c>
      <x:c r="K691" s="36" t="n">
        <x:v>0</x:v>
      </x:c>
      <x:c r="L691" s="34" t="str">
        <x:v>baseline</x:v>
      </x:c>
      <x:c r="M691" s="34" t="str">
        <x:v>article1-unified-v4-2-fb3f101b-20260903-000401-default-f03-p5-caffeine-5-baseline</x:v>
      </x:c>
      <x:c r="N691" s="38" t="n">
        <x:v>46268.01804378472</x:v>
      </x:c>
      <x:c r="O691" s="36" t="n">
        <x:v>0</x:v>
      </x:c>
      <x:c r="P691" s="43" t="n">
        <x:v>15565824</x:v>
      </x:c>
      <x:c r="Q691" s="43" t="n">
        <x:v>268435456</x:v>
      </x:c>
      <x:c r="R691" s="43" t="n">
        <x:v>428767232</x:v>
      </x:c>
      <x:c r="S691" s="36" t="n">
        <x:v>2</x:v>
      </x:c>
      <x:c r="T691" s="44" t="str">
        <x:v>0x00000000581177b8  0x0000000058003818  0x00007abde83a9320    4392  21158912  21147144  org.apache.catalina.loader.ParallelWebappClassLoader | 0x00000000581177b8  0x0000000058003818  0x00007abe80615470       0         0         0  org.apache.catalina.loader.ParallelWebappClassLoader</x:v>
      </x:c>
      <x:c r="U691" s="36" t="n">
        <x:v>30</x:v>
      </x:c>
      <x:c r="V691" s="36" t="n">
        <x:v>0</x:v>
      </x:c>
      <x:c r="W691" s="44"/>
      <x:c r="X691" s="36"/>
      <x:c r="Y691" s="36"/>
      <x:c r="Z691" s="44"/>
      <x:c r="AA691" s="49"/>
      <x:c r="AB691" s="43"/>
      <x:c r="AC691" s="34" t="str">
        <x:v>article1-unified-v4-2-fb3f101b-20260903-000401-default-f03-p5-caffeine-5-baseline-heap-info.txt</x:v>
      </x:c>
      <x:c r="AD691" s="34" t="str">
        <x:v>article1-unified-v4-2-fb3f101b-20260903-000401-default-f03-p5-caffeine-5-baseline-classloader-stats.txt</x:v>
      </x:c>
      <x:c r="AE691" s="34" t="str">
        <x:v>article1-unified-v4-2-fb3f101b-20260903-000401-default-f03-p5-caffeine-5-baseline-thread-dump.txt</x:v>
      </x:c>
      <x:c r="AF691" s="34"/>
      <x:c r="AG691" s="34" t="str">
        <x:v>article1-unified-v4-2-fb3f101b-20260903-000401-default-f03-p5-caffeine-5-baseline-native-memory.txt</x:v>
      </x:c>
      <x:c r="AH691" s="34"/>
      <x:c r="AI691" s="34"/>
    </x:row>
    <x:row r="692">
      <x:c r="A692" s="34" t="str">
        <x:v>article1-unified-v4-2-fb3f101b-20260903-000401-default-f03-p5-caffeine</x:v>
      </x:c>
      <x:c r="B692" s="34" t="str">
        <x:v>default</x:v>
      </x:c>
      <x:c r="C692" s="34" t="str">
        <x:v>caffeine</x:v>
      </x:c>
      <x:c r="D692" s="34" t="str">
        <x:v>caffeine</x:v>
      </x:c>
      <x:c r="E692" s="36" t="n">
        <x:v>3</x:v>
      </x:c>
      <x:c r="F692" s="36" t="n">
        <x:v>3</x:v>
      </x:c>
      <x:c r="G692" s="36" t="n">
        <x:v>5</x:v>
      </x:c>
      <x:c r="H692" s="36" t="n">
        <x:v>5</x:v>
      </x:c>
      <x:c r="I692" s="34" t="str">
        <x:v>deployedIdle</x:v>
      </x:c>
      <x:c r="J692" s="34" t="str">
        <x:v>deployed-idle</x:v>
      </x:c>
      <x:c r="K692" s="36" t="n">
        <x:v>0</x:v>
      </x:c>
      <x:c r="L692" s="34" t="str">
        <x:v>initial</x:v>
      </x:c>
      <x:c r="M692" s="34" t="str">
        <x:v>article1-unified-v4-2-fb3f101b-20260903-000401-default-f03-p5-caffeine-5-deployed-idle</x:v>
      </x:c>
      <x:c r="N692" s="38" t="n">
        <x:v>46268.01813982639</x:v>
      </x:c>
      <x:c r="O692" s="36" t="n">
        <x:v>0</x:v>
      </x:c>
      <x:c r="P692" s="43" t="n">
        <x:v>164289536</x:v>
      </x:c>
      <x:c r="Q692" s="43" t="n">
        <x:v>268435456</x:v>
      </x:c>
      <x:c r="R692" s="43" t="n">
        <x:v>443904000</x:v>
      </x:c>
      <x:c r="S692" s="36" t="n">
        <x:v>3</x:v>
      </x:c>
      <x:c r="T692" s="44" t="str">
        <x:v>0x00000000581177b8  0x0000000058003818  0x00007abdf01537a0    4091  19459072  19429840  org.apache.catalina.loader.ParallelWebappClassLoader | 0x00000000581177b8  0x0000000058003818  0x00007abde83a9320    4392  21158912  21147144  org.apache.catalina.loader.ParallelWebappClassLoader | 0x00000000581177b8  0x0000000058003818  0x00007abe80615470       0         0         0  org.apache.catalina.loader.ParallelWebappClassLoader</x:v>
      </x:c>
      <x:c r="U692" s="36" t="n">
        <x:v>30</x:v>
      </x:c>
      <x:c r="V692" s="36" t="n">
        <x:v>0</x:v>
      </x:c>
      <x:c r="W692" s="44"/>
      <x:c r="X692" s="36"/>
      <x:c r="Y692" s="36"/>
      <x:c r="Z692" s="44"/>
      <x:c r="AA692" s="49"/>
      <x:c r="AB692" s="43"/>
      <x:c r="AC692" s="34"/>
      <x:c r="AD692" s="34"/>
      <x:c r="AE692" s="34"/>
      <x:c r="AF692" s="34"/>
      <x:c r="AG692" s="34"/>
      <x:c r="AH692" s="34"/>
      <x:c r="AI692" s="34"/>
    </x:row>
    <x:row r="693">
      <x:c r="A693" s="34" t="str">
        <x:v>article1-unified-v4-2-fb3f101b-20260903-000401-default-f03-p5-caffeine</x:v>
      </x:c>
      <x:c r="B693" s="34" t="str">
        <x:v>default</x:v>
      </x:c>
      <x:c r="C693" s="34" t="str">
        <x:v>caffeine</x:v>
      </x:c>
      <x:c r="D693" s="34" t="str">
        <x:v>caffeine</x:v>
      </x:c>
      <x:c r="E693" s="36" t="n">
        <x:v>3</x:v>
      </x:c>
      <x:c r="F693" s="36" t="n">
        <x:v>3</x:v>
      </x:c>
      <x:c r="G693" s="36" t="n">
        <x:v>5</x:v>
      </x:c>
      <x:c r="H693" s="36" t="n">
        <x:v>5</x:v>
      </x:c>
      <x:c r="I693" s="34" t="str">
        <x:v>loaded</x:v>
      </x:c>
      <x:c r="J693" s="34" t="str">
        <x:v>loaded</x:v>
      </x:c>
      <x:c r="K693" s="36" t="n">
        <x:v>0</x:v>
      </x:c>
      <x:c r="L693" s="34" t="str">
        <x:v>initial</x:v>
      </x:c>
      <x:c r="M693" s="34" t="str">
        <x:v>article1-unified-v4-2-fb3f101b-20260903-000401-default-f03-p5-caffeine-5-loaded</x:v>
      </x:c>
      <x:c r="N693" s="38" t="n">
        <x:v>46268.018289039355</x:v>
      </x:c>
      <x:c r="O693" s="36" t="n">
        <x:v>0</x:v>
      </x:c>
      <x:c r="P693" s="43" t="n">
        <x:v>92507136</x:v>
      </x:c>
      <x:c r="Q693" s="43" t="n">
        <x:v>268435456</x:v>
      </x:c>
      <x:c r="R693" s="43" t="n">
        <x:v>451347456</x:v>
      </x:c>
      <x:c r="S693" s="36" t="n">
        <x:v>3</x:v>
      </x:c>
      <x:c r="T693" s="44" t="str">
        <x:v>0x00000000581177b8  0x0000000058003818  0x00007abde83a9320    4392  21158912  21147144  org.apache.catalina.loader.ParallelWebappClassLoader | 0x00000000581177b8  0x0000000058003818  0x00007abdf01537a0    4384  21146624  21125288  org.apache.catalina.loader.ParallelWebappClassLoader | 0x00000000581177b8  0x0000000058003818  0x00007abe80615470       0         0         0  org.apache.catalina.loader.ParallelWebappClassLoader</x:v>
      </x:c>
      <x:c r="U693" s="36" t="n">
        <x:v>31</x:v>
      </x:c>
      <x:c r="V693" s="36" t="n">
        <x:v>0</x:v>
      </x:c>
      <x:c r="W693" s="44"/>
      <x:c r="X693" s="36"/>
      <x:c r="Y693" s="36"/>
      <x:c r="Z693" s="44"/>
      <x:c r="AA693" s="49"/>
      <x:c r="AB693" s="43"/>
      <x:c r="AC693" s="34"/>
      <x:c r="AD693" s="34"/>
      <x:c r="AE693" s="34"/>
      <x:c r="AF693" s="34"/>
      <x:c r="AG693" s="34"/>
      <x:c r="AH693" s="34"/>
      <x:c r="AI693" s="34"/>
    </x:row>
    <x:row r="694">
      <x:c r="A694" s="34" t="str">
        <x:v>article1-unified-v4-2-fb3f101b-20260903-000401-default-f03-p5-caffeine</x:v>
      </x:c>
      <x:c r="B694" s="34" t="str">
        <x:v>default</x:v>
      </x:c>
      <x:c r="C694" s="34" t="str">
        <x:v>caffeine</x:v>
      </x:c>
      <x:c r="D694" s="34" t="str">
        <x:v>caffeine</x:v>
      </x:c>
      <x:c r="E694" s="36" t="n">
        <x:v>3</x:v>
      </x:c>
      <x:c r="F694" s="36" t="n">
        <x:v>3</x:v>
      </x:c>
      <x:c r="G694" s="36" t="n">
        <x:v>5</x:v>
      </x:c>
      <x:c r="H694" s="36" t="n">
        <x:v>5</x:v>
      </x:c>
      <x:c r="I694" s="34" t="str">
        <x:v>afterUndeployEarly</x:v>
      </x:c>
      <x:c r="J694" s="34" t="str">
        <x:v>after-undeploy-early</x:v>
      </x:c>
      <x:c r="K694" s="36" t="n">
        <x:v>1</x:v>
      </x:c>
      <x:c r="L694" s="34" t="str">
        <x:v>early</x:v>
      </x:c>
      <x:c r="M694" s="34" t="str">
        <x:v>article1-unified-v4-2-fb3f101b-20260903-000401-default-f03-p5-caffeine-5-after-undeploy-early-2s</x:v>
      </x:c>
      <x:c r="N694" s="38" t="n">
        <x:v>46268.01837097222</x:v>
      </x:c>
      <x:c r="O694" s="36"/>
      <x:c r="P694" s="43"/>
      <x:c r="Q694" s="43"/>
      <x:c r="R694" s="43"/>
      <x:c r="S694" s="36"/>
      <x:c r="T694" s="44"/>
      <x:c r="U694" s="36" t="n">
        <x:v>30</x:v>
      </x:c>
      <x:c r="V694" s="36" t="n">
        <x:v>0</x:v>
      </x:c>
      <x:c r="W694" s="44"/>
      <x:c r="X694" s="36"/>
      <x:c r="Y694" s="36"/>
      <x:c r="Z694" s="44"/>
      <x:c r="AA694" s="49"/>
      <x:c r="AB694" s="43" t="n">
        <x:v>1</x:v>
      </x:c>
      <x:c r="AC694" s="34"/>
      <x:c r="AD694" s="34"/>
      <x:c r="AE694" s="34" t="str">
        <x:v>article1-unified-v4-2-fb3f101b-20260903-000401-default-f03-p5-caffeine-5-after-undeploy-early-2s-thread-dump.txt</x:v>
      </x:c>
      <x:c r="AF694" s="34" t="str">
        <x:v>article1-unified-v4-2-fb3f101b-20260903-000401-default-f03-p5-caffeine-5-after-undeploy-early-tomcat-log.txt</x:v>
      </x:c>
      <x:c r="AG694" s="34"/>
      <x:c r="AH694" s="34"/>
      <x:c r="AI694" s="34"/>
    </x:row>
    <x:row r="695">
      <x:c r="A695" s="34" t="str">
        <x:v>article1-unified-v4-2-fb3f101b-20260903-000401-default-f03-p5-caffeine</x:v>
      </x:c>
      <x:c r="B695" s="34" t="str">
        <x:v>default</x:v>
      </x:c>
      <x:c r="C695" s="34" t="str">
        <x:v>caffeine</x:v>
      </x:c>
      <x:c r="D695" s="34" t="str">
        <x:v>caffeine</x:v>
      </x:c>
      <x:c r="E695" s="36" t="n">
        <x:v>3</x:v>
      </x:c>
      <x:c r="F695" s="36" t="n">
        <x:v>3</x:v>
      </x:c>
      <x:c r="G695" s="36" t="n">
        <x:v>5</x:v>
      </x:c>
      <x:c r="H695" s="36" t="n">
        <x:v>5</x:v>
      </x:c>
      <x:c r="I695" s="34" t="str">
        <x:v>afterUndeploy</x:v>
      </x:c>
      <x:c r="J695" s="34" t="str">
        <x:v>after-undeploy-final</x:v>
      </x:c>
      <x:c r="K695" s="36" t="n">
        <x:v>1</x:v>
      </x:c>
      <x:c r="L695" s="34" t="str">
        <x:v>final</x:v>
      </x:c>
      <x:c r="M695" s="34" t="str">
        <x:v>article1-unified-v4-2-fb3f101b-20260903-000401-default-f03-p5-caffeine-5-after-undeploy-final-10s</x:v>
      </x:c>
      <x:c r="N695" s="38" t="n">
        <x:v>46268.018526817126</x:v>
      </x:c>
      <x:c r="O695" s="36" t="n">
        <x:v>2</x:v>
      </x:c>
      <x:c r="P695" s="43" t="n">
        <x:v>15588352</x:v>
      </x:c>
      <x:c r="Q695" s="43" t="n">
        <x:v>268435456</x:v>
      </x:c>
      <x:c r="R695" s="43" t="n">
        <x:v>426170368</x:v>
      </x:c>
      <x:c r="S695" s="36" t="n">
        <x:v>2</x:v>
      </x:c>
      <x:c r="T695" s="44" t="str">
        <x:v>0x00000000581177b8  0x0000000058003818  0x00007abdf01537a0    4392  21163008  21150104  org.apache.catalina.loader.ParallelWebappClassLoader | 0x00000000581177b8  0x0000000058003818  0x00007abe80615470       0         0         0  org.apache.catalina.loader.ParallelWebappClassLoader</x:v>
      </x:c>
      <x:c r="U695" s="36" t="n">
        <x:v>30</x:v>
      </x:c>
      <x:c r="V695" s="36" t="n">
        <x:v>0</x:v>
      </x:c>
      <x:c r="W695" s="44"/>
      <x:c r="X695" s="36" t="n">
        <x:v>1</x:v>
      </x:c>
      <x:c r="Y695" s="36" t="n">
        <x:v>1</x:v>
      </x:c>
      <x:c r="Z695" s="44" t="str">
        <x:v>/caffeine</x:v>
      </x:c>
      <x:c r="AA695" s="45" t="b">
        <x:v>1</x:v>
      </x:c>
      <x:c r="AB695" s="43"/>
      <x:c r="AC695" s="34" t="str">
        <x:v>article1-unified-v4-2-fb3f101b-20260903-000401-default-f03-p5-caffeine-5-after-undeploy-final-10s-heap-info.txt</x:v>
      </x:c>
      <x:c r="AD695" s="34" t="str">
        <x:v>article1-unified-v4-2-fb3f101b-20260903-000401-default-f03-p5-caffeine-5-after-undeploy-final-10s-classloader-stats.txt</x:v>
      </x:c>
      <x:c r="AE695" s="34" t="str">
        <x:v>article1-unified-v4-2-fb3f101b-20260903-000401-default-f03-p5-caffeine-5-after-undeploy-final-10s-thread-dump.txt</x:v>
      </x:c>
      <x:c r="AF695" s="34"/>
      <x:c r="AG695" s="34" t="str">
        <x:v>article1-unified-v4-2-fb3f101b-20260903-000401-default-f03-p5-caffeine-5-after-undeploy-final-10s-native-memory.txt</x:v>
      </x:c>
      <x:c r="AH695" s="34" t="str">
        <x:v>article1-unified-v4-2-fb3f101b-20260903-000401-default-f03-p5-caffeine-5-after-undeploy-final-10s-class-histogram.txt</x:v>
      </x:c>
      <x:c r="AI695" s="34" t="str">
        <x:v>article1-unified-v4-2-fb3f101b-20260903-000401-default-f03-p5-caffeine-5-after-undeploy-tomcat-findleaks.txt</x:v>
      </x:c>
    </x:row>
    <x:row r="696">
      <x:c r="A696" s="34" t="str">
        <x:v>article1-unified-v4-2-fb3f101b-20260903-000401-default-f03-p5-caffeine</x:v>
      </x:c>
      <x:c r="B696" s="34" t="str">
        <x:v>default</x:v>
      </x:c>
      <x:c r="C696" s="34" t="str">
        <x:v>caffeine</x:v>
      </x:c>
      <x:c r="D696" s="34" t="str">
        <x:v>caffeine</x:v>
      </x:c>
      <x:c r="E696" s="36" t="n">
        <x:v>3</x:v>
      </x:c>
      <x:c r="F696" s="36" t="n">
        <x:v>3</x:v>
      </x:c>
      <x:c r="G696" s="36" t="n">
        <x:v>5</x:v>
      </x:c>
      <x:c r="H696" s="36" t="n">
        <x:v>5</x:v>
      </x:c>
      <x:c r="I696" s="34" t="str">
        <x:v>redeployedLoaded</x:v>
      </x:c>
      <x:c r="J696" s="34" t="str">
        <x:v>redeployed-loaded</x:v>
      </x:c>
      <x:c r="K696" s="36" t="n">
        <x:v>0</x:v>
      </x:c>
      <x:c r="L696" s="34" t="str">
        <x:v>redeploy</x:v>
      </x:c>
      <x:c r="M696" s="34" t="str">
        <x:v>article1-unified-v4-2-fb3f101b-20260903-000401-default-f03-p5-caffeine-5-redeployed-loaded</x:v>
      </x:c>
      <x:c r="N696" s="38" t="n">
        <x:v>46268.018779895836</x:v>
      </x:c>
      <x:c r="O696" s="36" t="n">
        <x:v>0</x:v>
      </x:c>
      <x:c r="P696" s="43" t="n">
        <x:v>202226688</x:v>
      </x:c>
      <x:c r="Q696" s="43" t="n">
        <x:v>268435456</x:v>
      </x:c>
      <x:c r="R696" s="43" t="n">
        <x:v>447559680</x:v>
      </x:c>
      <x:c r="S696" s="36" t="n">
        <x:v>3</x:v>
      </x:c>
      <x:c r="T696" s="44" t="str">
        <x:v>0x00000000581177b8  0x0000000058003818  0x00007abdf01537a0    4392  21163008  21150104  org.apache.catalina.loader.ParallelWebappClassLoader | 0x00000000581177b8  0x0000000058003818  0x00007abdf8278e00    4384  21148672  21129568  org.apache.catalina.loader.ParallelWebappClassLoader | 0x00000000581177b8  0x0000000058003818  0x00007abe80615470       0         0         0  org.apache.catalina.loader.ParallelWebappClassLoader</x:v>
      </x:c>
      <x:c r="U696" s="36" t="n">
        <x:v>30</x:v>
      </x:c>
      <x:c r="V696" s="36" t="n">
        <x:v>0</x:v>
      </x:c>
      <x:c r="W696" s="44"/>
      <x:c r="X696" s="36"/>
      <x:c r="Y696" s="36"/>
      <x:c r="Z696" s="44"/>
      <x:c r="AA696" s="49"/>
      <x:c r="AB696" s="43"/>
      <x:c r="AC696" s="34"/>
      <x:c r="AD696" s="34"/>
      <x:c r="AE696" s="34"/>
      <x:c r="AF696" s="34"/>
      <x:c r="AG696" s="34"/>
      <x:c r="AH696" s="34"/>
      <x:c r="AI696" s="34"/>
    </x:row>
    <x:row r="697">
      <x:c r="A697" s="34" t="str">
        <x:v>article1-unified-v4-2-fb3f101b-20260903-000401-default-f03-p5-caffeine</x:v>
      </x:c>
      <x:c r="B697" s="34" t="str">
        <x:v>default</x:v>
      </x:c>
      <x:c r="C697" s="34" t="str">
        <x:v>caffeine</x:v>
      </x:c>
      <x:c r="D697" s="34" t="str">
        <x:v>caffeine</x:v>
      </x:c>
      <x:c r="E697" s="36" t="n">
        <x:v>3</x:v>
      </x:c>
      <x:c r="F697" s="36" t="n">
        <x:v>3</x:v>
      </x:c>
      <x:c r="G697" s="36" t="n">
        <x:v>5</x:v>
      </x:c>
      <x:c r="H697" s="36" t="n">
        <x:v>5</x:v>
      </x:c>
      <x:c r="I697" s="34" t="str">
        <x:v>afterFinalUndeployEarly</x:v>
      </x:c>
      <x:c r="J697" s="34" t="str">
        <x:v>after-final-undeploy-early</x:v>
      </x:c>
      <x:c r="K697" s="36" t="n">
        <x:v>2</x:v>
      </x:c>
      <x:c r="L697" s="34" t="str">
        <x:v>early</x:v>
      </x:c>
      <x:c r="M697" s="34" t="str">
        <x:v>article1-unified-v4-2-fb3f101b-20260903-000401-default-f03-p5-caffeine-5-after-final-undeploy-early-2s</x:v>
      </x:c>
      <x:c r="N697" s="38" t="n">
        <x:v>46268.01886116898</x:v>
      </x:c>
      <x:c r="O697" s="36"/>
      <x:c r="P697" s="43"/>
      <x:c r="Q697" s="43"/>
      <x:c r="R697" s="43"/>
      <x:c r="S697" s="36"/>
      <x:c r="T697" s="44"/>
      <x:c r="U697" s="36" t="n">
        <x:v>30</x:v>
      </x:c>
      <x:c r="V697" s="36" t="n">
        <x:v>0</x:v>
      </x:c>
      <x:c r="W697" s="44"/>
      <x:c r="X697" s="36"/>
      <x:c r="Y697" s="36"/>
      <x:c r="Z697" s="44"/>
      <x:c r="AA697" s="49"/>
      <x:c r="AB697" s="43" t="n">
        <x:v>1</x:v>
      </x:c>
      <x:c r="AC697" s="34"/>
      <x:c r="AD697" s="34"/>
      <x:c r="AE697" s="34" t="str">
        <x:v>article1-unified-v4-2-fb3f101b-20260903-000401-default-f03-p5-caffeine-5-after-final-undeploy-early-2s-thread-dump.txt</x:v>
      </x:c>
      <x:c r="AF697" s="34" t="str">
        <x:v>article1-unified-v4-2-fb3f101b-20260903-000401-default-f03-p5-caffeine-5-after-final-undeploy-early-tomcat-log.txt</x:v>
      </x:c>
      <x:c r="AG697" s="34"/>
      <x:c r="AH697" s="34"/>
      <x:c r="AI697" s="34"/>
    </x:row>
    <x:row r="698">
      <x:c r="A698" s="34" t="str">
        <x:v>article1-unified-v4-2-fb3f101b-20260903-000401-default-f03-p5-caffeine</x:v>
      </x:c>
      <x:c r="B698" s="34" t="str">
        <x:v>default</x:v>
      </x:c>
      <x:c r="C698" s="34" t="str">
        <x:v>caffeine</x:v>
      </x:c>
      <x:c r="D698" s="34" t="str">
        <x:v>caffeine</x:v>
      </x:c>
      <x:c r="E698" s="36" t="n">
        <x:v>3</x:v>
      </x:c>
      <x:c r="F698" s="36" t="n">
        <x:v>3</x:v>
      </x:c>
      <x:c r="G698" s="36" t="n">
        <x:v>5</x:v>
      </x:c>
      <x:c r="H698" s="36" t="n">
        <x:v>5</x:v>
      </x:c>
      <x:c r="I698" s="34" t="str">
        <x:v>afterFinalUndeploy</x:v>
      </x:c>
      <x:c r="J698" s="34" t="str">
        <x:v>after-final-undeploy-final</x:v>
      </x:c>
      <x:c r="K698" s="36" t="n">
        <x:v>2</x:v>
      </x:c>
      <x:c r="L698" s="34" t="str">
        <x:v>final</x:v>
      </x:c>
      <x:c r="M698" s="34" t="str">
        <x:v>article1-unified-v4-2-fb3f101b-20260903-000401-default-f03-p5-caffeine-5-after-final-undeploy-final-10s</x:v>
      </x:c>
      <x:c r="N698" s="38" t="n">
        <x:v>46268.01901761574</x:v>
      </x:c>
      <x:c r="O698" s="36" t="n">
        <x:v>2</x:v>
      </x:c>
      <x:c r="P698" s="43" t="n">
        <x:v>15604736</x:v>
      </x:c>
      <x:c r="Q698" s="43" t="n">
        <x:v>268435456</x:v>
      </x:c>
      <x:c r="R698" s="43" t="n">
        <x:v>430448640</x:v>
      </x:c>
      <x:c r="S698" s="36" t="n">
        <x:v>2</x:v>
      </x:c>
      <x:c r="T698" s="44" t="str">
        <x:v>0x00000000581177b8  0x0000000058003818  0x00007abdf8278e00    4392  21181440  21154424  org.apache.catalina.loader.ParallelWebappClassLoader | 0x00000000581177b8  0x0000000058003818  0x00007abe80615470       0         0         0  org.apache.catalina.loader.ParallelWebappClassLoader</x:v>
      </x:c>
      <x:c r="U698" s="36" t="n">
        <x:v>30</x:v>
      </x:c>
      <x:c r="V698" s="36" t="n">
        <x:v>0</x:v>
      </x:c>
      <x:c r="W698" s="44"/>
      <x:c r="X698" s="36" t="n">
        <x:v>1</x:v>
      </x:c>
      <x:c r="Y698" s="36" t="n">
        <x:v>1</x:v>
      </x:c>
      <x:c r="Z698" s="44" t="str">
        <x:v>/caffeine</x:v>
      </x:c>
      <x:c r="AA698" s="45" t="b">
        <x:v>1</x:v>
      </x:c>
      <x:c r="AB698" s="43"/>
      <x:c r="AC698" s="34" t="str">
        <x:v>article1-unified-v4-2-fb3f101b-20260903-000401-default-f03-p5-caffeine-5-after-final-undeploy-final-10s-heap-info.txt</x:v>
      </x:c>
      <x:c r="AD698" s="34" t="str">
        <x:v>article1-unified-v4-2-fb3f101b-20260903-000401-default-f03-p5-caffeine-5-after-final-undeploy-final-10s-classloader-stats.txt</x:v>
      </x:c>
      <x:c r="AE698" s="34" t="str">
        <x:v>article1-unified-v4-2-fb3f101b-20260903-000401-default-f03-p5-caffeine-5-after-final-undeploy-final-10s-thread-dump.txt</x:v>
      </x:c>
      <x:c r="AF698" s="34"/>
      <x:c r="AG698" s="34" t="str">
        <x:v>article1-unified-v4-2-fb3f101b-20260903-000401-default-f03-p5-caffeine-5-after-final-undeploy-final-10s-native-memory.txt</x:v>
      </x:c>
      <x:c r="AH698" s="34" t="str">
        <x:v>article1-unified-v4-2-fb3f101b-20260903-000401-default-f03-p5-caffeine-5-after-final-undeploy-final-10s-class-histogram.txt</x:v>
      </x:c>
      <x:c r="AI698" s="34" t="str">
        <x:v>article1-unified-v4-2-fb3f101b-20260903-000401-default-f03-p5-caffeine-5-after-final-undeploy-tomcat-findleaks.txt</x:v>
      </x:c>
    </x:row>
    <x:row r="699">
      <x:c r="A699" s="34" t="str">
        <x:v>article1-unified-v4-2-fb3f101b-20260903-000401-default-f03-p6-nostore</x:v>
      </x:c>
      <x:c r="B699" s="34" t="str">
        <x:v>default</x:v>
      </x:c>
      <x:c r="C699" s="34" t="str">
        <x:v>nostore</x:v>
      </x:c>
      <x:c r="D699" s="34" t="str">
        <x:v>nostore</x:v>
      </x:c>
      <x:c r="E699" s="36" t="n">
        <x:v>3</x:v>
      </x:c>
      <x:c r="F699" s="36" t="n">
        <x:v>3</x:v>
      </x:c>
      <x:c r="G699" s="36" t="n">
        <x:v>6</x:v>
      </x:c>
      <x:c r="H699" s="36" t="n">
        <x:v>0</x:v>
      </x:c>
      <x:c r="I699" s="34" t="str">
        <x:v>processBaseline</x:v>
      </x:c>
      <x:c r="J699" s="34" t="str">
        <x:v>process-baseline</x:v>
      </x:c>
      <x:c r="K699" s="36" t="n">
        <x:v>0</x:v>
      </x:c>
      <x:c r="L699" s="34" t="str">
        <x:v>baseline</x:v>
      </x:c>
      <x:c r="M699" s="34" t="str">
        <x:v>article1-unified-v4-2-fb3f101b-20260903-000401-default-f03-p6-nostore-process-baseline</x:v>
      </x:c>
      <x:c r="N699" s="38" t="n">
        <x:v>46268.01925563657</x:v>
      </x:c>
      <x:c r="O699" s="36" t="n">
        <x:v>0</x:v>
      </x:c>
      <x:c r="P699" s="43" t="n">
        <x:v>32765952</x:v>
      </x:c>
      <x:c r="Q699" s="43" t="n">
        <x:v>270532608</x:v>
      </x:c>
      <x:c r="R699" s="43" t="n">
        <x:v>369288192</x:v>
      </x:c>
      <x:c r="S699" s="36" t="n">
        <x:v>1</x:v>
      </x:c>
      <x:c r="T699" s="44" t="str">
        <x:v>0x00000000351177b8  0x0000000035003818  0x00007e5d40615ff0       0         0         0  org.apache.catalina.loader.ParallelWebappClassLoader</x:v>
      </x:c>
      <x:c r="U699" s="36" t="n">
        <x:v>27</x:v>
      </x:c>
      <x:c r="V699" s="36" t="n">
        <x:v>0</x:v>
      </x:c>
      <x:c r="W699" s="44"/>
      <x:c r="X699" s="36"/>
      <x:c r="Y699" s="36"/>
      <x:c r="Z699" s="44"/>
      <x:c r="AA699" s="49"/>
      <x:c r="AB699" s="43"/>
      <x:c r="AC699" s="34" t="str">
        <x:v>article1-unified-v4-2-fb3f101b-20260903-000401-default-f03-p6-nostore-process-baseline-heap-info.txt</x:v>
      </x:c>
      <x:c r="AD699" s="34" t="str">
        <x:v>article1-unified-v4-2-fb3f101b-20260903-000401-default-f03-p6-nostore-process-baseline-classloader-stats.txt</x:v>
      </x:c>
      <x:c r="AE699" s="34" t="str">
        <x:v>article1-unified-v4-2-fb3f101b-20260903-000401-default-f03-p6-nostore-process-baseline-thread-dump.txt</x:v>
      </x:c>
      <x:c r="AF699" s="34"/>
      <x:c r="AG699" s="34" t="str">
        <x:v>article1-unified-v4-2-fb3f101b-20260903-000401-default-f03-p6-nostore-process-baseline-native-memory.txt</x:v>
      </x:c>
      <x:c r="AH699" s="34"/>
      <x:c r="AI699" s="34"/>
    </x:row>
    <x:row r="700">
      <x:c r="A700" s="34" t="str">
        <x:v>article1-unified-v4-2-fb3f101b-20260903-000401-default-f03-p6-nostore</x:v>
      </x:c>
      <x:c r="B700" s="34" t="str">
        <x:v>default</x:v>
      </x:c>
      <x:c r="C700" s="34" t="str">
        <x:v>nostore</x:v>
      </x:c>
      <x:c r="D700" s="34" t="str">
        <x:v>nostore</x:v>
      </x:c>
      <x:c r="E700" s="36" t="n">
        <x:v>3</x:v>
      </x:c>
      <x:c r="F700" s="36" t="n">
        <x:v>3</x:v>
      </x:c>
      <x:c r="G700" s="36" t="n">
        <x:v>6</x:v>
      </x:c>
      <x:c r="H700" s="36" t="n">
        <x:v>1</x:v>
      </x:c>
      <x:c r="I700" s="34" t="str">
        <x:v>baseline</x:v>
      </x:c>
      <x:c r="J700" s="34" t="str">
        <x:v>cycle-baseline</x:v>
      </x:c>
      <x:c r="K700" s="36" t="n">
        <x:v>0</x:v>
      </x:c>
      <x:c r="L700" s="34" t="str">
        <x:v>baseline</x:v>
      </x:c>
      <x:c r="M700" s="34" t="str">
        <x:v>article1-unified-v4-2-fb3f101b-20260903-000401-default-f03-p6-nostore-1-baseline</x:v>
      </x:c>
      <x:c r="N700" s="38" t="n">
        <x:v>46268.01944</x:v>
      </x:c>
      <x:c r="O700" s="36" t="n">
        <x:v>0</x:v>
      </x:c>
      <x:c r="P700" s="43" t="n">
        <x:v>32765952</x:v>
      </x:c>
      <x:c r="Q700" s="43" t="n">
        <x:v>270532608</x:v>
      </x:c>
      <x:c r="R700" s="43" t="n">
        <x:v>369878016</x:v>
      </x:c>
      <x:c r="S700" s="36" t="n">
        <x:v>1</x:v>
      </x:c>
      <x:c r="T700" s="44" t="str">
        <x:v>0x00000000351177b8  0x0000000035003818  0x00007e5d40615ff0       0         0         0  org.apache.catalina.loader.ParallelWebappClassLoader</x:v>
      </x:c>
      <x:c r="U700" s="36" t="n">
        <x:v>27</x:v>
      </x:c>
      <x:c r="V700" s="36" t="n">
        <x:v>0</x:v>
      </x:c>
      <x:c r="W700" s="44"/>
      <x:c r="X700" s="36"/>
      <x:c r="Y700" s="36"/>
      <x:c r="Z700" s="44"/>
      <x:c r="AA700" s="49"/>
      <x:c r="AB700" s="43"/>
      <x:c r="AC700" s="34" t="str">
        <x:v>article1-unified-v4-2-fb3f101b-20260903-000401-default-f03-p6-nostore-1-baseline-heap-info.txt</x:v>
      </x:c>
      <x:c r="AD700" s="34" t="str">
        <x:v>article1-unified-v4-2-fb3f101b-20260903-000401-default-f03-p6-nostore-1-baseline-classloader-stats.txt</x:v>
      </x:c>
      <x:c r="AE700" s="34" t="str">
        <x:v>article1-unified-v4-2-fb3f101b-20260903-000401-default-f03-p6-nostore-1-baseline-thread-dump.txt</x:v>
      </x:c>
      <x:c r="AF700" s="34"/>
      <x:c r="AG700" s="34" t="str">
        <x:v>article1-unified-v4-2-fb3f101b-20260903-000401-default-f03-p6-nostore-1-baseline-native-memory.txt</x:v>
      </x:c>
      <x:c r="AH700" s="34"/>
      <x:c r="AI700" s="34"/>
    </x:row>
    <x:row r="701">
      <x:c r="A701" s="34" t="str">
        <x:v>article1-unified-v4-2-fb3f101b-20260903-000401-default-f03-p6-nostore</x:v>
      </x:c>
      <x:c r="B701" s="34" t="str">
        <x:v>default</x:v>
      </x:c>
      <x:c r="C701" s="34" t="str">
        <x:v>nostore</x:v>
      </x:c>
      <x:c r="D701" s="34" t="str">
        <x:v>nostore</x:v>
      </x:c>
      <x:c r="E701" s="36" t="n">
        <x:v>3</x:v>
      </x:c>
      <x:c r="F701" s="36" t="n">
        <x:v>3</x:v>
      </x:c>
      <x:c r="G701" s="36" t="n">
        <x:v>6</x:v>
      </x:c>
      <x:c r="H701" s="36" t="n">
        <x:v>1</x:v>
      </x:c>
      <x:c r="I701" s="34" t="str">
        <x:v>deployedIdle</x:v>
      </x:c>
      <x:c r="J701" s="34" t="str">
        <x:v>deployed-idle</x:v>
      </x:c>
      <x:c r="K701" s="36" t="n">
        <x:v>0</x:v>
      </x:c>
      <x:c r="L701" s="34" t="str">
        <x:v>initial</x:v>
      </x:c>
      <x:c r="M701" s="34" t="str">
        <x:v>article1-unified-v4-2-fb3f101b-20260903-000401-default-f03-p6-nostore-1-deployed-idle</x:v>
      </x:c>
      <x:c r="N701" s="38" t="n">
        <x:v>46268.019554756946</x:v>
      </x:c>
      <x:c r="O701" s="36" t="n">
        <x:v>0</x:v>
      </x:c>
      <x:c r="P701" s="43" t="n">
        <x:v>22697984</x:v>
      </x:c>
      <x:c r="Q701" s="43" t="n">
        <x:v>268435456</x:v>
      </x:c>
      <x:c r="R701" s="43" t="n">
        <x:v>411473920</x:v>
      </x:c>
      <x:c r="S701" s="36" t="n">
        <x:v>2</x:v>
      </x:c>
      <x:c r="T701" s="44" t="str">
        <x:v>0x00000000351177b8  0x0000000035003818  0x00007e5d40615ff0       0         0         0  org.apache.catalina.loader.ParallelWebappClassLoader | 0x00000000351177b8  0x0000000035003818  0x00007e5c98137630    4091  19421184  19406008  org.apache.catalina.loader.ParallelWebappClassLoader</x:v>
      </x:c>
      <x:c r="U701" s="36" t="n">
        <x:v>27</x:v>
      </x:c>
      <x:c r="V701" s="36" t="n">
        <x:v>0</x:v>
      </x:c>
      <x:c r="W701" s="44"/>
      <x:c r="X701" s="36"/>
      <x:c r="Y701" s="36"/>
      <x:c r="Z701" s="44"/>
      <x:c r="AA701" s="49"/>
      <x:c r="AB701" s="43"/>
      <x:c r="AC701" s="34"/>
      <x:c r="AD701" s="34"/>
      <x:c r="AE701" s="34"/>
      <x:c r="AF701" s="34"/>
      <x:c r="AG701" s="34"/>
      <x:c r="AH701" s="34"/>
      <x:c r="AI701" s="34"/>
    </x:row>
    <x:row r="702">
      <x:c r="A702" s="34" t="str">
        <x:v>article1-unified-v4-2-fb3f101b-20260903-000401-default-f03-p6-nostore</x:v>
      </x:c>
      <x:c r="B702" s="34" t="str">
        <x:v>default</x:v>
      </x:c>
      <x:c r="C702" s="34" t="str">
        <x:v>nostore</x:v>
      </x:c>
      <x:c r="D702" s="34" t="str">
        <x:v>nostore</x:v>
      </x:c>
      <x:c r="E702" s="36" t="n">
        <x:v>3</x:v>
      </x:c>
      <x:c r="F702" s="36" t="n">
        <x:v>3</x:v>
      </x:c>
      <x:c r="G702" s="36" t="n">
        <x:v>6</x:v>
      </x:c>
      <x:c r="H702" s="36" t="n">
        <x:v>1</x:v>
      </x:c>
      <x:c r="I702" s="34" t="str">
        <x:v>loaded</x:v>
      </x:c>
      <x:c r="J702" s="34" t="str">
        <x:v>loaded</x:v>
      </x:c>
      <x:c r="K702" s="36" t="n">
        <x:v>0</x:v>
      </x:c>
      <x:c r="L702" s="34" t="str">
        <x:v>initial</x:v>
      </x:c>
      <x:c r="M702" s="34" t="str">
        <x:v>article1-unified-v4-2-fb3f101b-20260903-000401-default-f03-p6-nostore-1-loaded</x:v>
      </x:c>
      <x:c r="N702" s="38" t="n">
        <x:v>46268.01970857639</x:v>
      </x:c>
      <x:c r="O702" s="36" t="n">
        <x:v>0</x:v>
      </x:c>
      <x:c r="P702" s="43" t="n">
        <x:v>111902720</x:v>
      </x:c>
      <x:c r="Q702" s="43" t="n">
        <x:v>486539264</x:v>
      </x:c>
      <x:c r="R702" s="43" t="n">
        <x:v>631867392</x:v>
      </x:c>
      <x:c r="S702" s="36" t="n">
        <x:v>2</x:v>
      </x:c>
      <x:c r="T702" s="44" t="str">
        <x:v>0x00000000351177b8  0x0000000035003818  0x00007e5d40615ff0       0         0         0  org.apache.catalina.loader.ParallelWebappClassLoader | 0x00000000351177b8  0x0000000035003818  0x00007e5c98137630    4296  20438016  20429088  org.apache.catalina.loader.ParallelWebappClassLoader</x:v>
      </x:c>
      <x:c r="U702" s="36" t="n">
        <x:v>27</x:v>
      </x:c>
      <x:c r="V702" s="36" t="n">
        <x:v>0</x:v>
      </x:c>
      <x:c r="W702" s="44"/>
      <x:c r="X702" s="36"/>
      <x:c r="Y702" s="36"/>
      <x:c r="Z702" s="44"/>
      <x:c r="AA702" s="49"/>
      <x:c r="AB702" s="43"/>
      <x:c r="AC702" s="34"/>
      <x:c r="AD702" s="34"/>
      <x:c r="AE702" s="34"/>
      <x:c r="AF702" s="34"/>
      <x:c r="AG702" s="34"/>
      <x:c r="AH702" s="34"/>
      <x:c r="AI702" s="34"/>
    </x:row>
    <x:row r="703">
      <x:c r="A703" s="34" t="str">
        <x:v>article1-unified-v4-2-fb3f101b-20260903-000401-default-f03-p6-nostore</x:v>
      </x:c>
      <x:c r="B703" s="34" t="str">
        <x:v>default</x:v>
      </x:c>
      <x:c r="C703" s="34" t="str">
        <x:v>nostore</x:v>
      </x:c>
      <x:c r="D703" s="34" t="str">
        <x:v>nostore</x:v>
      </x:c>
      <x:c r="E703" s="36" t="n">
        <x:v>3</x:v>
      </x:c>
      <x:c r="F703" s="36" t="n">
        <x:v>3</x:v>
      </x:c>
      <x:c r="G703" s="36" t="n">
        <x:v>6</x:v>
      </x:c>
      <x:c r="H703" s="36" t="n">
        <x:v>1</x:v>
      </x:c>
      <x:c r="I703" s="34" t="str">
        <x:v>afterUndeployEarly</x:v>
      </x:c>
      <x:c r="J703" s="34" t="str">
        <x:v>after-undeploy-early</x:v>
      </x:c>
      <x:c r="K703" s="36" t="n">
        <x:v>1</x:v>
      </x:c>
      <x:c r="L703" s="34" t="str">
        <x:v>early</x:v>
      </x:c>
      <x:c r="M703" s="34" t="str">
        <x:v>article1-unified-v4-2-fb3f101b-20260903-000401-default-f03-p6-nostore-1-after-undeploy-early-2s</x:v>
      </x:c>
      <x:c r="N703" s="38" t="n">
        <x:v>46268.01979491898</x:v>
      </x:c>
      <x:c r="O703" s="36"/>
      <x:c r="P703" s="43"/>
      <x:c r="Q703" s="43"/>
      <x:c r="R703" s="43"/>
      <x:c r="S703" s="36"/>
      <x:c r="T703" s="44"/>
      <x:c r="U703" s="36" t="n">
        <x:v>27</x:v>
      </x:c>
      <x:c r="V703" s="36" t="n">
        <x:v>0</x:v>
      </x:c>
      <x:c r="W703" s="44"/>
      <x:c r="X703" s="36"/>
      <x:c r="Y703" s="36"/>
      <x:c r="Z703" s="44"/>
      <x:c r="AA703" s="49"/>
      <x:c r="AB703" s="43" t="n">
        <x:v>1</x:v>
      </x:c>
      <x:c r="AC703" s="34"/>
      <x:c r="AD703" s="34"/>
      <x:c r="AE703" s="34" t="str">
        <x:v>article1-unified-v4-2-fb3f101b-20260903-000401-default-f03-p6-nostore-1-after-undeploy-early-2s-thread-dump.txt</x:v>
      </x:c>
      <x:c r="AF703" s="34" t="str">
        <x:v>article1-unified-v4-2-fb3f101b-20260903-000401-default-f03-p6-nostore-1-after-undeploy-early-tomcat-log.txt</x:v>
      </x:c>
      <x:c r="AG703" s="34"/>
      <x:c r="AH703" s="34"/>
      <x:c r="AI703" s="34"/>
    </x:row>
    <x:row r="704">
      <x:c r="A704" s="34" t="str">
        <x:v>article1-unified-v4-2-fb3f101b-20260903-000401-default-f03-p6-nostore</x:v>
      </x:c>
      <x:c r="B704" s="34" t="str">
        <x:v>default</x:v>
      </x:c>
      <x:c r="C704" s="34" t="str">
        <x:v>nostore</x:v>
      </x:c>
      <x:c r="D704" s="34" t="str">
        <x:v>nostore</x:v>
      </x:c>
      <x:c r="E704" s="36" t="n">
        <x:v>3</x:v>
      </x:c>
      <x:c r="F704" s="36" t="n">
        <x:v>3</x:v>
      </x:c>
      <x:c r="G704" s="36" t="n">
        <x:v>6</x:v>
      </x:c>
      <x:c r="H704" s="36" t="n">
        <x:v>1</x:v>
      </x:c>
      <x:c r="I704" s="34" t="str">
        <x:v>afterUndeploy</x:v>
      </x:c>
      <x:c r="J704" s="34" t="str">
        <x:v>after-undeploy-final</x:v>
      </x:c>
      <x:c r="K704" s="36" t="n">
        <x:v>1</x:v>
      </x:c>
      <x:c r="L704" s="34" t="str">
        <x:v>final</x:v>
      </x:c>
      <x:c r="M704" s="34" t="str">
        <x:v>article1-unified-v4-2-fb3f101b-20260903-000401-default-f03-p6-nostore-1-after-undeploy-final-10s</x:v>
      </x:c>
      <x:c r="N704" s="38" t="n">
        <x:v>46268.01994792824</x:v>
      </x:c>
      <x:c r="O704" s="36" t="n">
        <x:v>2</x:v>
      </x:c>
      <x:c r="P704" s="43" t="n">
        <x:v>15669248</x:v>
      </x:c>
      <x:c r="Q704" s="43" t="n">
        <x:v>268435456</x:v>
      </x:c>
      <x:c r="R704" s="43" t="n">
        <x:v>408400896</x:v>
      </x:c>
      <x:c r="S704" s="36" t="n">
        <x:v>2</x:v>
      </x:c>
      <x:c r="T704" s="44" t="str">
        <x:v>0x00000000351177b8  0x0000000035003818  0x00007e5c98137630    4304  20470784  20453736  org.apache.catalina.loader.ParallelWebappClassLoader | 0x00000000351177b8  0x0000000035003818  0x00007e5d40615ff0       0         0         0  org.apache.catalina.loader.ParallelWebappClassLoader</x:v>
      </x:c>
      <x:c r="U704" s="36" t="n">
        <x:v>27</x:v>
      </x:c>
      <x:c r="V704" s="36" t="n">
        <x:v>0</x:v>
      </x:c>
      <x:c r="W704" s="44"/>
      <x:c r="X704" s="36" t="n">
        <x:v>1</x:v>
      </x:c>
      <x:c r="Y704" s="36" t="n">
        <x:v>1</x:v>
      </x:c>
      <x:c r="Z704" s="44" t="str">
        <x:v>/nostore</x:v>
      </x:c>
      <x:c r="AA704" s="45" t="b">
        <x:v>1</x:v>
      </x:c>
      <x:c r="AB704" s="43"/>
      <x:c r="AC704" s="34" t="str">
        <x:v>article1-unified-v4-2-fb3f101b-20260903-000401-default-f03-p6-nostore-1-after-undeploy-final-10s-heap-info.txt</x:v>
      </x:c>
      <x:c r="AD704" s="34" t="str">
        <x:v>article1-unified-v4-2-fb3f101b-20260903-000401-default-f03-p6-nostore-1-after-undeploy-final-10s-classloader-stats.txt</x:v>
      </x:c>
      <x:c r="AE704" s="34" t="str">
        <x:v>article1-unified-v4-2-fb3f101b-20260903-000401-default-f03-p6-nostore-1-after-undeploy-final-10s-thread-dump.txt</x:v>
      </x:c>
      <x:c r="AF704" s="34"/>
      <x:c r="AG704" s="34" t="str">
        <x:v>article1-unified-v4-2-fb3f101b-20260903-000401-default-f03-p6-nostore-1-after-undeploy-final-10s-native-memory.txt</x:v>
      </x:c>
      <x:c r="AH704" s="34" t="str">
        <x:v>article1-unified-v4-2-fb3f101b-20260903-000401-default-f03-p6-nostore-1-after-undeploy-final-10s-class-histogram.txt</x:v>
      </x:c>
      <x:c r="AI704" s="34" t="str">
        <x:v>article1-unified-v4-2-fb3f101b-20260903-000401-default-f03-p6-nostore-1-after-undeploy-tomcat-findleaks.txt</x:v>
      </x:c>
    </x:row>
    <x:row r="705">
      <x:c r="A705" s="34" t="str">
        <x:v>article1-unified-v4-2-fb3f101b-20260903-000401-default-f03-p6-nostore</x:v>
      </x:c>
      <x:c r="B705" s="34" t="str">
        <x:v>default</x:v>
      </x:c>
      <x:c r="C705" s="34" t="str">
        <x:v>nostore</x:v>
      </x:c>
      <x:c r="D705" s="34" t="str">
        <x:v>nostore</x:v>
      </x:c>
      <x:c r="E705" s="36" t="n">
        <x:v>3</x:v>
      </x:c>
      <x:c r="F705" s="36" t="n">
        <x:v>3</x:v>
      </x:c>
      <x:c r="G705" s="36" t="n">
        <x:v>6</x:v>
      </x:c>
      <x:c r="H705" s="36" t="n">
        <x:v>1</x:v>
      </x:c>
      <x:c r="I705" s="34" t="str">
        <x:v>redeployedLoaded</x:v>
      </x:c>
      <x:c r="J705" s="34" t="str">
        <x:v>redeployed-loaded</x:v>
      </x:c>
      <x:c r="K705" s="36" t="n">
        <x:v>0</x:v>
      </x:c>
      <x:c r="L705" s="34" t="str">
        <x:v>redeploy</x:v>
      </x:c>
      <x:c r="M705" s="34" t="str">
        <x:v>article1-unified-v4-2-fb3f101b-20260903-000401-default-f03-p6-nostore-1-redeployed-loaded</x:v>
      </x:c>
      <x:c r="N705" s="38" t="n">
        <x:v>46268.02021443287</x:v>
      </x:c>
      <x:c r="O705" s="36" t="n">
        <x:v>0</x:v>
      </x:c>
      <x:c r="P705" s="43" t="n">
        <x:v>316115968</x:v>
      </x:c>
      <x:c r="Q705" s="43" t="n">
        <x:v>333447168</x:v>
      </x:c>
      <x:c r="R705" s="43" t="n">
        <x:v>482496512</x:v>
      </x:c>
      <x:c r="S705" s="36" t="n">
        <x:v>2</x:v>
      </x:c>
      <x:c r="T705" s="44" t="str">
        <x:v>0x00000000351177b8  0x0000000035003818  0x00007e5d40615ff0       0         0         0  org.apache.catalina.loader.ParallelWebappClassLoader | 0x00000000351177b8  0x0000000035003818  0x00007e5cb82192b0    4290  20439040  20423200  org.apache.catalina.loader.ParallelWebappClassLoader</x:v>
      </x:c>
      <x:c r="U705" s="36" t="n">
        <x:v>27</x:v>
      </x:c>
      <x:c r="V705" s="36" t="n">
        <x:v>0</x:v>
      </x:c>
      <x:c r="W705" s="44"/>
      <x:c r="X705" s="36"/>
      <x:c r="Y705" s="36"/>
      <x:c r="Z705" s="44"/>
      <x:c r="AA705" s="49"/>
      <x:c r="AB705" s="43"/>
      <x:c r="AC705" s="34"/>
      <x:c r="AD705" s="34"/>
      <x:c r="AE705" s="34"/>
      <x:c r="AF705" s="34"/>
      <x:c r="AG705" s="34"/>
      <x:c r="AH705" s="34"/>
      <x:c r="AI705" s="34"/>
    </x:row>
    <x:row r="706">
      <x:c r="A706" s="34" t="str">
        <x:v>article1-unified-v4-2-fb3f101b-20260903-000401-default-f03-p6-nostore</x:v>
      </x:c>
      <x:c r="B706" s="34" t="str">
        <x:v>default</x:v>
      </x:c>
      <x:c r="C706" s="34" t="str">
        <x:v>nostore</x:v>
      </x:c>
      <x:c r="D706" s="34" t="str">
        <x:v>nostore</x:v>
      </x:c>
      <x:c r="E706" s="36" t="n">
        <x:v>3</x:v>
      </x:c>
      <x:c r="F706" s="36" t="n">
        <x:v>3</x:v>
      </x:c>
      <x:c r="G706" s="36" t="n">
        <x:v>6</x:v>
      </x:c>
      <x:c r="H706" s="36" t="n">
        <x:v>1</x:v>
      </x:c>
      <x:c r="I706" s="34" t="str">
        <x:v>afterFinalUndeployEarly</x:v>
      </x:c>
      <x:c r="J706" s="34" t="str">
        <x:v>after-final-undeploy-early</x:v>
      </x:c>
      <x:c r="K706" s="36" t="n">
        <x:v>2</x:v>
      </x:c>
      <x:c r="L706" s="34" t="str">
        <x:v>early</x:v>
      </x:c>
      <x:c r="M706" s="34" t="str">
        <x:v>article1-unified-v4-2-fb3f101b-20260903-000401-default-f03-p6-nostore-1-after-final-undeploy-early-2s</x:v>
      </x:c>
      <x:c r="N706" s="38" t="n">
        <x:v>46268.02029761574</x:v>
      </x:c>
      <x:c r="O706" s="36"/>
      <x:c r="P706" s="43"/>
      <x:c r="Q706" s="43"/>
      <x:c r="R706" s="43"/>
      <x:c r="S706" s="36"/>
      <x:c r="T706" s="44"/>
      <x:c r="U706" s="36" t="n">
        <x:v>27</x:v>
      </x:c>
      <x:c r="V706" s="36" t="n">
        <x:v>0</x:v>
      </x:c>
      <x:c r="W706" s="44"/>
      <x:c r="X706" s="36"/>
      <x:c r="Y706" s="36"/>
      <x:c r="Z706" s="44"/>
      <x:c r="AA706" s="49"/>
      <x:c r="AB706" s="43" t="n">
        <x:v>1</x:v>
      </x:c>
      <x:c r="AC706" s="34"/>
      <x:c r="AD706" s="34"/>
      <x:c r="AE706" s="34" t="str">
        <x:v>article1-unified-v4-2-fb3f101b-20260903-000401-default-f03-p6-nostore-1-after-final-undeploy-early-2s-thread-dump.txt</x:v>
      </x:c>
      <x:c r="AF706" s="34" t="str">
        <x:v>article1-unified-v4-2-fb3f101b-20260903-000401-default-f03-p6-nostore-1-after-final-undeploy-early-tomcat-log.txt</x:v>
      </x:c>
      <x:c r="AG706" s="34"/>
      <x:c r="AH706" s="34"/>
      <x:c r="AI706" s="34"/>
    </x:row>
    <x:row r="707">
      <x:c r="A707" s="34" t="str">
        <x:v>article1-unified-v4-2-fb3f101b-20260903-000401-default-f03-p6-nostore</x:v>
      </x:c>
      <x:c r="B707" s="34" t="str">
        <x:v>default</x:v>
      </x:c>
      <x:c r="C707" s="34" t="str">
        <x:v>nostore</x:v>
      </x:c>
      <x:c r="D707" s="34" t="str">
        <x:v>nostore</x:v>
      </x:c>
      <x:c r="E707" s="36" t="n">
        <x:v>3</x:v>
      </x:c>
      <x:c r="F707" s="36" t="n">
        <x:v>3</x:v>
      </x:c>
      <x:c r="G707" s="36" t="n">
        <x:v>6</x:v>
      </x:c>
      <x:c r="H707" s="36" t="n">
        <x:v>1</x:v>
      </x:c>
      <x:c r="I707" s="34" t="str">
        <x:v>afterFinalUndeploy</x:v>
      </x:c>
      <x:c r="J707" s="34" t="str">
        <x:v>after-final-undeploy-final</x:v>
      </x:c>
      <x:c r="K707" s="36" t="n">
        <x:v>2</x:v>
      </x:c>
      <x:c r="L707" s="34" t="str">
        <x:v>final</x:v>
      </x:c>
      <x:c r="M707" s="34" t="str">
        <x:v>article1-unified-v4-2-fb3f101b-20260903-000401-default-f03-p6-nostore-1-after-final-undeploy-final-10s</x:v>
      </x:c>
      <x:c r="N707" s="38" t="n">
        <x:v>46268.020462002314</x:v>
      </x:c>
      <x:c r="O707" s="36" t="n">
        <x:v>2</x:v>
      </x:c>
      <x:c r="P707" s="43" t="n">
        <x:v>15353856</x:v>
      </x:c>
      <x:c r="Q707" s="43" t="n">
        <x:v>268435456</x:v>
      </x:c>
      <x:c r="R707" s="43" t="n">
        <x:v>415418368</x:v>
      </x:c>
      <x:c r="S707" s="36" t="n">
        <x:v>2</x:v>
      </x:c>
      <x:c r="T707" s="44" t="str">
        <x:v>0x00000000351177b8  0x0000000035003818  0x00007e5cb82192b0    4298  20471808  20447816  org.apache.catalina.loader.ParallelWebappClassLoader | 0x00000000351177b8  0x0000000035003818  0x00007e5d40615ff0       0         0         0  org.apache.catalina.loader.ParallelWebappClassLoader</x:v>
      </x:c>
      <x:c r="U707" s="36" t="n">
        <x:v>27</x:v>
      </x:c>
      <x:c r="V707" s="36" t="n">
        <x:v>0</x:v>
      </x:c>
      <x:c r="W707" s="44"/>
      <x:c r="X707" s="36" t="n">
        <x:v>1</x:v>
      </x:c>
      <x:c r="Y707" s="36" t="n">
        <x:v>1</x:v>
      </x:c>
      <x:c r="Z707" s="44" t="str">
        <x:v>/nostore</x:v>
      </x:c>
      <x:c r="AA707" s="45" t="b">
        <x:v>1</x:v>
      </x:c>
      <x:c r="AB707" s="43"/>
      <x:c r="AC707" s="34" t="str">
        <x:v>article1-unified-v4-2-fb3f101b-20260903-000401-default-f03-p6-nostore-1-after-final-undeploy-final-10s-heap-info.txt</x:v>
      </x:c>
      <x:c r="AD707" s="34" t="str">
        <x:v>article1-unified-v4-2-fb3f101b-20260903-000401-default-f03-p6-nostore-1-after-final-undeploy-final-10s-classloader-stats.txt</x:v>
      </x:c>
      <x:c r="AE707" s="34" t="str">
        <x:v>article1-unified-v4-2-fb3f101b-20260903-000401-default-f03-p6-nostore-1-after-final-undeploy-final-10s-thread-dump.txt</x:v>
      </x:c>
      <x:c r="AF707" s="34"/>
      <x:c r="AG707" s="34" t="str">
        <x:v>article1-unified-v4-2-fb3f101b-20260903-000401-default-f03-p6-nostore-1-after-final-undeploy-final-10s-native-memory.txt</x:v>
      </x:c>
      <x:c r="AH707" s="34" t="str">
        <x:v>article1-unified-v4-2-fb3f101b-20260903-000401-default-f03-p6-nostore-1-after-final-undeploy-final-10s-class-histogram.txt</x:v>
      </x:c>
      <x:c r="AI707" s="34" t="str">
        <x:v>article1-unified-v4-2-fb3f101b-20260903-000401-default-f03-p6-nostore-1-after-final-undeploy-tomcat-findleaks.txt</x:v>
      </x:c>
    </x:row>
    <x:row r="708">
      <x:c r="A708" s="34" t="str">
        <x:v>article1-unified-v4-2-fb3f101b-20260903-000401-default-f03-p6-nostore</x:v>
      </x:c>
      <x:c r="B708" s="34" t="str">
        <x:v>default</x:v>
      </x:c>
      <x:c r="C708" s="34" t="str">
        <x:v>nostore</x:v>
      </x:c>
      <x:c r="D708" s="34" t="str">
        <x:v>nostore</x:v>
      </x:c>
      <x:c r="E708" s="36" t="n">
        <x:v>3</x:v>
      </x:c>
      <x:c r="F708" s="36" t="n">
        <x:v>3</x:v>
      </x:c>
      <x:c r="G708" s="36" t="n">
        <x:v>6</x:v>
      </x:c>
      <x:c r="H708" s="36" t="n">
        <x:v>2</x:v>
      </x:c>
      <x:c r="I708" s="34" t="str">
        <x:v>baseline</x:v>
      </x:c>
      <x:c r="J708" s="34" t="str">
        <x:v>cycle-baseline</x:v>
      </x:c>
      <x:c r="K708" s="36" t="n">
        <x:v>0</x:v>
      </x:c>
      <x:c r="L708" s="34" t="str">
        <x:v>baseline</x:v>
      </x:c>
      <x:c r="M708" s="34" t="str">
        <x:v>article1-unified-v4-2-fb3f101b-20260903-000401-default-f03-p6-nostore-2-baseline</x:v>
      </x:c>
      <x:c r="N708" s="38" t="n">
        <x:v>46268.02050677083</x:v>
      </x:c>
      <x:c r="O708" s="36" t="n">
        <x:v>0</x:v>
      </x:c>
      <x:c r="P708" s="43" t="n">
        <x:v>15382528</x:v>
      </x:c>
      <x:c r="Q708" s="43" t="n">
        <x:v>268435456</x:v>
      </x:c>
      <x:c r="R708" s="43" t="n">
        <x:v>415319040</x:v>
      </x:c>
      <x:c r="S708" s="36" t="n">
        <x:v>2</x:v>
      </x:c>
      <x:c r="T708" s="44" t="str">
        <x:v>0x00000000351177b8  0x0000000035003818  0x00007e5cb82192b0    4298  20471808  20447816  org.apache.catalina.loader.ParallelWebappClassLoader | 0x00000000351177b8  0x0000000035003818  0x00007e5d40615ff0       0         0         0  org.apache.catalina.loader.ParallelWebappClassLoader</x:v>
      </x:c>
      <x:c r="U708" s="36" t="n">
        <x:v>27</x:v>
      </x:c>
      <x:c r="V708" s="36" t="n">
        <x:v>0</x:v>
      </x:c>
      <x:c r="W708" s="44"/>
      <x:c r="X708" s="36"/>
      <x:c r="Y708" s="36"/>
      <x:c r="Z708" s="44"/>
      <x:c r="AA708" s="49"/>
      <x:c r="AB708" s="43"/>
      <x:c r="AC708" s="34" t="str">
        <x:v>article1-unified-v4-2-fb3f101b-20260903-000401-default-f03-p6-nostore-2-baseline-heap-info.txt</x:v>
      </x:c>
      <x:c r="AD708" s="34" t="str">
        <x:v>article1-unified-v4-2-fb3f101b-20260903-000401-default-f03-p6-nostore-2-baseline-classloader-stats.txt</x:v>
      </x:c>
      <x:c r="AE708" s="34" t="str">
        <x:v>article1-unified-v4-2-fb3f101b-20260903-000401-default-f03-p6-nostore-2-baseline-thread-dump.txt</x:v>
      </x:c>
      <x:c r="AF708" s="34"/>
      <x:c r="AG708" s="34" t="str">
        <x:v>article1-unified-v4-2-fb3f101b-20260903-000401-default-f03-p6-nostore-2-baseline-native-memory.txt</x:v>
      </x:c>
      <x:c r="AH708" s="34"/>
      <x:c r="AI708" s="34"/>
    </x:row>
    <x:row r="709">
      <x:c r="A709" s="34" t="str">
        <x:v>article1-unified-v4-2-fb3f101b-20260903-000401-default-f03-p6-nostore</x:v>
      </x:c>
      <x:c r="B709" s="34" t="str">
        <x:v>default</x:v>
      </x:c>
      <x:c r="C709" s="34" t="str">
        <x:v>nostore</x:v>
      </x:c>
      <x:c r="D709" s="34" t="str">
        <x:v>nostore</x:v>
      </x:c>
      <x:c r="E709" s="36" t="n">
        <x:v>3</x:v>
      </x:c>
      <x:c r="F709" s="36" t="n">
        <x:v>3</x:v>
      </x:c>
      <x:c r="G709" s="36" t="n">
        <x:v>6</x:v>
      </x:c>
      <x:c r="H709" s="36" t="n">
        <x:v>2</x:v>
      </x:c>
      <x:c r="I709" s="34" t="str">
        <x:v>deployedIdle</x:v>
      </x:c>
      <x:c r="J709" s="34" t="str">
        <x:v>deployed-idle</x:v>
      </x:c>
      <x:c r="K709" s="36" t="n">
        <x:v>0</x:v>
      </x:c>
      <x:c r="L709" s="34" t="str">
        <x:v>initial</x:v>
      </x:c>
      <x:c r="M709" s="34" t="str">
        <x:v>article1-unified-v4-2-fb3f101b-20260903-000401-default-f03-p6-nostore-2-deployed-idle</x:v>
      </x:c>
      <x:c r="N709" s="38" t="n">
        <x:v>46268.02060931713</x:v>
      </x:c>
      <x:c r="O709" s="36" t="n">
        <x:v>0</x:v>
      </x:c>
      <x:c r="P709" s="43" t="n">
        <x:v>63608832</x:v>
      </x:c>
      <x:c r="Q709" s="43" t="n">
        <x:v>268435456</x:v>
      </x:c>
      <x:c r="R709" s="43" t="n">
        <x:v>442764288</x:v>
      </x:c>
      <x:c r="S709" s="36" t="n">
        <x:v>3</x:v>
      </x:c>
      <x:c r="T709" s="44" t="str">
        <x:v>0x00000000351177b8  0x0000000035003818  0x00007e5cb82192b0    4298  20471808  20447816  org.apache.catalina.loader.ParallelWebappClassLoader | 0x00000000351177b8  0x0000000035003818  0x00007e5c98573da0    4091  19448832  19434488  org.apache.catalina.loader.ParallelWebappClassLoader | 0x00000000351177b8  0x0000000035003818  0x00007e5d40615ff0       0         0         0  org.apache.catalina.loader.ParallelWebappClassLoader</x:v>
      </x:c>
      <x:c r="U709" s="36" t="n">
        <x:v>27</x:v>
      </x:c>
      <x:c r="V709" s="36" t="n">
        <x:v>0</x:v>
      </x:c>
      <x:c r="W709" s="44"/>
      <x:c r="X709" s="36"/>
      <x:c r="Y709" s="36"/>
      <x:c r="Z709" s="44"/>
      <x:c r="AA709" s="49"/>
      <x:c r="AB709" s="43"/>
      <x:c r="AC709" s="34"/>
      <x:c r="AD709" s="34"/>
      <x:c r="AE709" s="34"/>
      <x:c r="AF709" s="34"/>
      <x:c r="AG709" s="34"/>
      <x:c r="AH709" s="34"/>
      <x:c r="AI709" s="34"/>
    </x:row>
    <x:row r="710">
      <x:c r="A710" s="34" t="str">
        <x:v>article1-unified-v4-2-fb3f101b-20260903-000401-default-f03-p6-nostore</x:v>
      </x:c>
      <x:c r="B710" s="34" t="str">
        <x:v>default</x:v>
      </x:c>
      <x:c r="C710" s="34" t="str">
        <x:v>nostore</x:v>
      </x:c>
      <x:c r="D710" s="34" t="str">
        <x:v>nostore</x:v>
      </x:c>
      <x:c r="E710" s="36" t="n">
        <x:v>3</x:v>
      </x:c>
      <x:c r="F710" s="36" t="n">
        <x:v>3</x:v>
      </x:c>
      <x:c r="G710" s="36" t="n">
        <x:v>6</x:v>
      </x:c>
      <x:c r="H710" s="36" t="n">
        <x:v>2</x:v>
      </x:c>
      <x:c r="I710" s="34" t="str">
        <x:v>loaded</x:v>
      </x:c>
      <x:c r="J710" s="34" t="str">
        <x:v>loaded</x:v>
      </x:c>
      <x:c r="K710" s="36" t="n">
        <x:v>0</x:v>
      </x:c>
      <x:c r="L710" s="34" t="str">
        <x:v>initial</x:v>
      </x:c>
      <x:c r="M710" s="34" t="str">
        <x:v>article1-unified-v4-2-fb3f101b-20260903-000401-default-f03-p6-nostore-2-loaded</x:v>
      </x:c>
      <x:c r="N710" s="38" t="n">
        <x:v>46268.02076083334</x:v>
      </x:c>
      <x:c r="O710" s="36" t="n">
        <x:v>0</x:v>
      </x:c>
      <x:c r="P710" s="43" t="n">
        <x:v>325787648</x:v>
      </x:c>
      <x:c r="Q710" s="43" t="n">
        <x:v>341835776</x:v>
      </x:c>
      <x:c r="R710" s="43" t="n">
        <x:v>490497024</x:v>
      </x:c>
      <x:c r="S710" s="36" t="n">
        <x:v>2</x:v>
      </x:c>
      <x:c r="T710" s="44" t="str">
        <x:v>0x00000000351177b8  0x0000000035003818  0x00007e5c98573da0    4296  20448256  20436704  org.apache.catalina.loader.ParallelWebappClassLoader | 0x00000000351177b8  0x0000000035003818  0x00007e5d40615ff0       0         0         0  org.apache.catalina.loader.ParallelWebappClassLoader</x:v>
      </x:c>
      <x:c r="U710" s="36" t="n">
        <x:v>27</x:v>
      </x:c>
      <x:c r="V710" s="36" t="n">
        <x:v>0</x:v>
      </x:c>
      <x:c r="W710" s="44"/>
      <x:c r="X710" s="36"/>
      <x:c r="Y710" s="36"/>
      <x:c r="Z710" s="44"/>
      <x:c r="AA710" s="49"/>
      <x:c r="AB710" s="43"/>
      <x:c r="AC710" s="34"/>
      <x:c r="AD710" s="34"/>
      <x:c r="AE710" s="34"/>
      <x:c r="AF710" s="34"/>
      <x:c r="AG710" s="34"/>
      <x:c r="AH710" s="34"/>
      <x:c r="AI710" s="34"/>
    </x:row>
    <x:row r="711">
      <x:c r="A711" s="34" t="str">
        <x:v>article1-unified-v4-2-fb3f101b-20260903-000401-default-f03-p6-nostore</x:v>
      </x:c>
      <x:c r="B711" s="34" t="str">
        <x:v>default</x:v>
      </x:c>
      <x:c r="C711" s="34" t="str">
        <x:v>nostore</x:v>
      </x:c>
      <x:c r="D711" s="34" t="str">
        <x:v>nostore</x:v>
      </x:c>
      <x:c r="E711" s="36" t="n">
        <x:v>3</x:v>
      </x:c>
      <x:c r="F711" s="36" t="n">
        <x:v>3</x:v>
      </x:c>
      <x:c r="G711" s="36" t="n">
        <x:v>6</x:v>
      </x:c>
      <x:c r="H711" s="36" t="n">
        <x:v>2</x:v>
      </x:c>
      <x:c r="I711" s="34" t="str">
        <x:v>afterUndeployEarly</x:v>
      </x:c>
      <x:c r="J711" s="34" t="str">
        <x:v>after-undeploy-early</x:v>
      </x:c>
      <x:c r="K711" s="36" t="n">
        <x:v>1</x:v>
      </x:c>
      <x:c r="L711" s="34" t="str">
        <x:v>early</x:v>
      </x:c>
      <x:c r="M711" s="34" t="str">
        <x:v>article1-unified-v4-2-fb3f101b-20260903-000401-default-f03-p6-nostore-2-after-undeploy-early-2s</x:v>
      </x:c>
      <x:c r="N711" s="38" t="n">
        <x:v>46268.020846238425</x:v>
      </x:c>
      <x:c r="O711" s="36"/>
      <x:c r="P711" s="43"/>
      <x:c r="Q711" s="43"/>
      <x:c r="R711" s="43"/>
      <x:c r="S711" s="36"/>
      <x:c r="T711" s="44"/>
      <x:c r="U711" s="36" t="n">
        <x:v>27</x:v>
      </x:c>
      <x:c r="V711" s="36" t="n">
        <x:v>0</x:v>
      </x:c>
      <x:c r="W711" s="44"/>
      <x:c r="X711" s="36"/>
      <x:c r="Y711" s="36"/>
      <x:c r="Z711" s="44"/>
      <x:c r="AA711" s="49"/>
      <x:c r="AB711" s="43" t="n">
        <x:v>1</x:v>
      </x:c>
      <x:c r="AC711" s="34"/>
      <x:c r="AD711" s="34"/>
      <x:c r="AE711" s="34" t="str">
        <x:v>article1-unified-v4-2-fb3f101b-20260903-000401-default-f03-p6-nostore-2-after-undeploy-early-2s-thread-dump.txt</x:v>
      </x:c>
      <x:c r="AF711" s="34" t="str">
        <x:v>article1-unified-v4-2-fb3f101b-20260903-000401-default-f03-p6-nostore-2-after-undeploy-early-tomcat-log.txt</x:v>
      </x:c>
      <x:c r="AG711" s="34"/>
      <x:c r="AH711" s="34"/>
      <x:c r="AI711" s="34"/>
    </x:row>
    <x:row r="712">
      <x:c r="A712" s="34" t="str">
        <x:v>article1-unified-v4-2-fb3f101b-20260903-000401-default-f03-p6-nostore</x:v>
      </x:c>
      <x:c r="B712" s="34" t="str">
        <x:v>default</x:v>
      </x:c>
      <x:c r="C712" s="34" t="str">
        <x:v>nostore</x:v>
      </x:c>
      <x:c r="D712" s="34" t="str">
        <x:v>nostore</x:v>
      </x:c>
      <x:c r="E712" s="36" t="n">
        <x:v>3</x:v>
      </x:c>
      <x:c r="F712" s="36" t="n">
        <x:v>3</x:v>
      </x:c>
      <x:c r="G712" s="36" t="n">
        <x:v>6</x:v>
      </x:c>
      <x:c r="H712" s="36" t="n">
        <x:v>2</x:v>
      </x:c>
      <x:c r="I712" s="34" t="str">
        <x:v>afterUndeploy</x:v>
      </x:c>
      <x:c r="J712" s="34" t="str">
        <x:v>after-undeploy-final</x:v>
      </x:c>
      <x:c r="K712" s="36" t="n">
        <x:v>1</x:v>
      </x:c>
      <x:c r="L712" s="34" t="str">
        <x:v>final</x:v>
      </x:c>
      <x:c r="M712" s="34" t="str">
        <x:v>article1-unified-v4-2-fb3f101b-20260903-000401-default-f03-p6-nostore-2-after-undeploy-final-10s</x:v>
      </x:c>
      <x:c r="N712" s="38" t="n">
        <x:v>46268.021001064815</x:v>
      </x:c>
      <x:c r="O712" s="36" t="n">
        <x:v>2</x:v>
      </x:c>
      <x:c r="P712" s="43" t="n">
        <x:v>15374336</x:v>
      </x:c>
      <x:c r="Q712" s="43" t="n">
        <x:v>268435456</x:v>
      </x:c>
      <x:c r="R712" s="43" t="n">
        <x:v>413988864</x:v>
      </x:c>
      <x:c r="S712" s="36" t="n">
        <x:v>2</x:v>
      </x:c>
      <x:c r="T712" s="44" t="str">
        <x:v>0x00000000351177b8  0x0000000035003818  0x00007e5d40615ff0       0         0         0  org.apache.catalina.loader.ParallelWebappClassLoader | 0x00000000351177b8  0x0000000035003818  0x00007e5c98573da0    4304  20481024  20461296  org.apache.catalina.loader.ParallelWebappClassLoader</x:v>
      </x:c>
      <x:c r="U712" s="36" t="n">
        <x:v>27</x:v>
      </x:c>
      <x:c r="V712" s="36" t="n">
        <x:v>0</x:v>
      </x:c>
      <x:c r="W712" s="44"/>
      <x:c r="X712" s="36" t="n">
        <x:v>1</x:v>
      </x:c>
      <x:c r="Y712" s="36" t="n">
        <x:v>1</x:v>
      </x:c>
      <x:c r="Z712" s="44" t="str">
        <x:v>/nostore</x:v>
      </x:c>
      <x:c r="AA712" s="45" t="b">
        <x:v>1</x:v>
      </x:c>
      <x:c r="AB712" s="43"/>
      <x:c r="AC712" s="34" t="str">
        <x:v>article1-unified-v4-2-fb3f101b-20260903-000401-default-f03-p6-nostore-2-after-undeploy-final-10s-heap-info.txt</x:v>
      </x:c>
      <x:c r="AD712" s="34" t="str">
        <x:v>article1-unified-v4-2-fb3f101b-20260903-000401-default-f03-p6-nostore-2-after-undeploy-final-10s-classloader-stats.txt</x:v>
      </x:c>
      <x:c r="AE712" s="34" t="str">
        <x:v>article1-unified-v4-2-fb3f101b-20260903-000401-default-f03-p6-nostore-2-after-undeploy-final-10s-thread-dump.txt</x:v>
      </x:c>
      <x:c r="AF712" s="34"/>
      <x:c r="AG712" s="34" t="str">
        <x:v>article1-unified-v4-2-fb3f101b-20260903-000401-default-f03-p6-nostore-2-after-undeploy-final-10s-native-memory.txt</x:v>
      </x:c>
      <x:c r="AH712" s="34" t="str">
        <x:v>article1-unified-v4-2-fb3f101b-20260903-000401-default-f03-p6-nostore-2-after-undeploy-final-10s-class-histogram.txt</x:v>
      </x:c>
      <x:c r="AI712" s="34" t="str">
        <x:v>article1-unified-v4-2-fb3f101b-20260903-000401-default-f03-p6-nostore-2-after-undeploy-tomcat-findleaks.txt</x:v>
      </x:c>
    </x:row>
    <x:row r="713">
      <x:c r="A713" s="34" t="str">
        <x:v>article1-unified-v4-2-fb3f101b-20260903-000401-default-f03-p6-nostore</x:v>
      </x:c>
      <x:c r="B713" s="34" t="str">
        <x:v>default</x:v>
      </x:c>
      <x:c r="C713" s="34" t="str">
        <x:v>nostore</x:v>
      </x:c>
      <x:c r="D713" s="34" t="str">
        <x:v>nostore</x:v>
      </x:c>
      <x:c r="E713" s="36" t="n">
        <x:v>3</x:v>
      </x:c>
      <x:c r="F713" s="36" t="n">
        <x:v>3</x:v>
      </x:c>
      <x:c r="G713" s="36" t="n">
        <x:v>6</x:v>
      </x:c>
      <x:c r="H713" s="36" t="n">
        <x:v>2</x:v>
      </x:c>
      <x:c r="I713" s="34" t="str">
        <x:v>redeployedLoaded</x:v>
      </x:c>
      <x:c r="J713" s="34" t="str">
        <x:v>redeployed-loaded</x:v>
      </x:c>
      <x:c r="K713" s="36" t="n">
        <x:v>0</x:v>
      </x:c>
      <x:c r="L713" s="34" t="str">
        <x:v>redeploy</x:v>
      </x:c>
      <x:c r="M713" s="34" t="str">
        <x:v>article1-unified-v4-2-fb3f101b-20260903-000401-default-f03-p6-nostore-2-redeployed-loaded</x:v>
      </x:c>
      <x:c r="N713" s="38" t="n">
        <x:v>46268.0212587037</x:v>
      </x:c>
      <x:c r="O713" s="36" t="n">
        <x:v>0</x:v>
      </x:c>
      <x:c r="P713" s="43" t="n">
        <x:v>316809216</x:v>
      </x:c>
      <x:c r="Q713" s="43" t="n">
        <x:v>335544320</x:v>
      </x:c>
      <x:c r="R713" s="43" t="n">
        <x:v>487578624</x:v>
      </x:c>
      <x:c r="S713" s="36" t="n">
        <x:v>2</x:v>
      </x:c>
      <x:c r="T713" s="44" t="str">
        <x:v>0x00000000351177b8  0x0000000035003818  0x00007e5d40615ff0       0         0         0  org.apache.catalina.loader.ParallelWebappClassLoader | 0x00000000351177b8  0x0000000035003818  0x00007e5cbc009920    4285  20418560  20412072  org.apache.catalina.loader.ParallelWebappClassLoader</x:v>
      </x:c>
      <x:c r="U713" s="36" t="n">
        <x:v>27</x:v>
      </x:c>
      <x:c r="V713" s="36" t="n">
        <x:v>0</x:v>
      </x:c>
      <x:c r="W713" s="44"/>
      <x:c r="X713" s="36"/>
      <x:c r="Y713" s="36"/>
      <x:c r="Z713" s="44"/>
      <x:c r="AA713" s="49"/>
      <x:c r="AB713" s="43"/>
      <x:c r="AC713" s="34"/>
      <x:c r="AD713" s="34"/>
      <x:c r="AE713" s="34"/>
      <x:c r="AF713" s="34"/>
      <x:c r="AG713" s="34"/>
      <x:c r="AH713" s="34"/>
      <x:c r="AI713" s="34"/>
    </x:row>
    <x:row r="714">
      <x:c r="A714" s="34" t="str">
        <x:v>article1-unified-v4-2-fb3f101b-20260903-000401-default-f03-p6-nostore</x:v>
      </x:c>
      <x:c r="B714" s="34" t="str">
        <x:v>default</x:v>
      </x:c>
      <x:c r="C714" s="34" t="str">
        <x:v>nostore</x:v>
      </x:c>
      <x:c r="D714" s="34" t="str">
        <x:v>nostore</x:v>
      </x:c>
      <x:c r="E714" s="36" t="n">
        <x:v>3</x:v>
      </x:c>
      <x:c r="F714" s="36" t="n">
        <x:v>3</x:v>
      </x:c>
      <x:c r="G714" s="36" t="n">
        <x:v>6</x:v>
      </x:c>
      <x:c r="H714" s="36" t="n">
        <x:v>2</x:v>
      </x:c>
      <x:c r="I714" s="34" t="str">
        <x:v>afterFinalUndeployEarly</x:v>
      </x:c>
      <x:c r="J714" s="34" t="str">
        <x:v>after-final-undeploy-early</x:v>
      </x:c>
      <x:c r="K714" s="36" t="n">
        <x:v>2</x:v>
      </x:c>
      <x:c r="L714" s="34" t="str">
        <x:v>early</x:v>
      </x:c>
      <x:c r="M714" s="34" t="str">
        <x:v>article1-unified-v4-2-fb3f101b-20260903-000401-default-f03-p6-nostore-2-after-final-undeploy-early-2s</x:v>
      </x:c>
      <x:c r="N714" s="38" t="n">
        <x:v>46268.021343506945</x:v>
      </x:c>
      <x:c r="O714" s="36"/>
      <x:c r="P714" s="43"/>
      <x:c r="Q714" s="43"/>
      <x:c r="R714" s="43"/>
      <x:c r="S714" s="36"/>
      <x:c r="T714" s="44"/>
      <x:c r="U714" s="36" t="n">
        <x:v>27</x:v>
      </x:c>
      <x:c r="V714" s="36" t="n">
        <x:v>0</x:v>
      </x:c>
      <x:c r="W714" s="44"/>
      <x:c r="X714" s="36"/>
      <x:c r="Y714" s="36"/>
      <x:c r="Z714" s="44"/>
      <x:c r="AA714" s="49"/>
      <x:c r="AB714" s="43" t="n">
        <x:v>1</x:v>
      </x:c>
      <x:c r="AC714" s="34"/>
      <x:c r="AD714" s="34"/>
      <x:c r="AE714" s="34" t="str">
        <x:v>article1-unified-v4-2-fb3f101b-20260903-000401-default-f03-p6-nostore-2-after-final-undeploy-early-2s-thread-dump.txt</x:v>
      </x:c>
      <x:c r="AF714" s="34" t="str">
        <x:v>article1-unified-v4-2-fb3f101b-20260903-000401-default-f03-p6-nostore-2-after-final-undeploy-early-tomcat-log.txt</x:v>
      </x:c>
      <x:c r="AG714" s="34"/>
      <x:c r="AH714" s="34"/>
      <x:c r="AI714" s="34"/>
    </x:row>
    <x:row r="715">
      <x:c r="A715" s="34" t="str">
        <x:v>article1-unified-v4-2-fb3f101b-20260903-000401-default-f03-p6-nostore</x:v>
      </x:c>
      <x:c r="B715" s="34" t="str">
        <x:v>default</x:v>
      </x:c>
      <x:c r="C715" s="34" t="str">
        <x:v>nostore</x:v>
      </x:c>
      <x:c r="D715" s="34" t="str">
        <x:v>nostore</x:v>
      </x:c>
      <x:c r="E715" s="36" t="n">
        <x:v>3</x:v>
      </x:c>
      <x:c r="F715" s="36" t="n">
        <x:v>3</x:v>
      </x:c>
      <x:c r="G715" s="36" t="n">
        <x:v>6</x:v>
      </x:c>
      <x:c r="H715" s="36" t="n">
        <x:v>2</x:v>
      </x:c>
      <x:c r="I715" s="34" t="str">
        <x:v>afterFinalUndeploy</x:v>
      </x:c>
      <x:c r="J715" s="34" t="str">
        <x:v>after-final-undeploy-final</x:v>
      </x:c>
      <x:c r="K715" s="36" t="n">
        <x:v>2</x:v>
      </x:c>
      <x:c r="L715" s="34" t="str">
        <x:v>final</x:v>
      </x:c>
      <x:c r="M715" s="34" t="str">
        <x:v>article1-unified-v4-2-fb3f101b-20260903-000401-default-f03-p6-nostore-2-after-final-undeploy-final-10s</x:v>
      </x:c>
      <x:c r="N715" s="38" t="n">
        <x:v>46268.02149402778</x:v>
      </x:c>
      <x:c r="O715" s="36" t="n">
        <x:v>2</x:v>
      </x:c>
      <x:c r="P715" s="43" t="n">
        <x:v>15382528</x:v>
      </x:c>
      <x:c r="Q715" s="43" t="n">
        <x:v>268435456</x:v>
      </x:c>
      <x:c r="R715" s="43" t="n">
        <x:v>418782208</x:v>
      </x:c>
      <x:c r="S715" s="36" t="n">
        <x:v>2</x:v>
      </x:c>
      <x:c r="T715" s="44" t="str">
        <x:v>0x00000000351177b8  0x0000000035003818  0x00007e5cbc009920    4293  20451328  20436696  org.apache.catalina.loader.ParallelWebappClassLoader | 0x00000000351177b8  0x0000000035003818  0x00007e5d40615ff0       0         0         0  org.apache.catalina.loader.ParallelWebappClassLoader</x:v>
      </x:c>
      <x:c r="U715" s="36" t="n">
        <x:v>27</x:v>
      </x:c>
      <x:c r="V715" s="36" t="n">
        <x:v>0</x:v>
      </x:c>
      <x:c r="W715" s="44"/>
      <x:c r="X715" s="36" t="n">
        <x:v>1</x:v>
      </x:c>
      <x:c r="Y715" s="36" t="n">
        <x:v>1</x:v>
      </x:c>
      <x:c r="Z715" s="44" t="str">
        <x:v>/nostore</x:v>
      </x:c>
      <x:c r="AA715" s="45" t="b">
        <x:v>1</x:v>
      </x:c>
      <x:c r="AB715" s="43"/>
      <x:c r="AC715" s="34" t="str">
        <x:v>article1-unified-v4-2-fb3f101b-20260903-000401-default-f03-p6-nostore-2-after-final-undeploy-final-10s-heap-info.txt</x:v>
      </x:c>
      <x:c r="AD715" s="34" t="str">
        <x:v>article1-unified-v4-2-fb3f101b-20260903-000401-default-f03-p6-nostore-2-after-final-undeploy-final-10s-classloader-stats.txt</x:v>
      </x:c>
      <x:c r="AE715" s="34" t="str">
        <x:v>article1-unified-v4-2-fb3f101b-20260903-000401-default-f03-p6-nostore-2-after-final-undeploy-final-10s-thread-dump.txt</x:v>
      </x:c>
      <x:c r="AF715" s="34"/>
      <x:c r="AG715" s="34" t="str">
        <x:v>article1-unified-v4-2-fb3f101b-20260903-000401-default-f03-p6-nostore-2-after-final-undeploy-final-10s-native-memory.txt</x:v>
      </x:c>
      <x:c r="AH715" s="34" t="str">
        <x:v>article1-unified-v4-2-fb3f101b-20260903-000401-default-f03-p6-nostore-2-after-final-undeploy-final-10s-class-histogram.txt</x:v>
      </x:c>
      <x:c r="AI715" s="34" t="str">
        <x:v>article1-unified-v4-2-fb3f101b-20260903-000401-default-f03-p6-nostore-2-after-final-undeploy-tomcat-findleaks.txt</x:v>
      </x:c>
    </x:row>
    <x:row r="716">
      <x:c r="A716" s="34" t="str">
        <x:v>article1-unified-v4-2-fb3f101b-20260903-000401-default-f03-p6-nostore</x:v>
      </x:c>
      <x:c r="B716" s="34" t="str">
        <x:v>default</x:v>
      </x:c>
      <x:c r="C716" s="34" t="str">
        <x:v>nostore</x:v>
      </x:c>
      <x:c r="D716" s="34" t="str">
        <x:v>nostore</x:v>
      </x:c>
      <x:c r="E716" s="36" t="n">
        <x:v>3</x:v>
      </x:c>
      <x:c r="F716" s="36" t="n">
        <x:v>3</x:v>
      </x:c>
      <x:c r="G716" s="36" t="n">
        <x:v>6</x:v>
      </x:c>
      <x:c r="H716" s="36" t="n">
        <x:v>3</x:v>
      </x:c>
      <x:c r="I716" s="34" t="str">
        <x:v>baseline</x:v>
      </x:c>
      <x:c r="J716" s="34" t="str">
        <x:v>cycle-baseline</x:v>
      </x:c>
      <x:c r="K716" s="36" t="n">
        <x:v>0</x:v>
      </x:c>
      <x:c r="L716" s="34" t="str">
        <x:v>baseline</x:v>
      </x:c>
      <x:c r="M716" s="34" t="str">
        <x:v>article1-unified-v4-2-fb3f101b-20260903-000401-default-f03-p6-nostore-3-baseline</x:v>
      </x:c>
      <x:c r="N716" s="38" t="n">
        <x:v>46268.02153517361</x:v>
      </x:c>
      <x:c r="O716" s="36" t="n">
        <x:v>0</x:v>
      </x:c>
      <x:c r="P716" s="43" t="n">
        <x:v>15396864</x:v>
      </x:c>
      <x:c r="Q716" s="43" t="n">
        <x:v>268435456</x:v>
      </x:c>
      <x:c r="R716" s="43" t="n">
        <x:v>419227648</x:v>
      </x:c>
      <x:c r="S716" s="36" t="n">
        <x:v>2</x:v>
      </x:c>
      <x:c r="T716" s="44" t="str">
        <x:v>0x00000000351177b8  0x0000000035003818  0x00007e5cbc009920    4293  20451328  20436696  org.apache.catalina.loader.ParallelWebappClassLoader | 0x00000000351177b8  0x0000000035003818  0x00007e5d40615ff0       0         0         0  org.apache.catalina.loader.ParallelWebappClassLoader</x:v>
      </x:c>
      <x:c r="U716" s="36" t="n">
        <x:v>27</x:v>
      </x:c>
      <x:c r="V716" s="36" t="n">
        <x:v>0</x:v>
      </x:c>
      <x:c r="W716" s="44"/>
      <x:c r="X716" s="36"/>
      <x:c r="Y716" s="36"/>
      <x:c r="Z716" s="44"/>
      <x:c r="AA716" s="49"/>
      <x:c r="AB716" s="43"/>
      <x:c r="AC716" s="34" t="str">
        <x:v>article1-unified-v4-2-fb3f101b-20260903-000401-default-f03-p6-nostore-3-baseline-heap-info.txt</x:v>
      </x:c>
      <x:c r="AD716" s="34" t="str">
        <x:v>article1-unified-v4-2-fb3f101b-20260903-000401-default-f03-p6-nostore-3-baseline-classloader-stats.txt</x:v>
      </x:c>
      <x:c r="AE716" s="34" t="str">
        <x:v>article1-unified-v4-2-fb3f101b-20260903-000401-default-f03-p6-nostore-3-baseline-thread-dump.txt</x:v>
      </x:c>
      <x:c r="AF716" s="34"/>
      <x:c r="AG716" s="34" t="str">
        <x:v>article1-unified-v4-2-fb3f101b-20260903-000401-default-f03-p6-nostore-3-baseline-native-memory.txt</x:v>
      </x:c>
      <x:c r="AH716" s="34"/>
      <x:c r="AI716" s="34"/>
    </x:row>
    <x:row r="717">
      <x:c r="A717" s="34" t="str">
        <x:v>article1-unified-v4-2-fb3f101b-20260903-000401-default-f03-p6-nostore</x:v>
      </x:c>
      <x:c r="B717" s="34" t="str">
        <x:v>default</x:v>
      </x:c>
      <x:c r="C717" s="34" t="str">
        <x:v>nostore</x:v>
      </x:c>
      <x:c r="D717" s="34" t="str">
        <x:v>nostore</x:v>
      </x:c>
      <x:c r="E717" s="36" t="n">
        <x:v>3</x:v>
      </x:c>
      <x:c r="F717" s="36" t="n">
        <x:v>3</x:v>
      </x:c>
      <x:c r="G717" s="36" t="n">
        <x:v>6</x:v>
      </x:c>
      <x:c r="H717" s="36" t="n">
        <x:v>3</x:v>
      </x:c>
      <x:c r="I717" s="34" t="str">
        <x:v>deployedIdle</x:v>
      </x:c>
      <x:c r="J717" s="34" t="str">
        <x:v>deployed-idle</x:v>
      </x:c>
      <x:c r="K717" s="36" t="n">
        <x:v>0</x:v>
      </x:c>
      <x:c r="L717" s="34" t="str">
        <x:v>initial</x:v>
      </x:c>
      <x:c r="M717" s="34" t="str">
        <x:v>article1-unified-v4-2-fb3f101b-20260903-000401-default-f03-p6-nostore-3-deployed-idle</x:v>
      </x:c>
      <x:c r="N717" s="38" t="n">
        <x:v>46268.0216340162</x:v>
      </x:c>
      <x:c r="O717" s="36" t="n">
        <x:v>0</x:v>
      </x:c>
      <x:c r="P717" s="43" t="n">
        <x:v>166591488</x:v>
      </x:c>
      <x:c r="Q717" s="43" t="n">
        <x:v>268435456</x:v>
      </x:c>
      <x:c r="R717" s="43" t="n">
        <x:v>439283712</x:v>
      </x:c>
      <x:c r="S717" s="36" t="n">
        <x:v>3</x:v>
      </x:c>
      <x:c r="T717" s="44" t="str">
        <x:v>0x00000000351177b8  0x0000000035003818  0x00007e5c601a4960    4091  19452928  19431048  org.apache.catalina.loader.ParallelWebappClassLoader | 0x00000000351177b8  0x0000000035003818  0x00007e5cbc009920    4293  20451328  20436696  org.apache.catalina.loader.ParallelWebappClassLoader | 0x00000000351177b8  0x0000000035003818  0x00007e5d40615ff0       0         0         0  org.apache.catalina.loader.ParallelWebappClassLoader</x:v>
      </x:c>
      <x:c r="U717" s="36" t="n">
        <x:v>27</x:v>
      </x:c>
      <x:c r="V717" s="36" t="n">
        <x:v>0</x:v>
      </x:c>
      <x:c r="W717" s="44"/>
      <x:c r="X717" s="36"/>
      <x:c r="Y717" s="36"/>
      <x:c r="Z717" s="44"/>
      <x:c r="AA717" s="49"/>
      <x:c r="AB717" s="43"/>
      <x:c r="AC717" s="34"/>
      <x:c r="AD717" s="34"/>
      <x:c r="AE717" s="34"/>
      <x:c r="AF717" s="34"/>
      <x:c r="AG717" s="34"/>
      <x:c r="AH717" s="34"/>
      <x:c r="AI717" s="34"/>
    </x:row>
    <x:row r="718">
      <x:c r="A718" s="34" t="str">
        <x:v>article1-unified-v4-2-fb3f101b-20260903-000401-default-f03-p6-nostore</x:v>
      </x:c>
      <x:c r="B718" s="34" t="str">
        <x:v>default</x:v>
      </x:c>
      <x:c r="C718" s="34" t="str">
        <x:v>nostore</x:v>
      </x:c>
      <x:c r="D718" s="34" t="str">
        <x:v>nostore</x:v>
      </x:c>
      <x:c r="E718" s="36" t="n">
        <x:v>3</x:v>
      </x:c>
      <x:c r="F718" s="36" t="n">
        <x:v>3</x:v>
      </x:c>
      <x:c r="G718" s="36" t="n">
        <x:v>6</x:v>
      </x:c>
      <x:c r="H718" s="36" t="n">
        <x:v>3</x:v>
      </x:c>
      <x:c r="I718" s="34" t="str">
        <x:v>loaded</x:v>
      </x:c>
      <x:c r="J718" s="34" t="str">
        <x:v>loaded</x:v>
      </x:c>
      <x:c r="K718" s="36" t="n">
        <x:v>0</x:v>
      </x:c>
      <x:c r="L718" s="34" t="str">
        <x:v>initial</x:v>
      </x:c>
      <x:c r="M718" s="34" t="str">
        <x:v>article1-unified-v4-2-fb3f101b-20260903-000401-default-f03-p6-nostore-3-loaded</x:v>
      </x:c>
      <x:c r="N718" s="38" t="n">
        <x:v>46268.02178849537</x:v>
      </x:c>
      <x:c r="O718" s="36" t="n">
        <x:v>0</x:v>
      </x:c>
      <x:c r="P718" s="43" t="n">
        <x:v>304757760</x:v>
      </x:c>
      <x:c r="Q718" s="43" t="n">
        <x:v>357564416</x:v>
      </x:c>
      <x:c r="R718" s="43" t="n">
        <x:v>508446720</x:v>
      </x:c>
      <x:c r="S718" s="36" t="n">
        <x:v>2</x:v>
      </x:c>
      <x:c r="T718" s="44" t="str">
        <x:v>0x00000000351177b8  0x0000000035003818  0x00007e5d40615ff0       0         0         0  org.apache.catalina.loader.ParallelWebappClassLoader | 0x00000000351177b8  0x0000000035003818  0x00007e5c601a4960    4287  20435968  20417368  org.apache.catalina.loader.ParallelWebappClassLoader</x:v>
      </x:c>
      <x:c r="U718" s="36" t="n">
        <x:v>27</x:v>
      </x:c>
      <x:c r="V718" s="36" t="n">
        <x:v>0</x:v>
      </x:c>
      <x:c r="W718" s="44"/>
      <x:c r="X718" s="36"/>
      <x:c r="Y718" s="36"/>
      <x:c r="Z718" s="44"/>
      <x:c r="AA718" s="49"/>
      <x:c r="AB718" s="43"/>
      <x:c r="AC718" s="34"/>
      <x:c r="AD718" s="34"/>
      <x:c r="AE718" s="34"/>
      <x:c r="AF718" s="34"/>
      <x:c r="AG718" s="34"/>
      <x:c r="AH718" s="34"/>
      <x:c r="AI718" s="34"/>
    </x:row>
    <x:row r="719">
      <x:c r="A719" s="34" t="str">
        <x:v>article1-unified-v4-2-fb3f101b-20260903-000401-default-f03-p6-nostore</x:v>
      </x:c>
      <x:c r="B719" s="34" t="str">
        <x:v>default</x:v>
      </x:c>
      <x:c r="C719" s="34" t="str">
        <x:v>nostore</x:v>
      </x:c>
      <x:c r="D719" s="34" t="str">
        <x:v>nostore</x:v>
      </x:c>
      <x:c r="E719" s="36" t="n">
        <x:v>3</x:v>
      </x:c>
      <x:c r="F719" s="36" t="n">
        <x:v>3</x:v>
      </x:c>
      <x:c r="G719" s="36" t="n">
        <x:v>6</x:v>
      </x:c>
      <x:c r="H719" s="36" t="n">
        <x:v>3</x:v>
      </x:c>
      <x:c r="I719" s="34" t="str">
        <x:v>afterUndeployEarly</x:v>
      </x:c>
      <x:c r="J719" s="34" t="str">
        <x:v>after-undeploy-early</x:v>
      </x:c>
      <x:c r="K719" s="36" t="n">
        <x:v>1</x:v>
      </x:c>
      <x:c r="L719" s="34" t="str">
        <x:v>early</x:v>
      </x:c>
      <x:c r="M719" s="34" t="str">
        <x:v>article1-unified-v4-2-fb3f101b-20260903-000401-default-f03-p6-nostore-3-after-undeploy-early-2s</x:v>
      </x:c>
      <x:c r="N719" s="38" t="n">
        <x:v>46268.02186987268</x:v>
      </x:c>
      <x:c r="O719" s="36"/>
      <x:c r="P719" s="43"/>
      <x:c r="Q719" s="43"/>
      <x:c r="R719" s="43"/>
      <x:c r="S719" s="36"/>
      <x:c r="T719" s="44"/>
      <x:c r="U719" s="36" t="n">
        <x:v>27</x:v>
      </x:c>
      <x:c r="V719" s="36" t="n">
        <x:v>0</x:v>
      </x:c>
      <x:c r="W719" s="44"/>
      <x:c r="X719" s="36"/>
      <x:c r="Y719" s="36"/>
      <x:c r="Z719" s="44"/>
      <x:c r="AA719" s="49"/>
      <x:c r="AB719" s="43" t="n">
        <x:v>1</x:v>
      </x:c>
      <x:c r="AC719" s="34"/>
      <x:c r="AD719" s="34"/>
      <x:c r="AE719" s="34" t="str">
        <x:v>article1-unified-v4-2-fb3f101b-20260903-000401-default-f03-p6-nostore-3-after-undeploy-early-2s-thread-dump.txt</x:v>
      </x:c>
      <x:c r="AF719" s="34" t="str">
        <x:v>article1-unified-v4-2-fb3f101b-20260903-000401-default-f03-p6-nostore-3-after-undeploy-early-tomcat-log.txt</x:v>
      </x:c>
      <x:c r="AG719" s="34"/>
      <x:c r="AH719" s="34"/>
      <x:c r="AI719" s="34"/>
    </x:row>
    <x:row r="720">
      <x:c r="A720" s="34" t="str">
        <x:v>article1-unified-v4-2-fb3f101b-20260903-000401-default-f03-p6-nostore</x:v>
      </x:c>
      <x:c r="B720" s="34" t="str">
        <x:v>default</x:v>
      </x:c>
      <x:c r="C720" s="34" t="str">
        <x:v>nostore</x:v>
      </x:c>
      <x:c r="D720" s="34" t="str">
        <x:v>nostore</x:v>
      </x:c>
      <x:c r="E720" s="36" t="n">
        <x:v>3</x:v>
      </x:c>
      <x:c r="F720" s="36" t="n">
        <x:v>3</x:v>
      </x:c>
      <x:c r="G720" s="36" t="n">
        <x:v>6</x:v>
      </x:c>
      <x:c r="H720" s="36" t="n">
        <x:v>3</x:v>
      </x:c>
      <x:c r="I720" s="34" t="str">
        <x:v>afterUndeploy</x:v>
      </x:c>
      <x:c r="J720" s="34" t="str">
        <x:v>after-undeploy-final</x:v>
      </x:c>
      <x:c r="K720" s="36" t="n">
        <x:v>1</x:v>
      </x:c>
      <x:c r="L720" s="34" t="str">
        <x:v>final</x:v>
      </x:c>
      <x:c r="M720" s="34" t="str">
        <x:v>article1-unified-v4-2-fb3f101b-20260903-000401-default-f03-p6-nostore-3-after-undeploy-final-10s</x:v>
      </x:c>
      <x:c r="N720" s="38" t="n">
        <x:v>46268.02202815972</x:v>
      </x:c>
      <x:c r="O720" s="36" t="n">
        <x:v>2</x:v>
      </x:c>
      <x:c r="P720" s="43" t="n">
        <x:v>15397888</x:v>
      </x:c>
      <x:c r="Q720" s="43" t="n">
        <x:v>268435456</x:v>
      </x:c>
      <x:c r="R720" s="43" t="n">
        <x:v>417152000</x:v>
      </x:c>
      <x:c r="S720" s="36" t="n">
        <x:v>2</x:v>
      </x:c>
      <x:c r="T720" s="44" t="str">
        <x:v>0x00000000351177b8  0x0000000035003818  0x00007e5c601a4960    4295  20468736  20442000  org.apache.catalina.loader.ParallelWebappClassLoader | 0x00000000351177b8  0x0000000035003818  0x00007e5d40615ff0       0         0         0  org.apache.catalina.loader.ParallelWebappClassLoader</x:v>
      </x:c>
      <x:c r="U720" s="36" t="n">
        <x:v>27</x:v>
      </x:c>
      <x:c r="V720" s="36" t="n">
        <x:v>0</x:v>
      </x:c>
      <x:c r="W720" s="44"/>
      <x:c r="X720" s="36" t="n">
        <x:v>1</x:v>
      </x:c>
      <x:c r="Y720" s="36" t="n">
        <x:v>1</x:v>
      </x:c>
      <x:c r="Z720" s="44" t="str">
        <x:v>/nostore</x:v>
      </x:c>
      <x:c r="AA720" s="45" t="b">
        <x:v>1</x:v>
      </x:c>
      <x:c r="AB720" s="43"/>
      <x:c r="AC720" s="34" t="str">
        <x:v>article1-unified-v4-2-fb3f101b-20260903-000401-default-f03-p6-nostore-3-after-undeploy-final-10s-heap-info.txt</x:v>
      </x:c>
      <x:c r="AD720" s="34" t="str">
        <x:v>article1-unified-v4-2-fb3f101b-20260903-000401-default-f03-p6-nostore-3-after-undeploy-final-10s-classloader-stats.txt</x:v>
      </x:c>
      <x:c r="AE720" s="34" t="str">
        <x:v>article1-unified-v4-2-fb3f101b-20260903-000401-default-f03-p6-nostore-3-after-undeploy-final-10s-thread-dump.txt</x:v>
      </x:c>
      <x:c r="AF720" s="34"/>
      <x:c r="AG720" s="34" t="str">
        <x:v>article1-unified-v4-2-fb3f101b-20260903-000401-default-f03-p6-nostore-3-after-undeploy-final-10s-native-memory.txt</x:v>
      </x:c>
      <x:c r="AH720" s="34" t="str">
        <x:v>article1-unified-v4-2-fb3f101b-20260903-000401-default-f03-p6-nostore-3-after-undeploy-final-10s-class-histogram.txt</x:v>
      </x:c>
      <x:c r="AI720" s="34" t="str">
        <x:v>article1-unified-v4-2-fb3f101b-20260903-000401-default-f03-p6-nostore-3-after-undeploy-tomcat-findleaks.txt</x:v>
      </x:c>
    </x:row>
    <x:row r="721">
      <x:c r="A721" s="34" t="str">
        <x:v>article1-unified-v4-2-fb3f101b-20260903-000401-default-f03-p6-nostore</x:v>
      </x:c>
      <x:c r="B721" s="34" t="str">
        <x:v>default</x:v>
      </x:c>
      <x:c r="C721" s="34" t="str">
        <x:v>nostore</x:v>
      </x:c>
      <x:c r="D721" s="34" t="str">
        <x:v>nostore</x:v>
      </x:c>
      <x:c r="E721" s="36" t="n">
        <x:v>3</x:v>
      </x:c>
      <x:c r="F721" s="36" t="n">
        <x:v>3</x:v>
      </x:c>
      <x:c r="G721" s="36" t="n">
        <x:v>6</x:v>
      </x:c>
      <x:c r="H721" s="36" t="n">
        <x:v>3</x:v>
      </x:c>
      <x:c r="I721" s="34" t="str">
        <x:v>redeployedLoaded</x:v>
      </x:c>
      <x:c r="J721" s="34" t="str">
        <x:v>redeployed-loaded</x:v>
      </x:c>
      <x:c r="K721" s="36" t="n">
        <x:v>0</x:v>
      </x:c>
      <x:c r="L721" s="34" t="str">
        <x:v>redeploy</x:v>
      </x:c>
      <x:c r="M721" s="34" t="str">
        <x:v>article1-unified-v4-2-fb3f101b-20260903-000401-default-f03-p6-nostore-3-redeployed-loaded</x:v>
      </x:c>
      <x:c r="N721" s="38" t="n">
        <x:v>46268.02228699074</x:v>
      </x:c>
      <x:c r="O721" s="36" t="n">
        <x:v>0</x:v>
      </x:c>
      <x:c r="P721" s="43" t="n">
        <x:v>315327488</x:v>
      </x:c>
      <x:c r="Q721" s="43" t="n">
        <x:v>333447168</x:v>
      </x:c>
      <x:c r="R721" s="43" t="n">
        <x:v>490883072</x:v>
      </x:c>
      <x:c r="S721" s="36" t="n">
        <x:v>2</x:v>
      </x:c>
      <x:c r="T721" s="44" t="str">
        <x:v>0x00000000351177b8  0x0000000035003818  0x00007e5c701a0ed0    4286  20444160  20414864  org.apache.catalina.loader.ParallelWebappClassLoader | 0x00000000351177b8  0x0000000035003818  0x00007e5d40615ff0       0         0         0  org.apache.catalina.loader.ParallelWebappClassLoader</x:v>
      </x:c>
      <x:c r="U721" s="36" t="n">
        <x:v>27</x:v>
      </x:c>
      <x:c r="V721" s="36" t="n">
        <x:v>0</x:v>
      </x:c>
      <x:c r="W721" s="44"/>
      <x:c r="X721" s="36"/>
      <x:c r="Y721" s="36"/>
      <x:c r="Z721" s="44"/>
      <x:c r="AA721" s="49"/>
      <x:c r="AB721" s="43"/>
      <x:c r="AC721" s="34"/>
      <x:c r="AD721" s="34"/>
      <x:c r="AE721" s="34"/>
      <x:c r="AF721" s="34"/>
      <x:c r="AG721" s="34"/>
      <x:c r="AH721" s="34"/>
      <x:c r="AI721" s="34"/>
    </x:row>
    <x:row r="722">
      <x:c r="A722" s="34" t="str">
        <x:v>article1-unified-v4-2-fb3f101b-20260903-000401-default-f03-p6-nostore</x:v>
      </x:c>
      <x:c r="B722" s="34" t="str">
        <x:v>default</x:v>
      </x:c>
      <x:c r="C722" s="34" t="str">
        <x:v>nostore</x:v>
      </x:c>
      <x:c r="D722" s="34" t="str">
        <x:v>nostore</x:v>
      </x:c>
      <x:c r="E722" s="36" t="n">
        <x:v>3</x:v>
      </x:c>
      <x:c r="F722" s="36" t="n">
        <x:v>3</x:v>
      </x:c>
      <x:c r="G722" s="36" t="n">
        <x:v>6</x:v>
      </x:c>
      <x:c r="H722" s="36" t="n">
        <x:v>3</x:v>
      </x:c>
      <x:c r="I722" s="34" t="str">
        <x:v>afterFinalUndeployEarly</x:v>
      </x:c>
      <x:c r="J722" s="34" t="str">
        <x:v>after-final-undeploy-early</x:v>
      </x:c>
      <x:c r="K722" s="36" t="n">
        <x:v>2</x:v>
      </x:c>
      <x:c r="L722" s="34" t="str">
        <x:v>early</x:v>
      </x:c>
      <x:c r="M722" s="34" t="str">
        <x:v>article1-unified-v4-2-fb3f101b-20260903-000401-default-f03-p6-nostore-3-after-final-undeploy-early-2s</x:v>
      </x:c>
      <x:c r="N722" s="38" t="n">
        <x:v>46268.022369895836</x:v>
      </x:c>
      <x:c r="O722" s="36"/>
      <x:c r="P722" s="43"/>
      <x:c r="Q722" s="43"/>
      <x:c r="R722" s="43"/>
      <x:c r="S722" s="36"/>
      <x:c r="T722" s="44"/>
      <x:c r="U722" s="36" t="n">
        <x:v>27</x:v>
      </x:c>
      <x:c r="V722" s="36" t="n">
        <x:v>0</x:v>
      </x:c>
      <x:c r="W722" s="44"/>
      <x:c r="X722" s="36"/>
      <x:c r="Y722" s="36"/>
      <x:c r="Z722" s="44"/>
      <x:c r="AA722" s="49"/>
      <x:c r="AB722" s="43" t="n">
        <x:v>1</x:v>
      </x:c>
      <x:c r="AC722" s="34"/>
      <x:c r="AD722" s="34"/>
      <x:c r="AE722" s="34" t="str">
        <x:v>article1-unified-v4-2-fb3f101b-20260903-000401-default-f03-p6-nostore-3-after-final-undeploy-early-2s-thread-dump.txt</x:v>
      </x:c>
      <x:c r="AF722" s="34" t="str">
        <x:v>article1-unified-v4-2-fb3f101b-20260903-000401-default-f03-p6-nostore-3-after-final-undeploy-early-tomcat-log.txt</x:v>
      </x:c>
      <x:c r="AG722" s="34"/>
      <x:c r="AH722" s="34"/>
      <x:c r="AI722" s="34"/>
    </x:row>
    <x:row r="723">
      <x:c r="A723" s="34" t="str">
        <x:v>article1-unified-v4-2-fb3f101b-20260903-000401-default-f03-p6-nostore</x:v>
      </x:c>
      <x:c r="B723" s="34" t="str">
        <x:v>default</x:v>
      </x:c>
      <x:c r="C723" s="34" t="str">
        <x:v>nostore</x:v>
      </x:c>
      <x:c r="D723" s="34" t="str">
        <x:v>nostore</x:v>
      </x:c>
      <x:c r="E723" s="36" t="n">
        <x:v>3</x:v>
      </x:c>
      <x:c r="F723" s="36" t="n">
        <x:v>3</x:v>
      </x:c>
      <x:c r="G723" s="36" t="n">
        <x:v>6</x:v>
      </x:c>
      <x:c r="H723" s="36" t="n">
        <x:v>3</x:v>
      </x:c>
      <x:c r="I723" s="34" t="str">
        <x:v>afterFinalUndeploy</x:v>
      </x:c>
      <x:c r="J723" s="34" t="str">
        <x:v>after-final-undeploy-final</x:v>
      </x:c>
      <x:c r="K723" s="36" t="n">
        <x:v>2</x:v>
      </x:c>
      <x:c r="L723" s="34" t="str">
        <x:v>final</x:v>
      </x:c>
      <x:c r="M723" s="34" t="str">
        <x:v>article1-unified-v4-2-fb3f101b-20260903-000401-default-f03-p6-nostore-3-after-final-undeploy-final-10s</x:v>
      </x:c>
      <x:c r="N723" s="38" t="n">
        <x:v>46268.02252618055</x:v>
      </x:c>
      <x:c r="O723" s="36" t="n">
        <x:v>2</x:v>
      </x:c>
      <x:c r="P723" s="43" t="n">
        <x:v>15423488</x:v>
      </x:c>
      <x:c r="Q723" s="43" t="n">
        <x:v>268435456</x:v>
      </x:c>
      <x:c r="R723" s="43" t="n">
        <x:v>422350848</x:v>
      </x:c>
      <x:c r="S723" s="36" t="n">
        <x:v>2</x:v>
      </x:c>
      <x:c r="T723" s="44" t="str">
        <x:v>0x00000000351177b8  0x0000000035003818  0x00007e5c701a0ed0    4294  20460544  20439448  org.apache.catalina.loader.ParallelWebappClassLoader | 0x00000000351177b8  0x0000000035003818  0x00007e5d40615ff0       0         0         0  org.apache.catalina.loader.ParallelWebappClassLoader</x:v>
      </x:c>
      <x:c r="U723" s="36" t="n">
        <x:v>27</x:v>
      </x:c>
      <x:c r="V723" s="36" t="n">
        <x:v>0</x:v>
      </x:c>
      <x:c r="W723" s="44"/>
      <x:c r="X723" s="36" t="n">
        <x:v>1</x:v>
      </x:c>
      <x:c r="Y723" s="36" t="n">
        <x:v>1</x:v>
      </x:c>
      <x:c r="Z723" s="44" t="str">
        <x:v>/nostore</x:v>
      </x:c>
      <x:c r="AA723" s="45" t="b">
        <x:v>1</x:v>
      </x:c>
      <x:c r="AB723" s="43"/>
      <x:c r="AC723" s="34" t="str">
        <x:v>article1-unified-v4-2-fb3f101b-20260903-000401-default-f03-p6-nostore-3-after-final-undeploy-final-10s-heap-info.txt</x:v>
      </x:c>
      <x:c r="AD723" s="34" t="str">
        <x:v>article1-unified-v4-2-fb3f101b-20260903-000401-default-f03-p6-nostore-3-after-final-undeploy-final-10s-classloader-stats.txt</x:v>
      </x:c>
      <x:c r="AE723" s="34" t="str">
        <x:v>article1-unified-v4-2-fb3f101b-20260903-000401-default-f03-p6-nostore-3-after-final-undeploy-final-10s-thread-dump.txt</x:v>
      </x:c>
      <x:c r="AF723" s="34"/>
      <x:c r="AG723" s="34" t="str">
        <x:v>article1-unified-v4-2-fb3f101b-20260903-000401-default-f03-p6-nostore-3-after-final-undeploy-final-10s-native-memory.txt</x:v>
      </x:c>
      <x:c r="AH723" s="34" t="str">
        <x:v>article1-unified-v4-2-fb3f101b-20260903-000401-default-f03-p6-nostore-3-after-final-undeploy-final-10s-class-histogram.txt</x:v>
      </x:c>
      <x:c r="AI723" s="34" t="str">
        <x:v>article1-unified-v4-2-fb3f101b-20260903-000401-default-f03-p6-nostore-3-after-final-undeploy-tomcat-findleaks.txt</x:v>
      </x:c>
    </x:row>
    <x:row r="724">
      <x:c r="A724" s="34" t="str">
        <x:v>article1-unified-v4-2-fb3f101b-20260903-000401-default-f03-p6-nostore</x:v>
      </x:c>
      <x:c r="B724" s="34" t="str">
        <x:v>default</x:v>
      </x:c>
      <x:c r="C724" s="34" t="str">
        <x:v>nostore</x:v>
      </x:c>
      <x:c r="D724" s="34" t="str">
        <x:v>nostore</x:v>
      </x:c>
      <x:c r="E724" s="36" t="n">
        <x:v>3</x:v>
      </x:c>
      <x:c r="F724" s="36" t="n">
        <x:v>3</x:v>
      </x:c>
      <x:c r="G724" s="36" t="n">
        <x:v>6</x:v>
      </x:c>
      <x:c r="H724" s="36" t="n">
        <x:v>4</x:v>
      </x:c>
      <x:c r="I724" s="34" t="str">
        <x:v>baseline</x:v>
      </x:c>
      <x:c r="J724" s="34" t="str">
        <x:v>cycle-baseline</x:v>
      </x:c>
      <x:c r="K724" s="36" t="n">
        <x:v>0</x:v>
      </x:c>
      <x:c r="L724" s="34" t="str">
        <x:v>baseline</x:v>
      </x:c>
      <x:c r="M724" s="34" t="str">
        <x:v>article1-unified-v4-2-fb3f101b-20260903-000401-default-f03-p6-nostore-4-baseline</x:v>
      </x:c>
      <x:c r="N724" s="38" t="n">
        <x:v>46268.02256689815</x:v>
      </x:c>
      <x:c r="O724" s="36" t="n">
        <x:v>0</x:v>
      </x:c>
      <x:c r="P724" s="43" t="n">
        <x:v>15430656</x:v>
      </x:c>
      <x:c r="Q724" s="43" t="n">
        <x:v>268435456</x:v>
      </x:c>
      <x:c r="R724" s="43" t="n">
        <x:v>422214656</x:v>
      </x:c>
      <x:c r="S724" s="36" t="n">
        <x:v>2</x:v>
      </x:c>
      <x:c r="T724" s="44" t="str">
        <x:v>0x00000000351177b8  0x0000000035003818  0x00007e5c701a0ed0    4294  20460544  20439448  org.apache.catalina.loader.ParallelWebappClassLoader | 0x00000000351177b8  0x0000000035003818  0x00007e5d40615ff0       0         0         0  org.apache.catalina.loader.ParallelWebappClassLoader</x:v>
      </x:c>
      <x:c r="U724" s="36" t="n">
        <x:v>27</x:v>
      </x:c>
      <x:c r="V724" s="36" t="n">
        <x:v>0</x:v>
      </x:c>
      <x:c r="W724" s="44"/>
      <x:c r="X724" s="36"/>
      <x:c r="Y724" s="36"/>
      <x:c r="Z724" s="44"/>
      <x:c r="AA724" s="49"/>
      <x:c r="AB724" s="43"/>
      <x:c r="AC724" s="34" t="str">
        <x:v>article1-unified-v4-2-fb3f101b-20260903-000401-default-f03-p6-nostore-4-baseline-heap-info.txt</x:v>
      </x:c>
      <x:c r="AD724" s="34" t="str">
        <x:v>article1-unified-v4-2-fb3f101b-20260903-000401-default-f03-p6-nostore-4-baseline-classloader-stats.txt</x:v>
      </x:c>
      <x:c r="AE724" s="34" t="str">
        <x:v>article1-unified-v4-2-fb3f101b-20260903-000401-default-f03-p6-nostore-4-baseline-thread-dump.txt</x:v>
      </x:c>
      <x:c r="AF724" s="34"/>
      <x:c r="AG724" s="34" t="str">
        <x:v>article1-unified-v4-2-fb3f101b-20260903-000401-default-f03-p6-nostore-4-baseline-native-memory.txt</x:v>
      </x:c>
      <x:c r="AH724" s="34"/>
      <x:c r="AI724" s="34"/>
    </x:row>
    <x:row r="725">
      <x:c r="A725" s="34" t="str">
        <x:v>article1-unified-v4-2-fb3f101b-20260903-000401-default-f03-p6-nostore</x:v>
      </x:c>
      <x:c r="B725" s="34" t="str">
        <x:v>default</x:v>
      </x:c>
      <x:c r="C725" s="34" t="str">
        <x:v>nostore</x:v>
      </x:c>
      <x:c r="D725" s="34" t="str">
        <x:v>nostore</x:v>
      </x:c>
      <x:c r="E725" s="36" t="n">
        <x:v>3</x:v>
      </x:c>
      <x:c r="F725" s="36" t="n">
        <x:v>3</x:v>
      </x:c>
      <x:c r="G725" s="36" t="n">
        <x:v>6</x:v>
      </x:c>
      <x:c r="H725" s="36" t="n">
        <x:v>4</x:v>
      </x:c>
      <x:c r="I725" s="34" t="str">
        <x:v>deployedIdle</x:v>
      </x:c>
      <x:c r="J725" s="34" t="str">
        <x:v>deployed-idle</x:v>
      </x:c>
      <x:c r="K725" s="36" t="n">
        <x:v>0</x:v>
      </x:c>
      <x:c r="L725" s="34" t="str">
        <x:v>initial</x:v>
      </x:c>
      <x:c r="M725" s="34" t="str">
        <x:v>article1-unified-v4-2-fb3f101b-20260903-000401-default-f03-p6-nostore-4-deployed-idle</x:v>
      </x:c>
      <x:c r="N725" s="38" t="n">
        <x:v>46268.02266519676</x:v>
      </x:c>
      <x:c r="O725" s="36" t="n">
        <x:v>0</x:v>
      </x:c>
      <x:c r="P725" s="43" t="n">
        <x:v>166331392</x:v>
      </x:c>
      <x:c r="Q725" s="43" t="n">
        <x:v>268435456</x:v>
      </x:c>
      <x:c r="R725" s="43" t="n">
        <x:v>438715392</x:v>
      </x:c>
      <x:c r="S725" s="36" t="n">
        <x:v>3</x:v>
      </x:c>
      <x:c r="T725" s="44" t="str">
        <x:v>0x00000000351177b8  0x0000000035003818  0x00007e5c701a0ed0    4294  20460544  20439448  org.apache.catalina.loader.ParallelWebappClassLoader | 0x00000000351177b8  0x0000000035003818  0x00007e5d40615ff0       0         0         0  org.apache.catalina.loader.ParallelWebappClassLoader | 0x00000000351177b8  0x0000000035003818  0x00007e5cb00768f0    4091  19420160  19411344  org.apache.catalina.loader.ParallelWebappClassLoader</x:v>
      </x:c>
      <x:c r="U725" s="36" t="n">
        <x:v>27</x:v>
      </x:c>
      <x:c r="V725" s="36" t="n">
        <x:v>0</x:v>
      </x:c>
      <x:c r="W725" s="44"/>
      <x:c r="X725" s="36"/>
      <x:c r="Y725" s="36"/>
      <x:c r="Z725" s="44"/>
      <x:c r="AA725" s="49"/>
      <x:c r="AB725" s="43"/>
      <x:c r="AC725" s="34"/>
      <x:c r="AD725" s="34"/>
      <x:c r="AE725" s="34"/>
      <x:c r="AF725" s="34"/>
      <x:c r="AG725" s="34"/>
      <x:c r="AH725" s="34"/>
      <x:c r="AI725" s="34"/>
    </x:row>
    <x:row r="726">
      <x:c r="A726" s="34" t="str">
        <x:v>article1-unified-v4-2-fb3f101b-20260903-000401-default-f03-p6-nostore</x:v>
      </x:c>
      <x:c r="B726" s="34" t="str">
        <x:v>default</x:v>
      </x:c>
      <x:c r="C726" s="34" t="str">
        <x:v>nostore</x:v>
      </x:c>
      <x:c r="D726" s="34" t="str">
        <x:v>nostore</x:v>
      </x:c>
      <x:c r="E726" s="36" t="n">
        <x:v>3</x:v>
      </x:c>
      <x:c r="F726" s="36" t="n">
        <x:v>3</x:v>
      </x:c>
      <x:c r="G726" s="36" t="n">
        <x:v>6</x:v>
      </x:c>
      <x:c r="H726" s="36" t="n">
        <x:v>4</x:v>
      </x:c>
      <x:c r="I726" s="34" t="str">
        <x:v>loaded</x:v>
      </x:c>
      <x:c r="J726" s="34" t="str">
        <x:v>loaded</x:v>
      </x:c>
      <x:c r="K726" s="36" t="n">
        <x:v>0</x:v>
      </x:c>
      <x:c r="L726" s="34" t="str">
        <x:v>initial</x:v>
      </x:c>
      <x:c r="M726" s="34" t="str">
        <x:v>article1-unified-v4-2-fb3f101b-20260903-000401-default-f03-p6-nostore-4-loaded</x:v>
      </x:c>
      <x:c r="N726" s="38" t="n">
        <x:v>46268.02282261574</x:v>
      </x:c>
      <x:c r="O726" s="36" t="n">
        <x:v>0</x:v>
      </x:c>
      <x:c r="P726" s="43" t="n">
        <x:v>313220096</x:v>
      </x:c>
      <x:c r="Q726" s="43" t="n">
        <x:v>334495744</x:v>
      </x:c>
      <x:c r="R726" s="43" t="n">
        <x:v>487939072</x:v>
      </x:c>
      <x:c r="S726" s="36" t="n">
        <x:v>2</x:v>
      </x:c>
      <x:c r="T726" s="44" t="str">
        <x:v>0x00000000351177b8  0x0000000035003818  0x00007e5cb00768f0    4289  20419584  20406752  org.apache.catalina.loader.ParallelWebappClassLoader | 0x00000000351177b8  0x0000000035003818  0x00007e5d40615ff0       0         0         0  org.apache.catalina.loader.ParallelWebappClassLoader</x:v>
      </x:c>
      <x:c r="U726" s="36" t="n">
        <x:v>27</x:v>
      </x:c>
      <x:c r="V726" s="36" t="n">
        <x:v>0</x:v>
      </x:c>
      <x:c r="W726" s="44"/>
      <x:c r="X726" s="36"/>
      <x:c r="Y726" s="36"/>
      <x:c r="Z726" s="44"/>
      <x:c r="AA726" s="49"/>
      <x:c r="AB726" s="43"/>
      <x:c r="AC726" s="34"/>
      <x:c r="AD726" s="34"/>
      <x:c r="AE726" s="34"/>
      <x:c r="AF726" s="34"/>
      <x:c r="AG726" s="34"/>
      <x:c r="AH726" s="34"/>
      <x:c r="AI726" s="34"/>
    </x:row>
    <x:row r="727">
      <x:c r="A727" s="34" t="str">
        <x:v>article1-unified-v4-2-fb3f101b-20260903-000401-default-f03-p6-nostore</x:v>
      </x:c>
      <x:c r="B727" s="34" t="str">
        <x:v>default</x:v>
      </x:c>
      <x:c r="C727" s="34" t="str">
        <x:v>nostore</x:v>
      </x:c>
      <x:c r="D727" s="34" t="str">
        <x:v>nostore</x:v>
      </x:c>
      <x:c r="E727" s="36" t="n">
        <x:v>3</x:v>
      </x:c>
      <x:c r="F727" s="36" t="n">
        <x:v>3</x:v>
      </x:c>
      <x:c r="G727" s="36" t="n">
        <x:v>6</x:v>
      </x:c>
      <x:c r="H727" s="36" t="n">
        <x:v>4</x:v>
      </x:c>
      <x:c r="I727" s="34" t="str">
        <x:v>afterUndeployEarly</x:v>
      </x:c>
      <x:c r="J727" s="34" t="str">
        <x:v>after-undeploy-early</x:v>
      </x:c>
      <x:c r="K727" s="36" t="n">
        <x:v>1</x:v>
      </x:c>
      <x:c r="L727" s="34" t="str">
        <x:v>early</x:v>
      </x:c>
      <x:c r="M727" s="34" t="str">
        <x:v>article1-unified-v4-2-fb3f101b-20260903-000401-default-f03-p6-nostore-4-after-undeploy-early-2s</x:v>
      </x:c>
      <x:c r="N727" s="38" t="n">
        <x:v>46268.02290672454</x:v>
      </x:c>
      <x:c r="O727" s="36"/>
      <x:c r="P727" s="43"/>
      <x:c r="Q727" s="43"/>
      <x:c r="R727" s="43"/>
      <x:c r="S727" s="36"/>
      <x:c r="T727" s="44"/>
      <x:c r="U727" s="36" t="n">
        <x:v>27</x:v>
      </x:c>
      <x:c r="V727" s="36" t="n">
        <x:v>0</x:v>
      </x:c>
      <x:c r="W727" s="44"/>
      <x:c r="X727" s="36"/>
      <x:c r="Y727" s="36"/>
      <x:c r="Z727" s="44"/>
      <x:c r="AA727" s="49"/>
      <x:c r="AB727" s="43" t="n">
        <x:v>1</x:v>
      </x:c>
      <x:c r="AC727" s="34"/>
      <x:c r="AD727" s="34"/>
      <x:c r="AE727" s="34" t="str">
        <x:v>article1-unified-v4-2-fb3f101b-20260903-000401-default-f03-p6-nostore-4-after-undeploy-early-2s-thread-dump.txt</x:v>
      </x:c>
      <x:c r="AF727" s="34" t="str">
        <x:v>article1-unified-v4-2-fb3f101b-20260903-000401-default-f03-p6-nostore-4-after-undeploy-early-tomcat-log.txt</x:v>
      </x:c>
      <x:c r="AG727" s="34"/>
      <x:c r="AH727" s="34"/>
      <x:c r="AI727" s="34"/>
    </x:row>
    <x:row r="728">
      <x:c r="A728" s="34" t="str">
        <x:v>article1-unified-v4-2-fb3f101b-20260903-000401-default-f03-p6-nostore</x:v>
      </x:c>
      <x:c r="B728" s="34" t="str">
        <x:v>default</x:v>
      </x:c>
      <x:c r="C728" s="34" t="str">
        <x:v>nostore</x:v>
      </x:c>
      <x:c r="D728" s="34" t="str">
        <x:v>nostore</x:v>
      </x:c>
      <x:c r="E728" s="36" t="n">
        <x:v>3</x:v>
      </x:c>
      <x:c r="F728" s="36" t="n">
        <x:v>3</x:v>
      </x:c>
      <x:c r="G728" s="36" t="n">
        <x:v>6</x:v>
      </x:c>
      <x:c r="H728" s="36" t="n">
        <x:v>4</x:v>
      </x:c>
      <x:c r="I728" s="34" t="str">
        <x:v>afterUndeploy</x:v>
      </x:c>
      <x:c r="J728" s="34" t="str">
        <x:v>after-undeploy-final</x:v>
      </x:c>
      <x:c r="K728" s="36" t="n">
        <x:v>1</x:v>
      </x:c>
      <x:c r="L728" s="34" t="str">
        <x:v>final</x:v>
      </x:c>
      <x:c r="M728" s="34" t="str">
        <x:v>article1-unified-v4-2-fb3f101b-20260903-000401-default-f03-p6-nostore-4-after-undeploy-final-10s</x:v>
      </x:c>
      <x:c r="N728" s="38" t="n">
        <x:v>46268.02306364584</x:v>
      </x:c>
      <x:c r="O728" s="36" t="n">
        <x:v>2</x:v>
      </x:c>
      <x:c r="P728" s="43" t="n">
        <x:v>15427584</x:v>
      </x:c>
      <x:c r="Q728" s="43" t="n">
        <x:v>268435456</x:v>
      </x:c>
      <x:c r="R728" s="43" t="n">
        <x:v>420188160</x:v>
      </x:c>
      <x:c r="S728" s="36" t="n">
        <x:v>2</x:v>
      </x:c>
      <x:c r="T728" s="44" t="str">
        <x:v>0x00000000351177b8  0x0000000035003818  0x00007e5d40615ff0       0         0         0  org.apache.catalina.loader.ParallelWebappClassLoader | 0x00000000351177b8  0x0000000035003818  0x00007e5cb00768f0    4297  20452352  20431360  org.apache.catalina.loader.ParallelWebappClassLoader</x:v>
      </x:c>
      <x:c r="U728" s="36" t="n">
        <x:v>27</x:v>
      </x:c>
      <x:c r="V728" s="36" t="n">
        <x:v>0</x:v>
      </x:c>
      <x:c r="W728" s="44"/>
      <x:c r="X728" s="36" t="n">
        <x:v>1</x:v>
      </x:c>
      <x:c r="Y728" s="36" t="n">
        <x:v>1</x:v>
      </x:c>
      <x:c r="Z728" s="44" t="str">
        <x:v>/nostore</x:v>
      </x:c>
      <x:c r="AA728" s="45" t="b">
        <x:v>1</x:v>
      </x:c>
      <x:c r="AB728" s="43"/>
      <x:c r="AC728" s="34" t="str">
        <x:v>article1-unified-v4-2-fb3f101b-20260903-000401-default-f03-p6-nostore-4-after-undeploy-final-10s-heap-info.txt</x:v>
      </x:c>
      <x:c r="AD728" s="34" t="str">
        <x:v>article1-unified-v4-2-fb3f101b-20260903-000401-default-f03-p6-nostore-4-after-undeploy-final-10s-classloader-stats.txt</x:v>
      </x:c>
      <x:c r="AE728" s="34" t="str">
        <x:v>article1-unified-v4-2-fb3f101b-20260903-000401-default-f03-p6-nostore-4-after-undeploy-final-10s-thread-dump.txt</x:v>
      </x:c>
      <x:c r="AF728" s="34"/>
      <x:c r="AG728" s="34" t="str">
        <x:v>article1-unified-v4-2-fb3f101b-20260903-000401-default-f03-p6-nostore-4-after-undeploy-final-10s-native-memory.txt</x:v>
      </x:c>
      <x:c r="AH728" s="34" t="str">
        <x:v>article1-unified-v4-2-fb3f101b-20260903-000401-default-f03-p6-nostore-4-after-undeploy-final-10s-class-histogram.txt</x:v>
      </x:c>
      <x:c r="AI728" s="34" t="str">
        <x:v>article1-unified-v4-2-fb3f101b-20260903-000401-default-f03-p6-nostore-4-after-undeploy-tomcat-findleaks.txt</x:v>
      </x:c>
    </x:row>
    <x:row r="729">
      <x:c r="A729" s="34" t="str">
        <x:v>article1-unified-v4-2-fb3f101b-20260903-000401-default-f03-p6-nostore</x:v>
      </x:c>
      <x:c r="B729" s="34" t="str">
        <x:v>default</x:v>
      </x:c>
      <x:c r="C729" s="34" t="str">
        <x:v>nostore</x:v>
      </x:c>
      <x:c r="D729" s="34" t="str">
        <x:v>nostore</x:v>
      </x:c>
      <x:c r="E729" s="36" t="n">
        <x:v>3</x:v>
      </x:c>
      <x:c r="F729" s="36" t="n">
        <x:v>3</x:v>
      </x:c>
      <x:c r="G729" s="36" t="n">
        <x:v>6</x:v>
      </x:c>
      <x:c r="H729" s="36" t="n">
        <x:v>4</x:v>
      </x:c>
      <x:c r="I729" s="34" t="str">
        <x:v>redeployedLoaded</x:v>
      </x:c>
      <x:c r="J729" s="34" t="str">
        <x:v>redeployed-loaded</x:v>
      </x:c>
      <x:c r="K729" s="36" t="n">
        <x:v>0</x:v>
      </x:c>
      <x:c r="L729" s="34" t="str">
        <x:v>redeploy</x:v>
      </x:c>
      <x:c r="M729" s="34" t="str">
        <x:v>article1-unified-v4-2-fb3f101b-20260903-000401-default-f03-p6-nostore-4-redeployed-loaded</x:v>
      </x:c>
      <x:c r="N729" s="38" t="n">
        <x:v>46268.023317280094</x:v>
      </x:c>
      <x:c r="O729" s="36" t="n">
        <x:v>0</x:v>
      </x:c>
      <x:c r="P729" s="43" t="n">
        <x:v>317094912</x:v>
      </x:c>
      <x:c r="Q729" s="43" t="n">
        <x:v>335544320</x:v>
      </x:c>
      <x:c r="R729" s="43" t="n">
        <x:v>495967232</x:v>
      </x:c>
      <x:c r="S729" s="36" t="n">
        <x:v>2</x:v>
      </x:c>
      <x:c r="T729" s="44" t="str">
        <x:v>0x00000000351177b8  0x0000000035003818  0x00007e5c8c034f40    4291  20417536  20404360  org.apache.catalina.loader.ParallelWebappClassLoader | 0x00000000351177b8  0x0000000035003818  0x00007e5d40615ff0       0         0         0  org.apache.catalina.loader.ParallelWebappClassLoader</x:v>
      </x:c>
      <x:c r="U729" s="36" t="n">
        <x:v>27</x:v>
      </x:c>
      <x:c r="V729" s="36" t="n">
        <x:v>0</x:v>
      </x:c>
      <x:c r="W729" s="44"/>
      <x:c r="X729" s="36"/>
      <x:c r="Y729" s="36"/>
      <x:c r="Z729" s="44"/>
      <x:c r="AA729" s="49"/>
      <x:c r="AB729" s="43"/>
      <x:c r="AC729" s="34"/>
      <x:c r="AD729" s="34"/>
      <x:c r="AE729" s="34"/>
      <x:c r="AF729" s="34"/>
      <x:c r="AG729" s="34"/>
      <x:c r="AH729" s="34"/>
      <x:c r="AI729" s="34"/>
    </x:row>
    <x:row r="730">
      <x:c r="A730" s="34" t="str">
        <x:v>article1-unified-v4-2-fb3f101b-20260903-000401-default-f03-p6-nostore</x:v>
      </x:c>
      <x:c r="B730" s="34" t="str">
        <x:v>default</x:v>
      </x:c>
      <x:c r="C730" s="34" t="str">
        <x:v>nostore</x:v>
      </x:c>
      <x:c r="D730" s="34" t="str">
        <x:v>nostore</x:v>
      </x:c>
      <x:c r="E730" s="36" t="n">
        <x:v>3</x:v>
      </x:c>
      <x:c r="F730" s="36" t="n">
        <x:v>3</x:v>
      </x:c>
      <x:c r="G730" s="36" t="n">
        <x:v>6</x:v>
      </x:c>
      <x:c r="H730" s="36" t="n">
        <x:v>4</x:v>
      </x:c>
      <x:c r="I730" s="34" t="str">
        <x:v>afterFinalUndeployEarly</x:v>
      </x:c>
      <x:c r="J730" s="34" t="str">
        <x:v>after-final-undeploy-early</x:v>
      </x:c>
      <x:c r="K730" s="36" t="n">
        <x:v>2</x:v>
      </x:c>
      <x:c r="L730" s="34" t="str">
        <x:v>early</x:v>
      </x:c>
      <x:c r="M730" s="34" t="str">
        <x:v>article1-unified-v4-2-fb3f101b-20260903-000401-default-f03-p6-nostore-4-after-final-undeploy-early-2s</x:v>
      </x:c>
      <x:c r="N730" s="38" t="n">
        <x:v>46268.02340164352</x:v>
      </x:c>
      <x:c r="O730" s="36"/>
      <x:c r="P730" s="43"/>
      <x:c r="Q730" s="43"/>
      <x:c r="R730" s="43"/>
      <x:c r="S730" s="36"/>
      <x:c r="T730" s="44"/>
      <x:c r="U730" s="36" t="n">
        <x:v>27</x:v>
      </x:c>
      <x:c r="V730" s="36" t="n">
        <x:v>0</x:v>
      </x:c>
      <x:c r="W730" s="44"/>
      <x:c r="X730" s="36"/>
      <x:c r="Y730" s="36"/>
      <x:c r="Z730" s="44"/>
      <x:c r="AA730" s="49"/>
      <x:c r="AB730" s="43" t="n">
        <x:v>1</x:v>
      </x:c>
      <x:c r="AC730" s="34"/>
      <x:c r="AD730" s="34"/>
      <x:c r="AE730" s="34" t="str">
        <x:v>article1-unified-v4-2-fb3f101b-20260903-000401-default-f03-p6-nostore-4-after-final-undeploy-early-2s-thread-dump.txt</x:v>
      </x:c>
      <x:c r="AF730" s="34" t="str">
        <x:v>article1-unified-v4-2-fb3f101b-20260903-000401-default-f03-p6-nostore-4-after-final-undeploy-early-tomcat-log.txt</x:v>
      </x:c>
      <x:c r="AG730" s="34"/>
      <x:c r="AH730" s="34"/>
      <x:c r="AI730" s="34"/>
    </x:row>
    <x:row r="731">
      <x:c r="A731" s="34" t="str">
        <x:v>article1-unified-v4-2-fb3f101b-20260903-000401-default-f03-p6-nostore</x:v>
      </x:c>
      <x:c r="B731" s="34" t="str">
        <x:v>default</x:v>
      </x:c>
      <x:c r="C731" s="34" t="str">
        <x:v>nostore</x:v>
      </x:c>
      <x:c r="D731" s="34" t="str">
        <x:v>nostore</x:v>
      </x:c>
      <x:c r="E731" s="36" t="n">
        <x:v>3</x:v>
      </x:c>
      <x:c r="F731" s="36" t="n">
        <x:v>3</x:v>
      </x:c>
      <x:c r="G731" s="36" t="n">
        <x:v>6</x:v>
      </x:c>
      <x:c r="H731" s="36" t="n">
        <x:v>4</x:v>
      </x:c>
      <x:c r="I731" s="34" t="str">
        <x:v>afterFinalUndeploy</x:v>
      </x:c>
      <x:c r="J731" s="34" t="str">
        <x:v>after-final-undeploy-final</x:v>
      </x:c>
      <x:c r="K731" s="36" t="n">
        <x:v>2</x:v>
      </x:c>
      <x:c r="L731" s="34" t="str">
        <x:v>final</x:v>
      </x:c>
      <x:c r="M731" s="34" t="str">
        <x:v>article1-unified-v4-2-fb3f101b-20260903-000401-default-f03-p6-nostore-4-after-final-undeploy-final-10s</x:v>
      </x:c>
      <x:c r="N731" s="38" t="n">
        <x:v>46268.023555196756</x:v>
      </x:c>
      <x:c r="O731" s="36" t="n">
        <x:v>2</x:v>
      </x:c>
      <x:c r="P731" s="43" t="n">
        <x:v>15431680</x:v>
      </x:c>
      <x:c r="Q731" s="43" t="n">
        <x:v>268435456</x:v>
      </x:c>
      <x:c r="R731" s="43" t="n">
        <x:v>424933376</x:v>
      </x:c>
      <x:c r="S731" s="36" t="n">
        <x:v>2</x:v>
      </x:c>
      <x:c r="T731" s="44" t="str">
        <x:v>0x00000000351177b8  0x0000000035003818  0x00007e5c8c034f40    4299  20433920  20428688  org.apache.catalina.loader.ParallelWebappClassLoader | 0x00000000351177b8  0x0000000035003818  0x00007e5d40615ff0       0         0         0  org.apache.catalina.loader.ParallelWebappClassLoader</x:v>
      </x:c>
      <x:c r="U731" s="36" t="n">
        <x:v>27</x:v>
      </x:c>
      <x:c r="V731" s="36" t="n">
        <x:v>0</x:v>
      </x:c>
      <x:c r="W731" s="44"/>
      <x:c r="X731" s="36" t="n">
        <x:v>1</x:v>
      </x:c>
      <x:c r="Y731" s="36" t="n">
        <x:v>1</x:v>
      </x:c>
      <x:c r="Z731" s="44" t="str">
        <x:v>/nostore</x:v>
      </x:c>
      <x:c r="AA731" s="45" t="b">
        <x:v>1</x:v>
      </x:c>
      <x:c r="AB731" s="43"/>
      <x:c r="AC731" s="34" t="str">
        <x:v>article1-unified-v4-2-fb3f101b-20260903-000401-default-f03-p6-nostore-4-after-final-undeploy-final-10s-heap-info.txt</x:v>
      </x:c>
      <x:c r="AD731" s="34" t="str">
        <x:v>article1-unified-v4-2-fb3f101b-20260903-000401-default-f03-p6-nostore-4-after-final-undeploy-final-10s-classloader-stats.txt</x:v>
      </x:c>
      <x:c r="AE731" s="34" t="str">
        <x:v>article1-unified-v4-2-fb3f101b-20260903-000401-default-f03-p6-nostore-4-after-final-undeploy-final-10s-thread-dump.txt</x:v>
      </x:c>
      <x:c r="AF731" s="34"/>
      <x:c r="AG731" s="34" t="str">
        <x:v>article1-unified-v4-2-fb3f101b-20260903-000401-default-f03-p6-nostore-4-after-final-undeploy-final-10s-native-memory.txt</x:v>
      </x:c>
      <x:c r="AH731" s="34" t="str">
        <x:v>article1-unified-v4-2-fb3f101b-20260903-000401-default-f03-p6-nostore-4-after-final-undeploy-final-10s-class-histogram.txt</x:v>
      </x:c>
      <x:c r="AI731" s="34" t="str">
        <x:v>article1-unified-v4-2-fb3f101b-20260903-000401-default-f03-p6-nostore-4-after-final-undeploy-tomcat-findleaks.txt</x:v>
      </x:c>
    </x:row>
    <x:row r="732">
      <x:c r="A732" s="34" t="str">
        <x:v>article1-unified-v4-2-fb3f101b-20260903-000401-default-f03-p6-nostore</x:v>
      </x:c>
      <x:c r="B732" s="34" t="str">
        <x:v>default</x:v>
      </x:c>
      <x:c r="C732" s="34" t="str">
        <x:v>nostore</x:v>
      </x:c>
      <x:c r="D732" s="34" t="str">
        <x:v>nostore</x:v>
      </x:c>
      <x:c r="E732" s="36" t="n">
        <x:v>3</x:v>
      </x:c>
      <x:c r="F732" s="36" t="n">
        <x:v>3</x:v>
      </x:c>
      <x:c r="G732" s="36" t="n">
        <x:v>6</x:v>
      </x:c>
      <x:c r="H732" s="36" t="n">
        <x:v>5</x:v>
      </x:c>
      <x:c r="I732" s="34" t="str">
        <x:v>baseline</x:v>
      </x:c>
      <x:c r="J732" s="34" t="str">
        <x:v>cycle-baseline</x:v>
      </x:c>
      <x:c r="K732" s="36" t="n">
        <x:v>0</x:v>
      </x:c>
      <x:c r="L732" s="34" t="str">
        <x:v>baseline</x:v>
      </x:c>
      <x:c r="M732" s="34" t="str">
        <x:v>article1-unified-v4-2-fb3f101b-20260903-000401-default-f03-p6-nostore-5-baseline</x:v>
      </x:c>
      <x:c r="N732" s="38" t="n">
        <x:v>46268.02359503472</x:v>
      </x:c>
      <x:c r="O732" s="36" t="n">
        <x:v>0</x:v>
      </x:c>
      <x:c r="P732" s="43" t="n">
        <x:v>15439872</x:v>
      </x:c>
      <x:c r="Q732" s="43" t="n">
        <x:v>268435456</x:v>
      </x:c>
      <x:c r="R732" s="43" t="n">
        <x:v>424670208</x:v>
      </x:c>
      <x:c r="S732" s="36" t="n">
        <x:v>2</x:v>
      </x:c>
      <x:c r="T732" s="44" t="str">
        <x:v>0x00000000351177b8  0x0000000035003818  0x00007e5c8c034f40    4299  20433920  20428688  org.apache.catalina.loader.ParallelWebappClassLoader | 0x00000000351177b8  0x0000000035003818  0x00007e5d40615ff0       0         0         0  org.apache.catalina.loader.ParallelWebappClassLoader</x:v>
      </x:c>
      <x:c r="U732" s="36" t="n">
        <x:v>27</x:v>
      </x:c>
      <x:c r="V732" s="36" t="n">
        <x:v>0</x:v>
      </x:c>
      <x:c r="W732" s="44"/>
      <x:c r="X732" s="36"/>
      <x:c r="Y732" s="36"/>
      <x:c r="Z732" s="44"/>
      <x:c r="AA732" s="49"/>
      <x:c r="AB732" s="43"/>
      <x:c r="AC732" s="34" t="str">
        <x:v>article1-unified-v4-2-fb3f101b-20260903-000401-default-f03-p6-nostore-5-baseline-heap-info.txt</x:v>
      </x:c>
      <x:c r="AD732" s="34" t="str">
        <x:v>article1-unified-v4-2-fb3f101b-20260903-000401-default-f03-p6-nostore-5-baseline-classloader-stats.txt</x:v>
      </x:c>
      <x:c r="AE732" s="34" t="str">
        <x:v>article1-unified-v4-2-fb3f101b-20260903-000401-default-f03-p6-nostore-5-baseline-thread-dump.txt</x:v>
      </x:c>
      <x:c r="AF732" s="34"/>
      <x:c r="AG732" s="34" t="str">
        <x:v>article1-unified-v4-2-fb3f101b-20260903-000401-default-f03-p6-nostore-5-baseline-native-memory.txt</x:v>
      </x:c>
      <x:c r="AH732" s="34"/>
      <x:c r="AI732" s="34"/>
    </x:row>
    <x:row r="733">
      <x:c r="A733" s="34" t="str">
        <x:v>article1-unified-v4-2-fb3f101b-20260903-000401-default-f03-p6-nostore</x:v>
      </x:c>
      <x:c r="B733" s="34" t="str">
        <x:v>default</x:v>
      </x:c>
      <x:c r="C733" s="34" t="str">
        <x:v>nostore</x:v>
      </x:c>
      <x:c r="D733" s="34" t="str">
        <x:v>nostore</x:v>
      </x:c>
      <x:c r="E733" s="36" t="n">
        <x:v>3</x:v>
      </x:c>
      <x:c r="F733" s="36" t="n">
        <x:v>3</x:v>
      </x:c>
      <x:c r="G733" s="36" t="n">
        <x:v>6</x:v>
      </x:c>
      <x:c r="H733" s="36" t="n">
        <x:v>5</x:v>
      </x:c>
      <x:c r="I733" s="34" t="str">
        <x:v>deployedIdle</x:v>
      </x:c>
      <x:c r="J733" s="34" t="str">
        <x:v>deployed-idle</x:v>
      </x:c>
      <x:c r="K733" s="36" t="n">
        <x:v>0</x:v>
      </x:c>
      <x:c r="L733" s="34" t="str">
        <x:v>initial</x:v>
      </x:c>
      <x:c r="M733" s="34" t="str">
        <x:v>article1-unified-v4-2-fb3f101b-20260903-000401-default-f03-p6-nostore-5-deployed-idle</x:v>
      </x:c>
      <x:c r="N733" s="38" t="n">
        <x:v>46268.02369087963</x:v>
      </x:c>
      <x:c r="O733" s="36" t="n">
        <x:v>0</x:v>
      </x:c>
      <x:c r="P733" s="43" t="n">
        <x:v>164558848</x:v>
      </x:c>
      <x:c r="Q733" s="43" t="n">
        <x:v>268435456</x:v>
      </x:c>
      <x:c r="R733" s="43" t="n">
        <x:v>440374272</x:v>
      </x:c>
      <x:c r="S733" s="36" t="n">
        <x:v>3</x:v>
      </x:c>
      <x:c r="T733" s="44" t="str">
        <x:v>0x00000000351177b8  0x0000000035003818  0x00007e5c705bacc0    4091  19425280  19406768  org.apache.catalina.loader.ParallelWebappClassLoader | 0x00000000351177b8  0x0000000035003818  0x00007e5c8c034f40    4299  20433920  20428688  org.apache.catalina.loader.ParallelWebappClassLoader | 0x00000000351177b8  0x0000000035003818  0x00007e5d40615ff0       0         0         0  org.apache.catalina.loader.ParallelWebappClassLoader</x:v>
      </x:c>
      <x:c r="U733" s="36" t="n">
        <x:v>27</x:v>
      </x:c>
      <x:c r="V733" s="36" t="n">
        <x:v>0</x:v>
      </x:c>
      <x:c r="W733" s="44"/>
      <x:c r="X733" s="36"/>
      <x:c r="Y733" s="36"/>
      <x:c r="Z733" s="44"/>
      <x:c r="AA733" s="49"/>
      <x:c r="AB733" s="43"/>
      <x:c r="AC733" s="34"/>
      <x:c r="AD733" s="34"/>
      <x:c r="AE733" s="34"/>
      <x:c r="AF733" s="34"/>
      <x:c r="AG733" s="34"/>
      <x:c r="AH733" s="34"/>
      <x:c r="AI733" s="34"/>
    </x:row>
    <x:row r="734">
      <x:c r="A734" s="34" t="str">
        <x:v>article1-unified-v4-2-fb3f101b-20260903-000401-default-f03-p6-nostore</x:v>
      </x:c>
      <x:c r="B734" s="34" t="str">
        <x:v>default</x:v>
      </x:c>
      <x:c r="C734" s="34" t="str">
        <x:v>nostore</x:v>
      </x:c>
      <x:c r="D734" s="34" t="str">
        <x:v>nostore</x:v>
      </x:c>
      <x:c r="E734" s="36" t="n">
        <x:v>3</x:v>
      </x:c>
      <x:c r="F734" s="36" t="n">
        <x:v>3</x:v>
      </x:c>
      <x:c r="G734" s="36" t="n">
        <x:v>6</x:v>
      </x:c>
      <x:c r="H734" s="36" t="n">
        <x:v>5</x:v>
      </x:c>
      <x:c r="I734" s="34" t="str">
        <x:v>loaded</x:v>
      </x:c>
      <x:c r="J734" s="34" t="str">
        <x:v>loaded</x:v>
      </x:c>
      <x:c r="K734" s="36" t="n">
        <x:v>0</x:v>
      </x:c>
      <x:c r="L734" s="34" t="str">
        <x:v>initial</x:v>
      </x:c>
      <x:c r="M734" s="34" t="str">
        <x:v>article1-unified-v4-2-fb3f101b-20260903-000401-default-f03-p6-nostore-5-loaded</x:v>
      </x:c>
      <x:c r="N734" s="38" t="n">
        <x:v>46268.02384188658</x:v>
      </x:c>
      <x:c r="O734" s="36" t="n">
        <x:v>0</x:v>
      </x:c>
      <x:c r="P734" s="43" t="n">
        <x:v>318831616</x:v>
      </x:c>
      <x:c r="Q734" s="43" t="n">
        <x:v>335544320</x:v>
      </x:c>
      <x:c r="R734" s="43" t="n">
        <x:v>492198912</x:v>
      </x:c>
      <x:c r="S734" s="36" t="n">
        <x:v>2</x:v>
      </x:c>
      <x:c r="T734" s="44" t="str">
        <x:v>0x00000000351177b8  0x0000000035003818  0x00007e5c705bacc0    4285  20408320  20389192  org.apache.catalina.loader.ParallelWebappClassLoader | 0x00000000351177b8  0x0000000035003818  0x00007e5d40615ff0       0         0         0  org.apache.catalina.loader.ParallelWebappClassLoader</x:v>
      </x:c>
      <x:c r="U734" s="36" t="n">
        <x:v>27</x:v>
      </x:c>
      <x:c r="V734" s="36" t="n">
        <x:v>0</x:v>
      </x:c>
      <x:c r="W734" s="44"/>
      <x:c r="X734" s="36"/>
      <x:c r="Y734" s="36"/>
      <x:c r="Z734" s="44"/>
      <x:c r="AA734" s="49"/>
      <x:c r="AB734" s="43"/>
      <x:c r="AC734" s="34"/>
      <x:c r="AD734" s="34"/>
      <x:c r="AE734" s="34"/>
      <x:c r="AF734" s="34"/>
      <x:c r="AG734" s="34"/>
      <x:c r="AH734" s="34"/>
      <x:c r="AI734" s="34"/>
    </x:row>
    <x:row r="735">
      <x:c r="A735" s="34" t="str">
        <x:v>article1-unified-v4-2-fb3f101b-20260903-000401-default-f03-p6-nostore</x:v>
      </x:c>
      <x:c r="B735" s="34" t="str">
        <x:v>default</x:v>
      </x:c>
      <x:c r="C735" s="34" t="str">
        <x:v>nostore</x:v>
      </x:c>
      <x:c r="D735" s="34" t="str">
        <x:v>nostore</x:v>
      </x:c>
      <x:c r="E735" s="36" t="n">
        <x:v>3</x:v>
      </x:c>
      <x:c r="F735" s="36" t="n">
        <x:v>3</x:v>
      </x:c>
      <x:c r="G735" s="36" t="n">
        <x:v>6</x:v>
      </x:c>
      <x:c r="H735" s="36" t="n">
        <x:v>5</x:v>
      </x:c>
      <x:c r="I735" s="34" t="str">
        <x:v>afterUndeployEarly</x:v>
      </x:c>
      <x:c r="J735" s="34" t="str">
        <x:v>after-undeploy-early</x:v>
      </x:c>
      <x:c r="K735" s="36" t="n">
        <x:v>1</x:v>
      </x:c>
      <x:c r="L735" s="34" t="str">
        <x:v>early</x:v>
      </x:c>
      <x:c r="M735" s="34" t="str">
        <x:v>article1-unified-v4-2-fb3f101b-20260903-000401-default-f03-p6-nostore-5-after-undeploy-early-2s</x:v>
      </x:c>
      <x:c r="N735" s="38" t="n">
        <x:v>46268.0239287963</x:v>
      </x:c>
      <x:c r="O735" s="36"/>
      <x:c r="P735" s="43"/>
      <x:c r="Q735" s="43"/>
      <x:c r="R735" s="43"/>
      <x:c r="S735" s="36"/>
      <x:c r="T735" s="44"/>
      <x:c r="U735" s="36" t="n">
        <x:v>27</x:v>
      </x:c>
      <x:c r="V735" s="36" t="n">
        <x:v>0</x:v>
      </x:c>
      <x:c r="W735" s="44"/>
      <x:c r="X735" s="36"/>
      <x:c r="Y735" s="36"/>
      <x:c r="Z735" s="44"/>
      <x:c r="AA735" s="49"/>
      <x:c r="AB735" s="43" t="n">
        <x:v>1</x:v>
      </x:c>
      <x:c r="AC735" s="34"/>
      <x:c r="AD735" s="34"/>
      <x:c r="AE735" s="34" t="str">
        <x:v>article1-unified-v4-2-fb3f101b-20260903-000401-default-f03-p6-nostore-5-after-undeploy-early-2s-thread-dump.txt</x:v>
      </x:c>
      <x:c r="AF735" s="34" t="str">
        <x:v>article1-unified-v4-2-fb3f101b-20260903-000401-default-f03-p6-nostore-5-after-undeploy-early-tomcat-log.txt</x:v>
      </x:c>
      <x:c r="AG735" s="34"/>
      <x:c r="AH735" s="34"/>
      <x:c r="AI735" s="34"/>
    </x:row>
    <x:row r="736">
      <x:c r="A736" s="34" t="str">
        <x:v>article1-unified-v4-2-fb3f101b-20260903-000401-default-f03-p6-nostore</x:v>
      </x:c>
      <x:c r="B736" s="34" t="str">
        <x:v>default</x:v>
      </x:c>
      <x:c r="C736" s="34" t="str">
        <x:v>nostore</x:v>
      </x:c>
      <x:c r="D736" s="34" t="str">
        <x:v>nostore</x:v>
      </x:c>
      <x:c r="E736" s="36" t="n">
        <x:v>3</x:v>
      </x:c>
      <x:c r="F736" s="36" t="n">
        <x:v>3</x:v>
      </x:c>
      <x:c r="G736" s="36" t="n">
        <x:v>6</x:v>
      </x:c>
      <x:c r="H736" s="36" t="n">
        <x:v>5</x:v>
      </x:c>
      <x:c r="I736" s="34" t="str">
        <x:v>afterUndeploy</x:v>
      </x:c>
      <x:c r="J736" s="34" t="str">
        <x:v>after-undeploy-final</x:v>
      </x:c>
      <x:c r="K736" s="36" t="n">
        <x:v>1</x:v>
      </x:c>
      <x:c r="L736" s="34" t="str">
        <x:v>final</x:v>
      </x:c>
      <x:c r="M736" s="34" t="str">
        <x:v>article1-unified-v4-2-fb3f101b-20260903-000401-default-f03-p6-nostore-5-after-undeploy-final-10s</x:v>
      </x:c>
      <x:c r="N736" s="38" t="n">
        <x:v>46268.02408928241</x:v>
      </x:c>
      <x:c r="O736" s="36" t="n">
        <x:v>2</x:v>
      </x:c>
      <x:c r="P736" s="43" t="n">
        <x:v>15461376</x:v>
      </x:c>
      <x:c r="Q736" s="43" t="n">
        <x:v>268435456</x:v>
      </x:c>
      <x:c r="R736" s="43" t="n">
        <x:v>422356992</x:v>
      </x:c>
      <x:c r="S736" s="36" t="n">
        <x:v>2</x:v>
      </x:c>
      <x:c r="T736" s="44" t="str">
        <x:v>0x00000000351177b8  0x0000000035003818  0x00007e5c705bacc0    4293  20424704  20413792  org.apache.catalina.loader.ParallelWebappClassLoader | 0x00000000351177b8  0x0000000035003818  0x00007e5d40615ff0       0         0         0  org.apache.catalina.loader.ParallelWebappClassLoader</x:v>
      </x:c>
      <x:c r="U736" s="36" t="n">
        <x:v>27</x:v>
      </x:c>
      <x:c r="V736" s="36" t="n">
        <x:v>0</x:v>
      </x:c>
      <x:c r="W736" s="44"/>
      <x:c r="X736" s="36" t="n">
        <x:v>1</x:v>
      </x:c>
      <x:c r="Y736" s="36" t="n">
        <x:v>1</x:v>
      </x:c>
      <x:c r="Z736" s="44" t="str">
        <x:v>/nostore</x:v>
      </x:c>
      <x:c r="AA736" s="45" t="b">
        <x:v>1</x:v>
      </x:c>
      <x:c r="AB736" s="43"/>
      <x:c r="AC736" s="34" t="str">
        <x:v>article1-unified-v4-2-fb3f101b-20260903-000401-default-f03-p6-nostore-5-after-undeploy-final-10s-heap-info.txt</x:v>
      </x:c>
      <x:c r="AD736" s="34" t="str">
        <x:v>article1-unified-v4-2-fb3f101b-20260903-000401-default-f03-p6-nostore-5-after-undeploy-final-10s-classloader-stats.txt</x:v>
      </x:c>
      <x:c r="AE736" s="34" t="str">
        <x:v>article1-unified-v4-2-fb3f101b-20260903-000401-default-f03-p6-nostore-5-after-undeploy-final-10s-thread-dump.txt</x:v>
      </x:c>
      <x:c r="AF736" s="34"/>
      <x:c r="AG736" s="34" t="str">
        <x:v>article1-unified-v4-2-fb3f101b-20260903-000401-default-f03-p6-nostore-5-after-undeploy-final-10s-native-memory.txt</x:v>
      </x:c>
      <x:c r="AH736" s="34" t="str">
        <x:v>article1-unified-v4-2-fb3f101b-20260903-000401-default-f03-p6-nostore-5-after-undeploy-final-10s-class-histogram.txt</x:v>
      </x:c>
      <x:c r="AI736" s="34" t="str">
        <x:v>article1-unified-v4-2-fb3f101b-20260903-000401-default-f03-p6-nostore-5-after-undeploy-tomcat-findleaks.txt</x:v>
      </x:c>
    </x:row>
    <x:row r="737">
      <x:c r="A737" s="34" t="str">
        <x:v>article1-unified-v4-2-fb3f101b-20260903-000401-default-f03-p6-nostore</x:v>
      </x:c>
      <x:c r="B737" s="34" t="str">
        <x:v>default</x:v>
      </x:c>
      <x:c r="C737" s="34" t="str">
        <x:v>nostore</x:v>
      </x:c>
      <x:c r="D737" s="34" t="str">
        <x:v>nostore</x:v>
      </x:c>
      <x:c r="E737" s="36" t="n">
        <x:v>3</x:v>
      </x:c>
      <x:c r="F737" s="36" t="n">
        <x:v>3</x:v>
      </x:c>
      <x:c r="G737" s="36" t="n">
        <x:v>6</x:v>
      </x:c>
      <x:c r="H737" s="36" t="n">
        <x:v>5</x:v>
      </x:c>
      <x:c r="I737" s="34" t="str">
        <x:v>redeployedLoaded</x:v>
      </x:c>
      <x:c r="J737" s="34" t="str">
        <x:v>redeployed-loaded</x:v>
      </x:c>
      <x:c r="K737" s="36" t="n">
        <x:v>0</x:v>
      </x:c>
      <x:c r="L737" s="34" t="str">
        <x:v>redeploy</x:v>
      </x:c>
      <x:c r="M737" s="34" t="str">
        <x:v>article1-unified-v4-2-fb3f101b-20260903-000401-default-f03-p6-nostore-5-redeployed-loaded</x:v>
      </x:c>
      <x:c r="N737" s="38" t="n">
        <x:v>46268.024351631946</x:v>
      </x:c>
      <x:c r="O737" s="36" t="n">
        <x:v>0</x:v>
      </x:c>
      <x:c r="P737" s="43" t="n">
        <x:v>315863040</x:v>
      </x:c>
      <x:c r="Q737" s="43" t="n">
        <x:v>342884352</x:v>
      </x:c>
      <x:c r="R737" s="43" t="n">
        <x:v>502842368</x:v>
      </x:c>
      <x:c r="S737" s="36" t="n">
        <x:v>2</x:v>
      </x:c>
      <x:c r="T737" s="44" t="str">
        <x:v>0x00000000351177b8  0x0000000035003818  0x00007e5ca8190880    4289  20431872  20422008  org.apache.catalina.loader.ParallelWebappClassLoader | 0x00000000351177b8  0x0000000035003818  0x00007e5d40615ff0       0         0         0  org.apache.catalina.loader.ParallelWebappClassLoader</x:v>
      </x:c>
      <x:c r="U737" s="36" t="n">
        <x:v>27</x:v>
      </x:c>
      <x:c r="V737" s="36" t="n">
        <x:v>0</x:v>
      </x:c>
      <x:c r="W737" s="44"/>
      <x:c r="X737" s="36"/>
      <x:c r="Y737" s="36"/>
      <x:c r="Z737" s="44"/>
      <x:c r="AA737" s="49"/>
      <x:c r="AB737" s="43"/>
      <x:c r="AC737" s="34"/>
      <x:c r="AD737" s="34"/>
      <x:c r="AE737" s="34"/>
      <x:c r="AF737" s="34"/>
      <x:c r="AG737" s="34"/>
      <x:c r="AH737" s="34"/>
      <x:c r="AI737" s="34"/>
    </x:row>
    <x:row r="738">
      <x:c r="A738" s="34" t="str">
        <x:v>article1-unified-v4-2-fb3f101b-20260903-000401-default-f03-p6-nostore</x:v>
      </x:c>
      <x:c r="B738" s="34" t="str">
        <x:v>default</x:v>
      </x:c>
      <x:c r="C738" s="34" t="str">
        <x:v>nostore</x:v>
      </x:c>
      <x:c r="D738" s="34" t="str">
        <x:v>nostore</x:v>
      </x:c>
      <x:c r="E738" s="36" t="n">
        <x:v>3</x:v>
      </x:c>
      <x:c r="F738" s="36" t="n">
        <x:v>3</x:v>
      </x:c>
      <x:c r="G738" s="36" t="n">
        <x:v>6</x:v>
      </x:c>
      <x:c r="H738" s="36" t="n">
        <x:v>5</x:v>
      </x:c>
      <x:c r="I738" s="34" t="str">
        <x:v>afterFinalUndeployEarly</x:v>
      </x:c>
      <x:c r="J738" s="34" t="str">
        <x:v>after-final-undeploy-early</x:v>
      </x:c>
      <x:c r="K738" s="36" t="n">
        <x:v>2</x:v>
      </x:c>
      <x:c r="L738" s="34" t="str">
        <x:v>early</x:v>
      </x:c>
      <x:c r="M738" s="34" t="str">
        <x:v>article1-unified-v4-2-fb3f101b-20260903-000401-default-f03-p6-nostore-5-after-final-undeploy-early-2s</x:v>
      </x:c>
      <x:c r="N738" s="38" t="n">
        <x:v>46268.02443467593</x:v>
      </x:c>
      <x:c r="O738" s="36"/>
      <x:c r="P738" s="43"/>
      <x:c r="Q738" s="43"/>
      <x:c r="R738" s="43"/>
      <x:c r="S738" s="36"/>
      <x:c r="T738" s="44"/>
      <x:c r="U738" s="36" t="n">
        <x:v>27</x:v>
      </x:c>
      <x:c r="V738" s="36" t="n">
        <x:v>0</x:v>
      </x:c>
      <x:c r="W738" s="44"/>
      <x:c r="X738" s="36"/>
      <x:c r="Y738" s="36"/>
      <x:c r="Z738" s="44"/>
      <x:c r="AA738" s="49"/>
      <x:c r="AB738" s="43" t="n">
        <x:v>1</x:v>
      </x:c>
      <x:c r="AC738" s="34"/>
      <x:c r="AD738" s="34"/>
      <x:c r="AE738" s="34" t="str">
        <x:v>article1-unified-v4-2-fb3f101b-20260903-000401-default-f03-p6-nostore-5-after-final-undeploy-early-2s-thread-dump.txt</x:v>
      </x:c>
      <x:c r="AF738" s="34" t="str">
        <x:v>article1-unified-v4-2-fb3f101b-20260903-000401-default-f03-p6-nostore-5-after-final-undeploy-early-tomcat-log.txt</x:v>
      </x:c>
      <x:c r="AG738" s="34"/>
      <x:c r="AH738" s="34"/>
      <x:c r="AI738" s="34"/>
    </x:row>
    <x:row r="739">
      <x:c r="A739" s="34" t="str">
        <x:v>article1-unified-v4-2-fb3f101b-20260903-000401-default-f03-p6-nostore</x:v>
      </x:c>
      <x:c r="B739" s="34" t="str">
        <x:v>default</x:v>
      </x:c>
      <x:c r="C739" s="34" t="str">
        <x:v>nostore</x:v>
      </x:c>
      <x:c r="D739" s="34" t="str">
        <x:v>nostore</x:v>
      </x:c>
      <x:c r="E739" s="36" t="n">
        <x:v>3</x:v>
      </x:c>
      <x:c r="F739" s="36" t="n">
        <x:v>3</x:v>
      </x:c>
      <x:c r="G739" s="36" t="n">
        <x:v>6</x:v>
      </x:c>
      <x:c r="H739" s="36" t="n">
        <x:v>5</x:v>
      </x:c>
      <x:c r="I739" s="34" t="str">
        <x:v>afterFinalUndeploy</x:v>
      </x:c>
      <x:c r="J739" s="34" t="str">
        <x:v>after-final-undeploy-final</x:v>
      </x:c>
      <x:c r="K739" s="36" t="n">
        <x:v>2</x:v>
      </x:c>
      <x:c r="L739" s="34" t="str">
        <x:v>final</x:v>
      </x:c>
      <x:c r="M739" s="34" t="str">
        <x:v>article1-unified-v4-2-fb3f101b-20260903-000401-default-f03-p6-nostore-5-after-final-undeploy-final-10s</x:v>
      </x:c>
      <x:c r="N739" s="38" t="n">
        <x:v>46268.024590127316</x:v>
      </x:c>
      <x:c r="O739" s="36" t="n">
        <x:v>2</x:v>
      </x:c>
      <x:c r="P739" s="43" t="n">
        <x:v>15480832</x:v>
      </x:c>
      <x:c r="Q739" s="43" t="n">
        <x:v>268435456</x:v>
      </x:c>
      <x:c r="R739" s="43" t="n">
        <x:v>426430464</x:v>
      </x:c>
      <x:c r="S739" s="36" t="n">
        <x:v>2</x:v>
      </x:c>
      <x:c r="T739" s="44" t="str">
        <x:v>0x00000000351177b8  0x0000000035003818  0x00007e5ca8190880    4297  20464640  20446680  org.apache.catalina.loader.ParallelWebappClassLoader | 0x00000000351177b8  0x0000000035003818  0x00007e5d40615ff0       0         0         0  org.apache.catalina.loader.ParallelWebappClassLoader</x:v>
      </x:c>
      <x:c r="U739" s="36" t="n">
        <x:v>27</x:v>
      </x:c>
      <x:c r="V739" s="36" t="n">
        <x:v>0</x:v>
      </x:c>
      <x:c r="W739" s="44"/>
      <x:c r="X739" s="36" t="n">
        <x:v>1</x:v>
      </x:c>
      <x:c r="Y739" s="36" t="n">
        <x:v>1</x:v>
      </x:c>
      <x:c r="Z739" s="44" t="str">
        <x:v>/nostore</x:v>
      </x:c>
      <x:c r="AA739" s="45" t="b">
        <x:v>1</x:v>
      </x:c>
      <x:c r="AB739" s="43"/>
      <x:c r="AC739" s="34" t="str">
        <x:v>article1-unified-v4-2-fb3f101b-20260903-000401-default-f03-p6-nostore-5-after-final-undeploy-final-10s-heap-info.txt</x:v>
      </x:c>
      <x:c r="AD739" s="34" t="str">
        <x:v>article1-unified-v4-2-fb3f101b-20260903-000401-default-f03-p6-nostore-5-after-final-undeploy-final-10s-classloader-stats.txt</x:v>
      </x:c>
      <x:c r="AE739" s="34" t="str">
        <x:v>article1-unified-v4-2-fb3f101b-20260903-000401-default-f03-p6-nostore-5-after-final-undeploy-final-10s-thread-dump.txt</x:v>
      </x:c>
      <x:c r="AF739" s="34"/>
      <x:c r="AG739" s="34" t="str">
        <x:v>article1-unified-v4-2-fb3f101b-20260903-000401-default-f03-p6-nostore-5-after-final-undeploy-final-10s-native-memory.txt</x:v>
      </x:c>
      <x:c r="AH739" s="34" t="str">
        <x:v>article1-unified-v4-2-fb3f101b-20260903-000401-default-f03-p6-nostore-5-after-final-undeploy-final-10s-class-histogram.txt</x:v>
      </x:c>
      <x:c r="AI739" s="34" t="str">
        <x:v>article1-unified-v4-2-fb3f101b-20260903-000401-default-f03-p6-nostore-5-after-final-undeploy-tomcat-findleaks.txt</x:v>
      </x:c>
    </x:row>
    <x:row r="740">
      <x:c r="A740" s="34" t="str">
        <x:v>article1-unified-v4-2-fb3f101b-20260903-000401-default-f04-p1-jcs4</x:v>
      </x:c>
      <x:c r="B740" s="34" t="str">
        <x:v>default</x:v>
      </x:c>
      <x:c r="C740" s="34" t="str">
        <x:v>jcs4</x:v>
      </x:c>
      <x:c r="D740" s="34" t="str">
        <x:v>jcs4</x:v>
      </x:c>
      <x:c r="E740" s="36" t="n">
        <x:v>4</x:v>
      </x:c>
      <x:c r="F740" s="36" t="n">
        <x:v>4</x:v>
      </x:c>
      <x:c r="G740" s="36" t="n">
        <x:v>1</x:v>
      </x:c>
      <x:c r="H740" s="36" t="n">
        <x:v>0</x:v>
      </x:c>
      <x:c r="I740" s="34" t="str">
        <x:v>processBaseline</x:v>
      </x:c>
      <x:c r="J740" s="34" t="str">
        <x:v>process-baseline</x:v>
      </x:c>
      <x:c r="K740" s="36" t="n">
        <x:v>0</x:v>
      </x:c>
      <x:c r="L740" s="34" t="str">
        <x:v>baseline</x:v>
      </x:c>
      <x:c r="M740" s="34" t="str">
        <x:v>article1-unified-v4-2-fb3f101b-20260903-000401-default-f04-p1-jcs4-process-baseline</x:v>
      </x:c>
      <x:c r="N740" s="38" t="n">
        <x:v>46268.024830856484</x:v>
      </x:c>
      <x:c r="O740" s="36" t="n">
        <x:v>0</x:v>
      </x:c>
      <x:c r="P740" s="43" t="n">
        <x:v>32786432</x:v>
      </x:c>
      <x:c r="Q740" s="43" t="n">
        <x:v>270532608</x:v>
      </x:c>
      <x:c r="R740" s="43" t="n">
        <x:v>369183744</x:v>
      </x:c>
      <x:c r="S740" s="36" t="n">
        <x:v>1</x:v>
      </x:c>
      <x:c r="T740" s="44" t="str">
        <x:v>0x000000000d1177b8  0x000000000d003818  0x00007909d05f5310       0         0         0  org.apache.catalina.loader.ParallelWebappClassLoader</x:v>
      </x:c>
      <x:c r="U740" s="36" t="n">
        <x:v>27</x:v>
      </x:c>
      <x:c r="V740" s="36" t="n">
        <x:v>0</x:v>
      </x:c>
      <x:c r="W740" s="44"/>
      <x:c r="X740" s="36"/>
      <x:c r="Y740" s="36"/>
      <x:c r="Z740" s="44"/>
      <x:c r="AA740" s="49"/>
      <x:c r="AB740" s="43"/>
      <x:c r="AC740" s="34" t="str">
        <x:v>article1-unified-v4-2-fb3f101b-20260903-000401-default-f04-p1-jcs4-process-baseline-heap-info.txt</x:v>
      </x:c>
      <x:c r="AD740" s="34" t="str">
        <x:v>article1-unified-v4-2-fb3f101b-20260903-000401-default-f04-p1-jcs4-process-baseline-classloader-stats.txt</x:v>
      </x:c>
      <x:c r="AE740" s="34" t="str">
        <x:v>article1-unified-v4-2-fb3f101b-20260903-000401-default-f04-p1-jcs4-process-baseline-thread-dump.txt</x:v>
      </x:c>
      <x:c r="AF740" s="34"/>
      <x:c r="AG740" s="34" t="str">
        <x:v>article1-unified-v4-2-fb3f101b-20260903-000401-default-f04-p1-jcs4-process-baseline-native-memory.txt</x:v>
      </x:c>
      <x:c r="AH740" s="34"/>
      <x:c r="AI740" s="34"/>
    </x:row>
    <x:row r="741">
      <x:c r="A741" s="34" t="str">
        <x:v>article1-unified-v4-2-fb3f101b-20260903-000401-default-f04-p1-jcs4</x:v>
      </x:c>
      <x:c r="B741" s="34" t="str">
        <x:v>default</x:v>
      </x:c>
      <x:c r="C741" s="34" t="str">
        <x:v>jcs4</x:v>
      </x:c>
      <x:c r="D741" s="34" t="str">
        <x:v>jcs4</x:v>
      </x:c>
      <x:c r="E741" s="36" t="n">
        <x:v>4</x:v>
      </x:c>
      <x:c r="F741" s="36" t="n">
        <x:v>4</x:v>
      </x:c>
      <x:c r="G741" s="36" t="n">
        <x:v>1</x:v>
      </x:c>
      <x:c r="H741" s="36" t="n">
        <x:v>1</x:v>
      </x:c>
      <x:c r="I741" s="34" t="str">
        <x:v>baseline</x:v>
      </x:c>
      <x:c r="J741" s="34" t="str">
        <x:v>cycle-baseline</x:v>
      </x:c>
      <x:c r="K741" s="36" t="n">
        <x:v>0</x:v>
      </x:c>
      <x:c r="L741" s="34" t="str">
        <x:v>baseline</x:v>
      </x:c>
      <x:c r="M741" s="34" t="str">
        <x:v>article1-unified-v4-2-fb3f101b-20260903-000401-default-f04-p1-jcs4-1-baseline</x:v>
      </x:c>
      <x:c r="N741" s="38" t="n">
        <x:v>46268.02501321759</x:v>
      </x:c>
      <x:c r="O741" s="36" t="n">
        <x:v>0</x:v>
      </x:c>
      <x:c r="P741" s="43" t="n">
        <x:v>33310720</x:v>
      </x:c>
      <x:c r="Q741" s="43" t="n">
        <x:v>270532608</x:v>
      </x:c>
      <x:c r="R741" s="43" t="n">
        <x:v>369768448</x:v>
      </x:c>
      <x:c r="S741" s="36" t="n">
        <x:v>1</x:v>
      </x:c>
      <x:c r="T741" s="44" t="str">
        <x:v>0x000000000d1177b8  0x000000000d003818  0x00007909d05f5310       0         0         0  org.apache.catalina.loader.ParallelWebappClassLoader</x:v>
      </x:c>
      <x:c r="U741" s="36" t="n">
        <x:v>27</x:v>
      </x:c>
      <x:c r="V741" s="36" t="n">
        <x:v>0</x:v>
      </x:c>
      <x:c r="W741" s="44"/>
      <x:c r="X741" s="36"/>
      <x:c r="Y741" s="36"/>
      <x:c r="Z741" s="44"/>
      <x:c r="AA741" s="49"/>
      <x:c r="AB741" s="43"/>
      <x:c r="AC741" s="34" t="str">
        <x:v>article1-unified-v4-2-fb3f101b-20260903-000401-default-f04-p1-jcs4-1-baseline-heap-info.txt</x:v>
      </x:c>
      <x:c r="AD741" s="34" t="str">
        <x:v>article1-unified-v4-2-fb3f101b-20260903-000401-default-f04-p1-jcs4-1-baseline-classloader-stats.txt</x:v>
      </x:c>
      <x:c r="AE741" s="34" t="str">
        <x:v>article1-unified-v4-2-fb3f101b-20260903-000401-default-f04-p1-jcs4-1-baseline-thread-dump.txt</x:v>
      </x:c>
      <x:c r="AF741" s="34"/>
      <x:c r="AG741" s="34" t="str">
        <x:v>article1-unified-v4-2-fb3f101b-20260903-000401-default-f04-p1-jcs4-1-baseline-native-memory.txt</x:v>
      </x:c>
      <x:c r="AH741" s="34"/>
      <x:c r="AI741" s="34"/>
    </x:row>
    <x:row r="742">
      <x:c r="A742" s="34" t="str">
        <x:v>article1-unified-v4-2-fb3f101b-20260903-000401-default-f04-p1-jcs4</x:v>
      </x:c>
      <x:c r="B742" s="34" t="str">
        <x:v>default</x:v>
      </x:c>
      <x:c r="C742" s="34" t="str">
        <x:v>jcs4</x:v>
      </x:c>
      <x:c r="D742" s="34" t="str">
        <x:v>jcs4</x:v>
      </x:c>
      <x:c r="E742" s="36" t="n">
        <x:v>4</x:v>
      </x:c>
      <x:c r="F742" s="36" t="n">
        <x:v>4</x:v>
      </x:c>
      <x:c r="G742" s="36" t="n">
        <x:v>1</x:v>
      </x:c>
      <x:c r="H742" s="36" t="n">
        <x:v>1</x:v>
      </x:c>
      <x:c r="I742" s="34" t="str">
        <x:v>deployedIdle</x:v>
      </x:c>
      <x:c r="J742" s="34" t="str">
        <x:v>deployed-idle</x:v>
      </x:c>
      <x:c r="K742" s="36" t="n">
        <x:v>0</x:v>
      </x:c>
      <x:c r="L742" s="34" t="str">
        <x:v>initial</x:v>
      </x:c>
      <x:c r="M742" s="34" t="str">
        <x:v>article1-unified-v4-2-fb3f101b-20260903-000401-default-f04-p1-jcs4-1-deployed-idle</x:v>
      </x:c>
      <x:c r="N742" s="38" t="n">
        <x:v>46268.02512704861</x:v>
      </x:c>
      <x:c r="O742" s="36" t="n">
        <x:v>0</x:v>
      </x:c>
      <x:c r="P742" s="43" t="n">
        <x:v>23363584</x:v>
      </x:c>
      <x:c r="Q742" s="43" t="n">
        <x:v>268435456</x:v>
      </x:c>
      <x:c r="R742" s="43" t="n">
        <x:v>412719104</x:v>
      </x:c>
      <x:c r="S742" s="36" t="n">
        <x:v>2</x:v>
      </x:c>
      <x:c r="T742" s="44" t="str">
        <x:v>0x000000000d1177b8  0x000000000d003818  0x00007909240441c0    4091  19430400  19412376  org.apache.catalina.loader.ParallelWebappClassLoader | 0x000000000d1177b8  0x000000000d003818  0x00007909d05f5310       0         0         0  org.apache.catalina.loader.ParallelWebappClassLoader</x:v>
      </x:c>
      <x:c r="U742" s="36" t="n">
        <x:v>27</x:v>
      </x:c>
      <x:c r="V742" s="36" t="n">
        <x:v>0</x:v>
      </x:c>
      <x:c r="W742" s="44"/>
      <x:c r="X742" s="36"/>
      <x:c r="Y742" s="36"/>
      <x:c r="Z742" s="44"/>
      <x:c r="AA742" s="49"/>
      <x:c r="AB742" s="43"/>
      <x:c r="AC742" s="34"/>
      <x:c r="AD742" s="34"/>
      <x:c r="AE742" s="34"/>
      <x:c r="AF742" s="34"/>
      <x:c r="AG742" s="34"/>
      <x:c r="AH742" s="34"/>
      <x:c r="AI742" s="34"/>
    </x:row>
    <x:row r="743">
      <x:c r="A743" s="34" t="str">
        <x:v>article1-unified-v4-2-fb3f101b-20260903-000401-default-f04-p1-jcs4</x:v>
      </x:c>
      <x:c r="B743" s="34" t="str">
        <x:v>default</x:v>
      </x:c>
      <x:c r="C743" s="34" t="str">
        <x:v>jcs4</x:v>
      </x:c>
      <x:c r="D743" s="34" t="str">
        <x:v>jcs4</x:v>
      </x:c>
      <x:c r="E743" s="36" t="n">
        <x:v>4</x:v>
      </x:c>
      <x:c r="F743" s="36" t="n">
        <x:v>4</x:v>
      </x:c>
      <x:c r="G743" s="36" t="n">
        <x:v>1</x:v>
      </x:c>
      <x:c r="H743" s="36" t="n">
        <x:v>1</x:v>
      </x:c>
      <x:c r="I743" s="34" t="str">
        <x:v>loaded</x:v>
      </x:c>
      <x:c r="J743" s="34" t="str">
        <x:v>loaded</x:v>
      </x:c>
      <x:c r="K743" s="36" t="n">
        <x:v>0</x:v>
      </x:c>
      <x:c r="L743" s="34" t="str">
        <x:v>initial</x:v>
      </x:c>
      <x:c r="M743" s="34" t="str">
        <x:v>article1-unified-v4-2-fb3f101b-20260903-000401-default-f04-p1-jcs4-1-loaded</x:v>
      </x:c>
      <x:c r="N743" s="38" t="n">
        <x:v>46268.02527225694</x:v>
      </x:c>
      <x:c r="O743" s="36" t="n">
        <x:v>0</x:v>
      </x:c>
      <x:c r="P743" s="43" t="n">
        <x:v>167715840</x:v>
      </x:c>
      <x:c r="Q743" s="43" t="n">
        <x:v>268435456</x:v>
      </x:c>
      <x:c r="R743" s="43" t="n">
        <x:v>410435584</x:v>
      </x:c>
      <x:c r="S743" s="36" t="n">
        <x:v>2</x:v>
      </x:c>
      <x:c r="T743" s="44" t="str">
        <x:v>0x000000000d1177b8  0x000000000d003818  0x00007909d05f5310       0         0         0  org.apache.catalina.loader.ParallelWebappClassLoader | 0x000000000d1177b8  0x000000000d003818  0x00007909240441c0    4402  20916224  20899040  org.apache.catalina.loader.ParallelWebappClassLoader</x:v>
      </x:c>
      <x:c r="U743" s="36" t="n">
        <x:v>28</x:v>
      </x:c>
      <x:c r="V743" s="36" t="n">
        <x:v>1</x:v>
      </x:c>
      <x:c r="W743" s="44" t="str">
        <x:v>jcs4-thread-pool-event-queue:JCS-ThreadPoolManager-ElementEventQueue-Thread-4#49</x:v>
      </x:c>
      <x:c r="X743" s="36"/>
      <x:c r="Y743" s="36"/>
      <x:c r="Z743" s="44"/>
      <x:c r="AA743" s="49"/>
      <x:c r="AB743" s="43"/>
      <x:c r="AC743" s="34"/>
      <x:c r="AD743" s="34"/>
      <x:c r="AE743" s="34"/>
      <x:c r="AF743" s="34"/>
      <x:c r="AG743" s="34"/>
      <x:c r="AH743" s="34"/>
      <x:c r="AI743" s="34"/>
    </x:row>
    <x:row r="744">
      <x:c r="A744" s="34" t="str">
        <x:v>article1-unified-v4-2-fb3f101b-20260903-000401-default-f04-p1-jcs4</x:v>
      </x:c>
      <x:c r="B744" s="34" t="str">
        <x:v>default</x:v>
      </x:c>
      <x:c r="C744" s="34" t="str">
        <x:v>jcs4</x:v>
      </x:c>
      <x:c r="D744" s="34" t="str">
        <x:v>jcs4</x:v>
      </x:c>
      <x:c r="E744" s="36" t="n">
        <x:v>4</x:v>
      </x:c>
      <x:c r="F744" s="36" t="n">
        <x:v>4</x:v>
      </x:c>
      <x:c r="G744" s="36" t="n">
        <x:v>1</x:v>
      </x:c>
      <x:c r="H744" s="36" t="n">
        <x:v>1</x:v>
      </x:c>
      <x:c r="I744" s="34" t="str">
        <x:v>afterUndeployEarly</x:v>
      </x:c>
      <x:c r="J744" s="34" t="str">
        <x:v>after-undeploy-early</x:v>
      </x:c>
      <x:c r="K744" s="36" t="n">
        <x:v>1</x:v>
      </x:c>
      <x:c r="L744" s="34" t="str">
        <x:v>early</x:v>
      </x:c>
      <x:c r="M744" s="34" t="str">
        <x:v>article1-unified-v4-2-fb3f101b-20260903-000401-default-f04-p1-jcs4-1-after-undeploy-early-2s</x:v>
      </x:c>
      <x:c r="N744" s="38" t="n">
        <x:v>46268.02535888889</x:v>
      </x:c>
      <x:c r="O744" s="36"/>
      <x:c r="P744" s="43"/>
      <x:c r="Q744" s="43"/>
      <x:c r="R744" s="43"/>
      <x:c r="S744" s="36"/>
      <x:c r="T744" s="44"/>
      <x:c r="U744" s="36" t="n">
        <x:v>27</x:v>
      </x:c>
      <x:c r="V744" s="36" t="n">
        <x:v>0</x:v>
      </x:c>
      <x:c r="W744" s="44"/>
      <x:c r="X744" s="36"/>
      <x:c r="Y744" s="36"/>
      <x:c r="Z744" s="44"/>
      <x:c r="AA744" s="49"/>
      <x:c r="AB744" s="43" t="n">
        <x:v>5</x:v>
      </x:c>
      <x:c r="AC744" s="34"/>
      <x:c r="AD744" s="34"/>
      <x:c r="AE744" s="34" t="str">
        <x:v>article1-unified-v4-2-fb3f101b-20260903-000401-default-f04-p1-jcs4-1-after-undeploy-early-2s-thread-dump.txt</x:v>
      </x:c>
      <x:c r="AF744" s="34" t="str">
        <x:v>article1-unified-v4-2-fb3f101b-20260903-000401-default-f04-p1-jcs4-1-after-undeploy-early-tomcat-log.txt</x:v>
      </x:c>
      <x:c r="AG744" s="34"/>
      <x:c r="AH744" s="34"/>
      <x:c r="AI744" s="34"/>
    </x:row>
    <x:row r="745">
      <x:c r="A745" s="34" t="str">
        <x:v>article1-unified-v4-2-fb3f101b-20260903-000401-default-f04-p1-jcs4</x:v>
      </x:c>
      <x:c r="B745" s="34" t="str">
        <x:v>default</x:v>
      </x:c>
      <x:c r="C745" s="34" t="str">
        <x:v>jcs4</x:v>
      </x:c>
      <x:c r="D745" s="34" t="str">
        <x:v>jcs4</x:v>
      </x:c>
      <x:c r="E745" s="36" t="n">
        <x:v>4</x:v>
      </x:c>
      <x:c r="F745" s="36" t="n">
        <x:v>4</x:v>
      </x:c>
      <x:c r="G745" s="36" t="n">
        <x:v>1</x:v>
      </x:c>
      <x:c r="H745" s="36" t="n">
        <x:v>1</x:v>
      </x:c>
      <x:c r="I745" s="34" t="str">
        <x:v>afterUndeploy</x:v>
      </x:c>
      <x:c r="J745" s="34" t="str">
        <x:v>after-undeploy-final</x:v>
      </x:c>
      <x:c r="K745" s="36" t="n">
        <x:v>1</x:v>
      </x:c>
      <x:c r="L745" s="34" t="str">
        <x:v>final</x:v>
      </x:c>
      <x:c r="M745" s="34" t="str">
        <x:v>article1-unified-v4-2-fb3f101b-20260903-000401-default-f04-p1-jcs4-1-after-undeploy-final-10s</x:v>
      </x:c>
      <x:c r="N745" s="38" t="n">
        <x:v>46268.02551</x:v>
      </x:c>
      <x:c r="O745" s="36" t="n">
        <x:v>2</x:v>
      </x:c>
      <x:c r="P745" s="43" t="n">
        <x:v>15609856</x:v>
      </x:c>
      <x:c r="Q745" s="43" t="n">
        <x:v>268435456</x:v>
      </x:c>
      <x:c r="R745" s="43" t="n">
        <x:v>409120768</x:v>
      </x:c>
      <x:c r="S745" s="36" t="n">
        <x:v>2</x:v>
      </x:c>
      <x:c r="T745" s="44" t="str">
        <x:v>0x000000000d1177b8  0x000000000d003818  0x00007909d05f5310       0         0         0  org.apache.catalina.loader.ParallelWebappClassLoader | 0x000000000d1177b8  0x000000000d003818  0x00007909240441c0    4416  20950016  20934432  org.apache.catalina.loader.ParallelWebappClassLoader</x:v>
      </x:c>
      <x:c r="U745" s="36" t="n">
        <x:v>27</x:v>
      </x:c>
      <x:c r="V745" s="36" t="n">
        <x:v>0</x:v>
      </x:c>
      <x:c r="W745" s="44"/>
      <x:c r="X745" s="36" t="n">
        <x:v>1</x:v>
      </x:c>
      <x:c r="Y745" s="36" t="n">
        <x:v>1</x:v>
      </x:c>
      <x:c r="Z745" s="44" t="str">
        <x:v>/jcs4</x:v>
      </x:c>
      <x:c r="AA745" s="45" t="b">
        <x:v>1</x:v>
      </x:c>
      <x:c r="AB745" s="43"/>
      <x:c r="AC745" s="34" t="str">
        <x:v>article1-unified-v4-2-fb3f101b-20260903-000401-default-f04-p1-jcs4-1-after-undeploy-final-10s-heap-info.txt</x:v>
      </x:c>
      <x:c r="AD745" s="34" t="str">
        <x:v>article1-unified-v4-2-fb3f101b-20260903-000401-default-f04-p1-jcs4-1-after-undeploy-final-10s-classloader-stats.txt</x:v>
      </x:c>
      <x:c r="AE745" s="34" t="str">
        <x:v>article1-unified-v4-2-fb3f101b-20260903-000401-default-f04-p1-jcs4-1-after-undeploy-final-10s-thread-dump.txt</x:v>
      </x:c>
      <x:c r="AF745" s="34"/>
      <x:c r="AG745" s="34" t="str">
        <x:v>article1-unified-v4-2-fb3f101b-20260903-000401-default-f04-p1-jcs4-1-after-undeploy-final-10s-native-memory.txt</x:v>
      </x:c>
      <x:c r="AH745" s="34" t="str">
        <x:v>article1-unified-v4-2-fb3f101b-20260903-000401-default-f04-p1-jcs4-1-after-undeploy-final-10s-class-histogram.txt</x:v>
      </x:c>
      <x:c r="AI745" s="34" t="str">
        <x:v>article1-unified-v4-2-fb3f101b-20260903-000401-default-f04-p1-jcs4-1-after-undeploy-tomcat-findleaks.txt</x:v>
      </x:c>
    </x:row>
    <x:row r="746">
      <x:c r="A746" s="34" t="str">
        <x:v>article1-unified-v4-2-fb3f101b-20260903-000401-default-f04-p1-jcs4</x:v>
      </x:c>
      <x:c r="B746" s="34" t="str">
        <x:v>default</x:v>
      </x:c>
      <x:c r="C746" s="34" t="str">
        <x:v>jcs4</x:v>
      </x:c>
      <x:c r="D746" s="34" t="str">
        <x:v>jcs4</x:v>
      </x:c>
      <x:c r="E746" s="36" t="n">
        <x:v>4</x:v>
      </x:c>
      <x:c r="F746" s="36" t="n">
        <x:v>4</x:v>
      </x:c>
      <x:c r="G746" s="36" t="n">
        <x:v>1</x:v>
      </x:c>
      <x:c r="H746" s="36" t="n">
        <x:v>1</x:v>
      </x:c>
      <x:c r="I746" s="34" t="str">
        <x:v>redeployedLoaded</x:v>
      </x:c>
      <x:c r="J746" s="34" t="str">
        <x:v>redeployed-loaded</x:v>
      </x:c>
      <x:c r="K746" s="36" t="n">
        <x:v>0</x:v>
      </x:c>
      <x:c r="L746" s="34" t="str">
        <x:v>redeploy</x:v>
      </x:c>
      <x:c r="M746" s="34" t="str">
        <x:v>article1-unified-v4-2-fb3f101b-20260903-000401-default-f04-p1-jcs4-1-redeployed-loaded</x:v>
      </x:c>
      <x:c r="N746" s="38" t="n">
        <x:v>46268.02577076389</x:v>
      </x:c>
      <x:c r="O746" s="36" t="n">
        <x:v>0</x:v>
      </x:c>
      <x:c r="P746" s="43" t="n">
        <x:v>133295104</x:v>
      </x:c>
      <x:c r="Q746" s="43" t="n">
        <x:v>268435456</x:v>
      </x:c>
      <x:c r="R746" s="43" t="n">
        <x:v>438170624</x:v>
      </x:c>
      <x:c r="S746" s="36" t="n">
        <x:v>3</x:v>
      </x:c>
      <x:c r="T746" s="44" t="str">
        <x:v>0x000000000d1177b8  0x000000000d003818  0x00007909d05f5310       0         0         0  org.apache.catalina.loader.ParallelWebappClassLoader | 0x000000000d1177b8  0x000000000d003818  0x00007909240441c0    4416  20950016  20934432  org.apache.catalina.loader.ParallelWebappClassLoader | 0x000000000d1177b8  0x000000000d003818  0x0000790938012b00    4390  20944896  20933192  org.apache.catalina.loader.ParallelWebappClassLoader</x:v>
      </x:c>
      <x:c r="U746" s="36" t="n">
        <x:v>28</x:v>
      </x:c>
      <x:c r="V746" s="36" t="n">
        <x:v>1</x:v>
      </x:c>
      <x:c r="W746" s="44" t="str">
        <x:v>jcs4-thread-pool-event-queue:JCS-ThreadPoolManager-ElementEventQueue-Thread-7#91</x:v>
      </x:c>
      <x:c r="X746" s="36"/>
      <x:c r="Y746" s="36"/>
      <x:c r="Z746" s="44"/>
      <x:c r="AA746" s="49"/>
      <x:c r="AB746" s="43"/>
      <x:c r="AC746" s="34"/>
      <x:c r="AD746" s="34"/>
      <x:c r="AE746" s="34"/>
      <x:c r="AF746" s="34"/>
      <x:c r="AG746" s="34"/>
      <x:c r="AH746" s="34"/>
      <x:c r="AI746" s="34"/>
    </x:row>
    <x:row r="747">
      <x:c r="A747" s="34" t="str">
        <x:v>article1-unified-v4-2-fb3f101b-20260903-000401-default-f04-p1-jcs4</x:v>
      </x:c>
      <x:c r="B747" s="34" t="str">
        <x:v>default</x:v>
      </x:c>
      <x:c r="C747" s="34" t="str">
        <x:v>jcs4</x:v>
      </x:c>
      <x:c r="D747" s="34" t="str">
        <x:v>jcs4</x:v>
      </x:c>
      <x:c r="E747" s="36" t="n">
        <x:v>4</x:v>
      </x:c>
      <x:c r="F747" s="36" t="n">
        <x:v>4</x:v>
      </x:c>
      <x:c r="G747" s="36" t="n">
        <x:v>1</x:v>
      </x:c>
      <x:c r="H747" s="36" t="n">
        <x:v>1</x:v>
      </x:c>
      <x:c r="I747" s="34" t="str">
        <x:v>afterFinalUndeployEarly</x:v>
      </x:c>
      <x:c r="J747" s="34" t="str">
        <x:v>after-final-undeploy-early</x:v>
      </x:c>
      <x:c r="K747" s="36" t="n">
        <x:v>2</x:v>
      </x:c>
      <x:c r="L747" s="34" t="str">
        <x:v>early</x:v>
      </x:c>
      <x:c r="M747" s="34" t="str">
        <x:v>article1-unified-v4-2-fb3f101b-20260903-000401-default-f04-p1-jcs4-1-after-final-undeploy-early-2s</x:v>
      </x:c>
      <x:c r="N747" s="38" t="n">
        <x:v>46268.0258527662</x:v>
      </x:c>
      <x:c r="O747" s="36"/>
      <x:c r="P747" s="43"/>
      <x:c r="Q747" s="43"/>
      <x:c r="R747" s="43"/>
      <x:c r="S747" s="36"/>
      <x:c r="T747" s="44"/>
      <x:c r="U747" s="36" t="n">
        <x:v>27</x:v>
      </x:c>
      <x:c r="V747" s="36" t="n">
        <x:v>0</x:v>
      </x:c>
      <x:c r="W747" s="44"/>
      <x:c r="X747" s="36"/>
      <x:c r="Y747" s="36"/>
      <x:c r="Z747" s="44"/>
      <x:c r="AA747" s="49"/>
      <x:c r="AB747" s="43" t="n">
        <x:v>5</x:v>
      </x:c>
      <x:c r="AC747" s="34"/>
      <x:c r="AD747" s="34"/>
      <x:c r="AE747" s="34" t="str">
        <x:v>article1-unified-v4-2-fb3f101b-20260903-000401-default-f04-p1-jcs4-1-after-final-undeploy-early-2s-thread-dump.txt</x:v>
      </x:c>
      <x:c r="AF747" s="34" t="str">
        <x:v>article1-unified-v4-2-fb3f101b-20260903-000401-default-f04-p1-jcs4-1-after-final-undeploy-early-tomcat-log.txt</x:v>
      </x:c>
      <x:c r="AG747" s="34"/>
      <x:c r="AH747" s="34"/>
      <x:c r="AI747" s="34"/>
    </x:row>
    <x:row r="748">
      <x:c r="A748" s="34" t="str">
        <x:v>article1-unified-v4-2-fb3f101b-20260903-000401-default-f04-p1-jcs4</x:v>
      </x:c>
      <x:c r="B748" s="34" t="str">
        <x:v>default</x:v>
      </x:c>
      <x:c r="C748" s="34" t="str">
        <x:v>jcs4</x:v>
      </x:c>
      <x:c r="D748" s="34" t="str">
        <x:v>jcs4</x:v>
      </x:c>
      <x:c r="E748" s="36" t="n">
        <x:v>4</x:v>
      </x:c>
      <x:c r="F748" s="36" t="n">
        <x:v>4</x:v>
      </x:c>
      <x:c r="G748" s="36" t="n">
        <x:v>1</x:v>
      </x:c>
      <x:c r="H748" s="36" t="n">
        <x:v>1</x:v>
      </x:c>
      <x:c r="I748" s="34" t="str">
        <x:v>afterFinalUndeploy</x:v>
      </x:c>
      <x:c r="J748" s="34" t="str">
        <x:v>after-final-undeploy-final</x:v>
      </x:c>
      <x:c r="K748" s="36" t="n">
        <x:v>2</x:v>
      </x:c>
      <x:c r="L748" s="34" t="str">
        <x:v>final</x:v>
      </x:c>
      <x:c r="M748" s="34" t="str">
        <x:v>article1-unified-v4-2-fb3f101b-20260903-000401-default-f04-p1-jcs4-1-after-final-undeploy-final-10s</x:v>
      </x:c>
      <x:c r="N748" s="38" t="n">
        <x:v>46268.0260100463</x:v>
      </x:c>
      <x:c r="O748" s="36" t="n">
        <x:v>2</x:v>
      </x:c>
      <x:c r="P748" s="43" t="n">
        <x:v>15689728</x:v>
      </x:c>
      <x:c r="Q748" s="43" t="n">
        <x:v>268435456</x:v>
      </x:c>
      <x:c r="R748" s="43" t="n">
        <x:v>418949120</x:v>
      </x:c>
      <x:c r="S748" s="36" t="n">
        <x:v>2</x:v>
      </x:c>
      <x:c r="T748" s="44" t="str">
        <x:v>0x000000000d1177b8  0x000000000d003818  0x00007909d05f5310       0         0         0  org.apache.catalina.loader.ParallelWebappClassLoader | 0x000000000d1177b8  0x000000000d003818  0x0000790938012b00    4404  20994048  20968304  org.apache.catalina.loader.ParallelWebappClassLoader</x:v>
      </x:c>
      <x:c r="U748" s="36" t="n">
        <x:v>27</x:v>
      </x:c>
      <x:c r="V748" s="36" t="n">
        <x:v>0</x:v>
      </x:c>
      <x:c r="W748" s="44"/>
      <x:c r="X748" s="36" t="n">
        <x:v>1</x:v>
      </x:c>
      <x:c r="Y748" s="36" t="n">
        <x:v>1</x:v>
      </x:c>
      <x:c r="Z748" s="44" t="str">
        <x:v>/jcs4</x:v>
      </x:c>
      <x:c r="AA748" s="45" t="b">
        <x:v>1</x:v>
      </x:c>
      <x:c r="AB748" s="43"/>
      <x:c r="AC748" s="34" t="str">
        <x:v>article1-unified-v4-2-fb3f101b-20260903-000401-default-f04-p1-jcs4-1-after-final-undeploy-final-10s-heap-info.txt</x:v>
      </x:c>
      <x:c r="AD748" s="34" t="str">
        <x:v>article1-unified-v4-2-fb3f101b-20260903-000401-default-f04-p1-jcs4-1-after-final-undeploy-final-10s-classloader-stats.txt</x:v>
      </x:c>
      <x:c r="AE748" s="34" t="str">
        <x:v>article1-unified-v4-2-fb3f101b-20260903-000401-default-f04-p1-jcs4-1-after-final-undeploy-final-10s-thread-dump.txt</x:v>
      </x:c>
      <x:c r="AF748" s="34"/>
      <x:c r="AG748" s="34" t="str">
        <x:v>article1-unified-v4-2-fb3f101b-20260903-000401-default-f04-p1-jcs4-1-after-final-undeploy-final-10s-native-memory.txt</x:v>
      </x:c>
      <x:c r="AH748" s="34" t="str">
        <x:v>article1-unified-v4-2-fb3f101b-20260903-000401-default-f04-p1-jcs4-1-after-final-undeploy-final-10s-class-histogram.txt</x:v>
      </x:c>
      <x:c r="AI748" s="34" t="str">
        <x:v>article1-unified-v4-2-fb3f101b-20260903-000401-default-f04-p1-jcs4-1-after-final-undeploy-tomcat-findleaks.txt</x:v>
      </x:c>
    </x:row>
    <x:row r="749">
      <x:c r="A749" s="34" t="str">
        <x:v>article1-unified-v4-2-fb3f101b-20260903-000401-default-f04-p1-jcs4</x:v>
      </x:c>
      <x:c r="B749" s="34" t="str">
        <x:v>default</x:v>
      </x:c>
      <x:c r="C749" s="34" t="str">
        <x:v>jcs4</x:v>
      </x:c>
      <x:c r="D749" s="34" t="str">
        <x:v>jcs4</x:v>
      </x:c>
      <x:c r="E749" s="36" t="n">
        <x:v>4</x:v>
      </x:c>
      <x:c r="F749" s="36" t="n">
        <x:v>4</x:v>
      </x:c>
      <x:c r="G749" s="36" t="n">
        <x:v>1</x:v>
      </x:c>
      <x:c r="H749" s="36" t="n">
        <x:v>2</x:v>
      </x:c>
      <x:c r="I749" s="34" t="str">
        <x:v>baseline</x:v>
      </x:c>
      <x:c r="J749" s="34" t="str">
        <x:v>cycle-baseline</x:v>
      </x:c>
      <x:c r="K749" s="36" t="n">
        <x:v>0</x:v>
      </x:c>
      <x:c r="L749" s="34" t="str">
        <x:v>baseline</x:v>
      </x:c>
      <x:c r="M749" s="34" t="str">
        <x:v>article1-unified-v4-2-fb3f101b-20260903-000401-default-f04-p1-jcs4-2-baseline</x:v>
      </x:c>
      <x:c r="N749" s="38" t="n">
        <x:v>46268.02605153935</x:v>
      </x:c>
      <x:c r="O749" s="36" t="n">
        <x:v>0</x:v>
      </x:c>
      <x:c r="P749" s="43" t="n">
        <x:v>15689728</x:v>
      </x:c>
      <x:c r="Q749" s="43" t="n">
        <x:v>268435456</x:v>
      </x:c>
      <x:c r="R749" s="43" t="n">
        <x:v>417542144</x:v>
      </x:c>
      <x:c r="S749" s="36" t="n">
        <x:v>2</x:v>
      </x:c>
      <x:c r="T749" s="44" t="str">
        <x:v>0x000000000d1177b8  0x000000000d003818  0x00007909d05f5310       0         0         0  org.apache.catalina.loader.ParallelWebappClassLoader | 0x000000000d1177b8  0x000000000d003818  0x0000790938012b00    4404  20994048  20968304  org.apache.catalina.loader.ParallelWebappClassLoader</x:v>
      </x:c>
      <x:c r="U749" s="36" t="n">
        <x:v>27</x:v>
      </x:c>
      <x:c r="V749" s="36" t="n">
        <x:v>0</x:v>
      </x:c>
      <x:c r="W749" s="44"/>
      <x:c r="X749" s="36"/>
      <x:c r="Y749" s="36"/>
      <x:c r="Z749" s="44"/>
      <x:c r="AA749" s="49"/>
      <x:c r="AB749" s="43"/>
      <x:c r="AC749" s="34" t="str">
        <x:v>article1-unified-v4-2-fb3f101b-20260903-000401-default-f04-p1-jcs4-2-baseline-heap-info.txt</x:v>
      </x:c>
      <x:c r="AD749" s="34" t="str">
        <x:v>article1-unified-v4-2-fb3f101b-20260903-000401-default-f04-p1-jcs4-2-baseline-classloader-stats.txt</x:v>
      </x:c>
      <x:c r="AE749" s="34" t="str">
        <x:v>article1-unified-v4-2-fb3f101b-20260903-000401-default-f04-p1-jcs4-2-baseline-thread-dump.txt</x:v>
      </x:c>
      <x:c r="AF749" s="34"/>
      <x:c r="AG749" s="34" t="str">
        <x:v>article1-unified-v4-2-fb3f101b-20260903-000401-default-f04-p1-jcs4-2-baseline-native-memory.txt</x:v>
      </x:c>
      <x:c r="AH749" s="34"/>
      <x:c r="AI749" s="34"/>
    </x:row>
    <x:row r="750">
      <x:c r="A750" s="34" t="str">
        <x:v>article1-unified-v4-2-fb3f101b-20260903-000401-default-f04-p1-jcs4</x:v>
      </x:c>
      <x:c r="B750" s="34" t="str">
        <x:v>default</x:v>
      </x:c>
      <x:c r="C750" s="34" t="str">
        <x:v>jcs4</x:v>
      </x:c>
      <x:c r="D750" s="34" t="str">
        <x:v>jcs4</x:v>
      </x:c>
      <x:c r="E750" s="36" t="n">
        <x:v>4</x:v>
      </x:c>
      <x:c r="F750" s="36" t="n">
        <x:v>4</x:v>
      </x:c>
      <x:c r="G750" s="36" t="n">
        <x:v>1</x:v>
      </x:c>
      <x:c r="H750" s="36" t="n">
        <x:v>2</x:v>
      </x:c>
      <x:c r="I750" s="34" t="str">
        <x:v>deployedIdle</x:v>
      </x:c>
      <x:c r="J750" s="34" t="str">
        <x:v>deployed-idle</x:v>
      </x:c>
      <x:c r="K750" s="36" t="n">
        <x:v>0</x:v>
      </x:c>
      <x:c r="L750" s="34" t="str">
        <x:v>initial</x:v>
      </x:c>
      <x:c r="M750" s="34" t="str">
        <x:v>article1-unified-v4-2-fb3f101b-20260903-000401-default-f04-p1-jcs4-2-deployed-idle</x:v>
      </x:c>
      <x:c r="N750" s="38" t="n">
        <x:v>46268.026148206016</x:v>
      </x:c>
      <x:c r="O750" s="36" t="n">
        <x:v>0</x:v>
      </x:c>
      <x:c r="P750" s="43" t="n">
        <x:v>166973440</x:v>
      </x:c>
      <x:c r="Q750" s="43" t="n">
        <x:v>268435456</x:v>
      </x:c>
      <x:c r="R750" s="43" t="n">
        <x:v>435429376</x:v>
      </x:c>
      <x:c r="S750" s="36" t="n">
        <x:v>3</x:v>
      </x:c>
      <x:c r="T750" s="44" t="str">
        <x:v>0x000000000d1177b8  0x000000000d003818  0x00007909d05f5310       0         0         0  org.apache.catalina.loader.ParallelWebappClassLoader | 0x000000000d1177b8  0x000000000d003818  0x00007909100017d0    4091  19450880  19431512  org.apache.catalina.loader.ParallelWebappClassLoader | 0x000000000d1177b8  0x000000000d003818  0x0000790938012b00    4404  20994048  20968304  org.apache.catalina.loader.ParallelWebappClassLoader</x:v>
      </x:c>
      <x:c r="U750" s="36" t="n">
        <x:v>27</x:v>
      </x:c>
      <x:c r="V750" s="36" t="n">
        <x:v>0</x:v>
      </x:c>
      <x:c r="W750" s="44"/>
      <x:c r="X750" s="36"/>
      <x:c r="Y750" s="36"/>
      <x:c r="Z750" s="44"/>
      <x:c r="AA750" s="49"/>
      <x:c r="AB750" s="43"/>
      <x:c r="AC750" s="34"/>
      <x:c r="AD750" s="34"/>
      <x:c r="AE750" s="34"/>
      <x:c r="AF750" s="34"/>
      <x:c r="AG750" s="34"/>
      <x:c r="AH750" s="34"/>
      <x:c r="AI750" s="34"/>
    </x:row>
    <x:row r="751">
      <x:c r="A751" s="34" t="str">
        <x:v>article1-unified-v4-2-fb3f101b-20260903-000401-default-f04-p1-jcs4</x:v>
      </x:c>
      <x:c r="B751" s="34" t="str">
        <x:v>default</x:v>
      </x:c>
      <x:c r="C751" s="34" t="str">
        <x:v>jcs4</x:v>
      </x:c>
      <x:c r="D751" s="34" t="str">
        <x:v>jcs4</x:v>
      </x:c>
      <x:c r="E751" s="36" t="n">
        <x:v>4</x:v>
      </x:c>
      <x:c r="F751" s="36" t="n">
        <x:v>4</x:v>
      </x:c>
      <x:c r="G751" s="36" t="n">
        <x:v>1</x:v>
      </x:c>
      <x:c r="H751" s="36" t="n">
        <x:v>2</x:v>
      </x:c>
      <x:c r="I751" s="34" t="str">
        <x:v>loaded</x:v>
      </x:c>
      <x:c r="J751" s="34" t="str">
        <x:v>loaded</x:v>
      </x:c>
      <x:c r="K751" s="36" t="n">
        <x:v>0</x:v>
      </x:c>
      <x:c r="L751" s="34" t="str">
        <x:v>initial</x:v>
      </x:c>
      <x:c r="M751" s="34" t="str">
        <x:v>article1-unified-v4-2-fb3f101b-20260903-000401-default-f04-p1-jcs4-2-loaded</x:v>
      </x:c>
      <x:c r="N751" s="38" t="n">
        <x:v>46268.026299247686</x:v>
      </x:c>
      <x:c r="O751" s="36" t="n">
        <x:v>0</x:v>
      </x:c>
      <x:c r="P751" s="43" t="n">
        <x:v>163511296</x:v>
      </x:c>
      <x:c r="Q751" s="43" t="n">
        <x:v>268435456</x:v>
      </x:c>
      <x:c r="R751" s="43" t="n">
        <x:v>439630848</x:v>
      </x:c>
      <x:c r="S751" s="36" t="n">
        <x:v>3</x:v>
      </x:c>
      <x:c r="T751" s="44" t="str">
        <x:v>0x000000000d1177b8  0x000000000d003818  0x00007909d05f5310       0         0         0  org.apache.catalina.loader.ParallelWebappClassLoader | 0x000000000d1177b8  0x000000000d003818  0x00007909100017d0    4389  20940800  20935208  org.apache.catalina.loader.ParallelWebappClassLoader | 0x000000000d1177b8  0x000000000d003818  0x0000790938012b00    4404  20994048  20968304  org.apache.catalina.loader.ParallelWebappClassLoader</x:v>
      </x:c>
      <x:c r="U751" s="36" t="n">
        <x:v>28</x:v>
      </x:c>
      <x:c r="V751" s="36" t="n">
        <x:v>1</x:v>
      </x:c>
      <x:c r="W751" s="44" t="str">
        <x:v>jcs4-thread-pool-event-queue:JCS-ThreadPoolManager-ElementEventQueue-Thread-10#133</x:v>
      </x:c>
      <x:c r="X751" s="36"/>
      <x:c r="Y751" s="36"/>
      <x:c r="Z751" s="44"/>
      <x:c r="AA751" s="49"/>
      <x:c r="AB751" s="43"/>
      <x:c r="AC751" s="34"/>
      <x:c r="AD751" s="34"/>
      <x:c r="AE751" s="34"/>
      <x:c r="AF751" s="34"/>
      <x:c r="AG751" s="34"/>
      <x:c r="AH751" s="34"/>
      <x:c r="AI751" s="34"/>
    </x:row>
    <x:row r="752">
      <x:c r="A752" s="34" t="str">
        <x:v>article1-unified-v4-2-fb3f101b-20260903-000401-default-f04-p1-jcs4</x:v>
      </x:c>
      <x:c r="B752" s="34" t="str">
        <x:v>default</x:v>
      </x:c>
      <x:c r="C752" s="34" t="str">
        <x:v>jcs4</x:v>
      </x:c>
      <x:c r="D752" s="34" t="str">
        <x:v>jcs4</x:v>
      </x:c>
      <x:c r="E752" s="36" t="n">
        <x:v>4</x:v>
      </x:c>
      <x:c r="F752" s="36" t="n">
        <x:v>4</x:v>
      </x:c>
      <x:c r="G752" s="36" t="n">
        <x:v>1</x:v>
      </x:c>
      <x:c r="H752" s="36" t="n">
        <x:v>2</x:v>
      </x:c>
      <x:c r="I752" s="34" t="str">
        <x:v>afterUndeployEarly</x:v>
      </x:c>
      <x:c r="J752" s="34" t="str">
        <x:v>after-undeploy-early</x:v>
      </x:c>
      <x:c r="K752" s="36" t="n">
        <x:v>1</x:v>
      </x:c>
      <x:c r="L752" s="34" t="str">
        <x:v>early</x:v>
      </x:c>
      <x:c r="M752" s="34" t="str">
        <x:v>article1-unified-v4-2-fb3f101b-20260903-000401-default-f04-p1-jcs4-2-after-undeploy-early-2s</x:v>
      </x:c>
      <x:c r="N752" s="38" t="n">
        <x:v>46268.0263824537</x:v>
      </x:c>
      <x:c r="O752" s="36"/>
      <x:c r="P752" s="43"/>
      <x:c r="Q752" s="43"/>
      <x:c r="R752" s="43"/>
      <x:c r="S752" s="36"/>
      <x:c r="T752" s="44"/>
      <x:c r="U752" s="36" t="n">
        <x:v>27</x:v>
      </x:c>
      <x:c r="V752" s="36" t="n">
        <x:v>0</x:v>
      </x:c>
      <x:c r="W752" s="44"/>
      <x:c r="X752" s="36"/>
      <x:c r="Y752" s="36"/>
      <x:c r="Z752" s="44"/>
      <x:c r="AA752" s="49"/>
      <x:c r="AB752" s="43" t="n">
        <x:v>5</x:v>
      </x:c>
      <x:c r="AC752" s="34"/>
      <x:c r="AD752" s="34"/>
      <x:c r="AE752" s="34" t="str">
        <x:v>article1-unified-v4-2-fb3f101b-20260903-000401-default-f04-p1-jcs4-2-after-undeploy-early-2s-thread-dump.txt</x:v>
      </x:c>
      <x:c r="AF752" s="34" t="str">
        <x:v>article1-unified-v4-2-fb3f101b-20260903-000401-default-f04-p1-jcs4-2-after-undeploy-early-tomcat-log.txt</x:v>
      </x:c>
      <x:c r="AG752" s="34"/>
      <x:c r="AH752" s="34"/>
      <x:c r="AI752" s="34"/>
    </x:row>
    <x:row r="753">
      <x:c r="A753" s="34" t="str">
        <x:v>article1-unified-v4-2-fb3f101b-20260903-000401-default-f04-p1-jcs4</x:v>
      </x:c>
      <x:c r="B753" s="34" t="str">
        <x:v>default</x:v>
      </x:c>
      <x:c r="C753" s="34" t="str">
        <x:v>jcs4</x:v>
      </x:c>
      <x:c r="D753" s="34" t="str">
        <x:v>jcs4</x:v>
      </x:c>
      <x:c r="E753" s="36" t="n">
        <x:v>4</x:v>
      </x:c>
      <x:c r="F753" s="36" t="n">
        <x:v>4</x:v>
      </x:c>
      <x:c r="G753" s="36" t="n">
        <x:v>1</x:v>
      </x:c>
      <x:c r="H753" s="36" t="n">
        <x:v>2</x:v>
      </x:c>
      <x:c r="I753" s="34" t="str">
        <x:v>afterUndeploy</x:v>
      </x:c>
      <x:c r="J753" s="34" t="str">
        <x:v>after-undeploy-final</x:v>
      </x:c>
      <x:c r="K753" s="36" t="n">
        <x:v>1</x:v>
      </x:c>
      <x:c r="L753" s="34" t="str">
        <x:v>final</x:v>
      </x:c>
      <x:c r="M753" s="34" t="str">
        <x:v>article1-unified-v4-2-fb3f101b-20260903-000401-default-f04-p1-jcs4-2-after-undeploy-final-10s</x:v>
      </x:c>
      <x:c r="N753" s="38" t="n">
        <x:v>46268.02654143518</x:v>
      </x:c>
      <x:c r="O753" s="36" t="n">
        <x:v>2</x:v>
      </x:c>
      <x:c r="P753" s="43" t="n">
        <x:v>15772672</x:v>
      </x:c>
      <x:c r="Q753" s="43" t="n">
        <x:v>268435456</x:v>
      </x:c>
      <x:c r="R753" s="43" t="n">
        <x:v>415813632</x:v>
      </x:c>
      <x:c r="S753" s="36" t="n">
        <x:v>2</x:v>
      </x:c>
      <x:c r="T753" s="44" t="str">
        <x:v>0x000000000d1177b8  0x000000000d003818  0x00007909d05f5310       0         0         0  org.apache.catalina.loader.ParallelWebappClassLoader | 0x000000000d1177b8  0x000000000d003818  0x00007909100017d0    4403  20989952  20970600  org.apache.catalina.loader.ParallelWebappClassLoader</x:v>
      </x:c>
      <x:c r="U753" s="36" t="n">
        <x:v>27</x:v>
      </x:c>
      <x:c r="V753" s="36" t="n">
        <x:v>0</x:v>
      </x:c>
      <x:c r="W753" s="44"/>
      <x:c r="X753" s="36" t="n">
        <x:v>1</x:v>
      </x:c>
      <x:c r="Y753" s="36" t="n">
        <x:v>1</x:v>
      </x:c>
      <x:c r="Z753" s="44" t="str">
        <x:v>/jcs4</x:v>
      </x:c>
      <x:c r="AA753" s="45" t="b">
        <x:v>1</x:v>
      </x:c>
      <x:c r="AB753" s="43"/>
      <x:c r="AC753" s="34" t="str">
        <x:v>article1-unified-v4-2-fb3f101b-20260903-000401-default-f04-p1-jcs4-2-after-undeploy-final-10s-heap-info.txt</x:v>
      </x:c>
      <x:c r="AD753" s="34" t="str">
        <x:v>article1-unified-v4-2-fb3f101b-20260903-000401-default-f04-p1-jcs4-2-after-undeploy-final-10s-classloader-stats.txt</x:v>
      </x:c>
      <x:c r="AE753" s="34" t="str">
        <x:v>article1-unified-v4-2-fb3f101b-20260903-000401-default-f04-p1-jcs4-2-after-undeploy-final-10s-thread-dump.txt</x:v>
      </x:c>
      <x:c r="AF753" s="34"/>
      <x:c r="AG753" s="34" t="str">
        <x:v>article1-unified-v4-2-fb3f101b-20260903-000401-default-f04-p1-jcs4-2-after-undeploy-final-10s-native-memory.txt</x:v>
      </x:c>
      <x:c r="AH753" s="34" t="str">
        <x:v>article1-unified-v4-2-fb3f101b-20260903-000401-default-f04-p1-jcs4-2-after-undeploy-final-10s-class-histogram.txt</x:v>
      </x:c>
      <x:c r="AI753" s="34" t="str">
        <x:v>article1-unified-v4-2-fb3f101b-20260903-000401-default-f04-p1-jcs4-2-after-undeploy-tomcat-findleaks.txt</x:v>
      </x:c>
    </x:row>
    <x:row r="754">
      <x:c r="A754" s="34" t="str">
        <x:v>article1-unified-v4-2-fb3f101b-20260903-000401-default-f04-p1-jcs4</x:v>
      </x:c>
      <x:c r="B754" s="34" t="str">
        <x:v>default</x:v>
      </x:c>
      <x:c r="C754" s="34" t="str">
        <x:v>jcs4</x:v>
      </x:c>
      <x:c r="D754" s="34" t="str">
        <x:v>jcs4</x:v>
      </x:c>
      <x:c r="E754" s="36" t="n">
        <x:v>4</x:v>
      </x:c>
      <x:c r="F754" s="36" t="n">
        <x:v>4</x:v>
      </x:c>
      <x:c r="G754" s="36" t="n">
        <x:v>1</x:v>
      </x:c>
      <x:c r="H754" s="36" t="n">
        <x:v>2</x:v>
      </x:c>
      <x:c r="I754" s="34" t="str">
        <x:v>redeployedLoaded</x:v>
      </x:c>
      <x:c r="J754" s="34" t="str">
        <x:v>redeployed-loaded</x:v>
      </x:c>
      <x:c r="K754" s="36" t="n">
        <x:v>0</x:v>
      </x:c>
      <x:c r="L754" s="34" t="str">
        <x:v>redeploy</x:v>
      </x:c>
      <x:c r="M754" s="34" t="str">
        <x:v>article1-unified-v4-2-fb3f101b-20260903-000401-default-f04-p1-jcs4-2-redeployed-loaded</x:v>
      </x:c>
      <x:c r="N754" s="38" t="n">
        <x:v>46268.02680248843</x:v>
      </x:c>
      <x:c r="O754" s="36" t="n">
        <x:v>0</x:v>
      </x:c>
      <x:c r="P754" s="43" t="n">
        <x:v>152729600</x:v>
      </x:c>
      <x:c r="Q754" s="43" t="n">
        <x:v>268435456</x:v>
      </x:c>
      <x:c r="R754" s="43" t="n">
        <x:v>440738816</x:v>
      </x:c>
      <x:c r="S754" s="36" t="n">
        <x:v>3</x:v>
      </x:c>
      <x:c r="T754" s="44" t="str">
        <x:v>0x000000000d1177b8  0x000000000d003818  0x00007909d05f5310       0         0         0  org.apache.catalina.loader.ParallelWebappClassLoader | 0x000000000d1177b8  0x000000000d003818  0x00007909100017d0    4403  20989952  20970600  org.apache.catalina.loader.ParallelWebappClassLoader | 0x000000000d1177b8  0x000000000d003818  0x000079094825c380    4391  20946944  20943968  org.apache.catalina.loader.ParallelWebappClassLoader</x:v>
      </x:c>
      <x:c r="U754" s="36" t="n">
        <x:v>28</x:v>
      </x:c>
      <x:c r="V754" s="36" t="n">
        <x:v>1</x:v>
      </x:c>
      <x:c r="W754" s="44" t="str">
        <x:v>jcs4-thread-pool-event-queue:JCS-ThreadPoolManager-ElementEventQueue-Thread-13#176</x:v>
      </x:c>
      <x:c r="X754" s="36"/>
      <x:c r="Y754" s="36"/>
      <x:c r="Z754" s="44"/>
      <x:c r="AA754" s="49"/>
      <x:c r="AB754" s="43"/>
      <x:c r="AC754" s="34"/>
      <x:c r="AD754" s="34"/>
      <x:c r="AE754" s="34"/>
      <x:c r="AF754" s="34"/>
      <x:c r="AG754" s="34"/>
      <x:c r="AH754" s="34"/>
      <x:c r="AI754" s="34"/>
    </x:row>
    <x:row r="755">
      <x:c r="A755" s="34" t="str">
        <x:v>article1-unified-v4-2-fb3f101b-20260903-000401-default-f04-p1-jcs4</x:v>
      </x:c>
      <x:c r="B755" s="34" t="str">
        <x:v>default</x:v>
      </x:c>
      <x:c r="C755" s="34" t="str">
        <x:v>jcs4</x:v>
      </x:c>
      <x:c r="D755" s="34" t="str">
        <x:v>jcs4</x:v>
      </x:c>
      <x:c r="E755" s="36" t="n">
        <x:v>4</x:v>
      </x:c>
      <x:c r="F755" s="36" t="n">
        <x:v>4</x:v>
      </x:c>
      <x:c r="G755" s="36" t="n">
        <x:v>1</x:v>
      </x:c>
      <x:c r="H755" s="36" t="n">
        <x:v>2</x:v>
      </x:c>
      <x:c r="I755" s="34" t="str">
        <x:v>afterFinalUndeployEarly</x:v>
      </x:c>
      <x:c r="J755" s="34" t="str">
        <x:v>after-final-undeploy-early</x:v>
      </x:c>
      <x:c r="K755" s="36" t="n">
        <x:v>2</x:v>
      </x:c>
      <x:c r="L755" s="34" t="str">
        <x:v>early</x:v>
      </x:c>
      <x:c r="M755" s="34" t="str">
        <x:v>article1-unified-v4-2-fb3f101b-20260903-000401-default-f04-p1-jcs4-2-after-final-undeploy-early-2s</x:v>
      </x:c>
      <x:c r="N755" s="38" t="n">
        <x:v>46268.02688375</x:v>
      </x:c>
      <x:c r="O755" s="36"/>
      <x:c r="P755" s="43"/>
      <x:c r="Q755" s="43"/>
      <x:c r="R755" s="43"/>
      <x:c r="S755" s="36"/>
      <x:c r="T755" s="44"/>
      <x:c r="U755" s="36" t="n">
        <x:v>27</x:v>
      </x:c>
      <x:c r="V755" s="36" t="n">
        <x:v>0</x:v>
      </x:c>
      <x:c r="W755" s="44"/>
      <x:c r="X755" s="36"/>
      <x:c r="Y755" s="36"/>
      <x:c r="Z755" s="44"/>
      <x:c r="AA755" s="49"/>
      <x:c r="AB755" s="43" t="n">
        <x:v>5</x:v>
      </x:c>
      <x:c r="AC755" s="34"/>
      <x:c r="AD755" s="34"/>
      <x:c r="AE755" s="34" t="str">
        <x:v>article1-unified-v4-2-fb3f101b-20260903-000401-default-f04-p1-jcs4-2-after-final-undeploy-early-2s-thread-dump.txt</x:v>
      </x:c>
      <x:c r="AF755" s="34" t="str">
        <x:v>article1-unified-v4-2-fb3f101b-20260903-000401-default-f04-p1-jcs4-2-after-final-undeploy-early-tomcat-log.txt</x:v>
      </x:c>
      <x:c r="AG755" s="34"/>
      <x:c r="AH755" s="34"/>
      <x:c r="AI755" s="34"/>
    </x:row>
    <x:row r="756">
      <x:c r="A756" s="34" t="str">
        <x:v>article1-unified-v4-2-fb3f101b-20260903-000401-default-f04-p1-jcs4</x:v>
      </x:c>
      <x:c r="B756" s="34" t="str">
        <x:v>default</x:v>
      </x:c>
      <x:c r="C756" s="34" t="str">
        <x:v>jcs4</x:v>
      </x:c>
      <x:c r="D756" s="34" t="str">
        <x:v>jcs4</x:v>
      </x:c>
      <x:c r="E756" s="36" t="n">
        <x:v>4</x:v>
      </x:c>
      <x:c r="F756" s="36" t="n">
        <x:v>4</x:v>
      </x:c>
      <x:c r="G756" s="36" t="n">
        <x:v>1</x:v>
      </x:c>
      <x:c r="H756" s="36" t="n">
        <x:v>2</x:v>
      </x:c>
      <x:c r="I756" s="34" t="str">
        <x:v>afterFinalUndeploy</x:v>
      </x:c>
      <x:c r="J756" s="34" t="str">
        <x:v>after-final-undeploy-final</x:v>
      </x:c>
      <x:c r="K756" s="36" t="n">
        <x:v>2</x:v>
      </x:c>
      <x:c r="L756" s="34" t="str">
        <x:v>final</x:v>
      </x:c>
      <x:c r="M756" s="34" t="str">
        <x:v>article1-unified-v4-2-fb3f101b-20260903-000401-default-f04-p1-jcs4-2-after-final-undeploy-final-10s</x:v>
      </x:c>
      <x:c r="N756" s="38" t="n">
        <x:v>46268.02703988426</x:v>
      </x:c>
      <x:c r="O756" s="36" t="n">
        <x:v>2</x:v>
      </x:c>
      <x:c r="P756" s="43" t="n">
        <x:v>15744000</x:v>
      </x:c>
      <x:c r="Q756" s="43" t="n">
        <x:v>268435456</x:v>
      </x:c>
      <x:c r="R756" s="43" t="n">
        <x:v>421437440</x:v>
      </x:c>
      <x:c r="S756" s="36" t="n">
        <x:v>2</x:v>
      </x:c>
      <x:c r="T756" s="44" t="str">
        <x:v>0x000000000d1177b8  0x000000000d003818  0x00007909d05f5310       0         0         0  org.apache.catalina.loader.ParallelWebappClassLoader | 0x000000000d1177b8  0x000000000d003818  0x000079094825c380    4405  20996096  20979360  org.apache.catalina.loader.ParallelWebappClassLoader</x:v>
      </x:c>
      <x:c r="U756" s="36" t="n">
        <x:v>27</x:v>
      </x:c>
      <x:c r="V756" s="36" t="n">
        <x:v>0</x:v>
      </x:c>
      <x:c r="W756" s="44"/>
      <x:c r="X756" s="36" t="n">
        <x:v>1</x:v>
      </x:c>
      <x:c r="Y756" s="36" t="n">
        <x:v>1</x:v>
      </x:c>
      <x:c r="Z756" s="44" t="str">
        <x:v>/jcs4</x:v>
      </x:c>
      <x:c r="AA756" s="45" t="b">
        <x:v>1</x:v>
      </x:c>
      <x:c r="AB756" s="43"/>
      <x:c r="AC756" s="34" t="str">
        <x:v>article1-unified-v4-2-fb3f101b-20260903-000401-default-f04-p1-jcs4-2-after-final-undeploy-final-10s-heap-info.txt</x:v>
      </x:c>
      <x:c r="AD756" s="34" t="str">
        <x:v>article1-unified-v4-2-fb3f101b-20260903-000401-default-f04-p1-jcs4-2-after-final-undeploy-final-10s-classloader-stats.txt</x:v>
      </x:c>
      <x:c r="AE756" s="34" t="str">
        <x:v>article1-unified-v4-2-fb3f101b-20260903-000401-default-f04-p1-jcs4-2-after-final-undeploy-final-10s-thread-dump.txt</x:v>
      </x:c>
      <x:c r="AF756" s="34"/>
      <x:c r="AG756" s="34" t="str">
        <x:v>article1-unified-v4-2-fb3f101b-20260903-000401-default-f04-p1-jcs4-2-after-final-undeploy-final-10s-native-memory.txt</x:v>
      </x:c>
      <x:c r="AH756" s="34" t="str">
        <x:v>article1-unified-v4-2-fb3f101b-20260903-000401-default-f04-p1-jcs4-2-after-final-undeploy-final-10s-class-histogram.txt</x:v>
      </x:c>
      <x:c r="AI756" s="34" t="str">
        <x:v>article1-unified-v4-2-fb3f101b-20260903-000401-default-f04-p1-jcs4-2-after-final-undeploy-tomcat-findleaks.txt</x:v>
      </x:c>
    </x:row>
    <x:row r="757">
      <x:c r="A757" s="34" t="str">
        <x:v>article1-unified-v4-2-fb3f101b-20260903-000401-default-f04-p1-jcs4</x:v>
      </x:c>
      <x:c r="B757" s="34" t="str">
        <x:v>default</x:v>
      </x:c>
      <x:c r="C757" s="34" t="str">
        <x:v>jcs4</x:v>
      </x:c>
      <x:c r="D757" s="34" t="str">
        <x:v>jcs4</x:v>
      </x:c>
      <x:c r="E757" s="36" t="n">
        <x:v>4</x:v>
      </x:c>
      <x:c r="F757" s="36" t="n">
        <x:v>4</x:v>
      </x:c>
      <x:c r="G757" s="36" t="n">
        <x:v>1</x:v>
      </x:c>
      <x:c r="H757" s="36" t="n">
        <x:v>3</x:v>
      </x:c>
      <x:c r="I757" s="34" t="str">
        <x:v>baseline</x:v>
      </x:c>
      <x:c r="J757" s="34" t="str">
        <x:v>cycle-baseline</x:v>
      </x:c>
      <x:c r="K757" s="36" t="n">
        <x:v>0</x:v>
      </x:c>
      <x:c r="L757" s="34" t="str">
        <x:v>baseline</x:v>
      </x:c>
      <x:c r="M757" s="34" t="str">
        <x:v>article1-unified-v4-2-fb3f101b-20260903-000401-default-f04-p1-jcs4-3-baseline</x:v>
      </x:c>
      <x:c r="N757" s="38" t="n">
        <x:v>46268.02708127315</x:v>
      </x:c>
      <x:c r="O757" s="36" t="n">
        <x:v>0</x:v>
      </x:c>
      <x:c r="P757" s="43" t="n">
        <x:v>15749120</x:v>
      </x:c>
      <x:c r="Q757" s="43" t="n">
        <x:v>268435456</x:v>
      </x:c>
      <x:c r="R757" s="43" t="n">
        <x:v>421505024</x:v>
      </x:c>
      <x:c r="S757" s="36" t="n">
        <x:v>2</x:v>
      </x:c>
      <x:c r="T757" s="44" t="str">
        <x:v>0x000000000d1177b8  0x000000000d003818  0x00007909d05f5310       0         0         0  org.apache.catalina.loader.ParallelWebappClassLoader | 0x000000000d1177b8  0x000000000d003818  0x000079094825c380    4405  20996096  20979360  org.apache.catalina.loader.ParallelWebappClassLoader</x:v>
      </x:c>
      <x:c r="U757" s="36" t="n">
        <x:v>27</x:v>
      </x:c>
      <x:c r="V757" s="36" t="n">
        <x:v>0</x:v>
      </x:c>
      <x:c r="W757" s="44"/>
      <x:c r="X757" s="36"/>
      <x:c r="Y757" s="36"/>
      <x:c r="Z757" s="44"/>
      <x:c r="AA757" s="49"/>
      <x:c r="AB757" s="43"/>
      <x:c r="AC757" s="34" t="str">
        <x:v>article1-unified-v4-2-fb3f101b-20260903-000401-default-f04-p1-jcs4-3-baseline-heap-info.txt</x:v>
      </x:c>
      <x:c r="AD757" s="34" t="str">
        <x:v>article1-unified-v4-2-fb3f101b-20260903-000401-default-f04-p1-jcs4-3-baseline-classloader-stats.txt</x:v>
      </x:c>
      <x:c r="AE757" s="34" t="str">
        <x:v>article1-unified-v4-2-fb3f101b-20260903-000401-default-f04-p1-jcs4-3-baseline-thread-dump.txt</x:v>
      </x:c>
      <x:c r="AF757" s="34"/>
      <x:c r="AG757" s="34" t="str">
        <x:v>article1-unified-v4-2-fb3f101b-20260903-000401-default-f04-p1-jcs4-3-baseline-native-memory.txt</x:v>
      </x:c>
      <x:c r="AH757" s="34"/>
      <x:c r="AI757" s="34"/>
    </x:row>
    <x:row r="758">
      <x:c r="A758" s="34" t="str">
        <x:v>article1-unified-v4-2-fb3f101b-20260903-000401-default-f04-p1-jcs4</x:v>
      </x:c>
      <x:c r="B758" s="34" t="str">
        <x:v>default</x:v>
      </x:c>
      <x:c r="C758" s="34" t="str">
        <x:v>jcs4</x:v>
      </x:c>
      <x:c r="D758" s="34" t="str">
        <x:v>jcs4</x:v>
      </x:c>
      <x:c r="E758" s="36" t="n">
        <x:v>4</x:v>
      </x:c>
      <x:c r="F758" s="36" t="n">
        <x:v>4</x:v>
      </x:c>
      <x:c r="G758" s="36" t="n">
        <x:v>1</x:v>
      </x:c>
      <x:c r="H758" s="36" t="n">
        <x:v>3</x:v>
      </x:c>
      <x:c r="I758" s="34" t="str">
        <x:v>deployedIdle</x:v>
      </x:c>
      <x:c r="J758" s="34" t="str">
        <x:v>deployed-idle</x:v>
      </x:c>
      <x:c r="K758" s="36" t="n">
        <x:v>0</x:v>
      </x:c>
      <x:c r="L758" s="34" t="str">
        <x:v>initial</x:v>
      </x:c>
      <x:c r="M758" s="34" t="str">
        <x:v>article1-unified-v4-2-fb3f101b-20260903-000401-default-f04-p1-jcs4-3-deployed-idle</x:v>
      </x:c>
      <x:c r="N758" s="38" t="n">
        <x:v>46268.02717865741</x:v>
      </x:c>
      <x:c r="O758" s="36" t="n">
        <x:v>0</x:v>
      </x:c>
      <x:c r="P758" s="43" t="n">
        <x:v>167105536</x:v>
      </x:c>
      <x:c r="Q758" s="43" t="n">
        <x:v>268435456</x:v>
      </x:c>
      <x:c r="R758" s="43" t="n">
        <x:v>437986304</x:v>
      </x:c>
      <x:c r="S758" s="36" t="n">
        <x:v>3</x:v>
      </x:c>
      <x:c r="T758" s="44" t="str">
        <x:v>0x000000000d1177b8  0x000000000d003818  0x00007909d05f5310       0         0         0  org.apache.catalina.loader.ParallelWebappClassLoader | 0x000000000d1177b8  0x000000000d003818  0x0000790928005a70    4091  19441664  19426672  org.apache.catalina.loader.ParallelWebappClassLoader | 0x000000000d1177b8  0x000000000d003818  0x000079094825c380    4405  20996096  20979360  org.apache.catalina.loader.ParallelWebappClassLoader</x:v>
      </x:c>
      <x:c r="U758" s="36" t="n">
        <x:v>27</x:v>
      </x:c>
      <x:c r="V758" s="36" t="n">
        <x:v>0</x:v>
      </x:c>
      <x:c r="W758" s="44"/>
      <x:c r="X758" s="36"/>
      <x:c r="Y758" s="36"/>
      <x:c r="Z758" s="44"/>
      <x:c r="AA758" s="49"/>
      <x:c r="AB758" s="43"/>
      <x:c r="AC758" s="34"/>
      <x:c r="AD758" s="34"/>
      <x:c r="AE758" s="34"/>
      <x:c r="AF758" s="34"/>
      <x:c r="AG758" s="34"/>
      <x:c r="AH758" s="34"/>
      <x:c r="AI758" s="34"/>
    </x:row>
    <x:row r="759">
      <x:c r="A759" s="34" t="str">
        <x:v>article1-unified-v4-2-fb3f101b-20260903-000401-default-f04-p1-jcs4</x:v>
      </x:c>
      <x:c r="B759" s="34" t="str">
        <x:v>default</x:v>
      </x:c>
      <x:c r="C759" s="34" t="str">
        <x:v>jcs4</x:v>
      </x:c>
      <x:c r="D759" s="34" t="str">
        <x:v>jcs4</x:v>
      </x:c>
      <x:c r="E759" s="36" t="n">
        <x:v>4</x:v>
      </x:c>
      <x:c r="F759" s="36" t="n">
        <x:v>4</x:v>
      </x:c>
      <x:c r="G759" s="36" t="n">
        <x:v>1</x:v>
      </x:c>
      <x:c r="H759" s="36" t="n">
        <x:v>3</x:v>
      </x:c>
      <x:c r="I759" s="34" t="str">
        <x:v>loaded</x:v>
      </x:c>
      <x:c r="J759" s="34" t="str">
        <x:v>loaded</x:v>
      </x:c>
      <x:c r="K759" s="36" t="n">
        <x:v>0</x:v>
      </x:c>
      <x:c r="L759" s="34" t="str">
        <x:v>initial</x:v>
      </x:c>
      <x:c r="M759" s="34" t="str">
        <x:v>article1-unified-v4-2-fb3f101b-20260903-000401-default-f04-p1-jcs4-3-loaded</x:v>
      </x:c>
      <x:c r="N759" s="38" t="n">
        <x:v>46268.02732550926</x:v>
      </x:c>
      <x:c r="O759" s="36" t="n">
        <x:v>0</x:v>
      </x:c>
      <x:c r="P759" s="43" t="n">
        <x:v>152872960</x:v>
      </x:c>
      <x:c r="Q759" s="43" t="n">
        <x:v>268435456</x:v>
      </x:c>
      <x:c r="R759" s="43" t="n">
        <x:v>442539008</x:v>
      </x:c>
      <x:c r="S759" s="36" t="n">
        <x:v>3</x:v>
      </x:c>
      <x:c r="T759" s="44" t="str">
        <x:v>0x000000000d1177b8  0x000000000d003818  0x00007909d05f5310       0         0         0  org.apache.catalina.loader.ParallelWebappClassLoader | 0x000000000d1177b8  0x000000000d003818  0x000079094825c380    4405  20996096  20979360  org.apache.catalina.loader.ParallelWebappClassLoader | 0x000000000d1177b8  0x000000000d003818  0x0000790928005a70    4394  20967424  20940208  org.apache.catalina.loader.ParallelWebappClassLoader</x:v>
      </x:c>
      <x:c r="U759" s="36" t="n">
        <x:v>28</x:v>
      </x:c>
      <x:c r="V759" s="36" t="n">
        <x:v>1</x:v>
      </x:c>
      <x:c r="W759" s="44" t="str">
        <x:v>jcs4-thread-pool-event-queue:JCS-ThreadPoolManager-ElementEventQueue-Thread-16#218</x:v>
      </x:c>
      <x:c r="X759" s="36"/>
      <x:c r="Y759" s="36"/>
      <x:c r="Z759" s="44"/>
      <x:c r="AA759" s="49"/>
      <x:c r="AB759" s="43"/>
      <x:c r="AC759" s="34"/>
      <x:c r="AD759" s="34"/>
      <x:c r="AE759" s="34"/>
      <x:c r="AF759" s="34"/>
      <x:c r="AG759" s="34"/>
      <x:c r="AH759" s="34"/>
      <x:c r="AI759" s="34"/>
    </x:row>
    <x:row r="760">
      <x:c r="A760" s="34" t="str">
        <x:v>article1-unified-v4-2-fb3f101b-20260903-000401-default-f04-p1-jcs4</x:v>
      </x:c>
      <x:c r="B760" s="34" t="str">
        <x:v>default</x:v>
      </x:c>
      <x:c r="C760" s="34" t="str">
        <x:v>jcs4</x:v>
      </x:c>
      <x:c r="D760" s="34" t="str">
        <x:v>jcs4</x:v>
      </x:c>
      <x:c r="E760" s="36" t="n">
        <x:v>4</x:v>
      </x:c>
      <x:c r="F760" s="36" t="n">
        <x:v>4</x:v>
      </x:c>
      <x:c r="G760" s="36" t="n">
        <x:v>1</x:v>
      </x:c>
      <x:c r="H760" s="36" t="n">
        <x:v>3</x:v>
      </x:c>
      <x:c r="I760" s="34" t="str">
        <x:v>afterUndeployEarly</x:v>
      </x:c>
      <x:c r="J760" s="34" t="str">
        <x:v>after-undeploy-early</x:v>
      </x:c>
      <x:c r="K760" s="36" t="n">
        <x:v>1</x:v>
      </x:c>
      <x:c r="L760" s="34" t="str">
        <x:v>early</x:v>
      </x:c>
      <x:c r="M760" s="34" t="str">
        <x:v>article1-unified-v4-2-fb3f101b-20260903-000401-default-f04-p1-jcs4-3-after-undeploy-early-2s</x:v>
      </x:c>
      <x:c r="N760" s="38" t="n">
        <x:v>46268.027408981485</x:v>
      </x:c>
      <x:c r="O760" s="36"/>
      <x:c r="P760" s="43"/>
      <x:c r="Q760" s="43"/>
      <x:c r="R760" s="43"/>
      <x:c r="S760" s="36"/>
      <x:c r="T760" s="44"/>
      <x:c r="U760" s="36" t="n">
        <x:v>27</x:v>
      </x:c>
      <x:c r="V760" s="36" t="n">
        <x:v>0</x:v>
      </x:c>
      <x:c r="W760" s="44"/>
      <x:c r="X760" s="36"/>
      <x:c r="Y760" s="36"/>
      <x:c r="Z760" s="44"/>
      <x:c r="AA760" s="49"/>
      <x:c r="AB760" s="43" t="n">
        <x:v>5</x:v>
      </x:c>
      <x:c r="AC760" s="34"/>
      <x:c r="AD760" s="34"/>
      <x:c r="AE760" s="34" t="str">
        <x:v>article1-unified-v4-2-fb3f101b-20260903-000401-default-f04-p1-jcs4-3-after-undeploy-early-2s-thread-dump.txt</x:v>
      </x:c>
      <x:c r="AF760" s="34" t="str">
        <x:v>article1-unified-v4-2-fb3f101b-20260903-000401-default-f04-p1-jcs4-3-after-undeploy-early-tomcat-log.txt</x:v>
      </x:c>
      <x:c r="AG760" s="34"/>
      <x:c r="AH760" s="34"/>
      <x:c r="AI760" s="34"/>
    </x:row>
    <x:row r="761">
      <x:c r="A761" s="34" t="str">
        <x:v>article1-unified-v4-2-fb3f101b-20260903-000401-default-f04-p1-jcs4</x:v>
      </x:c>
      <x:c r="B761" s="34" t="str">
        <x:v>default</x:v>
      </x:c>
      <x:c r="C761" s="34" t="str">
        <x:v>jcs4</x:v>
      </x:c>
      <x:c r="D761" s="34" t="str">
        <x:v>jcs4</x:v>
      </x:c>
      <x:c r="E761" s="36" t="n">
        <x:v>4</x:v>
      </x:c>
      <x:c r="F761" s="36" t="n">
        <x:v>4</x:v>
      </x:c>
      <x:c r="G761" s="36" t="n">
        <x:v>1</x:v>
      </x:c>
      <x:c r="H761" s="36" t="n">
        <x:v>3</x:v>
      </x:c>
      <x:c r="I761" s="34" t="str">
        <x:v>afterUndeploy</x:v>
      </x:c>
      <x:c r="J761" s="34" t="str">
        <x:v>after-undeploy-final</x:v>
      </x:c>
      <x:c r="K761" s="36" t="n">
        <x:v>1</x:v>
      </x:c>
      <x:c r="L761" s="34" t="str">
        <x:v>final</x:v>
      </x:c>
      <x:c r="M761" s="34" t="str">
        <x:v>article1-unified-v4-2-fb3f101b-20260903-000401-default-f04-p1-jcs4-3-after-undeploy-final-10s</x:v>
      </x:c>
      <x:c r="N761" s="38" t="n">
        <x:v>46268.02756596065</x:v>
      </x:c>
      <x:c r="O761" s="36" t="n">
        <x:v>2</x:v>
      </x:c>
      <x:c r="P761" s="43" t="n">
        <x:v>15794176</x:v>
      </x:c>
      <x:c r="Q761" s="43" t="n">
        <x:v>268435456</x:v>
      </x:c>
      <x:c r="R761" s="43" t="n">
        <x:v>419423232</x:v>
      </x:c>
      <x:c r="S761" s="36" t="n">
        <x:v>2</x:v>
      </x:c>
      <x:c r="T761" s="44" t="str">
        <x:v>0x000000000d1177b8  0x000000000d003818  0x00007909d05f5310       0         0         0  org.apache.catalina.loader.ParallelWebappClassLoader | 0x000000000d1177b8  0x000000000d003818  0x0000790928005a70    4408  20983808  20975600  org.apache.catalina.loader.ParallelWebappClassLoader</x:v>
      </x:c>
      <x:c r="U761" s="36" t="n">
        <x:v>27</x:v>
      </x:c>
      <x:c r="V761" s="36" t="n">
        <x:v>0</x:v>
      </x:c>
      <x:c r="W761" s="44"/>
      <x:c r="X761" s="36" t="n">
        <x:v>1</x:v>
      </x:c>
      <x:c r="Y761" s="36" t="n">
        <x:v>1</x:v>
      </x:c>
      <x:c r="Z761" s="44" t="str">
        <x:v>/jcs4</x:v>
      </x:c>
      <x:c r="AA761" s="45" t="b">
        <x:v>1</x:v>
      </x:c>
      <x:c r="AB761" s="43"/>
      <x:c r="AC761" s="34" t="str">
        <x:v>article1-unified-v4-2-fb3f101b-20260903-000401-default-f04-p1-jcs4-3-after-undeploy-final-10s-heap-info.txt</x:v>
      </x:c>
      <x:c r="AD761" s="34" t="str">
        <x:v>article1-unified-v4-2-fb3f101b-20260903-000401-default-f04-p1-jcs4-3-after-undeploy-final-10s-classloader-stats.txt</x:v>
      </x:c>
      <x:c r="AE761" s="34" t="str">
        <x:v>article1-unified-v4-2-fb3f101b-20260903-000401-default-f04-p1-jcs4-3-after-undeploy-final-10s-thread-dump.txt</x:v>
      </x:c>
      <x:c r="AF761" s="34"/>
      <x:c r="AG761" s="34" t="str">
        <x:v>article1-unified-v4-2-fb3f101b-20260903-000401-default-f04-p1-jcs4-3-after-undeploy-final-10s-native-memory.txt</x:v>
      </x:c>
      <x:c r="AH761" s="34" t="str">
        <x:v>article1-unified-v4-2-fb3f101b-20260903-000401-default-f04-p1-jcs4-3-after-undeploy-final-10s-class-histogram.txt</x:v>
      </x:c>
      <x:c r="AI761" s="34" t="str">
        <x:v>article1-unified-v4-2-fb3f101b-20260903-000401-default-f04-p1-jcs4-3-after-undeploy-tomcat-findleaks.txt</x:v>
      </x:c>
    </x:row>
    <x:row r="762">
      <x:c r="A762" s="34" t="str">
        <x:v>article1-unified-v4-2-fb3f101b-20260903-000401-default-f04-p1-jcs4</x:v>
      </x:c>
      <x:c r="B762" s="34" t="str">
        <x:v>default</x:v>
      </x:c>
      <x:c r="C762" s="34" t="str">
        <x:v>jcs4</x:v>
      </x:c>
      <x:c r="D762" s="34" t="str">
        <x:v>jcs4</x:v>
      </x:c>
      <x:c r="E762" s="36" t="n">
        <x:v>4</x:v>
      </x:c>
      <x:c r="F762" s="36" t="n">
        <x:v>4</x:v>
      </x:c>
      <x:c r="G762" s="36" t="n">
        <x:v>1</x:v>
      </x:c>
      <x:c r="H762" s="36" t="n">
        <x:v>3</x:v>
      </x:c>
      <x:c r="I762" s="34" t="str">
        <x:v>redeployedLoaded</x:v>
      </x:c>
      <x:c r="J762" s="34" t="str">
        <x:v>redeployed-loaded</x:v>
      </x:c>
      <x:c r="K762" s="36" t="n">
        <x:v>0</x:v>
      </x:c>
      <x:c r="L762" s="34" t="str">
        <x:v>redeploy</x:v>
      </x:c>
      <x:c r="M762" s="34" t="str">
        <x:v>article1-unified-v4-2-fb3f101b-20260903-000401-default-f04-p1-jcs4-3-redeployed-loaded</x:v>
      </x:c>
      <x:c r="N762" s="38" t="n">
        <x:v>46268.02782767361</x:v>
      </x:c>
      <x:c r="O762" s="36" t="n">
        <x:v>0</x:v>
      </x:c>
      <x:c r="P762" s="43" t="n">
        <x:v>152922112</x:v>
      </x:c>
      <x:c r="Q762" s="43" t="n">
        <x:v>268435456</x:v>
      </x:c>
      <x:c r="R762" s="43" t="n">
        <x:v>441945088</x:v>
      </x:c>
      <x:c r="S762" s="36" t="n">
        <x:v>3</x:v>
      </x:c>
      <x:c r="T762" s="44" t="str">
        <x:v>0x000000000d1177b8  0x000000000d003818  0x00007909d05f5310       0         0         0  org.apache.catalina.loader.ParallelWebappClassLoader | 0x000000000d1177b8  0x000000000d003818  0x000079092c198010    4391  20952064  20935160  org.apache.catalina.loader.ParallelWebappClassLoader | 0x000000000d1177b8  0x000000000d003818  0x0000790928005a70    4408  20983808  20975600  org.apache.catalina.loader.ParallelWebappClassLoader</x:v>
      </x:c>
      <x:c r="U762" s="36" t="n">
        <x:v>29</x:v>
      </x:c>
      <x:c r="V762" s="36" t="n">
        <x:v>1</x:v>
      </x:c>
      <x:c r="W762" s="44" t="str">
        <x:v>jcs4-thread-pool-event-queue:JCS-ThreadPoolManager-ElementEventQueue-Thread-19#261</x:v>
      </x:c>
      <x:c r="X762" s="36"/>
      <x:c r="Y762" s="36"/>
      <x:c r="Z762" s="44"/>
      <x:c r="AA762" s="49"/>
      <x:c r="AB762" s="43"/>
      <x:c r="AC762" s="34"/>
      <x:c r="AD762" s="34"/>
      <x:c r="AE762" s="34"/>
      <x:c r="AF762" s="34"/>
      <x:c r="AG762" s="34"/>
      <x:c r="AH762" s="34"/>
      <x:c r="AI762" s="34"/>
    </x:row>
    <x:row r="763">
      <x:c r="A763" s="34" t="str">
        <x:v>article1-unified-v4-2-fb3f101b-20260903-000401-default-f04-p1-jcs4</x:v>
      </x:c>
      <x:c r="B763" s="34" t="str">
        <x:v>default</x:v>
      </x:c>
      <x:c r="C763" s="34" t="str">
        <x:v>jcs4</x:v>
      </x:c>
      <x:c r="D763" s="34" t="str">
        <x:v>jcs4</x:v>
      </x:c>
      <x:c r="E763" s="36" t="n">
        <x:v>4</x:v>
      </x:c>
      <x:c r="F763" s="36" t="n">
        <x:v>4</x:v>
      </x:c>
      <x:c r="G763" s="36" t="n">
        <x:v>1</x:v>
      </x:c>
      <x:c r="H763" s="36" t="n">
        <x:v>3</x:v>
      </x:c>
      <x:c r="I763" s="34" t="str">
        <x:v>afterFinalUndeployEarly</x:v>
      </x:c>
      <x:c r="J763" s="34" t="str">
        <x:v>after-final-undeploy-early</x:v>
      </x:c>
      <x:c r="K763" s="36" t="n">
        <x:v>2</x:v>
      </x:c>
      <x:c r="L763" s="34" t="str">
        <x:v>early</x:v>
      </x:c>
      <x:c r="M763" s="34" t="str">
        <x:v>article1-unified-v4-2-fb3f101b-20260903-000401-default-f04-p1-jcs4-3-after-final-undeploy-early-2s</x:v>
      </x:c>
      <x:c r="N763" s="38" t="n">
        <x:v>46268.02791104167</x:v>
      </x:c>
      <x:c r="O763" s="36"/>
      <x:c r="P763" s="43"/>
      <x:c r="Q763" s="43"/>
      <x:c r="R763" s="43"/>
      <x:c r="S763" s="36"/>
      <x:c r="T763" s="44"/>
      <x:c r="U763" s="36" t="n">
        <x:v>27</x:v>
      </x:c>
      <x:c r="V763" s="36" t="n">
        <x:v>0</x:v>
      </x:c>
      <x:c r="W763" s="44"/>
      <x:c r="X763" s="36"/>
      <x:c r="Y763" s="36"/>
      <x:c r="Z763" s="44"/>
      <x:c r="AA763" s="49"/>
      <x:c r="AB763" s="43" t="n">
        <x:v>5</x:v>
      </x:c>
      <x:c r="AC763" s="34"/>
      <x:c r="AD763" s="34"/>
      <x:c r="AE763" s="34" t="str">
        <x:v>article1-unified-v4-2-fb3f101b-20260903-000401-default-f04-p1-jcs4-3-after-final-undeploy-early-2s-thread-dump.txt</x:v>
      </x:c>
      <x:c r="AF763" s="34" t="str">
        <x:v>article1-unified-v4-2-fb3f101b-20260903-000401-default-f04-p1-jcs4-3-after-final-undeploy-early-tomcat-log.txt</x:v>
      </x:c>
      <x:c r="AG763" s="34"/>
      <x:c r="AH763" s="34"/>
      <x:c r="AI763" s="34"/>
    </x:row>
    <x:row r="764">
      <x:c r="A764" s="34" t="str">
        <x:v>article1-unified-v4-2-fb3f101b-20260903-000401-default-f04-p1-jcs4</x:v>
      </x:c>
      <x:c r="B764" s="34" t="str">
        <x:v>default</x:v>
      </x:c>
      <x:c r="C764" s="34" t="str">
        <x:v>jcs4</x:v>
      </x:c>
      <x:c r="D764" s="34" t="str">
        <x:v>jcs4</x:v>
      </x:c>
      <x:c r="E764" s="36" t="n">
        <x:v>4</x:v>
      </x:c>
      <x:c r="F764" s="36" t="n">
        <x:v>4</x:v>
      </x:c>
      <x:c r="G764" s="36" t="n">
        <x:v>1</x:v>
      </x:c>
      <x:c r="H764" s="36" t="n">
        <x:v>3</x:v>
      </x:c>
      <x:c r="I764" s="34" t="str">
        <x:v>afterFinalUndeploy</x:v>
      </x:c>
      <x:c r="J764" s="34" t="str">
        <x:v>after-final-undeploy-final</x:v>
      </x:c>
      <x:c r="K764" s="36" t="n">
        <x:v>2</x:v>
      </x:c>
      <x:c r="L764" s="34" t="str">
        <x:v>final</x:v>
      </x:c>
      <x:c r="M764" s="34" t="str">
        <x:v>article1-unified-v4-2-fb3f101b-20260903-000401-default-f04-p1-jcs4-3-after-final-undeploy-final-10s</x:v>
      </x:c>
      <x:c r="N764" s="38" t="n">
        <x:v>46268.02806986111</x:v>
      </x:c>
      <x:c r="O764" s="36" t="n">
        <x:v>2</x:v>
      </x:c>
      <x:c r="P764" s="43" t="n">
        <x:v>15809536</x:v>
      </x:c>
      <x:c r="Q764" s="43" t="n">
        <x:v>268435456</x:v>
      </x:c>
      <x:c r="R764" s="43" t="n">
        <x:v>424834048</x:v>
      </x:c>
      <x:c r="S764" s="36" t="n">
        <x:v>2</x:v>
      </x:c>
      <x:c r="T764" s="44" t="str">
        <x:v>0x000000000d1177b8  0x000000000d003818  0x00007909d05f5310       0         0         0  org.apache.catalina.loader.ParallelWebappClassLoader | 0x000000000d1177b8  0x000000000d003818  0x000079092c198010    4405  20983808  20970512  org.apache.catalina.loader.ParallelWebappClassLoader</x:v>
      </x:c>
      <x:c r="U764" s="36" t="n">
        <x:v>27</x:v>
      </x:c>
      <x:c r="V764" s="36" t="n">
        <x:v>0</x:v>
      </x:c>
      <x:c r="W764" s="44"/>
      <x:c r="X764" s="36" t="n">
        <x:v>1</x:v>
      </x:c>
      <x:c r="Y764" s="36" t="n">
        <x:v>1</x:v>
      </x:c>
      <x:c r="Z764" s="44" t="str">
        <x:v>/jcs4</x:v>
      </x:c>
      <x:c r="AA764" s="45" t="b">
        <x:v>1</x:v>
      </x:c>
      <x:c r="AB764" s="43"/>
      <x:c r="AC764" s="34" t="str">
        <x:v>article1-unified-v4-2-fb3f101b-20260903-000401-default-f04-p1-jcs4-3-after-final-undeploy-final-10s-heap-info.txt</x:v>
      </x:c>
      <x:c r="AD764" s="34" t="str">
        <x:v>article1-unified-v4-2-fb3f101b-20260903-000401-default-f04-p1-jcs4-3-after-final-undeploy-final-10s-classloader-stats.txt</x:v>
      </x:c>
      <x:c r="AE764" s="34" t="str">
        <x:v>article1-unified-v4-2-fb3f101b-20260903-000401-default-f04-p1-jcs4-3-after-final-undeploy-final-10s-thread-dump.txt</x:v>
      </x:c>
      <x:c r="AF764" s="34"/>
      <x:c r="AG764" s="34" t="str">
        <x:v>article1-unified-v4-2-fb3f101b-20260903-000401-default-f04-p1-jcs4-3-after-final-undeploy-final-10s-native-memory.txt</x:v>
      </x:c>
      <x:c r="AH764" s="34" t="str">
        <x:v>article1-unified-v4-2-fb3f101b-20260903-000401-default-f04-p1-jcs4-3-after-final-undeploy-final-10s-class-histogram.txt</x:v>
      </x:c>
      <x:c r="AI764" s="34" t="str">
        <x:v>article1-unified-v4-2-fb3f101b-20260903-000401-default-f04-p1-jcs4-3-after-final-undeploy-tomcat-findleaks.txt</x:v>
      </x:c>
    </x:row>
    <x:row r="765">
      <x:c r="A765" s="34" t="str">
        <x:v>article1-unified-v4-2-fb3f101b-20260903-000401-default-f04-p1-jcs4</x:v>
      </x:c>
      <x:c r="B765" s="34" t="str">
        <x:v>default</x:v>
      </x:c>
      <x:c r="C765" s="34" t="str">
        <x:v>jcs4</x:v>
      </x:c>
      <x:c r="D765" s="34" t="str">
        <x:v>jcs4</x:v>
      </x:c>
      <x:c r="E765" s="36" t="n">
        <x:v>4</x:v>
      </x:c>
      <x:c r="F765" s="36" t="n">
        <x:v>4</x:v>
      </x:c>
      <x:c r="G765" s="36" t="n">
        <x:v>1</x:v>
      </x:c>
      <x:c r="H765" s="36" t="n">
        <x:v>4</x:v>
      </x:c>
      <x:c r="I765" s="34" t="str">
        <x:v>baseline</x:v>
      </x:c>
      <x:c r="J765" s="34" t="str">
        <x:v>cycle-baseline</x:v>
      </x:c>
      <x:c r="K765" s="36" t="n">
        <x:v>0</x:v>
      </x:c>
      <x:c r="L765" s="34" t="str">
        <x:v>baseline</x:v>
      </x:c>
      <x:c r="M765" s="34" t="str">
        <x:v>article1-unified-v4-2-fb3f101b-20260903-000401-default-f04-p1-jcs4-4-baseline</x:v>
      </x:c>
      <x:c r="N765" s="38" t="n">
        <x:v>46268.02811373842</x:v>
      </x:c>
      <x:c r="O765" s="36" t="n">
        <x:v>0</x:v>
      </x:c>
      <x:c r="P765" s="43" t="n">
        <x:v>15809536</x:v>
      </x:c>
      <x:c r="Q765" s="43" t="n">
        <x:v>268435456</x:v>
      </x:c>
      <x:c r="R765" s="43" t="n">
        <x:v>425295872</x:v>
      </x:c>
      <x:c r="S765" s="36" t="n">
        <x:v>2</x:v>
      </x:c>
      <x:c r="T765" s="44" t="str">
        <x:v>0x000000000d1177b8  0x000000000d003818  0x00007909d05f5310       0         0         0  org.apache.catalina.loader.ParallelWebappClassLoader | 0x000000000d1177b8  0x000000000d003818  0x000079092c198010    4405  20983808  20970512  org.apache.catalina.loader.ParallelWebappClassLoader</x:v>
      </x:c>
      <x:c r="U765" s="36" t="n">
        <x:v>27</x:v>
      </x:c>
      <x:c r="V765" s="36" t="n">
        <x:v>0</x:v>
      </x:c>
      <x:c r="W765" s="44"/>
      <x:c r="X765" s="36"/>
      <x:c r="Y765" s="36"/>
      <x:c r="Z765" s="44"/>
      <x:c r="AA765" s="49"/>
      <x:c r="AB765" s="43"/>
      <x:c r="AC765" s="34" t="str">
        <x:v>article1-unified-v4-2-fb3f101b-20260903-000401-default-f04-p1-jcs4-4-baseline-heap-info.txt</x:v>
      </x:c>
      <x:c r="AD765" s="34" t="str">
        <x:v>article1-unified-v4-2-fb3f101b-20260903-000401-default-f04-p1-jcs4-4-baseline-classloader-stats.txt</x:v>
      </x:c>
      <x:c r="AE765" s="34" t="str">
        <x:v>article1-unified-v4-2-fb3f101b-20260903-000401-default-f04-p1-jcs4-4-baseline-thread-dump.txt</x:v>
      </x:c>
      <x:c r="AF765" s="34"/>
      <x:c r="AG765" s="34" t="str">
        <x:v>article1-unified-v4-2-fb3f101b-20260903-000401-default-f04-p1-jcs4-4-baseline-native-memory.txt</x:v>
      </x:c>
      <x:c r="AH765" s="34"/>
      <x:c r="AI765" s="34"/>
    </x:row>
    <x:row r="766">
      <x:c r="A766" s="34" t="str">
        <x:v>article1-unified-v4-2-fb3f101b-20260903-000401-default-f04-p1-jcs4</x:v>
      </x:c>
      <x:c r="B766" s="34" t="str">
        <x:v>default</x:v>
      </x:c>
      <x:c r="C766" s="34" t="str">
        <x:v>jcs4</x:v>
      </x:c>
      <x:c r="D766" s="34" t="str">
        <x:v>jcs4</x:v>
      </x:c>
      <x:c r="E766" s="36" t="n">
        <x:v>4</x:v>
      </x:c>
      <x:c r="F766" s="36" t="n">
        <x:v>4</x:v>
      </x:c>
      <x:c r="G766" s="36" t="n">
        <x:v>1</x:v>
      </x:c>
      <x:c r="H766" s="36" t="n">
        <x:v>4</x:v>
      </x:c>
      <x:c r="I766" s="34" t="str">
        <x:v>deployedIdle</x:v>
      </x:c>
      <x:c r="J766" s="34" t="str">
        <x:v>deployed-idle</x:v>
      </x:c>
      <x:c r="K766" s="36" t="n">
        <x:v>0</x:v>
      </x:c>
      <x:c r="L766" s="34" t="str">
        <x:v>initial</x:v>
      </x:c>
      <x:c r="M766" s="34" t="str">
        <x:v>article1-unified-v4-2-fb3f101b-20260903-000401-default-f04-p1-jcs4-4-deployed-idle</x:v>
      </x:c>
      <x:c r="N766" s="38" t="n">
        <x:v>46268.02821150463</x:v>
      </x:c>
      <x:c r="O766" s="36" t="n">
        <x:v>0</x:v>
      </x:c>
      <x:c r="P766" s="43" t="n">
        <x:v>165433344</x:v>
      </x:c>
      <x:c r="Q766" s="43" t="n">
        <x:v>268435456</x:v>
      </x:c>
      <x:c r="R766" s="43" t="n">
        <x:v>458585088</x:v>
      </x:c>
      <x:c r="S766" s="36" t="n">
        <x:v>3</x:v>
      </x:c>
      <x:c r="T766" s="44" t="str">
        <x:v>0x000000000d1177b8  0x000000000d003818  0x00007909d05f5310       0         0         0  org.apache.catalina.loader.ParallelWebappClassLoader | 0x000000000d1177b8  0x000000000d003818  0x000079092c6a3320    4091  19419136  19408352  org.apache.catalina.loader.ParallelWebappClassLoader | 0x000000000d1177b8  0x000000000d003818  0x000079092c198010    4405  20983808  20970512  org.apache.catalina.loader.ParallelWebappClassLoader</x:v>
      </x:c>
      <x:c r="U766" s="36" t="n">
        <x:v>27</x:v>
      </x:c>
      <x:c r="V766" s="36" t="n">
        <x:v>0</x:v>
      </x:c>
      <x:c r="W766" s="44"/>
      <x:c r="X766" s="36"/>
      <x:c r="Y766" s="36"/>
      <x:c r="Z766" s="44"/>
      <x:c r="AA766" s="49"/>
      <x:c r="AB766" s="43"/>
      <x:c r="AC766" s="34"/>
      <x:c r="AD766" s="34"/>
      <x:c r="AE766" s="34"/>
      <x:c r="AF766" s="34"/>
      <x:c r="AG766" s="34"/>
      <x:c r="AH766" s="34"/>
      <x:c r="AI766" s="34"/>
    </x:row>
    <x:row r="767">
      <x:c r="A767" s="34" t="str">
        <x:v>article1-unified-v4-2-fb3f101b-20260903-000401-default-f04-p1-jcs4</x:v>
      </x:c>
      <x:c r="B767" s="34" t="str">
        <x:v>default</x:v>
      </x:c>
      <x:c r="C767" s="34" t="str">
        <x:v>jcs4</x:v>
      </x:c>
      <x:c r="D767" s="34" t="str">
        <x:v>jcs4</x:v>
      </x:c>
      <x:c r="E767" s="36" t="n">
        <x:v>4</x:v>
      </x:c>
      <x:c r="F767" s="36" t="n">
        <x:v>4</x:v>
      </x:c>
      <x:c r="G767" s="36" t="n">
        <x:v>1</x:v>
      </x:c>
      <x:c r="H767" s="36" t="n">
        <x:v>4</x:v>
      </x:c>
      <x:c r="I767" s="34" t="str">
        <x:v>loaded</x:v>
      </x:c>
      <x:c r="J767" s="34" t="str">
        <x:v>loaded</x:v>
      </x:c>
      <x:c r="K767" s="36" t="n">
        <x:v>0</x:v>
      </x:c>
      <x:c r="L767" s="34" t="str">
        <x:v>initial</x:v>
      </x:c>
      <x:c r="M767" s="34" t="str">
        <x:v>article1-unified-v4-2-fb3f101b-20260903-000401-default-f04-p1-jcs4-4-loaded</x:v>
      </x:c>
      <x:c r="N767" s="38" t="n">
        <x:v>46268.02835991898</x:v>
      </x:c>
      <x:c r="O767" s="36" t="n">
        <x:v>0</x:v>
      </x:c>
      <x:c r="P767" s="43" t="n">
        <x:v>139553792</x:v>
      </x:c>
      <x:c r="Q767" s="43" t="n">
        <x:v>268435456</x:v>
      </x:c>
      <x:c r="R767" s="43" t="n">
        <x:v>442994688</x:v>
      </x:c>
      <x:c r="S767" s="36" t="n">
        <x:v>3</x:v>
      </x:c>
      <x:c r="T767" s="44" t="str">
        <x:v>0x000000000d1177b8  0x000000000d003818  0x00007909d05f5310       0         0         0  org.apache.catalina.loader.ParallelWebappClassLoader | 0x000000000d1177b8  0x000000000d003818  0x000079092c198010    4405  20983808  20970512  org.apache.catalina.loader.ParallelWebappClassLoader | 0x000000000d1177b8  0x000000000d003818  0x000079092c6a3320    4397  20947968  20920816  org.apache.catalina.loader.ParallelWebappClassLoader</x:v>
      </x:c>
      <x:c r="U767" s="36" t="n">
        <x:v>28</x:v>
      </x:c>
      <x:c r="V767" s="36" t="n">
        <x:v>1</x:v>
      </x:c>
      <x:c r="W767" s="44" t="str">
        <x:v>jcs4-thread-pool-event-queue:JCS-ThreadPoolManager-ElementEventQueue-Thread-22#303</x:v>
      </x:c>
      <x:c r="X767" s="36"/>
      <x:c r="Y767" s="36"/>
      <x:c r="Z767" s="44"/>
      <x:c r="AA767" s="49"/>
      <x:c r="AB767" s="43"/>
      <x:c r="AC767" s="34"/>
      <x:c r="AD767" s="34"/>
      <x:c r="AE767" s="34"/>
      <x:c r="AF767" s="34"/>
      <x:c r="AG767" s="34"/>
      <x:c r="AH767" s="34"/>
      <x:c r="AI767" s="34"/>
    </x:row>
    <x:row r="768">
      <x:c r="A768" s="34" t="str">
        <x:v>article1-unified-v4-2-fb3f101b-20260903-000401-default-f04-p1-jcs4</x:v>
      </x:c>
      <x:c r="B768" s="34" t="str">
        <x:v>default</x:v>
      </x:c>
      <x:c r="C768" s="34" t="str">
        <x:v>jcs4</x:v>
      </x:c>
      <x:c r="D768" s="34" t="str">
        <x:v>jcs4</x:v>
      </x:c>
      <x:c r="E768" s="36" t="n">
        <x:v>4</x:v>
      </x:c>
      <x:c r="F768" s="36" t="n">
        <x:v>4</x:v>
      </x:c>
      <x:c r="G768" s="36" t="n">
        <x:v>1</x:v>
      </x:c>
      <x:c r="H768" s="36" t="n">
        <x:v>4</x:v>
      </x:c>
      <x:c r="I768" s="34" t="str">
        <x:v>afterUndeployEarly</x:v>
      </x:c>
      <x:c r="J768" s="34" t="str">
        <x:v>after-undeploy-early</x:v>
      </x:c>
      <x:c r="K768" s="36" t="n">
        <x:v>1</x:v>
      </x:c>
      <x:c r="L768" s="34" t="str">
        <x:v>early</x:v>
      </x:c>
      <x:c r="M768" s="34" t="str">
        <x:v>article1-unified-v4-2-fb3f101b-20260903-000401-default-f04-p1-jcs4-4-after-undeploy-early-2s</x:v>
      </x:c>
      <x:c r="N768" s="38" t="n">
        <x:v>46268.028442905095</x:v>
      </x:c>
      <x:c r="O768" s="36"/>
      <x:c r="P768" s="43"/>
      <x:c r="Q768" s="43"/>
      <x:c r="R768" s="43"/>
      <x:c r="S768" s="36"/>
      <x:c r="T768" s="44"/>
      <x:c r="U768" s="36" t="n">
        <x:v>27</x:v>
      </x:c>
      <x:c r="V768" s="36" t="n">
        <x:v>0</x:v>
      </x:c>
      <x:c r="W768" s="44"/>
      <x:c r="X768" s="36"/>
      <x:c r="Y768" s="36"/>
      <x:c r="Z768" s="44"/>
      <x:c r="AA768" s="49"/>
      <x:c r="AB768" s="43" t="n">
        <x:v>5</x:v>
      </x:c>
      <x:c r="AC768" s="34"/>
      <x:c r="AD768" s="34"/>
      <x:c r="AE768" s="34" t="str">
        <x:v>article1-unified-v4-2-fb3f101b-20260903-000401-default-f04-p1-jcs4-4-after-undeploy-early-2s-thread-dump.txt</x:v>
      </x:c>
      <x:c r="AF768" s="34" t="str">
        <x:v>article1-unified-v4-2-fb3f101b-20260903-000401-default-f04-p1-jcs4-4-after-undeploy-early-tomcat-log.txt</x:v>
      </x:c>
      <x:c r="AG768" s="34"/>
      <x:c r="AH768" s="34"/>
      <x:c r="AI768" s="34"/>
    </x:row>
    <x:row r="769">
      <x:c r="A769" s="34" t="str">
        <x:v>article1-unified-v4-2-fb3f101b-20260903-000401-default-f04-p1-jcs4</x:v>
      </x:c>
      <x:c r="B769" s="34" t="str">
        <x:v>default</x:v>
      </x:c>
      <x:c r="C769" s="34" t="str">
        <x:v>jcs4</x:v>
      </x:c>
      <x:c r="D769" s="34" t="str">
        <x:v>jcs4</x:v>
      </x:c>
      <x:c r="E769" s="36" t="n">
        <x:v>4</x:v>
      </x:c>
      <x:c r="F769" s="36" t="n">
        <x:v>4</x:v>
      </x:c>
      <x:c r="G769" s="36" t="n">
        <x:v>1</x:v>
      </x:c>
      <x:c r="H769" s="36" t="n">
        <x:v>4</x:v>
      </x:c>
      <x:c r="I769" s="34" t="str">
        <x:v>afterUndeploy</x:v>
      </x:c>
      <x:c r="J769" s="34" t="str">
        <x:v>after-undeploy-final</x:v>
      </x:c>
      <x:c r="K769" s="36" t="n">
        <x:v>1</x:v>
      </x:c>
      <x:c r="L769" s="34" t="str">
        <x:v>final</x:v>
      </x:c>
      <x:c r="M769" s="34" t="str">
        <x:v>article1-unified-v4-2-fb3f101b-20260903-000401-default-f04-p1-jcs4-4-after-undeploy-final-10s</x:v>
      </x:c>
      <x:c r="N769" s="38" t="n">
        <x:v>46268.028600543985</x:v>
      </x:c>
      <x:c r="O769" s="36" t="n">
        <x:v>2</x:v>
      </x:c>
      <x:c r="P769" s="43" t="n">
        <x:v>15839232</x:v>
      </x:c>
      <x:c r="Q769" s="43" t="n">
        <x:v>268435456</x:v>
      </x:c>
      <x:c r="R769" s="43" t="n">
        <x:v>422486016</x:v>
      </x:c>
      <x:c r="S769" s="36" t="n">
        <x:v>2</x:v>
      </x:c>
      <x:c r="T769" s="44" t="str">
        <x:v>0x000000000d1177b8  0x000000000d003818  0x00007909d05f5310       0         0         0  org.apache.catalina.loader.ParallelWebappClassLoader | 0x000000000d1177b8  0x000000000d003818  0x000079092c6a3320    4411  20964352  20956208  org.apache.catalina.loader.ParallelWebappClassLoader</x:v>
      </x:c>
      <x:c r="U769" s="36" t="n">
        <x:v>27</x:v>
      </x:c>
      <x:c r="V769" s="36" t="n">
        <x:v>0</x:v>
      </x:c>
      <x:c r="W769" s="44"/>
      <x:c r="X769" s="36" t="n">
        <x:v>1</x:v>
      </x:c>
      <x:c r="Y769" s="36" t="n">
        <x:v>1</x:v>
      </x:c>
      <x:c r="Z769" s="44" t="str">
        <x:v>/jcs4</x:v>
      </x:c>
      <x:c r="AA769" s="45" t="b">
        <x:v>1</x:v>
      </x:c>
      <x:c r="AB769" s="43"/>
      <x:c r="AC769" s="34" t="str">
        <x:v>article1-unified-v4-2-fb3f101b-20260903-000401-default-f04-p1-jcs4-4-after-undeploy-final-10s-heap-info.txt</x:v>
      </x:c>
      <x:c r="AD769" s="34" t="str">
        <x:v>article1-unified-v4-2-fb3f101b-20260903-000401-default-f04-p1-jcs4-4-after-undeploy-final-10s-classloader-stats.txt</x:v>
      </x:c>
      <x:c r="AE769" s="34" t="str">
        <x:v>article1-unified-v4-2-fb3f101b-20260903-000401-default-f04-p1-jcs4-4-after-undeploy-final-10s-thread-dump.txt</x:v>
      </x:c>
      <x:c r="AF769" s="34"/>
      <x:c r="AG769" s="34" t="str">
        <x:v>article1-unified-v4-2-fb3f101b-20260903-000401-default-f04-p1-jcs4-4-after-undeploy-final-10s-native-memory.txt</x:v>
      </x:c>
      <x:c r="AH769" s="34" t="str">
        <x:v>article1-unified-v4-2-fb3f101b-20260903-000401-default-f04-p1-jcs4-4-after-undeploy-final-10s-class-histogram.txt</x:v>
      </x:c>
      <x:c r="AI769" s="34" t="str">
        <x:v>article1-unified-v4-2-fb3f101b-20260903-000401-default-f04-p1-jcs4-4-after-undeploy-tomcat-findleaks.txt</x:v>
      </x:c>
    </x:row>
    <x:row r="770">
      <x:c r="A770" s="34" t="str">
        <x:v>article1-unified-v4-2-fb3f101b-20260903-000401-default-f04-p1-jcs4</x:v>
      </x:c>
      <x:c r="B770" s="34" t="str">
        <x:v>default</x:v>
      </x:c>
      <x:c r="C770" s="34" t="str">
        <x:v>jcs4</x:v>
      </x:c>
      <x:c r="D770" s="34" t="str">
        <x:v>jcs4</x:v>
      </x:c>
      <x:c r="E770" s="36" t="n">
        <x:v>4</x:v>
      </x:c>
      <x:c r="F770" s="36" t="n">
        <x:v>4</x:v>
      </x:c>
      <x:c r="G770" s="36" t="n">
        <x:v>1</x:v>
      </x:c>
      <x:c r="H770" s="36" t="n">
        <x:v>4</x:v>
      </x:c>
      <x:c r="I770" s="34" t="str">
        <x:v>redeployedLoaded</x:v>
      </x:c>
      <x:c r="J770" s="34" t="str">
        <x:v>redeployed-loaded</x:v>
      </x:c>
      <x:c r="K770" s="36" t="n">
        <x:v>0</x:v>
      </x:c>
      <x:c r="L770" s="34" t="str">
        <x:v>redeploy</x:v>
      </x:c>
      <x:c r="M770" s="34" t="str">
        <x:v>article1-unified-v4-2-fb3f101b-20260903-000401-default-f04-p1-jcs4-4-redeployed-loaded</x:v>
      </x:c>
      <x:c r="N770" s="38" t="n">
        <x:v>46268.02886076389</x:v>
      </x:c>
      <x:c r="O770" s="36" t="n">
        <x:v>0</x:v>
      </x:c>
      <x:c r="P770" s="43" t="n">
        <x:v>145681408</x:v>
      </x:c>
      <x:c r="Q770" s="43" t="n">
        <x:v>268435456</x:v>
      </x:c>
      <x:c r="R770" s="43" t="n">
        <x:v>443952128</x:v>
      </x:c>
      <x:c r="S770" s="36" t="n">
        <x:v>3</x:v>
      </x:c>
      <x:c r="T770" s="44" t="str">
        <x:v>0x000000000d1177b8  0x000000000d003818  0x00007909d05f5310       0         0         0  org.apache.catalina.loader.ParallelWebappClassLoader | 0x000000000d1177b8  0x000000000d003818  0x000079092c6a3320    4411  20964352  20956208  org.apache.catalina.loader.ParallelWebappClassLoader | 0x000000000d1177b8  0x000000000d003818  0x00007908e41495e0    4394  20941824  20925976  org.apache.catalina.loader.ParallelWebappClassLoader</x:v>
      </x:c>
      <x:c r="U770" s="36" t="n">
        <x:v>28</x:v>
      </x:c>
      <x:c r="V770" s="36" t="n">
        <x:v>1</x:v>
      </x:c>
      <x:c r="W770" s="44" t="str">
        <x:v>jcs4-thread-pool-event-queue:JCS-ThreadPoolManager-ElementEventQueue-Thread-25#346</x:v>
      </x:c>
      <x:c r="X770" s="36"/>
      <x:c r="Y770" s="36"/>
      <x:c r="Z770" s="44"/>
      <x:c r="AA770" s="49"/>
      <x:c r="AB770" s="43"/>
      <x:c r="AC770" s="34"/>
      <x:c r="AD770" s="34"/>
      <x:c r="AE770" s="34"/>
      <x:c r="AF770" s="34"/>
      <x:c r="AG770" s="34"/>
      <x:c r="AH770" s="34"/>
      <x:c r="AI770" s="34"/>
    </x:row>
    <x:row r="771">
      <x:c r="A771" s="34" t="str">
        <x:v>article1-unified-v4-2-fb3f101b-20260903-000401-default-f04-p1-jcs4</x:v>
      </x:c>
      <x:c r="B771" s="34" t="str">
        <x:v>default</x:v>
      </x:c>
      <x:c r="C771" s="34" t="str">
        <x:v>jcs4</x:v>
      </x:c>
      <x:c r="D771" s="34" t="str">
        <x:v>jcs4</x:v>
      </x:c>
      <x:c r="E771" s="36" t="n">
        <x:v>4</x:v>
      </x:c>
      <x:c r="F771" s="36" t="n">
        <x:v>4</x:v>
      </x:c>
      <x:c r="G771" s="36" t="n">
        <x:v>1</x:v>
      </x:c>
      <x:c r="H771" s="36" t="n">
        <x:v>4</x:v>
      </x:c>
      <x:c r="I771" s="34" t="str">
        <x:v>afterFinalUndeployEarly</x:v>
      </x:c>
      <x:c r="J771" s="34" t="str">
        <x:v>after-final-undeploy-early</x:v>
      </x:c>
      <x:c r="K771" s="36" t="n">
        <x:v>2</x:v>
      </x:c>
      <x:c r="L771" s="34" t="str">
        <x:v>early</x:v>
      </x:c>
      <x:c r="M771" s="34" t="str">
        <x:v>article1-unified-v4-2-fb3f101b-20260903-000401-default-f04-p1-jcs4-4-after-final-undeploy-early-2s</x:v>
      </x:c>
      <x:c r="N771" s="38" t="n">
        <x:v>46268.02895197917</x:v>
      </x:c>
      <x:c r="O771" s="36"/>
      <x:c r="P771" s="43"/>
      <x:c r="Q771" s="43"/>
      <x:c r="R771" s="43"/>
      <x:c r="S771" s="36"/>
      <x:c r="T771" s="44"/>
      <x:c r="U771" s="36" t="n">
        <x:v>27</x:v>
      </x:c>
      <x:c r="V771" s="36" t="n">
        <x:v>0</x:v>
      </x:c>
      <x:c r="W771" s="44"/>
      <x:c r="X771" s="36"/>
      <x:c r="Y771" s="36"/>
      <x:c r="Z771" s="44"/>
      <x:c r="AA771" s="49"/>
      <x:c r="AB771" s="43" t="n">
        <x:v>5</x:v>
      </x:c>
      <x:c r="AC771" s="34"/>
      <x:c r="AD771" s="34"/>
      <x:c r="AE771" s="34" t="str">
        <x:v>article1-unified-v4-2-fb3f101b-20260903-000401-default-f04-p1-jcs4-4-after-final-undeploy-early-2s-thread-dump.txt</x:v>
      </x:c>
      <x:c r="AF771" s="34" t="str">
        <x:v>article1-unified-v4-2-fb3f101b-20260903-000401-default-f04-p1-jcs4-4-after-final-undeploy-early-tomcat-log.txt</x:v>
      </x:c>
      <x:c r="AG771" s="34"/>
      <x:c r="AH771" s="34"/>
      <x:c r="AI771" s="34"/>
    </x:row>
    <x:row r="772">
      <x:c r="A772" s="34" t="str">
        <x:v>article1-unified-v4-2-fb3f101b-20260903-000401-default-f04-p1-jcs4</x:v>
      </x:c>
      <x:c r="B772" s="34" t="str">
        <x:v>default</x:v>
      </x:c>
      <x:c r="C772" s="34" t="str">
        <x:v>jcs4</x:v>
      </x:c>
      <x:c r="D772" s="34" t="str">
        <x:v>jcs4</x:v>
      </x:c>
      <x:c r="E772" s="36" t="n">
        <x:v>4</x:v>
      </x:c>
      <x:c r="F772" s="36" t="n">
        <x:v>4</x:v>
      </x:c>
      <x:c r="G772" s="36" t="n">
        <x:v>1</x:v>
      </x:c>
      <x:c r="H772" s="36" t="n">
        <x:v>4</x:v>
      </x:c>
      <x:c r="I772" s="34" t="str">
        <x:v>afterFinalUndeploy</x:v>
      </x:c>
      <x:c r="J772" s="34" t="str">
        <x:v>after-final-undeploy-final</x:v>
      </x:c>
      <x:c r="K772" s="36" t="n">
        <x:v>2</x:v>
      </x:c>
      <x:c r="L772" s="34" t="str">
        <x:v>final</x:v>
      </x:c>
      <x:c r="M772" s="34" t="str">
        <x:v>article1-unified-v4-2-fb3f101b-20260903-000401-default-f04-p1-jcs4-4-after-final-undeploy-final-10s</x:v>
      </x:c>
      <x:c r="N772" s="38" t="n">
        <x:v>46268.0291130787</x:v>
      </x:c>
      <x:c r="O772" s="36" t="n">
        <x:v>2</x:v>
      </x:c>
      <x:c r="P772" s="43" t="n">
        <x:v>15857664</x:v>
      </x:c>
      <x:c r="Q772" s="43" t="n">
        <x:v>268435456</x:v>
      </x:c>
      <x:c r="R772" s="43" t="n">
        <x:v>428092416</x:v>
      </x:c>
      <x:c r="S772" s="36" t="n">
        <x:v>2</x:v>
      </x:c>
      <x:c r="T772" s="44" t="str">
        <x:v>0x000000000d1177b8  0x000000000d003818  0x00007909d05f5310       0         0         0  org.apache.catalina.loader.ParallelWebappClassLoader | 0x000000000d1177b8  0x000000000d003818  0x00007908e41495e0    4408  20974592  20961336  org.apache.catalina.loader.ParallelWebappClassLoader</x:v>
      </x:c>
      <x:c r="U772" s="36" t="n">
        <x:v>27</x:v>
      </x:c>
      <x:c r="V772" s="36" t="n">
        <x:v>0</x:v>
      </x:c>
      <x:c r="W772" s="44"/>
      <x:c r="X772" s="36" t="n">
        <x:v>1</x:v>
      </x:c>
      <x:c r="Y772" s="36" t="n">
        <x:v>1</x:v>
      </x:c>
      <x:c r="Z772" s="44" t="str">
        <x:v>/jcs4</x:v>
      </x:c>
      <x:c r="AA772" s="45" t="b">
        <x:v>1</x:v>
      </x:c>
      <x:c r="AB772" s="43"/>
      <x:c r="AC772" s="34" t="str">
        <x:v>article1-unified-v4-2-fb3f101b-20260903-000401-default-f04-p1-jcs4-4-after-final-undeploy-final-10s-heap-info.txt</x:v>
      </x:c>
      <x:c r="AD772" s="34" t="str">
        <x:v>article1-unified-v4-2-fb3f101b-20260903-000401-default-f04-p1-jcs4-4-after-final-undeploy-final-10s-classloader-stats.txt</x:v>
      </x:c>
      <x:c r="AE772" s="34" t="str">
        <x:v>article1-unified-v4-2-fb3f101b-20260903-000401-default-f04-p1-jcs4-4-after-final-undeploy-final-10s-thread-dump.txt</x:v>
      </x:c>
      <x:c r="AF772" s="34"/>
      <x:c r="AG772" s="34" t="str">
        <x:v>article1-unified-v4-2-fb3f101b-20260903-000401-default-f04-p1-jcs4-4-after-final-undeploy-final-10s-native-memory.txt</x:v>
      </x:c>
      <x:c r="AH772" s="34" t="str">
        <x:v>article1-unified-v4-2-fb3f101b-20260903-000401-default-f04-p1-jcs4-4-after-final-undeploy-final-10s-class-histogram.txt</x:v>
      </x:c>
      <x:c r="AI772" s="34" t="str">
        <x:v>article1-unified-v4-2-fb3f101b-20260903-000401-default-f04-p1-jcs4-4-after-final-undeploy-tomcat-findleaks.txt</x:v>
      </x:c>
    </x:row>
    <x:row r="773">
      <x:c r="A773" s="34" t="str">
        <x:v>article1-unified-v4-2-fb3f101b-20260903-000401-default-f04-p1-jcs4</x:v>
      </x:c>
      <x:c r="B773" s="34" t="str">
        <x:v>default</x:v>
      </x:c>
      <x:c r="C773" s="34" t="str">
        <x:v>jcs4</x:v>
      </x:c>
      <x:c r="D773" s="34" t="str">
        <x:v>jcs4</x:v>
      </x:c>
      <x:c r="E773" s="36" t="n">
        <x:v>4</x:v>
      </x:c>
      <x:c r="F773" s="36" t="n">
        <x:v>4</x:v>
      </x:c>
      <x:c r="G773" s="36" t="n">
        <x:v>1</x:v>
      </x:c>
      <x:c r="H773" s="36" t="n">
        <x:v>5</x:v>
      </x:c>
      <x:c r="I773" s="34" t="str">
        <x:v>baseline</x:v>
      </x:c>
      <x:c r="J773" s="34" t="str">
        <x:v>cycle-baseline</x:v>
      </x:c>
      <x:c r="K773" s="36" t="n">
        <x:v>0</x:v>
      </x:c>
      <x:c r="L773" s="34" t="str">
        <x:v>baseline</x:v>
      </x:c>
      <x:c r="M773" s="34" t="str">
        <x:v>article1-unified-v4-2-fb3f101b-20260903-000401-default-f04-p1-jcs4-5-baseline</x:v>
      </x:c>
      <x:c r="N773" s="38" t="n">
        <x:v>46268.02915653935</x:v>
      </x:c>
      <x:c r="O773" s="36" t="n">
        <x:v>0</x:v>
      </x:c>
      <x:c r="P773" s="43" t="n">
        <x:v>15857664</x:v>
      </x:c>
      <x:c r="Q773" s="43" t="n">
        <x:v>268435456</x:v>
      </x:c>
      <x:c r="R773" s="43" t="n">
        <x:v>428092416</x:v>
      </x:c>
      <x:c r="S773" s="36" t="n">
        <x:v>2</x:v>
      </x:c>
      <x:c r="T773" s="44" t="str">
        <x:v>0x000000000d1177b8  0x000000000d003818  0x00007909d05f5310       0         0         0  org.apache.catalina.loader.ParallelWebappClassLoader | 0x000000000d1177b8  0x000000000d003818  0x00007908e41495e0    4408  20974592  20961336  org.apache.catalina.loader.ParallelWebappClassLoader</x:v>
      </x:c>
      <x:c r="U773" s="36" t="n">
        <x:v>27</x:v>
      </x:c>
      <x:c r="V773" s="36" t="n">
        <x:v>0</x:v>
      </x:c>
      <x:c r="W773" s="44"/>
      <x:c r="X773" s="36"/>
      <x:c r="Y773" s="36"/>
      <x:c r="Z773" s="44"/>
      <x:c r="AA773" s="49"/>
      <x:c r="AB773" s="43"/>
      <x:c r="AC773" s="34" t="str">
        <x:v>article1-unified-v4-2-fb3f101b-20260903-000401-default-f04-p1-jcs4-5-baseline-heap-info.txt</x:v>
      </x:c>
      <x:c r="AD773" s="34" t="str">
        <x:v>article1-unified-v4-2-fb3f101b-20260903-000401-default-f04-p1-jcs4-5-baseline-classloader-stats.txt</x:v>
      </x:c>
      <x:c r="AE773" s="34" t="str">
        <x:v>article1-unified-v4-2-fb3f101b-20260903-000401-default-f04-p1-jcs4-5-baseline-thread-dump.txt</x:v>
      </x:c>
      <x:c r="AF773" s="34"/>
      <x:c r="AG773" s="34" t="str">
        <x:v>article1-unified-v4-2-fb3f101b-20260903-000401-default-f04-p1-jcs4-5-baseline-native-memory.txt</x:v>
      </x:c>
      <x:c r="AH773" s="34"/>
      <x:c r="AI773" s="34"/>
    </x:row>
    <x:row r="774">
      <x:c r="A774" s="34" t="str">
        <x:v>article1-unified-v4-2-fb3f101b-20260903-000401-default-f04-p1-jcs4</x:v>
      </x:c>
      <x:c r="B774" s="34" t="str">
        <x:v>default</x:v>
      </x:c>
      <x:c r="C774" s="34" t="str">
        <x:v>jcs4</x:v>
      </x:c>
      <x:c r="D774" s="34" t="str">
        <x:v>jcs4</x:v>
      </x:c>
      <x:c r="E774" s="36" t="n">
        <x:v>4</x:v>
      </x:c>
      <x:c r="F774" s="36" t="n">
        <x:v>4</x:v>
      </x:c>
      <x:c r="G774" s="36" t="n">
        <x:v>1</x:v>
      </x:c>
      <x:c r="H774" s="36" t="n">
        <x:v>5</x:v>
      </x:c>
      <x:c r="I774" s="34" t="str">
        <x:v>deployedIdle</x:v>
      </x:c>
      <x:c r="J774" s="34" t="str">
        <x:v>deployed-idle</x:v>
      </x:c>
      <x:c r="K774" s="36" t="n">
        <x:v>0</x:v>
      </x:c>
      <x:c r="L774" s="34" t="str">
        <x:v>initial</x:v>
      </x:c>
      <x:c r="M774" s="34" t="str">
        <x:v>article1-unified-v4-2-fb3f101b-20260903-000401-default-f04-p1-jcs4-5-deployed-idle</x:v>
      </x:c>
      <x:c r="N774" s="38" t="n">
        <x:v>46268.02925616898</x:v>
      </x:c>
      <x:c r="O774" s="36" t="n">
        <x:v>0</x:v>
      </x:c>
      <x:c r="P774" s="43" t="n">
        <x:v>167230464</x:v>
      </x:c>
      <x:c r="Q774" s="43" t="n">
        <x:v>268435456</x:v>
      </x:c>
      <x:c r="R774" s="43" t="n">
        <x:v>464057344</x:v>
      </x:c>
      <x:c r="S774" s="36" t="n">
        <x:v>3</x:v>
      </x:c>
      <x:c r="T774" s="44" t="str">
        <x:v>0x000000000d1177b8  0x000000000d003818  0x00007909d05f5310       0         0         0  org.apache.catalina.loader.ParallelWebappClassLoader | 0x000000000d1177b8  0x000000000d003818  0x00007908e41495e0    4408  20974592  20961336  org.apache.catalina.loader.ParallelWebappClassLoader | 0x000000000d1177b8  0x000000000d003818  0x00007908dc1f3810    4091  19435520  19426096  org.apache.catalina.loader.ParallelWebappClassLoader</x:v>
      </x:c>
      <x:c r="U774" s="36" t="n">
        <x:v>27</x:v>
      </x:c>
      <x:c r="V774" s="36" t="n">
        <x:v>0</x:v>
      </x:c>
      <x:c r="W774" s="44"/>
      <x:c r="X774" s="36"/>
      <x:c r="Y774" s="36"/>
      <x:c r="Z774" s="44"/>
      <x:c r="AA774" s="49"/>
      <x:c r="AB774" s="43"/>
      <x:c r="AC774" s="34"/>
      <x:c r="AD774" s="34"/>
      <x:c r="AE774" s="34"/>
      <x:c r="AF774" s="34"/>
      <x:c r="AG774" s="34"/>
      <x:c r="AH774" s="34"/>
      <x:c r="AI774" s="34"/>
    </x:row>
    <x:row r="775">
      <x:c r="A775" s="34" t="str">
        <x:v>article1-unified-v4-2-fb3f101b-20260903-000401-default-f04-p1-jcs4</x:v>
      </x:c>
      <x:c r="B775" s="34" t="str">
        <x:v>default</x:v>
      </x:c>
      <x:c r="C775" s="34" t="str">
        <x:v>jcs4</x:v>
      </x:c>
      <x:c r="D775" s="34" t="str">
        <x:v>jcs4</x:v>
      </x:c>
      <x:c r="E775" s="36" t="n">
        <x:v>4</x:v>
      </x:c>
      <x:c r="F775" s="36" t="n">
        <x:v>4</x:v>
      </x:c>
      <x:c r="G775" s="36" t="n">
        <x:v>1</x:v>
      </x:c>
      <x:c r="H775" s="36" t="n">
        <x:v>5</x:v>
      </x:c>
      <x:c r="I775" s="34" t="str">
        <x:v>loaded</x:v>
      </x:c>
      <x:c r="J775" s="34" t="str">
        <x:v>loaded</x:v>
      </x:c>
      <x:c r="K775" s="36" t="n">
        <x:v>0</x:v>
      </x:c>
      <x:c r="L775" s="34" t="str">
        <x:v>initial</x:v>
      </x:c>
      <x:c r="M775" s="34" t="str">
        <x:v>article1-unified-v4-2-fb3f101b-20260903-000401-default-f04-p1-jcs4-5-loaded</x:v>
      </x:c>
      <x:c r="N775" s="38" t="n">
        <x:v>46268.02940530093</x:v>
      </x:c>
      <x:c r="O775" s="36" t="n">
        <x:v>0</x:v>
      </x:c>
      <x:c r="P775" s="43" t="n">
        <x:v>115464192</x:v>
      </x:c>
      <x:c r="Q775" s="43" t="n">
        <x:v>268435456</x:v>
      </x:c>
      <x:c r="R775" s="43" t="n">
        <x:v>446141440</x:v>
      </x:c>
      <x:c r="S775" s="36" t="n">
        <x:v>3</x:v>
      </x:c>
      <x:c r="T775" s="44" t="str">
        <x:v>0x000000000d1177b8  0x000000000d003818  0x00007909d05f5310       0         0         0  org.apache.catalina.loader.ParallelWebappClassLoader | 0x000000000d1177b8  0x000000000d003818  0x00007908dc1f3810    4389  20942848  20930856  org.apache.catalina.loader.ParallelWebappClassLoader | 0x000000000d1177b8  0x000000000d003818  0x00007908e41495e0    4408  20974592  20961336  org.apache.catalina.loader.ParallelWebappClassLoader</x:v>
      </x:c>
      <x:c r="U775" s="36" t="n">
        <x:v>28</x:v>
      </x:c>
      <x:c r="V775" s="36" t="n">
        <x:v>1</x:v>
      </x:c>
      <x:c r="W775" s="44" t="str">
        <x:v>jcs4-thread-pool-event-queue:JCS-ThreadPoolManager-ElementEventQueue-Thread-28#388</x:v>
      </x:c>
      <x:c r="X775" s="36"/>
      <x:c r="Y775" s="36"/>
      <x:c r="Z775" s="44"/>
      <x:c r="AA775" s="49"/>
      <x:c r="AB775" s="43"/>
      <x:c r="AC775" s="34"/>
      <x:c r="AD775" s="34"/>
      <x:c r="AE775" s="34"/>
      <x:c r="AF775" s="34"/>
      <x:c r="AG775" s="34"/>
      <x:c r="AH775" s="34"/>
      <x:c r="AI775" s="34"/>
    </x:row>
    <x:row r="776">
      <x:c r="A776" s="34" t="str">
        <x:v>article1-unified-v4-2-fb3f101b-20260903-000401-default-f04-p1-jcs4</x:v>
      </x:c>
      <x:c r="B776" s="34" t="str">
        <x:v>default</x:v>
      </x:c>
      <x:c r="C776" s="34" t="str">
        <x:v>jcs4</x:v>
      </x:c>
      <x:c r="D776" s="34" t="str">
        <x:v>jcs4</x:v>
      </x:c>
      <x:c r="E776" s="36" t="n">
        <x:v>4</x:v>
      </x:c>
      <x:c r="F776" s="36" t="n">
        <x:v>4</x:v>
      </x:c>
      <x:c r="G776" s="36" t="n">
        <x:v>1</x:v>
      </x:c>
      <x:c r="H776" s="36" t="n">
        <x:v>5</x:v>
      </x:c>
      <x:c r="I776" s="34" t="str">
        <x:v>afterUndeployEarly</x:v>
      </x:c>
      <x:c r="J776" s="34" t="str">
        <x:v>after-undeploy-early</x:v>
      </x:c>
      <x:c r="K776" s="36" t="n">
        <x:v>1</x:v>
      </x:c>
      <x:c r="L776" s="34" t="str">
        <x:v>early</x:v>
      </x:c>
      <x:c r="M776" s="34" t="str">
        <x:v>article1-unified-v4-2-fb3f101b-20260903-000401-default-f04-p1-jcs4-5-after-undeploy-early-2s</x:v>
      </x:c>
      <x:c r="N776" s="38" t="n">
        <x:v>46268.02949505787</x:v>
      </x:c>
      <x:c r="O776" s="36"/>
      <x:c r="P776" s="43"/>
      <x:c r="Q776" s="43"/>
      <x:c r="R776" s="43"/>
      <x:c r="S776" s="36"/>
      <x:c r="T776" s="44"/>
      <x:c r="U776" s="36" t="n">
        <x:v>27</x:v>
      </x:c>
      <x:c r="V776" s="36" t="n">
        <x:v>0</x:v>
      </x:c>
      <x:c r="W776" s="44"/>
      <x:c r="X776" s="36"/>
      <x:c r="Y776" s="36"/>
      <x:c r="Z776" s="44"/>
      <x:c r="AA776" s="49"/>
      <x:c r="AB776" s="43" t="n">
        <x:v>5</x:v>
      </x:c>
      <x:c r="AC776" s="34"/>
      <x:c r="AD776" s="34"/>
      <x:c r="AE776" s="34" t="str">
        <x:v>article1-unified-v4-2-fb3f101b-20260903-000401-default-f04-p1-jcs4-5-after-undeploy-early-2s-thread-dump.txt</x:v>
      </x:c>
      <x:c r="AF776" s="34" t="str">
        <x:v>article1-unified-v4-2-fb3f101b-20260903-000401-default-f04-p1-jcs4-5-after-undeploy-early-tomcat-log.txt</x:v>
      </x:c>
      <x:c r="AG776" s="34"/>
      <x:c r="AH776" s="34"/>
      <x:c r="AI776" s="34"/>
    </x:row>
    <x:row r="777">
      <x:c r="A777" s="34" t="str">
        <x:v>article1-unified-v4-2-fb3f101b-20260903-000401-default-f04-p1-jcs4</x:v>
      </x:c>
      <x:c r="B777" s="34" t="str">
        <x:v>default</x:v>
      </x:c>
      <x:c r="C777" s="34" t="str">
        <x:v>jcs4</x:v>
      </x:c>
      <x:c r="D777" s="34" t="str">
        <x:v>jcs4</x:v>
      </x:c>
      <x:c r="E777" s="36" t="n">
        <x:v>4</x:v>
      </x:c>
      <x:c r="F777" s="36" t="n">
        <x:v>4</x:v>
      </x:c>
      <x:c r="G777" s="36" t="n">
        <x:v>1</x:v>
      </x:c>
      <x:c r="H777" s="36" t="n">
        <x:v>5</x:v>
      </x:c>
      <x:c r="I777" s="34" t="str">
        <x:v>afterUndeploy</x:v>
      </x:c>
      <x:c r="J777" s="34" t="str">
        <x:v>after-undeploy-final</x:v>
      </x:c>
      <x:c r="K777" s="36" t="n">
        <x:v>1</x:v>
      </x:c>
      <x:c r="L777" s="34" t="str">
        <x:v>final</x:v>
      </x:c>
      <x:c r="M777" s="34" t="str">
        <x:v>article1-unified-v4-2-fb3f101b-20260903-000401-default-f04-p1-jcs4-5-after-undeploy-final-10s</x:v>
      </x:c>
      <x:c r="N777" s="38" t="n">
        <x:v>46268.029656122686</x:v>
      </x:c>
      <x:c r="O777" s="36" t="n">
        <x:v>2</x:v>
      </x:c>
      <x:c r="P777" s="43" t="n">
        <x:v>15885312</x:v>
      </x:c>
      <x:c r="Q777" s="43" t="n">
        <x:v>268435456</x:v>
      </x:c>
      <x:c r="R777" s="43" t="n">
        <x:v>425228288</x:v>
      </x:c>
      <x:c r="S777" s="36" t="n">
        <x:v>2</x:v>
      </x:c>
      <x:c r="T777" s="44" t="str">
        <x:v>0x000000000d1177b8  0x000000000d003818  0x00007909d05f5310       0         0         0  org.apache.catalina.loader.ParallelWebappClassLoader | 0x000000000d1177b8  0x000000000d003818  0x00007908dc1f3810    4403  20992000  20966248  org.apache.catalina.loader.ParallelWebappClassLoader</x:v>
      </x:c>
      <x:c r="U777" s="36" t="n">
        <x:v>27</x:v>
      </x:c>
      <x:c r="V777" s="36" t="n">
        <x:v>0</x:v>
      </x:c>
      <x:c r="W777" s="44"/>
      <x:c r="X777" s="36" t="n">
        <x:v>1</x:v>
      </x:c>
      <x:c r="Y777" s="36" t="n">
        <x:v>1</x:v>
      </x:c>
      <x:c r="Z777" s="44" t="str">
        <x:v>/jcs4</x:v>
      </x:c>
      <x:c r="AA777" s="45" t="b">
        <x:v>1</x:v>
      </x:c>
      <x:c r="AB777" s="43"/>
      <x:c r="AC777" s="34" t="str">
        <x:v>article1-unified-v4-2-fb3f101b-20260903-000401-default-f04-p1-jcs4-5-after-undeploy-final-10s-heap-info.txt</x:v>
      </x:c>
      <x:c r="AD777" s="34" t="str">
        <x:v>article1-unified-v4-2-fb3f101b-20260903-000401-default-f04-p1-jcs4-5-after-undeploy-final-10s-classloader-stats.txt</x:v>
      </x:c>
      <x:c r="AE777" s="34" t="str">
        <x:v>article1-unified-v4-2-fb3f101b-20260903-000401-default-f04-p1-jcs4-5-after-undeploy-final-10s-thread-dump.txt</x:v>
      </x:c>
      <x:c r="AF777" s="34"/>
      <x:c r="AG777" s="34" t="str">
        <x:v>article1-unified-v4-2-fb3f101b-20260903-000401-default-f04-p1-jcs4-5-after-undeploy-final-10s-native-memory.txt</x:v>
      </x:c>
      <x:c r="AH777" s="34" t="str">
        <x:v>article1-unified-v4-2-fb3f101b-20260903-000401-default-f04-p1-jcs4-5-after-undeploy-final-10s-class-histogram.txt</x:v>
      </x:c>
      <x:c r="AI777" s="34" t="str">
        <x:v>article1-unified-v4-2-fb3f101b-20260903-000401-default-f04-p1-jcs4-5-after-undeploy-tomcat-findleaks.txt</x:v>
      </x:c>
    </x:row>
    <x:row r="778">
      <x:c r="A778" s="34" t="str">
        <x:v>article1-unified-v4-2-fb3f101b-20260903-000401-default-f04-p1-jcs4</x:v>
      </x:c>
      <x:c r="B778" s="34" t="str">
        <x:v>default</x:v>
      </x:c>
      <x:c r="C778" s="34" t="str">
        <x:v>jcs4</x:v>
      </x:c>
      <x:c r="D778" s="34" t="str">
        <x:v>jcs4</x:v>
      </x:c>
      <x:c r="E778" s="36" t="n">
        <x:v>4</x:v>
      </x:c>
      <x:c r="F778" s="36" t="n">
        <x:v>4</x:v>
      </x:c>
      <x:c r="G778" s="36" t="n">
        <x:v>1</x:v>
      </x:c>
      <x:c r="H778" s="36" t="n">
        <x:v>5</x:v>
      </x:c>
      <x:c r="I778" s="34" t="str">
        <x:v>redeployedLoaded</x:v>
      </x:c>
      <x:c r="J778" s="34" t="str">
        <x:v>redeployed-loaded</x:v>
      </x:c>
      <x:c r="K778" s="36" t="n">
        <x:v>0</x:v>
      </x:c>
      <x:c r="L778" s="34" t="str">
        <x:v>redeploy</x:v>
      </x:c>
      <x:c r="M778" s="34" t="str">
        <x:v>article1-unified-v4-2-fb3f101b-20260903-000401-default-f04-p1-jcs4-5-redeployed-loaded</x:v>
      </x:c>
      <x:c r="N778" s="38" t="n">
        <x:v>46268.02991211806</x:v>
      </x:c>
      <x:c r="O778" s="36" t="n">
        <x:v>0</x:v>
      </x:c>
      <x:c r="P778" s="43" t="n">
        <x:v>172803072</x:v>
      </x:c>
      <x:c r="Q778" s="43" t="n">
        <x:v>268435456</x:v>
      </x:c>
      <x:c r="R778" s="43" t="n">
        <x:v>445530112</x:v>
      </x:c>
      <x:c r="S778" s="36" t="n">
        <x:v>3</x:v>
      </x:c>
      <x:c r="T778" s="44" t="str">
        <x:v>0x000000000d1177b8  0x000000000d003818  0x00007909d05f5310       0         0         0  org.apache.catalina.loader.ParallelWebappClassLoader | 0x000000000d1177b8  0x000000000d003818  0x00007908dc1f3810    4403  20992000  20966248  org.apache.catalina.loader.ParallelWebappClassLoader | 0x000000000d1177b8  0x000000000d003818  0x00007908ec1a1b30    4395  20957184  20949528  org.apache.catalina.loader.ParallelWebappClassLoader</x:v>
      </x:c>
      <x:c r="U778" s="36" t="n">
        <x:v>28</x:v>
      </x:c>
      <x:c r="V778" s="36" t="n">
        <x:v>1</x:v>
      </x:c>
      <x:c r="W778" s="44" t="str">
        <x:v>jcs4-thread-pool-event-queue:JCS-ThreadPoolManager-ElementEventQueue-Thread-31#431</x:v>
      </x:c>
      <x:c r="X778" s="36"/>
      <x:c r="Y778" s="36"/>
      <x:c r="Z778" s="44"/>
      <x:c r="AA778" s="49"/>
      <x:c r="AB778" s="43"/>
      <x:c r="AC778" s="34"/>
      <x:c r="AD778" s="34"/>
      <x:c r="AE778" s="34"/>
      <x:c r="AF778" s="34"/>
      <x:c r="AG778" s="34"/>
      <x:c r="AH778" s="34"/>
      <x:c r="AI778" s="34"/>
    </x:row>
    <x:row r="779">
      <x:c r="A779" s="34" t="str">
        <x:v>article1-unified-v4-2-fb3f101b-20260903-000401-default-f04-p1-jcs4</x:v>
      </x:c>
      <x:c r="B779" s="34" t="str">
        <x:v>default</x:v>
      </x:c>
      <x:c r="C779" s="34" t="str">
        <x:v>jcs4</x:v>
      </x:c>
      <x:c r="D779" s="34" t="str">
        <x:v>jcs4</x:v>
      </x:c>
      <x:c r="E779" s="36" t="n">
        <x:v>4</x:v>
      </x:c>
      <x:c r="F779" s="36" t="n">
        <x:v>4</x:v>
      </x:c>
      <x:c r="G779" s="36" t="n">
        <x:v>1</x:v>
      </x:c>
      <x:c r="H779" s="36" t="n">
        <x:v>5</x:v>
      </x:c>
      <x:c r="I779" s="34" t="str">
        <x:v>afterFinalUndeployEarly</x:v>
      </x:c>
      <x:c r="J779" s="34" t="str">
        <x:v>after-final-undeploy-early</x:v>
      </x:c>
      <x:c r="K779" s="36" t="n">
        <x:v>2</x:v>
      </x:c>
      <x:c r="L779" s="34" t="str">
        <x:v>early</x:v>
      </x:c>
      <x:c r="M779" s="34" t="str">
        <x:v>article1-unified-v4-2-fb3f101b-20260903-000401-default-f04-p1-jcs4-5-after-final-undeploy-early-2s</x:v>
      </x:c>
      <x:c r="N779" s="38" t="n">
        <x:v>46268.02999584491</x:v>
      </x:c>
      <x:c r="O779" s="36"/>
      <x:c r="P779" s="43"/>
      <x:c r="Q779" s="43"/>
      <x:c r="R779" s="43"/>
      <x:c r="S779" s="36"/>
      <x:c r="T779" s="44"/>
      <x:c r="U779" s="36" t="n">
        <x:v>27</x:v>
      </x:c>
      <x:c r="V779" s="36" t="n">
        <x:v>0</x:v>
      </x:c>
      <x:c r="W779" s="44"/>
      <x:c r="X779" s="36"/>
      <x:c r="Y779" s="36"/>
      <x:c r="Z779" s="44"/>
      <x:c r="AA779" s="49"/>
      <x:c r="AB779" s="43" t="n">
        <x:v>5</x:v>
      </x:c>
      <x:c r="AC779" s="34"/>
      <x:c r="AD779" s="34"/>
      <x:c r="AE779" s="34" t="str">
        <x:v>article1-unified-v4-2-fb3f101b-20260903-000401-default-f04-p1-jcs4-5-after-final-undeploy-early-2s-thread-dump.txt</x:v>
      </x:c>
      <x:c r="AF779" s="34" t="str">
        <x:v>article1-unified-v4-2-fb3f101b-20260903-000401-default-f04-p1-jcs4-5-after-final-undeploy-early-tomcat-log.txt</x:v>
      </x:c>
      <x:c r="AG779" s="34"/>
      <x:c r="AH779" s="34"/>
      <x:c r="AI779" s="34"/>
    </x:row>
    <x:row r="780">
      <x:c r="A780" s="34" t="str">
        <x:v>article1-unified-v4-2-fb3f101b-20260903-000401-default-f04-p1-jcs4</x:v>
      </x:c>
      <x:c r="B780" s="34" t="str">
        <x:v>default</x:v>
      </x:c>
      <x:c r="C780" s="34" t="str">
        <x:v>jcs4</x:v>
      </x:c>
      <x:c r="D780" s="34" t="str">
        <x:v>jcs4</x:v>
      </x:c>
      <x:c r="E780" s="36" t="n">
        <x:v>4</x:v>
      </x:c>
      <x:c r="F780" s="36" t="n">
        <x:v>4</x:v>
      </x:c>
      <x:c r="G780" s="36" t="n">
        <x:v>1</x:v>
      </x:c>
      <x:c r="H780" s="36" t="n">
        <x:v>5</x:v>
      </x:c>
      <x:c r="I780" s="34" t="str">
        <x:v>afterFinalUndeploy</x:v>
      </x:c>
      <x:c r="J780" s="34" t="str">
        <x:v>after-final-undeploy-final</x:v>
      </x:c>
      <x:c r="K780" s="36" t="n">
        <x:v>2</x:v>
      </x:c>
      <x:c r="L780" s="34" t="str">
        <x:v>final</x:v>
      </x:c>
      <x:c r="M780" s="34" t="str">
        <x:v>article1-unified-v4-2-fb3f101b-20260903-000401-default-f04-p1-jcs4-5-after-final-undeploy-final-10s</x:v>
      </x:c>
      <x:c r="N780" s="38" t="n">
        <x:v>46268.03015428241</x:v>
      </x:c>
      <x:c r="O780" s="36" t="n">
        <x:v>2</x:v>
      </x:c>
      <x:c r="P780" s="43" t="n">
        <x:v>15890432</x:v>
      </x:c>
      <x:c r="Q780" s="43" t="n">
        <x:v>268435456</x:v>
      </x:c>
      <x:c r="R780" s="43" t="n">
        <x:v>429869056</x:v>
      </x:c>
      <x:c r="S780" s="36" t="n">
        <x:v>2</x:v>
      </x:c>
      <x:c r="T780" s="44" t="str">
        <x:v>0x000000000d1177b8  0x000000000d003818  0x00007909d05f5310       0         0         0  org.apache.catalina.loader.ParallelWebappClassLoader | 0x000000000d1177b8  0x000000000d003818  0x00007908ec1a1b30    4409  21006336  20984920  org.apache.catalina.loader.ParallelWebappClassLoader</x:v>
      </x:c>
      <x:c r="U780" s="36" t="n">
        <x:v>27</x:v>
      </x:c>
      <x:c r="V780" s="36" t="n">
        <x:v>0</x:v>
      </x:c>
      <x:c r="W780" s="44"/>
      <x:c r="X780" s="36" t="n">
        <x:v>1</x:v>
      </x:c>
      <x:c r="Y780" s="36" t="n">
        <x:v>1</x:v>
      </x:c>
      <x:c r="Z780" s="44" t="str">
        <x:v>/jcs4</x:v>
      </x:c>
      <x:c r="AA780" s="45" t="b">
        <x:v>1</x:v>
      </x:c>
      <x:c r="AB780" s="43"/>
      <x:c r="AC780" s="34" t="str">
        <x:v>article1-unified-v4-2-fb3f101b-20260903-000401-default-f04-p1-jcs4-5-after-final-undeploy-final-10s-heap-info.txt</x:v>
      </x:c>
      <x:c r="AD780" s="34" t="str">
        <x:v>article1-unified-v4-2-fb3f101b-20260903-000401-default-f04-p1-jcs4-5-after-final-undeploy-final-10s-classloader-stats.txt</x:v>
      </x:c>
      <x:c r="AE780" s="34" t="str">
        <x:v>article1-unified-v4-2-fb3f101b-20260903-000401-default-f04-p1-jcs4-5-after-final-undeploy-final-10s-thread-dump.txt</x:v>
      </x:c>
      <x:c r="AF780" s="34"/>
      <x:c r="AG780" s="34" t="str">
        <x:v>article1-unified-v4-2-fb3f101b-20260903-000401-default-f04-p1-jcs4-5-after-final-undeploy-final-10s-native-memory.txt</x:v>
      </x:c>
      <x:c r="AH780" s="34" t="str">
        <x:v>article1-unified-v4-2-fb3f101b-20260903-000401-default-f04-p1-jcs4-5-after-final-undeploy-final-10s-class-histogram.txt</x:v>
      </x:c>
      <x:c r="AI780" s="34" t="str">
        <x:v>article1-unified-v4-2-fb3f101b-20260903-000401-default-f04-p1-jcs4-5-after-final-undeploy-tomcat-findleaks.txt</x:v>
      </x:c>
    </x:row>
    <x:row r="781">
      <x:c r="A781" s="34" t="str">
        <x:v>article1-unified-v4-2-fb3f101b-20260903-000401-default-f04-p2-jcs321</x:v>
      </x:c>
      <x:c r="B781" s="34" t="str">
        <x:v>default</x:v>
      </x:c>
      <x:c r="C781" s="34" t="str">
        <x:v>jcs321</x:v>
      </x:c>
      <x:c r="D781" s="34" t="str">
        <x:v>jcs321</x:v>
      </x:c>
      <x:c r="E781" s="36" t="n">
        <x:v>4</x:v>
      </x:c>
      <x:c r="F781" s="36" t="n">
        <x:v>4</x:v>
      </x:c>
      <x:c r="G781" s="36" t="n">
        <x:v>2</x:v>
      </x:c>
      <x:c r="H781" s="36" t="n">
        <x:v>0</x:v>
      </x:c>
      <x:c r="I781" s="34" t="str">
        <x:v>processBaseline</x:v>
      </x:c>
      <x:c r="J781" s="34" t="str">
        <x:v>process-baseline</x:v>
      </x:c>
      <x:c r="K781" s="36" t="n">
        <x:v>0</x:v>
      </x:c>
      <x:c r="L781" s="34" t="str">
        <x:v>baseline</x:v>
      </x:c>
      <x:c r="M781" s="34" t="str">
        <x:v>article1-unified-v4-2-fb3f101b-20260903-000401-default-f04-p2-jcs321-process-baseline</x:v>
      </x:c>
      <x:c r="N781" s="38" t="n">
        <x:v>46268.03041619213</x:v>
      </x:c>
      <x:c r="O781" s="36" t="n">
        <x:v>0</x:v>
      </x:c>
      <x:c r="P781" s="43" t="n">
        <x:v>32786432</x:v>
      </x:c>
      <x:c r="Q781" s="43" t="n">
        <x:v>270532608</x:v>
      </x:c>
      <x:c r="R781" s="43" t="n">
        <x:v>369764352</x:v>
      </x:c>
      <x:c r="S781" s="36" t="n">
        <x:v>1</x:v>
      </x:c>
      <x:c r="T781" s="44" t="str">
        <x:v>0x00000000551177b8  0x0000000055003818  0x00007944d4625460       0         0         0  org.apache.catalina.loader.ParallelWebappClassLoader</x:v>
      </x:c>
      <x:c r="U781" s="36" t="n">
        <x:v>27</x:v>
      </x:c>
      <x:c r="V781" s="36" t="n">
        <x:v>0</x:v>
      </x:c>
      <x:c r="W781" s="44"/>
      <x:c r="X781" s="36"/>
      <x:c r="Y781" s="36"/>
      <x:c r="Z781" s="44"/>
      <x:c r="AA781" s="49"/>
      <x:c r="AB781" s="43"/>
      <x:c r="AC781" s="34" t="str">
        <x:v>article1-unified-v4-2-fb3f101b-20260903-000401-default-f04-p2-jcs321-process-baseline-heap-info.txt</x:v>
      </x:c>
      <x:c r="AD781" s="34" t="str">
        <x:v>article1-unified-v4-2-fb3f101b-20260903-000401-default-f04-p2-jcs321-process-baseline-classloader-stats.txt</x:v>
      </x:c>
      <x:c r="AE781" s="34" t="str">
        <x:v>article1-unified-v4-2-fb3f101b-20260903-000401-default-f04-p2-jcs321-process-baseline-thread-dump.txt</x:v>
      </x:c>
      <x:c r="AF781" s="34"/>
      <x:c r="AG781" s="34" t="str">
        <x:v>article1-unified-v4-2-fb3f101b-20260903-000401-default-f04-p2-jcs321-process-baseline-native-memory.txt</x:v>
      </x:c>
      <x:c r="AH781" s="34"/>
      <x:c r="AI781" s="34"/>
    </x:row>
    <x:row r="782">
      <x:c r="A782" s="34" t="str">
        <x:v>article1-unified-v4-2-fb3f101b-20260903-000401-default-f04-p2-jcs321</x:v>
      </x:c>
      <x:c r="B782" s="34" t="str">
        <x:v>default</x:v>
      </x:c>
      <x:c r="C782" s="34" t="str">
        <x:v>jcs321</x:v>
      </x:c>
      <x:c r="D782" s="34" t="str">
        <x:v>jcs321</x:v>
      </x:c>
      <x:c r="E782" s="36" t="n">
        <x:v>4</x:v>
      </x:c>
      <x:c r="F782" s="36" t="n">
        <x:v>4</x:v>
      </x:c>
      <x:c r="G782" s="36" t="n">
        <x:v>2</x:v>
      </x:c>
      <x:c r="H782" s="36" t="n">
        <x:v>1</x:v>
      </x:c>
      <x:c r="I782" s="34" t="str">
        <x:v>baseline</x:v>
      </x:c>
      <x:c r="J782" s="34" t="str">
        <x:v>cycle-baseline</x:v>
      </x:c>
      <x:c r="K782" s="36" t="n">
        <x:v>0</x:v>
      </x:c>
      <x:c r="L782" s="34" t="str">
        <x:v>baseline</x:v>
      </x:c>
      <x:c r="M782" s="34" t="str">
        <x:v>article1-unified-v4-2-fb3f101b-20260903-000401-default-f04-p2-jcs321-1-baseline</x:v>
      </x:c>
      <x:c r="N782" s="38" t="n">
        <x:v>46268.030605775464</x:v>
      </x:c>
      <x:c r="O782" s="36" t="n">
        <x:v>0</x:v>
      </x:c>
      <x:c r="P782" s="43" t="n">
        <x:v>33310720</x:v>
      </x:c>
      <x:c r="Q782" s="43" t="n">
        <x:v>270532608</x:v>
      </x:c>
      <x:c r="R782" s="43" t="n">
        <x:v>369923072</x:v>
      </x:c>
      <x:c r="S782" s="36" t="n">
        <x:v>1</x:v>
      </x:c>
      <x:c r="T782" s="44" t="str">
        <x:v>0x00000000551177b8  0x0000000055003818  0x00007944d4625460       0         0         0  org.apache.catalina.loader.ParallelWebappClassLoader</x:v>
      </x:c>
      <x:c r="U782" s="36" t="n">
        <x:v>27</x:v>
      </x:c>
      <x:c r="V782" s="36" t="n">
        <x:v>0</x:v>
      </x:c>
      <x:c r="W782" s="44"/>
      <x:c r="X782" s="36"/>
      <x:c r="Y782" s="36"/>
      <x:c r="Z782" s="44"/>
      <x:c r="AA782" s="49"/>
      <x:c r="AB782" s="43"/>
      <x:c r="AC782" s="34" t="str">
        <x:v>article1-unified-v4-2-fb3f101b-20260903-000401-default-f04-p2-jcs321-1-baseline-heap-info.txt</x:v>
      </x:c>
      <x:c r="AD782" s="34" t="str">
        <x:v>article1-unified-v4-2-fb3f101b-20260903-000401-default-f04-p2-jcs321-1-baseline-classloader-stats.txt</x:v>
      </x:c>
      <x:c r="AE782" s="34" t="str">
        <x:v>article1-unified-v4-2-fb3f101b-20260903-000401-default-f04-p2-jcs321-1-baseline-thread-dump.txt</x:v>
      </x:c>
      <x:c r="AF782" s="34"/>
      <x:c r="AG782" s="34" t="str">
        <x:v>article1-unified-v4-2-fb3f101b-20260903-000401-default-f04-p2-jcs321-1-baseline-native-memory.txt</x:v>
      </x:c>
      <x:c r="AH782" s="34"/>
      <x:c r="AI782" s="34"/>
    </x:row>
    <x:row r="783">
      <x:c r="A783" s="34" t="str">
        <x:v>article1-unified-v4-2-fb3f101b-20260903-000401-default-f04-p2-jcs321</x:v>
      </x:c>
      <x:c r="B783" s="34" t="str">
        <x:v>default</x:v>
      </x:c>
      <x:c r="C783" s="34" t="str">
        <x:v>jcs321</x:v>
      </x:c>
      <x:c r="D783" s="34" t="str">
        <x:v>jcs321</x:v>
      </x:c>
      <x:c r="E783" s="36" t="n">
        <x:v>4</x:v>
      </x:c>
      <x:c r="F783" s="36" t="n">
        <x:v>4</x:v>
      </x:c>
      <x:c r="G783" s="36" t="n">
        <x:v>2</x:v>
      </x:c>
      <x:c r="H783" s="36" t="n">
        <x:v>1</x:v>
      </x:c>
      <x:c r="I783" s="34" t="str">
        <x:v>deployedIdle</x:v>
      </x:c>
      <x:c r="J783" s="34" t="str">
        <x:v>deployed-idle</x:v>
      </x:c>
      <x:c r="K783" s="36" t="n">
        <x:v>0</x:v>
      </x:c>
      <x:c r="L783" s="34" t="str">
        <x:v>initial</x:v>
      </x:c>
      <x:c r="M783" s="34" t="str">
        <x:v>article1-unified-v4-2-fb3f101b-20260903-000401-default-f04-p2-jcs321-1-deployed-idle</x:v>
      </x:c>
      <x:c r="N783" s="38" t="n">
        <x:v>46268.030713113425</x:v>
      </x:c>
      <x:c r="O783" s="36" t="n">
        <x:v>0</x:v>
      </x:c>
      <x:c r="P783" s="43" t="n">
        <x:v>22592512</x:v>
      </x:c>
      <x:c r="Q783" s="43" t="n">
        <x:v>268435456</x:v>
      </x:c>
      <x:c r="R783" s="43" t="n">
        <x:v>412805120</x:v>
      </x:c>
      <x:c r="S783" s="36" t="n">
        <x:v>2</x:v>
      </x:c>
      <x:c r="T783" s="44" t="str">
        <x:v>0x00000000551177b8  0x0000000055003818  0x0000794428033ab0    4091  19438592  19417960  org.apache.catalina.loader.ParallelWebappClassLoader | 0x00000000551177b8  0x0000000055003818  0x00007944d4625460       0         0         0  org.apache.catalina.loader.ParallelWebappClassLoader</x:v>
      </x:c>
      <x:c r="U783" s="36" t="n">
        <x:v>27</x:v>
      </x:c>
      <x:c r="V783" s="36" t="n">
        <x:v>0</x:v>
      </x:c>
      <x:c r="W783" s="44"/>
      <x:c r="X783" s="36"/>
      <x:c r="Y783" s="36"/>
      <x:c r="Z783" s="44"/>
      <x:c r="AA783" s="49"/>
      <x:c r="AB783" s="43"/>
      <x:c r="AC783" s="34"/>
      <x:c r="AD783" s="34"/>
      <x:c r="AE783" s="34"/>
      <x:c r="AF783" s="34"/>
      <x:c r="AG783" s="34"/>
      <x:c r="AH783" s="34"/>
      <x:c r="AI783" s="34"/>
    </x:row>
    <x:row r="784">
      <x:c r="A784" s="34" t="str">
        <x:v>article1-unified-v4-2-fb3f101b-20260903-000401-default-f04-p2-jcs321</x:v>
      </x:c>
      <x:c r="B784" s="34" t="str">
        <x:v>default</x:v>
      </x:c>
      <x:c r="C784" s="34" t="str">
        <x:v>jcs321</x:v>
      </x:c>
      <x:c r="D784" s="34" t="str">
        <x:v>jcs321</x:v>
      </x:c>
      <x:c r="E784" s="36" t="n">
        <x:v>4</x:v>
      </x:c>
      <x:c r="F784" s="36" t="n">
        <x:v>4</x:v>
      </x:c>
      <x:c r="G784" s="36" t="n">
        <x:v>2</x:v>
      </x:c>
      <x:c r="H784" s="36" t="n">
        <x:v>1</x:v>
      </x:c>
      <x:c r="I784" s="34" t="str">
        <x:v>loaded</x:v>
      </x:c>
      <x:c r="J784" s="34" t="str">
        <x:v>loaded</x:v>
      </x:c>
      <x:c r="K784" s="36" t="n">
        <x:v>0</x:v>
      </x:c>
      <x:c r="L784" s="34" t="str">
        <x:v>initial</x:v>
      </x:c>
      <x:c r="M784" s="34" t="str">
        <x:v>article1-unified-v4-2-fb3f101b-20260903-000401-default-f04-p2-jcs321-1-loaded</x:v>
      </x:c>
      <x:c r="N784" s="38" t="n">
        <x:v>46268.03086211805</x:v>
      </x:c>
      <x:c r="O784" s="36" t="n">
        <x:v>0</x:v>
      </x:c>
      <x:c r="P784" s="43" t="n">
        <x:v>133289984</x:v>
      </x:c>
      <x:c r="Q784" s="43" t="n">
        <x:v>268435456</x:v>
      </x:c>
      <x:c r="R784" s="43" t="n">
        <x:v>410426368</x:v>
      </x:c>
      <x:c r="S784" s="36" t="n">
        <x:v>2</x:v>
      </x:c>
      <x:c r="T784" s="44" t="str">
        <x:v>0x00000000551177b8  0x0000000055003818  0x00007944d4625460       0         0         0  org.apache.catalina.loader.ParallelWebappClassLoader | 0x00000000551177b8  0x0000000055003818  0x0000794428033ab0    4435  20968448  20950736  org.apache.catalina.loader.ParallelWebappClassLoader</x:v>
      </x:c>
      <x:c r="U784" s="36" t="n">
        <x:v>28</x:v>
      </x:c>
      <x:c r="V784" s="36" t="n">
        <x:v>1</x:v>
      </x:c>
      <x:c r="W784" s="44" t="str">
        <x:v>jcs3-element-event-queue:JCS-ElementEventQueue-Thread-4#49</x:v>
      </x:c>
      <x:c r="X784" s="36"/>
      <x:c r="Y784" s="36"/>
      <x:c r="Z784" s="44"/>
      <x:c r="AA784" s="49"/>
      <x:c r="AB784" s="43"/>
      <x:c r="AC784" s="34"/>
      <x:c r="AD784" s="34"/>
      <x:c r="AE784" s="34"/>
      <x:c r="AF784" s="34"/>
      <x:c r="AG784" s="34"/>
      <x:c r="AH784" s="34"/>
      <x:c r="AI784" s="34"/>
    </x:row>
    <x:row r="785">
      <x:c r="A785" s="34" t="str">
        <x:v>article1-unified-v4-2-fb3f101b-20260903-000401-default-f04-p2-jcs321</x:v>
      </x:c>
      <x:c r="B785" s="34" t="str">
        <x:v>default</x:v>
      </x:c>
      <x:c r="C785" s="34" t="str">
        <x:v>jcs321</x:v>
      </x:c>
      <x:c r="D785" s="34" t="str">
        <x:v>jcs321</x:v>
      </x:c>
      <x:c r="E785" s="36" t="n">
        <x:v>4</x:v>
      </x:c>
      <x:c r="F785" s="36" t="n">
        <x:v>4</x:v>
      </x:c>
      <x:c r="G785" s="36" t="n">
        <x:v>2</x:v>
      </x:c>
      <x:c r="H785" s="36" t="n">
        <x:v>1</x:v>
      </x:c>
      <x:c r="I785" s="34" t="str">
        <x:v>afterUndeployEarly</x:v>
      </x:c>
      <x:c r="J785" s="34" t="str">
        <x:v>after-undeploy-early</x:v>
      </x:c>
      <x:c r="K785" s="36" t="n">
        <x:v>1</x:v>
      </x:c>
      <x:c r="L785" s="34" t="str">
        <x:v>early</x:v>
      </x:c>
      <x:c r="M785" s="34" t="str">
        <x:v>article1-unified-v4-2-fb3f101b-20260903-000401-default-f04-p2-jcs321-1-after-undeploy-early-2s</x:v>
      </x:c>
      <x:c r="N785" s="38" t="n">
        <x:v>46268.030946307874</x:v>
      </x:c>
      <x:c r="O785" s="36"/>
      <x:c r="P785" s="43"/>
      <x:c r="Q785" s="43"/>
      <x:c r="R785" s="43"/>
      <x:c r="S785" s="36"/>
      <x:c r="T785" s="44"/>
      <x:c r="U785" s="36" t="n">
        <x:v>28</x:v>
      </x:c>
      <x:c r="V785" s="36" t="n">
        <x:v>1</x:v>
      </x:c>
      <x:c r="W785" s="44" t="str">
        <x:v>jcs3-element-event-queue:JCS-ElementEventQueue-Thread-4#49</x:v>
      </x:c>
      <x:c r="X785" s="36"/>
      <x:c r="Y785" s="36"/>
      <x:c r="Z785" s="44"/>
      <x:c r="AA785" s="49"/>
      <x:c r="AB785" s="43" t="n">
        <x:v>17</x:v>
      </x:c>
      <x:c r="AC785" s="34"/>
      <x:c r="AD785" s="34"/>
      <x:c r="AE785" s="34" t="str">
        <x:v>article1-unified-v4-2-fb3f101b-20260903-000401-default-f04-p2-jcs321-1-after-undeploy-early-2s-thread-dump.txt</x:v>
      </x:c>
      <x:c r="AF785" s="34" t="str">
        <x:v>article1-unified-v4-2-fb3f101b-20260903-000401-default-f04-p2-jcs321-1-after-undeploy-early-tomcat-log.txt</x:v>
      </x:c>
      <x:c r="AG785" s="34"/>
      <x:c r="AH785" s="34"/>
      <x:c r="AI785" s="34"/>
    </x:row>
    <x:row r="786">
      <x:c r="A786" s="34" t="str">
        <x:v>article1-unified-v4-2-fb3f101b-20260903-000401-default-f04-p2-jcs321</x:v>
      </x:c>
      <x:c r="B786" s="34" t="str">
        <x:v>default</x:v>
      </x:c>
      <x:c r="C786" s="34" t="str">
        <x:v>jcs321</x:v>
      </x:c>
      <x:c r="D786" s="34" t="str">
        <x:v>jcs321</x:v>
      </x:c>
      <x:c r="E786" s="36" t="n">
        <x:v>4</x:v>
      </x:c>
      <x:c r="F786" s="36" t="n">
        <x:v>4</x:v>
      </x:c>
      <x:c r="G786" s="36" t="n">
        <x:v>2</x:v>
      </x:c>
      <x:c r="H786" s="36" t="n">
        <x:v>1</x:v>
      </x:c>
      <x:c r="I786" s="34" t="str">
        <x:v>afterUndeploy</x:v>
      </x:c>
      <x:c r="J786" s="34" t="str">
        <x:v>after-undeploy-final</x:v>
      </x:c>
      <x:c r="K786" s="36" t="n">
        <x:v>1</x:v>
      </x:c>
      <x:c r="L786" s="34" t="str">
        <x:v>final</x:v>
      </x:c>
      <x:c r="M786" s="34" t="str">
        <x:v>article1-unified-v4-2-fb3f101b-20260903-000401-default-f04-p2-jcs321-1-after-undeploy-final-10s</x:v>
      </x:c>
      <x:c r="N786" s="38" t="n">
        <x:v>46268.03110305555</x:v>
      </x:c>
      <x:c r="O786" s="36" t="n">
        <x:v>2</x:v>
      </x:c>
      <x:c r="P786" s="43" t="n">
        <x:v>15867904</x:v>
      </x:c>
      <x:c r="Q786" s="43" t="n">
        <x:v>268435456</x:v>
      </x:c>
      <x:c r="R786" s="43" t="n">
        <x:v>409294848</x:v>
      </x:c>
      <x:c r="S786" s="36" t="n">
        <x:v>2</x:v>
      </x:c>
      <x:c r="T786" s="44" t="str">
        <x:v>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86" s="36" t="n">
        <x:v>28</x:v>
      </x:c>
      <x:c r="V786" s="36" t="n">
        <x:v>1</x:v>
      </x:c>
      <x:c r="W786" s="44" t="str">
        <x:v>jcs3-element-event-queue:JCS-ElementEventQueue-Thread-4#49</x:v>
      </x:c>
      <x:c r="X786" s="36" t="n">
        <x:v>1</x:v>
      </x:c>
      <x:c r="Y786" s="36" t="n">
        <x:v>1</x:v>
      </x:c>
      <x:c r="Z786" s="44" t="str">
        <x:v>/jcs321</x:v>
      </x:c>
      <x:c r="AA786" s="45" t="b">
        <x:v>1</x:v>
      </x:c>
      <x:c r="AB786" s="43"/>
      <x:c r="AC786" s="34" t="str">
        <x:v>article1-unified-v4-2-fb3f101b-20260903-000401-default-f04-p2-jcs321-1-after-undeploy-final-10s-heap-info.txt</x:v>
      </x:c>
      <x:c r="AD786" s="34" t="str">
        <x:v>article1-unified-v4-2-fb3f101b-20260903-000401-default-f04-p2-jcs321-1-after-undeploy-final-10s-classloader-stats.txt</x:v>
      </x:c>
      <x:c r="AE786" s="34" t="str">
        <x:v>article1-unified-v4-2-fb3f101b-20260903-000401-default-f04-p2-jcs321-1-after-undeploy-final-10s-thread-dump.txt</x:v>
      </x:c>
      <x:c r="AF786" s="34"/>
      <x:c r="AG786" s="34" t="str">
        <x:v>article1-unified-v4-2-fb3f101b-20260903-000401-default-f04-p2-jcs321-1-after-undeploy-final-10s-native-memory.txt</x:v>
      </x:c>
      <x:c r="AH786" s="34" t="str">
        <x:v>article1-unified-v4-2-fb3f101b-20260903-000401-default-f04-p2-jcs321-1-after-undeploy-final-10s-class-histogram.txt</x:v>
      </x:c>
      <x:c r="AI786" s="34" t="str">
        <x:v>article1-unified-v4-2-fb3f101b-20260903-000401-default-f04-p2-jcs321-1-after-undeploy-tomcat-findleaks.txt</x:v>
      </x:c>
    </x:row>
    <x:row r="787">
      <x:c r="A787" s="34" t="str">
        <x:v>article1-unified-v4-2-fb3f101b-20260903-000401-default-f04-p2-jcs321</x:v>
      </x:c>
      <x:c r="B787" s="34" t="str">
        <x:v>default</x:v>
      </x:c>
      <x:c r="C787" s="34" t="str">
        <x:v>jcs321</x:v>
      </x:c>
      <x:c r="D787" s="34" t="str">
        <x:v>jcs321</x:v>
      </x:c>
      <x:c r="E787" s="36" t="n">
        <x:v>4</x:v>
      </x:c>
      <x:c r="F787" s="36" t="n">
        <x:v>4</x:v>
      </x:c>
      <x:c r="G787" s="36" t="n">
        <x:v>2</x:v>
      </x:c>
      <x:c r="H787" s="36" t="n">
        <x:v>1</x:v>
      </x:c>
      <x:c r="I787" s="34" t="str">
        <x:v>redeployedLoaded</x:v>
      </x:c>
      <x:c r="J787" s="34" t="str">
        <x:v>redeployed-loaded</x:v>
      </x:c>
      <x:c r="K787" s="36" t="n">
        <x:v>0</x:v>
      </x:c>
      <x:c r="L787" s="34" t="str">
        <x:v>redeploy</x:v>
      </x:c>
      <x:c r="M787" s="34" t="str">
        <x:v>article1-unified-v4-2-fb3f101b-20260903-000401-default-f04-p2-jcs321-1-redeployed-loaded</x:v>
      </x:c>
      <x:c r="N787" s="38" t="n">
        <x:v>46268.03136019676</x:v>
      </x:c>
      <x:c r="O787" s="36" t="n">
        <x:v>0</x:v>
      </x:c>
      <x:c r="P787" s="43" t="n">
        <x:v>128318464</x:v>
      </x:c>
      <x:c r="Q787" s="43" t="n">
        <x:v>268435456</x:v>
      </x:c>
      <x:c r="R787" s="43" t="n">
        <x:v>439019520</x:v>
      </x:c>
      <x:c r="S787" s="36" t="n">
        <x:v>3</x:v>
      </x:c>
      <x:c r="T787" s="44" t="str">
        <x:v>0x00000000551177b8  0x0000000055003818  0x000079443c036ad0    4422  20990976  20978056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87" s="36" t="n">
        <x:v>29</x:v>
      </x:c>
      <x:c r="V787" s="36" t="n">
        <x:v>2</x:v>
      </x:c>
      <x:c r="W787" s="44" t="str">
        <x:v>jcs3-element-event-queue:JCS-ElementEventQueue-Thread-4#49 | jcs3-element-event-queue:JCS-ElementEventQueue-Thread-7#91</x:v>
      </x:c>
      <x:c r="X787" s="36"/>
      <x:c r="Y787" s="36"/>
      <x:c r="Z787" s="44"/>
      <x:c r="AA787" s="49"/>
      <x:c r="AB787" s="43"/>
      <x:c r="AC787" s="34"/>
      <x:c r="AD787" s="34"/>
      <x:c r="AE787" s="34"/>
      <x:c r="AF787" s="34"/>
      <x:c r="AG787" s="34"/>
      <x:c r="AH787" s="34"/>
      <x:c r="AI787" s="34"/>
    </x:row>
    <x:row r="788">
      <x:c r="A788" s="34" t="str">
        <x:v>article1-unified-v4-2-fb3f101b-20260903-000401-default-f04-p2-jcs321</x:v>
      </x:c>
      <x:c r="B788" s="34" t="str">
        <x:v>default</x:v>
      </x:c>
      <x:c r="C788" s="34" t="str">
        <x:v>jcs321</x:v>
      </x:c>
      <x:c r="D788" s="34" t="str">
        <x:v>jcs321</x:v>
      </x:c>
      <x:c r="E788" s="36" t="n">
        <x:v>4</x:v>
      </x:c>
      <x:c r="F788" s="36" t="n">
        <x:v>4</x:v>
      </x:c>
      <x:c r="G788" s="36" t="n">
        <x:v>2</x:v>
      </x:c>
      <x:c r="H788" s="36" t="n">
        <x:v>1</x:v>
      </x:c>
      <x:c r="I788" s="34" t="str">
        <x:v>afterFinalUndeployEarly</x:v>
      </x:c>
      <x:c r="J788" s="34" t="str">
        <x:v>after-final-undeploy-early</x:v>
      </x:c>
      <x:c r="K788" s="36" t="n">
        <x:v>2</x:v>
      </x:c>
      <x:c r="L788" s="34" t="str">
        <x:v>early</x:v>
      </x:c>
      <x:c r="M788" s="34" t="str">
        <x:v>article1-unified-v4-2-fb3f101b-20260903-000401-default-f04-p2-jcs321-1-after-final-undeploy-early-2s</x:v>
      </x:c>
      <x:c r="N788" s="38" t="n">
        <x:v>46268.03144446759</x:v>
      </x:c>
      <x:c r="O788" s="36"/>
      <x:c r="P788" s="43"/>
      <x:c r="Q788" s="43"/>
      <x:c r="R788" s="43"/>
      <x:c r="S788" s="36"/>
      <x:c r="T788" s="44"/>
      <x:c r="U788" s="36" t="n">
        <x:v>29</x:v>
      </x:c>
      <x:c r="V788" s="36" t="n">
        <x:v>2</x:v>
      </x:c>
      <x:c r="W788" s="44" t="str">
        <x:v>jcs3-element-event-queue:JCS-ElementEventQueue-Thread-4#49 | jcs3-element-event-queue:JCS-ElementEventQueue-Thread-7#91</x:v>
      </x:c>
      <x:c r="X788" s="36"/>
      <x:c r="Y788" s="36"/>
      <x:c r="Z788" s="44"/>
      <x:c r="AA788" s="49"/>
      <x:c r="AB788" s="43" t="n">
        <x:v>17</x:v>
      </x:c>
      <x:c r="AC788" s="34"/>
      <x:c r="AD788" s="34"/>
      <x:c r="AE788" s="34" t="str">
        <x:v>article1-unified-v4-2-fb3f101b-20260903-000401-default-f04-p2-jcs321-1-after-final-undeploy-early-2s-thread-dump.txt</x:v>
      </x:c>
      <x:c r="AF788" s="34" t="str">
        <x:v>article1-unified-v4-2-fb3f101b-20260903-000401-default-f04-p2-jcs321-1-after-final-undeploy-early-tomcat-log.txt</x:v>
      </x:c>
      <x:c r="AG788" s="34"/>
      <x:c r="AH788" s="34"/>
      <x:c r="AI788" s="34"/>
    </x:row>
    <x:row r="789">
      <x:c r="A789" s="34" t="str">
        <x:v>article1-unified-v4-2-fb3f101b-20260903-000401-default-f04-p2-jcs321</x:v>
      </x:c>
      <x:c r="B789" s="34" t="str">
        <x:v>default</x:v>
      </x:c>
      <x:c r="C789" s="34" t="str">
        <x:v>jcs321</x:v>
      </x:c>
      <x:c r="D789" s="34" t="str">
        <x:v>jcs321</x:v>
      </x:c>
      <x:c r="E789" s="36" t="n">
        <x:v>4</x:v>
      </x:c>
      <x:c r="F789" s="36" t="n">
        <x:v>4</x:v>
      </x:c>
      <x:c r="G789" s="36" t="n">
        <x:v>2</x:v>
      </x:c>
      <x:c r="H789" s="36" t="n">
        <x:v>1</x:v>
      </x:c>
      <x:c r="I789" s="34" t="str">
        <x:v>afterFinalUndeploy</x:v>
      </x:c>
      <x:c r="J789" s="34" t="str">
        <x:v>after-final-undeploy-final</x:v>
      </x:c>
      <x:c r="K789" s="36" t="n">
        <x:v>2</x:v>
      </x:c>
      <x:c r="L789" s="34" t="str">
        <x:v>final</x:v>
      </x:c>
      <x:c r="M789" s="34" t="str">
        <x:v>article1-unified-v4-2-fb3f101b-20260903-000401-default-f04-p2-jcs321-1-after-final-undeploy-final-10s</x:v>
      </x:c>
      <x:c r="N789" s="38" t="n">
        <x:v>46268.031601574075</x:v>
      </x:c>
      <x:c r="O789" s="36" t="n">
        <x:v>2</x:v>
      </x:c>
      <x:c r="P789" s="43" t="n">
        <x:v>19722240</x:v>
      </x:c>
      <x:c r="Q789" s="43" t="n">
        <x:v>268435456</x:v>
      </x:c>
      <x:c r="R789" s="43" t="n">
        <x:v>436035584</x:v>
      </x:c>
      <x:c r="S789" s="36" t="n">
        <x:v>3</x:v>
      </x:c>
      <x:c r="T789" s="44" t="str">
        <x:v>0x00000000551177b8  0x0000000055003818  0x000079443c036ad0    4436  21040128  21012736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89" s="36" t="n">
        <x:v>29</x:v>
      </x:c>
      <x:c r="V789" s="36" t="n">
        <x:v>2</x:v>
      </x:c>
      <x:c r="W789" s="44" t="str">
        <x:v>jcs3-element-event-queue:JCS-ElementEventQueue-Thread-4#49 | jcs3-element-event-queue:JCS-ElementEventQueue-Thread-7#91</x:v>
      </x:c>
      <x:c r="X789" s="36" t="n">
        <x:v>2</x:v>
      </x:c>
      <x:c r="Y789" s="36" t="n">
        <x:v>2</x:v>
      </x:c>
      <x:c r="Z789" s="44" t="str">
        <x:v>/jcs321</x:v>
      </x:c>
      <x:c r="AA789" s="45" t="b">
        <x:v>1</x:v>
      </x:c>
      <x:c r="AB789" s="43"/>
      <x:c r="AC789" s="34" t="str">
        <x:v>article1-unified-v4-2-fb3f101b-20260903-000401-default-f04-p2-jcs321-1-after-final-undeploy-final-10s-heap-info.txt</x:v>
      </x:c>
      <x:c r="AD789" s="34" t="str">
        <x:v>article1-unified-v4-2-fb3f101b-20260903-000401-default-f04-p2-jcs321-1-after-final-undeploy-final-10s-classloader-stats.txt</x:v>
      </x:c>
      <x:c r="AE789" s="34" t="str">
        <x:v>article1-unified-v4-2-fb3f101b-20260903-000401-default-f04-p2-jcs321-1-after-final-undeploy-final-10s-thread-dump.txt</x:v>
      </x:c>
      <x:c r="AF789" s="34"/>
      <x:c r="AG789" s="34" t="str">
        <x:v>article1-unified-v4-2-fb3f101b-20260903-000401-default-f04-p2-jcs321-1-after-final-undeploy-final-10s-native-memory.txt</x:v>
      </x:c>
      <x:c r="AH789" s="34" t="str">
        <x:v>article1-unified-v4-2-fb3f101b-20260903-000401-default-f04-p2-jcs321-1-after-final-undeploy-final-10s-class-histogram.txt</x:v>
      </x:c>
      <x:c r="AI789" s="34" t="str">
        <x:v>article1-unified-v4-2-fb3f101b-20260903-000401-default-f04-p2-jcs321-1-after-final-undeploy-tomcat-findleaks.txt</x:v>
      </x:c>
    </x:row>
    <x:row r="790">
      <x:c r="A790" s="34" t="str">
        <x:v>article1-unified-v4-2-fb3f101b-20260903-000401-default-f04-p2-jcs321</x:v>
      </x:c>
      <x:c r="B790" s="34" t="str">
        <x:v>default</x:v>
      </x:c>
      <x:c r="C790" s="34" t="str">
        <x:v>jcs321</x:v>
      </x:c>
      <x:c r="D790" s="34" t="str">
        <x:v>jcs321</x:v>
      </x:c>
      <x:c r="E790" s="36" t="n">
        <x:v>4</x:v>
      </x:c>
      <x:c r="F790" s="36" t="n">
        <x:v>4</x:v>
      </x:c>
      <x:c r="G790" s="36" t="n">
        <x:v>2</x:v>
      </x:c>
      <x:c r="H790" s="36" t="n">
        <x:v>2</x:v>
      </x:c>
      <x:c r="I790" s="34" t="str">
        <x:v>baseline</x:v>
      </x:c>
      <x:c r="J790" s="34" t="str">
        <x:v>cycle-baseline</x:v>
      </x:c>
      <x:c r="K790" s="36" t="n">
        <x:v>0</x:v>
      </x:c>
      <x:c r="L790" s="34" t="str">
        <x:v>baseline</x:v>
      </x:c>
      <x:c r="M790" s="34" t="str">
        <x:v>article1-unified-v4-2-fb3f101b-20260903-000401-default-f04-p2-jcs321-2-baseline</x:v>
      </x:c>
      <x:c r="N790" s="38" t="n">
        <x:v>46268.03164350695</x:v>
      </x:c>
      <x:c r="O790" s="36" t="n">
        <x:v>0</x:v>
      </x:c>
      <x:c r="P790" s="43" t="n">
        <x:v>19780608</x:v>
      </x:c>
      <x:c r="Q790" s="43" t="n">
        <x:v>268435456</x:v>
      </x:c>
      <x:c r="R790" s="43" t="n">
        <x:v>435841024</x:v>
      </x:c>
      <x:c r="S790" s="36" t="n">
        <x:v>3</x:v>
      </x:c>
      <x:c r="T790" s="44" t="str">
        <x:v>0x00000000551177b8  0x0000000055003818  0x000079443c036ad0    4436  21040128  21012736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90" s="36" t="n">
        <x:v>29</x:v>
      </x:c>
      <x:c r="V790" s="36" t="n">
        <x:v>2</x:v>
      </x:c>
      <x:c r="W790" s="44" t="str">
        <x:v>jcs3-element-event-queue:JCS-ElementEventQueue-Thread-4#49 | jcs3-element-event-queue:JCS-ElementEventQueue-Thread-7#91</x:v>
      </x:c>
      <x:c r="X790" s="36"/>
      <x:c r="Y790" s="36"/>
      <x:c r="Z790" s="44"/>
      <x:c r="AA790" s="49"/>
      <x:c r="AB790" s="43"/>
      <x:c r="AC790" s="34" t="str">
        <x:v>article1-unified-v4-2-fb3f101b-20260903-000401-default-f04-p2-jcs321-2-baseline-heap-info.txt</x:v>
      </x:c>
      <x:c r="AD790" s="34" t="str">
        <x:v>article1-unified-v4-2-fb3f101b-20260903-000401-default-f04-p2-jcs321-2-baseline-classloader-stats.txt</x:v>
      </x:c>
      <x:c r="AE790" s="34" t="str">
        <x:v>article1-unified-v4-2-fb3f101b-20260903-000401-default-f04-p2-jcs321-2-baseline-thread-dump.txt</x:v>
      </x:c>
      <x:c r="AF790" s="34"/>
      <x:c r="AG790" s="34" t="str">
        <x:v>article1-unified-v4-2-fb3f101b-20260903-000401-default-f04-p2-jcs321-2-baseline-native-memory.txt</x:v>
      </x:c>
      <x:c r="AH790" s="34"/>
      <x:c r="AI790" s="34"/>
    </x:row>
    <x:row r="791">
      <x:c r="A791" s="34" t="str">
        <x:v>article1-unified-v4-2-fb3f101b-20260903-000401-default-f04-p2-jcs321</x:v>
      </x:c>
      <x:c r="B791" s="34" t="str">
        <x:v>default</x:v>
      </x:c>
      <x:c r="C791" s="34" t="str">
        <x:v>jcs321</x:v>
      </x:c>
      <x:c r="D791" s="34" t="str">
        <x:v>jcs321</x:v>
      </x:c>
      <x:c r="E791" s="36" t="n">
        <x:v>4</x:v>
      </x:c>
      <x:c r="F791" s="36" t="n">
        <x:v>4</x:v>
      </x:c>
      <x:c r="G791" s="36" t="n">
        <x:v>2</x:v>
      </x:c>
      <x:c r="H791" s="36" t="n">
        <x:v>2</x:v>
      </x:c>
      <x:c r="I791" s="34" t="str">
        <x:v>deployedIdle</x:v>
      </x:c>
      <x:c r="J791" s="34" t="str">
        <x:v>deployed-idle</x:v>
      </x:c>
      <x:c r="K791" s="36" t="n">
        <x:v>0</x:v>
      </x:c>
      <x:c r="L791" s="34" t="str">
        <x:v>initial</x:v>
      </x:c>
      <x:c r="M791" s="34" t="str">
        <x:v>article1-unified-v4-2-fb3f101b-20260903-000401-default-f04-p2-jcs321-2-deployed-idle</x:v>
      </x:c>
      <x:c r="N791" s="38" t="n">
        <x:v>46268.031743541665</x:v>
      </x:c>
      <x:c r="O791" s="36" t="n">
        <x:v>0</x:v>
      </x:c>
      <x:c r="P791" s="43" t="n">
        <x:v>170677248</x:v>
      </x:c>
      <x:c r="Q791" s="43" t="n">
        <x:v>268435456</x:v>
      </x:c>
      <x:c r="R791" s="43" t="n">
        <x:v>460550144</x:v>
      </x:c>
      <x:c r="S791" s="36" t="n">
        <x:v>4</x:v>
      </x:c>
      <x:c r="T791" s="44" t="str">
        <x:v>0x00000000551177b8  0x0000000055003818  0x0000794438198960    4091  19446784  19430376  org.apache.catalina.loader.ParallelWebappClassLoader | 0x00000000551177b8  0x0000000055003818  0x000079443c036ad0    4436  21040128  21012736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91" s="36" t="n">
        <x:v>29</x:v>
      </x:c>
      <x:c r="V791" s="36" t="n">
        <x:v>2</x:v>
      </x:c>
      <x:c r="W791" s="44" t="str">
        <x:v>jcs3-element-event-queue:JCS-ElementEventQueue-Thread-4#49 | jcs3-element-event-queue:JCS-ElementEventQueue-Thread-7#91</x:v>
      </x:c>
      <x:c r="X791" s="36"/>
      <x:c r="Y791" s="36"/>
      <x:c r="Z791" s="44"/>
      <x:c r="AA791" s="49"/>
      <x:c r="AB791" s="43"/>
      <x:c r="AC791" s="34"/>
      <x:c r="AD791" s="34"/>
      <x:c r="AE791" s="34"/>
      <x:c r="AF791" s="34"/>
      <x:c r="AG791" s="34"/>
      <x:c r="AH791" s="34"/>
      <x:c r="AI791" s="34"/>
    </x:row>
    <x:row r="792">
      <x:c r="A792" s="34" t="str">
        <x:v>article1-unified-v4-2-fb3f101b-20260903-000401-default-f04-p2-jcs321</x:v>
      </x:c>
      <x:c r="B792" s="34" t="str">
        <x:v>default</x:v>
      </x:c>
      <x:c r="C792" s="34" t="str">
        <x:v>jcs321</x:v>
      </x:c>
      <x:c r="D792" s="34" t="str">
        <x:v>jcs321</x:v>
      </x:c>
      <x:c r="E792" s="36" t="n">
        <x:v>4</x:v>
      </x:c>
      <x:c r="F792" s="36" t="n">
        <x:v>4</x:v>
      </x:c>
      <x:c r="G792" s="36" t="n">
        <x:v>2</x:v>
      </x:c>
      <x:c r="H792" s="36" t="n">
        <x:v>2</x:v>
      </x:c>
      <x:c r="I792" s="34" t="str">
        <x:v>loaded</x:v>
      </x:c>
      <x:c r="J792" s="34" t="str">
        <x:v>loaded</x:v>
      </x:c>
      <x:c r="K792" s="36" t="n">
        <x:v>0</x:v>
      </x:c>
      <x:c r="L792" s="34" t="str">
        <x:v>initial</x:v>
      </x:c>
      <x:c r="M792" s="34" t="str">
        <x:v>article1-unified-v4-2-fb3f101b-20260903-000401-default-f04-p2-jcs321-2-loaded</x:v>
      </x:c>
      <x:c r="N792" s="38" t="n">
        <x:v>46268.03188859954</x:v>
      </x:c>
      <x:c r="O792" s="36" t="n">
        <x:v>0</x:v>
      </x:c>
      <x:c r="P792" s="43" t="n">
        <x:v>135561216</x:v>
      </x:c>
      <x:c r="Q792" s="43" t="n">
        <x:v>268435456</x:v>
      </x:c>
      <x:c r="R792" s="43" t="n">
        <x:v>465463296</x:v>
      </x:c>
      <x:c r="S792" s="36" t="n">
        <x:v>4</x:v>
      </x:c>
      <x:c r="T792" s="44" t="str">
        <x:v>0x00000000551177b8  0x0000000055003818  0x0000794438198960    4408  20993024  20977568  org.apache.catalina.loader.ParallelWebappClassLoader | 0x00000000551177b8  0x0000000055003818  0x000079443c036ad0    4436  21040128  21012736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92" s="36" t="n">
        <x:v>31</x:v>
      </x:c>
      <x:c r="V792" s="36" t="n">
        <x:v>3</x:v>
      </x:c>
      <x:c r="W792" s="44" t="str">
        <x:v>jcs3-element-event-queue:JCS-ElementEventQueue-Thread-4#49 | jcs3-element-event-queue:JCS-ElementEventQueue-Thread-7#91 | jcs3-element-event-queue:JCS-ElementEventQueue-Thread-10#133</x:v>
      </x:c>
      <x:c r="X792" s="36"/>
      <x:c r="Y792" s="36"/>
      <x:c r="Z792" s="44"/>
      <x:c r="AA792" s="49"/>
      <x:c r="AB792" s="43"/>
      <x:c r="AC792" s="34"/>
      <x:c r="AD792" s="34"/>
      <x:c r="AE792" s="34"/>
      <x:c r="AF792" s="34"/>
      <x:c r="AG792" s="34"/>
      <x:c r="AH792" s="34"/>
      <x:c r="AI792" s="34"/>
    </x:row>
    <x:row r="793">
      <x:c r="A793" s="34" t="str">
        <x:v>article1-unified-v4-2-fb3f101b-20260903-000401-default-f04-p2-jcs321</x:v>
      </x:c>
      <x:c r="B793" s="34" t="str">
        <x:v>default</x:v>
      </x:c>
      <x:c r="C793" s="34" t="str">
        <x:v>jcs321</x:v>
      </x:c>
      <x:c r="D793" s="34" t="str">
        <x:v>jcs321</x:v>
      </x:c>
      <x:c r="E793" s="36" t="n">
        <x:v>4</x:v>
      </x:c>
      <x:c r="F793" s="36" t="n">
        <x:v>4</x:v>
      </x:c>
      <x:c r="G793" s="36" t="n">
        <x:v>2</x:v>
      </x:c>
      <x:c r="H793" s="36" t="n">
        <x:v>2</x:v>
      </x:c>
      <x:c r="I793" s="34" t="str">
        <x:v>afterUndeployEarly</x:v>
      </x:c>
      <x:c r="J793" s="34" t="str">
        <x:v>after-undeploy-early</x:v>
      </x:c>
      <x:c r="K793" s="36" t="n">
        <x:v>1</x:v>
      </x:c>
      <x:c r="L793" s="34" t="str">
        <x:v>early</x:v>
      </x:c>
      <x:c r="M793" s="34" t="str">
        <x:v>article1-unified-v4-2-fb3f101b-20260903-000401-default-f04-p2-jcs321-2-after-undeploy-early-2s</x:v>
      </x:c>
      <x:c r="N793" s="38" t="n">
        <x:v>46268.031971296296</x:v>
      </x:c>
      <x:c r="O793" s="36"/>
      <x:c r="P793" s="43"/>
      <x:c r="Q793" s="43"/>
      <x:c r="R793" s="43"/>
      <x:c r="S793" s="36"/>
      <x:c r="T793" s="44"/>
      <x:c r="U793" s="36" t="n">
        <x:v>30</x:v>
      </x:c>
      <x:c r="V793" s="36" t="n">
        <x:v>3</x:v>
      </x:c>
      <x:c r="W793" s="44" t="str">
        <x:v>jcs3-element-event-queue:JCS-ElementEventQueue-Thread-4#49 | jcs3-element-event-queue:JCS-ElementEventQueue-Thread-7#91 | jcs3-element-event-queue:JCS-ElementEventQueue-Thread-10#133</x:v>
      </x:c>
      <x:c r="X793" s="36"/>
      <x:c r="Y793" s="36"/>
      <x:c r="Z793" s="44"/>
      <x:c r="AA793" s="49"/>
      <x:c r="AB793" s="43" t="n">
        <x:v>17</x:v>
      </x:c>
      <x:c r="AC793" s="34"/>
      <x:c r="AD793" s="34"/>
      <x:c r="AE793" s="34" t="str">
        <x:v>article1-unified-v4-2-fb3f101b-20260903-000401-default-f04-p2-jcs321-2-after-undeploy-early-2s-thread-dump.txt</x:v>
      </x:c>
      <x:c r="AF793" s="34" t="str">
        <x:v>article1-unified-v4-2-fb3f101b-20260903-000401-default-f04-p2-jcs321-2-after-undeploy-early-tomcat-log.txt</x:v>
      </x:c>
      <x:c r="AG793" s="34"/>
      <x:c r="AH793" s="34"/>
      <x:c r="AI793" s="34"/>
    </x:row>
    <x:row r="794">
      <x:c r="A794" s="34" t="str">
        <x:v>article1-unified-v4-2-fb3f101b-20260903-000401-default-f04-p2-jcs321</x:v>
      </x:c>
      <x:c r="B794" s="34" t="str">
        <x:v>default</x:v>
      </x:c>
      <x:c r="C794" s="34" t="str">
        <x:v>jcs321</x:v>
      </x:c>
      <x:c r="D794" s="34" t="str">
        <x:v>jcs321</x:v>
      </x:c>
      <x:c r="E794" s="36" t="n">
        <x:v>4</x:v>
      </x:c>
      <x:c r="F794" s="36" t="n">
        <x:v>4</x:v>
      </x:c>
      <x:c r="G794" s="36" t="n">
        <x:v>2</x:v>
      </x:c>
      <x:c r="H794" s="36" t="n">
        <x:v>2</x:v>
      </x:c>
      <x:c r="I794" s="34" t="str">
        <x:v>afterUndeploy</x:v>
      </x:c>
      <x:c r="J794" s="34" t="str">
        <x:v>after-undeploy-final</x:v>
      </x:c>
      <x:c r="K794" s="36" t="n">
        <x:v>1</x:v>
      </x:c>
      <x:c r="L794" s="34" t="str">
        <x:v>final</x:v>
      </x:c>
      <x:c r="M794" s="34" t="str">
        <x:v>article1-unified-v4-2-fb3f101b-20260903-000401-default-f04-p2-jcs321-2-after-undeploy-final-10s</x:v>
      </x:c>
      <x:c r="N794" s="38" t="n">
        <x:v>46268.032128101855</x:v>
      </x:c>
      <x:c r="O794" s="36" t="n">
        <x:v>2</x:v>
      </x:c>
      <x:c r="P794" s="43" t="n">
        <x:v>24051712</x:v>
      </x:c>
      <x:c r="Q794" s="43" t="n">
        <x:v>268435456</x:v>
      </x:c>
      <x:c r="R794" s="43" t="n">
        <x:v>462982144</x:v>
      </x:c>
      <x:c r="S794" s="36" t="n">
        <x:v>4</x:v>
      </x:c>
      <x:c r="T794" s="44" t="str">
        <x:v>0x00000000551177b8  0x0000000055003818  0x0000794438198960    4422  21025792  21012512  org.apache.catalina.loader.ParallelWebappClassLoader | 0x00000000551177b8  0x0000000055003818  0x000079443c036ad0    4436  21040128  21012736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94" s="36" t="n">
        <x:v>30</x:v>
      </x:c>
      <x:c r="V794" s="36" t="n">
        <x:v>3</x:v>
      </x:c>
      <x:c r="W794" s="44" t="str">
        <x:v>jcs3-element-event-queue:JCS-ElementEventQueue-Thread-4#49 | jcs3-element-event-queue:JCS-ElementEventQueue-Thread-7#91 | jcs3-element-event-queue:JCS-ElementEventQueue-Thread-10#133</x:v>
      </x:c>
      <x:c r="X794" s="36" t="n">
        <x:v>3</x:v>
      </x:c>
      <x:c r="Y794" s="36" t="n">
        <x:v>3</x:v>
      </x:c>
      <x:c r="Z794" s="44" t="str">
        <x:v>/jcs321</x:v>
      </x:c>
      <x:c r="AA794" s="45" t="b">
        <x:v>1</x:v>
      </x:c>
      <x:c r="AB794" s="43"/>
      <x:c r="AC794" s="34" t="str">
        <x:v>article1-unified-v4-2-fb3f101b-20260903-000401-default-f04-p2-jcs321-2-after-undeploy-final-10s-heap-info.txt</x:v>
      </x:c>
      <x:c r="AD794" s="34" t="str">
        <x:v>article1-unified-v4-2-fb3f101b-20260903-000401-default-f04-p2-jcs321-2-after-undeploy-final-10s-classloader-stats.txt</x:v>
      </x:c>
      <x:c r="AE794" s="34" t="str">
        <x:v>article1-unified-v4-2-fb3f101b-20260903-000401-default-f04-p2-jcs321-2-after-undeploy-final-10s-thread-dump.txt</x:v>
      </x:c>
      <x:c r="AF794" s="34"/>
      <x:c r="AG794" s="34" t="str">
        <x:v>article1-unified-v4-2-fb3f101b-20260903-000401-default-f04-p2-jcs321-2-after-undeploy-final-10s-native-memory.txt</x:v>
      </x:c>
      <x:c r="AH794" s="34" t="str">
        <x:v>article1-unified-v4-2-fb3f101b-20260903-000401-default-f04-p2-jcs321-2-after-undeploy-final-10s-class-histogram.txt</x:v>
      </x:c>
      <x:c r="AI794" s="34" t="str">
        <x:v>article1-unified-v4-2-fb3f101b-20260903-000401-default-f04-p2-jcs321-2-after-undeploy-tomcat-findleaks.txt</x:v>
      </x:c>
    </x:row>
    <x:row r="795">
      <x:c r="A795" s="34" t="str">
        <x:v>article1-unified-v4-2-fb3f101b-20260903-000401-default-f04-p2-jcs321</x:v>
      </x:c>
      <x:c r="B795" s="34" t="str">
        <x:v>default</x:v>
      </x:c>
      <x:c r="C795" s="34" t="str">
        <x:v>jcs321</x:v>
      </x:c>
      <x:c r="D795" s="34" t="str">
        <x:v>jcs321</x:v>
      </x:c>
      <x:c r="E795" s="36" t="n">
        <x:v>4</x:v>
      </x:c>
      <x:c r="F795" s="36" t="n">
        <x:v>4</x:v>
      </x:c>
      <x:c r="G795" s="36" t="n">
        <x:v>2</x:v>
      </x:c>
      <x:c r="H795" s="36" t="n">
        <x:v>2</x:v>
      </x:c>
      <x:c r="I795" s="34" t="str">
        <x:v>redeployedLoaded</x:v>
      </x:c>
      <x:c r="J795" s="34" t="str">
        <x:v>redeployed-loaded</x:v>
      </x:c>
      <x:c r="K795" s="36" t="n">
        <x:v>0</x:v>
      </x:c>
      <x:c r="L795" s="34" t="str">
        <x:v>redeploy</x:v>
      </x:c>
      <x:c r="M795" s="34" t="str">
        <x:v>article1-unified-v4-2-fb3f101b-20260903-000401-default-f04-p2-jcs321-2-redeployed-loaded</x:v>
      </x:c>
      <x:c r="N795" s="38" t="n">
        <x:v>46268.03238491898</x:v>
      </x:c>
      <x:c r="O795" s="36" t="n">
        <x:v>0</x:v>
      </x:c>
      <x:c r="P795" s="43" t="n">
        <x:v>137113600</x:v>
      </x:c>
      <x:c r="Q795" s="43" t="n">
        <x:v>268435456</x:v>
      </x:c>
      <x:c r="R795" s="43" t="n">
        <x:v>492597248</x:v>
      </x:c>
      <x:c r="S795" s="36" t="n">
        <x:v>5</x:v>
      </x:c>
      <x:c r="T795" s="44" t="str">
        <x:v>0x00000000551177b8  0x0000000055003818  0x00007943fc00f3c0    4413  21008384  20977960  org.apache.catalina.loader.ParallelWebappClassLoader | 0x00000000551177b8  0x0000000055003818  0x0000794438198960    4422  21025792  21012512  org.apache.catalina.loader.ParallelWebappClassLoader | 0x00000000551177b8  0x0000000055003818  0x000079443c036ad0    4436  21040128  21012736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95" s="36" t="n">
        <x:v>31</x:v>
      </x:c>
      <x:c r="V795" s="36" t="n">
        <x:v>4</x:v>
      </x:c>
      <x:c r="W795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795" s="36"/>
      <x:c r="Y795" s="36"/>
      <x:c r="Z795" s="44"/>
      <x:c r="AA795" s="49"/>
      <x:c r="AB795" s="43"/>
      <x:c r="AC795" s="34"/>
      <x:c r="AD795" s="34"/>
      <x:c r="AE795" s="34"/>
      <x:c r="AF795" s="34"/>
      <x:c r="AG795" s="34"/>
      <x:c r="AH795" s="34"/>
      <x:c r="AI795" s="34"/>
    </x:row>
    <x:row r="796">
      <x:c r="A796" s="34" t="str">
        <x:v>article1-unified-v4-2-fb3f101b-20260903-000401-default-f04-p2-jcs321</x:v>
      </x:c>
      <x:c r="B796" s="34" t="str">
        <x:v>default</x:v>
      </x:c>
      <x:c r="C796" s="34" t="str">
        <x:v>jcs321</x:v>
      </x:c>
      <x:c r="D796" s="34" t="str">
        <x:v>jcs321</x:v>
      </x:c>
      <x:c r="E796" s="36" t="n">
        <x:v>4</x:v>
      </x:c>
      <x:c r="F796" s="36" t="n">
        <x:v>4</x:v>
      </x:c>
      <x:c r="G796" s="36" t="n">
        <x:v>2</x:v>
      </x:c>
      <x:c r="H796" s="36" t="n">
        <x:v>2</x:v>
      </x:c>
      <x:c r="I796" s="34" t="str">
        <x:v>afterFinalUndeployEarly</x:v>
      </x:c>
      <x:c r="J796" s="34" t="str">
        <x:v>after-final-undeploy-early</x:v>
      </x:c>
      <x:c r="K796" s="36" t="n">
        <x:v>2</x:v>
      </x:c>
      <x:c r="L796" s="34" t="str">
        <x:v>early</x:v>
      </x:c>
      <x:c r="M796" s="34" t="str">
        <x:v>article1-unified-v4-2-fb3f101b-20260903-000401-default-f04-p2-jcs321-2-after-final-undeploy-early-2s</x:v>
      </x:c>
      <x:c r="N796" s="38" t="n">
        <x:v>46268.032469467595</x:v>
      </x:c>
      <x:c r="O796" s="36"/>
      <x:c r="P796" s="43"/>
      <x:c r="Q796" s="43"/>
      <x:c r="R796" s="43"/>
      <x:c r="S796" s="36"/>
      <x:c r="T796" s="44"/>
      <x:c r="U796" s="36" t="n">
        <x:v>31</x:v>
      </x:c>
      <x:c r="V796" s="36" t="n">
        <x:v>4</x:v>
      </x:c>
      <x:c r="W796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796" s="36"/>
      <x:c r="Y796" s="36"/>
      <x:c r="Z796" s="44"/>
      <x:c r="AA796" s="49"/>
      <x:c r="AB796" s="43" t="n">
        <x:v>17</x:v>
      </x:c>
      <x:c r="AC796" s="34"/>
      <x:c r="AD796" s="34"/>
      <x:c r="AE796" s="34" t="str">
        <x:v>article1-unified-v4-2-fb3f101b-20260903-000401-default-f04-p2-jcs321-2-after-final-undeploy-early-2s-thread-dump.txt</x:v>
      </x:c>
      <x:c r="AF796" s="34" t="str">
        <x:v>article1-unified-v4-2-fb3f101b-20260903-000401-default-f04-p2-jcs321-2-after-final-undeploy-early-tomcat-log.txt</x:v>
      </x:c>
      <x:c r="AG796" s="34"/>
      <x:c r="AH796" s="34"/>
      <x:c r="AI796" s="34"/>
    </x:row>
    <x:row r="797">
      <x:c r="A797" s="34" t="str">
        <x:v>article1-unified-v4-2-fb3f101b-20260903-000401-default-f04-p2-jcs321</x:v>
      </x:c>
      <x:c r="B797" s="34" t="str">
        <x:v>default</x:v>
      </x:c>
      <x:c r="C797" s="34" t="str">
        <x:v>jcs321</x:v>
      </x:c>
      <x:c r="D797" s="34" t="str">
        <x:v>jcs321</x:v>
      </x:c>
      <x:c r="E797" s="36" t="n">
        <x:v>4</x:v>
      </x:c>
      <x:c r="F797" s="36" t="n">
        <x:v>4</x:v>
      </x:c>
      <x:c r="G797" s="36" t="n">
        <x:v>2</x:v>
      </x:c>
      <x:c r="H797" s="36" t="n">
        <x:v>2</x:v>
      </x:c>
      <x:c r="I797" s="34" t="str">
        <x:v>afterFinalUndeploy</x:v>
      </x:c>
      <x:c r="J797" s="34" t="str">
        <x:v>after-final-undeploy-final</x:v>
      </x:c>
      <x:c r="K797" s="36" t="n">
        <x:v>2</x:v>
      </x:c>
      <x:c r="L797" s="34" t="str">
        <x:v>final</x:v>
      </x:c>
      <x:c r="M797" s="34" t="str">
        <x:v>article1-unified-v4-2-fb3f101b-20260903-000401-default-f04-p2-jcs321-2-after-final-undeploy-final-10s</x:v>
      </x:c>
      <x:c r="N797" s="38" t="n">
        <x:v>46268.032624039355</x:v>
      </x:c>
      <x:c r="O797" s="36" t="n">
        <x:v>2</x:v>
      </x:c>
      <x:c r="P797" s="43" t="n">
        <x:v>28277760</x:v>
      </x:c>
      <x:c r="Q797" s="43" t="n">
        <x:v>268435456</x:v>
      </x:c>
      <x:c r="R797" s="43" t="n">
        <x:v>489686016</x:v>
      </x:c>
      <x:c r="S797" s="36" t="n">
        <x:v>5</x:v>
      </x:c>
      <x:c r="T797" s="44" t="str">
        <x:v>0x00000000551177b8  0x0000000055003818  0x000079443c036ad0    4436  21040128  21012736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97" s="36" t="n">
        <x:v>31</x:v>
      </x:c>
      <x:c r="V797" s="36" t="n">
        <x:v>4</x:v>
      </x:c>
      <x:c r="W797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797" s="36" t="n">
        <x:v>4</x:v>
      </x:c>
      <x:c r="Y797" s="36" t="n">
        <x:v>4</x:v>
      </x:c>
      <x:c r="Z797" s="44" t="str">
        <x:v>/jcs321</x:v>
      </x:c>
      <x:c r="AA797" s="45" t="b">
        <x:v>1</x:v>
      </x:c>
      <x:c r="AB797" s="43"/>
      <x:c r="AC797" s="34" t="str">
        <x:v>article1-unified-v4-2-fb3f101b-20260903-000401-default-f04-p2-jcs321-2-after-final-undeploy-final-10s-heap-info.txt</x:v>
      </x:c>
      <x:c r="AD797" s="34" t="str">
        <x:v>article1-unified-v4-2-fb3f101b-20260903-000401-default-f04-p2-jcs321-2-after-final-undeploy-final-10s-classloader-stats.txt</x:v>
      </x:c>
      <x:c r="AE797" s="34" t="str">
        <x:v>article1-unified-v4-2-fb3f101b-20260903-000401-default-f04-p2-jcs321-2-after-final-undeploy-final-10s-thread-dump.txt</x:v>
      </x:c>
      <x:c r="AF797" s="34"/>
      <x:c r="AG797" s="34" t="str">
        <x:v>article1-unified-v4-2-fb3f101b-20260903-000401-default-f04-p2-jcs321-2-after-final-undeploy-final-10s-native-memory.txt</x:v>
      </x:c>
      <x:c r="AH797" s="34" t="str">
        <x:v>article1-unified-v4-2-fb3f101b-20260903-000401-default-f04-p2-jcs321-2-after-final-undeploy-final-10s-class-histogram.txt</x:v>
      </x:c>
      <x:c r="AI797" s="34" t="str">
        <x:v>article1-unified-v4-2-fb3f101b-20260903-000401-default-f04-p2-jcs321-2-after-final-undeploy-tomcat-findleaks.txt</x:v>
      </x:c>
    </x:row>
    <x:row r="798">
      <x:c r="A798" s="34" t="str">
        <x:v>article1-unified-v4-2-fb3f101b-20260903-000401-default-f04-p2-jcs321</x:v>
      </x:c>
      <x:c r="B798" s="34" t="str">
        <x:v>default</x:v>
      </x:c>
      <x:c r="C798" s="34" t="str">
        <x:v>jcs321</x:v>
      </x:c>
      <x:c r="D798" s="34" t="str">
        <x:v>jcs321</x:v>
      </x:c>
      <x:c r="E798" s="36" t="n">
        <x:v>4</x:v>
      </x:c>
      <x:c r="F798" s="36" t="n">
        <x:v>4</x:v>
      </x:c>
      <x:c r="G798" s="36" t="n">
        <x:v>2</x:v>
      </x:c>
      <x:c r="H798" s="36" t="n">
        <x:v>3</x:v>
      </x:c>
      <x:c r="I798" s="34" t="str">
        <x:v>baseline</x:v>
      </x:c>
      <x:c r="J798" s="34" t="str">
        <x:v>cycle-baseline</x:v>
      </x:c>
      <x:c r="K798" s="36" t="n">
        <x:v>0</x:v>
      </x:c>
      <x:c r="L798" s="34" t="str">
        <x:v>baseline</x:v>
      </x:c>
      <x:c r="M798" s="34" t="str">
        <x:v>article1-unified-v4-2-fb3f101b-20260903-000401-default-f04-p2-jcs321-3-baseline</x:v>
      </x:c>
      <x:c r="N798" s="38" t="n">
        <x:v>46268.032667430554</x:v>
      </x:c>
      <x:c r="O798" s="36" t="n">
        <x:v>0</x:v>
      </x:c>
      <x:c r="P798" s="43" t="n">
        <x:v>28277760</x:v>
      </x:c>
      <x:c r="Q798" s="43" t="n">
        <x:v>268435456</x:v>
      </x:c>
      <x:c r="R798" s="43" t="n">
        <x:v>489521152</x:v>
      </x:c>
      <x:c r="S798" s="36" t="n">
        <x:v>5</x:v>
      </x:c>
      <x:c r="T798" s="44" t="str">
        <x:v>0x00000000551177b8  0x0000000055003818  0x000079443c036ad0    4436  21040128  21012736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798" s="36" t="n">
        <x:v>31</x:v>
      </x:c>
      <x:c r="V798" s="36" t="n">
        <x:v>4</x:v>
      </x:c>
      <x:c r="W79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798" s="36"/>
      <x:c r="Y798" s="36"/>
      <x:c r="Z798" s="44"/>
      <x:c r="AA798" s="49"/>
      <x:c r="AB798" s="43"/>
      <x:c r="AC798" s="34" t="str">
        <x:v>article1-unified-v4-2-fb3f101b-20260903-000401-default-f04-p2-jcs321-3-baseline-heap-info.txt</x:v>
      </x:c>
      <x:c r="AD798" s="34" t="str">
        <x:v>article1-unified-v4-2-fb3f101b-20260903-000401-default-f04-p2-jcs321-3-baseline-classloader-stats.txt</x:v>
      </x:c>
      <x:c r="AE798" s="34" t="str">
        <x:v>article1-unified-v4-2-fb3f101b-20260903-000401-default-f04-p2-jcs321-3-baseline-thread-dump.txt</x:v>
      </x:c>
      <x:c r="AF798" s="34"/>
      <x:c r="AG798" s="34" t="str">
        <x:v>article1-unified-v4-2-fb3f101b-20260903-000401-default-f04-p2-jcs321-3-baseline-native-memory.txt</x:v>
      </x:c>
      <x:c r="AH798" s="34"/>
      <x:c r="AI798" s="34"/>
    </x:row>
    <x:row r="799">
      <x:c r="A799" s="34" t="str">
        <x:v>article1-unified-v4-2-fb3f101b-20260903-000401-default-f04-p2-jcs321</x:v>
      </x:c>
      <x:c r="B799" s="34" t="str">
        <x:v>default</x:v>
      </x:c>
      <x:c r="C799" s="34" t="str">
        <x:v>jcs321</x:v>
      </x:c>
      <x:c r="D799" s="34" t="str">
        <x:v>jcs321</x:v>
      </x:c>
      <x:c r="E799" s="36" t="n">
        <x:v>4</x:v>
      </x:c>
      <x:c r="F799" s="36" t="n">
        <x:v>4</x:v>
      </x:c>
      <x:c r="G799" s="36" t="n">
        <x:v>2</x:v>
      </x:c>
      <x:c r="H799" s="36" t="n">
        <x:v>3</x:v>
      </x:c>
      <x:c r="I799" s="34" t="str">
        <x:v>deployedIdle</x:v>
      </x:c>
      <x:c r="J799" s="34" t="str">
        <x:v>deployed-idle</x:v>
      </x:c>
      <x:c r="K799" s="36" t="n">
        <x:v>0</x:v>
      </x:c>
      <x:c r="L799" s="34" t="str">
        <x:v>initial</x:v>
      </x:c>
      <x:c r="M799" s="34" t="str">
        <x:v>article1-unified-v4-2-fb3f101b-20260903-000401-default-f04-p2-jcs321-3-deployed-idle</x:v>
      </x:c>
      <x:c r="N799" s="38" t="n">
        <x:v>46268.032766400465</x:v>
      </x:c>
      <x:c r="O799" s="36" t="n">
        <x:v>0</x:v>
      </x:c>
      <x:c r="P799" s="43" t="n">
        <x:v>179181568</x:v>
      </x:c>
      <x:c r="Q799" s="43" t="n">
        <x:v>268435456</x:v>
      </x:c>
      <x:c r="R799" s="43" t="n">
        <x:v>513727488</x:v>
      </x:c>
      <x:c r="S799" s="36" t="n">
        <x:v>6</x:v>
      </x:c>
      <x:c r="T799" s="44" t="str">
        <x:v>0x00000000551177b8  0x0000000055003818  0x000079443c036ad0    4436  21040128  21012736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0x00007943f419c310    4091  19451904  19433520  org.apache.catalina.loader.ParallelWebappClassLoader</x:v>
      </x:c>
      <x:c r="U799" s="36" t="n">
        <x:v>31</x:v>
      </x:c>
      <x:c r="V799" s="36" t="n">
        <x:v>4</x:v>
      </x:c>
      <x:c r="W79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799" s="36"/>
      <x:c r="Y799" s="36"/>
      <x:c r="Z799" s="44"/>
      <x:c r="AA799" s="49"/>
      <x:c r="AB799" s="43"/>
      <x:c r="AC799" s="34"/>
      <x:c r="AD799" s="34"/>
      <x:c r="AE799" s="34"/>
      <x:c r="AF799" s="34"/>
      <x:c r="AG799" s="34"/>
      <x:c r="AH799" s="34"/>
      <x:c r="AI799" s="34"/>
    </x:row>
    <x:row r="800">
      <x:c r="A800" s="34" t="str">
        <x:v>article1-unified-v4-2-fb3f101b-20260903-000401-default-f04-p2-jcs321</x:v>
      </x:c>
      <x:c r="B800" s="34" t="str">
        <x:v>default</x:v>
      </x:c>
      <x:c r="C800" s="34" t="str">
        <x:v>jcs321</x:v>
      </x:c>
      <x:c r="D800" s="34" t="str">
        <x:v>jcs321</x:v>
      </x:c>
      <x:c r="E800" s="36" t="n">
        <x:v>4</x:v>
      </x:c>
      <x:c r="F800" s="36" t="n">
        <x:v>4</x:v>
      </x:c>
      <x:c r="G800" s="36" t="n">
        <x:v>2</x:v>
      </x:c>
      <x:c r="H800" s="36" t="n">
        <x:v>3</x:v>
      </x:c>
      <x:c r="I800" s="34" t="str">
        <x:v>loaded</x:v>
      </x:c>
      <x:c r="J800" s="34" t="str">
        <x:v>loaded</x:v>
      </x:c>
      <x:c r="K800" s="36" t="n">
        <x:v>0</x:v>
      </x:c>
      <x:c r="L800" s="34" t="str">
        <x:v>initial</x:v>
      </x:c>
      <x:c r="M800" s="34" t="str">
        <x:v>article1-unified-v4-2-fb3f101b-20260903-000401-default-f04-p2-jcs321-3-loaded</x:v>
      </x:c>
      <x:c r="N800" s="38" t="n">
        <x:v>46268.032916145836</x:v>
      </x:c>
      <x:c r="O800" s="36" t="n">
        <x:v>0</x:v>
      </x:c>
      <x:c r="P800" s="43" t="n">
        <x:v>134700032</x:v>
      </x:c>
      <x:c r="Q800" s="43" t="n">
        <x:v>268435456</x:v>
      </x:c>
      <x:c r="R800" s="43" t="n">
        <x:v>519331840</x:v>
      </x:c>
      <x:c r="S800" s="36" t="n">
        <x:v>6</x:v>
      </x:c>
      <x:c r="T800" s="44" t="str">
        <x:v>0x00000000551177b8  0x0000000055003818  0x00007943f419c310    4429  21008384  20997816  org.apache.catalina.loader.ParallelWebappClassLoader | 0x00000000551177b8  0x0000000055003818  0x000079443c036ad0    4436  21040128  21012736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00" s="36" t="n">
        <x:v>32</x:v>
      </x:c>
      <x:c r="V800" s="36" t="n">
        <x:v>5</x:v>
      </x:c>
      <x:c r="W80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800" s="36"/>
      <x:c r="Y800" s="36"/>
      <x:c r="Z800" s="44"/>
      <x:c r="AA800" s="49"/>
      <x:c r="AB800" s="43"/>
      <x:c r="AC800" s="34"/>
      <x:c r="AD800" s="34"/>
      <x:c r="AE800" s="34"/>
      <x:c r="AF800" s="34"/>
      <x:c r="AG800" s="34"/>
      <x:c r="AH800" s="34"/>
      <x:c r="AI800" s="34"/>
    </x:row>
    <x:row r="801">
      <x:c r="A801" s="34" t="str">
        <x:v>article1-unified-v4-2-fb3f101b-20260903-000401-default-f04-p2-jcs321</x:v>
      </x:c>
      <x:c r="B801" s="34" t="str">
        <x:v>default</x:v>
      </x:c>
      <x:c r="C801" s="34" t="str">
        <x:v>jcs321</x:v>
      </x:c>
      <x:c r="D801" s="34" t="str">
        <x:v>jcs321</x:v>
      </x:c>
      <x:c r="E801" s="36" t="n">
        <x:v>4</x:v>
      </x:c>
      <x:c r="F801" s="36" t="n">
        <x:v>4</x:v>
      </x:c>
      <x:c r="G801" s="36" t="n">
        <x:v>2</x:v>
      </x:c>
      <x:c r="H801" s="36" t="n">
        <x:v>3</x:v>
      </x:c>
      <x:c r="I801" s="34" t="str">
        <x:v>afterUndeployEarly</x:v>
      </x:c>
      <x:c r="J801" s="34" t="str">
        <x:v>after-undeploy-early</x:v>
      </x:c>
      <x:c r="K801" s="36" t="n">
        <x:v>1</x:v>
      </x:c>
      <x:c r="L801" s="34" t="str">
        <x:v>early</x:v>
      </x:c>
      <x:c r="M801" s="34" t="str">
        <x:v>article1-unified-v4-2-fb3f101b-20260903-000401-default-f04-p2-jcs321-3-after-undeploy-early-2s</x:v>
      </x:c>
      <x:c r="N801" s="38" t="n">
        <x:v>46268.03299871528</x:v>
      </x:c>
      <x:c r="O801" s="36"/>
      <x:c r="P801" s="43"/>
      <x:c r="Q801" s="43"/>
      <x:c r="R801" s="43"/>
      <x:c r="S801" s="36"/>
      <x:c r="T801" s="44"/>
      <x:c r="U801" s="36" t="n">
        <x:v>32</x:v>
      </x:c>
      <x:c r="V801" s="36" t="n">
        <x:v>5</x:v>
      </x:c>
      <x:c r="W80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801" s="36"/>
      <x:c r="Y801" s="36"/>
      <x:c r="Z801" s="44"/>
      <x:c r="AA801" s="49"/>
      <x:c r="AB801" s="43" t="n">
        <x:v>17</x:v>
      </x:c>
      <x:c r="AC801" s="34"/>
      <x:c r="AD801" s="34"/>
      <x:c r="AE801" s="34" t="str">
        <x:v>article1-unified-v4-2-fb3f101b-20260903-000401-default-f04-p2-jcs321-3-after-undeploy-early-2s-thread-dump.txt</x:v>
      </x:c>
      <x:c r="AF801" s="34" t="str">
        <x:v>article1-unified-v4-2-fb3f101b-20260903-000401-default-f04-p2-jcs321-3-after-undeploy-early-tomcat-log.txt</x:v>
      </x:c>
      <x:c r="AG801" s="34"/>
      <x:c r="AH801" s="34"/>
      <x:c r="AI801" s="34"/>
    </x:row>
    <x:row r="802">
      <x:c r="A802" s="34" t="str">
        <x:v>article1-unified-v4-2-fb3f101b-20260903-000401-default-f04-p2-jcs321</x:v>
      </x:c>
      <x:c r="B802" s="34" t="str">
        <x:v>default</x:v>
      </x:c>
      <x:c r="C802" s="34" t="str">
        <x:v>jcs321</x:v>
      </x:c>
      <x:c r="D802" s="34" t="str">
        <x:v>jcs321</x:v>
      </x:c>
      <x:c r="E802" s="36" t="n">
        <x:v>4</x:v>
      </x:c>
      <x:c r="F802" s="36" t="n">
        <x:v>4</x:v>
      </x:c>
      <x:c r="G802" s="36" t="n">
        <x:v>2</x:v>
      </x:c>
      <x:c r="H802" s="36" t="n">
        <x:v>3</x:v>
      </x:c>
      <x:c r="I802" s="34" t="str">
        <x:v>afterUndeploy</x:v>
      </x:c>
      <x:c r="J802" s="34" t="str">
        <x:v>after-undeploy-final</x:v>
      </x:c>
      <x:c r="K802" s="36" t="n">
        <x:v>1</x:v>
      </x:c>
      <x:c r="L802" s="34" t="str">
        <x:v>final</x:v>
      </x:c>
      <x:c r="M802" s="34" t="str">
        <x:v>article1-unified-v4-2-fb3f101b-20260903-000401-default-f04-p2-jcs321-3-after-undeploy-final-10s</x:v>
      </x:c>
      <x:c r="N802" s="38" t="n">
        <x:v>46268.03315869213</x:v>
      </x:c>
      <x:c r="O802" s="36" t="n">
        <x:v>2</x:v>
      </x:c>
      <x:c r="P802" s="43" t="n">
        <x:v>32526336</x:v>
      </x:c>
      <x:c r="Q802" s="43" t="n">
        <x:v>268435456</x:v>
      </x:c>
      <x:c r="R802" s="43" t="n">
        <x:v>516359168</x:v>
      </x:c>
      <x:c r="S802" s="36" t="n">
        <x:v>6</x:v>
      </x:c>
      <x:c r="T802" s="44" t="str">
        <x:v>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02" s="36" t="n">
        <x:v>32</x:v>
      </x:c>
      <x:c r="V802" s="36" t="n">
        <x:v>5</x:v>
      </x:c>
      <x:c r="W80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802" s="36" t="n">
        <x:v>5</x:v>
      </x:c>
      <x:c r="Y802" s="36" t="n">
        <x:v>5</x:v>
      </x:c>
      <x:c r="Z802" s="44" t="str">
        <x:v>/jcs321</x:v>
      </x:c>
      <x:c r="AA802" s="45" t="b">
        <x:v>1</x:v>
      </x:c>
      <x:c r="AB802" s="43"/>
      <x:c r="AC802" s="34" t="str">
        <x:v>article1-unified-v4-2-fb3f101b-20260903-000401-default-f04-p2-jcs321-3-after-undeploy-final-10s-heap-info.txt</x:v>
      </x:c>
      <x:c r="AD802" s="34" t="str">
        <x:v>article1-unified-v4-2-fb3f101b-20260903-000401-default-f04-p2-jcs321-3-after-undeploy-final-10s-classloader-stats.txt</x:v>
      </x:c>
      <x:c r="AE802" s="34" t="str">
        <x:v>article1-unified-v4-2-fb3f101b-20260903-000401-default-f04-p2-jcs321-3-after-undeploy-final-10s-thread-dump.txt</x:v>
      </x:c>
      <x:c r="AF802" s="34"/>
      <x:c r="AG802" s="34" t="str">
        <x:v>article1-unified-v4-2-fb3f101b-20260903-000401-default-f04-p2-jcs321-3-after-undeploy-final-10s-native-memory.txt</x:v>
      </x:c>
      <x:c r="AH802" s="34" t="str">
        <x:v>article1-unified-v4-2-fb3f101b-20260903-000401-default-f04-p2-jcs321-3-after-undeploy-final-10s-class-histogram.txt</x:v>
      </x:c>
      <x:c r="AI802" s="34" t="str">
        <x:v>article1-unified-v4-2-fb3f101b-20260903-000401-default-f04-p2-jcs321-3-after-undeploy-tomcat-findleaks.txt</x:v>
      </x:c>
    </x:row>
    <x:row r="803">
      <x:c r="A803" s="34" t="str">
        <x:v>article1-unified-v4-2-fb3f101b-20260903-000401-default-f04-p2-jcs321</x:v>
      </x:c>
      <x:c r="B803" s="34" t="str">
        <x:v>default</x:v>
      </x:c>
      <x:c r="C803" s="34" t="str">
        <x:v>jcs321</x:v>
      </x:c>
      <x:c r="D803" s="34" t="str">
        <x:v>jcs321</x:v>
      </x:c>
      <x:c r="E803" s="36" t="n">
        <x:v>4</x:v>
      </x:c>
      <x:c r="F803" s="36" t="n">
        <x:v>4</x:v>
      </x:c>
      <x:c r="G803" s="36" t="n">
        <x:v>2</x:v>
      </x:c>
      <x:c r="H803" s="36" t="n">
        <x:v>3</x:v>
      </x:c>
      <x:c r="I803" s="34" t="str">
        <x:v>redeployedLoaded</x:v>
      </x:c>
      <x:c r="J803" s="34" t="str">
        <x:v>redeployed-loaded</x:v>
      </x:c>
      <x:c r="K803" s="36" t="n">
        <x:v>0</x:v>
      </x:c>
      <x:c r="L803" s="34" t="str">
        <x:v>redeploy</x:v>
      </x:c>
      <x:c r="M803" s="34" t="str">
        <x:v>article1-unified-v4-2-fb3f101b-20260903-000401-default-f04-p2-jcs321-3-redeployed-loaded</x:v>
      </x:c>
      <x:c r="N803" s="38" t="n">
        <x:v>46268.03341043981</x:v>
      </x:c>
      <x:c r="O803" s="36" t="n">
        <x:v>0</x:v>
      </x:c>
      <x:c r="P803" s="43" t="n">
        <x:v>147225600</x:v>
      </x:c>
      <x:c r="Q803" s="43" t="n">
        <x:v>268435456</x:v>
      </x:c>
      <x:c r="R803" s="43" t="n">
        <x:v>543194112</x:v>
      </x:c>
      <x:c r="S803" s="36" t="n">
        <x:v>7</x:v>
      </x:c>
      <x:c r="T803" s="44" t="str">
        <x:v>0x00000000551177b8  0x0000000055003818  0x00007943e40103a0    4426  20977664  20970696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03" s="36" t="n">
        <x:v>33</x:v>
      </x:c>
      <x:c r="V803" s="36" t="n">
        <x:v>6</x:v>
      </x:c>
      <x:c r="W80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803" s="36"/>
      <x:c r="Y803" s="36"/>
      <x:c r="Z803" s="44"/>
      <x:c r="AA803" s="49"/>
      <x:c r="AB803" s="43"/>
      <x:c r="AC803" s="34"/>
      <x:c r="AD803" s="34"/>
      <x:c r="AE803" s="34"/>
      <x:c r="AF803" s="34"/>
      <x:c r="AG803" s="34"/>
      <x:c r="AH803" s="34"/>
      <x:c r="AI803" s="34"/>
    </x:row>
    <x:row r="804">
      <x:c r="A804" s="34" t="str">
        <x:v>article1-unified-v4-2-fb3f101b-20260903-000401-default-f04-p2-jcs321</x:v>
      </x:c>
      <x:c r="B804" s="34" t="str">
        <x:v>default</x:v>
      </x:c>
      <x:c r="C804" s="34" t="str">
        <x:v>jcs321</x:v>
      </x:c>
      <x:c r="D804" s="34" t="str">
        <x:v>jcs321</x:v>
      </x:c>
      <x:c r="E804" s="36" t="n">
        <x:v>4</x:v>
      </x:c>
      <x:c r="F804" s="36" t="n">
        <x:v>4</x:v>
      </x:c>
      <x:c r="G804" s="36" t="n">
        <x:v>2</x:v>
      </x:c>
      <x:c r="H804" s="36" t="n">
        <x:v>3</x:v>
      </x:c>
      <x:c r="I804" s="34" t="str">
        <x:v>afterFinalUndeployEarly</x:v>
      </x:c>
      <x:c r="J804" s="34" t="str">
        <x:v>after-final-undeploy-early</x:v>
      </x:c>
      <x:c r="K804" s="36" t="n">
        <x:v>2</x:v>
      </x:c>
      <x:c r="L804" s="34" t="str">
        <x:v>early</x:v>
      </x:c>
      <x:c r="M804" s="34" t="str">
        <x:v>article1-unified-v4-2-fb3f101b-20260903-000401-default-f04-p2-jcs321-3-after-final-undeploy-early-2s</x:v>
      </x:c>
      <x:c r="N804" s="38" t="n">
        <x:v>46268.03349657408</x:v>
      </x:c>
      <x:c r="O804" s="36"/>
      <x:c r="P804" s="43"/>
      <x:c r="Q804" s="43"/>
      <x:c r="R804" s="43"/>
      <x:c r="S804" s="36"/>
      <x:c r="T804" s="44"/>
      <x:c r="U804" s="36" t="n">
        <x:v>33</x:v>
      </x:c>
      <x:c r="V804" s="36" t="n">
        <x:v>6</x:v>
      </x:c>
      <x:c r="W80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804" s="36"/>
      <x:c r="Y804" s="36"/>
      <x:c r="Z804" s="44"/>
      <x:c r="AA804" s="49"/>
      <x:c r="AB804" s="43" t="n">
        <x:v>17</x:v>
      </x:c>
      <x:c r="AC804" s="34"/>
      <x:c r="AD804" s="34"/>
      <x:c r="AE804" s="34" t="str">
        <x:v>article1-unified-v4-2-fb3f101b-20260903-000401-default-f04-p2-jcs321-3-after-final-undeploy-early-2s-thread-dump.txt</x:v>
      </x:c>
      <x:c r="AF804" s="34" t="str">
        <x:v>article1-unified-v4-2-fb3f101b-20260903-000401-default-f04-p2-jcs321-3-after-final-undeploy-early-tomcat-log.txt</x:v>
      </x:c>
      <x:c r="AG804" s="34"/>
      <x:c r="AH804" s="34"/>
      <x:c r="AI804" s="34"/>
    </x:row>
    <x:row r="805">
      <x:c r="A805" s="34" t="str">
        <x:v>article1-unified-v4-2-fb3f101b-20260903-000401-default-f04-p2-jcs321</x:v>
      </x:c>
      <x:c r="B805" s="34" t="str">
        <x:v>default</x:v>
      </x:c>
      <x:c r="C805" s="34" t="str">
        <x:v>jcs321</x:v>
      </x:c>
      <x:c r="D805" s="34" t="str">
        <x:v>jcs321</x:v>
      </x:c>
      <x:c r="E805" s="36" t="n">
        <x:v>4</x:v>
      </x:c>
      <x:c r="F805" s="36" t="n">
        <x:v>4</x:v>
      </x:c>
      <x:c r="G805" s="36" t="n">
        <x:v>2</x:v>
      </x:c>
      <x:c r="H805" s="36" t="n">
        <x:v>3</x:v>
      </x:c>
      <x:c r="I805" s="34" t="str">
        <x:v>afterFinalUndeploy</x:v>
      </x:c>
      <x:c r="J805" s="34" t="str">
        <x:v>after-final-undeploy-final</x:v>
      </x:c>
      <x:c r="K805" s="36" t="n">
        <x:v>2</x:v>
      </x:c>
      <x:c r="L805" s="34" t="str">
        <x:v>final</x:v>
      </x:c>
      <x:c r="M805" s="34" t="str">
        <x:v>article1-unified-v4-2-fb3f101b-20260903-000401-default-f04-p2-jcs321-3-after-final-undeploy-final-10s</x:v>
      </x:c>
      <x:c r="N805" s="38" t="n">
        <x:v>46268.03365012731</x:v>
      </x:c>
      <x:c r="O805" s="36" t="n">
        <x:v>2</x:v>
      </x:c>
      <x:c r="P805" s="43" t="n">
        <x:v>36741120</x:v>
      </x:c>
      <x:c r="Q805" s="43" t="n">
        <x:v>268435456</x:v>
      </x:c>
      <x:c r="R805" s="43" t="n">
        <x:v>541062144</x:v>
      </x:c>
      <x:c r="S805" s="36" t="n">
        <x:v>7</x:v>
      </x:c>
      <x:c r="T805" s="44" t="str">
        <x:v>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0x00007943e40103a0    4440  21025792  21005648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05" s="36" t="n">
        <x:v>33</x:v>
      </x:c>
      <x:c r="V805" s="36" t="n">
        <x:v>6</x:v>
      </x:c>
      <x:c r="W80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805" s="36" t="n">
        <x:v>6</x:v>
      </x:c>
      <x:c r="Y805" s="36" t="n">
        <x:v>6</x:v>
      </x:c>
      <x:c r="Z805" s="44" t="str">
        <x:v>/jcs321</x:v>
      </x:c>
      <x:c r="AA805" s="45" t="b">
        <x:v>1</x:v>
      </x:c>
      <x:c r="AB805" s="43"/>
      <x:c r="AC805" s="34" t="str">
        <x:v>article1-unified-v4-2-fb3f101b-20260903-000401-default-f04-p2-jcs321-3-after-final-undeploy-final-10s-heap-info.txt</x:v>
      </x:c>
      <x:c r="AD805" s="34" t="str">
        <x:v>article1-unified-v4-2-fb3f101b-20260903-000401-default-f04-p2-jcs321-3-after-final-undeploy-final-10s-classloader-stats.txt</x:v>
      </x:c>
      <x:c r="AE805" s="34" t="str">
        <x:v>article1-unified-v4-2-fb3f101b-20260903-000401-default-f04-p2-jcs321-3-after-final-undeploy-final-10s-thread-dump.txt</x:v>
      </x:c>
      <x:c r="AF805" s="34"/>
      <x:c r="AG805" s="34" t="str">
        <x:v>article1-unified-v4-2-fb3f101b-20260903-000401-default-f04-p2-jcs321-3-after-final-undeploy-final-10s-native-memory.txt</x:v>
      </x:c>
      <x:c r="AH805" s="34" t="str">
        <x:v>article1-unified-v4-2-fb3f101b-20260903-000401-default-f04-p2-jcs321-3-after-final-undeploy-final-10s-class-histogram.txt</x:v>
      </x:c>
      <x:c r="AI805" s="34" t="str">
        <x:v>article1-unified-v4-2-fb3f101b-20260903-000401-default-f04-p2-jcs321-3-after-final-undeploy-tomcat-findleaks.txt</x:v>
      </x:c>
    </x:row>
    <x:row r="806">
      <x:c r="A806" s="34" t="str">
        <x:v>article1-unified-v4-2-fb3f101b-20260903-000401-default-f04-p2-jcs321</x:v>
      </x:c>
      <x:c r="B806" s="34" t="str">
        <x:v>default</x:v>
      </x:c>
      <x:c r="C806" s="34" t="str">
        <x:v>jcs321</x:v>
      </x:c>
      <x:c r="D806" s="34" t="str">
        <x:v>jcs321</x:v>
      </x:c>
      <x:c r="E806" s="36" t="n">
        <x:v>4</x:v>
      </x:c>
      <x:c r="F806" s="36" t="n">
        <x:v>4</x:v>
      </x:c>
      <x:c r="G806" s="36" t="n">
        <x:v>2</x:v>
      </x:c>
      <x:c r="H806" s="36" t="n">
        <x:v>4</x:v>
      </x:c>
      <x:c r="I806" s="34" t="str">
        <x:v>baseline</x:v>
      </x:c>
      <x:c r="J806" s="34" t="str">
        <x:v>cycle-baseline</x:v>
      </x:c>
      <x:c r="K806" s="36" t="n">
        <x:v>0</x:v>
      </x:c>
      <x:c r="L806" s="34" t="str">
        <x:v>baseline</x:v>
      </x:c>
      <x:c r="M806" s="34" t="str">
        <x:v>article1-unified-v4-2-fb3f101b-20260903-000401-default-f04-p2-jcs321-4-baseline</x:v>
      </x:c>
      <x:c r="N806" s="38" t="n">
        <x:v>46268.0336972338</x:v>
      </x:c>
      <x:c r="O806" s="36" t="n">
        <x:v>0</x:v>
      </x:c>
      <x:c r="P806" s="43" t="n">
        <x:v>36746240</x:v>
      </x:c>
      <x:c r="Q806" s="43" t="n">
        <x:v>268435456</x:v>
      </x:c>
      <x:c r="R806" s="43" t="n">
        <x:v>540950528</x:v>
      </x:c>
      <x:c r="S806" s="36" t="n">
        <x:v>7</x:v>
      </x:c>
      <x:c r="T806" s="44" t="str">
        <x:v>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0x00007943e40103a0    4440  21025792  21005648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06" s="36" t="n">
        <x:v>33</x:v>
      </x:c>
      <x:c r="V806" s="36" t="n">
        <x:v>6</x:v>
      </x:c>
      <x:c r="W80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806" s="36"/>
      <x:c r="Y806" s="36"/>
      <x:c r="Z806" s="44"/>
      <x:c r="AA806" s="49"/>
      <x:c r="AB806" s="43"/>
      <x:c r="AC806" s="34" t="str">
        <x:v>article1-unified-v4-2-fb3f101b-20260903-000401-default-f04-p2-jcs321-4-baseline-heap-info.txt</x:v>
      </x:c>
      <x:c r="AD806" s="34" t="str">
        <x:v>article1-unified-v4-2-fb3f101b-20260903-000401-default-f04-p2-jcs321-4-baseline-classloader-stats.txt</x:v>
      </x:c>
      <x:c r="AE806" s="34" t="str">
        <x:v>article1-unified-v4-2-fb3f101b-20260903-000401-default-f04-p2-jcs321-4-baseline-thread-dump.txt</x:v>
      </x:c>
      <x:c r="AF806" s="34"/>
      <x:c r="AG806" s="34" t="str">
        <x:v>article1-unified-v4-2-fb3f101b-20260903-000401-default-f04-p2-jcs321-4-baseline-native-memory.txt</x:v>
      </x:c>
      <x:c r="AH806" s="34"/>
      <x:c r="AI806" s="34"/>
    </x:row>
    <x:row r="807">
      <x:c r="A807" s="34" t="str">
        <x:v>article1-unified-v4-2-fb3f101b-20260903-000401-default-f04-p2-jcs321</x:v>
      </x:c>
      <x:c r="B807" s="34" t="str">
        <x:v>default</x:v>
      </x:c>
      <x:c r="C807" s="34" t="str">
        <x:v>jcs321</x:v>
      </x:c>
      <x:c r="D807" s="34" t="str">
        <x:v>jcs321</x:v>
      </x:c>
      <x:c r="E807" s="36" t="n">
        <x:v>4</x:v>
      </x:c>
      <x:c r="F807" s="36" t="n">
        <x:v>4</x:v>
      </x:c>
      <x:c r="G807" s="36" t="n">
        <x:v>2</x:v>
      </x:c>
      <x:c r="H807" s="36" t="n">
        <x:v>4</x:v>
      </x:c>
      <x:c r="I807" s="34" t="str">
        <x:v>deployedIdle</x:v>
      </x:c>
      <x:c r="J807" s="34" t="str">
        <x:v>deployed-idle</x:v>
      </x:c>
      <x:c r="K807" s="36" t="n">
        <x:v>0</x:v>
      </x:c>
      <x:c r="L807" s="34" t="str">
        <x:v>initial</x:v>
      </x:c>
      <x:c r="M807" s="34" t="str">
        <x:v>article1-unified-v4-2-fb3f101b-20260903-000401-default-f04-p2-jcs321-4-deployed-idle</x:v>
      </x:c>
      <x:c r="N807" s="38" t="n">
        <x:v>46268.03379596065</x:v>
      </x:c>
      <x:c r="O807" s="36" t="n">
        <x:v>0</x:v>
      </x:c>
      <x:c r="P807" s="43" t="n">
        <x:v>187706368</x:v>
      </x:c>
      <x:c r="Q807" s="43" t="n">
        <x:v>268435456</x:v>
      </x:c>
      <x:c r="R807" s="43" t="n">
        <x:v>580827136</x:v>
      </x:c>
      <x:c r="S807" s="36" t="n">
        <x:v>8</x:v>
      </x:c>
      <x:c r="T807" s="44" t="str">
        <x:v>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0x00007943ec1a2430    4091  19420160  19403664  org.apache.catalina.loader.ParallelWebappClassLoader | 0x00000000551177b8  0x0000000055003818  0x00007943e40103a0    4440  21025792  21005648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07" s="36" t="n">
        <x:v>33</x:v>
      </x:c>
      <x:c r="V807" s="36" t="n">
        <x:v>6</x:v>
      </x:c>
      <x:c r="W80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807" s="36"/>
      <x:c r="Y807" s="36"/>
      <x:c r="Z807" s="44"/>
      <x:c r="AA807" s="49"/>
      <x:c r="AB807" s="43"/>
      <x:c r="AC807" s="34"/>
      <x:c r="AD807" s="34"/>
      <x:c r="AE807" s="34"/>
      <x:c r="AF807" s="34"/>
      <x:c r="AG807" s="34"/>
      <x:c r="AH807" s="34"/>
      <x:c r="AI807" s="34"/>
    </x:row>
    <x:row r="808">
      <x:c r="A808" s="34" t="str">
        <x:v>article1-unified-v4-2-fb3f101b-20260903-000401-default-f04-p2-jcs321</x:v>
      </x:c>
      <x:c r="B808" s="34" t="str">
        <x:v>default</x:v>
      </x:c>
      <x:c r="C808" s="34" t="str">
        <x:v>jcs321</x:v>
      </x:c>
      <x:c r="D808" s="34" t="str">
        <x:v>jcs321</x:v>
      </x:c>
      <x:c r="E808" s="36" t="n">
        <x:v>4</x:v>
      </x:c>
      <x:c r="F808" s="36" t="n">
        <x:v>4</x:v>
      </x:c>
      <x:c r="G808" s="36" t="n">
        <x:v>2</x:v>
      </x:c>
      <x:c r="H808" s="36" t="n">
        <x:v>4</x:v>
      </x:c>
      <x:c r="I808" s="34" t="str">
        <x:v>loaded</x:v>
      </x:c>
      <x:c r="J808" s="34" t="str">
        <x:v>loaded</x:v>
      </x:c>
      <x:c r="K808" s="36" t="n">
        <x:v>0</x:v>
      </x:c>
      <x:c r="L808" s="34" t="str">
        <x:v>initial</x:v>
      </x:c>
      <x:c r="M808" s="34" t="str">
        <x:v>article1-unified-v4-2-fb3f101b-20260903-000401-default-f04-p2-jcs321-4-loaded</x:v>
      </x:c>
      <x:c r="N808" s="38" t="n">
        <x:v>46268.03394545139</x:v>
      </x:c>
      <x:c r="O808" s="36" t="n">
        <x:v>0</x:v>
      </x:c>
      <x:c r="P808" s="43" t="n">
        <x:v>149596160</x:v>
      </x:c>
      <x:c r="Q808" s="43" t="n">
        <x:v>268435456</x:v>
      </x:c>
      <x:c r="R808" s="43" t="n">
        <x:v>566819840</x:v>
      </x:c>
      <x:c r="S808" s="36" t="n">
        <x:v>8</x:v>
      </x:c>
      <x:c r="T808" s="44" t="str">
        <x:v>0x00000000551177b8  0x0000000055003818  0x00007943ec1a2430    4416  20960256  20943824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0x00007943e40103a0    4440  21025792  21005648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08" s="36" t="n">
        <x:v>34</x:v>
      </x:c>
      <x:c r="V808" s="36" t="n">
        <x:v>7</x:v>
      </x:c>
      <x:c r="W80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808" s="36"/>
      <x:c r="Y808" s="36"/>
      <x:c r="Z808" s="44"/>
      <x:c r="AA808" s="49"/>
      <x:c r="AB808" s="43"/>
      <x:c r="AC808" s="34"/>
      <x:c r="AD808" s="34"/>
      <x:c r="AE808" s="34"/>
      <x:c r="AF808" s="34"/>
      <x:c r="AG808" s="34"/>
      <x:c r="AH808" s="34"/>
      <x:c r="AI808" s="34"/>
    </x:row>
    <x:row r="809">
      <x:c r="A809" s="34" t="str">
        <x:v>article1-unified-v4-2-fb3f101b-20260903-000401-default-f04-p2-jcs321</x:v>
      </x:c>
      <x:c r="B809" s="34" t="str">
        <x:v>default</x:v>
      </x:c>
      <x:c r="C809" s="34" t="str">
        <x:v>jcs321</x:v>
      </x:c>
      <x:c r="D809" s="34" t="str">
        <x:v>jcs321</x:v>
      </x:c>
      <x:c r="E809" s="36" t="n">
        <x:v>4</x:v>
      </x:c>
      <x:c r="F809" s="36" t="n">
        <x:v>4</x:v>
      </x:c>
      <x:c r="G809" s="36" t="n">
        <x:v>2</x:v>
      </x:c>
      <x:c r="H809" s="36" t="n">
        <x:v>4</x:v>
      </x:c>
      <x:c r="I809" s="34" t="str">
        <x:v>afterUndeployEarly</x:v>
      </x:c>
      <x:c r="J809" s="34" t="str">
        <x:v>after-undeploy-early</x:v>
      </x:c>
      <x:c r="K809" s="36" t="n">
        <x:v>1</x:v>
      </x:c>
      <x:c r="L809" s="34" t="str">
        <x:v>early</x:v>
      </x:c>
      <x:c r="M809" s="34" t="str">
        <x:v>article1-unified-v4-2-fb3f101b-20260903-000401-default-f04-p2-jcs321-4-after-undeploy-early-2s</x:v>
      </x:c>
      <x:c r="N809" s="38" t="n">
        <x:v>46268.034029675924</x:v>
      </x:c>
      <x:c r="O809" s="36"/>
      <x:c r="P809" s="43"/>
      <x:c r="Q809" s="43"/>
      <x:c r="R809" s="43"/>
      <x:c r="S809" s="36"/>
      <x:c r="T809" s="44"/>
      <x:c r="U809" s="36" t="n">
        <x:v>34</x:v>
      </x:c>
      <x:c r="V809" s="36" t="n">
        <x:v>7</x:v>
      </x:c>
      <x:c r="W80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809" s="36"/>
      <x:c r="Y809" s="36"/>
      <x:c r="Z809" s="44"/>
      <x:c r="AA809" s="49"/>
      <x:c r="AB809" s="43" t="n">
        <x:v>17</x:v>
      </x:c>
      <x:c r="AC809" s="34"/>
      <x:c r="AD809" s="34"/>
      <x:c r="AE809" s="34" t="str">
        <x:v>article1-unified-v4-2-fb3f101b-20260903-000401-default-f04-p2-jcs321-4-after-undeploy-early-2s-thread-dump.txt</x:v>
      </x:c>
      <x:c r="AF809" s="34" t="str">
        <x:v>article1-unified-v4-2-fb3f101b-20260903-000401-default-f04-p2-jcs321-4-after-undeploy-early-tomcat-log.txt</x:v>
      </x:c>
      <x:c r="AG809" s="34"/>
      <x:c r="AH809" s="34"/>
      <x:c r="AI809" s="34"/>
    </x:row>
    <x:row r="810">
      <x:c r="A810" s="34" t="str">
        <x:v>article1-unified-v4-2-fb3f101b-20260903-000401-default-f04-p2-jcs321</x:v>
      </x:c>
      <x:c r="B810" s="34" t="str">
        <x:v>default</x:v>
      </x:c>
      <x:c r="C810" s="34" t="str">
        <x:v>jcs321</x:v>
      </x:c>
      <x:c r="D810" s="34" t="str">
        <x:v>jcs321</x:v>
      </x:c>
      <x:c r="E810" s="36" t="n">
        <x:v>4</x:v>
      </x:c>
      <x:c r="F810" s="36" t="n">
        <x:v>4</x:v>
      </x:c>
      <x:c r="G810" s="36" t="n">
        <x:v>2</x:v>
      </x:c>
      <x:c r="H810" s="36" t="n">
        <x:v>4</x:v>
      </x:c>
      <x:c r="I810" s="34" t="str">
        <x:v>afterUndeploy</x:v>
      </x:c>
      <x:c r="J810" s="34" t="str">
        <x:v>after-undeploy-final</x:v>
      </x:c>
      <x:c r="K810" s="36" t="n">
        <x:v>1</x:v>
      </x:c>
      <x:c r="L810" s="34" t="str">
        <x:v>final</x:v>
      </x:c>
      <x:c r="M810" s="34" t="str">
        <x:v>article1-unified-v4-2-fb3f101b-20260903-000401-default-f04-p2-jcs321-4-after-undeploy-final-10s</x:v>
      </x:c>
      <x:c r="N810" s="38" t="n">
        <x:v>46268.03418545139</x:v>
      </x:c>
      <x:c r="O810" s="36" t="n">
        <x:v>2</x:v>
      </x:c>
      <x:c r="P810" s="43" t="n">
        <x:v>40982528</x:v>
      </x:c>
      <x:c r="Q810" s="43" t="n">
        <x:v>268435456</x:v>
      </x:c>
      <x:c r="R810" s="43" t="n">
        <x:v>562785280</x:v>
      </x:c>
      <x:c r="S810" s="36" t="n">
        <x:v>8</x:v>
      </x:c>
      <x:c r="T810" s="44" t="str">
        <x:v>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0x00007943e40103a0    4440  21025792  21005648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10" s="36" t="n">
        <x:v>34</x:v>
      </x:c>
      <x:c r="V810" s="36" t="n">
        <x:v>7</x:v>
      </x:c>
      <x:c r="W81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810" s="36" t="n">
        <x:v>7</x:v>
      </x:c>
      <x:c r="Y810" s="36" t="n">
        <x:v>7</x:v>
      </x:c>
      <x:c r="Z810" s="44" t="str">
        <x:v>/jcs321</x:v>
      </x:c>
      <x:c r="AA810" s="45" t="b">
        <x:v>1</x:v>
      </x:c>
      <x:c r="AB810" s="43"/>
      <x:c r="AC810" s="34" t="str">
        <x:v>article1-unified-v4-2-fb3f101b-20260903-000401-default-f04-p2-jcs321-4-after-undeploy-final-10s-heap-info.txt</x:v>
      </x:c>
      <x:c r="AD810" s="34" t="str">
        <x:v>article1-unified-v4-2-fb3f101b-20260903-000401-default-f04-p2-jcs321-4-after-undeploy-final-10s-classloader-stats.txt</x:v>
      </x:c>
      <x:c r="AE810" s="34" t="str">
        <x:v>article1-unified-v4-2-fb3f101b-20260903-000401-default-f04-p2-jcs321-4-after-undeploy-final-10s-thread-dump.txt</x:v>
      </x:c>
      <x:c r="AF810" s="34"/>
      <x:c r="AG810" s="34" t="str">
        <x:v>article1-unified-v4-2-fb3f101b-20260903-000401-default-f04-p2-jcs321-4-after-undeploy-final-10s-native-memory.txt</x:v>
      </x:c>
      <x:c r="AH810" s="34" t="str">
        <x:v>article1-unified-v4-2-fb3f101b-20260903-000401-default-f04-p2-jcs321-4-after-undeploy-final-10s-class-histogram.txt</x:v>
      </x:c>
      <x:c r="AI810" s="34" t="str">
        <x:v>article1-unified-v4-2-fb3f101b-20260903-000401-default-f04-p2-jcs321-4-after-undeploy-tomcat-findleaks.txt</x:v>
      </x:c>
    </x:row>
    <x:row r="811">
      <x:c r="A811" s="34" t="str">
        <x:v>article1-unified-v4-2-fb3f101b-20260903-000401-default-f04-p2-jcs321</x:v>
      </x:c>
      <x:c r="B811" s="34" t="str">
        <x:v>default</x:v>
      </x:c>
      <x:c r="C811" s="34" t="str">
        <x:v>jcs321</x:v>
      </x:c>
      <x:c r="D811" s="34" t="str">
        <x:v>jcs321</x:v>
      </x:c>
      <x:c r="E811" s="36" t="n">
        <x:v>4</x:v>
      </x:c>
      <x:c r="F811" s="36" t="n">
        <x:v>4</x:v>
      </x:c>
      <x:c r="G811" s="36" t="n">
        <x:v>2</x:v>
      </x:c>
      <x:c r="H811" s="36" t="n">
        <x:v>4</x:v>
      </x:c>
      <x:c r="I811" s="34" t="str">
        <x:v>redeployedLoaded</x:v>
      </x:c>
      <x:c r="J811" s="34" t="str">
        <x:v>redeployed-loaded</x:v>
      </x:c>
      <x:c r="K811" s="36" t="n">
        <x:v>0</x:v>
      </x:c>
      <x:c r="L811" s="34" t="str">
        <x:v>redeploy</x:v>
      </x:c>
      <x:c r="M811" s="34" t="str">
        <x:v>article1-unified-v4-2-fb3f101b-20260903-000401-default-f04-p2-jcs321-4-redeployed-loaded</x:v>
      </x:c>
      <x:c r="N811" s="38" t="n">
        <x:v>46268.03444357639</x:v>
      </x:c>
      <x:c r="O811" s="36" t="n">
        <x:v>0</x:v>
      </x:c>
      <x:c r="P811" s="43" t="n">
        <x:v>152800256</x:v>
      </x:c>
      <x:c r="Q811" s="43" t="n">
        <x:v>268435456</x:v>
      </x:c>
      <x:c r="R811" s="43" t="n">
        <x:v>586909696</x:v>
      </x:c>
      <x:c r="S811" s="36" t="n">
        <x:v>9</x:v>
      </x:c>
      <x:c r="T811" s="44" t="str">
        <x:v>0x00000000551177b8  0x0000000055003818  0x0000794444007f90    4411  20985856  20972672  org.apache.catalina.loader.ParallelWebappClassLoader | 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0x0000794438198960    4422  21025792  21012512  org.apache.catalina.loader.ParallelWebappClassLoader | 0x00000000551177b8  0x0000000055003818  0x00007943e40103a0    4440  21025792  21005648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</x:v>
      </x:c>
      <x:c r="U811" s="36" t="n">
        <x:v>35</x:v>
      </x:c>
      <x:c r="V811" s="36" t="n">
        <x:v>8</x:v>
      </x:c>
      <x:c r="W81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811" s="36"/>
      <x:c r="Y811" s="36"/>
      <x:c r="Z811" s="44"/>
      <x:c r="AA811" s="49"/>
      <x:c r="AB811" s="43"/>
      <x:c r="AC811" s="34"/>
      <x:c r="AD811" s="34"/>
      <x:c r="AE811" s="34"/>
      <x:c r="AF811" s="34"/>
      <x:c r="AG811" s="34"/>
      <x:c r="AH811" s="34"/>
      <x:c r="AI811" s="34"/>
    </x:row>
    <x:row r="812">
      <x:c r="A812" s="34" t="str">
        <x:v>article1-unified-v4-2-fb3f101b-20260903-000401-default-f04-p2-jcs321</x:v>
      </x:c>
      <x:c r="B812" s="34" t="str">
        <x:v>default</x:v>
      </x:c>
      <x:c r="C812" s="34" t="str">
        <x:v>jcs321</x:v>
      </x:c>
      <x:c r="D812" s="34" t="str">
        <x:v>jcs321</x:v>
      </x:c>
      <x:c r="E812" s="36" t="n">
        <x:v>4</x:v>
      </x:c>
      <x:c r="F812" s="36" t="n">
        <x:v>4</x:v>
      </x:c>
      <x:c r="G812" s="36" t="n">
        <x:v>2</x:v>
      </x:c>
      <x:c r="H812" s="36" t="n">
        <x:v>4</x:v>
      </x:c>
      <x:c r="I812" s="34" t="str">
        <x:v>afterFinalUndeployEarly</x:v>
      </x:c>
      <x:c r="J812" s="34" t="str">
        <x:v>after-final-undeploy-early</x:v>
      </x:c>
      <x:c r="K812" s="36" t="n">
        <x:v>2</x:v>
      </x:c>
      <x:c r="L812" s="34" t="str">
        <x:v>early</x:v>
      </x:c>
      <x:c r="M812" s="34" t="str">
        <x:v>article1-unified-v4-2-fb3f101b-20260903-000401-default-f04-p2-jcs321-4-after-final-undeploy-early-2s</x:v>
      </x:c>
      <x:c r="N812" s="38" t="n">
        <x:v>46268.0345255787</x:v>
      </x:c>
      <x:c r="O812" s="36"/>
      <x:c r="P812" s="43"/>
      <x:c r="Q812" s="43"/>
      <x:c r="R812" s="43"/>
      <x:c r="S812" s="36"/>
      <x:c r="T812" s="44"/>
      <x:c r="U812" s="36" t="n">
        <x:v>35</x:v>
      </x:c>
      <x:c r="V812" s="36" t="n">
        <x:v>8</x:v>
      </x:c>
      <x:c r="W81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812" s="36"/>
      <x:c r="Y812" s="36"/>
      <x:c r="Z812" s="44"/>
      <x:c r="AA812" s="49"/>
      <x:c r="AB812" s="43" t="n">
        <x:v>17</x:v>
      </x:c>
      <x:c r="AC812" s="34"/>
      <x:c r="AD812" s="34"/>
      <x:c r="AE812" s="34" t="str">
        <x:v>article1-unified-v4-2-fb3f101b-20260903-000401-default-f04-p2-jcs321-4-after-final-undeploy-early-2s-thread-dump.txt</x:v>
      </x:c>
      <x:c r="AF812" s="34" t="str">
        <x:v>article1-unified-v4-2-fb3f101b-20260903-000401-default-f04-p2-jcs321-4-after-final-undeploy-early-tomcat-log.txt</x:v>
      </x:c>
      <x:c r="AG812" s="34"/>
      <x:c r="AH812" s="34"/>
      <x:c r="AI812" s="34"/>
    </x:row>
    <x:row r="813">
      <x:c r="A813" s="34" t="str">
        <x:v>article1-unified-v4-2-fb3f101b-20260903-000401-default-f04-p2-jcs321</x:v>
      </x:c>
      <x:c r="B813" s="34" t="str">
        <x:v>default</x:v>
      </x:c>
      <x:c r="C813" s="34" t="str">
        <x:v>jcs321</x:v>
      </x:c>
      <x:c r="D813" s="34" t="str">
        <x:v>jcs321</x:v>
      </x:c>
      <x:c r="E813" s="36" t="n">
        <x:v>4</x:v>
      </x:c>
      <x:c r="F813" s="36" t="n">
        <x:v>4</x:v>
      </x:c>
      <x:c r="G813" s="36" t="n">
        <x:v>2</x:v>
      </x:c>
      <x:c r="H813" s="36" t="n">
        <x:v>4</x:v>
      </x:c>
      <x:c r="I813" s="34" t="str">
        <x:v>afterFinalUndeploy</x:v>
      </x:c>
      <x:c r="J813" s="34" t="str">
        <x:v>after-final-undeploy-final</x:v>
      </x:c>
      <x:c r="K813" s="36" t="n">
        <x:v>2</x:v>
      </x:c>
      <x:c r="L813" s="34" t="str">
        <x:v>final</x:v>
      </x:c>
      <x:c r="M813" s="34" t="str">
        <x:v>article1-unified-v4-2-fb3f101b-20260903-000401-default-f04-p2-jcs321-4-after-final-undeploy-final-10s</x:v>
      </x:c>
      <x:c r="N813" s="38" t="n">
        <x:v>46268.03468429398</x:v>
      </x:c>
      <x:c r="O813" s="36" t="n">
        <x:v>2</x:v>
      </x:c>
      <x:c r="P813" s="43" t="n">
        <x:v>45316096</x:v>
      </x:c>
      <x:c r="Q813" s="43" t="n">
        <x:v>268435456</x:v>
      </x:c>
      <x:c r="R813" s="43" t="n">
        <x:v>586561536</x:v>
      </x:c>
      <x:c r="S813" s="36" t="n">
        <x:v>9</x:v>
      </x:c>
      <x:c r="T813" s="44" t="str">
        <x:v>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0x00007943e40103a0    4440  21025792  21005648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0x0000794444007f90    4425  21018624  21007624  org.apache.catalina.loader.ParallelWebappClassLoader</x:v>
      </x:c>
      <x:c r="U813" s="36" t="n">
        <x:v>35</x:v>
      </x:c>
      <x:c r="V813" s="36" t="n">
        <x:v>8</x:v>
      </x:c>
      <x:c r="W81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813" s="36" t="n">
        <x:v>8</x:v>
      </x:c>
      <x:c r="Y813" s="36" t="n">
        <x:v>8</x:v>
      </x:c>
      <x:c r="Z813" s="44" t="str">
        <x:v>/jcs321</x:v>
      </x:c>
      <x:c r="AA813" s="45" t="b">
        <x:v>1</x:v>
      </x:c>
      <x:c r="AB813" s="43"/>
      <x:c r="AC813" s="34" t="str">
        <x:v>article1-unified-v4-2-fb3f101b-20260903-000401-default-f04-p2-jcs321-4-after-final-undeploy-final-10s-heap-info.txt</x:v>
      </x:c>
      <x:c r="AD813" s="34" t="str">
        <x:v>article1-unified-v4-2-fb3f101b-20260903-000401-default-f04-p2-jcs321-4-after-final-undeploy-final-10s-classloader-stats.txt</x:v>
      </x:c>
      <x:c r="AE813" s="34" t="str">
        <x:v>article1-unified-v4-2-fb3f101b-20260903-000401-default-f04-p2-jcs321-4-after-final-undeploy-final-10s-thread-dump.txt</x:v>
      </x:c>
      <x:c r="AF813" s="34"/>
      <x:c r="AG813" s="34" t="str">
        <x:v>article1-unified-v4-2-fb3f101b-20260903-000401-default-f04-p2-jcs321-4-after-final-undeploy-final-10s-native-memory.txt</x:v>
      </x:c>
      <x:c r="AH813" s="34" t="str">
        <x:v>article1-unified-v4-2-fb3f101b-20260903-000401-default-f04-p2-jcs321-4-after-final-undeploy-final-10s-class-histogram.txt</x:v>
      </x:c>
      <x:c r="AI813" s="34" t="str">
        <x:v>article1-unified-v4-2-fb3f101b-20260903-000401-default-f04-p2-jcs321-4-after-final-undeploy-tomcat-findleaks.txt</x:v>
      </x:c>
    </x:row>
    <x:row r="814">
      <x:c r="A814" s="34" t="str">
        <x:v>article1-unified-v4-2-fb3f101b-20260903-000401-default-f04-p2-jcs321</x:v>
      </x:c>
      <x:c r="B814" s="34" t="str">
        <x:v>default</x:v>
      </x:c>
      <x:c r="C814" s="34" t="str">
        <x:v>jcs321</x:v>
      </x:c>
      <x:c r="D814" s="34" t="str">
        <x:v>jcs321</x:v>
      </x:c>
      <x:c r="E814" s="36" t="n">
        <x:v>4</x:v>
      </x:c>
      <x:c r="F814" s="36" t="n">
        <x:v>4</x:v>
      </x:c>
      <x:c r="G814" s="36" t="n">
        <x:v>2</x:v>
      </x:c>
      <x:c r="H814" s="36" t="n">
        <x:v>5</x:v>
      </x:c>
      <x:c r="I814" s="34" t="str">
        <x:v>baseline</x:v>
      </x:c>
      <x:c r="J814" s="34" t="str">
        <x:v>cycle-baseline</x:v>
      </x:c>
      <x:c r="K814" s="36" t="n">
        <x:v>0</x:v>
      </x:c>
      <x:c r="L814" s="34" t="str">
        <x:v>baseline</x:v>
      </x:c>
      <x:c r="M814" s="34" t="str">
        <x:v>article1-unified-v4-2-fb3f101b-20260903-000401-default-f04-p2-jcs321-5-baseline</x:v>
      </x:c>
      <x:c r="N814" s="38" t="n">
        <x:v>46268.034725034726</x:v>
      </x:c>
      <x:c r="O814" s="36" t="n">
        <x:v>0</x:v>
      </x:c>
      <x:c r="P814" s="43" t="n">
        <x:v>45316096</x:v>
      </x:c>
      <x:c r="Q814" s="43" t="n">
        <x:v>268435456</x:v>
      </x:c>
      <x:c r="R814" s="43" t="n">
        <x:v>586562560</x:v>
      </x:c>
      <x:c r="S814" s="36" t="n">
        <x:v>9</x:v>
      </x:c>
      <x:c r="T814" s="44" t="str">
        <x:v>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0x00007943e40103a0    4440  21025792  21005648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0x0000794444007f90    4425  21018624  21007624  org.apache.catalina.loader.ParallelWebappClassLoader</x:v>
      </x:c>
      <x:c r="U814" s="36" t="n">
        <x:v>35</x:v>
      </x:c>
      <x:c r="V814" s="36" t="n">
        <x:v>8</x:v>
      </x:c>
      <x:c r="W81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814" s="36"/>
      <x:c r="Y814" s="36"/>
      <x:c r="Z814" s="44"/>
      <x:c r="AA814" s="49"/>
      <x:c r="AB814" s="43"/>
      <x:c r="AC814" s="34" t="str">
        <x:v>article1-unified-v4-2-fb3f101b-20260903-000401-default-f04-p2-jcs321-5-baseline-heap-info.txt</x:v>
      </x:c>
      <x:c r="AD814" s="34" t="str">
        <x:v>article1-unified-v4-2-fb3f101b-20260903-000401-default-f04-p2-jcs321-5-baseline-classloader-stats.txt</x:v>
      </x:c>
      <x:c r="AE814" s="34" t="str">
        <x:v>article1-unified-v4-2-fb3f101b-20260903-000401-default-f04-p2-jcs321-5-baseline-thread-dump.txt</x:v>
      </x:c>
      <x:c r="AF814" s="34"/>
      <x:c r="AG814" s="34" t="str">
        <x:v>article1-unified-v4-2-fb3f101b-20260903-000401-default-f04-p2-jcs321-5-baseline-native-memory.txt</x:v>
      </x:c>
      <x:c r="AH814" s="34"/>
      <x:c r="AI814" s="34"/>
    </x:row>
    <x:row r="815">
      <x:c r="A815" s="34" t="str">
        <x:v>article1-unified-v4-2-fb3f101b-20260903-000401-default-f04-p2-jcs321</x:v>
      </x:c>
      <x:c r="B815" s="34" t="str">
        <x:v>default</x:v>
      </x:c>
      <x:c r="C815" s="34" t="str">
        <x:v>jcs321</x:v>
      </x:c>
      <x:c r="D815" s="34" t="str">
        <x:v>jcs321</x:v>
      </x:c>
      <x:c r="E815" s="36" t="n">
        <x:v>4</x:v>
      </x:c>
      <x:c r="F815" s="36" t="n">
        <x:v>4</x:v>
      </x:c>
      <x:c r="G815" s="36" t="n">
        <x:v>2</x:v>
      </x:c>
      <x:c r="H815" s="36" t="n">
        <x:v>5</x:v>
      </x:c>
      <x:c r="I815" s="34" t="str">
        <x:v>deployedIdle</x:v>
      </x:c>
      <x:c r="J815" s="34" t="str">
        <x:v>deployed-idle</x:v>
      </x:c>
      <x:c r="K815" s="36" t="n">
        <x:v>0</x:v>
      </x:c>
      <x:c r="L815" s="34" t="str">
        <x:v>initial</x:v>
      </x:c>
      <x:c r="M815" s="34" t="str">
        <x:v>article1-unified-v4-2-fb3f101b-20260903-000401-default-f04-p2-jcs321-5-deployed-idle</x:v>
      </x:c>
      <x:c r="N815" s="38" t="n">
        <x:v>46268.034825173614</x:v>
      </x:c>
      <x:c r="O815" s="36" t="n">
        <x:v>0</x:v>
      </x:c>
      <x:c r="P815" s="43" t="n">
        <x:v>194479104</x:v>
      </x:c>
      <x:c r="Q815" s="43" t="n">
        <x:v>268435456</x:v>
      </x:c>
      <x:c r="R815" s="43" t="n">
        <x:v>622601216</x:v>
      </x:c>
      <x:c r="S815" s="36" t="n">
        <x:v>10</x:v>
      </x:c>
      <x:c r="T815" s="44" t="str">
        <x:v>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0x00007943e40103a0    4440  21025792  21005648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0x00007943c4001c80    4091  19439616  19431272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0x0000794444007f90    4425  21018624  21007624  org.apache.catalina.loader.ParallelWebappClassLoader</x:v>
      </x:c>
      <x:c r="U815" s="36" t="n">
        <x:v>35</x:v>
      </x:c>
      <x:c r="V815" s="36" t="n">
        <x:v>8</x:v>
      </x:c>
      <x:c r="W81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815" s="36"/>
      <x:c r="Y815" s="36"/>
      <x:c r="Z815" s="44"/>
      <x:c r="AA815" s="49"/>
      <x:c r="AB815" s="43"/>
      <x:c r="AC815" s="34"/>
      <x:c r="AD815" s="34"/>
      <x:c r="AE815" s="34"/>
      <x:c r="AF815" s="34"/>
      <x:c r="AG815" s="34"/>
      <x:c r="AH815" s="34"/>
      <x:c r="AI815" s="34"/>
    </x:row>
    <x:row r="816">
      <x:c r="A816" s="34" t="str">
        <x:v>article1-unified-v4-2-fb3f101b-20260903-000401-default-f04-p2-jcs321</x:v>
      </x:c>
      <x:c r="B816" s="34" t="str">
        <x:v>default</x:v>
      </x:c>
      <x:c r="C816" s="34" t="str">
        <x:v>jcs321</x:v>
      </x:c>
      <x:c r="D816" s="34" t="str">
        <x:v>jcs321</x:v>
      </x:c>
      <x:c r="E816" s="36" t="n">
        <x:v>4</x:v>
      </x:c>
      <x:c r="F816" s="36" t="n">
        <x:v>4</x:v>
      </x:c>
      <x:c r="G816" s="36" t="n">
        <x:v>2</x:v>
      </x:c>
      <x:c r="H816" s="36" t="n">
        <x:v>5</x:v>
      </x:c>
      <x:c r="I816" s="34" t="str">
        <x:v>loaded</x:v>
      </x:c>
      <x:c r="J816" s="34" t="str">
        <x:v>loaded</x:v>
      </x:c>
      <x:c r="K816" s="36" t="n">
        <x:v>0</x:v>
      </x:c>
      <x:c r="L816" s="34" t="str">
        <x:v>initial</x:v>
      </x:c>
      <x:c r="M816" s="34" t="str">
        <x:v>article1-unified-v4-2-fb3f101b-20260903-000401-default-f04-p2-jcs321-5-loaded</x:v>
      </x:c>
      <x:c r="N816" s="38" t="n">
        <x:v>46268.034978344906</x:v>
      </x:c>
      <x:c r="O816" s="36" t="n">
        <x:v>0</x:v>
      </x:c>
      <x:c r="P816" s="43" t="n">
        <x:v>157122560</x:v>
      </x:c>
      <x:c r="Q816" s="43" t="n">
        <x:v>268435456</x:v>
      </x:c>
      <x:c r="R816" s="43" t="n">
        <x:v>611774464</x:v>
      </x:c>
      <x:c r="S816" s="36" t="n">
        <x:v>10</x:v>
      </x:c>
      <x:c r="T816" s="44" t="str">
        <x:v>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0x00007943e40103a0    4440  21025792  21005648  org.apache.catalina.loader.ParallelWebappClassLoader | 0x00000000551177b8  0x0000000055003818  0x00007943c4001c80    4414  20996096  20981680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0x0000794444007f90    4425  21018624  21007624  org.apache.catalina.loader.ParallelWebappClassLoader</x:v>
      </x:c>
      <x:c r="U816" s="36" t="n">
        <x:v>36</x:v>
      </x:c>
      <x:c r="V816" s="36" t="n">
        <x:v>9</x:v>
      </x:c>
      <x:c r="W81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816" s="36"/>
      <x:c r="Y816" s="36"/>
      <x:c r="Z816" s="44"/>
      <x:c r="AA816" s="49"/>
      <x:c r="AB816" s="43"/>
      <x:c r="AC816" s="34"/>
      <x:c r="AD816" s="34"/>
      <x:c r="AE816" s="34"/>
      <x:c r="AF816" s="34"/>
      <x:c r="AG816" s="34"/>
      <x:c r="AH816" s="34"/>
      <x:c r="AI816" s="34"/>
    </x:row>
    <x:row r="817">
      <x:c r="A817" s="34" t="str">
        <x:v>article1-unified-v4-2-fb3f101b-20260903-000401-default-f04-p2-jcs321</x:v>
      </x:c>
      <x:c r="B817" s="34" t="str">
        <x:v>default</x:v>
      </x:c>
      <x:c r="C817" s="34" t="str">
        <x:v>jcs321</x:v>
      </x:c>
      <x:c r="D817" s="34" t="str">
        <x:v>jcs321</x:v>
      </x:c>
      <x:c r="E817" s="36" t="n">
        <x:v>4</x:v>
      </x:c>
      <x:c r="F817" s="36" t="n">
        <x:v>4</x:v>
      </x:c>
      <x:c r="G817" s="36" t="n">
        <x:v>2</x:v>
      </x:c>
      <x:c r="H817" s="36" t="n">
        <x:v>5</x:v>
      </x:c>
      <x:c r="I817" s="34" t="str">
        <x:v>afterUndeployEarly</x:v>
      </x:c>
      <x:c r="J817" s="34" t="str">
        <x:v>after-undeploy-early</x:v>
      </x:c>
      <x:c r="K817" s="36" t="n">
        <x:v>1</x:v>
      </x:c>
      <x:c r="L817" s="34" t="str">
        <x:v>early</x:v>
      </x:c>
      <x:c r="M817" s="34" t="str">
        <x:v>article1-unified-v4-2-fb3f101b-20260903-000401-default-f04-p2-jcs321-5-after-undeploy-early-2s</x:v>
      </x:c>
      <x:c r="N817" s="38" t="n">
        <x:v>46268.03506083333</x:v>
      </x:c>
      <x:c r="O817" s="36"/>
      <x:c r="P817" s="43"/>
      <x:c r="Q817" s="43"/>
      <x:c r="R817" s="43"/>
      <x:c r="S817" s="36"/>
      <x:c r="T817" s="44"/>
      <x:c r="U817" s="36" t="n">
        <x:v>36</x:v>
      </x:c>
      <x:c r="V817" s="36" t="n">
        <x:v>9</x:v>
      </x:c>
      <x:c r="W81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817" s="36"/>
      <x:c r="Y817" s="36"/>
      <x:c r="Z817" s="44"/>
      <x:c r="AA817" s="49"/>
      <x:c r="AB817" s="43" t="n">
        <x:v>17</x:v>
      </x:c>
      <x:c r="AC817" s="34"/>
      <x:c r="AD817" s="34"/>
      <x:c r="AE817" s="34" t="str">
        <x:v>article1-unified-v4-2-fb3f101b-20260903-000401-default-f04-p2-jcs321-5-after-undeploy-early-2s-thread-dump.txt</x:v>
      </x:c>
      <x:c r="AF817" s="34" t="str">
        <x:v>article1-unified-v4-2-fb3f101b-20260903-000401-default-f04-p2-jcs321-5-after-undeploy-early-tomcat-log.txt</x:v>
      </x:c>
      <x:c r="AG817" s="34"/>
      <x:c r="AH817" s="34"/>
      <x:c r="AI817" s="34"/>
    </x:row>
    <x:row r="818">
      <x:c r="A818" s="34" t="str">
        <x:v>article1-unified-v4-2-fb3f101b-20260903-000401-default-f04-p2-jcs321</x:v>
      </x:c>
      <x:c r="B818" s="34" t="str">
        <x:v>default</x:v>
      </x:c>
      <x:c r="C818" s="34" t="str">
        <x:v>jcs321</x:v>
      </x:c>
      <x:c r="D818" s="34" t="str">
        <x:v>jcs321</x:v>
      </x:c>
      <x:c r="E818" s="36" t="n">
        <x:v>4</x:v>
      </x:c>
      <x:c r="F818" s="36" t="n">
        <x:v>4</x:v>
      </x:c>
      <x:c r="G818" s="36" t="n">
        <x:v>2</x:v>
      </x:c>
      <x:c r="H818" s="36" t="n">
        <x:v>5</x:v>
      </x:c>
      <x:c r="I818" s="34" t="str">
        <x:v>afterUndeploy</x:v>
      </x:c>
      <x:c r="J818" s="34" t="str">
        <x:v>after-undeploy-final</x:v>
      </x:c>
      <x:c r="K818" s="36" t="n">
        <x:v>1</x:v>
      </x:c>
      <x:c r="L818" s="34" t="str">
        <x:v>final</x:v>
      </x:c>
      <x:c r="M818" s="34" t="str">
        <x:v>article1-unified-v4-2-fb3f101b-20260903-000401-default-f04-p2-jcs321-5-after-undeploy-final-10s</x:v>
      </x:c>
      <x:c r="N818" s="38" t="n">
        <x:v>46268.03521689815</x:v>
      </x:c>
      <x:c r="O818" s="36" t="n">
        <x:v>2</x:v>
      </x:c>
      <x:c r="P818" s="43" t="n">
        <x:v>49554432</x:v>
      </x:c>
      <x:c r="Q818" s="43" t="n">
        <x:v>268435456</x:v>
      </x:c>
      <x:c r="R818" s="43" t="n">
        <x:v>611312640</x:v>
      </x:c>
      <x:c r="S818" s="36" t="n">
        <x:v>10</x:v>
      </x:c>
      <x:c r="T818" s="44" t="str">
        <x:v>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0x00007943e40103a0    4440  21025792  21005648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0x00007943c4001c80    4428  21045248  21016632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0x0000794444007f90    4425  21018624  21007624  org.apache.catalina.loader.ParallelWebappClassLoader</x:v>
      </x:c>
      <x:c r="U818" s="36" t="n">
        <x:v>36</x:v>
      </x:c>
      <x:c r="V818" s="36" t="n">
        <x:v>9</x:v>
      </x:c>
      <x:c r="W81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818" s="36" t="n">
        <x:v>9</x:v>
      </x:c>
      <x:c r="Y818" s="36" t="n">
        <x:v>9</x:v>
      </x:c>
      <x:c r="Z818" s="44" t="str">
        <x:v>/jcs321</x:v>
      </x:c>
      <x:c r="AA818" s="45" t="b">
        <x:v>1</x:v>
      </x:c>
      <x:c r="AB818" s="43"/>
      <x:c r="AC818" s="34" t="str">
        <x:v>article1-unified-v4-2-fb3f101b-20260903-000401-default-f04-p2-jcs321-5-after-undeploy-final-10s-heap-info.txt</x:v>
      </x:c>
      <x:c r="AD818" s="34" t="str">
        <x:v>article1-unified-v4-2-fb3f101b-20260903-000401-default-f04-p2-jcs321-5-after-undeploy-final-10s-classloader-stats.txt</x:v>
      </x:c>
      <x:c r="AE818" s="34" t="str">
        <x:v>article1-unified-v4-2-fb3f101b-20260903-000401-default-f04-p2-jcs321-5-after-undeploy-final-10s-thread-dump.txt</x:v>
      </x:c>
      <x:c r="AF818" s="34"/>
      <x:c r="AG818" s="34" t="str">
        <x:v>article1-unified-v4-2-fb3f101b-20260903-000401-default-f04-p2-jcs321-5-after-undeploy-final-10s-native-memory.txt</x:v>
      </x:c>
      <x:c r="AH818" s="34" t="str">
        <x:v>article1-unified-v4-2-fb3f101b-20260903-000401-default-f04-p2-jcs321-5-after-undeploy-final-10s-class-histogram.txt</x:v>
      </x:c>
      <x:c r="AI818" s="34" t="str">
        <x:v>article1-unified-v4-2-fb3f101b-20260903-000401-default-f04-p2-jcs321-5-after-undeploy-tomcat-findleaks.txt</x:v>
      </x:c>
    </x:row>
    <x:row r="819">
      <x:c r="A819" s="34" t="str">
        <x:v>article1-unified-v4-2-fb3f101b-20260903-000401-default-f04-p2-jcs321</x:v>
      </x:c>
      <x:c r="B819" s="34" t="str">
        <x:v>default</x:v>
      </x:c>
      <x:c r="C819" s="34" t="str">
        <x:v>jcs321</x:v>
      </x:c>
      <x:c r="D819" s="34" t="str">
        <x:v>jcs321</x:v>
      </x:c>
      <x:c r="E819" s="36" t="n">
        <x:v>4</x:v>
      </x:c>
      <x:c r="F819" s="36" t="n">
        <x:v>4</x:v>
      </x:c>
      <x:c r="G819" s="36" t="n">
        <x:v>2</x:v>
      </x:c>
      <x:c r="H819" s="36" t="n">
        <x:v>5</x:v>
      </x:c>
      <x:c r="I819" s="34" t="str">
        <x:v>redeployedLoaded</x:v>
      </x:c>
      <x:c r="J819" s="34" t="str">
        <x:v>redeployed-loaded</x:v>
      </x:c>
      <x:c r="K819" s="36" t="n">
        <x:v>0</x:v>
      </x:c>
      <x:c r="L819" s="34" t="str">
        <x:v>redeploy</x:v>
      </x:c>
      <x:c r="M819" s="34" t="str">
        <x:v>article1-unified-v4-2-fb3f101b-20260903-000401-default-f04-p2-jcs321-5-redeployed-loaded</x:v>
      </x:c>
      <x:c r="N819" s="38" t="n">
        <x:v>46268.035476446756</x:v>
      </x:c>
      <x:c r="O819" s="36" t="n">
        <x:v>0</x:v>
      </x:c>
      <x:c r="P819" s="43" t="n">
        <x:v>159646720</x:v>
      </x:c>
      <x:c r="Q819" s="43" t="n">
        <x:v>268435456</x:v>
      </x:c>
      <x:c r="R819" s="43" t="n">
        <x:v>638713856</x:v>
      </x:c>
      <x:c r="S819" s="36" t="n">
        <x:v>11</x:v>
      </x:c>
      <x:c r="T819" s="44" t="str">
        <x:v>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0x00007943e40103a0    4440  21025792  21005648  org.apache.catalina.loader.ParallelWebappClassLoader | 0x00000000551177b8  0x0000000055003818  0x00007943e00d4700    4418  20997120  20977040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0x00007943c4001c80    4428  21045248  21016632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0x0000794444007f90    4425  21018624  21007624  org.apache.catalina.loader.ParallelWebappClassLoader</x:v>
      </x:c>
      <x:c r="U819" s="36" t="n">
        <x:v>37</x:v>
      </x:c>
      <x:c r="V819" s="36" t="n">
        <x:v>10</x:v>
      </x:c>
      <x:c r="W81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819" s="36"/>
      <x:c r="Y819" s="36"/>
      <x:c r="Z819" s="44"/>
      <x:c r="AA819" s="49"/>
      <x:c r="AB819" s="43"/>
      <x:c r="AC819" s="34"/>
      <x:c r="AD819" s="34"/>
      <x:c r="AE819" s="34"/>
      <x:c r="AF819" s="34"/>
      <x:c r="AG819" s="34"/>
      <x:c r="AH819" s="34"/>
      <x:c r="AI819" s="34"/>
    </x:row>
    <x:row r="820">
      <x:c r="A820" s="34" t="str">
        <x:v>article1-unified-v4-2-fb3f101b-20260903-000401-default-f04-p2-jcs321</x:v>
      </x:c>
      <x:c r="B820" s="34" t="str">
        <x:v>default</x:v>
      </x:c>
      <x:c r="C820" s="34" t="str">
        <x:v>jcs321</x:v>
      </x:c>
      <x:c r="D820" s="34" t="str">
        <x:v>jcs321</x:v>
      </x:c>
      <x:c r="E820" s="36" t="n">
        <x:v>4</x:v>
      </x:c>
      <x:c r="F820" s="36" t="n">
        <x:v>4</x:v>
      </x:c>
      <x:c r="G820" s="36" t="n">
        <x:v>2</x:v>
      </x:c>
      <x:c r="H820" s="36" t="n">
        <x:v>5</x:v>
      </x:c>
      <x:c r="I820" s="34" t="str">
        <x:v>afterFinalUndeployEarly</x:v>
      </x:c>
      <x:c r="J820" s="34" t="str">
        <x:v>after-final-undeploy-early</x:v>
      </x:c>
      <x:c r="K820" s="36" t="n">
        <x:v>2</x:v>
      </x:c>
      <x:c r="L820" s="34" t="str">
        <x:v>early</x:v>
      </x:c>
      <x:c r="M820" s="34" t="str">
        <x:v>article1-unified-v4-2-fb3f101b-20260903-000401-default-f04-p2-jcs321-5-after-final-undeploy-early-2s</x:v>
      </x:c>
      <x:c r="N820" s="38" t="n">
        <x:v>46268.035559131946</x:v>
      </x:c>
      <x:c r="O820" s="36"/>
      <x:c r="P820" s="43"/>
      <x:c r="Q820" s="43"/>
      <x:c r="R820" s="43"/>
      <x:c r="S820" s="36"/>
      <x:c r="T820" s="44"/>
      <x:c r="U820" s="36" t="n">
        <x:v>37</x:v>
      </x:c>
      <x:c r="V820" s="36" t="n">
        <x:v>10</x:v>
      </x:c>
      <x:c r="W82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820" s="36"/>
      <x:c r="Y820" s="36"/>
      <x:c r="Z820" s="44"/>
      <x:c r="AA820" s="49"/>
      <x:c r="AB820" s="43" t="n">
        <x:v>17</x:v>
      </x:c>
      <x:c r="AC820" s="34"/>
      <x:c r="AD820" s="34"/>
      <x:c r="AE820" s="34" t="str">
        <x:v>article1-unified-v4-2-fb3f101b-20260903-000401-default-f04-p2-jcs321-5-after-final-undeploy-early-2s-thread-dump.txt</x:v>
      </x:c>
      <x:c r="AF820" s="34" t="str">
        <x:v>article1-unified-v4-2-fb3f101b-20260903-000401-default-f04-p2-jcs321-5-after-final-undeploy-early-tomcat-log.txt</x:v>
      </x:c>
      <x:c r="AG820" s="34"/>
      <x:c r="AH820" s="34"/>
      <x:c r="AI820" s="34"/>
    </x:row>
    <x:row r="821">
      <x:c r="A821" s="34" t="str">
        <x:v>article1-unified-v4-2-fb3f101b-20260903-000401-default-f04-p2-jcs321</x:v>
      </x:c>
      <x:c r="B821" s="34" t="str">
        <x:v>default</x:v>
      </x:c>
      <x:c r="C821" s="34" t="str">
        <x:v>jcs321</x:v>
      </x:c>
      <x:c r="D821" s="34" t="str">
        <x:v>jcs321</x:v>
      </x:c>
      <x:c r="E821" s="36" t="n">
        <x:v>4</x:v>
      </x:c>
      <x:c r="F821" s="36" t="n">
        <x:v>4</x:v>
      </x:c>
      <x:c r="G821" s="36" t="n">
        <x:v>2</x:v>
      </x:c>
      <x:c r="H821" s="36" t="n">
        <x:v>5</x:v>
      </x:c>
      <x:c r="I821" s="34" t="str">
        <x:v>afterFinalUndeploy</x:v>
      </x:c>
      <x:c r="J821" s="34" t="str">
        <x:v>after-final-undeploy-final</x:v>
      </x:c>
      <x:c r="K821" s="36" t="n">
        <x:v>2</x:v>
      </x:c>
      <x:c r="L821" s="34" t="str">
        <x:v>final</x:v>
      </x:c>
      <x:c r="M821" s="34" t="str">
        <x:v>article1-unified-v4-2-fb3f101b-20260903-000401-default-f04-p2-jcs321-5-after-final-undeploy-final-10s</x:v>
      </x:c>
      <x:c r="N821" s="38" t="n">
        <x:v>46268.03572208333</x:v>
      </x:c>
      <x:c r="O821" s="36" t="n">
        <x:v>2</x:v>
      </x:c>
      <x:c r="P821" s="43" t="n">
        <x:v>53794816</x:v>
      </x:c>
      <x:c r="Q821" s="43" t="n">
        <x:v>268435456</x:v>
      </x:c>
      <x:c r="R821" s="43" t="n">
        <x:v>635888640</x:v>
      </x:c>
      <x:c r="S821" s="36" t="n">
        <x:v>11</x:v>
      </x:c>
      <x:c r="T821" s="44" t="str">
        <x:v>0x00000000551177b8  0x0000000055003818  0x00007943e00d4700    4432  21029888  21011992  org.apache.catalina.loader.ParallelWebappClassLoader | 0x00000000551177b8  0x0000000055003818  0x00007943ec1a2430    4430  20993024  20978784  org.apache.catalina.loader.ParallelWebappClassLoader | 0x00000000551177b8  0x0000000055003818  0x000079443c036ad0    4436  21040128  21012736  org.apache.catalina.loader.ParallelWebappClassLoader | 0x00000000551177b8  0x0000000055003818  0x00007943f419c310    4443  21057536  21032768  org.apache.catalina.loader.ParallelWebappClassLoader | 0x00000000551177b8  0x0000000055003818  0x00007943e40103a0    4440  21025792  21005648  org.apache.catalina.loader.ParallelWebappClassLoader | 0x00000000551177b8  0x0000000055003818  0x00007943c4001c80    4428  21045248  21016632  org.apache.catalina.loader.ParallelWebappClassLoader | 0x00000000551177b8  0x0000000055003818  0x0000794438198960    4422  21025792  21012512  org.apache.catalina.loader.ParallelWebappClassLoader | 0x00000000551177b8  0x0000000055003818  0x00007943fc00f3c0    4427  21024768  21012896  org.apache.catalina.loader.ParallelWebappClassLoader | 0x00000000551177b8  0x0000000055003818  0x00007944d4625460       0         0         0  org.apache.catalina.loader.ParallelWebappClassLoader | 0x00000000551177b8  0x0000000055003818  0x0000794428033ab0    4449  21001216  20985632  org.apache.catalina.loader.ParallelWebappClassLoader | 0x00000000551177b8  0x0000000055003818  0x0000794444007f90    4425  21018624  21007624  org.apache.catalina.loader.ParallelWebappClassLoader</x:v>
      </x:c>
      <x:c r="U821" s="36" t="n">
        <x:v>37</x:v>
      </x:c>
      <x:c r="V821" s="36" t="n">
        <x:v>10</x:v>
      </x:c>
      <x:c r="W82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821" s="36" t="n">
        <x:v>10</x:v>
      </x:c>
      <x:c r="Y821" s="36" t="n">
        <x:v>10</x:v>
      </x:c>
      <x:c r="Z821" s="44" t="str">
        <x:v>/jcs321</x:v>
      </x:c>
      <x:c r="AA821" s="45" t="b">
        <x:v>1</x:v>
      </x:c>
      <x:c r="AB821" s="43"/>
      <x:c r="AC821" s="34" t="str">
        <x:v>article1-unified-v4-2-fb3f101b-20260903-000401-default-f04-p2-jcs321-5-after-final-undeploy-final-10s-heap-info.txt</x:v>
      </x:c>
      <x:c r="AD821" s="34" t="str">
        <x:v>article1-unified-v4-2-fb3f101b-20260903-000401-default-f04-p2-jcs321-5-after-final-undeploy-final-10s-classloader-stats.txt</x:v>
      </x:c>
      <x:c r="AE821" s="34" t="str">
        <x:v>article1-unified-v4-2-fb3f101b-20260903-000401-default-f04-p2-jcs321-5-after-final-undeploy-final-10s-thread-dump.txt</x:v>
      </x:c>
      <x:c r="AF821" s="34"/>
      <x:c r="AG821" s="34" t="str">
        <x:v>article1-unified-v4-2-fb3f101b-20260903-000401-default-f04-p2-jcs321-5-after-final-undeploy-final-10s-native-memory.txt</x:v>
      </x:c>
      <x:c r="AH821" s="34" t="str">
        <x:v>article1-unified-v4-2-fb3f101b-20260903-000401-default-f04-p2-jcs321-5-after-final-undeploy-final-10s-class-histogram.txt</x:v>
      </x:c>
      <x:c r="AI821" s="34" t="str">
        <x:v>article1-unified-v4-2-fb3f101b-20260903-000401-default-f04-p2-jcs321-5-after-final-undeploy-tomcat-findleaks.txt</x:v>
      </x:c>
    </x:row>
    <x:row r="822">
      <x:c r="A822" s="34" t="str">
        <x:v>article1-unified-v4-2-fb3f101b-20260903-000401-default-f04-p3-cache2k</x:v>
      </x:c>
      <x:c r="B822" s="34" t="str">
        <x:v>default</x:v>
      </x:c>
      <x:c r="C822" s="34" t="str">
        <x:v>cache2k</x:v>
      </x:c>
      <x:c r="D822" s="34" t="str">
        <x:v>cache2k</x:v>
      </x:c>
      <x:c r="E822" s="36" t="n">
        <x:v>4</x:v>
      </x:c>
      <x:c r="F822" s="36" t="n">
        <x:v>4</x:v>
      </x:c>
      <x:c r="G822" s="36" t="n">
        <x:v>3</x:v>
      </x:c>
      <x:c r="H822" s="36" t="n">
        <x:v>0</x:v>
      </x:c>
      <x:c r="I822" s="34" t="str">
        <x:v>processBaseline</x:v>
      </x:c>
      <x:c r="J822" s="34" t="str">
        <x:v>process-baseline</x:v>
      </x:c>
      <x:c r="K822" s="36" t="n">
        <x:v>0</x:v>
      </x:c>
      <x:c r="L822" s="34" t="str">
        <x:v>baseline</x:v>
      </x:c>
      <x:c r="M822" s="34" t="str">
        <x:v>article1-unified-v4-2-fb3f101b-20260903-000401-default-f04-p3-cache2k-process-baseline</x:v>
      </x:c>
      <x:c r="N822" s="38" t="n">
        <x:v>46268.03600295139</x:v>
      </x:c>
      <x:c r="O822" s="36" t="n">
        <x:v>0</x:v>
      </x:c>
      <x:c r="P822" s="43" t="n">
        <x:v>32261120</x:v>
      </x:c>
      <x:c r="Q822" s="43" t="n">
        <x:v>270532608</x:v>
      </x:c>
      <x:c r="R822" s="43" t="n">
        <x:v>369319936</x:v>
      </x:c>
      <x:c r="S822" s="36" t="n">
        <x:v>1</x:v>
      </x:c>
      <x:c r="T822" s="44" t="str">
        <x:v>0x0000000031116bd8  0x0000000031003818  0x000073f3485f1b90       0         0         0  org.apache.catalina.loader.ParallelWebappClassLoader</x:v>
      </x:c>
      <x:c r="U822" s="36" t="n">
        <x:v>27</x:v>
      </x:c>
      <x:c r="V822" s="36" t="n">
        <x:v>0</x:v>
      </x:c>
      <x:c r="W822" s="44"/>
      <x:c r="X822" s="36"/>
      <x:c r="Y822" s="36"/>
      <x:c r="Z822" s="44"/>
      <x:c r="AA822" s="49"/>
      <x:c r="AB822" s="43"/>
      <x:c r="AC822" s="34" t="str">
        <x:v>article1-unified-v4-2-fb3f101b-20260903-000401-default-f04-p3-cache2k-process-baseline-heap-info.txt</x:v>
      </x:c>
      <x:c r="AD822" s="34" t="str">
        <x:v>article1-unified-v4-2-fb3f101b-20260903-000401-default-f04-p3-cache2k-process-baseline-classloader-stats.txt</x:v>
      </x:c>
      <x:c r="AE822" s="34" t="str">
        <x:v>article1-unified-v4-2-fb3f101b-20260903-000401-default-f04-p3-cache2k-process-baseline-thread-dump.txt</x:v>
      </x:c>
      <x:c r="AF822" s="34"/>
      <x:c r="AG822" s="34" t="str">
        <x:v>article1-unified-v4-2-fb3f101b-20260903-000401-default-f04-p3-cache2k-process-baseline-native-memory.txt</x:v>
      </x:c>
      <x:c r="AH822" s="34"/>
      <x:c r="AI822" s="34"/>
    </x:row>
    <x:row r="823">
      <x:c r="A823" s="34" t="str">
        <x:v>article1-unified-v4-2-fb3f101b-20260903-000401-default-f04-p3-cache2k</x:v>
      </x:c>
      <x:c r="B823" s="34" t="str">
        <x:v>default</x:v>
      </x:c>
      <x:c r="C823" s="34" t="str">
        <x:v>cache2k</x:v>
      </x:c>
      <x:c r="D823" s="34" t="str">
        <x:v>cache2k</x:v>
      </x:c>
      <x:c r="E823" s="36" t="n">
        <x:v>4</x:v>
      </x:c>
      <x:c r="F823" s="36" t="n">
        <x:v>4</x:v>
      </x:c>
      <x:c r="G823" s="36" t="n">
        <x:v>3</x:v>
      </x:c>
      <x:c r="H823" s="36" t="n">
        <x:v>1</x:v>
      </x:c>
      <x:c r="I823" s="34" t="str">
        <x:v>baseline</x:v>
      </x:c>
      <x:c r="J823" s="34" t="str">
        <x:v>cycle-baseline</x:v>
      </x:c>
      <x:c r="K823" s="36" t="n">
        <x:v>0</x:v>
      </x:c>
      <x:c r="L823" s="34" t="str">
        <x:v>baseline</x:v>
      </x:c>
      <x:c r="M823" s="34" t="str">
        <x:v>article1-unified-v4-2-fb3f101b-20260903-000401-default-f04-p3-cache2k-1-baseline</x:v>
      </x:c>
      <x:c r="N823" s="38" t="n">
        <x:v>46268.03618329861</x:v>
      </x:c>
      <x:c r="O823" s="36" t="n">
        <x:v>0</x:v>
      </x:c>
      <x:c r="P823" s="43" t="n">
        <x:v>32261120</x:v>
      </x:c>
      <x:c r="Q823" s="43" t="n">
        <x:v>270532608</x:v>
      </x:c>
      <x:c r="R823" s="43" t="n">
        <x:v>369904640</x:v>
      </x:c>
      <x:c r="S823" s="36" t="n">
        <x:v>1</x:v>
      </x:c>
      <x:c r="T823" s="44" t="str">
        <x:v>0x0000000031116bd8  0x0000000031003818  0x000073f3485f1b90       0         0         0  org.apache.catalina.loader.ParallelWebappClassLoader</x:v>
      </x:c>
      <x:c r="U823" s="36" t="n">
        <x:v>27</x:v>
      </x:c>
      <x:c r="V823" s="36" t="n">
        <x:v>0</x:v>
      </x:c>
      <x:c r="W823" s="44"/>
      <x:c r="X823" s="36"/>
      <x:c r="Y823" s="36"/>
      <x:c r="Z823" s="44"/>
      <x:c r="AA823" s="49"/>
      <x:c r="AB823" s="43"/>
      <x:c r="AC823" s="34" t="str">
        <x:v>article1-unified-v4-2-fb3f101b-20260903-000401-default-f04-p3-cache2k-1-baseline-heap-info.txt</x:v>
      </x:c>
      <x:c r="AD823" s="34" t="str">
        <x:v>article1-unified-v4-2-fb3f101b-20260903-000401-default-f04-p3-cache2k-1-baseline-classloader-stats.txt</x:v>
      </x:c>
      <x:c r="AE823" s="34" t="str">
        <x:v>article1-unified-v4-2-fb3f101b-20260903-000401-default-f04-p3-cache2k-1-baseline-thread-dump.txt</x:v>
      </x:c>
      <x:c r="AF823" s="34"/>
      <x:c r="AG823" s="34" t="str">
        <x:v>article1-unified-v4-2-fb3f101b-20260903-000401-default-f04-p3-cache2k-1-baseline-native-memory.txt</x:v>
      </x:c>
      <x:c r="AH823" s="34"/>
      <x:c r="AI823" s="34"/>
    </x:row>
    <x:row r="824">
      <x:c r="A824" s="34" t="str">
        <x:v>article1-unified-v4-2-fb3f101b-20260903-000401-default-f04-p3-cache2k</x:v>
      </x:c>
      <x:c r="B824" s="34" t="str">
        <x:v>default</x:v>
      </x:c>
      <x:c r="C824" s="34" t="str">
        <x:v>cache2k</x:v>
      </x:c>
      <x:c r="D824" s="34" t="str">
        <x:v>cache2k</x:v>
      </x:c>
      <x:c r="E824" s="36" t="n">
        <x:v>4</x:v>
      </x:c>
      <x:c r="F824" s="36" t="n">
        <x:v>4</x:v>
      </x:c>
      <x:c r="G824" s="36" t="n">
        <x:v>3</x:v>
      </x:c>
      <x:c r="H824" s="36" t="n">
        <x:v>1</x:v>
      </x:c>
      <x:c r="I824" s="34" t="str">
        <x:v>deployedIdle</x:v>
      </x:c>
      <x:c r="J824" s="34" t="str">
        <x:v>deployed-idle</x:v>
      </x:c>
      <x:c r="K824" s="36" t="n">
        <x:v>0</x:v>
      </x:c>
      <x:c r="L824" s="34" t="str">
        <x:v>initial</x:v>
      </x:c>
      <x:c r="M824" s="34" t="str">
        <x:v>article1-unified-v4-2-fb3f101b-20260903-000401-default-f04-p3-cache2k-1-deployed-idle</x:v>
      </x:c>
      <x:c r="N824" s="38" t="n">
        <x:v>46268.03629202546</x:v>
      </x:c>
      <x:c r="O824" s="36" t="n">
        <x:v>0</x:v>
      </x:c>
      <x:c r="P824" s="43" t="n">
        <x:v>22089728</x:v>
      </x:c>
      <x:c r="Q824" s="43" t="n">
        <x:v>268435456</x:v>
      </x:c>
      <x:c r="R824" s="43" t="n">
        <x:v>407859200</x:v>
      </x:c>
      <x:c r="S824" s="36" t="n">
        <x:v>2</x:v>
      </x:c>
      <x:c r="T824" s="44" t="str">
        <x:v>0x0000000031116bd8  0x0000000031003818  0x000073f3485f1b90       0         0         0  org.apache.catalina.loader.ParallelWebappClassLoader | 0x0000000031116bd8  0x0000000031003818  0x000073f29c01b0f0    4091  19418112  19408384  org.apache.catalina.loader.ParallelWebappClassLoader</x:v>
      </x:c>
      <x:c r="U824" s="36" t="n">
        <x:v>27</x:v>
      </x:c>
      <x:c r="V824" s="36" t="n">
        <x:v>0</x:v>
      </x:c>
      <x:c r="W824" s="44"/>
      <x:c r="X824" s="36"/>
      <x:c r="Y824" s="36"/>
      <x:c r="Z824" s="44"/>
      <x:c r="AA824" s="49"/>
      <x:c r="AB824" s="43"/>
      <x:c r="AC824" s="34"/>
      <x:c r="AD824" s="34"/>
      <x:c r="AE824" s="34"/>
      <x:c r="AF824" s="34"/>
      <x:c r="AG824" s="34"/>
      <x:c r="AH824" s="34"/>
      <x:c r="AI824" s="34"/>
    </x:row>
    <x:row r="825">
      <x:c r="A825" s="34" t="str">
        <x:v>article1-unified-v4-2-fb3f101b-20260903-000401-default-f04-p3-cache2k</x:v>
      </x:c>
      <x:c r="B825" s="34" t="str">
        <x:v>default</x:v>
      </x:c>
      <x:c r="C825" s="34" t="str">
        <x:v>cache2k</x:v>
      </x:c>
      <x:c r="D825" s="34" t="str">
        <x:v>cache2k</x:v>
      </x:c>
      <x:c r="E825" s="36" t="n">
        <x:v>4</x:v>
      </x:c>
      <x:c r="F825" s="36" t="n">
        <x:v>4</x:v>
      </x:c>
      <x:c r="G825" s="36" t="n">
        <x:v>3</x:v>
      </x:c>
      <x:c r="H825" s="36" t="n">
        <x:v>1</x:v>
      </x:c>
      <x:c r="I825" s="34" t="str">
        <x:v>loaded</x:v>
      </x:c>
      <x:c r="J825" s="34" t="str">
        <x:v>loaded</x:v>
      </x:c>
      <x:c r="K825" s="36" t="n">
        <x:v>0</x:v>
      </x:c>
      <x:c r="L825" s="34" t="str">
        <x:v>initial</x:v>
      </x:c>
      <x:c r="M825" s="34" t="str">
        <x:v>article1-unified-v4-2-fb3f101b-20260903-000401-default-f04-p3-cache2k-1-loaded</x:v>
      </x:c>
      <x:c r="N825" s="38" t="n">
        <x:v>46268.036440219905</x:v>
      </x:c>
      <x:c r="O825" s="36" t="n">
        <x:v>0</x:v>
      </x:c>
      <x:c r="P825" s="43" t="n">
        <x:v>216921088</x:v>
      </x:c>
      <x:c r="Q825" s="43" t="n">
        <x:v>268435456</x:v>
      </x:c>
      <x:c r="R825" s="43" t="n">
        <x:v>410872832</x:v>
      </x:c>
      <x:c r="S825" s="36" t="n">
        <x:v>2</x:v>
      </x:c>
      <x:c r="T825" s="44" t="str">
        <x:v>0x0000000031116bd8  0x0000000031003818  0x000073f3485f1b90       0         0         0  org.apache.catalina.loader.ParallelWebappClassLoader | 0x0000000031116bd8  0x0000000031003818  0x000073f29c01b0f0    4449  21229568  21205192  org.apache.catalina.loader.ParallelWebappClassLoader</x:v>
      </x:c>
      <x:c r="U825" s="36" t="n">
        <x:v>28</x:v>
      </x:c>
      <x:c r="V825" s="36" t="n">
        <x:v>0</x:v>
      </x:c>
      <x:c r="W825" s="44"/>
      <x:c r="X825" s="36"/>
      <x:c r="Y825" s="36"/>
      <x:c r="Z825" s="44"/>
      <x:c r="AA825" s="49"/>
      <x:c r="AB825" s="43"/>
      <x:c r="AC825" s="34"/>
      <x:c r="AD825" s="34"/>
      <x:c r="AE825" s="34"/>
      <x:c r="AF825" s="34"/>
      <x:c r="AG825" s="34"/>
      <x:c r="AH825" s="34"/>
      <x:c r="AI825" s="34"/>
    </x:row>
    <x:row r="826">
      <x:c r="A826" s="34" t="str">
        <x:v>article1-unified-v4-2-fb3f101b-20260903-000401-default-f04-p3-cache2k</x:v>
      </x:c>
      <x:c r="B826" s="34" t="str">
        <x:v>default</x:v>
      </x:c>
      <x:c r="C826" s="34" t="str">
        <x:v>cache2k</x:v>
      </x:c>
      <x:c r="D826" s="34" t="str">
        <x:v>cache2k</x:v>
      </x:c>
      <x:c r="E826" s="36" t="n">
        <x:v>4</x:v>
      </x:c>
      <x:c r="F826" s="36" t="n">
        <x:v>4</x:v>
      </x:c>
      <x:c r="G826" s="36" t="n">
        <x:v>3</x:v>
      </x:c>
      <x:c r="H826" s="36" t="n">
        <x:v>1</x:v>
      </x:c>
      <x:c r="I826" s="34" t="str">
        <x:v>afterUndeployEarly</x:v>
      </x:c>
      <x:c r="J826" s="34" t="str">
        <x:v>after-undeploy-early</x:v>
      </x:c>
      <x:c r="K826" s="36" t="n">
        <x:v>1</x:v>
      </x:c>
      <x:c r="L826" s="34" t="str">
        <x:v>early</x:v>
      </x:c>
      <x:c r="M826" s="34" t="str">
        <x:v>article1-unified-v4-2-fb3f101b-20260903-000401-default-f04-p3-cache2k-1-after-undeploy-early-2s</x:v>
      </x:c>
      <x:c r="N826" s="38" t="n">
        <x:v>46268.03652336806</x:v>
      </x:c>
      <x:c r="O826" s="36"/>
      <x:c r="P826" s="43"/>
      <x:c r="Q826" s="43"/>
      <x:c r="R826" s="43"/>
      <x:c r="S826" s="36"/>
      <x:c r="T826" s="44"/>
      <x:c r="U826" s="36" t="n">
        <x:v>27</x:v>
      </x:c>
      <x:c r="V826" s="36" t="n">
        <x:v>0</x:v>
      </x:c>
      <x:c r="W826" s="44"/>
      <x:c r="X826" s="36"/>
      <x:c r="Y826" s="36"/>
      <x:c r="Z826" s="44"/>
      <x:c r="AA826" s="49"/>
      <x:c r="AB826" s="43" t="n">
        <x:v>1</x:v>
      </x:c>
      <x:c r="AC826" s="34"/>
      <x:c r="AD826" s="34"/>
      <x:c r="AE826" s="34" t="str">
        <x:v>article1-unified-v4-2-fb3f101b-20260903-000401-default-f04-p3-cache2k-1-after-undeploy-early-2s-thread-dump.txt</x:v>
      </x:c>
      <x:c r="AF826" s="34" t="str">
        <x:v>article1-unified-v4-2-fb3f101b-20260903-000401-default-f04-p3-cache2k-1-after-undeploy-early-tomcat-log.txt</x:v>
      </x:c>
      <x:c r="AG826" s="34"/>
      <x:c r="AH826" s="34"/>
      <x:c r="AI826" s="34"/>
    </x:row>
    <x:row r="827">
      <x:c r="A827" s="34" t="str">
        <x:v>article1-unified-v4-2-fb3f101b-20260903-000401-default-f04-p3-cache2k</x:v>
      </x:c>
      <x:c r="B827" s="34" t="str">
        <x:v>default</x:v>
      </x:c>
      <x:c r="C827" s="34" t="str">
        <x:v>cache2k</x:v>
      </x:c>
      <x:c r="D827" s="34" t="str">
        <x:v>cache2k</x:v>
      </x:c>
      <x:c r="E827" s="36" t="n">
        <x:v>4</x:v>
      </x:c>
      <x:c r="F827" s="36" t="n">
        <x:v>4</x:v>
      </x:c>
      <x:c r="G827" s="36" t="n">
        <x:v>3</x:v>
      </x:c>
      <x:c r="H827" s="36" t="n">
        <x:v>1</x:v>
      </x:c>
      <x:c r="I827" s="34" t="str">
        <x:v>afterUndeploy</x:v>
      </x:c>
      <x:c r="J827" s="34" t="str">
        <x:v>after-undeploy-final</x:v>
      </x:c>
      <x:c r="K827" s="36" t="n">
        <x:v>1</x:v>
      </x:c>
      <x:c r="L827" s="34" t="str">
        <x:v>final</x:v>
      </x:c>
      <x:c r="M827" s="34" t="str">
        <x:v>article1-unified-v4-2-fb3f101b-20260903-000401-default-f04-p3-cache2k-1-after-undeploy-final-10s</x:v>
      </x:c>
      <x:c r="N827" s="38" t="n">
        <x:v>46268.03667880787</x:v>
      </x:c>
      <x:c r="O827" s="36" t="n">
        <x:v>2</x:v>
      </x:c>
      <x:c r="P827" s="43" t="n">
        <x:v>15723520</x:v>
      </x:c>
      <x:c r="Q827" s="43" t="n">
        <x:v>268435456</x:v>
      </x:c>
      <x:c r="R827" s="43" t="n">
        <x:v>409546752</x:v>
      </x:c>
      <x:c r="S827" s="36" t="n">
        <x:v>2</x:v>
      </x:c>
      <x:c r="T827" s="44" t="str">
        <x:v>0x0000000031116bd8  0x0000000031003818  0x000073f3485f1b90       0         0         0  org.apache.catalina.loader.ParallelWebappClassLoader | 0x0000000031116bd8  0x0000000031003818  0x000073f29c01b0f0    4459  21254144  21234112  org.apache.catalina.loader.ParallelWebappClassLoader</x:v>
      </x:c>
      <x:c r="U827" s="36" t="n">
        <x:v>27</x:v>
      </x:c>
      <x:c r="V827" s="36" t="n">
        <x:v>0</x:v>
      </x:c>
      <x:c r="W827" s="44"/>
      <x:c r="X827" s="36" t="n">
        <x:v>1</x:v>
      </x:c>
      <x:c r="Y827" s="36" t="n">
        <x:v>1</x:v>
      </x:c>
      <x:c r="Z827" s="44" t="str">
        <x:v>/cache2k</x:v>
      </x:c>
      <x:c r="AA827" s="45" t="b">
        <x:v>1</x:v>
      </x:c>
      <x:c r="AB827" s="43"/>
      <x:c r="AC827" s="34" t="str">
        <x:v>article1-unified-v4-2-fb3f101b-20260903-000401-default-f04-p3-cache2k-1-after-undeploy-final-10s-heap-info.txt</x:v>
      </x:c>
      <x:c r="AD827" s="34" t="str">
        <x:v>article1-unified-v4-2-fb3f101b-20260903-000401-default-f04-p3-cache2k-1-after-undeploy-final-10s-classloader-stats.txt</x:v>
      </x:c>
      <x:c r="AE827" s="34" t="str">
        <x:v>article1-unified-v4-2-fb3f101b-20260903-000401-default-f04-p3-cache2k-1-after-undeploy-final-10s-thread-dump.txt</x:v>
      </x:c>
      <x:c r="AF827" s="34"/>
      <x:c r="AG827" s="34" t="str">
        <x:v>article1-unified-v4-2-fb3f101b-20260903-000401-default-f04-p3-cache2k-1-after-undeploy-final-10s-native-memory.txt</x:v>
      </x:c>
      <x:c r="AH827" s="34" t="str">
        <x:v>article1-unified-v4-2-fb3f101b-20260903-000401-default-f04-p3-cache2k-1-after-undeploy-final-10s-class-histogram.txt</x:v>
      </x:c>
      <x:c r="AI827" s="34" t="str">
        <x:v>article1-unified-v4-2-fb3f101b-20260903-000401-default-f04-p3-cache2k-1-after-undeploy-tomcat-findleaks.txt</x:v>
      </x:c>
    </x:row>
    <x:row r="828">
      <x:c r="A828" s="34" t="str">
        <x:v>article1-unified-v4-2-fb3f101b-20260903-000401-default-f04-p3-cache2k</x:v>
      </x:c>
      <x:c r="B828" s="34" t="str">
        <x:v>default</x:v>
      </x:c>
      <x:c r="C828" s="34" t="str">
        <x:v>cache2k</x:v>
      </x:c>
      <x:c r="D828" s="34" t="str">
        <x:v>cache2k</x:v>
      </x:c>
      <x:c r="E828" s="36" t="n">
        <x:v>4</x:v>
      </x:c>
      <x:c r="F828" s="36" t="n">
        <x:v>4</x:v>
      </x:c>
      <x:c r="G828" s="36" t="n">
        <x:v>3</x:v>
      </x:c>
      <x:c r="H828" s="36" t="n">
        <x:v>1</x:v>
      </x:c>
      <x:c r="I828" s="34" t="str">
        <x:v>redeployedLoaded</x:v>
      </x:c>
      <x:c r="J828" s="34" t="str">
        <x:v>redeployed-loaded</x:v>
      </x:c>
      <x:c r="K828" s="36" t="n">
        <x:v>0</x:v>
      </x:c>
      <x:c r="L828" s="34" t="str">
        <x:v>redeploy</x:v>
      </x:c>
      <x:c r="M828" s="34" t="str">
        <x:v>article1-unified-v4-2-fb3f101b-20260903-000401-default-f04-p3-cache2k-1-redeployed-loaded</x:v>
      </x:c>
      <x:c r="N828" s="38" t="n">
        <x:v>46268.036941782404</x:v>
      </x:c>
      <x:c r="O828" s="36" t="n">
        <x:v>0</x:v>
      </x:c>
      <x:c r="P828" s="43" t="n">
        <x:v>94288896</x:v>
      </x:c>
      <x:c r="Q828" s="43" t="n">
        <x:v>268435456</x:v>
      </x:c>
      <x:c r="R828" s="43" t="n">
        <x:v>444150784</x:v>
      </x:c>
      <x:c r="S828" s="36" t="n">
        <x:v>3</x:v>
      </x:c>
      <x:c r="T828" s="44" t="str">
        <x:v>0x0000000031116bd8  0x0000000031003818  0x000073f2b8008950    4439  21272576  21248360  org.apache.catalina.loader.ParallelWebappClassLoader | 0x0000000031116bd8  0x0000000031003818  0x000073f3485f1b90       0         0         0  org.apache.catalina.loader.ParallelWebappClassLoader | 0x0000000031116bd8  0x0000000031003818  0x000073f29c01b0f0    4459  21254144  21234112  org.apache.catalina.loader.ParallelWebappClassLoader</x:v>
      </x:c>
      <x:c r="U828" s="36" t="n">
        <x:v>28</x:v>
      </x:c>
      <x:c r="V828" s="36" t="n">
        <x:v>0</x:v>
      </x:c>
      <x:c r="W828" s="44"/>
      <x:c r="X828" s="36"/>
      <x:c r="Y828" s="36"/>
      <x:c r="Z828" s="44"/>
      <x:c r="AA828" s="49"/>
      <x:c r="AB828" s="43"/>
      <x:c r="AC828" s="34"/>
      <x:c r="AD828" s="34"/>
      <x:c r="AE828" s="34"/>
      <x:c r="AF828" s="34"/>
      <x:c r="AG828" s="34"/>
      <x:c r="AH828" s="34"/>
      <x:c r="AI828" s="34"/>
    </x:row>
    <x:row r="829">
      <x:c r="A829" s="34" t="str">
        <x:v>article1-unified-v4-2-fb3f101b-20260903-000401-default-f04-p3-cache2k</x:v>
      </x:c>
      <x:c r="B829" s="34" t="str">
        <x:v>default</x:v>
      </x:c>
      <x:c r="C829" s="34" t="str">
        <x:v>cache2k</x:v>
      </x:c>
      <x:c r="D829" s="34" t="str">
        <x:v>cache2k</x:v>
      </x:c>
      <x:c r="E829" s="36" t="n">
        <x:v>4</x:v>
      </x:c>
      <x:c r="F829" s="36" t="n">
        <x:v>4</x:v>
      </x:c>
      <x:c r="G829" s="36" t="n">
        <x:v>3</x:v>
      </x:c>
      <x:c r="H829" s="36" t="n">
        <x:v>1</x:v>
      </x:c>
      <x:c r="I829" s="34" t="str">
        <x:v>afterFinalUndeployEarly</x:v>
      </x:c>
      <x:c r="J829" s="34" t="str">
        <x:v>after-final-undeploy-early</x:v>
      </x:c>
      <x:c r="K829" s="36" t="n">
        <x:v>2</x:v>
      </x:c>
      <x:c r="L829" s="34" t="str">
        <x:v>early</x:v>
      </x:c>
      <x:c r="M829" s="34" t="str">
        <x:v>article1-unified-v4-2-fb3f101b-20260903-000401-default-f04-p3-cache2k-1-after-final-undeploy-early-2s</x:v>
      </x:c>
      <x:c r="N829" s="38" t="n">
        <x:v>46268.037023530094</x:v>
      </x:c>
      <x:c r="O829" s="36"/>
      <x:c r="P829" s="43"/>
      <x:c r="Q829" s="43"/>
      <x:c r="R829" s="43"/>
      <x:c r="S829" s="36"/>
      <x:c r="T829" s="44"/>
      <x:c r="U829" s="36" t="n">
        <x:v>27</x:v>
      </x:c>
      <x:c r="V829" s="36" t="n">
        <x:v>0</x:v>
      </x:c>
      <x:c r="W829" s="44"/>
      <x:c r="X829" s="36"/>
      <x:c r="Y829" s="36"/>
      <x:c r="Z829" s="44"/>
      <x:c r="AA829" s="49"/>
      <x:c r="AB829" s="43" t="n">
        <x:v>1</x:v>
      </x:c>
      <x:c r="AC829" s="34"/>
      <x:c r="AD829" s="34"/>
      <x:c r="AE829" s="34" t="str">
        <x:v>article1-unified-v4-2-fb3f101b-20260903-000401-default-f04-p3-cache2k-1-after-final-undeploy-early-2s-thread-dump.txt</x:v>
      </x:c>
      <x:c r="AF829" s="34" t="str">
        <x:v>article1-unified-v4-2-fb3f101b-20260903-000401-default-f04-p3-cache2k-1-after-final-undeploy-early-tomcat-log.txt</x:v>
      </x:c>
      <x:c r="AG829" s="34"/>
      <x:c r="AH829" s="34"/>
      <x:c r="AI829" s="34"/>
    </x:row>
    <x:row r="830">
      <x:c r="A830" s="34" t="str">
        <x:v>article1-unified-v4-2-fb3f101b-20260903-000401-default-f04-p3-cache2k</x:v>
      </x:c>
      <x:c r="B830" s="34" t="str">
        <x:v>default</x:v>
      </x:c>
      <x:c r="C830" s="34" t="str">
        <x:v>cache2k</x:v>
      </x:c>
      <x:c r="D830" s="34" t="str">
        <x:v>cache2k</x:v>
      </x:c>
      <x:c r="E830" s="36" t="n">
        <x:v>4</x:v>
      </x:c>
      <x:c r="F830" s="36" t="n">
        <x:v>4</x:v>
      </x:c>
      <x:c r="G830" s="36" t="n">
        <x:v>3</x:v>
      </x:c>
      <x:c r="H830" s="36" t="n">
        <x:v>1</x:v>
      </x:c>
      <x:c r="I830" s="34" t="str">
        <x:v>afterFinalUndeploy</x:v>
      </x:c>
      <x:c r="J830" s="34" t="str">
        <x:v>after-final-undeploy-final</x:v>
      </x:c>
      <x:c r="K830" s="36" t="n">
        <x:v>2</x:v>
      </x:c>
      <x:c r="L830" s="34" t="str">
        <x:v>final</x:v>
      </x:c>
      <x:c r="M830" s="34" t="str">
        <x:v>article1-unified-v4-2-fb3f101b-20260903-000401-default-f04-p3-cache2k-1-after-final-undeploy-final-10s</x:v>
      </x:c>
      <x:c r="N830" s="38" t="n">
        <x:v>46268.03718601852</x:v>
      </x:c>
      <x:c r="O830" s="36" t="n">
        <x:v>2</x:v>
      </x:c>
      <x:c r="P830" s="43" t="n">
        <x:v>15543296</x:v>
      </x:c>
      <x:c r="Q830" s="43" t="n">
        <x:v>268435456</x:v>
      </x:c>
      <x:c r="R830" s="43" t="n">
        <x:v>418092032</x:v>
      </x:c>
      <x:c r="S830" s="36" t="n">
        <x:v>2</x:v>
      </x:c>
      <x:c r="T830" s="44" t="str">
        <x:v>0x0000000031116bd8  0x0000000031003818  0x000073f3485f1b90       0         0         0  org.apache.catalina.loader.ParallelWebappClassLoader | 0x0000000031116bd8  0x0000000031003818  0x000073f2b8008950    4449  21288960  21276976  org.apache.catalina.loader.ParallelWebappClassLoader</x:v>
      </x:c>
      <x:c r="U830" s="36" t="n">
        <x:v>27</x:v>
      </x:c>
      <x:c r="V830" s="36" t="n">
        <x:v>0</x:v>
      </x:c>
      <x:c r="W830" s="44"/>
      <x:c r="X830" s="36" t="n">
        <x:v>1</x:v>
      </x:c>
      <x:c r="Y830" s="36" t="n">
        <x:v>1</x:v>
      </x:c>
      <x:c r="Z830" s="44" t="str">
        <x:v>/cache2k</x:v>
      </x:c>
      <x:c r="AA830" s="45" t="b">
        <x:v>1</x:v>
      </x:c>
      <x:c r="AB830" s="43"/>
      <x:c r="AC830" s="34" t="str">
        <x:v>article1-unified-v4-2-fb3f101b-20260903-000401-default-f04-p3-cache2k-1-after-final-undeploy-final-10s-heap-info.txt</x:v>
      </x:c>
      <x:c r="AD830" s="34" t="str">
        <x:v>article1-unified-v4-2-fb3f101b-20260903-000401-default-f04-p3-cache2k-1-after-final-undeploy-final-10s-classloader-stats.txt</x:v>
      </x:c>
      <x:c r="AE830" s="34" t="str">
        <x:v>article1-unified-v4-2-fb3f101b-20260903-000401-default-f04-p3-cache2k-1-after-final-undeploy-final-10s-thread-dump.txt</x:v>
      </x:c>
      <x:c r="AF830" s="34"/>
      <x:c r="AG830" s="34" t="str">
        <x:v>article1-unified-v4-2-fb3f101b-20260903-000401-default-f04-p3-cache2k-1-after-final-undeploy-final-10s-native-memory.txt</x:v>
      </x:c>
      <x:c r="AH830" s="34" t="str">
        <x:v>article1-unified-v4-2-fb3f101b-20260903-000401-default-f04-p3-cache2k-1-after-final-undeploy-final-10s-class-histogram.txt</x:v>
      </x:c>
      <x:c r="AI830" s="34" t="str">
        <x:v>article1-unified-v4-2-fb3f101b-20260903-000401-default-f04-p3-cache2k-1-after-final-undeploy-tomcat-findleaks.txt</x:v>
      </x:c>
    </x:row>
    <x:row r="831">
      <x:c r="A831" s="34" t="str">
        <x:v>article1-unified-v4-2-fb3f101b-20260903-000401-default-f04-p3-cache2k</x:v>
      </x:c>
      <x:c r="B831" s="34" t="str">
        <x:v>default</x:v>
      </x:c>
      <x:c r="C831" s="34" t="str">
        <x:v>cache2k</x:v>
      </x:c>
      <x:c r="D831" s="34" t="str">
        <x:v>cache2k</x:v>
      </x:c>
      <x:c r="E831" s="36" t="n">
        <x:v>4</x:v>
      </x:c>
      <x:c r="F831" s="36" t="n">
        <x:v>4</x:v>
      </x:c>
      <x:c r="G831" s="36" t="n">
        <x:v>3</x:v>
      </x:c>
      <x:c r="H831" s="36" t="n">
        <x:v>2</x:v>
      </x:c>
      <x:c r="I831" s="34" t="str">
        <x:v>baseline</x:v>
      </x:c>
      <x:c r="J831" s="34" t="str">
        <x:v>cycle-baseline</x:v>
      </x:c>
      <x:c r="K831" s="36" t="n">
        <x:v>0</x:v>
      </x:c>
      <x:c r="L831" s="34" t="str">
        <x:v>baseline</x:v>
      </x:c>
      <x:c r="M831" s="34" t="str">
        <x:v>article1-unified-v4-2-fb3f101b-20260903-000401-default-f04-p3-cache2k-2-baseline</x:v>
      </x:c>
      <x:c r="N831" s="38" t="n">
        <x:v>46268.037230891205</x:v>
      </x:c>
      <x:c r="O831" s="36" t="n">
        <x:v>0</x:v>
      </x:c>
      <x:c r="P831" s="43" t="n">
        <x:v>15543296</x:v>
      </x:c>
      <x:c r="Q831" s="43" t="n">
        <x:v>268435456</x:v>
      </x:c>
      <x:c r="R831" s="43" t="n">
        <x:v>417979392</x:v>
      </x:c>
      <x:c r="S831" s="36" t="n">
        <x:v>2</x:v>
      </x:c>
      <x:c r="T831" s="44" t="str">
        <x:v>0x0000000031116bd8  0x0000000031003818  0x000073f3485f1b90       0         0         0  org.apache.catalina.loader.ParallelWebappClassLoader | 0x0000000031116bd8  0x0000000031003818  0x000073f2b8008950    4449  21288960  21276976  org.apache.catalina.loader.ParallelWebappClassLoader</x:v>
      </x:c>
      <x:c r="U831" s="36" t="n">
        <x:v>27</x:v>
      </x:c>
      <x:c r="V831" s="36" t="n">
        <x:v>0</x:v>
      </x:c>
      <x:c r="W831" s="44"/>
      <x:c r="X831" s="36"/>
      <x:c r="Y831" s="36"/>
      <x:c r="Z831" s="44"/>
      <x:c r="AA831" s="49"/>
      <x:c r="AB831" s="43"/>
      <x:c r="AC831" s="34" t="str">
        <x:v>article1-unified-v4-2-fb3f101b-20260903-000401-default-f04-p3-cache2k-2-baseline-heap-info.txt</x:v>
      </x:c>
      <x:c r="AD831" s="34" t="str">
        <x:v>article1-unified-v4-2-fb3f101b-20260903-000401-default-f04-p3-cache2k-2-baseline-classloader-stats.txt</x:v>
      </x:c>
      <x:c r="AE831" s="34" t="str">
        <x:v>article1-unified-v4-2-fb3f101b-20260903-000401-default-f04-p3-cache2k-2-baseline-thread-dump.txt</x:v>
      </x:c>
      <x:c r="AF831" s="34"/>
      <x:c r="AG831" s="34" t="str">
        <x:v>article1-unified-v4-2-fb3f101b-20260903-000401-default-f04-p3-cache2k-2-baseline-native-memory.txt</x:v>
      </x:c>
      <x:c r="AH831" s="34"/>
      <x:c r="AI831" s="34"/>
    </x:row>
    <x:row r="832">
      <x:c r="A832" s="34" t="str">
        <x:v>article1-unified-v4-2-fb3f101b-20260903-000401-default-f04-p3-cache2k</x:v>
      </x:c>
      <x:c r="B832" s="34" t="str">
        <x:v>default</x:v>
      </x:c>
      <x:c r="C832" s="34" t="str">
        <x:v>cache2k</x:v>
      </x:c>
      <x:c r="D832" s="34" t="str">
        <x:v>cache2k</x:v>
      </x:c>
      <x:c r="E832" s="36" t="n">
        <x:v>4</x:v>
      </x:c>
      <x:c r="F832" s="36" t="n">
        <x:v>4</x:v>
      </x:c>
      <x:c r="G832" s="36" t="n">
        <x:v>3</x:v>
      </x:c>
      <x:c r="H832" s="36" t="n">
        <x:v>2</x:v>
      </x:c>
      <x:c r="I832" s="34" t="str">
        <x:v>deployedIdle</x:v>
      </x:c>
      <x:c r="J832" s="34" t="str">
        <x:v>deployed-idle</x:v>
      </x:c>
      <x:c r="K832" s="36" t="n">
        <x:v>0</x:v>
      </x:c>
      <x:c r="L832" s="34" t="str">
        <x:v>initial</x:v>
      </x:c>
      <x:c r="M832" s="34" t="str">
        <x:v>article1-unified-v4-2-fb3f101b-20260903-000401-default-f04-p3-cache2k-2-deployed-idle</x:v>
      </x:c>
      <x:c r="N832" s="38" t="n">
        <x:v>46268.03733054398</x:v>
      </x:c>
      <x:c r="O832" s="36" t="n">
        <x:v>0</x:v>
      </x:c>
      <x:c r="P832" s="43" t="n">
        <x:v>167305216</x:v>
      </x:c>
      <x:c r="Q832" s="43" t="n">
        <x:v>268435456</x:v>
      </x:c>
      <x:c r="R832" s="43" t="n">
        <x:v>436264960</x:v>
      </x:c>
      <x:c r="S832" s="36" t="n">
        <x:v>3</x:v>
      </x:c>
      <x:c r="T832" s="44" t="str">
        <x:v>0x0000000031116bd8  0x0000000031003818  0x000073f3485f1b90       0         0         0  org.apache.catalina.loader.ParallelWebappClassLoader | 0x0000000031116bd8  0x0000000031003818  0x000073f2b8008950    4449  21288960  21276976  org.apache.catalina.loader.ParallelWebappClassLoader | 0x0000000031116bd8  0x0000000031003818  0x000073f27c1edd00    4091  19458048  19428776  org.apache.catalina.loader.ParallelWebappClassLoader</x:v>
      </x:c>
      <x:c r="U832" s="36" t="n">
        <x:v>27</x:v>
      </x:c>
      <x:c r="V832" s="36" t="n">
        <x:v>0</x:v>
      </x:c>
      <x:c r="W832" s="44"/>
      <x:c r="X832" s="36"/>
      <x:c r="Y832" s="36"/>
      <x:c r="Z832" s="44"/>
      <x:c r="AA832" s="49"/>
      <x:c r="AB832" s="43"/>
      <x:c r="AC832" s="34"/>
      <x:c r="AD832" s="34"/>
      <x:c r="AE832" s="34"/>
      <x:c r="AF832" s="34"/>
      <x:c r="AG832" s="34"/>
      <x:c r="AH832" s="34"/>
      <x:c r="AI832" s="34"/>
    </x:row>
    <x:row r="833">
      <x:c r="A833" s="34" t="str">
        <x:v>article1-unified-v4-2-fb3f101b-20260903-000401-default-f04-p3-cache2k</x:v>
      </x:c>
      <x:c r="B833" s="34" t="str">
        <x:v>default</x:v>
      </x:c>
      <x:c r="C833" s="34" t="str">
        <x:v>cache2k</x:v>
      </x:c>
      <x:c r="D833" s="34" t="str">
        <x:v>cache2k</x:v>
      </x:c>
      <x:c r="E833" s="36" t="n">
        <x:v>4</x:v>
      </x:c>
      <x:c r="F833" s="36" t="n">
        <x:v>4</x:v>
      </x:c>
      <x:c r="G833" s="36" t="n">
        <x:v>3</x:v>
      </x:c>
      <x:c r="H833" s="36" t="n">
        <x:v>2</x:v>
      </x:c>
      <x:c r="I833" s="34" t="str">
        <x:v>loaded</x:v>
      </x:c>
      <x:c r="J833" s="34" t="str">
        <x:v>loaded</x:v>
      </x:c>
      <x:c r="K833" s="36" t="n">
        <x:v>0</x:v>
      </x:c>
      <x:c r="L833" s="34" t="str">
        <x:v>initial</x:v>
      </x:c>
      <x:c r="M833" s="34" t="str">
        <x:v>article1-unified-v4-2-fb3f101b-20260903-000401-default-f04-p3-cache2k-2-loaded</x:v>
      </x:c>
      <x:c r="N833" s="38" t="n">
        <x:v>46268.037479363426</x:v>
      </x:c>
      <x:c r="O833" s="36" t="n">
        <x:v>0</x:v>
      </x:c>
      <x:c r="P833" s="43" t="n">
        <x:v>93028352</x:v>
      </x:c>
      <x:c r="Q833" s="43" t="n">
        <x:v>268435456</x:v>
      </x:c>
      <x:c r="R833" s="43" t="n">
        <x:v>447257600</x:v>
      </x:c>
      <x:c r="S833" s="36" t="n">
        <x:v>3</x:v>
      </x:c>
      <x:c r="T833" s="44" t="str">
        <x:v>0x0000000031116bd8  0x0000000031003818  0x000073f3485f1b90       0         0         0  org.apache.catalina.loader.ParallelWebappClassLoader | 0x0000000031116bd8  0x0000000031003818  0x000073f2b8008950    4449  21288960  21276976  org.apache.catalina.loader.ParallelWebappClassLoader | 0x0000000031116bd8  0x0000000031003818  0x000073f27c1edd00    4447  21293056  21273000  org.apache.catalina.loader.ParallelWebappClassLoader</x:v>
      </x:c>
      <x:c r="U833" s="36" t="n">
        <x:v>29</x:v>
      </x:c>
      <x:c r="V833" s="36" t="n">
        <x:v>0</x:v>
      </x:c>
      <x:c r="W833" s="44"/>
      <x:c r="X833" s="36"/>
      <x:c r="Y833" s="36"/>
      <x:c r="Z833" s="44"/>
      <x:c r="AA833" s="49"/>
      <x:c r="AB833" s="43"/>
      <x:c r="AC833" s="34"/>
      <x:c r="AD833" s="34"/>
      <x:c r="AE833" s="34"/>
      <x:c r="AF833" s="34"/>
      <x:c r="AG833" s="34"/>
      <x:c r="AH833" s="34"/>
      <x:c r="AI833" s="34"/>
    </x:row>
    <x:row r="834">
      <x:c r="A834" s="34" t="str">
        <x:v>article1-unified-v4-2-fb3f101b-20260903-000401-default-f04-p3-cache2k</x:v>
      </x:c>
      <x:c r="B834" s="34" t="str">
        <x:v>default</x:v>
      </x:c>
      <x:c r="C834" s="34" t="str">
        <x:v>cache2k</x:v>
      </x:c>
      <x:c r="D834" s="34" t="str">
        <x:v>cache2k</x:v>
      </x:c>
      <x:c r="E834" s="36" t="n">
        <x:v>4</x:v>
      </x:c>
      <x:c r="F834" s="36" t="n">
        <x:v>4</x:v>
      </x:c>
      <x:c r="G834" s="36" t="n">
        <x:v>3</x:v>
      </x:c>
      <x:c r="H834" s="36" t="n">
        <x:v>2</x:v>
      </x:c>
      <x:c r="I834" s="34" t="str">
        <x:v>afterUndeployEarly</x:v>
      </x:c>
      <x:c r="J834" s="34" t="str">
        <x:v>after-undeploy-early</x:v>
      </x:c>
      <x:c r="K834" s="36" t="n">
        <x:v>1</x:v>
      </x:c>
      <x:c r="L834" s="34" t="str">
        <x:v>early</x:v>
      </x:c>
      <x:c r="M834" s="34" t="str">
        <x:v>article1-unified-v4-2-fb3f101b-20260903-000401-default-f04-p3-cache2k-2-after-undeploy-early-2s</x:v>
      </x:c>
      <x:c r="N834" s="38" t="n">
        <x:v>46268.03756127315</x:v>
      </x:c>
      <x:c r="O834" s="36"/>
      <x:c r="P834" s="43"/>
      <x:c r="Q834" s="43"/>
      <x:c r="R834" s="43"/>
      <x:c r="S834" s="36"/>
      <x:c r="T834" s="44"/>
      <x:c r="U834" s="36" t="n">
        <x:v>27</x:v>
      </x:c>
      <x:c r="V834" s="36" t="n">
        <x:v>0</x:v>
      </x:c>
      <x:c r="W834" s="44"/>
      <x:c r="X834" s="36"/>
      <x:c r="Y834" s="36"/>
      <x:c r="Z834" s="44"/>
      <x:c r="AA834" s="49"/>
      <x:c r="AB834" s="43" t="n">
        <x:v>1</x:v>
      </x:c>
      <x:c r="AC834" s="34"/>
      <x:c r="AD834" s="34"/>
      <x:c r="AE834" s="34" t="str">
        <x:v>article1-unified-v4-2-fb3f101b-20260903-000401-default-f04-p3-cache2k-2-after-undeploy-early-2s-thread-dump.txt</x:v>
      </x:c>
      <x:c r="AF834" s="34" t="str">
        <x:v>article1-unified-v4-2-fb3f101b-20260903-000401-default-f04-p3-cache2k-2-after-undeploy-early-tomcat-log.txt</x:v>
      </x:c>
      <x:c r="AG834" s="34"/>
      <x:c r="AH834" s="34"/>
      <x:c r="AI834" s="34"/>
    </x:row>
    <x:row r="835">
      <x:c r="A835" s="34" t="str">
        <x:v>article1-unified-v4-2-fb3f101b-20260903-000401-default-f04-p3-cache2k</x:v>
      </x:c>
      <x:c r="B835" s="34" t="str">
        <x:v>default</x:v>
      </x:c>
      <x:c r="C835" s="34" t="str">
        <x:v>cache2k</x:v>
      </x:c>
      <x:c r="D835" s="34" t="str">
        <x:v>cache2k</x:v>
      </x:c>
      <x:c r="E835" s="36" t="n">
        <x:v>4</x:v>
      </x:c>
      <x:c r="F835" s="36" t="n">
        <x:v>4</x:v>
      </x:c>
      <x:c r="G835" s="36" t="n">
        <x:v>3</x:v>
      </x:c>
      <x:c r="H835" s="36" t="n">
        <x:v>2</x:v>
      </x:c>
      <x:c r="I835" s="34" t="str">
        <x:v>afterUndeploy</x:v>
      </x:c>
      <x:c r="J835" s="34" t="str">
        <x:v>after-undeploy-final</x:v>
      </x:c>
      <x:c r="K835" s="36" t="n">
        <x:v>1</x:v>
      </x:c>
      <x:c r="L835" s="34" t="str">
        <x:v>final</x:v>
      </x:c>
      <x:c r="M835" s="34" t="str">
        <x:v>article1-unified-v4-2-fb3f101b-20260903-000401-default-f04-p3-cache2k-2-after-undeploy-final-10s</x:v>
      </x:c>
      <x:c r="N835" s="38" t="n">
        <x:v>46268.037715555554</x:v>
      </x:c>
      <x:c r="O835" s="36" t="n">
        <x:v>2</x:v>
      </x:c>
      <x:c r="P835" s="43" t="n">
        <x:v>15529984</x:v>
      </x:c>
      <x:c r="Q835" s="43" t="n">
        <x:v>268435456</x:v>
      </x:c>
      <x:c r="R835" s="43" t="n">
        <x:v>416152576</x:v>
      </x:c>
      <x:c r="S835" s="36" t="n">
        <x:v>2</x:v>
      </x:c>
      <x:c r="T835" s="44" t="str">
        <x:v>0x0000000031116bd8  0x0000000031003818  0x000073f3485f1b90       0         0         0  org.apache.catalina.loader.ParallelWebappClassLoader | 0x0000000031116bd8  0x0000000031003818  0x000073f27c1edd00    4457  21325824  21301920  org.apache.catalina.loader.ParallelWebappClassLoader</x:v>
      </x:c>
      <x:c r="U835" s="36" t="n">
        <x:v>27</x:v>
      </x:c>
      <x:c r="V835" s="36" t="n">
        <x:v>0</x:v>
      </x:c>
      <x:c r="W835" s="44"/>
      <x:c r="X835" s="36" t="n">
        <x:v>1</x:v>
      </x:c>
      <x:c r="Y835" s="36" t="n">
        <x:v>1</x:v>
      </x:c>
      <x:c r="Z835" s="44" t="str">
        <x:v>/cache2k</x:v>
      </x:c>
      <x:c r="AA835" s="45" t="b">
        <x:v>1</x:v>
      </x:c>
      <x:c r="AB835" s="43"/>
      <x:c r="AC835" s="34" t="str">
        <x:v>article1-unified-v4-2-fb3f101b-20260903-000401-default-f04-p3-cache2k-2-after-undeploy-final-10s-heap-info.txt</x:v>
      </x:c>
      <x:c r="AD835" s="34" t="str">
        <x:v>article1-unified-v4-2-fb3f101b-20260903-000401-default-f04-p3-cache2k-2-after-undeploy-final-10s-classloader-stats.txt</x:v>
      </x:c>
      <x:c r="AE835" s="34" t="str">
        <x:v>article1-unified-v4-2-fb3f101b-20260903-000401-default-f04-p3-cache2k-2-after-undeploy-final-10s-thread-dump.txt</x:v>
      </x:c>
      <x:c r="AF835" s="34"/>
      <x:c r="AG835" s="34" t="str">
        <x:v>article1-unified-v4-2-fb3f101b-20260903-000401-default-f04-p3-cache2k-2-after-undeploy-final-10s-native-memory.txt</x:v>
      </x:c>
      <x:c r="AH835" s="34" t="str">
        <x:v>article1-unified-v4-2-fb3f101b-20260903-000401-default-f04-p3-cache2k-2-after-undeploy-final-10s-class-histogram.txt</x:v>
      </x:c>
      <x:c r="AI835" s="34" t="str">
        <x:v>article1-unified-v4-2-fb3f101b-20260903-000401-default-f04-p3-cache2k-2-after-undeploy-tomcat-findleaks.txt</x:v>
      </x:c>
    </x:row>
    <x:row r="836">
      <x:c r="A836" s="34" t="str">
        <x:v>article1-unified-v4-2-fb3f101b-20260903-000401-default-f04-p3-cache2k</x:v>
      </x:c>
      <x:c r="B836" s="34" t="str">
        <x:v>default</x:v>
      </x:c>
      <x:c r="C836" s="34" t="str">
        <x:v>cache2k</x:v>
      </x:c>
      <x:c r="D836" s="34" t="str">
        <x:v>cache2k</x:v>
      </x:c>
      <x:c r="E836" s="36" t="n">
        <x:v>4</x:v>
      </x:c>
      <x:c r="F836" s="36" t="n">
        <x:v>4</x:v>
      </x:c>
      <x:c r="G836" s="36" t="n">
        <x:v>3</x:v>
      </x:c>
      <x:c r="H836" s="36" t="n">
        <x:v>2</x:v>
      </x:c>
      <x:c r="I836" s="34" t="str">
        <x:v>redeployedLoaded</x:v>
      </x:c>
      <x:c r="J836" s="34" t="str">
        <x:v>redeployed-loaded</x:v>
      </x:c>
      <x:c r="K836" s="36" t="n">
        <x:v>0</x:v>
      </x:c>
      <x:c r="L836" s="34" t="str">
        <x:v>redeploy</x:v>
      </x:c>
      <x:c r="M836" s="34" t="str">
        <x:v>article1-unified-v4-2-fb3f101b-20260903-000401-default-f04-p3-cache2k-2-redeployed-loaded</x:v>
      </x:c>
      <x:c r="N836" s="38" t="n">
        <x:v>46268.037971909725</x:v>
      </x:c>
      <x:c r="O836" s="36" t="n">
        <x:v>0</x:v>
      </x:c>
      <x:c r="P836" s="43" t="n">
        <x:v>92740608</x:v>
      </x:c>
      <x:c r="Q836" s="43" t="n">
        <x:v>268435456</x:v>
      </x:c>
      <x:c r="R836" s="43" t="n">
        <x:v>439519232</x:v>
      </x:c>
      <x:c r="S836" s="36" t="n">
        <x:v>3</x:v>
      </x:c>
      <x:c r="T836" s="44" t="str">
        <x:v>0x0000000031116bd8  0x0000000031003818  0x000073f3485f1b90       0         0         0  org.apache.catalina.loader.ParallelWebappClassLoader | 0x0000000031116bd8  0x0000000031003818  0x000073f2b864b030    4439  21255168  21251976  org.apache.catalina.loader.ParallelWebappClassLoader | 0x0000000031116bd8  0x0000000031003818  0x000073f27c1edd00    4457  21325824  21301920  org.apache.catalina.loader.ParallelWebappClassLoader</x:v>
      </x:c>
      <x:c r="U836" s="36" t="n">
        <x:v>29</x:v>
      </x:c>
      <x:c r="V836" s="36" t="n">
        <x:v>0</x:v>
      </x:c>
      <x:c r="W836" s="44"/>
      <x:c r="X836" s="36"/>
      <x:c r="Y836" s="36"/>
      <x:c r="Z836" s="44"/>
      <x:c r="AA836" s="49"/>
      <x:c r="AB836" s="43"/>
      <x:c r="AC836" s="34"/>
      <x:c r="AD836" s="34"/>
      <x:c r="AE836" s="34"/>
      <x:c r="AF836" s="34"/>
      <x:c r="AG836" s="34"/>
      <x:c r="AH836" s="34"/>
      <x:c r="AI836" s="34"/>
    </x:row>
    <x:row r="837">
      <x:c r="A837" s="34" t="str">
        <x:v>article1-unified-v4-2-fb3f101b-20260903-000401-default-f04-p3-cache2k</x:v>
      </x:c>
      <x:c r="B837" s="34" t="str">
        <x:v>default</x:v>
      </x:c>
      <x:c r="C837" s="34" t="str">
        <x:v>cache2k</x:v>
      </x:c>
      <x:c r="D837" s="34" t="str">
        <x:v>cache2k</x:v>
      </x:c>
      <x:c r="E837" s="36" t="n">
        <x:v>4</x:v>
      </x:c>
      <x:c r="F837" s="36" t="n">
        <x:v>4</x:v>
      </x:c>
      <x:c r="G837" s="36" t="n">
        <x:v>3</x:v>
      </x:c>
      <x:c r="H837" s="36" t="n">
        <x:v>2</x:v>
      </x:c>
      <x:c r="I837" s="34" t="str">
        <x:v>afterFinalUndeployEarly</x:v>
      </x:c>
      <x:c r="J837" s="34" t="str">
        <x:v>after-final-undeploy-early</x:v>
      </x:c>
      <x:c r="K837" s="36" t="n">
        <x:v>2</x:v>
      </x:c>
      <x:c r="L837" s="34" t="str">
        <x:v>early</x:v>
      </x:c>
      <x:c r="M837" s="34" t="str">
        <x:v>article1-unified-v4-2-fb3f101b-20260903-000401-default-f04-p3-cache2k-2-after-final-undeploy-early-2s</x:v>
      </x:c>
      <x:c r="N837" s="38" t="n">
        <x:v>46268.03805465278</x:v>
      </x:c>
      <x:c r="O837" s="36"/>
      <x:c r="P837" s="43"/>
      <x:c r="Q837" s="43"/>
      <x:c r="R837" s="43"/>
      <x:c r="S837" s="36"/>
      <x:c r="T837" s="44"/>
      <x:c r="U837" s="36" t="n">
        <x:v>27</x:v>
      </x:c>
      <x:c r="V837" s="36" t="n">
        <x:v>0</x:v>
      </x:c>
      <x:c r="W837" s="44"/>
      <x:c r="X837" s="36"/>
      <x:c r="Y837" s="36"/>
      <x:c r="Z837" s="44"/>
      <x:c r="AA837" s="49"/>
      <x:c r="AB837" s="43" t="n">
        <x:v>1</x:v>
      </x:c>
      <x:c r="AC837" s="34"/>
      <x:c r="AD837" s="34"/>
      <x:c r="AE837" s="34" t="str">
        <x:v>article1-unified-v4-2-fb3f101b-20260903-000401-default-f04-p3-cache2k-2-after-final-undeploy-early-2s-thread-dump.txt</x:v>
      </x:c>
      <x:c r="AF837" s="34" t="str">
        <x:v>article1-unified-v4-2-fb3f101b-20260903-000401-default-f04-p3-cache2k-2-after-final-undeploy-early-tomcat-log.txt</x:v>
      </x:c>
      <x:c r="AG837" s="34"/>
      <x:c r="AH837" s="34"/>
      <x:c r="AI837" s="34"/>
    </x:row>
    <x:row r="838">
      <x:c r="A838" s="34" t="str">
        <x:v>article1-unified-v4-2-fb3f101b-20260903-000401-default-f04-p3-cache2k</x:v>
      </x:c>
      <x:c r="B838" s="34" t="str">
        <x:v>default</x:v>
      </x:c>
      <x:c r="C838" s="34" t="str">
        <x:v>cache2k</x:v>
      </x:c>
      <x:c r="D838" s="34" t="str">
        <x:v>cache2k</x:v>
      </x:c>
      <x:c r="E838" s="36" t="n">
        <x:v>4</x:v>
      </x:c>
      <x:c r="F838" s="36" t="n">
        <x:v>4</x:v>
      </x:c>
      <x:c r="G838" s="36" t="n">
        <x:v>3</x:v>
      </x:c>
      <x:c r="H838" s="36" t="n">
        <x:v>2</x:v>
      </x:c>
      <x:c r="I838" s="34" t="str">
        <x:v>afterFinalUndeploy</x:v>
      </x:c>
      <x:c r="J838" s="34" t="str">
        <x:v>after-final-undeploy-final</x:v>
      </x:c>
      <x:c r="K838" s="36" t="n">
        <x:v>2</x:v>
      </x:c>
      <x:c r="L838" s="34" t="str">
        <x:v>final</x:v>
      </x:c>
      <x:c r="M838" s="34" t="str">
        <x:v>article1-unified-v4-2-fb3f101b-20260903-000401-default-f04-p3-cache2k-2-after-final-undeploy-final-10s</x:v>
      </x:c>
      <x:c r="N838" s="38" t="n">
        <x:v>46268.0382108912</x:v>
      </x:c>
      <x:c r="O838" s="36" t="n">
        <x:v>2</x:v>
      </x:c>
      <x:c r="P838" s="43" t="n">
        <x:v>15515648</x:v>
      </x:c>
      <x:c r="Q838" s="43" t="n">
        <x:v>268435456</x:v>
      </x:c>
      <x:c r="R838" s="43" t="n">
        <x:v>421828608</x:v>
      </x:c>
      <x:c r="S838" s="36" t="n">
        <x:v>2</x:v>
      </x:c>
      <x:c r="T838" s="44" t="str">
        <x:v>0x0000000031116bd8  0x0000000031003818  0x000073f2b864b030    4449  21304320  21280920  org.apache.catalina.loader.ParallelWebappClassLoader | 0x0000000031116bd8  0x0000000031003818  0x000073f3485f1b90       0         0         0  org.apache.catalina.loader.ParallelWebappClassLoader</x:v>
      </x:c>
      <x:c r="U838" s="36" t="n">
        <x:v>27</x:v>
      </x:c>
      <x:c r="V838" s="36" t="n">
        <x:v>0</x:v>
      </x:c>
      <x:c r="W838" s="44"/>
      <x:c r="X838" s="36" t="n">
        <x:v>1</x:v>
      </x:c>
      <x:c r="Y838" s="36" t="n">
        <x:v>1</x:v>
      </x:c>
      <x:c r="Z838" s="44" t="str">
        <x:v>/cache2k</x:v>
      </x:c>
      <x:c r="AA838" s="45" t="b">
        <x:v>1</x:v>
      </x:c>
      <x:c r="AB838" s="43"/>
      <x:c r="AC838" s="34" t="str">
        <x:v>article1-unified-v4-2-fb3f101b-20260903-000401-default-f04-p3-cache2k-2-after-final-undeploy-final-10s-heap-info.txt</x:v>
      </x:c>
      <x:c r="AD838" s="34" t="str">
        <x:v>article1-unified-v4-2-fb3f101b-20260903-000401-default-f04-p3-cache2k-2-after-final-undeploy-final-10s-classloader-stats.txt</x:v>
      </x:c>
      <x:c r="AE838" s="34" t="str">
        <x:v>article1-unified-v4-2-fb3f101b-20260903-000401-default-f04-p3-cache2k-2-after-final-undeploy-final-10s-thread-dump.txt</x:v>
      </x:c>
      <x:c r="AF838" s="34"/>
      <x:c r="AG838" s="34" t="str">
        <x:v>article1-unified-v4-2-fb3f101b-20260903-000401-default-f04-p3-cache2k-2-after-final-undeploy-final-10s-native-memory.txt</x:v>
      </x:c>
      <x:c r="AH838" s="34" t="str">
        <x:v>article1-unified-v4-2-fb3f101b-20260903-000401-default-f04-p3-cache2k-2-after-final-undeploy-final-10s-class-histogram.txt</x:v>
      </x:c>
      <x:c r="AI838" s="34" t="str">
        <x:v>article1-unified-v4-2-fb3f101b-20260903-000401-default-f04-p3-cache2k-2-after-final-undeploy-tomcat-findleaks.txt</x:v>
      </x:c>
    </x:row>
    <x:row r="839">
      <x:c r="A839" s="34" t="str">
        <x:v>article1-unified-v4-2-fb3f101b-20260903-000401-default-f04-p3-cache2k</x:v>
      </x:c>
      <x:c r="B839" s="34" t="str">
        <x:v>default</x:v>
      </x:c>
      <x:c r="C839" s="34" t="str">
        <x:v>cache2k</x:v>
      </x:c>
      <x:c r="D839" s="34" t="str">
        <x:v>cache2k</x:v>
      </x:c>
      <x:c r="E839" s="36" t="n">
        <x:v>4</x:v>
      </x:c>
      <x:c r="F839" s="36" t="n">
        <x:v>4</x:v>
      </x:c>
      <x:c r="G839" s="36" t="n">
        <x:v>3</x:v>
      </x:c>
      <x:c r="H839" s="36" t="n">
        <x:v>3</x:v>
      </x:c>
      <x:c r="I839" s="34" t="str">
        <x:v>baseline</x:v>
      </x:c>
      <x:c r="J839" s="34" t="str">
        <x:v>cycle-baseline</x:v>
      </x:c>
      <x:c r="K839" s="36" t="n">
        <x:v>0</x:v>
      </x:c>
      <x:c r="L839" s="34" t="str">
        <x:v>baseline</x:v>
      </x:c>
      <x:c r="M839" s="34" t="str">
        <x:v>article1-unified-v4-2-fb3f101b-20260903-000401-default-f04-p3-cache2k-3-baseline</x:v>
      </x:c>
      <x:c r="N839" s="38" t="n">
        <x:v>46268.03825253472</x:v>
      </x:c>
      <x:c r="O839" s="36" t="n">
        <x:v>0</x:v>
      </x:c>
      <x:c r="P839" s="43" t="n">
        <x:v>15515648</x:v>
      </x:c>
      <x:c r="Q839" s="43" t="n">
        <x:v>268435456</x:v>
      </x:c>
      <x:c r="R839" s="43" t="n">
        <x:v>421664768</x:v>
      </x:c>
      <x:c r="S839" s="36" t="n">
        <x:v>2</x:v>
      </x:c>
      <x:c r="T839" s="44" t="str">
        <x:v>0x0000000031116bd8  0x0000000031003818  0x000073f2b864b030    4449  21304320  21280920  org.apache.catalina.loader.ParallelWebappClassLoader | 0x0000000031116bd8  0x0000000031003818  0x000073f3485f1b90       0         0         0  org.apache.catalina.loader.ParallelWebappClassLoader</x:v>
      </x:c>
      <x:c r="U839" s="36" t="n">
        <x:v>27</x:v>
      </x:c>
      <x:c r="V839" s="36" t="n">
        <x:v>0</x:v>
      </x:c>
      <x:c r="W839" s="44"/>
      <x:c r="X839" s="36"/>
      <x:c r="Y839" s="36"/>
      <x:c r="Z839" s="44"/>
      <x:c r="AA839" s="49"/>
      <x:c r="AB839" s="43"/>
      <x:c r="AC839" s="34" t="str">
        <x:v>article1-unified-v4-2-fb3f101b-20260903-000401-default-f04-p3-cache2k-3-baseline-heap-info.txt</x:v>
      </x:c>
      <x:c r="AD839" s="34" t="str">
        <x:v>article1-unified-v4-2-fb3f101b-20260903-000401-default-f04-p3-cache2k-3-baseline-classloader-stats.txt</x:v>
      </x:c>
      <x:c r="AE839" s="34" t="str">
        <x:v>article1-unified-v4-2-fb3f101b-20260903-000401-default-f04-p3-cache2k-3-baseline-thread-dump.txt</x:v>
      </x:c>
      <x:c r="AF839" s="34"/>
      <x:c r="AG839" s="34" t="str">
        <x:v>article1-unified-v4-2-fb3f101b-20260903-000401-default-f04-p3-cache2k-3-baseline-native-memory.txt</x:v>
      </x:c>
      <x:c r="AH839" s="34"/>
      <x:c r="AI839" s="34"/>
    </x:row>
    <x:row r="840">
      <x:c r="A840" s="34" t="str">
        <x:v>article1-unified-v4-2-fb3f101b-20260903-000401-default-f04-p3-cache2k</x:v>
      </x:c>
      <x:c r="B840" s="34" t="str">
        <x:v>default</x:v>
      </x:c>
      <x:c r="C840" s="34" t="str">
        <x:v>cache2k</x:v>
      </x:c>
      <x:c r="D840" s="34" t="str">
        <x:v>cache2k</x:v>
      </x:c>
      <x:c r="E840" s="36" t="n">
        <x:v>4</x:v>
      </x:c>
      <x:c r="F840" s="36" t="n">
        <x:v>4</x:v>
      </x:c>
      <x:c r="G840" s="36" t="n">
        <x:v>3</x:v>
      </x:c>
      <x:c r="H840" s="36" t="n">
        <x:v>3</x:v>
      </x:c>
      <x:c r="I840" s="34" t="str">
        <x:v>deployedIdle</x:v>
      </x:c>
      <x:c r="J840" s="34" t="str">
        <x:v>deployed-idle</x:v>
      </x:c>
      <x:c r="K840" s="36" t="n">
        <x:v>0</x:v>
      </x:c>
      <x:c r="L840" s="34" t="str">
        <x:v>initial</x:v>
      </x:c>
      <x:c r="M840" s="34" t="str">
        <x:v>article1-unified-v4-2-fb3f101b-20260903-000401-default-f04-p3-cache2k-3-deployed-idle</x:v>
      </x:c>
      <x:c r="N840" s="38" t="n">
        <x:v>46268.0383519213</x:v>
      </x:c>
      <x:c r="O840" s="36" t="n">
        <x:v>0</x:v>
      </x:c>
      <x:c r="P840" s="43" t="n">
        <x:v>168589312</x:v>
      </x:c>
      <x:c r="Q840" s="43" t="n">
        <x:v>268435456</x:v>
      </x:c>
      <x:c r="R840" s="43" t="n">
        <x:v>437894144</x:v>
      </x:c>
      <x:c r="S840" s="36" t="n">
        <x:v>3</x:v>
      </x:c>
      <x:c r="T840" s="44" t="str">
        <x:v>0x0000000031116bd8  0x0000000031003818  0x000073f2b864b030    4449  21304320  21280920  org.apache.catalina.loader.ParallelWebappClassLoader | 0x0000000031116bd8  0x0000000031003818  0x000073f3485f1b90       0         0         0  org.apache.catalina.loader.ParallelWebappClassLoader | 0x0000000031116bd8  0x0000000031003818  0x000073f2c00224d0    4091  19450880  19428040  org.apache.catalina.loader.ParallelWebappClassLoader</x:v>
      </x:c>
      <x:c r="U840" s="36" t="n">
        <x:v>27</x:v>
      </x:c>
      <x:c r="V840" s="36" t="n">
        <x:v>0</x:v>
      </x:c>
      <x:c r="W840" s="44"/>
      <x:c r="X840" s="36"/>
      <x:c r="Y840" s="36"/>
      <x:c r="Z840" s="44"/>
      <x:c r="AA840" s="49"/>
      <x:c r="AB840" s="43"/>
      <x:c r="AC840" s="34"/>
      <x:c r="AD840" s="34"/>
      <x:c r="AE840" s="34"/>
      <x:c r="AF840" s="34"/>
      <x:c r="AG840" s="34"/>
      <x:c r="AH840" s="34"/>
      <x:c r="AI840" s="34"/>
    </x:row>
    <x:row r="841">
      <x:c r="A841" s="34" t="str">
        <x:v>article1-unified-v4-2-fb3f101b-20260903-000401-default-f04-p3-cache2k</x:v>
      </x:c>
      <x:c r="B841" s="34" t="str">
        <x:v>default</x:v>
      </x:c>
      <x:c r="C841" s="34" t="str">
        <x:v>cache2k</x:v>
      </x:c>
      <x:c r="D841" s="34" t="str">
        <x:v>cache2k</x:v>
      </x:c>
      <x:c r="E841" s="36" t="n">
        <x:v>4</x:v>
      </x:c>
      <x:c r="F841" s="36" t="n">
        <x:v>4</x:v>
      </x:c>
      <x:c r="G841" s="36" t="n">
        <x:v>3</x:v>
      </x:c>
      <x:c r="H841" s="36" t="n">
        <x:v>3</x:v>
      </x:c>
      <x:c r="I841" s="34" t="str">
        <x:v>loaded</x:v>
      </x:c>
      <x:c r="J841" s="34" t="str">
        <x:v>loaded</x:v>
      </x:c>
      <x:c r="K841" s="36" t="n">
        <x:v>0</x:v>
      </x:c>
      <x:c r="L841" s="34" t="str">
        <x:v>initial</x:v>
      </x:c>
      <x:c r="M841" s="34" t="str">
        <x:v>article1-unified-v4-2-fb3f101b-20260903-000401-default-f04-p3-cache2k-3-loaded</x:v>
      </x:c>
      <x:c r="N841" s="38" t="n">
        <x:v>46268.0385009375</x:v>
      </x:c>
      <x:c r="O841" s="36" t="n">
        <x:v>0</x:v>
      </x:c>
      <x:c r="P841" s="43" t="n">
        <x:v>94183424</x:v>
      </x:c>
      <x:c r="Q841" s="43" t="n">
        <x:v>268435456</x:v>
      </x:c>
      <x:c r="R841" s="43" t="n">
        <x:v>446345216</x:v>
      </x:c>
      <x:c r="S841" s="36" t="n">
        <x:v>3</x:v>
      </x:c>
      <x:c r="T841" s="44" t="str">
        <x:v>0x0000000031116bd8  0x0000000031003818  0x000073f2b864b030    4449  21304320  21280920  org.apache.catalina.loader.ParallelWebappClassLoader | 0x0000000031116bd8  0x0000000031003818  0x000073f3485f1b90       0         0         0  org.apache.catalina.loader.ParallelWebappClassLoader | 0x0000000031116bd8  0x0000000031003818  0x000073f2c00224d0    4449  21302272  21274384  org.apache.catalina.loader.ParallelWebappClassLoader</x:v>
      </x:c>
      <x:c r="U841" s="36" t="n">
        <x:v>29</x:v>
      </x:c>
      <x:c r="V841" s="36" t="n">
        <x:v>0</x:v>
      </x:c>
      <x:c r="W841" s="44"/>
      <x:c r="X841" s="36"/>
      <x:c r="Y841" s="36"/>
      <x:c r="Z841" s="44"/>
      <x:c r="AA841" s="49"/>
      <x:c r="AB841" s="43"/>
      <x:c r="AC841" s="34"/>
      <x:c r="AD841" s="34"/>
      <x:c r="AE841" s="34"/>
      <x:c r="AF841" s="34"/>
      <x:c r="AG841" s="34"/>
      <x:c r="AH841" s="34"/>
      <x:c r="AI841" s="34"/>
    </x:row>
    <x:row r="842">
      <x:c r="A842" s="34" t="str">
        <x:v>article1-unified-v4-2-fb3f101b-20260903-000401-default-f04-p3-cache2k</x:v>
      </x:c>
      <x:c r="B842" s="34" t="str">
        <x:v>default</x:v>
      </x:c>
      <x:c r="C842" s="34" t="str">
        <x:v>cache2k</x:v>
      </x:c>
      <x:c r="D842" s="34" t="str">
        <x:v>cache2k</x:v>
      </x:c>
      <x:c r="E842" s="36" t="n">
        <x:v>4</x:v>
      </x:c>
      <x:c r="F842" s="36" t="n">
        <x:v>4</x:v>
      </x:c>
      <x:c r="G842" s="36" t="n">
        <x:v>3</x:v>
      </x:c>
      <x:c r="H842" s="36" t="n">
        <x:v>3</x:v>
      </x:c>
      <x:c r="I842" s="34" t="str">
        <x:v>afterUndeployEarly</x:v>
      </x:c>
      <x:c r="J842" s="34" t="str">
        <x:v>after-undeploy-early</x:v>
      </x:c>
      <x:c r="K842" s="36" t="n">
        <x:v>1</x:v>
      </x:c>
      <x:c r="L842" s="34" t="str">
        <x:v>early</x:v>
      </x:c>
      <x:c r="M842" s="34" t="str">
        <x:v>article1-unified-v4-2-fb3f101b-20260903-000401-default-f04-p3-cache2k-3-after-undeploy-early-2s</x:v>
      </x:c>
      <x:c r="N842" s="38" t="n">
        <x:v>46268.03858561342</x:v>
      </x:c>
      <x:c r="O842" s="36"/>
      <x:c r="P842" s="43"/>
      <x:c r="Q842" s="43"/>
      <x:c r="R842" s="43"/>
      <x:c r="S842" s="36"/>
      <x:c r="T842" s="44"/>
      <x:c r="U842" s="36" t="n">
        <x:v>27</x:v>
      </x:c>
      <x:c r="V842" s="36" t="n">
        <x:v>0</x:v>
      </x:c>
      <x:c r="W842" s="44"/>
      <x:c r="X842" s="36"/>
      <x:c r="Y842" s="36"/>
      <x:c r="Z842" s="44"/>
      <x:c r="AA842" s="49"/>
      <x:c r="AB842" s="43" t="n">
        <x:v>1</x:v>
      </x:c>
      <x:c r="AC842" s="34"/>
      <x:c r="AD842" s="34"/>
      <x:c r="AE842" s="34" t="str">
        <x:v>article1-unified-v4-2-fb3f101b-20260903-000401-default-f04-p3-cache2k-3-after-undeploy-early-2s-thread-dump.txt</x:v>
      </x:c>
      <x:c r="AF842" s="34" t="str">
        <x:v>article1-unified-v4-2-fb3f101b-20260903-000401-default-f04-p3-cache2k-3-after-undeploy-early-tomcat-log.txt</x:v>
      </x:c>
      <x:c r="AG842" s="34"/>
      <x:c r="AH842" s="34"/>
      <x:c r="AI842" s="34"/>
    </x:row>
    <x:row r="843">
      <x:c r="A843" s="34" t="str">
        <x:v>article1-unified-v4-2-fb3f101b-20260903-000401-default-f04-p3-cache2k</x:v>
      </x:c>
      <x:c r="B843" s="34" t="str">
        <x:v>default</x:v>
      </x:c>
      <x:c r="C843" s="34" t="str">
        <x:v>cache2k</x:v>
      </x:c>
      <x:c r="D843" s="34" t="str">
        <x:v>cache2k</x:v>
      </x:c>
      <x:c r="E843" s="36" t="n">
        <x:v>4</x:v>
      </x:c>
      <x:c r="F843" s="36" t="n">
        <x:v>4</x:v>
      </x:c>
      <x:c r="G843" s="36" t="n">
        <x:v>3</x:v>
      </x:c>
      <x:c r="H843" s="36" t="n">
        <x:v>3</x:v>
      </x:c>
      <x:c r="I843" s="34" t="str">
        <x:v>afterUndeploy</x:v>
      </x:c>
      <x:c r="J843" s="34" t="str">
        <x:v>after-undeploy-final</x:v>
      </x:c>
      <x:c r="K843" s="36" t="n">
        <x:v>1</x:v>
      </x:c>
      <x:c r="L843" s="34" t="str">
        <x:v>final</x:v>
      </x:c>
      <x:c r="M843" s="34" t="str">
        <x:v>article1-unified-v4-2-fb3f101b-20260903-000401-default-f04-p3-cache2k-3-after-undeploy-final-10s</x:v>
      </x:c>
      <x:c r="N843" s="38" t="n">
        <x:v>46268.038743680554</x:v>
      </x:c>
      <x:c r="O843" s="36" t="n">
        <x:v>2</x:v>
      </x:c>
      <x:c r="P843" s="43" t="n">
        <x:v>15524864</x:v>
      </x:c>
      <x:c r="Q843" s="43" t="n">
        <x:v>268435456</x:v>
      </x:c>
      <x:c r="R843" s="43" t="n">
        <x:v>419827712</x:v>
      </x:c>
      <x:c r="S843" s="36" t="n">
        <x:v>2</x:v>
      </x:c>
      <x:c r="T843" s="44" t="str">
        <x:v>0x0000000031116bd8  0x0000000031003818  0x000073f3485f1b90       0         0         0  org.apache.catalina.loader.ParallelWebappClassLoader | 0x0000000031116bd8  0x0000000031003818  0x000073f2c00224d0    4459  21318656  21303328  org.apache.catalina.loader.ParallelWebappClassLoader</x:v>
      </x:c>
      <x:c r="U843" s="36" t="n">
        <x:v>27</x:v>
      </x:c>
      <x:c r="V843" s="36" t="n">
        <x:v>0</x:v>
      </x:c>
      <x:c r="W843" s="44"/>
      <x:c r="X843" s="36" t="n">
        <x:v>1</x:v>
      </x:c>
      <x:c r="Y843" s="36" t="n">
        <x:v>1</x:v>
      </x:c>
      <x:c r="Z843" s="44" t="str">
        <x:v>/cache2k</x:v>
      </x:c>
      <x:c r="AA843" s="45" t="b">
        <x:v>1</x:v>
      </x:c>
      <x:c r="AB843" s="43"/>
      <x:c r="AC843" s="34" t="str">
        <x:v>article1-unified-v4-2-fb3f101b-20260903-000401-default-f04-p3-cache2k-3-after-undeploy-final-10s-heap-info.txt</x:v>
      </x:c>
      <x:c r="AD843" s="34" t="str">
        <x:v>article1-unified-v4-2-fb3f101b-20260903-000401-default-f04-p3-cache2k-3-after-undeploy-final-10s-classloader-stats.txt</x:v>
      </x:c>
      <x:c r="AE843" s="34" t="str">
        <x:v>article1-unified-v4-2-fb3f101b-20260903-000401-default-f04-p3-cache2k-3-after-undeploy-final-10s-thread-dump.txt</x:v>
      </x:c>
      <x:c r="AF843" s="34"/>
      <x:c r="AG843" s="34" t="str">
        <x:v>article1-unified-v4-2-fb3f101b-20260903-000401-default-f04-p3-cache2k-3-after-undeploy-final-10s-native-memory.txt</x:v>
      </x:c>
      <x:c r="AH843" s="34" t="str">
        <x:v>article1-unified-v4-2-fb3f101b-20260903-000401-default-f04-p3-cache2k-3-after-undeploy-final-10s-class-histogram.txt</x:v>
      </x:c>
      <x:c r="AI843" s="34" t="str">
        <x:v>article1-unified-v4-2-fb3f101b-20260903-000401-default-f04-p3-cache2k-3-after-undeploy-tomcat-findleaks.txt</x:v>
      </x:c>
    </x:row>
    <x:row r="844">
      <x:c r="A844" s="34" t="str">
        <x:v>article1-unified-v4-2-fb3f101b-20260903-000401-default-f04-p3-cache2k</x:v>
      </x:c>
      <x:c r="B844" s="34" t="str">
        <x:v>default</x:v>
      </x:c>
      <x:c r="C844" s="34" t="str">
        <x:v>cache2k</x:v>
      </x:c>
      <x:c r="D844" s="34" t="str">
        <x:v>cache2k</x:v>
      </x:c>
      <x:c r="E844" s="36" t="n">
        <x:v>4</x:v>
      </x:c>
      <x:c r="F844" s="36" t="n">
        <x:v>4</x:v>
      </x:c>
      <x:c r="G844" s="36" t="n">
        <x:v>3</x:v>
      </x:c>
      <x:c r="H844" s="36" t="n">
        <x:v>3</x:v>
      </x:c>
      <x:c r="I844" s="34" t="str">
        <x:v>redeployedLoaded</x:v>
      </x:c>
      <x:c r="J844" s="34" t="str">
        <x:v>redeployed-loaded</x:v>
      </x:c>
      <x:c r="K844" s="36" t="n">
        <x:v>0</x:v>
      </x:c>
      <x:c r="L844" s="34" t="str">
        <x:v>redeploy</x:v>
      </x:c>
      <x:c r="M844" s="34" t="str">
        <x:v>article1-unified-v4-2-fb3f101b-20260903-000401-default-f04-p3-cache2k-3-redeployed-loaded</x:v>
      </x:c>
      <x:c r="N844" s="38" t="n">
        <x:v>46268.039000509256</x:v>
      </x:c>
      <x:c r="O844" s="36" t="n">
        <x:v>0</x:v>
      </x:c>
      <x:c r="P844" s="43" t="n">
        <x:v>93393920</x:v>
      </x:c>
      <x:c r="Q844" s="43" t="n">
        <x:v>268435456</x:v>
      </x:c>
      <x:c r="R844" s="43" t="n">
        <x:v>442150912</x:v>
      </x:c>
      <x:c r="S844" s="36" t="n">
        <x:v>3</x:v>
      </x:c>
      <x:c r="T844" s="44" t="str">
        <x:v>0x0000000031116bd8  0x0000000031003818  0x000073f3485f1b90       0         0         0  org.apache.catalina.loader.ParallelWebappClassLoader | 0x0000000031116bd8  0x0000000031003818  0x000073f24c002220    4442  21269504  21264576  org.apache.catalina.loader.ParallelWebappClassLoader | 0x0000000031116bd8  0x0000000031003818  0x000073f2c00224d0    4459  21318656  21303328  org.apache.catalina.loader.ParallelWebappClassLoader</x:v>
      </x:c>
      <x:c r="U844" s="36" t="n">
        <x:v>29</x:v>
      </x:c>
      <x:c r="V844" s="36" t="n">
        <x:v>0</x:v>
      </x:c>
      <x:c r="W844" s="44"/>
      <x:c r="X844" s="36"/>
      <x:c r="Y844" s="36"/>
      <x:c r="Z844" s="44"/>
      <x:c r="AA844" s="49"/>
      <x:c r="AB844" s="43"/>
      <x:c r="AC844" s="34"/>
      <x:c r="AD844" s="34"/>
      <x:c r="AE844" s="34"/>
      <x:c r="AF844" s="34"/>
      <x:c r="AG844" s="34"/>
      <x:c r="AH844" s="34"/>
      <x:c r="AI844" s="34"/>
    </x:row>
    <x:row r="845">
      <x:c r="A845" s="34" t="str">
        <x:v>article1-unified-v4-2-fb3f101b-20260903-000401-default-f04-p3-cache2k</x:v>
      </x:c>
      <x:c r="B845" s="34" t="str">
        <x:v>default</x:v>
      </x:c>
      <x:c r="C845" s="34" t="str">
        <x:v>cache2k</x:v>
      </x:c>
      <x:c r="D845" s="34" t="str">
        <x:v>cache2k</x:v>
      </x:c>
      <x:c r="E845" s="36" t="n">
        <x:v>4</x:v>
      </x:c>
      <x:c r="F845" s="36" t="n">
        <x:v>4</x:v>
      </x:c>
      <x:c r="G845" s="36" t="n">
        <x:v>3</x:v>
      </x:c>
      <x:c r="H845" s="36" t="n">
        <x:v>3</x:v>
      </x:c>
      <x:c r="I845" s="34" t="str">
        <x:v>afterFinalUndeployEarly</x:v>
      </x:c>
      <x:c r="J845" s="34" t="str">
        <x:v>after-final-undeploy-early</x:v>
      </x:c>
      <x:c r="K845" s="36" t="n">
        <x:v>2</x:v>
      </x:c>
      <x:c r="L845" s="34" t="str">
        <x:v>early</x:v>
      </x:c>
      <x:c r="M845" s="34" t="str">
        <x:v>article1-unified-v4-2-fb3f101b-20260903-000401-default-f04-p3-cache2k-3-after-final-undeploy-early-2s</x:v>
      </x:c>
      <x:c r="N845" s="38" t="n">
        <x:v>46268.03908623842</x:v>
      </x:c>
      <x:c r="O845" s="36"/>
      <x:c r="P845" s="43"/>
      <x:c r="Q845" s="43"/>
      <x:c r="R845" s="43"/>
      <x:c r="S845" s="36"/>
      <x:c r="T845" s="44"/>
      <x:c r="U845" s="36" t="n">
        <x:v>27</x:v>
      </x:c>
      <x:c r="V845" s="36" t="n">
        <x:v>0</x:v>
      </x:c>
      <x:c r="W845" s="44"/>
      <x:c r="X845" s="36"/>
      <x:c r="Y845" s="36"/>
      <x:c r="Z845" s="44"/>
      <x:c r="AA845" s="49"/>
      <x:c r="AB845" s="43" t="n">
        <x:v>1</x:v>
      </x:c>
      <x:c r="AC845" s="34"/>
      <x:c r="AD845" s="34"/>
      <x:c r="AE845" s="34" t="str">
        <x:v>article1-unified-v4-2-fb3f101b-20260903-000401-default-f04-p3-cache2k-3-after-final-undeploy-early-2s-thread-dump.txt</x:v>
      </x:c>
      <x:c r="AF845" s="34" t="str">
        <x:v>article1-unified-v4-2-fb3f101b-20260903-000401-default-f04-p3-cache2k-3-after-final-undeploy-early-tomcat-log.txt</x:v>
      </x:c>
      <x:c r="AG845" s="34"/>
      <x:c r="AH845" s="34"/>
      <x:c r="AI845" s="34"/>
    </x:row>
    <x:row r="846">
      <x:c r="A846" s="34" t="str">
        <x:v>article1-unified-v4-2-fb3f101b-20260903-000401-default-f04-p3-cache2k</x:v>
      </x:c>
      <x:c r="B846" s="34" t="str">
        <x:v>default</x:v>
      </x:c>
      <x:c r="C846" s="34" t="str">
        <x:v>cache2k</x:v>
      </x:c>
      <x:c r="D846" s="34" t="str">
        <x:v>cache2k</x:v>
      </x:c>
      <x:c r="E846" s="36" t="n">
        <x:v>4</x:v>
      </x:c>
      <x:c r="F846" s="36" t="n">
        <x:v>4</x:v>
      </x:c>
      <x:c r="G846" s="36" t="n">
        <x:v>3</x:v>
      </x:c>
      <x:c r="H846" s="36" t="n">
        <x:v>3</x:v>
      </x:c>
      <x:c r="I846" s="34" t="str">
        <x:v>afterFinalUndeploy</x:v>
      </x:c>
      <x:c r="J846" s="34" t="str">
        <x:v>after-final-undeploy-final</x:v>
      </x:c>
      <x:c r="K846" s="36" t="n">
        <x:v>2</x:v>
      </x:c>
      <x:c r="L846" s="34" t="str">
        <x:v>final</x:v>
      </x:c>
      <x:c r="M846" s="34" t="str">
        <x:v>article1-unified-v4-2-fb3f101b-20260903-000401-default-f04-p3-cache2k-3-after-final-undeploy-final-10s</x:v>
      </x:c>
      <x:c r="N846" s="38" t="n">
        <x:v>46268.039241736114</x:v>
      </x:c>
      <x:c r="O846" s="36" t="n">
        <x:v>2</x:v>
      </x:c>
      <x:c r="P846" s="43" t="n">
        <x:v>15543296</x:v>
      </x:c>
      <x:c r="Q846" s="43" t="n">
        <x:v>268435456</x:v>
      </x:c>
      <x:c r="R846" s="43" t="n">
        <x:v>425164800</x:v>
      </x:c>
      <x:c r="S846" s="36" t="n">
        <x:v>2</x:v>
      </x:c>
      <x:c r="T846" s="44" t="str">
        <x:v>0x0000000031116bd8  0x0000000031003818  0x000073f3485f1b90       0         0         0  org.apache.catalina.loader.ParallelWebappClassLoader | 0x0000000031116bd8  0x0000000031003818  0x000073f24c002220    4452  21317632  21293520  org.apache.catalina.loader.ParallelWebappClassLoader</x:v>
      </x:c>
      <x:c r="U846" s="36" t="n">
        <x:v>27</x:v>
      </x:c>
      <x:c r="V846" s="36" t="n">
        <x:v>0</x:v>
      </x:c>
      <x:c r="W846" s="44"/>
      <x:c r="X846" s="36" t="n">
        <x:v>1</x:v>
      </x:c>
      <x:c r="Y846" s="36" t="n">
        <x:v>1</x:v>
      </x:c>
      <x:c r="Z846" s="44" t="str">
        <x:v>/cache2k</x:v>
      </x:c>
      <x:c r="AA846" s="45" t="b">
        <x:v>1</x:v>
      </x:c>
      <x:c r="AB846" s="43"/>
      <x:c r="AC846" s="34" t="str">
        <x:v>article1-unified-v4-2-fb3f101b-20260903-000401-default-f04-p3-cache2k-3-after-final-undeploy-final-10s-heap-info.txt</x:v>
      </x:c>
      <x:c r="AD846" s="34" t="str">
        <x:v>article1-unified-v4-2-fb3f101b-20260903-000401-default-f04-p3-cache2k-3-after-final-undeploy-final-10s-classloader-stats.txt</x:v>
      </x:c>
      <x:c r="AE846" s="34" t="str">
        <x:v>article1-unified-v4-2-fb3f101b-20260903-000401-default-f04-p3-cache2k-3-after-final-undeploy-final-10s-thread-dump.txt</x:v>
      </x:c>
      <x:c r="AF846" s="34"/>
      <x:c r="AG846" s="34" t="str">
        <x:v>article1-unified-v4-2-fb3f101b-20260903-000401-default-f04-p3-cache2k-3-after-final-undeploy-final-10s-native-memory.txt</x:v>
      </x:c>
      <x:c r="AH846" s="34" t="str">
        <x:v>article1-unified-v4-2-fb3f101b-20260903-000401-default-f04-p3-cache2k-3-after-final-undeploy-final-10s-class-histogram.txt</x:v>
      </x:c>
      <x:c r="AI846" s="34" t="str">
        <x:v>article1-unified-v4-2-fb3f101b-20260903-000401-default-f04-p3-cache2k-3-after-final-undeploy-tomcat-findleaks.txt</x:v>
      </x:c>
    </x:row>
    <x:row r="847">
      <x:c r="A847" s="34" t="str">
        <x:v>article1-unified-v4-2-fb3f101b-20260903-000401-default-f04-p3-cache2k</x:v>
      </x:c>
      <x:c r="B847" s="34" t="str">
        <x:v>default</x:v>
      </x:c>
      <x:c r="C847" s="34" t="str">
        <x:v>cache2k</x:v>
      </x:c>
      <x:c r="D847" s="34" t="str">
        <x:v>cache2k</x:v>
      </x:c>
      <x:c r="E847" s="36" t="n">
        <x:v>4</x:v>
      </x:c>
      <x:c r="F847" s="36" t="n">
        <x:v>4</x:v>
      </x:c>
      <x:c r="G847" s="36" t="n">
        <x:v>3</x:v>
      </x:c>
      <x:c r="H847" s="36" t="n">
        <x:v>4</x:v>
      </x:c>
      <x:c r="I847" s="34" t="str">
        <x:v>baseline</x:v>
      </x:c>
      <x:c r="J847" s="34" t="str">
        <x:v>cycle-baseline</x:v>
      </x:c>
      <x:c r="K847" s="36" t="n">
        <x:v>0</x:v>
      </x:c>
      <x:c r="L847" s="34" t="str">
        <x:v>baseline</x:v>
      </x:c>
      <x:c r="M847" s="34" t="str">
        <x:v>article1-unified-v4-2-fb3f101b-20260903-000401-default-f04-p3-cache2k-4-baseline</x:v>
      </x:c>
      <x:c r="N847" s="38" t="n">
        <x:v>46268.039288391206</x:v>
      </x:c>
      <x:c r="O847" s="36" t="n">
        <x:v>0</x:v>
      </x:c>
      <x:c r="P847" s="43" t="n">
        <x:v>15543296</x:v>
      </x:c>
      <x:c r="Q847" s="43" t="n">
        <x:v>268435456</x:v>
      </x:c>
      <x:c r="R847" s="43" t="n">
        <x:v>425123840</x:v>
      </x:c>
      <x:c r="S847" s="36" t="n">
        <x:v>2</x:v>
      </x:c>
      <x:c r="T847" s="44" t="str">
        <x:v>0x0000000031116bd8  0x0000000031003818  0x000073f3485f1b90       0         0         0  org.apache.catalina.loader.ParallelWebappClassLoader | 0x0000000031116bd8  0x0000000031003818  0x000073f24c002220    4452  21317632  21293520  org.apache.catalina.loader.ParallelWebappClassLoader</x:v>
      </x:c>
      <x:c r="U847" s="36" t="n">
        <x:v>27</x:v>
      </x:c>
      <x:c r="V847" s="36" t="n">
        <x:v>0</x:v>
      </x:c>
      <x:c r="W847" s="44"/>
      <x:c r="X847" s="36"/>
      <x:c r="Y847" s="36"/>
      <x:c r="Z847" s="44"/>
      <x:c r="AA847" s="49"/>
      <x:c r="AB847" s="43"/>
      <x:c r="AC847" s="34" t="str">
        <x:v>article1-unified-v4-2-fb3f101b-20260903-000401-default-f04-p3-cache2k-4-baseline-heap-info.txt</x:v>
      </x:c>
      <x:c r="AD847" s="34" t="str">
        <x:v>article1-unified-v4-2-fb3f101b-20260903-000401-default-f04-p3-cache2k-4-baseline-classloader-stats.txt</x:v>
      </x:c>
      <x:c r="AE847" s="34" t="str">
        <x:v>article1-unified-v4-2-fb3f101b-20260903-000401-default-f04-p3-cache2k-4-baseline-thread-dump.txt</x:v>
      </x:c>
      <x:c r="AF847" s="34"/>
      <x:c r="AG847" s="34" t="str">
        <x:v>article1-unified-v4-2-fb3f101b-20260903-000401-default-f04-p3-cache2k-4-baseline-native-memory.txt</x:v>
      </x:c>
      <x:c r="AH847" s="34"/>
      <x:c r="AI847" s="34"/>
    </x:row>
    <x:row r="848">
      <x:c r="A848" s="34" t="str">
        <x:v>article1-unified-v4-2-fb3f101b-20260903-000401-default-f04-p3-cache2k</x:v>
      </x:c>
      <x:c r="B848" s="34" t="str">
        <x:v>default</x:v>
      </x:c>
      <x:c r="C848" s="34" t="str">
        <x:v>cache2k</x:v>
      </x:c>
      <x:c r="D848" s="34" t="str">
        <x:v>cache2k</x:v>
      </x:c>
      <x:c r="E848" s="36" t="n">
        <x:v>4</x:v>
      </x:c>
      <x:c r="F848" s="36" t="n">
        <x:v>4</x:v>
      </x:c>
      <x:c r="G848" s="36" t="n">
        <x:v>3</x:v>
      </x:c>
      <x:c r="H848" s="36" t="n">
        <x:v>4</x:v>
      </x:c>
      <x:c r="I848" s="34" t="str">
        <x:v>deployedIdle</x:v>
      </x:c>
      <x:c r="J848" s="34" t="str">
        <x:v>deployed-idle</x:v>
      </x:c>
      <x:c r="K848" s="36" t="n">
        <x:v>0</x:v>
      </x:c>
      <x:c r="L848" s="34" t="str">
        <x:v>initial</x:v>
      </x:c>
      <x:c r="M848" s="34" t="str">
        <x:v>article1-unified-v4-2-fb3f101b-20260903-000401-default-f04-p3-cache2k-4-deployed-idle</x:v>
      </x:c>
      <x:c r="N848" s="38" t="n">
        <x:v>46268.03939050926</x:v>
      </x:c>
      <x:c r="O848" s="36" t="n">
        <x:v>0</x:v>
      </x:c>
      <x:c r="P848" s="43" t="n">
        <x:v>167940096</x:v>
      </x:c>
      <x:c r="Q848" s="43" t="n">
        <x:v>268435456</x:v>
      </x:c>
      <x:c r="R848" s="43" t="n">
        <x:v>458808320</x:v>
      </x:c>
      <x:c r="S848" s="36" t="n">
        <x:v>3</x:v>
      </x:c>
      <x:c r="T848" s="44" t="str">
        <x:v>0x0000000031116bd8  0x0000000031003818  0x000073f3485f1b90       0         0         0  org.apache.catalina.loader.ParallelWebappClassLoader | 0x0000000031116bd8  0x0000000031003818  0x000073f24c002220    4452  21317632  21293520  org.apache.catalina.loader.ParallelWebappClassLoader | 0x0000000031116bd8  0x0000000031003818  0x000073f268005410    4091  19445760  19428848  org.apache.catalina.loader.ParallelWebappClassLoader</x:v>
      </x:c>
      <x:c r="U848" s="36" t="n">
        <x:v>27</x:v>
      </x:c>
      <x:c r="V848" s="36" t="n">
        <x:v>0</x:v>
      </x:c>
      <x:c r="W848" s="44"/>
      <x:c r="X848" s="36"/>
      <x:c r="Y848" s="36"/>
      <x:c r="Z848" s="44"/>
      <x:c r="AA848" s="49"/>
      <x:c r="AB848" s="43"/>
      <x:c r="AC848" s="34"/>
      <x:c r="AD848" s="34"/>
      <x:c r="AE848" s="34"/>
      <x:c r="AF848" s="34"/>
      <x:c r="AG848" s="34"/>
      <x:c r="AH848" s="34"/>
      <x:c r="AI848" s="34"/>
    </x:row>
    <x:row r="849">
      <x:c r="A849" s="34" t="str">
        <x:v>article1-unified-v4-2-fb3f101b-20260903-000401-default-f04-p3-cache2k</x:v>
      </x:c>
      <x:c r="B849" s="34" t="str">
        <x:v>default</x:v>
      </x:c>
      <x:c r="C849" s="34" t="str">
        <x:v>cache2k</x:v>
      </x:c>
      <x:c r="D849" s="34" t="str">
        <x:v>cache2k</x:v>
      </x:c>
      <x:c r="E849" s="36" t="n">
        <x:v>4</x:v>
      </x:c>
      <x:c r="F849" s="36" t="n">
        <x:v>4</x:v>
      </x:c>
      <x:c r="G849" s="36" t="n">
        <x:v>3</x:v>
      </x:c>
      <x:c r="H849" s="36" t="n">
        <x:v>4</x:v>
      </x:c>
      <x:c r="I849" s="34" t="str">
        <x:v>loaded</x:v>
      </x:c>
      <x:c r="J849" s="34" t="str">
        <x:v>loaded</x:v>
      </x:c>
      <x:c r="K849" s="36" t="n">
        <x:v>0</x:v>
      </x:c>
      <x:c r="L849" s="34" t="str">
        <x:v>initial</x:v>
      </x:c>
      <x:c r="M849" s="34" t="str">
        <x:v>article1-unified-v4-2-fb3f101b-20260903-000401-default-f04-p3-cache2k-4-loaded</x:v>
      </x:c>
      <x:c r="N849" s="38" t="n">
        <x:v>46268.039541805556</x:v>
      </x:c>
      <x:c r="O849" s="36" t="n">
        <x:v>0</x:v>
      </x:c>
      <x:c r="P849" s="43" t="n">
        <x:v>93056000</x:v>
      </x:c>
      <x:c r="Q849" s="43" t="n">
        <x:v>268435456</x:v>
      </x:c>
      <x:c r="R849" s="43" t="n">
        <x:v>446170112</x:v>
      </x:c>
      <x:c r="S849" s="36" t="n">
        <x:v>3</x:v>
      </x:c>
      <x:c r="T849" s="44" t="str">
        <x:v>0x0000000031116bd8  0x0000000031003818  0x000073f3485f1b90       0         0         0  org.apache.catalina.loader.ParallelWebappClassLoader | 0x0000000031116bd8  0x0000000031003818  0x000073f24c002220    4452  21317632  21293520  org.apache.catalina.loader.ParallelWebappClassLoader | 0x0000000031116bd8  0x0000000031003818  0x000073f268005410    4442  21280768  21255944  org.apache.catalina.loader.ParallelWebappClassLoader</x:v>
      </x:c>
      <x:c r="U849" s="36" t="n">
        <x:v>28</x:v>
      </x:c>
      <x:c r="V849" s="36" t="n">
        <x:v>0</x:v>
      </x:c>
      <x:c r="W849" s="44"/>
      <x:c r="X849" s="36"/>
      <x:c r="Y849" s="36"/>
      <x:c r="Z849" s="44"/>
      <x:c r="AA849" s="49"/>
      <x:c r="AB849" s="43"/>
      <x:c r="AC849" s="34"/>
      <x:c r="AD849" s="34"/>
      <x:c r="AE849" s="34"/>
      <x:c r="AF849" s="34"/>
      <x:c r="AG849" s="34"/>
      <x:c r="AH849" s="34"/>
      <x:c r="AI849" s="34"/>
    </x:row>
    <x:row r="850">
      <x:c r="A850" s="34" t="str">
        <x:v>article1-unified-v4-2-fb3f101b-20260903-000401-default-f04-p3-cache2k</x:v>
      </x:c>
      <x:c r="B850" s="34" t="str">
        <x:v>default</x:v>
      </x:c>
      <x:c r="C850" s="34" t="str">
        <x:v>cache2k</x:v>
      </x:c>
      <x:c r="D850" s="34" t="str">
        <x:v>cache2k</x:v>
      </x:c>
      <x:c r="E850" s="36" t="n">
        <x:v>4</x:v>
      </x:c>
      <x:c r="F850" s="36" t="n">
        <x:v>4</x:v>
      </x:c>
      <x:c r="G850" s="36" t="n">
        <x:v>3</x:v>
      </x:c>
      <x:c r="H850" s="36" t="n">
        <x:v>4</x:v>
      </x:c>
      <x:c r="I850" s="34" t="str">
        <x:v>afterUndeployEarly</x:v>
      </x:c>
      <x:c r="J850" s="34" t="str">
        <x:v>after-undeploy-early</x:v>
      </x:c>
      <x:c r="K850" s="36" t="n">
        <x:v>1</x:v>
      </x:c>
      <x:c r="L850" s="34" t="str">
        <x:v>early</x:v>
      </x:c>
      <x:c r="M850" s="34" t="str">
        <x:v>article1-unified-v4-2-fb3f101b-20260903-000401-default-f04-p3-cache2k-4-after-undeploy-early-2s</x:v>
      </x:c>
      <x:c r="N850" s="38" t="n">
        <x:v>46268.03962328703</x:v>
      </x:c>
      <x:c r="O850" s="36"/>
      <x:c r="P850" s="43"/>
      <x:c r="Q850" s="43"/>
      <x:c r="R850" s="43"/>
      <x:c r="S850" s="36"/>
      <x:c r="T850" s="44"/>
      <x:c r="U850" s="36" t="n">
        <x:v>27</x:v>
      </x:c>
      <x:c r="V850" s="36" t="n">
        <x:v>0</x:v>
      </x:c>
      <x:c r="W850" s="44"/>
      <x:c r="X850" s="36"/>
      <x:c r="Y850" s="36"/>
      <x:c r="Z850" s="44"/>
      <x:c r="AA850" s="49"/>
      <x:c r="AB850" s="43" t="n">
        <x:v>1</x:v>
      </x:c>
      <x:c r="AC850" s="34"/>
      <x:c r="AD850" s="34"/>
      <x:c r="AE850" s="34" t="str">
        <x:v>article1-unified-v4-2-fb3f101b-20260903-000401-default-f04-p3-cache2k-4-after-undeploy-early-2s-thread-dump.txt</x:v>
      </x:c>
      <x:c r="AF850" s="34" t="str">
        <x:v>article1-unified-v4-2-fb3f101b-20260903-000401-default-f04-p3-cache2k-4-after-undeploy-early-tomcat-log.txt</x:v>
      </x:c>
      <x:c r="AG850" s="34"/>
      <x:c r="AH850" s="34"/>
      <x:c r="AI850" s="34"/>
    </x:row>
    <x:row r="851">
      <x:c r="A851" s="34" t="str">
        <x:v>article1-unified-v4-2-fb3f101b-20260903-000401-default-f04-p3-cache2k</x:v>
      </x:c>
      <x:c r="B851" s="34" t="str">
        <x:v>default</x:v>
      </x:c>
      <x:c r="C851" s="34" t="str">
        <x:v>cache2k</x:v>
      </x:c>
      <x:c r="D851" s="34" t="str">
        <x:v>cache2k</x:v>
      </x:c>
      <x:c r="E851" s="36" t="n">
        <x:v>4</x:v>
      </x:c>
      <x:c r="F851" s="36" t="n">
        <x:v>4</x:v>
      </x:c>
      <x:c r="G851" s="36" t="n">
        <x:v>3</x:v>
      </x:c>
      <x:c r="H851" s="36" t="n">
        <x:v>4</x:v>
      </x:c>
      <x:c r="I851" s="34" t="str">
        <x:v>afterUndeploy</x:v>
      </x:c>
      <x:c r="J851" s="34" t="str">
        <x:v>after-undeploy-final</x:v>
      </x:c>
      <x:c r="K851" s="36" t="n">
        <x:v>1</x:v>
      </x:c>
      <x:c r="L851" s="34" t="str">
        <x:v>final</x:v>
      </x:c>
      <x:c r="M851" s="34" t="str">
        <x:v>article1-unified-v4-2-fb3f101b-20260903-000401-default-f04-p3-cache2k-4-after-undeploy-final-10s</x:v>
      </x:c>
      <x:c r="N851" s="38" t="n">
        <x:v>46268.039777349535</x:v>
      </x:c>
      <x:c r="O851" s="36" t="n">
        <x:v>2</x:v>
      </x:c>
      <x:c r="P851" s="43" t="n">
        <x:v>15560704</x:v>
      </x:c>
      <x:c r="Q851" s="43" t="n">
        <x:v>268435456</x:v>
      </x:c>
      <x:c r="R851" s="43" t="n">
        <x:v>422680576</x:v>
      </x:c>
      <x:c r="S851" s="36" t="n">
        <x:v>2</x:v>
      </x:c>
      <x:c r="T851" s="44" t="str">
        <x:v>0x0000000031116bd8  0x0000000031003818  0x000073f3485f1b90       0         0         0  org.apache.catalina.loader.ParallelWebappClassLoader | 0x0000000031116bd8  0x0000000031003818  0x000073f268005410    4452  21297152  21284872  org.apache.catalina.loader.ParallelWebappClassLoader</x:v>
      </x:c>
      <x:c r="U851" s="36" t="n">
        <x:v>27</x:v>
      </x:c>
      <x:c r="V851" s="36" t="n">
        <x:v>0</x:v>
      </x:c>
      <x:c r="W851" s="44"/>
      <x:c r="X851" s="36" t="n">
        <x:v>1</x:v>
      </x:c>
      <x:c r="Y851" s="36" t="n">
        <x:v>1</x:v>
      </x:c>
      <x:c r="Z851" s="44" t="str">
        <x:v>/cache2k</x:v>
      </x:c>
      <x:c r="AA851" s="45" t="b">
        <x:v>1</x:v>
      </x:c>
      <x:c r="AB851" s="43"/>
      <x:c r="AC851" s="34" t="str">
        <x:v>article1-unified-v4-2-fb3f101b-20260903-000401-default-f04-p3-cache2k-4-after-undeploy-final-10s-heap-info.txt</x:v>
      </x:c>
      <x:c r="AD851" s="34" t="str">
        <x:v>article1-unified-v4-2-fb3f101b-20260903-000401-default-f04-p3-cache2k-4-after-undeploy-final-10s-classloader-stats.txt</x:v>
      </x:c>
      <x:c r="AE851" s="34" t="str">
        <x:v>article1-unified-v4-2-fb3f101b-20260903-000401-default-f04-p3-cache2k-4-after-undeploy-final-10s-thread-dump.txt</x:v>
      </x:c>
      <x:c r="AF851" s="34"/>
      <x:c r="AG851" s="34" t="str">
        <x:v>article1-unified-v4-2-fb3f101b-20260903-000401-default-f04-p3-cache2k-4-after-undeploy-final-10s-native-memory.txt</x:v>
      </x:c>
      <x:c r="AH851" s="34" t="str">
        <x:v>article1-unified-v4-2-fb3f101b-20260903-000401-default-f04-p3-cache2k-4-after-undeploy-final-10s-class-histogram.txt</x:v>
      </x:c>
      <x:c r="AI851" s="34" t="str">
        <x:v>article1-unified-v4-2-fb3f101b-20260903-000401-default-f04-p3-cache2k-4-after-undeploy-tomcat-findleaks.txt</x:v>
      </x:c>
    </x:row>
    <x:row r="852">
      <x:c r="A852" s="34" t="str">
        <x:v>article1-unified-v4-2-fb3f101b-20260903-000401-default-f04-p3-cache2k</x:v>
      </x:c>
      <x:c r="B852" s="34" t="str">
        <x:v>default</x:v>
      </x:c>
      <x:c r="C852" s="34" t="str">
        <x:v>cache2k</x:v>
      </x:c>
      <x:c r="D852" s="34" t="str">
        <x:v>cache2k</x:v>
      </x:c>
      <x:c r="E852" s="36" t="n">
        <x:v>4</x:v>
      </x:c>
      <x:c r="F852" s="36" t="n">
        <x:v>4</x:v>
      </x:c>
      <x:c r="G852" s="36" t="n">
        <x:v>3</x:v>
      </x:c>
      <x:c r="H852" s="36" t="n">
        <x:v>4</x:v>
      </x:c>
      <x:c r="I852" s="34" t="str">
        <x:v>redeployedLoaded</x:v>
      </x:c>
      <x:c r="J852" s="34" t="str">
        <x:v>redeployed-loaded</x:v>
      </x:c>
      <x:c r="K852" s="36" t="n">
        <x:v>0</x:v>
      </x:c>
      <x:c r="L852" s="34" t="str">
        <x:v>redeploy</x:v>
      </x:c>
      <x:c r="M852" s="34" t="str">
        <x:v>article1-unified-v4-2-fb3f101b-20260903-000401-default-f04-p3-cache2k-4-redeployed-loaded</x:v>
      </x:c>
      <x:c r="N852" s="38" t="n">
        <x:v>46268.04003107639</x:v>
      </x:c>
      <x:c r="O852" s="36" t="n">
        <x:v>0</x:v>
      </x:c>
      <x:c r="P852" s="43" t="n">
        <x:v>93666304</x:v>
      </x:c>
      <x:c r="Q852" s="43" t="n">
        <x:v>268435456</x:v>
      </x:c>
      <x:c r="R852" s="43" t="n">
        <x:v>444424192</x:v>
      </x:c>
      <x:c r="S852" s="36" t="n">
        <x:v>3</x:v>
      </x:c>
      <x:c r="T852" s="44" t="str">
        <x:v>0x0000000031116bd8  0x0000000031003818  0x000073f3485f1b90       0         0         0  org.apache.catalina.loader.ParallelWebappClassLoader | 0x0000000031116bd8  0x0000000031003818  0x000073f2880068c0    4439  21271552  21254848  org.apache.catalina.loader.ParallelWebappClassLoader | 0x0000000031116bd8  0x0000000031003818  0x000073f268005410    4452  21297152  21284872  org.apache.catalina.loader.ParallelWebappClassLoader</x:v>
      </x:c>
      <x:c r="U852" s="36" t="n">
        <x:v>29</x:v>
      </x:c>
      <x:c r="V852" s="36" t="n">
        <x:v>0</x:v>
      </x:c>
      <x:c r="W852" s="44"/>
      <x:c r="X852" s="36"/>
      <x:c r="Y852" s="36"/>
      <x:c r="Z852" s="44"/>
      <x:c r="AA852" s="49"/>
      <x:c r="AB852" s="43"/>
      <x:c r="AC852" s="34"/>
      <x:c r="AD852" s="34"/>
      <x:c r="AE852" s="34"/>
      <x:c r="AF852" s="34"/>
      <x:c r="AG852" s="34"/>
      <x:c r="AH852" s="34"/>
      <x:c r="AI852" s="34"/>
    </x:row>
    <x:row r="853">
      <x:c r="A853" s="34" t="str">
        <x:v>article1-unified-v4-2-fb3f101b-20260903-000401-default-f04-p3-cache2k</x:v>
      </x:c>
      <x:c r="B853" s="34" t="str">
        <x:v>default</x:v>
      </x:c>
      <x:c r="C853" s="34" t="str">
        <x:v>cache2k</x:v>
      </x:c>
      <x:c r="D853" s="34" t="str">
        <x:v>cache2k</x:v>
      </x:c>
      <x:c r="E853" s="36" t="n">
        <x:v>4</x:v>
      </x:c>
      <x:c r="F853" s="36" t="n">
        <x:v>4</x:v>
      </x:c>
      <x:c r="G853" s="36" t="n">
        <x:v>3</x:v>
      </x:c>
      <x:c r="H853" s="36" t="n">
        <x:v>4</x:v>
      </x:c>
      <x:c r="I853" s="34" t="str">
        <x:v>afterFinalUndeployEarly</x:v>
      </x:c>
      <x:c r="J853" s="34" t="str">
        <x:v>after-final-undeploy-early</x:v>
      </x:c>
      <x:c r="K853" s="36" t="n">
        <x:v>2</x:v>
      </x:c>
      <x:c r="L853" s="34" t="str">
        <x:v>early</x:v>
      </x:c>
      <x:c r="M853" s="34" t="str">
        <x:v>article1-unified-v4-2-fb3f101b-20260903-000401-default-f04-p3-cache2k-4-after-final-undeploy-early-2s</x:v>
      </x:c>
      <x:c r="N853" s="38" t="n">
        <x:v>46268.04011460648</x:v>
      </x:c>
      <x:c r="O853" s="36"/>
      <x:c r="P853" s="43"/>
      <x:c r="Q853" s="43"/>
      <x:c r="R853" s="43"/>
      <x:c r="S853" s="36"/>
      <x:c r="T853" s="44"/>
      <x:c r="U853" s="36" t="n">
        <x:v>27</x:v>
      </x:c>
      <x:c r="V853" s="36" t="n">
        <x:v>0</x:v>
      </x:c>
      <x:c r="W853" s="44"/>
      <x:c r="X853" s="36"/>
      <x:c r="Y853" s="36"/>
      <x:c r="Z853" s="44"/>
      <x:c r="AA853" s="49"/>
      <x:c r="AB853" s="43" t="n">
        <x:v>1</x:v>
      </x:c>
      <x:c r="AC853" s="34"/>
      <x:c r="AD853" s="34"/>
      <x:c r="AE853" s="34" t="str">
        <x:v>article1-unified-v4-2-fb3f101b-20260903-000401-default-f04-p3-cache2k-4-after-final-undeploy-early-2s-thread-dump.txt</x:v>
      </x:c>
      <x:c r="AF853" s="34" t="str">
        <x:v>article1-unified-v4-2-fb3f101b-20260903-000401-default-f04-p3-cache2k-4-after-final-undeploy-early-tomcat-log.txt</x:v>
      </x:c>
      <x:c r="AG853" s="34"/>
      <x:c r="AH853" s="34"/>
      <x:c r="AI853" s="34"/>
    </x:row>
    <x:row r="854">
      <x:c r="A854" s="34" t="str">
        <x:v>article1-unified-v4-2-fb3f101b-20260903-000401-default-f04-p3-cache2k</x:v>
      </x:c>
      <x:c r="B854" s="34" t="str">
        <x:v>default</x:v>
      </x:c>
      <x:c r="C854" s="34" t="str">
        <x:v>cache2k</x:v>
      </x:c>
      <x:c r="D854" s="34" t="str">
        <x:v>cache2k</x:v>
      </x:c>
      <x:c r="E854" s="36" t="n">
        <x:v>4</x:v>
      </x:c>
      <x:c r="F854" s="36" t="n">
        <x:v>4</x:v>
      </x:c>
      <x:c r="G854" s="36" t="n">
        <x:v>3</x:v>
      </x:c>
      <x:c r="H854" s="36" t="n">
        <x:v>4</x:v>
      </x:c>
      <x:c r="I854" s="34" t="str">
        <x:v>afterFinalUndeploy</x:v>
      </x:c>
      <x:c r="J854" s="34" t="str">
        <x:v>after-final-undeploy-final</x:v>
      </x:c>
      <x:c r="K854" s="36" t="n">
        <x:v>2</x:v>
      </x:c>
      <x:c r="L854" s="34" t="str">
        <x:v>final</x:v>
      </x:c>
      <x:c r="M854" s="34" t="str">
        <x:v>article1-unified-v4-2-fb3f101b-20260903-000401-default-f04-p3-cache2k-4-after-final-undeploy-final-10s</x:v>
      </x:c>
      <x:c r="N854" s="38" t="n">
        <x:v>46268.04026847222</x:v>
      </x:c>
      <x:c r="O854" s="36" t="n">
        <x:v>2</x:v>
      </x:c>
      <x:c r="P854" s="43" t="n">
        <x:v>15564800</x:v>
      </x:c>
      <x:c r="Q854" s="43" t="n">
        <x:v>268435456</x:v>
      </x:c>
      <x:c r="R854" s="43" t="n">
        <x:v>427803648</x:v>
      </x:c>
      <x:c r="S854" s="36" t="n">
        <x:v>2</x:v>
      </x:c>
      <x:c r="T854" s="44" t="str">
        <x:v>0x0000000031116bd8  0x0000000031003818  0x000073f3485f1b90       0         0         0  org.apache.catalina.loader.ParallelWebappClassLoader | 0x0000000031116bd8  0x0000000031003818  0x000073f2880068c0    4449  21304320  21283800  org.apache.catalina.loader.ParallelWebappClassLoader</x:v>
      </x:c>
      <x:c r="U854" s="36" t="n">
        <x:v>27</x:v>
      </x:c>
      <x:c r="V854" s="36" t="n">
        <x:v>0</x:v>
      </x:c>
      <x:c r="W854" s="44"/>
      <x:c r="X854" s="36" t="n">
        <x:v>1</x:v>
      </x:c>
      <x:c r="Y854" s="36" t="n">
        <x:v>1</x:v>
      </x:c>
      <x:c r="Z854" s="44" t="str">
        <x:v>/cache2k</x:v>
      </x:c>
      <x:c r="AA854" s="45" t="b">
        <x:v>1</x:v>
      </x:c>
      <x:c r="AB854" s="43"/>
      <x:c r="AC854" s="34" t="str">
        <x:v>article1-unified-v4-2-fb3f101b-20260903-000401-default-f04-p3-cache2k-4-after-final-undeploy-final-10s-heap-info.txt</x:v>
      </x:c>
      <x:c r="AD854" s="34" t="str">
        <x:v>article1-unified-v4-2-fb3f101b-20260903-000401-default-f04-p3-cache2k-4-after-final-undeploy-final-10s-classloader-stats.txt</x:v>
      </x:c>
      <x:c r="AE854" s="34" t="str">
        <x:v>article1-unified-v4-2-fb3f101b-20260903-000401-default-f04-p3-cache2k-4-after-final-undeploy-final-10s-thread-dump.txt</x:v>
      </x:c>
      <x:c r="AF854" s="34"/>
      <x:c r="AG854" s="34" t="str">
        <x:v>article1-unified-v4-2-fb3f101b-20260903-000401-default-f04-p3-cache2k-4-after-final-undeploy-final-10s-native-memory.txt</x:v>
      </x:c>
      <x:c r="AH854" s="34" t="str">
        <x:v>article1-unified-v4-2-fb3f101b-20260903-000401-default-f04-p3-cache2k-4-after-final-undeploy-final-10s-class-histogram.txt</x:v>
      </x:c>
      <x:c r="AI854" s="34" t="str">
        <x:v>article1-unified-v4-2-fb3f101b-20260903-000401-default-f04-p3-cache2k-4-after-final-undeploy-tomcat-findleaks.txt</x:v>
      </x:c>
    </x:row>
    <x:row r="855">
      <x:c r="A855" s="34" t="str">
        <x:v>article1-unified-v4-2-fb3f101b-20260903-000401-default-f04-p3-cache2k</x:v>
      </x:c>
      <x:c r="B855" s="34" t="str">
        <x:v>default</x:v>
      </x:c>
      <x:c r="C855" s="34" t="str">
        <x:v>cache2k</x:v>
      </x:c>
      <x:c r="D855" s="34" t="str">
        <x:v>cache2k</x:v>
      </x:c>
      <x:c r="E855" s="36" t="n">
        <x:v>4</x:v>
      </x:c>
      <x:c r="F855" s="36" t="n">
        <x:v>4</x:v>
      </x:c>
      <x:c r="G855" s="36" t="n">
        <x:v>3</x:v>
      </x:c>
      <x:c r="H855" s="36" t="n">
        <x:v>5</x:v>
      </x:c>
      <x:c r="I855" s="34" t="str">
        <x:v>baseline</x:v>
      </x:c>
      <x:c r="J855" s="34" t="str">
        <x:v>cycle-baseline</x:v>
      </x:c>
      <x:c r="K855" s="36" t="n">
        <x:v>0</x:v>
      </x:c>
      <x:c r="L855" s="34" t="str">
        <x:v>baseline</x:v>
      </x:c>
      <x:c r="M855" s="34" t="str">
        <x:v>article1-unified-v4-2-fb3f101b-20260903-000401-default-f04-p3-cache2k-5-baseline</x:v>
      </x:c>
      <x:c r="N855" s="38" t="n">
        <x:v>46268.040315162034</x:v>
      </x:c>
      <x:c r="O855" s="36" t="n">
        <x:v>0</x:v>
      </x:c>
      <x:c r="P855" s="43" t="n">
        <x:v>15564800</x:v>
      </x:c>
      <x:c r="Q855" s="43" t="n">
        <x:v>268435456</x:v>
      </x:c>
      <x:c r="R855" s="43" t="n">
        <x:v>427803648</x:v>
      </x:c>
      <x:c r="S855" s="36" t="n">
        <x:v>2</x:v>
      </x:c>
      <x:c r="T855" s="44" t="str">
        <x:v>0x0000000031116bd8  0x0000000031003818  0x000073f3485f1b90       0         0         0  org.apache.catalina.loader.ParallelWebappClassLoader | 0x0000000031116bd8  0x0000000031003818  0x000073f2880068c0    4449  21304320  21283800  org.apache.catalina.loader.ParallelWebappClassLoader</x:v>
      </x:c>
      <x:c r="U855" s="36" t="n">
        <x:v>27</x:v>
      </x:c>
      <x:c r="V855" s="36" t="n">
        <x:v>0</x:v>
      </x:c>
      <x:c r="W855" s="44"/>
      <x:c r="X855" s="36"/>
      <x:c r="Y855" s="36"/>
      <x:c r="Z855" s="44"/>
      <x:c r="AA855" s="49"/>
      <x:c r="AB855" s="43"/>
      <x:c r="AC855" s="34" t="str">
        <x:v>article1-unified-v4-2-fb3f101b-20260903-000401-default-f04-p3-cache2k-5-baseline-heap-info.txt</x:v>
      </x:c>
      <x:c r="AD855" s="34" t="str">
        <x:v>article1-unified-v4-2-fb3f101b-20260903-000401-default-f04-p3-cache2k-5-baseline-classloader-stats.txt</x:v>
      </x:c>
      <x:c r="AE855" s="34" t="str">
        <x:v>article1-unified-v4-2-fb3f101b-20260903-000401-default-f04-p3-cache2k-5-baseline-thread-dump.txt</x:v>
      </x:c>
      <x:c r="AF855" s="34"/>
      <x:c r="AG855" s="34" t="str">
        <x:v>article1-unified-v4-2-fb3f101b-20260903-000401-default-f04-p3-cache2k-5-baseline-native-memory.txt</x:v>
      </x:c>
      <x:c r="AH855" s="34"/>
      <x:c r="AI855" s="34"/>
    </x:row>
    <x:row r="856">
      <x:c r="A856" s="34" t="str">
        <x:v>article1-unified-v4-2-fb3f101b-20260903-000401-default-f04-p3-cache2k</x:v>
      </x:c>
      <x:c r="B856" s="34" t="str">
        <x:v>default</x:v>
      </x:c>
      <x:c r="C856" s="34" t="str">
        <x:v>cache2k</x:v>
      </x:c>
      <x:c r="D856" s="34" t="str">
        <x:v>cache2k</x:v>
      </x:c>
      <x:c r="E856" s="36" t="n">
        <x:v>4</x:v>
      </x:c>
      <x:c r="F856" s="36" t="n">
        <x:v>4</x:v>
      </x:c>
      <x:c r="G856" s="36" t="n">
        <x:v>3</x:v>
      </x:c>
      <x:c r="H856" s="36" t="n">
        <x:v>5</x:v>
      </x:c>
      <x:c r="I856" s="34" t="str">
        <x:v>deployedIdle</x:v>
      </x:c>
      <x:c r="J856" s="34" t="str">
        <x:v>deployed-idle</x:v>
      </x:c>
      <x:c r="K856" s="36" t="n">
        <x:v>0</x:v>
      </x:c>
      <x:c r="L856" s="34" t="str">
        <x:v>initial</x:v>
      </x:c>
      <x:c r="M856" s="34" t="str">
        <x:v>article1-unified-v4-2-fb3f101b-20260903-000401-default-f04-p3-cache2k-5-deployed-idle</x:v>
      </x:c>
      <x:c r="N856" s="38" t="n">
        <x:v>46268.04041570602</x:v>
      </x:c>
      <x:c r="O856" s="36" t="n">
        <x:v>0</x:v>
      </x:c>
      <x:c r="P856" s="43" t="n">
        <x:v>163931136</x:v>
      </x:c>
      <x:c r="Q856" s="43" t="n">
        <x:v>268435456</x:v>
      </x:c>
      <x:c r="R856" s="43" t="n">
        <x:v>464125952</x:v>
      </x:c>
      <x:c r="S856" s="36" t="n">
        <x:v>3</x:v>
      </x:c>
      <x:c r="T856" s="44" t="str">
        <x:v>0x0000000031116bd8  0x0000000031003818  0x000073f2bc006810    4091  19410944  19408640  org.apache.catalina.loader.ParallelWebappClassLoader | 0x0000000031116bd8  0x0000000031003818  0x000073f3485f1b90       0         0         0  org.apache.catalina.loader.ParallelWebappClassLoader | 0x0000000031116bd8  0x0000000031003818  0x000073f2880068c0    4449  21304320  21283800  org.apache.catalina.loader.ParallelWebappClassLoader</x:v>
      </x:c>
      <x:c r="U856" s="36" t="n">
        <x:v>28</x:v>
      </x:c>
      <x:c r="V856" s="36" t="n">
        <x:v>0</x:v>
      </x:c>
      <x:c r="W856" s="44"/>
      <x:c r="X856" s="36"/>
      <x:c r="Y856" s="36"/>
      <x:c r="Z856" s="44"/>
      <x:c r="AA856" s="49"/>
      <x:c r="AB856" s="43"/>
      <x:c r="AC856" s="34"/>
      <x:c r="AD856" s="34"/>
      <x:c r="AE856" s="34"/>
      <x:c r="AF856" s="34"/>
      <x:c r="AG856" s="34"/>
      <x:c r="AH856" s="34"/>
      <x:c r="AI856" s="34"/>
    </x:row>
    <x:row r="857">
      <x:c r="A857" s="34" t="str">
        <x:v>article1-unified-v4-2-fb3f101b-20260903-000401-default-f04-p3-cache2k</x:v>
      </x:c>
      <x:c r="B857" s="34" t="str">
        <x:v>default</x:v>
      </x:c>
      <x:c r="C857" s="34" t="str">
        <x:v>cache2k</x:v>
      </x:c>
      <x:c r="D857" s="34" t="str">
        <x:v>cache2k</x:v>
      </x:c>
      <x:c r="E857" s="36" t="n">
        <x:v>4</x:v>
      </x:c>
      <x:c r="F857" s="36" t="n">
        <x:v>4</x:v>
      </x:c>
      <x:c r="G857" s="36" t="n">
        <x:v>3</x:v>
      </x:c>
      <x:c r="H857" s="36" t="n">
        <x:v>5</x:v>
      </x:c>
      <x:c r="I857" s="34" t="str">
        <x:v>loaded</x:v>
      </x:c>
      <x:c r="J857" s="34" t="str">
        <x:v>loaded</x:v>
      </x:c>
      <x:c r="K857" s="36" t="n">
        <x:v>0</x:v>
      </x:c>
      <x:c r="L857" s="34" t="str">
        <x:v>initial</x:v>
      </x:c>
      <x:c r="M857" s="34" t="str">
        <x:v>article1-unified-v4-2-fb3f101b-20260903-000401-default-f04-p3-cache2k-5-loaded</x:v>
      </x:c>
      <x:c r="N857" s="38" t="n">
        <x:v>46268.040565243056</x:v>
      </x:c>
      <x:c r="O857" s="36" t="n">
        <x:v>0</x:v>
      </x:c>
      <x:c r="P857" s="43" t="n">
        <x:v>95293440</x:v>
      </x:c>
      <x:c r="Q857" s="43" t="n">
        <x:v>268435456</x:v>
      </x:c>
      <x:c r="R857" s="43" t="n">
        <x:v>447331328</x:v>
      </x:c>
      <x:c r="S857" s="36" t="n">
        <x:v>3</x:v>
      </x:c>
      <x:c r="T857" s="44" t="str">
        <x:v>0x0000000031116bd8  0x0000000031003818  0x000073f3485f1b90       0         0         0  org.apache.catalina.loader.ParallelWebappClassLoader | 0x0000000031116bd8  0x0000000031003818  0x000073f2bc006810    4439  21245952  21230512  org.apache.catalina.loader.ParallelWebappClassLoader | 0x0000000031116bd8  0x0000000031003818  0x000073f2880068c0    4449  21304320  21283800  org.apache.catalina.loader.ParallelWebappClassLoader</x:v>
      </x:c>
      <x:c r="U857" s="36" t="n">
        <x:v>29</x:v>
      </x:c>
      <x:c r="V857" s="36" t="n">
        <x:v>0</x:v>
      </x:c>
      <x:c r="W857" s="44"/>
      <x:c r="X857" s="36"/>
      <x:c r="Y857" s="36"/>
      <x:c r="Z857" s="44"/>
      <x:c r="AA857" s="49"/>
      <x:c r="AB857" s="43"/>
      <x:c r="AC857" s="34"/>
      <x:c r="AD857" s="34"/>
      <x:c r="AE857" s="34"/>
      <x:c r="AF857" s="34"/>
      <x:c r="AG857" s="34"/>
      <x:c r="AH857" s="34"/>
      <x:c r="AI857" s="34"/>
    </x:row>
    <x:row r="858">
      <x:c r="A858" s="34" t="str">
        <x:v>article1-unified-v4-2-fb3f101b-20260903-000401-default-f04-p3-cache2k</x:v>
      </x:c>
      <x:c r="B858" s="34" t="str">
        <x:v>default</x:v>
      </x:c>
      <x:c r="C858" s="34" t="str">
        <x:v>cache2k</x:v>
      </x:c>
      <x:c r="D858" s="34" t="str">
        <x:v>cache2k</x:v>
      </x:c>
      <x:c r="E858" s="36" t="n">
        <x:v>4</x:v>
      </x:c>
      <x:c r="F858" s="36" t="n">
        <x:v>4</x:v>
      </x:c>
      <x:c r="G858" s="36" t="n">
        <x:v>3</x:v>
      </x:c>
      <x:c r="H858" s="36" t="n">
        <x:v>5</x:v>
      </x:c>
      <x:c r="I858" s="34" t="str">
        <x:v>afterUndeployEarly</x:v>
      </x:c>
      <x:c r="J858" s="34" t="str">
        <x:v>after-undeploy-early</x:v>
      </x:c>
      <x:c r="K858" s="36" t="n">
        <x:v>1</x:v>
      </x:c>
      <x:c r="L858" s="34" t="str">
        <x:v>early</x:v>
      </x:c>
      <x:c r="M858" s="34" t="str">
        <x:v>article1-unified-v4-2-fb3f101b-20260903-000401-default-f04-p3-cache2k-5-after-undeploy-early-2s</x:v>
      </x:c>
      <x:c r="N858" s="38" t="n">
        <x:v>46268.04065407407</x:v>
      </x:c>
      <x:c r="O858" s="36"/>
      <x:c r="P858" s="43"/>
      <x:c r="Q858" s="43"/>
      <x:c r="R858" s="43"/>
      <x:c r="S858" s="36"/>
      <x:c r="T858" s="44"/>
      <x:c r="U858" s="36" t="n">
        <x:v>27</x:v>
      </x:c>
      <x:c r="V858" s="36" t="n">
        <x:v>0</x:v>
      </x:c>
      <x:c r="W858" s="44"/>
      <x:c r="X858" s="36"/>
      <x:c r="Y858" s="36"/>
      <x:c r="Z858" s="44"/>
      <x:c r="AA858" s="49"/>
      <x:c r="AB858" s="43" t="n">
        <x:v>1</x:v>
      </x:c>
      <x:c r="AC858" s="34"/>
      <x:c r="AD858" s="34"/>
      <x:c r="AE858" s="34" t="str">
        <x:v>article1-unified-v4-2-fb3f101b-20260903-000401-default-f04-p3-cache2k-5-after-undeploy-early-2s-thread-dump.txt</x:v>
      </x:c>
      <x:c r="AF858" s="34" t="str">
        <x:v>article1-unified-v4-2-fb3f101b-20260903-000401-default-f04-p3-cache2k-5-after-undeploy-early-tomcat-log.txt</x:v>
      </x:c>
      <x:c r="AG858" s="34"/>
      <x:c r="AH858" s="34"/>
      <x:c r="AI858" s="34"/>
    </x:row>
    <x:row r="859">
      <x:c r="A859" s="34" t="str">
        <x:v>article1-unified-v4-2-fb3f101b-20260903-000401-default-f04-p3-cache2k</x:v>
      </x:c>
      <x:c r="B859" s="34" t="str">
        <x:v>default</x:v>
      </x:c>
      <x:c r="C859" s="34" t="str">
        <x:v>cache2k</x:v>
      </x:c>
      <x:c r="D859" s="34" t="str">
        <x:v>cache2k</x:v>
      </x:c>
      <x:c r="E859" s="36" t="n">
        <x:v>4</x:v>
      </x:c>
      <x:c r="F859" s="36" t="n">
        <x:v>4</x:v>
      </x:c>
      <x:c r="G859" s="36" t="n">
        <x:v>3</x:v>
      </x:c>
      <x:c r="H859" s="36" t="n">
        <x:v>5</x:v>
      </x:c>
      <x:c r="I859" s="34" t="str">
        <x:v>afterUndeploy</x:v>
      </x:c>
      <x:c r="J859" s="34" t="str">
        <x:v>after-undeploy-final</x:v>
      </x:c>
      <x:c r="K859" s="36" t="n">
        <x:v>1</x:v>
      </x:c>
      <x:c r="L859" s="34" t="str">
        <x:v>final</x:v>
      </x:c>
      <x:c r="M859" s="34" t="str">
        <x:v>article1-unified-v4-2-fb3f101b-20260903-000401-default-f04-p3-cache2k-5-after-undeploy-final-10s</x:v>
      </x:c>
      <x:c r="N859" s="38" t="n">
        <x:v>46268.04081491898</x:v>
      </x:c>
      <x:c r="O859" s="36" t="n">
        <x:v>2</x:v>
      </x:c>
      <x:c r="P859" s="43" t="n">
        <x:v>15583232</x:v>
      </x:c>
      <x:c r="Q859" s="43" t="n">
        <x:v>268435456</x:v>
      </x:c>
      <x:c r="R859" s="43" t="n">
        <x:v>424997888</x:v>
      </x:c>
      <x:c r="S859" s="36" t="n">
        <x:v>2</x:v>
      </x:c>
      <x:c r="T859" s="44" t="str">
        <x:v>0x0000000031116bd8  0x0000000031003818  0x000073f3485f1b90       0         0         0  org.apache.catalina.loader.ParallelWebappClassLoader | 0x0000000031116bd8  0x0000000031003818  0x000073f2bc006810    4449  21278720  21259456  org.apache.catalina.loader.ParallelWebappClassLoader</x:v>
      </x:c>
      <x:c r="U859" s="36" t="n">
        <x:v>27</x:v>
      </x:c>
      <x:c r="V859" s="36" t="n">
        <x:v>0</x:v>
      </x:c>
      <x:c r="W859" s="44"/>
      <x:c r="X859" s="36" t="n">
        <x:v>1</x:v>
      </x:c>
      <x:c r="Y859" s="36" t="n">
        <x:v>1</x:v>
      </x:c>
      <x:c r="Z859" s="44" t="str">
        <x:v>/cache2k</x:v>
      </x:c>
      <x:c r="AA859" s="45" t="b">
        <x:v>1</x:v>
      </x:c>
      <x:c r="AB859" s="43"/>
      <x:c r="AC859" s="34" t="str">
        <x:v>article1-unified-v4-2-fb3f101b-20260903-000401-default-f04-p3-cache2k-5-after-undeploy-final-10s-heap-info.txt</x:v>
      </x:c>
      <x:c r="AD859" s="34" t="str">
        <x:v>article1-unified-v4-2-fb3f101b-20260903-000401-default-f04-p3-cache2k-5-after-undeploy-final-10s-classloader-stats.txt</x:v>
      </x:c>
      <x:c r="AE859" s="34" t="str">
        <x:v>article1-unified-v4-2-fb3f101b-20260903-000401-default-f04-p3-cache2k-5-after-undeploy-final-10s-thread-dump.txt</x:v>
      </x:c>
      <x:c r="AF859" s="34"/>
      <x:c r="AG859" s="34" t="str">
        <x:v>article1-unified-v4-2-fb3f101b-20260903-000401-default-f04-p3-cache2k-5-after-undeploy-final-10s-native-memory.txt</x:v>
      </x:c>
      <x:c r="AH859" s="34" t="str">
        <x:v>article1-unified-v4-2-fb3f101b-20260903-000401-default-f04-p3-cache2k-5-after-undeploy-final-10s-class-histogram.txt</x:v>
      </x:c>
      <x:c r="AI859" s="34" t="str">
        <x:v>article1-unified-v4-2-fb3f101b-20260903-000401-default-f04-p3-cache2k-5-after-undeploy-tomcat-findleaks.txt</x:v>
      </x:c>
    </x:row>
    <x:row r="860">
      <x:c r="A860" s="34" t="str">
        <x:v>article1-unified-v4-2-fb3f101b-20260903-000401-default-f04-p3-cache2k</x:v>
      </x:c>
      <x:c r="B860" s="34" t="str">
        <x:v>default</x:v>
      </x:c>
      <x:c r="C860" s="34" t="str">
        <x:v>cache2k</x:v>
      </x:c>
      <x:c r="D860" s="34" t="str">
        <x:v>cache2k</x:v>
      </x:c>
      <x:c r="E860" s="36" t="n">
        <x:v>4</x:v>
      </x:c>
      <x:c r="F860" s="36" t="n">
        <x:v>4</x:v>
      </x:c>
      <x:c r="G860" s="36" t="n">
        <x:v>3</x:v>
      </x:c>
      <x:c r="H860" s="36" t="n">
        <x:v>5</x:v>
      </x:c>
      <x:c r="I860" s="34" t="str">
        <x:v>redeployedLoaded</x:v>
      </x:c>
      <x:c r="J860" s="34" t="str">
        <x:v>redeployed-loaded</x:v>
      </x:c>
      <x:c r="K860" s="36" t="n">
        <x:v>0</x:v>
      </x:c>
      <x:c r="L860" s="34" t="str">
        <x:v>redeploy</x:v>
      </x:c>
      <x:c r="M860" s="34" t="str">
        <x:v>article1-unified-v4-2-fb3f101b-20260903-000401-default-f04-p3-cache2k-5-redeployed-loaded</x:v>
      </x:c>
      <x:c r="N860" s="38" t="n">
        <x:v>46268.041073657405</x:v>
      </x:c>
      <x:c r="O860" s="36" t="n">
        <x:v>0</x:v>
      </x:c>
      <x:c r="P860" s="43" t="n">
        <x:v>94542848</x:v>
      </x:c>
      <x:c r="Q860" s="43" t="n">
        <x:v>268435456</x:v>
      </x:c>
      <x:c r="R860" s="43" t="n">
        <x:v>445764608</x:v>
      </x:c>
      <x:c r="S860" s="36" t="n">
        <x:v>3</x:v>
      </x:c>
      <x:c r="T860" s="44" t="str">
        <x:v>0x0000000031116bd8  0x0000000031003818  0x000073f3485f1b90       0         0         0  org.apache.catalina.loader.ParallelWebappClassLoader | 0x0000000031116bd8  0x0000000031003818  0x000073f2bc006810    4449  21278720  21259456  org.apache.catalina.loader.ParallelWebappClassLoader | 0x0000000031116bd8  0x0000000031003818  0x000073f250004e30    4438  21273600  21250392  org.apache.catalina.loader.ParallelWebappClassLoader</x:v>
      </x:c>
      <x:c r="U860" s="36" t="n">
        <x:v>29</x:v>
      </x:c>
      <x:c r="V860" s="36" t="n">
        <x:v>0</x:v>
      </x:c>
      <x:c r="W860" s="44"/>
      <x:c r="X860" s="36"/>
      <x:c r="Y860" s="36"/>
      <x:c r="Z860" s="44"/>
      <x:c r="AA860" s="49"/>
      <x:c r="AB860" s="43"/>
      <x:c r="AC860" s="34"/>
      <x:c r="AD860" s="34"/>
      <x:c r="AE860" s="34"/>
      <x:c r="AF860" s="34"/>
      <x:c r="AG860" s="34"/>
      <x:c r="AH860" s="34"/>
      <x:c r="AI860" s="34"/>
    </x:row>
    <x:row r="861">
      <x:c r="A861" s="34" t="str">
        <x:v>article1-unified-v4-2-fb3f101b-20260903-000401-default-f04-p3-cache2k</x:v>
      </x:c>
      <x:c r="B861" s="34" t="str">
        <x:v>default</x:v>
      </x:c>
      <x:c r="C861" s="34" t="str">
        <x:v>cache2k</x:v>
      </x:c>
      <x:c r="D861" s="34" t="str">
        <x:v>cache2k</x:v>
      </x:c>
      <x:c r="E861" s="36" t="n">
        <x:v>4</x:v>
      </x:c>
      <x:c r="F861" s="36" t="n">
        <x:v>4</x:v>
      </x:c>
      <x:c r="G861" s="36" t="n">
        <x:v>3</x:v>
      </x:c>
      <x:c r="H861" s="36" t="n">
        <x:v>5</x:v>
      </x:c>
      <x:c r="I861" s="34" t="str">
        <x:v>afterFinalUndeployEarly</x:v>
      </x:c>
      <x:c r="J861" s="34" t="str">
        <x:v>after-final-undeploy-early</x:v>
      </x:c>
      <x:c r="K861" s="36" t="n">
        <x:v>2</x:v>
      </x:c>
      <x:c r="L861" s="34" t="str">
        <x:v>early</x:v>
      </x:c>
      <x:c r="M861" s="34" t="str">
        <x:v>article1-unified-v4-2-fb3f101b-20260903-000401-default-f04-p3-cache2k-5-after-final-undeploy-early-2s</x:v>
      </x:c>
      <x:c r="N861" s="38" t="n">
        <x:v>46268.04115630787</x:v>
      </x:c>
      <x:c r="O861" s="36"/>
      <x:c r="P861" s="43"/>
      <x:c r="Q861" s="43"/>
      <x:c r="R861" s="43"/>
      <x:c r="S861" s="36"/>
      <x:c r="T861" s="44"/>
      <x:c r="U861" s="36" t="n">
        <x:v>27</x:v>
      </x:c>
      <x:c r="V861" s="36" t="n">
        <x:v>0</x:v>
      </x:c>
      <x:c r="W861" s="44"/>
      <x:c r="X861" s="36"/>
      <x:c r="Y861" s="36"/>
      <x:c r="Z861" s="44"/>
      <x:c r="AA861" s="49"/>
      <x:c r="AB861" s="43" t="n">
        <x:v>1</x:v>
      </x:c>
      <x:c r="AC861" s="34"/>
      <x:c r="AD861" s="34"/>
      <x:c r="AE861" s="34" t="str">
        <x:v>article1-unified-v4-2-fb3f101b-20260903-000401-default-f04-p3-cache2k-5-after-final-undeploy-early-2s-thread-dump.txt</x:v>
      </x:c>
      <x:c r="AF861" s="34" t="str">
        <x:v>article1-unified-v4-2-fb3f101b-20260903-000401-default-f04-p3-cache2k-5-after-final-undeploy-early-tomcat-log.txt</x:v>
      </x:c>
      <x:c r="AG861" s="34"/>
      <x:c r="AH861" s="34"/>
      <x:c r="AI861" s="34"/>
    </x:row>
    <x:row r="862">
      <x:c r="A862" s="34" t="str">
        <x:v>article1-unified-v4-2-fb3f101b-20260903-000401-default-f04-p3-cache2k</x:v>
      </x:c>
      <x:c r="B862" s="34" t="str">
        <x:v>default</x:v>
      </x:c>
      <x:c r="C862" s="34" t="str">
        <x:v>cache2k</x:v>
      </x:c>
      <x:c r="D862" s="34" t="str">
        <x:v>cache2k</x:v>
      </x:c>
      <x:c r="E862" s="36" t="n">
        <x:v>4</x:v>
      </x:c>
      <x:c r="F862" s="36" t="n">
        <x:v>4</x:v>
      </x:c>
      <x:c r="G862" s="36" t="n">
        <x:v>3</x:v>
      </x:c>
      <x:c r="H862" s="36" t="n">
        <x:v>5</x:v>
      </x:c>
      <x:c r="I862" s="34" t="str">
        <x:v>afterFinalUndeploy</x:v>
      </x:c>
      <x:c r="J862" s="34" t="str">
        <x:v>after-final-undeploy-final</x:v>
      </x:c>
      <x:c r="K862" s="36" t="n">
        <x:v>2</x:v>
      </x:c>
      <x:c r="L862" s="34" t="str">
        <x:v>final</x:v>
      </x:c>
      <x:c r="M862" s="34" t="str">
        <x:v>article1-unified-v4-2-fb3f101b-20260903-000401-default-f04-p3-cache2k-5-after-final-undeploy-final-10s</x:v>
      </x:c>
      <x:c r="N862" s="38" t="n">
        <x:v>46268.041308900465</x:v>
      </x:c>
      <x:c r="O862" s="36" t="n">
        <x:v>2</x:v>
      </x:c>
      <x:c r="P862" s="43" t="n">
        <x:v>15594496</x:v>
      </x:c>
      <x:c r="Q862" s="43" t="n">
        <x:v>268435456</x:v>
      </x:c>
      <x:c r="R862" s="43" t="n">
        <x:v>429622272</x:v>
      </x:c>
      <x:c r="S862" s="36" t="n">
        <x:v>2</x:v>
      </x:c>
      <x:c r="T862" s="44" t="str">
        <x:v>0x0000000031116bd8  0x0000000031003818  0x000073f3485f1b90       0         0         0  org.apache.catalina.loader.ParallelWebappClassLoader | 0x0000000031116bd8  0x0000000031003818  0x000073f250004e30    4448  21289984  21279328  org.apache.catalina.loader.ParallelWebappClassLoader</x:v>
      </x:c>
      <x:c r="U862" s="36" t="n">
        <x:v>27</x:v>
      </x:c>
      <x:c r="V862" s="36" t="n">
        <x:v>0</x:v>
      </x:c>
      <x:c r="W862" s="44"/>
      <x:c r="X862" s="36" t="n">
        <x:v>1</x:v>
      </x:c>
      <x:c r="Y862" s="36" t="n">
        <x:v>1</x:v>
      </x:c>
      <x:c r="Z862" s="44" t="str">
        <x:v>/cache2k</x:v>
      </x:c>
      <x:c r="AA862" s="45" t="b">
        <x:v>1</x:v>
      </x:c>
      <x:c r="AB862" s="43"/>
      <x:c r="AC862" s="34" t="str">
        <x:v>article1-unified-v4-2-fb3f101b-20260903-000401-default-f04-p3-cache2k-5-after-final-undeploy-final-10s-heap-info.txt</x:v>
      </x:c>
      <x:c r="AD862" s="34" t="str">
        <x:v>article1-unified-v4-2-fb3f101b-20260903-000401-default-f04-p3-cache2k-5-after-final-undeploy-final-10s-classloader-stats.txt</x:v>
      </x:c>
      <x:c r="AE862" s="34" t="str">
        <x:v>article1-unified-v4-2-fb3f101b-20260903-000401-default-f04-p3-cache2k-5-after-final-undeploy-final-10s-thread-dump.txt</x:v>
      </x:c>
      <x:c r="AF862" s="34"/>
      <x:c r="AG862" s="34" t="str">
        <x:v>article1-unified-v4-2-fb3f101b-20260903-000401-default-f04-p3-cache2k-5-after-final-undeploy-final-10s-native-memory.txt</x:v>
      </x:c>
      <x:c r="AH862" s="34" t="str">
        <x:v>article1-unified-v4-2-fb3f101b-20260903-000401-default-f04-p3-cache2k-5-after-final-undeploy-final-10s-class-histogram.txt</x:v>
      </x:c>
      <x:c r="AI862" s="34" t="str">
        <x:v>article1-unified-v4-2-fb3f101b-20260903-000401-default-f04-p3-cache2k-5-after-final-undeploy-tomcat-findleaks.txt</x:v>
      </x:c>
    </x:row>
    <x:row r="863">
      <x:c r="A863" s="34" t="str">
        <x:v>article1-unified-v4-2-fb3f101b-20260903-000401-default-f04-p4-nostore</x:v>
      </x:c>
      <x:c r="B863" s="34" t="str">
        <x:v>default</x:v>
      </x:c>
      <x:c r="C863" s="34" t="str">
        <x:v>nostore</x:v>
      </x:c>
      <x:c r="D863" s="34" t="str">
        <x:v>nostore</x:v>
      </x:c>
      <x:c r="E863" s="36" t="n">
        <x:v>4</x:v>
      </x:c>
      <x:c r="F863" s="36" t="n">
        <x:v>4</x:v>
      </x:c>
      <x:c r="G863" s="36" t="n">
        <x:v>4</x:v>
      </x:c>
      <x:c r="H863" s="36" t="n">
        <x:v>0</x:v>
      </x:c>
      <x:c r="I863" s="34" t="str">
        <x:v>processBaseline</x:v>
      </x:c>
      <x:c r="J863" s="34" t="str">
        <x:v>process-baseline</x:v>
      </x:c>
      <x:c r="K863" s="36" t="n">
        <x:v>0</x:v>
      </x:c>
      <x:c r="L863" s="34" t="str">
        <x:v>baseline</x:v>
      </x:c>
      <x:c r="M863" s="34" t="str">
        <x:v>article1-unified-v4-2-fb3f101b-20260903-000401-default-f04-p4-nostore-process-baseline</x:v>
      </x:c>
      <x:c r="N863" s="38" t="n">
        <x:v>46268.04154921296</x:v>
      </x:c>
      <x:c r="O863" s="36" t="n">
        <x:v>0</x:v>
      </x:c>
      <x:c r="P863" s="43" t="n">
        <x:v>32880640</x:v>
      </x:c>
      <x:c r="Q863" s="43" t="n">
        <x:v>270532608</x:v>
      </x:c>
      <x:c r="R863" s="43" t="n">
        <x:v>369250304</x:v>
      </x:c>
      <x:c r="S863" s="36" t="n">
        <x:v>1</x:v>
      </x:c>
      <x:c r="T863" s="44" t="str">
        <x:v>0x000000002c1177b8  0x000000002c003818  0x00007a2d94615a10       0         0         0  org.apache.catalina.loader.ParallelWebappClassLoader</x:v>
      </x:c>
      <x:c r="U863" s="36" t="n">
        <x:v>27</x:v>
      </x:c>
      <x:c r="V863" s="36" t="n">
        <x:v>0</x:v>
      </x:c>
      <x:c r="W863" s="44"/>
      <x:c r="X863" s="36"/>
      <x:c r="Y863" s="36"/>
      <x:c r="Z863" s="44"/>
      <x:c r="AA863" s="49"/>
      <x:c r="AB863" s="43"/>
      <x:c r="AC863" s="34" t="str">
        <x:v>article1-unified-v4-2-fb3f101b-20260903-000401-default-f04-p4-nostore-process-baseline-heap-info.txt</x:v>
      </x:c>
      <x:c r="AD863" s="34" t="str">
        <x:v>article1-unified-v4-2-fb3f101b-20260903-000401-default-f04-p4-nostore-process-baseline-classloader-stats.txt</x:v>
      </x:c>
      <x:c r="AE863" s="34" t="str">
        <x:v>article1-unified-v4-2-fb3f101b-20260903-000401-default-f04-p4-nostore-process-baseline-thread-dump.txt</x:v>
      </x:c>
      <x:c r="AF863" s="34"/>
      <x:c r="AG863" s="34" t="str">
        <x:v>article1-unified-v4-2-fb3f101b-20260903-000401-default-f04-p4-nostore-process-baseline-native-memory.txt</x:v>
      </x:c>
      <x:c r="AH863" s="34"/>
      <x:c r="AI863" s="34"/>
    </x:row>
    <x:row r="864">
      <x:c r="A864" s="34" t="str">
        <x:v>article1-unified-v4-2-fb3f101b-20260903-000401-default-f04-p4-nostore</x:v>
      </x:c>
      <x:c r="B864" s="34" t="str">
        <x:v>default</x:v>
      </x:c>
      <x:c r="C864" s="34" t="str">
        <x:v>nostore</x:v>
      </x:c>
      <x:c r="D864" s="34" t="str">
        <x:v>nostore</x:v>
      </x:c>
      <x:c r="E864" s="36" t="n">
        <x:v>4</x:v>
      </x:c>
      <x:c r="F864" s="36" t="n">
        <x:v>4</x:v>
      </x:c>
      <x:c r="G864" s="36" t="n">
        <x:v>4</x:v>
      </x:c>
      <x:c r="H864" s="36" t="n">
        <x:v>1</x:v>
      </x:c>
      <x:c r="I864" s="34" t="str">
        <x:v>baseline</x:v>
      </x:c>
      <x:c r="J864" s="34" t="str">
        <x:v>cycle-baseline</x:v>
      </x:c>
      <x:c r="K864" s="36" t="n">
        <x:v>0</x:v>
      </x:c>
      <x:c r="L864" s="34" t="str">
        <x:v>baseline</x:v>
      </x:c>
      <x:c r="M864" s="34" t="str">
        <x:v>article1-unified-v4-2-fb3f101b-20260903-000401-default-f04-p4-nostore-1-baseline</x:v>
      </x:c>
      <x:c r="N864" s="38" t="n">
        <x:v>46268.041736875</x:v>
      </x:c>
      <x:c r="O864" s="36" t="n">
        <x:v>0</x:v>
      </x:c>
      <x:c r="P864" s="43" t="n">
        <x:v>32880640</x:v>
      </x:c>
      <x:c r="Q864" s="43" t="n">
        <x:v>270532608</x:v>
      </x:c>
      <x:c r="R864" s="43" t="n">
        <x:v>369841152</x:v>
      </x:c>
      <x:c r="S864" s="36" t="n">
        <x:v>1</x:v>
      </x:c>
      <x:c r="T864" s="44" t="str">
        <x:v>0x000000002c1177b8  0x000000002c003818  0x00007a2d94615a10       0         0         0  org.apache.catalina.loader.ParallelWebappClassLoader</x:v>
      </x:c>
      <x:c r="U864" s="36" t="n">
        <x:v>27</x:v>
      </x:c>
      <x:c r="V864" s="36" t="n">
        <x:v>0</x:v>
      </x:c>
      <x:c r="W864" s="44"/>
      <x:c r="X864" s="36"/>
      <x:c r="Y864" s="36"/>
      <x:c r="Z864" s="44"/>
      <x:c r="AA864" s="49"/>
      <x:c r="AB864" s="43"/>
      <x:c r="AC864" s="34" t="str">
        <x:v>article1-unified-v4-2-fb3f101b-20260903-000401-default-f04-p4-nostore-1-baseline-heap-info.txt</x:v>
      </x:c>
      <x:c r="AD864" s="34" t="str">
        <x:v>article1-unified-v4-2-fb3f101b-20260903-000401-default-f04-p4-nostore-1-baseline-classloader-stats.txt</x:v>
      </x:c>
      <x:c r="AE864" s="34" t="str">
        <x:v>article1-unified-v4-2-fb3f101b-20260903-000401-default-f04-p4-nostore-1-baseline-thread-dump.txt</x:v>
      </x:c>
      <x:c r="AF864" s="34"/>
      <x:c r="AG864" s="34" t="str">
        <x:v>article1-unified-v4-2-fb3f101b-20260903-000401-default-f04-p4-nostore-1-baseline-native-memory.txt</x:v>
      </x:c>
      <x:c r="AH864" s="34"/>
      <x:c r="AI864" s="34"/>
    </x:row>
    <x:row r="865">
      <x:c r="A865" s="34" t="str">
        <x:v>article1-unified-v4-2-fb3f101b-20260903-000401-default-f04-p4-nostore</x:v>
      </x:c>
      <x:c r="B865" s="34" t="str">
        <x:v>default</x:v>
      </x:c>
      <x:c r="C865" s="34" t="str">
        <x:v>nostore</x:v>
      </x:c>
      <x:c r="D865" s="34" t="str">
        <x:v>nostore</x:v>
      </x:c>
      <x:c r="E865" s="36" t="n">
        <x:v>4</x:v>
      </x:c>
      <x:c r="F865" s="36" t="n">
        <x:v>4</x:v>
      </x:c>
      <x:c r="G865" s="36" t="n">
        <x:v>4</x:v>
      </x:c>
      <x:c r="H865" s="36" t="n">
        <x:v>1</x:v>
      </x:c>
      <x:c r="I865" s="34" t="str">
        <x:v>deployedIdle</x:v>
      </x:c>
      <x:c r="J865" s="34" t="str">
        <x:v>deployed-idle</x:v>
      </x:c>
      <x:c r="K865" s="36" t="n">
        <x:v>0</x:v>
      </x:c>
      <x:c r="L865" s="34" t="str">
        <x:v>initial</x:v>
      </x:c>
      <x:c r="M865" s="34" t="str">
        <x:v>article1-unified-v4-2-fb3f101b-20260903-000401-default-f04-p4-nostore-1-deployed-idle</x:v>
      </x:c>
      <x:c r="N865" s="38" t="n">
        <x:v>46268.04184434028</x:v>
      </x:c>
      <x:c r="O865" s="36" t="n">
        <x:v>0</x:v>
      </x:c>
      <x:c r="P865" s="43" t="n">
        <x:v>22233088</x:v>
      </x:c>
      <x:c r="Q865" s="43" t="n">
        <x:v>268435456</x:v>
      </x:c>
      <x:c r="R865" s="43" t="n">
        <x:v>426982400</x:v>
      </x:c>
      <x:c r="S865" s="36" t="n">
        <x:v>2</x:v>
      </x:c>
      <x:c r="T865" s="44" t="str">
        <x:v>0x000000002c1177b8  0x000000002c003818  0x00007a2d94615a10       0         0         0  org.apache.catalina.loader.ParallelWebappClassLoader | 0x000000002c1177b8  0x000000002c003818  0x00007a2cec043390    4091  19436544  19411288  org.apache.catalina.loader.ParallelWebappClassLoader</x:v>
      </x:c>
      <x:c r="U865" s="36" t="n">
        <x:v>27</x:v>
      </x:c>
      <x:c r="V865" s="36" t="n">
        <x:v>0</x:v>
      </x:c>
      <x:c r="W865" s="44"/>
      <x:c r="X865" s="36"/>
      <x:c r="Y865" s="36"/>
      <x:c r="Z865" s="44"/>
      <x:c r="AA865" s="49"/>
      <x:c r="AB865" s="43"/>
      <x:c r="AC865" s="34"/>
      <x:c r="AD865" s="34"/>
      <x:c r="AE865" s="34"/>
      <x:c r="AF865" s="34"/>
      <x:c r="AG865" s="34"/>
      <x:c r="AH865" s="34"/>
      <x:c r="AI865" s="34"/>
    </x:row>
    <x:row r="866">
      <x:c r="A866" s="34" t="str">
        <x:v>article1-unified-v4-2-fb3f101b-20260903-000401-default-f04-p4-nostore</x:v>
      </x:c>
      <x:c r="B866" s="34" t="str">
        <x:v>default</x:v>
      </x:c>
      <x:c r="C866" s="34" t="str">
        <x:v>nostore</x:v>
      </x:c>
      <x:c r="D866" s="34" t="str">
        <x:v>nostore</x:v>
      </x:c>
      <x:c r="E866" s="36" t="n">
        <x:v>4</x:v>
      </x:c>
      <x:c r="F866" s="36" t="n">
        <x:v>4</x:v>
      </x:c>
      <x:c r="G866" s="36" t="n">
        <x:v>4</x:v>
      </x:c>
      <x:c r="H866" s="36" t="n">
        <x:v>1</x:v>
      </x:c>
      <x:c r="I866" s="34" t="str">
        <x:v>loaded</x:v>
      </x:c>
      <x:c r="J866" s="34" t="str">
        <x:v>loaded</x:v>
      </x:c>
      <x:c r="K866" s="36" t="n">
        <x:v>0</x:v>
      </x:c>
      <x:c r="L866" s="34" t="str">
        <x:v>initial</x:v>
      </x:c>
      <x:c r="M866" s="34" t="str">
        <x:v>article1-unified-v4-2-fb3f101b-20260903-000401-default-f04-p4-nostore-1-loaded</x:v>
      </x:c>
      <x:c r="N866" s="38" t="n">
        <x:v>46268.04199962963</x:v>
      </x:c>
      <x:c r="O866" s="36" t="n">
        <x:v>0</x:v>
      </x:c>
      <x:c r="P866" s="43" t="n">
        <x:v>110835712</x:v>
      </x:c>
      <x:c r="Q866" s="43" t="n">
        <x:v>483393536</x:v>
      </x:c>
      <x:c r="R866" s="43" t="n">
        <x:v>628685824</x:v>
      </x:c>
      <x:c r="S866" s="36" t="n">
        <x:v>2</x:v>
      </x:c>
      <x:c r="T866" s="44" t="str">
        <x:v>0x000000002c1177b8  0x000000002c003818  0x00007a2d94615a10       0         0         0  org.apache.catalina.loader.ParallelWebappClassLoader | 0x000000002c1177b8  0x000000002c003818  0x00007a2cec043390    4296  20461568  20433136  org.apache.catalina.loader.ParallelWebappClassLoader</x:v>
      </x:c>
      <x:c r="U866" s="36" t="n">
        <x:v>27</x:v>
      </x:c>
      <x:c r="V866" s="36" t="n">
        <x:v>0</x:v>
      </x:c>
      <x:c r="W866" s="44"/>
      <x:c r="X866" s="36"/>
      <x:c r="Y866" s="36"/>
      <x:c r="Z866" s="44"/>
      <x:c r="AA866" s="49"/>
      <x:c r="AB866" s="43"/>
      <x:c r="AC866" s="34"/>
      <x:c r="AD866" s="34"/>
      <x:c r="AE866" s="34"/>
      <x:c r="AF866" s="34"/>
      <x:c r="AG866" s="34"/>
      <x:c r="AH866" s="34"/>
      <x:c r="AI866" s="34"/>
    </x:row>
    <x:row r="867">
      <x:c r="A867" s="34" t="str">
        <x:v>article1-unified-v4-2-fb3f101b-20260903-000401-default-f04-p4-nostore</x:v>
      </x:c>
      <x:c r="B867" s="34" t="str">
        <x:v>default</x:v>
      </x:c>
      <x:c r="C867" s="34" t="str">
        <x:v>nostore</x:v>
      </x:c>
      <x:c r="D867" s="34" t="str">
        <x:v>nostore</x:v>
      </x:c>
      <x:c r="E867" s="36" t="n">
        <x:v>4</x:v>
      </x:c>
      <x:c r="F867" s="36" t="n">
        <x:v>4</x:v>
      </x:c>
      <x:c r="G867" s="36" t="n">
        <x:v>4</x:v>
      </x:c>
      <x:c r="H867" s="36" t="n">
        <x:v>1</x:v>
      </x:c>
      <x:c r="I867" s="34" t="str">
        <x:v>afterUndeployEarly</x:v>
      </x:c>
      <x:c r="J867" s="34" t="str">
        <x:v>after-undeploy-early</x:v>
      </x:c>
      <x:c r="K867" s="36" t="n">
        <x:v>1</x:v>
      </x:c>
      <x:c r="L867" s="34" t="str">
        <x:v>early</x:v>
      </x:c>
      <x:c r="M867" s="34" t="str">
        <x:v>article1-unified-v4-2-fb3f101b-20260903-000401-default-f04-p4-nostore-1-after-undeploy-early-2s</x:v>
      </x:c>
      <x:c r="N867" s="38" t="n">
        <x:v>46268.04208171296</x:v>
      </x:c>
      <x:c r="O867" s="36"/>
      <x:c r="P867" s="43"/>
      <x:c r="Q867" s="43"/>
      <x:c r="R867" s="43"/>
      <x:c r="S867" s="36"/>
      <x:c r="T867" s="44"/>
      <x:c r="U867" s="36" t="n">
        <x:v>27</x:v>
      </x:c>
      <x:c r="V867" s="36" t="n">
        <x:v>0</x:v>
      </x:c>
      <x:c r="W867" s="44"/>
      <x:c r="X867" s="36"/>
      <x:c r="Y867" s="36"/>
      <x:c r="Z867" s="44"/>
      <x:c r="AA867" s="49"/>
      <x:c r="AB867" s="43" t="n">
        <x:v>1</x:v>
      </x:c>
      <x:c r="AC867" s="34"/>
      <x:c r="AD867" s="34"/>
      <x:c r="AE867" s="34" t="str">
        <x:v>article1-unified-v4-2-fb3f101b-20260903-000401-default-f04-p4-nostore-1-after-undeploy-early-2s-thread-dump.txt</x:v>
      </x:c>
      <x:c r="AF867" s="34" t="str">
        <x:v>article1-unified-v4-2-fb3f101b-20260903-000401-default-f04-p4-nostore-1-after-undeploy-early-tomcat-log.txt</x:v>
      </x:c>
      <x:c r="AG867" s="34"/>
      <x:c r="AH867" s="34"/>
      <x:c r="AI867" s="34"/>
    </x:row>
    <x:row r="868">
      <x:c r="A868" s="34" t="str">
        <x:v>article1-unified-v4-2-fb3f101b-20260903-000401-default-f04-p4-nostore</x:v>
      </x:c>
      <x:c r="B868" s="34" t="str">
        <x:v>default</x:v>
      </x:c>
      <x:c r="C868" s="34" t="str">
        <x:v>nostore</x:v>
      </x:c>
      <x:c r="D868" s="34" t="str">
        <x:v>nostore</x:v>
      </x:c>
      <x:c r="E868" s="36" t="n">
        <x:v>4</x:v>
      </x:c>
      <x:c r="F868" s="36" t="n">
        <x:v>4</x:v>
      </x:c>
      <x:c r="G868" s="36" t="n">
        <x:v>4</x:v>
      </x:c>
      <x:c r="H868" s="36" t="n">
        <x:v>1</x:v>
      </x:c>
      <x:c r="I868" s="34" t="str">
        <x:v>afterUndeploy</x:v>
      </x:c>
      <x:c r="J868" s="34" t="str">
        <x:v>after-undeploy-final</x:v>
      </x:c>
      <x:c r="K868" s="36" t="n">
        <x:v>1</x:v>
      </x:c>
      <x:c r="L868" s="34" t="str">
        <x:v>final</x:v>
      </x:c>
      <x:c r="M868" s="34" t="str">
        <x:v>article1-unified-v4-2-fb3f101b-20260903-000401-default-f04-p4-nostore-1-after-undeploy-final-10s</x:v>
      </x:c>
      <x:c r="N868" s="38" t="n">
        <x:v>46268.04224045139</x:v>
      </x:c>
      <x:c r="O868" s="36" t="n">
        <x:v>2</x:v>
      </x:c>
      <x:c r="P868" s="43" t="n">
        <x:v>15708160</x:v>
      </x:c>
      <x:c r="Q868" s="43" t="n">
        <x:v>268435456</x:v>
      </x:c>
      <x:c r="R868" s="43" t="n">
        <x:v>408387584</x:v>
      </x:c>
      <x:c r="S868" s="36" t="n">
        <x:v>2</x:v>
      </x:c>
      <x:c r="T868" s="44" t="str">
        <x:v>0x000000002c1177b8  0x000000002c003818  0x00007a2cec043390    4304  20477952  20457696  org.apache.catalina.loader.ParallelWebappClassLoader | 0x000000002c1177b8  0x000000002c003818  0x00007a2d94615a10       0         0         0  org.apache.catalina.loader.ParallelWebappClassLoader</x:v>
      </x:c>
      <x:c r="U868" s="36" t="n">
        <x:v>27</x:v>
      </x:c>
      <x:c r="V868" s="36" t="n">
        <x:v>0</x:v>
      </x:c>
      <x:c r="W868" s="44"/>
      <x:c r="X868" s="36" t="n">
        <x:v>1</x:v>
      </x:c>
      <x:c r="Y868" s="36" t="n">
        <x:v>1</x:v>
      </x:c>
      <x:c r="Z868" s="44" t="str">
        <x:v>/nostore</x:v>
      </x:c>
      <x:c r="AA868" s="45" t="b">
        <x:v>1</x:v>
      </x:c>
      <x:c r="AB868" s="43"/>
      <x:c r="AC868" s="34" t="str">
        <x:v>article1-unified-v4-2-fb3f101b-20260903-000401-default-f04-p4-nostore-1-after-undeploy-final-10s-heap-info.txt</x:v>
      </x:c>
      <x:c r="AD868" s="34" t="str">
        <x:v>article1-unified-v4-2-fb3f101b-20260903-000401-default-f04-p4-nostore-1-after-undeploy-final-10s-classloader-stats.txt</x:v>
      </x:c>
      <x:c r="AE868" s="34" t="str">
        <x:v>article1-unified-v4-2-fb3f101b-20260903-000401-default-f04-p4-nostore-1-after-undeploy-final-10s-thread-dump.txt</x:v>
      </x:c>
      <x:c r="AF868" s="34"/>
      <x:c r="AG868" s="34" t="str">
        <x:v>article1-unified-v4-2-fb3f101b-20260903-000401-default-f04-p4-nostore-1-after-undeploy-final-10s-native-memory.txt</x:v>
      </x:c>
      <x:c r="AH868" s="34" t="str">
        <x:v>article1-unified-v4-2-fb3f101b-20260903-000401-default-f04-p4-nostore-1-after-undeploy-final-10s-class-histogram.txt</x:v>
      </x:c>
      <x:c r="AI868" s="34" t="str">
        <x:v>article1-unified-v4-2-fb3f101b-20260903-000401-default-f04-p4-nostore-1-after-undeploy-tomcat-findleaks.txt</x:v>
      </x:c>
    </x:row>
    <x:row r="869">
      <x:c r="A869" s="34" t="str">
        <x:v>article1-unified-v4-2-fb3f101b-20260903-000401-default-f04-p4-nostore</x:v>
      </x:c>
      <x:c r="B869" s="34" t="str">
        <x:v>default</x:v>
      </x:c>
      <x:c r="C869" s="34" t="str">
        <x:v>nostore</x:v>
      </x:c>
      <x:c r="D869" s="34" t="str">
        <x:v>nostore</x:v>
      </x:c>
      <x:c r="E869" s="36" t="n">
        <x:v>4</x:v>
      </x:c>
      <x:c r="F869" s="36" t="n">
        <x:v>4</x:v>
      </x:c>
      <x:c r="G869" s="36" t="n">
        <x:v>4</x:v>
      </x:c>
      <x:c r="H869" s="36" t="n">
        <x:v>1</x:v>
      </x:c>
      <x:c r="I869" s="34" t="str">
        <x:v>redeployedLoaded</x:v>
      </x:c>
      <x:c r="J869" s="34" t="str">
        <x:v>redeployed-loaded</x:v>
      </x:c>
      <x:c r="K869" s="36" t="n">
        <x:v>0</x:v>
      </x:c>
      <x:c r="L869" s="34" t="str">
        <x:v>redeploy</x:v>
      </x:c>
      <x:c r="M869" s="34" t="str">
        <x:v>article1-unified-v4-2-fb3f101b-20260903-000401-default-f04-p4-nostore-1-redeployed-loaded</x:v>
      </x:c>
      <x:c r="N869" s="38" t="n">
        <x:v>46268.0425115625</x:v>
      </x:c>
      <x:c r="O869" s="36" t="n">
        <x:v>0</x:v>
      </x:c>
      <x:c r="P869" s="43" t="n">
        <x:v>334204928</x:v>
      </x:c>
      <x:c r="Q869" s="43" t="n">
        <x:v>339738624</x:v>
      </x:c>
      <x:c r="R869" s="43" t="n">
        <x:v>507134976</x:v>
      </x:c>
      <x:c r="S869" s="36" t="n">
        <x:v>3</x:v>
      </x:c>
      <x:c r="T869" s="44" t="str">
        <x:v>0x000000002c1177b8  0x000000002c003818  0x00007a2cec043390    4304  20477952  20457696  org.apache.catalina.loader.ParallelWebappClassLoader | 0x000000002c1177b8  0x000000002c003818  0x00007a2cfc00abb0    4286  20427776  20413624  org.apache.catalina.loader.ParallelWebappClassLoader | 0x000000002c1177b8  0x000000002c003818  0x00007a2d94615a10       0         0         0  org.apache.catalina.loader.ParallelWebappClassLoader</x:v>
      </x:c>
      <x:c r="U869" s="36" t="n">
        <x:v>27</x:v>
      </x:c>
      <x:c r="V869" s="36" t="n">
        <x:v>0</x:v>
      </x:c>
      <x:c r="W869" s="44"/>
      <x:c r="X869" s="36"/>
      <x:c r="Y869" s="36"/>
      <x:c r="Z869" s="44"/>
      <x:c r="AA869" s="49"/>
      <x:c r="AB869" s="43"/>
      <x:c r="AC869" s="34"/>
      <x:c r="AD869" s="34"/>
      <x:c r="AE869" s="34"/>
      <x:c r="AF869" s="34"/>
      <x:c r="AG869" s="34"/>
      <x:c r="AH869" s="34"/>
      <x:c r="AI869" s="34"/>
    </x:row>
    <x:row r="870">
      <x:c r="A870" s="34" t="str">
        <x:v>article1-unified-v4-2-fb3f101b-20260903-000401-default-f04-p4-nostore</x:v>
      </x:c>
      <x:c r="B870" s="34" t="str">
        <x:v>default</x:v>
      </x:c>
      <x:c r="C870" s="34" t="str">
        <x:v>nostore</x:v>
      </x:c>
      <x:c r="D870" s="34" t="str">
        <x:v>nostore</x:v>
      </x:c>
      <x:c r="E870" s="36" t="n">
        <x:v>4</x:v>
      </x:c>
      <x:c r="F870" s="36" t="n">
        <x:v>4</x:v>
      </x:c>
      <x:c r="G870" s="36" t="n">
        <x:v>4</x:v>
      </x:c>
      <x:c r="H870" s="36" t="n">
        <x:v>1</x:v>
      </x:c>
      <x:c r="I870" s="34" t="str">
        <x:v>afterFinalUndeployEarly</x:v>
      </x:c>
      <x:c r="J870" s="34" t="str">
        <x:v>after-final-undeploy-early</x:v>
      </x:c>
      <x:c r="K870" s="36" t="n">
        <x:v>2</x:v>
      </x:c>
      <x:c r="L870" s="34" t="str">
        <x:v>early</x:v>
      </x:c>
      <x:c r="M870" s="34" t="str">
        <x:v>article1-unified-v4-2-fb3f101b-20260903-000401-default-f04-p4-nostore-1-after-final-undeploy-early-2s</x:v>
      </x:c>
      <x:c r="N870" s="38" t="n">
        <x:v>46268.04259599537</x:v>
      </x:c>
      <x:c r="O870" s="36"/>
      <x:c r="P870" s="43"/>
      <x:c r="Q870" s="43"/>
      <x:c r="R870" s="43"/>
      <x:c r="S870" s="36"/>
      <x:c r="T870" s="44"/>
      <x:c r="U870" s="36" t="n">
        <x:v>27</x:v>
      </x:c>
      <x:c r="V870" s="36" t="n">
        <x:v>0</x:v>
      </x:c>
      <x:c r="W870" s="44"/>
      <x:c r="X870" s="36"/>
      <x:c r="Y870" s="36"/>
      <x:c r="Z870" s="44"/>
      <x:c r="AA870" s="49"/>
      <x:c r="AB870" s="43" t="n">
        <x:v>1</x:v>
      </x:c>
      <x:c r="AC870" s="34"/>
      <x:c r="AD870" s="34"/>
      <x:c r="AE870" s="34" t="str">
        <x:v>article1-unified-v4-2-fb3f101b-20260903-000401-default-f04-p4-nostore-1-after-final-undeploy-early-2s-thread-dump.txt</x:v>
      </x:c>
      <x:c r="AF870" s="34" t="str">
        <x:v>article1-unified-v4-2-fb3f101b-20260903-000401-default-f04-p4-nostore-1-after-final-undeploy-early-tomcat-log.txt</x:v>
      </x:c>
      <x:c r="AG870" s="34"/>
      <x:c r="AH870" s="34"/>
      <x:c r="AI870" s="34"/>
    </x:row>
    <x:row r="871">
      <x:c r="A871" s="34" t="str">
        <x:v>article1-unified-v4-2-fb3f101b-20260903-000401-default-f04-p4-nostore</x:v>
      </x:c>
      <x:c r="B871" s="34" t="str">
        <x:v>default</x:v>
      </x:c>
      <x:c r="C871" s="34" t="str">
        <x:v>nostore</x:v>
      </x:c>
      <x:c r="D871" s="34" t="str">
        <x:v>nostore</x:v>
      </x:c>
      <x:c r="E871" s="36" t="n">
        <x:v>4</x:v>
      </x:c>
      <x:c r="F871" s="36" t="n">
        <x:v>4</x:v>
      </x:c>
      <x:c r="G871" s="36" t="n">
        <x:v>4</x:v>
      </x:c>
      <x:c r="H871" s="36" t="n">
        <x:v>1</x:v>
      </x:c>
      <x:c r="I871" s="34" t="str">
        <x:v>afterFinalUndeploy</x:v>
      </x:c>
      <x:c r="J871" s="34" t="str">
        <x:v>after-final-undeploy-final</x:v>
      </x:c>
      <x:c r="K871" s="36" t="n">
        <x:v>2</x:v>
      </x:c>
      <x:c r="L871" s="34" t="str">
        <x:v>final</x:v>
      </x:c>
      <x:c r="M871" s="34" t="str">
        <x:v>article1-unified-v4-2-fb3f101b-20260903-000401-default-f04-p4-nostore-1-after-final-undeploy-final-10s</x:v>
      </x:c>
      <x:c r="N871" s="38" t="n">
        <x:v>46268.042753090274</x:v>
      </x:c>
      <x:c r="O871" s="36" t="n">
        <x:v>2</x:v>
      </x:c>
      <x:c r="P871" s="43" t="n">
        <x:v>15502336</x:v>
      </x:c>
      <x:c r="Q871" s="43" t="n">
        <x:v>268435456</x:v>
      </x:c>
      <x:c r="R871" s="43" t="n">
        <x:v>416185344</x:v>
      </x:c>
      <x:c r="S871" s="36" t="n">
        <x:v>2</x:v>
      </x:c>
      <x:c r="T871" s="44" t="str">
        <x:v>0x000000002c1177b8  0x000000002c003818  0x00007a2d94615a10       0         0         0  org.apache.catalina.loader.ParallelWebappClassLoader | 0x000000002c1177b8  0x000000002c003818  0x00007a2cfc00abb0    4294  20444160  20438248  org.apache.catalina.loader.ParallelWebappClassLoader</x:v>
      </x:c>
      <x:c r="U871" s="36" t="n">
        <x:v>27</x:v>
      </x:c>
      <x:c r="V871" s="36" t="n">
        <x:v>0</x:v>
      </x:c>
      <x:c r="W871" s="44"/>
      <x:c r="X871" s="36" t="n">
        <x:v>1</x:v>
      </x:c>
      <x:c r="Y871" s="36" t="n">
        <x:v>1</x:v>
      </x:c>
      <x:c r="Z871" s="44" t="str">
        <x:v>/nostore</x:v>
      </x:c>
      <x:c r="AA871" s="45" t="b">
        <x:v>1</x:v>
      </x:c>
      <x:c r="AB871" s="43"/>
      <x:c r="AC871" s="34" t="str">
        <x:v>article1-unified-v4-2-fb3f101b-20260903-000401-default-f04-p4-nostore-1-after-final-undeploy-final-10s-heap-info.txt</x:v>
      </x:c>
      <x:c r="AD871" s="34" t="str">
        <x:v>article1-unified-v4-2-fb3f101b-20260903-000401-default-f04-p4-nostore-1-after-final-undeploy-final-10s-classloader-stats.txt</x:v>
      </x:c>
      <x:c r="AE871" s="34" t="str">
        <x:v>article1-unified-v4-2-fb3f101b-20260903-000401-default-f04-p4-nostore-1-after-final-undeploy-final-10s-thread-dump.txt</x:v>
      </x:c>
      <x:c r="AF871" s="34"/>
      <x:c r="AG871" s="34" t="str">
        <x:v>article1-unified-v4-2-fb3f101b-20260903-000401-default-f04-p4-nostore-1-after-final-undeploy-final-10s-native-memory.txt</x:v>
      </x:c>
      <x:c r="AH871" s="34" t="str">
        <x:v>article1-unified-v4-2-fb3f101b-20260903-000401-default-f04-p4-nostore-1-after-final-undeploy-final-10s-class-histogram.txt</x:v>
      </x:c>
      <x:c r="AI871" s="34" t="str">
        <x:v>article1-unified-v4-2-fb3f101b-20260903-000401-default-f04-p4-nostore-1-after-final-undeploy-tomcat-findleaks.txt</x:v>
      </x:c>
    </x:row>
    <x:row r="872">
      <x:c r="A872" s="34" t="str">
        <x:v>article1-unified-v4-2-fb3f101b-20260903-000401-default-f04-p4-nostore</x:v>
      </x:c>
      <x:c r="B872" s="34" t="str">
        <x:v>default</x:v>
      </x:c>
      <x:c r="C872" s="34" t="str">
        <x:v>nostore</x:v>
      </x:c>
      <x:c r="D872" s="34" t="str">
        <x:v>nostore</x:v>
      </x:c>
      <x:c r="E872" s="36" t="n">
        <x:v>4</x:v>
      </x:c>
      <x:c r="F872" s="36" t="n">
        <x:v>4</x:v>
      </x:c>
      <x:c r="G872" s="36" t="n">
        <x:v>4</x:v>
      </x:c>
      <x:c r="H872" s="36" t="n">
        <x:v>2</x:v>
      </x:c>
      <x:c r="I872" s="34" t="str">
        <x:v>baseline</x:v>
      </x:c>
      <x:c r="J872" s="34" t="str">
        <x:v>cycle-baseline</x:v>
      </x:c>
      <x:c r="K872" s="36" t="n">
        <x:v>0</x:v>
      </x:c>
      <x:c r="L872" s="34" t="str">
        <x:v>baseline</x:v>
      </x:c>
      <x:c r="M872" s="34" t="str">
        <x:v>article1-unified-v4-2-fb3f101b-20260903-000401-default-f04-p4-nostore-2-baseline</x:v>
      </x:c>
      <x:c r="N872" s="38" t="n">
        <x:v>46268.04279828704</x:v>
      </x:c>
      <x:c r="O872" s="36" t="n">
        <x:v>0</x:v>
      </x:c>
      <x:c r="P872" s="43" t="n">
        <x:v>15502336</x:v>
      </x:c>
      <x:c r="Q872" s="43" t="n">
        <x:v>268435456</x:v>
      </x:c>
      <x:c r="R872" s="43" t="n">
        <x:v>416087040</x:v>
      </x:c>
      <x:c r="S872" s="36" t="n">
        <x:v>2</x:v>
      </x:c>
      <x:c r="T872" s="44" t="str">
        <x:v>0x000000002c1177b8  0x000000002c003818  0x00007a2d94615a10       0         0         0  org.apache.catalina.loader.ParallelWebappClassLoader | 0x000000002c1177b8  0x000000002c003818  0x00007a2cfc00abb0    4294  20444160  20438248  org.apache.catalina.loader.ParallelWebappClassLoader</x:v>
      </x:c>
      <x:c r="U872" s="36" t="n">
        <x:v>27</x:v>
      </x:c>
      <x:c r="V872" s="36" t="n">
        <x:v>0</x:v>
      </x:c>
      <x:c r="W872" s="44"/>
      <x:c r="X872" s="36"/>
      <x:c r="Y872" s="36"/>
      <x:c r="Z872" s="44"/>
      <x:c r="AA872" s="49"/>
      <x:c r="AB872" s="43"/>
      <x:c r="AC872" s="34" t="str">
        <x:v>article1-unified-v4-2-fb3f101b-20260903-000401-default-f04-p4-nostore-2-baseline-heap-info.txt</x:v>
      </x:c>
      <x:c r="AD872" s="34" t="str">
        <x:v>article1-unified-v4-2-fb3f101b-20260903-000401-default-f04-p4-nostore-2-baseline-classloader-stats.txt</x:v>
      </x:c>
      <x:c r="AE872" s="34" t="str">
        <x:v>article1-unified-v4-2-fb3f101b-20260903-000401-default-f04-p4-nostore-2-baseline-thread-dump.txt</x:v>
      </x:c>
      <x:c r="AF872" s="34"/>
      <x:c r="AG872" s="34" t="str">
        <x:v>article1-unified-v4-2-fb3f101b-20260903-000401-default-f04-p4-nostore-2-baseline-native-memory.txt</x:v>
      </x:c>
      <x:c r="AH872" s="34"/>
      <x:c r="AI872" s="34"/>
    </x:row>
    <x:row r="873">
      <x:c r="A873" s="34" t="str">
        <x:v>article1-unified-v4-2-fb3f101b-20260903-000401-default-f04-p4-nostore</x:v>
      </x:c>
      <x:c r="B873" s="34" t="str">
        <x:v>default</x:v>
      </x:c>
      <x:c r="C873" s="34" t="str">
        <x:v>nostore</x:v>
      </x:c>
      <x:c r="D873" s="34" t="str">
        <x:v>nostore</x:v>
      </x:c>
      <x:c r="E873" s="36" t="n">
        <x:v>4</x:v>
      </x:c>
      <x:c r="F873" s="36" t="n">
        <x:v>4</x:v>
      </x:c>
      <x:c r="G873" s="36" t="n">
        <x:v>4</x:v>
      </x:c>
      <x:c r="H873" s="36" t="n">
        <x:v>2</x:v>
      </x:c>
      <x:c r="I873" s="34" t="str">
        <x:v>deployedIdle</x:v>
      </x:c>
      <x:c r="J873" s="34" t="str">
        <x:v>deployed-idle</x:v>
      </x:c>
      <x:c r="K873" s="36" t="n">
        <x:v>0</x:v>
      </x:c>
      <x:c r="L873" s="34" t="str">
        <x:v>initial</x:v>
      </x:c>
      <x:c r="M873" s="34" t="str">
        <x:v>article1-unified-v4-2-fb3f101b-20260903-000401-default-f04-p4-nostore-2-deployed-idle</x:v>
      </x:c>
      <x:c r="N873" s="38" t="n">
        <x:v>46268.04290152778</x:v>
      </x:c>
      <x:c r="O873" s="36" t="n">
        <x:v>0</x:v>
      </x:c>
      <x:c r="P873" s="43" t="n">
        <x:v>166940672</x:v>
      </x:c>
      <x:c r="Q873" s="43" t="n">
        <x:v>268435456</x:v>
      </x:c>
      <x:c r="R873" s="43" t="n">
        <x:v>442699776</x:v>
      </x:c>
      <x:c r="S873" s="36" t="n">
        <x:v>3</x:v>
      </x:c>
      <x:c r="T873" s="44" t="str">
        <x:v>0x000000002c1177b8  0x000000002c003818  0x00007a2d94615a10       0         0         0  org.apache.catalina.loader.ParallelWebappClassLoader | 0x000000002c1177b8  0x000000002c003818  0x00007a2d0000d4c0    4091  19444736  19426216  org.apache.catalina.loader.ParallelWebappClassLoader | 0x000000002c1177b8  0x000000002c003818  0x00007a2cfc00abb0    4294  20444160  20438248  org.apache.catalina.loader.ParallelWebappClassLoader</x:v>
      </x:c>
      <x:c r="U873" s="36" t="n">
        <x:v>27</x:v>
      </x:c>
      <x:c r="V873" s="36" t="n">
        <x:v>0</x:v>
      </x:c>
      <x:c r="W873" s="44"/>
      <x:c r="X873" s="36"/>
      <x:c r="Y873" s="36"/>
      <x:c r="Z873" s="44"/>
      <x:c r="AA873" s="49"/>
      <x:c r="AB873" s="43"/>
      <x:c r="AC873" s="34"/>
      <x:c r="AD873" s="34"/>
      <x:c r="AE873" s="34"/>
      <x:c r="AF873" s="34"/>
      <x:c r="AG873" s="34"/>
      <x:c r="AH873" s="34"/>
      <x:c r="AI873" s="34"/>
    </x:row>
    <x:row r="874">
      <x:c r="A874" s="34" t="str">
        <x:v>article1-unified-v4-2-fb3f101b-20260903-000401-default-f04-p4-nostore</x:v>
      </x:c>
      <x:c r="B874" s="34" t="str">
        <x:v>default</x:v>
      </x:c>
      <x:c r="C874" s="34" t="str">
        <x:v>nostore</x:v>
      </x:c>
      <x:c r="D874" s="34" t="str">
        <x:v>nostore</x:v>
      </x:c>
      <x:c r="E874" s="36" t="n">
        <x:v>4</x:v>
      </x:c>
      <x:c r="F874" s="36" t="n">
        <x:v>4</x:v>
      </x:c>
      <x:c r="G874" s="36" t="n">
        <x:v>4</x:v>
      </x:c>
      <x:c r="H874" s="36" t="n">
        <x:v>2</x:v>
      </x:c>
      <x:c r="I874" s="34" t="str">
        <x:v>loaded</x:v>
      </x:c>
      <x:c r="J874" s="34" t="str">
        <x:v>loaded</x:v>
      </x:c>
      <x:c r="K874" s="36" t="n">
        <x:v>0</x:v>
      </x:c>
      <x:c r="L874" s="34" t="str">
        <x:v>initial</x:v>
      </x:c>
      <x:c r="M874" s="34" t="str">
        <x:v>article1-unified-v4-2-fb3f101b-20260903-000401-default-f04-p4-nostore-2-loaded</x:v>
      </x:c>
      <x:c r="N874" s="38" t="n">
        <x:v>46268.043054155096</x:v>
      </x:c>
      <x:c r="O874" s="36" t="n">
        <x:v>0</x:v>
      </x:c>
      <x:c r="P874" s="43" t="n">
        <x:v>296880128</x:v>
      </x:c>
      <x:c r="Q874" s="43" t="n">
        <x:v>330301440</x:v>
      </x:c>
      <x:c r="R874" s="43" t="n">
        <x:v>478142464</x:v>
      </x:c>
      <x:c r="S874" s="36" t="n">
        <x:v>2</x:v>
      </x:c>
      <x:c r="T874" s="44" t="str">
        <x:v>0x000000002c1177b8  0x000000002c003818  0x00007a2d94615a10       0         0         0  org.apache.catalina.loader.ParallelWebappClassLoader | 0x000000002c1177b8  0x000000002c003818  0x00007a2d0000d4c0    4288  20427776  20411808  org.apache.catalina.loader.ParallelWebappClassLoader</x:v>
      </x:c>
      <x:c r="U874" s="36" t="n">
        <x:v>27</x:v>
      </x:c>
      <x:c r="V874" s="36" t="n">
        <x:v>0</x:v>
      </x:c>
      <x:c r="W874" s="44"/>
      <x:c r="X874" s="36"/>
      <x:c r="Y874" s="36"/>
      <x:c r="Z874" s="44"/>
      <x:c r="AA874" s="49"/>
      <x:c r="AB874" s="43"/>
      <x:c r="AC874" s="34"/>
      <x:c r="AD874" s="34"/>
      <x:c r="AE874" s="34"/>
      <x:c r="AF874" s="34"/>
      <x:c r="AG874" s="34"/>
      <x:c r="AH874" s="34"/>
      <x:c r="AI874" s="34"/>
    </x:row>
    <x:row r="875">
      <x:c r="A875" s="34" t="str">
        <x:v>article1-unified-v4-2-fb3f101b-20260903-000401-default-f04-p4-nostore</x:v>
      </x:c>
      <x:c r="B875" s="34" t="str">
        <x:v>default</x:v>
      </x:c>
      <x:c r="C875" s="34" t="str">
        <x:v>nostore</x:v>
      </x:c>
      <x:c r="D875" s="34" t="str">
        <x:v>nostore</x:v>
      </x:c>
      <x:c r="E875" s="36" t="n">
        <x:v>4</x:v>
      </x:c>
      <x:c r="F875" s="36" t="n">
        <x:v>4</x:v>
      </x:c>
      <x:c r="G875" s="36" t="n">
        <x:v>4</x:v>
      </x:c>
      <x:c r="H875" s="36" t="n">
        <x:v>2</x:v>
      </x:c>
      <x:c r="I875" s="34" t="str">
        <x:v>afterUndeployEarly</x:v>
      </x:c>
      <x:c r="J875" s="34" t="str">
        <x:v>after-undeploy-early</x:v>
      </x:c>
      <x:c r="K875" s="36" t="n">
        <x:v>1</x:v>
      </x:c>
      <x:c r="L875" s="34" t="str">
        <x:v>early</x:v>
      </x:c>
      <x:c r="M875" s="34" t="str">
        <x:v>article1-unified-v4-2-fb3f101b-20260903-000401-default-f04-p4-nostore-2-after-undeploy-early-2s</x:v>
      </x:c>
      <x:c r="N875" s="38" t="n">
        <x:v>46268.04313895833</x:v>
      </x:c>
      <x:c r="O875" s="36"/>
      <x:c r="P875" s="43"/>
      <x:c r="Q875" s="43"/>
      <x:c r="R875" s="43"/>
      <x:c r="S875" s="36"/>
      <x:c r="T875" s="44"/>
      <x:c r="U875" s="36" t="n">
        <x:v>27</x:v>
      </x:c>
      <x:c r="V875" s="36" t="n">
        <x:v>0</x:v>
      </x:c>
      <x:c r="W875" s="44"/>
      <x:c r="X875" s="36"/>
      <x:c r="Y875" s="36"/>
      <x:c r="Z875" s="44"/>
      <x:c r="AA875" s="49"/>
      <x:c r="AB875" s="43" t="n">
        <x:v>1</x:v>
      </x:c>
      <x:c r="AC875" s="34"/>
      <x:c r="AD875" s="34"/>
      <x:c r="AE875" s="34" t="str">
        <x:v>article1-unified-v4-2-fb3f101b-20260903-000401-default-f04-p4-nostore-2-after-undeploy-early-2s-thread-dump.txt</x:v>
      </x:c>
      <x:c r="AF875" s="34" t="str">
        <x:v>article1-unified-v4-2-fb3f101b-20260903-000401-default-f04-p4-nostore-2-after-undeploy-early-tomcat-log.txt</x:v>
      </x:c>
      <x:c r="AG875" s="34"/>
      <x:c r="AH875" s="34"/>
      <x:c r="AI875" s="34"/>
    </x:row>
    <x:row r="876">
      <x:c r="A876" s="34" t="str">
        <x:v>article1-unified-v4-2-fb3f101b-20260903-000401-default-f04-p4-nostore</x:v>
      </x:c>
      <x:c r="B876" s="34" t="str">
        <x:v>default</x:v>
      </x:c>
      <x:c r="C876" s="34" t="str">
        <x:v>nostore</x:v>
      </x:c>
      <x:c r="D876" s="34" t="str">
        <x:v>nostore</x:v>
      </x:c>
      <x:c r="E876" s="36" t="n">
        <x:v>4</x:v>
      </x:c>
      <x:c r="F876" s="36" t="n">
        <x:v>4</x:v>
      </x:c>
      <x:c r="G876" s="36" t="n">
        <x:v>4</x:v>
      </x:c>
      <x:c r="H876" s="36" t="n">
        <x:v>2</x:v>
      </x:c>
      <x:c r="I876" s="34" t="str">
        <x:v>afterUndeploy</x:v>
      </x:c>
      <x:c r="J876" s="34" t="str">
        <x:v>after-undeploy-final</x:v>
      </x:c>
      <x:c r="K876" s="36" t="n">
        <x:v>1</x:v>
      </x:c>
      <x:c r="L876" s="34" t="str">
        <x:v>final</x:v>
      </x:c>
      <x:c r="M876" s="34" t="str">
        <x:v>article1-unified-v4-2-fb3f101b-20260903-000401-default-f04-p4-nostore-2-after-undeploy-final-10s</x:v>
      </x:c>
      <x:c r="N876" s="38" t="n">
        <x:v>46268.04329400463</x:v>
      </x:c>
      <x:c r="O876" s="36" t="n">
        <x:v>2</x:v>
      </x:c>
      <x:c r="P876" s="43" t="n">
        <x:v>15309824</x:v>
      </x:c>
      <x:c r="Q876" s="43" t="n">
        <x:v>268435456</x:v>
      </x:c>
      <x:c r="R876" s="43" t="n">
        <x:v>414527488</x:v>
      </x:c>
      <x:c r="S876" s="36" t="n">
        <x:v>2</x:v>
      </x:c>
      <x:c r="T876" s="44" t="str">
        <x:v>0x000000002c1177b8  0x000000002c003818  0x00007a2d94615a10       0         0         0  org.apache.catalina.loader.ParallelWebappClassLoader | 0x000000002c1177b8  0x000000002c003818  0x00007a2d0000d4c0    4296  20444160  20436408  org.apache.catalina.loader.ParallelWebappClassLoader</x:v>
      </x:c>
      <x:c r="U876" s="36" t="n">
        <x:v>27</x:v>
      </x:c>
      <x:c r="V876" s="36" t="n">
        <x:v>0</x:v>
      </x:c>
      <x:c r="W876" s="44"/>
      <x:c r="X876" s="36" t="n">
        <x:v>1</x:v>
      </x:c>
      <x:c r="Y876" s="36" t="n">
        <x:v>1</x:v>
      </x:c>
      <x:c r="Z876" s="44" t="str">
        <x:v>/nostore</x:v>
      </x:c>
      <x:c r="AA876" s="45" t="b">
        <x:v>1</x:v>
      </x:c>
      <x:c r="AB876" s="43"/>
      <x:c r="AC876" s="34" t="str">
        <x:v>article1-unified-v4-2-fb3f101b-20260903-000401-default-f04-p4-nostore-2-after-undeploy-final-10s-heap-info.txt</x:v>
      </x:c>
      <x:c r="AD876" s="34" t="str">
        <x:v>article1-unified-v4-2-fb3f101b-20260903-000401-default-f04-p4-nostore-2-after-undeploy-final-10s-classloader-stats.txt</x:v>
      </x:c>
      <x:c r="AE876" s="34" t="str">
        <x:v>article1-unified-v4-2-fb3f101b-20260903-000401-default-f04-p4-nostore-2-after-undeploy-final-10s-thread-dump.txt</x:v>
      </x:c>
      <x:c r="AF876" s="34"/>
      <x:c r="AG876" s="34" t="str">
        <x:v>article1-unified-v4-2-fb3f101b-20260903-000401-default-f04-p4-nostore-2-after-undeploy-final-10s-native-memory.txt</x:v>
      </x:c>
      <x:c r="AH876" s="34" t="str">
        <x:v>article1-unified-v4-2-fb3f101b-20260903-000401-default-f04-p4-nostore-2-after-undeploy-final-10s-class-histogram.txt</x:v>
      </x:c>
      <x:c r="AI876" s="34" t="str">
        <x:v>article1-unified-v4-2-fb3f101b-20260903-000401-default-f04-p4-nostore-2-after-undeploy-tomcat-findleaks.txt</x:v>
      </x:c>
    </x:row>
    <x:row r="877">
      <x:c r="A877" s="34" t="str">
        <x:v>article1-unified-v4-2-fb3f101b-20260903-000401-default-f04-p4-nostore</x:v>
      </x:c>
      <x:c r="B877" s="34" t="str">
        <x:v>default</x:v>
      </x:c>
      <x:c r="C877" s="34" t="str">
        <x:v>nostore</x:v>
      </x:c>
      <x:c r="D877" s="34" t="str">
        <x:v>nostore</x:v>
      </x:c>
      <x:c r="E877" s="36" t="n">
        <x:v>4</x:v>
      </x:c>
      <x:c r="F877" s="36" t="n">
        <x:v>4</x:v>
      </x:c>
      <x:c r="G877" s="36" t="n">
        <x:v>4</x:v>
      </x:c>
      <x:c r="H877" s="36" t="n">
        <x:v>2</x:v>
      </x:c>
      <x:c r="I877" s="34" t="str">
        <x:v>redeployedLoaded</x:v>
      </x:c>
      <x:c r="J877" s="34" t="str">
        <x:v>redeployed-loaded</x:v>
      </x:c>
      <x:c r="K877" s="36" t="n">
        <x:v>0</x:v>
      </x:c>
      <x:c r="L877" s="34" t="str">
        <x:v>redeploy</x:v>
      </x:c>
      <x:c r="M877" s="34" t="str">
        <x:v>article1-unified-v4-2-fb3f101b-20260903-000401-default-f04-p4-nostore-2-redeployed-loaded</x:v>
      </x:c>
      <x:c r="N877" s="38" t="n">
        <x:v>46268.04355768519</x:v>
      </x:c>
      <x:c r="O877" s="36" t="n">
        <x:v>0</x:v>
      </x:c>
      <x:c r="P877" s="43" t="n">
        <x:v>301197312</x:v>
      </x:c>
      <x:c r="Q877" s="43" t="n">
        <x:v>332398592</x:v>
      </x:c>
      <x:c r="R877" s="43" t="n">
        <x:v>485222400</x:v>
      </x:c>
      <x:c r="S877" s="36" t="n">
        <x:v>2</x:v>
      </x:c>
      <x:c r="T877" s="44" t="str">
        <x:v>0x000000002c1177b8  0x000000002c003818  0x00007a2d94615a10       0         0         0  org.apache.catalina.loader.ParallelWebappClassLoader | 0x000000002c1177b8  0x000000002c003818  0x00007a2d001aa460    4287  20428800  20411336  org.apache.catalina.loader.ParallelWebappClassLoader</x:v>
      </x:c>
      <x:c r="U877" s="36" t="n">
        <x:v>27</x:v>
      </x:c>
      <x:c r="V877" s="36" t="n">
        <x:v>0</x:v>
      </x:c>
      <x:c r="W877" s="44"/>
      <x:c r="X877" s="36"/>
      <x:c r="Y877" s="36"/>
      <x:c r="Z877" s="44"/>
      <x:c r="AA877" s="49"/>
      <x:c r="AB877" s="43"/>
      <x:c r="AC877" s="34"/>
      <x:c r="AD877" s="34"/>
      <x:c r="AE877" s="34"/>
      <x:c r="AF877" s="34"/>
      <x:c r="AG877" s="34"/>
      <x:c r="AH877" s="34"/>
      <x:c r="AI877" s="34"/>
    </x:row>
    <x:row r="878">
      <x:c r="A878" s="34" t="str">
        <x:v>article1-unified-v4-2-fb3f101b-20260903-000401-default-f04-p4-nostore</x:v>
      </x:c>
      <x:c r="B878" s="34" t="str">
        <x:v>default</x:v>
      </x:c>
      <x:c r="C878" s="34" t="str">
        <x:v>nostore</x:v>
      </x:c>
      <x:c r="D878" s="34" t="str">
        <x:v>nostore</x:v>
      </x:c>
      <x:c r="E878" s="36" t="n">
        <x:v>4</x:v>
      </x:c>
      <x:c r="F878" s="36" t="n">
        <x:v>4</x:v>
      </x:c>
      <x:c r="G878" s="36" t="n">
        <x:v>4</x:v>
      </x:c>
      <x:c r="H878" s="36" t="n">
        <x:v>2</x:v>
      </x:c>
      <x:c r="I878" s="34" t="str">
        <x:v>afterFinalUndeployEarly</x:v>
      </x:c>
      <x:c r="J878" s="34" t="str">
        <x:v>after-final-undeploy-early</x:v>
      </x:c>
      <x:c r="K878" s="36" t="n">
        <x:v>2</x:v>
      </x:c>
      <x:c r="L878" s="34" t="str">
        <x:v>early</x:v>
      </x:c>
      <x:c r="M878" s="34" t="str">
        <x:v>article1-unified-v4-2-fb3f101b-20260903-000401-default-f04-p4-nostore-2-after-final-undeploy-early-2s</x:v>
      </x:c>
      <x:c r="N878" s="38" t="n">
        <x:v>46268.04364243056</x:v>
      </x:c>
      <x:c r="O878" s="36"/>
      <x:c r="P878" s="43"/>
      <x:c r="Q878" s="43"/>
      <x:c r="R878" s="43"/>
      <x:c r="S878" s="36"/>
      <x:c r="T878" s="44"/>
      <x:c r="U878" s="36" t="n">
        <x:v>27</x:v>
      </x:c>
      <x:c r="V878" s="36" t="n">
        <x:v>0</x:v>
      </x:c>
      <x:c r="W878" s="44"/>
      <x:c r="X878" s="36"/>
      <x:c r="Y878" s="36"/>
      <x:c r="Z878" s="44"/>
      <x:c r="AA878" s="49"/>
      <x:c r="AB878" s="43" t="n">
        <x:v>1</x:v>
      </x:c>
      <x:c r="AC878" s="34"/>
      <x:c r="AD878" s="34"/>
      <x:c r="AE878" s="34" t="str">
        <x:v>article1-unified-v4-2-fb3f101b-20260903-000401-default-f04-p4-nostore-2-after-final-undeploy-early-2s-thread-dump.txt</x:v>
      </x:c>
      <x:c r="AF878" s="34" t="str">
        <x:v>article1-unified-v4-2-fb3f101b-20260903-000401-default-f04-p4-nostore-2-after-final-undeploy-early-tomcat-log.txt</x:v>
      </x:c>
      <x:c r="AG878" s="34"/>
      <x:c r="AH878" s="34"/>
      <x:c r="AI878" s="34"/>
    </x:row>
    <x:row r="879">
      <x:c r="A879" s="34" t="str">
        <x:v>article1-unified-v4-2-fb3f101b-20260903-000401-default-f04-p4-nostore</x:v>
      </x:c>
      <x:c r="B879" s="34" t="str">
        <x:v>default</x:v>
      </x:c>
      <x:c r="C879" s="34" t="str">
        <x:v>nostore</x:v>
      </x:c>
      <x:c r="D879" s="34" t="str">
        <x:v>nostore</x:v>
      </x:c>
      <x:c r="E879" s="36" t="n">
        <x:v>4</x:v>
      </x:c>
      <x:c r="F879" s="36" t="n">
        <x:v>4</x:v>
      </x:c>
      <x:c r="G879" s="36" t="n">
        <x:v>4</x:v>
      </x:c>
      <x:c r="H879" s="36" t="n">
        <x:v>2</x:v>
      </x:c>
      <x:c r="I879" s="34" t="str">
        <x:v>afterFinalUndeploy</x:v>
      </x:c>
      <x:c r="J879" s="34" t="str">
        <x:v>after-final-undeploy-final</x:v>
      </x:c>
      <x:c r="K879" s="36" t="n">
        <x:v>2</x:v>
      </x:c>
      <x:c r="L879" s="34" t="str">
        <x:v>final</x:v>
      </x:c>
      <x:c r="M879" s="34" t="str">
        <x:v>article1-unified-v4-2-fb3f101b-20260903-000401-default-f04-p4-nostore-2-after-final-undeploy-final-10s</x:v>
      </x:c>
      <x:c r="N879" s="38" t="n">
        <x:v>46268.04380042824</x:v>
      </x:c>
      <x:c r="O879" s="36" t="n">
        <x:v>2</x:v>
      </x:c>
      <x:c r="P879" s="43" t="n">
        <x:v>15292416</x:v>
      </x:c>
      <x:c r="Q879" s="43" t="n">
        <x:v>268435456</x:v>
      </x:c>
      <x:c r="R879" s="43" t="n">
        <x:v>419537920</x:v>
      </x:c>
      <x:c r="S879" s="36" t="n">
        <x:v>2</x:v>
      </x:c>
      <x:c r="T879" s="44" t="str">
        <x:v>0x000000002c1177b8  0x000000002c003818  0x00007a2d94615a10       0         0         0  org.apache.catalina.loader.ParallelWebappClassLoader | 0x000000002c1177b8  0x000000002c003818  0x00007a2d001aa460    4295  20445184  20435944  org.apache.catalina.loader.ParallelWebappClassLoader</x:v>
      </x:c>
      <x:c r="U879" s="36" t="n">
        <x:v>27</x:v>
      </x:c>
      <x:c r="V879" s="36" t="n">
        <x:v>0</x:v>
      </x:c>
      <x:c r="W879" s="44"/>
      <x:c r="X879" s="36" t="n">
        <x:v>1</x:v>
      </x:c>
      <x:c r="Y879" s="36" t="n">
        <x:v>1</x:v>
      </x:c>
      <x:c r="Z879" s="44" t="str">
        <x:v>/nostore</x:v>
      </x:c>
      <x:c r="AA879" s="45" t="b">
        <x:v>1</x:v>
      </x:c>
      <x:c r="AB879" s="43"/>
      <x:c r="AC879" s="34" t="str">
        <x:v>article1-unified-v4-2-fb3f101b-20260903-000401-default-f04-p4-nostore-2-after-final-undeploy-final-10s-heap-info.txt</x:v>
      </x:c>
      <x:c r="AD879" s="34" t="str">
        <x:v>article1-unified-v4-2-fb3f101b-20260903-000401-default-f04-p4-nostore-2-after-final-undeploy-final-10s-classloader-stats.txt</x:v>
      </x:c>
      <x:c r="AE879" s="34" t="str">
        <x:v>article1-unified-v4-2-fb3f101b-20260903-000401-default-f04-p4-nostore-2-after-final-undeploy-final-10s-thread-dump.txt</x:v>
      </x:c>
      <x:c r="AF879" s="34"/>
      <x:c r="AG879" s="34" t="str">
        <x:v>article1-unified-v4-2-fb3f101b-20260903-000401-default-f04-p4-nostore-2-after-final-undeploy-final-10s-native-memory.txt</x:v>
      </x:c>
      <x:c r="AH879" s="34" t="str">
        <x:v>article1-unified-v4-2-fb3f101b-20260903-000401-default-f04-p4-nostore-2-after-final-undeploy-final-10s-class-histogram.txt</x:v>
      </x:c>
      <x:c r="AI879" s="34" t="str">
        <x:v>article1-unified-v4-2-fb3f101b-20260903-000401-default-f04-p4-nostore-2-after-final-undeploy-tomcat-findleaks.txt</x:v>
      </x:c>
    </x:row>
    <x:row r="880">
      <x:c r="A880" s="34" t="str">
        <x:v>article1-unified-v4-2-fb3f101b-20260903-000401-default-f04-p4-nostore</x:v>
      </x:c>
      <x:c r="B880" s="34" t="str">
        <x:v>default</x:v>
      </x:c>
      <x:c r="C880" s="34" t="str">
        <x:v>nostore</x:v>
      </x:c>
      <x:c r="D880" s="34" t="str">
        <x:v>nostore</x:v>
      </x:c>
      <x:c r="E880" s="36" t="n">
        <x:v>4</x:v>
      </x:c>
      <x:c r="F880" s="36" t="n">
        <x:v>4</x:v>
      </x:c>
      <x:c r="G880" s="36" t="n">
        <x:v>4</x:v>
      </x:c>
      <x:c r="H880" s="36" t="n">
        <x:v>3</x:v>
      </x:c>
      <x:c r="I880" s="34" t="str">
        <x:v>baseline</x:v>
      </x:c>
      <x:c r="J880" s="34" t="str">
        <x:v>cycle-baseline</x:v>
      </x:c>
      <x:c r="K880" s="36" t="n">
        <x:v>0</x:v>
      </x:c>
      <x:c r="L880" s="34" t="str">
        <x:v>baseline</x:v>
      </x:c>
      <x:c r="M880" s="34" t="str">
        <x:v>article1-unified-v4-2-fb3f101b-20260903-000401-default-f04-p4-nostore-3-baseline</x:v>
      </x:c>
      <x:c r="N880" s="38" t="n">
        <x:v>46268.043849016205</x:v>
      </x:c>
      <x:c r="O880" s="36" t="n">
        <x:v>0</x:v>
      </x:c>
      <x:c r="P880" s="43" t="n">
        <x:v>15292416</x:v>
      </x:c>
      <x:c r="Q880" s="43" t="n">
        <x:v>268435456</x:v>
      </x:c>
      <x:c r="R880" s="43" t="n">
        <x:v>419540992</x:v>
      </x:c>
      <x:c r="S880" s="36" t="n">
        <x:v>2</x:v>
      </x:c>
      <x:c r="T880" s="44" t="str">
        <x:v>0x000000002c1177b8  0x000000002c003818  0x00007a2d94615a10       0         0         0  org.apache.catalina.loader.ParallelWebappClassLoader | 0x000000002c1177b8  0x000000002c003818  0x00007a2d001aa460    4295  20445184  20435944  org.apache.catalina.loader.ParallelWebappClassLoader</x:v>
      </x:c>
      <x:c r="U880" s="36" t="n">
        <x:v>27</x:v>
      </x:c>
      <x:c r="V880" s="36" t="n">
        <x:v>0</x:v>
      </x:c>
      <x:c r="W880" s="44"/>
      <x:c r="X880" s="36"/>
      <x:c r="Y880" s="36"/>
      <x:c r="Z880" s="44"/>
      <x:c r="AA880" s="49"/>
      <x:c r="AB880" s="43"/>
      <x:c r="AC880" s="34" t="str">
        <x:v>article1-unified-v4-2-fb3f101b-20260903-000401-default-f04-p4-nostore-3-baseline-heap-info.txt</x:v>
      </x:c>
      <x:c r="AD880" s="34" t="str">
        <x:v>article1-unified-v4-2-fb3f101b-20260903-000401-default-f04-p4-nostore-3-baseline-classloader-stats.txt</x:v>
      </x:c>
      <x:c r="AE880" s="34" t="str">
        <x:v>article1-unified-v4-2-fb3f101b-20260903-000401-default-f04-p4-nostore-3-baseline-thread-dump.txt</x:v>
      </x:c>
      <x:c r="AF880" s="34"/>
      <x:c r="AG880" s="34" t="str">
        <x:v>article1-unified-v4-2-fb3f101b-20260903-000401-default-f04-p4-nostore-3-baseline-native-memory.txt</x:v>
      </x:c>
      <x:c r="AH880" s="34"/>
      <x:c r="AI880" s="34"/>
    </x:row>
    <x:row r="881">
      <x:c r="A881" s="34" t="str">
        <x:v>article1-unified-v4-2-fb3f101b-20260903-000401-default-f04-p4-nostore</x:v>
      </x:c>
      <x:c r="B881" s="34" t="str">
        <x:v>default</x:v>
      </x:c>
      <x:c r="C881" s="34" t="str">
        <x:v>nostore</x:v>
      </x:c>
      <x:c r="D881" s="34" t="str">
        <x:v>nostore</x:v>
      </x:c>
      <x:c r="E881" s="36" t="n">
        <x:v>4</x:v>
      </x:c>
      <x:c r="F881" s="36" t="n">
        <x:v>4</x:v>
      </x:c>
      <x:c r="G881" s="36" t="n">
        <x:v>4</x:v>
      </x:c>
      <x:c r="H881" s="36" t="n">
        <x:v>3</x:v>
      </x:c>
      <x:c r="I881" s="34" t="str">
        <x:v>deployedIdle</x:v>
      </x:c>
      <x:c r="J881" s="34" t="str">
        <x:v>deployed-idle</x:v>
      </x:c>
      <x:c r="K881" s="36" t="n">
        <x:v>0</x:v>
      </x:c>
      <x:c r="L881" s="34" t="str">
        <x:v>initial</x:v>
      </x:c>
      <x:c r="M881" s="34" t="str">
        <x:v>article1-unified-v4-2-fb3f101b-20260903-000401-default-f04-p4-nostore-3-deployed-idle</x:v>
      </x:c>
      <x:c r="N881" s="38" t="n">
        <x:v>46268.0439475</x:v>
      </x:c>
      <x:c r="O881" s="36" t="n">
        <x:v>0</x:v>
      </x:c>
      <x:c r="P881" s="43" t="n">
        <x:v>166708224</x:v>
      </x:c>
      <x:c r="Q881" s="43" t="n">
        <x:v>268435456</x:v>
      </x:c>
      <x:c r="R881" s="43" t="n">
        <x:v>454140928</x:v>
      </x:c>
      <x:c r="S881" s="36" t="n">
        <x:v>3</x:v>
      </x:c>
      <x:c r="T881" s="44" t="str">
        <x:v>0x000000002c1177b8  0x000000002c003818  0x00007a2d94615a10       0         0         0  org.apache.catalina.loader.ParallelWebappClassLoader | 0x000000002c1177b8  0x000000002c003818  0x00007a2cbc2e7290    4091  19451904  19430360  org.apache.catalina.loader.ParallelWebappClassLoader | 0x000000002c1177b8  0x000000002c003818  0x00007a2d001aa460    4295  20445184  20435944  org.apache.catalina.loader.ParallelWebappClassLoader</x:v>
      </x:c>
      <x:c r="U881" s="36" t="n">
        <x:v>27</x:v>
      </x:c>
      <x:c r="V881" s="36" t="n">
        <x:v>0</x:v>
      </x:c>
      <x:c r="W881" s="44"/>
      <x:c r="X881" s="36"/>
      <x:c r="Y881" s="36"/>
      <x:c r="Z881" s="44"/>
      <x:c r="AA881" s="49"/>
      <x:c r="AB881" s="43"/>
      <x:c r="AC881" s="34"/>
      <x:c r="AD881" s="34"/>
      <x:c r="AE881" s="34"/>
      <x:c r="AF881" s="34"/>
      <x:c r="AG881" s="34"/>
      <x:c r="AH881" s="34"/>
      <x:c r="AI881" s="34"/>
    </x:row>
    <x:row r="882">
      <x:c r="A882" s="34" t="str">
        <x:v>article1-unified-v4-2-fb3f101b-20260903-000401-default-f04-p4-nostore</x:v>
      </x:c>
      <x:c r="B882" s="34" t="str">
        <x:v>default</x:v>
      </x:c>
      <x:c r="C882" s="34" t="str">
        <x:v>nostore</x:v>
      </x:c>
      <x:c r="D882" s="34" t="str">
        <x:v>nostore</x:v>
      </x:c>
      <x:c r="E882" s="36" t="n">
        <x:v>4</x:v>
      </x:c>
      <x:c r="F882" s="36" t="n">
        <x:v>4</x:v>
      </x:c>
      <x:c r="G882" s="36" t="n">
        <x:v>4</x:v>
      </x:c>
      <x:c r="H882" s="36" t="n">
        <x:v>3</x:v>
      </x:c>
      <x:c r="I882" s="34" t="str">
        <x:v>loaded</x:v>
      </x:c>
      <x:c r="J882" s="34" t="str">
        <x:v>loaded</x:v>
      </x:c>
      <x:c r="K882" s="36" t="n">
        <x:v>0</x:v>
      </x:c>
      <x:c r="L882" s="34" t="str">
        <x:v>initial</x:v>
      </x:c>
      <x:c r="M882" s="34" t="str">
        <x:v>article1-unified-v4-2-fb3f101b-20260903-000401-default-f04-p4-nostore-3-loaded</x:v>
      </x:c>
      <x:c r="N882" s="38" t="n">
        <x:v>46268.04410171296</x:v>
      </x:c>
      <x:c r="O882" s="36" t="n">
        <x:v>0</x:v>
      </x:c>
      <x:c r="P882" s="43" t="n">
        <x:v>309187584</x:v>
      </x:c>
      <x:c r="Q882" s="43" t="n">
        <x:v>332398592</x:v>
      </x:c>
      <x:c r="R882" s="43" t="n">
        <x:v>483863552</x:v>
      </x:c>
      <x:c r="S882" s="36" t="n">
        <x:v>2</x:v>
      </x:c>
      <x:c r="T882" s="44" t="str">
        <x:v>0x000000002c1177b8  0x000000002c003818  0x00007a2d94615a10       0         0         0  org.apache.catalina.loader.ParallelWebappClassLoader | 0x000000002c1177b8  0x000000002c003818  0x00007a2cbc2e7290    4292  20434944  20424808  org.apache.catalina.loader.ParallelWebappClassLoader</x:v>
      </x:c>
      <x:c r="U882" s="36" t="n">
        <x:v>27</x:v>
      </x:c>
      <x:c r="V882" s="36" t="n">
        <x:v>0</x:v>
      </x:c>
      <x:c r="W882" s="44"/>
      <x:c r="X882" s="36"/>
      <x:c r="Y882" s="36"/>
      <x:c r="Z882" s="44"/>
      <x:c r="AA882" s="49"/>
      <x:c r="AB882" s="43"/>
      <x:c r="AC882" s="34"/>
      <x:c r="AD882" s="34"/>
      <x:c r="AE882" s="34"/>
      <x:c r="AF882" s="34"/>
      <x:c r="AG882" s="34"/>
      <x:c r="AH882" s="34"/>
      <x:c r="AI882" s="34"/>
    </x:row>
    <x:row r="883">
      <x:c r="A883" s="34" t="str">
        <x:v>article1-unified-v4-2-fb3f101b-20260903-000401-default-f04-p4-nostore</x:v>
      </x:c>
      <x:c r="B883" s="34" t="str">
        <x:v>default</x:v>
      </x:c>
      <x:c r="C883" s="34" t="str">
        <x:v>nostore</x:v>
      </x:c>
      <x:c r="D883" s="34" t="str">
        <x:v>nostore</x:v>
      </x:c>
      <x:c r="E883" s="36" t="n">
        <x:v>4</x:v>
      </x:c>
      <x:c r="F883" s="36" t="n">
        <x:v>4</x:v>
      </x:c>
      <x:c r="G883" s="36" t="n">
        <x:v>4</x:v>
      </x:c>
      <x:c r="H883" s="36" t="n">
        <x:v>3</x:v>
      </x:c>
      <x:c r="I883" s="34" t="str">
        <x:v>afterUndeployEarly</x:v>
      </x:c>
      <x:c r="J883" s="34" t="str">
        <x:v>after-undeploy-early</x:v>
      </x:c>
      <x:c r="K883" s="36" t="n">
        <x:v>1</x:v>
      </x:c>
      <x:c r="L883" s="34" t="str">
        <x:v>early</x:v>
      </x:c>
      <x:c r="M883" s="34" t="str">
        <x:v>article1-unified-v4-2-fb3f101b-20260903-000401-default-f04-p4-nostore-3-after-undeploy-early-2s</x:v>
      </x:c>
      <x:c r="N883" s="38" t="n">
        <x:v>46268.044185046296</x:v>
      </x:c>
      <x:c r="O883" s="36"/>
      <x:c r="P883" s="43"/>
      <x:c r="Q883" s="43"/>
      <x:c r="R883" s="43"/>
      <x:c r="S883" s="36"/>
      <x:c r="T883" s="44"/>
      <x:c r="U883" s="36" t="n">
        <x:v>27</x:v>
      </x:c>
      <x:c r="V883" s="36" t="n">
        <x:v>0</x:v>
      </x:c>
      <x:c r="W883" s="44"/>
      <x:c r="X883" s="36"/>
      <x:c r="Y883" s="36"/>
      <x:c r="Z883" s="44"/>
      <x:c r="AA883" s="49"/>
      <x:c r="AB883" s="43" t="n">
        <x:v>1</x:v>
      </x:c>
      <x:c r="AC883" s="34"/>
      <x:c r="AD883" s="34"/>
      <x:c r="AE883" s="34" t="str">
        <x:v>article1-unified-v4-2-fb3f101b-20260903-000401-default-f04-p4-nostore-3-after-undeploy-early-2s-thread-dump.txt</x:v>
      </x:c>
      <x:c r="AF883" s="34" t="str">
        <x:v>article1-unified-v4-2-fb3f101b-20260903-000401-default-f04-p4-nostore-3-after-undeploy-early-tomcat-log.txt</x:v>
      </x:c>
      <x:c r="AG883" s="34"/>
      <x:c r="AH883" s="34"/>
      <x:c r="AI883" s="34"/>
    </x:row>
    <x:row r="884">
      <x:c r="A884" s="34" t="str">
        <x:v>article1-unified-v4-2-fb3f101b-20260903-000401-default-f04-p4-nostore</x:v>
      </x:c>
      <x:c r="B884" s="34" t="str">
        <x:v>default</x:v>
      </x:c>
      <x:c r="C884" s="34" t="str">
        <x:v>nostore</x:v>
      </x:c>
      <x:c r="D884" s="34" t="str">
        <x:v>nostore</x:v>
      </x:c>
      <x:c r="E884" s="36" t="n">
        <x:v>4</x:v>
      </x:c>
      <x:c r="F884" s="36" t="n">
        <x:v>4</x:v>
      </x:c>
      <x:c r="G884" s="36" t="n">
        <x:v>4</x:v>
      </x:c>
      <x:c r="H884" s="36" t="n">
        <x:v>3</x:v>
      </x:c>
      <x:c r="I884" s="34" t="str">
        <x:v>afterUndeploy</x:v>
      </x:c>
      <x:c r="J884" s="34" t="str">
        <x:v>after-undeploy-final</x:v>
      </x:c>
      <x:c r="K884" s="36" t="n">
        <x:v>1</x:v>
      </x:c>
      <x:c r="L884" s="34" t="str">
        <x:v>final</x:v>
      </x:c>
      <x:c r="M884" s="34" t="str">
        <x:v>article1-unified-v4-2-fb3f101b-20260903-000401-default-f04-p4-nostore-3-after-undeploy-final-10s</x:v>
      </x:c>
      <x:c r="N884" s="38" t="n">
        <x:v>46268.044344421294</x:v>
      </x:c>
      <x:c r="O884" s="36" t="n">
        <x:v>2</x:v>
      </x:c>
      <x:c r="P884" s="43" t="n">
        <x:v>15293440</x:v>
      </x:c>
      <x:c r="Q884" s="43" t="n">
        <x:v>268435456</x:v>
      </x:c>
      <x:c r="R884" s="43" t="n">
        <x:v>417368064</x:v>
      </x:c>
      <x:c r="S884" s="36" t="n">
        <x:v>2</x:v>
      </x:c>
      <x:c r="T884" s="44" t="str">
        <x:v>0x000000002c1177b8  0x000000002c003818  0x00007a2d94615a10       0         0         0  org.apache.catalina.loader.ParallelWebappClassLoader | 0x000000002c1177b8  0x000000002c003818  0x00007a2cbc2e7290    4300  20467712  20449408  org.apache.catalina.loader.ParallelWebappClassLoader</x:v>
      </x:c>
      <x:c r="U884" s="36" t="n">
        <x:v>27</x:v>
      </x:c>
      <x:c r="V884" s="36" t="n">
        <x:v>0</x:v>
      </x:c>
      <x:c r="W884" s="44"/>
      <x:c r="X884" s="36" t="n">
        <x:v>1</x:v>
      </x:c>
      <x:c r="Y884" s="36" t="n">
        <x:v>1</x:v>
      </x:c>
      <x:c r="Z884" s="44" t="str">
        <x:v>/nostore</x:v>
      </x:c>
      <x:c r="AA884" s="45" t="b">
        <x:v>1</x:v>
      </x:c>
      <x:c r="AB884" s="43"/>
      <x:c r="AC884" s="34" t="str">
        <x:v>article1-unified-v4-2-fb3f101b-20260903-000401-default-f04-p4-nostore-3-after-undeploy-final-10s-heap-info.txt</x:v>
      </x:c>
      <x:c r="AD884" s="34" t="str">
        <x:v>article1-unified-v4-2-fb3f101b-20260903-000401-default-f04-p4-nostore-3-after-undeploy-final-10s-classloader-stats.txt</x:v>
      </x:c>
      <x:c r="AE884" s="34" t="str">
        <x:v>article1-unified-v4-2-fb3f101b-20260903-000401-default-f04-p4-nostore-3-after-undeploy-final-10s-thread-dump.txt</x:v>
      </x:c>
      <x:c r="AF884" s="34"/>
      <x:c r="AG884" s="34" t="str">
        <x:v>article1-unified-v4-2-fb3f101b-20260903-000401-default-f04-p4-nostore-3-after-undeploy-final-10s-native-memory.txt</x:v>
      </x:c>
      <x:c r="AH884" s="34" t="str">
        <x:v>article1-unified-v4-2-fb3f101b-20260903-000401-default-f04-p4-nostore-3-after-undeploy-final-10s-class-histogram.txt</x:v>
      </x:c>
      <x:c r="AI884" s="34" t="str">
        <x:v>article1-unified-v4-2-fb3f101b-20260903-000401-default-f04-p4-nostore-3-after-undeploy-tomcat-findleaks.txt</x:v>
      </x:c>
    </x:row>
    <x:row r="885">
      <x:c r="A885" s="34" t="str">
        <x:v>article1-unified-v4-2-fb3f101b-20260903-000401-default-f04-p4-nostore</x:v>
      </x:c>
      <x:c r="B885" s="34" t="str">
        <x:v>default</x:v>
      </x:c>
      <x:c r="C885" s="34" t="str">
        <x:v>nostore</x:v>
      </x:c>
      <x:c r="D885" s="34" t="str">
        <x:v>nostore</x:v>
      </x:c>
      <x:c r="E885" s="36" t="n">
        <x:v>4</x:v>
      </x:c>
      <x:c r="F885" s="36" t="n">
        <x:v>4</x:v>
      </x:c>
      <x:c r="G885" s="36" t="n">
        <x:v>4</x:v>
      </x:c>
      <x:c r="H885" s="36" t="n">
        <x:v>3</x:v>
      </x:c>
      <x:c r="I885" s="34" t="str">
        <x:v>redeployedLoaded</x:v>
      </x:c>
      <x:c r="J885" s="34" t="str">
        <x:v>redeployed-loaded</x:v>
      </x:c>
      <x:c r="K885" s="36" t="n">
        <x:v>0</x:v>
      </x:c>
      <x:c r="L885" s="34" t="str">
        <x:v>redeploy</x:v>
      </x:c>
      <x:c r="M885" s="34" t="str">
        <x:v>article1-unified-v4-2-fb3f101b-20260903-000401-default-f04-p4-nostore-3-redeployed-loaded</x:v>
      </x:c>
      <x:c r="N885" s="38" t="n">
        <x:v>46268.044614618055</x:v>
      </x:c>
      <x:c r="O885" s="36" t="n">
        <x:v>0</x:v>
      </x:c>
      <x:c r="P885" s="43" t="n">
        <x:v>329730048</x:v>
      </x:c>
      <x:c r="Q885" s="43" t="n">
        <x:v>363855872</x:v>
      </x:c>
      <x:c r="R885" s="43" t="n">
        <x:v>520344576</x:v>
      </x:c>
      <x:c r="S885" s="36" t="n">
        <x:v>2</x:v>
      </x:c>
      <x:c r="T885" s="44" t="str">
        <x:v>0x000000002c1177b8  0x000000002c003818  0x00007a2d94615a10       0         0         0  org.apache.catalina.loader.ParallelWebappClassLoader | 0x000000002c1177b8  0x000000002c003818  0x00007a2cf8016180    4286  20421632  20414152  org.apache.catalina.loader.ParallelWebappClassLoader</x:v>
      </x:c>
      <x:c r="U885" s="36" t="n">
        <x:v>27</x:v>
      </x:c>
      <x:c r="V885" s="36" t="n">
        <x:v>0</x:v>
      </x:c>
      <x:c r="W885" s="44"/>
      <x:c r="X885" s="36"/>
      <x:c r="Y885" s="36"/>
      <x:c r="Z885" s="44"/>
      <x:c r="AA885" s="49"/>
      <x:c r="AB885" s="43"/>
      <x:c r="AC885" s="34"/>
      <x:c r="AD885" s="34"/>
      <x:c r="AE885" s="34"/>
      <x:c r="AF885" s="34"/>
      <x:c r="AG885" s="34"/>
      <x:c r="AH885" s="34"/>
      <x:c r="AI885" s="34"/>
    </x:row>
    <x:row r="886">
      <x:c r="A886" s="34" t="str">
        <x:v>article1-unified-v4-2-fb3f101b-20260903-000401-default-f04-p4-nostore</x:v>
      </x:c>
      <x:c r="B886" s="34" t="str">
        <x:v>default</x:v>
      </x:c>
      <x:c r="C886" s="34" t="str">
        <x:v>nostore</x:v>
      </x:c>
      <x:c r="D886" s="34" t="str">
        <x:v>nostore</x:v>
      </x:c>
      <x:c r="E886" s="36" t="n">
        <x:v>4</x:v>
      </x:c>
      <x:c r="F886" s="36" t="n">
        <x:v>4</x:v>
      </x:c>
      <x:c r="G886" s="36" t="n">
        <x:v>4</x:v>
      </x:c>
      <x:c r="H886" s="36" t="n">
        <x:v>3</x:v>
      </x:c>
      <x:c r="I886" s="34" t="str">
        <x:v>afterFinalUndeployEarly</x:v>
      </x:c>
      <x:c r="J886" s="34" t="str">
        <x:v>after-final-undeploy-early</x:v>
      </x:c>
      <x:c r="K886" s="36" t="n">
        <x:v>2</x:v>
      </x:c>
      <x:c r="L886" s="34" t="str">
        <x:v>early</x:v>
      </x:c>
      <x:c r="M886" s="34" t="str">
        <x:v>article1-unified-v4-2-fb3f101b-20260903-000401-default-f04-p4-nostore-3-after-final-undeploy-early-2s</x:v>
      </x:c>
      <x:c r="N886" s="38" t="n">
        <x:v>46268.04469711806</x:v>
      </x:c>
      <x:c r="O886" s="36"/>
      <x:c r="P886" s="43"/>
      <x:c r="Q886" s="43"/>
      <x:c r="R886" s="43"/>
      <x:c r="S886" s="36"/>
      <x:c r="T886" s="44"/>
      <x:c r="U886" s="36" t="n">
        <x:v>27</x:v>
      </x:c>
      <x:c r="V886" s="36" t="n">
        <x:v>0</x:v>
      </x:c>
      <x:c r="W886" s="44"/>
      <x:c r="X886" s="36"/>
      <x:c r="Y886" s="36"/>
      <x:c r="Z886" s="44"/>
      <x:c r="AA886" s="49"/>
      <x:c r="AB886" s="43" t="n">
        <x:v>1</x:v>
      </x:c>
      <x:c r="AC886" s="34"/>
      <x:c r="AD886" s="34"/>
      <x:c r="AE886" s="34" t="str">
        <x:v>article1-unified-v4-2-fb3f101b-20260903-000401-default-f04-p4-nostore-3-after-final-undeploy-early-2s-thread-dump.txt</x:v>
      </x:c>
      <x:c r="AF886" s="34" t="str">
        <x:v>article1-unified-v4-2-fb3f101b-20260903-000401-default-f04-p4-nostore-3-after-final-undeploy-early-tomcat-log.txt</x:v>
      </x:c>
      <x:c r="AG886" s="34"/>
      <x:c r="AH886" s="34"/>
      <x:c r="AI886" s="34"/>
    </x:row>
    <x:row r="887">
      <x:c r="A887" s="34" t="str">
        <x:v>article1-unified-v4-2-fb3f101b-20260903-000401-default-f04-p4-nostore</x:v>
      </x:c>
      <x:c r="B887" s="34" t="str">
        <x:v>default</x:v>
      </x:c>
      <x:c r="C887" s="34" t="str">
        <x:v>nostore</x:v>
      </x:c>
      <x:c r="D887" s="34" t="str">
        <x:v>nostore</x:v>
      </x:c>
      <x:c r="E887" s="36" t="n">
        <x:v>4</x:v>
      </x:c>
      <x:c r="F887" s="36" t="n">
        <x:v>4</x:v>
      </x:c>
      <x:c r="G887" s="36" t="n">
        <x:v>4</x:v>
      </x:c>
      <x:c r="H887" s="36" t="n">
        <x:v>3</x:v>
      </x:c>
      <x:c r="I887" s="34" t="str">
        <x:v>afterFinalUndeploy</x:v>
      </x:c>
      <x:c r="J887" s="34" t="str">
        <x:v>after-final-undeploy-final</x:v>
      </x:c>
      <x:c r="K887" s="36" t="n">
        <x:v>2</x:v>
      </x:c>
      <x:c r="L887" s="34" t="str">
        <x:v>final</x:v>
      </x:c>
      <x:c r="M887" s="34" t="str">
        <x:v>article1-unified-v4-2-fb3f101b-20260903-000401-default-f04-p4-nostore-3-after-final-undeploy-final-10s</x:v>
      </x:c>
      <x:c r="N887" s="38" t="n">
        <x:v>46268.04484947916</x:v>
      </x:c>
      <x:c r="O887" s="36" t="n">
        <x:v>2</x:v>
      </x:c>
      <x:c r="P887" s="43" t="n">
        <x:v>15307776</x:v>
      </x:c>
      <x:c r="Q887" s="43" t="n">
        <x:v>268435456</x:v>
      </x:c>
      <x:c r="R887" s="43" t="n">
        <x:v>422913024</x:v>
      </x:c>
      <x:c r="S887" s="36" t="n">
        <x:v>2</x:v>
      </x:c>
      <x:c r="T887" s="44" t="str">
        <x:v>0x000000002c1177b8  0x000000002c003818  0x00007a2d94615a10       0         0         0  org.apache.catalina.loader.ParallelWebappClassLoader | 0x000000002c1177b8  0x000000002c003818  0x00007a2cf8016180    4294  20454400  20438496  org.apache.catalina.loader.ParallelWebappClassLoader</x:v>
      </x:c>
      <x:c r="U887" s="36" t="n">
        <x:v>27</x:v>
      </x:c>
      <x:c r="V887" s="36" t="n">
        <x:v>0</x:v>
      </x:c>
      <x:c r="W887" s="44"/>
      <x:c r="X887" s="36" t="n">
        <x:v>1</x:v>
      </x:c>
      <x:c r="Y887" s="36" t="n">
        <x:v>1</x:v>
      </x:c>
      <x:c r="Z887" s="44" t="str">
        <x:v>/nostore</x:v>
      </x:c>
      <x:c r="AA887" s="45" t="b">
        <x:v>1</x:v>
      </x:c>
      <x:c r="AB887" s="43"/>
      <x:c r="AC887" s="34" t="str">
        <x:v>article1-unified-v4-2-fb3f101b-20260903-000401-default-f04-p4-nostore-3-after-final-undeploy-final-10s-heap-info.txt</x:v>
      </x:c>
      <x:c r="AD887" s="34" t="str">
        <x:v>article1-unified-v4-2-fb3f101b-20260903-000401-default-f04-p4-nostore-3-after-final-undeploy-final-10s-classloader-stats.txt</x:v>
      </x:c>
      <x:c r="AE887" s="34" t="str">
        <x:v>article1-unified-v4-2-fb3f101b-20260903-000401-default-f04-p4-nostore-3-after-final-undeploy-final-10s-thread-dump.txt</x:v>
      </x:c>
      <x:c r="AF887" s="34"/>
      <x:c r="AG887" s="34" t="str">
        <x:v>article1-unified-v4-2-fb3f101b-20260903-000401-default-f04-p4-nostore-3-after-final-undeploy-final-10s-native-memory.txt</x:v>
      </x:c>
      <x:c r="AH887" s="34" t="str">
        <x:v>article1-unified-v4-2-fb3f101b-20260903-000401-default-f04-p4-nostore-3-after-final-undeploy-final-10s-class-histogram.txt</x:v>
      </x:c>
      <x:c r="AI887" s="34" t="str">
        <x:v>article1-unified-v4-2-fb3f101b-20260903-000401-default-f04-p4-nostore-3-after-final-undeploy-tomcat-findleaks.txt</x:v>
      </x:c>
    </x:row>
    <x:row r="888">
      <x:c r="A888" s="34" t="str">
        <x:v>article1-unified-v4-2-fb3f101b-20260903-000401-default-f04-p4-nostore</x:v>
      </x:c>
      <x:c r="B888" s="34" t="str">
        <x:v>default</x:v>
      </x:c>
      <x:c r="C888" s="34" t="str">
        <x:v>nostore</x:v>
      </x:c>
      <x:c r="D888" s="34" t="str">
        <x:v>nostore</x:v>
      </x:c>
      <x:c r="E888" s="36" t="n">
        <x:v>4</x:v>
      </x:c>
      <x:c r="F888" s="36" t="n">
        <x:v>4</x:v>
      </x:c>
      <x:c r="G888" s="36" t="n">
        <x:v>4</x:v>
      </x:c>
      <x:c r="H888" s="36" t="n">
        <x:v>4</x:v>
      </x:c>
      <x:c r="I888" s="34" t="str">
        <x:v>baseline</x:v>
      </x:c>
      <x:c r="J888" s="34" t="str">
        <x:v>cycle-baseline</x:v>
      </x:c>
      <x:c r="K888" s="36" t="n">
        <x:v>0</x:v>
      </x:c>
      <x:c r="L888" s="34" t="str">
        <x:v>baseline</x:v>
      </x:c>
      <x:c r="M888" s="34" t="str">
        <x:v>article1-unified-v4-2-fb3f101b-20260903-000401-default-f04-p4-nostore-4-baseline</x:v>
      </x:c>
      <x:c r="N888" s="38" t="n">
        <x:v>46268.04489150463</x:v>
      </x:c>
      <x:c r="O888" s="36" t="n">
        <x:v>0</x:v>
      </x:c>
      <x:c r="P888" s="43" t="n">
        <x:v>15307776</x:v>
      </x:c>
      <x:c r="Q888" s="43" t="n">
        <x:v>268435456</x:v>
      </x:c>
      <x:c r="R888" s="43" t="n">
        <x:v>423656448</x:v>
      </x:c>
      <x:c r="S888" s="36" t="n">
        <x:v>2</x:v>
      </x:c>
      <x:c r="T888" s="44" t="str">
        <x:v>0x000000002c1177b8  0x000000002c003818  0x00007a2d94615a10       0         0         0  org.apache.catalina.loader.ParallelWebappClassLoader | 0x000000002c1177b8  0x000000002c003818  0x00007a2cf8016180    4294  20454400  20438496  org.apache.catalina.loader.ParallelWebappClassLoader</x:v>
      </x:c>
      <x:c r="U888" s="36" t="n">
        <x:v>27</x:v>
      </x:c>
      <x:c r="V888" s="36" t="n">
        <x:v>0</x:v>
      </x:c>
      <x:c r="W888" s="44"/>
      <x:c r="X888" s="36"/>
      <x:c r="Y888" s="36"/>
      <x:c r="Z888" s="44"/>
      <x:c r="AA888" s="49"/>
      <x:c r="AB888" s="43"/>
      <x:c r="AC888" s="34" t="str">
        <x:v>article1-unified-v4-2-fb3f101b-20260903-000401-default-f04-p4-nostore-4-baseline-heap-info.txt</x:v>
      </x:c>
      <x:c r="AD888" s="34" t="str">
        <x:v>article1-unified-v4-2-fb3f101b-20260903-000401-default-f04-p4-nostore-4-baseline-classloader-stats.txt</x:v>
      </x:c>
      <x:c r="AE888" s="34" t="str">
        <x:v>article1-unified-v4-2-fb3f101b-20260903-000401-default-f04-p4-nostore-4-baseline-thread-dump.txt</x:v>
      </x:c>
      <x:c r="AF888" s="34"/>
      <x:c r="AG888" s="34" t="str">
        <x:v>article1-unified-v4-2-fb3f101b-20260903-000401-default-f04-p4-nostore-4-baseline-native-memory.txt</x:v>
      </x:c>
      <x:c r="AH888" s="34"/>
      <x:c r="AI888" s="34"/>
    </x:row>
    <x:row r="889">
      <x:c r="A889" s="34" t="str">
        <x:v>article1-unified-v4-2-fb3f101b-20260903-000401-default-f04-p4-nostore</x:v>
      </x:c>
      <x:c r="B889" s="34" t="str">
        <x:v>default</x:v>
      </x:c>
      <x:c r="C889" s="34" t="str">
        <x:v>nostore</x:v>
      </x:c>
      <x:c r="D889" s="34" t="str">
        <x:v>nostore</x:v>
      </x:c>
      <x:c r="E889" s="36" t="n">
        <x:v>4</x:v>
      </x:c>
      <x:c r="F889" s="36" t="n">
        <x:v>4</x:v>
      </x:c>
      <x:c r="G889" s="36" t="n">
        <x:v>4</x:v>
      </x:c>
      <x:c r="H889" s="36" t="n">
        <x:v>4</x:v>
      </x:c>
      <x:c r="I889" s="34" t="str">
        <x:v>deployedIdle</x:v>
      </x:c>
      <x:c r="J889" s="34" t="str">
        <x:v>deployed-idle</x:v>
      </x:c>
      <x:c r="K889" s="36" t="n">
        <x:v>0</x:v>
      </x:c>
      <x:c r="L889" s="34" t="str">
        <x:v>initial</x:v>
      </x:c>
      <x:c r="M889" s="34" t="str">
        <x:v>article1-unified-v4-2-fb3f101b-20260903-000401-default-f04-p4-nostore-4-deployed-idle</x:v>
      </x:c>
      <x:c r="N889" s="38" t="n">
        <x:v>46268.044993055555</x:v>
      </x:c>
      <x:c r="O889" s="36" t="n">
        <x:v>0</x:v>
      </x:c>
      <x:c r="P889" s="43" t="n">
        <x:v>165718016</x:v>
      </x:c>
      <x:c r="Q889" s="43" t="n">
        <x:v>268435456</x:v>
      </x:c>
      <x:c r="R889" s="43" t="n">
        <x:v>451718144</x:v>
      </x:c>
      <x:c r="S889" s="36" t="n">
        <x:v>3</x:v>
      </x:c>
      <x:c r="T889" s="44" t="str">
        <x:v>0x000000002c1177b8  0x000000002c003818  0x00007a2d94615a10       0         0         0  org.apache.catalina.loader.ParallelWebappClassLoader | 0x000000002c1177b8  0x000000002c003818  0x00007a2cf8016180    4294  20454400  20438496  org.apache.catalina.loader.ParallelWebappClassLoader | 0x000000002c1177b8  0x000000002c003818  0x00007a2cb48c5460    4091  19454976  19432400  org.apache.catalina.loader.ParallelWebappClassLoader</x:v>
      </x:c>
      <x:c r="U889" s="36" t="n">
        <x:v>27</x:v>
      </x:c>
      <x:c r="V889" s="36" t="n">
        <x:v>0</x:v>
      </x:c>
      <x:c r="W889" s="44"/>
      <x:c r="X889" s="36"/>
      <x:c r="Y889" s="36"/>
      <x:c r="Z889" s="44"/>
      <x:c r="AA889" s="49"/>
      <x:c r="AB889" s="43"/>
      <x:c r="AC889" s="34"/>
      <x:c r="AD889" s="34"/>
      <x:c r="AE889" s="34"/>
      <x:c r="AF889" s="34"/>
      <x:c r="AG889" s="34"/>
      <x:c r="AH889" s="34"/>
      <x:c r="AI889" s="34"/>
    </x:row>
    <x:row r="890">
      <x:c r="A890" s="34" t="str">
        <x:v>article1-unified-v4-2-fb3f101b-20260903-000401-default-f04-p4-nostore</x:v>
      </x:c>
      <x:c r="B890" s="34" t="str">
        <x:v>default</x:v>
      </x:c>
      <x:c r="C890" s="34" t="str">
        <x:v>nostore</x:v>
      </x:c>
      <x:c r="D890" s="34" t="str">
        <x:v>nostore</x:v>
      </x:c>
      <x:c r="E890" s="36" t="n">
        <x:v>4</x:v>
      </x:c>
      <x:c r="F890" s="36" t="n">
        <x:v>4</x:v>
      </x:c>
      <x:c r="G890" s="36" t="n">
        <x:v>4</x:v>
      </x:c>
      <x:c r="H890" s="36" t="n">
        <x:v>4</x:v>
      </x:c>
      <x:c r="I890" s="34" t="str">
        <x:v>loaded</x:v>
      </x:c>
      <x:c r="J890" s="34" t="str">
        <x:v>loaded</x:v>
      </x:c>
      <x:c r="K890" s="36" t="n">
        <x:v>0</x:v>
      </x:c>
      <x:c r="L890" s="34" t="str">
        <x:v>initial</x:v>
      </x:c>
      <x:c r="M890" s="34" t="str">
        <x:v>article1-unified-v4-2-fb3f101b-20260903-000401-default-f04-p4-nostore-4-loaded</x:v>
      </x:c>
      <x:c r="N890" s="38" t="n">
        <x:v>46268.04514699074</x:v>
      </x:c>
      <x:c r="O890" s="36" t="n">
        <x:v>0</x:v>
      </x:c>
      <x:c r="P890" s="43" t="n">
        <x:v>311918592</x:v>
      </x:c>
      <x:c r="Q890" s="43" t="n">
        <x:v>333447168</x:v>
      </x:c>
      <x:c r="R890" s="43" t="n">
        <x:v>488326144</x:v>
      </x:c>
      <x:c r="S890" s="36" t="n">
        <x:v>2</x:v>
      </x:c>
      <x:c r="T890" s="44" t="str">
        <x:v>0x000000002c1177b8  0x000000002c003818  0x00007a2d94615a10       0         0         0  org.apache.catalina.loader.ParallelWebappClassLoader | 0x000000002c1177b8  0x000000002c003818  0x00007a2cb48c5460    4287  20421632  20417704  org.apache.catalina.loader.ParallelWebappClassLoader</x:v>
      </x:c>
      <x:c r="U890" s="36" t="n">
        <x:v>27</x:v>
      </x:c>
      <x:c r="V890" s="36" t="n">
        <x:v>0</x:v>
      </x:c>
      <x:c r="W890" s="44"/>
      <x:c r="X890" s="36"/>
      <x:c r="Y890" s="36"/>
      <x:c r="Z890" s="44"/>
      <x:c r="AA890" s="49"/>
      <x:c r="AB890" s="43"/>
      <x:c r="AC890" s="34"/>
      <x:c r="AD890" s="34"/>
      <x:c r="AE890" s="34"/>
      <x:c r="AF890" s="34"/>
      <x:c r="AG890" s="34"/>
      <x:c r="AH890" s="34"/>
      <x:c r="AI890" s="34"/>
    </x:row>
    <x:row r="891">
      <x:c r="A891" s="34" t="str">
        <x:v>article1-unified-v4-2-fb3f101b-20260903-000401-default-f04-p4-nostore</x:v>
      </x:c>
      <x:c r="B891" s="34" t="str">
        <x:v>default</x:v>
      </x:c>
      <x:c r="C891" s="34" t="str">
        <x:v>nostore</x:v>
      </x:c>
      <x:c r="D891" s="34" t="str">
        <x:v>nostore</x:v>
      </x:c>
      <x:c r="E891" s="36" t="n">
        <x:v>4</x:v>
      </x:c>
      <x:c r="F891" s="36" t="n">
        <x:v>4</x:v>
      </x:c>
      <x:c r="G891" s="36" t="n">
        <x:v>4</x:v>
      </x:c>
      <x:c r="H891" s="36" t="n">
        <x:v>4</x:v>
      </x:c>
      <x:c r="I891" s="34" t="str">
        <x:v>afterUndeployEarly</x:v>
      </x:c>
      <x:c r="J891" s="34" t="str">
        <x:v>after-undeploy-early</x:v>
      </x:c>
      <x:c r="K891" s="36" t="n">
        <x:v>1</x:v>
      </x:c>
      <x:c r="L891" s="34" t="str">
        <x:v>early</x:v>
      </x:c>
      <x:c r="M891" s="34" t="str">
        <x:v>article1-unified-v4-2-fb3f101b-20260903-000401-default-f04-p4-nostore-4-after-undeploy-early-2s</x:v>
      </x:c>
      <x:c r="N891" s="38" t="n">
        <x:v>46268.045230868054</x:v>
      </x:c>
      <x:c r="O891" s="36"/>
      <x:c r="P891" s="43"/>
      <x:c r="Q891" s="43"/>
      <x:c r="R891" s="43"/>
      <x:c r="S891" s="36"/>
      <x:c r="T891" s="44"/>
      <x:c r="U891" s="36" t="n">
        <x:v>27</x:v>
      </x:c>
      <x:c r="V891" s="36" t="n">
        <x:v>0</x:v>
      </x:c>
      <x:c r="W891" s="44"/>
      <x:c r="X891" s="36"/>
      <x:c r="Y891" s="36"/>
      <x:c r="Z891" s="44"/>
      <x:c r="AA891" s="49"/>
      <x:c r="AB891" s="43" t="n">
        <x:v>1</x:v>
      </x:c>
      <x:c r="AC891" s="34"/>
      <x:c r="AD891" s="34"/>
      <x:c r="AE891" s="34" t="str">
        <x:v>article1-unified-v4-2-fb3f101b-20260903-000401-default-f04-p4-nostore-4-after-undeploy-early-2s-thread-dump.txt</x:v>
      </x:c>
      <x:c r="AF891" s="34" t="str">
        <x:v>article1-unified-v4-2-fb3f101b-20260903-000401-default-f04-p4-nostore-4-after-undeploy-early-tomcat-log.txt</x:v>
      </x:c>
      <x:c r="AG891" s="34"/>
      <x:c r="AH891" s="34"/>
      <x:c r="AI891" s="34"/>
    </x:row>
    <x:row r="892">
      <x:c r="A892" s="34" t="str">
        <x:v>article1-unified-v4-2-fb3f101b-20260903-000401-default-f04-p4-nostore</x:v>
      </x:c>
      <x:c r="B892" s="34" t="str">
        <x:v>default</x:v>
      </x:c>
      <x:c r="C892" s="34" t="str">
        <x:v>nostore</x:v>
      </x:c>
      <x:c r="D892" s="34" t="str">
        <x:v>nostore</x:v>
      </x:c>
      <x:c r="E892" s="36" t="n">
        <x:v>4</x:v>
      </x:c>
      <x:c r="F892" s="36" t="n">
        <x:v>4</x:v>
      </x:c>
      <x:c r="G892" s="36" t="n">
        <x:v>4</x:v>
      </x:c>
      <x:c r="H892" s="36" t="n">
        <x:v>4</x:v>
      </x:c>
      <x:c r="I892" s="34" t="str">
        <x:v>afterUndeploy</x:v>
      </x:c>
      <x:c r="J892" s="34" t="str">
        <x:v>after-undeploy-final</x:v>
      </x:c>
      <x:c r="K892" s="36" t="n">
        <x:v>1</x:v>
      </x:c>
      <x:c r="L892" s="34" t="str">
        <x:v>final</x:v>
      </x:c>
      <x:c r="M892" s="34" t="str">
        <x:v>article1-unified-v4-2-fb3f101b-20260903-000401-default-f04-p4-nostore-4-after-undeploy-final-10s</x:v>
      </x:c>
      <x:c r="N892" s="38" t="n">
        <x:v>46268.04538577546</x:v>
      </x:c>
      <x:c r="O892" s="36" t="n">
        <x:v>2</x:v>
      </x:c>
      <x:c r="P892" s="43" t="n">
        <x:v>15326208</x:v>
      </x:c>
      <x:c r="Q892" s="43" t="n">
        <x:v>268435456</x:v>
      </x:c>
      <x:c r="R892" s="43" t="n">
        <x:v>420695040</x:v>
      </x:c>
      <x:c r="S892" s="36" t="n">
        <x:v>2</x:v>
      </x:c>
      <x:c r="T892" s="44" t="str">
        <x:v>0x000000002c1177b8  0x000000002c003818  0x00007a2d94615a10       0         0         0  org.apache.catalina.loader.ParallelWebappClassLoader | 0x000000002c1177b8  0x000000002c003818  0x00007a2cb48c5460    4295  20470784  20442344  org.apache.catalina.loader.ParallelWebappClassLoader</x:v>
      </x:c>
      <x:c r="U892" s="36" t="n">
        <x:v>27</x:v>
      </x:c>
      <x:c r="V892" s="36" t="n">
        <x:v>0</x:v>
      </x:c>
      <x:c r="W892" s="44"/>
      <x:c r="X892" s="36" t="n">
        <x:v>1</x:v>
      </x:c>
      <x:c r="Y892" s="36" t="n">
        <x:v>1</x:v>
      </x:c>
      <x:c r="Z892" s="44" t="str">
        <x:v>/nostore</x:v>
      </x:c>
      <x:c r="AA892" s="45" t="b">
        <x:v>1</x:v>
      </x:c>
      <x:c r="AB892" s="43"/>
      <x:c r="AC892" s="34" t="str">
        <x:v>article1-unified-v4-2-fb3f101b-20260903-000401-default-f04-p4-nostore-4-after-undeploy-final-10s-heap-info.txt</x:v>
      </x:c>
      <x:c r="AD892" s="34" t="str">
        <x:v>article1-unified-v4-2-fb3f101b-20260903-000401-default-f04-p4-nostore-4-after-undeploy-final-10s-classloader-stats.txt</x:v>
      </x:c>
      <x:c r="AE892" s="34" t="str">
        <x:v>article1-unified-v4-2-fb3f101b-20260903-000401-default-f04-p4-nostore-4-after-undeploy-final-10s-thread-dump.txt</x:v>
      </x:c>
      <x:c r="AF892" s="34"/>
      <x:c r="AG892" s="34" t="str">
        <x:v>article1-unified-v4-2-fb3f101b-20260903-000401-default-f04-p4-nostore-4-after-undeploy-final-10s-native-memory.txt</x:v>
      </x:c>
      <x:c r="AH892" s="34" t="str">
        <x:v>article1-unified-v4-2-fb3f101b-20260903-000401-default-f04-p4-nostore-4-after-undeploy-final-10s-class-histogram.txt</x:v>
      </x:c>
      <x:c r="AI892" s="34" t="str">
        <x:v>article1-unified-v4-2-fb3f101b-20260903-000401-default-f04-p4-nostore-4-after-undeploy-tomcat-findleaks.txt</x:v>
      </x:c>
    </x:row>
    <x:row r="893">
      <x:c r="A893" s="34" t="str">
        <x:v>article1-unified-v4-2-fb3f101b-20260903-000401-default-f04-p4-nostore</x:v>
      </x:c>
      <x:c r="B893" s="34" t="str">
        <x:v>default</x:v>
      </x:c>
      <x:c r="C893" s="34" t="str">
        <x:v>nostore</x:v>
      </x:c>
      <x:c r="D893" s="34" t="str">
        <x:v>nostore</x:v>
      </x:c>
      <x:c r="E893" s="36" t="n">
        <x:v>4</x:v>
      </x:c>
      <x:c r="F893" s="36" t="n">
        <x:v>4</x:v>
      </x:c>
      <x:c r="G893" s="36" t="n">
        <x:v>4</x:v>
      </x:c>
      <x:c r="H893" s="36" t="n">
        <x:v>4</x:v>
      </x:c>
      <x:c r="I893" s="34" t="str">
        <x:v>redeployedLoaded</x:v>
      </x:c>
      <x:c r="J893" s="34" t="str">
        <x:v>redeployed-loaded</x:v>
      </x:c>
      <x:c r="K893" s="36" t="n">
        <x:v>0</x:v>
      </x:c>
      <x:c r="L893" s="34" t="str">
        <x:v>redeploy</x:v>
      </x:c>
      <x:c r="M893" s="34" t="str">
        <x:v>article1-unified-v4-2-fb3f101b-20260903-000401-default-f04-p4-nostore-4-redeployed-loaded</x:v>
      </x:c>
      <x:c r="N893" s="38" t="n">
        <x:v>46268.04564827546</x:v>
      </x:c>
      <x:c r="O893" s="36" t="n">
        <x:v>0</x:v>
      </x:c>
      <x:c r="P893" s="43" t="n">
        <x:v>304261120</x:v>
      </x:c>
      <x:c r="Q893" s="43" t="n">
        <x:v>333447168</x:v>
      </x:c>
      <x:c r="R893" s="43" t="n">
        <x:v>492154880</x:v>
      </x:c>
      <x:c r="S893" s="36" t="n">
        <x:v>2</x:v>
      </x:c>
      <x:c r="T893" s="44" t="str">
        <x:v>0x000000002c1177b8  0x000000002c003818  0x00007a2d94615a10       0         0         0  org.apache.catalina.loader.ParallelWebappClassLoader | 0x000000002c1177b8  0x000000002c003818  0x00007a2d04037040    4287  20434944  20422368  org.apache.catalina.loader.ParallelWebappClassLoader</x:v>
      </x:c>
      <x:c r="U893" s="36" t="n">
        <x:v>27</x:v>
      </x:c>
      <x:c r="V893" s="36" t="n">
        <x:v>0</x:v>
      </x:c>
      <x:c r="W893" s="44"/>
      <x:c r="X893" s="36"/>
      <x:c r="Y893" s="36"/>
      <x:c r="Z893" s="44"/>
      <x:c r="AA893" s="49"/>
      <x:c r="AB893" s="43"/>
      <x:c r="AC893" s="34"/>
      <x:c r="AD893" s="34"/>
      <x:c r="AE893" s="34"/>
      <x:c r="AF893" s="34"/>
      <x:c r="AG893" s="34"/>
      <x:c r="AH893" s="34"/>
      <x:c r="AI893" s="34"/>
    </x:row>
    <x:row r="894">
      <x:c r="A894" s="34" t="str">
        <x:v>article1-unified-v4-2-fb3f101b-20260903-000401-default-f04-p4-nostore</x:v>
      </x:c>
      <x:c r="B894" s="34" t="str">
        <x:v>default</x:v>
      </x:c>
      <x:c r="C894" s="34" t="str">
        <x:v>nostore</x:v>
      </x:c>
      <x:c r="D894" s="34" t="str">
        <x:v>nostore</x:v>
      </x:c>
      <x:c r="E894" s="36" t="n">
        <x:v>4</x:v>
      </x:c>
      <x:c r="F894" s="36" t="n">
        <x:v>4</x:v>
      </x:c>
      <x:c r="G894" s="36" t="n">
        <x:v>4</x:v>
      </x:c>
      <x:c r="H894" s="36" t="n">
        <x:v>4</x:v>
      </x:c>
      <x:c r="I894" s="34" t="str">
        <x:v>afterFinalUndeployEarly</x:v>
      </x:c>
      <x:c r="J894" s="34" t="str">
        <x:v>after-final-undeploy-early</x:v>
      </x:c>
      <x:c r="K894" s="36" t="n">
        <x:v>2</x:v>
      </x:c>
      <x:c r="L894" s="34" t="str">
        <x:v>early</x:v>
      </x:c>
      <x:c r="M894" s="34" t="str">
        <x:v>article1-unified-v4-2-fb3f101b-20260903-000401-default-f04-p4-nostore-4-after-final-undeploy-early-2s</x:v>
      </x:c>
      <x:c r="N894" s="38" t="n">
        <x:v>46268.04572983796</x:v>
      </x:c>
      <x:c r="O894" s="36"/>
      <x:c r="P894" s="43"/>
      <x:c r="Q894" s="43"/>
      <x:c r="R894" s="43"/>
      <x:c r="S894" s="36"/>
      <x:c r="T894" s="44"/>
      <x:c r="U894" s="36" t="n">
        <x:v>27</x:v>
      </x:c>
      <x:c r="V894" s="36" t="n">
        <x:v>0</x:v>
      </x:c>
      <x:c r="W894" s="44"/>
      <x:c r="X894" s="36"/>
      <x:c r="Y894" s="36"/>
      <x:c r="Z894" s="44"/>
      <x:c r="AA894" s="49"/>
      <x:c r="AB894" s="43" t="n">
        <x:v>1</x:v>
      </x:c>
      <x:c r="AC894" s="34"/>
      <x:c r="AD894" s="34"/>
      <x:c r="AE894" s="34" t="str">
        <x:v>article1-unified-v4-2-fb3f101b-20260903-000401-default-f04-p4-nostore-4-after-final-undeploy-early-2s-thread-dump.txt</x:v>
      </x:c>
      <x:c r="AF894" s="34" t="str">
        <x:v>article1-unified-v4-2-fb3f101b-20260903-000401-default-f04-p4-nostore-4-after-final-undeploy-early-tomcat-log.txt</x:v>
      </x:c>
      <x:c r="AG894" s="34"/>
      <x:c r="AH894" s="34"/>
      <x:c r="AI894" s="34"/>
    </x:row>
    <x:row r="895">
      <x:c r="A895" s="34" t="str">
        <x:v>article1-unified-v4-2-fb3f101b-20260903-000401-default-f04-p4-nostore</x:v>
      </x:c>
      <x:c r="B895" s="34" t="str">
        <x:v>default</x:v>
      </x:c>
      <x:c r="C895" s="34" t="str">
        <x:v>nostore</x:v>
      </x:c>
      <x:c r="D895" s="34" t="str">
        <x:v>nostore</x:v>
      </x:c>
      <x:c r="E895" s="36" t="n">
        <x:v>4</x:v>
      </x:c>
      <x:c r="F895" s="36" t="n">
        <x:v>4</x:v>
      </x:c>
      <x:c r="G895" s="36" t="n">
        <x:v>4</x:v>
      </x:c>
      <x:c r="H895" s="36" t="n">
        <x:v>4</x:v>
      </x:c>
      <x:c r="I895" s="34" t="str">
        <x:v>afterFinalUndeploy</x:v>
      </x:c>
      <x:c r="J895" s="34" t="str">
        <x:v>after-final-undeploy-final</x:v>
      </x:c>
      <x:c r="K895" s="36" t="n">
        <x:v>2</x:v>
      </x:c>
      <x:c r="L895" s="34" t="str">
        <x:v>final</x:v>
      </x:c>
      <x:c r="M895" s="34" t="str">
        <x:v>article1-unified-v4-2-fb3f101b-20260903-000401-default-f04-p4-nostore-4-after-final-undeploy-final-10s</x:v>
      </x:c>
      <x:c r="N895" s="38" t="n">
        <x:v>46268.04588780092</x:v>
      </x:c>
      <x:c r="O895" s="36" t="n">
        <x:v>2</x:v>
      </x:c>
      <x:c r="P895" s="43" t="n">
        <x:v>15352832</x:v>
      </x:c>
      <x:c r="Q895" s="43" t="n">
        <x:v>268435456</x:v>
      </x:c>
      <x:c r="R895" s="43" t="n">
        <x:v>425366528</x:v>
      </x:c>
      <x:c r="S895" s="36" t="n">
        <x:v>2</x:v>
      </x:c>
      <x:c r="T895" s="44" t="str">
        <x:v>0x000000002c1177b8  0x000000002c003818  0x00007a2d94615a10       0         0         0  org.apache.catalina.loader.ParallelWebappClassLoader | 0x000000002c1177b8  0x000000002c003818  0x00007a2d04037040    4295  20451328  20447000  org.apache.catalina.loader.ParallelWebappClassLoader</x:v>
      </x:c>
      <x:c r="U895" s="36" t="n">
        <x:v>27</x:v>
      </x:c>
      <x:c r="V895" s="36" t="n">
        <x:v>0</x:v>
      </x:c>
      <x:c r="W895" s="44"/>
      <x:c r="X895" s="36" t="n">
        <x:v>1</x:v>
      </x:c>
      <x:c r="Y895" s="36" t="n">
        <x:v>1</x:v>
      </x:c>
      <x:c r="Z895" s="44" t="str">
        <x:v>/nostore</x:v>
      </x:c>
      <x:c r="AA895" s="45" t="b">
        <x:v>1</x:v>
      </x:c>
      <x:c r="AB895" s="43"/>
      <x:c r="AC895" s="34" t="str">
        <x:v>article1-unified-v4-2-fb3f101b-20260903-000401-default-f04-p4-nostore-4-after-final-undeploy-final-10s-heap-info.txt</x:v>
      </x:c>
      <x:c r="AD895" s="34" t="str">
        <x:v>article1-unified-v4-2-fb3f101b-20260903-000401-default-f04-p4-nostore-4-after-final-undeploy-final-10s-classloader-stats.txt</x:v>
      </x:c>
      <x:c r="AE895" s="34" t="str">
        <x:v>article1-unified-v4-2-fb3f101b-20260903-000401-default-f04-p4-nostore-4-after-final-undeploy-final-10s-thread-dump.txt</x:v>
      </x:c>
      <x:c r="AF895" s="34"/>
      <x:c r="AG895" s="34" t="str">
        <x:v>article1-unified-v4-2-fb3f101b-20260903-000401-default-f04-p4-nostore-4-after-final-undeploy-final-10s-native-memory.txt</x:v>
      </x:c>
      <x:c r="AH895" s="34" t="str">
        <x:v>article1-unified-v4-2-fb3f101b-20260903-000401-default-f04-p4-nostore-4-after-final-undeploy-final-10s-class-histogram.txt</x:v>
      </x:c>
      <x:c r="AI895" s="34" t="str">
        <x:v>article1-unified-v4-2-fb3f101b-20260903-000401-default-f04-p4-nostore-4-after-final-undeploy-tomcat-findleaks.txt</x:v>
      </x:c>
    </x:row>
    <x:row r="896">
      <x:c r="A896" s="34" t="str">
        <x:v>article1-unified-v4-2-fb3f101b-20260903-000401-default-f04-p4-nostore</x:v>
      </x:c>
      <x:c r="B896" s="34" t="str">
        <x:v>default</x:v>
      </x:c>
      <x:c r="C896" s="34" t="str">
        <x:v>nostore</x:v>
      </x:c>
      <x:c r="D896" s="34" t="str">
        <x:v>nostore</x:v>
      </x:c>
      <x:c r="E896" s="36" t="n">
        <x:v>4</x:v>
      </x:c>
      <x:c r="F896" s="36" t="n">
        <x:v>4</x:v>
      </x:c>
      <x:c r="G896" s="36" t="n">
        <x:v>4</x:v>
      </x:c>
      <x:c r="H896" s="36" t="n">
        <x:v>5</x:v>
      </x:c>
      <x:c r="I896" s="34" t="str">
        <x:v>baseline</x:v>
      </x:c>
      <x:c r="J896" s="34" t="str">
        <x:v>cycle-baseline</x:v>
      </x:c>
      <x:c r="K896" s="36" t="n">
        <x:v>0</x:v>
      </x:c>
      <x:c r="L896" s="34" t="str">
        <x:v>baseline</x:v>
      </x:c>
      <x:c r="M896" s="34" t="str">
        <x:v>article1-unified-v4-2-fb3f101b-20260903-000401-default-f04-p4-nostore-5-baseline</x:v>
      </x:c>
      <x:c r="N896" s="38" t="n">
        <x:v>46268.045928541665</x:v>
      </x:c>
      <x:c r="O896" s="36" t="n">
        <x:v>0</x:v>
      </x:c>
      <x:c r="P896" s="43" t="n">
        <x:v>15352832</x:v>
      </x:c>
      <x:c r="Q896" s="43" t="n">
        <x:v>268435456</x:v>
      </x:c>
      <x:c r="R896" s="43" t="n">
        <x:v>425268224</x:v>
      </x:c>
      <x:c r="S896" s="36" t="n">
        <x:v>2</x:v>
      </x:c>
      <x:c r="T896" s="44" t="str">
        <x:v>0x000000002c1177b8  0x000000002c003818  0x00007a2d94615a10       0         0         0  org.apache.catalina.loader.ParallelWebappClassLoader | 0x000000002c1177b8  0x000000002c003818  0x00007a2d04037040    4295  20451328  20447000  org.apache.catalina.loader.ParallelWebappClassLoader</x:v>
      </x:c>
      <x:c r="U896" s="36" t="n">
        <x:v>27</x:v>
      </x:c>
      <x:c r="V896" s="36" t="n">
        <x:v>0</x:v>
      </x:c>
      <x:c r="W896" s="44"/>
      <x:c r="X896" s="36"/>
      <x:c r="Y896" s="36"/>
      <x:c r="Z896" s="44"/>
      <x:c r="AA896" s="49"/>
      <x:c r="AB896" s="43"/>
      <x:c r="AC896" s="34" t="str">
        <x:v>article1-unified-v4-2-fb3f101b-20260903-000401-default-f04-p4-nostore-5-baseline-heap-info.txt</x:v>
      </x:c>
      <x:c r="AD896" s="34" t="str">
        <x:v>article1-unified-v4-2-fb3f101b-20260903-000401-default-f04-p4-nostore-5-baseline-classloader-stats.txt</x:v>
      </x:c>
      <x:c r="AE896" s="34" t="str">
        <x:v>article1-unified-v4-2-fb3f101b-20260903-000401-default-f04-p4-nostore-5-baseline-thread-dump.txt</x:v>
      </x:c>
      <x:c r="AF896" s="34"/>
      <x:c r="AG896" s="34" t="str">
        <x:v>article1-unified-v4-2-fb3f101b-20260903-000401-default-f04-p4-nostore-5-baseline-native-memory.txt</x:v>
      </x:c>
      <x:c r="AH896" s="34"/>
      <x:c r="AI896" s="34"/>
    </x:row>
    <x:row r="897">
      <x:c r="A897" s="34" t="str">
        <x:v>article1-unified-v4-2-fb3f101b-20260903-000401-default-f04-p4-nostore</x:v>
      </x:c>
      <x:c r="B897" s="34" t="str">
        <x:v>default</x:v>
      </x:c>
      <x:c r="C897" s="34" t="str">
        <x:v>nostore</x:v>
      </x:c>
      <x:c r="D897" s="34" t="str">
        <x:v>nostore</x:v>
      </x:c>
      <x:c r="E897" s="36" t="n">
        <x:v>4</x:v>
      </x:c>
      <x:c r="F897" s="36" t="n">
        <x:v>4</x:v>
      </x:c>
      <x:c r="G897" s="36" t="n">
        <x:v>4</x:v>
      </x:c>
      <x:c r="H897" s="36" t="n">
        <x:v>5</x:v>
      </x:c>
      <x:c r="I897" s="34" t="str">
        <x:v>deployedIdle</x:v>
      </x:c>
      <x:c r="J897" s="34" t="str">
        <x:v>deployed-idle</x:v>
      </x:c>
      <x:c r="K897" s="36" t="n">
        <x:v>0</x:v>
      </x:c>
      <x:c r="L897" s="34" t="str">
        <x:v>initial</x:v>
      </x:c>
      <x:c r="M897" s="34" t="str">
        <x:v>article1-unified-v4-2-fb3f101b-20260903-000401-default-f04-p4-nostore-5-deployed-idle</x:v>
      </x:c>
      <x:c r="N897" s="38" t="n">
        <x:v>46268.04602645833</x:v>
      </x:c>
      <x:c r="O897" s="36" t="n">
        <x:v>0</x:v>
      </x:c>
      <x:c r="P897" s="43" t="n">
        <x:v>165804032</x:v>
      </x:c>
      <x:c r="Q897" s="43" t="n">
        <x:v>268435456</x:v>
      </x:c>
      <x:c r="R897" s="43" t="n">
        <x:v>461185024</x:v>
      </x:c>
      <x:c r="S897" s="36" t="n">
        <x:v>3</x:v>
      </x:c>
      <x:c r="T897" s="44" t="str">
        <x:v>0x000000002c1177b8  0x000000002c003818  0x00007a2d94615a10       0         0         0  org.apache.catalina.loader.ParallelWebappClassLoader | 0x000000002c1177b8  0x000000002c003818  0x00007a2ca4002c40    4091  19452928  19429320  org.apache.catalina.loader.ParallelWebappClassLoader | 0x000000002c1177b8  0x000000002c003818  0x00007a2d04037040    4295  20451328  20447000  org.apache.catalina.loader.ParallelWebappClassLoader</x:v>
      </x:c>
      <x:c r="U897" s="36" t="n">
        <x:v>27</x:v>
      </x:c>
      <x:c r="V897" s="36" t="n">
        <x:v>0</x:v>
      </x:c>
      <x:c r="W897" s="44"/>
      <x:c r="X897" s="36"/>
      <x:c r="Y897" s="36"/>
      <x:c r="Z897" s="44"/>
      <x:c r="AA897" s="49"/>
      <x:c r="AB897" s="43"/>
      <x:c r="AC897" s="34"/>
      <x:c r="AD897" s="34"/>
      <x:c r="AE897" s="34"/>
      <x:c r="AF897" s="34"/>
      <x:c r="AG897" s="34"/>
      <x:c r="AH897" s="34"/>
      <x:c r="AI897" s="34"/>
    </x:row>
    <x:row r="898">
      <x:c r="A898" s="34" t="str">
        <x:v>article1-unified-v4-2-fb3f101b-20260903-000401-default-f04-p4-nostore</x:v>
      </x:c>
      <x:c r="B898" s="34" t="str">
        <x:v>default</x:v>
      </x:c>
      <x:c r="C898" s="34" t="str">
        <x:v>nostore</x:v>
      </x:c>
      <x:c r="D898" s="34" t="str">
        <x:v>nostore</x:v>
      </x:c>
      <x:c r="E898" s="36" t="n">
        <x:v>4</x:v>
      </x:c>
      <x:c r="F898" s="36" t="n">
        <x:v>4</x:v>
      </x:c>
      <x:c r="G898" s="36" t="n">
        <x:v>4</x:v>
      </x:c>
      <x:c r="H898" s="36" t="n">
        <x:v>5</x:v>
      </x:c>
      <x:c r="I898" s="34" t="str">
        <x:v>loaded</x:v>
      </x:c>
      <x:c r="J898" s="34" t="str">
        <x:v>loaded</x:v>
      </x:c>
      <x:c r="K898" s="36" t="n">
        <x:v>0</x:v>
      </x:c>
      <x:c r="L898" s="34" t="str">
        <x:v>initial</x:v>
      </x:c>
      <x:c r="M898" s="34" t="str">
        <x:v>article1-unified-v4-2-fb3f101b-20260903-000401-default-f04-p4-nostore-5-loaded</x:v>
      </x:c>
      <x:c r="N898" s="38" t="n">
        <x:v>46268.04617949074</x:v>
      </x:c>
      <x:c r="O898" s="36" t="n">
        <x:v>0</x:v>
      </x:c>
      <x:c r="P898" s="43" t="n">
        <x:v>310647808</x:v>
      </x:c>
      <x:c r="Q898" s="43" t="n">
        <x:v>340787200</x:v>
      </x:c>
      <x:c r="R898" s="43" t="n">
        <x:v>497019904</x:v>
      </x:c>
      <x:c r="S898" s="36" t="n">
        <x:v>2</x:v>
      </x:c>
      <x:c r="T898" s="44" t="str">
        <x:v>0x000000002c1177b8  0x000000002c003818  0x00007a2d94615a10       0         0         0  org.apache.catalina.loader.ParallelWebappClassLoader | 0x000000002c1177b8  0x000000002c003818  0x00007a2ca4002c40    4287  20419584  20408736  org.apache.catalina.loader.ParallelWebappClassLoader</x:v>
      </x:c>
      <x:c r="U898" s="36" t="n">
        <x:v>27</x:v>
      </x:c>
      <x:c r="V898" s="36" t="n">
        <x:v>0</x:v>
      </x:c>
      <x:c r="W898" s="44"/>
      <x:c r="X898" s="36"/>
      <x:c r="Y898" s="36"/>
      <x:c r="Z898" s="44"/>
      <x:c r="AA898" s="49"/>
      <x:c r="AB898" s="43"/>
      <x:c r="AC898" s="34"/>
      <x:c r="AD898" s="34"/>
      <x:c r="AE898" s="34"/>
      <x:c r="AF898" s="34"/>
      <x:c r="AG898" s="34"/>
      <x:c r="AH898" s="34"/>
      <x:c r="AI898" s="34"/>
    </x:row>
    <x:row r="899">
      <x:c r="A899" s="34" t="str">
        <x:v>article1-unified-v4-2-fb3f101b-20260903-000401-default-f04-p4-nostore</x:v>
      </x:c>
      <x:c r="B899" s="34" t="str">
        <x:v>default</x:v>
      </x:c>
      <x:c r="C899" s="34" t="str">
        <x:v>nostore</x:v>
      </x:c>
      <x:c r="D899" s="34" t="str">
        <x:v>nostore</x:v>
      </x:c>
      <x:c r="E899" s="36" t="n">
        <x:v>4</x:v>
      </x:c>
      <x:c r="F899" s="36" t="n">
        <x:v>4</x:v>
      </x:c>
      <x:c r="G899" s="36" t="n">
        <x:v>4</x:v>
      </x:c>
      <x:c r="H899" s="36" t="n">
        <x:v>5</x:v>
      </x:c>
      <x:c r="I899" s="34" t="str">
        <x:v>afterUndeployEarly</x:v>
      </x:c>
      <x:c r="J899" s="34" t="str">
        <x:v>after-undeploy-early</x:v>
      </x:c>
      <x:c r="K899" s="36" t="n">
        <x:v>1</x:v>
      </x:c>
      <x:c r="L899" s="34" t="str">
        <x:v>early</x:v>
      </x:c>
      <x:c r="M899" s="34" t="str">
        <x:v>article1-unified-v4-2-fb3f101b-20260903-000401-default-f04-p4-nostore-5-after-undeploy-early-2s</x:v>
      </x:c>
      <x:c r="N899" s="38" t="n">
        <x:v>46268.04626145833</x:v>
      </x:c>
      <x:c r="O899" s="36"/>
      <x:c r="P899" s="43"/>
      <x:c r="Q899" s="43"/>
      <x:c r="R899" s="43"/>
      <x:c r="S899" s="36"/>
      <x:c r="T899" s="44"/>
      <x:c r="U899" s="36" t="n">
        <x:v>27</x:v>
      </x:c>
      <x:c r="V899" s="36" t="n">
        <x:v>0</x:v>
      </x:c>
      <x:c r="W899" s="44"/>
      <x:c r="X899" s="36"/>
      <x:c r="Y899" s="36"/>
      <x:c r="Z899" s="44"/>
      <x:c r="AA899" s="49"/>
      <x:c r="AB899" s="43" t="n">
        <x:v>1</x:v>
      </x:c>
      <x:c r="AC899" s="34"/>
      <x:c r="AD899" s="34"/>
      <x:c r="AE899" s="34" t="str">
        <x:v>article1-unified-v4-2-fb3f101b-20260903-000401-default-f04-p4-nostore-5-after-undeploy-early-2s-thread-dump.txt</x:v>
      </x:c>
      <x:c r="AF899" s="34" t="str">
        <x:v>article1-unified-v4-2-fb3f101b-20260903-000401-default-f04-p4-nostore-5-after-undeploy-early-tomcat-log.txt</x:v>
      </x:c>
      <x:c r="AG899" s="34"/>
      <x:c r="AH899" s="34"/>
      <x:c r="AI899" s="34"/>
    </x:row>
    <x:row r="900">
      <x:c r="A900" s="34" t="str">
        <x:v>article1-unified-v4-2-fb3f101b-20260903-000401-default-f04-p4-nostore</x:v>
      </x:c>
      <x:c r="B900" s="34" t="str">
        <x:v>default</x:v>
      </x:c>
      <x:c r="C900" s="34" t="str">
        <x:v>nostore</x:v>
      </x:c>
      <x:c r="D900" s="34" t="str">
        <x:v>nostore</x:v>
      </x:c>
      <x:c r="E900" s="36" t="n">
        <x:v>4</x:v>
      </x:c>
      <x:c r="F900" s="36" t="n">
        <x:v>4</x:v>
      </x:c>
      <x:c r="G900" s="36" t="n">
        <x:v>4</x:v>
      </x:c>
      <x:c r="H900" s="36" t="n">
        <x:v>5</x:v>
      </x:c>
      <x:c r="I900" s="34" t="str">
        <x:v>afterUndeploy</x:v>
      </x:c>
      <x:c r="J900" s="34" t="str">
        <x:v>after-undeploy-final</x:v>
      </x:c>
      <x:c r="K900" s="36" t="n">
        <x:v>1</x:v>
      </x:c>
      <x:c r="L900" s="34" t="str">
        <x:v>final</x:v>
      </x:c>
      <x:c r="M900" s="34" t="str">
        <x:v>article1-unified-v4-2-fb3f101b-20260903-000401-default-f04-p4-nostore-5-after-undeploy-final-10s</x:v>
      </x:c>
      <x:c r="N900" s="38" t="n">
        <x:v>46268.046421377316</x:v>
      </x:c>
      <x:c r="O900" s="36" t="n">
        <x:v>2</x:v>
      </x:c>
      <x:c r="P900" s="43" t="n">
        <x:v>15356928</x:v>
      </x:c>
      <x:c r="Q900" s="43" t="n">
        <x:v>268435456</x:v>
      </x:c>
      <x:c r="R900" s="43" t="n">
        <x:v>422748160</x:v>
      </x:c>
      <x:c r="S900" s="36" t="n">
        <x:v>2</x:v>
      </x:c>
      <x:c r="T900" s="44" t="str">
        <x:v>0x000000002c1177b8  0x000000002c003818  0x00007a2d94615a10       0         0         0  org.apache.catalina.loader.ParallelWebappClassLoader | 0x000000002c1177b8  0x000000002c003818  0x00007a2ca4002c40    4295  20452352  20433344  org.apache.catalina.loader.ParallelWebappClassLoader</x:v>
      </x:c>
      <x:c r="U900" s="36" t="n">
        <x:v>27</x:v>
      </x:c>
      <x:c r="V900" s="36" t="n">
        <x:v>0</x:v>
      </x:c>
      <x:c r="W900" s="44"/>
      <x:c r="X900" s="36" t="n">
        <x:v>1</x:v>
      </x:c>
      <x:c r="Y900" s="36" t="n">
        <x:v>1</x:v>
      </x:c>
      <x:c r="Z900" s="44" t="str">
        <x:v>/nostore</x:v>
      </x:c>
      <x:c r="AA900" s="45" t="b">
        <x:v>1</x:v>
      </x:c>
      <x:c r="AB900" s="43"/>
      <x:c r="AC900" s="34" t="str">
        <x:v>article1-unified-v4-2-fb3f101b-20260903-000401-default-f04-p4-nostore-5-after-undeploy-final-10s-heap-info.txt</x:v>
      </x:c>
      <x:c r="AD900" s="34" t="str">
        <x:v>article1-unified-v4-2-fb3f101b-20260903-000401-default-f04-p4-nostore-5-after-undeploy-final-10s-classloader-stats.txt</x:v>
      </x:c>
      <x:c r="AE900" s="34" t="str">
        <x:v>article1-unified-v4-2-fb3f101b-20260903-000401-default-f04-p4-nostore-5-after-undeploy-final-10s-thread-dump.txt</x:v>
      </x:c>
      <x:c r="AF900" s="34"/>
      <x:c r="AG900" s="34" t="str">
        <x:v>article1-unified-v4-2-fb3f101b-20260903-000401-default-f04-p4-nostore-5-after-undeploy-final-10s-native-memory.txt</x:v>
      </x:c>
      <x:c r="AH900" s="34" t="str">
        <x:v>article1-unified-v4-2-fb3f101b-20260903-000401-default-f04-p4-nostore-5-after-undeploy-final-10s-class-histogram.txt</x:v>
      </x:c>
      <x:c r="AI900" s="34" t="str">
        <x:v>article1-unified-v4-2-fb3f101b-20260903-000401-default-f04-p4-nostore-5-after-undeploy-tomcat-findleaks.txt</x:v>
      </x:c>
    </x:row>
    <x:row r="901">
      <x:c r="A901" s="34" t="str">
        <x:v>article1-unified-v4-2-fb3f101b-20260903-000401-default-f04-p4-nostore</x:v>
      </x:c>
      <x:c r="B901" s="34" t="str">
        <x:v>default</x:v>
      </x:c>
      <x:c r="C901" s="34" t="str">
        <x:v>nostore</x:v>
      </x:c>
      <x:c r="D901" s="34" t="str">
        <x:v>nostore</x:v>
      </x:c>
      <x:c r="E901" s="36" t="n">
        <x:v>4</x:v>
      </x:c>
      <x:c r="F901" s="36" t="n">
        <x:v>4</x:v>
      </x:c>
      <x:c r="G901" s="36" t="n">
        <x:v>4</x:v>
      </x:c>
      <x:c r="H901" s="36" t="n">
        <x:v>5</x:v>
      </x:c>
      <x:c r="I901" s="34" t="str">
        <x:v>redeployedLoaded</x:v>
      </x:c>
      <x:c r="J901" s="34" t="str">
        <x:v>redeployed-loaded</x:v>
      </x:c>
      <x:c r="K901" s="36" t="n">
        <x:v>0</x:v>
      </x:c>
      <x:c r="L901" s="34" t="str">
        <x:v>redeploy</x:v>
      </x:c>
      <x:c r="M901" s="34" t="str">
        <x:v>article1-unified-v4-2-fb3f101b-20260903-000401-default-f04-p4-nostore-5-redeployed-loaded</x:v>
      </x:c>
      <x:c r="N901" s="38" t="n">
        <x:v>46268.04668398148</x:v>
      </x:c>
      <x:c r="O901" s="36" t="n">
        <x:v>0</x:v>
      </x:c>
      <x:c r="P901" s="43" t="n">
        <x:v>184612864</x:v>
      </x:c>
      <x:c r="Q901" s="43" t="n">
        <x:v>467664896</x:v>
      </x:c>
      <x:c r="R901" s="43" t="n">
        <x:v>646257664</x:v>
      </x:c>
      <x:c r="S901" s="36" t="n">
        <x:v>3</x:v>
      </x:c>
      <x:c r="T901" s="44" t="str">
        <x:v>0x000000002c1177b8  0x000000002c003818  0x00007a2d94615a10       0         0         0  org.apache.catalina.loader.ParallelWebappClassLoader | 0x000000002c1177b8  0x000000002c003818  0x00007a2ca4002c40    4295  20452352  20433344  org.apache.catalina.loader.ParallelWebappClassLoader | 0x000000002c1177b8  0x000000002c003818  0x00007a2cd01a5970    4290  20514816  20488720  org.apache.catalina.loader.ParallelWebappClassLoader</x:v>
      </x:c>
      <x:c r="U901" s="36" t="n">
        <x:v>27</x:v>
      </x:c>
      <x:c r="V901" s="36" t="n">
        <x:v>0</x:v>
      </x:c>
      <x:c r="W901" s="44"/>
      <x:c r="X901" s="36"/>
      <x:c r="Y901" s="36"/>
      <x:c r="Z901" s="44"/>
      <x:c r="AA901" s="49"/>
      <x:c r="AB901" s="43"/>
      <x:c r="AC901" s="34"/>
      <x:c r="AD901" s="34"/>
      <x:c r="AE901" s="34"/>
      <x:c r="AF901" s="34"/>
      <x:c r="AG901" s="34"/>
      <x:c r="AH901" s="34"/>
      <x:c r="AI901" s="34"/>
    </x:row>
    <x:row r="902">
      <x:c r="A902" s="34" t="str">
        <x:v>article1-unified-v4-2-fb3f101b-20260903-000401-default-f04-p4-nostore</x:v>
      </x:c>
      <x:c r="B902" s="34" t="str">
        <x:v>default</x:v>
      </x:c>
      <x:c r="C902" s="34" t="str">
        <x:v>nostore</x:v>
      </x:c>
      <x:c r="D902" s="34" t="str">
        <x:v>nostore</x:v>
      </x:c>
      <x:c r="E902" s="36" t="n">
        <x:v>4</x:v>
      </x:c>
      <x:c r="F902" s="36" t="n">
        <x:v>4</x:v>
      </x:c>
      <x:c r="G902" s="36" t="n">
        <x:v>4</x:v>
      </x:c>
      <x:c r="H902" s="36" t="n">
        <x:v>5</x:v>
      </x:c>
      <x:c r="I902" s="34" t="str">
        <x:v>afterFinalUndeployEarly</x:v>
      </x:c>
      <x:c r="J902" s="34" t="str">
        <x:v>after-final-undeploy-early</x:v>
      </x:c>
      <x:c r="K902" s="36" t="n">
        <x:v>2</x:v>
      </x:c>
      <x:c r="L902" s="34" t="str">
        <x:v>early</x:v>
      </x:c>
      <x:c r="M902" s="34" t="str">
        <x:v>article1-unified-v4-2-fb3f101b-20260903-000401-default-f04-p4-nostore-5-after-final-undeploy-early-2s</x:v>
      </x:c>
      <x:c r="N902" s="38" t="n">
        <x:v>46268.046768726854</x:v>
      </x:c>
      <x:c r="O902" s="36"/>
      <x:c r="P902" s="43"/>
      <x:c r="Q902" s="43"/>
      <x:c r="R902" s="43"/>
      <x:c r="S902" s="36"/>
      <x:c r="T902" s="44"/>
      <x:c r="U902" s="36" t="n">
        <x:v>27</x:v>
      </x:c>
      <x:c r="V902" s="36" t="n">
        <x:v>0</x:v>
      </x:c>
      <x:c r="W902" s="44"/>
      <x:c r="X902" s="36"/>
      <x:c r="Y902" s="36"/>
      <x:c r="Z902" s="44"/>
      <x:c r="AA902" s="49"/>
      <x:c r="AB902" s="43" t="n">
        <x:v>1</x:v>
      </x:c>
      <x:c r="AC902" s="34"/>
      <x:c r="AD902" s="34"/>
      <x:c r="AE902" s="34" t="str">
        <x:v>article1-unified-v4-2-fb3f101b-20260903-000401-default-f04-p4-nostore-5-after-final-undeploy-early-2s-thread-dump.txt</x:v>
      </x:c>
      <x:c r="AF902" s="34" t="str">
        <x:v>article1-unified-v4-2-fb3f101b-20260903-000401-default-f04-p4-nostore-5-after-final-undeploy-early-tomcat-log.txt</x:v>
      </x:c>
      <x:c r="AG902" s="34"/>
      <x:c r="AH902" s="34"/>
      <x:c r="AI902" s="34"/>
    </x:row>
    <x:row r="903">
      <x:c r="A903" s="34" t="str">
        <x:v>article1-unified-v4-2-fb3f101b-20260903-000401-default-f04-p4-nostore</x:v>
      </x:c>
      <x:c r="B903" s="34" t="str">
        <x:v>default</x:v>
      </x:c>
      <x:c r="C903" s="34" t="str">
        <x:v>nostore</x:v>
      </x:c>
      <x:c r="D903" s="34" t="str">
        <x:v>nostore</x:v>
      </x:c>
      <x:c r="E903" s="36" t="n">
        <x:v>4</x:v>
      </x:c>
      <x:c r="F903" s="36" t="n">
        <x:v>4</x:v>
      </x:c>
      <x:c r="G903" s="36" t="n">
        <x:v>4</x:v>
      </x:c>
      <x:c r="H903" s="36" t="n">
        <x:v>5</x:v>
      </x:c>
      <x:c r="I903" s="34" t="str">
        <x:v>afterFinalUndeploy</x:v>
      </x:c>
      <x:c r="J903" s="34" t="str">
        <x:v>after-final-undeploy-final</x:v>
      </x:c>
      <x:c r="K903" s="36" t="n">
        <x:v>2</x:v>
      </x:c>
      <x:c r="L903" s="34" t="str">
        <x:v>final</x:v>
      </x:c>
      <x:c r="M903" s="34" t="str">
        <x:v>article1-unified-v4-2-fb3f101b-20260903-000401-default-f04-p4-nostore-5-after-final-undeploy-final-10s</x:v>
      </x:c>
      <x:c r="N903" s="38" t="n">
        <x:v>46268.0469240625</x:v>
      </x:c>
      <x:c r="O903" s="36" t="n">
        <x:v>2</x:v>
      </x:c>
      <x:c r="P903" s="43" t="n">
        <x:v>15471616</x:v>
      </x:c>
      <x:c r="Q903" s="43" t="n">
        <x:v>268435456</x:v>
      </x:c>
      <x:c r="R903" s="43" t="n">
        <x:v>427492352</x:v>
      </x:c>
      <x:c r="S903" s="36" t="n">
        <x:v>2</x:v>
      </x:c>
      <x:c r="T903" s="44" t="str">
        <x:v>0x000000002c1177b8  0x000000002c003818  0x00007a2d94615a10       0         0         0  org.apache.catalina.loader.ParallelWebappClassLoader | 0x000000002c1177b8  0x000000002c003818  0x00007a2cd01a5970    4298  20531200  20513408  org.apache.catalina.loader.ParallelWebappClassLoader</x:v>
      </x:c>
      <x:c r="U903" s="36" t="n">
        <x:v>27</x:v>
      </x:c>
      <x:c r="V903" s="36" t="n">
        <x:v>0</x:v>
      </x:c>
      <x:c r="W903" s="44"/>
      <x:c r="X903" s="36" t="n">
        <x:v>1</x:v>
      </x:c>
      <x:c r="Y903" s="36" t="n">
        <x:v>1</x:v>
      </x:c>
      <x:c r="Z903" s="44" t="str">
        <x:v>/nostore</x:v>
      </x:c>
      <x:c r="AA903" s="45" t="b">
        <x:v>1</x:v>
      </x:c>
      <x:c r="AB903" s="43"/>
      <x:c r="AC903" s="34" t="str">
        <x:v>article1-unified-v4-2-fb3f101b-20260903-000401-default-f04-p4-nostore-5-after-final-undeploy-final-10s-heap-info.txt</x:v>
      </x:c>
      <x:c r="AD903" s="34" t="str">
        <x:v>article1-unified-v4-2-fb3f101b-20260903-000401-default-f04-p4-nostore-5-after-final-undeploy-final-10s-classloader-stats.txt</x:v>
      </x:c>
      <x:c r="AE903" s="34" t="str">
        <x:v>article1-unified-v4-2-fb3f101b-20260903-000401-default-f04-p4-nostore-5-after-final-undeploy-final-10s-thread-dump.txt</x:v>
      </x:c>
      <x:c r="AF903" s="34"/>
      <x:c r="AG903" s="34" t="str">
        <x:v>article1-unified-v4-2-fb3f101b-20260903-000401-default-f04-p4-nostore-5-after-final-undeploy-final-10s-native-memory.txt</x:v>
      </x:c>
      <x:c r="AH903" s="34" t="str">
        <x:v>article1-unified-v4-2-fb3f101b-20260903-000401-default-f04-p4-nostore-5-after-final-undeploy-final-10s-class-histogram.txt</x:v>
      </x:c>
      <x:c r="AI903" s="34" t="str">
        <x:v>article1-unified-v4-2-fb3f101b-20260903-000401-default-f04-p4-nostore-5-after-final-undeploy-tomcat-findleaks.txt</x:v>
      </x:c>
    </x:row>
    <x:row r="904">
      <x:c r="A904" s="34" t="str">
        <x:v>article1-unified-v4-2-fb3f101b-20260903-000401-default-f04-p5-ehcache</x:v>
      </x:c>
      <x:c r="B904" s="34" t="str">
        <x:v>default</x:v>
      </x:c>
      <x:c r="C904" s="34" t="str">
        <x:v>ehcache</x:v>
      </x:c>
      <x:c r="D904" s="34" t="str">
        <x:v>ehcache</x:v>
      </x:c>
      <x:c r="E904" s="36" t="n">
        <x:v>4</x:v>
      </x:c>
      <x:c r="F904" s="36" t="n">
        <x:v>4</x:v>
      </x:c>
      <x:c r="G904" s="36" t="n">
        <x:v>5</x:v>
      </x:c>
      <x:c r="H904" s="36" t="n">
        <x:v>0</x:v>
      </x:c>
      <x:c r="I904" s="34" t="str">
        <x:v>processBaseline</x:v>
      </x:c>
      <x:c r="J904" s="34" t="str">
        <x:v>process-baseline</x:v>
      </x:c>
      <x:c r="K904" s="36" t="n">
        <x:v>0</x:v>
      </x:c>
      <x:c r="L904" s="34" t="str">
        <x:v>baseline</x:v>
      </x:c>
      <x:c r="M904" s="34" t="str">
        <x:v>article1-unified-v4-2-fb3f101b-20260903-000401-default-f04-p5-ehcache-process-baseline</x:v>
      </x:c>
      <x:c r="N904" s="38" t="n">
        <x:v>46268.04716400463</x:v>
      </x:c>
      <x:c r="O904" s="36" t="n">
        <x:v>0</x:v>
      </x:c>
      <x:c r="P904" s="43" t="n">
        <x:v>32847872</x:v>
      </x:c>
      <x:c r="Q904" s="43" t="n">
        <x:v>270532608</x:v>
      </x:c>
      <x:c r="R904" s="43" t="n">
        <x:v>369286144</x:v>
      </x:c>
      <x:c r="S904" s="36" t="n">
        <x:v>1</x:v>
      </x:c>
      <x:c r="T904" s="44" t="str">
        <x:v>0x0000000052116bd8  0x0000000052003818  0x00007e4d68651aa0       0         0         0  org.apache.catalina.loader.ParallelWebappClassLoader</x:v>
      </x:c>
      <x:c r="U904" s="36" t="n">
        <x:v>27</x:v>
      </x:c>
      <x:c r="V904" s="36" t="n">
        <x:v>0</x:v>
      </x:c>
      <x:c r="W904" s="44"/>
      <x:c r="X904" s="36"/>
      <x:c r="Y904" s="36"/>
      <x:c r="Z904" s="44"/>
      <x:c r="AA904" s="49"/>
      <x:c r="AB904" s="43"/>
      <x:c r="AC904" s="34" t="str">
        <x:v>article1-unified-v4-2-fb3f101b-20260903-000401-default-f04-p5-ehcache-process-baseline-heap-info.txt</x:v>
      </x:c>
      <x:c r="AD904" s="34" t="str">
        <x:v>article1-unified-v4-2-fb3f101b-20260903-000401-default-f04-p5-ehcache-process-baseline-classloader-stats.txt</x:v>
      </x:c>
      <x:c r="AE904" s="34" t="str">
        <x:v>article1-unified-v4-2-fb3f101b-20260903-000401-default-f04-p5-ehcache-process-baseline-thread-dump.txt</x:v>
      </x:c>
      <x:c r="AF904" s="34"/>
      <x:c r="AG904" s="34" t="str">
        <x:v>article1-unified-v4-2-fb3f101b-20260903-000401-default-f04-p5-ehcache-process-baseline-native-memory.txt</x:v>
      </x:c>
      <x:c r="AH904" s="34"/>
      <x:c r="AI904" s="34"/>
    </x:row>
    <x:row r="905">
      <x:c r="A905" s="34" t="str">
        <x:v>article1-unified-v4-2-fb3f101b-20260903-000401-default-f04-p5-ehcache</x:v>
      </x:c>
      <x:c r="B905" s="34" t="str">
        <x:v>default</x:v>
      </x:c>
      <x:c r="C905" s="34" t="str">
        <x:v>ehcache</x:v>
      </x:c>
      <x:c r="D905" s="34" t="str">
        <x:v>ehcache</x:v>
      </x:c>
      <x:c r="E905" s="36" t="n">
        <x:v>4</x:v>
      </x:c>
      <x:c r="F905" s="36" t="n">
        <x:v>4</x:v>
      </x:c>
      <x:c r="G905" s="36" t="n">
        <x:v>5</x:v>
      </x:c>
      <x:c r="H905" s="36" t="n">
        <x:v>1</x:v>
      </x:c>
      <x:c r="I905" s="34" t="str">
        <x:v>baseline</x:v>
      </x:c>
      <x:c r="J905" s="34" t="str">
        <x:v>cycle-baseline</x:v>
      </x:c>
      <x:c r="K905" s="36" t="n">
        <x:v>0</x:v>
      </x:c>
      <x:c r="L905" s="34" t="str">
        <x:v>baseline</x:v>
      </x:c>
      <x:c r="M905" s="34" t="str">
        <x:v>article1-unified-v4-2-fb3f101b-20260903-000401-default-f04-p5-ehcache-1-baseline</x:v>
      </x:c>
      <x:c r="N905" s="38" t="n">
        <x:v>46268.04733959491</x:v>
      </x:c>
      <x:c r="O905" s="36" t="n">
        <x:v>0</x:v>
      </x:c>
      <x:c r="P905" s="43" t="n">
        <x:v>32847872</x:v>
      </x:c>
      <x:c r="Q905" s="43" t="n">
        <x:v>270532608</x:v>
      </x:c>
      <x:c r="R905" s="43" t="n">
        <x:v>369870848</x:v>
      </x:c>
      <x:c r="S905" s="36" t="n">
        <x:v>1</x:v>
      </x:c>
      <x:c r="T905" s="44" t="str">
        <x:v>0x0000000052116bd8  0x0000000052003818  0x00007e4d68651aa0       0         0         0  org.apache.catalina.loader.ParallelWebappClassLoader</x:v>
      </x:c>
      <x:c r="U905" s="36" t="n">
        <x:v>27</x:v>
      </x:c>
      <x:c r="V905" s="36" t="n">
        <x:v>0</x:v>
      </x:c>
      <x:c r="W905" s="44"/>
      <x:c r="X905" s="36"/>
      <x:c r="Y905" s="36"/>
      <x:c r="Z905" s="44"/>
      <x:c r="AA905" s="49"/>
      <x:c r="AB905" s="43"/>
      <x:c r="AC905" s="34" t="str">
        <x:v>article1-unified-v4-2-fb3f101b-20260903-000401-default-f04-p5-ehcache-1-baseline-heap-info.txt</x:v>
      </x:c>
      <x:c r="AD905" s="34" t="str">
        <x:v>article1-unified-v4-2-fb3f101b-20260903-000401-default-f04-p5-ehcache-1-baseline-classloader-stats.txt</x:v>
      </x:c>
      <x:c r="AE905" s="34" t="str">
        <x:v>article1-unified-v4-2-fb3f101b-20260903-000401-default-f04-p5-ehcache-1-baseline-thread-dump.txt</x:v>
      </x:c>
      <x:c r="AF905" s="34"/>
      <x:c r="AG905" s="34" t="str">
        <x:v>article1-unified-v4-2-fb3f101b-20260903-000401-default-f04-p5-ehcache-1-baseline-native-memory.txt</x:v>
      </x:c>
      <x:c r="AH905" s="34"/>
      <x:c r="AI905" s="34"/>
    </x:row>
    <x:row r="906">
      <x:c r="A906" s="34" t="str">
        <x:v>article1-unified-v4-2-fb3f101b-20260903-000401-default-f04-p5-ehcache</x:v>
      </x:c>
      <x:c r="B906" s="34" t="str">
        <x:v>default</x:v>
      </x:c>
      <x:c r="C906" s="34" t="str">
        <x:v>ehcache</x:v>
      </x:c>
      <x:c r="D906" s="34" t="str">
        <x:v>ehcache</x:v>
      </x:c>
      <x:c r="E906" s="36" t="n">
        <x:v>4</x:v>
      </x:c>
      <x:c r="F906" s="36" t="n">
        <x:v>4</x:v>
      </x:c>
      <x:c r="G906" s="36" t="n">
        <x:v>5</x:v>
      </x:c>
      <x:c r="H906" s="36" t="n">
        <x:v>1</x:v>
      </x:c>
      <x:c r="I906" s="34" t="str">
        <x:v>deployedIdle</x:v>
      </x:c>
      <x:c r="J906" s="34" t="str">
        <x:v>deployed-idle</x:v>
      </x:c>
      <x:c r="K906" s="36" t="n">
        <x:v>0</x:v>
      </x:c>
      <x:c r="L906" s="34" t="str">
        <x:v>initial</x:v>
      </x:c>
      <x:c r="M906" s="34" t="str">
        <x:v>article1-unified-v4-2-fb3f101b-20260903-000401-default-f04-p5-ehcache-1-deployed-idle</x:v>
      </x:c>
      <x:c r="N906" s="38" t="n">
        <x:v>46268.04744744213</x:v>
      </x:c>
      <x:c r="O906" s="36" t="n">
        <x:v>0</x:v>
      </x:c>
      <x:c r="P906" s="43" t="n">
        <x:v>23701504</x:v>
      </x:c>
      <x:c r="Q906" s="43" t="n">
        <x:v>268435456</x:v>
      </x:c>
      <x:c r="R906" s="43" t="n">
        <x:v>407875584</x:v>
      </x:c>
      <x:c r="S906" s="36" t="n">
        <x:v>2</x:v>
      </x:c>
      <x:c r="T906" s="44" t="str">
        <x:v>0x0000000052116bd8  0x0000000052003818  0x00007e4d68651aa0       0         0         0  org.apache.catalina.loader.ParallelWebappClassLoader | 0x0000000052116bd8  0x0000000052003818  0x00007e4cc004c480    4091  19435520  19411944  org.apache.catalina.loader.ParallelWebappClassLoader</x:v>
      </x:c>
      <x:c r="U906" s="36" t="n">
        <x:v>27</x:v>
      </x:c>
      <x:c r="V906" s="36" t="n">
        <x:v>0</x:v>
      </x:c>
      <x:c r="W906" s="44"/>
      <x:c r="X906" s="36"/>
      <x:c r="Y906" s="36"/>
      <x:c r="Z906" s="44"/>
      <x:c r="AA906" s="49"/>
      <x:c r="AB906" s="43"/>
      <x:c r="AC906" s="34"/>
      <x:c r="AD906" s="34"/>
      <x:c r="AE906" s="34"/>
      <x:c r="AF906" s="34"/>
      <x:c r="AG906" s="34"/>
      <x:c r="AH906" s="34"/>
      <x:c r="AI906" s="34"/>
    </x:row>
    <x:row r="907">
      <x:c r="A907" s="34" t="str">
        <x:v>article1-unified-v4-2-fb3f101b-20260903-000401-default-f04-p5-ehcache</x:v>
      </x:c>
      <x:c r="B907" s="34" t="str">
        <x:v>default</x:v>
      </x:c>
      <x:c r="C907" s="34" t="str">
        <x:v>ehcache</x:v>
      </x:c>
      <x:c r="D907" s="34" t="str">
        <x:v>ehcache</x:v>
      </x:c>
      <x:c r="E907" s="36" t="n">
        <x:v>4</x:v>
      </x:c>
      <x:c r="F907" s="36" t="n">
        <x:v>4</x:v>
      </x:c>
      <x:c r="G907" s="36" t="n">
        <x:v>5</x:v>
      </x:c>
      <x:c r="H907" s="36" t="n">
        <x:v>1</x:v>
      </x:c>
      <x:c r="I907" s="34" t="str">
        <x:v>loaded</x:v>
      </x:c>
      <x:c r="J907" s="34" t="str">
        <x:v>loaded</x:v>
      </x:c>
      <x:c r="K907" s="36" t="n">
        <x:v>0</x:v>
      </x:c>
      <x:c r="L907" s="34" t="str">
        <x:v>initial</x:v>
      </x:c>
      <x:c r="M907" s="34" t="str">
        <x:v>article1-unified-v4-2-fb3f101b-20260903-000401-default-f04-p5-ehcache-1-loaded</x:v>
      </x:c>
      <x:c r="N907" s="38" t="n">
        <x:v>46268.04760240741</x:v>
      </x:c>
      <x:c r="O907" s="36" t="n">
        <x:v>0</x:v>
      </x:c>
      <x:c r="P907" s="43" t="n">
        <x:v>221291520</x:v>
      </x:c>
      <x:c r="Q907" s="43" t="n">
        <x:v>268435456</x:v>
      </x:c>
      <x:c r="R907" s="43" t="n">
        <x:v>412777472</x:v>
      </x:c>
      <x:c r="S907" s="36" t="n">
        <x:v>2</x:v>
      </x:c>
      <x:c r="T907" s="44" t="str">
        <x:v>0x0000000052116bd8  0x0000000052003818  0x00007e4d68651aa0       0         0         0  org.apache.catalina.loader.ParallelWebappClassLoader | 0x0000000052116bd8  0x0000000052003818  0x00007e4cc004c480    4858  22631424  22608416  org.apache.catalina.loader.ParallelWebappClassLoader</x:v>
      </x:c>
      <x:c r="U907" s="36" t="n">
        <x:v>28</x:v>
      </x:c>
      <x:c r="V907" s="36" t="n">
        <x:v>0</x:v>
      </x:c>
      <x:c r="W907" s="44"/>
      <x:c r="X907" s="36"/>
      <x:c r="Y907" s="36"/>
      <x:c r="Z907" s="44"/>
      <x:c r="AA907" s="49"/>
      <x:c r="AB907" s="43"/>
      <x:c r="AC907" s="34"/>
      <x:c r="AD907" s="34"/>
      <x:c r="AE907" s="34"/>
      <x:c r="AF907" s="34"/>
      <x:c r="AG907" s="34"/>
      <x:c r="AH907" s="34"/>
      <x:c r="AI907" s="34"/>
    </x:row>
    <x:row r="908">
      <x:c r="A908" s="34" t="str">
        <x:v>article1-unified-v4-2-fb3f101b-20260903-000401-default-f04-p5-ehcache</x:v>
      </x:c>
      <x:c r="B908" s="34" t="str">
        <x:v>default</x:v>
      </x:c>
      <x:c r="C908" s="34" t="str">
        <x:v>ehcache</x:v>
      </x:c>
      <x:c r="D908" s="34" t="str">
        <x:v>ehcache</x:v>
      </x:c>
      <x:c r="E908" s="36" t="n">
        <x:v>4</x:v>
      </x:c>
      <x:c r="F908" s="36" t="n">
        <x:v>4</x:v>
      </x:c>
      <x:c r="G908" s="36" t="n">
        <x:v>5</x:v>
      </x:c>
      <x:c r="H908" s="36" t="n">
        <x:v>1</x:v>
      </x:c>
      <x:c r="I908" s="34" t="str">
        <x:v>afterUndeployEarly</x:v>
      </x:c>
      <x:c r="J908" s="34" t="str">
        <x:v>after-undeploy-early</x:v>
      </x:c>
      <x:c r="K908" s="36" t="n">
        <x:v>1</x:v>
      </x:c>
      <x:c r="L908" s="34" t="str">
        <x:v>early</x:v>
      </x:c>
      <x:c r="M908" s="34" t="str">
        <x:v>article1-unified-v4-2-fb3f101b-20260903-000401-default-f04-p5-ehcache-1-after-undeploy-early-2s</x:v>
      </x:c>
      <x:c r="N908" s="38" t="n">
        <x:v>46268.047684143516</x:v>
      </x:c>
      <x:c r="O908" s="36"/>
      <x:c r="P908" s="43"/>
      <x:c r="Q908" s="43"/>
      <x:c r="R908" s="43"/>
      <x:c r="S908" s="36"/>
      <x:c r="T908" s="44"/>
      <x:c r="U908" s="36" t="n">
        <x:v>27</x:v>
      </x:c>
      <x:c r="V908" s="36" t="n">
        <x:v>0</x:v>
      </x:c>
      <x:c r="W908" s="44"/>
      <x:c r="X908" s="36"/>
      <x:c r="Y908" s="36"/>
      <x:c r="Z908" s="44"/>
      <x:c r="AA908" s="49"/>
      <x:c r="AB908" s="43" t="n">
        <x:v>2</x:v>
      </x:c>
      <x:c r="AC908" s="34"/>
      <x:c r="AD908" s="34"/>
      <x:c r="AE908" s="34" t="str">
        <x:v>article1-unified-v4-2-fb3f101b-20260903-000401-default-f04-p5-ehcache-1-after-undeploy-early-2s-thread-dump.txt</x:v>
      </x:c>
      <x:c r="AF908" s="34" t="str">
        <x:v>article1-unified-v4-2-fb3f101b-20260903-000401-default-f04-p5-ehcache-1-after-undeploy-early-tomcat-log.txt</x:v>
      </x:c>
      <x:c r="AG908" s="34"/>
      <x:c r="AH908" s="34"/>
      <x:c r="AI908" s="34"/>
    </x:row>
    <x:row r="909">
      <x:c r="A909" s="34" t="str">
        <x:v>article1-unified-v4-2-fb3f101b-20260903-000401-default-f04-p5-ehcache</x:v>
      </x:c>
      <x:c r="B909" s="34" t="str">
        <x:v>default</x:v>
      </x:c>
      <x:c r="C909" s="34" t="str">
        <x:v>ehcache</x:v>
      </x:c>
      <x:c r="D909" s="34" t="str">
        <x:v>ehcache</x:v>
      </x:c>
      <x:c r="E909" s="36" t="n">
        <x:v>4</x:v>
      </x:c>
      <x:c r="F909" s="36" t="n">
        <x:v>4</x:v>
      </x:c>
      <x:c r="G909" s="36" t="n">
        <x:v>5</x:v>
      </x:c>
      <x:c r="H909" s="36" t="n">
        <x:v>1</x:v>
      </x:c>
      <x:c r="I909" s="34" t="str">
        <x:v>afterUndeploy</x:v>
      </x:c>
      <x:c r="J909" s="34" t="str">
        <x:v>after-undeploy-final</x:v>
      </x:c>
      <x:c r="K909" s="36" t="n">
        <x:v>1</x:v>
      </x:c>
      <x:c r="L909" s="34" t="str">
        <x:v>final</x:v>
      </x:c>
      <x:c r="M909" s="34" t="str">
        <x:v>article1-unified-v4-2-fb3f101b-20260903-000401-default-f04-p5-ehcache-1-after-undeploy-final-10s</x:v>
      </x:c>
      <x:c r="N909" s="38" t="n">
        <x:v>46268.04784315972</x:v>
      </x:c>
      <x:c r="O909" s="36" t="n">
        <x:v>2</x:v>
      </x:c>
      <x:c r="P909" s="43" t="n">
        <x:v>16065536</x:v>
      </x:c>
      <x:c r="Q909" s="43" t="n">
        <x:v>268435456</x:v>
      </x:c>
      <x:c r="R909" s="43" t="n">
        <x:v>411479040</x:v>
      </x:c>
      <x:c r="S909" s="36" t="n">
        <x:v>2</x:v>
      </x:c>
      <x:c r="T909" s="44" t="str">
        <x:v>0x0000000052116bd8  0x0000000052003818  0x00007e4d68651aa0       0         0         0  org.apache.catalina.loader.ParallelWebappClassLoader | 0x0000000052116bd8  0x0000000052003818  0x00007e4cc004c480    4868  22668288  22654160  org.apache.catalina.loader.ParallelWebappClassLoader</x:v>
      </x:c>
      <x:c r="U909" s="36" t="n">
        <x:v>27</x:v>
      </x:c>
      <x:c r="V909" s="36" t="n">
        <x:v>0</x:v>
      </x:c>
      <x:c r="W909" s="44"/>
      <x:c r="X909" s="36" t="n">
        <x:v>1</x:v>
      </x:c>
      <x:c r="Y909" s="36" t="n">
        <x:v>1</x:v>
      </x:c>
      <x:c r="Z909" s="44" t="str">
        <x:v>/ehcache</x:v>
      </x:c>
      <x:c r="AA909" s="45" t="b">
        <x:v>1</x:v>
      </x:c>
      <x:c r="AB909" s="43"/>
      <x:c r="AC909" s="34" t="str">
        <x:v>article1-unified-v4-2-fb3f101b-20260903-000401-default-f04-p5-ehcache-1-after-undeploy-final-10s-heap-info.txt</x:v>
      </x:c>
      <x:c r="AD909" s="34" t="str">
        <x:v>article1-unified-v4-2-fb3f101b-20260903-000401-default-f04-p5-ehcache-1-after-undeploy-final-10s-classloader-stats.txt</x:v>
      </x:c>
      <x:c r="AE909" s="34" t="str">
        <x:v>article1-unified-v4-2-fb3f101b-20260903-000401-default-f04-p5-ehcache-1-after-undeploy-final-10s-thread-dump.txt</x:v>
      </x:c>
      <x:c r="AF909" s="34"/>
      <x:c r="AG909" s="34" t="str">
        <x:v>article1-unified-v4-2-fb3f101b-20260903-000401-default-f04-p5-ehcache-1-after-undeploy-final-10s-native-memory.txt</x:v>
      </x:c>
      <x:c r="AH909" s="34" t="str">
        <x:v>article1-unified-v4-2-fb3f101b-20260903-000401-default-f04-p5-ehcache-1-after-undeploy-final-10s-class-histogram.txt</x:v>
      </x:c>
      <x:c r="AI909" s="34" t="str">
        <x:v>article1-unified-v4-2-fb3f101b-20260903-000401-default-f04-p5-ehcache-1-after-undeploy-tomcat-findleaks.txt</x:v>
      </x:c>
    </x:row>
    <x:row r="910">
      <x:c r="A910" s="34" t="str">
        <x:v>article1-unified-v4-2-fb3f101b-20260903-000401-default-f04-p5-ehcache</x:v>
      </x:c>
      <x:c r="B910" s="34" t="str">
        <x:v>default</x:v>
      </x:c>
      <x:c r="C910" s="34" t="str">
        <x:v>ehcache</x:v>
      </x:c>
      <x:c r="D910" s="34" t="str">
        <x:v>ehcache</x:v>
      </x:c>
      <x:c r="E910" s="36" t="n">
        <x:v>4</x:v>
      </x:c>
      <x:c r="F910" s="36" t="n">
        <x:v>4</x:v>
      </x:c>
      <x:c r="G910" s="36" t="n">
        <x:v>5</x:v>
      </x:c>
      <x:c r="H910" s="36" t="n">
        <x:v>1</x:v>
      </x:c>
      <x:c r="I910" s="34" t="str">
        <x:v>redeployedLoaded</x:v>
      </x:c>
      <x:c r="J910" s="34" t="str">
        <x:v>redeployed-loaded</x:v>
      </x:c>
      <x:c r="K910" s="36" t="n">
        <x:v>0</x:v>
      </x:c>
      <x:c r="L910" s="34" t="str">
        <x:v>redeploy</x:v>
      </x:c>
      <x:c r="M910" s="34" t="str">
        <x:v>article1-unified-v4-2-fb3f101b-20260903-000401-default-f04-p5-ehcache-1-redeployed-loaded</x:v>
      </x:c>
      <x:c r="N910" s="38" t="n">
        <x:v>46268.04810260417</x:v>
      </x:c>
      <x:c r="O910" s="36" t="n">
        <x:v>0</x:v>
      </x:c>
      <x:c r="P910" s="43" t="n">
        <x:v>210348032</x:v>
      </x:c>
      <x:c r="Q910" s="43" t="n">
        <x:v>268435456</x:v>
      </x:c>
      <x:c r="R910" s="43" t="n">
        <x:v>445417472</x:v>
      </x:c>
      <x:c r="S910" s="36" t="n">
        <x:v>3</x:v>
      </x:c>
      <x:c r="T910" s="44" t="str">
        <x:v>0x0000000052116bd8  0x0000000052003818  0x00007e4d68651aa0       0         0         0  org.apache.catalina.loader.ParallelWebappClassLoader | 0x0000000052116bd8  0x0000000052003818  0x00007e4cc004c480    4868  22668288  22654160  org.apache.catalina.loader.ParallelWebappClassLoader | 0x0000000052116bd8  0x0000000052003818  0x00007e4cd4036ad0    4850  22675456  22658368  org.apache.catalina.loader.ParallelWebappClassLoader</x:v>
      </x:c>
      <x:c r="U910" s="36" t="n">
        <x:v>27</x:v>
      </x:c>
      <x:c r="V910" s="36" t="n">
        <x:v>0</x:v>
      </x:c>
      <x:c r="W910" s="44"/>
      <x:c r="X910" s="36"/>
      <x:c r="Y910" s="36"/>
      <x:c r="Z910" s="44"/>
      <x:c r="AA910" s="49"/>
      <x:c r="AB910" s="43"/>
      <x:c r="AC910" s="34"/>
      <x:c r="AD910" s="34"/>
      <x:c r="AE910" s="34"/>
      <x:c r="AF910" s="34"/>
      <x:c r="AG910" s="34"/>
      <x:c r="AH910" s="34"/>
      <x:c r="AI910" s="34"/>
    </x:row>
    <x:row r="911">
      <x:c r="A911" s="34" t="str">
        <x:v>article1-unified-v4-2-fb3f101b-20260903-000401-default-f04-p5-ehcache</x:v>
      </x:c>
      <x:c r="B911" s="34" t="str">
        <x:v>default</x:v>
      </x:c>
      <x:c r="C911" s="34" t="str">
        <x:v>ehcache</x:v>
      </x:c>
      <x:c r="D911" s="34" t="str">
        <x:v>ehcache</x:v>
      </x:c>
      <x:c r="E911" s="36" t="n">
        <x:v>4</x:v>
      </x:c>
      <x:c r="F911" s="36" t="n">
        <x:v>4</x:v>
      </x:c>
      <x:c r="G911" s="36" t="n">
        <x:v>5</x:v>
      </x:c>
      <x:c r="H911" s="36" t="n">
        <x:v>1</x:v>
      </x:c>
      <x:c r="I911" s="34" t="str">
        <x:v>afterFinalUndeployEarly</x:v>
      </x:c>
      <x:c r="J911" s="34" t="str">
        <x:v>after-final-undeploy-early</x:v>
      </x:c>
      <x:c r="K911" s="36" t="n">
        <x:v>2</x:v>
      </x:c>
      <x:c r="L911" s="34" t="str">
        <x:v>early</x:v>
      </x:c>
      <x:c r="M911" s="34" t="str">
        <x:v>article1-unified-v4-2-fb3f101b-20260903-000401-default-f04-p5-ehcache-1-after-final-undeploy-early-2s</x:v>
      </x:c>
      <x:c r="N911" s="38" t="n">
        <x:v>46268.04818725694</x:v>
      </x:c>
      <x:c r="O911" s="36"/>
      <x:c r="P911" s="43"/>
      <x:c r="Q911" s="43"/>
      <x:c r="R911" s="43"/>
      <x:c r="S911" s="36"/>
      <x:c r="T911" s="44"/>
      <x:c r="U911" s="36" t="n">
        <x:v>27</x:v>
      </x:c>
      <x:c r="V911" s="36" t="n">
        <x:v>0</x:v>
      </x:c>
      <x:c r="W911" s="44"/>
      <x:c r="X911" s="36"/>
      <x:c r="Y911" s="36"/>
      <x:c r="Z911" s="44"/>
      <x:c r="AA911" s="49"/>
      <x:c r="AB911" s="43" t="n">
        <x:v>2</x:v>
      </x:c>
      <x:c r="AC911" s="34"/>
      <x:c r="AD911" s="34"/>
      <x:c r="AE911" s="34" t="str">
        <x:v>article1-unified-v4-2-fb3f101b-20260903-000401-default-f04-p5-ehcache-1-after-final-undeploy-early-2s-thread-dump.txt</x:v>
      </x:c>
      <x:c r="AF911" s="34" t="str">
        <x:v>article1-unified-v4-2-fb3f101b-20260903-000401-default-f04-p5-ehcache-1-after-final-undeploy-early-tomcat-log.txt</x:v>
      </x:c>
      <x:c r="AG911" s="34"/>
      <x:c r="AH911" s="34"/>
      <x:c r="AI911" s="34"/>
    </x:row>
    <x:row r="912">
      <x:c r="A912" s="34" t="str">
        <x:v>article1-unified-v4-2-fb3f101b-20260903-000401-default-f04-p5-ehcache</x:v>
      </x:c>
      <x:c r="B912" s="34" t="str">
        <x:v>default</x:v>
      </x:c>
      <x:c r="C912" s="34" t="str">
        <x:v>ehcache</x:v>
      </x:c>
      <x:c r="D912" s="34" t="str">
        <x:v>ehcache</x:v>
      </x:c>
      <x:c r="E912" s="36" t="n">
        <x:v>4</x:v>
      </x:c>
      <x:c r="F912" s="36" t="n">
        <x:v>4</x:v>
      </x:c>
      <x:c r="G912" s="36" t="n">
        <x:v>5</x:v>
      </x:c>
      <x:c r="H912" s="36" t="n">
        <x:v>1</x:v>
      </x:c>
      <x:c r="I912" s="34" t="str">
        <x:v>afterFinalUndeploy</x:v>
      </x:c>
      <x:c r="J912" s="34" t="str">
        <x:v>after-final-undeploy-final</x:v>
      </x:c>
      <x:c r="K912" s="36" t="n">
        <x:v>2</x:v>
      </x:c>
      <x:c r="L912" s="34" t="str">
        <x:v>final</x:v>
      </x:c>
      <x:c r="M912" s="34" t="str">
        <x:v>article1-unified-v4-2-fb3f101b-20260903-000401-default-f04-p5-ehcache-1-after-final-undeploy-final-10s</x:v>
      </x:c>
      <x:c r="N912" s="38" t="n">
        <x:v>46268.048345902775</x:v>
      </x:c>
      <x:c r="O912" s="36" t="n">
        <x:v>2</x:v>
      </x:c>
      <x:c r="P912" s="43" t="n">
        <x:v>16008192</x:v>
      </x:c>
      <x:c r="Q912" s="43" t="n">
        <x:v>268435456</x:v>
      </x:c>
      <x:c r="R912" s="43" t="n">
        <x:v>421413888</x:v>
      </x:c>
      <x:c r="S912" s="36" t="n">
        <x:v>2</x:v>
      </x:c>
      <x:c r="T912" s="44" t="str">
        <x:v>0x0000000052116bd8  0x0000000052003818  0x00007e4cd4036ad0    4860  22724608  22704072  org.apache.catalina.loader.ParallelWebappClassLoader | 0x0000000052116bd8  0x0000000052003818  0x00007e4d68651aa0       0         0         0  org.apache.catalina.loader.ParallelWebappClassLoader</x:v>
      </x:c>
      <x:c r="U912" s="36" t="n">
        <x:v>27</x:v>
      </x:c>
      <x:c r="V912" s="36" t="n">
        <x:v>0</x:v>
      </x:c>
      <x:c r="W912" s="44"/>
      <x:c r="X912" s="36" t="n">
        <x:v>1</x:v>
      </x:c>
      <x:c r="Y912" s="36" t="n">
        <x:v>1</x:v>
      </x:c>
      <x:c r="Z912" s="44" t="str">
        <x:v>/ehcache</x:v>
      </x:c>
      <x:c r="AA912" s="45" t="b">
        <x:v>1</x:v>
      </x:c>
      <x:c r="AB912" s="43"/>
      <x:c r="AC912" s="34" t="str">
        <x:v>article1-unified-v4-2-fb3f101b-20260903-000401-default-f04-p5-ehcache-1-after-final-undeploy-final-10s-heap-info.txt</x:v>
      </x:c>
      <x:c r="AD912" s="34" t="str">
        <x:v>article1-unified-v4-2-fb3f101b-20260903-000401-default-f04-p5-ehcache-1-after-final-undeploy-final-10s-classloader-stats.txt</x:v>
      </x:c>
      <x:c r="AE912" s="34" t="str">
        <x:v>article1-unified-v4-2-fb3f101b-20260903-000401-default-f04-p5-ehcache-1-after-final-undeploy-final-10s-thread-dump.txt</x:v>
      </x:c>
      <x:c r="AF912" s="34"/>
      <x:c r="AG912" s="34" t="str">
        <x:v>article1-unified-v4-2-fb3f101b-20260903-000401-default-f04-p5-ehcache-1-after-final-undeploy-final-10s-native-memory.txt</x:v>
      </x:c>
      <x:c r="AH912" s="34" t="str">
        <x:v>article1-unified-v4-2-fb3f101b-20260903-000401-default-f04-p5-ehcache-1-after-final-undeploy-final-10s-class-histogram.txt</x:v>
      </x:c>
      <x:c r="AI912" s="34" t="str">
        <x:v>article1-unified-v4-2-fb3f101b-20260903-000401-default-f04-p5-ehcache-1-after-final-undeploy-tomcat-findleaks.txt</x:v>
      </x:c>
    </x:row>
    <x:row r="913">
      <x:c r="A913" s="34" t="str">
        <x:v>article1-unified-v4-2-fb3f101b-20260903-000401-default-f04-p5-ehcache</x:v>
      </x:c>
      <x:c r="B913" s="34" t="str">
        <x:v>default</x:v>
      </x:c>
      <x:c r="C913" s="34" t="str">
        <x:v>ehcache</x:v>
      </x:c>
      <x:c r="D913" s="34" t="str">
        <x:v>ehcache</x:v>
      </x:c>
      <x:c r="E913" s="36" t="n">
        <x:v>4</x:v>
      </x:c>
      <x:c r="F913" s="36" t="n">
        <x:v>4</x:v>
      </x:c>
      <x:c r="G913" s="36" t="n">
        <x:v>5</x:v>
      </x:c>
      <x:c r="H913" s="36" t="n">
        <x:v>2</x:v>
      </x:c>
      <x:c r="I913" s="34" t="str">
        <x:v>baseline</x:v>
      </x:c>
      <x:c r="J913" s="34" t="str">
        <x:v>cycle-baseline</x:v>
      </x:c>
      <x:c r="K913" s="36" t="n">
        <x:v>0</x:v>
      </x:c>
      <x:c r="L913" s="34" t="str">
        <x:v>baseline</x:v>
      </x:c>
      <x:c r="M913" s="34" t="str">
        <x:v>article1-unified-v4-2-fb3f101b-20260903-000401-default-f04-p5-ehcache-2-baseline</x:v>
      </x:c>
      <x:c r="N913" s="38" t="n">
        <x:v>46268.04838734954</x:v>
      </x:c>
      <x:c r="O913" s="36" t="n">
        <x:v>0</x:v>
      </x:c>
      <x:c r="P913" s="43" t="n">
        <x:v>16008192</x:v>
      </x:c>
      <x:c r="Q913" s="43" t="n">
        <x:v>268435456</x:v>
      </x:c>
      <x:c r="R913" s="43" t="n">
        <x:v>420031488</x:v>
      </x:c>
      <x:c r="S913" s="36" t="n">
        <x:v>2</x:v>
      </x:c>
      <x:c r="T913" s="44" t="str">
        <x:v>0x0000000052116bd8  0x0000000052003818  0x00007e4cd4036ad0    4860  22724608  22704072  org.apache.catalina.loader.ParallelWebappClassLoader | 0x0000000052116bd8  0x0000000052003818  0x00007e4d68651aa0       0         0         0  org.apache.catalina.loader.ParallelWebappClassLoader</x:v>
      </x:c>
      <x:c r="U913" s="36" t="n">
        <x:v>27</x:v>
      </x:c>
      <x:c r="V913" s="36" t="n">
        <x:v>0</x:v>
      </x:c>
      <x:c r="W913" s="44"/>
      <x:c r="X913" s="36"/>
      <x:c r="Y913" s="36"/>
      <x:c r="Z913" s="44"/>
      <x:c r="AA913" s="49"/>
      <x:c r="AB913" s="43"/>
      <x:c r="AC913" s="34" t="str">
        <x:v>article1-unified-v4-2-fb3f101b-20260903-000401-default-f04-p5-ehcache-2-baseline-heap-info.txt</x:v>
      </x:c>
      <x:c r="AD913" s="34" t="str">
        <x:v>article1-unified-v4-2-fb3f101b-20260903-000401-default-f04-p5-ehcache-2-baseline-classloader-stats.txt</x:v>
      </x:c>
      <x:c r="AE913" s="34" t="str">
        <x:v>article1-unified-v4-2-fb3f101b-20260903-000401-default-f04-p5-ehcache-2-baseline-thread-dump.txt</x:v>
      </x:c>
      <x:c r="AF913" s="34"/>
      <x:c r="AG913" s="34" t="str">
        <x:v>article1-unified-v4-2-fb3f101b-20260903-000401-default-f04-p5-ehcache-2-baseline-native-memory.txt</x:v>
      </x:c>
      <x:c r="AH913" s="34"/>
      <x:c r="AI913" s="34"/>
    </x:row>
    <x:row r="914">
      <x:c r="A914" s="34" t="str">
        <x:v>article1-unified-v4-2-fb3f101b-20260903-000401-default-f04-p5-ehcache</x:v>
      </x:c>
      <x:c r="B914" s="34" t="str">
        <x:v>default</x:v>
      </x:c>
      <x:c r="C914" s="34" t="str">
        <x:v>ehcache</x:v>
      </x:c>
      <x:c r="D914" s="34" t="str">
        <x:v>ehcache</x:v>
      </x:c>
      <x:c r="E914" s="36" t="n">
        <x:v>4</x:v>
      </x:c>
      <x:c r="F914" s="36" t="n">
        <x:v>4</x:v>
      </x:c>
      <x:c r="G914" s="36" t="n">
        <x:v>5</x:v>
      </x:c>
      <x:c r="H914" s="36" t="n">
        <x:v>2</x:v>
      </x:c>
      <x:c r="I914" s="34" t="str">
        <x:v>deployedIdle</x:v>
      </x:c>
      <x:c r="J914" s="34" t="str">
        <x:v>deployed-idle</x:v>
      </x:c>
      <x:c r="K914" s="36" t="n">
        <x:v>0</x:v>
      </x:c>
      <x:c r="L914" s="34" t="str">
        <x:v>initial</x:v>
      </x:c>
      <x:c r="M914" s="34" t="str">
        <x:v>article1-unified-v4-2-fb3f101b-20260903-000401-default-f04-p5-ehcache-2-deployed-idle</x:v>
      </x:c>
      <x:c r="N914" s="38" t="n">
        <x:v>46268.04848644676</x:v>
      </x:c>
      <x:c r="O914" s="36" t="n">
        <x:v>0</x:v>
      </x:c>
      <x:c r="P914" s="43" t="n">
        <x:v>169837568</x:v>
      </x:c>
      <x:c r="Q914" s="43" t="n">
        <x:v>268435456</x:v>
      </x:c>
      <x:c r="R914" s="43" t="n">
        <x:v>437918720</x:v>
      </x:c>
      <x:c r="S914" s="36" t="n">
        <x:v>3</x:v>
      </x:c>
      <x:c r="T914" s="44" t="str">
        <x:v>0x0000000052116bd8  0x0000000052003818  0x00007e4cd4036ad0    4860  22724608  22704072  org.apache.catalina.loader.ParallelWebappClassLoader | 0x0000000052116bd8  0x0000000052003818  0x00007e4ce40094a0    4091  19431424  19428952  org.apache.catalina.loader.ParallelWebappClassLoader | 0x0000000052116bd8  0x0000000052003818  0x00007e4d68651aa0       0         0         0  org.apache.catalina.loader.ParallelWebappClassLoader</x:v>
      </x:c>
      <x:c r="U914" s="36" t="n">
        <x:v>27</x:v>
      </x:c>
      <x:c r="V914" s="36" t="n">
        <x:v>0</x:v>
      </x:c>
      <x:c r="W914" s="44"/>
      <x:c r="X914" s="36"/>
      <x:c r="Y914" s="36"/>
      <x:c r="Z914" s="44"/>
      <x:c r="AA914" s="49"/>
      <x:c r="AB914" s="43"/>
      <x:c r="AC914" s="34"/>
      <x:c r="AD914" s="34"/>
      <x:c r="AE914" s="34"/>
      <x:c r="AF914" s="34"/>
      <x:c r="AG914" s="34"/>
      <x:c r="AH914" s="34"/>
      <x:c r="AI914" s="34"/>
    </x:row>
    <x:row r="915">
      <x:c r="A915" s="34" t="str">
        <x:v>article1-unified-v4-2-fb3f101b-20260903-000401-default-f04-p5-ehcache</x:v>
      </x:c>
      <x:c r="B915" s="34" t="str">
        <x:v>default</x:v>
      </x:c>
      <x:c r="C915" s="34" t="str">
        <x:v>ehcache</x:v>
      </x:c>
      <x:c r="D915" s="34" t="str">
        <x:v>ehcache</x:v>
      </x:c>
      <x:c r="E915" s="36" t="n">
        <x:v>4</x:v>
      </x:c>
      <x:c r="F915" s="36" t="n">
        <x:v>4</x:v>
      </x:c>
      <x:c r="G915" s="36" t="n">
        <x:v>5</x:v>
      </x:c>
      <x:c r="H915" s="36" t="n">
        <x:v>2</x:v>
      </x:c>
      <x:c r="I915" s="34" t="str">
        <x:v>loaded</x:v>
      </x:c>
      <x:c r="J915" s="34" t="str">
        <x:v>loaded</x:v>
      </x:c>
      <x:c r="K915" s="36" t="n">
        <x:v>0</x:v>
      </x:c>
      <x:c r="L915" s="34" t="str">
        <x:v>initial</x:v>
      </x:c>
      <x:c r="M915" s="34" t="str">
        <x:v>article1-unified-v4-2-fb3f101b-20260903-000401-default-f04-p5-ehcache-2-loaded</x:v>
      </x:c>
      <x:c r="N915" s="38" t="n">
        <x:v>46268.048639988425</x:v>
      </x:c>
      <x:c r="O915" s="36" t="n">
        <x:v>0</x:v>
      </x:c>
      <x:c r="P915" s="43" t="n">
        <x:v>210749440</x:v>
      </x:c>
      <x:c r="Q915" s="43" t="n">
        <x:v>268435456</x:v>
      </x:c>
      <x:c r="R915" s="43" t="n">
        <x:v>447336448</x:v>
      </x:c>
      <x:c r="S915" s="36" t="n">
        <x:v>3</x:v>
      </x:c>
      <x:c r="T915" s="44" t="str">
        <x:v>0x0000000052116bd8  0x0000000052003818  0x00007e4cd4036ad0    4860  22724608  22704072  org.apache.catalina.loader.ParallelWebappClassLoader | 0x0000000052116bd8  0x0000000052003818  0x00007e4ce40094a0    4850  22674432  22658056  org.apache.catalina.loader.ParallelWebappClassLoader | 0x0000000052116bd8  0x0000000052003818  0x00007e4d68651aa0       0         0         0  org.apache.catalina.loader.ParallelWebappClassLoader</x:v>
      </x:c>
      <x:c r="U915" s="36" t="n">
        <x:v>28</x:v>
      </x:c>
      <x:c r="V915" s="36" t="n">
        <x:v>0</x:v>
      </x:c>
      <x:c r="W915" s="44"/>
      <x:c r="X915" s="36"/>
      <x:c r="Y915" s="36"/>
      <x:c r="Z915" s="44"/>
      <x:c r="AA915" s="49"/>
      <x:c r="AB915" s="43"/>
      <x:c r="AC915" s="34"/>
      <x:c r="AD915" s="34"/>
      <x:c r="AE915" s="34"/>
      <x:c r="AF915" s="34"/>
      <x:c r="AG915" s="34"/>
      <x:c r="AH915" s="34"/>
      <x:c r="AI915" s="34"/>
    </x:row>
    <x:row r="916">
      <x:c r="A916" s="34" t="str">
        <x:v>article1-unified-v4-2-fb3f101b-20260903-000401-default-f04-p5-ehcache</x:v>
      </x:c>
      <x:c r="B916" s="34" t="str">
        <x:v>default</x:v>
      </x:c>
      <x:c r="C916" s="34" t="str">
        <x:v>ehcache</x:v>
      </x:c>
      <x:c r="D916" s="34" t="str">
        <x:v>ehcache</x:v>
      </x:c>
      <x:c r="E916" s="36" t="n">
        <x:v>4</x:v>
      </x:c>
      <x:c r="F916" s="36" t="n">
        <x:v>4</x:v>
      </x:c>
      <x:c r="G916" s="36" t="n">
        <x:v>5</x:v>
      </x:c>
      <x:c r="H916" s="36" t="n">
        <x:v>2</x:v>
      </x:c>
      <x:c r="I916" s="34" t="str">
        <x:v>afterUndeployEarly</x:v>
      </x:c>
      <x:c r="J916" s="34" t="str">
        <x:v>after-undeploy-early</x:v>
      </x:c>
      <x:c r="K916" s="36" t="n">
        <x:v>1</x:v>
      </x:c>
      <x:c r="L916" s="34" t="str">
        <x:v>early</x:v>
      </x:c>
      <x:c r="M916" s="34" t="str">
        <x:v>article1-unified-v4-2-fb3f101b-20260903-000401-default-f04-p5-ehcache-2-after-undeploy-early-2s</x:v>
      </x:c>
      <x:c r="N916" s="38" t="n">
        <x:v>46268.04872142361</x:v>
      </x:c>
      <x:c r="O916" s="36"/>
      <x:c r="P916" s="43"/>
      <x:c r="Q916" s="43"/>
      <x:c r="R916" s="43"/>
      <x:c r="S916" s="36"/>
      <x:c r="T916" s="44"/>
      <x:c r="U916" s="36" t="n">
        <x:v>27</x:v>
      </x:c>
      <x:c r="V916" s="36" t="n">
        <x:v>0</x:v>
      </x:c>
      <x:c r="W916" s="44"/>
      <x:c r="X916" s="36"/>
      <x:c r="Y916" s="36"/>
      <x:c r="Z916" s="44"/>
      <x:c r="AA916" s="49"/>
      <x:c r="AB916" s="43" t="n">
        <x:v>2</x:v>
      </x:c>
      <x:c r="AC916" s="34"/>
      <x:c r="AD916" s="34"/>
      <x:c r="AE916" s="34" t="str">
        <x:v>article1-unified-v4-2-fb3f101b-20260903-000401-default-f04-p5-ehcache-2-after-undeploy-early-2s-thread-dump.txt</x:v>
      </x:c>
      <x:c r="AF916" s="34" t="str">
        <x:v>article1-unified-v4-2-fb3f101b-20260903-000401-default-f04-p5-ehcache-2-after-undeploy-early-tomcat-log.txt</x:v>
      </x:c>
      <x:c r="AG916" s="34"/>
      <x:c r="AH916" s="34"/>
      <x:c r="AI916" s="34"/>
    </x:row>
    <x:row r="917">
      <x:c r="A917" s="34" t="str">
        <x:v>article1-unified-v4-2-fb3f101b-20260903-000401-default-f04-p5-ehcache</x:v>
      </x:c>
      <x:c r="B917" s="34" t="str">
        <x:v>default</x:v>
      </x:c>
      <x:c r="C917" s="34" t="str">
        <x:v>ehcache</x:v>
      </x:c>
      <x:c r="D917" s="34" t="str">
        <x:v>ehcache</x:v>
      </x:c>
      <x:c r="E917" s="36" t="n">
        <x:v>4</x:v>
      </x:c>
      <x:c r="F917" s="36" t="n">
        <x:v>4</x:v>
      </x:c>
      <x:c r="G917" s="36" t="n">
        <x:v>5</x:v>
      </x:c>
      <x:c r="H917" s="36" t="n">
        <x:v>2</x:v>
      </x:c>
      <x:c r="I917" s="34" t="str">
        <x:v>afterUndeploy</x:v>
      </x:c>
      <x:c r="J917" s="34" t="str">
        <x:v>after-undeploy-final</x:v>
      </x:c>
      <x:c r="K917" s="36" t="n">
        <x:v>1</x:v>
      </x:c>
      <x:c r="L917" s="34" t="str">
        <x:v>final</x:v>
      </x:c>
      <x:c r="M917" s="34" t="str">
        <x:v>article1-unified-v4-2-fb3f101b-20260903-000401-default-f04-p5-ehcache-2-after-undeploy-final-10s</x:v>
      </x:c>
      <x:c r="N917" s="38" t="n">
        <x:v>46268.0488825</x:v>
      </x:c>
      <x:c r="O917" s="36" t="n">
        <x:v>2</x:v>
      </x:c>
      <x:c r="P917" s="43" t="n">
        <x:v>16047104</x:v>
      </x:c>
      <x:c r="Q917" s="43" t="n">
        <x:v>268435456</x:v>
      </x:c>
      <x:c r="R917" s="43" t="n">
        <x:v>418428928</x:v>
      </x:c>
      <x:c r="S917" s="36" t="n">
        <x:v>2</x:v>
      </x:c>
      <x:c r="T917" s="44" t="str">
        <x:v>0x0000000052116bd8  0x0000000052003818  0x00007e4ce40094a0    4860  22723584  22703800  org.apache.catalina.loader.ParallelWebappClassLoader | 0x0000000052116bd8  0x0000000052003818  0x00007e4d68651aa0       0         0         0  org.apache.catalina.loader.ParallelWebappClassLoader</x:v>
      </x:c>
      <x:c r="U917" s="36" t="n">
        <x:v>27</x:v>
      </x:c>
      <x:c r="V917" s="36" t="n">
        <x:v>0</x:v>
      </x:c>
      <x:c r="W917" s="44"/>
      <x:c r="X917" s="36" t="n">
        <x:v>1</x:v>
      </x:c>
      <x:c r="Y917" s="36" t="n">
        <x:v>1</x:v>
      </x:c>
      <x:c r="Z917" s="44" t="str">
        <x:v>/ehcache</x:v>
      </x:c>
      <x:c r="AA917" s="45" t="b">
        <x:v>1</x:v>
      </x:c>
      <x:c r="AB917" s="43"/>
      <x:c r="AC917" s="34" t="str">
        <x:v>article1-unified-v4-2-fb3f101b-20260903-000401-default-f04-p5-ehcache-2-after-undeploy-final-10s-heap-info.txt</x:v>
      </x:c>
      <x:c r="AD917" s="34" t="str">
        <x:v>article1-unified-v4-2-fb3f101b-20260903-000401-default-f04-p5-ehcache-2-after-undeploy-final-10s-classloader-stats.txt</x:v>
      </x:c>
      <x:c r="AE917" s="34" t="str">
        <x:v>article1-unified-v4-2-fb3f101b-20260903-000401-default-f04-p5-ehcache-2-after-undeploy-final-10s-thread-dump.txt</x:v>
      </x:c>
      <x:c r="AF917" s="34"/>
      <x:c r="AG917" s="34" t="str">
        <x:v>article1-unified-v4-2-fb3f101b-20260903-000401-default-f04-p5-ehcache-2-after-undeploy-final-10s-native-memory.txt</x:v>
      </x:c>
      <x:c r="AH917" s="34" t="str">
        <x:v>article1-unified-v4-2-fb3f101b-20260903-000401-default-f04-p5-ehcache-2-after-undeploy-final-10s-class-histogram.txt</x:v>
      </x:c>
      <x:c r="AI917" s="34" t="str">
        <x:v>article1-unified-v4-2-fb3f101b-20260903-000401-default-f04-p5-ehcache-2-after-undeploy-tomcat-findleaks.txt</x:v>
      </x:c>
    </x:row>
    <x:row r="918">
      <x:c r="A918" s="34" t="str">
        <x:v>article1-unified-v4-2-fb3f101b-20260903-000401-default-f04-p5-ehcache</x:v>
      </x:c>
      <x:c r="B918" s="34" t="str">
        <x:v>default</x:v>
      </x:c>
      <x:c r="C918" s="34" t="str">
        <x:v>ehcache</x:v>
      </x:c>
      <x:c r="D918" s="34" t="str">
        <x:v>ehcache</x:v>
      </x:c>
      <x:c r="E918" s="36" t="n">
        <x:v>4</x:v>
      </x:c>
      <x:c r="F918" s="36" t="n">
        <x:v>4</x:v>
      </x:c>
      <x:c r="G918" s="36" t="n">
        <x:v>5</x:v>
      </x:c>
      <x:c r="H918" s="36" t="n">
        <x:v>2</x:v>
      </x:c>
      <x:c r="I918" s="34" t="str">
        <x:v>redeployedLoaded</x:v>
      </x:c>
      <x:c r="J918" s="34" t="str">
        <x:v>redeployed-loaded</x:v>
      </x:c>
      <x:c r="K918" s="36" t="n">
        <x:v>0</x:v>
      </x:c>
      <x:c r="L918" s="34" t="str">
        <x:v>redeploy</x:v>
      </x:c>
      <x:c r="M918" s="34" t="str">
        <x:v>article1-unified-v4-2-fb3f101b-20260903-000401-default-f04-p5-ehcache-2-redeployed-loaded</x:v>
      </x:c>
      <x:c r="N918" s="38" t="n">
        <x:v>46268.049138518516</x:v>
      </x:c>
      <x:c r="O918" s="36" t="n">
        <x:v>0</x:v>
      </x:c>
      <x:c r="P918" s="43" t="n">
        <x:v>205986816</x:v>
      </x:c>
      <x:c r="Q918" s="43" t="n">
        <x:v>268435456</x:v>
      </x:c>
      <x:c r="R918" s="43" t="n">
        <x:v>447424512</x:v>
      </x:c>
      <x:c r="S918" s="36" t="n">
        <x:v>3</x:v>
      </x:c>
      <x:c r="T918" s="44" t="str">
        <x:v>0x0000000052116bd8  0x0000000052003818  0x00007e4ce40094a0    4860  22723584  22703800  org.apache.catalina.loader.ParallelWebappClassLoader | 0x0000000052116bd8  0x0000000052003818  0x00007e4c800130c0    4850  22667264  22648024  org.apache.catalina.loader.ParallelWebappClassLoader | 0x0000000052116bd8  0x0000000052003818  0x00007e4d68651aa0       0         0         0  org.apache.catalina.loader.ParallelWebappClassLoader</x:v>
      </x:c>
      <x:c r="U918" s="36" t="n">
        <x:v>28</x:v>
      </x:c>
      <x:c r="V918" s="36" t="n">
        <x:v>0</x:v>
      </x:c>
      <x:c r="W918" s="44"/>
      <x:c r="X918" s="36"/>
      <x:c r="Y918" s="36"/>
      <x:c r="Z918" s="44"/>
      <x:c r="AA918" s="49"/>
      <x:c r="AB918" s="43"/>
      <x:c r="AC918" s="34"/>
      <x:c r="AD918" s="34"/>
      <x:c r="AE918" s="34"/>
      <x:c r="AF918" s="34"/>
      <x:c r="AG918" s="34"/>
      <x:c r="AH918" s="34"/>
      <x:c r="AI918" s="34"/>
    </x:row>
    <x:row r="919">
      <x:c r="A919" s="34" t="str">
        <x:v>article1-unified-v4-2-fb3f101b-20260903-000401-default-f04-p5-ehcache</x:v>
      </x:c>
      <x:c r="B919" s="34" t="str">
        <x:v>default</x:v>
      </x:c>
      <x:c r="C919" s="34" t="str">
        <x:v>ehcache</x:v>
      </x:c>
      <x:c r="D919" s="34" t="str">
        <x:v>ehcache</x:v>
      </x:c>
      <x:c r="E919" s="36" t="n">
        <x:v>4</x:v>
      </x:c>
      <x:c r="F919" s="36" t="n">
        <x:v>4</x:v>
      </x:c>
      <x:c r="G919" s="36" t="n">
        <x:v>5</x:v>
      </x:c>
      <x:c r="H919" s="36" t="n">
        <x:v>2</x:v>
      </x:c>
      <x:c r="I919" s="34" t="str">
        <x:v>afterFinalUndeployEarly</x:v>
      </x:c>
      <x:c r="J919" s="34" t="str">
        <x:v>after-final-undeploy-early</x:v>
      </x:c>
      <x:c r="K919" s="36" t="n">
        <x:v>2</x:v>
      </x:c>
      <x:c r="L919" s="34" t="str">
        <x:v>early</x:v>
      </x:c>
      <x:c r="M919" s="34" t="str">
        <x:v>article1-unified-v4-2-fb3f101b-20260903-000401-default-f04-p5-ehcache-2-after-final-undeploy-early-2s</x:v>
      </x:c>
      <x:c r="N919" s="38" t="n">
        <x:v>46268.04922574074</x:v>
      </x:c>
      <x:c r="O919" s="36"/>
      <x:c r="P919" s="43"/>
      <x:c r="Q919" s="43"/>
      <x:c r="R919" s="43"/>
      <x:c r="S919" s="36"/>
      <x:c r="T919" s="44"/>
      <x:c r="U919" s="36" t="n">
        <x:v>27</x:v>
      </x:c>
      <x:c r="V919" s="36" t="n">
        <x:v>0</x:v>
      </x:c>
      <x:c r="W919" s="44"/>
      <x:c r="X919" s="36"/>
      <x:c r="Y919" s="36"/>
      <x:c r="Z919" s="44"/>
      <x:c r="AA919" s="49"/>
      <x:c r="AB919" s="43" t="n">
        <x:v>2</x:v>
      </x:c>
      <x:c r="AC919" s="34"/>
      <x:c r="AD919" s="34"/>
      <x:c r="AE919" s="34" t="str">
        <x:v>article1-unified-v4-2-fb3f101b-20260903-000401-default-f04-p5-ehcache-2-after-final-undeploy-early-2s-thread-dump.txt</x:v>
      </x:c>
      <x:c r="AF919" s="34" t="str">
        <x:v>article1-unified-v4-2-fb3f101b-20260903-000401-default-f04-p5-ehcache-2-after-final-undeploy-early-tomcat-log.txt</x:v>
      </x:c>
      <x:c r="AG919" s="34"/>
      <x:c r="AH919" s="34"/>
      <x:c r="AI919" s="34"/>
    </x:row>
    <x:row r="920">
      <x:c r="A920" s="34" t="str">
        <x:v>article1-unified-v4-2-fb3f101b-20260903-000401-default-f04-p5-ehcache</x:v>
      </x:c>
      <x:c r="B920" s="34" t="str">
        <x:v>default</x:v>
      </x:c>
      <x:c r="C920" s="34" t="str">
        <x:v>ehcache</x:v>
      </x:c>
      <x:c r="D920" s="34" t="str">
        <x:v>ehcache</x:v>
      </x:c>
      <x:c r="E920" s="36" t="n">
        <x:v>4</x:v>
      </x:c>
      <x:c r="F920" s="36" t="n">
        <x:v>4</x:v>
      </x:c>
      <x:c r="G920" s="36" t="n">
        <x:v>5</x:v>
      </x:c>
      <x:c r="H920" s="36" t="n">
        <x:v>2</x:v>
      </x:c>
      <x:c r="I920" s="34" t="str">
        <x:v>afterFinalUndeploy</x:v>
      </x:c>
      <x:c r="J920" s="34" t="str">
        <x:v>after-final-undeploy-final</x:v>
      </x:c>
      <x:c r="K920" s="36" t="n">
        <x:v>2</x:v>
      </x:c>
      <x:c r="L920" s="34" t="str">
        <x:v>final</x:v>
      </x:c>
      <x:c r="M920" s="34" t="str">
        <x:v>article1-unified-v4-2-fb3f101b-20260903-000401-default-f04-p5-ehcache-2-after-final-undeploy-final-10s</x:v>
      </x:c>
      <x:c r="N920" s="38" t="n">
        <x:v>46268.049375717594</x:v>
      </x:c>
      <x:c r="O920" s="36" t="n">
        <x:v>2</x:v>
      </x:c>
      <x:c r="P920" s="43" t="n">
        <x:v>16053248</x:v>
      </x:c>
      <x:c r="Q920" s="43" t="n">
        <x:v>268435456</x:v>
      </x:c>
      <x:c r="R920" s="43" t="n">
        <x:v>423823360</x:v>
      </x:c>
      <x:c r="S920" s="36" t="n">
        <x:v>2</x:v>
      </x:c>
      <x:c r="T920" s="44" t="str">
        <x:v>0x0000000052116bd8  0x0000000052003818  0x00007e4c800130c0    4860  22700032  22693776  org.apache.catalina.loader.ParallelWebappClassLoader | 0x0000000052116bd8  0x0000000052003818  0x00007e4d68651aa0       0         0         0  org.apache.catalina.loader.ParallelWebappClassLoader</x:v>
      </x:c>
      <x:c r="U920" s="36" t="n">
        <x:v>27</x:v>
      </x:c>
      <x:c r="V920" s="36" t="n">
        <x:v>0</x:v>
      </x:c>
      <x:c r="W920" s="44"/>
      <x:c r="X920" s="36" t="n">
        <x:v>1</x:v>
      </x:c>
      <x:c r="Y920" s="36" t="n">
        <x:v>1</x:v>
      </x:c>
      <x:c r="Z920" s="44" t="str">
        <x:v>/ehcache</x:v>
      </x:c>
      <x:c r="AA920" s="45" t="b">
        <x:v>1</x:v>
      </x:c>
      <x:c r="AB920" s="43"/>
      <x:c r="AC920" s="34" t="str">
        <x:v>article1-unified-v4-2-fb3f101b-20260903-000401-default-f04-p5-ehcache-2-after-final-undeploy-final-10s-heap-info.txt</x:v>
      </x:c>
      <x:c r="AD920" s="34" t="str">
        <x:v>article1-unified-v4-2-fb3f101b-20260903-000401-default-f04-p5-ehcache-2-after-final-undeploy-final-10s-classloader-stats.txt</x:v>
      </x:c>
      <x:c r="AE920" s="34" t="str">
        <x:v>article1-unified-v4-2-fb3f101b-20260903-000401-default-f04-p5-ehcache-2-after-final-undeploy-final-10s-thread-dump.txt</x:v>
      </x:c>
      <x:c r="AF920" s="34"/>
      <x:c r="AG920" s="34" t="str">
        <x:v>article1-unified-v4-2-fb3f101b-20260903-000401-default-f04-p5-ehcache-2-after-final-undeploy-final-10s-native-memory.txt</x:v>
      </x:c>
      <x:c r="AH920" s="34" t="str">
        <x:v>article1-unified-v4-2-fb3f101b-20260903-000401-default-f04-p5-ehcache-2-after-final-undeploy-final-10s-class-histogram.txt</x:v>
      </x:c>
      <x:c r="AI920" s="34" t="str">
        <x:v>article1-unified-v4-2-fb3f101b-20260903-000401-default-f04-p5-ehcache-2-after-final-undeploy-tomcat-findleaks.txt</x:v>
      </x:c>
    </x:row>
    <x:row r="921">
      <x:c r="A921" s="34" t="str">
        <x:v>article1-unified-v4-2-fb3f101b-20260903-000401-default-f04-p5-ehcache</x:v>
      </x:c>
      <x:c r="B921" s="34" t="str">
        <x:v>default</x:v>
      </x:c>
      <x:c r="C921" s="34" t="str">
        <x:v>ehcache</x:v>
      </x:c>
      <x:c r="D921" s="34" t="str">
        <x:v>ehcache</x:v>
      </x:c>
      <x:c r="E921" s="36" t="n">
        <x:v>4</x:v>
      </x:c>
      <x:c r="F921" s="36" t="n">
        <x:v>4</x:v>
      </x:c>
      <x:c r="G921" s="36" t="n">
        <x:v>5</x:v>
      </x:c>
      <x:c r="H921" s="36" t="n">
        <x:v>3</x:v>
      </x:c>
      <x:c r="I921" s="34" t="str">
        <x:v>baseline</x:v>
      </x:c>
      <x:c r="J921" s="34" t="str">
        <x:v>cycle-baseline</x:v>
      </x:c>
      <x:c r="K921" s="36" t="n">
        <x:v>0</x:v>
      </x:c>
      <x:c r="L921" s="34" t="str">
        <x:v>baseline</x:v>
      </x:c>
      <x:c r="M921" s="34" t="str">
        <x:v>article1-unified-v4-2-fb3f101b-20260903-000401-default-f04-p5-ehcache-3-baseline</x:v>
      </x:c>
      <x:c r="N921" s="38" t="n">
        <x:v>46268.04941789352</x:v>
      </x:c>
      <x:c r="O921" s="36" t="n">
        <x:v>0</x:v>
      </x:c>
      <x:c r="P921" s="43" t="n">
        <x:v>16053248</x:v>
      </x:c>
      <x:c r="Q921" s="43" t="n">
        <x:v>268435456</x:v>
      </x:c>
      <x:c r="R921" s="43" t="n">
        <x:v>424269824</x:v>
      </x:c>
      <x:c r="S921" s="36" t="n">
        <x:v>2</x:v>
      </x:c>
      <x:c r="T921" s="44" t="str">
        <x:v>0x0000000052116bd8  0x0000000052003818  0x00007e4c800130c0    4860  22700032  22693776  org.apache.catalina.loader.ParallelWebappClassLoader | 0x0000000052116bd8  0x0000000052003818  0x00007e4d68651aa0       0         0         0  org.apache.catalina.loader.ParallelWebappClassLoader</x:v>
      </x:c>
      <x:c r="U921" s="36" t="n">
        <x:v>27</x:v>
      </x:c>
      <x:c r="V921" s="36" t="n">
        <x:v>0</x:v>
      </x:c>
      <x:c r="W921" s="44"/>
      <x:c r="X921" s="36"/>
      <x:c r="Y921" s="36"/>
      <x:c r="Z921" s="44"/>
      <x:c r="AA921" s="49"/>
      <x:c r="AB921" s="43"/>
      <x:c r="AC921" s="34" t="str">
        <x:v>article1-unified-v4-2-fb3f101b-20260903-000401-default-f04-p5-ehcache-3-baseline-heap-info.txt</x:v>
      </x:c>
      <x:c r="AD921" s="34" t="str">
        <x:v>article1-unified-v4-2-fb3f101b-20260903-000401-default-f04-p5-ehcache-3-baseline-classloader-stats.txt</x:v>
      </x:c>
      <x:c r="AE921" s="34" t="str">
        <x:v>article1-unified-v4-2-fb3f101b-20260903-000401-default-f04-p5-ehcache-3-baseline-thread-dump.txt</x:v>
      </x:c>
      <x:c r="AF921" s="34"/>
      <x:c r="AG921" s="34" t="str">
        <x:v>article1-unified-v4-2-fb3f101b-20260903-000401-default-f04-p5-ehcache-3-baseline-native-memory.txt</x:v>
      </x:c>
      <x:c r="AH921" s="34"/>
      <x:c r="AI921" s="34"/>
    </x:row>
    <x:row r="922">
      <x:c r="A922" s="34" t="str">
        <x:v>article1-unified-v4-2-fb3f101b-20260903-000401-default-f04-p5-ehcache</x:v>
      </x:c>
      <x:c r="B922" s="34" t="str">
        <x:v>default</x:v>
      </x:c>
      <x:c r="C922" s="34" t="str">
        <x:v>ehcache</x:v>
      </x:c>
      <x:c r="D922" s="34" t="str">
        <x:v>ehcache</x:v>
      </x:c>
      <x:c r="E922" s="36" t="n">
        <x:v>4</x:v>
      </x:c>
      <x:c r="F922" s="36" t="n">
        <x:v>4</x:v>
      </x:c>
      <x:c r="G922" s="36" t="n">
        <x:v>5</x:v>
      </x:c>
      <x:c r="H922" s="36" t="n">
        <x:v>3</x:v>
      </x:c>
      <x:c r="I922" s="34" t="str">
        <x:v>deployedIdle</x:v>
      </x:c>
      <x:c r="J922" s="34" t="str">
        <x:v>deployed-idle</x:v>
      </x:c>
      <x:c r="K922" s="36" t="n">
        <x:v>0</x:v>
      </x:c>
      <x:c r="L922" s="34" t="str">
        <x:v>initial</x:v>
      </x:c>
      <x:c r="M922" s="34" t="str">
        <x:v>article1-unified-v4-2-fb3f101b-20260903-000401-default-f04-p5-ehcache-3-deployed-idle</x:v>
      </x:c>
      <x:c r="N922" s="38" t="n">
        <x:v>46268.049517893516</x:v>
      </x:c>
      <x:c r="O922" s="36" t="n">
        <x:v>0</x:v>
      </x:c>
      <x:c r="P922" s="43" t="n">
        <x:v>168367104</x:v>
      </x:c>
      <x:c r="Q922" s="43" t="n">
        <x:v>268435456</x:v>
      </x:c>
      <x:c r="R922" s="43" t="n">
        <x:v>440016896</x:v>
      </x:c>
      <x:c r="S922" s="36" t="n">
        <x:v>3</x:v>
      </x:c>
      <x:c r="T922" s="44" t="str">
        <x:v>0x0000000052116bd8  0x0000000052003818  0x00007e4c800130c0    4860  22700032  22693776  org.apache.catalina.loader.ParallelWebappClassLoader | 0x0000000052116bd8  0x0000000052003818  0x00007e4cc0976900    4091  19448832  19429912  org.apache.catalina.loader.ParallelWebappClassLoader | 0x0000000052116bd8  0x0000000052003818  0x00007e4d68651aa0       0         0         0  org.apache.catalina.loader.ParallelWebappClassLoader</x:v>
      </x:c>
      <x:c r="U922" s="36" t="n">
        <x:v>27</x:v>
      </x:c>
      <x:c r="V922" s="36" t="n">
        <x:v>0</x:v>
      </x:c>
      <x:c r="W922" s="44"/>
      <x:c r="X922" s="36"/>
      <x:c r="Y922" s="36"/>
      <x:c r="Z922" s="44"/>
      <x:c r="AA922" s="49"/>
      <x:c r="AB922" s="43"/>
      <x:c r="AC922" s="34"/>
      <x:c r="AD922" s="34"/>
      <x:c r="AE922" s="34"/>
      <x:c r="AF922" s="34"/>
      <x:c r="AG922" s="34"/>
      <x:c r="AH922" s="34"/>
      <x:c r="AI922" s="34"/>
    </x:row>
    <x:row r="923">
      <x:c r="A923" s="34" t="str">
        <x:v>article1-unified-v4-2-fb3f101b-20260903-000401-default-f04-p5-ehcache</x:v>
      </x:c>
      <x:c r="B923" s="34" t="str">
        <x:v>default</x:v>
      </x:c>
      <x:c r="C923" s="34" t="str">
        <x:v>ehcache</x:v>
      </x:c>
      <x:c r="D923" s="34" t="str">
        <x:v>ehcache</x:v>
      </x:c>
      <x:c r="E923" s="36" t="n">
        <x:v>4</x:v>
      </x:c>
      <x:c r="F923" s="36" t="n">
        <x:v>4</x:v>
      </x:c>
      <x:c r="G923" s="36" t="n">
        <x:v>5</x:v>
      </x:c>
      <x:c r="H923" s="36" t="n">
        <x:v>3</x:v>
      </x:c>
      <x:c r="I923" s="34" t="str">
        <x:v>loaded</x:v>
      </x:c>
      <x:c r="J923" s="34" t="str">
        <x:v>loaded</x:v>
      </x:c>
      <x:c r="K923" s="36" t="n">
        <x:v>0</x:v>
      </x:c>
      <x:c r="L923" s="34" t="str">
        <x:v>initial</x:v>
      </x:c>
      <x:c r="M923" s="34" t="str">
        <x:v>article1-unified-v4-2-fb3f101b-20260903-000401-default-f04-p5-ehcache-3-loaded</x:v>
      </x:c>
      <x:c r="N923" s="38" t="n">
        <x:v>46268.04966657407</x:v>
      </x:c>
      <x:c r="O923" s="36" t="n">
        <x:v>0</x:v>
      </x:c>
      <x:c r="P923" s="43" t="n">
        <x:v>212976640</x:v>
      </x:c>
      <x:c r="Q923" s="43" t="n">
        <x:v>268435456</x:v>
      </x:c>
      <x:c r="R923" s="43" t="n">
        <x:v>448741376</x:v>
      </x:c>
      <x:c r="S923" s="36" t="n">
        <x:v>3</x:v>
      </x:c>
      <x:c r="T923" s="44" t="str">
        <x:v>0x0000000052116bd8  0x0000000052003818  0x00007e4c800130c0    4860  22700032  22693776  org.apache.catalina.loader.ParallelWebappClassLoader | 0x0000000052116bd8  0x0000000052003818  0x00007e4cc0976900    4848  22676480  22660360  org.apache.catalina.loader.ParallelWebappClassLoader | 0x0000000052116bd8  0x0000000052003818  0x00007e4d68651aa0       0         0         0  org.apache.catalina.loader.ParallelWebappClassLoader</x:v>
      </x:c>
      <x:c r="U923" s="36" t="n">
        <x:v>28</x:v>
      </x:c>
      <x:c r="V923" s="36" t="n">
        <x:v>0</x:v>
      </x:c>
      <x:c r="W923" s="44"/>
      <x:c r="X923" s="36"/>
      <x:c r="Y923" s="36"/>
      <x:c r="Z923" s="44"/>
      <x:c r="AA923" s="49"/>
      <x:c r="AB923" s="43"/>
      <x:c r="AC923" s="34"/>
      <x:c r="AD923" s="34"/>
      <x:c r="AE923" s="34"/>
      <x:c r="AF923" s="34"/>
      <x:c r="AG923" s="34"/>
      <x:c r="AH923" s="34"/>
      <x:c r="AI923" s="34"/>
    </x:row>
    <x:row r="924">
      <x:c r="A924" s="34" t="str">
        <x:v>article1-unified-v4-2-fb3f101b-20260903-000401-default-f04-p5-ehcache</x:v>
      </x:c>
      <x:c r="B924" s="34" t="str">
        <x:v>default</x:v>
      </x:c>
      <x:c r="C924" s="34" t="str">
        <x:v>ehcache</x:v>
      </x:c>
      <x:c r="D924" s="34" t="str">
        <x:v>ehcache</x:v>
      </x:c>
      <x:c r="E924" s="36" t="n">
        <x:v>4</x:v>
      </x:c>
      <x:c r="F924" s="36" t="n">
        <x:v>4</x:v>
      </x:c>
      <x:c r="G924" s="36" t="n">
        <x:v>5</x:v>
      </x:c>
      <x:c r="H924" s="36" t="n">
        <x:v>3</x:v>
      </x:c>
      <x:c r="I924" s="34" t="str">
        <x:v>afterUndeployEarly</x:v>
      </x:c>
      <x:c r="J924" s="34" t="str">
        <x:v>after-undeploy-early</x:v>
      </x:c>
      <x:c r="K924" s="36" t="n">
        <x:v>1</x:v>
      </x:c>
      <x:c r="L924" s="34" t="str">
        <x:v>early</x:v>
      </x:c>
      <x:c r="M924" s="34" t="str">
        <x:v>article1-unified-v4-2-fb3f101b-20260903-000401-default-f04-p5-ehcache-3-after-undeploy-early-2s</x:v>
      </x:c>
      <x:c r="N924" s="38" t="n">
        <x:v>46268.04974905092</x:v>
      </x:c>
      <x:c r="O924" s="36"/>
      <x:c r="P924" s="43"/>
      <x:c r="Q924" s="43"/>
      <x:c r="R924" s="43"/>
      <x:c r="S924" s="36"/>
      <x:c r="T924" s="44"/>
      <x:c r="U924" s="36" t="n">
        <x:v>27</x:v>
      </x:c>
      <x:c r="V924" s="36" t="n">
        <x:v>0</x:v>
      </x:c>
      <x:c r="W924" s="44"/>
      <x:c r="X924" s="36"/>
      <x:c r="Y924" s="36"/>
      <x:c r="Z924" s="44"/>
      <x:c r="AA924" s="49"/>
      <x:c r="AB924" s="43" t="n">
        <x:v>2</x:v>
      </x:c>
      <x:c r="AC924" s="34"/>
      <x:c r="AD924" s="34"/>
      <x:c r="AE924" s="34" t="str">
        <x:v>article1-unified-v4-2-fb3f101b-20260903-000401-default-f04-p5-ehcache-3-after-undeploy-early-2s-thread-dump.txt</x:v>
      </x:c>
      <x:c r="AF924" s="34" t="str">
        <x:v>article1-unified-v4-2-fb3f101b-20260903-000401-default-f04-p5-ehcache-3-after-undeploy-early-tomcat-log.txt</x:v>
      </x:c>
      <x:c r="AG924" s="34"/>
      <x:c r="AH924" s="34"/>
      <x:c r="AI924" s="34"/>
    </x:row>
    <x:row r="925">
      <x:c r="A925" s="34" t="str">
        <x:v>article1-unified-v4-2-fb3f101b-20260903-000401-default-f04-p5-ehcache</x:v>
      </x:c>
      <x:c r="B925" s="34" t="str">
        <x:v>default</x:v>
      </x:c>
      <x:c r="C925" s="34" t="str">
        <x:v>ehcache</x:v>
      </x:c>
      <x:c r="D925" s="34" t="str">
        <x:v>ehcache</x:v>
      </x:c>
      <x:c r="E925" s="36" t="n">
        <x:v>4</x:v>
      </x:c>
      <x:c r="F925" s="36" t="n">
        <x:v>4</x:v>
      </x:c>
      <x:c r="G925" s="36" t="n">
        <x:v>5</x:v>
      </x:c>
      <x:c r="H925" s="36" t="n">
        <x:v>3</x:v>
      </x:c>
      <x:c r="I925" s="34" t="str">
        <x:v>afterUndeploy</x:v>
      </x:c>
      <x:c r="J925" s="34" t="str">
        <x:v>after-undeploy-final</x:v>
      </x:c>
      <x:c r="K925" s="36" t="n">
        <x:v>1</x:v>
      </x:c>
      <x:c r="L925" s="34" t="str">
        <x:v>final</x:v>
      </x:c>
      <x:c r="M925" s="34" t="str">
        <x:v>article1-unified-v4-2-fb3f101b-20260903-000401-default-f04-p5-ehcache-3-after-undeploy-final-10s</x:v>
      </x:c>
      <x:c r="N925" s="38" t="n">
        <x:v>46268.049903576386</x:v>
      </x:c>
      <x:c r="O925" s="36" t="n">
        <x:v>2</x:v>
      </x:c>
      <x:c r="P925" s="43" t="n">
        <x:v>16055296</x:v>
      </x:c>
      <x:c r="Q925" s="43" t="n">
        <x:v>268435456</x:v>
      </x:c>
      <x:c r="R925" s="43" t="n">
        <x:v>422482944</x:v>
      </x:c>
      <x:c r="S925" s="36" t="n">
        <x:v>2</x:v>
      </x:c>
      <x:c r="T925" s="44" t="str">
        <x:v>0x0000000052116bd8  0x0000000052003818  0x00007e4cc0976900    4858  22725632  22706112  org.apache.catalina.loader.ParallelWebappClassLoader | 0x0000000052116bd8  0x0000000052003818  0x00007e4d68651aa0       0         0         0  org.apache.catalina.loader.ParallelWebappClassLoader</x:v>
      </x:c>
      <x:c r="U925" s="36" t="n">
        <x:v>27</x:v>
      </x:c>
      <x:c r="V925" s="36" t="n">
        <x:v>0</x:v>
      </x:c>
      <x:c r="W925" s="44"/>
      <x:c r="X925" s="36" t="n">
        <x:v>1</x:v>
      </x:c>
      <x:c r="Y925" s="36" t="n">
        <x:v>1</x:v>
      </x:c>
      <x:c r="Z925" s="44" t="str">
        <x:v>/ehcache</x:v>
      </x:c>
      <x:c r="AA925" s="45" t="b">
        <x:v>1</x:v>
      </x:c>
      <x:c r="AB925" s="43"/>
      <x:c r="AC925" s="34" t="str">
        <x:v>article1-unified-v4-2-fb3f101b-20260903-000401-default-f04-p5-ehcache-3-after-undeploy-final-10s-heap-info.txt</x:v>
      </x:c>
      <x:c r="AD925" s="34" t="str">
        <x:v>article1-unified-v4-2-fb3f101b-20260903-000401-default-f04-p5-ehcache-3-after-undeploy-final-10s-classloader-stats.txt</x:v>
      </x:c>
      <x:c r="AE925" s="34" t="str">
        <x:v>article1-unified-v4-2-fb3f101b-20260903-000401-default-f04-p5-ehcache-3-after-undeploy-final-10s-thread-dump.txt</x:v>
      </x:c>
      <x:c r="AF925" s="34"/>
      <x:c r="AG925" s="34" t="str">
        <x:v>article1-unified-v4-2-fb3f101b-20260903-000401-default-f04-p5-ehcache-3-after-undeploy-final-10s-native-memory.txt</x:v>
      </x:c>
      <x:c r="AH925" s="34" t="str">
        <x:v>article1-unified-v4-2-fb3f101b-20260903-000401-default-f04-p5-ehcache-3-after-undeploy-final-10s-class-histogram.txt</x:v>
      </x:c>
      <x:c r="AI925" s="34" t="str">
        <x:v>article1-unified-v4-2-fb3f101b-20260903-000401-default-f04-p5-ehcache-3-after-undeploy-tomcat-findleaks.txt</x:v>
      </x:c>
    </x:row>
    <x:row r="926">
      <x:c r="A926" s="34" t="str">
        <x:v>article1-unified-v4-2-fb3f101b-20260903-000401-default-f04-p5-ehcache</x:v>
      </x:c>
      <x:c r="B926" s="34" t="str">
        <x:v>default</x:v>
      </x:c>
      <x:c r="C926" s="34" t="str">
        <x:v>ehcache</x:v>
      </x:c>
      <x:c r="D926" s="34" t="str">
        <x:v>ehcache</x:v>
      </x:c>
      <x:c r="E926" s="36" t="n">
        <x:v>4</x:v>
      </x:c>
      <x:c r="F926" s="36" t="n">
        <x:v>4</x:v>
      </x:c>
      <x:c r="G926" s="36" t="n">
        <x:v>5</x:v>
      </x:c>
      <x:c r="H926" s="36" t="n">
        <x:v>3</x:v>
      </x:c>
      <x:c r="I926" s="34" t="str">
        <x:v>redeployedLoaded</x:v>
      </x:c>
      <x:c r="J926" s="34" t="str">
        <x:v>redeployed-loaded</x:v>
      </x:c>
      <x:c r="K926" s="36" t="n">
        <x:v>0</x:v>
      </x:c>
      <x:c r="L926" s="34" t="str">
        <x:v>redeploy</x:v>
      </x:c>
      <x:c r="M926" s="34" t="str">
        <x:v>article1-unified-v4-2-fb3f101b-20260903-000401-default-f04-p5-ehcache-3-redeployed-loaded</x:v>
      </x:c>
      <x:c r="N926" s="38" t="n">
        <x:v>46268.05016037037</x:v>
      </x:c>
      <x:c r="O926" s="36" t="n">
        <x:v>0</x:v>
      </x:c>
      <x:c r="P926" s="43" t="n">
        <x:v>209778688</x:v>
      </x:c>
      <x:c r="Q926" s="43" t="n">
        <x:v>268435456</x:v>
      </x:c>
      <x:c r="R926" s="43" t="n">
        <x:v>445919232</x:v>
      </x:c>
      <x:c r="S926" s="36" t="n">
        <x:v>3</x:v>
      </x:c>
      <x:c r="T926" s="44" t="str">
        <x:v>0x0000000052116bd8  0x0000000052003818  0x00007e4c9c00dee0    4852  22664192  22655312  org.apache.catalina.loader.ParallelWebappClassLoader | 0x0000000052116bd8  0x0000000052003818  0x00007e4cc0976900    4858  22725632  22706112  org.apache.catalina.loader.ParallelWebappClassLoader | 0x0000000052116bd8  0x0000000052003818  0x00007e4d68651aa0       0         0         0  org.apache.catalina.loader.ParallelWebappClassLoader</x:v>
      </x:c>
      <x:c r="U926" s="36" t="n">
        <x:v>28</x:v>
      </x:c>
      <x:c r="V926" s="36" t="n">
        <x:v>0</x:v>
      </x:c>
      <x:c r="W926" s="44"/>
      <x:c r="X926" s="36"/>
      <x:c r="Y926" s="36"/>
      <x:c r="Z926" s="44"/>
      <x:c r="AA926" s="49"/>
      <x:c r="AB926" s="43"/>
      <x:c r="AC926" s="34"/>
      <x:c r="AD926" s="34"/>
      <x:c r="AE926" s="34"/>
      <x:c r="AF926" s="34"/>
      <x:c r="AG926" s="34"/>
      <x:c r="AH926" s="34"/>
      <x:c r="AI926" s="34"/>
    </x:row>
    <x:row r="927">
      <x:c r="A927" s="34" t="str">
        <x:v>article1-unified-v4-2-fb3f101b-20260903-000401-default-f04-p5-ehcache</x:v>
      </x:c>
      <x:c r="B927" s="34" t="str">
        <x:v>default</x:v>
      </x:c>
      <x:c r="C927" s="34" t="str">
        <x:v>ehcache</x:v>
      </x:c>
      <x:c r="D927" s="34" t="str">
        <x:v>ehcache</x:v>
      </x:c>
      <x:c r="E927" s="36" t="n">
        <x:v>4</x:v>
      </x:c>
      <x:c r="F927" s="36" t="n">
        <x:v>4</x:v>
      </x:c>
      <x:c r="G927" s="36" t="n">
        <x:v>5</x:v>
      </x:c>
      <x:c r="H927" s="36" t="n">
        <x:v>3</x:v>
      </x:c>
      <x:c r="I927" s="34" t="str">
        <x:v>afterFinalUndeployEarly</x:v>
      </x:c>
      <x:c r="J927" s="34" t="str">
        <x:v>after-final-undeploy-early</x:v>
      </x:c>
      <x:c r="K927" s="36" t="n">
        <x:v>2</x:v>
      </x:c>
      <x:c r="L927" s="34" t="str">
        <x:v>early</x:v>
      </x:c>
      <x:c r="M927" s="34" t="str">
        <x:v>article1-unified-v4-2-fb3f101b-20260903-000401-default-f04-p5-ehcache-3-after-final-undeploy-early-2s</x:v>
      </x:c>
      <x:c r="N927" s="38" t="n">
        <x:v>46268.05024415509</x:v>
      </x:c>
      <x:c r="O927" s="36"/>
      <x:c r="P927" s="43"/>
      <x:c r="Q927" s="43"/>
      <x:c r="R927" s="43"/>
      <x:c r="S927" s="36"/>
      <x:c r="T927" s="44"/>
      <x:c r="U927" s="36" t="n">
        <x:v>27</x:v>
      </x:c>
      <x:c r="V927" s="36" t="n">
        <x:v>0</x:v>
      </x:c>
      <x:c r="W927" s="44"/>
      <x:c r="X927" s="36"/>
      <x:c r="Y927" s="36"/>
      <x:c r="Z927" s="44"/>
      <x:c r="AA927" s="49"/>
      <x:c r="AB927" s="43" t="n">
        <x:v>2</x:v>
      </x:c>
      <x:c r="AC927" s="34"/>
      <x:c r="AD927" s="34"/>
      <x:c r="AE927" s="34" t="str">
        <x:v>article1-unified-v4-2-fb3f101b-20260903-000401-default-f04-p5-ehcache-3-after-final-undeploy-early-2s-thread-dump.txt</x:v>
      </x:c>
      <x:c r="AF927" s="34" t="str">
        <x:v>article1-unified-v4-2-fb3f101b-20260903-000401-default-f04-p5-ehcache-3-after-final-undeploy-early-tomcat-log.txt</x:v>
      </x:c>
      <x:c r="AG927" s="34"/>
      <x:c r="AH927" s="34"/>
      <x:c r="AI927" s="34"/>
    </x:row>
    <x:row r="928">
      <x:c r="A928" s="34" t="str">
        <x:v>article1-unified-v4-2-fb3f101b-20260903-000401-default-f04-p5-ehcache</x:v>
      </x:c>
      <x:c r="B928" s="34" t="str">
        <x:v>default</x:v>
      </x:c>
      <x:c r="C928" s="34" t="str">
        <x:v>ehcache</x:v>
      </x:c>
      <x:c r="D928" s="34" t="str">
        <x:v>ehcache</x:v>
      </x:c>
      <x:c r="E928" s="36" t="n">
        <x:v>4</x:v>
      </x:c>
      <x:c r="F928" s="36" t="n">
        <x:v>4</x:v>
      </x:c>
      <x:c r="G928" s="36" t="n">
        <x:v>5</x:v>
      </x:c>
      <x:c r="H928" s="36" t="n">
        <x:v>3</x:v>
      </x:c>
      <x:c r="I928" s="34" t="str">
        <x:v>afterFinalUndeploy</x:v>
      </x:c>
      <x:c r="J928" s="34" t="str">
        <x:v>after-final-undeploy-final</x:v>
      </x:c>
      <x:c r="K928" s="36" t="n">
        <x:v>2</x:v>
      </x:c>
      <x:c r="L928" s="34" t="str">
        <x:v>final</x:v>
      </x:c>
      <x:c r="M928" s="34" t="str">
        <x:v>article1-unified-v4-2-fb3f101b-20260903-000401-default-f04-p5-ehcache-3-after-final-undeploy-final-10s</x:v>
      </x:c>
      <x:c r="N928" s="38" t="n">
        <x:v>46268.05039979167</x:v>
      </x:c>
      <x:c r="O928" s="36" t="n">
        <x:v>2</x:v>
      </x:c>
      <x:c r="P928" s="43" t="n">
        <x:v>16088064</x:v>
      </x:c>
      <x:c r="Q928" s="43" t="n">
        <x:v>268435456</x:v>
      </x:c>
      <x:c r="R928" s="43" t="n">
        <x:v>427261952</x:v>
      </x:c>
      <x:c r="S928" s="36" t="n">
        <x:v>2</x:v>
      </x:c>
      <x:c r="T928" s="44" t="str">
        <x:v>0x0000000052116bd8  0x0000000052003818  0x00007e4c9c00dee0    4862  22728704  22700128  org.apache.catalina.loader.ParallelWebappClassLoader | 0x0000000052116bd8  0x0000000052003818  0x00007e4d68651aa0       0         0         0  org.apache.catalina.loader.ParallelWebappClassLoader</x:v>
      </x:c>
      <x:c r="U928" s="36" t="n">
        <x:v>27</x:v>
      </x:c>
      <x:c r="V928" s="36" t="n">
        <x:v>0</x:v>
      </x:c>
      <x:c r="W928" s="44"/>
      <x:c r="X928" s="36" t="n">
        <x:v>1</x:v>
      </x:c>
      <x:c r="Y928" s="36" t="n">
        <x:v>1</x:v>
      </x:c>
      <x:c r="Z928" s="44" t="str">
        <x:v>/ehcache</x:v>
      </x:c>
      <x:c r="AA928" s="45" t="b">
        <x:v>1</x:v>
      </x:c>
      <x:c r="AB928" s="43"/>
      <x:c r="AC928" s="34" t="str">
        <x:v>article1-unified-v4-2-fb3f101b-20260903-000401-default-f04-p5-ehcache-3-after-final-undeploy-final-10s-heap-info.txt</x:v>
      </x:c>
      <x:c r="AD928" s="34" t="str">
        <x:v>article1-unified-v4-2-fb3f101b-20260903-000401-default-f04-p5-ehcache-3-after-final-undeploy-final-10s-classloader-stats.txt</x:v>
      </x:c>
      <x:c r="AE928" s="34" t="str">
        <x:v>article1-unified-v4-2-fb3f101b-20260903-000401-default-f04-p5-ehcache-3-after-final-undeploy-final-10s-thread-dump.txt</x:v>
      </x:c>
      <x:c r="AF928" s="34"/>
      <x:c r="AG928" s="34" t="str">
        <x:v>article1-unified-v4-2-fb3f101b-20260903-000401-default-f04-p5-ehcache-3-after-final-undeploy-final-10s-native-memory.txt</x:v>
      </x:c>
      <x:c r="AH928" s="34" t="str">
        <x:v>article1-unified-v4-2-fb3f101b-20260903-000401-default-f04-p5-ehcache-3-after-final-undeploy-final-10s-class-histogram.txt</x:v>
      </x:c>
      <x:c r="AI928" s="34" t="str">
        <x:v>article1-unified-v4-2-fb3f101b-20260903-000401-default-f04-p5-ehcache-3-after-final-undeploy-tomcat-findleaks.txt</x:v>
      </x:c>
    </x:row>
    <x:row r="929">
      <x:c r="A929" s="34" t="str">
        <x:v>article1-unified-v4-2-fb3f101b-20260903-000401-default-f04-p5-ehcache</x:v>
      </x:c>
      <x:c r="B929" s="34" t="str">
        <x:v>default</x:v>
      </x:c>
      <x:c r="C929" s="34" t="str">
        <x:v>ehcache</x:v>
      </x:c>
      <x:c r="D929" s="34" t="str">
        <x:v>ehcache</x:v>
      </x:c>
      <x:c r="E929" s="36" t="n">
        <x:v>4</x:v>
      </x:c>
      <x:c r="F929" s="36" t="n">
        <x:v>4</x:v>
      </x:c>
      <x:c r="G929" s="36" t="n">
        <x:v>5</x:v>
      </x:c>
      <x:c r="H929" s="36" t="n">
        <x:v>4</x:v>
      </x:c>
      <x:c r="I929" s="34" t="str">
        <x:v>baseline</x:v>
      </x:c>
      <x:c r="J929" s="34" t="str">
        <x:v>cycle-baseline</x:v>
      </x:c>
      <x:c r="K929" s="36" t="n">
        <x:v>0</x:v>
      </x:c>
      <x:c r="L929" s="34" t="str">
        <x:v>baseline</x:v>
      </x:c>
      <x:c r="M929" s="34" t="str">
        <x:v>article1-unified-v4-2-fb3f101b-20260903-000401-default-f04-p5-ehcache-4-baseline</x:v>
      </x:c>
      <x:c r="N929" s="38" t="n">
        <x:v>46268.05044070602</x:v>
      </x:c>
      <x:c r="O929" s="36" t="n">
        <x:v>0</x:v>
      </x:c>
      <x:c r="P929" s="43" t="n">
        <x:v>16088064</x:v>
      </x:c>
      <x:c r="Q929" s="43" t="n">
        <x:v>268435456</x:v>
      </x:c>
      <x:c r="R929" s="43" t="n">
        <x:v>427219968</x:v>
      </x:c>
      <x:c r="S929" s="36" t="n">
        <x:v>2</x:v>
      </x:c>
      <x:c r="T929" s="44" t="str">
        <x:v>0x0000000052116bd8  0x0000000052003818  0x00007e4c9c00dee0    4862  22728704  22700128  org.apache.catalina.loader.ParallelWebappClassLoader | 0x0000000052116bd8  0x0000000052003818  0x00007e4d68651aa0       0         0         0  org.apache.catalina.loader.ParallelWebappClassLoader</x:v>
      </x:c>
      <x:c r="U929" s="36" t="n">
        <x:v>27</x:v>
      </x:c>
      <x:c r="V929" s="36" t="n">
        <x:v>0</x:v>
      </x:c>
      <x:c r="W929" s="44"/>
      <x:c r="X929" s="36"/>
      <x:c r="Y929" s="36"/>
      <x:c r="Z929" s="44"/>
      <x:c r="AA929" s="49"/>
      <x:c r="AB929" s="43"/>
      <x:c r="AC929" s="34" t="str">
        <x:v>article1-unified-v4-2-fb3f101b-20260903-000401-default-f04-p5-ehcache-4-baseline-heap-info.txt</x:v>
      </x:c>
      <x:c r="AD929" s="34" t="str">
        <x:v>article1-unified-v4-2-fb3f101b-20260903-000401-default-f04-p5-ehcache-4-baseline-classloader-stats.txt</x:v>
      </x:c>
      <x:c r="AE929" s="34" t="str">
        <x:v>article1-unified-v4-2-fb3f101b-20260903-000401-default-f04-p5-ehcache-4-baseline-thread-dump.txt</x:v>
      </x:c>
      <x:c r="AF929" s="34"/>
      <x:c r="AG929" s="34" t="str">
        <x:v>article1-unified-v4-2-fb3f101b-20260903-000401-default-f04-p5-ehcache-4-baseline-native-memory.txt</x:v>
      </x:c>
      <x:c r="AH929" s="34"/>
      <x:c r="AI929" s="34"/>
    </x:row>
    <x:row r="930">
      <x:c r="A930" s="34" t="str">
        <x:v>article1-unified-v4-2-fb3f101b-20260903-000401-default-f04-p5-ehcache</x:v>
      </x:c>
      <x:c r="B930" s="34" t="str">
        <x:v>default</x:v>
      </x:c>
      <x:c r="C930" s="34" t="str">
        <x:v>ehcache</x:v>
      </x:c>
      <x:c r="D930" s="34" t="str">
        <x:v>ehcache</x:v>
      </x:c>
      <x:c r="E930" s="36" t="n">
        <x:v>4</x:v>
      </x:c>
      <x:c r="F930" s="36" t="n">
        <x:v>4</x:v>
      </x:c>
      <x:c r="G930" s="36" t="n">
        <x:v>5</x:v>
      </x:c>
      <x:c r="H930" s="36" t="n">
        <x:v>4</x:v>
      </x:c>
      <x:c r="I930" s="34" t="str">
        <x:v>deployedIdle</x:v>
      </x:c>
      <x:c r="J930" s="34" t="str">
        <x:v>deployed-idle</x:v>
      </x:c>
      <x:c r="K930" s="36" t="n">
        <x:v>0</x:v>
      </x:c>
      <x:c r="L930" s="34" t="str">
        <x:v>initial</x:v>
      </x:c>
      <x:c r="M930" s="34" t="str">
        <x:v>article1-unified-v4-2-fb3f101b-20260903-000401-default-f04-p5-ehcache-4-deployed-idle</x:v>
      </x:c>
      <x:c r="N930" s="38" t="n">
        <x:v>46268.05053994213</x:v>
      </x:c>
      <x:c r="O930" s="36" t="n">
        <x:v>0</x:v>
      </x:c>
      <x:c r="P930" s="43" t="n">
        <x:v>167074816</x:v>
      </x:c>
      <x:c r="Q930" s="43" t="n">
        <x:v>268435456</x:v>
      </x:c>
      <x:c r="R930" s="43" t="n">
        <x:v>460566528</x:v>
      </x:c>
      <x:c r="S930" s="36" t="n">
        <x:v>3</x:v>
      </x:c>
      <x:c r="T930" s="44" t="str">
        <x:v>0x0000000052116bd8  0x0000000052003818  0x00007e4c9c00dee0    4862  22728704  22700128  org.apache.catalina.loader.ParallelWebappClassLoader | 0x0000000052116bd8  0x0000000052003818  0x00007e4ca41286a0    4091  19460096  19434280  org.apache.catalina.loader.ParallelWebappClassLoader | 0x0000000052116bd8  0x0000000052003818  0x00007e4d68651aa0       0         0         0  org.apache.catalina.loader.ParallelWebappClassLoader</x:v>
      </x:c>
      <x:c r="U930" s="36" t="n">
        <x:v>27</x:v>
      </x:c>
      <x:c r="V930" s="36" t="n">
        <x:v>0</x:v>
      </x:c>
      <x:c r="W930" s="44"/>
      <x:c r="X930" s="36"/>
      <x:c r="Y930" s="36"/>
      <x:c r="Z930" s="44"/>
      <x:c r="AA930" s="49"/>
      <x:c r="AB930" s="43"/>
      <x:c r="AC930" s="34"/>
      <x:c r="AD930" s="34"/>
      <x:c r="AE930" s="34"/>
      <x:c r="AF930" s="34"/>
      <x:c r="AG930" s="34"/>
      <x:c r="AH930" s="34"/>
      <x:c r="AI930" s="34"/>
    </x:row>
    <x:row r="931">
      <x:c r="A931" s="34" t="str">
        <x:v>article1-unified-v4-2-fb3f101b-20260903-000401-default-f04-p5-ehcache</x:v>
      </x:c>
      <x:c r="B931" s="34" t="str">
        <x:v>default</x:v>
      </x:c>
      <x:c r="C931" s="34" t="str">
        <x:v>ehcache</x:v>
      </x:c>
      <x:c r="D931" s="34" t="str">
        <x:v>ehcache</x:v>
      </x:c>
      <x:c r="E931" s="36" t="n">
        <x:v>4</x:v>
      </x:c>
      <x:c r="F931" s="36" t="n">
        <x:v>4</x:v>
      </x:c>
      <x:c r="G931" s="36" t="n">
        <x:v>5</x:v>
      </x:c>
      <x:c r="H931" s="36" t="n">
        <x:v>4</x:v>
      </x:c>
      <x:c r="I931" s="34" t="str">
        <x:v>loaded</x:v>
      </x:c>
      <x:c r="J931" s="34" t="str">
        <x:v>loaded</x:v>
      </x:c>
      <x:c r="K931" s="36" t="n">
        <x:v>0</x:v>
      </x:c>
      <x:c r="L931" s="34" t="str">
        <x:v>initial</x:v>
      </x:c>
      <x:c r="M931" s="34" t="str">
        <x:v>article1-unified-v4-2-fb3f101b-20260903-000401-default-f04-p5-ehcache-4-loaded</x:v>
      </x:c>
      <x:c r="N931" s="38" t="n">
        <x:v>46268.050693032405</x:v>
      </x:c>
      <x:c r="O931" s="36" t="n">
        <x:v>0</x:v>
      </x:c>
      <x:c r="P931" s="43" t="n">
        <x:v>206598144</x:v>
      </x:c>
      <x:c r="Q931" s="43" t="n">
        <x:v>268435456</x:v>
      </x:c>
      <x:c r="R931" s="43" t="n">
        <x:v>447553536</x:v>
      </x:c>
      <x:c r="S931" s="36" t="n">
        <x:v>3</x:v>
      </x:c>
      <x:c r="T931" s="44" t="str">
        <x:v>0x0000000052116bd8  0x0000000052003818  0x00007e4ca41286a0    4851  22687744  22665608  org.apache.catalina.loader.ParallelWebappClassLoader | 0x0000000052116bd8  0x0000000052003818  0x00007e4c9c00dee0    4862  22728704  22700128  org.apache.catalina.loader.ParallelWebappClassLoader | 0x0000000052116bd8  0x0000000052003818  0x00007e4d68651aa0       0         0         0  org.apache.catalina.loader.ParallelWebappClassLoader</x:v>
      </x:c>
      <x:c r="U931" s="36" t="n">
        <x:v>27</x:v>
      </x:c>
      <x:c r="V931" s="36" t="n">
        <x:v>0</x:v>
      </x:c>
      <x:c r="W931" s="44"/>
      <x:c r="X931" s="36"/>
      <x:c r="Y931" s="36"/>
      <x:c r="Z931" s="44"/>
      <x:c r="AA931" s="49"/>
      <x:c r="AB931" s="43"/>
      <x:c r="AC931" s="34"/>
      <x:c r="AD931" s="34"/>
      <x:c r="AE931" s="34"/>
      <x:c r="AF931" s="34"/>
      <x:c r="AG931" s="34"/>
      <x:c r="AH931" s="34"/>
      <x:c r="AI931" s="34"/>
    </x:row>
    <x:row r="932">
      <x:c r="A932" s="34" t="str">
        <x:v>article1-unified-v4-2-fb3f101b-20260903-000401-default-f04-p5-ehcache</x:v>
      </x:c>
      <x:c r="B932" s="34" t="str">
        <x:v>default</x:v>
      </x:c>
      <x:c r="C932" s="34" t="str">
        <x:v>ehcache</x:v>
      </x:c>
      <x:c r="D932" s="34" t="str">
        <x:v>ehcache</x:v>
      </x:c>
      <x:c r="E932" s="36" t="n">
        <x:v>4</x:v>
      </x:c>
      <x:c r="F932" s="36" t="n">
        <x:v>4</x:v>
      </x:c>
      <x:c r="G932" s="36" t="n">
        <x:v>5</x:v>
      </x:c>
      <x:c r="H932" s="36" t="n">
        <x:v>4</x:v>
      </x:c>
      <x:c r="I932" s="34" t="str">
        <x:v>afterUndeployEarly</x:v>
      </x:c>
      <x:c r="J932" s="34" t="str">
        <x:v>after-undeploy-early</x:v>
      </x:c>
      <x:c r="K932" s="36" t="n">
        <x:v>1</x:v>
      </x:c>
      <x:c r="L932" s="34" t="str">
        <x:v>early</x:v>
      </x:c>
      <x:c r="M932" s="34" t="str">
        <x:v>article1-unified-v4-2-fb3f101b-20260903-000401-default-f04-p5-ehcache-4-after-undeploy-early-2s</x:v>
      </x:c>
      <x:c r="N932" s="38" t="n">
        <x:v>46268.05077517361</x:v>
      </x:c>
      <x:c r="O932" s="36"/>
      <x:c r="P932" s="43"/>
      <x:c r="Q932" s="43"/>
      <x:c r="R932" s="43"/>
      <x:c r="S932" s="36"/>
      <x:c r="T932" s="44"/>
      <x:c r="U932" s="36" t="n">
        <x:v>27</x:v>
      </x:c>
      <x:c r="V932" s="36" t="n">
        <x:v>0</x:v>
      </x:c>
      <x:c r="W932" s="44"/>
      <x:c r="X932" s="36"/>
      <x:c r="Y932" s="36"/>
      <x:c r="Z932" s="44"/>
      <x:c r="AA932" s="49"/>
      <x:c r="AB932" s="43" t="n">
        <x:v>2</x:v>
      </x:c>
      <x:c r="AC932" s="34"/>
      <x:c r="AD932" s="34"/>
      <x:c r="AE932" s="34" t="str">
        <x:v>article1-unified-v4-2-fb3f101b-20260903-000401-default-f04-p5-ehcache-4-after-undeploy-early-2s-thread-dump.txt</x:v>
      </x:c>
      <x:c r="AF932" s="34" t="str">
        <x:v>article1-unified-v4-2-fb3f101b-20260903-000401-default-f04-p5-ehcache-4-after-undeploy-early-tomcat-log.txt</x:v>
      </x:c>
      <x:c r="AG932" s="34"/>
      <x:c r="AH932" s="34"/>
      <x:c r="AI932" s="34"/>
    </x:row>
    <x:row r="933">
      <x:c r="A933" s="34" t="str">
        <x:v>article1-unified-v4-2-fb3f101b-20260903-000401-default-f04-p5-ehcache</x:v>
      </x:c>
      <x:c r="B933" s="34" t="str">
        <x:v>default</x:v>
      </x:c>
      <x:c r="C933" s="34" t="str">
        <x:v>ehcache</x:v>
      </x:c>
      <x:c r="D933" s="34" t="str">
        <x:v>ehcache</x:v>
      </x:c>
      <x:c r="E933" s="36" t="n">
        <x:v>4</x:v>
      </x:c>
      <x:c r="F933" s="36" t="n">
        <x:v>4</x:v>
      </x:c>
      <x:c r="G933" s="36" t="n">
        <x:v>5</x:v>
      </x:c>
      <x:c r="H933" s="36" t="n">
        <x:v>4</x:v>
      </x:c>
      <x:c r="I933" s="34" t="str">
        <x:v>afterUndeploy</x:v>
      </x:c>
      <x:c r="J933" s="34" t="str">
        <x:v>after-undeploy-final</x:v>
      </x:c>
      <x:c r="K933" s="36" t="n">
        <x:v>1</x:v>
      </x:c>
      <x:c r="L933" s="34" t="str">
        <x:v>final</x:v>
      </x:c>
      <x:c r="M933" s="34" t="str">
        <x:v>article1-unified-v4-2-fb3f101b-20260903-000401-default-f04-p5-ehcache-4-after-undeploy-final-10s</x:v>
      </x:c>
      <x:c r="N933" s="38" t="n">
        <x:v>46268.05092677083</x:v>
      </x:c>
      <x:c r="O933" s="36" t="n">
        <x:v>2</x:v>
      </x:c>
      <x:c r="P933" s="43" t="n">
        <x:v>16084992</x:v>
      </x:c>
      <x:c r="Q933" s="43" t="n">
        <x:v>268435456</x:v>
      </x:c>
      <x:c r="R933" s="43" t="n">
        <x:v>425198592</x:v>
      </x:c>
      <x:c r="S933" s="36" t="n">
        <x:v>2</x:v>
      </x:c>
      <x:c r="T933" s="44" t="str">
        <x:v>0x0000000052116bd8  0x0000000052003818  0x00007e4d68651aa0       0         0         0  org.apache.catalina.loader.ParallelWebappClassLoader | 0x0000000052116bd8  0x0000000052003818  0x00007e4ca41286a0    4861  22720512  22711048  org.apache.catalina.loader.ParallelWebappClassLoader</x:v>
      </x:c>
      <x:c r="U933" s="36" t="n">
        <x:v>27</x:v>
      </x:c>
      <x:c r="V933" s="36" t="n">
        <x:v>0</x:v>
      </x:c>
      <x:c r="W933" s="44"/>
      <x:c r="X933" s="36" t="n">
        <x:v>1</x:v>
      </x:c>
      <x:c r="Y933" s="36" t="n">
        <x:v>1</x:v>
      </x:c>
      <x:c r="Z933" s="44" t="str">
        <x:v>/ehcache</x:v>
      </x:c>
      <x:c r="AA933" s="45" t="b">
        <x:v>1</x:v>
      </x:c>
      <x:c r="AB933" s="43"/>
      <x:c r="AC933" s="34" t="str">
        <x:v>article1-unified-v4-2-fb3f101b-20260903-000401-default-f04-p5-ehcache-4-after-undeploy-final-10s-heap-info.txt</x:v>
      </x:c>
      <x:c r="AD933" s="34" t="str">
        <x:v>article1-unified-v4-2-fb3f101b-20260903-000401-default-f04-p5-ehcache-4-after-undeploy-final-10s-classloader-stats.txt</x:v>
      </x:c>
      <x:c r="AE933" s="34" t="str">
        <x:v>article1-unified-v4-2-fb3f101b-20260903-000401-default-f04-p5-ehcache-4-after-undeploy-final-10s-thread-dump.txt</x:v>
      </x:c>
      <x:c r="AF933" s="34"/>
      <x:c r="AG933" s="34" t="str">
        <x:v>article1-unified-v4-2-fb3f101b-20260903-000401-default-f04-p5-ehcache-4-after-undeploy-final-10s-native-memory.txt</x:v>
      </x:c>
      <x:c r="AH933" s="34" t="str">
        <x:v>article1-unified-v4-2-fb3f101b-20260903-000401-default-f04-p5-ehcache-4-after-undeploy-final-10s-class-histogram.txt</x:v>
      </x:c>
      <x:c r="AI933" s="34" t="str">
        <x:v>article1-unified-v4-2-fb3f101b-20260903-000401-default-f04-p5-ehcache-4-after-undeploy-tomcat-findleaks.txt</x:v>
      </x:c>
    </x:row>
    <x:row r="934">
      <x:c r="A934" s="34" t="str">
        <x:v>article1-unified-v4-2-fb3f101b-20260903-000401-default-f04-p5-ehcache</x:v>
      </x:c>
      <x:c r="B934" s="34" t="str">
        <x:v>default</x:v>
      </x:c>
      <x:c r="C934" s="34" t="str">
        <x:v>ehcache</x:v>
      </x:c>
      <x:c r="D934" s="34" t="str">
        <x:v>ehcache</x:v>
      </x:c>
      <x:c r="E934" s="36" t="n">
        <x:v>4</x:v>
      </x:c>
      <x:c r="F934" s="36" t="n">
        <x:v>4</x:v>
      </x:c>
      <x:c r="G934" s="36" t="n">
        <x:v>5</x:v>
      </x:c>
      <x:c r="H934" s="36" t="n">
        <x:v>4</x:v>
      </x:c>
      <x:c r="I934" s="34" t="str">
        <x:v>redeployedLoaded</x:v>
      </x:c>
      <x:c r="J934" s="34" t="str">
        <x:v>redeployed-loaded</x:v>
      </x:c>
      <x:c r="K934" s="36" t="n">
        <x:v>0</x:v>
      </x:c>
      <x:c r="L934" s="34" t="str">
        <x:v>redeploy</x:v>
      </x:c>
      <x:c r="M934" s="34" t="str">
        <x:v>article1-unified-v4-2-fb3f101b-20260903-000401-default-f04-p5-ehcache-4-redeployed-loaded</x:v>
      </x:c>
      <x:c r="N934" s="38" t="n">
        <x:v>46268.051180393515</x:v>
      </x:c>
      <x:c r="O934" s="36" t="n">
        <x:v>0</x:v>
      </x:c>
      <x:c r="P934" s="43" t="n">
        <x:v>209189888</x:v>
      </x:c>
      <x:c r="Q934" s="43" t="n">
        <x:v>268435456</x:v>
      </x:c>
      <x:c r="R934" s="43" t="n">
        <x:v>452830208</x:v>
      </x:c>
      <x:c r="S934" s="36" t="n">
        <x:v>3</x:v>
      </x:c>
      <x:c r="T934" s="44" t="str">
        <x:v>0x0000000052116bd8  0x0000000052003818  0x00007e4c98174110    4851  22675456  22656648  org.apache.catalina.loader.ParallelWebappClassLoader | 0x0000000052116bd8  0x0000000052003818  0x00007e4d68651aa0       0         0         0  org.apache.catalina.loader.ParallelWebappClassLoader | 0x0000000052116bd8  0x0000000052003818  0x00007e4ca41286a0    4861  22720512  22711048  org.apache.catalina.loader.ParallelWebappClassLoader</x:v>
      </x:c>
      <x:c r="U934" s="36" t="n">
        <x:v>28</x:v>
      </x:c>
      <x:c r="V934" s="36" t="n">
        <x:v>0</x:v>
      </x:c>
      <x:c r="W934" s="44"/>
      <x:c r="X934" s="36"/>
      <x:c r="Y934" s="36"/>
      <x:c r="Z934" s="44"/>
      <x:c r="AA934" s="49"/>
      <x:c r="AB934" s="43"/>
      <x:c r="AC934" s="34"/>
      <x:c r="AD934" s="34"/>
      <x:c r="AE934" s="34"/>
      <x:c r="AF934" s="34"/>
      <x:c r="AG934" s="34"/>
      <x:c r="AH934" s="34"/>
      <x:c r="AI934" s="34"/>
    </x:row>
    <x:row r="935">
      <x:c r="A935" s="34" t="str">
        <x:v>article1-unified-v4-2-fb3f101b-20260903-000401-default-f04-p5-ehcache</x:v>
      </x:c>
      <x:c r="B935" s="34" t="str">
        <x:v>default</x:v>
      </x:c>
      <x:c r="C935" s="34" t="str">
        <x:v>ehcache</x:v>
      </x:c>
      <x:c r="D935" s="34" t="str">
        <x:v>ehcache</x:v>
      </x:c>
      <x:c r="E935" s="36" t="n">
        <x:v>4</x:v>
      </x:c>
      <x:c r="F935" s="36" t="n">
        <x:v>4</x:v>
      </x:c>
      <x:c r="G935" s="36" t="n">
        <x:v>5</x:v>
      </x:c>
      <x:c r="H935" s="36" t="n">
        <x:v>4</x:v>
      </x:c>
      <x:c r="I935" s="34" t="str">
        <x:v>afterFinalUndeployEarly</x:v>
      </x:c>
      <x:c r="J935" s="34" t="str">
        <x:v>after-final-undeploy-early</x:v>
      </x:c>
      <x:c r="K935" s="36" t="n">
        <x:v>2</x:v>
      </x:c>
      <x:c r="L935" s="34" t="str">
        <x:v>early</x:v>
      </x:c>
      <x:c r="M935" s="34" t="str">
        <x:v>article1-unified-v4-2-fb3f101b-20260903-000401-default-f04-p5-ehcache-4-after-final-undeploy-early-2s</x:v>
      </x:c>
      <x:c r="N935" s="38" t="n">
        <x:v>46268.051268344905</x:v>
      </x:c>
      <x:c r="O935" s="36"/>
      <x:c r="P935" s="43"/>
      <x:c r="Q935" s="43"/>
      <x:c r="R935" s="43"/>
      <x:c r="S935" s="36"/>
      <x:c r="T935" s="44"/>
      <x:c r="U935" s="36" t="n">
        <x:v>27</x:v>
      </x:c>
      <x:c r="V935" s="36" t="n">
        <x:v>0</x:v>
      </x:c>
      <x:c r="W935" s="44"/>
      <x:c r="X935" s="36"/>
      <x:c r="Y935" s="36"/>
      <x:c r="Z935" s="44"/>
      <x:c r="AA935" s="49"/>
      <x:c r="AB935" s="43" t="n">
        <x:v>2</x:v>
      </x:c>
      <x:c r="AC935" s="34"/>
      <x:c r="AD935" s="34"/>
      <x:c r="AE935" s="34" t="str">
        <x:v>article1-unified-v4-2-fb3f101b-20260903-000401-default-f04-p5-ehcache-4-after-final-undeploy-early-2s-thread-dump.txt</x:v>
      </x:c>
      <x:c r="AF935" s="34" t="str">
        <x:v>article1-unified-v4-2-fb3f101b-20260903-000401-default-f04-p5-ehcache-4-after-final-undeploy-early-tomcat-log.txt</x:v>
      </x:c>
      <x:c r="AG935" s="34"/>
      <x:c r="AH935" s="34"/>
      <x:c r="AI935" s="34"/>
    </x:row>
    <x:row r="936">
      <x:c r="A936" s="34" t="str">
        <x:v>article1-unified-v4-2-fb3f101b-20260903-000401-default-f04-p5-ehcache</x:v>
      </x:c>
      <x:c r="B936" s="34" t="str">
        <x:v>default</x:v>
      </x:c>
      <x:c r="C936" s="34" t="str">
        <x:v>ehcache</x:v>
      </x:c>
      <x:c r="D936" s="34" t="str">
        <x:v>ehcache</x:v>
      </x:c>
      <x:c r="E936" s="36" t="n">
        <x:v>4</x:v>
      </x:c>
      <x:c r="F936" s="36" t="n">
        <x:v>4</x:v>
      </x:c>
      <x:c r="G936" s="36" t="n">
        <x:v>5</x:v>
      </x:c>
      <x:c r="H936" s="36" t="n">
        <x:v>4</x:v>
      </x:c>
      <x:c r="I936" s="34" t="str">
        <x:v>afterFinalUndeploy</x:v>
      </x:c>
      <x:c r="J936" s="34" t="str">
        <x:v>after-final-undeploy-final</x:v>
      </x:c>
      <x:c r="K936" s="36" t="n">
        <x:v>2</x:v>
      </x:c>
      <x:c r="L936" s="34" t="str">
        <x:v>final</x:v>
      </x:c>
      <x:c r="M936" s="34" t="str">
        <x:v>article1-unified-v4-2-fb3f101b-20260903-000401-default-f04-p5-ehcache-4-after-final-undeploy-final-10s</x:v>
      </x:c>
      <x:c r="N936" s="38" t="n">
        <x:v>46268.05142753472</x:v>
      </x:c>
      <x:c r="O936" s="36" t="n">
        <x:v>2</x:v>
      </x:c>
      <x:c r="P936" s="43" t="n">
        <x:v>16096256</x:v>
      </x:c>
      <x:c r="Q936" s="43" t="n">
        <x:v>268435456</x:v>
      </x:c>
      <x:c r="R936" s="43" t="n">
        <x:v>430309376</x:v>
      </x:c>
      <x:c r="S936" s="36" t="n">
        <x:v>2</x:v>
      </x:c>
      <x:c r="T936" s="44" t="str">
        <x:v>0x0000000052116bd8  0x0000000052003818  0x00007e4c98174110    4861  22724608  22702400  org.apache.catalina.loader.ParallelWebappClassLoader | 0x0000000052116bd8  0x0000000052003818  0x00007e4d68651aa0       0         0         0  org.apache.catalina.loader.ParallelWebappClassLoader</x:v>
      </x:c>
      <x:c r="U936" s="36" t="n">
        <x:v>27</x:v>
      </x:c>
      <x:c r="V936" s="36" t="n">
        <x:v>0</x:v>
      </x:c>
      <x:c r="W936" s="44"/>
      <x:c r="X936" s="36" t="n">
        <x:v>1</x:v>
      </x:c>
      <x:c r="Y936" s="36" t="n">
        <x:v>1</x:v>
      </x:c>
      <x:c r="Z936" s="44" t="str">
        <x:v>/ehcache</x:v>
      </x:c>
      <x:c r="AA936" s="45" t="b">
        <x:v>1</x:v>
      </x:c>
      <x:c r="AB936" s="43"/>
      <x:c r="AC936" s="34" t="str">
        <x:v>article1-unified-v4-2-fb3f101b-20260903-000401-default-f04-p5-ehcache-4-after-final-undeploy-final-10s-heap-info.txt</x:v>
      </x:c>
      <x:c r="AD936" s="34" t="str">
        <x:v>article1-unified-v4-2-fb3f101b-20260903-000401-default-f04-p5-ehcache-4-after-final-undeploy-final-10s-classloader-stats.txt</x:v>
      </x:c>
      <x:c r="AE936" s="34" t="str">
        <x:v>article1-unified-v4-2-fb3f101b-20260903-000401-default-f04-p5-ehcache-4-after-final-undeploy-final-10s-thread-dump.txt</x:v>
      </x:c>
      <x:c r="AF936" s="34"/>
      <x:c r="AG936" s="34" t="str">
        <x:v>article1-unified-v4-2-fb3f101b-20260903-000401-default-f04-p5-ehcache-4-after-final-undeploy-final-10s-native-memory.txt</x:v>
      </x:c>
      <x:c r="AH936" s="34" t="str">
        <x:v>article1-unified-v4-2-fb3f101b-20260903-000401-default-f04-p5-ehcache-4-after-final-undeploy-final-10s-class-histogram.txt</x:v>
      </x:c>
      <x:c r="AI936" s="34" t="str">
        <x:v>article1-unified-v4-2-fb3f101b-20260903-000401-default-f04-p5-ehcache-4-after-final-undeploy-tomcat-findleaks.txt</x:v>
      </x:c>
    </x:row>
    <x:row r="937">
      <x:c r="A937" s="34" t="str">
        <x:v>article1-unified-v4-2-fb3f101b-20260903-000401-default-f04-p5-ehcache</x:v>
      </x:c>
      <x:c r="B937" s="34" t="str">
        <x:v>default</x:v>
      </x:c>
      <x:c r="C937" s="34" t="str">
        <x:v>ehcache</x:v>
      </x:c>
      <x:c r="D937" s="34" t="str">
        <x:v>ehcache</x:v>
      </x:c>
      <x:c r="E937" s="36" t="n">
        <x:v>4</x:v>
      </x:c>
      <x:c r="F937" s="36" t="n">
        <x:v>4</x:v>
      </x:c>
      <x:c r="G937" s="36" t="n">
        <x:v>5</x:v>
      </x:c>
      <x:c r="H937" s="36" t="n">
        <x:v>5</x:v>
      </x:c>
      <x:c r="I937" s="34" t="str">
        <x:v>baseline</x:v>
      </x:c>
      <x:c r="J937" s="34" t="str">
        <x:v>cycle-baseline</x:v>
      </x:c>
      <x:c r="K937" s="36" t="n">
        <x:v>0</x:v>
      </x:c>
      <x:c r="L937" s="34" t="str">
        <x:v>baseline</x:v>
      </x:c>
      <x:c r="M937" s="34" t="str">
        <x:v>article1-unified-v4-2-fb3f101b-20260903-000401-default-f04-p5-ehcache-5-baseline</x:v>
      </x:c>
      <x:c r="N937" s="38" t="n">
        <x:v>46268.05147185185</x:v>
      </x:c>
      <x:c r="O937" s="36" t="n">
        <x:v>0</x:v>
      </x:c>
      <x:c r="P937" s="43" t="n">
        <x:v>16096256</x:v>
      </x:c>
      <x:c r="Q937" s="43" t="n">
        <x:v>268435456</x:v>
      </x:c>
      <x:c r="R937" s="43" t="n">
        <x:v>430309376</x:v>
      </x:c>
      <x:c r="S937" s="36" t="n">
        <x:v>2</x:v>
      </x:c>
      <x:c r="T937" s="44" t="str">
        <x:v>0x0000000052116bd8  0x0000000052003818  0x00007e4c98174110    4861  22724608  22702400  org.apache.catalina.loader.ParallelWebappClassLoader | 0x0000000052116bd8  0x0000000052003818  0x00007e4d68651aa0       0         0         0  org.apache.catalina.loader.ParallelWebappClassLoader</x:v>
      </x:c>
      <x:c r="U937" s="36" t="n">
        <x:v>27</x:v>
      </x:c>
      <x:c r="V937" s="36" t="n">
        <x:v>0</x:v>
      </x:c>
      <x:c r="W937" s="44"/>
      <x:c r="X937" s="36"/>
      <x:c r="Y937" s="36"/>
      <x:c r="Z937" s="44"/>
      <x:c r="AA937" s="49"/>
      <x:c r="AB937" s="43"/>
      <x:c r="AC937" s="34" t="str">
        <x:v>article1-unified-v4-2-fb3f101b-20260903-000401-default-f04-p5-ehcache-5-baseline-heap-info.txt</x:v>
      </x:c>
      <x:c r="AD937" s="34" t="str">
        <x:v>article1-unified-v4-2-fb3f101b-20260903-000401-default-f04-p5-ehcache-5-baseline-classloader-stats.txt</x:v>
      </x:c>
      <x:c r="AE937" s="34" t="str">
        <x:v>article1-unified-v4-2-fb3f101b-20260903-000401-default-f04-p5-ehcache-5-baseline-thread-dump.txt</x:v>
      </x:c>
      <x:c r="AF937" s="34"/>
      <x:c r="AG937" s="34" t="str">
        <x:v>article1-unified-v4-2-fb3f101b-20260903-000401-default-f04-p5-ehcache-5-baseline-native-memory.txt</x:v>
      </x:c>
      <x:c r="AH937" s="34"/>
      <x:c r="AI937" s="34"/>
    </x:row>
    <x:row r="938">
      <x:c r="A938" s="34" t="str">
        <x:v>article1-unified-v4-2-fb3f101b-20260903-000401-default-f04-p5-ehcache</x:v>
      </x:c>
      <x:c r="B938" s="34" t="str">
        <x:v>default</x:v>
      </x:c>
      <x:c r="C938" s="34" t="str">
        <x:v>ehcache</x:v>
      </x:c>
      <x:c r="D938" s="34" t="str">
        <x:v>ehcache</x:v>
      </x:c>
      <x:c r="E938" s="36" t="n">
        <x:v>4</x:v>
      </x:c>
      <x:c r="F938" s="36" t="n">
        <x:v>4</x:v>
      </x:c>
      <x:c r="G938" s="36" t="n">
        <x:v>5</x:v>
      </x:c>
      <x:c r="H938" s="36" t="n">
        <x:v>5</x:v>
      </x:c>
      <x:c r="I938" s="34" t="str">
        <x:v>deployedIdle</x:v>
      </x:c>
      <x:c r="J938" s="34" t="str">
        <x:v>deployed-idle</x:v>
      </x:c>
      <x:c r="K938" s="36" t="n">
        <x:v>0</x:v>
      </x:c>
      <x:c r="L938" s="34" t="str">
        <x:v>initial</x:v>
      </x:c>
      <x:c r="M938" s="34" t="str">
        <x:v>article1-unified-v4-2-fb3f101b-20260903-000401-default-f04-p5-ehcache-5-deployed-idle</x:v>
      </x:c>
      <x:c r="N938" s="38" t="n">
        <x:v>46268.05157640046</x:v>
      </x:c>
      <x:c r="O938" s="36" t="n">
        <x:v>0</x:v>
      </x:c>
      <x:c r="P938" s="43" t="n">
        <x:v>167057408</x:v>
      </x:c>
      <x:c r="Q938" s="43" t="n">
        <x:v>268435456</x:v>
      </x:c>
      <x:c r="R938" s="43" t="n">
        <x:v>465562624</x:v>
      </x:c>
      <x:c r="S938" s="36" t="n">
        <x:v>3</x:v>
      </x:c>
      <x:c r="T938" s="44" t="str">
        <x:v>0x0000000052116bd8  0x0000000052003818  0x00007e4c98174110    4861  22724608  22702400  org.apache.catalina.loader.ParallelWebappClassLoader | 0x0000000052116bd8  0x0000000052003818  0x00007e4ce031d9b0    4091  19444736  19429224  org.apache.catalina.loader.ParallelWebappClassLoader | 0x0000000052116bd8  0x0000000052003818  0x00007e4d68651aa0       0         0         0  org.apache.catalina.loader.ParallelWebappClassLoader</x:v>
      </x:c>
      <x:c r="U938" s="36" t="n">
        <x:v>27</x:v>
      </x:c>
      <x:c r="V938" s="36" t="n">
        <x:v>0</x:v>
      </x:c>
      <x:c r="W938" s="44"/>
      <x:c r="X938" s="36"/>
      <x:c r="Y938" s="36"/>
      <x:c r="Z938" s="44"/>
      <x:c r="AA938" s="49"/>
      <x:c r="AB938" s="43"/>
      <x:c r="AC938" s="34"/>
      <x:c r="AD938" s="34"/>
      <x:c r="AE938" s="34"/>
      <x:c r="AF938" s="34"/>
      <x:c r="AG938" s="34"/>
      <x:c r="AH938" s="34"/>
      <x:c r="AI938" s="34"/>
    </x:row>
    <x:row r="939">
      <x:c r="A939" s="34" t="str">
        <x:v>article1-unified-v4-2-fb3f101b-20260903-000401-default-f04-p5-ehcache</x:v>
      </x:c>
      <x:c r="B939" s="34" t="str">
        <x:v>default</x:v>
      </x:c>
      <x:c r="C939" s="34" t="str">
        <x:v>ehcache</x:v>
      </x:c>
      <x:c r="D939" s="34" t="str">
        <x:v>ehcache</x:v>
      </x:c>
      <x:c r="E939" s="36" t="n">
        <x:v>4</x:v>
      </x:c>
      <x:c r="F939" s="36" t="n">
        <x:v>4</x:v>
      </x:c>
      <x:c r="G939" s="36" t="n">
        <x:v>5</x:v>
      </x:c>
      <x:c r="H939" s="36" t="n">
        <x:v>5</x:v>
      </x:c>
      <x:c r="I939" s="34" t="str">
        <x:v>loaded</x:v>
      </x:c>
      <x:c r="J939" s="34" t="str">
        <x:v>loaded</x:v>
      </x:c>
      <x:c r="K939" s="36" t="n">
        <x:v>0</x:v>
      </x:c>
      <x:c r="L939" s="34" t="str">
        <x:v>initial</x:v>
      </x:c>
      <x:c r="M939" s="34" t="str">
        <x:v>article1-unified-v4-2-fb3f101b-20260903-000401-default-f04-p5-ehcache-5-loaded</x:v>
      </x:c>
      <x:c r="N939" s="38" t="n">
        <x:v>46268.05172710648</x:v>
      </x:c>
      <x:c r="O939" s="36" t="n">
        <x:v>0</x:v>
      </x:c>
      <x:c r="P939" s="43" t="n">
        <x:v>94458880</x:v>
      </x:c>
      <x:c r="Q939" s="43" t="n">
        <x:v>268435456</x:v>
      </x:c>
      <x:c r="R939" s="43" t="n">
        <x:v>449230848</x:v>
      </x:c>
      <x:c r="S939" s="36" t="n">
        <x:v>3</x:v>
      </x:c>
      <x:c r="T939" s="44" t="str">
        <x:v>0x0000000052116bd8  0x0000000052003818  0x00007e4c98174110    4861  22724608  22702400  org.apache.catalina.loader.ParallelWebappClassLoader | 0x0000000052116bd8  0x0000000052003818  0x00007e4ce031d9b0    4847  22672384  22656368  org.apache.catalina.loader.ParallelWebappClassLoader | 0x0000000052116bd8  0x0000000052003818  0x00007e4d68651aa0       0         0         0  org.apache.catalina.loader.ParallelWebappClassLoader</x:v>
      </x:c>
      <x:c r="U939" s="36" t="n">
        <x:v>28</x:v>
      </x:c>
      <x:c r="V939" s="36" t="n">
        <x:v>0</x:v>
      </x:c>
      <x:c r="W939" s="44"/>
      <x:c r="X939" s="36"/>
      <x:c r="Y939" s="36"/>
      <x:c r="Z939" s="44"/>
      <x:c r="AA939" s="49"/>
      <x:c r="AB939" s="43"/>
      <x:c r="AC939" s="34"/>
      <x:c r="AD939" s="34"/>
      <x:c r="AE939" s="34"/>
      <x:c r="AF939" s="34"/>
      <x:c r="AG939" s="34"/>
      <x:c r="AH939" s="34"/>
      <x:c r="AI939" s="34"/>
    </x:row>
    <x:row r="940">
      <x:c r="A940" s="34" t="str">
        <x:v>article1-unified-v4-2-fb3f101b-20260903-000401-default-f04-p5-ehcache</x:v>
      </x:c>
      <x:c r="B940" s="34" t="str">
        <x:v>default</x:v>
      </x:c>
      <x:c r="C940" s="34" t="str">
        <x:v>ehcache</x:v>
      </x:c>
      <x:c r="D940" s="34" t="str">
        <x:v>ehcache</x:v>
      </x:c>
      <x:c r="E940" s="36" t="n">
        <x:v>4</x:v>
      </x:c>
      <x:c r="F940" s="36" t="n">
        <x:v>4</x:v>
      </x:c>
      <x:c r="G940" s="36" t="n">
        <x:v>5</x:v>
      </x:c>
      <x:c r="H940" s="36" t="n">
        <x:v>5</x:v>
      </x:c>
      <x:c r="I940" s="34" t="str">
        <x:v>afterUndeployEarly</x:v>
      </x:c>
      <x:c r="J940" s="34" t="str">
        <x:v>after-undeploy-early</x:v>
      </x:c>
      <x:c r="K940" s="36" t="n">
        <x:v>1</x:v>
      </x:c>
      <x:c r="L940" s="34" t="str">
        <x:v>early</x:v>
      </x:c>
      <x:c r="M940" s="34" t="str">
        <x:v>article1-unified-v4-2-fb3f101b-20260903-000401-default-f04-p5-ehcache-5-after-undeploy-early-2s</x:v>
      </x:c>
      <x:c r="N940" s="38" t="n">
        <x:v>46268.05180864583</x:v>
      </x:c>
      <x:c r="O940" s="36"/>
      <x:c r="P940" s="43"/>
      <x:c r="Q940" s="43"/>
      <x:c r="R940" s="43"/>
      <x:c r="S940" s="36"/>
      <x:c r="T940" s="44"/>
      <x:c r="U940" s="36" t="n">
        <x:v>27</x:v>
      </x:c>
      <x:c r="V940" s="36" t="n">
        <x:v>0</x:v>
      </x:c>
      <x:c r="W940" s="44"/>
      <x:c r="X940" s="36"/>
      <x:c r="Y940" s="36"/>
      <x:c r="Z940" s="44"/>
      <x:c r="AA940" s="49"/>
      <x:c r="AB940" s="43" t="n">
        <x:v>2</x:v>
      </x:c>
      <x:c r="AC940" s="34"/>
      <x:c r="AD940" s="34"/>
      <x:c r="AE940" s="34" t="str">
        <x:v>article1-unified-v4-2-fb3f101b-20260903-000401-default-f04-p5-ehcache-5-after-undeploy-early-2s-thread-dump.txt</x:v>
      </x:c>
      <x:c r="AF940" s="34" t="str">
        <x:v>article1-unified-v4-2-fb3f101b-20260903-000401-default-f04-p5-ehcache-5-after-undeploy-early-tomcat-log.txt</x:v>
      </x:c>
      <x:c r="AG940" s="34"/>
      <x:c r="AH940" s="34"/>
      <x:c r="AI940" s="34"/>
    </x:row>
    <x:row r="941">
      <x:c r="A941" s="34" t="str">
        <x:v>article1-unified-v4-2-fb3f101b-20260903-000401-default-f04-p5-ehcache</x:v>
      </x:c>
      <x:c r="B941" s="34" t="str">
        <x:v>default</x:v>
      </x:c>
      <x:c r="C941" s="34" t="str">
        <x:v>ehcache</x:v>
      </x:c>
      <x:c r="D941" s="34" t="str">
        <x:v>ehcache</x:v>
      </x:c>
      <x:c r="E941" s="36" t="n">
        <x:v>4</x:v>
      </x:c>
      <x:c r="F941" s="36" t="n">
        <x:v>4</x:v>
      </x:c>
      <x:c r="G941" s="36" t="n">
        <x:v>5</x:v>
      </x:c>
      <x:c r="H941" s="36" t="n">
        <x:v>5</x:v>
      </x:c>
      <x:c r="I941" s="34" t="str">
        <x:v>afterUndeploy</x:v>
      </x:c>
      <x:c r="J941" s="34" t="str">
        <x:v>after-undeploy-final</x:v>
      </x:c>
      <x:c r="K941" s="36" t="n">
        <x:v>1</x:v>
      </x:c>
      <x:c r="L941" s="34" t="str">
        <x:v>final</x:v>
      </x:c>
      <x:c r="M941" s="34" t="str">
        <x:v>article1-unified-v4-2-fb3f101b-20260903-000401-default-f04-p5-ehcache-5-after-undeploy-final-10s</x:v>
      </x:c>
      <x:c r="N941" s="38" t="n">
        <x:v>46268.05196247685</x:v>
      </x:c>
      <x:c r="O941" s="36" t="n">
        <x:v>2</x:v>
      </x:c>
      <x:c r="P941" s="43" t="n">
        <x:v>16107520</x:v>
      </x:c>
      <x:c r="Q941" s="43" t="n">
        <x:v>268435456</x:v>
      </x:c>
      <x:c r="R941" s="43" t="n">
        <x:v>427487232</x:v>
      </x:c>
      <x:c r="S941" s="36" t="n">
        <x:v>2</x:v>
      </x:c>
      <x:c r="T941" s="44" t="str">
        <x:v>0x0000000052116bd8  0x0000000052003818  0x00007e4d68651aa0       0         0         0  org.apache.catalina.loader.ParallelWebappClassLoader | 0x0000000052116bd8  0x0000000052003818  0x00007e4ce031d9b0    4857  22705152  22702112  org.apache.catalina.loader.ParallelWebappClassLoader</x:v>
      </x:c>
      <x:c r="U941" s="36" t="n">
        <x:v>27</x:v>
      </x:c>
      <x:c r="V941" s="36" t="n">
        <x:v>0</x:v>
      </x:c>
      <x:c r="W941" s="44"/>
      <x:c r="X941" s="36" t="n">
        <x:v>1</x:v>
      </x:c>
      <x:c r="Y941" s="36" t="n">
        <x:v>1</x:v>
      </x:c>
      <x:c r="Z941" s="44" t="str">
        <x:v>/ehcache</x:v>
      </x:c>
      <x:c r="AA941" s="45" t="b">
        <x:v>1</x:v>
      </x:c>
      <x:c r="AB941" s="43"/>
      <x:c r="AC941" s="34" t="str">
        <x:v>article1-unified-v4-2-fb3f101b-20260903-000401-default-f04-p5-ehcache-5-after-undeploy-final-10s-heap-info.txt</x:v>
      </x:c>
      <x:c r="AD941" s="34" t="str">
        <x:v>article1-unified-v4-2-fb3f101b-20260903-000401-default-f04-p5-ehcache-5-after-undeploy-final-10s-classloader-stats.txt</x:v>
      </x:c>
      <x:c r="AE941" s="34" t="str">
        <x:v>article1-unified-v4-2-fb3f101b-20260903-000401-default-f04-p5-ehcache-5-after-undeploy-final-10s-thread-dump.txt</x:v>
      </x:c>
      <x:c r="AF941" s="34"/>
      <x:c r="AG941" s="34" t="str">
        <x:v>article1-unified-v4-2-fb3f101b-20260903-000401-default-f04-p5-ehcache-5-after-undeploy-final-10s-native-memory.txt</x:v>
      </x:c>
      <x:c r="AH941" s="34" t="str">
        <x:v>article1-unified-v4-2-fb3f101b-20260903-000401-default-f04-p5-ehcache-5-after-undeploy-final-10s-class-histogram.txt</x:v>
      </x:c>
      <x:c r="AI941" s="34" t="str">
        <x:v>article1-unified-v4-2-fb3f101b-20260903-000401-default-f04-p5-ehcache-5-after-undeploy-tomcat-findleaks.txt</x:v>
      </x:c>
    </x:row>
    <x:row r="942">
      <x:c r="A942" s="34" t="str">
        <x:v>article1-unified-v4-2-fb3f101b-20260903-000401-default-f04-p5-ehcache</x:v>
      </x:c>
      <x:c r="B942" s="34" t="str">
        <x:v>default</x:v>
      </x:c>
      <x:c r="C942" s="34" t="str">
        <x:v>ehcache</x:v>
      </x:c>
      <x:c r="D942" s="34" t="str">
        <x:v>ehcache</x:v>
      </x:c>
      <x:c r="E942" s="36" t="n">
        <x:v>4</x:v>
      </x:c>
      <x:c r="F942" s="36" t="n">
        <x:v>4</x:v>
      </x:c>
      <x:c r="G942" s="36" t="n">
        <x:v>5</x:v>
      </x:c>
      <x:c r="H942" s="36" t="n">
        <x:v>5</x:v>
      </x:c>
      <x:c r="I942" s="34" t="str">
        <x:v>redeployedLoaded</x:v>
      </x:c>
      <x:c r="J942" s="34" t="str">
        <x:v>redeployed-loaded</x:v>
      </x:c>
      <x:c r="K942" s="36" t="n">
        <x:v>0</x:v>
      </x:c>
      <x:c r="L942" s="34" t="str">
        <x:v>redeploy</x:v>
      </x:c>
      <x:c r="M942" s="34" t="str">
        <x:v>article1-unified-v4-2-fb3f101b-20260903-000401-default-f04-p5-ehcache-5-redeployed-loaded</x:v>
      </x:c>
      <x:c r="N942" s="38" t="n">
        <x:v>46268.052216689815</x:v>
      </x:c>
      <x:c r="O942" s="36" t="n">
        <x:v>0</x:v>
      </x:c>
      <x:c r="P942" s="43" t="n">
        <x:v>209779712</x:v>
      </x:c>
      <x:c r="Q942" s="43" t="n">
        <x:v>268435456</x:v>
      </x:c>
      <x:c r="R942" s="43" t="n">
        <x:v>453875712</x:v>
      </x:c>
      <x:c r="S942" s="36" t="n">
        <x:v>3</x:v>
      </x:c>
      <x:c r="T942" s="44" t="str">
        <x:v>0x0000000052116bd8  0x0000000052003818  0x00007e4d68651aa0       0         0         0  org.apache.catalina.loader.ParallelWebappClassLoader | 0x0000000052116bd8  0x0000000052003818  0x00007e4cd80ef720    4851  22670336  22659064  org.apache.catalina.loader.ParallelWebappClassLoader | 0x0000000052116bd8  0x0000000052003818  0x00007e4ce031d9b0    4857  22705152  22702112  org.apache.catalina.loader.ParallelWebappClassLoader</x:v>
      </x:c>
      <x:c r="U942" s="36" t="n">
        <x:v>28</x:v>
      </x:c>
      <x:c r="V942" s="36" t="n">
        <x:v>0</x:v>
      </x:c>
      <x:c r="W942" s="44"/>
      <x:c r="X942" s="36"/>
      <x:c r="Y942" s="36"/>
      <x:c r="Z942" s="44"/>
      <x:c r="AA942" s="49"/>
      <x:c r="AB942" s="43"/>
      <x:c r="AC942" s="34"/>
      <x:c r="AD942" s="34"/>
      <x:c r="AE942" s="34"/>
      <x:c r="AF942" s="34"/>
      <x:c r="AG942" s="34"/>
      <x:c r="AH942" s="34"/>
      <x:c r="AI942" s="34"/>
    </x:row>
    <x:row r="943">
      <x:c r="A943" s="34" t="str">
        <x:v>article1-unified-v4-2-fb3f101b-20260903-000401-default-f04-p5-ehcache</x:v>
      </x:c>
      <x:c r="B943" s="34" t="str">
        <x:v>default</x:v>
      </x:c>
      <x:c r="C943" s="34" t="str">
        <x:v>ehcache</x:v>
      </x:c>
      <x:c r="D943" s="34" t="str">
        <x:v>ehcache</x:v>
      </x:c>
      <x:c r="E943" s="36" t="n">
        <x:v>4</x:v>
      </x:c>
      <x:c r="F943" s="36" t="n">
        <x:v>4</x:v>
      </x:c>
      <x:c r="G943" s="36" t="n">
        <x:v>5</x:v>
      </x:c>
      <x:c r="H943" s="36" t="n">
        <x:v>5</x:v>
      </x:c>
      <x:c r="I943" s="34" t="str">
        <x:v>afterFinalUndeployEarly</x:v>
      </x:c>
      <x:c r="J943" s="34" t="str">
        <x:v>after-final-undeploy-early</x:v>
      </x:c>
      <x:c r="K943" s="36" t="n">
        <x:v>2</x:v>
      </x:c>
      <x:c r="L943" s="34" t="str">
        <x:v>early</x:v>
      </x:c>
      <x:c r="M943" s="34" t="str">
        <x:v>article1-unified-v4-2-fb3f101b-20260903-000401-default-f04-p5-ehcache-5-after-final-undeploy-early-2s</x:v>
      </x:c>
      <x:c r="N943" s="38" t="n">
        <x:v>46268.05230023148</x:v>
      </x:c>
      <x:c r="O943" s="36"/>
      <x:c r="P943" s="43"/>
      <x:c r="Q943" s="43"/>
      <x:c r="R943" s="43"/>
      <x:c r="S943" s="36"/>
      <x:c r="T943" s="44"/>
      <x:c r="U943" s="36" t="n">
        <x:v>27</x:v>
      </x:c>
      <x:c r="V943" s="36" t="n">
        <x:v>0</x:v>
      </x:c>
      <x:c r="W943" s="44"/>
      <x:c r="X943" s="36"/>
      <x:c r="Y943" s="36"/>
      <x:c r="Z943" s="44"/>
      <x:c r="AA943" s="49"/>
      <x:c r="AB943" s="43" t="n">
        <x:v>2</x:v>
      </x:c>
      <x:c r="AC943" s="34"/>
      <x:c r="AD943" s="34"/>
      <x:c r="AE943" s="34" t="str">
        <x:v>article1-unified-v4-2-fb3f101b-20260903-000401-default-f04-p5-ehcache-5-after-final-undeploy-early-2s-thread-dump.txt</x:v>
      </x:c>
      <x:c r="AF943" s="34" t="str">
        <x:v>article1-unified-v4-2-fb3f101b-20260903-000401-default-f04-p5-ehcache-5-after-final-undeploy-early-tomcat-log.txt</x:v>
      </x:c>
      <x:c r="AG943" s="34"/>
      <x:c r="AH943" s="34"/>
      <x:c r="AI943" s="34"/>
    </x:row>
    <x:row r="944">
      <x:c r="A944" s="34" t="str">
        <x:v>article1-unified-v4-2-fb3f101b-20260903-000401-default-f04-p5-ehcache</x:v>
      </x:c>
      <x:c r="B944" s="34" t="str">
        <x:v>default</x:v>
      </x:c>
      <x:c r="C944" s="34" t="str">
        <x:v>ehcache</x:v>
      </x:c>
      <x:c r="D944" s="34" t="str">
        <x:v>ehcache</x:v>
      </x:c>
      <x:c r="E944" s="36" t="n">
        <x:v>4</x:v>
      </x:c>
      <x:c r="F944" s="36" t="n">
        <x:v>4</x:v>
      </x:c>
      <x:c r="G944" s="36" t="n">
        <x:v>5</x:v>
      </x:c>
      <x:c r="H944" s="36" t="n">
        <x:v>5</x:v>
      </x:c>
      <x:c r="I944" s="34" t="str">
        <x:v>afterFinalUndeploy</x:v>
      </x:c>
      <x:c r="J944" s="34" t="str">
        <x:v>after-final-undeploy-final</x:v>
      </x:c>
      <x:c r="K944" s="36" t="n">
        <x:v>2</x:v>
      </x:c>
      <x:c r="L944" s="34" t="str">
        <x:v>final</x:v>
      </x:c>
      <x:c r="M944" s="34" t="str">
        <x:v>article1-unified-v4-2-fb3f101b-20260903-000401-default-f04-p5-ehcache-5-after-final-undeploy-final-10s</x:v>
      </x:c>
      <x:c r="N944" s="38" t="n">
        <x:v>46268.052453715274</x:v>
      </x:c>
      <x:c r="O944" s="36" t="n">
        <x:v>2</x:v>
      </x:c>
      <x:c r="P944" s="43" t="n">
        <x:v>16119808</x:v>
      </x:c>
      <x:c r="Q944" s="43" t="n">
        <x:v>268435456</x:v>
      </x:c>
      <x:c r="R944" s="43" t="n">
        <x:v>431958016</x:v>
      </x:c>
      <x:c r="S944" s="36" t="n">
        <x:v>2</x:v>
      </x:c>
      <x:c r="T944" s="44" t="str">
        <x:v>0x0000000052116bd8  0x0000000052003818  0x00007e4cd80ef720    4861  22719488  22704816  org.apache.catalina.loader.ParallelWebappClassLoader | 0x0000000052116bd8  0x0000000052003818  0x00007e4d68651aa0       0         0         0  org.apache.catalina.loader.ParallelWebappClassLoader</x:v>
      </x:c>
      <x:c r="U944" s="36" t="n">
        <x:v>27</x:v>
      </x:c>
      <x:c r="V944" s="36" t="n">
        <x:v>0</x:v>
      </x:c>
      <x:c r="W944" s="44"/>
      <x:c r="X944" s="36" t="n">
        <x:v>1</x:v>
      </x:c>
      <x:c r="Y944" s="36" t="n">
        <x:v>1</x:v>
      </x:c>
      <x:c r="Z944" s="44" t="str">
        <x:v>/ehcache</x:v>
      </x:c>
      <x:c r="AA944" s="45" t="b">
        <x:v>1</x:v>
      </x:c>
      <x:c r="AB944" s="43"/>
      <x:c r="AC944" s="34" t="str">
        <x:v>article1-unified-v4-2-fb3f101b-20260903-000401-default-f04-p5-ehcache-5-after-final-undeploy-final-10s-heap-info.txt</x:v>
      </x:c>
      <x:c r="AD944" s="34" t="str">
        <x:v>article1-unified-v4-2-fb3f101b-20260903-000401-default-f04-p5-ehcache-5-after-final-undeploy-final-10s-classloader-stats.txt</x:v>
      </x:c>
      <x:c r="AE944" s="34" t="str">
        <x:v>article1-unified-v4-2-fb3f101b-20260903-000401-default-f04-p5-ehcache-5-after-final-undeploy-final-10s-thread-dump.txt</x:v>
      </x:c>
      <x:c r="AF944" s="34"/>
      <x:c r="AG944" s="34" t="str">
        <x:v>article1-unified-v4-2-fb3f101b-20260903-000401-default-f04-p5-ehcache-5-after-final-undeploy-final-10s-native-memory.txt</x:v>
      </x:c>
      <x:c r="AH944" s="34" t="str">
        <x:v>article1-unified-v4-2-fb3f101b-20260903-000401-default-f04-p5-ehcache-5-after-final-undeploy-final-10s-class-histogram.txt</x:v>
      </x:c>
      <x:c r="AI944" s="34" t="str">
        <x:v>article1-unified-v4-2-fb3f101b-20260903-000401-default-f04-p5-ehcache-5-after-final-undeploy-tomcat-findleaks.txt</x:v>
      </x:c>
    </x:row>
    <x:row r="945">
      <x:c r="A945" s="34" t="str">
        <x:v>article1-unified-v4-2-fb3f101b-20260903-000401-default-f04-p6-caffeine</x:v>
      </x:c>
      <x:c r="B945" s="34" t="str">
        <x:v>default</x:v>
      </x:c>
      <x:c r="C945" s="34" t="str">
        <x:v>caffeine</x:v>
      </x:c>
      <x:c r="D945" s="34" t="str">
        <x:v>caffeine</x:v>
      </x:c>
      <x:c r="E945" s="36" t="n">
        <x:v>4</x:v>
      </x:c>
      <x:c r="F945" s="36" t="n">
        <x:v>4</x:v>
      </x:c>
      <x:c r="G945" s="36" t="n">
        <x:v>6</x:v>
      </x:c>
      <x:c r="H945" s="36" t="n">
        <x:v>0</x:v>
      </x:c>
      <x:c r="I945" s="34" t="str">
        <x:v>processBaseline</x:v>
      </x:c>
      <x:c r="J945" s="34" t="str">
        <x:v>process-baseline</x:v>
      </x:c>
      <x:c r="K945" s="36" t="n">
        <x:v>0</x:v>
      </x:c>
      <x:c r="L945" s="34" t="str">
        <x:v>baseline</x:v>
      </x:c>
      <x:c r="M945" s="34" t="str">
        <x:v>article1-unified-v4-2-fb3f101b-20260903-000401-default-f04-p6-caffeine-process-baseline</x:v>
      </x:c>
      <x:c r="N945" s="38" t="n">
        <x:v>46268.05269015046</x:v>
      </x:c>
      <x:c r="O945" s="36" t="n">
        <x:v>0</x:v>
      </x:c>
      <x:c r="P945" s="43" t="n">
        <x:v>32770048</x:v>
      </x:c>
      <x:c r="Q945" s="43" t="n">
        <x:v>270532608</x:v>
      </x:c>
      <x:c r="R945" s="43" t="n">
        <x:v>369324032</x:v>
      </x:c>
      <x:c r="S945" s="36" t="n">
        <x:v>1</x:v>
      </x:c>
      <x:c r="T945" s="44" t="str">
        <x:v>0x00000000111177b8  0x0000000011003818  0x0000743074607130       0         0         0  org.apache.catalina.loader.ParallelWebappClassLoader</x:v>
      </x:c>
      <x:c r="U945" s="36" t="n">
        <x:v>27</x:v>
      </x:c>
      <x:c r="V945" s="36" t="n">
        <x:v>0</x:v>
      </x:c>
      <x:c r="W945" s="44"/>
      <x:c r="X945" s="36"/>
      <x:c r="Y945" s="36"/>
      <x:c r="Z945" s="44"/>
      <x:c r="AA945" s="49"/>
      <x:c r="AB945" s="43"/>
      <x:c r="AC945" s="34" t="str">
        <x:v>article1-unified-v4-2-fb3f101b-20260903-000401-default-f04-p6-caffeine-process-baseline-heap-info.txt</x:v>
      </x:c>
      <x:c r="AD945" s="34" t="str">
        <x:v>article1-unified-v4-2-fb3f101b-20260903-000401-default-f04-p6-caffeine-process-baseline-classloader-stats.txt</x:v>
      </x:c>
      <x:c r="AE945" s="34" t="str">
        <x:v>article1-unified-v4-2-fb3f101b-20260903-000401-default-f04-p6-caffeine-process-baseline-thread-dump.txt</x:v>
      </x:c>
      <x:c r="AF945" s="34"/>
      <x:c r="AG945" s="34" t="str">
        <x:v>article1-unified-v4-2-fb3f101b-20260903-000401-default-f04-p6-caffeine-process-baseline-native-memory.txt</x:v>
      </x:c>
      <x:c r="AH945" s="34"/>
      <x:c r="AI945" s="34"/>
    </x:row>
    <x:row r="946">
      <x:c r="A946" s="34" t="str">
        <x:v>article1-unified-v4-2-fb3f101b-20260903-000401-default-f04-p6-caffeine</x:v>
      </x:c>
      <x:c r="B946" s="34" t="str">
        <x:v>default</x:v>
      </x:c>
      <x:c r="C946" s="34" t="str">
        <x:v>caffeine</x:v>
      </x:c>
      <x:c r="D946" s="34" t="str">
        <x:v>caffeine</x:v>
      </x:c>
      <x:c r="E946" s="36" t="n">
        <x:v>4</x:v>
      </x:c>
      <x:c r="F946" s="36" t="n">
        <x:v>4</x:v>
      </x:c>
      <x:c r="G946" s="36" t="n">
        <x:v>6</x:v>
      </x:c>
      <x:c r="H946" s="36" t="n">
        <x:v>1</x:v>
      </x:c>
      <x:c r="I946" s="34" t="str">
        <x:v>baseline</x:v>
      </x:c>
      <x:c r="J946" s="34" t="str">
        <x:v>cycle-baseline</x:v>
      </x:c>
      <x:c r="K946" s="36" t="n">
        <x:v>0</x:v>
      </x:c>
      <x:c r="L946" s="34" t="str">
        <x:v>baseline</x:v>
      </x:c>
      <x:c r="M946" s="34" t="str">
        <x:v>article1-unified-v4-2-fb3f101b-20260903-000401-default-f04-p6-caffeine-1-baseline</x:v>
      </x:c>
      <x:c r="N946" s="38" t="n">
        <x:v>46268.05288200232</x:v>
      </x:c>
      <x:c r="O946" s="36" t="n">
        <x:v>0</x:v>
      </x:c>
      <x:c r="P946" s="43" t="n">
        <x:v>33294336</x:v>
      </x:c>
      <x:c r="Q946" s="43" t="n">
        <x:v>270532608</x:v>
      </x:c>
      <x:c r="R946" s="43" t="n">
        <x:v>369908736</x:v>
      </x:c>
      <x:c r="S946" s="36" t="n">
        <x:v>1</x:v>
      </x:c>
      <x:c r="T946" s="44" t="str">
        <x:v>0x00000000111177b8  0x0000000011003818  0x0000743074607130       0         0         0  org.apache.catalina.loader.ParallelWebappClassLoader</x:v>
      </x:c>
      <x:c r="U946" s="36" t="n">
        <x:v>27</x:v>
      </x:c>
      <x:c r="V946" s="36" t="n">
        <x:v>0</x:v>
      </x:c>
      <x:c r="W946" s="44"/>
      <x:c r="X946" s="36"/>
      <x:c r="Y946" s="36"/>
      <x:c r="Z946" s="44"/>
      <x:c r="AA946" s="49"/>
      <x:c r="AB946" s="43"/>
      <x:c r="AC946" s="34" t="str">
        <x:v>article1-unified-v4-2-fb3f101b-20260903-000401-default-f04-p6-caffeine-1-baseline-heap-info.txt</x:v>
      </x:c>
      <x:c r="AD946" s="34" t="str">
        <x:v>article1-unified-v4-2-fb3f101b-20260903-000401-default-f04-p6-caffeine-1-baseline-classloader-stats.txt</x:v>
      </x:c>
      <x:c r="AE946" s="34" t="str">
        <x:v>article1-unified-v4-2-fb3f101b-20260903-000401-default-f04-p6-caffeine-1-baseline-thread-dump.txt</x:v>
      </x:c>
      <x:c r="AF946" s="34"/>
      <x:c r="AG946" s="34" t="str">
        <x:v>article1-unified-v4-2-fb3f101b-20260903-000401-default-f04-p6-caffeine-1-baseline-native-memory.txt</x:v>
      </x:c>
      <x:c r="AH946" s="34"/>
      <x:c r="AI946" s="34"/>
    </x:row>
    <x:row r="947">
      <x:c r="A947" s="34" t="str">
        <x:v>article1-unified-v4-2-fb3f101b-20260903-000401-default-f04-p6-caffeine</x:v>
      </x:c>
      <x:c r="B947" s="34" t="str">
        <x:v>default</x:v>
      </x:c>
      <x:c r="C947" s="34" t="str">
        <x:v>caffeine</x:v>
      </x:c>
      <x:c r="D947" s="34" t="str">
        <x:v>caffeine</x:v>
      </x:c>
      <x:c r="E947" s="36" t="n">
        <x:v>4</x:v>
      </x:c>
      <x:c r="F947" s="36" t="n">
        <x:v>4</x:v>
      </x:c>
      <x:c r="G947" s="36" t="n">
        <x:v>6</x:v>
      </x:c>
      <x:c r="H947" s="36" t="n">
        <x:v>1</x:v>
      </x:c>
      <x:c r="I947" s="34" t="str">
        <x:v>deployedIdle</x:v>
      </x:c>
      <x:c r="J947" s="34" t="str">
        <x:v>deployed-idle</x:v>
      </x:c>
      <x:c r="K947" s="36" t="n">
        <x:v>0</x:v>
      </x:c>
      <x:c r="L947" s="34" t="str">
        <x:v>initial</x:v>
      </x:c>
      <x:c r="M947" s="34" t="str">
        <x:v>article1-unified-v4-2-fb3f101b-20260903-000401-default-f04-p6-caffeine-1-deployed-idle</x:v>
      </x:c>
      <x:c r="N947" s="38" t="n">
        <x:v>46268.052992777775</x:v>
      </x:c>
      <x:c r="O947" s="36" t="n">
        <x:v>0</x:v>
      </x:c>
      <x:c r="P947" s="43" t="n">
        <x:v>22520832</x:v>
      </x:c>
      <x:c r="Q947" s="43" t="n">
        <x:v>268435456</x:v>
      </x:c>
      <x:c r="R947" s="43" t="n">
        <x:v>427283456</x:v>
      </x:c>
      <x:c r="S947" s="36" t="n">
        <x:v>2</x:v>
      </x:c>
      <x:c r="T947" s="44" t="str">
        <x:v>0x00000000111177b8  0x0000000011003818  0x0000742fd0050080    4091  19408896  19402448  org.apache.catalina.loader.ParallelWebappClassLoader | 0x00000000111177b8  0x0000000011003818  0x0000743074607130       0         0         0  org.apache.catalina.loader.ParallelWebappClassLoader</x:v>
      </x:c>
      <x:c r="U947" s="36" t="n">
        <x:v>27</x:v>
      </x:c>
      <x:c r="V947" s="36" t="n">
        <x:v>0</x:v>
      </x:c>
      <x:c r="W947" s="44"/>
      <x:c r="X947" s="36"/>
      <x:c r="Y947" s="36"/>
      <x:c r="Z947" s="44"/>
      <x:c r="AA947" s="49"/>
      <x:c r="AB947" s="43"/>
      <x:c r="AC947" s="34"/>
      <x:c r="AD947" s="34"/>
      <x:c r="AE947" s="34"/>
      <x:c r="AF947" s="34"/>
      <x:c r="AG947" s="34"/>
      <x:c r="AH947" s="34"/>
      <x:c r="AI947" s="34"/>
    </x:row>
    <x:row r="948">
      <x:c r="A948" s="34" t="str">
        <x:v>article1-unified-v4-2-fb3f101b-20260903-000401-default-f04-p6-caffeine</x:v>
      </x:c>
      <x:c r="B948" s="34" t="str">
        <x:v>default</x:v>
      </x:c>
      <x:c r="C948" s="34" t="str">
        <x:v>caffeine</x:v>
      </x:c>
      <x:c r="D948" s="34" t="str">
        <x:v>caffeine</x:v>
      </x:c>
      <x:c r="E948" s="36" t="n">
        <x:v>4</x:v>
      </x:c>
      <x:c r="F948" s="36" t="n">
        <x:v>4</x:v>
      </x:c>
      <x:c r="G948" s="36" t="n">
        <x:v>6</x:v>
      </x:c>
      <x:c r="H948" s="36" t="n">
        <x:v>1</x:v>
      </x:c>
      <x:c r="I948" s="34" t="str">
        <x:v>loaded</x:v>
      </x:c>
      <x:c r="J948" s="34" t="str">
        <x:v>loaded</x:v>
      </x:c>
      <x:c r="K948" s="36" t="n">
        <x:v>0</x:v>
      </x:c>
      <x:c r="L948" s="34" t="str">
        <x:v>initial</x:v>
      </x:c>
      <x:c r="M948" s="34" t="str">
        <x:v>article1-unified-v4-2-fb3f101b-20260903-000401-default-f04-p6-caffeine-1-loaded</x:v>
      </x:c>
      <x:c r="N948" s="38" t="n">
        <x:v>46268.05314123842</x:v>
      </x:c>
      <x:c r="O948" s="36" t="n">
        <x:v>0</x:v>
      </x:c>
      <x:c r="P948" s="43" t="n">
        <x:v>216570880</x:v>
      </x:c>
      <x:c r="Q948" s="43" t="n">
        <x:v>268435456</x:v>
      </x:c>
      <x:c r="R948" s="43" t="n">
        <x:v>412185600</x:v>
      </x:c>
      <x:c r="S948" s="36" t="n">
        <x:v>2</x:v>
      </x:c>
      <x:c r="T948" s="44" t="str">
        <x:v>0x00000000111177b8  0x0000000011003818  0x0000742fd0050080    4394  21085184  21067488  org.apache.catalina.loader.ParallelWebappClassLoader | 0x00000000111177b8  0x0000000011003818  0x0000743074607130       0         0         0  org.apache.catalina.loader.ParallelWebappClassLoader</x:v>
      </x:c>
      <x:c r="U948" s="36" t="n">
        <x:v>31</x:v>
      </x:c>
      <x:c r="V948" s="36" t="n">
        <x:v>0</x:v>
      </x:c>
      <x:c r="W948" s="44"/>
      <x:c r="X948" s="36"/>
      <x:c r="Y948" s="36"/>
      <x:c r="Z948" s="44"/>
      <x:c r="AA948" s="49"/>
      <x:c r="AB948" s="43"/>
      <x:c r="AC948" s="34"/>
      <x:c r="AD948" s="34"/>
      <x:c r="AE948" s="34"/>
      <x:c r="AF948" s="34"/>
      <x:c r="AG948" s="34"/>
      <x:c r="AH948" s="34"/>
      <x:c r="AI948" s="34"/>
    </x:row>
    <x:row r="949">
      <x:c r="A949" s="34" t="str">
        <x:v>article1-unified-v4-2-fb3f101b-20260903-000401-default-f04-p6-caffeine</x:v>
      </x:c>
      <x:c r="B949" s="34" t="str">
        <x:v>default</x:v>
      </x:c>
      <x:c r="C949" s="34" t="str">
        <x:v>caffeine</x:v>
      </x:c>
      <x:c r="D949" s="34" t="str">
        <x:v>caffeine</x:v>
      </x:c>
      <x:c r="E949" s="36" t="n">
        <x:v>4</x:v>
      </x:c>
      <x:c r="F949" s="36" t="n">
        <x:v>4</x:v>
      </x:c>
      <x:c r="G949" s="36" t="n">
        <x:v>6</x:v>
      </x:c>
      <x:c r="H949" s="36" t="n">
        <x:v>1</x:v>
      </x:c>
      <x:c r="I949" s="34" t="str">
        <x:v>afterUndeployEarly</x:v>
      </x:c>
      <x:c r="J949" s="34" t="str">
        <x:v>after-undeploy-early</x:v>
      </x:c>
      <x:c r="K949" s="36" t="n">
        <x:v>1</x:v>
      </x:c>
      <x:c r="L949" s="34" t="str">
        <x:v>early</x:v>
      </x:c>
      <x:c r="M949" s="34" t="str">
        <x:v>article1-unified-v4-2-fb3f101b-20260903-000401-default-f04-p6-caffeine-1-after-undeploy-early-2s</x:v>
      </x:c>
      <x:c r="N949" s="38" t="n">
        <x:v>46268.05322443287</x:v>
      </x:c>
      <x:c r="O949" s="36"/>
      <x:c r="P949" s="43"/>
      <x:c r="Q949" s="43"/>
      <x:c r="R949" s="43"/>
      <x:c r="S949" s="36"/>
      <x:c r="T949" s="44"/>
      <x:c r="U949" s="36" t="n">
        <x:v>30</x:v>
      </x:c>
      <x:c r="V949" s="36" t="n">
        <x:v>0</x:v>
      </x:c>
      <x:c r="W949" s="44"/>
      <x:c r="X949" s="36"/>
      <x:c r="Y949" s="36"/>
      <x:c r="Z949" s="44"/>
      <x:c r="AA949" s="49"/>
      <x:c r="AB949" s="43" t="n">
        <x:v>1</x:v>
      </x:c>
      <x:c r="AC949" s="34"/>
      <x:c r="AD949" s="34"/>
      <x:c r="AE949" s="34" t="str">
        <x:v>article1-unified-v4-2-fb3f101b-20260903-000401-default-f04-p6-caffeine-1-after-undeploy-early-2s-thread-dump.txt</x:v>
      </x:c>
      <x:c r="AF949" s="34" t="str">
        <x:v>article1-unified-v4-2-fb3f101b-20260903-000401-default-f04-p6-caffeine-1-after-undeploy-early-tomcat-log.txt</x:v>
      </x:c>
      <x:c r="AG949" s="34"/>
      <x:c r="AH949" s="34"/>
      <x:c r="AI949" s="34"/>
    </x:row>
    <x:row r="950">
      <x:c r="A950" s="34" t="str">
        <x:v>article1-unified-v4-2-fb3f101b-20260903-000401-default-f04-p6-caffeine</x:v>
      </x:c>
      <x:c r="B950" s="34" t="str">
        <x:v>default</x:v>
      </x:c>
      <x:c r="C950" s="34" t="str">
        <x:v>caffeine</x:v>
      </x:c>
      <x:c r="D950" s="34" t="str">
        <x:v>caffeine</x:v>
      </x:c>
      <x:c r="E950" s="36" t="n">
        <x:v>4</x:v>
      </x:c>
      <x:c r="F950" s="36" t="n">
        <x:v>4</x:v>
      </x:c>
      <x:c r="G950" s="36" t="n">
        <x:v>6</x:v>
      </x:c>
      <x:c r="H950" s="36" t="n">
        <x:v>1</x:v>
      </x:c>
      <x:c r="I950" s="34" t="str">
        <x:v>afterUndeploy</x:v>
      </x:c>
      <x:c r="J950" s="34" t="str">
        <x:v>after-undeploy-final</x:v>
      </x:c>
      <x:c r="K950" s="36" t="n">
        <x:v>1</x:v>
      </x:c>
      <x:c r="L950" s="34" t="str">
        <x:v>final</x:v>
      </x:c>
      <x:c r="M950" s="34" t="str">
        <x:v>article1-unified-v4-2-fb3f101b-20260903-000401-default-f04-p6-caffeine-1-after-undeploy-final-10s</x:v>
      </x:c>
      <x:c r="N950" s="38" t="n">
        <x:v>46268.0533796875</x:v>
      </x:c>
      <x:c r="O950" s="36" t="n">
        <x:v>2</x:v>
      </x:c>
      <x:c r="P950" s="43" t="n">
        <x:v>15505408</x:v>
      </x:c>
      <x:c r="Q950" s="43" t="n">
        <x:v>268435456</x:v>
      </x:c>
      <x:c r="R950" s="43" t="n">
        <x:v>410378240</x:v>
      </x:c>
      <x:c r="S950" s="36" t="n">
        <x:v>2</x:v>
      </x:c>
      <x:c r="T950" s="44" t="str">
        <x:v>0x00000000111177b8  0x0000000011003818  0x0000742fd0050080    4402  21103616  21092296  org.apache.catalina.loader.ParallelWebappClassLoader | 0x00000000111177b8  0x0000000011003818  0x0000743074607130       0         0         0  org.apache.catalina.loader.ParallelWebappClassLoader</x:v>
      </x:c>
      <x:c r="U950" s="36" t="n">
        <x:v>30</x:v>
      </x:c>
      <x:c r="V950" s="36" t="n">
        <x:v>0</x:v>
      </x:c>
      <x:c r="W950" s="44"/>
      <x:c r="X950" s="36" t="n">
        <x:v>1</x:v>
      </x:c>
      <x:c r="Y950" s="36" t="n">
        <x:v>1</x:v>
      </x:c>
      <x:c r="Z950" s="44" t="str">
        <x:v>/caffeine</x:v>
      </x:c>
      <x:c r="AA950" s="45" t="b">
        <x:v>1</x:v>
      </x:c>
      <x:c r="AB950" s="43"/>
      <x:c r="AC950" s="34" t="str">
        <x:v>article1-unified-v4-2-fb3f101b-20260903-000401-default-f04-p6-caffeine-1-after-undeploy-final-10s-heap-info.txt</x:v>
      </x:c>
      <x:c r="AD950" s="34" t="str">
        <x:v>article1-unified-v4-2-fb3f101b-20260903-000401-default-f04-p6-caffeine-1-after-undeploy-final-10s-classloader-stats.txt</x:v>
      </x:c>
      <x:c r="AE950" s="34" t="str">
        <x:v>article1-unified-v4-2-fb3f101b-20260903-000401-default-f04-p6-caffeine-1-after-undeploy-final-10s-thread-dump.txt</x:v>
      </x:c>
      <x:c r="AF950" s="34"/>
      <x:c r="AG950" s="34" t="str">
        <x:v>article1-unified-v4-2-fb3f101b-20260903-000401-default-f04-p6-caffeine-1-after-undeploy-final-10s-native-memory.txt</x:v>
      </x:c>
      <x:c r="AH950" s="34" t="str">
        <x:v>article1-unified-v4-2-fb3f101b-20260903-000401-default-f04-p6-caffeine-1-after-undeploy-final-10s-class-histogram.txt</x:v>
      </x:c>
      <x:c r="AI950" s="34" t="str">
        <x:v>article1-unified-v4-2-fb3f101b-20260903-000401-default-f04-p6-caffeine-1-after-undeploy-tomcat-findleaks.txt</x:v>
      </x:c>
    </x:row>
    <x:row r="951">
      <x:c r="A951" s="34" t="str">
        <x:v>article1-unified-v4-2-fb3f101b-20260903-000401-default-f04-p6-caffeine</x:v>
      </x:c>
      <x:c r="B951" s="34" t="str">
        <x:v>default</x:v>
      </x:c>
      <x:c r="C951" s="34" t="str">
        <x:v>caffeine</x:v>
      </x:c>
      <x:c r="D951" s="34" t="str">
        <x:v>caffeine</x:v>
      </x:c>
      <x:c r="E951" s="36" t="n">
        <x:v>4</x:v>
      </x:c>
      <x:c r="F951" s="36" t="n">
        <x:v>4</x:v>
      </x:c>
      <x:c r="G951" s="36" t="n">
        <x:v>6</x:v>
      </x:c>
      <x:c r="H951" s="36" t="n">
        <x:v>1</x:v>
      </x:c>
      <x:c r="I951" s="34" t="str">
        <x:v>redeployedLoaded</x:v>
      </x:c>
      <x:c r="J951" s="34" t="str">
        <x:v>redeployed-loaded</x:v>
      </x:c>
      <x:c r="K951" s="36" t="n">
        <x:v>0</x:v>
      </x:c>
      <x:c r="L951" s="34" t="str">
        <x:v>redeploy</x:v>
      </x:c>
      <x:c r="M951" s="34" t="str">
        <x:v>article1-unified-v4-2-fb3f101b-20260903-000401-default-f04-p6-caffeine-1-redeployed-loaded</x:v>
      </x:c>
      <x:c r="N951" s="38" t="n">
        <x:v>46268.05364293981</x:v>
      </x:c>
      <x:c r="O951" s="36" t="n">
        <x:v>0</x:v>
      </x:c>
      <x:c r="P951" s="43" t="n">
        <x:v>202993664</x:v>
      </x:c>
      <x:c r="Q951" s="43" t="n">
        <x:v>268435456</x:v>
      </x:c>
      <x:c r="R951" s="43" t="n">
        <x:v>446117888</x:v>
      </x:c>
      <x:c r="S951" s="36" t="n">
        <x:v>3</x:v>
      </x:c>
      <x:c r="T951" s="44" t="str">
        <x:v>0x00000000111177b8  0x0000000011003818  0x0000742fe40791e0    4387  21156864  21131560  org.apache.catalina.loader.ParallelWebappClassLoader | 0x00000000111177b8  0x0000000011003818  0x0000742fd0050080    4402  21103616  21092296  org.apache.catalina.loader.ParallelWebappClassLoader | 0x00000000111177b8  0x0000000011003818  0x0000743074607130       0         0         0  org.apache.catalina.loader.ParallelWebappClassLoader</x:v>
      </x:c>
      <x:c r="U951" s="36" t="n">
        <x:v>30</x:v>
      </x:c>
      <x:c r="V951" s="36" t="n">
        <x:v>0</x:v>
      </x:c>
      <x:c r="W951" s="44"/>
      <x:c r="X951" s="36"/>
      <x:c r="Y951" s="36"/>
      <x:c r="Z951" s="44"/>
      <x:c r="AA951" s="49"/>
      <x:c r="AB951" s="43"/>
      <x:c r="AC951" s="34"/>
      <x:c r="AD951" s="34"/>
      <x:c r="AE951" s="34"/>
      <x:c r="AF951" s="34"/>
      <x:c r="AG951" s="34"/>
      <x:c r="AH951" s="34"/>
      <x:c r="AI951" s="34"/>
    </x:row>
    <x:row r="952">
      <x:c r="A952" s="34" t="str">
        <x:v>article1-unified-v4-2-fb3f101b-20260903-000401-default-f04-p6-caffeine</x:v>
      </x:c>
      <x:c r="B952" s="34" t="str">
        <x:v>default</x:v>
      </x:c>
      <x:c r="C952" s="34" t="str">
        <x:v>caffeine</x:v>
      </x:c>
      <x:c r="D952" s="34" t="str">
        <x:v>caffeine</x:v>
      </x:c>
      <x:c r="E952" s="36" t="n">
        <x:v>4</x:v>
      </x:c>
      <x:c r="F952" s="36" t="n">
        <x:v>4</x:v>
      </x:c>
      <x:c r="G952" s="36" t="n">
        <x:v>6</x:v>
      </x:c>
      <x:c r="H952" s="36" t="n">
        <x:v>1</x:v>
      </x:c>
      <x:c r="I952" s="34" t="str">
        <x:v>afterFinalUndeployEarly</x:v>
      </x:c>
      <x:c r="J952" s="34" t="str">
        <x:v>after-final-undeploy-early</x:v>
      </x:c>
      <x:c r="K952" s="36" t="n">
        <x:v>2</x:v>
      </x:c>
      <x:c r="L952" s="34" t="str">
        <x:v>early</x:v>
      </x:c>
      <x:c r="M952" s="34" t="str">
        <x:v>article1-unified-v4-2-fb3f101b-20260903-000401-default-f04-p6-caffeine-1-after-final-undeploy-early-2s</x:v>
      </x:c>
      <x:c r="N952" s="38" t="n">
        <x:v>46268.05372498843</x:v>
      </x:c>
      <x:c r="O952" s="36"/>
      <x:c r="P952" s="43"/>
      <x:c r="Q952" s="43"/>
      <x:c r="R952" s="43"/>
      <x:c r="S952" s="36"/>
      <x:c r="T952" s="44"/>
      <x:c r="U952" s="36" t="n">
        <x:v>30</x:v>
      </x:c>
      <x:c r="V952" s="36" t="n">
        <x:v>0</x:v>
      </x:c>
      <x:c r="W952" s="44"/>
      <x:c r="X952" s="36"/>
      <x:c r="Y952" s="36"/>
      <x:c r="Z952" s="44"/>
      <x:c r="AA952" s="49"/>
      <x:c r="AB952" s="43" t="n">
        <x:v>1</x:v>
      </x:c>
      <x:c r="AC952" s="34"/>
      <x:c r="AD952" s="34"/>
      <x:c r="AE952" s="34" t="str">
        <x:v>article1-unified-v4-2-fb3f101b-20260903-000401-default-f04-p6-caffeine-1-after-final-undeploy-early-2s-thread-dump.txt</x:v>
      </x:c>
      <x:c r="AF952" s="34" t="str">
        <x:v>article1-unified-v4-2-fb3f101b-20260903-000401-default-f04-p6-caffeine-1-after-final-undeploy-early-tomcat-log.txt</x:v>
      </x:c>
      <x:c r="AG952" s="34"/>
      <x:c r="AH952" s="34"/>
      <x:c r="AI952" s="34"/>
    </x:row>
    <x:row r="953">
      <x:c r="A953" s="34" t="str">
        <x:v>article1-unified-v4-2-fb3f101b-20260903-000401-default-f04-p6-caffeine</x:v>
      </x:c>
      <x:c r="B953" s="34" t="str">
        <x:v>default</x:v>
      </x:c>
      <x:c r="C953" s="34" t="str">
        <x:v>caffeine</x:v>
      </x:c>
      <x:c r="D953" s="34" t="str">
        <x:v>caffeine</x:v>
      </x:c>
      <x:c r="E953" s="36" t="n">
        <x:v>4</x:v>
      </x:c>
      <x:c r="F953" s="36" t="n">
        <x:v>4</x:v>
      </x:c>
      <x:c r="G953" s="36" t="n">
        <x:v>6</x:v>
      </x:c>
      <x:c r="H953" s="36" t="n">
        <x:v>1</x:v>
      </x:c>
      <x:c r="I953" s="34" t="str">
        <x:v>afterFinalUndeploy</x:v>
      </x:c>
      <x:c r="J953" s="34" t="str">
        <x:v>after-final-undeploy-final</x:v>
      </x:c>
      <x:c r="K953" s="36" t="n">
        <x:v>2</x:v>
      </x:c>
      <x:c r="L953" s="34" t="str">
        <x:v>final</x:v>
      </x:c>
      <x:c r="M953" s="34" t="str">
        <x:v>article1-unified-v4-2-fb3f101b-20260903-000401-default-f04-p6-caffeine-1-after-final-undeploy-final-10s</x:v>
      </x:c>
      <x:c r="N953" s="38" t="n">
        <x:v>46268.053882719905</x:v>
      </x:c>
      <x:c r="O953" s="36" t="n">
        <x:v>2</x:v>
      </x:c>
      <x:c r="P953" s="43" t="n">
        <x:v>19658752</x:v>
      </x:c>
      <x:c r="Q953" s="43" t="n">
        <x:v>268435456</x:v>
      </x:c>
      <x:c r="R953" s="43" t="n">
        <x:v>437687296</x:v>
      </x:c>
      <x:c r="S953" s="36" t="n">
        <x:v>3</x:v>
      </x:c>
      <x:c r="T953" s="44" t="str">
        <x:v>0x00000000111177b8  0x0000000011003818  0x0000742fd0050080    4402  21103616  21092296  org.apache.catalina.loader.ParallelWebappClassLoader | 0x00000000111177b8  0x0000000011003818  0x0000742fe40791e0    4395  21173248  21156376  org.apache.catalina.loader.ParallelWebappClassLoader | 0x00000000111177b8  0x0000000011003818  0x0000743074607130       0         0         0  org.apache.catalina.loader.ParallelWebappClassLoader</x:v>
      </x:c>
      <x:c r="U953" s="36" t="n">
        <x:v>30</x:v>
      </x:c>
      <x:c r="V953" s="36" t="n">
        <x:v>0</x:v>
      </x:c>
      <x:c r="W953" s="44"/>
      <x:c r="X953" s="36" t="n">
        <x:v>2</x:v>
      </x:c>
      <x:c r="Y953" s="36" t="n">
        <x:v>2</x:v>
      </x:c>
      <x:c r="Z953" s="44" t="str">
        <x:v>/caffeine</x:v>
      </x:c>
      <x:c r="AA953" s="45" t="b">
        <x:v>1</x:v>
      </x:c>
      <x:c r="AB953" s="43"/>
      <x:c r="AC953" s="34" t="str">
        <x:v>article1-unified-v4-2-fb3f101b-20260903-000401-default-f04-p6-caffeine-1-after-final-undeploy-final-10s-heap-info.txt</x:v>
      </x:c>
      <x:c r="AD953" s="34" t="str">
        <x:v>article1-unified-v4-2-fb3f101b-20260903-000401-default-f04-p6-caffeine-1-after-final-undeploy-final-10s-classloader-stats.txt</x:v>
      </x:c>
      <x:c r="AE953" s="34" t="str">
        <x:v>article1-unified-v4-2-fb3f101b-20260903-000401-default-f04-p6-caffeine-1-after-final-undeploy-final-10s-thread-dump.txt</x:v>
      </x:c>
      <x:c r="AF953" s="34"/>
      <x:c r="AG953" s="34" t="str">
        <x:v>article1-unified-v4-2-fb3f101b-20260903-000401-default-f04-p6-caffeine-1-after-final-undeploy-final-10s-native-memory.txt</x:v>
      </x:c>
      <x:c r="AH953" s="34" t="str">
        <x:v>article1-unified-v4-2-fb3f101b-20260903-000401-default-f04-p6-caffeine-1-after-final-undeploy-final-10s-class-histogram.txt</x:v>
      </x:c>
      <x:c r="AI953" s="34" t="str">
        <x:v>article1-unified-v4-2-fb3f101b-20260903-000401-default-f04-p6-caffeine-1-after-final-undeploy-tomcat-findleaks.txt</x:v>
      </x:c>
    </x:row>
    <x:row r="954">
      <x:c r="A954" s="34" t="str">
        <x:v>article1-unified-v4-2-fb3f101b-20260903-000401-default-f04-p6-caffeine</x:v>
      </x:c>
      <x:c r="B954" s="34" t="str">
        <x:v>default</x:v>
      </x:c>
      <x:c r="C954" s="34" t="str">
        <x:v>caffeine</x:v>
      </x:c>
      <x:c r="D954" s="34" t="str">
        <x:v>caffeine</x:v>
      </x:c>
      <x:c r="E954" s="36" t="n">
        <x:v>4</x:v>
      </x:c>
      <x:c r="F954" s="36" t="n">
        <x:v>4</x:v>
      </x:c>
      <x:c r="G954" s="36" t="n">
        <x:v>6</x:v>
      </x:c>
      <x:c r="H954" s="36" t="n">
        <x:v>2</x:v>
      </x:c>
      <x:c r="I954" s="34" t="str">
        <x:v>baseline</x:v>
      </x:c>
      <x:c r="J954" s="34" t="str">
        <x:v>cycle-baseline</x:v>
      </x:c>
      <x:c r="K954" s="36" t="n">
        <x:v>0</x:v>
      </x:c>
      <x:c r="L954" s="34" t="str">
        <x:v>baseline</x:v>
      </x:c>
      <x:c r="M954" s="34" t="str">
        <x:v>article1-unified-v4-2-fb3f101b-20260903-000401-default-f04-p6-caffeine-2-baseline</x:v>
      </x:c>
      <x:c r="N954" s="38" t="n">
        <x:v>46268.05392818287</x:v>
      </x:c>
      <x:c r="O954" s="36" t="n">
        <x:v>0</x:v>
      </x:c>
      <x:c r="P954" s="43" t="n">
        <x:v>19658752</x:v>
      </x:c>
      <x:c r="Q954" s="43" t="n">
        <x:v>268435456</x:v>
      </x:c>
      <x:c r="R954" s="43" t="n">
        <x:v>437752832</x:v>
      </x:c>
      <x:c r="S954" s="36" t="n">
        <x:v>3</x:v>
      </x:c>
      <x:c r="T954" s="44" t="str">
        <x:v>0x00000000111177b8  0x0000000011003818  0x0000742fd0050080    4402  21103616  21092296  org.apache.catalina.loader.ParallelWebappClassLoader | 0x00000000111177b8  0x0000000011003818  0x0000742fe40791e0    4395  21173248  21156376  org.apache.catalina.loader.ParallelWebappClassLoader | 0x00000000111177b8  0x0000000011003818  0x0000743074607130       0         0         0  org.apache.catalina.loader.ParallelWebappClassLoader</x:v>
      </x:c>
      <x:c r="U954" s="36" t="n">
        <x:v>30</x:v>
      </x:c>
      <x:c r="V954" s="36" t="n">
        <x:v>0</x:v>
      </x:c>
      <x:c r="W954" s="44"/>
      <x:c r="X954" s="36"/>
      <x:c r="Y954" s="36"/>
      <x:c r="Z954" s="44"/>
      <x:c r="AA954" s="49"/>
      <x:c r="AB954" s="43"/>
      <x:c r="AC954" s="34" t="str">
        <x:v>article1-unified-v4-2-fb3f101b-20260903-000401-default-f04-p6-caffeine-2-baseline-heap-info.txt</x:v>
      </x:c>
      <x:c r="AD954" s="34" t="str">
        <x:v>article1-unified-v4-2-fb3f101b-20260903-000401-default-f04-p6-caffeine-2-baseline-classloader-stats.txt</x:v>
      </x:c>
      <x:c r="AE954" s="34" t="str">
        <x:v>article1-unified-v4-2-fb3f101b-20260903-000401-default-f04-p6-caffeine-2-baseline-thread-dump.txt</x:v>
      </x:c>
      <x:c r="AF954" s="34"/>
      <x:c r="AG954" s="34" t="str">
        <x:v>article1-unified-v4-2-fb3f101b-20260903-000401-default-f04-p6-caffeine-2-baseline-native-memory.txt</x:v>
      </x:c>
      <x:c r="AH954" s="34"/>
      <x:c r="AI954" s="34"/>
    </x:row>
    <x:row r="955">
      <x:c r="A955" s="34" t="str">
        <x:v>article1-unified-v4-2-fb3f101b-20260903-000401-default-f04-p6-caffeine</x:v>
      </x:c>
      <x:c r="B955" s="34" t="str">
        <x:v>default</x:v>
      </x:c>
      <x:c r="C955" s="34" t="str">
        <x:v>caffeine</x:v>
      </x:c>
      <x:c r="D955" s="34" t="str">
        <x:v>caffeine</x:v>
      </x:c>
      <x:c r="E955" s="36" t="n">
        <x:v>4</x:v>
      </x:c>
      <x:c r="F955" s="36" t="n">
        <x:v>4</x:v>
      </x:c>
      <x:c r="G955" s="36" t="n">
        <x:v>6</x:v>
      </x:c>
      <x:c r="H955" s="36" t="n">
        <x:v>2</x:v>
      </x:c>
      <x:c r="I955" s="34" t="str">
        <x:v>deployedIdle</x:v>
      </x:c>
      <x:c r="J955" s="34" t="str">
        <x:v>deployed-idle</x:v>
      </x:c>
      <x:c r="K955" s="36" t="n">
        <x:v>0</x:v>
      </x:c>
      <x:c r="L955" s="34" t="str">
        <x:v>initial</x:v>
      </x:c>
      <x:c r="M955" s="34" t="str">
        <x:v>article1-unified-v4-2-fb3f101b-20260903-000401-default-f04-p6-caffeine-2-deployed-idle</x:v>
      </x:c>
      <x:c r="N955" s="38" t="n">
        <x:v>46268.05402696759</x:v>
      </x:c>
      <x:c r="O955" s="36" t="n">
        <x:v>0</x:v>
      </x:c>
      <x:c r="P955" s="43" t="n">
        <x:v>170369024</x:v>
      </x:c>
      <x:c r="Q955" s="43" t="n">
        <x:v>268435456</x:v>
      </x:c>
      <x:c r="R955" s="43" t="n">
        <x:v>481018880</x:v>
      </x:c>
      <x:c r="S955" s="36" t="n">
        <x:v>4</x:v>
      </x:c>
      <x:c r="T955" s="44" t="str">
        <x:v>0x00000000111177b8  0x0000000011003818  0x0000742fdc153220    4091  19460096  19437304  org.apache.catalina.loader.ParallelWebappClassLoader | 0x00000000111177b8  0x0000000011003818  0x0000742fd0050080    4402  21103616  21092296  org.apache.catalina.loader.ParallelWebappClassLoader | 0x00000000111177b8  0x0000000011003818  0x0000742fe40791e0    4395  21173248  21156376  org.apache.catalina.loader.ParallelWebappClassLoader | 0x00000000111177b8  0x0000000011003818  0x0000743074607130       0         0         0  org.apache.catalina.loader.ParallelWebappClassLoader</x:v>
      </x:c>
      <x:c r="U955" s="36" t="n">
        <x:v>30</x:v>
      </x:c>
      <x:c r="V955" s="36" t="n">
        <x:v>0</x:v>
      </x:c>
      <x:c r="W955" s="44"/>
      <x:c r="X955" s="36"/>
      <x:c r="Y955" s="36"/>
      <x:c r="Z955" s="44"/>
      <x:c r="AA955" s="49"/>
      <x:c r="AB955" s="43"/>
      <x:c r="AC955" s="34"/>
      <x:c r="AD955" s="34"/>
      <x:c r="AE955" s="34"/>
      <x:c r="AF955" s="34"/>
      <x:c r="AG955" s="34"/>
      <x:c r="AH955" s="34"/>
      <x:c r="AI955" s="34"/>
    </x:row>
    <x:row r="956">
      <x:c r="A956" s="34" t="str">
        <x:v>article1-unified-v4-2-fb3f101b-20260903-000401-default-f04-p6-caffeine</x:v>
      </x:c>
      <x:c r="B956" s="34" t="str">
        <x:v>default</x:v>
      </x:c>
      <x:c r="C956" s="34" t="str">
        <x:v>caffeine</x:v>
      </x:c>
      <x:c r="D956" s="34" t="str">
        <x:v>caffeine</x:v>
      </x:c>
      <x:c r="E956" s="36" t="n">
        <x:v>4</x:v>
      </x:c>
      <x:c r="F956" s="36" t="n">
        <x:v>4</x:v>
      </x:c>
      <x:c r="G956" s="36" t="n">
        <x:v>6</x:v>
      </x:c>
      <x:c r="H956" s="36" t="n">
        <x:v>2</x:v>
      </x:c>
      <x:c r="I956" s="34" t="str">
        <x:v>loaded</x:v>
      </x:c>
      <x:c r="J956" s="34" t="str">
        <x:v>loaded</x:v>
      </x:c>
      <x:c r="K956" s="36" t="n">
        <x:v>0</x:v>
      </x:c>
      <x:c r="L956" s="34" t="str">
        <x:v>initial</x:v>
      </x:c>
      <x:c r="M956" s="34" t="str">
        <x:v>article1-unified-v4-2-fb3f101b-20260903-000401-default-f04-p6-caffeine-2-loaded</x:v>
      </x:c>
      <x:c r="N956" s="38" t="n">
        <x:v>46268.0541743287</x:v>
      </x:c>
      <x:c r="O956" s="36" t="n">
        <x:v>0</x:v>
      </x:c>
      <x:c r="P956" s="43" t="n">
        <x:v>96271360</x:v>
      </x:c>
      <x:c r="Q956" s="43" t="n">
        <x:v>268435456</x:v>
      </x:c>
      <x:c r="R956" s="43" t="n">
        <x:v>465726464</x:v>
      </x:c>
      <x:c r="S956" s="36" t="n">
        <x:v>4</x:v>
      </x:c>
      <x:c r="T956" s="44" t="str">
        <x:v>0x00000000111177b8  0x0000000011003818  0x0000742fdc153220    4387  21146624  21135472  org.apache.catalina.loader.ParallelWebappClassLoader | 0x00000000111177b8  0x0000000011003818  0x0000742fd0050080    4402  21103616  21092296  org.apache.catalina.loader.ParallelWebappClassLoader | 0x00000000111177b8  0x0000000011003818  0x0000742fe40791e0    4395  21173248  21156376  org.apache.catalina.loader.ParallelWebappClassLoader | 0x00000000111177b8  0x0000000011003818  0x0000743074607130       0         0         0  org.apache.catalina.loader.ParallelWebappClassLoader</x:v>
      </x:c>
      <x:c r="U956" s="36" t="n">
        <x:v>31</x:v>
      </x:c>
      <x:c r="V956" s="36" t="n">
        <x:v>0</x:v>
      </x:c>
      <x:c r="W956" s="44"/>
      <x:c r="X956" s="36"/>
      <x:c r="Y956" s="36"/>
      <x:c r="Z956" s="44"/>
      <x:c r="AA956" s="49"/>
      <x:c r="AB956" s="43"/>
      <x:c r="AC956" s="34"/>
      <x:c r="AD956" s="34"/>
      <x:c r="AE956" s="34"/>
      <x:c r="AF956" s="34"/>
      <x:c r="AG956" s="34"/>
      <x:c r="AH956" s="34"/>
      <x:c r="AI956" s="34"/>
    </x:row>
    <x:row r="957">
      <x:c r="A957" s="34" t="str">
        <x:v>article1-unified-v4-2-fb3f101b-20260903-000401-default-f04-p6-caffeine</x:v>
      </x:c>
      <x:c r="B957" s="34" t="str">
        <x:v>default</x:v>
      </x:c>
      <x:c r="C957" s="34" t="str">
        <x:v>caffeine</x:v>
      </x:c>
      <x:c r="D957" s="34" t="str">
        <x:v>caffeine</x:v>
      </x:c>
      <x:c r="E957" s="36" t="n">
        <x:v>4</x:v>
      </x:c>
      <x:c r="F957" s="36" t="n">
        <x:v>4</x:v>
      </x:c>
      <x:c r="G957" s="36" t="n">
        <x:v>6</x:v>
      </x:c>
      <x:c r="H957" s="36" t="n">
        <x:v>2</x:v>
      </x:c>
      <x:c r="I957" s="34" t="str">
        <x:v>afterUndeployEarly</x:v>
      </x:c>
      <x:c r="J957" s="34" t="str">
        <x:v>after-undeploy-early</x:v>
      </x:c>
      <x:c r="K957" s="36" t="n">
        <x:v>1</x:v>
      </x:c>
      <x:c r="L957" s="34" t="str">
        <x:v>early</x:v>
      </x:c>
      <x:c r="M957" s="34" t="str">
        <x:v>article1-unified-v4-2-fb3f101b-20260903-000401-default-f04-p6-caffeine-2-after-undeploy-early-2s</x:v>
      </x:c>
      <x:c r="N957" s="38" t="n">
        <x:v>46268.05426280093</x:v>
      </x:c>
      <x:c r="O957" s="36"/>
      <x:c r="P957" s="43"/>
      <x:c r="Q957" s="43"/>
      <x:c r="R957" s="43"/>
      <x:c r="S957" s="36"/>
      <x:c r="T957" s="44"/>
      <x:c r="U957" s="36" t="n">
        <x:v>30</x:v>
      </x:c>
      <x:c r="V957" s="36" t="n">
        <x:v>0</x:v>
      </x:c>
      <x:c r="W957" s="44"/>
      <x:c r="X957" s="36"/>
      <x:c r="Y957" s="36"/>
      <x:c r="Z957" s="44"/>
      <x:c r="AA957" s="49"/>
      <x:c r="AB957" s="43" t="n">
        <x:v>1</x:v>
      </x:c>
      <x:c r="AC957" s="34"/>
      <x:c r="AD957" s="34"/>
      <x:c r="AE957" s="34" t="str">
        <x:v>article1-unified-v4-2-fb3f101b-20260903-000401-default-f04-p6-caffeine-2-after-undeploy-early-2s-thread-dump.txt</x:v>
      </x:c>
      <x:c r="AF957" s="34" t="str">
        <x:v>article1-unified-v4-2-fb3f101b-20260903-000401-default-f04-p6-caffeine-2-after-undeploy-early-tomcat-log.txt</x:v>
      </x:c>
      <x:c r="AG957" s="34"/>
      <x:c r="AH957" s="34"/>
      <x:c r="AI957" s="34"/>
    </x:row>
    <x:row r="958">
      <x:c r="A958" s="34" t="str">
        <x:v>article1-unified-v4-2-fb3f101b-20260903-000401-default-f04-p6-caffeine</x:v>
      </x:c>
      <x:c r="B958" s="34" t="str">
        <x:v>default</x:v>
      </x:c>
      <x:c r="C958" s="34" t="str">
        <x:v>caffeine</x:v>
      </x:c>
      <x:c r="D958" s="34" t="str">
        <x:v>caffeine</x:v>
      </x:c>
      <x:c r="E958" s="36" t="n">
        <x:v>4</x:v>
      </x:c>
      <x:c r="F958" s="36" t="n">
        <x:v>4</x:v>
      </x:c>
      <x:c r="G958" s="36" t="n">
        <x:v>6</x:v>
      </x:c>
      <x:c r="H958" s="36" t="n">
        <x:v>2</x:v>
      </x:c>
      <x:c r="I958" s="34" t="str">
        <x:v>afterUndeploy</x:v>
      </x:c>
      <x:c r="J958" s="34" t="str">
        <x:v>after-undeploy-final</x:v>
      </x:c>
      <x:c r="K958" s="36" t="n">
        <x:v>1</x:v>
      </x:c>
      <x:c r="L958" s="34" t="str">
        <x:v>final</x:v>
      </x:c>
      <x:c r="M958" s="34" t="str">
        <x:v>article1-unified-v4-2-fb3f101b-20260903-000401-default-f04-p6-caffeine-2-after-undeploy-final-10s</x:v>
      </x:c>
      <x:c r="N958" s="38" t="n">
        <x:v>46268.0544140162</x:v>
      </x:c>
      <x:c r="O958" s="36" t="n">
        <x:v>2</x:v>
      </x:c>
      <x:c r="P958" s="43" t="n">
        <x:v>15696896</x:v>
      </x:c>
      <x:c r="Q958" s="43" t="n">
        <x:v>268435456</x:v>
      </x:c>
      <x:c r="R958" s="43" t="n">
        <x:v>424952832</x:v>
      </x:c>
      <x:c r="S958" s="36" t="n">
        <x:v>2</x:v>
      </x:c>
      <x:c r="T958" s="44" t="str">
        <x:v>0x00000000111177b8  0x0000000011003818  0x0000742fdc153220    4395  21179392  21159888  org.apache.catalina.loader.ParallelWebappClassLoader | 0x00000000111177b8  0x0000000011003818  0x0000743074607130       0         0         0  org.apache.catalina.loader.ParallelWebappClassLoader</x:v>
      </x:c>
      <x:c r="U958" s="36" t="n">
        <x:v>30</x:v>
      </x:c>
      <x:c r="V958" s="36" t="n">
        <x:v>0</x:v>
      </x:c>
      <x:c r="W958" s="44"/>
      <x:c r="X958" s="36" t="n">
        <x:v>1</x:v>
      </x:c>
      <x:c r="Y958" s="36" t="n">
        <x:v>1</x:v>
      </x:c>
      <x:c r="Z958" s="44" t="str">
        <x:v>/caffeine</x:v>
      </x:c>
      <x:c r="AA958" s="45" t="b">
        <x:v>1</x:v>
      </x:c>
      <x:c r="AB958" s="43"/>
      <x:c r="AC958" s="34" t="str">
        <x:v>article1-unified-v4-2-fb3f101b-20260903-000401-default-f04-p6-caffeine-2-after-undeploy-final-10s-heap-info.txt</x:v>
      </x:c>
      <x:c r="AD958" s="34" t="str">
        <x:v>article1-unified-v4-2-fb3f101b-20260903-000401-default-f04-p6-caffeine-2-after-undeploy-final-10s-classloader-stats.txt</x:v>
      </x:c>
      <x:c r="AE958" s="34" t="str">
        <x:v>article1-unified-v4-2-fb3f101b-20260903-000401-default-f04-p6-caffeine-2-after-undeploy-final-10s-thread-dump.txt</x:v>
      </x:c>
      <x:c r="AF958" s="34"/>
      <x:c r="AG958" s="34" t="str">
        <x:v>article1-unified-v4-2-fb3f101b-20260903-000401-default-f04-p6-caffeine-2-after-undeploy-final-10s-native-memory.txt</x:v>
      </x:c>
      <x:c r="AH958" s="34" t="str">
        <x:v>article1-unified-v4-2-fb3f101b-20260903-000401-default-f04-p6-caffeine-2-after-undeploy-final-10s-class-histogram.txt</x:v>
      </x:c>
      <x:c r="AI958" s="34" t="str">
        <x:v>article1-unified-v4-2-fb3f101b-20260903-000401-default-f04-p6-caffeine-2-after-undeploy-tomcat-findleaks.txt</x:v>
      </x:c>
    </x:row>
    <x:row r="959">
      <x:c r="A959" s="34" t="str">
        <x:v>article1-unified-v4-2-fb3f101b-20260903-000401-default-f04-p6-caffeine</x:v>
      </x:c>
      <x:c r="B959" s="34" t="str">
        <x:v>default</x:v>
      </x:c>
      <x:c r="C959" s="34" t="str">
        <x:v>caffeine</x:v>
      </x:c>
      <x:c r="D959" s="34" t="str">
        <x:v>caffeine</x:v>
      </x:c>
      <x:c r="E959" s="36" t="n">
        <x:v>4</x:v>
      </x:c>
      <x:c r="F959" s="36" t="n">
        <x:v>4</x:v>
      </x:c>
      <x:c r="G959" s="36" t="n">
        <x:v>6</x:v>
      </x:c>
      <x:c r="H959" s="36" t="n">
        <x:v>2</x:v>
      </x:c>
      <x:c r="I959" s="34" t="str">
        <x:v>redeployedLoaded</x:v>
      </x:c>
      <x:c r="J959" s="34" t="str">
        <x:v>redeployed-loaded</x:v>
      </x:c>
      <x:c r="K959" s="36" t="n">
        <x:v>0</x:v>
      </x:c>
      <x:c r="L959" s="34" t="str">
        <x:v>redeploy</x:v>
      </x:c>
      <x:c r="M959" s="34" t="str">
        <x:v>article1-unified-v4-2-fb3f101b-20260903-000401-default-f04-p6-caffeine-2-redeployed-loaded</x:v>
      </x:c>
      <x:c r="N959" s="38" t="n">
        <x:v>46268.054673680555</x:v>
      </x:c>
      <x:c r="O959" s="36" t="n">
        <x:v>0</x:v>
      </x:c>
      <x:c r="P959" s="43" t="n">
        <x:v>203893760</x:v>
      </x:c>
      <x:c r="Q959" s="43" t="n">
        <x:v>268435456</x:v>
      </x:c>
      <x:c r="R959" s="43" t="n">
        <x:v>446181376</x:v>
      </x:c>
      <x:c r="S959" s="36" t="n">
        <x:v>3</x:v>
      </x:c>
      <x:c r="T959" s="44" t="str">
        <x:v>0x00000000111177b8  0x0000000011003818  0x0000742fdc153220    4395  21179392  21159888  org.apache.catalina.loader.ParallelWebappClassLoader | 0x00000000111177b8  0x0000000011003818  0x0000742f8c0055b0    4389  21139456  21124880  org.apache.catalina.loader.ParallelWebappClassLoader | 0x00000000111177b8  0x0000000011003818  0x0000743074607130       0         0         0  org.apache.catalina.loader.ParallelWebappClassLoader</x:v>
      </x:c>
      <x:c r="U959" s="36" t="n">
        <x:v>31</x:v>
      </x:c>
      <x:c r="V959" s="36" t="n">
        <x:v>0</x:v>
      </x:c>
      <x:c r="W959" s="44"/>
      <x:c r="X959" s="36"/>
      <x:c r="Y959" s="36"/>
      <x:c r="Z959" s="44"/>
      <x:c r="AA959" s="49"/>
      <x:c r="AB959" s="43"/>
      <x:c r="AC959" s="34"/>
      <x:c r="AD959" s="34"/>
      <x:c r="AE959" s="34"/>
      <x:c r="AF959" s="34"/>
      <x:c r="AG959" s="34"/>
      <x:c r="AH959" s="34"/>
      <x:c r="AI959" s="34"/>
    </x:row>
    <x:row r="960">
      <x:c r="A960" s="34" t="str">
        <x:v>article1-unified-v4-2-fb3f101b-20260903-000401-default-f04-p6-caffeine</x:v>
      </x:c>
      <x:c r="B960" s="34" t="str">
        <x:v>default</x:v>
      </x:c>
      <x:c r="C960" s="34" t="str">
        <x:v>caffeine</x:v>
      </x:c>
      <x:c r="D960" s="34" t="str">
        <x:v>caffeine</x:v>
      </x:c>
      <x:c r="E960" s="36" t="n">
        <x:v>4</x:v>
      </x:c>
      <x:c r="F960" s="36" t="n">
        <x:v>4</x:v>
      </x:c>
      <x:c r="G960" s="36" t="n">
        <x:v>6</x:v>
      </x:c>
      <x:c r="H960" s="36" t="n">
        <x:v>2</x:v>
      </x:c>
      <x:c r="I960" s="34" t="str">
        <x:v>afterFinalUndeployEarly</x:v>
      </x:c>
      <x:c r="J960" s="34" t="str">
        <x:v>after-final-undeploy-early</x:v>
      </x:c>
      <x:c r="K960" s="36" t="n">
        <x:v>2</x:v>
      </x:c>
      <x:c r="L960" s="34" t="str">
        <x:v>early</x:v>
      </x:c>
      <x:c r="M960" s="34" t="str">
        <x:v>article1-unified-v4-2-fb3f101b-20260903-000401-default-f04-p6-caffeine-2-after-final-undeploy-early-2s</x:v>
      </x:c>
      <x:c r="N960" s="38" t="n">
        <x:v>46268.05475693287</x:v>
      </x:c>
      <x:c r="O960" s="36"/>
      <x:c r="P960" s="43"/>
      <x:c r="Q960" s="43"/>
      <x:c r="R960" s="43"/>
      <x:c r="S960" s="36"/>
      <x:c r="T960" s="44"/>
      <x:c r="U960" s="36" t="n">
        <x:v>30</x:v>
      </x:c>
      <x:c r="V960" s="36" t="n">
        <x:v>0</x:v>
      </x:c>
      <x:c r="W960" s="44"/>
      <x:c r="X960" s="36"/>
      <x:c r="Y960" s="36"/>
      <x:c r="Z960" s="44"/>
      <x:c r="AA960" s="49"/>
      <x:c r="AB960" s="43" t="n">
        <x:v>1</x:v>
      </x:c>
      <x:c r="AC960" s="34"/>
      <x:c r="AD960" s="34"/>
      <x:c r="AE960" s="34" t="str">
        <x:v>article1-unified-v4-2-fb3f101b-20260903-000401-default-f04-p6-caffeine-2-after-final-undeploy-early-2s-thread-dump.txt</x:v>
      </x:c>
      <x:c r="AF960" s="34" t="str">
        <x:v>article1-unified-v4-2-fb3f101b-20260903-000401-default-f04-p6-caffeine-2-after-final-undeploy-early-tomcat-log.txt</x:v>
      </x:c>
      <x:c r="AG960" s="34"/>
      <x:c r="AH960" s="34"/>
      <x:c r="AI960" s="34"/>
    </x:row>
    <x:row r="961">
      <x:c r="A961" s="34" t="str">
        <x:v>article1-unified-v4-2-fb3f101b-20260903-000401-default-f04-p6-caffeine</x:v>
      </x:c>
      <x:c r="B961" s="34" t="str">
        <x:v>default</x:v>
      </x:c>
      <x:c r="C961" s="34" t="str">
        <x:v>caffeine</x:v>
      </x:c>
      <x:c r="D961" s="34" t="str">
        <x:v>caffeine</x:v>
      </x:c>
      <x:c r="E961" s="36" t="n">
        <x:v>4</x:v>
      </x:c>
      <x:c r="F961" s="36" t="n">
        <x:v>4</x:v>
      </x:c>
      <x:c r="G961" s="36" t="n">
        <x:v>6</x:v>
      </x:c>
      <x:c r="H961" s="36" t="n">
        <x:v>2</x:v>
      </x:c>
      <x:c r="I961" s="34" t="str">
        <x:v>afterFinalUndeploy</x:v>
      </x:c>
      <x:c r="J961" s="34" t="str">
        <x:v>after-final-undeploy-final</x:v>
      </x:c>
      <x:c r="K961" s="36" t="n">
        <x:v>2</x:v>
      </x:c>
      <x:c r="L961" s="34" t="str">
        <x:v>final</x:v>
      </x:c>
      <x:c r="M961" s="34" t="str">
        <x:v>article1-unified-v4-2-fb3f101b-20260903-000401-default-f04-p6-caffeine-2-after-final-undeploy-final-10s</x:v>
      </x:c>
      <x:c r="N961" s="38" t="n">
        <x:v>46268.0549112963</x:v>
      </x:c>
      <x:c r="O961" s="36" t="n">
        <x:v>2</x:v>
      </x:c>
      <x:c r="P961" s="43" t="n">
        <x:v>15618048</x:v>
      </x:c>
      <x:c r="Q961" s="43" t="n">
        <x:v>268435456</x:v>
      </x:c>
      <x:c r="R961" s="43" t="n">
        <x:v>420963328</x:v>
      </x:c>
      <x:c r="S961" s="36" t="n">
        <x:v>2</x:v>
      </x:c>
      <x:c r="T961" s="44" t="str">
        <x:v>0x00000000111177b8  0x0000000011003818  0x0000743074607130       0         0         0  org.apache.catalina.loader.ParallelWebappClassLoader | 0x00000000111177b8  0x0000000011003818  0x0000742f8c0055b0    4397  21172224  21149696  org.apache.catalina.loader.ParallelWebappClassLoader</x:v>
      </x:c>
      <x:c r="U961" s="36" t="n">
        <x:v>30</x:v>
      </x:c>
      <x:c r="V961" s="36" t="n">
        <x:v>0</x:v>
      </x:c>
      <x:c r="W961" s="44"/>
      <x:c r="X961" s="36" t="n">
        <x:v>1</x:v>
      </x:c>
      <x:c r="Y961" s="36" t="n">
        <x:v>1</x:v>
      </x:c>
      <x:c r="Z961" s="44" t="str">
        <x:v>/caffeine</x:v>
      </x:c>
      <x:c r="AA961" s="45" t="b">
        <x:v>1</x:v>
      </x:c>
      <x:c r="AB961" s="43"/>
      <x:c r="AC961" s="34" t="str">
        <x:v>article1-unified-v4-2-fb3f101b-20260903-000401-default-f04-p6-caffeine-2-after-final-undeploy-final-10s-heap-info.txt</x:v>
      </x:c>
      <x:c r="AD961" s="34" t="str">
        <x:v>article1-unified-v4-2-fb3f101b-20260903-000401-default-f04-p6-caffeine-2-after-final-undeploy-final-10s-classloader-stats.txt</x:v>
      </x:c>
      <x:c r="AE961" s="34" t="str">
        <x:v>article1-unified-v4-2-fb3f101b-20260903-000401-default-f04-p6-caffeine-2-after-final-undeploy-final-10s-thread-dump.txt</x:v>
      </x:c>
      <x:c r="AF961" s="34"/>
      <x:c r="AG961" s="34" t="str">
        <x:v>article1-unified-v4-2-fb3f101b-20260903-000401-default-f04-p6-caffeine-2-after-final-undeploy-final-10s-native-memory.txt</x:v>
      </x:c>
      <x:c r="AH961" s="34" t="str">
        <x:v>article1-unified-v4-2-fb3f101b-20260903-000401-default-f04-p6-caffeine-2-after-final-undeploy-final-10s-class-histogram.txt</x:v>
      </x:c>
      <x:c r="AI961" s="34" t="str">
        <x:v>article1-unified-v4-2-fb3f101b-20260903-000401-default-f04-p6-caffeine-2-after-final-undeploy-tomcat-findleaks.txt</x:v>
      </x:c>
    </x:row>
    <x:row r="962">
      <x:c r="A962" s="34" t="str">
        <x:v>article1-unified-v4-2-fb3f101b-20260903-000401-default-f04-p6-caffeine</x:v>
      </x:c>
      <x:c r="B962" s="34" t="str">
        <x:v>default</x:v>
      </x:c>
      <x:c r="C962" s="34" t="str">
        <x:v>caffeine</x:v>
      </x:c>
      <x:c r="D962" s="34" t="str">
        <x:v>caffeine</x:v>
      </x:c>
      <x:c r="E962" s="36" t="n">
        <x:v>4</x:v>
      </x:c>
      <x:c r="F962" s="36" t="n">
        <x:v>4</x:v>
      </x:c>
      <x:c r="G962" s="36" t="n">
        <x:v>6</x:v>
      </x:c>
      <x:c r="H962" s="36" t="n">
        <x:v>3</x:v>
      </x:c>
      <x:c r="I962" s="34" t="str">
        <x:v>baseline</x:v>
      </x:c>
      <x:c r="J962" s="34" t="str">
        <x:v>cycle-baseline</x:v>
      </x:c>
      <x:c r="K962" s="36" t="n">
        <x:v>0</x:v>
      </x:c>
      <x:c r="L962" s="34" t="str">
        <x:v>baseline</x:v>
      </x:c>
      <x:c r="M962" s="34" t="str">
        <x:v>article1-unified-v4-2-fb3f101b-20260903-000401-default-f04-p6-caffeine-3-baseline</x:v>
      </x:c>
      <x:c r="N962" s="38" t="n">
        <x:v>46268.05495092593</x:v>
      </x:c>
      <x:c r="O962" s="36" t="n">
        <x:v>0</x:v>
      </x:c>
      <x:c r="P962" s="43" t="n">
        <x:v>15618048</x:v>
      </x:c>
      <x:c r="Q962" s="43" t="n">
        <x:v>268435456</x:v>
      </x:c>
      <x:c r="R962" s="43" t="n">
        <x:v>420798464</x:v>
      </x:c>
      <x:c r="S962" s="36" t="n">
        <x:v>2</x:v>
      </x:c>
      <x:c r="T962" s="44" t="str">
        <x:v>0x00000000111177b8  0x0000000011003818  0x0000743074607130       0         0         0  org.apache.catalina.loader.ParallelWebappClassLoader | 0x00000000111177b8  0x0000000011003818  0x0000742f8c0055b0    4397  21172224  21149696  org.apache.catalina.loader.ParallelWebappClassLoader</x:v>
      </x:c>
      <x:c r="U962" s="36" t="n">
        <x:v>30</x:v>
      </x:c>
      <x:c r="V962" s="36" t="n">
        <x:v>0</x:v>
      </x:c>
      <x:c r="W962" s="44"/>
      <x:c r="X962" s="36"/>
      <x:c r="Y962" s="36"/>
      <x:c r="Z962" s="44"/>
      <x:c r="AA962" s="49"/>
      <x:c r="AB962" s="43"/>
      <x:c r="AC962" s="34" t="str">
        <x:v>article1-unified-v4-2-fb3f101b-20260903-000401-default-f04-p6-caffeine-3-baseline-heap-info.txt</x:v>
      </x:c>
      <x:c r="AD962" s="34" t="str">
        <x:v>article1-unified-v4-2-fb3f101b-20260903-000401-default-f04-p6-caffeine-3-baseline-classloader-stats.txt</x:v>
      </x:c>
      <x:c r="AE962" s="34" t="str">
        <x:v>article1-unified-v4-2-fb3f101b-20260903-000401-default-f04-p6-caffeine-3-baseline-thread-dump.txt</x:v>
      </x:c>
      <x:c r="AF962" s="34"/>
      <x:c r="AG962" s="34" t="str">
        <x:v>article1-unified-v4-2-fb3f101b-20260903-000401-default-f04-p6-caffeine-3-baseline-native-memory.txt</x:v>
      </x:c>
      <x:c r="AH962" s="34"/>
      <x:c r="AI962" s="34"/>
    </x:row>
    <x:row r="963">
      <x:c r="A963" s="34" t="str">
        <x:v>article1-unified-v4-2-fb3f101b-20260903-000401-default-f04-p6-caffeine</x:v>
      </x:c>
      <x:c r="B963" s="34" t="str">
        <x:v>default</x:v>
      </x:c>
      <x:c r="C963" s="34" t="str">
        <x:v>caffeine</x:v>
      </x:c>
      <x:c r="D963" s="34" t="str">
        <x:v>caffeine</x:v>
      </x:c>
      <x:c r="E963" s="36" t="n">
        <x:v>4</x:v>
      </x:c>
      <x:c r="F963" s="36" t="n">
        <x:v>4</x:v>
      </x:c>
      <x:c r="G963" s="36" t="n">
        <x:v>6</x:v>
      </x:c>
      <x:c r="H963" s="36" t="n">
        <x:v>3</x:v>
      </x:c>
      <x:c r="I963" s="34" t="str">
        <x:v>deployedIdle</x:v>
      </x:c>
      <x:c r="J963" s="34" t="str">
        <x:v>deployed-idle</x:v>
      </x:c>
      <x:c r="K963" s="36" t="n">
        <x:v>0</x:v>
      </x:c>
      <x:c r="L963" s="34" t="str">
        <x:v>initial</x:v>
      </x:c>
      <x:c r="M963" s="34" t="str">
        <x:v>article1-unified-v4-2-fb3f101b-20260903-000401-default-f04-p6-caffeine-3-deployed-idle</x:v>
      </x:c>
      <x:c r="N963" s="38" t="n">
        <x:v>46268.05505368055</x:v>
      </x:c>
      <x:c r="O963" s="36" t="n">
        <x:v>0</x:v>
      </x:c>
      <x:c r="P963" s="43" t="n">
        <x:v>166061056</x:v>
      </x:c>
      <x:c r="Q963" s="43" t="n">
        <x:v>268435456</x:v>
      </x:c>
      <x:c r="R963" s="43" t="n">
        <x:v>441787392</x:v>
      </x:c>
      <x:c r="S963" s="36" t="n">
        <x:v>3</x:v>
      </x:c>
      <x:c r="T963" s="44" t="str">
        <x:v>0x00000000111177b8  0x0000000011003818  0x0000742f78320b20    4091  19444736  19427976  org.apache.catalina.loader.ParallelWebappClassLoader | 0x00000000111177b8  0x0000000011003818  0x0000743074607130       0         0         0  org.apache.catalina.loader.ParallelWebappClassLoader | 0x00000000111177b8  0x0000000011003818  0x0000742f8c0055b0    4397  21172224  21149696  org.apache.catalina.loader.ParallelWebappClassLoader</x:v>
      </x:c>
      <x:c r="U963" s="36" t="n">
        <x:v>30</x:v>
      </x:c>
      <x:c r="V963" s="36" t="n">
        <x:v>0</x:v>
      </x:c>
      <x:c r="W963" s="44"/>
      <x:c r="X963" s="36"/>
      <x:c r="Y963" s="36"/>
      <x:c r="Z963" s="44"/>
      <x:c r="AA963" s="49"/>
      <x:c r="AB963" s="43"/>
      <x:c r="AC963" s="34"/>
      <x:c r="AD963" s="34"/>
      <x:c r="AE963" s="34"/>
      <x:c r="AF963" s="34"/>
      <x:c r="AG963" s="34"/>
      <x:c r="AH963" s="34"/>
      <x:c r="AI963" s="34"/>
    </x:row>
    <x:row r="964">
      <x:c r="A964" s="34" t="str">
        <x:v>article1-unified-v4-2-fb3f101b-20260903-000401-default-f04-p6-caffeine</x:v>
      </x:c>
      <x:c r="B964" s="34" t="str">
        <x:v>default</x:v>
      </x:c>
      <x:c r="C964" s="34" t="str">
        <x:v>caffeine</x:v>
      </x:c>
      <x:c r="D964" s="34" t="str">
        <x:v>caffeine</x:v>
      </x:c>
      <x:c r="E964" s="36" t="n">
        <x:v>4</x:v>
      </x:c>
      <x:c r="F964" s="36" t="n">
        <x:v>4</x:v>
      </x:c>
      <x:c r="G964" s="36" t="n">
        <x:v>6</x:v>
      </x:c>
      <x:c r="H964" s="36" t="n">
        <x:v>3</x:v>
      </x:c>
      <x:c r="I964" s="34" t="str">
        <x:v>loaded</x:v>
      </x:c>
      <x:c r="J964" s="34" t="str">
        <x:v>loaded</x:v>
      </x:c>
      <x:c r="K964" s="36" t="n">
        <x:v>0</x:v>
      </x:c>
      <x:c r="L964" s="34" t="str">
        <x:v>initial</x:v>
      </x:c>
      <x:c r="M964" s="34" t="str">
        <x:v>article1-unified-v4-2-fb3f101b-20260903-000401-default-f04-p6-caffeine-3-loaded</x:v>
      </x:c>
      <x:c r="N964" s="38" t="n">
        <x:v>46268.055202905096</x:v>
      </x:c>
      <x:c r="O964" s="36" t="n">
        <x:v>0</x:v>
      </x:c>
      <x:c r="P964" s="43" t="n">
        <x:v>200695808</x:v>
      </x:c>
      <x:c r="Q964" s="43" t="n">
        <x:v>268435456</x:v>
      </x:c>
      <x:c r="R964" s="43" t="n">
        <x:v>447784960</x:v>
      </x:c>
      <x:c r="S964" s="36" t="n">
        <x:v>3</x:v>
      </x:c>
      <x:c r="T964" s="44" t="str">
        <x:v>0x00000000111177b8  0x0000000011003818  0x0000742f78320b20    4387  21132288  21123056  org.apache.catalina.loader.ParallelWebappClassLoader | 0x00000000111177b8  0x0000000011003818  0x0000743074607130       0         0         0  org.apache.catalina.loader.ParallelWebappClassLoader | 0x00000000111177b8  0x0000000011003818  0x0000742f8c0055b0    4397  21172224  21149696  org.apache.catalina.loader.ParallelWebappClassLoader</x:v>
      </x:c>
      <x:c r="U964" s="36" t="n">
        <x:v>31</x:v>
      </x:c>
      <x:c r="V964" s="36" t="n">
        <x:v>0</x:v>
      </x:c>
      <x:c r="W964" s="44"/>
      <x:c r="X964" s="36"/>
      <x:c r="Y964" s="36"/>
      <x:c r="Z964" s="44"/>
      <x:c r="AA964" s="49"/>
      <x:c r="AB964" s="43"/>
      <x:c r="AC964" s="34"/>
      <x:c r="AD964" s="34"/>
      <x:c r="AE964" s="34"/>
      <x:c r="AF964" s="34"/>
      <x:c r="AG964" s="34"/>
      <x:c r="AH964" s="34"/>
      <x:c r="AI964" s="34"/>
    </x:row>
    <x:row r="965">
      <x:c r="A965" s="34" t="str">
        <x:v>article1-unified-v4-2-fb3f101b-20260903-000401-default-f04-p6-caffeine</x:v>
      </x:c>
      <x:c r="B965" s="34" t="str">
        <x:v>default</x:v>
      </x:c>
      <x:c r="C965" s="34" t="str">
        <x:v>caffeine</x:v>
      </x:c>
      <x:c r="D965" s="34" t="str">
        <x:v>caffeine</x:v>
      </x:c>
      <x:c r="E965" s="36" t="n">
        <x:v>4</x:v>
      </x:c>
      <x:c r="F965" s="36" t="n">
        <x:v>4</x:v>
      </x:c>
      <x:c r="G965" s="36" t="n">
        <x:v>6</x:v>
      </x:c>
      <x:c r="H965" s="36" t="n">
        <x:v>3</x:v>
      </x:c>
      <x:c r="I965" s="34" t="str">
        <x:v>afterUndeployEarly</x:v>
      </x:c>
      <x:c r="J965" s="34" t="str">
        <x:v>after-undeploy-early</x:v>
      </x:c>
      <x:c r="K965" s="36" t="n">
        <x:v>1</x:v>
      </x:c>
      <x:c r="L965" s="34" t="str">
        <x:v>early</x:v>
      </x:c>
      <x:c r="M965" s="34" t="str">
        <x:v>article1-unified-v4-2-fb3f101b-20260903-000401-default-f04-p6-caffeine-3-after-undeploy-early-2s</x:v>
      </x:c>
      <x:c r="N965" s="38" t="n">
        <x:v>46268.05528746528</x:v>
      </x:c>
      <x:c r="O965" s="36"/>
      <x:c r="P965" s="43"/>
      <x:c r="Q965" s="43"/>
      <x:c r="R965" s="43"/>
      <x:c r="S965" s="36"/>
      <x:c r="T965" s="44"/>
      <x:c r="U965" s="36" t="n">
        <x:v>30</x:v>
      </x:c>
      <x:c r="V965" s="36" t="n">
        <x:v>0</x:v>
      </x:c>
      <x:c r="W965" s="44"/>
      <x:c r="X965" s="36"/>
      <x:c r="Y965" s="36"/>
      <x:c r="Z965" s="44"/>
      <x:c r="AA965" s="49"/>
      <x:c r="AB965" s="43" t="n">
        <x:v>1</x:v>
      </x:c>
      <x:c r="AC965" s="34"/>
      <x:c r="AD965" s="34"/>
      <x:c r="AE965" s="34" t="str">
        <x:v>article1-unified-v4-2-fb3f101b-20260903-000401-default-f04-p6-caffeine-3-after-undeploy-early-2s-thread-dump.txt</x:v>
      </x:c>
      <x:c r="AF965" s="34" t="str">
        <x:v>article1-unified-v4-2-fb3f101b-20260903-000401-default-f04-p6-caffeine-3-after-undeploy-early-tomcat-log.txt</x:v>
      </x:c>
      <x:c r="AG965" s="34"/>
      <x:c r="AH965" s="34"/>
      <x:c r="AI965" s="34"/>
    </x:row>
    <x:row r="966">
      <x:c r="A966" s="34" t="str">
        <x:v>article1-unified-v4-2-fb3f101b-20260903-000401-default-f04-p6-caffeine</x:v>
      </x:c>
      <x:c r="B966" s="34" t="str">
        <x:v>default</x:v>
      </x:c>
      <x:c r="C966" s="34" t="str">
        <x:v>caffeine</x:v>
      </x:c>
      <x:c r="D966" s="34" t="str">
        <x:v>caffeine</x:v>
      </x:c>
      <x:c r="E966" s="36" t="n">
        <x:v>4</x:v>
      </x:c>
      <x:c r="F966" s="36" t="n">
        <x:v>4</x:v>
      </x:c>
      <x:c r="G966" s="36" t="n">
        <x:v>6</x:v>
      </x:c>
      <x:c r="H966" s="36" t="n">
        <x:v>3</x:v>
      </x:c>
      <x:c r="I966" s="34" t="str">
        <x:v>afterUndeploy</x:v>
      </x:c>
      <x:c r="J966" s="34" t="str">
        <x:v>after-undeploy-final</x:v>
      </x:c>
      <x:c r="K966" s="36" t="n">
        <x:v>1</x:v>
      </x:c>
      <x:c r="L966" s="34" t="str">
        <x:v>final</x:v>
      </x:c>
      <x:c r="M966" s="34" t="str">
        <x:v>article1-unified-v4-2-fb3f101b-20260903-000401-default-f04-p6-caffeine-3-after-undeploy-final-10s</x:v>
      </x:c>
      <x:c r="N966" s="38" t="n">
        <x:v>46268.055445659724</x:v>
      </x:c>
      <x:c r="O966" s="36" t="n">
        <x:v>2</x:v>
      </x:c>
      <x:c r="P966" s="43" t="n">
        <x:v>15638528</x:v>
      </x:c>
      <x:c r="Q966" s="43" t="n">
        <x:v>268435456</x:v>
      </x:c>
      <x:c r="R966" s="43" t="n">
        <x:v>427607040</x:v>
      </x:c>
      <x:c r="S966" s="36" t="n">
        <x:v>2</x:v>
      </x:c>
      <x:c r="T966" s="44" t="str">
        <x:v>0x00000000111177b8  0x0000000011003818  0x0000742f78320b20    4395  21165056  21147608  org.apache.catalina.loader.ParallelWebappClassLoader | 0x00000000111177b8  0x0000000011003818  0x0000743074607130       0         0         0  org.apache.catalina.loader.ParallelWebappClassLoader</x:v>
      </x:c>
      <x:c r="U966" s="36" t="n">
        <x:v>30</x:v>
      </x:c>
      <x:c r="V966" s="36" t="n">
        <x:v>0</x:v>
      </x:c>
      <x:c r="W966" s="44"/>
      <x:c r="X966" s="36" t="n">
        <x:v>1</x:v>
      </x:c>
      <x:c r="Y966" s="36" t="n">
        <x:v>1</x:v>
      </x:c>
      <x:c r="Z966" s="44" t="str">
        <x:v>/caffeine</x:v>
      </x:c>
      <x:c r="AA966" s="45" t="b">
        <x:v>1</x:v>
      </x:c>
      <x:c r="AB966" s="43"/>
      <x:c r="AC966" s="34" t="str">
        <x:v>article1-unified-v4-2-fb3f101b-20260903-000401-default-f04-p6-caffeine-3-after-undeploy-final-10s-heap-info.txt</x:v>
      </x:c>
      <x:c r="AD966" s="34" t="str">
        <x:v>article1-unified-v4-2-fb3f101b-20260903-000401-default-f04-p6-caffeine-3-after-undeploy-final-10s-classloader-stats.txt</x:v>
      </x:c>
      <x:c r="AE966" s="34" t="str">
        <x:v>article1-unified-v4-2-fb3f101b-20260903-000401-default-f04-p6-caffeine-3-after-undeploy-final-10s-thread-dump.txt</x:v>
      </x:c>
      <x:c r="AF966" s="34"/>
      <x:c r="AG966" s="34" t="str">
        <x:v>article1-unified-v4-2-fb3f101b-20260903-000401-default-f04-p6-caffeine-3-after-undeploy-final-10s-native-memory.txt</x:v>
      </x:c>
      <x:c r="AH966" s="34" t="str">
        <x:v>article1-unified-v4-2-fb3f101b-20260903-000401-default-f04-p6-caffeine-3-after-undeploy-final-10s-class-histogram.txt</x:v>
      </x:c>
      <x:c r="AI966" s="34" t="str">
        <x:v>article1-unified-v4-2-fb3f101b-20260903-000401-default-f04-p6-caffeine-3-after-undeploy-tomcat-findleaks.txt</x:v>
      </x:c>
    </x:row>
    <x:row r="967">
      <x:c r="A967" s="34" t="str">
        <x:v>article1-unified-v4-2-fb3f101b-20260903-000401-default-f04-p6-caffeine</x:v>
      </x:c>
      <x:c r="B967" s="34" t="str">
        <x:v>default</x:v>
      </x:c>
      <x:c r="C967" s="34" t="str">
        <x:v>caffeine</x:v>
      </x:c>
      <x:c r="D967" s="34" t="str">
        <x:v>caffeine</x:v>
      </x:c>
      <x:c r="E967" s="36" t="n">
        <x:v>4</x:v>
      </x:c>
      <x:c r="F967" s="36" t="n">
        <x:v>4</x:v>
      </x:c>
      <x:c r="G967" s="36" t="n">
        <x:v>6</x:v>
      </x:c>
      <x:c r="H967" s="36" t="n">
        <x:v>3</x:v>
      </x:c>
      <x:c r="I967" s="34" t="str">
        <x:v>redeployedLoaded</x:v>
      </x:c>
      <x:c r="J967" s="34" t="str">
        <x:v>redeployed-loaded</x:v>
      </x:c>
      <x:c r="K967" s="36" t="n">
        <x:v>0</x:v>
      </x:c>
      <x:c r="L967" s="34" t="str">
        <x:v>redeploy</x:v>
      </x:c>
      <x:c r="M967" s="34" t="str">
        <x:v>article1-unified-v4-2-fb3f101b-20260903-000401-default-f04-p6-caffeine-3-redeployed-loaded</x:v>
      </x:c>
      <x:c r="N967" s="38" t="n">
        <x:v>46268.05570775463</x:v>
      </x:c>
      <x:c r="O967" s="36" t="n">
        <x:v>0</x:v>
      </x:c>
      <x:c r="P967" s="43" t="n">
        <x:v>203163648</x:v>
      </x:c>
      <x:c r="Q967" s="43" t="n">
        <x:v>268435456</x:v>
      </x:c>
      <x:c r="R967" s="43" t="n">
        <x:v>445391872</x:v>
      </x:c>
      <x:c r="S967" s="36" t="n">
        <x:v>3</x:v>
      </x:c>
      <x:c r="T967" s="44" t="str">
        <x:v>0x00000000111177b8  0x0000000011003818  0x0000742f78320b20    4395  21165056  21147608  org.apache.catalina.loader.ParallelWebappClassLoader | 0x00000000111177b8  0x0000000011003818  0x0000742fe8036870    4388  21153792  21128296  org.apache.catalina.loader.ParallelWebappClassLoader | 0x00000000111177b8  0x0000000011003818  0x0000743074607130       0         0         0  org.apache.catalina.loader.ParallelWebappClassLoader</x:v>
      </x:c>
      <x:c r="U967" s="36" t="n">
        <x:v>31</x:v>
      </x:c>
      <x:c r="V967" s="36" t="n">
        <x:v>0</x:v>
      </x:c>
      <x:c r="W967" s="44"/>
      <x:c r="X967" s="36"/>
      <x:c r="Y967" s="36"/>
      <x:c r="Z967" s="44"/>
      <x:c r="AA967" s="49"/>
      <x:c r="AB967" s="43"/>
      <x:c r="AC967" s="34"/>
      <x:c r="AD967" s="34"/>
      <x:c r="AE967" s="34"/>
      <x:c r="AF967" s="34"/>
      <x:c r="AG967" s="34"/>
      <x:c r="AH967" s="34"/>
      <x:c r="AI967" s="34"/>
    </x:row>
    <x:row r="968">
      <x:c r="A968" s="34" t="str">
        <x:v>article1-unified-v4-2-fb3f101b-20260903-000401-default-f04-p6-caffeine</x:v>
      </x:c>
      <x:c r="B968" s="34" t="str">
        <x:v>default</x:v>
      </x:c>
      <x:c r="C968" s="34" t="str">
        <x:v>caffeine</x:v>
      </x:c>
      <x:c r="D968" s="34" t="str">
        <x:v>caffeine</x:v>
      </x:c>
      <x:c r="E968" s="36" t="n">
        <x:v>4</x:v>
      </x:c>
      <x:c r="F968" s="36" t="n">
        <x:v>4</x:v>
      </x:c>
      <x:c r="G968" s="36" t="n">
        <x:v>6</x:v>
      </x:c>
      <x:c r="H968" s="36" t="n">
        <x:v>3</x:v>
      </x:c>
      <x:c r="I968" s="34" t="str">
        <x:v>afterFinalUndeployEarly</x:v>
      </x:c>
      <x:c r="J968" s="34" t="str">
        <x:v>after-final-undeploy-early</x:v>
      </x:c>
      <x:c r="K968" s="36" t="n">
        <x:v>2</x:v>
      </x:c>
      <x:c r="L968" s="34" t="str">
        <x:v>early</x:v>
      </x:c>
      <x:c r="M968" s="34" t="str">
        <x:v>article1-unified-v4-2-fb3f101b-20260903-000401-default-f04-p6-caffeine-3-after-final-undeploy-early-2s</x:v>
      </x:c>
      <x:c r="N968" s="38" t="n">
        <x:v>46268.05579096065</x:v>
      </x:c>
      <x:c r="O968" s="36"/>
      <x:c r="P968" s="43"/>
      <x:c r="Q968" s="43"/>
      <x:c r="R968" s="43"/>
      <x:c r="S968" s="36"/>
      <x:c r="T968" s="44"/>
      <x:c r="U968" s="36" t="n">
        <x:v>30</x:v>
      </x:c>
      <x:c r="V968" s="36" t="n">
        <x:v>0</x:v>
      </x:c>
      <x:c r="W968" s="44"/>
      <x:c r="X968" s="36"/>
      <x:c r="Y968" s="36"/>
      <x:c r="Z968" s="44"/>
      <x:c r="AA968" s="49"/>
      <x:c r="AB968" s="43" t="n">
        <x:v>1</x:v>
      </x:c>
      <x:c r="AC968" s="34"/>
      <x:c r="AD968" s="34"/>
      <x:c r="AE968" s="34" t="str">
        <x:v>article1-unified-v4-2-fb3f101b-20260903-000401-default-f04-p6-caffeine-3-after-final-undeploy-early-2s-thread-dump.txt</x:v>
      </x:c>
      <x:c r="AF968" s="34" t="str">
        <x:v>article1-unified-v4-2-fb3f101b-20260903-000401-default-f04-p6-caffeine-3-after-final-undeploy-early-tomcat-log.txt</x:v>
      </x:c>
      <x:c r="AG968" s="34"/>
      <x:c r="AH968" s="34"/>
      <x:c r="AI968" s="34"/>
    </x:row>
    <x:row r="969">
      <x:c r="A969" s="34" t="str">
        <x:v>article1-unified-v4-2-fb3f101b-20260903-000401-default-f04-p6-caffeine</x:v>
      </x:c>
      <x:c r="B969" s="34" t="str">
        <x:v>default</x:v>
      </x:c>
      <x:c r="C969" s="34" t="str">
        <x:v>caffeine</x:v>
      </x:c>
      <x:c r="D969" s="34" t="str">
        <x:v>caffeine</x:v>
      </x:c>
      <x:c r="E969" s="36" t="n">
        <x:v>4</x:v>
      </x:c>
      <x:c r="F969" s="36" t="n">
        <x:v>4</x:v>
      </x:c>
      <x:c r="G969" s="36" t="n">
        <x:v>6</x:v>
      </x:c>
      <x:c r="H969" s="36" t="n">
        <x:v>3</x:v>
      </x:c>
      <x:c r="I969" s="34" t="str">
        <x:v>afterFinalUndeploy</x:v>
      </x:c>
      <x:c r="J969" s="34" t="str">
        <x:v>after-final-undeploy-final</x:v>
      </x:c>
      <x:c r="K969" s="36" t="n">
        <x:v>2</x:v>
      </x:c>
      <x:c r="L969" s="34" t="str">
        <x:v>final</x:v>
      </x:c>
      <x:c r="M969" s="34" t="str">
        <x:v>article1-unified-v4-2-fb3f101b-20260903-000401-default-f04-p6-caffeine-3-after-final-undeploy-final-10s</x:v>
      </x:c>
      <x:c r="N969" s="38" t="n">
        <x:v>46268.05595112268</x:v>
      </x:c>
      <x:c r="O969" s="36" t="n">
        <x:v>2</x:v>
      </x:c>
      <x:c r="P969" s="43" t="n">
        <x:v>15645696</x:v>
      </x:c>
      <x:c r="Q969" s="43" t="n">
        <x:v>268435456</x:v>
      </x:c>
      <x:c r="R969" s="43" t="n">
        <x:v>423059456</x:v>
      </x:c>
      <x:c r="S969" s="36" t="n">
        <x:v>2</x:v>
      </x:c>
      <x:c r="T969" s="44" t="str">
        <x:v>0x00000000111177b8  0x0000000011003818  0x0000742fe8036870    4396  21166080  21153104  org.apache.catalina.loader.ParallelWebappClassLoader | 0x00000000111177b8  0x0000000011003818  0x0000743074607130       0         0         0  org.apache.catalina.loader.ParallelWebappClassLoader</x:v>
      </x:c>
      <x:c r="U969" s="36" t="n">
        <x:v>30</x:v>
      </x:c>
      <x:c r="V969" s="36" t="n">
        <x:v>0</x:v>
      </x:c>
      <x:c r="W969" s="44"/>
      <x:c r="X969" s="36" t="n">
        <x:v>1</x:v>
      </x:c>
      <x:c r="Y969" s="36" t="n">
        <x:v>1</x:v>
      </x:c>
      <x:c r="Z969" s="44" t="str">
        <x:v>/caffeine</x:v>
      </x:c>
      <x:c r="AA969" s="45" t="b">
        <x:v>1</x:v>
      </x:c>
      <x:c r="AB969" s="43"/>
      <x:c r="AC969" s="34" t="str">
        <x:v>article1-unified-v4-2-fb3f101b-20260903-000401-default-f04-p6-caffeine-3-after-final-undeploy-final-10s-heap-info.txt</x:v>
      </x:c>
      <x:c r="AD969" s="34" t="str">
        <x:v>article1-unified-v4-2-fb3f101b-20260903-000401-default-f04-p6-caffeine-3-after-final-undeploy-final-10s-classloader-stats.txt</x:v>
      </x:c>
      <x:c r="AE969" s="34" t="str">
        <x:v>article1-unified-v4-2-fb3f101b-20260903-000401-default-f04-p6-caffeine-3-after-final-undeploy-final-10s-thread-dump.txt</x:v>
      </x:c>
      <x:c r="AF969" s="34"/>
      <x:c r="AG969" s="34" t="str">
        <x:v>article1-unified-v4-2-fb3f101b-20260903-000401-default-f04-p6-caffeine-3-after-final-undeploy-final-10s-native-memory.txt</x:v>
      </x:c>
      <x:c r="AH969" s="34" t="str">
        <x:v>article1-unified-v4-2-fb3f101b-20260903-000401-default-f04-p6-caffeine-3-after-final-undeploy-final-10s-class-histogram.txt</x:v>
      </x:c>
      <x:c r="AI969" s="34" t="str">
        <x:v>article1-unified-v4-2-fb3f101b-20260903-000401-default-f04-p6-caffeine-3-after-final-undeploy-tomcat-findleaks.txt</x:v>
      </x:c>
    </x:row>
    <x:row r="970">
      <x:c r="A970" s="34" t="str">
        <x:v>article1-unified-v4-2-fb3f101b-20260903-000401-default-f04-p6-caffeine</x:v>
      </x:c>
      <x:c r="B970" s="34" t="str">
        <x:v>default</x:v>
      </x:c>
      <x:c r="C970" s="34" t="str">
        <x:v>caffeine</x:v>
      </x:c>
      <x:c r="D970" s="34" t="str">
        <x:v>caffeine</x:v>
      </x:c>
      <x:c r="E970" s="36" t="n">
        <x:v>4</x:v>
      </x:c>
      <x:c r="F970" s="36" t="n">
        <x:v>4</x:v>
      </x:c>
      <x:c r="G970" s="36" t="n">
        <x:v>6</x:v>
      </x:c>
      <x:c r="H970" s="36" t="n">
        <x:v>4</x:v>
      </x:c>
      <x:c r="I970" s="34" t="str">
        <x:v>baseline</x:v>
      </x:c>
      <x:c r="J970" s="34" t="str">
        <x:v>cycle-baseline</x:v>
      </x:c>
      <x:c r="K970" s="36" t="n">
        <x:v>0</x:v>
      </x:c>
      <x:c r="L970" s="34" t="str">
        <x:v>baseline</x:v>
      </x:c>
      <x:c r="M970" s="34" t="str">
        <x:v>article1-unified-v4-2-fb3f101b-20260903-000401-default-f04-p6-caffeine-4-baseline</x:v>
      </x:c>
      <x:c r="N970" s="38" t="n">
        <x:v>46268.05599444445</x:v>
      </x:c>
      <x:c r="O970" s="36" t="n">
        <x:v>0</x:v>
      </x:c>
      <x:c r="P970" s="43" t="n">
        <x:v>15651840</x:v>
      </x:c>
      <x:c r="Q970" s="43" t="n">
        <x:v>268435456</x:v>
      </x:c>
      <x:c r="R970" s="43" t="n">
        <x:v>423583744</x:v>
      </x:c>
      <x:c r="S970" s="36" t="n">
        <x:v>2</x:v>
      </x:c>
      <x:c r="T970" s="44" t="str">
        <x:v>0x00000000111177b8  0x0000000011003818  0x0000742fe8036870    4396  21166080  21153104  org.apache.catalina.loader.ParallelWebappClassLoader | 0x00000000111177b8  0x0000000011003818  0x0000743074607130       0         0         0  org.apache.catalina.loader.ParallelWebappClassLoader</x:v>
      </x:c>
      <x:c r="U970" s="36" t="n">
        <x:v>30</x:v>
      </x:c>
      <x:c r="V970" s="36" t="n">
        <x:v>0</x:v>
      </x:c>
      <x:c r="W970" s="44"/>
      <x:c r="X970" s="36"/>
      <x:c r="Y970" s="36"/>
      <x:c r="Z970" s="44"/>
      <x:c r="AA970" s="49"/>
      <x:c r="AB970" s="43"/>
      <x:c r="AC970" s="34" t="str">
        <x:v>article1-unified-v4-2-fb3f101b-20260903-000401-default-f04-p6-caffeine-4-baseline-heap-info.txt</x:v>
      </x:c>
      <x:c r="AD970" s="34" t="str">
        <x:v>article1-unified-v4-2-fb3f101b-20260903-000401-default-f04-p6-caffeine-4-baseline-classloader-stats.txt</x:v>
      </x:c>
      <x:c r="AE970" s="34" t="str">
        <x:v>article1-unified-v4-2-fb3f101b-20260903-000401-default-f04-p6-caffeine-4-baseline-thread-dump.txt</x:v>
      </x:c>
      <x:c r="AF970" s="34"/>
      <x:c r="AG970" s="34" t="str">
        <x:v>article1-unified-v4-2-fb3f101b-20260903-000401-default-f04-p6-caffeine-4-baseline-native-memory.txt</x:v>
      </x:c>
      <x:c r="AH970" s="34"/>
      <x:c r="AI970" s="34"/>
    </x:row>
    <x:row r="971">
      <x:c r="A971" s="34" t="str">
        <x:v>article1-unified-v4-2-fb3f101b-20260903-000401-default-f04-p6-caffeine</x:v>
      </x:c>
      <x:c r="B971" s="34" t="str">
        <x:v>default</x:v>
      </x:c>
      <x:c r="C971" s="34" t="str">
        <x:v>caffeine</x:v>
      </x:c>
      <x:c r="D971" s="34" t="str">
        <x:v>caffeine</x:v>
      </x:c>
      <x:c r="E971" s="36" t="n">
        <x:v>4</x:v>
      </x:c>
      <x:c r="F971" s="36" t="n">
        <x:v>4</x:v>
      </x:c>
      <x:c r="G971" s="36" t="n">
        <x:v>6</x:v>
      </x:c>
      <x:c r="H971" s="36" t="n">
        <x:v>4</x:v>
      </x:c>
      <x:c r="I971" s="34" t="str">
        <x:v>deployedIdle</x:v>
      </x:c>
      <x:c r="J971" s="34" t="str">
        <x:v>deployed-idle</x:v>
      </x:c>
      <x:c r="K971" s="36" t="n">
        <x:v>0</x:v>
      </x:c>
      <x:c r="L971" s="34" t="str">
        <x:v>initial</x:v>
      </x:c>
      <x:c r="M971" s="34" t="str">
        <x:v>article1-unified-v4-2-fb3f101b-20260903-000401-default-f04-p6-caffeine-4-deployed-idle</x:v>
      </x:c>
      <x:c r="N971" s="38" t="n">
        <x:v>46268.05609140046</x:v>
      </x:c>
      <x:c r="O971" s="36" t="n">
        <x:v>0</x:v>
      </x:c>
      <x:c r="P971" s="43" t="n">
        <x:v>164751360</x:v>
      </x:c>
      <x:c r="Q971" s="43" t="n">
        <x:v>268435456</x:v>
      </x:c>
      <x:c r="R971" s="43" t="n">
        <x:v>443766784</x:v>
      </x:c>
      <x:c r="S971" s="36" t="n">
        <x:v>3</x:v>
      </x:c>
      <x:c r="T971" s="44" t="str">
        <x:v>0x00000000111177b8  0x0000000011003818  0x0000742fe8036870    4396  21166080  21153104  org.apache.catalina.loader.ParallelWebappClassLoader | 0x00000000111177b8  0x0000000011003818  0x0000742f8014d990    4091  19447808  19428120  org.apache.catalina.loader.ParallelWebappClassLoader | 0x00000000111177b8  0x0000000011003818  0x0000743074607130       0         0         0  org.apache.catalina.loader.ParallelWebappClassLoader</x:v>
      </x:c>
      <x:c r="U971" s="36" t="n">
        <x:v>30</x:v>
      </x:c>
      <x:c r="V971" s="36" t="n">
        <x:v>0</x:v>
      </x:c>
      <x:c r="W971" s="44"/>
      <x:c r="X971" s="36"/>
      <x:c r="Y971" s="36"/>
      <x:c r="Z971" s="44"/>
      <x:c r="AA971" s="49"/>
      <x:c r="AB971" s="43"/>
      <x:c r="AC971" s="34"/>
      <x:c r="AD971" s="34"/>
      <x:c r="AE971" s="34"/>
      <x:c r="AF971" s="34"/>
      <x:c r="AG971" s="34"/>
      <x:c r="AH971" s="34"/>
      <x:c r="AI971" s="34"/>
    </x:row>
    <x:row r="972">
      <x:c r="A972" s="34" t="str">
        <x:v>article1-unified-v4-2-fb3f101b-20260903-000401-default-f04-p6-caffeine</x:v>
      </x:c>
      <x:c r="B972" s="34" t="str">
        <x:v>default</x:v>
      </x:c>
      <x:c r="C972" s="34" t="str">
        <x:v>caffeine</x:v>
      </x:c>
      <x:c r="D972" s="34" t="str">
        <x:v>caffeine</x:v>
      </x:c>
      <x:c r="E972" s="36" t="n">
        <x:v>4</x:v>
      </x:c>
      <x:c r="F972" s="36" t="n">
        <x:v>4</x:v>
      </x:c>
      <x:c r="G972" s="36" t="n">
        <x:v>6</x:v>
      </x:c>
      <x:c r="H972" s="36" t="n">
        <x:v>4</x:v>
      </x:c>
      <x:c r="I972" s="34" t="str">
        <x:v>loaded</x:v>
      </x:c>
      <x:c r="J972" s="34" t="str">
        <x:v>loaded</x:v>
      </x:c>
      <x:c r="K972" s="36" t="n">
        <x:v>0</x:v>
      </x:c>
      <x:c r="L972" s="34" t="str">
        <x:v>initial</x:v>
      </x:c>
      <x:c r="M972" s="34" t="str">
        <x:v>article1-unified-v4-2-fb3f101b-20260903-000401-default-f04-p6-caffeine-4-loaded</x:v>
      </x:c>
      <x:c r="N972" s="38" t="n">
        <x:v>46268.05624280093</x:v>
      </x:c>
      <x:c r="O972" s="36" t="n">
        <x:v>0</x:v>
      </x:c>
      <x:c r="P972" s="43" t="n">
        <x:v>203116544</x:v>
      </x:c>
      <x:c r="Q972" s="43" t="n">
        <x:v>268435456</x:v>
      </x:c>
      <x:c r="R972" s="43" t="n">
        <x:v>449658880</x:v>
      </x:c>
      <x:c r="S972" s="36" t="n">
        <x:v>3</x:v>
      </x:c>
      <x:c r="T972" s="44" t="str">
        <x:v>0x00000000111177b8  0x0000000011003818  0x0000742fe8036870    4396  21166080  21153104  org.apache.catalina.loader.ParallelWebappClassLoader | 0x00000000111177b8  0x0000000011003818  0x0000742f8014d990    4385  21135360  21124096  org.apache.catalina.loader.ParallelWebappClassLoader | 0x00000000111177b8  0x0000000011003818  0x0000743074607130       0         0         0  org.apache.catalina.loader.ParallelWebappClassLoader</x:v>
      </x:c>
      <x:c r="U972" s="36" t="n">
        <x:v>30</x:v>
      </x:c>
      <x:c r="V972" s="36" t="n">
        <x:v>0</x:v>
      </x:c>
      <x:c r="W972" s="44"/>
      <x:c r="X972" s="36"/>
      <x:c r="Y972" s="36"/>
      <x:c r="Z972" s="44"/>
      <x:c r="AA972" s="49"/>
      <x:c r="AB972" s="43"/>
      <x:c r="AC972" s="34"/>
      <x:c r="AD972" s="34"/>
      <x:c r="AE972" s="34"/>
      <x:c r="AF972" s="34"/>
      <x:c r="AG972" s="34"/>
      <x:c r="AH972" s="34"/>
      <x:c r="AI972" s="34"/>
    </x:row>
    <x:row r="973">
      <x:c r="A973" s="34" t="str">
        <x:v>article1-unified-v4-2-fb3f101b-20260903-000401-default-f04-p6-caffeine</x:v>
      </x:c>
      <x:c r="B973" s="34" t="str">
        <x:v>default</x:v>
      </x:c>
      <x:c r="C973" s="34" t="str">
        <x:v>caffeine</x:v>
      </x:c>
      <x:c r="D973" s="34" t="str">
        <x:v>caffeine</x:v>
      </x:c>
      <x:c r="E973" s="36" t="n">
        <x:v>4</x:v>
      </x:c>
      <x:c r="F973" s="36" t="n">
        <x:v>4</x:v>
      </x:c>
      <x:c r="G973" s="36" t="n">
        <x:v>6</x:v>
      </x:c>
      <x:c r="H973" s="36" t="n">
        <x:v>4</x:v>
      </x:c>
      <x:c r="I973" s="34" t="str">
        <x:v>afterUndeployEarly</x:v>
      </x:c>
      <x:c r="J973" s="34" t="str">
        <x:v>after-undeploy-early</x:v>
      </x:c>
      <x:c r="K973" s="36" t="n">
        <x:v>1</x:v>
      </x:c>
      <x:c r="L973" s="34" t="str">
        <x:v>early</x:v>
      </x:c>
      <x:c r="M973" s="34" t="str">
        <x:v>article1-unified-v4-2-fb3f101b-20260903-000401-default-f04-p6-caffeine-4-after-undeploy-early-2s</x:v>
      </x:c>
      <x:c r="N973" s="38" t="n">
        <x:v>46268.056325405094</x:v>
      </x:c>
      <x:c r="O973" s="36"/>
      <x:c r="P973" s="43"/>
      <x:c r="Q973" s="43"/>
      <x:c r="R973" s="43"/>
      <x:c r="S973" s="36"/>
      <x:c r="T973" s="44"/>
      <x:c r="U973" s="36" t="n">
        <x:v>30</x:v>
      </x:c>
      <x:c r="V973" s="36" t="n">
        <x:v>0</x:v>
      </x:c>
      <x:c r="W973" s="44"/>
      <x:c r="X973" s="36"/>
      <x:c r="Y973" s="36"/>
      <x:c r="Z973" s="44"/>
      <x:c r="AA973" s="49"/>
      <x:c r="AB973" s="43" t="n">
        <x:v>1</x:v>
      </x:c>
      <x:c r="AC973" s="34"/>
      <x:c r="AD973" s="34"/>
      <x:c r="AE973" s="34" t="str">
        <x:v>article1-unified-v4-2-fb3f101b-20260903-000401-default-f04-p6-caffeine-4-after-undeploy-early-2s-thread-dump.txt</x:v>
      </x:c>
      <x:c r="AF973" s="34" t="str">
        <x:v>article1-unified-v4-2-fb3f101b-20260903-000401-default-f04-p6-caffeine-4-after-undeploy-early-tomcat-log.txt</x:v>
      </x:c>
      <x:c r="AG973" s="34"/>
      <x:c r="AH973" s="34"/>
      <x:c r="AI973" s="34"/>
    </x:row>
    <x:row r="974">
      <x:c r="A974" s="34" t="str">
        <x:v>article1-unified-v4-2-fb3f101b-20260903-000401-default-f04-p6-caffeine</x:v>
      </x:c>
      <x:c r="B974" s="34" t="str">
        <x:v>default</x:v>
      </x:c>
      <x:c r="C974" s="34" t="str">
        <x:v>caffeine</x:v>
      </x:c>
      <x:c r="D974" s="34" t="str">
        <x:v>caffeine</x:v>
      </x:c>
      <x:c r="E974" s="36" t="n">
        <x:v>4</x:v>
      </x:c>
      <x:c r="F974" s="36" t="n">
        <x:v>4</x:v>
      </x:c>
      <x:c r="G974" s="36" t="n">
        <x:v>6</x:v>
      </x:c>
      <x:c r="H974" s="36" t="n">
        <x:v>4</x:v>
      </x:c>
      <x:c r="I974" s="34" t="str">
        <x:v>afterUndeploy</x:v>
      </x:c>
      <x:c r="J974" s="34" t="str">
        <x:v>after-undeploy-final</x:v>
      </x:c>
      <x:c r="K974" s="36" t="n">
        <x:v>1</x:v>
      </x:c>
      <x:c r="L974" s="34" t="str">
        <x:v>final</x:v>
      </x:c>
      <x:c r="M974" s="34" t="str">
        <x:v>article1-unified-v4-2-fb3f101b-20260903-000401-default-f04-p6-caffeine-4-after-undeploy-final-10s</x:v>
      </x:c>
      <x:c r="N974" s="38" t="n">
        <x:v>46268.056485127316</x:v>
      </x:c>
      <x:c r="O974" s="36" t="n">
        <x:v>2</x:v>
      </x:c>
      <x:c r="P974" s="43" t="n">
        <x:v>15662080</x:v>
      </x:c>
      <x:c r="Q974" s="43" t="n">
        <x:v>268435456</x:v>
      </x:c>
      <x:c r="R974" s="43" t="n">
        <x:v>430180352</x:v>
      </x:c>
      <x:c r="S974" s="36" t="n">
        <x:v>2</x:v>
      </x:c>
      <x:c r="T974" s="44" t="str">
        <x:v>0x00000000111177b8  0x0000000011003818  0x0000742f8014d990    4393  21168128  21148912  org.apache.catalina.loader.ParallelWebappClassLoader | 0x00000000111177b8  0x0000000011003818  0x0000743074607130       0         0         0  org.apache.catalina.loader.ParallelWebappClassLoader</x:v>
      </x:c>
      <x:c r="U974" s="36" t="n">
        <x:v>30</x:v>
      </x:c>
      <x:c r="V974" s="36" t="n">
        <x:v>0</x:v>
      </x:c>
      <x:c r="W974" s="44"/>
      <x:c r="X974" s="36" t="n">
        <x:v>1</x:v>
      </x:c>
      <x:c r="Y974" s="36" t="n">
        <x:v>1</x:v>
      </x:c>
      <x:c r="Z974" s="44" t="str">
        <x:v>/caffeine</x:v>
      </x:c>
      <x:c r="AA974" s="45" t="b">
        <x:v>1</x:v>
      </x:c>
      <x:c r="AB974" s="43"/>
      <x:c r="AC974" s="34" t="str">
        <x:v>article1-unified-v4-2-fb3f101b-20260903-000401-default-f04-p6-caffeine-4-after-undeploy-final-10s-heap-info.txt</x:v>
      </x:c>
      <x:c r="AD974" s="34" t="str">
        <x:v>article1-unified-v4-2-fb3f101b-20260903-000401-default-f04-p6-caffeine-4-after-undeploy-final-10s-classloader-stats.txt</x:v>
      </x:c>
      <x:c r="AE974" s="34" t="str">
        <x:v>article1-unified-v4-2-fb3f101b-20260903-000401-default-f04-p6-caffeine-4-after-undeploy-final-10s-thread-dump.txt</x:v>
      </x:c>
      <x:c r="AF974" s="34"/>
      <x:c r="AG974" s="34" t="str">
        <x:v>article1-unified-v4-2-fb3f101b-20260903-000401-default-f04-p6-caffeine-4-after-undeploy-final-10s-native-memory.txt</x:v>
      </x:c>
      <x:c r="AH974" s="34" t="str">
        <x:v>article1-unified-v4-2-fb3f101b-20260903-000401-default-f04-p6-caffeine-4-after-undeploy-final-10s-class-histogram.txt</x:v>
      </x:c>
      <x:c r="AI974" s="34" t="str">
        <x:v>article1-unified-v4-2-fb3f101b-20260903-000401-default-f04-p6-caffeine-4-after-undeploy-tomcat-findleaks.txt</x:v>
      </x:c>
    </x:row>
    <x:row r="975">
      <x:c r="A975" s="34" t="str">
        <x:v>article1-unified-v4-2-fb3f101b-20260903-000401-default-f04-p6-caffeine</x:v>
      </x:c>
      <x:c r="B975" s="34" t="str">
        <x:v>default</x:v>
      </x:c>
      <x:c r="C975" s="34" t="str">
        <x:v>caffeine</x:v>
      </x:c>
      <x:c r="D975" s="34" t="str">
        <x:v>caffeine</x:v>
      </x:c>
      <x:c r="E975" s="36" t="n">
        <x:v>4</x:v>
      </x:c>
      <x:c r="F975" s="36" t="n">
        <x:v>4</x:v>
      </x:c>
      <x:c r="G975" s="36" t="n">
        <x:v>6</x:v>
      </x:c>
      <x:c r="H975" s="36" t="n">
        <x:v>4</x:v>
      </x:c>
      <x:c r="I975" s="34" t="str">
        <x:v>redeployedLoaded</x:v>
      </x:c>
      <x:c r="J975" s="34" t="str">
        <x:v>redeployed-loaded</x:v>
      </x:c>
      <x:c r="K975" s="36" t="n">
        <x:v>0</x:v>
      </x:c>
      <x:c r="L975" s="34" t="str">
        <x:v>redeploy</x:v>
      </x:c>
      <x:c r="M975" s="34" t="str">
        <x:v>article1-unified-v4-2-fb3f101b-20260903-000401-default-f04-p6-caffeine-4-redeployed-loaded</x:v>
      </x:c>
      <x:c r="N975" s="38" t="n">
        <x:v>46268.05674574074</x:v>
      </x:c>
      <x:c r="O975" s="36" t="n">
        <x:v>0</x:v>
      </x:c>
      <x:c r="P975" s="43" t="n">
        <x:v>92550144</x:v>
      </x:c>
      <x:c r="Q975" s="43" t="n">
        <x:v>268435456</x:v>
      </x:c>
      <x:c r="R975" s="43" t="n">
        <x:v>447489024</x:v>
      </x:c>
      <x:c r="S975" s="36" t="n">
        <x:v>3</x:v>
      </x:c>
      <x:c r="T975" s="44" t="str">
        <x:v>0x00000000111177b8  0x0000000011003818  0x0000742fd4401ba0    4386  21157888  21131976  org.apache.catalina.loader.ParallelWebappClassLoader | 0x00000000111177b8  0x0000000011003818  0x0000742f8014d990    4393  21168128  21148912  org.apache.catalina.loader.ParallelWebappClassLoader | 0x00000000111177b8  0x0000000011003818  0x0000743074607130       0         0         0  org.apache.catalina.loader.ParallelWebappClassLoader</x:v>
      </x:c>
      <x:c r="U975" s="36" t="n">
        <x:v>31</x:v>
      </x:c>
      <x:c r="V975" s="36" t="n">
        <x:v>0</x:v>
      </x:c>
      <x:c r="W975" s="44"/>
      <x:c r="X975" s="36"/>
      <x:c r="Y975" s="36"/>
      <x:c r="Z975" s="44"/>
      <x:c r="AA975" s="49"/>
      <x:c r="AB975" s="43"/>
      <x:c r="AC975" s="34"/>
      <x:c r="AD975" s="34"/>
      <x:c r="AE975" s="34"/>
      <x:c r="AF975" s="34"/>
      <x:c r="AG975" s="34"/>
      <x:c r="AH975" s="34"/>
      <x:c r="AI975" s="34"/>
    </x:row>
    <x:row r="976">
      <x:c r="A976" s="34" t="str">
        <x:v>article1-unified-v4-2-fb3f101b-20260903-000401-default-f04-p6-caffeine</x:v>
      </x:c>
      <x:c r="B976" s="34" t="str">
        <x:v>default</x:v>
      </x:c>
      <x:c r="C976" s="34" t="str">
        <x:v>caffeine</x:v>
      </x:c>
      <x:c r="D976" s="34" t="str">
        <x:v>caffeine</x:v>
      </x:c>
      <x:c r="E976" s="36" t="n">
        <x:v>4</x:v>
      </x:c>
      <x:c r="F976" s="36" t="n">
        <x:v>4</x:v>
      </x:c>
      <x:c r="G976" s="36" t="n">
        <x:v>6</x:v>
      </x:c>
      <x:c r="H976" s="36" t="n">
        <x:v>4</x:v>
      </x:c>
      <x:c r="I976" s="34" t="str">
        <x:v>afterFinalUndeployEarly</x:v>
      </x:c>
      <x:c r="J976" s="34" t="str">
        <x:v>after-final-undeploy-early</x:v>
      </x:c>
      <x:c r="K976" s="36" t="n">
        <x:v>2</x:v>
      </x:c>
      <x:c r="L976" s="34" t="str">
        <x:v>early</x:v>
      </x:c>
      <x:c r="M976" s="34" t="str">
        <x:v>article1-unified-v4-2-fb3f101b-20260903-000401-default-f04-p6-caffeine-4-after-final-undeploy-early-2s</x:v>
      </x:c>
      <x:c r="N976" s="38" t="n">
        <x:v>46268.05682939815</x:v>
      </x:c>
      <x:c r="O976" s="36"/>
      <x:c r="P976" s="43"/>
      <x:c r="Q976" s="43"/>
      <x:c r="R976" s="43"/>
      <x:c r="S976" s="36"/>
      <x:c r="T976" s="44"/>
      <x:c r="U976" s="36" t="n">
        <x:v>31</x:v>
      </x:c>
      <x:c r="V976" s="36" t="n">
        <x:v>0</x:v>
      </x:c>
      <x:c r="W976" s="44"/>
      <x:c r="X976" s="36"/>
      <x:c r="Y976" s="36"/>
      <x:c r="Z976" s="44"/>
      <x:c r="AA976" s="49"/>
      <x:c r="AB976" s="43" t="n">
        <x:v>1</x:v>
      </x:c>
      <x:c r="AC976" s="34"/>
      <x:c r="AD976" s="34"/>
      <x:c r="AE976" s="34" t="str">
        <x:v>article1-unified-v4-2-fb3f101b-20260903-000401-default-f04-p6-caffeine-4-after-final-undeploy-early-2s-thread-dump.txt</x:v>
      </x:c>
      <x:c r="AF976" s="34" t="str">
        <x:v>article1-unified-v4-2-fb3f101b-20260903-000401-default-f04-p6-caffeine-4-after-final-undeploy-early-tomcat-log.txt</x:v>
      </x:c>
      <x:c r="AG976" s="34"/>
      <x:c r="AH976" s="34"/>
      <x:c r="AI976" s="34"/>
    </x:row>
    <x:row r="977">
      <x:c r="A977" s="34" t="str">
        <x:v>article1-unified-v4-2-fb3f101b-20260903-000401-default-f04-p6-caffeine</x:v>
      </x:c>
      <x:c r="B977" s="34" t="str">
        <x:v>default</x:v>
      </x:c>
      <x:c r="C977" s="34" t="str">
        <x:v>caffeine</x:v>
      </x:c>
      <x:c r="D977" s="34" t="str">
        <x:v>caffeine</x:v>
      </x:c>
      <x:c r="E977" s="36" t="n">
        <x:v>4</x:v>
      </x:c>
      <x:c r="F977" s="36" t="n">
        <x:v>4</x:v>
      </x:c>
      <x:c r="G977" s="36" t="n">
        <x:v>6</x:v>
      </x:c>
      <x:c r="H977" s="36" t="n">
        <x:v>4</x:v>
      </x:c>
      <x:c r="I977" s="34" t="str">
        <x:v>afterFinalUndeploy</x:v>
      </x:c>
      <x:c r="J977" s="34" t="str">
        <x:v>after-final-undeploy-final</x:v>
      </x:c>
      <x:c r="K977" s="36" t="n">
        <x:v>2</x:v>
      </x:c>
      <x:c r="L977" s="34" t="str">
        <x:v>final</x:v>
      </x:c>
      <x:c r="M977" s="34" t="str">
        <x:v>article1-unified-v4-2-fb3f101b-20260903-000401-default-f04-p6-caffeine-4-after-final-undeploy-final-10s</x:v>
      </x:c>
      <x:c r="N977" s="38" t="n">
        <x:v>46268.05698934028</x:v>
      </x:c>
      <x:c r="O977" s="36" t="n">
        <x:v>2</x:v>
      </x:c>
      <x:c r="P977" s="43" t="n">
        <x:v>15671296</x:v>
      </x:c>
      <x:c r="Q977" s="43" t="n">
        <x:v>268435456</x:v>
      </x:c>
      <x:c r="R977" s="43" t="n">
        <x:v>425544704</x:v>
      </x:c>
      <x:c r="S977" s="36" t="n">
        <x:v>2</x:v>
      </x:c>
      <x:c r="T977" s="44" t="str">
        <x:v>0x00000000111177b8  0x0000000011003818  0x0000742fd4401ba0    4394  21174272  21156792  org.apache.catalina.loader.ParallelWebappClassLoader | 0x00000000111177b8  0x0000000011003818  0x0000743074607130       0         0         0  org.apache.catalina.loader.ParallelWebappClassLoader</x:v>
      </x:c>
      <x:c r="U977" s="36" t="n">
        <x:v>30</x:v>
      </x:c>
      <x:c r="V977" s="36" t="n">
        <x:v>0</x:v>
      </x:c>
      <x:c r="W977" s="44"/>
      <x:c r="X977" s="36" t="n">
        <x:v>1</x:v>
      </x:c>
      <x:c r="Y977" s="36" t="n">
        <x:v>1</x:v>
      </x:c>
      <x:c r="Z977" s="44" t="str">
        <x:v>/caffeine</x:v>
      </x:c>
      <x:c r="AA977" s="45" t="b">
        <x:v>1</x:v>
      </x:c>
      <x:c r="AB977" s="43"/>
      <x:c r="AC977" s="34" t="str">
        <x:v>article1-unified-v4-2-fb3f101b-20260903-000401-default-f04-p6-caffeine-4-after-final-undeploy-final-10s-heap-info.txt</x:v>
      </x:c>
      <x:c r="AD977" s="34" t="str">
        <x:v>article1-unified-v4-2-fb3f101b-20260903-000401-default-f04-p6-caffeine-4-after-final-undeploy-final-10s-classloader-stats.txt</x:v>
      </x:c>
      <x:c r="AE977" s="34" t="str">
        <x:v>article1-unified-v4-2-fb3f101b-20260903-000401-default-f04-p6-caffeine-4-after-final-undeploy-final-10s-thread-dump.txt</x:v>
      </x:c>
      <x:c r="AF977" s="34"/>
      <x:c r="AG977" s="34" t="str">
        <x:v>article1-unified-v4-2-fb3f101b-20260903-000401-default-f04-p6-caffeine-4-after-final-undeploy-final-10s-native-memory.txt</x:v>
      </x:c>
      <x:c r="AH977" s="34" t="str">
        <x:v>article1-unified-v4-2-fb3f101b-20260903-000401-default-f04-p6-caffeine-4-after-final-undeploy-final-10s-class-histogram.txt</x:v>
      </x:c>
      <x:c r="AI977" s="34" t="str">
        <x:v>article1-unified-v4-2-fb3f101b-20260903-000401-default-f04-p6-caffeine-4-after-final-undeploy-tomcat-findleaks.txt</x:v>
      </x:c>
    </x:row>
    <x:row r="978">
      <x:c r="A978" s="34" t="str">
        <x:v>article1-unified-v4-2-fb3f101b-20260903-000401-default-f04-p6-caffeine</x:v>
      </x:c>
      <x:c r="B978" s="34" t="str">
        <x:v>default</x:v>
      </x:c>
      <x:c r="C978" s="34" t="str">
        <x:v>caffeine</x:v>
      </x:c>
      <x:c r="D978" s="34" t="str">
        <x:v>caffeine</x:v>
      </x:c>
      <x:c r="E978" s="36" t="n">
        <x:v>4</x:v>
      </x:c>
      <x:c r="F978" s="36" t="n">
        <x:v>4</x:v>
      </x:c>
      <x:c r="G978" s="36" t="n">
        <x:v>6</x:v>
      </x:c>
      <x:c r="H978" s="36" t="n">
        <x:v>5</x:v>
      </x:c>
      <x:c r="I978" s="34" t="str">
        <x:v>baseline</x:v>
      </x:c>
      <x:c r="J978" s="34" t="str">
        <x:v>cycle-baseline</x:v>
      </x:c>
      <x:c r="K978" s="36" t="n">
        <x:v>0</x:v>
      </x:c>
      <x:c r="L978" s="34" t="str">
        <x:v>baseline</x:v>
      </x:c>
      <x:c r="M978" s="34" t="str">
        <x:v>article1-unified-v4-2-fb3f101b-20260903-000401-default-f04-p6-caffeine-5-baseline</x:v>
      </x:c>
      <x:c r="N978" s="38" t="n">
        <x:v>46268.05702835648</x:v>
      </x:c>
      <x:c r="O978" s="36" t="n">
        <x:v>0</x:v>
      </x:c>
      <x:c r="P978" s="43" t="n">
        <x:v>15671296</x:v>
      </x:c>
      <x:c r="Q978" s="43" t="n">
        <x:v>268435456</x:v>
      </x:c>
      <x:c r="R978" s="43" t="n">
        <x:v>425544704</x:v>
      </x:c>
      <x:c r="S978" s="36" t="n">
        <x:v>2</x:v>
      </x:c>
      <x:c r="T978" s="44" t="str">
        <x:v>0x00000000111177b8  0x0000000011003818  0x0000742fd4401ba0    4394  21174272  21156792  org.apache.catalina.loader.ParallelWebappClassLoader | 0x00000000111177b8  0x0000000011003818  0x0000743074607130       0         0         0  org.apache.catalina.loader.ParallelWebappClassLoader</x:v>
      </x:c>
      <x:c r="U978" s="36" t="n">
        <x:v>30</x:v>
      </x:c>
      <x:c r="V978" s="36" t="n">
        <x:v>0</x:v>
      </x:c>
      <x:c r="W978" s="44"/>
      <x:c r="X978" s="36"/>
      <x:c r="Y978" s="36"/>
      <x:c r="Z978" s="44"/>
      <x:c r="AA978" s="49"/>
      <x:c r="AB978" s="43"/>
      <x:c r="AC978" s="34" t="str">
        <x:v>article1-unified-v4-2-fb3f101b-20260903-000401-default-f04-p6-caffeine-5-baseline-heap-info.txt</x:v>
      </x:c>
      <x:c r="AD978" s="34" t="str">
        <x:v>article1-unified-v4-2-fb3f101b-20260903-000401-default-f04-p6-caffeine-5-baseline-classloader-stats.txt</x:v>
      </x:c>
      <x:c r="AE978" s="34" t="str">
        <x:v>article1-unified-v4-2-fb3f101b-20260903-000401-default-f04-p6-caffeine-5-baseline-thread-dump.txt</x:v>
      </x:c>
      <x:c r="AF978" s="34"/>
      <x:c r="AG978" s="34" t="str">
        <x:v>article1-unified-v4-2-fb3f101b-20260903-000401-default-f04-p6-caffeine-5-baseline-native-memory.txt</x:v>
      </x:c>
      <x:c r="AH978" s="34"/>
      <x:c r="AI978" s="34"/>
    </x:row>
    <x:row r="979">
      <x:c r="A979" s="34" t="str">
        <x:v>article1-unified-v4-2-fb3f101b-20260903-000401-default-f04-p6-caffeine</x:v>
      </x:c>
      <x:c r="B979" s="34" t="str">
        <x:v>default</x:v>
      </x:c>
      <x:c r="C979" s="34" t="str">
        <x:v>caffeine</x:v>
      </x:c>
      <x:c r="D979" s="34" t="str">
        <x:v>caffeine</x:v>
      </x:c>
      <x:c r="E979" s="36" t="n">
        <x:v>4</x:v>
      </x:c>
      <x:c r="F979" s="36" t="n">
        <x:v>4</x:v>
      </x:c>
      <x:c r="G979" s="36" t="n">
        <x:v>6</x:v>
      </x:c>
      <x:c r="H979" s="36" t="n">
        <x:v>5</x:v>
      </x:c>
      <x:c r="I979" s="34" t="str">
        <x:v>deployedIdle</x:v>
      </x:c>
      <x:c r="J979" s="34" t="str">
        <x:v>deployed-idle</x:v>
      </x:c>
      <x:c r="K979" s="36" t="n">
        <x:v>0</x:v>
      </x:c>
      <x:c r="L979" s="34" t="str">
        <x:v>initial</x:v>
      </x:c>
      <x:c r="M979" s="34" t="str">
        <x:v>article1-unified-v4-2-fb3f101b-20260903-000401-default-f04-p6-caffeine-5-deployed-idle</x:v>
      </x:c>
      <x:c r="N979" s="38" t="n">
        <x:v>46268.057128113425</x:v>
      </x:c>
      <x:c r="O979" s="36" t="n">
        <x:v>0</x:v>
      </x:c>
      <x:c r="P979" s="43" t="n">
        <x:v>165858304</x:v>
      </x:c>
      <x:c r="Q979" s="43" t="n">
        <x:v>268435456</x:v>
      </x:c>
      <x:c r="R979" s="43" t="n">
        <x:v>445243392</x:v>
      </x:c>
      <x:c r="S979" s="36" t="n">
        <x:v>3</x:v>
      </x:c>
      <x:c r="T979" s="44" t="str">
        <x:v>0x00000000111177b8  0x0000000011003818  0x0000742fd4401ba0    4394  21174272  21156792  org.apache.catalina.loader.ParallelWebappClassLoader | 0x00000000111177b8  0x0000000011003818  0x0000742fe4487450    4091  19436544  19431304  org.apache.catalina.loader.ParallelWebappClassLoader | 0x00000000111177b8  0x0000000011003818  0x0000743074607130       0         0         0  org.apache.catalina.loader.ParallelWebappClassLoader</x:v>
      </x:c>
      <x:c r="U979" s="36" t="n">
        <x:v>30</x:v>
      </x:c>
      <x:c r="V979" s="36" t="n">
        <x:v>0</x:v>
      </x:c>
      <x:c r="W979" s="44"/>
      <x:c r="X979" s="36"/>
      <x:c r="Y979" s="36"/>
      <x:c r="Z979" s="44"/>
      <x:c r="AA979" s="49"/>
      <x:c r="AB979" s="43"/>
      <x:c r="AC979" s="34"/>
      <x:c r="AD979" s="34"/>
      <x:c r="AE979" s="34"/>
      <x:c r="AF979" s="34"/>
      <x:c r="AG979" s="34"/>
      <x:c r="AH979" s="34"/>
      <x:c r="AI979" s="34"/>
    </x:row>
    <x:row r="980">
      <x:c r="A980" s="34" t="str">
        <x:v>article1-unified-v4-2-fb3f101b-20260903-000401-default-f04-p6-caffeine</x:v>
      </x:c>
      <x:c r="B980" s="34" t="str">
        <x:v>default</x:v>
      </x:c>
      <x:c r="C980" s="34" t="str">
        <x:v>caffeine</x:v>
      </x:c>
      <x:c r="D980" s="34" t="str">
        <x:v>caffeine</x:v>
      </x:c>
      <x:c r="E980" s="36" t="n">
        <x:v>4</x:v>
      </x:c>
      <x:c r="F980" s="36" t="n">
        <x:v>4</x:v>
      </x:c>
      <x:c r="G980" s="36" t="n">
        <x:v>6</x:v>
      </x:c>
      <x:c r="H980" s="36" t="n">
        <x:v>5</x:v>
      </x:c>
      <x:c r="I980" s="34" t="str">
        <x:v>loaded</x:v>
      </x:c>
      <x:c r="J980" s="34" t="str">
        <x:v>loaded</x:v>
      </x:c>
      <x:c r="K980" s="36" t="n">
        <x:v>0</x:v>
      </x:c>
      <x:c r="L980" s="34" t="str">
        <x:v>initial</x:v>
      </x:c>
      <x:c r="M980" s="34" t="str">
        <x:v>article1-unified-v4-2-fb3f101b-20260903-000401-default-f04-p6-caffeine-5-loaded</x:v>
      </x:c>
      <x:c r="N980" s="38" t="n">
        <x:v>46268.05727920139</x:v>
      </x:c>
      <x:c r="O980" s="36" t="n">
        <x:v>0</x:v>
      </x:c>
      <x:c r="P980" s="43" t="n">
        <x:v>210698240</x:v>
      </x:c>
      <x:c r="Q980" s="43" t="n">
        <x:v>268435456</x:v>
      </x:c>
      <x:c r="R980" s="43" t="n">
        <x:v>451608576</x:v>
      </x:c>
      <x:c r="S980" s="36" t="n">
        <x:v>3</x:v>
      </x:c>
      <x:c r="T980" s="44" t="str">
        <x:v>0x00000000111177b8  0x0000000011003818  0x0000742fd4401ba0    4394  21174272  21156792  org.apache.catalina.loader.ParallelWebappClassLoader | 0x00000000111177b8  0x0000000011003818  0x0000742fe4487450    4387  21156864  21132800  org.apache.catalina.loader.ParallelWebappClassLoader | 0x00000000111177b8  0x0000000011003818  0x0000743074607130       0         0         0  org.apache.catalina.loader.ParallelWebappClassLoader</x:v>
      </x:c>
      <x:c r="U980" s="36" t="n">
        <x:v>31</x:v>
      </x:c>
      <x:c r="V980" s="36" t="n">
        <x:v>0</x:v>
      </x:c>
      <x:c r="W980" s="44"/>
      <x:c r="X980" s="36"/>
      <x:c r="Y980" s="36"/>
      <x:c r="Z980" s="44"/>
      <x:c r="AA980" s="49"/>
      <x:c r="AB980" s="43"/>
      <x:c r="AC980" s="34"/>
      <x:c r="AD980" s="34"/>
      <x:c r="AE980" s="34"/>
      <x:c r="AF980" s="34"/>
      <x:c r="AG980" s="34"/>
      <x:c r="AH980" s="34"/>
      <x:c r="AI980" s="34"/>
    </x:row>
    <x:row r="981">
      <x:c r="A981" s="34" t="str">
        <x:v>article1-unified-v4-2-fb3f101b-20260903-000401-default-f04-p6-caffeine</x:v>
      </x:c>
      <x:c r="B981" s="34" t="str">
        <x:v>default</x:v>
      </x:c>
      <x:c r="C981" s="34" t="str">
        <x:v>caffeine</x:v>
      </x:c>
      <x:c r="D981" s="34" t="str">
        <x:v>caffeine</x:v>
      </x:c>
      <x:c r="E981" s="36" t="n">
        <x:v>4</x:v>
      </x:c>
      <x:c r="F981" s="36" t="n">
        <x:v>4</x:v>
      </x:c>
      <x:c r="G981" s="36" t="n">
        <x:v>6</x:v>
      </x:c>
      <x:c r="H981" s="36" t="n">
        <x:v>5</x:v>
      </x:c>
      <x:c r="I981" s="34" t="str">
        <x:v>afterUndeployEarly</x:v>
      </x:c>
      <x:c r="J981" s="34" t="str">
        <x:v>after-undeploy-early</x:v>
      </x:c>
      <x:c r="K981" s="36" t="n">
        <x:v>1</x:v>
      </x:c>
      <x:c r="L981" s="34" t="str">
        <x:v>early</x:v>
      </x:c>
      <x:c r="M981" s="34" t="str">
        <x:v>article1-unified-v4-2-fb3f101b-20260903-000401-default-f04-p6-caffeine-5-after-undeploy-early-2s</x:v>
      </x:c>
      <x:c r="N981" s="38" t="n">
        <x:v>46268.05736200231</x:v>
      </x:c>
      <x:c r="O981" s="36"/>
      <x:c r="P981" s="43"/>
      <x:c r="Q981" s="43"/>
      <x:c r="R981" s="43"/>
      <x:c r="S981" s="36"/>
      <x:c r="T981" s="44"/>
      <x:c r="U981" s="36" t="n">
        <x:v>30</x:v>
      </x:c>
      <x:c r="V981" s="36" t="n">
        <x:v>0</x:v>
      </x:c>
      <x:c r="W981" s="44"/>
      <x:c r="X981" s="36"/>
      <x:c r="Y981" s="36"/>
      <x:c r="Z981" s="44"/>
      <x:c r="AA981" s="49"/>
      <x:c r="AB981" s="43" t="n">
        <x:v>1</x:v>
      </x:c>
      <x:c r="AC981" s="34"/>
      <x:c r="AD981" s="34"/>
      <x:c r="AE981" s="34" t="str">
        <x:v>article1-unified-v4-2-fb3f101b-20260903-000401-default-f04-p6-caffeine-5-after-undeploy-early-2s-thread-dump.txt</x:v>
      </x:c>
      <x:c r="AF981" s="34" t="str">
        <x:v>article1-unified-v4-2-fb3f101b-20260903-000401-default-f04-p6-caffeine-5-after-undeploy-early-tomcat-log.txt</x:v>
      </x:c>
      <x:c r="AG981" s="34"/>
      <x:c r="AH981" s="34"/>
      <x:c r="AI981" s="34"/>
    </x:row>
    <x:row r="982">
      <x:c r="A982" s="34" t="str">
        <x:v>article1-unified-v4-2-fb3f101b-20260903-000401-default-f04-p6-caffeine</x:v>
      </x:c>
      <x:c r="B982" s="34" t="str">
        <x:v>default</x:v>
      </x:c>
      <x:c r="C982" s="34" t="str">
        <x:v>caffeine</x:v>
      </x:c>
      <x:c r="D982" s="34" t="str">
        <x:v>caffeine</x:v>
      </x:c>
      <x:c r="E982" s="36" t="n">
        <x:v>4</x:v>
      </x:c>
      <x:c r="F982" s="36" t="n">
        <x:v>4</x:v>
      </x:c>
      <x:c r="G982" s="36" t="n">
        <x:v>6</x:v>
      </x:c>
      <x:c r="H982" s="36" t="n">
        <x:v>5</x:v>
      </x:c>
      <x:c r="I982" s="34" t="str">
        <x:v>afterUndeploy</x:v>
      </x:c>
      <x:c r="J982" s="34" t="str">
        <x:v>after-undeploy-final</x:v>
      </x:c>
      <x:c r="K982" s="36" t="n">
        <x:v>1</x:v>
      </x:c>
      <x:c r="L982" s="34" t="str">
        <x:v>final</x:v>
      </x:c>
      <x:c r="M982" s="34" t="str">
        <x:v>article1-unified-v4-2-fb3f101b-20260903-000401-default-f04-p6-caffeine-5-after-undeploy-final-10s</x:v>
      </x:c>
      <x:c r="N982" s="38" t="n">
        <x:v>46268.05752002315</x:v>
      </x:c>
      <x:c r="O982" s="36" t="n">
        <x:v>2</x:v>
      </x:c>
      <x:c r="P982" s="43" t="n">
        <x:v>15703040</x:v>
      </x:c>
      <x:c r="Q982" s="43" t="n">
        <x:v>268435456</x:v>
      </x:c>
      <x:c r="R982" s="43" t="n">
        <x:v>434111488</x:v>
      </x:c>
      <x:c r="S982" s="36" t="n">
        <x:v>2</x:v>
      </x:c>
      <x:c r="T982" s="44" t="str">
        <x:v>0x00000000111177b8  0x0000000011003818  0x0000742fe4487450    4395  21173248  21157616  org.apache.catalina.loader.ParallelWebappClassLoader | 0x00000000111177b8  0x0000000011003818  0x0000743074607130       0         0         0  org.apache.catalina.loader.ParallelWebappClassLoader</x:v>
      </x:c>
      <x:c r="U982" s="36" t="n">
        <x:v>30</x:v>
      </x:c>
      <x:c r="V982" s="36" t="n">
        <x:v>0</x:v>
      </x:c>
      <x:c r="W982" s="44"/>
      <x:c r="X982" s="36" t="n">
        <x:v>1</x:v>
      </x:c>
      <x:c r="Y982" s="36" t="n">
        <x:v>1</x:v>
      </x:c>
      <x:c r="Z982" s="44" t="str">
        <x:v>/caffeine</x:v>
      </x:c>
      <x:c r="AA982" s="45" t="b">
        <x:v>1</x:v>
      </x:c>
      <x:c r="AB982" s="43"/>
      <x:c r="AC982" s="34" t="str">
        <x:v>article1-unified-v4-2-fb3f101b-20260903-000401-default-f04-p6-caffeine-5-after-undeploy-final-10s-heap-info.txt</x:v>
      </x:c>
      <x:c r="AD982" s="34" t="str">
        <x:v>article1-unified-v4-2-fb3f101b-20260903-000401-default-f04-p6-caffeine-5-after-undeploy-final-10s-classloader-stats.txt</x:v>
      </x:c>
      <x:c r="AE982" s="34" t="str">
        <x:v>article1-unified-v4-2-fb3f101b-20260903-000401-default-f04-p6-caffeine-5-after-undeploy-final-10s-thread-dump.txt</x:v>
      </x:c>
      <x:c r="AF982" s="34"/>
      <x:c r="AG982" s="34" t="str">
        <x:v>article1-unified-v4-2-fb3f101b-20260903-000401-default-f04-p6-caffeine-5-after-undeploy-final-10s-native-memory.txt</x:v>
      </x:c>
      <x:c r="AH982" s="34" t="str">
        <x:v>article1-unified-v4-2-fb3f101b-20260903-000401-default-f04-p6-caffeine-5-after-undeploy-final-10s-class-histogram.txt</x:v>
      </x:c>
      <x:c r="AI982" s="34" t="str">
        <x:v>article1-unified-v4-2-fb3f101b-20260903-000401-default-f04-p6-caffeine-5-after-undeploy-tomcat-findleaks.txt</x:v>
      </x:c>
    </x:row>
    <x:row r="983">
      <x:c r="A983" s="34" t="str">
        <x:v>article1-unified-v4-2-fb3f101b-20260903-000401-default-f04-p6-caffeine</x:v>
      </x:c>
      <x:c r="B983" s="34" t="str">
        <x:v>default</x:v>
      </x:c>
      <x:c r="C983" s="34" t="str">
        <x:v>caffeine</x:v>
      </x:c>
      <x:c r="D983" s="34" t="str">
        <x:v>caffeine</x:v>
      </x:c>
      <x:c r="E983" s="36" t="n">
        <x:v>4</x:v>
      </x:c>
      <x:c r="F983" s="36" t="n">
        <x:v>4</x:v>
      </x:c>
      <x:c r="G983" s="36" t="n">
        <x:v>6</x:v>
      </x:c>
      <x:c r="H983" s="36" t="n">
        <x:v>5</x:v>
      </x:c>
      <x:c r="I983" s="34" t="str">
        <x:v>redeployedLoaded</x:v>
      </x:c>
      <x:c r="J983" s="34" t="str">
        <x:v>redeployed-loaded</x:v>
      </x:c>
      <x:c r="K983" s="36" t="n">
        <x:v>0</x:v>
      </x:c>
      <x:c r="L983" s="34" t="str">
        <x:v>redeploy</x:v>
      </x:c>
      <x:c r="M983" s="34" t="str">
        <x:v>article1-unified-v4-2-fb3f101b-20260903-000401-default-f04-p6-caffeine-5-redeployed-loaded</x:v>
      </x:c>
      <x:c r="N983" s="38" t="n">
        <x:v>46268.0577737037</x:v>
      </x:c>
      <x:c r="O983" s="36" t="n">
        <x:v>0</x:v>
      </x:c>
      <x:c r="P983" s="43" t="n">
        <x:v>207436800</x:v>
      </x:c>
      <x:c r="Q983" s="43" t="n">
        <x:v>268435456</x:v>
      </x:c>
      <x:c r="R983" s="43" t="n">
        <x:v>448967680</x:v>
      </x:c>
      <x:c r="S983" s="36" t="n">
        <x:v>3</x:v>
      </x:c>
      <x:c r="T983" s="44" t="str">
        <x:v>0x00000000111177b8  0x0000000011003818  0x0000742fe4487450    4395  21173248  21157616  org.apache.catalina.loader.ParallelWebappClassLoader | 0x00000000111177b8  0x0000000011003818  0x0000742fa040a0a0    4385  21130240  21124032  org.apache.catalina.loader.ParallelWebappClassLoader | 0x00000000111177b8  0x0000000011003818  0x0000743074607130       0         0         0  org.apache.catalina.loader.ParallelWebappClassLoader</x:v>
      </x:c>
      <x:c r="U983" s="36" t="n">
        <x:v>30</x:v>
      </x:c>
      <x:c r="V983" s="36" t="n">
        <x:v>0</x:v>
      </x:c>
      <x:c r="W983" s="44"/>
      <x:c r="X983" s="36"/>
      <x:c r="Y983" s="36"/>
      <x:c r="Z983" s="44"/>
      <x:c r="AA983" s="49"/>
      <x:c r="AB983" s="43"/>
      <x:c r="AC983" s="34"/>
      <x:c r="AD983" s="34"/>
      <x:c r="AE983" s="34"/>
      <x:c r="AF983" s="34"/>
      <x:c r="AG983" s="34"/>
      <x:c r="AH983" s="34"/>
      <x:c r="AI983" s="34"/>
    </x:row>
    <x:row r="984">
      <x:c r="A984" s="34" t="str">
        <x:v>article1-unified-v4-2-fb3f101b-20260903-000401-default-f04-p6-caffeine</x:v>
      </x:c>
      <x:c r="B984" s="34" t="str">
        <x:v>default</x:v>
      </x:c>
      <x:c r="C984" s="34" t="str">
        <x:v>caffeine</x:v>
      </x:c>
      <x:c r="D984" s="34" t="str">
        <x:v>caffeine</x:v>
      </x:c>
      <x:c r="E984" s="36" t="n">
        <x:v>4</x:v>
      </x:c>
      <x:c r="F984" s="36" t="n">
        <x:v>4</x:v>
      </x:c>
      <x:c r="G984" s="36" t="n">
        <x:v>6</x:v>
      </x:c>
      <x:c r="H984" s="36" t="n">
        <x:v>5</x:v>
      </x:c>
      <x:c r="I984" s="34" t="str">
        <x:v>afterFinalUndeployEarly</x:v>
      </x:c>
      <x:c r="J984" s="34" t="str">
        <x:v>after-final-undeploy-early</x:v>
      </x:c>
      <x:c r="K984" s="36" t="n">
        <x:v>2</x:v>
      </x:c>
      <x:c r="L984" s="34" t="str">
        <x:v>early</x:v>
      </x:c>
      <x:c r="M984" s="34" t="str">
        <x:v>article1-unified-v4-2-fb3f101b-20260903-000401-default-f04-p6-caffeine-5-after-final-undeploy-early-2s</x:v>
      </x:c>
      <x:c r="N984" s="38" t="n">
        <x:v>46268.05785813658</x:v>
      </x:c>
      <x:c r="O984" s="36"/>
      <x:c r="P984" s="43"/>
      <x:c r="Q984" s="43"/>
      <x:c r="R984" s="43"/>
      <x:c r="S984" s="36"/>
      <x:c r="T984" s="44"/>
      <x:c r="U984" s="36" t="n">
        <x:v>30</x:v>
      </x:c>
      <x:c r="V984" s="36" t="n">
        <x:v>0</x:v>
      </x:c>
      <x:c r="W984" s="44"/>
      <x:c r="X984" s="36"/>
      <x:c r="Y984" s="36"/>
      <x:c r="Z984" s="44"/>
      <x:c r="AA984" s="49"/>
      <x:c r="AB984" s="43" t="n">
        <x:v>1</x:v>
      </x:c>
      <x:c r="AC984" s="34"/>
      <x:c r="AD984" s="34"/>
      <x:c r="AE984" s="34" t="str">
        <x:v>article1-unified-v4-2-fb3f101b-20260903-000401-default-f04-p6-caffeine-5-after-final-undeploy-early-2s-thread-dump.txt</x:v>
      </x:c>
      <x:c r="AF984" s="34" t="str">
        <x:v>article1-unified-v4-2-fb3f101b-20260903-000401-default-f04-p6-caffeine-5-after-final-undeploy-early-tomcat-log.txt</x:v>
      </x:c>
      <x:c r="AG984" s="34"/>
      <x:c r="AH984" s="34"/>
      <x:c r="AI984" s="34"/>
    </x:row>
    <x:row r="985">
      <x:c r="A985" s="34" t="str">
        <x:v>article1-unified-v4-2-fb3f101b-20260903-000401-default-f04-p6-caffeine</x:v>
      </x:c>
      <x:c r="B985" s="34" t="str">
        <x:v>default</x:v>
      </x:c>
      <x:c r="C985" s="34" t="str">
        <x:v>caffeine</x:v>
      </x:c>
      <x:c r="D985" s="34" t="str">
        <x:v>caffeine</x:v>
      </x:c>
      <x:c r="E985" s="36" t="n">
        <x:v>4</x:v>
      </x:c>
      <x:c r="F985" s="36" t="n">
        <x:v>4</x:v>
      </x:c>
      <x:c r="G985" s="36" t="n">
        <x:v>6</x:v>
      </x:c>
      <x:c r="H985" s="36" t="n">
        <x:v>5</x:v>
      </x:c>
      <x:c r="I985" s="34" t="str">
        <x:v>afterFinalUndeploy</x:v>
      </x:c>
      <x:c r="J985" s="34" t="str">
        <x:v>after-final-undeploy-final</x:v>
      </x:c>
      <x:c r="K985" s="36" t="n">
        <x:v>2</x:v>
      </x:c>
      <x:c r="L985" s="34" t="str">
        <x:v>final</x:v>
      </x:c>
      <x:c r="M985" s="34" t="str">
        <x:v>article1-unified-v4-2-fb3f101b-20260903-000401-default-f04-p6-caffeine-5-after-final-undeploy-final-10s</x:v>
      </x:c>
      <x:c r="N985" s="38" t="n">
        <x:v>46268.05801460648</x:v>
      </x:c>
      <x:c r="O985" s="36" t="n">
        <x:v>2</x:v>
      </x:c>
      <x:c r="P985" s="43" t="n">
        <x:v>15706112</x:v>
      </x:c>
      <x:c r="Q985" s="43" t="n">
        <x:v>268435456</x:v>
      </x:c>
      <x:c r="R985" s="43" t="n">
        <x:v>427461632</x:v>
      </x:c>
      <x:c r="S985" s="36" t="n">
        <x:v>2</x:v>
      </x:c>
      <x:c r="T985" s="44" t="str">
        <x:v>0x00000000111177b8  0x0000000011003818  0x0000742fa040a0a0    4393  21163008  21148840  org.apache.catalina.loader.ParallelWebappClassLoader | 0x00000000111177b8  0x0000000011003818  0x0000743074607130       0         0         0  org.apache.catalina.loader.ParallelWebappClassLoader</x:v>
      </x:c>
      <x:c r="U985" s="36" t="n">
        <x:v>30</x:v>
      </x:c>
      <x:c r="V985" s="36" t="n">
        <x:v>0</x:v>
      </x:c>
      <x:c r="W985" s="44"/>
      <x:c r="X985" s="36" t="n">
        <x:v>1</x:v>
      </x:c>
      <x:c r="Y985" s="36" t="n">
        <x:v>1</x:v>
      </x:c>
      <x:c r="Z985" s="44" t="str">
        <x:v>/caffeine</x:v>
      </x:c>
      <x:c r="AA985" s="45" t="b">
        <x:v>1</x:v>
      </x:c>
      <x:c r="AB985" s="43"/>
      <x:c r="AC985" s="34" t="str">
        <x:v>article1-unified-v4-2-fb3f101b-20260903-000401-default-f04-p6-caffeine-5-after-final-undeploy-final-10s-heap-info.txt</x:v>
      </x:c>
      <x:c r="AD985" s="34" t="str">
        <x:v>article1-unified-v4-2-fb3f101b-20260903-000401-default-f04-p6-caffeine-5-after-final-undeploy-final-10s-classloader-stats.txt</x:v>
      </x:c>
      <x:c r="AE985" s="34" t="str">
        <x:v>article1-unified-v4-2-fb3f101b-20260903-000401-default-f04-p6-caffeine-5-after-final-undeploy-final-10s-thread-dump.txt</x:v>
      </x:c>
      <x:c r="AF985" s="34"/>
      <x:c r="AG985" s="34" t="str">
        <x:v>article1-unified-v4-2-fb3f101b-20260903-000401-default-f04-p6-caffeine-5-after-final-undeploy-final-10s-native-memory.txt</x:v>
      </x:c>
      <x:c r="AH985" s="34" t="str">
        <x:v>article1-unified-v4-2-fb3f101b-20260903-000401-default-f04-p6-caffeine-5-after-final-undeploy-final-10s-class-histogram.txt</x:v>
      </x:c>
      <x:c r="AI985" s="34" t="str">
        <x:v>article1-unified-v4-2-fb3f101b-20260903-000401-default-f04-p6-caffeine-5-after-final-undeploy-tomcat-findleaks.txt</x:v>
      </x:c>
    </x:row>
    <x:row r="986">
      <x:c r="A986" s="34" t="str">
        <x:v>article1-unified-v4-2-fb3f101b-20260903-000401-default-f05-p1-jcs321</x:v>
      </x:c>
      <x:c r="B986" s="34" t="str">
        <x:v>default</x:v>
      </x:c>
      <x:c r="C986" s="34" t="str">
        <x:v>jcs321</x:v>
      </x:c>
      <x:c r="D986" s="34" t="str">
        <x:v>jcs321</x:v>
      </x:c>
      <x:c r="E986" s="36" t="n">
        <x:v>5</x:v>
      </x:c>
      <x:c r="F986" s="36" t="n">
        <x:v>5</x:v>
      </x:c>
      <x:c r="G986" s="36" t="n">
        <x:v>1</x:v>
      </x:c>
      <x:c r="H986" s="36" t="n">
        <x:v>0</x:v>
      </x:c>
      <x:c r="I986" s="34" t="str">
        <x:v>processBaseline</x:v>
      </x:c>
      <x:c r="J986" s="34" t="str">
        <x:v>process-baseline</x:v>
      </x:c>
      <x:c r="K986" s="36" t="n">
        <x:v>0</x:v>
      </x:c>
      <x:c r="L986" s="34" t="str">
        <x:v>baseline</x:v>
      </x:c>
      <x:c r="M986" s="34" t="str">
        <x:v>article1-unified-v4-2-fb3f101b-20260903-000401-default-f05-p1-jcs321-process-baseline</x:v>
      </x:c>
      <x:c r="N986" s="38" t="n">
        <x:v>46268.05826922454</x:v>
      </x:c>
      <x:c r="O986" s="36" t="n">
        <x:v>0</x:v>
      </x:c>
      <x:c r="P986" s="43" t="n">
        <x:v>32752640</x:v>
      </x:c>
      <x:c r="Q986" s="43" t="n">
        <x:v>270532608</x:v>
      </x:c>
      <x:c r="R986" s="43" t="n">
        <x:v>369291264</x:v>
      </x:c>
      <x:c r="S986" s="36" t="n">
        <x:v>1</x:v>
      </x:c>
      <x:c r="T986" s="44" t="str">
        <x:v>0x000000007d1177b8  0x000000007d003818  0x00007cec58605c50       0         0         0  org.apache.catalina.loader.ParallelWebappClassLoader</x:v>
      </x:c>
      <x:c r="U986" s="36" t="n">
        <x:v>27</x:v>
      </x:c>
      <x:c r="V986" s="36" t="n">
        <x:v>0</x:v>
      </x:c>
      <x:c r="W986" s="44"/>
      <x:c r="X986" s="36"/>
      <x:c r="Y986" s="36"/>
      <x:c r="Z986" s="44"/>
      <x:c r="AA986" s="49"/>
      <x:c r="AB986" s="43"/>
      <x:c r="AC986" s="34" t="str">
        <x:v>article1-unified-v4-2-fb3f101b-20260903-000401-default-f05-p1-jcs321-process-baseline-heap-info.txt</x:v>
      </x:c>
      <x:c r="AD986" s="34" t="str">
        <x:v>article1-unified-v4-2-fb3f101b-20260903-000401-default-f05-p1-jcs321-process-baseline-classloader-stats.txt</x:v>
      </x:c>
      <x:c r="AE986" s="34" t="str">
        <x:v>article1-unified-v4-2-fb3f101b-20260903-000401-default-f05-p1-jcs321-process-baseline-thread-dump.txt</x:v>
      </x:c>
      <x:c r="AF986" s="34"/>
      <x:c r="AG986" s="34" t="str">
        <x:v>article1-unified-v4-2-fb3f101b-20260903-000401-default-f05-p1-jcs321-process-baseline-native-memory.txt</x:v>
      </x:c>
      <x:c r="AH986" s="34"/>
      <x:c r="AI986" s="34"/>
    </x:row>
    <x:row r="987">
      <x:c r="A987" s="34" t="str">
        <x:v>article1-unified-v4-2-fb3f101b-20260903-000401-default-f05-p1-jcs321</x:v>
      </x:c>
      <x:c r="B987" s="34" t="str">
        <x:v>default</x:v>
      </x:c>
      <x:c r="C987" s="34" t="str">
        <x:v>jcs321</x:v>
      </x:c>
      <x:c r="D987" s="34" t="str">
        <x:v>jcs321</x:v>
      </x:c>
      <x:c r="E987" s="36" t="n">
        <x:v>5</x:v>
      </x:c>
      <x:c r="F987" s="36" t="n">
        <x:v>5</x:v>
      </x:c>
      <x:c r="G987" s="36" t="n">
        <x:v>1</x:v>
      </x:c>
      <x:c r="H987" s="36" t="n">
        <x:v>1</x:v>
      </x:c>
      <x:c r="I987" s="34" t="str">
        <x:v>baseline</x:v>
      </x:c>
      <x:c r="J987" s="34" t="str">
        <x:v>cycle-baseline</x:v>
      </x:c>
      <x:c r="K987" s="36" t="n">
        <x:v>0</x:v>
      </x:c>
      <x:c r="L987" s="34" t="str">
        <x:v>baseline</x:v>
      </x:c>
      <x:c r="M987" s="34" t="str">
        <x:v>article1-unified-v4-2-fb3f101b-20260903-000401-default-f05-p1-jcs321-1-baseline</x:v>
      </x:c>
      <x:c r="N987" s="38" t="n">
        <x:v>46268.05847039352</x:v>
      </x:c>
      <x:c r="O987" s="36" t="n">
        <x:v>0</x:v>
      </x:c>
      <x:c r="P987" s="43" t="n">
        <x:v>32752640</x:v>
      </x:c>
      <x:c r="Q987" s="43" t="n">
        <x:v>270532608</x:v>
      </x:c>
      <x:c r="R987" s="43" t="n">
        <x:v>369220608</x:v>
      </x:c>
      <x:c r="S987" s="36" t="n">
        <x:v>1</x:v>
      </x:c>
      <x:c r="T987" s="44" t="str">
        <x:v>0x000000007d1177b8  0x000000007d003818  0x00007cec58605c50       0         0         0  org.apache.catalina.loader.ParallelWebappClassLoader</x:v>
      </x:c>
      <x:c r="U987" s="36" t="n">
        <x:v>27</x:v>
      </x:c>
      <x:c r="V987" s="36" t="n">
        <x:v>0</x:v>
      </x:c>
      <x:c r="W987" s="44"/>
      <x:c r="X987" s="36"/>
      <x:c r="Y987" s="36"/>
      <x:c r="Z987" s="44"/>
      <x:c r="AA987" s="49"/>
      <x:c r="AB987" s="43"/>
      <x:c r="AC987" s="34" t="str">
        <x:v>article1-unified-v4-2-fb3f101b-20260903-000401-default-f05-p1-jcs321-1-baseline-heap-info.txt</x:v>
      </x:c>
      <x:c r="AD987" s="34" t="str">
        <x:v>article1-unified-v4-2-fb3f101b-20260903-000401-default-f05-p1-jcs321-1-baseline-classloader-stats.txt</x:v>
      </x:c>
      <x:c r="AE987" s="34" t="str">
        <x:v>article1-unified-v4-2-fb3f101b-20260903-000401-default-f05-p1-jcs321-1-baseline-thread-dump.txt</x:v>
      </x:c>
      <x:c r="AF987" s="34"/>
      <x:c r="AG987" s="34" t="str">
        <x:v>article1-unified-v4-2-fb3f101b-20260903-000401-default-f05-p1-jcs321-1-baseline-native-memory.txt</x:v>
      </x:c>
      <x:c r="AH987" s="34"/>
      <x:c r="AI987" s="34"/>
    </x:row>
    <x:row r="988">
      <x:c r="A988" s="34" t="str">
        <x:v>article1-unified-v4-2-fb3f101b-20260903-000401-default-f05-p1-jcs321</x:v>
      </x:c>
      <x:c r="B988" s="34" t="str">
        <x:v>default</x:v>
      </x:c>
      <x:c r="C988" s="34" t="str">
        <x:v>jcs321</x:v>
      </x:c>
      <x:c r="D988" s="34" t="str">
        <x:v>jcs321</x:v>
      </x:c>
      <x:c r="E988" s="36" t="n">
        <x:v>5</x:v>
      </x:c>
      <x:c r="F988" s="36" t="n">
        <x:v>5</x:v>
      </x:c>
      <x:c r="G988" s="36" t="n">
        <x:v>1</x:v>
      </x:c>
      <x:c r="H988" s="36" t="n">
        <x:v>1</x:v>
      </x:c>
      <x:c r="I988" s="34" t="str">
        <x:v>deployedIdle</x:v>
      </x:c>
      <x:c r="J988" s="34" t="str">
        <x:v>deployed-idle</x:v>
      </x:c>
      <x:c r="K988" s="36" t="n">
        <x:v>0</x:v>
      </x:c>
      <x:c r="L988" s="34" t="str">
        <x:v>initial</x:v>
      </x:c>
      <x:c r="M988" s="34" t="str">
        <x:v>article1-unified-v4-2-fb3f101b-20260903-000401-default-f05-p1-jcs321-1-deployed-idle</x:v>
      </x:c>
      <x:c r="N988" s="38" t="n">
        <x:v>46268.0585774537</x:v>
      </x:c>
      <x:c r="O988" s="36" t="n">
        <x:v>0</x:v>
      </x:c>
      <x:c r="P988" s="43" t="n">
        <x:v>22608896</x:v>
      </x:c>
      <x:c r="Q988" s="43" t="n">
        <x:v>268435456</x:v>
      </x:c>
      <x:c r="R988" s="43" t="n">
        <x:v>426625024</x:v>
      </x:c>
      <x:c r="S988" s="36" t="n">
        <x:v>2</x:v>
      </x:c>
      <x:c r="T988" s="44" t="str">
        <x:v>0x000000007d1177b8  0x000000007d003818  0x00007cec58605c50       0         0         0  org.apache.catalina.loader.ParallelWebappClassLoader | 0x000000007d1177b8  0x000000007d003818  0x00007cebac11fe50    4091  19418112  19409440  org.apache.catalina.loader.ParallelWebappClassLoader</x:v>
      </x:c>
      <x:c r="U988" s="36" t="n">
        <x:v>27</x:v>
      </x:c>
      <x:c r="V988" s="36" t="n">
        <x:v>0</x:v>
      </x:c>
      <x:c r="W988" s="44"/>
      <x:c r="X988" s="36"/>
      <x:c r="Y988" s="36"/>
      <x:c r="Z988" s="44"/>
      <x:c r="AA988" s="49"/>
      <x:c r="AB988" s="43"/>
      <x:c r="AC988" s="34"/>
      <x:c r="AD988" s="34"/>
      <x:c r="AE988" s="34"/>
      <x:c r="AF988" s="34"/>
      <x:c r="AG988" s="34"/>
      <x:c r="AH988" s="34"/>
      <x:c r="AI988" s="34"/>
    </x:row>
    <x:row r="989">
      <x:c r="A989" s="34" t="str">
        <x:v>article1-unified-v4-2-fb3f101b-20260903-000401-default-f05-p1-jcs321</x:v>
      </x:c>
      <x:c r="B989" s="34" t="str">
        <x:v>default</x:v>
      </x:c>
      <x:c r="C989" s="34" t="str">
        <x:v>jcs321</x:v>
      </x:c>
      <x:c r="D989" s="34" t="str">
        <x:v>jcs321</x:v>
      </x:c>
      <x:c r="E989" s="36" t="n">
        <x:v>5</x:v>
      </x:c>
      <x:c r="F989" s="36" t="n">
        <x:v>5</x:v>
      </x:c>
      <x:c r="G989" s="36" t="n">
        <x:v>1</x:v>
      </x:c>
      <x:c r="H989" s="36" t="n">
        <x:v>1</x:v>
      </x:c>
      <x:c r="I989" s="34" t="str">
        <x:v>loaded</x:v>
      </x:c>
      <x:c r="J989" s="34" t="str">
        <x:v>loaded</x:v>
      </x:c>
      <x:c r="K989" s="36" t="n">
        <x:v>0</x:v>
      </x:c>
      <x:c r="L989" s="34" t="str">
        <x:v>initial</x:v>
      </x:c>
      <x:c r="M989" s="34" t="str">
        <x:v>article1-unified-v4-2-fb3f101b-20260903-000401-default-f05-p1-jcs321-1-loaded</x:v>
      </x:c>
      <x:c r="N989" s="38" t="n">
        <x:v>46268.05873024306</x:v>
      </x:c>
      <x:c r="O989" s="36" t="n">
        <x:v>0</x:v>
      </x:c>
      <x:c r="P989" s="43" t="n">
        <x:v>135106560</x:v>
      </x:c>
      <x:c r="Q989" s="43" t="n">
        <x:v>268435456</x:v>
      </x:c>
      <x:c r="R989" s="43" t="n">
        <x:v>413175808</x:v>
      </x:c>
      <x:c r="S989" s="36" t="n">
        <x:v>2</x:v>
      </x:c>
      <x:c r="T989" s="44" t="str">
        <x:v>0x000000007d1177b8  0x000000007d003818  0x00007cec58605c50       0         0         0  org.apache.catalina.loader.ParallelWebappClassLoader | 0x000000007d1177b8  0x000000007d003818  0x00007cebac11fe50    4436  20946944  20942152  org.apache.catalina.loader.ParallelWebappClassLoader</x:v>
      </x:c>
      <x:c r="U989" s="36" t="n">
        <x:v>28</x:v>
      </x:c>
      <x:c r="V989" s="36" t="n">
        <x:v>1</x:v>
      </x:c>
      <x:c r="W989" s="44" t="str">
        <x:v>jcs3-element-event-queue:JCS-ElementEventQueue-Thread-4#49</x:v>
      </x:c>
      <x:c r="X989" s="36"/>
      <x:c r="Y989" s="36"/>
      <x:c r="Z989" s="44"/>
      <x:c r="AA989" s="49"/>
      <x:c r="AB989" s="43"/>
      <x:c r="AC989" s="34"/>
      <x:c r="AD989" s="34"/>
      <x:c r="AE989" s="34"/>
      <x:c r="AF989" s="34"/>
      <x:c r="AG989" s="34"/>
      <x:c r="AH989" s="34"/>
      <x:c r="AI989" s="34"/>
    </x:row>
    <x:row r="990">
      <x:c r="A990" s="34" t="str">
        <x:v>article1-unified-v4-2-fb3f101b-20260903-000401-default-f05-p1-jcs321</x:v>
      </x:c>
      <x:c r="B990" s="34" t="str">
        <x:v>default</x:v>
      </x:c>
      <x:c r="C990" s="34" t="str">
        <x:v>jcs321</x:v>
      </x:c>
      <x:c r="D990" s="34" t="str">
        <x:v>jcs321</x:v>
      </x:c>
      <x:c r="E990" s="36" t="n">
        <x:v>5</x:v>
      </x:c>
      <x:c r="F990" s="36" t="n">
        <x:v>5</x:v>
      </x:c>
      <x:c r="G990" s="36" t="n">
        <x:v>1</x:v>
      </x:c>
      <x:c r="H990" s="36" t="n">
        <x:v>1</x:v>
      </x:c>
      <x:c r="I990" s="34" t="str">
        <x:v>afterUndeployEarly</x:v>
      </x:c>
      <x:c r="J990" s="34" t="str">
        <x:v>after-undeploy-early</x:v>
      </x:c>
      <x:c r="K990" s="36" t="n">
        <x:v>1</x:v>
      </x:c>
      <x:c r="L990" s="34" t="str">
        <x:v>early</x:v>
      </x:c>
      <x:c r="M990" s="34" t="str">
        <x:v>article1-unified-v4-2-fb3f101b-20260903-000401-default-f05-p1-jcs321-1-after-undeploy-early-2s</x:v>
      </x:c>
      <x:c r="N990" s="38" t="n">
        <x:v>46268.05881606481</x:v>
      </x:c>
      <x:c r="O990" s="36"/>
      <x:c r="P990" s="43"/>
      <x:c r="Q990" s="43"/>
      <x:c r="R990" s="43"/>
      <x:c r="S990" s="36"/>
      <x:c r="T990" s="44"/>
      <x:c r="U990" s="36" t="n">
        <x:v>28</x:v>
      </x:c>
      <x:c r="V990" s="36" t="n">
        <x:v>1</x:v>
      </x:c>
      <x:c r="W990" s="44" t="str">
        <x:v>jcs3-element-event-queue:JCS-ElementEventQueue-Thread-4#49</x:v>
      </x:c>
      <x:c r="X990" s="36"/>
      <x:c r="Y990" s="36"/>
      <x:c r="Z990" s="44"/>
      <x:c r="AA990" s="49"/>
      <x:c r="AB990" s="43" t="n">
        <x:v>17</x:v>
      </x:c>
      <x:c r="AC990" s="34"/>
      <x:c r="AD990" s="34"/>
      <x:c r="AE990" s="34" t="str">
        <x:v>article1-unified-v4-2-fb3f101b-20260903-000401-default-f05-p1-jcs321-1-after-undeploy-early-2s-thread-dump.txt</x:v>
      </x:c>
      <x:c r="AF990" s="34" t="str">
        <x:v>article1-unified-v4-2-fb3f101b-20260903-000401-default-f05-p1-jcs321-1-after-undeploy-early-tomcat-log.txt</x:v>
      </x:c>
      <x:c r="AG990" s="34"/>
      <x:c r="AH990" s="34"/>
      <x:c r="AI990" s="34"/>
    </x:row>
    <x:row r="991">
      <x:c r="A991" s="34" t="str">
        <x:v>article1-unified-v4-2-fb3f101b-20260903-000401-default-f05-p1-jcs321</x:v>
      </x:c>
      <x:c r="B991" s="34" t="str">
        <x:v>default</x:v>
      </x:c>
      <x:c r="C991" s="34" t="str">
        <x:v>jcs321</x:v>
      </x:c>
      <x:c r="D991" s="34" t="str">
        <x:v>jcs321</x:v>
      </x:c>
      <x:c r="E991" s="36" t="n">
        <x:v>5</x:v>
      </x:c>
      <x:c r="F991" s="36" t="n">
        <x:v>5</x:v>
      </x:c>
      <x:c r="G991" s="36" t="n">
        <x:v>1</x:v>
      </x:c>
      <x:c r="H991" s="36" t="n">
        <x:v>1</x:v>
      </x:c>
      <x:c r="I991" s="34" t="str">
        <x:v>afterUndeploy</x:v>
      </x:c>
      <x:c r="J991" s="34" t="str">
        <x:v>after-undeploy-final</x:v>
      </x:c>
      <x:c r="K991" s="36" t="n">
        <x:v>1</x:v>
      </x:c>
      <x:c r="L991" s="34" t="str">
        <x:v>final</x:v>
      </x:c>
      <x:c r="M991" s="34" t="str">
        <x:v>article1-unified-v4-2-fb3f101b-20260903-000401-default-f05-p1-jcs321-1-after-undeploy-final-10s</x:v>
      </x:c>
      <x:c r="N991" s="38" t="n">
        <x:v>46268.058976099535</x:v>
      </x:c>
      <x:c r="O991" s="36" t="n">
        <x:v>2</x:v>
      </x:c>
      <x:c r="P991" s="43" t="n">
        <x:v>15771648</x:v>
      </x:c>
      <x:c r="Q991" s="43" t="n">
        <x:v>268435456</x:v>
      </x:c>
      <x:c r="R991" s="43" t="n">
        <x:v>408942592</x:v>
      </x:c>
      <x:c r="S991" s="36" t="n">
        <x:v>2</x:v>
      </x:c>
      <x:c r="T991" s="44" t="str">
        <x:v>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</x:v>
      </x:c>
      <x:c r="U991" s="36" t="n">
        <x:v>28</x:v>
      </x:c>
      <x:c r="V991" s="36" t="n">
        <x:v>1</x:v>
      </x:c>
      <x:c r="W991" s="44" t="str">
        <x:v>jcs3-element-event-queue:JCS-ElementEventQueue-Thread-4#49</x:v>
      </x:c>
      <x:c r="X991" s="36" t="n">
        <x:v>1</x:v>
      </x:c>
      <x:c r="Y991" s="36" t="n">
        <x:v>1</x:v>
      </x:c>
      <x:c r="Z991" s="44" t="str">
        <x:v>/jcs321</x:v>
      </x:c>
      <x:c r="AA991" s="45" t="b">
        <x:v>1</x:v>
      </x:c>
      <x:c r="AB991" s="43"/>
      <x:c r="AC991" s="34" t="str">
        <x:v>article1-unified-v4-2-fb3f101b-20260903-000401-default-f05-p1-jcs321-1-after-undeploy-final-10s-heap-info.txt</x:v>
      </x:c>
      <x:c r="AD991" s="34" t="str">
        <x:v>article1-unified-v4-2-fb3f101b-20260903-000401-default-f05-p1-jcs321-1-after-undeploy-final-10s-classloader-stats.txt</x:v>
      </x:c>
      <x:c r="AE991" s="34" t="str">
        <x:v>article1-unified-v4-2-fb3f101b-20260903-000401-default-f05-p1-jcs321-1-after-undeploy-final-10s-thread-dump.txt</x:v>
      </x:c>
      <x:c r="AF991" s="34"/>
      <x:c r="AG991" s="34" t="str">
        <x:v>article1-unified-v4-2-fb3f101b-20260903-000401-default-f05-p1-jcs321-1-after-undeploy-final-10s-native-memory.txt</x:v>
      </x:c>
      <x:c r="AH991" s="34" t="str">
        <x:v>article1-unified-v4-2-fb3f101b-20260903-000401-default-f05-p1-jcs321-1-after-undeploy-final-10s-class-histogram.txt</x:v>
      </x:c>
      <x:c r="AI991" s="34" t="str">
        <x:v>article1-unified-v4-2-fb3f101b-20260903-000401-default-f05-p1-jcs321-1-after-undeploy-tomcat-findleaks.txt</x:v>
      </x:c>
    </x:row>
    <x:row r="992">
      <x:c r="A992" s="34" t="str">
        <x:v>article1-unified-v4-2-fb3f101b-20260903-000401-default-f05-p1-jcs321</x:v>
      </x:c>
      <x:c r="B992" s="34" t="str">
        <x:v>default</x:v>
      </x:c>
      <x:c r="C992" s="34" t="str">
        <x:v>jcs321</x:v>
      </x:c>
      <x:c r="D992" s="34" t="str">
        <x:v>jcs321</x:v>
      </x:c>
      <x:c r="E992" s="36" t="n">
        <x:v>5</x:v>
      </x:c>
      <x:c r="F992" s="36" t="n">
        <x:v>5</x:v>
      </x:c>
      <x:c r="G992" s="36" t="n">
        <x:v>1</x:v>
      </x:c>
      <x:c r="H992" s="36" t="n">
        <x:v>1</x:v>
      </x:c>
      <x:c r="I992" s="34" t="str">
        <x:v>redeployedLoaded</x:v>
      </x:c>
      <x:c r="J992" s="34" t="str">
        <x:v>redeployed-loaded</x:v>
      </x:c>
      <x:c r="K992" s="36" t="n">
        <x:v>0</x:v>
      </x:c>
      <x:c r="L992" s="34" t="str">
        <x:v>redeploy</x:v>
      </x:c>
      <x:c r="M992" s="34" t="str">
        <x:v>article1-unified-v4-2-fb3f101b-20260903-000401-default-f05-p1-jcs321-1-redeployed-loaded</x:v>
      </x:c>
      <x:c r="N992" s="38" t="n">
        <x:v>46268.05923225694</x:v>
      </x:c>
      <x:c r="O992" s="36" t="n">
        <x:v>0</x:v>
      </x:c>
      <x:c r="P992" s="43" t="n">
        <x:v>126699520</x:v>
      </x:c>
      <x:c r="Q992" s="43" t="n">
        <x:v>268435456</x:v>
      </x:c>
      <x:c r="R992" s="43" t="n">
        <x:v>437028864</x:v>
      </x:c>
      <x:c r="S992" s="36" t="n">
        <x:v>3</x:v>
      </x:c>
      <x:c r="T992" s="44" t="str">
        <x:v>0x000000007d1177b8  0x000000007d003818  0x00007cebac3de040    4420  20999168  20987624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</x:v>
      </x:c>
      <x:c r="U992" s="36" t="n">
        <x:v>29</x:v>
      </x:c>
      <x:c r="V992" s="36" t="n">
        <x:v>2</x:v>
      </x:c>
      <x:c r="W992" s="44" t="str">
        <x:v>jcs3-element-event-queue:JCS-ElementEventQueue-Thread-4#49 | jcs3-element-event-queue:JCS-ElementEventQueue-Thread-7#91</x:v>
      </x:c>
      <x:c r="X992" s="36"/>
      <x:c r="Y992" s="36"/>
      <x:c r="Z992" s="44"/>
      <x:c r="AA992" s="49"/>
      <x:c r="AB992" s="43"/>
      <x:c r="AC992" s="34"/>
      <x:c r="AD992" s="34"/>
      <x:c r="AE992" s="34"/>
      <x:c r="AF992" s="34"/>
      <x:c r="AG992" s="34"/>
      <x:c r="AH992" s="34"/>
      <x:c r="AI992" s="34"/>
    </x:row>
    <x:row r="993">
      <x:c r="A993" s="34" t="str">
        <x:v>article1-unified-v4-2-fb3f101b-20260903-000401-default-f05-p1-jcs321</x:v>
      </x:c>
      <x:c r="B993" s="34" t="str">
        <x:v>default</x:v>
      </x:c>
      <x:c r="C993" s="34" t="str">
        <x:v>jcs321</x:v>
      </x:c>
      <x:c r="D993" s="34" t="str">
        <x:v>jcs321</x:v>
      </x:c>
      <x:c r="E993" s="36" t="n">
        <x:v>5</x:v>
      </x:c>
      <x:c r="F993" s="36" t="n">
        <x:v>5</x:v>
      </x:c>
      <x:c r="G993" s="36" t="n">
        <x:v>1</x:v>
      </x:c>
      <x:c r="H993" s="36" t="n">
        <x:v>1</x:v>
      </x:c>
      <x:c r="I993" s="34" t="str">
        <x:v>afterFinalUndeployEarly</x:v>
      </x:c>
      <x:c r="J993" s="34" t="str">
        <x:v>after-final-undeploy-early</x:v>
      </x:c>
      <x:c r="K993" s="36" t="n">
        <x:v>2</x:v>
      </x:c>
      <x:c r="L993" s="34" t="str">
        <x:v>early</x:v>
      </x:c>
      <x:c r="M993" s="34" t="str">
        <x:v>article1-unified-v4-2-fb3f101b-20260903-000401-default-f05-p1-jcs321-1-after-final-undeploy-early-2s</x:v>
      </x:c>
      <x:c r="N993" s="38" t="n">
        <x:v>46268.05931473379</x:v>
      </x:c>
      <x:c r="O993" s="36"/>
      <x:c r="P993" s="43"/>
      <x:c r="Q993" s="43"/>
      <x:c r="R993" s="43"/>
      <x:c r="S993" s="36"/>
      <x:c r="T993" s="44"/>
      <x:c r="U993" s="36" t="n">
        <x:v>29</x:v>
      </x:c>
      <x:c r="V993" s="36" t="n">
        <x:v>2</x:v>
      </x:c>
      <x:c r="W993" s="44" t="str">
        <x:v>jcs3-element-event-queue:JCS-ElementEventQueue-Thread-4#49 | jcs3-element-event-queue:JCS-ElementEventQueue-Thread-7#91</x:v>
      </x:c>
      <x:c r="X993" s="36"/>
      <x:c r="Y993" s="36"/>
      <x:c r="Z993" s="44"/>
      <x:c r="AA993" s="49"/>
      <x:c r="AB993" s="43" t="n">
        <x:v>17</x:v>
      </x:c>
      <x:c r="AC993" s="34"/>
      <x:c r="AD993" s="34"/>
      <x:c r="AE993" s="34" t="str">
        <x:v>article1-unified-v4-2-fb3f101b-20260903-000401-default-f05-p1-jcs321-1-after-final-undeploy-early-2s-thread-dump.txt</x:v>
      </x:c>
      <x:c r="AF993" s="34" t="str">
        <x:v>article1-unified-v4-2-fb3f101b-20260903-000401-default-f05-p1-jcs321-1-after-final-undeploy-early-tomcat-log.txt</x:v>
      </x:c>
      <x:c r="AG993" s="34"/>
      <x:c r="AH993" s="34"/>
      <x:c r="AI993" s="34"/>
    </x:row>
    <x:row r="994">
      <x:c r="A994" s="34" t="str">
        <x:v>article1-unified-v4-2-fb3f101b-20260903-000401-default-f05-p1-jcs321</x:v>
      </x:c>
      <x:c r="B994" s="34" t="str">
        <x:v>default</x:v>
      </x:c>
      <x:c r="C994" s="34" t="str">
        <x:v>jcs321</x:v>
      </x:c>
      <x:c r="D994" s="34" t="str">
        <x:v>jcs321</x:v>
      </x:c>
      <x:c r="E994" s="36" t="n">
        <x:v>5</x:v>
      </x:c>
      <x:c r="F994" s="36" t="n">
        <x:v>5</x:v>
      </x:c>
      <x:c r="G994" s="36" t="n">
        <x:v>1</x:v>
      </x:c>
      <x:c r="H994" s="36" t="n">
        <x:v>1</x:v>
      </x:c>
      <x:c r="I994" s="34" t="str">
        <x:v>afterFinalUndeploy</x:v>
      </x:c>
      <x:c r="J994" s="34" t="str">
        <x:v>after-final-undeploy-final</x:v>
      </x:c>
      <x:c r="K994" s="36" t="n">
        <x:v>2</x:v>
      </x:c>
      <x:c r="L994" s="34" t="str">
        <x:v>final</x:v>
      </x:c>
      <x:c r="M994" s="34" t="str">
        <x:v>article1-unified-v4-2-fb3f101b-20260903-000401-default-f05-p1-jcs321-1-after-final-undeploy-final-10s</x:v>
      </x:c>
      <x:c r="N994" s="38" t="n">
        <x:v>46268.05947082176</x:v>
      </x:c>
      <x:c r="O994" s="36" t="n">
        <x:v>2</x:v>
      </x:c>
      <x:c r="P994" s="43" t="n">
        <x:v>19838976</x:v>
      </x:c>
      <x:c r="Q994" s="43" t="n">
        <x:v>268435456</x:v>
      </x:c>
      <x:c r="R994" s="43" t="n">
        <x:v>435896320</x:v>
      </x:c>
      <x:c r="S994" s="36" t="n">
        <x:v>3</x:v>
      </x:c>
      <x:c r="T994" s="44" t="str">
        <x:v>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</x:v>
      </x:c>
      <x:c r="U994" s="36" t="n">
        <x:v>29</x:v>
      </x:c>
      <x:c r="V994" s="36" t="n">
        <x:v>2</x:v>
      </x:c>
      <x:c r="W994" s="44" t="str">
        <x:v>jcs3-element-event-queue:JCS-ElementEventQueue-Thread-4#49 | jcs3-element-event-queue:JCS-ElementEventQueue-Thread-7#91</x:v>
      </x:c>
      <x:c r="X994" s="36" t="n">
        <x:v>2</x:v>
      </x:c>
      <x:c r="Y994" s="36" t="n">
        <x:v>2</x:v>
      </x:c>
      <x:c r="Z994" s="44" t="str">
        <x:v>/jcs321</x:v>
      </x:c>
      <x:c r="AA994" s="45" t="b">
        <x:v>1</x:v>
      </x:c>
      <x:c r="AB994" s="43"/>
      <x:c r="AC994" s="34" t="str">
        <x:v>article1-unified-v4-2-fb3f101b-20260903-000401-default-f05-p1-jcs321-1-after-final-undeploy-final-10s-heap-info.txt</x:v>
      </x:c>
      <x:c r="AD994" s="34" t="str">
        <x:v>article1-unified-v4-2-fb3f101b-20260903-000401-default-f05-p1-jcs321-1-after-final-undeploy-final-10s-classloader-stats.txt</x:v>
      </x:c>
      <x:c r="AE994" s="34" t="str">
        <x:v>article1-unified-v4-2-fb3f101b-20260903-000401-default-f05-p1-jcs321-1-after-final-undeploy-final-10s-thread-dump.txt</x:v>
      </x:c>
      <x:c r="AF994" s="34"/>
      <x:c r="AG994" s="34" t="str">
        <x:v>article1-unified-v4-2-fb3f101b-20260903-000401-default-f05-p1-jcs321-1-after-final-undeploy-final-10s-native-memory.txt</x:v>
      </x:c>
      <x:c r="AH994" s="34" t="str">
        <x:v>article1-unified-v4-2-fb3f101b-20260903-000401-default-f05-p1-jcs321-1-after-final-undeploy-final-10s-class-histogram.txt</x:v>
      </x:c>
      <x:c r="AI994" s="34" t="str">
        <x:v>article1-unified-v4-2-fb3f101b-20260903-000401-default-f05-p1-jcs321-1-after-final-undeploy-tomcat-findleaks.txt</x:v>
      </x:c>
    </x:row>
    <x:row r="995">
      <x:c r="A995" s="34" t="str">
        <x:v>article1-unified-v4-2-fb3f101b-20260903-000401-default-f05-p1-jcs321</x:v>
      </x:c>
      <x:c r="B995" s="34" t="str">
        <x:v>default</x:v>
      </x:c>
      <x:c r="C995" s="34" t="str">
        <x:v>jcs321</x:v>
      </x:c>
      <x:c r="D995" s="34" t="str">
        <x:v>jcs321</x:v>
      </x:c>
      <x:c r="E995" s="36" t="n">
        <x:v>5</x:v>
      </x:c>
      <x:c r="F995" s="36" t="n">
        <x:v>5</x:v>
      </x:c>
      <x:c r="G995" s="36" t="n">
        <x:v>1</x:v>
      </x:c>
      <x:c r="H995" s="36" t="n">
        <x:v>2</x:v>
      </x:c>
      <x:c r="I995" s="34" t="str">
        <x:v>baseline</x:v>
      </x:c>
      <x:c r="J995" s="34" t="str">
        <x:v>cycle-baseline</x:v>
      </x:c>
      <x:c r="K995" s="36" t="n">
        <x:v>0</x:v>
      </x:c>
      <x:c r="L995" s="34" t="str">
        <x:v>baseline</x:v>
      </x:c>
      <x:c r="M995" s="34" t="str">
        <x:v>article1-unified-v4-2-fb3f101b-20260903-000401-default-f05-p1-jcs321-2-baseline</x:v>
      </x:c>
      <x:c r="N995" s="38" t="n">
        <x:v>46268.05951341435</x:v>
      </x:c>
      <x:c r="O995" s="36" t="n">
        <x:v>0</x:v>
      </x:c>
      <x:c r="P995" s="43" t="n">
        <x:v>19838976</x:v>
      </x:c>
      <x:c r="Q995" s="43" t="n">
        <x:v>268435456</x:v>
      </x:c>
      <x:c r="R995" s="43" t="n">
        <x:v>435796992</x:v>
      </x:c>
      <x:c r="S995" s="36" t="n">
        <x:v>3</x:v>
      </x:c>
      <x:c r="T995" s="44" t="str">
        <x:v>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</x:v>
      </x:c>
      <x:c r="U995" s="36" t="n">
        <x:v>29</x:v>
      </x:c>
      <x:c r="V995" s="36" t="n">
        <x:v>2</x:v>
      </x:c>
      <x:c r="W995" s="44" t="str">
        <x:v>jcs3-element-event-queue:JCS-ElementEventQueue-Thread-4#49 | jcs3-element-event-queue:JCS-ElementEventQueue-Thread-7#91</x:v>
      </x:c>
      <x:c r="X995" s="36"/>
      <x:c r="Y995" s="36"/>
      <x:c r="Z995" s="44"/>
      <x:c r="AA995" s="49"/>
      <x:c r="AB995" s="43"/>
      <x:c r="AC995" s="34" t="str">
        <x:v>article1-unified-v4-2-fb3f101b-20260903-000401-default-f05-p1-jcs321-2-baseline-heap-info.txt</x:v>
      </x:c>
      <x:c r="AD995" s="34" t="str">
        <x:v>article1-unified-v4-2-fb3f101b-20260903-000401-default-f05-p1-jcs321-2-baseline-classloader-stats.txt</x:v>
      </x:c>
      <x:c r="AE995" s="34" t="str">
        <x:v>article1-unified-v4-2-fb3f101b-20260903-000401-default-f05-p1-jcs321-2-baseline-thread-dump.txt</x:v>
      </x:c>
      <x:c r="AF995" s="34"/>
      <x:c r="AG995" s="34" t="str">
        <x:v>article1-unified-v4-2-fb3f101b-20260903-000401-default-f05-p1-jcs321-2-baseline-native-memory.txt</x:v>
      </x:c>
      <x:c r="AH995" s="34"/>
      <x:c r="AI995" s="34"/>
    </x:row>
    <x:row r="996">
      <x:c r="A996" s="34" t="str">
        <x:v>article1-unified-v4-2-fb3f101b-20260903-000401-default-f05-p1-jcs321</x:v>
      </x:c>
      <x:c r="B996" s="34" t="str">
        <x:v>default</x:v>
      </x:c>
      <x:c r="C996" s="34" t="str">
        <x:v>jcs321</x:v>
      </x:c>
      <x:c r="D996" s="34" t="str">
        <x:v>jcs321</x:v>
      </x:c>
      <x:c r="E996" s="36" t="n">
        <x:v>5</x:v>
      </x:c>
      <x:c r="F996" s="36" t="n">
        <x:v>5</x:v>
      </x:c>
      <x:c r="G996" s="36" t="n">
        <x:v>1</x:v>
      </x:c>
      <x:c r="H996" s="36" t="n">
        <x:v>2</x:v>
      </x:c>
      <x:c r="I996" s="34" t="str">
        <x:v>deployedIdle</x:v>
      </x:c>
      <x:c r="J996" s="34" t="str">
        <x:v>deployed-idle</x:v>
      </x:c>
      <x:c r="K996" s="36" t="n">
        <x:v>0</x:v>
      </x:c>
      <x:c r="L996" s="34" t="str">
        <x:v>initial</x:v>
      </x:c>
      <x:c r="M996" s="34" t="str">
        <x:v>article1-unified-v4-2-fb3f101b-20260903-000401-default-f05-p1-jcs321-2-deployed-idle</x:v>
      </x:c>
      <x:c r="N996" s="38" t="n">
        <x:v>46268.05961391204</x:v>
      </x:c>
      <x:c r="O996" s="36" t="n">
        <x:v>0</x:v>
      </x:c>
      <x:c r="P996" s="43" t="n">
        <x:v>174199808</x:v>
      </x:c>
      <x:c r="Q996" s="43" t="n">
        <x:v>268435456</x:v>
      </x:c>
      <x:c r="R996" s="43" t="n">
        <x:v>477386752</x:v>
      </x:c>
      <x:c r="S996" s="36" t="n">
        <x:v>4</x:v>
      </x:c>
      <x:c r="T996" s="44" t="str">
        <x:v>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 | 0x000000007d1177b8  0x000000007d003818  0x00007ceb8400daf0    4091  19458048  19428824  org.apache.catalina.loader.ParallelWebappClassLoader</x:v>
      </x:c>
      <x:c r="U996" s="36" t="n">
        <x:v>29</x:v>
      </x:c>
      <x:c r="V996" s="36" t="n">
        <x:v>2</x:v>
      </x:c>
      <x:c r="W996" s="44" t="str">
        <x:v>jcs3-element-event-queue:JCS-ElementEventQueue-Thread-4#49 | jcs3-element-event-queue:JCS-ElementEventQueue-Thread-7#91</x:v>
      </x:c>
      <x:c r="X996" s="36"/>
      <x:c r="Y996" s="36"/>
      <x:c r="Z996" s="44"/>
      <x:c r="AA996" s="49"/>
      <x:c r="AB996" s="43"/>
      <x:c r="AC996" s="34"/>
      <x:c r="AD996" s="34"/>
      <x:c r="AE996" s="34"/>
      <x:c r="AF996" s="34"/>
      <x:c r="AG996" s="34"/>
      <x:c r="AH996" s="34"/>
      <x:c r="AI996" s="34"/>
    </x:row>
    <x:row r="997">
      <x:c r="A997" s="34" t="str">
        <x:v>article1-unified-v4-2-fb3f101b-20260903-000401-default-f05-p1-jcs321</x:v>
      </x:c>
      <x:c r="B997" s="34" t="str">
        <x:v>default</x:v>
      </x:c>
      <x:c r="C997" s="34" t="str">
        <x:v>jcs321</x:v>
      </x:c>
      <x:c r="D997" s="34" t="str">
        <x:v>jcs321</x:v>
      </x:c>
      <x:c r="E997" s="36" t="n">
        <x:v>5</x:v>
      </x:c>
      <x:c r="F997" s="36" t="n">
        <x:v>5</x:v>
      </x:c>
      <x:c r="G997" s="36" t="n">
        <x:v>1</x:v>
      </x:c>
      <x:c r="H997" s="36" t="n">
        <x:v>2</x:v>
      </x:c>
      <x:c r="I997" s="34" t="str">
        <x:v>loaded</x:v>
      </x:c>
      <x:c r="J997" s="34" t="str">
        <x:v>loaded</x:v>
      </x:c>
      <x:c r="K997" s="36" t="n">
        <x:v>0</x:v>
      </x:c>
      <x:c r="L997" s="34" t="str">
        <x:v>initial</x:v>
      </x:c>
      <x:c r="M997" s="34" t="str">
        <x:v>article1-unified-v4-2-fb3f101b-20260903-000401-default-f05-p1-jcs321-2-loaded</x:v>
      </x:c>
      <x:c r="N997" s="38" t="n">
        <x:v>46268.0597662037</x:v>
      </x:c>
      <x:c r="O997" s="36" t="n">
        <x:v>0</x:v>
      </x:c>
      <x:c r="P997" s="43" t="n">
        <x:v>133135360</x:v>
      </x:c>
      <x:c r="Q997" s="43" t="n">
        <x:v>268435456</x:v>
      </x:c>
      <x:c r="R997" s="43" t="n">
        <x:v>463105024</x:v>
      </x:c>
      <x:c r="S997" s="36" t="n">
        <x:v>4</x:v>
      </x:c>
      <x:c r="T997" s="44" t="str">
        <x:v>0x000000007d1177b8  0x000000007d003818  0x00007ceb8400daf0    4416  20997120  20974984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</x:v>
      </x:c>
      <x:c r="U997" s="36" t="n">
        <x:v>30</x:v>
      </x:c>
      <x:c r="V997" s="36" t="n">
        <x:v>3</x:v>
      </x:c>
      <x:c r="W997" s="44" t="str">
        <x:v>jcs3-element-event-queue:JCS-ElementEventQueue-Thread-4#49 | jcs3-element-event-queue:JCS-ElementEventQueue-Thread-7#91 | jcs3-element-event-queue:JCS-ElementEventQueue-Thread-10#133</x:v>
      </x:c>
      <x:c r="X997" s="36"/>
      <x:c r="Y997" s="36"/>
      <x:c r="Z997" s="44"/>
      <x:c r="AA997" s="49"/>
      <x:c r="AB997" s="43"/>
      <x:c r="AC997" s="34"/>
      <x:c r="AD997" s="34"/>
      <x:c r="AE997" s="34"/>
      <x:c r="AF997" s="34"/>
      <x:c r="AG997" s="34"/>
      <x:c r="AH997" s="34"/>
      <x:c r="AI997" s="34"/>
    </x:row>
    <x:row r="998">
      <x:c r="A998" s="34" t="str">
        <x:v>article1-unified-v4-2-fb3f101b-20260903-000401-default-f05-p1-jcs321</x:v>
      </x:c>
      <x:c r="B998" s="34" t="str">
        <x:v>default</x:v>
      </x:c>
      <x:c r="C998" s="34" t="str">
        <x:v>jcs321</x:v>
      </x:c>
      <x:c r="D998" s="34" t="str">
        <x:v>jcs321</x:v>
      </x:c>
      <x:c r="E998" s="36" t="n">
        <x:v>5</x:v>
      </x:c>
      <x:c r="F998" s="36" t="n">
        <x:v>5</x:v>
      </x:c>
      <x:c r="G998" s="36" t="n">
        <x:v>1</x:v>
      </x:c>
      <x:c r="H998" s="36" t="n">
        <x:v>2</x:v>
      </x:c>
      <x:c r="I998" s="34" t="str">
        <x:v>afterUndeployEarly</x:v>
      </x:c>
      <x:c r="J998" s="34" t="str">
        <x:v>after-undeploy-early</x:v>
      </x:c>
      <x:c r="K998" s="36" t="n">
        <x:v>1</x:v>
      </x:c>
      <x:c r="L998" s="34" t="str">
        <x:v>early</x:v>
      </x:c>
      <x:c r="M998" s="34" t="str">
        <x:v>article1-unified-v4-2-fb3f101b-20260903-000401-default-f05-p1-jcs321-2-after-undeploy-early-2s</x:v>
      </x:c>
      <x:c r="N998" s="38" t="n">
        <x:v>46268.059846875</x:v>
      </x:c>
      <x:c r="O998" s="36"/>
      <x:c r="P998" s="43"/>
      <x:c r="Q998" s="43"/>
      <x:c r="R998" s="43"/>
      <x:c r="S998" s="36"/>
      <x:c r="T998" s="44"/>
      <x:c r="U998" s="36" t="n">
        <x:v>30</x:v>
      </x:c>
      <x:c r="V998" s="36" t="n">
        <x:v>3</x:v>
      </x:c>
      <x:c r="W998" s="44" t="str">
        <x:v>jcs3-element-event-queue:JCS-ElementEventQueue-Thread-4#49 | jcs3-element-event-queue:JCS-ElementEventQueue-Thread-7#91 | jcs3-element-event-queue:JCS-ElementEventQueue-Thread-10#133</x:v>
      </x:c>
      <x:c r="X998" s="36"/>
      <x:c r="Y998" s="36"/>
      <x:c r="Z998" s="44"/>
      <x:c r="AA998" s="49"/>
      <x:c r="AB998" s="43" t="n">
        <x:v>17</x:v>
      </x:c>
      <x:c r="AC998" s="34"/>
      <x:c r="AD998" s="34"/>
      <x:c r="AE998" s="34" t="str">
        <x:v>article1-unified-v4-2-fb3f101b-20260903-000401-default-f05-p1-jcs321-2-after-undeploy-early-2s-thread-dump.txt</x:v>
      </x:c>
      <x:c r="AF998" s="34" t="str">
        <x:v>article1-unified-v4-2-fb3f101b-20260903-000401-default-f05-p1-jcs321-2-after-undeploy-early-tomcat-log.txt</x:v>
      </x:c>
      <x:c r="AG998" s="34"/>
      <x:c r="AH998" s="34"/>
      <x:c r="AI998" s="34"/>
    </x:row>
    <x:row r="999">
      <x:c r="A999" s="34" t="str">
        <x:v>article1-unified-v4-2-fb3f101b-20260903-000401-default-f05-p1-jcs321</x:v>
      </x:c>
      <x:c r="B999" s="34" t="str">
        <x:v>default</x:v>
      </x:c>
      <x:c r="C999" s="34" t="str">
        <x:v>jcs321</x:v>
      </x:c>
      <x:c r="D999" s="34" t="str">
        <x:v>jcs321</x:v>
      </x:c>
      <x:c r="E999" s="36" t="n">
        <x:v>5</x:v>
      </x:c>
      <x:c r="F999" s="36" t="n">
        <x:v>5</x:v>
      </x:c>
      <x:c r="G999" s="36" t="n">
        <x:v>1</x:v>
      </x:c>
      <x:c r="H999" s="36" t="n">
        <x:v>2</x:v>
      </x:c>
      <x:c r="I999" s="34" t="str">
        <x:v>afterUndeploy</x:v>
      </x:c>
      <x:c r="J999" s="34" t="str">
        <x:v>after-undeploy-final</x:v>
      </x:c>
      <x:c r="K999" s="36" t="n">
        <x:v>1</x:v>
      </x:c>
      <x:c r="L999" s="34" t="str">
        <x:v>final</x:v>
      </x:c>
      <x:c r="M999" s="34" t="str">
        <x:v>article1-unified-v4-2-fb3f101b-20260903-000401-default-f05-p1-jcs321-2-after-undeploy-final-10s</x:v>
      </x:c>
      <x:c r="N999" s="38" t="n">
        <x:v>46268.06000539352</x:v>
      </x:c>
      <x:c r="O999" s="36" t="n">
        <x:v>2</x:v>
      </x:c>
      <x:c r="P999" s="43" t="n">
        <x:v>24069120</x:v>
      </x:c>
      <x:c r="Q999" s="43" t="n">
        <x:v>268435456</x:v>
      </x:c>
      <x:c r="R999" s="43" t="n">
        <x:v>462639104</x:v>
      </x:c>
      <x:c r="S999" s="36" t="n">
        <x:v>4</x:v>
      </x:c>
      <x:c r="T999" s="44" t="str">
        <x:v>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999" s="36" t="n">
        <x:v>30</x:v>
      </x:c>
      <x:c r="V999" s="36" t="n">
        <x:v>3</x:v>
      </x:c>
      <x:c r="W999" s="44" t="str">
        <x:v>jcs3-element-event-queue:JCS-ElementEventQueue-Thread-4#49 | jcs3-element-event-queue:JCS-ElementEventQueue-Thread-7#91 | jcs3-element-event-queue:JCS-ElementEventQueue-Thread-10#133</x:v>
      </x:c>
      <x:c r="X999" s="36" t="n">
        <x:v>3</x:v>
      </x:c>
      <x:c r="Y999" s="36" t="n">
        <x:v>3</x:v>
      </x:c>
      <x:c r="Z999" s="44" t="str">
        <x:v>/jcs321</x:v>
      </x:c>
      <x:c r="AA999" s="45" t="b">
        <x:v>1</x:v>
      </x:c>
      <x:c r="AB999" s="43"/>
      <x:c r="AC999" s="34" t="str">
        <x:v>article1-unified-v4-2-fb3f101b-20260903-000401-default-f05-p1-jcs321-2-after-undeploy-final-10s-heap-info.txt</x:v>
      </x:c>
      <x:c r="AD999" s="34" t="str">
        <x:v>article1-unified-v4-2-fb3f101b-20260903-000401-default-f05-p1-jcs321-2-after-undeploy-final-10s-classloader-stats.txt</x:v>
      </x:c>
      <x:c r="AE999" s="34" t="str">
        <x:v>article1-unified-v4-2-fb3f101b-20260903-000401-default-f05-p1-jcs321-2-after-undeploy-final-10s-thread-dump.txt</x:v>
      </x:c>
      <x:c r="AF999" s="34"/>
      <x:c r="AG999" s="34" t="str">
        <x:v>article1-unified-v4-2-fb3f101b-20260903-000401-default-f05-p1-jcs321-2-after-undeploy-final-10s-native-memory.txt</x:v>
      </x:c>
      <x:c r="AH999" s="34" t="str">
        <x:v>article1-unified-v4-2-fb3f101b-20260903-000401-default-f05-p1-jcs321-2-after-undeploy-final-10s-class-histogram.txt</x:v>
      </x:c>
      <x:c r="AI999" s="34" t="str">
        <x:v>article1-unified-v4-2-fb3f101b-20260903-000401-default-f05-p1-jcs321-2-after-undeploy-tomcat-findleaks.txt</x:v>
      </x:c>
    </x:row>
    <x:row r="1000">
      <x:c r="A1000" s="34" t="str">
        <x:v>article1-unified-v4-2-fb3f101b-20260903-000401-default-f05-p1-jcs321</x:v>
      </x:c>
      <x:c r="B1000" s="34" t="str">
        <x:v>default</x:v>
      </x:c>
      <x:c r="C1000" s="34" t="str">
        <x:v>jcs321</x:v>
      </x:c>
      <x:c r="D1000" s="34" t="str">
        <x:v>jcs321</x:v>
      </x:c>
      <x:c r="E1000" s="36" t="n">
        <x:v>5</x:v>
      </x:c>
      <x:c r="F1000" s="36" t="n">
        <x:v>5</x:v>
      </x:c>
      <x:c r="G1000" s="36" t="n">
        <x:v>1</x:v>
      </x:c>
      <x:c r="H1000" s="36" t="n">
        <x:v>2</x:v>
      </x:c>
      <x:c r="I1000" s="34" t="str">
        <x:v>redeployedLoaded</x:v>
      </x:c>
      <x:c r="J1000" s="34" t="str">
        <x:v>redeployed-loaded</x:v>
      </x:c>
      <x:c r="K1000" s="36" t="n">
        <x:v>0</x:v>
      </x:c>
      <x:c r="L1000" s="34" t="str">
        <x:v>redeploy</x:v>
      </x:c>
      <x:c r="M1000" s="34" t="str">
        <x:v>article1-unified-v4-2-fb3f101b-20260903-000401-default-f05-p1-jcs321-2-redeployed-loaded</x:v>
      </x:c>
      <x:c r="N1000" s="38" t="n">
        <x:v>46268.0602584838</x:v>
      </x:c>
      <x:c r="O1000" s="36" t="n">
        <x:v>0</x:v>
      </x:c>
      <x:c r="P1000" s="43" t="n">
        <x:v>136307712</x:v>
      </x:c>
      <x:c r="Q1000" s="43" t="n">
        <x:v>268435456</x:v>
      </x:c>
      <x:c r="R1000" s="43" t="n">
        <x:v>492171264</x:v>
      </x:c>
      <x:c r="S1000" s="36" t="n">
        <x:v>5</x:v>
      </x:c>
      <x:c r="T1000" s="44" t="str">
        <x:v>0x000000007d1177b8  0x000000007d003818  0x00007cebbc0120a0    4433  21028864  21001232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00" s="36" t="n">
        <x:v>32</x:v>
      </x:c>
      <x:c r="V1000" s="36" t="n">
        <x:v>4</x:v>
      </x:c>
      <x:c r="W1000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000" s="36"/>
      <x:c r="Y1000" s="36"/>
      <x:c r="Z1000" s="44"/>
      <x:c r="AA1000" s="49"/>
      <x:c r="AB1000" s="43"/>
      <x:c r="AC1000" s="34"/>
      <x:c r="AD1000" s="34"/>
      <x:c r="AE1000" s="34"/>
      <x:c r="AF1000" s="34"/>
      <x:c r="AG1000" s="34"/>
      <x:c r="AH1000" s="34"/>
      <x:c r="AI1000" s="34"/>
    </x:row>
    <x:row r="1001">
      <x:c r="A1001" s="34" t="str">
        <x:v>article1-unified-v4-2-fb3f101b-20260903-000401-default-f05-p1-jcs321</x:v>
      </x:c>
      <x:c r="B1001" s="34" t="str">
        <x:v>default</x:v>
      </x:c>
      <x:c r="C1001" s="34" t="str">
        <x:v>jcs321</x:v>
      </x:c>
      <x:c r="D1001" s="34" t="str">
        <x:v>jcs321</x:v>
      </x:c>
      <x:c r="E1001" s="36" t="n">
        <x:v>5</x:v>
      </x:c>
      <x:c r="F1001" s="36" t="n">
        <x:v>5</x:v>
      </x:c>
      <x:c r="G1001" s="36" t="n">
        <x:v>1</x:v>
      </x:c>
      <x:c r="H1001" s="36" t="n">
        <x:v>2</x:v>
      </x:c>
      <x:c r="I1001" s="34" t="str">
        <x:v>afterFinalUndeployEarly</x:v>
      </x:c>
      <x:c r="J1001" s="34" t="str">
        <x:v>after-final-undeploy-early</x:v>
      </x:c>
      <x:c r="K1001" s="36" t="n">
        <x:v>2</x:v>
      </x:c>
      <x:c r="L1001" s="34" t="str">
        <x:v>early</x:v>
      </x:c>
      <x:c r="M1001" s="34" t="str">
        <x:v>article1-unified-v4-2-fb3f101b-20260903-000401-default-f05-p1-jcs321-2-after-final-undeploy-early-2s</x:v>
      </x:c>
      <x:c r="N1001" s="38" t="n">
        <x:v>46268.06034423611</x:v>
      </x:c>
      <x:c r="O1001" s="36"/>
      <x:c r="P1001" s="43"/>
      <x:c r="Q1001" s="43"/>
      <x:c r="R1001" s="43"/>
      <x:c r="S1001" s="36"/>
      <x:c r="T1001" s="44"/>
      <x:c r="U1001" s="36" t="n">
        <x:v>31</x:v>
      </x:c>
      <x:c r="V1001" s="36" t="n">
        <x:v>4</x:v>
      </x:c>
      <x:c r="W1001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001" s="36"/>
      <x:c r="Y1001" s="36"/>
      <x:c r="Z1001" s="44"/>
      <x:c r="AA1001" s="49"/>
      <x:c r="AB1001" s="43" t="n">
        <x:v>17</x:v>
      </x:c>
      <x:c r="AC1001" s="34"/>
      <x:c r="AD1001" s="34"/>
      <x:c r="AE1001" s="34" t="str">
        <x:v>article1-unified-v4-2-fb3f101b-20260903-000401-default-f05-p1-jcs321-2-after-final-undeploy-early-2s-thread-dump.txt</x:v>
      </x:c>
      <x:c r="AF1001" s="34" t="str">
        <x:v>article1-unified-v4-2-fb3f101b-20260903-000401-default-f05-p1-jcs321-2-after-final-undeploy-early-tomcat-log.txt</x:v>
      </x:c>
      <x:c r="AG1001" s="34"/>
      <x:c r="AH1001" s="34"/>
      <x:c r="AI1001" s="34"/>
    </x:row>
    <x:row r="1002">
      <x:c r="A1002" s="34" t="str">
        <x:v>article1-unified-v4-2-fb3f101b-20260903-000401-default-f05-p1-jcs321</x:v>
      </x:c>
      <x:c r="B1002" s="34" t="str">
        <x:v>default</x:v>
      </x:c>
      <x:c r="C1002" s="34" t="str">
        <x:v>jcs321</x:v>
      </x:c>
      <x:c r="D1002" s="34" t="str">
        <x:v>jcs321</x:v>
      </x:c>
      <x:c r="E1002" s="36" t="n">
        <x:v>5</x:v>
      </x:c>
      <x:c r="F1002" s="36" t="n">
        <x:v>5</x:v>
      </x:c>
      <x:c r="G1002" s="36" t="n">
        <x:v>1</x:v>
      </x:c>
      <x:c r="H1002" s="36" t="n">
        <x:v>2</x:v>
      </x:c>
      <x:c r="I1002" s="34" t="str">
        <x:v>afterFinalUndeploy</x:v>
      </x:c>
      <x:c r="J1002" s="34" t="str">
        <x:v>after-final-undeploy-final</x:v>
      </x:c>
      <x:c r="K1002" s="36" t="n">
        <x:v>2</x:v>
      </x:c>
      <x:c r="L1002" s="34" t="str">
        <x:v>final</x:v>
      </x:c>
      <x:c r="M1002" s="34" t="str">
        <x:v>article1-unified-v4-2-fb3f101b-20260903-000401-default-f05-p1-jcs321-2-after-final-undeploy-final-10s</x:v>
      </x:c>
      <x:c r="N1002" s="38" t="n">
        <x:v>46268.06049858796</x:v>
      </x:c>
      <x:c r="O1002" s="36" t="n">
        <x:v>2</x:v>
      </x:c>
      <x:c r="P1002" s="43" t="n">
        <x:v>28304384</x:v>
      </x:c>
      <x:c r="Q1002" s="43" t="n">
        <x:v>268435456</x:v>
      </x:c>
      <x:c r="R1002" s="43" t="n">
        <x:v>489202688</x:v>
      </x:c>
      <x:c r="S1002" s="36" t="n">
        <x:v>5</x:v>
      </x:c>
      <x:c r="T1002" s="44" t="str">
        <x:v>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02" s="36" t="n">
        <x:v>31</x:v>
      </x:c>
      <x:c r="V1002" s="36" t="n">
        <x:v>4</x:v>
      </x:c>
      <x:c r="W1002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002" s="36" t="n">
        <x:v>4</x:v>
      </x:c>
      <x:c r="Y1002" s="36" t="n">
        <x:v>4</x:v>
      </x:c>
      <x:c r="Z1002" s="44" t="str">
        <x:v>/jcs321</x:v>
      </x:c>
      <x:c r="AA1002" s="45" t="b">
        <x:v>1</x:v>
      </x:c>
      <x:c r="AB1002" s="43"/>
      <x:c r="AC1002" s="34" t="str">
        <x:v>article1-unified-v4-2-fb3f101b-20260903-000401-default-f05-p1-jcs321-2-after-final-undeploy-final-10s-heap-info.txt</x:v>
      </x:c>
      <x:c r="AD1002" s="34" t="str">
        <x:v>article1-unified-v4-2-fb3f101b-20260903-000401-default-f05-p1-jcs321-2-after-final-undeploy-final-10s-classloader-stats.txt</x:v>
      </x:c>
      <x:c r="AE1002" s="34" t="str">
        <x:v>article1-unified-v4-2-fb3f101b-20260903-000401-default-f05-p1-jcs321-2-after-final-undeploy-final-10s-thread-dump.txt</x:v>
      </x:c>
      <x:c r="AF1002" s="34"/>
      <x:c r="AG1002" s="34" t="str">
        <x:v>article1-unified-v4-2-fb3f101b-20260903-000401-default-f05-p1-jcs321-2-after-final-undeploy-final-10s-native-memory.txt</x:v>
      </x:c>
      <x:c r="AH1002" s="34" t="str">
        <x:v>article1-unified-v4-2-fb3f101b-20260903-000401-default-f05-p1-jcs321-2-after-final-undeploy-final-10s-class-histogram.txt</x:v>
      </x:c>
      <x:c r="AI1002" s="34" t="str">
        <x:v>article1-unified-v4-2-fb3f101b-20260903-000401-default-f05-p1-jcs321-2-after-final-undeploy-tomcat-findleaks.txt</x:v>
      </x:c>
    </x:row>
    <x:row r="1003">
      <x:c r="A1003" s="34" t="str">
        <x:v>article1-unified-v4-2-fb3f101b-20260903-000401-default-f05-p1-jcs321</x:v>
      </x:c>
      <x:c r="B1003" s="34" t="str">
        <x:v>default</x:v>
      </x:c>
      <x:c r="C1003" s="34" t="str">
        <x:v>jcs321</x:v>
      </x:c>
      <x:c r="D1003" s="34" t="str">
        <x:v>jcs321</x:v>
      </x:c>
      <x:c r="E1003" s="36" t="n">
        <x:v>5</x:v>
      </x:c>
      <x:c r="F1003" s="36" t="n">
        <x:v>5</x:v>
      </x:c>
      <x:c r="G1003" s="36" t="n">
        <x:v>1</x:v>
      </x:c>
      <x:c r="H1003" s="36" t="n">
        <x:v>3</x:v>
      </x:c>
      <x:c r="I1003" s="34" t="str">
        <x:v>baseline</x:v>
      </x:c>
      <x:c r="J1003" s="34" t="str">
        <x:v>cycle-baseline</x:v>
      </x:c>
      <x:c r="K1003" s="36" t="n">
        <x:v>0</x:v>
      </x:c>
      <x:c r="L1003" s="34" t="str">
        <x:v>baseline</x:v>
      </x:c>
      <x:c r="M1003" s="34" t="str">
        <x:v>article1-unified-v4-2-fb3f101b-20260903-000401-default-f05-p1-jcs321-3-baseline</x:v>
      </x:c>
      <x:c r="N1003" s="38" t="n">
        <x:v>46268.06053599537</x:v>
      </x:c>
      <x:c r="O1003" s="36" t="n">
        <x:v>0</x:v>
      </x:c>
      <x:c r="P1003" s="43" t="n">
        <x:v>28304384</x:v>
      </x:c>
      <x:c r="Q1003" s="43" t="n">
        <x:v>268435456</x:v>
      </x:c>
      <x:c r="R1003" s="43" t="n">
        <x:v>489300992</x:v>
      </x:c>
      <x:c r="S1003" s="36" t="n">
        <x:v>5</x:v>
      </x:c>
      <x:c r="T1003" s="44" t="str">
        <x:v>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03" s="36" t="n">
        <x:v>31</x:v>
      </x:c>
      <x:c r="V1003" s="36" t="n">
        <x:v>4</x:v>
      </x:c>
      <x:c r="W1003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003" s="36"/>
      <x:c r="Y1003" s="36"/>
      <x:c r="Z1003" s="44"/>
      <x:c r="AA1003" s="49"/>
      <x:c r="AB1003" s="43"/>
      <x:c r="AC1003" s="34" t="str">
        <x:v>article1-unified-v4-2-fb3f101b-20260903-000401-default-f05-p1-jcs321-3-baseline-heap-info.txt</x:v>
      </x:c>
      <x:c r="AD1003" s="34" t="str">
        <x:v>article1-unified-v4-2-fb3f101b-20260903-000401-default-f05-p1-jcs321-3-baseline-classloader-stats.txt</x:v>
      </x:c>
      <x:c r="AE1003" s="34" t="str">
        <x:v>article1-unified-v4-2-fb3f101b-20260903-000401-default-f05-p1-jcs321-3-baseline-thread-dump.txt</x:v>
      </x:c>
      <x:c r="AF1003" s="34"/>
      <x:c r="AG1003" s="34" t="str">
        <x:v>article1-unified-v4-2-fb3f101b-20260903-000401-default-f05-p1-jcs321-3-baseline-native-memory.txt</x:v>
      </x:c>
      <x:c r="AH1003" s="34"/>
      <x:c r="AI1003" s="34"/>
    </x:row>
    <x:row r="1004">
      <x:c r="A1004" s="34" t="str">
        <x:v>article1-unified-v4-2-fb3f101b-20260903-000401-default-f05-p1-jcs321</x:v>
      </x:c>
      <x:c r="B1004" s="34" t="str">
        <x:v>default</x:v>
      </x:c>
      <x:c r="C1004" s="34" t="str">
        <x:v>jcs321</x:v>
      </x:c>
      <x:c r="D1004" s="34" t="str">
        <x:v>jcs321</x:v>
      </x:c>
      <x:c r="E1004" s="36" t="n">
        <x:v>5</x:v>
      </x:c>
      <x:c r="F1004" s="36" t="n">
        <x:v>5</x:v>
      </x:c>
      <x:c r="G1004" s="36" t="n">
        <x:v>1</x:v>
      </x:c>
      <x:c r="H1004" s="36" t="n">
        <x:v>3</x:v>
      </x:c>
      <x:c r="I1004" s="34" t="str">
        <x:v>deployedIdle</x:v>
      </x:c>
      <x:c r="J1004" s="34" t="str">
        <x:v>deployed-idle</x:v>
      </x:c>
      <x:c r="K1004" s="36" t="n">
        <x:v>0</x:v>
      </x:c>
      <x:c r="L1004" s="34" t="str">
        <x:v>initial</x:v>
      </x:c>
      <x:c r="M1004" s="34" t="str">
        <x:v>article1-unified-v4-2-fb3f101b-20260903-000401-default-f05-p1-jcs321-3-deployed-idle</x:v>
      </x:c>
      <x:c r="N1004" s="38" t="n">
        <x:v>46268.0606375</x:v>
      </x:c>
      <x:c r="O1004" s="36" t="n">
        <x:v>0</x:v>
      </x:c>
      <x:c r="P1004" s="43" t="n">
        <x:v>180339712</x:v>
      </x:c>
      <x:c r="Q1004" s="43" t="n">
        <x:v>268435456</x:v>
      </x:c>
      <x:c r="R1004" s="43" t="n">
        <x:v>531248128</x:v>
      </x:c>
      <x:c r="S1004" s="36" t="n">
        <x:v>6</x:v>
      </x:c>
      <x:c r="T1004" s="44" t="str">
        <x:v>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0x00007ceb6400ec70    4091  19451904  19424896  org.apache.catalina.loader.ParallelWebappClassLoader | 0x000000007d1177b8  0x000000007d003818  0x00007cec58605c50       0         0         0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04" s="36" t="n">
        <x:v>31</x:v>
      </x:c>
      <x:c r="V1004" s="36" t="n">
        <x:v>4</x:v>
      </x:c>
      <x:c r="W1004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004" s="36"/>
      <x:c r="Y1004" s="36"/>
      <x:c r="Z1004" s="44"/>
      <x:c r="AA1004" s="49"/>
      <x:c r="AB1004" s="43"/>
      <x:c r="AC1004" s="34"/>
      <x:c r="AD1004" s="34"/>
      <x:c r="AE1004" s="34"/>
      <x:c r="AF1004" s="34"/>
      <x:c r="AG1004" s="34"/>
      <x:c r="AH1004" s="34"/>
      <x:c r="AI1004" s="34"/>
    </x:row>
    <x:row r="1005">
      <x:c r="A1005" s="34" t="str">
        <x:v>article1-unified-v4-2-fb3f101b-20260903-000401-default-f05-p1-jcs321</x:v>
      </x:c>
      <x:c r="B1005" s="34" t="str">
        <x:v>default</x:v>
      </x:c>
      <x:c r="C1005" s="34" t="str">
        <x:v>jcs321</x:v>
      </x:c>
      <x:c r="D1005" s="34" t="str">
        <x:v>jcs321</x:v>
      </x:c>
      <x:c r="E1005" s="36" t="n">
        <x:v>5</x:v>
      </x:c>
      <x:c r="F1005" s="36" t="n">
        <x:v>5</x:v>
      </x:c>
      <x:c r="G1005" s="36" t="n">
        <x:v>1</x:v>
      </x:c>
      <x:c r="H1005" s="36" t="n">
        <x:v>3</x:v>
      </x:c>
      <x:c r="I1005" s="34" t="str">
        <x:v>loaded</x:v>
      </x:c>
      <x:c r="J1005" s="34" t="str">
        <x:v>loaded</x:v>
      </x:c>
      <x:c r="K1005" s="36" t="n">
        <x:v>0</x:v>
      </x:c>
      <x:c r="L1005" s="34" t="str">
        <x:v>initial</x:v>
      </x:c>
      <x:c r="M1005" s="34" t="str">
        <x:v>article1-unified-v4-2-fb3f101b-20260903-000401-default-f05-p1-jcs321-3-loaded</x:v>
      </x:c>
      <x:c r="N1005" s="38" t="n">
        <x:v>46268.06078337963</x:v>
      </x:c>
      <x:c r="O1005" s="36" t="n">
        <x:v>0</x:v>
      </x:c>
      <x:c r="P1005" s="43" t="n">
        <x:v>141694976</x:v>
      </x:c>
      <x:c r="Q1005" s="43" t="n">
        <x:v>268435456</x:v>
      </x:c>
      <x:c r="R1005" s="43" t="n">
        <x:v>516684800</x:v>
      </x:c>
      <x:c r="S1005" s="36" t="n">
        <x:v>6</x:v>
      </x:c>
      <x:c r="T1005" s="44" t="str">
        <x:v>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0x00007ceb6400ec70    4423  21008384  20984328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05" s="36" t="n">
        <x:v>32</x:v>
      </x:c>
      <x:c r="V1005" s="36" t="n">
        <x:v>5</x:v>
      </x:c>
      <x:c r="W100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005" s="36"/>
      <x:c r="Y1005" s="36"/>
      <x:c r="Z1005" s="44"/>
      <x:c r="AA1005" s="49"/>
      <x:c r="AB1005" s="43"/>
      <x:c r="AC1005" s="34"/>
      <x:c r="AD1005" s="34"/>
      <x:c r="AE1005" s="34"/>
      <x:c r="AF1005" s="34"/>
      <x:c r="AG1005" s="34"/>
      <x:c r="AH1005" s="34"/>
      <x:c r="AI1005" s="34"/>
    </x:row>
    <x:row r="1006">
      <x:c r="A1006" s="34" t="str">
        <x:v>article1-unified-v4-2-fb3f101b-20260903-000401-default-f05-p1-jcs321</x:v>
      </x:c>
      <x:c r="B1006" s="34" t="str">
        <x:v>default</x:v>
      </x:c>
      <x:c r="C1006" s="34" t="str">
        <x:v>jcs321</x:v>
      </x:c>
      <x:c r="D1006" s="34" t="str">
        <x:v>jcs321</x:v>
      </x:c>
      <x:c r="E1006" s="36" t="n">
        <x:v>5</x:v>
      </x:c>
      <x:c r="F1006" s="36" t="n">
        <x:v>5</x:v>
      </x:c>
      <x:c r="G1006" s="36" t="n">
        <x:v>1</x:v>
      </x:c>
      <x:c r="H1006" s="36" t="n">
        <x:v>3</x:v>
      </x:c>
      <x:c r="I1006" s="34" t="str">
        <x:v>afterUndeployEarly</x:v>
      </x:c>
      <x:c r="J1006" s="34" t="str">
        <x:v>after-undeploy-early</x:v>
      </x:c>
      <x:c r="K1006" s="36" t="n">
        <x:v>1</x:v>
      </x:c>
      <x:c r="L1006" s="34" t="str">
        <x:v>early</x:v>
      </x:c>
      <x:c r="M1006" s="34" t="str">
        <x:v>article1-unified-v4-2-fb3f101b-20260903-000401-default-f05-p1-jcs321-3-after-undeploy-early-2s</x:v>
      </x:c>
      <x:c r="N1006" s="38" t="n">
        <x:v>46268.060867071756</x:v>
      </x:c>
      <x:c r="O1006" s="36"/>
      <x:c r="P1006" s="43"/>
      <x:c r="Q1006" s="43"/>
      <x:c r="R1006" s="43"/>
      <x:c r="S1006" s="36"/>
      <x:c r="T1006" s="44"/>
      <x:c r="U1006" s="36" t="n">
        <x:v>32</x:v>
      </x:c>
      <x:c r="V1006" s="36" t="n">
        <x:v>5</x:v>
      </x:c>
      <x:c r="W100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006" s="36"/>
      <x:c r="Y1006" s="36"/>
      <x:c r="Z1006" s="44"/>
      <x:c r="AA1006" s="49"/>
      <x:c r="AB1006" s="43" t="n">
        <x:v>17</x:v>
      </x:c>
      <x:c r="AC1006" s="34"/>
      <x:c r="AD1006" s="34"/>
      <x:c r="AE1006" s="34" t="str">
        <x:v>article1-unified-v4-2-fb3f101b-20260903-000401-default-f05-p1-jcs321-3-after-undeploy-early-2s-thread-dump.txt</x:v>
      </x:c>
      <x:c r="AF1006" s="34" t="str">
        <x:v>article1-unified-v4-2-fb3f101b-20260903-000401-default-f05-p1-jcs321-3-after-undeploy-early-tomcat-log.txt</x:v>
      </x:c>
      <x:c r="AG1006" s="34"/>
      <x:c r="AH1006" s="34"/>
      <x:c r="AI1006" s="34"/>
    </x:row>
    <x:row r="1007">
      <x:c r="A1007" s="34" t="str">
        <x:v>article1-unified-v4-2-fb3f101b-20260903-000401-default-f05-p1-jcs321</x:v>
      </x:c>
      <x:c r="B1007" s="34" t="str">
        <x:v>default</x:v>
      </x:c>
      <x:c r="C1007" s="34" t="str">
        <x:v>jcs321</x:v>
      </x:c>
      <x:c r="D1007" s="34" t="str">
        <x:v>jcs321</x:v>
      </x:c>
      <x:c r="E1007" s="36" t="n">
        <x:v>5</x:v>
      </x:c>
      <x:c r="F1007" s="36" t="n">
        <x:v>5</x:v>
      </x:c>
      <x:c r="G1007" s="36" t="n">
        <x:v>1</x:v>
      </x:c>
      <x:c r="H1007" s="36" t="n">
        <x:v>3</x:v>
      </x:c>
      <x:c r="I1007" s="34" t="str">
        <x:v>afterUndeploy</x:v>
      </x:c>
      <x:c r="J1007" s="34" t="str">
        <x:v>after-undeploy-final</x:v>
      </x:c>
      <x:c r="K1007" s="36" t="n">
        <x:v>1</x:v>
      </x:c>
      <x:c r="L1007" s="34" t="str">
        <x:v>final</x:v>
      </x:c>
      <x:c r="M1007" s="34" t="str">
        <x:v>article1-unified-v4-2-fb3f101b-20260903-000401-default-f05-p1-jcs321-3-after-undeploy-final-10s</x:v>
      </x:c>
      <x:c r="N1007" s="38" t="n">
        <x:v>46268.06102125</x:v>
      </x:c>
      <x:c r="O1007" s="36" t="n">
        <x:v>2</x:v>
      </x:c>
      <x:c r="P1007" s="43" t="n">
        <x:v>32535552</x:v>
      </x:c>
      <x:c r="Q1007" s="43" t="n">
        <x:v>268435456</x:v>
      </x:c>
      <x:c r="R1007" s="43" t="n">
        <x:v>516281344</x:v>
      </x:c>
      <x:c r="S1007" s="36" t="n">
        <x:v>6</x:v>
      </x:c>
      <x:c r="T1007" s="44" t="str">
        <x:v>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07" s="36" t="n">
        <x:v>32</x:v>
      </x:c>
      <x:c r="V1007" s="36" t="n">
        <x:v>5</x:v>
      </x:c>
      <x:c r="W100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007" s="36" t="n">
        <x:v>5</x:v>
      </x:c>
      <x:c r="Y1007" s="36" t="n">
        <x:v>5</x:v>
      </x:c>
      <x:c r="Z1007" s="44" t="str">
        <x:v>/jcs321</x:v>
      </x:c>
      <x:c r="AA1007" s="45" t="b">
        <x:v>1</x:v>
      </x:c>
      <x:c r="AB1007" s="43"/>
      <x:c r="AC1007" s="34" t="str">
        <x:v>article1-unified-v4-2-fb3f101b-20260903-000401-default-f05-p1-jcs321-3-after-undeploy-final-10s-heap-info.txt</x:v>
      </x:c>
      <x:c r="AD1007" s="34" t="str">
        <x:v>article1-unified-v4-2-fb3f101b-20260903-000401-default-f05-p1-jcs321-3-after-undeploy-final-10s-classloader-stats.txt</x:v>
      </x:c>
      <x:c r="AE1007" s="34" t="str">
        <x:v>article1-unified-v4-2-fb3f101b-20260903-000401-default-f05-p1-jcs321-3-after-undeploy-final-10s-thread-dump.txt</x:v>
      </x:c>
      <x:c r="AF1007" s="34"/>
      <x:c r="AG1007" s="34" t="str">
        <x:v>article1-unified-v4-2-fb3f101b-20260903-000401-default-f05-p1-jcs321-3-after-undeploy-final-10s-native-memory.txt</x:v>
      </x:c>
      <x:c r="AH1007" s="34" t="str">
        <x:v>article1-unified-v4-2-fb3f101b-20260903-000401-default-f05-p1-jcs321-3-after-undeploy-final-10s-class-histogram.txt</x:v>
      </x:c>
      <x:c r="AI1007" s="34" t="str">
        <x:v>article1-unified-v4-2-fb3f101b-20260903-000401-default-f05-p1-jcs321-3-after-undeploy-tomcat-findleaks.txt</x:v>
      </x:c>
    </x:row>
    <x:row r="1008">
      <x:c r="A1008" s="34" t="str">
        <x:v>article1-unified-v4-2-fb3f101b-20260903-000401-default-f05-p1-jcs321</x:v>
      </x:c>
      <x:c r="B1008" s="34" t="str">
        <x:v>default</x:v>
      </x:c>
      <x:c r="C1008" s="34" t="str">
        <x:v>jcs321</x:v>
      </x:c>
      <x:c r="D1008" s="34" t="str">
        <x:v>jcs321</x:v>
      </x:c>
      <x:c r="E1008" s="36" t="n">
        <x:v>5</x:v>
      </x:c>
      <x:c r="F1008" s="36" t="n">
        <x:v>5</x:v>
      </x:c>
      <x:c r="G1008" s="36" t="n">
        <x:v>1</x:v>
      </x:c>
      <x:c r="H1008" s="36" t="n">
        <x:v>3</x:v>
      </x:c>
      <x:c r="I1008" s="34" t="str">
        <x:v>redeployedLoaded</x:v>
      </x:c>
      <x:c r="J1008" s="34" t="str">
        <x:v>redeployed-loaded</x:v>
      </x:c>
      <x:c r="K1008" s="36" t="n">
        <x:v>0</x:v>
      </x:c>
      <x:c r="L1008" s="34" t="str">
        <x:v>redeploy</x:v>
      </x:c>
      <x:c r="M1008" s="34" t="str">
        <x:v>article1-unified-v4-2-fb3f101b-20260903-000401-default-f05-p1-jcs321-3-redeployed-loaded</x:v>
      </x:c>
      <x:c r="N1008" s="38" t="n">
        <x:v>46268.06128550926</x:v>
      </x:c>
      <x:c r="O1008" s="36" t="n">
        <x:v>0</x:v>
      </x:c>
      <x:c r="P1008" s="43" t="n">
        <x:v>147613696</x:v>
      </x:c>
      <x:c r="Q1008" s="43" t="n">
        <x:v>268435456</x:v>
      </x:c>
      <x:c r="R1008" s="43" t="n">
        <x:v>545218560</x:v>
      </x:c>
      <x:c r="S1008" s="36" t="n">
        <x:v>7</x:v>
      </x:c>
      <x:c r="T1008" s="44" t="str">
        <x:v>0x000000007d1177b8  0x000000007d003818  0x00007cebbc0120a0    4447  21045248  21036144  org.apache.catalina.loader.ParallelWebappClassLoader | 0x000000007d1177b8  0x000000007d003818  0x00007ceb8c00da50    4422  20996096  20990928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08" s="36" t="n">
        <x:v>33</x:v>
      </x:c>
      <x:c r="V1008" s="36" t="n">
        <x:v>6</x:v>
      </x:c>
      <x:c r="W100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008" s="36"/>
      <x:c r="Y1008" s="36"/>
      <x:c r="Z1008" s="44"/>
      <x:c r="AA1008" s="49"/>
      <x:c r="AB1008" s="43"/>
      <x:c r="AC1008" s="34"/>
      <x:c r="AD1008" s="34"/>
      <x:c r="AE1008" s="34"/>
      <x:c r="AF1008" s="34"/>
      <x:c r="AG1008" s="34"/>
      <x:c r="AH1008" s="34"/>
      <x:c r="AI1008" s="34"/>
    </x:row>
    <x:row r="1009">
      <x:c r="A1009" s="34" t="str">
        <x:v>article1-unified-v4-2-fb3f101b-20260903-000401-default-f05-p1-jcs321</x:v>
      </x:c>
      <x:c r="B1009" s="34" t="str">
        <x:v>default</x:v>
      </x:c>
      <x:c r="C1009" s="34" t="str">
        <x:v>jcs321</x:v>
      </x:c>
      <x:c r="D1009" s="34" t="str">
        <x:v>jcs321</x:v>
      </x:c>
      <x:c r="E1009" s="36" t="n">
        <x:v>5</x:v>
      </x:c>
      <x:c r="F1009" s="36" t="n">
        <x:v>5</x:v>
      </x:c>
      <x:c r="G1009" s="36" t="n">
        <x:v>1</x:v>
      </x:c>
      <x:c r="H1009" s="36" t="n">
        <x:v>3</x:v>
      </x:c>
      <x:c r="I1009" s="34" t="str">
        <x:v>afterFinalUndeployEarly</x:v>
      </x:c>
      <x:c r="J1009" s="34" t="str">
        <x:v>after-final-undeploy-early</x:v>
      </x:c>
      <x:c r="K1009" s="36" t="n">
        <x:v>2</x:v>
      </x:c>
      <x:c r="L1009" s="34" t="str">
        <x:v>early</x:v>
      </x:c>
      <x:c r="M1009" s="34" t="str">
        <x:v>article1-unified-v4-2-fb3f101b-20260903-000401-default-f05-p1-jcs321-3-after-final-undeploy-early-2s</x:v>
      </x:c>
      <x:c r="N1009" s="38" t="n">
        <x:v>46268.06136806713</x:v>
      </x:c>
      <x:c r="O1009" s="36"/>
      <x:c r="P1009" s="43"/>
      <x:c r="Q1009" s="43"/>
      <x:c r="R1009" s="43"/>
      <x:c r="S1009" s="36"/>
      <x:c r="T1009" s="44"/>
      <x:c r="U1009" s="36" t="n">
        <x:v>33</x:v>
      </x:c>
      <x:c r="V1009" s="36" t="n">
        <x:v>6</x:v>
      </x:c>
      <x:c r="W100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009" s="36"/>
      <x:c r="Y1009" s="36"/>
      <x:c r="Z1009" s="44"/>
      <x:c r="AA1009" s="49"/>
      <x:c r="AB1009" s="43" t="n">
        <x:v>17</x:v>
      </x:c>
      <x:c r="AC1009" s="34"/>
      <x:c r="AD1009" s="34"/>
      <x:c r="AE1009" s="34" t="str">
        <x:v>article1-unified-v4-2-fb3f101b-20260903-000401-default-f05-p1-jcs321-3-after-final-undeploy-early-2s-thread-dump.txt</x:v>
      </x:c>
      <x:c r="AF1009" s="34" t="str">
        <x:v>article1-unified-v4-2-fb3f101b-20260903-000401-default-f05-p1-jcs321-3-after-final-undeploy-early-tomcat-log.txt</x:v>
      </x:c>
      <x:c r="AG1009" s="34"/>
      <x:c r="AH1009" s="34"/>
      <x:c r="AI1009" s="34"/>
    </x:row>
    <x:row r="1010">
      <x:c r="A1010" s="34" t="str">
        <x:v>article1-unified-v4-2-fb3f101b-20260903-000401-default-f05-p1-jcs321</x:v>
      </x:c>
      <x:c r="B1010" s="34" t="str">
        <x:v>default</x:v>
      </x:c>
      <x:c r="C1010" s="34" t="str">
        <x:v>jcs321</x:v>
      </x:c>
      <x:c r="D1010" s="34" t="str">
        <x:v>jcs321</x:v>
      </x:c>
      <x:c r="E1010" s="36" t="n">
        <x:v>5</x:v>
      </x:c>
      <x:c r="F1010" s="36" t="n">
        <x:v>5</x:v>
      </x:c>
      <x:c r="G1010" s="36" t="n">
        <x:v>1</x:v>
      </x:c>
      <x:c r="H1010" s="36" t="n">
        <x:v>3</x:v>
      </x:c>
      <x:c r="I1010" s="34" t="str">
        <x:v>afterFinalUndeploy</x:v>
      </x:c>
      <x:c r="J1010" s="34" t="str">
        <x:v>after-final-undeploy-final</x:v>
      </x:c>
      <x:c r="K1010" s="36" t="n">
        <x:v>2</x:v>
      </x:c>
      <x:c r="L1010" s="34" t="str">
        <x:v>final</x:v>
      </x:c>
      <x:c r="M1010" s="34" t="str">
        <x:v>article1-unified-v4-2-fb3f101b-20260903-000401-default-f05-p1-jcs321-3-after-final-undeploy-final-10s</x:v>
      </x:c>
      <x:c r="N1010" s="38" t="n">
        <x:v>46268.06152525463</x:v>
      </x:c>
      <x:c r="O1010" s="36" t="n">
        <x:v>2</x:v>
      </x:c>
      <x:c r="P1010" s="43" t="n">
        <x:v>36767744</x:v>
      </x:c>
      <x:c r="Q1010" s="43" t="n">
        <x:v>268435456</x:v>
      </x:c>
      <x:c r="R1010" s="43" t="n">
        <x:v>540921856</x:v>
      </x:c>
      <x:c r="S1010" s="36" t="n">
        <x:v>7</x:v>
      </x:c>
      <x:c r="T1010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0" s="36" t="n">
        <x:v>33</x:v>
      </x:c>
      <x:c r="V1010" s="36" t="n">
        <x:v>6</x:v>
      </x:c>
      <x:c r="W101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010" s="36" t="n">
        <x:v>6</x:v>
      </x:c>
      <x:c r="Y1010" s="36" t="n">
        <x:v>6</x:v>
      </x:c>
      <x:c r="Z1010" s="44" t="str">
        <x:v>/jcs321</x:v>
      </x:c>
      <x:c r="AA1010" s="45" t="b">
        <x:v>1</x:v>
      </x:c>
      <x:c r="AB1010" s="43"/>
      <x:c r="AC1010" s="34" t="str">
        <x:v>article1-unified-v4-2-fb3f101b-20260903-000401-default-f05-p1-jcs321-3-after-final-undeploy-final-10s-heap-info.txt</x:v>
      </x:c>
      <x:c r="AD1010" s="34" t="str">
        <x:v>article1-unified-v4-2-fb3f101b-20260903-000401-default-f05-p1-jcs321-3-after-final-undeploy-final-10s-classloader-stats.txt</x:v>
      </x:c>
      <x:c r="AE1010" s="34" t="str">
        <x:v>article1-unified-v4-2-fb3f101b-20260903-000401-default-f05-p1-jcs321-3-after-final-undeploy-final-10s-thread-dump.txt</x:v>
      </x:c>
      <x:c r="AF1010" s="34"/>
      <x:c r="AG1010" s="34" t="str">
        <x:v>article1-unified-v4-2-fb3f101b-20260903-000401-default-f05-p1-jcs321-3-after-final-undeploy-final-10s-native-memory.txt</x:v>
      </x:c>
      <x:c r="AH1010" s="34" t="str">
        <x:v>article1-unified-v4-2-fb3f101b-20260903-000401-default-f05-p1-jcs321-3-after-final-undeploy-final-10s-class-histogram.txt</x:v>
      </x:c>
      <x:c r="AI1010" s="34" t="str">
        <x:v>article1-unified-v4-2-fb3f101b-20260903-000401-default-f05-p1-jcs321-3-after-final-undeploy-tomcat-findleaks.txt</x:v>
      </x:c>
    </x:row>
    <x:row r="1011">
      <x:c r="A1011" s="34" t="str">
        <x:v>article1-unified-v4-2-fb3f101b-20260903-000401-default-f05-p1-jcs321</x:v>
      </x:c>
      <x:c r="B1011" s="34" t="str">
        <x:v>default</x:v>
      </x:c>
      <x:c r="C1011" s="34" t="str">
        <x:v>jcs321</x:v>
      </x:c>
      <x:c r="D1011" s="34" t="str">
        <x:v>jcs321</x:v>
      </x:c>
      <x:c r="E1011" s="36" t="n">
        <x:v>5</x:v>
      </x:c>
      <x:c r="F1011" s="36" t="n">
        <x:v>5</x:v>
      </x:c>
      <x:c r="G1011" s="36" t="n">
        <x:v>1</x:v>
      </x:c>
      <x:c r="H1011" s="36" t="n">
        <x:v>4</x:v>
      </x:c>
      <x:c r="I1011" s="34" t="str">
        <x:v>baseline</x:v>
      </x:c>
      <x:c r="J1011" s="34" t="str">
        <x:v>cycle-baseline</x:v>
      </x:c>
      <x:c r="K1011" s="36" t="n">
        <x:v>0</x:v>
      </x:c>
      <x:c r="L1011" s="34" t="str">
        <x:v>baseline</x:v>
      </x:c>
      <x:c r="M1011" s="34" t="str">
        <x:v>article1-unified-v4-2-fb3f101b-20260903-000401-default-f05-p1-jcs321-4-baseline</x:v>
      </x:c>
      <x:c r="N1011" s="38" t="n">
        <x:v>46268.0615665625</x:v>
      </x:c>
      <x:c r="O1011" s="36" t="n">
        <x:v>0</x:v>
      </x:c>
      <x:c r="P1011" s="43" t="n">
        <x:v>36773888</x:v>
      </x:c>
      <x:c r="Q1011" s="43" t="n">
        <x:v>268435456</x:v>
      </x:c>
      <x:c r="R1011" s="43" t="n">
        <x:v>540962816</x:v>
      </x:c>
      <x:c r="S1011" s="36" t="n">
        <x:v>7</x:v>
      </x:c>
      <x:c r="T1011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1" s="36" t="n">
        <x:v>33</x:v>
      </x:c>
      <x:c r="V1011" s="36" t="n">
        <x:v>6</x:v>
      </x:c>
      <x:c r="W101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011" s="36"/>
      <x:c r="Y1011" s="36"/>
      <x:c r="Z1011" s="44"/>
      <x:c r="AA1011" s="49"/>
      <x:c r="AB1011" s="43"/>
      <x:c r="AC1011" s="34" t="str">
        <x:v>article1-unified-v4-2-fb3f101b-20260903-000401-default-f05-p1-jcs321-4-baseline-heap-info.txt</x:v>
      </x:c>
      <x:c r="AD1011" s="34" t="str">
        <x:v>article1-unified-v4-2-fb3f101b-20260903-000401-default-f05-p1-jcs321-4-baseline-classloader-stats.txt</x:v>
      </x:c>
      <x:c r="AE1011" s="34" t="str">
        <x:v>article1-unified-v4-2-fb3f101b-20260903-000401-default-f05-p1-jcs321-4-baseline-thread-dump.txt</x:v>
      </x:c>
      <x:c r="AF1011" s="34"/>
      <x:c r="AG1011" s="34" t="str">
        <x:v>article1-unified-v4-2-fb3f101b-20260903-000401-default-f05-p1-jcs321-4-baseline-native-memory.txt</x:v>
      </x:c>
      <x:c r="AH1011" s="34"/>
      <x:c r="AI1011" s="34"/>
    </x:row>
    <x:row r="1012">
      <x:c r="A1012" s="34" t="str">
        <x:v>article1-unified-v4-2-fb3f101b-20260903-000401-default-f05-p1-jcs321</x:v>
      </x:c>
      <x:c r="B1012" s="34" t="str">
        <x:v>default</x:v>
      </x:c>
      <x:c r="C1012" s="34" t="str">
        <x:v>jcs321</x:v>
      </x:c>
      <x:c r="D1012" s="34" t="str">
        <x:v>jcs321</x:v>
      </x:c>
      <x:c r="E1012" s="36" t="n">
        <x:v>5</x:v>
      </x:c>
      <x:c r="F1012" s="36" t="n">
        <x:v>5</x:v>
      </x:c>
      <x:c r="G1012" s="36" t="n">
        <x:v>1</x:v>
      </x:c>
      <x:c r="H1012" s="36" t="n">
        <x:v>4</x:v>
      </x:c>
      <x:c r="I1012" s="34" t="str">
        <x:v>deployedIdle</x:v>
      </x:c>
      <x:c r="J1012" s="34" t="str">
        <x:v>deployed-idle</x:v>
      </x:c>
      <x:c r="K1012" s="36" t="n">
        <x:v>0</x:v>
      </x:c>
      <x:c r="L1012" s="34" t="str">
        <x:v>initial</x:v>
      </x:c>
      <x:c r="M1012" s="34" t="str">
        <x:v>article1-unified-v4-2-fb3f101b-20260903-000401-default-f05-p1-jcs321-4-deployed-idle</x:v>
      </x:c>
      <x:c r="N1012" s="38" t="n">
        <x:v>46268.06166644676</x:v>
      </x:c>
      <x:c r="O1012" s="36" t="n">
        <x:v>0</x:v>
      </x:c>
      <x:c r="P1012" s="43" t="n">
        <x:v>189333504</x:v>
      </x:c>
      <x:c r="Q1012" s="43" t="n">
        <x:v>268435456</x:v>
      </x:c>
      <x:c r="R1012" s="43" t="n">
        <x:v>562578432</x:v>
      </x:c>
      <x:c r="S1012" s="36" t="n">
        <x:v>8</x:v>
      </x:c>
      <x:c r="T1012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0x00007ceb7c19b700    4091  19423232  19407992  org.apache.catalina.loader.ParallelWebappClassLoader | 0x000000007d1177b8  0x000000007d003818  0x00007cec58605c50       0         0         0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2" s="36" t="n">
        <x:v>33</x:v>
      </x:c>
      <x:c r="V1012" s="36" t="n">
        <x:v>6</x:v>
      </x:c>
      <x:c r="W101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012" s="36"/>
      <x:c r="Y1012" s="36"/>
      <x:c r="Z1012" s="44"/>
      <x:c r="AA1012" s="49"/>
      <x:c r="AB1012" s="43"/>
      <x:c r="AC1012" s="34"/>
      <x:c r="AD1012" s="34"/>
      <x:c r="AE1012" s="34"/>
      <x:c r="AF1012" s="34"/>
      <x:c r="AG1012" s="34"/>
      <x:c r="AH1012" s="34"/>
      <x:c r="AI1012" s="34"/>
    </x:row>
    <x:row r="1013">
      <x:c r="A1013" s="34" t="str">
        <x:v>article1-unified-v4-2-fb3f101b-20260903-000401-default-f05-p1-jcs321</x:v>
      </x:c>
      <x:c r="B1013" s="34" t="str">
        <x:v>default</x:v>
      </x:c>
      <x:c r="C1013" s="34" t="str">
        <x:v>jcs321</x:v>
      </x:c>
      <x:c r="D1013" s="34" t="str">
        <x:v>jcs321</x:v>
      </x:c>
      <x:c r="E1013" s="36" t="n">
        <x:v>5</x:v>
      </x:c>
      <x:c r="F1013" s="36" t="n">
        <x:v>5</x:v>
      </x:c>
      <x:c r="G1013" s="36" t="n">
        <x:v>1</x:v>
      </x:c>
      <x:c r="H1013" s="36" t="n">
        <x:v>4</x:v>
      </x:c>
      <x:c r="I1013" s="34" t="str">
        <x:v>loaded</x:v>
      </x:c>
      <x:c r="J1013" s="34" t="str">
        <x:v>loaded</x:v>
      </x:c>
      <x:c r="K1013" s="36" t="n">
        <x:v>0</x:v>
      </x:c>
      <x:c r="L1013" s="34" t="str">
        <x:v>initial</x:v>
      </x:c>
      <x:c r="M1013" s="34" t="str">
        <x:v>article1-unified-v4-2-fb3f101b-20260903-000401-default-f05-p1-jcs321-4-loaded</x:v>
      </x:c>
      <x:c r="N1013" s="38" t="n">
        <x:v>46268.06181453704</x:v>
      </x:c>
      <x:c r="O1013" s="36" t="n">
        <x:v>0</x:v>
      </x:c>
      <x:c r="P1013" s="43" t="n">
        <x:v>149873664</x:v>
      </x:c>
      <x:c r="Q1013" s="43" t="n">
        <x:v>268435456</x:v>
      </x:c>
      <x:c r="R1013" s="43" t="n">
        <x:v>570139648</x:v>
      </x:c>
      <x:c r="S1013" s="36" t="n">
        <x:v>8</x:v>
      </x:c>
      <x:c r="T1013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0x00007ceb7c19b700    4409  20963328  20942776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3" s="36" t="n">
        <x:v>34</x:v>
      </x:c>
      <x:c r="V1013" s="36" t="n">
        <x:v>7</x:v>
      </x:c>
      <x:c r="W101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013" s="36"/>
      <x:c r="Y1013" s="36"/>
      <x:c r="Z1013" s="44"/>
      <x:c r="AA1013" s="49"/>
      <x:c r="AB1013" s="43"/>
      <x:c r="AC1013" s="34"/>
      <x:c r="AD1013" s="34"/>
      <x:c r="AE1013" s="34"/>
      <x:c r="AF1013" s="34"/>
      <x:c r="AG1013" s="34"/>
      <x:c r="AH1013" s="34"/>
      <x:c r="AI1013" s="34"/>
    </x:row>
    <x:row r="1014">
      <x:c r="A1014" s="34" t="str">
        <x:v>article1-unified-v4-2-fb3f101b-20260903-000401-default-f05-p1-jcs321</x:v>
      </x:c>
      <x:c r="B1014" s="34" t="str">
        <x:v>default</x:v>
      </x:c>
      <x:c r="C1014" s="34" t="str">
        <x:v>jcs321</x:v>
      </x:c>
      <x:c r="D1014" s="34" t="str">
        <x:v>jcs321</x:v>
      </x:c>
      <x:c r="E1014" s="36" t="n">
        <x:v>5</x:v>
      </x:c>
      <x:c r="F1014" s="36" t="n">
        <x:v>5</x:v>
      </x:c>
      <x:c r="G1014" s="36" t="n">
        <x:v>1</x:v>
      </x:c>
      <x:c r="H1014" s="36" t="n">
        <x:v>4</x:v>
      </x:c>
      <x:c r="I1014" s="34" t="str">
        <x:v>afterUndeployEarly</x:v>
      </x:c>
      <x:c r="J1014" s="34" t="str">
        <x:v>after-undeploy-early</x:v>
      </x:c>
      <x:c r="K1014" s="36" t="n">
        <x:v>1</x:v>
      </x:c>
      <x:c r="L1014" s="34" t="str">
        <x:v>early</x:v>
      </x:c>
      <x:c r="M1014" s="34" t="str">
        <x:v>article1-unified-v4-2-fb3f101b-20260903-000401-default-f05-p1-jcs321-4-after-undeploy-early-2s</x:v>
      </x:c>
      <x:c r="N1014" s="38" t="n">
        <x:v>46268.06190059028</x:v>
      </x:c>
      <x:c r="O1014" s="36"/>
      <x:c r="P1014" s="43"/>
      <x:c r="Q1014" s="43"/>
      <x:c r="R1014" s="43"/>
      <x:c r="S1014" s="36"/>
      <x:c r="T1014" s="44"/>
      <x:c r="U1014" s="36" t="n">
        <x:v>34</x:v>
      </x:c>
      <x:c r="V1014" s="36" t="n">
        <x:v>7</x:v>
      </x:c>
      <x:c r="W101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014" s="36"/>
      <x:c r="Y1014" s="36"/>
      <x:c r="Z1014" s="44"/>
      <x:c r="AA1014" s="49"/>
      <x:c r="AB1014" s="43" t="n">
        <x:v>17</x:v>
      </x:c>
      <x:c r="AC1014" s="34"/>
      <x:c r="AD1014" s="34"/>
      <x:c r="AE1014" s="34" t="str">
        <x:v>article1-unified-v4-2-fb3f101b-20260903-000401-default-f05-p1-jcs321-4-after-undeploy-early-2s-thread-dump.txt</x:v>
      </x:c>
      <x:c r="AF1014" s="34" t="str">
        <x:v>article1-unified-v4-2-fb3f101b-20260903-000401-default-f05-p1-jcs321-4-after-undeploy-early-tomcat-log.txt</x:v>
      </x:c>
      <x:c r="AG1014" s="34"/>
      <x:c r="AH1014" s="34"/>
      <x:c r="AI1014" s="34"/>
    </x:row>
    <x:row r="1015">
      <x:c r="A1015" s="34" t="str">
        <x:v>article1-unified-v4-2-fb3f101b-20260903-000401-default-f05-p1-jcs321</x:v>
      </x:c>
      <x:c r="B1015" s="34" t="str">
        <x:v>default</x:v>
      </x:c>
      <x:c r="C1015" s="34" t="str">
        <x:v>jcs321</x:v>
      </x:c>
      <x:c r="D1015" s="34" t="str">
        <x:v>jcs321</x:v>
      </x:c>
      <x:c r="E1015" s="36" t="n">
        <x:v>5</x:v>
      </x:c>
      <x:c r="F1015" s="36" t="n">
        <x:v>5</x:v>
      </x:c>
      <x:c r="G1015" s="36" t="n">
        <x:v>1</x:v>
      </x:c>
      <x:c r="H1015" s="36" t="n">
        <x:v>4</x:v>
      </x:c>
      <x:c r="I1015" s="34" t="str">
        <x:v>afterUndeploy</x:v>
      </x:c>
      <x:c r="J1015" s="34" t="str">
        <x:v>after-undeploy-final</x:v>
      </x:c>
      <x:c r="K1015" s="36" t="n">
        <x:v>1</x:v>
      </x:c>
      <x:c r="L1015" s="34" t="str">
        <x:v>final</x:v>
      </x:c>
      <x:c r="M1015" s="34" t="str">
        <x:v>article1-unified-v4-2-fb3f101b-20260903-000401-default-f05-p1-jcs321-4-after-undeploy-final-10s</x:v>
      </x:c>
      <x:c r="N1015" s="38" t="n">
        <x:v>46268.0620503125</x:v>
      </x:c>
      <x:c r="O1015" s="36" t="n">
        <x:v>2</x:v>
      </x:c>
      <x:c r="P1015" s="43" t="n">
        <x:v>41009152</x:v>
      </x:c>
      <x:c r="Q1015" s="43" t="n">
        <x:v>268435456</x:v>
      </x:c>
      <x:c r="R1015" s="43" t="n">
        <x:v>562775040</x:v>
      </x:c>
      <x:c r="S1015" s="36" t="n">
        <x:v>8</x:v>
      </x:c>
      <x:c r="T1015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0x00007ceb7c19b700    4423  20996096  20977728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5" s="36" t="n">
        <x:v>34</x:v>
      </x:c>
      <x:c r="V1015" s="36" t="n">
        <x:v>7</x:v>
      </x:c>
      <x:c r="W101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015" s="36" t="n">
        <x:v>7</x:v>
      </x:c>
      <x:c r="Y1015" s="36" t="n">
        <x:v>7</x:v>
      </x:c>
      <x:c r="Z1015" s="44" t="str">
        <x:v>/jcs321</x:v>
      </x:c>
      <x:c r="AA1015" s="45" t="b">
        <x:v>1</x:v>
      </x:c>
      <x:c r="AB1015" s="43"/>
      <x:c r="AC1015" s="34" t="str">
        <x:v>article1-unified-v4-2-fb3f101b-20260903-000401-default-f05-p1-jcs321-4-after-undeploy-final-10s-heap-info.txt</x:v>
      </x:c>
      <x:c r="AD1015" s="34" t="str">
        <x:v>article1-unified-v4-2-fb3f101b-20260903-000401-default-f05-p1-jcs321-4-after-undeploy-final-10s-classloader-stats.txt</x:v>
      </x:c>
      <x:c r="AE1015" s="34" t="str">
        <x:v>article1-unified-v4-2-fb3f101b-20260903-000401-default-f05-p1-jcs321-4-after-undeploy-final-10s-thread-dump.txt</x:v>
      </x:c>
      <x:c r="AF1015" s="34"/>
      <x:c r="AG1015" s="34" t="str">
        <x:v>article1-unified-v4-2-fb3f101b-20260903-000401-default-f05-p1-jcs321-4-after-undeploy-final-10s-native-memory.txt</x:v>
      </x:c>
      <x:c r="AH1015" s="34" t="str">
        <x:v>article1-unified-v4-2-fb3f101b-20260903-000401-default-f05-p1-jcs321-4-after-undeploy-final-10s-class-histogram.txt</x:v>
      </x:c>
      <x:c r="AI1015" s="34" t="str">
        <x:v>article1-unified-v4-2-fb3f101b-20260903-000401-default-f05-p1-jcs321-4-after-undeploy-tomcat-findleaks.txt</x:v>
      </x:c>
    </x:row>
    <x:row r="1016">
      <x:c r="A1016" s="34" t="str">
        <x:v>article1-unified-v4-2-fb3f101b-20260903-000401-default-f05-p1-jcs321</x:v>
      </x:c>
      <x:c r="B1016" s="34" t="str">
        <x:v>default</x:v>
      </x:c>
      <x:c r="C1016" s="34" t="str">
        <x:v>jcs321</x:v>
      </x:c>
      <x:c r="D1016" s="34" t="str">
        <x:v>jcs321</x:v>
      </x:c>
      <x:c r="E1016" s="36" t="n">
        <x:v>5</x:v>
      </x:c>
      <x:c r="F1016" s="36" t="n">
        <x:v>5</x:v>
      </x:c>
      <x:c r="G1016" s="36" t="n">
        <x:v>1</x:v>
      </x:c>
      <x:c r="H1016" s="36" t="n">
        <x:v>4</x:v>
      </x:c>
      <x:c r="I1016" s="34" t="str">
        <x:v>redeployedLoaded</x:v>
      </x:c>
      <x:c r="J1016" s="34" t="str">
        <x:v>redeployed-loaded</x:v>
      </x:c>
      <x:c r="K1016" s="36" t="n">
        <x:v>0</x:v>
      </x:c>
      <x:c r="L1016" s="34" t="str">
        <x:v>redeploy</x:v>
      </x:c>
      <x:c r="M1016" s="34" t="str">
        <x:v>article1-unified-v4-2-fb3f101b-20260903-000401-default-f05-p1-jcs321-4-redeployed-loaded</x:v>
      </x:c>
      <x:c r="N1016" s="38" t="n">
        <x:v>46268.0623096875</x:v>
      </x:c>
      <x:c r="O1016" s="36" t="n">
        <x:v>0</x:v>
      </x:c>
      <x:c r="P1016" s="43" t="n">
        <x:v>152697856</x:v>
      </x:c>
      <x:c r="Q1016" s="43" t="n">
        <x:v>268435456</x:v>
      </x:c>
      <x:c r="R1016" s="43" t="n">
        <x:v>586868736</x:v>
      </x:c>
      <x:c r="S1016" s="36" t="n">
        <x:v>9</x:v>
      </x:c>
      <x:c r="T1016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0x00007cebac3de040    4434  21048320  21022616  org.apache.catalina.loader.ParallelWebappClassLoader | 0x000000007d1177b8  0x000000007d003818  0x00007ceb5c199480    4403  20974592  20958776  org.apache.catalina.loader.ParallelWebappClassLoader | 0x000000007d1177b8  0x000000007d003818  0x00007cec58605c50       0         0         0  org.apache.catalina.loader.ParallelWebappClassLoader | 0x000000007d1177b8  0x000000007d003818  0x00007ceb7c19b700    4423  20996096  20977728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6" s="36" t="n">
        <x:v>35</x:v>
      </x:c>
      <x:c r="V1016" s="36" t="n">
        <x:v>8</x:v>
      </x:c>
      <x:c r="W101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016" s="36"/>
      <x:c r="Y1016" s="36"/>
      <x:c r="Z1016" s="44"/>
      <x:c r="AA1016" s="49"/>
      <x:c r="AB1016" s="43"/>
      <x:c r="AC1016" s="34"/>
      <x:c r="AD1016" s="34"/>
      <x:c r="AE1016" s="34"/>
      <x:c r="AF1016" s="34"/>
      <x:c r="AG1016" s="34"/>
      <x:c r="AH1016" s="34"/>
      <x:c r="AI1016" s="34"/>
    </x:row>
    <x:row r="1017">
      <x:c r="A1017" s="34" t="str">
        <x:v>article1-unified-v4-2-fb3f101b-20260903-000401-default-f05-p1-jcs321</x:v>
      </x:c>
      <x:c r="B1017" s="34" t="str">
        <x:v>default</x:v>
      </x:c>
      <x:c r="C1017" s="34" t="str">
        <x:v>jcs321</x:v>
      </x:c>
      <x:c r="D1017" s="34" t="str">
        <x:v>jcs321</x:v>
      </x:c>
      <x:c r="E1017" s="36" t="n">
        <x:v>5</x:v>
      </x:c>
      <x:c r="F1017" s="36" t="n">
        <x:v>5</x:v>
      </x:c>
      <x:c r="G1017" s="36" t="n">
        <x:v>1</x:v>
      </x:c>
      <x:c r="H1017" s="36" t="n">
        <x:v>4</x:v>
      </x:c>
      <x:c r="I1017" s="34" t="str">
        <x:v>afterFinalUndeployEarly</x:v>
      </x:c>
      <x:c r="J1017" s="34" t="str">
        <x:v>after-final-undeploy-early</x:v>
      </x:c>
      <x:c r="K1017" s="36" t="n">
        <x:v>2</x:v>
      </x:c>
      <x:c r="L1017" s="34" t="str">
        <x:v>early</x:v>
      </x:c>
      <x:c r="M1017" s="34" t="str">
        <x:v>article1-unified-v4-2-fb3f101b-20260903-000401-default-f05-p1-jcs321-4-after-final-undeploy-early-2s</x:v>
      </x:c>
      <x:c r="N1017" s="38" t="n">
        <x:v>46268.06239261574</x:v>
      </x:c>
      <x:c r="O1017" s="36"/>
      <x:c r="P1017" s="43"/>
      <x:c r="Q1017" s="43"/>
      <x:c r="R1017" s="43"/>
      <x:c r="S1017" s="36"/>
      <x:c r="T1017" s="44"/>
      <x:c r="U1017" s="36" t="n">
        <x:v>35</x:v>
      </x:c>
      <x:c r="V1017" s="36" t="n">
        <x:v>8</x:v>
      </x:c>
      <x:c r="W101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017" s="36"/>
      <x:c r="Y1017" s="36"/>
      <x:c r="Z1017" s="44"/>
      <x:c r="AA1017" s="49"/>
      <x:c r="AB1017" s="43" t="n">
        <x:v>17</x:v>
      </x:c>
      <x:c r="AC1017" s="34"/>
      <x:c r="AD1017" s="34"/>
      <x:c r="AE1017" s="34" t="str">
        <x:v>article1-unified-v4-2-fb3f101b-20260903-000401-default-f05-p1-jcs321-4-after-final-undeploy-early-2s-thread-dump.txt</x:v>
      </x:c>
      <x:c r="AF1017" s="34" t="str">
        <x:v>article1-unified-v4-2-fb3f101b-20260903-000401-default-f05-p1-jcs321-4-after-final-undeploy-early-tomcat-log.txt</x:v>
      </x:c>
      <x:c r="AG1017" s="34"/>
      <x:c r="AH1017" s="34"/>
      <x:c r="AI1017" s="34"/>
    </x:row>
    <x:row r="1018">
      <x:c r="A1018" s="34" t="str">
        <x:v>article1-unified-v4-2-fb3f101b-20260903-000401-default-f05-p1-jcs321</x:v>
      </x:c>
      <x:c r="B1018" s="34" t="str">
        <x:v>default</x:v>
      </x:c>
      <x:c r="C1018" s="34" t="str">
        <x:v>jcs321</x:v>
      </x:c>
      <x:c r="D1018" s="34" t="str">
        <x:v>jcs321</x:v>
      </x:c>
      <x:c r="E1018" s="36" t="n">
        <x:v>5</x:v>
      </x:c>
      <x:c r="F1018" s="36" t="n">
        <x:v>5</x:v>
      </x:c>
      <x:c r="G1018" s="36" t="n">
        <x:v>1</x:v>
      </x:c>
      <x:c r="H1018" s="36" t="n">
        <x:v>4</x:v>
      </x:c>
      <x:c r="I1018" s="34" t="str">
        <x:v>afterFinalUndeploy</x:v>
      </x:c>
      <x:c r="J1018" s="34" t="str">
        <x:v>after-final-undeploy-final</x:v>
      </x:c>
      <x:c r="K1018" s="36" t="n">
        <x:v>2</x:v>
      </x:c>
      <x:c r="L1018" s="34" t="str">
        <x:v>final</x:v>
      </x:c>
      <x:c r="M1018" s="34" t="str">
        <x:v>article1-unified-v4-2-fb3f101b-20260903-000401-default-f05-p1-jcs321-4-after-final-undeploy-final-10s</x:v>
      </x:c>
      <x:c r="N1018" s="38" t="n">
        <x:v>46268.0625543287</x:v>
      </x:c>
      <x:c r="O1018" s="36" t="n">
        <x:v>2</x:v>
      </x:c>
      <x:c r="P1018" s="43" t="n">
        <x:v>45296640</x:v>
      </x:c>
      <x:c r="Q1018" s="43" t="n">
        <x:v>268435456</x:v>
      </x:c>
      <x:c r="R1018" s="43" t="n">
        <x:v>586505216</x:v>
      </x:c>
      <x:c r="S1018" s="36" t="n">
        <x:v>9</x:v>
      </x:c>
      <x:c r="T1018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0x00007ceb7c19b700    4423  20996096  20977728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0x00007ceb5c199480    4417  21007360  20993728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8" s="36" t="n">
        <x:v>35</x:v>
      </x:c>
      <x:c r="V1018" s="36" t="n">
        <x:v>8</x:v>
      </x:c>
      <x:c r="W101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018" s="36" t="n">
        <x:v>8</x:v>
      </x:c>
      <x:c r="Y1018" s="36" t="n">
        <x:v>8</x:v>
      </x:c>
      <x:c r="Z1018" s="44" t="str">
        <x:v>/jcs321</x:v>
      </x:c>
      <x:c r="AA1018" s="45" t="b">
        <x:v>1</x:v>
      </x:c>
      <x:c r="AB1018" s="43"/>
      <x:c r="AC1018" s="34" t="str">
        <x:v>article1-unified-v4-2-fb3f101b-20260903-000401-default-f05-p1-jcs321-4-after-final-undeploy-final-10s-heap-info.txt</x:v>
      </x:c>
      <x:c r="AD1018" s="34" t="str">
        <x:v>article1-unified-v4-2-fb3f101b-20260903-000401-default-f05-p1-jcs321-4-after-final-undeploy-final-10s-classloader-stats.txt</x:v>
      </x:c>
      <x:c r="AE1018" s="34" t="str">
        <x:v>article1-unified-v4-2-fb3f101b-20260903-000401-default-f05-p1-jcs321-4-after-final-undeploy-final-10s-thread-dump.txt</x:v>
      </x:c>
      <x:c r="AF1018" s="34"/>
      <x:c r="AG1018" s="34" t="str">
        <x:v>article1-unified-v4-2-fb3f101b-20260903-000401-default-f05-p1-jcs321-4-after-final-undeploy-final-10s-native-memory.txt</x:v>
      </x:c>
      <x:c r="AH1018" s="34" t="str">
        <x:v>article1-unified-v4-2-fb3f101b-20260903-000401-default-f05-p1-jcs321-4-after-final-undeploy-final-10s-class-histogram.txt</x:v>
      </x:c>
      <x:c r="AI1018" s="34" t="str">
        <x:v>article1-unified-v4-2-fb3f101b-20260903-000401-default-f05-p1-jcs321-4-after-final-undeploy-tomcat-findleaks.txt</x:v>
      </x:c>
    </x:row>
    <x:row r="1019">
      <x:c r="A1019" s="34" t="str">
        <x:v>article1-unified-v4-2-fb3f101b-20260903-000401-default-f05-p1-jcs321</x:v>
      </x:c>
      <x:c r="B1019" s="34" t="str">
        <x:v>default</x:v>
      </x:c>
      <x:c r="C1019" s="34" t="str">
        <x:v>jcs321</x:v>
      </x:c>
      <x:c r="D1019" s="34" t="str">
        <x:v>jcs321</x:v>
      </x:c>
      <x:c r="E1019" s="36" t="n">
        <x:v>5</x:v>
      </x:c>
      <x:c r="F1019" s="36" t="n">
        <x:v>5</x:v>
      </x:c>
      <x:c r="G1019" s="36" t="n">
        <x:v>1</x:v>
      </x:c>
      <x:c r="H1019" s="36" t="n">
        <x:v>5</x:v>
      </x:c>
      <x:c r="I1019" s="34" t="str">
        <x:v>baseline</x:v>
      </x:c>
      <x:c r="J1019" s="34" t="str">
        <x:v>cycle-baseline</x:v>
      </x:c>
      <x:c r="K1019" s="36" t="n">
        <x:v>0</x:v>
      </x:c>
      <x:c r="L1019" s="34" t="str">
        <x:v>baseline</x:v>
      </x:c>
      <x:c r="M1019" s="34" t="str">
        <x:v>article1-unified-v4-2-fb3f101b-20260903-000401-default-f05-p1-jcs321-5-baseline</x:v>
      </x:c>
      <x:c r="N1019" s="38" t="n">
        <x:v>46268.06259746528</x:v>
      </x:c>
      <x:c r="O1019" s="36" t="n">
        <x:v>0</x:v>
      </x:c>
      <x:c r="P1019" s="43" t="n">
        <x:v>45296640</x:v>
      </x:c>
      <x:c r="Q1019" s="43" t="n">
        <x:v>268435456</x:v>
      </x:c>
      <x:c r="R1019" s="43" t="n">
        <x:v>586503168</x:v>
      </x:c>
      <x:c r="S1019" s="36" t="n">
        <x:v>9</x:v>
      </x:c>
      <x:c r="T1019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0x00007ceb7c19b700    4423  20996096  20977728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0x00007ceb5c199480    4417  21007360  20993728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19" s="36" t="n">
        <x:v>35</x:v>
      </x:c>
      <x:c r="V1019" s="36" t="n">
        <x:v>8</x:v>
      </x:c>
      <x:c r="W101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019" s="36"/>
      <x:c r="Y1019" s="36"/>
      <x:c r="Z1019" s="44"/>
      <x:c r="AA1019" s="49"/>
      <x:c r="AB1019" s="43"/>
      <x:c r="AC1019" s="34" t="str">
        <x:v>article1-unified-v4-2-fb3f101b-20260903-000401-default-f05-p1-jcs321-5-baseline-heap-info.txt</x:v>
      </x:c>
      <x:c r="AD1019" s="34" t="str">
        <x:v>article1-unified-v4-2-fb3f101b-20260903-000401-default-f05-p1-jcs321-5-baseline-classloader-stats.txt</x:v>
      </x:c>
      <x:c r="AE1019" s="34" t="str">
        <x:v>article1-unified-v4-2-fb3f101b-20260903-000401-default-f05-p1-jcs321-5-baseline-thread-dump.txt</x:v>
      </x:c>
      <x:c r="AF1019" s="34"/>
      <x:c r="AG1019" s="34" t="str">
        <x:v>article1-unified-v4-2-fb3f101b-20260903-000401-default-f05-p1-jcs321-5-baseline-native-memory.txt</x:v>
      </x:c>
      <x:c r="AH1019" s="34"/>
      <x:c r="AI1019" s="34"/>
    </x:row>
    <x:row r="1020">
      <x:c r="A1020" s="34" t="str">
        <x:v>article1-unified-v4-2-fb3f101b-20260903-000401-default-f05-p1-jcs321</x:v>
      </x:c>
      <x:c r="B1020" s="34" t="str">
        <x:v>default</x:v>
      </x:c>
      <x:c r="C1020" s="34" t="str">
        <x:v>jcs321</x:v>
      </x:c>
      <x:c r="D1020" s="34" t="str">
        <x:v>jcs321</x:v>
      </x:c>
      <x:c r="E1020" s="36" t="n">
        <x:v>5</x:v>
      </x:c>
      <x:c r="F1020" s="36" t="n">
        <x:v>5</x:v>
      </x:c>
      <x:c r="G1020" s="36" t="n">
        <x:v>1</x:v>
      </x:c>
      <x:c r="H1020" s="36" t="n">
        <x:v>5</x:v>
      </x:c>
      <x:c r="I1020" s="34" t="str">
        <x:v>deployedIdle</x:v>
      </x:c>
      <x:c r="J1020" s="34" t="str">
        <x:v>deployed-idle</x:v>
      </x:c>
      <x:c r="K1020" s="36" t="n">
        <x:v>0</x:v>
      </x:c>
      <x:c r="L1020" s="34" t="str">
        <x:v>initial</x:v>
      </x:c>
      <x:c r="M1020" s="34" t="str">
        <x:v>article1-unified-v4-2-fb3f101b-20260903-000401-default-f05-p1-jcs321-5-deployed-idle</x:v>
      </x:c>
      <x:c r="N1020" s="38" t="n">
        <x:v>46268.06269637732</x:v>
      </x:c>
      <x:c r="O1020" s="36" t="n">
        <x:v>0</x:v>
      </x:c>
      <x:c r="P1020" s="43" t="n">
        <x:v>197272576</x:v>
      </x:c>
      <x:c r="Q1020" s="43" t="n">
        <x:v>268435456</x:v>
      </x:c>
      <x:c r="R1020" s="43" t="n">
        <x:v>608921600</x:v>
      </x:c>
      <x:c r="S1020" s="36" t="n">
        <x:v>10</x:v>
      </x:c>
      <x:c r="T1020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0x00007ceb7c19b700    4423  20996096  20977728  org.apache.catalina.loader.ParallelWebappClassLoader | 0x000000007d1177b8  0x000000007d003818  0x00007cebac3de040    4434  21048320  21022616  org.apache.catalina.loader.ParallelWebappClassLoader | 0x000000007d1177b8  0x000000007d003818  0x00007cebcc100de0    4091  19427328  19422224  org.apache.catalina.loader.ParallelWebappClassLoader | 0x000000007d1177b8  0x000000007d003818  0x00007cec58605c50       0         0         0  org.apache.catalina.loader.ParallelWebappClassLoader | 0x000000007d1177b8  0x000000007d003818  0x00007ceb5c199480    4417  21007360  20993728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20" s="36" t="n">
        <x:v>35</x:v>
      </x:c>
      <x:c r="V1020" s="36" t="n">
        <x:v>8</x:v>
      </x:c>
      <x:c r="W102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020" s="36"/>
      <x:c r="Y1020" s="36"/>
      <x:c r="Z1020" s="44"/>
      <x:c r="AA1020" s="49"/>
      <x:c r="AB1020" s="43"/>
      <x:c r="AC1020" s="34"/>
      <x:c r="AD1020" s="34"/>
      <x:c r="AE1020" s="34"/>
      <x:c r="AF1020" s="34"/>
      <x:c r="AG1020" s="34"/>
      <x:c r="AH1020" s="34"/>
      <x:c r="AI1020" s="34"/>
    </x:row>
    <x:row r="1021">
      <x:c r="A1021" s="34" t="str">
        <x:v>article1-unified-v4-2-fb3f101b-20260903-000401-default-f05-p1-jcs321</x:v>
      </x:c>
      <x:c r="B1021" s="34" t="str">
        <x:v>default</x:v>
      </x:c>
      <x:c r="C1021" s="34" t="str">
        <x:v>jcs321</x:v>
      </x:c>
      <x:c r="D1021" s="34" t="str">
        <x:v>jcs321</x:v>
      </x:c>
      <x:c r="E1021" s="36" t="n">
        <x:v>5</x:v>
      </x:c>
      <x:c r="F1021" s="36" t="n">
        <x:v>5</x:v>
      </x:c>
      <x:c r="G1021" s="36" t="n">
        <x:v>1</x:v>
      </x:c>
      <x:c r="H1021" s="36" t="n">
        <x:v>5</x:v>
      </x:c>
      <x:c r="I1021" s="34" t="str">
        <x:v>loaded</x:v>
      </x:c>
      <x:c r="J1021" s="34" t="str">
        <x:v>loaded</x:v>
      </x:c>
      <x:c r="K1021" s="36" t="n">
        <x:v>0</x:v>
      </x:c>
      <x:c r="L1021" s="34" t="str">
        <x:v>initial</x:v>
      </x:c>
      <x:c r="M1021" s="34" t="str">
        <x:v>article1-unified-v4-2-fb3f101b-20260903-000401-default-f05-p1-jcs321-5-loaded</x:v>
      </x:c>
      <x:c r="N1021" s="38" t="n">
        <x:v>46268.06284803241</x:v>
      </x:c>
      <x:c r="O1021" s="36" t="n">
        <x:v>0</x:v>
      </x:c>
      <x:c r="P1021" s="43" t="n">
        <x:v>156880896</x:v>
      </x:c>
      <x:c r="Q1021" s="43" t="n">
        <x:v>268435456</x:v>
      </x:c>
      <x:c r="R1021" s="43" t="n">
        <x:v>612700160</x:v>
      </x:c>
      <x:c r="S1021" s="36" t="n">
        <x:v>10</x:v>
      </x:c>
      <x:c r="T1021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0x00007ceb7c19b700    4423  20996096  20977728  org.apache.catalina.loader.ParallelWebappClassLoader | 0x000000007d1177b8  0x000000007d003818  0x00007cebac3de040    4434  21048320  21022616  org.apache.catalina.loader.ParallelWebappClassLoader | 0x000000007d1177b8  0x000000007d003818  0x00007cebcc100de0    4406  20967424  20950512  org.apache.catalina.loader.ParallelWebappClassLoader | 0x000000007d1177b8  0x000000007d003818  0x00007cec58605c50       0         0         0  org.apache.catalina.loader.ParallelWebappClassLoader | 0x000000007d1177b8  0x000000007d003818  0x00007ceb5c199480    4417  21007360  20993728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21" s="36" t="n">
        <x:v>36</x:v>
      </x:c>
      <x:c r="V1021" s="36" t="n">
        <x:v>9</x:v>
      </x:c>
      <x:c r="W102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1021" s="36"/>
      <x:c r="Y1021" s="36"/>
      <x:c r="Z1021" s="44"/>
      <x:c r="AA1021" s="49"/>
      <x:c r="AB1021" s="43"/>
      <x:c r="AC1021" s="34"/>
      <x:c r="AD1021" s="34"/>
      <x:c r="AE1021" s="34"/>
      <x:c r="AF1021" s="34"/>
      <x:c r="AG1021" s="34"/>
      <x:c r="AH1021" s="34"/>
      <x:c r="AI1021" s="34"/>
    </x:row>
    <x:row r="1022">
      <x:c r="A1022" s="34" t="str">
        <x:v>article1-unified-v4-2-fb3f101b-20260903-000401-default-f05-p1-jcs321</x:v>
      </x:c>
      <x:c r="B1022" s="34" t="str">
        <x:v>default</x:v>
      </x:c>
      <x:c r="C1022" s="34" t="str">
        <x:v>jcs321</x:v>
      </x:c>
      <x:c r="D1022" s="34" t="str">
        <x:v>jcs321</x:v>
      </x:c>
      <x:c r="E1022" s="36" t="n">
        <x:v>5</x:v>
      </x:c>
      <x:c r="F1022" s="36" t="n">
        <x:v>5</x:v>
      </x:c>
      <x:c r="G1022" s="36" t="n">
        <x:v>1</x:v>
      </x:c>
      <x:c r="H1022" s="36" t="n">
        <x:v>5</x:v>
      </x:c>
      <x:c r="I1022" s="34" t="str">
        <x:v>afterUndeployEarly</x:v>
      </x:c>
      <x:c r="J1022" s="34" t="str">
        <x:v>after-undeploy-early</x:v>
      </x:c>
      <x:c r="K1022" s="36" t="n">
        <x:v>1</x:v>
      </x:c>
      <x:c r="L1022" s="34" t="str">
        <x:v>early</x:v>
      </x:c>
      <x:c r="M1022" s="34" t="str">
        <x:v>article1-unified-v4-2-fb3f101b-20260903-000401-default-f05-p1-jcs321-5-after-undeploy-early-2s</x:v>
      </x:c>
      <x:c r="N1022" s="38" t="n">
        <x:v>46268.06292989583</x:v>
      </x:c>
      <x:c r="O1022" s="36"/>
      <x:c r="P1022" s="43"/>
      <x:c r="Q1022" s="43"/>
      <x:c r="R1022" s="43"/>
      <x:c r="S1022" s="36"/>
      <x:c r="T1022" s="44"/>
      <x:c r="U1022" s="36" t="n">
        <x:v>36</x:v>
      </x:c>
      <x:c r="V1022" s="36" t="n">
        <x:v>9</x:v>
      </x:c>
      <x:c r="W102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1022" s="36"/>
      <x:c r="Y1022" s="36"/>
      <x:c r="Z1022" s="44"/>
      <x:c r="AA1022" s="49"/>
      <x:c r="AB1022" s="43" t="n">
        <x:v>17</x:v>
      </x:c>
      <x:c r="AC1022" s="34"/>
      <x:c r="AD1022" s="34"/>
      <x:c r="AE1022" s="34" t="str">
        <x:v>article1-unified-v4-2-fb3f101b-20260903-000401-default-f05-p1-jcs321-5-after-undeploy-early-2s-thread-dump.txt</x:v>
      </x:c>
      <x:c r="AF1022" s="34" t="str">
        <x:v>article1-unified-v4-2-fb3f101b-20260903-000401-default-f05-p1-jcs321-5-after-undeploy-early-tomcat-log.txt</x:v>
      </x:c>
      <x:c r="AG1022" s="34"/>
      <x:c r="AH1022" s="34"/>
      <x:c r="AI1022" s="34"/>
    </x:row>
    <x:row r="1023">
      <x:c r="A1023" s="34" t="str">
        <x:v>article1-unified-v4-2-fb3f101b-20260903-000401-default-f05-p1-jcs321</x:v>
      </x:c>
      <x:c r="B1023" s="34" t="str">
        <x:v>default</x:v>
      </x:c>
      <x:c r="C1023" s="34" t="str">
        <x:v>jcs321</x:v>
      </x:c>
      <x:c r="D1023" s="34" t="str">
        <x:v>jcs321</x:v>
      </x:c>
      <x:c r="E1023" s="36" t="n">
        <x:v>5</x:v>
      </x:c>
      <x:c r="F1023" s="36" t="n">
        <x:v>5</x:v>
      </x:c>
      <x:c r="G1023" s="36" t="n">
        <x:v>1</x:v>
      </x:c>
      <x:c r="H1023" s="36" t="n">
        <x:v>5</x:v>
      </x:c>
      <x:c r="I1023" s="34" t="str">
        <x:v>afterUndeploy</x:v>
      </x:c>
      <x:c r="J1023" s="34" t="str">
        <x:v>after-undeploy-final</x:v>
      </x:c>
      <x:c r="K1023" s="36" t="n">
        <x:v>1</x:v>
      </x:c>
      <x:c r="L1023" s="34" t="str">
        <x:v>final</x:v>
      </x:c>
      <x:c r="M1023" s="34" t="str">
        <x:v>article1-unified-v4-2-fb3f101b-20260903-000401-default-f05-p1-jcs321-5-after-undeploy-final-10s</x:v>
      </x:c>
      <x:c r="N1023" s="38" t="n">
        <x:v>46268.063083483794</x:v>
      </x:c>
      <x:c r="O1023" s="36" t="n">
        <x:v>2</x:v>
      </x:c>
      <x:c r="P1023" s="43" t="n">
        <x:v>49538048</x:v>
      </x:c>
      <x:c r="Q1023" s="43" t="n">
        <x:v>268435456</x:v>
      </x:c>
      <x:c r="R1023" s="43" t="n">
        <x:v>611571712</x:v>
      </x:c>
      <x:c r="S1023" s="36" t="n">
        <x:v>10</x:v>
      </x:c>
      <x:c r="T1023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0x00007ceb7c19b700    4423  20996096  20977728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0x00007cebcc100de0    4420  21016576  20985440  org.apache.catalina.loader.ParallelWebappClassLoader | 0x000000007d1177b8  0x000000007d003818  0x00007ceb5c199480    4417  21007360  20993728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23" s="36" t="n">
        <x:v>36</x:v>
      </x:c>
      <x:c r="V1023" s="36" t="n">
        <x:v>9</x:v>
      </x:c>
      <x:c r="W102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1023" s="36" t="n">
        <x:v>9</x:v>
      </x:c>
      <x:c r="Y1023" s="36" t="n">
        <x:v>9</x:v>
      </x:c>
      <x:c r="Z1023" s="44" t="str">
        <x:v>/jcs321</x:v>
      </x:c>
      <x:c r="AA1023" s="45" t="b">
        <x:v>1</x:v>
      </x:c>
      <x:c r="AB1023" s="43"/>
      <x:c r="AC1023" s="34" t="str">
        <x:v>article1-unified-v4-2-fb3f101b-20260903-000401-default-f05-p1-jcs321-5-after-undeploy-final-10s-heap-info.txt</x:v>
      </x:c>
      <x:c r="AD1023" s="34" t="str">
        <x:v>article1-unified-v4-2-fb3f101b-20260903-000401-default-f05-p1-jcs321-5-after-undeploy-final-10s-classloader-stats.txt</x:v>
      </x:c>
      <x:c r="AE1023" s="34" t="str">
        <x:v>article1-unified-v4-2-fb3f101b-20260903-000401-default-f05-p1-jcs321-5-after-undeploy-final-10s-thread-dump.txt</x:v>
      </x:c>
      <x:c r="AF1023" s="34"/>
      <x:c r="AG1023" s="34" t="str">
        <x:v>article1-unified-v4-2-fb3f101b-20260903-000401-default-f05-p1-jcs321-5-after-undeploy-final-10s-native-memory.txt</x:v>
      </x:c>
      <x:c r="AH1023" s="34" t="str">
        <x:v>article1-unified-v4-2-fb3f101b-20260903-000401-default-f05-p1-jcs321-5-after-undeploy-final-10s-class-histogram.txt</x:v>
      </x:c>
      <x:c r="AI1023" s="34" t="str">
        <x:v>article1-unified-v4-2-fb3f101b-20260903-000401-default-f05-p1-jcs321-5-after-undeploy-tomcat-findleaks.txt</x:v>
      </x:c>
    </x:row>
    <x:row r="1024">
      <x:c r="A1024" s="34" t="str">
        <x:v>article1-unified-v4-2-fb3f101b-20260903-000401-default-f05-p1-jcs321</x:v>
      </x:c>
      <x:c r="B1024" s="34" t="str">
        <x:v>default</x:v>
      </x:c>
      <x:c r="C1024" s="34" t="str">
        <x:v>jcs321</x:v>
      </x:c>
      <x:c r="D1024" s="34" t="str">
        <x:v>jcs321</x:v>
      </x:c>
      <x:c r="E1024" s="36" t="n">
        <x:v>5</x:v>
      </x:c>
      <x:c r="F1024" s="36" t="n">
        <x:v>5</x:v>
      </x:c>
      <x:c r="G1024" s="36" t="n">
        <x:v>1</x:v>
      </x:c>
      <x:c r="H1024" s="36" t="n">
        <x:v>5</x:v>
      </x:c>
      <x:c r="I1024" s="34" t="str">
        <x:v>redeployedLoaded</x:v>
      </x:c>
      <x:c r="J1024" s="34" t="str">
        <x:v>redeployed-loaded</x:v>
      </x:c>
      <x:c r="K1024" s="36" t="n">
        <x:v>0</x:v>
      </x:c>
      <x:c r="L1024" s="34" t="str">
        <x:v>redeploy</x:v>
      </x:c>
      <x:c r="M1024" s="34" t="str">
        <x:v>article1-unified-v4-2-fb3f101b-20260903-000401-default-f05-p1-jcs321-5-redeployed-loaded</x:v>
      </x:c>
      <x:c r="N1024" s="38" t="n">
        <x:v>46268.063340555556</x:v>
      </x:c>
      <x:c r="O1024" s="36" t="n">
        <x:v>0</x:v>
      </x:c>
      <x:c r="P1024" s="43" t="n">
        <x:v>164413440</x:v>
      </x:c>
      <x:c r="Q1024" s="43" t="n">
        <x:v>268435456</x:v>
      </x:c>
      <x:c r="R1024" s="43" t="n">
        <x:v>637904896</x:v>
      </x:c>
      <x:c r="S1024" s="36" t="n">
        <x:v>11</x:v>
      </x:c>
      <x:c r="T1024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0x00007ceb7c19b700    4423  20996096  20977728  org.apache.catalina.loader.ParallelWebappClassLoader | 0x000000007d1177b8  0x000000007d003818  0x00007cebac3de040    4434  21048320  21022616  org.apache.catalina.loader.ParallelWebappClassLoader | 0x000000007d1177b8  0x000000007d003818  0x00007ceb400e9f20    4413  20986880  20979824  org.apache.catalina.loader.ParallelWebappClassLoader | 0x000000007d1177b8  0x000000007d003818  0x00007cec58605c50       0         0         0  org.apache.catalina.loader.ParallelWebappClassLoader | 0x000000007d1177b8  0x000000007d003818  0x00007cebcc100de0    4420  21016576  20985440  org.apache.catalina.loader.ParallelWebappClassLoader | 0x000000007d1177b8  0x000000007d003818  0x00007ceb5c199480    4417  21007360  20993728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24" s="36" t="n">
        <x:v>37</x:v>
      </x:c>
      <x:c r="V1024" s="36" t="n">
        <x:v>10</x:v>
      </x:c>
      <x:c r="W102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024" s="36"/>
      <x:c r="Y1024" s="36"/>
      <x:c r="Z1024" s="44"/>
      <x:c r="AA1024" s="49"/>
      <x:c r="AB1024" s="43"/>
      <x:c r="AC1024" s="34"/>
      <x:c r="AD1024" s="34"/>
      <x:c r="AE1024" s="34"/>
      <x:c r="AF1024" s="34"/>
      <x:c r="AG1024" s="34"/>
      <x:c r="AH1024" s="34"/>
      <x:c r="AI1024" s="34"/>
    </x:row>
    <x:row r="1025">
      <x:c r="A1025" s="34" t="str">
        <x:v>article1-unified-v4-2-fb3f101b-20260903-000401-default-f05-p1-jcs321</x:v>
      </x:c>
      <x:c r="B1025" s="34" t="str">
        <x:v>default</x:v>
      </x:c>
      <x:c r="C1025" s="34" t="str">
        <x:v>jcs321</x:v>
      </x:c>
      <x:c r="D1025" s="34" t="str">
        <x:v>jcs321</x:v>
      </x:c>
      <x:c r="E1025" s="36" t="n">
        <x:v>5</x:v>
      </x:c>
      <x:c r="F1025" s="36" t="n">
        <x:v>5</x:v>
      </x:c>
      <x:c r="G1025" s="36" t="n">
        <x:v>1</x:v>
      </x:c>
      <x:c r="H1025" s="36" t="n">
        <x:v>5</x:v>
      </x:c>
      <x:c r="I1025" s="34" t="str">
        <x:v>afterFinalUndeployEarly</x:v>
      </x:c>
      <x:c r="J1025" s="34" t="str">
        <x:v>after-final-undeploy-early</x:v>
      </x:c>
      <x:c r="K1025" s="36" t="n">
        <x:v>2</x:v>
      </x:c>
      <x:c r="L1025" s="34" t="str">
        <x:v>early</x:v>
      </x:c>
      <x:c r="M1025" s="34" t="str">
        <x:v>article1-unified-v4-2-fb3f101b-20260903-000401-default-f05-p1-jcs321-5-after-final-undeploy-early-2s</x:v>
      </x:c>
      <x:c r="N1025" s="38" t="n">
        <x:v>46268.063422604166</x:v>
      </x:c>
      <x:c r="O1025" s="36"/>
      <x:c r="P1025" s="43"/>
      <x:c r="Q1025" s="43"/>
      <x:c r="R1025" s="43"/>
      <x:c r="S1025" s="36"/>
      <x:c r="T1025" s="44"/>
      <x:c r="U1025" s="36" t="n">
        <x:v>37</x:v>
      </x:c>
      <x:c r="V1025" s="36" t="n">
        <x:v>10</x:v>
      </x:c>
      <x:c r="W102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025" s="36"/>
      <x:c r="Y1025" s="36"/>
      <x:c r="Z1025" s="44"/>
      <x:c r="AA1025" s="49"/>
      <x:c r="AB1025" s="43" t="n">
        <x:v>17</x:v>
      </x:c>
      <x:c r="AC1025" s="34"/>
      <x:c r="AD1025" s="34"/>
      <x:c r="AE1025" s="34" t="str">
        <x:v>article1-unified-v4-2-fb3f101b-20260903-000401-default-f05-p1-jcs321-5-after-final-undeploy-early-2s-thread-dump.txt</x:v>
      </x:c>
      <x:c r="AF1025" s="34" t="str">
        <x:v>article1-unified-v4-2-fb3f101b-20260903-000401-default-f05-p1-jcs321-5-after-final-undeploy-early-tomcat-log.txt</x:v>
      </x:c>
      <x:c r="AG1025" s="34"/>
      <x:c r="AH1025" s="34"/>
      <x:c r="AI1025" s="34"/>
    </x:row>
    <x:row r="1026">
      <x:c r="A1026" s="34" t="str">
        <x:v>article1-unified-v4-2-fb3f101b-20260903-000401-default-f05-p1-jcs321</x:v>
      </x:c>
      <x:c r="B1026" s="34" t="str">
        <x:v>default</x:v>
      </x:c>
      <x:c r="C1026" s="34" t="str">
        <x:v>jcs321</x:v>
      </x:c>
      <x:c r="D1026" s="34" t="str">
        <x:v>jcs321</x:v>
      </x:c>
      <x:c r="E1026" s="36" t="n">
        <x:v>5</x:v>
      </x:c>
      <x:c r="F1026" s="36" t="n">
        <x:v>5</x:v>
      </x:c>
      <x:c r="G1026" s="36" t="n">
        <x:v>1</x:v>
      </x:c>
      <x:c r="H1026" s="36" t="n">
        <x:v>5</x:v>
      </x:c>
      <x:c r="I1026" s="34" t="str">
        <x:v>afterFinalUndeploy</x:v>
      </x:c>
      <x:c r="J1026" s="34" t="str">
        <x:v>after-final-undeploy-final</x:v>
      </x:c>
      <x:c r="K1026" s="36" t="n">
        <x:v>2</x:v>
      </x:c>
      <x:c r="L1026" s="34" t="str">
        <x:v>final</x:v>
      </x:c>
      <x:c r="M1026" s="34" t="str">
        <x:v>article1-unified-v4-2-fb3f101b-20260903-000401-default-f05-p1-jcs321-5-after-final-undeploy-final-10s</x:v>
      </x:c>
      <x:c r="N1026" s="38" t="n">
        <x:v>46268.06358375</x:v>
      </x:c>
      <x:c r="O1026" s="36" t="n">
        <x:v>2</x:v>
      </x:c>
      <x:c r="P1026" s="43" t="n">
        <x:v>53766144</x:v>
      </x:c>
      <x:c r="Q1026" s="43" t="n">
        <x:v>268435456</x:v>
      </x:c>
      <x:c r="R1026" s="43" t="n">
        <x:v>636059648</x:v>
      </x:c>
      <x:c r="S1026" s="36" t="n">
        <x:v>11</x:v>
      </x:c>
      <x:c r="T1026" s="44" t="str">
        <x:v>0x000000007d1177b8  0x000000007d003818  0x00007ceb8c00da50    4436  21041152  21025920  org.apache.catalina.loader.ParallelWebappClassLoader | 0x000000007d1177b8  0x000000007d003818  0x00007cebbc0120a0    4447  21045248  21036144  org.apache.catalina.loader.ParallelWebappClassLoader | 0x000000007d1177b8  0x000000007d003818  0x00007ceb400e9f20    4427  21036032  21014776  org.apache.catalina.loader.ParallelWebappClassLoader | 0x000000007d1177b8  0x000000007d003818  0x00007ceb7c19b700    4423  20996096  20977728  org.apache.catalina.loader.ParallelWebappClassLoader | 0x000000007d1177b8  0x000000007d003818  0x00007cebac3de040    4434  21048320  21022616  org.apache.catalina.loader.ParallelWebappClassLoader | 0x000000007d1177b8  0x000000007d003818  0x00007cec58605c50       0         0         0  org.apache.catalina.loader.ParallelWebappClassLoader | 0x000000007d1177b8  0x000000007d003818  0x00007cebcc100de0    4420  21016576  20985440  org.apache.catalina.loader.ParallelWebappClassLoader | 0x000000007d1177b8  0x000000007d003818  0x00007ceb5c199480    4417  21007360  20993728  org.apache.catalina.loader.ParallelWebappClassLoader | 0x000000007d1177b8  0x000000007d003818  0x00007ceb6400ec70    4437  21024768  21019272  org.apache.catalina.loader.ParallelWebappClassLoader | 0x000000007d1177b8  0x000000007d003818  0x00007cebac11fe50    4450  20998144  20977104  org.apache.catalina.loader.ParallelWebappClassLoader | 0x000000007d1177b8  0x000000007d003818  0x00007ceb8400daf0    4430  21029888  21009664  org.apache.catalina.loader.ParallelWebappClassLoader</x:v>
      </x:c>
      <x:c r="U1026" s="36" t="n">
        <x:v>37</x:v>
      </x:c>
      <x:c r="V1026" s="36" t="n">
        <x:v>10</x:v>
      </x:c>
      <x:c r="W102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026" s="36" t="n">
        <x:v>10</x:v>
      </x:c>
      <x:c r="Y1026" s="36" t="n">
        <x:v>10</x:v>
      </x:c>
      <x:c r="Z1026" s="44" t="str">
        <x:v>/jcs321</x:v>
      </x:c>
      <x:c r="AA1026" s="45" t="b">
        <x:v>1</x:v>
      </x:c>
      <x:c r="AB1026" s="43"/>
      <x:c r="AC1026" s="34" t="str">
        <x:v>article1-unified-v4-2-fb3f101b-20260903-000401-default-f05-p1-jcs321-5-after-final-undeploy-final-10s-heap-info.txt</x:v>
      </x:c>
      <x:c r="AD1026" s="34" t="str">
        <x:v>article1-unified-v4-2-fb3f101b-20260903-000401-default-f05-p1-jcs321-5-after-final-undeploy-final-10s-classloader-stats.txt</x:v>
      </x:c>
      <x:c r="AE1026" s="34" t="str">
        <x:v>article1-unified-v4-2-fb3f101b-20260903-000401-default-f05-p1-jcs321-5-after-final-undeploy-final-10s-thread-dump.txt</x:v>
      </x:c>
      <x:c r="AF1026" s="34"/>
      <x:c r="AG1026" s="34" t="str">
        <x:v>article1-unified-v4-2-fb3f101b-20260903-000401-default-f05-p1-jcs321-5-after-final-undeploy-final-10s-native-memory.txt</x:v>
      </x:c>
      <x:c r="AH1026" s="34" t="str">
        <x:v>article1-unified-v4-2-fb3f101b-20260903-000401-default-f05-p1-jcs321-5-after-final-undeploy-final-10s-class-histogram.txt</x:v>
      </x:c>
      <x:c r="AI1026" s="34" t="str">
        <x:v>article1-unified-v4-2-fb3f101b-20260903-000401-default-f05-p1-jcs321-5-after-final-undeploy-tomcat-findleaks.txt</x:v>
      </x:c>
    </x:row>
    <x:row r="1027">
      <x:c r="A1027" s="34" t="str">
        <x:v>article1-unified-v4-2-fb3f101b-20260903-000401-default-f05-p2-nostore</x:v>
      </x:c>
      <x:c r="B1027" s="34" t="str">
        <x:v>default</x:v>
      </x:c>
      <x:c r="C1027" s="34" t="str">
        <x:v>nostore</x:v>
      </x:c>
      <x:c r="D1027" s="34" t="str">
        <x:v>nostore</x:v>
      </x:c>
      <x:c r="E1027" s="36" t="n">
        <x:v>5</x:v>
      </x:c>
      <x:c r="F1027" s="36" t="n">
        <x:v>5</x:v>
      </x:c>
      <x:c r="G1027" s="36" t="n">
        <x:v>2</x:v>
      </x:c>
      <x:c r="H1027" s="36" t="n">
        <x:v>0</x:v>
      </x:c>
      <x:c r="I1027" s="34" t="str">
        <x:v>processBaseline</x:v>
      </x:c>
      <x:c r="J1027" s="34" t="str">
        <x:v>process-baseline</x:v>
      </x:c>
      <x:c r="K1027" s="36" t="n">
        <x:v>0</x:v>
      </x:c>
      <x:c r="L1027" s="34" t="str">
        <x:v>baseline</x:v>
      </x:c>
      <x:c r="M1027" s="34" t="str">
        <x:v>article1-unified-v4-2-fb3f101b-20260903-000401-default-f05-p2-nostore-process-baseline</x:v>
      </x:c>
      <x:c r="N1027" s="38" t="n">
        <x:v>46268.063861793984</x:v>
      </x:c>
      <x:c r="O1027" s="36" t="n">
        <x:v>0</x:v>
      </x:c>
      <x:c r="P1027" s="43" t="n">
        <x:v>32743424</x:v>
      </x:c>
      <x:c r="Q1027" s="43" t="n">
        <x:v>270532608</x:v>
      </x:c>
      <x:c r="R1027" s="43" t="n">
        <x:v>369247232</x:v>
      </x:c>
      <x:c r="S1027" s="36" t="n">
        <x:v>1</x:v>
      </x:c>
      <x:c r="T1027" s="44" t="str">
        <x:v>0x0000000035116bd8  0x0000000035003818  0x000072ee68693ad0       0         0         0  org.apache.catalina.loader.ParallelWebappClassLoader</x:v>
      </x:c>
      <x:c r="U1027" s="36" t="n">
        <x:v>27</x:v>
      </x:c>
      <x:c r="V1027" s="36" t="n">
        <x:v>0</x:v>
      </x:c>
      <x:c r="W1027" s="44"/>
      <x:c r="X1027" s="36"/>
      <x:c r="Y1027" s="36"/>
      <x:c r="Z1027" s="44"/>
      <x:c r="AA1027" s="49"/>
      <x:c r="AB1027" s="43"/>
      <x:c r="AC1027" s="34" t="str">
        <x:v>article1-unified-v4-2-fb3f101b-20260903-000401-default-f05-p2-nostore-process-baseline-heap-info.txt</x:v>
      </x:c>
      <x:c r="AD1027" s="34" t="str">
        <x:v>article1-unified-v4-2-fb3f101b-20260903-000401-default-f05-p2-nostore-process-baseline-classloader-stats.txt</x:v>
      </x:c>
      <x:c r="AE1027" s="34" t="str">
        <x:v>article1-unified-v4-2-fb3f101b-20260903-000401-default-f05-p2-nostore-process-baseline-thread-dump.txt</x:v>
      </x:c>
      <x:c r="AF1027" s="34"/>
      <x:c r="AG1027" s="34" t="str">
        <x:v>article1-unified-v4-2-fb3f101b-20260903-000401-default-f05-p2-nostore-process-baseline-native-memory.txt</x:v>
      </x:c>
      <x:c r="AH1027" s="34"/>
      <x:c r="AI1027" s="34"/>
    </x:row>
    <x:row r="1028">
      <x:c r="A1028" s="34" t="str">
        <x:v>article1-unified-v4-2-fb3f101b-20260903-000401-default-f05-p2-nostore</x:v>
      </x:c>
      <x:c r="B1028" s="34" t="str">
        <x:v>default</x:v>
      </x:c>
      <x:c r="C1028" s="34" t="str">
        <x:v>nostore</x:v>
      </x:c>
      <x:c r="D1028" s="34" t="str">
        <x:v>nostore</x:v>
      </x:c>
      <x:c r="E1028" s="36" t="n">
        <x:v>5</x:v>
      </x:c>
      <x:c r="F1028" s="36" t="n">
        <x:v>5</x:v>
      </x:c>
      <x:c r="G1028" s="36" t="n">
        <x:v>2</x:v>
      </x:c>
      <x:c r="H1028" s="36" t="n">
        <x:v>1</x:v>
      </x:c>
      <x:c r="I1028" s="34" t="str">
        <x:v>baseline</x:v>
      </x:c>
      <x:c r="J1028" s="34" t="str">
        <x:v>cycle-baseline</x:v>
      </x:c>
      <x:c r="K1028" s="36" t="n">
        <x:v>0</x:v>
      </x:c>
      <x:c r="L1028" s="34" t="str">
        <x:v>baseline</x:v>
      </x:c>
      <x:c r="M1028" s="34" t="str">
        <x:v>article1-unified-v4-2-fb3f101b-20260903-000401-default-f05-p2-nostore-1-baseline</x:v>
      </x:c>
      <x:c r="N1028" s="38" t="n">
        <x:v>46268.06405247685</x:v>
      </x:c>
      <x:c r="O1028" s="36" t="n">
        <x:v>0</x:v>
      </x:c>
      <x:c r="P1028" s="43" t="n">
        <x:v>32743424</x:v>
      </x:c>
      <x:c r="Q1028" s="43" t="n">
        <x:v>270532608</x:v>
      </x:c>
      <x:c r="R1028" s="43" t="n">
        <x:v>369832960</x:v>
      </x:c>
      <x:c r="S1028" s="36" t="n">
        <x:v>1</x:v>
      </x:c>
      <x:c r="T1028" s="44" t="str">
        <x:v>0x0000000035116bd8  0x0000000035003818  0x000072ee68693ad0       0         0         0  org.apache.catalina.loader.ParallelWebappClassLoader</x:v>
      </x:c>
      <x:c r="U1028" s="36" t="n">
        <x:v>27</x:v>
      </x:c>
      <x:c r="V1028" s="36" t="n">
        <x:v>0</x:v>
      </x:c>
      <x:c r="W1028" s="44"/>
      <x:c r="X1028" s="36"/>
      <x:c r="Y1028" s="36"/>
      <x:c r="Z1028" s="44"/>
      <x:c r="AA1028" s="49"/>
      <x:c r="AB1028" s="43"/>
      <x:c r="AC1028" s="34" t="str">
        <x:v>article1-unified-v4-2-fb3f101b-20260903-000401-default-f05-p2-nostore-1-baseline-heap-info.txt</x:v>
      </x:c>
      <x:c r="AD1028" s="34" t="str">
        <x:v>article1-unified-v4-2-fb3f101b-20260903-000401-default-f05-p2-nostore-1-baseline-classloader-stats.txt</x:v>
      </x:c>
      <x:c r="AE1028" s="34" t="str">
        <x:v>article1-unified-v4-2-fb3f101b-20260903-000401-default-f05-p2-nostore-1-baseline-thread-dump.txt</x:v>
      </x:c>
      <x:c r="AF1028" s="34"/>
      <x:c r="AG1028" s="34" t="str">
        <x:v>article1-unified-v4-2-fb3f101b-20260903-000401-default-f05-p2-nostore-1-baseline-native-memory.txt</x:v>
      </x:c>
      <x:c r="AH1028" s="34"/>
      <x:c r="AI1028" s="34"/>
    </x:row>
    <x:row r="1029">
      <x:c r="A1029" s="34" t="str">
        <x:v>article1-unified-v4-2-fb3f101b-20260903-000401-default-f05-p2-nostore</x:v>
      </x:c>
      <x:c r="B1029" s="34" t="str">
        <x:v>default</x:v>
      </x:c>
      <x:c r="C1029" s="34" t="str">
        <x:v>nostore</x:v>
      </x:c>
      <x:c r="D1029" s="34" t="str">
        <x:v>nostore</x:v>
      </x:c>
      <x:c r="E1029" s="36" t="n">
        <x:v>5</x:v>
      </x:c>
      <x:c r="F1029" s="36" t="n">
        <x:v>5</x:v>
      </x:c>
      <x:c r="G1029" s="36" t="n">
        <x:v>2</x:v>
      </x:c>
      <x:c r="H1029" s="36" t="n">
        <x:v>1</x:v>
      </x:c>
      <x:c r="I1029" s="34" t="str">
        <x:v>deployedIdle</x:v>
      </x:c>
      <x:c r="J1029" s="34" t="str">
        <x:v>deployed-idle</x:v>
      </x:c>
      <x:c r="K1029" s="36" t="n">
        <x:v>0</x:v>
      </x:c>
      <x:c r="L1029" s="34" t="str">
        <x:v>initial</x:v>
      </x:c>
      <x:c r="M1029" s="34" t="str">
        <x:v>article1-unified-v4-2-fb3f101b-20260903-000401-default-f05-p2-nostore-1-deployed-idle</x:v>
      </x:c>
      <x:c r="N1029" s="38" t="n">
        <x:v>46268.06416721065</x:v>
      </x:c>
      <x:c r="O1029" s="36" t="n">
        <x:v>0</x:v>
      </x:c>
      <x:c r="P1029" s="43" t="n">
        <x:v>22282240</x:v>
      </x:c>
      <x:c r="Q1029" s="43" t="n">
        <x:v>268435456</x:v>
      </x:c>
      <x:c r="R1029" s="43" t="n">
        <x:v>409844736</x:v>
      </x:c>
      <x:c r="S1029" s="36" t="n">
        <x:v>2</x:v>
      </x:c>
      <x:c r="T1029" s="44" t="str">
        <x:v>0x0000000035116bd8  0x0000000035003818  0x000072edc406cba0    4091  19432448  19410608  org.apache.catalina.loader.ParallelWebappClassLoader | 0x0000000035116bd8  0x0000000035003818  0x000072ee68693ad0       0         0         0  org.apache.catalina.loader.ParallelWebappClassLoader</x:v>
      </x:c>
      <x:c r="U1029" s="36" t="n">
        <x:v>27</x:v>
      </x:c>
      <x:c r="V1029" s="36" t="n">
        <x:v>0</x:v>
      </x:c>
      <x:c r="W1029" s="44"/>
      <x:c r="X1029" s="36"/>
      <x:c r="Y1029" s="36"/>
      <x:c r="Z1029" s="44"/>
      <x:c r="AA1029" s="49"/>
      <x:c r="AB1029" s="43"/>
      <x:c r="AC1029" s="34"/>
      <x:c r="AD1029" s="34"/>
      <x:c r="AE1029" s="34"/>
      <x:c r="AF1029" s="34"/>
      <x:c r="AG1029" s="34"/>
      <x:c r="AH1029" s="34"/>
      <x:c r="AI1029" s="34"/>
    </x:row>
    <x:row r="1030">
      <x:c r="A1030" s="34" t="str">
        <x:v>article1-unified-v4-2-fb3f101b-20260903-000401-default-f05-p2-nostore</x:v>
      </x:c>
      <x:c r="B1030" s="34" t="str">
        <x:v>default</x:v>
      </x:c>
      <x:c r="C1030" s="34" t="str">
        <x:v>nostore</x:v>
      </x:c>
      <x:c r="D1030" s="34" t="str">
        <x:v>nostore</x:v>
      </x:c>
      <x:c r="E1030" s="36" t="n">
        <x:v>5</x:v>
      </x:c>
      <x:c r="F1030" s="36" t="n">
        <x:v>5</x:v>
      </x:c>
      <x:c r="G1030" s="36" t="n">
        <x:v>2</x:v>
      </x:c>
      <x:c r="H1030" s="36" t="n">
        <x:v>1</x:v>
      </x:c>
      <x:c r="I1030" s="34" t="str">
        <x:v>loaded</x:v>
      </x:c>
      <x:c r="J1030" s="34" t="str">
        <x:v>loaded</x:v>
      </x:c>
      <x:c r="K1030" s="36" t="n">
        <x:v>0</x:v>
      </x:c>
      <x:c r="L1030" s="34" t="str">
        <x:v>initial</x:v>
      </x:c>
      <x:c r="M1030" s="34" t="str">
        <x:v>article1-unified-v4-2-fb3f101b-20260903-000401-default-f05-p2-nostore-1-loaded</x:v>
      </x:c>
      <x:c r="N1030" s="38" t="n">
        <x:v>46268.06432871528</x:v>
      </x:c>
      <x:c r="O1030" s="36" t="n">
        <x:v>0</x:v>
      </x:c>
      <x:c r="P1030" s="43" t="n">
        <x:v>110825472</x:v>
      </x:c>
      <x:c r="Q1030" s="43" t="n">
        <x:v>482344960</x:v>
      </x:c>
      <x:c r="R1030" s="43" t="n">
        <x:v>627600384</x:v>
      </x:c>
      <x:c r="S1030" s="36" t="n">
        <x:v>2</x:v>
      </x:c>
      <x:c r="T1030" s="44" t="str">
        <x:v>0x0000000035116bd8  0x0000000035003818  0x000072edc406cba0    4296  20443136  20434072  org.apache.catalina.loader.ParallelWebappClassLoader | 0x0000000035116bd8  0x0000000035003818  0x000072ee68693ad0       0         0         0  org.apache.catalina.loader.ParallelWebappClassLoader</x:v>
      </x:c>
      <x:c r="U1030" s="36" t="n">
        <x:v>27</x:v>
      </x:c>
      <x:c r="V1030" s="36" t="n">
        <x:v>0</x:v>
      </x:c>
      <x:c r="W1030" s="44"/>
      <x:c r="X1030" s="36"/>
      <x:c r="Y1030" s="36"/>
      <x:c r="Z1030" s="44"/>
      <x:c r="AA1030" s="49"/>
      <x:c r="AB1030" s="43"/>
      <x:c r="AC1030" s="34"/>
      <x:c r="AD1030" s="34"/>
      <x:c r="AE1030" s="34"/>
      <x:c r="AF1030" s="34"/>
      <x:c r="AG1030" s="34"/>
      <x:c r="AH1030" s="34"/>
      <x:c r="AI1030" s="34"/>
    </x:row>
    <x:row r="1031">
      <x:c r="A1031" s="34" t="str">
        <x:v>article1-unified-v4-2-fb3f101b-20260903-000401-default-f05-p2-nostore</x:v>
      </x:c>
      <x:c r="B1031" s="34" t="str">
        <x:v>default</x:v>
      </x:c>
      <x:c r="C1031" s="34" t="str">
        <x:v>nostore</x:v>
      </x:c>
      <x:c r="D1031" s="34" t="str">
        <x:v>nostore</x:v>
      </x:c>
      <x:c r="E1031" s="36" t="n">
        <x:v>5</x:v>
      </x:c>
      <x:c r="F1031" s="36" t="n">
        <x:v>5</x:v>
      </x:c>
      <x:c r="G1031" s="36" t="n">
        <x:v>2</x:v>
      </x:c>
      <x:c r="H1031" s="36" t="n">
        <x:v>1</x:v>
      </x:c>
      <x:c r="I1031" s="34" t="str">
        <x:v>afterUndeployEarly</x:v>
      </x:c>
      <x:c r="J1031" s="34" t="str">
        <x:v>after-undeploy-early</x:v>
      </x:c>
      <x:c r="K1031" s="36" t="n">
        <x:v>1</x:v>
      </x:c>
      <x:c r="L1031" s="34" t="str">
        <x:v>early</x:v>
      </x:c>
      <x:c r="M1031" s="34" t="str">
        <x:v>article1-unified-v4-2-fb3f101b-20260903-000401-default-f05-p2-nostore-1-after-undeploy-early-2s</x:v>
      </x:c>
      <x:c r="N1031" s="38" t="n">
        <x:v>46268.064410011575</x:v>
      </x:c>
      <x:c r="O1031" s="36"/>
      <x:c r="P1031" s="43"/>
      <x:c r="Q1031" s="43"/>
      <x:c r="R1031" s="43"/>
      <x:c r="S1031" s="36"/>
      <x:c r="T1031" s="44"/>
      <x:c r="U1031" s="36" t="n">
        <x:v>27</x:v>
      </x:c>
      <x:c r="V1031" s="36" t="n">
        <x:v>0</x:v>
      </x:c>
      <x:c r="W1031" s="44"/>
      <x:c r="X1031" s="36"/>
      <x:c r="Y1031" s="36"/>
      <x:c r="Z1031" s="44"/>
      <x:c r="AA1031" s="49"/>
      <x:c r="AB1031" s="43" t="n">
        <x:v>1</x:v>
      </x:c>
      <x:c r="AC1031" s="34"/>
      <x:c r="AD1031" s="34"/>
      <x:c r="AE1031" s="34" t="str">
        <x:v>article1-unified-v4-2-fb3f101b-20260903-000401-default-f05-p2-nostore-1-after-undeploy-early-2s-thread-dump.txt</x:v>
      </x:c>
      <x:c r="AF1031" s="34" t="str">
        <x:v>article1-unified-v4-2-fb3f101b-20260903-000401-default-f05-p2-nostore-1-after-undeploy-early-tomcat-log.txt</x:v>
      </x:c>
      <x:c r="AG1031" s="34"/>
      <x:c r="AH1031" s="34"/>
      <x:c r="AI1031" s="34"/>
    </x:row>
    <x:row r="1032">
      <x:c r="A1032" s="34" t="str">
        <x:v>article1-unified-v4-2-fb3f101b-20260903-000401-default-f05-p2-nostore</x:v>
      </x:c>
      <x:c r="B1032" s="34" t="str">
        <x:v>default</x:v>
      </x:c>
      <x:c r="C1032" s="34" t="str">
        <x:v>nostore</x:v>
      </x:c>
      <x:c r="D1032" s="34" t="str">
        <x:v>nostore</x:v>
      </x:c>
      <x:c r="E1032" s="36" t="n">
        <x:v>5</x:v>
      </x:c>
      <x:c r="F1032" s="36" t="n">
        <x:v>5</x:v>
      </x:c>
      <x:c r="G1032" s="36" t="n">
        <x:v>2</x:v>
      </x:c>
      <x:c r="H1032" s="36" t="n">
        <x:v>1</x:v>
      </x:c>
      <x:c r="I1032" s="34" t="str">
        <x:v>afterUndeploy</x:v>
      </x:c>
      <x:c r="J1032" s="34" t="str">
        <x:v>after-undeploy-final</x:v>
      </x:c>
      <x:c r="K1032" s="36" t="n">
        <x:v>1</x:v>
      </x:c>
      <x:c r="L1032" s="34" t="str">
        <x:v>final</x:v>
      </x:c>
      <x:c r="M1032" s="34" t="str">
        <x:v>article1-unified-v4-2-fb3f101b-20260903-000401-default-f05-p2-nostore-1-after-undeploy-final-10s</x:v>
      </x:c>
      <x:c r="N1032" s="38" t="n">
        <x:v>46268.06457137731</x:v>
      </x:c>
      <x:c r="O1032" s="36" t="n">
        <x:v>2</x:v>
      </x:c>
      <x:c r="P1032" s="43" t="n">
        <x:v>15397888</x:v>
      </x:c>
      <x:c r="Q1032" s="43" t="n">
        <x:v>268435456</x:v>
      </x:c>
      <x:c r="R1032" s="43" t="n">
        <x:v>408320000</x:v>
      </x:c>
      <x:c r="S1032" s="36" t="n">
        <x:v>2</x:v>
      </x:c>
      <x:c r="T1032" s="44" t="str">
        <x:v>0x0000000035116bd8  0x0000000035003818  0x000072ee68693ad0       0         0         0  org.apache.catalina.loader.ParallelWebappClassLoader | 0x0000000035116bd8  0x0000000035003818  0x000072edc406cba0    4304  20477952  20458480  org.apache.catalina.loader.ParallelWebappClassLoader</x:v>
      </x:c>
      <x:c r="U1032" s="36" t="n">
        <x:v>27</x:v>
      </x:c>
      <x:c r="V1032" s="36" t="n">
        <x:v>0</x:v>
      </x:c>
      <x:c r="W1032" s="44"/>
      <x:c r="X1032" s="36" t="n">
        <x:v>1</x:v>
      </x:c>
      <x:c r="Y1032" s="36" t="n">
        <x:v>1</x:v>
      </x:c>
      <x:c r="Z1032" s="44" t="str">
        <x:v>/nostore</x:v>
      </x:c>
      <x:c r="AA1032" s="45" t="b">
        <x:v>1</x:v>
      </x:c>
      <x:c r="AB1032" s="43"/>
      <x:c r="AC1032" s="34" t="str">
        <x:v>article1-unified-v4-2-fb3f101b-20260903-000401-default-f05-p2-nostore-1-after-undeploy-final-10s-heap-info.txt</x:v>
      </x:c>
      <x:c r="AD1032" s="34" t="str">
        <x:v>article1-unified-v4-2-fb3f101b-20260903-000401-default-f05-p2-nostore-1-after-undeploy-final-10s-classloader-stats.txt</x:v>
      </x:c>
      <x:c r="AE1032" s="34" t="str">
        <x:v>article1-unified-v4-2-fb3f101b-20260903-000401-default-f05-p2-nostore-1-after-undeploy-final-10s-thread-dump.txt</x:v>
      </x:c>
      <x:c r="AF1032" s="34"/>
      <x:c r="AG1032" s="34" t="str">
        <x:v>article1-unified-v4-2-fb3f101b-20260903-000401-default-f05-p2-nostore-1-after-undeploy-final-10s-native-memory.txt</x:v>
      </x:c>
      <x:c r="AH1032" s="34" t="str">
        <x:v>article1-unified-v4-2-fb3f101b-20260903-000401-default-f05-p2-nostore-1-after-undeploy-final-10s-class-histogram.txt</x:v>
      </x:c>
      <x:c r="AI1032" s="34" t="str">
        <x:v>article1-unified-v4-2-fb3f101b-20260903-000401-default-f05-p2-nostore-1-after-undeploy-tomcat-findleaks.txt</x:v>
      </x:c>
    </x:row>
    <x:row r="1033">
      <x:c r="A1033" s="34" t="str">
        <x:v>article1-unified-v4-2-fb3f101b-20260903-000401-default-f05-p2-nostore</x:v>
      </x:c>
      <x:c r="B1033" s="34" t="str">
        <x:v>default</x:v>
      </x:c>
      <x:c r="C1033" s="34" t="str">
        <x:v>nostore</x:v>
      </x:c>
      <x:c r="D1033" s="34" t="str">
        <x:v>nostore</x:v>
      </x:c>
      <x:c r="E1033" s="36" t="n">
        <x:v>5</x:v>
      </x:c>
      <x:c r="F1033" s="36" t="n">
        <x:v>5</x:v>
      </x:c>
      <x:c r="G1033" s="36" t="n">
        <x:v>2</x:v>
      </x:c>
      <x:c r="H1033" s="36" t="n">
        <x:v>1</x:v>
      </x:c>
      <x:c r="I1033" s="34" t="str">
        <x:v>redeployedLoaded</x:v>
      </x:c>
      <x:c r="J1033" s="34" t="str">
        <x:v>redeployed-loaded</x:v>
      </x:c>
      <x:c r="K1033" s="36" t="n">
        <x:v>0</x:v>
      </x:c>
      <x:c r="L1033" s="34" t="str">
        <x:v>redeploy</x:v>
      </x:c>
      <x:c r="M1033" s="34" t="str">
        <x:v>article1-unified-v4-2-fb3f101b-20260903-000401-default-f05-p2-nostore-1-redeployed-loaded</x:v>
      </x:c>
      <x:c r="N1033" s="38" t="n">
        <x:v>46268.06483672454</x:v>
      </x:c>
      <x:c r="O1033" s="36" t="n">
        <x:v>0</x:v>
      </x:c>
      <x:c r="P1033" s="43" t="n">
        <x:v>334358528</x:v>
      </x:c>
      <x:c r="Q1033" s="43" t="n">
        <x:v>362807296</x:v>
      </x:c>
      <x:c r="R1033" s="43" t="n">
        <x:v>531061760</x:v>
      </x:c>
      <x:c r="S1033" s="36" t="n">
        <x:v>3</x:v>
      </x:c>
      <x:c r="T1033" s="44" t="str">
        <x:v>0x0000000035116bd8  0x0000000035003818  0x000072ee68693ad0       0         0         0  org.apache.catalina.loader.ParallelWebappClassLoader | 0x0000000035116bd8  0x0000000035003818  0x000072edc406cba0    4304  20477952  20458480  org.apache.catalina.loader.ParallelWebappClassLoader | 0x0000000035116bd8  0x0000000035003818  0x000072edb8007810    4290  20441088  20426064  org.apache.catalina.loader.ParallelWebappClassLoader</x:v>
      </x:c>
      <x:c r="U1033" s="36" t="n">
        <x:v>27</x:v>
      </x:c>
      <x:c r="V1033" s="36" t="n">
        <x:v>0</x:v>
      </x:c>
      <x:c r="W1033" s="44"/>
      <x:c r="X1033" s="36"/>
      <x:c r="Y1033" s="36"/>
      <x:c r="Z1033" s="44"/>
      <x:c r="AA1033" s="49"/>
      <x:c r="AB1033" s="43"/>
      <x:c r="AC1033" s="34"/>
      <x:c r="AD1033" s="34"/>
      <x:c r="AE1033" s="34"/>
      <x:c r="AF1033" s="34"/>
      <x:c r="AG1033" s="34"/>
      <x:c r="AH1033" s="34"/>
      <x:c r="AI1033" s="34"/>
    </x:row>
    <x:row r="1034">
      <x:c r="A1034" s="34" t="str">
        <x:v>article1-unified-v4-2-fb3f101b-20260903-000401-default-f05-p2-nostore</x:v>
      </x:c>
      <x:c r="B1034" s="34" t="str">
        <x:v>default</x:v>
      </x:c>
      <x:c r="C1034" s="34" t="str">
        <x:v>nostore</x:v>
      </x:c>
      <x:c r="D1034" s="34" t="str">
        <x:v>nostore</x:v>
      </x:c>
      <x:c r="E1034" s="36" t="n">
        <x:v>5</x:v>
      </x:c>
      <x:c r="F1034" s="36" t="n">
        <x:v>5</x:v>
      </x:c>
      <x:c r="G1034" s="36" t="n">
        <x:v>2</x:v>
      </x:c>
      <x:c r="H1034" s="36" t="n">
        <x:v>1</x:v>
      </x:c>
      <x:c r="I1034" s="34" t="str">
        <x:v>afterFinalUndeployEarly</x:v>
      </x:c>
      <x:c r="J1034" s="34" t="str">
        <x:v>after-final-undeploy-early</x:v>
      </x:c>
      <x:c r="K1034" s="36" t="n">
        <x:v>2</x:v>
      </x:c>
      <x:c r="L1034" s="34" t="str">
        <x:v>early</x:v>
      </x:c>
      <x:c r="M1034" s="34" t="str">
        <x:v>article1-unified-v4-2-fb3f101b-20260903-000401-default-f05-p2-nostore-1-after-final-undeploy-early-2s</x:v>
      </x:c>
      <x:c r="N1034" s="38" t="n">
        <x:v>46268.064918425924</x:v>
      </x:c>
      <x:c r="O1034" s="36"/>
      <x:c r="P1034" s="43"/>
      <x:c r="Q1034" s="43"/>
      <x:c r="R1034" s="43"/>
      <x:c r="S1034" s="36"/>
      <x:c r="T1034" s="44"/>
      <x:c r="U1034" s="36" t="n">
        <x:v>27</x:v>
      </x:c>
      <x:c r="V1034" s="36" t="n">
        <x:v>0</x:v>
      </x:c>
      <x:c r="W1034" s="44"/>
      <x:c r="X1034" s="36"/>
      <x:c r="Y1034" s="36"/>
      <x:c r="Z1034" s="44"/>
      <x:c r="AA1034" s="49"/>
      <x:c r="AB1034" s="43" t="n">
        <x:v>1</x:v>
      </x:c>
      <x:c r="AC1034" s="34"/>
      <x:c r="AD1034" s="34"/>
      <x:c r="AE1034" s="34" t="str">
        <x:v>article1-unified-v4-2-fb3f101b-20260903-000401-default-f05-p2-nostore-1-after-final-undeploy-early-2s-thread-dump.txt</x:v>
      </x:c>
      <x:c r="AF1034" s="34" t="str">
        <x:v>article1-unified-v4-2-fb3f101b-20260903-000401-default-f05-p2-nostore-1-after-final-undeploy-early-tomcat-log.txt</x:v>
      </x:c>
      <x:c r="AG1034" s="34"/>
      <x:c r="AH1034" s="34"/>
      <x:c r="AI1034" s="34"/>
    </x:row>
    <x:row r="1035">
      <x:c r="A1035" s="34" t="str">
        <x:v>article1-unified-v4-2-fb3f101b-20260903-000401-default-f05-p2-nostore</x:v>
      </x:c>
      <x:c r="B1035" s="34" t="str">
        <x:v>default</x:v>
      </x:c>
      <x:c r="C1035" s="34" t="str">
        <x:v>nostore</x:v>
      </x:c>
      <x:c r="D1035" s="34" t="str">
        <x:v>nostore</x:v>
      </x:c>
      <x:c r="E1035" s="36" t="n">
        <x:v>5</x:v>
      </x:c>
      <x:c r="F1035" s="36" t="n">
        <x:v>5</x:v>
      </x:c>
      <x:c r="G1035" s="36" t="n">
        <x:v>2</x:v>
      </x:c>
      <x:c r="H1035" s="36" t="n">
        <x:v>1</x:v>
      </x:c>
      <x:c r="I1035" s="34" t="str">
        <x:v>afterFinalUndeploy</x:v>
      </x:c>
      <x:c r="J1035" s="34" t="str">
        <x:v>after-final-undeploy-final</x:v>
      </x:c>
      <x:c r="K1035" s="36" t="n">
        <x:v>2</x:v>
      </x:c>
      <x:c r="L1035" s="34" t="str">
        <x:v>final</x:v>
      </x:c>
      <x:c r="M1035" s="34" t="str">
        <x:v>article1-unified-v4-2-fb3f101b-20260903-000401-default-f05-p2-nostore-1-after-final-undeploy-final-10s</x:v>
      </x:c>
      <x:c r="N1035" s="38" t="n">
        <x:v>46268.06507689815</x:v>
      </x:c>
      <x:c r="O1035" s="36" t="n">
        <x:v>2</x:v>
      </x:c>
      <x:c r="P1035" s="43" t="n">
        <x:v>15566848</x:v>
      </x:c>
      <x:c r="Q1035" s="43" t="n">
        <x:v>268435456</x:v>
      </x:c>
      <x:c r="R1035" s="43" t="n">
        <x:v>415979520</x:v>
      </x:c>
      <x:c r="S1035" s="36" t="n">
        <x:v>2</x:v>
      </x:c>
      <x:c r="T1035" s="44" t="str">
        <x:v>0x0000000035116bd8  0x0000000035003818  0x000072ee68693ad0       0         0         0  org.apache.catalina.loader.ParallelWebappClassLoader | 0x0000000035116bd8  0x0000000035003818  0x000072edb8007810    4298  20473856  20450112  org.apache.catalina.loader.ParallelWebappClassLoader</x:v>
      </x:c>
      <x:c r="U1035" s="36" t="n">
        <x:v>27</x:v>
      </x:c>
      <x:c r="V1035" s="36" t="n">
        <x:v>0</x:v>
      </x:c>
      <x:c r="W1035" s="44"/>
      <x:c r="X1035" s="36" t="n">
        <x:v>1</x:v>
      </x:c>
      <x:c r="Y1035" s="36" t="n">
        <x:v>1</x:v>
      </x:c>
      <x:c r="Z1035" s="44" t="str">
        <x:v>/nostore</x:v>
      </x:c>
      <x:c r="AA1035" s="45" t="b">
        <x:v>1</x:v>
      </x:c>
      <x:c r="AB1035" s="43"/>
      <x:c r="AC1035" s="34" t="str">
        <x:v>article1-unified-v4-2-fb3f101b-20260903-000401-default-f05-p2-nostore-1-after-final-undeploy-final-10s-heap-info.txt</x:v>
      </x:c>
      <x:c r="AD1035" s="34" t="str">
        <x:v>article1-unified-v4-2-fb3f101b-20260903-000401-default-f05-p2-nostore-1-after-final-undeploy-final-10s-classloader-stats.txt</x:v>
      </x:c>
      <x:c r="AE1035" s="34" t="str">
        <x:v>article1-unified-v4-2-fb3f101b-20260903-000401-default-f05-p2-nostore-1-after-final-undeploy-final-10s-thread-dump.txt</x:v>
      </x:c>
      <x:c r="AF1035" s="34"/>
      <x:c r="AG1035" s="34" t="str">
        <x:v>article1-unified-v4-2-fb3f101b-20260903-000401-default-f05-p2-nostore-1-after-final-undeploy-final-10s-native-memory.txt</x:v>
      </x:c>
      <x:c r="AH1035" s="34" t="str">
        <x:v>article1-unified-v4-2-fb3f101b-20260903-000401-default-f05-p2-nostore-1-after-final-undeploy-final-10s-class-histogram.txt</x:v>
      </x:c>
      <x:c r="AI1035" s="34" t="str">
        <x:v>article1-unified-v4-2-fb3f101b-20260903-000401-default-f05-p2-nostore-1-after-final-undeploy-tomcat-findleaks.txt</x:v>
      </x:c>
    </x:row>
    <x:row r="1036">
      <x:c r="A1036" s="34" t="str">
        <x:v>article1-unified-v4-2-fb3f101b-20260903-000401-default-f05-p2-nostore</x:v>
      </x:c>
      <x:c r="B1036" s="34" t="str">
        <x:v>default</x:v>
      </x:c>
      <x:c r="C1036" s="34" t="str">
        <x:v>nostore</x:v>
      </x:c>
      <x:c r="D1036" s="34" t="str">
        <x:v>nostore</x:v>
      </x:c>
      <x:c r="E1036" s="36" t="n">
        <x:v>5</x:v>
      </x:c>
      <x:c r="F1036" s="36" t="n">
        <x:v>5</x:v>
      </x:c>
      <x:c r="G1036" s="36" t="n">
        <x:v>2</x:v>
      </x:c>
      <x:c r="H1036" s="36" t="n">
        <x:v>2</x:v>
      </x:c>
      <x:c r="I1036" s="34" t="str">
        <x:v>baseline</x:v>
      </x:c>
      <x:c r="J1036" s="34" t="str">
        <x:v>cycle-baseline</x:v>
      </x:c>
      <x:c r="K1036" s="36" t="n">
        <x:v>0</x:v>
      </x:c>
      <x:c r="L1036" s="34" t="str">
        <x:v>baseline</x:v>
      </x:c>
      <x:c r="M1036" s="34" t="str">
        <x:v>article1-unified-v4-2-fb3f101b-20260903-000401-default-f05-p2-nostore-2-baseline</x:v>
      </x:c>
      <x:c r="N1036" s="38" t="n">
        <x:v>46268.065124166664</x:v>
      </x:c>
      <x:c r="O1036" s="36" t="n">
        <x:v>0</x:v>
      </x:c>
      <x:c r="P1036" s="43" t="n">
        <x:v>15566848</x:v>
      </x:c>
      <x:c r="Q1036" s="43" t="n">
        <x:v>268435456</x:v>
      </x:c>
      <x:c r="R1036" s="43" t="n">
        <x:v>415947776</x:v>
      </x:c>
      <x:c r="S1036" s="36" t="n">
        <x:v>2</x:v>
      </x:c>
      <x:c r="T1036" s="44" t="str">
        <x:v>0x0000000035116bd8  0x0000000035003818  0x000072ee68693ad0       0         0         0  org.apache.catalina.loader.ParallelWebappClassLoader | 0x0000000035116bd8  0x0000000035003818  0x000072edb8007810    4298  20473856  20450112  org.apache.catalina.loader.ParallelWebappClassLoader</x:v>
      </x:c>
      <x:c r="U1036" s="36" t="n">
        <x:v>27</x:v>
      </x:c>
      <x:c r="V1036" s="36" t="n">
        <x:v>0</x:v>
      </x:c>
      <x:c r="W1036" s="44"/>
      <x:c r="X1036" s="36"/>
      <x:c r="Y1036" s="36"/>
      <x:c r="Z1036" s="44"/>
      <x:c r="AA1036" s="49"/>
      <x:c r="AB1036" s="43"/>
      <x:c r="AC1036" s="34" t="str">
        <x:v>article1-unified-v4-2-fb3f101b-20260903-000401-default-f05-p2-nostore-2-baseline-heap-info.txt</x:v>
      </x:c>
      <x:c r="AD1036" s="34" t="str">
        <x:v>article1-unified-v4-2-fb3f101b-20260903-000401-default-f05-p2-nostore-2-baseline-classloader-stats.txt</x:v>
      </x:c>
      <x:c r="AE1036" s="34" t="str">
        <x:v>article1-unified-v4-2-fb3f101b-20260903-000401-default-f05-p2-nostore-2-baseline-thread-dump.txt</x:v>
      </x:c>
      <x:c r="AF1036" s="34"/>
      <x:c r="AG1036" s="34" t="str">
        <x:v>article1-unified-v4-2-fb3f101b-20260903-000401-default-f05-p2-nostore-2-baseline-native-memory.txt</x:v>
      </x:c>
      <x:c r="AH1036" s="34"/>
      <x:c r="AI1036" s="34"/>
    </x:row>
    <x:row r="1037">
      <x:c r="A1037" s="34" t="str">
        <x:v>article1-unified-v4-2-fb3f101b-20260903-000401-default-f05-p2-nostore</x:v>
      </x:c>
      <x:c r="B1037" s="34" t="str">
        <x:v>default</x:v>
      </x:c>
      <x:c r="C1037" s="34" t="str">
        <x:v>nostore</x:v>
      </x:c>
      <x:c r="D1037" s="34" t="str">
        <x:v>nostore</x:v>
      </x:c>
      <x:c r="E1037" s="36" t="n">
        <x:v>5</x:v>
      </x:c>
      <x:c r="F1037" s="36" t="n">
        <x:v>5</x:v>
      </x:c>
      <x:c r="G1037" s="36" t="n">
        <x:v>2</x:v>
      </x:c>
      <x:c r="H1037" s="36" t="n">
        <x:v>2</x:v>
      </x:c>
      <x:c r="I1037" s="34" t="str">
        <x:v>deployedIdle</x:v>
      </x:c>
      <x:c r="J1037" s="34" t="str">
        <x:v>deployed-idle</x:v>
      </x:c>
      <x:c r="K1037" s="36" t="n">
        <x:v>0</x:v>
      </x:c>
      <x:c r="L1037" s="34" t="str">
        <x:v>initial</x:v>
      </x:c>
      <x:c r="M1037" s="34" t="str">
        <x:v>article1-unified-v4-2-fb3f101b-20260903-000401-default-f05-p2-nostore-2-deployed-idle</x:v>
      </x:c>
      <x:c r="N1037" s="38" t="n">
        <x:v>46268.065231851855</x:v>
      </x:c>
      <x:c r="O1037" s="36" t="n">
        <x:v>0</x:v>
      </x:c>
      <x:c r="P1037" s="43" t="n">
        <x:v>168973312</x:v>
      </x:c>
      <x:c r="Q1037" s="43" t="n">
        <x:v>268435456</x:v>
      </x:c>
      <x:c r="R1037" s="43" t="n">
        <x:v>434394112</x:v>
      </x:c>
      <x:c r="S1037" s="36" t="n">
        <x:v>3</x:v>
      </x:c>
      <x:c r="T1037" s="44" t="str">
        <x:v>0x0000000035116bd8  0x0000000035003818  0x000072ee68693ad0       0         0         0  org.apache.catalina.loader.ParallelWebappClassLoader | 0x0000000035116bd8  0x0000000035003818  0x000072edb8007810    4298  20473856  20450112  org.apache.catalina.loader.ParallelWebappClassLoader | 0x0000000035116bd8  0x0000000035003818  0x000072ed9c19a300    4091  19439616  19429864  org.apache.catalina.loader.ParallelWebappClassLoader</x:v>
      </x:c>
      <x:c r="U1037" s="36" t="n">
        <x:v>27</x:v>
      </x:c>
      <x:c r="V1037" s="36" t="n">
        <x:v>0</x:v>
      </x:c>
      <x:c r="W1037" s="44"/>
      <x:c r="X1037" s="36"/>
      <x:c r="Y1037" s="36"/>
      <x:c r="Z1037" s="44"/>
      <x:c r="AA1037" s="49"/>
      <x:c r="AB1037" s="43"/>
      <x:c r="AC1037" s="34"/>
      <x:c r="AD1037" s="34"/>
      <x:c r="AE1037" s="34"/>
      <x:c r="AF1037" s="34"/>
      <x:c r="AG1037" s="34"/>
      <x:c r="AH1037" s="34"/>
      <x:c r="AI1037" s="34"/>
    </x:row>
    <x:row r="1038">
      <x:c r="A1038" s="34" t="str">
        <x:v>article1-unified-v4-2-fb3f101b-20260903-000401-default-f05-p2-nostore</x:v>
      </x:c>
      <x:c r="B1038" s="34" t="str">
        <x:v>default</x:v>
      </x:c>
      <x:c r="C1038" s="34" t="str">
        <x:v>nostore</x:v>
      </x:c>
      <x:c r="D1038" s="34" t="str">
        <x:v>nostore</x:v>
      </x:c>
      <x:c r="E1038" s="36" t="n">
        <x:v>5</x:v>
      </x:c>
      <x:c r="F1038" s="36" t="n">
        <x:v>5</x:v>
      </x:c>
      <x:c r="G1038" s="36" t="n">
        <x:v>2</x:v>
      </x:c>
      <x:c r="H1038" s="36" t="n">
        <x:v>2</x:v>
      </x:c>
      <x:c r="I1038" s="34" t="str">
        <x:v>loaded</x:v>
      </x:c>
      <x:c r="J1038" s="34" t="str">
        <x:v>loaded</x:v>
      </x:c>
      <x:c r="K1038" s="36" t="n">
        <x:v>0</x:v>
      </x:c>
      <x:c r="L1038" s="34" t="str">
        <x:v>initial</x:v>
      </x:c>
      <x:c r="M1038" s="34" t="str">
        <x:v>article1-unified-v4-2-fb3f101b-20260903-000401-default-f05-p2-nostore-2-loaded</x:v>
      </x:c>
      <x:c r="N1038" s="38" t="n">
        <x:v>46268.06538611111</x:v>
      </x:c>
      <x:c r="O1038" s="36" t="n">
        <x:v>0</x:v>
      </x:c>
      <x:c r="P1038" s="43" t="n">
        <x:v>183434240</x:v>
      </x:c>
      <x:c r="Q1038" s="43" t="n">
        <x:v>454033408</x:v>
      </x:c>
      <x:c r="R1038" s="43" t="n">
        <x:v>626525184</x:v>
      </x:c>
      <x:c r="S1038" s="36" t="n">
        <x:v>3</x:v>
      </x:c>
      <x:c r="T1038" s="44" t="str">
        <x:v>0x0000000035116bd8  0x0000000035003818  0x000072ee68693ad0       0         0         0  org.apache.catalina.loader.ParallelWebappClassLoader | 0x0000000035116bd8  0x0000000035003818  0x000072edb8007810    4298  20473856  20450112  org.apache.catalina.loader.ParallelWebappClassLoader | 0x0000000035116bd8  0x0000000035003818  0x000072ed9c19a300    4286  20488192  20481864  org.apache.catalina.loader.ParallelWebappClassLoader</x:v>
      </x:c>
      <x:c r="U1038" s="36" t="n">
        <x:v>27</x:v>
      </x:c>
      <x:c r="V1038" s="36" t="n">
        <x:v>0</x:v>
      </x:c>
      <x:c r="W1038" s="44"/>
      <x:c r="X1038" s="36"/>
      <x:c r="Y1038" s="36"/>
      <x:c r="Z1038" s="44"/>
      <x:c r="AA1038" s="49"/>
      <x:c r="AB1038" s="43"/>
      <x:c r="AC1038" s="34"/>
      <x:c r="AD1038" s="34"/>
      <x:c r="AE1038" s="34"/>
      <x:c r="AF1038" s="34"/>
      <x:c r="AG1038" s="34"/>
      <x:c r="AH1038" s="34"/>
      <x:c r="AI1038" s="34"/>
    </x:row>
    <x:row r="1039">
      <x:c r="A1039" s="34" t="str">
        <x:v>article1-unified-v4-2-fb3f101b-20260903-000401-default-f05-p2-nostore</x:v>
      </x:c>
      <x:c r="B1039" s="34" t="str">
        <x:v>default</x:v>
      </x:c>
      <x:c r="C1039" s="34" t="str">
        <x:v>nostore</x:v>
      </x:c>
      <x:c r="D1039" s="34" t="str">
        <x:v>nostore</x:v>
      </x:c>
      <x:c r="E1039" s="36" t="n">
        <x:v>5</x:v>
      </x:c>
      <x:c r="F1039" s="36" t="n">
        <x:v>5</x:v>
      </x:c>
      <x:c r="G1039" s="36" t="n">
        <x:v>2</x:v>
      </x:c>
      <x:c r="H1039" s="36" t="n">
        <x:v>2</x:v>
      </x:c>
      <x:c r="I1039" s="34" t="str">
        <x:v>afterUndeployEarly</x:v>
      </x:c>
      <x:c r="J1039" s="34" t="str">
        <x:v>after-undeploy-early</x:v>
      </x:c>
      <x:c r="K1039" s="36" t="n">
        <x:v>1</x:v>
      </x:c>
      <x:c r="L1039" s="34" t="str">
        <x:v>early</x:v>
      </x:c>
      <x:c r="M1039" s="34" t="str">
        <x:v>article1-unified-v4-2-fb3f101b-20260903-000401-default-f05-p2-nostore-2-after-undeploy-early-2s</x:v>
      </x:c>
      <x:c r="N1039" s="38" t="n">
        <x:v>46268.06547085648</x:v>
      </x:c>
      <x:c r="O1039" s="36"/>
      <x:c r="P1039" s="43"/>
      <x:c r="Q1039" s="43"/>
      <x:c r="R1039" s="43"/>
      <x:c r="S1039" s="36"/>
      <x:c r="T1039" s="44"/>
      <x:c r="U1039" s="36" t="n">
        <x:v>27</x:v>
      </x:c>
      <x:c r="V1039" s="36" t="n">
        <x:v>0</x:v>
      </x:c>
      <x:c r="W1039" s="44"/>
      <x:c r="X1039" s="36"/>
      <x:c r="Y1039" s="36"/>
      <x:c r="Z1039" s="44"/>
      <x:c r="AA1039" s="49"/>
      <x:c r="AB1039" s="43" t="n">
        <x:v>1</x:v>
      </x:c>
      <x:c r="AC1039" s="34"/>
      <x:c r="AD1039" s="34"/>
      <x:c r="AE1039" s="34" t="str">
        <x:v>article1-unified-v4-2-fb3f101b-20260903-000401-default-f05-p2-nostore-2-after-undeploy-early-2s-thread-dump.txt</x:v>
      </x:c>
      <x:c r="AF1039" s="34" t="str">
        <x:v>article1-unified-v4-2-fb3f101b-20260903-000401-default-f05-p2-nostore-2-after-undeploy-early-tomcat-log.txt</x:v>
      </x:c>
      <x:c r="AG1039" s="34"/>
      <x:c r="AH1039" s="34"/>
      <x:c r="AI1039" s="34"/>
    </x:row>
    <x:row r="1040">
      <x:c r="A1040" s="34" t="str">
        <x:v>article1-unified-v4-2-fb3f101b-20260903-000401-default-f05-p2-nostore</x:v>
      </x:c>
      <x:c r="B1040" s="34" t="str">
        <x:v>default</x:v>
      </x:c>
      <x:c r="C1040" s="34" t="str">
        <x:v>nostore</x:v>
      </x:c>
      <x:c r="D1040" s="34" t="str">
        <x:v>nostore</x:v>
      </x:c>
      <x:c r="E1040" s="36" t="n">
        <x:v>5</x:v>
      </x:c>
      <x:c r="F1040" s="36" t="n">
        <x:v>5</x:v>
      </x:c>
      <x:c r="G1040" s="36" t="n">
        <x:v>2</x:v>
      </x:c>
      <x:c r="H1040" s="36" t="n">
        <x:v>2</x:v>
      </x:c>
      <x:c r="I1040" s="34" t="str">
        <x:v>afterUndeploy</x:v>
      </x:c>
      <x:c r="J1040" s="34" t="str">
        <x:v>after-undeploy-final</x:v>
      </x:c>
      <x:c r="K1040" s="36" t="n">
        <x:v>1</x:v>
      </x:c>
      <x:c r="L1040" s="34" t="str">
        <x:v>final</x:v>
      </x:c>
      <x:c r="M1040" s="34" t="str">
        <x:v>article1-unified-v4-2-fb3f101b-20260903-000401-default-f05-p2-nostore-2-after-undeploy-final-10s</x:v>
      </x:c>
      <x:c r="N1040" s="38" t="n">
        <x:v>46268.06562081019</x:v>
      </x:c>
      <x:c r="O1040" s="36" t="n">
        <x:v>2</x:v>
      </x:c>
      <x:c r="P1040" s="43" t="n">
        <x:v>15421440</x:v>
      </x:c>
      <x:c r="Q1040" s="43" t="n">
        <x:v>268435456</x:v>
      </x:c>
      <x:c r="R1040" s="43" t="n">
        <x:v>418077696</x:v>
      </x:c>
      <x:c r="S1040" s="36" t="n">
        <x:v>2</x:v>
      </x:c>
      <x:c r="T1040" s="44" t="str">
        <x:v>0x0000000035116bd8  0x0000000035003818  0x000072ed9c19a300    4294  20537344  20506592  org.apache.catalina.loader.ParallelWebappClassLoader | 0x0000000035116bd8  0x0000000035003818  0x000072ee68693ad0       0         0         0  org.apache.catalina.loader.ParallelWebappClassLoader</x:v>
      </x:c>
      <x:c r="U1040" s="36" t="n">
        <x:v>27</x:v>
      </x:c>
      <x:c r="V1040" s="36" t="n">
        <x:v>0</x:v>
      </x:c>
      <x:c r="W1040" s="44"/>
      <x:c r="X1040" s="36" t="n">
        <x:v>1</x:v>
      </x:c>
      <x:c r="Y1040" s="36" t="n">
        <x:v>1</x:v>
      </x:c>
      <x:c r="Z1040" s="44" t="str">
        <x:v>/nostore</x:v>
      </x:c>
      <x:c r="AA1040" s="45" t="b">
        <x:v>1</x:v>
      </x:c>
      <x:c r="AB1040" s="43"/>
      <x:c r="AC1040" s="34" t="str">
        <x:v>article1-unified-v4-2-fb3f101b-20260903-000401-default-f05-p2-nostore-2-after-undeploy-final-10s-heap-info.txt</x:v>
      </x:c>
      <x:c r="AD1040" s="34" t="str">
        <x:v>article1-unified-v4-2-fb3f101b-20260903-000401-default-f05-p2-nostore-2-after-undeploy-final-10s-classloader-stats.txt</x:v>
      </x:c>
      <x:c r="AE1040" s="34" t="str">
        <x:v>article1-unified-v4-2-fb3f101b-20260903-000401-default-f05-p2-nostore-2-after-undeploy-final-10s-thread-dump.txt</x:v>
      </x:c>
      <x:c r="AF1040" s="34"/>
      <x:c r="AG1040" s="34" t="str">
        <x:v>article1-unified-v4-2-fb3f101b-20260903-000401-default-f05-p2-nostore-2-after-undeploy-final-10s-native-memory.txt</x:v>
      </x:c>
      <x:c r="AH1040" s="34" t="str">
        <x:v>article1-unified-v4-2-fb3f101b-20260903-000401-default-f05-p2-nostore-2-after-undeploy-final-10s-class-histogram.txt</x:v>
      </x:c>
      <x:c r="AI1040" s="34" t="str">
        <x:v>article1-unified-v4-2-fb3f101b-20260903-000401-default-f05-p2-nostore-2-after-undeploy-tomcat-findleaks.txt</x:v>
      </x:c>
    </x:row>
    <x:row r="1041">
      <x:c r="A1041" s="34" t="str">
        <x:v>article1-unified-v4-2-fb3f101b-20260903-000401-default-f05-p2-nostore</x:v>
      </x:c>
      <x:c r="B1041" s="34" t="str">
        <x:v>default</x:v>
      </x:c>
      <x:c r="C1041" s="34" t="str">
        <x:v>nostore</x:v>
      </x:c>
      <x:c r="D1041" s="34" t="str">
        <x:v>nostore</x:v>
      </x:c>
      <x:c r="E1041" s="36" t="n">
        <x:v>5</x:v>
      </x:c>
      <x:c r="F1041" s="36" t="n">
        <x:v>5</x:v>
      </x:c>
      <x:c r="G1041" s="36" t="n">
        <x:v>2</x:v>
      </x:c>
      <x:c r="H1041" s="36" t="n">
        <x:v>2</x:v>
      </x:c>
      <x:c r="I1041" s="34" t="str">
        <x:v>redeployedLoaded</x:v>
      </x:c>
      <x:c r="J1041" s="34" t="str">
        <x:v>redeployed-loaded</x:v>
      </x:c>
      <x:c r="K1041" s="36" t="n">
        <x:v>0</x:v>
      </x:c>
      <x:c r="L1041" s="34" t="str">
        <x:v>redeploy</x:v>
      </x:c>
      <x:c r="M1041" s="34" t="str">
        <x:v>article1-unified-v4-2-fb3f101b-20260903-000401-default-f05-p2-nostore-2-redeployed-loaded</x:v>
      </x:c>
      <x:c r="N1041" s="38" t="n">
        <x:v>46268.06588241898</x:v>
      </x:c>
      <x:c r="O1041" s="36" t="n">
        <x:v>0</x:v>
      </x:c>
      <x:c r="P1041" s="43" t="n">
        <x:v>304479232</x:v>
      </x:c>
      <x:c r="Q1041" s="43" t="n">
        <x:v>335544320</x:v>
      </x:c>
      <x:c r="R1041" s="43" t="n">
        <x:v>488288256</x:v>
      </x:c>
      <x:c r="S1041" s="36" t="n">
        <x:v>2</x:v>
      </x:c>
      <x:c r="T1041" s="44" t="str">
        <x:v>0x0000000035116bd8  0x0000000035003818  0x000072ee68693ad0       0         0         0  org.apache.catalina.loader.ParallelWebappClassLoader | 0x0000000035116bd8  0x0000000035003818  0x000072edcc02f2f0    4289  20434944  20411864  org.apache.catalina.loader.ParallelWebappClassLoader</x:v>
      </x:c>
      <x:c r="U1041" s="36" t="n">
        <x:v>27</x:v>
      </x:c>
      <x:c r="V1041" s="36" t="n">
        <x:v>0</x:v>
      </x:c>
      <x:c r="W1041" s="44"/>
      <x:c r="X1041" s="36"/>
      <x:c r="Y1041" s="36"/>
      <x:c r="Z1041" s="44"/>
      <x:c r="AA1041" s="49"/>
      <x:c r="AB1041" s="43"/>
      <x:c r="AC1041" s="34"/>
      <x:c r="AD1041" s="34"/>
      <x:c r="AE1041" s="34"/>
      <x:c r="AF1041" s="34"/>
      <x:c r="AG1041" s="34"/>
      <x:c r="AH1041" s="34"/>
      <x:c r="AI1041" s="34"/>
    </x:row>
    <x:row r="1042">
      <x:c r="A1042" s="34" t="str">
        <x:v>article1-unified-v4-2-fb3f101b-20260903-000401-default-f05-p2-nostore</x:v>
      </x:c>
      <x:c r="B1042" s="34" t="str">
        <x:v>default</x:v>
      </x:c>
      <x:c r="C1042" s="34" t="str">
        <x:v>nostore</x:v>
      </x:c>
      <x:c r="D1042" s="34" t="str">
        <x:v>nostore</x:v>
      </x:c>
      <x:c r="E1042" s="36" t="n">
        <x:v>5</x:v>
      </x:c>
      <x:c r="F1042" s="36" t="n">
        <x:v>5</x:v>
      </x:c>
      <x:c r="G1042" s="36" t="n">
        <x:v>2</x:v>
      </x:c>
      <x:c r="H1042" s="36" t="n">
        <x:v>2</x:v>
      </x:c>
      <x:c r="I1042" s="34" t="str">
        <x:v>afterFinalUndeployEarly</x:v>
      </x:c>
      <x:c r="J1042" s="34" t="str">
        <x:v>after-final-undeploy-early</x:v>
      </x:c>
      <x:c r="K1042" s="36" t="n">
        <x:v>2</x:v>
      </x:c>
      <x:c r="L1042" s="34" t="str">
        <x:v>early</x:v>
      </x:c>
      <x:c r="M1042" s="34" t="str">
        <x:v>article1-unified-v4-2-fb3f101b-20260903-000401-default-f05-p2-nostore-2-after-final-undeploy-early-2s</x:v>
      </x:c>
      <x:c r="N1042" s="38" t="n">
        <x:v>46268.06596768519</x:v>
      </x:c>
      <x:c r="O1042" s="36"/>
      <x:c r="P1042" s="43"/>
      <x:c r="Q1042" s="43"/>
      <x:c r="R1042" s="43"/>
      <x:c r="S1042" s="36"/>
      <x:c r="T1042" s="44"/>
      <x:c r="U1042" s="36" t="n">
        <x:v>27</x:v>
      </x:c>
      <x:c r="V1042" s="36" t="n">
        <x:v>0</x:v>
      </x:c>
      <x:c r="W1042" s="44"/>
      <x:c r="X1042" s="36"/>
      <x:c r="Y1042" s="36"/>
      <x:c r="Z1042" s="44"/>
      <x:c r="AA1042" s="49"/>
      <x:c r="AB1042" s="43" t="n">
        <x:v>1</x:v>
      </x:c>
      <x:c r="AC1042" s="34"/>
      <x:c r="AD1042" s="34"/>
      <x:c r="AE1042" s="34" t="str">
        <x:v>article1-unified-v4-2-fb3f101b-20260903-000401-default-f05-p2-nostore-2-after-final-undeploy-early-2s-thread-dump.txt</x:v>
      </x:c>
      <x:c r="AF1042" s="34" t="str">
        <x:v>article1-unified-v4-2-fb3f101b-20260903-000401-default-f05-p2-nostore-2-after-final-undeploy-early-tomcat-log.txt</x:v>
      </x:c>
      <x:c r="AG1042" s="34"/>
      <x:c r="AH1042" s="34"/>
      <x:c r="AI1042" s="34"/>
    </x:row>
    <x:row r="1043">
      <x:c r="A1043" s="34" t="str">
        <x:v>article1-unified-v4-2-fb3f101b-20260903-000401-default-f05-p2-nostore</x:v>
      </x:c>
      <x:c r="B1043" s="34" t="str">
        <x:v>default</x:v>
      </x:c>
      <x:c r="C1043" s="34" t="str">
        <x:v>nostore</x:v>
      </x:c>
      <x:c r="D1043" s="34" t="str">
        <x:v>nostore</x:v>
      </x:c>
      <x:c r="E1043" s="36" t="n">
        <x:v>5</x:v>
      </x:c>
      <x:c r="F1043" s="36" t="n">
        <x:v>5</x:v>
      </x:c>
      <x:c r="G1043" s="36" t="n">
        <x:v>2</x:v>
      </x:c>
      <x:c r="H1043" s="36" t="n">
        <x:v>2</x:v>
      </x:c>
      <x:c r="I1043" s="34" t="str">
        <x:v>afterFinalUndeploy</x:v>
      </x:c>
      <x:c r="J1043" s="34" t="str">
        <x:v>after-final-undeploy-final</x:v>
      </x:c>
      <x:c r="K1043" s="36" t="n">
        <x:v>2</x:v>
      </x:c>
      <x:c r="L1043" s="34" t="str">
        <x:v>final</x:v>
      </x:c>
      <x:c r="M1043" s="34" t="str">
        <x:v>article1-unified-v4-2-fb3f101b-20260903-000401-default-f05-p2-nostore-2-after-final-undeploy-final-10s</x:v>
      </x:c>
      <x:c r="N1043" s="38" t="n">
        <x:v>46268.06612321759</x:v>
      </x:c>
      <x:c r="O1043" s="36" t="n">
        <x:v>2</x:v>
      </x:c>
      <x:c r="P1043" s="43" t="n">
        <x:v>15346688</x:v>
      </x:c>
      <x:c r="Q1043" s="43" t="n">
        <x:v>268435456</x:v>
      </x:c>
      <x:c r="R1043" s="43" t="n">
        <x:v>419817472</x:v>
      </x:c>
      <x:c r="S1043" s="36" t="n">
        <x:v>2</x:v>
      </x:c>
      <x:c r="T1043" s="44" t="str">
        <x:v>0x0000000035116bd8  0x0000000035003818  0x000072ee68693ad0       0         0         0  org.apache.catalina.loader.ParallelWebappClassLoader | 0x0000000035116bd8  0x0000000035003818  0x000072edcc02f2f0    4297  20451328  20436200  org.apache.catalina.loader.ParallelWebappClassLoader</x:v>
      </x:c>
      <x:c r="U1043" s="36" t="n">
        <x:v>27</x:v>
      </x:c>
      <x:c r="V1043" s="36" t="n">
        <x:v>0</x:v>
      </x:c>
      <x:c r="W1043" s="44"/>
      <x:c r="X1043" s="36" t="n">
        <x:v>1</x:v>
      </x:c>
      <x:c r="Y1043" s="36" t="n">
        <x:v>1</x:v>
      </x:c>
      <x:c r="Z1043" s="44" t="str">
        <x:v>/nostore</x:v>
      </x:c>
      <x:c r="AA1043" s="45" t="b">
        <x:v>1</x:v>
      </x:c>
      <x:c r="AB1043" s="43"/>
      <x:c r="AC1043" s="34" t="str">
        <x:v>article1-unified-v4-2-fb3f101b-20260903-000401-default-f05-p2-nostore-2-after-final-undeploy-final-10s-heap-info.txt</x:v>
      </x:c>
      <x:c r="AD1043" s="34" t="str">
        <x:v>article1-unified-v4-2-fb3f101b-20260903-000401-default-f05-p2-nostore-2-after-final-undeploy-final-10s-classloader-stats.txt</x:v>
      </x:c>
      <x:c r="AE1043" s="34" t="str">
        <x:v>article1-unified-v4-2-fb3f101b-20260903-000401-default-f05-p2-nostore-2-after-final-undeploy-final-10s-thread-dump.txt</x:v>
      </x:c>
      <x:c r="AF1043" s="34"/>
      <x:c r="AG1043" s="34" t="str">
        <x:v>article1-unified-v4-2-fb3f101b-20260903-000401-default-f05-p2-nostore-2-after-final-undeploy-final-10s-native-memory.txt</x:v>
      </x:c>
      <x:c r="AH1043" s="34" t="str">
        <x:v>article1-unified-v4-2-fb3f101b-20260903-000401-default-f05-p2-nostore-2-after-final-undeploy-final-10s-class-histogram.txt</x:v>
      </x:c>
      <x:c r="AI1043" s="34" t="str">
        <x:v>article1-unified-v4-2-fb3f101b-20260903-000401-default-f05-p2-nostore-2-after-final-undeploy-tomcat-findleaks.txt</x:v>
      </x:c>
    </x:row>
    <x:row r="1044">
      <x:c r="A1044" s="34" t="str">
        <x:v>article1-unified-v4-2-fb3f101b-20260903-000401-default-f05-p2-nostore</x:v>
      </x:c>
      <x:c r="B1044" s="34" t="str">
        <x:v>default</x:v>
      </x:c>
      <x:c r="C1044" s="34" t="str">
        <x:v>nostore</x:v>
      </x:c>
      <x:c r="D1044" s="34" t="str">
        <x:v>nostore</x:v>
      </x:c>
      <x:c r="E1044" s="36" t="n">
        <x:v>5</x:v>
      </x:c>
      <x:c r="F1044" s="36" t="n">
        <x:v>5</x:v>
      </x:c>
      <x:c r="G1044" s="36" t="n">
        <x:v>2</x:v>
      </x:c>
      <x:c r="H1044" s="36" t="n">
        <x:v>3</x:v>
      </x:c>
      <x:c r="I1044" s="34" t="str">
        <x:v>baseline</x:v>
      </x:c>
      <x:c r="J1044" s="34" t="str">
        <x:v>cycle-baseline</x:v>
      </x:c>
      <x:c r="K1044" s="36" t="n">
        <x:v>0</x:v>
      </x:c>
      <x:c r="L1044" s="34" t="str">
        <x:v>baseline</x:v>
      </x:c>
      <x:c r="M1044" s="34" t="str">
        <x:v>article1-unified-v4-2-fb3f101b-20260903-000401-default-f05-p2-nostore-3-baseline</x:v>
      </x:c>
      <x:c r="N1044" s="38" t="n">
        <x:v>46268.066169375</x:v>
      </x:c>
      <x:c r="O1044" s="36" t="n">
        <x:v>0</x:v>
      </x:c>
      <x:c r="P1044" s="43" t="n">
        <x:v>15363072</x:v>
      </x:c>
      <x:c r="Q1044" s="43" t="n">
        <x:v>268435456</x:v>
      </x:c>
      <x:c r="R1044" s="43" t="n">
        <x:v>419390464</x:v>
      </x:c>
      <x:c r="S1044" s="36" t="n">
        <x:v>2</x:v>
      </x:c>
      <x:c r="T1044" s="44" t="str">
        <x:v>0x0000000035116bd8  0x0000000035003818  0x000072ee68693ad0       0         0         0  org.apache.catalina.loader.ParallelWebappClassLoader | 0x0000000035116bd8  0x0000000035003818  0x000072edcc02f2f0    4297  20451328  20436200  org.apache.catalina.loader.ParallelWebappClassLoader</x:v>
      </x:c>
      <x:c r="U1044" s="36" t="n">
        <x:v>27</x:v>
      </x:c>
      <x:c r="V1044" s="36" t="n">
        <x:v>0</x:v>
      </x:c>
      <x:c r="W1044" s="44"/>
      <x:c r="X1044" s="36"/>
      <x:c r="Y1044" s="36"/>
      <x:c r="Z1044" s="44"/>
      <x:c r="AA1044" s="49"/>
      <x:c r="AB1044" s="43"/>
      <x:c r="AC1044" s="34" t="str">
        <x:v>article1-unified-v4-2-fb3f101b-20260903-000401-default-f05-p2-nostore-3-baseline-heap-info.txt</x:v>
      </x:c>
      <x:c r="AD1044" s="34" t="str">
        <x:v>article1-unified-v4-2-fb3f101b-20260903-000401-default-f05-p2-nostore-3-baseline-classloader-stats.txt</x:v>
      </x:c>
      <x:c r="AE1044" s="34" t="str">
        <x:v>article1-unified-v4-2-fb3f101b-20260903-000401-default-f05-p2-nostore-3-baseline-thread-dump.txt</x:v>
      </x:c>
      <x:c r="AF1044" s="34"/>
      <x:c r="AG1044" s="34" t="str">
        <x:v>article1-unified-v4-2-fb3f101b-20260903-000401-default-f05-p2-nostore-3-baseline-native-memory.txt</x:v>
      </x:c>
      <x:c r="AH1044" s="34"/>
      <x:c r="AI1044" s="34"/>
    </x:row>
    <x:row r="1045">
      <x:c r="A1045" s="34" t="str">
        <x:v>article1-unified-v4-2-fb3f101b-20260903-000401-default-f05-p2-nostore</x:v>
      </x:c>
      <x:c r="B1045" s="34" t="str">
        <x:v>default</x:v>
      </x:c>
      <x:c r="C1045" s="34" t="str">
        <x:v>nostore</x:v>
      </x:c>
      <x:c r="D1045" s="34" t="str">
        <x:v>nostore</x:v>
      </x:c>
      <x:c r="E1045" s="36" t="n">
        <x:v>5</x:v>
      </x:c>
      <x:c r="F1045" s="36" t="n">
        <x:v>5</x:v>
      </x:c>
      <x:c r="G1045" s="36" t="n">
        <x:v>2</x:v>
      </x:c>
      <x:c r="H1045" s="36" t="n">
        <x:v>3</x:v>
      </x:c>
      <x:c r="I1045" s="34" t="str">
        <x:v>deployedIdle</x:v>
      </x:c>
      <x:c r="J1045" s="34" t="str">
        <x:v>deployed-idle</x:v>
      </x:c>
      <x:c r="K1045" s="36" t="n">
        <x:v>0</x:v>
      </x:c>
      <x:c r="L1045" s="34" t="str">
        <x:v>initial</x:v>
      </x:c>
      <x:c r="M1045" s="34" t="str">
        <x:v>article1-unified-v4-2-fb3f101b-20260903-000401-default-f05-p2-nostore-3-deployed-idle</x:v>
      </x:c>
      <x:c r="N1045" s="38" t="n">
        <x:v>46268.06627146991</x:v>
      </x:c>
      <x:c r="O1045" s="36" t="n">
        <x:v>0</x:v>
      </x:c>
      <x:c r="P1045" s="43" t="n">
        <x:v>167630848</x:v>
      </x:c>
      <x:c r="Q1045" s="43" t="n">
        <x:v>268435456</x:v>
      </x:c>
      <x:c r="R1045" s="43" t="n">
        <x:v>436793344</x:v>
      </x:c>
      <x:c r="S1045" s="36" t="n">
        <x:v>3</x:v>
      </x:c>
      <x:c r="T1045" s="44" t="str">
        <x:v>0x0000000035116bd8  0x0000000035003818  0x000072ee68693ad0       0         0         0  org.apache.catalina.loader.ParallelWebappClassLoader | 0x0000000035116bd8  0x0000000035003818  0x000072edd014bce0    4091  19446784  19431880  org.apache.catalina.loader.ParallelWebappClassLoader | 0x0000000035116bd8  0x0000000035003818  0x000072edcc02f2f0    4297  20451328  20436200  org.apache.catalina.loader.ParallelWebappClassLoader</x:v>
      </x:c>
      <x:c r="U1045" s="36" t="n">
        <x:v>27</x:v>
      </x:c>
      <x:c r="V1045" s="36" t="n">
        <x:v>0</x:v>
      </x:c>
      <x:c r="W1045" s="44"/>
      <x:c r="X1045" s="36"/>
      <x:c r="Y1045" s="36"/>
      <x:c r="Z1045" s="44"/>
      <x:c r="AA1045" s="49"/>
      <x:c r="AB1045" s="43"/>
      <x:c r="AC1045" s="34"/>
      <x:c r="AD1045" s="34"/>
      <x:c r="AE1045" s="34"/>
      <x:c r="AF1045" s="34"/>
      <x:c r="AG1045" s="34"/>
      <x:c r="AH1045" s="34"/>
      <x:c r="AI1045" s="34"/>
    </x:row>
    <x:row r="1046">
      <x:c r="A1046" s="34" t="str">
        <x:v>article1-unified-v4-2-fb3f101b-20260903-000401-default-f05-p2-nostore</x:v>
      </x:c>
      <x:c r="B1046" s="34" t="str">
        <x:v>default</x:v>
      </x:c>
      <x:c r="C1046" s="34" t="str">
        <x:v>nostore</x:v>
      </x:c>
      <x:c r="D1046" s="34" t="str">
        <x:v>nostore</x:v>
      </x:c>
      <x:c r="E1046" s="36" t="n">
        <x:v>5</x:v>
      </x:c>
      <x:c r="F1046" s="36" t="n">
        <x:v>5</x:v>
      </x:c>
      <x:c r="G1046" s="36" t="n">
        <x:v>2</x:v>
      </x:c>
      <x:c r="H1046" s="36" t="n">
        <x:v>3</x:v>
      </x:c>
      <x:c r="I1046" s="34" t="str">
        <x:v>loaded</x:v>
      </x:c>
      <x:c r="J1046" s="34" t="str">
        <x:v>loaded</x:v>
      </x:c>
      <x:c r="K1046" s="36" t="n">
        <x:v>0</x:v>
      </x:c>
      <x:c r="L1046" s="34" t="str">
        <x:v>initial</x:v>
      </x:c>
      <x:c r="M1046" s="34" t="str">
        <x:v>article1-unified-v4-2-fb3f101b-20260903-000401-default-f05-p2-nostore-3-loaded</x:v>
      </x:c>
      <x:c r="N1046" s="38" t="n">
        <x:v>46268.066422094904</x:v>
      </x:c>
      <x:c r="O1046" s="36" t="n">
        <x:v>0</x:v>
      </x:c>
      <x:c r="P1046" s="43" t="n">
        <x:v>312605696</x:v>
      </x:c>
      <x:c r="Q1046" s="43" t="n">
        <x:v>348127232</x:v>
      </x:c>
      <x:c r="R1046" s="43" t="n">
        <x:v>501689344</x:v>
      </x:c>
      <x:c r="S1046" s="36" t="n">
        <x:v>2</x:v>
      </x:c>
      <x:c r="T1046" s="44" t="str">
        <x:v>0x0000000035116bd8  0x0000000035003818  0x000072ee68693ad0       0         0         0  org.apache.catalina.loader.ParallelWebappClassLoader | 0x0000000035116bd8  0x0000000035003818  0x000072edd014bce0    4287  20429824  20418360  org.apache.catalina.loader.ParallelWebappClassLoader</x:v>
      </x:c>
      <x:c r="U1046" s="36" t="n">
        <x:v>27</x:v>
      </x:c>
      <x:c r="V1046" s="36" t="n">
        <x:v>0</x:v>
      </x:c>
      <x:c r="W1046" s="44"/>
      <x:c r="X1046" s="36"/>
      <x:c r="Y1046" s="36"/>
      <x:c r="Z1046" s="44"/>
      <x:c r="AA1046" s="49"/>
      <x:c r="AB1046" s="43"/>
      <x:c r="AC1046" s="34"/>
      <x:c r="AD1046" s="34"/>
      <x:c r="AE1046" s="34"/>
      <x:c r="AF1046" s="34"/>
      <x:c r="AG1046" s="34"/>
      <x:c r="AH1046" s="34"/>
      <x:c r="AI1046" s="34"/>
    </x:row>
    <x:row r="1047">
      <x:c r="A1047" s="34" t="str">
        <x:v>article1-unified-v4-2-fb3f101b-20260903-000401-default-f05-p2-nostore</x:v>
      </x:c>
      <x:c r="B1047" s="34" t="str">
        <x:v>default</x:v>
      </x:c>
      <x:c r="C1047" s="34" t="str">
        <x:v>nostore</x:v>
      </x:c>
      <x:c r="D1047" s="34" t="str">
        <x:v>nostore</x:v>
      </x:c>
      <x:c r="E1047" s="36" t="n">
        <x:v>5</x:v>
      </x:c>
      <x:c r="F1047" s="36" t="n">
        <x:v>5</x:v>
      </x:c>
      <x:c r="G1047" s="36" t="n">
        <x:v>2</x:v>
      </x:c>
      <x:c r="H1047" s="36" t="n">
        <x:v>3</x:v>
      </x:c>
      <x:c r="I1047" s="34" t="str">
        <x:v>afterUndeployEarly</x:v>
      </x:c>
      <x:c r="J1047" s="34" t="str">
        <x:v>after-undeploy-early</x:v>
      </x:c>
      <x:c r="K1047" s="36" t="n">
        <x:v>1</x:v>
      </x:c>
      <x:c r="L1047" s="34" t="str">
        <x:v>early</x:v>
      </x:c>
      <x:c r="M1047" s="34" t="str">
        <x:v>article1-unified-v4-2-fb3f101b-20260903-000401-default-f05-p2-nostore-3-after-undeploy-early-2s</x:v>
      </x:c>
      <x:c r="N1047" s="38" t="n">
        <x:v>46268.06650755787</x:v>
      </x:c>
      <x:c r="O1047" s="36"/>
      <x:c r="P1047" s="43"/>
      <x:c r="Q1047" s="43"/>
      <x:c r="R1047" s="43"/>
      <x:c r="S1047" s="36"/>
      <x:c r="T1047" s="44"/>
      <x:c r="U1047" s="36" t="n">
        <x:v>27</x:v>
      </x:c>
      <x:c r="V1047" s="36" t="n">
        <x:v>0</x:v>
      </x:c>
      <x:c r="W1047" s="44"/>
      <x:c r="X1047" s="36"/>
      <x:c r="Y1047" s="36"/>
      <x:c r="Z1047" s="44"/>
      <x:c r="AA1047" s="49"/>
      <x:c r="AB1047" s="43" t="n">
        <x:v>1</x:v>
      </x:c>
      <x:c r="AC1047" s="34"/>
      <x:c r="AD1047" s="34"/>
      <x:c r="AE1047" s="34" t="str">
        <x:v>article1-unified-v4-2-fb3f101b-20260903-000401-default-f05-p2-nostore-3-after-undeploy-early-2s-thread-dump.txt</x:v>
      </x:c>
      <x:c r="AF1047" s="34" t="str">
        <x:v>article1-unified-v4-2-fb3f101b-20260903-000401-default-f05-p2-nostore-3-after-undeploy-early-tomcat-log.txt</x:v>
      </x:c>
      <x:c r="AG1047" s="34"/>
      <x:c r="AH1047" s="34"/>
      <x:c r="AI1047" s="34"/>
    </x:row>
    <x:row r="1048">
      <x:c r="A1048" s="34" t="str">
        <x:v>article1-unified-v4-2-fb3f101b-20260903-000401-default-f05-p2-nostore</x:v>
      </x:c>
      <x:c r="B1048" s="34" t="str">
        <x:v>default</x:v>
      </x:c>
      <x:c r="C1048" s="34" t="str">
        <x:v>nostore</x:v>
      </x:c>
      <x:c r="D1048" s="34" t="str">
        <x:v>nostore</x:v>
      </x:c>
      <x:c r="E1048" s="36" t="n">
        <x:v>5</x:v>
      </x:c>
      <x:c r="F1048" s="36" t="n">
        <x:v>5</x:v>
      </x:c>
      <x:c r="G1048" s="36" t="n">
        <x:v>2</x:v>
      </x:c>
      <x:c r="H1048" s="36" t="n">
        <x:v>3</x:v>
      </x:c>
      <x:c r="I1048" s="34" t="str">
        <x:v>afterUndeploy</x:v>
      </x:c>
      <x:c r="J1048" s="34" t="str">
        <x:v>after-undeploy-final</x:v>
      </x:c>
      <x:c r="K1048" s="36" t="n">
        <x:v>1</x:v>
      </x:c>
      <x:c r="L1048" s="34" t="str">
        <x:v>final</x:v>
      </x:c>
      <x:c r="M1048" s="34" t="str">
        <x:v>article1-unified-v4-2-fb3f101b-20260903-000401-default-f05-p2-nostore-3-after-undeploy-final-10s</x:v>
      </x:c>
      <x:c r="N1048" s="38" t="n">
        <x:v>46268.06666402778</x:v>
      </x:c>
      <x:c r="O1048" s="36" t="n">
        <x:v>2</x:v>
      </x:c>
      <x:c r="P1048" s="43" t="n">
        <x:v>15427584</x:v>
      </x:c>
      <x:c r="Q1048" s="43" t="n">
        <x:v>268435456</x:v>
      </x:c>
      <x:c r="R1048" s="43" t="n">
        <x:v>418207744</x:v>
      </x:c>
      <x:c r="S1048" s="36" t="n">
        <x:v>2</x:v>
      </x:c>
      <x:c r="T1048" s="44" t="str">
        <x:v>0x0000000035116bd8  0x0000000035003818  0x000072ee68693ad0       0         0         0  org.apache.catalina.loader.ParallelWebappClassLoader | 0x0000000035116bd8  0x0000000035003818  0x000072edd014bce0    4295  20462592  20443040  org.apache.catalina.loader.ParallelWebappClassLoader</x:v>
      </x:c>
      <x:c r="U1048" s="36" t="n">
        <x:v>27</x:v>
      </x:c>
      <x:c r="V1048" s="36" t="n">
        <x:v>0</x:v>
      </x:c>
      <x:c r="W1048" s="44"/>
      <x:c r="X1048" s="36" t="n">
        <x:v>1</x:v>
      </x:c>
      <x:c r="Y1048" s="36" t="n">
        <x:v>1</x:v>
      </x:c>
      <x:c r="Z1048" s="44" t="str">
        <x:v>/nostore</x:v>
      </x:c>
      <x:c r="AA1048" s="45" t="b">
        <x:v>1</x:v>
      </x:c>
      <x:c r="AB1048" s="43"/>
      <x:c r="AC1048" s="34" t="str">
        <x:v>article1-unified-v4-2-fb3f101b-20260903-000401-default-f05-p2-nostore-3-after-undeploy-final-10s-heap-info.txt</x:v>
      </x:c>
      <x:c r="AD1048" s="34" t="str">
        <x:v>article1-unified-v4-2-fb3f101b-20260903-000401-default-f05-p2-nostore-3-after-undeploy-final-10s-classloader-stats.txt</x:v>
      </x:c>
      <x:c r="AE1048" s="34" t="str">
        <x:v>article1-unified-v4-2-fb3f101b-20260903-000401-default-f05-p2-nostore-3-after-undeploy-final-10s-thread-dump.txt</x:v>
      </x:c>
      <x:c r="AF1048" s="34"/>
      <x:c r="AG1048" s="34" t="str">
        <x:v>article1-unified-v4-2-fb3f101b-20260903-000401-default-f05-p2-nostore-3-after-undeploy-final-10s-native-memory.txt</x:v>
      </x:c>
      <x:c r="AH1048" s="34" t="str">
        <x:v>article1-unified-v4-2-fb3f101b-20260903-000401-default-f05-p2-nostore-3-after-undeploy-final-10s-class-histogram.txt</x:v>
      </x:c>
      <x:c r="AI1048" s="34" t="str">
        <x:v>article1-unified-v4-2-fb3f101b-20260903-000401-default-f05-p2-nostore-3-after-undeploy-tomcat-findleaks.txt</x:v>
      </x:c>
    </x:row>
    <x:row r="1049">
      <x:c r="A1049" s="34" t="str">
        <x:v>article1-unified-v4-2-fb3f101b-20260903-000401-default-f05-p2-nostore</x:v>
      </x:c>
      <x:c r="B1049" s="34" t="str">
        <x:v>default</x:v>
      </x:c>
      <x:c r="C1049" s="34" t="str">
        <x:v>nostore</x:v>
      </x:c>
      <x:c r="D1049" s="34" t="str">
        <x:v>nostore</x:v>
      </x:c>
      <x:c r="E1049" s="36" t="n">
        <x:v>5</x:v>
      </x:c>
      <x:c r="F1049" s="36" t="n">
        <x:v>5</x:v>
      </x:c>
      <x:c r="G1049" s="36" t="n">
        <x:v>2</x:v>
      </x:c>
      <x:c r="H1049" s="36" t="n">
        <x:v>3</x:v>
      </x:c>
      <x:c r="I1049" s="34" t="str">
        <x:v>redeployedLoaded</x:v>
      </x:c>
      <x:c r="J1049" s="34" t="str">
        <x:v>redeployed-loaded</x:v>
      </x:c>
      <x:c r="K1049" s="36" t="n">
        <x:v>0</x:v>
      </x:c>
      <x:c r="L1049" s="34" t="str">
        <x:v>redeploy</x:v>
      </x:c>
      <x:c r="M1049" s="34" t="str">
        <x:v>article1-unified-v4-2-fb3f101b-20260903-000401-default-f05-p2-nostore-3-redeployed-loaded</x:v>
      </x:c>
      <x:c r="N1049" s="38" t="n">
        <x:v>46268.06692405092</x:v>
      </x:c>
      <x:c r="O1049" s="36" t="n">
        <x:v>0</x:v>
      </x:c>
      <x:c r="P1049" s="43" t="n">
        <x:v>319037440</x:v>
      </x:c>
      <x:c r="Q1049" s="43" t="n">
        <x:v>347078656</x:v>
      </x:c>
      <x:c r="R1049" s="43" t="n">
        <x:v>504505344</x:v>
      </x:c>
      <x:c r="S1049" s="36" t="n">
        <x:v>2</x:v>
      </x:c>
      <x:c r="T1049" s="44" t="str">
        <x:v>0x0000000035116bd8  0x0000000035003818  0x000072ee68693ad0       0         0         0  org.apache.catalina.loader.ParallelWebappClassLoader | 0x0000000035116bd8  0x0000000035003818  0x000072edac1b9ce0    4291  20440064  20419640  org.apache.catalina.loader.ParallelWebappClassLoader</x:v>
      </x:c>
      <x:c r="U1049" s="36" t="n">
        <x:v>27</x:v>
      </x:c>
      <x:c r="V1049" s="36" t="n">
        <x:v>0</x:v>
      </x:c>
      <x:c r="W1049" s="44"/>
      <x:c r="X1049" s="36"/>
      <x:c r="Y1049" s="36"/>
      <x:c r="Z1049" s="44"/>
      <x:c r="AA1049" s="49"/>
      <x:c r="AB1049" s="43"/>
      <x:c r="AC1049" s="34"/>
      <x:c r="AD1049" s="34"/>
      <x:c r="AE1049" s="34"/>
      <x:c r="AF1049" s="34"/>
      <x:c r="AG1049" s="34"/>
      <x:c r="AH1049" s="34"/>
      <x:c r="AI1049" s="34"/>
    </x:row>
    <x:row r="1050">
      <x:c r="A1050" s="34" t="str">
        <x:v>article1-unified-v4-2-fb3f101b-20260903-000401-default-f05-p2-nostore</x:v>
      </x:c>
      <x:c r="B1050" s="34" t="str">
        <x:v>default</x:v>
      </x:c>
      <x:c r="C1050" s="34" t="str">
        <x:v>nostore</x:v>
      </x:c>
      <x:c r="D1050" s="34" t="str">
        <x:v>nostore</x:v>
      </x:c>
      <x:c r="E1050" s="36" t="n">
        <x:v>5</x:v>
      </x:c>
      <x:c r="F1050" s="36" t="n">
        <x:v>5</x:v>
      </x:c>
      <x:c r="G1050" s="36" t="n">
        <x:v>2</x:v>
      </x:c>
      <x:c r="H1050" s="36" t="n">
        <x:v>3</x:v>
      </x:c>
      <x:c r="I1050" s="34" t="str">
        <x:v>afterFinalUndeployEarly</x:v>
      </x:c>
      <x:c r="J1050" s="34" t="str">
        <x:v>after-final-undeploy-early</x:v>
      </x:c>
      <x:c r="K1050" s="36" t="n">
        <x:v>2</x:v>
      </x:c>
      <x:c r="L1050" s="34" t="str">
        <x:v>early</x:v>
      </x:c>
      <x:c r="M1050" s="34" t="str">
        <x:v>article1-unified-v4-2-fb3f101b-20260903-000401-default-f05-p2-nostore-3-after-final-undeploy-early-2s</x:v>
      </x:c>
      <x:c r="N1050" s="38" t="n">
        <x:v>46268.06700726852</x:v>
      </x:c>
      <x:c r="O1050" s="36"/>
      <x:c r="P1050" s="43"/>
      <x:c r="Q1050" s="43"/>
      <x:c r="R1050" s="43"/>
      <x:c r="S1050" s="36"/>
      <x:c r="T1050" s="44"/>
      <x:c r="U1050" s="36" t="n">
        <x:v>27</x:v>
      </x:c>
      <x:c r="V1050" s="36" t="n">
        <x:v>0</x:v>
      </x:c>
      <x:c r="W1050" s="44"/>
      <x:c r="X1050" s="36"/>
      <x:c r="Y1050" s="36"/>
      <x:c r="Z1050" s="44"/>
      <x:c r="AA1050" s="49"/>
      <x:c r="AB1050" s="43" t="n">
        <x:v>1</x:v>
      </x:c>
      <x:c r="AC1050" s="34"/>
      <x:c r="AD1050" s="34"/>
      <x:c r="AE1050" s="34" t="str">
        <x:v>article1-unified-v4-2-fb3f101b-20260903-000401-default-f05-p2-nostore-3-after-final-undeploy-early-2s-thread-dump.txt</x:v>
      </x:c>
      <x:c r="AF1050" s="34" t="str">
        <x:v>article1-unified-v4-2-fb3f101b-20260903-000401-default-f05-p2-nostore-3-after-final-undeploy-early-tomcat-log.txt</x:v>
      </x:c>
      <x:c r="AG1050" s="34"/>
      <x:c r="AH1050" s="34"/>
      <x:c r="AI1050" s="34"/>
    </x:row>
    <x:row r="1051">
      <x:c r="A1051" s="34" t="str">
        <x:v>article1-unified-v4-2-fb3f101b-20260903-000401-default-f05-p2-nostore</x:v>
      </x:c>
      <x:c r="B1051" s="34" t="str">
        <x:v>default</x:v>
      </x:c>
      <x:c r="C1051" s="34" t="str">
        <x:v>nostore</x:v>
      </x:c>
      <x:c r="D1051" s="34" t="str">
        <x:v>nostore</x:v>
      </x:c>
      <x:c r="E1051" s="36" t="n">
        <x:v>5</x:v>
      </x:c>
      <x:c r="F1051" s="36" t="n">
        <x:v>5</x:v>
      </x:c>
      <x:c r="G1051" s="36" t="n">
        <x:v>2</x:v>
      </x:c>
      <x:c r="H1051" s="36" t="n">
        <x:v>3</x:v>
      </x:c>
      <x:c r="I1051" s="34" t="str">
        <x:v>afterFinalUndeploy</x:v>
      </x:c>
      <x:c r="J1051" s="34" t="str">
        <x:v>after-final-undeploy-final</x:v>
      </x:c>
      <x:c r="K1051" s="36" t="n">
        <x:v>2</x:v>
      </x:c>
      <x:c r="L1051" s="34" t="str">
        <x:v>final</x:v>
      </x:c>
      <x:c r="M1051" s="34" t="str">
        <x:v>article1-unified-v4-2-fb3f101b-20260903-000401-default-f05-p2-nostore-3-after-final-undeploy-final-10s</x:v>
      </x:c>
      <x:c r="N1051" s="38" t="n">
        <x:v>46268.067162060186</x:v>
      </x:c>
      <x:c r="O1051" s="36" t="n">
        <x:v>2</x:v>
      </x:c>
      <x:c r="P1051" s="43" t="n">
        <x:v>15418368</x:v>
      </x:c>
      <x:c r="Q1051" s="43" t="n">
        <x:v>268435456</x:v>
      </x:c>
      <x:c r="R1051" s="43" t="n">
        <x:v>422734848</x:v>
      </x:c>
      <x:c r="S1051" s="36" t="n">
        <x:v>2</x:v>
      </x:c>
      <x:c r="T1051" s="44" t="str">
        <x:v>0x0000000035116bd8  0x0000000035003818  0x000072ee68693ad0       0         0         0  org.apache.catalina.loader.ParallelWebappClassLoader | 0x0000000035116bd8  0x0000000035003818  0x000072edac1b9ce0    4299  20456448  20444240  org.apache.catalina.loader.ParallelWebappClassLoader</x:v>
      </x:c>
      <x:c r="U1051" s="36" t="n">
        <x:v>27</x:v>
      </x:c>
      <x:c r="V1051" s="36" t="n">
        <x:v>0</x:v>
      </x:c>
      <x:c r="W1051" s="44"/>
      <x:c r="X1051" s="36" t="n">
        <x:v>1</x:v>
      </x:c>
      <x:c r="Y1051" s="36" t="n">
        <x:v>1</x:v>
      </x:c>
      <x:c r="Z1051" s="44" t="str">
        <x:v>/nostore</x:v>
      </x:c>
      <x:c r="AA1051" s="45" t="b">
        <x:v>1</x:v>
      </x:c>
      <x:c r="AB1051" s="43"/>
      <x:c r="AC1051" s="34" t="str">
        <x:v>article1-unified-v4-2-fb3f101b-20260903-000401-default-f05-p2-nostore-3-after-final-undeploy-final-10s-heap-info.txt</x:v>
      </x:c>
      <x:c r="AD1051" s="34" t="str">
        <x:v>article1-unified-v4-2-fb3f101b-20260903-000401-default-f05-p2-nostore-3-after-final-undeploy-final-10s-classloader-stats.txt</x:v>
      </x:c>
      <x:c r="AE1051" s="34" t="str">
        <x:v>article1-unified-v4-2-fb3f101b-20260903-000401-default-f05-p2-nostore-3-after-final-undeploy-final-10s-thread-dump.txt</x:v>
      </x:c>
      <x:c r="AF1051" s="34"/>
      <x:c r="AG1051" s="34" t="str">
        <x:v>article1-unified-v4-2-fb3f101b-20260903-000401-default-f05-p2-nostore-3-after-final-undeploy-final-10s-native-memory.txt</x:v>
      </x:c>
      <x:c r="AH1051" s="34" t="str">
        <x:v>article1-unified-v4-2-fb3f101b-20260903-000401-default-f05-p2-nostore-3-after-final-undeploy-final-10s-class-histogram.txt</x:v>
      </x:c>
      <x:c r="AI1051" s="34" t="str">
        <x:v>article1-unified-v4-2-fb3f101b-20260903-000401-default-f05-p2-nostore-3-after-final-undeploy-tomcat-findleaks.txt</x:v>
      </x:c>
    </x:row>
    <x:row r="1052">
      <x:c r="A1052" s="34" t="str">
        <x:v>article1-unified-v4-2-fb3f101b-20260903-000401-default-f05-p2-nostore</x:v>
      </x:c>
      <x:c r="B1052" s="34" t="str">
        <x:v>default</x:v>
      </x:c>
      <x:c r="C1052" s="34" t="str">
        <x:v>nostore</x:v>
      </x:c>
      <x:c r="D1052" s="34" t="str">
        <x:v>nostore</x:v>
      </x:c>
      <x:c r="E1052" s="36" t="n">
        <x:v>5</x:v>
      </x:c>
      <x:c r="F1052" s="36" t="n">
        <x:v>5</x:v>
      </x:c>
      <x:c r="G1052" s="36" t="n">
        <x:v>2</x:v>
      </x:c>
      <x:c r="H1052" s="36" t="n">
        <x:v>4</x:v>
      </x:c>
      <x:c r="I1052" s="34" t="str">
        <x:v>baseline</x:v>
      </x:c>
      <x:c r="J1052" s="34" t="str">
        <x:v>cycle-baseline</x:v>
      </x:c>
      <x:c r="K1052" s="36" t="n">
        <x:v>0</x:v>
      </x:c>
      <x:c r="L1052" s="34" t="str">
        <x:v>baseline</x:v>
      </x:c>
      <x:c r="M1052" s="34" t="str">
        <x:v>article1-unified-v4-2-fb3f101b-20260903-000401-default-f05-p2-nostore-4-baseline</x:v>
      </x:c>
      <x:c r="N1052" s="38" t="n">
        <x:v>46268.06720417824</x:v>
      </x:c>
      <x:c r="O1052" s="36" t="n">
        <x:v>0</x:v>
      </x:c>
      <x:c r="P1052" s="43" t="n">
        <x:v>15424512</x:v>
      </x:c>
      <x:c r="Q1052" s="43" t="n">
        <x:v>268435456</x:v>
      </x:c>
      <x:c r="R1052" s="43" t="n">
        <x:v>422421504</x:v>
      </x:c>
      <x:c r="S1052" s="36" t="n">
        <x:v>2</x:v>
      </x:c>
      <x:c r="T1052" s="44" t="str">
        <x:v>0x0000000035116bd8  0x0000000035003818  0x000072ee68693ad0       0         0         0  org.apache.catalina.loader.ParallelWebappClassLoader | 0x0000000035116bd8  0x0000000035003818  0x000072edac1b9ce0    4299  20456448  20444240  org.apache.catalina.loader.ParallelWebappClassLoader</x:v>
      </x:c>
      <x:c r="U1052" s="36" t="n">
        <x:v>27</x:v>
      </x:c>
      <x:c r="V1052" s="36" t="n">
        <x:v>0</x:v>
      </x:c>
      <x:c r="W1052" s="44"/>
      <x:c r="X1052" s="36"/>
      <x:c r="Y1052" s="36"/>
      <x:c r="Z1052" s="44"/>
      <x:c r="AA1052" s="49"/>
      <x:c r="AB1052" s="43"/>
      <x:c r="AC1052" s="34" t="str">
        <x:v>article1-unified-v4-2-fb3f101b-20260903-000401-default-f05-p2-nostore-4-baseline-heap-info.txt</x:v>
      </x:c>
      <x:c r="AD1052" s="34" t="str">
        <x:v>article1-unified-v4-2-fb3f101b-20260903-000401-default-f05-p2-nostore-4-baseline-classloader-stats.txt</x:v>
      </x:c>
      <x:c r="AE1052" s="34" t="str">
        <x:v>article1-unified-v4-2-fb3f101b-20260903-000401-default-f05-p2-nostore-4-baseline-thread-dump.txt</x:v>
      </x:c>
      <x:c r="AF1052" s="34"/>
      <x:c r="AG1052" s="34" t="str">
        <x:v>article1-unified-v4-2-fb3f101b-20260903-000401-default-f05-p2-nostore-4-baseline-native-memory.txt</x:v>
      </x:c>
      <x:c r="AH1052" s="34"/>
      <x:c r="AI1052" s="34"/>
    </x:row>
    <x:row r="1053">
      <x:c r="A1053" s="34" t="str">
        <x:v>article1-unified-v4-2-fb3f101b-20260903-000401-default-f05-p2-nostore</x:v>
      </x:c>
      <x:c r="B1053" s="34" t="str">
        <x:v>default</x:v>
      </x:c>
      <x:c r="C1053" s="34" t="str">
        <x:v>nostore</x:v>
      </x:c>
      <x:c r="D1053" s="34" t="str">
        <x:v>nostore</x:v>
      </x:c>
      <x:c r="E1053" s="36" t="n">
        <x:v>5</x:v>
      </x:c>
      <x:c r="F1053" s="36" t="n">
        <x:v>5</x:v>
      </x:c>
      <x:c r="G1053" s="36" t="n">
        <x:v>2</x:v>
      </x:c>
      <x:c r="H1053" s="36" t="n">
        <x:v>4</x:v>
      </x:c>
      <x:c r="I1053" s="34" t="str">
        <x:v>deployedIdle</x:v>
      </x:c>
      <x:c r="J1053" s="34" t="str">
        <x:v>deployed-idle</x:v>
      </x:c>
      <x:c r="K1053" s="36" t="n">
        <x:v>0</x:v>
      </x:c>
      <x:c r="L1053" s="34" t="str">
        <x:v>initial</x:v>
      </x:c>
      <x:c r="M1053" s="34" t="str">
        <x:v>article1-unified-v4-2-fb3f101b-20260903-000401-default-f05-p2-nostore-4-deployed-idle</x:v>
      </x:c>
      <x:c r="N1053" s="38" t="n">
        <x:v>46268.067304571756</x:v>
      </x:c>
      <x:c r="O1053" s="36" t="n">
        <x:v>0</x:v>
      </x:c>
      <x:c r="P1053" s="43" t="n">
        <x:v>167171072</x:v>
      </x:c>
      <x:c r="Q1053" s="43" t="n">
        <x:v>268435456</x:v>
      </x:c>
      <x:c r="R1053" s="43" t="n">
        <x:v>457658368</x:v>
      </x:c>
      <x:c r="S1053" s="36" t="n">
        <x:v>3</x:v>
      </x:c>
      <x:c r="T1053" s="44" t="str">
        <x:v>0x0000000035116bd8  0x0000000035003818  0x000072ee68693ad0       0         0         0  org.apache.catalina.loader.ParallelWebappClassLoader | 0x0000000035116bd8  0x0000000035003818  0x000072edc01b9fb0    4091  19444736  19427232  org.apache.catalina.loader.ParallelWebappClassLoader | 0x0000000035116bd8  0x0000000035003818  0x000072edac1b9ce0    4299  20456448  20444240  org.apache.catalina.loader.ParallelWebappClassLoader</x:v>
      </x:c>
      <x:c r="U1053" s="36" t="n">
        <x:v>28</x:v>
      </x:c>
      <x:c r="V1053" s="36" t="n">
        <x:v>0</x:v>
      </x:c>
      <x:c r="W1053" s="44"/>
      <x:c r="X1053" s="36"/>
      <x:c r="Y1053" s="36"/>
      <x:c r="Z1053" s="44"/>
      <x:c r="AA1053" s="49"/>
      <x:c r="AB1053" s="43"/>
      <x:c r="AC1053" s="34"/>
      <x:c r="AD1053" s="34"/>
      <x:c r="AE1053" s="34"/>
      <x:c r="AF1053" s="34"/>
      <x:c r="AG1053" s="34"/>
      <x:c r="AH1053" s="34"/>
      <x:c r="AI1053" s="34"/>
    </x:row>
    <x:row r="1054">
      <x:c r="A1054" s="34" t="str">
        <x:v>article1-unified-v4-2-fb3f101b-20260903-000401-default-f05-p2-nostore</x:v>
      </x:c>
      <x:c r="B1054" s="34" t="str">
        <x:v>default</x:v>
      </x:c>
      <x:c r="C1054" s="34" t="str">
        <x:v>nostore</x:v>
      </x:c>
      <x:c r="D1054" s="34" t="str">
        <x:v>nostore</x:v>
      </x:c>
      <x:c r="E1054" s="36" t="n">
        <x:v>5</x:v>
      </x:c>
      <x:c r="F1054" s="36" t="n">
        <x:v>5</x:v>
      </x:c>
      <x:c r="G1054" s="36" t="n">
        <x:v>2</x:v>
      </x:c>
      <x:c r="H1054" s="36" t="n">
        <x:v>4</x:v>
      </x:c>
      <x:c r="I1054" s="34" t="str">
        <x:v>loaded</x:v>
      </x:c>
      <x:c r="J1054" s="34" t="str">
        <x:v>loaded</x:v>
      </x:c>
      <x:c r="K1054" s="36" t="n">
        <x:v>0</x:v>
      </x:c>
      <x:c r="L1054" s="34" t="str">
        <x:v>initial</x:v>
      </x:c>
      <x:c r="M1054" s="34" t="str">
        <x:v>article1-unified-v4-2-fb3f101b-20260903-000401-default-f05-p2-nostore-4-loaded</x:v>
      </x:c>
      <x:c r="N1054" s="38" t="n">
        <x:v>46268.067455358796</x:v>
      </x:c>
      <x:c r="O1054" s="36" t="n">
        <x:v>0</x:v>
      </x:c>
      <x:c r="P1054" s="43" t="n">
        <x:v>324538368</x:v>
      </x:c>
      <x:c r="Q1054" s="43" t="n">
        <x:v>373293056</x:v>
      </x:c>
      <x:c r="R1054" s="43" t="n">
        <x:v>530450432</x:v>
      </x:c>
      <x:c r="S1054" s="36" t="n">
        <x:v>2</x:v>
      </x:c>
      <x:c r="T1054" s="44" t="str">
        <x:v>0x0000000035116bd8  0x0000000035003818  0x000072edc01b9fb0    4287  20427776  20419128  org.apache.catalina.loader.ParallelWebappClassLoader | 0x0000000035116bd8  0x0000000035003818  0x000072ee68693ad0       0         0         0  org.apache.catalina.loader.ParallelWebappClassLoader</x:v>
      </x:c>
      <x:c r="U1054" s="36" t="n">
        <x:v>27</x:v>
      </x:c>
      <x:c r="V1054" s="36" t="n">
        <x:v>0</x:v>
      </x:c>
      <x:c r="W1054" s="44"/>
      <x:c r="X1054" s="36"/>
      <x:c r="Y1054" s="36"/>
      <x:c r="Z1054" s="44"/>
      <x:c r="AA1054" s="49"/>
      <x:c r="AB1054" s="43"/>
      <x:c r="AC1054" s="34"/>
      <x:c r="AD1054" s="34"/>
      <x:c r="AE1054" s="34"/>
      <x:c r="AF1054" s="34"/>
      <x:c r="AG1054" s="34"/>
      <x:c r="AH1054" s="34"/>
      <x:c r="AI1054" s="34"/>
    </x:row>
    <x:row r="1055">
      <x:c r="A1055" s="34" t="str">
        <x:v>article1-unified-v4-2-fb3f101b-20260903-000401-default-f05-p2-nostore</x:v>
      </x:c>
      <x:c r="B1055" s="34" t="str">
        <x:v>default</x:v>
      </x:c>
      <x:c r="C1055" s="34" t="str">
        <x:v>nostore</x:v>
      </x:c>
      <x:c r="D1055" s="34" t="str">
        <x:v>nostore</x:v>
      </x:c>
      <x:c r="E1055" s="36" t="n">
        <x:v>5</x:v>
      </x:c>
      <x:c r="F1055" s="36" t="n">
        <x:v>5</x:v>
      </x:c>
      <x:c r="G1055" s="36" t="n">
        <x:v>2</x:v>
      </x:c>
      <x:c r="H1055" s="36" t="n">
        <x:v>4</x:v>
      </x:c>
      <x:c r="I1055" s="34" t="str">
        <x:v>afterUndeployEarly</x:v>
      </x:c>
      <x:c r="J1055" s="34" t="str">
        <x:v>after-undeploy-early</x:v>
      </x:c>
      <x:c r="K1055" s="36" t="n">
        <x:v>1</x:v>
      </x:c>
      <x:c r="L1055" s="34" t="str">
        <x:v>early</x:v>
      </x:c>
      <x:c r="M1055" s="34" t="str">
        <x:v>article1-unified-v4-2-fb3f101b-20260903-000401-default-f05-p2-nostore-4-after-undeploy-early-2s</x:v>
      </x:c>
      <x:c r="N1055" s="38" t="n">
        <x:v>46268.06754002315</x:v>
      </x:c>
      <x:c r="O1055" s="36"/>
      <x:c r="P1055" s="43"/>
      <x:c r="Q1055" s="43"/>
      <x:c r="R1055" s="43"/>
      <x:c r="S1055" s="36"/>
      <x:c r="T1055" s="44"/>
      <x:c r="U1055" s="36" t="n">
        <x:v>27</x:v>
      </x:c>
      <x:c r="V1055" s="36" t="n">
        <x:v>0</x:v>
      </x:c>
      <x:c r="W1055" s="44"/>
      <x:c r="X1055" s="36"/>
      <x:c r="Y1055" s="36"/>
      <x:c r="Z1055" s="44"/>
      <x:c r="AA1055" s="49"/>
      <x:c r="AB1055" s="43" t="n">
        <x:v>1</x:v>
      </x:c>
      <x:c r="AC1055" s="34"/>
      <x:c r="AD1055" s="34"/>
      <x:c r="AE1055" s="34" t="str">
        <x:v>article1-unified-v4-2-fb3f101b-20260903-000401-default-f05-p2-nostore-4-after-undeploy-early-2s-thread-dump.txt</x:v>
      </x:c>
      <x:c r="AF1055" s="34" t="str">
        <x:v>article1-unified-v4-2-fb3f101b-20260903-000401-default-f05-p2-nostore-4-after-undeploy-early-tomcat-log.txt</x:v>
      </x:c>
      <x:c r="AG1055" s="34"/>
      <x:c r="AH1055" s="34"/>
      <x:c r="AI1055" s="34"/>
    </x:row>
    <x:row r="1056">
      <x:c r="A1056" s="34" t="str">
        <x:v>article1-unified-v4-2-fb3f101b-20260903-000401-default-f05-p2-nostore</x:v>
      </x:c>
      <x:c r="B1056" s="34" t="str">
        <x:v>default</x:v>
      </x:c>
      <x:c r="C1056" s="34" t="str">
        <x:v>nostore</x:v>
      </x:c>
      <x:c r="D1056" s="34" t="str">
        <x:v>nostore</x:v>
      </x:c>
      <x:c r="E1056" s="36" t="n">
        <x:v>5</x:v>
      </x:c>
      <x:c r="F1056" s="36" t="n">
        <x:v>5</x:v>
      </x:c>
      <x:c r="G1056" s="36" t="n">
        <x:v>2</x:v>
      </x:c>
      <x:c r="H1056" s="36" t="n">
        <x:v>4</x:v>
      </x:c>
      <x:c r="I1056" s="34" t="str">
        <x:v>afterUndeploy</x:v>
      </x:c>
      <x:c r="J1056" s="34" t="str">
        <x:v>after-undeploy-final</x:v>
      </x:c>
      <x:c r="K1056" s="36" t="n">
        <x:v>1</x:v>
      </x:c>
      <x:c r="L1056" s="34" t="str">
        <x:v>final</x:v>
      </x:c>
      <x:c r="M1056" s="34" t="str">
        <x:v>article1-unified-v4-2-fb3f101b-20260903-000401-default-f05-p2-nostore-4-after-undeploy-final-10s</x:v>
      </x:c>
      <x:c r="N1056" s="38" t="n">
        <x:v>46268.06769074074</x:v>
      </x:c>
      <x:c r="O1056" s="36" t="n">
        <x:v>2</x:v>
      </x:c>
      <x:c r="P1056" s="43" t="n">
        <x:v>15430656</x:v>
      </x:c>
      <x:c r="Q1056" s="43" t="n">
        <x:v>268435456</x:v>
      </x:c>
      <x:c r="R1056" s="43" t="n">
        <x:v>420729856</x:v>
      </x:c>
      <x:c r="S1056" s="36" t="n">
        <x:v>2</x:v>
      </x:c>
      <x:c r="T1056" s="44" t="str">
        <x:v>0x0000000035116bd8  0x0000000035003818  0x000072ee68693ad0       0         0         0  org.apache.catalina.loader.ParallelWebappClassLoader | 0x0000000035116bd8  0x0000000035003818  0x000072edc01b9fb0    4295  20460544  20443776  org.apache.catalina.loader.ParallelWebappClassLoader</x:v>
      </x:c>
      <x:c r="U1056" s="36" t="n">
        <x:v>27</x:v>
      </x:c>
      <x:c r="V1056" s="36" t="n">
        <x:v>0</x:v>
      </x:c>
      <x:c r="W1056" s="44"/>
      <x:c r="X1056" s="36" t="n">
        <x:v>1</x:v>
      </x:c>
      <x:c r="Y1056" s="36" t="n">
        <x:v>1</x:v>
      </x:c>
      <x:c r="Z1056" s="44" t="str">
        <x:v>/nostore</x:v>
      </x:c>
      <x:c r="AA1056" s="45" t="b">
        <x:v>1</x:v>
      </x:c>
      <x:c r="AB1056" s="43"/>
      <x:c r="AC1056" s="34" t="str">
        <x:v>article1-unified-v4-2-fb3f101b-20260903-000401-default-f05-p2-nostore-4-after-undeploy-final-10s-heap-info.txt</x:v>
      </x:c>
      <x:c r="AD1056" s="34" t="str">
        <x:v>article1-unified-v4-2-fb3f101b-20260903-000401-default-f05-p2-nostore-4-after-undeploy-final-10s-classloader-stats.txt</x:v>
      </x:c>
      <x:c r="AE1056" s="34" t="str">
        <x:v>article1-unified-v4-2-fb3f101b-20260903-000401-default-f05-p2-nostore-4-after-undeploy-final-10s-thread-dump.txt</x:v>
      </x:c>
      <x:c r="AF1056" s="34"/>
      <x:c r="AG1056" s="34" t="str">
        <x:v>article1-unified-v4-2-fb3f101b-20260903-000401-default-f05-p2-nostore-4-after-undeploy-final-10s-native-memory.txt</x:v>
      </x:c>
      <x:c r="AH1056" s="34" t="str">
        <x:v>article1-unified-v4-2-fb3f101b-20260903-000401-default-f05-p2-nostore-4-after-undeploy-final-10s-class-histogram.txt</x:v>
      </x:c>
      <x:c r="AI1056" s="34" t="str">
        <x:v>article1-unified-v4-2-fb3f101b-20260903-000401-default-f05-p2-nostore-4-after-undeploy-tomcat-findleaks.txt</x:v>
      </x:c>
    </x:row>
    <x:row r="1057">
      <x:c r="A1057" s="34" t="str">
        <x:v>article1-unified-v4-2-fb3f101b-20260903-000401-default-f05-p2-nostore</x:v>
      </x:c>
      <x:c r="B1057" s="34" t="str">
        <x:v>default</x:v>
      </x:c>
      <x:c r="C1057" s="34" t="str">
        <x:v>nostore</x:v>
      </x:c>
      <x:c r="D1057" s="34" t="str">
        <x:v>nostore</x:v>
      </x:c>
      <x:c r="E1057" s="36" t="n">
        <x:v>5</x:v>
      </x:c>
      <x:c r="F1057" s="36" t="n">
        <x:v>5</x:v>
      </x:c>
      <x:c r="G1057" s="36" t="n">
        <x:v>2</x:v>
      </x:c>
      <x:c r="H1057" s="36" t="n">
        <x:v>4</x:v>
      </x:c>
      <x:c r="I1057" s="34" t="str">
        <x:v>redeployedLoaded</x:v>
      </x:c>
      <x:c r="J1057" s="34" t="str">
        <x:v>redeployed-loaded</x:v>
      </x:c>
      <x:c r="K1057" s="36" t="n">
        <x:v>0</x:v>
      </x:c>
      <x:c r="L1057" s="34" t="str">
        <x:v>redeploy</x:v>
      </x:c>
      <x:c r="M1057" s="34" t="str">
        <x:v>article1-unified-v4-2-fb3f101b-20260903-000401-default-f05-p2-nostore-4-redeployed-loaded</x:v>
      </x:c>
      <x:c r="N1057" s="38" t="n">
        <x:v>46268.06794997685</x:v>
      </x:c>
      <x:c r="O1057" s="36" t="n">
        <x:v>0</x:v>
      </x:c>
      <x:c r="P1057" s="43" t="n">
        <x:v>185591808</x:v>
      </x:c>
      <x:c r="Q1057" s="43" t="n">
        <x:v>483393536</x:v>
      </x:c>
      <x:c r="R1057" s="43" t="n">
        <x:v>661008384</x:v>
      </x:c>
      <x:c r="S1057" s="36" t="n">
        <x:v>3</x:v>
      </x:c>
      <x:c r="T1057" s="44" t="str">
        <x:v>0x0000000035116bd8  0x0000000035003818  0x000072ee68693ad0       0         0         0  org.apache.catalina.loader.ParallelWebappClassLoader | 0x0000000035116bd8  0x0000000035003818  0x000072edc01b9fb0    4295  20460544  20443776  org.apache.catalina.loader.ParallelWebappClassLoader | 0x0000000035116bd8  0x0000000035003818  0x000072ed9419b5e0    4285  20482048  20461560  org.apache.catalina.loader.ParallelWebappClassLoader</x:v>
      </x:c>
      <x:c r="U1057" s="36" t="n">
        <x:v>27</x:v>
      </x:c>
      <x:c r="V1057" s="36" t="n">
        <x:v>0</x:v>
      </x:c>
      <x:c r="W1057" s="44"/>
      <x:c r="X1057" s="36"/>
      <x:c r="Y1057" s="36"/>
      <x:c r="Z1057" s="44"/>
      <x:c r="AA1057" s="49"/>
      <x:c r="AB1057" s="43"/>
      <x:c r="AC1057" s="34"/>
      <x:c r="AD1057" s="34"/>
      <x:c r="AE1057" s="34"/>
      <x:c r="AF1057" s="34"/>
      <x:c r="AG1057" s="34"/>
      <x:c r="AH1057" s="34"/>
      <x:c r="AI1057" s="34"/>
    </x:row>
    <x:row r="1058">
      <x:c r="A1058" s="34" t="str">
        <x:v>article1-unified-v4-2-fb3f101b-20260903-000401-default-f05-p2-nostore</x:v>
      </x:c>
      <x:c r="B1058" s="34" t="str">
        <x:v>default</x:v>
      </x:c>
      <x:c r="C1058" s="34" t="str">
        <x:v>nostore</x:v>
      </x:c>
      <x:c r="D1058" s="34" t="str">
        <x:v>nostore</x:v>
      </x:c>
      <x:c r="E1058" s="36" t="n">
        <x:v>5</x:v>
      </x:c>
      <x:c r="F1058" s="36" t="n">
        <x:v>5</x:v>
      </x:c>
      <x:c r="G1058" s="36" t="n">
        <x:v>2</x:v>
      </x:c>
      <x:c r="H1058" s="36" t="n">
        <x:v>4</x:v>
      </x:c>
      <x:c r="I1058" s="34" t="str">
        <x:v>afterFinalUndeployEarly</x:v>
      </x:c>
      <x:c r="J1058" s="34" t="str">
        <x:v>after-final-undeploy-early</x:v>
      </x:c>
      <x:c r="K1058" s="36" t="n">
        <x:v>2</x:v>
      </x:c>
      <x:c r="L1058" s="34" t="str">
        <x:v>early</x:v>
      </x:c>
      <x:c r="M1058" s="34" t="str">
        <x:v>article1-unified-v4-2-fb3f101b-20260903-000401-default-f05-p2-nostore-4-after-final-undeploy-early-2s</x:v>
      </x:c>
      <x:c r="N1058" s="38" t="n">
        <x:v>46268.06803084491</x:v>
      </x:c>
      <x:c r="O1058" s="36"/>
      <x:c r="P1058" s="43"/>
      <x:c r="Q1058" s="43"/>
      <x:c r="R1058" s="43"/>
      <x:c r="S1058" s="36"/>
      <x:c r="T1058" s="44"/>
      <x:c r="U1058" s="36" t="n">
        <x:v>27</x:v>
      </x:c>
      <x:c r="V1058" s="36" t="n">
        <x:v>0</x:v>
      </x:c>
      <x:c r="W1058" s="44"/>
      <x:c r="X1058" s="36"/>
      <x:c r="Y1058" s="36"/>
      <x:c r="Z1058" s="44"/>
      <x:c r="AA1058" s="49"/>
      <x:c r="AB1058" s="43" t="n">
        <x:v>1</x:v>
      </x:c>
      <x:c r="AC1058" s="34"/>
      <x:c r="AD1058" s="34"/>
      <x:c r="AE1058" s="34" t="str">
        <x:v>article1-unified-v4-2-fb3f101b-20260903-000401-default-f05-p2-nostore-4-after-final-undeploy-early-2s-thread-dump.txt</x:v>
      </x:c>
      <x:c r="AF1058" s="34" t="str">
        <x:v>article1-unified-v4-2-fb3f101b-20260903-000401-default-f05-p2-nostore-4-after-final-undeploy-early-tomcat-log.txt</x:v>
      </x:c>
      <x:c r="AG1058" s="34"/>
      <x:c r="AH1058" s="34"/>
      <x:c r="AI1058" s="34"/>
    </x:row>
    <x:row r="1059">
      <x:c r="A1059" s="34" t="str">
        <x:v>article1-unified-v4-2-fb3f101b-20260903-000401-default-f05-p2-nostore</x:v>
      </x:c>
      <x:c r="B1059" s="34" t="str">
        <x:v>default</x:v>
      </x:c>
      <x:c r="C1059" s="34" t="str">
        <x:v>nostore</x:v>
      </x:c>
      <x:c r="D1059" s="34" t="str">
        <x:v>nostore</x:v>
      </x:c>
      <x:c r="E1059" s="36" t="n">
        <x:v>5</x:v>
      </x:c>
      <x:c r="F1059" s="36" t="n">
        <x:v>5</x:v>
      </x:c>
      <x:c r="G1059" s="36" t="n">
        <x:v>2</x:v>
      </x:c>
      <x:c r="H1059" s="36" t="n">
        <x:v>4</x:v>
      </x:c>
      <x:c r="I1059" s="34" t="str">
        <x:v>afterFinalUndeploy</x:v>
      </x:c>
      <x:c r="J1059" s="34" t="str">
        <x:v>after-final-undeploy-final</x:v>
      </x:c>
      <x:c r="K1059" s="36" t="n">
        <x:v>2</x:v>
      </x:c>
      <x:c r="L1059" s="34" t="str">
        <x:v>final</x:v>
      </x:c>
      <x:c r="M1059" s="34" t="str">
        <x:v>article1-unified-v4-2-fb3f101b-20260903-000401-default-f05-p2-nostore-4-after-final-undeploy-final-10s</x:v>
      </x:c>
      <x:c r="N1059" s="38" t="n">
        <x:v>46268.068185752316</x:v>
      </x:c>
      <x:c r="O1059" s="36" t="n">
        <x:v>2</x:v>
      </x:c>
      <x:c r="P1059" s="43" t="n">
        <x:v>15555584</x:v>
      </x:c>
      <x:c r="Q1059" s="43" t="n">
        <x:v>268435456</x:v>
      </x:c>
      <x:c r="R1059" s="43" t="n">
        <x:v>425658368</x:v>
      </x:c>
      <x:c r="S1059" s="36" t="n">
        <x:v>2</x:v>
      </x:c>
      <x:c r="T1059" s="44" t="str">
        <x:v>0x0000000035116bd8  0x0000000035003818  0x000072ee68693ad0       0         0         0  org.apache.catalina.loader.ParallelWebappClassLoader | 0x0000000035116bd8  0x0000000035003818  0x000072ed9419b5e0    4293  20498432  20486224  org.apache.catalina.loader.ParallelWebappClassLoader</x:v>
      </x:c>
      <x:c r="U1059" s="36" t="n">
        <x:v>27</x:v>
      </x:c>
      <x:c r="V1059" s="36" t="n">
        <x:v>0</x:v>
      </x:c>
      <x:c r="W1059" s="44"/>
      <x:c r="X1059" s="36" t="n">
        <x:v>1</x:v>
      </x:c>
      <x:c r="Y1059" s="36" t="n">
        <x:v>1</x:v>
      </x:c>
      <x:c r="Z1059" s="44" t="str">
        <x:v>/nostore</x:v>
      </x:c>
      <x:c r="AA1059" s="45" t="b">
        <x:v>1</x:v>
      </x:c>
      <x:c r="AB1059" s="43"/>
      <x:c r="AC1059" s="34" t="str">
        <x:v>article1-unified-v4-2-fb3f101b-20260903-000401-default-f05-p2-nostore-4-after-final-undeploy-final-10s-heap-info.txt</x:v>
      </x:c>
      <x:c r="AD1059" s="34" t="str">
        <x:v>article1-unified-v4-2-fb3f101b-20260903-000401-default-f05-p2-nostore-4-after-final-undeploy-final-10s-classloader-stats.txt</x:v>
      </x:c>
      <x:c r="AE1059" s="34" t="str">
        <x:v>article1-unified-v4-2-fb3f101b-20260903-000401-default-f05-p2-nostore-4-after-final-undeploy-final-10s-thread-dump.txt</x:v>
      </x:c>
      <x:c r="AF1059" s="34"/>
      <x:c r="AG1059" s="34" t="str">
        <x:v>article1-unified-v4-2-fb3f101b-20260903-000401-default-f05-p2-nostore-4-after-final-undeploy-final-10s-native-memory.txt</x:v>
      </x:c>
      <x:c r="AH1059" s="34" t="str">
        <x:v>article1-unified-v4-2-fb3f101b-20260903-000401-default-f05-p2-nostore-4-after-final-undeploy-final-10s-class-histogram.txt</x:v>
      </x:c>
      <x:c r="AI1059" s="34" t="str">
        <x:v>article1-unified-v4-2-fb3f101b-20260903-000401-default-f05-p2-nostore-4-after-final-undeploy-tomcat-findleaks.txt</x:v>
      </x:c>
    </x:row>
    <x:row r="1060">
      <x:c r="A1060" s="34" t="str">
        <x:v>article1-unified-v4-2-fb3f101b-20260903-000401-default-f05-p2-nostore</x:v>
      </x:c>
      <x:c r="B1060" s="34" t="str">
        <x:v>default</x:v>
      </x:c>
      <x:c r="C1060" s="34" t="str">
        <x:v>nostore</x:v>
      </x:c>
      <x:c r="D1060" s="34" t="str">
        <x:v>nostore</x:v>
      </x:c>
      <x:c r="E1060" s="36" t="n">
        <x:v>5</x:v>
      </x:c>
      <x:c r="F1060" s="36" t="n">
        <x:v>5</x:v>
      </x:c>
      <x:c r="G1060" s="36" t="n">
        <x:v>2</x:v>
      </x:c>
      <x:c r="H1060" s="36" t="n">
        <x:v>5</x:v>
      </x:c>
      <x:c r="I1060" s="34" t="str">
        <x:v>baseline</x:v>
      </x:c>
      <x:c r="J1060" s="34" t="str">
        <x:v>cycle-baseline</x:v>
      </x:c>
      <x:c r="K1060" s="36" t="n">
        <x:v>0</x:v>
      </x:c>
      <x:c r="L1060" s="34" t="str">
        <x:v>baseline</x:v>
      </x:c>
      <x:c r="M1060" s="34" t="str">
        <x:v>article1-unified-v4-2-fb3f101b-20260903-000401-default-f05-p2-nostore-5-baseline</x:v>
      </x:c>
      <x:c r="N1060" s="38" t="n">
        <x:v>46268.068227511576</x:v>
      </x:c>
      <x:c r="O1060" s="36" t="n">
        <x:v>0</x:v>
      </x:c>
      <x:c r="P1060" s="43" t="n">
        <x:v>15555584</x:v>
      </x:c>
      <x:c r="Q1060" s="43" t="n">
        <x:v>268435456</x:v>
      </x:c>
      <x:c r="R1060" s="43" t="n">
        <x:v>425658368</x:v>
      </x:c>
      <x:c r="S1060" s="36" t="n">
        <x:v>2</x:v>
      </x:c>
      <x:c r="T1060" s="44" t="str">
        <x:v>0x0000000035116bd8  0x0000000035003818  0x000072ee68693ad0       0         0         0  org.apache.catalina.loader.ParallelWebappClassLoader | 0x0000000035116bd8  0x0000000035003818  0x000072ed9419b5e0    4293  20498432  20486224  org.apache.catalina.loader.ParallelWebappClassLoader</x:v>
      </x:c>
      <x:c r="U1060" s="36" t="n">
        <x:v>27</x:v>
      </x:c>
      <x:c r="V1060" s="36" t="n">
        <x:v>0</x:v>
      </x:c>
      <x:c r="W1060" s="44"/>
      <x:c r="X1060" s="36"/>
      <x:c r="Y1060" s="36"/>
      <x:c r="Z1060" s="44"/>
      <x:c r="AA1060" s="49"/>
      <x:c r="AB1060" s="43"/>
      <x:c r="AC1060" s="34" t="str">
        <x:v>article1-unified-v4-2-fb3f101b-20260903-000401-default-f05-p2-nostore-5-baseline-heap-info.txt</x:v>
      </x:c>
      <x:c r="AD1060" s="34" t="str">
        <x:v>article1-unified-v4-2-fb3f101b-20260903-000401-default-f05-p2-nostore-5-baseline-classloader-stats.txt</x:v>
      </x:c>
      <x:c r="AE1060" s="34" t="str">
        <x:v>article1-unified-v4-2-fb3f101b-20260903-000401-default-f05-p2-nostore-5-baseline-thread-dump.txt</x:v>
      </x:c>
      <x:c r="AF1060" s="34"/>
      <x:c r="AG1060" s="34" t="str">
        <x:v>article1-unified-v4-2-fb3f101b-20260903-000401-default-f05-p2-nostore-5-baseline-native-memory.txt</x:v>
      </x:c>
      <x:c r="AH1060" s="34"/>
      <x:c r="AI1060" s="34"/>
    </x:row>
    <x:row r="1061">
      <x:c r="A1061" s="34" t="str">
        <x:v>article1-unified-v4-2-fb3f101b-20260903-000401-default-f05-p2-nostore</x:v>
      </x:c>
      <x:c r="B1061" s="34" t="str">
        <x:v>default</x:v>
      </x:c>
      <x:c r="C1061" s="34" t="str">
        <x:v>nostore</x:v>
      </x:c>
      <x:c r="D1061" s="34" t="str">
        <x:v>nostore</x:v>
      </x:c>
      <x:c r="E1061" s="36" t="n">
        <x:v>5</x:v>
      </x:c>
      <x:c r="F1061" s="36" t="n">
        <x:v>5</x:v>
      </x:c>
      <x:c r="G1061" s="36" t="n">
        <x:v>2</x:v>
      </x:c>
      <x:c r="H1061" s="36" t="n">
        <x:v>5</x:v>
      </x:c>
      <x:c r="I1061" s="34" t="str">
        <x:v>deployedIdle</x:v>
      </x:c>
      <x:c r="J1061" s="34" t="str">
        <x:v>deployed-idle</x:v>
      </x:c>
      <x:c r="K1061" s="36" t="n">
        <x:v>0</x:v>
      </x:c>
      <x:c r="L1061" s="34" t="str">
        <x:v>initial</x:v>
      </x:c>
      <x:c r="M1061" s="34" t="str">
        <x:v>article1-unified-v4-2-fb3f101b-20260903-000401-default-f05-p2-nostore-5-deployed-idle</x:v>
      </x:c>
      <x:c r="N1061" s="38" t="n">
        <x:v>46268.068323900465</x:v>
      </x:c>
      <x:c r="O1061" s="36" t="n">
        <x:v>0</x:v>
      </x:c>
      <x:c r="P1061" s="43" t="n">
        <x:v>165197824</x:v>
      </x:c>
      <x:c r="Q1061" s="43" t="n">
        <x:v>268435456</x:v>
      </x:c>
      <x:c r="R1061" s="43" t="n">
        <x:v>443156480</x:v>
      </x:c>
      <x:c r="S1061" s="36" t="n">
        <x:v>3</x:v>
      </x:c>
      <x:c r="T1061" s="44" t="str">
        <x:v>0x0000000035116bd8  0x0000000035003818  0x000072ee68693ad0       0         0         0  org.apache.catalina.loader.ParallelWebappClassLoader | 0x0000000035116bd8  0x0000000035003818  0x000072edb84a6af0    4091  19449856  19427480  org.apache.catalina.loader.ParallelWebappClassLoader | 0x0000000035116bd8  0x0000000035003818  0x000072ed9419b5e0    4293  20498432  20486224  org.apache.catalina.loader.ParallelWebappClassLoader</x:v>
      </x:c>
      <x:c r="U1061" s="36" t="n">
        <x:v>27</x:v>
      </x:c>
      <x:c r="V1061" s="36" t="n">
        <x:v>0</x:v>
      </x:c>
      <x:c r="W1061" s="44"/>
      <x:c r="X1061" s="36"/>
      <x:c r="Y1061" s="36"/>
      <x:c r="Z1061" s="44"/>
      <x:c r="AA1061" s="49"/>
      <x:c r="AB1061" s="43"/>
      <x:c r="AC1061" s="34"/>
      <x:c r="AD1061" s="34"/>
      <x:c r="AE1061" s="34"/>
      <x:c r="AF1061" s="34"/>
      <x:c r="AG1061" s="34"/>
      <x:c r="AH1061" s="34"/>
      <x:c r="AI1061" s="34"/>
    </x:row>
    <x:row r="1062">
      <x:c r="A1062" s="34" t="str">
        <x:v>article1-unified-v4-2-fb3f101b-20260903-000401-default-f05-p2-nostore</x:v>
      </x:c>
      <x:c r="B1062" s="34" t="str">
        <x:v>default</x:v>
      </x:c>
      <x:c r="C1062" s="34" t="str">
        <x:v>nostore</x:v>
      </x:c>
      <x:c r="D1062" s="34" t="str">
        <x:v>nostore</x:v>
      </x:c>
      <x:c r="E1062" s="36" t="n">
        <x:v>5</x:v>
      </x:c>
      <x:c r="F1062" s="36" t="n">
        <x:v>5</x:v>
      </x:c>
      <x:c r="G1062" s="36" t="n">
        <x:v>2</x:v>
      </x:c>
      <x:c r="H1062" s="36" t="n">
        <x:v>5</x:v>
      </x:c>
      <x:c r="I1062" s="34" t="str">
        <x:v>loaded</x:v>
      </x:c>
      <x:c r="J1062" s="34" t="str">
        <x:v>loaded</x:v>
      </x:c>
      <x:c r="K1062" s="36" t="n">
        <x:v>0</x:v>
      </x:c>
      <x:c r="L1062" s="34" t="str">
        <x:v>initial</x:v>
      </x:c>
      <x:c r="M1062" s="34" t="str">
        <x:v>article1-unified-v4-2-fb3f101b-20260903-000401-default-f05-p2-nostore-5-loaded</x:v>
      </x:c>
      <x:c r="N1062" s="38" t="n">
        <x:v>46268.068479837966</x:v>
      </x:c>
      <x:c r="O1062" s="36" t="n">
        <x:v>0</x:v>
      </x:c>
      <x:c r="P1062" s="43" t="n">
        <x:v>316577792</x:v>
      </x:c>
      <x:c r="Q1062" s="43" t="n">
        <x:v>334495744</x:v>
      </x:c>
      <x:c r="R1062" s="43" t="n">
        <x:v>490498048</x:v>
      </x:c>
      <x:c r="S1062" s="36" t="n">
        <x:v>2</x:v>
      </x:c>
      <x:c r="T1062" s="44" t="str">
        <x:v>0x0000000035116bd8  0x0000000035003818  0x000072ee68693ad0       0         0         0  org.apache.catalina.loader.ParallelWebappClassLoader | 0x0000000035116bd8  0x0000000035003818  0x000072edb84a6af0    4292  20432896  20423816  org.apache.catalina.loader.ParallelWebappClassLoader</x:v>
      </x:c>
      <x:c r="U1062" s="36" t="n">
        <x:v>27</x:v>
      </x:c>
      <x:c r="V1062" s="36" t="n">
        <x:v>0</x:v>
      </x:c>
      <x:c r="W1062" s="44"/>
      <x:c r="X1062" s="36"/>
      <x:c r="Y1062" s="36"/>
      <x:c r="Z1062" s="44"/>
      <x:c r="AA1062" s="49"/>
      <x:c r="AB1062" s="43"/>
      <x:c r="AC1062" s="34"/>
      <x:c r="AD1062" s="34"/>
      <x:c r="AE1062" s="34"/>
      <x:c r="AF1062" s="34"/>
      <x:c r="AG1062" s="34"/>
      <x:c r="AH1062" s="34"/>
      <x:c r="AI1062" s="34"/>
    </x:row>
    <x:row r="1063">
      <x:c r="A1063" s="34" t="str">
        <x:v>article1-unified-v4-2-fb3f101b-20260903-000401-default-f05-p2-nostore</x:v>
      </x:c>
      <x:c r="B1063" s="34" t="str">
        <x:v>default</x:v>
      </x:c>
      <x:c r="C1063" s="34" t="str">
        <x:v>nostore</x:v>
      </x:c>
      <x:c r="D1063" s="34" t="str">
        <x:v>nostore</x:v>
      </x:c>
      <x:c r="E1063" s="36" t="n">
        <x:v>5</x:v>
      </x:c>
      <x:c r="F1063" s="36" t="n">
        <x:v>5</x:v>
      </x:c>
      <x:c r="G1063" s="36" t="n">
        <x:v>2</x:v>
      </x:c>
      <x:c r="H1063" s="36" t="n">
        <x:v>5</x:v>
      </x:c>
      <x:c r="I1063" s="34" t="str">
        <x:v>afterUndeployEarly</x:v>
      </x:c>
      <x:c r="J1063" s="34" t="str">
        <x:v>after-undeploy-early</x:v>
      </x:c>
      <x:c r="K1063" s="36" t="n">
        <x:v>1</x:v>
      </x:c>
      <x:c r="L1063" s="34" t="str">
        <x:v>early</x:v>
      </x:c>
      <x:c r="M1063" s="34" t="str">
        <x:v>article1-unified-v4-2-fb3f101b-20260903-000401-default-f05-p2-nostore-5-after-undeploy-early-2s</x:v>
      </x:c>
      <x:c r="N1063" s="38" t="n">
        <x:v>46268.06856694444</x:v>
      </x:c>
      <x:c r="O1063" s="36"/>
      <x:c r="P1063" s="43"/>
      <x:c r="Q1063" s="43"/>
      <x:c r="R1063" s="43"/>
      <x:c r="S1063" s="36"/>
      <x:c r="T1063" s="44"/>
      <x:c r="U1063" s="36" t="n">
        <x:v>27</x:v>
      </x:c>
      <x:c r="V1063" s="36" t="n">
        <x:v>0</x:v>
      </x:c>
      <x:c r="W1063" s="44"/>
      <x:c r="X1063" s="36"/>
      <x:c r="Y1063" s="36"/>
      <x:c r="Z1063" s="44"/>
      <x:c r="AA1063" s="49"/>
      <x:c r="AB1063" s="43" t="n">
        <x:v>1</x:v>
      </x:c>
      <x:c r="AC1063" s="34"/>
      <x:c r="AD1063" s="34"/>
      <x:c r="AE1063" s="34" t="str">
        <x:v>article1-unified-v4-2-fb3f101b-20260903-000401-default-f05-p2-nostore-5-after-undeploy-early-2s-thread-dump.txt</x:v>
      </x:c>
      <x:c r="AF1063" s="34" t="str">
        <x:v>article1-unified-v4-2-fb3f101b-20260903-000401-default-f05-p2-nostore-5-after-undeploy-early-tomcat-log.txt</x:v>
      </x:c>
      <x:c r="AG1063" s="34"/>
      <x:c r="AH1063" s="34"/>
      <x:c r="AI1063" s="34"/>
    </x:row>
    <x:row r="1064">
      <x:c r="A1064" s="34" t="str">
        <x:v>article1-unified-v4-2-fb3f101b-20260903-000401-default-f05-p2-nostore</x:v>
      </x:c>
      <x:c r="B1064" s="34" t="str">
        <x:v>default</x:v>
      </x:c>
      <x:c r="C1064" s="34" t="str">
        <x:v>nostore</x:v>
      </x:c>
      <x:c r="D1064" s="34" t="str">
        <x:v>nostore</x:v>
      </x:c>
      <x:c r="E1064" s="36" t="n">
        <x:v>5</x:v>
      </x:c>
      <x:c r="F1064" s="36" t="n">
        <x:v>5</x:v>
      </x:c>
      <x:c r="G1064" s="36" t="n">
        <x:v>2</x:v>
      </x:c>
      <x:c r="H1064" s="36" t="n">
        <x:v>5</x:v>
      </x:c>
      <x:c r="I1064" s="34" t="str">
        <x:v>afterUndeploy</x:v>
      </x:c>
      <x:c r="J1064" s="34" t="str">
        <x:v>after-undeploy-final</x:v>
      </x:c>
      <x:c r="K1064" s="36" t="n">
        <x:v>1</x:v>
      </x:c>
      <x:c r="L1064" s="34" t="str">
        <x:v>final</x:v>
      </x:c>
      <x:c r="M1064" s="34" t="str">
        <x:v>article1-unified-v4-2-fb3f101b-20260903-000401-default-f05-p2-nostore-5-after-undeploy-final-10s</x:v>
      </x:c>
      <x:c r="N1064" s="38" t="n">
        <x:v>46268.06871876158</x:v>
      </x:c>
      <x:c r="O1064" s="36" t="n">
        <x:v>2</x:v>
      </x:c>
      <x:c r="P1064" s="43" t="n">
        <x:v>15490048</x:v>
      </x:c>
      <x:c r="Q1064" s="43" t="n">
        <x:v>268435456</x:v>
      </x:c>
      <x:c r="R1064" s="43" t="n">
        <x:v>422612992</x:v>
      </x:c>
      <x:c r="S1064" s="36" t="n">
        <x:v>2</x:v>
      </x:c>
      <x:c r="T1064" s="44" t="str">
        <x:v>0x0000000035116bd8  0x0000000035003818  0x000072edb84a6af0    4300  20449280  20448440  org.apache.catalina.loader.ParallelWebappClassLoader | 0x0000000035116bd8  0x0000000035003818  0x000072ee68693ad0       0         0         0  org.apache.catalina.loader.ParallelWebappClassLoader</x:v>
      </x:c>
      <x:c r="U1064" s="36" t="n">
        <x:v>27</x:v>
      </x:c>
      <x:c r="V1064" s="36" t="n">
        <x:v>0</x:v>
      </x:c>
      <x:c r="W1064" s="44"/>
      <x:c r="X1064" s="36" t="n">
        <x:v>1</x:v>
      </x:c>
      <x:c r="Y1064" s="36" t="n">
        <x:v>1</x:v>
      </x:c>
      <x:c r="Z1064" s="44" t="str">
        <x:v>/nostore</x:v>
      </x:c>
      <x:c r="AA1064" s="45" t="b">
        <x:v>1</x:v>
      </x:c>
      <x:c r="AB1064" s="43"/>
      <x:c r="AC1064" s="34" t="str">
        <x:v>article1-unified-v4-2-fb3f101b-20260903-000401-default-f05-p2-nostore-5-after-undeploy-final-10s-heap-info.txt</x:v>
      </x:c>
      <x:c r="AD1064" s="34" t="str">
        <x:v>article1-unified-v4-2-fb3f101b-20260903-000401-default-f05-p2-nostore-5-after-undeploy-final-10s-classloader-stats.txt</x:v>
      </x:c>
      <x:c r="AE1064" s="34" t="str">
        <x:v>article1-unified-v4-2-fb3f101b-20260903-000401-default-f05-p2-nostore-5-after-undeploy-final-10s-thread-dump.txt</x:v>
      </x:c>
      <x:c r="AF1064" s="34"/>
      <x:c r="AG1064" s="34" t="str">
        <x:v>article1-unified-v4-2-fb3f101b-20260903-000401-default-f05-p2-nostore-5-after-undeploy-final-10s-native-memory.txt</x:v>
      </x:c>
      <x:c r="AH1064" s="34" t="str">
        <x:v>article1-unified-v4-2-fb3f101b-20260903-000401-default-f05-p2-nostore-5-after-undeploy-final-10s-class-histogram.txt</x:v>
      </x:c>
      <x:c r="AI1064" s="34" t="str">
        <x:v>article1-unified-v4-2-fb3f101b-20260903-000401-default-f05-p2-nostore-5-after-undeploy-tomcat-findleaks.txt</x:v>
      </x:c>
    </x:row>
    <x:row r="1065">
      <x:c r="A1065" s="34" t="str">
        <x:v>article1-unified-v4-2-fb3f101b-20260903-000401-default-f05-p2-nostore</x:v>
      </x:c>
      <x:c r="B1065" s="34" t="str">
        <x:v>default</x:v>
      </x:c>
      <x:c r="C1065" s="34" t="str">
        <x:v>nostore</x:v>
      </x:c>
      <x:c r="D1065" s="34" t="str">
        <x:v>nostore</x:v>
      </x:c>
      <x:c r="E1065" s="36" t="n">
        <x:v>5</x:v>
      </x:c>
      <x:c r="F1065" s="36" t="n">
        <x:v>5</x:v>
      </x:c>
      <x:c r="G1065" s="36" t="n">
        <x:v>2</x:v>
      </x:c>
      <x:c r="H1065" s="36" t="n">
        <x:v>5</x:v>
      </x:c>
      <x:c r="I1065" s="34" t="str">
        <x:v>redeployedLoaded</x:v>
      </x:c>
      <x:c r="J1065" s="34" t="str">
        <x:v>redeployed-loaded</x:v>
      </x:c>
      <x:c r="K1065" s="36" t="n">
        <x:v>0</x:v>
      </x:c>
      <x:c r="L1065" s="34" t="str">
        <x:v>redeploy</x:v>
      </x:c>
      <x:c r="M1065" s="34" t="str">
        <x:v>article1-unified-v4-2-fb3f101b-20260903-000401-default-f05-p2-nostore-5-redeployed-loaded</x:v>
      </x:c>
      <x:c r="N1065" s="38" t="n">
        <x:v>46268.06897878472</x:v>
      </x:c>
      <x:c r="O1065" s="36" t="n">
        <x:v>0</x:v>
      </x:c>
      <x:c r="P1065" s="43" t="n">
        <x:v>306694144</x:v>
      </x:c>
      <x:c r="Q1065" s="43" t="n">
        <x:v>334495744</x:v>
      </x:c>
      <x:c r="R1065" s="43" t="n">
        <x:v>496090112</x:v>
      </x:c>
      <x:c r="S1065" s="36" t="n">
        <x:v>2</x:v>
      </x:c>
      <x:c r="T1065" s="44" t="str">
        <x:v>0x0000000035116bd8  0x0000000035003818  0x000072ee68693ad0       0         0         0  org.apache.catalina.loader.ParallelWebappClassLoader | 0x0000000035116bd8  0x0000000035003818  0x000072ed806193f0    4285  20413440  20388224  org.apache.catalina.loader.ParallelWebappClassLoader</x:v>
      </x:c>
      <x:c r="U1065" s="36" t="n">
        <x:v>27</x:v>
      </x:c>
      <x:c r="V1065" s="36" t="n">
        <x:v>0</x:v>
      </x:c>
      <x:c r="W1065" s="44"/>
      <x:c r="X1065" s="36"/>
      <x:c r="Y1065" s="36"/>
      <x:c r="Z1065" s="44"/>
      <x:c r="AA1065" s="49"/>
      <x:c r="AB1065" s="43"/>
      <x:c r="AC1065" s="34"/>
      <x:c r="AD1065" s="34"/>
      <x:c r="AE1065" s="34"/>
      <x:c r="AF1065" s="34"/>
      <x:c r="AG1065" s="34"/>
      <x:c r="AH1065" s="34"/>
      <x:c r="AI1065" s="34"/>
    </x:row>
    <x:row r="1066">
      <x:c r="A1066" s="34" t="str">
        <x:v>article1-unified-v4-2-fb3f101b-20260903-000401-default-f05-p2-nostore</x:v>
      </x:c>
      <x:c r="B1066" s="34" t="str">
        <x:v>default</x:v>
      </x:c>
      <x:c r="C1066" s="34" t="str">
        <x:v>nostore</x:v>
      </x:c>
      <x:c r="D1066" s="34" t="str">
        <x:v>nostore</x:v>
      </x:c>
      <x:c r="E1066" s="36" t="n">
        <x:v>5</x:v>
      </x:c>
      <x:c r="F1066" s="36" t="n">
        <x:v>5</x:v>
      </x:c>
      <x:c r="G1066" s="36" t="n">
        <x:v>2</x:v>
      </x:c>
      <x:c r="H1066" s="36" t="n">
        <x:v>5</x:v>
      </x:c>
      <x:c r="I1066" s="34" t="str">
        <x:v>afterFinalUndeployEarly</x:v>
      </x:c>
      <x:c r="J1066" s="34" t="str">
        <x:v>after-final-undeploy-early</x:v>
      </x:c>
      <x:c r="K1066" s="36" t="n">
        <x:v>2</x:v>
      </x:c>
      <x:c r="L1066" s="34" t="str">
        <x:v>early</x:v>
      </x:c>
      <x:c r="M1066" s="34" t="str">
        <x:v>article1-unified-v4-2-fb3f101b-20260903-000401-default-f05-p2-nostore-5-after-final-undeploy-early-2s</x:v>
      </x:c>
      <x:c r="N1066" s="38" t="n">
        <x:v>46268.06905978009</x:v>
      </x:c>
      <x:c r="O1066" s="36"/>
      <x:c r="P1066" s="43"/>
      <x:c r="Q1066" s="43"/>
      <x:c r="R1066" s="43"/>
      <x:c r="S1066" s="36"/>
      <x:c r="T1066" s="44"/>
      <x:c r="U1066" s="36" t="n">
        <x:v>27</x:v>
      </x:c>
      <x:c r="V1066" s="36" t="n">
        <x:v>0</x:v>
      </x:c>
      <x:c r="W1066" s="44"/>
      <x:c r="X1066" s="36"/>
      <x:c r="Y1066" s="36"/>
      <x:c r="Z1066" s="44"/>
      <x:c r="AA1066" s="49"/>
      <x:c r="AB1066" s="43" t="n">
        <x:v>1</x:v>
      </x:c>
      <x:c r="AC1066" s="34"/>
      <x:c r="AD1066" s="34"/>
      <x:c r="AE1066" s="34" t="str">
        <x:v>article1-unified-v4-2-fb3f101b-20260903-000401-default-f05-p2-nostore-5-after-final-undeploy-early-2s-thread-dump.txt</x:v>
      </x:c>
      <x:c r="AF1066" s="34" t="str">
        <x:v>article1-unified-v4-2-fb3f101b-20260903-000401-default-f05-p2-nostore-5-after-final-undeploy-early-tomcat-log.txt</x:v>
      </x:c>
      <x:c r="AG1066" s="34"/>
      <x:c r="AH1066" s="34"/>
      <x:c r="AI1066" s="34"/>
    </x:row>
    <x:row r="1067">
      <x:c r="A1067" s="34" t="str">
        <x:v>article1-unified-v4-2-fb3f101b-20260903-000401-default-f05-p2-nostore</x:v>
      </x:c>
      <x:c r="B1067" s="34" t="str">
        <x:v>default</x:v>
      </x:c>
      <x:c r="C1067" s="34" t="str">
        <x:v>nostore</x:v>
      </x:c>
      <x:c r="D1067" s="34" t="str">
        <x:v>nostore</x:v>
      </x:c>
      <x:c r="E1067" s="36" t="n">
        <x:v>5</x:v>
      </x:c>
      <x:c r="F1067" s="36" t="n">
        <x:v>5</x:v>
      </x:c>
      <x:c r="G1067" s="36" t="n">
        <x:v>2</x:v>
      </x:c>
      <x:c r="H1067" s="36" t="n">
        <x:v>5</x:v>
      </x:c>
      <x:c r="I1067" s="34" t="str">
        <x:v>afterFinalUndeploy</x:v>
      </x:c>
      <x:c r="J1067" s="34" t="str">
        <x:v>after-final-undeploy-final</x:v>
      </x:c>
      <x:c r="K1067" s="36" t="n">
        <x:v>2</x:v>
      </x:c>
      <x:c r="L1067" s="34" t="str">
        <x:v>final</x:v>
      </x:c>
      <x:c r="M1067" s="34" t="str">
        <x:v>article1-unified-v4-2-fb3f101b-20260903-000401-default-f05-p2-nostore-5-after-final-undeploy-final-10s</x:v>
      </x:c>
      <x:c r="N1067" s="38" t="n">
        <x:v>46268.069214745374</x:v>
      </x:c>
      <x:c r="O1067" s="36" t="n">
        <x:v>2</x:v>
      </x:c>
      <x:c r="P1067" s="43" t="n">
        <x:v>15472640</x:v>
      </x:c>
      <x:c r="Q1067" s="43" t="n">
        <x:v>268435456</x:v>
      </x:c>
      <x:c r="R1067" s="43" t="n">
        <x:v>427206656</x:v>
      </x:c>
      <x:c r="S1067" s="36" t="n">
        <x:v>2</x:v>
      </x:c>
      <x:c r="T1067" s="44" t="str">
        <x:v>0x0000000035116bd8  0x0000000035003818  0x000072ee68693ad0       0         0         0  org.apache.catalina.loader.ParallelWebappClassLoader | 0x0000000035116bd8  0x0000000035003818  0x000072ed806193f0    4293  20429824  20412848  org.apache.catalina.loader.ParallelWebappClassLoader</x:v>
      </x:c>
      <x:c r="U1067" s="36" t="n">
        <x:v>27</x:v>
      </x:c>
      <x:c r="V1067" s="36" t="n">
        <x:v>0</x:v>
      </x:c>
      <x:c r="W1067" s="44"/>
      <x:c r="X1067" s="36" t="n">
        <x:v>1</x:v>
      </x:c>
      <x:c r="Y1067" s="36" t="n">
        <x:v>1</x:v>
      </x:c>
      <x:c r="Z1067" s="44" t="str">
        <x:v>/nostore</x:v>
      </x:c>
      <x:c r="AA1067" s="45" t="b">
        <x:v>1</x:v>
      </x:c>
      <x:c r="AB1067" s="43"/>
      <x:c r="AC1067" s="34" t="str">
        <x:v>article1-unified-v4-2-fb3f101b-20260903-000401-default-f05-p2-nostore-5-after-final-undeploy-final-10s-heap-info.txt</x:v>
      </x:c>
      <x:c r="AD1067" s="34" t="str">
        <x:v>article1-unified-v4-2-fb3f101b-20260903-000401-default-f05-p2-nostore-5-after-final-undeploy-final-10s-classloader-stats.txt</x:v>
      </x:c>
      <x:c r="AE1067" s="34" t="str">
        <x:v>article1-unified-v4-2-fb3f101b-20260903-000401-default-f05-p2-nostore-5-after-final-undeploy-final-10s-thread-dump.txt</x:v>
      </x:c>
      <x:c r="AF1067" s="34"/>
      <x:c r="AG1067" s="34" t="str">
        <x:v>article1-unified-v4-2-fb3f101b-20260903-000401-default-f05-p2-nostore-5-after-final-undeploy-final-10s-native-memory.txt</x:v>
      </x:c>
      <x:c r="AH1067" s="34" t="str">
        <x:v>article1-unified-v4-2-fb3f101b-20260903-000401-default-f05-p2-nostore-5-after-final-undeploy-final-10s-class-histogram.txt</x:v>
      </x:c>
      <x:c r="AI1067" s="34" t="str">
        <x:v>article1-unified-v4-2-fb3f101b-20260903-000401-default-f05-p2-nostore-5-after-final-undeploy-tomcat-findleaks.txt</x:v>
      </x:c>
    </x:row>
    <x:row r="1068">
      <x:c r="A1068" s="34" t="str">
        <x:v>article1-unified-v4-2-fb3f101b-20260903-000401-default-f05-p3-jcs4</x:v>
      </x:c>
      <x:c r="B1068" s="34" t="str">
        <x:v>default</x:v>
      </x:c>
      <x:c r="C1068" s="34" t="str">
        <x:v>jcs4</x:v>
      </x:c>
      <x:c r="D1068" s="34" t="str">
        <x:v>jcs4</x:v>
      </x:c>
      <x:c r="E1068" s="36" t="n">
        <x:v>5</x:v>
      </x:c>
      <x:c r="F1068" s="36" t="n">
        <x:v>5</x:v>
      </x:c>
      <x:c r="G1068" s="36" t="n">
        <x:v>3</x:v>
      </x:c>
      <x:c r="H1068" s="36" t="n">
        <x:v>0</x:v>
      </x:c>
      <x:c r="I1068" s="34" t="str">
        <x:v>processBaseline</x:v>
      </x:c>
      <x:c r="J1068" s="34" t="str">
        <x:v>process-baseline</x:v>
      </x:c>
      <x:c r="K1068" s="36" t="n">
        <x:v>0</x:v>
      </x:c>
      <x:c r="L1068" s="34" t="str">
        <x:v>baseline</x:v>
      </x:c>
      <x:c r="M1068" s="34" t="str">
        <x:v>article1-unified-v4-2-fb3f101b-20260903-000401-default-f05-p3-jcs4-process-baseline</x:v>
      </x:c>
      <x:c r="N1068" s="38" t="n">
        <x:v>46268.06945549769</x:v>
      </x:c>
      <x:c r="O1068" s="36" t="n">
        <x:v>0</x:v>
      </x:c>
      <x:c r="P1068" s="43" t="n">
        <x:v>32704512</x:v>
      </x:c>
      <x:c r="Q1068" s="43" t="n">
        <x:v>270532608</x:v>
      </x:c>
      <x:c r="R1068" s="43" t="n">
        <x:v>369301504</x:v>
      </x:c>
      <x:c r="S1068" s="36" t="n">
        <x:v>1</x:v>
      </x:c>
      <x:c r="T1068" s="44" t="str">
        <x:v>0x0000000074116bd8  0x0000000074003818  0x00007c2e1c605a70       0         0         0  org.apache.catalina.loader.ParallelWebappClassLoader</x:v>
      </x:c>
      <x:c r="U1068" s="36" t="n">
        <x:v>27</x:v>
      </x:c>
      <x:c r="V1068" s="36" t="n">
        <x:v>0</x:v>
      </x:c>
      <x:c r="W1068" s="44"/>
      <x:c r="X1068" s="36"/>
      <x:c r="Y1068" s="36"/>
      <x:c r="Z1068" s="44"/>
      <x:c r="AA1068" s="49"/>
      <x:c r="AB1068" s="43"/>
      <x:c r="AC1068" s="34" t="str">
        <x:v>article1-unified-v4-2-fb3f101b-20260903-000401-default-f05-p3-jcs4-process-baseline-heap-info.txt</x:v>
      </x:c>
      <x:c r="AD1068" s="34" t="str">
        <x:v>article1-unified-v4-2-fb3f101b-20260903-000401-default-f05-p3-jcs4-process-baseline-classloader-stats.txt</x:v>
      </x:c>
      <x:c r="AE1068" s="34" t="str">
        <x:v>article1-unified-v4-2-fb3f101b-20260903-000401-default-f05-p3-jcs4-process-baseline-thread-dump.txt</x:v>
      </x:c>
      <x:c r="AF1068" s="34"/>
      <x:c r="AG1068" s="34" t="str">
        <x:v>article1-unified-v4-2-fb3f101b-20260903-000401-default-f05-p3-jcs4-process-baseline-native-memory.txt</x:v>
      </x:c>
      <x:c r="AH1068" s="34"/>
      <x:c r="AI1068" s="34"/>
    </x:row>
    <x:row r="1069">
      <x:c r="A1069" s="34" t="str">
        <x:v>article1-unified-v4-2-fb3f101b-20260903-000401-default-f05-p3-jcs4</x:v>
      </x:c>
      <x:c r="B1069" s="34" t="str">
        <x:v>default</x:v>
      </x:c>
      <x:c r="C1069" s="34" t="str">
        <x:v>jcs4</x:v>
      </x:c>
      <x:c r="D1069" s="34" t="str">
        <x:v>jcs4</x:v>
      </x:c>
      <x:c r="E1069" s="36" t="n">
        <x:v>5</x:v>
      </x:c>
      <x:c r="F1069" s="36" t="n">
        <x:v>5</x:v>
      </x:c>
      <x:c r="G1069" s="36" t="n">
        <x:v>3</x:v>
      </x:c>
      <x:c r="H1069" s="36" t="n">
        <x:v>1</x:v>
      </x:c>
      <x:c r="I1069" s="34" t="str">
        <x:v>baseline</x:v>
      </x:c>
      <x:c r="J1069" s="34" t="str">
        <x:v>cycle-baseline</x:v>
      </x:c>
      <x:c r="K1069" s="36" t="n">
        <x:v>0</x:v>
      </x:c>
      <x:c r="L1069" s="34" t="str">
        <x:v>baseline</x:v>
      </x:c>
      <x:c r="M1069" s="34" t="str">
        <x:v>article1-unified-v4-2-fb3f101b-20260903-000401-default-f05-p3-jcs4-1-baseline</x:v>
      </x:c>
      <x:c r="N1069" s="38" t="n">
        <x:v>46268.06964429398</x:v>
      </x:c>
      <x:c r="O1069" s="36" t="n">
        <x:v>0</x:v>
      </x:c>
      <x:c r="P1069" s="43" t="n">
        <x:v>32704512</x:v>
      </x:c>
      <x:c r="Q1069" s="43" t="n">
        <x:v>270532608</x:v>
      </x:c>
      <x:c r="R1069" s="43" t="n">
        <x:v>369955840</x:v>
      </x:c>
      <x:c r="S1069" s="36" t="n">
        <x:v>1</x:v>
      </x:c>
      <x:c r="T1069" s="44" t="str">
        <x:v>0x0000000074116bd8  0x0000000074003818  0x00007c2e1c605a70       0         0         0  org.apache.catalina.loader.ParallelWebappClassLoader</x:v>
      </x:c>
      <x:c r="U1069" s="36" t="n">
        <x:v>27</x:v>
      </x:c>
      <x:c r="V1069" s="36" t="n">
        <x:v>0</x:v>
      </x:c>
      <x:c r="W1069" s="44"/>
      <x:c r="X1069" s="36"/>
      <x:c r="Y1069" s="36"/>
      <x:c r="Z1069" s="44"/>
      <x:c r="AA1069" s="49"/>
      <x:c r="AB1069" s="43"/>
      <x:c r="AC1069" s="34" t="str">
        <x:v>article1-unified-v4-2-fb3f101b-20260903-000401-default-f05-p3-jcs4-1-baseline-heap-info.txt</x:v>
      </x:c>
      <x:c r="AD1069" s="34" t="str">
        <x:v>article1-unified-v4-2-fb3f101b-20260903-000401-default-f05-p3-jcs4-1-baseline-classloader-stats.txt</x:v>
      </x:c>
      <x:c r="AE1069" s="34" t="str">
        <x:v>article1-unified-v4-2-fb3f101b-20260903-000401-default-f05-p3-jcs4-1-baseline-thread-dump.txt</x:v>
      </x:c>
      <x:c r="AF1069" s="34"/>
      <x:c r="AG1069" s="34" t="str">
        <x:v>article1-unified-v4-2-fb3f101b-20260903-000401-default-f05-p3-jcs4-1-baseline-native-memory.txt</x:v>
      </x:c>
      <x:c r="AH1069" s="34"/>
      <x:c r="AI1069" s="34"/>
    </x:row>
    <x:row r="1070">
      <x:c r="A1070" s="34" t="str">
        <x:v>article1-unified-v4-2-fb3f101b-20260903-000401-default-f05-p3-jcs4</x:v>
      </x:c>
      <x:c r="B1070" s="34" t="str">
        <x:v>default</x:v>
      </x:c>
      <x:c r="C1070" s="34" t="str">
        <x:v>jcs4</x:v>
      </x:c>
      <x:c r="D1070" s="34" t="str">
        <x:v>jcs4</x:v>
      </x:c>
      <x:c r="E1070" s="36" t="n">
        <x:v>5</x:v>
      </x:c>
      <x:c r="F1070" s="36" t="n">
        <x:v>5</x:v>
      </x:c>
      <x:c r="G1070" s="36" t="n">
        <x:v>3</x:v>
      </x:c>
      <x:c r="H1070" s="36" t="n">
        <x:v>1</x:v>
      </x:c>
      <x:c r="I1070" s="34" t="str">
        <x:v>deployedIdle</x:v>
      </x:c>
      <x:c r="J1070" s="34" t="str">
        <x:v>deployed-idle</x:v>
      </x:c>
      <x:c r="K1070" s="36" t="n">
        <x:v>0</x:v>
      </x:c>
      <x:c r="L1070" s="34" t="str">
        <x:v>initial</x:v>
      </x:c>
      <x:c r="M1070" s="34" t="str">
        <x:v>article1-unified-v4-2-fb3f101b-20260903-000401-default-f05-p3-jcs4-1-deployed-idle</x:v>
      </x:c>
      <x:c r="N1070" s="38" t="n">
        <x:v>46268.06974840278</x:v>
      </x:c>
      <x:c r="O1070" s="36" t="n">
        <x:v>0</x:v>
      </x:c>
      <x:c r="P1070" s="43" t="n">
        <x:v>23216128</x:v>
      </x:c>
      <x:c r="Q1070" s="43" t="n">
        <x:v>268435456</x:v>
      </x:c>
      <x:c r="R1070" s="43" t="n">
        <x:v>427240448</x:v>
      </x:c>
      <x:c r="S1070" s="36" t="n">
        <x:v>2</x:v>
      </x:c>
      <x:c r="T1070" s="44" t="str">
        <x:v>0x0000000074116bd8  0x0000000074003818  0x00007c2e1c605a70       0         0         0  org.apache.catalina.loader.ParallelWebappClassLoader | 0x0000000074116bd8  0x0000000074003818  0x00007c2d700666c0    4091  19429376  19413600  org.apache.catalina.loader.ParallelWebappClassLoader</x:v>
      </x:c>
      <x:c r="U1070" s="36" t="n">
        <x:v>27</x:v>
      </x:c>
      <x:c r="V1070" s="36" t="n">
        <x:v>0</x:v>
      </x:c>
      <x:c r="W1070" s="44"/>
      <x:c r="X1070" s="36"/>
      <x:c r="Y1070" s="36"/>
      <x:c r="Z1070" s="44"/>
      <x:c r="AA1070" s="49"/>
      <x:c r="AB1070" s="43"/>
      <x:c r="AC1070" s="34"/>
      <x:c r="AD1070" s="34"/>
      <x:c r="AE1070" s="34"/>
      <x:c r="AF1070" s="34"/>
      <x:c r="AG1070" s="34"/>
      <x:c r="AH1070" s="34"/>
      <x:c r="AI1070" s="34"/>
    </x:row>
    <x:row r="1071">
      <x:c r="A1071" s="34" t="str">
        <x:v>article1-unified-v4-2-fb3f101b-20260903-000401-default-f05-p3-jcs4</x:v>
      </x:c>
      <x:c r="B1071" s="34" t="str">
        <x:v>default</x:v>
      </x:c>
      <x:c r="C1071" s="34" t="str">
        <x:v>jcs4</x:v>
      </x:c>
      <x:c r="D1071" s="34" t="str">
        <x:v>jcs4</x:v>
      </x:c>
      <x:c r="E1071" s="36" t="n">
        <x:v>5</x:v>
      </x:c>
      <x:c r="F1071" s="36" t="n">
        <x:v>5</x:v>
      </x:c>
      <x:c r="G1071" s="36" t="n">
        <x:v>3</x:v>
      </x:c>
      <x:c r="H1071" s="36" t="n">
        <x:v>1</x:v>
      </x:c>
      <x:c r="I1071" s="34" t="str">
        <x:v>loaded</x:v>
      </x:c>
      <x:c r="J1071" s="34" t="str">
        <x:v>loaded</x:v>
      </x:c>
      <x:c r="K1071" s="36" t="n">
        <x:v>0</x:v>
      </x:c>
      <x:c r="L1071" s="34" t="str">
        <x:v>initial</x:v>
      </x:c>
      <x:c r="M1071" s="34" t="str">
        <x:v>article1-unified-v4-2-fb3f101b-20260903-000401-default-f05-p3-jcs4-1-loaded</x:v>
      </x:c>
      <x:c r="N1071" s="38" t="n">
        <x:v>46268.06989569445</x:v>
      </x:c>
      <x:c r="O1071" s="36" t="n">
        <x:v>0</x:v>
      </x:c>
      <x:c r="P1071" s="43" t="n">
        <x:v>168349696</x:v>
      </x:c>
      <x:c r="Q1071" s="43" t="n">
        <x:v>268435456</x:v>
      </x:c>
      <x:c r="R1071" s="43" t="n">
        <x:v>410555392</x:v>
      </x:c>
      <x:c r="S1071" s="36" t="n">
        <x:v>2</x:v>
      </x:c>
      <x:c r="T1071" s="44" t="str">
        <x:v>0x0000000074116bd8  0x0000000074003818  0x00007c2d700666c0    4401  20902912  20891096  org.apache.catalina.loader.ParallelWebappClassLoader | 0x0000000074116bd8  0x0000000074003818  0x00007c2e1c605a70       0         0         0  org.apache.catalina.loader.ParallelWebappClassLoader</x:v>
      </x:c>
      <x:c r="U1071" s="36" t="n">
        <x:v>28</x:v>
      </x:c>
      <x:c r="V1071" s="36" t="n">
        <x:v>1</x:v>
      </x:c>
      <x:c r="W1071" s="44" t="str">
        <x:v>jcs4-thread-pool-event-queue:JCS-ThreadPoolManager-ElementEventQueue-Thread-4#49</x:v>
      </x:c>
      <x:c r="X1071" s="36"/>
      <x:c r="Y1071" s="36"/>
      <x:c r="Z1071" s="44"/>
      <x:c r="AA1071" s="49"/>
      <x:c r="AB1071" s="43"/>
      <x:c r="AC1071" s="34"/>
      <x:c r="AD1071" s="34"/>
      <x:c r="AE1071" s="34"/>
      <x:c r="AF1071" s="34"/>
      <x:c r="AG1071" s="34"/>
      <x:c r="AH1071" s="34"/>
      <x:c r="AI1071" s="34"/>
    </x:row>
    <x:row r="1072">
      <x:c r="A1072" s="34" t="str">
        <x:v>article1-unified-v4-2-fb3f101b-20260903-000401-default-f05-p3-jcs4</x:v>
      </x:c>
      <x:c r="B1072" s="34" t="str">
        <x:v>default</x:v>
      </x:c>
      <x:c r="C1072" s="34" t="str">
        <x:v>jcs4</x:v>
      </x:c>
      <x:c r="D1072" s="34" t="str">
        <x:v>jcs4</x:v>
      </x:c>
      <x:c r="E1072" s="36" t="n">
        <x:v>5</x:v>
      </x:c>
      <x:c r="F1072" s="36" t="n">
        <x:v>5</x:v>
      </x:c>
      <x:c r="G1072" s="36" t="n">
        <x:v>3</x:v>
      </x:c>
      <x:c r="H1072" s="36" t="n">
        <x:v>1</x:v>
      </x:c>
      <x:c r="I1072" s="34" t="str">
        <x:v>afterUndeployEarly</x:v>
      </x:c>
      <x:c r="J1072" s="34" t="str">
        <x:v>after-undeploy-early</x:v>
      </x:c>
      <x:c r="K1072" s="36" t="n">
        <x:v>1</x:v>
      </x:c>
      <x:c r="L1072" s="34" t="str">
        <x:v>early</x:v>
      </x:c>
      <x:c r="M1072" s="34" t="str">
        <x:v>article1-unified-v4-2-fb3f101b-20260903-000401-default-f05-p3-jcs4-1-after-undeploy-early-2s</x:v>
      </x:c>
      <x:c r="N1072" s="38" t="n">
        <x:v>46268.06997913194</x:v>
      </x:c>
      <x:c r="O1072" s="36"/>
      <x:c r="P1072" s="43"/>
      <x:c r="Q1072" s="43"/>
      <x:c r="R1072" s="43"/>
      <x:c r="S1072" s="36"/>
      <x:c r="T1072" s="44"/>
      <x:c r="U1072" s="36" t="n">
        <x:v>27</x:v>
      </x:c>
      <x:c r="V1072" s="36" t="n">
        <x:v>0</x:v>
      </x:c>
      <x:c r="W1072" s="44"/>
      <x:c r="X1072" s="36"/>
      <x:c r="Y1072" s="36"/>
      <x:c r="Z1072" s="44"/>
      <x:c r="AA1072" s="49"/>
      <x:c r="AB1072" s="43" t="n">
        <x:v>5</x:v>
      </x:c>
      <x:c r="AC1072" s="34"/>
      <x:c r="AD1072" s="34"/>
      <x:c r="AE1072" s="34" t="str">
        <x:v>article1-unified-v4-2-fb3f101b-20260903-000401-default-f05-p3-jcs4-1-after-undeploy-early-2s-thread-dump.txt</x:v>
      </x:c>
      <x:c r="AF1072" s="34" t="str">
        <x:v>article1-unified-v4-2-fb3f101b-20260903-000401-default-f05-p3-jcs4-1-after-undeploy-early-tomcat-log.txt</x:v>
      </x:c>
      <x:c r="AG1072" s="34"/>
      <x:c r="AH1072" s="34"/>
      <x:c r="AI1072" s="34"/>
    </x:row>
    <x:row r="1073">
      <x:c r="A1073" s="34" t="str">
        <x:v>article1-unified-v4-2-fb3f101b-20260903-000401-default-f05-p3-jcs4</x:v>
      </x:c>
      <x:c r="B1073" s="34" t="str">
        <x:v>default</x:v>
      </x:c>
      <x:c r="C1073" s="34" t="str">
        <x:v>jcs4</x:v>
      </x:c>
      <x:c r="D1073" s="34" t="str">
        <x:v>jcs4</x:v>
      </x:c>
      <x:c r="E1073" s="36" t="n">
        <x:v>5</x:v>
      </x:c>
      <x:c r="F1073" s="36" t="n">
        <x:v>5</x:v>
      </x:c>
      <x:c r="G1073" s="36" t="n">
        <x:v>3</x:v>
      </x:c>
      <x:c r="H1073" s="36" t="n">
        <x:v>1</x:v>
      </x:c>
      <x:c r="I1073" s="34" t="str">
        <x:v>afterUndeploy</x:v>
      </x:c>
      <x:c r="J1073" s="34" t="str">
        <x:v>after-undeploy-final</x:v>
      </x:c>
      <x:c r="K1073" s="36" t="n">
        <x:v>1</x:v>
      </x:c>
      <x:c r="L1073" s="34" t="str">
        <x:v>final</x:v>
      </x:c>
      <x:c r="M1073" s="34" t="str">
        <x:v>article1-unified-v4-2-fb3f101b-20260903-000401-default-f05-p3-jcs4-1-after-undeploy-final-10s</x:v>
      </x:c>
      <x:c r="N1073" s="38" t="n">
        <x:v>46268.070135625</x:v>
      </x:c>
      <x:c r="O1073" s="36" t="n">
        <x:v>2</x:v>
      </x:c>
      <x:c r="P1073" s="43" t="n">
        <x:v>15637504</x:v>
      </x:c>
      <x:c r="Q1073" s="43" t="n">
        <x:v>268435456</x:v>
      </x:c>
      <x:c r="R1073" s="43" t="n">
        <x:v>409291776</x:v>
      </x:c>
      <x:c r="S1073" s="36" t="n">
        <x:v>2</x:v>
      </x:c>
      <x:c r="T1073" s="44" t="str">
        <x:v>0x0000000074116bd8  0x0000000074003818  0x00007c2d700666c0    4415  20937728  20926440  org.apache.catalina.loader.ParallelWebappClassLoader | 0x0000000074116bd8  0x0000000074003818  0x00007c2e1c605a70       0         0         0  org.apache.catalina.loader.ParallelWebappClassLoader</x:v>
      </x:c>
      <x:c r="U1073" s="36" t="n">
        <x:v>27</x:v>
      </x:c>
      <x:c r="V1073" s="36" t="n">
        <x:v>0</x:v>
      </x:c>
      <x:c r="W1073" s="44"/>
      <x:c r="X1073" s="36" t="n">
        <x:v>1</x:v>
      </x:c>
      <x:c r="Y1073" s="36" t="n">
        <x:v>1</x:v>
      </x:c>
      <x:c r="Z1073" s="44" t="str">
        <x:v>/jcs4</x:v>
      </x:c>
      <x:c r="AA1073" s="45" t="b">
        <x:v>1</x:v>
      </x:c>
      <x:c r="AB1073" s="43"/>
      <x:c r="AC1073" s="34" t="str">
        <x:v>article1-unified-v4-2-fb3f101b-20260903-000401-default-f05-p3-jcs4-1-after-undeploy-final-10s-heap-info.txt</x:v>
      </x:c>
      <x:c r="AD1073" s="34" t="str">
        <x:v>article1-unified-v4-2-fb3f101b-20260903-000401-default-f05-p3-jcs4-1-after-undeploy-final-10s-classloader-stats.txt</x:v>
      </x:c>
      <x:c r="AE1073" s="34" t="str">
        <x:v>article1-unified-v4-2-fb3f101b-20260903-000401-default-f05-p3-jcs4-1-after-undeploy-final-10s-thread-dump.txt</x:v>
      </x:c>
      <x:c r="AF1073" s="34"/>
      <x:c r="AG1073" s="34" t="str">
        <x:v>article1-unified-v4-2-fb3f101b-20260903-000401-default-f05-p3-jcs4-1-after-undeploy-final-10s-native-memory.txt</x:v>
      </x:c>
      <x:c r="AH1073" s="34" t="str">
        <x:v>article1-unified-v4-2-fb3f101b-20260903-000401-default-f05-p3-jcs4-1-after-undeploy-final-10s-class-histogram.txt</x:v>
      </x:c>
      <x:c r="AI1073" s="34" t="str">
        <x:v>article1-unified-v4-2-fb3f101b-20260903-000401-default-f05-p3-jcs4-1-after-undeploy-tomcat-findleaks.txt</x:v>
      </x:c>
    </x:row>
    <x:row r="1074">
      <x:c r="A1074" s="34" t="str">
        <x:v>article1-unified-v4-2-fb3f101b-20260903-000401-default-f05-p3-jcs4</x:v>
      </x:c>
      <x:c r="B1074" s="34" t="str">
        <x:v>default</x:v>
      </x:c>
      <x:c r="C1074" s="34" t="str">
        <x:v>jcs4</x:v>
      </x:c>
      <x:c r="D1074" s="34" t="str">
        <x:v>jcs4</x:v>
      </x:c>
      <x:c r="E1074" s="36" t="n">
        <x:v>5</x:v>
      </x:c>
      <x:c r="F1074" s="36" t="n">
        <x:v>5</x:v>
      </x:c>
      <x:c r="G1074" s="36" t="n">
        <x:v>3</x:v>
      </x:c>
      <x:c r="H1074" s="36" t="n">
        <x:v>1</x:v>
      </x:c>
      <x:c r="I1074" s="34" t="str">
        <x:v>redeployedLoaded</x:v>
      </x:c>
      <x:c r="J1074" s="34" t="str">
        <x:v>redeployed-loaded</x:v>
      </x:c>
      <x:c r="K1074" s="36" t="n">
        <x:v>0</x:v>
      </x:c>
      <x:c r="L1074" s="34" t="str">
        <x:v>redeploy</x:v>
      </x:c>
      <x:c r="M1074" s="34" t="str">
        <x:v>article1-unified-v4-2-fb3f101b-20260903-000401-default-f05-p3-jcs4-1-redeployed-loaded</x:v>
      </x:c>
      <x:c r="N1074" s="38" t="n">
        <x:v>46268.070391354166</x:v>
      </x:c>
      <x:c r="O1074" s="36" t="n">
        <x:v>0</x:v>
      </x:c>
      <x:c r="P1074" s="43" t="n">
        <x:v>149194752</x:v>
      </x:c>
      <x:c r="Q1074" s="43" t="n">
        <x:v>268435456</x:v>
      </x:c>
      <x:c r="R1074" s="43" t="n">
        <x:v>443982848</x:v>
      </x:c>
      <x:c r="S1074" s="36" t="n">
        <x:v>3</x:v>
      </x:c>
      <x:c r="T1074" s="44" t="str">
        <x:v>0x0000000074116bd8  0x0000000074003818  0x00007c2d700666c0    4415  20937728  20926440  org.apache.catalina.loader.ParallelWebappClassLoader | 0x0000000074116bd8  0x0000000074003818  0x00007c2e1c605a70       0         0         0  org.apache.catalina.loader.ParallelWebappClassLoader | 0x0000000074116bd8  0x0000000074003818  0x00007c2d78018c30    4395  20961280  20945856  org.apache.catalina.loader.ParallelWebappClassLoader</x:v>
      </x:c>
      <x:c r="U1074" s="36" t="n">
        <x:v>29</x:v>
      </x:c>
      <x:c r="V1074" s="36" t="n">
        <x:v>1</x:v>
      </x:c>
      <x:c r="W1074" s="44" t="str">
        <x:v>jcs4-thread-pool-event-queue:JCS-ThreadPoolManager-ElementEventQueue-Thread-7#91</x:v>
      </x:c>
      <x:c r="X1074" s="36"/>
      <x:c r="Y1074" s="36"/>
      <x:c r="Z1074" s="44"/>
      <x:c r="AA1074" s="49"/>
      <x:c r="AB1074" s="43"/>
      <x:c r="AC1074" s="34"/>
      <x:c r="AD1074" s="34"/>
      <x:c r="AE1074" s="34"/>
      <x:c r="AF1074" s="34"/>
      <x:c r="AG1074" s="34"/>
      <x:c r="AH1074" s="34"/>
      <x:c r="AI1074" s="34"/>
    </x:row>
    <x:row r="1075">
      <x:c r="A1075" s="34" t="str">
        <x:v>article1-unified-v4-2-fb3f101b-20260903-000401-default-f05-p3-jcs4</x:v>
      </x:c>
      <x:c r="B1075" s="34" t="str">
        <x:v>default</x:v>
      </x:c>
      <x:c r="C1075" s="34" t="str">
        <x:v>jcs4</x:v>
      </x:c>
      <x:c r="D1075" s="34" t="str">
        <x:v>jcs4</x:v>
      </x:c>
      <x:c r="E1075" s="36" t="n">
        <x:v>5</x:v>
      </x:c>
      <x:c r="F1075" s="36" t="n">
        <x:v>5</x:v>
      </x:c>
      <x:c r="G1075" s="36" t="n">
        <x:v>3</x:v>
      </x:c>
      <x:c r="H1075" s="36" t="n">
        <x:v>1</x:v>
      </x:c>
      <x:c r="I1075" s="34" t="str">
        <x:v>afterFinalUndeployEarly</x:v>
      </x:c>
      <x:c r="J1075" s="34" t="str">
        <x:v>after-final-undeploy-early</x:v>
      </x:c>
      <x:c r="K1075" s="36" t="n">
        <x:v>2</x:v>
      </x:c>
      <x:c r="L1075" s="34" t="str">
        <x:v>early</x:v>
      </x:c>
      <x:c r="M1075" s="34" t="str">
        <x:v>article1-unified-v4-2-fb3f101b-20260903-000401-default-f05-p3-jcs4-1-after-final-undeploy-early-2s</x:v>
      </x:c>
      <x:c r="N1075" s="38" t="n">
        <x:v>46268.070475532404</x:v>
      </x:c>
      <x:c r="O1075" s="36"/>
      <x:c r="P1075" s="43"/>
      <x:c r="Q1075" s="43"/>
      <x:c r="R1075" s="43"/>
      <x:c r="S1075" s="36"/>
      <x:c r="T1075" s="44"/>
      <x:c r="U1075" s="36" t="n">
        <x:v>27</x:v>
      </x:c>
      <x:c r="V1075" s="36" t="n">
        <x:v>0</x:v>
      </x:c>
      <x:c r="W1075" s="44"/>
      <x:c r="X1075" s="36"/>
      <x:c r="Y1075" s="36"/>
      <x:c r="Z1075" s="44"/>
      <x:c r="AA1075" s="49"/>
      <x:c r="AB1075" s="43" t="n">
        <x:v>5</x:v>
      </x:c>
      <x:c r="AC1075" s="34"/>
      <x:c r="AD1075" s="34"/>
      <x:c r="AE1075" s="34" t="str">
        <x:v>article1-unified-v4-2-fb3f101b-20260903-000401-default-f05-p3-jcs4-1-after-final-undeploy-early-2s-thread-dump.txt</x:v>
      </x:c>
      <x:c r="AF1075" s="34" t="str">
        <x:v>article1-unified-v4-2-fb3f101b-20260903-000401-default-f05-p3-jcs4-1-after-final-undeploy-early-tomcat-log.txt</x:v>
      </x:c>
      <x:c r="AG1075" s="34"/>
      <x:c r="AH1075" s="34"/>
      <x:c r="AI1075" s="34"/>
    </x:row>
    <x:row r="1076">
      <x:c r="A1076" s="34" t="str">
        <x:v>article1-unified-v4-2-fb3f101b-20260903-000401-default-f05-p3-jcs4</x:v>
      </x:c>
      <x:c r="B1076" s="34" t="str">
        <x:v>default</x:v>
      </x:c>
      <x:c r="C1076" s="34" t="str">
        <x:v>jcs4</x:v>
      </x:c>
      <x:c r="D1076" s="34" t="str">
        <x:v>jcs4</x:v>
      </x:c>
      <x:c r="E1076" s="36" t="n">
        <x:v>5</x:v>
      </x:c>
      <x:c r="F1076" s="36" t="n">
        <x:v>5</x:v>
      </x:c>
      <x:c r="G1076" s="36" t="n">
        <x:v>3</x:v>
      </x:c>
      <x:c r="H1076" s="36" t="n">
        <x:v>1</x:v>
      </x:c>
      <x:c r="I1076" s="34" t="str">
        <x:v>afterFinalUndeploy</x:v>
      </x:c>
      <x:c r="J1076" s="34" t="str">
        <x:v>after-final-undeploy-final</x:v>
      </x:c>
      <x:c r="K1076" s="36" t="n">
        <x:v>2</x:v>
      </x:c>
      <x:c r="L1076" s="34" t="str">
        <x:v>final</x:v>
      </x:c>
      <x:c r="M1076" s="34" t="str">
        <x:v>article1-unified-v4-2-fb3f101b-20260903-000401-default-f05-p3-jcs4-1-after-final-undeploy-final-10s</x:v>
      </x:c>
      <x:c r="N1076" s="38" t="n">
        <x:v>46268.07062820602</x:v>
      </x:c>
      <x:c r="O1076" s="36" t="n">
        <x:v>2</x:v>
      </x:c>
      <x:c r="P1076" s="43" t="n">
        <x:v>15693824</x:v>
      </x:c>
      <x:c r="Q1076" s="43" t="n">
        <x:v>268435456</x:v>
      </x:c>
      <x:c r="R1076" s="43" t="n">
        <x:v>417806336</x:v>
      </x:c>
      <x:c r="S1076" s="36" t="n">
        <x:v>2</x:v>
      </x:c>
      <x:c r="T1076" s="44" t="str">
        <x:v>0x0000000074116bd8  0x0000000074003818  0x00007c2e1c605a70       0         0         0  org.apache.catalina.loader.ParallelWebappClassLoader | 0x0000000074116bd8  0x0000000074003818  0x00007c2d78018c30    4409  21010432  20981240  org.apache.catalina.loader.ParallelWebappClassLoader</x:v>
      </x:c>
      <x:c r="U1076" s="36" t="n">
        <x:v>27</x:v>
      </x:c>
      <x:c r="V1076" s="36" t="n">
        <x:v>0</x:v>
      </x:c>
      <x:c r="W1076" s="44"/>
      <x:c r="X1076" s="36" t="n">
        <x:v>1</x:v>
      </x:c>
      <x:c r="Y1076" s="36" t="n">
        <x:v>1</x:v>
      </x:c>
      <x:c r="Z1076" s="44" t="str">
        <x:v>/jcs4</x:v>
      </x:c>
      <x:c r="AA1076" s="45" t="b">
        <x:v>1</x:v>
      </x:c>
      <x:c r="AB1076" s="43"/>
      <x:c r="AC1076" s="34" t="str">
        <x:v>article1-unified-v4-2-fb3f101b-20260903-000401-default-f05-p3-jcs4-1-after-final-undeploy-final-10s-heap-info.txt</x:v>
      </x:c>
      <x:c r="AD1076" s="34" t="str">
        <x:v>article1-unified-v4-2-fb3f101b-20260903-000401-default-f05-p3-jcs4-1-after-final-undeploy-final-10s-classloader-stats.txt</x:v>
      </x:c>
      <x:c r="AE1076" s="34" t="str">
        <x:v>article1-unified-v4-2-fb3f101b-20260903-000401-default-f05-p3-jcs4-1-after-final-undeploy-final-10s-thread-dump.txt</x:v>
      </x:c>
      <x:c r="AF1076" s="34"/>
      <x:c r="AG1076" s="34" t="str">
        <x:v>article1-unified-v4-2-fb3f101b-20260903-000401-default-f05-p3-jcs4-1-after-final-undeploy-final-10s-native-memory.txt</x:v>
      </x:c>
      <x:c r="AH1076" s="34" t="str">
        <x:v>article1-unified-v4-2-fb3f101b-20260903-000401-default-f05-p3-jcs4-1-after-final-undeploy-final-10s-class-histogram.txt</x:v>
      </x:c>
      <x:c r="AI1076" s="34" t="str">
        <x:v>article1-unified-v4-2-fb3f101b-20260903-000401-default-f05-p3-jcs4-1-after-final-undeploy-tomcat-findleaks.txt</x:v>
      </x:c>
    </x:row>
    <x:row r="1077">
      <x:c r="A1077" s="34" t="str">
        <x:v>article1-unified-v4-2-fb3f101b-20260903-000401-default-f05-p3-jcs4</x:v>
      </x:c>
      <x:c r="B1077" s="34" t="str">
        <x:v>default</x:v>
      </x:c>
      <x:c r="C1077" s="34" t="str">
        <x:v>jcs4</x:v>
      </x:c>
      <x:c r="D1077" s="34" t="str">
        <x:v>jcs4</x:v>
      </x:c>
      <x:c r="E1077" s="36" t="n">
        <x:v>5</x:v>
      </x:c>
      <x:c r="F1077" s="36" t="n">
        <x:v>5</x:v>
      </x:c>
      <x:c r="G1077" s="36" t="n">
        <x:v>3</x:v>
      </x:c>
      <x:c r="H1077" s="36" t="n">
        <x:v>2</x:v>
      </x:c>
      <x:c r="I1077" s="34" t="str">
        <x:v>baseline</x:v>
      </x:c>
      <x:c r="J1077" s="34" t="str">
        <x:v>cycle-baseline</x:v>
      </x:c>
      <x:c r="K1077" s="36" t="n">
        <x:v>0</x:v>
      </x:c>
      <x:c r="L1077" s="34" t="str">
        <x:v>baseline</x:v>
      </x:c>
      <x:c r="M1077" s="34" t="str">
        <x:v>article1-unified-v4-2-fb3f101b-20260903-000401-default-f05-p3-jcs4-2-baseline</x:v>
      </x:c>
      <x:c r="N1077" s="38" t="n">
        <x:v>46268.07067565972</x:v>
      </x:c>
      <x:c r="O1077" s="36" t="n">
        <x:v>0</x:v>
      </x:c>
      <x:c r="P1077" s="43" t="n">
        <x:v>15706112</x:v>
      </x:c>
      <x:c r="Q1077" s="43" t="n">
        <x:v>268435456</x:v>
      </x:c>
      <x:c r="R1077" s="43" t="n">
        <x:v>417692672</x:v>
      </x:c>
      <x:c r="S1077" s="36" t="n">
        <x:v>2</x:v>
      </x:c>
      <x:c r="T1077" s="44" t="str">
        <x:v>0x0000000074116bd8  0x0000000074003818  0x00007c2e1c605a70       0         0         0  org.apache.catalina.loader.ParallelWebappClassLoader | 0x0000000074116bd8  0x0000000074003818  0x00007c2d78018c30    4409  21010432  20981240  org.apache.catalina.loader.ParallelWebappClassLoader</x:v>
      </x:c>
      <x:c r="U1077" s="36" t="n">
        <x:v>27</x:v>
      </x:c>
      <x:c r="V1077" s="36" t="n">
        <x:v>0</x:v>
      </x:c>
      <x:c r="W1077" s="44"/>
      <x:c r="X1077" s="36"/>
      <x:c r="Y1077" s="36"/>
      <x:c r="Z1077" s="44"/>
      <x:c r="AA1077" s="49"/>
      <x:c r="AB1077" s="43"/>
      <x:c r="AC1077" s="34" t="str">
        <x:v>article1-unified-v4-2-fb3f101b-20260903-000401-default-f05-p3-jcs4-2-baseline-heap-info.txt</x:v>
      </x:c>
      <x:c r="AD1077" s="34" t="str">
        <x:v>article1-unified-v4-2-fb3f101b-20260903-000401-default-f05-p3-jcs4-2-baseline-classloader-stats.txt</x:v>
      </x:c>
      <x:c r="AE1077" s="34" t="str">
        <x:v>article1-unified-v4-2-fb3f101b-20260903-000401-default-f05-p3-jcs4-2-baseline-thread-dump.txt</x:v>
      </x:c>
      <x:c r="AF1077" s="34"/>
      <x:c r="AG1077" s="34" t="str">
        <x:v>article1-unified-v4-2-fb3f101b-20260903-000401-default-f05-p3-jcs4-2-baseline-native-memory.txt</x:v>
      </x:c>
      <x:c r="AH1077" s="34"/>
      <x:c r="AI1077" s="34"/>
    </x:row>
    <x:row r="1078">
      <x:c r="A1078" s="34" t="str">
        <x:v>article1-unified-v4-2-fb3f101b-20260903-000401-default-f05-p3-jcs4</x:v>
      </x:c>
      <x:c r="B1078" s="34" t="str">
        <x:v>default</x:v>
      </x:c>
      <x:c r="C1078" s="34" t="str">
        <x:v>jcs4</x:v>
      </x:c>
      <x:c r="D1078" s="34" t="str">
        <x:v>jcs4</x:v>
      </x:c>
      <x:c r="E1078" s="36" t="n">
        <x:v>5</x:v>
      </x:c>
      <x:c r="F1078" s="36" t="n">
        <x:v>5</x:v>
      </x:c>
      <x:c r="G1078" s="36" t="n">
        <x:v>3</x:v>
      </x:c>
      <x:c r="H1078" s="36" t="n">
        <x:v>2</x:v>
      </x:c>
      <x:c r="I1078" s="34" t="str">
        <x:v>deployedIdle</x:v>
      </x:c>
      <x:c r="J1078" s="34" t="str">
        <x:v>deployed-idle</x:v>
      </x:c>
      <x:c r="K1078" s="36" t="n">
        <x:v>0</x:v>
      </x:c>
      <x:c r="L1078" s="34" t="str">
        <x:v>initial</x:v>
      </x:c>
      <x:c r="M1078" s="34" t="str">
        <x:v>article1-unified-v4-2-fb3f101b-20260903-000401-default-f05-p3-jcs4-2-deployed-idle</x:v>
      </x:c>
      <x:c r="N1078" s="38" t="n">
        <x:v>46268.07077708333</x:v>
      </x:c>
      <x:c r="O1078" s="36" t="n">
        <x:v>0</x:v>
      </x:c>
      <x:c r="P1078" s="43" t="n">
        <x:v>168087552</x:v>
      </x:c>
      <x:c r="Q1078" s="43" t="n">
        <x:v>268435456</x:v>
      </x:c>
      <x:c r="R1078" s="43" t="n">
        <x:v>435802112</x:v>
      </x:c>
      <x:c r="S1078" s="36" t="n">
        <x:v>3</x:v>
      </x:c>
      <x:c r="T1078" s="44" t="str">
        <x:v>0x0000000074116bd8  0x0000000074003818  0x00007c2e1c605a70       0         0         0  org.apache.catalina.loader.ParallelWebappClassLoader | 0x0000000074116bd8  0x0000000074003818  0x00007c2d78018c30    4409  21010432  20981240  org.apache.catalina.loader.ParallelWebappClassLoader | 0x0000000074116bd8  0x0000000074003818  0x00007c2d64190310    4091  19453952  19427088  org.apache.catalina.loader.ParallelWebappClassLoader</x:v>
      </x:c>
      <x:c r="U1078" s="36" t="n">
        <x:v>27</x:v>
      </x:c>
      <x:c r="V1078" s="36" t="n">
        <x:v>0</x:v>
      </x:c>
      <x:c r="W1078" s="44"/>
      <x:c r="X1078" s="36"/>
      <x:c r="Y1078" s="36"/>
      <x:c r="Z1078" s="44"/>
      <x:c r="AA1078" s="49"/>
      <x:c r="AB1078" s="43"/>
      <x:c r="AC1078" s="34"/>
      <x:c r="AD1078" s="34"/>
      <x:c r="AE1078" s="34"/>
      <x:c r="AF1078" s="34"/>
      <x:c r="AG1078" s="34"/>
      <x:c r="AH1078" s="34"/>
      <x:c r="AI1078" s="34"/>
    </x:row>
    <x:row r="1079">
      <x:c r="A1079" s="34" t="str">
        <x:v>article1-unified-v4-2-fb3f101b-20260903-000401-default-f05-p3-jcs4</x:v>
      </x:c>
      <x:c r="B1079" s="34" t="str">
        <x:v>default</x:v>
      </x:c>
      <x:c r="C1079" s="34" t="str">
        <x:v>jcs4</x:v>
      </x:c>
      <x:c r="D1079" s="34" t="str">
        <x:v>jcs4</x:v>
      </x:c>
      <x:c r="E1079" s="36" t="n">
        <x:v>5</x:v>
      </x:c>
      <x:c r="F1079" s="36" t="n">
        <x:v>5</x:v>
      </x:c>
      <x:c r="G1079" s="36" t="n">
        <x:v>3</x:v>
      </x:c>
      <x:c r="H1079" s="36" t="n">
        <x:v>2</x:v>
      </x:c>
      <x:c r="I1079" s="34" t="str">
        <x:v>loaded</x:v>
      </x:c>
      <x:c r="J1079" s="34" t="str">
        <x:v>loaded</x:v>
      </x:c>
      <x:c r="K1079" s="36" t="n">
        <x:v>0</x:v>
      </x:c>
      <x:c r="L1079" s="34" t="str">
        <x:v>initial</x:v>
      </x:c>
      <x:c r="M1079" s="34" t="str">
        <x:v>article1-unified-v4-2-fb3f101b-20260903-000401-default-f05-p3-jcs4-2-loaded</x:v>
      </x:c>
      <x:c r="N1079" s="38" t="n">
        <x:v>46268.07092201389</x:v>
      </x:c>
      <x:c r="O1079" s="36" t="n">
        <x:v>0</x:v>
      </x:c>
      <x:c r="P1079" s="43" t="n">
        <x:v>126507008</x:v>
      </x:c>
      <x:c r="Q1079" s="43" t="n">
        <x:v>268435456</x:v>
      </x:c>
      <x:c r="R1079" s="43" t="n">
        <x:v>440949760</x:v>
      </x:c>
      <x:c r="S1079" s="36" t="n">
        <x:v>3</x:v>
      </x:c>
      <x:c r="T1079" s="44" t="str">
        <x:v>0x0000000074116bd8  0x0000000074003818  0x00007c2e1c605a70       0         0         0  org.apache.catalina.loader.ParallelWebappClassLoader | 0x0000000074116bd8  0x0000000074003818  0x00007c2d78018c30    4409  21010432  20981240  org.apache.catalina.loader.ParallelWebappClassLoader | 0x0000000074116bd8  0x0000000074003818  0x00007c2d64190310    4392  20957184  20935968  org.apache.catalina.loader.ParallelWebappClassLoader</x:v>
      </x:c>
      <x:c r="U1079" s="36" t="n">
        <x:v>29</x:v>
      </x:c>
      <x:c r="V1079" s="36" t="n">
        <x:v>1</x:v>
      </x:c>
      <x:c r="W1079" s="44" t="str">
        <x:v>jcs4-thread-pool-event-queue:JCS-ThreadPoolManager-ElementEventQueue-Thread-10#133</x:v>
      </x:c>
      <x:c r="X1079" s="36"/>
      <x:c r="Y1079" s="36"/>
      <x:c r="Z1079" s="44"/>
      <x:c r="AA1079" s="49"/>
      <x:c r="AB1079" s="43"/>
      <x:c r="AC1079" s="34"/>
      <x:c r="AD1079" s="34"/>
      <x:c r="AE1079" s="34"/>
      <x:c r="AF1079" s="34"/>
      <x:c r="AG1079" s="34"/>
      <x:c r="AH1079" s="34"/>
      <x:c r="AI1079" s="34"/>
    </x:row>
    <x:row r="1080">
      <x:c r="A1080" s="34" t="str">
        <x:v>article1-unified-v4-2-fb3f101b-20260903-000401-default-f05-p3-jcs4</x:v>
      </x:c>
      <x:c r="B1080" s="34" t="str">
        <x:v>default</x:v>
      </x:c>
      <x:c r="C1080" s="34" t="str">
        <x:v>jcs4</x:v>
      </x:c>
      <x:c r="D1080" s="34" t="str">
        <x:v>jcs4</x:v>
      </x:c>
      <x:c r="E1080" s="36" t="n">
        <x:v>5</x:v>
      </x:c>
      <x:c r="F1080" s="36" t="n">
        <x:v>5</x:v>
      </x:c>
      <x:c r="G1080" s="36" t="n">
        <x:v>3</x:v>
      </x:c>
      <x:c r="H1080" s="36" t="n">
        <x:v>2</x:v>
      </x:c>
      <x:c r="I1080" s="34" t="str">
        <x:v>afterUndeployEarly</x:v>
      </x:c>
      <x:c r="J1080" s="34" t="str">
        <x:v>after-undeploy-early</x:v>
      </x:c>
      <x:c r="K1080" s="36" t="n">
        <x:v>1</x:v>
      </x:c>
      <x:c r="L1080" s="34" t="str">
        <x:v>early</x:v>
      </x:c>
      <x:c r="M1080" s="34" t="str">
        <x:v>article1-unified-v4-2-fb3f101b-20260903-000401-default-f05-p3-jcs4-2-after-undeploy-early-2s</x:v>
      </x:c>
      <x:c r="N1080" s="38" t="n">
        <x:v>46268.07100403935</x:v>
      </x:c>
      <x:c r="O1080" s="36"/>
      <x:c r="P1080" s="43"/>
      <x:c r="Q1080" s="43"/>
      <x:c r="R1080" s="43"/>
      <x:c r="S1080" s="36"/>
      <x:c r="T1080" s="44"/>
      <x:c r="U1080" s="36" t="n">
        <x:v>27</x:v>
      </x:c>
      <x:c r="V1080" s="36" t="n">
        <x:v>0</x:v>
      </x:c>
      <x:c r="W1080" s="44"/>
      <x:c r="X1080" s="36"/>
      <x:c r="Y1080" s="36"/>
      <x:c r="Z1080" s="44"/>
      <x:c r="AA1080" s="49"/>
      <x:c r="AB1080" s="43" t="n">
        <x:v>5</x:v>
      </x:c>
      <x:c r="AC1080" s="34"/>
      <x:c r="AD1080" s="34"/>
      <x:c r="AE1080" s="34" t="str">
        <x:v>article1-unified-v4-2-fb3f101b-20260903-000401-default-f05-p3-jcs4-2-after-undeploy-early-2s-thread-dump.txt</x:v>
      </x:c>
      <x:c r="AF1080" s="34" t="str">
        <x:v>article1-unified-v4-2-fb3f101b-20260903-000401-default-f05-p3-jcs4-2-after-undeploy-early-tomcat-log.txt</x:v>
      </x:c>
      <x:c r="AG1080" s="34"/>
      <x:c r="AH1080" s="34"/>
      <x:c r="AI1080" s="34"/>
    </x:row>
    <x:row r="1081">
      <x:c r="A1081" s="34" t="str">
        <x:v>article1-unified-v4-2-fb3f101b-20260903-000401-default-f05-p3-jcs4</x:v>
      </x:c>
      <x:c r="B1081" s="34" t="str">
        <x:v>default</x:v>
      </x:c>
      <x:c r="C1081" s="34" t="str">
        <x:v>jcs4</x:v>
      </x:c>
      <x:c r="D1081" s="34" t="str">
        <x:v>jcs4</x:v>
      </x:c>
      <x:c r="E1081" s="36" t="n">
        <x:v>5</x:v>
      </x:c>
      <x:c r="F1081" s="36" t="n">
        <x:v>5</x:v>
      </x:c>
      <x:c r="G1081" s="36" t="n">
        <x:v>3</x:v>
      </x:c>
      <x:c r="H1081" s="36" t="n">
        <x:v>2</x:v>
      </x:c>
      <x:c r="I1081" s="34" t="str">
        <x:v>afterUndeploy</x:v>
      </x:c>
      <x:c r="J1081" s="34" t="str">
        <x:v>after-undeploy-final</x:v>
      </x:c>
      <x:c r="K1081" s="36" t="n">
        <x:v>1</x:v>
      </x:c>
      <x:c r="L1081" s="34" t="str">
        <x:v>final</x:v>
      </x:c>
      <x:c r="M1081" s="34" t="str">
        <x:v>article1-unified-v4-2-fb3f101b-20260903-000401-default-f05-p3-jcs4-2-after-undeploy-final-10s</x:v>
      </x:c>
      <x:c r="N1081" s="38" t="n">
        <x:v>46268.071154606485</x:v>
      </x:c>
      <x:c r="O1081" s="36" t="n">
        <x:v>2</x:v>
      </x:c>
      <x:c r="P1081" s="43" t="n">
        <x:v>15756288</x:v>
      </x:c>
      <x:c r="Q1081" s="43" t="n">
        <x:v>268435456</x:v>
      </x:c>
      <x:c r="R1081" s="43" t="n">
        <x:v>419489792</x:v>
      </x:c>
      <x:c r="S1081" s="36" t="n">
        <x:v>2</x:v>
      </x:c>
      <x:c r="T1081" s="44" t="str">
        <x:v>0x0000000074116bd8  0x0000000074003818  0x00007c2d64190310    4406  20973568  20971352  org.apache.catalina.loader.ParallelWebappClassLoader | 0x0000000074116bd8  0x0000000074003818  0x00007c2e1c605a70       0         0         0  org.apache.catalina.loader.ParallelWebappClassLoader</x:v>
      </x:c>
      <x:c r="U1081" s="36" t="n">
        <x:v>27</x:v>
      </x:c>
      <x:c r="V1081" s="36" t="n">
        <x:v>0</x:v>
      </x:c>
      <x:c r="W1081" s="44"/>
      <x:c r="X1081" s="36" t="n">
        <x:v>1</x:v>
      </x:c>
      <x:c r="Y1081" s="36" t="n">
        <x:v>1</x:v>
      </x:c>
      <x:c r="Z1081" s="44" t="str">
        <x:v>/jcs4</x:v>
      </x:c>
      <x:c r="AA1081" s="45" t="b">
        <x:v>1</x:v>
      </x:c>
      <x:c r="AB1081" s="43"/>
      <x:c r="AC1081" s="34" t="str">
        <x:v>article1-unified-v4-2-fb3f101b-20260903-000401-default-f05-p3-jcs4-2-after-undeploy-final-10s-heap-info.txt</x:v>
      </x:c>
      <x:c r="AD1081" s="34" t="str">
        <x:v>article1-unified-v4-2-fb3f101b-20260903-000401-default-f05-p3-jcs4-2-after-undeploy-final-10s-classloader-stats.txt</x:v>
      </x:c>
      <x:c r="AE1081" s="34" t="str">
        <x:v>article1-unified-v4-2-fb3f101b-20260903-000401-default-f05-p3-jcs4-2-after-undeploy-final-10s-thread-dump.txt</x:v>
      </x:c>
      <x:c r="AF1081" s="34"/>
      <x:c r="AG1081" s="34" t="str">
        <x:v>article1-unified-v4-2-fb3f101b-20260903-000401-default-f05-p3-jcs4-2-after-undeploy-final-10s-native-memory.txt</x:v>
      </x:c>
      <x:c r="AH1081" s="34" t="str">
        <x:v>article1-unified-v4-2-fb3f101b-20260903-000401-default-f05-p3-jcs4-2-after-undeploy-final-10s-class-histogram.txt</x:v>
      </x:c>
      <x:c r="AI1081" s="34" t="str">
        <x:v>article1-unified-v4-2-fb3f101b-20260903-000401-default-f05-p3-jcs4-2-after-undeploy-tomcat-findleaks.txt</x:v>
      </x:c>
    </x:row>
    <x:row r="1082">
      <x:c r="A1082" s="34" t="str">
        <x:v>article1-unified-v4-2-fb3f101b-20260903-000401-default-f05-p3-jcs4</x:v>
      </x:c>
      <x:c r="B1082" s="34" t="str">
        <x:v>default</x:v>
      </x:c>
      <x:c r="C1082" s="34" t="str">
        <x:v>jcs4</x:v>
      </x:c>
      <x:c r="D1082" s="34" t="str">
        <x:v>jcs4</x:v>
      </x:c>
      <x:c r="E1082" s="36" t="n">
        <x:v>5</x:v>
      </x:c>
      <x:c r="F1082" s="36" t="n">
        <x:v>5</x:v>
      </x:c>
      <x:c r="G1082" s="36" t="n">
        <x:v>3</x:v>
      </x:c>
      <x:c r="H1082" s="36" t="n">
        <x:v>2</x:v>
      </x:c>
      <x:c r="I1082" s="34" t="str">
        <x:v>redeployedLoaded</x:v>
      </x:c>
      <x:c r="J1082" s="34" t="str">
        <x:v>redeployed-loaded</x:v>
      </x:c>
      <x:c r="K1082" s="36" t="n">
        <x:v>0</x:v>
      </x:c>
      <x:c r="L1082" s="34" t="str">
        <x:v>redeploy</x:v>
      </x:c>
      <x:c r="M1082" s="34" t="str">
        <x:v>article1-unified-v4-2-fb3f101b-20260903-000401-default-f05-p3-jcs4-2-redeployed-loaded</x:v>
      </x:c>
      <x:c r="N1082" s="38" t="n">
        <x:v>46268.07140949074</x:v>
      </x:c>
      <x:c r="O1082" s="36" t="n">
        <x:v>0</x:v>
      </x:c>
      <x:c r="P1082" s="43" t="n">
        <x:v>162556928</x:v>
      </x:c>
      <x:c r="Q1082" s="43" t="n">
        <x:v>268435456</x:v>
      </x:c>
      <x:c r="R1082" s="43" t="n">
        <x:v>439233536</x:v>
      </x:c>
      <x:c r="S1082" s="36" t="n">
        <x:v>3</x:v>
      </x:c>
      <x:c r="T1082" s="44" t="str">
        <x:v>0x0000000074116bd8  0x0000000074003818  0x00007c2d64190310    4406  20973568  20971352  org.apache.catalina.loader.ParallelWebappClassLoader | 0x0000000074116bd8  0x0000000074003818  0x00007c2e1c605a70       0         0         0  org.apache.catalina.loader.ParallelWebappClassLoader | 0x0000000074116bd8  0x0000000074003818  0x00007c2d38012c50    4396  20963328  20936496  org.apache.catalina.loader.ParallelWebappClassLoader</x:v>
      </x:c>
      <x:c r="U1082" s="36" t="n">
        <x:v>28</x:v>
      </x:c>
      <x:c r="V1082" s="36" t="n">
        <x:v>1</x:v>
      </x:c>
      <x:c r="W1082" s="44" t="str">
        <x:v>jcs4-thread-pool-event-queue:JCS-ThreadPoolManager-ElementEventQueue-Thread-13#176</x:v>
      </x:c>
      <x:c r="X1082" s="36"/>
      <x:c r="Y1082" s="36"/>
      <x:c r="Z1082" s="44"/>
      <x:c r="AA1082" s="49"/>
      <x:c r="AB1082" s="43"/>
      <x:c r="AC1082" s="34"/>
      <x:c r="AD1082" s="34"/>
      <x:c r="AE1082" s="34"/>
      <x:c r="AF1082" s="34"/>
      <x:c r="AG1082" s="34"/>
      <x:c r="AH1082" s="34"/>
      <x:c r="AI1082" s="34"/>
    </x:row>
    <x:row r="1083">
      <x:c r="A1083" s="34" t="str">
        <x:v>article1-unified-v4-2-fb3f101b-20260903-000401-default-f05-p3-jcs4</x:v>
      </x:c>
      <x:c r="B1083" s="34" t="str">
        <x:v>default</x:v>
      </x:c>
      <x:c r="C1083" s="34" t="str">
        <x:v>jcs4</x:v>
      </x:c>
      <x:c r="D1083" s="34" t="str">
        <x:v>jcs4</x:v>
      </x:c>
      <x:c r="E1083" s="36" t="n">
        <x:v>5</x:v>
      </x:c>
      <x:c r="F1083" s="36" t="n">
        <x:v>5</x:v>
      </x:c>
      <x:c r="G1083" s="36" t="n">
        <x:v>3</x:v>
      </x:c>
      <x:c r="H1083" s="36" t="n">
        <x:v>2</x:v>
      </x:c>
      <x:c r="I1083" s="34" t="str">
        <x:v>afterFinalUndeployEarly</x:v>
      </x:c>
      <x:c r="J1083" s="34" t="str">
        <x:v>after-final-undeploy-early</x:v>
      </x:c>
      <x:c r="K1083" s="36" t="n">
        <x:v>2</x:v>
      </x:c>
      <x:c r="L1083" s="34" t="str">
        <x:v>early</x:v>
      </x:c>
      <x:c r="M1083" s="34" t="str">
        <x:v>article1-unified-v4-2-fb3f101b-20260903-000401-default-f05-p3-jcs4-2-after-final-undeploy-early-2s</x:v>
      </x:c>
      <x:c r="N1083" s="38" t="n">
        <x:v>46268.07149326389</x:v>
      </x:c>
      <x:c r="O1083" s="36"/>
      <x:c r="P1083" s="43"/>
      <x:c r="Q1083" s="43"/>
      <x:c r="R1083" s="43"/>
      <x:c r="S1083" s="36"/>
      <x:c r="T1083" s="44"/>
      <x:c r="U1083" s="36" t="n">
        <x:v>27</x:v>
      </x:c>
      <x:c r="V1083" s="36" t="n">
        <x:v>0</x:v>
      </x:c>
      <x:c r="W1083" s="44"/>
      <x:c r="X1083" s="36"/>
      <x:c r="Y1083" s="36"/>
      <x:c r="Z1083" s="44"/>
      <x:c r="AA1083" s="49"/>
      <x:c r="AB1083" s="43" t="n">
        <x:v>5</x:v>
      </x:c>
      <x:c r="AC1083" s="34"/>
      <x:c r="AD1083" s="34"/>
      <x:c r="AE1083" s="34" t="str">
        <x:v>article1-unified-v4-2-fb3f101b-20260903-000401-default-f05-p3-jcs4-2-after-final-undeploy-early-2s-thread-dump.txt</x:v>
      </x:c>
      <x:c r="AF1083" s="34" t="str">
        <x:v>article1-unified-v4-2-fb3f101b-20260903-000401-default-f05-p3-jcs4-2-after-final-undeploy-early-tomcat-log.txt</x:v>
      </x:c>
      <x:c r="AG1083" s="34"/>
      <x:c r="AH1083" s="34"/>
      <x:c r="AI1083" s="34"/>
    </x:row>
    <x:row r="1084">
      <x:c r="A1084" s="34" t="str">
        <x:v>article1-unified-v4-2-fb3f101b-20260903-000401-default-f05-p3-jcs4</x:v>
      </x:c>
      <x:c r="B1084" s="34" t="str">
        <x:v>default</x:v>
      </x:c>
      <x:c r="C1084" s="34" t="str">
        <x:v>jcs4</x:v>
      </x:c>
      <x:c r="D1084" s="34" t="str">
        <x:v>jcs4</x:v>
      </x:c>
      <x:c r="E1084" s="36" t="n">
        <x:v>5</x:v>
      </x:c>
      <x:c r="F1084" s="36" t="n">
        <x:v>5</x:v>
      </x:c>
      <x:c r="G1084" s="36" t="n">
        <x:v>3</x:v>
      </x:c>
      <x:c r="H1084" s="36" t="n">
        <x:v>2</x:v>
      </x:c>
      <x:c r="I1084" s="34" t="str">
        <x:v>afterFinalUndeploy</x:v>
      </x:c>
      <x:c r="J1084" s="34" t="str">
        <x:v>after-final-undeploy-final</x:v>
      </x:c>
      <x:c r="K1084" s="36" t="n">
        <x:v>2</x:v>
      </x:c>
      <x:c r="L1084" s="34" t="str">
        <x:v>final</x:v>
      </x:c>
      <x:c r="M1084" s="34" t="str">
        <x:v>article1-unified-v4-2-fb3f101b-20260903-000401-default-f05-p3-jcs4-2-after-final-undeploy-final-10s</x:v>
      </x:c>
      <x:c r="N1084" s="38" t="n">
        <x:v>46268.071654074076</x:v>
      </x:c>
      <x:c r="O1084" s="36" t="n">
        <x:v>2</x:v>
      </x:c>
      <x:c r="P1084" s="43" t="n">
        <x:v>15785984</x:v>
      </x:c>
      <x:c r="Q1084" s="43" t="n">
        <x:v>268435456</x:v>
      </x:c>
      <x:c r="R1084" s="43" t="n">
        <x:v>422059008</x:v>
      </x:c>
      <x:c r="S1084" s="36" t="n">
        <x:v>2</x:v>
      </x:c>
      <x:c r="T1084" s="44" t="str">
        <x:v>0x0000000074116bd8  0x0000000074003818  0x00007c2d38012c50    4410  20979712  20971888  org.apache.catalina.loader.ParallelWebappClassLoader | 0x0000000074116bd8  0x0000000074003818  0x00007c2e1c605a70       0         0         0  org.apache.catalina.loader.ParallelWebappClassLoader</x:v>
      </x:c>
      <x:c r="U1084" s="36" t="n">
        <x:v>27</x:v>
      </x:c>
      <x:c r="V1084" s="36" t="n">
        <x:v>0</x:v>
      </x:c>
      <x:c r="W1084" s="44"/>
      <x:c r="X1084" s="36" t="n">
        <x:v>1</x:v>
      </x:c>
      <x:c r="Y1084" s="36" t="n">
        <x:v>1</x:v>
      </x:c>
      <x:c r="Z1084" s="44" t="str">
        <x:v>/jcs4</x:v>
      </x:c>
      <x:c r="AA1084" s="45" t="b">
        <x:v>1</x:v>
      </x:c>
      <x:c r="AB1084" s="43"/>
      <x:c r="AC1084" s="34" t="str">
        <x:v>article1-unified-v4-2-fb3f101b-20260903-000401-default-f05-p3-jcs4-2-after-final-undeploy-final-10s-heap-info.txt</x:v>
      </x:c>
      <x:c r="AD1084" s="34" t="str">
        <x:v>article1-unified-v4-2-fb3f101b-20260903-000401-default-f05-p3-jcs4-2-after-final-undeploy-final-10s-classloader-stats.txt</x:v>
      </x:c>
      <x:c r="AE1084" s="34" t="str">
        <x:v>article1-unified-v4-2-fb3f101b-20260903-000401-default-f05-p3-jcs4-2-after-final-undeploy-final-10s-thread-dump.txt</x:v>
      </x:c>
      <x:c r="AF1084" s="34"/>
      <x:c r="AG1084" s="34" t="str">
        <x:v>article1-unified-v4-2-fb3f101b-20260903-000401-default-f05-p3-jcs4-2-after-final-undeploy-final-10s-native-memory.txt</x:v>
      </x:c>
      <x:c r="AH1084" s="34" t="str">
        <x:v>article1-unified-v4-2-fb3f101b-20260903-000401-default-f05-p3-jcs4-2-after-final-undeploy-final-10s-class-histogram.txt</x:v>
      </x:c>
      <x:c r="AI1084" s="34" t="str">
        <x:v>article1-unified-v4-2-fb3f101b-20260903-000401-default-f05-p3-jcs4-2-after-final-undeploy-tomcat-findleaks.txt</x:v>
      </x:c>
    </x:row>
    <x:row r="1085">
      <x:c r="A1085" s="34" t="str">
        <x:v>article1-unified-v4-2-fb3f101b-20260903-000401-default-f05-p3-jcs4</x:v>
      </x:c>
      <x:c r="B1085" s="34" t="str">
        <x:v>default</x:v>
      </x:c>
      <x:c r="C1085" s="34" t="str">
        <x:v>jcs4</x:v>
      </x:c>
      <x:c r="D1085" s="34" t="str">
        <x:v>jcs4</x:v>
      </x:c>
      <x:c r="E1085" s="36" t="n">
        <x:v>5</x:v>
      </x:c>
      <x:c r="F1085" s="36" t="n">
        <x:v>5</x:v>
      </x:c>
      <x:c r="G1085" s="36" t="n">
        <x:v>3</x:v>
      </x:c>
      <x:c r="H1085" s="36" t="n">
        <x:v>3</x:v>
      </x:c>
      <x:c r="I1085" s="34" t="str">
        <x:v>baseline</x:v>
      </x:c>
      <x:c r="J1085" s="34" t="str">
        <x:v>cycle-baseline</x:v>
      </x:c>
      <x:c r="K1085" s="36" t="n">
        <x:v>0</x:v>
      </x:c>
      <x:c r="L1085" s="34" t="str">
        <x:v>baseline</x:v>
      </x:c>
      <x:c r="M1085" s="34" t="str">
        <x:v>article1-unified-v4-2-fb3f101b-20260903-000401-default-f05-p3-jcs4-3-baseline</x:v>
      </x:c>
      <x:c r="N1085" s="38" t="n">
        <x:v>46268.071699837965</x:v>
      </x:c>
      <x:c r="O1085" s="36" t="n">
        <x:v>0</x:v>
      </x:c>
      <x:c r="P1085" s="43" t="n">
        <x:v>15791104</x:v>
      </x:c>
      <x:c r="Q1085" s="43" t="n">
        <x:v>268435456</x:v>
      </x:c>
      <x:c r="R1085" s="43" t="n">
        <x:v>421894144</x:v>
      </x:c>
      <x:c r="S1085" s="36" t="n">
        <x:v>2</x:v>
      </x:c>
      <x:c r="T1085" s="44" t="str">
        <x:v>0x0000000074116bd8  0x0000000074003818  0x00007c2d38012c50    4410  20979712  20971888  org.apache.catalina.loader.ParallelWebappClassLoader | 0x0000000074116bd8  0x0000000074003818  0x00007c2e1c605a70       0         0         0  org.apache.catalina.loader.ParallelWebappClassLoader</x:v>
      </x:c>
      <x:c r="U1085" s="36" t="n">
        <x:v>27</x:v>
      </x:c>
      <x:c r="V1085" s="36" t="n">
        <x:v>0</x:v>
      </x:c>
      <x:c r="W1085" s="44"/>
      <x:c r="X1085" s="36"/>
      <x:c r="Y1085" s="36"/>
      <x:c r="Z1085" s="44"/>
      <x:c r="AA1085" s="49"/>
      <x:c r="AB1085" s="43"/>
      <x:c r="AC1085" s="34" t="str">
        <x:v>article1-unified-v4-2-fb3f101b-20260903-000401-default-f05-p3-jcs4-3-baseline-heap-info.txt</x:v>
      </x:c>
      <x:c r="AD1085" s="34" t="str">
        <x:v>article1-unified-v4-2-fb3f101b-20260903-000401-default-f05-p3-jcs4-3-baseline-classloader-stats.txt</x:v>
      </x:c>
      <x:c r="AE1085" s="34" t="str">
        <x:v>article1-unified-v4-2-fb3f101b-20260903-000401-default-f05-p3-jcs4-3-baseline-thread-dump.txt</x:v>
      </x:c>
      <x:c r="AF1085" s="34"/>
      <x:c r="AG1085" s="34" t="str">
        <x:v>article1-unified-v4-2-fb3f101b-20260903-000401-default-f05-p3-jcs4-3-baseline-native-memory.txt</x:v>
      </x:c>
      <x:c r="AH1085" s="34"/>
      <x:c r="AI1085" s="34"/>
    </x:row>
    <x:row r="1086">
      <x:c r="A1086" s="34" t="str">
        <x:v>article1-unified-v4-2-fb3f101b-20260903-000401-default-f05-p3-jcs4</x:v>
      </x:c>
      <x:c r="B1086" s="34" t="str">
        <x:v>default</x:v>
      </x:c>
      <x:c r="C1086" s="34" t="str">
        <x:v>jcs4</x:v>
      </x:c>
      <x:c r="D1086" s="34" t="str">
        <x:v>jcs4</x:v>
      </x:c>
      <x:c r="E1086" s="36" t="n">
        <x:v>5</x:v>
      </x:c>
      <x:c r="F1086" s="36" t="n">
        <x:v>5</x:v>
      </x:c>
      <x:c r="G1086" s="36" t="n">
        <x:v>3</x:v>
      </x:c>
      <x:c r="H1086" s="36" t="n">
        <x:v>3</x:v>
      </x:c>
      <x:c r="I1086" s="34" t="str">
        <x:v>deployedIdle</x:v>
      </x:c>
      <x:c r="J1086" s="34" t="str">
        <x:v>deployed-idle</x:v>
      </x:c>
      <x:c r="K1086" s="36" t="n">
        <x:v>0</x:v>
      </x:c>
      <x:c r="L1086" s="34" t="str">
        <x:v>initial</x:v>
      </x:c>
      <x:c r="M1086" s="34" t="str">
        <x:v>article1-unified-v4-2-fb3f101b-20260903-000401-default-f05-p3-jcs4-3-deployed-idle</x:v>
      </x:c>
      <x:c r="N1086" s="38" t="n">
        <x:v>46268.07179761574</x:v>
      </x:c>
      <x:c r="O1086" s="36" t="n">
        <x:v>0</x:v>
      </x:c>
      <x:c r="P1086" s="43" t="n">
        <x:v>167077888</x:v>
      </x:c>
      <x:c r="Q1086" s="43" t="n">
        <x:v>268435456</x:v>
      </x:c>
      <x:c r="R1086" s="43" t="n">
        <x:v>470992896</x:v>
      </x:c>
      <x:c r="S1086" s="36" t="n">
        <x:v>3</x:v>
      </x:c>
      <x:c r="T1086" s="44" t="str">
        <x:v>0x0000000074116bd8  0x0000000074003818  0x00007c2d38012c50    4410  20979712  20971888  org.apache.catalina.loader.ParallelWebappClassLoader | 0x0000000074116bd8  0x0000000074003818  0x00007c2e1c605a70       0         0         0  org.apache.catalina.loader.ParallelWebappClassLoader | 0x0000000074116bd8  0x0000000074003818  0x00007c2d2c00d7a0    4091  19437568  19428928  org.apache.catalina.loader.ParallelWebappClassLoader</x:v>
      </x:c>
      <x:c r="U1086" s="36" t="n">
        <x:v>28</x:v>
      </x:c>
      <x:c r="V1086" s="36" t="n">
        <x:v>0</x:v>
      </x:c>
      <x:c r="W1086" s="44"/>
      <x:c r="X1086" s="36"/>
      <x:c r="Y1086" s="36"/>
      <x:c r="Z1086" s="44"/>
      <x:c r="AA1086" s="49"/>
      <x:c r="AB1086" s="43"/>
      <x:c r="AC1086" s="34"/>
      <x:c r="AD1086" s="34"/>
      <x:c r="AE1086" s="34"/>
      <x:c r="AF1086" s="34"/>
      <x:c r="AG1086" s="34"/>
      <x:c r="AH1086" s="34"/>
      <x:c r="AI1086" s="34"/>
    </x:row>
    <x:row r="1087">
      <x:c r="A1087" s="34" t="str">
        <x:v>article1-unified-v4-2-fb3f101b-20260903-000401-default-f05-p3-jcs4</x:v>
      </x:c>
      <x:c r="B1087" s="34" t="str">
        <x:v>default</x:v>
      </x:c>
      <x:c r="C1087" s="34" t="str">
        <x:v>jcs4</x:v>
      </x:c>
      <x:c r="D1087" s="34" t="str">
        <x:v>jcs4</x:v>
      </x:c>
      <x:c r="E1087" s="36" t="n">
        <x:v>5</x:v>
      </x:c>
      <x:c r="F1087" s="36" t="n">
        <x:v>5</x:v>
      </x:c>
      <x:c r="G1087" s="36" t="n">
        <x:v>3</x:v>
      </x:c>
      <x:c r="H1087" s="36" t="n">
        <x:v>3</x:v>
      </x:c>
      <x:c r="I1087" s="34" t="str">
        <x:v>loaded</x:v>
      </x:c>
      <x:c r="J1087" s="34" t="str">
        <x:v>loaded</x:v>
      </x:c>
      <x:c r="K1087" s="36" t="n">
        <x:v>0</x:v>
      </x:c>
      <x:c r="L1087" s="34" t="str">
        <x:v>initial</x:v>
      </x:c>
      <x:c r="M1087" s="34" t="str">
        <x:v>article1-unified-v4-2-fb3f101b-20260903-000401-default-f05-p3-jcs4-3-loaded</x:v>
      </x:c>
      <x:c r="N1087" s="38" t="n">
        <x:v>46268.07194700232</x:v>
      </x:c>
      <x:c r="O1087" s="36" t="n">
        <x:v>0</x:v>
      </x:c>
      <x:c r="P1087" s="43" t="n">
        <x:v>152937472</x:v>
      </x:c>
      <x:c r="Q1087" s="43" t="n">
        <x:v>268435456</x:v>
      </x:c>
      <x:c r="R1087" s="43" t="n">
        <x:v>441705472</x:v>
      </x:c>
      <x:c r="S1087" s="36" t="n">
        <x:v>3</x:v>
      </x:c>
      <x:c r="T1087" s="44" t="str">
        <x:v>0x0000000074116bd8  0x0000000074003818  0x00007c2d38012c50    4410  20979712  20971888  org.apache.catalina.loader.ParallelWebappClassLoader | 0x0000000074116bd8  0x0000000074003818  0x00007c2e1c605a70       0         0         0  org.apache.catalina.loader.ParallelWebappClassLoader | 0x0000000074116bd8  0x0000000074003818  0x00007c2d2c00d7a0    4396  20961280  20946552  org.apache.catalina.loader.ParallelWebappClassLoader</x:v>
      </x:c>
      <x:c r="U1087" s="36" t="n">
        <x:v>28</x:v>
      </x:c>
      <x:c r="V1087" s="36" t="n">
        <x:v>1</x:v>
      </x:c>
      <x:c r="W1087" s="44" t="str">
        <x:v>jcs4-thread-pool-event-queue:JCS-ThreadPoolManager-ElementEventQueue-Thread-16#218</x:v>
      </x:c>
      <x:c r="X1087" s="36"/>
      <x:c r="Y1087" s="36"/>
      <x:c r="Z1087" s="44"/>
      <x:c r="AA1087" s="49"/>
      <x:c r="AB1087" s="43"/>
      <x:c r="AC1087" s="34"/>
      <x:c r="AD1087" s="34"/>
      <x:c r="AE1087" s="34"/>
      <x:c r="AF1087" s="34"/>
      <x:c r="AG1087" s="34"/>
      <x:c r="AH1087" s="34"/>
      <x:c r="AI1087" s="34"/>
    </x:row>
    <x:row r="1088">
      <x:c r="A1088" s="34" t="str">
        <x:v>article1-unified-v4-2-fb3f101b-20260903-000401-default-f05-p3-jcs4</x:v>
      </x:c>
      <x:c r="B1088" s="34" t="str">
        <x:v>default</x:v>
      </x:c>
      <x:c r="C1088" s="34" t="str">
        <x:v>jcs4</x:v>
      </x:c>
      <x:c r="D1088" s="34" t="str">
        <x:v>jcs4</x:v>
      </x:c>
      <x:c r="E1088" s="36" t="n">
        <x:v>5</x:v>
      </x:c>
      <x:c r="F1088" s="36" t="n">
        <x:v>5</x:v>
      </x:c>
      <x:c r="G1088" s="36" t="n">
        <x:v>3</x:v>
      </x:c>
      <x:c r="H1088" s="36" t="n">
        <x:v>3</x:v>
      </x:c>
      <x:c r="I1088" s="34" t="str">
        <x:v>afterUndeployEarly</x:v>
      </x:c>
      <x:c r="J1088" s="34" t="str">
        <x:v>after-undeploy-early</x:v>
      </x:c>
      <x:c r="K1088" s="36" t="n">
        <x:v>1</x:v>
      </x:c>
      <x:c r="L1088" s="34" t="str">
        <x:v>early</x:v>
      </x:c>
      <x:c r="M1088" s="34" t="str">
        <x:v>article1-unified-v4-2-fb3f101b-20260903-000401-default-f05-p3-jcs4-3-after-undeploy-early-2s</x:v>
      </x:c>
      <x:c r="N1088" s="38" t="n">
        <x:v>46268.07203225695</x:v>
      </x:c>
      <x:c r="O1088" s="36"/>
      <x:c r="P1088" s="43"/>
      <x:c r="Q1088" s="43"/>
      <x:c r="R1088" s="43"/>
      <x:c r="S1088" s="36"/>
      <x:c r="T1088" s="44"/>
      <x:c r="U1088" s="36" t="n">
        <x:v>27</x:v>
      </x:c>
      <x:c r="V1088" s="36" t="n">
        <x:v>0</x:v>
      </x:c>
      <x:c r="W1088" s="44"/>
      <x:c r="X1088" s="36"/>
      <x:c r="Y1088" s="36"/>
      <x:c r="Z1088" s="44"/>
      <x:c r="AA1088" s="49"/>
      <x:c r="AB1088" s="43" t="n">
        <x:v>5</x:v>
      </x:c>
      <x:c r="AC1088" s="34"/>
      <x:c r="AD1088" s="34"/>
      <x:c r="AE1088" s="34" t="str">
        <x:v>article1-unified-v4-2-fb3f101b-20260903-000401-default-f05-p3-jcs4-3-after-undeploy-early-2s-thread-dump.txt</x:v>
      </x:c>
      <x:c r="AF1088" s="34" t="str">
        <x:v>article1-unified-v4-2-fb3f101b-20260903-000401-default-f05-p3-jcs4-3-after-undeploy-early-tomcat-log.txt</x:v>
      </x:c>
      <x:c r="AG1088" s="34"/>
      <x:c r="AH1088" s="34"/>
      <x:c r="AI1088" s="34"/>
    </x:row>
    <x:row r="1089">
      <x:c r="A1089" s="34" t="str">
        <x:v>article1-unified-v4-2-fb3f101b-20260903-000401-default-f05-p3-jcs4</x:v>
      </x:c>
      <x:c r="B1089" s="34" t="str">
        <x:v>default</x:v>
      </x:c>
      <x:c r="C1089" s="34" t="str">
        <x:v>jcs4</x:v>
      </x:c>
      <x:c r="D1089" s="34" t="str">
        <x:v>jcs4</x:v>
      </x:c>
      <x:c r="E1089" s="36" t="n">
        <x:v>5</x:v>
      </x:c>
      <x:c r="F1089" s="36" t="n">
        <x:v>5</x:v>
      </x:c>
      <x:c r="G1089" s="36" t="n">
        <x:v>3</x:v>
      </x:c>
      <x:c r="H1089" s="36" t="n">
        <x:v>3</x:v>
      </x:c>
      <x:c r="I1089" s="34" t="str">
        <x:v>afterUndeploy</x:v>
      </x:c>
      <x:c r="J1089" s="34" t="str">
        <x:v>after-undeploy-final</x:v>
      </x:c>
      <x:c r="K1089" s="36" t="n">
        <x:v>1</x:v>
      </x:c>
      <x:c r="L1089" s="34" t="str">
        <x:v>final</x:v>
      </x:c>
      <x:c r="M1089" s="34" t="str">
        <x:v>article1-unified-v4-2-fb3f101b-20260903-000401-default-f05-p3-jcs4-3-after-undeploy-final-10s</x:v>
      </x:c>
      <x:c r="N1089" s="38" t="n">
        <x:v>46268.072188252314</x:v>
      </x:c>
      <x:c r="O1089" s="36" t="n">
        <x:v>2</x:v>
      </x:c>
      <x:c r="P1089" s="43" t="n">
        <x:v>15817728</x:v>
      </x:c>
      <x:c r="Q1089" s="43" t="n">
        <x:v>268435456</x:v>
      </x:c>
      <x:c r="R1089" s="43" t="n">
        <x:v>419520512</x:v>
      </x:c>
      <x:c r="S1089" s="36" t="n">
        <x:v>2</x:v>
      </x:c>
      <x:c r="T1089" s="44" t="str">
        <x:v>0x0000000074116bd8  0x0000000074003818  0x00007c2e1c605a70       0         0         0  org.apache.catalina.loader.ParallelWebappClassLoader | 0x0000000074116bd8  0x0000000074003818  0x00007c2d2c00d7a0    4410  20994048  20981936  org.apache.catalina.loader.ParallelWebappClassLoader</x:v>
      </x:c>
      <x:c r="U1089" s="36" t="n">
        <x:v>27</x:v>
      </x:c>
      <x:c r="V1089" s="36" t="n">
        <x:v>0</x:v>
      </x:c>
      <x:c r="W1089" s="44"/>
      <x:c r="X1089" s="36" t="n">
        <x:v>1</x:v>
      </x:c>
      <x:c r="Y1089" s="36" t="n">
        <x:v>1</x:v>
      </x:c>
      <x:c r="Z1089" s="44" t="str">
        <x:v>/jcs4</x:v>
      </x:c>
      <x:c r="AA1089" s="45" t="b">
        <x:v>1</x:v>
      </x:c>
      <x:c r="AB1089" s="43"/>
      <x:c r="AC1089" s="34" t="str">
        <x:v>article1-unified-v4-2-fb3f101b-20260903-000401-default-f05-p3-jcs4-3-after-undeploy-final-10s-heap-info.txt</x:v>
      </x:c>
      <x:c r="AD1089" s="34" t="str">
        <x:v>article1-unified-v4-2-fb3f101b-20260903-000401-default-f05-p3-jcs4-3-after-undeploy-final-10s-classloader-stats.txt</x:v>
      </x:c>
      <x:c r="AE1089" s="34" t="str">
        <x:v>article1-unified-v4-2-fb3f101b-20260903-000401-default-f05-p3-jcs4-3-after-undeploy-final-10s-thread-dump.txt</x:v>
      </x:c>
      <x:c r="AF1089" s="34"/>
      <x:c r="AG1089" s="34" t="str">
        <x:v>article1-unified-v4-2-fb3f101b-20260903-000401-default-f05-p3-jcs4-3-after-undeploy-final-10s-native-memory.txt</x:v>
      </x:c>
      <x:c r="AH1089" s="34" t="str">
        <x:v>article1-unified-v4-2-fb3f101b-20260903-000401-default-f05-p3-jcs4-3-after-undeploy-final-10s-class-histogram.txt</x:v>
      </x:c>
      <x:c r="AI1089" s="34" t="str">
        <x:v>article1-unified-v4-2-fb3f101b-20260903-000401-default-f05-p3-jcs4-3-after-undeploy-tomcat-findleaks.txt</x:v>
      </x:c>
    </x:row>
    <x:row r="1090">
      <x:c r="A1090" s="34" t="str">
        <x:v>article1-unified-v4-2-fb3f101b-20260903-000401-default-f05-p3-jcs4</x:v>
      </x:c>
      <x:c r="B1090" s="34" t="str">
        <x:v>default</x:v>
      </x:c>
      <x:c r="C1090" s="34" t="str">
        <x:v>jcs4</x:v>
      </x:c>
      <x:c r="D1090" s="34" t="str">
        <x:v>jcs4</x:v>
      </x:c>
      <x:c r="E1090" s="36" t="n">
        <x:v>5</x:v>
      </x:c>
      <x:c r="F1090" s="36" t="n">
        <x:v>5</x:v>
      </x:c>
      <x:c r="G1090" s="36" t="n">
        <x:v>3</x:v>
      </x:c>
      <x:c r="H1090" s="36" t="n">
        <x:v>3</x:v>
      </x:c>
      <x:c r="I1090" s="34" t="str">
        <x:v>redeployedLoaded</x:v>
      </x:c>
      <x:c r="J1090" s="34" t="str">
        <x:v>redeployed-loaded</x:v>
      </x:c>
      <x:c r="K1090" s="36" t="n">
        <x:v>0</x:v>
      </x:c>
      <x:c r="L1090" s="34" t="str">
        <x:v>redeploy</x:v>
      </x:c>
      <x:c r="M1090" s="34" t="str">
        <x:v>article1-unified-v4-2-fb3f101b-20260903-000401-default-f05-p3-jcs4-3-redeployed-loaded</x:v>
      </x:c>
      <x:c r="N1090" s="38" t="n">
        <x:v>46268.07245034722</x:v>
      </x:c>
      <x:c r="O1090" s="36" t="n">
        <x:v>0</x:v>
      </x:c>
      <x:c r="P1090" s="43" t="n">
        <x:v>147397632</x:v>
      </x:c>
      <x:c r="Q1090" s="43" t="n">
        <x:v>268435456</x:v>
      </x:c>
      <x:c r="R1090" s="43" t="n">
        <x:v>441807872</x:v>
      </x:c>
      <x:c r="S1090" s="36" t="n">
        <x:v>3</x:v>
      </x:c>
      <x:c r="T1090" s="44" t="str">
        <x:v>0x0000000074116bd8  0x0000000074003818  0x00007c2e1c605a70       0         0         0  org.apache.catalina.loader.ParallelWebappClassLoader | 0x0000000074116bd8  0x0000000074003818  0x00007c2d90186120    4386  20940800  20930176  org.apache.catalina.loader.ParallelWebappClassLoader | 0x0000000074116bd8  0x0000000074003818  0x00007c2d2c00d7a0    4410  20994048  20981936  org.apache.catalina.loader.ParallelWebappClassLoader</x:v>
      </x:c>
      <x:c r="U1090" s="36" t="n">
        <x:v>28</x:v>
      </x:c>
      <x:c r="V1090" s="36" t="n">
        <x:v>1</x:v>
      </x:c>
      <x:c r="W1090" s="44" t="str">
        <x:v>jcs4-thread-pool-event-queue:JCS-ThreadPoolManager-ElementEventQueue-Thread-19#261</x:v>
      </x:c>
      <x:c r="X1090" s="36"/>
      <x:c r="Y1090" s="36"/>
      <x:c r="Z1090" s="44"/>
      <x:c r="AA1090" s="49"/>
      <x:c r="AB1090" s="43"/>
      <x:c r="AC1090" s="34"/>
      <x:c r="AD1090" s="34"/>
      <x:c r="AE1090" s="34"/>
      <x:c r="AF1090" s="34"/>
      <x:c r="AG1090" s="34"/>
      <x:c r="AH1090" s="34"/>
      <x:c r="AI1090" s="34"/>
    </x:row>
    <x:row r="1091">
      <x:c r="A1091" s="34" t="str">
        <x:v>article1-unified-v4-2-fb3f101b-20260903-000401-default-f05-p3-jcs4</x:v>
      </x:c>
      <x:c r="B1091" s="34" t="str">
        <x:v>default</x:v>
      </x:c>
      <x:c r="C1091" s="34" t="str">
        <x:v>jcs4</x:v>
      </x:c>
      <x:c r="D1091" s="34" t="str">
        <x:v>jcs4</x:v>
      </x:c>
      <x:c r="E1091" s="36" t="n">
        <x:v>5</x:v>
      </x:c>
      <x:c r="F1091" s="36" t="n">
        <x:v>5</x:v>
      </x:c>
      <x:c r="G1091" s="36" t="n">
        <x:v>3</x:v>
      </x:c>
      <x:c r="H1091" s="36" t="n">
        <x:v>3</x:v>
      </x:c>
      <x:c r="I1091" s="34" t="str">
        <x:v>afterFinalUndeployEarly</x:v>
      </x:c>
      <x:c r="J1091" s="34" t="str">
        <x:v>after-final-undeploy-early</x:v>
      </x:c>
      <x:c r="K1091" s="36" t="n">
        <x:v>2</x:v>
      </x:c>
      <x:c r="L1091" s="34" t="str">
        <x:v>early</x:v>
      </x:c>
      <x:c r="M1091" s="34" t="str">
        <x:v>article1-unified-v4-2-fb3f101b-20260903-000401-default-f05-p3-jcs4-3-after-final-undeploy-early-2s</x:v>
      </x:c>
      <x:c r="N1091" s="38" t="n">
        <x:v>46268.0725340625</x:v>
      </x:c>
      <x:c r="O1091" s="36"/>
      <x:c r="P1091" s="43"/>
      <x:c r="Q1091" s="43"/>
      <x:c r="R1091" s="43"/>
      <x:c r="S1091" s="36"/>
      <x:c r="T1091" s="44"/>
      <x:c r="U1091" s="36" t="n">
        <x:v>27</x:v>
      </x:c>
      <x:c r="V1091" s="36" t="n">
        <x:v>0</x:v>
      </x:c>
      <x:c r="W1091" s="44"/>
      <x:c r="X1091" s="36"/>
      <x:c r="Y1091" s="36"/>
      <x:c r="Z1091" s="44"/>
      <x:c r="AA1091" s="49"/>
      <x:c r="AB1091" s="43" t="n">
        <x:v>5</x:v>
      </x:c>
      <x:c r="AC1091" s="34"/>
      <x:c r="AD1091" s="34"/>
      <x:c r="AE1091" s="34" t="str">
        <x:v>article1-unified-v4-2-fb3f101b-20260903-000401-default-f05-p3-jcs4-3-after-final-undeploy-early-2s-thread-dump.txt</x:v>
      </x:c>
      <x:c r="AF1091" s="34" t="str">
        <x:v>article1-unified-v4-2-fb3f101b-20260903-000401-default-f05-p3-jcs4-3-after-final-undeploy-early-tomcat-log.txt</x:v>
      </x:c>
      <x:c r="AG1091" s="34"/>
      <x:c r="AH1091" s="34"/>
      <x:c r="AI1091" s="34"/>
    </x:row>
    <x:row r="1092">
      <x:c r="A1092" s="34" t="str">
        <x:v>article1-unified-v4-2-fb3f101b-20260903-000401-default-f05-p3-jcs4</x:v>
      </x:c>
      <x:c r="B1092" s="34" t="str">
        <x:v>default</x:v>
      </x:c>
      <x:c r="C1092" s="34" t="str">
        <x:v>jcs4</x:v>
      </x:c>
      <x:c r="D1092" s="34" t="str">
        <x:v>jcs4</x:v>
      </x:c>
      <x:c r="E1092" s="36" t="n">
        <x:v>5</x:v>
      </x:c>
      <x:c r="F1092" s="36" t="n">
        <x:v>5</x:v>
      </x:c>
      <x:c r="G1092" s="36" t="n">
        <x:v>3</x:v>
      </x:c>
      <x:c r="H1092" s="36" t="n">
        <x:v>3</x:v>
      </x:c>
      <x:c r="I1092" s="34" t="str">
        <x:v>afterFinalUndeploy</x:v>
      </x:c>
      <x:c r="J1092" s="34" t="str">
        <x:v>after-final-undeploy-final</x:v>
      </x:c>
      <x:c r="K1092" s="36" t="n">
        <x:v>2</x:v>
      </x:c>
      <x:c r="L1092" s="34" t="str">
        <x:v>final</x:v>
      </x:c>
      <x:c r="M1092" s="34" t="str">
        <x:v>article1-unified-v4-2-fb3f101b-20260903-000401-default-f05-p3-jcs4-3-after-final-undeploy-final-10s</x:v>
      </x:c>
      <x:c r="N1092" s="38" t="n">
        <x:v>46268.072686770836</x:v>
      </x:c>
      <x:c r="O1092" s="36" t="n">
        <x:v>2</x:v>
      </x:c>
      <x:c r="P1092" s="43" t="n">
        <x:v>15830016</x:v>
      </x:c>
      <x:c r="Q1092" s="43" t="n">
        <x:v>268435456</x:v>
      </x:c>
      <x:c r="R1092" s="43" t="n">
        <x:v>425370624</x:v>
      </x:c>
      <x:c r="S1092" s="36" t="n">
        <x:v>2</x:v>
      </x:c>
      <x:c r="T1092" s="44" t="str">
        <x:v>0x0000000074116bd8  0x0000000074003818  0x00007c2d90186120    4400  20969472  20965568  org.apache.catalina.loader.ParallelWebappClassLoader | 0x0000000074116bd8  0x0000000074003818  0x00007c2e1c605a70       0         0         0  org.apache.catalina.loader.ParallelWebappClassLoader</x:v>
      </x:c>
      <x:c r="U1092" s="36" t="n">
        <x:v>27</x:v>
      </x:c>
      <x:c r="V1092" s="36" t="n">
        <x:v>0</x:v>
      </x:c>
      <x:c r="W1092" s="44"/>
      <x:c r="X1092" s="36" t="n">
        <x:v>1</x:v>
      </x:c>
      <x:c r="Y1092" s="36" t="n">
        <x:v>1</x:v>
      </x:c>
      <x:c r="Z1092" s="44" t="str">
        <x:v>/jcs4</x:v>
      </x:c>
      <x:c r="AA1092" s="45" t="b">
        <x:v>1</x:v>
      </x:c>
      <x:c r="AB1092" s="43"/>
      <x:c r="AC1092" s="34" t="str">
        <x:v>article1-unified-v4-2-fb3f101b-20260903-000401-default-f05-p3-jcs4-3-after-final-undeploy-final-10s-heap-info.txt</x:v>
      </x:c>
      <x:c r="AD1092" s="34" t="str">
        <x:v>article1-unified-v4-2-fb3f101b-20260903-000401-default-f05-p3-jcs4-3-after-final-undeploy-final-10s-classloader-stats.txt</x:v>
      </x:c>
      <x:c r="AE1092" s="34" t="str">
        <x:v>article1-unified-v4-2-fb3f101b-20260903-000401-default-f05-p3-jcs4-3-after-final-undeploy-final-10s-thread-dump.txt</x:v>
      </x:c>
      <x:c r="AF1092" s="34"/>
      <x:c r="AG1092" s="34" t="str">
        <x:v>article1-unified-v4-2-fb3f101b-20260903-000401-default-f05-p3-jcs4-3-after-final-undeploy-final-10s-native-memory.txt</x:v>
      </x:c>
      <x:c r="AH1092" s="34" t="str">
        <x:v>article1-unified-v4-2-fb3f101b-20260903-000401-default-f05-p3-jcs4-3-after-final-undeploy-final-10s-class-histogram.txt</x:v>
      </x:c>
      <x:c r="AI1092" s="34" t="str">
        <x:v>article1-unified-v4-2-fb3f101b-20260903-000401-default-f05-p3-jcs4-3-after-final-undeploy-tomcat-findleaks.txt</x:v>
      </x:c>
    </x:row>
    <x:row r="1093">
      <x:c r="A1093" s="34" t="str">
        <x:v>article1-unified-v4-2-fb3f101b-20260903-000401-default-f05-p3-jcs4</x:v>
      </x:c>
      <x:c r="B1093" s="34" t="str">
        <x:v>default</x:v>
      </x:c>
      <x:c r="C1093" s="34" t="str">
        <x:v>jcs4</x:v>
      </x:c>
      <x:c r="D1093" s="34" t="str">
        <x:v>jcs4</x:v>
      </x:c>
      <x:c r="E1093" s="36" t="n">
        <x:v>5</x:v>
      </x:c>
      <x:c r="F1093" s="36" t="n">
        <x:v>5</x:v>
      </x:c>
      <x:c r="G1093" s="36" t="n">
        <x:v>3</x:v>
      </x:c>
      <x:c r="H1093" s="36" t="n">
        <x:v>4</x:v>
      </x:c>
      <x:c r="I1093" s="34" t="str">
        <x:v>baseline</x:v>
      </x:c>
      <x:c r="J1093" s="34" t="str">
        <x:v>cycle-baseline</x:v>
      </x:c>
      <x:c r="K1093" s="36" t="n">
        <x:v>0</x:v>
      </x:c>
      <x:c r="L1093" s="34" t="str">
        <x:v>baseline</x:v>
      </x:c>
      <x:c r="M1093" s="34" t="str">
        <x:v>article1-unified-v4-2-fb3f101b-20260903-000401-default-f05-p3-jcs4-4-baseline</x:v>
      </x:c>
      <x:c r="N1093" s="38" t="n">
        <x:v>46268.07273206019</x:v>
      </x:c>
      <x:c r="O1093" s="36" t="n">
        <x:v>0</x:v>
      </x:c>
      <x:c r="P1093" s="43" t="n">
        <x:v>15832064</x:v>
      </x:c>
      <x:c r="Q1093" s="43" t="n">
        <x:v>268435456</x:v>
      </x:c>
      <x:c r="R1093" s="43" t="n">
        <x:v>425261056</x:v>
      </x:c>
      <x:c r="S1093" s="36" t="n">
        <x:v>2</x:v>
      </x:c>
      <x:c r="T1093" s="44" t="str">
        <x:v>0x0000000074116bd8  0x0000000074003818  0x00007c2d90186120    4400  20969472  20965568  org.apache.catalina.loader.ParallelWebappClassLoader | 0x0000000074116bd8  0x0000000074003818  0x00007c2e1c605a70       0         0         0  org.apache.catalina.loader.ParallelWebappClassLoader</x:v>
      </x:c>
      <x:c r="U1093" s="36" t="n">
        <x:v>27</x:v>
      </x:c>
      <x:c r="V1093" s="36" t="n">
        <x:v>0</x:v>
      </x:c>
      <x:c r="W1093" s="44"/>
      <x:c r="X1093" s="36"/>
      <x:c r="Y1093" s="36"/>
      <x:c r="Z1093" s="44"/>
      <x:c r="AA1093" s="49"/>
      <x:c r="AB1093" s="43"/>
      <x:c r="AC1093" s="34" t="str">
        <x:v>article1-unified-v4-2-fb3f101b-20260903-000401-default-f05-p3-jcs4-4-baseline-heap-info.txt</x:v>
      </x:c>
      <x:c r="AD1093" s="34" t="str">
        <x:v>article1-unified-v4-2-fb3f101b-20260903-000401-default-f05-p3-jcs4-4-baseline-classloader-stats.txt</x:v>
      </x:c>
      <x:c r="AE1093" s="34" t="str">
        <x:v>article1-unified-v4-2-fb3f101b-20260903-000401-default-f05-p3-jcs4-4-baseline-thread-dump.txt</x:v>
      </x:c>
      <x:c r="AF1093" s="34"/>
      <x:c r="AG1093" s="34" t="str">
        <x:v>article1-unified-v4-2-fb3f101b-20260903-000401-default-f05-p3-jcs4-4-baseline-native-memory.txt</x:v>
      </x:c>
      <x:c r="AH1093" s="34"/>
      <x:c r="AI1093" s="34"/>
    </x:row>
    <x:row r="1094">
      <x:c r="A1094" s="34" t="str">
        <x:v>article1-unified-v4-2-fb3f101b-20260903-000401-default-f05-p3-jcs4</x:v>
      </x:c>
      <x:c r="B1094" s="34" t="str">
        <x:v>default</x:v>
      </x:c>
      <x:c r="C1094" s="34" t="str">
        <x:v>jcs4</x:v>
      </x:c>
      <x:c r="D1094" s="34" t="str">
        <x:v>jcs4</x:v>
      </x:c>
      <x:c r="E1094" s="36" t="n">
        <x:v>5</x:v>
      </x:c>
      <x:c r="F1094" s="36" t="n">
        <x:v>5</x:v>
      </x:c>
      <x:c r="G1094" s="36" t="n">
        <x:v>3</x:v>
      </x:c>
      <x:c r="H1094" s="36" t="n">
        <x:v>4</x:v>
      </x:c>
      <x:c r="I1094" s="34" t="str">
        <x:v>deployedIdle</x:v>
      </x:c>
      <x:c r="J1094" s="34" t="str">
        <x:v>deployed-idle</x:v>
      </x:c>
      <x:c r="K1094" s="36" t="n">
        <x:v>0</x:v>
      </x:c>
      <x:c r="L1094" s="34" t="str">
        <x:v>initial</x:v>
      </x:c>
      <x:c r="M1094" s="34" t="str">
        <x:v>article1-unified-v4-2-fb3f101b-20260903-000401-default-f05-p3-jcs4-4-deployed-idle</x:v>
      </x:c>
      <x:c r="N1094" s="38" t="n">
        <x:v>46268.072830972225</x:v>
      </x:c>
      <x:c r="O1094" s="36" t="n">
        <x:v>0</x:v>
      </x:c>
      <x:c r="P1094" s="43" t="n">
        <x:v>168258560</x:v>
      </x:c>
      <x:c r="Q1094" s="43" t="n">
        <x:v>268435456</x:v>
      </x:c>
      <x:c r="R1094" s="43" t="n">
        <x:v>458394624</x:v>
      </x:c>
      <x:c r="S1094" s="36" t="n">
        <x:v>3</x:v>
      </x:c>
      <x:c r="T1094" s="44" t="str">
        <x:v>0x0000000074116bd8  0x0000000074003818  0x00007c2d90186120    4400  20969472  20965568  org.apache.catalina.loader.ParallelWebappClassLoader | 0x0000000074116bd8  0x0000000074003818  0x00007c2e1c605a70       0         0         0  org.apache.catalina.loader.ParallelWebappClassLoader | 0x0000000074116bd8  0x0000000074003818  0x00007c2d84014a80    4091  19449856  19429336  org.apache.catalina.loader.ParallelWebappClassLoader</x:v>
      </x:c>
      <x:c r="U1094" s="36" t="n">
        <x:v>27</x:v>
      </x:c>
      <x:c r="V1094" s="36" t="n">
        <x:v>0</x:v>
      </x:c>
      <x:c r="W1094" s="44"/>
      <x:c r="X1094" s="36"/>
      <x:c r="Y1094" s="36"/>
      <x:c r="Z1094" s="44"/>
      <x:c r="AA1094" s="49"/>
      <x:c r="AB1094" s="43"/>
      <x:c r="AC1094" s="34"/>
      <x:c r="AD1094" s="34"/>
      <x:c r="AE1094" s="34"/>
      <x:c r="AF1094" s="34"/>
      <x:c r="AG1094" s="34"/>
      <x:c r="AH1094" s="34"/>
      <x:c r="AI1094" s="34"/>
    </x:row>
    <x:row r="1095">
      <x:c r="A1095" s="34" t="str">
        <x:v>article1-unified-v4-2-fb3f101b-20260903-000401-default-f05-p3-jcs4</x:v>
      </x:c>
      <x:c r="B1095" s="34" t="str">
        <x:v>default</x:v>
      </x:c>
      <x:c r="C1095" s="34" t="str">
        <x:v>jcs4</x:v>
      </x:c>
      <x:c r="D1095" s="34" t="str">
        <x:v>jcs4</x:v>
      </x:c>
      <x:c r="E1095" s="36" t="n">
        <x:v>5</x:v>
      </x:c>
      <x:c r="F1095" s="36" t="n">
        <x:v>5</x:v>
      </x:c>
      <x:c r="G1095" s="36" t="n">
        <x:v>3</x:v>
      </x:c>
      <x:c r="H1095" s="36" t="n">
        <x:v>4</x:v>
      </x:c>
      <x:c r="I1095" s="34" t="str">
        <x:v>loaded</x:v>
      </x:c>
      <x:c r="J1095" s="34" t="str">
        <x:v>loaded</x:v>
      </x:c>
      <x:c r="K1095" s="36" t="n">
        <x:v>0</x:v>
      </x:c>
      <x:c r="L1095" s="34" t="str">
        <x:v>initial</x:v>
      </x:c>
      <x:c r="M1095" s="34" t="str">
        <x:v>article1-unified-v4-2-fb3f101b-20260903-000401-default-f05-p3-jcs4-4-loaded</x:v>
      </x:c>
      <x:c r="N1095" s="38" t="n">
        <x:v>46268.072983391205</x:v>
      </x:c>
      <x:c r="O1095" s="36" t="n">
        <x:v>0</x:v>
      </x:c>
      <x:c r="P1095" s="43" t="n">
        <x:v>101144576</x:v>
      </x:c>
      <x:c r="Q1095" s="43" t="n">
        <x:v>268435456</x:v>
      </x:c>
      <x:c r="R1095" s="43" t="n">
        <x:v>443257856</x:v>
      </x:c>
      <x:c r="S1095" s="36" t="n">
        <x:v>3</x:v>
      </x:c>
      <x:c r="T1095" s="44" t="str">
        <x:v>0x0000000074116bd8  0x0000000074003818  0x00007c2d90186120    4400  20969472  20965568  org.apache.catalina.loader.ParallelWebappClassLoader | 0x0000000074116bd8  0x0000000074003818  0x00007c2e1c605a70       0         0         0  org.apache.catalina.loader.ParallelWebappClassLoader | 0x0000000074116bd8  0x0000000074003818  0x00007c2d84014a80    4394  20961280  20941728  org.apache.catalina.loader.ParallelWebappClassLoader</x:v>
      </x:c>
      <x:c r="U1095" s="36" t="n">
        <x:v>28</x:v>
      </x:c>
      <x:c r="V1095" s="36" t="n">
        <x:v>1</x:v>
      </x:c>
      <x:c r="W1095" s="44" t="str">
        <x:v>jcs4-thread-pool-event-queue:JCS-ThreadPoolManager-ElementEventQueue-Thread-22#303</x:v>
      </x:c>
      <x:c r="X1095" s="36"/>
      <x:c r="Y1095" s="36"/>
      <x:c r="Z1095" s="44"/>
      <x:c r="AA1095" s="49"/>
      <x:c r="AB1095" s="43"/>
      <x:c r="AC1095" s="34"/>
      <x:c r="AD1095" s="34"/>
      <x:c r="AE1095" s="34"/>
      <x:c r="AF1095" s="34"/>
      <x:c r="AG1095" s="34"/>
      <x:c r="AH1095" s="34"/>
      <x:c r="AI1095" s="34"/>
    </x:row>
    <x:row r="1096">
      <x:c r="A1096" s="34" t="str">
        <x:v>article1-unified-v4-2-fb3f101b-20260903-000401-default-f05-p3-jcs4</x:v>
      </x:c>
      <x:c r="B1096" s="34" t="str">
        <x:v>default</x:v>
      </x:c>
      <x:c r="C1096" s="34" t="str">
        <x:v>jcs4</x:v>
      </x:c>
      <x:c r="D1096" s="34" t="str">
        <x:v>jcs4</x:v>
      </x:c>
      <x:c r="E1096" s="36" t="n">
        <x:v>5</x:v>
      </x:c>
      <x:c r="F1096" s="36" t="n">
        <x:v>5</x:v>
      </x:c>
      <x:c r="G1096" s="36" t="n">
        <x:v>3</x:v>
      </x:c>
      <x:c r="H1096" s="36" t="n">
        <x:v>4</x:v>
      </x:c>
      <x:c r="I1096" s="34" t="str">
        <x:v>afterUndeployEarly</x:v>
      </x:c>
      <x:c r="J1096" s="34" t="str">
        <x:v>after-undeploy-early</x:v>
      </x:c>
      <x:c r="K1096" s="36" t="n">
        <x:v>1</x:v>
      </x:c>
      <x:c r="L1096" s="34" t="str">
        <x:v>early</x:v>
      </x:c>
      <x:c r="M1096" s="34" t="str">
        <x:v>article1-unified-v4-2-fb3f101b-20260903-000401-default-f05-p3-jcs4-4-after-undeploy-early-2s</x:v>
      </x:c>
      <x:c r="N1096" s="38" t="n">
        <x:v>46268.07306603009</x:v>
      </x:c>
      <x:c r="O1096" s="36"/>
      <x:c r="P1096" s="43"/>
      <x:c r="Q1096" s="43"/>
      <x:c r="R1096" s="43"/>
      <x:c r="S1096" s="36"/>
      <x:c r="T1096" s="44"/>
      <x:c r="U1096" s="36" t="n">
        <x:v>27</x:v>
      </x:c>
      <x:c r="V1096" s="36" t="n">
        <x:v>0</x:v>
      </x:c>
      <x:c r="W1096" s="44"/>
      <x:c r="X1096" s="36"/>
      <x:c r="Y1096" s="36"/>
      <x:c r="Z1096" s="44"/>
      <x:c r="AA1096" s="49"/>
      <x:c r="AB1096" s="43" t="n">
        <x:v>5</x:v>
      </x:c>
      <x:c r="AC1096" s="34"/>
      <x:c r="AD1096" s="34"/>
      <x:c r="AE1096" s="34" t="str">
        <x:v>article1-unified-v4-2-fb3f101b-20260903-000401-default-f05-p3-jcs4-4-after-undeploy-early-2s-thread-dump.txt</x:v>
      </x:c>
      <x:c r="AF1096" s="34" t="str">
        <x:v>article1-unified-v4-2-fb3f101b-20260903-000401-default-f05-p3-jcs4-4-after-undeploy-early-tomcat-log.txt</x:v>
      </x:c>
      <x:c r="AG1096" s="34"/>
      <x:c r="AH1096" s="34"/>
      <x:c r="AI1096" s="34"/>
    </x:row>
    <x:row r="1097">
      <x:c r="A1097" s="34" t="str">
        <x:v>article1-unified-v4-2-fb3f101b-20260903-000401-default-f05-p3-jcs4</x:v>
      </x:c>
      <x:c r="B1097" s="34" t="str">
        <x:v>default</x:v>
      </x:c>
      <x:c r="C1097" s="34" t="str">
        <x:v>jcs4</x:v>
      </x:c>
      <x:c r="D1097" s="34" t="str">
        <x:v>jcs4</x:v>
      </x:c>
      <x:c r="E1097" s="36" t="n">
        <x:v>5</x:v>
      </x:c>
      <x:c r="F1097" s="36" t="n">
        <x:v>5</x:v>
      </x:c>
      <x:c r="G1097" s="36" t="n">
        <x:v>3</x:v>
      </x:c>
      <x:c r="H1097" s="36" t="n">
        <x:v>4</x:v>
      </x:c>
      <x:c r="I1097" s="34" t="str">
        <x:v>afterUndeploy</x:v>
      </x:c>
      <x:c r="J1097" s="34" t="str">
        <x:v>after-undeploy-final</x:v>
      </x:c>
      <x:c r="K1097" s="36" t="n">
        <x:v>1</x:v>
      </x:c>
      <x:c r="L1097" s="34" t="str">
        <x:v>final</x:v>
      </x:c>
      <x:c r="M1097" s="34" t="str">
        <x:v>article1-unified-v4-2-fb3f101b-20260903-000401-default-f05-p3-jcs4-4-after-undeploy-final-10s</x:v>
      </x:c>
      <x:c r="N1097" s="38" t="n">
        <x:v>46268.07322553241</x:v>
      </x:c>
      <x:c r="O1097" s="36" t="n">
        <x:v>2</x:v>
      </x:c>
      <x:c r="P1097" s="43" t="n">
        <x:v>15855616</x:v>
      </x:c>
      <x:c r="Q1097" s="43" t="n">
        <x:v>268435456</x:v>
      </x:c>
      <x:c r="R1097" s="43" t="n">
        <x:v>422707200</x:v>
      </x:c>
      <x:c r="S1097" s="36" t="n">
        <x:v>2</x:v>
      </x:c>
      <x:c r="T1097" s="44" t="str">
        <x:v>0x0000000074116bd8  0x0000000074003818  0x00007c2e1c605a70       0         0         0  org.apache.catalina.loader.ParallelWebappClassLoader | 0x0000000074116bd8  0x0000000074003818  0x00007c2d84014a80    4408  20994048  20977120  org.apache.catalina.loader.ParallelWebappClassLoader</x:v>
      </x:c>
      <x:c r="U1097" s="36" t="n">
        <x:v>27</x:v>
      </x:c>
      <x:c r="V1097" s="36" t="n">
        <x:v>0</x:v>
      </x:c>
      <x:c r="W1097" s="44"/>
      <x:c r="X1097" s="36" t="n">
        <x:v>1</x:v>
      </x:c>
      <x:c r="Y1097" s="36" t="n">
        <x:v>1</x:v>
      </x:c>
      <x:c r="Z1097" s="44" t="str">
        <x:v>/jcs4</x:v>
      </x:c>
      <x:c r="AA1097" s="45" t="b">
        <x:v>1</x:v>
      </x:c>
      <x:c r="AB1097" s="43"/>
      <x:c r="AC1097" s="34" t="str">
        <x:v>article1-unified-v4-2-fb3f101b-20260903-000401-default-f05-p3-jcs4-4-after-undeploy-final-10s-heap-info.txt</x:v>
      </x:c>
      <x:c r="AD1097" s="34" t="str">
        <x:v>article1-unified-v4-2-fb3f101b-20260903-000401-default-f05-p3-jcs4-4-after-undeploy-final-10s-classloader-stats.txt</x:v>
      </x:c>
      <x:c r="AE1097" s="34" t="str">
        <x:v>article1-unified-v4-2-fb3f101b-20260903-000401-default-f05-p3-jcs4-4-after-undeploy-final-10s-thread-dump.txt</x:v>
      </x:c>
      <x:c r="AF1097" s="34"/>
      <x:c r="AG1097" s="34" t="str">
        <x:v>article1-unified-v4-2-fb3f101b-20260903-000401-default-f05-p3-jcs4-4-after-undeploy-final-10s-native-memory.txt</x:v>
      </x:c>
      <x:c r="AH1097" s="34" t="str">
        <x:v>article1-unified-v4-2-fb3f101b-20260903-000401-default-f05-p3-jcs4-4-after-undeploy-final-10s-class-histogram.txt</x:v>
      </x:c>
      <x:c r="AI1097" s="34" t="str">
        <x:v>article1-unified-v4-2-fb3f101b-20260903-000401-default-f05-p3-jcs4-4-after-undeploy-tomcat-findleaks.txt</x:v>
      </x:c>
    </x:row>
    <x:row r="1098">
      <x:c r="A1098" s="34" t="str">
        <x:v>article1-unified-v4-2-fb3f101b-20260903-000401-default-f05-p3-jcs4</x:v>
      </x:c>
      <x:c r="B1098" s="34" t="str">
        <x:v>default</x:v>
      </x:c>
      <x:c r="C1098" s="34" t="str">
        <x:v>jcs4</x:v>
      </x:c>
      <x:c r="D1098" s="34" t="str">
        <x:v>jcs4</x:v>
      </x:c>
      <x:c r="E1098" s="36" t="n">
        <x:v>5</x:v>
      </x:c>
      <x:c r="F1098" s="36" t="n">
        <x:v>5</x:v>
      </x:c>
      <x:c r="G1098" s="36" t="n">
        <x:v>3</x:v>
      </x:c>
      <x:c r="H1098" s="36" t="n">
        <x:v>4</x:v>
      </x:c>
      <x:c r="I1098" s="34" t="str">
        <x:v>redeployedLoaded</x:v>
      </x:c>
      <x:c r="J1098" s="34" t="str">
        <x:v>redeployed-loaded</x:v>
      </x:c>
      <x:c r="K1098" s="36" t="n">
        <x:v>0</x:v>
      </x:c>
      <x:c r="L1098" s="34" t="str">
        <x:v>redeploy</x:v>
      </x:c>
      <x:c r="M1098" s="34" t="str">
        <x:v>article1-unified-v4-2-fb3f101b-20260903-000401-default-f05-p3-jcs4-4-redeployed-loaded</x:v>
      </x:c>
      <x:c r="N1098" s="38" t="n">
        <x:v>46268.07348144676</x:v>
      </x:c>
      <x:c r="O1098" s="36" t="n">
        <x:v>0</x:v>
      </x:c>
      <x:c r="P1098" s="43" t="n">
        <x:v>172434432</x:v>
      </x:c>
      <x:c r="Q1098" s="43" t="n">
        <x:v>268435456</x:v>
      </x:c>
      <x:c r="R1098" s="43" t="n">
        <x:v>443853824</x:v>
      </x:c>
      <x:c r="S1098" s="36" t="n">
        <x:v>3</x:v>
      </x:c>
      <x:c r="T1098" s="44" t="str">
        <x:v>0x0000000074116bd8  0x0000000074003818  0x00007c2d78296590    4386  20946944  20926248  org.apache.catalina.loader.ParallelWebappClassLoader | 0x0000000074116bd8  0x0000000074003818  0x00007c2e1c605a70       0         0         0  org.apache.catalina.loader.ParallelWebappClassLoader | 0x0000000074116bd8  0x0000000074003818  0x00007c2d84014a80    4408  20994048  20977120  org.apache.catalina.loader.ParallelWebappClassLoader</x:v>
      </x:c>
      <x:c r="U1098" s="36" t="n">
        <x:v>28</x:v>
      </x:c>
      <x:c r="V1098" s="36" t="n">
        <x:v>1</x:v>
      </x:c>
      <x:c r="W1098" s="44" t="str">
        <x:v>jcs4-thread-pool-event-queue:JCS-ThreadPoolManager-ElementEventQueue-Thread-25#346</x:v>
      </x:c>
      <x:c r="X1098" s="36"/>
      <x:c r="Y1098" s="36"/>
      <x:c r="Z1098" s="44"/>
      <x:c r="AA1098" s="49"/>
      <x:c r="AB1098" s="43"/>
      <x:c r="AC1098" s="34"/>
      <x:c r="AD1098" s="34"/>
      <x:c r="AE1098" s="34"/>
      <x:c r="AF1098" s="34"/>
      <x:c r="AG1098" s="34"/>
      <x:c r="AH1098" s="34"/>
      <x:c r="AI1098" s="34"/>
    </x:row>
    <x:row r="1099">
      <x:c r="A1099" s="34" t="str">
        <x:v>article1-unified-v4-2-fb3f101b-20260903-000401-default-f05-p3-jcs4</x:v>
      </x:c>
      <x:c r="B1099" s="34" t="str">
        <x:v>default</x:v>
      </x:c>
      <x:c r="C1099" s="34" t="str">
        <x:v>jcs4</x:v>
      </x:c>
      <x:c r="D1099" s="34" t="str">
        <x:v>jcs4</x:v>
      </x:c>
      <x:c r="E1099" s="36" t="n">
        <x:v>5</x:v>
      </x:c>
      <x:c r="F1099" s="36" t="n">
        <x:v>5</x:v>
      </x:c>
      <x:c r="G1099" s="36" t="n">
        <x:v>3</x:v>
      </x:c>
      <x:c r="H1099" s="36" t="n">
        <x:v>4</x:v>
      </x:c>
      <x:c r="I1099" s="34" t="str">
        <x:v>afterFinalUndeployEarly</x:v>
      </x:c>
      <x:c r="J1099" s="34" t="str">
        <x:v>after-final-undeploy-early</x:v>
      </x:c>
      <x:c r="K1099" s="36" t="n">
        <x:v>2</x:v>
      </x:c>
      <x:c r="L1099" s="34" t="str">
        <x:v>early</x:v>
      </x:c>
      <x:c r="M1099" s="34" t="str">
        <x:v>article1-unified-v4-2-fb3f101b-20260903-000401-default-f05-p3-jcs4-4-after-final-undeploy-early-2s</x:v>
      </x:c>
      <x:c r="N1099" s="38" t="n">
        <x:v>46268.07356681713</x:v>
      </x:c>
      <x:c r="O1099" s="36"/>
      <x:c r="P1099" s="43"/>
      <x:c r="Q1099" s="43"/>
      <x:c r="R1099" s="43"/>
      <x:c r="S1099" s="36"/>
      <x:c r="T1099" s="44"/>
      <x:c r="U1099" s="36" t="n">
        <x:v>27</x:v>
      </x:c>
      <x:c r="V1099" s="36" t="n">
        <x:v>0</x:v>
      </x:c>
      <x:c r="W1099" s="44"/>
      <x:c r="X1099" s="36"/>
      <x:c r="Y1099" s="36"/>
      <x:c r="Z1099" s="44"/>
      <x:c r="AA1099" s="49"/>
      <x:c r="AB1099" s="43" t="n">
        <x:v>5</x:v>
      </x:c>
      <x:c r="AC1099" s="34"/>
      <x:c r="AD1099" s="34"/>
      <x:c r="AE1099" s="34" t="str">
        <x:v>article1-unified-v4-2-fb3f101b-20260903-000401-default-f05-p3-jcs4-4-after-final-undeploy-early-2s-thread-dump.txt</x:v>
      </x:c>
      <x:c r="AF1099" s="34" t="str">
        <x:v>article1-unified-v4-2-fb3f101b-20260903-000401-default-f05-p3-jcs4-4-after-final-undeploy-early-tomcat-log.txt</x:v>
      </x:c>
      <x:c r="AG1099" s="34"/>
      <x:c r="AH1099" s="34"/>
      <x:c r="AI1099" s="34"/>
    </x:row>
    <x:row r="1100">
      <x:c r="A1100" s="34" t="str">
        <x:v>article1-unified-v4-2-fb3f101b-20260903-000401-default-f05-p3-jcs4</x:v>
      </x:c>
      <x:c r="B1100" s="34" t="str">
        <x:v>default</x:v>
      </x:c>
      <x:c r="C1100" s="34" t="str">
        <x:v>jcs4</x:v>
      </x:c>
      <x:c r="D1100" s="34" t="str">
        <x:v>jcs4</x:v>
      </x:c>
      <x:c r="E1100" s="36" t="n">
        <x:v>5</x:v>
      </x:c>
      <x:c r="F1100" s="36" t="n">
        <x:v>5</x:v>
      </x:c>
      <x:c r="G1100" s="36" t="n">
        <x:v>3</x:v>
      </x:c>
      <x:c r="H1100" s="36" t="n">
        <x:v>4</x:v>
      </x:c>
      <x:c r="I1100" s="34" t="str">
        <x:v>afterFinalUndeploy</x:v>
      </x:c>
      <x:c r="J1100" s="34" t="str">
        <x:v>after-final-undeploy-final</x:v>
      </x:c>
      <x:c r="K1100" s="36" t="n">
        <x:v>2</x:v>
      </x:c>
      <x:c r="L1100" s="34" t="str">
        <x:v>final</x:v>
      </x:c>
      <x:c r="M1100" s="34" t="str">
        <x:v>article1-unified-v4-2-fb3f101b-20260903-000401-default-f05-p3-jcs4-4-after-final-undeploy-final-10s</x:v>
      </x:c>
      <x:c r="N1100" s="38" t="n">
        <x:v>46268.073717175925</x:v>
      </x:c>
      <x:c r="O1100" s="36" t="n">
        <x:v>2</x:v>
      </x:c>
      <x:c r="P1100" s="43" t="n">
        <x:v>15865856</x:v>
      </x:c>
      <x:c r="Q1100" s="43" t="n">
        <x:v>268435456</x:v>
      </x:c>
      <x:c r="R1100" s="43" t="n">
        <x:v>427286528</x:v>
      </x:c>
      <x:c r="S1100" s="36" t="n">
        <x:v>2</x:v>
      </x:c>
      <x:c r="T1100" s="44" t="str">
        <x:v>0x0000000074116bd8  0x0000000074003818  0x00007c2e1c605a70       0         0         0  org.apache.catalina.loader.ParallelWebappClassLoader | 0x0000000074116bd8  0x0000000074003818  0x00007c2d78296590    4400  20979712  20961616  org.apache.catalina.loader.ParallelWebappClassLoader</x:v>
      </x:c>
      <x:c r="U1100" s="36" t="n">
        <x:v>27</x:v>
      </x:c>
      <x:c r="V1100" s="36" t="n">
        <x:v>0</x:v>
      </x:c>
      <x:c r="W1100" s="44"/>
      <x:c r="X1100" s="36" t="n">
        <x:v>1</x:v>
      </x:c>
      <x:c r="Y1100" s="36" t="n">
        <x:v>1</x:v>
      </x:c>
      <x:c r="Z1100" s="44" t="str">
        <x:v>/jcs4</x:v>
      </x:c>
      <x:c r="AA1100" s="45" t="b">
        <x:v>1</x:v>
      </x:c>
      <x:c r="AB1100" s="43"/>
      <x:c r="AC1100" s="34" t="str">
        <x:v>article1-unified-v4-2-fb3f101b-20260903-000401-default-f05-p3-jcs4-4-after-final-undeploy-final-10s-heap-info.txt</x:v>
      </x:c>
      <x:c r="AD1100" s="34" t="str">
        <x:v>article1-unified-v4-2-fb3f101b-20260903-000401-default-f05-p3-jcs4-4-after-final-undeploy-final-10s-classloader-stats.txt</x:v>
      </x:c>
      <x:c r="AE1100" s="34" t="str">
        <x:v>article1-unified-v4-2-fb3f101b-20260903-000401-default-f05-p3-jcs4-4-after-final-undeploy-final-10s-thread-dump.txt</x:v>
      </x:c>
      <x:c r="AF1100" s="34"/>
      <x:c r="AG1100" s="34" t="str">
        <x:v>article1-unified-v4-2-fb3f101b-20260903-000401-default-f05-p3-jcs4-4-after-final-undeploy-final-10s-native-memory.txt</x:v>
      </x:c>
      <x:c r="AH1100" s="34" t="str">
        <x:v>article1-unified-v4-2-fb3f101b-20260903-000401-default-f05-p3-jcs4-4-after-final-undeploy-final-10s-class-histogram.txt</x:v>
      </x:c>
      <x:c r="AI1100" s="34" t="str">
        <x:v>article1-unified-v4-2-fb3f101b-20260903-000401-default-f05-p3-jcs4-4-after-final-undeploy-tomcat-findleaks.txt</x:v>
      </x:c>
    </x:row>
    <x:row r="1101">
      <x:c r="A1101" s="34" t="str">
        <x:v>article1-unified-v4-2-fb3f101b-20260903-000401-default-f05-p3-jcs4</x:v>
      </x:c>
      <x:c r="B1101" s="34" t="str">
        <x:v>default</x:v>
      </x:c>
      <x:c r="C1101" s="34" t="str">
        <x:v>jcs4</x:v>
      </x:c>
      <x:c r="D1101" s="34" t="str">
        <x:v>jcs4</x:v>
      </x:c>
      <x:c r="E1101" s="36" t="n">
        <x:v>5</x:v>
      </x:c>
      <x:c r="F1101" s="36" t="n">
        <x:v>5</x:v>
      </x:c>
      <x:c r="G1101" s="36" t="n">
        <x:v>3</x:v>
      </x:c>
      <x:c r="H1101" s="36" t="n">
        <x:v>5</x:v>
      </x:c>
      <x:c r="I1101" s="34" t="str">
        <x:v>baseline</x:v>
      </x:c>
      <x:c r="J1101" s="34" t="str">
        <x:v>cycle-baseline</x:v>
      </x:c>
      <x:c r="K1101" s="36" t="n">
        <x:v>0</x:v>
      </x:c>
      <x:c r="L1101" s="34" t="str">
        <x:v>baseline</x:v>
      </x:c>
      <x:c r="M1101" s="34" t="str">
        <x:v>article1-unified-v4-2-fb3f101b-20260903-000401-default-f05-p3-jcs4-5-baseline</x:v>
      </x:c>
      <x:c r="N1101" s="38" t="n">
        <x:v>46268.07375790509</x:v>
      </x:c>
      <x:c r="O1101" s="36" t="n">
        <x:v>0</x:v>
      </x:c>
      <x:c r="P1101" s="43" t="n">
        <x:v>15865856</x:v>
      </x:c>
      <x:c r="Q1101" s="43" t="n">
        <x:v>268435456</x:v>
      </x:c>
      <x:c r="R1101" s="43" t="n">
        <x:v>427286528</x:v>
      </x:c>
      <x:c r="S1101" s="36" t="n">
        <x:v>2</x:v>
      </x:c>
      <x:c r="T1101" s="44" t="str">
        <x:v>0x0000000074116bd8  0x0000000074003818  0x00007c2e1c605a70       0         0         0  org.apache.catalina.loader.ParallelWebappClassLoader | 0x0000000074116bd8  0x0000000074003818  0x00007c2d78296590    4400  20979712  20961616  org.apache.catalina.loader.ParallelWebappClassLoader</x:v>
      </x:c>
      <x:c r="U1101" s="36" t="n">
        <x:v>27</x:v>
      </x:c>
      <x:c r="V1101" s="36" t="n">
        <x:v>0</x:v>
      </x:c>
      <x:c r="W1101" s="44"/>
      <x:c r="X1101" s="36"/>
      <x:c r="Y1101" s="36"/>
      <x:c r="Z1101" s="44"/>
      <x:c r="AA1101" s="49"/>
      <x:c r="AB1101" s="43"/>
      <x:c r="AC1101" s="34" t="str">
        <x:v>article1-unified-v4-2-fb3f101b-20260903-000401-default-f05-p3-jcs4-5-baseline-heap-info.txt</x:v>
      </x:c>
      <x:c r="AD1101" s="34" t="str">
        <x:v>article1-unified-v4-2-fb3f101b-20260903-000401-default-f05-p3-jcs4-5-baseline-classloader-stats.txt</x:v>
      </x:c>
      <x:c r="AE1101" s="34" t="str">
        <x:v>article1-unified-v4-2-fb3f101b-20260903-000401-default-f05-p3-jcs4-5-baseline-thread-dump.txt</x:v>
      </x:c>
      <x:c r="AF1101" s="34"/>
      <x:c r="AG1101" s="34" t="str">
        <x:v>article1-unified-v4-2-fb3f101b-20260903-000401-default-f05-p3-jcs4-5-baseline-native-memory.txt</x:v>
      </x:c>
      <x:c r="AH1101" s="34"/>
      <x:c r="AI1101" s="34"/>
    </x:row>
    <x:row r="1102">
      <x:c r="A1102" s="34" t="str">
        <x:v>article1-unified-v4-2-fb3f101b-20260903-000401-default-f05-p3-jcs4</x:v>
      </x:c>
      <x:c r="B1102" s="34" t="str">
        <x:v>default</x:v>
      </x:c>
      <x:c r="C1102" s="34" t="str">
        <x:v>jcs4</x:v>
      </x:c>
      <x:c r="D1102" s="34" t="str">
        <x:v>jcs4</x:v>
      </x:c>
      <x:c r="E1102" s="36" t="n">
        <x:v>5</x:v>
      </x:c>
      <x:c r="F1102" s="36" t="n">
        <x:v>5</x:v>
      </x:c>
      <x:c r="G1102" s="36" t="n">
        <x:v>3</x:v>
      </x:c>
      <x:c r="H1102" s="36" t="n">
        <x:v>5</x:v>
      </x:c>
      <x:c r="I1102" s="34" t="str">
        <x:v>deployedIdle</x:v>
      </x:c>
      <x:c r="J1102" s="34" t="str">
        <x:v>deployed-idle</x:v>
      </x:c>
      <x:c r="K1102" s="36" t="n">
        <x:v>0</x:v>
      </x:c>
      <x:c r="L1102" s="34" t="str">
        <x:v>initial</x:v>
      </x:c>
      <x:c r="M1102" s="34" t="str">
        <x:v>article1-unified-v4-2-fb3f101b-20260903-000401-default-f05-p3-jcs4-5-deployed-idle</x:v>
      </x:c>
      <x:c r="N1102" s="38" t="n">
        <x:v>46268.07385439815</x:v>
      </x:c>
      <x:c r="O1102" s="36" t="n">
        <x:v>0</x:v>
      </x:c>
      <x:c r="P1102" s="43" t="n">
        <x:v>166582272</x:v>
      </x:c>
      <x:c r="Q1102" s="43" t="n">
        <x:v>268435456</x:v>
      </x:c>
      <x:c r="R1102" s="43" t="n">
        <x:v>462411776</x:v>
      </x:c>
      <x:c r="S1102" s="36" t="n">
        <x:v>3</x:v>
      </x:c>
      <x:c r="T1102" s="44" t="str">
        <x:v>0x0000000074116bd8  0x0000000074003818  0x00007c2e1c605a70       0         0         0  org.apache.catalina.loader.ParallelWebappClassLoader | 0x0000000074116bd8  0x0000000074003818  0x00007c2d78296590    4400  20979712  20961616  org.apache.catalina.loader.ParallelWebappClassLoader | 0x0000000074116bd8  0x0000000074003818  0x00007c2d846a9b00    4091  19446784  19426808  org.apache.catalina.loader.ParallelWebappClassLoader</x:v>
      </x:c>
      <x:c r="U1102" s="36" t="n">
        <x:v>27</x:v>
      </x:c>
      <x:c r="V1102" s="36" t="n">
        <x:v>0</x:v>
      </x:c>
      <x:c r="W1102" s="44"/>
      <x:c r="X1102" s="36"/>
      <x:c r="Y1102" s="36"/>
      <x:c r="Z1102" s="44"/>
      <x:c r="AA1102" s="49"/>
      <x:c r="AB1102" s="43"/>
      <x:c r="AC1102" s="34"/>
      <x:c r="AD1102" s="34"/>
      <x:c r="AE1102" s="34"/>
      <x:c r="AF1102" s="34"/>
      <x:c r="AG1102" s="34"/>
      <x:c r="AH1102" s="34"/>
      <x:c r="AI1102" s="34"/>
    </x:row>
    <x:row r="1103">
      <x:c r="A1103" s="34" t="str">
        <x:v>article1-unified-v4-2-fb3f101b-20260903-000401-default-f05-p3-jcs4</x:v>
      </x:c>
      <x:c r="B1103" s="34" t="str">
        <x:v>default</x:v>
      </x:c>
      <x:c r="C1103" s="34" t="str">
        <x:v>jcs4</x:v>
      </x:c>
      <x:c r="D1103" s="34" t="str">
        <x:v>jcs4</x:v>
      </x:c>
      <x:c r="E1103" s="36" t="n">
        <x:v>5</x:v>
      </x:c>
      <x:c r="F1103" s="36" t="n">
        <x:v>5</x:v>
      </x:c>
      <x:c r="G1103" s="36" t="n">
        <x:v>3</x:v>
      </x:c>
      <x:c r="H1103" s="36" t="n">
        <x:v>5</x:v>
      </x:c>
      <x:c r="I1103" s="34" t="str">
        <x:v>loaded</x:v>
      </x:c>
      <x:c r="J1103" s="34" t="str">
        <x:v>loaded</x:v>
      </x:c>
      <x:c r="K1103" s="36" t="n">
        <x:v>0</x:v>
      </x:c>
      <x:c r="L1103" s="34" t="str">
        <x:v>initial</x:v>
      </x:c>
      <x:c r="M1103" s="34" t="str">
        <x:v>article1-unified-v4-2-fb3f101b-20260903-000401-default-f05-p3-jcs4-5-loaded</x:v>
      </x:c>
      <x:c r="N1103" s="38" t="n">
        <x:v>46268.07400015046</x:v>
      </x:c>
      <x:c r="O1103" s="36" t="n">
        <x:v>0</x:v>
      </x:c>
      <x:c r="P1103" s="43" t="n">
        <x:v>146235392</x:v>
      </x:c>
      <x:c r="Q1103" s="43" t="n">
        <x:v>268435456</x:v>
      </x:c>
      <x:c r="R1103" s="43" t="n">
        <x:v>443940864</x:v>
      </x:c>
      <x:c r="S1103" s="36" t="n">
        <x:v>3</x:v>
      </x:c>
      <x:c r="T1103" s="44" t="str">
        <x:v>0x0000000074116bd8  0x0000000074003818  0x00007c2e1c605a70       0         0         0  org.apache.catalina.loader.ParallelWebappClassLoader | 0x0000000074116bd8  0x0000000074003818  0x00007c2d78296590    4400  20979712  20961616  org.apache.catalina.loader.ParallelWebappClassLoader | 0x0000000074116bd8  0x0000000074003818  0x00007c2d846a9b00    4393  20954112  20936496  org.apache.catalina.loader.ParallelWebappClassLoader</x:v>
      </x:c>
      <x:c r="U1103" s="36" t="n">
        <x:v>28</x:v>
      </x:c>
      <x:c r="V1103" s="36" t="n">
        <x:v>1</x:v>
      </x:c>
      <x:c r="W1103" s="44" t="str">
        <x:v>jcs4-thread-pool-event-queue:JCS-ThreadPoolManager-ElementEventQueue-Thread-28#388</x:v>
      </x:c>
      <x:c r="X1103" s="36"/>
      <x:c r="Y1103" s="36"/>
      <x:c r="Z1103" s="44"/>
      <x:c r="AA1103" s="49"/>
      <x:c r="AB1103" s="43"/>
      <x:c r="AC1103" s="34"/>
      <x:c r="AD1103" s="34"/>
      <x:c r="AE1103" s="34"/>
      <x:c r="AF1103" s="34"/>
      <x:c r="AG1103" s="34"/>
      <x:c r="AH1103" s="34"/>
      <x:c r="AI1103" s="34"/>
    </x:row>
    <x:row r="1104">
      <x:c r="A1104" s="34" t="str">
        <x:v>article1-unified-v4-2-fb3f101b-20260903-000401-default-f05-p3-jcs4</x:v>
      </x:c>
      <x:c r="B1104" s="34" t="str">
        <x:v>default</x:v>
      </x:c>
      <x:c r="C1104" s="34" t="str">
        <x:v>jcs4</x:v>
      </x:c>
      <x:c r="D1104" s="34" t="str">
        <x:v>jcs4</x:v>
      </x:c>
      <x:c r="E1104" s="36" t="n">
        <x:v>5</x:v>
      </x:c>
      <x:c r="F1104" s="36" t="n">
        <x:v>5</x:v>
      </x:c>
      <x:c r="G1104" s="36" t="n">
        <x:v>3</x:v>
      </x:c>
      <x:c r="H1104" s="36" t="n">
        <x:v>5</x:v>
      </x:c>
      <x:c r="I1104" s="34" t="str">
        <x:v>afterUndeployEarly</x:v>
      </x:c>
      <x:c r="J1104" s="34" t="str">
        <x:v>after-undeploy-early</x:v>
      </x:c>
      <x:c r="K1104" s="36" t="n">
        <x:v>1</x:v>
      </x:c>
      <x:c r="L1104" s="34" t="str">
        <x:v>early</x:v>
      </x:c>
      <x:c r="M1104" s="34" t="str">
        <x:v>article1-unified-v4-2-fb3f101b-20260903-000401-default-f05-p3-jcs4-5-after-undeploy-early-2s</x:v>
      </x:c>
      <x:c r="N1104" s="38" t="n">
        <x:v>46268.07408864583</x:v>
      </x:c>
      <x:c r="O1104" s="36"/>
      <x:c r="P1104" s="43"/>
      <x:c r="Q1104" s="43"/>
      <x:c r="R1104" s="43"/>
      <x:c r="S1104" s="36"/>
      <x:c r="T1104" s="44"/>
      <x:c r="U1104" s="36" t="n">
        <x:v>27</x:v>
      </x:c>
      <x:c r="V1104" s="36" t="n">
        <x:v>0</x:v>
      </x:c>
      <x:c r="W1104" s="44"/>
      <x:c r="X1104" s="36"/>
      <x:c r="Y1104" s="36"/>
      <x:c r="Z1104" s="44"/>
      <x:c r="AA1104" s="49"/>
      <x:c r="AB1104" s="43" t="n">
        <x:v>5</x:v>
      </x:c>
      <x:c r="AC1104" s="34"/>
      <x:c r="AD1104" s="34"/>
      <x:c r="AE1104" s="34" t="str">
        <x:v>article1-unified-v4-2-fb3f101b-20260903-000401-default-f05-p3-jcs4-5-after-undeploy-early-2s-thread-dump.txt</x:v>
      </x:c>
      <x:c r="AF1104" s="34" t="str">
        <x:v>article1-unified-v4-2-fb3f101b-20260903-000401-default-f05-p3-jcs4-5-after-undeploy-early-tomcat-log.txt</x:v>
      </x:c>
      <x:c r="AG1104" s="34"/>
      <x:c r="AH1104" s="34"/>
      <x:c r="AI1104" s="34"/>
    </x:row>
    <x:row r="1105">
      <x:c r="A1105" s="34" t="str">
        <x:v>article1-unified-v4-2-fb3f101b-20260903-000401-default-f05-p3-jcs4</x:v>
      </x:c>
      <x:c r="B1105" s="34" t="str">
        <x:v>default</x:v>
      </x:c>
      <x:c r="C1105" s="34" t="str">
        <x:v>jcs4</x:v>
      </x:c>
      <x:c r="D1105" s="34" t="str">
        <x:v>jcs4</x:v>
      </x:c>
      <x:c r="E1105" s="36" t="n">
        <x:v>5</x:v>
      </x:c>
      <x:c r="F1105" s="36" t="n">
        <x:v>5</x:v>
      </x:c>
      <x:c r="G1105" s="36" t="n">
        <x:v>3</x:v>
      </x:c>
      <x:c r="H1105" s="36" t="n">
        <x:v>5</x:v>
      </x:c>
      <x:c r="I1105" s="34" t="str">
        <x:v>afterUndeploy</x:v>
      </x:c>
      <x:c r="J1105" s="34" t="str">
        <x:v>after-undeploy-final</x:v>
      </x:c>
      <x:c r="K1105" s="36" t="n">
        <x:v>1</x:v>
      </x:c>
      <x:c r="L1105" s="34" t="str">
        <x:v>final</x:v>
      </x:c>
      <x:c r="M1105" s="34" t="str">
        <x:v>article1-unified-v4-2-fb3f101b-20260903-000401-default-f05-p3-jcs4-5-after-undeploy-final-10s</x:v>
      </x:c>
      <x:c r="N1105" s="38" t="n">
        <x:v>46268.074246689815</x:v>
      </x:c>
      <x:c r="O1105" s="36" t="n">
        <x:v>2</x:v>
      </x:c>
      <x:c r="P1105" s="43" t="n">
        <x:v>15893504</x:v>
      </x:c>
      <x:c r="Q1105" s="43" t="n">
        <x:v>268435456</x:v>
      </x:c>
      <x:c r="R1105" s="43" t="n">
        <x:v>423806976</x:v>
      </x:c>
      <x:c r="S1105" s="36" t="n">
        <x:v>2</x:v>
      </x:c>
      <x:c r="T1105" s="44" t="str">
        <x:v>0x0000000074116bd8  0x0000000074003818  0x00007c2e1c605a70       0         0         0  org.apache.catalina.loader.ParallelWebappClassLoader | 0x0000000074116bd8  0x0000000074003818  0x00007c2d846a9b00    4407  21003264  20971864  org.apache.catalina.loader.ParallelWebappClassLoader</x:v>
      </x:c>
      <x:c r="U1105" s="36" t="n">
        <x:v>27</x:v>
      </x:c>
      <x:c r="V1105" s="36" t="n">
        <x:v>0</x:v>
      </x:c>
      <x:c r="W1105" s="44"/>
      <x:c r="X1105" s="36" t="n">
        <x:v>1</x:v>
      </x:c>
      <x:c r="Y1105" s="36" t="n">
        <x:v>1</x:v>
      </x:c>
      <x:c r="Z1105" s="44" t="str">
        <x:v>/jcs4</x:v>
      </x:c>
      <x:c r="AA1105" s="45" t="b">
        <x:v>1</x:v>
      </x:c>
      <x:c r="AB1105" s="43"/>
      <x:c r="AC1105" s="34" t="str">
        <x:v>article1-unified-v4-2-fb3f101b-20260903-000401-default-f05-p3-jcs4-5-after-undeploy-final-10s-heap-info.txt</x:v>
      </x:c>
      <x:c r="AD1105" s="34" t="str">
        <x:v>article1-unified-v4-2-fb3f101b-20260903-000401-default-f05-p3-jcs4-5-after-undeploy-final-10s-classloader-stats.txt</x:v>
      </x:c>
      <x:c r="AE1105" s="34" t="str">
        <x:v>article1-unified-v4-2-fb3f101b-20260903-000401-default-f05-p3-jcs4-5-after-undeploy-final-10s-thread-dump.txt</x:v>
      </x:c>
      <x:c r="AF1105" s="34"/>
      <x:c r="AG1105" s="34" t="str">
        <x:v>article1-unified-v4-2-fb3f101b-20260903-000401-default-f05-p3-jcs4-5-after-undeploy-final-10s-native-memory.txt</x:v>
      </x:c>
      <x:c r="AH1105" s="34" t="str">
        <x:v>article1-unified-v4-2-fb3f101b-20260903-000401-default-f05-p3-jcs4-5-after-undeploy-final-10s-class-histogram.txt</x:v>
      </x:c>
      <x:c r="AI1105" s="34" t="str">
        <x:v>article1-unified-v4-2-fb3f101b-20260903-000401-default-f05-p3-jcs4-5-after-undeploy-tomcat-findleaks.txt</x:v>
      </x:c>
    </x:row>
    <x:row r="1106">
      <x:c r="A1106" s="34" t="str">
        <x:v>article1-unified-v4-2-fb3f101b-20260903-000401-default-f05-p3-jcs4</x:v>
      </x:c>
      <x:c r="B1106" s="34" t="str">
        <x:v>default</x:v>
      </x:c>
      <x:c r="C1106" s="34" t="str">
        <x:v>jcs4</x:v>
      </x:c>
      <x:c r="D1106" s="34" t="str">
        <x:v>jcs4</x:v>
      </x:c>
      <x:c r="E1106" s="36" t="n">
        <x:v>5</x:v>
      </x:c>
      <x:c r="F1106" s="36" t="n">
        <x:v>5</x:v>
      </x:c>
      <x:c r="G1106" s="36" t="n">
        <x:v>3</x:v>
      </x:c>
      <x:c r="H1106" s="36" t="n">
        <x:v>5</x:v>
      </x:c>
      <x:c r="I1106" s="34" t="str">
        <x:v>redeployedLoaded</x:v>
      </x:c>
      <x:c r="J1106" s="34" t="str">
        <x:v>redeployed-loaded</x:v>
      </x:c>
      <x:c r="K1106" s="36" t="n">
        <x:v>0</x:v>
      </x:c>
      <x:c r="L1106" s="34" t="str">
        <x:v>redeploy</x:v>
      </x:c>
      <x:c r="M1106" s="34" t="str">
        <x:v>article1-unified-v4-2-fb3f101b-20260903-000401-default-f05-p3-jcs4-5-redeployed-loaded</x:v>
      </x:c>
      <x:c r="N1106" s="38" t="n">
        <x:v>46268.07449871528</x:v>
      </x:c>
      <x:c r="O1106" s="36" t="n">
        <x:v>0</x:v>
      </x:c>
      <x:c r="P1106" s="43" t="n">
        <x:v>133515264</x:v>
      </x:c>
      <x:c r="Q1106" s="43" t="n">
        <x:v>268435456</x:v>
      </x:c>
      <x:c r="R1106" s="43" t="n">
        <x:v>445860864</x:v>
      </x:c>
      <x:c r="S1106" s="36" t="n">
        <x:v>3</x:v>
      </x:c>
      <x:c r="T1106" s="44" t="str">
        <x:v>0x0000000074116bd8  0x0000000074003818  0x00007c2e1c605a70       0         0         0  org.apache.catalina.loader.ParallelWebappClassLoader | 0x0000000074116bd8  0x0000000074003818  0x00007c2d846a9b00    4407  21003264  20971864  org.apache.catalina.loader.ParallelWebappClassLoader | 0x0000000074116bd8  0x0000000074003818  0x00007c2d28104a50    4395  20971520  20955720  org.apache.catalina.loader.ParallelWebappClassLoader</x:v>
      </x:c>
      <x:c r="U1106" s="36" t="n">
        <x:v>28</x:v>
      </x:c>
      <x:c r="V1106" s="36" t="n">
        <x:v>1</x:v>
      </x:c>
      <x:c r="W1106" s="44" t="str">
        <x:v>jcs4-thread-pool-event-queue:JCS-ThreadPoolManager-ElementEventQueue-Thread-31#431</x:v>
      </x:c>
      <x:c r="X1106" s="36"/>
      <x:c r="Y1106" s="36"/>
      <x:c r="Z1106" s="44"/>
      <x:c r="AA1106" s="49"/>
      <x:c r="AB1106" s="43"/>
      <x:c r="AC1106" s="34"/>
      <x:c r="AD1106" s="34"/>
      <x:c r="AE1106" s="34"/>
      <x:c r="AF1106" s="34"/>
      <x:c r="AG1106" s="34"/>
      <x:c r="AH1106" s="34"/>
      <x:c r="AI1106" s="34"/>
    </x:row>
    <x:row r="1107">
      <x:c r="A1107" s="34" t="str">
        <x:v>article1-unified-v4-2-fb3f101b-20260903-000401-default-f05-p3-jcs4</x:v>
      </x:c>
      <x:c r="B1107" s="34" t="str">
        <x:v>default</x:v>
      </x:c>
      <x:c r="C1107" s="34" t="str">
        <x:v>jcs4</x:v>
      </x:c>
      <x:c r="D1107" s="34" t="str">
        <x:v>jcs4</x:v>
      </x:c>
      <x:c r="E1107" s="36" t="n">
        <x:v>5</x:v>
      </x:c>
      <x:c r="F1107" s="36" t="n">
        <x:v>5</x:v>
      </x:c>
      <x:c r="G1107" s="36" t="n">
        <x:v>3</x:v>
      </x:c>
      <x:c r="H1107" s="36" t="n">
        <x:v>5</x:v>
      </x:c>
      <x:c r="I1107" s="34" t="str">
        <x:v>afterFinalUndeployEarly</x:v>
      </x:c>
      <x:c r="J1107" s="34" t="str">
        <x:v>after-final-undeploy-early</x:v>
      </x:c>
      <x:c r="K1107" s="36" t="n">
        <x:v>2</x:v>
      </x:c>
      <x:c r="L1107" s="34" t="str">
        <x:v>early</x:v>
      </x:c>
      <x:c r="M1107" s="34" t="str">
        <x:v>article1-unified-v4-2-fb3f101b-20260903-000401-default-f05-p3-jcs4-5-after-final-undeploy-early-2s</x:v>
      </x:c>
      <x:c r="N1107" s="38" t="n">
        <x:v>46268.0745840625</x:v>
      </x:c>
      <x:c r="O1107" s="36"/>
      <x:c r="P1107" s="43"/>
      <x:c r="Q1107" s="43"/>
      <x:c r="R1107" s="43"/>
      <x:c r="S1107" s="36"/>
      <x:c r="T1107" s="44"/>
      <x:c r="U1107" s="36" t="n">
        <x:v>27</x:v>
      </x:c>
      <x:c r="V1107" s="36" t="n">
        <x:v>0</x:v>
      </x:c>
      <x:c r="W1107" s="44"/>
      <x:c r="X1107" s="36"/>
      <x:c r="Y1107" s="36"/>
      <x:c r="Z1107" s="44"/>
      <x:c r="AA1107" s="49"/>
      <x:c r="AB1107" s="43" t="n">
        <x:v>5</x:v>
      </x:c>
      <x:c r="AC1107" s="34"/>
      <x:c r="AD1107" s="34"/>
      <x:c r="AE1107" s="34" t="str">
        <x:v>article1-unified-v4-2-fb3f101b-20260903-000401-default-f05-p3-jcs4-5-after-final-undeploy-early-2s-thread-dump.txt</x:v>
      </x:c>
      <x:c r="AF1107" s="34" t="str">
        <x:v>article1-unified-v4-2-fb3f101b-20260903-000401-default-f05-p3-jcs4-5-after-final-undeploy-early-tomcat-log.txt</x:v>
      </x:c>
      <x:c r="AG1107" s="34"/>
      <x:c r="AH1107" s="34"/>
      <x:c r="AI1107" s="34"/>
    </x:row>
    <x:row r="1108">
      <x:c r="A1108" s="34" t="str">
        <x:v>article1-unified-v4-2-fb3f101b-20260903-000401-default-f05-p3-jcs4</x:v>
      </x:c>
      <x:c r="B1108" s="34" t="str">
        <x:v>default</x:v>
      </x:c>
      <x:c r="C1108" s="34" t="str">
        <x:v>jcs4</x:v>
      </x:c>
      <x:c r="D1108" s="34" t="str">
        <x:v>jcs4</x:v>
      </x:c>
      <x:c r="E1108" s="36" t="n">
        <x:v>5</x:v>
      </x:c>
      <x:c r="F1108" s="36" t="n">
        <x:v>5</x:v>
      </x:c>
      <x:c r="G1108" s="36" t="n">
        <x:v>3</x:v>
      </x:c>
      <x:c r="H1108" s="36" t="n">
        <x:v>5</x:v>
      </x:c>
      <x:c r="I1108" s="34" t="str">
        <x:v>afterFinalUndeploy</x:v>
      </x:c>
      <x:c r="J1108" s="34" t="str">
        <x:v>after-final-undeploy-final</x:v>
      </x:c>
      <x:c r="K1108" s="36" t="n">
        <x:v>2</x:v>
      </x:c>
      <x:c r="L1108" s="34" t="str">
        <x:v>final</x:v>
      </x:c>
      <x:c r="M1108" s="34" t="str">
        <x:v>article1-unified-v4-2-fb3f101b-20260903-000401-default-f05-p3-jcs4-5-after-final-undeploy-final-10s</x:v>
      </x:c>
      <x:c r="N1108" s="38" t="n">
        <x:v>46268.07473728009</x:v>
      </x:c>
      <x:c r="O1108" s="36" t="n">
        <x:v>2</x:v>
      </x:c>
      <x:c r="P1108" s="43" t="n">
        <x:v>15903744</x:v>
      </x:c>
      <x:c r="Q1108" s="43" t="n">
        <x:v>268435456</x:v>
      </x:c>
      <x:c r="R1108" s="43" t="n">
        <x:v>429024256</x:v>
      </x:c>
      <x:c r="S1108" s="36" t="n">
        <x:v>2</x:v>
      </x:c>
      <x:c r="T1108" s="44" t="str">
        <x:v>0x0000000074116bd8  0x0000000074003818  0x00007c2e1c605a70       0         0         0  org.apache.catalina.loader.ParallelWebappClassLoader | 0x0000000074116bd8  0x0000000074003818  0x00007c2d28104a50    4409  21004288  20990832  org.apache.catalina.loader.ParallelWebappClassLoader</x:v>
      </x:c>
      <x:c r="U1108" s="36" t="n">
        <x:v>27</x:v>
      </x:c>
      <x:c r="V1108" s="36" t="n">
        <x:v>0</x:v>
      </x:c>
      <x:c r="W1108" s="44"/>
      <x:c r="X1108" s="36" t="n">
        <x:v>1</x:v>
      </x:c>
      <x:c r="Y1108" s="36" t="n">
        <x:v>1</x:v>
      </x:c>
      <x:c r="Z1108" s="44" t="str">
        <x:v>/jcs4</x:v>
      </x:c>
      <x:c r="AA1108" s="45" t="b">
        <x:v>1</x:v>
      </x:c>
      <x:c r="AB1108" s="43"/>
      <x:c r="AC1108" s="34" t="str">
        <x:v>article1-unified-v4-2-fb3f101b-20260903-000401-default-f05-p3-jcs4-5-after-final-undeploy-final-10s-heap-info.txt</x:v>
      </x:c>
      <x:c r="AD1108" s="34" t="str">
        <x:v>article1-unified-v4-2-fb3f101b-20260903-000401-default-f05-p3-jcs4-5-after-final-undeploy-final-10s-classloader-stats.txt</x:v>
      </x:c>
      <x:c r="AE1108" s="34" t="str">
        <x:v>article1-unified-v4-2-fb3f101b-20260903-000401-default-f05-p3-jcs4-5-after-final-undeploy-final-10s-thread-dump.txt</x:v>
      </x:c>
      <x:c r="AF1108" s="34"/>
      <x:c r="AG1108" s="34" t="str">
        <x:v>article1-unified-v4-2-fb3f101b-20260903-000401-default-f05-p3-jcs4-5-after-final-undeploy-final-10s-native-memory.txt</x:v>
      </x:c>
      <x:c r="AH1108" s="34" t="str">
        <x:v>article1-unified-v4-2-fb3f101b-20260903-000401-default-f05-p3-jcs4-5-after-final-undeploy-final-10s-class-histogram.txt</x:v>
      </x:c>
      <x:c r="AI1108" s="34" t="str">
        <x:v>article1-unified-v4-2-fb3f101b-20260903-000401-default-f05-p3-jcs4-5-after-final-undeploy-tomcat-findleaks.txt</x:v>
      </x:c>
    </x:row>
    <x:row r="1109">
      <x:c r="A1109" s="34" t="str">
        <x:v>article1-unified-v4-2-fb3f101b-20260903-000401-default-f05-p4-caffeine</x:v>
      </x:c>
      <x:c r="B1109" s="34" t="str">
        <x:v>default</x:v>
      </x:c>
      <x:c r="C1109" s="34" t="str">
        <x:v>caffeine</x:v>
      </x:c>
      <x:c r="D1109" s="34" t="str">
        <x:v>caffeine</x:v>
      </x:c>
      <x:c r="E1109" s="36" t="n">
        <x:v>5</x:v>
      </x:c>
      <x:c r="F1109" s="36" t="n">
        <x:v>5</x:v>
      </x:c>
      <x:c r="G1109" s="36" t="n">
        <x:v>4</x:v>
      </x:c>
      <x:c r="H1109" s="36" t="n">
        <x:v>0</x:v>
      </x:c>
      <x:c r="I1109" s="34" t="str">
        <x:v>processBaseline</x:v>
      </x:c>
      <x:c r="J1109" s="34" t="str">
        <x:v>process-baseline</x:v>
      </x:c>
      <x:c r="K1109" s="36" t="n">
        <x:v>0</x:v>
      </x:c>
      <x:c r="L1109" s="34" t="str">
        <x:v>baseline</x:v>
      </x:c>
      <x:c r="M1109" s="34" t="str">
        <x:v>article1-unified-v4-2-fb3f101b-20260903-000401-default-f05-p4-caffeine-process-baseline</x:v>
      </x:c>
      <x:c r="N1109" s="38" t="n">
        <x:v>46268.074992905094</x:v>
      </x:c>
      <x:c r="O1109" s="36" t="n">
        <x:v>0</x:v>
      </x:c>
      <x:c r="P1109" s="43" t="n">
        <x:v>32704512</x:v>
      </x:c>
      <x:c r="Q1109" s="43" t="n">
        <x:v>270532608</x:v>
      </x:c>
      <x:c r="R1109" s="43" t="n">
        <x:v>369225728</x:v>
      </x:c>
      <x:c r="S1109" s="36" t="n">
        <x:v>1</x:v>
      </x:c>
      <x:c r="T1109" s="44" t="str">
        <x:v>0x00000000821177b8  0x0000000082003818  0x00007e827c60dcd0       0         0         0  org.apache.catalina.loader.ParallelWebappClassLoader</x:v>
      </x:c>
      <x:c r="U1109" s="36" t="n">
        <x:v>27</x:v>
      </x:c>
      <x:c r="V1109" s="36" t="n">
        <x:v>0</x:v>
      </x:c>
      <x:c r="W1109" s="44"/>
      <x:c r="X1109" s="36"/>
      <x:c r="Y1109" s="36"/>
      <x:c r="Z1109" s="44"/>
      <x:c r="AA1109" s="49"/>
      <x:c r="AB1109" s="43"/>
      <x:c r="AC1109" s="34" t="str">
        <x:v>article1-unified-v4-2-fb3f101b-20260903-000401-default-f05-p4-caffeine-process-baseline-heap-info.txt</x:v>
      </x:c>
      <x:c r="AD1109" s="34" t="str">
        <x:v>article1-unified-v4-2-fb3f101b-20260903-000401-default-f05-p4-caffeine-process-baseline-classloader-stats.txt</x:v>
      </x:c>
      <x:c r="AE1109" s="34" t="str">
        <x:v>article1-unified-v4-2-fb3f101b-20260903-000401-default-f05-p4-caffeine-process-baseline-thread-dump.txt</x:v>
      </x:c>
      <x:c r="AF1109" s="34"/>
      <x:c r="AG1109" s="34" t="str">
        <x:v>article1-unified-v4-2-fb3f101b-20260903-000401-default-f05-p4-caffeine-process-baseline-native-memory.txt</x:v>
      </x:c>
      <x:c r="AH1109" s="34"/>
      <x:c r="AI1109" s="34"/>
    </x:row>
    <x:row r="1110">
      <x:c r="A1110" s="34" t="str">
        <x:v>article1-unified-v4-2-fb3f101b-20260903-000401-default-f05-p4-caffeine</x:v>
      </x:c>
      <x:c r="B1110" s="34" t="str">
        <x:v>default</x:v>
      </x:c>
      <x:c r="C1110" s="34" t="str">
        <x:v>caffeine</x:v>
      </x:c>
      <x:c r="D1110" s="34" t="str">
        <x:v>caffeine</x:v>
      </x:c>
      <x:c r="E1110" s="36" t="n">
        <x:v>5</x:v>
      </x:c>
      <x:c r="F1110" s="36" t="n">
        <x:v>5</x:v>
      </x:c>
      <x:c r="G1110" s="36" t="n">
        <x:v>4</x:v>
      </x:c>
      <x:c r="H1110" s="36" t="n">
        <x:v>1</x:v>
      </x:c>
      <x:c r="I1110" s="34" t="str">
        <x:v>baseline</x:v>
      </x:c>
      <x:c r="J1110" s="34" t="str">
        <x:v>cycle-baseline</x:v>
      </x:c>
      <x:c r="K1110" s="36" t="n">
        <x:v>0</x:v>
      </x:c>
      <x:c r="L1110" s="34" t="str">
        <x:v>baseline</x:v>
      </x:c>
      <x:c r="M1110" s="34" t="str">
        <x:v>article1-unified-v4-2-fb3f101b-20260903-000401-default-f05-p4-caffeine-1-baseline</x:v>
      </x:c>
      <x:c r="N1110" s="38" t="n">
        <x:v>46268.07518883102</x:v>
      </x:c>
      <x:c r="O1110" s="36" t="n">
        <x:v>0</x:v>
      </x:c>
      <x:c r="P1110" s="43" t="n">
        <x:v>33228800</x:v>
      </x:c>
      <x:c r="Q1110" s="43" t="n">
        <x:v>270532608</x:v>
      </x:c>
      <x:c r="R1110" s="43" t="n">
        <x:v>369875968</x:v>
      </x:c>
      <x:c r="S1110" s="36" t="n">
        <x:v>1</x:v>
      </x:c>
      <x:c r="T1110" s="44" t="str">
        <x:v>0x00000000821177b8  0x0000000082003818  0x00007e827c60dcd0       0         0         0  org.apache.catalina.loader.ParallelWebappClassLoader</x:v>
      </x:c>
      <x:c r="U1110" s="36" t="n">
        <x:v>27</x:v>
      </x:c>
      <x:c r="V1110" s="36" t="n">
        <x:v>0</x:v>
      </x:c>
      <x:c r="W1110" s="44"/>
      <x:c r="X1110" s="36"/>
      <x:c r="Y1110" s="36"/>
      <x:c r="Z1110" s="44"/>
      <x:c r="AA1110" s="49"/>
      <x:c r="AB1110" s="43"/>
      <x:c r="AC1110" s="34" t="str">
        <x:v>article1-unified-v4-2-fb3f101b-20260903-000401-default-f05-p4-caffeine-1-baseline-heap-info.txt</x:v>
      </x:c>
      <x:c r="AD1110" s="34" t="str">
        <x:v>article1-unified-v4-2-fb3f101b-20260903-000401-default-f05-p4-caffeine-1-baseline-classloader-stats.txt</x:v>
      </x:c>
      <x:c r="AE1110" s="34" t="str">
        <x:v>article1-unified-v4-2-fb3f101b-20260903-000401-default-f05-p4-caffeine-1-baseline-thread-dump.txt</x:v>
      </x:c>
      <x:c r="AF1110" s="34"/>
      <x:c r="AG1110" s="34" t="str">
        <x:v>article1-unified-v4-2-fb3f101b-20260903-000401-default-f05-p4-caffeine-1-baseline-native-memory.txt</x:v>
      </x:c>
      <x:c r="AH1110" s="34"/>
      <x:c r="AI1110" s="34"/>
    </x:row>
    <x:row r="1111">
      <x:c r="A1111" s="34" t="str">
        <x:v>article1-unified-v4-2-fb3f101b-20260903-000401-default-f05-p4-caffeine</x:v>
      </x:c>
      <x:c r="B1111" s="34" t="str">
        <x:v>default</x:v>
      </x:c>
      <x:c r="C1111" s="34" t="str">
        <x:v>caffeine</x:v>
      </x:c>
      <x:c r="D1111" s="34" t="str">
        <x:v>caffeine</x:v>
      </x:c>
      <x:c r="E1111" s="36" t="n">
        <x:v>5</x:v>
      </x:c>
      <x:c r="F1111" s="36" t="n">
        <x:v>5</x:v>
      </x:c>
      <x:c r="G1111" s="36" t="n">
        <x:v>4</x:v>
      </x:c>
      <x:c r="H1111" s="36" t="n">
        <x:v>1</x:v>
      </x:c>
      <x:c r="I1111" s="34" t="str">
        <x:v>deployedIdle</x:v>
      </x:c>
      <x:c r="J1111" s="34" t="str">
        <x:v>deployed-idle</x:v>
      </x:c>
      <x:c r="K1111" s="36" t="n">
        <x:v>0</x:v>
      </x:c>
      <x:c r="L1111" s="34" t="str">
        <x:v>initial</x:v>
      </x:c>
      <x:c r="M1111" s="34" t="str">
        <x:v>article1-unified-v4-2-fb3f101b-20260903-000401-default-f05-p4-caffeine-1-deployed-idle</x:v>
      </x:c>
      <x:c r="N1111" s="38" t="n">
        <x:v>46268.07529946759</x:v>
      </x:c>
      <x:c r="O1111" s="36" t="n">
        <x:v>0</x:v>
      </x:c>
      <x:c r="P1111" s="43" t="n">
        <x:v>22290432</x:v>
      </x:c>
      <x:c r="Q1111" s="43" t="n">
        <x:v>268435456</x:v>
      </x:c>
      <x:c r="R1111" s="43" t="n">
        <x:v>426952704</x:v>
      </x:c>
      <x:c r="S1111" s="36" t="n">
        <x:v>2</x:v>
      </x:c>
      <x:c r="T1111" s="44" t="str">
        <x:v>0x00000000821177b8  0x0000000082003818  0x00007e81d4047130    4091  19428352  19415080  org.apache.catalina.loader.ParallelWebappClassLoader | 0x00000000821177b8  0x0000000082003818  0x00007e827c60dcd0       0         0         0  org.apache.catalina.loader.ParallelWebappClassLoader</x:v>
      </x:c>
      <x:c r="U1111" s="36" t="n">
        <x:v>27</x:v>
      </x:c>
      <x:c r="V1111" s="36" t="n">
        <x:v>0</x:v>
      </x:c>
      <x:c r="W1111" s="44"/>
      <x:c r="X1111" s="36"/>
      <x:c r="Y1111" s="36"/>
      <x:c r="Z1111" s="44"/>
      <x:c r="AA1111" s="49"/>
      <x:c r="AB1111" s="43"/>
      <x:c r="AC1111" s="34"/>
      <x:c r="AD1111" s="34"/>
      <x:c r="AE1111" s="34"/>
      <x:c r="AF1111" s="34"/>
      <x:c r="AG1111" s="34"/>
      <x:c r="AH1111" s="34"/>
      <x:c r="AI1111" s="34"/>
    </x:row>
    <x:row r="1112">
      <x:c r="A1112" s="34" t="str">
        <x:v>article1-unified-v4-2-fb3f101b-20260903-000401-default-f05-p4-caffeine</x:v>
      </x:c>
      <x:c r="B1112" s="34" t="str">
        <x:v>default</x:v>
      </x:c>
      <x:c r="C1112" s="34" t="str">
        <x:v>caffeine</x:v>
      </x:c>
      <x:c r="D1112" s="34" t="str">
        <x:v>caffeine</x:v>
      </x:c>
      <x:c r="E1112" s="36" t="n">
        <x:v>5</x:v>
      </x:c>
      <x:c r="F1112" s="36" t="n">
        <x:v>5</x:v>
      </x:c>
      <x:c r="G1112" s="36" t="n">
        <x:v>4</x:v>
      </x:c>
      <x:c r="H1112" s="36" t="n">
        <x:v>1</x:v>
      </x:c>
      <x:c r="I1112" s="34" t="str">
        <x:v>loaded</x:v>
      </x:c>
      <x:c r="J1112" s="34" t="str">
        <x:v>loaded</x:v>
      </x:c>
      <x:c r="K1112" s="36" t="n">
        <x:v>0</x:v>
      </x:c>
      <x:c r="L1112" s="34" t="str">
        <x:v>initial</x:v>
      </x:c>
      <x:c r="M1112" s="34" t="str">
        <x:v>article1-unified-v4-2-fb3f101b-20260903-000401-default-f05-p4-caffeine-1-loaded</x:v>
      </x:c>
      <x:c r="N1112" s="38" t="n">
        <x:v>46268.075445787035</x:v>
      </x:c>
      <x:c r="O1112" s="36" t="n">
        <x:v>0</x:v>
      </x:c>
      <x:c r="P1112" s="43" t="n">
        <x:v>215202816</x:v>
      </x:c>
      <x:c r="Q1112" s="43" t="n">
        <x:v>268435456</x:v>
      </x:c>
      <x:c r="R1112" s="43" t="n">
        <x:v>412164096</x:v>
      </x:c>
      <x:c r="S1112" s="36" t="n">
        <x:v>2</x:v>
      </x:c>
      <x:c r="T1112" s="44" t="str">
        <x:v>0x00000000821177b8  0x0000000082003818  0x00007e81d4047130    4395  21084160  21082472  org.apache.catalina.loader.ParallelWebappClassLoader | 0x00000000821177b8  0x0000000082003818  0x00007e827c60dcd0       0         0         0  org.apache.catalina.loader.ParallelWebappClassLoader</x:v>
      </x:c>
      <x:c r="U1112" s="36" t="n">
        <x:v>31</x:v>
      </x:c>
      <x:c r="V1112" s="36" t="n">
        <x:v>0</x:v>
      </x:c>
      <x:c r="W1112" s="44"/>
      <x:c r="X1112" s="36"/>
      <x:c r="Y1112" s="36"/>
      <x:c r="Z1112" s="44"/>
      <x:c r="AA1112" s="49"/>
      <x:c r="AB1112" s="43"/>
      <x:c r="AC1112" s="34"/>
      <x:c r="AD1112" s="34"/>
      <x:c r="AE1112" s="34"/>
      <x:c r="AF1112" s="34"/>
      <x:c r="AG1112" s="34"/>
      <x:c r="AH1112" s="34"/>
      <x:c r="AI1112" s="34"/>
    </x:row>
    <x:row r="1113">
      <x:c r="A1113" s="34" t="str">
        <x:v>article1-unified-v4-2-fb3f101b-20260903-000401-default-f05-p4-caffeine</x:v>
      </x:c>
      <x:c r="B1113" s="34" t="str">
        <x:v>default</x:v>
      </x:c>
      <x:c r="C1113" s="34" t="str">
        <x:v>caffeine</x:v>
      </x:c>
      <x:c r="D1113" s="34" t="str">
        <x:v>caffeine</x:v>
      </x:c>
      <x:c r="E1113" s="36" t="n">
        <x:v>5</x:v>
      </x:c>
      <x:c r="F1113" s="36" t="n">
        <x:v>5</x:v>
      </x:c>
      <x:c r="G1113" s="36" t="n">
        <x:v>4</x:v>
      </x:c>
      <x:c r="H1113" s="36" t="n">
        <x:v>1</x:v>
      </x:c>
      <x:c r="I1113" s="34" t="str">
        <x:v>afterUndeployEarly</x:v>
      </x:c>
      <x:c r="J1113" s="34" t="str">
        <x:v>after-undeploy-early</x:v>
      </x:c>
      <x:c r="K1113" s="36" t="n">
        <x:v>1</x:v>
      </x:c>
      <x:c r="L1113" s="34" t="str">
        <x:v>early</x:v>
      </x:c>
      <x:c r="M1113" s="34" t="str">
        <x:v>article1-unified-v4-2-fb3f101b-20260903-000401-default-f05-p4-caffeine-1-after-undeploy-early-2s</x:v>
      </x:c>
      <x:c r="N1113" s="38" t="n">
        <x:v>46268.07552863426</x:v>
      </x:c>
      <x:c r="O1113" s="36"/>
      <x:c r="P1113" s="43"/>
      <x:c r="Q1113" s="43"/>
      <x:c r="R1113" s="43"/>
      <x:c r="S1113" s="36"/>
      <x:c r="T1113" s="44"/>
      <x:c r="U1113" s="36" t="n">
        <x:v>30</x:v>
      </x:c>
      <x:c r="V1113" s="36" t="n">
        <x:v>0</x:v>
      </x:c>
      <x:c r="W1113" s="44"/>
      <x:c r="X1113" s="36"/>
      <x:c r="Y1113" s="36"/>
      <x:c r="Z1113" s="44"/>
      <x:c r="AA1113" s="49"/>
      <x:c r="AB1113" s="43" t="n">
        <x:v>1</x:v>
      </x:c>
      <x:c r="AC1113" s="34"/>
      <x:c r="AD1113" s="34"/>
      <x:c r="AE1113" s="34" t="str">
        <x:v>article1-unified-v4-2-fb3f101b-20260903-000401-default-f05-p4-caffeine-1-after-undeploy-early-2s-thread-dump.txt</x:v>
      </x:c>
      <x:c r="AF1113" s="34" t="str">
        <x:v>article1-unified-v4-2-fb3f101b-20260903-000401-default-f05-p4-caffeine-1-after-undeploy-early-tomcat-log.txt</x:v>
      </x:c>
      <x:c r="AG1113" s="34"/>
      <x:c r="AH1113" s="34"/>
      <x:c r="AI1113" s="34"/>
    </x:row>
    <x:row r="1114">
      <x:c r="A1114" s="34" t="str">
        <x:v>article1-unified-v4-2-fb3f101b-20260903-000401-default-f05-p4-caffeine</x:v>
      </x:c>
      <x:c r="B1114" s="34" t="str">
        <x:v>default</x:v>
      </x:c>
      <x:c r="C1114" s="34" t="str">
        <x:v>caffeine</x:v>
      </x:c>
      <x:c r="D1114" s="34" t="str">
        <x:v>caffeine</x:v>
      </x:c>
      <x:c r="E1114" s="36" t="n">
        <x:v>5</x:v>
      </x:c>
      <x:c r="F1114" s="36" t="n">
        <x:v>5</x:v>
      </x:c>
      <x:c r="G1114" s="36" t="n">
        <x:v>4</x:v>
      </x:c>
      <x:c r="H1114" s="36" t="n">
        <x:v>1</x:v>
      </x:c>
      <x:c r="I1114" s="34" t="str">
        <x:v>afterUndeploy</x:v>
      </x:c>
      <x:c r="J1114" s="34" t="str">
        <x:v>after-undeploy-final</x:v>
      </x:c>
      <x:c r="K1114" s="36" t="n">
        <x:v>1</x:v>
      </x:c>
      <x:c r="L1114" s="34" t="str">
        <x:v>final</x:v>
      </x:c>
      <x:c r="M1114" s="34" t="str">
        <x:v>article1-unified-v4-2-fb3f101b-20260903-000401-default-f05-p4-caffeine-1-after-undeploy-final-10s</x:v>
      </x:c>
      <x:c r="N1114" s="38" t="n">
        <x:v>46268.07568068287</x:v>
      </x:c>
      <x:c r="O1114" s="36" t="n">
        <x:v>2</x:v>
      </x:c>
      <x:c r="P1114" s="43" t="n">
        <x:v>15574016</x:v>
      </x:c>
      <x:c r="Q1114" s="43" t="n">
        <x:v>268435456</x:v>
      </x:c>
      <x:c r="R1114" s="43" t="n">
        <x:v>410360832</x:v>
      </x:c>
      <x:c r="S1114" s="36" t="n">
        <x:v>2</x:v>
      </x:c>
      <x:c r="T1114" s="44" t="str">
        <x:v>0x00000000821177b8  0x0000000082003818  0x00007e827c60dcd0       0         0         0  org.apache.catalina.loader.ParallelWebappClassLoader | 0x00000000821177b8  0x0000000082003818  0x00007e81d4047130    4403  21133312  21107104  org.apache.catalina.loader.ParallelWebappClassLoader</x:v>
      </x:c>
      <x:c r="U1114" s="36" t="n">
        <x:v>30</x:v>
      </x:c>
      <x:c r="V1114" s="36" t="n">
        <x:v>0</x:v>
      </x:c>
      <x:c r="W1114" s="44"/>
      <x:c r="X1114" s="36" t="n">
        <x:v>1</x:v>
      </x:c>
      <x:c r="Y1114" s="36" t="n">
        <x:v>1</x:v>
      </x:c>
      <x:c r="Z1114" s="44" t="str">
        <x:v>/caffeine</x:v>
      </x:c>
      <x:c r="AA1114" s="45" t="b">
        <x:v>1</x:v>
      </x:c>
      <x:c r="AB1114" s="43"/>
      <x:c r="AC1114" s="34" t="str">
        <x:v>article1-unified-v4-2-fb3f101b-20260903-000401-default-f05-p4-caffeine-1-after-undeploy-final-10s-heap-info.txt</x:v>
      </x:c>
      <x:c r="AD1114" s="34" t="str">
        <x:v>article1-unified-v4-2-fb3f101b-20260903-000401-default-f05-p4-caffeine-1-after-undeploy-final-10s-classloader-stats.txt</x:v>
      </x:c>
      <x:c r="AE1114" s="34" t="str">
        <x:v>article1-unified-v4-2-fb3f101b-20260903-000401-default-f05-p4-caffeine-1-after-undeploy-final-10s-thread-dump.txt</x:v>
      </x:c>
      <x:c r="AF1114" s="34"/>
      <x:c r="AG1114" s="34" t="str">
        <x:v>article1-unified-v4-2-fb3f101b-20260903-000401-default-f05-p4-caffeine-1-after-undeploy-final-10s-native-memory.txt</x:v>
      </x:c>
      <x:c r="AH1114" s="34" t="str">
        <x:v>article1-unified-v4-2-fb3f101b-20260903-000401-default-f05-p4-caffeine-1-after-undeploy-final-10s-class-histogram.txt</x:v>
      </x:c>
      <x:c r="AI1114" s="34" t="str">
        <x:v>article1-unified-v4-2-fb3f101b-20260903-000401-default-f05-p4-caffeine-1-after-undeploy-tomcat-findleaks.txt</x:v>
      </x:c>
    </x:row>
    <x:row r="1115">
      <x:c r="A1115" s="34" t="str">
        <x:v>article1-unified-v4-2-fb3f101b-20260903-000401-default-f05-p4-caffeine</x:v>
      </x:c>
      <x:c r="B1115" s="34" t="str">
        <x:v>default</x:v>
      </x:c>
      <x:c r="C1115" s="34" t="str">
        <x:v>caffeine</x:v>
      </x:c>
      <x:c r="D1115" s="34" t="str">
        <x:v>caffeine</x:v>
      </x:c>
      <x:c r="E1115" s="36" t="n">
        <x:v>5</x:v>
      </x:c>
      <x:c r="F1115" s="36" t="n">
        <x:v>5</x:v>
      </x:c>
      <x:c r="G1115" s="36" t="n">
        <x:v>4</x:v>
      </x:c>
      <x:c r="H1115" s="36" t="n">
        <x:v>1</x:v>
      </x:c>
      <x:c r="I1115" s="34" t="str">
        <x:v>redeployedLoaded</x:v>
      </x:c>
      <x:c r="J1115" s="34" t="str">
        <x:v>redeployed-loaded</x:v>
      </x:c>
      <x:c r="K1115" s="36" t="n">
        <x:v>0</x:v>
      </x:c>
      <x:c r="L1115" s="34" t="str">
        <x:v>redeploy</x:v>
      </x:c>
      <x:c r="M1115" s="34" t="str">
        <x:v>article1-unified-v4-2-fb3f101b-20260903-000401-default-f05-p4-caffeine-1-redeployed-loaded</x:v>
      </x:c>
      <x:c r="N1115" s="38" t="n">
        <x:v>46268.07593752315</x:v>
      </x:c>
      <x:c r="O1115" s="36" t="n">
        <x:v>0</x:v>
      </x:c>
      <x:c r="P1115" s="43" t="n">
        <x:v>205571072</x:v>
      </x:c>
      <x:c r="Q1115" s="43" t="n">
        <x:v>268435456</x:v>
      </x:c>
      <x:c r="R1115" s="43" t="n">
        <x:v>443002880</x:v>
      </x:c>
      <x:c r="S1115" s="36" t="n">
        <x:v>3</x:v>
      </x:c>
      <x:c r="T1115" s="44" t="str">
        <x:v>0x00000000821177b8  0x0000000082003818  0x00007e827c60dcd0       0         0         0  org.apache.catalina.loader.ParallelWebappClassLoader | 0x00000000821177b8  0x0000000082003818  0x00007e81d8234390    4393  21157888  21144512  org.apache.catalina.loader.ParallelWebappClassLoader | 0x00000000821177b8  0x0000000082003818  0x00007e81d4047130    4403  21133312  21107104  org.apache.catalina.loader.ParallelWebappClassLoader</x:v>
      </x:c>
      <x:c r="U1115" s="36" t="n">
        <x:v>30</x:v>
      </x:c>
      <x:c r="V1115" s="36" t="n">
        <x:v>0</x:v>
      </x:c>
      <x:c r="W1115" s="44"/>
      <x:c r="X1115" s="36"/>
      <x:c r="Y1115" s="36"/>
      <x:c r="Z1115" s="44"/>
      <x:c r="AA1115" s="49"/>
      <x:c r="AB1115" s="43"/>
      <x:c r="AC1115" s="34"/>
      <x:c r="AD1115" s="34"/>
      <x:c r="AE1115" s="34"/>
      <x:c r="AF1115" s="34"/>
      <x:c r="AG1115" s="34"/>
      <x:c r="AH1115" s="34"/>
      <x:c r="AI1115" s="34"/>
    </x:row>
    <x:row r="1116">
      <x:c r="A1116" s="34" t="str">
        <x:v>article1-unified-v4-2-fb3f101b-20260903-000401-default-f05-p4-caffeine</x:v>
      </x:c>
      <x:c r="B1116" s="34" t="str">
        <x:v>default</x:v>
      </x:c>
      <x:c r="C1116" s="34" t="str">
        <x:v>caffeine</x:v>
      </x:c>
      <x:c r="D1116" s="34" t="str">
        <x:v>caffeine</x:v>
      </x:c>
      <x:c r="E1116" s="36" t="n">
        <x:v>5</x:v>
      </x:c>
      <x:c r="F1116" s="36" t="n">
        <x:v>5</x:v>
      </x:c>
      <x:c r="G1116" s="36" t="n">
        <x:v>4</x:v>
      </x:c>
      <x:c r="H1116" s="36" t="n">
        <x:v>1</x:v>
      </x:c>
      <x:c r="I1116" s="34" t="str">
        <x:v>afterFinalUndeployEarly</x:v>
      </x:c>
      <x:c r="J1116" s="34" t="str">
        <x:v>after-final-undeploy-early</x:v>
      </x:c>
      <x:c r="K1116" s="36" t="n">
        <x:v>2</x:v>
      </x:c>
      <x:c r="L1116" s="34" t="str">
        <x:v>early</x:v>
      </x:c>
      <x:c r="M1116" s="34" t="str">
        <x:v>article1-unified-v4-2-fb3f101b-20260903-000401-default-f05-p4-caffeine-1-after-final-undeploy-early-2s</x:v>
      </x:c>
      <x:c r="N1116" s="38" t="n">
        <x:v>46268.07601924769</x:v>
      </x:c>
      <x:c r="O1116" s="36"/>
      <x:c r="P1116" s="43"/>
      <x:c r="Q1116" s="43"/>
      <x:c r="R1116" s="43"/>
      <x:c r="S1116" s="36"/>
      <x:c r="T1116" s="44"/>
      <x:c r="U1116" s="36" t="n">
        <x:v>30</x:v>
      </x:c>
      <x:c r="V1116" s="36" t="n">
        <x:v>0</x:v>
      </x:c>
      <x:c r="W1116" s="44"/>
      <x:c r="X1116" s="36"/>
      <x:c r="Y1116" s="36"/>
      <x:c r="Z1116" s="44"/>
      <x:c r="AA1116" s="49"/>
      <x:c r="AB1116" s="43" t="n">
        <x:v>1</x:v>
      </x:c>
      <x:c r="AC1116" s="34"/>
      <x:c r="AD1116" s="34"/>
      <x:c r="AE1116" s="34" t="str">
        <x:v>article1-unified-v4-2-fb3f101b-20260903-000401-default-f05-p4-caffeine-1-after-final-undeploy-early-2s-thread-dump.txt</x:v>
      </x:c>
      <x:c r="AF1116" s="34" t="str">
        <x:v>article1-unified-v4-2-fb3f101b-20260903-000401-default-f05-p4-caffeine-1-after-final-undeploy-early-tomcat-log.txt</x:v>
      </x:c>
      <x:c r="AG1116" s="34"/>
      <x:c r="AH1116" s="34"/>
      <x:c r="AI1116" s="34"/>
    </x:row>
    <x:row r="1117">
      <x:c r="A1117" s="34" t="str">
        <x:v>article1-unified-v4-2-fb3f101b-20260903-000401-default-f05-p4-caffeine</x:v>
      </x:c>
      <x:c r="B1117" s="34" t="str">
        <x:v>default</x:v>
      </x:c>
      <x:c r="C1117" s="34" t="str">
        <x:v>caffeine</x:v>
      </x:c>
      <x:c r="D1117" s="34" t="str">
        <x:v>caffeine</x:v>
      </x:c>
      <x:c r="E1117" s="36" t="n">
        <x:v>5</x:v>
      </x:c>
      <x:c r="F1117" s="36" t="n">
        <x:v>5</x:v>
      </x:c>
      <x:c r="G1117" s="36" t="n">
        <x:v>4</x:v>
      </x:c>
      <x:c r="H1117" s="36" t="n">
        <x:v>1</x:v>
      </x:c>
      <x:c r="I1117" s="34" t="str">
        <x:v>afterFinalUndeploy</x:v>
      </x:c>
      <x:c r="J1117" s="34" t="str">
        <x:v>after-final-undeploy-final</x:v>
      </x:c>
      <x:c r="K1117" s="36" t="n">
        <x:v>2</x:v>
      </x:c>
      <x:c r="L1117" s="34" t="str">
        <x:v>final</x:v>
      </x:c>
      <x:c r="M1117" s="34" t="str">
        <x:v>article1-unified-v4-2-fb3f101b-20260903-000401-default-f05-p4-caffeine-1-after-final-undeploy-final-10s</x:v>
      </x:c>
      <x:c r="N1117" s="38" t="n">
        <x:v>46268.07617318287</x:v>
      </x:c>
      <x:c r="O1117" s="36" t="n">
        <x:v>2</x:v>
      </x:c>
      <x:c r="P1117" s="43" t="n">
        <x:v>19705856</x:v>
      </x:c>
      <x:c r="Q1117" s="43" t="n">
        <x:v>268435456</x:v>
      </x:c>
      <x:c r="R1117" s="43" t="n">
        <x:v>439244800</x:v>
      </x:c>
      <x:c r="S1117" s="36" t="n">
        <x:v>3</x:v>
      </x:c>
      <x:c r="T1117" s="44" t="str">
        <x:v>0x00000000821177b8  0x0000000082003818  0x00007e827c60dcd0       0         0         0  org.apache.catalina.loader.ParallelWebappClassLoader | 0x00000000821177b8  0x0000000082003818  0x00007e81d4047130    4403  21133312  21107104  org.apache.catalina.loader.ParallelWebappClassLoader | 0x00000000821177b8  0x0000000082003818  0x00007e81d8234390    4401  21174272  21168752  org.apache.catalina.loader.ParallelWebappClassLoader</x:v>
      </x:c>
      <x:c r="U1117" s="36" t="n">
        <x:v>30</x:v>
      </x:c>
      <x:c r="V1117" s="36" t="n">
        <x:v>0</x:v>
      </x:c>
      <x:c r="W1117" s="44"/>
      <x:c r="X1117" s="36" t="n">
        <x:v>2</x:v>
      </x:c>
      <x:c r="Y1117" s="36" t="n">
        <x:v>2</x:v>
      </x:c>
      <x:c r="Z1117" s="44" t="str">
        <x:v>/caffeine</x:v>
      </x:c>
      <x:c r="AA1117" s="45" t="b">
        <x:v>1</x:v>
      </x:c>
      <x:c r="AB1117" s="43"/>
      <x:c r="AC1117" s="34" t="str">
        <x:v>article1-unified-v4-2-fb3f101b-20260903-000401-default-f05-p4-caffeine-1-after-final-undeploy-final-10s-heap-info.txt</x:v>
      </x:c>
      <x:c r="AD1117" s="34" t="str">
        <x:v>article1-unified-v4-2-fb3f101b-20260903-000401-default-f05-p4-caffeine-1-after-final-undeploy-final-10s-classloader-stats.txt</x:v>
      </x:c>
      <x:c r="AE1117" s="34" t="str">
        <x:v>article1-unified-v4-2-fb3f101b-20260903-000401-default-f05-p4-caffeine-1-after-final-undeploy-final-10s-thread-dump.txt</x:v>
      </x:c>
      <x:c r="AF1117" s="34"/>
      <x:c r="AG1117" s="34" t="str">
        <x:v>article1-unified-v4-2-fb3f101b-20260903-000401-default-f05-p4-caffeine-1-after-final-undeploy-final-10s-native-memory.txt</x:v>
      </x:c>
      <x:c r="AH1117" s="34" t="str">
        <x:v>article1-unified-v4-2-fb3f101b-20260903-000401-default-f05-p4-caffeine-1-after-final-undeploy-final-10s-class-histogram.txt</x:v>
      </x:c>
      <x:c r="AI1117" s="34" t="str">
        <x:v>article1-unified-v4-2-fb3f101b-20260903-000401-default-f05-p4-caffeine-1-after-final-undeploy-tomcat-findleaks.txt</x:v>
      </x:c>
    </x:row>
    <x:row r="1118">
      <x:c r="A1118" s="34" t="str">
        <x:v>article1-unified-v4-2-fb3f101b-20260903-000401-default-f05-p4-caffeine</x:v>
      </x:c>
      <x:c r="B1118" s="34" t="str">
        <x:v>default</x:v>
      </x:c>
      <x:c r="C1118" s="34" t="str">
        <x:v>caffeine</x:v>
      </x:c>
      <x:c r="D1118" s="34" t="str">
        <x:v>caffeine</x:v>
      </x:c>
      <x:c r="E1118" s="36" t="n">
        <x:v>5</x:v>
      </x:c>
      <x:c r="F1118" s="36" t="n">
        <x:v>5</x:v>
      </x:c>
      <x:c r="G1118" s="36" t="n">
        <x:v>4</x:v>
      </x:c>
      <x:c r="H1118" s="36" t="n">
        <x:v>2</x:v>
      </x:c>
      <x:c r="I1118" s="34" t="str">
        <x:v>baseline</x:v>
      </x:c>
      <x:c r="J1118" s="34" t="str">
        <x:v>cycle-baseline</x:v>
      </x:c>
      <x:c r="K1118" s="36" t="n">
        <x:v>0</x:v>
      </x:c>
      <x:c r="L1118" s="34" t="str">
        <x:v>baseline</x:v>
      </x:c>
      <x:c r="M1118" s="34" t="str">
        <x:v>article1-unified-v4-2-fb3f101b-20260903-000401-default-f05-p4-caffeine-2-baseline</x:v>
      </x:c>
      <x:c r="N1118" s="38" t="n">
        <x:v>46268.07621878472</x:v>
      </x:c>
      <x:c r="O1118" s="36" t="n">
        <x:v>0</x:v>
      </x:c>
      <x:c r="P1118" s="43" t="n">
        <x:v>19734528</x:v>
      </x:c>
      <x:c r="Q1118" s="43" t="n">
        <x:v>268435456</x:v>
      </x:c>
      <x:c r="R1118" s="43" t="n">
        <x:v>437841920</x:v>
      </x:c>
      <x:c r="S1118" s="36" t="n">
        <x:v>3</x:v>
      </x:c>
      <x:c r="T1118" s="44" t="str">
        <x:v>0x00000000821177b8  0x0000000082003818  0x00007e827c60dcd0       0         0         0  org.apache.catalina.loader.ParallelWebappClassLoader | 0x00000000821177b8  0x0000000082003818  0x00007e81d4047130    4403  21133312  21107104  org.apache.catalina.loader.ParallelWebappClassLoader | 0x00000000821177b8  0x0000000082003818  0x00007e81d8234390    4401  21174272  21168752  org.apache.catalina.loader.ParallelWebappClassLoader</x:v>
      </x:c>
      <x:c r="U1118" s="36" t="n">
        <x:v>30</x:v>
      </x:c>
      <x:c r="V1118" s="36" t="n">
        <x:v>0</x:v>
      </x:c>
      <x:c r="W1118" s="44"/>
      <x:c r="X1118" s="36"/>
      <x:c r="Y1118" s="36"/>
      <x:c r="Z1118" s="44"/>
      <x:c r="AA1118" s="49"/>
      <x:c r="AB1118" s="43"/>
      <x:c r="AC1118" s="34" t="str">
        <x:v>article1-unified-v4-2-fb3f101b-20260903-000401-default-f05-p4-caffeine-2-baseline-heap-info.txt</x:v>
      </x:c>
      <x:c r="AD1118" s="34" t="str">
        <x:v>article1-unified-v4-2-fb3f101b-20260903-000401-default-f05-p4-caffeine-2-baseline-classloader-stats.txt</x:v>
      </x:c>
      <x:c r="AE1118" s="34" t="str">
        <x:v>article1-unified-v4-2-fb3f101b-20260903-000401-default-f05-p4-caffeine-2-baseline-thread-dump.txt</x:v>
      </x:c>
      <x:c r="AF1118" s="34"/>
      <x:c r="AG1118" s="34" t="str">
        <x:v>article1-unified-v4-2-fb3f101b-20260903-000401-default-f05-p4-caffeine-2-baseline-native-memory.txt</x:v>
      </x:c>
      <x:c r="AH1118" s="34"/>
      <x:c r="AI1118" s="34"/>
    </x:row>
    <x:row r="1119">
      <x:c r="A1119" s="34" t="str">
        <x:v>article1-unified-v4-2-fb3f101b-20260903-000401-default-f05-p4-caffeine</x:v>
      </x:c>
      <x:c r="B1119" s="34" t="str">
        <x:v>default</x:v>
      </x:c>
      <x:c r="C1119" s="34" t="str">
        <x:v>caffeine</x:v>
      </x:c>
      <x:c r="D1119" s="34" t="str">
        <x:v>caffeine</x:v>
      </x:c>
      <x:c r="E1119" s="36" t="n">
        <x:v>5</x:v>
      </x:c>
      <x:c r="F1119" s="36" t="n">
        <x:v>5</x:v>
      </x:c>
      <x:c r="G1119" s="36" t="n">
        <x:v>4</x:v>
      </x:c>
      <x:c r="H1119" s="36" t="n">
        <x:v>2</x:v>
      </x:c>
      <x:c r="I1119" s="34" t="str">
        <x:v>deployedIdle</x:v>
      </x:c>
      <x:c r="J1119" s="34" t="str">
        <x:v>deployed-idle</x:v>
      </x:c>
      <x:c r="K1119" s="36" t="n">
        <x:v>0</x:v>
      </x:c>
      <x:c r="L1119" s="34" t="str">
        <x:v>initial</x:v>
      </x:c>
      <x:c r="M1119" s="34" t="str">
        <x:v>article1-unified-v4-2-fb3f101b-20260903-000401-default-f05-p4-caffeine-2-deployed-idle</x:v>
      </x:c>
      <x:c r="N1119" s="38" t="n">
        <x:v>46268.07632310185</x:v>
      </x:c>
      <x:c r="O1119" s="36" t="n">
        <x:v>0</x:v>
      </x:c>
      <x:c r="P1119" s="43" t="n">
        <x:v>173455360</x:v>
      </x:c>
      <x:c r="Q1119" s="43" t="n">
        <x:v>268435456</x:v>
      </x:c>
      <x:c r="R1119" s="43" t="n">
        <x:v>461728768</x:v>
      </x:c>
      <x:c r="S1119" s="36" t="n">
        <x:v>4</x:v>
      </x:c>
      <x:c r="T1119" s="44" t="str">
        <x:v>0x00000000821177b8  0x0000000082003818  0x00007e827c60dcd0       0         0         0  org.apache.catalina.loader.ParallelWebappClassLoader | 0x00000000821177b8  0x0000000082003818  0x00007e81b800fc20    4091  19453952  19431544  org.apache.catalina.loader.ParallelWebappClassLoader | 0x00000000821177b8  0x0000000082003818  0x00007e81d4047130    4403  21133312  21107104  org.apache.catalina.loader.ParallelWebappClassLoader | 0x00000000821177b8  0x0000000082003818  0x00007e81d8234390    4401  21174272  21168752  org.apache.catalina.loader.ParallelWebappClassLoader</x:v>
      </x:c>
      <x:c r="U1119" s="36" t="n">
        <x:v>30</x:v>
      </x:c>
      <x:c r="V1119" s="36" t="n">
        <x:v>0</x:v>
      </x:c>
      <x:c r="W1119" s="44"/>
      <x:c r="X1119" s="36"/>
      <x:c r="Y1119" s="36"/>
      <x:c r="Z1119" s="44"/>
      <x:c r="AA1119" s="49"/>
      <x:c r="AB1119" s="43"/>
      <x:c r="AC1119" s="34"/>
      <x:c r="AD1119" s="34"/>
      <x:c r="AE1119" s="34"/>
      <x:c r="AF1119" s="34"/>
      <x:c r="AG1119" s="34"/>
      <x:c r="AH1119" s="34"/>
      <x:c r="AI1119" s="34"/>
    </x:row>
    <x:row r="1120">
      <x:c r="A1120" s="34" t="str">
        <x:v>article1-unified-v4-2-fb3f101b-20260903-000401-default-f05-p4-caffeine</x:v>
      </x:c>
      <x:c r="B1120" s="34" t="str">
        <x:v>default</x:v>
      </x:c>
      <x:c r="C1120" s="34" t="str">
        <x:v>caffeine</x:v>
      </x:c>
      <x:c r="D1120" s="34" t="str">
        <x:v>caffeine</x:v>
      </x:c>
      <x:c r="E1120" s="36" t="n">
        <x:v>5</x:v>
      </x:c>
      <x:c r="F1120" s="36" t="n">
        <x:v>5</x:v>
      </x:c>
      <x:c r="G1120" s="36" t="n">
        <x:v>4</x:v>
      </x:c>
      <x:c r="H1120" s="36" t="n">
        <x:v>2</x:v>
      </x:c>
      <x:c r="I1120" s="34" t="str">
        <x:v>loaded</x:v>
      </x:c>
      <x:c r="J1120" s="34" t="str">
        <x:v>loaded</x:v>
      </x:c>
      <x:c r="K1120" s="36" t="n">
        <x:v>0</x:v>
      </x:c>
      <x:c r="L1120" s="34" t="str">
        <x:v>initial</x:v>
      </x:c>
      <x:c r="M1120" s="34" t="str">
        <x:v>article1-unified-v4-2-fb3f101b-20260903-000401-default-f05-p4-caffeine-2-loaded</x:v>
      </x:c>
      <x:c r="N1120" s="38" t="n">
        <x:v>46268.076470381944</x:v>
      </x:c>
      <x:c r="O1120" s="36" t="n">
        <x:v>0</x:v>
      </x:c>
      <x:c r="P1120" s="43" t="n">
        <x:v>207147008</x:v>
      </x:c>
      <x:c r="Q1120" s="43" t="n">
        <x:v>268435456</x:v>
      </x:c>
      <x:c r="R1120" s="43" t="n">
        <x:v>469498880</x:v>
      </x:c>
      <x:c r="S1120" s="36" t="n">
        <x:v>4</x:v>
      </x:c>
      <x:c r="T1120" s="44" t="str">
        <x:v>0x00000000821177b8  0x0000000082003818  0x00007e827c60dcd0       0         0         0  org.apache.catalina.loader.ParallelWebappClassLoader | 0x00000000821177b8  0x0000000082003818  0x00007e81b800fc20    4386  21157888  21134400  org.apache.catalina.loader.ParallelWebappClassLoader | 0x00000000821177b8  0x0000000082003818  0x00007e81d4047130    4403  21133312  21107104  org.apache.catalina.loader.ParallelWebappClassLoader | 0x00000000821177b8  0x0000000082003818  0x00007e81d8234390    4401  21174272  21168752  org.apache.catalina.loader.ParallelWebappClassLoader</x:v>
      </x:c>
      <x:c r="U1120" s="36" t="n">
        <x:v>31</x:v>
      </x:c>
      <x:c r="V1120" s="36" t="n">
        <x:v>0</x:v>
      </x:c>
      <x:c r="W1120" s="44"/>
      <x:c r="X1120" s="36"/>
      <x:c r="Y1120" s="36"/>
      <x:c r="Z1120" s="44"/>
      <x:c r="AA1120" s="49"/>
      <x:c r="AB1120" s="43"/>
      <x:c r="AC1120" s="34"/>
      <x:c r="AD1120" s="34"/>
      <x:c r="AE1120" s="34"/>
      <x:c r="AF1120" s="34"/>
      <x:c r="AG1120" s="34"/>
      <x:c r="AH1120" s="34"/>
      <x:c r="AI1120" s="34"/>
    </x:row>
    <x:row r="1121">
      <x:c r="A1121" s="34" t="str">
        <x:v>article1-unified-v4-2-fb3f101b-20260903-000401-default-f05-p4-caffeine</x:v>
      </x:c>
      <x:c r="B1121" s="34" t="str">
        <x:v>default</x:v>
      </x:c>
      <x:c r="C1121" s="34" t="str">
        <x:v>caffeine</x:v>
      </x:c>
      <x:c r="D1121" s="34" t="str">
        <x:v>caffeine</x:v>
      </x:c>
      <x:c r="E1121" s="36" t="n">
        <x:v>5</x:v>
      </x:c>
      <x:c r="F1121" s="36" t="n">
        <x:v>5</x:v>
      </x:c>
      <x:c r="G1121" s="36" t="n">
        <x:v>4</x:v>
      </x:c>
      <x:c r="H1121" s="36" t="n">
        <x:v>2</x:v>
      </x:c>
      <x:c r="I1121" s="34" t="str">
        <x:v>afterUndeployEarly</x:v>
      </x:c>
      <x:c r="J1121" s="34" t="str">
        <x:v>after-undeploy-early</x:v>
      </x:c>
      <x:c r="K1121" s="36" t="n">
        <x:v>1</x:v>
      </x:c>
      <x:c r="L1121" s="34" t="str">
        <x:v>early</x:v>
      </x:c>
      <x:c r="M1121" s="34" t="str">
        <x:v>article1-unified-v4-2-fb3f101b-20260903-000401-default-f05-p4-caffeine-2-after-undeploy-early-2s</x:v>
      </x:c>
      <x:c r="N1121" s="38" t="n">
        <x:v>46268.076556203705</x:v>
      </x:c>
      <x:c r="O1121" s="36"/>
      <x:c r="P1121" s="43"/>
      <x:c r="Q1121" s="43"/>
      <x:c r="R1121" s="43"/>
      <x:c r="S1121" s="36"/>
      <x:c r="T1121" s="44"/>
      <x:c r="U1121" s="36" t="n">
        <x:v>30</x:v>
      </x:c>
      <x:c r="V1121" s="36" t="n">
        <x:v>0</x:v>
      </x:c>
      <x:c r="W1121" s="44"/>
      <x:c r="X1121" s="36"/>
      <x:c r="Y1121" s="36"/>
      <x:c r="Z1121" s="44"/>
      <x:c r="AA1121" s="49"/>
      <x:c r="AB1121" s="43" t="n">
        <x:v>1</x:v>
      </x:c>
      <x:c r="AC1121" s="34"/>
      <x:c r="AD1121" s="34"/>
      <x:c r="AE1121" s="34" t="str">
        <x:v>article1-unified-v4-2-fb3f101b-20260903-000401-default-f05-p4-caffeine-2-after-undeploy-early-2s-thread-dump.txt</x:v>
      </x:c>
      <x:c r="AF1121" s="34" t="str">
        <x:v>article1-unified-v4-2-fb3f101b-20260903-000401-default-f05-p4-caffeine-2-after-undeploy-early-tomcat-log.txt</x:v>
      </x:c>
      <x:c r="AG1121" s="34"/>
      <x:c r="AH1121" s="34"/>
      <x:c r="AI1121" s="34"/>
    </x:row>
    <x:row r="1122">
      <x:c r="A1122" s="34" t="str">
        <x:v>article1-unified-v4-2-fb3f101b-20260903-000401-default-f05-p4-caffeine</x:v>
      </x:c>
      <x:c r="B1122" s="34" t="str">
        <x:v>default</x:v>
      </x:c>
      <x:c r="C1122" s="34" t="str">
        <x:v>caffeine</x:v>
      </x:c>
      <x:c r="D1122" s="34" t="str">
        <x:v>caffeine</x:v>
      </x:c>
      <x:c r="E1122" s="36" t="n">
        <x:v>5</x:v>
      </x:c>
      <x:c r="F1122" s="36" t="n">
        <x:v>5</x:v>
      </x:c>
      <x:c r="G1122" s="36" t="n">
        <x:v>4</x:v>
      </x:c>
      <x:c r="H1122" s="36" t="n">
        <x:v>2</x:v>
      </x:c>
      <x:c r="I1122" s="34" t="str">
        <x:v>afterUndeploy</x:v>
      </x:c>
      <x:c r="J1122" s="34" t="str">
        <x:v>after-undeploy-final</x:v>
      </x:c>
      <x:c r="K1122" s="36" t="n">
        <x:v>1</x:v>
      </x:c>
      <x:c r="L1122" s="34" t="str">
        <x:v>final</x:v>
      </x:c>
      <x:c r="M1122" s="34" t="str">
        <x:v>article1-unified-v4-2-fb3f101b-20260903-000401-default-f05-p4-caffeine-2-after-undeploy-final-10s</x:v>
      </x:c>
      <x:c r="N1122" s="38" t="n">
        <x:v>46268.07671548611</x:v>
      </x:c>
      <x:c r="O1122" s="36" t="n">
        <x:v>2</x:v>
      </x:c>
      <x:c r="P1122" s="43" t="n">
        <x:v>15715328</x:v>
      </x:c>
      <x:c r="Q1122" s="43" t="n">
        <x:v>268435456</x:v>
      </x:c>
      <x:c r="R1122" s="43" t="n">
        <x:v>424649728</x:v>
      </x:c>
      <x:c r="S1122" s="36" t="n">
        <x:v>2</x:v>
      </x:c>
      <x:c r="T1122" s="44" t="str">
        <x:v>0x00000000821177b8  0x0000000082003818  0x00007e81b800fc20    4394  21174272  21159208  org.apache.catalina.loader.ParallelWebappClassLoader | 0x00000000821177b8  0x0000000082003818  0x00007e827c60dcd0       0         0         0  org.apache.catalina.loader.ParallelWebappClassLoader</x:v>
      </x:c>
      <x:c r="U1122" s="36" t="n">
        <x:v>30</x:v>
      </x:c>
      <x:c r="V1122" s="36" t="n">
        <x:v>0</x:v>
      </x:c>
      <x:c r="W1122" s="44"/>
      <x:c r="X1122" s="36" t="n">
        <x:v>1</x:v>
      </x:c>
      <x:c r="Y1122" s="36" t="n">
        <x:v>1</x:v>
      </x:c>
      <x:c r="Z1122" s="44" t="str">
        <x:v>/caffeine</x:v>
      </x:c>
      <x:c r="AA1122" s="45" t="b">
        <x:v>1</x:v>
      </x:c>
      <x:c r="AB1122" s="43"/>
      <x:c r="AC1122" s="34" t="str">
        <x:v>article1-unified-v4-2-fb3f101b-20260903-000401-default-f05-p4-caffeine-2-after-undeploy-final-10s-heap-info.txt</x:v>
      </x:c>
      <x:c r="AD1122" s="34" t="str">
        <x:v>article1-unified-v4-2-fb3f101b-20260903-000401-default-f05-p4-caffeine-2-after-undeploy-final-10s-classloader-stats.txt</x:v>
      </x:c>
      <x:c r="AE1122" s="34" t="str">
        <x:v>article1-unified-v4-2-fb3f101b-20260903-000401-default-f05-p4-caffeine-2-after-undeploy-final-10s-thread-dump.txt</x:v>
      </x:c>
      <x:c r="AF1122" s="34"/>
      <x:c r="AG1122" s="34" t="str">
        <x:v>article1-unified-v4-2-fb3f101b-20260903-000401-default-f05-p4-caffeine-2-after-undeploy-final-10s-native-memory.txt</x:v>
      </x:c>
      <x:c r="AH1122" s="34" t="str">
        <x:v>article1-unified-v4-2-fb3f101b-20260903-000401-default-f05-p4-caffeine-2-after-undeploy-final-10s-class-histogram.txt</x:v>
      </x:c>
      <x:c r="AI1122" s="34" t="str">
        <x:v>article1-unified-v4-2-fb3f101b-20260903-000401-default-f05-p4-caffeine-2-after-undeploy-tomcat-findleaks.txt</x:v>
      </x:c>
    </x:row>
    <x:row r="1123">
      <x:c r="A1123" s="34" t="str">
        <x:v>article1-unified-v4-2-fb3f101b-20260903-000401-default-f05-p4-caffeine</x:v>
      </x:c>
      <x:c r="B1123" s="34" t="str">
        <x:v>default</x:v>
      </x:c>
      <x:c r="C1123" s="34" t="str">
        <x:v>caffeine</x:v>
      </x:c>
      <x:c r="D1123" s="34" t="str">
        <x:v>caffeine</x:v>
      </x:c>
      <x:c r="E1123" s="36" t="n">
        <x:v>5</x:v>
      </x:c>
      <x:c r="F1123" s="36" t="n">
        <x:v>5</x:v>
      </x:c>
      <x:c r="G1123" s="36" t="n">
        <x:v>4</x:v>
      </x:c>
      <x:c r="H1123" s="36" t="n">
        <x:v>2</x:v>
      </x:c>
      <x:c r="I1123" s="34" t="str">
        <x:v>redeployedLoaded</x:v>
      </x:c>
      <x:c r="J1123" s="34" t="str">
        <x:v>redeployed-loaded</x:v>
      </x:c>
      <x:c r="K1123" s="36" t="n">
        <x:v>0</x:v>
      </x:c>
      <x:c r="L1123" s="34" t="str">
        <x:v>redeploy</x:v>
      </x:c>
      <x:c r="M1123" s="34" t="str">
        <x:v>article1-unified-v4-2-fb3f101b-20260903-000401-default-f05-p4-caffeine-2-redeployed-loaded</x:v>
      </x:c>
      <x:c r="N1123" s="38" t="n">
        <x:v>46268.07697289352</x:v>
      </x:c>
      <x:c r="O1123" s="36" t="n">
        <x:v>0</x:v>
      </x:c>
      <x:c r="P1123" s="43" t="n">
        <x:v>201697280</x:v>
      </x:c>
      <x:c r="Q1123" s="43" t="n">
        <x:v>268435456</x:v>
      </x:c>
      <x:c r="R1123" s="43" t="n">
        <x:v>445206528</x:v>
      </x:c>
      <x:c r="S1123" s="36" t="n">
        <x:v>3</x:v>
      </x:c>
      <x:c r="T1123" s="44" t="str">
        <x:v>0x00000000821177b8  0x0000000082003818  0x00007e81e8041fd0    4385  21137408  21122472  org.apache.catalina.loader.ParallelWebappClassLoader | 0x00000000821177b8  0x0000000082003818  0x00007e81b800fc20    4394  21174272  21159208  org.apache.catalina.loader.ParallelWebappClassLoader | 0x00000000821177b8  0x0000000082003818  0x00007e827c60dcd0       0         0         0  org.apache.catalina.loader.ParallelWebappClassLoader</x:v>
      </x:c>
      <x:c r="U1123" s="36" t="n">
        <x:v>30</x:v>
      </x:c>
      <x:c r="V1123" s="36" t="n">
        <x:v>0</x:v>
      </x:c>
      <x:c r="W1123" s="44"/>
      <x:c r="X1123" s="36"/>
      <x:c r="Y1123" s="36"/>
      <x:c r="Z1123" s="44"/>
      <x:c r="AA1123" s="49"/>
      <x:c r="AB1123" s="43"/>
      <x:c r="AC1123" s="34"/>
      <x:c r="AD1123" s="34"/>
      <x:c r="AE1123" s="34"/>
      <x:c r="AF1123" s="34"/>
      <x:c r="AG1123" s="34"/>
      <x:c r="AH1123" s="34"/>
      <x:c r="AI1123" s="34"/>
    </x:row>
    <x:row r="1124">
      <x:c r="A1124" s="34" t="str">
        <x:v>article1-unified-v4-2-fb3f101b-20260903-000401-default-f05-p4-caffeine</x:v>
      </x:c>
      <x:c r="B1124" s="34" t="str">
        <x:v>default</x:v>
      </x:c>
      <x:c r="C1124" s="34" t="str">
        <x:v>caffeine</x:v>
      </x:c>
      <x:c r="D1124" s="34" t="str">
        <x:v>caffeine</x:v>
      </x:c>
      <x:c r="E1124" s="36" t="n">
        <x:v>5</x:v>
      </x:c>
      <x:c r="F1124" s="36" t="n">
        <x:v>5</x:v>
      </x:c>
      <x:c r="G1124" s="36" t="n">
        <x:v>4</x:v>
      </x:c>
      <x:c r="H1124" s="36" t="n">
        <x:v>2</x:v>
      </x:c>
      <x:c r="I1124" s="34" t="str">
        <x:v>afterFinalUndeployEarly</x:v>
      </x:c>
      <x:c r="J1124" s="34" t="str">
        <x:v>after-final-undeploy-early</x:v>
      </x:c>
      <x:c r="K1124" s="36" t="n">
        <x:v>2</x:v>
      </x:c>
      <x:c r="L1124" s="34" t="str">
        <x:v>early</x:v>
      </x:c>
      <x:c r="M1124" s="34" t="str">
        <x:v>article1-unified-v4-2-fb3f101b-20260903-000401-default-f05-p4-caffeine-2-after-final-undeploy-early-2s</x:v>
      </x:c>
      <x:c r="N1124" s="38" t="n">
        <x:v>46268.077053692126</x:v>
      </x:c>
      <x:c r="O1124" s="36"/>
      <x:c r="P1124" s="43"/>
      <x:c r="Q1124" s="43"/>
      <x:c r="R1124" s="43"/>
      <x:c r="S1124" s="36"/>
      <x:c r="T1124" s="44"/>
      <x:c r="U1124" s="36" t="n">
        <x:v>30</x:v>
      </x:c>
      <x:c r="V1124" s="36" t="n">
        <x:v>0</x:v>
      </x:c>
      <x:c r="W1124" s="44"/>
      <x:c r="X1124" s="36"/>
      <x:c r="Y1124" s="36"/>
      <x:c r="Z1124" s="44"/>
      <x:c r="AA1124" s="49"/>
      <x:c r="AB1124" s="43" t="n">
        <x:v>1</x:v>
      </x:c>
      <x:c r="AC1124" s="34"/>
      <x:c r="AD1124" s="34"/>
      <x:c r="AE1124" s="34" t="str">
        <x:v>article1-unified-v4-2-fb3f101b-20260903-000401-default-f05-p4-caffeine-2-after-final-undeploy-early-2s-thread-dump.txt</x:v>
      </x:c>
      <x:c r="AF1124" s="34" t="str">
        <x:v>article1-unified-v4-2-fb3f101b-20260903-000401-default-f05-p4-caffeine-2-after-final-undeploy-early-tomcat-log.txt</x:v>
      </x:c>
      <x:c r="AG1124" s="34"/>
      <x:c r="AH1124" s="34"/>
      <x:c r="AI1124" s="34"/>
    </x:row>
    <x:row r="1125">
      <x:c r="A1125" s="34" t="str">
        <x:v>article1-unified-v4-2-fb3f101b-20260903-000401-default-f05-p4-caffeine</x:v>
      </x:c>
      <x:c r="B1125" s="34" t="str">
        <x:v>default</x:v>
      </x:c>
      <x:c r="C1125" s="34" t="str">
        <x:v>caffeine</x:v>
      </x:c>
      <x:c r="D1125" s="34" t="str">
        <x:v>caffeine</x:v>
      </x:c>
      <x:c r="E1125" s="36" t="n">
        <x:v>5</x:v>
      </x:c>
      <x:c r="F1125" s="36" t="n">
        <x:v>5</x:v>
      </x:c>
      <x:c r="G1125" s="36" t="n">
        <x:v>4</x:v>
      </x:c>
      <x:c r="H1125" s="36" t="n">
        <x:v>2</x:v>
      </x:c>
      <x:c r="I1125" s="34" t="str">
        <x:v>afterFinalUndeploy</x:v>
      </x:c>
      <x:c r="J1125" s="34" t="str">
        <x:v>after-final-undeploy-final</x:v>
      </x:c>
      <x:c r="K1125" s="36" t="n">
        <x:v>2</x:v>
      </x:c>
      <x:c r="L1125" s="34" t="str">
        <x:v>final</x:v>
      </x:c>
      <x:c r="M1125" s="34" t="str">
        <x:v>article1-unified-v4-2-fb3f101b-20260903-000401-default-f05-p4-caffeine-2-after-final-undeploy-final-10s</x:v>
      </x:c>
      <x:c r="N1125" s="38" t="n">
        <x:v>46268.07721130787</x:v>
      </x:c>
      <x:c r="O1125" s="36" t="n">
        <x:v>2</x:v>
      </x:c>
      <x:c r="P1125" s="43" t="n">
        <x:v>15622144</x:v>
      </x:c>
      <x:c r="Q1125" s="43" t="n">
        <x:v>268435456</x:v>
      </x:c>
      <x:c r="R1125" s="43" t="n">
        <x:v>420217856</x:v>
      </x:c>
      <x:c r="S1125" s="36" t="n">
        <x:v>2</x:v>
      </x:c>
      <x:c r="T1125" s="44" t="str">
        <x:v>0x00000000821177b8  0x0000000082003818  0x00007e81e8041fd0    4393  21153792  21147280  org.apache.catalina.loader.ParallelWebappClassLoader | 0x00000000821177b8  0x0000000082003818  0x00007e827c60dcd0       0         0         0  org.apache.catalina.loader.ParallelWebappClassLoader</x:v>
      </x:c>
      <x:c r="U1125" s="36" t="n">
        <x:v>30</x:v>
      </x:c>
      <x:c r="V1125" s="36" t="n">
        <x:v>0</x:v>
      </x:c>
      <x:c r="W1125" s="44"/>
      <x:c r="X1125" s="36" t="n">
        <x:v>1</x:v>
      </x:c>
      <x:c r="Y1125" s="36" t="n">
        <x:v>1</x:v>
      </x:c>
      <x:c r="Z1125" s="44" t="str">
        <x:v>/caffeine</x:v>
      </x:c>
      <x:c r="AA1125" s="45" t="b">
        <x:v>1</x:v>
      </x:c>
      <x:c r="AB1125" s="43"/>
      <x:c r="AC1125" s="34" t="str">
        <x:v>article1-unified-v4-2-fb3f101b-20260903-000401-default-f05-p4-caffeine-2-after-final-undeploy-final-10s-heap-info.txt</x:v>
      </x:c>
      <x:c r="AD1125" s="34" t="str">
        <x:v>article1-unified-v4-2-fb3f101b-20260903-000401-default-f05-p4-caffeine-2-after-final-undeploy-final-10s-classloader-stats.txt</x:v>
      </x:c>
      <x:c r="AE1125" s="34" t="str">
        <x:v>article1-unified-v4-2-fb3f101b-20260903-000401-default-f05-p4-caffeine-2-after-final-undeploy-final-10s-thread-dump.txt</x:v>
      </x:c>
      <x:c r="AF1125" s="34"/>
      <x:c r="AG1125" s="34" t="str">
        <x:v>article1-unified-v4-2-fb3f101b-20260903-000401-default-f05-p4-caffeine-2-after-final-undeploy-final-10s-native-memory.txt</x:v>
      </x:c>
      <x:c r="AH1125" s="34" t="str">
        <x:v>article1-unified-v4-2-fb3f101b-20260903-000401-default-f05-p4-caffeine-2-after-final-undeploy-final-10s-class-histogram.txt</x:v>
      </x:c>
      <x:c r="AI1125" s="34" t="str">
        <x:v>article1-unified-v4-2-fb3f101b-20260903-000401-default-f05-p4-caffeine-2-after-final-undeploy-tomcat-findleaks.txt</x:v>
      </x:c>
    </x:row>
    <x:row r="1126">
      <x:c r="A1126" s="34" t="str">
        <x:v>article1-unified-v4-2-fb3f101b-20260903-000401-default-f05-p4-caffeine</x:v>
      </x:c>
      <x:c r="B1126" s="34" t="str">
        <x:v>default</x:v>
      </x:c>
      <x:c r="C1126" s="34" t="str">
        <x:v>caffeine</x:v>
      </x:c>
      <x:c r="D1126" s="34" t="str">
        <x:v>caffeine</x:v>
      </x:c>
      <x:c r="E1126" s="36" t="n">
        <x:v>5</x:v>
      </x:c>
      <x:c r="F1126" s="36" t="n">
        <x:v>5</x:v>
      </x:c>
      <x:c r="G1126" s="36" t="n">
        <x:v>4</x:v>
      </x:c>
      <x:c r="H1126" s="36" t="n">
        <x:v>3</x:v>
      </x:c>
      <x:c r="I1126" s="34" t="str">
        <x:v>baseline</x:v>
      </x:c>
      <x:c r="J1126" s="34" t="str">
        <x:v>cycle-baseline</x:v>
      </x:c>
      <x:c r="K1126" s="36" t="n">
        <x:v>0</x:v>
      </x:c>
      <x:c r="L1126" s="34" t="str">
        <x:v>baseline</x:v>
      </x:c>
      <x:c r="M1126" s="34" t="str">
        <x:v>article1-unified-v4-2-fb3f101b-20260903-000401-default-f05-p4-caffeine-3-baseline</x:v>
      </x:c>
      <x:c r="N1126" s="38" t="n">
        <x:v>46268.07725837963</x:v>
      </x:c>
      <x:c r="O1126" s="36" t="n">
        <x:v>0</x:v>
      </x:c>
      <x:c r="P1126" s="43" t="n">
        <x:v>15622144</x:v>
      </x:c>
      <x:c r="Q1126" s="43" t="n">
        <x:v>268435456</x:v>
      </x:c>
      <x:c r="R1126" s="43" t="n">
        <x:v>420052992</x:v>
      </x:c>
      <x:c r="S1126" s="36" t="n">
        <x:v>2</x:v>
      </x:c>
      <x:c r="T1126" s="44" t="str">
        <x:v>0x00000000821177b8  0x0000000082003818  0x00007e81e8041fd0    4393  21153792  21147280  org.apache.catalina.loader.ParallelWebappClassLoader | 0x00000000821177b8  0x0000000082003818  0x00007e827c60dcd0       0         0         0  org.apache.catalina.loader.ParallelWebappClassLoader</x:v>
      </x:c>
      <x:c r="U1126" s="36" t="n">
        <x:v>30</x:v>
      </x:c>
      <x:c r="V1126" s="36" t="n">
        <x:v>0</x:v>
      </x:c>
      <x:c r="W1126" s="44"/>
      <x:c r="X1126" s="36"/>
      <x:c r="Y1126" s="36"/>
      <x:c r="Z1126" s="44"/>
      <x:c r="AA1126" s="49"/>
      <x:c r="AB1126" s="43"/>
      <x:c r="AC1126" s="34" t="str">
        <x:v>article1-unified-v4-2-fb3f101b-20260903-000401-default-f05-p4-caffeine-3-baseline-heap-info.txt</x:v>
      </x:c>
      <x:c r="AD1126" s="34" t="str">
        <x:v>article1-unified-v4-2-fb3f101b-20260903-000401-default-f05-p4-caffeine-3-baseline-classloader-stats.txt</x:v>
      </x:c>
      <x:c r="AE1126" s="34" t="str">
        <x:v>article1-unified-v4-2-fb3f101b-20260903-000401-default-f05-p4-caffeine-3-baseline-thread-dump.txt</x:v>
      </x:c>
      <x:c r="AF1126" s="34"/>
      <x:c r="AG1126" s="34" t="str">
        <x:v>article1-unified-v4-2-fb3f101b-20260903-000401-default-f05-p4-caffeine-3-baseline-native-memory.txt</x:v>
      </x:c>
      <x:c r="AH1126" s="34"/>
      <x:c r="AI1126" s="34"/>
    </x:row>
    <x:row r="1127">
      <x:c r="A1127" s="34" t="str">
        <x:v>article1-unified-v4-2-fb3f101b-20260903-000401-default-f05-p4-caffeine</x:v>
      </x:c>
      <x:c r="B1127" s="34" t="str">
        <x:v>default</x:v>
      </x:c>
      <x:c r="C1127" s="34" t="str">
        <x:v>caffeine</x:v>
      </x:c>
      <x:c r="D1127" s="34" t="str">
        <x:v>caffeine</x:v>
      </x:c>
      <x:c r="E1127" s="36" t="n">
        <x:v>5</x:v>
      </x:c>
      <x:c r="F1127" s="36" t="n">
        <x:v>5</x:v>
      </x:c>
      <x:c r="G1127" s="36" t="n">
        <x:v>4</x:v>
      </x:c>
      <x:c r="H1127" s="36" t="n">
        <x:v>3</x:v>
      </x:c>
      <x:c r="I1127" s="34" t="str">
        <x:v>deployedIdle</x:v>
      </x:c>
      <x:c r="J1127" s="34" t="str">
        <x:v>deployed-idle</x:v>
      </x:c>
      <x:c r="K1127" s="36" t="n">
        <x:v>0</x:v>
      </x:c>
      <x:c r="L1127" s="34" t="str">
        <x:v>initial</x:v>
      </x:c>
      <x:c r="M1127" s="34" t="str">
        <x:v>article1-unified-v4-2-fb3f101b-20260903-000401-default-f05-p4-caffeine-3-deployed-idle</x:v>
      </x:c>
      <x:c r="N1127" s="38" t="n">
        <x:v>46268.0773575</x:v>
      </x:c>
      <x:c r="O1127" s="36" t="n">
        <x:v>0</x:v>
      </x:c>
      <x:c r="P1127" s="43" t="n">
        <x:v>169560064</x:v>
      </x:c>
      <x:c r="Q1127" s="43" t="n">
        <x:v>268435456</x:v>
      </x:c>
      <x:c r="R1127" s="43" t="n">
        <x:v>440972288</x:v>
      </x:c>
      <x:c r="S1127" s="36" t="n">
        <x:v>3</x:v>
      </x:c>
      <x:c r="T1127" s="44" t="str">
        <x:v>0x00000000821177b8  0x0000000082003818  0x00007e81e8041fd0    4393  21153792  21147280  org.apache.catalina.loader.ParallelWebappClassLoader | 0x00000000821177b8  0x0000000082003818  0x00007e817c1abd20    4091  19440640  19427456  org.apache.catalina.loader.ParallelWebappClassLoader | 0x00000000821177b8  0x0000000082003818  0x00007e827c60dcd0       0         0         0  org.apache.catalina.loader.ParallelWebappClassLoader</x:v>
      </x:c>
      <x:c r="U1127" s="36" t="n">
        <x:v>30</x:v>
      </x:c>
      <x:c r="V1127" s="36" t="n">
        <x:v>0</x:v>
      </x:c>
      <x:c r="W1127" s="44"/>
      <x:c r="X1127" s="36"/>
      <x:c r="Y1127" s="36"/>
      <x:c r="Z1127" s="44"/>
      <x:c r="AA1127" s="49"/>
      <x:c r="AB1127" s="43"/>
      <x:c r="AC1127" s="34"/>
      <x:c r="AD1127" s="34"/>
      <x:c r="AE1127" s="34"/>
      <x:c r="AF1127" s="34"/>
      <x:c r="AG1127" s="34"/>
      <x:c r="AH1127" s="34"/>
      <x:c r="AI1127" s="34"/>
    </x:row>
    <x:row r="1128">
      <x:c r="A1128" s="34" t="str">
        <x:v>article1-unified-v4-2-fb3f101b-20260903-000401-default-f05-p4-caffeine</x:v>
      </x:c>
      <x:c r="B1128" s="34" t="str">
        <x:v>default</x:v>
      </x:c>
      <x:c r="C1128" s="34" t="str">
        <x:v>caffeine</x:v>
      </x:c>
      <x:c r="D1128" s="34" t="str">
        <x:v>caffeine</x:v>
      </x:c>
      <x:c r="E1128" s="36" t="n">
        <x:v>5</x:v>
      </x:c>
      <x:c r="F1128" s="36" t="n">
        <x:v>5</x:v>
      </x:c>
      <x:c r="G1128" s="36" t="n">
        <x:v>4</x:v>
      </x:c>
      <x:c r="H1128" s="36" t="n">
        <x:v>3</x:v>
      </x:c>
      <x:c r="I1128" s="34" t="str">
        <x:v>loaded</x:v>
      </x:c>
      <x:c r="J1128" s="34" t="str">
        <x:v>loaded</x:v>
      </x:c>
      <x:c r="K1128" s="36" t="n">
        <x:v>0</x:v>
      </x:c>
      <x:c r="L1128" s="34" t="str">
        <x:v>initial</x:v>
      </x:c>
      <x:c r="M1128" s="34" t="str">
        <x:v>article1-unified-v4-2-fb3f101b-20260903-000401-default-f05-p4-caffeine-3-loaded</x:v>
      </x:c>
      <x:c r="N1128" s="38" t="n">
        <x:v>46268.07751193287</x:v>
      </x:c>
      <x:c r="O1128" s="36" t="n">
        <x:v>0</x:v>
      </x:c>
      <x:c r="P1128" s="43" t="n">
        <x:v>207321088</x:v>
      </x:c>
      <x:c r="Q1128" s="43" t="n">
        <x:v>268435456</x:v>
      </x:c>
      <x:c r="R1128" s="43" t="n">
        <x:v>447044608</x:v>
      </x:c>
      <x:c r="S1128" s="36" t="n">
        <x:v>3</x:v>
      </x:c>
      <x:c r="T1128" s="44" t="str">
        <x:v>0x00000000821177b8  0x0000000082003818  0x00007e81e8041fd0    4393  21153792  21147280  org.apache.catalina.loader.ParallelWebappClassLoader | 0x00000000821177b8  0x0000000082003818  0x00007e817c1abd20    4386  21144576  21122656  org.apache.catalina.loader.ParallelWebappClassLoader | 0x00000000821177b8  0x0000000082003818  0x00007e827c60dcd0       0         0         0  org.apache.catalina.loader.ParallelWebappClassLoader</x:v>
      </x:c>
      <x:c r="U1128" s="36" t="n">
        <x:v>31</x:v>
      </x:c>
      <x:c r="V1128" s="36" t="n">
        <x:v>0</x:v>
      </x:c>
      <x:c r="W1128" s="44"/>
      <x:c r="X1128" s="36"/>
      <x:c r="Y1128" s="36"/>
      <x:c r="Z1128" s="44"/>
      <x:c r="AA1128" s="49"/>
      <x:c r="AB1128" s="43"/>
      <x:c r="AC1128" s="34"/>
      <x:c r="AD1128" s="34"/>
      <x:c r="AE1128" s="34"/>
      <x:c r="AF1128" s="34"/>
      <x:c r="AG1128" s="34"/>
      <x:c r="AH1128" s="34"/>
      <x:c r="AI1128" s="34"/>
    </x:row>
    <x:row r="1129">
      <x:c r="A1129" s="34" t="str">
        <x:v>article1-unified-v4-2-fb3f101b-20260903-000401-default-f05-p4-caffeine</x:v>
      </x:c>
      <x:c r="B1129" s="34" t="str">
        <x:v>default</x:v>
      </x:c>
      <x:c r="C1129" s="34" t="str">
        <x:v>caffeine</x:v>
      </x:c>
      <x:c r="D1129" s="34" t="str">
        <x:v>caffeine</x:v>
      </x:c>
      <x:c r="E1129" s="36" t="n">
        <x:v>5</x:v>
      </x:c>
      <x:c r="F1129" s="36" t="n">
        <x:v>5</x:v>
      </x:c>
      <x:c r="G1129" s="36" t="n">
        <x:v>4</x:v>
      </x:c>
      <x:c r="H1129" s="36" t="n">
        <x:v>3</x:v>
      </x:c>
      <x:c r="I1129" s="34" t="str">
        <x:v>afterUndeployEarly</x:v>
      </x:c>
      <x:c r="J1129" s="34" t="str">
        <x:v>after-undeploy-early</x:v>
      </x:c>
      <x:c r="K1129" s="36" t="n">
        <x:v>1</x:v>
      </x:c>
      <x:c r="L1129" s="34" t="str">
        <x:v>early</x:v>
      </x:c>
      <x:c r="M1129" s="34" t="str">
        <x:v>article1-unified-v4-2-fb3f101b-20260903-000401-default-f05-p4-caffeine-3-after-undeploy-early-2s</x:v>
      </x:c>
      <x:c r="N1129" s="38" t="n">
        <x:v>46268.07759425926</x:v>
      </x:c>
      <x:c r="O1129" s="36"/>
      <x:c r="P1129" s="43"/>
      <x:c r="Q1129" s="43"/>
      <x:c r="R1129" s="43"/>
      <x:c r="S1129" s="36"/>
      <x:c r="T1129" s="44"/>
      <x:c r="U1129" s="36" t="n">
        <x:v>30</x:v>
      </x:c>
      <x:c r="V1129" s="36" t="n">
        <x:v>0</x:v>
      </x:c>
      <x:c r="W1129" s="44"/>
      <x:c r="X1129" s="36"/>
      <x:c r="Y1129" s="36"/>
      <x:c r="Z1129" s="44"/>
      <x:c r="AA1129" s="49"/>
      <x:c r="AB1129" s="43" t="n">
        <x:v>1</x:v>
      </x:c>
      <x:c r="AC1129" s="34"/>
      <x:c r="AD1129" s="34"/>
      <x:c r="AE1129" s="34" t="str">
        <x:v>article1-unified-v4-2-fb3f101b-20260903-000401-default-f05-p4-caffeine-3-after-undeploy-early-2s-thread-dump.txt</x:v>
      </x:c>
      <x:c r="AF1129" s="34" t="str">
        <x:v>article1-unified-v4-2-fb3f101b-20260903-000401-default-f05-p4-caffeine-3-after-undeploy-early-tomcat-log.txt</x:v>
      </x:c>
      <x:c r="AG1129" s="34"/>
      <x:c r="AH1129" s="34"/>
      <x:c r="AI1129" s="34"/>
    </x:row>
    <x:row r="1130">
      <x:c r="A1130" s="34" t="str">
        <x:v>article1-unified-v4-2-fb3f101b-20260903-000401-default-f05-p4-caffeine</x:v>
      </x:c>
      <x:c r="B1130" s="34" t="str">
        <x:v>default</x:v>
      </x:c>
      <x:c r="C1130" s="34" t="str">
        <x:v>caffeine</x:v>
      </x:c>
      <x:c r="D1130" s="34" t="str">
        <x:v>caffeine</x:v>
      </x:c>
      <x:c r="E1130" s="36" t="n">
        <x:v>5</x:v>
      </x:c>
      <x:c r="F1130" s="36" t="n">
        <x:v>5</x:v>
      </x:c>
      <x:c r="G1130" s="36" t="n">
        <x:v>4</x:v>
      </x:c>
      <x:c r="H1130" s="36" t="n">
        <x:v>3</x:v>
      </x:c>
      <x:c r="I1130" s="34" t="str">
        <x:v>afterUndeploy</x:v>
      </x:c>
      <x:c r="J1130" s="34" t="str">
        <x:v>after-undeploy-final</x:v>
      </x:c>
      <x:c r="K1130" s="36" t="n">
        <x:v>1</x:v>
      </x:c>
      <x:c r="L1130" s="34" t="str">
        <x:v>final</x:v>
      </x:c>
      <x:c r="M1130" s="34" t="str">
        <x:v>article1-unified-v4-2-fb3f101b-20260903-000401-default-f05-p4-caffeine-3-after-undeploy-final-10s</x:v>
      </x:c>
      <x:c r="N1130" s="38" t="n">
        <x:v>46268.07774900463</x:v>
      </x:c>
      <x:c r="O1130" s="36" t="n">
        <x:v>2</x:v>
      </x:c>
      <x:c r="P1130" s="43" t="n">
        <x:v>15643648</x:v>
      </x:c>
      <x:c r="Q1130" s="43" t="n">
        <x:v>268435456</x:v>
      </x:c>
      <x:c r="R1130" s="43" t="n">
        <x:v>426323968</x:v>
      </x:c>
      <x:c r="S1130" s="36" t="n">
        <x:v>2</x:v>
      </x:c>
      <x:c r="T1130" s="44" t="str">
        <x:v>0x00000000821177b8  0x0000000082003818  0x00007e817c1abd20    4394  21160960  21147336  org.apache.catalina.loader.ParallelWebappClassLoader | 0x00000000821177b8  0x0000000082003818  0x00007e827c60dcd0       0         0         0  org.apache.catalina.loader.ParallelWebappClassLoader</x:v>
      </x:c>
      <x:c r="U1130" s="36" t="n">
        <x:v>30</x:v>
      </x:c>
      <x:c r="V1130" s="36" t="n">
        <x:v>0</x:v>
      </x:c>
      <x:c r="W1130" s="44"/>
      <x:c r="X1130" s="36" t="n">
        <x:v>1</x:v>
      </x:c>
      <x:c r="Y1130" s="36" t="n">
        <x:v>1</x:v>
      </x:c>
      <x:c r="Z1130" s="44" t="str">
        <x:v>/caffeine</x:v>
      </x:c>
      <x:c r="AA1130" s="45" t="b">
        <x:v>1</x:v>
      </x:c>
      <x:c r="AB1130" s="43"/>
      <x:c r="AC1130" s="34" t="str">
        <x:v>article1-unified-v4-2-fb3f101b-20260903-000401-default-f05-p4-caffeine-3-after-undeploy-final-10s-heap-info.txt</x:v>
      </x:c>
      <x:c r="AD1130" s="34" t="str">
        <x:v>article1-unified-v4-2-fb3f101b-20260903-000401-default-f05-p4-caffeine-3-after-undeploy-final-10s-classloader-stats.txt</x:v>
      </x:c>
      <x:c r="AE1130" s="34" t="str">
        <x:v>article1-unified-v4-2-fb3f101b-20260903-000401-default-f05-p4-caffeine-3-after-undeploy-final-10s-thread-dump.txt</x:v>
      </x:c>
      <x:c r="AF1130" s="34"/>
      <x:c r="AG1130" s="34" t="str">
        <x:v>article1-unified-v4-2-fb3f101b-20260903-000401-default-f05-p4-caffeine-3-after-undeploy-final-10s-native-memory.txt</x:v>
      </x:c>
      <x:c r="AH1130" s="34" t="str">
        <x:v>article1-unified-v4-2-fb3f101b-20260903-000401-default-f05-p4-caffeine-3-after-undeploy-final-10s-class-histogram.txt</x:v>
      </x:c>
      <x:c r="AI1130" s="34" t="str">
        <x:v>article1-unified-v4-2-fb3f101b-20260903-000401-default-f05-p4-caffeine-3-after-undeploy-tomcat-findleaks.txt</x:v>
      </x:c>
    </x:row>
    <x:row r="1131">
      <x:c r="A1131" s="34" t="str">
        <x:v>article1-unified-v4-2-fb3f101b-20260903-000401-default-f05-p4-caffeine</x:v>
      </x:c>
      <x:c r="B1131" s="34" t="str">
        <x:v>default</x:v>
      </x:c>
      <x:c r="C1131" s="34" t="str">
        <x:v>caffeine</x:v>
      </x:c>
      <x:c r="D1131" s="34" t="str">
        <x:v>caffeine</x:v>
      </x:c>
      <x:c r="E1131" s="36" t="n">
        <x:v>5</x:v>
      </x:c>
      <x:c r="F1131" s="36" t="n">
        <x:v>5</x:v>
      </x:c>
      <x:c r="G1131" s="36" t="n">
        <x:v>4</x:v>
      </x:c>
      <x:c r="H1131" s="36" t="n">
        <x:v>3</x:v>
      </x:c>
      <x:c r="I1131" s="34" t="str">
        <x:v>redeployedLoaded</x:v>
      </x:c>
      <x:c r="J1131" s="34" t="str">
        <x:v>redeployed-loaded</x:v>
      </x:c>
      <x:c r="K1131" s="36" t="n">
        <x:v>0</x:v>
      </x:c>
      <x:c r="L1131" s="34" t="str">
        <x:v>redeploy</x:v>
      </x:c>
      <x:c r="M1131" s="34" t="str">
        <x:v>article1-unified-v4-2-fb3f101b-20260903-000401-default-f05-p4-caffeine-3-redeployed-loaded</x:v>
      </x:c>
      <x:c r="N1131" s="38" t="n">
        <x:v>46268.078005208336</x:v>
      </x:c>
      <x:c r="O1131" s="36" t="n">
        <x:v>0</x:v>
      </x:c>
      <x:c r="P1131" s="43" t="n">
        <x:v>200964096</x:v>
      </x:c>
      <x:c r="Q1131" s="43" t="n">
        <x:v>268435456</x:v>
      </x:c>
      <x:c r="R1131" s="43" t="n">
        <x:v>446386176</x:v>
      </x:c>
      <x:c r="S1131" s="36" t="n">
        <x:v>3</x:v>
      </x:c>
      <x:c r="T1131" s="44" t="str">
        <x:v>0x00000000821177b8  0x0000000082003818  0x00007e818c18e2d0    4386  21131264  21126672  org.apache.catalina.loader.ParallelWebappClassLoader | 0x00000000821177b8  0x0000000082003818  0x00007e817c1abd20    4394  21160960  21147336  org.apache.catalina.loader.ParallelWebappClassLoader | 0x00000000821177b8  0x0000000082003818  0x00007e827c60dcd0       0         0         0  org.apache.catalina.loader.ParallelWebappClassLoader</x:v>
      </x:c>
      <x:c r="U1131" s="36" t="n">
        <x:v>30</x:v>
      </x:c>
      <x:c r="V1131" s="36" t="n">
        <x:v>0</x:v>
      </x:c>
      <x:c r="W1131" s="44"/>
      <x:c r="X1131" s="36"/>
      <x:c r="Y1131" s="36"/>
      <x:c r="Z1131" s="44"/>
      <x:c r="AA1131" s="49"/>
      <x:c r="AB1131" s="43"/>
      <x:c r="AC1131" s="34"/>
      <x:c r="AD1131" s="34"/>
      <x:c r="AE1131" s="34"/>
      <x:c r="AF1131" s="34"/>
      <x:c r="AG1131" s="34"/>
      <x:c r="AH1131" s="34"/>
      <x:c r="AI1131" s="34"/>
    </x:row>
    <x:row r="1132">
      <x:c r="A1132" s="34" t="str">
        <x:v>article1-unified-v4-2-fb3f101b-20260903-000401-default-f05-p4-caffeine</x:v>
      </x:c>
      <x:c r="B1132" s="34" t="str">
        <x:v>default</x:v>
      </x:c>
      <x:c r="C1132" s="34" t="str">
        <x:v>caffeine</x:v>
      </x:c>
      <x:c r="D1132" s="34" t="str">
        <x:v>caffeine</x:v>
      </x:c>
      <x:c r="E1132" s="36" t="n">
        <x:v>5</x:v>
      </x:c>
      <x:c r="F1132" s="36" t="n">
        <x:v>5</x:v>
      </x:c>
      <x:c r="G1132" s="36" t="n">
        <x:v>4</x:v>
      </x:c>
      <x:c r="H1132" s="36" t="n">
        <x:v>3</x:v>
      </x:c>
      <x:c r="I1132" s="34" t="str">
        <x:v>afterFinalUndeployEarly</x:v>
      </x:c>
      <x:c r="J1132" s="34" t="str">
        <x:v>after-final-undeploy-early</x:v>
      </x:c>
      <x:c r="K1132" s="36" t="n">
        <x:v>2</x:v>
      </x:c>
      <x:c r="L1132" s="34" t="str">
        <x:v>early</x:v>
      </x:c>
      <x:c r="M1132" s="34" t="str">
        <x:v>article1-unified-v4-2-fb3f101b-20260903-000401-default-f05-p4-caffeine-3-after-final-undeploy-early-2s</x:v>
      </x:c>
      <x:c r="N1132" s="38" t="n">
        <x:v>46268.07808828704</x:v>
      </x:c>
      <x:c r="O1132" s="36"/>
      <x:c r="P1132" s="43"/>
      <x:c r="Q1132" s="43"/>
      <x:c r="R1132" s="43"/>
      <x:c r="S1132" s="36"/>
      <x:c r="T1132" s="44"/>
      <x:c r="U1132" s="36" t="n">
        <x:v>30</x:v>
      </x:c>
      <x:c r="V1132" s="36" t="n">
        <x:v>0</x:v>
      </x:c>
      <x:c r="W1132" s="44"/>
      <x:c r="X1132" s="36"/>
      <x:c r="Y1132" s="36"/>
      <x:c r="Z1132" s="44"/>
      <x:c r="AA1132" s="49"/>
      <x:c r="AB1132" s="43" t="n">
        <x:v>1</x:v>
      </x:c>
      <x:c r="AC1132" s="34"/>
      <x:c r="AD1132" s="34"/>
      <x:c r="AE1132" s="34" t="str">
        <x:v>article1-unified-v4-2-fb3f101b-20260903-000401-default-f05-p4-caffeine-3-after-final-undeploy-early-2s-thread-dump.txt</x:v>
      </x:c>
      <x:c r="AF1132" s="34" t="str">
        <x:v>article1-unified-v4-2-fb3f101b-20260903-000401-default-f05-p4-caffeine-3-after-final-undeploy-early-tomcat-log.txt</x:v>
      </x:c>
      <x:c r="AG1132" s="34"/>
      <x:c r="AH1132" s="34"/>
      <x:c r="AI1132" s="34"/>
    </x:row>
    <x:row r="1133">
      <x:c r="A1133" s="34" t="str">
        <x:v>article1-unified-v4-2-fb3f101b-20260903-000401-default-f05-p4-caffeine</x:v>
      </x:c>
      <x:c r="B1133" s="34" t="str">
        <x:v>default</x:v>
      </x:c>
      <x:c r="C1133" s="34" t="str">
        <x:v>caffeine</x:v>
      </x:c>
      <x:c r="D1133" s="34" t="str">
        <x:v>caffeine</x:v>
      </x:c>
      <x:c r="E1133" s="36" t="n">
        <x:v>5</x:v>
      </x:c>
      <x:c r="F1133" s="36" t="n">
        <x:v>5</x:v>
      </x:c>
      <x:c r="G1133" s="36" t="n">
        <x:v>4</x:v>
      </x:c>
      <x:c r="H1133" s="36" t="n">
        <x:v>3</x:v>
      </x:c>
      <x:c r="I1133" s="34" t="str">
        <x:v>afterFinalUndeploy</x:v>
      </x:c>
      <x:c r="J1133" s="34" t="str">
        <x:v>after-final-undeploy-final</x:v>
      </x:c>
      <x:c r="K1133" s="36" t="n">
        <x:v>2</x:v>
      </x:c>
      <x:c r="L1133" s="34" t="str">
        <x:v>final</x:v>
      </x:c>
      <x:c r="M1133" s="34" t="str">
        <x:v>article1-unified-v4-2-fb3f101b-20260903-000401-default-f05-p4-caffeine-3-after-final-undeploy-final-10s</x:v>
      </x:c>
      <x:c r="N1133" s="38" t="n">
        <x:v>46268.07824181713</x:v>
      </x:c>
      <x:c r="O1133" s="36" t="n">
        <x:v>2</x:v>
      </x:c>
      <x:c r="P1133" s="43" t="n">
        <x:v>15633408</x:v>
      </x:c>
      <x:c r="Q1133" s="43" t="n">
        <x:v>268435456</x:v>
      </x:c>
      <x:c r="R1133" s="43" t="n">
        <x:v>422617088</x:v>
      </x:c>
      <x:c r="S1133" s="36" t="n">
        <x:v>2</x:v>
      </x:c>
      <x:c r="T1133" s="44" t="str">
        <x:v>0x00000000821177b8  0x0000000082003818  0x00007e818c18e2d0    4394  21179392  21151224  org.apache.catalina.loader.ParallelWebappClassLoader | 0x00000000821177b8  0x0000000082003818  0x00007e827c60dcd0       0         0         0  org.apache.catalina.loader.ParallelWebappClassLoader</x:v>
      </x:c>
      <x:c r="U1133" s="36" t="n">
        <x:v>30</x:v>
      </x:c>
      <x:c r="V1133" s="36" t="n">
        <x:v>0</x:v>
      </x:c>
      <x:c r="W1133" s="44"/>
      <x:c r="X1133" s="36" t="n">
        <x:v>1</x:v>
      </x:c>
      <x:c r="Y1133" s="36" t="n">
        <x:v>1</x:v>
      </x:c>
      <x:c r="Z1133" s="44" t="str">
        <x:v>/caffeine</x:v>
      </x:c>
      <x:c r="AA1133" s="45" t="b">
        <x:v>1</x:v>
      </x:c>
      <x:c r="AB1133" s="43"/>
      <x:c r="AC1133" s="34" t="str">
        <x:v>article1-unified-v4-2-fb3f101b-20260903-000401-default-f05-p4-caffeine-3-after-final-undeploy-final-10s-heap-info.txt</x:v>
      </x:c>
      <x:c r="AD1133" s="34" t="str">
        <x:v>article1-unified-v4-2-fb3f101b-20260903-000401-default-f05-p4-caffeine-3-after-final-undeploy-final-10s-classloader-stats.txt</x:v>
      </x:c>
      <x:c r="AE1133" s="34" t="str">
        <x:v>article1-unified-v4-2-fb3f101b-20260903-000401-default-f05-p4-caffeine-3-after-final-undeploy-final-10s-thread-dump.txt</x:v>
      </x:c>
      <x:c r="AF1133" s="34"/>
      <x:c r="AG1133" s="34" t="str">
        <x:v>article1-unified-v4-2-fb3f101b-20260903-000401-default-f05-p4-caffeine-3-after-final-undeploy-final-10s-native-memory.txt</x:v>
      </x:c>
      <x:c r="AH1133" s="34" t="str">
        <x:v>article1-unified-v4-2-fb3f101b-20260903-000401-default-f05-p4-caffeine-3-after-final-undeploy-final-10s-class-histogram.txt</x:v>
      </x:c>
      <x:c r="AI1133" s="34" t="str">
        <x:v>article1-unified-v4-2-fb3f101b-20260903-000401-default-f05-p4-caffeine-3-after-final-undeploy-tomcat-findleaks.txt</x:v>
      </x:c>
    </x:row>
    <x:row r="1134">
      <x:c r="A1134" s="34" t="str">
        <x:v>article1-unified-v4-2-fb3f101b-20260903-000401-default-f05-p4-caffeine</x:v>
      </x:c>
      <x:c r="B1134" s="34" t="str">
        <x:v>default</x:v>
      </x:c>
      <x:c r="C1134" s="34" t="str">
        <x:v>caffeine</x:v>
      </x:c>
      <x:c r="D1134" s="34" t="str">
        <x:v>caffeine</x:v>
      </x:c>
      <x:c r="E1134" s="36" t="n">
        <x:v>5</x:v>
      </x:c>
      <x:c r="F1134" s="36" t="n">
        <x:v>5</x:v>
      </x:c>
      <x:c r="G1134" s="36" t="n">
        <x:v>4</x:v>
      </x:c>
      <x:c r="H1134" s="36" t="n">
        <x:v>4</x:v>
      </x:c>
      <x:c r="I1134" s="34" t="str">
        <x:v>baseline</x:v>
      </x:c>
      <x:c r="J1134" s="34" t="str">
        <x:v>cycle-baseline</x:v>
      </x:c>
      <x:c r="K1134" s="36" t="n">
        <x:v>0</x:v>
      </x:c>
      <x:c r="L1134" s="34" t="str">
        <x:v>baseline</x:v>
      </x:c>
      <x:c r="M1134" s="34" t="str">
        <x:v>article1-unified-v4-2-fb3f101b-20260903-000401-default-f05-p4-caffeine-4-baseline</x:v>
      </x:c>
      <x:c r="N1134" s="38" t="n">
        <x:v>46268.07828297454</x:v>
      </x:c>
      <x:c r="O1134" s="36" t="n">
        <x:v>0</x:v>
      </x:c>
      <x:c r="P1134" s="43" t="n">
        <x:v>15633408</x:v>
      </x:c>
      <x:c r="Q1134" s="43" t="n">
        <x:v>268435456</x:v>
      </x:c>
      <x:c r="R1134" s="43" t="n">
        <x:v>422576128</x:v>
      </x:c>
      <x:c r="S1134" s="36" t="n">
        <x:v>2</x:v>
      </x:c>
      <x:c r="T1134" s="44" t="str">
        <x:v>0x00000000821177b8  0x0000000082003818  0x00007e818c18e2d0    4394  21179392  21151224  org.apache.catalina.loader.ParallelWebappClassLoader | 0x00000000821177b8  0x0000000082003818  0x00007e827c60dcd0       0         0         0  org.apache.catalina.loader.ParallelWebappClassLoader</x:v>
      </x:c>
      <x:c r="U1134" s="36" t="n">
        <x:v>30</x:v>
      </x:c>
      <x:c r="V1134" s="36" t="n">
        <x:v>0</x:v>
      </x:c>
      <x:c r="W1134" s="44"/>
      <x:c r="X1134" s="36"/>
      <x:c r="Y1134" s="36"/>
      <x:c r="Z1134" s="44"/>
      <x:c r="AA1134" s="49"/>
      <x:c r="AB1134" s="43"/>
      <x:c r="AC1134" s="34" t="str">
        <x:v>article1-unified-v4-2-fb3f101b-20260903-000401-default-f05-p4-caffeine-4-baseline-heap-info.txt</x:v>
      </x:c>
      <x:c r="AD1134" s="34" t="str">
        <x:v>article1-unified-v4-2-fb3f101b-20260903-000401-default-f05-p4-caffeine-4-baseline-classloader-stats.txt</x:v>
      </x:c>
      <x:c r="AE1134" s="34" t="str">
        <x:v>article1-unified-v4-2-fb3f101b-20260903-000401-default-f05-p4-caffeine-4-baseline-thread-dump.txt</x:v>
      </x:c>
      <x:c r="AF1134" s="34"/>
      <x:c r="AG1134" s="34" t="str">
        <x:v>article1-unified-v4-2-fb3f101b-20260903-000401-default-f05-p4-caffeine-4-baseline-native-memory.txt</x:v>
      </x:c>
      <x:c r="AH1134" s="34"/>
      <x:c r="AI1134" s="34"/>
    </x:row>
    <x:row r="1135">
      <x:c r="A1135" s="34" t="str">
        <x:v>article1-unified-v4-2-fb3f101b-20260903-000401-default-f05-p4-caffeine</x:v>
      </x:c>
      <x:c r="B1135" s="34" t="str">
        <x:v>default</x:v>
      </x:c>
      <x:c r="C1135" s="34" t="str">
        <x:v>caffeine</x:v>
      </x:c>
      <x:c r="D1135" s="34" t="str">
        <x:v>caffeine</x:v>
      </x:c>
      <x:c r="E1135" s="36" t="n">
        <x:v>5</x:v>
      </x:c>
      <x:c r="F1135" s="36" t="n">
        <x:v>5</x:v>
      </x:c>
      <x:c r="G1135" s="36" t="n">
        <x:v>4</x:v>
      </x:c>
      <x:c r="H1135" s="36" t="n">
        <x:v>4</x:v>
      </x:c>
      <x:c r="I1135" s="34" t="str">
        <x:v>deployedIdle</x:v>
      </x:c>
      <x:c r="J1135" s="34" t="str">
        <x:v>deployed-idle</x:v>
      </x:c>
      <x:c r="K1135" s="36" t="n">
        <x:v>0</x:v>
      </x:c>
      <x:c r="L1135" s="34" t="str">
        <x:v>initial</x:v>
      </x:c>
      <x:c r="M1135" s="34" t="str">
        <x:v>article1-unified-v4-2-fb3f101b-20260903-000401-default-f05-p4-caffeine-4-deployed-idle</x:v>
      </x:c>
      <x:c r="N1135" s="38" t="n">
        <x:v>46268.07838130787</x:v>
      </x:c>
      <x:c r="O1135" s="36" t="n">
        <x:v>0</x:v>
      </x:c>
      <x:c r="P1135" s="43" t="n">
        <x:v>166095872</x:v>
      </x:c>
      <x:c r="Q1135" s="43" t="n">
        <x:v>268435456</x:v>
      </x:c>
      <x:c r="R1135" s="43" t="n">
        <x:v>442481664</x:v>
      </x:c>
      <x:c r="S1135" s="36" t="n">
        <x:v>3</x:v>
      </x:c>
      <x:c r="T1135" s="44" t="str">
        <x:v>0x00000000821177b8  0x0000000082003818  0x00007e81b401f090    4091  19445760  19423888  org.apache.catalina.loader.ParallelWebappClassLoader | 0x00000000821177b8  0x0000000082003818  0x00007e818c18e2d0    4394  21179392  21151224  org.apache.catalina.loader.ParallelWebappClassLoader | 0x00000000821177b8  0x0000000082003818  0x00007e827c60dcd0       0         0         0  org.apache.catalina.loader.ParallelWebappClassLoader</x:v>
      </x:c>
      <x:c r="U1135" s="36" t="n">
        <x:v>30</x:v>
      </x:c>
      <x:c r="V1135" s="36" t="n">
        <x:v>0</x:v>
      </x:c>
      <x:c r="W1135" s="44"/>
      <x:c r="X1135" s="36"/>
      <x:c r="Y1135" s="36"/>
      <x:c r="Z1135" s="44"/>
      <x:c r="AA1135" s="49"/>
      <x:c r="AB1135" s="43"/>
      <x:c r="AC1135" s="34"/>
      <x:c r="AD1135" s="34"/>
      <x:c r="AE1135" s="34"/>
      <x:c r="AF1135" s="34"/>
      <x:c r="AG1135" s="34"/>
      <x:c r="AH1135" s="34"/>
      <x:c r="AI1135" s="34"/>
    </x:row>
    <x:row r="1136">
      <x:c r="A1136" s="34" t="str">
        <x:v>article1-unified-v4-2-fb3f101b-20260903-000401-default-f05-p4-caffeine</x:v>
      </x:c>
      <x:c r="B1136" s="34" t="str">
        <x:v>default</x:v>
      </x:c>
      <x:c r="C1136" s="34" t="str">
        <x:v>caffeine</x:v>
      </x:c>
      <x:c r="D1136" s="34" t="str">
        <x:v>caffeine</x:v>
      </x:c>
      <x:c r="E1136" s="36" t="n">
        <x:v>5</x:v>
      </x:c>
      <x:c r="F1136" s="36" t="n">
        <x:v>5</x:v>
      </x:c>
      <x:c r="G1136" s="36" t="n">
        <x:v>4</x:v>
      </x:c>
      <x:c r="H1136" s="36" t="n">
        <x:v>4</x:v>
      </x:c>
      <x:c r="I1136" s="34" t="str">
        <x:v>loaded</x:v>
      </x:c>
      <x:c r="J1136" s="34" t="str">
        <x:v>loaded</x:v>
      </x:c>
      <x:c r="K1136" s="36" t="n">
        <x:v>0</x:v>
      </x:c>
      <x:c r="L1136" s="34" t="str">
        <x:v>initial</x:v>
      </x:c>
      <x:c r="M1136" s="34" t="str">
        <x:v>article1-unified-v4-2-fb3f101b-20260903-000401-default-f05-p4-caffeine-4-loaded</x:v>
      </x:c>
      <x:c r="N1136" s="38" t="n">
        <x:v>46268.07853356482</x:v>
      </x:c>
      <x:c r="O1136" s="36" t="n">
        <x:v>0</x:v>
      </x:c>
      <x:c r="P1136" s="43" t="n">
        <x:v>203320320</x:v>
      </x:c>
      <x:c r="Q1136" s="43" t="n">
        <x:v>268435456</x:v>
      </x:c>
      <x:c r="R1136" s="43" t="n">
        <x:v>448186368</x:v>
      </x:c>
      <x:c r="S1136" s="36" t="n">
        <x:v>3</x:v>
      </x:c>
      <x:c r="T1136" s="44" t="str">
        <x:v>0x00000000821177b8  0x0000000082003818  0x00007e81b401f090    4391  21149696  21123976  org.apache.catalina.loader.ParallelWebappClassLoader | 0x00000000821177b8  0x0000000082003818  0x00007e818c18e2d0    4394  21179392  21151224  org.apache.catalina.loader.ParallelWebappClassLoader | 0x00000000821177b8  0x0000000082003818  0x00007e827c60dcd0       0         0         0  org.apache.catalina.loader.ParallelWebappClassLoader</x:v>
      </x:c>
      <x:c r="U1136" s="36" t="n">
        <x:v>30</x:v>
      </x:c>
      <x:c r="V1136" s="36" t="n">
        <x:v>0</x:v>
      </x:c>
      <x:c r="W1136" s="44"/>
      <x:c r="X1136" s="36"/>
      <x:c r="Y1136" s="36"/>
      <x:c r="Z1136" s="44"/>
      <x:c r="AA1136" s="49"/>
      <x:c r="AB1136" s="43"/>
      <x:c r="AC1136" s="34"/>
      <x:c r="AD1136" s="34"/>
      <x:c r="AE1136" s="34"/>
      <x:c r="AF1136" s="34"/>
      <x:c r="AG1136" s="34"/>
      <x:c r="AH1136" s="34"/>
      <x:c r="AI1136" s="34"/>
    </x:row>
    <x:row r="1137">
      <x:c r="A1137" s="34" t="str">
        <x:v>article1-unified-v4-2-fb3f101b-20260903-000401-default-f05-p4-caffeine</x:v>
      </x:c>
      <x:c r="B1137" s="34" t="str">
        <x:v>default</x:v>
      </x:c>
      <x:c r="C1137" s="34" t="str">
        <x:v>caffeine</x:v>
      </x:c>
      <x:c r="D1137" s="34" t="str">
        <x:v>caffeine</x:v>
      </x:c>
      <x:c r="E1137" s="36" t="n">
        <x:v>5</x:v>
      </x:c>
      <x:c r="F1137" s="36" t="n">
        <x:v>5</x:v>
      </x:c>
      <x:c r="G1137" s="36" t="n">
        <x:v>4</x:v>
      </x:c>
      <x:c r="H1137" s="36" t="n">
        <x:v>4</x:v>
      </x:c>
      <x:c r="I1137" s="34" t="str">
        <x:v>afterUndeployEarly</x:v>
      </x:c>
      <x:c r="J1137" s="34" t="str">
        <x:v>after-undeploy-early</x:v>
      </x:c>
      <x:c r="K1137" s="36" t="n">
        <x:v>1</x:v>
      </x:c>
      <x:c r="L1137" s="34" t="str">
        <x:v>early</x:v>
      </x:c>
      <x:c r="M1137" s="34" t="str">
        <x:v>article1-unified-v4-2-fb3f101b-20260903-000401-default-f05-p4-caffeine-4-after-undeploy-early-2s</x:v>
      </x:c>
      <x:c r="N1137" s="38" t="n">
        <x:v>46268.07861484954</x:v>
      </x:c>
      <x:c r="O1137" s="36"/>
      <x:c r="P1137" s="43"/>
      <x:c r="Q1137" s="43"/>
      <x:c r="R1137" s="43"/>
      <x:c r="S1137" s="36"/>
      <x:c r="T1137" s="44"/>
      <x:c r="U1137" s="36" t="n">
        <x:v>30</x:v>
      </x:c>
      <x:c r="V1137" s="36" t="n">
        <x:v>0</x:v>
      </x:c>
      <x:c r="W1137" s="44"/>
      <x:c r="X1137" s="36"/>
      <x:c r="Y1137" s="36"/>
      <x:c r="Z1137" s="44"/>
      <x:c r="AA1137" s="49"/>
      <x:c r="AB1137" s="43" t="n">
        <x:v>1</x:v>
      </x:c>
      <x:c r="AC1137" s="34"/>
      <x:c r="AD1137" s="34"/>
      <x:c r="AE1137" s="34" t="str">
        <x:v>article1-unified-v4-2-fb3f101b-20260903-000401-default-f05-p4-caffeine-4-after-undeploy-early-2s-thread-dump.txt</x:v>
      </x:c>
      <x:c r="AF1137" s="34" t="str">
        <x:v>article1-unified-v4-2-fb3f101b-20260903-000401-default-f05-p4-caffeine-4-after-undeploy-early-tomcat-log.txt</x:v>
      </x:c>
      <x:c r="AG1137" s="34"/>
      <x:c r="AH1137" s="34"/>
      <x:c r="AI1137" s="34"/>
    </x:row>
    <x:row r="1138">
      <x:c r="A1138" s="34" t="str">
        <x:v>article1-unified-v4-2-fb3f101b-20260903-000401-default-f05-p4-caffeine</x:v>
      </x:c>
      <x:c r="B1138" s="34" t="str">
        <x:v>default</x:v>
      </x:c>
      <x:c r="C1138" s="34" t="str">
        <x:v>caffeine</x:v>
      </x:c>
      <x:c r="D1138" s="34" t="str">
        <x:v>caffeine</x:v>
      </x:c>
      <x:c r="E1138" s="36" t="n">
        <x:v>5</x:v>
      </x:c>
      <x:c r="F1138" s="36" t="n">
        <x:v>5</x:v>
      </x:c>
      <x:c r="G1138" s="36" t="n">
        <x:v>4</x:v>
      </x:c>
      <x:c r="H1138" s="36" t="n">
        <x:v>4</x:v>
      </x:c>
      <x:c r="I1138" s="34" t="str">
        <x:v>afterUndeploy</x:v>
      </x:c>
      <x:c r="J1138" s="34" t="str">
        <x:v>after-undeploy-final</x:v>
      </x:c>
      <x:c r="K1138" s="36" t="n">
        <x:v>1</x:v>
      </x:c>
      <x:c r="L1138" s="34" t="str">
        <x:v>final</x:v>
      </x:c>
      <x:c r="M1138" s="34" t="str">
        <x:v>article1-unified-v4-2-fb3f101b-20260903-000401-default-f05-p4-caffeine-4-after-undeploy-final-10s</x:v>
      </x:c>
      <x:c r="N1138" s="38" t="n">
        <x:v>46268.07877667824</x:v>
      </x:c>
      <x:c r="O1138" s="36" t="n">
        <x:v>2</x:v>
      </x:c>
      <x:c r="P1138" s="43" t="n">
        <x:v>15616000</x:v>
      </x:c>
      <x:c r="Q1138" s="43" t="n">
        <x:v>268435456</x:v>
      </x:c>
      <x:c r="R1138" s="43" t="n">
        <x:v>428712960</x:v>
      </x:c>
      <x:c r="S1138" s="36" t="n">
        <x:v>2</x:v>
      </x:c>
      <x:c r="T1138" s="44" t="str">
        <x:v>0x00000000821177b8  0x0000000082003818  0x00007e827c60dcd0       0         0         0  org.apache.catalina.loader.ParallelWebappClassLoader | 0x00000000821177b8  0x0000000082003818  0x00007e81b401f090    4399  21166080  21148792  org.apache.catalina.loader.ParallelWebappClassLoader</x:v>
      </x:c>
      <x:c r="U1138" s="36" t="n">
        <x:v>30</x:v>
      </x:c>
      <x:c r="V1138" s="36" t="n">
        <x:v>0</x:v>
      </x:c>
      <x:c r="W1138" s="44"/>
      <x:c r="X1138" s="36" t="n">
        <x:v>1</x:v>
      </x:c>
      <x:c r="Y1138" s="36" t="n">
        <x:v>1</x:v>
      </x:c>
      <x:c r="Z1138" s="44" t="str">
        <x:v>/caffeine</x:v>
      </x:c>
      <x:c r="AA1138" s="45" t="b">
        <x:v>1</x:v>
      </x:c>
      <x:c r="AB1138" s="43"/>
      <x:c r="AC1138" s="34" t="str">
        <x:v>article1-unified-v4-2-fb3f101b-20260903-000401-default-f05-p4-caffeine-4-after-undeploy-final-10s-heap-info.txt</x:v>
      </x:c>
      <x:c r="AD1138" s="34" t="str">
        <x:v>article1-unified-v4-2-fb3f101b-20260903-000401-default-f05-p4-caffeine-4-after-undeploy-final-10s-classloader-stats.txt</x:v>
      </x:c>
      <x:c r="AE1138" s="34" t="str">
        <x:v>article1-unified-v4-2-fb3f101b-20260903-000401-default-f05-p4-caffeine-4-after-undeploy-final-10s-thread-dump.txt</x:v>
      </x:c>
      <x:c r="AF1138" s="34"/>
      <x:c r="AG1138" s="34" t="str">
        <x:v>article1-unified-v4-2-fb3f101b-20260903-000401-default-f05-p4-caffeine-4-after-undeploy-final-10s-native-memory.txt</x:v>
      </x:c>
      <x:c r="AH1138" s="34" t="str">
        <x:v>article1-unified-v4-2-fb3f101b-20260903-000401-default-f05-p4-caffeine-4-after-undeploy-final-10s-class-histogram.txt</x:v>
      </x:c>
      <x:c r="AI1138" s="34" t="str">
        <x:v>article1-unified-v4-2-fb3f101b-20260903-000401-default-f05-p4-caffeine-4-after-undeploy-tomcat-findleaks.txt</x:v>
      </x:c>
    </x:row>
    <x:row r="1139">
      <x:c r="A1139" s="34" t="str">
        <x:v>article1-unified-v4-2-fb3f101b-20260903-000401-default-f05-p4-caffeine</x:v>
      </x:c>
      <x:c r="B1139" s="34" t="str">
        <x:v>default</x:v>
      </x:c>
      <x:c r="C1139" s="34" t="str">
        <x:v>caffeine</x:v>
      </x:c>
      <x:c r="D1139" s="34" t="str">
        <x:v>caffeine</x:v>
      </x:c>
      <x:c r="E1139" s="36" t="n">
        <x:v>5</x:v>
      </x:c>
      <x:c r="F1139" s="36" t="n">
        <x:v>5</x:v>
      </x:c>
      <x:c r="G1139" s="36" t="n">
        <x:v>4</x:v>
      </x:c>
      <x:c r="H1139" s="36" t="n">
        <x:v>4</x:v>
      </x:c>
      <x:c r="I1139" s="34" t="str">
        <x:v>redeployedLoaded</x:v>
      </x:c>
      <x:c r="J1139" s="34" t="str">
        <x:v>redeployed-loaded</x:v>
      </x:c>
      <x:c r="K1139" s="36" t="n">
        <x:v>0</x:v>
      </x:c>
      <x:c r="L1139" s="34" t="str">
        <x:v>redeploy</x:v>
      </x:c>
      <x:c r="M1139" s="34" t="str">
        <x:v>article1-unified-v4-2-fb3f101b-20260903-000401-default-f05-p4-caffeine-4-redeployed-loaded</x:v>
      </x:c>
      <x:c r="N1139" s="38" t="n">
        <x:v>46268.079037372685</x:v>
      </x:c>
      <x:c r="O1139" s="36" t="n">
        <x:v>0</x:v>
      </x:c>
      <x:c r="P1139" s="43" t="n">
        <x:v>201151488</x:v>
      </x:c>
      <x:c r="Q1139" s="43" t="n">
        <x:v>268435456</x:v>
      </x:c>
      <x:c r="R1139" s="43" t="n">
        <x:v>445921280</x:v>
      </x:c>
      <x:c r="S1139" s="36" t="n">
        <x:v>3</x:v>
      </x:c>
      <x:c r="T1139" s="44" t="str">
        <x:v>0x00000000821177b8  0x0000000082003818  0x00007e81d47481a0    4384  21145600  21120808  org.apache.catalina.loader.ParallelWebappClassLoader | 0x00000000821177b8  0x0000000082003818  0x00007e827c60dcd0       0         0         0  org.apache.catalina.loader.ParallelWebappClassLoader | 0x00000000821177b8  0x0000000082003818  0x00007e81b401f090    4399  21166080  21148792  org.apache.catalina.loader.ParallelWebappClassLoader</x:v>
      </x:c>
      <x:c r="U1139" s="36" t="n">
        <x:v>30</x:v>
      </x:c>
      <x:c r="V1139" s="36" t="n">
        <x:v>0</x:v>
      </x:c>
      <x:c r="W1139" s="44"/>
      <x:c r="X1139" s="36"/>
      <x:c r="Y1139" s="36"/>
      <x:c r="Z1139" s="44"/>
      <x:c r="AA1139" s="49"/>
      <x:c r="AB1139" s="43"/>
      <x:c r="AC1139" s="34"/>
      <x:c r="AD1139" s="34"/>
      <x:c r="AE1139" s="34"/>
      <x:c r="AF1139" s="34"/>
      <x:c r="AG1139" s="34"/>
      <x:c r="AH1139" s="34"/>
      <x:c r="AI1139" s="34"/>
    </x:row>
    <x:row r="1140">
      <x:c r="A1140" s="34" t="str">
        <x:v>article1-unified-v4-2-fb3f101b-20260903-000401-default-f05-p4-caffeine</x:v>
      </x:c>
      <x:c r="B1140" s="34" t="str">
        <x:v>default</x:v>
      </x:c>
      <x:c r="C1140" s="34" t="str">
        <x:v>caffeine</x:v>
      </x:c>
      <x:c r="D1140" s="34" t="str">
        <x:v>caffeine</x:v>
      </x:c>
      <x:c r="E1140" s="36" t="n">
        <x:v>5</x:v>
      </x:c>
      <x:c r="F1140" s="36" t="n">
        <x:v>5</x:v>
      </x:c>
      <x:c r="G1140" s="36" t="n">
        <x:v>4</x:v>
      </x:c>
      <x:c r="H1140" s="36" t="n">
        <x:v>4</x:v>
      </x:c>
      <x:c r="I1140" s="34" t="str">
        <x:v>afterFinalUndeployEarly</x:v>
      </x:c>
      <x:c r="J1140" s="34" t="str">
        <x:v>after-final-undeploy-early</x:v>
      </x:c>
      <x:c r="K1140" s="36" t="n">
        <x:v>2</x:v>
      </x:c>
      <x:c r="L1140" s="34" t="str">
        <x:v>early</x:v>
      </x:c>
      <x:c r="M1140" s="34" t="str">
        <x:v>article1-unified-v4-2-fb3f101b-20260903-000401-default-f05-p4-caffeine-4-after-final-undeploy-early-2s</x:v>
      </x:c>
      <x:c r="N1140" s="38" t="n">
        <x:v>46268.079118981484</x:v>
      </x:c>
      <x:c r="O1140" s="36"/>
      <x:c r="P1140" s="43"/>
      <x:c r="Q1140" s="43"/>
      <x:c r="R1140" s="43"/>
      <x:c r="S1140" s="36"/>
      <x:c r="T1140" s="44"/>
      <x:c r="U1140" s="36" t="n">
        <x:v>30</x:v>
      </x:c>
      <x:c r="V1140" s="36" t="n">
        <x:v>0</x:v>
      </x:c>
      <x:c r="W1140" s="44"/>
      <x:c r="X1140" s="36"/>
      <x:c r="Y1140" s="36"/>
      <x:c r="Z1140" s="44"/>
      <x:c r="AA1140" s="49"/>
      <x:c r="AB1140" s="43" t="n">
        <x:v>1</x:v>
      </x:c>
      <x:c r="AC1140" s="34"/>
      <x:c r="AD1140" s="34"/>
      <x:c r="AE1140" s="34" t="str">
        <x:v>article1-unified-v4-2-fb3f101b-20260903-000401-default-f05-p4-caffeine-4-after-final-undeploy-early-2s-thread-dump.txt</x:v>
      </x:c>
      <x:c r="AF1140" s="34" t="str">
        <x:v>article1-unified-v4-2-fb3f101b-20260903-000401-default-f05-p4-caffeine-4-after-final-undeploy-early-tomcat-log.txt</x:v>
      </x:c>
      <x:c r="AG1140" s="34"/>
      <x:c r="AH1140" s="34"/>
      <x:c r="AI1140" s="34"/>
    </x:row>
    <x:row r="1141">
      <x:c r="A1141" s="34" t="str">
        <x:v>article1-unified-v4-2-fb3f101b-20260903-000401-default-f05-p4-caffeine</x:v>
      </x:c>
      <x:c r="B1141" s="34" t="str">
        <x:v>default</x:v>
      </x:c>
      <x:c r="C1141" s="34" t="str">
        <x:v>caffeine</x:v>
      </x:c>
      <x:c r="D1141" s="34" t="str">
        <x:v>caffeine</x:v>
      </x:c>
      <x:c r="E1141" s="36" t="n">
        <x:v>5</x:v>
      </x:c>
      <x:c r="F1141" s="36" t="n">
        <x:v>5</x:v>
      </x:c>
      <x:c r="G1141" s="36" t="n">
        <x:v>4</x:v>
      </x:c>
      <x:c r="H1141" s="36" t="n">
        <x:v>4</x:v>
      </x:c>
      <x:c r="I1141" s="34" t="str">
        <x:v>afterFinalUndeploy</x:v>
      </x:c>
      <x:c r="J1141" s="34" t="str">
        <x:v>after-final-undeploy-final</x:v>
      </x:c>
      <x:c r="K1141" s="36" t="n">
        <x:v>2</x:v>
      </x:c>
      <x:c r="L1141" s="34" t="str">
        <x:v>final</x:v>
      </x:c>
      <x:c r="M1141" s="34" t="str">
        <x:v>article1-unified-v4-2-fb3f101b-20260903-000401-default-f05-p4-caffeine-4-after-final-undeploy-final-10s</x:v>
      </x:c>
      <x:c r="N1141" s="38" t="n">
        <x:v>46268.079273877316</x:v>
      </x:c>
      <x:c r="O1141" s="36" t="n">
        <x:v>2</x:v>
      </x:c>
      <x:c r="P1141" s="43" t="n">
        <x:v>15624192</x:v>
      </x:c>
      <x:c r="Q1141" s="43" t="n">
        <x:v>268435456</x:v>
      </x:c>
      <x:c r="R1141" s="43" t="n">
        <x:v>424458240</x:v>
      </x:c>
      <x:c r="S1141" s="36" t="n">
        <x:v>2</x:v>
      </x:c>
      <x:c r="T1141" s="44" t="str">
        <x:v>0x00000000821177b8  0x0000000082003818  0x00007e81d47481a0    4392  21161984  21145568  org.apache.catalina.loader.ParallelWebappClassLoader | 0x00000000821177b8  0x0000000082003818  0x00007e827c60dcd0       0         0         0  org.apache.catalina.loader.ParallelWebappClassLoader</x:v>
      </x:c>
      <x:c r="U1141" s="36" t="n">
        <x:v>30</x:v>
      </x:c>
      <x:c r="V1141" s="36" t="n">
        <x:v>0</x:v>
      </x:c>
      <x:c r="W1141" s="44"/>
      <x:c r="X1141" s="36" t="n">
        <x:v>1</x:v>
      </x:c>
      <x:c r="Y1141" s="36" t="n">
        <x:v>1</x:v>
      </x:c>
      <x:c r="Z1141" s="44" t="str">
        <x:v>/caffeine</x:v>
      </x:c>
      <x:c r="AA1141" s="45" t="b">
        <x:v>1</x:v>
      </x:c>
      <x:c r="AB1141" s="43"/>
      <x:c r="AC1141" s="34" t="str">
        <x:v>article1-unified-v4-2-fb3f101b-20260903-000401-default-f05-p4-caffeine-4-after-final-undeploy-final-10s-heap-info.txt</x:v>
      </x:c>
      <x:c r="AD1141" s="34" t="str">
        <x:v>article1-unified-v4-2-fb3f101b-20260903-000401-default-f05-p4-caffeine-4-after-final-undeploy-final-10s-classloader-stats.txt</x:v>
      </x:c>
      <x:c r="AE1141" s="34" t="str">
        <x:v>article1-unified-v4-2-fb3f101b-20260903-000401-default-f05-p4-caffeine-4-after-final-undeploy-final-10s-thread-dump.txt</x:v>
      </x:c>
      <x:c r="AF1141" s="34"/>
      <x:c r="AG1141" s="34" t="str">
        <x:v>article1-unified-v4-2-fb3f101b-20260903-000401-default-f05-p4-caffeine-4-after-final-undeploy-final-10s-native-memory.txt</x:v>
      </x:c>
      <x:c r="AH1141" s="34" t="str">
        <x:v>article1-unified-v4-2-fb3f101b-20260903-000401-default-f05-p4-caffeine-4-after-final-undeploy-final-10s-class-histogram.txt</x:v>
      </x:c>
      <x:c r="AI1141" s="34" t="str">
        <x:v>article1-unified-v4-2-fb3f101b-20260903-000401-default-f05-p4-caffeine-4-after-final-undeploy-tomcat-findleaks.txt</x:v>
      </x:c>
    </x:row>
    <x:row r="1142">
      <x:c r="A1142" s="34" t="str">
        <x:v>article1-unified-v4-2-fb3f101b-20260903-000401-default-f05-p4-caffeine</x:v>
      </x:c>
      <x:c r="B1142" s="34" t="str">
        <x:v>default</x:v>
      </x:c>
      <x:c r="C1142" s="34" t="str">
        <x:v>caffeine</x:v>
      </x:c>
      <x:c r="D1142" s="34" t="str">
        <x:v>caffeine</x:v>
      </x:c>
      <x:c r="E1142" s="36" t="n">
        <x:v>5</x:v>
      </x:c>
      <x:c r="F1142" s="36" t="n">
        <x:v>5</x:v>
      </x:c>
      <x:c r="G1142" s="36" t="n">
        <x:v>4</x:v>
      </x:c>
      <x:c r="H1142" s="36" t="n">
        <x:v>5</x:v>
      </x:c>
      <x:c r="I1142" s="34" t="str">
        <x:v>baseline</x:v>
      </x:c>
      <x:c r="J1142" s="34" t="str">
        <x:v>cycle-baseline</x:v>
      </x:c>
      <x:c r="K1142" s="36" t="n">
        <x:v>0</x:v>
      </x:c>
      <x:c r="L1142" s="34" t="str">
        <x:v>baseline</x:v>
      </x:c>
      <x:c r="M1142" s="34" t="str">
        <x:v>article1-unified-v4-2-fb3f101b-20260903-000401-default-f05-p4-caffeine-5-baseline</x:v>
      </x:c>
      <x:c r="N1142" s="38" t="n">
        <x:v>46268.07931631945</x:v>
      </x:c>
      <x:c r="O1142" s="36" t="n">
        <x:v>0</x:v>
      </x:c>
      <x:c r="P1142" s="43" t="n">
        <x:v>15626240</x:v>
      </x:c>
      <x:c r="Q1142" s="43" t="n">
        <x:v>268435456</x:v>
      </x:c>
      <x:c r="R1142" s="43" t="n">
        <x:v>424457216</x:v>
      </x:c>
      <x:c r="S1142" s="36" t="n">
        <x:v>2</x:v>
      </x:c>
      <x:c r="T1142" s="44" t="str">
        <x:v>0x00000000821177b8  0x0000000082003818  0x00007e81d47481a0    4392  21161984  21145568  org.apache.catalina.loader.ParallelWebappClassLoader | 0x00000000821177b8  0x0000000082003818  0x00007e827c60dcd0       0         0         0  org.apache.catalina.loader.ParallelWebappClassLoader</x:v>
      </x:c>
      <x:c r="U1142" s="36" t="n">
        <x:v>30</x:v>
      </x:c>
      <x:c r="V1142" s="36" t="n">
        <x:v>0</x:v>
      </x:c>
      <x:c r="W1142" s="44"/>
      <x:c r="X1142" s="36"/>
      <x:c r="Y1142" s="36"/>
      <x:c r="Z1142" s="44"/>
      <x:c r="AA1142" s="49"/>
      <x:c r="AB1142" s="43"/>
      <x:c r="AC1142" s="34" t="str">
        <x:v>article1-unified-v4-2-fb3f101b-20260903-000401-default-f05-p4-caffeine-5-baseline-heap-info.txt</x:v>
      </x:c>
      <x:c r="AD1142" s="34" t="str">
        <x:v>article1-unified-v4-2-fb3f101b-20260903-000401-default-f05-p4-caffeine-5-baseline-classloader-stats.txt</x:v>
      </x:c>
      <x:c r="AE1142" s="34" t="str">
        <x:v>article1-unified-v4-2-fb3f101b-20260903-000401-default-f05-p4-caffeine-5-baseline-thread-dump.txt</x:v>
      </x:c>
      <x:c r="AF1142" s="34"/>
      <x:c r="AG1142" s="34" t="str">
        <x:v>article1-unified-v4-2-fb3f101b-20260903-000401-default-f05-p4-caffeine-5-baseline-native-memory.txt</x:v>
      </x:c>
      <x:c r="AH1142" s="34"/>
      <x:c r="AI1142" s="34"/>
    </x:row>
    <x:row r="1143">
      <x:c r="A1143" s="34" t="str">
        <x:v>article1-unified-v4-2-fb3f101b-20260903-000401-default-f05-p4-caffeine</x:v>
      </x:c>
      <x:c r="B1143" s="34" t="str">
        <x:v>default</x:v>
      </x:c>
      <x:c r="C1143" s="34" t="str">
        <x:v>caffeine</x:v>
      </x:c>
      <x:c r="D1143" s="34" t="str">
        <x:v>caffeine</x:v>
      </x:c>
      <x:c r="E1143" s="36" t="n">
        <x:v>5</x:v>
      </x:c>
      <x:c r="F1143" s="36" t="n">
        <x:v>5</x:v>
      </x:c>
      <x:c r="G1143" s="36" t="n">
        <x:v>4</x:v>
      </x:c>
      <x:c r="H1143" s="36" t="n">
        <x:v>5</x:v>
      </x:c>
      <x:c r="I1143" s="34" t="str">
        <x:v>deployedIdle</x:v>
      </x:c>
      <x:c r="J1143" s="34" t="str">
        <x:v>deployed-idle</x:v>
      </x:c>
      <x:c r="K1143" s="36" t="n">
        <x:v>0</x:v>
      </x:c>
      <x:c r="L1143" s="34" t="str">
        <x:v>initial</x:v>
      </x:c>
      <x:c r="M1143" s="34" t="str">
        <x:v>article1-unified-v4-2-fb3f101b-20260903-000401-default-f05-p4-caffeine-5-deployed-idle</x:v>
      </x:c>
      <x:c r="N1143" s="38" t="n">
        <x:v>46268.07941309028</x:v>
      </x:c>
      <x:c r="O1143" s="36" t="n">
        <x:v>0</x:v>
      </x:c>
      <x:c r="P1143" s="43" t="n">
        <x:v>167221248</x:v>
      </x:c>
      <x:c r="Q1143" s="43" t="n">
        <x:v>268435456</x:v>
      </x:c>
      <x:c r="R1143" s="43" t="n">
        <x:v>464904192</x:v>
      </x:c>
      <x:c r="S1143" s="36" t="n">
        <x:v>3</x:v>
      </x:c>
      <x:c r="T1143" s="44" t="str">
        <x:v>0x00000000821177b8  0x0000000082003818  0x00007e81d47481a0    4392  21161984  21145568  org.apache.catalina.loader.ParallelWebappClassLoader | 0x00000000821177b8  0x0000000082003818  0x00007e81a01a0650    4091  19431424  19421800  org.apache.catalina.loader.ParallelWebappClassLoader | 0x00000000821177b8  0x0000000082003818  0x00007e827c60dcd0       0         0         0  org.apache.catalina.loader.ParallelWebappClassLoader</x:v>
      </x:c>
      <x:c r="U1143" s="36" t="n">
        <x:v>30</x:v>
      </x:c>
      <x:c r="V1143" s="36" t="n">
        <x:v>0</x:v>
      </x:c>
      <x:c r="W1143" s="44"/>
      <x:c r="X1143" s="36"/>
      <x:c r="Y1143" s="36"/>
      <x:c r="Z1143" s="44"/>
      <x:c r="AA1143" s="49"/>
      <x:c r="AB1143" s="43"/>
      <x:c r="AC1143" s="34"/>
      <x:c r="AD1143" s="34"/>
      <x:c r="AE1143" s="34"/>
      <x:c r="AF1143" s="34"/>
      <x:c r="AG1143" s="34"/>
      <x:c r="AH1143" s="34"/>
      <x:c r="AI1143" s="34"/>
    </x:row>
    <x:row r="1144">
      <x:c r="A1144" s="34" t="str">
        <x:v>article1-unified-v4-2-fb3f101b-20260903-000401-default-f05-p4-caffeine</x:v>
      </x:c>
      <x:c r="B1144" s="34" t="str">
        <x:v>default</x:v>
      </x:c>
      <x:c r="C1144" s="34" t="str">
        <x:v>caffeine</x:v>
      </x:c>
      <x:c r="D1144" s="34" t="str">
        <x:v>caffeine</x:v>
      </x:c>
      <x:c r="E1144" s="36" t="n">
        <x:v>5</x:v>
      </x:c>
      <x:c r="F1144" s="36" t="n">
        <x:v>5</x:v>
      </x:c>
      <x:c r="G1144" s="36" t="n">
        <x:v>4</x:v>
      </x:c>
      <x:c r="H1144" s="36" t="n">
        <x:v>5</x:v>
      </x:c>
      <x:c r="I1144" s="34" t="str">
        <x:v>loaded</x:v>
      </x:c>
      <x:c r="J1144" s="34" t="str">
        <x:v>loaded</x:v>
      </x:c>
      <x:c r="K1144" s="36" t="n">
        <x:v>0</x:v>
      </x:c>
      <x:c r="L1144" s="34" t="str">
        <x:v>initial</x:v>
      </x:c>
      <x:c r="M1144" s="34" t="str">
        <x:v>article1-unified-v4-2-fb3f101b-20260903-000401-default-f05-p4-caffeine-5-loaded</x:v>
      </x:c>
      <x:c r="N1144" s="38" t="n">
        <x:v>46268.079561921295</x:v>
      </x:c>
      <x:c r="O1144" s="36" t="n">
        <x:v>0</x:v>
      </x:c>
      <x:c r="P1144" s="43" t="n">
        <x:v>209605632</x:v>
      </x:c>
      <x:c r="Q1144" s="43" t="n">
        <x:v>268435456</x:v>
      </x:c>
      <x:c r="R1144" s="43" t="n">
        <x:v>446603264</x:v>
      </x:c>
      <x:c r="S1144" s="36" t="n">
        <x:v>3</x:v>
      </x:c>
      <x:c r="T1144" s="44" t="str">
        <x:v>0x00000000821177b8  0x0000000082003818  0x00007e81d47481a0    4392  21161984  21145568  org.apache.catalina.loader.ParallelWebappClassLoader | 0x00000000821177b8  0x0000000082003818  0x00007e81a01a0650    4384  21135360  21111640  org.apache.catalina.loader.ParallelWebappClassLoader | 0x00000000821177b8  0x0000000082003818  0x00007e827c60dcd0       0         0         0  org.apache.catalina.loader.ParallelWebappClassLoader</x:v>
      </x:c>
      <x:c r="U1144" s="36" t="n">
        <x:v>30</x:v>
      </x:c>
      <x:c r="V1144" s="36" t="n">
        <x:v>0</x:v>
      </x:c>
      <x:c r="W1144" s="44"/>
      <x:c r="X1144" s="36"/>
      <x:c r="Y1144" s="36"/>
      <x:c r="Z1144" s="44"/>
      <x:c r="AA1144" s="49"/>
      <x:c r="AB1144" s="43"/>
      <x:c r="AC1144" s="34"/>
      <x:c r="AD1144" s="34"/>
      <x:c r="AE1144" s="34"/>
      <x:c r="AF1144" s="34"/>
      <x:c r="AG1144" s="34"/>
      <x:c r="AH1144" s="34"/>
      <x:c r="AI1144" s="34"/>
    </x:row>
    <x:row r="1145">
      <x:c r="A1145" s="34" t="str">
        <x:v>article1-unified-v4-2-fb3f101b-20260903-000401-default-f05-p4-caffeine</x:v>
      </x:c>
      <x:c r="B1145" s="34" t="str">
        <x:v>default</x:v>
      </x:c>
      <x:c r="C1145" s="34" t="str">
        <x:v>caffeine</x:v>
      </x:c>
      <x:c r="D1145" s="34" t="str">
        <x:v>caffeine</x:v>
      </x:c>
      <x:c r="E1145" s="36" t="n">
        <x:v>5</x:v>
      </x:c>
      <x:c r="F1145" s="36" t="n">
        <x:v>5</x:v>
      </x:c>
      <x:c r="G1145" s="36" t="n">
        <x:v>4</x:v>
      </x:c>
      <x:c r="H1145" s="36" t="n">
        <x:v>5</x:v>
      </x:c>
      <x:c r="I1145" s="34" t="str">
        <x:v>afterUndeployEarly</x:v>
      </x:c>
      <x:c r="J1145" s="34" t="str">
        <x:v>after-undeploy-early</x:v>
      </x:c>
      <x:c r="K1145" s="36" t="n">
        <x:v>1</x:v>
      </x:c>
      <x:c r="L1145" s="34" t="str">
        <x:v>early</x:v>
      </x:c>
      <x:c r="M1145" s="34" t="str">
        <x:v>article1-unified-v4-2-fb3f101b-20260903-000401-default-f05-p4-caffeine-5-after-undeploy-early-2s</x:v>
      </x:c>
      <x:c r="N1145" s="38" t="n">
        <x:v>46268.079645011574</x:v>
      </x:c>
      <x:c r="O1145" s="36"/>
      <x:c r="P1145" s="43"/>
      <x:c r="Q1145" s="43"/>
      <x:c r="R1145" s="43"/>
      <x:c r="S1145" s="36"/>
      <x:c r="T1145" s="44"/>
      <x:c r="U1145" s="36" t="n">
        <x:v>30</x:v>
      </x:c>
      <x:c r="V1145" s="36" t="n">
        <x:v>0</x:v>
      </x:c>
      <x:c r="W1145" s="44"/>
      <x:c r="X1145" s="36"/>
      <x:c r="Y1145" s="36"/>
      <x:c r="Z1145" s="44"/>
      <x:c r="AA1145" s="49"/>
      <x:c r="AB1145" s="43" t="n">
        <x:v>1</x:v>
      </x:c>
      <x:c r="AC1145" s="34"/>
      <x:c r="AD1145" s="34"/>
      <x:c r="AE1145" s="34" t="str">
        <x:v>article1-unified-v4-2-fb3f101b-20260903-000401-default-f05-p4-caffeine-5-after-undeploy-early-2s-thread-dump.txt</x:v>
      </x:c>
      <x:c r="AF1145" s="34" t="str">
        <x:v>article1-unified-v4-2-fb3f101b-20260903-000401-default-f05-p4-caffeine-5-after-undeploy-early-tomcat-log.txt</x:v>
      </x:c>
      <x:c r="AG1145" s="34"/>
      <x:c r="AH1145" s="34"/>
      <x:c r="AI1145" s="34"/>
    </x:row>
    <x:row r="1146">
      <x:c r="A1146" s="34" t="str">
        <x:v>article1-unified-v4-2-fb3f101b-20260903-000401-default-f05-p4-caffeine</x:v>
      </x:c>
      <x:c r="B1146" s="34" t="str">
        <x:v>default</x:v>
      </x:c>
      <x:c r="C1146" s="34" t="str">
        <x:v>caffeine</x:v>
      </x:c>
      <x:c r="D1146" s="34" t="str">
        <x:v>caffeine</x:v>
      </x:c>
      <x:c r="E1146" s="36" t="n">
        <x:v>5</x:v>
      </x:c>
      <x:c r="F1146" s="36" t="n">
        <x:v>5</x:v>
      </x:c>
      <x:c r="G1146" s="36" t="n">
        <x:v>4</x:v>
      </x:c>
      <x:c r="H1146" s="36" t="n">
        <x:v>5</x:v>
      </x:c>
      <x:c r="I1146" s="34" t="str">
        <x:v>afterUndeploy</x:v>
      </x:c>
      <x:c r="J1146" s="34" t="str">
        <x:v>after-undeploy-final</x:v>
      </x:c>
      <x:c r="K1146" s="36" t="n">
        <x:v>1</x:v>
      </x:c>
      <x:c r="L1146" s="34" t="str">
        <x:v>final</x:v>
      </x:c>
      <x:c r="M1146" s="34" t="str">
        <x:v>article1-unified-v4-2-fb3f101b-20260903-000401-default-f05-p4-caffeine-5-after-undeploy-final-10s</x:v>
      </x:c>
      <x:c r="N1146" s="38" t="n">
        <x:v>46268.07980206019</x:v>
      </x:c>
      <x:c r="O1146" s="36" t="n">
        <x:v>2</x:v>
      </x:c>
      <x:c r="P1146" s="43" t="n">
        <x:v>15644672</x:v>
      </x:c>
      <x:c r="Q1146" s="43" t="n">
        <x:v>268435456</x:v>
      </x:c>
      <x:c r="R1146" s="43" t="n">
        <x:v>432502784</x:v>
      </x:c>
      <x:c r="S1146" s="36" t="n">
        <x:v>2</x:v>
      </x:c>
      <x:c r="T1146" s="44" t="str">
        <x:v>0x00000000821177b8  0x0000000082003818  0x00007e81a01a0650    4392  21151744  21136424  org.apache.catalina.loader.ParallelWebappClassLoader | 0x00000000821177b8  0x0000000082003818  0x00007e827c60dcd0       0         0         0  org.apache.catalina.loader.ParallelWebappClassLoader</x:v>
      </x:c>
      <x:c r="U1146" s="36" t="n">
        <x:v>30</x:v>
      </x:c>
      <x:c r="V1146" s="36" t="n">
        <x:v>0</x:v>
      </x:c>
      <x:c r="W1146" s="44"/>
      <x:c r="X1146" s="36" t="n">
        <x:v>1</x:v>
      </x:c>
      <x:c r="Y1146" s="36" t="n">
        <x:v>1</x:v>
      </x:c>
      <x:c r="Z1146" s="44" t="str">
        <x:v>/caffeine</x:v>
      </x:c>
      <x:c r="AA1146" s="45" t="b">
        <x:v>1</x:v>
      </x:c>
      <x:c r="AB1146" s="43"/>
      <x:c r="AC1146" s="34" t="str">
        <x:v>article1-unified-v4-2-fb3f101b-20260903-000401-default-f05-p4-caffeine-5-after-undeploy-final-10s-heap-info.txt</x:v>
      </x:c>
      <x:c r="AD1146" s="34" t="str">
        <x:v>article1-unified-v4-2-fb3f101b-20260903-000401-default-f05-p4-caffeine-5-after-undeploy-final-10s-classloader-stats.txt</x:v>
      </x:c>
      <x:c r="AE1146" s="34" t="str">
        <x:v>article1-unified-v4-2-fb3f101b-20260903-000401-default-f05-p4-caffeine-5-after-undeploy-final-10s-thread-dump.txt</x:v>
      </x:c>
      <x:c r="AF1146" s="34"/>
      <x:c r="AG1146" s="34" t="str">
        <x:v>article1-unified-v4-2-fb3f101b-20260903-000401-default-f05-p4-caffeine-5-after-undeploy-final-10s-native-memory.txt</x:v>
      </x:c>
      <x:c r="AH1146" s="34" t="str">
        <x:v>article1-unified-v4-2-fb3f101b-20260903-000401-default-f05-p4-caffeine-5-after-undeploy-final-10s-class-histogram.txt</x:v>
      </x:c>
      <x:c r="AI1146" s="34" t="str">
        <x:v>article1-unified-v4-2-fb3f101b-20260903-000401-default-f05-p4-caffeine-5-after-undeploy-tomcat-findleaks.txt</x:v>
      </x:c>
    </x:row>
    <x:row r="1147">
      <x:c r="A1147" s="34" t="str">
        <x:v>article1-unified-v4-2-fb3f101b-20260903-000401-default-f05-p4-caffeine</x:v>
      </x:c>
      <x:c r="B1147" s="34" t="str">
        <x:v>default</x:v>
      </x:c>
      <x:c r="C1147" s="34" t="str">
        <x:v>caffeine</x:v>
      </x:c>
      <x:c r="D1147" s="34" t="str">
        <x:v>caffeine</x:v>
      </x:c>
      <x:c r="E1147" s="36" t="n">
        <x:v>5</x:v>
      </x:c>
      <x:c r="F1147" s="36" t="n">
        <x:v>5</x:v>
      </x:c>
      <x:c r="G1147" s="36" t="n">
        <x:v>4</x:v>
      </x:c>
      <x:c r="H1147" s="36" t="n">
        <x:v>5</x:v>
      </x:c>
      <x:c r="I1147" s="34" t="str">
        <x:v>redeployedLoaded</x:v>
      </x:c>
      <x:c r="J1147" s="34" t="str">
        <x:v>redeployed-loaded</x:v>
      </x:c>
      <x:c r="K1147" s="36" t="n">
        <x:v>0</x:v>
      </x:c>
      <x:c r="L1147" s="34" t="str">
        <x:v>redeploy</x:v>
      </x:c>
      <x:c r="M1147" s="34" t="str">
        <x:v>article1-unified-v4-2-fb3f101b-20260903-000401-default-f05-p4-caffeine-5-redeployed-loaded</x:v>
      </x:c>
      <x:c r="N1147" s="38" t="n">
        <x:v>46268.08005689815</x:v>
      </x:c>
      <x:c r="O1147" s="36" t="n">
        <x:v>0</x:v>
      </x:c>
      <x:c r="P1147" s="43" t="n">
        <x:v>197871616</x:v>
      </x:c>
      <x:c r="Q1147" s="43" t="n">
        <x:v>268435456</x:v>
      </x:c>
      <x:c r="R1147" s="43" t="n">
        <x:v>449157120</x:v>
      </x:c>
      <x:c r="S1147" s="36" t="n">
        <x:v>3</x:v>
      </x:c>
      <x:c r="T1147" s="44" t="str">
        <x:v>0x00000000821177b8  0x0000000082003818  0x00007e81d8359450    4389  21147648  21129648  org.apache.catalina.loader.ParallelWebappClassLoader | 0x00000000821177b8  0x0000000082003818  0x00007e81a01a0650    4392  21151744  21136424  org.apache.catalina.loader.ParallelWebappClassLoader | 0x00000000821177b8  0x0000000082003818  0x00007e827c60dcd0       0         0         0  org.apache.catalina.loader.ParallelWebappClassLoader</x:v>
      </x:c>
      <x:c r="U1147" s="36" t="n">
        <x:v>30</x:v>
      </x:c>
      <x:c r="V1147" s="36" t="n">
        <x:v>0</x:v>
      </x:c>
      <x:c r="W1147" s="44"/>
      <x:c r="X1147" s="36"/>
      <x:c r="Y1147" s="36"/>
      <x:c r="Z1147" s="44"/>
      <x:c r="AA1147" s="49"/>
      <x:c r="AB1147" s="43"/>
      <x:c r="AC1147" s="34"/>
      <x:c r="AD1147" s="34"/>
      <x:c r="AE1147" s="34"/>
      <x:c r="AF1147" s="34"/>
      <x:c r="AG1147" s="34"/>
      <x:c r="AH1147" s="34"/>
      <x:c r="AI1147" s="34"/>
    </x:row>
    <x:row r="1148">
      <x:c r="A1148" s="34" t="str">
        <x:v>article1-unified-v4-2-fb3f101b-20260903-000401-default-f05-p4-caffeine</x:v>
      </x:c>
      <x:c r="B1148" s="34" t="str">
        <x:v>default</x:v>
      </x:c>
      <x:c r="C1148" s="34" t="str">
        <x:v>caffeine</x:v>
      </x:c>
      <x:c r="D1148" s="34" t="str">
        <x:v>caffeine</x:v>
      </x:c>
      <x:c r="E1148" s="36" t="n">
        <x:v>5</x:v>
      </x:c>
      <x:c r="F1148" s="36" t="n">
        <x:v>5</x:v>
      </x:c>
      <x:c r="G1148" s="36" t="n">
        <x:v>4</x:v>
      </x:c>
      <x:c r="H1148" s="36" t="n">
        <x:v>5</x:v>
      </x:c>
      <x:c r="I1148" s="34" t="str">
        <x:v>afterFinalUndeployEarly</x:v>
      </x:c>
      <x:c r="J1148" s="34" t="str">
        <x:v>after-final-undeploy-early</x:v>
      </x:c>
      <x:c r="K1148" s="36" t="n">
        <x:v>2</x:v>
      </x:c>
      <x:c r="L1148" s="34" t="str">
        <x:v>early</x:v>
      </x:c>
      <x:c r="M1148" s="34" t="str">
        <x:v>article1-unified-v4-2-fb3f101b-20260903-000401-default-f05-p4-caffeine-5-after-final-undeploy-early-2s</x:v>
      </x:c>
      <x:c r="N1148" s="38" t="n">
        <x:v>46268.0801390625</x:v>
      </x:c>
      <x:c r="O1148" s="36"/>
      <x:c r="P1148" s="43"/>
      <x:c r="Q1148" s="43"/>
      <x:c r="R1148" s="43"/>
      <x:c r="S1148" s="36"/>
      <x:c r="T1148" s="44"/>
      <x:c r="U1148" s="36" t="n">
        <x:v>30</x:v>
      </x:c>
      <x:c r="V1148" s="36" t="n">
        <x:v>0</x:v>
      </x:c>
      <x:c r="W1148" s="44"/>
      <x:c r="X1148" s="36"/>
      <x:c r="Y1148" s="36"/>
      <x:c r="Z1148" s="44"/>
      <x:c r="AA1148" s="49"/>
      <x:c r="AB1148" s="43" t="n">
        <x:v>1</x:v>
      </x:c>
      <x:c r="AC1148" s="34"/>
      <x:c r="AD1148" s="34"/>
      <x:c r="AE1148" s="34" t="str">
        <x:v>article1-unified-v4-2-fb3f101b-20260903-000401-default-f05-p4-caffeine-5-after-final-undeploy-early-2s-thread-dump.txt</x:v>
      </x:c>
      <x:c r="AF1148" s="34" t="str">
        <x:v>article1-unified-v4-2-fb3f101b-20260903-000401-default-f05-p4-caffeine-5-after-final-undeploy-early-tomcat-log.txt</x:v>
      </x:c>
      <x:c r="AG1148" s="34"/>
      <x:c r="AH1148" s="34"/>
      <x:c r="AI1148" s="34"/>
    </x:row>
    <x:row r="1149">
      <x:c r="A1149" s="34" t="str">
        <x:v>article1-unified-v4-2-fb3f101b-20260903-000401-default-f05-p4-caffeine</x:v>
      </x:c>
      <x:c r="B1149" s="34" t="str">
        <x:v>default</x:v>
      </x:c>
      <x:c r="C1149" s="34" t="str">
        <x:v>caffeine</x:v>
      </x:c>
      <x:c r="D1149" s="34" t="str">
        <x:v>caffeine</x:v>
      </x:c>
      <x:c r="E1149" s="36" t="n">
        <x:v>5</x:v>
      </x:c>
      <x:c r="F1149" s="36" t="n">
        <x:v>5</x:v>
      </x:c>
      <x:c r="G1149" s="36" t="n">
        <x:v>4</x:v>
      </x:c>
      <x:c r="H1149" s="36" t="n">
        <x:v>5</x:v>
      </x:c>
      <x:c r="I1149" s="34" t="str">
        <x:v>afterFinalUndeploy</x:v>
      </x:c>
      <x:c r="J1149" s="34" t="str">
        <x:v>after-final-undeploy-final</x:v>
      </x:c>
      <x:c r="K1149" s="36" t="n">
        <x:v>2</x:v>
      </x:c>
      <x:c r="L1149" s="34" t="str">
        <x:v>final</x:v>
      </x:c>
      <x:c r="M1149" s="34" t="str">
        <x:v>article1-unified-v4-2-fb3f101b-20260903-000401-default-f05-p4-caffeine-5-after-final-undeploy-final-10s</x:v>
      </x:c>
      <x:c r="N1149" s="38" t="n">
        <x:v>46268.08029856481</x:v>
      </x:c>
      <x:c r="O1149" s="36" t="n">
        <x:v>2</x:v>
      </x:c>
      <x:c r="P1149" s="43" t="n">
        <x:v>15657984</x:v>
      </x:c>
      <x:c r="Q1149" s="43" t="n">
        <x:v>268435456</x:v>
      </x:c>
      <x:c r="R1149" s="43" t="n">
        <x:v>426302464</x:v>
      </x:c>
      <x:c r="S1149" s="36" t="n">
        <x:v>2</x:v>
      </x:c>
      <x:c r="T1149" s="44" t="str">
        <x:v>0x00000000821177b8  0x0000000082003818  0x00007e81d8359450    4397  21180416  21154464  org.apache.catalina.loader.ParallelWebappClassLoader | 0x00000000821177b8  0x0000000082003818  0x00007e827c60dcd0       0         0         0  org.apache.catalina.loader.ParallelWebappClassLoader</x:v>
      </x:c>
      <x:c r="U1149" s="36" t="n">
        <x:v>30</x:v>
      </x:c>
      <x:c r="V1149" s="36" t="n">
        <x:v>0</x:v>
      </x:c>
      <x:c r="W1149" s="44"/>
      <x:c r="X1149" s="36" t="n">
        <x:v>1</x:v>
      </x:c>
      <x:c r="Y1149" s="36" t="n">
        <x:v>1</x:v>
      </x:c>
      <x:c r="Z1149" s="44" t="str">
        <x:v>/caffeine</x:v>
      </x:c>
      <x:c r="AA1149" s="45" t="b">
        <x:v>1</x:v>
      </x:c>
      <x:c r="AB1149" s="43"/>
      <x:c r="AC1149" s="34" t="str">
        <x:v>article1-unified-v4-2-fb3f101b-20260903-000401-default-f05-p4-caffeine-5-after-final-undeploy-final-10s-heap-info.txt</x:v>
      </x:c>
      <x:c r="AD1149" s="34" t="str">
        <x:v>article1-unified-v4-2-fb3f101b-20260903-000401-default-f05-p4-caffeine-5-after-final-undeploy-final-10s-classloader-stats.txt</x:v>
      </x:c>
      <x:c r="AE1149" s="34" t="str">
        <x:v>article1-unified-v4-2-fb3f101b-20260903-000401-default-f05-p4-caffeine-5-after-final-undeploy-final-10s-thread-dump.txt</x:v>
      </x:c>
      <x:c r="AF1149" s="34"/>
      <x:c r="AG1149" s="34" t="str">
        <x:v>article1-unified-v4-2-fb3f101b-20260903-000401-default-f05-p4-caffeine-5-after-final-undeploy-final-10s-native-memory.txt</x:v>
      </x:c>
      <x:c r="AH1149" s="34" t="str">
        <x:v>article1-unified-v4-2-fb3f101b-20260903-000401-default-f05-p4-caffeine-5-after-final-undeploy-final-10s-class-histogram.txt</x:v>
      </x:c>
      <x:c r="AI1149" s="34" t="str">
        <x:v>article1-unified-v4-2-fb3f101b-20260903-000401-default-f05-p4-caffeine-5-after-final-undeploy-tomcat-findleaks.txt</x:v>
      </x:c>
    </x:row>
    <x:row r="1150">
      <x:c r="A1150" s="34" t="str">
        <x:v>article1-unified-v4-2-fb3f101b-20260903-000401-default-f05-p5-cache2k</x:v>
      </x:c>
      <x:c r="B1150" s="34" t="str">
        <x:v>default</x:v>
      </x:c>
      <x:c r="C1150" s="34" t="str">
        <x:v>cache2k</x:v>
      </x:c>
      <x:c r="D1150" s="34" t="str">
        <x:v>cache2k</x:v>
      </x:c>
      <x:c r="E1150" s="36" t="n">
        <x:v>5</x:v>
      </x:c>
      <x:c r="F1150" s="36" t="n">
        <x:v>5</x:v>
      </x:c>
      <x:c r="G1150" s="36" t="n">
        <x:v>5</x:v>
      </x:c>
      <x:c r="H1150" s="36" t="n">
        <x:v>0</x:v>
      </x:c>
      <x:c r="I1150" s="34" t="str">
        <x:v>processBaseline</x:v>
      </x:c>
      <x:c r="J1150" s="34" t="str">
        <x:v>process-baseline</x:v>
      </x:c>
      <x:c r="K1150" s="36" t="n">
        <x:v>0</x:v>
      </x:c>
      <x:c r="L1150" s="34" t="str">
        <x:v>baseline</x:v>
      </x:c>
      <x:c r="M1150" s="34" t="str">
        <x:v>article1-unified-v4-2-fb3f101b-20260903-000401-default-f05-p5-cache2k-process-baseline</x:v>
      </x:c>
      <x:c r="N1150" s="38" t="n">
        <x:v>46268.08054070602</x:v>
      </x:c>
      <x:c r="O1150" s="36" t="n">
        <x:v>0</x:v>
      </x:c>
      <x:c r="P1150" s="43" t="n">
        <x:v>32708608</x:v>
      </x:c>
      <x:c r="Q1150" s="43" t="n">
        <x:v>270532608</x:v>
      </x:c>
      <x:c r="R1150" s="43" t="n">
        <x:v>369270784</x:v>
      </x:c>
      <x:c r="S1150" s="36" t="n">
        <x:v>1</x:v>
      </x:c>
      <x:c r="T1150" s="44" t="str">
        <x:v>0x000000002e1177b8  0x000000002e003818  0x00007ae628616520       0         0         0  org.apache.catalina.loader.ParallelWebappClassLoader</x:v>
      </x:c>
      <x:c r="U1150" s="36" t="n">
        <x:v>27</x:v>
      </x:c>
      <x:c r="V1150" s="36" t="n">
        <x:v>0</x:v>
      </x:c>
      <x:c r="W1150" s="44"/>
      <x:c r="X1150" s="36"/>
      <x:c r="Y1150" s="36"/>
      <x:c r="Z1150" s="44"/>
      <x:c r="AA1150" s="49"/>
      <x:c r="AB1150" s="43"/>
      <x:c r="AC1150" s="34" t="str">
        <x:v>article1-unified-v4-2-fb3f101b-20260903-000401-default-f05-p5-cache2k-process-baseline-heap-info.txt</x:v>
      </x:c>
      <x:c r="AD1150" s="34" t="str">
        <x:v>article1-unified-v4-2-fb3f101b-20260903-000401-default-f05-p5-cache2k-process-baseline-classloader-stats.txt</x:v>
      </x:c>
      <x:c r="AE1150" s="34" t="str">
        <x:v>article1-unified-v4-2-fb3f101b-20260903-000401-default-f05-p5-cache2k-process-baseline-thread-dump.txt</x:v>
      </x:c>
      <x:c r="AF1150" s="34"/>
      <x:c r="AG1150" s="34" t="str">
        <x:v>article1-unified-v4-2-fb3f101b-20260903-000401-default-f05-p5-cache2k-process-baseline-native-memory.txt</x:v>
      </x:c>
      <x:c r="AH1150" s="34"/>
      <x:c r="AI1150" s="34"/>
    </x:row>
    <x:row r="1151">
      <x:c r="A1151" s="34" t="str">
        <x:v>article1-unified-v4-2-fb3f101b-20260903-000401-default-f05-p5-cache2k</x:v>
      </x:c>
      <x:c r="B1151" s="34" t="str">
        <x:v>default</x:v>
      </x:c>
      <x:c r="C1151" s="34" t="str">
        <x:v>cache2k</x:v>
      </x:c>
      <x:c r="D1151" s="34" t="str">
        <x:v>cache2k</x:v>
      </x:c>
      <x:c r="E1151" s="36" t="n">
        <x:v>5</x:v>
      </x:c>
      <x:c r="F1151" s="36" t="n">
        <x:v>5</x:v>
      </x:c>
      <x:c r="G1151" s="36" t="n">
        <x:v>5</x:v>
      </x:c>
      <x:c r="H1151" s="36" t="n">
        <x:v>1</x:v>
      </x:c>
      <x:c r="I1151" s="34" t="str">
        <x:v>baseline</x:v>
      </x:c>
      <x:c r="J1151" s="34" t="str">
        <x:v>cycle-baseline</x:v>
      </x:c>
      <x:c r="K1151" s="36" t="n">
        <x:v>0</x:v>
      </x:c>
      <x:c r="L1151" s="34" t="str">
        <x:v>baseline</x:v>
      </x:c>
      <x:c r="M1151" s="34" t="str">
        <x:v>article1-unified-v4-2-fb3f101b-20260903-000401-default-f05-p5-cache2k-1-baseline</x:v>
      </x:c>
      <x:c r="N1151" s="38" t="n">
        <x:v>46268.080720405094</x:v>
      </x:c>
      <x:c r="O1151" s="36" t="n">
        <x:v>0</x:v>
      </x:c>
      <x:c r="P1151" s="43" t="n">
        <x:v>32708608</x:v>
      </x:c>
      <x:c r="Q1151" s="43" t="n">
        <x:v>270532608</x:v>
      </x:c>
      <x:c r="R1151" s="43" t="n">
        <x:v>369859584</x:v>
      </x:c>
      <x:c r="S1151" s="36" t="n">
        <x:v>1</x:v>
      </x:c>
      <x:c r="T1151" s="44" t="str">
        <x:v>0x000000002e1177b8  0x000000002e003818  0x00007ae628616520       0         0         0  org.apache.catalina.loader.ParallelWebappClassLoader</x:v>
      </x:c>
      <x:c r="U1151" s="36" t="n">
        <x:v>27</x:v>
      </x:c>
      <x:c r="V1151" s="36" t="n">
        <x:v>0</x:v>
      </x:c>
      <x:c r="W1151" s="44"/>
      <x:c r="X1151" s="36"/>
      <x:c r="Y1151" s="36"/>
      <x:c r="Z1151" s="44"/>
      <x:c r="AA1151" s="49"/>
      <x:c r="AB1151" s="43"/>
      <x:c r="AC1151" s="34" t="str">
        <x:v>article1-unified-v4-2-fb3f101b-20260903-000401-default-f05-p5-cache2k-1-baseline-heap-info.txt</x:v>
      </x:c>
      <x:c r="AD1151" s="34" t="str">
        <x:v>article1-unified-v4-2-fb3f101b-20260903-000401-default-f05-p5-cache2k-1-baseline-classloader-stats.txt</x:v>
      </x:c>
      <x:c r="AE1151" s="34" t="str">
        <x:v>article1-unified-v4-2-fb3f101b-20260903-000401-default-f05-p5-cache2k-1-baseline-thread-dump.txt</x:v>
      </x:c>
      <x:c r="AF1151" s="34"/>
      <x:c r="AG1151" s="34" t="str">
        <x:v>article1-unified-v4-2-fb3f101b-20260903-000401-default-f05-p5-cache2k-1-baseline-native-memory.txt</x:v>
      </x:c>
      <x:c r="AH1151" s="34"/>
      <x:c r="AI1151" s="34"/>
    </x:row>
    <x:row r="1152">
      <x:c r="A1152" s="34" t="str">
        <x:v>article1-unified-v4-2-fb3f101b-20260903-000401-default-f05-p5-cache2k</x:v>
      </x:c>
      <x:c r="B1152" s="34" t="str">
        <x:v>default</x:v>
      </x:c>
      <x:c r="C1152" s="34" t="str">
        <x:v>cache2k</x:v>
      </x:c>
      <x:c r="D1152" s="34" t="str">
        <x:v>cache2k</x:v>
      </x:c>
      <x:c r="E1152" s="36" t="n">
        <x:v>5</x:v>
      </x:c>
      <x:c r="F1152" s="36" t="n">
        <x:v>5</x:v>
      </x:c>
      <x:c r="G1152" s="36" t="n">
        <x:v>5</x:v>
      </x:c>
      <x:c r="H1152" s="36" t="n">
        <x:v>1</x:v>
      </x:c>
      <x:c r="I1152" s="34" t="str">
        <x:v>deployedIdle</x:v>
      </x:c>
      <x:c r="J1152" s="34" t="str">
        <x:v>deployed-idle</x:v>
      </x:c>
      <x:c r="K1152" s="36" t="n">
        <x:v>0</x:v>
      </x:c>
      <x:c r="L1152" s="34" t="str">
        <x:v>initial</x:v>
      </x:c>
      <x:c r="M1152" s="34" t="str">
        <x:v>article1-unified-v4-2-fb3f101b-20260903-000401-default-f05-p5-cache2k-1-deployed-idle</x:v>
      </x:c>
      <x:c r="N1152" s="38" t="n">
        <x:v>46268.08083063657</x:v>
      </x:c>
      <x:c r="O1152" s="36" t="n">
        <x:v>0</x:v>
      </x:c>
      <x:c r="P1152" s="43" t="n">
        <x:v>22892544</x:v>
      </x:c>
      <x:c r="Q1152" s="43" t="n">
        <x:v>268435456</x:v>
      </x:c>
      <x:c r="R1152" s="43" t="n">
        <x:v>426918912</x:v>
      </x:c>
      <x:c r="S1152" s="36" t="n">
        <x:v>2</x:v>
      </x:c>
      <x:c r="T1152" s="44" t="str">
        <x:v>0x000000002e1177b8  0x000000002e003818  0x00007ae628616520       0         0         0  org.apache.catalina.loader.ParallelWebappClassLoader | 0x000000002e1177b8  0x000000002e003818  0x00007ae584074a30    4091  19430400  19413088  org.apache.catalina.loader.ParallelWebappClassLoader</x:v>
      </x:c>
      <x:c r="U1152" s="36" t="n">
        <x:v>27</x:v>
      </x:c>
      <x:c r="V1152" s="36" t="n">
        <x:v>0</x:v>
      </x:c>
      <x:c r="W1152" s="44"/>
      <x:c r="X1152" s="36"/>
      <x:c r="Y1152" s="36"/>
      <x:c r="Z1152" s="44"/>
      <x:c r="AA1152" s="49"/>
      <x:c r="AB1152" s="43"/>
      <x:c r="AC1152" s="34"/>
      <x:c r="AD1152" s="34"/>
      <x:c r="AE1152" s="34"/>
      <x:c r="AF1152" s="34"/>
      <x:c r="AG1152" s="34"/>
      <x:c r="AH1152" s="34"/>
      <x:c r="AI1152" s="34"/>
    </x:row>
    <x:row r="1153">
      <x:c r="A1153" s="34" t="str">
        <x:v>article1-unified-v4-2-fb3f101b-20260903-000401-default-f05-p5-cache2k</x:v>
      </x:c>
      <x:c r="B1153" s="34" t="str">
        <x:v>default</x:v>
      </x:c>
      <x:c r="C1153" s="34" t="str">
        <x:v>cache2k</x:v>
      </x:c>
      <x:c r="D1153" s="34" t="str">
        <x:v>cache2k</x:v>
      </x:c>
      <x:c r="E1153" s="36" t="n">
        <x:v>5</x:v>
      </x:c>
      <x:c r="F1153" s="36" t="n">
        <x:v>5</x:v>
      </x:c>
      <x:c r="G1153" s="36" t="n">
        <x:v>5</x:v>
      </x:c>
      <x:c r="H1153" s="36" t="n">
        <x:v>1</x:v>
      </x:c>
      <x:c r="I1153" s="34" t="str">
        <x:v>loaded</x:v>
      </x:c>
      <x:c r="J1153" s="34" t="str">
        <x:v>loaded</x:v>
      </x:c>
      <x:c r="K1153" s="36" t="n">
        <x:v>0</x:v>
      </x:c>
      <x:c r="L1153" s="34" t="str">
        <x:v>initial</x:v>
      </x:c>
      <x:c r="M1153" s="34" t="str">
        <x:v>article1-unified-v4-2-fb3f101b-20260903-000401-default-f05-p5-cache2k-1-loaded</x:v>
      </x:c>
      <x:c r="N1153" s="38" t="n">
        <x:v>46268.080983472224</x:v>
      </x:c>
      <x:c r="O1153" s="36" t="n">
        <x:v>0</x:v>
      </x:c>
      <x:c r="P1153" s="43" t="n">
        <x:v>219159552</x:v>
      </x:c>
      <x:c r="Q1153" s="43" t="n">
        <x:v>268435456</x:v>
      </x:c>
      <x:c r="R1153" s="43" t="n">
        <x:v>410955776</x:v>
      </x:c>
      <x:c r="S1153" s="36" t="n">
        <x:v>2</x:v>
      </x:c>
      <x:c r="T1153" s="44" t="str">
        <x:v>0x000000002e1177b8  0x000000002e003818  0x00007ae584074a30    4449  21223424  21221400  org.apache.catalina.loader.ParallelWebappClassLoader | 0x000000002e1177b8  0x000000002e003818  0x00007ae628616520       0         0         0  org.apache.catalina.loader.ParallelWebappClassLoader</x:v>
      </x:c>
      <x:c r="U1153" s="36" t="n">
        <x:v>28</x:v>
      </x:c>
      <x:c r="V1153" s="36" t="n">
        <x:v>0</x:v>
      </x:c>
      <x:c r="W1153" s="44"/>
      <x:c r="X1153" s="36"/>
      <x:c r="Y1153" s="36"/>
      <x:c r="Z1153" s="44"/>
      <x:c r="AA1153" s="49"/>
      <x:c r="AB1153" s="43"/>
      <x:c r="AC1153" s="34"/>
      <x:c r="AD1153" s="34"/>
      <x:c r="AE1153" s="34"/>
      <x:c r="AF1153" s="34"/>
      <x:c r="AG1153" s="34"/>
      <x:c r="AH1153" s="34"/>
      <x:c r="AI1153" s="34"/>
    </x:row>
    <x:row r="1154">
      <x:c r="A1154" s="34" t="str">
        <x:v>article1-unified-v4-2-fb3f101b-20260903-000401-default-f05-p5-cache2k</x:v>
      </x:c>
      <x:c r="B1154" s="34" t="str">
        <x:v>default</x:v>
      </x:c>
      <x:c r="C1154" s="34" t="str">
        <x:v>cache2k</x:v>
      </x:c>
      <x:c r="D1154" s="34" t="str">
        <x:v>cache2k</x:v>
      </x:c>
      <x:c r="E1154" s="36" t="n">
        <x:v>5</x:v>
      </x:c>
      <x:c r="F1154" s="36" t="n">
        <x:v>5</x:v>
      </x:c>
      <x:c r="G1154" s="36" t="n">
        <x:v>5</x:v>
      </x:c>
      <x:c r="H1154" s="36" t="n">
        <x:v>1</x:v>
      </x:c>
      <x:c r="I1154" s="34" t="str">
        <x:v>afterUndeployEarly</x:v>
      </x:c>
      <x:c r="J1154" s="34" t="str">
        <x:v>after-undeploy-early</x:v>
      </x:c>
      <x:c r="K1154" s="36" t="n">
        <x:v>1</x:v>
      </x:c>
      <x:c r="L1154" s="34" t="str">
        <x:v>early</x:v>
      </x:c>
      <x:c r="M1154" s="34" t="str">
        <x:v>article1-unified-v4-2-fb3f101b-20260903-000401-default-f05-p5-cache2k-1-after-undeploy-early-2s</x:v>
      </x:c>
      <x:c r="N1154" s="38" t="n">
        <x:v>46268.08106534722</x:v>
      </x:c>
      <x:c r="O1154" s="36"/>
      <x:c r="P1154" s="43"/>
      <x:c r="Q1154" s="43"/>
      <x:c r="R1154" s="43"/>
      <x:c r="S1154" s="36"/>
      <x:c r="T1154" s="44"/>
      <x:c r="U1154" s="36" t="n">
        <x:v>27</x:v>
      </x:c>
      <x:c r="V1154" s="36" t="n">
        <x:v>0</x:v>
      </x:c>
      <x:c r="W1154" s="44"/>
      <x:c r="X1154" s="36"/>
      <x:c r="Y1154" s="36"/>
      <x:c r="Z1154" s="44"/>
      <x:c r="AA1154" s="49"/>
      <x:c r="AB1154" s="43" t="n">
        <x:v>1</x:v>
      </x:c>
      <x:c r="AC1154" s="34"/>
      <x:c r="AD1154" s="34"/>
      <x:c r="AE1154" s="34" t="str">
        <x:v>article1-unified-v4-2-fb3f101b-20260903-000401-default-f05-p5-cache2k-1-after-undeploy-early-2s-thread-dump.txt</x:v>
      </x:c>
      <x:c r="AF1154" s="34" t="str">
        <x:v>article1-unified-v4-2-fb3f101b-20260903-000401-default-f05-p5-cache2k-1-after-undeploy-early-tomcat-log.txt</x:v>
      </x:c>
      <x:c r="AG1154" s="34"/>
      <x:c r="AH1154" s="34"/>
      <x:c r="AI1154" s="34"/>
    </x:row>
    <x:row r="1155">
      <x:c r="A1155" s="34" t="str">
        <x:v>article1-unified-v4-2-fb3f101b-20260903-000401-default-f05-p5-cache2k</x:v>
      </x:c>
      <x:c r="B1155" s="34" t="str">
        <x:v>default</x:v>
      </x:c>
      <x:c r="C1155" s="34" t="str">
        <x:v>cache2k</x:v>
      </x:c>
      <x:c r="D1155" s="34" t="str">
        <x:v>cache2k</x:v>
      </x:c>
      <x:c r="E1155" s="36" t="n">
        <x:v>5</x:v>
      </x:c>
      <x:c r="F1155" s="36" t="n">
        <x:v>5</x:v>
      </x:c>
      <x:c r="G1155" s="36" t="n">
        <x:v>5</x:v>
      </x:c>
      <x:c r="H1155" s="36" t="n">
        <x:v>1</x:v>
      </x:c>
      <x:c r="I1155" s="34" t="str">
        <x:v>afterUndeploy</x:v>
      </x:c>
      <x:c r="J1155" s="34" t="str">
        <x:v>after-undeploy-final</x:v>
      </x:c>
      <x:c r="K1155" s="36" t="n">
        <x:v>1</x:v>
      </x:c>
      <x:c r="L1155" s="34" t="str">
        <x:v>final</x:v>
      </x:c>
      <x:c r="M1155" s="34" t="str">
        <x:v>article1-unified-v4-2-fb3f101b-20260903-000401-default-f05-p5-cache2k-1-after-undeploy-final-10s</x:v>
      </x:c>
      <x:c r="N1155" s="38" t="n">
        <x:v>46268.08122074074</x:v>
      </x:c>
      <x:c r="O1155" s="36" t="n">
        <x:v>2</x:v>
      </x:c>
      <x:c r="P1155" s="43" t="n">
        <x:v>15753216</x:v>
      </x:c>
      <x:c r="Q1155" s="43" t="n">
        <x:v>268435456</x:v>
      </x:c>
      <x:c r="R1155" s="43" t="n">
        <x:v>409625600</x:v>
      </x:c>
      <x:c r="S1155" s="36" t="n">
        <x:v>2</x:v>
      </x:c>
      <x:c r="T1155" s="44" t="str">
        <x:v>0x000000002e1177b8  0x000000002e003818  0x00007ae584074a30    4459  21276672  21250336  org.apache.catalina.loader.ParallelWebappClassLoader | 0x000000002e1177b8  0x000000002e003818  0x00007ae628616520       0         0         0  org.apache.catalina.loader.ParallelWebappClassLoader</x:v>
      </x:c>
      <x:c r="U1155" s="36" t="n">
        <x:v>27</x:v>
      </x:c>
      <x:c r="V1155" s="36" t="n">
        <x:v>0</x:v>
      </x:c>
      <x:c r="W1155" s="44"/>
      <x:c r="X1155" s="36" t="n">
        <x:v>1</x:v>
      </x:c>
      <x:c r="Y1155" s="36" t="n">
        <x:v>1</x:v>
      </x:c>
      <x:c r="Z1155" s="44" t="str">
        <x:v>/cache2k</x:v>
      </x:c>
      <x:c r="AA1155" s="45" t="b">
        <x:v>1</x:v>
      </x:c>
      <x:c r="AB1155" s="43"/>
      <x:c r="AC1155" s="34" t="str">
        <x:v>article1-unified-v4-2-fb3f101b-20260903-000401-default-f05-p5-cache2k-1-after-undeploy-final-10s-heap-info.txt</x:v>
      </x:c>
      <x:c r="AD1155" s="34" t="str">
        <x:v>article1-unified-v4-2-fb3f101b-20260903-000401-default-f05-p5-cache2k-1-after-undeploy-final-10s-classloader-stats.txt</x:v>
      </x:c>
      <x:c r="AE1155" s="34" t="str">
        <x:v>article1-unified-v4-2-fb3f101b-20260903-000401-default-f05-p5-cache2k-1-after-undeploy-final-10s-thread-dump.txt</x:v>
      </x:c>
      <x:c r="AF1155" s="34"/>
      <x:c r="AG1155" s="34" t="str">
        <x:v>article1-unified-v4-2-fb3f101b-20260903-000401-default-f05-p5-cache2k-1-after-undeploy-final-10s-native-memory.txt</x:v>
      </x:c>
      <x:c r="AH1155" s="34" t="str">
        <x:v>article1-unified-v4-2-fb3f101b-20260903-000401-default-f05-p5-cache2k-1-after-undeploy-final-10s-class-histogram.txt</x:v>
      </x:c>
      <x:c r="AI1155" s="34" t="str">
        <x:v>article1-unified-v4-2-fb3f101b-20260903-000401-default-f05-p5-cache2k-1-after-undeploy-tomcat-findleaks.txt</x:v>
      </x:c>
    </x:row>
    <x:row r="1156">
      <x:c r="A1156" s="34" t="str">
        <x:v>article1-unified-v4-2-fb3f101b-20260903-000401-default-f05-p5-cache2k</x:v>
      </x:c>
      <x:c r="B1156" s="34" t="str">
        <x:v>default</x:v>
      </x:c>
      <x:c r="C1156" s="34" t="str">
        <x:v>cache2k</x:v>
      </x:c>
      <x:c r="D1156" s="34" t="str">
        <x:v>cache2k</x:v>
      </x:c>
      <x:c r="E1156" s="36" t="n">
        <x:v>5</x:v>
      </x:c>
      <x:c r="F1156" s="36" t="n">
        <x:v>5</x:v>
      </x:c>
      <x:c r="G1156" s="36" t="n">
        <x:v>5</x:v>
      </x:c>
      <x:c r="H1156" s="36" t="n">
        <x:v>1</x:v>
      </x:c>
      <x:c r="I1156" s="34" t="str">
        <x:v>redeployedLoaded</x:v>
      </x:c>
      <x:c r="J1156" s="34" t="str">
        <x:v>redeployed-loaded</x:v>
      </x:c>
      <x:c r="K1156" s="36" t="n">
        <x:v>0</x:v>
      </x:c>
      <x:c r="L1156" s="34" t="str">
        <x:v>redeploy</x:v>
      </x:c>
      <x:c r="M1156" s="34" t="str">
        <x:v>article1-unified-v4-2-fb3f101b-20260903-000401-default-f05-p5-cache2k-1-redeployed-loaded</x:v>
      </x:c>
      <x:c r="N1156" s="38" t="n">
        <x:v>46268.08147358796</x:v>
      </x:c>
      <x:c r="O1156" s="36" t="n">
        <x:v>0</x:v>
      </x:c>
      <x:c r="P1156" s="43" t="n">
        <x:v>92615680</x:v>
      </x:c>
      <x:c r="Q1156" s="43" t="n">
        <x:v>268435456</x:v>
      </x:c>
      <x:c r="R1156" s="43" t="n">
        <x:v>445454336</x:v>
      </x:c>
      <x:c r="S1156" s="36" t="n">
        <x:v>3</x:v>
      </x:c>
      <x:c r="T1156" s="44" t="str">
        <x:v>0x000000002e1177b8  0x000000002e003818  0x00007ae584074a30    4459  21276672  21250336  org.apache.catalina.loader.ParallelWebappClassLoader | 0x000000002e1177b8  0x000000002e003818  0x00007ae59403f310    4445  21285888  21268184  org.apache.catalina.loader.ParallelWebappClassLoader | 0x000000002e1177b8  0x000000002e003818  0x00007ae628616520       0         0         0  org.apache.catalina.loader.ParallelWebappClassLoader</x:v>
      </x:c>
      <x:c r="U1156" s="36" t="n">
        <x:v>28</x:v>
      </x:c>
      <x:c r="V1156" s="36" t="n">
        <x:v>0</x:v>
      </x:c>
      <x:c r="W1156" s="44"/>
      <x:c r="X1156" s="36"/>
      <x:c r="Y1156" s="36"/>
      <x:c r="Z1156" s="44"/>
      <x:c r="AA1156" s="49"/>
      <x:c r="AB1156" s="43"/>
      <x:c r="AC1156" s="34"/>
      <x:c r="AD1156" s="34"/>
      <x:c r="AE1156" s="34"/>
      <x:c r="AF1156" s="34"/>
      <x:c r="AG1156" s="34"/>
      <x:c r="AH1156" s="34"/>
      <x:c r="AI1156" s="34"/>
    </x:row>
    <x:row r="1157">
      <x:c r="A1157" s="34" t="str">
        <x:v>article1-unified-v4-2-fb3f101b-20260903-000401-default-f05-p5-cache2k</x:v>
      </x:c>
      <x:c r="B1157" s="34" t="str">
        <x:v>default</x:v>
      </x:c>
      <x:c r="C1157" s="34" t="str">
        <x:v>cache2k</x:v>
      </x:c>
      <x:c r="D1157" s="34" t="str">
        <x:v>cache2k</x:v>
      </x:c>
      <x:c r="E1157" s="36" t="n">
        <x:v>5</x:v>
      </x:c>
      <x:c r="F1157" s="36" t="n">
        <x:v>5</x:v>
      </x:c>
      <x:c r="G1157" s="36" t="n">
        <x:v>5</x:v>
      </x:c>
      <x:c r="H1157" s="36" t="n">
        <x:v>1</x:v>
      </x:c>
      <x:c r="I1157" s="34" t="str">
        <x:v>afterFinalUndeployEarly</x:v>
      </x:c>
      <x:c r="J1157" s="34" t="str">
        <x:v>after-final-undeploy-early</x:v>
      </x:c>
      <x:c r="K1157" s="36" t="n">
        <x:v>2</x:v>
      </x:c>
      <x:c r="L1157" s="34" t="str">
        <x:v>early</x:v>
      </x:c>
      <x:c r="M1157" s="34" t="str">
        <x:v>article1-unified-v4-2-fb3f101b-20260903-000401-default-f05-p5-cache2k-1-after-final-undeploy-early-2s</x:v>
      </x:c>
      <x:c r="N1157" s="38" t="n">
        <x:v>46268.08155560185</x:v>
      </x:c>
      <x:c r="O1157" s="36"/>
      <x:c r="P1157" s="43"/>
      <x:c r="Q1157" s="43"/>
      <x:c r="R1157" s="43"/>
      <x:c r="S1157" s="36"/>
      <x:c r="T1157" s="44"/>
      <x:c r="U1157" s="36" t="n">
        <x:v>27</x:v>
      </x:c>
      <x:c r="V1157" s="36" t="n">
        <x:v>0</x:v>
      </x:c>
      <x:c r="W1157" s="44"/>
      <x:c r="X1157" s="36"/>
      <x:c r="Y1157" s="36"/>
      <x:c r="Z1157" s="44"/>
      <x:c r="AA1157" s="49"/>
      <x:c r="AB1157" s="43" t="n">
        <x:v>1</x:v>
      </x:c>
      <x:c r="AC1157" s="34"/>
      <x:c r="AD1157" s="34"/>
      <x:c r="AE1157" s="34" t="str">
        <x:v>article1-unified-v4-2-fb3f101b-20260903-000401-default-f05-p5-cache2k-1-after-final-undeploy-early-2s-thread-dump.txt</x:v>
      </x:c>
      <x:c r="AF1157" s="34" t="str">
        <x:v>article1-unified-v4-2-fb3f101b-20260903-000401-default-f05-p5-cache2k-1-after-final-undeploy-early-tomcat-log.txt</x:v>
      </x:c>
      <x:c r="AG1157" s="34"/>
      <x:c r="AH1157" s="34"/>
      <x:c r="AI1157" s="34"/>
    </x:row>
    <x:row r="1158">
      <x:c r="A1158" s="34" t="str">
        <x:v>article1-unified-v4-2-fb3f101b-20260903-000401-default-f05-p5-cache2k</x:v>
      </x:c>
      <x:c r="B1158" s="34" t="str">
        <x:v>default</x:v>
      </x:c>
      <x:c r="C1158" s="34" t="str">
        <x:v>cache2k</x:v>
      </x:c>
      <x:c r="D1158" s="34" t="str">
        <x:v>cache2k</x:v>
      </x:c>
      <x:c r="E1158" s="36" t="n">
        <x:v>5</x:v>
      </x:c>
      <x:c r="F1158" s="36" t="n">
        <x:v>5</x:v>
      </x:c>
      <x:c r="G1158" s="36" t="n">
        <x:v>5</x:v>
      </x:c>
      <x:c r="H1158" s="36" t="n">
        <x:v>1</x:v>
      </x:c>
      <x:c r="I1158" s="34" t="str">
        <x:v>afterFinalUndeploy</x:v>
      </x:c>
      <x:c r="J1158" s="34" t="str">
        <x:v>after-final-undeploy-final</x:v>
      </x:c>
      <x:c r="K1158" s="36" t="n">
        <x:v>2</x:v>
      </x:c>
      <x:c r="L1158" s="34" t="str">
        <x:v>final</x:v>
      </x:c>
      <x:c r="M1158" s="34" t="str">
        <x:v>article1-unified-v4-2-fb3f101b-20260903-000401-default-f05-p5-cache2k-1-after-final-undeploy-final-10s</x:v>
      </x:c>
      <x:c r="N1158" s="38" t="n">
        <x:v>46268.08171075232</x:v>
      </x:c>
      <x:c r="O1158" s="36" t="n">
        <x:v>2</x:v>
      </x:c>
      <x:c r="P1158" s="43" t="n">
        <x:v>15560704</x:v>
      </x:c>
      <x:c r="Q1158" s="43" t="n">
        <x:v>268435456</x:v>
      </x:c>
      <x:c r="R1158" s="43" t="n">
        <x:v>418319360</x:v>
      </x:c>
      <x:c r="S1158" s="36" t="n">
        <x:v>2</x:v>
      </x:c>
      <x:c r="T1158" s="44" t="str">
        <x:v>0x000000002e1177b8  0x000000002e003818  0x00007ae628616520       0         0         0  org.apache.catalina.loader.ParallelWebappClassLoader | 0x000000002e1177b8  0x000000002e003818  0x00007ae59403f310    4455  21302272  21297128  org.apache.catalina.loader.ParallelWebappClassLoader</x:v>
      </x:c>
      <x:c r="U1158" s="36" t="n">
        <x:v>27</x:v>
      </x:c>
      <x:c r="V1158" s="36" t="n">
        <x:v>0</x:v>
      </x:c>
      <x:c r="W1158" s="44"/>
      <x:c r="X1158" s="36" t="n">
        <x:v>1</x:v>
      </x:c>
      <x:c r="Y1158" s="36" t="n">
        <x:v>1</x:v>
      </x:c>
      <x:c r="Z1158" s="44" t="str">
        <x:v>/cache2k</x:v>
      </x:c>
      <x:c r="AA1158" s="45" t="b">
        <x:v>1</x:v>
      </x:c>
      <x:c r="AB1158" s="43"/>
      <x:c r="AC1158" s="34" t="str">
        <x:v>article1-unified-v4-2-fb3f101b-20260903-000401-default-f05-p5-cache2k-1-after-final-undeploy-final-10s-heap-info.txt</x:v>
      </x:c>
      <x:c r="AD1158" s="34" t="str">
        <x:v>article1-unified-v4-2-fb3f101b-20260903-000401-default-f05-p5-cache2k-1-after-final-undeploy-final-10s-classloader-stats.txt</x:v>
      </x:c>
      <x:c r="AE1158" s="34" t="str">
        <x:v>article1-unified-v4-2-fb3f101b-20260903-000401-default-f05-p5-cache2k-1-after-final-undeploy-final-10s-thread-dump.txt</x:v>
      </x:c>
      <x:c r="AF1158" s="34"/>
      <x:c r="AG1158" s="34" t="str">
        <x:v>article1-unified-v4-2-fb3f101b-20260903-000401-default-f05-p5-cache2k-1-after-final-undeploy-final-10s-native-memory.txt</x:v>
      </x:c>
      <x:c r="AH1158" s="34" t="str">
        <x:v>article1-unified-v4-2-fb3f101b-20260903-000401-default-f05-p5-cache2k-1-after-final-undeploy-final-10s-class-histogram.txt</x:v>
      </x:c>
      <x:c r="AI1158" s="34" t="str">
        <x:v>article1-unified-v4-2-fb3f101b-20260903-000401-default-f05-p5-cache2k-1-after-final-undeploy-tomcat-findleaks.txt</x:v>
      </x:c>
    </x:row>
    <x:row r="1159">
      <x:c r="A1159" s="34" t="str">
        <x:v>article1-unified-v4-2-fb3f101b-20260903-000401-default-f05-p5-cache2k</x:v>
      </x:c>
      <x:c r="B1159" s="34" t="str">
        <x:v>default</x:v>
      </x:c>
      <x:c r="C1159" s="34" t="str">
        <x:v>cache2k</x:v>
      </x:c>
      <x:c r="D1159" s="34" t="str">
        <x:v>cache2k</x:v>
      </x:c>
      <x:c r="E1159" s="36" t="n">
        <x:v>5</x:v>
      </x:c>
      <x:c r="F1159" s="36" t="n">
        <x:v>5</x:v>
      </x:c>
      <x:c r="G1159" s="36" t="n">
        <x:v>5</x:v>
      </x:c>
      <x:c r="H1159" s="36" t="n">
        <x:v>2</x:v>
      </x:c>
      <x:c r="I1159" s="34" t="str">
        <x:v>baseline</x:v>
      </x:c>
      <x:c r="J1159" s="34" t="str">
        <x:v>cycle-baseline</x:v>
      </x:c>
      <x:c r="K1159" s="36" t="n">
        <x:v>0</x:v>
      </x:c>
      <x:c r="L1159" s="34" t="str">
        <x:v>baseline</x:v>
      </x:c>
      <x:c r="M1159" s="34" t="str">
        <x:v>article1-unified-v4-2-fb3f101b-20260903-000401-default-f05-p5-cache2k-2-baseline</x:v>
      </x:c>
      <x:c r="N1159" s="38" t="n">
        <x:v>46268.08175273148</x:v>
      </x:c>
      <x:c r="O1159" s="36" t="n">
        <x:v>0</x:v>
      </x:c>
      <x:c r="P1159" s="43" t="n">
        <x:v>15560704</x:v>
      </x:c>
      <x:c r="Q1159" s="43" t="n">
        <x:v>268435456</x:v>
      </x:c>
      <x:c r="R1159" s="43" t="n">
        <x:v>418216960</x:v>
      </x:c>
      <x:c r="S1159" s="36" t="n">
        <x:v>2</x:v>
      </x:c>
      <x:c r="T1159" s="44" t="str">
        <x:v>0x000000002e1177b8  0x000000002e003818  0x00007ae628616520       0         0         0  org.apache.catalina.loader.ParallelWebappClassLoader | 0x000000002e1177b8  0x000000002e003818  0x00007ae59403f310    4455  21302272  21297128  org.apache.catalina.loader.ParallelWebappClassLoader</x:v>
      </x:c>
      <x:c r="U1159" s="36" t="n">
        <x:v>27</x:v>
      </x:c>
      <x:c r="V1159" s="36" t="n">
        <x:v>0</x:v>
      </x:c>
      <x:c r="W1159" s="44"/>
      <x:c r="X1159" s="36"/>
      <x:c r="Y1159" s="36"/>
      <x:c r="Z1159" s="44"/>
      <x:c r="AA1159" s="49"/>
      <x:c r="AB1159" s="43"/>
      <x:c r="AC1159" s="34" t="str">
        <x:v>article1-unified-v4-2-fb3f101b-20260903-000401-default-f05-p5-cache2k-2-baseline-heap-info.txt</x:v>
      </x:c>
      <x:c r="AD1159" s="34" t="str">
        <x:v>article1-unified-v4-2-fb3f101b-20260903-000401-default-f05-p5-cache2k-2-baseline-classloader-stats.txt</x:v>
      </x:c>
      <x:c r="AE1159" s="34" t="str">
        <x:v>article1-unified-v4-2-fb3f101b-20260903-000401-default-f05-p5-cache2k-2-baseline-thread-dump.txt</x:v>
      </x:c>
      <x:c r="AF1159" s="34"/>
      <x:c r="AG1159" s="34" t="str">
        <x:v>article1-unified-v4-2-fb3f101b-20260903-000401-default-f05-p5-cache2k-2-baseline-native-memory.txt</x:v>
      </x:c>
      <x:c r="AH1159" s="34"/>
      <x:c r="AI1159" s="34"/>
    </x:row>
    <x:row r="1160">
      <x:c r="A1160" s="34" t="str">
        <x:v>article1-unified-v4-2-fb3f101b-20260903-000401-default-f05-p5-cache2k</x:v>
      </x:c>
      <x:c r="B1160" s="34" t="str">
        <x:v>default</x:v>
      </x:c>
      <x:c r="C1160" s="34" t="str">
        <x:v>cache2k</x:v>
      </x:c>
      <x:c r="D1160" s="34" t="str">
        <x:v>cache2k</x:v>
      </x:c>
      <x:c r="E1160" s="36" t="n">
        <x:v>5</x:v>
      </x:c>
      <x:c r="F1160" s="36" t="n">
        <x:v>5</x:v>
      </x:c>
      <x:c r="G1160" s="36" t="n">
        <x:v>5</x:v>
      </x:c>
      <x:c r="H1160" s="36" t="n">
        <x:v>2</x:v>
      </x:c>
      <x:c r="I1160" s="34" t="str">
        <x:v>deployedIdle</x:v>
      </x:c>
      <x:c r="J1160" s="34" t="str">
        <x:v>deployed-idle</x:v>
      </x:c>
      <x:c r="K1160" s="36" t="n">
        <x:v>0</x:v>
      </x:c>
      <x:c r="L1160" s="34" t="str">
        <x:v>initial</x:v>
      </x:c>
      <x:c r="M1160" s="34" t="str">
        <x:v>article1-unified-v4-2-fb3f101b-20260903-000401-default-f05-p5-cache2k-2-deployed-idle</x:v>
      </x:c>
      <x:c r="N1160" s="38" t="n">
        <x:v>46268.08185425926</x:v>
      </x:c>
      <x:c r="O1160" s="36" t="n">
        <x:v>0</x:v>
      </x:c>
      <x:c r="P1160" s="43" t="n">
        <x:v>168914944</x:v>
      </x:c>
      <x:c r="Q1160" s="43" t="n">
        <x:v>268435456</x:v>
      </x:c>
      <x:c r="R1160" s="43" t="n">
        <x:v>436140032</x:v>
      </x:c>
      <x:c r="S1160" s="36" t="n">
        <x:v>3</x:v>
      </x:c>
      <x:c r="T1160" s="44" t="str">
        <x:v>0x000000002e1177b8  0x000000002e003818  0x00007ae628616520       0         0         0  org.apache.catalina.loader.ParallelWebappClassLoader | 0x000000002e1177b8  0x000000002e003818  0x00007ae59802d510    4091  19436544  19429728  org.apache.catalina.loader.ParallelWebappClassLoader | 0x000000002e1177b8  0x000000002e003818  0x00007ae59403f310    4455  21302272  21297128  org.apache.catalina.loader.ParallelWebappClassLoader</x:v>
      </x:c>
      <x:c r="U1160" s="36" t="n">
        <x:v>28</x:v>
      </x:c>
      <x:c r="V1160" s="36" t="n">
        <x:v>0</x:v>
      </x:c>
      <x:c r="W1160" s="44"/>
      <x:c r="X1160" s="36"/>
      <x:c r="Y1160" s="36"/>
      <x:c r="Z1160" s="44"/>
      <x:c r="AA1160" s="49"/>
      <x:c r="AB1160" s="43"/>
      <x:c r="AC1160" s="34"/>
      <x:c r="AD1160" s="34"/>
      <x:c r="AE1160" s="34"/>
      <x:c r="AF1160" s="34"/>
      <x:c r="AG1160" s="34"/>
      <x:c r="AH1160" s="34"/>
      <x:c r="AI1160" s="34"/>
    </x:row>
    <x:row r="1161">
      <x:c r="A1161" s="34" t="str">
        <x:v>article1-unified-v4-2-fb3f101b-20260903-000401-default-f05-p5-cache2k</x:v>
      </x:c>
      <x:c r="B1161" s="34" t="str">
        <x:v>default</x:v>
      </x:c>
      <x:c r="C1161" s="34" t="str">
        <x:v>cache2k</x:v>
      </x:c>
      <x:c r="D1161" s="34" t="str">
        <x:v>cache2k</x:v>
      </x:c>
      <x:c r="E1161" s="36" t="n">
        <x:v>5</x:v>
      </x:c>
      <x:c r="F1161" s="36" t="n">
        <x:v>5</x:v>
      </x:c>
      <x:c r="G1161" s="36" t="n">
        <x:v>5</x:v>
      </x:c>
      <x:c r="H1161" s="36" t="n">
        <x:v>2</x:v>
      </x:c>
      <x:c r="I1161" s="34" t="str">
        <x:v>loaded</x:v>
      </x:c>
      <x:c r="J1161" s="34" t="str">
        <x:v>loaded</x:v>
      </x:c>
      <x:c r="K1161" s="36" t="n">
        <x:v>0</x:v>
      </x:c>
      <x:c r="L1161" s="34" t="str">
        <x:v>initial</x:v>
      </x:c>
      <x:c r="M1161" s="34" t="str">
        <x:v>article1-unified-v4-2-fb3f101b-20260903-000401-default-f05-p5-cache2k-2-loaded</x:v>
      </x:c>
      <x:c r="N1161" s="38" t="n">
        <x:v>46268.08200703704</x:v>
      </x:c>
      <x:c r="O1161" s="36" t="n">
        <x:v>0</x:v>
      </x:c>
      <x:c r="P1161" s="43" t="n">
        <x:v>95170560</x:v>
      </x:c>
      <x:c r="Q1161" s="43" t="n">
        <x:v>268435456</x:v>
      </x:c>
      <x:c r="R1161" s="43" t="n">
        <x:v>441645056</x:v>
      </x:c>
      <x:c r="S1161" s="36" t="n">
        <x:v>3</x:v>
      </x:c>
      <x:c r="T1161" s="44" t="str">
        <x:v>0x000000002e1177b8  0x000000002e003818  0x00007ae628616520       0         0         0  org.apache.catalina.loader.ParallelWebappClassLoader | 0x000000002e1177b8  0x000000002e003818  0x00007ae59403f310    4455  21302272  21297128  org.apache.catalina.loader.ParallelWebappClassLoader | 0x000000002e1177b8  0x000000002e003818  0x00007ae59802d510    4442  21270528  21260888  org.apache.catalina.loader.ParallelWebappClassLoader</x:v>
      </x:c>
      <x:c r="U1161" s="36" t="n">
        <x:v>29</x:v>
      </x:c>
      <x:c r="V1161" s="36" t="n">
        <x:v>0</x:v>
      </x:c>
      <x:c r="W1161" s="44"/>
      <x:c r="X1161" s="36"/>
      <x:c r="Y1161" s="36"/>
      <x:c r="Z1161" s="44"/>
      <x:c r="AA1161" s="49"/>
      <x:c r="AB1161" s="43"/>
      <x:c r="AC1161" s="34"/>
      <x:c r="AD1161" s="34"/>
      <x:c r="AE1161" s="34"/>
      <x:c r="AF1161" s="34"/>
      <x:c r="AG1161" s="34"/>
      <x:c r="AH1161" s="34"/>
      <x:c r="AI1161" s="34"/>
    </x:row>
    <x:row r="1162">
      <x:c r="A1162" s="34" t="str">
        <x:v>article1-unified-v4-2-fb3f101b-20260903-000401-default-f05-p5-cache2k</x:v>
      </x:c>
      <x:c r="B1162" s="34" t="str">
        <x:v>default</x:v>
      </x:c>
      <x:c r="C1162" s="34" t="str">
        <x:v>cache2k</x:v>
      </x:c>
      <x:c r="D1162" s="34" t="str">
        <x:v>cache2k</x:v>
      </x:c>
      <x:c r="E1162" s="36" t="n">
        <x:v>5</x:v>
      </x:c>
      <x:c r="F1162" s="36" t="n">
        <x:v>5</x:v>
      </x:c>
      <x:c r="G1162" s="36" t="n">
        <x:v>5</x:v>
      </x:c>
      <x:c r="H1162" s="36" t="n">
        <x:v>2</x:v>
      </x:c>
      <x:c r="I1162" s="34" t="str">
        <x:v>afterUndeployEarly</x:v>
      </x:c>
      <x:c r="J1162" s="34" t="str">
        <x:v>after-undeploy-early</x:v>
      </x:c>
      <x:c r="K1162" s="36" t="n">
        <x:v>1</x:v>
      </x:c>
      <x:c r="L1162" s="34" t="str">
        <x:v>early</x:v>
      </x:c>
      <x:c r="M1162" s="34" t="str">
        <x:v>article1-unified-v4-2-fb3f101b-20260903-000401-default-f05-p5-cache2k-2-after-undeploy-early-2s</x:v>
      </x:c>
      <x:c r="N1162" s="38" t="n">
        <x:v>46268.082089675925</x:v>
      </x:c>
      <x:c r="O1162" s="36"/>
      <x:c r="P1162" s="43"/>
      <x:c r="Q1162" s="43"/>
      <x:c r="R1162" s="43"/>
      <x:c r="S1162" s="36"/>
      <x:c r="T1162" s="44"/>
      <x:c r="U1162" s="36" t="n">
        <x:v>27</x:v>
      </x:c>
      <x:c r="V1162" s="36" t="n">
        <x:v>0</x:v>
      </x:c>
      <x:c r="W1162" s="44"/>
      <x:c r="X1162" s="36"/>
      <x:c r="Y1162" s="36"/>
      <x:c r="Z1162" s="44"/>
      <x:c r="AA1162" s="49"/>
      <x:c r="AB1162" s="43" t="n">
        <x:v>1</x:v>
      </x:c>
      <x:c r="AC1162" s="34"/>
      <x:c r="AD1162" s="34"/>
      <x:c r="AE1162" s="34" t="str">
        <x:v>article1-unified-v4-2-fb3f101b-20260903-000401-default-f05-p5-cache2k-2-after-undeploy-early-2s-thread-dump.txt</x:v>
      </x:c>
      <x:c r="AF1162" s="34" t="str">
        <x:v>article1-unified-v4-2-fb3f101b-20260903-000401-default-f05-p5-cache2k-2-after-undeploy-early-tomcat-log.txt</x:v>
      </x:c>
      <x:c r="AG1162" s="34"/>
      <x:c r="AH1162" s="34"/>
      <x:c r="AI1162" s="34"/>
    </x:row>
    <x:row r="1163">
      <x:c r="A1163" s="34" t="str">
        <x:v>article1-unified-v4-2-fb3f101b-20260903-000401-default-f05-p5-cache2k</x:v>
      </x:c>
      <x:c r="B1163" s="34" t="str">
        <x:v>default</x:v>
      </x:c>
      <x:c r="C1163" s="34" t="str">
        <x:v>cache2k</x:v>
      </x:c>
      <x:c r="D1163" s="34" t="str">
        <x:v>cache2k</x:v>
      </x:c>
      <x:c r="E1163" s="36" t="n">
        <x:v>5</x:v>
      </x:c>
      <x:c r="F1163" s="36" t="n">
        <x:v>5</x:v>
      </x:c>
      <x:c r="G1163" s="36" t="n">
        <x:v>5</x:v>
      </x:c>
      <x:c r="H1163" s="36" t="n">
        <x:v>2</x:v>
      </x:c>
      <x:c r="I1163" s="34" t="str">
        <x:v>afterUndeploy</x:v>
      </x:c>
      <x:c r="J1163" s="34" t="str">
        <x:v>after-undeploy-final</x:v>
      </x:c>
      <x:c r="K1163" s="36" t="n">
        <x:v>1</x:v>
      </x:c>
      <x:c r="L1163" s="34" t="str">
        <x:v>final</x:v>
      </x:c>
      <x:c r="M1163" s="34" t="str">
        <x:v>article1-unified-v4-2-fb3f101b-20260903-000401-default-f05-p5-cache2k-2-after-undeploy-final-10s</x:v>
      </x:c>
      <x:c r="N1163" s="38" t="n">
        <x:v>46268.08224819444</x:v>
      </x:c>
      <x:c r="O1163" s="36" t="n">
        <x:v>2</x:v>
      </x:c>
      <x:c r="P1163" s="43" t="n">
        <x:v>15564800</x:v>
      </x:c>
      <x:c r="Q1163" s="43" t="n">
        <x:v>268435456</x:v>
      </x:c>
      <x:c r="R1163" s="43" t="n">
        <x:v>419288064</x:v>
      </x:c>
      <x:c r="S1163" s="36" t="n">
        <x:v>2</x:v>
      </x:c>
      <x:c r="T1163" s="44" t="str">
        <x:v>0x000000002e1177b8  0x000000002e003818  0x00007ae628616520       0         0         0  org.apache.catalina.loader.ParallelWebappClassLoader | 0x000000002e1177b8  0x000000002e003818  0x00007ae59802d510    4452  21303296  21289832  org.apache.catalina.loader.ParallelWebappClassLoader</x:v>
      </x:c>
      <x:c r="U1163" s="36" t="n">
        <x:v>27</x:v>
      </x:c>
      <x:c r="V1163" s="36" t="n">
        <x:v>0</x:v>
      </x:c>
      <x:c r="W1163" s="44"/>
      <x:c r="X1163" s="36" t="n">
        <x:v>1</x:v>
      </x:c>
      <x:c r="Y1163" s="36" t="n">
        <x:v>1</x:v>
      </x:c>
      <x:c r="Z1163" s="44" t="str">
        <x:v>/cache2k</x:v>
      </x:c>
      <x:c r="AA1163" s="45" t="b">
        <x:v>1</x:v>
      </x:c>
      <x:c r="AB1163" s="43"/>
      <x:c r="AC1163" s="34" t="str">
        <x:v>article1-unified-v4-2-fb3f101b-20260903-000401-default-f05-p5-cache2k-2-after-undeploy-final-10s-heap-info.txt</x:v>
      </x:c>
      <x:c r="AD1163" s="34" t="str">
        <x:v>article1-unified-v4-2-fb3f101b-20260903-000401-default-f05-p5-cache2k-2-after-undeploy-final-10s-classloader-stats.txt</x:v>
      </x:c>
      <x:c r="AE1163" s="34" t="str">
        <x:v>article1-unified-v4-2-fb3f101b-20260903-000401-default-f05-p5-cache2k-2-after-undeploy-final-10s-thread-dump.txt</x:v>
      </x:c>
      <x:c r="AF1163" s="34"/>
      <x:c r="AG1163" s="34" t="str">
        <x:v>article1-unified-v4-2-fb3f101b-20260903-000401-default-f05-p5-cache2k-2-after-undeploy-final-10s-native-memory.txt</x:v>
      </x:c>
      <x:c r="AH1163" s="34" t="str">
        <x:v>article1-unified-v4-2-fb3f101b-20260903-000401-default-f05-p5-cache2k-2-after-undeploy-final-10s-class-histogram.txt</x:v>
      </x:c>
      <x:c r="AI1163" s="34" t="str">
        <x:v>article1-unified-v4-2-fb3f101b-20260903-000401-default-f05-p5-cache2k-2-after-undeploy-tomcat-findleaks.txt</x:v>
      </x:c>
    </x:row>
    <x:row r="1164">
      <x:c r="A1164" s="34" t="str">
        <x:v>article1-unified-v4-2-fb3f101b-20260903-000401-default-f05-p5-cache2k</x:v>
      </x:c>
      <x:c r="B1164" s="34" t="str">
        <x:v>default</x:v>
      </x:c>
      <x:c r="C1164" s="34" t="str">
        <x:v>cache2k</x:v>
      </x:c>
      <x:c r="D1164" s="34" t="str">
        <x:v>cache2k</x:v>
      </x:c>
      <x:c r="E1164" s="36" t="n">
        <x:v>5</x:v>
      </x:c>
      <x:c r="F1164" s="36" t="n">
        <x:v>5</x:v>
      </x:c>
      <x:c r="G1164" s="36" t="n">
        <x:v>5</x:v>
      </x:c>
      <x:c r="H1164" s="36" t="n">
        <x:v>2</x:v>
      </x:c>
      <x:c r="I1164" s="34" t="str">
        <x:v>redeployedLoaded</x:v>
      </x:c>
      <x:c r="J1164" s="34" t="str">
        <x:v>redeployed-loaded</x:v>
      </x:c>
      <x:c r="K1164" s="36" t="n">
        <x:v>0</x:v>
      </x:c>
      <x:c r="L1164" s="34" t="str">
        <x:v>redeploy</x:v>
      </x:c>
      <x:c r="M1164" s="34" t="str">
        <x:v>article1-unified-v4-2-fb3f101b-20260903-000401-default-f05-p5-cache2k-2-redeployed-loaded</x:v>
      </x:c>
      <x:c r="N1164" s="38" t="n">
        <x:v>46268.08250386574</x:v>
      </x:c>
      <x:c r="O1164" s="36" t="n">
        <x:v>0</x:v>
      </x:c>
      <x:c r="P1164" s="43" t="n">
        <x:v>94290944</x:v>
      </x:c>
      <x:c r="Q1164" s="43" t="n">
        <x:v>268435456</x:v>
      </x:c>
      <x:c r="R1164" s="43" t="n">
        <x:v>439617536</x:v>
      </x:c>
      <x:c r="S1164" s="36" t="n">
        <x:v>3</x:v>
      </x:c>
      <x:c r="T1164" s="44" t="str">
        <x:v>0x000000002e1177b8  0x000000002e003818  0x00007ae628616520       0         0         0  org.apache.catalina.loader.ParallelWebappClassLoader | 0x000000002e1177b8  0x000000002e003818  0x00007ae59802d510    4452  21303296  21289832  org.apache.catalina.loader.ParallelWebappClassLoader | 0x000000002e1177b8  0x000000002e003818  0x00007ae544278ac0    4443  21257216  21238160  org.apache.catalina.loader.ParallelWebappClassLoader</x:v>
      </x:c>
      <x:c r="U1164" s="36" t="n">
        <x:v>29</x:v>
      </x:c>
      <x:c r="V1164" s="36" t="n">
        <x:v>0</x:v>
      </x:c>
      <x:c r="W1164" s="44"/>
      <x:c r="X1164" s="36"/>
      <x:c r="Y1164" s="36"/>
      <x:c r="Z1164" s="44"/>
      <x:c r="AA1164" s="49"/>
      <x:c r="AB1164" s="43"/>
      <x:c r="AC1164" s="34"/>
      <x:c r="AD1164" s="34"/>
      <x:c r="AE1164" s="34"/>
      <x:c r="AF1164" s="34"/>
      <x:c r="AG1164" s="34"/>
      <x:c r="AH1164" s="34"/>
      <x:c r="AI1164" s="34"/>
    </x:row>
    <x:row r="1165">
      <x:c r="A1165" s="34" t="str">
        <x:v>article1-unified-v4-2-fb3f101b-20260903-000401-default-f05-p5-cache2k</x:v>
      </x:c>
      <x:c r="B1165" s="34" t="str">
        <x:v>default</x:v>
      </x:c>
      <x:c r="C1165" s="34" t="str">
        <x:v>cache2k</x:v>
      </x:c>
      <x:c r="D1165" s="34" t="str">
        <x:v>cache2k</x:v>
      </x:c>
      <x:c r="E1165" s="36" t="n">
        <x:v>5</x:v>
      </x:c>
      <x:c r="F1165" s="36" t="n">
        <x:v>5</x:v>
      </x:c>
      <x:c r="G1165" s="36" t="n">
        <x:v>5</x:v>
      </x:c>
      <x:c r="H1165" s="36" t="n">
        <x:v>2</x:v>
      </x:c>
      <x:c r="I1165" s="34" t="str">
        <x:v>afterFinalUndeployEarly</x:v>
      </x:c>
      <x:c r="J1165" s="34" t="str">
        <x:v>after-final-undeploy-early</x:v>
      </x:c>
      <x:c r="K1165" s="36" t="n">
        <x:v>2</x:v>
      </x:c>
      <x:c r="L1165" s="34" t="str">
        <x:v>early</x:v>
      </x:c>
      <x:c r="M1165" s="34" t="str">
        <x:v>article1-unified-v4-2-fb3f101b-20260903-000401-default-f05-p5-cache2k-2-after-final-undeploy-early-2s</x:v>
      </x:c>
      <x:c r="N1165" s="38" t="n">
        <x:v>46268.08258913195</x:v>
      </x:c>
      <x:c r="O1165" s="36"/>
      <x:c r="P1165" s="43"/>
      <x:c r="Q1165" s="43"/>
      <x:c r="R1165" s="43"/>
      <x:c r="S1165" s="36"/>
      <x:c r="T1165" s="44"/>
      <x:c r="U1165" s="36" t="n">
        <x:v>27</x:v>
      </x:c>
      <x:c r="V1165" s="36" t="n">
        <x:v>0</x:v>
      </x:c>
      <x:c r="W1165" s="44"/>
      <x:c r="X1165" s="36"/>
      <x:c r="Y1165" s="36"/>
      <x:c r="Z1165" s="44"/>
      <x:c r="AA1165" s="49"/>
      <x:c r="AB1165" s="43" t="n">
        <x:v>1</x:v>
      </x:c>
      <x:c r="AC1165" s="34"/>
      <x:c r="AD1165" s="34"/>
      <x:c r="AE1165" s="34" t="str">
        <x:v>article1-unified-v4-2-fb3f101b-20260903-000401-default-f05-p5-cache2k-2-after-final-undeploy-early-2s-thread-dump.txt</x:v>
      </x:c>
      <x:c r="AF1165" s="34" t="str">
        <x:v>article1-unified-v4-2-fb3f101b-20260903-000401-default-f05-p5-cache2k-2-after-final-undeploy-early-tomcat-log.txt</x:v>
      </x:c>
      <x:c r="AG1165" s="34"/>
      <x:c r="AH1165" s="34"/>
      <x:c r="AI1165" s="34"/>
    </x:row>
    <x:row r="1166">
      <x:c r="A1166" s="34" t="str">
        <x:v>article1-unified-v4-2-fb3f101b-20260903-000401-default-f05-p5-cache2k</x:v>
      </x:c>
      <x:c r="B1166" s="34" t="str">
        <x:v>default</x:v>
      </x:c>
      <x:c r="C1166" s="34" t="str">
        <x:v>cache2k</x:v>
      </x:c>
      <x:c r="D1166" s="34" t="str">
        <x:v>cache2k</x:v>
      </x:c>
      <x:c r="E1166" s="36" t="n">
        <x:v>5</x:v>
      </x:c>
      <x:c r="F1166" s="36" t="n">
        <x:v>5</x:v>
      </x:c>
      <x:c r="G1166" s="36" t="n">
        <x:v>5</x:v>
      </x:c>
      <x:c r="H1166" s="36" t="n">
        <x:v>2</x:v>
      </x:c>
      <x:c r="I1166" s="34" t="str">
        <x:v>afterFinalUndeploy</x:v>
      </x:c>
      <x:c r="J1166" s="34" t="str">
        <x:v>after-final-undeploy-final</x:v>
      </x:c>
      <x:c r="K1166" s="36" t="n">
        <x:v>2</x:v>
      </x:c>
      <x:c r="L1166" s="34" t="str">
        <x:v>final</x:v>
      </x:c>
      <x:c r="M1166" s="34" t="str">
        <x:v>article1-unified-v4-2-fb3f101b-20260903-000401-default-f05-p5-cache2k-2-after-final-undeploy-final-10s</x:v>
      </x:c>
      <x:c r="N1166" s="38" t="n">
        <x:v>46268.082742418985</x:v>
      </x:c>
      <x:c r="O1166" s="36" t="n">
        <x:v>2</x:v>
      </x:c>
      <x:c r="P1166" s="43" t="n">
        <x:v>15566848</x:v>
      </x:c>
      <x:c r="Q1166" s="43" t="n">
        <x:v>268435456</x:v>
      </x:c>
      <x:c r="R1166" s="43" t="n">
        <x:v>421886976</x:v>
      </x:c>
      <x:c r="S1166" s="36" t="n">
        <x:v>2</x:v>
      </x:c>
      <x:c r="T1166" s="44" t="str">
        <x:v>0x000000002e1177b8  0x000000002e003818  0x00007ae628616520       0         0         0  org.apache.catalina.loader.ParallelWebappClassLoader | 0x000000002e1177b8  0x000000002e003818  0x00007ae544278ac0    4453  21273600  21267096  org.apache.catalina.loader.ParallelWebappClassLoader</x:v>
      </x:c>
      <x:c r="U1166" s="36" t="n">
        <x:v>27</x:v>
      </x:c>
      <x:c r="V1166" s="36" t="n">
        <x:v>0</x:v>
      </x:c>
      <x:c r="W1166" s="44"/>
      <x:c r="X1166" s="36" t="n">
        <x:v>1</x:v>
      </x:c>
      <x:c r="Y1166" s="36" t="n">
        <x:v>1</x:v>
      </x:c>
      <x:c r="Z1166" s="44" t="str">
        <x:v>/cache2k</x:v>
      </x:c>
      <x:c r="AA1166" s="45" t="b">
        <x:v>1</x:v>
      </x:c>
      <x:c r="AB1166" s="43"/>
      <x:c r="AC1166" s="34" t="str">
        <x:v>article1-unified-v4-2-fb3f101b-20260903-000401-default-f05-p5-cache2k-2-after-final-undeploy-final-10s-heap-info.txt</x:v>
      </x:c>
      <x:c r="AD1166" s="34" t="str">
        <x:v>article1-unified-v4-2-fb3f101b-20260903-000401-default-f05-p5-cache2k-2-after-final-undeploy-final-10s-classloader-stats.txt</x:v>
      </x:c>
      <x:c r="AE1166" s="34" t="str">
        <x:v>article1-unified-v4-2-fb3f101b-20260903-000401-default-f05-p5-cache2k-2-after-final-undeploy-final-10s-thread-dump.txt</x:v>
      </x:c>
      <x:c r="AF1166" s="34"/>
      <x:c r="AG1166" s="34" t="str">
        <x:v>article1-unified-v4-2-fb3f101b-20260903-000401-default-f05-p5-cache2k-2-after-final-undeploy-final-10s-native-memory.txt</x:v>
      </x:c>
      <x:c r="AH1166" s="34" t="str">
        <x:v>article1-unified-v4-2-fb3f101b-20260903-000401-default-f05-p5-cache2k-2-after-final-undeploy-final-10s-class-histogram.txt</x:v>
      </x:c>
      <x:c r="AI1166" s="34" t="str">
        <x:v>article1-unified-v4-2-fb3f101b-20260903-000401-default-f05-p5-cache2k-2-after-final-undeploy-tomcat-findleaks.txt</x:v>
      </x:c>
    </x:row>
    <x:row r="1167">
      <x:c r="A1167" s="34" t="str">
        <x:v>article1-unified-v4-2-fb3f101b-20260903-000401-default-f05-p5-cache2k</x:v>
      </x:c>
      <x:c r="B1167" s="34" t="str">
        <x:v>default</x:v>
      </x:c>
      <x:c r="C1167" s="34" t="str">
        <x:v>cache2k</x:v>
      </x:c>
      <x:c r="D1167" s="34" t="str">
        <x:v>cache2k</x:v>
      </x:c>
      <x:c r="E1167" s="36" t="n">
        <x:v>5</x:v>
      </x:c>
      <x:c r="F1167" s="36" t="n">
        <x:v>5</x:v>
      </x:c>
      <x:c r="G1167" s="36" t="n">
        <x:v>5</x:v>
      </x:c>
      <x:c r="H1167" s="36" t="n">
        <x:v>3</x:v>
      </x:c>
      <x:c r="I1167" s="34" t="str">
        <x:v>baseline</x:v>
      </x:c>
      <x:c r="J1167" s="34" t="str">
        <x:v>cycle-baseline</x:v>
      </x:c>
      <x:c r="K1167" s="36" t="n">
        <x:v>0</x:v>
      </x:c>
      <x:c r="L1167" s="34" t="str">
        <x:v>baseline</x:v>
      </x:c>
      <x:c r="M1167" s="34" t="str">
        <x:v>article1-unified-v4-2-fb3f101b-20260903-000401-default-f05-p5-cache2k-3-baseline</x:v>
      </x:c>
      <x:c r="N1167" s="38" t="n">
        <x:v>46268.08278482639</x:v>
      </x:c>
      <x:c r="O1167" s="36" t="n">
        <x:v>0</x:v>
      </x:c>
      <x:c r="P1167" s="43" t="n">
        <x:v>15566848</x:v>
      </x:c>
      <x:c r="Q1167" s="43" t="n">
        <x:v>268435456</x:v>
      </x:c>
      <x:c r="R1167" s="43" t="n">
        <x:v>421886976</x:v>
      </x:c>
      <x:c r="S1167" s="36" t="n">
        <x:v>2</x:v>
      </x:c>
      <x:c r="T1167" s="44" t="str">
        <x:v>0x000000002e1177b8  0x000000002e003818  0x00007ae628616520       0         0         0  org.apache.catalina.loader.ParallelWebappClassLoader | 0x000000002e1177b8  0x000000002e003818  0x00007ae544278ac0    4453  21273600  21267096  org.apache.catalina.loader.ParallelWebappClassLoader</x:v>
      </x:c>
      <x:c r="U1167" s="36" t="n">
        <x:v>27</x:v>
      </x:c>
      <x:c r="V1167" s="36" t="n">
        <x:v>0</x:v>
      </x:c>
      <x:c r="W1167" s="44"/>
      <x:c r="X1167" s="36"/>
      <x:c r="Y1167" s="36"/>
      <x:c r="Z1167" s="44"/>
      <x:c r="AA1167" s="49"/>
      <x:c r="AB1167" s="43"/>
      <x:c r="AC1167" s="34" t="str">
        <x:v>article1-unified-v4-2-fb3f101b-20260903-000401-default-f05-p5-cache2k-3-baseline-heap-info.txt</x:v>
      </x:c>
      <x:c r="AD1167" s="34" t="str">
        <x:v>article1-unified-v4-2-fb3f101b-20260903-000401-default-f05-p5-cache2k-3-baseline-classloader-stats.txt</x:v>
      </x:c>
      <x:c r="AE1167" s="34" t="str">
        <x:v>article1-unified-v4-2-fb3f101b-20260903-000401-default-f05-p5-cache2k-3-baseline-thread-dump.txt</x:v>
      </x:c>
      <x:c r="AF1167" s="34"/>
      <x:c r="AG1167" s="34" t="str">
        <x:v>article1-unified-v4-2-fb3f101b-20260903-000401-default-f05-p5-cache2k-3-baseline-native-memory.txt</x:v>
      </x:c>
      <x:c r="AH1167" s="34"/>
      <x:c r="AI1167" s="34"/>
    </x:row>
    <x:row r="1168">
      <x:c r="A1168" s="34" t="str">
        <x:v>article1-unified-v4-2-fb3f101b-20260903-000401-default-f05-p5-cache2k</x:v>
      </x:c>
      <x:c r="B1168" s="34" t="str">
        <x:v>default</x:v>
      </x:c>
      <x:c r="C1168" s="34" t="str">
        <x:v>cache2k</x:v>
      </x:c>
      <x:c r="D1168" s="34" t="str">
        <x:v>cache2k</x:v>
      </x:c>
      <x:c r="E1168" s="36" t="n">
        <x:v>5</x:v>
      </x:c>
      <x:c r="F1168" s="36" t="n">
        <x:v>5</x:v>
      </x:c>
      <x:c r="G1168" s="36" t="n">
        <x:v>5</x:v>
      </x:c>
      <x:c r="H1168" s="36" t="n">
        <x:v>3</x:v>
      </x:c>
      <x:c r="I1168" s="34" t="str">
        <x:v>deployedIdle</x:v>
      </x:c>
      <x:c r="J1168" s="34" t="str">
        <x:v>deployed-idle</x:v>
      </x:c>
      <x:c r="K1168" s="36" t="n">
        <x:v>0</x:v>
      </x:c>
      <x:c r="L1168" s="34" t="str">
        <x:v>initial</x:v>
      </x:c>
      <x:c r="M1168" s="34" t="str">
        <x:v>article1-unified-v4-2-fb3f101b-20260903-000401-default-f05-p5-cache2k-3-deployed-idle</x:v>
      </x:c>
      <x:c r="N1168" s="38" t="n">
        <x:v>46268.08288596065</x:v>
      </x:c>
      <x:c r="O1168" s="36" t="n">
        <x:v>0</x:v>
      </x:c>
      <x:c r="P1168" s="43" t="n">
        <x:v>167949312</x:v>
      </x:c>
      <x:c r="Q1168" s="43" t="n">
        <x:v>268435456</x:v>
      </x:c>
      <x:c r="R1168" s="43" t="n">
        <x:v>471006208</x:v>
      </x:c>
      <x:c r="S1168" s="36" t="n">
        <x:v>3</x:v>
      </x:c>
      <x:c r="T1168" s="44" t="str">
        <x:v>0x000000002e1177b8  0x000000002e003818  0x00007ae628616520       0         0         0  org.apache.catalina.loader.ParallelWebappClassLoader | 0x000000002e1177b8  0x000000002e003818  0x00007ae544278ac0    4453  21273600  21267096  org.apache.catalina.loader.ParallelWebappClassLoader | 0x000000002e1177b8  0x000000002e003818  0x00007ae56400a490    4091  19439616  19426272  org.apache.catalina.loader.ParallelWebappClassLoader</x:v>
      </x:c>
      <x:c r="U1168" s="36" t="n">
        <x:v>28</x:v>
      </x:c>
      <x:c r="V1168" s="36" t="n">
        <x:v>0</x:v>
      </x:c>
      <x:c r="W1168" s="44"/>
      <x:c r="X1168" s="36"/>
      <x:c r="Y1168" s="36"/>
      <x:c r="Z1168" s="44"/>
      <x:c r="AA1168" s="49"/>
      <x:c r="AB1168" s="43"/>
      <x:c r="AC1168" s="34"/>
      <x:c r="AD1168" s="34"/>
      <x:c r="AE1168" s="34"/>
      <x:c r="AF1168" s="34"/>
      <x:c r="AG1168" s="34"/>
      <x:c r="AH1168" s="34"/>
      <x:c r="AI1168" s="34"/>
    </x:row>
    <x:row r="1169">
      <x:c r="A1169" s="34" t="str">
        <x:v>article1-unified-v4-2-fb3f101b-20260903-000401-default-f05-p5-cache2k</x:v>
      </x:c>
      <x:c r="B1169" s="34" t="str">
        <x:v>default</x:v>
      </x:c>
      <x:c r="C1169" s="34" t="str">
        <x:v>cache2k</x:v>
      </x:c>
      <x:c r="D1169" s="34" t="str">
        <x:v>cache2k</x:v>
      </x:c>
      <x:c r="E1169" s="36" t="n">
        <x:v>5</x:v>
      </x:c>
      <x:c r="F1169" s="36" t="n">
        <x:v>5</x:v>
      </x:c>
      <x:c r="G1169" s="36" t="n">
        <x:v>5</x:v>
      </x:c>
      <x:c r="H1169" s="36" t="n">
        <x:v>3</x:v>
      </x:c>
      <x:c r="I1169" s="34" t="str">
        <x:v>loaded</x:v>
      </x:c>
      <x:c r="J1169" s="34" t="str">
        <x:v>loaded</x:v>
      </x:c>
      <x:c r="K1169" s="36" t="n">
        <x:v>0</x:v>
      </x:c>
      <x:c r="L1169" s="34" t="str">
        <x:v>initial</x:v>
      </x:c>
      <x:c r="M1169" s="34" t="str">
        <x:v>article1-unified-v4-2-fb3f101b-20260903-000401-default-f05-p5-cache2k-3-loaded</x:v>
      </x:c>
      <x:c r="N1169" s="38" t="n">
        <x:v>46268.08303637731</x:v>
      </x:c>
      <x:c r="O1169" s="36" t="n">
        <x:v>0</x:v>
      </x:c>
      <x:c r="P1169" s="43" t="n">
        <x:v>93191168</x:v>
      </x:c>
      <x:c r="Q1169" s="43" t="n">
        <x:v>268435456</x:v>
      </x:c>
      <x:c r="R1169" s="43" t="n">
        <x:v>444298240</x:v>
      </x:c>
      <x:c r="S1169" s="36" t="n">
        <x:v>3</x:v>
      </x:c>
      <x:c r="T1169" s="44" t="str">
        <x:v>0x000000002e1177b8  0x000000002e003818  0x00007ae628616520       0         0         0  org.apache.catalina.loader.ParallelWebappClassLoader | 0x000000002e1177b8  0x000000002e003818  0x00007ae544278ac0    4453  21273600  21267096  org.apache.catalina.loader.ParallelWebappClassLoader | 0x000000002e1177b8  0x000000002e003818  0x00007ae56400a490    4442  21274624  21256736  org.apache.catalina.loader.ParallelWebappClassLoader</x:v>
      </x:c>
      <x:c r="U1169" s="36" t="n">
        <x:v>29</x:v>
      </x:c>
      <x:c r="V1169" s="36" t="n">
        <x:v>0</x:v>
      </x:c>
      <x:c r="W1169" s="44"/>
      <x:c r="X1169" s="36"/>
      <x:c r="Y1169" s="36"/>
      <x:c r="Z1169" s="44"/>
      <x:c r="AA1169" s="49"/>
      <x:c r="AB1169" s="43"/>
      <x:c r="AC1169" s="34"/>
      <x:c r="AD1169" s="34"/>
      <x:c r="AE1169" s="34"/>
      <x:c r="AF1169" s="34"/>
      <x:c r="AG1169" s="34"/>
      <x:c r="AH1169" s="34"/>
      <x:c r="AI1169" s="34"/>
    </x:row>
    <x:row r="1170">
      <x:c r="A1170" s="34" t="str">
        <x:v>article1-unified-v4-2-fb3f101b-20260903-000401-default-f05-p5-cache2k</x:v>
      </x:c>
      <x:c r="B1170" s="34" t="str">
        <x:v>default</x:v>
      </x:c>
      <x:c r="C1170" s="34" t="str">
        <x:v>cache2k</x:v>
      </x:c>
      <x:c r="D1170" s="34" t="str">
        <x:v>cache2k</x:v>
      </x:c>
      <x:c r="E1170" s="36" t="n">
        <x:v>5</x:v>
      </x:c>
      <x:c r="F1170" s="36" t="n">
        <x:v>5</x:v>
      </x:c>
      <x:c r="G1170" s="36" t="n">
        <x:v>5</x:v>
      </x:c>
      <x:c r="H1170" s="36" t="n">
        <x:v>3</x:v>
      </x:c>
      <x:c r="I1170" s="34" t="str">
        <x:v>afterUndeployEarly</x:v>
      </x:c>
      <x:c r="J1170" s="34" t="str">
        <x:v>after-undeploy-early</x:v>
      </x:c>
      <x:c r="K1170" s="36" t="n">
        <x:v>1</x:v>
      </x:c>
      <x:c r="L1170" s="34" t="str">
        <x:v>early</x:v>
      </x:c>
      <x:c r="M1170" s="34" t="str">
        <x:v>article1-unified-v4-2-fb3f101b-20260903-000401-default-f05-p5-cache2k-3-after-undeploy-early-2s</x:v>
      </x:c>
      <x:c r="N1170" s="38" t="n">
        <x:v>46268.08312099537</x:v>
      </x:c>
      <x:c r="O1170" s="36"/>
      <x:c r="P1170" s="43"/>
      <x:c r="Q1170" s="43"/>
      <x:c r="R1170" s="43"/>
      <x:c r="S1170" s="36"/>
      <x:c r="T1170" s="44"/>
      <x:c r="U1170" s="36" t="n">
        <x:v>27</x:v>
      </x:c>
      <x:c r="V1170" s="36" t="n">
        <x:v>0</x:v>
      </x:c>
      <x:c r="W1170" s="44"/>
      <x:c r="X1170" s="36"/>
      <x:c r="Y1170" s="36"/>
      <x:c r="Z1170" s="44"/>
      <x:c r="AA1170" s="49"/>
      <x:c r="AB1170" s="43" t="n">
        <x:v>1</x:v>
      </x:c>
      <x:c r="AC1170" s="34"/>
      <x:c r="AD1170" s="34"/>
      <x:c r="AE1170" s="34" t="str">
        <x:v>article1-unified-v4-2-fb3f101b-20260903-000401-default-f05-p5-cache2k-3-after-undeploy-early-2s-thread-dump.txt</x:v>
      </x:c>
      <x:c r="AF1170" s="34" t="str">
        <x:v>article1-unified-v4-2-fb3f101b-20260903-000401-default-f05-p5-cache2k-3-after-undeploy-early-tomcat-log.txt</x:v>
      </x:c>
      <x:c r="AG1170" s="34"/>
      <x:c r="AH1170" s="34"/>
      <x:c r="AI1170" s="34"/>
    </x:row>
    <x:row r="1171">
      <x:c r="A1171" s="34" t="str">
        <x:v>article1-unified-v4-2-fb3f101b-20260903-000401-default-f05-p5-cache2k</x:v>
      </x:c>
      <x:c r="B1171" s="34" t="str">
        <x:v>default</x:v>
      </x:c>
      <x:c r="C1171" s="34" t="str">
        <x:v>cache2k</x:v>
      </x:c>
      <x:c r="D1171" s="34" t="str">
        <x:v>cache2k</x:v>
      </x:c>
      <x:c r="E1171" s="36" t="n">
        <x:v>5</x:v>
      </x:c>
      <x:c r="F1171" s="36" t="n">
        <x:v>5</x:v>
      </x:c>
      <x:c r="G1171" s="36" t="n">
        <x:v>5</x:v>
      </x:c>
      <x:c r="H1171" s="36" t="n">
        <x:v>3</x:v>
      </x:c>
      <x:c r="I1171" s="34" t="str">
        <x:v>afterUndeploy</x:v>
      </x:c>
      <x:c r="J1171" s="34" t="str">
        <x:v>after-undeploy-final</x:v>
      </x:c>
      <x:c r="K1171" s="36" t="n">
        <x:v>1</x:v>
      </x:c>
      <x:c r="L1171" s="34" t="str">
        <x:v>final</x:v>
      </x:c>
      <x:c r="M1171" s="34" t="str">
        <x:v>article1-unified-v4-2-fb3f101b-20260903-000401-default-f05-p5-cache2k-3-after-undeploy-final-10s</x:v>
      </x:c>
      <x:c r="N1171" s="38" t="n">
        <x:v>46268.08327859954</x:v>
      </x:c>
      <x:c r="O1171" s="36" t="n">
        <x:v>2</x:v>
      </x:c>
      <x:c r="P1171" s="43" t="n">
        <x:v>15580160</x:v>
      </x:c>
      <x:c r="Q1171" s="43" t="n">
        <x:v>268435456</x:v>
      </x:c>
      <x:c r="R1171" s="43" t="n">
        <x:v>418657280</x:v>
      </x:c>
      <x:c r="S1171" s="36" t="n">
        <x:v>2</x:v>
      </x:c>
      <x:c r="T1171" s="44" t="str">
        <x:v>0x000000002e1177b8  0x000000002e003818  0x00007ae628616520       0         0         0  org.apache.catalina.loader.ParallelWebappClassLoader | 0x000000002e1177b8  0x000000002e003818  0x00007ae56400a490    4452  21307392  21285712  org.apache.catalina.loader.ParallelWebappClassLoader</x:v>
      </x:c>
      <x:c r="U1171" s="36" t="n">
        <x:v>27</x:v>
      </x:c>
      <x:c r="V1171" s="36" t="n">
        <x:v>0</x:v>
      </x:c>
      <x:c r="W1171" s="44"/>
      <x:c r="X1171" s="36" t="n">
        <x:v>1</x:v>
      </x:c>
      <x:c r="Y1171" s="36" t="n">
        <x:v>1</x:v>
      </x:c>
      <x:c r="Z1171" s="44" t="str">
        <x:v>/cache2k</x:v>
      </x:c>
      <x:c r="AA1171" s="45" t="b">
        <x:v>1</x:v>
      </x:c>
      <x:c r="AB1171" s="43"/>
      <x:c r="AC1171" s="34" t="str">
        <x:v>article1-unified-v4-2-fb3f101b-20260903-000401-default-f05-p5-cache2k-3-after-undeploy-final-10s-heap-info.txt</x:v>
      </x:c>
      <x:c r="AD1171" s="34" t="str">
        <x:v>article1-unified-v4-2-fb3f101b-20260903-000401-default-f05-p5-cache2k-3-after-undeploy-final-10s-classloader-stats.txt</x:v>
      </x:c>
      <x:c r="AE1171" s="34" t="str">
        <x:v>article1-unified-v4-2-fb3f101b-20260903-000401-default-f05-p5-cache2k-3-after-undeploy-final-10s-thread-dump.txt</x:v>
      </x:c>
      <x:c r="AF1171" s="34"/>
      <x:c r="AG1171" s="34" t="str">
        <x:v>article1-unified-v4-2-fb3f101b-20260903-000401-default-f05-p5-cache2k-3-after-undeploy-final-10s-native-memory.txt</x:v>
      </x:c>
      <x:c r="AH1171" s="34" t="str">
        <x:v>article1-unified-v4-2-fb3f101b-20260903-000401-default-f05-p5-cache2k-3-after-undeploy-final-10s-class-histogram.txt</x:v>
      </x:c>
      <x:c r="AI1171" s="34" t="str">
        <x:v>article1-unified-v4-2-fb3f101b-20260903-000401-default-f05-p5-cache2k-3-after-undeploy-tomcat-findleaks.txt</x:v>
      </x:c>
    </x:row>
    <x:row r="1172">
      <x:c r="A1172" s="34" t="str">
        <x:v>article1-unified-v4-2-fb3f101b-20260903-000401-default-f05-p5-cache2k</x:v>
      </x:c>
      <x:c r="B1172" s="34" t="str">
        <x:v>default</x:v>
      </x:c>
      <x:c r="C1172" s="34" t="str">
        <x:v>cache2k</x:v>
      </x:c>
      <x:c r="D1172" s="34" t="str">
        <x:v>cache2k</x:v>
      </x:c>
      <x:c r="E1172" s="36" t="n">
        <x:v>5</x:v>
      </x:c>
      <x:c r="F1172" s="36" t="n">
        <x:v>5</x:v>
      </x:c>
      <x:c r="G1172" s="36" t="n">
        <x:v>5</x:v>
      </x:c>
      <x:c r="H1172" s="36" t="n">
        <x:v>3</x:v>
      </x:c>
      <x:c r="I1172" s="34" t="str">
        <x:v>redeployedLoaded</x:v>
      </x:c>
      <x:c r="J1172" s="34" t="str">
        <x:v>redeployed-loaded</x:v>
      </x:c>
      <x:c r="K1172" s="36" t="n">
        <x:v>0</x:v>
      </x:c>
      <x:c r="L1172" s="34" t="str">
        <x:v>redeploy</x:v>
      </x:c>
      <x:c r="M1172" s="34" t="str">
        <x:v>article1-unified-v4-2-fb3f101b-20260903-000401-default-f05-p5-cache2k-3-redeployed-loaded</x:v>
      </x:c>
      <x:c r="N1172" s="38" t="n">
        <x:v>46268.083535844904</x:v>
      </x:c>
      <x:c r="O1172" s="36" t="n">
        <x:v>0</x:v>
      </x:c>
      <x:c r="P1172" s="43" t="n">
        <x:v>93359104</x:v>
      </x:c>
      <x:c r="Q1172" s="43" t="n">
        <x:v>268435456</x:v>
      </x:c>
      <x:c r="R1172" s="43" t="n">
        <x:v>441208832</x:v>
      </x:c>
      <x:c r="S1172" s="36" t="n">
        <x:v>3</x:v>
      </x:c>
      <x:c r="T1172" s="44" t="str">
        <x:v>0x000000002e1177b8  0x000000002e003818  0x00007ae628616520       0         0         0  org.apache.catalina.loader.ParallelWebappClassLoader | 0x000000002e1177b8  0x000000002e003818  0x00007ae5641cbd10    4447  21286912  21269240  org.apache.catalina.loader.ParallelWebappClassLoader | 0x000000002e1177b8  0x000000002e003818  0x00007ae56400a490    4452  21307392  21285712  org.apache.catalina.loader.ParallelWebappClassLoader</x:v>
      </x:c>
      <x:c r="U1172" s="36" t="n">
        <x:v>29</x:v>
      </x:c>
      <x:c r="V1172" s="36" t="n">
        <x:v>0</x:v>
      </x:c>
      <x:c r="W1172" s="44"/>
      <x:c r="X1172" s="36"/>
      <x:c r="Y1172" s="36"/>
      <x:c r="Z1172" s="44"/>
      <x:c r="AA1172" s="49"/>
      <x:c r="AB1172" s="43"/>
      <x:c r="AC1172" s="34"/>
      <x:c r="AD1172" s="34"/>
      <x:c r="AE1172" s="34"/>
      <x:c r="AF1172" s="34"/>
      <x:c r="AG1172" s="34"/>
      <x:c r="AH1172" s="34"/>
      <x:c r="AI1172" s="34"/>
    </x:row>
    <x:row r="1173">
      <x:c r="A1173" s="34" t="str">
        <x:v>article1-unified-v4-2-fb3f101b-20260903-000401-default-f05-p5-cache2k</x:v>
      </x:c>
      <x:c r="B1173" s="34" t="str">
        <x:v>default</x:v>
      </x:c>
      <x:c r="C1173" s="34" t="str">
        <x:v>cache2k</x:v>
      </x:c>
      <x:c r="D1173" s="34" t="str">
        <x:v>cache2k</x:v>
      </x:c>
      <x:c r="E1173" s="36" t="n">
        <x:v>5</x:v>
      </x:c>
      <x:c r="F1173" s="36" t="n">
        <x:v>5</x:v>
      </x:c>
      <x:c r="G1173" s="36" t="n">
        <x:v>5</x:v>
      </x:c>
      <x:c r="H1173" s="36" t="n">
        <x:v>3</x:v>
      </x:c>
      <x:c r="I1173" s="34" t="str">
        <x:v>afterFinalUndeployEarly</x:v>
      </x:c>
      <x:c r="J1173" s="34" t="str">
        <x:v>after-final-undeploy-early</x:v>
      </x:c>
      <x:c r="K1173" s="36" t="n">
        <x:v>2</x:v>
      </x:c>
      <x:c r="L1173" s="34" t="str">
        <x:v>early</x:v>
      </x:c>
      <x:c r="M1173" s="34" t="str">
        <x:v>article1-unified-v4-2-fb3f101b-20260903-000401-default-f05-p5-cache2k-3-after-final-undeploy-early-2s</x:v>
      </x:c>
      <x:c r="N1173" s="38" t="n">
        <x:v>46268.08362751157</x:v>
      </x:c>
      <x:c r="O1173" s="36"/>
      <x:c r="P1173" s="43"/>
      <x:c r="Q1173" s="43"/>
      <x:c r="R1173" s="43"/>
      <x:c r="S1173" s="36"/>
      <x:c r="T1173" s="44"/>
      <x:c r="U1173" s="36" t="n">
        <x:v>27</x:v>
      </x:c>
      <x:c r="V1173" s="36" t="n">
        <x:v>0</x:v>
      </x:c>
      <x:c r="W1173" s="44"/>
      <x:c r="X1173" s="36"/>
      <x:c r="Y1173" s="36"/>
      <x:c r="Z1173" s="44"/>
      <x:c r="AA1173" s="49"/>
      <x:c r="AB1173" s="43" t="n">
        <x:v>1</x:v>
      </x:c>
      <x:c r="AC1173" s="34"/>
      <x:c r="AD1173" s="34"/>
      <x:c r="AE1173" s="34" t="str">
        <x:v>article1-unified-v4-2-fb3f101b-20260903-000401-default-f05-p5-cache2k-3-after-final-undeploy-early-2s-thread-dump.txt</x:v>
      </x:c>
      <x:c r="AF1173" s="34" t="str">
        <x:v>article1-unified-v4-2-fb3f101b-20260903-000401-default-f05-p5-cache2k-3-after-final-undeploy-early-tomcat-log.txt</x:v>
      </x:c>
      <x:c r="AG1173" s="34"/>
      <x:c r="AH1173" s="34"/>
      <x:c r="AI1173" s="34"/>
    </x:row>
    <x:row r="1174">
      <x:c r="A1174" s="34" t="str">
        <x:v>article1-unified-v4-2-fb3f101b-20260903-000401-default-f05-p5-cache2k</x:v>
      </x:c>
      <x:c r="B1174" s="34" t="str">
        <x:v>default</x:v>
      </x:c>
      <x:c r="C1174" s="34" t="str">
        <x:v>cache2k</x:v>
      </x:c>
      <x:c r="D1174" s="34" t="str">
        <x:v>cache2k</x:v>
      </x:c>
      <x:c r="E1174" s="36" t="n">
        <x:v>5</x:v>
      </x:c>
      <x:c r="F1174" s="36" t="n">
        <x:v>5</x:v>
      </x:c>
      <x:c r="G1174" s="36" t="n">
        <x:v>5</x:v>
      </x:c>
      <x:c r="H1174" s="36" t="n">
        <x:v>3</x:v>
      </x:c>
      <x:c r="I1174" s="34" t="str">
        <x:v>afterFinalUndeploy</x:v>
      </x:c>
      <x:c r="J1174" s="34" t="str">
        <x:v>after-final-undeploy-final</x:v>
      </x:c>
      <x:c r="K1174" s="36" t="n">
        <x:v>2</x:v>
      </x:c>
      <x:c r="L1174" s="34" t="str">
        <x:v>final</x:v>
      </x:c>
      <x:c r="M1174" s="34" t="str">
        <x:v>article1-unified-v4-2-fb3f101b-20260903-000401-default-f05-p5-cache2k-3-after-final-undeploy-final-10s</x:v>
      </x:c>
      <x:c r="N1174" s="38" t="n">
        <x:v>46268.083784780094</x:v>
      </x:c>
      <x:c r="O1174" s="36" t="n">
        <x:v>2</x:v>
      </x:c>
      <x:c r="P1174" s="43" t="n">
        <x:v>15590400</x:v>
      </x:c>
      <x:c r="Q1174" s="43" t="n">
        <x:v>268435456</x:v>
      </x:c>
      <x:c r="R1174" s="43" t="n">
        <x:v>424109056</x:v>
      </x:c>
      <x:c r="S1174" s="36" t="n">
        <x:v>2</x:v>
      </x:c>
      <x:c r="T1174" s="44" t="str">
        <x:v>0x000000002e1177b8  0x000000002e003818  0x00007ae628616520       0         0         0  org.apache.catalina.loader.ParallelWebappClassLoader | 0x000000002e1177b8  0x000000002e003818  0x00007ae5641cbd10    4457  21318656  21298184  org.apache.catalina.loader.ParallelWebappClassLoader</x:v>
      </x:c>
      <x:c r="U1174" s="36" t="n">
        <x:v>27</x:v>
      </x:c>
      <x:c r="V1174" s="36" t="n">
        <x:v>0</x:v>
      </x:c>
      <x:c r="W1174" s="44"/>
      <x:c r="X1174" s="36" t="n">
        <x:v>1</x:v>
      </x:c>
      <x:c r="Y1174" s="36" t="n">
        <x:v>1</x:v>
      </x:c>
      <x:c r="Z1174" s="44" t="str">
        <x:v>/cache2k</x:v>
      </x:c>
      <x:c r="AA1174" s="45" t="b">
        <x:v>1</x:v>
      </x:c>
      <x:c r="AB1174" s="43"/>
      <x:c r="AC1174" s="34" t="str">
        <x:v>article1-unified-v4-2-fb3f101b-20260903-000401-default-f05-p5-cache2k-3-after-final-undeploy-final-10s-heap-info.txt</x:v>
      </x:c>
      <x:c r="AD1174" s="34" t="str">
        <x:v>article1-unified-v4-2-fb3f101b-20260903-000401-default-f05-p5-cache2k-3-after-final-undeploy-final-10s-classloader-stats.txt</x:v>
      </x:c>
      <x:c r="AE1174" s="34" t="str">
        <x:v>article1-unified-v4-2-fb3f101b-20260903-000401-default-f05-p5-cache2k-3-after-final-undeploy-final-10s-thread-dump.txt</x:v>
      </x:c>
      <x:c r="AF1174" s="34"/>
      <x:c r="AG1174" s="34" t="str">
        <x:v>article1-unified-v4-2-fb3f101b-20260903-000401-default-f05-p5-cache2k-3-after-final-undeploy-final-10s-native-memory.txt</x:v>
      </x:c>
      <x:c r="AH1174" s="34" t="str">
        <x:v>article1-unified-v4-2-fb3f101b-20260903-000401-default-f05-p5-cache2k-3-after-final-undeploy-final-10s-class-histogram.txt</x:v>
      </x:c>
      <x:c r="AI1174" s="34" t="str">
        <x:v>article1-unified-v4-2-fb3f101b-20260903-000401-default-f05-p5-cache2k-3-after-final-undeploy-tomcat-findleaks.txt</x:v>
      </x:c>
    </x:row>
    <x:row r="1175">
      <x:c r="A1175" s="34" t="str">
        <x:v>article1-unified-v4-2-fb3f101b-20260903-000401-default-f05-p5-cache2k</x:v>
      </x:c>
      <x:c r="B1175" s="34" t="str">
        <x:v>default</x:v>
      </x:c>
      <x:c r="C1175" s="34" t="str">
        <x:v>cache2k</x:v>
      </x:c>
      <x:c r="D1175" s="34" t="str">
        <x:v>cache2k</x:v>
      </x:c>
      <x:c r="E1175" s="36" t="n">
        <x:v>5</x:v>
      </x:c>
      <x:c r="F1175" s="36" t="n">
        <x:v>5</x:v>
      </x:c>
      <x:c r="G1175" s="36" t="n">
        <x:v>5</x:v>
      </x:c>
      <x:c r="H1175" s="36" t="n">
        <x:v>4</x:v>
      </x:c>
      <x:c r="I1175" s="34" t="str">
        <x:v>baseline</x:v>
      </x:c>
      <x:c r="J1175" s="34" t="str">
        <x:v>cycle-baseline</x:v>
      </x:c>
      <x:c r="K1175" s="36" t="n">
        <x:v>0</x:v>
      </x:c>
      <x:c r="L1175" s="34" t="str">
        <x:v>baseline</x:v>
      </x:c>
      <x:c r="M1175" s="34" t="str">
        <x:v>article1-unified-v4-2-fb3f101b-20260903-000401-default-f05-p5-cache2k-4-baseline</x:v>
      </x:c>
      <x:c r="N1175" s="38" t="n">
        <x:v>46268.08383361111</x:v>
      </x:c>
      <x:c r="O1175" s="36" t="n">
        <x:v>0</x:v>
      </x:c>
      <x:c r="P1175" s="43" t="n">
        <x:v>15590400</x:v>
      </x:c>
      <x:c r="Q1175" s="43" t="n">
        <x:v>268435456</x:v>
      </x:c>
      <x:c r="R1175" s="43" t="n">
        <x:v>424602624</x:v>
      </x:c>
      <x:c r="S1175" s="36" t="n">
        <x:v>2</x:v>
      </x:c>
      <x:c r="T1175" s="44" t="str">
        <x:v>0x000000002e1177b8  0x000000002e003818  0x00007ae628616520       0         0         0  org.apache.catalina.loader.ParallelWebappClassLoader | 0x000000002e1177b8  0x000000002e003818  0x00007ae5641cbd10    4457  21318656  21298184  org.apache.catalina.loader.ParallelWebappClassLoader</x:v>
      </x:c>
      <x:c r="U1175" s="36" t="n">
        <x:v>27</x:v>
      </x:c>
      <x:c r="V1175" s="36" t="n">
        <x:v>0</x:v>
      </x:c>
      <x:c r="W1175" s="44"/>
      <x:c r="X1175" s="36"/>
      <x:c r="Y1175" s="36"/>
      <x:c r="Z1175" s="44"/>
      <x:c r="AA1175" s="49"/>
      <x:c r="AB1175" s="43"/>
      <x:c r="AC1175" s="34" t="str">
        <x:v>article1-unified-v4-2-fb3f101b-20260903-000401-default-f05-p5-cache2k-4-baseline-heap-info.txt</x:v>
      </x:c>
      <x:c r="AD1175" s="34" t="str">
        <x:v>article1-unified-v4-2-fb3f101b-20260903-000401-default-f05-p5-cache2k-4-baseline-classloader-stats.txt</x:v>
      </x:c>
      <x:c r="AE1175" s="34" t="str">
        <x:v>article1-unified-v4-2-fb3f101b-20260903-000401-default-f05-p5-cache2k-4-baseline-thread-dump.txt</x:v>
      </x:c>
      <x:c r="AF1175" s="34"/>
      <x:c r="AG1175" s="34" t="str">
        <x:v>article1-unified-v4-2-fb3f101b-20260903-000401-default-f05-p5-cache2k-4-baseline-native-memory.txt</x:v>
      </x:c>
      <x:c r="AH1175" s="34"/>
      <x:c r="AI1175" s="34"/>
    </x:row>
    <x:row r="1176">
      <x:c r="A1176" s="34" t="str">
        <x:v>article1-unified-v4-2-fb3f101b-20260903-000401-default-f05-p5-cache2k</x:v>
      </x:c>
      <x:c r="B1176" s="34" t="str">
        <x:v>default</x:v>
      </x:c>
      <x:c r="C1176" s="34" t="str">
        <x:v>cache2k</x:v>
      </x:c>
      <x:c r="D1176" s="34" t="str">
        <x:v>cache2k</x:v>
      </x:c>
      <x:c r="E1176" s="36" t="n">
        <x:v>5</x:v>
      </x:c>
      <x:c r="F1176" s="36" t="n">
        <x:v>5</x:v>
      </x:c>
      <x:c r="G1176" s="36" t="n">
        <x:v>5</x:v>
      </x:c>
      <x:c r="H1176" s="36" t="n">
        <x:v>4</x:v>
      </x:c>
      <x:c r="I1176" s="34" t="str">
        <x:v>deployedIdle</x:v>
      </x:c>
      <x:c r="J1176" s="34" t="str">
        <x:v>deployed-idle</x:v>
      </x:c>
      <x:c r="K1176" s="36" t="n">
        <x:v>0</x:v>
      </x:c>
      <x:c r="L1176" s="34" t="str">
        <x:v>initial</x:v>
      </x:c>
      <x:c r="M1176" s="34" t="str">
        <x:v>article1-unified-v4-2-fb3f101b-20260903-000401-default-f05-p5-cache2k-4-deployed-idle</x:v>
      </x:c>
      <x:c r="N1176" s="38" t="n">
        <x:v>46268.08393181713</x:v>
      </x:c>
      <x:c r="O1176" s="36" t="n">
        <x:v>0</x:v>
      </x:c>
      <x:c r="P1176" s="43" t="n">
        <x:v>164853760</x:v>
      </x:c>
      <x:c r="Q1176" s="43" t="n">
        <x:v>268435456</x:v>
      </x:c>
      <x:c r="R1176" s="43" t="n">
        <x:v>439361536</x:v>
      </x:c>
      <x:c r="S1176" s="36" t="n">
        <x:v>3</x:v>
      </x:c>
      <x:c r="T1176" s="44" t="str">
        <x:v>0x000000002e1177b8  0x000000002e003818  0x00007ae628616520       0         0         0  org.apache.catalina.loader.ParallelWebappClassLoader | 0x000000002e1177b8  0x000000002e003818  0x00007ae5a41df2a0    4091  19431424  19407648  org.apache.catalina.loader.ParallelWebappClassLoader | 0x000000002e1177b8  0x000000002e003818  0x00007ae5641cbd10    4457  21318656  21298184  org.apache.catalina.loader.ParallelWebappClassLoader</x:v>
      </x:c>
      <x:c r="U1176" s="36" t="n">
        <x:v>27</x:v>
      </x:c>
      <x:c r="V1176" s="36" t="n">
        <x:v>0</x:v>
      </x:c>
      <x:c r="W1176" s="44"/>
      <x:c r="X1176" s="36"/>
      <x:c r="Y1176" s="36"/>
      <x:c r="Z1176" s="44"/>
      <x:c r="AA1176" s="49"/>
      <x:c r="AB1176" s="43"/>
      <x:c r="AC1176" s="34"/>
      <x:c r="AD1176" s="34"/>
      <x:c r="AE1176" s="34"/>
      <x:c r="AF1176" s="34"/>
      <x:c r="AG1176" s="34"/>
      <x:c r="AH1176" s="34"/>
      <x:c r="AI1176" s="34"/>
    </x:row>
    <x:row r="1177">
      <x:c r="A1177" s="34" t="str">
        <x:v>article1-unified-v4-2-fb3f101b-20260903-000401-default-f05-p5-cache2k</x:v>
      </x:c>
      <x:c r="B1177" s="34" t="str">
        <x:v>default</x:v>
      </x:c>
      <x:c r="C1177" s="34" t="str">
        <x:v>cache2k</x:v>
      </x:c>
      <x:c r="D1177" s="34" t="str">
        <x:v>cache2k</x:v>
      </x:c>
      <x:c r="E1177" s="36" t="n">
        <x:v>5</x:v>
      </x:c>
      <x:c r="F1177" s="36" t="n">
        <x:v>5</x:v>
      </x:c>
      <x:c r="G1177" s="36" t="n">
        <x:v>5</x:v>
      </x:c>
      <x:c r="H1177" s="36" t="n">
        <x:v>4</x:v>
      </x:c>
      <x:c r="I1177" s="34" t="str">
        <x:v>loaded</x:v>
      </x:c>
      <x:c r="J1177" s="34" t="str">
        <x:v>loaded</x:v>
      </x:c>
      <x:c r="K1177" s="36" t="n">
        <x:v>0</x:v>
      </x:c>
      <x:c r="L1177" s="34" t="str">
        <x:v>initial</x:v>
      </x:c>
      <x:c r="M1177" s="34" t="str">
        <x:v>article1-unified-v4-2-fb3f101b-20260903-000401-default-f05-p5-cache2k-4-loaded</x:v>
      </x:c>
      <x:c r="N1177" s="38" t="n">
        <x:v>46268.0840815162</x:v>
      </x:c>
      <x:c r="O1177" s="36" t="n">
        <x:v>0</x:v>
      </x:c>
      <x:c r="P1177" s="43" t="n">
        <x:v>95084544</x:v>
      </x:c>
      <x:c r="Q1177" s="43" t="n">
        <x:v>268435456</x:v>
      </x:c>
      <x:c r="R1177" s="43" t="n">
        <x:v>445078528</x:v>
      </x:c>
      <x:c r="S1177" s="36" t="n">
        <x:v>3</x:v>
      </x:c>
      <x:c r="T1177" s="44" t="str">
        <x:v>0x000000002e1177b8  0x000000002e003818  0x00007ae628616520       0         0         0  org.apache.catalina.loader.ParallelWebappClassLoader | 0x000000002e1177b8  0x000000002e003818  0x00007ae5641cbd10    4457  21318656  21298184  org.apache.catalina.loader.ParallelWebappClassLoader | 0x000000002e1177b8  0x000000002e003818  0x00007ae5a41df2a0    4441  21250048  21236936  org.apache.catalina.loader.ParallelWebappClassLoader</x:v>
      </x:c>
      <x:c r="U1177" s="36" t="n">
        <x:v>28</x:v>
      </x:c>
      <x:c r="V1177" s="36" t="n">
        <x:v>0</x:v>
      </x:c>
      <x:c r="W1177" s="44"/>
      <x:c r="X1177" s="36"/>
      <x:c r="Y1177" s="36"/>
      <x:c r="Z1177" s="44"/>
      <x:c r="AA1177" s="49"/>
      <x:c r="AB1177" s="43"/>
      <x:c r="AC1177" s="34"/>
      <x:c r="AD1177" s="34"/>
      <x:c r="AE1177" s="34"/>
      <x:c r="AF1177" s="34"/>
      <x:c r="AG1177" s="34"/>
      <x:c r="AH1177" s="34"/>
      <x:c r="AI1177" s="34"/>
    </x:row>
    <x:row r="1178">
      <x:c r="A1178" s="34" t="str">
        <x:v>article1-unified-v4-2-fb3f101b-20260903-000401-default-f05-p5-cache2k</x:v>
      </x:c>
      <x:c r="B1178" s="34" t="str">
        <x:v>default</x:v>
      </x:c>
      <x:c r="C1178" s="34" t="str">
        <x:v>cache2k</x:v>
      </x:c>
      <x:c r="D1178" s="34" t="str">
        <x:v>cache2k</x:v>
      </x:c>
      <x:c r="E1178" s="36" t="n">
        <x:v>5</x:v>
      </x:c>
      <x:c r="F1178" s="36" t="n">
        <x:v>5</x:v>
      </x:c>
      <x:c r="G1178" s="36" t="n">
        <x:v>5</x:v>
      </x:c>
      <x:c r="H1178" s="36" t="n">
        <x:v>4</x:v>
      </x:c>
      <x:c r="I1178" s="34" t="str">
        <x:v>afterUndeployEarly</x:v>
      </x:c>
      <x:c r="J1178" s="34" t="str">
        <x:v>after-undeploy-early</x:v>
      </x:c>
      <x:c r="K1178" s="36" t="n">
        <x:v>1</x:v>
      </x:c>
      <x:c r="L1178" s="34" t="str">
        <x:v>early</x:v>
      </x:c>
      <x:c r="M1178" s="34" t="str">
        <x:v>article1-unified-v4-2-fb3f101b-20260903-000401-default-f05-p5-cache2k-4-after-undeploy-early-2s</x:v>
      </x:c>
      <x:c r="N1178" s="38" t="n">
        <x:v>46268.08417079861</x:v>
      </x:c>
      <x:c r="O1178" s="36"/>
      <x:c r="P1178" s="43"/>
      <x:c r="Q1178" s="43"/>
      <x:c r="R1178" s="43"/>
      <x:c r="S1178" s="36"/>
      <x:c r="T1178" s="44"/>
      <x:c r="U1178" s="36" t="n">
        <x:v>27</x:v>
      </x:c>
      <x:c r="V1178" s="36" t="n">
        <x:v>0</x:v>
      </x:c>
      <x:c r="W1178" s="44"/>
      <x:c r="X1178" s="36"/>
      <x:c r="Y1178" s="36"/>
      <x:c r="Z1178" s="44"/>
      <x:c r="AA1178" s="49"/>
      <x:c r="AB1178" s="43" t="n">
        <x:v>1</x:v>
      </x:c>
      <x:c r="AC1178" s="34"/>
      <x:c r="AD1178" s="34"/>
      <x:c r="AE1178" s="34" t="str">
        <x:v>article1-unified-v4-2-fb3f101b-20260903-000401-default-f05-p5-cache2k-4-after-undeploy-early-2s-thread-dump.txt</x:v>
      </x:c>
      <x:c r="AF1178" s="34" t="str">
        <x:v>article1-unified-v4-2-fb3f101b-20260903-000401-default-f05-p5-cache2k-4-after-undeploy-early-tomcat-log.txt</x:v>
      </x:c>
      <x:c r="AG1178" s="34"/>
      <x:c r="AH1178" s="34"/>
      <x:c r="AI1178" s="34"/>
    </x:row>
    <x:row r="1179">
      <x:c r="A1179" s="34" t="str">
        <x:v>article1-unified-v4-2-fb3f101b-20260903-000401-default-f05-p5-cache2k</x:v>
      </x:c>
      <x:c r="B1179" s="34" t="str">
        <x:v>default</x:v>
      </x:c>
      <x:c r="C1179" s="34" t="str">
        <x:v>cache2k</x:v>
      </x:c>
      <x:c r="D1179" s="34" t="str">
        <x:v>cache2k</x:v>
      </x:c>
      <x:c r="E1179" s="36" t="n">
        <x:v>5</x:v>
      </x:c>
      <x:c r="F1179" s="36" t="n">
        <x:v>5</x:v>
      </x:c>
      <x:c r="G1179" s="36" t="n">
        <x:v>5</x:v>
      </x:c>
      <x:c r="H1179" s="36" t="n">
        <x:v>4</x:v>
      </x:c>
      <x:c r="I1179" s="34" t="str">
        <x:v>afterUndeploy</x:v>
      </x:c>
      <x:c r="J1179" s="34" t="str">
        <x:v>after-undeploy-final</x:v>
      </x:c>
      <x:c r="K1179" s="36" t="n">
        <x:v>1</x:v>
      </x:c>
      <x:c r="L1179" s="34" t="str">
        <x:v>final</x:v>
      </x:c>
      <x:c r="M1179" s="34" t="str">
        <x:v>article1-unified-v4-2-fb3f101b-20260903-000401-default-f05-p5-cache2k-4-after-undeploy-final-10s</x:v>
      </x:c>
      <x:c r="N1179" s="38" t="n">
        <x:v>46268.08433304398</x:v>
      </x:c>
      <x:c r="O1179" s="36" t="n">
        <x:v>2</x:v>
      </x:c>
      <x:c r="P1179" s="43" t="n">
        <x:v>15601664</x:v>
      </x:c>
      <x:c r="Q1179" s="43" t="n">
        <x:v>268435456</x:v>
      </x:c>
      <x:c r="R1179" s="43" t="n">
        <x:v>420632576</x:v>
      </x:c>
      <x:c r="S1179" s="36" t="n">
        <x:v>2</x:v>
      </x:c>
      <x:c r="T1179" s="44" t="str">
        <x:v>0x000000002e1177b8  0x000000002e003818  0x00007ae628616520       0         0         0  org.apache.catalina.loader.ParallelWebappClassLoader | 0x000000002e1177b8  0x000000002e003818  0x00007ae5a41df2a0    4451  21282816  21265880  org.apache.catalina.loader.ParallelWebappClassLoader</x:v>
      </x:c>
      <x:c r="U1179" s="36" t="n">
        <x:v>27</x:v>
      </x:c>
      <x:c r="V1179" s="36" t="n">
        <x:v>0</x:v>
      </x:c>
      <x:c r="W1179" s="44"/>
      <x:c r="X1179" s="36" t="n">
        <x:v>1</x:v>
      </x:c>
      <x:c r="Y1179" s="36" t="n">
        <x:v>1</x:v>
      </x:c>
      <x:c r="Z1179" s="44" t="str">
        <x:v>/cache2k</x:v>
      </x:c>
      <x:c r="AA1179" s="45" t="b">
        <x:v>1</x:v>
      </x:c>
      <x:c r="AB1179" s="43"/>
      <x:c r="AC1179" s="34" t="str">
        <x:v>article1-unified-v4-2-fb3f101b-20260903-000401-default-f05-p5-cache2k-4-after-undeploy-final-10s-heap-info.txt</x:v>
      </x:c>
      <x:c r="AD1179" s="34" t="str">
        <x:v>article1-unified-v4-2-fb3f101b-20260903-000401-default-f05-p5-cache2k-4-after-undeploy-final-10s-classloader-stats.txt</x:v>
      </x:c>
      <x:c r="AE1179" s="34" t="str">
        <x:v>article1-unified-v4-2-fb3f101b-20260903-000401-default-f05-p5-cache2k-4-after-undeploy-final-10s-thread-dump.txt</x:v>
      </x:c>
      <x:c r="AF1179" s="34"/>
      <x:c r="AG1179" s="34" t="str">
        <x:v>article1-unified-v4-2-fb3f101b-20260903-000401-default-f05-p5-cache2k-4-after-undeploy-final-10s-native-memory.txt</x:v>
      </x:c>
      <x:c r="AH1179" s="34" t="str">
        <x:v>article1-unified-v4-2-fb3f101b-20260903-000401-default-f05-p5-cache2k-4-after-undeploy-final-10s-class-histogram.txt</x:v>
      </x:c>
      <x:c r="AI1179" s="34" t="str">
        <x:v>article1-unified-v4-2-fb3f101b-20260903-000401-default-f05-p5-cache2k-4-after-undeploy-tomcat-findleaks.txt</x:v>
      </x:c>
    </x:row>
    <x:row r="1180">
      <x:c r="A1180" s="34" t="str">
        <x:v>article1-unified-v4-2-fb3f101b-20260903-000401-default-f05-p5-cache2k</x:v>
      </x:c>
      <x:c r="B1180" s="34" t="str">
        <x:v>default</x:v>
      </x:c>
      <x:c r="C1180" s="34" t="str">
        <x:v>cache2k</x:v>
      </x:c>
      <x:c r="D1180" s="34" t="str">
        <x:v>cache2k</x:v>
      </x:c>
      <x:c r="E1180" s="36" t="n">
        <x:v>5</x:v>
      </x:c>
      <x:c r="F1180" s="36" t="n">
        <x:v>5</x:v>
      </x:c>
      <x:c r="G1180" s="36" t="n">
        <x:v>5</x:v>
      </x:c>
      <x:c r="H1180" s="36" t="n">
        <x:v>4</x:v>
      </x:c>
      <x:c r="I1180" s="34" t="str">
        <x:v>redeployedLoaded</x:v>
      </x:c>
      <x:c r="J1180" s="34" t="str">
        <x:v>redeployed-loaded</x:v>
      </x:c>
      <x:c r="K1180" s="36" t="n">
        <x:v>0</x:v>
      </x:c>
      <x:c r="L1180" s="34" t="str">
        <x:v>redeploy</x:v>
      </x:c>
      <x:c r="M1180" s="34" t="str">
        <x:v>article1-unified-v4-2-fb3f101b-20260903-000401-default-f05-p5-cache2k-4-redeployed-loaded</x:v>
      </x:c>
      <x:c r="N1180" s="38" t="n">
        <x:v>46268.08459002315</x:v>
      </x:c>
      <x:c r="O1180" s="36" t="n">
        <x:v>0</x:v>
      </x:c>
      <x:c r="P1180" s="43" t="n">
        <x:v>93811712</x:v>
      </x:c>
      <x:c r="Q1180" s="43" t="n">
        <x:v>268435456</x:v>
      </x:c>
      <x:c r="R1180" s="43" t="n">
        <x:v>442968064</x:v>
      </x:c>
      <x:c r="S1180" s="36" t="n">
        <x:v>3</x:v>
      </x:c>
      <x:c r="T1180" s="44" t="str">
        <x:v>0x000000002e1177b8  0x000000002e003818  0x00007ae628616520       0         0         0  org.apache.catalina.loader.ParallelWebappClassLoader | 0x000000002e1177b8  0x000000002e003818  0x00007ae5a41df2a0    4451  21282816  21265880  org.apache.catalina.loader.ParallelWebappClassLoader | 0x000000002e1177b8  0x000000002e003818  0x00007ae54448eba0    4439  21235712  21232864  org.apache.catalina.loader.ParallelWebappClassLoader</x:v>
      </x:c>
      <x:c r="U1180" s="36" t="n">
        <x:v>29</x:v>
      </x:c>
      <x:c r="V1180" s="36" t="n">
        <x:v>0</x:v>
      </x:c>
      <x:c r="W1180" s="44"/>
      <x:c r="X1180" s="36"/>
      <x:c r="Y1180" s="36"/>
      <x:c r="Z1180" s="44"/>
      <x:c r="AA1180" s="49"/>
      <x:c r="AB1180" s="43"/>
      <x:c r="AC1180" s="34"/>
      <x:c r="AD1180" s="34"/>
      <x:c r="AE1180" s="34"/>
      <x:c r="AF1180" s="34"/>
      <x:c r="AG1180" s="34"/>
      <x:c r="AH1180" s="34"/>
      <x:c r="AI1180" s="34"/>
    </x:row>
    <x:row r="1181">
      <x:c r="A1181" s="34" t="str">
        <x:v>article1-unified-v4-2-fb3f101b-20260903-000401-default-f05-p5-cache2k</x:v>
      </x:c>
      <x:c r="B1181" s="34" t="str">
        <x:v>default</x:v>
      </x:c>
      <x:c r="C1181" s="34" t="str">
        <x:v>cache2k</x:v>
      </x:c>
      <x:c r="D1181" s="34" t="str">
        <x:v>cache2k</x:v>
      </x:c>
      <x:c r="E1181" s="36" t="n">
        <x:v>5</x:v>
      </x:c>
      <x:c r="F1181" s="36" t="n">
        <x:v>5</x:v>
      </x:c>
      <x:c r="G1181" s="36" t="n">
        <x:v>5</x:v>
      </x:c>
      <x:c r="H1181" s="36" t="n">
        <x:v>4</x:v>
      </x:c>
      <x:c r="I1181" s="34" t="str">
        <x:v>afterFinalUndeployEarly</x:v>
      </x:c>
      <x:c r="J1181" s="34" t="str">
        <x:v>after-final-undeploy-early</x:v>
      </x:c>
      <x:c r="K1181" s="36" t="n">
        <x:v>2</x:v>
      </x:c>
      <x:c r="L1181" s="34" t="str">
        <x:v>early</x:v>
      </x:c>
      <x:c r="M1181" s="34" t="str">
        <x:v>article1-unified-v4-2-fb3f101b-20260903-000401-default-f05-p5-cache2k-4-after-final-undeploy-early-2s</x:v>
      </x:c>
      <x:c r="N1181" s="38" t="n">
        <x:v>46268.084673136575</x:v>
      </x:c>
      <x:c r="O1181" s="36"/>
      <x:c r="P1181" s="43"/>
      <x:c r="Q1181" s="43"/>
      <x:c r="R1181" s="43"/>
      <x:c r="S1181" s="36"/>
      <x:c r="T1181" s="44"/>
      <x:c r="U1181" s="36" t="n">
        <x:v>27</x:v>
      </x:c>
      <x:c r="V1181" s="36" t="n">
        <x:v>0</x:v>
      </x:c>
      <x:c r="W1181" s="44"/>
      <x:c r="X1181" s="36"/>
      <x:c r="Y1181" s="36"/>
      <x:c r="Z1181" s="44"/>
      <x:c r="AA1181" s="49"/>
      <x:c r="AB1181" s="43" t="n">
        <x:v>1</x:v>
      </x:c>
      <x:c r="AC1181" s="34"/>
      <x:c r="AD1181" s="34"/>
      <x:c r="AE1181" s="34" t="str">
        <x:v>article1-unified-v4-2-fb3f101b-20260903-000401-default-f05-p5-cache2k-4-after-final-undeploy-early-2s-thread-dump.txt</x:v>
      </x:c>
      <x:c r="AF1181" s="34" t="str">
        <x:v>article1-unified-v4-2-fb3f101b-20260903-000401-default-f05-p5-cache2k-4-after-final-undeploy-early-tomcat-log.txt</x:v>
      </x:c>
      <x:c r="AG1181" s="34"/>
      <x:c r="AH1181" s="34"/>
      <x:c r="AI1181" s="34"/>
    </x:row>
    <x:row r="1182">
      <x:c r="A1182" s="34" t="str">
        <x:v>article1-unified-v4-2-fb3f101b-20260903-000401-default-f05-p5-cache2k</x:v>
      </x:c>
      <x:c r="B1182" s="34" t="str">
        <x:v>default</x:v>
      </x:c>
      <x:c r="C1182" s="34" t="str">
        <x:v>cache2k</x:v>
      </x:c>
      <x:c r="D1182" s="34" t="str">
        <x:v>cache2k</x:v>
      </x:c>
      <x:c r="E1182" s="36" t="n">
        <x:v>5</x:v>
      </x:c>
      <x:c r="F1182" s="36" t="n">
        <x:v>5</x:v>
      </x:c>
      <x:c r="G1182" s="36" t="n">
        <x:v>5</x:v>
      </x:c>
      <x:c r="H1182" s="36" t="n">
        <x:v>4</x:v>
      </x:c>
      <x:c r="I1182" s="34" t="str">
        <x:v>afterFinalUndeploy</x:v>
      </x:c>
      <x:c r="J1182" s="34" t="str">
        <x:v>after-final-undeploy-final</x:v>
      </x:c>
      <x:c r="K1182" s="36" t="n">
        <x:v>2</x:v>
      </x:c>
      <x:c r="L1182" s="34" t="str">
        <x:v>final</x:v>
      </x:c>
      <x:c r="M1182" s="34" t="str">
        <x:v>article1-unified-v4-2-fb3f101b-20260903-000401-default-f05-p5-cache2k-4-after-final-undeploy-final-10s</x:v>
      </x:c>
      <x:c r="N1182" s="38" t="n">
        <x:v>46268.08483074074</x:v>
      </x:c>
      <x:c r="O1182" s="36" t="n">
        <x:v>2</x:v>
      </x:c>
      <x:c r="P1182" s="43" t="n">
        <x:v>15610880</x:v>
      </x:c>
      <x:c r="Q1182" s="43" t="n">
        <x:v>268435456</x:v>
      </x:c>
      <x:c r="R1182" s="43" t="n">
        <x:v>426246144</x:v>
      </x:c>
      <x:c r="S1182" s="36" t="n">
        <x:v>2</x:v>
      </x:c>
      <x:c r="T1182" s="44" t="str">
        <x:v>0x000000002e1177b8  0x000000002e003818  0x00007ae628616520       0         0         0  org.apache.catalina.loader.ParallelWebappClassLoader | 0x000000002e1177b8  0x000000002e003818  0x00007ae54448eba0    4449  21284864  21261800  org.apache.catalina.loader.ParallelWebappClassLoader</x:v>
      </x:c>
      <x:c r="U1182" s="36" t="n">
        <x:v>27</x:v>
      </x:c>
      <x:c r="V1182" s="36" t="n">
        <x:v>0</x:v>
      </x:c>
      <x:c r="W1182" s="44"/>
      <x:c r="X1182" s="36" t="n">
        <x:v>1</x:v>
      </x:c>
      <x:c r="Y1182" s="36" t="n">
        <x:v>1</x:v>
      </x:c>
      <x:c r="Z1182" s="44" t="str">
        <x:v>/cache2k</x:v>
      </x:c>
      <x:c r="AA1182" s="45" t="b">
        <x:v>1</x:v>
      </x:c>
      <x:c r="AB1182" s="43"/>
      <x:c r="AC1182" s="34" t="str">
        <x:v>article1-unified-v4-2-fb3f101b-20260903-000401-default-f05-p5-cache2k-4-after-final-undeploy-final-10s-heap-info.txt</x:v>
      </x:c>
      <x:c r="AD1182" s="34" t="str">
        <x:v>article1-unified-v4-2-fb3f101b-20260903-000401-default-f05-p5-cache2k-4-after-final-undeploy-final-10s-classloader-stats.txt</x:v>
      </x:c>
      <x:c r="AE1182" s="34" t="str">
        <x:v>article1-unified-v4-2-fb3f101b-20260903-000401-default-f05-p5-cache2k-4-after-final-undeploy-final-10s-thread-dump.txt</x:v>
      </x:c>
      <x:c r="AF1182" s="34"/>
      <x:c r="AG1182" s="34" t="str">
        <x:v>article1-unified-v4-2-fb3f101b-20260903-000401-default-f05-p5-cache2k-4-after-final-undeploy-final-10s-native-memory.txt</x:v>
      </x:c>
      <x:c r="AH1182" s="34" t="str">
        <x:v>article1-unified-v4-2-fb3f101b-20260903-000401-default-f05-p5-cache2k-4-after-final-undeploy-final-10s-class-histogram.txt</x:v>
      </x:c>
      <x:c r="AI1182" s="34" t="str">
        <x:v>article1-unified-v4-2-fb3f101b-20260903-000401-default-f05-p5-cache2k-4-after-final-undeploy-tomcat-findleaks.txt</x:v>
      </x:c>
    </x:row>
    <x:row r="1183">
      <x:c r="A1183" s="34" t="str">
        <x:v>article1-unified-v4-2-fb3f101b-20260903-000401-default-f05-p5-cache2k</x:v>
      </x:c>
      <x:c r="B1183" s="34" t="str">
        <x:v>default</x:v>
      </x:c>
      <x:c r="C1183" s="34" t="str">
        <x:v>cache2k</x:v>
      </x:c>
      <x:c r="D1183" s="34" t="str">
        <x:v>cache2k</x:v>
      </x:c>
      <x:c r="E1183" s="36" t="n">
        <x:v>5</x:v>
      </x:c>
      <x:c r="F1183" s="36" t="n">
        <x:v>5</x:v>
      </x:c>
      <x:c r="G1183" s="36" t="n">
        <x:v>5</x:v>
      </x:c>
      <x:c r="H1183" s="36" t="n">
        <x:v>5</x:v>
      </x:c>
      <x:c r="I1183" s="34" t="str">
        <x:v>baseline</x:v>
      </x:c>
      <x:c r="J1183" s="34" t="str">
        <x:v>cycle-baseline</x:v>
      </x:c>
      <x:c r="K1183" s="36" t="n">
        <x:v>0</x:v>
      </x:c>
      <x:c r="L1183" s="34" t="str">
        <x:v>baseline</x:v>
      </x:c>
      <x:c r="M1183" s="34" t="str">
        <x:v>article1-unified-v4-2-fb3f101b-20260903-000401-default-f05-p5-cache2k-5-baseline</x:v>
      </x:c>
      <x:c r="N1183" s="38" t="n">
        <x:v>46268.08487961806</x:v>
      </x:c>
      <x:c r="O1183" s="36" t="n">
        <x:v>0</x:v>
      </x:c>
      <x:c r="P1183" s="43" t="n">
        <x:v>15613952</x:v>
      </x:c>
      <x:c r="Q1183" s="43" t="n">
        <x:v>268435456</x:v>
      </x:c>
      <x:c r="R1183" s="43" t="n">
        <x:v>426247168</x:v>
      </x:c>
      <x:c r="S1183" s="36" t="n">
        <x:v>2</x:v>
      </x:c>
      <x:c r="T1183" s="44" t="str">
        <x:v>0x000000002e1177b8  0x000000002e003818  0x00007ae628616520       0         0         0  org.apache.catalina.loader.ParallelWebappClassLoader | 0x000000002e1177b8  0x000000002e003818  0x00007ae54448eba0    4449  21284864  21261800  org.apache.catalina.loader.ParallelWebappClassLoader</x:v>
      </x:c>
      <x:c r="U1183" s="36" t="n">
        <x:v>27</x:v>
      </x:c>
      <x:c r="V1183" s="36" t="n">
        <x:v>0</x:v>
      </x:c>
      <x:c r="W1183" s="44"/>
      <x:c r="X1183" s="36"/>
      <x:c r="Y1183" s="36"/>
      <x:c r="Z1183" s="44"/>
      <x:c r="AA1183" s="49"/>
      <x:c r="AB1183" s="43"/>
      <x:c r="AC1183" s="34" t="str">
        <x:v>article1-unified-v4-2-fb3f101b-20260903-000401-default-f05-p5-cache2k-5-baseline-heap-info.txt</x:v>
      </x:c>
      <x:c r="AD1183" s="34" t="str">
        <x:v>article1-unified-v4-2-fb3f101b-20260903-000401-default-f05-p5-cache2k-5-baseline-classloader-stats.txt</x:v>
      </x:c>
      <x:c r="AE1183" s="34" t="str">
        <x:v>article1-unified-v4-2-fb3f101b-20260903-000401-default-f05-p5-cache2k-5-baseline-thread-dump.txt</x:v>
      </x:c>
      <x:c r="AF1183" s="34"/>
      <x:c r="AG1183" s="34" t="str">
        <x:v>article1-unified-v4-2-fb3f101b-20260903-000401-default-f05-p5-cache2k-5-baseline-native-memory.txt</x:v>
      </x:c>
      <x:c r="AH1183" s="34"/>
      <x:c r="AI1183" s="34"/>
    </x:row>
    <x:row r="1184">
      <x:c r="A1184" s="34" t="str">
        <x:v>article1-unified-v4-2-fb3f101b-20260903-000401-default-f05-p5-cache2k</x:v>
      </x:c>
      <x:c r="B1184" s="34" t="str">
        <x:v>default</x:v>
      </x:c>
      <x:c r="C1184" s="34" t="str">
        <x:v>cache2k</x:v>
      </x:c>
      <x:c r="D1184" s="34" t="str">
        <x:v>cache2k</x:v>
      </x:c>
      <x:c r="E1184" s="36" t="n">
        <x:v>5</x:v>
      </x:c>
      <x:c r="F1184" s="36" t="n">
        <x:v>5</x:v>
      </x:c>
      <x:c r="G1184" s="36" t="n">
        <x:v>5</x:v>
      </x:c>
      <x:c r="H1184" s="36" t="n">
        <x:v>5</x:v>
      </x:c>
      <x:c r="I1184" s="34" t="str">
        <x:v>deployedIdle</x:v>
      </x:c>
      <x:c r="J1184" s="34" t="str">
        <x:v>deployed-idle</x:v>
      </x:c>
      <x:c r="K1184" s="36" t="n">
        <x:v>0</x:v>
      </x:c>
      <x:c r="L1184" s="34" t="str">
        <x:v>initial</x:v>
      </x:c>
      <x:c r="M1184" s="34" t="str">
        <x:v>article1-unified-v4-2-fb3f101b-20260903-000401-default-f05-p5-cache2k-5-deployed-idle</x:v>
      </x:c>
      <x:c r="N1184" s="38" t="n">
        <x:v>46268.08497732639</x:v>
      </x:c>
      <x:c r="O1184" s="36" t="n">
        <x:v>0</x:v>
      </x:c>
      <x:c r="P1184" s="43" t="n">
        <x:v>169230336</x:v>
      </x:c>
      <x:c r="Q1184" s="43" t="n">
        <x:v>268435456</x:v>
      </x:c>
      <x:c r="R1184" s="43" t="n">
        <x:v>441106432</x:v>
      </x:c>
      <x:c r="S1184" s="36" t="n">
        <x:v>3</x:v>
      </x:c>
      <x:c r="T1184" s="44" t="str">
        <x:v>0x000000002e1177b8  0x000000002e003818  0x00007ae628616520       0         0         0  org.apache.catalina.loader.ParallelWebappClassLoader | 0x000000002e1177b8  0x000000002e003818  0x00007ae54c463e00    4091  19446784  19424160  org.apache.catalina.loader.ParallelWebappClassLoader | 0x000000002e1177b8  0x000000002e003818  0x00007ae54448eba0    4449  21284864  21261800  org.apache.catalina.loader.ParallelWebappClassLoader</x:v>
      </x:c>
      <x:c r="U1184" s="36" t="n">
        <x:v>27</x:v>
      </x:c>
      <x:c r="V1184" s="36" t="n">
        <x:v>0</x:v>
      </x:c>
      <x:c r="W1184" s="44"/>
      <x:c r="X1184" s="36"/>
      <x:c r="Y1184" s="36"/>
      <x:c r="Z1184" s="44"/>
      <x:c r="AA1184" s="49"/>
      <x:c r="AB1184" s="43"/>
      <x:c r="AC1184" s="34"/>
      <x:c r="AD1184" s="34"/>
      <x:c r="AE1184" s="34"/>
      <x:c r="AF1184" s="34"/>
      <x:c r="AG1184" s="34"/>
      <x:c r="AH1184" s="34"/>
      <x:c r="AI1184" s="34"/>
    </x:row>
    <x:row r="1185">
      <x:c r="A1185" s="34" t="str">
        <x:v>article1-unified-v4-2-fb3f101b-20260903-000401-default-f05-p5-cache2k</x:v>
      </x:c>
      <x:c r="B1185" s="34" t="str">
        <x:v>default</x:v>
      </x:c>
      <x:c r="C1185" s="34" t="str">
        <x:v>cache2k</x:v>
      </x:c>
      <x:c r="D1185" s="34" t="str">
        <x:v>cache2k</x:v>
      </x:c>
      <x:c r="E1185" s="36" t="n">
        <x:v>5</x:v>
      </x:c>
      <x:c r="F1185" s="36" t="n">
        <x:v>5</x:v>
      </x:c>
      <x:c r="G1185" s="36" t="n">
        <x:v>5</x:v>
      </x:c>
      <x:c r="H1185" s="36" t="n">
        <x:v>5</x:v>
      </x:c>
      <x:c r="I1185" s="34" t="str">
        <x:v>loaded</x:v>
      </x:c>
      <x:c r="J1185" s="34" t="str">
        <x:v>loaded</x:v>
      </x:c>
      <x:c r="K1185" s="36" t="n">
        <x:v>0</x:v>
      </x:c>
      <x:c r="L1185" s="34" t="str">
        <x:v>initial</x:v>
      </x:c>
      <x:c r="M1185" s="34" t="str">
        <x:v>article1-unified-v4-2-fb3f101b-20260903-000401-default-f05-p5-cache2k-5-loaded</x:v>
      </x:c>
      <x:c r="N1185" s="38" t="n">
        <x:v>46268.0851280787</x:v>
      </x:c>
      <x:c r="O1185" s="36" t="n">
        <x:v>0</x:v>
      </x:c>
      <x:c r="P1185" s="43" t="n">
        <x:v>93353984</x:v>
      </x:c>
      <x:c r="Q1185" s="43" t="n">
        <x:v>268435456</x:v>
      </x:c>
      <x:c r="R1185" s="43" t="n">
        <x:v>446485504</x:v>
      </x:c>
      <x:c r="S1185" s="36" t="n">
        <x:v>3</x:v>
      </x:c>
      <x:c r="T1185" s="44" t="str">
        <x:v>0x000000002e1177b8  0x000000002e003818  0x00007ae628616520       0         0         0  org.apache.catalina.loader.ParallelWebappClassLoader | 0x000000002e1177b8  0x000000002e003818  0x00007ae54c463e00    4441  21265408  21255296  org.apache.catalina.loader.ParallelWebappClassLoader | 0x000000002e1177b8  0x000000002e003818  0x00007ae54448eba0    4449  21284864  21261800  org.apache.catalina.loader.ParallelWebappClassLoader</x:v>
      </x:c>
      <x:c r="U1185" s="36" t="n">
        <x:v>29</x:v>
      </x:c>
      <x:c r="V1185" s="36" t="n">
        <x:v>0</x:v>
      </x:c>
      <x:c r="W1185" s="44"/>
      <x:c r="X1185" s="36"/>
      <x:c r="Y1185" s="36"/>
      <x:c r="Z1185" s="44"/>
      <x:c r="AA1185" s="49"/>
      <x:c r="AB1185" s="43"/>
      <x:c r="AC1185" s="34"/>
      <x:c r="AD1185" s="34"/>
      <x:c r="AE1185" s="34"/>
      <x:c r="AF1185" s="34"/>
      <x:c r="AG1185" s="34"/>
      <x:c r="AH1185" s="34"/>
      <x:c r="AI1185" s="34"/>
    </x:row>
    <x:row r="1186">
      <x:c r="A1186" s="34" t="str">
        <x:v>article1-unified-v4-2-fb3f101b-20260903-000401-default-f05-p5-cache2k</x:v>
      </x:c>
      <x:c r="B1186" s="34" t="str">
        <x:v>default</x:v>
      </x:c>
      <x:c r="C1186" s="34" t="str">
        <x:v>cache2k</x:v>
      </x:c>
      <x:c r="D1186" s="34" t="str">
        <x:v>cache2k</x:v>
      </x:c>
      <x:c r="E1186" s="36" t="n">
        <x:v>5</x:v>
      </x:c>
      <x:c r="F1186" s="36" t="n">
        <x:v>5</x:v>
      </x:c>
      <x:c r="G1186" s="36" t="n">
        <x:v>5</x:v>
      </x:c>
      <x:c r="H1186" s="36" t="n">
        <x:v>5</x:v>
      </x:c>
      <x:c r="I1186" s="34" t="str">
        <x:v>afterUndeployEarly</x:v>
      </x:c>
      <x:c r="J1186" s="34" t="str">
        <x:v>after-undeploy-early</x:v>
      </x:c>
      <x:c r="K1186" s="36" t="n">
        <x:v>1</x:v>
      </x:c>
      <x:c r="L1186" s="34" t="str">
        <x:v>early</x:v>
      </x:c>
      <x:c r="M1186" s="34" t="str">
        <x:v>article1-unified-v4-2-fb3f101b-20260903-000401-default-f05-p5-cache2k-5-after-undeploy-early-2s</x:v>
      </x:c>
      <x:c r="N1186" s="38" t="n">
        <x:v>46268.08521428241</x:v>
      </x:c>
      <x:c r="O1186" s="36"/>
      <x:c r="P1186" s="43"/>
      <x:c r="Q1186" s="43"/>
      <x:c r="R1186" s="43"/>
      <x:c r="S1186" s="36"/>
      <x:c r="T1186" s="44"/>
      <x:c r="U1186" s="36" t="n">
        <x:v>27</x:v>
      </x:c>
      <x:c r="V1186" s="36" t="n">
        <x:v>0</x:v>
      </x:c>
      <x:c r="W1186" s="44"/>
      <x:c r="X1186" s="36"/>
      <x:c r="Y1186" s="36"/>
      <x:c r="Z1186" s="44"/>
      <x:c r="AA1186" s="49"/>
      <x:c r="AB1186" s="43" t="n">
        <x:v>1</x:v>
      </x:c>
      <x:c r="AC1186" s="34"/>
      <x:c r="AD1186" s="34"/>
      <x:c r="AE1186" s="34" t="str">
        <x:v>article1-unified-v4-2-fb3f101b-20260903-000401-default-f05-p5-cache2k-5-after-undeploy-early-2s-thread-dump.txt</x:v>
      </x:c>
      <x:c r="AF1186" s="34" t="str">
        <x:v>article1-unified-v4-2-fb3f101b-20260903-000401-default-f05-p5-cache2k-5-after-undeploy-early-tomcat-log.txt</x:v>
      </x:c>
      <x:c r="AG1186" s="34"/>
      <x:c r="AH1186" s="34"/>
      <x:c r="AI1186" s="34"/>
    </x:row>
    <x:row r="1187">
      <x:c r="A1187" s="34" t="str">
        <x:v>article1-unified-v4-2-fb3f101b-20260903-000401-default-f05-p5-cache2k</x:v>
      </x:c>
      <x:c r="B1187" s="34" t="str">
        <x:v>default</x:v>
      </x:c>
      <x:c r="C1187" s="34" t="str">
        <x:v>cache2k</x:v>
      </x:c>
      <x:c r="D1187" s="34" t="str">
        <x:v>cache2k</x:v>
      </x:c>
      <x:c r="E1187" s="36" t="n">
        <x:v>5</x:v>
      </x:c>
      <x:c r="F1187" s="36" t="n">
        <x:v>5</x:v>
      </x:c>
      <x:c r="G1187" s="36" t="n">
        <x:v>5</x:v>
      </x:c>
      <x:c r="H1187" s="36" t="n">
        <x:v>5</x:v>
      </x:c>
      <x:c r="I1187" s="34" t="str">
        <x:v>afterUndeploy</x:v>
      </x:c>
      <x:c r="J1187" s="34" t="str">
        <x:v>after-undeploy-final</x:v>
      </x:c>
      <x:c r="K1187" s="36" t="n">
        <x:v>1</x:v>
      </x:c>
      <x:c r="L1187" s="34" t="str">
        <x:v>final</x:v>
      </x:c>
      <x:c r="M1187" s="34" t="str">
        <x:v>article1-unified-v4-2-fb3f101b-20260903-000401-default-f05-p5-cache2k-5-after-undeploy-final-10s</x:v>
      </x:c>
      <x:c r="N1187" s="38" t="n">
        <x:v>46268.08537403935</x:v>
      </x:c>
      <x:c r="O1187" s="36" t="n">
        <x:v>2</x:v>
      </x:c>
      <x:c r="P1187" s="43" t="n">
        <x:v>15639552</x:v>
      </x:c>
      <x:c r="Q1187" s="43" t="n">
        <x:v>268435456</x:v>
      </x:c>
      <x:c r="R1187" s="43" t="n">
        <x:v>422808576</x:v>
      </x:c>
      <x:c r="S1187" s="36" t="n">
        <x:v>2</x:v>
      </x:c>
      <x:c r="T1187" s="44" t="str">
        <x:v>0x000000002e1177b8  0x000000002e003818  0x00007ae628616520       0         0         0  org.apache.catalina.loader.ParallelWebappClassLoader | 0x000000002e1177b8  0x000000002e003818  0x00007ae54c463e00    4451  21298176  21284232  org.apache.catalina.loader.ParallelWebappClassLoader</x:v>
      </x:c>
      <x:c r="U1187" s="36" t="n">
        <x:v>27</x:v>
      </x:c>
      <x:c r="V1187" s="36" t="n">
        <x:v>0</x:v>
      </x:c>
      <x:c r="W1187" s="44"/>
      <x:c r="X1187" s="36" t="n">
        <x:v>1</x:v>
      </x:c>
      <x:c r="Y1187" s="36" t="n">
        <x:v>1</x:v>
      </x:c>
      <x:c r="Z1187" s="44" t="str">
        <x:v>/cache2k</x:v>
      </x:c>
      <x:c r="AA1187" s="45" t="b">
        <x:v>1</x:v>
      </x:c>
      <x:c r="AB1187" s="43"/>
      <x:c r="AC1187" s="34" t="str">
        <x:v>article1-unified-v4-2-fb3f101b-20260903-000401-default-f05-p5-cache2k-5-after-undeploy-final-10s-heap-info.txt</x:v>
      </x:c>
      <x:c r="AD1187" s="34" t="str">
        <x:v>article1-unified-v4-2-fb3f101b-20260903-000401-default-f05-p5-cache2k-5-after-undeploy-final-10s-classloader-stats.txt</x:v>
      </x:c>
      <x:c r="AE1187" s="34" t="str">
        <x:v>article1-unified-v4-2-fb3f101b-20260903-000401-default-f05-p5-cache2k-5-after-undeploy-final-10s-thread-dump.txt</x:v>
      </x:c>
      <x:c r="AF1187" s="34"/>
      <x:c r="AG1187" s="34" t="str">
        <x:v>article1-unified-v4-2-fb3f101b-20260903-000401-default-f05-p5-cache2k-5-after-undeploy-final-10s-native-memory.txt</x:v>
      </x:c>
      <x:c r="AH1187" s="34" t="str">
        <x:v>article1-unified-v4-2-fb3f101b-20260903-000401-default-f05-p5-cache2k-5-after-undeploy-final-10s-class-histogram.txt</x:v>
      </x:c>
      <x:c r="AI1187" s="34" t="str">
        <x:v>article1-unified-v4-2-fb3f101b-20260903-000401-default-f05-p5-cache2k-5-after-undeploy-tomcat-findleaks.txt</x:v>
      </x:c>
    </x:row>
    <x:row r="1188">
      <x:c r="A1188" s="34" t="str">
        <x:v>article1-unified-v4-2-fb3f101b-20260903-000401-default-f05-p5-cache2k</x:v>
      </x:c>
      <x:c r="B1188" s="34" t="str">
        <x:v>default</x:v>
      </x:c>
      <x:c r="C1188" s="34" t="str">
        <x:v>cache2k</x:v>
      </x:c>
      <x:c r="D1188" s="34" t="str">
        <x:v>cache2k</x:v>
      </x:c>
      <x:c r="E1188" s="36" t="n">
        <x:v>5</x:v>
      </x:c>
      <x:c r="F1188" s="36" t="n">
        <x:v>5</x:v>
      </x:c>
      <x:c r="G1188" s="36" t="n">
        <x:v>5</x:v>
      </x:c>
      <x:c r="H1188" s="36" t="n">
        <x:v>5</x:v>
      </x:c>
      <x:c r="I1188" s="34" t="str">
        <x:v>redeployedLoaded</x:v>
      </x:c>
      <x:c r="J1188" s="34" t="str">
        <x:v>redeployed-loaded</x:v>
      </x:c>
      <x:c r="K1188" s="36" t="n">
        <x:v>0</x:v>
      </x:c>
      <x:c r="L1188" s="34" t="str">
        <x:v>redeploy</x:v>
      </x:c>
      <x:c r="M1188" s="34" t="str">
        <x:v>article1-unified-v4-2-fb3f101b-20260903-000401-default-f05-p5-cache2k-5-redeployed-loaded</x:v>
      </x:c>
      <x:c r="N1188" s="38" t="n">
        <x:v>46268.08563170139</x:v>
      </x:c>
      <x:c r="O1188" s="36" t="n">
        <x:v>0</x:v>
      </x:c>
      <x:c r="P1188" s="43" t="n">
        <x:v>93165568</x:v>
      </x:c>
      <x:c r="Q1188" s="43" t="n">
        <x:v>268435456</x:v>
      </x:c>
      <x:c r="R1188" s="43" t="n">
        <x:v>443875328</x:v>
      </x:c>
      <x:c r="S1188" s="36" t="n">
        <x:v>3</x:v>
      </x:c>
      <x:c r="T1188" s="44" t="str">
        <x:v>0x000000002e1177b8  0x000000002e003818  0x00007ae628616520       0         0         0  org.apache.catalina.loader.ParallelWebappClassLoader | 0x000000002e1177b8  0x000000002e003818  0x00007ae54c463e00    4451  21298176  21284232  org.apache.catalina.loader.ParallelWebappClassLoader | 0x000000002e1177b8  0x000000002e003818  0x00007ae54442e6d0    4438  21246976  21244952  org.apache.catalina.loader.ParallelWebappClassLoader</x:v>
      </x:c>
      <x:c r="U1188" s="36" t="n">
        <x:v>29</x:v>
      </x:c>
      <x:c r="V1188" s="36" t="n">
        <x:v>0</x:v>
      </x:c>
      <x:c r="W1188" s="44"/>
      <x:c r="X1188" s="36"/>
      <x:c r="Y1188" s="36"/>
      <x:c r="Z1188" s="44"/>
      <x:c r="AA1188" s="49"/>
      <x:c r="AB1188" s="43"/>
      <x:c r="AC1188" s="34"/>
      <x:c r="AD1188" s="34"/>
      <x:c r="AE1188" s="34"/>
      <x:c r="AF1188" s="34"/>
      <x:c r="AG1188" s="34"/>
      <x:c r="AH1188" s="34"/>
      <x:c r="AI1188" s="34"/>
    </x:row>
    <x:row r="1189">
      <x:c r="A1189" s="34" t="str">
        <x:v>article1-unified-v4-2-fb3f101b-20260903-000401-default-f05-p5-cache2k</x:v>
      </x:c>
      <x:c r="B1189" s="34" t="str">
        <x:v>default</x:v>
      </x:c>
      <x:c r="C1189" s="34" t="str">
        <x:v>cache2k</x:v>
      </x:c>
      <x:c r="D1189" s="34" t="str">
        <x:v>cache2k</x:v>
      </x:c>
      <x:c r="E1189" s="36" t="n">
        <x:v>5</x:v>
      </x:c>
      <x:c r="F1189" s="36" t="n">
        <x:v>5</x:v>
      </x:c>
      <x:c r="G1189" s="36" t="n">
        <x:v>5</x:v>
      </x:c>
      <x:c r="H1189" s="36" t="n">
        <x:v>5</x:v>
      </x:c>
      <x:c r="I1189" s="34" t="str">
        <x:v>afterFinalUndeployEarly</x:v>
      </x:c>
      <x:c r="J1189" s="34" t="str">
        <x:v>after-final-undeploy-early</x:v>
      </x:c>
      <x:c r="K1189" s="36" t="n">
        <x:v>2</x:v>
      </x:c>
      <x:c r="L1189" s="34" t="str">
        <x:v>early</x:v>
      </x:c>
      <x:c r="M1189" s="34" t="str">
        <x:v>article1-unified-v4-2-fb3f101b-20260903-000401-default-f05-p5-cache2k-5-after-final-undeploy-early-2s</x:v>
      </x:c>
      <x:c r="N1189" s="38" t="n">
        <x:v>46268.085716967595</x:v>
      </x:c>
      <x:c r="O1189" s="36"/>
      <x:c r="P1189" s="43"/>
      <x:c r="Q1189" s="43"/>
      <x:c r="R1189" s="43"/>
      <x:c r="S1189" s="36"/>
      <x:c r="T1189" s="44"/>
      <x:c r="U1189" s="36" t="n">
        <x:v>27</x:v>
      </x:c>
      <x:c r="V1189" s="36" t="n">
        <x:v>0</x:v>
      </x:c>
      <x:c r="W1189" s="44"/>
      <x:c r="X1189" s="36"/>
      <x:c r="Y1189" s="36"/>
      <x:c r="Z1189" s="44"/>
      <x:c r="AA1189" s="49"/>
      <x:c r="AB1189" s="43" t="n">
        <x:v>1</x:v>
      </x:c>
      <x:c r="AC1189" s="34"/>
      <x:c r="AD1189" s="34"/>
      <x:c r="AE1189" s="34" t="str">
        <x:v>article1-unified-v4-2-fb3f101b-20260903-000401-default-f05-p5-cache2k-5-after-final-undeploy-early-2s-thread-dump.txt</x:v>
      </x:c>
      <x:c r="AF1189" s="34" t="str">
        <x:v>article1-unified-v4-2-fb3f101b-20260903-000401-default-f05-p5-cache2k-5-after-final-undeploy-early-tomcat-log.txt</x:v>
      </x:c>
      <x:c r="AG1189" s="34"/>
      <x:c r="AH1189" s="34"/>
      <x:c r="AI1189" s="34"/>
    </x:row>
    <x:row r="1190">
      <x:c r="A1190" s="34" t="str">
        <x:v>article1-unified-v4-2-fb3f101b-20260903-000401-default-f05-p5-cache2k</x:v>
      </x:c>
      <x:c r="B1190" s="34" t="str">
        <x:v>default</x:v>
      </x:c>
      <x:c r="C1190" s="34" t="str">
        <x:v>cache2k</x:v>
      </x:c>
      <x:c r="D1190" s="34" t="str">
        <x:v>cache2k</x:v>
      </x:c>
      <x:c r="E1190" s="36" t="n">
        <x:v>5</x:v>
      </x:c>
      <x:c r="F1190" s="36" t="n">
        <x:v>5</x:v>
      </x:c>
      <x:c r="G1190" s="36" t="n">
        <x:v>5</x:v>
      </x:c>
      <x:c r="H1190" s="36" t="n">
        <x:v>5</x:v>
      </x:c>
      <x:c r="I1190" s="34" t="str">
        <x:v>afterFinalUndeploy</x:v>
      </x:c>
      <x:c r="J1190" s="34" t="str">
        <x:v>after-final-undeploy-final</x:v>
      </x:c>
      <x:c r="K1190" s="36" t="n">
        <x:v>2</x:v>
      </x:c>
      <x:c r="L1190" s="34" t="str">
        <x:v>final</x:v>
      </x:c>
      <x:c r="M1190" s="34" t="str">
        <x:v>article1-unified-v4-2-fb3f101b-20260903-000401-default-f05-p5-cache2k-5-after-final-undeploy-final-10s</x:v>
      </x:c>
      <x:c r="N1190" s="38" t="n">
        <x:v>46268.08587430556</x:v>
      </x:c>
      <x:c r="O1190" s="36" t="n">
        <x:v>2</x:v>
      </x:c>
      <x:c r="P1190" s="43" t="n">
        <x:v>15646720</x:v>
      </x:c>
      <x:c r="Q1190" s="43" t="n">
        <x:v>268435456</x:v>
      </x:c>
      <x:c r="R1190" s="43" t="n">
        <x:v>427610112</x:v>
      </x:c>
      <x:c r="S1190" s="36" t="n">
        <x:v>2</x:v>
      </x:c>
      <x:c r="T1190" s="44" t="str">
        <x:v>0x000000002e1177b8  0x000000002e003818  0x00007ae628616520       0         0         0  org.apache.catalina.loader.ParallelWebappClassLoader | 0x000000002e1177b8  0x000000002e003818  0x00007ae54442e6d0    4448  21296128  21273896  org.apache.catalina.loader.ParallelWebappClassLoader</x:v>
      </x:c>
      <x:c r="U1190" s="36" t="n">
        <x:v>27</x:v>
      </x:c>
      <x:c r="V1190" s="36" t="n">
        <x:v>0</x:v>
      </x:c>
      <x:c r="W1190" s="44"/>
      <x:c r="X1190" s="36" t="n">
        <x:v>1</x:v>
      </x:c>
      <x:c r="Y1190" s="36" t="n">
        <x:v>1</x:v>
      </x:c>
      <x:c r="Z1190" s="44" t="str">
        <x:v>/cache2k</x:v>
      </x:c>
      <x:c r="AA1190" s="45" t="b">
        <x:v>1</x:v>
      </x:c>
      <x:c r="AB1190" s="43"/>
      <x:c r="AC1190" s="34" t="str">
        <x:v>article1-unified-v4-2-fb3f101b-20260903-000401-default-f05-p5-cache2k-5-after-final-undeploy-final-10s-heap-info.txt</x:v>
      </x:c>
      <x:c r="AD1190" s="34" t="str">
        <x:v>article1-unified-v4-2-fb3f101b-20260903-000401-default-f05-p5-cache2k-5-after-final-undeploy-final-10s-classloader-stats.txt</x:v>
      </x:c>
      <x:c r="AE1190" s="34" t="str">
        <x:v>article1-unified-v4-2-fb3f101b-20260903-000401-default-f05-p5-cache2k-5-after-final-undeploy-final-10s-thread-dump.txt</x:v>
      </x:c>
      <x:c r="AF1190" s="34"/>
      <x:c r="AG1190" s="34" t="str">
        <x:v>article1-unified-v4-2-fb3f101b-20260903-000401-default-f05-p5-cache2k-5-after-final-undeploy-final-10s-native-memory.txt</x:v>
      </x:c>
      <x:c r="AH1190" s="34" t="str">
        <x:v>article1-unified-v4-2-fb3f101b-20260903-000401-default-f05-p5-cache2k-5-after-final-undeploy-final-10s-class-histogram.txt</x:v>
      </x:c>
      <x:c r="AI1190" s="34" t="str">
        <x:v>article1-unified-v4-2-fb3f101b-20260903-000401-default-f05-p5-cache2k-5-after-final-undeploy-tomcat-findleaks.txt</x:v>
      </x:c>
    </x:row>
    <x:row r="1191">
      <x:c r="A1191" s="34" t="str">
        <x:v>article1-unified-v4-2-fb3f101b-20260903-000401-default-f05-p6-ehcache</x:v>
      </x:c>
      <x:c r="B1191" s="34" t="str">
        <x:v>default</x:v>
      </x:c>
      <x:c r="C1191" s="34" t="str">
        <x:v>ehcache</x:v>
      </x:c>
      <x:c r="D1191" s="34" t="str">
        <x:v>ehcache</x:v>
      </x:c>
      <x:c r="E1191" s="36" t="n">
        <x:v>5</x:v>
      </x:c>
      <x:c r="F1191" s="36" t="n">
        <x:v>5</x:v>
      </x:c>
      <x:c r="G1191" s="36" t="n">
        <x:v>6</x:v>
      </x:c>
      <x:c r="H1191" s="36" t="n">
        <x:v>0</x:v>
      </x:c>
      <x:c r="I1191" s="34" t="str">
        <x:v>processBaseline</x:v>
      </x:c>
      <x:c r="J1191" s="34" t="str">
        <x:v>process-baseline</x:v>
      </x:c>
      <x:c r="K1191" s="36" t="n">
        <x:v>0</x:v>
      </x:c>
      <x:c r="L1191" s="34" t="str">
        <x:v>baseline</x:v>
      </x:c>
      <x:c r="M1191" s="34" t="str">
        <x:v>article1-unified-v4-2-fb3f101b-20260903-000401-default-f05-p6-ehcache-process-baseline</x:v>
      </x:c>
      <x:c r="N1191" s="38" t="n">
        <x:v>46268.08611098379</x:v>
      </x:c>
      <x:c r="O1191" s="36" t="n">
        <x:v>0</x:v>
      </x:c>
      <x:c r="P1191" s="43" t="n">
        <x:v>32739328</x:v>
      </x:c>
      <x:c r="Q1191" s="43" t="n">
        <x:v>270532608</x:v>
      </x:c>
      <x:c r="R1191" s="43" t="n">
        <x:v>369375232</x:v>
      </x:c>
      <x:c r="S1191" s="36" t="n">
        <x:v>1</x:v>
      </x:c>
      <x:c r="T1191" s="44" t="str">
        <x:v>0x000000002d1177b8  0x000000002d003818  0x00007536a45f6770       0         0         0  org.apache.catalina.loader.ParallelWebappClassLoader</x:v>
      </x:c>
      <x:c r="U1191" s="36" t="n">
        <x:v>27</x:v>
      </x:c>
      <x:c r="V1191" s="36" t="n">
        <x:v>0</x:v>
      </x:c>
      <x:c r="W1191" s="44"/>
      <x:c r="X1191" s="36"/>
      <x:c r="Y1191" s="36"/>
      <x:c r="Z1191" s="44"/>
      <x:c r="AA1191" s="49"/>
      <x:c r="AB1191" s="43"/>
      <x:c r="AC1191" s="34" t="str">
        <x:v>article1-unified-v4-2-fb3f101b-20260903-000401-default-f05-p6-ehcache-process-baseline-heap-info.txt</x:v>
      </x:c>
      <x:c r="AD1191" s="34" t="str">
        <x:v>article1-unified-v4-2-fb3f101b-20260903-000401-default-f05-p6-ehcache-process-baseline-classloader-stats.txt</x:v>
      </x:c>
      <x:c r="AE1191" s="34" t="str">
        <x:v>article1-unified-v4-2-fb3f101b-20260903-000401-default-f05-p6-ehcache-process-baseline-thread-dump.txt</x:v>
      </x:c>
      <x:c r="AF1191" s="34"/>
      <x:c r="AG1191" s="34" t="str">
        <x:v>article1-unified-v4-2-fb3f101b-20260903-000401-default-f05-p6-ehcache-process-baseline-native-memory.txt</x:v>
      </x:c>
      <x:c r="AH1191" s="34"/>
      <x:c r="AI1191" s="34"/>
    </x:row>
    <x:row r="1192">
      <x:c r="A1192" s="34" t="str">
        <x:v>article1-unified-v4-2-fb3f101b-20260903-000401-default-f05-p6-ehcache</x:v>
      </x:c>
      <x:c r="B1192" s="34" t="str">
        <x:v>default</x:v>
      </x:c>
      <x:c r="C1192" s="34" t="str">
        <x:v>ehcache</x:v>
      </x:c>
      <x:c r="D1192" s="34" t="str">
        <x:v>ehcache</x:v>
      </x:c>
      <x:c r="E1192" s="36" t="n">
        <x:v>5</x:v>
      </x:c>
      <x:c r="F1192" s="36" t="n">
        <x:v>5</x:v>
      </x:c>
      <x:c r="G1192" s="36" t="n">
        <x:v>6</x:v>
      </x:c>
      <x:c r="H1192" s="36" t="n">
        <x:v>1</x:v>
      </x:c>
      <x:c r="I1192" s="34" t="str">
        <x:v>baseline</x:v>
      </x:c>
      <x:c r="J1192" s="34" t="str">
        <x:v>cycle-baseline</x:v>
      </x:c>
      <x:c r="K1192" s="36" t="n">
        <x:v>0</x:v>
      </x:c>
      <x:c r="L1192" s="34" t="str">
        <x:v>baseline</x:v>
      </x:c>
      <x:c r="M1192" s="34" t="str">
        <x:v>article1-unified-v4-2-fb3f101b-20260903-000401-default-f05-p6-ehcache-1-baseline</x:v>
      </x:c>
      <x:c r="N1192" s="38" t="n">
        <x:v>46268.086308067126</x:v>
      </x:c>
      <x:c r="O1192" s="36" t="n">
        <x:v>0</x:v>
      </x:c>
      <x:c r="P1192" s="43" t="n">
        <x:v>33263616</x:v>
      </x:c>
      <x:c r="Q1192" s="43" t="n">
        <x:v>270532608</x:v>
      </x:c>
      <x:c r="R1192" s="43" t="n">
        <x:v>369960960</x:v>
      </x:c>
      <x:c r="S1192" s="36" t="n">
        <x:v>1</x:v>
      </x:c>
      <x:c r="T1192" s="44" t="str">
        <x:v>0x000000002d1177b8  0x000000002d003818  0x00007536a45f6770       0         0         0  org.apache.catalina.loader.ParallelWebappClassLoader</x:v>
      </x:c>
      <x:c r="U1192" s="36" t="n">
        <x:v>27</x:v>
      </x:c>
      <x:c r="V1192" s="36" t="n">
        <x:v>0</x:v>
      </x:c>
      <x:c r="W1192" s="44"/>
      <x:c r="X1192" s="36"/>
      <x:c r="Y1192" s="36"/>
      <x:c r="Z1192" s="44"/>
      <x:c r="AA1192" s="49"/>
      <x:c r="AB1192" s="43"/>
      <x:c r="AC1192" s="34" t="str">
        <x:v>article1-unified-v4-2-fb3f101b-20260903-000401-default-f05-p6-ehcache-1-baseline-heap-info.txt</x:v>
      </x:c>
      <x:c r="AD1192" s="34" t="str">
        <x:v>article1-unified-v4-2-fb3f101b-20260903-000401-default-f05-p6-ehcache-1-baseline-classloader-stats.txt</x:v>
      </x:c>
      <x:c r="AE1192" s="34" t="str">
        <x:v>article1-unified-v4-2-fb3f101b-20260903-000401-default-f05-p6-ehcache-1-baseline-thread-dump.txt</x:v>
      </x:c>
      <x:c r="AF1192" s="34"/>
      <x:c r="AG1192" s="34" t="str">
        <x:v>article1-unified-v4-2-fb3f101b-20260903-000401-default-f05-p6-ehcache-1-baseline-native-memory.txt</x:v>
      </x:c>
      <x:c r="AH1192" s="34"/>
      <x:c r="AI1192" s="34"/>
    </x:row>
    <x:row r="1193">
      <x:c r="A1193" s="34" t="str">
        <x:v>article1-unified-v4-2-fb3f101b-20260903-000401-default-f05-p6-ehcache</x:v>
      </x:c>
      <x:c r="B1193" s="34" t="str">
        <x:v>default</x:v>
      </x:c>
      <x:c r="C1193" s="34" t="str">
        <x:v>ehcache</x:v>
      </x:c>
      <x:c r="D1193" s="34" t="str">
        <x:v>ehcache</x:v>
      </x:c>
      <x:c r="E1193" s="36" t="n">
        <x:v>5</x:v>
      </x:c>
      <x:c r="F1193" s="36" t="n">
        <x:v>5</x:v>
      </x:c>
      <x:c r="G1193" s="36" t="n">
        <x:v>6</x:v>
      </x:c>
      <x:c r="H1193" s="36" t="n">
        <x:v>1</x:v>
      </x:c>
      <x:c r="I1193" s="34" t="str">
        <x:v>deployedIdle</x:v>
      </x:c>
      <x:c r="J1193" s="34" t="str">
        <x:v>deployed-idle</x:v>
      </x:c>
      <x:c r="K1193" s="36" t="n">
        <x:v>0</x:v>
      </x:c>
      <x:c r="L1193" s="34" t="str">
        <x:v>initial</x:v>
      </x:c>
      <x:c r="M1193" s="34" t="str">
        <x:v>article1-unified-v4-2-fb3f101b-20260903-000401-default-f05-p6-ehcache-1-deployed-idle</x:v>
      </x:c>
      <x:c r="N1193" s="38" t="n">
        <x:v>46268.08641881945</x:v>
      </x:c>
      <x:c r="O1193" s="36" t="n">
        <x:v>0</x:v>
      </x:c>
      <x:c r="P1193" s="43" t="n">
        <x:v>21803008</x:v>
      </x:c>
      <x:c r="Q1193" s="43" t="n">
        <x:v>268435456</x:v>
      </x:c>
      <x:c r="R1193" s="43" t="n">
        <x:v>411652096</x:v>
      </x:c>
      <x:c r="S1193" s="36" t="n">
        <x:v>2</x:v>
      </x:c>
      <x:c r="T1193" s="44" t="str">
        <x:v>0x000000002d1177b8  0x000000002d003818  0x00007535fc0ff8d0    4091  19417088  19406192  org.apache.catalina.loader.ParallelWebappClassLoader | 0x000000002d1177b8  0x000000002d003818  0x00007536a45f6770       0         0         0  org.apache.catalina.loader.ParallelWebappClassLoader</x:v>
      </x:c>
      <x:c r="U1193" s="36" t="n">
        <x:v>27</x:v>
      </x:c>
      <x:c r="V1193" s="36" t="n">
        <x:v>0</x:v>
      </x:c>
      <x:c r="W1193" s="44"/>
      <x:c r="X1193" s="36"/>
      <x:c r="Y1193" s="36"/>
      <x:c r="Z1193" s="44"/>
      <x:c r="AA1193" s="49"/>
      <x:c r="AB1193" s="43"/>
      <x:c r="AC1193" s="34"/>
      <x:c r="AD1193" s="34"/>
      <x:c r="AE1193" s="34"/>
      <x:c r="AF1193" s="34"/>
      <x:c r="AG1193" s="34"/>
      <x:c r="AH1193" s="34"/>
      <x:c r="AI1193" s="34"/>
    </x:row>
    <x:row r="1194">
      <x:c r="A1194" s="34" t="str">
        <x:v>article1-unified-v4-2-fb3f101b-20260903-000401-default-f05-p6-ehcache</x:v>
      </x:c>
      <x:c r="B1194" s="34" t="str">
        <x:v>default</x:v>
      </x:c>
      <x:c r="C1194" s="34" t="str">
        <x:v>ehcache</x:v>
      </x:c>
      <x:c r="D1194" s="34" t="str">
        <x:v>ehcache</x:v>
      </x:c>
      <x:c r="E1194" s="36" t="n">
        <x:v>5</x:v>
      </x:c>
      <x:c r="F1194" s="36" t="n">
        <x:v>5</x:v>
      </x:c>
      <x:c r="G1194" s="36" t="n">
        <x:v>6</x:v>
      </x:c>
      <x:c r="H1194" s="36" t="n">
        <x:v>1</x:v>
      </x:c>
      <x:c r="I1194" s="34" t="str">
        <x:v>loaded</x:v>
      </x:c>
      <x:c r="J1194" s="34" t="str">
        <x:v>loaded</x:v>
      </x:c>
      <x:c r="K1194" s="36" t="n">
        <x:v>0</x:v>
      </x:c>
      <x:c r="L1194" s="34" t="str">
        <x:v>initial</x:v>
      </x:c>
      <x:c r="M1194" s="34" t="str">
        <x:v>article1-unified-v4-2-fb3f101b-20260903-000401-default-f05-p6-ehcache-1-loaded</x:v>
      </x:c>
      <x:c r="N1194" s="38" t="n">
        <x:v>46268.08657393519</x:v>
      </x:c>
      <x:c r="O1194" s="36" t="n">
        <x:v>0</x:v>
      </x:c>
      <x:c r="P1194" s="43" t="n">
        <x:v>215512064</x:v>
      </x:c>
      <x:c r="Q1194" s="43" t="n">
        <x:v>268435456</x:v>
      </x:c>
      <x:c r="R1194" s="43" t="n">
        <x:v>412928000</x:v>
      </x:c>
      <x:c r="S1194" s="36" t="n">
        <x:v>2</x:v>
      </x:c>
      <x:c r="T1194" s="44" t="str">
        <x:v>0x000000002d1177b8  0x000000002d003818  0x00007535fc0ff8d0    4858  22610944  22601280  org.apache.catalina.loader.ParallelWebappClassLoader | 0x000000002d1177b8  0x000000002d003818  0x00007536a45f6770       0         0         0  org.apache.catalina.loader.ParallelWebappClassLoader</x:v>
      </x:c>
      <x:c r="U1194" s="36" t="n">
        <x:v>28</x:v>
      </x:c>
      <x:c r="V1194" s="36" t="n">
        <x:v>0</x:v>
      </x:c>
      <x:c r="W1194" s="44"/>
      <x:c r="X1194" s="36"/>
      <x:c r="Y1194" s="36"/>
      <x:c r="Z1194" s="44"/>
      <x:c r="AA1194" s="49"/>
      <x:c r="AB1194" s="43"/>
      <x:c r="AC1194" s="34"/>
      <x:c r="AD1194" s="34"/>
      <x:c r="AE1194" s="34"/>
      <x:c r="AF1194" s="34"/>
      <x:c r="AG1194" s="34"/>
      <x:c r="AH1194" s="34"/>
      <x:c r="AI1194" s="34"/>
    </x:row>
    <x:row r="1195">
      <x:c r="A1195" s="34" t="str">
        <x:v>article1-unified-v4-2-fb3f101b-20260903-000401-default-f05-p6-ehcache</x:v>
      </x:c>
      <x:c r="B1195" s="34" t="str">
        <x:v>default</x:v>
      </x:c>
      <x:c r="C1195" s="34" t="str">
        <x:v>ehcache</x:v>
      </x:c>
      <x:c r="D1195" s="34" t="str">
        <x:v>ehcache</x:v>
      </x:c>
      <x:c r="E1195" s="36" t="n">
        <x:v>5</x:v>
      </x:c>
      <x:c r="F1195" s="36" t="n">
        <x:v>5</x:v>
      </x:c>
      <x:c r="G1195" s="36" t="n">
        <x:v>6</x:v>
      </x:c>
      <x:c r="H1195" s="36" t="n">
        <x:v>1</x:v>
      </x:c>
      <x:c r="I1195" s="34" t="str">
        <x:v>afterUndeployEarly</x:v>
      </x:c>
      <x:c r="J1195" s="34" t="str">
        <x:v>after-undeploy-early</x:v>
      </x:c>
      <x:c r="K1195" s="36" t="n">
        <x:v>1</x:v>
      </x:c>
      <x:c r="L1195" s="34" t="str">
        <x:v>early</x:v>
      </x:c>
      <x:c r="M1195" s="34" t="str">
        <x:v>article1-unified-v4-2-fb3f101b-20260903-000401-default-f05-p6-ehcache-1-after-undeploy-early-2s</x:v>
      </x:c>
      <x:c r="N1195" s="38" t="n">
        <x:v>46268.086657824075</x:v>
      </x:c>
      <x:c r="O1195" s="36"/>
      <x:c r="P1195" s="43"/>
      <x:c r="Q1195" s="43"/>
      <x:c r="R1195" s="43"/>
      <x:c r="S1195" s="36"/>
      <x:c r="T1195" s="44"/>
      <x:c r="U1195" s="36" t="n">
        <x:v>27</x:v>
      </x:c>
      <x:c r="V1195" s="36" t="n">
        <x:v>0</x:v>
      </x:c>
      <x:c r="W1195" s="44"/>
      <x:c r="X1195" s="36"/>
      <x:c r="Y1195" s="36"/>
      <x:c r="Z1195" s="44"/>
      <x:c r="AA1195" s="49"/>
      <x:c r="AB1195" s="43" t="n">
        <x:v>2</x:v>
      </x:c>
      <x:c r="AC1195" s="34"/>
      <x:c r="AD1195" s="34"/>
      <x:c r="AE1195" s="34" t="str">
        <x:v>article1-unified-v4-2-fb3f101b-20260903-000401-default-f05-p6-ehcache-1-after-undeploy-early-2s-thread-dump.txt</x:v>
      </x:c>
      <x:c r="AF1195" s="34" t="str">
        <x:v>article1-unified-v4-2-fb3f101b-20260903-000401-default-f05-p6-ehcache-1-after-undeploy-early-tomcat-log.txt</x:v>
      </x:c>
      <x:c r="AG1195" s="34"/>
      <x:c r="AH1195" s="34"/>
      <x:c r="AI1195" s="34"/>
    </x:row>
    <x:row r="1196">
      <x:c r="A1196" s="34" t="str">
        <x:v>article1-unified-v4-2-fb3f101b-20260903-000401-default-f05-p6-ehcache</x:v>
      </x:c>
      <x:c r="B1196" s="34" t="str">
        <x:v>default</x:v>
      </x:c>
      <x:c r="C1196" s="34" t="str">
        <x:v>ehcache</x:v>
      </x:c>
      <x:c r="D1196" s="34" t="str">
        <x:v>ehcache</x:v>
      </x:c>
      <x:c r="E1196" s="36" t="n">
        <x:v>5</x:v>
      </x:c>
      <x:c r="F1196" s="36" t="n">
        <x:v>5</x:v>
      </x:c>
      <x:c r="G1196" s="36" t="n">
        <x:v>6</x:v>
      </x:c>
      <x:c r="H1196" s="36" t="n">
        <x:v>1</x:v>
      </x:c>
      <x:c r="I1196" s="34" t="str">
        <x:v>afterUndeploy</x:v>
      </x:c>
      <x:c r="J1196" s="34" t="str">
        <x:v>after-undeploy-final</x:v>
      </x:c>
      <x:c r="K1196" s="36" t="n">
        <x:v>1</x:v>
      </x:c>
      <x:c r="L1196" s="34" t="str">
        <x:v>final</x:v>
      </x:c>
      <x:c r="M1196" s="34" t="str">
        <x:v>article1-unified-v4-2-fb3f101b-20260903-000401-default-f05-p6-ehcache-1-after-undeploy-final-10s</x:v>
      </x:c>
      <x:c r="N1196" s="38" t="n">
        <x:v>46268.08681315972</x:v>
      </x:c>
      <x:c r="O1196" s="36" t="n">
        <x:v>2</x:v>
      </x:c>
      <x:c r="P1196" s="43" t="n">
        <x:v>15834112</x:v>
      </x:c>
      <x:c r="Q1196" s="43" t="n">
        <x:v>268435456</x:v>
      </x:c>
      <x:c r="R1196" s="43" t="n">
        <x:v>411505664</x:v>
      </x:c>
      <x:c r="S1196" s="36" t="n">
        <x:v>2</x:v>
      </x:c>
      <x:c r="T1196" s="44" t="str">
        <x:v>0x000000002d1177b8  0x000000002d003818  0x00007535fc0ff8d0    4868  22662144  22647752  org.apache.catalina.loader.ParallelWebappClassLoader | 0x000000002d1177b8  0x000000002d003818  0x00007536a45f6770       0         0         0  org.apache.catalina.loader.ParallelWebappClassLoader</x:v>
      </x:c>
      <x:c r="U1196" s="36" t="n">
        <x:v>27</x:v>
      </x:c>
      <x:c r="V1196" s="36" t="n">
        <x:v>0</x:v>
      </x:c>
      <x:c r="W1196" s="44"/>
      <x:c r="X1196" s="36" t="n">
        <x:v>1</x:v>
      </x:c>
      <x:c r="Y1196" s="36" t="n">
        <x:v>1</x:v>
      </x:c>
      <x:c r="Z1196" s="44" t="str">
        <x:v>/ehcache</x:v>
      </x:c>
      <x:c r="AA1196" s="45" t="b">
        <x:v>1</x:v>
      </x:c>
      <x:c r="AB1196" s="43"/>
      <x:c r="AC1196" s="34" t="str">
        <x:v>article1-unified-v4-2-fb3f101b-20260903-000401-default-f05-p6-ehcache-1-after-undeploy-final-10s-heap-info.txt</x:v>
      </x:c>
      <x:c r="AD1196" s="34" t="str">
        <x:v>article1-unified-v4-2-fb3f101b-20260903-000401-default-f05-p6-ehcache-1-after-undeploy-final-10s-classloader-stats.txt</x:v>
      </x:c>
      <x:c r="AE1196" s="34" t="str">
        <x:v>article1-unified-v4-2-fb3f101b-20260903-000401-default-f05-p6-ehcache-1-after-undeploy-final-10s-thread-dump.txt</x:v>
      </x:c>
      <x:c r="AF1196" s="34"/>
      <x:c r="AG1196" s="34" t="str">
        <x:v>article1-unified-v4-2-fb3f101b-20260903-000401-default-f05-p6-ehcache-1-after-undeploy-final-10s-native-memory.txt</x:v>
      </x:c>
      <x:c r="AH1196" s="34" t="str">
        <x:v>article1-unified-v4-2-fb3f101b-20260903-000401-default-f05-p6-ehcache-1-after-undeploy-final-10s-class-histogram.txt</x:v>
      </x:c>
      <x:c r="AI1196" s="34" t="str">
        <x:v>article1-unified-v4-2-fb3f101b-20260903-000401-default-f05-p6-ehcache-1-after-undeploy-tomcat-findleaks.txt</x:v>
      </x:c>
    </x:row>
    <x:row r="1197">
      <x:c r="A1197" s="34" t="str">
        <x:v>article1-unified-v4-2-fb3f101b-20260903-000401-default-f05-p6-ehcache</x:v>
      </x:c>
      <x:c r="B1197" s="34" t="str">
        <x:v>default</x:v>
      </x:c>
      <x:c r="C1197" s="34" t="str">
        <x:v>ehcache</x:v>
      </x:c>
      <x:c r="D1197" s="34" t="str">
        <x:v>ehcache</x:v>
      </x:c>
      <x:c r="E1197" s="36" t="n">
        <x:v>5</x:v>
      </x:c>
      <x:c r="F1197" s="36" t="n">
        <x:v>5</x:v>
      </x:c>
      <x:c r="G1197" s="36" t="n">
        <x:v>6</x:v>
      </x:c>
      <x:c r="H1197" s="36" t="n">
        <x:v>1</x:v>
      </x:c>
      <x:c r="I1197" s="34" t="str">
        <x:v>redeployedLoaded</x:v>
      </x:c>
      <x:c r="J1197" s="34" t="str">
        <x:v>redeployed-loaded</x:v>
      </x:c>
      <x:c r="K1197" s="36" t="n">
        <x:v>0</x:v>
      </x:c>
      <x:c r="L1197" s="34" t="str">
        <x:v>redeploy</x:v>
      </x:c>
      <x:c r="M1197" s="34" t="str">
        <x:v>article1-unified-v4-2-fb3f101b-20260903-000401-default-f05-p6-ehcache-1-redeployed-loaded</x:v>
      </x:c>
      <x:c r="N1197" s="38" t="n">
        <x:v>46268.08707291666</x:v>
      </x:c>
      <x:c r="O1197" s="36" t="n">
        <x:v>0</x:v>
      </x:c>
      <x:c r="P1197" s="43" t="n">
        <x:v>212624384</x:v>
      </x:c>
      <x:c r="Q1197" s="43" t="n">
        <x:v>268435456</x:v>
      </x:c>
      <x:c r="R1197" s="43" t="n">
        <x:v>440691712</x:v>
      </x:c>
      <x:c r="S1197" s="36" t="n">
        <x:v>3</x:v>
      </x:c>
      <x:c r="T1197" s="44" t="str">
        <x:v>0x000000002d1177b8  0x000000002d003818  0x000075361c115790    4851  22666240  22660768  org.apache.catalina.loader.ParallelWebappClassLoader | 0x000000002d1177b8  0x000000002d003818  0x00007535fc0ff8d0    4868  22662144  22647752  org.apache.catalina.loader.ParallelWebappClassLoader | 0x000000002d1177b8  0x000000002d003818  0x00007536a45f6770       0         0         0  org.apache.catalina.loader.ParallelWebappClassLoader</x:v>
      </x:c>
      <x:c r="U1197" s="36" t="n">
        <x:v>27</x:v>
      </x:c>
      <x:c r="V1197" s="36" t="n">
        <x:v>0</x:v>
      </x:c>
      <x:c r="W1197" s="44"/>
      <x:c r="X1197" s="36"/>
      <x:c r="Y1197" s="36"/>
      <x:c r="Z1197" s="44"/>
      <x:c r="AA1197" s="49"/>
      <x:c r="AB1197" s="43"/>
      <x:c r="AC1197" s="34"/>
      <x:c r="AD1197" s="34"/>
      <x:c r="AE1197" s="34"/>
      <x:c r="AF1197" s="34"/>
      <x:c r="AG1197" s="34"/>
      <x:c r="AH1197" s="34"/>
      <x:c r="AI1197" s="34"/>
    </x:row>
    <x:row r="1198">
      <x:c r="A1198" s="34" t="str">
        <x:v>article1-unified-v4-2-fb3f101b-20260903-000401-default-f05-p6-ehcache</x:v>
      </x:c>
      <x:c r="B1198" s="34" t="str">
        <x:v>default</x:v>
      </x:c>
      <x:c r="C1198" s="34" t="str">
        <x:v>ehcache</x:v>
      </x:c>
      <x:c r="D1198" s="34" t="str">
        <x:v>ehcache</x:v>
      </x:c>
      <x:c r="E1198" s="36" t="n">
        <x:v>5</x:v>
      </x:c>
      <x:c r="F1198" s="36" t="n">
        <x:v>5</x:v>
      </x:c>
      <x:c r="G1198" s="36" t="n">
        <x:v>6</x:v>
      </x:c>
      <x:c r="H1198" s="36" t="n">
        <x:v>1</x:v>
      </x:c>
      <x:c r="I1198" s="34" t="str">
        <x:v>afterFinalUndeployEarly</x:v>
      </x:c>
      <x:c r="J1198" s="34" t="str">
        <x:v>after-final-undeploy-early</x:v>
      </x:c>
      <x:c r="K1198" s="36" t="n">
        <x:v>2</x:v>
      </x:c>
      <x:c r="L1198" s="34" t="str">
        <x:v>early</x:v>
      </x:c>
      <x:c r="M1198" s="34" t="str">
        <x:v>article1-unified-v4-2-fb3f101b-20260903-000401-default-f05-p6-ehcache-1-after-final-undeploy-early-2s</x:v>
      </x:c>
      <x:c r="N1198" s="38" t="n">
        <x:v>46268.08715520833</x:v>
      </x:c>
      <x:c r="O1198" s="36"/>
      <x:c r="P1198" s="43"/>
      <x:c r="Q1198" s="43"/>
      <x:c r="R1198" s="43"/>
      <x:c r="S1198" s="36"/>
      <x:c r="T1198" s="44"/>
      <x:c r="U1198" s="36" t="n">
        <x:v>27</x:v>
      </x:c>
      <x:c r="V1198" s="36" t="n">
        <x:v>0</x:v>
      </x:c>
      <x:c r="W1198" s="44"/>
      <x:c r="X1198" s="36"/>
      <x:c r="Y1198" s="36"/>
      <x:c r="Z1198" s="44"/>
      <x:c r="AA1198" s="49"/>
      <x:c r="AB1198" s="43" t="n">
        <x:v>2</x:v>
      </x:c>
      <x:c r="AC1198" s="34"/>
      <x:c r="AD1198" s="34"/>
      <x:c r="AE1198" s="34" t="str">
        <x:v>article1-unified-v4-2-fb3f101b-20260903-000401-default-f05-p6-ehcache-1-after-final-undeploy-early-2s-thread-dump.txt</x:v>
      </x:c>
      <x:c r="AF1198" s="34" t="str">
        <x:v>article1-unified-v4-2-fb3f101b-20260903-000401-default-f05-p6-ehcache-1-after-final-undeploy-early-tomcat-log.txt</x:v>
      </x:c>
      <x:c r="AG1198" s="34"/>
      <x:c r="AH1198" s="34"/>
      <x:c r="AI1198" s="34"/>
    </x:row>
    <x:row r="1199">
      <x:c r="A1199" s="34" t="str">
        <x:v>article1-unified-v4-2-fb3f101b-20260903-000401-default-f05-p6-ehcache</x:v>
      </x:c>
      <x:c r="B1199" s="34" t="str">
        <x:v>default</x:v>
      </x:c>
      <x:c r="C1199" s="34" t="str">
        <x:v>ehcache</x:v>
      </x:c>
      <x:c r="D1199" s="34" t="str">
        <x:v>ehcache</x:v>
      </x:c>
      <x:c r="E1199" s="36" t="n">
        <x:v>5</x:v>
      </x:c>
      <x:c r="F1199" s="36" t="n">
        <x:v>5</x:v>
      </x:c>
      <x:c r="G1199" s="36" t="n">
        <x:v>6</x:v>
      </x:c>
      <x:c r="H1199" s="36" t="n">
        <x:v>1</x:v>
      </x:c>
      <x:c r="I1199" s="34" t="str">
        <x:v>afterFinalUndeploy</x:v>
      </x:c>
      <x:c r="J1199" s="34" t="str">
        <x:v>after-final-undeploy-final</x:v>
      </x:c>
      <x:c r="K1199" s="36" t="n">
        <x:v>2</x:v>
      </x:c>
      <x:c r="L1199" s="34" t="str">
        <x:v>final</x:v>
      </x:c>
      <x:c r="M1199" s="34" t="str">
        <x:v>article1-unified-v4-2-fb3f101b-20260903-000401-default-f05-p6-ehcache-1-after-final-undeploy-final-10s</x:v>
      </x:c>
      <x:c r="N1199" s="38" t="n">
        <x:v>46268.08731033565</x:v>
      </x:c>
      <x:c r="O1199" s="36" t="n">
        <x:v>2</x:v>
      </x:c>
      <x:c r="P1199" s="43" t="n">
        <x:v>20366336</x:v>
      </x:c>
      <x:c r="Q1199" s="43" t="n">
        <x:v>268435456</x:v>
      </x:c>
      <x:c r="R1199" s="43" t="n">
        <x:v>439960576</x:v>
      </x:c>
      <x:c r="S1199" s="36" t="n">
        <x:v>3</x:v>
      </x:c>
      <x:c r="T1199" s="44" t="str">
        <x:v>0x000000002d1177b8  0x000000002d003818  0x000075361c115790    4861  22731776  22706256  org.apache.catalina.loader.ParallelWebappClassLoader | 0x000000002d1177b8  0x000000002d003818  0x00007535fc0ff8d0    4868  22662144  22647752  org.apache.catalina.loader.ParallelWebappClassLoader | 0x000000002d1177b8  0x000000002d003818  0x00007536a45f6770       0         0         0  org.apache.catalina.loader.ParallelWebappClassLoader</x:v>
      </x:c>
      <x:c r="U1199" s="36" t="n">
        <x:v>27</x:v>
      </x:c>
      <x:c r="V1199" s="36" t="n">
        <x:v>0</x:v>
      </x:c>
      <x:c r="W1199" s="44"/>
      <x:c r="X1199" s="36" t="n">
        <x:v>2</x:v>
      </x:c>
      <x:c r="Y1199" s="36" t="n">
        <x:v>2</x:v>
      </x:c>
      <x:c r="Z1199" s="44" t="str">
        <x:v>/ehcache</x:v>
      </x:c>
      <x:c r="AA1199" s="45" t="b">
        <x:v>1</x:v>
      </x:c>
      <x:c r="AB1199" s="43"/>
      <x:c r="AC1199" s="34" t="str">
        <x:v>article1-unified-v4-2-fb3f101b-20260903-000401-default-f05-p6-ehcache-1-after-final-undeploy-final-10s-heap-info.txt</x:v>
      </x:c>
      <x:c r="AD1199" s="34" t="str">
        <x:v>article1-unified-v4-2-fb3f101b-20260903-000401-default-f05-p6-ehcache-1-after-final-undeploy-final-10s-classloader-stats.txt</x:v>
      </x:c>
      <x:c r="AE1199" s="34" t="str">
        <x:v>article1-unified-v4-2-fb3f101b-20260903-000401-default-f05-p6-ehcache-1-after-final-undeploy-final-10s-thread-dump.txt</x:v>
      </x:c>
      <x:c r="AF1199" s="34"/>
      <x:c r="AG1199" s="34" t="str">
        <x:v>article1-unified-v4-2-fb3f101b-20260903-000401-default-f05-p6-ehcache-1-after-final-undeploy-final-10s-native-memory.txt</x:v>
      </x:c>
      <x:c r="AH1199" s="34" t="str">
        <x:v>article1-unified-v4-2-fb3f101b-20260903-000401-default-f05-p6-ehcache-1-after-final-undeploy-final-10s-class-histogram.txt</x:v>
      </x:c>
      <x:c r="AI1199" s="34" t="str">
        <x:v>article1-unified-v4-2-fb3f101b-20260903-000401-default-f05-p6-ehcache-1-after-final-undeploy-tomcat-findleaks.txt</x:v>
      </x:c>
    </x:row>
    <x:row r="1200">
      <x:c r="A1200" s="34" t="str">
        <x:v>article1-unified-v4-2-fb3f101b-20260903-000401-default-f05-p6-ehcache</x:v>
      </x:c>
      <x:c r="B1200" s="34" t="str">
        <x:v>default</x:v>
      </x:c>
      <x:c r="C1200" s="34" t="str">
        <x:v>ehcache</x:v>
      </x:c>
      <x:c r="D1200" s="34" t="str">
        <x:v>ehcache</x:v>
      </x:c>
      <x:c r="E1200" s="36" t="n">
        <x:v>5</x:v>
      </x:c>
      <x:c r="F1200" s="36" t="n">
        <x:v>5</x:v>
      </x:c>
      <x:c r="G1200" s="36" t="n">
        <x:v>6</x:v>
      </x:c>
      <x:c r="H1200" s="36" t="n">
        <x:v>2</x:v>
      </x:c>
      <x:c r="I1200" s="34" t="str">
        <x:v>baseline</x:v>
      </x:c>
      <x:c r="J1200" s="34" t="str">
        <x:v>cycle-baseline</x:v>
      </x:c>
      <x:c r="K1200" s="36" t="n">
        <x:v>0</x:v>
      </x:c>
      <x:c r="L1200" s="34" t="str">
        <x:v>baseline</x:v>
      </x:c>
      <x:c r="M1200" s="34" t="str">
        <x:v>article1-unified-v4-2-fb3f101b-20260903-000401-default-f05-p6-ehcache-2-baseline</x:v>
      </x:c>
      <x:c r="N1200" s="38" t="n">
        <x:v>46268.087369050925</x:v>
      </x:c>
      <x:c r="O1200" s="36" t="n">
        <x:v>0</x:v>
      </x:c>
      <x:c r="P1200" s="43" t="n">
        <x:v>20366336</x:v>
      </x:c>
      <x:c r="Q1200" s="43" t="n">
        <x:v>268435456</x:v>
      </x:c>
      <x:c r="R1200" s="43" t="n">
        <x:v>439960576</x:v>
      </x:c>
      <x:c r="S1200" s="36" t="n">
        <x:v>3</x:v>
      </x:c>
      <x:c r="T1200" s="44" t="str">
        <x:v>0x000000002d1177b8  0x000000002d003818  0x000075361c115790    4861  22731776  22706256  org.apache.catalina.loader.ParallelWebappClassLoader | 0x000000002d1177b8  0x000000002d003818  0x00007535fc0ff8d0    4868  22662144  22647752  org.apache.catalina.loader.ParallelWebappClassLoader | 0x000000002d1177b8  0x000000002d003818  0x00007536a45f6770       0         0         0  org.apache.catalina.loader.ParallelWebappClassLoader</x:v>
      </x:c>
      <x:c r="U1200" s="36" t="n">
        <x:v>27</x:v>
      </x:c>
      <x:c r="V1200" s="36" t="n">
        <x:v>0</x:v>
      </x:c>
      <x:c r="W1200" s="44"/>
      <x:c r="X1200" s="36"/>
      <x:c r="Y1200" s="36"/>
      <x:c r="Z1200" s="44"/>
      <x:c r="AA1200" s="49"/>
      <x:c r="AB1200" s="43"/>
      <x:c r="AC1200" s="34" t="str">
        <x:v>article1-unified-v4-2-fb3f101b-20260903-000401-default-f05-p6-ehcache-2-baseline-heap-info.txt</x:v>
      </x:c>
      <x:c r="AD1200" s="34" t="str">
        <x:v>article1-unified-v4-2-fb3f101b-20260903-000401-default-f05-p6-ehcache-2-baseline-classloader-stats.txt</x:v>
      </x:c>
      <x:c r="AE1200" s="34" t="str">
        <x:v>article1-unified-v4-2-fb3f101b-20260903-000401-default-f05-p6-ehcache-2-baseline-thread-dump.txt</x:v>
      </x:c>
      <x:c r="AF1200" s="34"/>
      <x:c r="AG1200" s="34" t="str">
        <x:v>article1-unified-v4-2-fb3f101b-20260903-000401-default-f05-p6-ehcache-2-baseline-native-memory.txt</x:v>
      </x:c>
      <x:c r="AH1200" s="34"/>
      <x:c r="AI1200" s="34"/>
    </x:row>
    <x:row r="1201">
      <x:c r="A1201" s="34" t="str">
        <x:v>article1-unified-v4-2-fb3f101b-20260903-000401-default-f05-p6-ehcache</x:v>
      </x:c>
      <x:c r="B1201" s="34" t="str">
        <x:v>default</x:v>
      </x:c>
      <x:c r="C1201" s="34" t="str">
        <x:v>ehcache</x:v>
      </x:c>
      <x:c r="D1201" s="34" t="str">
        <x:v>ehcache</x:v>
      </x:c>
      <x:c r="E1201" s="36" t="n">
        <x:v>5</x:v>
      </x:c>
      <x:c r="F1201" s="36" t="n">
        <x:v>5</x:v>
      </x:c>
      <x:c r="G1201" s="36" t="n">
        <x:v>6</x:v>
      </x:c>
      <x:c r="H1201" s="36" t="n">
        <x:v>2</x:v>
      </x:c>
      <x:c r="I1201" s="34" t="str">
        <x:v>deployedIdle</x:v>
      </x:c>
      <x:c r="J1201" s="34" t="str">
        <x:v>deployed-idle</x:v>
      </x:c>
      <x:c r="K1201" s="36" t="n">
        <x:v>0</x:v>
      </x:c>
      <x:c r="L1201" s="34" t="str">
        <x:v>initial</x:v>
      </x:c>
      <x:c r="M1201" s="34" t="str">
        <x:v>article1-unified-v4-2-fb3f101b-20260903-000401-default-f05-p6-ehcache-2-deployed-idle</x:v>
      </x:c>
      <x:c r="N1201" s="38" t="n">
        <x:v>46268.087473657404</x:v>
      </x:c>
      <x:c r="O1201" s="36" t="n">
        <x:v>0</x:v>
      </x:c>
      <x:c r="P1201" s="43" t="n">
        <x:v>169469952</x:v>
      </x:c>
      <x:c r="Q1201" s="43" t="n">
        <x:v>268435456</x:v>
      </x:c>
      <x:c r="R1201" s="43" t="n">
        <x:v>483506176</x:v>
      </x:c>
      <x:c r="S1201" s="36" t="n">
        <x:v>4</x:v>
      </x:c>
      <x:c r="T1201" s="44" t="str">
        <x:v>0x000000002d1177b8  0x000000002d003818  0x000075361c115790    4861  22731776  22706256  org.apache.catalina.loader.ParallelWebappClassLoader | 0x000000002d1177b8  0x000000002d003818  0x00007535fc0ff8d0    4868  22662144  22647752  org.apache.catalina.loader.ParallelWebappClassLoader | 0x000000002d1177b8  0x000000002d003818  0x00007536a45f6770       0         0         0  org.apache.catalina.loader.ParallelWebappClassLoader | 0x000000002d1177b8  0x000000002d003818  0x00007535e0049ce0    4091  19449856  19433960  org.apache.catalina.loader.ParallelWebappClassLoader</x:v>
      </x:c>
      <x:c r="U1201" s="36" t="n">
        <x:v>28</x:v>
      </x:c>
      <x:c r="V1201" s="36" t="n">
        <x:v>0</x:v>
      </x:c>
      <x:c r="W1201" s="44"/>
      <x:c r="X1201" s="36"/>
      <x:c r="Y1201" s="36"/>
      <x:c r="Z1201" s="44"/>
      <x:c r="AA1201" s="49"/>
      <x:c r="AB1201" s="43"/>
      <x:c r="AC1201" s="34"/>
      <x:c r="AD1201" s="34"/>
      <x:c r="AE1201" s="34"/>
      <x:c r="AF1201" s="34"/>
      <x:c r="AG1201" s="34"/>
      <x:c r="AH1201" s="34"/>
      <x:c r="AI1201" s="34"/>
    </x:row>
    <x:row r="1202">
      <x:c r="A1202" s="34" t="str">
        <x:v>article1-unified-v4-2-fb3f101b-20260903-000401-default-f05-p6-ehcache</x:v>
      </x:c>
      <x:c r="B1202" s="34" t="str">
        <x:v>default</x:v>
      </x:c>
      <x:c r="C1202" s="34" t="str">
        <x:v>ehcache</x:v>
      </x:c>
      <x:c r="D1202" s="34" t="str">
        <x:v>ehcache</x:v>
      </x:c>
      <x:c r="E1202" s="36" t="n">
        <x:v>5</x:v>
      </x:c>
      <x:c r="F1202" s="36" t="n">
        <x:v>5</x:v>
      </x:c>
      <x:c r="G1202" s="36" t="n">
        <x:v>6</x:v>
      </x:c>
      <x:c r="H1202" s="36" t="n">
        <x:v>2</x:v>
      </x:c>
      <x:c r="I1202" s="34" t="str">
        <x:v>loaded</x:v>
      </x:c>
      <x:c r="J1202" s="34" t="str">
        <x:v>loaded</x:v>
      </x:c>
      <x:c r="K1202" s="36" t="n">
        <x:v>0</x:v>
      </x:c>
      <x:c r="L1202" s="34" t="str">
        <x:v>initial</x:v>
      </x:c>
      <x:c r="M1202" s="34" t="str">
        <x:v>article1-unified-v4-2-fb3f101b-20260903-000401-default-f05-p6-ehcache-2-loaded</x:v>
      </x:c>
      <x:c r="N1202" s="38" t="n">
        <x:v>46268.08762319444</x:v>
      </x:c>
      <x:c r="O1202" s="36" t="n">
        <x:v>0</x:v>
      </x:c>
      <x:c r="P1202" s="43" t="n">
        <x:v>210836480</x:v>
      </x:c>
      <x:c r="Q1202" s="43" t="n">
        <x:v>268435456</x:v>
      </x:c>
      <x:c r="R1202" s="43" t="n">
        <x:v>473362432</x:v>
      </x:c>
      <x:c r="S1202" s="36" t="n">
        <x:v>4</x:v>
      </x:c>
      <x:c r="T1202" s="44" t="str">
        <x:v>0x000000002d1177b8  0x000000002d003818  0x000075361c115790    4861  22731776  22706256  org.apache.catalina.loader.ParallelWebappClassLoader | 0x000000002d1177b8  0x000000002d003818  0x00007535fc0ff8d0    4868  22662144  22647752  org.apache.catalina.loader.ParallelWebappClassLoader | 0x000000002d1177b8  0x000000002d003818  0x00007535e0049ce0    4853  22676480  22666280  org.apache.catalina.loader.ParallelWebappClassLoader | 0x000000002d1177b8  0x000000002d003818  0x00007536a45f6770       0         0         0  org.apache.catalina.loader.ParallelWebappClassLoader</x:v>
      </x:c>
      <x:c r="U1202" s="36" t="n">
        <x:v>28</x:v>
      </x:c>
      <x:c r="V1202" s="36" t="n">
        <x:v>0</x:v>
      </x:c>
      <x:c r="W1202" s="44"/>
      <x:c r="X1202" s="36"/>
      <x:c r="Y1202" s="36"/>
      <x:c r="Z1202" s="44"/>
      <x:c r="AA1202" s="49"/>
      <x:c r="AB1202" s="43"/>
      <x:c r="AC1202" s="34"/>
      <x:c r="AD1202" s="34"/>
      <x:c r="AE1202" s="34"/>
      <x:c r="AF1202" s="34"/>
      <x:c r="AG1202" s="34"/>
      <x:c r="AH1202" s="34"/>
      <x:c r="AI1202" s="34"/>
    </x:row>
    <x:row r="1203">
      <x:c r="A1203" s="34" t="str">
        <x:v>article1-unified-v4-2-fb3f101b-20260903-000401-default-f05-p6-ehcache</x:v>
      </x:c>
      <x:c r="B1203" s="34" t="str">
        <x:v>default</x:v>
      </x:c>
      <x:c r="C1203" s="34" t="str">
        <x:v>ehcache</x:v>
      </x:c>
      <x:c r="D1203" s="34" t="str">
        <x:v>ehcache</x:v>
      </x:c>
      <x:c r="E1203" s="36" t="n">
        <x:v>5</x:v>
      </x:c>
      <x:c r="F1203" s="36" t="n">
        <x:v>5</x:v>
      </x:c>
      <x:c r="G1203" s="36" t="n">
        <x:v>6</x:v>
      </x:c>
      <x:c r="H1203" s="36" t="n">
        <x:v>2</x:v>
      </x:c>
      <x:c r="I1203" s="34" t="str">
        <x:v>afterUndeployEarly</x:v>
      </x:c>
      <x:c r="J1203" s="34" t="str">
        <x:v>after-undeploy-early</x:v>
      </x:c>
      <x:c r="K1203" s="36" t="n">
        <x:v>1</x:v>
      </x:c>
      <x:c r="L1203" s="34" t="str">
        <x:v>early</x:v>
      </x:c>
      <x:c r="M1203" s="34" t="str">
        <x:v>article1-unified-v4-2-fb3f101b-20260903-000401-default-f05-p6-ehcache-2-after-undeploy-early-2s</x:v>
      </x:c>
      <x:c r="N1203" s="38" t="n">
        <x:v>46268.08770696759</x:v>
      </x:c>
      <x:c r="O1203" s="36"/>
      <x:c r="P1203" s="43"/>
      <x:c r="Q1203" s="43"/>
      <x:c r="R1203" s="43"/>
      <x:c r="S1203" s="36"/>
      <x:c r="T1203" s="44"/>
      <x:c r="U1203" s="36" t="n">
        <x:v>27</x:v>
      </x:c>
      <x:c r="V1203" s="36" t="n">
        <x:v>0</x:v>
      </x:c>
      <x:c r="W1203" s="44"/>
      <x:c r="X1203" s="36"/>
      <x:c r="Y1203" s="36"/>
      <x:c r="Z1203" s="44"/>
      <x:c r="AA1203" s="49"/>
      <x:c r="AB1203" s="43" t="n">
        <x:v>2</x:v>
      </x:c>
      <x:c r="AC1203" s="34"/>
      <x:c r="AD1203" s="34"/>
      <x:c r="AE1203" s="34" t="str">
        <x:v>article1-unified-v4-2-fb3f101b-20260903-000401-default-f05-p6-ehcache-2-after-undeploy-early-2s-thread-dump.txt</x:v>
      </x:c>
      <x:c r="AF1203" s="34" t="str">
        <x:v>article1-unified-v4-2-fb3f101b-20260903-000401-default-f05-p6-ehcache-2-after-undeploy-early-tomcat-log.txt</x:v>
      </x:c>
      <x:c r="AG1203" s="34"/>
      <x:c r="AH1203" s="34"/>
      <x:c r="AI1203" s="34"/>
    </x:row>
    <x:row r="1204">
      <x:c r="A1204" s="34" t="str">
        <x:v>article1-unified-v4-2-fb3f101b-20260903-000401-default-f05-p6-ehcache</x:v>
      </x:c>
      <x:c r="B1204" s="34" t="str">
        <x:v>default</x:v>
      </x:c>
      <x:c r="C1204" s="34" t="str">
        <x:v>ehcache</x:v>
      </x:c>
      <x:c r="D1204" s="34" t="str">
        <x:v>ehcache</x:v>
      </x:c>
      <x:c r="E1204" s="36" t="n">
        <x:v>5</x:v>
      </x:c>
      <x:c r="F1204" s="36" t="n">
        <x:v>5</x:v>
      </x:c>
      <x:c r="G1204" s="36" t="n">
        <x:v>6</x:v>
      </x:c>
      <x:c r="H1204" s="36" t="n">
        <x:v>2</x:v>
      </x:c>
      <x:c r="I1204" s="34" t="str">
        <x:v>afterUndeploy</x:v>
      </x:c>
      <x:c r="J1204" s="34" t="str">
        <x:v>after-undeploy-final</x:v>
      </x:c>
      <x:c r="K1204" s="36" t="n">
        <x:v>1</x:v>
      </x:c>
      <x:c r="L1204" s="34" t="str">
        <x:v>final</x:v>
      </x:c>
      <x:c r="M1204" s="34" t="str">
        <x:v>article1-unified-v4-2-fb3f101b-20260903-000401-default-f05-p6-ehcache-2-after-undeploy-final-10s</x:v>
      </x:c>
      <x:c r="N1204" s="38" t="n">
        <x:v>46268.08786238426</x:v>
      </x:c>
      <x:c r="O1204" s="36" t="n">
        <x:v>2</x:v>
      </x:c>
      <x:c r="P1204" s="43" t="n">
        <x:v>16114688</x:v>
      </x:c>
      <x:c r="Q1204" s="43" t="n">
        <x:v>268435456</x:v>
      </x:c>
      <x:c r="R1204" s="43" t="n">
        <x:v>425123840</x:v>
      </x:c>
      <x:c r="S1204" s="36" t="n">
        <x:v>2</x:v>
      </x:c>
      <x:c r="T1204" s="44" t="str">
        <x:v>0x000000002d1177b8  0x000000002d003818  0x00007535e0049ce0    4863  22725632  22712032  org.apache.catalina.loader.ParallelWebappClassLoader | 0x000000002d1177b8  0x000000002d003818  0x00007536a45f6770       0         0         0  org.apache.catalina.loader.ParallelWebappClassLoader</x:v>
      </x:c>
      <x:c r="U1204" s="36" t="n">
        <x:v>27</x:v>
      </x:c>
      <x:c r="V1204" s="36" t="n">
        <x:v>0</x:v>
      </x:c>
      <x:c r="W1204" s="44"/>
      <x:c r="X1204" s="36" t="n">
        <x:v>1</x:v>
      </x:c>
      <x:c r="Y1204" s="36" t="n">
        <x:v>1</x:v>
      </x:c>
      <x:c r="Z1204" s="44" t="str">
        <x:v>/ehcache</x:v>
      </x:c>
      <x:c r="AA1204" s="45" t="b">
        <x:v>1</x:v>
      </x:c>
      <x:c r="AB1204" s="43"/>
      <x:c r="AC1204" s="34" t="str">
        <x:v>article1-unified-v4-2-fb3f101b-20260903-000401-default-f05-p6-ehcache-2-after-undeploy-final-10s-heap-info.txt</x:v>
      </x:c>
      <x:c r="AD1204" s="34" t="str">
        <x:v>article1-unified-v4-2-fb3f101b-20260903-000401-default-f05-p6-ehcache-2-after-undeploy-final-10s-classloader-stats.txt</x:v>
      </x:c>
      <x:c r="AE1204" s="34" t="str">
        <x:v>article1-unified-v4-2-fb3f101b-20260903-000401-default-f05-p6-ehcache-2-after-undeploy-final-10s-thread-dump.txt</x:v>
      </x:c>
      <x:c r="AF1204" s="34"/>
      <x:c r="AG1204" s="34" t="str">
        <x:v>article1-unified-v4-2-fb3f101b-20260903-000401-default-f05-p6-ehcache-2-after-undeploy-final-10s-native-memory.txt</x:v>
      </x:c>
      <x:c r="AH1204" s="34" t="str">
        <x:v>article1-unified-v4-2-fb3f101b-20260903-000401-default-f05-p6-ehcache-2-after-undeploy-final-10s-class-histogram.txt</x:v>
      </x:c>
      <x:c r="AI1204" s="34" t="str">
        <x:v>article1-unified-v4-2-fb3f101b-20260903-000401-default-f05-p6-ehcache-2-after-undeploy-tomcat-findleaks.txt</x:v>
      </x:c>
    </x:row>
    <x:row r="1205">
      <x:c r="A1205" s="34" t="str">
        <x:v>article1-unified-v4-2-fb3f101b-20260903-000401-default-f05-p6-ehcache</x:v>
      </x:c>
      <x:c r="B1205" s="34" t="str">
        <x:v>default</x:v>
      </x:c>
      <x:c r="C1205" s="34" t="str">
        <x:v>ehcache</x:v>
      </x:c>
      <x:c r="D1205" s="34" t="str">
        <x:v>ehcache</x:v>
      </x:c>
      <x:c r="E1205" s="36" t="n">
        <x:v>5</x:v>
      </x:c>
      <x:c r="F1205" s="36" t="n">
        <x:v>5</x:v>
      </x:c>
      <x:c r="G1205" s="36" t="n">
        <x:v>6</x:v>
      </x:c>
      <x:c r="H1205" s="36" t="n">
        <x:v>2</x:v>
      </x:c>
      <x:c r="I1205" s="34" t="str">
        <x:v>redeployedLoaded</x:v>
      </x:c>
      <x:c r="J1205" s="34" t="str">
        <x:v>redeployed-loaded</x:v>
      </x:c>
      <x:c r="K1205" s="36" t="n">
        <x:v>0</x:v>
      </x:c>
      <x:c r="L1205" s="34" t="str">
        <x:v>redeploy</x:v>
      </x:c>
      <x:c r="M1205" s="34" t="str">
        <x:v>article1-unified-v4-2-fb3f101b-20260903-000401-default-f05-p6-ehcache-2-redeployed-loaded</x:v>
      </x:c>
      <x:c r="N1205" s="38" t="n">
        <x:v>46268.088119594904</x:v>
      </x:c>
      <x:c r="O1205" s="36" t="n">
        <x:v>0</x:v>
      </x:c>
      <x:c r="P1205" s="43" t="n">
        <x:v>206947328</x:v>
      </x:c>
      <x:c r="Q1205" s="43" t="n">
        <x:v>268435456</x:v>
      </x:c>
      <x:c r="R1205" s="43" t="n">
        <x:v>445111296</x:v>
      </x:c>
      <x:c r="S1205" s="36" t="n">
        <x:v>3</x:v>
      </x:c>
      <x:c r="T1205" s="44" t="str">
        <x:v>0x000000002d1177b8  0x000000002d003818  0x00007535e0049ce0    4863  22725632  22712032  org.apache.catalina.loader.ParallelWebappClassLoader | 0x000000002d1177b8  0x000000002d003818  0x00007536a45f6770       0         0         0  org.apache.catalina.loader.ParallelWebappClassLoader | 0x000000002d1177b8  0x000000002d003818  0x00007535ac01c280    4851  22674432  22649800  org.apache.catalina.loader.ParallelWebappClassLoader</x:v>
      </x:c>
      <x:c r="U1205" s="36" t="n">
        <x:v>27</x:v>
      </x:c>
      <x:c r="V1205" s="36" t="n">
        <x:v>0</x:v>
      </x:c>
      <x:c r="W1205" s="44"/>
      <x:c r="X1205" s="36"/>
      <x:c r="Y1205" s="36"/>
      <x:c r="Z1205" s="44"/>
      <x:c r="AA1205" s="49"/>
      <x:c r="AB1205" s="43"/>
      <x:c r="AC1205" s="34"/>
      <x:c r="AD1205" s="34"/>
      <x:c r="AE1205" s="34"/>
      <x:c r="AF1205" s="34"/>
      <x:c r="AG1205" s="34"/>
      <x:c r="AH1205" s="34"/>
      <x:c r="AI1205" s="34"/>
    </x:row>
    <x:row r="1206">
      <x:c r="A1206" s="34" t="str">
        <x:v>article1-unified-v4-2-fb3f101b-20260903-000401-default-f05-p6-ehcache</x:v>
      </x:c>
      <x:c r="B1206" s="34" t="str">
        <x:v>default</x:v>
      </x:c>
      <x:c r="C1206" s="34" t="str">
        <x:v>ehcache</x:v>
      </x:c>
      <x:c r="D1206" s="34" t="str">
        <x:v>ehcache</x:v>
      </x:c>
      <x:c r="E1206" s="36" t="n">
        <x:v>5</x:v>
      </x:c>
      <x:c r="F1206" s="36" t="n">
        <x:v>5</x:v>
      </x:c>
      <x:c r="G1206" s="36" t="n">
        <x:v>6</x:v>
      </x:c>
      <x:c r="H1206" s="36" t="n">
        <x:v>2</x:v>
      </x:c>
      <x:c r="I1206" s="34" t="str">
        <x:v>afterFinalUndeployEarly</x:v>
      </x:c>
      <x:c r="J1206" s="34" t="str">
        <x:v>after-final-undeploy-early</x:v>
      </x:c>
      <x:c r="K1206" s="36" t="n">
        <x:v>2</x:v>
      </x:c>
      <x:c r="L1206" s="34" t="str">
        <x:v>early</x:v>
      </x:c>
      <x:c r="M1206" s="34" t="str">
        <x:v>article1-unified-v4-2-fb3f101b-20260903-000401-default-f05-p6-ehcache-2-after-final-undeploy-early-2s</x:v>
      </x:c>
      <x:c r="N1206" s="38" t="n">
        <x:v>46268.08820236111</x:v>
      </x:c>
      <x:c r="O1206" s="36"/>
      <x:c r="P1206" s="43"/>
      <x:c r="Q1206" s="43"/>
      <x:c r="R1206" s="43"/>
      <x:c r="S1206" s="36"/>
      <x:c r="T1206" s="44"/>
      <x:c r="U1206" s="36" t="n">
        <x:v>27</x:v>
      </x:c>
      <x:c r="V1206" s="36" t="n">
        <x:v>0</x:v>
      </x:c>
      <x:c r="W1206" s="44"/>
      <x:c r="X1206" s="36"/>
      <x:c r="Y1206" s="36"/>
      <x:c r="Z1206" s="44"/>
      <x:c r="AA1206" s="49"/>
      <x:c r="AB1206" s="43" t="n">
        <x:v>2</x:v>
      </x:c>
      <x:c r="AC1206" s="34"/>
      <x:c r="AD1206" s="34"/>
      <x:c r="AE1206" s="34" t="str">
        <x:v>article1-unified-v4-2-fb3f101b-20260903-000401-default-f05-p6-ehcache-2-after-final-undeploy-early-2s-thread-dump.txt</x:v>
      </x:c>
      <x:c r="AF1206" s="34" t="str">
        <x:v>article1-unified-v4-2-fb3f101b-20260903-000401-default-f05-p6-ehcache-2-after-final-undeploy-early-tomcat-log.txt</x:v>
      </x:c>
      <x:c r="AG1206" s="34"/>
      <x:c r="AH1206" s="34"/>
      <x:c r="AI1206" s="34"/>
    </x:row>
    <x:row r="1207">
      <x:c r="A1207" s="34" t="str">
        <x:v>article1-unified-v4-2-fb3f101b-20260903-000401-default-f05-p6-ehcache</x:v>
      </x:c>
      <x:c r="B1207" s="34" t="str">
        <x:v>default</x:v>
      </x:c>
      <x:c r="C1207" s="34" t="str">
        <x:v>ehcache</x:v>
      </x:c>
      <x:c r="D1207" s="34" t="str">
        <x:v>ehcache</x:v>
      </x:c>
      <x:c r="E1207" s="36" t="n">
        <x:v>5</x:v>
      </x:c>
      <x:c r="F1207" s="36" t="n">
        <x:v>5</x:v>
      </x:c>
      <x:c r="G1207" s="36" t="n">
        <x:v>6</x:v>
      </x:c>
      <x:c r="H1207" s="36" t="n">
        <x:v>2</x:v>
      </x:c>
      <x:c r="I1207" s="34" t="str">
        <x:v>afterFinalUndeploy</x:v>
      </x:c>
      <x:c r="J1207" s="34" t="str">
        <x:v>after-final-undeploy-final</x:v>
      </x:c>
      <x:c r="K1207" s="36" t="n">
        <x:v>2</x:v>
      </x:c>
      <x:c r="L1207" s="34" t="str">
        <x:v>final</x:v>
      </x:c>
      <x:c r="M1207" s="34" t="str">
        <x:v>article1-unified-v4-2-fb3f101b-20260903-000401-default-f05-p6-ehcache-2-after-final-undeploy-final-10s</x:v>
      </x:c>
      <x:c r="N1207" s="38" t="n">
        <x:v>46268.08835834491</x:v>
      </x:c>
      <x:c r="O1207" s="36" t="n">
        <x:v>2</x:v>
      </x:c>
      <x:c r="P1207" s="43" t="n">
        <x:v>16008192</x:v>
      </x:c>
      <x:c r="Q1207" s="43" t="n">
        <x:v>268435456</x:v>
      </x:c>
      <x:c r="R1207" s="43" t="n">
        <x:v>421945344</x:v>
      </x:c>
      <x:c r="S1207" s="36" t="n">
        <x:v>2</x:v>
      </x:c>
      <x:c r="T1207" s="44" t="str">
        <x:v>0x000000002d1177b8  0x000000002d003818  0x00007535ac01c280    4861  22707200  22696264  org.apache.catalina.loader.ParallelWebappClassLoader | 0x000000002d1177b8  0x000000002d003818  0x00007536a45f6770       0         0         0  org.apache.catalina.loader.ParallelWebappClassLoader</x:v>
      </x:c>
      <x:c r="U1207" s="36" t="n">
        <x:v>27</x:v>
      </x:c>
      <x:c r="V1207" s="36" t="n">
        <x:v>0</x:v>
      </x:c>
      <x:c r="W1207" s="44"/>
      <x:c r="X1207" s="36" t="n">
        <x:v>1</x:v>
      </x:c>
      <x:c r="Y1207" s="36" t="n">
        <x:v>1</x:v>
      </x:c>
      <x:c r="Z1207" s="44" t="str">
        <x:v>/ehcache</x:v>
      </x:c>
      <x:c r="AA1207" s="45" t="b">
        <x:v>1</x:v>
      </x:c>
      <x:c r="AB1207" s="43"/>
      <x:c r="AC1207" s="34" t="str">
        <x:v>article1-unified-v4-2-fb3f101b-20260903-000401-default-f05-p6-ehcache-2-after-final-undeploy-final-10s-heap-info.txt</x:v>
      </x:c>
      <x:c r="AD1207" s="34" t="str">
        <x:v>article1-unified-v4-2-fb3f101b-20260903-000401-default-f05-p6-ehcache-2-after-final-undeploy-final-10s-classloader-stats.txt</x:v>
      </x:c>
      <x:c r="AE1207" s="34" t="str">
        <x:v>article1-unified-v4-2-fb3f101b-20260903-000401-default-f05-p6-ehcache-2-after-final-undeploy-final-10s-thread-dump.txt</x:v>
      </x:c>
      <x:c r="AF1207" s="34"/>
      <x:c r="AG1207" s="34" t="str">
        <x:v>article1-unified-v4-2-fb3f101b-20260903-000401-default-f05-p6-ehcache-2-after-final-undeploy-final-10s-native-memory.txt</x:v>
      </x:c>
      <x:c r="AH1207" s="34" t="str">
        <x:v>article1-unified-v4-2-fb3f101b-20260903-000401-default-f05-p6-ehcache-2-after-final-undeploy-final-10s-class-histogram.txt</x:v>
      </x:c>
      <x:c r="AI1207" s="34" t="str">
        <x:v>article1-unified-v4-2-fb3f101b-20260903-000401-default-f05-p6-ehcache-2-after-final-undeploy-tomcat-findleaks.txt</x:v>
      </x:c>
    </x:row>
    <x:row r="1208">
      <x:c r="A1208" s="34" t="str">
        <x:v>article1-unified-v4-2-fb3f101b-20260903-000401-default-f05-p6-ehcache</x:v>
      </x:c>
      <x:c r="B1208" s="34" t="str">
        <x:v>default</x:v>
      </x:c>
      <x:c r="C1208" s="34" t="str">
        <x:v>ehcache</x:v>
      </x:c>
      <x:c r="D1208" s="34" t="str">
        <x:v>ehcache</x:v>
      </x:c>
      <x:c r="E1208" s="36" t="n">
        <x:v>5</x:v>
      </x:c>
      <x:c r="F1208" s="36" t="n">
        <x:v>5</x:v>
      </x:c>
      <x:c r="G1208" s="36" t="n">
        <x:v>6</x:v>
      </x:c>
      <x:c r="H1208" s="36" t="n">
        <x:v>3</x:v>
      </x:c>
      <x:c r="I1208" s="34" t="str">
        <x:v>baseline</x:v>
      </x:c>
      <x:c r="J1208" s="34" t="str">
        <x:v>cycle-baseline</x:v>
      </x:c>
      <x:c r="K1208" s="36" t="n">
        <x:v>0</x:v>
      </x:c>
      <x:c r="L1208" s="34" t="str">
        <x:v>baseline</x:v>
      </x:c>
      <x:c r="M1208" s="34" t="str">
        <x:v>article1-unified-v4-2-fb3f101b-20260903-000401-default-f05-p6-ehcache-3-baseline</x:v>
      </x:c>
      <x:c r="N1208" s="38" t="n">
        <x:v>46268.08840525463</x:v>
      </x:c>
      <x:c r="O1208" s="36" t="n">
        <x:v>0</x:v>
      </x:c>
      <x:c r="P1208" s="43" t="n">
        <x:v>16008192</x:v>
      </x:c>
      <x:c r="Q1208" s="43" t="n">
        <x:v>268435456</x:v>
      </x:c>
      <x:c r="R1208" s="43" t="n">
        <x:v>421420032</x:v>
      </x:c>
      <x:c r="S1208" s="36" t="n">
        <x:v>2</x:v>
      </x:c>
      <x:c r="T1208" s="44" t="str">
        <x:v>0x000000002d1177b8  0x000000002d003818  0x00007535ac01c280    4861  22707200  22696264  org.apache.catalina.loader.ParallelWebappClassLoader | 0x000000002d1177b8  0x000000002d003818  0x00007536a45f6770       0         0         0  org.apache.catalina.loader.ParallelWebappClassLoader</x:v>
      </x:c>
      <x:c r="U1208" s="36" t="n">
        <x:v>27</x:v>
      </x:c>
      <x:c r="V1208" s="36" t="n">
        <x:v>0</x:v>
      </x:c>
      <x:c r="W1208" s="44"/>
      <x:c r="X1208" s="36"/>
      <x:c r="Y1208" s="36"/>
      <x:c r="Z1208" s="44"/>
      <x:c r="AA1208" s="49"/>
      <x:c r="AB1208" s="43"/>
      <x:c r="AC1208" s="34" t="str">
        <x:v>article1-unified-v4-2-fb3f101b-20260903-000401-default-f05-p6-ehcache-3-baseline-heap-info.txt</x:v>
      </x:c>
      <x:c r="AD1208" s="34" t="str">
        <x:v>article1-unified-v4-2-fb3f101b-20260903-000401-default-f05-p6-ehcache-3-baseline-classloader-stats.txt</x:v>
      </x:c>
      <x:c r="AE1208" s="34" t="str">
        <x:v>article1-unified-v4-2-fb3f101b-20260903-000401-default-f05-p6-ehcache-3-baseline-thread-dump.txt</x:v>
      </x:c>
      <x:c r="AF1208" s="34"/>
      <x:c r="AG1208" s="34" t="str">
        <x:v>article1-unified-v4-2-fb3f101b-20260903-000401-default-f05-p6-ehcache-3-baseline-native-memory.txt</x:v>
      </x:c>
      <x:c r="AH1208" s="34"/>
      <x:c r="AI1208" s="34"/>
    </x:row>
    <x:row r="1209">
      <x:c r="A1209" s="34" t="str">
        <x:v>article1-unified-v4-2-fb3f101b-20260903-000401-default-f05-p6-ehcache</x:v>
      </x:c>
      <x:c r="B1209" s="34" t="str">
        <x:v>default</x:v>
      </x:c>
      <x:c r="C1209" s="34" t="str">
        <x:v>ehcache</x:v>
      </x:c>
      <x:c r="D1209" s="34" t="str">
        <x:v>ehcache</x:v>
      </x:c>
      <x:c r="E1209" s="36" t="n">
        <x:v>5</x:v>
      </x:c>
      <x:c r="F1209" s="36" t="n">
        <x:v>5</x:v>
      </x:c>
      <x:c r="G1209" s="36" t="n">
        <x:v>6</x:v>
      </x:c>
      <x:c r="H1209" s="36" t="n">
        <x:v>3</x:v>
      </x:c>
      <x:c r="I1209" s="34" t="str">
        <x:v>deployedIdle</x:v>
      </x:c>
      <x:c r="J1209" s="34" t="str">
        <x:v>deployed-idle</x:v>
      </x:c>
      <x:c r="K1209" s="36" t="n">
        <x:v>0</x:v>
      </x:c>
      <x:c r="L1209" s="34" t="str">
        <x:v>initial</x:v>
      </x:c>
      <x:c r="M1209" s="34" t="str">
        <x:v>article1-unified-v4-2-fb3f101b-20260903-000401-default-f05-p6-ehcache-3-deployed-idle</x:v>
      </x:c>
      <x:c r="N1209" s="38" t="n">
        <x:v>46268.088505266205</x:v>
      </x:c>
      <x:c r="O1209" s="36" t="n">
        <x:v>0</x:v>
      </x:c>
      <x:c r="P1209" s="43" t="n">
        <x:v>167263232</x:v>
      </x:c>
      <x:c r="Q1209" s="43" t="n">
        <x:v>268435456</x:v>
      </x:c>
      <x:c r="R1209" s="43" t="n">
        <x:v>460184576</x:v>
      </x:c>
      <x:c r="S1209" s="36" t="n">
        <x:v>3</x:v>
      </x:c>
      <x:c r="T1209" s="44" t="str">
        <x:v>0x000000002d1177b8  0x000000002d003818  0x00007535ac01c280    4861  22707200  22696264  org.apache.catalina.loader.ParallelWebappClassLoader | 0x000000002d1177b8  0x000000002d003818  0x00007535ac40cf20    4091  19444736  19428400  org.apache.catalina.loader.ParallelWebappClassLoader | 0x000000002d1177b8  0x000000002d003818  0x00007536a45f6770       0         0         0  org.apache.catalina.loader.ParallelWebappClassLoader</x:v>
      </x:c>
      <x:c r="U1209" s="36" t="n">
        <x:v>27</x:v>
      </x:c>
      <x:c r="V1209" s="36" t="n">
        <x:v>0</x:v>
      </x:c>
      <x:c r="W1209" s="44"/>
      <x:c r="X1209" s="36"/>
      <x:c r="Y1209" s="36"/>
      <x:c r="Z1209" s="44"/>
      <x:c r="AA1209" s="49"/>
      <x:c r="AB1209" s="43"/>
      <x:c r="AC1209" s="34"/>
      <x:c r="AD1209" s="34"/>
      <x:c r="AE1209" s="34"/>
      <x:c r="AF1209" s="34"/>
      <x:c r="AG1209" s="34"/>
      <x:c r="AH1209" s="34"/>
      <x:c r="AI1209" s="34"/>
    </x:row>
    <x:row r="1210">
      <x:c r="A1210" s="34" t="str">
        <x:v>article1-unified-v4-2-fb3f101b-20260903-000401-default-f05-p6-ehcache</x:v>
      </x:c>
      <x:c r="B1210" s="34" t="str">
        <x:v>default</x:v>
      </x:c>
      <x:c r="C1210" s="34" t="str">
        <x:v>ehcache</x:v>
      </x:c>
      <x:c r="D1210" s="34" t="str">
        <x:v>ehcache</x:v>
      </x:c>
      <x:c r="E1210" s="36" t="n">
        <x:v>5</x:v>
      </x:c>
      <x:c r="F1210" s="36" t="n">
        <x:v>5</x:v>
      </x:c>
      <x:c r="G1210" s="36" t="n">
        <x:v>6</x:v>
      </x:c>
      <x:c r="H1210" s="36" t="n">
        <x:v>3</x:v>
      </x:c>
      <x:c r="I1210" s="34" t="str">
        <x:v>loaded</x:v>
      </x:c>
      <x:c r="J1210" s="34" t="str">
        <x:v>loaded</x:v>
      </x:c>
      <x:c r="K1210" s="36" t="n">
        <x:v>0</x:v>
      </x:c>
      <x:c r="L1210" s="34" t="str">
        <x:v>initial</x:v>
      </x:c>
      <x:c r="M1210" s="34" t="str">
        <x:v>article1-unified-v4-2-fb3f101b-20260903-000401-default-f05-p6-ehcache-3-loaded</x:v>
      </x:c>
      <x:c r="N1210" s="38" t="n">
        <x:v>46268.08865621528</x:v>
      </x:c>
      <x:c r="O1210" s="36" t="n">
        <x:v>0</x:v>
      </x:c>
      <x:c r="P1210" s="43" t="n">
        <x:v>213230592</x:v>
      </x:c>
      <x:c r="Q1210" s="43" t="n">
        <x:v>268435456</x:v>
      </x:c>
      <x:c r="R1210" s="43" t="n">
        <x:v>446282752</x:v>
      </x:c>
      <x:c r="S1210" s="36" t="n">
        <x:v>3</x:v>
      </x:c>
      <x:c r="T1210" s="44" t="str">
        <x:v>0x000000002d1177b8  0x000000002d003818  0x00007535ac01c280    4861  22707200  22696264  org.apache.catalina.loader.ParallelWebappClassLoader | 0x000000002d1177b8  0x000000002d003818  0x00007536a45f6770       0         0         0  org.apache.catalina.loader.ParallelWebappClassLoader | 0x000000002d1177b8  0x000000002d003818  0x00007535ac40cf20    4855  22688768  22666384  org.apache.catalina.loader.ParallelWebappClassLoader</x:v>
      </x:c>
      <x:c r="U1210" s="36" t="n">
        <x:v>28</x:v>
      </x:c>
      <x:c r="V1210" s="36" t="n">
        <x:v>0</x:v>
      </x:c>
      <x:c r="W1210" s="44"/>
      <x:c r="X1210" s="36"/>
      <x:c r="Y1210" s="36"/>
      <x:c r="Z1210" s="44"/>
      <x:c r="AA1210" s="49"/>
      <x:c r="AB1210" s="43"/>
      <x:c r="AC1210" s="34"/>
      <x:c r="AD1210" s="34"/>
      <x:c r="AE1210" s="34"/>
      <x:c r="AF1210" s="34"/>
      <x:c r="AG1210" s="34"/>
      <x:c r="AH1210" s="34"/>
      <x:c r="AI1210" s="34"/>
    </x:row>
    <x:row r="1211">
      <x:c r="A1211" s="34" t="str">
        <x:v>article1-unified-v4-2-fb3f101b-20260903-000401-default-f05-p6-ehcache</x:v>
      </x:c>
      <x:c r="B1211" s="34" t="str">
        <x:v>default</x:v>
      </x:c>
      <x:c r="C1211" s="34" t="str">
        <x:v>ehcache</x:v>
      </x:c>
      <x:c r="D1211" s="34" t="str">
        <x:v>ehcache</x:v>
      </x:c>
      <x:c r="E1211" s="36" t="n">
        <x:v>5</x:v>
      </x:c>
      <x:c r="F1211" s="36" t="n">
        <x:v>5</x:v>
      </x:c>
      <x:c r="G1211" s="36" t="n">
        <x:v>6</x:v>
      </x:c>
      <x:c r="H1211" s="36" t="n">
        <x:v>3</x:v>
      </x:c>
      <x:c r="I1211" s="34" t="str">
        <x:v>afterUndeployEarly</x:v>
      </x:c>
      <x:c r="J1211" s="34" t="str">
        <x:v>after-undeploy-early</x:v>
      </x:c>
      <x:c r="K1211" s="36" t="n">
        <x:v>1</x:v>
      </x:c>
      <x:c r="L1211" s="34" t="str">
        <x:v>early</x:v>
      </x:c>
      <x:c r="M1211" s="34" t="str">
        <x:v>article1-unified-v4-2-fb3f101b-20260903-000401-default-f05-p6-ehcache-3-after-undeploy-early-2s</x:v>
      </x:c>
      <x:c r="N1211" s="38" t="n">
        <x:v>46268.088739363426</x:v>
      </x:c>
      <x:c r="O1211" s="36"/>
      <x:c r="P1211" s="43"/>
      <x:c r="Q1211" s="43"/>
      <x:c r="R1211" s="43"/>
      <x:c r="S1211" s="36"/>
      <x:c r="T1211" s="44"/>
      <x:c r="U1211" s="36" t="n">
        <x:v>27</x:v>
      </x:c>
      <x:c r="V1211" s="36" t="n">
        <x:v>0</x:v>
      </x:c>
      <x:c r="W1211" s="44"/>
      <x:c r="X1211" s="36"/>
      <x:c r="Y1211" s="36"/>
      <x:c r="Z1211" s="44"/>
      <x:c r="AA1211" s="49"/>
      <x:c r="AB1211" s="43" t="n">
        <x:v>2</x:v>
      </x:c>
      <x:c r="AC1211" s="34"/>
      <x:c r="AD1211" s="34"/>
      <x:c r="AE1211" s="34" t="str">
        <x:v>article1-unified-v4-2-fb3f101b-20260903-000401-default-f05-p6-ehcache-3-after-undeploy-early-2s-thread-dump.txt</x:v>
      </x:c>
      <x:c r="AF1211" s="34" t="str">
        <x:v>article1-unified-v4-2-fb3f101b-20260903-000401-default-f05-p6-ehcache-3-after-undeploy-early-tomcat-log.txt</x:v>
      </x:c>
      <x:c r="AG1211" s="34"/>
      <x:c r="AH1211" s="34"/>
      <x:c r="AI1211" s="34"/>
    </x:row>
    <x:row r="1212">
      <x:c r="A1212" s="34" t="str">
        <x:v>article1-unified-v4-2-fb3f101b-20260903-000401-default-f05-p6-ehcache</x:v>
      </x:c>
      <x:c r="B1212" s="34" t="str">
        <x:v>default</x:v>
      </x:c>
      <x:c r="C1212" s="34" t="str">
        <x:v>ehcache</x:v>
      </x:c>
      <x:c r="D1212" s="34" t="str">
        <x:v>ehcache</x:v>
      </x:c>
      <x:c r="E1212" s="36" t="n">
        <x:v>5</x:v>
      </x:c>
      <x:c r="F1212" s="36" t="n">
        <x:v>5</x:v>
      </x:c>
      <x:c r="G1212" s="36" t="n">
        <x:v>6</x:v>
      </x:c>
      <x:c r="H1212" s="36" t="n">
        <x:v>3</x:v>
      </x:c>
      <x:c r="I1212" s="34" t="str">
        <x:v>afterUndeploy</x:v>
      </x:c>
      <x:c r="J1212" s="34" t="str">
        <x:v>after-undeploy-final</x:v>
      </x:c>
      <x:c r="K1212" s="36" t="n">
        <x:v>1</x:v>
      </x:c>
      <x:c r="L1212" s="34" t="str">
        <x:v>final</x:v>
      </x:c>
      <x:c r="M1212" s="34" t="str">
        <x:v>article1-unified-v4-2-fb3f101b-20260903-000401-default-f05-p6-ehcache-3-after-undeploy-final-10s</x:v>
      </x:c>
      <x:c r="N1212" s="38" t="n">
        <x:v>46268.08889675926</x:v>
      </x:c>
      <x:c r="O1212" s="36" t="n">
        <x:v>2</x:v>
      </x:c>
      <x:c r="P1212" s="43" t="n">
        <x:v>16027648</x:v>
      </x:c>
      <x:c r="Q1212" s="43" t="n">
        <x:v>268435456</x:v>
      </x:c>
      <x:c r="R1212" s="43" t="n">
        <x:v>427506688</x:v>
      </x:c>
      <x:c r="S1212" s="36" t="n">
        <x:v>2</x:v>
      </x:c>
      <x:c r="T1212" s="44" t="str">
        <x:v>0x000000002d1177b8  0x000000002d003818  0x00007536a45f6770       0         0         0  org.apache.catalina.loader.ParallelWebappClassLoader | 0x000000002d1177b8  0x000000002d003818  0x00007535ac40cf20    4865  22737920  22712144  org.apache.catalina.loader.ParallelWebappClassLoader</x:v>
      </x:c>
      <x:c r="U1212" s="36" t="n">
        <x:v>27</x:v>
      </x:c>
      <x:c r="V1212" s="36" t="n">
        <x:v>0</x:v>
      </x:c>
      <x:c r="W1212" s="44"/>
      <x:c r="X1212" s="36" t="n">
        <x:v>1</x:v>
      </x:c>
      <x:c r="Y1212" s="36" t="n">
        <x:v>1</x:v>
      </x:c>
      <x:c r="Z1212" s="44" t="str">
        <x:v>/ehcache</x:v>
      </x:c>
      <x:c r="AA1212" s="45" t="b">
        <x:v>1</x:v>
      </x:c>
      <x:c r="AB1212" s="43"/>
      <x:c r="AC1212" s="34" t="str">
        <x:v>article1-unified-v4-2-fb3f101b-20260903-000401-default-f05-p6-ehcache-3-after-undeploy-final-10s-heap-info.txt</x:v>
      </x:c>
      <x:c r="AD1212" s="34" t="str">
        <x:v>article1-unified-v4-2-fb3f101b-20260903-000401-default-f05-p6-ehcache-3-after-undeploy-final-10s-classloader-stats.txt</x:v>
      </x:c>
      <x:c r="AE1212" s="34" t="str">
        <x:v>article1-unified-v4-2-fb3f101b-20260903-000401-default-f05-p6-ehcache-3-after-undeploy-final-10s-thread-dump.txt</x:v>
      </x:c>
      <x:c r="AF1212" s="34"/>
      <x:c r="AG1212" s="34" t="str">
        <x:v>article1-unified-v4-2-fb3f101b-20260903-000401-default-f05-p6-ehcache-3-after-undeploy-final-10s-native-memory.txt</x:v>
      </x:c>
      <x:c r="AH1212" s="34" t="str">
        <x:v>article1-unified-v4-2-fb3f101b-20260903-000401-default-f05-p6-ehcache-3-after-undeploy-final-10s-class-histogram.txt</x:v>
      </x:c>
      <x:c r="AI1212" s="34" t="str">
        <x:v>article1-unified-v4-2-fb3f101b-20260903-000401-default-f05-p6-ehcache-3-after-undeploy-tomcat-findleaks.txt</x:v>
      </x:c>
    </x:row>
    <x:row r="1213">
      <x:c r="A1213" s="34" t="str">
        <x:v>article1-unified-v4-2-fb3f101b-20260903-000401-default-f05-p6-ehcache</x:v>
      </x:c>
      <x:c r="B1213" s="34" t="str">
        <x:v>default</x:v>
      </x:c>
      <x:c r="C1213" s="34" t="str">
        <x:v>ehcache</x:v>
      </x:c>
      <x:c r="D1213" s="34" t="str">
        <x:v>ehcache</x:v>
      </x:c>
      <x:c r="E1213" s="36" t="n">
        <x:v>5</x:v>
      </x:c>
      <x:c r="F1213" s="36" t="n">
        <x:v>5</x:v>
      </x:c>
      <x:c r="G1213" s="36" t="n">
        <x:v>6</x:v>
      </x:c>
      <x:c r="H1213" s="36" t="n">
        <x:v>3</x:v>
      </x:c>
      <x:c r="I1213" s="34" t="str">
        <x:v>redeployedLoaded</x:v>
      </x:c>
      <x:c r="J1213" s="34" t="str">
        <x:v>redeployed-loaded</x:v>
      </x:c>
      <x:c r="K1213" s="36" t="n">
        <x:v>0</x:v>
      </x:c>
      <x:c r="L1213" s="34" t="str">
        <x:v>redeploy</x:v>
      </x:c>
      <x:c r="M1213" s="34" t="str">
        <x:v>article1-unified-v4-2-fb3f101b-20260903-000401-default-f05-p6-ehcache-3-redeployed-loaded</x:v>
      </x:c>
      <x:c r="N1213" s="38" t="n">
        <x:v>46268.089157152775</x:v>
      </x:c>
      <x:c r="O1213" s="36" t="n">
        <x:v>0</x:v>
      </x:c>
      <x:c r="P1213" s="43" t="n">
        <x:v>211348480</x:v>
      </x:c>
      <x:c r="Q1213" s="43" t="n">
        <x:v>268435456</x:v>
      </x:c>
      <x:c r="R1213" s="43" t="n">
        <x:v>447217664</x:v>
      </x:c>
      <x:c r="S1213" s="36" t="n">
        <x:v>3</x:v>
      </x:c>
      <x:c r="T1213" s="44" t="str">
        <x:v>0x000000002d1177b8  0x000000002d003818  0x000075361806a1d0    4851  22667264  22653904  org.apache.catalina.loader.ParallelWebappClassLoader | 0x000000002d1177b8  0x000000002d003818  0x00007536a45f6770       0         0         0  org.apache.catalina.loader.ParallelWebappClassLoader | 0x000000002d1177b8  0x000000002d003818  0x00007535ac40cf20    4865  22737920  22712144  org.apache.catalina.loader.ParallelWebappClassLoader</x:v>
      </x:c>
      <x:c r="U1213" s="36" t="n">
        <x:v>28</x:v>
      </x:c>
      <x:c r="V1213" s="36" t="n">
        <x:v>0</x:v>
      </x:c>
      <x:c r="W1213" s="44"/>
      <x:c r="X1213" s="36"/>
      <x:c r="Y1213" s="36"/>
      <x:c r="Z1213" s="44"/>
      <x:c r="AA1213" s="49"/>
      <x:c r="AB1213" s="43"/>
      <x:c r="AC1213" s="34"/>
      <x:c r="AD1213" s="34"/>
      <x:c r="AE1213" s="34"/>
      <x:c r="AF1213" s="34"/>
      <x:c r="AG1213" s="34"/>
      <x:c r="AH1213" s="34"/>
      <x:c r="AI1213" s="34"/>
    </x:row>
    <x:row r="1214">
      <x:c r="A1214" s="34" t="str">
        <x:v>article1-unified-v4-2-fb3f101b-20260903-000401-default-f05-p6-ehcache</x:v>
      </x:c>
      <x:c r="B1214" s="34" t="str">
        <x:v>default</x:v>
      </x:c>
      <x:c r="C1214" s="34" t="str">
        <x:v>ehcache</x:v>
      </x:c>
      <x:c r="D1214" s="34" t="str">
        <x:v>ehcache</x:v>
      </x:c>
      <x:c r="E1214" s="36" t="n">
        <x:v>5</x:v>
      </x:c>
      <x:c r="F1214" s="36" t="n">
        <x:v>5</x:v>
      </x:c>
      <x:c r="G1214" s="36" t="n">
        <x:v>6</x:v>
      </x:c>
      <x:c r="H1214" s="36" t="n">
        <x:v>3</x:v>
      </x:c>
      <x:c r="I1214" s="34" t="str">
        <x:v>afterFinalUndeployEarly</x:v>
      </x:c>
      <x:c r="J1214" s="34" t="str">
        <x:v>after-final-undeploy-early</x:v>
      </x:c>
      <x:c r="K1214" s="36" t="n">
        <x:v>2</x:v>
      </x:c>
      <x:c r="L1214" s="34" t="str">
        <x:v>early</x:v>
      </x:c>
      <x:c r="M1214" s="34" t="str">
        <x:v>article1-unified-v4-2-fb3f101b-20260903-000401-default-f05-p6-ehcache-3-after-final-undeploy-early-2s</x:v>
      </x:c>
      <x:c r="N1214" s="38" t="n">
        <x:v>46268.08924114583</x:v>
      </x:c>
      <x:c r="O1214" s="36"/>
      <x:c r="P1214" s="43"/>
      <x:c r="Q1214" s="43"/>
      <x:c r="R1214" s="43"/>
      <x:c r="S1214" s="36"/>
      <x:c r="T1214" s="44"/>
      <x:c r="U1214" s="36" t="n">
        <x:v>27</x:v>
      </x:c>
      <x:c r="V1214" s="36" t="n">
        <x:v>0</x:v>
      </x:c>
      <x:c r="W1214" s="44"/>
      <x:c r="X1214" s="36"/>
      <x:c r="Y1214" s="36"/>
      <x:c r="Z1214" s="44"/>
      <x:c r="AA1214" s="49"/>
      <x:c r="AB1214" s="43" t="n">
        <x:v>2</x:v>
      </x:c>
      <x:c r="AC1214" s="34"/>
      <x:c r="AD1214" s="34"/>
      <x:c r="AE1214" s="34" t="str">
        <x:v>article1-unified-v4-2-fb3f101b-20260903-000401-default-f05-p6-ehcache-3-after-final-undeploy-early-2s-thread-dump.txt</x:v>
      </x:c>
      <x:c r="AF1214" s="34" t="str">
        <x:v>article1-unified-v4-2-fb3f101b-20260903-000401-default-f05-p6-ehcache-3-after-final-undeploy-early-tomcat-log.txt</x:v>
      </x:c>
      <x:c r="AG1214" s="34"/>
      <x:c r="AH1214" s="34"/>
      <x:c r="AI1214" s="34"/>
    </x:row>
    <x:row r="1215">
      <x:c r="A1215" s="34" t="str">
        <x:v>article1-unified-v4-2-fb3f101b-20260903-000401-default-f05-p6-ehcache</x:v>
      </x:c>
      <x:c r="B1215" s="34" t="str">
        <x:v>default</x:v>
      </x:c>
      <x:c r="C1215" s="34" t="str">
        <x:v>ehcache</x:v>
      </x:c>
      <x:c r="D1215" s="34" t="str">
        <x:v>ehcache</x:v>
      </x:c>
      <x:c r="E1215" s="36" t="n">
        <x:v>5</x:v>
      </x:c>
      <x:c r="F1215" s="36" t="n">
        <x:v>5</x:v>
      </x:c>
      <x:c r="G1215" s="36" t="n">
        <x:v>6</x:v>
      </x:c>
      <x:c r="H1215" s="36" t="n">
        <x:v>3</x:v>
      </x:c>
      <x:c r="I1215" s="34" t="str">
        <x:v>afterFinalUndeploy</x:v>
      </x:c>
      <x:c r="J1215" s="34" t="str">
        <x:v>after-final-undeploy-final</x:v>
      </x:c>
      <x:c r="K1215" s="36" t="n">
        <x:v>2</x:v>
      </x:c>
      <x:c r="L1215" s="34" t="str">
        <x:v>final</x:v>
      </x:c>
      <x:c r="M1215" s="34" t="str">
        <x:v>article1-unified-v4-2-fb3f101b-20260903-000401-default-f05-p6-ehcache-3-after-final-undeploy-final-10s</x:v>
      </x:c>
      <x:c r="N1215" s="38" t="n">
        <x:v>46268.089399571756</x:v>
      </x:c>
      <x:c r="O1215" s="36" t="n">
        <x:v>2</x:v>
      </x:c>
      <x:c r="P1215" s="43" t="n">
        <x:v>16057344</x:v>
      </x:c>
      <x:c r="Q1215" s="43" t="n">
        <x:v>268435456</x:v>
      </x:c>
      <x:c r="R1215" s="43" t="n">
        <x:v>424201216</x:v>
      </x:c>
      <x:c r="S1215" s="36" t="n">
        <x:v>2</x:v>
      </x:c>
      <x:c r="T1215" s="44" t="str">
        <x:v>0x000000002d1177b8  0x000000002d003818  0x000075361806a1d0    4861  22715392  22699648  org.apache.catalina.loader.ParallelWebappClassLoader | 0x000000002d1177b8  0x000000002d003818  0x00007536a45f6770       0         0         0  org.apache.catalina.loader.ParallelWebappClassLoader</x:v>
      </x:c>
      <x:c r="U1215" s="36" t="n">
        <x:v>27</x:v>
      </x:c>
      <x:c r="V1215" s="36" t="n">
        <x:v>0</x:v>
      </x:c>
      <x:c r="W1215" s="44"/>
      <x:c r="X1215" s="36" t="n">
        <x:v>1</x:v>
      </x:c>
      <x:c r="Y1215" s="36" t="n">
        <x:v>1</x:v>
      </x:c>
      <x:c r="Z1215" s="44" t="str">
        <x:v>/ehcache</x:v>
      </x:c>
      <x:c r="AA1215" s="45" t="b">
        <x:v>1</x:v>
      </x:c>
      <x:c r="AB1215" s="43"/>
      <x:c r="AC1215" s="34" t="str">
        <x:v>article1-unified-v4-2-fb3f101b-20260903-000401-default-f05-p6-ehcache-3-after-final-undeploy-final-10s-heap-info.txt</x:v>
      </x:c>
      <x:c r="AD1215" s="34" t="str">
        <x:v>article1-unified-v4-2-fb3f101b-20260903-000401-default-f05-p6-ehcache-3-after-final-undeploy-final-10s-classloader-stats.txt</x:v>
      </x:c>
      <x:c r="AE1215" s="34" t="str">
        <x:v>article1-unified-v4-2-fb3f101b-20260903-000401-default-f05-p6-ehcache-3-after-final-undeploy-final-10s-thread-dump.txt</x:v>
      </x:c>
      <x:c r="AF1215" s="34"/>
      <x:c r="AG1215" s="34" t="str">
        <x:v>article1-unified-v4-2-fb3f101b-20260903-000401-default-f05-p6-ehcache-3-after-final-undeploy-final-10s-native-memory.txt</x:v>
      </x:c>
      <x:c r="AH1215" s="34" t="str">
        <x:v>article1-unified-v4-2-fb3f101b-20260903-000401-default-f05-p6-ehcache-3-after-final-undeploy-final-10s-class-histogram.txt</x:v>
      </x:c>
      <x:c r="AI1215" s="34" t="str">
        <x:v>article1-unified-v4-2-fb3f101b-20260903-000401-default-f05-p6-ehcache-3-after-final-undeploy-tomcat-findleaks.txt</x:v>
      </x:c>
    </x:row>
    <x:row r="1216">
      <x:c r="A1216" s="34" t="str">
        <x:v>article1-unified-v4-2-fb3f101b-20260903-000401-default-f05-p6-ehcache</x:v>
      </x:c>
      <x:c r="B1216" s="34" t="str">
        <x:v>default</x:v>
      </x:c>
      <x:c r="C1216" s="34" t="str">
        <x:v>ehcache</x:v>
      </x:c>
      <x:c r="D1216" s="34" t="str">
        <x:v>ehcache</x:v>
      </x:c>
      <x:c r="E1216" s="36" t="n">
        <x:v>5</x:v>
      </x:c>
      <x:c r="F1216" s="36" t="n">
        <x:v>5</x:v>
      </x:c>
      <x:c r="G1216" s="36" t="n">
        <x:v>6</x:v>
      </x:c>
      <x:c r="H1216" s="36" t="n">
        <x:v>4</x:v>
      </x:c>
      <x:c r="I1216" s="34" t="str">
        <x:v>baseline</x:v>
      </x:c>
      <x:c r="J1216" s="34" t="str">
        <x:v>cycle-baseline</x:v>
      </x:c>
      <x:c r="K1216" s="36" t="n">
        <x:v>0</x:v>
      </x:c>
      <x:c r="L1216" s="34" t="str">
        <x:v>baseline</x:v>
      </x:c>
      <x:c r="M1216" s="34" t="str">
        <x:v>article1-unified-v4-2-fb3f101b-20260903-000401-default-f05-p6-ehcache-4-baseline</x:v>
      </x:c>
      <x:c r="N1216" s="38" t="n">
        <x:v>46268.08944758102</x:v>
      </x:c>
      <x:c r="O1216" s="36" t="n">
        <x:v>0</x:v>
      </x:c>
      <x:c r="P1216" s="43" t="n">
        <x:v>16060416</x:v>
      </x:c>
      <x:c r="Q1216" s="43" t="n">
        <x:v>268435456</x:v>
      </x:c>
      <x:c r="R1216" s="43" t="n">
        <x:v>424094720</x:v>
      </x:c>
      <x:c r="S1216" s="36" t="n">
        <x:v>2</x:v>
      </x:c>
      <x:c r="T1216" s="44" t="str">
        <x:v>0x000000002d1177b8  0x000000002d003818  0x000075361806a1d0    4861  22715392  22699648  org.apache.catalina.loader.ParallelWebappClassLoader | 0x000000002d1177b8  0x000000002d003818  0x00007536a45f6770       0         0         0  org.apache.catalina.loader.ParallelWebappClassLoader</x:v>
      </x:c>
      <x:c r="U1216" s="36" t="n">
        <x:v>27</x:v>
      </x:c>
      <x:c r="V1216" s="36" t="n">
        <x:v>0</x:v>
      </x:c>
      <x:c r="W1216" s="44"/>
      <x:c r="X1216" s="36"/>
      <x:c r="Y1216" s="36"/>
      <x:c r="Z1216" s="44"/>
      <x:c r="AA1216" s="49"/>
      <x:c r="AB1216" s="43"/>
      <x:c r="AC1216" s="34" t="str">
        <x:v>article1-unified-v4-2-fb3f101b-20260903-000401-default-f05-p6-ehcache-4-baseline-heap-info.txt</x:v>
      </x:c>
      <x:c r="AD1216" s="34" t="str">
        <x:v>article1-unified-v4-2-fb3f101b-20260903-000401-default-f05-p6-ehcache-4-baseline-classloader-stats.txt</x:v>
      </x:c>
      <x:c r="AE1216" s="34" t="str">
        <x:v>article1-unified-v4-2-fb3f101b-20260903-000401-default-f05-p6-ehcache-4-baseline-thread-dump.txt</x:v>
      </x:c>
      <x:c r="AF1216" s="34"/>
      <x:c r="AG1216" s="34" t="str">
        <x:v>article1-unified-v4-2-fb3f101b-20260903-000401-default-f05-p6-ehcache-4-baseline-native-memory.txt</x:v>
      </x:c>
      <x:c r="AH1216" s="34"/>
      <x:c r="AI1216" s="34"/>
    </x:row>
    <x:row r="1217">
      <x:c r="A1217" s="34" t="str">
        <x:v>article1-unified-v4-2-fb3f101b-20260903-000401-default-f05-p6-ehcache</x:v>
      </x:c>
      <x:c r="B1217" s="34" t="str">
        <x:v>default</x:v>
      </x:c>
      <x:c r="C1217" s="34" t="str">
        <x:v>ehcache</x:v>
      </x:c>
      <x:c r="D1217" s="34" t="str">
        <x:v>ehcache</x:v>
      </x:c>
      <x:c r="E1217" s="36" t="n">
        <x:v>5</x:v>
      </x:c>
      <x:c r="F1217" s="36" t="n">
        <x:v>5</x:v>
      </x:c>
      <x:c r="G1217" s="36" t="n">
        <x:v>6</x:v>
      </x:c>
      <x:c r="H1217" s="36" t="n">
        <x:v>4</x:v>
      </x:c>
      <x:c r="I1217" s="34" t="str">
        <x:v>deployedIdle</x:v>
      </x:c>
      <x:c r="J1217" s="34" t="str">
        <x:v>deployed-idle</x:v>
      </x:c>
      <x:c r="K1217" s="36" t="n">
        <x:v>0</x:v>
      </x:c>
      <x:c r="L1217" s="34" t="str">
        <x:v>initial</x:v>
      </x:c>
      <x:c r="M1217" s="34" t="str">
        <x:v>article1-unified-v4-2-fb3f101b-20260903-000401-default-f05-p6-ehcache-4-deployed-idle</x:v>
      </x:c>
      <x:c r="N1217" s="38" t="n">
        <x:v>46268.08955506945</x:v>
      </x:c>
      <x:c r="O1217" s="36" t="n">
        <x:v>0</x:v>
      </x:c>
      <x:c r="P1217" s="43" t="n">
        <x:v>166794240</x:v>
      </x:c>
      <x:c r="Q1217" s="43" t="n">
        <x:v>268435456</x:v>
      </x:c>
      <x:c r="R1217" s="43" t="n">
        <x:v>462025728</x:v>
      </x:c>
      <x:c r="S1217" s="36" t="n">
        <x:v>3</x:v>
      </x:c>
      <x:c r="T1217" s="44" t="str">
        <x:v>0x000000002d1177b8  0x000000002d003818  0x000075361806a1d0    4861  22715392  22699648  org.apache.catalina.loader.ParallelWebappClassLoader | 0x000000002d1177b8  0x000000002d003818  0x00007536a45f6770       0         0         0  org.apache.catalina.loader.ParallelWebappClassLoader | 0x000000002d1177b8  0x000000002d003818  0x00007535ec147ca0    4091  19453952  19433248  org.apache.catalina.loader.ParallelWebappClassLoader</x:v>
      </x:c>
      <x:c r="U1217" s="36" t="n">
        <x:v>27</x:v>
      </x:c>
      <x:c r="V1217" s="36" t="n">
        <x:v>0</x:v>
      </x:c>
      <x:c r="W1217" s="44"/>
      <x:c r="X1217" s="36"/>
      <x:c r="Y1217" s="36"/>
      <x:c r="Z1217" s="44"/>
      <x:c r="AA1217" s="49"/>
      <x:c r="AB1217" s="43"/>
      <x:c r="AC1217" s="34"/>
      <x:c r="AD1217" s="34"/>
      <x:c r="AE1217" s="34"/>
      <x:c r="AF1217" s="34"/>
      <x:c r="AG1217" s="34"/>
      <x:c r="AH1217" s="34"/>
      <x:c r="AI1217" s="34"/>
    </x:row>
    <x:row r="1218">
      <x:c r="A1218" s="34" t="str">
        <x:v>article1-unified-v4-2-fb3f101b-20260903-000401-default-f05-p6-ehcache</x:v>
      </x:c>
      <x:c r="B1218" s="34" t="str">
        <x:v>default</x:v>
      </x:c>
      <x:c r="C1218" s="34" t="str">
        <x:v>ehcache</x:v>
      </x:c>
      <x:c r="D1218" s="34" t="str">
        <x:v>ehcache</x:v>
      </x:c>
      <x:c r="E1218" s="36" t="n">
        <x:v>5</x:v>
      </x:c>
      <x:c r="F1218" s="36" t="n">
        <x:v>5</x:v>
      </x:c>
      <x:c r="G1218" s="36" t="n">
        <x:v>6</x:v>
      </x:c>
      <x:c r="H1218" s="36" t="n">
        <x:v>4</x:v>
      </x:c>
      <x:c r="I1218" s="34" t="str">
        <x:v>loaded</x:v>
      </x:c>
      <x:c r="J1218" s="34" t="str">
        <x:v>loaded</x:v>
      </x:c>
      <x:c r="K1218" s="36" t="n">
        <x:v>0</x:v>
      </x:c>
      <x:c r="L1218" s="34" t="str">
        <x:v>initial</x:v>
      </x:c>
      <x:c r="M1218" s="34" t="str">
        <x:v>article1-unified-v4-2-fb3f101b-20260903-000401-default-f05-p6-ehcache-4-loaded</x:v>
      </x:c>
      <x:c r="N1218" s="38" t="n">
        <x:v>46268.089703125</x:v>
      </x:c>
      <x:c r="O1218" s="36" t="n">
        <x:v>0</x:v>
      </x:c>
      <x:c r="P1218" s="43" t="n">
        <x:v>207744000</x:v>
      </x:c>
      <x:c r="Q1218" s="43" t="n">
        <x:v>268435456</x:v>
      </x:c>
      <x:c r="R1218" s="43" t="n">
        <x:v>452786176</x:v>
      </x:c>
      <x:c r="S1218" s="36" t="n">
        <x:v>3</x:v>
      </x:c>
      <x:c r="T1218" s="44" t="str">
        <x:v>0x000000002d1177b8  0x000000002d003818  0x000075361806a1d0    4861  22715392  22699648  org.apache.catalina.loader.ParallelWebappClassLoader | 0x000000002d1177b8  0x000000002d003818  0x00007536a45f6770       0         0         0  org.apache.catalina.loader.ParallelWebappClassLoader | 0x000000002d1177b8  0x000000002d003818  0x00007535ec147ca0    4851  22681600  22666592  org.apache.catalina.loader.ParallelWebappClassLoader</x:v>
      </x:c>
      <x:c r="U1218" s="36" t="n">
        <x:v>28</x:v>
      </x:c>
      <x:c r="V1218" s="36" t="n">
        <x:v>0</x:v>
      </x:c>
      <x:c r="W1218" s="44"/>
      <x:c r="X1218" s="36"/>
      <x:c r="Y1218" s="36"/>
      <x:c r="Z1218" s="44"/>
      <x:c r="AA1218" s="49"/>
      <x:c r="AB1218" s="43"/>
      <x:c r="AC1218" s="34"/>
      <x:c r="AD1218" s="34"/>
      <x:c r="AE1218" s="34"/>
      <x:c r="AF1218" s="34"/>
      <x:c r="AG1218" s="34"/>
      <x:c r="AH1218" s="34"/>
      <x:c r="AI1218" s="34"/>
    </x:row>
    <x:row r="1219">
      <x:c r="A1219" s="34" t="str">
        <x:v>article1-unified-v4-2-fb3f101b-20260903-000401-default-f05-p6-ehcache</x:v>
      </x:c>
      <x:c r="B1219" s="34" t="str">
        <x:v>default</x:v>
      </x:c>
      <x:c r="C1219" s="34" t="str">
        <x:v>ehcache</x:v>
      </x:c>
      <x:c r="D1219" s="34" t="str">
        <x:v>ehcache</x:v>
      </x:c>
      <x:c r="E1219" s="36" t="n">
        <x:v>5</x:v>
      </x:c>
      <x:c r="F1219" s="36" t="n">
        <x:v>5</x:v>
      </x:c>
      <x:c r="G1219" s="36" t="n">
        <x:v>6</x:v>
      </x:c>
      <x:c r="H1219" s="36" t="n">
        <x:v>4</x:v>
      </x:c>
      <x:c r="I1219" s="34" t="str">
        <x:v>afterUndeployEarly</x:v>
      </x:c>
      <x:c r="J1219" s="34" t="str">
        <x:v>after-undeploy-early</x:v>
      </x:c>
      <x:c r="K1219" s="36" t="n">
        <x:v>1</x:v>
      </x:c>
      <x:c r="L1219" s="34" t="str">
        <x:v>early</x:v>
      </x:c>
      <x:c r="M1219" s="34" t="str">
        <x:v>article1-unified-v4-2-fb3f101b-20260903-000401-default-f05-p6-ehcache-4-after-undeploy-early-2s</x:v>
      </x:c>
      <x:c r="N1219" s="38" t="n">
        <x:v>46268.08978707176</x:v>
      </x:c>
      <x:c r="O1219" s="36"/>
      <x:c r="P1219" s="43"/>
      <x:c r="Q1219" s="43"/>
      <x:c r="R1219" s="43"/>
      <x:c r="S1219" s="36"/>
      <x:c r="T1219" s="44"/>
      <x:c r="U1219" s="36" t="n">
        <x:v>27</x:v>
      </x:c>
      <x:c r="V1219" s="36" t="n">
        <x:v>0</x:v>
      </x:c>
      <x:c r="W1219" s="44"/>
      <x:c r="X1219" s="36"/>
      <x:c r="Y1219" s="36"/>
      <x:c r="Z1219" s="44"/>
      <x:c r="AA1219" s="49"/>
      <x:c r="AB1219" s="43" t="n">
        <x:v>2</x:v>
      </x:c>
      <x:c r="AC1219" s="34"/>
      <x:c r="AD1219" s="34"/>
      <x:c r="AE1219" s="34" t="str">
        <x:v>article1-unified-v4-2-fb3f101b-20260903-000401-default-f05-p6-ehcache-4-after-undeploy-early-2s-thread-dump.txt</x:v>
      </x:c>
      <x:c r="AF1219" s="34" t="str">
        <x:v>article1-unified-v4-2-fb3f101b-20260903-000401-default-f05-p6-ehcache-4-after-undeploy-early-tomcat-log.txt</x:v>
      </x:c>
      <x:c r="AG1219" s="34"/>
      <x:c r="AH1219" s="34"/>
      <x:c r="AI1219" s="34"/>
    </x:row>
    <x:row r="1220">
      <x:c r="A1220" s="34" t="str">
        <x:v>article1-unified-v4-2-fb3f101b-20260903-000401-default-f05-p6-ehcache</x:v>
      </x:c>
      <x:c r="B1220" s="34" t="str">
        <x:v>default</x:v>
      </x:c>
      <x:c r="C1220" s="34" t="str">
        <x:v>ehcache</x:v>
      </x:c>
      <x:c r="D1220" s="34" t="str">
        <x:v>ehcache</x:v>
      </x:c>
      <x:c r="E1220" s="36" t="n">
        <x:v>5</x:v>
      </x:c>
      <x:c r="F1220" s="36" t="n">
        <x:v>5</x:v>
      </x:c>
      <x:c r="G1220" s="36" t="n">
        <x:v>6</x:v>
      </x:c>
      <x:c r="H1220" s="36" t="n">
        <x:v>4</x:v>
      </x:c>
      <x:c r="I1220" s="34" t="str">
        <x:v>afterUndeploy</x:v>
      </x:c>
      <x:c r="J1220" s="34" t="str">
        <x:v>after-undeploy-final</x:v>
      </x:c>
      <x:c r="K1220" s="36" t="n">
        <x:v>1</x:v>
      </x:c>
      <x:c r="L1220" s="34" t="str">
        <x:v>final</x:v>
      </x:c>
      <x:c r="M1220" s="34" t="str">
        <x:v>article1-unified-v4-2-fb3f101b-20260903-000401-default-f05-p6-ehcache-4-after-undeploy-final-10s</x:v>
      </x:c>
      <x:c r="N1220" s="38" t="n">
        <x:v>46268.0899434375</x:v>
      </x:c>
      <x:c r="O1220" s="36" t="n">
        <x:v>2</x:v>
      </x:c>
      <x:c r="P1220" s="43" t="n">
        <x:v>16070656</x:v>
      </x:c>
      <x:c r="Q1220" s="43" t="n">
        <x:v>268435456</x:v>
      </x:c>
      <x:c r="R1220" s="43" t="n">
        <x:v>430292992</x:v>
      </x:c>
      <x:c r="S1220" s="36" t="n">
        <x:v>2</x:v>
      </x:c>
      <x:c r="T1220" s="44" t="str">
        <x:v>0x000000002d1177b8  0x000000002d003818  0x00007536a45f6770       0         0         0  org.apache.catalina.loader.ParallelWebappClassLoader | 0x000000002d1177b8  0x000000002d003818  0x00007535ec147ca0    4861  22730752  22712288  org.apache.catalina.loader.ParallelWebappClassLoader</x:v>
      </x:c>
      <x:c r="U1220" s="36" t="n">
        <x:v>27</x:v>
      </x:c>
      <x:c r="V1220" s="36" t="n">
        <x:v>0</x:v>
      </x:c>
      <x:c r="W1220" s="44"/>
      <x:c r="X1220" s="36" t="n">
        <x:v>1</x:v>
      </x:c>
      <x:c r="Y1220" s="36" t="n">
        <x:v>1</x:v>
      </x:c>
      <x:c r="Z1220" s="44" t="str">
        <x:v>/ehcache</x:v>
      </x:c>
      <x:c r="AA1220" s="45" t="b">
        <x:v>1</x:v>
      </x:c>
      <x:c r="AB1220" s="43"/>
      <x:c r="AC1220" s="34" t="str">
        <x:v>article1-unified-v4-2-fb3f101b-20260903-000401-default-f05-p6-ehcache-4-after-undeploy-final-10s-heap-info.txt</x:v>
      </x:c>
      <x:c r="AD1220" s="34" t="str">
        <x:v>article1-unified-v4-2-fb3f101b-20260903-000401-default-f05-p6-ehcache-4-after-undeploy-final-10s-classloader-stats.txt</x:v>
      </x:c>
      <x:c r="AE1220" s="34" t="str">
        <x:v>article1-unified-v4-2-fb3f101b-20260903-000401-default-f05-p6-ehcache-4-after-undeploy-final-10s-thread-dump.txt</x:v>
      </x:c>
      <x:c r="AF1220" s="34"/>
      <x:c r="AG1220" s="34" t="str">
        <x:v>article1-unified-v4-2-fb3f101b-20260903-000401-default-f05-p6-ehcache-4-after-undeploy-final-10s-native-memory.txt</x:v>
      </x:c>
      <x:c r="AH1220" s="34" t="str">
        <x:v>article1-unified-v4-2-fb3f101b-20260903-000401-default-f05-p6-ehcache-4-after-undeploy-final-10s-class-histogram.txt</x:v>
      </x:c>
      <x:c r="AI1220" s="34" t="str">
        <x:v>article1-unified-v4-2-fb3f101b-20260903-000401-default-f05-p6-ehcache-4-after-undeploy-tomcat-findleaks.txt</x:v>
      </x:c>
    </x:row>
    <x:row r="1221">
      <x:c r="A1221" s="34" t="str">
        <x:v>article1-unified-v4-2-fb3f101b-20260903-000401-default-f05-p6-ehcache</x:v>
      </x:c>
      <x:c r="B1221" s="34" t="str">
        <x:v>default</x:v>
      </x:c>
      <x:c r="C1221" s="34" t="str">
        <x:v>ehcache</x:v>
      </x:c>
      <x:c r="D1221" s="34" t="str">
        <x:v>ehcache</x:v>
      </x:c>
      <x:c r="E1221" s="36" t="n">
        <x:v>5</x:v>
      </x:c>
      <x:c r="F1221" s="36" t="n">
        <x:v>5</x:v>
      </x:c>
      <x:c r="G1221" s="36" t="n">
        <x:v>6</x:v>
      </x:c>
      <x:c r="H1221" s="36" t="n">
        <x:v>4</x:v>
      </x:c>
      <x:c r="I1221" s="34" t="str">
        <x:v>redeployedLoaded</x:v>
      </x:c>
      <x:c r="J1221" s="34" t="str">
        <x:v>redeployed-loaded</x:v>
      </x:c>
      <x:c r="K1221" s="36" t="n">
        <x:v>0</x:v>
      </x:c>
      <x:c r="L1221" s="34" t="str">
        <x:v>redeploy</x:v>
      </x:c>
      <x:c r="M1221" s="34" t="str">
        <x:v>article1-unified-v4-2-fb3f101b-20260903-000401-default-f05-p6-ehcache-4-redeployed-loaded</x:v>
      </x:c>
      <x:c r="N1221" s="38" t="n">
        <x:v>46268.090202534724</x:v>
      </x:c>
      <x:c r="O1221" s="36" t="n">
        <x:v>0</x:v>
      </x:c>
      <x:c r="P1221" s="43" t="n">
        <x:v>205330432</x:v>
      </x:c>
      <x:c r="Q1221" s="43" t="n">
        <x:v>268435456</x:v>
      </x:c>
      <x:c r="R1221" s="43" t="n">
        <x:v>449302528</x:v>
      </x:c>
      <x:c r="S1221" s="36" t="n">
        <x:v>3</x:v>
      </x:c>
      <x:c r="T1221" s="44" t="str">
        <x:v>0x000000002d1177b8  0x000000002d003818  0x000075360c0035e0    4848  22673408  22654320  org.apache.catalina.loader.ParallelWebappClassLoader | 0x000000002d1177b8  0x000000002d003818  0x00007536a45f6770       0         0         0  org.apache.catalina.loader.ParallelWebappClassLoader | 0x000000002d1177b8  0x000000002d003818  0x00007535ec147ca0    4861  22730752  22712288  org.apache.catalina.loader.ParallelWebappClassLoader</x:v>
      </x:c>
      <x:c r="U1221" s="36" t="n">
        <x:v>28</x:v>
      </x:c>
      <x:c r="V1221" s="36" t="n">
        <x:v>0</x:v>
      </x:c>
      <x:c r="W1221" s="44"/>
      <x:c r="X1221" s="36"/>
      <x:c r="Y1221" s="36"/>
      <x:c r="Z1221" s="44"/>
      <x:c r="AA1221" s="49"/>
      <x:c r="AB1221" s="43"/>
      <x:c r="AC1221" s="34"/>
      <x:c r="AD1221" s="34"/>
      <x:c r="AE1221" s="34"/>
      <x:c r="AF1221" s="34"/>
      <x:c r="AG1221" s="34"/>
      <x:c r="AH1221" s="34"/>
      <x:c r="AI1221" s="34"/>
    </x:row>
    <x:row r="1222">
      <x:c r="A1222" s="34" t="str">
        <x:v>article1-unified-v4-2-fb3f101b-20260903-000401-default-f05-p6-ehcache</x:v>
      </x:c>
      <x:c r="B1222" s="34" t="str">
        <x:v>default</x:v>
      </x:c>
      <x:c r="C1222" s="34" t="str">
        <x:v>ehcache</x:v>
      </x:c>
      <x:c r="D1222" s="34" t="str">
        <x:v>ehcache</x:v>
      </x:c>
      <x:c r="E1222" s="36" t="n">
        <x:v>5</x:v>
      </x:c>
      <x:c r="F1222" s="36" t="n">
        <x:v>5</x:v>
      </x:c>
      <x:c r="G1222" s="36" t="n">
        <x:v>6</x:v>
      </x:c>
      <x:c r="H1222" s="36" t="n">
        <x:v>4</x:v>
      </x:c>
      <x:c r="I1222" s="34" t="str">
        <x:v>afterFinalUndeployEarly</x:v>
      </x:c>
      <x:c r="J1222" s="34" t="str">
        <x:v>after-final-undeploy-early</x:v>
      </x:c>
      <x:c r="K1222" s="36" t="n">
        <x:v>2</x:v>
      </x:c>
      <x:c r="L1222" s="34" t="str">
        <x:v>early</x:v>
      </x:c>
      <x:c r="M1222" s="34" t="str">
        <x:v>article1-unified-v4-2-fb3f101b-20260903-000401-default-f05-p6-ehcache-4-after-final-undeploy-early-2s</x:v>
      </x:c>
      <x:c r="N1222" s="38" t="n">
        <x:v>46268.09028655093</x:v>
      </x:c>
      <x:c r="O1222" s="36"/>
      <x:c r="P1222" s="43"/>
      <x:c r="Q1222" s="43"/>
      <x:c r="R1222" s="43"/>
      <x:c r="S1222" s="36"/>
      <x:c r="T1222" s="44"/>
      <x:c r="U1222" s="36" t="n">
        <x:v>27</x:v>
      </x:c>
      <x:c r="V1222" s="36" t="n">
        <x:v>0</x:v>
      </x:c>
      <x:c r="W1222" s="44"/>
      <x:c r="X1222" s="36"/>
      <x:c r="Y1222" s="36"/>
      <x:c r="Z1222" s="44"/>
      <x:c r="AA1222" s="49"/>
      <x:c r="AB1222" s="43" t="n">
        <x:v>2</x:v>
      </x:c>
      <x:c r="AC1222" s="34"/>
      <x:c r="AD1222" s="34"/>
      <x:c r="AE1222" s="34" t="str">
        <x:v>article1-unified-v4-2-fb3f101b-20260903-000401-default-f05-p6-ehcache-4-after-final-undeploy-early-2s-thread-dump.txt</x:v>
      </x:c>
      <x:c r="AF1222" s="34" t="str">
        <x:v>article1-unified-v4-2-fb3f101b-20260903-000401-default-f05-p6-ehcache-4-after-final-undeploy-early-tomcat-log.txt</x:v>
      </x:c>
      <x:c r="AG1222" s="34"/>
      <x:c r="AH1222" s="34"/>
      <x:c r="AI1222" s="34"/>
    </x:row>
    <x:row r="1223">
      <x:c r="A1223" s="34" t="str">
        <x:v>article1-unified-v4-2-fb3f101b-20260903-000401-default-f05-p6-ehcache</x:v>
      </x:c>
      <x:c r="B1223" s="34" t="str">
        <x:v>default</x:v>
      </x:c>
      <x:c r="C1223" s="34" t="str">
        <x:v>ehcache</x:v>
      </x:c>
      <x:c r="D1223" s="34" t="str">
        <x:v>ehcache</x:v>
      </x:c>
      <x:c r="E1223" s="36" t="n">
        <x:v>5</x:v>
      </x:c>
      <x:c r="F1223" s="36" t="n">
        <x:v>5</x:v>
      </x:c>
      <x:c r="G1223" s="36" t="n">
        <x:v>6</x:v>
      </x:c>
      <x:c r="H1223" s="36" t="n">
        <x:v>4</x:v>
      </x:c>
      <x:c r="I1223" s="34" t="str">
        <x:v>afterFinalUndeploy</x:v>
      </x:c>
      <x:c r="J1223" s="34" t="str">
        <x:v>after-final-undeploy-final</x:v>
      </x:c>
      <x:c r="K1223" s="36" t="n">
        <x:v>2</x:v>
      </x:c>
      <x:c r="L1223" s="34" t="str">
        <x:v>final</x:v>
      </x:c>
      <x:c r="M1223" s="34" t="str">
        <x:v>article1-unified-v4-2-fb3f101b-20260903-000401-default-f05-p6-ehcache-4-after-final-undeploy-final-10s</x:v>
      </x:c>
      <x:c r="N1223" s="38" t="n">
        <x:v>46268.090442974535</x:v>
      </x:c>
      <x:c r="O1223" s="36" t="n">
        <x:v>2</x:v>
      </x:c>
      <x:c r="P1223" s="43" t="n">
        <x:v>16062464</x:v>
      </x:c>
      <x:c r="Q1223" s="43" t="n">
        <x:v>268435456</x:v>
      </x:c>
      <x:c r="R1223" s="43" t="n">
        <x:v>426810368</x:v>
      </x:c>
      <x:c r="S1223" s="36" t="n">
        <x:v>2</x:v>
      </x:c>
      <x:c r="T1223" s="44" t="str">
        <x:v>0x000000002d1177b8  0x000000002d003818  0x000075360c0035e0    4858  22722560  22700064  org.apache.catalina.loader.ParallelWebappClassLoader | 0x000000002d1177b8  0x000000002d003818  0x00007536a45f6770       0         0         0  org.apache.catalina.loader.ParallelWebappClassLoader</x:v>
      </x:c>
      <x:c r="U1223" s="36" t="n">
        <x:v>27</x:v>
      </x:c>
      <x:c r="V1223" s="36" t="n">
        <x:v>0</x:v>
      </x:c>
      <x:c r="W1223" s="44"/>
      <x:c r="X1223" s="36" t="n">
        <x:v>1</x:v>
      </x:c>
      <x:c r="Y1223" s="36" t="n">
        <x:v>1</x:v>
      </x:c>
      <x:c r="Z1223" s="44" t="str">
        <x:v>/ehcache</x:v>
      </x:c>
      <x:c r="AA1223" s="45" t="b">
        <x:v>1</x:v>
      </x:c>
      <x:c r="AB1223" s="43"/>
      <x:c r="AC1223" s="34" t="str">
        <x:v>article1-unified-v4-2-fb3f101b-20260903-000401-default-f05-p6-ehcache-4-after-final-undeploy-final-10s-heap-info.txt</x:v>
      </x:c>
      <x:c r="AD1223" s="34" t="str">
        <x:v>article1-unified-v4-2-fb3f101b-20260903-000401-default-f05-p6-ehcache-4-after-final-undeploy-final-10s-classloader-stats.txt</x:v>
      </x:c>
      <x:c r="AE1223" s="34" t="str">
        <x:v>article1-unified-v4-2-fb3f101b-20260903-000401-default-f05-p6-ehcache-4-after-final-undeploy-final-10s-thread-dump.txt</x:v>
      </x:c>
      <x:c r="AF1223" s="34"/>
      <x:c r="AG1223" s="34" t="str">
        <x:v>article1-unified-v4-2-fb3f101b-20260903-000401-default-f05-p6-ehcache-4-after-final-undeploy-final-10s-native-memory.txt</x:v>
      </x:c>
      <x:c r="AH1223" s="34" t="str">
        <x:v>article1-unified-v4-2-fb3f101b-20260903-000401-default-f05-p6-ehcache-4-after-final-undeploy-final-10s-class-histogram.txt</x:v>
      </x:c>
      <x:c r="AI1223" s="34" t="str">
        <x:v>article1-unified-v4-2-fb3f101b-20260903-000401-default-f05-p6-ehcache-4-after-final-undeploy-tomcat-findleaks.txt</x:v>
      </x:c>
    </x:row>
    <x:row r="1224">
      <x:c r="A1224" s="34" t="str">
        <x:v>article1-unified-v4-2-fb3f101b-20260903-000401-default-f05-p6-ehcache</x:v>
      </x:c>
      <x:c r="B1224" s="34" t="str">
        <x:v>default</x:v>
      </x:c>
      <x:c r="C1224" s="34" t="str">
        <x:v>ehcache</x:v>
      </x:c>
      <x:c r="D1224" s="34" t="str">
        <x:v>ehcache</x:v>
      </x:c>
      <x:c r="E1224" s="36" t="n">
        <x:v>5</x:v>
      </x:c>
      <x:c r="F1224" s="36" t="n">
        <x:v>5</x:v>
      </x:c>
      <x:c r="G1224" s="36" t="n">
        <x:v>6</x:v>
      </x:c>
      <x:c r="H1224" s="36" t="n">
        <x:v>5</x:v>
      </x:c>
      <x:c r="I1224" s="34" t="str">
        <x:v>baseline</x:v>
      </x:c>
      <x:c r="J1224" s="34" t="str">
        <x:v>cycle-baseline</x:v>
      </x:c>
      <x:c r="K1224" s="36" t="n">
        <x:v>0</x:v>
      </x:c>
      <x:c r="L1224" s="34" t="str">
        <x:v>baseline</x:v>
      </x:c>
      <x:c r="M1224" s="34" t="str">
        <x:v>article1-unified-v4-2-fb3f101b-20260903-000401-default-f05-p6-ehcache-5-baseline</x:v>
      </x:c>
      <x:c r="N1224" s="38" t="n">
        <x:v>46268.090491759256</x:v>
      </x:c>
      <x:c r="O1224" s="36" t="n">
        <x:v>0</x:v>
      </x:c>
      <x:c r="P1224" s="43" t="n">
        <x:v>16062464</x:v>
      </x:c>
      <x:c r="Q1224" s="43" t="n">
        <x:v>268435456</x:v>
      </x:c>
      <x:c r="R1224" s="43" t="n">
        <x:v>426808320</x:v>
      </x:c>
      <x:c r="S1224" s="36" t="n">
        <x:v>2</x:v>
      </x:c>
      <x:c r="T1224" s="44" t="str">
        <x:v>0x000000002d1177b8  0x000000002d003818  0x000075360c0035e0    4858  22722560  22700064  org.apache.catalina.loader.ParallelWebappClassLoader | 0x000000002d1177b8  0x000000002d003818  0x00007536a45f6770       0         0         0  org.apache.catalina.loader.ParallelWebappClassLoader</x:v>
      </x:c>
      <x:c r="U1224" s="36" t="n">
        <x:v>27</x:v>
      </x:c>
      <x:c r="V1224" s="36" t="n">
        <x:v>0</x:v>
      </x:c>
      <x:c r="W1224" s="44"/>
      <x:c r="X1224" s="36"/>
      <x:c r="Y1224" s="36"/>
      <x:c r="Z1224" s="44"/>
      <x:c r="AA1224" s="49"/>
      <x:c r="AB1224" s="43"/>
      <x:c r="AC1224" s="34" t="str">
        <x:v>article1-unified-v4-2-fb3f101b-20260903-000401-default-f05-p6-ehcache-5-baseline-heap-info.txt</x:v>
      </x:c>
      <x:c r="AD1224" s="34" t="str">
        <x:v>article1-unified-v4-2-fb3f101b-20260903-000401-default-f05-p6-ehcache-5-baseline-classloader-stats.txt</x:v>
      </x:c>
      <x:c r="AE1224" s="34" t="str">
        <x:v>article1-unified-v4-2-fb3f101b-20260903-000401-default-f05-p6-ehcache-5-baseline-thread-dump.txt</x:v>
      </x:c>
      <x:c r="AF1224" s="34"/>
      <x:c r="AG1224" s="34" t="str">
        <x:v>article1-unified-v4-2-fb3f101b-20260903-000401-default-f05-p6-ehcache-5-baseline-native-memory.txt</x:v>
      </x:c>
      <x:c r="AH1224" s="34"/>
      <x:c r="AI1224" s="34"/>
    </x:row>
    <x:row r="1225">
      <x:c r="A1225" s="34" t="str">
        <x:v>article1-unified-v4-2-fb3f101b-20260903-000401-default-f05-p6-ehcache</x:v>
      </x:c>
      <x:c r="B1225" s="34" t="str">
        <x:v>default</x:v>
      </x:c>
      <x:c r="C1225" s="34" t="str">
        <x:v>ehcache</x:v>
      </x:c>
      <x:c r="D1225" s="34" t="str">
        <x:v>ehcache</x:v>
      </x:c>
      <x:c r="E1225" s="36" t="n">
        <x:v>5</x:v>
      </x:c>
      <x:c r="F1225" s="36" t="n">
        <x:v>5</x:v>
      </x:c>
      <x:c r="G1225" s="36" t="n">
        <x:v>6</x:v>
      </x:c>
      <x:c r="H1225" s="36" t="n">
        <x:v>5</x:v>
      </x:c>
      <x:c r="I1225" s="34" t="str">
        <x:v>deployedIdle</x:v>
      </x:c>
      <x:c r="J1225" s="34" t="str">
        <x:v>deployed-idle</x:v>
      </x:c>
      <x:c r="K1225" s="36" t="n">
        <x:v>0</x:v>
      </x:c>
      <x:c r="L1225" s="34" t="str">
        <x:v>initial</x:v>
      </x:c>
      <x:c r="M1225" s="34" t="str">
        <x:v>article1-unified-v4-2-fb3f101b-20260903-000401-default-f05-p6-ehcache-5-deployed-idle</x:v>
      </x:c>
      <x:c r="N1225" s="38" t="n">
        <x:v>46268.09059818287</x:v>
      </x:c>
      <x:c r="O1225" s="36" t="n">
        <x:v>0</x:v>
      </x:c>
      <x:c r="P1225" s="43" t="n">
        <x:v>165211136</x:v>
      </x:c>
      <x:c r="Q1225" s="43" t="n">
        <x:v>268435456</x:v>
      </x:c>
      <x:c r="R1225" s="43" t="n">
        <x:v>466437120</x:v>
      </x:c>
      <x:c r="S1225" s="36" t="n">
        <x:v>3</x:v>
      </x:c>
      <x:c r="T1225" s="44" t="str">
        <x:v>0x000000002d1177b8  0x000000002d003818  0x000075360c0035e0    4858  22722560  22700064  org.apache.catalina.loader.ParallelWebappClassLoader | 0x000000002d1177b8  0x000000002d003818  0x0000753610198d20    4091  19454976  19430416  org.apache.catalina.loader.ParallelWebappClassLoader | 0x000000002d1177b8  0x000000002d003818  0x00007536a45f6770       0         0         0  org.apache.catalina.loader.ParallelWebappClassLoader</x:v>
      </x:c>
      <x:c r="U1225" s="36" t="n">
        <x:v>28</x:v>
      </x:c>
      <x:c r="V1225" s="36" t="n">
        <x:v>0</x:v>
      </x:c>
      <x:c r="W1225" s="44"/>
      <x:c r="X1225" s="36"/>
      <x:c r="Y1225" s="36"/>
      <x:c r="Z1225" s="44"/>
      <x:c r="AA1225" s="49"/>
      <x:c r="AB1225" s="43"/>
      <x:c r="AC1225" s="34"/>
      <x:c r="AD1225" s="34"/>
      <x:c r="AE1225" s="34"/>
      <x:c r="AF1225" s="34"/>
      <x:c r="AG1225" s="34"/>
      <x:c r="AH1225" s="34"/>
      <x:c r="AI1225" s="34"/>
    </x:row>
    <x:row r="1226">
      <x:c r="A1226" s="34" t="str">
        <x:v>article1-unified-v4-2-fb3f101b-20260903-000401-default-f05-p6-ehcache</x:v>
      </x:c>
      <x:c r="B1226" s="34" t="str">
        <x:v>default</x:v>
      </x:c>
      <x:c r="C1226" s="34" t="str">
        <x:v>ehcache</x:v>
      </x:c>
      <x:c r="D1226" s="34" t="str">
        <x:v>ehcache</x:v>
      </x:c>
      <x:c r="E1226" s="36" t="n">
        <x:v>5</x:v>
      </x:c>
      <x:c r="F1226" s="36" t="n">
        <x:v>5</x:v>
      </x:c>
      <x:c r="G1226" s="36" t="n">
        <x:v>6</x:v>
      </x:c>
      <x:c r="H1226" s="36" t="n">
        <x:v>5</x:v>
      </x:c>
      <x:c r="I1226" s="34" t="str">
        <x:v>loaded</x:v>
      </x:c>
      <x:c r="J1226" s="34" t="str">
        <x:v>loaded</x:v>
      </x:c>
      <x:c r="K1226" s="36" t="n">
        <x:v>0</x:v>
      </x:c>
      <x:c r="L1226" s="34" t="str">
        <x:v>initial</x:v>
      </x:c>
      <x:c r="M1226" s="34" t="str">
        <x:v>article1-unified-v4-2-fb3f101b-20260903-000401-default-f05-p6-ehcache-5-loaded</x:v>
      </x:c>
      <x:c r="N1226" s="38" t="n">
        <x:v>46268.0907465162</x:v>
      </x:c>
      <x:c r="O1226" s="36" t="n">
        <x:v>0</x:v>
      </x:c>
      <x:c r="P1226" s="43" t="n">
        <x:v>210364416</x:v>
      </x:c>
      <x:c r="Q1226" s="43" t="n">
        <x:v>268435456</x:v>
      </x:c>
      <x:c r="R1226" s="43" t="n">
        <x:v>453990400</x:v>
      </x:c>
      <x:c r="S1226" s="36" t="n">
        <x:v>3</x:v>
      </x:c>
      <x:c r="T1226" s="44" t="str">
        <x:v>0x000000002d1177b8  0x000000002d003818  0x000075360c0035e0    4858  22722560  22700064  org.apache.catalina.loader.ParallelWebappClassLoader | 0x000000002d1177b8  0x000000002d003818  0x00007536a45f6770       0         0         0  org.apache.catalina.loader.ParallelWebappClassLoader | 0x000000002d1177b8  0x000000002d003818  0x0000753610198d20    4848  22682624  22653936  org.apache.catalina.loader.ParallelWebappClassLoader</x:v>
      </x:c>
      <x:c r="U1226" s="36" t="n">
        <x:v>28</x:v>
      </x:c>
      <x:c r="V1226" s="36" t="n">
        <x:v>0</x:v>
      </x:c>
      <x:c r="W1226" s="44"/>
      <x:c r="X1226" s="36"/>
      <x:c r="Y1226" s="36"/>
      <x:c r="Z1226" s="44"/>
      <x:c r="AA1226" s="49"/>
      <x:c r="AB1226" s="43"/>
      <x:c r="AC1226" s="34"/>
      <x:c r="AD1226" s="34"/>
      <x:c r="AE1226" s="34"/>
      <x:c r="AF1226" s="34"/>
      <x:c r="AG1226" s="34"/>
      <x:c r="AH1226" s="34"/>
      <x:c r="AI1226" s="34"/>
    </x:row>
    <x:row r="1227">
      <x:c r="A1227" s="34" t="str">
        <x:v>article1-unified-v4-2-fb3f101b-20260903-000401-default-f05-p6-ehcache</x:v>
      </x:c>
      <x:c r="B1227" s="34" t="str">
        <x:v>default</x:v>
      </x:c>
      <x:c r="C1227" s="34" t="str">
        <x:v>ehcache</x:v>
      </x:c>
      <x:c r="D1227" s="34" t="str">
        <x:v>ehcache</x:v>
      </x:c>
      <x:c r="E1227" s="36" t="n">
        <x:v>5</x:v>
      </x:c>
      <x:c r="F1227" s="36" t="n">
        <x:v>5</x:v>
      </x:c>
      <x:c r="G1227" s="36" t="n">
        <x:v>6</x:v>
      </x:c>
      <x:c r="H1227" s="36" t="n">
        <x:v>5</x:v>
      </x:c>
      <x:c r="I1227" s="34" t="str">
        <x:v>afterUndeployEarly</x:v>
      </x:c>
      <x:c r="J1227" s="34" t="str">
        <x:v>after-undeploy-early</x:v>
      </x:c>
      <x:c r="K1227" s="36" t="n">
        <x:v>1</x:v>
      </x:c>
      <x:c r="L1227" s="34" t="str">
        <x:v>early</x:v>
      </x:c>
      <x:c r="M1227" s="34" t="str">
        <x:v>article1-unified-v4-2-fb3f101b-20260903-000401-default-f05-p6-ehcache-5-after-undeploy-early-2s</x:v>
      </x:c>
      <x:c r="N1227" s="38" t="n">
        <x:v>46268.090832395836</x:v>
      </x:c>
      <x:c r="O1227" s="36"/>
      <x:c r="P1227" s="43"/>
      <x:c r="Q1227" s="43"/>
      <x:c r="R1227" s="43"/>
      <x:c r="S1227" s="36"/>
      <x:c r="T1227" s="44"/>
      <x:c r="U1227" s="36" t="n">
        <x:v>27</x:v>
      </x:c>
      <x:c r="V1227" s="36" t="n">
        <x:v>0</x:v>
      </x:c>
      <x:c r="W1227" s="44"/>
      <x:c r="X1227" s="36"/>
      <x:c r="Y1227" s="36"/>
      <x:c r="Z1227" s="44"/>
      <x:c r="AA1227" s="49"/>
      <x:c r="AB1227" s="43" t="n">
        <x:v>2</x:v>
      </x:c>
      <x:c r="AC1227" s="34"/>
      <x:c r="AD1227" s="34"/>
      <x:c r="AE1227" s="34" t="str">
        <x:v>article1-unified-v4-2-fb3f101b-20260903-000401-default-f05-p6-ehcache-5-after-undeploy-early-2s-thread-dump.txt</x:v>
      </x:c>
      <x:c r="AF1227" s="34" t="str">
        <x:v>article1-unified-v4-2-fb3f101b-20260903-000401-default-f05-p6-ehcache-5-after-undeploy-early-tomcat-log.txt</x:v>
      </x:c>
      <x:c r="AG1227" s="34"/>
      <x:c r="AH1227" s="34"/>
      <x:c r="AI1227" s="34"/>
    </x:row>
    <x:row r="1228">
      <x:c r="A1228" s="34" t="str">
        <x:v>article1-unified-v4-2-fb3f101b-20260903-000401-default-f05-p6-ehcache</x:v>
      </x:c>
      <x:c r="B1228" s="34" t="str">
        <x:v>default</x:v>
      </x:c>
      <x:c r="C1228" s="34" t="str">
        <x:v>ehcache</x:v>
      </x:c>
      <x:c r="D1228" s="34" t="str">
        <x:v>ehcache</x:v>
      </x:c>
      <x:c r="E1228" s="36" t="n">
        <x:v>5</x:v>
      </x:c>
      <x:c r="F1228" s="36" t="n">
        <x:v>5</x:v>
      </x:c>
      <x:c r="G1228" s="36" t="n">
        <x:v>6</x:v>
      </x:c>
      <x:c r="H1228" s="36" t="n">
        <x:v>5</x:v>
      </x:c>
      <x:c r="I1228" s="34" t="str">
        <x:v>afterUndeploy</x:v>
      </x:c>
      <x:c r="J1228" s="34" t="str">
        <x:v>after-undeploy-final</x:v>
      </x:c>
      <x:c r="K1228" s="36" t="n">
        <x:v>1</x:v>
      </x:c>
      <x:c r="L1228" s="34" t="str">
        <x:v>final</x:v>
      </x:c>
      <x:c r="M1228" s="34" t="str">
        <x:v>article1-unified-v4-2-fb3f101b-20260903-000401-default-f05-p6-ehcache-5-after-undeploy-final-10s</x:v>
      </x:c>
      <x:c r="N1228" s="38" t="n">
        <x:v>46268.09098335648</x:v>
      </x:c>
      <x:c r="O1228" s="36" t="n">
        <x:v>2</x:v>
      </x:c>
      <x:c r="P1228" s="43" t="n">
        <x:v>16097280</x:v>
      </x:c>
      <x:c r="Q1228" s="43" t="n">
        <x:v>268435456</x:v>
      </x:c>
      <x:c r="R1228" s="43" t="n">
        <x:v>431936512</x:v>
      </x:c>
      <x:c r="S1228" s="36" t="n">
        <x:v>2</x:v>
      </x:c>
      <x:c r="T1228" s="44" t="str">
        <x:v>0x000000002d1177b8  0x000000002d003818  0x00007536a45f6770       0         0         0  org.apache.catalina.loader.ParallelWebappClassLoader | 0x000000002d1177b8  0x000000002d003818  0x0000753610198d20    4858  22715392  22698704  org.apache.catalina.loader.ParallelWebappClassLoader</x:v>
      </x:c>
      <x:c r="U1228" s="36" t="n">
        <x:v>27</x:v>
      </x:c>
      <x:c r="V1228" s="36" t="n">
        <x:v>0</x:v>
      </x:c>
      <x:c r="W1228" s="44"/>
      <x:c r="X1228" s="36" t="n">
        <x:v>1</x:v>
      </x:c>
      <x:c r="Y1228" s="36" t="n">
        <x:v>1</x:v>
      </x:c>
      <x:c r="Z1228" s="44" t="str">
        <x:v>/ehcache</x:v>
      </x:c>
      <x:c r="AA1228" s="45" t="b">
        <x:v>1</x:v>
      </x:c>
      <x:c r="AB1228" s="43"/>
      <x:c r="AC1228" s="34" t="str">
        <x:v>article1-unified-v4-2-fb3f101b-20260903-000401-default-f05-p6-ehcache-5-after-undeploy-final-10s-heap-info.txt</x:v>
      </x:c>
      <x:c r="AD1228" s="34" t="str">
        <x:v>article1-unified-v4-2-fb3f101b-20260903-000401-default-f05-p6-ehcache-5-after-undeploy-final-10s-classloader-stats.txt</x:v>
      </x:c>
      <x:c r="AE1228" s="34" t="str">
        <x:v>article1-unified-v4-2-fb3f101b-20260903-000401-default-f05-p6-ehcache-5-after-undeploy-final-10s-thread-dump.txt</x:v>
      </x:c>
      <x:c r="AF1228" s="34"/>
      <x:c r="AG1228" s="34" t="str">
        <x:v>article1-unified-v4-2-fb3f101b-20260903-000401-default-f05-p6-ehcache-5-after-undeploy-final-10s-native-memory.txt</x:v>
      </x:c>
      <x:c r="AH1228" s="34" t="str">
        <x:v>article1-unified-v4-2-fb3f101b-20260903-000401-default-f05-p6-ehcache-5-after-undeploy-final-10s-class-histogram.txt</x:v>
      </x:c>
      <x:c r="AI1228" s="34" t="str">
        <x:v>article1-unified-v4-2-fb3f101b-20260903-000401-default-f05-p6-ehcache-5-after-undeploy-tomcat-findleaks.txt</x:v>
      </x:c>
    </x:row>
    <x:row r="1229">
      <x:c r="A1229" s="34" t="str">
        <x:v>article1-unified-v4-2-fb3f101b-20260903-000401-default-f05-p6-ehcache</x:v>
      </x:c>
      <x:c r="B1229" s="34" t="str">
        <x:v>default</x:v>
      </x:c>
      <x:c r="C1229" s="34" t="str">
        <x:v>ehcache</x:v>
      </x:c>
      <x:c r="D1229" s="34" t="str">
        <x:v>ehcache</x:v>
      </x:c>
      <x:c r="E1229" s="36" t="n">
        <x:v>5</x:v>
      </x:c>
      <x:c r="F1229" s="36" t="n">
        <x:v>5</x:v>
      </x:c>
      <x:c r="G1229" s="36" t="n">
        <x:v>6</x:v>
      </x:c>
      <x:c r="H1229" s="36" t="n">
        <x:v>5</x:v>
      </x:c>
      <x:c r="I1229" s="34" t="str">
        <x:v>redeployedLoaded</x:v>
      </x:c>
      <x:c r="J1229" s="34" t="str">
        <x:v>redeployed-loaded</x:v>
      </x:c>
      <x:c r="K1229" s="36" t="n">
        <x:v>0</x:v>
      </x:c>
      <x:c r="L1229" s="34" t="str">
        <x:v>redeploy</x:v>
      </x:c>
      <x:c r="M1229" s="34" t="str">
        <x:v>article1-unified-v4-2-fb3f101b-20260903-000401-default-f05-p6-ehcache-5-redeployed-loaded</x:v>
      </x:c>
      <x:c r="N1229" s="38" t="n">
        <x:v>46268.09124231482</x:v>
      </x:c>
      <x:c r="O1229" s="36" t="n">
        <x:v>0</x:v>
      </x:c>
      <x:c r="P1229" s="43" t="n">
        <x:v>208295936</x:v>
      </x:c>
      <x:c r="Q1229" s="43" t="n">
        <x:v>268435456</x:v>
      </x:c>
      <x:c r="R1229" s="43" t="n">
        <x:v>450507776</x:v>
      </x:c>
      <x:c r="S1229" s="36" t="n">
        <x:v>3</x:v>
      </x:c>
      <x:c r="T1229" s="44" t="str">
        <x:v>0x000000002d1177b8  0x000000002d003818  0x00007535ec367da0    4848  22672384  22657632  org.apache.catalina.loader.ParallelWebappClassLoader | 0x000000002d1177b8  0x000000002d003818  0x00007536a45f6770       0         0         0  org.apache.catalina.loader.ParallelWebappClassLoader | 0x000000002d1177b8  0x000000002d003818  0x0000753610198d20    4858  22715392  22698704  org.apache.catalina.loader.ParallelWebappClassLoader</x:v>
      </x:c>
      <x:c r="U1229" s="36" t="n">
        <x:v>28</x:v>
      </x:c>
      <x:c r="V1229" s="36" t="n">
        <x:v>0</x:v>
      </x:c>
      <x:c r="W1229" s="44"/>
      <x:c r="X1229" s="36"/>
      <x:c r="Y1229" s="36"/>
      <x:c r="Z1229" s="44"/>
      <x:c r="AA1229" s="49"/>
      <x:c r="AB1229" s="43"/>
      <x:c r="AC1229" s="34"/>
      <x:c r="AD1229" s="34"/>
      <x:c r="AE1229" s="34"/>
      <x:c r="AF1229" s="34"/>
      <x:c r="AG1229" s="34"/>
      <x:c r="AH1229" s="34"/>
      <x:c r="AI1229" s="34"/>
    </x:row>
    <x:row r="1230">
      <x:c r="A1230" s="34" t="str">
        <x:v>article1-unified-v4-2-fb3f101b-20260903-000401-default-f05-p6-ehcache</x:v>
      </x:c>
      <x:c r="B1230" s="34" t="str">
        <x:v>default</x:v>
      </x:c>
      <x:c r="C1230" s="34" t="str">
        <x:v>ehcache</x:v>
      </x:c>
      <x:c r="D1230" s="34" t="str">
        <x:v>ehcache</x:v>
      </x:c>
      <x:c r="E1230" s="36" t="n">
        <x:v>5</x:v>
      </x:c>
      <x:c r="F1230" s="36" t="n">
        <x:v>5</x:v>
      </x:c>
      <x:c r="G1230" s="36" t="n">
        <x:v>6</x:v>
      </x:c>
      <x:c r="H1230" s="36" t="n">
        <x:v>5</x:v>
      </x:c>
      <x:c r="I1230" s="34" t="str">
        <x:v>afterFinalUndeployEarly</x:v>
      </x:c>
      <x:c r="J1230" s="34" t="str">
        <x:v>after-final-undeploy-early</x:v>
      </x:c>
      <x:c r="K1230" s="36" t="n">
        <x:v>2</x:v>
      </x:c>
      <x:c r="L1230" s="34" t="str">
        <x:v>early</x:v>
      </x:c>
      <x:c r="M1230" s="34" t="str">
        <x:v>article1-unified-v4-2-fb3f101b-20260903-000401-default-f05-p6-ehcache-5-after-final-undeploy-early-2s</x:v>
      </x:c>
      <x:c r="N1230" s="38" t="n">
        <x:v>46268.091324837966</x:v>
      </x:c>
      <x:c r="O1230" s="36"/>
      <x:c r="P1230" s="43"/>
      <x:c r="Q1230" s="43"/>
      <x:c r="R1230" s="43"/>
      <x:c r="S1230" s="36"/>
      <x:c r="T1230" s="44"/>
      <x:c r="U1230" s="36" t="n">
        <x:v>27</x:v>
      </x:c>
      <x:c r="V1230" s="36" t="n">
        <x:v>0</x:v>
      </x:c>
      <x:c r="W1230" s="44"/>
      <x:c r="X1230" s="36"/>
      <x:c r="Y1230" s="36"/>
      <x:c r="Z1230" s="44"/>
      <x:c r="AA1230" s="49"/>
      <x:c r="AB1230" s="43" t="n">
        <x:v>2</x:v>
      </x:c>
      <x:c r="AC1230" s="34"/>
      <x:c r="AD1230" s="34"/>
      <x:c r="AE1230" s="34" t="str">
        <x:v>article1-unified-v4-2-fb3f101b-20260903-000401-default-f05-p6-ehcache-5-after-final-undeploy-early-2s-thread-dump.txt</x:v>
      </x:c>
      <x:c r="AF1230" s="34" t="str">
        <x:v>article1-unified-v4-2-fb3f101b-20260903-000401-default-f05-p6-ehcache-5-after-final-undeploy-early-tomcat-log.txt</x:v>
      </x:c>
      <x:c r="AG1230" s="34"/>
      <x:c r="AH1230" s="34"/>
      <x:c r="AI1230" s="34"/>
    </x:row>
    <x:row r="1231">
      <x:c r="A1231" s="34" t="str">
        <x:v>article1-unified-v4-2-fb3f101b-20260903-000401-default-f05-p6-ehcache</x:v>
      </x:c>
      <x:c r="B1231" s="34" t="str">
        <x:v>default</x:v>
      </x:c>
      <x:c r="C1231" s="34" t="str">
        <x:v>ehcache</x:v>
      </x:c>
      <x:c r="D1231" s="34" t="str">
        <x:v>ehcache</x:v>
      </x:c>
      <x:c r="E1231" s="36" t="n">
        <x:v>5</x:v>
      </x:c>
      <x:c r="F1231" s="36" t="n">
        <x:v>5</x:v>
      </x:c>
      <x:c r="G1231" s="36" t="n">
        <x:v>6</x:v>
      </x:c>
      <x:c r="H1231" s="36" t="n">
        <x:v>5</x:v>
      </x:c>
      <x:c r="I1231" s="34" t="str">
        <x:v>afterFinalUndeploy</x:v>
      </x:c>
      <x:c r="J1231" s="34" t="str">
        <x:v>after-final-undeploy-final</x:v>
      </x:c>
      <x:c r="K1231" s="36" t="n">
        <x:v>2</x:v>
      </x:c>
      <x:c r="L1231" s="34" t="str">
        <x:v>final</x:v>
      </x:c>
      <x:c r="M1231" s="34" t="str">
        <x:v>article1-unified-v4-2-fb3f101b-20260903-000401-default-f05-p6-ehcache-5-after-final-undeploy-final-10s</x:v>
      </x:c>
      <x:c r="N1231" s="38" t="n">
        <x:v>46268.09148313657</x:v>
      </x:c>
      <x:c r="O1231" s="36" t="n">
        <x:v>2</x:v>
      </x:c>
      <x:c r="P1231" s="43" t="n">
        <x:v>16093184</x:v>
      </x:c>
      <x:c r="Q1231" s="43" t="n">
        <x:v>268435456</x:v>
      </x:c>
      <x:c r="R1231" s="43" t="n">
        <x:v>428237824</x:v>
      </x:c>
      <x:c r="S1231" s="36" t="n">
        <x:v>2</x:v>
      </x:c>
      <x:c r="T1231" s="44" t="str">
        <x:v>0x000000002d1177b8  0x000000002d003818  0x00007536a45f6770       0         0         0  org.apache.catalina.loader.ParallelWebappClassLoader | 0x000000002d1177b8  0x000000002d003818  0x00007535ec367da0    4858  22705152  22703080  org.apache.catalina.loader.ParallelWebappClassLoader</x:v>
      </x:c>
      <x:c r="U1231" s="36" t="n">
        <x:v>27</x:v>
      </x:c>
      <x:c r="V1231" s="36" t="n">
        <x:v>0</x:v>
      </x:c>
      <x:c r="W1231" s="44"/>
      <x:c r="X1231" s="36" t="n">
        <x:v>1</x:v>
      </x:c>
      <x:c r="Y1231" s="36" t="n">
        <x:v>1</x:v>
      </x:c>
      <x:c r="Z1231" s="44" t="str">
        <x:v>/ehcache</x:v>
      </x:c>
      <x:c r="AA1231" s="45" t="b">
        <x:v>1</x:v>
      </x:c>
      <x:c r="AB1231" s="43"/>
      <x:c r="AC1231" s="34" t="str">
        <x:v>article1-unified-v4-2-fb3f101b-20260903-000401-default-f05-p6-ehcache-5-after-final-undeploy-final-10s-heap-info.txt</x:v>
      </x:c>
      <x:c r="AD1231" s="34" t="str">
        <x:v>article1-unified-v4-2-fb3f101b-20260903-000401-default-f05-p6-ehcache-5-after-final-undeploy-final-10s-classloader-stats.txt</x:v>
      </x:c>
      <x:c r="AE1231" s="34" t="str">
        <x:v>article1-unified-v4-2-fb3f101b-20260903-000401-default-f05-p6-ehcache-5-after-final-undeploy-final-10s-thread-dump.txt</x:v>
      </x:c>
      <x:c r="AF1231" s="34"/>
      <x:c r="AG1231" s="34" t="str">
        <x:v>article1-unified-v4-2-fb3f101b-20260903-000401-default-f05-p6-ehcache-5-after-final-undeploy-final-10s-native-memory.txt</x:v>
      </x:c>
      <x:c r="AH1231" s="34" t="str">
        <x:v>article1-unified-v4-2-fb3f101b-20260903-000401-default-f05-p6-ehcache-5-after-final-undeploy-final-10s-class-histogram.txt</x:v>
      </x:c>
      <x:c r="AI1231" s="34" t="str">
        <x:v>article1-unified-v4-2-fb3f101b-20260903-000401-default-f05-p6-ehcache-5-after-final-undeploy-tomcat-findleaks.txt</x:v>
      </x:c>
    </x:row>
    <x:row r="1232">
      <x:c r="A1232" s="34" t="str">
        <x:v>article1-unified-v4-2-fb3f101b-20260903-000401-default-f06-p1-nostore</x:v>
      </x:c>
      <x:c r="B1232" s="34" t="str">
        <x:v>default</x:v>
      </x:c>
      <x:c r="C1232" s="34" t="str">
        <x:v>nostore</x:v>
      </x:c>
      <x:c r="D1232" s="34" t="str">
        <x:v>nostore</x:v>
      </x:c>
      <x:c r="E1232" s="36" t="n">
        <x:v>6</x:v>
      </x:c>
      <x:c r="F1232" s="36" t="n">
        <x:v>6</x:v>
      </x:c>
      <x:c r="G1232" s="36" t="n">
        <x:v>1</x:v>
      </x:c>
      <x:c r="H1232" s="36" t="n">
        <x:v>0</x:v>
      </x:c>
      <x:c r="I1232" s="34" t="str">
        <x:v>processBaseline</x:v>
      </x:c>
      <x:c r="J1232" s="34" t="str">
        <x:v>process-baseline</x:v>
      </x:c>
      <x:c r="K1232" s="36" t="n">
        <x:v>0</x:v>
      </x:c>
      <x:c r="L1232" s="34" t="str">
        <x:v>baseline</x:v>
      </x:c>
      <x:c r="M1232" s="34" t="str">
        <x:v>article1-unified-v4-2-fb3f101b-20260903-000401-default-f06-p1-nostore-process-baseline</x:v>
      </x:c>
      <x:c r="N1232" s="38" t="n">
        <x:v>46268.09173443287</x:v>
      </x:c>
      <x:c r="O1232" s="36" t="n">
        <x:v>0</x:v>
      </x:c>
      <x:c r="P1232" s="43" t="n">
        <x:v>32823296</x:v>
      </x:c>
      <x:c r="Q1232" s="43" t="n">
        <x:v>270532608</x:v>
      </x:c>
      <x:c r="R1232" s="43" t="n">
        <x:v>369282048</x:v>
      </x:c>
      <x:c r="S1232" s="36" t="n">
        <x:v>1</x:v>
      </x:c>
      <x:c r="T1232" s="44" t="str">
        <x:v>0x00000000371177b8  0x0000000037003818  0x0000756b9c62de40       0         0         0  org.apache.catalina.loader.ParallelWebappClassLoader</x:v>
      </x:c>
      <x:c r="U1232" s="36" t="n">
        <x:v>27</x:v>
      </x:c>
      <x:c r="V1232" s="36" t="n">
        <x:v>0</x:v>
      </x:c>
      <x:c r="W1232" s="44"/>
      <x:c r="X1232" s="36"/>
      <x:c r="Y1232" s="36"/>
      <x:c r="Z1232" s="44"/>
      <x:c r="AA1232" s="49"/>
      <x:c r="AB1232" s="43"/>
      <x:c r="AC1232" s="34" t="str">
        <x:v>article1-unified-v4-2-fb3f101b-20260903-000401-default-f06-p1-nostore-process-baseline-heap-info.txt</x:v>
      </x:c>
      <x:c r="AD1232" s="34" t="str">
        <x:v>article1-unified-v4-2-fb3f101b-20260903-000401-default-f06-p1-nostore-process-baseline-classloader-stats.txt</x:v>
      </x:c>
      <x:c r="AE1232" s="34" t="str">
        <x:v>article1-unified-v4-2-fb3f101b-20260903-000401-default-f06-p1-nostore-process-baseline-thread-dump.txt</x:v>
      </x:c>
      <x:c r="AF1232" s="34"/>
      <x:c r="AG1232" s="34" t="str">
        <x:v>article1-unified-v4-2-fb3f101b-20260903-000401-default-f06-p1-nostore-process-baseline-native-memory.txt</x:v>
      </x:c>
      <x:c r="AH1232" s="34"/>
      <x:c r="AI1232" s="34"/>
    </x:row>
    <x:row r="1233">
      <x:c r="A1233" s="34" t="str">
        <x:v>article1-unified-v4-2-fb3f101b-20260903-000401-default-f06-p1-nostore</x:v>
      </x:c>
      <x:c r="B1233" s="34" t="str">
        <x:v>default</x:v>
      </x:c>
      <x:c r="C1233" s="34" t="str">
        <x:v>nostore</x:v>
      </x:c>
      <x:c r="D1233" s="34" t="str">
        <x:v>nostore</x:v>
      </x:c>
      <x:c r="E1233" s="36" t="n">
        <x:v>6</x:v>
      </x:c>
      <x:c r="F1233" s="36" t="n">
        <x:v>6</x:v>
      </x:c>
      <x:c r="G1233" s="36" t="n">
        <x:v>1</x:v>
      </x:c>
      <x:c r="H1233" s="36" t="n">
        <x:v>1</x:v>
      </x:c>
      <x:c r="I1233" s="34" t="str">
        <x:v>baseline</x:v>
      </x:c>
      <x:c r="J1233" s="34" t="str">
        <x:v>cycle-baseline</x:v>
      </x:c>
      <x:c r="K1233" s="36" t="n">
        <x:v>0</x:v>
      </x:c>
      <x:c r="L1233" s="34" t="str">
        <x:v>baseline</x:v>
      </x:c>
      <x:c r="M1233" s="34" t="str">
        <x:v>article1-unified-v4-2-fb3f101b-20260903-000401-default-f06-p1-nostore-1-baseline</x:v>
      </x:c>
      <x:c r="N1233" s="38" t="n">
        <x:v>46268.09191634259</x:v>
      </x:c>
      <x:c r="O1233" s="36" t="n">
        <x:v>0</x:v>
      </x:c>
      <x:c r="P1233" s="43" t="n">
        <x:v>33347584</x:v>
      </x:c>
      <x:c r="Q1233" s="43" t="n">
        <x:v>270532608</x:v>
      </x:c>
      <x:c r="R1233" s="43" t="n">
        <x:v>369867776</x:v>
      </x:c>
      <x:c r="S1233" s="36" t="n">
        <x:v>1</x:v>
      </x:c>
      <x:c r="T1233" s="44" t="str">
        <x:v>0x00000000371177b8  0x0000000037003818  0x0000756b9c62de40       0         0         0  org.apache.catalina.loader.ParallelWebappClassLoader</x:v>
      </x:c>
      <x:c r="U1233" s="36" t="n">
        <x:v>27</x:v>
      </x:c>
      <x:c r="V1233" s="36" t="n">
        <x:v>0</x:v>
      </x:c>
      <x:c r="W1233" s="44"/>
      <x:c r="X1233" s="36"/>
      <x:c r="Y1233" s="36"/>
      <x:c r="Z1233" s="44"/>
      <x:c r="AA1233" s="49"/>
      <x:c r="AB1233" s="43"/>
      <x:c r="AC1233" s="34" t="str">
        <x:v>article1-unified-v4-2-fb3f101b-20260903-000401-default-f06-p1-nostore-1-baseline-heap-info.txt</x:v>
      </x:c>
      <x:c r="AD1233" s="34" t="str">
        <x:v>article1-unified-v4-2-fb3f101b-20260903-000401-default-f06-p1-nostore-1-baseline-classloader-stats.txt</x:v>
      </x:c>
      <x:c r="AE1233" s="34" t="str">
        <x:v>article1-unified-v4-2-fb3f101b-20260903-000401-default-f06-p1-nostore-1-baseline-thread-dump.txt</x:v>
      </x:c>
      <x:c r="AF1233" s="34"/>
      <x:c r="AG1233" s="34" t="str">
        <x:v>article1-unified-v4-2-fb3f101b-20260903-000401-default-f06-p1-nostore-1-baseline-native-memory.txt</x:v>
      </x:c>
      <x:c r="AH1233" s="34"/>
      <x:c r="AI1233" s="34"/>
    </x:row>
    <x:row r="1234">
      <x:c r="A1234" s="34" t="str">
        <x:v>article1-unified-v4-2-fb3f101b-20260903-000401-default-f06-p1-nostore</x:v>
      </x:c>
      <x:c r="B1234" s="34" t="str">
        <x:v>default</x:v>
      </x:c>
      <x:c r="C1234" s="34" t="str">
        <x:v>nostore</x:v>
      </x:c>
      <x:c r="D1234" s="34" t="str">
        <x:v>nostore</x:v>
      </x:c>
      <x:c r="E1234" s="36" t="n">
        <x:v>6</x:v>
      </x:c>
      <x:c r="F1234" s="36" t="n">
        <x:v>6</x:v>
      </x:c>
      <x:c r="G1234" s="36" t="n">
        <x:v>1</x:v>
      </x:c>
      <x:c r="H1234" s="36" t="n">
        <x:v>1</x:v>
      </x:c>
      <x:c r="I1234" s="34" t="str">
        <x:v>deployedIdle</x:v>
      </x:c>
      <x:c r="J1234" s="34" t="str">
        <x:v>deployed-idle</x:v>
      </x:c>
      <x:c r="K1234" s="36" t="n">
        <x:v>0</x:v>
      </x:c>
      <x:c r="L1234" s="34" t="str">
        <x:v>initial</x:v>
      </x:c>
      <x:c r="M1234" s="34" t="str">
        <x:v>article1-unified-v4-2-fb3f101b-20260903-000401-default-f06-p1-nostore-1-deployed-idle</x:v>
      </x:c>
      <x:c r="N1234" s="38" t="n">
        <x:v>46268.09202287037</x:v>
      </x:c>
      <x:c r="O1234" s="36" t="n">
        <x:v>0</x:v>
      </x:c>
      <x:c r="P1234" s="43" t="n">
        <x:v>22746112</x:v>
      </x:c>
      <x:c r="Q1234" s="43" t="n">
        <x:v>268435456</x:v>
      </x:c>
      <x:c r="R1234" s="43" t="n">
        <x:v>427132928</x:v>
      </x:c>
      <x:c r="S1234" s="36" t="n">
        <x:v>2</x:v>
      </x:c>
      <x:c r="T1234" s="44" t="str">
        <x:v>0x00000000371177b8  0x0000000037003818  0x0000756af4031900    4091  19423232  19412024  org.apache.catalina.loader.ParallelWebappClassLoader | 0x00000000371177b8  0x0000000037003818  0x0000756b9c62de40       0         0         0  org.apache.catalina.loader.ParallelWebappClassLoader</x:v>
      </x:c>
      <x:c r="U1234" s="36" t="n">
        <x:v>27</x:v>
      </x:c>
      <x:c r="V1234" s="36" t="n">
        <x:v>0</x:v>
      </x:c>
      <x:c r="W1234" s="44"/>
      <x:c r="X1234" s="36"/>
      <x:c r="Y1234" s="36"/>
      <x:c r="Z1234" s="44"/>
      <x:c r="AA1234" s="49"/>
      <x:c r="AB1234" s="43"/>
      <x:c r="AC1234" s="34"/>
      <x:c r="AD1234" s="34"/>
      <x:c r="AE1234" s="34"/>
      <x:c r="AF1234" s="34"/>
      <x:c r="AG1234" s="34"/>
      <x:c r="AH1234" s="34"/>
      <x:c r="AI1234" s="34"/>
    </x:row>
    <x:row r="1235">
      <x:c r="A1235" s="34" t="str">
        <x:v>article1-unified-v4-2-fb3f101b-20260903-000401-default-f06-p1-nostore</x:v>
      </x:c>
      <x:c r="B1235" s="34" t="str">
        <x:v>default</x:v>
      </x:c>
      <x:c r="C1235" s="34" t="str">
        <x:v>nostore</x:v>
      </x:c>
      <x:c r="D1235" s="34" t="str">
        <x:v>nostore</x:v>
      </x:c>
      <x:c r="E1235" s="36" t="n">
        <x:v>6</x:v>
      </x:c>
      <x:c r="F1235" s="36" t="n">
        <x:v>6</x:v>
      </x:c>
      <x:c r="G1235" s="36" t="n">
        <x:v>1</x:v>
      </x:c>
      <x:c r="H1235" s="36" t="n">
        <x:v>1</x:v>
      </x:c>
      <x:c r="I1235" s="34" t="str">
        <x:v>loaded</x:v>
      </x:c>
      <x:c r="J1235" s="34" t="str">
        <x:v>loaded</x:v>
      </x:c>
      <x:c r="K1235" s="36" t="n">
        <x:v>0</x:v>
      </x:c>
      <x:c r="L1235" s="34" t="str">
        <x:v>initial</x:v>
      </x:c>
      <x:c r="M1235" s="34" t="str">
        <x:v>article1-unified-v4-2-fb3f101b-20260903-000401-default-f06-p1-nostore-1-loaded</x:v>
      </x:c>
      <x:c r="N1235" s="38" t="n">
        <x:v>46268.0921746875</x:v>
      </x:c>
      <x:c r="O1235" s="36" t="n">
        <x:v>0</x:v>
      </x:c>
      <x:c r="P1235" s="43" t="n">
        <x:v>111006720</x:v>
      </x:c>
      <x:c r="Q1235" s="43" t="n">
        <x:v>478150656</x:v>
      </x:c>
      <x:c r="R1235" s="43" t="n">
        <x:v>623422464</x:v>
      </x:c>
      <x:c r="S1235" s="36" t="n">
        <x:v>2</x:v>
      </x:c>
      <x:c r="T1235" s="44" t="str">
        <x:v>0x00000000371177b8  0x0000000037003818  0x0000756af4031900    4296  20464640  20437392  org.apache.catalina.loader.ParallelWebappClassLoader | 0x00000000371177b8  0x0000000037003818  0x0000756b9c62de40       0         0         0  org.apache.catalina.loader.ParallelWebappClassLoader</x:v>
      </x:c>
      <x:c r="U1235" s="36" t="n">
        <x:v>27</x:v>
      </x:c>
      <x:c r="V1235" s="36" t="n">
        <x:v>0</x:v>
      </x:c>
      <x:c r="W1235" s="44"/>
      <x:c r="X1235" s="36"/>
      <x:c r="Y1235" s="36"/>
      <x:c r="Z1235" s="44"/>
      <x:c r="AA1235" s="49"/>
      <x:c r="AB1235" s="43"/>
      <x:c r="AC1235" s="34"/>
      <x:c r="AD1235" s="34"/>
      <x:c r="AE1235" s="34"/>
      <x:c r="AF1235" s="34"/>
      <x:c r="AG1235" s="34"/>
      <x:c r="AH1235" s="34"/>
      <x:c r="AI1235" s="34"/>
    </x:row>
    <x:row r="1236">
      <x:c r="A1236" s="34" t="str">
        <x:v>article1-unified-v4-2-fb3f101b-20260903-000401-default-f06-p1-nostore</x:v>
      </x:c>
      <x:c r="B1236" s="34" t="str">
        <x:v>default</x:v>
      </x:c>
      <x:c r="C1236" s="34" t="str">
        <x:v>nostore</x:v>
      </x:c>
      <x:c r="D1236" s="34" t="str">
        <x:v>nostore</x:v>
      </x:c>
      <x:c r="E1236" s="36" t="n">
        <x:v>6</x:v>
      </x:c>
      <x:c r="F1236" s="36" t="n">
        <x:v>6</x:v>
      </x:c>
      <x:c r="G1236" s="36" t="n">
        <x:v>1</x:v>
      </x:c>
      <x:c r="H1236" s="36" t="n">
        <x:v>1</x:v>
      </x:c>
      <x:c r="I1236" s="34" t="str">
        <x:v>afterUndeployEarly</x:v>
      </x:c>
      <x:c r="J1236" s="34" t="str">
        <x:v>after-undeploy-early</x:v>
      </x:c>
      <x:c r="K1236" s="36" t="n">
        <x:v>1</x:v>
      </x:c>
      <x:c r="L1236" s="34" t="str">
        <x:v>early</x:v>
      </x:c>
      <x:c r="M1236" s="34" t="str">
        <x:v>article1-unified-v4-2-fb3f101b-20260903-000401-default-f06-p1-nostore-1-after-undeploy-early-2s</x:v>
      </x:c>
      <x:c r="N1236" s="38" t="n">
        <x:v>46268.09225702546</x:v>
      </x:c>
      <x:c r="O1236" s="36"/>
      <x:c r="P1236" s="43"/>
      <x:c r="Q1236" s="43"/>
      <x:c r="R1236" s="43"/>
      <x:c r="S1236" s="36"/>
      <x:c r="T1236" s="44"/>
      <x:c r="U1236" s="36" t="n">
        <x:v>27</x:v>
      </x:c>
      <x:c r="V1236" s="36" t="n">
        <x:v>0</x:v>
      </x:c>
      <x:c r="W1236" s="44"/>
      <x:c r="X1236" s="36"/>
      <x:c r="Y1236" s="36"/>
      <x:c r="Z1236" s="44"/>
      <x:c r="AA1236" s="49"/>
      <x:c r="AB1236" s="43" t="n">
        <x:v>1</x:v>
      </x:c>
      <x:c r="AC1236" s="34"/>
      <x:c r="AD1236" s="34"/>
      <x:c r="AE1236" s="34" t="str">
        <x:v>article1-unified-v4-2-fb3f101b-20260903-000401-default-f06-p1-nostore-1-after-undeploy-early-2s-thread-dump.txt</x:v>
      </x:c>
      <x:c r="AF1236" s="34" t="str">
        <x:v>article1-unified-v4-2-fb3f101b-20260903-000401-default-f06-p1-nostore-1-after-undeploy-early-tomcat-log.txt</x:v>
      </x:c>
      <x:c r="AG1236" s="34"/>
      <x:c r="AH1236" s="34"/>
      <x:c r="AI1236" s="34"/>
    </x:row>
    <x:row r="1237">
      <x:c r="A1237" s="34" t="str">
        <x:v>article1-unified-v4-2-fb3f101b-20260903-000401-default-f06-p1-nostore</x:v>
      </x:c>
      <x:c r="B1237" s="34" t="str">
        <x:v>default</x:v>
      </x:c>
      <x:c r="C1237" s="34" t="str">
        <x:v>nostore</x:v>
      </x:c>
      <x:c r="D1237" s="34" t="str">
        <x:v>nostore</x:v>
      </x:c>
      <x:c r="E1237" s="36" t="n">
        <x:v>6</x:v>
      </x:c>
      <x:c r="F1237" s="36" t="n">
        <x:v>6</x:v>
      </x:c>
      <x:c r="G1237" s="36" t="n">
        <x:v>1</x:v>
      </x:c>
      <x:c r="H1237" s="36" t="n">
        <x:v>1</x:v>
      </x:c>
      <x:c r="I1237" s="34" t="str">
        <x:v>afterUndeploy</x:v>
      </x:c>
      <x:c r="J1237" s="34" t="str">
        <x:v>after-undeploy-final</x:v>
      </x:c>
      <x:c r="K1237" s="36" t="n">
        <x:v>1</x:v>
      </x:c>
      <x:c r="L1237" s="34" t="str">
        <x:v>final</x:v>
      </x:c>
      <x:c r="M1237" s="34" t="str">
        <x:v>article1-unified-v4-2-fb3f101b-20260903-000401-default-f06-p1-nostore-1-after-undeploy-final-10s</x:v>
      </x:c>
      <x:c r="N1237" s="38" t="n">
        <x:v>46268.09241502315</x:v>
      </x:c>
      <x:c r="O1237" s="36" t="n">
        <x:v>2</x:v>
      </x:c>
      <x:c r="P1237" s="43" t="n">
        <x:v>15364096</x:v>
      </x:c>
      <x:c r="Q1237" s="43" t="n">
        <x:v>268435456</x:v>
      </x:c>
      <x:c r="R1237" s="43" t="n">
        <x:v>408345600</x:v>
      </x:c>
      <x:c r="S1237" s="36" t="n">
        <x:v>2</x:v>
      </x:c>
      <x:c r="T1237" s="44" t="str">
        <x:v>0x00000000371177b8  0x0000000037003818  0x0000756af4031900    4304  20485120  20462024  org.apache.catalina.loader.ParallelWebappClassLoader | 0x00000000371177b8  0x0000000037003818  0x0000756b9c62de40       0         0         0  org.apache.catalina.loader.ParallelWebappClassLoader</x:v>
      </x:c>
      <x:c r="U1237" s="36" t="n">
        <x:v>27</x:v>
      </x:c>
      <x:c r="V1237" s="36" t="n">
        <x:v>0</x:v>
      </x:c>
      <x:c r="W1237" s="44"/>
      <x:c r="X1237" s="36" t="n">
        <x:v>1</x:v>
      </x:c>
      <x:c r="Y1237" s="36" t="n">
        <x:v>1</x:v>
      </x:c>
      <x:c r="Z1237" s="44" t="str">
        <x:v>/nostore</x:v>
      </x:c>
      <x:c r="AA1237" s="45" t="b">
        <x:v>1</x:v>
      </x:c>
      <x:c r="AB1237" s="43"/>
      <x:c r="AC1237" s="34" t="str">
        <x:v>article1-unified-v4-2-fb3f101b-20260903-000401-default-f06-p1-nostore-1-after-undeploy-final-10s-heap-info.txt</x:v>
      </x:c>
      <x:c r="AD1237" s="34" t="str">
        <x:v>article1-unified-v4-2-fb3f101b-20260903-000401-default-f06-p1-nostore-1-after-undeploy-final-10s-classloader-stats.txt</x:v>
      </x:c>
      <x:c r="AE1237" s="34" t="str">
        <x:v>article1-unified-v4-2-fb3f101b-20260903-000401-default-f06-p1-nostore-1-after-undeploy-final-10s-thread-dump.txt</x:v>
      </x:c>
      <x:c r="AF1237" s="34"/>
      <x:c r="AG1237" s="34" t="str">
        <x:v>article1-unified-v4-2-fb3f101b-20260903-000401-default-f06-p1-nostore-1-after-undeploy-final-10s-native-memory.txt</x:v>
      </x:c>
      <x:c r="AH1237" s="34" t="str">
        <x:v>article1-unified-v4-2-fb3f101b-20260903-000401-default-f06-p1-nostore-1-after-undeploy-final-10s-class-histogram.txt</x:v>
      </x:c>
      <x:c r="AI1237" s="34" t="str">
        <x:v>article1-unified-v4-2-fb3f101b-20260903-000401-default-f06-p1-nostore-1-after-undeploy-tomcat-findleaks.txt</x:v>
      </x:c>
    </x:row>
    <x:row r="1238">
      <x:c r="A1238" s="34" t="str">
        <x:v>article1-unified-v4-2-fb3f101b-20260903-000401-default-f06-p1-nostore</x:v>
      </x:c>
      <x:c r="B1238" s="34" t="str">
        <x:v>default</x:v>
      </x:c>
      <x:c r="C1238" s="34" t="str">
        <x:v>nostore</x:v>
      </x:c>
      <x:c r="D1238" s="34" t="str">
        <x:v>nostore</x:v>
      </x:c>
      <x:c r="E1238" s="36" t="n">
        <x:v>6</x:v>
      </x:c>
      <x:c r="F1238" s="36" t="n">
        <x:v>6</x:v>
      </x:c>
      <x:c r="G1238" s="36" t="n">
        <x:v>1</x:v>
      </x:c>
      <x:c r="H1238" s="36" t="n">
        <x:v>1</x:v>
      </x:c>
      <x:c r="I1238" s="34" t="str">
        <x:v>redeployedLoaded</x:v>
      </x:c>
      <x:c r="J1238" s="34" t="str">
        <x:v>redeployed-loaded</x:v>
      </x:c>
      <x:c r="K1238" s="36" t="n">
        <x:v>0</x:v>
      </x:c>
      <x:c r="L1238" s="34" t="str">
        <x:v>redeploy</x:v>
      </x:c>
      <x:c r="M1238" s="34" t="str">
        <x:v>article1-unified-v4-2-fb3f101b-20260903-000401-default-f06-p1-nostore-1-redeployed-loaded</x:v>
      </x:c>
      <x:c r="N1238" s="38" t="n">
        <x:v>46268.09268792824</x:v>
      </x:c>
      <x:c r="O1238" s="36" t="n">
        <x:v>0</x:v>
      </x:c>
      <x:c r="P1238" s="43" t="n">
        <x:v>304335872</x:v>
      </x:c>
      <x:c r="Q1238" s="43" t="n">
        <x:v>331350016</x:v>
      </x:c>
      <x:c r="R1238" s="43" t="n">
        <x:v>479978496</x:v>
      </x:c>
      <x:c r="S1238" s="36" t="n">
        <x:v>2</x:v>
      </x:c>
      <x:c r="T1238" s="44" t="str">
        <x:v>0x00000000371177b8  0x0000000037003818  0x0000756af40207e0    4290  20438016  20421168  org.apache.catalina.loader.ParallelWebappClassLoader | 0x00000000371177b8  0x0000000037003818  0x0000756b9c62de40       0         0         0  org.apache.catalina.loader.ParallelWebappClassLoader</x:v>
      </x:c>
      <x:c r="U1238" s="36" t="n">
        <x:v>27</x:v>
      </x:c>
      <x:c r="V1238" s="36" t="n">
        <x:v>0</x:v>
      </x:c>
      <x:c r="W1238" s="44"/>
      <x:c r="X1238" s="36"/>
      <x:c r="Y1238" s="36"/>
      <x:c r="Z1238" s="44"/>
      <x:c r="AA1238" s="49"/>
      <x:c r="AB1238" s="43"/>
      <x:c r="AC1238" s="34"/>
      <x:c r="AD1238" s="34"/>
      <x:c r="AE1238" s="34"/>
      <x:c r="AF1238" s="34"/>
      <x:c r="AG1238" s="34"/>
      <x:c r="AH1238" s="34"/>
      <x:c r="AI1238" s="34"/>
    </x:row>
    <x:row r="1239">
      <x:c r="A1239" s="34" t="str">
        <x:v>article1-unified-v4-2-fb3f101b-20260903-000401-default-f06-p1-nostore</x:v>
      </x:c>
      <x:c r="B1239" s="34" t="str">
        <x:v>default</x:v>
      </x:c>
      <x:c r="C1239" s="34" t="str">
        <x:v>nostore</x:v>
      </x:c>
      <x:c r="D1239" s="34" t="str">
        <x:v>nostore</x:v>
      </x:c>
      <x:c r="E1239" s="36" t="n">
        <x:v>6</x:v>
      </x:c>
      <x:c r="F1239" s="36" t="n">
        <x:v>6</x:v>
      </x:c>
      <x:c r="G1239" s="36" t="n">
        <x:v>1</x:v>
      </x:c>
      <x:c r="H1239" s="36" t="n">
        <x:v>1</x:v>
      </x:c>
      <x:c r="I1239" s="34" t="str">
        <x:v>afterFinalUndeployEarly</x:v>
      </x:c>
      <x:c r="J1239" s="34" t="str">
        <x:v>after-final-undeploy-early</x:v>
      </x:c>
      <x:c r="K1239" s="36" t="n">
        <x:v>2</x:v>
      </x:c>
      <x:c r="L1239" s="34" t="str">
        <x:v>early</x:v>
      </x:c>
      <x:c r="M1239" s="34" t="str">
        <x:v>article1-unified-v4-2-fb3f101b-20260903-000401-default-f06-p1-nostore-1-after-final-undeploy-early-2s</x:v>
      </x:c>
      <x:c r="N1239" s="38" t="n">
        <x:v>46268.09277269676</x:v>
      </x:c>
      <x:c r="O1239" s="36"/>
      <x:c r="P1239" s="43"/>
      <x:c r="Q1239" s="43"/>
      <x:c r="R1239" s="43"/>
      <x:c r="S1239" s="36"/>
      <x:c r="T1239" s="44"/>
      <x:c r="U1239" s="36" t="n">
        <x:v>27</x:v>
      </x:c>
      <x:c r="V1239" s="36" t="n">
        <x:v>0</x:v>
      </x:c>
      <x:c r="W1239" s="44"/>
      <x:c r="X1239" s="36"/>
      <x:c r="Y1239" s="36"/>
      <x:c r="Z1239" s="44"/>
      <x:c r="AA1239" s="49"/>
      <x:c r="AB1239" s="43" t="n">
        <x:v>1</x:v>
      </x:c>
      <x:c r="AC1239" s="34"/>
      <x:c r="AD1239" s="34"/>
      <x:c r="AE1239" s="34" t="str">
        <x:v>article1-unified-v4-2-fb3f101b-20260903-000401-default-f06-p1-nostore-1-after-final-undeploy-early-2s-thread-dump.txt</x:v>
      </x:c>
      <x:c r="AF1239" s="34" t="str">
        <x:v>article1-unified-v4-2-fb3f101b-20260903-000401-default-f06-p1-nostore-1-after-final-undeploy-early-tomcat-log.txt</x:v>
      </x:c>
      <x:c r="AG1239" s="34"/>
      <x:c r="AH1239" s="34"/>
      <x:c r="AI1239" s="34"/>
    </x:row>
    <x:row r="1240">
      <x:c r="A1240" s="34" t="str">
        <x:v>article1-unified-v4-2-fb3f101b-20260903-000401-default-f06-p1-nostore</x:v>
      </x:c>
      <x:c r="B1240" s="34" t="str">
        <x:v>default</x:v>
      </x:c>
      <x:c r="C1240" s="34" t="str">
        <x:v>nostore</x:v>
      </x:c>
      <x:c r="D1240" s="34" t="str">
        <x:v>nostore</x:v>
      </x:c>
      <x:c r="E1240" s="36" t="n">
        <x:v>6</x:v>
      </x:c>
      <x:c r="F1240" s="36" t="n">
        <x:v>6</x:v>
      </x:c>
      <x:c r="G1240" s="36" t="n">
        <x:v>1</x:v>
      </x:c>
      <x:c r="H1240" s="36" t="n">
        <x:v>1</x:v>
      </x:c>
      <x:c r="I1240" s="34" t="str">
        <x:v>afterFinalUndeploy</x:v>
      </x:c>
      <x:c r="J1240" s="34" t="str">
        <x:v>after-final-undeploy-final</x:v>
      </x:c>
      <x:c r="K1240" s="36" t="n">
        <x:v>2</x:v>
      </x:c>
      <x:c r="L1240" s="34" t="str">
        <x:v>final</x:v>
      </x:c>
      <x:c r="M1240" s="34" t="str">
        <x:v>article1-unified-v4-2-fb3f101b-20260903-000401-default-f06-p1-nostore-1-after-final-undeploy-final-10s</x:v>
      </x:c>
      <x:c r="N1240" s="38" t="n">
        <x:v>46268.09292638889</x:v>
      </x:c>
      <x:c r="O1240" s="36" t="n">
        <x:v>2</x:v>
      </x:c>
      <x:c r="P1240" s="43" t="n">
        <x:v>15344640</x:v>
      </x:c>
      <x:c r="Q1240" s="43" t="n">
        <x:v>268435456</x:v>
      </x:c>
      <x:c r="R1240" s="43" t="n">
        <x:v>415036416</x:v>
      </x:c>
      <x:c r="S1240" s="36" t="n">
        <x:v>2</x:v>
      </x:c>
      <x:c r="T1240" s="44" t="str">
        <x:v>0x00000000371177b8  0x0000000037003818  0x0000756b9c62de40       0         0         0  org.apache.catalina.loader.ParallelWebappClassLoader | 0x00000000371177b8  0x0000000037003818  0x0000756af40207e0    4298  20470784  20445744  org.apache.catalina.loader.ParallelWebappClassLoader</x:v>
      </x:c>
      <x:c r="U1240" s="36" t="n">
        <x:v>27</x:v>
      </x:c>
      <x:c r="V1240" s="36" t="n">
        <x:v>0</x:v>
      </x:c>
      <x:c r="W1240" s="44"/>
      <x:c r="X1240" s="36" t="n">
        <x:v>1</x:v>
      </x:c>
      <x:c r="Y1240" s="36" t="n">
        <x:v>1</x:v>
      </x:c>
      <x:c r="Z1240" s="44" t="str">
        <x:v>/nostore</x:v>
      </x:c>
      <x:c r="AA1240" s="45" t="b">
        <x:v>1</x:v>
      </x:c>
      <x:c r="AB1240" s="43"/>
      <x:c r="AC1240" s="34" t="str">
        <x:v>article1-unified-v4-2-fb3f101b-20260903-000401-default-f06-p1-nostore-1-after-final-undeploy-final-10s-heap-info.txt</x:v>
      </x:c>
      <x:c r="AD1240" s="34" t="str">
        <x:v>article1-unified-v4-2-fb3f101b-20260903-000401-default-f06-p1-nostore-1-after-final-undeploy-final-10s-classloader-stats.txt</x:v>
      </x:c>
      <x:c r="AE1240" s="34" t="str">
        <x:v>article1-unified-v4-2-fb3f101b-20260903-000401-default-f06-p1-nostore-1-after-final-undeploy-final-10s-thread-dump.txt</x:v>
      </x:c>
      <x:c r="AF1240" s="34"/>
      <x:c r="AG1240" s="34" t="str">
        <x:v>article1-unified-v4-2-fb3f101b-20260903-000401-default-f06-p1-nostore-1-after-final-undeploy-final-10s-native-memory.txt</x:v>
      </x:c>
      <x:c r="AH1240" s="34" t="str">
        <x:v>article1-unified-v4-2-fb3f101b-20260903-000401-default-f06-p1-nostore-1-after-final-undeploy-final-10s-class-histogram.txt</x:v>
      </x:c>
      <x:c r="AI1240" s="34" t="str">
        <x:v>article1-unified-v4-2-fb3f101b-20260903-000401-default-f06-p1-nostore-1-after-final-undeploy-tomcat-findleaks.txt</x:v>
      </x:c>
    </x:row>
    <x:row r="1241">
      <x:c r="A1241" s="34" t="str">
        <x:v>article1-unified-v4-2-fb3f101b-20260903-000401-default-f06-p1-nostore</x:v>
      </x:c>
      <x:c r="B1241" s="34" t="str">
        <x:v>default</x:v>
      </x:c>
      <x:c r="C1241" s="34" t="str">
        <x:v>nostore</x:v>
      </x:c>
      <x:c r="D1241" s="34" t="str">
        <x:v>nostore</x:v>
      </x:c>
      <x:c r="E1241" s="36" t="n">
        <x:v>6</x:v>
      </x:c>
      <x:c r="F1241" s="36" t="n">
        <x:v>6</x:v>
      </x:c>
      <x:c r="G1241" s="36" t="n">
        <x:v>1</x:v>
      </x:c>
      <x:c r="H1241" s="36" t="n">
        <x:v>2</x:v>
      </x:c>
      <x:c r="I1241" s="34" t="str">
        <x:v>baseline</x:v>
      </x:c>
      <x:c r="J1241" s="34" t="str">
        <x:v>cycle-baseline</x:v>
      </x:c>
      <x:c r="K1241" s="36" t="n">
        <x:v>0</x:v>
      </x:c>
      <x:c r="L1241" s="34" t="str">
        <x:v>baseline</x:v>
      </x:c>
      <x:c r="M1241" s="34" t="str">
        <x:v>article1-unified-v4-2-fb3f101b-20260903-000401-default-f06-p1-nostore-2-baseline</x:v>
      </x:c>
      <x:c r="N1241" s="38" t="n">
        <x:v>46268.092965324075</x:v>
      </x:c>
      <x:c r="O1241" s="36" t="n">
        <x:v>0</x:v>
      </x:c>
      <x:c r="P1241" s="43" t="n">
        <x:v>15344640</x:v>
      </x:c>
      <x:c r="Q1241" s="43" t="n">
        <x:v>268435456</x:v>
      </x:c>
      <x:c r="R1241" s="43" t="n">
        <x:v>415102976</x:v>
      </x:c>
      <x:c r="S1241" s="36" t="n">
        <x:v>2</x:v>
      </x:c>
      <x:c r="T1241" s="44" t="str">
        <x:v>0x00000000371177b8  0x0000000037003818  0x0000756b9c62de40       0         0         0  org.apache.catalina.loader.ParallelWebappClassLoader | 0x00000000371177b8  0x0000000037003818  0x0000756af40207e0    4298  20470784  20445744  org.apache.catalina.loader.ParallelWebappClassLoader</x:v>
      </x:c>
      <x:c r="U1241" s="36" t="n">
        <x:v>27</x:v>
      </x:c>
      <x:c r="V1241" s="36" t="n">
        <x:v>0</x:v>
      </x:c>
      <x:c r="W1241" s="44"/>
      <x:c r="X1241" s="36"/>
      <x:c r="Y1241" s="36"/>
      <x:c r="Z1241" s="44"/>
      <x:c r="AA1241" s="49"/>
      <x:c r="AB1241" s="43"/>
      <x:c r="AC1241" s="34" t="str">
        <x:v>article1-unified-v4-2-fb3f101b-20260903-000401-default-f06-p1-nostore-2-baseline-heap-info.txt</x:v>
      </x:c>
      <x:c r="AD1241" s="34" t="str">
        <x:v>article1-unified-v4-2-fb3f101b-20260903-000401-default-f06-p1-nostore-2-baseline-classloader-stats.txt</x:v>
      </x:c>
      <x:c r="AE1241" s="34" t="str">
        <x:v>article1-unified-v4-2-fb3f101b-20260903-000401-default-f06-p1-nostore-2-baseline-thread-dump.txt</x:v>
      </x:c>
      <x:c r="AF1241" s="34"/>
      <x:c r="AG1241" s="34" t="str">
        <x:v>article1-unified-v4-2-fb3f101b-20260903-000401-default-f06-p1-nostore-2-baseline-native-memory.txt</x:v>
      </x:c>
      <x:c r="AH1241" s="34"/>
      <x:c r="AI1241" s="34"/>
    </x:row>
    <x:row r="1242">
      <x:c r="A1242" s="34" t="str">
        <x:v>article1-unified-v4-2-fb3f101b-20260903-000401-default-f06-p1-nostore</x:v>
      </x:c>
      <x:c r="B1242" s="34" t="str">
        <x:v>default</x:v>
      </x:c>
      <x:c r="C1242" s="34" t="str">
        <x:v>nostore</x:v>
      </x:c>
      <x:c r="D1242" s="34" t="str">
        <x:v>nostore</x:v>
      </x:c>
      <x:c r="E1242" s="36" t="n">
        <x:v>6</x:v>
      </x:c>
      <x:c r="F1242" s="36" t="n">
        <x:v>6</x:v>
      </x:c>
      <x:c r="G1242" s="36" t="n">
        <x:v>1</x:v>
      </x:c>
      <x:c r="H1242" s="36" t="n">
        <x:v>2</x:v>
      </x:c>
      <x:c r="I1242" s="34" t="str">
        <x:v>deployedIdle</x:v>
      </x:c>
      <x:c r="J1242" s="34" t="str">
        <x:v>deployed-idle</x:v>
      </x:c>
      <x:c r="K1242" s="36" t="n">
        <x:v>0</x:v>
      </x:c>
      <x:c r="L1242" s="34" t="str">
        <x:v>initial</x:v>
      </x:c>
      <x:c r="M1242" s="34" t="str">
        <x:v>article1-unified-v4-2-fb3f101b-20260903-000401-default-f06-p1-nostore-2-deployed-idle</x:v>
      </x:c>
      <x:c r="N1242" s="38" t="n">
        <x:v>46268.093065810186</x:v>
      </x:c>
      <x:c r="O1242" s="36" t="n">
        <x:v>0</x:v>
      </x:c>
      <x:c r="P1242" s="43" t="n">
        <x:v>109099008</x:v>
      </x:c>
      <x:c r="Q1242" s="43" t="n">
        <x:v>268435456</x:v>
      </x:c>
      <x:c r="R1242" s="43" t="n">
        <x:v>451055616</x:v>
      </x:c>
      <x:c r="S1242" s="36" t="n">
        <x:v>3</x:v>
      </x:c>
      <x:c r="T1242" s="44" t="str">
        <x:v>0x00000000371177b8  0x0000000037003818  0x0000756b9c62de40       0         0         0  org.apache.catalina.loader.ParallelWebappClassLoader | 0x00000000371177b8  0x0000000037003818  0x0000756af40207e0    4298  20470784  20445744  org.apache.catalina.loader.ParallelWebappClassLoader | 0x00000000371177b8  0x0000000037003818  0x0000756b14090b00    4091  19434496  19429136  org.apache.catalina.loader.ParallelWebappClassLoader</x:v>
      </x:c>
      <x:c r="U1242" s="36" t="n">
        <x:v>27</x:v>
      </x:c>
      <x:c r="V1242" s="36" t="n">
        <x:v>0</x:v>
      </x:c>
      <x:c r="W1242" s="44"/>
      <x:c r="X1242" s="36"/>
      <x:c r="Y1242" s="36"/>
      <x:c r="Z1242" s="44"/>
      <x:c r="AA1242" s="49"/>
      <x:c r="AB1242" s="43"/>
      <x:c r="AC1242" s="34"/>
      <x:c r="AD1242" s="34"/>
      <x:c r="AE1242" s="34"/>
      <x:c r="AF1242" s="34"/>
      <x:c r="AG1242" s="34"/>
      <x:c r="AH1242" s="34"/>
      <x:c r="AI1242" s="34"/>
    </x:row>
    <x:row r="1243">
      <x:c r="A1243" s="34" t="str">
        <x:v>article1-unified-v4-2-fb3f101b-20260903-000401-default-f06-p1-nostore</x:v>
      </x:c>
      <x:c r="B1243" s="34" t="str">
        <x:v>default</x:v>
      </x:c>
      <x:c r="C1243" s="34" t="str">
        <x:v>nostore</x:v>
      </x:c>
      <x:c r="D1243" s="34" t="str">
        <x:v>nostore</x:v>
      </x:c>
      <x:c r="E1243" s="36" t="n">
        <x:v>6</x:v>
      </x:c>
      <x:c r="F1243" s="36" t="n">
        <x:v>6</x:v>
      </x:c>
      <x:c r="G1243" s="36" t="n">
        <x:v>1</x:v>
      </x:c>
      <x:c r="H1243" s="36" t="n">
        <x:v>2</x:v>
      </x:c>
      <x:c r="I1243" s="34" t="str">
        <x:v>loaded</x:v>
      </x:c>
      <x:c r="J1243" s="34" t="str">
        <x:v>loaded</x:v>
      </x:c>
      <x:c r="K1243" s="36" t="n">
        <x:v>0</x:v>
      </x:c>
      <x:c r="L1243" s="34" t="str">
        <x:v>initial</x:v>
      </x:c>
      <x:c r="M1243" s="34" t="str">
        <x:v>article1-unified-v4-2-fb3f101b-20260903-000401-default-f06-p1-nostore-2-loaded</x:v>
      </x:c>
      <x:c r="N1243" s="38" t="n">
        <x:v>46268.093218761576</x:v>
      </x:c>
      <x:c r="O1243" s="36" t="n">
        <x:v>0</x:v>
      </x:c>
      <x:c r="P1243" s="43" t="n">
        <x:v>320914432</x:v>
      </x:c>
      <x:c r="Q1243" s="43" t="n">
        <x:v>334495744</x:v>
      </x:c>
      <x:c r="R1243" s="43" t="n">
        <x:v>481454080</x:v>
      </x:c>
      <x:c r="S1243" s="36" t="n">
        <x:v>2</x:v>
      </x:c>
      <x:c r="T1243" s="44" t="str">
        <x:v>0x00000000371177b8  0x0000000037003818  0x0000756b9c62de40       0         0         0  org.apache.catalina.loader.ParallelWebappClassLoader | 0x00000000371177b8  0x0000000037003818  0x0000756b14090b00    4293  20433920  20422208  org.apache.catalina.loader.ParallelWebappClassLoader</x:v>
      </x:c>
      <x:c r="U1243" s="36" t="n">
        <x:v>27</x:v>
      </x:c>
      <x:c r="V1243" s="36" t="n">
        <x:v>0</x:v>
      </x:c>
      <x:c r="W1243" s="44"/>
      <x:c r="X1243" s="36"/>
      <x:c r="Y1243" s="36"/>
      <x:c r="Z1243" s="44"/>
      <x:c r="AA1243" s="49"/>
      <x:c r="AB1243" s="43"/>
      <x:c r="AC1243" s="34"/>
      <x:c r="AD1243" s="34"/>
      <x:c r="AE1243" s="34"/>
      <x:c r="AF1243" s="34"/>
      <x:c r="AG1243" s="34"/>
      <x:c r="AH1243" s="34"/>
      <x:c r="AI1243" s="34"/>
    </x:row>
    <x:row r="1244">
      <x:c r="A1244" s="34" t="str">
        <x:v>article1-unified-v4-2-fb3f101b-20260903-000401-default-f06-p1-nostore</x:v>
      </x:c>
      <x:c r="B1244" s="34" t="str">
        <x:v>default</x:v>
      </x:c>
      <x:c r="C1244" s="34" t="str">
        <x:v>nostore</x:v>
      </x:c>
      <x:c r="D1244" s="34" t="str">
        <x:v>nostore</x:v>
      </x:c>
      <x:c r="E1244" s="36" t="n">
        <x:v>6</x:v>
      </x:c>
      <x:c r="F1244" s="36" t="n">
        <x:v>6</x:v>
      </x:c>
      <x:c r="G1244" s="36" t="n">
        <x:v>1</x:v>
      </x:c>
      <x:c r="H1244" s="36" t="n">
        <x:v>2</x:v>
      </x:c>
      <x:c r="I1244" s="34" t="str">
        <x:v>afterUndeployEarly</x:v>
      </x:c>
      <x:c r="J1244" s="34" t="str">
        <x:v>after-undeploy-early</x:v>
      </x:c>
      <x:c r="K1244" s="36" t="n">
        <x:v>1</x:v>
      </x:c>
      <x:c r="L1244" s="34" t="str">
        <x:v>early</x:v>
      </x:c>
      <x:c r="M1244" s="34" t="str">
        <x:v>article1-unified-v4-2-fb3f101b-20260903-000401-default-f06-p1-nostore-2-after-undeploy-early-2s</x:v>
      </x:c>
      <x:c r="N1244" s="38" t="n">
        <x:v>46268.09330375</x:v>
      </x:c>
      <x:c r="O1244" s="36"/>
      <x:c r="P1244" s="43"/>
      <x:c r="Q1244" s="43"/>
      <x:c r="R1244" s="43"/>
      <x:c r="S1244" s="36"/>
      <x:c r="T1244" s="44"/>
      <x:c r="U1244" s="36" t="n">
        <x:v>27</x:v>
      </x:c>
      <x:c r="V1244" s="36" t="n">
        <x:v>0</x:v>
      </x:c>
      <x:c r="W1244" s="44"/>
      <x:c r="X1244" s="36"/>
      <x:c r="Y1244" s="36"/>
      <x:c r="Z1244" s="44"/>
      <x:c r="AA1244" s="49"/>
      <x:c r="AB1244" s="43" t="n">
        <x:v>1</x:v>
      </x:c>
      <x:c r="AC1244" s="34"/>
      <x:c r="AD1244" s="34"/>
      <x:c r="AE1244" s="34" t="str">
        <x:v>article1-unified-v4-2-fb3f101b-20260903-000401-default-f06-p1-nostore-2-after-undeploy-early-2s-thread-dump.txt</x:v>
      </x:c>
      <x:c r="AF1244" s="34" t="str">
        <x:v>article1-unified-v4-2-fb3f101b-20260903-000401-default-f06-p1-nostore-2-after-undeploy-early-tomcat-log.txt</x:v>
      </x:c>
      <x:c r="AG1244" s="34"/>
      <x:c r="AH1244" s="34"/>
      <x:c r="AI1244" s="34"/>
    </x:row>
    <x:row r="1245">
      <x:c r="A1245" s="34" t="str">
        <x:v>article1-unified-v4-2-fb3f101b-20260903-000401-default-f06-p1-nostore</x:v>
      </x:c>
      <x:c r="B1245" s="34" t="str">
        <x:v>default</x:v>
      </x:c>
      <x:c r="C1245" s="34" t="str">
        <x:v>nostore</x:v>
      </x:c>
      <x:c r="D1245" s="34" t="str">
        <x:v>nostore</x:v>
      </x:c>
      <x:c r="E1245" s="36" t="n">
        <x:v>6</x:v>
      </x:c>
      <x:c r="F1245" s="36" t="n">
        <x:v>6</x:v>
      </x:c>
      <x:c r="G1245" s="36" t="n">
        <x:v>1</x:v>
      </x:c>
      <x:c r="H1245" s="36" t="n">
        <x:v>2</x:v>
      </x:c>
      <x:c r="I1245" s="34" t="str">
        <x:v>afterUndeploy</x:v>
      </x:c>
      <x:c r="J1245" s="34" t="str">
        <x:v>after-undeploy-final</x:v>
      </x:c>
      <x:c r="K1245" s="36" t="n">
        <x:v>1</x:v>
      </x:c>
      <x:c r="L1245" s="34" t="str">
        <x:v>final</x:v>
      </x:c>
      <x:c r="M1245" s="34" t="str">
        <x:v>article1-unified-v4-2-fb3f101b-20260903-000401-default-f06-p1-nostore-2-after-undeploy-final-10s</x:v>
      </x:c>
      <x:c r="N1245" s="38" t="n">
        <x:v>46268.093459537035</x:v>
      </x:c>
      <x:c r="O1245" s="36" t="n">
        <x:v>2</x:v>
      </x:c>
      <x:c r="P1245" s="43" t="n">
        <x:v>15349760</x:v>
      </x:c>
      <x:c r="Q1245" s="43" t="n">
        <x:v>268435456</x:v>
      </x:c>
      <x:c r="R1245" s="43" t="n">
        <x:v>413551616</x:v>
      </x:c>
      <x:c r="S1245" s="36" t="n">
        <x:v>2</x:v>
      </x:c>
      <x:c r="T1245" s="44" t="str">
        <x:v>0x00000000371177b8  0x0000000037003818  0x0000756b9c62de40       0         0         0  org.apache.catalina.loader.ParallelWebappClassLoader | 0x00000000371177b8  0x0000000037003818  0x0000756b14090b00    4301  20466688  20446848  org.apache.catalina.loader.ParallelWebappClassLoader</x:v>
      </x:c>
      <x:c r="U1245" s="36" t="n">
        <x:v>27</x:v>
      </x:c>
      <x:c r="V1245" s="36" t="n">
        <x:v>0</x:v>
      </x:c>
      <x:c r="W1245" s="44"/>
      <x:c r="X1245" s="36" t="n">
        <x:v>1</x:v>
      </x:c>
      <x:c r="Y1245" s="36" t="n">
        <x:v>1</x:v>
      </x:c>
      <x:c r="Z1245" s="44" t="str">
        <x:v>/nostore</x:v>
      </x:c>
      <x:c r="AA1245" s="45" t="b">
        <x:v>1</x:v>
      </x:c>
      <x:c r="AB1245" s="43"/>
      <x:c r="AC1245" s="34" t="str">
        <x:v>article1-unified-v4-2-fb3f101b-20260903-000401-default-f06-p1-nostore-2-after-undeploy-final-10s-heap-info.txt</x:v>
      </x:c>
      <x:c r="AD1245" s="34" t="str">
        <x:v>article1-unified-v4-2-fb3f101b-20260903-000401-default-f06-p1-nostore-2-after-undeploy-final-10s-classloader-stats.txt</x:v>
      </x:c>
      <x:c r="AE1245" s="34" t="str">
        <x:v>article1-unified-v4-2-fb3f101b-20260903-000401-default-f06-p1-nostore-2-after-undeploy-final-10s-thread-dump.txt</x:v>
      </x:c>
      <x:c r="AF1245" s="34"/>
      <x:c r="AG1245" s="34" t="str">
        <x:v>article1-unified-v4-2-fb3f101b-20260903-000401-default-f06-p1-nostore-2-after-undeploy-final-10s-native-memory.txt</x:v>
      </x:c>
      <x:c r="AH1245" s="34" t="str">
        <x:v>article1-unified-v4-2-fb3f101b-20260903-000401-default-f06-p1-nostore-2-after-undeploy-final-10s-class-histogram.txt</x:v>
      </x:c>
      <x:c r="AI1245" s="34" t="str">
        <x:v>article1-unified-v4-2-fb3f101b-20260903-000401-default-f06-p1-nostore-2-after-undeploy-tomcat-findleaks.txt</x:v>
      </x:c>
    </x:row>
    <x:row r="1246">
      <x:c r="A1246" s="34" t="str">
        <x:v>article1-unified-v4-2-fb3f101b-20260903-000401-default-f06-p1-nostore</x:v>
      </x:c>
      <x:c r="B1246" s="34" t="str">
        <x:v>default</x:v>
      </x:c>
      <x:c r="C1246" s="34" t="str">
        <x:v>nostore</x:v>
      </x:c>
      <x:c r="D1246" s="34" t="str">
        <x:v>nostore</x:v>
      </x:c>
      <x:c r="E1246" s="36" t="n">
        <x:v>6</x:v>
      </x:c>
      <x:c r="F1246" s="36" t="n">
        <x:v>6</x:v>
      </x:c>
      <x:c r="G1246" s="36" t="n">
        <x:v>1</x:v>
      </x:c>
      <x:c r="H1246" s="36" t="n">
        <x:v>2</x:v>
      </x:c>
      <x:c r="I1246" s="34" t="str">
        <x:v>redeployedLoaded</x:v>
      </x:c>
      <x:c r="J1246" s="34" t="str">
        <x:v>redeployed-loaded</x:v>
      </x:c>
      <x:c r="K1246" s="36" t="n">
        <x:v>0</x:v>
      </x:c>
      <x:c r="L1246" s="34" t="str">
        <x:v>redeploy</x:v>
      </x:c>
      <x:c r="M1246" s="34" t="str">
        <x:v>article1-unified-v4-2-fb3f101b-20260903-000401-default-f06-p1-nostore-2-redeployed-loaded</x:v>
      </x:c>
      <x:c r="N1246" s="38" t="n">
        <x:v>46268.093726597224</x:v>
      </x:c>
      <x:c r="O1246" s="36" t="n">
        <x:v>0</x:v>
      </x:c>
      <x:c r="P1246" s="43" t="n">
        <x:v>308121600</x:v>
      </x:c>
      <x:c r="Q1246" s="43" t="n">
        <x:v>335544320</x:v>
      </x:c>
      <x:c r="R1246" s="43" t="n">
        <x:v>488803328</x:v>
      </x:c>
      <x:c r="S1246" s="36" t="n">
        <x:v>2</x:v>
      </x:c>
      <x:c r="T1246" s="44" t="str">
        <x:v>0x00000000371177b8  0x0000000037003818  0x0000756b9c62de40       0         0         0  org.apache.catalina.loader.ParallelWebappClassLoader | 0x00000000371177b8  0x0000000037003818  0x0000756b0c00d7c0    4285  20430848  20419344  org.apache.catalina.loader.ParallelWebappClassLoader</x:v>
      </x:c>
      <x:c r="U1246" s="36" t="n">
        <x:v>27</x:v>
      </x:c>
      <x:c r="V1246" s="36" t="n">
        <x:v>0</x:v>
      </x:c>
      <x:c r="W1246" s="44"/>
      <x:c r="X1246" s="36"/>
      <x:c r="Y1246" s="36"/>
      <x:c r="Z1246" s="44"/>
      <x:c r="AA1246" s="49"/>
      <x:c r="AB1246" s="43"/>
      <x:c r="AC1246" s="34"/>
      <x:c r="AD1246" s="34"/>
      <x:c r="AE1246" s="34"/>
      <x:c r="AF1246" s="34"/>
      <x:c r="AG1246" s="34"/>
      <x:c r="AH1246" s="34"/>
      <x:c r="AI1246" s="34"/>
    </x:row>
    <x:row r="1247">
      <x:c r="A1247" s="34" t="str">
        <x:v>article1-unified-v4-2-fb3f101b-20260903-000401-default-f06-p1-nostore</x:v>
      </x:c>
      <x:c r="B1247" s="34" t="str">
        <x:v>default</x:v>
      </x:c>
      <x:c r="C1247" s="34" t="str">
        <x:v>nostore</x:v>
      </x:c>
      <x:c r="D1247" s="34" t="str">
        <x:v>nostore</x:v>
      </x:c>
      <x:c r="E1247" s="36" t="n">
        <x:v>6</x:v>
      </x:c>
      <x:c r="F1247" s="36" t="n">
        <x:v>6</x:v>
      </x:c>
      <x:c r="G1247" s="36" t="n">
        <x:v>1</x:v>
      </x:c>
      <x:c r="H1247" s="36" t="n">
        <x:v>2</x:v>
      </x:c>
      <x:c r="I1247" s="34" t="str">
        <x:v>afterFinalUndeployEarly</x:v>
      </x:c>
      <x:c r="J1247" s="34" t="str">
        <x:v>after-final-undeploy-early</x:v>
      </x:c>
      <x:c r="K1247" s="36" t="n">
        <x:v>2</x:v>
      </x:c>
      <x:c r="L1247" s="34" t="str">
        <x:v>early</x:v>
      </x:c>
      <x:c r="M1247" s="34" t="str">
        <x:v>article1-unified-v4-2-fb3f101b-20260903-000401-default-f06-p1-nostore-2-after-final-undeploy-early-2s</x:v>
      </x:c>
      <x:c r="N1247" s="38" t="n">
        <x:v>46268.093807453704</x:v>
      </x:c>
      <x:c r="O1247" s="36"/>
      <x:c r="P1247" s="43"/>
      <x:c r="Q1247" s="43"/>
      <x:c r="R1247" s="43"/>
      <x:c r="S1247" s="36"/>
      <x:c r="T1247" s="44"/>
      <x:c r="U1247" s="36" t="n">
        <x:v>27</x:v>
      </x:c>
      <x:c r="V1247" s="36" t="n">
        <x:v>0</x:v>
      </x:c>
      <x:c r="W1247" s="44"/>
      <x:c r="X1247" s="36"/>
      <x:c r="Y1247" s="36"/>
      <x:c r="Z1247" s="44"/>
      <x:c r="AA1247" s="49"/>
      <x:c r="AB1247" s="43" t="n">
        <x:v>1</x:v>
      </x:c>
      <x:c r="AC1247" s="34"/>
      <x:c r="AD1247" s="34"/>
      <x:c r="AE1247" s="34" t="str">
        <x:v>article1-unified-v4-2-fb3f101b-20260903-000401-default-f06-p1-nostore-2-after-final-undeploy-early-2s-thread-dump.txt</x:v>
      </x:c>
      <x:c r="AF1247" s="34" t="str">
        <x:v>article1-unified-v4-2-fb3f101b-20260903-000401-default-f06-p1-nostore-2-after-final-undeploy-early-tomcat-log.txt</x:v>
      </x:c>
      <x:c r="AG1247" s="34"/>
      <x:c r="AH1247" s="34"/>
      <x:c r="AI1247" s="34"/>
    </x:row>
    <x:row r="1248">
      <x:c r="A1248" s="34" t="str">
        <x:v>article1-unified-v4-2-fb3f101b-20260903-000401-default-f06-p1-nostore</x:v>
      </x:c>
      <x:c r="B1248" s="34" t="str">
        <x:v>default</x:v>
      </x:c>
      <x:c r="C1248" s="34" t="str">
        <x:v>nostore</x:v>
      </x:c>
      <x:c r="D1248" s="34" t="str">
        <x:v>nostore</x:v>
      </x:c>
      <x:c r="E1248" s="36" t="n">
        <x:v>6</x:v>
      </x:c>
      <x:c r="F1248" s="36" t="n">
        <x:v>6</x:v>
      </x:c>
      <x:c r="G1248" s="36" t="n">
        <x:v>1</x:v>
      </x:c>
      <x:c r="H1248" s="36" t="n">
        <x:v>2</x:v>
      </x:c>
      <x:c r="I1248" s="34" t="str">
        <x:v>afterFinalUndeploy</x:v>
      </x:c>
      <x:c r="J1248" s="34" t="str">
        <x:v>after-final-undeploy-final</x:v>
      </x:c>
      <x:c r="K1248" s="36" t="n">
        <x:v>2</x:v>
      </x:c>
      <x:c r="L1248" s="34" t="str">
        <x:v>final</x:v>
      </x:c>
      <x:c r="M1248" s="34" t="str">
        <x:v>article1-unified-v4-2-fb3f101b-20260903-000401-default-f06-p1-nostore-2-after-final-undeploy-final-10s</x:v>
      </x:c>
      <x:c r="N1248" s="38" t="n">
        <x:v>46268.09396563657</x:v>
      </x:c>
      <x:c r="O1248" s="36" t="n">
        <x:v>2</x:v>
      </x:c>
      <x:c r="P1248" s="43" t="n">
        <x:v>15336448</x:v>
      </x:c>
      <x:c r="Q1248" s="43" t="n">
        <x:v>268435456</x:v>
      </x:c>
      <x:c r="R1248" s="43" t="n">
        <x:v>418488320</x:v>
      </x:c>
      <x:c r="S1248" s="36" t="n">
        <x:v>2</x:v>
      </x:c>
      <x:c r="T1248" s="44" t="str">
        <x:v>0x00000000371177b8  0x0000000037003818  0x0000756b9c62de40       0         0         0  org.apache.catalina.loader.ParallelWebappClassLoader | 0x00000000371177b8  0x0000000037003818  0x0000756b0c00d7c0    4293  20447232  20443968  org.apache.catalina.loader.ParallelWebappClassLoader</x:v>
      </x:c>
      <x:c r="U1248" s="36" t="n">
        <x:v>27</x:v>
      </x:c>
      <x:c r="V1248" s="36" t="n">
        <x:v>0</x:v>
      </x:c>
      <x:c r="W1248" s="44"/>
      <x:c r="X1248" s="36" t="n">
        <x:v>1</x:v>
      </x:c>
      <x:c r="Y1248" s="36" t="n">
        <x:v>1</x:v>
      </x:c>
      <x:c r="Z1248" s="44" t="str">
        <x:v>/nostore</x:v>
      </x:c>
      <x:c r="AA1248" s="45" t="b">
        <x:v>1</x:v>
      </x:c>
      <x:c r="AB1248" s="43"/>
      <x:c r="AC1248" s="34" t="str">
        <x:v>article1-unified-v4-2-fb3f101b-20260903-000401-default-f06-p1-nostore-2-after-final-undeploy-final-10s-heap-info.txt</x:v>
      </x:c>
      <x:c r="AD1248" s="34" t="str">
        <x:v>article1-unified-v4-2-fb3f101b-20260903-000401-default-f06-p1-nostore-2-after-final-undeploy-final-10s-classloader-stats.txt</x:v>
      </x:c>
      <x:c r="AE1248" s="34" t="str">
        <x:v>article1-unified-v4-2-fb3f101b-20260903-000401-default-f06-p1-nostore-2-after-final-undeploy-final-10s-thread-dump.txt</x:v>
      </x:c>
      <x:c r="AF1248" s="34"/>
      <x:c r="AG1248" s="34" t="str">
        <x:v>article1-unified-v4-2-fb3f101b-20260903-000401-default-f06-p1-nostore-2-after-final-undeploy-final-10s-native-memory.txt</x:v>
      </x:c>
      <x:c r="AH1248" s="34" t="str">
        <x:v>article1-unified-v4-2-fb3f101b-20260903-000401-default-f06-p1-nostore-2-after-final-undeploy-final-10s-class-histogram.txt</x:v>
      </x:c>
      <x:c r="AI1248" s="34" t="str">
        <x:v>article1-unified-v4-2-fb3f101b-20260903-000401-default-f06-p1-nostore-2-after-final-undeploy-tomcat-findleaks.txt</x:v>
      </x:c>
    </x:row>
    <x:row r="1249">
      <x:c r="A1249" s="34" t="str">
        <x:v>article1-unified-v4-2-fb3f101b-20260903-000401-default-f06-p1-nostore</x:v>
      </x:c>
      <x:c r="B1249" s="34" t="str">
        <x:v>default</x:v>
      </x:c>
      <x:c r="C1249" s="34" t="str">
        <x:v>nostore</x:v>
      </x:c>
      <x:c r="D1249" s="34" t="str">
        <x:v>nostore</x:v>
      </x:c>
      <x:c r="E1249" s="36" t="n">
        <x:v>6</x:v>
      </x:c>
      <x:c r="F1249" s="36" t="n">
        <x:v>6</x:v>
      </x:c>
      <x:c r="G1249" s="36" t="n">
        <x:v>1</x:v>
      </x:c>
      <x:c r="H1249" s="36" t="n">
        <x:v>3</x:v>
      </x:c>
      <x:c r="I1249" s="34" t="str">
        <x:v>baseline</x:v>
      </x:c>
      <x:c r="J1249" s="34" t="str">
        <x:v>cycle-baseline</x:v>
      </x:c>
      <x:c r="K1249" s="36" t="n">
        <x:v>0</x:v>
      </x:c>
      <x:c r="L1249" s="34" t="str">
        <x:v>baseline</x:v>
      </x:c>
      <x:c r="M1249" s="34" t="str">
        <x:v>article1-unified-v4-2-fb3f101b-20260903-000401-default-f06-p1-nostore-3-baseline</x:v>
      </x:c>
      <x:c r="N1249" s="38" t="n">
        <x:v>46268.09400848379</x:v>
      </x:c>
      <x:c r="O1249" s="36" t="n">
        <x:v>0</x:v>
      </x:c>
      <x:c r="P1249" s="43" t="n">
        <x:v>15341568</x:v>
      </x:c>
      <x:c r="Q1249" s="43" t="n">
        <x:v>268435456</x:v>
      </x:c>
      <x:c r="R1249" s="43" t="n">
        <x:v>418588672</x:v>
      </x:c>
      <x:c r="S1249" s="36" t="n">
        <x:v>2</x:v>
      </x:c>
      <x:c r="T1249" s="44" t="str">
        <x:v>0x00000000371177b8  0x0000000037003818  0x0000756b9c62de40       0         0         0  org.apache.catalina.loader.ParallelWebappClassLoader | 0x00000000371177b8  0x0000000037003818  0x0000756b0c00d7c0    4293  20447232  20443968  org.apache.catalina.loader.ParallelWebappClassLoader</x:v>
      </x:c>
      <x:c r="U1249" s="36" t="n">
        <x:v>27</x:v>
      </x:c>
      <x:c r="V1249" s="36" t="n">
        <x:v>0</x:v>
      </x:c>
      <x:c r="W1249" s="44"/>
      <x:c r="X1249" s="36"/>
      <x:c r="Y1249" s="36"/>
      <x:c r="Z1249" s="44"/>
      <x:c r="AA1249" s="49"/>
      <x:c r="AB1249" s="43"/>
      <x:c r="AC1249" s="34" t="str">
        <x:v>article1-unified-v4-2-fb3f101b-20260903-000401-default-f06-p1-nostore-3-baseline-heap-info.txt</x:v>
      </x:c>
      <x:c r="AD1249" s="34" t="str">
        <x:v>article1-unified-v4-2-fb3f101b-20260903-000401-default-f06-p1-nostore-3-baseline-classloader-stats.txt</x:v>
      </x:c>
      <x:c r="AE1249" s="34" t="str">
        <x:v>article1-unified-v4-2-fb3f101b-20260903-000401-default-f06-p1-nostore-3-baseline-thread-dump.txt</x:v>
      </x:c>
      <x:c r="AF1249" s="34"/>
      <x:c r="AG1249" s="34" t="str">
        <x:v>article1-unified-v4-2-fb3f101b-20260903-000401-default-f06-p1-nostore-3-baseline-native-memory.txt</x:v>
      </x:c>
      <x:c r="AH1249" s="34"/>
      <x:c r="AI1249" s="34"/>
    </x:row>
    <x:row r="1250">
      <x:c r="A1250" s="34" t="str">
        <x:v>article1-unified-v4-2-fb3f101b-20260903-000401-default-f06-p1-nostore</x:v>
      </x:c>
      <x:c r="B1250" s="34" t="str">
        <x:v>default</x:v>
      </x:c>
      <x:c r="C1250" s="34" t="str">
        <x:v>nostore</x:v>
      </x:c>
      <x:c r="D1250" s="34" t="str">
        <x:v>nostore</x:v>
      </x:c>
      <x:c r="E1250" s="36" t="n">
        <x:v>6</x:v>
      </x:c>
      <x:c r="F1250" s="36" t="n">
        <x:v>6</x:v>
      </x:c>
      <x:c r="G1250" s="36" t="n">
        <x:v>1</x:v>
      </x:c>
      <x:c r="H1250" s="36" t="n">
        <x:v>3</x:v>
      </x:c>
      <x:c r="I1250" s="34" t="str">
        <x:v>deployedIdle</x:v>
      </x:c>
      <x:c r="J1250" s="34" t="str">
        <x:v>deployed-idle</x:v>
      </x:c>
      <x:c r="K1250" s="36" t="n">
        <x:v>0</x:v>
      </x:c>
      <x:c r="L1250" s="34" t="str">
        <x:v>initial</x:v>
      </x:c>
      <x:c r="M1250" s="34" t="str">
        <x:v>article1-unified-v4-2-fb3f101b-20260903-000401-default-f06-p1-nostore-3-deployed-idle</x:v>
      </x:c>
      <x:c r="N1250" s="38" t="n">
        <x:v>46268.09410973379</x:v>
      </x:c>
      <x:c r="O1250" s="36" t="n">
        <x:v>0</x:v>
      </x:c>
      <x:c r="P1250" s="43" t="n">
        <x:v>167318528</x:v>
      </x:c>
      <x:c r="Q1250" s="43" t="n">
        <x:v>268435456</x:v>
      </x:c>
      <x:c r="R1250" s="43" t="n">
        <x:v>454726656</x:v>
      </x:c>
      <x:c r="S1250" s="36" t="n">
        <x:v>3</x:v>
      </x:c>
      <x:c r="T1250" s="44" t="str">
        <x:v>0x00000000371177b8  0x0000000037003818  0x0000756b9c62de40       0         0         0  org.apache.catalina.loader.ParallelWebappClassLoader | 0x00000000371177b8  0x0000000037003818  0x0000756b0c00d7c0    4293  20447232  20443968  org.apache.catalina.loader.ParallelWebappClassLoader | 0x00000000371177b8  0x0000000037003818  0x0000756ad000dcc0    4091  19443712  19429968  org.apache.catalina.loader.ParallelWebappClassLoader</x:v>
      </x:c>
      <x:c r="U1250" s="36" t="n">
        <x:v>28</x:v>
      </x:c>
      <x:c r="V1250" s="36" t="n">
        <x:v>0</x:v>
      </x:c>
      <x:c r="W1250" s="44"/>
      <x:c r="X1250" s="36"/>
      <x:c r="Y1250" s="36"/>
      <x:c r="Z1250" s="44"/>
      <x:c r="AA1250" s="49"/>
      <x:c r="AB1250" s="43"/>
      <x:c r="AC1250" s="34"/>
      <x:c r="AD1250" s="34"/>
      <x:c r="AE1250" s="34"/>
      <x:c r="AF1250" s="34"/>
      <x:c r="AG1250" s="34"/>
      <x:c r="AH1250" s="34"/>
      <x:c r="AI1250" s="34"/>
    </x:row>
    <x:row r="1251">
      <x:c r="A1251" s="34" t="str">
        <x:v>article1-unified-v4-2-fb3f101b-20260903-000401-default-f06-p1-nostore</x:v>
      </x:c>
      <x:c r="B1251" s="34" t="str">
        <x:v>default</x:v>
      </x:c>
      <x:c r="C1251" s="34" t="str">
        <x:v>nostore</x:v>
      </x:c>
      <x:c r="D1251" s="34" t="str">
        <x:v>nostore</x:v>
      </x:c>
      <x:c r="E1251" s="36" t="n">
        <x:v>6</x:v>
      </x:c>
      <x:c r="F1251" s="36" t="n">
        <x:v>6</x:v>
      </x:c>
      <x:c r="G1251" s="36" t="n">
        <x:v>1</x:v>
      </x:c>
      <x:c r="H1251" s="36" t="n">
        <x:v>3</x:v>
      </x:c>
      <x:c r="I1251" s="34" t="str">
        <x:v>loaded</x:v>
      </x:c>
      <x:c r="J1251" s="34" t="str">
        <x:v>loaded</x:v>
      </x:c>
      <x:c r="K1251" s="36" t="n">
        <x:v>0</x:v>
      </x:c>
      <x:c r="L1251" s="34" t="str">
        <x:v>initial</x:v>
      </x:c>
      <x:c r="M1251" s="34" t="str">
        <x:v>article1-unified-v4-2-fb3f101b-20260903-000401-default-f06-p1-nostore-3-loaded</x:v>
      </x:c>
      <x:c r="N1251" s="38" t="n">
        <x:v>46268.09426097222</x:v>
      </x:c>
      <x:c r="O1251" s="36" t="n">
        <x:v>0</x:v>
      </x:c>
      <x:c r="P1251" s="43" t="n">
        <x:v>319526912</x:v>
      </x:c>
      <x:c r="Q1251" s="43" t="n">
        <x:v>362807296</x:v>
      </x:c>
      <x:c r="R1251" s="43" t="n">
        <x:v>513684480</x:v>
      </x:c>
      <x:c r="S1251" s="36" t="n">
        <x:v>2</x:v>
      </x:c>
      <x:c r="T1251" s="44" t="str">
        <x:v>0x00000000371177b8  0x0000000037003818  0x0000756b9c62de40       0         0         0  org.apache.catalina.loader.ParallelWebappClassLoader | 0x00000000371177b8  0x0000000037003818  0x0000756ad000dcc0    4291  20443136  20427784  org.apache.catalina.loader.ParallelWebappClassLoader</x:v>
      </x:c>
      <x:c r="U1251" s="36" t="n">
        <x:v>27</x:v>
      </x:c>
      <x:c r="V1251" s="36" t="n">
        <x:v>0</x:v>
      </x:c>
      <x:c r="W1251" s="44"/>
      <x:c r="X1251" s="36"/>
      <x:c r="Y1251" s="36"/>
      <x:c r="Z1251" s="44"/>
      <x:c r="AA1251" s="49"/>
      <x:c r="AB1251" s="43"/>
      <x:c r="AC1251" s="34"/>
      <x:c r="AD1251" s="34"/>
      <x:c r="AE1251" s="34"/>
      <x:c r="AF1251" s="34"/>
      <x:c r="AG1251" s="34"/>
      <x:c r="AH1251" s="34"/>
      <x:c r="AI1251" s="34"/>
    </x:row>
    <x:row r="1252">
      <x:c r="A1252" s="34" t="str">
        <x:v>article1-unified-v4-2-fb3f101b-20260903-000401-default-f06-p1-nostore</x:v>
      </x:c>
      <x:c r="B1252" s="34" t="str">
        <x:v>default</x:v>
      </x:c>
      <x:c r="C1252" s="34" t="str">
        <x:v>nostore</x:v>
      </x:c>
      <x:c r="D1252" s="34" t="str">
        <x:v>nostore</x:v>
      </x:c>
      <x:c r="E1252" s="36" t="n">
        <x:v>6</x:v>
      </x:c>
      <x:c r="F1252" s="36" t="n">
        <x:v>6</x:v>
      </x:c>
      <x:c r="G1252" s="36" t="n">
        <x:v>1</x:v>
      </x:c>
      <x:c r="H1252" s="36" t="n">
        <x:v>3</x:v>
      </x:c>
      <x:c r="I1252" s="34" t="str">
        <x:v>afterUndeployEarly</x:v>
      </x:c>
      <x:c r="J1252" s="34" t="str">
        <x:v>after-undeploy-early</x:v>
      </x:c>
      <x:c r="K1252" s="36" t="n">
        <x:v>1</x:v>
      </x:c>
      <x:c r="L1252" s="34" t="str">
        <x:v>early</x:v>
      </x:c>
      <x:c r="M1252" s="34" t="str">
        <x:v>article1-unified-v4-2-fb3f101b-20260903-000401-default-f06-p1-nostore-3-after-undeploy-early-2s</x:v>
      </x:c>
      <x:c r="N1252" s="38" t="n">
        <x:v>46268.09434546296</x:v>
      </x:c>
      <x:c r="O1252" s="36"/>
      <x:c r="P1252" s="43"/>
      <x:c r="Q1252" s="43"/>
      <x:c r="R1252" s="43"/>
      <x:c r="S1252" s="36"/>
      <x:c r="T1252" s="44"/>
      <x:c r="U1252" s="36" t="n">
        <x:v>27</x:v>
      </x:c>
      <x:c r="V1252" s="36" t="n">
        <x:v>0</x:v>
      </x:c>
      <x:c r="W1252" s="44"/>
      <x:c r="X1252" s="36"/>
      <x:c r="Y1252" s="36"/>
      <x:c r="Z1252" s="44"/>
      <x:c r="AA1252" s="49"/>
      <x:c r="AB1252" s="43" t="n">
        <x:v>1</x:v>
      </x:c>
      <x:c r="AC1252" s="34"/>
      <x:c r="AD1252" s="34"/>
      <x:c r="AE1252" s="34" t="str">
        <x:v>article1-unified-v4-2-fb3f101b-20260903-000401-default-f06-p1-nostore-3-after-undeploy-early-2s-thread-dump.txt</x:v>
      </x:c>
      <x:c r="AF1252" s="34" t="str">
        <x:v>article1-unified-v4-2-fb3f101b-20260903-000401-default-f06-p1-nostore-3-after-undeploy-early-tomcat-log.txt</x:v>
      </x:c>
      <x:c r="AG1252" s="34"/>
      <x:c r="AH1252" s="34"/>
      <x:c r="AI1252" s="34"/>
    </x:row>
    <x:row r="1253">
      <x:c r="A1253" s="34" t="str">
        <x:v>article1-unified-v4-2-fb3f101b-20260903-000401-default-f06-p1-nostore</x:v>
      </x:c>
      <x:c r="B1253" s="34" t="str">
        <x:v>default</x:v>
      </x:c>
      <x:c r="C1253" s="34" t="str">
        <x:v>nostore</x:v>
      </x:c>
      <x:c r="D1253" s="34" t="str">
        <x:v>nostore</x:v>
      </x:c>
      <x:c r="E1253" s="36" t="n">
        <x:v>6</x:v>
      </x:c>
      <x:c r="F1253" s="36" t="n">
        <x:v>6</x:v>
      </x:c>
      <x:c r="G1253" s="36" t="n">
        <x:v>1</x:v>
      </x:c>
      <x:c r="H1253" s="36" t="n">
        <x:v>3</x:v>
      </x:c>
      <x:c r="I1253" s="34" t="str">
        <x:v>afterUndeploy</x:v>
      </x:c>
      <x:c r="J1253" s="34" t="str">
        <x:v>after-undeploy-final</x:v>
      </x:c>
      <x:c r="K1253" s="36" t="n">
        <x:v>1</x:v>
      </x:c>
      <x:c r="L1253" s="34" t="str">
        <x:v>final</x:v>
      </x:c>
      <x:c r="M1253" s="34" t="str">
        <x:v>article1-unified-v4-2-fb3f101b-20260903-000401-default-f06-p1-nostore-3-after-undeploy-final-10s</x:v>
      </x:c>
      <x:c r="N1253" s="38" t="n">
        <x:v>46268.094498715276</x:v>
      </x:c>
      <x:c r="O1253" s="36" t="n">
        <x:v>2</x:v>
      </x:c>
      <x:c r="P1253" s="43" t="n">
        <x:v>15349760</x:v>
      </x:c>
      <x:c r="Q1253" s="43" t="n">
        <x:v>268435456</x:v>
      </x:c>
      <x:c r="R1253" s="43" t="n">
        <x:v>417068032</x:v>
      </x:c>
      <x:c r="S1253" s="36" t="n">
        <x:v>2</x:v>
      </x:c>
      <x:c r="T1253" s="44" t="str">
        <x:v>0x00000000371177b8  0x0000000037003818  0x0000756b9c62de40       0         0         0  org.apache.catalina.loader.ParallelWebappClassLoader | 0x00000000371177b8  0x0000000037003818  0x0000756ad000dcc0    4299  20475904  20452392  org.apache.catalina.loader.ParallelWebappClassLoader</x:v>
      </x:c>
      <x:c r="U1253" s="36" t="n">
        <x:v>27</x:v>
      </x:c>
      <x:c r="V1253" s="36" t="n">
        <x:v>0</x:v>
      </x:c>
      <x:c r="W1253" s="44"/>
      <x:c r="X1253" s="36" t="n">
        <x:v>1</x:v>
      </x:c>
      <x:c r="Y1253" s="36" t="n">
        <x:v>1</x:v>
      </x:c>
      <x:c r="Z1253" s="44" t="str">
        <x:v>/nostore</x:v>
      </x:c>
      <x:c r="AA1253" s="45" t="b">
        <x:v>1</x:v>
      </x:c>
      <x:c r="AB1253" s="43"/>
      <x:c r="AC1253" s="34" t="str">
        <x:v>article1-unified-v4-2-fb3f101b-20260903-000401-default-f06-p1-nostore-3-after-undeploy-final-10s-heap-info.txt</x:v>
      </x:c>
      <x:c r="AD1253" s="34" t="str">
        <x:v>article1-unified-v4-2-fb3f101b-20260903-000401-default-f06-p1-nostore-3-after-undeploy-final-10s-classloader-stats.txt</x:v>
      </x:c>
      <x:c r="AE1253" s="34" t="str">
        <x:v>article1-unified-v4-2-fb3f101b-20260903-000401-default-f06-p1-nostore-3-after-undeploy-final-10s-thread-dump.txt</x:v>
      </x:c>
      <x:c r="AF1253" s="34"/>
      <x:c r="AG1253" s="34" t="str">
        <x:v>article1-unified-v4-2-fb3f101b-20260903-000401-default-f06-p1-nostore-3-after-undeploy-final-10s-native-memory.txt</x:v>
      </x:c>
      <x:c r="AH1253" s="34" t="str">
        <x:v>article1-unified-v4-2-fb3f101b-20260903-000401-default-f06-p1-nostore-3-after-undeploy-final-10s-class-histogram.txt</x:v>
      </x:c>
      <x:c r="AI1253" s="34" t="str">
        <x:v>article1-unified-v4-2-fb3f101b-20260903-000401-default-f06-p1-nostore-3-after-undeploy-tomcat-findleaks.txt</x:v>
      </x:c>
    </x:row>
    <x:row r="1254">
      <x:c r="A1254" s="34" t="str">
        <x:v>article1-unified-v4-2-fb3f101b-20260903-000401-default-f06-p1-nostore</x:v>
      </x:c>
      <x:c r="B1254" s="34" t="str">
        <x:v>default</x:v>
      </x:c>
      <x:c r="C1254" s="34" t="str">
        <x:v>nostore</x:v>
      </x:c>
      <x:c r="D1254" s="34" t="str">
        <x:v>nostore</x:v>
      </x:c>
      <x:c r="E1254" s="36" t="n">
        <x:v>6</x:v>
      </x:c>
      <x:c r="F1254" s="36" t="n">
        <x:v>6</x:v>
      </x:c>
      <x:c r="G1254" s="36" t="n">
        <x:v>1</x:v>
      </x:c>
      <x:c r="H1254" s="36" t="n">
        <x:v>3</x:v>
      </x:c>
      <x:c r="I1254" s="34" t="str">
        <x:v>redeployedLoaded</x:v>
      </x:c>
      <x:c r="J1254" s="34" t="str">
        <x:v>redeployed-loaded</x:v>
      </x:c>
      <x:c r="K1254" s="36" t="n">
        <x:v>0</x:v>
      </x:c>
      <x:c r="L1254" s="34" t="str">
        <x:v>redeploy</x:v>
      </x:c>
      <x:c r="M1254" s="34" t="str">
        <x:v>article1-unified-v4-2-fb3f101b-20260903-000401-default-f06-p1-nostore-3-redeployed-loaded</x:v>
      </x:c>
      <x:c r="N1254" s="38" t="n">
        <x:v>46268.09476674769</x:v>
      </x:c>
      <x:c r="O1254" s="36" t="n">
        <x:v>0</x:v>
      </x:c>
      <x:c r="P1254" s="43" t="n">
        <x:v>187794432</x:v>
      </x:c>
      <x:c r="Q1254" s="43" t="n">
        <x:v>483393536</x:v>
      </x:c>
      <x:c r="R1254" s="43" t="n">
        <x:v>660468736</x:v>
      </x:c>
      <x:c r="S1254" s="36" t="n">
        <x:v>3</x:v>
      </x:c>
      <x:c r="T1254" s="44" t="str">
        <x:v>0x00000000371177b8  0x0000000037003818  0x0000756b9c62de40       0         0         0  org.apache.catalina.loader.ParallelWebappClassLoader | 0x00000000371177b8  0x0000000037003818  0x0000756ae43eaf40    4287  20490240  20477096  org.apache.catalina.loader.ParallelWebappClassLoader | 0x00000000371177b8  0x0000000037003818  0x0000756ad000dcc0    4299  20475904  20452392  org.apache.catalina.loader.ParallelWebappClassLoader</x:v>
      </x:c>
      <x:c r="U1254" s="36" t="n">
        <x:v>27</x:v>
      </x:c>
      <x:c r="V1254" s="36" t="n">
        <x:v>0</x:v>
      </x:c>
      <x:c r="W1254" s="44"/>
      <x:c r="X1254" s="36"/>
      <x:c r="Y1254" s="36"/>
      <x:c r="Z1254" s="44"/>
      <x:c r="AA1254" s="49"/>
      <x:c r="AB1254" s="43"/>
      <x:c r="AC1254" s="34"/>
      <x:c r="AD1254" s="34"/>
      <x:c r="AE1254" s="34"/>
      <x:c r="AF1254" s="34"/>
      <x:c r="AG1254" s="34"/>
      <x:c r="AH1254" s="34"/>
      <x:c r="AI1254" s="34"/>
    </x:row>
    <x:row r="1255">
      <x:c r="A1255" s="34" t="str">
        <x:v>article1-unified-v4-2-fb3f101b-20260903-000401-default-f06-p1-nostore</x:v>
      </x:c>
      <x:c r="B1255" s="34" t="str">
        <x:v>default</x:v>
      </x:c>
      <x:c r="C1255" s="34" t="str">
        <x:v>nostore</x:v>
      </x:c>
      <x:c r="D1255" s="34" t="str">
        <x:v>nostore</x:v>
      </x:c>
      <x:c r="E1255" s="36" t="n">
        <x:v>6</x:v>
      </x:c>
      <x:c r="F1255" s="36" t="n">
        <x:v>6</x:v>
      </x:c>
      <x:c r="G1255" s="36" t="n">
        <x:v>1</x:v>
      </x:c>
      <x:c r="H1255" s="36" t="n">
        <x:v>3</x:v>
      </x:c>
      <x:c r="I1255" s="34" t="str">
        <x:v>afterFinalUndeployEarly</x:v>
      </x:c>
      <x:c r="J1255" s="34" t="str">
        <x:v>after-final-undeploy-early</x:v>
      </x:c>
      <x:c r="K1255" s="36" t="n">
        <x:v>2</x:v>
      </x:c>
      <x:c r="L1255" s="34" t="str">
        <x:v>early</x:v>
      </x:c>
      <x:c r="M1255" s="34" t="str">
        <x:v>article1-unified-v4-2-fb3f101b-20260903-000401-default-f06-p1-nostore-3-after-final-undeploy-early-2s</x:v>
      </x:c>
      <x:c r="N1255" s="38" t="n">
        <x:v>46268.094849305555</x:v>
      </x:c>
      <x:c r="O1255" s="36"/>
      <x:c r="P1255" s="43"/>
      <x:c r="Q1255" s="43"/>
      <x:c r="R1255" s="43"/>
      <x:c r="S1255" s="36"/>
      <x:c r="T1255" s="44"/>
      <x:c r="U1255" s="36" t="n">
        <x:v>27</x:v>
      </x:c>
      <x:c r="V1255" s="36" t="n">
        <x:v>0</x:v>
      </x:c>
      <x:c r="W1255" s="44"/>
      <x:c r="X1255" s="36"/>
      <x:c r="Y1255" s="36"/>
      <x:c r="Z1255" s="44"/>
      <x:c r="AA1255" s="49"/>
      <x:c r="AB1255" s="43" t="n">
        <x:v>1</x:v>
      </x:c>
      <x:c r="AC1255" s="34"/>
      <x:c r="AD1255" s="34"/>
      <x:c r="AE1255" s="34" t="str">
        <x:v>article1-unified-v4-2-fb3f101b-20260903-000401-default-f06-p1-nostore-3-after-final-undeploy-early-2s-thread-dump.txt</x:v>
      </x:c>
      <x:c r="AF1255" s="34" t="str">
        <x:v>article1-unified-v4-2-fb3f101b-20260903-000401-default-f06-p1-nostore-3-after-final-undeploy-early-tomcat-log.txt</x:v>
      </x:c>
      <x:c r="AG1255" s="34"/>
      <x:c r="AH1255" s="34"/>
      <x:c r="AI1255" s="34"/>
    </x:row>
    <x:row r="1256">
      <x:c r="A1256" s="34" t="str">
        <x:v>article1-unified-v4-2-fb3f101b-20260903-000401-default-f06-p1-nostore</x:v>
      </x:c>
      <x:c r="B1256" s="34" t="str">
        <x:v>default</x:v>
      </x:c>
      <x:c r="C1256" s="34" t="str">
        <x:v>nostore</x:v>
      </x:c>
      <x:c r="D1256" s="34" t="str">
        <x:v>nostore</x:v>
      </x:c>
      <x:c r="E1256" s="36" t="n">
        <x:v>6</x:v>
      </x:c>
      <x:c r="F1256" s="36" t="n">
        <x:v>6</x:v>
      </x:c>
      <x:c r="G1256" s="36" t="n">
        <x:v>1</x:v>
      </x:c>
      <x:c r="H1256" s="36" t="n">
        <x:v>3</x:v>
      </x:c>
      <x:c r="I1256" s="34" t="str">
        <x:v>afterFinalUndeploy</x:v>
      </x:c>
      <x:c r="J1256" s="34" t="str">
        <x:v>after-final-undeploy-final</x:v>
      </x:c>
      <x:c r="K1256" s="36" t="n">
        <x:v>2</x:v>
      </x:c>
      <x:c r="L1256" s="34" t="str">
        <x:v>final</x:v>
      </x:c>
      <x:c r="M1256" s="34" t="str">
        <x:v>article1-unified-v4-2-fb3f101b-20260903-000401-default-f06-p1-nostore-3-after-final-undeploy-final-10s</x:v>
      </x:c>
      <x:c r="N1256" s="38" t="n">
        <x:v>46268.09500797454</x:v>
      </x:c>
      <x:c r="O1256" s="36" t="n">
        <x:v>2</x:v>
      </x:c>
      <x:c r="P1256" s="43" t="n">
        <x:v>15475712</x:v>
      </x:c>
      <x:c r="Q1256" s="43" t="n">
        <x:v>268435456</x:v>
      </x:c>
      <x:c r="R1256" s="43" t="n">
        <x:v>422439936</x:v>
      </x:c>
      <x:c r="S1256" s="36" t="n">
        <x:v>2</x:v>
      </x:c>
      <x:c r="T1256" s="44" t="str">
        <x:v>0x00000000371177b8  0x0000000037003818  0x0000756b9c62de40       0         0         0  org.apache.catalina.loader.ParallelWebappClassLoader | 0x00000000371177b8  0x0000000037003818  0x0000756ae43eaf40    4295  20521984  20501800  org.apache.catalina.loader.ParallelWebappClassLoader</x:v>
      </x:c>
      <x:c r="U1256" s="36" t="n">
        <x:v>27</x:v>
      </x:c>
      <x:c r="V1256" s="36" t="n">
        <x:v>0</x:v>
      </x:c>
      <x:c r="W1256" s="44"/>
      <x:c r="X1256" s="36" t="n">
        <x:v>1</x:v>
      </x:c>
      <x:c r="Y1256" s="36" t="n">
        <x:v>1</x:v>
      </x:c>
      <x:c r="Z1256" s="44" t="str">
        <x:v>/nostore</x:v>
      </x:c>
      <x:c r="AA1256" s="45" t="b">
        <x:v>1</x:v>
      </x:c>
      <x:c r="AB1256" s="43"/>
      <x:c r="AC1256" s="34" t="str">
        <x:v>article1-unified-v4-2-fb3f101b-20260903-000401-default-f06-p1-nostore-3-after-final-undeploy-final-10s-heap-info.txt</x:v>
      </x:c>
      <x:c r="AD1256" s="34" t="str">
        <x:v>article1-unified-v4-2-fb3f101b-20260903-000401-default-f06-p1-nostore-3-after-final-undeploy-final-10s-classloader-stats.txt</x:v>
      </x:c>
      <x:c r="AE1256" s="34" t="str">
        <x:v>article1-unified-v4-2-fb3f101b-20260903-000401-default-f06-p1-nostore-3-after-final-undeploy-final-10s-thread-dump.txt</x:v>
      </x:c>
      <x:c r="AF1256" s="34"/>
      <x:c r="AG1256" s="34" t="str">
        <x:v>article1-unified-v4-2-fb3f101b-20260903-000401-default-f06-p1-nostore-3-after-final-undeploy-final-10s-native-memory.txt</x:v>
      </x:c>
      <x:c r="AH1256" s="34" t="str">
        <x:v>article1-unified-v4-2-fb3f101b-20260903-000401-default-f06-p1-nostore-3-after-final-undeploy-final-10s-class-histogram.txt</x:v>
      </x:c>
      <x:c r="AI1256" s="34" t="str">
        <x:v>article1-unified-v4-2-fb3f101b-20260903-000401-default-f06-p1-nostore-3-after-final-undeploy-tomcat-findleaks.txt</x:v>
      </x:c>
    </x:row>
    <x:row r="1257">
      <x:c r="A1257" s="34" t="str">
        <x:v>article1-unified-v4-2-fb3f101b-20260903-000401-default-f06-p1-nostore</x:v>
      </x:c>
      <x:c r="B1257" s="34" t="str">
        <x:v>default</x:v>
      </x:c>
      <x:c r="C1257" s="34" t="str">
        <x:v>nostore</x:v>
      </x:c>
      <x:c r="D1257" s="34" t="str">
        <x:v>nostore</x:v>
      </x:c>
      <x:c r="E1257" s="36" t="n">
        <x:v>6</x:v>
      </x:c>
      <x:c r="F1257" s="36" t="n">
        <x:v>6</x:v>
      </x:c>
      <x:c r="G1257" s="36" t="n">
        <x:v>1</x:v>
      </x:c>
      <x:c r="H1257" s="36" t="n">
        <x:v>4</x:v>
      </x:c>
      <x:c r="I1257" s="34" t="str">
        <x:v>baseline</x:v>
      </x:c>
      <x:c r="J1257" s="34" t="str">
        <x:v>cycle-baseline</x:v>
      </x:c>
      <x:c r="K1257" s="36" t="n">
        <x:v>0</x:v>
      </x:c>
      <x:c r="L1257" s="34" t="str">
        <x:v>baseline</x:v>
      </x:c>
      <x:c r="M1257" s="34" t="str">
        <x:v>article1-unified-v4-2-fb3f101b-20260903-000401-default-f06-p1-nostore-4-baseline</x:v>
      </x:c>
      <x:c r="N1257" s="38" t="n">
        <x:v>46268.09504958333</x:v>
      </x:c>
      <x:c r="O1257" s="36" t="n">
        <x:v>0</x:v>
      </x:c>
      <x:c r="P1257" s="43" t="n">
        <x:v>15489024</x:v>
      </x:c>
      <x:c r="Q1257" s="43" t="n">
        <x:v>268435456</x:v>
      </x:c>
      <x:c r="R1257" s="43" t="n">
        <x:v>423580672</x:v>
      </x:c>
      <x:c r="S1257" s="36" t="n">
        <x:v>2</x:v>
      </x:c>
      <x:c r="T1257" s="44" t="str">
        <x:v>0x00000000371177b8  0x0000000037003818  0x0000756b9c62de40       0         0         0  org.apache.catalina.loader.ParallelWebappClassLoader | 0x00000000371177b8  0x0000000037003818  0x0000756ae43eaf40    4295  20521984  20501800  org.apache.catalina.loader.ParallelWebappClassLoader</x:v>
      </x:c>
      <x:c r="U1257" s="36" t="n">
        <x:v>27</x:v>
      </x:c>
      <x:c r="V1257" s="36" t="n">
        <x:v>0</x:v>
      </x:c>
      <x:c r="W1257" s="44"/>
      <x:c r="X1257" s="36"/>
      <x:c r="Y1257" s="36"/>
      <x:c r="Z1257" s="44"/>
      <x:c r="AA1257" s="49"/>
      <x:c r="AB1257" s="43"/>
      <x:c r="AC1257" s="34" t="str">
        <x:v>article1-unified-v4-2-fb3f101b-20260903-000401-default-f06-p1-nostore-4-baseline-heap-info.txt</x:v>
      </x:c>
      <x:c r="AD1257" s="34" t="str">
        <x:v>article1-unified-v4-2-fb3f101b-20260903-000401-default-f06-p1-nostore-4-baseline-classloader-stats.txt</x:v>
      </x:c>
      <x:c r="AE1257" s="34" t="str">
        <x:v>article1-unified-v4-2-fb3f101b-20260903-000401-default-f06-p1-nostore-4-baseline-thread-dump.txt</x:v>
      </x:c>
      <x:c r="AF1257" s="34"/>
      <x:c r="AG1257" s="34" t="str">
        <x:v>article1-unified-v4-2-fb3f101b-20260903-000401-default-f06-p1-nostore-4-baseline-native-memory.txt</x:v>
      </x:c>
      <x:c r="AH1257" s="34"/>
      <x:c r="AI1257" s="34"/>
    </x:row>
    <x:row r="1258">
      <x:c r="A1258" s="34" t="str">
        <x:v>article1-unified-v4-2-fb3f101b-20260903-000401-default-f06-p1-nostore</x:v>
      </x:c>
      <x:c r="B1258" s="34" t="str">
        <x:v>default</x:v>
      </x:c>
      <x:c r="C1258" s="34" t="str">
        <x:v>nostore</x:v>
      </x:c>
      <x:c r="D1258" s="34" t="str">
        <x:v>nostore</x:v>
      </x:c>
      <x:c r="E1258" s="36" t="n">
        <x:v>6</x:v>
      </x:c>
      <x:c r="F1258" s="36" t="n">
        <x:v>6</x:v>
      </x:c>
      <x:c r="G1258" s="36" t="n">
        <x:v>1</x:v>
      </x:c>
      <x:c r="H1258" s="36" t="n">
        <x:v>4</x:v>
      </x:c>
      <x:c r="I1258" s="34" t="str">
        <x:v>deployedIdle</x:v>
      </x:c>
      <x:c r="J1258" s="34" t="str">
        <x:v>deployed-idle</x:v>
      </x:c>
      <x:c r="K1258" s="36" t="n">
        <x:v>0</x:v>
      </x:c>
      <x:c r="L1258" s="34" t="str">
        <x:v>initial</x:v>
      </x:c>
      <x:c r="M1258" s="34" t="str">
        <x:v>article1-unified-v4-2-fb3f101b-20260903-000401-default-f06-p1-nostore-4-deployed-idle</x:v>
      </x:c>
      <x:c r="N1258" s="38" t="n">
        <x:v>46268.09515018519</x:v>
      </x:c>
      <x:c r="O1258" s="36" t="n">
        <x:v>0</x:v>
      </x:c>
      <x:c r="P1258" s="43" t="n">
        <x:v>164895744</x:v>
      </x:c>
      <x:c r="Q1258" s="43" t="n">
        <x:v>268435456</x:v>
      </x:c>
      <x:c r="R1258" s="43" t="n">
        <x:v>456905728</x:v>
      </x:c>
      <x:c r="S1258" s="36" t="n">
        <x:v>3</x:v>
      </x:c>
      <x:c r="T1258" s="44" t="str">
        <x:v>0x00000000371177b8  0x0000000037003818  0x0000756b9c62de40       0         0         0  org.apache.catalina.loader.ParallelWebappClassLoader | 0x00000000371177b8  0x0000000037003818  0x0000756ac0198b20    4091  19448832  19431392  org.apache.catalina.loader.ParallelWebappClassLoader | 0x00000000371177b8  0x0000000037003818  0x0000756ae43eaf40    4295  20521984  20501800  org.apache.catalina.loader.ParallelWebappClassLoader</x:v>
      </x:c>
      <x:c r="U1258" s="36" t="n">
        <x:v>27</x:v>
      </x:c>
      <x:c r="V1258" s="36" t="n">
        <x:v>0</x:v>
      </x:c>
      <x:c r="W1258" s="44"/>
      <x:c r="X1258" s="36"/>
      <x:c r="Y1258" s="36"/>
      <x:c r="Z1258" s="44"/>
      <x:c r="AA1258" s="49"/>
      <x:c r="AB1258" s="43"/>
      <x:c r="AC1258" s="34"/>
      <x:c r="AD1258" s="34"/>
      <x:c r="AE1258" s="34"/>
      <x:c r="AF1258" s="34"/>
      <x:c r="AG1258" s="34"/>
      <x:c r="AH1258" s="34"/>
      <x:c r="AI1258" s="34"/>
    </x:row>
    <x:row r="1259">
      <x:c r="A1259" s="34" t="str">
        <x:v>article1-unified-v4-2-fb3f101b-20260903-000401-default-f06-p1-nostore</x:v>
      </x:c>
      <x:c r="B1259" s="34" t="str">
        <x:v>default</x:v>
      </x:c>
      <x:c r="C1259" s="34" t="str">
        <x:v>nostore</x:v>
      </x:c>
      <x:c r="D1259" s="34" t="str">
        <x:v>nostore</x:v>
      </x:c>
      <x:c r="E1259" s="36" t="n">
        <x:v>6</x:v>
      </x:c>
      <x:c r="F1259" s="36" t="n">
        <x:v>6</x:v>
      </x:c>
      <x:c r="G1259" s="36" t="n">
        <x:v>1</x:v>
      </x:c>
      <x:c r="H1259" s="36" t="n">
        <x:v>4</x:v>
      </x:c>
      <x:c r="I1259" s="34" t="str">
        <x:v>loaded</x:v>
      </x:c>
      <x:c r="J1259" s="34" t="str">
        <x:v>loaded</x:v>
      </x:c>
      <x:c r="K1259" s="36" t="n">
        <x:v>0</x:v>
      </x:c>
      <x:c r="L1259" s="34" t="str">
        <x:v>initial</x:v>
      </x:c>
      <x:c r="M1259" s="34" t="str">
        <x:v>article1-unified-v4-2-fb3f101b-20260903-000401-default-f06-p1-nostore-4-loaded</x:v>
      </x:c>
      <x:c r="N1259" s="38" t="n">
        <x:v>46268.09530340278</x:v>
      </x:c>
      <x:c r="O1259" s="36" t="n">
        <x:v>0</x:v>
      </x:c>
      <x:c r="P1259" s="43" t="n">
        <x:v>311847936</x:v>
      </x:c>
      <x:c r="Q1259" s="43" t="n">
        <x:v>334495744</x:v>
      </x:c>
      <x:c r="R1259" s="43" t="n">
        <x:v>487882752</x:v>
      </x:c>
      <x:c r="S1259" s="36" t="n">
        <x:v>2</x:v>
      </x:c>
      <x:c r="T1259" s="44" t="str">
        <x:v>0x00000000371177b8  0x0000000037003818  0x0000756ac0198b20    4287  20431872  20419552  org.apache.catalina.loader.ParallelWebappClassLoader | 0x00000000371177b8  0x0000000037003818  0x0000756b9c62de40       0         0         0  org.apache.catalina.loader.ParallelWebappClassLoader</x:v>
      </x:c>
      <x:c r="U1259" s="36" t="n">
        <x:v>27</x:v>
      </x:c>
      <x:c r="V1259" s="36" t="n">
        <x:v>0</x:v>
      </x:c>
      <x:c r="W1259" s="44"/>
      <x:c r="X1259" s="36"/>
      <x:c r="Y1259" s="36"/>
      <x:c r="Z1259" s="44"/>
      <x:c r="AA1259" s="49"/>
      <x:c r="AB1259" s="43"/>
      <x:c r="AC1259" s="34"/>
      <x:c r="AD1259" s="34"/>
      <x:c r="AE1259" s="34"/>
      <x:c r="AF1259" s="34"/>
      <x:c r="AG1259" s="34"/>
      <x:c r="AH1259" s="34"/>
      <x:c r="AI1259" s="34"/>
    </x:row>
    <x:row r="1260">
      <x:c r="A1260" s="34" t="str">
        <x:v>article1-unified-v4-2-fb3f101b-20260903-000401-default-f06-p1-nostore</x:v>
      </x:c>
      <x:c r="B1260" s="34" t="str">
        <x:v>default</x:v>
      </x:c>
      <x:c r="C1260" s="34" t="str">
        <x:v>nostore</x:v>
      </x:c>
      <x:c r="D1260" s="34" t="str">
        <x:v>nostore</x:v>
      </x:c>
      <x:c r="E1260" s="36" t="n">
        <x:v>6</x:v>
      </x:c>
      <x:c r="F1260" s="36" t="n">
        <x:v>6</x:v>
      </x:c>
      <x:c r="G1260" s="36" t="n">
        <x:v>1</x:v>
      </x:c>
      <x:c r="H1260" s="36" t="n">
        <x:v>4</x:v>
      </x:c>
      <x:c r="I1260" s="34" t="str">
        <x:v>afterUndeployEarly</x:v>
      </x:c>
      <x:c r="J1260" s="34" t="str">
        <x:v>after-undeploy-early</x:v>
      </x:c>
      <x:c r="K1260" s="36" t="n">
        <x:v>1</x:v>
      </x:c>
      <x:c r="L1260" s="34" t="str">
        <x:v>early</x:v>
      </x:c>
      <x:c r="M1260" s="34" t="str">
        <x:v>article1-unified-v4-2-fb3f101b-20260903-000401-default-f06-p1-nostore-4-after-undeploy-early-2s</x:v>
      </x:c>
      <x:c r="N1260" s="38" t="n">
        <x:v>46268.09538684028</x:v>
      </x:c>
      <x:c r="O1260" s="36"/>
      <x:c r="P1260" s="43"/>
      <x:c r="Q1260" s="43"/>
      <x:c r="R1260" s="43"/>
      <x:c r="S1260" s="36"/>
      <x:c r="T1260" s="44"/>
      <x:c r="U1260" s="36" t="n">
        <x:v>27</x:v>
      </x:c>
      <x:c r="V1260" s="36" t="n">
        <x:v>0</x:v>
      </x:c>
      <x:c r="W1260" s="44"/>
      <x:c r="X1260" s="36"/>
      <x:c r="Y1260" s="36"/>
      <x:c r="Z1260" s="44"/>
      <x:c r="AA1260" s="49"/>
      <x:c r="AB1260" s="43" t="n">
        <x:v>1</x:v>
      </x:c>
      <x:c r="AC1260" s="34"/>
      <x:c r="AD1260" s="34"/>
      <x:c r="AE1260" s="34" t="str">
        <x:v>article1-unified-v4-2-fb3f101b-20260903-000401-default-f06-p1-nostore-4-after-undeploy-early-2s-thread-dump.txt</x:v>
      </x:c>
      <x:c r="AF1260" s="34" t="str">
        <x:v>article1-unified-v4-2-fb3f101b-20260903-000401-default-f06-p1-nostore-4-after-undeploy-early-tomcat-log.txt</x:v>
      </x:c>
      <x:c r="AG1260" s="34"/>
      <x:c r="AH1260" s="34"/>
      <x:c r="AI1260" s="34"/>
    </x:row>
    <x:row r="1261">
      <x:c r="A1261" s="34" t="str">
        <x:v>article1-unified-v4-2-fb3f101b-20260903-000401-default-f06-p1-nostore</x:v>
      </x:c>
      <x:c r="B1261" s="34" t="str">
        <x:v>default</x:v>
      </x:c>
      <x:c r="C1261" s="34" t="str">
        <x:v>nostore</x:v>
      </x:c>
      <x:c r="D1261" s="34" t="str">
        <x:v>nostore</x:v>
      </x:c>
      <x:c r="E1261" s="36" t="n">
        <x:v>6</x:v>
      </x:c>
      <x:c r="F1261" s="36" t="n">
        <x:v>6</x:v>
      </x:c>
      <x:c r="G1261" s="36" t="n">
        <x:v>1</x:v>
      </x:c>
      <x:c r="H1261" s="36" t="n">
        <x:v>4</x:v>
      </x:c>
      <x:c r="I1261" s="34" t="str">
        <x:v>afterUndeploy</x:v>
      </x:c>
      <x:c r="J1261" s="34" t="str">
        <x:v>after-undeploy-final</x:v>
      </x:c>
      <x:c r="K1261" s="36" t="n">
        <x:v>1</x:v>
      </x:c>
      <x:c r="L1261" s="34" t="str">
        <x:v>final</x:v>
      </x:c>
      <x:c r="M1261" s="34" t="str">
        <x:v>article1-unified-v4-2-fb3f101b-20260903-000401-default-f06-p1-nostore-4-after-undeploy-final-10s</x:v>
      </x:c>
      <x:c r="N1261" s="38" t="n">
        <x:v>46268.095541875</x:v>
      </x:c>
      <x:c r="O1261" s="36" t="n">
        <x:v>2</x:v>
      </x:c>
      <x:c r="P1261" s="43" t="n">
        <x:v>15414272</x:v>
      </x:c>
      <x:c r="Q1261" s="43" t="n">
        <x:v>268435456</x:v>
      </x:c>
      <x:c r="R1261" s="43" t="n">
        <x:v>420046848</x:v>
      </x:c>
      <x:c r="S1261" s="36" t="n">
        <x:v>2</x:v>
      </x:c>
      <x:c r="T1261" s="44" t="str">
        <x:v>0x00000000371177b8  0x0000000037003818  0x0000756ac0198b20    4295  20448256  20444168  org.apache.catalina.loader.ParallelWebappClassLoader | 0x00000000371177b8  0x0000000037003818  0x0000756b9c62de40       0         0         0  org.apache.catalina.loader.ParallelWebappClassLoader</x:v>
      </x:c>
      <x:c r="U1261" s="36" t="n">
        <x:v>27</x:v>
      </x:c>
      <x:c r="V1261" s="36" t="n">
        <x:v>0</x:v>
      </x:c>
      <x:c r="W1261" s="44"/>
      <x:c r="X1261" s="36" t="n">
        <x:v>1</x:v>
      </x:c>
      <x:c r="Y1261" s="36" t="n">
        <x:v>1</x:v>
      </x:c>
      <x:c r="Z1261" s="44" t="str">
        <x:v>/nostore</x:v>
      </x:c>
      <x:c r="AA1261" s="45" t="b">
        <x:v>1</x:v>
      </x:c>
      <x:c r="AB1261" s="43"/>
      <x:c r="AC1261" s="34" t="str">
        <x:v>article1-unified-v4-2-fb3f101b-20260903-000401-default-f06-p1-nostore-4-after-undeploy-final-10s-heap-info.txt</x:v>
      </x:c>
      <x:c r="AD1261" s="34" t="str">
        <x:v>article1-unified-v4-2-fb3f101b-20260903-000401-default-f06-p1-nostore-4-after-undeploy-final-10s-classloader-stats.txt</x:v>
      </x:c>
      <x:c r="AE1261" s="34" t="str">
        <x:v>article1-unified-v4-2-fb3f101b-20260903-000401-default-f06-p1-nostore-4-after-undeploy-final-10s-thread-dump.txt</x:v>
      </x:c>
      <x:c r="AF1261" s="34"/>
      <x:c r="AG1261" s="34" t="str">
        <x:v>article1-unified-v4-2-fb3f101b-20260903-000401-default-f06-p1-nostore-4-after-undeploy-final-10s-native-memory.txt</x:v>
      </x:c>
      <x:c r="AH1261" s="34" t="str">
        <x:v>article1-unified-v4-2-fb3f101b-20260903-000401-default-f06-p1-nostore-4-after-undeploy-final-10s-class-histogram.txt</x:v>
      </x:c>
      <x:c r="AI1261" s="34" t="str">
        <x:v>article1-unified-v4-2-fb3f101b-20260903-000401-default-f06-p1-nostore-4-after-undeploy-tomcat-findleaks.txt</x:v>
      </x:c>
    </x:row>
    <x:row r="1262">
      <x:c r="A1262" s="34" t="str">
        <x:v>article1-unified-v4-2-fb3f101b-20260903-000401-default-f06-p1-nostore</x:v>
      </x:c>
      <x:c r="B1262" s="34" t="str">
        <x:v>default</x:v>
      </x:c>
      <x:c r="C1262" s="34" t="str">
        <x:v>nostore</x:v>
      </x:c>
      <x:c r="D1262" s="34" t="str">
        <x:v>nostore</x:v>
      </x:c>
      <x:c r="E1262" s="36" t="n">
        <x:v>6</x:v>
      </x:c>
      <x:c r="F1262" s="36" t="n">
        <x:v>6</x:v>
      </x:c>
      <x:c r="G1262" s="36" t="n">
        <x:v>1</x:v>
      </x:c>
      <x:c r="H1262" s="36" t="n">
        <x:v>4</x:v>
      </x:c>
      <x:c r="I1262" s="34" t="str">
        <x:v>redeployedLoaded</x:v>
      </x:c>
      <x:c r="J1262" s="34" t="str">
        <x:v>redeployed-loaded</x:v>
      </x:c>
      <x:c r="K1262" s="36" t="n">
        <x:v>0</x:v>
      </x:c>
      <x:c r="L1262" s="34" t="str">
        <x:v>redeploy</x:v>
      </x:c>
      <x:c r="M1262" s="34" t="str">
        <x:v>article1-unified-v4-2-fb3f101b-20260903-000401-default-f06-p1-nostore-4-redeployed-loaded</x:v>
      </x:c>
      <x:c r="N1262" s="38" t="n">
        <x:v>46268.09580423611</x:v>
      </x:c>
      <x:c r="O1262" s="36" t="n">
        <x:v>0</x:v>
      </x:c>
      <x:c r="P1262" s="43" t="n">
        <x:v>313958400</x:v>
      </x:c>
      <x:c r="Q1262" s="43" t="n">
        <x:v>335544320</x:v>
      </x:c>
      <x:c r="R1262" s="43" t="n">
        <x:v>495094784</x:v>
      </x:c>
      <x:c r="S1262" s="36" t="n">
        <x:v>2</x:v>
      </x:c>
      <x:c r="T1262" s="44" t="str">
        <x:v>0x00000000371177b8  0x0000000037003818  0x0000756b9c62de40       0         0         0  org.apache.catalina.loader.ParallelWebappClassLoader | 0x00000000371177b8  0x0000000037003818  0x0000756b08016140    4288  20435968  20417032  org.apache.catalina.loader.ParallelWebappClassLoader</x:v>
      </x:c>
      <x:c r="U1262" s="36" t="n">
        <x:v>27</x:v>
      </x:c>
      <x:c r="V1262" s="36" t="n">
        <x:v>0</x:v>
      </x:c>
      <x:c r="W1262" s="44"/>
      <x:c r="X1262" s="36"/>
      <x:c r="Y1262" s="36"/>
      <x:c r="Z1262" s="44"/>
      <x:c r="AA1262" s="49"/>
      <x:c r="AB1262" s="43"/>
      <x:c r="AC1262" s="34"/>
      <x:c r="AD1262" s="34"/>
      <x:c r="AE1262" s="34"/>
      <x:c r="AF1262" s="34"/>
      <x:c r="AG1262" s="34"/>
      <x:c r="AH1262" s="34"/>
      <x:c r="AI1262" s="34"/>
    </x:row>
    <x:row r="1263">
      <x:c r="A1263" s="34" t="str">
        <x:v>article1-unified-v4-2-fb3f101b-20260903-000401-default-f06-p1-nostore</x:v>
      </x:c>
      <x:c r="B1263" s="34" t="str">
        <x:v>default</x:v>
      </x:c>
      <x:c r="C1263" s="34" t="str">
        <x:v>nostore</x:v>
      </x:c>
      <x:c r="D1263" s="34" t="str">
        <x:v>nostore</x:v>
      </x:c>
      <x:c r="E1263" s="36" t="n">
        <x:v>6</x:v>
      </x:c>
      <x:c r="F1263" s="36" t="n">
        <x:v>6</x:v>
      </x:c>
      <x:c r="G1263" s="36" t="n">
        <x:v>1</x:v>
      </x:c>
      <x:c r="H1263" s="36" t="n">
        <x:v>4</x:v>
      </x:c>
      <x:c r="I1263" s="34" t="str">
        <x:v>afterFinalUndeployEarly</x:v>
      </x:c>
      <x:c r="J1263" s="34" t="str">
        <x:v>after-final-undeploy-early</x:v>
      </x:c>
      <x:c r="K1263" s="36" t="n">
        <x:v>2</x:v>
      </x:c>
      <x:c r="L1263" s="34" t="str">
        <x:v>early</x:v>
      </x:c>
      <x:c r="M1263" s="34" t="str">
        <x:v>article1-unified-v4-2-fb3f101b-20260903-000401-default-f06-p1-nostore-4-after-final-undeploy-early-2s</x:v>
      </x:c>
      <x:c r="N1263" s="38" t="n">
        <x:v>46268.09588599537</x:v>
      </x:c>
      <x:c r="O1263" s="36"/>
      <x:c r="P1263" s="43"/>
      <x:c r="Q1263" s="43"/>
      <x:c r="R1263" s="43"/>
      <x:c r="S1263" s="36"/>
      <x:c r="T1263" s="44"/>
      <x:c r="U1263" s="36" t="n">
        <x:v>27</x:v>
      </x:c>
      <x:c r="V1263" s="36" t="n">
        <x:v>0</x:v>
      </x:c>
      <x:c r="W1263" s="44"/>
      <x:c r="X1263" s="36"/>
      <x:c r="Y1263" s="36"/>
      <x:c r="Z1263" s="44"/>
      <x:c r="AA1263" s="49"/>
      <x:c r="AB1263" s="43" t="n">
        <x:v>1</x:v>
      </x:c>
      <x:c r="AC1263" s="34"/>
      <x:c r="AD1263" s="34"/>
      <x:c r="AE1263" s="34" t="str">
        <x:v>article1-unified-v4-2-fb3f101b-20260903-000401-default-f06-p1-nostore-4-after-final-undeploy-early-2s-thread-dump.txt</x:v>
      </x:c>
      <x:c r="AF1263" s="34" t="str">
        <x:v>article1-unified-v4-2-fb3f101b-20260903-000401-default-f06-p1-nostore-4-after-final-undeploy-early-tomcat-log.txt</x:v>
      </x:c>
      <x:c r="AG1263" s="34"/>
      <x:c r="AH1263" s="34"/>
      <x:c r="AI1263" s="34"/>
    </x:row>
    <x:row r="1264">
      <x:c r="A1264" s="34" t="str">
        <x:v>article1-unified-v4-2-fb3f101b-20260903-000401-default-f06-p1-nostore</x:v>
      </x:c>
      <x:c r="B1264" s="34" t="str">
        <x:v>default</x:v>
      </x:c>
      <x:c r="C1264" s="34" t="str">
        <x:v>nostore</x:v>
      </x:c>
      <x:c r="D1264" s="34" t="str">
        <x:v>nostore</x:v>
      </x:c>
      <x:c r="E1264" s="36" t="n">
        <x:v>6</x:v>
      </x:c>
      <x:c r="F1264" s="36" t="n">
        <x:v>6</x:v>
      </x:c>
      <x:c r="G1264" s="36" t="n">
        <x:v>1</x:v>
      </x:c>
      <x:c r="H1264" s="36" t="n">
        <x:v>4</x:v>
      </x:c>
      <x:c r="I1264" s="34" t="str">
        <x:v>afterFinalUndeploy</x:v>
      </x:c>
      <x:c r="J1264" s="34" t="str">
        <x:v>after-final-undeploy-final</x:v>
      </x:c>
      <x:c r="K1264" s="36" t="n">
        <x:v>2</x:v>
      </x:c>
      <x:c r="L1264" s="34" t="str">
        <x:v>final</x:v>
      </x:c>
      <x:c r="M1264" s="34" t="str">
        <x:v>article1-unified-v4-2-fb3f101b-20260903-000401-default-f06-p1-nostore-4-after-final-undeploy-final-10s</x:v>
      </x:c>
      <x:c r="N1264" s="38" t="n">
        <x:v>46268.09603883102</x:v>
      </x:c>
      <x:c r="O1264" s="36" t="n">
        <x:v>2</x:v>
      </x:c>
      <x:c r="P1264" s="43" t="n">
        <x:v>15421440</x:v>
      </x:c>
      <x:c r="Q1264" s="43" t="n">
        <x:v>268435456</x:v>
      </x:c>
      <x:c r="R1264" s="43" t="n">
        <x:v>425295872</x:v>
      </x:c>
      <x:c r="S1264" s="36" t="n">
        <x:v>2</x:v>
      </x:c>
      <x:c r="T1264" s="44" t="str">
        <x:v>0x00000000371177b8  0x0000000037003818  0x0000756b9c62de40       0         0         0  org.apache.catalina.loader.ParallelWebappClassLoader | 0x00000000371177b8  0x0000000037003818  0x0000756b08016140    4296  20452352  20441656  org.apache.catalina.loader.ParallelWebappClassLoader</x:v>
      </x:c>
      <x:c r="U1264" s="36" t="n">
        <x:v>27</x:v>
      </x:c>
      <x:c r="V1264" s="36" t="n">
        <x:v>0</x:v>
      </x:c>
      <x:c r="W1264" s="44"/>
      <x:c r="X1264" s="36" t="n">
        <x:v>1</x:v>
      </x:c>
      <x:c r="Y1264" s="36" t="n">
        <x:v>1</x:v>
      </x:c>
      <x:c r="Z1264" s="44" t="str">
        <x:v>/nostore</x:v>
      </x:c>
      <x:c r="AA1264" s="45" t="b">
        <x:v>1</x:v>
      </x:c>
      <x:c r="AB1264" s="43"/>
      <x:c r="AC1264" s="34" t="str">
        <x:v>article1-unified-v4-2-fb3f101b-20260903-000401-default-f06-p1-nostore-4-after-final-undeploy-final-10s-heap-info.txt</x:v>
      </x:c>
      <x:c r="AD1264" s="34" t="str">
        <x:v>article1-unified-v4-2-fb3f101b-20260903-000401-default-f06-p1-nostore-4-after-final-undeploy-final-10s-classloader-stats.txt</x:v>
      </x:c>
      <x:c r="AE1264" s="34" t="str">
        <x:v>article1-unified-v4-2-fb3f101b-20260903-000401-default-f06-p1-nostore-4-after-final-undeploy-final-10s-thread-dump.txt</x:v>
      </x:c>
      <x:c r="AF1264" s="34"/>
      <x:c r="AG1264" s="34" t="str">
        <x:v>article1-unified-v4-2-fb3f101b-20260903-000401-default-f06-p1-nostore-4-after-final-undeploy-final-10s-native-memory.txt</x:v>
      </x:c>
      <x:c r="AH1264" s="34" t="str">
        <x:v>article1-unified-v4-2-fb3f101b-20260903-000401-default-f06-p1-nostore-4-after-final-undeploy-final-10s-class-histogram.txt</x:v>
      </x:c>
      <x:c r="AI1264" s="34" t="str">
        <x:v>article1-unified-v4-2-fb3f101b-20260903-000401-default-f06-p1-nostore-4-after-final-undeploy-tomcat-findleaks.txt</x:v>
      </x:c>
    </x:row>
    <x:row r="1265">
      <x:c r="A1265" s="34" t="str">
        <x:v>article1-unified-v4-2-fb3f101b-20260903-000401-default-f06-p1-nostore</x:v>
      </x:c>
      <x:c r="B1265" s="34" t="str">
        <x:v>default</x:v>
      </x:c>
      <x:c r="C1265" s="34" t="str">
        <x:v>nostore</x:v>
      </x:c>
      <x:c r="D1265" s="34" t="str">
        <x:v>nostore</x:v>
      </x:c>
      <x:c r="E1265" s="36" t="n">
        <x:v>6</x:v>
      </x:c>
      <x:c r="F1265" s="36" t="n">
        <x:v>6</x:v>
      </x:c>
      <x:c r="G1265" s="36" t="n">
        <x:v>1</x:v>
      </x:c>
      <x:c r="H1265" s="36" t="n">
        <x:v>5</x:v>
      </x:c>
      <x:c r="I1265" s="34" t="str">
        <x:v>baseline</x:v>
      </x:c>
      <x:c r="J1265" s="34" t="str">
        <x:v>cycle-baseline</x:v>
      </x:c>
      <x:c r="K1265" s="36" t="n">
        <x:v>0</x:v>
      </x:c>
      <x:c r="L1265" s="34" t="str">
        <x:v>baseline</x:v>
      </x:c>
      <x:c r="M1265" s="34" t="str">
        <x:v>article1-unified-v4-2-fb3f101b-20260903-000401-default-f06-p1-nostore-5-baseline</x:v>
      </x:c>
      <x:c r="N1265" s="38" t="n">
        <x:v>46268.09607894676</x:v>
      </x:c>
      <x:c r="O1265" s="36" t="n">
        <x:v>0</x:v>
      </x:c>
      <x:c r="P1265" s="43" t="n">
        <x:v>15424512</x:v>
      </x:c>
      <x:c r="Q1265" s="43" t="n">
        <x:v>268435456</x:v>
      </x:c>
      <x:c r="R1265" s="43" t="n">
        <x:v>425032704</x:v>
      </x:c>
      <x:c r="S1265" s="36" t="n">
        <x:v>2</x:v>
      </x:c>
      <x:c r="T1265" s="44" t="str">
        <x:v>0x00000000371177b8  0x0000000037003818  0x0000756b9c62de40       0         0         0  org.apache.catalina.loader.ParallelWebappClassLoader | 0x00000000371177b8  0x0000000037003818  0x0000756b08016140    4296  20452352  20441656  org.apache.catalina.loader.ParallelWebappClassLoader</x:v>
      </x:c>
      <x:c r="U1265" s="36" t="n">
        <x:v>27</x:v>
      </x:c>
      <x:c r="V1265" s="36" t="n">
        <x:v>0</x:v>
      </x:c>
      <x:c r="W1265" s="44"/>
      <x:c r="X1265" s="36"/>
      <x:c r="Y1265" s="36"/>
      <x:c r="Z1265" s="44"/>
      <x:c r="AA1265" s="49"/>
      <x:c r="AB1265" s="43"/>
      <x:c r="AC1265" s="34" t="str">
        <x:v>article1-unified-v4-2-fb3f101b-20260903-000401-default-f06-p1-nostore-5-baseline-heap-info.txt</x:v>
      </x:c>
      <x:c r="AD1265" s="34" t="str">
        <x:v>article1-unified-v4-2-fb3f101b-20260903-000401-default-f06-p1-nostore-5-baseline-classloader-stats.txt</x:v>
      </x:c>
      <x:c r="AE1265" s="34" t="str">
        <x:v>article1-unified-v4-2-fb3f101b-20260903-000401-default-f06-p1-nostore-5-baseline-thread-dump.txt</x:v>
      </x:c>
      <x:c r="AF1265" s="34"/>
      <x:c r="AG1265" s="34" t="str">
        <x:v>article1-unified-v4-2-fb3f101b-20260903-000401-default-f06-p1-nostore-5-baseline-native-memory.txt</x:v>
      </x:c>
      <x:c r="AH1265" s="34"/>
      <x:c r="AI1265" s="34"/>
    </x:row>
    <x:row r="1266">
      <x:c r="A1266" s="34" t="str">
        <x:v>article1-unified-v4-2-fb3f101b-20260903-000401-default-f06-p1-nostore</x:v>
      </x:c>
      <x:c r="B1266" s="34" t="str">
        <x:v>default</x:v>
      </x:c>
      <x:c r="C1266" s="34" t="str">
        <x:v>nostore</x:v>
      </x:c>
      <x:c r="D1266" s="34" t="str">
        <x:v>nostore</x:v>
      </x:c>
      <x:c r="E1266" s="36" t="n">
        <x:v>6</x:v>
      </x:c>
      <x:c r="F1266" s="36" t="n">
        <x:v>6</x:v>
      </x:c>
      <x:c r="G1266" s="36" t="n">
        <x:v>1</x:v>
      </x:c>
      <x:c r="H1266" s="36" t="n">
        <x:v>5</x:v>
      </x:c>
      <x:c r="I1266" s="34" t="str">
        <x:v>deployedIdle</x:v>
      </x:c>
      <x:c r="J1266" s="34" t="str">
        <x:v>deployed-idle</x:v>
      </x:c>
      <x:c r="K1266" s="36" t="n">
        <x:v>0</x:v>
      </x:c>
      <x:c r="L1266" s="34" t="str">
        <x:v>initial</x:v>
      </x:c>
      <x:c r="M1266" s="34" t="str">
        <x:v>article1-unified-v4-2-fb3f101b-20260903-000401-default-f06-p1-nostore-5-deployed-idle</x:v>
      </x:c>
      <x:c r="N1266" s="38" t="n">
        <x:v>46268.096176203704</x:v>
      </x:c>
      <x:c r="O1266" s="36" t="n">
        <x:v>0</x:v>
      </x:c>
      <x:c r="P1266" s="43" t="n">
        <x:v>167707648</x:v>
      </x:c>
      <x:c r="Q1266" s="43" t="n">
        <x:v>268435456</x:v>
      </x:c>
      <x:c r="R1266" s="43" t="n">
        <x:v>440321024</x:v>
      </x:c>
      <x:c r="S1266" s="36" t="n">
        <x:v>3</x:v>
      </x:c>
      <x:c r="T1266" s="44" t="str">
        <x:v>0x00000000371177b8  0x0000000037003818  0x0000756b9c62de40       0         0         0  org.apache.catalina.loader.ParallelWebappClassLoader | 0x00000000371177b8  0x0000000037003818  0x0000756b08016140    4296  20452352  20441656  org.apache.catalina.loader.ParallelWebappClassLoader | 0x00000000371177b8  0x0000000037003818  0x0000756b00003da0    4091  19454976  19430344  org.apache.catalina.loader.ParallelWebappClassLoader</x:v>
      </x:c>
      <x:c r="U1266" s="36" t="n">
        <x:v>27</x:v>
      </x:c>
      <x:c r="V1266" s="36" t="n">
        <x:v>0</x:v>
      </x:c>
      <x:c r="W1266" s="44"/>
      <x:c r="X1266" s="36"/>
      <x:c r="Y1266" s="36"/>
      <x:c r="Z1266" s="44"/>
      <x:c r="AA1266" s="49"/>
      <x:c r="AB1266" s="43"/>
      <x:c r="AC1266" s="34"/>
      <x:c r="AD1266" s="34"/>
      <x:c r="AE1266" s="34"/>
      <x:c r="AF1266" s="34"/>
      <x:c r="AG1266" s="34"/>
      <x:c r="AH1266" s="34"/>
      <x:c r="AI1266" s="34"/>
    </x:row>
    <x:row r="1267">
      <x:c r="A1267" s="34" t="str">
        <x:v>article1-unified-v4-2-fb3f101b-20260903-000401-default-f06-p1-nostore</x:v>
      </x:c>
      <x:c r="B1267" s="34" t="str">
        <x:v>default</x:v>
      </x:c>
      <x:c r="C1267" s="34" t="str">
        <x:v>nostore</x:v>
      </x:c>
      <x:c r="D1267" s="34" t="str">
        <x:v>nostore</x:v>
      </x:c>
      <x:c r="E1267" s="36" t="n">
        <x:v>6</x:v>
      </x:c>
      <x:c r="F1267" s="36" t="n">
        <x:v>6</x:v>
      </x:c>
      <x:c r="G1267" s="36" t="n">
        <x:v>1</x:v>
      </x:c>
      <x:c r="H1267" s="36" t="n">
        <x:v>5</x:v>
      </x:c>
      <x:c r="I1267" s="34" t="str">
        <x:v>loaded</x:v>
      </x:c>
      <x:c r="J1267" s="34" t="str">
        <x:v>loaded</x:v>
      </x:c>
      <x:c r="K1267" s="36" t="n">
        <x:v>0</x:v>
      </x:c>
      <x:c r="L1267" s="34" t="str">
        <x:v>initial</x:v>
      </x:c>
      <x:c r="M1267" s="34" t="str">
        <x:v>article1-unified-v4-2-fb3f101b-20260903-000401-default-f06-p1-nostore-5-loaded</x:v>
      </x:c>
      <x:c r="N1267" s="38" t="n">
        <x:v>46268.09633037037</x:v>
      </x:c>
      <x:c r="O1267" s="36" t="n">
        <x:v>0</x:v>
      </x:c>
      <x:c r="P1267" s="43" t="n">
        <x:v>291888128</x:v>
      </x:c>
      <x:c r="Q1267" s="43" t="n">
        <x:v>468713472</x:v>
      </x:c>
      <x:c r="R1267" s="43" t="n">
        <x:v>627782656</x:v>
      </x:c>
      <x:c r="S1267" s="36" t="n">
        <x:v>2</x:v>
      </x:c>
      <x:c r="T1267" s="44" t="str">
        <x:v>0x00000000371177b8  0x0000000037003818  0x0000756b9c62de40       0         0         0  org.apache.catalina.loader.ParallelWebappClassLoader | 0x00000000371177b8  0x0000000037003818  0x0000756b00003da0    4288  20438016  20416408  org.apache.catalina.loader.ParallelWebappClassLoader</x:v>
      </x:c>
      <x:c r="U1267" s="36" t="n">
        <x:v>27</x:v>
      </x:c>
      <x:c r="V1267" s="36" t="n">
        <x:v>0</x:v>
      </x:c>
      <x:c r="W1267" s="44"/>
      <x:c r="X1267" s="36"/>
      <x:c r="Y1267" s="36"/>
      <x:c r="Z1267" s="44"/>
      <x:c r="AA1267" s="49"/>
      <x:c r="AB1267" s="43"/>
      <x:c r="AC1267" s="34"/>
      <x:c r="AD1267" s="34"/>
      <x:c r="AE1267" s="34"/>
      <x:c r="AF1267" s="34"/>
      <x:c r="AG1267" s="34"/>
      <x:c r="AH1267" s="34"/>
      <x:c r="AI1267" s="34"/>
    </x:row>
    <x:row r="1268">
      <x:c r="A1268" s="34" t="str">
        <x:v>article1-unified-v4-2-fb3f101b-20260903-000401-default-f06-p1-nostore</x:v>
      </x:c>
      <x:c r="B1268" s="34" t="str">
        <x:v>default</x:v>
      </x:c>
      <x:c r="C1268" s="34" t="str">
        <x:v>nostore</x:v>
      </x:c>
      <x:c r="D1268" s="34" t="str">
        <x:v>nostore</x:v>
      </x:c>
      <x:c r="E1268" s="36" t="n">
        <x:v>6</x:v>
      </x:c>
      <x:c r="F1268" s="36" t="n">
        <x:v>6</x:v>
      </x:c>
      <x:c r="G1268" s="36" t="n">
        <x:v>1</x:v>
      </x:c>
      <x:c r="H1268" s="36" t="n">
        <x:v>5</x:v>
      </x:c>
      <x:c r="I1268" s="34" t="str">
        <x:v>afterUndeployEarly</x:v>
      </x:c>
      <x:c r="J1268" s="34" t="str">
        <x:v>after-undeploy-early</x:v>
      </x:c>
      <x:c r="K1268" s="36" t="n">
        <x:v>1</x:v>
      </x:c>
      <x:c r="L1268" s="34" t="str">
        <x:v>early</x:v>
      </x:c>
      <x:c r="M1268" s="34" t="str">
        <x:v>article1-unified-v4-2-fb3f101b-20260903-000401-default-f06-p1-nostore-5-after-undeploy-early-2s</x:v>
      </x:c>
      <x:c r="N1268" s="38" t="n">
        <x:v>46268.09641186343</x:v>
      </x:c>
      <x:c r="O1268" s="36"/>
      <x:c r="P1268" s="43"/>
      <x:c r="Q1268" s="43"/>
      <x:c r="R1268" s="43"/>
      <x:c r="S1268" s="36"/>
      <x:c r="T1268" s="44"/>
      <x:c r="U1268" s="36" t="n">
        <x:v>27</x:v>
      </x:c>
      <x:c r="V1268" s="36" t="n">
        <x:v>0</x:v>
      </x:c>
      <x:c r="W1268" s="44"/>
      <x:c r="X1268" s="36"/>
      <x:c r="Y1268" s="36"/>
      <x:c r="Z1268" s="44"/>
      <x:c r="AA1268" s="49"/>
      <x:c r="AB1268" s="43" t="n">
        <x:v>1</x:v>
      </x:c>
      <x:c r="AC1268" s="34"/>
      <x:c r="AD1268" s="34"/>
      <x:c r="AE1268" s="34" t="str">
        <x:v>article1-unified-v4-2-fb3f101b-20260903-000401-default-f06-p1-nostore-5-after-undeploy-early-2s-thread-dump.txt</x:v>
      </x:c>
      <x:c r="AF1268" s="34" t="str">
        <x:v>article1-unified-v4-2-fb3f101b-20260903-000401-default-f06-p1-nostore-5-after-undeploy-early-tomcat-log.txt</x:v>
      </x:c>
      <x:c r="AG1268" s="34"/>
      <x:c r="AH1268" s="34"/>
      <x:c r="AI1268" s="34"/>
    </x:row>
    <x:row r="1269">
      <x:c r="A1269" s="34" t="str">
        <x:v>article1-unified-v4-2-fb3f101b-20260903-000401-default-f06-p1-nostore</x:v>
      </x:c>
      <x:c r="B1269" s="34" t="str">
        <x:v>default</x:v>
      </x:c>
      <x:c r="C1269" s="34" t="str">
        <x:v>nostore</x:v>
      </x:c>
      <x:c r="D1269" s="34" t="str">
        <x:v>nostore</x:v>
      </x:c>
      <x:c r="E1269" s="36" t="n">
        <x:v>6</x:v>
      </x:c>
      <x:c r="F1269" s="36" t="n">
        <x:v>6</x:v>
      </x:c>
      <x:c r="G1269" s="36" t="n">
        <x:v>1</x:v>
      </x:c>
      <x:c r="H1269" s="36" t="n">
        <x:v>5</x:v>
      </x:c>
      <x:c r="I1269" s="34" t="str">
        <x:v>afterUndeploy</x:v>
      </x:c>
      <x:c r="J1269" s="34" t="str">
        <x:v>after-undeploy-final</x:v>
      </x:c>
      <x:c r="K1269" s="36" t="n">
        <x:v>1</x:v>
      </x:c>
      <x:c r="L1269" s="34" t="str">
        <x:v>final</x:v>
      </x:c>
      <x:c r="M1269" s="34" t="str">
        <x:v>article1-unified-v4-2-fb3f101b-20260903-000401-default-f06-p1-nostore-5-after-undeploy-final-10s</x:v>
      </x:c>
      <x:c r="N1269" s="38" t="n">
        <x:v>46268.09656790509</x:v>
      </x:c>
      <x:c r="O1269" s="36" t="n">
        <x:v>2</x:v>
      </x:c>
      <x:c r="P1269" s="43" t="n">
        <x:v>15423488</x:v>
      </x:c>
      <x:c r="Q1269" s="43" t="n">
        <x:v>268435456</x:v>
      </x:c>
      <x:c r="R1269" s="43" t="n">
        <x:v>421938176</x:v>
      </x:c>
      <x:c r="S1269" s="36" t="n">
        <x:v>2</x:v>
      </x:c>
      <x:c r="T1269" s="44" t="str">
        <x:v>0x00000000371177b8  0x0000000037003818  0x0000756b9c62de40       0         0         0  org.apache.catalina.loader.ParallelWebappClassLoader | 0x00000000371177b8  0x0000000037003818  0x0000756b00003da0    4296  20454400  20441008  org.apache.catalina.loader.ParallelWebappClassLoader</x:v>
      </x:c>
      <x:c r="U1269" s="36" t="n">
        <x:v>27</x:v>
      </x:c>
      <x:c r="V1269" s="36" t="n">
        <x:v>0</x:v>
      </x:c>
      <x:c r="W1269" s="44"/>
      <x:c r="X1269" s="36" t="n">
        <x:v>1</x:v>
      </x:c>
      <x:c r="Y1269" s="36" t="n">
        <x:v>1</x:v>
      </x:c>
      <x:c r="Z1269" s="44" t="str">
        <x:v>/nostore</x:v>
      </x:c>
      <x:c r="AA1269" s="45" t="b">
        <x:v>1</x:v>
      </x:c>
      <x:c r="AB1269" s="43"/>
      <x:c r="AC1269" s="34" t="str">
        <x:v>article1-unified-v4-2-fb3f101b-20260903-000401-default-f06-p1-nostore-5-after-undeploy-final-10s-heap-info.txt</x:v>
      </x:c>
      <x:c r="AD1269" s="34" t="str">
        <x:v>article1-unified-v4-2-fb3f101b-20260903-000401-default-f06-p1-nostore-5-after-undeploy-final-10s-classloader-stats.txt</x:v>
      </x:c>
      <x:c r="AE1269" s="34" t="str">
        <x:v>article1-unified-v4-2-fb3f101b-20260903-000401-default-f06-p1-nostore-5-after-undeploy-final-10s-thread-dump.txt</x:v>
      </x:c>
      <x:c r="AF1269" s="34"/>
      <x:c r="AG1269" s="34" t="str">
        <x:v>article1-unified-v4-2-fb3f101b-20260903-000401-default-f06-p1-nostore-5-after-undeploy-final-10s-native-memory.txt</x:v>
      </x:c>
      <x:c r="AH1269" s="34" t="str">
        <x:v>article1-unified-v4-2-fb3f101b-20260903-000401-default-f06-p1-nostore-5-after-undeploy-final-10s-class-histogram.txt</x:v>
      </x:c>
      <x:c r="AI1269" s="34" t="str">
        <x:v>article1-unified-v4-2-fb3f101b-20260903-000401-default-f06-p1-nostore-5-after-undeploy-tomcat-findleaks.txt</x:v>
      </x:c>
    </x:row>
    <x:row r="1270">
      <x:c r="A1270" s="34" t="str">
        <x:v>article1-unified-v4-2-fb3f101b-20260903-000401-default-f06-p1-nostore</x:v>
      </x:c>
      <x:c r="B1270" s="34" t="str">
        <x:v>default</x:v>
      </x:c>
      <x:c r="C1270" s="34" t="str">
        <x:v>nostore</x:v>
      </x:c>
      <x:c r="D1270" s="34" t="str">
        <x:v>nostore</x:v>
      </x:c>
      <x:c r="E1270" s="36" t="n">
        <x:v>6</x:v>
      </x:c>
      <x:c r="F1270" s="36" t="n">
        <x:v>6</x:v>
      </x:c>
      <x:c r="G1270" s="36" t="n">
        <x:v>1</x:v>
      </x:c>
      <x:c r="H1270" s="36" t="n">
        <x:v>5</x:v>
      </x:c>
      <x:c r="I1270" s="34" t="str">
        <x:v>redeployedLoaded</x:v>
      </x:c>
      <x:c r="J1270" s="34" t="str">
        <x:v>redeployed-loaded</x:v>
      </x:c>
      <x:c r="K1270" s="36" t="n">
        <x:v>0</x:v>
      </x:c>
      <x:c r="L1270" s="34" t="str">
        <x:v>redeploy</x:v>
      </x:c>
      <x:c r="M1270" s="34" t="str">
        <x:v>article1-unified-v4-2-fb3f101b-20260903-000401-default-f06-p1-nostore-5-redeployed-loaded</x:v>
      </x:c>
      <x:c r="N1270" s="38" t="n">
        <x:v>46268.09683314815</x:v>
      </x:c>
      <x:c r="O1270" s="36" t="n">
        <x:v>0</x:v>
      </x:c>
      <x:c r="P1270" s="43" t="n">
        <x:v>318064640</x:v>
      </x:c>
      <x:c r="Q1270" s="43" t="n">
        <x:v>343932928</x:v>
      </x:c>
      <x:c r="R1270" s="43" t="n">
        <x:v>507752448</x:v>
      </x:c>
      <x:c r="S1270" s="36" t="n">
        <x:v>2</x:v>
      </x:c>
      <x:c r="T1270" s="44" t="str">
        <x:v>0x00000000371177b8  0x0000000037003818  0x0000756b00149c40    4284  20405248  20395216  org.apache.catalina.loader.ParallelWebappClassLoader | 0x00000000371177b8  0x0000000037003818  0x0000756b9c62de40       0         0         0  org.apache.catalina.loader.ParallelWebappClassLoader</x:v>
      </x:c>
      <x:c r="U1270" s="36" t="n">
        <x:v>27</x:v>
      </x:c>
      <x:c r="V1270" s="36" t="n">
        <x:v>0</x:v>
      </x:c>
      <x:c r="W1270" s="44"/>
      <x:c r="X1270" s="36"/>
      <x:c r="Y1270" s="36"/>
      <x:c r="Z1270" s="44"/>
      <x:c r="AA1270" s="49"/>
      <x:c r="AB1270" s="43"/>
      <x:c r="AC1270" s="34"/>
      <x:c r="AD1270" s="34"/>
      <x:c r="AE1270" s="34"/>
      <x:c r="AF1270" s="34"/>
      <x:c r="AG1270" s="34"/>
      <x:c r="AH1270" s="34"/>
      <x:c r="AI1270" s="34"/>
    </x:row>
    <x:row r="1271">
      <x:c r="A1271" s="34" t="str">
        <x:v>article1-unified-v4-2-fb3f101b-20260903-000401-default-f06-p1-nostore</x:v>
      </x:c>
      <x:c r="B1271" s="34" t="str">
        <x:v>default</x:v>
      </x:c>
      <x:c r="C1271" s="34" t="str">
        <x:v>nostore</x:v>
      </x:c>
      <x:c r="D1271" s="34" t="str">
        <x:v>nostore</x:v>
      </x:c>
      <x:c r="E1271" s="36" t="n">
        <x:v>6</x:v>
      </x:c>
      <x:c r="F1271" s="36" t="n">
        <x:v>6</x:v>
      </x:c>
      <x:c r="G1271" s="36" t="n">
        <x:v>1</x:v>
      </x:c>
      <x:c r="H1271" s="36" t="n">
        <x:v>5</x:v>
      </x:c>
      <x:c r="I1271" s="34" t="str">
        <x:v>afterFinalUndeployEarly</x:v>
      </x:c>
      <x:c r="J1271" s="34" t="str">
        <x:v>after-final-undeploy-early</x:v>
      </x:c>
      <x:c r="K1271" s="36" t="n">
        <x:v>2</x:v>
      </x:c>
      <x:c r="L1271" s="34" t="str">
        <x:v>early</x:v>
      </x:c>
      <x:c r="M1271" s="34" t="str">
        <x:v>article1-unified-v4-2-fb3f101b-20260903-000401-default-f06-p1-nostore-5-after-final-undeploy-early-2s</x:v>
      </x:c>
      <x:c r="N1271" s="38" t="n">
        <x:v>46268.09691607639</x:v>
      </x:c>
      <x:c r="O1271" s="36"/>
      <x:c r="P1271" s="43"/>
      <x:c r="Q1271" s="43"/>
      <x:c r="R1271" s="43"/>
      <x:c r="S1271" s="36"/>
      <x:c r="T1271" s="44"/>
      <x:c r="U1271" s="36" t="n">
        <x:v>27</x:v>
      </x:c>
      <x:c r="V1271" s="36" t="n">
        <x:v>0</x:v>
      </x:c>
      <x:c r="W1271" s="44"/>
      <x:c r="X1271" s="36"/>
      <x:c r="Y1271" s="36"/>
      <x:c r="Z1271" s="44"/>
      <x:c r="AA1271" s="49"/>
      <x:c r="AB1271" s="43" t="n">
        <x:v>1</x:v>
      </x:c>
      <x:c r="AC1271" s="34"/>
      <x:c r="AD1271" s="34"/>
      <x:c r="AE1271" s="34" t="str">
        <x:v>article1-unified-v4-2-fb3f101b-20260903-000401-default-f06-p1-nostore-5-after-final-undeploy-early-2s-thread-dump.txt</x:v>
      </x:c>
      <x:c r="AF1271" s="34" t="str">
        <x:v>article1-unified-v4-2-fb3f101b-20260903-000401-default-f06-p1-nostore-5-after-final-undeploy-early-tomcat-log.txt</x:v>
      </x:c>
      <x:c r="AG1271" s="34"/>
      <x:c r="AH1271" s="34"/>
      <x:c r="AI1271" s="34"/>
    </x:row>
    <x:row r="1272">
      <x:c r="A1272" s="34" t="str">
        <x:v>article1-unified-v4-2-fb3f101b-20260903-000401-default-f06-p1-nostore</x:v>
      </x:c>
      <x:c r="B1272" s="34" t="str">
        <x:v>default</x:v>
      </x:c>
      <x:c r="C1272" s="34" t="str">
        <x:v>nostore</x:v>
      </x:c>
      <x:c r="D1272" s="34" t="str">
        <x:v>nostore</x:v>
      </x:c>
      <x:c r="E1272" s="36" t="n">
        <x:v>6</x:v>
      </x:c>
      <x:c r="F1272" s="36" t="n">
        <x:v>6</x:v>
      </x:c>
      <x:c r="G1272" s="36" t="n">
        <x:v>1</x:v>
      </x:c>
      <x:c r="H1272" s="36" t="n">
        <x:v>5</x:v>
      </x:c>
      <x:c r="I1272" s="34" t="str">
        <x:v>afterFinalUndeploy</x:v>
      </x:c>
      <x:c r="J1272" s="34" t="str">
        <x:v>after-final-undeploy-final</x:v>
      </x:c>
      <x:c r="K1272" s="36" t="n">
        <x:v>2</x:v>
      </x:c>
      <x:c r="L1272" s="34" t="str">
        <x:v>final</x:v>
      </x:c>
      <x:c r="M1272" s="34" t="str">
        <x:v>article1-unified-v4-2-fb3f101b-20260903-000401-default-f06-p1-nostore-5-after-final-undeploy-final-10s</x:v>
      </x:c>
      <x:c r="N1272" s="38" t="n">
        <x:v>46268.09708555556</x:v>
      </x:c>
      <x:c r="O1272" s="36" t="n">
        <x:v>2</x:v>
      </x:c>
      <x:c r="P1272" s="43" t="n">
        <x:v>15458304</x:v>
      </x:c>
      <x:c r="Q1272" s="43" t="n">
        <x:v>268435456</x:v>
      </x:c>
      <x:c r="R1272" s="43" t="n">
        <x:v>426825728</x:v>
      </x:c>
      <x:c r="S1272" s="36" t="n">
        <x:v>2</x:v>
      </x:c>
      <x:c r="T1272" s="44" t="str">
        <x:v>0x00000000371177b8  0x0000000037003818  0x0000756b9c62de40       0         0         0  org.apache.catalina.loader.ParallelWebappClassLoader | 0x00000000371177b8  0x0000000037003818  0x0000756b00149c40    4292  20438016  20419576  org.apache.catalina.loader.ParallelWebappClassLoader</x:v>
      </x:c>
      <x:c r="U1272" s="36" t="n">
        <x:v>27</x:v>
      </x:c>
      <x:c r="V1272" s="36" t="n">
        <x:v>0</x:v>
      </x:c>
      <x:c r="W1272" s="44"/>
      <x:c r="X1272" s="36" t="n">
        <x:v>1</x:v>
      </x:c>
      <x:c r="Y1272" s="36" t="n">
        <x:v>1</x:v>
      </x:c>
      <x:c r="Z1272" s="44" t="str">
        <x:v>/nostore</x:v>
      </x:c>
      <x:c r="AA1272" s="45" t="b">
        <x:v>1</x:v>
      </x:c>
      <x:c r="AB1272" s="43"/>
      <x:c r="AC1272" s="34" t="str">
        <x:v>article1-unified-v4-2-fb3f101b-20260903-000401-default-f06-p1-nostore-5-after-final-undeploy-final-10s-heap-info.txt</x:v>
      </x:c>
      <x:c r="AD1272" s="34" t="str">
        <x:v>article1-unified-v4-2-fb3f101b-20260903-000401-default-f06-p1-nostore-5-after-final-undeploy-final-10s-classloader-stats.txt</x:v>
      </x:c>
      <x:c r="AE1272" s="34" t="str">
        <x:v>article1-unified-v4-2-fb3f101b-20260903-000401-default-f06-p1-nostore-5-after-final-undeploy-final-10s-thread-dump.txt</x:v>
      </x:c>
      <x:c r="AF1272" s="34"/>
      <x:c r="AG1272" s="34" t="str">
        <x:v>article1-unified-v4-2-fb3f101b-20260903-000401-default-f06-p1-nostore-5-after-final-undeploy-final-10s-native-memory.txt</x:v>
      </x:c>
      <x:c r="AH1272" s="34" t="str">
        <x:v>article1-unified-v4-2-fb3f101b-20260903-000401-default-f06-p1-nostore-5-after-final-undeploy-final-10s-class-histogram.txt</x:v>
      </x:c>
      <x:c r="AI1272" s="34" t="str">
        <x:v>article1-unified-v4-2-fb3f101b-20260903-000401-default-f06-p1-nostore-5-after-final-undeploy-tomcat-findleaks.txt</x:v>
      </x:c>
    </x:row>
    <x:row r="1273">
      <x:c r="A1273" s="34" t="str">
        <x:v>article1-unified-v4-2-fb3f101b-20260903-000401-default-f06-p2-caffeine</x:v>
      </x:c>
      <x:c r="B1273" s="34" t="str">
        <x:v>default</x:v>
      </x:c>
      <x:c r="C1273" s="34" t="str">
        <x:v>caffeine</x:v>
      </x:c>
      <x:c r="D1273" s="34" t="str">
        <x:v>caffeine</x:v>
      </x:c>
      <x:c r="E1273" s="36" t="n">
        <x:v>6</x:v>
      </x:c>
      <x:c r="F1273" s="36" t="n">
        <x:v>6</x:v>
      </x:c>
      <x:c r="G1273" s="36" t="n">
        <x:v>2</x:v>
      </x:c>
      <x:c r="H1273" s="36" t="n">
        <x:v>0</x:v>
      </x:c>
      <x:c r="I1273" s="34" t="str">
        <x:v>processBaseline</x:v>
      </x:c>
      <x:c r="J1273" s="34" t="str">
        <x:v>process-baseline</x:v>
      </x:c>
      <x:c r="K1273" s="36" t="n">
        <x:v>0</x:v>
      </x:c>
      <x:c r="L1273" s="34" t="str">
        <x:v>baseline</x:v>
      </x:c>
      <x:c r="M1273" s="34" t="str">
        <x:v>article1-unified-v4-2-fb3f101b-20260903-000401-default-f06-p2-caffeine-process-baseline</x:v>
      </x:c>
      <x:c r="N1273" s="38" t="n">
        <x:v>46268.09732710648</x:v>
      </x:c>
      <x:c r="O1273" s="36" t="n">
        <x:v>0</x:v>
      </x:c>
      <x:c r="P1273" s="43" t="n">
        <x:v>32733184</x:v>
      </x:c>
      <x:c r="Q1273" s="43" t="n">
        <x:v>270532608</x:v>
      </x:c>
      <x:c r="R1273" s="43" t="n">
        <x:v>369150976</x:v>
      </x:c>
      <x:c r="S1273" s="36" t="n">
        <x:v>1</x:v>
      </x:c>
      <x:c r="T1273" s="44" t="str">
        <x:v>0x000000000c1177b8  0x000000000c003818  0x00007ad2c86048c0       0         0         0  org.apache.catalina.loader.ParallelWebappClassLoader</x:v>
      </x:c>
      <x:c r="U1273" s="36" t="n">
        <x:v>27</x:v>
      </x:c>
      <x:c r="V1273" s="36" t="n">
        <x:v>0</x:v>
      </x:c>
      <x:c r="W1273" s="44"/>
      <x:c r="X1273" s="36"/>
      <x:c r="Y1273" s="36"/>
      <x:c r="Z1273" s="44"/>
      <x:c r="AA1273" s="49"/>
      <x:c r="AB1273" s="43"/>
      <x:c r="AC1273" s="34" t="str">
        <x:v>article1-unified-v4-2-fb3f101b-20260903-000401-default-f06-p2-caffeine-process-baseline-heap-info.txt</x:v>
      </x:c>
      <x:c r="AD1273" s="34" t="str">
        <x:v>article1-unified-v4-2-fb3f101b-20260903-000401-default-f06-p2-caffeine-process-baseline-classloader-stats.txt</x:v>
      </x:c>
      <x:c r="AE1273" s="34" t="str">
        <x:v>article1-unified-v4-2-fb3f101b-20260903-000401-default-f06-p2-caffeine-process-baseline-thread-dump.txt</x:v>
      </x:c>
      <x:c r="AF1273" s="34"/>
      <x:c r="AG1273" s="34" t="str">
        <x:v>article1-unified-v4-2-fb3f101b-20260903-000401-default-f06-p2-caffeine-process-baseline-native-memory.txt</x:v>
      </x:c>
      <x:c r="AH1273" s="34"/>
      <x:c r="AI1273" s="34"/>
    </x:row>
    <x:row r="1274">
      <x:c r="A1274" s="34" t="str">
        <x:v>article1-unified-v4-2-fb3f101b-20260903-000401-default-f06-p2-caffeine</x:v>
      </x:c>
      <x:c r="B1274" s="34" t="str">
        <x:v>default</x:v>
      </x:c>
      <x:c r="C1274" s="34" t="str">
        <x:v>caffeine</x:v>
      </x:c>
      <x:c r="D1274" s="34" t="str">
        <x:v>caffeine</x:v>
      </x:c>
      <x:c r="E1274" s="36" t="n">
        <x:v>6</x:v>
      </x:c>
      <x:c r="F1274" s="36" t="n">
        <x:v>6</x:v>
      </x:c>
      <x:c r="G1274" s="36" t="n">
        <x:v>2</x:v>
      </x:c>
      <x:c r="H1274" s="36" t="n">
        <x:v>1</x:v>
      </x:c>
      <x:c r="I1274" s="34" t="str">
        <x:v>baseline</x:v>
      </x:c>
      <x:c r="J1274" s="34" t="str">
        <x:v>cycle-baseline</x:v>
      </x:c>
      <x:c r="K1274" s="36" t="n">
        <x:v>0</x:v>
      </x:c>
      <x:c r="L1274" s="34" t="str">
        <x:v>baseline</x:v>
      </x:c>
      <x:c r="M1274" s="34" t="str">
        <x:v>article1-unified-v4-2-fb3f101b-20260903-000401-default-f06-p2-caffeine-1-baseline</x:v>
      </x:c>
      <x:c r="N1274" s="38" t="n">
        <x:v>46268.09752178241</x:v>
      </x:c>
      <x:c r="O1274" s="36" t="n">
        <x:v>0</x:v>
      </x:c>
      <x:c r="P1274" s="43" t="n">
        <x:v>32733184</x:v>
      </x:c>
      <x:c r="Q1274" s="43" t="n">
        <x:v>270532608</x:v>
      </x:c>
      <x:c r="R1274" s="43" t="n">
        <x:v>369739776</x:v>
      </x:c>
      <x:c r="S1274" s="36" t="n">
        <x:v>1</x:v>
      </x:c>
      <x:c r="T1274" s="44" t="str">
        <x:v>0x000000000c1177b8  0x000000000c003818  0x00007ad2c86048c0       0         0         0  org.apache.catalina.loader.ParallelWebappClassLoader</x:v>
      </x:c>
      <x:c r="U1274" s="36" t="n">
        <x:v>27</x:v>
      </x:c>
      <x:c r="V1274" s="36" t="n">
        <x:v>0</x:v>
      </x:c>
      <x:c r="W1274" s="44"/>
      <x:c r="X1274" s="36"/>
      <x:c r="Y1274" s="36"/>
      <x:c r="Z1274" s="44"/>
      <x:c r="AA1274" s="49"/>
      <x:c r="AB1274" s="43"/>
      <x:c r="AC1274" s="34" t="str">
        <x:v>article1-unified-v4-2-fb3f101b-20260903-000401-default-f06-p2-caffeine-1-baseline-heap-info.txt</x:v>
      </x:c>
      <x:c r="AD1274" s="34" t="str">
        <x:v>article1-unified-v4-2-fb3f101b-20260903-000401-default-f06-p2-caffeine-1-baseline-classloader-stats.txt</x:v>
      </x:c>
      <x:c r="AE1274" s="34" t="str">
        <x:v>article1-unified-v4-2-fb3f101b-20260903-000401-default-f06-p2-caffeine-1-baseline-thread-dump.txt</x:v>
      </x:c>
      <x:c r="AF1274" s="34"/>
      <x:c r="AG1274" s="34" t="str">
        <x:v>article1-unified-v4-2-fb3f101b-20260903-000401-default-f06-p2-caffeine-1-baseline-native-memory.txt</x:v>
      </x:c>
      <x:c r="AH1274" s="34"/>
      <x:c r="AI1274" s="34"/>
    </x:row>
    <x:row r="1275">
      <x:c r="A1275" s="34" t="str">
        <x:v>article1-unified-v4-2-fb3f101b-20260903-000401-default-f06-p2-caffeine</x:v>
      </x:c>
      <x:c r="B1275" s="34" t="str">
        <x:v>default</x:v>
      </x:c>
      <x:c r="C1275" s="34" t="str">
        <x:v>caffeine</x:v>
      </x:c>
      <x:c r="D1275" s="34" t="str">
        <x:v>caffeine</x:v>
      </x:c>
      <x:c r="E1275" s="36" t="n">
        <x:v>6</x:v>
      </x:c>
      <x:c r="F1275" s="36" t="n">
        <x:v>6</x:v>
      </x:c>
      <x:c r="G1275" s="36" t="n">
        <x:v>2</x:v>
      </x:c>
      <x:c r="H1275" s="36" t="n">
        <x:v>1</x:v>
      </x:c>
      <x:c r="I1275" s="34" t="str">
        <x:v>deployedIdle</x:v>
      </x:c>
      <x:c r="J1275" s="34" t="str">
        <x:v>deployed-idle</x:v>
      </x:c>
      <x:c r="K1275" s="36" t="n">
        <x:v>0</x:v>
      </x:c>
      <x:c r="L1275" s="34" t="str">
        <x:v>initial</x:v>
      </x:c>
      <x:c r="M1275" s="34" t="str">
        <x:v>article1-unified-v4-2-fb3f101b-20260903-000401-default-f06-p2-caffeine-1-deployed-idle</x:v>
      </x:c>
      <x:c r="N1275" s="38" t="n">
        <x:v>46268.09763171296</x:v>
      </x:c>
      <x:c r="O1275" s="36" t="n">
        <x:v>0</x:v>
      </x:c>
      <x:c r="P1275" s="43" t="n">
        <x:v>23049216</x:v>
      </x:c>
      <x:c r="Q1275" s="43" t="n">
        <x:v>268435456</x:v>
      </x:c>
      <x:c r="R1275" s="43" t="n">
        <x:v>426937344</x:v>
      </x:c>
      <x:c r="S1275" s="36" t="n">
        <x:v>2</x:v>
      </x:c>
      <x:c r="T1275" s="44" t="str">
        <x:v>0x000000000c1177b8  0x000000000c003818  0x00007ad2200841a0    4091  19424256  19406968  org.apache.catalina.loader.ParallelWebappClassLoader | 0x000000000c1177b8  0x000000000c003818  0x00007ad2c86048c0       0         0         0  org.apache.catalina.loader.ParallelWebappClassLoader</x:v>
      </x:c>
      <x:c r="U1275" s="36" t="n">
        <x:v>27</x:v>
      </x:c>
      <x:c r="V1275" s="36" t="n">
        <x:v>0</x:v>
      </x:c>
      <x:c r="W1275" s="44"/>
      <x:c r="X1275" s="36"/>
      <x:c r="Y1275" s="36"/>
      <x:c r="Z1275" s="44"/>
      <x:c r="AA1275" s="49"/>
      <x:c r="AB1275" s="43"/>
      <x:c r="AC1275" s="34"/>
      <x:c r="AD1275" s="34"/>
      <x:c r="AE1275" s="34"/>
      <x:c r="AF1275" s="34"/>
      <x:c r="AG1275" s="34"/>
      <x:c r="AH1275" s="34"/>
      <x:c r="AI1275" s="34"/>
    </x:row>
    <x:row r="1276">
      <x:c r="A1276" s="34" t="str">
        <x:v>article1-unified-v4-2-fb3f101b-20260903-000401-default-f06-p2-caffeine</x:v>
      </x:c>
      <x:c r="B1276" s="34" t="str">
        <x:v>default</x:v>
      </x:c>
      <x:c r="C1276" s="34" t="str">
        <x:v>caffeine</x:v>
      </x:c>
      <x:c r="D1276" s="34" t="str">
        <x:v>caffeine</x:v>
      </x:c>
      <x:c r="E1276" s="36" t="n">
        <x:v>6</x:v>
      </x:c>
      <x:c r="F1276" s="36" t="n">
        <x:v>6</x:v>
      </x:c>
      <x:c r="G1276" s="36" t="n">
        <x:v>2</x:v>
      </x:c>
      <x:c r="H1276" s="36" t="n">
        <x:v>1</x:v>
      </x:c>
      <x:c r="I1276" s="34" t="str">
        <x:v>loaded</x:v>
      </x:c>
      <x:c r="J1276" s="34" t="str">
        <x:v>loaded</x:v>
      </x:c>
      <x:c r="K1276" s="36" t="n">
        <x:v>0</x:v>
      </x:c>
      <x:c r="L1276" s="34" t="str">
        <x:v>initial</x:v>
      </x:c>
      <x:c r="M1276" s="34" t="str">
        <x:v>article1-unified-v4-2-fb3f101b-20260903-000401-default-f06-p2-caffeine-1-loaded</x:v>
      </x:c>
      <x:c r="N1276" s="38" t="n">
        <x:v>46268.09778427083</x:v>
      </x:c>
      <x:c r="O1276" s="36" t="n">
        <x:v>0</x:v>
      </x:c>
      <x:c r="P1276" s="43" t="n">
        <x:v>208721920</x:v>
      </x:c>
      <x:c r="Q1276" s="43" t="n">
        <x:v>268435456</x:v>
      </x:c>
      <x:c r="R1276" s="43" t="n">
        <x:v>412157952</x:v>
      </x:c>
      <x:c r="S1276" s="36" t="n">
        <x:v>2</x:v>
      </x:c>
      <x:c r="T1276" s="44" t="str">
        <x:v>0x000000000c1177b8  0x000000000c003818  0x00007ad2c86048c0       0         0         0  org.apache.catalina.loader.ParallelWebappClassLoader | 0x000000000c1177b8  0x000000000c003818  0x00007ad2200841a0    4395  21083136  21075208  org.apache.catalina.loader.ParallelWebappClassLoader</x:v>
      </x:c>
      <x:c r="U1276" s="36" t="n">
        <x:v>31</x:v>
      </x:c>
      <x:c r="V1276" s="36" t="n">
        <x:v>0</x:v>
      </x:c>
      <x:c r="W1276" s="44"/>
      <x:c r="X1276" s="36"/>
      <x:c r="Y1276" s="36"/>
      <x:c r="Z1276" s="44"/>
      <x:c r="AA1276" s="49"/>
      <x:c r="AB1276" s="43"/>
      <x:c r="AC1276" s="34"/>
      <x:c r="AD1276" s="34"/>
      <x:c r="AE1276" s="34"/>
      <x:c r="AF1276" s="34"/>
      <x:c r="AG1276" s="34"/>
      <x:c r="AH1276" s="34"/>
      <x:c r="AI1276" s="34"/>
    </x:row>
    <x:row r="1277">
      <x:c r="A1277" s="34" t="str">
        <x:v>article1-unified-v4-2-fb3f101b-20260903-000401-default-f06-p2-caffeine</x:v>
      </x:c>
      <x:c r="B1277" s="34" t="str">
        <x:v>default</x:v>
      </x:c>
      <x:c r="C1277" s="34" t="str">
        <x:v>caffeine</x:v>
      </x:c>
      <x:c r="D1277" s="34" t="str">
        <x:v>caffeine</x:v>
      </x:c>
      <x:c r="E1277" s="36" t="n">
        <x:v>6</x:v>
      </x:c>
      <x:c r="F1277" s="36" t="n">
        <x:v>6</x:v>
      </x:c>
      <x:c r="G1277" s="36" t="n">
        <x:v>2</x:v>
      </x:c>
      <x:c r="H1277" s="36" t="n">
        <x:v>1</x:v>
      </x:c>
      <x:c r="I1277" s="34" t="str">
        <x:v>afterUndeployEarly</x:v>
      </x:c>
      <x:c r="J1277" s="34" t="str">
        <x:v>after-undeploy-early</x:v>
      </x:c>
      <x:c r="K1277" s="36" t="n">
        <x:v>1</x:v>
      </x:c>
      <x:c r="L1277" s="34" t="str">
        <x:v>early</x:v>
      </x:c>
      <x:c r="M1277" s="34" t="str">
        <x:v>article1-unified-v4-2-fb3f101b-20260903-000401-default-f06-p2-caffeine-1-after-undeploy-early-2s</x:v>
      </x:c>
      <x:c r="N1277" s="38" t="n">
        <x:v>46268.09787197917</x:v>
      </x:c>
      <x:c r="O1277" s="36"/>
      <x:c r="P1277" s="43"/>
      <x:c r="Q1277" s="43"/>
      <x:c r="R1277" s="43"/>
      <x:c r="S1277" s="36"/>
      <x:c r="T1277" s="44"/>
      <x:c r="U1277" s="36" t="n">
        <x:v>30</x:v>
      </x:c>
      <x:c r="V1277" s="36" t="n">
        <x:v>0</x:v>
      </x:c>
      <x:c r="W1277" s="44"/>
      <x:c r="X1277" s="36"/>
      <x:c r="Y1277" s="36"/>
      <x:c r="Z1277" s="44"/>
      <x:c r="AA1277" s="49"/>
      <x:c r="AB1277" s="43" t="n">
        <x:v>1</x:v>
      </x:c>
      <x:c r="AC1277" s="34"/>
      <x:c r="AD1277" s="34"/>
      <x:c r="AE1277" s="34" t="str">
        <x:v>article1-unified-v4-2-fb3f101b-20260903-000401-default-f06-p2-caffeine-1-after-undeploy-early-2s-thread-dump.txt</x:v>
      </x:c>
      <x:c r="AF1277" s="34" t="str">
        <x:v>article1-unified-v4-2-fb3f101b-20260903-000401-default-f06-p2-caffeine-1-after-undeploy-early-tomcat-log.txt</x:v>
      </x:c>
      <x:c r="AG1277" s="34"/>
      <x:c r="AH1277" s="34"/>
      <x:c r="AI1277" s="34"/>
    </x:row>
    <x:row r="1278">
      <x:c r="A1278" s="34" t="str">
        <x:v>article1-unified-v4-2-fb3f101b-20260903-000401-default-f06-p2-caffeine</x:v>
      </x:c>
      <x:c r="B1278" s="34" t="str">
        <x:v>default</x:v>
      </x:c>
      <x:c r="C1278" s="34" t="str">
        <x:v>caffeine</x:v>
      </x:c>
      <x:c r="D1278" s="34" t="str">
        <x:v>caffeine</x:v>
      </x:c>
      <x:c r="E1278" s="36" t="n">
        <x:v>6</x:v>
      </x:c>
      <x:c r="F1278" s="36" t="n">
        <x:v>6</x:v>
      </x:c>
      <x:c r="G1278" s="36" t="n">
        <x:v>2</x:v>
      </x:c>
      <x:c r="H1278" s="36" t="n">
        <x:v>1</x:v>
      </x:c>
      <x:c r="I1278" s="34" t="str">
        <x:v>afterUndeploy</x:v>
      </x:c>
      <x:c r="J1278" s="34" t="str">
        <x:v>after-undeploy-final</x:v>
      </x:c>
      <x:c r="K1278" s="36" t="n">
        <x:v>1</x:v>
      </x:c>
      <x:c r="L1278" s="34" t="str">
        <x:v>final</x:v>
      </x:c>
      <x:c r="M1278" s="34" t="str">
        <x:v>article1-unified-v4-2-fb3f101b-20260903-000401-default-f06-p2-caffeine-1-after-undeploy-final-10s</x:v>
      </x:c>
      <x:c r="N1278" s="38" t="n">
        <x:v>46268.09802384259</x:v>
      </x:c>
      <x:c r="O1278" s="36" t="n">
        <x:v>2</x:v>
      </x:c>
      <x:c r="P1278" s="43" t="n">
        <x:v>15447040</x:v>
      </x:c>
      <x:c r="Q1278" s="43" t="n">
        <x:v>268435456</x:v>
      </x:c>
      <x:c r="R1278" s="43" t="n">
        <x:v>410353664</x:v>
      </x:c>
      <x:c r="S1278" s="36" t="n">
        <x:v>2</x:v>
      </x:c>
      <x:c r="T1278" s="44" t="str">
        <x:v>0x000000000c1177b8  0x000000000c003818  0x00007ad2200841a0    4403  21118976  21100024  org.apache.catalina.loader.ParallelWebappClassLoader | 0x000000000c1177b8  0x000000000c003818  0x00007ad2c86048c0       0         0         0  org.apache.catalina.loader.ParallelWebappClassLoader</x:v>
      </x:c>
      <x:c r="U1278" s="36" t="n">
        <x:v>30</x:v>
      </x:c>
      <x:c r="V1278" s="36" t="n">
        <x:v>0</x:v>
      </x:c>
      <x:c r="W1278" s="44"/>
      <x:c r="X1278" s="36" t="n">
        <x:v>1</x:v>
      </x:c>
      <x:c r="Y1278" s="36" t="n">
        <x:v>1</x:v>
      </x:c>
      <x:c r="Z1278" s="44" t="str">
        <x:v>/caffeine</x:v>
      </x:c>
      <x:c r="AA1278" s="45" t="b">
        <x:v>1</x:v>
      </x:c>
      <x:c r="AB1278" s="43"/>
      <x:c r="AC1278" s="34" t="str">
        <x:v>article1-unified-v4-2-fb3f101b-20260903-000401-default-f06-p2-caffeine-1-after-undeploy-final-10s-heap-info.txt</x:v>
      </x:c>
      <x:c r="AD1278" s="34" t="str">
        <x:v>article1-unified-v4-2-fb3f101b-20260903-000401-default-f06-p2-caffeine-1-after-undeploy-final-10s-classloader-stats.txt</x:v>
      </x:c>
      <x:c r="AE1278" s="34" t="str">
        <x:v>article1-unified-v4-2-fb3f101b-20260903-000401-default-f06-p2-caffeine-1-after-undeploy-final-10s-thread-dump.txt</x:v>
      </x:c>
      <x:c r="AF1278" s="34"/>
      <x:c r="AG1278" s="34" t="str">
        <x:v>article1-unified-v4-2-fb3f101b-20260903-000401-default-f06-p2-caffeine-1-after-undeploy-final-10s-native-memory.txt</x:v>
      </x:c>
      <x:c r="AH1278" s="34" t="str">
        <x:v>article1-unified-v4-2-fb3f101b-20260903-000401-default-f06-p2-caffeine-1-after-undeploy-final-10s-class-histogram.txt</x:v>
      </x:c>
      <x:c r="AI1278" s="34" t="str">
        <x:v>article1-unified-v4-2-fb3f101b-20260903-000401-default-f06-p2-caffeine-1-after-undeploy-tomcat-findleaks.txt</x:v>
      </x:c>
    </x:row>
    <x:row r="1279">
      <x:c r="A1279" s="34" t="str">
        <x:v>article1-unified-v4-2-fb3f101b-20260903-000401-default-f06-p2-caffeine</x:v>
      </x:c>
      <x:c r="B1279" s="34" t="str">
        <x:v>default</x:v>
      </x:c>
      <x:c r="C1279" s="34" t="str">
        <x:v>caffeine</x:v>
      </x:c>
      <x:c r="D1279" s="34" t="str">
        <x:v>caffeine</x:v>
      </x:c>
      <x:c r="E1279" s="36" t="n">
        <x:v>6</x:v>
      </x:c>
      <x:c r="F1279" s="36" t="n">
        <x:v>6</x:v>
      </x:c>
      <x:c r="G1279" s="36" t="n">
        <x:v>2</x:v>
      </x:c>
      <x:c r="H1279" s="36" t="n">
        <x:v>1</x:v>
      </x:c>
      <x:c r="I1279" s="34" t="str">
        <x:v>redeployedLoaded</x:v>
      </x:c>
      <x:c r="J1279" s="34" t="str">
        <x:v>redeployed-loaded</x:v>
      </x:c>
      <x:c r="K1279" s="36" t="n">
        <x:v>0</x:v>
      </x:c>
      <x:c r="L1279" s="34" t="str">
        <x:v>redeploy</x:v>
      </x:c>
      <x:c r="M1279" s="34" t="str">
        <x:v>article1-unified-v4-2-fb3f101b-20260903-000401-default-f06-p2-caffeine-1-redeployed-loaded</x:v>
      </x:c>
      <x:c r="N1279" s="38" t="n">
        <x:v>46268.098280798615</x:v>
      </x:c>
      <x:c r="O1279" s="36" t="n">
        <x:v>0</x:v>
      </x:c>
      <x:c r="P1279" s="43" t="n">
        <x:v>206707712</x:v>
      </x:c>
      <x:c r="Q1279" s="43" t="n">
        <x:v>268435456</x:v>
      </x:c>
      <x:c r="R1279" s="43" t="n">
        <x:v>442063872</x:v>
      </x:c>
      <x:c r="S1279" s="36" t="n">
        <x:v>3</x:v>
      </x:c>
      <x:c r="T1279" s="44" t="str">
        <x:v>0x000000000c1177b8  0x000000000c003818  0x00007ad2380099a0    4387  21164032  21134992  org.apache.catalina.loader.ParallelWebappClassLoader | 0x000000000c1177b8  0x000000000c003818  0x00007ad2200841a0    4403  21118976  21100024  org.apache.catalina.loader.ParallelWebappClassLoader | 0x000000000c1177b8  0x000000000c003818  0x00007ad2c86048c0       0         0         0  org.apache.catalina.loader.ParallelWebappClassLoader</x:v>
      </x:c>
      <x:c r="U1279" s="36" t="n">
        <x:v>30</x:v>
      </x:c>
      <x:c r="V1279" s="36" t="n">
        <x:v>0</x:v>
      </x:c>
      <x:c r="W1279" s="44"/>
      <x:c r="X1279" s="36"/>
      <x:c r="Y1279" s="36"/>
      <x:c r="Z1279" s="44"/>
      <x:c r="AA1279" s="49"/>
      <x:c r="AB1279" s="43"/>
      <x:c r="AC1279" s="34"/>
      <x:c r="AD1279" s="34"/>
      <x:c r="AE1279" s="34"/>
      <x:c r="AF1279" s="34"/>
      <x:c r="AG1279" s="34"/>
      <x:c r="AH1279" s="34"/>
      <x:c r="AI1279" s="34"/>
    </x:row>
    <x:row r="1280">
      <x:c r="A1280" s="34" t="str">
        <x:v>article1-unified-v4-2-fb3f101b-20260903-000401-default-f06-p2-caffeine</x:v>
      </x:c>
      <x:c r="B1280" s="34" t="str">
        <x:v>default</x:v>
      </x:c>
      <x:c r="C1280" s="34" t="str">
        <x:v>caffeine</x:v>
      </x:c>
      <x:c r="D1280" s="34" t="str">
        <x:v>caffeine</x:v>
      </x:c>
      <x:c r="E1280" s="36" t="n">
        <x:v>6</x:v>
      </x:c>
      <x:c r="F1280" s="36" t="n">
        <x:v>6</x:v>
      </x:c>
      <x:c r="G1280" s="36" t="n">
        <x:v>2</x:v>
      </x:c>
      <x:c r="H1280" s="36" t="n">
        <x:v>1</x:v>
      </x:c>
      <x:c r="I1280" s="34" t="str">
        <x:v>afterFinalUndeployEarly</x:v>
      </x:c>
      <x:c r="J1280" s="34" t="str">
        <x:v>after-final-undeploy-early</x:v>
      </x:c>
      <x:c r="K1280" s="36" t="n">
        <x:v>2</x:v>
      </x:c>
      <x:c r="L1280" s="34" t="str">
        <x:v>early</x:v>
      </x:c>
      <x:c r="M1280" s="34" t="str">
        <x:v>article1-unified-v4-2-fb3f101b-20260903-000401-default-f06-p2-caffeine-1-after-final-undeploy-early-2s</x:v>
      </x:c>
      <x:c r="N1280" s="38" t="n">
        <x:v>46268.098363530095</x:v>
      </x:c>
      <x:c r="O1280" s="36"/>
      <x:c r="P1280" s="43"/>
      <x:c r="Q1280" s="43"/>
      <x:c r="R1280" s="43"/>
      <x:c r="S1280" s="36"/>
      <x:c r="T1280" s="44"/>
      <x:c r="U1280" s="36" t="n">
        <x:v>30</x:v>
      </x:c>
      <x:c r="V1280" s="36" t="n">
        <x:v>0</x:v>
      </x:c>
      <x:c r="W1280" s="44"/>
      <x:c r="X1280" s="36"/>
      <x:c r="Y1280" s="36"/>
      <x:c r="Z1280" s="44"/>
      <x:c r="AA1280" s="49"/>
      <x:c r="AB1280" s="43" t="n">
        <x:v>1</x:v>
      </x:c>
      <x:c r="AC1280" s="34"/>
      <x:c r="AD1280" s="34"/>
      <x:c r="AE1280" s="34" t="str">
        <x:v>article1-unified-v4-2-fb3f101b-20260903-000401-default-f06-p2-caffeine-1-after-final-undeploy-early-2s-thread-dump.txt</x:v>
      </x:c>
      <x:c r="AF1280" s="34" t="str">
        <x:v>article1-unified-v4-2-fb3f101b-20260903-000401-default-f06-p2-caffeine-1-after-final-undeploy-early-tomcat-log.txt</x:v>
      </x:c>
      <x:c r="AG1280" s="34"/>
      <x:c r="AH1280" s="34"/>
      <x:c r="AI1280" s="34"/>
    </x:row>
    <x:row r="1281">
      <x:c r="A1281" s="34" t="str">
        <x:v>article1-unified-v4-2-fb3f101b-20260903-000401-default-f06-p2-caffeine</x:v>
      </x:c>
      <x:c r="B1281" s="34" t="str">
        <x:v>default</x:v>
      </x:c>
      <x:c r="C1281" s="34" t="str">
        <x:v>caffeine</x:v>
      </x:c>
      <x:c r="D1281" s="34" t="str">
        <x:v>caffeine</x:v>
      </x:c>
      <x:c r="E1281" s="36" t="n">
        <x:v>6</x:v>
      </x:c>
      <x:c r="F1281" s="36" t="n">
        <x:v>6</x:v>
      </x:c>
      <x:c r="G1281" s="36" t="n">
        <x:v>2</x:v>
      </x:c>
      <x:c r="H1281" s="36" t="n">
        <x:v>1</x:v>
      </x:c>
      <x:c r="I1281" s="34" t="str">
        <x:v>afterFinalUndeploy</x:v>
      </x:c>
      <x:c r="J1281" s="34" t="str">
        <x:v>after-final-undeploy-final</x:v>
      </x:c>
      <x:c r="K1281" s="36" t="n">
        <x:v>2</x:v>
      </x:c>
      <x:c r="L1281" s="34" t="str">
        <x:v>final</x:v>
      </x:c>
      <x:c r="M1281" s="34" t="str">
        <x:v>article1-unified-v4-2-fb3f101b-20260903-000401-default-f06-p2-caffeine-1-after-final-undeploy-final-10s</x:v>
      </x:c>
      <x:c r="N1281" s="38" t="n">
        <x:v>46268.09852329861</x:v>
      </x:c>
      <x:c r="O1281" s="36" t="n">
        <x:v>2</x:v>
      </x:c>
      <x:c r="P1281" s="43" t="n">
        <x:v>15543296</x:v>
      </x:c>
      <x:c r="Q1281" s="43" t="n">
        <x:v>268435456</x:v>
      </x:c>
      <x:c r="R1281" s="43" t="n">
        <x:v>419102720</x:v>
      </x:c>
      <x:c r="S1281" s="36" t="n">
        <x:v>2</x:v>
      </x:c>
      <x:c r="T1281" s="44" t="str">
        <x:v>0x000000000c1177b8  0x000000000c003818  0x00007ad2380099a0    4395  21180416  21159592  org.apache.catalina.loader.ParallelWebappClassLoader | 0x000000000c1177b8  0x000000000c003818  0x00007ad2c86048c0       0         0         0  org.apache.catalina.loader.ParallelWebappClassLoader</x:v>
      </x:c>
      <x:c r="U1281" s="36" t="n">
        <x:v>30</x:v>
      </x:c>
      <x:c r="V1281" s="36" t="n">
        <x:v>0</x:v>
      </x:c>
      <x:c r="W1281" s="44"/>
      <x:c r="X1281" s="36" t="n">
        <x:v>1</x:v>
      </x:c>
      <x:c r="Y1281" s="36" t="n">
        <x:v>1</x:v>
      </x:c>
      <x:c r="Z1281" s="44" t="str">
        <x:v>/caffeine</x:v>
      </x:c>
      <x:c r="AA1281" s="45" t="b">
        <x:v>1</x:v>
      </x:c>
      <x:c r="AB1281" s="43"/>
      <x:c r="AC1281" s="34" t="str">
        <x:v>article1-unified-v4-2-fb3f101b-20260903-000401-default-f06-p2-caffeine-1-after-final-undeploy-final-10s-heap-info.txt</x:v>
      </x:c>
      <x:c r="AD1281" s="34" t="str">
        <x:v>article1-unified-v4-2-fb3f101b-20260903-000401-default-f06-p2-caffeine-1-after-final-undeploy-final-10s-classloader-stats.txt</x:v>
      </x:c>
      <x:c r="AE1281" s="34" t="str">
        <x:v>article1-unified-v4-2-fb3f101b-20260903-000401-default-f06-p2-caffeine-1-after-final-undeploy-final-10s-thread-dump.txt</x:v>
      </x:c>
      <x:c r="AF1281" s="34"/>
      <x:c r="AG1281" s="34" t="str">
        <x:v>article1-unified-v4-2-fb3f101b-20260903-000401-default-f06-p2-caffeine-1-after-final-undeploy-final-10s-native-memory.txt</x:v>
      </x:c>
      <x:c r="AH1281" s="34" t="str">
        <x:v>article1-unified-v4-2-fb3f101b-20260903-000401-default-f06-p2-caffeine-1-after-final-undeploy-final-10s-class-histogram.txt</x:v>
      </x:c>
      <x:c r="AI1281" s="34" t="str">
        <x:v>article1-unified-v4-2-fb3f101b-20260903-000401-default-f06-p2-caffeine-1-after-final-undeploy-tomcat-findleaks.txt</x:v>
      </x:c>
    </x:row>
    <x:row r="1282">
      <x:c r="A1282" s="34" t="str">
        <x:v>article1-unified-v4-2-fb3f101b-20260903-000401-default-f06-p2-caffeine</x:v>
      </x:c>
      <x:c r="B1282" s="34" t="str">
        <x:v>default</x:v>
      </x:c>
      <x:c r="C1282" s="34" t="str">
        <x:v>caffeine</x:v>
      </x:c>
      <x:c r="D1282" s="34" t="str">
        <x:v>caffeine</x:v>
      </x:c>
      <x:c r="E1282" s="36" t="n">
        <x:v>6</x:v>
      </x:c>
      <x:c r="F1282" s="36" t="n">
        <x:v>6</x:v>
      </x:c>
      <x:c r="G1282" s="36" t="n">
        <x:v>2</x:v>
      </x:c>
      <x:c r="H1282" s="36" t="n">
        <x:v>2</x:v>
      </x:c>
      <x:c r="I1282" s="34" t="str">
        <x:v>baseline</x:v>
      </x:c>
      <x:c r="J1282" s="34" t="str">
        <x:v>cycle-baseline</x:v>
      </x:c>
      <x:c r="K1282" s="36" t="n">
        <x:v>0</x:v>
      </x:c>
      <x:c r="L1282" s="34" t="str">
        <x:v>baseline</x:v>
      </x:c>
      <x:c r="M1282" s="34" t="str">
        <x:v>article1-unified-v4-2-fb3f101b-20260903-000401-default-f06-p2-caffeine-2-baseline</x:v>
      </x:c>
      <x:c r="N1282" s="38" t="n">
        <x:v>46268.09856827546</x:v>
      </x:c>
      <x:c r="O1282" s="36" t="n">
        <x:v>0</x:v>
      </x:c>
      <x:c r="P1282" s="43" t="n">
        <x:v>15600640</x:v>
      </x:c>
      <x:c r="Q1282" s="43" t="n">
        <x:v>268435456</x:v>
      </x:c>
      <x:c r="R1282" s="43" t="n">
        <x:v>419103744</x:v>
      </x:c>
      <x:c r="S1282" s="36" t="n">
        <x:v>2</x:v>
      </x:c>
      <x:c r="T1282" s="44" t="str">
        <x:v>0x000000000c1177b8  0x000000000c003818  0x00007ad2380099a0    4395  21180416  21159592  org.apache.catalina.loader.ParallelWebappClassLoader | 0x000000000c1177b8  0x000000000c003818  0x00007ad2c86048c0       0         0         0  org.apache.catalina.loader.ParallelWebappClassLoader</x:v>
      </x:c>
      <x:c r="U1282" s="36" t="n">
        <x:v>30</x:v>
      </x:c>
      <x:c r="V1282" s="36" t="n">
        <x:v>0</x:v>
      </x:c>
      <x:c r="W1282" s="44"/>
      <x:c r="X1282" s="36"/>
      <x:c r="Y1282" s="36"/>
      <x:c r="Z1282" s="44"/>
      <x:c r="AA1282" s="49"/>
      <x:c r="AB1282" s="43"/>
      <x:c r="AC1282" s="34" t="str">
        <x:v>article1-unified-v4-2-fb3f101b-20260903-000401-default-f06-p2-caffeine-2-baseline-heap-info.txt</x:v>
      </x:c>
      <x:c r="AD1282" s="34" t="str">
        <x:v>article1-unified-v4-2-fb3f101b-20260903-000401-default-f06-p2-caffeine-2-baseline-classloader-stats.txt</x:v>
      </x:c>
      <x:c r="AE1282" s="34" t="str">
        <x:v>article1-unified-v4-2-fb3f101b-20260903-000401-default-f06-p2-caffeine-2-baseline-thread-dump.txt</x:v>
      </x:c>
      <x:c r="AF1282" s="34"/>
      <x:c r="AG1282" s="34" t="str">
        <x:v>article1-unified-v4-2-fb3f101b-20260903-000401-default-f06-p2-caffeine-2-baseline-native-memory.txt</x:v>
      </x:c>
      <x:c r="AH1282" s="34"/>
      <x:c r="AI1282" s="34"/>
    </x:row>
    <x:row r="1283">
      <x:c r="A1283" s="34" t="str">
        <x:v>article1-unified-v4-2-fb3f101b-20260903-000401-default-f06-p2-caffeine</x:v>
      </x:c>
      <x:c r="B1283" s="34" t="str">
        <x:v>default</x:v>
      </x:c>
      <x:c r="C1283" s="34" t="str">
        <x:v>caffeine</x:v>
      </x:c>
      <x:c r="D1283" s="34" t="str">
        <x:v>caffeine</x:v>
      </x:c>
      <x:c r="E1283" s="36" t="n">
        <x:v>6</x:v>
      </x:c>
      <x:c r="F1283" s="36" t="n">
        <x:v>6</x:v>
      </x:c>
      <x:c r="G1283" s="36" t="n">
        <x:v>2</x:v>
      </x:c>
      <x:c r="H1283" s="36" t="n">
        <x:v>2</x:v>
      </x:c>
      <x:c r="I1283" s="34" t="str">
        <x:v>deployedIdle</x:v>
      </x:c>
      <x:c r="J1283" s="34" t="str">
        <x:v>deployed-idle</x:v>
      </x:c>
      <x:c r="K1283" s="36" t="n">
        <x:v>0</x:v>
      </x:c>
      <x:c r="L1283" s="34" t="str">
        <x:v>initial</x:v>
      </x:c>
      <x:c r="M1283" s="34" t="str">
        <x:v>article1-unified-v4-2-fb3f101b-20260903-000401-default-f06-p2-caffeine-2-deployed-idle</x:v>
      </x:c>
      <x:c r="N1283" s="38" t="n">
        <x:v>46268.09866790509</x:v>
      </x:c>
      <x:c r="O1283" s="36" t="n">
        <x:v>0</x:v>
      </x:c>
      <x:c r="P1283" s="43" t="n">
        <x:v>167785472</x:v>
      </x:c>
      <x:c r="Q1283" s="43" t="n">
        <x:v>268435456</x:v>
      </x:c>
      <x:c r="R1283" s="43" t="n">
        <x:v>438155264</x:v>
      </x:c>
      <x:c r="S1283" s="36" t="n">
        <x:v>3</x:v>
      </x:c>
      <x:c r="T1283" s="44" t="str">
        <x:v>0x000000000c1177b8  0x000000000c003818  0x00007ad2380099a0    4395  21180416  21159592  org.apache.catalina.loader.ParallelWebappClassLoader | 0x000000000c1177b8  0x000000000c003818  0x00007ad2c86048c0       0         0         0  org.apache.catalina.loader.ParallelWebappClassLoader | 0x000000000c1177b8  0x000000000c003818  0x00007ad240069640    4091  19438592  19430864  org.apache.catalina.loader.ParallelWebappClassLoader</x:v>
      </x:c>
      <x:c r="U1283" s="36" t="n">
        <x:v>30</x:v>
      </x:c>
      <x:c r="V1283" s="36" t="n">
        <x:v>0</x:v>
      </x:c>
      <x:c r="W1283" s="44"/>
      <x:c r="X1283" s="36"/>
      <x:c r="Y1283" s="36"/>
      <x:c r="Z1283" s="44"/>
      <x:c r="AA1283" s="49"/>
      <x:c r="AB1283" s="43"/>
      <x:c r="AC1283" s="34"/>
      <x:c r="AD1283" s="34"/>
      <x:c r="AE1283" s="34"/>
      <x:c r="AF1283" s="34"/>
      <x:c r="AG1283" s="34"/>
      <x:c r="AH1283" s="34"/>
      <x:c r="AI1283" s="34"/>
    </x:row>
    <x:row r="1284">
      <x:c r="A1284" s="34" t="str">
        <x:v>article1-unified-v4-2-fb3f101b-20260903-000401-default-f06-p2-caffeine</x:v>
      </x:c>
      <x:c r="B1284" s="34" t="str">
        <x:v>default</x:v>
      </x:c>
      <x:c r="C1284" s="34" t="str">
        <x:v>caffeine</x:v>
      </x:c>
      <x:c r="D1284" s="34" t="str">
        <x:v>caffeine</x:v>
      </x:c>
      <x:c r="E1284" s="36" t="n">
        <x:v>6</x:v>
      </x:c>
      <x:c r="F1284" s="36" t="n">
        <x:v>6</x:v>
      </x:c>
      <x:c r="G1284" s="36" t="n">
        <x:v>2</x:v>
      </x:c>
      <x:c r="H1284" s="36" t="n">
        <x:v>2</x:v>
      </x:c>
      <x:c r="I1284" s="34" t="str">
        <x:v>loaded</x:v>
      </x:c>
      <x:c r="J1284" s="34" t="str">
        <x:v>loaded</x:v>
      </x:c>
      <x:c r="K1284" s="36" t="n">
        <x:v>0</x:v>
      </x:c>
      <x:c r="L1284" s="34" t="str">
        <x:v>initial</x:v>
      </x:c>
      <x:c r="M1284" s="34" t="str">
        <x:v>article1-unified-v4-2-fb3f101b-20260903-000401-default-f06-p2-caffeine-2-loaded</x:v>
      </x:c>
      <x:c r="N1284" s="38" t="n">
        <x:v>46268.09882197917</x:v>
      </x:c>
      <x:c r="O1284" s="36" t="n">
        <x:v>0</x:v>
      </x:c>
      <x:c r="P1284" s="43" t="n">
        <x:v>203705344</x:v>
      </x:c>
      <x:c r="Q1284" s="43" t="n">
        <x:v>268435456</x:v>
      </x:c>
      <x:c r="R1284" s="43" t="n">
        <x:v>440005632</x:v>
      </x:c>
      <x:c r="S1284" s="36" t="n">
        <x:v>3</x:v>
      </x:c>
      <x:c r="T1284" s="44" t="str">
        <x:v>0x000000000c1177b8  0x000000000c003818  0x00007ad2380099a0    4395  21180416  21159592  org.apache.catalina.loader.ParallelWebappClassLoader | 0x000000000c1177b8  0x000000000c003818  0x00007ad2c86048c0       0         0         0  org.apache.catalina.loader.ParallelWebappClassLoader | 0x000000000c1177b8  0x000000000c003818  0x00007ad240069640    4387  21142528  21130824  org.apache.catalina.loader.ParallelWebappClassLoader</x:v>
      </x:c>
      <x:c r="U1284" s="36" t="n">
        <x:v>31</x:v>
      </x:c>
      <x:c r="V1284" s="36" t="n">
        <x:v>0</x:v>
      </x:c>
      <x:c r="W1284" s="44"/>
      <x:c r="X1284" s="36"/>
      <x:c r="Y1284" s="36"/>
      <x:c r="Z1284" s="44"/>
      <x:c r="AA1284" s="49"/>
      <x:c r="AB1284" s="43"/>
      <x:c r="AC1284" s="34"/>
      <x:c r="AD1284" s="34"/>
      <x:c r="AE1284" s="34"/>
      <x:c r="AF1284" s="34"/>
      <x:c r="AG1284" s="34"/>
      <x:c r="AH1284" s="34"/>
      <x:c r="AI1284" s="34"/>
    </x:row>
    <x:row r="1285">
      <x:c r="A1285" s="34" t="str">
        <x:v>article1-unified-v4-2-fb3f101b-20260903-000401-default-f06-p2-caffeine</x:v>
      </x:c>
      <x:c r="B1285" s="34" t="str">
        <x:v>default</x:v>
      </x:c>
      <x:c r="C1285" s="34" t="str">
        <x:v>caffeine</x:v>
      </x:c>
      <x:c r="D1285" s="34" t="str">
        <x:v>caffeine</x:v>
      </x:c>
      <x:c r="E1285" s="36" t="n">
        <x:v>6</x:v>
      </x:c>
      <x:c r="F1285" s="36" t="n">
        <x:v>6</x:v>
      </x:c>
      <x:c r="G1285" s="36" t="n">
        <x:v>2</x:v>
      </x:c>
      <x:c r="H1285" s="36" t="n">
        <x:v>2</x:v>
      </x:c>
      <x:c r="I1285" s="34" t="str">
        <x:v>afterUndeployEarly</x:v>
      </x:c>
      <x:c r="J1285" s="34" t="str">
        <x:v>after-undeploy-early</x:v>
      </x:c>
      <x:c r="K1285" s="36" t="n">
        <x:v>1</x:v>
      </x:c>
      <x:c r="L1285" s="34" t="str">
        <x:v>early</x:v>
      </x:c>
      <x:c r="M1285" s="34" t="str">
        <x:v>article1-unified-v4-2-fb3f101b-20260903-000401-default-f06-p2-caffeine-2-after-undeploy-early-2s</x:v>
      </x:c>
      <x:c r="N1285" s="38" t="n">
        <x:v>46268.09890493056</x:v>
      </x:c>
      <x:c r="O1285" s="36"/>
      <x:c r="P1285" s="43"/>
      <x:c r="Q1285" s="43"/>
      <x:c r="R1285" s="43"/>
      <x:c r="S1285" s="36"/>
      <x:c r="T1285" s="44"/>
      <x:c r="U1285" s="36" t="n">
        <x:v>30</x:v>
      </x:c>
      <x:c r="V1285" s="36" t="n">
        <x:v>0</x:v>
      </x:c>
      <x:c r="W1285" s="44"/>
      <x:c r="X1285" s="36"/>
      <x:c r="Y1285" s="36"/>
      <x:c r="Z1285" s="44"/>
      <x:c r="AA1285" s="49"/>
      <x:c r="AB1285" s="43" t="n">
        <x:v>1</x:v>
      </x:c>
      <x:c r="AC1285" s="34"/>
      <x:c r="AD1285" s="34"/>
      <x:c r="AE1285" s="34" t="str">
        <x:v>article1-unified-v4-2-fb3f101b-20260903-000401-default-f06-p2-caffeine-2-after-undeploy-early-2s-thread-dump.txt</x:v>
      </x:c>
      <x:c r="AF1285" s="34" t="str">
        <x:v>article1-unified-v4-2-fb3f101b-20260903-000401-default-f06-p2-caffeine-2-after-undeploy-early-tomcat-log.txt</x:v>
      </x:c>
      <x:c r="AG1285" s="34"/>
      <x:c r="AH1285" s="34"/>
      <x:c r="AI1285" s="34"/>
    </x:row>
    <x:row r="1286">
      <x:c r="A1286" s="34" t="str">
        <x:v>article1-unified-v4-2-fb3f101b-20260903-000401-default-f06-p2-caffeine</x:v>
      </x:c>
      <x:c r="B1286" s="34" t="str">
        <x:v>default</x:v>
      </x:c>
      <x:c r="C1286" s="34" t="str">
        <x:v>caffeine</x:v>
      </x:c>
      <x:c r="D1286" s="34" t="str">
        <x:v>caffeine</x:v>
      </x:c>
      <x:c r="E1286" s="36" t="n">
        <x:v>6</x:v>
      </x:c>
      <x:c r="F1286" s="36" t="n">
        <x:v>6</x:v>
      </x:c>
      <x:c r="G1286" s="36" t="n">
        <x:v>2</x:v>
      </x:c>
      <x:c r="H1286" s="36" t="n">
        <x:v>2</x:v>
      </x:c>
      <x:c r="I1286" s="34" t="str">
        <x:v>afterUndeploy</x:v>
      </x:c>
      <x:c r="J1286" s="34" t="str">
        <x:v>after-undeploy-final</x:v>
      </x:c>
      <x:c r="K1286" s="36" t="n">
        <x:v>1</x:v>
      </x:c>
      <x:c r="L1286" s="34" t="str">
        <x:v>final</x:v>
      </x:c>
      <x:c r="M1286" s="34" t="str">
        <x:v>article1-unified-v4-2-fb3f101b-20260903-000401-default-f06-p2-caffeine-2-after-undeploy-final-10s</x:v>
      </x:c>
      <x:c r="N1286" s="38" t="n">
        <x:v>46268.0990669213</x:v>
      </x:c>
      <x:c r="O1286" s="36" t="n">
        <x:v>2</x:v>
      </x:c>
      <x:c r="P1286" s="43" t="n">
        <x:v>15518720</x:v>
      </x:c>
      <x:c r="Q1286" s="43" t="n">
        <x:v>268435456</x:v>
      </x:c>
      <x:c r="R1286" s="43" t="n">
        <x:v>417554432</x:v>
      </x:c>
      <x:c r="S1286" s="36" t="n">
        <x:v>2</x:v>
      </x:c>
      <x:c r="T1286" s="44" t="str">
        <x:v>0x000000000c1177b8  0x000000000c003818  0x00007ad2c86048c0       0         0         0  org.apache.catalina.loader.ParallelWebappClassLoader | 0x000000000c1177b8  0x000000000c003818  0x00007ad240069640    4395  21175296  21155560  org.apache.catalina.loader.ParallelWebappClassLoader</x:v>
      </x:c>
      <x:c r="U1286" s="36" t="n">
        <x:v>30</x:v>
      </x:c>
      <x:c r="V1286" s="36" t="n">
        <x:v>0</x:v>
      </x:c>
      <x:c r="W1286" s="44"/>
      <x:c r="X1286" s="36" t="n">
        <x:v>1</x:v>
      </x:c>
      <x:c r="Y1286" s="36" t="n">
        <x:v>1</x:v>
      </x:c>
      <x:c r="Z1286" s="44" t="str">
        <x:v>/caffeine</x:v>
      </x:c>
      <x:c r="AA1286" s="45" t="b">
        <x:v>1</x:v>
      </x:c>
      <x:c r="AB1286" s="43"/>
      <x:c r="AC1286" s="34" t="str">
        <x:v>article1-unified-v4-2-fb3f101b-20260903-000401-default-f06-p2-caffeine-2-after-undeploy-final-10s-heap-info.txt</x:v>
      </x:c>
      <x:c r="AD1286" s="34" t="str">
        <x:v>article1-unified-v4-2-fb3f101b-20260903-000401-default-f06-p2-caffeine-2-after-undeploy-final-10s-classloader-stats.txt</x:v>
      </x:c>
      <x:c r="AE1286" s="34" t="str">
        <x:v>article1-unified-v4-2-fb3f101b-20260903-000401-default-f06-p2-caffeine-2-after-undeploy-final-10s-thread-dump.txt</x:v>
      </x:c>
      <x:c r="AF1286" s="34"/>
      <x:c r="AG1286" s="34" t="str">
        <x:v>article1-unified-v4-2-fb3f101b-20260903-000401-default-f06-p2-caffeine-2-after-undeploy-final-10s-native-memory.txt</x:v>
      </x:c>
      <x:c r="AH1286" s="34" t="str">
        <x:v>article1-unified-v4-2-fb3f101b-20260903-000401-default-f06-p2-caffeine-2-after-undeploy-final-10s-class-histogram.txt</x:v>
      </x:c>
      <x:c r="AI1286" s="34" t="str">
        <x:v>article1-unified-v4-2-fb3f101b-20260903-000401-default-f06-p2-caffeine-2-after-undeploy-tomcat-findleaks.txt</x:v>
      </x:c>
    </x:row>
    <x:row r="1287">
      <x:c r="A1287" s="34" t="str">
        <x:v>article1-unified-v4-2-fb3f101b-20260903-000401-default-f06-p2-caffeine</x:v>
      </x:c>
      <x:c r="B1287" s="34" t="str">
        <x:v>default</x:v>
      </x:c>
      <x:c r="C1287" s="34" t="str">
        <x:v>caffeine</x:v>
      </x:c>
      <x:c r="D1287" s="34" t="str">
        <x:v>caffeine</x:v>
      </x:c>
      <x:c r="E1287" s="36" t="n">
        <x:v>6</x:v>
      </x:c>
      <x:c r="F1287" s="36" t="n">
        <x:v>6</x:v>
      </x:c>
      <x:c r="G1287" s="36" t="n">
        <x:v>2</x:v>
      </x:c>
      <x:c r="H1287" s="36" t="n">
        <x:v>2</x:v>
      </x:c>
      <x:c r="I1287" s="34" t="str">
        <x:v>redeployedLoaded</x:v>
      </x:c>
      <x:c r="J1287" s="34" t="str">
        <x:v>redeployed-loaded</x:v>
      </x:c>
      <x:c r="K1287" s="36" t="n">
        <x:v>0</x:v>
      </x:c>
      <x:c r="L1287" s="34" t="str">
        <x:v>redeploy</x:v>
      </x:c>
      <x:c r="M1287" s="34" t="str">
        <x:v>article1-unified-v4-2-fb3f101b-20260903-000401-default-f06-p2-caffeine-2-redeployed-loaded</x:v>
      </x:c>
      <x:c r="N1287" s="38" t="n">
        <x:v>46268.09932417824</x:v>
      </x:c>
      <x:c r="O1287" s="36" t="n">
        <x:v>0</x:v>
      </x:c>
      <x:c r="P1287" s="43" t="n">
        <x:v>205244416</x:v>
      </x:c>
      <x:c r="Q1287" s="43" t="n">
        <x:v>268435456</x:v>
      </x:c>
      <x:c r="R1287" s="43" t="n">
        <x:v>442936320</x:v>
      </x:c>
      <x:c r="S1287" s="36" t="n">
        <x:v>3</x:v>
      </x:c>
      <x:c r="T1287" s="44" t="str">
        <x:v>0x000000000c1177b8  0x000000000c003818  0x00007ad2c86048c0       0         0         0  org.apache.catalina.loader.ParallelWebappClassLoader | 0x000000000c1177b8  0x000000000c003818  0x00007ad24402b860    4386  21132288  21119208  org.apache.catalina.loader.ParallelWebappClassLoader | 0x000000000c1177b8  0x000000000c003818  0x00007ad240069640    4395  21175296  21155560  org.apache.catalina.loader.ParallelWebappClassLoader</x:v>
      </x:c>
      <x:c r="U1287" s="36" t="n">
        <x:v>31</x:v>
      </x:c>
      <x:c r="V1287" s="36" t="n">
        <x:v>0</x:v>
      </x:c>
      <x:c r="W1287" s="44"/>
      <x:c r="X1287" s="36"/>
      <x:c r="Y1287" s="36"/>
      <x:c r="Z1287" s="44"/>
      <x:c r="AA1287" s="49"/>
      <x:c r="AB1287" s="43"/>
      <x:c r="AC1287" s="34"/>
      <x:c r="AD1287" s="34"/>
      <x:c r="AE1287" s="34"/>
      <x:c r="AF1287" s="34"/>
      <x:c r="AG1287" s="34"/>
      <x:c r="AH1287" s="34"/>
      <x:c r="AI1287" s="34"/>
    </x:row>
    <x:row r="1288">
      <x:c r="A1288" s="34" t="str">
        <x:v>article1-unified-v4-2-fb3f101b-20260903-000401-default-f06-p2-caffeine</x:v>
      </x:c>
      <x:c r="B1288" s="34" t="str">
        <x:v>default</x:v>
      </x:c>
      <x:c r="C1288" s="34" t="str">
        <x:v>caffeine</x:v>
      </x:c>
      <x:c r="D1288" s="34" t="str">
        <x:v>caffeine</x:v>
      </x:c>
      <x:c r="E1288" s="36" t="n">
        <x:v>6</x:v>
      </x:c>
      <x:c r="F1288" s="36" t="n">
        <x:v>6</x:v>
      </x:c>
      <x:c r="G1288" s="36" t="n">
        <x:v>2</x:v>
      </x:c>
      <x:c r="H1288" s="36" t="n">
        <x:v>2</x:v>
      </x:c>
      <x:c r="I1288" s="34" t="str">
        <x:v>afterFinalUndeployEarly</x:v>
      </x:c>
      <x:c r="J1288" s="34" t="str">
        <x:v>after-final-undeploy-early</x:v>
      </x:c>
      <x:c r="K1288" s="36" t="n">
        <x:v>2</x:v>
      </x:c>
      <x:c r="L1288" s="34" t="str">
        <x:v>early</x:v>
      </x:c>
      <x:c r="M1288" s="34" t="str">
        <x:v>article1-unified-v4-2-fb3f101b-20260903-000401-default-f06-p2-caffeine-2-after-final-undeploy-early-2s</x:v>
      </x:c>
      <x:c r="N1288" s="38" t="n">
        <x:v>46268.09940972222</x:v>
      </x:c>
      <x:c r="O1288" s="36"/>
      <x:c r="P1288" s="43"/>
      <x:c r="Q1288" s="43"/>
      <x:c r="R1288" s="43"/>
      <x:c r="S1288" s="36"/>
      <x:c r="T1288" s="44"/>
      <x:c r="U1288" s="36" t="n">
        <x:v>30</x:v>
      </x:c>
      <x:c r="V1288" s="36" t="n">
        <x:v>0</x:v>
      </x:c>
      <x:c r="W1288" s="44"/>
      <x:c r="X1288" s="36"/>
      <x:c r="Y1288" s="36"/>
      <x:c r="Z1288" s="44"/>
      <x:c r="AA1288" s="49"/>
      <x:c r="AB1288" s="43" t="n">
        <x:v>1</x:v>
      </x:c>
      <x:c r="AC1288" s="34"/>
      <x:c r="AD1288" s="34"/>
      <x:c r="AE1288" s="34" t="str">
        <x:v>article1-unified-v4-2-fb3f101b-20260903-000401-default-f06-p2-caffeine-2-after-final-undeploy-early-2s-thread-dump.txt</x:v>
      </x:c>
      <x:c r="AF1288" s="34" t="str">
        <x:v>article1-unified-v4-2-fb3f101b-20260903-000401-default-f06-p2-caffeine-2-after-final-undeploy-early-tomcat-log.txt</x:v>
      </x:c>
      <x:c r="AG1288" s="34"/>
      <x:c r="AH1288" s="34"/>
      <x:c r="AI1288" s="34"/>
    </x:row>
    <x:row r="1289">
      <x:c r="A1289" s="34" t="str">
        <x:v>article1-unified-v4-2-fb3f101b-20260903-000401-default-f06-p2-caffeine</x:v>
      </x:c>
      <x:c r="B1289" s="34" t="str">
        <x:v>default</x:v>
      </x:c>
      <x:c r="C1289" s="34" t="str">
        <x:v>caffeine</x:v>
      </x:c>
      <x:c r="D1289" s="34" t="str">
        <x:v>caffeine</x:v>
      </x:c>
      <x:c r="E1289" s="36" t="n">
        <x:v>6</x:v>
      </x:c>
      <x:c r="F1289" s="36" t="n">
        <x:v>6</x:v>
      </x:c>
      <x:c r="G1289" s="36" t="n">
        <x:v>2</x:v>
      </x:c>
      <x:c r="H1289" s="36" t="n">
        <x:v>2</x:v>
      </x:c>
      <x:c r="I1289" s="34" t="str">
        <x:v>afterFinalUndeploy</x:v>
      </x:c>
      <x:c r="J1289" s="34" t="str">
        <x:v>after-final-undeploy-final</x:v>
      </x:c>
      <x:c r="K1289" s="36" t="n">
        <x:v>2</x:v>
      </x:c>
      <x:c r="L1289" s="34" t="str">
        <x:v>final</x:v>
      </x:c>
      <x:c r="M1289" s="34" t="str">
        <x:v>article1-unified-v4-2-fb3f101b-20260903-000401-default-f06-p2-caffeine-2-after-final-undeploy-final-10s</x:v>
      </x:c>
      <x:c r="N1289" s="38" t="n">
        <x:v>46268.09956865741</x:v>
      </x:c>
      <x:c r="O1289" s="36" t="n">
        <x:v>2</x:v>
      </x:c>
      <x:c r="P1289" s="43" t="n">
        <x:v>15563776</x:v>
      </x:c>
      <x:c r="Q1289" s="43" t="n">
        <x:v>268435456</x:v>
      </x:c>
      <x:c r="R1289" s="43" t="n">
        <x:v>423005184</x:v>
      </x:c>
      <x:c r="S1289" s="36" t="n">
        <x:v>2</x:v>
      </x:c>
      <x:c r="T1289" s="44" t="str">
        <x:v>0x000000000c1177b8  0x000000000c003818  0x00007ad2c86048c0       0         0         0  org.apache.catalina.loader.ParallelWebappClassLoader | 0x000000000c1177b8  0x000000000c003818  0x00007ad24402b860    4394  21165056  21144024  org.apache.catalina.loader.ParallelWebappClassLoader</x:v>
      </x:c>
      <x:c r="U1289" s="36" t="n">
        <x:v>30</x:v>
      </x:c>
      <x:c r="V1289" s="36" t="n">
        <x:v>0</x:v>
      </x:c>
      <x:c r="W1289" s="44"/>
      <x:c r="X1289" s="36" t="n">
        <x:v>1</x:v>
      </x:c>
      <x:c r="Y1289" s="36" t="n">
        <x:v>1</x:v>
      </x:c>
      <x:c r="Z1289" s="44" t="str">
        <x:v>/caffeine</x:v>
      </x:c>
      <x:c r="AA1289" s="45" t="b">
        <x:v>1</x:v>
      </x:c>
      <x:c r="AB1289" s="43"/>
      <x:c r="AC1289" s="34" t="str">
        <x:v>article1-unified-v4-2-fb3f101b-20260903-000401-default-f06-p2-caffeine-2-after-final-undeploy-final-10s-heap-info.txt</x:v>
      </x:c>
      <x:c r="AD1289" s="34" t="str">
        <x:v>article1-unified-v4-2-fb3f101b-20260903-000401-default-f06-p2-caffeine-2-after-final-undeploy-final-10s-classloader-stats.txt</x:v>
      </x:c>
      <x:c r="AE1289" s="34" t="str">
        <x:v>article1-unified-v4-2-fb3f101b-20260903-000401-default-f06-p2-caffeine-2-after-final-undeploy-final-10s-thread-dump.txt</x:v>
      </x:c>
      <x:c r="AF1289" s="34"/>
      <x:c r="AG1289" s="34" t="str">
        <x:v>article1-unified-v4-2-fb3f101b-20260903-000401-default-f06-p2-caffeine-2-after-final-undeploy-final-10s-native-memory.txt</x:v>
      </x:c>
      <x:c r="AH1289" s="34" t="str">
        <x:v>article1-unified-v4-2-fb3f101b-20260903-000401-default-f06-p2-caffeine-2-after-final-undeploy-final-10s-class-histogram.txt</x:v>
      </x:c>
      <x:c r="AI1289" s="34" t="str">
        <x:v>article1-unified-v4-2-fb3f101b-20260903-000401-default-f06-p2-caffeine-2-after-final-undeploy-tomcat-findleaks.txt</x:v>
      </x:c>
    </x:row>
    <x:row r="1290">
      <x:c r="A1290" s="34" t="str">
        <x:v>article1-unified-v4-2-fb3f101b-20260903-000401-default-f06-p2-caffeine</x:v>
      </x:c>
      <x:c r="B1290" s="34" t="str">
        <x:v>default</x:v>
      </x:c>
      <x:c r="C1290" s="34" t="str">
        <x:v>caffeine</x:v>
      </x:c>
      <x:c r="D1290" s="34" t="str">
        <x:v>caffeine</x:v>
      </x:c>
      <x:c r="E1290" s="36" t="n">
        <x:v>6</x:v>
      </x:c>
      <x:c r="F1290" s="36" t="n">
        <x:v>6</x:v>
      </x:c>
      <x:c r="G1290" s="36" t="n">
        <x:v>2</x:v>
      </x:c>
      <x:c r="H1290" s="36" t="n">
        <x:v>3</x:v>
      </x:c>
      <x:c r="I1290" s="34" t="str">
        <x:v>baseline</x:v>
      </x:c>
      <x:c r="J1290" s="34" t="str">
        <x:v>cycle-baseline</x:v>
      </x:c>
      <x:c r="K1290" s="36" t="n">
        <x:v>0</x:v>
      </x:c>
      <x:c r="L1290" s="34" t="str">
        <x:v>baseline</x:v>
      </x:c>
      <x:c r="M1290" s="34" t="str">
        <x:v>article1-unified-v4-2-fb3f101b-20260903-000401-default-f06-p2-caffeine-3-baseline</x:v>
      </x:c>
      <x:c r="N1290" s="38" t="n">
        <x:v>46268.09961604167</x:v>
      </x:c>
      <x:c r="O1290" s="36" t="n">
        <x:v>0</x:v>
      </x:c>
      <x:c r="P1290" s="43" t="n">
        <x:v>15563776</x:v>
      </x:c>
      <x:c r="Q1290" s="43" t="n">
        <x:v>268435456</x:v>
      </x:c>
      <x:c r="R1290" s="43" t="n">
        <x:v>422478848</x:v>
      </x:c>
      <x:c r="S1290" s="36" t="n">
        <x:v>2</x:v>
      </x:c>
      <x:c r="T1290" s="44" t="str">
        <x:v>0x000000000c1177b8  0x000000000c003818  0x00007ad2c86048c0       0         0         0  org.apache.catalina.loader.ParallelWebappClassLoader | 0x000000000c1177b8  0x000000000c003818  0x00007ad24402b860    4394  21165056  21144024  org.apache.catalina.loader.ParallelWebappClassLoader</x:v>
      </x:c>
      <x:c r="U1290" s="36" t="n">
        <x:v>30</x:v>
      </x:c>
      <x:c r="V1290" s="36" t="n">
        <x:v>0</x:v>
      </x:c>
      <x:c r="W1290" s="44"/>
      <x:c r="X1290" s="36"/>
      <x:c r="Y1290" s="36"/>
      <x:c r="Z1290" s="44"/>
      <x:c r="AA1290" s="49"/>
      <x:c r="AB1290" s="43"/>
      <x:c r="AC1290" s="34" t="str">
        <x:v>article1-unified-v4-2-fb3f101b-20260903-000401-default-f06-p2-caffeine-3-baseline-heap-info.txt</x:v>
      </x:c>
      <x:c r="AD1290" s="34" t="str">
        <x:v>article1-unified-v4-2-fb3f101b-20260903-000401-default-f06-p2-caffeine-3-baseline-classloader-stats.txt</x:v>
      </x:c>
      <x:c r="AE1290" s="34" t="str">
        <x:v>article1-unified-v4-2-fb3f101b-20260903-000401-default-f06-p2-caffeine-3-baseline-thread-dump.txt</x:v>
      </x:c>
      <x:c r="AF1290" s="34"/>
      <x:c r="AG1290" s="34" t="str">
        <x:v>article1-unified-v4-2-fb3f101b-20260903-000401-default-f06-p2-caffeine-3-baseline-native-memory.txt</x:v>
      </x:c>
      <x:c r="AH1290" s="34"/>
      <x:c r="AI1290" s="34"/>
    </x:row>
    <x:row r="1291">
      <x:c r="A1291" s="34" t="str">
        <x:v>article1-unified-v4-2-fb3f101b-20260903-000401-default-f06-p2-caffeine</x:v>
      </x:c>
      <x:c r="B1291" s="34" t="str">
        <x:v>default</x:v>
      </x:c>
      <x:c r="C1291" s="34" t="str">
        <x:v>caffeine</x:v>
      </x:c>
      <x:c r="D1291" s="34" t="str">
        <x:v>caffeine</x:v>
      </x:c>
      <x:c r="E1291" s="36" t="n">
        <x:v>6</x:v>
      </x:c>
      <x:c r="F1291" s="36" t="n">
        <x:v>6</x:v>
      </x:c>
      <x:c r="G1291" s="36" t="n">
        <x:v>2</x:v>
      </x:c>
      <x:c r="H1291" s="36" t="n">
        <x:v>3</x:v>
      </x:c>
      <x:c r="I1291" s="34" t="str">
        <x:v>deployedIdle</x:v>
      </x:c>
      <x:c r="J1291" s="34" t="str">
        <x:v>deployed-idle</x:v>
      </x:c>
      <x:c r="K1291" s="36" t="n">
        <x:v>0</x:v>
      </x:c>
      <x:c r="L1291" s="34" t="str">
        <x:v>initial</x:v>
      </x:c>
      <x:c r="M1291" s="34" t="str">
        <x:v>article1-unified-v4-2-fb3f101b-20260903-000401-default-f06-p2-caffeine-3-deployed-idle</x:v>
      </x:c>
      <x:c r="N1291" s="38" t="n">
        <x:v>46268.09971436342</x:v>
      </x:c>
      <x:c r="O1291" s="36" t="n">
        <x:v>0</x:v>
      </x:c>
      <x:c r="P1291" s="43" t="n">
        <x:v>166550528</x:v>
      </x:c>
      <x:c r="Q1291" s="43" t="n">
        <x:v>268435456</x:v>
      </x:c>
      <x:c r="R1291" s="43" t="n">
        <x:v>451427328</x:v>
      </x:c>
      <x:c r="S1291" s="36" t="n">
        <x:v>3</x:v>
      </x:c>
      <x:c r="T1291" s="44" t="str">
        <x:v>0x000000000c1177b8  0x000000000c003818  0x00007ad2c86048c0       0         0         0  org.apache.catalina.loader.ParallelWebappClassLoader | 0x000000000c1177b8  0x000000000c003818  0x00007ad24402b860    4394  21165056  21144024  org.apache.catalina.loader.ParallelWebappClassLoader | 0x000000000c1177b8  0x000000000c003818  0x00007ad1ec1a0bf0    4091  19441664  19426928  org.apache.catalina.loader.ParallelWebappClassLoader</x:v>
      </x:c>
      <x:c r="U1291" s="36" t="n">
        <x:v>30</x:v>
      </x:c>
      <x:c r="V1291" s="36" t="n">
        <x:v>0</x:v>
      </x:c>
      <x:c r="W1291" s="44"/>
      <x:c r="X1291" s="36"/>
      <x:c r="Y1291" s="36"/>
      <x:c r="Z1291" s="44"/>
      <x:c r="AA1291" s="49"/>
      <x:c r="AB1291" s="43"/>
      <x:c r="AC1291" s="34"/>
      <x:c r="AD1291" s="34"/>
      <x:c r="AE1291" s="34"/>
      <x:c r="AF1291" s="34"/>
      <x:c r="AG1291" s="34"/>
      <x:c r="AH1291" s="34"/>
      <x:c r="AI1291" s="34"/>
    </x:row>
    <x:row r="1292">
      <x:c r="A1292" s="34" t="str">
        <x:v>article1-unified-v4-2-fb3f101b-20260903-000401-default-f06-p2-caffeine</x:v>
      </x:c>
      <x:c r="B1292" s="34" t="str">
        <x:v>default</x:v>
      </x:c>
      <x:c r="C1292" s="34" t="str">
        <x:v>caffeine</x:v>
      </x:c>
      <x:c r="D1292" s="34" t="str">
        <x:v>caffeine</x:v>
      </x:c>
      <x:c r="E1292" s="36" t="n">
        <x:v>6</x:v>
      </x:c>
      <x:c r="F1292" s="36" t="n">
        <x:v>6</x:v>
      </x:c>
      <x:c r="G1292" s="36" t="n">
        <x:v>2</x:v>
      </x:c>
      <x:c r="H1292" s="36" t="n">
        <x:v>3</x:v>
      </x:c>
      <x:c r="I1292" s="34" t="str">
        <x:v>loaded</x:v>
      </x:c>
      <x:c r="J1292" s="34" t="str">
        <x:v>loaded</x:v>
      </x:c>
      <x:c r="K1292" s="36" t="n">
        <x:v>0</x:v>
      </x:c>
      <x:c r="L1292" s="34" t="str">
        <x:v>initial</x:v>
      </x:c>
      <x:c r="M1292" s="34" t="str">
        <x:v>article1-unified-v4-2-fb3f101b-20260903-000401-default-f06-p2-caffeine-3-loaded</x:v>
      </x:c>
      <x:c r="N1292" s="38" t="n">
        <x:v>46268.099867372686</x:v>
      </x:c>
      <x:c r="O1292" s="36" t="n">
        <x:v>0</x:v>
      </x:c>
      <x:c r="P1292" s="43" t="n">
        <x:v>200987648</x:v>
      </x:c>
      <x:c r="Q1292" s="43" t="n">
        <x:v>268435456</x:v>
      </x:c>
      <x:c r="R1292" s="43" t="n">
        <x:v>442723328</x:v>
      </x:c>
      <x:c r="S1292" s="36" t="n">
        <x:v>3</x:v>
      </x:c>
      <x:c r="T1292" s="44" t="str">
        <x:v>0x000000000c1177b8  0x000000000c003818  0x00007ad2c86048c0       0         0         0  org.apache.catalina.loader.ParallelWebappClassLoader | 0x000000000c1177b8  0x000000000c003818  0x00007ad1ec1a0bf0    4387  21145600  21132472  org.apache.catalina.loader.ParallelWebappClassLoader | 0x000000000c1177b8  0x000000000c003818  0x00007ad24402b860    4394  21165056  21144024  org.apache.catalina.loader.ParallelWebappClassLoader</x:v>
      </x:c>
      <x:c r="U1292" s="36" t="n">
        <x:v>31</x:v>
      </x:c>
      <x:c r="V1292" s="36" t="n">
        <x:v>0</x:v>
      </x:c>
      <x:c r="W1292" s="44"/>
      <x:c r="X1292" s="36"/>
      <x:c r="Y1292" s="36"/>
      <x:c r="Z1292" s="44"/>
      <x:c r="AA1292" s="49"/>
      <x:c r="AB1292" s="43"/>
      <x:c r="AC1292" s="34"/>
      <x:c r="AD1292" s="34"/>
      <x:c r="AE1292" s="34"/>
      <x:c r="AF1292" s="34"/>
      <x:c r="AG1292" s="34"/>
      <x:c r="AH1292" s="34"/>
      <x:c r="AI1292" s="34"/>
    </x:row>
    <x:row r="1293">
      <x:c r="A1293" s="34" t="str">
        <x:v>article1-unified-v4-2-fb3f101b-20260903-000401-default-f06-p2-caffeine</x:v>
      </x:c>
      <x:c r="B1293" s="34" t="str">
        <x:v>default</x:v>
      </x:c>
      <x:c r="C1293" s="34" t="str">
        <x:v>caffeine</x:v>
      </x:c>
      <x:c r="D1293" s="34" t="str">
        <x:v>caffeine</x:v>
      </x:c>
      <x:c r="E1293" s="36" t="n">
        <x:v>6</x:v>
      </x:c>
      <x:c r="F1293" s="36" t="n">
        <x:v>6</x:v>
      </x:c>
      <x:c r="G1293" s="36" t="n">
        <x:v>2</x:v>
      </x:c>
      <x:c r="H1293" s="36" t="n">
        <x:v>3</x:v>
      </x:c>
      <x:c r="I1293" s="34" t="str">
        <x:v>afterUndeployEarly</x:v>
      </x:c>
      <x:c r="J1293" s="34" t="str">
        <x:v>after-undeploy-early</x:v>
      </x:c>
      <x:c r="K1293" s="36" t="n">
        <x:v>1</x:v>
      </x:c>
      <x:c r="L1293" s="34" t="str">
        <x:v>early</x:v>
      </x:c>
      <x:c r="M1293" s="34" t="str">
        <x:v>article1-unified-v4-2-fb3f101b-20260903-000401-default-f06-p2-caffeine-3-after-undeploy-early-2s</x:v>
      </x:c>
      <x:c r="N1293" s="38" t="n">
        <x:v>46268.09995181713</x:v>
      </x:c>
      <x:c r="O1293" s="36"/>
      <x:c r="P1293" s="43"/>
      <x:c r="Q1293" s="43"/>
      <x:c r="R1293" s="43"/>
      <x:c r="S1293" s="36"/>
      <x:c r="T1293" s="44"/>
      <x:c r="U1293" s="36" t="n">
        <x:v>30</x:v>
      </x:c>
      <x:c r="V1293" s="36" t="n">
        <x:v>0</x:v>
      </x:c>
      <x:c r="W1293" s="44"/>
      <x:c r="X1293" s="36"/>
      <x:c r="Y1293" s="36"/>
      <x:c r="Z1293" s="44"/>
      <x:c r="AA1293" s="49"/>
      <x:c r="AB1293" s="43" t="n">
        <x:v>1</x:v>
      </x:c>
      <x:c r="AC1293" s="34"/>
      <x:c r="AD1293" s="34"/>
      <x:c r="AE1293" s="34" t="str">
        <x:v>article1-unified-v4-2-fb3f101b-20260903-000401-default-f06-p2-caffeine-3-after-undeploy-early-2s-thread-dump.txt</x:v>
      </x:c>
      <x:c r="AF1293" s="34" t="str">
        <x:v>article1-unified-v4-2-fb3f101b-20260903-000401-default-f06-p2-caffeine-3-after-undeploy-early-tomcat-log.txt</x:v>
      </x:c>
      <x:c r="AG1293" s="34"/>
      <x:c r="AH1293" s="34"/>
      <x:c r="AI1293" s="34"/>
    </x:row>
    <x:row r="1294">
      <x:c r="A1294" s="34" t="str">
        <x:v>article1-unified-v4-2-fb3f101b-20260903-000401-default-f06-p2-caffeine</x:v>
      </x:c>
      <x:c r="B1294" s="34" t="str">
        <x:v>default</x:v>
      </x:c>
      <x:c r="C1294" s="34" t="str">
        <x:v>caffeine</x:v>
      </x:c>
      <x:c r="D1294" s="34" t="str">
        <x:v>caffeine</x:v>
      </x:c>
      <x:c r="E1294" s="36" t="n">
        <x:v>6</x:v>
      </x:c>
      <x:c r="F1294" s="36" t="n">
        <x:v>6</x:v>
      </x:c>
      <x:c r="G1294" s="36" t="n">
        <x:v>2</x:v>
      </x:c>
      <x:c r="H1294" s="36" t="n">
        <x:v>3</x:v>
      </x:c>
      <x:c r="I1294" s="34" t="str">
        <x:v>afterUndeploy</x:v>
      </x:c>
      <x:c r="J1294" s="34" t="str">
        <x:v>after-undeploy-final</x:v>
      </x:c>
      <x:c r="K1294" s="36" t="n">
        <x:v>1</x:v>
      </x:c>
      <x:c r="L1294" s="34" t="str">
        <x:v>final</x:v>
      </x:c>
      <x:c r="M1294" s="34" t="str">
        <x:v>article1-unified-v4-2-fb3f101b-20260903-000401-default-f06-p2-caffeine-3-after-undeploy-final-10s</x:v>
      </x:c>
      <x:c r="N1294" s="38" t="n">
        <x:v>46268.10010809028</x:v>
      </x:c>
      <x:c r="O1294" s="36" t="n">
        <x:v>2</x:v>
      </x:c>
      <x:c r="P1294" s="43" t="n">
        <x:v>15601664</x:v>
      </x:c>
      <x:c r="Q1294" s="43" t="n">
        <x:v>268435456</x:v>
      </x:c>
      <x:c r="R1294" s="43" t="n">
        <x:v>420761600</x:v>
      </x:c>
      <x:c r="S1294" s="36" t="n">
        <x:v>2</x:v>
      </x:c>
      <x:c r="T1294" s="44" t="str">
        <x:v>0x000000000c1177b8  0x000000000c003818  0x00007ad2c86048c0       0         0         0  org.apache.catalina.loader.ParallelWebappClassLoader | 0x000000000c1177b8  0x000000000c003818  0x00007ad1ec1a0bf0    4395  21178368  21157288  org.apache.catalina.loader.ParallelWebappClassLoader</x:v>
      </x:c>
      <x:c r="U1294" s="36" t="n">
        <x:v>30</x:v>
      </x:c>
      <x:c r="V1294" s="36" t="n">
        <x:v>0</x:v>
      </x:c>
      <x:c r="W1294" s="44"/>
      <x:c r="X1294" s="36" t="n">
        <x:v>1</x:v>
      </x:c>
      <x:c r="Y1294" s="36" t="n">
        <x:v>1</x:v>
      </x:c>
      <x:c r="Z1294" s="44" t="str">
        <x:v>/caffeine</x:v>
      </x:c>
      <x:c r="AA1294" s="45" t="b">
        <x:v>1</x:v>
      </x:c>
      <x:c r="AB1294" s="43"/>
      <x:c r="AC1294" s="34" t="str">
        <x:v>article1-unified-v4-2-fb3f101b-20260903-000401-default-f06-p2-caffeine-3-after-undeploy-final-10s-heap-info.txt</x:v>
      </x:c>
      <x:c r="AD1294" s="34" t="str">
        <x:v>article1-unified-v4-2-fb3f101b-20260903-000401-default-f06-p2-caffeine-3-after-undeploy-final-10s-classloader-stats.txt</x:v>
      </x:c>
      <x:c r="AE1294" s="34" t="str">
        <x:v>article1-unified-v4-2-fb3f101b-20260903-000401-default-f06-p2-caffeine-3-after-undeploy-final-10s-thread-dump.txt</x:v>
      </x:c>
      <x:c r="AF1294" s="34"/>
      <x:c r="AG1294" s="34" t="str">
        <x:v>article1-unified-v4-2-fb3f101b-20260903-000401-default-f06-p2-caffeine-3-after-undeploy-final-10s-native-memory.txt</x:v>
      </x:c>
      <x:c r="AH1294" s="34" t="str">
        <x:v>article1-unified-v4-2-fb3f101b-20260903-000401-default-f06-p2-caffeine-3-after-undeploy-final-10s-class-histogram.txt</x:v>
      </x:c>
      <x:c r="AI1294" s="34" t="str">
        <x:v>article1-unified-v4-2-fb3f101b-20260903-000401-default-f06-p2-caffeine-3-after-undeploy-tomcat-findleaks.txt</x:v>
      </x:c>
    </x:row>
    <x:row r="1295">
      <x:c r="A1295" s="34" t="str">
        <x:v>article1-unified-v4-2-fb3f101b-20260903-000401-default-f06-p2-caffeine</x:v>
      </x:c>
      <x:c r="B1295" s="34" t="str">
        <x:v>default</x:v>
      </x:c>
      <x:c r="C1295" s="34" t="str">
        <x:v>caffeine</x:v>
      </x:c>
      <x:c r="D1295" s="34" t="str">
        <x:v>caffeine</x:v>
      </x:c>
      <x:c r="E1295" s="36" t="n">
        <x:v>6</x:v>
      </x:c>
      <x:c r="F1295" s="36" t="n">
        <x:v>6</x:v>
      </x:c>
      <x:c r="G1295" s="36" t="n">
        <x:v>2</x:v>
      </x:c>
      <x:c r="H1295" s="36" t="n">
        <x:v>3</x:v>
      </x:c>
      <x:c r="I1295" s="34" t="str">
        <x:v>redeployedLoaded</x:v>
      </x:c>
      <x:c r="J1295" s="34" t="str">
        <x:v>redeployed-loaded</x:v>
      </x:c>
      <x:c r="K1295" s="36" t="n">
        <x:v>0</x:v>
      </x:c>
      <x:c r="L1295" s="34" t="str">
        <x:v>redeploy</x:v>
      </x:c>
      <x:c r="M1295" s="34" t="str">
        <x:v>article1-unified-v4-2-fb3f101b-20260903-000401-default-f06-p2-caffeine-3-redeployed-loaded</x:v>
      </x:c>
      <x:c r="N1295" s="38" t="n">
        <x:v>46268.100363136575</x:v>
      </x:c>
      <x:c r="O1295" s="36" t="n">
        <x:v>0</x:v>
      </x:c>
      <x:c r="P1295" s="43" t="n">
        <x:v>205622272</x:v>
      </x:c>
      <x:c r="Q1295" s="43" t="n">
        <x:v>268435456</x:v>
      </x:c>
      <x:c r="R1295" s="43" t="n">
        <x:v>447310848</x:v>
      </x:c>
      <x:c r="S1295" s="36" t="n">
        <x:v>3</x:v>
      </x:c>
      <x:c r="T1295" s="44" t="str">
        <x:v>0x000000000c1177b8  0x000000000c003818  0x00007ad2c86048c0       0         0         0  org.apache.catalina.loader.ParallelWebappClassLoader | 0x000000000c1177b8  0x000000000c003818  0x00007ad1f0199f70    4388  21151744  21131056  org.apache.catalina.loader.ParallelWebappClassLoader | 0x000000000c1177b8  0x000000000c003818  0x00007ad1ec1a0bf0    4395  21178368  21157288  org.apache.catalina.loader.ParallelWebappClassLoader</x:v>
      </x:c>
      <x:c r="U1295" s="36" t="n">
        <x:v>31</x:v>
      </x:c>
      <x:c r="V1295" s="36" t="n">
        <x:v>0</x:v>
      </x:c>
      <x:c r="W1295" s="44"/>
      <x:c r="X1295" s="36"/>
      <x:c r="Y1295" s="36"/>
      <x:c r="Z1295" s="44"/>
      <x:c r="AA1295" s="49"/>
      <x:c r="AB1295" s="43"/>
      <x:c r="AC1295" s="34"/>
      <x:c r="AD1295" s="34"/>
      <x:c r="AE1295" s="34"/>
      <x:c r="AF1295" s="34"/>
      <x:c r="AG1295" s="34"/>
      <x:c r="AH1295" s="34"/>
      <x:c r="AI1295" s="34"/>
    </x:row>
    <x:row r="1296">
      <x:c r="A1296" s="34" t="str">
        <x:v>article1-unified-v4-2-fb3f101b-20260903-000401-default-f06-p2-caffeine</x:v>
      </x:c>
      <x:c r="B1296" s="34" t="str">
        <x:v>default</x:v>
      </x:c>
      <x:c r="C1296" s="34" t="str">
        <x:v>caffeine</x:v>
      </x:c>
      <x:c r="D1296" s="34" t="str">
        <x:v>caffeine</x:v>
      </x:c>
      <x:c r="E1296" s="36" t="n">
        <x:v>6</x:v>
      </x:c>
      <x:c r="F1296" s="36" t="n">
        <x:v>6</x:v>
      </x:c>
      <x:c r="G1296" s="36" t="n">
        <x:v>2</x:v>
      </x:c>
      <x:c r="H1296" s="36" t="n">
        <x:v>3</x:v>
      </x:c>
      <x:c r="I1296" s="34" t="str">
        <x:v>afterFinalUndeployEarly</x:v>
      </x:c>
      <x:c r="J1296" s="34" t="str">
        <x:v>after-final-undeploy-early</x:v>
      </x:c>
      <x:c r="K1296" s="36" t="n">
        <x:v>2</x:v>
      </x:c>
      <x:c r="L1296" s="34" t="str">
        <x:v>early</x:v>
      </x:c>
      <x:c r="M1296" s="34" t="str">
        <x:v>article1-unified-v4-2-fb3f101b-20260903-000401-default-f06-p2-caffeine-3-after-final-undeploy-early-2s</x:v>
      </x:c>
      <x:c r="N1296" s="38" t="n">
        <x:v>46268.100447523146</x:v>
      </x:c>
      <x:c r="O1296" s="36"/>
      <x:c r="P1296" s="43"/>
      <x:c r="Q1296" s="43"/>
      <x:c r="R1296" s="43"/>
      <x:c r="S1296" s="36"/>
      <x:c r="T1296" s="44"/>
      <x:c r="U1296" s="36" t="n">
        <x:v>30</x:v>
      </x:c>
      <x:c r="V1296" s="36" t="n">
        <x:v>0</x:v>
      </x:c>
      <x:c r="W1296" s="44"/>
      <x:c r="X1296" s="36"/>
      <x:c r="Y1296" s="36"/>
      <x:c r="Z1296" s="44"/>
      <x:c r="AA1296" s="49"/>
      <x:c r="AB1296" s="43" t="n">
        <x:v>1</x:v>
      </x:c>
      <x:c r="AC1296" s="34"/>
      <x:c r="AD1296" s="34"/>
      <x:c r="AE1296" s="34" t="str">
        <x:v>article1-unified-v4-2-fb3f101b-20260903-000401-default-f06-p2-caffeine-3-after-final-undeploy-early-2s-thread-dump.txt</x:v>
      </x:c>
      <x:c r="AF1296" s="34" t="str">
        <x:v>article1-unified-v4-2-fb3f101b-20260903-000401-default-f06-p2-caffeine-3-after-final-undeploy-early-tomcat-log.txt</x:v>
      </x:c>
      <x:c r="AG1296" s="34"/>
      <x:c r="AH1296" s="34"/>
      <x:c r="AI1296" s="34"/>
    </x:row>
    <x:row r="1297">
      <x:c r="A1297" s="34" t="str">
        <x:v>article1-unified-v4-2-fb3f101b-20260903-000401-default-f06-p2-caffeine</x:v>
      </x:c>
      <x:c r="B1297" s="34" t="str">
        <x:v>default</x:v>
      </x:c>
      <x:c r="C1297" s="34" t="str">
        <x:v>caffeine</x:v>
      </x:c>
      <x:c r="D1297" s="34" t="str">
        <x:v>caffeine</x:v>
      </x:c>
      <x:c r="E1297" s="36" t="n">
        <x:v>6</x:v>
      </x:c>
      <x:c r="F1297" s="36" t="n">
        <x:v>6</x:v>
      </x:c>
      <x:c r="G1297" s="36" t="n">
        <x:v>2</x:v>
      </x:c>
      <x:c r="H1297" s="36" t="n">
        <x:v>3</x:v>
      </x:c>
      <x:c r="I1297" s="34" t="str">
        <x:v>afterFinalUndeploy</x:v>
      </x:c>
      <x:c r="J1297" s="34" t="str">
        <x:v>after-final-undeploy-final</x:v>
      </x:c>
      <x:c r="K1297" s="36" t="n">
        <x:v>2</x:v>
      </x:c>
      <x:c r="L1297" s="34" t="str">
        <x:v>final</x:v>
      </x:c>
      <x:c r="M1297" s="34" t="str">
        <x:v>article1-unified-v4-2-fb3f101b-20260903-000401-default-f06-p2-caffeine-3-after-final-undeploy-final-10s</x:v>
      </x:c>
      <x:c r="N1297" s="38" t="n">
        <x:v>46268.10060197917</x:v>
      </x:c>
      <x:c r="O1297" s="36" t="n">
        <x:v>2</x:v>
      </x:c>
      <x:c r="P1297" s="43" t="n">
        <x:v>15602688</x:v>
      </x:c>
      <x:c r="Q1297" s="43" t="n">
        <x:v>268435456</x:v>
      </x:c>
      <x:c r="R1297" s="43" t="n">
        <x:v>425867264</x:v>
      </x:c>
      <x:c r="S1297" s="36" t="n">
        <x:v>2</x:v>
      </x:c>
      <x:c r="T1297" s="44" t="str">
        <x:v>0x000000000c1177b8  0x000000000c003818  0x00007ad2c86048c0       0         0         0  org.apache.catalina.loader.ParallelWebappClassLoader | 0x000000000c1177b8  0x000000000c003818  0x00007ad1f0199f70    4396  21164032  21155872  org.apache.catalina.loader.ParallelWebappClassLoader</x:v>
      </x:c>
      <x:c r="U1297" s="36" t="n">
        <x:v>30</x:v>
      </x:c>
      <x:c r="V1297" s="36" t="n">
        <x:v>0</x:v>
      </x:c>
      <x:c r="W1297" s="44"/>
      <x:c r="X1297" s="36" t="n">
        <x:v>1</x:v>
      </x:c>
      <x:c r="Y1297" s="36" t="n">
        <x:v>1</x:v>
      </x:c>
      <x:c r="Z1297" s="44" t="str">
        <x:v>/caffeine</x:v>
      </x:c>
      <x:c r="AA1297" s="45" t="b">
        <x:v>1</x:v>
      </x:c>
      <x:c r="AB1297" s="43"/>
      <x:c r="AC1297" s="34" t="str">
        <x:v>article1-unified-v4-2-fb3f101b-20260903-000401-default-f06-p2-caffeine-3-after-final-undeploy-final-10s-heap-info.txt</x:v>
      </x:c>
      <x:c r="AD1297" s="34" t="str">
        <x:v>article1-unified-v4-2-fb3f101b-20260903-000401-default-f06-p2-caffeine-3-after-final-undeploy-final-10s-classloader-stats.txt</x:v>
      </x:c>
      <x:c r="AE1297" s="34" t="str">
        <x:v>article1-unified-v4-2-fb3f101b-20260903-000401-default-f06-p2-caffeine-3-after-final-undeploy-final-10s-thread-dump.txt</x:v>
      </x:c>
      <x:c r="AF1297" s="34"/>
      <x:c r="AG1297" s="34" t="str">
        <x:v>article1-unified-v4-2-fb3f101b-20260903-000401-default-f06-p2-caffeine-3-after-final-undeploy-final-10s-native-memory.txt</x:v>
      </x:c>
      <x:c r="AH1297" s="34" t="str">
        <x:v>article1-unified-v4-2-fb3f101b-20260903-000401-default-f06-p2-caffeine-3-after-final-undeploy-final-10s-class-histogram.txt</x:v>
      </x:c>
      <x:c r="AI1297" s="34" t="str">
        <x:v>article1-unified-v4-2-fb3f101b-20260903-000401-default-f06-p2-caffeine-3-after-final-undeploy-tomcat-findleaks.txt</x:v>
      </x:c>
    </x:row>
    <x:row r="1298">
      <x:c r="A1298" s="34" t="str">
        <x:v>article1-unified-v4-2-fb3f101b-20260903-000401-default-f06-p2-caffeine</x:v>
      </x:c>
      <x:c r="B1298" s="34" t="str">
        <x:v>default</x:v>
      </x:c>
      <x:c r="C1298" s="34" t="str">
        <x:v>caffeine</x:v>
      </x:c>
      <x:c r="D1298" s="34" t="str">
        <x:v>caffeine</x:v>
      </x:c>
      <x:c r="E1298" s="36" t="n">
        <x:v>6</x:v>
      </x:c>
      <x:c r="F1298" s="36" t="n">
        <x:v>6</x:v>
      </x:c>
      <x:c r="G1298" s="36" t="n">
        <x:v>2</x:v>
      </x:c>
      <x:c r="H1298" s="36" t="n">
        <x:v>4</x:v>
      </x:c>
      <x:c r="I1298" s="34" t="str">
        <x:v>baseline</x:v>
      </x:c>
      <x:c r="J1298" s="34" t="str">
        <x:v>cycle-baseline</x:v>
      </x:c>
      <x:c r="K1298" s="36" t="n">
        <x:v>0</x:v>
      </x:c>
      <x:c r="L1298" s="34" t="str">
        <x:v>baseline</x:v>
      </x:c>
      <x:c r="M1298" s="34" t="str">
        <x:v>article1-unified-v4-2-fb3f101b-20260903-000401-default-f06-p2-caffeine-4-baseline</x:v>
      </x:c>
      <x:c r="N1298" s="38" t="n">
        <x:v>46268.1006402662</x:v>
      </x:c>
      <x:c r="O1298" s="36" t="n">
        <x:v>0</x:v>
      </x:c>
      <x:c r="P1298" s="43" t="n">
        <x:v>15610880</x:v>
      </x:c>
      <x:c r="Q1298" s="43" t="n">
        <x:v>268435456</x:v>
      </x:c>
      <x:c r="R1298" s="43" t="n">
        <x:v>426246144</x:v>
      </x:c>
      <x:c r="S1298" s="36" t="n">
        <x:v>2</x:v>
      </x:c>
      <x:c r="T1298" s="44" t="str">
        <x:v>0x000000000c1177b8  0x000000000c003818  0x00007ad2c86048c0       0         0         0  org.apache.catalina.loader.ParallelWebappClassLoader | 0x000000000c1177b8  0x000000000c003818  0x00007ad1f0199f70    4396  21164032  21155872  org.apache.catalina.loader.ParallelWebappClassLoader</x:v>
      </x:c>
      <x:c r="U1298" s="36" t="n">
        <x:v>30</x:v>
      </x:c>
      <x:c r="V1298" s="36" t="n">
        <x:v>0</x:v>
      </x:c>
      <x:c r="W1298" s="44"/>
      <x:c r="X1298" s="36"/>
      <x:c r="Y1298" s="36"/>
      <x:c r="Z1298" s="44"/>
      <x:c r="AA1298" s="49"/>
      <x:c r="AB1298" s="43"/>
      <x:c r="AC1298" s="34" t="str">
        <x:v>article1-unified-v4-2-fb3f101b-20260903-000401-default-f06-p2-caffeine-4-baseline-heap-info.txt</x:v>
      </x:c>
      <x:c r="AD1298" s="34" t="str">
        <x:v>article1-unified-v4-2-fb3f101b-20260903-000401-default-f06-p2-caffeine-4-baseline-classloader-stats.txt</x:v>
      </x:c>
      <x:c r="AE1298" s="34" t="str">
        <x:v>article1-unified-v4-2-fb3f101b-20260903-000401-default-f06-p2-caffeine-4-baseline-thread-dump.txt</x:v>
      </x:c>
      <x:c r="AF1298" s="34"/>
      <x:c r="AG1298" s="34" t="str">
        <x:v>article1-unified-v4-2-fb3f101b-20260903-000401-default-f06-p2-caffeine-4-baseline-native-memory.txt</x:v>
      </x:c>
      <x:c r="AH1298" s="34"/>
      <x:c r="AI1298" s="34"/>
    </x:row>
    <x:row r="1299">
      <x:c r="A1299" s="34" t="str">
        <x:v>article1-unified-v4-2-fb3f101b-20260903-000401-default-f06-p2-caffeine</x:v>
      </x:c>
      <x:c r="B1299" s="34" t="str">
        <x:v>default</x:v>
      </x:c>
      <x:c r="C1299" s="34" t="str">
        <x:v>caffeine</x:v>
      </x:c>
      <x:c r="D1299" s="34" t="str">
        <x:v>caffeine</x:v>
      </x:c>
      <x:c r="E1299" s="36" t="n">
        <x:v>6</x:v>
      </x:c>
      <x:c r="F1299" s="36" t="n">
        <x:v>6</x:v>
      </x:c>
      <x:c r="G1299" s="36" t="n">
        <x:v>2</x:v>
      </x:c>
      <x:c r="H1299" s="36" t="n">
        <x:v>4</x:v>
      </x:c>
      <x:c r="I1299" s="34" t="str">
        <x:v>deployedIdle</x:v>
      </x:c>
      <x:c r="J1299" s="34" t="str">
        <x:v>deployed-idle</x:v>
      </x:c>
      <x:c r="K1299" s="36" t="n">
        <x:v>0</x:v>
      </x:c>
      <x:c r="L1299" s="34" t="str">
        <x:v>initial</x:v>
      </x:c>
      <x:c r="M1299" s="34" t="str">
        <x:v>article1-unified-v4-2-fb3f101b-20260903-000401-default-f06-p2-caffeine-4-deployed-idle</x:v>
      </x:c>
      <x:c r="N1299" s="38" t="n">
        <x:v>46268.10074069444</x:v>
      </x:c>
      <x:c r="O1299" s="36" t="n">
        <x:v>0</x:v>
      </x:c>
      <x:c r="P1299" s="43" t="n">
        <x:v>166879232</x:v>
      </x:c>
      <x:c r="Q1299" s="43" t="n">
        <x:v>268435456</x:v>
      </x:c>
      <x:c r="R1299" s="43" t="n">
        <x:v>441978880</x:v>
      </x:c>
      <x:c r="S1299" s="36" t="n">
        <x:v>3</x:v>
      </x:c>
      <x:c r="T1299" s="44" t="str">
        <x:v>0x000000000c1177b8  0x000000000c003818  0x00007ad2c86048c0       0         0         0  org.apache.catalina.loader.ParallelWebappClassLoader | 0x000000000c1177b8  0x000000000c003818  0x00007ad1f042f000    4091  19453952  19430112  org.apache.catalina.loader.ParallelWebappClassLoader | 0x000000000c1177b8  0x000000000c003818  0x00007ad1f0199f70    4396  21164032  21155872  org.apache.catalina.loader.ParallelWebappClassLoader</x:v>
      </x:c>
      <x:c r="U1299" s="36" t="n">
        <x:v>30</x:v>
      </x:c>
      <x:c r="V1299" s="36" t="n">
        <x:v>0</x:v>
      </x:c>
      <x:c r="W1299" s="44"/>
      <x:c r="X1299" s="36"/>
      <x:c r="Y1299" s="36"/>
      <x:c r="Z1299" s="44"/>
      <x:c r="AA1299" s="49"/>
      <x:c r="AB1299" s="43"/>
      <x:c r="AC1299" s="34"/>
      <x:c r="AD1299" s="34"/>
      <x:c r="AE1299" s="34"/>
      <x:c r="AF1299" s="34"/>
      <x:c r="AG1299" s="34"/>
      <x:c r="AH1299" s="34"/>
      <x:c r="AI1299" s="34"/>
    </x:row>
    <x:row r="1300">
      <x:c r="A1300" s="34" t="str">
        <x:v>article1-unified-v4-2-fb3f101b-20260903-000401-default-f06-p2-caffeine</x:v>
      </x:c>
      <x:c r="B1300" s="34" t="str">
        <x:v>default</x:v>
      </x:c>
      <x:c r="C1300" s="34" t="str">
        <x:v>caffeine</x:v>
      </x:c>
      <x:c r="D1300" s="34" t="str">
        <x:v>caffeine</x:v>
      </x:c>
      <x:c r="E1300" s="36" t="n">
        <x:v>6</x:v>
      </x:c>
      <x:c r="F1300" s="36" t="n">
        <x:v>6</x:v>
      </x:c>
      <x:c r="G1300" s="36" t="n">
        <x:v>2</x:v>
      </x:c>
      <x:c r="H1300" s="36" t="n">
        <x:v>4</x:v>
      </x:c>
      <x:c r="I1300" s="34" t="str">
        <x:v>loaded</x:v>
      </x:c>
      <x:c r="J1300" s="34" t="str">
        <x:v>loaded</x:v>
      </x:c>
      <x:c r="K1300" s="36" t="n">
        <x:v>0</x:v>
      </x:c>
      <x:c r="L1300" s="34" t="str">
        <x:v>initial</x:v>
      </x:c>
      <x:c r="M1300" s="34" t="str">
        <x:v>article1-unified-v4-2-fb3f101b-20260903-000401-default-f06-p2-caffeine-4-loaded</x:v>
      </x:c>
      <x:c r="N1300" s="38" t="n">
        <x:v>46268.10089217593</x:v>
      </x:c>
      <x:c r="O1300" s="36" t="n">
        <x:v>0</x:v>
      </x:c>
      <x:c r="P1300" s="43" t="n">
        <x:v>210637824</x:v>
      </x:c>
      <x:c r="Q1300" s="43" t="n">
        <x:v>268435456</x:v>
      </x:c>
      <x:c r="R1300" s="43" t="n">
        <x:v>444499968</x:v>
      </x:c>
      <x:c r="S1300" s="36" t="n">
        <x:v>3</x:v>
      </x:c>
      <x:c r="T1300" s="44" t="str">
        <x:v>0x000000000c1177b8  0x000000000c003818  0x00007ad2c86048c0       0         0         0  org.apache.catalina.loader.ParallelWebappClassLoader | 0x000000000c1177b8  0x000000000c003818  0x00007ad1f042f000    4388  21141504  21128848  org.apache.catalina.loader.ParallelWebappClassLoader | 0x000000000c1177b8  0x000000000c003818  0x00007ad1f0199f70    4396  21164032  21155872  org.apache.catalina.loader.ParallelWebappClassLoader</x:v>
      </x:c>
      <x:c r="U1300" s="36" t="n">
        <x:v>30</x:v>
      </x:c>
      <x:c r="V1300" s="36" t="n">
        <x:v>0</x:v>
      </x:c>
      <x:c r="W1300" s="44"/>
      <x:c r="X1300" s="36"/>
      <x:c r="Y1300" s="36"/>
      <x:c r="Z1300" s="44"/>
      <x:c r="AA1300" s="49"/>
      <x:c r="AB1300" s="43"/>
      <x:c r="AC1300" s="34"/>
      <x:c r="AD1300" s="34"/>
      <x:c r="AE1300" s="34"/>
      <x:c r="AF1300" s="34"/>
      <x:c r="AG1300" s="34"/>
      <x:c r="AH1300" s="34"/>
      <x:c r="AI1300" s="34"/>
    </x:row>
    <x:row r="1301">
      <x:c r="A1301" s="34" t="str">
        <x:v>article1-unified-v4-2-fb3f101b-20260903-000401-default-f06-p2-caffeine</x:v>
      </x:c>
      <x:c r="B1301" s="34" t="str">
        <x:v>default</x:v>
      </x:c>
      <x:c r="C1301" s="34" t="str">
        <x:v>caffeine</x:v>
      </x:c>
      <x:c r="D1301" s="34" t="str">
        <x:v>caffeine</x:v>
      </x:c>
      <x:c r="E1301" s="36" t="n">
        <x:v>6</x:v>
      </x:c>
      <x:c r="F1301" s="36" t="n">
        <x:v>6</x:v>
      </x:c>
      <x:c r="G1301" s="36" t="n">
        <x:v>2</x:v>
      </x:c>
      <x:c r="H1301" s="36" t="n">
        <x:v>4</x:v>
      </x:c>
      <x:c r="I1301" s="34" t="str">
        <x:v>afterUndeployEarly</x:v>
      </x:c>
      <x:c r="J1301" s="34" t="str">
        <x:v>after-undeploy-early</x:v>
      </x:c>
      <x:c r="K1301" s="36" t="n">
        <x:v>1</x:v>
      </x:c>
      <x:c r="L1301" s="34" t="str">
        <x:v>early</x:v>
      </x:c>
      <x:c r="M1301" s="34" t="str">
        <x:v>article1-unified-v4-2-fb3f101b-20260903-000401-default-f06-p2-caffeine-4-after-undeploy-early-2s</x:v>
      </x:c>
      <x:c r="N1301" s="38" t="n">
        <x:v>46268.10097663195</x:v>
      </x:c>
      <x:c r="O1301" s="36"/>
      <x:c r="P1301" s="43"/>
      <x:c r="Q1301" s="43"/>
      <x:c r="R1301" s="43"/>
      <x:c r="S1301" s="36"/>
      <x:c r="T1301" s="44"/>
      <x:c r="U1301" s="36" t="n">
        <x:v>30</x:v>
      </x:c>
      <x:c r="V1301" s="36" t="n">
        <x:v>0</x:v>
      </x:c>
      <x:c r="W1301" s="44"/>
      <x:c r="X1301" s="36"/>
      <x:c r="Y1301" s="36"/>
      <x:c r="Z1301" s="44"/>
      <x:c r="AA1301" s="49"/>
      <x:c r="AB1301" s="43" t="n">
        <x:v>1</x:v>
      </x:c>
      <x:c r="AC1301" s="34"/>
      <x:c r="AD1301" s="34"/>
      <x:c r="AE1301" s="34" t="str">
        <x:v>article1-unified-v4-2-fb3f101b-20260903-000401-default-f06-p2-caffeine-4-after-undeploy-early-2s-thread-dump.txt</x:v>
      </x:c>
      <x:c r="AF1301" s="34" t="str">
        <x:v>article1-unified-v4-2-fb3f101b-20260903-000401-default-f06-p2-caffeine-4-after-undeploy-early-tomcat-log.txt</x:v>
      </x:c>
      <x:c r="AG1301" s="34"/>
      <x:c r="AH1301" s="34"/>
      <x:c r="AI1301" s="34"/>
    </x:row>
    <x:row r="1302">
      <x:c r="A1302" s="34" t="str">
        <x:v>article1-unified-v4-2-fb3f101b-20260903-000401-default-f06-p2-caffeine</x:v>
      </x:c>
      <x:c r="B1302" s="34" t="str">
        <x:v>default</x:v>
      </x:c>
      <x:c r="C1302" s="34" t="str">
        <x:v>caffeine</x:v>
      </x:c>
      <x:c r="D1302" s="34" t="str">
        <x:v>caffeine</x:v>
      </x:c>
      <x:c r="E1302" s="36" t="n">
        <x:v>6</x:v>
      </x:c>
      <x:c r="F1302" s="36" t="n">
        <x:v>6</x:v>
      </x:c>
      <x:c r="G1302" s="36" t="n">
        <x:v>2</x:v>
      </x:c>
      <x:c r="H1302" s="36" t="n">
        <x:v>4</x:v>
      </x:c>
      <x:c r="I1302" s="34" t="str">
        <x:v>afterUndeploy</x:v>
      </x:c>
      <x:c r="J1302" s="34" t="str">
        <x:v>after-undeploy-final</x:v>
      </x:c>
      <x:c r="K1302" s="36" t="n">
        <x:v>1</x:v>
      </x:c>
      <x:c r="L1302" s="34" t="str">
        <x:v>final</x:v>
      </x:c>
      <x:c r="M1302" s="34" t="str">
        <x:v>article1-unified-v4-2-fb3f101b-20260903-000401-default-f06-p2-caffeine-4-after-undeploy-final-10s</x:v>
      </x:c>
      <x:c r="N1302" s="38" t="n">
        <x:v>46268.1011343287</x:v>
      </x:c>
      <x:c r="O1302" s="36" t="n">
        <x:v>2</x:v>
      </x:c>
      <x:c r="P1302" s="43" t="n">
        <x:v>15622144</x:v>
      </x:c>
      <x:c r="Q1302" s="43" t="n">
        <x:v>268435456</x:v>
      </x:c>
      <x:c r="R1302" s="43" t="n">
        <x:v>423576576</x:v>
      </x:c>
      <x:c r="S1302" s="36" t="n">
        <x:v>2</x:v>
      </x:c>
      <x:c r="T1302" s="44" t="str">
        <x:v>0x000000000c1177b8  0x000000000c003818  0x00007ad2c86048c0       0         0         0  org.apache.catalina.loader.ParallelWebappClassLoader | 0x000000000c1177b8  0x000000000c003818  0x00007ad1f042f000    4396  21157888  21153664  org.apache.catalina.loader.ParallelWebappClassLoader</x:v>
      </x:c>
      <x:c r="U1302" s="36" t="n">
        <x:v>30</x:v>
      </x:c>
      <x:c r="V1302" s="36" t="n">
        <x:v>0</x:v>
      </x:c>
      <x:c r="W1302" s="44"/>
      <x:c r="X1302" s="36" t="n">
        <x:v>1</x:v>
      </x:c>
      <x:c r="Y1302" s="36" t="n">
        <x:v>1</x:v>
      </x:c>
      <x:c r="Z1302" s="44" t="str">
        <x:v>/caffeine</x:v>
      </x:c>
      <x:c r="AA1302" s="45" t="b">
        <x:v>1</x:v>
      </x:c>
      <x:c r="AB1302" s="43"/>
      <x:c r="AC1302" s="34" t="str">
        <x:v>article1-unified-v4-2-fb3f101b-20260903-000401-default-f06-p2-caffeine-4-after-undeploy-final-10s-heap-info.txt</x:v>
      </x:c>
      <x:c r="AD1302" s="34" t="str">
        <x:v>article1-unified-v4-2-fb3f101b-20260903-000401-default-f06-p2-caffeine-4-after-undeploy-final-10s-classloader-stats.txt</x:v>
      </x:c>
      <x:c r="AE1302" s="34" t="str">
        <x:v>article1-unified-v4-2-fb3f101b-20260903-000401-default-f06-p2-caffeine-4-after-undeploy-final-10s-thread-dump.txt</x:v>
      </x:c>
      <x:c r="AF1302" s="34"/>
      <x:c r="AG1302" s="34" t="str">
        <x:v>article1-unified-v4-2-fb3f101b-20260903-000401-default-f06-p2-caffeine-4-after-undeploy-final-10s-native-memory.txt</x:v>
      </x:c>
      <x:c r="AH1302" s="34" t="str">
        <x:v>article1-unified-v4-2-fb3f101b-20260903-000401-default-f06-p2-caffeine-4-after-undeploy-final-10s-class-histogram.txt</x:v>
      </x:c>
      <x:c r="AI1302" s="34" t="str">
        <x:v>article1-unified-v4-2-fb3f101b-20260903-000401-default-f06-p2-caffeine-4-after-undeploy-tomcat-findleaks.txt</x:v>
      </x:c>
    </x:row>
    <x:row r="1303">
      <x:c r="A1303" s="34" t="str">
        <x:v>article1-unified-v4-2-fb3f101b-20260903-000401-default-f06-p2-caffeine</x:v>
      </x:c>
      <x:c r="B1303" s="34" t="str">
        <x:v>default</x:v>
      </x:c>
      <x:c r="C1303" s="34" t="str">
        <x:v>caffeine</x:v>
      </x:c>
      <x:c r="D1303" s="34" t="str">
        <x:v>caffeine</x:v>
      </x:c>
      <x:c r="E1303" s="36" t="n">
        <x:v>6</x:v>
      </x:c>
      <x:c r="F1303" s="36" t="n">
        <x:v>6</x:v>
      </x:c>
      <x:c r="G1303" s="36" t="n">
        <x:v>2</x:v>
      </x:c>
      <x:c r="H1303" s="36" t="n">
        <x:v>4</x:v>
      </x:c>
      <x:c r="I1303" s="34" t="str">
        <x:v>redeployedLoaded</x:v>
      </x:c>
      <x:c r="J1303" s="34" t="str">
        <x:v>redeployed-loaded</x:v>
      </x:c>
      <x:c r="K1303" s="36" t="n">
        <x:v>0</x:v>
      </x:c>
      <x:c r="L1303" s="34" t="str">
        <x:v>redeploy</x:v>
      </x:c>
      <x:c r="M1303" s="34" t="str">
        <x:v>article1-unified-v4-2-fb3f101b-20260903-000401-default-f06-p2-caffeine-4-redeployed-loaded</x:v>
      </x:c>
      <x:c r="N1303" s="38" t="n">
        <x:v>46268.10139480324</x:v>
      </x:c>
      <x:c r="O1303" s="36" t="n">
        <x:v>0</x:v>
      </x:c>
      <x:c r="P1303" s="43" t="n">
        <x:v>207158272</x:v>
      </x:c>
      <x:c r="Q1303" s="43" t="n">
        <x:v>268435456</x:v>
      </x:c>
      <x:c r="R1303" s="43" t="n">
        <x:v>447696896</x:v>
      </x:c>
      <x:c r="S1303" s="36" t="n">
        <x:v>3</x:v>
      </x:c>
      <x:c r="T1303" s="44" t="str">
        <x:v>0x000000000c1177b8  0x000000000c003818  0x00007ad2c86048c0       0         0         0  org.apache.catalina.loader.ParallelWebappClassLoader | 0x000000000c1177b8  0x000000000c003818  0x00007ad22806f060    4384  21116928  21104136  org.apache.catalina.loader.ParallelWebappClassLoader | 0x000000000c1177b8  0x000000000c003818  0x00007ad1f042f000    4396  21157888  21153664  org.apache.catalina.loader.ParallelWebappClassLoader</x:v>
      </x:c>
      <x:c r="U1303" s="36" t="n">
        <x:v>30</x:v>
      </x:c>
      <x:c r="V1303" s="36" t="n">
        <x:v>0</x:v>
      </x:c>
      <x:c r="W1303" s="44"/>
      <x:c r="X1303" s="36"/>
      <x:c r="Y1303" s="36"/>
      <x:c r="Z1303" s="44"/>
      <x:c r="AA1303" s="49"/>
      <x:c r="AB1303" s="43"/>
      <x:c r="AC1303" s="34"/>
      <x:c r="AD1303" s="34"/>
      <x:c r="AE1303" s="34"/>
      <x:c r="AF1303" s="34"/>
      <x:c r="AG1303" s="34"/>
      <x:c r="AH1303" s="34"/>
      <x:c r="AI1303" s="34"/>
    </x:row>
    <x:row r="1304">
      <x:c r="A1304" s="34" t="str">
        <x:v>article1-unified-v4-2-fb3f101b-20260903-000401-default-f06-p2-caffeine</x:v>
      </x:c>
      <x:c r="B1304" s="34" t="str">
        <x:v>default</x:v>
      </x:c>
      <x:c r="C1304" s="34" t="str">
        <x:v>caffeine</x:v>
      </x:c>
      <x:c r="D1304" s="34" t="str">
        <x:v>caffeine</x:v>
      </x:c>
      <x:c r="E1304" s="36" t="n">
        <x:v>6</x:v>
      </x:c>
      <x:c r="F1304" s="36" t="n">
        <x:v>6</x:v>
      </x:c>
      <x:c r="G1304" s="36" t="n">
        <x:v>2</x:v>
      </x:c>
      <x:c r="H1304" s="36" t="n">
        <x:v>4</x:v>
      </x:c>
      <x:c r="I1304" s="34" t="str">
        <x:v>afterFinalUndeployEarly</x:v>
      </x:c>
      <x:c r="J1304" s="34" t="str">
        <x:v>after-final-undeploy-early</x:v>
      </x:c>
      <x:c r="K1304" s="36" t="n">
        <x:v>2</x:v>
      </x:c>
      <x:c r="L1304" s="34" t="str">
        <x:v>early</x:v>
      </x:c>
      <x:c r="M1304" s="34" t="str">
        <x:v>article1-unified-v4-2-fb3f101b-20260903-000401-default-f06-p2-caffeine-4-after-final-undeploy-early-2s</x:v>
      </x:c>
      <x:c r="N1304" s="38" t="n">
        <x:v>46268.10147814815</x:v>
      </x:c>
      <x:c r="O1304" s="36"/>
      <x:c r="P1304" s="43"/>
      <x:c r="Q1304" s="43"/>
      <x:c r="R1304" s="43"/>
      <x:c r="S1304" s="36"/>
      <x:c r="T1304" s="44"/>
      <x:c r="U1304" s="36" t="n">
        <x:v>31</x:v>
      </x:c>
      <x:c r="V1304" s="36" t="n">
        <x:v>0</x:v>
      </x:c>
      <x:c r="W1304" s="44"/>
      <x:c r="X1304" s="36"/>
      <x:c r="Y1304" s="36"/>
      <x:c r="Z1304" s="44"/>
      <x:c r="AA1304" s="49"/>
      <x:c r="AB1304" s="43" t="n">
        <x:v>1</x:v>
      </x:c>
      <x:c r="AC1304" s="34"/>
      <x:c r="AD1304" s="34"/>
      <x:c r="AE1304" s="34" t="str">
        <x:v>article1-unified-v4-2-fb3f101b-20260903-000401-default-f06-p2-caffeine-4-after-final-undeploy-early-2s-thread-dump.txt</x:v>
      </x:c>
      <x:c r="AF1304" s="34" t="str">
        <x:v>article1-unified-v4-2-fb3f101b-20260903-000401-default-f06-p2-caffeine-4-after-final-undeploy-early-tomcat-log.txt</x:v>
      </x:c>
      <x:c r="AG1304" s="34"/>
      <x:c r="AH1304" s="34"/>
      <x:c r="AI1304" s="34"/>
    </x:row>
    <x:row r="1305">
      <x:c r="A1305" s="34" t="str">
        <x:v>article1-unified-v4-2-fb3f101b-20260903-000401-default-f06-p2-caffeine</x:v>
      </x:c>
      <x:c r="B1305" s="34" t="str">
        <x:v>default</x:v>
      </x:c>
      <x:c r="C1305" s="34" t="str">
        <x:v>caffeine</x:v>
      </x:c>
      <x:c r="D1305" s="34" t="str">
        <x:v>caffeine</x:v>
      </x:c>
      <x:c r="E1305" s="36" t="n">
        <x:v>6</x:v>
      </x:c>
      <x:c r="F1305" s="36" t="n">
        <x:v>6</x:v>
      </x:c>
      <x:c r="G1305" s="36" t="n">
        <x:v>2</x:v>
      </x:c>
      <x:c r="H1305" s="36" t="n">
        <x:v>4</x:v>
      </x:c>
      <x:c r="I1305" s="34" t="str">
        <x:v>afterFinalUndeploy</x:v>
      </x:c>
      <x:c r="J1305" s="34" t="str">
        <x:v>after-final-undeploy-final</x:v>
      </x:c>
      <x:c r="K1305" s="36" t="n">
        <x:v>2</x:v>
      </x:c>
      <x:c r="L1305" s="34" t="str">
        <x:v>final</x:v>
      </x:c>
      <x:c r="M1305" s="34" t="str">
        <x:v>article1-unified-v4-2-fb3f101b-20260903-000401-default-f06-p2-caffeine-4-after-final-undeploy-final-10s</x:v>
      </x:c>
      <x:c r="N1305" s="38" t="n">
        <x:v>46268.10163716435</x:v>
      </x:c>
      <x:c r="O1305" s="36" t="n">
        <x:v>2</x:v>
      </x:c>
      <x:c r="P1305" s="43" t="n">
        <x:v>15627264</x:v>
      </x:c>
      <x:c r="Q1305" s="43" t="n">
        <x:v>268435456</x:v>
      </x:c>
      <x:c r="R1305" s="43" t="n">
        <x:v>428985344</x:v>
      </x:c>
      <x:c r="S1305" s="36" t="n">
        <x:v>2</x:v>
      </x:c>
      <x:c r="T1305" s="44" t="str">
        <x:v>0x000000000c1177b8  0x000000000c003818  0x00007ad2c86048c0       0         0         0  org.apache.catalina.loader.ParallelWebappClassLoader | 0x000000000c1177b8  0x000000000c003818  0x00007ad22806f060    4392  21133312  21128944  org.apache.catalina.loader.ParallelWebappClassLoader</x:v>
      </x:c>
      <x:c r="U1305" s="36" t="n">
        <x:v>30</x:v>
      </x:c>
      <x:c r="V1305" s="36" t="n">
        <x:v>0</x:v>
      </x:c>
      <x:c r="W1305" s="44"/>
      <x:c r="X1305" s="36" t="n">
        <x:v>1</x:v>
      </x:c>
      <x:c r="Y1305" s="36" t="n">
        <x:v>1</x:v>
      </x:c>
      <x:c r="Z1305" s="44" t="str">
        <x:v>/caffeine</x:v>
      </x:c>
      <x:c r="AA1305" s="45" t="b">
        <x:v>1</x:v>
      </x:c>
      <x:c r="AB1305" s="43"/>
      <x:c r="AC1305" s="34" t="str">
        <x:v>article1-unified-v4-2-fb3f101b-20260903-000401-default-f06-p2-caffeine-4-after-final-undeploy-final-10s-heap-info.txt</x:v>
      </x:c>
      <x:c r="AD1305" s="34" t="str">
        <x:v>article1-unified-v4-2-fb3f101b-20260903-000401-default-f06-p2-caffeine-4-after-final-undeploy-final-10s-classloader-stats.txt</x:v>
      </x:c>
      <x:c r="AE1305" s="34" t="str">
        <x:v>article1-unified-v4-2-fb3f101b-20260903-000401-default-f06-p2-caffeine-4-after-final-undeploy-final-10s-thread-dump.txt</x:v>
      </x:c>
      <x:c r="AF1305" s="34"/>
      <x:c r="AG1305" s="34" t="str">
        <x:v>article1-unified-v4-2-fb3f101b-20260903-000401-default-f06-p2-caffeine-4-after-final-undeploy-final-10s-native-memory.txt</x:v>
      </x:c>
      <x:c r="AH1305" s="34" t="str">
        <x:v>article1-unified-v4-2-fb3f101b-20260903-000401-default-f06-p2-caffeine-4-after-final-undeploy-final-10s-class-histogram.txt</x:v>
      </x:c>
      <x:c r="AI1305" s="34" t="str">
        <x:v>article1-unified-v4-2-fb3f101b-20260903-000401-default-f06-p2-caffeine-4-after-final-undeploy-tomcat-findleaks.txt</x:v>
      </x:c>
    </x:row>
    <x:row r="1306">
      <x:c r="A1306" s="34" t="str">
        <x:v>article1-unified-v4-2-fb3f101b-20260903-000401-default-f06-p2-caffeine</x:v>
      </x:c>
      <x:c r="B1306" s="34" t="str">
        <x:v>default</x:v>
      </x:c>
      <x:c r="C1306" s="34" t="str">
        <x:v>caffeine</x:v>
      </x:c>
      <x:c r="D1306" s="34" t="str">
        <x:v>caffeine</x:v>
      </x:c>
      <x:c r="E1306" s="36" t="n">
        <x:v>6</x:v>
      </x:c>
      <x:c r="F1306" s="36" t="n">
        <x:v>6</x:v>
      </x:c>
      <x:c r="G1306" s="36" t="n">
        <x:v>2</x:v>
      </x:c>
      <x:c r="H1306" s="36" t="n">
        <x:v>5</x:v>
      </x:c>
      <x:c r="I1306" s="34" t="str">
        <x:v>baseline</x:v>
      </x:c>
      <x:c r="J1306" s="34" t="str">
        <x:v>cycle-baseline</x:v>
      </x:c>
      <x:c r="K1306" s="36" t="n">
        <x:v>0</x:v>
      </x:c>
      <x:c r="L1306" s="34" t="str">
        <x:v>baseline</x:v>
      </x:c>
      <x:c r="M1306" s="34" t="str">
        <x:v>article1-unified-v4-2-fb3f101b-20260903-000401-default-f06-p2-caffeine-5-baseline</x:v>
      </x:c>
      <x:c r="N1306" s="38" t="n">
        <x:v>46268.10168262731</x:v>
      </x:c>
      <x:c r="O1306" s="36" t="n">
        <x:v>0</x:v>
      </x:c>
      <x:c r="P1306" s="43" t="n">
        <x:v>15633408</x:v>
      </x:c>
      <x:c r="Q1306" s="43" t="n">
        <x:v>268435456</x:v>
      </x:c>
      <x:c r="R1306" s="43" t="n">
        <x:v>428721152</x:v>
      </x:c>
      <x:c r="S1306" s="36" t="n">
        <x:v>2</x:v>
      </x:c>
      <x:c r="T1306" s="44" t="str">
        <x:v>0x000000000c1177b8  0x000000000c003818  0x00007ad2c86048c0       0         0         0  org.apache.catalina.loader.ParallelWebappClassLoader | 0x000000000c1177b8  0x000000000c003818  0x00007ad22806f060    4392  21133312  21128944  org.apache.catalina.loader.ParallelWebappClassLoader</x:v>
      </x:c>
      <x:c r="U1306" s="36" t="n">
        <x:v>30</x:v>
      </x:c>
      <x:c r="V1306" s="36" t="n">
        <x:v>0</x:v>
      </x:c>
      <x:c r="W1306" s="44"/>
      <x:c r="X1306" s="36"/>
      <x:c r="Y1306" s="36"/>
      <x:c r="Z1306" s="44"/>
      <x:c r="AA1306" s="49"/>
      <x:c r="AB1306" s="43"/>
      <x:c r="AC1306" s="34" t="str">
        <x:v>article1-unified-v4-2-fb3f101b-20260903-000401-default-f06-p2-caffeine-5-baseline-heap-info.txt</x:v>
      </x:c>
      <x:c r="AD1306" s="34" t="str">
        <x:v>article1-unified-v4-2-fb3f101b-20260903-000401-default-f06-p2-caffeine-5-baseline-classloader-stats.txt</x:v>
      </x:c>
      <x:c r="AE1306" s="34" t="str">
        <x:v>article1-unified-v4-2-fb3f101b-20260903-000401-default-f06-p2-caffeine-5-baseline-thread-dump.txt</x:v>
      </x:c>
      <x:c r="AF1306" s="34"/>
      <x:c r="AG1306" s="34" t="str">
        <x:v>article1-unified-v4-2-fb3f101b-20260903-000401-default-f06-p2-caffeine-5-baseline-native-memory.txt</x:v>
      </x:c>
      <x:c r="AH1306" s="34"/>
      <x:c r="AI1306" s="34"/>
    </x:row>
    <x:row r="1307">
      <x:c r="A1307" s="34" t="str">
        <x:v>article1-unified-v4-2-fb3f101b-20260903-000401-default-f06-p2-caffeine</x:v>
      </x:c>
      <x:c r="B1307" s="34" t="str">
        <x:v>default</x:v>
      </x:c>
      <x:c r="C1307" s="34" t="str">
        <x:v>caffeine</x:v>
      </x:c>
      <x:c r="D1307" s="34" t="str">
        <x:v>caffeine</x:v>
      </x:c>
      <x:c r="E1307" s="36" t="n">
        <x:v>6</x:v>
      </x:c>
      <x:c r="F1307" s="36" t="n">
        <x:v>6</x:v>
      </x:c>
      <x:c r="G1307" s="36" t="n">
        <x:v>2</x:v>
      </x:c>
      <x:c r="H1307" s="36" t="n">
        <x:v>5</x:v>
      </x:c>
      <x:c r="I1307" s="34" t="str">
        <x:v>deployedIdle</x:v>
      </x:c>
      <x:c r="J1307" s="34" t="str">
        <x:v>deployed-idle</x:v>
      </x:c>
      <x:c r="K1307" s="36" t="n">
        <x:v>0</x:v>
      </x:c>
      <x:c r="L1307" s="34" t="str">
        <x:v>initial</x:v>
      </x:c>
      <x:c r="M1307" s="34" t="str">
        <x:v>article1-unified-v4-2-fb3f101b-20260903-000401-default-f06-p2-caffeine-5-deployed-idle</x:v>
      </x:c>
      <x:c r="N1307" s="38" t="n">
        <x:v>46268.1017808912</x:v>
      </x:c>
      <x:c r="O1307" s="36" t="n">
        <x:v>0</x:v>
      </x:c>
      <x:c r="P1307" s="43" t="n">
        <x:v>166864896</x:v>
      </x:c>
      <x:c r="Q1307" s="43" t="n">
        <x:v>268435456</x:v>
      </x:c>
      <x:c r="R1307" s="43" t="n">
        <x:v>443721728</x:v>
      </x:c>
      <x:c r="S1307" s="36" t="n">
        <x:v>3</x:v>
      </x:c>
      <x:c r="T1307" s="44" t="str">
        <x:v>0x000000000c1177b8  0x000000000c003818  0x00007ad2c86048c0       0         0         0  org.apache.catalina.loader.ParallelWebappClassLoader | 0x000000000c1177b8  0x000000000c003818  0x00007ad24449d830    4091  19442688  19419408  org.apache.catalina.loader.ParallelWebappClassLoader | 0x000000000c1177b8  0x000000000c003818  0x00007ad22806f060    4392  21133312  21128944  org.apache.catalina.loader.ParallelWebappClassLoader</x:v>
      </x:c>
      <x:c r="U1307" s="36" t="n">
        <x:v>30</x:v>
      </x:c>
      <x:c r="V1307" s="36" t="n">
        <x:v>0</x:v>
      </x:c>
      <x:c r="W1307" s="44"/>
      <x:c r="X1307" s="36"/>
      <x:c r="Y1307" s="36"/>
      <x:c r="Z1307" s="44"/>
      <x:c r="AA1307" s="49"/>
      <x:c r="AB1307" s="43"/>
      <x:c r="AC1307" s="34"/>
      <x:c r="AD1307" s="34"/>
      <x:c r="AE1307" s="34"/>
      <x:c r="AF1307" s="34"/>
      <x:c r="AG1307" s="34"/>
      <x:c r="AH1307" s="34"/>
      <x:c r="AI1307" s="34"/>
    </x:row>
    <x:row r="1308">
      <x:c r="A1308" s="34" t="str">
        <x:v>article1-unified-v4-2-fb3f101b-20260903-000401-default-f06-p2-caffeine</x:v>
      </x:c>
      <x:c r="B1308" s="34" t="str">
        <x:v>default</x:v>
      </x:c>
      <x:c r="C1308" s="34" t="str">
        <x:v>caffeine</x:v>
      </x:c>
      <x:c r="D1308" s="34" t="str">
        <x:v>caffeine</x:v>
      </x:c>
      <x:c r="E1308" s="36" t="n">
        <x:v>6</x:v>
      </x:c>
      <x:c r="F1308" s="36" t="n">
        <x:v>6</x:v>
      </x:c>
      <x:c r="G1308" s="36" t="n">
        <x:v>2</x:v>
      </x:c>
      <x:c r="H1308" s="36" t="n">
        <x:v>5</x:v>
      </x:c>
      <x:c r="I1308" s="34" t="str">
        <x:v>loaded</x:v>
      </x:c>
      <x:c r="J1308" s="34" t="str">
        <x:v>loaded</x:v>
      </x:c>
      <x:c r="K1308" s="36" t="n">
        <x:v>0</x:v>
      </x:c>
      <x:c r="L1308" s="34" t="str">
        <x:v>initial</x:v>
      </x:c>
      <x:c r="M1308" s="34" t="str">
        <x:v>article1-unified-v4-2-fb3f101b-20260903-000401-default-f06-p2-caffeine-5-loaded</x:v>
      </x:c>
      <x:c r="N1308" s="38" t="n">
        <x:v>46268.101935949075</x:v>
      </x:c>
      <x:c r="O1308" s="36" t="n">
        <x:v>0</x:v>
      </x:c>
      <x:c r="P1308" s="43" t="n">
        <x:v>201236480</x:v>
      </x:c>
      <x:c r="Q1308" s="43" t="n">
        <x:v>268435456</x:v>
      </x:c>
      <x:c r="R1308" s="43" t="n">
        <x:v>446401536</x:v>
      </x:c>
      <x:c r="S1308" s="36" t="n">
        <x:v>3</x:v>
      </x:c>
      <x:c r="T1308" s="44" t="str">
        <x:v>0x000000000c1177b8  0x000000000c003818  0x00007ad2c86048c0       0         0         0  org.apache.catalina.loader.ParallelWebappClassLoader | 0x000000000c1177b8  0x000000000c003818  0x00007ad24449d830    4386  21130240  21119016  org.apache.catalina.loader.ParallelWebappClassLoader | 0x000000000c1177b8  0x000000000c003818  0x00007ad22806f060    4392  21133312  21128944  org.apache.catalina.loader.ParallelWebappClassLoader</x:v>
      </x:c>
      <x:c r="U1308" s="36" t="n">
        <x:v>30</x:v>
      </x:c>
      <x:c r="V1308" s="36" t="n">
        <x:v>0</x:v>
      </x:c>
      <x:c r="W1308" s="44"/>
      <x:c r="X1308" s="36"/>
      <x:c r="Y1308" s="36"/>
      <x:c r="Z1308" s="44"/>
      <x:c r="AA1308" s="49"/>
      <x:c r="AB1308" s="43"/>
      <x:c r="AC1308" s="34"/>
      <x:c r="AD1308" s="34"/>
      <x:c r="AE1308" s="34"/>
      <x:c r="AF1308" s="34"/>
      <x:c r="AG1308" s="34"/>
      <x:c r="AH1308" s="34"/>
      <x:c r="AI1308" s="34"/>
    </x:row>
    <x:row r="1309">
      <x:c r="A1309" s="34" t="str">
        <x:v>article1-unified-v4-2-fb3f101b-20260903-000401-default-f06-p2-caffeine</x:v>
      </x:c>
      <x:c r="B1309" s="34" t="str">
        <x:v>default</x:v>
      </x:c>
      <x:c r="C1309" s="34" t="str">
        <x:v>caffeine</x:v>
      </x:c>
      <x:c r="D1309" s="34" t="str">
        <x:v>caffeine</x:v>
      </x:c>
      <x:c r="E1309" s="36" t="n">
        <x:v>6</x:v>
      </x:c>
      <x:c r="F1309" s="36" t="n">
        <x:v>6</x:v>
      </x:c>
      <x:c r="G1309" s="36" t="n">
        <x:v>2</x:v>
      </x:c>
      <x:c r="H1309" s="36" t="n">
        <x:v>5</x:v>
      </x:c>
      <x:c r="I1309" s="34" t="str">
        <x:v>afterUndeployEarly</x:v>
      </x:c>
      <x:c r="J1309" s="34" t="str">
        <x:v>after-undeploy-early</x:v>
      </x:c>
      <x:c r="K1309" s="36" t="n">
        <x:v>1</x:v>
      </x:c>
      <x:c r="L1309" s="34" t="str">
        <x:v>early</x:v>
      </x:c>
      <x:c r="M1309" s="34" t="str">
        <x:v>article1-unified-v4-2-fb3f101b-20260903-000401-default-f06-p2-caffeine-5-after-undeploy-early-2s</x:v>
      </x:c>
      <x:c r="N1309" s="38" t="n">
        <x:v>46268.102022430554</x:v>
      </x:c>
      <x:c r="O1309" s="36"/>
      <x:c r="P1309" s="43"/>
      <x:c r="Q1309" s="43"/>
      <x:c r="R1309" s="43"/>
      <x:c r="S1309" s="36"/>
      <x:c r="T1309" s="44"/>
      <x:c r="U1309" s="36" t="n">
        <x:v>30</x:v>
      </x:c>
      <x:c r="V1309" s="36" t="n">
        <x:v>0</x:v>
      </x:c>
      <x:c r="W1309" s="44"/>
      <x:c r="X1309" s="36"/>
      <x:c r="Y1309" s="36"/>
      <x:c r="Z1309" s="44"/>
      <x:c r="AA1309" s="49"/>
      <x:c r="AB1309" s="43" t="n">
        <x:v>1</x:v>
      </x:c>
      <x:c r="AC1309" s="34"/>
      <x:c r="AD1309" s="34"/>
      <x:c r="AE1309" s="34" t="str">
        <x:v>article1-unified-v4-2-fb3f101b-20260903-000401-default-f06-p2-caffeine-5-after-undeploy-early-2s-thread-dump.txt</x:v>
      </x:c>
      <x:c r="AF1309" s="34" t="str">
        <x:v>article1-unified-v4-2-fb3f101b-20260903-000401-default-f06-p2-caffeine-5-after-undeploy-early-tomcat-log.txt</x:v>
      </x:c>
      <x:c r="AG1309" s="34"/>
      <x:c r="AH1309" s="34"/>
      <x:c r="AI1309" s="34"/>
    </x:row>
    <x:row r="1310">
      <x:c r="A1310" s="34" t="str">
        <x:v>article1-unified-v4-2-fb3f101b-20260903-000401-default-f06-p2-caffeine</x:v>
      </x:c>
      <x:c r="B1310" s="34" t="str">
        <x:v>default</x:v>
      </x:c>
      <x:c r="C1310" s="34" t="str">
        <x:v>caffeine</x:v>
      </x:c>
      <x:c r="D1310" s="34" t="str">
        <x:v>caffeine</x:v>
      </x:c>
      <x:c r="E1310" s="36" t="n">
        <x:v>6</x:v>
      </x:c>
      <x:c r="F1310" s="36" t="n">
        <x:v>6</x:v>
      </x:c>
      <x:c r="G1310" s="36" t="n">
        <x:v>2</x:v>
      </x:c>
      <x:c r="H1310" s="36" t="n">
        <x:v>5</x:v>
      </x:c>
      <x:c r="I1310" s="34" t="str">
        <x:v>afterUndeploy</x:v>
      </x:c>
      <x:c r="J1310" s="34" t="str">
        <x:v>after-undeploy-final</x:v>
      </x:c>
      <x:c r="K1310" s="36" t="n">
        <x:v>1</x:v>
      </x:c>
      <x:c r="L1310" s="34" t="str">
        <x:v>final</x:v>
      </x:c>
      <x:c r="M1310" s="34" t="str">
        <x:v>article1-unified-v4-2-fb3f101b-20260903-000401-default-f06-p2-caffeine-5-after-undeploy-final-10s</x:v>
      </x:c>
      <x:c r="N1310" s="38" t="n">
        <x:v>46268.1021875</x:v>
      </x:c>
      <x:c r="O1310" s="36" t="n">
        <x:v>2</x:v>
      </x:c>
      <x:c r="P1310" s="43" t="n">
        <x:v>15655936</x:v>
      </x:c>
      <x:c r="Q1310" s="43" t="n">
        <x:v>268435456</x:v>
      </x:c>
      <x:c r="R1310" s="43" t="n">
        <x:v>425671680</x:v>
      </x:c>
      <x:c r="S1310" s="36" t="n">
        <x:v>2</x:v>
      </x:c>
      <x:c r="T1310" s="44" t="str">
        <x:v>0x000000000c1177b8  0x000000000c003818  0x00007ad2c86048c0       0         0         0  org.apache.catalina.loader.ParallelWebappClassLoader | 0x000000000c1177b8  0x000000000c003818  0x00007ad24449d830    4394  21146624  21143696  org.apache.catalina.loader.ParallelWebappClassLoader</x:v>
      </x:c>
      <x:c r="U1310" s="36" t="n">
        <x:v>30</x:v>
      </x:c>
      <x:c r="V1310" s="36" t="n">
        <x:v>0</x:v>
      </x:c>
      <x:c r="W1310" s="44"/>
      <x:c r="X1310" s="36" t="n">
        <x:v>1</x:v>
      </x:c>
      <x:c r="Y1310" s="36" t="n">
        <x:v>1</x:v>
      </x:c>
      <x:c r="Z1310" s="44" t="str">
        <x:v>/caffeine</x:v>
      </x:c>
      <x:c r="AA1310" s="45" t="b">
        <x:v>1</x:v>
      </x:c>
      <x:c r="AB1310" s="43"/>
      <x:c r="AC1310" s="34" t="str">
        <x:v>article1-unified-v4-2-fb3f101b-20260903-000401-default-f06-p2-caffeine-5-after-undeploy-final-10s-heap-info.txt</x:v>
      </x:c>
      <x:c r="AD1310" s="34" t="str">
        <x:v>article1-unified-v4-2-fb3f101b-20260903-000401-default-f06-p2-caffeine-5-after-undeploy-final-10s-classloader-stats.txt</x:v>
      </x:c>
      <x:c r="AE1310" s="34" t="str">
        <x:v>article1-unified-v4-2-fb3f101b-20260903-000401-default-f06-p2-caffeine-5-after-undeploy-final-10s-thread-dump.txt</x:v>
      </x:c>
      <x:c r="AF1310" s="34"/>
      <x:c r="AG1310" s="34" t="str">
        <x:v>article1-unified-v4-2-fb3f101b-20260903-000401-default-f06-p2-caffeine-5-after-undeploy-final-10s-native-memory.txt</x:v>
      </x:c>
      <x:c r="AH1310" s="34" t="str">
        <x:v>article1-unified-v4-2-fb3f101b-20260903-000401-default-f06-p2-caffeine-5-after-undeploy-final-10s-class-histogram.txt</x:v>
      </x:c>
      <x:c r="AI1310" s="34" t="str">
        <x:v>article1-unified-v4-2-fb3f101b-20260903-000401-default-f06-p2-caffeine-5-after-undeploy-tomcat-findleaks.txt</x:v>
      </x:c>
    </x:row>
    <x:row r="1311">
      <x:c r="A1311" s="34" t="str">
        <x:v>article1-unified-v4-2-fb3f101b-20260903-000401-default-f06-p2-caffeine</x:v>
      </x:c>
      <x:c r="B1311" s="34" t="str">
        <x:v>default</x:v>
      </x:c>
      <x:c r="C1311" s="34" t="str">
        <x:v>caffeine</x:v>
      </x:c>
      <x:c r="D1311" s="34" t="str">
        <x:v>caffeine</x:v>
      </x:c>
      <x:c r="E1311" s="36" t="n">
        <x:v>6</x:v>
      </x:c>
      <x:c r="F1311" s="36" t="n">
        <x:v>6</x:v>
      </x:c>
      <x:c r="G1311" s="36" t="n">
        <x:v>2</x:v>
      </x:c>
      <x:c r="H1311" s="36" t="n">
        <x:v>5</x:v>
      </x:c>
      <x:c r="I1311" s="34" t="str">
        <x:v>redeployedLoaded</x:v>
      </x:c>
      <x:c r="J1311" s="34" t="str">
        <x:v>redeployed-loaded</x:v>
      </x:c>
      <x:c r="K1311" s="36" t="n">
        <x:v>0</x:v>
      </x:c>
      <x:c r="L1311" s="34" t="str">
        <x:v>redeploy</x:v>
      </x:c>
      <x:c r="M1311" s="34" t="str">
        <x:v>article1-unified-v4-2-fb3f101b-20260903-000401-default-f06-p2-caffeine-5-redeployed-loaded</x:v>
      </x:c>
      <x:c r="N1311" s="38" t="n">
        <x:v>46268.10245322916</x:v>
      </x:c>
      <x:c r="O1311" s="36" t="n">
        <x:v>0</x:v>
      </x:c>
      <x:c r="P1311" s="43" t="n">
        <x:v>206357504</x:v>
      </x:c>
      <x:c r="Q1311" s="43" t="n">
        <x:v>268435456</x:v>
      </x:c>
      <x:c r="R1311" s="43" t="n">
        <x:v>447454208</x:v>
      </x:c>
      <x:c r="S1311" s="36" t="n">
        <x:v>3</x:v>
      </x:c>
      <x:c r="T1311" s="44" t="str">
        <x:v>0x000000000c1177b8  0x000000000c003818  0x00007ad2c86048c0       0         0         0  org.apache.catalina.loader.ParallelWebappClassLoader | 0x000000000c1177b8  0x000000000c003818  0x00007ad2384ef010    4388  21153792  21130344  org.apache.catalina.loader.ParallelWebappClassLoader | 0x000000000c1177b8  0x000000000c003818  0x00007ad24449d830    4394  21146624  21143696  org.apache.catalina.loader.ParallelWebappClassLoader</x:v>
      </x:c>
      <x:c r="U1311" s="36" t="n">
        <x:v>30</x:v>
      </x:c>
      <x:c r="V1311" s="36" t="n">
        <x:v>0</x:v>
      </x:c>
      <x:c r="W1311" s="44"/>
      <x:c r="X1311" s="36"/>
      <x:c r="Y1311" s="36"/>
      <x:c r="Z1311" s="44"/>
      <x:c r="AA1311" s="49"/>
      <x:c r="AB1311" s="43"/>
      <x:c r="AC1311" s="34"/>
      <x:c r="AD1311" s="34"/>
      <x:c r="AE1311" s="34"/>
      <x:c r="AF1311" s="34"/>
      <x:c r="AG1311" s="34"/>
      <x:c r="AH1311" s="34"/>
      <x:c r="AI1311" s="34"/>
    </x:row>
    <x:row r="1312">
      <x:c r="A1312" s="34" t="str">
        <x:v>article1-unified-v4-2-fb3f101b-20260903-000401-default-f06-p2-caffeine</x:v>
      </x:c>
      <x:c r="B1312" s="34" t="str">
        <x:v>default</x:v>
      </x:c>
      <x:c r="C1312" s="34" t="str">
        <x:v>caffeine</x:v>
      </x:c>
      <x:c r="D1312" s="34" t="str">
        <x:v>caffeine</x:v>
      </x:c>
      <x:c r="E1312" s="36" t="n">
        <x:v>6</x:v>
      </x:c>
      <x:c r="F1312" s="36" t="n">
        <x:v>6</x:v>
      </x:c>
      <x:c r="G1312" s="36" t="n">
        <x:v>2</x:v>
      </x:c>
      <x:c r="H1312" s="36" t="n">
        <x:v>5</x:v>
      </x:c>
      <x:c r="I1312" s="34" t="str">
        <x:v>afterFinalUndeployEarly</x:v>
      </x:c>
      <x:c r="J1312" s="34" t="str">
        <x:v>after-final-undeploy-early</x:v>
      </x:c>
      <x:c r="K1312" s="36" t="n">
        <x:v>2</x:v>
      </x:c>
      <x:c r="L1312" s="34" t="str">
        <x:v>early</x:v>
      </x:c>
      <x:c r="M1312" s="34" t="str">
        <x:v>article1-unified-v4-2-fb3f101b-20260903-000401-default-f06-p2-caffeine-5-after-final-undeploy-early-2s</x:v>
      </x:c>
      <x:c r="N1312" s="38" t="n">
        <x:v>46268.102537928244</x:v>
      </x:c>
      <x:c r="O1312" s="36"/>
      <x:c r="P1312" s="43"/>
      <x:c r="Q1312" s="43"/>
      <x:c r="R1312" s="43"/>
      <x:c r="S1312" s="36"/>
      <x:c r="T1312" s="44"/>
      <x:c r="U1312" s="36" t="n">
        <x:v>30</x:v>
      </x:c>
      <x:c r="V1312" s="36" t="n">
        <x:v>0</x:v>
      </x:c>
      <x:c r="W1312" s="44"/>
      <x:c r="X1312" s="36"/>
      <x:c r="Y1312" s="36"/>
      <x:c r="Z1312" s="44"/>
      <x:c r="AA1312" s="49"/>
      <x:c r="AB1312" s="43" t="n">
        <x:v>1</x:v>
      </x:c>
      <x:c r="AC1312" s="34"/>
      <x:c r="AD1312" s="34"/>
      <x:c r="AE1312" s="34" t="str">
        <x:v>article1-unified-v4-2-fb3f101b-20260903-000401-default-f06-p2-caffeine-5-after-final-undeploy-early-2s-thread-dump.txt</x:v>
      </x:c>
      <x:c r="AF1312" s="34" t="str">
        <x:v>article1-unified-v4-2-fb3f101b-20260903-000401-default-f06-p2-caffeine-5-after-final-undeploy-early-tomcat-log.txt</x:v>
      </x:c>
      <x:c r="AG1312" s="34"/>
      <x:c r="AH1312" s="34"/>
      <x:c r="AI1312" s="34"/>
    </x:row>
    <x:row r="1313">
      <x:c r="A1313" s="34" t="str">
        <x:v>article1-unified-v4-2-fb3f101b-20260903-000401-default-f06-p2-caffeine</x:v>
      </x:c>
      <x:c r="B1313" s="34" t="str">
        <x:v>default</x:v>
      </x:c>
      <x:c r="C1313" s="34" t="str">
        <x:v>caffeine</x:v>
      </x:c>
      <x:c r="D1313" s="34" t="str">
        <x:v>caffeine</x:v>
      </x:c>
      <x:c r="E1313" s="36" t="n">
        <x:v>6</x:v>
      </x:c>
      <x:c r="F1313" s="36" t="n">
        <x:v>6</x:v>
      </x:c>
      <x:c r="G1313" s="36" t="n">
        <x:v>2</x:v>
      </x:c>
      <x:c r="H1313" s="36" t="n">
        <x:v>5</x:v>
      </x:c>
      <x:c r="I1313" s="34" t="str">
        <x:v>afterFinalUndeploy</x:v>
      </x:c>
      <x:c r="J1313" s="34" t="str">
        <x:v>after-final-undeploy-final</x:v>
      </x:c>
      <x:c r="K1313" s="36" t="n">
        <x:v>2</x:v>
      </x:c>
      <x:c r="L1313" s="34" t="str">
        <x:v>final</x:v>
      </x:c>
      <x:c r="M1313" s="34" t="str">
        <x:v>article1-unified-v4-2-fb3f101b-20260903-000401-default-f06-p2-caffeine-5-after-final-undeploy-final-10s</x:v>
      </x:c>
      <x:c r="N1313" s="38" t="n">
        <x:v>46268.10269587963</x:v>
      </x:c>
      <x:c r="O1313" s="36" t="n">
        <x:v>2</x:v>
      </x:c>
      <x:c r="P1313" s="43" t="n">
        <x:v>15668224</x:v>
      </x:c>
      <x:c r="Q1313" s="43" t="n">
        <x:v>268435456</x:v>
      </x:c>
      <x:c r="R1313" s="43" t="n">
        <x:v>430590976</x:v>
      </x:c>
      <x:c r="S1313" s="36" t="n">
        <x:v>2</x:v>
      </x:c>
      <x:c r="T1313" s="44" t="str">
        <x:v>0x000000000c1177b8  0x000000000c003818  0x00007ad2c86048c0       0         0         0  org.apache.catalina.loader.ParallelWebappClassLoader | 0x000000000c1177b8  0x000000000c003818  0x00007ad2384ef010    4396  21170176  21154992  org.apache.catalina.loader.ParallelWebappClassLoader</x:v>
      </x:c>
      <x:c r="U1313" s="36" t="n">
        <x:v>30</x:v>
      </x:c>
      <x:c r="V1313" s="36" t="n">
        <x:v>0</x:v>
      </x:c>
      <x:c r="W1313" s="44"/>
      <x:c r="X1313" s="36" t="n">
        <x:v>1</x:v>
      </x:c>
      <x:c r="Y1313" s="36" t="n">
        <x:v>1</x:v>
      </x:c>
      <x:c r="Z1313" s="44" t="str">
        <x:v>/caffeine</x:v>
      </x:c>
      <x:c r="AA1313" s="45" t="b">
        <x:v>1</x:v>
      </x:c>
      <x:c r="AB1313" s="43"/>
      <x:c r="AC1313" s="34" t="str">
        <x:v>article1-unified-v4-2-fb3f101b-20260903-000401-default-f06-p2-caffeine-5-after-final-undeploy-final-10s-heap-info.txt</x:v>
      </x:c>
      <x:c r="AD1313" s="34" t="str">
        <x:v>article1-unified-v4-2-fb3f101b-20260903-000401-default-f06-p2-caffeine-5-after-final-undeploy-final-10s-classloader-stats.txt</x:v>
      </x:c>
      <x:c r="AE1313" s="34" t="str">
        <x:v>article1-unified-v4-2-fb3f101b-20260903-000401-default-f06-p2-caffeine-5-after-final-undeploy-final-10s-thread-dump.txt</x:v>
      </x:c>
      <x:c r="AF1313" s="34"/>
      <x:c r="AG1313" s="34" t="str">
        <x:v>article1-unified-v4-2-fb3f101b-20260903-000401-default-f06-p2-caffeine-5-after-final-undeploy-final-10s-native-memory.txt</x:v>
      </x:c>
      <x:c r="AH1313" s="34" t="str">
        <x:v>article1-unified-v4-2-fb3f101b-20260903-000401-default-f06-p2-caffeine-5-after-final-undeploy-final-10s-class-histogram.txt</x:v>
      </x:c>
      <x:c r="AI1313" s="34" t="str">
        <x:v>article1-unified-v4-2-fb3f101b-20260903-000401-default-f06-p2-caffeine-5-after-final-undeploy-tomcat-findleaks.txt</x:v>
      </x:c>
    </x:row>
    <x:row r="1314">
      <x:c r="A1314" s="34" t="str">
        <x:v>article1-unified-v4-2-fb3f101b-20260903-000401-default-f06-p3-jcs321</x:v>
      </x:c>
      <x:c r="B1314" s="34" t="str">
        <x:v>default</x:v>
      </x:c>
      <x:c r="C1314" s="34" t="str">
        <x:v>jcs321</x:v>
      </x:c>
      <x:c r="D1314" s="34" t="str">
        <x:v>jcs321</x:v>
      </x:c>
      <x:c r="E1314" s="36" t="n">
        <x:v>6</x:v>
      </x:c>
      <x:c r="F1314" s="36" t="n">
        <x:v>6</x:v>
      </x:c>
      <x:c r="G1314" s="36" t="n">
        <x:v>3</x:v>
      </x:c>
      <x:c r="H1314" s="36" t="n">
        <x:v>0</x:v>
      </x:c>
      <x:c r="I1314" s="34" t="str">
        <x:v>processBaseline</x:v>
      </x:c>
      <x:c r="J1314" s="34" t="str">
        <x:v>process-baseline</x:v>
      </x:c>
      <x:c r="K1314" s="36" t="n">
        <x:v>0</x:v>
      </x:c>
      <x:c r="L1314" s="34" t="str">
        <x:v>baseline</x:v>
      </x:c>
      <x:c r="M1314" s="34" t="str">
        <x:v>article1-unified-v4-2-fb3f101b-20260903-000401-default-f06-p3-jcs321-process-baseline</x:v>
      </x:c>
      <x:c r="N1314" s="38" t="n">
        <x:v>46268.1029359838</x:v>
      </x:c>
      <x:c r="O1314" s="36" t="n">
        <x:v>0</x:v>
      </x:c>
      <x:c r="P1314" s="43" t="n">
        <x:v>32773120</x:v>
      </x:c>
      <x:c r="Q1314" s="43" t="n">
        <x:v>270532608</x:v>
      </x:c>
      <x:c r="R1314" s="43" t="n">
        <x:v>369278976</x:v>
      </x:c>
      <x:c r="S1314" s="36" t="n">
        <x:v>1</x:v>
      </x:c>
      <x:c r="T1314" s="44" t="str">
        <x:v>0x00000000141177b8  0x0000000014003818  0x000077b03860de30       0         0         0  org.apache.catalina.loader.ParallelWebappClassLoader</x:v>
      </x:c>
      <x:c r="U1314" s="36" t="n">
        <x:v>27</x:v>
      </x:c>
      <x:c r="V1314" s="36" t="n">
        <x:v>0</x:v>
      </x:c>
      <x:c r="W1314" s="44"/>
      <x:c r="X1314" s="36"/>
      <x:c r="Y1314" s="36"/>
      <x:c r="Z1314" s="44"/>
      <x:c r="AA1314" s="49"/>
      <x:c r="AB1314" s="43"/>
      <x:c r="AC1314" s="34" t="str">
        <x:v>article1-unified-v4-2-fb3f101b-20260903-000401-default-f06-p3-jcs321-process-baseline-heap-info.txt</x:v>
      </x:c>
      <x:c r="AD1314" s="34" t="str">
        <x:v>article1-unified-v4-2-fb3f101b-20260903-000401-default-f06-p3-jcs321-process-baseline-classloader-stats.txt</x:v>
      </x:c>
      <x:c r="AE1314" s="34" t="str">
        <x:v>article1-unified-v4-2-fb3f101b-20260903-000401-default-f06-p3-jcs321-process-baseline-thread-dump.txt</x:v>
      </x:c>
      <x:c r="AF1314" s="34"/>
      <x:c r="AG1314" s="34" t="str">
        <x:v>article1-unified-v4-2-fb3f101b-20260903-000401-default-f06-p3-jcs321-process-baseline-native-memory.txt</x:v>
      </x:c>
      <x:c r="AH1314" s="34"/>
      <x:c r="AI1314" s="34"/>
    </x:row>
    <x:row r="1315">
      <x:c r="A1315" s="34" t="str">
        <x:v>article1-unified-v4-2-fb3f101b-20260903-000401-default-f06-p3-jcs321</x:v>
      </x:c>
      <x:c r="B1315" s="34" t="str">
        <x:v>default</x:v>
      </x:c>
      <x:c r="C1315" s="34" t="str">
        <x:v>jcs321</x:v>
      </x:c>
      <x:c r="D1315" s="34" t="str">
        <x:v>jcs321</x:v>
      </x:c>
      <x:c r="E1315" s="36" t="n">
        <x:v>6</x:v>
      </x:c>
      <x:c r="F1315" s="36" t="n">
        <x:v>6</x:v>
      </x:c>
      <x:c r="G1315" s="36" t="n">
        <x:v>3</x:v>
      </x:c>
      <x:c r="H1315" s="36" t="n">
        <x:v>1</x:v>
      </x:c>
      <x:c r="I1315" s="34" t="str">
        <x:v>baseline</x:v>
      </x:c>
      <x:c r="J1315" s="34" t="str">
        <x:v>cycle-baseline</x:v>
      </x:c>
      <x:c r="K1315" s="36" t="n">
        <x:v>0</x:v>
      </x:c>
      <x:c r="L1315" s="34" t="str">
        <x:v>baseline</x:v>
      </x:c>
      <x:c r="M1315" s="34" t="str">
        <x:v>article1-unified-v4-2-fb3f101b-20260903-000401-default-f06-p3-jcs321-1-baseline</x:v>
      </x:c>
      <x:c r="N1315" s="38" t="n">
        <x:v>46268.103139224535</x:v>
      </x:c>
      <x:c r="O1315" s="36" t="n">
        <x:v>0</x:v>
      </x:c>
      <x:c r="P1315" s="43" t="n">
        <x:v>33297408</x:v>
      </x:c>
      <x:c r="Q1315" s="43" t="n">
        <x:v>270532608</x:v>
      </x:c>
      <x:c r="R1315" s="43" t="n">
        <x:v>369863680</x:v>
      </x:c>
      <x:c r="S1315" s="36" t="n">
        <x:v>1</x:v>
      </x:c>
      <x:c r="T1315" s="44" t="str">
        <x:v>0x00000000141177b8  0x0000000014003818  0x000077b03860de30       0         0         0  org.apache.catalina.loader.ParallelWebappClassLoader</x:v>
      </x:c>
      <x:c r="U1315" s="36" t="n">
        <x:v>27</x:v>
      </x:c>
      <x:c r="V1315" s="36" t="n">
        <x:v>0</x:v>
      </x:c>
      <x:c r="W1315" s="44"/>
      <x:c r="X1315" s="36"/>
      <x:c r="Y1315" s="36"/>
      <x:c r="Z1315" s="44"/>
      <x:c r="AA1315" s="49"/>
      <x:c r="AB1315" s="43"/>
      <x:c r="AC1315" s="34" t="str">
        <x:v>article1-unified-v4-2-fb3f101b-20260903-000401-default-f06-p3-jcs321-1-baseline-heap-info.txt</x:v>
      </x:c>
      <x:c r="AD1315" s="34" t="str">
        <x:v>article1-unified-v4-2-fb3f101b-20260903-000401-default-f06-p3-jcs321-1-baseline-classloader-stats.txt</x:v>
      </x:c>
      <x:c r="AE1315" s="34" t="str">
        <x:v>article1-unified-v4-2-fb3f101b-20260903-000401-default-f06-p3-jcs321-1-baseline-thread-dump.txt</x:v>
      </x:c>
      <x:c r="AF1315" s="34"/>
      <x:c r="AG1315" s="34" t="str">
        <x:v>article1-unified-v4-2-fb3f101b-20260903-000401-default-f06-p3-jcs321-1-baseline-native-memory.txt</x:v>
      </x:c>
      <x:c r="AH1315" s="34"/>
      <x:c r="AI1315" s="34"/>
    </x:row>
    <x:row r="1316">
      <x:c r="A1316" s="34" t="str">
        <x:v>article1-unified-v4-2-fb3f101b-20260903-000401-default-f06-p3-jcs321</x:v>
      </x:c>
      <x:c r="B1316" s="34" t="str">
        <x:v>default</x:v>
      </x:c>
      <x:c r="C1316" s="34" t="str">
        <x:v>jcs321</x:v>
      </x:c>
      <x:c r="D1316" s="34" t="str">
        <x:v>jcs321</x:v>
      </x:c>
      <x:c r="E1316" s="36" t="n">
        <x:v>6</x:v>
      </x:c>
      <x:c r="F1316" s="36" t="n">
        <x:v>6</x:v>
      </x:c>
      <x:c r="G1316" s="36" t="n">
        <x:v>3</x:v>
      </x:c>
      <x:c r="H1316" s="36" t="n">
        <x:v>1</x:v>
      </x:c>
      <x:c r="I1316" s="34" t="str">
        <x:v>deployedIdle</x:v>
      </x:c>
      <x:c r="J1316" s="34" t="str">
        <x:v>deployed-idle</x:v>
      </x:c>
      <x:c r="K1316" s="36" t="n">
        <x:v>0</x:v>
      </x:c>
      <x:c r="L1316" s="34" t="str">
        <x:v>initial</x:v>
      </x:c>
      <x:c r="M1316" s="34" t="str">
        <x:v>article1-unified-v4-2-fb3f101b-20260903-000401-default-f06-p3-jcs321-1-deployed-idle</x:v>
      </x:c>
      <x:c r="N1316" s="38" t="n">
        <x:v>46268.10325690972</x:v>
      </x:c>
      <x:c r="O1316" s="36" t="n">
        <x:v>0</x:v>
      </x:c>
      <x:c r="P1316" s="43" t="n">
        <x:v>23385088</x:v>
      </x:c>
      <x:c r="Q1316" s="43" t="n">
        <x:v>268435456</x:v>
      </x:c>
      <x:c r="R1316" s="43" t="n">
        <x:v>426754048</x:v>
      </x:c>
      <x:c r="S1316" s="36" t="n">
        <x:v>2</x:v>
      </x:c>
      <x:c r="T1316" s="44" t="str">
        <x:v>0x00000000141177b8  0x0000000014003818  0x000077af8c042940    4091  19425280  19415576  org.apache.catalina.loader.ParallelWebappClassLoader | 0x00000000141177b8  0x0000000014003818  0x000077b03860de30       0         0         0  org.apache.catalina.loader.ParallelWebappClassLoader</x:v>
      </x:c>
      <x:c r="U1316" s="36" t="n">
        <x:v>27</x:v>
      </x:c>
      <x:c r="V1316" s="36" t="n">
        <x:v>0</x:v>
      </x:c>
      <x:c r="W1316" s="44"/>
      <x:c r="X1316" s="36"/>
      <x:c r="Y1316" s="36"/>
      <x:c r="Z1316" s="44"/>
      <x:c r="AA1316" s="49"/>
      <x:c r="AB1316" s="43"/>
      <x:c r="AC1316" s="34"/>
      <x:c r="AD1316" s="34"/>
      <x:c r="AE1316" s="34"/>
      <x:c r="AF1316" s="34"/>
      <x:c r="AG1316" s="34"/>
      <x:c r="AH1316" s="34"/>
      <x:c r="AI1316" s="34"/>
    </x:row>
    <x:row r="1317">
      <x:c r="A1317" s="34" t="str">
        <x:v>article1-unified-v4-2-fb3f101b-20260903-000401-default-f06-p3-jcs321</x:v>
      </x:c>
      <x:c r="B1317" s="34" t="str">
        <x:v>default</x:v>
      </x:c>
      <x:c r="C1317" s="34" t="str">
        <x:v>jcs321</x:v>
      </x:c>
      <x:c r="D1317" s="34" t="str">
        <x:v>jcs321</x:v>
      </x:c>
      <x:c r="E1317" s="36" t="n">
        <x:v>6</x:v>
      </x:c>
      <x:c r="F1317" s="36" t="n">
        <x:v>6</x:v>
      </x:c>
      <x:c r="G1317" s="36" t="n">
        <x:v>3</x:v>
      </x:c>
      <x:c r="H1317" s="36" t="n">
        <x:v>1</x:v>
      </x:c>
      <x:c r="I1317" s="34" t="str">
        <x:v>loaded</x:v>
      </x:c>
      <x:c r="J1317" s="34" t="str">
        <x:v>loaded</x:v>
      </x:c>
      <x:c r="K1317" s="36" t="n">
        <x:v>0</x:v>
      </x:c>
      <x:c r="L1317" s="34" t="str">
        <x:v>initial</x:v>
      </x:c>
      <x:c r="M1317" s="34" t="str">
        <x:v>article1-unified-v4-2-fb3f101b-20260903-000401-default-f06-p3-jcs321-1-loaded</x:v>
      </x:c>
      <x:c r="N1317" s="38" t="n">
        <x:v>46268.10340266204</x:v>
      </x:c>
      <x:c r="O1317" s="36" t="n">
        <x:v>0</x:v>
      </x:c>
      <x:c r="P1317" s="43" t="n">
        <x:v>137206784</x:v>
      </x:c>
      <x:c r="Q1317" s="43" t="n">
        <x:v>268435456</x:v>
      </x:c>
      <x:c r="R1317" s="43" t="n">
        <x:v>413260800</x:v>
      </x:c>
      <x:c r="S1317" s="36" t="n">
        <x:v>2</x:v>
      </x:c>
      <x:c r="T1317" s="44" t="str">
        <x:v>0x00000000141177b8  0x0000000014003818  0x000077b03860de30       0         0         0  org.apache.catalina.loader.ParallelWebappClassLoader | 0x00000000141177b8  0x0000000014003818  0x000077af8c042940    4429  20954112  20947744  org.apache.catalina.loader.ParallelWebappClassLoader</x:v>
      </x:c>
      <x:c r="U1317" s="36" t="n">
        <x:v>28</x:v>
      </x:c>
      <x:c r="V1317" s="36" t="n">
        <x:v>1</x:v>
      </x:c>
      <x:c r="W1317" s="44" t="str">
        <x:v>jcs3-element-event-queue:JCS-ElementEventQueue-Thread-4#49</x:v>
      </x:c>
      <x:c r="X1317" s="36"/>
      <x:c r="Y1317" s="36"/>
      <x:c r="Z1317" s="44"/>
      <x:c r="AA1317" s="49"/>
      <x:c r="AB1317" s="43"/>
      <x:c r="AC1317" s="34"/>
      <x:c r="AD1317" s="34"/>
      <x:c r="AE1317" s="34"/>
      <x:c r="AF1317" s="34"/>
      <x:c r="AG1317" s="34"/>
      <x:c r="AH1317" s="34"/>
      <x:c r="AI1317" s="34"/>
    </x:row>
    <x:row r="1318">
      <x:c r="A1318" s="34" t="str">
        <x:v>article1-unified-v4-2-fb3f101b-20260903-000401-default-f06-p3-jcs321</x:v>
      </x:c>
      <x:c r="B1318" s="34" t="str">
        <x:v>default</x:v>
      </x:c>
      <x:c r="C1318" s="34" t="str">
        <x:v>jcs321</x:v>
      </x:c>
      <x:c r="D1318" s="34" t="str">
        <x:v>jcs321</x:v>
      </x:c>
      <x:c r="E1318" s="36" t="n">
        <x:v>6</x:v>
      </x:c>
      <x:c r="F1318" s="36" t="n">
        <x:v>6</x:v>
      </x:c>
      <x:c r="G1318" s="36" t="n">
        <x:v>3</x:v>
      </x:c>
      <x:c r="H1318" s="36" t="n">
        <x:v>1</x:v>
      </x:c>
      <x:c r="I1318" s="34" t="str">
        <x:v>afterUndeployEarly</x:v>
      </x:c>
      <x:c r="J1318" s="34" t="str">
        <x:v>after-undeploy-early</x:v>
      </x:c>
      <x:c r="K1318" s="36" t="n">
        <x:v>1</x:v>
      </x:c>
      <x:c r="L1318" s="34" t="str">
        <x:v>early</x:v>
      </x:c>
      <x:c r="M1318" s="34" t="str">
        <x:v>article1-unified-v4-2-fb3f101b-20260903-000401-default-f06-p3-jcs321-1-after-undeploy-early-2s</x:v>
      </x:c>
      <x:c r="N1318" s="38" t="n">
        <x:v>46268.10348938657</x:v>
      </x:c>
      <x:c r="O1318" s="36"/>
      <x:c r="P1318" s="43"/>
      <x:c r="Q1318" s="43"/>
      <x:c r="R1318" s="43"/>
      <x:c r="S1318" s="36"/>
      <x:c r="T1318" s="44"/>
      <x:c r="U1318" s="36" t="n">
        <x:v>28</x:v>
      </x:c>
      <x:c r="V1318" s="36" t="n">
        <x:v>1</x:v>
      </x:c>
      <x:c r="W1318" s="44" t="str">
        <x:v>jcs3-element-event-queue:JCS-ElementEventQueue-Thread-4#49</x:v>
      </x:c>
      <x:c r="X1318" s="36"/>
      <x:c r="Y1318" s="36"/>
      <x:c r="Z1318" s="44"/>
      <x:c r="AA1318" s="49"/>
      <x:c r="AB1318" s="43" t="n">
        <x:v>17</x:v>
      </x:c>
      <x:c r="AC1318" s="34"/>
      <x:c r="AD1318" s="34"/>
      <x:c r="AE1318" s="34" t="str">
        <x:v>article1-unified-v4-2-fb3f101b-20260903-000401-default-f06-p3-jcs321-1-after-undeploy-early-2s-thread-dump.txt</x:v>
      </x:c>
      <x:c r="AF1318" s="34" t="str">
        <x:v>article1-unified-v4-2-fb3f101b-20260903-000401-default-f06-p3-jcs321-1-after-undeploy-early-tomcat-log.txt</x:v>
      </x:c>
      <x:c r="AG1318" s="34"/>
      <x:c r="AH1318" s="34"/>
      <x:c r="AI1318" s="34"/>
    </x:row>
    <x:row r="1319">
      <x:c r="A1319" s="34" t="str">
        <x:v>article1-unified-v4-2-fb3f101b-20260903-000401-default-f06-p3-jcs321</x:v>
      </x:c>
      <x:c r="B1319" s="34" t="str">
        <x:v>default</x:v>
      </x:c>
      <x:c r="C1319" s="34" t="str">
        <x:v>jcs321</x:v>
      </x:c>
      <x:c r="D1319" s="34" t="str">
        <x:v>jcs321</x:v>
      </x:c>
      <x:c r="E1319" s="36" t="n">
        <x:v>6</x:v>
      </x:c>
      <x:c r="F1319" s="36" t="n">
        <x:v>6</x:v>
      </x:c>
      <x:c r="G1319" s="36" t="n">
        <x:v>3</x:v>
      </x:c>
      <x:c r="H1319" s="36" t="n">
        <x:v>1</x:v>
      </x:c>
      <x:c r="I1319" s="34" t="str">
        <x:v>afterUndeploy</x:v>
      </x:c>
      <x:c r="J1319" s="34" t="str">
        <x:v>after-undeploy-final</x:v>
      </x:c>
      <x:c r="K1319" s="36" t="n">
        <x:v>1</x:v>
      </x:c>
      <x:c r="L1319" s="34" t="str">
        <x:v>final</x:v>
      </x:c>
      <x:c r="M1319" s="34" t="str">
        <x:v>article1-unified-v4-2-fb3f101b-20260903-000401-default-f06-p3-jcs321-1-after-undeploy-final-10s</x:v>
      </x:c>
      <x:c r="N1319" s="38" t="n">
        <x:v>46268.10364461806</x:v>
      </x:c>
      <x:c r="O1319" s="36" t="n">
        <x:v>2</x:v>
      </x:c>
      <x:c r="P1319" s="43" t="n">
        <x:v>15527936</x:v>
      </x:c>
      <x:c r="Q1319" s="43" t="n">
        <x:v>268435456</x:v>
      </x:c>
      <x:c r="R1319" s="43" t="n">
        <x:v>409040896</x:v>
      </x:c>
      <x:c r="S1319" s="36" t="n">
        <x:v>2</x:v>
      </x:c>
      <x:c r="T1319" s="44" t="str">
        <x:v>0x00000000141177b8  0x0000000014003818  0x000077af8c042940    4443  21005312  20982688  org.apache.catalina.loader.ParallelWebappClassLoader | 0x00000000141177b8  0x0000000014003818  0x000077b03860de30       0         0         0  org.apache.catalina.loader.ParallelWebappClassLoader</x:v>
      </x:c>
      <x:c r="U1319" s="36" t="n">
        <x:v>28</x:v>
      </x:c>
      <x:c r="V1319" s="36" t="n">
        <x:v>1</x:v>
      </x:c>
      <x:c r="W1319" s="44" t="str">
        <x:v>jcs3-element-event-queue:JCS-ElementEventQueue-Thread-4#49</x:v>
      </x:c>
      <x:c r="X1319" s="36" t="n">
        <x:v>1</x:v>
      </x:c>
      <x:c r="Y1319" s="36" t="n">
        <x:v>1</x:v>
      </x:c>
      <x:c r="Z1319" s="44" t="str">
        <x:v>/jcs321</x:v>
      </x:c>
      <x:c r="AA1319" s="45" t="b">
        <x:v>1</x:v>
      </x:c>
      <x:c r="AB1319" s="43"/>
      <x:c r="AC1319" s="34" t="str">
        <x:v>article1-unified-v4-2-fb3f101b-20260903-000401-default-f06-p3-jcs321-1-after-undeploy-final-10s-heap-info.txt</x:v>
      </x:c>
      <x:c r="AD1319" s="34" t="str">
        <x:v>article1-unified-v4-2-fb3f101b-20260903-000401-default-f06-p3-jcs321-1-after-undeploy-final-10s-classloader-stats.txt</x:v>
      </x:c>
      <x:c r="AE1319" s="34" t="str">
        <x:v>article1-unified-v4-2-fb3f101b-20260903-000401-default-f06-p3-jcs321-1-after-undeploy-final-10s-thread-dump.txt</x:v>
      </x:c>
      <x:c r="AF1319" s="34"/>
      <x:c r="AG1319" s="34" t="str">
        <x:v>article1-unified-v4-2-fb3f101b-20260903-000401-default-f06-p3-jcs321-1-after-undeploy-final-10s-native-memory.txt</x:v>
      </x:c>
      <x:c r="AH1319" s="34" t="str">
        <x:v>article1-unified-v4-2-fb3f101b-20260903-000401-default-f06-p3-jcs321-1-after-undeploy-final-10s-class-histogram.txt</x:v>
      </x:c>
      <x:c r="AI1319" s="34" t="str">
        <x:v>article1-unified-v4-2-fb3f101b-20260903-000401-default-f06-p3-jcs321-1-after-undeploy-tomcat-findleaks.txt</x:v>
      </x:c>
    </x:row>
    <x:row r="1320">
      <x:c r="A1320" s="34" t="str">
        <x:v>article1-unified-v4-2-fb3f101b-20260903-000401-default-f06-p3-jcs321</x:v>
      </x:c>
      <x:c r="B1320" s="34" t="str">
        <x:v>default</x:v>
      </x:c>
      <x:c r="C1320" s="34" t="str">
        <x:v>jcs321</x:v>
      </x:c>
      <x:c r="D1320" s="34" t="str">
        <x:v>jcs321</x:v>
      </x:c>
      <x:c r="E1320" s="36" t="n">
        <x:v>6</x:v>
      </x:c>
      <x:c r="F1320" s="36" t="n">
        <x:v>6</x:v>
      </x:c>
      <x:c r="G1320" s="36" t="n">
        <x:v>3</x:v>
      </x:c>
      <x:c r="H1320" s="36" t="n">
        <x:v>1</x:v>
      </x:c>
      <x:c r="I1320" s="34" t="str">
        <x:v>redeployedLoaded</x:v>
      </x:c>
      <x:c r="J1320" s="34" t="str">
        <x:v>redeployed-loaded</x:v>
      </x:c>
      <x:c r="K1320" s="36" t="n">
        <x:v>0</x:v>
      </x:c>
      <x:c r="L1320" s="34" t="str">
        <x:v>redeploy</x:v>
      </x:c>
      <x:c r="M1320" s="34" t="str">
        <x:v>article1-unified-v4-2-fb3f101b-20260903-000401-default-f06-p3-jcs321-1-redeployed-loaded</x:v>
      </x:c>
      <x:c r="N1320" s="38" t="n">
        <x:v>46268.103908530094</x:v>
      </x:c>
      <x:c r="O1320" s="36" t="n">
        <x:v>0</x:v>
      </x:c>
      <x:c r="P1320" s="43" t="n">
        <x:v>131060736</x:v>
      </x:c>
      <x:c r="Q1320" s="43" t="n">
        <x:v>268435456</x:v>
      </x:c>
      <x:c r="R1320" s="43" t="n">
        <x:v>436501504</x:v>
      </x:c>
      <x:c r="S1320" s="36" t="n">
        <x:v>3</x:v>
      </x:c>
      <x:c r="T1320" s="44" t="str">
        <x:v>0x00000000141177b8  0x0000000014003818  0x000077af8c042940    4443  21005312  20982688  org.apache.catalina.loader.ParallelWebappClassLoader | 0x00000000141177b8  0x0000000014003818  0x000077afa0005de0    4421  21010432  20982576  org.apache.catalina.loader.ParallelWebappClassLoader | 0x00000000141177b8  0x0000000014003818  0x000077b03860de30       0         0         0  org.apache.catalina.loader.ParallelWebappClassLoader</x:v>
      </x:c>
      <x:c r="U1320" s="36" t="n">
        <x:v>29</x:v>
      </x:c>
      <x:c r="V1320" s="36" t="n">
        <x:v>2</x:v>
      </x:c>
      <x:c r="W1320" s="44" t="str">
        <x:v>jcs3-element-event-queue:JCS-ElementEventQueue-Thread-4#49 | jcs3-element-event-queue:JCS-ElementEventQueue-Thread-7#91</x:v>
      </x:c>
      <x:c r="X1320" s="36"/>
      <x:c r="Y1320" s="36"/>
      <x:c r="Z1320" s="44"/>
      <x:c r="AA1320" s="49"/>
      <x:c r="AB1320" s="43"/>
      <x:c r="AC1320" s="34"/>
      <x:c r="AD1320" s="34"/>
      <x:c r="AE1320" s="34"/>
      <x:c r="AF1320" s="34"/>
      <x:c r="AG1320" s="34"/>
      <x:c r="AH1320" s="34"/>
      <x:c r="AI1320" s="34"/>
    </x:row>
    <x:row r="1321">
      <x:c r="A1321" s="34" t="str">
        <x:v>article1-unified-v4-2-fb3f101b-20260903-000401-default-f06-p3-jcs321</x:v>
      </x:c>
      <x:c r="B1321" s="34" t="str">
        <x:v>default</x:v>
      </x:c>
      <x:c r="C1321" s="34" t="str">
        <x:v>jcs321</x:v>
      </x:c>
      <x:c r="D1321" s="34" t="str">
        <x:v>jcs321</x:v>
      </x:c>
      <x:c r="E1321" s="36" t="n">
        <x:v>6</x:v>
      </x:c>
      <x:c r="F1321" s="36" t="n">
        <x:v>6</x:v>
      </x:c>
      <x:c r="G1321" s="36" t="n">
        <x:v>3</x:v>
      </x:c>
      <x:c r="H1321" s="36" t="n">
        <x:v>1</x:v>
      </x:c>
      <x:c r="I1321" s="34" t="str">
        <x:v>afterFinalUndeployEarly</x:v>
      </x:c>
      <x:c r="J1321" s="34" t="str">
        <x:v>after-final-undeploy-early</x:v>
      </x:c>
      <x:c r="K1321" s="36" t="n">
        <x:v>2</x:v>
      </x:c>
      <x:c r="L1321" s="34" t="str">
        <x:v>early</x:v>
      </x:c>
      <x:c r="M1321" s="34" t="str">
        <x:v>article1-unified-v4-2-fb3f101b-20260903-000401-default-f06-p3-jcs321-1-after-final-undeploy-early-2s</x:v>
      </x:c>
      <x:c r="N1321" s="38" t="n">
        <x:v>46268.1039909375</x:v>
      </x:c>
      <x:c r="O1321" s="36"/>
      <x:c r="P1321" s="43"/>
      <x:c r="Q1321" s="43"/>
      <x:c r="R1321" s="43"/>
      <x:c r="S1321" s="36"/>
      <x:c r="T1321" s="44"/>
      <x:c r="U1321" s="36" t="n">
        <x:v>29</x:v>
      </x:c>
      <x:c r="V1321" s="36" t="n">
        <x:v>2</x:v>
      </x:c>
      <x:c r="W1321" s="44" t="str">
        <x:v>jcs3-element-event-queue:JCS-ElementEventQueue-Thread-4#49 | jcs3-element-event-queue:JCS-ElementEventQueue-Thread-7#91</x:v>
      </x:c>
      <x:c r="X1321" s="36"/>
      <x:c r="Y1321" s="36"/>
      <x:c r="Z1321" s="44"/>
      <x:c r="AA1321" s="49"/>
      <x:c r="AB1321" s="43" t="n">
        <x:v>17</x:v>
      </x:c>
      <x:c r="AC1321" s="34"/>
      <x:c r="AD1321" s="34"/>
      <x:c r="AE1321" s="34" t="str">
        <x:v>article1-unified-v4-2-fb3f101b-20260903-000401-default-f06-p3-jcs321-1-after-final-undeploy-early-2s-thread-dump.txt</x:v>
      </x:c>
      <x:c r="AF1321" s="34" t="str">
        <x:v>article1-unified-v4-2-fb3f101b-20260903-000401-default-f06-p3-jcs321-1-after-final-undeploy-early-tomcat-log.txt</x:v>
      </x:c>
      <x:c r="AG1321" s="34"/>
      <x:c r="AH1321" s="34"/>
      <x:c r="AI1321" s="34"/>
    </x:row>
    <x:row r="1322">
      <x:c r="A1322" s="34" t="str">
        <x:v>article1-unified-v4-2-fb3f101b-20260903-000401-default-f06-p3-jcs321</x:v>
      </x:c>
      <x:c r="B1322" s="34" t="str">
        <x:v>default</x:v>
      </x:c>
      <x:c r="C1322" s="34" t="str">
        <x:v>jcs321</x:v>
      </x:c>
      <x:c r="D1322" s="34" t="str">
        <x:v>jcs321</x:v>
      </x:c>
      <x:c r="E1322" s="36" t="n">
        <x:v>6</x:v>
      </x:c>
      <x:c r="F1322" s="36" t="n">
        <x:v>6</x:v>
      </x:c>
      <x:c r="G1322" s="36" t="n">
        <x:v>3</x:v>
      </x:c>
      <x:c r="H1322" s="36" t="n">
        <x:v>1</x:v>
      </x:c>
      <x:c r="I1322" s="34" t="str">
        <x:v>afterFinalUndeploy</x:v>
      </x:c>
      <x:c r="J1322" s="34" t="str">
        <x:v>after-final-undeploy-final</x:v>
      </x:c>
      <x:c r="K1322" s="36" t="n">
        <x:v>2</x:v>
      </x:c>
      <x:c r="L1322" s="34" t="str">
        <x:v>final</x:v>
      </x:c>
      <x:c r="M1322" s="34" t="str">
        <x:v>article1-unified-v4-2-fb3f101b-20260903-000401-default-f06-p3-jcs321-1-after-final-undeploy-final-10s</x:v>
      </x:c>
      <x:c r="N1322" s="38" t="n">
        <x:v>46268.104146018515</x:v>
      </x:c>
      <x:c r="O1322" s="36" t="n">
        <x:v>2</x:v>
      </x:c>
      <x:c r="P1322" s="43" t="n">
        <x:v>19740672</x:v>
      </x:c>
      <x:c r="Q1322" s="43" t="n">
        <x:v>268435456</x:v>
      </x:c>
      <x:c r="R1322" s="43" t="n">
        <x:v>435710976</x:v>
      </x:c>
      <x:c r="S1322" s="36" t="n">
        <x:v>3</x:v>
      </x:c>
      <x:c r="T1322" s="44" t="str">
        <x:v>0x00000000141177b8  0x0000000014003818  0x000077af8c042940    4443  21005312  20982688  org.apache.catalina.loader.ParallelWebappClassLoader | 0x00000000141177b8  0x0000000014003818  0x000077afa0005de0    4435  21026816  21017168  org.apache.catalina.loader.ParallelWebappClassLoader | 0x00000000141177b8  0x0000000014003818  0x000077b03860de30       0         0         0  org.apache.catalina.loader.ParallelWebappClassLoader</x:v>
      </x:c>
      <x:c r="U1322" s="36" t="n">
        <x:v>29</x:v>
      </x:c>
      <x:c r="V1322" s="36" t="n">
        <x:v>2</x:v>
      </x:c>
      <x:c r="W1322" s="44" t="str">
        <x:v>jcs3-element-event-queue:JCS-ElementEventQueue-Thread-4#49 | jcs3-element-event-queue:JCS-ElementEventQueue-Thread-7#91</x:v>
      </x:c>
      <x:c r="X1322" s="36" t="n">
        <x:v>2</x:v>
      </x:c>
      <x:c r="Y1322" s="36" t="n">
        <x:v>2</x:v>
      </x:c>
      <x:c r="Z1322" s="44" t="str">
        <x:v>/jcs321</x:v>
      </x:c>
      <x:c r="AA1322" s="45" t="b">
        <x:v>1</x:v>
      </x:c>
      <x:c r="AB1322" s="43"/>
      <x:c r="AC1322" s="34" t="str">
        <x:v>article1-unified-v4-2-fb3f101b-20260903-000401-default-f06-p3-jcs321-1-after-final-undeploy-final-10s-heap-info.txt</x:v>
      </x:c>
      <x:c r="AD1322" s="34" t="str">
        <x:v>article1-unified-v4-2-fb3f101b-20260903-000401-default-f06-p3-jcs321-1-after-final-undeploy-final-10s-classloader-stats.txt</x:v>
      </x:c>
      <x:c r="AE1322" s="34" t="str">
        <x:v>article1-unified-v4-2-fb3f101b-20260903-000401-default-f06-p3-jcs321-1-after-final-undeploy-final-10s-thread-dump.txt</x:v>
      </x:c>
      <x:c r="AF1322" s="34"/>
      <x:c r="AG1322" s="34" t="str">
        <x:v>article1-unified-v4-2-fb3f101b-20260903-000401-default-f06-p3-jcs321-1-after-final-undeploy-final-10s-native-memory.txt</x:v>
      </x:c>
      <x:c r="AH1322" s="34" t="str">
        <x:v>article1-unified-v4-2-fb3f101b-20260903-000401-default-f06-p3-jcs321-1-after-final-undeploy-final-10s-class-histogram.txt</x:v>
      </x:c>
      <x:c r="AI1322" s="34" t="str">
        <x:v>article1-unified-v4-2-fb3f101b-20260903-000401-default-f06-p3-jcs321-1-after-final-undeploy-tomcat-findleaks.txt</x:v>
      </x:c>
    </x:row>
    <x:row r="1323">
      <x:c r="A1323" s="34" t="str">
        <x:v>article1-unified-v4-2-fb3f101b-20260903-000401-default-f06-p3-jcs321</x:v>
      </x:c>
      <x:c r="B1323" s="34" t="str">
        <x:v>default</x:v>
      </x:c>
      <x:c r="C1323" s="34" t="str">
        <x:v>jcs321</x:v>
      </x:c>
      <x:c r="D1323" s="34" t="str">
        <x:v>jcs321</x:v>
      </x:c>
      <x:c r="E1323" s="36" t="n">
        <x:v>6</x:v>
      </x:c>
      <x:c r="F1323" s="36" t="n">
        <x:v>6</x:v>
      </x:c>
      <x:c r="G1323" s="36" t="n">
        <x:v>3</x:v>
      </x:c>
      <x:c r="H1323" s="36" t="n">
        <x:v>2</x:v>
      </x:c>
      <x:c r="I1323" s="34" t="str">
        <x:v>baseline</x:v>
      </x:c>
      <x:c r="J1323" s="34" t="str">
        <x:v>cycle-baseline</x:v>
      </x:c>
      <x:c r="K1323" s="36" t="n">
        <x:v>0</x:v>
      </x:c>
      <x:c r="L1323" s="34" t="str">
        <x:v>baseline</x:v>
      </x:c>
      <x:c r="M1323" s="34" t="str">
        <x:v>article1-unified-v4-2-fb3f101b-20260903-000401-default-f06-p3-jcs321-2-baseline</x:v>
      </x:c>
      <x:c r="N1323" s="38" t="n">
        <x:v>46268.10418457176</x:v>
      </x:c>
      <x:c r="O1323" s="36" t="n">
        <x:v>0</x:v>
      </x:c>
      <x:c r="P1323" s="43" t="n">
        <x:v>19740672</x:v>
      </x:c>
      <x:c r="Q1323" s="43" t="n">
        <x:v>268435456</x:v>
      </x:c>
      <x:c r="R1323" s="43" t="n">
        <x:v>435619840</x:v>
      </x:c>
      <x:c r="S1323" s="36" t="n">
        <x:v>3</x:v>
      </x:c>
      <x:c r="T1323" s="44" t="str">
        <x:v>0x00000000141177b8  0x0000000014003818  0x000077af8c042940    4443  21005312  20982688  org.apache.catalina.loader.ParallelWebappClassLoader | 0x00000000141177b8  0x0000000014003818  0x000077afa0005de0    4435  21026816  21017168  org.apache.catalina.loader.ParallelWebappClassLoader | 0x00000000141177b8  0x0000000014003818  0x000077b03860de30       0         0         0  org.apache.catalina.loader.ParallelWebappClassLoader</x:v>
      </x:c>
      <x:c r="U1323" s="36" t="n">
        <x:v>29</x:v>
      </x:c>
      <x:c r="V1323" s="36" t="n">
        <x:v>2</x:v>
      </x:c>
      <x:c r="W1323" s="44" t="str">
        <x:v>jcs3-element-event-queue:JCS-ElementEventQueue-Thread-4#49 | jcs3-element-event-queue:JCS-ElementEventQueue-Thread-7#91</x:v>
      </x:c>
      <x:c r="X1323" s="36"/>
      <x:c r="Y1323" s="36"/>
      <x:c r="Z1323" s="44"/>
      <x:c r="AA1323" s="49"/>
      <x:c r="AB1323" s="43"/>
      <x:c r="AC1323" s="34" t="str">
        <x:v>article1-unified-v4-2-fb3f101b-20260903-000401-default-f06-p3-jcs321-2-baseline-heap-info.txt</x:v>
      </x:c>
      <x:c r="AD1323" s="34" t="str">
        <x:v>article1-unified-v4-2-fb3f101b-20260903-000401-default-f06-p3-jcs321-2-baseline-classloader-stats.txt</x:v>
      </x:c>
      <x:c r="AE1323" s="34" t="str">
        <x:v>article1-unified-v4-2-fb3f101b-20260903-000401-default-f06-p3-jcs321-2-baseline-thread-dump.txt</x:v>
      </x:c>
      <x:c r="AF1323" s="34"/>
      <x:c r="AG1323" s="34" t="str">
        <x:v>article1-unified-v4-2-fb3f101b-20260903-000401-default-f06-p3-jcs321-2-baseline-native-memory.txt</x:v>
      </x:c>
      <x:c r="AH1323" s="34"/>
      <x:c r="AI1323" s="34"/>
    </x:row>
    <x:row r="1324">
      <x:c r="A1324" s="34" t="str">
        <x:v>article1-unified-v4-2-fb3f101b-20260903-000401-default-f06-p3-jcs321</x:v>
      </x:c>
      <x:c r="B1324" s="34" t="str">
        <x:v>default</x:v>
      </x:c>
      <x:c r="C1324" s="34" t="str">
        <x:v>jcs321</x:v>
      </x:c>
      <x:c r="D1324" s="34" t="str">
        <x:v>jcs321</x:v>
      </x:c>
      <x:c r="E1324" s="36" t="n">
        <x:v>6</x:v>
      </x:c>
      <x:c r="F1324" s="36" t="n">
        <x:v>6</x:v>
      </x:c>
      <x:c r="G1324" s="36" t="n">
        <x:v>3</x:v>
      </x:c>
      <x:c r="H1324" s="36" t="n">
        <x:v>2</x:v>
      </x:c>
      <x:c r="I1324" s="34" t="str">
        <x:v>deployedIdle</x:v>
      </x:c>
      <x:c r="J1324" s="34" t="str">
        <x:v>deployed-idle</x:v>
      </x:c>
      <x:c r="K1324" s="36" t="n">
        <x:v>0</x:v>
      </x:c>
      <x:c r="L1324" s="34" t="str">
        <x:v>initial</x:v>
      </x:c>
      <x:c r="M1324" s="34" t="str">
        <x:v>article1-unified-v4-2-fb3f101b-20260903-000401-default-f06-p3-jcs321-2-deployed-idle</x:v>
      </x:c>
      <x:c r="N1324" s="38" t="n">
        <x:v>46268.10428472222</x:v>
      </x:c>
      <x:c r="O1324" s="36" t="n">
        <x:v>0</x:v>
      </x:c>
      <x:c r="P1324" s="43" t="n">
        <x:v>171911168</x:v>
      </x:c>
      <x:c r="Q1324" s="43" t="n">
        <x:v>268435456</x:v>
      </x:c>
      <x:c r="R1324" s="43" t="n">
        <x:v>468112384</x:v>
      </x:c>
      <x:c r="S1324" s="36" t="n">
        <x:v>4</x:v>
      </x:c>
      <x:c r="T1324" s="44" t="str">
        <x:v>0x00000000141177b8  0x0000000014003818  0x000077af8c042940    4443  21005312  20982688  org.apache.catalina.loader.ParallelWebappClassLoader | 0x00000000141177b8  0x0000000014003818  0x000077afa4199b90    4091  19450880  19423264  org.apache.catalina.loader.ParallelWebappClassLoader | 0x00000000141177b8  0x0000000014003818  0x000077afa0005de0    4435  21026816  21017168  org.apache.catalina.loader.ParallelWebappClassLoader | 0x00000000141177b8  0x0000000014003818  0x000077b03860de30       0         0         0  org.apache.catalina.loader.ParallelWebappClassLoader</x:v>
      </x:c>
      <x:c r="U1324" s="36" t="n">
        <x:v>29</x:v>
      </x:c>
      <x:c r="V1324" s="36" t="n">
        <x:v>2</x:v>
      </x:c>
      <x:c r="W1324" s="44" t="str">
        <x:v>jcs3-element-event-queue:JCS-ElementEventQueue-Thread-4#49 | jcs3-element-event-queue:JCS-ElementEventQueue-Thread-7#91</x:v>
      </x:c>
      <x:c r="X1324" s="36"/>
      <x:c r="Y1324" s="36"/>
      <x:c r="Z1324" s="44"/>
      <x:c r="AA1324" s="49"/>
      <x:c r="AB1324" s="43"/>
      <x:c r="AC1324" s="34"/>
      <x:c r="AD1324" s="34"/>
      <x:c r="AE1324" s="34"/>
      <x:c r="AF1324" s="34"/>
      <x:c r="AG1324" s="34"/>
      <x:c r="AH1324" s="34"/>
      <x:c r="AI1324" s="34"/>
    </x:row>
    <x:row r="1325">
      <x:c r="A1325" s="34" t="str">
        <x:v>article1-unified-v4-2-fb3f101b-20260903-000401-default-f06-p3-jcs321</x:v>
      </x:c>
      <x:c r="B1325" s="34" t="str">
        <x:v>default</x:v>
      </x:c>
      <x:c r="C1325" s="34" t="str">
        <x:v>jcs321</x:v>
      </x:c>
      <x:c r="D1325" s="34" t="str">
        <x:v>jcs321</x:v>
      </x:c>
      <x:c r="E1325" s="36" t="n">
        <x:v>6</x:v>
      </x:c>
      <x:c r="F1325" s="36" t="n">
        <x:v>6</x:v>
      </x:c>
      <x:c r="G1325" s="36" t="n">
        <x:v>3</x:v>
      </x:c>
      <x:c r="H1325" s="36" t="n">
        <x:v>2</x:v>
      </x:c>
      <x:c r="I1325" s="34" t="str">
        <x:v>loaded</x:v>
      </x:c>
      <x:c r="J1325" s="34" t="str">
        <x:v>loaded</x:v>
      </x:c>
      <x:c r="K1325" s="36" t="n">
        <x:v>0</x:v>
      </x:c>
      <x:c r="L1325" s="34" t="str">
        <x:v>initial</x:v>
      </x:c>
      <x:c r="M1325" s="34" t="str">
        <x:v>article1-unified-v4-2-fb3f101b-20260903-000401-default-f06-p3-jcs321-2-loaded</x:v>
      </x:c>
      <x:c r="N1325" s="38" t="n">
        <x:v>46268.10443600694</x:v>
      </x:c>
      <x:c r="O1325" s="36" t="n">
        <x:v>0</x:v>
      </x:c>
      <x:c r="P1325" s="43" t="n">
        <x:v>127657984</x:v>
      </x:c>
      <x:c r="Q1325" s="43" t="n">
        <x:v>268435456</x:v>
      </x:c>
      <x:c r="R1325" s="43" t="n">
        <x:v>463157248</x:v>
      </x:c>
      <x:c r="S1325" s="36" t="n">
        <x:v>4</x:v>
      </x:c>
      <x:c r="T1325" s="44" t="str">
        <x:v>0x00000000141177b8  0x0000000014003818  0x000077af8c042940    4443  21005312  20982688  org.apache.catalina.loader.ParallelWebappClassLoader | 0x00000000141177b8  0x0000000014003818  0x000077afa4199b90    4418  20990976  20977248  org.apache.catalina.loader.ParallelWebappClassLoader | 0x00000000141177b8  0x0000000014003818  0x000077afa0005de0    4435  21026816  21017168  org.apache.catalina.loader.ParallelWebappClassLoader | 0x00000000141177b8  0x0000000014003818  0x000077b03860de30       0         0         0  org.apache.catalina.loader.ParallelWebappClassLoader</x:v>
      </x:c>
      <x:c r="U1325" s="36" t="n">
        <x:v>31</x:v>
      </x:c>
      <x:c r="V1325" s="36" t="n">
        <x:v>3</x:v>
      </x:c>
      <x:c r="W1325" s="44" t="str">
        <x:v>jcs3-element-event-queue:JCS-ElementEventQueue-Thread-4#49 | jcs3-element-event-queue:JCS-ElementEventQueue-Thread-7#91 | jcs3-element-event-queue:JCS-ElementEventQueue-Thread-10#133</x:v>
      </x:c>
      <x:c r="X1325" s="36"/>
      <x:c r="Y1325" s="36"/>
      <x:c r="Z1325" s="44"/>
      <x:c r="AA1325" s="49"/>
      <x:c r="AB1325" s="43"/>
      <x:c r="AC1325" s="34"/>
      <x:c r="AD1325" s="34"/>
      <x:c r="AE1325" s="34"/>
      <x:c r="AF1325" s="34"/>
      <x:c r="AG1325" s="34"/>
      <x:c r="AH1325" s="34"/>
      <x:c r="AI1325" s="34"/>
    </x:row>
    <x:row r="1326">
      <x:c r="A1326" s="34" t="str">
        <x:v>article1-unified-v4-2-fb3f101b-20260903-000401-default-f06-p3-jcs321</x:v>
      </x:c>
      <x:c r="B1326" s="34" t="str">
        <x:v>default</x:v>
      </x:c>
      <x:c r="C1326" s="34" t="str">
        <x:v>jcs321</x:v>
      </x:c>
      <x:c r="D1326" s="34" t="str">
        <x:v>jcs321</x:v>
      </x:c>
      <x:c r="E1326" s="36" t="n">
        <x:v>6</x:v>
      </x:c>
      <x:c r="F1326" s="36" t="n">
        <x:v>6</x:v>
      </x:c>
      <x:c r="G1326" s="36" t="n">
        <x:v>3</x:v>
      </x:c>
      <x:c r="H1326" s="36" t="n">
        <x:v>2</x:v>
      </x:c>
      <x:c r="I1326" s="34" t="str">
        <x:v>afterUndeployEarly</x:v>
      </x:c>
      <x:c r="J1326" s="34" t="str">
        <x:v>after-undeploy-early</x:v>
      </x:c>
      <x:c r="K1326" s="36" t="n">
        <x:v>1</x:v>
      </x:c>
      <x:c r="L1326" s="34" t="str">
        <x:v>early</x:v>
      </x:c>
      <x:c r="M1326" s="34" t="str">
        <x:v>article1-unified-v4-2-fb3f101b-20260903-000401-default-f06-p3-jcs321-2-after-undeploy-early-2s</x:v>
      </x:c>
      <x:c r="N1326" s="38" t="n">
        <x:v>46268.10451903935</x:v>
      </x:c>
      <x:c r="O1326" s="36"/>
      <x:c r="P1326" s="43"/>
      <x:c r="Q1326" s="43"/>
      <x:c r="R1326" s="43"/>
      <x:c r="S1326" s="36"/>
      <x:c r="T1326" s="44"/>
      <x:c r="U1326" s="36" t="n">
        <x:v>30</x:v>
      </x:c>
      <x:c r="V1326" s="36" t="n">
        <x:v>3</x:v>
      </x:c>
      <x:c r="W1326" s="44" t="str">
        <x:v>jcs3-element-event-queue:JCS-ElementEventQueue-Thread-4#49 | jcs3-element-event-queue:JCS-ElementEventQueue-Thread-7#91 | jcs3-element-event-queue:JCS-ElementEventQueue-Thread-10#133</x:v>
      </x:c>
      <x:c r="X1326" s="36"/>
      <x:c r="Y1326" s="36"/>
      <x:c r="Z1326" s="44"/>
      <x:c r="AA1326" s="49"/>
      <x:c r="AB1326" s="43" t="n">
        <x:v>17</x:v>
      </x:c>
      <x:c r="AC1326" s="34"/>
      <x:c r="AD1326" s="34"/>
      <x:c r="AE1326" s="34" t="str">
        <x:v>article1-unified-v4-2-fb3f101b-20260903-000401-default-f06-p3-jcs321-2-after-undeploy-early-2s-thread-dump.txt</x:v>
      </x:c>
      <x:c r="AF1326" s="34" t="str">
        <x:v>article1-unified-v4-2-fb3f101b-20260903-000401-default-f06-p3-jcs321-2-after-undeploy-early-tomcat-log.txt</x:v>
      </x:c>
      <x:c r="AG1326" s="34"/>
      <x:c r="AH1326" s="34"/>
      <x:c r="AI1326" s="34"/>
    </x:row>
    <x:row r="1327">
      <x:c r="A1327" s="34" t="str">
        <x:v>article1-unified-v4-2-fb3f101b-20260903-000401-default-f06-p3-jcs321</x:v>
      </x:c>
      <x:c r="B1327" s="34" t="str">
        <x:v>default</x:v>
      </x:c>
      <x:c r="C1327" s="34" t="str">
        <x:v>jcs321</x:v>
      </x:c>
      <x:c r="D1327" s="34" t="str">
        <x:v>jcs321</x:v>
      </x:c>
      <x:c r="E1327" s="36" t="n">
        <x:v>6</x:v>
      </x:c>
      <x:c r="F1327" s="36" t="n">
        <x:v>6</x:v>
      </x:c>
      <x:c r="G1327" s="36" t="n">
        <x:v>3</x:v>
      </x:c>
      <x:c r="H1327" s="36" t="n">
        <x:v>2</x:v>
      </x:c>
      <x:c r="I1327" s="34" t="str">
        <x:v>afterUndeploy</x:v>
      </x:c>
      <x:c r="J1327" s="34" t="str">
        <x:v>after-undeploy-final</x:v>
      </x:c>
      <x:c r="K1327" s="36" t="n">
        <x:v>1</x:v>
      </x:c>
      <x:c r="L1327" s="34" t="str">
        <x:v>final</x:v>
      </x:c>
      <x:c r="M1327" s="34" t="str">
        <x:v>article1-unified-v4-2-fb3f101b-20260903-000401-default-f06-p3-jcs321-2-after-undeploy-final-10s</x:v>
      </x:c>
      <x:c r="N1327" s="38" t="n">
        <x:v>46268.10467710648</x:v>
      </x:c>
      <x:c r="O1327" s="36" t="n">
        <x:v>2</x:v>
      </x:c>
      <x:c r="P1327" s="43" t="n">
        <x:v>24020992</x:v>
      </x:c>
      <x:c r="Q1327" s="43" t="n">
        <x:v>268435456</x:v>
      </x:c>
      <x:c r="R1327" s="43" t="n">
        <x:v>462691328</x:v>
      </x:c>
      <x:c r="S1327" s="36" t="n">
        <x:v>4</x:v>
      </x:c>
      <x:c r="T1327" s="44" t="str">
        <x:v>0x00000000141177b8  0x0000000014003818  0x000077af8c042940    4443  21005312  20982688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</x:v>
      </x:c>
      <x:c r="U1327" s="36" t="n">
        <x:v>30</x:v>
      </x:c>
      <x:c r="V1327" s="36" t="n">
        <x:v>3</x:v>
      </x:c>
      <x:c r="W1327" s="44" t="str">
        <x:v>jcs3-element-event-queue:JCS-ElementEventQueue-Thread-4#49 | jcs3-element-event-queue:JCS-ElementEventQueue-Thread-7#91 | jcs3-element-event-queue:JCS-ElementEventQueue-Thread-10#133</x:v>
      </x:c>
      <x:c r="X1327" s="36" t="n">
        <x:v>3</x:v>
      </x:c>
      <x:c r="Y1327" s="36" t="n">
        <x:v>3</x:v>
      </x:c>
      <x:c r="Z1327" s="44" t="str">
        <x:v>/jcs321</x:v>
      </x:c>
      <x:c r="AA1327" s="45" t="b">
        <x:v>1</x:v>
      </x:c>
      <x:c r="AB1327" s="43"/>
      <x:c r="AC1327" s="34" t="str">
        <x:v>article1-unified-v4-2-fb3f101b-20260903-000401-default-f06-p3-jcs321-2-after-undeploy-final-10s-heap-info.txt</x:v>
      </x:c>
      <x:c r="AD1327" s="34" t="str">
        <x:v>article1-unified-v4-2-fb3f101b-20260903-000401-default-f06-p3-jcs321-2-after-undeploy-final-10s-classloader-stats.txt</x:v>
      </x:c>
      <x:c r="AE1327" s="34" t="str">
        <x:v>article1-unified-v4-2-fb3f101b-20260903-000401-default-f06-p3-jcs321-2-after-undeploy-final-10s-thread-dump.txt</x:v>
      </x:c>
      <x:c r="AF1327" s="34"/>
      <x:c r="AG1327" s="34" t="str">
        <x:v>article1-unified-v4-2-fb3f101b-20260903-000401-default-f06-p3-jcs321-2-after-undeploy-final-10s-native-memory.txt</x:v>
      </x:c>
      <x:c r="AH1327" s="34" t="str">
        <x:v>article1-unified-v4-2-fb3f101b-20260903-000401-default-f06-p3-jcs321-2-after-undeploy-final-10s-class-histogram.txt</x:v>
      </x:c>
      <x:c r="AI1327" s="34" t="str">
        <x:v>article1-unified-v4-2-fb3f101b-20260903-000401-default-f06-p3-jcs321-2-after-undeploy-tomcat-findleaks.txt</x:v>
      </x:c>
    </x:row>
    <x:row r="1328">
      <x:c r="A1328" s="34" t="str">
        <x:v>article1-unified-v4-2-fb3f101b-20260903-000401-default-f06-p3-jcs321</x:v>
      </x:c>
      <x:c r="B1328" s="34" t="str">
        <x:v>default</x:v>
      </x:c>
      <x:c r="C1328" s="34" t="str">
        <x:v>jcs321</x:v>
      </x:c>
      <x:c r="D1328" s="34" t="str">
        <x:v>jcs321</x:v>
      </x:c>
      <x:c r="E1328" s="36" t="n">
        <x:v>6</x:v>
      </x:c>
      <x:c r="F1328" s="36" t="n">
        <x:v>6</x:v>
      </x:c>
      <x:c r="G1328" s="36" t="n">
        <x:v>3</x:v>
      </x:c>
      <x:c r="H1328" s="36" t="n">
        <x:v>2</x:v>
      </x:c>
      <x:c r="I1328" s="34" t="str">
        <x:v>redeployedLoaded</x:v>
      </x:c>
      <x:c r="J1328" s="34" t="str">
        <x:v>redeployed-loaded</x:v>
      </x:c>
      <x:c r="K1328" s="36" t="n">
        <x:v>0</x:v>
      </x:c>
      <x:c r="L1328" s="34" t="str">
        <x:v>redeploy</x:v>
      </x:c>
      <x:c r="M1328" s="34" t="str">
        <x:v>article1-unified-v4-2-fb3f101b-20260903-000401-default-f06-p3-jcs321-2-redeployed-loaded</x:v>
      </x:c>
      <x:c r="N1328" s="38" t="n">
        <x:v>46268.10493893518</x:v>
      </x:c>
      <x:c r="O1328" s="36" t="n">
        <x:v>0</x:v>
      </x:c>
      <x:c r="P1328" s="43" t="n">
        <x:v>136098816</x:v>
      </x:c>
      <x:c r="Q1328" s="43" t="n">
        <x:v>268435456</x:v>
      </x:c>
      <x:c r="R1328" s="43" t="n">
        <x:v>489369600</x:v>
      </x:c>
      <x:c r="S1328" s="36" t="n">
        <x:v>5</x:v>
      </x:c>
      <x:c r="T1328" s="44" t="str">
        <x:v>0x00000000141177b8  0x0000000014003818  0x000077af9819bd10    4413  20975616  20972040  org.apache.catalina.loader.ParallelWebappClassLoader | 0x00000000141177b8  0x0000000014003818  0x000077af8c042940    4443  21005312  20982688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</x:v>
      </x:c>
      <x:c r="U1328" s="36" t="n">
        <x:v>32</x:v>
      </x:c>
      <x:c r="V1328" s="36" t="n">
        <x:v>4</x:v>
      </x:c>
      <x:c r="W132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328" s="36"/>
      <x:c r="Y1328" s="36"/>
      <x:c r="Z1328" s="44"/>
      <x:c r="AA1328" s="49"/>
      <x:c r="AB1328" s="43"/>
      <x:c r="AC1328" s="34"/>
      <x:c r="AD1328" s="34"/>
      <x:c r="AE1328" s="34"/>
      <x:c r="AF1328" s="34"/>
      <x:c r="AG1328" s="34"/>
      <x:c r="AH1328" s="34"/>
      <x:c r="AI1328" s="34"/>
    </x:row>
    <x:row r="1329">
      <x:c r="A1329" s="34" t="str">
        <x:v>article1-unified-v4-2-fb3f101b-20260903-000401-default-f06-p3-jcs321</x:v>
      </x:c>
      <x:c r="B1329" s="34" t="str">
        <x:v>default</x:v>
      </x:c>
      <x:c r="C1329" s="34" t="str">
        <x:v>jcs321</x:v>
      </x:c>
      <x:c r="D1329" s="34" t="str">
        <x:v>jcs321</x:v>
      </x:c>
      <x:c r="E1329" s="36" t="n">
        <x:v>6</x:v>
      </x:c>
      <x:c r="F1329" s="36" t="n">
        <x:v>6</x:v>
      </x:c>
      <x:c r="G1329" s="36" t="n">
        <x:v>3</x:v>
      </x:c>
      <x:c r="H1329" s="36" t="n">
        <x:v>2</x:v>
      </x:c>
      <x:c r="I1329" s="34" t="str">
        <x:v>afterFinalUndeployEarly</x:v>
      </x:c>
      <x:c r="J1329" s="34" t="str">
        <x:v>after-final-undeploy-early</x:v>
      </x:c>
      <x:c r="K1329" s="36" t="n">
        <x:v>2</x:v>
      </x:c>
      <x:c r="L1329" s="34" t="str">
        <x:v>early</x:v>
      </x:c>
      <x:c r="M1329" s="34" t="str">
        <x:v>article1-unified-v4-2-fb3f101b-20260903-000401-default-f06-p3-jcs321-2-after-final-undeploy-early-2s</x:v>
      </x:c>
      <x:c r="N1329" s="38" t="n">
        <x:v>46268.10502131945</x:v>
      </x:c>
      <x:c r="O1329" s="36"/>
      <x:c r="P1329" s="43"/>
      <x:c r="Q1329" s="43"/>
      <x:c r="R1329" s="43"/>
      <x:c r="S1329" s="36"/>
      <x:c r="T1329" s="44"/>
      <x:c r="U1329" s="36" t="n">
        <x:v>31</x:v>
      </x:c>
      <x:c r="V1329" s="36" t="n">
        <x:v>4</x:v>
      </x:c>
      <x:c r="W132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329" s="36"/>
      <x:c r="Y1329" s="36"/>
      <x:c r="Z1329" s="44"/>
      <x:c r="AA1329" s="49"/>
      <x:c r="AB1329" s="43" t="n">
        <x:v>17</x:v>
      </x:c>
      <x:c r="AC1329" s="34"/>
      <x:c r="AD1329" s="34"/>
      <x:c r="AE1329" s="34" t="str">
        <x:v>article1-unified-v4-2-fb3f101b-20260903-000401-default-f06-p3-jcs321-2-after-final-undeploy-early-2s-thread-dump.txt</x:v>
      </x:c>
      <x:c r="AF1329" s="34" t="str">
        <x:v>article1-unified-v4-2-fb3f101b-20260903-000401-default-f06-p3-jcs321-2-after-final-undeploy-early-tomcat-log.txt</x:v>
      </x:c>
      <x:c r="AG1329" s="34"/>
      <x:c r="AH1329" s="34"/>
      <x:c r="AI1329" s="34"/>
    </x:row>
    <x:row r="1330">
      <x:c r="A1330" s="34" t="str">
        <x:v>article1-unified-v4-2-fb3f101b-20260903-000401-default-f06-p3-jcs321</x:v>
      </x:c>
      <x:c r="B1330" s="34" t="str">
        <x:v>default</x:v>
      </x:c>
      <x:c r="C1330" s="34" t="str">
        <x:v>jcs321</x:v>
      </x:c>
      <x:c r="D1330" s="34" t="str">
        <x:v>jcs321</x:v>
      </x:c>
      <x:c r="E1330" s="36" t="n">
        <x:v>6</x:v>
      </x:c>
      <x:c r="F1330" s="36" t="n">
        <x:v>6</x:v>
      </x:c>
      <x:c r="G1330" s="36" t="n">
        <x:v>3</x:v>
      </x:c>
      <x:c r="H1330" s="36" t="n">
        <x:v>2</x:v>
      </x:c>
      <x:c r="I1330" s="34" t="str">
        <x:v>afterFinalUndeploy</x:v>
      </x:c>
      <x:c r="J1330" s="34" t="str">
        <x:v>after-final-undeploy-final</x:v>
      </x:c>
      <x:c r="K1330" s="36" t="n">
        <x:v>2</x:v>
      </x:c>
      <x:c r="L1330" s="34" t="str">
        <x:v>final</x:v>
      </x:c>
      <x:c r="M1330" s="34" t="str">
        <x:v>article1-unified-v4-2-fb3f101b-20260903-000401-default-f06-p3-jcs321-2-after-final-undeploy-final-10s</x:v>
      </x:c>
      <x:c r="N1330" s="38" t="n">
        <x:v>46268.10518164352</x:v>
      </x:c>
      <x:c r="O1330" s="36" t="n">
        <x:v>2</x:v>
      </x:c>
      <x:c r="P1330" s="43" t="n">
        <x:v>28256256</x:v>
      </x:c>
      <x:c r="Q1330" s="43" t="n">
        <x:v>268435456</x:v>
      </x:c>
      <x:c r="R1330" s="43" t="n">
        <x:v>489161728</x:v>
      </x:c>
      <x:c r="S1330" s="36" t="n">
        <x:v>5</x:v>
      </x:c>
      <x:c r="T1330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</x:v>
      </x:c>
      <x:c r="U1330" s="36" t="n">
        <x:v>31</x:v>
      </x:c>
      <x:c r="V1330" s="36" t="n">
        <x:v>4</x:v>
      </x:c>
      <x:c r="W1330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330" s="36" t="n">
        <x:v>4</x:v>
      </x:c>
      <x:c r="Y1330" s="36" t="n">
        <x:v>4</x:v>
      </x:c>
      <x:c r="Z1330" s="44" t="str">
        <x:v>/jcs321</x:v>
      </x:c>
      <x:c r="AA1330" s="45" t="b">
        <x:v>1</x:v>
      </x:c>
      <x:c r="AB1330" s="43"/>
      <x:c r="AC1330" s="34" t="str">
        <x:v>article1-unified-v4-2-fb3f101b-20260903-000401-default-f06-p3-jcs321-2-after-final-undeploy-final-10s-heap-info.txt</x:v>
      </x:c>
      <x:c r="AD1330" s="34" t="str">
        <x:v>article1-unified-v4-2-fb3f101b-20260903-000401-default-f06-p3-jcs321-2-after-final-undeploy-final-10s-classloader-stats.txt</x:v>
      </x:c>
      <x:c r="AE1330" s="34" t="str">
        <x:v>article1-unified-v4-2-fb3f101b-20260903-000401-default-f06-p3-jcs321-2-after-final-undeploy-final-10s-thread-dump.txt</x:v>
      </x:c>
      <x:c r="AF1330" s="34"/>
      <x:c r="AG1330" s="34" t="str">
        <x:v>article1-unified-v4-2-fb3f101b-20260903-000401-default-f06-p3-jcs321-2-after-final-undeploy-final-10s-native-memory.txt</x:v>
      </x:c>
      <x:c r="AH1330" s="34" t="str">
        <x:v>article1-unified-v4-2-fb3f101b-20260903-000401-default-f06-p3-jcs321-2-after-final-undeploy-final-10s-class-histogram.txt</x:v>
      </x:c>
      <x:c r="AI1330" s="34" t="str">
        <x:v>article1-unified-v4-2-fb3f101b-20260903-000401-default-f06-p3-jcs321-2-after-final-undeploy-tomcat-findleaks.txt</x:v>
      </x:c>
    </x:row>
    <x:row r="1331">
      <x:c r="A1331" s="34" t="str">
        <x:v>article1-unified-v4-2-fb3f101b-20260903-000401-default-f06-p3-jcs321</x:v>
      </x:c>
      <x:c r="B1331" s="34" t="str">
        <x:v>default</x:v>
      </x:c>
      <x:c r="C1331" s="34" t="str">
        <x:v>jcs321</x:v>
      </x:c>
      <x:c r="D1331" s="34" t="str">
        <x:v>jcs321</x:v>
      </x:c>
      <x:c r="E1331" s="36" t="n">
        <x:v>6</x:v>
      </x:c>
      <x:c r="F1331" s="36" t="n">
        <x:v>6</x:v>
      </x:c>
      <x:c r="G1331" s="36" t="n">
        <x:v>3</x:v>
      </x:c>
      <x:c r="H1331" s="36" t="n">
        <x:v>3</x:v>
      </x:c>
      <x:c r="I1331" s="34" t="str">
        <x:v>baseline</x:v>
      </x:c>
      <x:c r="J1331" s="34" t="str">
        <x:v>cycle-baseline</x:v>
      </x:c>
      <x:c r="K1331" s="36" t="n">
        <x:v>0</x:v>
      </x:c>
      <x:c r="L1331" s="34" t="str">
        <x:v>baseline</x:v>
      </x:c>
      <x:c r="M1331" s="34" t="str">
        <x:v>article1-unified-v4-2-fb3f101b-20260903-000401-default-f06-p3-jcs321-3-baseline</x:v>
      </x:c>
      <x:c r="N1331" s="38" t="n">
        <x:v>46268.10522450232</x:v>
      </x:c>
      <x:c r="O1331" s="36" t="n">
        <x:v>0</x:v>
      </x:c>
      <x:c r="P1331" s="43" t="n">
        <x:v>28256256</x:v>
      </x:c>
      <x:c r="Q1331" s="43" t="n">
        <x:v>268435456</x:v>
      </x:c>
      <x:c r="R1331" s="43" t="n">
        <x:v>489061376</x:v>
      </x:c>
      <x:c r="S1331" s="36" t="n">
        <x:v>5</x:v>
      </x:c>
      <x:c r="T1331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</x:v>
      </x:c>
      <x:c r="U1331" s="36" t="n">
        <x:v>31</x:v>
      </x:c>
      <x:c r="V1331" s="36" t="n">
        <x:v>4</x:v>
      </x:c>
      <x:c r="W1331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331" s="36"/>
      <x:c r="Y1331" s="36"/>
      <x:c r="Z1331" s="44"/>
      <x:c r="AA1331" s="49"/>
      <x:c r="AB1331" s="43"/>
      <x:c r="AC1331" s="34" t="str">
        <x:v>article1-unified-v4-2-fb3f101b-20260903-000401-default-f06-p3-jcs321-3-baseline-heap-info.txt</x:v>
      </x:c>
      <x:c r="AD1331" s="34" t="str">
        <x:v>article1-unified-v4-2-fb3f101b-20260903-000401-default-f06-p3-jcs321-3-baseline-classloader-stats.txt</x:v>
      </x:c>
      <x:c r="AE1331" s="34" t="str">
        <x:v>article1-unified-v4-2-fb3f101b-20260903-000401-default-f06-p3-jcs321-3-baseline-thread-dump.txt</x:v>
      </x:c>
      <x:c r="AF1331" s="34"/>
      <x:c r="AG1331" s="34" t="str">
        <x:v>article1-unified-v4-2-fb3f101b-20260903-000401-default-f06-p3-jcs321-3-baseline-native-memory.txt</x:v>
      </x:c>
      <x:c r="AH1331" s="34"/>
      <x:c r="AI1331" s="34"/>
    </x:row>
    <x:row r="1332">
      <x:c r="A1332" s="34" t="str">
        <x:v>article1-unified-v4-2-fb3f101b-20260903-000401-default-f06-p3-jcs321</x:v>
      </x:c>
      <x:c r="B1332" s="34" t="str">
        <x:v>default</x:v>
      </x:c>
      <x:c r="C1332" s="34" t="str">
        <x:v>jcs321</x:v>
      </x:c>
      <x:c r="D1332" s="34" t="str">
        <x:v>jcs321</x:v>
      </x:c>
      <x:c r="E1332" s="36" t="n">
        <x:v>6</x:v>
      </x:c>
      <x:c r="F1332" s="36" t="n">
        <x:v>6</x:v>
      </x:c>
      <x:c r="G1332" s="36" t="n">
        <x:v>3</x:v>
      </x:c>
      <x:c r="H1332" s="36" t="n">
        <x:v>3</x:v>
      </x:c>
      <x:c r="I1332" s="34" t="str">
        <x:v>deployedIdle</x:v>
      </x:c>
      <x:c r="J1332" s="34" t="str">
        <x:v>deployed-idle</x:v>
      </x:c>
      <x:c r="K1332" s="36" t="n">
        <x:v>0</x:v>
      </x:c>
      <x:c r="L1332" s="34" t="str">
        <x:v>initial</x:v>
      </x:c>
      <x:c r="M1332" s="34" t="str">
        <x:v>article1-unified-v4-2-fb3f101b-20260903-000401-default-f06-p3-jcs321-3-deployed-idle</x:v>
      </x:c>
      <x:c r="N1332" s="38" t="n">
        <x:v>46268.10532418981</x:v>
      </x:c>
      <x:c r="O1332" s="36" t="n">
        <x:v>0</x:v>
      </x:c>
      <x:c r="P1332" s="43" t="n">
        <x:v>180291584</x:v>
      </x:c>
      <x:c r="Q1332" s="43" t="n">
        <x:v>268435456</x:v>
      </x:c>
      <x:c r="R1332" s="43" t="n">
        <x:v>531278848</x:v>
      </x:c>
      <x:c r="S1332" s="36" t="n">
        <x:v>6</x:v>
      </x:c>
      <x:c r="T1332" s="44" t="str">
        <x:v>0x00000000141177b8  0x0000000014003818  0x000077af8c042940    4443  21005312  20982688  org.apache.catalina.loader.ParallelWebappClassLoader | 0x00000000141177b8  0x0000000014003818  0x000077af6c199700    4091  19450880  19433048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</x:v>
      </x:c>
      <x:c r="U1332" s="36" t="n">
        <x:v>31</x:v>
      </x:c>
      <x:c r="V1332" s="36" t="n">
        <x:v>4</x:v>
      </x:c>
      <x:c r="W1332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1332" s="36"/>
      <x:c r="Y1332" s="36"/>
      <x:c r="Z1332" s="44"/>
      <x:c r="AA1332" s="49"/>
      <x:c r="AB1332" s="43"/>
      <x:c r="AC1332" s="34"/>
      <x:c r="AD1332" s="34"/>
      <x:c r="AE1332" s="34"/>
      <x:c r="AF1332" s="34"/>
      <x:c r="AG1332" s="34"/>
      <x:c r="AH1332" s="34"/>
      <x:c r="AI1332" s="34"/>
    </x:row>
    <x:row r="1333">
      <x:c r="A1333" s="34" t="str">
        <x:v>article1-unified-v4-2-fb3f101b-20260903-000401-default-f06-p3-jcs321</x:v>
      </x:c>
      <x:c r="B1333" s="34" t="str">
        <x:v>default</x:v>
      </x:c>
      <x:c r="C1333" s="34" t="str">
        <x:v>jcs321</x:v>
      </x:c>
      <x:c r="D1333" s="34" t="str">
        <x:v>jcs321</x:v>
      </x:c>
      <x:c r="E1333" s="36" t="n">
        <x:v>6</x:v>
      </x:c>
      <x:c r="F1333" s="36" t="n">
        <x:v>6</x:v>
      </x:c>
      <x:c r="G1333" s="36" t="n">
        <x:v>3</x:v>
      </x:c>
      <x:c r="H1333" s="36" t="n">
        <x:v>3</x:v>
      </x:c>
      <x:c r="I1333" s="34" t="str">
        <x:v>loaded</x:v>
      </x:c>
      <x:c r="J1333" s="34" t="str">
        <x:v>loaded</x:v>
      </x:c>
      <x:c r="K1333" s="36" t="n">
        <x:v>0</x:v>
      </x:c>
      <x:c r="L1333" s="34" t="str">
        <x:v>initial</x:v>
      </x:c>
      <x:c r="M1333" s="34" t="str">
        <x:v>article1-unified-v4-2-fb3f101b-20260903-000401-default-f06-p3-jcs321-3-loaded</x:v>
      </x:c>
      <x:c r="N1333" s="38" t="n">
        <x:v>46268.105471793984</x:v>
      </x:c>
      <x:c r="O1333" s="36" t="n">
        <x:v>0</x:v>
      </x:c>
      <x:c r="P1333" s="43" t="n">
        <x:v>140831744</x:v>
      </x:c>
      <x:c r="Q1333" s="43" t="n">
        <x:v>268435456</x:v>
      </x:c>
      <x:c r="R1333" s="43" t="n">
        <x:v>516644864</x:v>
      </x:c>
      <x:c r="S1333" s="36" t="n">
        <x:v>6</x:v>
      </x:c>
      <x:c r="T1333" s="44" t="str">
        <x:v>0x00000000141177b8  0x0000000014003818  0x000077af6c199700    4416  20990976  20980320  org.apache.catalina.loader.ParallelWebappClassLoader | 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</x:v>
      </x:c>
      <x:c r="U1333" s="36" t="n">
        <x:v>32</x:v>
      </x:c>
      <x:c r="V1333" s="36" t="n">
        <x:v>5</x:v>
      </x:c>
      <x:c r="W133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333" s="36"/>
      <x:c r="Y1333" s="36"/>
      <x:c r="Z1333" s="44"/>
      <x:c r="AA1333" s="49"/>
      <x:c r="AB1333" s="43"/>
      <x:c r="AC1333" s="34"/>
      <x:c r="AD1333" s="34"/>
      <x:c r="AE1333" s="34"/>
      <x:c r="AF1333" s="34"/>
      <x:c r="AG1333" s="34"/>
      <x:c r="AH1333" s="34"/>
      <x:c r="AI1333" s="34"/>
    </x:row>
    <x:row r="1334">
      <x:c r="A1334" s="34" t="str">
        <x:v>article1-unified-v4-2-fb3f101b-20260903-000401-default-f06-p3-jcs321</x:v>
      </x:c>
      <x:c r="B1334" s="34" t="str">
        <x:v>default</x:v>
      </x:c>
      <x:c r="C1334" s="34" t="str">
        <x:v>jcs321</x:v>
      </x:c>
      <x:c r="D1334" s="34" t="str">
        <x:v>jcs321</x:v>
      </x:c>
      <x:c r="E1334" s="36" t="n">
        <x:v>6</x:v>
      </x:c>
      <x:c r="F1334" s="36" t="n">
        <x:v>6</x:v>
      </x:c>
      <x:c r="G1334" s="36" t="n">
        <x:v>3</x:v>
      </x:c>
      <x:c r="H1334" s="36" t="n">
        <x:v>3</x:v>
      </x:c>
      <x:c r="I1334" s="34" t="str">
        <x:v>afterUndeployEarly</x:v>
      </x:c>
      <x:c r="J1334" s="34" t="str">
        <x:v>after-undeploy-early</x:v>
      </x:c>
      <x:c r="K1334" s="36" t="n">
        <x:v>1</x:v>
      </x:c>
      <x:c r="L1334" s="34" t="str">
        <x:v>early</x:v>
      </x:c>
      <x:c r="M1334" s="34" t="str">
        <x:v>article1-unified-v4-2-fb3f101b-20260903-000401-default-f06-p3-jcs321-3-after-undeploy-early-2s</x:v>
      </x:c>
      <x:c r="N1334" s="38" t="n">
        <x:v>46268.105553483794</x:v>
      </x:c>
      <x:c r="O1334" s="36"/>
      <x:c r="P1334" s="43"/>
      <x:c r="Q1334" s="43"/>
      <x:c r="R1334" s="43"/>
      <x:c r="S1334" s="36"/>
      <x:c r="T1334" s="44"/>
      <x:c r="U1334" s="36" t="n">
        <x:v>32</x:v>
      </x:c>
      <x:c r="V1334" s="36" t="n">
        <x:v>5</x:v>
      </x:c>
      <x:c r="W133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334" s="36"/>
      <x:c r="Y1334" s="36"/>
      <x:c r="Z1334" s="44"/>
      <x:c r="AA1334" s="49"/>
      <x:c r="AB1334" s="43" t="n">
        <x:v>17</x:v>
      </x:c>
      <x:c r="AC1334" s="34"/>
      <x:c r="AD1334" s="34"/>
      <x:c r="AE1334" s="34" t="str">
        <x:v>article1-unified-v4-2-fb3f101b-20260903-000401-default-f06-p3-jcs321-3-after-undeploy-early-2s-thread-dump.txt</x:v>
      </x:c>
      <x:c r="AF1334" s="34" t="str">
        <x:v>article1-unified-v4-2-fb3f101b-20260903-000401-default-f06-p3-jcs321-3-after-undeploy-early-tomcat-log.txt</x:v>
      </x:c>
      <x:c r="AG1334" s="34"/>
      <x:c r="AH1334" s="34"/>
      <x:c r="AI1334" s="34"/>
    </x:row>
    <x:row r="1335">
      <x:c r="A1335" s="34" t="str">
        <x:v>article1-unified-v4-2-fb3f101b-20260903-000401-default-f06-p3-jcs321</x:v>
      </x:c>
      <x:c r="B1335" s="34" t="str">
        <x:v>default</x:v>
      </x:c>
      <x:c r="C1335" s="34" t="str">
        <x:v>jcs321</x:v>
      </x:c>
      <x:c r="D1335" s="34" t="str">
        <x:v>jcs321</x:v>
      </x:c>
      <x:c r="E1335" s="36" t="n">
        <x:v>6</x:v>
      </x:c>
      <x:c r="F1335" s="36" t="n">
        <x:v>6</x:v>
      </x:c>
      <x:c r="G1335" s="36" t="n">
        <x:v>3</x:v>
      </x:c>
      <x:c r="H1335" s="36" t="n">
        <x:v>3</x:v>
      </x:c>
      <x:c r="I1335" s="34" t="str">
        <x:v>afterUndeploy</x:v>
      </x:c>
      <x:c r="J1335" s="34" t="str">
        <x:v>after-undeploy-final</x:v>
      </x:c>
      <x:c r="K1335" s="36" t="n">
        <x:v>1</x:v>
      </x:c>
      <x:c r="L1335" s="34" t="str">
        <x:v>final</x:v>
      </x:c>
      <x:c r="M1335" s="34" t="str">
        <x:v>article1-unified-v4-2-fb3f101b-20260903-000401-default-f06-p3-jcs321-3-after-undeploy-final-10s</x:v>
      </x:c>
      <x:c r="N1335" s="38" t="n">
        <x:v>46268.10570763889</x:v>
      </x:c>
      <x:c r="O1335" s="36" t="n">
        <x:v>2</x:v>
      </x:c>
      <x:c r="P1335" s="43" t="n">
        <x:v>32493568</x:v>
      </x:c>
      <x:c r="Q1335" s="43" t="n">
        <x:v>268435456</x:v>
      </x:c>
      <x:c r="R1335" s="43" t="n">
        <x:v>516192256</x:v>
      </x:c>
      <x:c r="S1335" s="36" t="n">
        <x:v>6</x:v>
      </x:c>
      <x:c r="T1335" s="44" t="str">
        <x:v>0x00000000141177b8  0x0000000014003818  0x000077af6c199700    4430  21023744  21015264  org.apache.catalina.loader.ParallelWebappClassLoader | 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</x:v>
      </x:c>
      <x:c r="U1335" s="36" t="n">
        <x:v>32</x:v>
      </x:c>
      <x:c r="V1335" s="36" t="n">
        <x:v>5</x:v>
      </x:c>
      <x:c r="W133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1335" s="36" t="n">
        <x:v>5</x:v>
      </x:c>
      <x:c r="Y1335" s="36" t="n">
        <x:v>5</x:v>
      </x:c>
      <x:c r="Z1335" s="44" t="str">
        <x:v>/jcs321</x:v>
      </x:c>
      <x:c r="AA1335" s="45" t="b">
        <x:v>1</x:v>
      </x:c>
      <x:c r="AB1335" s="43"/>
      <x:c r="AC1335" s="34" t="str">
        <x:v>article1-unified-v4-2-fb3f101b-20260903-000401-default-f06-p3-jcs321-3-after-undeploy-final-10s-heap-info.txt</x:v>
      </x:c>
      <x:c r="AD1335" s="34" t="str">
        <x:v>article1-unified-v4-2-fb3f101b-20260903-000401-default-f06-p3-jcs321-3-after-undeploy-final-10s-classloader-stats.txt</x:v>
      </x:c>
      <x:c r="AE1335" s="34" t="str">
        <x:v>article1-unified-v4-2-fb3f101b-20260903-000401-default-f06-p3-jcs321-3-after-undeploy-final-10s-thread-dump.txt</x:v>
      </x:c>
      <x:c r="AF1335" s="34"/>
      <x:c r="AG1335" s="34" t="str">
        <x:v>article1-unified-v4-2-fb3f101b-20260903-000401-default-f06-p3-jcs321-3-after-undeploy-final-10s-native-memory.txt</x:v>
      </x:c>
      <x:c r="AH1335" s="34" t="str">
        <x:v>article1-unified-v4-2-fb3f101b-20260903-000401-default-f06-p3-jcs321-3-after-undeploy-final-10s-class-histogram.txt</x:v>
      </x:c>
      <x:c r="AI1335" s="34" t="str">
        <x:v>article1-unified-v4-2-fb3f101b-20260903-000401-default-f06-p3-jcs321-3-after-undeploy-tomcat-findleaks.txt</x:v>
      </x:c>
    </x:row>
    <x:row r="1336">
      <x:c r="A1336" s="34" t="str">
        <x:v>article1-unified-v4-2-fb3f101b-20260903-000401-default-f06-p3-jcs321</x:v>
      </x:c>
      <x:c r="B1336" s="34" t="str">
        <x:v>default</x:v>
      </x:c>
      <x:c r="C1336" s="34" t="str">
        <x:v>jcs321</x:v>
      </x:c>
      <x:c r="D1336" s="34" t="str">
        <x:v>jcs321</x:v>
      </x:c>
      <x:c r="E1336" s="36" t="n">
        <x:v>6</x:v>
      </x:c>
      <x:c r="F1336" s="36" t="n">
        <x:v>6</x:v>
      </x:c>
      <x:c r="G1336" s="36" t="n">
        <x:v>3</x:v>
      </x:c>
      <x:c r="H1336" s="36" t="n">
        <x:v>3</x:v>
      </x:c>
      <x:c r="I1336" s="34" t="str">
        <x:v>redeployedLoaded</x:v>
      </x:c>
      <x:c r="J1336" s="34" t="str">
        <x:v>redeployed-loaded</x:v>
      </x:c>
      <x:c r="K1336" s="36" t="n">
        <x:v>0</x:v>
      </x:c>
      <x:c r="L1336" s="34" t="str">
        <x:v>redeploy</x:v>
      </x:c>
      <x:c r="M1336" s="34" t="str">
        <x:v>article1-unified-v4-2-fb3f101b-20260903-000401-default-f06-p3-jcs321-3-redeployed-loaded</x:v>
      </x:c>
      <x:c r="N1336" s="38" t="n">
        <x:v>46268.10595981481</x:v>
      </x:c>
      <x:c r="O1336" s="36" t="n">
        <x:v>0</x:v>
      </x:c>
      <x:c r="P1336" s="43" t="n">
        <x:v>151479296</x:v>
      </x:c>
      <x:c r="Q1336" s="43" t="n">
        <x:v>268435456</x:v>
      </x:c>
      <x:c r="R1336" s="43" t="n">
        <x:v>566080512</x:v>
      </x:c>
      <x:c r="S1336" s="36" t="n">
        <x:v>7</x:v>
      </x:c>
      <x:c r="T1336" s="44" t="str">
        <x:v>0x00000000141177b8  0x0000000014003818  0x000077af6c199700    4430  21023744  21015264  org.apache.catalina.loader.ParallelWebappClassLoader | 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0x000077afa803a0d0    4421  20996096  20981296  org.apache.catalina.loader.ParallelWebappClassLoader | 0x00000000141177b8  0x0000000014003818  0x000077b03860de30       0         0         0  org.apache.catalina.loader.ParallelWebappClassLoader</x:v>
      </x:c>
      <x:c r="U1336" s="36" t="n">
        <x:v>33</x:v>
      </x:c>
      <x:c r="V1336" s="36" t="n">
        <x:v>6</x:v>
      </x:c>
      <x:c r="W133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336" s="36"/>
      <x:c r="Y1336" s="36"/>
      <x:c r="Z1336" s="44"/>
      <x:c r="AA1336" s="49"/>
      <x:c r="AB1336" s="43"/>
      <x:c r="AC1336" s="34"/>
      <x:c r="AD1336" s="34"/>
      <x:c r="AE1336" s="34"/>
      <x:c r="AF1336" s="34"/>
      <x:c r="AG1336" s="34"/>
      <x:c r="AH1336" s="34"/>
      <x:c r="AI1336" s="34"/>
    </x:row>
    <x:row r="1337">
      <x:c r="A1337" s="34" t="str">
        <x:v>article1-unified-v4-2-fb3f101b-20260903-000401-default-f06-p3-jcs321</x:v>
      </x:c>
      <x:c r="B1337" s="34" t="str">
        <x:v>default</x:v>
      </x:c>
      <x:c r="C1337" s="34" t="str">
        <x:v>jcs321</x:v>
      </x:c>
      <x:c r="D1337" s="34" t="str">
        <x:v>jcs321</x:v>
      </x:c>
      <x:c r="E1337" s="36" t="n">
        <x:v>6</x:v>
      </x:c>
      <x:c r="F1337" s="36" t="n">
        <x:v>6</x:v>
      </x:c>
      <x:c r="G1337" s="36" t="n">
        <x:v>3</x:v>
      </x:c>
      <x:c r="H1337" s="36" t="n">
        <x:v>3</x:v>
      </x:c>
      <x:c r="I1337" s="34" t="str">
        <x:v>afterFinalUndeployEarly</x:v>
      </x:c>
      <x:c r="J1337" s="34" t="str">
        <x:v>after-final-undeploy-early</x:v>
      </x:c>
      <x:c r="K1337" s="36" t="n">
        <x:v>2</x:v>
      </x:c>
      <x:c r="L1337" s="34" t="str">
        <x:v>early</x:v>
      </x:c>
      <x:c r="M1337" s="34" t="str">
        <x:v>article1-unified-v4-2-fb3f101b-20260903-000401-default-f06-p3-jcs321-3-after-final-undeploy-early-2s</x:v>
      </x:c>
      <x:c r="N1337" s="38" t="n">
        <x:v>46268.10604346065</x:v>
      </x:c>
      <x:c r="O1337" s="36"/>
      <x:c r="P1337" s="43"/>
      <x:c r="Q1337" s="43"/>
      <x:c r="R1337" s="43"/>
      <x:c r="S1337" s="36"/>
      <x:c r="T1337" s="44"/>
      <x:c r="U1337" s="36" t="n">
        <x:v>33</x:v>
      </x:c>
      <x:c r="V1337" s="36" t="n">
        <x:v>6</x:v>
      </x:c>
      <x:c r="W133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337" s="36"/>
      <x:c r="Y1337" s="36"/>
      <x:c r="Z1337" s="44"/>
      <x:c r="AA1337" s="49"/>
      <x:c r="AB1337" s="43" t="n">
        <x:v>17</x:v>
      </x:c>
      <x:c r="AC1337" s="34"/>
      <x:c r="AD1337" s="34"/>
      <x:c r="AE1337" s="34" t="str">
        <x:v>article1-unified-v4-2-fb3f101b-20260903-000401-default-f06-p3-jcs321-3-after-final-undeploy-early-2s-thread-dump.txt</x:v>
      </x:c>
      <x:c r="AF1337" s="34" t="str">
        <x:v>article1-unified-v4-2-fb3f101b-20260903-000401-default-f06-p3-jcs321-3-after-final-undeploy-early-tomcat-log.txt</x:v>
      </x:c>
      <x:c r="AG1337" s="34"/>
      <x:c r="AH1337" s="34"/>
      <x:c r="AI1337" s="34"/>
    </x:row>
    <x:row r="1338">
      <x:c r="A1338" s="34" t="str">
        <x:v>article1-unified-v4-2-fb3f101b-20260903-000401-default-f06-p3-jcs321</x:v>
      </x:c>
      <x:c r="B1338" s="34" t="str">
        <x:v>default</x:v>
      </x:c>
      <x:c r="C1338" s="34" t="str">
        <x:v>jcs321</x:v>
      </x:c>
      <x:c r="D1338" s="34" t="str">
        <x:v>jcs321</x:v>
      </x:c>
      <x:c r="E1338" s="36" t="n">
        <x:v>6</x:v>
      </x:c>
      <x:c r="F1338" s="36" t="n">
        <x:v>6</x:v>
      </x:c>
      <x:c r="G1338" s="36" t="n">
        <x:v>3</x:v>
      </x:c>
      <x:c r="H1338" s="36" t="n">
        <x:v>3</x:v>
      </x:c>
      <x:c r="I1338" s="34" t="str">
        <x:v>afterFinalUndeploy</x:v>
      </x:c>
      <x:c r="J1338" s="34" t="str">
        <x:v>after-final-undeploy-final</x:v>
      </x:c>
      <x:c r="K1338" s="36" t="n">
        <x:v>2</x:v>
      </x:c>
      <x:c r="L1338" s="34" t="str">
        <x:v>final</x:v>
      </x:c>
      <x:c r="M1338" s="34" t="str">
        <x:v>article1-unified-v4-2-fb3f101b-20260903-000401-default-f06-p3-jcs321-3-after-final-undeploy-final-10s</x:v>
      </x:c>
      <x:c r="N1338" s="38" t="n">
        <x:v>46268.10619634259</x:v>
      </x:c>
      <x:c r="O1338" s="36" t="n">
        <x:v>2</x:v>
      </x:c>
      <x:c r="P1338" s="43" t="n">
        <x:v>36722688</x:v>
      </x:c>
      <x:c r="Q1338" s="43" t="n">
        <x:v>268435456</x:v>
      </x:c>
      <x:c r="R1338" s="43" t="n">
        <x:v>543278080</x:v>
      </x:c>
      <x:c r="S1338" s="36" t="n">
        <x:v>7</x:v>
      </x:c>
      <x:c r="T1338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0x000077afa803a0d0    4435  21036032  21016208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38" s="36" t="n">
        <x:v>33</x:v>
      </x:c>
      <x:c r="V1338" s="36" t="n">
        <x:v>6</x:v>
      </x:c>
      <x:c r="W133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338" s="36" t="n">
        <x:v>6</x:v>
      </x:c>
      <x:c r="Y1338" s="36" t="n">
        <x:v>6</x:v>
      </x:c>
      <x:c r="Z1338" s="44" t="str">
        <x:v>/jcs321</x:v>
      </x:c>
      <x:c r="AA1338" s="45" t="b">
        <x:v>1</x:v>
      </x:c>
      <x:c r="AB1338" s="43"/>
      <x:c r="AC1338" s="34" t="str">
        <x:v>article1-unified-v4-2-fb3f101b-20260903-000401-default-f06-p3-jcs321-3-after-final-undeploy-final-10s-heap-info.txt</x:v>
      </x:c>
      <x:c r="AD1338" s="34" t="str">
        <x:v>article1-unified-v4-2-fb3f101b-20260903-000401-default-f06-p3-jcs321-3-after-final-undeploy-final-10s-classloader-stats.txt</x:v>
      </x:c>
      <x:c r="AE1338" s="34" t="str">
        <x:v>article1-unified-v4-2-fb3f101b-20260903-000401-default-f06-p3-jcs321-3-after-final-undeploy-final-10s-thread-dump.txt</x:v>
      </x:c>
      <x:c r="AF1338" s="34"/>
      <x:c r="AG1338" s="34" t="str">
        <x:v>article1-unified-v4-2-fb3f101b-20260903-000401-default-f06-p3-jcs321-3-after-final-undeploy-final-10s-native-memory.txt</x:v>
      </x:c>
      <x:c r="AH1338" s="34" t="str">
        <x:v>article1-unified-v4-2-fb3f101b-20260903-000401-default-f06-p3-jcs321-3-after-final-undeploy-final-10s-class-histogram.txt</x:v>
      </x:c>
      <x:c r="AI1338" s="34" t="str">
        <x:v>article1-unified-v4-2-fb3f101b-20260903-000401-default-f06-p3-jcs321-3-after-final-undeploy-tomcat-findleaks.txt</x:v>
      </x:c>
    </x:row>
    <x:row r="1339">
      <x:c r="A1339" s="34" t="str">
        <x:v>article1-unified-v4-2-fb3f101b-20260903-000401-default-f06-p3-jcs321</x:v>
      </x:c>
      <x:c r="B1339" s="34" t="str">
        <x:v>default</x:v>
      </x:c>
      <x:c r="C1339" s="34" t="str">
        <x:v>jcs321</x:v>
      </x:c>
      <x:c r="D1339" s="34" t="str">
        <x:v>jcs321</x:v>
      </x:c>
      <x:c r="E1339" s="36" t="n">
        <x:v>6</x:v>
      </x:c>
      <x:c r="F1339" s="36" t="n">
        <x:v>6</x:v>
      </x:c>
      <x:c r="G1339" s="36" t="n">
        <x:v>3</x:v>
      </x:c>
      <x:c r="H1339" s="36" t="n">
        <x:v>4</x:v>
      </x:c>
      <x:c r="I1339" s="34" t="str">
        <x:v>baseline</x:v>
      </x:c>
      <x:c r="J1339" s="34" t="str">
        <x:v>cycle-baseline</x:v>
      </x:c>
      <x:c r="K1339" s="36" t="n">
        <x:v>0</x:v>
      </x:c>
      <x:c r="L1339" s="34" t="str">
        <x:v>baseline</x:v>
      </x:c>
      <x:c r="M1339" s="34" t="str">
        <x:v>article1-unified-v4-2-fb3f101b-20260903-000401-default-f06-p3-jcs321-4-baseline</x:v>
      </x:c>
      <x:c r="N1339" s="38" t="n">
        <x:v>46268.10623690972</x:v>
      </x:c>
      <x:c r="O1339" s="36" t="n">
        <x:v>0</x:v>
      </x:c>
      <x:c r="P1339" s="43" t="n">
        <x:v>36722688</x:v>
      </x:c>
      <x:c r="Q1339" s="43" t="n">
        <x:v>268435456</x:v>
      </x:c>
      <x:c r="R1339" s="43" t="n">
        <x:v>543887360</x:v>
      </x:c>
      <x:c r="S1339" s="36" t="n">
        <x:v>7</x:v>
      </x:c>
      <x:c r="T1339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0x000077afa803a0d0    4435  21036032  21016208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39" s="36" t="n">
        <x:v>33</x:v>
      </x:c>
      <x:c r="V1339" s="36" t="n">
        <x:v>6</x:v>
      </x:c>
      <x:c r="W133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339" s="36"/>
      <x:c r="Y1339" s="36"/>
      <x:c r="Z1339" s="44"/>
      <x:c r="AA1339" s="49"/>
      <x:c r="AB1339" s="43"/>
      <x:c r="AC1339" s="34" t="str">
        <x:v>article1-unified-v4-2-fb3f101b-20260903-000401-default-f06-p3-jcs321-4-baseline-heap-info.txt</x:v>
      </x:c>
      <x:c r="AD1339" s="34" t="str">
        <x:v>article1-unified-v4-2-fb3f101b-20260903-000401-default-f06-p3-jcs321-4-baseline-classloader-stats.txt</x:v>
      </x:c>
      <x:c r="AE1339" s="34" t="str">
        <x:v>article1-unified-v4-2-fb3f101b-20260903-000401-default-f06-p3-jcs321-4-baseline-thread-dump.txt</x:v>
      </x:c>
      <x:c r="AF1339" s="34"/>
      <x:c r="AG1339" s="34" t="str">
        <x:v>article1-unified-v4-2-fb3f101b-20260903-000401-default-f06-p3-jcs321-4-baseline-native-memory.txt</x:v>
      </x:c>
      <x:c r="AH1339" s="34"/>
      <x:c r="AI1339" s="34"/>
    </x:row>
    <x:row r="1340">
      <x:c r="A1340" s="34" t="str">
        <x:v>article1-unified-v4-2-fb3f101b-20260903-000401-default-f06-p3-jcs321</x:v>
      </x:c>
      <x:c r="B1340" s="34" t="str">
        <x:v>default</x:v>
      </x:c>
      <x:c r="C1340" s="34" t="str">
        <x:v>jcs321</x:v>
      </x:c>
      <x:c r="D1340" s="34" t="str">
        <x:v>jcs321</x:v>
      </x:c>
      <x:c r="E1340" s="36" t="n">
        <x:v>6</x:v>
      </x:c>
      <x:c r="F1340" s="36" t="n">
        <x:v>6</x:v>
      </x:c>
      <x:c r="G1340" s="36" t="n">
        <x:v>3</x:v>
      </x:c>
      <x:c r="H1340" s="36" t="n">
        <x:v>4</x:v>
      </x:c>
      <x:c r="I1340" s="34" t="str">
        <x:v>deployedIdle</x:v>
      </x:c>
      <x:c r="J1340" s="34" t="str">
        <x:v>deployed-idle</x:v>
      </x:c>
      <x:c r="K1340" s="36" t="n">
        <x:v>0</x:v>
      </x:c>
      <x:c r="L1340" s="34" t="str">
        <x:v>initial</x:v>
      </x:c>
      <x:c r="M1340" s="34" t="str">
        <x:v>article1-unified-v4-2-fb3f101b-20260903-000401-default-f06-p3-jcs321-4-deployed-idle</x:v>
      </x:c>
      <x:c r="N1340" s="38" t="n">
        <x:v>46268.10633746528</x:v>
      </x:c>
      <x:c r="O1340" s="36" t="n">
        <x:v>0</x:v>
      </x:c>
      <x:c r="P1340" s="43" t="n">
        <x:v>186641408</x:v>
      </x:c>
      <x:c r="Q1340" s="43" t="n">
        <x:v>268435456</x:v>
      </x:c>
      <x:c r="R1340" s="43" t="n">
        <x:v>567095296</x:v>
      </x:c>
      <x:c r="S1340" s="36" t="n">
        <x:v>8</x:v>
      </x:c>
      <x:c r="T1340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0x000077afa803a0d0    4435  21036032  21016208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0x000077af68199760    4091  19438592  19425024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40" s="36" t="n">
        <x:v>33</x:v>
      </x:c>
      <x:c r="V1340" s="36" t="n">
        <x:v>6</x:v>
      </x:c>
      <x:c r="W134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1340" s="36"/>
      <x:c r="Y1340" s="36"/>
      <x:c r="Z1340" s="44"/>
      <x:c r="AA1340" s="49"/>
      <x:c r="AB1340" s="43"/>
      <x:c r="AC1340" s="34"/>
      <x:c r="AD1340" s="34"/>
      <x:c r="AE1340" s="34"/>
      <x:c r="AF1340" s="34"/>
      <x:c r="AG1340" s="34"/>
      <x:c r="AH1340" s="34"/>
      <x:c r="AI1340" s="34"/>
    </x:row>
    <x:row r="1341">
      <x:c r="A1341" s="34" t="str">
        <x:v>article1-unified-v4-2-fb3f101b-20260903-000401-default-f06-p3-jcs321</x:v>
      </x:c>
      <x:c r="B1341" s="34" t="str">
        <x:v>default</x:v>
      </x:c>
      <x:c r="C1341" s="34" t="str">
        <x:v>jcs321</x:v>
      </x:c>
      <x:c r="D1341" s="34" t="str">
        <x:v>jcs321</x:v>
      </x:c>
      <x:c r="E1341" s="36" t="n">
        <x:v>6</x:v>
      </x:c>
      <x:c r="F1341" s="36" t="n">
        <x:v>6</x:v>
      </x:c>
      <x:c r="G1341" s="36" t="n">
        <x:v>3</x:v>
      </x:c>
      <x:c r="H1341" s="36" t="n">
        <x:v>4</x:v>
      </x:c>
      <x:c r="I1341" s="34" t="str">
        <x:v>loaded</x:v>
      </x:c>
      <x:c r="J1341" s="34" t="str">
        <x:v>loaded</x:v>
      </x:c>
      <x:c r="K1341" s="36" t="n">
        <x:v>0</x:v>
      </x:c>
      <x:c r="L1341" s="34" t="str">
        <x:v>initial</x:v>
      </x:c>
      <x:c r="M1341" s="34" t="str">
        <x:v>article1-unified-v4-2-fb3f101b-20260903-000401-default-f06-p3-jcs321-4-loaded</x:v>
      </x:c>
      <x:c r="N1341" s="38" t="n">
        <x:v>46268.10648732639</x:v>
      </x:c>
      <x:c r="O1341" s="36" t="n">
        <x:v>0</x:v>
      </x:c>
      <x:c r="P1341" s="43" t="n">
        <x:v>146831360</x:v>
      </x:c>
      <x:c r="Q1341" s="43" t="n">
        <x:v>268435456</x:v>
      </x:c>
      <x:c r="R1341" s="43" t="n">
        <x:v>571064320</x:v>
      </x:c>
      <x:c r="S1341" s="36" t="n">
        <x:v>8</x:v>
      </x:c>
      <x:c r="T1341" s="44" t="str">
        <x:v>0x00000000141177b8  0x0000000014003818  0x000077af68199760    4425  21011456  20988544  org.apache.catalina.loader.ParallelWebappClassLoader | 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0x000077afa803a0d0    4435  21036032  21016208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41" s="36" t="n">
        <x:v>34</x:v>
      </x:c>
      <x:c r="V1341" s="36" t="n">
        <x:v>7</x:v>
      </x:c>
      <x:c r="W134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341" s="36"/>
      <x:c r="Y1341" s="36"/>
      <x:c r="Z1341" s="44"/>
      <x:c r="AA1341" s="49"/>
      <x:c r="AB1341" s="43"/>
      <x:c r="AC1341" s="34"/>
      <x:c r="AD1341" s="34"/>
      <x:c r="AE1341" s="34"/>
      <x:c r="AF1341" s="34"/>
      <x:c r="AG1341" s="34"/>
      <x:c r="AH1341" s="34"/>
      <x:c r="AI1341" s="34"/>
    </x:row>
    <x:row r="1342">
      <x:c r="A1342" s="34" t="str">
        <x:v>article1-unified-v4-2-fb3f101b-20260903-000401-default-f06-p3-jcs321</x:v>
      </x:c>
      <x:c r="B1342" s="34" t="str">
        <x:v>default</x:v>
      </x:c>
      <x:c r="C1342" s="34" t="str">
        <x:v>jcs321</x:v>
      </x:c>
      <x:c r="D1342" s="34" t="str">
        <x:v>jcs321</x:v>
      </x:c>
      <x:c r="E1342" s="36" t="n">
        <x:v>6</x:v>
      </x:c>
      <x:c r="F1342" s="36" t="n">
        <x:v>6</x:v>
      </x:c>
      <x:c r="G1342" s="36" t="n">
        <x:v>3</x:v>
      </x:c>
      <x:c r="H1342" s="36" t="n">
        <x:v>4</x:v>
      </x:c>
      <x:c r="I1342" s="34" t="str">
        <x:v>afterUndeployEarly</x:v>
      </x:c>
      <x:c r="J1342" s="34" t="str">
        <x:v>after-undeploy-early</x:v>
      </x:c>
      <x:c r="K1342" s="36" t="n">
        <x:v>1</x:v>
      </x:c>
      <x:c r="L1342" s="34" t="str">
        <x:v>early</x:v>
      </x:c>
      <x:c r="M1342" s="34" t="str">
        <x:v>article1-unified-v4-2-fb3f101b-20260903-000401-default-f06-p3-jcs321-4-after-undeploy-early-2s</x:v>
      </x:c>
      <x:c r="N1342" s="38" t="n">
        <x:v>46268.10656869213</x:v>
      </x:c>
      <x:c r="O1342" s="36"/>
      <x:c r="P1342" s="43"/>
      <x:c r="Q1342" s="43"/>
      <x:c r="R1342" s="43"/>
      <x:c r="S1342" s="36"/>
      <x:c r="T1342" s="44"/>
      <x:c r="U1342" s="36" t="n">
        <x:v>34</x:v>
      </x:c>
      <x:c r="V1342" s="36" t="n">
        <x:v>7</x:v>
      </x:c>
      <x:c r="W134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342" s="36"/>
      <x:c r="Y1342" s="36"/>
      <x:c r="Z1342" s="44"/>
      <x:c r="AA1342" s="49"/>
      <x:c r="AB1342" s="43" t="n">
        <x:v>17</x:v>
      </x:c>
      <x:c r="AC1342" s="34"/>
      <x:c r="AD1342" s="34"/>
      <x:c r="AE1342" s="34" t="str">
        <x:v>article1-unified-v4-2-fb3f101b-20260903-000401-default-f06-p3-jcs321-4-after-undeploy-early-2s-thread-dump.txt</x:v>
      </x:c>
      <x:c r="AF1342" s="34" t="str">
        <x:v>article1-unified-v4-2-fb3f101b-20260903-000401-default-f06-p3-jcs321-4-after-undeploy-early-tomcat-log.txt</x:v>
      </x:c>
      <x:c r="AG1342" s="34"/>
      <x:c r="AH1342" s="34"/>
      <x:c r="AI1342" s="34"/>
    </x:row>
    <x:row r="1343">
      <x:c r="A1343" s="34" t="str">
        <x:v>article1-unified-v4-2-fb3f101b-20260903-000401-default-f06-p3-jcs321</x:v>
      </x:c>
      <x:c r="B1343" s="34" t="str">
        <x:v>default</x:v>
      </x:c>
      <x:c r="C1343" s="34" t="str">
        <x:v>jcs321</x:v>
      </x:c>
      <x:c r="D1343" s="34" t="str">
        <x:v>jcs321</x:v>
      </x:c>
      <x:c r="E1343" s="36" t="n">
        <x:v>6</x:v>
      </x:c>
      <x:c r="F1343" s="36" t="n">
        <x:v>6</x:v>
      </x:c>
      <x:c r="G1343" s="36" t="n">
        <x:v>3</x:v>
      </x:c>
      <x:c r="H1343" s="36" t="n">
        <x:v>4</x:v>
      </x:c>
      <x:c r="I1343" s="34" t="str">
        <x:v>afterUndeploy</x:v>
      </x:c>
      <x:c r="J1343" s="34" t="str">
        <x:v>after-undeploy-final</x:v>
      </x:c>
      <x:c r="K1343" s="36" t="n">
        <x:v>1</x:v>
      </x:c>
      <x:c r="L1343" s="34" t="str">
        <x:v>final</x:v>
      </x:c>
      <x:c r="M1343" s="34" t="str">
        <x:v>article1-unified-v4-2-fb3f101b-20260903-000401-default-f06-p3-jcs321-4-after-undeploy-final-10s</x:v>
      </x:c>
      <x:c r="N1343" s="38" t="n">
        <x:v>46268.10672546296</x:v>
      </x:c>
      <x:c r="O1343" s="36" t="n">
        <x:v>2</x:v>
      </x:c>
      <x:c r="P1343" s="43" t="n">
        <x:v>40949760</x:v>
      </x:c>
      <x:c r="Q1343" s="43" t="n">
        <x:v>268435456</x:v>
      </x:c>
      <x:c r="R1343" s="43" t="n">
        <x:v>567184384</x:v>
      </x:c>
      <x:c r="S1343" s="36" t="n">
        <x:v>8</x:v>
      </x:c>
      <x:c r="T1343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43" s="36" t="n">
        <x:v>34</x:v>
      </x:c>
      <x:c r="V1343" s="36" t="n">
        <x:v>7</x:v>
      </x:c>
      <x:c r="W134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1343" s="36" t="n">
        <x:v>7</x:v>
      </x:c>
      <x:c r="Y1343" s="36" t="n">
        <x:v>7</x:v>
      </x:c>
      <x:c r="Z1343" s="44" t="str">
        <x:v>/jcs321</x:v>
      </x:c>
      <x:c r="AA1343" s="45" t="b">
        <x:v>1</x:v>
      </x:c>
      <x:c r="AB1343" s="43"/>
      <x:c r="AC1343" s="34" t="str">
        <x:v>article1-unified-v4-2-fb3f101b-20260903-000401-default-f06-p3-jcs321-4-after-undeploy-final-10s-heap-info.txt</x:v>
      </x:c>
      <x:c r="AD1343" s="34" t="str">
        <x:v>article1-unified-v4-2-fb3f101b-20260903-000401-default-f06-p3-jcs321-4-after-undeploy-final-10s-classloader-stats.txt</x:v>
      </x:c>
      <x:c r="AE1343" s="34" t="str">
        <x:v>article1-unified-v4-2-fb3f101b-20260903-000401-default-f06-p3-jcs321-4-after-undeploy-final-10s-thread-dump.txt</x:v>
      </x:c>
      <x:c r="AF1343" s="34"/>
      <x:c r="AG1343" s="34" t="str">
        <x:v>article1-unified-v4-2-fb3f101b-20260903-000401-default-f06-p3-jcs321-4-after-undeploy-final-10s-native-memory.txt</x:v>
      </x:c>
      <x:c r="AH1343" s="34" t="str">
        <x:v>article1-unified-v4-2-fb3f101b-20260903-000401-default-f06-p3-jcs321-4-after-undeploy-final-10s-class-histogram.txt</x:v>
      </x:c>
      <x:c r="AI1343" s="34" t="str">
        <x:v>article1-unified-v4-2-fb3f101b-20260903-000401-default-f06-p3-jcs321-4-after-undeploy-tomcat-findleaks.txt</x:v>
      </x:c>
    </x:row>
    <x:row r="1344">
      <x:c r="A1344" s="34" t="str">
        <x:v>article1-unified-v4-2-fb3f101b-20260903-000401-default-f06-p3-jcs321</x:v>
      </x:c>
      <x:c r="B1344" s="34" t="str">
        <x:v>default</x:v>
      </x:c>
      <x:c r="C1344" s="34" t="str">
        <x:v>jcs321</x:v>
      </x:c>
      <x:c r="D1344" s="34" t="str">
        <x:v>jcs321</x:v>
      </x:c>
      <x:c r="E1344" s="36" t="n">
        <x:v>6</x:v>
      </x:c>
      <x:c r="F1344" s="36" t="n">
        <x:v>6</x:v>
      </x:c>
      <x:c r="G1344" s="36" t="n">
        <x:v>3</x:v>
      </x:c>
      <x:c r="H1344" s="36" t="n">
        <x:v>4</x:v>
      </x:c>
      <x:c r="I1344" s="34" t="str">
        <x:v>redeployedLoaded</x:v>
      </x:c>
      <x:c r="J1344" s="34" t="str">
        <x:v>redeployed-loaded</x:v>
      </x:c>
      <x:c r="K1344" s="36" t="n">
        <x:v>0</x:v>
      </x:c>
      <x:c r="L1344" s="34" t="str">
        <x:v>redeploy</x:v>
      </x:c>
      <x:c r="M1344" s="34" t="str">
        <x:v>article1-unified-v4-2-fb3f101b-20260903-000401-default-f06-p3-jcs321-4-redeployed-loaded</x:v>
      </x:c>
      <x:c r="N1344" s="38" t="n">
        <x:v>46268.10697966435</x:v>
      </x:c>
      <x:c r="O1344" s="36" t="n">
        <x:v>0</x:v>
      </x:c>
      <x:c r="P1344" s="43" t="n">
        <x:v>157255680</x:v>
      </x:c>
      <x:c r="Q1344" s="43" t="n">
        <x:v>268435456</x:v>
      </x:c>
      <x:c r="R1344" s="43" t="n">
        <x:v>591446016</x:v>
      </x:c>
      <x:c r="S1344" s="36" t="n">
        <x:v>9</x:v>
      </x:c>
      <x:c r="T1344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4424  21014528  20989912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44" s="36" t="n">
        <x:v>35</x:v>
      </x:c>
      <x:c r="V1344" s="36" t="n">
        <x:v>8</x:v>
      </x:c>
      <x:c r="W134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344" s="36"/>
      <x:c r="Y1344" s="36"/>
      <x:c r="Z1344" s="44"/>
      <x:c r="AA1344" s="49"/>
      <x:c r="AB1344" s="43"/>
      <x:c r="AC1344" s="34"/>
      <x:c r="AD1344" s="34"/>
      <x:c r="AE1344" s="34"/>
      <x:c r="AF1344" s="34"/>
      <x:c r="AG1344" s="34"/>
      <x:c r="AH1344" s="34"/>
      <x:c r="AI1344" s="34"/>
    </x:row>
    <x:row r="1345">
      <x:c r="A1345" s="34" t="str">
        <x:v>article1-unified-v4-2-fb3f101b-20260903-000401-default-f06-p3-jcs321</x:v>
      </x:c>
      <x:c r="B1345" s="34" t="str">
        <x:v>default</x:v>
      </x:c>
      <x:c r="C1345" s="34" t="str">
        <x:v>jcs321</x:v>
      </x:c>
      <x:c r="D1345" s="34" t="str">
        <x:v>jcs321</x:v>
      </x:c>
      <x:c r="E1345" s="36" t="n">
        <x:v>6</x:v>
      </x:c>
      <x:c r="F1345" s="36" t="n">
        <x:v>6</x:v>
      </x:c>
      <x:c r="G1345" s="36" t="n">
        <x:v>3</x:v>
      </x:c>
      <x:c r="H1345" s="36" t="n">
        <x:v>4</x:v>
      </x:c>
      <x:c r="I1345" s="34" t="str">
        <x:v>afterFinalUndeployEarly</x:v>
      </x:c>
      <x:c r="J1345" s="34" t="str">
        <x:v>after-final-undeploy-early</x:v>
      </x:c>
      <x:c r="K1345" s="36" t="n">
        <x:v>2</x:v>
      </x:c>
      <x:c r="L1345" s="34" t="str">
        <x:v>early</x:v>
      </x:c>
      <x:c r="M1345" s="34" t="str">
        <x:v>article1-unified-v4-2-fb3f101b-20260903-000401-default-f06-p3-jcs321-4-after-final-undeploy-early-2s</x:v>
      </x:c>
      <x:c r="N1345" s="38" t="n">
        <x:v>46268.10706115741</x:v>
      </x:c>
      <x:c r="O1345" s="36"/>
      <x:c r="P1345" s="43"/>
      <x:c r="Q1345" s="43"/>
      <x:c r="R1345" s="43"/>
      <x:c r="S1345" s="36"/>
      <x:c r="T1345" s="44"/>
      <x:c r="U1345" s="36" t="n">
        <x:v>35</x:v>
      </x:c>
      <x:c r="V1345" s="36" t="n">
        <x:v>8</x:v>
      </x:c>
      <x:c r="W134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345" s="36"/>
      <x:c r="Y1345" s="36"/>
      <x:c r="Z1345" s="44"/>
      <x:c r="AA1345" s="49"/>
      <x:c r="AB1345" s="43" t="n">
        <x:v>17</x:v>
      </x:c>
      <x:c r="AC1345" s="34"/>
      <x:c r="AD1345" s="34"/>
      <x:c r="AE1345" s="34" t="str">
        <x:v>article1-unified-v4-2-fb3f101b-20260903-000401-default-f06-p3-jcs321-4-after-final-undeploy-early-2s-thread-dump.txt</x:v>
      </x:c>
      <x:c r="AF1345" s="34" t="str">
        <x:v>article1-unified-v4-2-fb3f101b-20260903-000401-default-f06-p3-jcs321-4-after-final-undeploy-early-tomcat-log.txt</x:v>
      </x:c>
      <x:c r="AG1345" s="34"/>
      <x:c r="AH1345" s="34"/>
      <x:c r="AI1345" s="34"/>
    </x:row>
    <x:row r="1346">
      <x:c r="A1346" s="34" t="str">
        <x:v>article1-unified-v4-2-fb3f101b-20260903-000401-default-f06-p3-jcs321</x:v>
      </x:c>
      <x:c r="B1346" s="34" t="str">
        <x:v>default</x:v>
      </x:c>
      <x:c r="C1346" s="34" t="str">
        <x:v>jcs321</x:v>
      </x:c>
      <x:c r="D1346" s="34" t="str">
        <x:v>jcs321</x:v>
      </x:c>
      <x:c r="E1346" s="36" t="n">
        <x:v>6</x:v>
      </x:c>
      <x:c r="F1346" s="36" t="n">
        <x:v>6</x:v>
      </x:c>
      <x:c r="G1346" s="36" t="n">
        <x:v>3</x:v>
      </x:c>
      <x:c r="H1346" s="36" t="n">
        <x:v>4</x:v>
      </x:c>
      <x:c r="I1346" s="34" t="str">
        <x:v>afterFinalUndeploy</x:v>
      </x:c>
      <x:c r="J1346" s="34" t="str">
        <x:v>after-final-undeploy-final</x:v>
      </x:c>
      <x:c r="K1346" s="36" t="n">
        <x:v>2</x:v>
      </x:c>
      <x:c r="L1346" s="34" t="str">
        <x:v>final</x:v>
      </x:c>
      <x:c r="M1346" s="34" t="str">
        <x:v>article1-unified-v4-2-fb3f101b-20260903-000401-default-f06-p3-jcs321-4-after-final-undeploy-final-10s</x:v>
      </x:c>
      <x:c r="N1346" s="38" t="n">
        <x:v>46268.10721450231</x:v>
      </x:c>
      <x:c r="O1346" s="36" t="n">
        <x:v>2</x:v>
      </x:c>
      <x:c r="P1346" s="43" t="n">
        <x:v>45294592</x:v>
      </x:c>
      <x:c r="Q1346" s="43" t="n">
        <x:v>268435456</x:v>
      </x:c>
      <x:c r="R1346" s="43" t="n">
        <x:v>590967808</x:v>
      </x:c>
      <x:c r="S1346" s="36" t="n">
        <x:v>9</x:v>
      </x:c>
      <x:c r="T1346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4438  21047296  21024864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46" s="36" t="n">
        <x:v>35</x:v>
      </x:c>
      <x:c r="V1346" s="36" t="n">
        <x:v>8</x:v>
      </x:c>
      <x:c r="W134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346" s="36" t="n">
        <x:v>8</x:v>
      </x:c>
      <x:c r="Y1346" s="36" t="n">
        <x:v>8</x:v>
      </x:c>
      <x:c r="Z1346" s="44" t="str">
        <x:v>/jcs321</x:v>
      </x:c>
      <x:c r="AA1346" s="45" t="b">
        <x:v>1</x:v>
      </x:c>
      <x:c r="AB1346" s="43"/>
      <x:c r="AC1346" s="34" t="str">
        <x:v>article1-unified-v4-2-fb3f101b-20260903-000401-default-f06-p3-jcs321-4-after-final-undeploy-final-10s-heap-info.txt</x:v>
      </x:c>
      <x:c r="AD1346" s="34" t="str">
        <x:v>article1-unified-v4-2-fb3f101b-20260903-000401-default-f06-p3-jcs321-4-after-final-undeploy-final-10s-classloader-stats.txt</x:v>
      </x:c>
      <x:c r="AE1346" s="34" t="str">
        <x:v>article1-unified-v4-2-fb3f101b-20260903-000401-default-f06-p3-jcs321-4-after-final-undeploy-final-10s-thread-dump.txt</x:v>
      </x:c>
      <x:c r="AF1346" s="34"/>
      <x:c r="AG1346" s="34" t="str">
        <x:v>article1-unified-v4-2-fb3f101b-20260903-000401-default-f06-p3-jcs321-4-after-final-undeploy-final-10s-native-memory.txt</x:v>
      </x:c>
      <x:c r="AH1346" s="34" t="str">
        <x:v>article1-unified-v4-2-fb3f101b-20260903-000401-default-f06-p3-jcs321-4-after-final-undeploy-final-10s-class-histogram.txt</x:v>
      </x:c>
      <x:c r="AI1346" s="34" t="str">
        <x:v>article1-unified-v4-2-fb3f101b-20260903-000401-default-f06-p3-jcs321-4-after-final-undeploy-tomcat-findleaks.txt</x:v>
      </x:c>
    </x:row>
    <x:row r="1347">
      <x:c r="A1347" s="34" t="str">
        <x:v>article1-unified-v4-2-fb3f101b-20260903-000401-default-f06-p3-jcs321</x:v>
      </x:c>
      <x:c r="B1347" s="34" t="str">
        <x:v>default</x:v>
      </x:c>
      <x:c r="C1347" s="34" t="str">
        <x:v>jcs321</x:v>
      </x:c>
      <x:c r="D1347" s="34" t="str">
        <x:v>jcs321</x:v>
      </x:c>
      <x:c r="E1347" s="36" t="n">
        <x:v>6</x:v>
      </x:c>
      <x:c r="F1347" s="36" t="n">
        <x:v>6</x:v>
      </x:c>
      <x:c r="G1347" s="36" t="n">
        <x:v>3</x:v>
      </x:c>
      <x:c r="H1347" s="36" t="n">
        <x:v>5</x:v>
      </x:c>
      <x:c r="I1347" s="34" t="str">
        <x:v>baseline</x:v>
      </x:c>
      <x:c r="J1347" s="34" t="str">
        <x:v>cycle-baseline</x:v>
      </x:c>
      <x:c r="K1347" s="36" t="n">
        <x:v>0</x:v>
      </x:c>
      <x:c r="L1347" s="34" t="str">
        <x:v>baseline</x:v>
      </x:c>
      <x:c r="M1347" s="34" t="str">
        <x:v>article1-unified-v4-2-fb3f101b-20260903-000401-default-f06-p3-jcs321-5-baseline</x:v>
      </x:c>
      <x:c r="N1347" s="38" t="n">
        <x:v>46268.10725940972</x:v>
      </x:c>
      <x:c r="O1347" s="36" t="n">
        <x:v>0</x:v>
      </x:c>
      <x:c r="P1347" s="43" t="n">
        <x:v>45297664</x:v>
      </x:c>
      <x:c r="Q1347" s="43" t="n">
        <x:v>268435456</x:v>
      </x:c>
      <x:c r="R1347" s="43" t="n">
        <x:v>590967808</x:v>
      </x:c>
      <x:c r="S1347" s="36" t="n">
        <x:v>9</x:v>
      </x:c>
      <x:c r="T1347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4438  21047296  21024864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47" s="36" t="n">
        <x:v>35</x:v>
      </x:c>
      <x:c r="V1347" s="36" t="n">
        <x:v>8</x:v>
      </x:c>
      <x:c r="W134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347" s="36"/>
      <x:c r="Y1347" s="36"/>
      <x:c r="Z1347" s="44"/>
      <x:c r="AA1347" s="49"/>
      <x:c r="AB1347" s="43"/>
      <x:c r="AC1347" s="34" t="str">
        <x:v>article1-unified-v4-2-fb3f101b-20260903-000401-default-f06-p3-jcs321-5-baseline-heap-info.txt</x:v>
      </x:c>
      <x:c r="AD1347" s="34" t="str">
        <x:v>article1-unified-v4-2-fb3f101b-20260903-000401-default-f06-p3-jcs321-5-baseline-classloader-stats.txt</x:v>
      </x:c>
      <x:c r="AE1347" s="34" t="str">
        <x:v>article1-unified-v4-2-fb3f101b-20260903-000401-default-f06-p3-jcs321-5-baseline-thread-dump.txt</x:v>
      </x:c>
      <x:c r="AF1347" s="34"/>
      <x:c r="AG1347" s="34" t="str">
        <x:v>article1-unified-v4-2-fb3f101b-20260903-000401-default-f06-p3-jcs321-5-baseline-native-memory.txt</x:v>
      </x:c>
      <x:c r="AH1347" s="34"/>
      <x:c r="AI1347" s="34"/>
    </x:row>
    <x:row r="1348">
      <x:c r="A1348" s="34" t="str">
        <x:v>article1-unified-v4-2-fb3f101b-20260903-000401-default-f06-p3-jcs321</x:v>
      </x:c>
      <x:c r="B1348" s="34" t="str">
        <x:v>default</x:v>
      </x:c>
      <x:c r="C1348" s="34" t="str">
        <x:v>jcs321</x:v>
      </x:c>
      <x:c r="D1348" s="34" t="str">
        <x:v>jcs321</x:v>
      </x:c>
      <x:c r="E1348" s="36" t="n">
        <x:v>6</x:v>
      </x:c>
      <x:c r="F1348" s="36" t="n">
        <x:v>6</x:v>
      </x:c>
      <x:c r="G1348" s="36" t="n">
        <x:v>3</x:v>
      </x:c>
      <x:c r="H1348" s="36" t="n">
        <x:v>5</x:v>
      </x:c>
      <x:c r="I1348" s="34" t="str">
        <x:v>deployedIdle</x:v>
      </x:c>
      <x:c r="J1348" s="34" t="str">
        <x:v>deployed-idle</x:v>
      </x:c>
      <x:c r="K1348" s="36" t="n">
        <x:v>0</x:v>
      </x:c>
      <x:c r="L1348" s="34" t="str">
        <x:v>initial</x:v>
      </x:c>
      <x:c r="M1348" s="34" t="str">
        <x:v>article1-unified-v4-2-fb3f101b-20260903-000401-default-f06-p3-jcs321-5-deployed-idle</x:v>
      </x:c>
      <x:c r="N1348" s="38" t="n">
        <x:v>46268.10735549768</x:v>
      </x:c>
      <x:c r="O1348" s="36" t="n">
        <x:v>0</x:v>
      </x:c>
      <x:c r="P1348" s="43" t="n">
        <x:v>195760128</x:v>
      </x:c>
      <x:c r="Q1348" s="43" t="n">
        <x:v>268435456</x:v>
      </x:c>
      <x:c r="R1348" s="43" t="n">
        <x:v>634784768</x:v>
      </x:c>
      <x:c r="S1348" s="36" t="n">
        <x:v>10</x:v>
      </x:c>
      <x:c r="T1348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4438  21047296  21024864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0x000077af640026f0    4091  19446784  19431560  org.apache.catalina.loader.ParallelWebappClassLoader | 0x00000000141177b8  0x0000000014003818  0x000077af6c199700    4430  21023744  21015264  org.apache.catalina.loader.ParallelWebappClassLoader</x:v>
      </x:c>
      <x:c r="U1348" s="36" t="n">
        <x:v>35</x:v>
      </x:c>
      <x:c r="V1348" s="36" t="n">
        <x:v>8</x:v>
      </x:c>
      <x:c r="W134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1348" s="36"/>
      <x:c r="Y1348" s="36"/>
      <x:c r="Z1348" s="44"/>
      <x:c r="AA1348" s="49"/>
      <x:c r="AB1348" s="43"/>
      <x:c r="AC1348" s="34"/>
      <x:c r="AD1348" s="34"/>
      <x:c r="AE1348" s="34"/>
      <x:c r="AF1348" s="34"/>
      <x:c r="AG1348" s="34"/>
      <x:c r="AH1348" s="34"/>
      <x:c r="AI1348" s="34"/>
    </x:row>
    <x:row r="1349">
      <x:c r="A1349" s="34" t="str">
        <x:v>article1-unified-v4-2-fb3f101b-20260903-000401-default-f06-p3-jcs321</x:v>
      </x:c>
      <x:c r="B1349" s="34" t="str">
        <x:v>default</x:v>
      </x:c>
      <x:c r="C1349" s="34" t="str">
        <x:v>jcs321</x:v>
      </x:c>
      <x:c r="D1349" s="34" t="str">
        <x:v>jcs321</x:v>
      </x:c>
      <x:c r="E1349" s="36" t="n">
        <x:v>6</x:v>
      </x:c>
      <x:c r="F1349" s="36" t="n">
        <x:v>6</x:v>
      </x:c>
      <x:c r="G1349" s="36" t="n">
        <x:v>3</x:v>
      </x:c>
      <x:c r="H1349" s="36" t="n">
        <x:v>5</x:v>
      </x:c>
      <x:c r="I1349" s="34" t="str">
        <x:v>loaded</x:v>
      </x:c>
      <x:c r="J1349" s="34" t="str">
        <x:v>loaded</x:v>
      </x:c>
      <x:c r="K1349" s="36" t="n">
        <x:v>0</x:v>
      </x:c>
      <x:c r="L1349" s="34" t="str">
        <x:v>initial</x:v>
      </x:c>
      <x:c r="M1349" s="34" t="str">
        <x:v>article1-unified-v4-2-fb3f101b-20260903-000401-default-f06-p3-jcs321-5-loaded</x:v>
      </x:c>
      <x:c r="N1349" s="38" t="n">
        <x:v>46268.107505960645</x:v>
      </x:c>
      <x:c r="O1349" s="36" t="n">
        <x:v>0</x:v>
      </x:c>
      <x:c r="P1349" s="43" t="n">
        <x:v>160522240</x:v>
      </x:c>
      <x:c r="Q1349" s="43" t="n">
        <x:v>268435456</x:v>
      </x:c>
      <x:c r="R1349" s="43" t="n">
        <x:v>616418304</x:v>
      </x:c>
      <x:c r="S1349" s="36" t="n">
        <x:v>10</x:v>
      </x:c>
      <x:c r="T1349" s="44" t="str">
        <x:v>0x00000000141177b8  0x0000000014003818  0x000077af640026f0    4415  21003264  20981792  org.apache.catalina.loader.ParallelWebappClassLoader | 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4438  21047296  21024864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49" s="36" t="n">
        <x:v>36</x:v>
      </x:c>
      <x:c r="V1349" s="36" t="n">
        <x:v>9</x:v>
      </x:c>
      <x:c r="W134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1349" s="36"/>
      <x:c r="Y1349" s="36"/>
      <x:c r="Z1349" s="44"/>
      <x:c r="AA1349" s="49"/>
      <x:c r="AB1349" s="43"/>
      <x:c r="AC1349" s="34"/>
      <x:c r="AD1349" s="34"/>
      <x:c r="AE1349" s="34"/>
      <x:c r="AF1349" s="34"/>
      <x:c r="AG1349" s="34"/>
      <x:c r="AH1349" s="34"/>
      <x:c r="AI1349" s="34"/>
    </x:row>
    <x:row r="1350">
      <x:c r="A1350" s="34" t="str">
        <x:v>article1-unified-v4-2-fb3f101b-20260903-000401-default-f06-p3-jcs321</x:v>
      </x:c>
      <x:c r="B1350" s="34" t="str">
        <x:v>default</x:v>
      </x:c>
      <x:c r="C1350" s="34" t="str">
        <x:v>jcs321</x:v>
      </x:c>
      <x:c r="D1350" s="34" t="str">
        <x:v>jcs321</x:v>
      </x:c>
      <x:c r="E1350" s="36" t="n">
        <x:v>6</x:v>
      </x:c>
      <x:c r="F1350" s="36" t="n">
        <x:v>6</x:v>
      </x:c>
      <x:c r="G1350" s="36" t="n">
        <x:v>3</x:v>
      </x:c>
      <x:c r="H1350" s="36" t="n">
        <x:v>5</x:v>
      </x:c>
      <x:c r="I1350" s="34" t="str">
        <x:v>afterUndeployEarly</x:v>
      </x:c>
      <x:c r="J1350" s="34" t="str">
        <x:v>after-undeploy-early</x:v>
      </x:c>
      <x:c r="K1350" s="36" t="n">
        <x:v>1</x:v>
      </x:c>
      <x:c r="L1350" s="34" t="str">
        <x:v>early</x:v>
      </x:c>
      <x:c r="M1350" s="34" t="str">
        <x:v>article1-unified-v4-2-fb3f101b-20260903-000401-default-f06-p3-jcs321-5-after-undeploy-early-2s</x:v>
      </x:c>
      <x:c r="N1350" s="38" t="n">
        <x:v>46268.107587175924</x:v>
      </x:c>
      <x:c r="O1350" s="36"/>
      <x:c r="P1350" s="43"/>
      <x:c r="Q1350" s="43"/>
      <x:c r="R1350" s="43"/>
      <x:c r="S1350" s="36"/>
      <x:c r="T1350" s="44"/>
      <x:c r="U1350" s="36" t="n">
        <x:v>36</x:v>
      </x:c>
      <x:c r="V1350" s="36" t="n">
        <x:v>9</x:v>
      </x:c>
      <x:c r="W135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1350" s="36"/>
      <x:c r="Y1350" s="36"/>
      <x:c r="Z1350" s="44"/>
      <x:c r="AA1350" s="49"/>
      <x:c r="AB1350" s="43" t="n">
        <x:v>17</x:v>
      </x:c>
      <x:c r="AC1350" s="34"/>
      <x:c r="AD1350" s="34"/>
      <x:c r="AE1350" s="34" t="str">
        <x:v>article1-unified-v4-2-fb3f101b-20260903-000401-default-f06-p3-jcs321-5-after-undeploy-early-2s-thread-dump.txt</x:v>
      </x:c>
      <x:c r="AF1350" s="34" t="str">
        <x:v>article1-unified-v4-2-fb3f101b-20260903-000401-default-f06-p3-jcs321-5-after-undeploy-early-tomcat-log.txt</x:v>
      </x:c>
      <x:c r="AG1350" s="34"/>
      <x:c r="AH1350" s="34"/>
      <x:c r="AI1350" s="34"/>
    </x:row>
    <x:row r="1351">
      <x:c r="A1351" s="34" t="str">
        <x:v>article1-unified-v4-2-fb3f101b-20260903-000401-default-f06-p3-jcs321</x:v>
      </x:c>
      <x:c r="B1351" s="34" t="str">
        <x:v>default</x:v>
      </x:c>
      <x:c r="C1351" s="34" t="str">
        <x:v>jcs321</x:v>
      </x:c>
      <x:c r="D1351" s="34" t="str">
        <x:v>jcs321</x:v>
      </x:c>
      <x:c r="E1351" s="36" t="n">
        <x:v>6</x:v>
      </x:c>
      <x:c r="F1351" s="36" t="n">
        <x:v>6</x:v>
      </x:c>
      <x:c r="G1351" s="36" t="n">
        <x:v>3</x:v>
      </x:c>
      <x:c r="H1351" s="36" t="n">
        <x:v>5</x:v>
      </x:c>
      <x:c r="I1351" s="34" t="str">
        <x:v>afterUndeploy</x:v>
      </x:c>
      <x:c r="J1351" s="34" t="str">
        <x:v>after-undeploy-final</x:v>
      </x:c>
      <x:c r="K1351" s="36" t="n">
        <x:v>1</x:v>
      </x:c>
      <x:c r="L1351" s="34" t="str">
        <x:v>final</x:v>
      </x:c>
      <x:c r="M1351" s="34" t="str">
        <x:v>article1-unified-v4-2-fb3f101b-20260903-000401-default-f06-p3-jcs321-5-after-undeploy-final-10s</x:v>
      </x:c>
      <x:c r="N1351" s="38" t="n">
        <x:v>46268.10774613426</x:v>
      </x:c>
      <x:c r="O1351" s="36" t="n">
        <x:v>2</x:v>
      </x:c>
      <x:c r="P1351" s="43" t="n">
        <x:v>49536000</x:v>
      </x:c>
      <x:c r="Q1351" s="43" t="n">
        <x:v>268435456</x:v>
      </x:c>
      <x:c r="R1351" s="43" t="n">
        <x:v>614330368</x:v>
      </x:c>
      <x:c r="S1351" s="36" t="n">
        <x:v>10</x:v>
      </x:c>
      <x:c r="T1351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0x000077af640026f0    4429  21036032  21016744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4438  21047296  21024864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51" s="36" t="n">
        <x:v>36</x:v>
      </x:c>
      <x:c r="V1351" s="36" t="n">
        <x:v>9</x:v>
      </x:c>
      <x:c r="W135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1351" s="36" t="n">
        <x:v>9</x:v>
      </x:c>
      <x:c r="Y1351" s="36" t="n">
        <x:v>9</x:v>
      </x:c>
      <x:c r="Z1351" s="44" t="str">
        <x:v>/jcs321</x:v>
      </x:c>
      <x:c r="AA1351" s="45" t="b">
        <x:v>1</x:v>
      </x:c>
      <x:c r="AB1351" s="43"/>
      <x:c r="AC1351" s="34" t="str">
        <x:v>article1-unified-v4-2-fb3f101b-20260903-000401-default-f06-p3-jcs321-5-after-undeploy-final-10s-heap-info.txt</x:v>
      </x:c>
      <x:c r="AD1351" s="34" t="str">
        <x:v>article1-unified-v4-2-fb3f101b-20260903-000401-default-f06-p3-jcs321-5-after-undeploy-final-10s-classloader-stats.txt</x:v>
      </x:c>
      <x:c r="AE1351" s="34" t="str">
        <x:v>article1-unified-v4-2-fb3f101b-20260903-000401-default-f06-p3-jcs321-5-after-undeploy-final-10s-thread-dump.txt</x:v>
      </x:c>
      <x:c r="AF1351" s="34"/>
      <x:c r="AG1351" s="34" t="str">
        <x:v>article1-unified-v4-2-fb3f101b-20260903-000401-default-f06-p3-jcs321-5-after-undeploy-final-10s-native-memory.txt</x:v>
      </x:c>
      <x:c r="AH1351" s="34" t="str">
        <x:v>article1-unified-v4-2-fb3f101b-20260903-000401-default-f06-p3-jcs321-5-after-undeploy-final-10s-class-histogram.txt</x:v>
      </x:c>
      <x:c r="AI1351" s="34" t="str">
        <x:v>article1-unified-v4-2-fb3f101b-20260903-000401-default-f06-p3-jcs321-5-after-undeploy-tomcat-findleaks.txt</x:v>
      </x:c>
    </x:row>
    <x:row r="1352">
      <x:c r="A1352" s="34" t="str">
        <x:v>article1-unified-v4-2-fb3f101b-20260903-000401-default-f06-p3-jcs321</x:v>
      </x:c>
      <x:c r="B1352" s="34" t="str">
        <x:v>default</x:v>
      </x:c>
      <x:c r="C1352" s="34" t="str">
        <x:v>jcs321</x:v>
      </x:c>
      <x:c r="D1352" s="34" t="str">
        <x:v>jcs321</x:v>
      </x:c>
      <x:c r="E1352" s="36" t="n">
        <x:v>6</x:v>
      </x:c>
      <x:c r="F1352" s="36" t="n">
        <x:v>6</x:v>
      </x:c>
      <x:c r="G1352" s="36" t="n">
        <x:v>3</x:v>
      </x:c>
      <x:c r="H1352" s="36" t="n">
        <x:v>5</x:v>
      </x:c>
      <x:c r="I1352" s="34" t="str">
        <x:v>redeployedLoaded</x:v>
      </x:c>
      <x:c r="J1352" s="34" t="str">
        <x:v>redeployed-loaded</x:v>
      </x:c>
      <x:c r="K1352" s="36" t="n">
        <x:v>0</x:v>
      </x:c>
      <x:c r="L1352" s="34" t="str">
        <x:v>redeploy</x:v>
      </x:c>
      <x:c r="M1352" s="34" t="str">
        <x:v>article1-unified-v4-2-fb3f101b-20260903-000401-default-f06-p3-jcs321-5-redeployed-loaded</x:v>
      </x:c>
      <x:c r="N1352" s="38" t="n">
        <x:v>46268.10799841435</x:v>
      </x:c>
      <x:c r="O1352" s="36" t="n">
        <x:v>0</x:v>
      </x:c>
      <x:c r="P1352" s="43" t="n">
        <x:v>165482496</x:v>
      </x:c>
      <x:c r="Q1352" s="43" t="n">
        <x:v>268435456</x:v>
      </x:c>
      <x:c r="R1352" s="43" t="n">
        <x:v>639090688</x:v>
      </x:c>
      <x:c r="S1352" s="36" t="n">
        <x:v>11</x:v>
      </x:c>
      <x:c r="T1352" s="44" t="str">
        <x:v>0x00000000141177b8  0x0000000014003818  0x000077af341a01c0    4413  20972544  20949496  org.apache.catalina.loader.ParallelWebappClassLoader | 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0x000077af640026f0    4429  21036032  21016744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4438  21047296  21024864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52" s="36" t="n">
        <x:v>37</x:v>
      </x:c>
      <x:c r="V1352" s="36" t="n">
        <x:v>10</x:v>
      </x:c>
      <x:c r="W135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352" s="36"/>
      <x:c r="Y1352" s="36"/>
      <x:c r="Z1352" s="44"/>
      <x:c r="AA1352" s="49"/>
      <x:c r="AB1352" s="43"/>
      <x:c r="AC1352" s="34"/>
      <x:c r="AD1352" s="34"/>
      <x:c r="AE1352" s="34"/>
      <x:c r="AF1352" s="34"/>
      <x:c r="AG1352" s="34"/>
      <x:c r="AH1352" s="34"/>
      <x:c r="AI1352" s="34"/>
    </x:row>
    <x:row r="1353">
      <x:c r="A1353" s="34" t="str">
        <x:v>article1-unified-v4-2-fb3f101b-20260903-000401-default-f06-p3-jcs321</x:v>
      </x:c>
      <x:c r="B1353" s="34" t="str">
        <x:v>default</x:v>
      </x:c>
      <x:c r="C1353" s="34" t="str">
        <x:v>jcs321</x:v>
      </x:c>
      <x:c r="D1353" s="34" t="str">
        <x:v>jcs321</x:v>
      </x:c>
      <x:c r="E1353" s="36" t="n">
        <x:v>6</x:v>
      </x:c>
      <x:c r="F1353" s="36" t="n">
        <x:v>6</x:v>
      </x:c>
      <x:c r="G1353" s="36" t="n">
        <x:v>3</x:v>
      </x:c>
      <x:c r="H1353" s="36" t="n">
        <x:v>5</x:v>
      </x:c>
      <x:c r="I1353" s="34" t="str">
        <x:v>afterFinalUndeployEarly</x:v>
      </x:c>
      <x:c r="J1353" s="34" t="str">
        <x:v>after-final-undeploy-early</x:v>
      </x:c>
      <x:c r="K1353" s="36" t="n">
        <x:v>2</x:v>
      </x:c>
      <x:c r="L1353" s="34" t="str">
        <x:v>early</x:v>
      </x:c>
      <x:c r="M1353" s="34" t="str">
        <x:v>article1-unified-v4-2-fb3f101b-20260903-000401-default-f06-p3-jcs321-5-after-final-undeploy-early-2s</x:v>
      </x:c>
      <x:c r="N1353" s="38" t="n">
        <x:v>46268.10807966435</x:v>
      </x:c>
      <x:c r="O1353" s="36"/>
      <x:c r="P1353" s="43"/>
      <x:c r="Q1353" s="43"/>
      <x:c r="R1353" s="43"/>
      <x:c r="S1353" s="36"/>
      <x:c r="T1353" s="44"/>
      <x:c r="U1353" s="36" t="n">
        <x:v>37</x:v>
      </x:c>
      <x:c r="V1353" s="36" t="n">
        <x:v>10</x:v>
      </x:c>
      <x:c r="W135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353" s="36"/>
      <x:c r="Y1353" s="36"/>
      <x:c r="Z1353" s="44"/>
      <x:c r="AA1353" s="49"/>
      <x:c r="AB1353" s="43" t="n">
        <x:v>17</x:v>
      </x:c>
      <x:c r="AC1353" s="34"/>
      <x:c r="AD1353" s="34"/>
      <x:c r="AE1353" s="34" t="str">
        <x:v>article1-unified-v4-2-fb3f101b-20260903-000401-default-f06-p3-jcs321-5-after-final-undeploy-early-2s-thread-dump.txt</x:v>
      </x:c>
      <x:c r="AF1353" s="34" t="str">
        <x:v>article1-unified-v4-2-fb3f101b-20260903-000401-default-f06-p3-jcs321-5-after-final-undeploy-early-tomcat-log.txt</x:v>
      </x:c>
      <x:c r="AG1353" s="34"/>
      <x:c r="AH1353" s="34"/>
      <x:c r="AI1353" s="34"/>
    </x:row>
    <x:row r="1354">
      <x:c r="A1354" s="34" t="str">
        <x:v>article1-unified-v4-2-fb3f101b-20260903-000401-default-f06-p3-jcs321</x:v>
      </x:c>
      <x:c r="B1354" s="34" t="str">
        <x:v>default</x:v>
      </x:c>
      <x:c r="C1354" s="34" t="str">
        <x:v>jcs321</x:v>
      </x:c>
      <x:c r="D1354" s="34" t="str">
        <x:v>jcs321</x:v>
      </x:c>
      <x:c r="E1354" s="36" t="n">
        <x:v>6</x:v>
      </x:c>
      <x:c r="F1354" s="36" t="n">
        <x:v>6</x:v>
      </x:c>
      <x:c r="G1354" s="36" t="n">
        <x:v>3</x:v>
      </x:c>
      <x:c r="H1354" s="36" t="n">
        <x:v>5</x:v>
      </x:c>
      <x:c r="I1354" s="34" t="str">
        <x:v>afterFinalUndeploy</x:v>
      </x:c>
      <x:c r="J1354" s="34" t="str">
        <x:v>after-final-undeploy-final</x:v>
      </x:c>
      <x:c r="K1354" s="36" t="n">
        <x:v>2</x:v>
      </x:c>
      <x:c r="L1354" s="34" t="str">
        <x:v>final</x:v>
      </x:c>
      <x:c r="M1354" s="34" t="str">
        <x:v>article1-unified-v4-2-fb3f101b-20260903-000401-default-f06-p3-jcs321-5-after-final-undeploy-final-10s</x:v>
      </x:c>
      <x:c r="N1354" s="38" t="n">
        <x:v>46268.108237650464</x:v>
      </x:c>
      <x:c r="O1354" s="36" t="n">
        <x:v>2</x:v>
      </x:c>
      <x:c r="P1354" s="43" t="n">
        <x:v>53752832</x:v>
      </x:c>
      <x:c r="Q1354" s="43" t="n">
        <x:v>268435456</x:v>
      </x:c>
      <x:c r="R1354" s="43" t="n">
        <x:v>636213248</x:v>
      </x:c>
      <x:c r="S1354" s="36" t="n">
        <x:v>11</x:v>
      </x:c>
      <x:c r="T1354" s="44" t="str">
        <x:v>0x00000000141177b8  0x0000000014003818  0x000077af8c042940    4443  21005312  20982688  org.apache.catalina.loader.ParallelWebappClassLoader | 0x00000000141177b8  0x0000000014003818  0x000077af9819bd10    4427  21024768  21006984  org.apache.catalina.loader.ParallelWebappClassLoader | 0x00000000141177b8  0x0000000014003818  0x000077af640026f0    4429  21036032  21016744  org.apache.catalina.loader.ParallelWebappClassLoader | 0x00000000141177b8  0x0000000014003818  0x000077afa0005de0    4435  21026816  21017168  org.apache.catalina.loader.ParallelWebappClassLoader | 0x00000000141177b8  0x0000000014003818  0x000077afa4199b90    4432  21023744  21012200  org.apache.catalina.loader.ParallelWebappClassLoader | 0x00000000141177b8  0x0000000014003818  0x000077af40027ed0    4438  21047296  21024864  org.apache.catalina.loader.ParallelWebappClassLoader | 0x00000000141177b8  0x0000000014003818  0x000077af341a01c0    4427  20988928  20984440  org.apache.catalina.loader.ParallelWebappClassLoader | 0x00000000141177b8  0x0000000014003818  0x000077afa803a0d0    4435  21036032  21016208  org.apache.catalina.loader.ParallelWebappClassLoader | 0x00000000141177b8  0x0000000014003818  0x000077af68199760    4439  21027840  21023488  org.apache.catalina.loader.ParallelWebappClassLoader | 0x00000000141177b8  0x0000000014003818  0x000077b03860de30       0         0         0  org.apache.catalina.loader.ParallelWebappClassLoader | 0x00000000141177b8  0x0000000014003818  0x000077af6c199700    4430  21023744  21015264  org.apache.catalina.loader.ParallelWebappClassLoader</x:v>
      </x:c>
      <x:c r="U1354" s="36" t="n">
        <x:v>37</x:v>
      </x:c>
      <x:c r="V1354" s="36" t="n">
        <x:v>10</x:v>
      </x:c>
      <x:c r="W135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354" s="36" t="n">
        <x:v>10</x:v>
      </x:c>
      <x:c r="Y1354" s="36" t="n">
        <x:v>10</x:v>
      </x:c>
      <x:c r="Z1354" s="44" t="str">
        <x:v>/jcs321</x:v>
      </x:c>
      <x:c r="AA1354" s="45" t="b">
        <x:v>1</x:v>
      </x:c>
      <x:c r="AB1354" s="43"/>
      <x:c r="AC1354" s="34" t="str">
        <x:v>article1-unified-v4-2-fb3f101b-20260903-000401-default-f06-p3-jcs321-5-after-final-undeploy-final-10s-heap-info.txt</x:v>
      </x:c>
      <x:c r="AD1354" s="34" t="str">
        <x:v>article1-unified-v4-2-fb3f101b-20260903-000401-default-f06-p3-jcs321-5-after-final-undeploy-final-10s-classloader-stats.txt</x:v>
      </x:c>
      <x:c r="AE1354" s="34" t="str">
        <x:v>article1-unified-v4-2-fb3f101b-20260903-000401-default-f06-p3-jcs321-5-after-final-undeploy-final-10s-thread-dump.txt</x:v>
      </x:c>
      <x:c r="AF1354" s="34"/>
      <x:c r="AG1354" s="34" t="str">
        <x:v>article1-unified-v4-2-fb3f101b-20260903-000401-default-f06-p3-jcs321-5-after-final-undeploy-final-10s-native-memory.txt</x:v>
      </x:c>
      <x:c r="AH1354" s="34" t="str">
        <x:v>article1-unified-v4-2-fb3f101b-20260903-000401-default-f06-p3-jcs321-5-after-final-undeploy-final-10s-class-histogram.txt</x:v>
      </x:c>
      <x:c r="AI1354" s="34" t="str">
        <x:v>article1-unified-v4-2-fb3f101b-20260903-000401-default-f06-p3-jcs321-5-after-final-undeploy-tomcat-findleaks.txt</x:v>
      </x:c>
    </x:row>
    <x:row r="1355">
      <x:c r="A1355" s="34" t="str">
        <x:v>article1-unified-v4-2-fb3f101b-20260903-000401-default-f06-p4-ehcache</x:v>
      </x:c>
      <x:c r="B1355" s="34" t="str">
        <x:v>default</x:v>
      </x:c>
      <x:c r="C1355" s="34" t="str">
        <x:v>ehcache</x:v>
      </x:c>
      <x:c r="D1355" s="34" t="str">
        <x:v>ehcache</x:v>
      </x:c>
      <x:c r="E1355" s="36" t="n">
        <x:v>6</x:v>
      </x:c>
      <x:c r="F1355" s="36" t="n">
        <x:v>6</x:v>
      </x:c>
      <x:c r="G1355" s="36" t="n">
        <x:v>4</x:v>
      </x:c>
      <x:c r="H1355" s="36" t="n">
        <x:v>0</x:v>
      </x:c>
      <x:c r="I1355" s="34" t="str">
        <x:v>processBaseline</x:v>
      </x:c>
      <x:c r="J1355" s="34" t="str">
        <x:v>process-baseline</x:v>
      </x:c>
      <x:c r="K1355" s="36" t="n">
        <x:v>0</x:v>
      </x:c>
      <x:c r="L1355" s="34" t="str">
        <x:v>baseline</x:v>
      </x:c>
      <x:c r="M1355" s="34" t="str">
        <x:v>article1-unified-v4-2-fb3f101b-20260903-000401-default-f06-p4-ehcache-process-baseline</x:v>
      </x:c>
      <x:c r="N1355" s="38" t="n">
        <x:v>46268.10851002315</x:v>
      </x:c>
      <x:c r="O1355" s="36" t="n">
        <x:v>0</x:v>
      </x:c>
      <x:c r="P1355" s="43" t="n">
        <x:v>32787456</x:v>
      </x:c>
      <x:c r="Q1355" s="43" t="n">
        <x:v>270532608</x:v>
      </x:c>
      <x:c r="R1355" s="43" t="n">
        <x:v>369318912</x:v>
      </x:c>
      <x:c r="S1355" s="36" t="n">
        <x:v>1</x:v>
      </x:c>
      <x:c r="T1355" s="44" t="str">
        <x:v>0x00000000891177b8  0x0000000089003818  0x0000737b185ee230       0         0         0  org.apache.catalina.loader.ParallelWebappClassLoader</x:v>
      </x:c>
      <x:c r="U1355" s="36" t="n">
        <x:v>27</x:v>
      </x:c>
      <x:c r="V1355" s="36" t="n">
        <x:v>0</x:v>
      </x:c>
      <x:c r="W1355" s="44"/>
      <x:c r="X1355" s="36"/>
      <x:c r="Y1355" s="36"/>
      <x:c r="Z1355" s="44"/>
      <x:c r="AA1355" s="49"/>
      <x:c r="AB1355" s="43"/>
      <x:c r="AC1355" s="34" t="str">
        <x:v>article1-unified-v4-2-fb3f101b-20260903-000401-default-f06-p4-ehcache-process-baseline-heap-info.txt</x:v>
      </x:c>
      <x:c r="AD1355" s="34" t="str">
        <x:v>article1-unified-v4-2-fb3f101b-20260903-000401-default-f06-p4-ehcache-process-baseline-classloader-stats.txt</x:v>
      </x:c>
      <x:c r="AE1355" s="34" t="str">
        <x:v>article1-unified-v4-2-fb3f101b-20260903-000401-default-f06-p4-ehcache-process-baseline-thread-dump.txt</x:v>
      </x:c>
      <x:c r="AF1355" s="34"/>
      <x:c r="AG1355" s="34" t="str">
        <x:v>article1-unified-v4-2-fb3f101b-20260903-000401-default-f06-p4-ehcache-process-baseline-native-memory.txt</x:v>
      </x:c>
      <x:c r="AH1355" s="34"/>
      <x:c r="AI1355" s="34"/>
    </x:row>
    <x:row r="1356">
      <x:c r="A1356" s="34" t="str">
        <x:v>article1-unified-v4-2-fb3f101b-20260903-000401-default-f06-p4-ehcache</x:v>
      </x:c>
      <x:c r="B1356" s="34" t="str">
        <x:v>default</x:v>
      </x:c>
      <x:c r="C1356" s="34" t="str">
        <x:v>ehcache</x:v>
      </x:c>
      <x:c r="D1356" s="34" t="str">
        <x:v>ehcache</x:v>
      </x:c>
      <x:c r="E1356" s="36" t="n">
        <x:v>6</x:v>
      </x:c>
      <x:c r="F1356" s="36" t="n">
        <x:v>6</x:v>
      </x:c>
      <x:c r="G1356" s="36" t="n">
        <x:v>4</x:v>
      </x:c>
      <x:c r="H1356" s="36" t="n">
        <x:v>1</x:v>
      </x:c>
      <x:c r="I1356" s="34" t="str">
        <x:v>baseline</x:v>
      </x:c>
      <x:c r="J1356" s="34" t="str">
        <x:v>cycle-baseline</x:v>
      </x:c>
      <x:c r="K1356" s="36" t="n">
        <x:v>0</x:v>
      </x:c>
      <x:c r="L1356" s="34" t="str">
        <x:v>baseline</x:v>
      </x:c>
      <x:c r="M1356" s="34" t="str">
        <x:v>article1-unified-v4-2-fb3f101b-20260903-000401-default-f06-p4-ehcache-1-baseline</x:v>
      </x:c>
      <x:c r="N1356" s="38" t="n">
        <x:v>46268.10869695602</x:v>
      </x:c>
      <x:c r="O1356" s="36" t="n">
        <x:v>0</x:v>
      </x:c>
      <x:c r="P1356" s="43" t="n">
        <x:v>33311744</x:v>
      </x:c>
      <x:c r="Q1356" s="43" t="n">
        <x:v>270532608</x:v>
      </x:c>
      <x:c r="R1356" s="43" t="n">
        <x:v>369903616</x:v>
      </x:c>
      <x:c r="S1356" s="36" t="n">
        <x:v>1</x:v>
      </x:c>
      <x:c r="T1356" s="44" t="str">
        <x:v>0x00000000891177b8  0x0000000089003818  0x0000737b185ee230       0         0         0  org.apache.catalina.loader.ParallelWebappClassLoader</x:v>
      </x:c>
      <x:c r="U1356" s="36" t="n">
        <x:v>27</x:v>
      </x:c>
      <x:c r="V1356" s="36" t="n">
        <x:v>0</x:v>
      </x:c>
      <x:c r="W1356" s="44"/>
      <x:c r="X1356" s="36"/>
      <x:c r="Y1356" s="36"/>
      <x:c r="Z1356" s="44"/>
      <x:c r="AA1356" s="49"/>
      <x:c r="AB1356" s="43"/>
      <x:c r="AC1356" s="34" t="str">
        <x:v>article1-unified-v4-2-fb3f101b-20260903-000401-default-f06-p4-ehcache-1-baseline-heap-info.txt</x:v>
      </x:c>
      <x:c r="AD1356" s="34" t="str">
        <x:v>article1-unified-v4-2-fb3f101b-20260903-000401-default-f06-p4-ehcache-1-baseline-classloader-stats.txt</x:v>
      </x:c>
      <x:c r="AE1356" s="34" t="str">
        <x:v>article1-unified-v4-2-fb3f101b-20260903-000401-default-f06-p4-ehcache-1-baseline-thread-dump.txt</x:v>
      </x:c>
      <x:c r="AF1356" s="34"/>
      <x:c r="AG1356" s="34" t="str">
        <x:v>article1-unified-v4-2-fb3f101b-20260903-000401-default-f06-p4-ehcache-1-baseline-native-memory.txt</x:v>
      </x:c>
      <x:c r="AH1356" s="34"/>
      <x:c r="AI1356" s="34"/>
    </x:row>
    <x:row r="1357">
      <x:c r="A1357" s="34" t="str">
        <x:v>article1-unified-v4-2-fb3f101b-20260903-000401-default-f06-p4-ehcache</x:v>
      </x:c>
      <x:c r="B1357" s="34" t="str">
        <x:v>default</x:v>
      </x:c>
      <x:c r="C1357" s="34" t="str">
        <x:v>ehcache</x:v>
      </x:c>
      <x:c r="D1357" s="34" t="str">
        <x:v>ehcache</x:v>
      </x:c>
      <x:c r="E1357" s="36" t="n">
        <x:v>6</x:v>
      </x:c>
      <x:c r="F1357" s="36" t="n">
        <x:v>6</x:v>
      </x:c>
      <x:c r="G1357" s="36" t="n">
        <x:v>4</x:v>
      </x:c>
      <x:c r="H1357" s="36" t="n">
        <x:v>1</x:v>
      </x:c>
      <x:c r="I1357" s="34" t="str">
        <x:v>deployedIdle</x:v>
      </x:c>
      <x:c r="J1357" s="34" t="str">
        <x:v>deployed-idle</x:v>
      </x:c>
      <x:c r="K1357" s="36" t="n">
        <x:v>0</x:v>
      </x:c>
      <x:c r="L1357" s="34" t="str">
        <x:v>initial</x:v>
      </x:c>
      <x:c r="M1357" s="34" t="str">
        <x:v>article1-unified-v4-2-fb3f101b-20260903-000401-default-f06-p4-ehcache-1-deployed-idle</x:v>
      </x:c>
      <x:c r="N1357" s="38" t="n">
        <x:v>46268.10880743056</x:v>
      </x:c>
      <x:c r="O1357" s="36" t="n">
        <x:v>0</x:v>
      </x:c>
      <x:c r="P1357" s="43" t="n">
        <x:v>23158784</x:v>
      </x:c>
      <x:c r="Q1357" s="43" t="n">
        <x:v>268435456</x:v>
      </x:c>
      <x:c r="R1357" s="43" t="n">
        <x:v>412560384</x:v>
      </x:c>
      <x:c r="S1357" s="36" t="n">
        <x:v>2</x:v>
      </x:c>
      <x:c r="T1357" s="44" t="str">
        <x:v>0x00000000891177b8  0x0000000089003818  0x0000737b185ee230       0         0         0  org.apache.catalina.loader.ParallelWebappClassLoader | 0x00000000891177b8  0x0000000089003818  0x0000737a6c04e690    4091  19431424  19412312  org.apache.catalina.loader.ParallelWebappClassLoader</x:v>
      </x:c>
      <x:c r="U1357" s="36" t="n">
        <x:v>27</x:v>
      </x:c>
      <x:c r="V1357" s="36" t="n">
        <x:v>0</x:v>
      </x:c>
      <x:c r="W1357" s="44"/>
      <x:c r="X1357" s="36"/>
      <x:c r="Y1357" s="36"/>
      <x:c r="Z1357" s="44"/>
      <x:c r="AA1357" s="49"/>
      <x:c r="AB1357" s="43"/>
      <x:c r="AC1357" s="34"/>
      <x:c r="AD1357" s="34"/>
      <x:c r="AE1357" s="34"/>
      <x:c r="AF1357" s="34"/>
      <x:c r="AG1357" s="34"/>
      <x:c r="AH1357" s="34"/>
      <x:c r="AI1357" s="34"/>
    </x:row>
    <x:row r="1358">
      <x:c r="A1358" s="34" t="str">
        <x:v>article1-unified-v4-2-fb3f101b-20260903-000401-default-f06-p4-ehcache</x:v>
      </x:c>
      <x:c r="B1358" s="34" t="str">
        <x:v>default</x:v>
      </x:c>
      <x:c r="C1358" s="34" t="str">
        <x:v>ehcache</x:v>
      </x:c>
      <x:c r="D1358" s="34" t="str">
        <x:v>ehcache</x:v>
      </x:c>
      <x:c r="E1358" s="36" t="n">
        <x:v>6</x:v>
      </x:c>
      <x:c r="F1358" s="36" t="n">
        <x:v>6</x:v>
      </x:c>
      <x:c r="G1358" s="36" t="n">
        <x:v>4</x:v>
      </x:c>
      <x:c r="H1358" s="36" t="n">
        <x:v>1</x:v>
      </x:c>
      <x:c r="I1358" s="34" t="str">
        <x:v>loaded</x:v>
      </x:c>
      <x:c r="J1358" s="34" t="str">
        <x:v>loaded</x:v>
      </x:c>
      <x:c r="K1358" s="36" t="n">
        <x:v>0</x:v>
      </x:c>
      <x:c r="L1358" s="34" t="str">
        <x:v>initial</x:v>
      </x:c>
      <x:c r="M1358" s="34" t="str">
        <x:v>article1-unified-v4-2-fb3f101b-20260903-000401-default-f06-p4-ehcache-1-loaded</x:v>
      </x:c>
      <x:c r="N1358" s="38" t="n">
        <x:v>46268.10895947917</x:v>
      </x:c>
      <x:c r="O1358" s="36" t="n">
        <x:v>0</x:v>
      </x:c>
      <x:c r="P1358" s="43" t="n">
        <x:v>219174912</x:v>
      </x:c>
      <x:c r="Q1358" s="43" t="n">
        <x:v>268435456</x:v>
      </x:c>
      <x:c r="R1358" s="43" t="n">
        <x:v>412982272</x:v>
      </x:c>
      <x:c r="S1358" s="36" t="n">
        <x:v>2</x:v>
      </x:c>
      <x:c r="T1358" s="44" t="str">
        <x:v>0x00000000891177b8  0x0000000089003818  0x0000737b185ee230       0         0         0  org.apache.catalina.loader.ParallelWebappClassLoader | 0x00000000891177b8  0x0000000089003818  0x0000737a6c04e690    4858  22623232  22609256  org.apache.catalina.loader.ParallelWebappClassLoader</x:v>
      </x:c>
      <x:c r="U1358" s="36" t="n">
        <x:v>28</x:v>
      </x:c>
      <x:c r="V1358" s="36" t="n">
        <x:v>0</x:v>
      </x:c>
      <x:c r="W1358" s="44"/>
      <x:c r="X1358" s="36"/>
      <x:c r="Y1358" s="36"/>
      <x:c r="Z1358" s="44"/>
      <x:c r="AA1358" s="49"/>
      <x:c r="AB1358" s="43"/>
      <x:c r="AC1358" s="34"/>
      <x:c r="AD1358" s="34"/>
      <x:c r="AE1358" s="34"/>
      <x:c r="AF1358" s="34"/>
      <x:c r="AG1358" s="34"/>
      <x:c r="AH1358" s="34"/>
      <x:c r="AI1358" s="34"/>
    </x:row>
    <x:row r="1359">
      <x:c r="A1359" s="34" t="str">
        <x:v>article1-unified-v4-2-fb3f101b-20260903-000401-default-f06-p4-ehcache</x:v>
      </x:c>
      <x:c r="B1359" s="34" t="str">
        <x:v>default</x:v>
      </x:c>
      <x:c r="C1359" s="34" t="str">
        <x:v>ehcache</x:v>
      </x:c>
      <x:c r="D1359" s="34" t="str">
        <x:v>ehcache</x:v>
      </x:c>
      <x:c r="E1359" s="36" t="n">
        <x:v>6</x:v>
      </x:c>
      <x:c r="F1359" s="36" t="n">
        <x:v>6</x:v>
      </x:c>
      <x:c r="G1359" s="36" t="n">
        <x:v>4</x:v>
      </x:c>
      <x:c r="H1359" s="36" t="n">
        <x:v>1</x:v>
      </x:c>
      <x:c r="I1359" s="34" t="str">
        <x:v>afterUndeployEarly</x:v>
      </x:c>
      <x:c r="J1359" s="34" t="str">
        <x:v>after-undeploy-early</x:v>
      </x:c>
      <x:c r="K1359" s="36" t="n">
        <x:v>1</x:v>
      </x:c>
      <x:c r="L1359" s="34" t="str">
        <x:v>early</x:v>
      </x:c>
      <x:c r="M1359" s="34" t="str">
        <x:v>article1-unified-v4-2-fb3f101b-20260903-000401-default-f06-p4-ehcache-1-after-undeploy-early-2s</x:v>
      </x:c>
      <x:c r="N1359" s="38" t="n">
        <x:v>46268.10904255787</x:v>
      </x:c>
      <x:c r="O1359" s="36"/>
      <x:c r="P1359" s="43"/>
      <x:c r="Q1359" s="43"/>
      <x:c r="R1359" s="43"/>
      <x:c r="S1359" s="36"/>
      <x:c r="T1359" s="44"/>
      <x:c r="U1359" s="36" t="n">
        <x:v>27</x:v>
      </x:c>
      <x:c r="V1359" s="36" t="n">
        <x:v>0</x:v>
      </x:c>
      <x:c r="W1359" s="44"/>
      <x:c r="X1359" s="36"/>
      <x:c r="Y1359" s="36"/>
      <x:c r="Z1359" s="44"/>
      <x:c r="AA1359" s="49"/>
      <x:c r="AB1359" s="43" t="n">
        <x:v>2</x:v>
      </x:c>
      <x:c r="AC1359" s="34"/>
      <x:c r="AD1359" s="34"/>
      <x:c r="AE1359" s="34" t="str">
        <x:v>article1-unified-v4-2-fb3f101b-20260903-000401-default-f06-p4-ehcache-1-after-undeploy-early-2s-thread-dump.txt</x:v>
      </x:c>
      <x:c r="AF1359" s="34" t="str">
        <x:v>article1-unified-v4-2-fb3f101b-20260903-000401-default-f06-p4-ehcache-1-after-undeploy-early-tomcat-log.txt</x:v>
      </x:c>
      <x:c r="AG1359" s="34"/>
      <x:c r="AH1359" s="34"/>
      <x:c r="AI1359" s="34"/>
    </x:row>
    <x:row r="1360">
      <x:c r="A1360" s="34" t="str">
        <x:v>article1-unified-v4-2-fb3f101b-20260903-000401-default-f06-p4-ehcache</x:v>
      </x:c>
      <x:c r="B1360" s="34" t="str">
        <x:v>default</x:v>
      </x:c>
      <x:c r="C1360" s="34" t="str">
        <x:v>ehcache</x:v>
      </x:c>
      <x:c r="D1360" s="34" t="str">
        <x:v>ehcache</x:v>
      </x:c>
      <x:c r="E1360" s="36" t="n">
        <x:v>6</x:v>
      </x:c>
      <x:c r="F1360" s="36" t="n">
        <x:v>6</x:v>
      </x:c>
      <x:c r="G1360" s="36" t="n">
        <x:v>4</x:v>
      </x:c>
      <x:c r="H1360" s="36" t="n">
        <x:v>1</x:v>
      </x:c>
      <x:c r="I1360" s="34" t="str">
        <x:v>afterUndeploy</x:v>
      </x:c>
      <x:c r="J1360" s="34" t="str">
        <x:v>after-undeploy-final</x:v>
      </x:c>
      <x:c r="K1360" s="36" t="n">
        <x:v>1</x:v>
      </x:c>
      <x:c r="L1360" s="34" t="str">
        <x:v>final</x:v>
      </x:c>
      <x:c r="M1360" s="34" t="str">
        <x:v>article1-unified-v4-2-fb3f101b-20260903-000401-default-f06-p4-ehcache-1-after-undeploy-final-10s</x:v>
      </x:c>
      <x:c r="N1360" s="38" t="n">
        <x:v>46268.10919884259</x:v>
      </x:c>
      <x:c r="O1360" s="36" t="n">
        <x:v>2</x:v>
      </x:c>
      <x:c r="P1360" s="43" t="n">
        <x:v>16087040</x:v>
      </x:c>
      <x:c r="Q1360" s="43" t="n">
        <x:v>268435456</x:v>
      </x:c>
      <x:c r="R1360" s="43" t="n">
        <x:v>411495424</x:v>
      </x:c>
      <x:c r="S1360" s="36" t="n">
        <x:v>2</x:v>
      </x:c>
      <x:c r="T1360" s="44" t="str">
        <x:v>0x00000000891177b8  0x0000000089003818  0x0000737b185ee230       0         0         0  org.apache.catalina.loader.ParallelWebappClassLoader | 0x00000000891177b8  0x0000000089003818  0x0000737a6c04e690    4868  22664192  22655000  org.apache.catalina.loader.ParallelWebappClassLoader</x:v>
      </x:c>
      <x:c r="U1360" s="36" t="n">
        <x:v>27</x:v>
      </x:c>
      <x:c r="V1360" s="36" t="n">
        <x:v>0</x:v>
      </x:c>
      <x:c r="W1360" s="44"/>
      <x:c r="X1360" s="36" t="n">
        <x:v>1</x:v>
      </x:c>
      <x:c r="Y1360" s="36" t="n">
        <x:v>1</x:v>
      </x:c>
      <x:c r="Z1360" s="44" t="str">
        <x:v>/ehcache</x:v>
      </x:c>
      <x:c r="AA1360" s="45" t="b">
        <x:v>1</x:v>
      </x:c>
      <x:c r="AB1360" s="43"/>
      <x:c r="AC1360" s="34" t="str">
        <x:v>article1-unified-v4-2-fb3f101b-20260903-000401-default-f06-p4-ehcache-1-after-undeploy-final-10s-heap-info.txt</x:v>
      </x:c>
      <x:c r="AD1360" s="34" t="str">
        <x:v>article1-unified-v4-2-fb3f101b-20260903-000401-default-f06-p4-ehcache-1-after-undeploy-final-10s-classloader-stats.txt</x:v>
      </x:c>
      <x:c r="AE1360" s="34" t="str">
        <x:v>article1-unified-v4-2-fb3f101b-20260903-000401-default-f06-p4-ehcache-1-after-undeploy-final-10s-thread-dump.txt</x:v>
      </x:c>
      <x:c r="AF1360" s="34"/>
      <x:c r="AG1360" s="34" t="str">
        <x:v>article1-unified-v4-2-fb3f101b-20260903-000401-default-f06-p4-ehcache-1-after-undeploy-final-10s-native-memory.txt</x:v>
      </x:c>
      <x:c r="AH1360" s="34" t="str">
        <x:v>article1-unified-v4-2-fb3f101b-20260903-000401-default-f06-p4-ehcache-1-after-undeploy-final-10s-class-histogram.txt</x:v>
      </x:c>
      <x:c r="AI1360" s="34" t="str">
        <x:v>article1-unified-v4-2-fb3f101b-20260903-000401-default-f06-p4-ehcache-1-after-undeploy-tomcat-findleaks.txt</x:v>
      </x:c>
    </x:row>
    <x:row r="1361">
      <x:c r="A1361" s="34" t="str">
        <x:v>article1-unified-v4-2-fb3f101b-20260903-000401-default-f06-p4-ehcache</x:v>
      </x:c>
      <x:c r="B1361" s="34" t="str">
        <x:v>default</x:v>
      </x:c>
      <x:c r="C1361" s="34" t="str">
        <x:v>ehcache</x:v>
      </x:c>
      <x:c r="D1361" s="34" t="str">
        <x:v>ehcache</x:v>
      </x:c>
      <x:c r="E1361" s="36" t="n">
        <x:v>6</x:v>
      </x:c>
      <x:c r="F1361" s="36" t="n">
        <x:v>6</x:v>
      </x:c>
      <x:c r="G1361" s="36" t="n">
        <x:v>4</x:v>
      </x:c>
      <x:c r="H1361" s="36" t="n">
        <x:v>1</x:v>
      </x:c>
      <x:c r="I1361" s="34" t="str">
        <x:v>redeployedLoaded</x:v>
      </x:c>
      <x:c r="J1361" s="34" t="str">
        <x:v>redeployed-loaded</x:v>
      </x:c>
      <x:c r="K1361" s="36" t="n">
        <x:v>0</x:v>
      </x:c>
      <x:c r="L1361" s="34" t="str">
        <x:v>redeploy</x:v>
      </x:c>
      <x:c r="M1361" s="34" t="str">
        <x:v>article1-unified-v4-2-fb3f101b-20260903-000401-default-f06-p4-ehcache-1-redeployed-loaded</x:v>
      </x:c>
      <x:c r="N1361" s="38" t="n">
        <x:v>46268.109456018516</x:v>
      </x:c>
      <x:c r="O1361" s="36" t="n">
        <x:v>0</x:v>
      </x:c>
      <x:c r="P1361" s="43" t="n">
        <x:v>216577024</x:v>
      </x:c>
      <x:c r="Q1361" s="43" t="n">
        <x:v>268435456</x:v>
      </x:c>
      <x:c r="R1361" s="43" t="n">
        <x:v>444901376</x:v>
      </x:c>
      <x:c r="S1361" s="36" t="n">
        <x:v>3</x:v>
      </x:c>
      <x:c r="T1361" s="44" t="str">
        <x:v>0x00000000891177b8  0x0000000089003818  0x0000737b185ee230       0         0         0  org.apache.catalina.loader.ParallelWebappClassLoader | 0x00000000891177b8  0x0000000089003818  0x0000737a8c04f550    4850  22667264  22655896  org.apache.catalina.loader.ParallelWebappClassLoader | 0x00000000891177b8  0x0000000089003818  0x0000737a6c04e690    4868  22664192  22655000  org.apache.catalina.loader.ParallelWebappClassLoader</x:v>
      </x:c>
      <x:c r="U1361" s="36" t="n">
        <x:v>28</x:v>
      </x:c>
      <x:c r="V1361" s="36" t="n">
        <x:v>0</x:v>
      </x:c>
      <x:c r="W1361" s="44"/>
      <x:c r="X1361" s="36"/>
      <x:c r="Y1361" s="36"/>
      <x:c r="Z1361" s="44"/>
      <x:c r="AA1361" s="49"/>
      <x:c r="AB1361" s="43"/>
      <x:c r="AC1361" s="34"/>
      <x:c r="AD1361" s="34"/>
      <x:c r="AE1361" s="34"/>
      <x:c r="AF1361" s="34"/>
      <x:c r="AG1361" s="34"/>
      <x:c r="AH1361" s="34"/>
      <x:c r="AI1361" s="34"/>
    </x:row>
    <x:row r="1362">
      <x:c r="A1362" s="34" t="str">
        <x:v>article1-unified-v4-2-fb3f101b-20260903-000401-default-f06-p4-ehcache</x:v>
      </x:c>
      <x:c r="B1362" s="34" t="str">
        <x:v>default</x:v>
      </x:c>
      <x:c r="C1362" s="34" t="str">
        <x:v>ehcache</x:v>
      </x:c>
      <x:c r="D1362" s="34" t="str">
        <x:v>ehcache</x:v>
      </x:c>
      <x:c r="E1362" s="36" t="n">
        <x:v>6</x:v>
      </x:c>
      <x:c r="F1362" s="36" t="n">
        <x:v>6</x:v>
      </x:c>
      <x:c r="G1362" s="36" t="n">
        <x:v>4</x:v>
      </x:c>
      <x:c r="H1362" s="36" t="n">
        <x:v>1</x:v>
      </x:c>
      <x:c r="I1362" s="34" t="str">
        <x:v>afterFinalUndeployEarly</x:v>
      </x:c>
      <x:c r="J1362" s="34" t="str">
        <x:v>after-final-undeploy-early</x:v>
      </x:c>
      <x:c r="K1362" s="36" t="n">
        <x:v>2</x:v>
      </x:c>
      <x:c r="L1362" s="34" t="str">
        <x:v>early</x:v>
      </x:c>
      <x:c r="M1362" s="34" t="str">
        <x:v>article1-unified-v4-2-fb3f101b-20260903-000401-default-f06-p4-ehcache-1-after-final-undeploy-early-2s</x:v>
      </x:c>
      <x:c r="N1362" s="38" t="n">
        <x:v>46268.10953787037</x:v>
      </x:c>
      <x:c r="O1362" s="36"/>
      <x:c r="P1362" s="43"/>
      <x:c r="Q1362" s="43"/>
      <x:c r="R1362" s="43"/>
      <x:c r="S1362" s="36"/>
      <x:c r="T1362" s="44"/>
      <x:c r="U1362" s="36" t="n">
        <x:v>27</x:v>
      </x:c>
      <x:c r="V1362" s="36" t="n">
        <x:v>0</x:v>
      </x:c>
      <x:c r="W1362" s="44"/>
      <x:c r="X1362" s="36"/>
      <x:c r="Y1362" s="36"/>
      <x:c r="Z1362" s="44"/>
      <x:c r="AA1362" s="49"/>
      <x:c r="AB1362" s="43" t="n">
        <x:v>2</x:v>
      </x:c>
      <x:c r="AC1362" s="34"/>
      <x:c r="AD1362" s="34"/>
      <x:c r="AE1362" s="34" t="str">
        <x:v>article1-unified-v4-2-fb3f101b-20260903-000401-default-f06-p4-ehcache-1-after-final-undeploy-early-2s-thread-dump.txt</x:v>
      </x:c>
      <x:c r="AF1362" s="34" t="str">
        <x:v>article1-unified-v4-2-fb3f101b-20260903-000401-default-f06-p4-ehcache-1-after-final-undeploy-early-tomcat-log.txt</x:v>
      </x:c>
      <x:c r="AG1362" s="34"/>
      <x:c r="AH1362" s="34"/>
      <x:c r="AI1362" s="34"/>
    </x:row>
    <x:row r="1363">
      <x:c r="A1363" s="34" t="str">
        <x:v>article1-unified-v4-2-fb3f101b-20260903-000401-default-f06-p4-ehcache</x:v>
      </x:c>
      <x:c r="B1363" s="34" t="str">
        <x:v>default</x:v>
      </x:c>
      <x:c r="C1363" s="34" t="str">
        <x:v>ehcache</x:v>
      </x:c>
      <x:c r="D1363" s="34" t="str">
        <x:v>ehcache</x:v>
      </x:c>
      <x:c r="E1363" s="36" t="n">
        <x:v>6</x:v>
      </x:c>
      <x:c r="F1363" s="36" t="n">
        <x:v>6</x:v>
      </x:c>
      <x:c r="G1363" s="36" t="n">
        <x:v>4</x:v>
      </x:c>
      <x:c r="H1363" s="36" t="n">
        <x:v>1</x:v>
      </x:c>
      <x:c r="I1363" s="34" t="str">
        <x:v>afterFinalUndeploy</x:v>
      </x:c>
      <x:c r="J1363" s="34" t="str">
        <x:v>after-final-undeploy-final</x:v>
      </x:c>
      <x:c r="K1363" s="36" t="n">
        <x:v>2</x:v>
      </x:c>
      <x:c r="L1363" s="34" t="str">
        <x:v>final</x:v>
      </x:c>
      <x:c r="M1363" s="34" t="str">
        <x:v>article1-unified-v4-2-fb3f101b-20260903-000401-default-f06-p4-ehcache-1-after-final-undeploy-final-10s</x:v>
      </x:c>
      <x:c r="N1363" s="38" t="n">
        <x:v>46268.10969712963</x:v>
      </x:c>
      <x:c r="O1363" s="36" t="n">
        <x:v>2</x:v>
      </x:c>
      <x:c r="P1363" s="43" t="n">
        <x:v>16024576</x:v>
      </x:c>
      <x:c r="Q1363" s="43" t="n">
        <x:v>268435456</x:v>
      </x:c>
      <x:c r="R1363" s="43" t="n">
        <x:v>420042752</x:v>
      </x:c>
      <x:c r="S1363" s="36" t="n">
        <x:v>2</x:v>
      </x:c>
      <x:c r="T1363" s="44" t="str">
        <x:v>0x00000000891177b8  0x0000000089003818  0x0000737a8c04f550    4860  22719488  22702336  org.apache.catalina.loader.ParallelWebappClassLoader | 0x00000000891177b8  0x0000000089003818  0x0000737b185ee230       0         0         0  org.apache.catalina.loader.ParallelWebappClassLoader</x:v>
      </x:c>
      <x:c r="U1363" s="36" t="n">
        <x:v>27</x:v>
      </x:c>
      <x:c r="V1363" s="36" t="n">
        <x:v>0</x:v>
      </x:c>
      <x:c r="W1363" s="44"/>
      <x:c r="X1363" s="36" t="n">
        <x:v>1</x:v>
      </x:c>
      <x:c r="Y1363" s="36" t="n">
        <x:v>1</x:v>
      </x:c>
      <x:c r="Z1363" s="44" t="str">
        <x:v>/ehcache</x:v>
      </x:c>
      <x:c r="AA1363" s="45" t="b">
        <x:v>1</x:v>
      </x:c>
      <x:c r="AB1363" s="43"/>
      <x:c r="AC1363" s="34" t="str">
        <x:v>article1-unified-v4-2-fb3f101b-20260903-000401-default-f06-p4-ehcache-1-after-final-undeploy-final-10s-heap-info.txt</x:v>
      </x:c>
      <x:c r="AD1363" s="34" t="str">
        <x:v>article1-unified-v4-2-fb3f101b-20260903-000401-default-f06-p4-ehcache-1-after-final-undeploy-final-10s-classloader-stats.txt</x:v>
      </x:c>
      <x:c r="AE1363" s="34" t="str">
        <x:v>article1-unified-v4-2-fb3f101b-20260903-000401-default-f06-p4-ehcache-1-after-final-undeploy-final-10s-thread-dump.txt</x:v>
      </x:c>
      <x:c r="AF1363" s="34"/>
      <x:c r="AG1363" s="34" t="str">
        <x:v>article1-unified-v4-2-fb3f101b-20260903-000401-default-f06-p4-ehcache-1-after-final-undeploy-final-10s-native-memory.txt</x:v>
      </x:c>
      <x:c r="AH1363" s="34" t="str">
        <x:v>article1-unified-v4-2-fb3f101b-20260903-000401-default-f06-p4-ehcache-1-after-final-undeploy-final-10s-class-histogram.txt</x:v>
      </x:c>
      <x:c r="AI1363" s="34" t="str">
        <x:v>article1-unified-v4-2-fb3f101b-20260903-000401-default-f06-p4-ehcache-1-after-final-undeploy-tomcat-findleaks.txt</x:v>
      </x:c>
    </x:row>
    <x:row r="1364">
      <x:c r="A1364" s="34" t="str">
        <x:v>article1-unified-v4-2-fb3f101b-20260903-000401-default-f06-p4-ehcache</x:v>
      </x:c>
      <x:c r="B1364" s="34" t="str">
        <x:v>default</x:v>
      </x:c>
      <x:c r="C1364" s="34" t="str">
        <x:v>ehcache</x:v>
      </x:c>
      <x:c r="D1364" s="34" t="str">
        <x:v>ehcache</x:v>
      </x:c>
      <x:c r="E1364" s="36" t="n">
        <x:v>6</x:v>
      </x:c>
      <x:c r="F1364" s="36" t="n">
        <x:v>6</x:v>
      </x:c>
      <x:c r="G1364" s="36" t="n">
        <x:v>4</x:v>
      </x:c>
      <x:c r="H1364" s="36" t="n">
        <x:v>2</x:v>
      </x:c>
      <x:c r="I1364" s="34" t="str">
        <x:v>baseline</x:v>
      </x:c>
      <x:c r="J1364" s="34" t="str">
        <x:v>cycle-baseline</x:v>
      </x:c>
      <x:c r="K1364" s="36" t="n">
        <x:v>0</x:v>
      </x:c>
      <x:c r="L1364" s="34" t="str">
        <x:v>baseline</x:v>
      </x:c>
      <x:c r="M1364" s="34" t="str">
        <x:v>article1-unified-v4-2-fb3f101b-20260903-000401-default-f06-p4-ehcache-2-baseline</x:v>
      </x:c>
      <x:c r="N1364" s="38" t="n">
        <x:v>46268.10974226852</x:v>
      </x:c>
      <x:c r="O1364" s="36" t="n">
        <x:v>0</x:v>
      </x:c>
      <x:c r="P1364" s="43" t="n">
        <x:v>16024576</x:v>
      </x:c>
      <x:c r="Q1364" s="43" t="n">
        <x:v>268435456</x:v>
      </x:c>
      <x:c r="R1364" s="43" t="n">
        <x:v>419938304</x:v>
      </x:c>
      <x:c r="S1364" s="36" t="n">
        <x:v>2</x:v>
      </x:c>
      <x:c r="T1364" s="44" t="str">
        <x:v>0x00000000891177b8  0x0000000089003818  0x0000737a8c04f550    4860  22719488  22702336  org.apache.catalina.loader.ParallelWebappClassLoader | 0x00000000891177b8  0x0000000089003818  0x0000737b185ee230       0         0         0  org.apache.catalina.loader.ParallelWebappClassLoader</x:v>
      </x:c>
      <x:c r="U1364" s="36" t="n">
        <x:v>27</x:v>
      </x:c>
      <x:c r="V1364" s="36" t="n">
        <x:v>0</x:v>
      </x:c>
      <x:c r="W1364" s="44"/>
      <x:c r="X1364" s="36"/>
      <x:c r="Y1364" s="36"/>
      <x:c r="Z1364" s="44"/>
      <x:c r="AA1364" s="49"/>
      <x:c r="AB1364" s="43"/>
      <x:c r="AC1364" s="34" t="str">
        <x:v>article1-unified-v4-2-fb3f101b-20260903-000401-default-f06-p4-ehcache-2-baseline-heap-info.txt</x:v>
      </x:c>
      <x:c r="AD1364" s="34" t="str">
        <x:v>article1-unified-v4-2-fb3f101b-20260903-000401-default-f06-p4-ehcache-2-baseline-classloader-stats.txt</x:v>
      </x:c>
      <x:c r="AE1364" s="34" t="str">
        <x:v>article1-unified-v4-2-fb3f101b-20260903-000401-default-f06-p4-ehcache-2-baseline-thread-dump.txt</x:v>
      </x:c>
      <x:c r="AF1364" s="34"/>
      <x:c r="AG1364" s="34" t="str">
        <x:v>article1-unified-v4-2-fb3f101b-20260903-000401-default-f06-p4-ehcache-2-baseline-native-memory.txt</x:v>
      </x:c>
      <x:c r="AH1364" s="34"/>
      <x:c r="AI1364" s="34"/>
    </x:row>
    <x:row r="1365">
      <x:c r="A1365" s="34" t="str">
        <x:v>article1-unified-v4-2-fb3f101b-20260903-000401-default-f06-p4-ehcache</x:v>
      </x:c>
      <x:c r="B1365" s="34" t="str">
        <x:v>default</x:v>
      </x:c>
      <x:c r="C1365" s="34" t="str">
        <x:v>ehcache</x:v>
      </x:c>
      <x:c r="D1365" s="34" t="str">
        <x:v>ehcache</x:v>
      </x:c>
      <x:c r="E1365" s="36" t="n">
        <x:v>6</x:v>
      </x:c>
      <x:c r="F1365" s="36" t="n">
        <x:v>6</x:v>
      </x:c>
      <x:c r="G1365" s="36" t="n">
        <x:v>4</x:v>
      </x:c>
      <x:c r="H1365" s="36" t="n">
        <x:v>2</x:v>
      </x:c>
      <x:c r="I1365" s="34" t="str">
        <x:v>deployedIdle</x:v>
      </x:c>
      <x:c r="J1365" s="34" t="str">
        <x:v>deployed-idle</x:v>
      </x:c>
      <x:c r="K1365" s="36" t="n">
        <x:v>0</x:v>
      </x:c>
      <x:c r="L1365" s="34" t="str">
        <x:v>initial</x:v>
      </x:c>
      <x:c r="M1365" s="34" t="str">
        <x:v>article1-unified-v4-2-fb3f101b-20260903-000401-default-f06-p4-ehcache-2-deployed-idle</x:v>
      </x:c>
      <x:c r="N1365" s="38" t="n">
        <x:v>46268.10984459491</x:v>
      </x:c>
      <x:c r="O1365" s="36" t="n">
        <x:v>0</x:v>
      </x:c>
      <x:c r="P1365" s="43" t="n">
        <x:v>167440384</x:v>
      </x:c>
      <x:c r="Q1365" s="43" t="n">
        <x:v>268435456</x:v>
      </x:c>
      <x:c r="R1365" s="43" t="n">
        <x:v>456066048</x:v>
      </x:c>
      <x:c r="S1365" s="36" t="n">
        <x:v>3</x:v>
      </x:c>
      <x:c r="T1365" s="44" t="str">
        <x:v>0x00000000891177b8  0x0000000089003818  0x0000737a8401b040    4091  19436544  19425920  org.apache.catalina.loader.ParallelWebappClassLoader | 0x00000000891177b8  0x0000000089003818  0x0000737a8c04f550    4860  22719488  22702336  org.apache.catalina.loader.ParallelWebappClassLoader | 0x00000000891177b8  0x0000000089003818  0x0000737b185ee230       0         0         0  org.apache.catalina.loader.ParallelWebappClassLoader</x:v>
      </x:c>
      <x:c r="U1365" s="36" t="n">
        <x:v>28</x:v>
      </x:c>
      <x:c r="V1365" s="36" t="n">
        <x:v>0</x:v>
      </x:c>
      <x:c r="W1365" s="44"/>
      <x:c r="X1365" s="36"/>
      <x:c r="Y1365" s="36"/>
      <x:c r="Z1365" s="44"/>
      <x:c r="AA1365" s="49"/>
      <x:c r="AB1365" s="43"/>
      <x:c r="AC1365" s="34"/>
      <x:c r="AD1365" s="34"/>
      <x:c r="AE1365" s="34"/>
      <x:c r="AF1365" s="34"/>
      <x:c r="AG1365" s="34"/>
      <x:c r="AH1365" s="34"/>
      <x:c r="AI1365" s="34"/>
    </x:row>
    <x:row r="1366">
      <x:c r="A1366" s="34" t="str">
        <x:v>article1-unified-v4-2-fb3f101b-20260903-000401-default-f06-p4-ehcache</x:v>
      </x:c>
      <x:c r="B1366" s="34" t="str">
        <x:v>default</x:v>
      </x:c>
      <x:c r="C1366" s="34" t="str">
        <x:v>ehcache</x:v>
      </x:c>
      <x:c r="D1366" s="34" t="str">
        <x:v>ehcache</x:v>
      </x:c>
      <x:c r="E1366" s="36" t="n">
        <x:v>6</x:v>
      </x:c>
      <x:c r="F1366" s="36" t="n">
        <x:v>6</x:v>
      </x:c>
      <x:c r="G1366" s="36" t="n">
        <x:v>4</x:v>
      </x:c>
      <x:c r="H1366" s="36" t="n">
        <x:v>2</x:v>
      </x:c>
      <x:c r="I1366" s="34" t="str">
        <x:v>loaded</x:v>
      </x:c>
      <x:c r="J1366" s="34" t="str">
        <x:v>loaded</x:v>
      </x:c>
      <x:c r="K1366" s="36" t="n">
        <x:v>0</x:v>
      </x:c>
      <x:c r="L1366" s="34" t="str">
        <x:v>initial</x:v>
      </x:c>
      <x:c r="M1366" s="34" t="str">
        <x:v>article1-unified-v4-2-fb3f101b-20260903-000401-default-f06-p4-ehcache-2-loaded</x:v>
      </x:c>
      <x:c r="N1366" s="38" t="n">
        <x:v>46268.10999564815</x:v>
      </x:c>
      <x:c r="O1366" s="36" t="n">
        <x:v>0</x:v>
      </x:c>
      <x:c r="P1366" s="43" t="n">
        <x:v>212339712</x:v>
      </x:c>
      <x:c r="Q1366" s="43" t="n">
        <x:v>268435456</x:v>
      </x:c>
      <x:c r="R1366" s="43" t="n">
        <x:v>442101760</x:v>
      </x:c>
      <x:c r="S1366" s="36" t="n">
        <x:v>3</x:v>
      </x:c>
      <x:c r="T1366" s="44" t="str">
        <x:v>0x00000000891177b8  0x0000000089003818  0x0000737a8c04f550    4860  22719488  22702336  org.apache.catalina.loader.ParallelWebappClassLoader | 0x00000000891177b8  0x0000000089003818  0x0000737a8401b040    4849  22664192  22653104  org.apache.catalina.loader.ParallelWebappClassLoader | 0x00000000891177b8  0x0000000089003818  0x0000737b185ee230       0         0         0  org.apache.catalina.loader.ParallelWebappClassLoader</x:v>
      </x:c>
      <x:c r="U1366" s="36" t="n">
        <x:v>28</x:v>
      </x:c>
      <x:c r="V1366" s="36" t="n">
        <x:v>0</x:v>
      </x:c>
      <x:c r="W1366" s="44"/>
      <x:c r="X1366" s="36"/>
      <x:c r="Y1366" s="36"/>
      <x:c r="Z1366" s="44"/>
      <x:c r="AA1366" s="49"/>
      <x:c r="AB1366" s="43"/>
      <x:c r="AC1366" s="34"/>
      <x:c r="AD1366" s="34"/>
      <x:c r="AE1366" s="34"/>
      <x:c r="AF1366" s="34"/>
      <x:c r="AG1366" s="34"/>
      <x:c r="AH1366" s="34"/>
      <x:c r="AI1366" s="34"/>
    </x:row>
    <x:row r="1367">
      <x:c r="A1367" s="34" t="str">
        <x:v>article1-unified-v4-2-fb3f101b-20260903-000401-default-f06-p4-ehcache</x:v>
      </x:c>
      <x:c r="B1367" s="34" t="str">
        <x:v>default</x:v>
      </x:c>
      <x:c r="C1367" s="34" t="str">
        <x:v>ehcache</x:v>
      </x:c>
      <x:c r="D1367" s="34" t="str">
        <x:v>ehcache</x:v>
      </x:c>
      <x:c r="E1367" s="36" t="n">
        <x:v>6</x:v>
      </x:c>
      <x:c r="F1367" s="36" t="n">
        <x:v>6</x:v>
      </x:c>
      <x:c r="G1367" s="36" t="n">
        <x:v>4</x:v>
      </x:c>
      <x:c r="H1367" s="36" t="n">
        <x:v>2</x:v>
      </x:c>
      <x:c r="I1367" s="34" t="str">
        <x:v>afterUndeployEarly</x:v>
      </x:c>
      <x:c r="J1367" s="34" t="str">
        <x:v>after-undeploy-early</x:v>
      </x:c>
      <x:c r="K1367" s="36" t="n">
        <x:v>1</x:v>
      </x:c>
      <x:c r="L1367" s="34" t="str">
        <x:v>early</x:v>
      </x:c>
      <x:c r="M1367" s="34" t="str">
        <x:v>article1-unified-v4-2-fb3f101b-20260903-000401-default-f06-p4-ehcache-2-after-undeploy-early-2s</x:v>
      </x:c>
      <x:c r="N1367" s="38" t="n">
        <x:v>46268.11007722222</x:v>
      </x:c>
      <x:c r="O1367" s="36"/>
      <x:c r="P1367" s="43"/>
      <x:c r="Q1367" s="43"/>
      <x:c r="R1367" s="43"/>
      <x:c r="S1367" s="36"/>
      <x:c r="T1367" s="44"/>
      <x:c r="U1367" s="36" t="n">
        <x:v>27</x:v>
      </x:c>
      <x:c r="V1367" s="36" t="n">
        <x:v>0</x:v>
      </x:c>
      <x:c r="W1367" s="44"/>
      <x:c r="X1367" s="36"/>
      <x:c r="Y1367" s="36"/>
      <x:c r="Z1367" s="44"/>
      <x:c r="AA1367" s="49"/>
      <x:c r="AB1367" s="43" t="n">
        <x:v>2</x:v>
      </x:c>
      <x:c r="AC1367" s="34"/>
      <x:c r="AD1367" s="34"/>
      <x:c r="AE1367" s="34" t="str">
        <x:v>article1-unified-v4-2-fb3f101b-20260903-000401-default-f06-p4-ehcache-2-after-undeploy-early-2s-thread-dump.txt</x:v>
      </x:c>
      <x:c r="AF1367" s="34" t="str">
        <x:v>article1-unified-v4-2-fb3f101b-20260903-000401-default-f06-p4-ehcache-2-after-undeploy-early-tomcat-log.txt</x:v>
      </x:c>
      <x:c r="AG1367" s="34"/>
      <x:c r="AH1367" s="34"/>
      <x:c r="AI1367" s="34"/>
    </x:row>
    <x:row r="1368">
      <x:c r="A1368" s="34" t="str">
        <x:v>article1-unified-v4-2-fb3f101b-20260903-000401-default-f06-p4-ehcache</x:v>
      </x:c>
      <x:c r="B1368" s="34" t="str">
        <x:v>default</x:v>
      </x:c>
      <x:c r="C1368" s="34" t="str">
        <x:v>ehcache</x:v>
      </x:c>
      <x:c r="D1368" s="34" t="str">
        <x:v>ehcache</x:v>
      </x:c>
      <x:c r="E1368" s="36" t="n">
        <x:v>6</x:v>
      </x:c>
      <x:c r="F1368" s="36" t="n">
        <x:v>6</x:v>
      </x:c>
      <x:c r="G1368" s="36" t="n">
        <x:v>4</x:v>
      </x:c>
      <x:c r="H1368" s="36" t="n">
        <x:v>2</x:v>
      </x:c>
      <x:c r="I1368" s="34" t="str">
        <x:v>afterUndeploy</x:v>
      </x:c>
      <x:c r="J1368" s="34" t="str">
        <x:v>after-undeploy-final</x:v>
      </x:c>
      <x:c r="K1368" s="36" t="n">
        <x:v>1</x:v>
      </x:c>
      <x:c r="L1368" s="34" t="str">
        <x:v>final</x:v>
      </x:c>
      <x:c r="M1368" s="34" t="str">
        <x:v>article1-unified-v4-2-fb3f101b-20260903-000401-default-f06-p4-ehcache-2-after-undeploy-final-10s</x:v>
      </x:c>
      <x:c r="N1368" s="38" t="n">
        <x:v>46268.11023662037</x:v>
      </x:c>
      <x:c r="O1368" s="36" t="n">
        <x:v>2</x:v>
      </x:c>
      <x:c r="P1368" s="43" t="n">
        <x:v>16041984</x:v>
      </x:c>
      <x:c r="Q1368" s="43" t="n">
        <x:v>268435456</x:v>
      </x:c>
      <x:c r="R1368" s="43" t="n">
        <x:v>418327552</x:v>
      </x:c>
      <x:c r="S1368" s="36" t="n">
        <x:v>2</x:v>
      </x:c>
      <x:c r="T1368" s="44" t="str">
        <x:v>0x00000000891177b8  0x0000000089003818  0x0000737a8401b040    4859  22729728  22699184  org.apache.catalina.loader.ParallelWebappClassLoader | 0x00000000891177b8  0x0000000089003818  0x0000737b185ee230       0         0         0  org.apache.catalina.loader.ParallelWebappClassLoader</x:v>
      </x:c>
      <x:c r="U1368" s="36" t="n">
        <x:v>27</x:v>
      </x:c>
      <x:c r="V1368" s="36" t="n">
        <x:v>0</x:v>
      </x:c>
      <x:c r="W1368" s="44"/>
      <x:c r="X1368" s="36" t="n">
        <x:v>1</x:v>
      </x:c>
      <x:c r="Y1368" s="36" t="n">
        <x:v>1</x:v>
      </x:c>
      <x:c r="Z1368" s="44" t="str">
        <x:v>/ehcache</x:v>
      </x:c>
      <x:c r="AA1368" s="45" t="b">
        <x:v>1</x:v>
      </x:c>
      <x:c r="AB1368" s="43"/>
      <x:c r="AC1368" s="34" t="str">
        <x:v>article1-unified-v4-2-fb3f101b-20260903-000401-default-f06-p4-ehcache-2-after-undeploy-final-10s-heap-info.txt</x:v>
      </x:c>
      <x:c r="AD1368" s="34" t="str">
        <x:v>article1-unified-v4-2-fb3f101b-20260903-000401-default-f06-p4-ehcache-2-after-undeploy-final-10s-classloader-stats.txt</x:v>
      </x:c>
      <x:c r="AE1368" s="34" t="str">
        <x:v>article1-unified-v4-2-fb3f101b-20260903-000401-default-f06-p4-ehcache-2-after-undeploy-final-10s-thread-dump.txt</x:v>
      </x:c>
      <x:c r="AF1368" s="34"/>
      <x:c r="AG1368" s="34" t="str">
        <x:v>article1-unified-v4-2-fb3f101b-20260903-000401-default-f06-p4-ehcache-2-after-undeploy-final-10s-native-memory.txt</x:v>
      </x:c>
      <x:c r="AH1368" s="34" t="str">
        <x:v>article1-unified-v4-2-fb3f101b-20260903-000401-default-f06-p4-ehcache-2-after-undeploy-final-10s-class-histogram.txt</x:v>
      </x:c>
      <x:c r="AI1368" s="34" t="str">
        <x:v>article1-unified-v4-2-fb3f101b-20260903-000401-default-f06-p4-ehcache-2-after-undeploy-tomcat-findleaks.txt</x:v>
      </x:c>
    </x:row>
    <x:row r="1369">
      <x:c r="A1369" s="34" t="str">
        <x:v>article1-unified-v4-2-fb3f101b-20260903-000401-default-f06-p4-ehcache</x:v>
      </x:c>
      <x:c r="B1369" s="34" t="str">
        <x:v>default</x:v>
      </x:c>
      <x:c r="C1369" s="34" t="str">
        <x:v>ehcache</x:v>
      </x:c>
      <x:c r="D1369" s="34" t="str">
        <x:v>ehcache</x:v>
      </x:c>
      <x:c r="E1369" s="36" t="n">
        <x:v>6</x:v>
      </x:c>
      <x:c r="F1369" s="36" t="n">
        <x:v>6</x:v>
      </x:c>
      <x:c r="G1369" s="36" t="n">
        <x:v>4</x:v>
      </x:c>
      <x:c r="H1369" s="36" t="n">
        <x:v>2</x:v>
      </x:c>
      <x:c r="I1369" s="34" t="str">
        <x:v>redeployedLoaded</x:v>
      </x:c>
      <x:c r="J1369" s="34" t="str">
        <x:v>redeployed-loaded</x:v>
      </x:c>
      <x:c r="K1369" s="36" t="n">
        <x:v>0</x:v>
      </x:c>
      <x:c r="L1369" s="34" t="str">
        <x:v>redeploy</x:v>
      </x:c>
      <x:c r="M1369" s="34" t="str">
        <x:v>article1-unified-v4-2-fb3f101b-20260903-000401-default-f06-p4-ehcache-2-redeployed-loaded</x:v>
      </x:c>
      <x:c r="N1369" s="38" t="n">
        <x:v>46268.11050042824</x:v>
      </x:c>
      <x:c r="O1369" s="36" t="n">
        <x:v>0</x:v>
      </x:c>
      <x:c r="P1369" s="43" t="n">
        <x:v>205473792</x:v>
      </x:c>
      <x:c r="Q1369" s="43" t="n">
        <x:v>268435456</x:v>
      </x:c>
      <x:c r="R1369" s="43" t="n">
        <x:v>447920128</x:v>
      </x:c>
      <x:c r="S1369" s="36" t="n">
        <x:v>3</x:v>
      </x:c>
      <x:c r="T1369" s="44" t="str">
        <x:v>0x00000000891177b8  0x0000000089003818  0x0000737a8801c0c0    4850  22678528  22649968  org.apache.catalina.loader.ParallelWebappClassLoader | 0x00000000891177b8  0x0000000089003818  0x0000737a8401b040    4859  22729728  22699184  org.apache.catalina.loader.ParallelWebappClassLoader | 0x00000000891177b8  0x0000000089003818  0x0000737b185ee230       0         0         0  org.apache.catalina.loader.ParallelWebappClassLoader</x:v>
      </x:c>
      <x:c r="U1369" s="36" t="n">
        <x:v>27</x:v>
      </x:c>
      <x:c r="V1369" s="36" t="n">
        <x:v>0</x:v>
      </x:c>
      <x:c r="W1369" s="44"/>
      <x:c r="X1369" s="36"/>
      <x:c r="Y1369" s="36"/>
      <x:c r="Z1369" s="44"/>
      <x:c r="AA1369" s="49"/>
      <x:c r="AB1369" s="43"/>
      <x:c r="AC1369" s="34"/>
      <x:c r="AD1369" s="34"/>
      <x:c r="AE1369" s="34"/>
      <x:c r="AF1369" s="34"/>
      <x:c r="AG1369" s="34"/>
      <x:c r="AH1369" s="34"/>
      <x:c r="AI1369" s="34"/>
    </x:row>
    <x:row r="1370">
      <x:c r="A1370" s="34" t="str">
        <x:v>article1-unified-v4-2-fb3f101b-20260903-000401-default-f06-p4-ehcache</x:v>
      </x:c>
      <x:c r="B1370" s="34" t="str">
        <x:v>default</x:v>
      </x:c>
      <x:c r="C1370" s="34" t="str">
        <x:v>ehcache</x:v>
      </x:c>
      <x:c r="D1370" s="34" t="str">
        <x:v>ehcache</x:v>
      </x:c>
      <x:c r="E1370" s="36" t="n">
        <x:v>6</x:v>
      </x:c>
      <x:c r="F1370" s="36" t="n">
        <x:v>6</x:v>
      </x:c>
      <x:c r="G1370" s="36" t="n">
        <x:v>4</x:v>
      </x:c>
      <x:c r="H1370" s="36" t="n">
        <x:v>2</x:v>
      </x:c>
      <x:c r="I1370" s="34" t="str">
        <x:v>afterFinalUndeployEarly</x:v>
      </x:c>
      <x:c r="J1370" s="34" t="str">
        <x:v>after-final-undeploy-early</x:v>
      </x:c>
      <x:c r="K1370" s="36" t="n">
        <x:v>2</x:v>
      </x:c>
      <x:c r="L1370" s="34" t="str">
        <x:v>early</x:v>
      </x:c>
      <x:c r="M1370" s="34" t="str">
        <x:v>article1-unified-v4-2-fb3f101b-20260903-000401-default-f06-p4-ehcache-2-after-final-undeploy-early-2s</x:v>
      </x:c>
      <x:c r="N1370" s="38" t="n">
        <x:v>46268.11058193287</x:v>
      </x:c>
      <x:c r="O1370" s="36"/>
      <x:c r="P1370" s="43"/>
      <x:c r="Q1370" s="43"/>
      <x:c r="R1370" s="43"/>
      <x:c r="S1370" s="36"/>
      <x:c r="T1370" s="44"/>
      <x:c r="U1370" s="36" t="n">
        <x:v>27</x:v>
      </x:c>
      <x:c r="V1370" s="36" t="n">
        <x:v>0</x:v>
      </x:c>
      <x:c r="W1370" s="44"/>
      <x:c r="X1370" s="36"/>
      <x:c r="Y1370" s="36"/>
      <x:c r="Z1370" s="44"/>
      <x:c r="AA1370" s="49"/>
      <x:c r="AB1370" s="43" t="n">
        <x:v>2</x:v>
      </x:c>
      <x:c r="AC1370" s="34"/>
      <x:c r="AD1370" s="34"/>
      <x:c r="AE1370" s="34" t="str">
        <x:v>article1-unified-v4-2-fb3f101b-20260903-000401-default-f06-p4-ehcache-2-after-final-undeploy-early-2s-thread-dump.txt</x:v>
      </x:c>
      <x:c r="AF1370" s="34" t="str">
        <x:v>article1-unified-v4-2-fb3f101b-20260903-000401-default-f06-p4-ehcache-2-after-final-undeploy-early-tomcat-log.txt</x:v>
      </x:c>
      <x:c r="AG1370" s="34"/>
      <x:c r="AH1370" s="34"/>
      <x:c r="AI1370" s="34"/>
    </x:row>
    <x:row r="1371">
      <x:c r="A1371" s="34" t="str">
        <x:v>article1-unified-v4-2-fb3f101b-20260903-000401-default-f06-p4-ehcache</x:v>
      </x:c>
      <x:c r="B1371" s="34" t="str">
        <x:v>default</x:v>
      </x:c>
      <x:c r="C1371" s="34" t="str">
        <x:v>ehcache</x:v>
      </x:c>
      <x:c r="D1371" s="34" t="str">
        <x:v>ehcache</x:v>
      </x:c>
      <x:c r="E1371" s="36" t="n">
        <x:v>6</x:v>
      </x:c>
      <x:c r="F1371" s="36" t="n">
        <x:v>6</x:v>
      </x:c>
      <x:c r="G1371" s="36" t="n">
        <x:v>4</x:v>
      </x:c>
      <x:c r="H1371" s="36" t="n">
        <x:v>2</x:v>
      </x:c>
      <x:c r="I1371" s="34" t="str">
        <x:v>afterFinalUndeploy</x:v>
      </x:c>
      <x:c r="J1371" s="34" t="str">
        <x:v>after-final-undeploy-final</x:v>
      </x:c>
      <x:c r="K1371" s="36" t="n">
        <x:v>2</x:v>
      </x:c>
      <x:c r="L1371" s="34" t="str">
        <x:v>final</x:v>
      </x:c>
      <x:c r="M1371" s="34" t="str">
        <x:v>article1-unified-v4-2-fb3f101b-20260903-000401-default-f06-p4-ehcache-2-after-final-undeploy-final-10s</x:v>
      </x:c>
      <x:c r="N1371" s="38" t="n">
        <x:v>46268.1107396875</x:v>
      </x:c>
      <x:c r="O1371" s="36" t="n">
        <x:v>2</x:v>
      </x:c>
      <x:c r="P1371" s="43" t="n">
        <x:v>16049152</x:v>
      </x:c>
      <x:c r="Q1371" s="43" t="n">
        <x:v>268435456</x:v>
      </x:c>
      <x:c r="R1371" s="43" t="n">
        <x:v>423426048</x:v>
      </x:c>
      <x:c r="S1371" s="36" t="n">
        <x:v>2</x:v>
      </x:c>
      <x:c r="T1371" s="44" t="str">
        <x:v>0x00000000891177b8  0x0000000089003818  0x0000737a8801c0c0    4860  22711296  22694776  org.apache.catalina.loader.ParallelWebappClassLoader | 0x00000000891177b8  0x0000000089003818  0x0000737b185ee230       0         0         0  org.apache.catalina.loader.ParallelWebappClassLoader</x:v>
      </x:c>
      <x:c r="U1371" s="36" t="n">
        <x:v>27</x:v>
      </x:c>
      <x:c r="V1371" s="36" t="n">
        <x:v>0</x:v>
      </x:c>
      <x:c r="W1371" s="44"/>
      <x:c r="X1371" s="36" t="n">
        <x:v>1</x:v>
      </x:c>
      <x:c r="Y1371" s="36" t="n">
        <x:v>1</x:v>
      </x:c>
      <x:c r="Z1371" s="44" t="str">
        <x:v>/ehcache</x:v>
      </x:c>
      <x:c r="AA1371" s="45" t="b">
        <x:v>1</x:v>
      </x:c>
      <x:c r="AB1371" s="43"/>
      <x:c r="AC1371" s="34" t="str">
        <x:v>article1-unified-v4-2-fb3f101b-20260903-000401-default-f06-p4-ehcache-2-after-final-undeploy-final-10s-heap-info.txt</x:v>
      </x:c>
      <x:c r="AD1371" s="34" t="str">
        <x:v>article1-unified-v4-2-fb3f101b-20260903-000401-default-f06-p4-ehcache-2-after-final-undeploy-final-10s-classloader-stats.txt</x:v>
      </x:c>
      <x:c r="AE1371" s="34" t="str">
        <x:v>article1-unified-v4-2-fb3f101b-20260903-000401-default-f06-p4-ehcache-2-after-final-undeploy-final-10s-thread-dump.txt</x:v>
      </x:c>
      <x:c r="AF1371" s="34"/>
      <x:c r="AG1371" s="34" t="str">
        <x:v>article1-unified-v4-2-fb3f101b-20260903-000401-default-f06-p4-ehcache-2-after-final-undeploy-final-10s-native-memory.txt</x:v>
      </x:c>
      <x:c r="AH1371" s="34" t="str">
        <x:v>article1-unified-v4-2-fb3f101b-20260903-000401-default-f06-p4-ehcache-2-after-final-undeploy-final-10s-class-histogram.txt</x:v>
      </x:c>
      <x:c r="AI1371" s="34" t="str">
        <x:v>article1-unified-v4-2-fb3f101b-20260903-000401-default-f06-p4-ehcache-2-after-final-undeploy-tomcat-findleaks.txt</x:v>
      </x:c>
    </x:row>
    <x:row r="1372">
      <x:c r="A1372" s="34" t="str">
        <x:v>article1-unified-v4-2-fb3f101b-20260903-000401-default-f06-p4-ehcache</x:v>
      </x:c>
      <x:c r="B1372" s="34" t="str">
        <x:v>default</x:v>
      </x:c>
      <x:c r="C1372" s="34" t="str">
        <x:v>ehcache</x:v>
      </x:c>
      <x:c r="D1372" s="34" t="str">
        <x:v>ehcache</x:v>
      </x:c>
      <x:c r="E1372" s="36" t="n">
        <x:v>6</x:v>
      </x:c>
      <x:c r="F1372" s="36" t="n">
        <x:v>6</x:v>
      </x:c>
      <x:c r="G1372" s="36" t="n">
        <x:v>4</x:v>
      </x:c>
      <x:c r="H1372" s="36" t="n">
        <x:v>3</x:v>
      </x:c>
      <x:c r="I1372" s="34" t="str">
        <x:v>baseline</x:v>
      </x:c>
      <x:c r="J1372" s="34" t="str">
        <x:v>cycle-baseline</x:v>
      </x:c>
      <x:c r="K1372" s="36" t="n">
        <x:v>0</x:v>
      </x:c>
      <x:c r="L1372" s="34" t="str">
        <x:v>baseline</x:v>
      </x:c>
      <x:c r="M1372" s="34" t="str">
        <x:v>article1-unified-v4-2-fb3f101b-20260903-000401-default-f06-p4-ehcache-3-baseline</x:v>
      </x:c>
      <x:c r="N1372" s="38" t="n">
        <x:v>46268.11078490741</x:v>
      </x:c>
      <x:c r="O1372" s="36" t="n">
        <x:v>0</x:v>
      </x:c>
      <x:c r="P1372" s="43" t="n">
        <x:v>16049152</x:v>
      </x:c>
      <x:c r="Q1372" s="43" t="n">
        <x:v>268435456</x:v>
      </x:c>
      <x:c r="R1372" s="43" t="n">
        <x:v>423954432</x:v>
      </x:c>
      <x:c r="S1372" s="36" t="n">
        <x:v>2</x:v>
      </x:c>
      <x:c r="T1372" s="44" t="str">
        <x:v>0x00000000891177b8  0x0000000089003818  0x0000737a8801c0c0    4860  22711296  22694776  org.apache.catalina.loader.ParallelWebappClassLoader | 0x00000000891177b8  0x0000000089003818  0x0000737b185ee230       0         0         0  org.apache.catalina.loader.ParallelWebappClassLoader</x:v>
      </x:c>
      <x:c r="U1372" s="36" t="n">
        <x:v>27</x:v>
      </x:c>
      <x:c r="V1372" s="36" t="n">
        <x:v>0</x:v>
      </x:c>
      <x:c r="W1372" s="44"/>
      <x:c r="X1372" s="36"/>
      <x:c r="Y1372" s="36"/>
      <x:c r="Z1372" s="44"/>
      <x:c r="AA1372" s="49"/>
      <x:c r="AB1372" s="43"/>
      <x:c r="AC1372" s="34" t="str">
        <x:v>article1-unified-v4-2-fb3f101b-20260903-000401-default-f06-p4-ehcache-3-baseline-heap-info.txt</x:v>
      </x:c>
      <x:c r="AD1372" s="34" t="str">
        <x:v>article1-unified-v4-2-fb3f101b-20260903-000401-default-f06-p4-ehcache-3-baseline-classloader-stats.txt</x:v>
      </x:c>
      <x:c r="AE1372" s="34" t="str">
        <x:v>article1-unified-v4-2-fb3f101b-20260903-000401-default-f06-p4-ehcache-3-baseline-thread-dump.txt</x:v>
      </x:c>
      <x:c r="AF1372" s="34"/>
      <x:c r="AG1372" s="34" t="str">
        <x:v>article1-unified-v4-2-fb3f101b-20260903-000401-default-f06-p4-ehcache-3-baseline-native-memory.txt</x:v>
      </x:c>
      <x:c r="AH1372" s="34"/>
      <x:c r="AI1372" s="34"/>
    </x:row>
    <x:row r="1373">
      <x:c r="A1373" s="34" t="str">
        <x:v>article1-unified-v4-2-fb3f101b-20260903-000401-default-f06-p4-ehcache</x:v>
      </x:c>
      <x:c r="B1373" s="34" t="str">
        <x:v>default</x:v>
      </x:c>
      <x:c r="C1373" s="34" t="str">
        <x:v>ehcache</x:v>
      </x:c>
      <x:c r="D1373" s="34" t="str">
        <x:v>ehcache</x:v>
      </x:c>
      <x:c r="E1373" s="36" t="n">
        <x:v>6</x:v>
      </x:c>
      <x:c r="F1373" s="36" t="n">
        <x:v>6</x:v>
      </x:c>
      <x:c r="G1373" s="36" t="n">
        <x:v>4</x:v>
      </x:c>
      <x:c r="H1373" s="36" t="n">
        <x:v>3</x:v>
      </x:c>
      <x:c r="I1373" s="34" t="str">
        <x:v>deployedIdle</x:v>
      </x:c>
      <x:c r="J1373" s="34" t="str">
        <x:v>deployed-idle</x:v>
      </x:c>
      <x:c r="K1373" s="36" t="n">
        <x:v>0</x:v>
      </x:c>
      <x:c r="L1373" s="34" t="str">
        <x:v>initial</x:v>
      </x:c>
      <x:c r="M1373" s="34" t="str">
        <x:v>article1-unified-v4-2-fb3f101b-20260903-000401-default-f06-p4-ehcache-3-deployed-idle</x:v>
      </x:c>
      <x:c r="N1373" s="38" t="n">
        <x:v>46268.110882106484</x:v>
      </x:c>
      <x:c r="O1373" s="36" t="n">
        <x:v>0</x:v>
      </x:c>
      <x:c r="P1373" s="43" t="n">
        <x:v>168019968</x:v>
      </x:c>
      <x:c r="Q1373" s="43" t="n">
        <x:v>268435456</x:v>
      </x:c>
      <x:c r="R1373" s="43" t="n">
        <x:v>457964544</x:v>
      </x:c>
      <x:c r="S1373" s="36" t="n">
        <x:v>3</x:v>
      </x:c>
      <x:c r="T1373" s="44" t="str">
        <x:v>0x00000000891177b8  0x0000000089003818  0x0000737a90308b10    4091  19447808  19426784  org.apache.catalina.loader.ParallelWebappClassLoader | 0x00000000891177b8  0x0000000089003818  0x0000737a8801c0c0    4860  22711296  22694776  org.apache.catalina.loader.ParallelWebappClassLoader | 0x00000000891177b8  0x0000000089003818  0x0000737b185ee230       0         0         0  org.apache.catalina.loader.ParallelWebappClassLoader</x:v>
      </x:c>
      <x:c r="U1373" s="36" t="n">
        <x:v>27</x:v>
      </x:c>
      <x:c r="V1373" s="36" t="n">
        <x:v>0</x:v>
      </x:c>
      <x:c r="W1373" s="44"/>
      <x:c r="X1373" s="36"/>
      <x:c r="Y1373" s="36"/>
      <x:c r="Z1373" s="44"/>
      <x:c r="AA1373" s="49"/>
      <x:c r="AB1373" s="43"/>
      <x:c r="AC1373" s="34"/>
      <x:c r="AD1373" s="34"/>
      <x:c r="AE1373" s="34"/>
      <x:c r="AF1373" s="34"/>
      <x:c r="AG1373" s="34"/>
      <x:c r="AH1373" s="34"/>
      <x:c r="AI1373" s="34"/>
    </x:row>
    <x:row r="1374">
      <x:c r="A1374" s="34" t="str">
        <x:v>article1-unified-v4-2-fb3f101b-20260903-000401-default-f06-p4-ehcache</x:v>
      </x:c>
      <x:c r="B1374" s="34" t="str">
        <x:v>default</x:v>
      </x:c>
      <x:c r="C1374" s="34" t="str">
        <x:v>ehcache</x:v>
      </x:c>
      <x:c r="D1374" s="34" t="str">
        <x:v>ehcache</x:v>
      </x:c>
      <x:c r="E1374" s="36" t="n">
        <x:v>6</x:v>
      </x:c>
      <x:c r="F1374" s="36" t="n">
        <x:v>6</x:v>
      </x:c>
      <x:c r="G1374" s="36" t="n">
        <x:v>4</x:v>
      </x:c>
      <x:c r="H1374" s="36" t="n">
        <x:v>3</x:v>
      </x:c>
      <x:c r="I1374" s="34" t="str">
        <x:v>loaded</x:v>
      </x:c>
      <x:c r="J1374" s="34" t="str">
        <x:v>loaded</x:v>
      </x:c>
      <x:c r="K1374" s="36" t="n">
        <x:v>0</x:v>
      </x:c>
      <x:c r="L1374" s="34" t="str">
        <x:v>initial</x:v>
      </x:c>
      <x:c r="M1374" s="34" t="str">
        <x:v>article1-unified-v4-2-fb3f101b-20260903-000401-default-f06-p4-ehcache-3-loaded</x:v>
      </x:c>
      <x:c r="N1374" s="38" t="n">
        <x:v>46268.11103472222</x:v>
      </x:c>
      <x:c r="O1374" s="36" t="n">
        <x:v>0</x:v>
      </x:c>
      <x:c r="P1374" s="43" t="n">
        <x:v>211877888</x:v>
      </x:c>
      <x:c r="Q1374" s="43" t="n">
        <x:v>268435456</x:v>
      </x:c>
      <x:c r="R1374" s="43" t="n">
        <x:v>444625920</x:v>
      </x:c>
      <x:c r="S1374" s="36" t="n">
        <x:v>3</x:v>
      </x:c>
      <x:c r="T1374" s="44" t="str">
        <x:v>0x00000000891177b8  0x0000000089003818  0x0000737a8801c0c0    4860  22711296  22694776  org.apache.catalina.loader.ParallelWebappClassLoader | 0x00000000891177b8  0x0000000089003818  0x0000737a90308b10    4847  22659072  22653056  org.apache.catalina.loader.ParallelWebappClassLoader | 0x00000000891177b8  0x0000000089003818  0x0000737b185ee230       0         0         0  org.apache.catalina.loader.ParallelWebappClassLoader</x:v>
      </x:c>
      <x:c r="U1374" s="36" t="n">
        <x:v>28</x:v>
      </x:c>
      <x:c r="V1374" s="36" t="n">
        <x:v>0</x:v>
      </x:c>
      <x:c r="W1374" s="44"/>
      <x:c r="X1374" s="36"/>
      <x:c r="Y1374" s="36"/>
      <x:c r="Z1374" s="44"/>
      <x:c r="AA1374" s="49"/>
      <x:c r="AB1374" s="43"/>
      <x:c r="AC1374" s="34"/>
      <x:c r="AD1374" s="34"/>
      <x:c r="AE1374" s="34"/>
      <x:c r="AF1374" s="34"/>
      <x:c r="AG1374" s="34"/>
      <x:c r="AH1374" s="34"/>
      <x:c r="AI1374" s="34"/>
    </x:row>
    <x:row r="1375">
      <x:c r="A1375" s="34" t="str">
        <x:v>article1-unified-v4-2-fb3f101b-20260903-000401-default-f06-p4-ehcache</x:v>
      </x:c>
      <x:c r="B1375" s="34" t="str">
        <x:v>default</x:v>
      </x:c>
      <x:c r="C1375" s="34" t="str">
        <x:v>ehcache</x:v>
      </x:c>
      <x:c r="D1375" s="34" t="str">
        <x:v>ehcache</x:v>
      </x:c>
      <x:c r="E1375" s="36" t="n">
        <x:v>6</x:v>
      </x:c>
      <x:c r="F1375" s="36" t="n">
        <x:v>6</x:v>
      </x:c>
      <x:c r="G1375" s="36" t="n">
        <x:v>4</x:v>
      </x:c>
      <x:c r="H1375" s="36" t="n">
        <x:v>3</x:v>
      </x:c>
      <x:c r="I1375" s="34" t="str">
        <x:v>afterUndeployEarly</x:v>
      </x:c>
      <x:c r="J1375" s="34" t="str">
        <x:v>after-undeploy-early</x:v>
      </x:c>
      <x:c r="K1375" s="36" t="n">
        <x:v>1</x:v>
      </x:c>
      <x:c r="L1375" s="34" t="str">
        <x:v>early</x:v>
      </x:c>
      <x:c r="M1375" s="34" t="str">
        <x:v>article1-unified-v4-2-fb3f101b-20260903-000401-default-f06-p4-ehcache-3-after-undeploy-early-2s</x:v>
      </x:c>
      <x:c r="N1375" s="38" t="n">
        <x:v>46268.11111883102</x:v>
      </x:c>
      <x:c r="O1375" s="36"/>
      <x:c r="P1375" s="43"/>
      <x:c r="Q1375" s="43"/>
      <x:c r="R1375" s="43"/>
      <x:c r="S1375" s="36"/>
      <x:c r="T1375" s="44"/>
      <x:c r="U1375" s="36" t="n">
        <x:v>27</x:v>
      </x:c>
      <x:c r="V1375" s="36" t="n">
        <x:v>0</x:v>
      </x:c>
      <x:c r="W1375" s="44"/>
      <x:c r="X1375" s="36"/>
      <x:c r="Y1375" s="36"/>
      <x:c r="Z1375" s="44"/>
      <x:c r="AA1375" s="49"/>
      <x:c r="AB1375" s="43" t="n">
        <x:v>2</x:v>
      </x:c>
      <x:c r="AC1375" s="34"/>
      <x:c r="AD1375" s="34"/>
      <x:c r="AE1375" s="34" t="str">
        <x:v>article1-unified-v4-2-fb3f101b-20260903-000401-default-f06-p4-ehcache-3-after-undeploy-early-2s-thread-dump.txt</x:v>
      </x:c>
      <x:c r="AF1375" s="34" t="str">
        <x:v>article1-unified-v4-2-fb3f101b-20260903-000401-default-f06-p4-ehcache-3-after-undeploy-early-tomcat-log.txt</x:v>
      </x:c>
      <x:c r="AG1375" s="34"/>
      <x:c r="AH1375" s="34"/>
      <x:c r="AI1375" s="34"/>
    </x:row>
    <x:row r="1376">
      <x:c r="A1376" s="34" t="str">
        <x:v>article1-unified-v4-2-fb3f101b-20260903-000401-default-f06-p4-ehcache</x:v>
      </x:c>
      <x:c r="B1376" s="34" t="str">
        <x:v>default</x:v>
      </x:c>
      <x:c r="C1376" s="34" t="str">
        <x:v>ehcache</x:v>
      </x:c>
      <x:c r="D1376" s="34" t="str">
        <x:v>ehcache</x:v>
      </x:c>
      <x:c r="E1376" s="36" t="n">
        <x:v>6</x:v>
      </x:c>
      <x:c r="F1376" s="36" t="n">
        <x:v>6</x:v>
      </x:c>
      <x:c r="G1376" s="36" t="n">
        <x:v>4</x:v>
      </x:c>
      <x:c r="H1376" s="36" t="n">
        <x:v>3</x:v>
      </x:c>
      <x:c r="I1376" s="34" t="str">
        <x:v>afterUndeploy</x:v>
      </x:c>
      <x:c r="J1376" s="34" t="str">
        <x:v>after-undeploy-final</x:v>
      </x:c>
      <x:c r="K1376" s="36" t="n">
        <x:v>1</x:v>
      </x:c>
      <x:c r="L1376" s="34" t="str">
        <x:v>final</x:v>
      </x:c>
      <x:c r="M1376" s="34" t="str">
        <x:v>article1-unified-v4-2-fb3f101b-20260903-000401-default-f06-p4-ehcache-3-after-undeploy-final-10s</x:v>
      </x:c>
      <x:c r="N1376" s="38" t="n">
        <x:v>46268.11127424768</x:v>
      </x:c>
      <x:c r="O1376" s="36" t="n">
        <x:v>2</x:v>
      </x:c>
      <x:c r="P1376" s="43" t="n">
        <x:v>16067584</x:v>
      </x:c>
      <x:c r="Q1376" s="43" t="n">
        <x:v>268435456</x:v>
      </x:c>
      <x:c r="R1376" s="43" t="n">
        <x:v>421685248</x:v>
      </x:c>
      <x:c r="S1376" s="36" t="n">
        <x:v>2</x:v>
      </x:c>
      <x:c r="T1376" s="44" t="str">
        <x:v>0x00000000891177b8  0x0000000089003818  0x0000737a90308b10    4857  22724608  22698808  org.apache.catalina.loader.ParallelWebappClassLoader | 0x00000000891177b8  0x0000000089003818  0x0000737b185ee230       0         0         0  org.apache.catalina.loader.ParallelWebappClassLoader</x:v>
      </x:c>
      <x:c r="U1376" s="36" t="n">
        <x:v>27</x:v>
      </x:c>
      <x:c r="V1376" s="36" t="n">
        <x:v>0</x:v>
      </x:c>
      <x:c r="W1376" s="44"/>
      <x:c r="X1376" s="36" t="n">
        <x:v>1</x:v>
      </x:c>
      <x:c r="Y1376" s="36" t="n">
        <x:v>1</x:v>
      </x:c>
      <x:c r="Z1376" s="44" t="str">
        <x:v>/ehcache</x:v>
      </x:c>
      <x:c r="AA1376" s="45" t="b">
        <x:v>1</x:v>
      </x:c>
      <x:c r="AB1376" s="43"/>
      <x:c r="AC1376" s="34" t="str">
        <x:v>article1-unified-v4-2-fb3f101b-20260903-000401-default-f06-p4-ehcache-3-after-undeploy-final-10s-heap-info.txt</x:v>
      </x:c>
      <x:c r="AD1376" s="34" t="str">
        <x:v>article1-unified-v4-2-fb3f101b-20260903-000401-default-f06-p4-ehcache-3-after-undeploy-final-10s-classloader-stats.txt</x:v>
      </x:c>
      <x:c r="AE1376" s="34" t="str">
        <x:v>article1-unified-v4-2-fb3f101b-20260903-000401-default-f06-p4-ehcache-3-after-undeploy-final-10s-thread-dump.txt</x:v>
      </x:c>
      <x:c r="AF1376" s="34"/>
      <x:c r="AG1376" s="34" t="str">
        <x:v>article1-unified-v4-2-fb3f101b-20260903-000401-default-f06-p4-ehcache-3-after-undeploy-final-10s-native-memory.txt</x:v>
      </x:c>
      <x:c r="AH1376" s="34" t="str">
        <x:v>article1-unified-v4-2-fb3f101b-20260903-000401-default-f06-p4-ehcache-3-after-undeploy-final-10s-class-histogram.txt</x:v>
      </x:c>
      <x:c r="AI1376" s="34" t="str">
        <x:v>article1-unified-v4-2-fb3f101b-20260903-000401-default-f06-p4-ehcache-3-after-undeploy-tomcat-findleaks.txt</x:v>
      </x:c>
    </x:row>
    <x:row r="1377">
      <x:c r="A1377" s="34" t="str">
        <x:v>article1-unified-v4-2-fb3f101b-20260903-000401-default-f06-p4-ehcache</x:v>
      </x:c>
      <x:c r="B1377" s="34" t="str">
        <x:v>default</x:v>
      </x:c>
      <x:c r="C1377" s="34" t="str">
        <x:v>ehcache</x:v>
      </x:c>
      <x:c r="D1377" s="34" t="str">
        <x:v>ehcache</x:v>
      </x:c>
      <x:c r="E1377" s="36" t="n">
        <x:v>6</x:v>
      </x:c>
      <x:c r="F1377" s="36" t="n">
        <x:v>6</x:v>
      </x:c>
      <x:c r="G1377" s="36" t="n">
        <x:v>4</x:v>
      </x:c>
      <x:c r="H1377" s="36" t="n">
        <x:v>3</x:v>
      </x:c>
      <x:c r="I1377" s="34" t="str">
        <x:v>redeployedLoaded</x:v>
      </x:c>
      <x:c r="J1377" s="34" t="str">
        <x:v>redeployed-loaded</x:v>
      </x:c>
      <x:c r="K1377" s="36" t="n">
        <x:v>0</x:v>
      </x:c>
      <x:c r="L1377" s="34" t="str">
        <x:v>redeploy</x:v>
      </x:c>
      <x:c r="M1377" s="34" t="str">
        <x:v>article1-unified-v4-2-fb3f101b-20260903-000401-default-f06-p4-ehcache-3-redeployed-loaded</x:v>
      </x:c>
      <x:c r="N1377" s="38" t="n">
        <x:v>46268.111531863426</x:v>
      </x:c>
      <x:c r="O1377" s="36" t="n">
        <x:v>0</x:v>
      </x:c>
      <x:c r="P1377" s="43" t="n">
        <x:v>215610368</x:v>
      </x:c>
      <x:c r="Q1377" s="43" t="n">
        <x:v>268435456</x:v>
      </x:c>
      <x:c r="R1377" s="43" t="n">
        <x:v>450208768</x:v>
      </x:c>
      <x:c r="S1377" s="36" t="n">
        <x:v>3</x:v>
      </x:c>
      <x:c r="T1377" s="44" t="str">
        <x:v>0x00000000891177b8  0x0000000089003818  0x0000737a90308b10    4857  22724608  22698808  org.apache.catalina.loader.ParallelWebappClassLoader | 0x00000000891177b8  0x0000000089003818  0x0000737a701ebf30    4849  22665216  22649768  org.apache.catalina.loader.ParallelWebappClassLoader | 0x00000000891177b8  0x0000000089003818  0x0000737b185ee230       0         0         0  org.apache.catalina.loader.ParallelWebappClassLoader</x:v>
      </x:c>
      <x:c r="U1377" s="36" t="n">
        <x:v>28</x:v>
      </x:c>
      <x:c r="V1377" s="36" t="n">
        <x:v>0</x:v>
      </x:c>
      <x:c r="W1377" s="44"/>
      <x:c r="X1377" s="36"/>
      <x:c r="Y1377" s="36"/>
      <x:c r="Z1377" s="44"/>
      <x:c r="AA1377" s="49"/>
      <x:c r="AB1377" s="43"/>
      <x:c r="AC1377" s="34"/>
      <x:c r="AD1377" s="34"/>
      <x:c r="AE1377" s="34"/>
      <x:c r="AF1377" s="34"/>
      <x:c r="AG1377" s="34"/>
      <x:c r="AH1377" s="34"/>
      <x:c r="AI1377" s="34"/>
    </x:row>
    <x:row r="1378">
      <x:c r="A1378" s="34" t="str">
        <x:v>article1-unified-v4-2-fb3f101b-20260903-000401-default-f06-p4-ehcache</x:v>
      </x:c>
      <x:c r="B1378" s="34" t="str">
        <x:v>default</x:v>
      </x:c>
      <x:c r="C1378" s="34" t="str">
        <x:v>ehcache</x:v>
      </x:c>
      <x:c r="D1378" s="34" t="str">
        <x:v>ehcache</x:v>
      </x:c>
      <x:c r="E1378" s="36" t="n">
        <x:v>6</x:v>
      </x:c>
      <x:c r="F1378" s="36" t="n">
        <x:v>6</x:v>
      </x:c>
      <x:c r="G1378" s="36" t="n">
        <x:v>4</x:v>
      </x:c>
      <x:c r="H1378" s="36" t="n">
        <x:v>3</x:v>
      </x:c>
      <x:c r="I1378" s="34" t="str">
        <x:v>afterFinalUndeployEarly</x:v>
      </x:c>
      <x:c r="J1378" s="34" t="str">
        <x:v>after-final-undeploy-early</x:v>
      </x:c>
      <x:c r="K1378" s="36" t="n">
        <x:v>2</x:v>
      </x:c>
      <x:c r="L1378" s="34" t="str">
        <x:v>early</x:v>
      </x:c>
      <x:c r="M1378" s="34" t="str">
        <x:v>article1-unified-v4-2-fb3f101b-20260903-000401-default-f06-p4-ehcache-3-after-final-undeploy-early-2s</x:v>
      </x:c>
      <x:c r="N1378" s="38" t="n">
        <x:v>46268.11161693287</x:v>
      </x:c>
      <x:c r="O1378" s="36"/>
      <x:c r="P1378" s="43"/>
      <x:c r="Q1378" s="43"/>
      <x:c r="R1378" s="43"/>
      <x:c r="S1378" s="36"/>
      <x:c r="T1378" s="44"/>
      <x:c r="U1378" s="36" t="n">
        <x:v>27</x:v>
      </x:c>
      <x:c r="V1378" s="36" t="n">
        <x:v>0</x:v>
      </x:c>
      <x:c r="W1378" s="44"/>
      <x:c r="X1378" s="36"/>
      <x:c r="Y1378" s="36"/>
      <x:c r="Z1378" s="44"/>
      <x:c r="AA1378" s="49"/>
      <x:c r="AB1378" s="43" t="n">
        <x:v>2</x:v>
      </x:c>
      <x:c r="AC1378" s="34"/>
      <x:c r="AD1378" s="34"/>
      <x:c r="AE1378" s="34" t="str">
        <x:v>article1-unified-v4-2-fb3f101b-20260903-000401-default-f06-p4-ehcache-3-after-final-undeploy-early-2s-thread-dump.txt</x:v>
      </x:c>
      <x:c r="AF1378" s="34" t="str">
        <x:v>article1-unified-v4-2-fb3f101b-20260903-000401-default-f06-p4-ehcache-3-after-final-undeploy-early-tomcat-log.txt</x:v>
      </x:c>
      <x:c r="AG1378" s="34"/>
      <x:c r="AH1378" s="34"/>
      <x:c r="AI1378" s="34"/>
    </x:row>
    <x:row r="1379">
      <x:c r="A1379" s="34" t="str">
        <x:v>article1-unified-v4-2-fb3f101b-20260903-000401-default-f06-p4-ehcache</x:v>
      </x:c>
      <x:c r="B1379" s="34" t="str">
        <x:v>default</x:v>
      </x:c>
      <x:c r="C1379" s="34" t="str">
        <x:v>ehcache</x:v>
      </x:c>
      <x:c r="D1379" s="34" t="str">
        <x:v>ehcache</x:v>
      </x:c>
      <x:c r="E1379" s="36" t="n">
        <x:v>6</x:v>
      </x:c>
      <x:c r="F1379" s="36" t="n">
        <x:v>6</x:v>
      </x:c>
      <x:c r="G1379" s="36" t="n">
        <x:v>4</x:v>
      </x:c>
      <x:c r="H1379" s="36" t="n">
        <x:v>3</x:v>
      </x:c>
      <x:c r="I1379" s="34" t="str">
        <x:v>afterFinalUndeploy</x:v>
      </x:c>
      <x:c r="J1379" s="34" t="str">
        <x:v>after-final-undeploy-final</x:v>
      </x:c>
      <x:c r="K1379" s="36" t="n">
        <x:v>2</x:v>
      </x:c>
      <x:c r="L1379" s="34" t="str">
        <x:v>final</x:v>
      </x:c>
      <x:c r="M1379" s="34" t="str">
        <x:v>article1-unified-v4-2-fb3f101b-20260903-000401-default-f06-p4-ehcache-3-after-final-undeploy-final-10s</x:v>
      </x:c>
      <x:c r="N1379" s="38" t="n">
        <x:v>46268.111774930556</x:v>
      </x:c>
      <x:c r="O1379" s="36" t="n">
        <x:v>2</x:v>
      </x:c>
      <x:c r="P1379" s="43" t="n">
        <x:v>16089088</x:v>
      </x:c>
      <x:c r="Q1379" s="43" t="n">
        <x:v>268435456</x:v>
      </x:c>
      <x:c r="R1379" s="43" t="n">
        <x:v>427656192</x:v>
      </x:c>
      <x:c r="S1379" s="36" t="n">
        <x:v>2</x:v>
      </x:c>
      <x:c r="T1379" s="44" t="str">
        <x:v>0x00000000891177b8  0x0000000089003818  0x0000737a701ebf30    4859  22713344  22695544  org.apache.catalina.loader.ParallelWebappClassLoader | 0x00000000891177b8  0x0000000089003818  0x0000737b185ee230       0         0         0  org.apache.catalina.loader.ParallelWebappClassLoader</x:v>
      </x:c>
      <x:c r="U1379" s="36" t="n">
        <x:v>27</x:v>
      </x:c>
      <x:c r="V1379" s="36" t="n">
        <x:v>0</x:v>
      </x:c>
      <x:c r="W1379" s="44"/>
      <x:c r="X1379" s="36" t="n">
        <x:v>1</x:v>
      </x:c>
      <x:c r="Y1379" s="36" t="n">
        <x:v>1</x:v>
      </x:c>
      <x:c r="Z1379" s="44" t="str">
        <x:v>/ehcache</x:v>
      </x:c>
      <x:c r="AA1379" s="45" t="b">
        <x:v>1</x:v>
      </x:c>
      <x:c r="AB1379" s="43"/>
      <x:c r="AC1379" s="34" t="str">
        <x:v>article1-unified-v4-2-fb3f101b-20260903-000401-default-f06-p4-ehcache-3-after-final-undeploy-final-10s-heap-info.txt</x:v>
      </x:c>
      <x:c r="AD1379" s="34" t="str">
        <x:v>article1-unified-v4-2-fb3f101b-20260903-000401-default-f06-p4-ehcache-3-after-final-undeploy-final-10s-classloader-stats.txt</x:v>
      </x:c>
      <x:c r="AE1379" s="34" t="str">
        <x:v>article1-unified-v4-2-fb3f101b-20260903-000401-default-f06-p4-ehcache-3-after-final-undeploy-final-10s-thread-dump.txt</x:v>
      </x:c>
      <x:c r="AF1379" s="34"/>
      <x:c r="AG1379" s="34" t="str">
        <x:v>article1-unified-v4-2-fb3f101b-20260903-000401-default-f06-p4-ehcache-3-after-final-undeploy-final-10s-native-memory.txt</x:v>
      </x:c>
      <x:c r="AH1379" s="34" t="str">
        <x:v>article1-unified-v4-2-fb3f101b-20260903-000401-default-f06-p4-ehcache-3-after-final-undeploy-final-10s-class-histogram.txt</x:v>
      </x:c>
      <x:c r="AI1379" s="34" t="str">
        <x:v>article1-unified-v4-2-fb3f101b-20260903-000401-default-f06-p4-ehcache-3-after-final-undeploy-tomcat-findleaks.txt</x:v>
      </x:c>
    </x:row>
    <x:row r="1380">
      <x:c r="A1380" s="34" t="str">
        <x:v>article1-unified-v4-2-fb3f101b-20260903-000401-default-f06-p4-ehcache</x:v>
      </x:c>
      <x:c r="B1380" s="34" t="str">
        <x:v>default</x:v>
      </x:c>
      <x:c r="C1380" s="34" t="str">
        <x:v>ehcache</x:v>
      </x:c>
      <x:c r="D1380" s="34" t="str">
        <x:v>ehcache</x:v>
      </x:c>
      <x:c r="E1380" s="36" t="n">
        <x:v>6</x:v>
      </x:c>
      <x:c r="F1380" s="36" t="n">
        <x:v>6</x:v>
      </x:c>
      <x:c r="G1380" s="36" t="n">
        <x:v>4</x:v>
      </x:c>
      <x:c r="H1380" s="36" t="n">
        <x:v>4</x:v>
      </x:c>
      <x:c r="I1380" s="34" t="str">
        <x:v>baseline</x:v>
      </x:c>
      <x:c r="J1380" s="34" t="str">
        <x:v>cycle-baseline</x:v>
      </x:c>
      <x:c r="K1380" s="36" t="n">
        <x:v>0</x:v>
      </x:c>
      <x:c r="L1380" s="34" t="str">
        <x:v>baseline</x:v>
      </x:c>
      <x:c r="M1380" s="34" t="str">
        <x:v>article1-unified-v4-2-fb3f101b-20260903-000401-default-f06-p4-ehcache-4-baseline</x:v>
      </x:c>
      <x:c r="N1380" s="38" t="n">
        <x:v>46268.11181362269</x:v>
      </x:c>
      <x:c r="O1380" s="36" t="n">
        <x:v>0</x:v>
      </x:c>
      <x:c r="P1380" s="43" t="n">
        <x:v>16089088</x:v>
      </x:c>
      <x:c r="Q1380" s="43" t="n">
        <x:v>268435456</x:v>
      </x:c>
      <x:c r="R1380" s="43" t="n">
        <x:v>427700224</x:v>
      </x:c>
      <x:c r="S1380" s="36" t="n">
        <x:v>2</x:v>
      </x:c>
      <x:c r="T1380" s="44" t="str">
        <x:v>0x00000000891177b8  0x0000000089003818  0x0000737a701ebf30    4859  22713344  22695544  org.apache.catalina.loader.ParallelWebappClassLoader | 0x00000000891177b8  0x0000000089003818  0x0000737b185ee230       0         0         0  org.apache.catalina.loader.ParallelWebappClassLoader</x:v>
      </x:c>
      <x:c r="U1380" s="36" t="n">
        <x:v>27</x:v>
      </x:c>
      <x:c r="V1380" s="36" t="n">
        <x:v>0</x:v>
      </x:c>
      <x:c r="W1380" s="44"/>
      <x:c r="X1380" s="36"/>
      <x:c r="Y1380" s="36"/>
      <x:c r="Z1380" s="44"/>
      <x:c r="AA1380" s="49"/>
      <x:c r="AB1380" s="43"/>
      <x:c r="AC1380" s="34" t="str">
        <x:v>article1-unified-v4-2-fb3f101b-20260903-000401-default-f06-p4-ehcache-4-baseline-heap-info.txt</x:v>
      </x:c>
      <x:c r="AD1380" s="34" t="str">
        <x:v>article1-unified-v4-2-fb3f101b-20260903-000401-default-f06-p4-ehcache-4-baseline-classloader-stats.txt</x:v>
      </x:c>
      <x:c r="AE1380" s="34" t="str">
        <x:v>article1-unified-v4-2-fb3f101b-20260903-000401-default-f06-p4-ehcache-4-baseline-thread-dump.txt</x:v>
      </x:c>
      <x:c r="AF1380" s="34"/>
      <x:c r="AG1380" s="34" t="str">
        <x:v>article1-unified-v4-2-fb3f101b-20260903-000401-default-f06-p4-ehcache-4-baseline-native-memory.txt</x:v>
      </x:c>
      <x:c r="AH1380" s="34"/>
      <x:c r="AI1380" s="34"/>
    </x:row>
    <x:row r="1381">
      <x:c r="A1381" s="34" t="str">
        <x:v>article1-unified-v4-2-fb3f101b-20260903-000401-default-f06-p4-ehcache</x:v>
      </x:c>
      <x:c r="B1381" s="34" t="str">
        <x:v>default</x:v>
      </x:c>
      <x:c r="C1381" s="34" t="str">
        <x:v>ehcache</x:v>
      </x:c>
      <x:c r="D1381" s="34" t="str">
        <x:v>ehcache</x:v>
      </x:c>
      <x:c r="E1381" s="36" t="n">
        <x:v>6</x:v>
      </x:c>
      <x:c r="F1381" s="36" t="n">
        <x:v>6</x:v>
      </x:c>
      <x:c r="G1381" s="36" t="n">
        <x:v>4</x:v>
      </x:c>
      <x:c r="H1381" s="36" t="n">
        <x:v>4</x:v>
      </x:c>
      <x:c r="I1381" s="34" t="str">
        <x:v>deployedIdle</x:v>
      </x:c>
      <x:c r="J1381" s="34" t="str">
        <x:v>deployed-idle</x:v>
      </x:c>
      <x:c r="K1381" s="36" t="n">
        <x:v>0</x:v>
      </x:c>
      <x:c r="L1381" s="34" t="str">
        <x:v>initial</x:v>
      </x:c>
      <x:c r="M1381" s="34" t="str">
        <x:v>article1-unified-v4-2-fb3f101b-20260903-000401-default-f06-p4-ehcache-4-deployed-idle</x:v>
      </x:c>
      <x:c r="N1381" s="38" t="n">
        <x:v>46268.11191248843</x:v>
      </x:c>
      <x:c r="O1381" s="36" t="n">
        <x:v>0</x:v>
      </x:c>
      <x:c r="P1381" s="43" t="n">
        <x:v>165251072</x:v>
      </x:c>
      <x:c r="Q1381" s="43" t="n">
        <x:v>268435456</x:v>
      </x:c>
      <x:c r="R1381" s="43" t="n">
        <x:v>443166720</x:v>
      </x:c>
      <x:c r="S1381" s="36" t="n">
        <x:v>3</x:v>
      </x:c>
      <x:c r="T1381" s="44" t="str">
        <x:v>0x00000000891177b8  0x0000000089003818  0x0000737a701ebf30    4859  22713344  22695544  org.apache.catalina.loader.ParallelWebappClassLoader | 0x00000000891177b8  0x0000000089003818  0x0000737a1c198d50    4091  19437568  19421680  org.apache.catalina.loader.ParallelWebappClassLoader | 0x00000000891177b8  0x0000000089003818  0x0000737b185ee230       0         0         0  org.apache.catalina.loader.ParallelWebappClassLoader</x:v>
      </x:c>
      <x:c r="U1381" s="36" t="n">
        <x:v>28</x:v>
      </x:c>
      <x:c r="V1381" s="36" t="n">
        <x:v>0</x:v>
      </x:c>
      <x:c r="W1381" s="44"/>
      <x:c r="X1381" s="36"/>
      <x:c r="Y1381" s="36"/>
      <x:c r="Z1381" s="44"/>
      <x:c r="AA1381" s="49"/>
      <x:c r="AB1381" s="43"/>
      <x:c r="AC1381" s="34"/>
      <x:c r="AD1381" s="34"/>
      <x:c r="AE1381" s="34"/>
      <x:c r="AF1381" s="34"/>
      <x:c r="AG1381" s="34"/>
      <x:c r="AH1381" s="34"/>
      <x:c r="AI1381" s="34"/>
    </x:row>
    <x:row r="1382">
      <x:c r="A1382" s="34" t="str">
        <x:v>article1-unified-v4-2-fb3f101b-20260903-000401-default-f06-p4-ehcache</x:v>
      </x:c>
      <x:c r="B1382" s="34" t="str">
        <x:v>default</x:v>
      </x:c>
      <x:c r="C1382" s="34" t="str">
        <x:v>ehcache</x:v>
      </x:c>
      <x:c r="D1382" s="34" t="str">
        <x:v>ehcache</x:v>
      </x:c>
      <x:c r="E1382" s="36" t="n">
        <x:v>6</x:v>
      </x:c>
      <x:c r="F1382" s="36" t="n">
        <x:v>6</x:v>
      </x:c>
      <x:c r="G1382" s="36" t="n">
        <x:v>4</x:v>
      </x:c>
      <x:c r="H1382" s="36" t="n">
        <x:v>4</x:v>
      </x:c>
      <x:c r="I1382" s="34" t="str">
        <x:v>loaded</x:v>
      </x:c>
      <x:c r="J1382" s="34" t="str">
        <x:v>loaded</x:v>
      </x:c>
      <x:c r="K1382" s="36" t="n">
        <x:v>0</x:v>
      </x:c>
      <x:c r="L1382" s="34" t="str">
        <x:v>initial</x:v>
      </x:c>
      <x:c r="M1382" s="34" t="str">
        <x:v>article1-unified-v4-2-fb3f101b-20260903-000401-default-f06-p4-ehcache-4-loaded</x:v>
      </x:c>
      <x:c r="N1382" s="38" t="n">
        <x:v>46268.112063726854</x:v>
      </x:c>
      <x:c r="O1382" s="36" t="n">
        <x:v>0</x:v>
      </x:c>
      <x:c r="P1382" s="43" t="n">
        <x:v>206202880</x:v>
      </x:c>
      <x:c r="Q1382" s="43" t="n">
        <x:v>268435456</x:v>
      </x:c>
      <x:c r="R1382" s="43" t="n">
        <x:v>451591168</x:v>
      </x:c>
      <x:c r="S1382" s="36" t="n">
        <x:v>3</x:v>
      </x:c>
      <x:c r="T1382" s="44" t="str">
        <x:v>0x00000000891177b8  0x0000000089003818  0x0000737a1c198d50    4850  22665216  22649544  org.apache.catalina.loader.ParallelWebappClassLoader | 0x00000000891177b8  0x0000000089003818  0x0000737a701ebf30    4859  22713344  22695544  org.apache.catalina.loader.ParallelWebappClassLoader | 0x00000000891177b8  0x0000000089003818  0x0000737b185ee230       0         0         0  org.apache.catalina.loader.ParallelWebappClassLoader</x:v>
      </x:c>
      <x:c r="U1382" s="36" t="n">
        <x:v>28</x:v>
      </x:c>
      <x:c r="V1382" s="36" t="n">
        <x:v>0</x:v>
      </x:c>
      <x:c r="W1382" s="44"/>
      <x:c r="X1382" s="36"/>
      <x:c r="Y1382" s="36"/>
      <x:c r="Z1382" s="44"/>
      <x:c r="AA1382" s="49"/>
      <x:c r="AB1382" s="43"/>
      <x:c r="AC1382" s="34"/>
      <x:c r="AD1382" s="34"/>
      <x:c r="AE1382" s="34"/>
      <x:c r="AF1382" s="34"/>
      <x:c r="AG1382" s="34"/>
      <x:c r="AH1382" s="34"/>
      <x:c r="AI1382" s="34"/>
    </x:row>
    <x:row r="1383">
      <x:c r="A1383" s="34" t="str">
        <x:v>article1-unified-v4-2-fb3f101b-20260903-000401-default-f06-p4-ehcache</x:v>
      </x:c>
      <x:c r="B1383" s="34" t="str">
        <x:v>default</x:v>
      </x:c>
      <x:c r="C1383" s="34" t="str">
        <x:v>ehcache</x:v>
      </x:c>
      <x:c r="D1383" s="34" t="str">
        <x:v>ehcache</x:v>
      </x:c>
      <x:c r="E1383" s="36" t="n">
        <x:v>6</x:v>
      </x:c>
      <x:c r="F1383" s="36" t="n">
        <x:v>6</x:v>
      </x:c>
      <x:c r="G1383" s="36" t="n">
        <x:v>4</x:v>
      </x:c>
      <x:c r="H1383" s="36" t="n">
        <x:v>4</x:v>
      </x:c>
      <x:c r="I1383" s="34" t="str">
        <x:v>afterUndeployEarly</x:v>
      </x:c>
      <x:c r="J1383" s="34" t="str">
        <x:v>after-undeploy-early</x:v>
      </x:c>
      <x:c r="K1383" s="36" t="n">
        <x:v>1</x:v>
      </x:c>
      <x:c r="L1383" s="34" t="str">
        <x:v>early</x:v>
      </x:c>
      <x:c r="M1383" s="34" t="str">
        <x:v>article1-unified-v4-2-fb3f101b-20260903-000401-default-f06-p4-ehcache-4-after-undeploy-early-2s</x:v>
      </x:c>
      <x:c r="N1383" s="38" t="n">
        <x:v>46268.112147314816</x:v>
      </x:c>
      <x:c r="O1383" s="36"/>
      <x:c r="P1383" s="43"/>
      <x:c r="Q1383" s="43"/>
      <x:c r="R1383" s="43"/>
      <x:c r="S1383" s="36"/>
      <x:c r="T1383" s="44"/>
      <x:c r="U1383" s="36" t="n">
        <x:v>27</x:v>
      </x:c>
      <x:c r="V1383" s="36" t="n">
        <x:v>0</x:v>
      </x:c>
      <x:c r="W1383" s="44"/>
      <x:c r="X1383" s="36"/>
      <x:c r="Y1383" s="36"/>
      <x:c r="Z1383" s="44"/>
      <x:c r="AA1383" s="49"/>
      <x:c r="AB1383" s="43" t="n">
        <x:v>2</x:v>
      </x:c>
      <x:c r="AC1383" s="34"/>
      <x:c r="AD1383" s="34"/>
      <x:c r="AE1383" s="34" t="str">
        <x:v>article1-unified-v4-2-fb3f101b-20260903-000401-default-f06-p4-ehcache-4-after-undeploy-early-2s-thread-dump.txt</x:v>
      </x:c>
      <x:c r="AF1383" s="34" t="str">
        <x:v>article1-unified-v4-2-fb3f101b-20260903-000401-default-f06-p4-ehcache-4-after-undeploy-early-tomcat-log.txt</x:v>
      </x:c>
      <x:c r="AG1383" s="34"/>
      <x:c r="AH1383" s="34"/>
      <x:c r="AI1383" s="34"/>
    </x:row>
    <x:row r="1384">
      <x:c r="A1384" s="34" t="str">
        <x:v>article1-unified-v4-2-fb3f101b-20260903-000401-default-f06-p4-ehcache</x:v>
      </x:c>
      <x:c r="B1384" s="34" t="str">
        <x:v>default</x:v>
      </x:c>
      <x:c r="C1384" s="34" t="str">
        <x:v>ehcache</x:v>
      </x:c>
      <x:c r="D1384" s="34" t="str">
        <x:v>ehcache</x:v>
      </x:c>
      <x:c r="E1384" s="36" t="n">
        <x:v>6</x:v>
      </x:c>
      <x:c r="F1384" s="36" t="n">
        <x:v>6</x:v>
      </x:c>
      <x:c r="G1384" s="36" t="n">
        <x:v>4</x:v>
      </x:c>
      <x:c r="H1384" s="36" t="n">
        <x:v>4</x:v>
      </x:c>
      <x:c r="I1384" s="34" t="str">
        <x:v>afterUndeploy</x:v>
      </x:c>
      <x:c r="J1384" s="34" t="str">
        <x:v>after-undeploy-final</x:v>
      </x:c>
      <x:c r="K1384" s="36" t="n">
        <x:v>1</x:v>
      </x:c>
      <x:c r="L1384" s="34" t="str">
        <x:v>final</x:v>
      </x:c>
      <x:c r="M1384" s="34" t="str">
        <x:v>article1-unified-v4-2-fb3f101b-20260903-000401-default-f06-p4-ehcache-4-after-undeploy-final-10s</x:v>
      </x:c>
      <x:c r="N1384" s="38" t="n">
        <x:v>46268.112303553244</x:v>
      </x:c>
      <x:c r="O1384" s="36" t="n">
        <x:v>2</x:v>
      </x:c>
      <x:c r="P1384" s="43" t="n">
        <x:v>16102400</x:v>
      </x:c>
      <x:c r="Q1384" s="43" t="n">
        <x:v>268435456</x:v>
      </x:c>
      <x:c r="R1384" s="43" t="n">
        <x:v>424973312</x:v>
      </x:c>
      <x:c r="S1384" s="36" t="n">
        <x:v>2</x:v>
      </x:c>
      <x:c r="T1384" s="44" t="str">
        <x:v>0x00000000891177b8  0x0000000089003818  0x0000737a1c198d50    4860  22714368  22696024  org.apache.catalina.loader.ParallelWebappClassLoader | 0x00000000891177b8  0x0000000089003818  0x0000737b185ee230       0         0         0  org.apache.catalina.loader.ParallelWebappClassLoader</x:v>
      </x:c>
      <x:c r="U1384" s="36" t="n">
        <x:v>27</x:v>
      </x:c>
      <x:c r="V1384" s="36" t="n">
        <x:v>0</x:v>
      </x:c>
      <x:c r="W1384" s="44"/>
      <x:c r="X1384" s="36" t="n">
        <x:v>1</x:v>
      </x:c>
      <x:c r="Y1384" s="36" t="n">
        <x:v>1</x:v>
      </x:c>
      <x:c r="Z1384" s="44" t="str">
        <x:v>/ehcache</x:v>
      </x:c>
      <x:c r="AA1384" s="45" t="b">
        <x:v>1</x:v>
      </x:c>
      <x:c r="AB1384" s="43"/>
      <x:c r="AC1384" s="34" t="str">
        <x:v>article1-unified-v4-2-fb3f101b-20260903-000401-default-f06-p4-ehcache-4-after-undeploy-final-10s-heap-info.txt</x:v>
      </x:c>
      <x:c r="AD1384" s="34" t="str">
        <x:v>article1-unified-v4-2-fb3f101b-20260903-000401-default-f06-p4-ehcache-4-after-undeploy-final-10s-classloader-stats.txt</x:v>
      </x:c>
      <x:c r="AE1384" s="34" t="str">
        <x:v>article1-unified-v4-2-fb3f101b-20260903-000401-default-f06-p4-ehcache-4-after-undeploy-final-10s-thread-dump.txt</x:v>
      </x:c>
      <x:c r="AF1384" s="34"/>
      <x:c r="AG1384" s="34" t="str">
        <x:v>article1-unified-v4-2-fb3f101b-20260903-000401-default-f06-p4-ehcache-4-after-undeploy-final-10s-native-memory.txt</x:v>
      </x:c>
      <x:c r="AH1384" s="34" t="str">
        <x:v>article1-unified-v4-2-fb3f101b-20260903-000401-default-f06-p4-ehcache-4-after-undeploy-final-10s-class-histogram.txt</x:v>
      </x:c>
      <x:c r="AI1384" s="34" t="str">
        <x:v>article1-unified-v4-2-fb3f101b-20260903-000401-default-f06-p4-ehcache-4-after-undeploy-tomcat-findleaks.txt</x:v>
      </x:c>
    </x:row>
    <x:row r="1385">
      <x:c r="A1385" s="34" t="str">
        <x:v>article1-unified-v4-2-fb3f101b-20260903-000401-default-f06-p4-ehcache</x:v>
      </x:c>
      <x:c r="B1385" s="34" t="str">
        <x:v>default</x:v>
      </x:c>
      <x:c r="C1385" s="34" t="str">
        <x:v>ehcache</x:v>
      </x:c>
      <x:c r="D1385" s="34" t="str">
        <x:v>ehcache</x:v>
      </x:c>
      <x:c r="E1385" s="36" t="n">
        <x:v>6</x:v>
      </x:c>
      <x:c r="F1385" s="36" t="n">
        <x:v>6</x:v>
      </x:c>
      <x:c r="G1385" s="36" t="n">
        <x:v>4</x:v>
      </x:c>
      <x:c r="H1385" s="36" t="n">
        <x:v>4</x:v>
      </x:c>
      <x:c r="I1385" s="34" t="str">
        <x:v>redeployedLoaded</x:v>
      </x:c>
      <x:c r="J1385" s="34" t="str">
        <x:v>redeployed-loaded</x:v>
      </x:c>
      <x:c r="K1385" s="36" t="n">
        <x:v>0</x:v>
      </x:c>
      <x:c r="L1385" s="34" t="str">
        <x:v>redeploy</x:v>
      </x:c>
      <x:c r="M1385" s="34" t="str">
        <x:v>article1-unified-v4-2-fb3f101b-20260903-000401-default-f06-p4-ehcache-4-redeployed-loaded</x:v>
      </x:c>
      <x:c r="N1385" s="38" t="n">
        <x:v>46268.112556319444</x:v>
      </x:c>
      <x:c r="O1385" s="36" t="n">
        <x:v>0</x:v>
      </x:c>
      <x:c r="P1385" s="43" t="n">
        <x:v>213750784</x:v>
      </x:c>
      <x:c r="Q1385" s="43" t="n">
        <x:v>268435456</x:v>
      </x:c>
      <x:c r="R1385" s="43" t="n">
        <x:v>448130048</x:v>
      </x:c>
      <x:c r="S1385" s="36" t="n">
        <x:v>3</x:v>
      </x:c>
      <x:c r="T1385" s="44" t="str">
        <x:v>0x00000000891177b8  0x0000000089003818  0x0000737a1c198d50    4860  22714368  22696024  org.apache.catalina.loader.ParallelWebappClassLoader | 0x00000000891177b8  0x0000000089003818  0x0000737a90305330    4851  22678528  22665408  org.apache.catalina.loader.ParallelWebappClassLoader | 0x00000000891177b8  0x0000000089003818  0x0000737b185ee230       0         0         0  org.apache.catalina.loader.ParallelWebappClassLoader</x:v>
      </x:c>
      <x:c r="U1385" s="36" t="n">
        <x:v>28</x:v>
      </x:c>
      <x:c r="V1385" s="36" t="n">
        <x:v>0</x:v>
      </x:c>
      <x:c r="W1385" s="44"/>
      <x:c r="X1385" s="36"/>
      <x:c r="Y1385" s="36"/>
      <x:c r="Z1385" s="44"/>
      <x:c r="AA1385" s="49"/>
      <x:c r="AB1385" s="43"/>
      <x:c r="AC1385" s="34"/>
      <x:c r="AD1385" s="34"/>
      <x:c r="AE1385" s="34"/>
      <x:c r="AF1385" s="34"/>
      <x:c r="AG1385" s="34"/>
      <x:c r="AH1385" s="34"/>
      <x:c r="AI1385" s="34"/>
    </x:row>
    <x:row r="1386">
      <x:c r="A1386" s="34" t="str">
        <x:v>article1-unified-v4-2-fb3f101b-20260903-000401-default-f06-p4-ehcache</x:v>
      </x:c>
      <x:c r="B1386" s="34" t="str">
        <x:v>default</x:v>
      </x:c>
      <x:c r="C1386" s="34" t="str">
        <x:v>ehcache</x:v>
      </x:c>
      <x:c r="D1386" s="34" t="str">
        <x:v>ehcache</x:v>
      </x:c>
      <x:c r="E1386" s="36" t="n">
        <x:v>6</x:v>
      </x:c>
      <x:c r="F1386" s="36" t="n">
        <x:v>6</x:v>
      </x:c>
      <x:c r="G1386" s="36" t="n">
        <x:v>4</x:v>
      </x:c>
      <x:c r="H1386" s="36" t="n">
        <x:v>4</x:v>
      </x:c>
      <x:c r="I1386" s="34" t="str">
        <x:v>afterFinalUndeployEarly</x:v>
      </x:c>
      <x:c r="J1386" s="34" t="str">
        <x:v>after-final-undeploy-early</x:v>
      </x:c>
      <x:c r="K1386" s="36" t="n">
        <x:v>2</x:v>
      </x:c>
      <x:c r="L1386" s="34" t="str">
        <x:v>early</x:v>
      </x:c>
      <x:c r="M1386" s="34" t="str">
        <x:v>article1-unified-v4-2-fb3f101b-20260903-000401-default-f06-p4-ehcache-4-after-final-undeploy-early-2s</x:v>
      </x:c>
      <x:c r="N1386" s="38" t="n">
        <x:v>46268.11263804398</x:v>
      </x:c>
      <x:c r="O1386" s="36"/>
      <x:c r="P1386" s="43"/>
      <x:c r="Q1386" s="43"/>
      <x:c r="R1386" s="43"/>
      <x:c r="S1386" s="36"/>
      <x:c r="T1386" s="44"/>
      <x:c r="U1386" s="36" t="n">
        <x:v>27</x:v>
      </x:c>
      <x:c r="V1386" s="36" t="n">
        <x:v>0</x:v>
      </x:c>
      <x:c r="W1386" s="44"/>
      <x:c r="X1386" s="36"/>
      <x:c r="Y1386" s="36"/>
      <x:c r="Z1386" s="44"/>
      <x:c r="AA1386" s="49"/>
      <x:c r="AB1386" s="43" t="n">
        <x:v>2</x:v>
      </x:c>
      <x:c r="AC1386" s="34"/>
      <x:c r="AD1386" s="34"/>
      <x:c r="AE1386" s="34" t="str">
        <x:v>article1-unified-v4-2-fb3f101b-20260903-000401-default-f06-p4-ehcache-4-after-final-undeploy-early-2s-thread-dump.txt</x:v>
      </x:c>
      <x:c r="AF1386" s="34" t="str">
        <x:v>article1-unified-v4-2-fb3f101b-20260903-000401-default-f06-p4-ehcache-4-after-final-undeploy-early-tomcat-log.txt</x:v>
      </x:c>
      <x:c r="AG1386" s="34"/>
      <x:c r="AH1386" s="34"/>
      <x:c r="AI1386" s="34"/>
    </x:row>
    <x:row r="1387">
      <x:c r="A1387" s="34" t="str">
        <x:v>article1-unified-v4-2-fb3f101b-20260903-000401-default-f06-p4-ehcache</x:v>
      </x:c>
      <x:c r="B1387" s="34" t="str">
        <x:v>default</x:v>
      </x:c>
      <x:c r="C1387" s="34" t="str">
        <x:v>ehcache</x:v>
      </x:c>
      <x:c r="D1387" s="34" t="str">
        <x:v>ehcache</x:v>
      </x:c>
      <x:c r="E1387" s="36" t="n">
        <x:v>6</x:v>
      </x:c>
      <x:c r="F1387" s="36" t="n">
        <x:v>6</x:v>
      </x:c>
      <x:c r="G1387" s="36" t="n">
        <x:v>4</x:v>
      </x:c>
      <x:c r="H1387" s="36" t="n">
        <x:v>4</x:v>
      </x:c>
      <x:c r="I1387" s="34" t="str">
        <x:v>afterFinalUndeploy</x:v>
      </x:c>
      <x:c r="J1387" s="34" t="str">
        <x:v>after-final-undeploy-final</x:v>
      </x:c>
      <x:c r="K1387" s="36" t="n">
        <x:v>2</x:v>
      </x:c>
      <x:c r="L1387" s="34" t="str">
        <x:v>final</x:v>
      </x:c>
      <x:c r="M1387" s="34" t="str">
        <x:v>article1-unified-v4-2-fb3f101b-20260903-000401-default-f06-p4-ehcache-4-after-final-undeploy-final-10s</x:v>
      </x:c>
      <x:c r="N1387" s="38" t="n">
        <x:v>46268.11279359954</x:v>
      </x:c>
      <x:c r="O1387" s="36" t="n">
        <x:v>2</x:v>
      </x:c>
      <x:c r="P1387" s="43" t="n">
        <x:v>16108544</x:v>
      </x:c>
      <x:c r="Q1387" s="43" t="n">
        <x:v>268435456</x:v>
      </x:c>
      <x:c r="R1387" s="43" t="n">
        <x:v>429841408</x:v>
      </x:c>
      <x:c r="S1387" s="36" t="n">
        <x:v>2</x:v>
      </x:c>
      <x:c r="T1387" s="44" t="str">
        <x:v>0x00000000891177b8  0x0000000089003818  0x0000737a90305330    4861  22711296  22711152  org.apache.catalina.loader.ParallelWebappClassLoader | 0x00000000891177b8  0x0000000089003818  0x0000737b185ee230       0         0         0  org.apache.catalina.loader.ParallelWebappClassLoader</x:v>
      </x:c>
      <x:c r="U1387" s="36" t="n">
        <x:v>27</x:v>
      </x:c>
      <x:c r="V1387" s="36" t="n">
        <x:v>0</x:v>
      </x:c>
      <x:c r="W1387" s="44"/>
      <x:c r="X1387" s="36" t="n">
        <x:v>1</x:v>
      </x:c>
      <x:c r="Y1387" s="36" t="n">
        <x:v>1</x:v>
      </x:c>
      <x:c r="Z1387" s="44" t="str">
        <x:v>/ehcache</x:v>
      </x:c>
      <x:c r="AA1387" s="45" t="b">
        <x:v>1</x:v>
      </x:c>
      <x:c r="AB1387" s="43"/>
      <x:c r="AC1387" s="34" t="str">
        <x:v>article1-unified-v4-2-fb3f101b-20260903-000401-default-f06-p4-ehcache-4-after-final-undeploy-final-10s-heap-info.txt</x:v>
      </x:c>
      <x:c r="AD1387" s="34" t="str">
        <x:v>article1-unified-v4-2-fb3f101b-20260903-000401-default-f06-p4-ehcache-4-after-final-undeploy-final-10s-classloader-stats.txt</x:v>
      </x:c>
      <x:c r="AE1387" s="34" t="str">
        <x:v>article1-unified-v4-2-fb3f101b-20260903-000401-default-f06-p4-ehcache-4-after-final-undeploy-final-10s-thread-dump.txt</x:v>
      </x:c>
      <x:c r="AF1387" s="34"/>
      <x:c r="AG1387" s="34" t="str">
        <x:v>article1-unified-v4-2-fb3f101b-20260903-000401-default-f06-p4-ehcache-4-after-final-undeploy-final-10s-native-memory.txt</x:v>
      </x:c>
      <x:c r="AH1387" s="34" t="str">
        <x:v>article1-unified-v4-2-fb3f101b-20260903-000401-default-f06-p4-ehcache-4-after-final-undeploy-final-10s-class-histogram.txt</x:v>
      </x:c>
      <x:c r="AI1387" s="34" t="str">
        <x:v>article1-unified-v4-2-fb3f101b-20260903-000401-default-f06-p4-ehcache-4-after-final-undeploy-tomcat-findleaks.txt</x:v>
      </x:c>
    </x:row>
    <x:row r="1388">
      <x:c r="A1388" s="34" t="str">
        <x:v>article1-unified-v4-2-fb3f101b-20260903-000401-default-f06-p4-ehcache</x:v>
      </x:c>
      <x:c r="B1388" s="34" t="str">
        <x:v>default</x:v>
      </x:c>
      <x:c r="C1388" s="34" t="str">
        <x:v>ehcache</x:v>
      </x:c>
      <x:c r="D1388" s="34" t="str">
        <x:v>ehcache</x:v>
      </x:c>
      <x:c r="E1388" s="36" t="n">
        <x:v>6</x:v>
      </x:c>
      <x:c r="F1388" s="36" t="n">
        <x:v>6</x:v>
      </x:c>
      <x:c r="G1388" s="36" t="n">
        <x:v>4</x:v>
      </x:c>
      <x:c r="H1388" s="36" t="n">
        <x:v>5</x:v>
      </x:c>
      <x:c r="I1388" s="34" t="str">
        <x:v>baseline</x:v>
      </x:c>
      <x:c r="J1388" s="34" t="str">
        <x:v>cycle-baseline</x:v>
      </x:c>
      <x:c r="K1388" s="36" t="n">
        <x:v>0</x:v>
      </x:c>
      <x:c r="L1388" s="34" t="str">
        <x:v>baseline</x:v>
      </x:c>
      <x:c r="M1388" s="34" t="str">
        <x:v>article1-unified-v4-2-fb3f101b-20260903-000401-default-f06-p4-ehcache-5-baseline</x:v>
      </x:c>
      <x:c r="N1388" s="38" t="n">
        <x:v>46268.112834375</x:v>
      </x:c>
      <x:c r="O1388" s="36" t="n">
        <x:v>0</x:v>
      </x:c>
      <x:c r="P1388" s="43" t="n">
        <x:v>16113664</x:v>
      </x:c>
      <x:c r="Q1388" s="43" t="n">
        <x:v>268435456</x:v>
      </x:c>
      <x:c r="R1388" s="43" t="n">
        <x:v>429841408</x:v>
      </x:c>
      <x:c r="S1388" s="36" t="n">
        <x:v>2</x:v>
      </x:c>
      <x:c r="T1388" s="44" t="str">
        <x:v>0x00000000891177b8  0x0000000089003818  0x0000737a90305330    4861  22711296  22711152  org.apache.catalina.loader.ParallelWebappClassLoader | 0x00000000891177b8  0x0000000089003818  0x0000737b185ee230       0         0         0  org.apache.catalina.loader.ParallelWebappClassLoader</x:v>
      </x:c>
      <x:c r="U1388" s="36" t="n">
        <x:v>27</x:v>
      </x:c>
      <x:c r="V1388" s="36" t="n">
        <x:v>0</x:v>
      </x:c>
      <x:c r="W1388" s="44"/>
      <x:c r="X1388" s="36"/>
      <x:c r="Y1388" s="36"/>
      <x:c r="Z1388" s="44"/>
      <x:c r="AA1388" s="49"/>
      <x:c r="AB1388" s="43"/>
      <x:c r="AC1388" s="34" t="str">
        <x:v>article1-unified-v4-2-fb3f101b-20260903-000401-default-f06-p4-ehcache-5-baseline-heap-info.txt</x:v>
      </x:c>
      <x:c r="AD1388" s="34" t="str">
        <x:v>article1-unified-v4-2-fb3f101b-20260903-000401-default-f06-p4-ehcache-5-baseline-classloader-stats.txt</x:v>
      </x:c>
      <x:c r="AE1388" s="34" t="str">
        <x:v>article1-unified-v4-2-fb3f101b-20260903-000401-default-f06-p4-ehcache-5-baseline-thread-dump.txt</x:v>
      </x:c>
      <x:c r="AF1388" s="34"/>
      <x:c r="AG1388" s="34" t="str">
        <x:v>article1-unified-v4-2-fb3f101b-20260903-000401-default-f06-p4-ehcache-5-baseline-native-memory.txt</x:v>
      </x:c>
      <x:c r="AH1388" s="34"/>
      <x:c r="AI1388" s="34"/>
    </x:row>
    <x:row r="1389">
      <x:c r="A1389" s="34" t="str">
        <x:v>article1-unified-v4-2-fb3f101b-20260903-000401-default-f06-p4-ehcache</x:v>
      </x:c>
      <x:c r="B1389" s="34" t="str">
        <x:v>default</x:v>
      </x:c>
      <x:c r="C1389" s="34" t="str">
        <x:v>ehcache</x:v>
      </x:c>
      <x:c r="D1389" s="34" t="str">
        <x:v>ehcache</x:v>
      </x:c>
      <x:c r="E1389" s="36" t="n">
        <x:v>6</x:v>
      </x:c>
      <x:c r="F1389" s="36" t="n">
        <x:v>6</x:v>
      </x:c>
      <x:c r="G1389" s="36" t="n">
        <x:v>4</x:v>
      </x:c>
      <x:c r="H1389" s="36" t="n">
        <x:v>5</x:v>
      </x:c>
      <x:c r="I1389" s="34" t="str">
        <x:v>deployedIdle</x:v>
      </x:c>
      <x:c r="J1389" s="34" t="str">
        <x:v>deployed-idle</x:v>
      </x:c>
      <x:c r="K1389" s="36" t="n">
        <x:v>0</x:v>
      </x:c>
      <x:c r="L1389" s="34" t="str">
        <x:v>initial</x:v>
      </x:c>
      <x:c r="M1389" s="34" t="str">
        <x:v>article1-unified-v4-2-fb3f101b-20260903-000401-default-f06-p4-ehcache-5-deployed-idle</x:v>
      </x:c>
      <x:c r="N1389" s="38" t="n">
        <x:v>46268.112933136574</x:v>
      </x:c>
      <x:c r="O1389" s="36" t="n">
        <x:v>0</x:v>
      </x:c>
      <x:c r="P1389" s="43" t="n">
        <x:v>165004288</x:v>
      </x:c>
      <x:c r="Q1389" s="43" t="n">
        <x:v>268435456</x:v>
      </x:c>
      <x:c r="R1389" s="43" t="n">
        <x:v>453340160</x:v>
      </x:c>
      <x:c r="S1389" s="36" t="n">
        <x:v>3</x:v>
      </x:c>
      <x:c r="T1389" s="44" t="str">
        <x:v>0x00000000891177b8  0x0000000089003818  0x0000737a38008270    4091  19451904  19429944  org.apache.catalina.loader.ParallelWebappClassLoader | 0x00000000891177b8  0x0000000089003818  0x0000737a90305330    4861  22711296  22711152  org.apache.catalina.loader.ParallelWebappClassLoader | 0x00000000891177b8  0x0000000089003818  0x0000737b185ee230       0         0         0  org.apache.catalina.loader.ParallelWebappClassLoader</x:v>
      </x:c>
      <x:c r="U1389" s="36" t="n">
        <x:v>27</x:v>
      </x:c>
      <x:c r="V1389" s="36" t="n">
        <x:v>0</x:v>
      </x:c>
      <x:c r="W1389" s="44"/>
      <x:c r="X1389" s="36"/>
      <x:c r="Y1389" s="36"/>
      <x:c r="Z1389" s="44"/>
      <x:c r="AA1389" s="49"/>
      <x:c r="AB1389" s="43"/>
      <x:c r="AC1389" s="34"/>
      <x:c r="AD1389" s="34"/>
      <x:c r="AE1389" s="34"/>
      <x:c r="AF1389" s="34"/>
      <x:c r="AG1389" s="34"/>
      <x:c r="AH1389" s="34"/>
      <x:c r="AI1389" s="34"/>
    </x:row>
    <x:row r="1390">
      <x:c r="A1390" s="34" t="str">
        <x:v>article1-unified-v4-2-fb3f101b-20260903-000401-default-f06-p4-ehcache</x:v>
      </x:c>
      <x:c r="B1390" s="34" t="str">
        <x:v>default</x:v>
      </x:c>
      <x:c r="C1390" s="34" t="str">
        <x:v>ehcache</x:v>
      </x:c>
      <x:c r="D1390" s="34" t="str">
        <x:v>ehcache</x:v>
      </x:c>
      <x:c r="E1390" s="36" t="n">
        <x:v>6</x:v>
      </x:c>
      <x:c r="F1390" s="36" t="n">
        <x:v>6</x:v>
      </x:c>
      <x:c r="G1390" s="36" t="n">
        <x:v>4</x:v>
      </x:c>
      <x:c r="H1390" s="36" t="n">
        <x:v>5</x:v>
      </x:c>
      <x:c r="I1390" s="34" t="str">
        <x:v>loaded</x:v>
      </x:c>
      <x:c r="J1390" s="34" t="str">
        <x:v>loaded</x:v>
      </x:c>
      <x:c r="K1390" s="36" t="n">
        <x:v>0</x:v>
      </x:c>
      <x:c r="L1390" s="34" t="str">
        <x:v>initial</x:v>
      </x:c>
      <x:c r="M1390" s="34" t="str">
        <x:v>article1-unified-v4-2-fb3f101b-20260903-000401-default-f06-p4-ehcache-5-loaded</x:v>
      </x:c>
      <x:c r="N1390" s="38" t="n">
        <x:v>46268.113077870374</x:v>
      </x:c>
      <x:c r="O1390" s="36" t="n">
        <x:v>0</x:v>
      </x:c>
      <x:c r="P1390" s="43" t="n">
        <x:v>207789056</x:v>
      </x:c>
      <x:c r="Q1390" s="43" t="n">
        <x:v>268435456</x:v>
      </x:c>
      <x:c r="R1390" s="43" t="n">
        <x:v>450077696</x:v>
      </x:c>
      <x:c r="S1390" s="36" t="n">
        <x:v>3</x:v>
      </x:c>
      <x:c r="T1390" s="44" t="str">
        <x:v>0x00000000891177b8  0x0000000089003818  0x0000737a38008270    4853  22679552  22669920  org.apache.catalina.loader.ParallelWebappClassLoader | 0x00000000891177b8  0x0000000089003818  0x0000737a90305330    4861  22711296  22711152  org.apache.catalina.loader.ParallelWebappClassLoader | 0x00000000891177b8  0x0000000089003818  0x0000737b185ee230       0         0         0  org.apache.catalina.loader.ParallelWebappClassLoader</x:v>
      </x:c>
      <x:c r="U1390" s="36" t="n">
        <x:v>28</x:v>
      </x:c>
      <x:c r="V1390" s="36" t="n">
        <x:v>0</x:v>
      </x:c>
      <x:c r="W1390" s="44"/>
      <x:c r="X1390" s="36"/>
      <x:c r="Y1390" s="36"/>
      <x:c r="Z1390" s="44"/>
      <x:c r="AA1390" s="49"/>
      <x:c r="AB1390" s="43"/>
      <x:c r="AC1390" s="34"/>
      <x:c r="AD1390" s="34"/>
      <x:c r="AE1390" s="34"/>
      <x:c r="AF1390" s="34"/>
      <x:c r="AG1390" s="34"/>
      <x:c r="AH1390" s="34"/>
      <x:c r="AI1390" s="34"/>
    </x:row>
    <x:row r="1391">
      <x:c r="A1391" s="34" t="str">
        <x:v>article1-unified-v4-2-fb3f101b-20260903-000401-default-f06-p4-ehcache</x:v>
      </x:c>
      <x:c r="B1391" s="34" t="str">
        <x:v>default</x:v>
      </x:c>
      <x:c r="C1391" s="34" t="str">
        <x:v>ehcache</x:v>
      </x:c>
      <x:c r="D1391" s="34" t="str">
        <x:v>ehcache</x:v>
      </x:c>
      <x:c r="E1391" s="36" t="n">
        <x:v>6</x:v>
      </x:c>
      <x:c r="F1391" s="36" t="n">
        <x:v>6</x:v>
      </x:c>
      <x:c r="G1391" s="36" t="n">
        <x:v>4</x:v>
      </x:c>
      <x:c r="H1391" s="36" t="n">
        <x:v>5</x:v>
      </x:c>
      <x:c r="I1391" s="34" t="str">
        <x:v>afterUndeployEarly</x:v>
      </x:c>
      <x:c r="J1391" s="34" t="str">
        <x:v>after-undeploy-early</x:v>
      </x:c>
      <x:c r="K1391" s="36" t="n">
        <x:v>1</x:v>
      </x:c>
      <x:c r="L1391" s="34" t="str">
        <x:v>early</x:v>
      </x:c>
      <x:c r="M1391" s="34" t="str">
        <x:v>article1-unified-v4-2-fb3f101b-20260903-000401-default-f06-p4-ehcache-5-after-undeploy-early-2s</x:v>
      </x:c>
      <x:c r="N1391" s="38" t="n">
        <x:v>46268.11316400463</x:v>
      </x:c>
      <x:c r="O1391" s="36"/>
      <x:c r="P1391" s="43"/>
      <x:c r="Q1391" s="43"/>
      <x:c r="R1391" s="43"/>
      <x:c r="S1391" s="36"/>
      <x:c r="T1391" s="44"/>
      <x:c r="U1391" s="36" t="n">
        <x:v>27</x:v>
      </x:c>
      <x:c r="V1391" s="36" t="n">
        <x:v>0</x:v>
      </x:c>
      <x:c r="W1391" s="44"/>
      <x:c r="X1391" s="36"/>
      <x:c r="Y1391" s="36"/>
      <x:c r="Z1391" s="44"/>
      <x:c r="AA1391" s="49"/>
      <x:c r="AB1391" s="43" t="n">
        <x:v>2</x:v>
      </x:c>
      <x:c r="AC1391" s="34"/>
      <x:c r="AD1391" s="34"/>
      <x:c r="AE1391" s="34" t="str">
        <x:v>article1-unified-v4-2-fb3f101b-20260903-000401-default-f06-p4-ehcache-5-after-undeploy-early-2s-thread-dump.txt</x:v>
      </x:c>
      <x:c r="AF1391" s="34" t="str">
        <x:v>article1-unified-v4-2-fb3f101b-20260903-000401-default-f06-p4-ehcache-5-after-undeploy-early-tomcat-log.txt</x:v>
      </x:c>
      <x:c r="AG1391" s="34"/>
      <x:c r="AH1391" s="34"/>
      <x:c r="AI1391" s="34"/>
    </x:row>
    <x:row r="1392">
      <x:c r="A1392" s="34" t="str">
        <x:v>article1-unified-v4-2-fb3f101b-20260903-000401-default-f06-p4-ehcache</x:v>
      </x:c>
      <x:c r="B1392" s="34" t="str">
        <x:v>default</x:v>
      </x:c>
      <x:c r="C1392" s="34" t="str">
        <x:v>ehcache</x:v>
      </x:c>
      <x:c r="D1392" s="34" t="str">
        <x:v>ehcache</x:v>
      </x:c>
      <x:c r="E1392" s="36" t="n">
        <x:v>6</x:v>
      </x:c>
      <x:c r="F1392" s="36" t="n">
        <x:v>6</x:v>
      </x:c>
      <x:c r="G1392" s="36" t="n">
        <x:v>4</x:v>
      </x:c>
      <x:c r="H1392" s="36" t="n">
        <x:v>5</x:v>
      </x:c>
      <x:c r="I1392" s="34" t="str">
        <x:v>afterUndeploy</x:v>
      </x:c>
      <x:c r="J1392" s="34" t="str">
        <x:v>after-undeploy-final</x:v>
      </x:c>
      <x:c r="K1392" s="36" t="n">
        <x:v>1</x:v>
      </x:c>
      <x:c r="L1392" s="34" t="str">
        <x:v>final</x:v>
      </x:c>
      <x:c r="M1392" s="34" t="str">
        <x:v>article1-unified-v4-2-fb3f101b-20260903-000401-default-f06-p4-ehcache-5-after-undeploy-final-10s</x:v>
      </x:c>
      <x:c r="N1392" s="38" t="n">
        <x:v>46268.11331796296</x:v>
      </x:c>
      <x:c r="O1392" s="36" t="n">
        <x:v>2</x:v>
      </x:c>
      <x:c r="P1392" s="43" t="n">
        <x:v>16144384</x:v>
      </x:c>
      <x:c r="Q1392" s="43" t="n">
        <x:v>268435456</x:v>
      </x:c>
      <x:c r="R1392" s="43" t="n">
        <x:v>427225088</x:v>
      </x:c>
      <x:c r="S1392" s="36" t="n">
        <x:v>2</x:v>
      </x:c>
      <x:c r="T1392" s="44" t="str">
        <x:v>0x00000000891177b8  0x0000000089003818  0x0000737a38008270    4863  22728704  22715672  org.apache.catalina.loader.ParallelWebappClassLoader | 0x00000000891177b8  0x0000000089003818  0x0000737b185ee230       0         0         0  org.apache.catalina.loader.ParallelWebappClassLoader</x:v>
      </x:c>
      <x:c r="U1392" s="36" t="n">
        <x:v>27</x:v>
      </x:c>
      <x:c r="V1392" s="36" t="n">
        <x:v>0</x:v>
      </x:c>
      <x:c r="W1392" s="44"/>
      <x:c r="X1392" s="36" t="n">
        <x:v>1</x:v>
      </x:c>
      <x:c r="Y1392" s="36" t="n">
        <x:v>1</x:v>
      </x:c>
      <x:c r="Z1392" s="44" t="str">
        <x:v>/ehcache</x:v>
      </x:c>
      <x:c r="AA1392" s="45" t="b">
        <x:v>1</x:v>
      </x:c>
      <x:c r="AB1392" s="43"/>
      <x:c r="AC1392" s="34" t="str">
        <x:v>article1-unified-v4-2-fb3f101b-20260903-000401-default-f06-p4-ehcache-5-after-undeploy-final-10s-heap-info.txt</x:v>
      </x:c>
      <x:c r="AD1392" s="34" t="str">
        <x:v>article1-unified-v4-2-fb3f101b-20260903-000401-default-f06-p4-ehcache-5-after-undeploy-final-10s-classloader-stats.txt</x:v>
      </x:c>
      <x:c r="AE1392" s="34" t="str">
        <x:v>article1-unified-v4-2-fb3f101b-20260903-000401-default-f06-p4-ehcache-5-after-undeploy-final-10s-thread-dump.txt</x:v>
      </x:c>
      <x:c r="AF1392" s="34"/>
      <x:c r="AG1392" s="34" t="str">
        <x:v>article1-unified-v4-2-fb3f101b-20260903-000401-default-f06-p4-ehcache-5-after-undeploy-final-10s-native-memory.txt</x:v>
      </x:c>
      <x:c r="AH1392" s="34" t="str">
        <x:v>article1-unified-v4-2-fb3f101b-20260903-000401-default-f06-p4-ehcache-5-after-undeploy-final-10s-class-histogram.txt</x:v>
      </x:c>
      <x:c r="AI1392" s="34" t="str">
        <x:v>article1-unified-v4-2-fb3f101b-20260903-000401-default-f06-p4-ehcache-5-after-undeploy-tomcat-findleaks.txt</x:v>
      </x:c>
    </x:row>
    <x:row r="1393">
      <x:c r="A1393" s="34" t="str">
        <x:v>article1-unified-v4-2-fb3f101b-20260903-000401-default-f06-p4-ehcache</x:v>
      </x:c>
      <x:c r="B1393" s="34" t="str">
        <x:v>default</x:v>
      </x:c>
      <x:c r="C1393" s="34" t="str">
        <x:v>ehcache</x:v>
      </x:c>
      <x:c r="D1393" s="34" t="str">
        <x:v>ehcache</x:v>
      </x:c>
      <x:c r="E1393" s="36" t="n">
        <x:v>6</x:v>
      </x:c>
      <x:c r="F1393" s="36" t="n">
        <x:v>6</x:v>
      </x:c>
      <x:c r="G1393" s="36" t="n">
        <x:v>4</x:v>
      </x:c>
      <x:c r="H1393" s="36" t="n">
        <x:v>5</x:v>
      </x:c>
      <x:c r="I1393" s="34" t="str">
        <x:v>redeployedLoaded</x:v>
      </x:c>
      <x:c r="J1393" s="34" t="str">
        <x:v>redeployed-loaded</x:v>
      </x:c>
      <x:c r="K1393" s="36" t="n">
        <x:v>0</x:v>
      </x:c>
      <x:c r="L1393" s="34" t="str">
        <x:v>redeploy</x:v>
      </x:c>
      <x:c r="M1393" s="34" t="str">
        <x:v>article1-unified-v4-2-fb3f101b-20260903-000401-default-f06-p4-ehcache-5-redeployed-loaded</x:v>
      </x:c>
      <x:c r="N1393" s="38" t="n">
        <x:v>46268.113574016206</x:v>
      </x:c>
      <x:c r="O1393" s="36" t="n">
        <x:v>0</x:v>
      </x:c>
      <x:c r="P1393" s="43" t="n">
        <x:v>209642496</x:v>
      </x:c>
      <x:c r="Q1393" s="43" t="n">
        <x:v>268435456</x:v>
      </x:c>
      <x:c r="R1393" s="43" t="n">
        <x:v>452969472</x:v>
      </x:c>
      <x:c r="S1393" s="36" t="n">
        <x:v>3</x:v>
      </x:c>
      <x:c r="T1393" s="44" t="str">
        <x:v>0x00000000891177b8  0x0000000089003818  0x0000737a38008270    4863  22728704  22715672  org.apache.catalina.loader.ParallelWebappClassLoader | 0x00000000891177b8  0x0000000089003818  0x0000737a581a0a00    4848  22670336  22651336  org.apache.catalina.loader.ParallelWebappClassLoader | 0x00000000891177b8  0x0000000089003818  0x0000737b185ee230       0         0         0  org.apache.catalina.loader.ParallelWebappClassLoader</x:v>
      </x:c>
      <x:c r="U1393" s="36" t="n">
        <x:v>28</x:v>
      </x:c>
      <x:c r="V1393" s="36" t="n">
        <x:v>0</x:v>
      </x:c>
      <x:c r="W1393" s="44"/>
      <x:c r="X1393" s="36"/>
      <x:c r="Y1393" s="36"/>
      <x:c r="Z1393" s="44"/>
      <x:c r="AA1393" s="49"/>
      <x:c r="AB1393" s="43"/>
      <x:c r="AC1393" s="34"/>
      <x:c r="AD1393" s="34"/>
      <x:c r="AE1393" s="34"/>
      <x:c r="AF1393" s="34"/>
      <x:c r="AG1393" s="34"/>
      <x:c r="AH1393" s="34"/>
      <x:c r="AI1393" s="34"/>
    </x:row>
    <x:row r="1394">
      <x:c r="A1394" s="34" t="str">
        <x:v>article1-unified-v4-2-fb3f101b-20260903-000401-default-f06-p4-ehcache</x:v>
      </x:c>
      <x:c r="B1394" s="34" t="str">
        <x:v>default</x:v>
      </x:c>
      <x:c r="C1394" s="34" t="str">
        <x:v>ehcache</x:v>
      </x:c>
      <x:c r="D1394" s="34" t="str">
        <x:v>ehcache</x:v>
      </x:c>
      <x:c r="E1394" s="36" t="n">
        <x:v>6</x:v>
      </x:c>
      <x:c r="F1394" s="36" t="n">
        <x:v>6</x:v>
      </x:c>
      <x:c r="G1394" s="36" t="n">
        <x:v>4</x:v>
      </x:c>
      <x:c r="H1394" s="36" t="n">
        <x:v>5</x:v>
      </x:c>
      <x:c r="I1394" s="34" t="str">
        <x:v>afterFinalUndeployEarly</x:v>
      </x:c>
      <x:c r="J1394" s="34" t="str">
        <x:v>after-final-undeploy-early</x:v>
      </x:c>
      <x:c r="K1394" s="36" t="n">
        <x:v>2</x:v>
      </x:c>
      <x:c r="L1394" s="34" t="str">
        <x:v>early</x:v>
      </x:c>
      <x:c r="M1394" s="34" t="str">
        <x:v>article1-unified-v4-2-fb3f101b-20260903-000401-default-f06-p4-ehcache-5-after-final-undeploy-early-2s</x:v>
      </x:c>
      <x:c r="N1394" s="38" t="n">
        <x:v>46268.11365841435</x:v>
      </x:c>
      <x:c r="O1394" s="36"/>
      <x:c r="P1394" s="43"/>
      <x:c r="Q1394" s="43"/>
      <x:c r="R1394" s="43"/>
      <x:c r="S1394" s="36"/>
      <x:c r="T1394" s="44"/>
      <x:c r="U1394" s="36" t="n">
        <x:v>27</x:v>
      </x:c>
      <x:c r="V1394" s="36" t="n">
        <x:v>0</x:v>
      </x:c>
      <x:c r="W1394" s="44"/>
      <x:c r="X1394" s="36"/>
      <x:c r="Y1394" s="36"/>
      <x:c r="Z1394" s="44"/>
      <x:c r="AA1394" s="49"/>
      <x:c r="AB1394" s="43" t="n">
        <x:v>2</x:v>
      </x:c>
      <x:c r="AC1394" s="34"/>
      <x:c r="AD1394" s="34"/>
      <x:c r="AE1394" s="34" t="str">
        <x:v>article1-unified-v4-2-fb3f101b-20260903-000401-default-f06-p4-ehcache-5-after-final-undeploy-early-2s-thread-dump.txt</x:v>
      </x:c>
      <x:c r="AF1394" s="34" t="str">
        <x:v>article1-unified-v4-2-fb3f101b-20260903-000401-default-f06-p4-ehcache-5-after-final-undeploy-early-tomcat-log.txt</x:v>
      </x:c>
      <x:c r="AG1394" s="34"/>
      <x:c r="AH1394" s="34"/>
      <x:c r="AI1394" s="34"/>
    </x:row>
    <x:row r="1395">
      <x:c r="A1395" s="34" t="str">
        <x:v>article1-unified-v4-2-fb3f101b-20260903-000401-default-f06-p4-ehcache</x:v>
      </x:c>
      <x:c r="B1395" s="34" t="str">
        <x:v>default</x:v>
      </x:c>
      <x:c r="C1395" s="34" t="str">
        <x:v>ehcache</x:v>
      </x:c>
      <x:c r="D1395" s="34" t="str">
        <x:v>ehcache</x:v>
      </x:c>
      <x:c r="E1395" s="36" t="n">
        <x:v>6</x:v>
      </x:c>
      <x:c r="F1395" s="36" t="n">
        <x:v>6</x:v>
      </x:c>
      <x:c r="G1395" s="36" t="n">
        <x:v>4</x:v>
      </x:c>
      <x:c r="H1395" s="36" t="n">
        <x:v>5</x:v>
      </x:c>
      <x:c r="I1395" s="34" t="str">
        <x:v>afterFinalUndeploy</x:v>
      </x:c>
      <x:c r="J1395" s="34" t="str">
        <x:v>after-final-undeploy-final</x:v>
      </x:c>
      <x:c r="K1395" s="36" t="n">
        <x:v>2</x:v>
      </x:c>
      <x:c r="L1395" s="34" t="str">
        <x:v>final</x:v>
      </x:c>
      <x:c r="M1395" s="34" t="str">
        <x:v>article1-unified-v4-2-fb3f101b-20260903-000401-default-f06-p4-ehcache-5-after-final-undeploy-final-10s</x:v>
      </x:c>
      <x:c r="N1395" s="38" t="n">
        <x:v>46268.11381135417</x:v>
      </x:c>
      <x:c r="O1395" s="36" t="n">
        <x:v>2</x:v>
      </x:c>
      <x:c r="P1395" s="43" t="n">
        <x:v>16140288</x:v>
      </x:c>
      <x:c r="Q1395" s="43" t="n">
        <x:v>268435456</x:v>
      </x:c>
      <x:c r="R1395" s="43" t="n">
        <x:v>431528960</x:v>
      </x:c>
      <x:c r="S1395" s="36" t="n">
        <x:v>2</x:v>
      </x:c>
      <x:c r="T1395" s="44" t="str">
        <x:v>0x00000000891177b8  0x0000000089003818  0x0000737a581a0a00    4858  22703104  22697816  org.apache.catalina.loader.ParallelWebappClassLoader | 0x00000000891177b8  0x0000000089003818  0x0000737b185ee230       0         0         0  org.apache.catalina.loader.ParallelWebappClassLoader</x:v>
      </x:c>
      <x:c r="U1395" s="36" t="n">
        <x:v>27</x:v>
      </x:c>
      <x:c r="V1395" s="36" t="n">
        <x:v>0</x:v>
      </x:c>
      <x:c r="W1395" s="44"/>
      <x:c r="X1395" s="36" t="n">
        <x:v>1</x:v>
      </x:c>
      <x:c r="Y1395" s="36" t="n">
        <x:v>1</x:v>
      </x:c>
      <x:c r="Z1395" s="44" t="str">
        <x:v>/ehcache</x:v>
      </x:c>
      <x:c r="AA1395" s="45" t="b">
        <x:v>1</x:v>
      </x:c>
      <x:c r="AB1395" s="43"/>
      <x:c r="AC1395" s="34" t="str">
        <x:v>article1-unified-v4-2-fb3f101b-20260903-000401-default-f06-p4-ehcache-5-after-final-undeploy-final-10s-heap-info.txt</x:v>
      </x:c>
      <x:c r="AD1395" s="34" t="str">
        <x:v>article1-unified-v4-2-fb3f101b-20260903-000401-default-f06-p4-ehcache-5-after-final-undeploy-final-10s-classloader-stats.txt</x:v>
      </x:c>
      <x:c r="AE1395" s="34" t="str">
        <x:v>article1-unified-v4-2-fb3f101b-20260903-000401-default-f06-p4-ehcache-5-after-final-undeploy-final-10s-thread-dump.txt</x:v>
      </x:c>
      <x:c r="AF1395" s="34"/>
      <x:c r="AG1395" s="34" t="str">
        <x:v>article1-unified-v4-2-fb3f101b-20260903-000401-default-f06-p4-ehcache-5-after-final-undeploy-final-10s-native-memory.txt</x:v>
      </x:c>
      <x:c r="AH1395" s="34" t="str">
        <x:v>article1-unified-v4-2-fb3f101b-20260903-000401-default-f06-p4-ehcache-5-after-final-undeploy-final-10s-class-histogram.txt</x:v>
      </x:c>
      <x:c r="AI1395" s="34" t="str">
        <x:v>article1-unified-v4-2-fb3f101b-20260903-000401-default-f06-p4-ehcache-5-after-final-undeploy-tomcat-findleaks.txt</x:v>
      </x:c>
    </x:row>
    <x:row r="1396">
      <x:c r="A1396" s="34" t="str">
        <x:v>article1-unified-v4-2-fb3f101b-20260903-000401-default-f06-p5-jcs4</x:v>
      </x:c>
      <x:c r="B1396" s="34" t="str">
        <x:v>default</x:v>
      </x:c>
      <x:c r="C1396" s="34" t="str">
        <x:v>jcs4</x:v>
      </x:c>
      <x:c r="D1396" s="34" t="str">
        <x:v>jcs4</x:v>
      </x:c>
      <x:c r="E1396" s="36" t="n">
        <x:v>6</x:v>
      </x:c>
      <x:c r="F1396" s="36" t="n">
        <x:v>6</x:v>
      </x:c>
      <x:c r="G1396" s="36" t="n">
        <x:v>5</x:v>
      </x:c>
      <x:c r="H1396" s="36" t="n">
        <x:v>0</x:v>
      </x:c>
      <x:c r="I1396" s="34" t="str">
        <x:v>processBaseline</x:v>
      </x:c>
      <x:c r="J1396" s="34" t="str">
        <x:v>process-baseline</x:v>
      </x:c>
      <x:c r="K1396" s="36" t="n">
        <x:v>0</x:v>
      </x:c>
      <x:c r="L1396" s="34" t="str">
        <x:v>baseline</x:v>
      </x:c>
      <x:c r="M1396" s="34" t="str">
        <x:v>article1-unified-v4-2-fb3f101b-20260903-000401-default-f06-p5-jcs4-process-baseline</x:v>
      </x:c>
      <x:c r="N1396" s="38" t="n">
        <x:v>46268.11405143519</x:v>
      </x:c>
      <x:c r="O1396" s="36" t="n">
        <x:v>0</x:v>
      </x:c>
      <x:c r="P1396" s="43" t="n">
        <x:v>32709632</x:v>
      </x:c>
      <x:c r="Q1396" s="43" t="n">
        <x:v>270532608</x:v>
      </x:c>
      <x:c r="R1396" s="43" t="n">
        <x:v>369228800</x:v>
      </x:c>
      <x:c r="S1396" s="36" t="n">
        <x:v>1</x:v>
      </x:c>
      <x:c r="T1396" s="44" t="str">
        <x:v>0x0000000049116bd8  0x0000000049003818  0x000078b0dc5f8ea0       0         0         0  org.apache.catalina.loader.ParallelWebappClassLoader</x:v>
      </x:c>
      <x:c r="U1396" s="36" t="n">
        <x:v>27</x:v>
      </x:c>
      <x:c r="V1396" s="36" t="n">
        <x:v>0</x:v>
      </x:c>
      <x:c r="W1396" s="44"/>
      <x:c r="X1396" s="36"/>
      <x:c r="Y1396" s="36"/>
      <x:c r="Z1396" s="44"/>
      <x:c r="AA1396" s="49"/>
      <x:c r="AB1396" s="43"/>
      <x:c r="AC1396" s="34" t="str">
        <x:v>article1-unified-v4-2-fb3f101b-20260903-000401-default-f06-p5-jcs4-process-baseline-heap-info.txt</x:v>
      </x:c>
      <x:c r="AD1396" s="34" t="str">
        <x:v>article1-unified-v4-2-fb3f101b-20260903-000401-default-f06-p5-jcs4-process-baseline-classloader-stats.txt</x:v>
      </x:c>
      <x:c r="AE1396" s="34" t="str">
        <x:v>article1-unified-v4-2-fb3f101b-20260903-000401-default-f06-p5-jcs4-process-baseline-thread-dump.txt</x:v>
      </x:c>
      <x:c r="AF1396" s="34"/>
      <x:c r="AG1396" s="34" t="str">
        <x:v>article1-unified-v4-2-fb3f101b-20260903-000401-default-f06-p5-jcs4-process-baseline-native-memory.txt</x:v>
      </x:c>
      <x:c r="AH1396" s="34"/>
      <x:c r="AI1396" s="34"/>
    </x:row>
    <x:row r="1397">
      <x:c r="A1397" s="34" t="str">
        <x:v>article1-unified-v4-2-fb3f101b-20260903-000401-default-f06-p5-jcs4</x:v>
      </x:c>
      <x:c r="B1397" s="34" t="str">
        <x:v>default</x:v>
      </x:c>
      <x:c r="C1397" s="34" t="str">
        <x:v>jcs4</x:v>
      </x:c>
      <x:c r="D1397" s="34" t="str">
        <x:v>jcs4</x:v>
      </x:c>
      <x:c r="E1397" s="36" t="n">
        <x:v>6</x:v>
      </x:c>
      <x:c r="F1397" s="36" t="n">
        <x:v>6</x:v>
      </x:c>
      <x:c r="G1397" s="36" t="n">
        <x:v>5</x:v>
      </x:c>
      <x:c r="H1397" s="36" t="n">
        <x:v>1</x:v>
      </x:c>
      <x:c r="I1397" s="34" t="str">
        <x:v>baseline</x:v>
      </x:c>
      <x:c r="J1397" s="34" t="str">
        <x:v>cycle-baseline</x:v>
      </x:c>
      <x:c r="K1397" s="36" t="n">
        <x:v>0</x:v>
      </x:c>
      <x:c r="L1397" s="34" t="str">
        <x:v>baseline</x:v>
      </x:c>
      <x:c r="M1397" s="34" t="str">
        <x:v>article1-unified-v4-2-fb3f101b-20260903-000401-default-f06-p5-jcs4-1-baseline</x:v>
      </x:c>
      <x:c r="N1397" s="38" t="n">
        <x:v>46268.11424440972</x:v>
      </x:c>
      <x:c r="O1397" s="36" t="n">
        <x:v>0</x:v>
      </x:c>
      <x:c r="P1397" s="43" t="n">
        <x:v>32709632</x:v>
      </x:c>
      <x:c r="Q1397" s="43" t="n">
        <x:v>270532608</x:v>
      </x:c>
      <x:c r="R1397" s="43" t="n">
        <x:v>369880064</x:v>
      </x:c>
      <x:c r="S1397" s="36" t="n">
        <x:v>1</x:v>
      </x:c>
      <x:c r="T1397" s="44" t="str">
        <x:v>0x0000000049116bd8  0x0000000049003818  0x000078b0dc5f8ea0       0         0         0  org.apache.catalina.loader.ParallelWebappClassLoader</x:v>
      </x:c>
      <x:c r="U1397" s="36" t="n">
        <x:v>27</x:v>
      </x:c>
      <x:c r="V1397" s="36" t="n">
        <x:v>0</x:v>
      </x:c>
      <x:c r="W1397" s="44"/>
      <x:c r="X1397" s="36"/>
      <x:c r="Y1397" s="36"/>
      <x:c r="Z1397" s="44"/>
      <x:c r="AA1397" s="49"/>
      <x:c r="AB1397" s="43"/>
      <x:c r="AC1397" s="34" t="str">
        <x:v>article1-unified-v4-2-fb3f101b-20260903-000401-default-f06-p5-jcs4-1-baseline-heap-info.txt</x:v>
      </x:c>
      <x:c r="AD1397" s="34" t="str">
        <x:v>article1-unified-v4-2-fb3f101b-20260903-000401-default-f06-p5-jcs4-1-baseline-classloader-stats.txt</x:v>
      </x:c>
      <x:c r="AE1397" s="34" t="str">
        <x:v>article1-unified-v4-2-fb3f101b-20260903-000401-default-f06-p5-jcs4-1-baseline-thread-dump.txt</x:v>
      </x:c>
      <x:c r="AF1397" s="34"/>
      <x:c r="AG1397" s="34" t="str">
        <x:v>article1-unified-v4-2-fb3f101b-20260903-000401-default-f06-p5-jcs4-1-baseline-native-memory.txt</x:v>
      </x:c>
      <x:c r="AH1397" s="34"/>
      <x:c r="AI1397" s="34"/>
    </x:row>
    <x:row r="1398">
      <x:c r="A1398" s="34" t="str">
        <x:v>article1-unified-v4-2-fb3f101b-20260903-000401-default-f06-p5-jcs4</x:v>
      </x:c>
      <x:c r="B1398" s="34" t="str">
        <x:v>default</x:v>
      </x:c>
      <x:c r="C1398" s="34" t="str">
        <x:v>jcs4</x:v>
      </x:c>
      <x:c r="D1398" s="34" t="str">
        <x:v>jcs4</x:v>
      </x:c>
      <x:c r="E1398" s="36" t="n">
        <x:v>6</x:v>
      </x:c>
      <x:c r="F1398" s="36" t="n">
        <x:v>6</x:v>
      </x:c>
      <x:c r="G1398" s="36" t="n">
        <x:v>5</x:v>
      </x:c>
      <x:c r="H1398" s="36" t="n">
        <x:v>1</x:v>
      </x:c>
      <x:c r="I1398" s="34" t="str">
        <x:v>deployedIdle</x:v>
      </x:c>
      <x:c r="J1398" s="34" t="str">
        <x:v>deployed-idle</x:v>
      </x:c>
      <x:c r="K1398" s="36" t="n">
        <x:v>0</x:v>
      </x:c>
      <x:c r="L1398" s="34" t="str">
        <x:v>initial</x:v>
      </x:c>
      <x:c r="M1398" s="34" t="str">
        <x:v>article1-unified-v4-2-fb3f101b-20260903-000401-default-f06-p5-jcs4-1-deployed-idle</x:v>
      </x:c>
      <x:c r="N1398" s="38" t="n">
        <x:v>46268.11435552083</x:v>
      </x:c>
      <x:c r="O1398" s="36" t="n">
        <x:v>0</x:v>
      </x:c>
      <x:c r="P1398" s="43" t="n">
        <x:v>22274048</x:v>
      </x:c>
      <x:c r="Q1398" s="43" t="n">
        <x:v>268435456</x:v>
      </x:c>
      <x:c r="R1398" s="43" t="n">
        <x:v>426843136</x:v>
      </x:c>
      <x:c r="S1398" s="36" t="n">
        <x:v>2</x:v>
      </x:c>
      <x:c r="T1398" s="44" t="str">
        <x:v>0x0000000049116bd8  0x0000000049003818  0x000078b0dc5f8ea0       0         0         0  org.apache.catalina.loader.ParallelWebappClassLoader | 0x0000000049116bd8  0x0000000049003818  0x000078b03805ee00    4091  19429376  19412568  org.apache.catalina.loader.ParallelWebappClassLoader</x:v>
      </x:c>
      <x:c r="U1398" s="36" t="n">
        <x:v>27</x:v>
      </x:c>
      <x:c r="V1398" s="36" t="n">
        <x:v>0</x:v>
      </x:c>
      <x:c r="W1398" s="44"/>
      <x:c r="X1398" s="36"/>
      <x:c r="Y1398" s="36"/>
      <x:c r="Z1398" s="44"/>
      <x:c r="AA1398" s="49"/>
      <x:c r="AB1398" s="43"/>
      <x:c r="AC1398" s="34"/>
      <x:c r="AD1398" s="34"/>
      <x:c r="AE1398" s="34"/>
      <x:c r="AF1398" s="34"/>
      <x:c r="AG1398" s="34"/>
      <x:c r="AH1398" s="34"/>
      <x:c r="AI1398" s="34"/>
    </x:row>
    <x:row r="1399">
      <x:c r="A1399" s="34" t="str">
        <x:v>article1-unified-v4-2-fb3f101b-20260903-000401-default-f06-p5-jcs4</x:v>
      </x:c>
      <x:c r="B1399" s="34" t="str">
        <x:v>default</x:v>
      </x:c>
      <x:c r="C1399" s="34" t="str">
        <x:v>jcs4</x:v>
      </x:c>
      <x:c r="D1399" s="34" t="str">
        <x:v>jcs4</x:v>
      </x:c>
      <x:c r="E1399" s="36" t="n">
        <x:v>6</x:v>
      </x:c>
      <x:c r="F1399" s="36" t="n">
        <x:v>6</x:v>
      </x:c>
      <x:c r="G1399" s="36" t="n">
        <x:v>5</x:v>
      </x:c>
      <x:c r="H1399" s="36" t="n">
        <x:v>1</x:v>
      </x:c>
      <x:c r="I1399" s="34" t="str">
        <x:v>loaded</x:v>
      </x:c>
      <x:c r="J1399" s="34" t="str">
        <x:v>loaded</x:v>
      </x:c>
      <x:c r="K1399" s="36" t="n">
        <x:v>0</x:v>
      </x:c>
      <x:c r="L1399" s="34" t="str">
        <x:v>initial</x:v>
      </x:c>
      <x:c r="M1399" s="34" t="str">
        <x:v>article1-unified-v4-2-fb3f101b-20260903-000401-default-f06-p5-jcs4-1-loaded</x:v>
      </x:c>
      <x:c r="N1399" s="38" t="n">
        <x:v>46268.11450527778</x:v>
      </x:c>
      <x:c r="O1399" s="36" t="n">
        <x:v>0</x:v>
      </x:c>
      <x:c r="P1399" s="43" t="n">
        <x:v>172136448</x:v>
      </x:c>
      <x:c r="Q1399" s="43" t="n">
        <x:v>268435456</x:v>
      </x:c>
      <x:c r="R1399" s="43" t="n">
        <x:v>410521600</x:v>
      </x:c>
      <x:c r="S1399" s="36" t="n">
        <x:v>2</x:v>
      </x:c>
      <x:c r="T1399" s="44" t="str">
        <x:v>0x0000000049116bd8  0x0000000049003818  0x000078b0dc5f8ea0       0         0         0  org.apache.catalina.loader.ParallelWebappClassLoader | 0x0000000049116bd8  0x0000000049003818  0x000078b03805ee00    4401  20913152  20897440  org.apache.catalina.loader.ParallelWebappClassLoader</x:v>
      </x:c>
      <x:c r="U1399" s="36" t="n">
        <x:v>29</x:v>
      </x:c>
      <x:c r="V1399" s="36" t="n">
        <x:v>1</x:v>
      </x:c>
      <x:c r="W1399" s="44" t="str">
        <x:v>jcs4-thread-pool-event-queue:JCS-ThreadPoolManager-ElementEventQueue-Thread-4#49</x:v>
      </x:c>
      <x:c r="X1399" s="36"/>
      <x:c r="Y1399" s="36"/>
      <x:c r="Z1399" s="44"/>
      <x:c r="AA1399" s="49"/>
      <x:c r="AB1399" s="43"/>
      <x:c r="AC1399" s="34"/>
      <x:c r="AD1399" s="34"/>
      <x:c r="AE1399" s="34"/>
      <x:c r="AF1399" s="34"/>
      <x:c r="AG1399" s="34"/>
      <x:c r="AH1399" s="34"/>
      <x:c r="AI1399" s="34"/>
    </x:row>
    <x:row r="1400">
      <x:c r="A1400" s="34" t="str">
        <x:v>article1-unified-v4-2-fb3f101b-20260903-000401-default-f06-p5-jcs4</x:v>
      </x:c>
      <x:c r="B1400" s="34" t="str">
        <x:v>default</x:v>
      </x:c>
      <x:c r="C1400" s="34" t="str">
        <x:v>jcs4</x:v>
      </x:c>
      <x:c r="D1400" s="34" t="str">
        <x:v>jcs4</x:v>
      </x:c>
      <x:c r="E1400" s="36" t="n">
        <x:v>6</x:v>
      </x:c>
      <x:c r="F1400" s="36" t="n">
        <x:v>6</x:v>
      </x:c>
      <x:c r="G1400" s="36" t="n">
        <x:v>5</x:v>
      </x:c>
      <x:c r="H1400" s="36" t="n">
        <x:v>1</x:v>
      </x:c>
      <x:c r="I1400" s="34" t="str">
        <x:v>afterUndeployEarly</x:v>
      </x:c>
      <x:c r="J1400" s="34" t="str">
        <x:v>after-undeploy-early</x:v>
      </x:c>
      <x:c r="K1400" s="36" t="n">
        <x:v>1</x:v>
      </x:c>
      <x:c r="L1400" s="34" t="str">
        <x:v>early</x:v>
      </x:c>
      <x:c r="M1400" s="34" t="str">
        <x:v>article1-unified-v4-2-fb3f101b-20260903-000401-default-f06-p5-jcs4-1-after-undeploy-early-2s</x:v>
      </x:c>
      <x:c r="N1400" s="38" t="n">
        <x:v>46268.11458917824</x:v>
      </x:c>
      <x:c r="O1400" s="36"/>
      <x:c r="P1400" s="43"/>
      <x:c r="Q1400" s="43"/>
      <x:c r="R1400" s="43"/>
      <x:c r="S1400" s="36"/>
      <x:c r="T1400" s="44"/>
      <x:c r="U1400" s="36" t="n">
        <x:v>27</x:v>
      </x:c>
      <x:c r="V1400" s="36" t="n">
        <x:v>0</x:v>
      </x:c>
      <x:c r="W1400" s="44"/>
      <x:c r="X1400" s="36"/>
      <x:c r="Y1400" s="36"/>
      <x:c r="Z1400" s="44"/>
      <x:c r="AA1400" s="49"/>
      <x:c r="AB1400" s="43" t="n">
        <x:v>5</x:v>
      </x:c>
      <x:c r="AC1400" s="34"/>
      <x:c r="AD1400" s="34"/>
      <x:c r="AE1400" s="34" t="str">
        <x:v>article1-unified-v4-2-fb3f101b-20260903-000401-default-f06-p5-jcs4-1-after-undeploy-early-2s-thread-dump.txt</x:v>
      </x:c>
      <x:c r="AF1400" s="34" t="str">
        <x:v>article1-unified-v4-2-fb3f101b-20260903-000401-default-f06-p5-jcs4-1-after-undeploy-early-tomcat-log.txt</x:v>
      </x:c>
      <x:c r="AG1400" s="34"/>
      <x:c r="AH1400" s="34"/>
      <x:c r="AI1400" s="34"/>
    </x:row>
    <x:row r="1401">
      <x:c r="A1401" s="34" t="str">
        <x:v>article1-unified-v4-2-fb3f101b-20260903-000401-default-f06-p5-jcs4</x:v>
      </x:c>
      <x:c r="B1401" s="34" t="str">
        <x:v>default</x:v>
      </x:c>
      <x:c r="C1401" s="34" t="str">
        <x:v>jcs4</x:v>
      </x:c>
      <x:c r="D1401" s="34" t="str">
        <x:v>jcs4</x:v>
      </x:c>
      <x:c r="E1401" s="36" t="n">
        <x:v>6</x:v>
      </x:c>
      <x:c r="F1401" s="36" t="n">
        <x:v>6</x:v>
      </x:c>
      <x:c r="G1401" s="36" t="n">
        <x:v>5</x:v>
      </x:c>
      <x:c r="H1401" s="36" t="n">
        <x:v>1</x:v>
      </x:c>
      <x:c r="I1401" s="34" t="str">
        <x:v>afterUndeploy</x:v>
      </x:c>
      <x:c r="J1401" s="34" t="str">
        <x:v>after-undeploy-final</x:v>
      </x:c>
      <x:c r="K1401" s="36" t="n">
        <x:v>1</x:v>
      </x:c>
      <x:c r="L1401" s="34" t="str">
        <x:v>final</x:v>
      </x:c>
      <x:c r="M1401" s="34" t="str">
        <x:v>article1-unified-v4-2-fb3f101b-20260903-000401-default-f06-p5-jcs4-1-after-undeploy-final-10s</x:v>
      </x:c>
      <x:c r="N1401" s="38" t="n">
        <x:v>46268.11474146991</x:v>
      </x:c>
      <x:c r="O1401" s="36" t="n">
        <x:v>2</x:v>
      </x:c>
      <x:c r="P1401" s="43" t="n">
        <x:v>15687680</x:v>
      </x:c>
      <x:c r="Q1401" s="43" t="n">
        <x:v>268435456</x:v>
      </x:c>
      <x:c r="R1401" s="43" t="n">
        <x:v>409199616</x:v>
      </x:c>
      <x:c r="S1401" s="36" t="n">
        <x:v>2</x:v>
      </x:c>
      <x:c r="T1401" s="44" t="str">
        <x:v>0x0000000049116bd8  0x0000000049003818  0x000078b03805ee00    4415  20941824  20932744  org.apache.catalina.loader.ParallelWebappClassLoader | 0x0000000049116bd8  0x0000000049003818  0x000078b0dc5f8ea0       0         0         0  org.apache.catalina.loader.ParallelWebappClassLoader</x:v>
      </x:c>
      <x:c r="U1401" s="36" t="n">
        <x:v>27</x:v>
      </x:c>
      <x:c r="V1401" s="36" t="n">
        <x:v>0</x:v>
      </x:c>
      <x:c r="W1401" s="44"/>
      <x:c r="X1401" s="36" t="n">
        <x:v>1</x:v>
      </x:c>
      <x:c r="Y1401" s="36" t="n">
        <x:v>1</x:v>
      </x:c>
      <x:c r="Z1401" s="44" t="str">
        <x:v>/jcs4</x:v>
      </x:c>
      <x:c r="AA1401" s="45" t="b">
        <x:v>1</x:v>
      </x:c>
      <x:c r="AB1401" s="43"/>
      <x:c r="AC1401" s="34" t="str">
        <x:v>article1-unified-v4-2-fb3f101b-20260903-000401-default-f06-p5-jcs4-1-after-undeploy-final-10s-heap-info.txt</x:v>
      </x:c>
      <x:c r="AD1401" s="34" t="str">
        <x:v>article1-unified-v4-2-fb3f101b-20260903-000401-default-f06-p5-jcs4-1-after-undeploy-final-10s-classloader-stats.txt</x:v>
      </x:c>
      <x:c r="AE1401" s="34" t="str">
        <x:v>article1-unified-v4-2-fb3f101b-20260903-000401-default-f06-p5-jcs4-1-after-undeploy-final-10s-thread-dump.txt</x:v>
      </x:c>
      <x:c r="AF1401" s="34"/>
      <x:c r="AG1401" s="34" t="str">
        <x:v>article1-unified-v4-2-fb3f101b-20260903-000401-default-f06-p5-jcs4-1-after-undeploy-final-10s-native-memory.txt</x:v>
      </x:c>
      <x:c r="AH1401" s="34" t="str">
        <x:v>article1-unified-v4-2-fb3f101b-20260903-000401-default-f06-p5-jcs4-1-after-undeploy-final-10s-class-histogram.txt</x:v>
      </x:c>
      <x:c r="AI1401" s="34" t="str">
        <x:v>article1-unified-v4-2-fb3f101b-20260903-000401-default-f06-p5-jcs4-1-after-undeploy-tomcat-findleaks.txt</x:v>
      </x:c>
    </x:row>
    <x:row r="1402">
      <x:c r="A1402" s="34" t="str">
        <x:v>article1-unified-v4-2-fb3f101b-20260903-000401-default-f06-p5-jcs4</x:v>
      </x:c>
      <x:c r="B1402" s="34" t="str">
        <x:v>default</x:v>
      </x:c>
      <x:c r="C1402" s="34" t="str">
        <x:v>jcs4</x:v>
      </x:c>
      <x:c r="D1402" s="34" t="str">
        <x:v>jcs4</x:v>
      </x:c>
      <x:c r="E1402" s="36" t="n">
        <x:v>6</x:v>
      </x:c>
      <x:c r="F1402" s="36" t="n">
        <x:v>6</x:v>
      </x:c>
      <x:c r="G1402" s="36" t="n">
        <x:v>5</x:v>
      </x:c>
      <x:c r="H1402" s="36" t="n">
        <x:v>1</x:v>
      </x:c>
      <x:c r="I1402" s="34" t="str">
        <x:v>redeployedLoaded</x:v>
      </x:c>
      <x:c r="J1402" s="34" t="str">
        <x:v>redeployed-loaded</x:v>
      </x:c>
      <x:c r="K1402" s="36" t="n">
        <x:v>0</x:v>
      </x:c>
      <x:c r="L1402" s="34" t="str">
        <x:v>redeploy</x:v>
      </x:c>
      <x:c r="M1402" s="34" t="str">
        <x:v>article1-unified-v4-2-fb3f101b-20260903-000401-default-f06-p5-jcs4-1-redeployed-loaded</x:v>
      </x:c>
      <x:c r="N1402" s="38" t="n">
        <x:v>46268.114995462965</x:v>
      </x:c>
      <x:c r="O1402" s="36" t="n">
        <x:v>0</x:v>
      </x:c>
      <x:c r="P1402" s="43" t="n">
        <x:v>162914304</x:v>
      </x:c>
      <x:c r="Q1402" s="43" t="n">
        <x:v>268435456</x:v>
      </x:c>
      <x:c r="R1402" s="43" t="n">
        <x:v>438876160</x:v>
      </x:c>
      <x:c r="S1402" s="36" t="n">
        <x:v>3</x:v>
      </x:c>
      <x:c r="T1402" s="44" t="str">
        <x:v>0x0000000049116bd8  0x0000000049003818  0x000078b03805ee00    4415  20941824  20932744  org.apache.catalina.loader.ParallelWebappClassLoader | 0x0000000049116bd8  0x0000000049003818  0x000078b0dc5f8ea0       0         0         0  org.apache.catalina.loader.ParallelWebappClassLoader | 0x0000000049116bd8  0x0000000049003818  0x000078b02c450a70    4395  20969472  20948400  org.apache.catalina.loader.ParallelWebappClassLoader</x:v>
      </x:c>
      <x:c r="U1402" s="36" t="n">
        <x:v>28</x:v>
      </x:c>
      <x:c r="V1402" s="36" t="n">
        <x:v>1</x:v>
      </x:c>
      <x:c r="W1402" s="44" t="str">
        <x:v>jcs4-thread-pool-event-queue:JCS-ThreadPoolManager-ElementEventQueue-Thread-7#91</x:v>
      </x:c>
      <x:c r="X1402" s="36"/>
      <x:c r="Y1402" s="36"/>
      <x:c r="Z1402" s="44"/>
      <x:c r="AA1402" s="49"/>
      <x:c r="AB1402" s="43"/>
      <x:c r="AC1402" s="34"/>
      <x:c r="AD1402" s="34"/>
      <x:c r="AE1402" s="34"/>
      <x:c r="AF1402" s="34"/>
      <x:c r="AG1402" s="34"/>
      <x:c r="AH1402" s="34"/>
      <x:c r="AI1402" s="34"/>
    </x:row>
    <x:row r="1403">
      <x:c r="A1403" s="34" t="str">
        <x:v>article1-unified-v4-2-fb3f101b-20260903-000401-default-f06-p5-jcs4</x:v>
      </x:c>
      <x:c r="B1403" s="34" t="str">
        <x:v>default</x:v>
      </x:c>
      <x:c r="C1403" s="34" t="str">
        <x:v>jcs4</x:v>
      </x:c>
      <x:c r="D1403" s="34" t="str">
        <x:v>jcs4</x:v>
      </x:c>
      <x:c r="E1403" s="36" t="n">
        <x:v>6</x:v>
      </x:c>
      <x:c r="F1403" s="36" t="n">
        <x:v>6</x:v>
      </x:c>
      <x:c r="G1403" s="36" t="n">
        <x:v>5</x:v>
      </x:c>
      <x:c r="H1403" s="36" t="n">
        <x:v>1</x:v>
      </x:c>
      <x:c r="I1403" s="34" t="str">
        <x:v>afterFinalUndeployEarly</x:v>
      </x:c>
      <x:c r="J1403" s="34" t="str">
        <x:v>after-final-undeploy-early</x:v>
      </x:c>
      <x:c r="K1403" s="36" t="n">
        <x:v>2</x:v>
      </x:c>
      <x:c r="L1403" s="34" t="str">
        <x:v>early</x:v>
      </x:c>
      <x:c r="M1403" s="34" t="str">
        <x:v>article1-unified-v4-2-fb3f101b-20260903-000401-default-f06-p5-jcs4-1-after-final-undeploy-early-2s</x:v>
      </x:c>
      <x:c r="N1403" s="38" t="n">
        <x:v>46268.115079270836</x:v>
      </x:c>
      <x:c r="O1403" s="36"/>
      <x:c r="P1403" s="43"/>
      <x:c r="Q1403" s="43"/>
      <x:c r="R1403" s="43"/>
      <x:c r="S1403" s="36"/>
      <x:c r="T1403" s="44"/>
      <x:c r="U1403" s="36" t="n">
        <x:v>27</x:v>
      </x:c>
      <x:c r="V1403" s="36" t="n">
        <x:v>0</x:v>
      </x:c>
      <x:c r="W1403" s="44"/>
      <x:c r="X1403" s="36"/>
      <x:c r="Y1403" s="36"/>
      <x:c r="Z1403" s="44"/>
      <x:c r="AA1403" s="49"/>
      <x:c r="AB1403" s="43" t="n">
        <x:v>5</x:v>
      </x:c>
      <x:c r="AC1403" s="34"/>
      <x:c r="AD1403" s="34"/>
      <x:c r="AE1403" s="34" t="str">
        <x:v>article1-unified-v4-2-fb3f101b-20260903-000401-default-f06-p5-jcs4-1-after-final-undeploy-early-2s-thread-dump.txt</x:v>
      </x:c>
      <x:c r="AF1403" s="34" t="str">
        <x:v>article1-unified-v4-2-fb3f101b-20260903-000401-default-f06-p5-jcs4-1-after-final-undeploy-early-tomcat-log.txt</x:v>
      </x:c>
      <x:c r="AG1403" s="34"/>
      <x:c r="AH1403" s="34"/>
      <x:c r="AI1403" s="34"/>
    </x:row>
    <x:row r="1404">
      <x:c r="A1404" s="34" t="str">
        <x:v>article1-unified-v4-2-fb3f101b-20260903-000401-default-f06-p5-jcs4</x:v>
      </x:c>
      <x:c r="B1404" s="34" t="str">
        <x:v>default</x:v>
      </x:c>
      <x:c r="C1404" s="34" t="str">
        <x:v>jcs4</x:v>
      </x:c>
      <x:c r="D1404" s="34" t="str">
        <x:v>jcs4</x:v>
      </x:c>
      <x:c r="E1404" s="36" t="n">
        <x:v>6</x:v>
      </x:c>
      <x:c r="F1404" s="36" t="n">
        <x:v>6</x:v>
      </x:c>
      <x:c r="G1404" s="36" t="n">
        <x:v>5</x:v>
      </x:c>
      <x:c r="H1404" s="36" t="n">
        <x:v>1</x:v>
      </x:c>
      <x:c r="I1404" s="34" t="str">
        <x:v>afterFinalUndeploy</x:v>
      </x:c>
      <x:c r="J1404" s="34" t="str">
        <x:v>after-final-undeploy-final</x:v>
      </x:c>
      <x:c r="K1404" s="36" t="n">
        <x:v>2</x:v>
      </x:c>
      <x:c r="L1404" s="34" t="str">
        <x:v>final</x:v>
      </x:c>
      <x:c r="M1404" s="34" t="str">
        <x:v>article1-unified-v4-2-fb3f101b-20260903-000401-default-f06-p5-jcs4-1-after-final-undeploy-final-10s</x:v>
      </x:c>
      <x:c r="N1404" s="38" t="n">
        <x:v>46268.115232951386</x:v>
      </x:c>
      <x:c r="O1404" s="36" t="n">
        <x:v>2</x:v>
      </x:c>
      <x:c r="P1404" s="43" t="n">
        <x:v>15638528</x:v>
      </x:c>
      <x:c r="Q1404" s="43" t="n">
        <x:v>268435456</x:v>
      </x:c>
      <x:c r="R1404" s="43" t="n">
        <x:v>417788928</x:v>
      </x:c>
      <x:c r="S1404" s="36" t="n">
        <x:v>2</x:v>
      </x:c>
      <x:c r="T1404" s="44" t="str">
        <x:v>0x0000000049116bd8  0x0000000049003818  0x000078b0dc5f8ea0       0         0         0  org.apache.catalina.loader.ParallelWebappClassLoader | 0x0000000049116bd8  0x0000000049003818  0x000078b02c450a70    4409  21002240  20983744  org.apache.catalina.loader.ParallelWebappClassLoader</x:v>
      </x:c>
      <x:c r="U1404" s="36" t="n">
        <x:v>27</x:v>
      </x:c>
      <x:c r="V1404" s="36" t="n">
        <x:v>0</x:v>
      </x:c>
      <x:c r="W1404" s="44"/>
      <x:c r="X1404" s="36" t="n">
        <x:v>1</x:v>
      </x:c>
      <x:c r="Y1404" s="36" t="n">
        <x:v>1</x:v>
      </x:c>
      <x:c r="Z1404" s="44" t="str">
        <x:v>/jcs4</x:v>
      </x:c>
      <x:c r="AA1404" s="45" t="b">
        <x:v>1</x:v>
      </x:c>
      <x:c r="AB1404" s="43"/>
      <x:c r="AC1404" s="34" t="str">
        <x:v>article1-unified-v4-2-fb3f101b-20260903-000401-default-f06-p5-jcs4-1-after-final-undeploy-final-10s-heap-info.txt</x:v>
      </x:c>
      <x:c r="AD1404" s="34" t="str">
        <x:v>article1-unified-v4-2-fb3f101b-20260903-000401-default-f06-p5-jcs4-1-after-final-undeploy-final-10s-classloader-stats.txt</x:v>
      </x:c>
      <x:c r="AE1404" s="34" t="str">
        <x:v>article1-unified-v4-2-fb3f101b-20260903-000401-default-f06-p5-jcs4-1-after-final-undeploy-final-10s-thread-dump.txt</x:v>
      </x:c>
      <x:c r="AF1404" s="34"/>
      <x:c r="AG1404" s="34" t="str">
        <x:v>article1-unified-v4-2-fb3f101b-20260903-000401-default-f06-p5-jcs4-1-after-final-undeploy-final-10s-native-memory.txt</x:v>
      </x:c>
      <x:c r="AH1404" s="34" t="str">
        <x:v>article1-unified-v4-2-fb3f101b-20260903-000401-default-f06-p5-jcs4-1-after-final-undeploy-final-10s-class-histogram.txt</x:v>
      </x:c>
      <x:c r="AI1404" s="34" t="str">
        <x:v>article1-unified-v4-2-fb3f101b-20260903-000401-default-f06-p5-jcs4-1-after-final-undeploy-tomcat-findleaks.txt</x:v>
      </x:c>
    </x:row>
    <x:row r="1405">
      <x:c r="A1405" s="34" t="str">
        <x:v>article1-unified-v4-2-fb3f101b-20260903-000401-default-f06-p5-jcs4</x:v>
      </x:c>
      <x:c r="B1405" s="34" t="str">
        <x:v>default</x:v>
      </x:c>
      <x:c r="C1405" s="34" t="str">
        <x:v>jcs4</x:v>
      </x:c>
      <x:c r="D1405" s="34" t="str">
        <x:v>jcs4</x:v>
      </x:c>
      <x:c r="E1405" s="36" t="n">
        <x:v>6</x:v>
      </x:c>
      <x:c r="F1405" s="36" t="n">
        <x:v>6</x:v>
      </x:c>
      <x:c r="G1405" s="36" t="n">
        <x:v>5</x:v>
      </x:c>
      <x:c r="H1405" s="36" t="n">
        <x:v>2</x:v>
      </x:c>
      <x:c r="I1405" s="34" t="str">
        <x:v>baseline</x:v>
      </x:c>
      <x:c r="J1405" s="34" t="str">
        <x:v>cycle-baseline</x:v>
      </x:c>
      <x:c r="K1405" s="36" t="n">
        <x:v>0</x:v>
      </x:c>
      <x:c r="L1405" s="34" t="str">
        <x:v>baseline</x:v>
      </x:c>
      <x:c r="M1405" s="34" t="str">
        <x:v>article1-unified-v4-2-fb3f101b-20260903-000401-default-f06-p5-jcs4-2-baseline</x:v>
      </x:c>
      <x:c r="N1405" s="38" t="n">
        <x:v>46268.115274375</x:v>
      </x:c>
      <x:c r="O1405" s="36" t="n">
        <x:v>0</x:v>
      </x:c>
      <x:c r="P1405" s="43" t="n">
        <x:v>15663104</x:v>
      </x:c>
      <x:c r="Q1405" s="43" t="n">
        <x:v>268435456</x:v>
      </x:c>
      <x:c r="R1405" s="43" t="n">
        <x:v>417676288</x:v>
      </x:c>
      <x:c r="S1405" s="36" t="n">
        <x:v>2</x:v>
      </x:c>
      <x:c r="T1405" s="44" t="str">
        <x:v>0x0000000049116bd8  0x0000000049003818  0x000078b0dc5f8ea0       0         0         0  org.apache.catalina.loader.ParallelWebappClassLoader | 0x0000000049116bd8  0x0000000049003818  0x000078b02c450a70    4409  21002240  20983744  org.apache.catalina.loader.ParallelWebappClassLoader</x:v>
      </x:c>
      <x:c r="U1405" s="36" t="n">
        <x:v>27</x:v>
      </x:c>
      <x:c r="V1405" s="36" t="n">
        <x:v>0</x:v>
      </x:c>
      <x:c r="W1405" s="44"/>
      <x:c r="X1405" s="36"/>
      <x:c r="Y1405" s="36"/>
      <x:c r="Z1405" s="44"/>
      <x:c r="AA1405" s="49"/>
      <x:c r="AB1405" s="43"/>
      <x:c r="AC1405" s="34" t="str">
        <x:v>article1-unified-v4-2-fb3f101b-20260903-000401-default-f06-p5-jcs4-2-baseline-heap-info.txt</x:v>
      </x:c>
      <x:c r="AD1405" s="34" t="str">
        <x:v>article1-unified-v4-2-fb3f101b-20260903-000401-default-f06-p5-jcs4-2-baseline-classloader-stats.txt</x:v>
      </x:c>
      <x:c r="AE1405" s="34" t="str">
        <x:v>article1-unified-v4-2-fb3f101b-20260903-000401-default-f06-p5-jcs4-2-baseline-thread-dump.txt</x:v>
      </x:c>
      <x:c r="AF1405" s="34"/>
      <x:c r="AG1405" s="34" t="str">
        <x:v>article1-unified-v4-2-fb3f101b-20260903-000401-default-f06-p5-jcs4-2-baseline-native-memory.txt</x:v>
      </x:c>
      <x:c r="AH1405" s="34"/>
      <x:c r="AI1405" s="34"/>
    </x:row>
    <x:row r="1406">
      <x:c r="A1406" s="34" t="str">
        <x:v>article1-unified-v4-2-fb3f101b-20260903-000401-default-f06-p5-jcs4</x:v>
      </x:c>
      <x:c r="B1406" s="34" t="str">
        <x:v>default</x:v>
      </x:c>
      <x:c r="C1406" s="34" t="str">
        <x:v>jcs4</x:v>
      </x:c>
      <x:c r="D1406" s="34" t="str">
        <x:v>jcs4</x:v>
      </x:c>
      <x:c r="E1406" s="36" t="n">
        <x:v>6</x:v>
      </x:c>
      <x:c r="F1406" s="36" t="n">
        <x:v>6</x:v>
      </x:c>
      <x:c r="G1406" s="36" t="n">
        <x:v>5</x:v>
      </x:c>
      <x:c r="H1406" s="36" t="n">
        <x:v>2</x:v>
      </x:c>
      <x:c r="I1406" s="34" t="str">
        <x:v>deployedIdle</x:v>
      </x:c>
      <x:c r="J1406" s="34" t="str">
        <x:v>deployed-idle</x:v>
      </x:c>
      <x:c r="K1406" s="36" t="n">
        <x:v>0</x:v>
      </x:c>
      <x:c r="L1406" s="34" t="str">
        <x:v>initial</x:v>
      </x:c>
      <x:c r="M1406" s="34" t="str">
        <x:v>article1-unified-v4-2-fb3f101b-20260903-000401-default-f06-p5-jcs4-2-deployed-idle</x:v>
      </x:c>
      <x:c r="N1406" s="38" t="n">
        <x:v>46268.11537528935</x:v>
      </x:c>
      <x:c r="O1406" s="36" t="n">
        <x:v>0</x:v>
      </x:c>
      <x:c r="P1406" s="43" t="n">
        <x:v>168036352</x:v>
      </x:c>
      <x:c r="Q1406" s="43" t="n">
        <x:v>268435456</x:v>
      </x:c>
      <x:c r="R1406" s="43" t="n">
        <x:v>435603456</x:v>
      </x:c>
      <x:c r="S1406" s="36" t="n">
        <x:v>3</x:v>
      </x:c>
      <x:c r="T1406" s="44" t="str">
        <x:v>0x0000000049116bd8  0x0000000049003818  0x000078b0dc5f8ea0       0         0         0  org.apache.catalina.loader.ParallelWebappClassLoader | 0x0000000049116bd8  0x0000000049003818  0x000078b02c450a70    4409  21002240  20983744  org.apache.catalina.loader.ParallelWebappClassLoader | 0x0000000049116bd8  0x0000000049003818  0x000078b050018950    4091  19438592  19428856  org.apache.catalina.loader.ParallelWebappClassLoader</x:v>
      </x:c>
      <x:c r="U1406" s="36" t="n">
        <x:v>27</x:v>
      </x:c>
      <x:c r="V1406" s="36" t="n">
        <x:v>0</x:v>
      </x:c>
      <x:c r="W1406" s="44"/>
      <x:c r="X1406" s="36"/>
      <x:c r="Y1406" s="36"/>
      <x:c r="Z1406" s="44"/>
      <x:c r="AA1406" s="49"/>
      <x:c r="AB1406" s="43"/>
      <x:c r="AC1406" s="34"/>
      <x:c r="AD1406" s="34"/>
      <x:c r="AE1406" s="34"/>
      <x:c r="AF1406" s="34"/>
      <x:c r="AG1406" s="34"/>
      <x:c r="AH1406" s="34"/>
      <x:c r="AI1406" s="34"/>
    </x:row>
    <x:row r="1407">
      <x:c r="A1407" s="34" t="str">
        <x:v>article1-unified-v4-2-fb3f101b-20260903-000401-default-f06-p5-jcs4</x:v>
      </x:c>
      <x:c r="B1407" s="34" t="str">
        <x:v>default</x:v>
      </x:c>
      <x:c r="C1407" s="34" t="str">
        <x:v>jcs4</x:v>
      </x:c>
      <x:c r="D1407" s="34" t="str">
        <x:v>jcs4</x:v>
      </x:c>
      <x:c r="E1407" s="36" t="n">
        <x:v>6</x:v>
      </x:c>
      <x:c r="F1407" s="36" t="n">
        <x:v>6</x:v>
      </x:c>
      <x:c r="G1407" s="36" t="n">
        <x:v>5</x:v>
      </x:c>
      <x:c r="H1407" s="36" t="n">
        <x:v>2</x:v>
      </x:c>
      <x:c r="I1407" s="34" t="str">
        <x:v>loaded</x:v>
      </x:c>
      <x:c r="J1407" s="34" t="str">
        <x:v>loaded</x:v>
      </x:c>
      <x:c r="K1407" s="36" t="n">
        <x:v>0</x:v>
      </x:c>
      <x:c r="L1407" s="34" t="str">
        <x:v>initial</x:v>
      </x:c>
      <x:c r="M1407" s="34" t="str">
        <x:v>article1-unified-v4-2-fb3f101b-20260903-000401-default-f06-p5-jcs4-2-loaded</x:v>
      </x:c>
      <x:c r="N1407" s="38" t="n">
        <x:v>46268.115523229164</x:v>
      </x:c>
      <x:c r="O1407" s="36" t="n">
        <x:v>0</x:v>
      </x:c>
      <x:c r="P1407" s="43" t="n">
        <x:v>166972416</x:v>
      </x:c>
      <x:c r="Q1407" s="43" t="n">
        <x:v>268435456</x:v>
      </x:c>
      <x:c r="R1407" s="43" t="n">
        <x:v>439761920</x:v>
      </x:c>
      <x:c r="S1407" s="36" t="n">
        <x:v>3</x:v>
      </x:c>
      <x:c r="T1407" s="44" t="str">
        <x:v>0x0000000049116bd8  0x0000000049003818  0x000078b0dc5f8ea0       0         0         0  org.apache.catalina.loader.ParallelWebappClassLoader | 0x0000000049116bd8  0x0000000049003818  0x000078b02c450a70    4409  21002240  20983744  org.apache.catalina.loader.ParallelWebappClassLoader | 0x0000000049116bd8  0x0000000049003818  0x000078b050018950    4393  20966400  20942704  org.apache.catalina.loader.ParallelWebappClassLoader</x:v>
      </x:c>
      <x:c r="U1407" s="36" t="n">
        <x:v>28</x:v>
      </x:c>
      <x:c r="V1407" s="36" t="n">
        <x:v>1</x:v>
      </x:c>
      <x:c r="W1407" s="44" t="str">
        <x:v>jcs4-thread-pool-event-queue:JCS-ThreadPoolManager-ElementEventQueue-Thread-10#133</x:v>
      </x:c>
      <x:c r="X1407" s="36"/>
      <x:c r="Y1407" s="36"/>
      <x:c r="Z1407" s="44"/>
      <x:c r="AA1407" s="49"/>
      <x:c r="AB1407" s="43"/>
      <x:c r="AC1407" s="34"/>
      <x:c r="AD1407" s="34"/>
      <x:c r="AE1407" s="34"/>
      <x:c r="AF1407" s="34"/>
      <x:c r="AG1407" s="34"/>
      <x:c r="AH1407" s="34"/>
      <x:c r="AI1407" s="34"/>
    </x:row>
    <x:row r="1408">
      <x:c r="A1408" s="34" t="str">
        <x:v>article1-unified-v4-2-fb3f101b-20260903-000401-default-f06-p5-jcs4</x:v>
      </x:c>
      <x:c r="B1408" s="34" t="str">
        <x:v>default</x:v>
      </x:c>
      <x:c r="C1408" s="34" t="str">
        <x:v>jcs4</x:v>
      </x:c>
      <x:c r="D1408" s="34" t="str">
        <x:v>jcs4</x:v>
      </x:c>
      <x:c r="E1408" s="36" t="n">
        <x:v>6</x:v>
      </x:c>
      <x:c r="F1408" s="36" t="n">
        <x:v>6</x:v>
      </x:c>
      <x:c r="G1408" s="36" t="n">
        <x:v>5</x:v>
      </x:c>
      <x:c r="H1408" s="36" t="n">
        <x:v>2</x:v>
      </x:c>
      <x:c r="I1408" s="34" t="str">
        <x:v>afterUndeployEarly</x:v>
      </x:c>
      <x:c r="J1408" s="34" t="str">
        <x:v>after-undeploy-early</x:v>
      </x:c>
      <x:c r="K1408" s="36" t="n">
        <x:v>1</x:v>
      </x:c>
      <x:c r="L1408" s="34" t="str">
        <x:v>early</x:v>
      </x:c>
      <x:c r="M1408" s="34" t="str">
        <x:v>article1-unified-v4-2-fb3f101b-20260903-000401-default-f06-p5-jcs4-2-after-undeploy-early-2s</x:v>
      </x:c>
      <x:c r="N1408" s="38" t="n">
        <x:v>46268.11560722222</x:v>
      </x:c>
      <x:c r="O1408" s="36"/>
      <x:c r="P1408" s="43"/>
      <x:c r="Q1408" s="43"/>
      <x:c r="R1408" s="43"/>
      <x:c r="S1408" s="36"/>
      <x:c r="T1408" s="44"/>
      <x:c r="U1408" s="36" t="n">
        <x:v>27</x:v>
      </x:c>
      <x:c r="V1408" s="36" t="n">
        <x:v>0</x:v>
      </x:c>
      <x:c r="W1408" s="44"/>
      <x:c r="X1408" s="36"/>
      <x:c r="Y1408" s="36"/>
      <x:c r="Z1408" s="44"/>
      <x:c r="AA1408" s="49"/>
      <x:c r="AB1408" s="43" t="n">
        <x:v>5</x:v>
      </x:c>
      <x:c r="AC1408" s="34"/>
      <x:c r="AD1408" s="34"/>
      <x:c r="AE1408" s="34" t="str">
        <x:v>article1-unified-v4-2-fb3f101b-20260903-000401-default-f06-p5-jcs4-2-after-undeploy-early-2s-thread-dump.txt</x:v>
      </x:c>
      <x:c r="AF1408" s="34" t="str">
        <x:v>article1-unified-v4-2-fb3f101b-20260903-000401-default-f06-p5-jcs4-2-after-undeploy-early-tomcat-log.txt</x:v>
      </x:c>
      <x:c r="AG1408" s="34"/>
      <x:c r="AH1408" s="34"/>
      <x:c r="AI1408" s="34"/>
    </x:row>
    <x:row r="1409">
      <x:c r="A1409" s="34" t="str">
        <x:v>article1-unified-v4-2-fb3f101b-20260903-000401-default-f06-p5-jcs4</x:v>
      </x:c>
      <x:c r="B1409" s="34" t="str">
        <x:v>default</x:v>
      </x:c>
      <x:c r="C1409" s="34" t="str">
        <x:v>jcs4</x:v>
      </x:c>
      <x:c r="D1409" s="34" t="str">
        <x:v>jcs4</x:v>
      </x:c>
      <x:c r="E1409" s="36" t="n">
        <x:v>6</x:v>
      </x:c>
      <x:c r="F1409" s="36" t="n">
        <x:v>6</x:v>
      </x:c>
      <x:c r="G1409" s="36" t="n">
        <x:v>5</x:v>
      </x:c>
      <x:c r="H1409" s="36" t="n">
        <x:v>2</x:v>
      </x:c>
      <x:c r="I1409" s="34" t="str">
        <x:v>afterUndeploy</x:v>
      </x:c>
      <x:c r="J1409" s="34" t="str">
        <x:v>after-undeploy-final</x:v>
      </x:c>
      <x:c r="K1409" s="36" t="n">
        <x:v>1</x:v>
      </x:c>
      <x:c r="L1409" s="34" t="str">
        <x:v>final</x:v>
      </x:c>
      <x:c r="M1409" s="34" t="str">
        <x:v>article1-unified-v4-2-fb3f101b-20260903-000401-default-f06-p5-jcs4-2-after-undeploy-final-10s</x:v>
      </x:c>
      <x:c r="N1409" s="38" t="n">
        <x:v>46268.11575665509</x:v>
      </x:c>
      <x:c r="O1409" s="36" t="n">
        <x:v>2</x:v>
      </x:c>
      <x:c r="P1409" s="43" t="n">
        <x:v>15746048</x:v>
      </x:c>
      <x:c r="Q1409" s="43" t="n">
        <x:v>268435456</x:v>
      </x:c>
      <x:c r="R1409" s="43" t="n">
        <x:v>416604160</x:v>
      </x:c>
      <x:c r="S1409" s="36" t="n">
        <x:v>2</x:v>
      </x:c>
      <x:c r="T1409" s="44" t="str">
        <x:v>0x0000000049116bd8  0x0000000049003818  0x000078b0dc5f8ea0       0         0         0  org.apache.catalina.loader.ParallelWebappClassLoader | 0x0000000049116bd8  0x0000000049003818  0x000078b050018950    4407  20999168  20978056  org.apache.catalina.loader.ParallelWebappClassLoader</x:v>
      </x:c>
      <x:c r="U1409" s="36" t="n">
        <x:v>27</x:v>
      </x:c>
      <x:c r="V1409" s="36" t="n">
        <x:v>0</x:v>
      </x:c>
      <x:c r="W1409" s="44"/>
      <x:c r="X1409" s="36" t="n">
        <x:v>1</x:v>
      </x:c>
      <x:c r="Y1409" s="36" t="n">
        <x:v>1</x:v>
      </x:c>
      <x:c r="Z1409" s="44" t="str">
        <x:v>/jcs4</x:v>
      </x:c>
      <x:c r="AA1409" s="45" t="b">
        <x:v>1</x:v>
      </x:c>
      <x:c r="AB1409" s="43"/>
      <x:c r="AC1409" s="34" t="str">
        <x:v>article1-unified-v4-2-fb3f101b-20260903-000401-default-f06-p5-jcs4-2-after-undeploy-final-10s-heap-info.txt</x:v>
      </x:c>
      <x:c r="AD1409" s="34" t="str">
        <x:v>article1-unified-v4-2-fb3f101b-20260903-000401-default-f06-p5-jcs4-2-after-undeploy-final-10s-classloader-stats.txt</x:v>
      </x:c>
      <x:c r="AE1409" s="34" t="str">
        <x:v>article1-unified-v4-2-fb3f101b-20260903-000401-default-f06-p5-jcs4-2-after-undeploy-final-10s-thread-dump.txt</x:v>
      </x:c>
      <x:c r="AF1409" s="34"/>
      <x:c r="AG1409" s="34" t="str">
        <x:v>article1-unified-v4-2-fb3f101b-20260903-000401-default-f06-p5-jcs4-2-after-undeploy-final-10s-native-memory.txt</x:v>
      </x:c>
      <x:c r="AH1409" s="34" t="str">
        <x:v>article1-unified-v4-2-fb3f101b-20260903-000401-default-f06-p5-jcs4-2-after-undeploy-final-10s-class-histogram.txt</x:v>
      </x:c>
      <x:c r="AI1409" s="34" t="str">
        <x:v>article1-unified-v4-2-fb3f101b-20260903-000401-default-f06-p5-jcs4-2-after-undeploy-tomcat-findleaks.txt</x:v>
      </x:c>
    </x:row>
    <x:row r="1410">
      <x:c r="A1410" s="34" t="str">
        <x:v>article1-unified-v4-2-fb3f101b-20260903-000401-default-f06-p5-jcs4</x:v>
      </x:c>
      <x:c r="B1410" s="34" t="str">
        <x:v>default</x:v>
      </x:c>
      <x:c r="C1410" s="34" t="str">
        <x:v>jcs4</x:v>
      </x:c>
      <x:c r="D1410" s="34" t="str">
        <x:v>jcs4</x:v>
      </x:c>
      <x:c r="E1410" s="36" t="n">
        <x:v>6</x:v>
      </x:c>
      <x:c r="F1410" s="36" t="n">
        <x:v>6</x:v>
      </x:c>
      <x:c r="G1410" s="36" t="n">
        <x:v>5</x:v>
      </x:c>
      <x:c r="H1410" s="36" t="n">
        <x:v>2</x:v>
      </x:c>
      <x:c r="I1410" s="34" t="str">
        <x:v>redeployedLoaded</x:v>
      </x:c>
      <x:c r="J1410" s="34" t="str">
        <x:v>redeployed-loaded</x:v>
      </x:c>
      <x:c r="K1410" s="36" t="n">
        <x:v>0</x:v>
      </x:c>
      <x:c r="L1410" s="34" t="str">
        <x:v>redeploy</x:v>
      </x:c>
      <x:c r="M1410" s="34" t="str">
        <x:v>article1-unified-v4-2-fb3f101b-20260903-000401-default-f06-p5-jcs4-2-redeployed-loaded</x:v>
      </x:c>
      <x:c r="N1410" s="38" t="n">
        <x:v>46268.116013576386</x:v>
      </x:c>
      <x:c r="O1410" s="36" t="n">
        <x:v>0</x:v>
      </x:c>
      <x:c r="P1410" s="43" t="n">
        <x:v>155742208</x:v>
      </x:c>
      <x:c r="Q1410" s="43" t="n">
        <x:v>268435456</x:v>
      </x:c>
      <x:c r="R1410" s="43" t="n">
        <x:v>439045120</x:v>
      </x:c>
      <x:c r="S1410" s="36" t="n">
        <x:v>3</x:v>
      </x:c>
      <x:c r="T1410" s="44" t="str">
        <x:v>0x0000000049116bd8  0x0000000049003818  0x000078b0dc5f8ea0       0         0         0  org.apache.catalina.loader.ParallelWebappClassLoader | 0x0000000049116bd8  0x0000000049003818  0x000078b050018950    4407  20999168  20978056  org.apache.catalina.loader.ParallelWebappClassLoader | 0x0000000049116bd8  0x0000000049003818  0x000078b010019a60    4392  20945920  20933792  org.apache.catalina.loader.ParallelWebappClassLoader</x:v>
      </x:c>
      <x:c r="U1410" s="36" t="n">
        <x:v>28</x:v>
      </x:c>
      <x:c r="V1410" s="36" t="n">
        <x:v>1</x:v>
      </x:c>
      <x:c r="W1410" s="44" t="str">
        <x:v>jcs4-thread-pool-event-queue:JCS-ThreadPoolManager-ElementEventQueue-Thread-13#176</x:v>
      </x:c>
      <x:c r="X1410" s="36"/>
      <x:c r="Y1410" s="36"/>
      <x:c r="Z1410" s="44"/>
      <x:c r="AA1410" s="49"/>
      <x:c r="AB1410" s="43"/>
      <x:c r="AC1410" s="34"/>
      <x:c r="AD1410" s="34"/>
      <x:c r="AE1410" s="34"/>
      <x:c r="AF1410" s="34"/>
      <x:c r="AG1410" s="34"/>
      <x:c r="AH1410" s="34"/>
      <x:c r="AI1410" s="34"/>
    </x:row>
    <x:row r="1411">
      <x:c r="A1411" s="34" t="str">
        <x:v>article1-unified-v4-2-fb3f101b-20260903-000401-default-f06-p5-jcs4</x:v>
      </x:c>
      <x:c r="B1411" s="34" t="str">
        <x:v>default</x:v>
      </x:c>
      <x:c r="C1411" s="34" t="str">
        <x:v>jcs4</x:v>
      </x:c>
      <x:c r="D1411" s="34" t="str">
        <x:v>jcs4</x:v>
      </x:c>
      <x:c r="E1411" s="36" t="n">
        <x:v>6</x:v>
      </x:c>
      <x:c r="F1411" s="36" t="n">
        <x:v>6</x:v>
      </x:c>
      <x:c r="G1411" s="36" t="n">
        <x:v>5</x:v>
      </x:c>
      <x:c r="H1411" s="36" t="n">
        <x:v>2</x:v>
      </x:c>
      <x:c r="I1411" s="34" t="str">
        <x:v>afterFinalUndeployEarly</x:v>
      </x:c>
      <x:c r="J1411" s="34" t="str">
        <x:v>after-final-undeploy-early</x:v>
      </x:c>
      <x:c r="K1411" s="36" t="n">
        <x:v>2</x:v>
      </x:c>
      <x:c r="L1411" s="34" t="str">
        <x:v>early</x:v>
      </x:c>
      <x:c r="M1411" s="34" t="str">
        <x:v>article1-unified-v4-2-fb3f101b-20260903-000401-default-f06-p5-jcs4-2-after-final-undeploy-early-2s</x:v>
      </x:c>
      <x:c r="N1411" s="38" t="n">
        <x:v>46268.11609821759</x:v>
      </x:c>
      <x:c r="O1411" s="36"/>
      <x:c r="P1411" s="43"/>
      <x:c r="Q1411" s="43"/>
      <x:c r="R1411" s="43"/>
      <x:c r="S1411" s="36"/>
      <x:c r="T1411" s="44"/>
      <x:c r="U1411" s="36" t="n">
        <x:v>27</x:v>
      </x:c>
      <x:c r="V1411" s="36" t="n">
        <x:v>0</x:v>
      </x:c>
      <x:c r="W1411" s="44"/>
      <x:c r="X1411" s="36"/>
      <x:c r="Y1411" s="36"/>
      <x:c r="Z1411" s="44"/>
      <x:c r="AA1411" s="49"/>
      <x:c r="AB1411" s="43" t="n">
        <x:v>5</x:v>
      </x:c>
      <x:c r="AC1411" s="34"/>
      <x:c r="AD1411" s="34"/>
      <x:c r="AE1411" s="34" t="str">
        <x:v>article1-unified-v4-2-fb3f101b-20260903-000401-default-f06-p5-jcs4-2-after-final-undeploy-early-2s-thread-dump.txt</x:v>
      </x:c>
      <x:c r="AF1411" s="34" t="str">
        <x:v>article1-unified-v4-2-fb3f101b-20260903-000401-default-f06-p5-jcs4-2-after-final-undeploy-early-tomcat-log.txt</x:v>
      </x:c>
      <x:c r="AG1411" s="34"/>
      <x:c r="AH1411" s="34"/>
      <x:c r="AI1411" s="34"/>
    </x:row>
    <x:row r="1412">
      <x:c r="A1412" s="34" t="str">
        <x:v>article1-unified-v4-2-fb3f101b-20260903-000401-default-f06-p5-jcs4</x:v>
      </x:c>
      <x:c r="B1412" s="34" t="str">
        <x:v>default</x:v>
      </x:c>
      <x:c r="C1412" s="34" t="str">
        <x:v>jcs4</x:v>
      </x:c>
      <x:c r="D1412" s="34" t="str">
        <x:v>jcs4</x:v>
      </x:c>
      <x:c r="E1412" s="36" t="n">
        <x:v>6</x:v>
      </x:c>
      <x:c r="F1412" s="36" t="n">
        <x:v>6</x:v>
      </x:c>
      <x:c r="G1412" s="36" t="n">
        <x:v>5</x:v>
      </x:c>
      <x:c r="H1412" s="36" t="n">
        <x:v>2</x:v>
      </x:c>
      <x:c r="I1412" s="34" t="str">
        <x:v>afterFinalUndeploy</x:v>
      </x:c>
      <x:c r="J1412" s="34" t="str">
        <x:v>after-final-undeploy-final</x:v>
      </x:c>
      <x:c r="K1412" s="36" t="n">
        <x:v>2</x:v>
      </x:c>
      <x:c r="L1412" s="34" t="str">
        <x:v>final</x:v>
      </x:c>
      <x:c r="M1412" s="34" t="str">
        <x:v>article1-unified-v4-2-fb3f101b-20260903-000401-default-f06-p5-jcs4-2-after-final-undeploy-final-10s</x:v>
      </x:c>
      <x:c r="N1412" s="38" t="n">
        <x:v>46268.11624877315</x:v>
      </x:c>
      <x:c r="O1412" s="36" t="n">
        <x:v>2</x:v>
      </x:c>
      <x:c r="P1412" s="43" t="n">
        <x:v>15725568</x:v>
      </x:c>
      <x:c r="Q1412" s="43" t="n">
        <x:v>268435456</x:v>
      </x:c>
      <x:c r="R1412" s="43" t="n">
        <x:v>421748736</x:v>
      </x:c>
      <x:c r="S1412" s="36" t="n">
        <x:v>2</x:v>
      </x:c>
      <x:c r="T1412" s="44" t="str">
        <x:v>0x0000000049116bd8  0x0000000049003818  0x000078b0dc5f8ea0       0         0         0  org.apache.catalina.loader.ParallelWebappClassLoader | 0x0000000049116bd8  0x0000000049003818  0x000078b010019a60    4406  20978688  20969152  org.apache.catalina.loader.ParallelWebappClassLoader</x:v>
      </x:c>
      <x:c r="U1412" s="36" t="n">
        <x:v>27</x:v>
      </x:c>
      <x:c r="V1412" s="36" t="n">
        <x:v>0</x:v>
      </x:c>
      <x:c r="W1412" s="44"/>
      <x:c r="X1412" s="36" t="n">
        <x:v>1</x:v>
      </x:c>
      <x:c r="Y1412" s="36" t="n">
        <x:v>1</x:v>
      </x:c>
      <x:c r="Z1412" s="44" t="str">
        <x:v>/jcs4</x:v>
      </x:c>
      <x:c r="AA1412" s="45" t="b">
        <x:v>1</x:v>
      </x:c>
      <x:c r="AB1412" s="43"/>
      <x:c r="AC1412" s="34" t="str">
        <x:v>article1-unified-v4-2-fb3f101b-20260903-000401-default-f06-p5-jcs4-2-after-final-undeploy-final-10s-heap-info.txt</x:v>
      </x:c>
      <x:c r="AD1412" s="34" t="str">
        <x:v>article1-unified-v4-2-fb3f101b-20260903-000401-default-f06-p5-jcs4-2-after-final-undeploy-final-10s-classloader-stats.txt</x:v>
      </x:c>
      <x:c r="AE1412" s="34" t="str">
        <x:v>article1-unified-v4-2-fb3f101b-20260903-000401-default-f06-p5-jcs4-2-after-final-undeploy-final-10s-thread-dump.txt</x:v>
      </x:c>
      <x:c r="AF1412" s="34"/>
      <x:c r="AG1412" s="34" t="str">
        <x:v>article1-unified-v4-2-fb3f101b-20260903-000401-default-f06-p5-jcs4-2-after-final-undeploy-final-10s-native-memory.txt</x:v>
      </x:c>
      <x:c r="AH1412" s="34" t="str">
        <x:v>article1-unified-v4-2-fb3f101b-20260903-000401-default-f06-p5-jcs4-2-after-final-undeploy-final-10s-class-histogram.txt</x:v>
      </x:c>
      <x:c r="AI1412" s="34" t="str">
        <x:v>article1-unified-v4-2-fb3f101b-20260903-000401-default-f06-p5-jcs4-2-after-final-undeploy-tomcat-findleaks.txt</x:v>
      </x:c>
    </x:row>
    <x:row r="1413">
      <x:c r="A1413" s="34" t="str">
        <x:v>article1-unified-v4-2-fb3f101b-20260903-000401-default-f06-p5-jcs4</x:v>
      </x:c>
      <x:c r="B1413" s="34" t="str">
        <x:v>default</x:v>
      </x:c>
      <x:c r="C1413" s="34" t="str">
        <x:v>jcs4</x:v>
      </x:c>
      <x:c r="D1413" s="34" t="str">
        <x:v>jcs4</x:v>
      </x:c>
      <x:c r="E1413" s="36" t="n">
        <x:v>6</x:v>
      </x:c>
      <x:c r="F1413" s="36" t="n">
        <x:v>6</x:v>
      </x:c>
      <x:c r="G1413" s="36" t="n">
        <x:v>5</x:v>
      </x:c>
      <x:c r="H1413" s="36" t="n">
        <x:v>3</x:v>
      </x:c>
      <x:c r="I1413" s="34" t="str">
        <x:v>baseline</x:v>
      </x:c>
      <x:c r="J1413" s="34" t="str">
        <x:v>cycle-baseline</x:v>
      </x:c>
      <x:c r="K1413" s="36" t="n">
        <x:v>0</x:v>
      </x:c>
      <x:c r="L1413" s="34" t="str">
        <x:v>baseline</x:v>
      </x:c>
      <x:c r="M1413" s="34" t="str">
        <x:v>article1-unified-v4-2-fb3f101b-20260903-000401-default-f06-p5-jcs4-3-baseline</x:v>
      </x:c>
      <x:c r="N1413" s="38" t="n">
        <x:v>46268.11629175926</x:v>
      </x:c>
      <x:c r="O1413" s="36" t="n">
        <x:v>0</x:v>
      </x:c>
      <x:c r="P1413" s="43" t="n">
        <x:v>15728640</x:v>
      </x:c>
      <x:c r="Q1413" s="43" t="n">
        <x:v>268435456</x:v>
      </x:c>
      <x:c r="R1413" s="43" t="n">
        <x:v>421583872</x:v>
      </x:c>
      <x:c r="S1413" s="36" t="n">
        <x:v>2</x:v>
      </x:c>
      <x:c r="T1413" s="44" t="str">
        <x:v>0x0000000049116bd8  0x0000000049003818  0x000078b0dc5f8ea0       0         0         0  org.apache.catalina.loader.ParallelWebappClassLoader | 0x0000000049116bd8  0x0000000049003818  0x000078b010019a60    4406  20978688  20969152  org.apache.catalina.loader.ParallelWebappClassLoader</x:v>
      </x:c>
      <x:c r="U1413" s="36" t="n">
        <x:v>27</x:v>
      </x:c>
      <x:c r="V1413" s="36" t="n">
        <x:v>0</x:v>
      </x:c>
      <x:c r="W1413" s="44"/>
      <x:c r="X1413" s="36"/>
      <x:c r="Y1413" s="36"/>
      <x:c r="Z1413" s="44"/>
      <x:c r="AA1413" s="49"/>
      <x:c r="AB1413" s="43"/>
      <x:c r="AC1413" s="34" t="str">
        <x:v>article1-unified-v4-2-fb3f101b-20260903-000401-default-f06-p5-jcs4-3-baseline-heap-info.txt</x:v>
      </x:c>
      <x:c r="AD1413" s="34" t="str">
        <x:v>article1-unified-v4-2-fb3f101b-20260903-000401-default-f06-p5-jcs4-3-baseline-classloader-stats.txt</x:v>
      </x:c>
      <x:c r="AE1413" s="34" t="str">
        <x:v>article1-unified-v4-2-fb3f101b-20260903-000401-default-f06-p5-jcs4-3-baseline-thread-dump.txt</x:v>
      </x:c>
      <x:c r="AF1413" s="34"/>
      <x:c r="AG1413" s="34" t="str">
        <x:v>article1-unified-v4-2-fb3f101b-20260903-000401-default-f06-p5-jcs4-3-baseline-native-memory.txt</x:v>
      </x:c>
      <x:c r="AH1413" s="34"/>
      <x:c r="AI1413" s="34"/>
    </x:row>
    <x:row r="1414">
      <x:c r="A1414" s="34" t="str">
        <x:v>article1-unified-v4-2-fb3f101b-20260903-000401-default-f06-p5-jcs4</x:v>
      </x:c>
      <x:c r="B1414" s="34" t="str">
        <x:v>default</x:v>
      </x:c>
      <x:c r="C1414" s="34" t="str">
        <x:v>jcs4</x:v>
      </x:c>
      <x:c r="D1414" s="34" t="str">
        <x:v>jcs4</x:v>
      </x:c>
      <x:c r="E1414" s="36" t="n">
        <x:v>6</x:v>
      </x:c>
      <x:c r="F1414" s="36" t="n">
        <x:v>6</x:v>
      </x:c>
      <x:c r="G1414" s="36" t="n">
        <x:v>5</x:v>
      </x:c>
      <x:c r="H1414" s="36" t="n">
        <x:v>3</x:v>
      </x:c>
      <x:c r="I1414" s="34" t="str">
        <x:v>deployedIdle</x:v>
      </x:c>
      <x:c r="J1414" s="34" t="str">
        <x:v>deployed-idle</x:v>
      </x:c>
      <x:c r="K1414" s="36" t="n">
        <x:v>0</x:v>
      </x:c>
      <x:c r="L1414" s="34" t="str">
        <x:v>initial</x:v>
      </x:c>
      <x:c r="M1414" s="34" t="str">
        <x:v>article1-unified-v4-2-fb3f101b-20260903-000401-default-f06-p5-jcs4-3-deployed-idle</x:v>
      </x:c>
      <x:c r="N1414" s="38" t="n">
        <x:v>46268.11638658565</x:v>
      </x:c>
      <x:c r="O1414" s="36" t="n">
        <x:v>0</x:v>
      </x:c>
      <x:c r="P1414" s="43" t="n">
        <x:v>165242880</x:v>
      </x:c>
      <x:c r="Q1414" s="43" t="n">
        <x:v>268435456</x:v>
      </x:c>
      <x:c r="R1414" s="43" t="n">
        <x:v>441219072</x:v>
      </x:c>
      <x:c r="S1414" s="36" t="n">
        <x:v>3</x:v>
      </x:c>
      <x:c r="T1414" s="44" t="str">
        <x:v>0x0000000049116bd8  0x0000000049003818  0x000078b0dc5f8ea0       0         0         0  org.apache.catalina.loader.ParallelWebappClassLoader | 0x0000000049116bd8  0x0000000049003818  0x000078b010019a60    4406  20978688  20969152  org.apache.catalina.loader.ParallelWebappClassLoader | 0x0000000049116bd8  0x0000000049003818  0x000078b0181536b0    4091  19453952  19432152  org.apache.catalina.loader.ParallelWebappClassLoader</x:v>
      </x:c>
      <x:c r="U1414" s="36" t="n">
        <x:v>27</x:v>
      </x:c>
      <x:c r="V1414" s="36" t="n">
        <x:v>0</x:v>
      </x:c>
      <x:c r="W1414" s="44"/>
      <x:c r="X1414" s="36"/>
      <x:c r="Y1414" s="36"/>
      <x:c r="Z1414" s="44"/>
      <x:c r="AA1414" s="49"/>
      <x:c r="AB1414" s="43"/>
      <x:c r="AC1414" s="34"/>
      <x:c r="AD1414" s="34"/>
      <x:c r="AE1414" s="34"/>
      <x:c r="AF1414" s="34"/>
      <x:c r="AG1414" s="34"/>
      <x:c r="AH1414" s="34"/>
      <x:c r="AI1414" s="34"/>
    </x:row>
    <x:row r="1415">
      <x:c r="A1415" s="34" t="str">
        <x:v>article1-unified-v4-2-fb3f101b-20260903-000401-default-f06-p5-jcs4</x:v>
      </x:c>
      <x:c r="B1415" s="34" t="str">
        <x:v>default</x:v>
      </x:c>
      <x:c r="C1415" s="34" t="str">
        <x:v>jcs4</x:v>
      </x:c>
      <x:c r="D1415" s="34" t="str">
        <x:v>jcs4</x:v>
      </x:c>
      <x:c r="E1415" s="36" t="n">
        <x:v>6</x:v>
      </x:c>
      <x:c r="F1415" s="36" t="n">
        <x:v>6</x:v>
      </x:c>
      <x:c r="G1415" s="36" t="n">
        <x:v>5</x:v>
      </x:c>
      <x:c r="H1415" s="36" t="n">
        <x:v>3</x:v>
      </x:c>
      <x:c r="I1415" s="34" t="str">
        <x:v>loaded</x:v>
      </x:c>
      <x:c r="J1415" s="34" t="str">
        <x:v>loaded</x:v>
      </x:c>
      <x:c r="K1415" s="36" t="n">
        <x:v>0</x:v>
      </x:c>
      <x:c r="L1415" s="34" t="str">
        <x:v>initial</x:v>
      </x:c>
      <x:c r="M1415" s="34" t="str">
        <x:v>article1-unified-v4-2-fb3f101b-20260903-000401-default-f06-p5-jcs4-3-loaded</x:v>
      </x:c>
      <x:c r="N1415" s="38" t="n">
        <x:v>46268.11653451389</x:v>
      </x:c>
      <x:c r="O1415" s="36" t="n">
        <x:v>0</x:v>
      </x:c>
      <x:c r="P1415" s="43" t="n">
        <x:v>158181376</x:v>
      </x:c>
      <x:c r="Q1415" s="43" t="n">
        <x:v>268435456</x:v>
      </x:c>
      <x:c r="R1415" s="43" t="n">
        <x:v>440452096</x:v>
      </x:c>
      <x:c r="S1415" s="36" t="n">
        <x:v>3</x:v>
      </x:c>
      <x:c r="T1415" s="44" t="str">
        <x:v>0x0000000049116bd8  0x0000000049003818  0x000078b0dc5f8ea0       0         0         0  org.apache.catalina.loader.ParallelWebappClassLoader | 0x0000000049116bd8  0x0000000049003818  0x000078b010019a60    4406  20978688  20969152  org.apache.catalina.loader.ParallelWebappClassLoader | 0x0000000049116bd8  0x0000000049003818  0x000078b0181536b0    4390  20957184  20942080  org.apache.catalina.loader.ParallelWebappClassLoader</x:v>
      </x:c>
      <x:c r="U1415" s="36" t="n">
        <x:v>28</x:v>
      </x:c>
      <x:c r="V1415" s="36" t="n">
        <x:v>1</x:v>
      </x:c>
      <x:c r="W1415" s="44" t="str">
        <x:v>jcs4-thread-pool-event-queue:JCS-ThreadPoolManager-ElementEventQueue-Thread-16#218</x:v>
      </x:c>
      <x:c r="X1415" s="36"/>
      <x:c r="Y1415" s="36"/>
      <x:c r="Z1415" s="44"/>
      <x:c r="AA1415" s="49"/>
      <x:c r="AB1415" s="43"/>
      <x:c r="AC1415" s="34"/>
      <x:c r="AD1415" s="34"/>
      <x:c r="AE1415" s="34"/>
      <x:c r="AF1415" s="34"/>
      <x:c r="AG1415" s="34"/>
      <x:c r="AH1415" s="34"/>
      <x:c r="AI1415" s="34"/>
    </x:row>
    <x:row r="1416">
      <x:c r="A1416" s="34" t="str">
        <x:v>article1-unified-v4-2-fb3f101b-20260903-000401-default-f06-p5-jcs4</x:v>
      </x:c>
      <x:c r="B1416" s="34" t="str">
        <x:v>default</x:v>
      </x:c>
      <x:c r="C1416" s="34" t="str">
        <x:v>jcs4</x:v>
      </x:c>
      <x:c r="D1416" s="34" t="str">
        <x:v>jcs4</x:v>
      </x:c>
      <x:c r="E1416" s="36" t="n">
        <x:v>6</x:v>
      </x:c>
      <x:c r="F1416" s="36" t="n">
        <x:v>6</x:v>
      </x:c>
      <x:c r="G1416" s="36" t="n">
        <x:v>5</x:v>
      </x:c>
      <x:c r="H1416" s="36" t="n">
        <x:v>3</x:v>
      </x:c>
      <x:c r="I1416" s="34" t="str">
        <x:v>afterUndeployEarly</x:v>
      </x:c>
      <x:c r="J1416" s="34" t="str">
        <x:v>after-undeploy-early</x:v>
      </x:c>
      <x:c r="K1416" s="36" t="n">
        <x:v>1</x:v>
      </x:c>
      <x:c r="L1416" s="34" t="str">
        <x:v>early</x:v>
      </x:c>
      <x:c r="M1416" s="34" t="str">
        <x:v>article1-unified-v4-2-fb3f101b-20260903-000401-default-f06-p5-jcs4-3-after-undeploy-early-2s</x:v>
      </x:c>
      <x:c r="N1416" s="38" t="n">
        <x:v>46268.11661813658</x:v>
      </x:c>
      <x:c r="O1416" s="36"/>
      <x:c r="P1416" s="43"/>
      <x:c r="Q1416" s="43"/>
      <x:c r="R1416" s="43"/>
      <x:c r="S1416" s="36"/>
      <x:c r="T1416" s="44"/>
      <x:c r="U1416" s="36" t="n">
        <x:v>27</x:v>
      </x:c>
      <x:c r="V1416" s="36" t="n">
        <x:v>0</x:v>
      </x:c>
      <x:c r="W1416" s="44"/>
      <x:c r="X1416" s="36"/>
      <x:c r="Y1416" s="36"/>
      <x:c r="Z1416" s="44"/>
      <x:c r="AA1416" s="49"/>
      <x:c r="AB1416" s="43" t="n">
        <x:v>5</x:v>
      </x:c>
      <x:c r="AC1416" s="34"/>
      <x:c r="AD1416" s="34"/>
      <x:c r="AE1416" s="34" t="str">
        <x:v>article1-unified-v4-2-fb3f101b-20260903-000401-default-f06-p5-jcs4-3-after-undeploy-early-2s-thread-dump.txt</x:v>
      </x:c>
      <x:c r="AF1416" s="34" t="str">
        <x:v>article1-unified-v4-2-fb3f101b-20260903-000401-default-f06-p5-jcs4-3-after-undeploy-early-tomcat-log.txt</x:v>
      </x:c>
      <x:c r="AG1416" s="34"/>
      <x:c r="AH1416" s="34"/>
      <x:c r="AI1416" s="34"/>
    </x:row>
    <x:row r="1417">
      <x:c r="A1417" s="34" t="str">
        <x:v>article1-unified-v4-2-fb3f101b-20260903-000401-default-f06-p5-jcs4</x:v>
      </x:c>
      <x:c r="B1417" s="34" t="str">
        <x:v>default</x:v>
      </x:c>
      <x:c r="C1417" s="34" t="str">
        <x:v>jcs4</x:v>
      </x:c>
      <x:c r="D1417" s="34" t="str">
        <x:v>jcs4</x:v>
      </x:c>
      <x:c r="E1417" s="36" t="n">
        <x:v>6</x:v>
      </x:c>
      <x:c r="F1417" s="36" t="n">
        <x:v>6</x:v>
      </x:c>
      <x:c r="G1417" s="36" t="n">
        <x:v>5</x:v>
      </x:c>
      <x:c r="H1417" s="36" t="n">
        <x:v>3</x:v>
      </x:c>
      <x:c r="I1417" s="34" t="str">
        <x:v>afterUndeploy</x:v>
      </x:c>
      <x:c r="J1417" s="34" t="str">
        <x:v>after-undeploy-final</x:v>
      </x:c>
      <x:c r="K1417" s="36" t="n">
        <x:v>1</x:v>
      </x:c>
      <x:c r="L1417" s="34" t="str">
        <x:v>final</x:v>
      </x:c>
      <x:c r="M1417" s="34" t="str">
        <x:v>article1-unified-v4-2-fb3f101b-20260903-000401-default-f06-p5-jcs4-3-after-undeploy-final-10s</x:v>
      </x:c>
      <x:c r="N1417" s="38" t="n">
        <x:v>46268.11677396991</x:v>
      </x:c>
      <x:c r="O1417" s="36" t="n">
        <x:v>2</x:v>
      </x:c>
      <x:c r="P1417" s="43" t="n">
        <x:v>15759360</x:v>
      </x:c>
      <x:c r="Q1417" s="43" t="n">
        <x:v>268435456</x:v>
      </x:c>
      <x:c r="R1417" s="43" t="n">
        <x:v>419724288</x:v>
      </x:c>
      <x:c r="S1417" s="36" t="n">
        <x:v>2</x:v>
      </x:c>
      <x:c r="T1417" s="44" t="str">
        <x:v>0x0000000049116bd8  0x0000000049003818  0x000078b0dc5f8ea0       0         0         0  org.apache.catalina.loader.ParallelWebappClassLoader | 0x0000000049116bd8  0x0000000049003818  0x000078b0181536b0    4404  20989952  20977472  org.apache.catalina.loader.ParallelWebappClassLoader</x:v>
      </x:c>
      <x:c r="U1417" s="36" t="n">
        <x:v>27</x:v>
      </x:c>
      <x:c r="V1417" s="36" t="n">
        <x:v>0</x:v>
      </x:c>
      <x:c r="W1417" s="44"/>
      <x:c r="X1417" s="36" t="n">
        <x:v>1</x:v>
      </x:c>
      <x:c r="Y1417" s="36" t="n">
        <x:v>1</x:v>
      </x:c>
      <x:c r="Z1417" s="44" t="str">
        <x:v>/jcs4</x:v>
      </x:c>
      <x:c r="AA1417" s="45" t="b">
        <x:v>1</x:v>
      </x:c>
      <x:c r="AB1417" s="43"/>
      <x:c r="AC1417" s="34" t="str">
        <x:v>article1-unified-v4-2-fb3f101b-20260903-000401-default-f06-p5-jcs4-3-after-undeploy-final-10s-heap-info.txt</x:v>
      </x:c>
      <x:c r="AD1417" s="34" t="str">
        <x:v>article1-unified-v4-2-fb3f101b-20260903-000401-default-f06-p5-jcs4-3-after-undeploy-final-10s-classloader-stats.txt</x:v>
      </x:c>
      <x:c r="AE1417" s="34" t="str">
        <x:v>article1-unified-v4-2-fb3f101b-20260903-000401-default-f06-p5-jcs4-3-after-undeploy-final-10s-thread-dump.txt</x:v>
      </x:c>
      <x:c r="AF1417" s="34"/>
      <x:c r="AG1417" s="34" t="str">
        <x:v>article1-unified-v4-2-fb3f101b-20260903-000401-default-f06-p5-jcs4-3-after-undeploy-final-10s-native-memory.txt</x:v>
      </x:c>
      <x:c r="AH1417" s="34" t="str">
        <x:v>article1-unified-v4-2-fb3f101b-20260903-000401-default-f06-p5-jcs4-3-after-undeploy-final-10s-class-histogram.txt</x:v>
      </x:c>
      <x:c r="AI1417" s="34" t="str">
        <x:v>article1-unified-v4-2-fb3f101b-20260903-000401-default-f06-p5-jcs4-3-after-undeploy-tomcat-findleaks.txt</x:v>
      </x:c>
    </x:row>
    <x:row r="1418">
      <x:c r="A1418" s="34" t="str">
        <x:v>article1-unified-v4-2-fb3f101b-20260903-000401-default-f06-p5-jcs4</x:v>
      </x:c>
      <x:c r="B1418" s="34" t="str">
        <x:v>default</x:v>
      </x:c>
      <x:c r="C1418" s="34" t="str">
        <x:v>jcs4</x:v>
      </x:c>
      <x:c r="D1418" s="34" t="str">
        <x:v>jcs4</x:v>
      </x:c>
      <x:c r="E1418" s="36" t="n">
        <x:v>6</x:v>
      </x:c>
      <x:c r="F1418" s="36" t="n">
        <x:v>6</x:v>
      </x:c>
      <x:c r="G1418" s="36" t="n">
        <x:v>5</x:v>
      </x:c>
      <x:c r="H1418" s="36" t="n">
        <x:v>3</x:v>
      </x:c>
      <x:c r="I1418" s="34" t="str">
        <x:v>redeployedLoaded</x:v>
      </x:c>
      <x:c r="J1418" s="34" t="str">
        <x:v>redeployed-loaded</x:v>
      </x:c>
      <x:c r="K1418" s="36" t="n">
        <x:v>0</x:v>
      </x:c>
      <x:c r="L1418" s="34" t="str">
        <x:v>redeploy</x:v>
      </x:c>
      <x:c r="M1418" s="34" t="str">
        <x:v>article1-unified-v4-2-fb3f101b-20260903-000401-default-f06-p5-jcs4-3-redeployed-loaded</x:v>
      </x:c>
      <x:c r="N1418" s="38" t="n">
        <x:v>46268.11702957176</x:v>
      </x:c>
      <x:c r="O1418" s="36" t="n">
        <x:v>0</x:v>
      </x:c>
      <x:c r="P1418" s="43" t="n">
        <x:v>168338432</x:v>
      </x:c>
      <x:c r="Q1418" s="43" t="n">
        <x:v>268435456</x:v>
      </x:c>
      <x:c r="R1418" s="43" t="n">
        <x:v>443695104</x:v>
      </x:c>
      <x:c r="S1418" s="36" t="n">
        <x:v>3</x:v>
      </x:c>
      <x:c r="T1418" s="44" t="str">
        <x:v>0x0000000049116bd8  0x0000000049003818  0x000078b0dc5f8ea0       0         0         0  org.apache.catalina.loader.ParallelWebappClassLoader | 0x0000000049116bd8  0x0000000049003818  0x000078b044001be0    4392  20956160  20936480  org.apache.catalina.loader.ParallelWebappClassLoader | 0x0000000049116bd8  0x0000000049003818  0x000078b0181536b0    4404  20989952  20977472  org.apache.catalina.loader.ParallelWebappClassLoader</x:v>
      </x:c>
      <x:c r="U1418" s="36" t="n">
        <x:v>28</x:v>
      </x:c>
      <x:c r="V1418" s="36" t="n">
        <x:v>1</x:v>
      </x:c>
      <x:c r="W1418" s="44" t="str">
        <x:v>jcs4-thread-pool-event-queue:JCS-ThreadPoolManager-ElementEventQueue-Thread-19#261</x:v>
      </x:c>
      <x:c r="X1418" s="36"/>
      <x:c r="Y1418" s="36"/>
      <x:c r="Z1418" s="44"/>
      <x:c r="AA1418" s="49"/>
      <x:c r="AB1418" s="43"/>
      <x:c r="AC1418" s="34"/>
      <x:c r="AD1418" s="34"/>
      <x:c r="AE1418" s="34"/>
      <x:c r="AF1418" s="34"/>
      <x:c r="AG1418" s="34"/>
      <x:c r="AH1418" s="34"/>
      <x:c r="AI1418" s="34"/>
    </x:row>
    <x:row r="1419">
      <x:c r="A1419" s="34" t="str">
        <x:v>article1-unified-v4-2-fb3f101b-20260903-000401-default-f06-p5-jcs4</x:v>
      </x:c>
      <x:c r="B1419" s="34" t="str">
        <x:v>default</x:v>
      </x:c>
      <x:c r="C1419" s="34" t="str">
        <x:v>jcs4</x:v>
      </x:c>
      <x:c r="D1419" s="34" t="str">
        <x:v>jcs4</x:v>
      </x:c>
      <x:c r="E1419" s="36" t="n">
        <x:v>6</x:v>
      </x:c>
      <x:c r="F1419" s="36" t="n">
        <x:v>6</x:v>
      </x:c>
      <x:c r="G1419" s="36" t="n">
        <x:v>5</x:v>
      </x:c>
      <x:c r="H1419" s="36" t="n">
        <x:v>3</x:v>
      </x:c>
      <x:c r="I1419" s="34" t="str">
        <x:v>afterFinalUndeployEarly</x:v>
      </x:c>
      <x:c r="J1419" s="34" t="str">
        <x:v>after-final-undeploy-early</x:v>
      </x:c>
      <x:c r="K1419" s="36" t="n">
        <x:v>2</x:v>
      </x:c>
      <x:c r="L1419" s="34" t="str">
        <x:v>early</x:v>
      </x:c>
      <x:c r="M1419" s="34" t="str">
        <x:v>article1-unified-v4-2-fb3f101b-20260903-000401-default-f06-p5-jcs4-3-after-final-undeploy-early-2s</x:v>
      </x:c>
      <x:c r="N1419" s="38" t="n">
        <x:v>46268.11711076389</x:v>
      </x:c>
      <x:c r="O1419" s="36"/>
      <x:c r="P1419" s="43"/>
      <x:c r="Q1419" s="43"/>
      <x:c r="R1419" s="43"/>
      <x:c r="S1419" s="36"/>
      <x:c r="T1419" s="44"/>
      <x:c r="U1419" s="36" t="n">
        <x:v>27</x:v>
      </x:c>
      <x:c r="V1419" s="36" t="n">
        <x:v>0</x:v>
      </x:c>
      <x:c r="W1419" s="44"/>
      <x:c r="X1419" s="36"/>
      <x:c r="Y1419" s="36"/>
      <x:c r="Z1419" s="44"/>
      <x:c r="AA1419" s="49"/>
      <x:c r="AB1419" s="43" t="n">
        <x:v>5</x:v>
      </x:c>
      <x:c r="AC1419" s="34"/>
      <x:c r="AD1419" s="34"/>
      <x:c r="AE1419" s="34" t="str">
        <x:v>article1-unified-v4-2-fb3f101b-20260903-000401-default-f06-p5-jcs4-3-after-final-undeploy-early-2s-thread-dump.txt</x:v>
      </x:c>
      <x:c r="AF1419" s="34" t="str">
        <x:v>article1-unified-v4-2-fb3f101b-20260903-000401-default-f06-p5-jcs4-3-after-final-undeploy-early-tomcat-log.txt</x:v>
      </x:c>
      <x:c r="AG1419" s="34"/>
      <x:c r="AH1419" s="34"/>
      <x:c r="AI1419" s="34"/>
    </x:row>
    <x:row r="1420">
      <x:c r="A1420" s="34" t="str">
        <x:v>article1-unified-v4-2-fb3f101b-20260903-000401-default-f06-p5-jcs4</x:v>
      </x:c>
      <x:c r="B1420" s="34" t="str">
        <x:v>default</x:v>
      </x:c>
      <x:c r="C1420" s="34" t="str">
        <x:v>jcs4</x:v>
      </x:c>
      <x:c r="D1420" s="34" t="str">
        <x:v>jcs4</x:v>
      </x:c>
      <x:c r="E1420" s="36" t="n">
        <x:v>6</x:v>
      </x:c>
      <x:c r="F1420" s="36" t="n">
        <x:v>6</x:v>
      </x:c>
      <x:c r="G1420" s="36" t="n">
        <x:v>5</x:v>
      </x:c>
      <x:c r="H1420" s="36" t="n">
        <x:v>3</x:v>
      </x:c>
      <x:c r="I1420" s="34" t="str">
        <x:v>afterFinalUndeploy</x:v>
      </x:c>
      <x:c r="J1420" s="34" t="str">
        <x:v>after-final-undeploy-final</x:v>
      </x:c>
      <x:c r="K1420" s="36" t="n">
        <x:v>2</x:v>
      </x:c>
      <x:c r="L1420" s="34" t="str">
        <x:v>final</x:v>
      </x:c>
      <x:c r="M1420" s="34" t="str">
        <x:v>article1-unified-v4-2-fb3f101b-20260903-000401-default-f06-p5-jcs4-3-after-final-undeploy-final-10s</x:v>
      </x:c>
      <x:c r="N1420" s="38" t="n">
        <x:v>46268.11726894676</x:v>
      </x:c>
      <x:c r="O1420" s="36" t="n">
        <x:v>2</x:v>
      </x:c>
      <x:c r="P1420" s="43" t="n">
        <x:v>15805440</x:v>
      </x:c>
      <x:c r="Q1420" s="43" t="n">
        <x:v>268435456</x:v>
      </x:c>
      <x:c r="R1420" s="43" t="n">
        <x:v>425296896</x:v>
      </x:c>
      <x:c r="S1420" s="36" t="n">
        <x:v>2</x:v>
      </x:c>
      <x:c r="T1420" s="44" t="str">
        <x:v>0x0000000049116bd8  0x0000000049003818  0x000078b0dc5f8ea0       0         0         0  org.apache.catalina.loader.ParallelWebappClassLoader | 0x0000000049116bd8  0x0000000049003818  0x000078b044001be0    4406  20980736  20971872  org.apache.catalina.loader.ParallelWebappClassLoader</x:v>
      </x:c>
      <x:c r="U1420" s="36" t="n">
        <x:v>27</x:v>
      </x:c>
      <x:c r="V1420" s="36" t="n">
        <x:v>0</x:v>
      </x:c>
      <x:c r="W1420" s="44"/>
      <x:c r="X1420" s="36" t="n">
        <x:v>1</x:v>
      </x:c>
      <x:c r="Y1420" s="36" t="n">
        <x:v>1</x:v>
      </x:c>
      <x:c r="Z1420" s="44" t="str">
        <x:v>/jcs4</x:v>
      </x:c>
      <x:c r="AA1420" s="45" t="b">
        <x:v>1</x:v>
      </x:c>
      <x:c r="AB1420" s="43"/>
      <x:c r="AC1420" s="34" t="str">
        <x:v>article1-unified-v4-2-fb3f101b-20260903-000401-default-f06-p5-jcs4-3-after-final-undeploy-final-10s-heap-info.txt</x:v>
      </x:c>
      <x:c r="AD1420" s="34" t="str">
        <x:v>article1-unified-v4-2-fb3f101b-20260903-000401-default-f06-p5-jcs4-3-after-final-undeploy-final-10s-classloader-stats.txt</x:v>
      </x:c>
      <x:c r="AE1420" s="34" t="str">
        <x:v>article1-unified-v4-2-fb3f101b-20260903-000401-default-f06-p5-jcs4-3-after-final-undeploy-final-10s-thread-dump.txt</x:v>
      </x:c>
      <x:c r="AF1420" s="34"/>
      <x:c r="AG1420" s="34" t="str">
        <x:v>article1-unified-v4-2-fb3f101b-20260903-000401-default-f06-p5-jcs4-3-after-final-undeploy-final-10s-native-memory.txt</x:v>
      </x:c>
      <x:c r="AH1420" s="34" t="str">
        <x:v>article1-unified-v4-2-fb3f101b-20260903-000401-default-f06-p5-jcs4-3-after-final-undeploy-final-10s-class-histogram.txt</x:v>
      </x:c>
      <x:c r="AI1420" s="34" t="str">
        <x:v>article1-unified-v4-2-fb3f101b-20260903-000401-default-f06-p5-jcs4-3-after-final-undeploy-tomcat-findleaks.txt</x:v>
      </x:c>
    </x:row>
    <x:row r="1421">
      <x:c r="A1421" s="34" t="str">
        <x:v>article1-unified-v4-2-fb3f101b-20260903-000401-default-f06-p5-jcs4</x:v>
      </x:c>
      <x:c r="B1421" s="34" t="str">
        <x:v>default</x:v>
      </x:c>
      <x:c r="C1421" s="34" t="str">
        <x:v>jcs4</x:v>
      </x:c>
      <x:c r="D1421" s="34" t="str">
        <x:v>jcs4</x:v>
      </x:c>
      <x:c r="E1421" s="36" t="n">
        <x:v>6</x:v>
      </x:c>
      <x:c r="F1421" s="36" t="n">
        <x:v>6</x:v>
      </x:c>
      <x:c r="G1421" s="36" t="n">
        <x:v>5</x:v>
      </x:c>
      <x:c r="H1421" s="36" t="n">
        <x:v>4</x:v>
      </x:c>
      <x:c r="I1421" s="34" t="str">
        <x:v>baseline</x:v>
      </x:c>
      <x:c r="J1421" s="34" t="str">
        <x:v>cycle-baseline</x:v>
      </x:c>
      <x:c r="K1421" s="36" t="n">
        <x:v>0</x:v>
      </x:c>
      <x:c r="L1421" s="34" t="str">
        <x:v>baseline</x:v>
      </x:c>
      <x:c r="M1421" s="34" t="str">
        <x:v>article1-unified-v4-2-fb3f101b-20260903-000401-default-f06-p5-jcs4-4-baseline</x:v>
      </x:c>
      <x:c r="N1421" s="38" t="n">
        <x:v>46268.117311469905</x:v>
      </x:c>
      <x:c r="O1421" s="36" t="n">
        <x:v>0</x:v>
      </x:c>
      <x:c r="P1421" s="43" t="n">
        <x:v>15805440</x:v>
      </x:c>
      <x:c r="Q1421" s="43" t="n">
        <x:v>268435456</x:v>
      </x:c>
      <x:c r="R1421" s="43" t="n">
        <x:v>425395200</x:v>
      </x:c>
      <x:c r="S1421" s="36" t="n">
        <x:v>2</x:v>
      </x:c>
      <x:c r="T1421" s="44" t="str">
        <x:v>0x0000000049116bd8  0x0000000049003818  0x000078b0dc5f8ea0       0         0         0  org.apache.catalina.loader.ParallelWebappClassLoader | 0x0000000049116bd8  0x0000000049003818  0x000078b044001be0    4406  20980736  20971872  org.apache.catalina.loader.ParallelWebappClassLoader</x:v>
      </x:c>
      <x:c r="U1421" s="36" t="n">
        <x:v>27</x:v>
      </x:c>
      <x:c r="V1421" s="36" t="n">
        <x:v>0</x:v>
      </x:c>
      <x:c r="W1421" s="44"/>
      <x:c r="X1421" s="36"/>
      <x:c r="Y1421" s="36"/>
      <x:c r="Z1421" s="44"/>
      <x:c r="AA1421" s="49"/>
      <x:c r="AB1421" s="43"/>
      <x:c r="AC1421" s="34" t="str">
        <x:v>article1-unified-v4-2-fb3f101b-20260903-000401-default-f06-p5-jcs4-4-baseline-heap-info.txt</x:v>
      </x:c>
      <x:c r="AD1421" s="34" t="str">
        <x:v>article1-unified-v4-2-fb3f101b-20260903-000401-default-f06-p5-jcs4-4-baseline-classloader-stats.txt</x:v>
      </x:c>
      <x:c r="AE1421" s="34" t="str">
        <x:v>article1-unified-v4-2-fb3f101b-20260903-000401-default-f06-p5-jcs4-4-baseline-thread-dump.txt</x:v>
      </x:c>
      <x:c r="AF1421" s="34"/>
      <x:c r="AG1421" s="34" t="str">
        <x:v>article1-unified-v4-2-fb3f101b-20260903-000401-default-f06-p5-jcs4-4-baseline-native-memory.txt</x:v>
      </x:c>
      <x:c r="AH1421" s="34"/>
      <x:c r="AI1421" s="34"/>
    </x:row>
    <x:row r="1422">
      <x:c r="A1422" s="34" t="str">
        <x:v>article1-unified-v4-2-fb3f101b-20260903-000401-default-f06-p5-jcs4</x:v>
      </x:c>
      <x:c r="B1422" s="34" t="str">
        <x:v>default</x:v>
      </x:c>
      <x:c r="C1422" s="34" t="str">
        <x:v>jcs4</x:v>
      </x:c>
      <x:c r="D1422" s="34" t="str">
        <x:v>jcs4</x:v>
      </x:c>
      <x:c r="E1422" s="36" t="n">
        <x:v>6</x:v>
      </x:c>
      <x:c r="F1422" s="36" t="n">
        <x:v>6</x:v>
      </x:c>
      <x:c r="G1422" s="36" t="n">
        <x:v>5</x:v>
      </x:c>
      <x:c r="H1422" s="36" t="n">
        <x:v>4</x:v>
      </x:c>
      <x:c r="I1422" s="34" t="str">
        <x:v>deployedIdle</x:v>
      </x:c>
      <x:c r="J1422" s="34" t="str">
        <x:v>deployed-idle</x:v>
      </x:c>
      <x:c r="K1422" s="36" t="n">
        <x:v>0</x:v>
      </x:c>
      <x:c r="L1422" s="34" t="str">
        <x:v>initial</x:v>
      </x:c>
      <x:c r="M1422" s="34" t="str">
        <x:v>article1-unified-v4-2-fb3f101b-20260903-000401-default-f06-p5-jcs4-4-deployed-idle</x:v>
      </x:c>
      <x:c r="N1422" s="38" t="n">
        <x:v>46268.117409189814</x:v>
      </x:c>
      <x:c r="O1422" s="36" t="n">
        <x:v>0</x:v>
      </x:c>
      <x:c r="P1422" s="43" t="n">
        <x:v>164026368</x:v>
      </x:c>
      <x:c r="Q1422" s="43" t="n">
        <x:v>268435456</x:v>
      </x:c>
      <x:c r="R1422" s="43" t="n">
        <x:v>458797056</x:v>
      </x:c>
      <x:c r="S1422" s="36" t="n">
        <x:v>3</x:v>
      </x:c>
      <x:c r="T1422" s="44" t="str">
        <x:v>0x0000000049116bd8  0x0000000049003818  0x000078b0dc5f8ea0       0         0         0  org.apache.catalina.loader.ParallelWebappClassLoader | 0x0000000049116bd8  0x0000000049003818  0x000078b03c307b30    4091  19441664  19428064  org.apache.catalina.loader.ParallelWebappClassLoader | 0x0000000049116bd8  0x0000000049003818  0x000078b044001be0    4406  20980736  20971872  org.apache.catalina.loader.ParallelWebappClassLoader</x:v>
      </x:c>
      <x:c r="U1422" s="36" t="n">
        <x:v>27</x:v>
      </x:c>
      <x:c r="V1422" s="36" t="n">
        <x:v>0</x:v>
      </x:c>
      <x:c r="W1422" s="44"/>
      <x:c r="X1422" s="36"/>
      <x:c r="Y1422" s="36"/>
      <x:c r="Z1422" s="44"/>
      <x:c r="AA1422" s="49"/>
      <x:c r="AB1422" s="43"/>
      <x:c r="AC1422" s="34"/>
      <x:c r="AD1422" s="34"/>
      <x:c r="AE1422" s="34"/>
      <x:c r="AF1422" s="34"/>
      <x:c r="AG1422" s="34"/>
      <x:c r="AH1422" s="34"/>
      <x:c r="AI1422" s="34"/>
    </x:row>
    <x:row r="1423">
      <x:c r="A1423" s="34" t="str">
        <x:v>article1-unified-v4-2-fb3f101b-20260903-000401-default-f06-p5-jcs4</x:v>
      </x:c>
      <x:c r="B1423" s="34" t="str">
        <x:v>default</x:v>
      </x:c>
      <x:c r="C1423" s="34" t="str">
        <x:v>jcs4</x:v>
      </x:c>
      <x:c r="D1423" s="34" t="str">
        <x:v>jcs4</x:v>
      </x:c>
      <x:c r="E1423" s="36" t="n">
        <x:v>6</x:v>
      </x:c>
      <x:c r="F1423" s="36" t="n">
        <x:v>6</x:v>
      </x:c>
      <x:c r="G1423" s="36" t="n">
        <x:v>5</x:v>
      </x:c>
      <x:c r="H1423" s="36" t="n">
        <x:v>4</x:v>
      </x:c>
      <x:c r="I1423" s="34" t="str">
        <x:v>loaded</x:v>
      </x:c>
      <x:c r="J1423" s="34" t="str">
        <x:v>loaded</x:v>
      </x:c>
      <x:c r="K1423" s="36" t="n">
        <x:v>0</x:v>
      </x:c>
      <x:c r="L1423" s="34" t="str">
        <x:v>initial</x:v>
      </x:c>
      <x:c r="M1423" s="34" t="str">
        <x:v>article1-unified-v4-2-fb3f101b-20260903-000401-default-f06-p5-jcs4-4-loaded</x:v>
      </x:c>
      <x:c r="N1423" s="38" t="n">
        <x:v>46268.11755511574</x:v>
      </x:c>
      <x:c r="O1423" s="36" t="n">
        <x:v>0</x:v>
      </x:c>
      <x:c r="P1423" s="43" t="n">
        <x:v>188027904</x:v>
      </x:c>
      <x:c r="Q1423" s="43" t="n">
        <x:v>268435456</x:v>
      </x:c>
      <x:c r="R1423" s="43" t="n">
        <x:v>444380160</x:v>
      </x:c>
      <x:c r="S1423" s="36" t="n">
        <x:v>3</x:v>
      </x:c>
      <x:c r="T1423" s="44" t="str">
        <x:v>0x0000000049116bd8  0x0000000049003818  0x000078b0dc5f8ea0       0         0         0  org.apache.catalina.loader.ParallelWebappClassLoader | 0x0000000049116bd8  0x0000000049003818  0x000078b03c307b30    4391  20948992  20931920  org.apache.catalina.loader.ParallelWebappClassLoader | 0x0000000049116bd8  0x0000000049003818  0x000078b044001be0    4406  20980736  20971872  org.apache.catalina.loader.ParallelWebappClassLoader</x:v>
      </x:c>
      <x:c r="U1423" s="36" t="n">
        <x:v>28</x:v>
      </x:c>
      <x:c r="V1423" s="36" t="n">
        <x:v>1</x:v>
      </x:c>
      <x:c r="W1423" s="44" t="str">
        <x:v>jcs4-thread-pool-event-queue:JCS-ThreadPoolManager-ElementEventQueue-Thread-22#303</x:v>
      </x:c>
      <x:c r="X1423" s="36"/>
      <x:c r="Y1423" s="36"/>
      <x:c r="Z1423" s="44"/>
      <x:c r="AA1423" s="49"/>
      <x:c r="AB1423" s="43"/>
      <x:c r="AC1423" s="34"/>
      <x:c r="AD1423" s="34"/>
      <x:c r="AE1423" s="34"/>
      <x:c r="AF1423" s="34"/>
      <x:c r="AG1423" s="34"/>
      <x:c r="AH1423" s="34"/>
      <x:c r="AI1423" s="34"/>
    </x:row>
    <x:row r="1424">
      <x:c r="A1424" s="34" t="str">
        <x:v>article1-unified-v4-2-fb3f101b-20260903-000401-default-f06-p5-jcs4</x:v>
      </x:c>
      <x:c r="B1424" s="34" t="str">
        <x:v>default</x:v>
      </x:c>
      <x:c r="C1424" s="34" t="str">
        <x:v>jcs4</x:v>
      </x:c>
      <x:c r="D1424" s="34" t="str">
        <x:v>jcs4</x:v>
      </x:c>
      <x:c r="E1424" s="36" t="n">
        <x:v>6</x:v>
      </x:c>
      <x:c r="F1424" s="36" t="n">
        <x:v>6</x:v>
      </x:c>
      <x:c r="G1424" s="36" t="n">
        <x:v>5</x:v>
      </x:c>
      <x:c r="H1424" s="36" t="n">
        <x:v>4</x:v>
      </x:c>
      <x:c r="I1424" s="34" t="str">
        <x:v>afterUndeployEarly</x:v>
      </x:c>
      <x:c r="J1424" s="34" t="str">
        <x:v>after-undeploy-early</x:v>
      </x:c>
      <x:c r="K1424" s="36" t="n">
        <x:v>1</x:v>
      </x:c>
      <x:c r="L1424" s="34" t="str">
        <x:v>early</x:v>
      </x:c>
      <x:c r="M1424" s="34" t="str">
        <x:v>article1-unified-v4-2-fb3f101b-20260903-000401-default-f06-p5-jcs4-4-after-undeploy-early-2s</x:v>
      </x:c>
      <x:c r="N1424" s="38" t="n">
        <x:v>46268.11764202546</x:v>
      </x:c>
      <x:c r="O1424" s="36"/>
      <x:c r="P1424" s="43"/>
      <x:c r="Q1424" s="43"/>
      <x:c r="R1424" s="43"/>
      <x:c r="S1424" s="36"/>
      <x:c r="T1424" s="44"/>
      <x:c r="U1424" s="36" t="n">
        <x:v>27</x:v>
      </x:c>
      <x:c r="V1424" s="36" t="n">
        <x:v>0</x:v>
      </x:c>
      <x:c r="W1424" s="44"/>
      <x:c r="X1424" s="36"/>
      <x:c r="Y1424" s="36"/>
      <x:c r="Z1424" s="44"/>
      <x:c r="AA1424" s="49"/>
      <x:c r="AB1424" s="43" t="n">
        <x:v>5</x:v>
      </x:c>
      <x:c r="AC1424" s="34"/>
      <x:c r="AD1424" s="34"/>
      <x:c r="AE1424" s="34" t="str">
        <x:v>article1-unified-v4-2-fb3f101b-20260903-000401-default-f06-p5-jcs4-4-after-undeploy-early-2s-thread-dump.txt</x:v>
      </x:c>
      <x:c r="AF1424" s="34" t="str">
        <x:v>article1-unified-v4-2-fb3f101b-20260903-000401-default-f06-p5-jcs4-4-after-undeploy-early-tomcat-log.txt</x:v>
      </x:c>
      <x:c r="AG1424" s="34"/>
      <x:c r="AH1424" s="34"/>
      <x:c r="AI1424" s="34"/>
    </x:row>
    <x:row r="1425">
      <x:c r="A1425" s="34" t="str">
        <x:v>article1-unified-v4-2-fb3f101b-20260903-000401-default-f06-p5-jcs4</x:v>
      </x:c>
      <x:c r="B1425" s="34" t="str">
        <x:v>default</x:v>
      </x:c>
      <x:c r="C1425" s="34" t="str">
        <x:v>jcs4</x:v>
      </x:c>
      <x:c r="D1425" s="34" t="str">
        <x:v>jcs4</x:v>
      </x:c>
      <x:c r="E1425" s="36" t="n">
        <x:v>6</x:v>
      </x:c>
      <x:c r="F1425" s="36" t="n">
        <x:v>6</x:v>
      </x:c>
      <x:c r="G1425" s="36" t="n">
        <x:v>5</x:v>
      </x:c>
      <x:c r="H1425" s="36" t="n">
        <x:v>4</x:v>
      </x:c>
      <x:c r="I1425" s="34" t="str">
        <x:v>afterUndeploy</x:v>
      </x:c>
      <x:c r="J1425" s="34" t="str">
        <x:v>after-undeploy-final</x:v>
      </x:c>
      <x:c r="K1425" s="36" t="n">
        <x:v>1</x:v>
      </x:c>
      <x:c r="L1425" s="34" t="str">
        <x:v>final</x:v>
      </x:c>
      <x:c r="M1425" s="34" t="str">
        <x:v>article1-unified-v4-2-fb3f101b-20260903-000401-default-f06-p5-jcs4-4-after-undeploy-final-10s</x:v>
      </x:c>
      <x:c r="N1425" s="38" t="n">
        <x:v>46268.117797418985</x:v>
      </x:c>
      <x:c r="O1425" s="36" t="n">
        <x:v>2</x:v>
      </x:c>
      <x:c r="P1425" s="43" t="n">
        <x:v>15795200</x:v>
      </x:c>
      <x:c r="Q1425" s="43" t="n">
        <x:v>268435456</x:v>
      </x:c>
      <x:c r="R1425" s="43" t="n">
        <x:v>423145472</x:v>
      </x:c>
      <x:c r="S1425" s="36" t="n">
        <x:v>2</x:v>
      </x:c>
      <x:c r="T1425" s="44" t="str">
        <x:v>0x0000000049116bd8  0x0000000049003818  0x000078b0dc5f8ea0       0         0         0  org.apache.catalina.loader.ParallelWebappClassLoader | 0x0000000049116bd8  0x0000000049003818  0x000078b03c307b30    4405  20981760  20967312  org.apache.catalina.loader.ParallelWebappClassLoader</x:v>
      </x:c>
      <x:c r="U1425" s="36" t="n">
        <x:v>27</x:v>
      </x:c>
      <x:c r="V1425" s="36" t="n">
        <x:v>0</x:v>
      </x:c>
      <x:c r="W1425" s="44"/>
      <x:c r="X1425" s="36" t="n">
        <x:v>1</x:v>
      </x:c>
      <x:c r="Y1425" s="36" t="n">
        <x:v>1</x:v>
      </x:c>
      <x:c r="Z1425" s="44" t="str">
        <x:v>/jcs4</x:v>
      </x:c>
      <x:c r="AA1425" s="45" t="b">
        <x:v>1</x:v>
      </x:c>
      <x:c r="AB1425" s="43"/>
      <x:c r="AC1425" s="34" t="str">
        <x:v>article1-unified-v4-2-fb3f101b-20260903-000401-default-f06-p5-jcs4-4-after-undeploy-final-10s-heap-info.txt</x:v>
      </x:c>
      <x:c r="AD1425" s="34" t="str">
        <x:v>article1-unified-v4-2-fb3f101b-20260903-000401-default-f06-p5-jcs4-4-after-undeploy-final-10s-classloader-stats.txt</x:v>
      </x:c>
      <x:c r="AE1425" s="34" t="str">
        <x:v>article1-unified-v4-2-fb3f101b-20260903-000401-default-f06-p5-jcs4-4-after-undeploy-final-10s-thread-dump.txt</x:v>
      </x:c>
      <x:c r="AF1425" s="34"/>
      <x:c r="AG1425" s="34" t="str">
        <x:v>article1-unified-v4-2-fb3f101b-20260903-000401-default-f06-p5-jcs4-4-after-undeploy-final-10s-native-memory.txt</x:v>
      </x:c>
      <x:c r="AH1425" s="34" t="str">
        <x:v>article1-unified-v4-2-fb3f101b-20260903-000401-default-f06-p5-jcs4-4-after-undeploy-final-10s-class-histogram.txt</x:v>
      </x:c>
      <x:c r="AI1425" s="34" t="str">
        <x:v>article1-unified-v4-2-fb3f101b-20260903-000401-default-f06-p5-jcs4-4-after-undeploy-tomcat-findleaks.txt</x:v>
      </x:c>
    </x:row>
    <x:row r="1426">
      <x:c r="A1426" s="34" t="str">
        <x:v>article1-unified-v4-2-fb3f101b-20260903-000401-default-f06-p5-jcs4</x:v>
      </x:c>
      <x:c r="B1426" s="34" t="str">
        <x:v>default</x:v>
      </x:c>
      <x:c r="C1426" s="34" t="str">
        <x:v>jcs4</x:v>
      </x:c>
      <x:c r="D1426" s="34" t="str">
        <x:v>jcs4</x:v>
      </x:c>
      <x:c r="E1426" s="36" t="n">
        <x:v>6</x:v>
      </x:c>
      <x:c r="F1426" s="36" t="n">
        <x:v>6</x:v>
      </x:c>
      <x:c r="G1426" s="36" t="n">
        <x:v>5</x:v>
      </x:c>
      <x:c r="H1426" s="36" t="n">
        <x:v>4</x:v>
      </x:c>
      <x:c r="I1426" s="34" t="str">
        <x:v>redeployedLoaded</x:v>
      </x:c>
      <x:c r="J1426" s="34" t="str">
        <x:v>redeployed-loaded</x:v>
      </x:c>
      <x:c r="K1426" s="36" t="n">
        <x:v>0</x:v>
      </x:c>
      <x:c r="L1426" s="34" t="str">
        <x:v>redeploy</x:v>
      </x:c>
      <x:c r="M1426" s="34" t="str">
        <x:v>article1-unified-v4-2-fb3f101b-20260903-000401-default-f06-p5-jcs4-4-redeployed-loaded</x:v>
      </x:c>
      <x:c r="N1426" s="38" t="n">
        <x:v>46268.11805168982</x:v>
      </x:c>
      <x:c r="O1426" s="36" t="n">
        <x:v>0</x:v>
      </x:c>
      <x:c r="P1426" s="43" t="n">
        <x:v>112067584</x:v>
      </x:c>
      <x:c r="Q1426" s="43" t="n">
        <x:v>268435456</x:v>
      </x:c>
      <x:c r="R1426" s="43" t="n">
        <x:v>445689856</x:v>
      </x:c>
      <x:c r="S1426" s="36" t="n">
        <x:v>3</x:v>
      </x:c>
      <x:c r="T1426" s="44" t="str">
        <x:v>0x0000000049116bd8  0x0000000049003818  0x000078b0dc5f8ea0       0         0         0  org.apache.catalina.loader.ParallelWebappClassLoader | 0x0000000049116bd8  0x0000000049003818  0x000078b03c307b30    4405  20981760  20967312  org.apache.catalina.loader.ParallelWebappClassLoader | 0x0000000049116bd8  0x0000000049003818  0x000078b034035e60    4389  20963328  20943152  org.apache.catalina.loader.ParallelWebappClassLoader</x:v>
      </x:c>
      <x:c r="U1426" s="36" t="n">
        <x:v>28</x:v>
      </x:c>
      <x:c r="V1426" s="36" t="n">
        <x:v>1</x:v>
      </x:c>
      <x:c r="W1426" s="44" t="str">
        <x:v>jcs4-thread-pool-event-queue:JCS-ThreadPoolManager-ElementEventQueue-Thread-25#346</x:v>
      </x:c>
      <x:c r="X1426" s="36"/>
      <x:c r="Y1426" s="36"/>
      <x:c r="Z1426" s="44"/>
      <x:c r="AA1426" s="49"/>
      <x:c r="AB1426" s="43"/>
      <x:c r="AC1426" s="34"/>
      <x:c r="AD1426" s="34"/>
      <x:c r="AE1426" s="34"/>
      <x:c r="AF1426" s="34"/>
      <x:c r="AG1426" s="34"/>
      <x:c r="AH1426" s="34"/>
      <x:c r="AI1426" s="34"/>
    </x:row>
    <x:row r="1427">
      <x:c r="A1427" s="34" t="str">
        <x:v>article1-unified-v4-2-fb3f101b-20260903-000401-default-f06-p5-jcs4</x:v>
      </x:c>
      <x:c r="B1427" s="34" t="str">
        <x:v>default</x:v>
      </x:c>
      <x:c r="C1427" s="34" t="str">
        <x:v>jcs4</x:v>
      </x:c>
      <x:c r="D1427" s="34" t="str">
        <x:v>jcs4</x:v>
      </x:c>
      <x:c r="E1427" s="36" t="n">
        <x:v>6</x:v>
      </x:c>
      <x:c r="F1427" s="36" t="n">
        <x:v>6</x:v>
      </x:c>
      <x:c r="G1427" s="36" t="n">
        <x:v>5</x:v>
      </x:c>
      <x:c r="H1427" s="36" t="n">
        <x:v>4</x:v>
      </x:c>
      <x:c r="I1427" s="34" t="str">
        <x:v>afterFinalUndeployEarly</x:v>
      </x:c>
      <x:c r="J1427" s="34" t="str">
        <x:v>after-final-undeploy-early</x:v>
      </x:c>
      <x:c r="K1427" s="36" t="n">
        <x:v>2</x:v>
      </x:c>
      <x:c r="L1427" s="34" t="str">
        <x:v>early</x:v>
      </x:c>
      <x:c r="M1427" s="34" t="str">
        <x:v>article1-unified-v4-2-fb3f101b-20260903-000401-default-f06-p5-jcs4-4-after-final-undeploy-early-2s</x:v>
      </x:c>
      <x:c r="N1427" s="38" t="n">
        <x:v>46268.118136261575</x:v>
      </x:c>
      <x:c r="O1427" s="36"/>
      <x:c r="P1427" s="43"/>
      <x:c r="Q1427" s="43"/>
      <x:c r="R1427" s="43"/>
      <x:c r="S1427" s="36"/>
      <x:c r="T1427" s="44"/>
      <x:c r="U1427" s="36" t="n">
        <x:v>27</x:v>
      </x:c>
      <x:c r="V1427" s="36" t="n">
        <x:v>0</x:v>
      </x:c>
      <x:c r="W1427" s="44"/>
      <x:c r="X1427" s="36"/>
      <x:c r="Y1427" s="36"/>
      <x:c r="Z1427" s="44"/>
      <x:c r="AA1427" s="49"/>
      <x:c r="AB1427" s="43" t="n">
        <x:v>5</x:v>
      </x:c>
      <x:c r="AC1427" s="34"/>
      <x:c r="AD1427" s="34"/>
      <x:c r="AE1427" s="34" t="str">
        <x:v>article1-unified-v4-2-fb3f101b-20260903-000401-default-f06-p5-jcs4-4-after-final-undeploy-early-2s-thread-dump.txt</x:v>
      </x:c>
      <x:c r="AF1427" s="34" t="str">
        <x:v>article1-unified-v4-2-fb3f101b-20260903-000401-default-f06-p5-jcs4-4-after-final-undeploy-early-tomcat-log.txt</x:v>
      </x:c>
      <x:c r="AG1427" s="34"/>
      <x:c r="AH1427" s="34"/>
      <x:c r="AI1427" s="34"/>
    </x:row>
    <x:row r="1428">
      <x:c r="A1428" s="34" t="str">
        <x:v>article1-unified-v4-2-fb3f101b-20260903-000401-default-f06-p5-jcs4</x:v>
      </x:c>
      <x:c r="B1428" s="34" t="str">
        <x:v>default</x:v>
      </x:c>
      <x:c r="C1428" s="34" t="str">
        <x:v>jcs4</x:v>
      </x:c>
      <x:c r="D1428" s="34" t="str">
        <x:v>jcs4</x:v>
      </x:c>
      <x:c r="E1428" s="36" t="n">
        <x:v>6</x:v>
      </x:c>
      <x:c r="F1428" s="36" t="n">
        <x:v>6</x:v>
      </x:c>
      <x:c r="G1428" s="36" t="n">
        <x:v>5</x:v>
      </x:c>
      <x:c r="H1428" s="36" t="n">
        <x:v>4</x:v>
      </x:c>
      <x:c r="I1428" s="34" t="str">
        <x:v>afterFinalUndeploy</x:v>
      </x:c>
      <x:c r="J1428" s="34" t="str">
        <x:v>after-final-undeploy-final</x:v>
      </x:c>
      <x:c r="K1428" s="36" t="n">
        <x:v>2</x:v>
      </x:c>
      <x:c r="L1428" s="34" t="str">
        <x:v>final</x:v>
      </x:c>
      <x:c r="M1428" s="34" t="str">
        <x:v>article1-unified-v4-2-fb3f101b-20260903-000401-default-f06-p5-jcs4-4-after-final-undeploy-final-10s</x:v>
      </x:c>
      <x:c r="N1428" s="38" t="n">
        <x:v>46268.11828884259</x:v>
      </x:c>
      <x:c r="O1428" s="36" t="n">
        <x:v>2</x:v>
      </x:c>
      <x:c r="P1428" s="43" t="n">
        <x:v>15797248</x:v>
      </x:c>
      <x:c r="Q1428" s="43" t="n">
        <x:v>268435456</x:v>
      </x:c>
      <x:c r="R1428" s="43" t="n">
        <x:v>429763584</x:v>
      </x:c>
      <x:c r="S1428" s="36" t="n">
        <x:v>2</x:v>
      </x:c>
      <x:c r="T1428" s="44" t="str">
        <x:v>0x0000000049116bd8  0x0000000049003818  0x000078b0dc5f8ea0       0         0         0  org.apache.catalina.loader.ParallelWebappClassLoader | 0x0000000049116bd8  0x0000000049003818  0x000078b034035e60    4403  20996096  20978544  org.apache.catalina.loader.ParallelWebappClassLoader</x:v>
      </x:c>
      <x:c r="U1428" s="36" t="n">
        <x:v>27</x:v>
      </x:c>
      <x:c r="V1428" s="36" t="n">
        <x:v>0</x:v>
      </x:c>
      <x:c r="W1428" s="44"/>
      <x:c r="X1428" s="36" t="n">
        <x:v>1</x:v>
      </x:c>
      <x:c r="Y1428" s="36" t="n">
        <x:v>1</x:v>
      </x:c>
      <x:c r="Z1428" s="44" t="str">
        <x:v>/jcs4</x:v>
      </x:c>
      <x:c r="AA1428" s="45" t="b">
        <x:v>1</x:v>
      </x:c>
      <x:c r="AB1428" s="43"/>
      <x:c r="AC1428" s="34" t="str">
        <x:v>article1-unified-v4-2-fb3f101b-20260903-000401-default-f06-p5-jcs4-4-after-final-undeploy-final-10s-heap-info.txt</x:v>
      </x:c>
      <x:c r="AD1428" s="34" t="str">
        <x:v>article1-unified-v4-2-fb3f101b-20260903-000401-default-f06-p5-jcs4-4-after-final-undeploy-final-10s-classloader-stats.txt</x:v>
      </x:c>
      <x:c r="AE1428" s="34" t="str">
        <x:v>article1-unified-v4-2-fb3f101b-20260903-000401-default-f06-p5-jcs4-4-after-final-undeploy-final-10s-thread-dump.txt</x:v>
      </x:c>
      <x:c r="AF1428" s="34"/>
      <x:c r="AG1428" s="34" t="str">
        <x:v>article1-unified-v4-2-fb3f101b-20260903-000401-default-f06-p5-jcs4-4-after-final-undeploy-final-10s-native-memory.txt</x:v>
      </x:c>
      <x:c r="AH1428" s="34" t="str">
        <x:v>article1-unified-v4-2-fb3f101b-20260903-000401-default-f06-p5-jcs4-4-after-final-undeploy-final-10s-class-histogram.txt</x:v>
      </x:c>
      <x:c r="AI1428" s="34" t="str">
        <x:v>article1-unified-v4-2-fb3f101b-20260903-000401-default-f06-p5-jcs4-4-after-final-undeploy-tomcat-findleaks.txt</x:v>
      </x:c>
    </x:row>
    <x:row r="1429">
      <x:c r="A1429" s="34" t="str">
        <x:v>article1-unified-v4-2-fb3f101b-20260903-000401-default-f06-p5-jcs4</x:v>
      </x:c>
      <x:c r="B1429" s="34" t="str">
        <x:v>default</x:v>
      </x:c>
      <x:c r="C1429" s="34" t="str">
        <x:v>jcs4</x:v>
      </x:c>
      <x:c r="D1429" s="34" t="str">
        <x:v>jcs4</x:v>
      </x:c>
      <x:c r="E1429" s="36" t="n">
        <x:v>6</x:v>
      </x:c>
      <x:c r="F1429" s="36" t="n">
        <x:v>6</x:v>
      </x:c>
      <x:c r="G1429" s="36" t="n">
        <x:v>5</x:v>
      </x:c>
      <x:c r="H1429" s="36" t="n">
        <x:v>5</x:v>
      </x:c>
      <x:c r="I1429" s="34" t="str">
        <x:v>baseline</x:v>
      </x:c>
      <x:c r="J1429" s="34" t="str">
        <x:v>cycle-baseline</x:v>
      </x:c>
      <x:c r="K1429" s="36" t="n">
        <x:v>0</x:v>
      </x:c>
      <x:c r="L1429" s="34" t="str">
        <x:v>baseline</x:v>
      </x:c>
      <x:c r="M1429" s="34" t="str">
        <x:v>article1-unified-v4-2-fb3f101b-20260903-000401-default-f06-p5-jcs4-5-baseline</x:v>
      </x:c>
      <x:c r="N1429" s="38" t="n">
        <x:v>46268.11832913195</x:v>
      </x:c>
      <x:c r="O1429" s="36" t="n">
        <x:v>0</x:v>
      </x:c>
      <x:c r="P1429" s="43" t="n">
        <x:v>15802368</x:v>
      </x:c>
      <x:c r="Q1429" s="43" t="n">
        <x:v>268435456</x:v>
      </x:c>
      <x:c r="R1429" s="43" t="n">
        <x:v>428272640</x:v>
      </x:c>
      <x:c r="S1429" s="36" t="n">
        <x:v>2</x:v>
      </x:c>
      <x:c r="T1429" s="44" t="str">
        <x:v>0x0000000049116bd8  0x0000000049003818  0x000078b0dc5f8ea0       0         0         0  org.apache.catalina.loader.ParallelWebappClassLoader | 0x0000000049116bd8  0x0000000049003818  0x000078b034035e60    4403  20996096  20978544  org.apache.catalina.loader.ParallelWebappClassLoader</x:v>
      </x:c>
      <x:c r="U1429" s="36" t="n">
        <x:v>27</x:v>
      </x:c>
      <x:c r="V1429" s="36" t="n">
        <x:v>0</x:v>
      </x:c>
      <x:c r="W1429" s="44"/>
      <x:c r="X1429" s="36"/>
      <x:c r="Y1429" s="36"/>
      <x:c r="Z1429" s="44"/>
      <x:c r="AA1429" s="49"/>
      <x:c r="AB1429" s="43"/>
      <x:c r="AC1429" s="34" t="str">
        <x:v>article1-unified-v4-2-fb3f101b-20260903-000401-default-f06-p5-jcs4-5-baseline-heap-info.txt</x:v>
      </x:c>
      <x:c r="AD1429" s="34" t="str">
        <x:v>article1-unified-v4-2-fb3f101b-20260903-000401-default-f06-p5-jcs4-5-baseline-classloader-stats.txt</x:v>
      </x:c>
      <x:c r="AE1429" s="34" t="str">
        <x:v>article1-unified-v4-2-fb3f101b-20260903-000401-default-f06-p5-jcs4-5-baseline-thread-dump.txt</x:v>
      </x:c>
      <x:c r="AF1429" s="34"/>
      <x:c r="AG1429" s="34" t="str">
        <x:v>article1-unified-v4-2-fb3f101b-20260903-000401-default-f06-p5-jcs4-5-baseline-native-memory.txt</x:v>
      </x:c>
      <x:c r="AH1429" s="34"/>
      <x:c r="AI1429" s="34"/>
    </x:row>
    <x:row r="1430">
      <x:c r="A1430" s="34" t="str">
        <x:v>article1-unified-v4-2-fb3f101b-20260903-000401-default-f06-p5-jcs4</x:v>
      </x:c>
      <x:c r="B1430" s="34" t="str">
        <x:v>default</x:v>
      </x:c>
      <x:c r="C1430" s="34" t="str">
        <x:v>jcs4</x:v>
      </x:c>
      <x:c r="D1430" s="34" t="str">
        <x:v>jcs4</x:v>
      </x:c>
      <x:c r="E1430" s="36" t="n">
        <x:v>6</x:v>
      </x:c>
      <x:c r="F1430" s="36" t="n">
        <x:v>6</x:v>
      </x:c>
      <x:c r="G1430" s="36" t="n">
        <x:v>5</x:v>
      </x:c>
      <x:c r="H1430" s="36" t="n">
        <x:v>5</x:v>
      </x:c>
      <x:c r="I1430" s="34" t="str">
        <x:v>deployedIdle</x:v>
      </x:c>
      <x:c r="J1430" s="34" t="str">
        <x:v>deployed-idle</x:v>
      </x:c>
      <x:c r="K1430" s="36" t="n">
        <x:v>0</x:v>
      </x:c>
      <x:c r="L1430" s="34" t="str">
        <x:v>initial</x:v>
      </x:c>
      <x:c r="M1430" s="34" t="str">
        <x:v>article1-unified-v4-2-fb3f101b-20260903-000401-default-f06-p5-jcs4-5-deployed-idle</x:v>
      </x:c>
      <x:c r="N1430" s="38" t="n">
        <x:v>46268.11842856481</x:v>
      </x:c>
      <x:c r="O1430" s="36" t="n">
        <x:v>0</x:v>
      </x:c>
      <x:c r="P1430" s="43" t="n">
        <x:v>166775808</x:v>
      </x:c>
      <x:c r="Q1430" s="43" t="n">
        <x:v>268435456</x:v>
      </x:c>
      <x:c r="R1430" s="43" t="n">
        <x:v>442712064</x:v>
      </x:c>
      <x:c r="S1430" s="36" t="n">
        <x:v>3</x:v>
      </x:c>
      <x:c r="T1430" s="44" t="str">
        <x:v>0x0000000049116bd8  0x0000000049003818  0x000078b0dc5f8ea0       0         0         0  org.apache.catalina.loader.ParallelWebappClassLoader | 0x0000000049116bd8  0x0000000049003818  0x000078b034035e60    4403  20996096  20978544  org.apache.catalina.loader.ParallelWebappClassLoader | 0x0000000049116bd8  0x0000000049003818  0x000078aff8198340    4091  19450880  19429120  org.apache.catalina.loader.ParallelWebappClassLoader</x:v>
      </x:c>
      <x:c r="U1430" s="36" t="n">
        <x:v>27</x:v>
      </x:c>
      <x:c r="V1430" s="36" t="n">
        <x:v>0</x:v>
      </x:c>
      <x:c r="W1430" s="44"/>
      <x:c r="X1430" s="36"/>
      <x:c r="Y1430" s="36"/>
      <x:c r="Z1430" s="44"/>
      <x:c r="AA1430" s="49"/>
      <x:c r="AB1430" s="43"/>
      <x:c r="AC1430" s="34"/>
      <x:c r="AD1430" s="34"/>
      <x:c r="AE1430" s="34"/>
      <x:c r="AF1430" s="34"/>
      <x:c r="AG1430" s="34"/>
      <x:c r="AH1430" s="34"/>
      <x:c r="AI1430" s="34"/>
    </x:row>
    <x:row r="1431">
      <x:c r="A1431" s="34" t="str">
        <x:v>article1-unified-v4-2-fb3f101b-20260903-000401-default-f06-p5-jcs4</x:v>
      </x:c>
      <x:c r="B1431" s="34" t="str">
        <x:v>default</x:v>
      </x:c>
      <x:c r="C1431" s="34" t="str">
        <x:v>jcs4</x:v>
      </x:c>
      <x:c r="D1431" s="34" t="str">
        <x:v>jcs4</x:v>
      </x:c>
      <x:c r="E1431" s="36" t="n">
        <x:v>6</x:v>
      </x:c>
      <x:c r="F1431" s="36" t="n">
        <x:v>6</x:v>
      </x:c>
      <x:c r="G1431" s="36" t="n">
        <x:v>5</x:v>
      </x:c>
      <x:c r="H1431" s="36" t="n">
        <x:v>5</x:v>
      </x:c>
      <x:c r="I1431" s="34" t="str">
        <x:v>loaded</x:v>
      </x:c>
      <x:c r="J1431" s="34" t="str">
        <x:v>loaded</x:v>
      </x:c>
      <x:c r="K1431" s="36" t="n">
        <x:v>0</x:v>
      </x:c>
      <x:c r="L1431" s="34" t="str">
        <x:v>initial</x:v>
      </x:c>
      <x:c r="M1431" s="34" t="str">
        <x:v>article1-unified-v4-2-fb3f101b-20260903-000401-default-f06-p5-jcs4-5-loaded</x:v>
      </x:c>
      <x:c r="N1431" s="38" t="n">
        <x:v>46268.11857414352</x:v>
      </x:c>
      <x:c r="O1431" s="36" t="n">
        <x:v>0</x:v>
      </x:c>
      <x:c r="P1431" s="43" t="n">
        <x:v>182492160</x:v>
      </x:c>
      <x:c r="Q1431" s="43" t="n">
        <x:v>268435456</x:v>
      </x:c>
      <x:c r="R1431" s="43" t="n">
        <x:v>446135296</x:v>
      </x:c>
      <x:c r="S1431" s="36" t="n">
        <x:v>3</x:v>
      </x:c>
      <x:c r="T1431" s="44" t="str">
        <x:v>0x0000000049116bd8  0x0000000049003818  0x000078b0dc5f8ea0       0         0         0  org.apache.catalina.loader.ParallelWebappClassLoader | 0x0000000049116bd8  0x0000000049003818  0x000078aff8198340    4393  20958208  20940864  org.apache.catalina.loader.ParallelWebappClassLoader | 0x0000000049116bd8  0x0000000049003818  0x000078b034035e60    4403  20996096  20978544  org.apache.catalina.loader.ParallelWebappClassLoader</x:v>
      </x:c>
      <x:c r="U1431" s="36" t="n">
        <x:v>28</x:v>
      </x:c>
      <x:c r="V1431" s="36" t="n">
        <x:v>1</x:v>
      </x:c>
      <x:c r="W1431" s="44" t="str">
        <x:v>jcs4-thread-pool-event-queue:JCS-ThreadPoolManager-ElementEventQueue-Thread-28#388</x:v>
      </x:c>
      <x:c r="X1431" s="36"/>
      <x:c r="Y1431" s="36"/>
      <x:c r="Z1431" s="44"/>
      <x:c r="AA1431" s="49"/>
      <x:c r="AB1431" s="43"/>
      <x:c r="AC1431" s="34"/>
      <x:c r="AD1431" s="34"/>
      <x:c r="AE1431" s="34"/>
      <x:c r="AF1431" s="34"/>
      <x:c r="AG1431" s="34"/>
      <x:c r="AH1431" s="34"/>
      <x:c r="AI1431" s="34"/>
    </x:row>
    <x:row r="1432">
      <x:c r="A1432" s="34" t="str">
        <x:v>article1-unified-v4-2-fb3f101b-20260903-000401-default-f06-p5-jcs4</x:v>
      </x:c>
      <x:c r="B1432" s="34" t="str">
        <x:v>default</x:v>
      </x:c>
      <x:c r="C1432" s="34" t="str">
        <x:v>jcs4</x:v>
      </x:c>
      <x:c r="D1432" s="34" t="str">
        <x:v>jcs4</x:v>
      </x:c>
      <x:c r="E1432" s="36" t="n">
        <x:v>6</x:v>
      </x:c>
      <x:c r="F1432" s="36" t="n">
        <x:v>6</x:v>
      </x:c>
      <x:c r="G1432" s="36" t="n">
        <x:v>5</x:v>
      </x:c>
      <x:c r="H1432" s="36" t="n">
        <x:v>5</x:v>
      </x:c>
      <x:c r="I1432" s="34" t="str">
        <x:v>afterUndeployEarly</x:v>
      </x:c>
      <x:c r="J1432" s="34" t="str">
        <x:v>after-undeploy-early</x:v>
      </x:c>
      <x:c r="K1432" s="36" t="n">
        <x:v>1</x:v>
      </x:c>
      <x:c r="L1432" s="34" t="str">
        <x:v>early</x:v>
      </x:c>
      <x:c r="M1432" s="34" t="str">
        <x:v>article1-unified-v4-2-fb3f101b-20260903-000401-default-f06-p5-jcs4-5-after-undeploy-early-2s</x:v>
      </x:c>
      <x:c r="N1432" s="38" t="n">
        <x:v>46268.11865733796</x:v>
      </x:c>
      <x:c r="O1432" s="36"/>
      <x:c r="P1432" s="43"/>
      <x:c r="Q1432" s="43"/>
      <x:c r="R1432" s="43"/>
      <x:c r="S1432" s="36"/>
      <x:c r="T1432" s="44"/>
      <x:c r="U1432" s="36" t="n">
        <x:v>27</x:v>
      </x:c>
      <x:c r="V1432" s="36" t="n">
        <x:v>0</x:v>
      </x:c>
      <x:c r="W1432" s="44"/>
      <x:c r="X1432" s="36"/>
      <x:c r="Y1432" s="36"/>
      <x:c r="Z1432" s="44"/>
      <x:c r="AA1432" s="49"/>
      <x:c r="AB1432" s="43" t="n">
        <x:v>5</x:v>
      </x:c>
      <x:c r="AC1432" s="34"/>
      <x:c r="AD1432" s="34"/>
      <x:c r="AE1432" s="34" t="str">
        <x:v>article1-unified-v4-2-fb3f101b-20260903-000401-default-f06-p5-jcs4-5-after-undeploy-early-2s-thread-dump.txt</x:v>
      </x:c>
      <x:c r="AF1432" s="34" t="str">
        <x:v>article1-unified-v4-2-fb3f101b-20260903-000401-default-f06-p5-jcs4-5-after-undeploy-early-tomcat-log.txt</x:v>
      </x:c>
      <x:c r="AG1432" s="34"/>
      <x:c r="AH1432" s="34"/>
      <x:c r="AI1432" s="34"/>
    </x:row>
    <x:row r="1433">
      <x:c r="A1433" s="34" t="str">
        <x:v>article1-unified-v4-2-fb3f101b-20260903-000401-default-f06-p5-jcs4</x:v>
      </x:c>
      <x:c r="B1433" s="34" t="str">
        <x:v>default</x:v>
      </x:c>
      <x:c r="C1433" s="34" t="str">
        <x:v>jcs4</x:v>
      </x:c>
      <x:c r="D1433" s="34" t="str">
        <x:v>jcs4</x:v>
      </x:c>
      <x:c r="E1433" s="36" t="n">
        <x:v>6</x:v>
      </x:c>
      <x:c r="F1433" s="36" t="n">
        <x:v>6</x:v>
      </x:c>
      <x:c r="G1433" s="36" t="n">
        <x:v>5</x:v>
      </x:c>
      <x:c r="H1433" s="36" t="n">
        <x:v>5</x:v>
      </x:c>
      <x:c r="I1433" s="34" t="str">
        <x:v>afterUndeploy</x:v>
      </x:c>
      <x:c r="J1433" s="34" t="str">
        <x:v>after-undeploy-final</x:v>
      </x:c>
      <x:c r="K1433" s="36" t="n">
        <x:v>1</x:v>
      </x:c>
      <x:c r="L1433" s="34" t="str">
        <x:v>final</x:v>
      </x:c>
      <x:c r="M1433" s="34" t="str">
        <x:v>article1-unified-v4-2-fb3f101b-20260903-000401-default-f06-p5-jcs4-5-after-undeploy-final-10s</x:v>
      </x:c>
      <x:c r="N1433" s="38" t="n">
        <x:v>46268.118810023145</x:v>
      </x:c>
      <x:c r="O1433" s="36" t="n">
        <x:v>2</x:v>
      </x:c>
      <x:c r="P1433" s="43" t="n">
        <x:v>15831040</x:v>
      </x:c>
      <x:c r="Q1433" s="43" t="n">
        <x:v>268435456</x:v>
      </x:c>
      <x:c r="R1433" s="43" t="n">
        <x:v>425345024</x:v>
      </x:c>
      <x:c r="S1433" s="36" t="n">
        <x:v>2</x:v>
      </x:c>
      <x:c r="T1433" s="44" t="str">
        <x:v>0x0000000049116bd8  0x0000000049003818  0x000078aff8198340    4407  21007360  20976256  org.apache.catalina.loader.ParallelWebappClassLoader | 0x0000000049116bd8  0x0000000049003818  0x000078b0dc5f8ea0       0         0         0  org.apache.catalina.loader.ParallelWebappClassLoader</x:v>
      </x:c>
      <x:c r="U1433" s="36" t="n">
        <x:v>27</x:v>
      </x:c>
      <x:c r="V1433" s="36" t="n">
        <x:v>0</x:v>
      </x:c>
      <x:c r="W1433" s="44"/>
      <x:c r="X1433" s="36" t="n">
        <x:v>1</x:v>
      </x:c>
      <x:c r="Y1433" s="36" t="n">
        <x:v>1</x:v>
      </x:c>
      <x:c r="Z1433" s="44" t="str">
        <x:v>/jcs4</x:v>
      </x:c>
      <x:c r="AA1433" s="45" t="b">
        <x:v>1</x:v>
      </x:c>
      <x:c r="AB1433" s="43"/>
      <x:c r="AC1433" s="34" t="str">
        <x:v>article1-unified-v4-2-fb3f101b-20260903-000401-default-f06-p5-jcs4-5-after-undeploy-final-10s-heap-info.txt</x:v>
      </x:c>
      <x:c r="AD1433" s="34" t="str">
        <x:v>article1-unified-v4-2-fb3f101b-20260903-000401-default-f06-p5-jcs4-5-after-undeploy-final-10s-classloader-stats.txt</x:v>
      </x:c>
      <x:c r="AE1433" s="34" t="str">
        <x:v>article1-unified-v4-2-fb3f101b-20260903-000401-default-f06-p5-jcs4-5-after-undeploy-final-10s-thread-dump.txt</x:v>
      </x:c>
      <x:c r="AF1433" s="34"/>
      <x:c r="AG1433" s="34" t="str">
        <x:v>article1-unified-v4-2-fb3f101b-20260903-000401-default-f06-p5-jcs4-5-after-undeploy-final-10s-native-memory.txt</x:v>
      </x:c>
      <x:c r="AH1433" s="34" t="str">
        <x:v>article1-unified-v4-2-fb3f101b-20260903-000401-default-f06-p5-jcs4-5-after-undeploy-final-10s-class-histogram.txt</x:v>
      </x:c>
      <x:c r="AI1433" s="34" t="str">
        <x:v>article1-unified-v4-2-fb3f101b-20260903-000401-default-f06-p5-jcs4-5-after-undeploy-tomcat-findleaks.txt</x:v>
      </x:c>
    </x:row>
    <x:row r="1434">
      <x:c r="A1434" s="34" t="str">
        <x:v>article1-unified-v4-2-fb3f101b-20260903-000401-default-f06-p5-jcs4</x:v>
      </x:c>
      <x:c r="B1434" s="34" t="str">
        <x:v>default</x:v>
      </x:c>
      <x:c r="C1434" s="34" t="str">
        <x:v>jcs4</x:v>
      </x:c>
      <x:c r="D1434" s="34" t="str">
        <x:v>jcs4</x:v>
      </x:c>
      <x:c r="E1434" s="36" t="n">
        <x:v>6</x:v>
      </x:c>
      <x:c r="F1434" s="36" t="n">
        <x:v>6</x:v>
      </x:c>
      <x:c r="G1434" s="36" t="n">
        <x:v>5</x:v>
      </x:c>
      <x:c r="H1434" s="36" t="n">
        <x:v>5</x:v>
      </x:c>
      <x:c r="I1434" s="34" t="str">
        <x:v>redeployedLoaded</x:v>
      </x:c>
      <x:c r="J1434" s="34" t="str">
        <x:v>redeployed-loaded</x:v>
      </x:c>
      <x:c r="K1434" s="36" t="n">
        <x:v>0</x:v>
      </x:c>
      <x:c r="L1434" s="34" t="str">
        <x:v>redeploy</x:v>
      </x:c>
      <x:c r="M1434" s="34" t="str">
        <x:v>article1-unified-v4-2-fb3f101b-20260903-000401-default-f06-p5-jcs4-5-redeployed-loaded</x:v>
      </x:c>
      <x:c r="N1434" s="38" t="n">
        <x:v>46268.11906630787</x:v>
      </x:c>
      <x:c r="O1434" s="36" t="n">
        <x:v>0</x:v>
      </x:c>
      <x:c r="P1434" s="43" t="n">
        <x:v>45400064</x:v>
      </x:c>
      <x:c r="Q1434" s="43" t="n">
        <x:v>268435456</x:v>
      </x:c>
      <x:c r="R1434" s="43" t="n">
        <x:v>445435904</x:v>
      </x:c>
      <x:c r="S1434" s="36" t="n">
        <x:v>3</x:v>
      </x:c>
      <x:c r="T1434" s="44" t="str">
        <x:v>0x0000000049116bd8  0x0000000049003818  0x000078aff8198340    4407  21007360  20976256  org.apache.catalina.loader.ParallelWebappClassLoader | 0x0000000049116bd8  0x0000000049003818  0x000078b0dc5f8ea0       0         0         0  org.apache.catalina.loader.ParallelWebappClassLoader | 0x0000000049116bd8  0x0000000049003818  0x000078b050457100    4393  20948992  20941776  org.apache.catalina.loader.ParallelWebappClassLoader</x:v>
      </x:c>
      <x:c r="U1434" s="36" t="n">
        <x:v>28</x:v>
      </x:c>
      <x:c r="V1434" s="36" t="n">
        <x:v>1</x:v>
      </x:c>
      <x:c r="W1434" s="44" t="str">
        <x:v>jcs4-thread-pool-event-queue:JCS-ThreadPoolManager-ElementEventQueue-Thread-31#431</x:v>
      </x:c>
      <x:c r="X1434" s="36"/>
      <x:c r="Y1434" s="36"/>
      <x:c r="Z1434" s="44"/>
      <x:c r="AA1434" s="49"/>
      <x:c r="AB1434" s="43"/>
      <x:c r="AC1434" s="34"/>
      <x:c r="AD1434" s="34"/>
      <x:c r="AE1434" s="34"/>
      <x:c r="AF1434" s="34"/>
      <x:c r="AG1434" s="34"/>
      <x:c r="AH1434" s="34"/>
      <x:c r="AI1434" s="34"/>
    </x:row>
    <x:row r="1435">
      <x:c r="A1435" s="34" t="str">
        <x:v>article1-unified-v4-2-fb3f101b-20260903-000401-default-f06-p5-jcs4</x:v>
      </x:c>
      <x:c r="B1435" s="34" t="str">
        <x:v>default</x:v>
      </x:c>
      <x:c r="C1435" s="34" t="str">
        <x:v>jcs4</x:v>
      </x:c>
      <x:c r="D1435" s="34" t="str">
        <x:v>jcs4</x:v>
      </x:c>
      <x:c r="E1435" s="36" t="n">
        <x:v>6</x:v>
      </x:c>
      <x:c r="F1435" s="36" t="n">
        <x:v>6</x:v>
      </x:c>
      <x:c r="G1435" s="36" t="n">
        <x:v>5</x:v>
      </x:c>
      <x:c r="H1435" s="36" t="n">
        <x:v>5</x:v>
      </x:c>
      <x:c r="I1435" s="34" t="str">
        <x:v>afterFinalUndeployEarly</x:v>
      </x:c>
      <x:c r="J1435" s="34" t="str">
        <x:v>after-final-undeploy-early</x:v>
      </x:c>
      <x:c r="K1435" s="36" t="n">
        <x:v>2</x:v>
      </x:c>
      <x:c r="L1435" s="34" t="str">
        <x:v>early</x:v>
      </x:c>
      <x:c r="M1435" s="34" t="str">
        <x:v>article1-unified-v4-2-fb3f101b-20260903-000401-default-f06-p5-jcs4-5-after-final-undeploy-early-2s</x:v>
      </x:c>
      <x:c r="N1435" s="38" t="n">
        <x:v>46268.11915111111</x:v>
      </x:c>
      <x:c r="O1435" s="36"/>
      <x:c r="P1435" s="43"/>
      <x:c r="Q1435" s="43"/>
      <x:c r="R1435" s="43"/>
      <x:c r="S1435" s="36"/>
      <x:c r="T1435" s="44"/>
      <x:c r="U1435" s="36" t="n">
        <x:v>27</x:v>
      </x:c>
      <x:c r="V1435" s="36" t="n">
        <x:v>0</x:v>
      </x:c>
      <x:c r="W1435" s="44"/>
      <x:c r="X1435" s="36"/>
      <x:c r="Y1435" s="36"/>
      <x:c r="Z1435" s="44"/>
      <x:c r="AA1435" s="49"/>
      <x:c r="AB1435" s="43" t="n">
        <x:v>5</x:v>
      </x:c>
      <x:c r="AC1435" s="34"/>
      <x:c r="AD1435" s="34"/>
      <x:c r="AE1435" s="34" t="str">
        <x:v>article1-unified-v4-2-fb3f101b-20260903-000401-default-f06-p5-jcs4-5-after-final-undeploy-early-2s-thread-dump.txt</x:v>
      </x:c>
      <x:c r="AF1435" s="34" t="str">
        <x:v>article1-unified-v4-2-fb3f101b-20260903-000401-default-f06-p5-jcs4-5-after-final-undeploy-early-tomcat-log.txt</x:v>
      </x:c>
      <x:c r="AG1435" s="34"/>
      <x:c r="AH1435" s="34"/>
      <x:c r="AI1435" s="34"/>
    </x:row>
    <x:row r="1436">
      <x:c r="A1436" s="34" t="str">
        <x:v>article1-unified-v4-2-fb3f101b-20260903-000401-default-f06-p5-jcs4</x:v>
      </x:c>
      <x:c r="B1436" s="34" t="str">
        <x:v>default</x:v>
      </x:c>
      <x:c r="C1436" s="34" t="str">
        <x:v>jcs4</x:v>
      </x:c>
      <x:c r="D1436" s="34" t="str">
        <x:v>jcs4</x:v>
      </x:c>
      <x:c r="E1436" s="36" t="n">
        <x:v>6</x:v>
      </x:c>
      <x:c r="F1436" s="36" t="n">
        <x:v>6</x:v>
      </x:c>
      <x:c r="G1436" s="36" t="n">
        <x:v>5</x:v>
      </x:c>
      <x:c r="H1436" s="36" t="n">
        <x:v>5</x:v>
      </x:c>
      <x:c r="I1436" s="34" t="str">
        <x:v>afterFinalUndeploy</x:v>
      </x:c>
      <x:c r="J1436" s="34" t="str">
        <x:v>after-final-undeploy-final</x:v>
      </x:c>
      <x:c r="K1436" s="36" t="n">
        <x:v>2</x:v>
      </x:c>
      <x:c r="L1436" s="34" t="str">
        <x:v>final</x:v>
      </x:c>
      <x:c r="M1436" s="34" t="str">
        <x:v>article1-unified-v4-2-fb3f101b-20260903-000401-default-f06-p5-jcs4-5-after-final-undeploy-final-10s</x:v>
      </x:c>
      <x:c r="N1436" s="38" t="n">
        <x:v>46268.11931011574</x:v>
      </x:c>
      <x:c r="O1436" s="36" t="n">
        <x:v>2</x:v>
      </x:c>
      <x:c r="P1436" s="43" t="n">
        <x:v>15872000</x:v>
      </x:c>
      <x:c r="Q1436" s="43" t="n">
        <x:v>268435456</x:v>
      </x:c>
      <x:c r="R1436" s="43" t="n">
        <x:v>429965312</x:v>
      </x:c>
      <x:c r="S1436" s="36" t="n">
        <x:v>2</x:v>
      </x:c>
      <x:c r="T1436" s="44" t="str">
        <x:v>0x0000000049116bd8  0x0000000049003818  0x000078b0dc5f8ea0       0         0         0  org.apache.catalina.loader.ParallelWebappClassLoader | 0x0000000049116bd8  0x0000000049003818  0x000078b050457100    4407  20998144  20977168  org.apache.catalina.loader.ParallelWebappClassLoader</x:v>
      </x:c>
      <x:c r="U1436" s="36" t="n">
        <x:v>27</x:v>
      </x:c>
      <x:c r="V1436" s="36" t="n">
        <x:v>0</x:v>
      </x:c>
      <x:c r="W1436" s="44"/>
      <x:c r="X1436" s="36" t="n">
        <x:v>1</x:v>
      </x:c>
      <x:c r="Y1436" s="36" t="n">
        <x:v>1</x:v>
      </x:c>
      <x:c r="Z1436" s="44" t="str">
        <x:v>/jcs4</x:v>
      </x:c>
      <x:c r="AA1436" s="45" t="b">
        <x:v>1</x:v>
      </x:c>
      <x:c r="AB1436" s="43"/>
      <x:c r="AC1436" s="34" t="str">
        <x:v>article1-unified-v4-2-fb3f101b-20260903-000401-default-f06-p5-jcs4-5-after-final-undeploy-final-10s-heap-info.txt</x:v>
      </x:c>
      <x:c r="AD1436" s="34" t="str">
        <x:v>article1-unified-v4-2-fb3f101b-20260903-000401-default-f06-p5-jcs4-5-after-final-undeploy-final-10s-classloader-stats.txt</x:v>
      </x:c>
      <x:c r="AE1436" s="34" t="str">
        <x:v>article1-unified-v4-2-fb3f101b-20260903-000401-default-f06-p5-jcs4-5-after-final-undeploy-final-10s-thread-dump.txt</x:v>
      </x:c>
      <x:c r="AF1436" s="34"/>
      <x:c r="AG1436" s="34" t="str">
        <x:v>article1-unified-v4-2-fb3f101b-20260903-000401-default-f06-p5-jcs4-5-after-final-undeploy-final-10s-native-memory.txt</x:v>
      </x:c>
      <x:c r="AH1436" s="34" t="str">
        <x:v>article1-unified-v4-2-fb3f101b-20260903-000401-default-f06-p5-jcs4-5-after-final-undeploy-final-10s-class-histogram.txt</x:v>
      </x:c>
      <x:c r="AI1436" s="34" t="str">
        <x:v>article1-unified-v4-2-fb3f101b-20260903-000401-default-f06-p5-jcs4-5-after-final-undeploy-tomcat-findleaks.txt</x:v>
      </x:c>
    </x:row>
    <x:row r="1437">
      <x:c r="A1437" s="34" t="str">
        <x:v>article1-unified-v4-2-fb3f101b-20260903-000401-default-f06-p6-cache2k</x:v>
      </x:c>
      <x:c r="B1437" s="34" t="str">
        <x:v>default</x:v>
      </x:c>
      <x:c r="C1437" s="34" t="str">
        <x:v>cache2k</x:v>
      </x:c>
      <x:c r="D1437" s="34" t="str">
        <x:v>cache2k</x:v>
      </x:c>
      <x:c r="E1437" s="36" t="n">
        <x:v>6</x:v>
      </x:c>
      <x:c r="F1437" s="36" t="n">
        <x:v>6</x:v>
      </x:c>
      <x:c r="G1437" s="36" t="n">
        <x:v>6</x:v>
      </x:c>
      <x:c r="H1437" s="36" t="n">
        <x:v>0</x:v>
      </x:c>
      <x:c r="I1437" s="34" t="str">
        <x:v>processBaseline</x:v>
      </x:c>
      <x:c r="J1437" s="34" t="str">
        <x:v>process-baseline</x:v>
      </x:c>
      <x:c r="K1437" s="36" t="n">
        <x:v>0</x:v>
      </x:c>
      <x:c r="L1437" s="34" t="str">
        <x:v>baseline</x:v>
      </x:c>
      <x:c r="M1437" s="34" t="str">
        <x:v>article1-unified-v4-2-fb3f101b-20260903-000401-default-f06-p6-cache2k-process-baseline</x:v>
      </x:c>
      <x:c r="N1437" s="38" t="n">
        <x:v>46268.1195590625</x:v>
      </x:c>
      <x:c r="O1437" s="36" t="n">
        <x:v>0</x:v>
      </x:c>
      <x:c r="P1437" s="43" t="n">
        <x:v>32726016</x:v>
      </x:c>
      <x:c r="Q1437" s="43" t="n">
        <x:v>270532608</x:v>
      </x:c>
      <x:c r="R1437" s="43" t="n">
        <x:v>369262592</x:v>
      </x:c>
      <x:c r="S1437" s="36" t="n">
        <x:v>1</x:v>
      </x:c>
      <x:c r="T1437" s="44" t="str">
        <x:v>0x0000000065116bd8  0x0000000065003818  0x00007213305f1100       0         0         0  org.apache.catalina.loader.ParallelWebappClassLoader</x:v>
      </x:c>
      <x:c r="U1437" s="36" t="n">
        <x:v>27</x:v>
      </x:c>
      <x:c r="V1437" s="36" t="n">
        <x:v>0</x:v>
      </x:c>
      <x:c r="W1437" s="44"/>
      <x:c r="X1437" s="36"/>
      <x:c r="Y1437" s="36"/>
      <x:c r="Z1437" s="44"/>
      <x:c r="AA1437" s="49"/>
      <x:c r="AB1437" s="43"/>
      <x:c r="AC1437" s="34" t="str">
        <x:v>article1-unified-v4-2-fb3f101b-20260903-000401-default-f06-p6-cache2k-process-baseline-heap-info.txt</x:v>
      </x:c>
      <x:c r="AD1437" s="34" t="str">
        <x:v>article1-unified-v4-2-fb3f101b-20260903-000401-default-f06-p6-cache2k-process-baseline-classloader-stats.txt</x:v>
      </x:c>
      <x:c r="AE1437" s="34" t="str">
        <x:v>article1-unified-v4-2-fb3f101b-20260903-000401-default-f06-p6-cache2k-process-baseline-thread-dump.txt</x:v>
      </x:c>
      <x:c r="AF1437" s="34"/>
      <x:c r="AG1437" s="34" t="str">
        <x:v>article1-unified-v4-2-fb3f101b-20260903-000401-default-f06-p6-cache2k-process-baseline-native-memory.txt</x:v>
      </x:c>
      <x:c r="AH1437" s="34"/>
      <x:c r="AI1437" s="34"/>
    </x:row>
    <x:row r="1438">
      <x:c r="A1438" s="34" t="str">
        <x:v>article1-unified-v4-2-fb3f101b-20260903-000401-default-f06-p6-cache2k</x:v>
      </x:c>
      <x:c r="B1438" s="34" t="str">
        <x:v>default</x:v>
      </x:c>
      <x:c r="C1438" s="34" t="str">
        <x:v>cache2k</x:v>
      </x:c>
      <x:c r="D1438" s="34" t="str">
        <x:v>cache2k</x:v>
      </x:c>
      <x:c r="E1438" s="36" t="n">
        <x:v>6</x:v>
      </x:c>
      <x:c r="F1438" s="36" t="n">
        <x:v>6</x:v>
      </x:c>
      <x:c r="G1438" s="36" t="n">
        <x:v>6</x:v>
      </x:c>
      <x:c r="H1438" s="36" t="n">
        <x:v>1</x:v>
      </x:c>
      <x:c r="I1438" s="34" t="str">
        <x:v>baseline</x:v>
      </x:c>
      <x:c r="J1438" s="34" t="str">
        <x:v>cycle-baseline</x:v>
      </x:c>
      <x:c r="K1438" s="36" t="n">
        <x:v>0</x:v>
      </x:c>
      <x:c r="L1438" s="34" t="str">
        <x:v>baseline</x:v>
      </x:c>
      <x:c r="M1438" s="34" t="str">
        <x:v>article1-unified-v4-2-fb3f101b-20260903-000401-default-f06-p6-cache2k-1-baseline</x:v>
      </x:c>
      <x:c r="N1438" s="38" t="n">
        <x:v>46268.11974439815</x:v>
      </x:c>
      <x:c r="O1438" s="36" t="n">
        <x:v>0</x:v>
      </x:c>
      <x:c r="P1438" s="43" t="n">
        <x:v>32726016</x:v>
      </x:c>
      <x:c r="Q1438" s="43" t="n">
        <x:v>270532608</x:v>
      </x:c>
      <x:c r="R1438" s="43" t="n">
        <x:v>369848320</x:v>
      </x:c>
      <x:c r="S1438" s="36" t="n">
        <x:v>1</x:v>
      </x:c>
      <x:c r="T1438" s="44" t="str">
        <x:v>0x0000000065116bd8  0x0000000065003818  0x00007213305f1100       0         0         0  org.apache.catalina.loader.ParallelWebappClassLoader</x:v>
      </x:c>
      <x:c r="U1438" s="36" t="n">
        <x:v>27</x:v>
      </x:c>
      <x:c r="V1438" s="36" t="n">
        <x:v>0</x:v>
      </x:c>
      <x:c r="W1438" s="44"/>
      <x:c r="X1438" s="36"/>
      <x:c r="Y1438" s="36"/>
      <x:c r="Z1438" s="44"/>
      <x:c r="AA1438" s="49"/>
      <x:c r="AB1438" s="43"/>
      <x:c r="AC1438" s="34" t="str">
        <x:v>article1-unified-v4-2-fb3f101b-20260903-000401-default-f06-p6-cache2k-1-baseline-heap-info.txt</x:v>
      </x:c>
      <x:c r="AD1438" s="34" t="str">
        <x:v>article1-unified-v4-2-fb3f101b-20260903-000401-default-f06-p6-cache2k-1-baseline-classloader-stats.txt</x:v>
      </x:c>
      <x:c r="AE1438" s="34" t="str">
        <x:v>article1-unified-v4-2-fb3f101b-20260903-000401-default-f06-p6-cache2k-1-baseline-thread-dump.txt</x:v>
      </x:c>
      <x:c r="AF1438" s="34"/>
      <x:c r="AG1438" s="34" t="str">
        <x:v>article1-unified-v4-2-fb3f101b-20260903-000401-default-f06-p6-cache2k-1-baseline-native-memory.txt</x:v>
      </x:c>
      <x:c r="AH1438" s="34"/>
      <x:c r="AI1438" s="34"/>
    </x:row>
    <x:row r="1439">
      <x:c r="A1439" s="34" t="str">
        <x:v>article1-unified-v4-2-fb3f101b-20260903-000401-default-f06-p6-cache2k</x:v>
      </x:c>
      <x:c r="B1439" s="34" t="str">
        <x:v>default</x:v>
      </x:c>
      <x:c r="C1439" s="34" t="str">
        <x:v>cache2k</x:v>
      </x:c>
      <x:c r="D1439" s="34" t="str">
        <x:v>cache2k</x:v>
      </x:c>
      <x:c r="E1439" s="36" t="n">
        <x:v>6</x:v>
      </x:c>
      <x:c r="F1439" s="36" t="n">
        <x:v>6</x:v>
      </x:c>
      <x:c r="G1439" s="36" t="n">
        <x:v>6</x:v>
      </x:c>
      <x:c r="H1439" s="36" t="n">
        <x:v>1</x:v>
      </x:c>
      <x:c r="I1439" s="34" t="str">
        <x:v>deployedIdle</x:v>
      </x:c>
      <x:c r="J1439" s="34" t="str">
        <x:v>deployed-idle</x:v>
      </x:c>
      <x:c r="K1439" s="36" t="n">
        <x:v>0</x:v>
      </x:c>
      <x:c r="L1439" s="34" t="str">
        <x:v>initial</x:v>
      </x:c>
      <x:c r="M1439" s="34" t="str">
        <x:v>article1-unified-v4-2-fb3f101b-20260903-000401-default-f06-p6-cache2k-1-deployed-idle</x:v>
      </x:c>
      <x:c r="N1439" s="38" t="n">
        <x:v>46268.119850902774</x:v>
      </x:c>
      <x:c r="O1439" s="36" t="n">
        <x:v>0</x:v>
      </x:c>
      <x:c r="P1439" s="43" t="n">
        <x:v>22297600</x:v>
      </x:c>
      <x:c r="Q1439" s="43" t="n">
        <x:v>268435456</x:v>
      </x:c>
      <x:c r="R1439" s="43" t="n">
        <x:v>407851008</x:v>
      </x:c>
      <x:c r="S1439" s="36" t="n">
        <x:v>2</x:v>
      </x:c>
      <x:c r="T1439" s="44" t="str">
        <x:v>0x0000000065116bd8  0x0000000065003818  0x00007213305f1100       0         0         0  org.apache.catalina.loader.ParallelWebappClassLoader | 0x0000000065116bd8  0x0000000065003818  0x0000721288107ae0    4091  19426304  19412376  org.apache.catalina.loader.ParallelWebappClassLoader</x:v>
      </x:c>
      <x:c r="U1439" s="36" t="n">
        <x:v>27</x:v>
      </x:c>
      <x:c r="V1439" s="36" t="n">
        <x:v>0</x:v>
      </x:c>
      <x:c r="W1439" s="44"/>
      <x:c r="X1439" s="36"/>
      <x:c r="Y1439" s="36"/>
      <x:c r="Z1439" s="44"/>
      <x:c r="AA1439" s="49"/>
      <x:c r="AB1439" s="43"/>
      <x:c r="AC1439" s="34"/>
      <x:c r="AD1439" s="34"/>
      <x:c r="AE1439" s="34"/>
      <x:c r="AF1439" s="34"/>
      <x:c r="AG1439" s="34"/>
      <x:c r="AH1439" s="34"/>
      <x:c r="AI1439" s="34"/>
    </x:row>
    <x:row r="1440">
      <x:c r="A1440" s="34" t="str">
        <x:v>article1-unified-v4-2-fb3f101b-20260903-000401-default-f06-p6-cache2k</x:v>
      </x:c>
      <x:c r="B1440" s="34" t="str">
        <x:v>default</x:v>
      </x:c>
      <x:c r="C1440" s="34" t="str">
        <x:v>cache2k</x:v>
      </x:c>
      <x:c r="D1440" s="34" t="str">
        <x:v>cache2k</x:v>
      </x:c>
      <x:c r="E1440" s="36" t="n">
        <x:v>6</x:v>
      </x:c>
      <x:c r="F1440" s="36" t="n">
        <x:v>6</x:v>
      </x:c>
      <x:c r="G1440" s="36" t="n">
        <x:v>6</x:v>
      </x:c>
      <x:c r="H1440" s="36" t="n">
        <x:v>1</x:v>
      </x:c>
      <x:c r="I1440" s="34" t="str">
        <x:v>loaded</x:v>
      </x:c>
      <x:c r="J1440" s="34" t="str">
        <x:v>loaded</x:v>
      </x:c>
      <x:c r="K1440" s="36" t="n">
        <x:v>0</x:v>
      </x:c>
      <x:c r="L1440" s="34" t="str">
        <x:v>initial</x:v>
      </x:c>
      <x:c r="M1440" s="34" t="str">
        <x:v>article1-unified-v4-2-fb3f101b-20260903-000401-default-f06-p6-cache2k-1-loaded</x:v>
      </x:c>
      <x:c r="N1440" s="38" t="n">
        <x:v>46268.120002476855</x:v>
      </x:c>
      <x:c r="O1440" s="36" t="n">
        <x:v>0</x:v>
      </x:c>
      <x:c r="P1440" s="43" t="n">
        <x:v>219660288</x:v>
      </x:c>
      <x:c r="Q1440" s="43" t="n">
        <x:v>268435456</x:v>
      </x:c>
      <x:c r="R1440" s="43" t="n">
        <x:v>410409984</x:v>
      </x:c>
      <x:c r="S1440" s="36" t="n">
        <x:v>2</x:v>
      </x:c>
      <x:c r="T1440" s="44" t="str">
        <x:v>0x0000000065116bd8  0x0000000065003818  0x0000721288107ae0    4449  21229568  21213552  org.apache.catalina.loader.ParallelWebappClassLoader | 0x0000000065116bd8  0x0000000065003818  0x00007213305f1100       0         0         0  org.apache.catalina.loader.ParallelWebappClassLoader</x:v>
      </x:c>
      <x:c r="U1440" s="36" t="n">
        <x:v>28</x:v>
      </x:c>
      <x:c r="V1440" s="36" t="n">
        <x:v>0</x:v>
      </x:c>
      <x:c r="W1440" s="44"/>
      <x:c r="X1440" s="36"/>
      <x:c r="Y1440" s="36"/>
      <x:c r="Z1440" s="44"/>
      <x:c r="AA1440" s="49"/>
      <x:c r="AB1440" s="43"/>
      <x:c r="AC1440" s="34"/>
      <x:c r="AD1440" s="34"/>
      <x:c r="AE1440" s="34"/>
      <x:c r="AF1440" s="34"/>
      <x:c r="AG1440" s="34"/>
      <x:c r="AH1440" s="34"/>
      <x:c r="AI1440" s="34"/>
    </x:row>
    <x:row r="1441">
      <x:c r="A1441" s="34" t="str">
        <x:v>article1-unified-v4-2-fb3f101b-20260903-000401-default-f06-p6-cache2k</x:v>
      </x:c>
      <x:c r="B1441" s="34" t="str">
        <x:v>default</x:v>
      </x:c>
      <x:c r="C1441" s="34" t="str">
        <x:v>cache2k</x:v>
      </x:c>
      <x:c r="D1441" s="34" t="str">
        <x:v>cache2k</x:v>
      </x:c>
      <x:c r="E1441" s="36" t="n">
        <x:v>6</x:v>
      </x:c>
      <x:c r="F1441" s="36" t="n">
        <x:v>6</x:v>
      </x:c>
      <x:c r="G1441" s="36" t="n">
        <x:v>6</x:v>
      </x:c>
      <x:c r="H1441" s="36" t="n">
        <x:v>1</x:v>
      </x:c>
      <x:c r="I1441" s="34" t="str">
        <x:v>afterUndeployEarly</x:v>
      </x:c>
      <x:c r="J1441" s="34" t="str">
        <x:v>after-undeploy-early</x:v>
      </x:c>
      <x:c r="K1441" s="36" t="n">
        <x:v>1</x:v>
      </x:c>
      <x:c r="L1441" s="34" t="str">
        <x:v>early</x:v>
      </x:c>
      <x:c r="M1441" s="34" t="str">
        <x:v>article1-unified-v4-2-fb3f101b-20260903-000401-default-f06-p6-cache2k-1-after-undeploy-early-2s</x:v>
      </x:c>
      <x:c r="N1441" s="38" t="n">
        <x:v>46268.12008609954</x:v>
      </x:c>
      <x:c r="O1441" s="36"/>
      <x:c r="P1441" s="43"/>
      <x:c r="Q1441" s="43"/>
      <x:c r="R1441" s="43"/>
      <x:c r="S1441" s="36"/>
      <x:c r="T1441" s="44"/>
      <x:c r="U1441" s="36" t="n">
        <x:v>27</x:v>
      </x:c>
      <x:c r="V1441" s="36" t="n">
        <x:v>0</x:v>
      </x:c>
      <x:c r="W1441" s="44"/>
      <x:c r="X1441" s="36"/>
      <x:c r="Y1441" s="36"/>
      <x:c r="Z1441" s="44"/>
      <x:c r="AA1441" s="49"/>
      <x:c r="AB1441" s="43" t="n">
        <x:v>1</x:v>
      </x:c>
      <x:c r="AC1441" s="34"/>
      <x:c r="AD1441" s="34"/>
      <x:c r="AE1441" s="34" t="str">
        <x:v>article1-unified-v4-2-fb3f101b-20260903-000401-default-f06-p6-cache2k-1-after-undeploy-early-2s-thread-dump.txt</x:v>
      </x:c>
      <x:c r="AF1441" s="34" t="str">
        <x:v>article1-unified-v4-2-fb3f101b-20260903-000401-default-f06-p6-cache2k-1-after-undeploy-early-tomcat-log.txt</x:v>
      </x:c>
      <x:c r="AG1441" s="34"/>
      <x:c r="AH1441" s="34"/>
      <x:c r="AI1441" s="34"/>
    </x:row>
    <x:row r="1442">
      <x:c r="A1442" s="34" t="str">
        <x:v>article1-unified-v4-2-fb3f101b-20260903-000401-default-f06-p6-cache2k</x:v>
      </x:c>
      <x:c r="B1442" s="34" t="str">
        <x:v>default</x:v>
      </x:c>
      <x:c r="C1442" s="34" t="str">
        <x:v>cache2k</x:v>
      </x:c>
      <x:c r="D1442" s="34" t="str">
        <x:v>cache2k</x:v>
      </x:c>
      <x:c r="E1442" s="36" t="n">
        <x:v>6</x:v>
      </x:c>
      <x:c r="F1442" s="36" t="n">
        <x:v>6</x:v>
      </x:c>
      <x:c r="G1442" s="36" t="n">
        <x:v>6</x:v>
      </x:c>
      <x:c r="H1442" s="36" t="n">
        <x:v>1</x:v>
      </x:c>
      <x:c r="I1442" s="34" t="str">
        <x:v>afterUndeploy</x:v>
      </x:c>
      <x:c r="J1442" s="34" t="str">
        <x:v>after-undeploy-final</x:v>
      </x:c>
      <x:c r="K1442" s="36" t="n">
        <x:v>1</x:v>
      </x:c>
      <x:c r="L1442" s="34" t="str">
        <x:v>final</x:v>
      </x:c>
      <x:c r="M1442" s="34" t="str">
        <x:v>article1-unified-v4-2-fb3f101b-20260903-000401-default-f06-p6-cache2k-1-after-undeploy-final-10s</x:v>
      </x:c>
      <x:c r="N1442" s="38" t="n">
        <x:v>46268.12024295139</x:v>
      </x:c>
      <x:c r="O1442" s="36" t="n">
        <x:v>2</x:v>
      </x:c>
      <x:c r="P1442" s="43" t="n">
        <x:v>15685632</x:v>
      </x:c>
      <x:c r="Q1442" s="43" t="n">
        <x:v>268435456</x:v>
      </x:c>
      <x:c r="R1442" s="43" t="n">
        <x:v>409341952</x:v>
      </x:c>
      <x:c r="S1442" s="36" t="n">
        <x:v>2</x:v>
      </x:c>
      <x:c r="T1442" s="44" t="str">
        <x:v>0x0000000065116bd8  0x0000000065003818  0x0000721288107ae0    4459  21248000  21242208  org.apache.catalina.loader.ParallelWebappClassLoader | 0x0000000065116bd8  0x0000000065003818  0x00007213305f1100       0         0         0  org.apache.catalina.loader.ParallelWebappClassLoader</x:v>
      </x:c>
      <x:c r="U1442" s="36" t="n">
        <x:v>27</x:v>
      </x:c>
      <x:c r="V1442" s="36" t="n">
        <x:v>0</x:v>
      </x:c>
      <x:c r="W1442" s="44"/>
      <x:c r="X1442" s="36" t="n">
        <x:v>1</x:v>
      </x:c>
      <x:c r="Y1442" s="36" t="n">
        <x:v>1</x:v>
      </x:c>
      <x:c r="Z1442" s="44" t="str">
        <x:v>/cache2k</x:v>
      </x:c>
      <x:c r="AA1442" s="45" t="b">
        <x:v>1</x:v>
      </x:c>
      <x:c r="AB1442" s="43"/>
      <x:c r="AC1442" s="34" t="str">
        <x:v>article1-unified-v4-2-fb3f101b-20260903-000401-default-f06-p6-cache2k-1-after-undeploy-final-10s-heap-info.txt</x:v>
      </x:c>
      <x:c r="AD1442" s="34" t="str">
        <x:v>article1-unified-v4-2-fb3f101b-20260903-000401-default-f06-p6-cache2k-1-after-undeploy-final-10s-classloader-stats.txt</x:v>
      </x:c>
      <x:c r="AE1442" s="34" t="str">
        <x:v>article1-unified-v4-2-fb3f101b-20260903-000401-default-f06-p6-cache2k-1-after-undeploy-final-10s-thread-dump.txt</x:v>
      </x:c>
      <x:c r="AF1442" s="34"/>
      <x:c r="AG1442" s="34" t="str">
        <x:v>article1-unified-v4-2-fb3f101b-20260903-000401-default-f06-p6-cache2k-1-after-undeploy-final-10s-native-memory.txt</x:v>
      </x:c>
      <x:c r="AH1442" s="34" t="str">
        <x:v>article1-unified-v4-2-fb3f101b-20260903-000401-default-f06-p6-cache2k-1-after-undeploy-final-10s-class-histogram.txt</x:v>
      </x:c>
      <x:c r="AI1442" s="34" t="str">
        <x:v>article1-unified-v4-2-fb3f101b-20260903-000401-default-f06-p6-cache2k-1-after-undeploy-tomcat-findleaks.txt</x:v>
      </x:c>
    </x:row>
    <x:row r="1443">
      <x:c r="A1443" s="34" t="str">
        <x:v>article1-unified-v4-2-fb3f101b-20260903-000401-default-f06-p6-cache2k</x:v>
      </x:c>
      <x:c r="B1443" s="34" t="str">
        <x:v>default</x:v>
      </x:c>
      <x:c r="C1443" s="34" t="str">
        <x:v>cache2k</x:v>
      </x:c>
      <x:c r="D1443" s="34" t="str">
        <x:v>cache2k</x:v>
      </x:c>
      <x:c r="E1443" s="36" t="n">
        <x:v>6</x:v>
      </x:c>
      <x:c r="F1443" s="36" t="n">
        <x:v>6</x:v>
      </x:c>
      <x:c r="G1443" s="36" t="n">
        <x:v>6</x:v>
      </x:c>
      <x:c r="H1443" s="36" t="n">
        <x:v>1</x:v>
      </x:c>
      <x:c r="I1443" s="34" t="str">
        <x:v>redeployedLoaded</x:v>
      </x:c>
      <x:c r="J1443" s="34" t="str">
        <x:v>redeployed-loaded</x:v>
      </x:c>
      <x:c r="K1443" s="36" t="n">
        <x:v>0</x:v>
      </x:c>
      <x:c r="L1443" s="34" t="str">
        <x:v>redeploy</x:v>
      </x:c>
      <x:c r="M1443" s="34" t="str">
        <x:v>article1-unified-v4-2-fb3f101b-20260903-000401-default-f06-p6-cache2k-1-redeployed-loaded</x:v>
      </x:c>
      <x:c r="N1443" s="38" t="n">
        <x:v>46268.12050012731</x:v>
      </x:c>
      <x:c r="O1443" s="36" t="n">
        <x:v>0</x:v>
      </x:c>
      <x:c r="P1443" s="43" t="n">
        <x:v>92919808</x:v>
      </x:c>
      <x:c r="Q1443" s="43" t="n">
        <x:v>268435456</x:v>
      </x:c>
      <x:c r="R1443" s="43" t="n">
        <x:v>439152640</x:v>
      </x:c>
      <x:c r="S1443" s="36" t="n">
        <x:v>3</x:v>
      </x:c>
      <x:c r="T1443" s="44" t="str">
        <x:v>0x0000000065116bd8  0x0000000065003818  0x0000721288107ae0    4459  21248000  21242208  org.apache.catalina.loader.ParallelWebappClassLoader | 0x0000000065116bd8  0x0000000065003818  0x00007212a4011b00    4442  21286912  21263112  org.apache.catalina.loader.ParallelWebappClassLoader | 0x0000000065116bd8  0x0000000065003818  0x00007213305f1100       0         0         0  org.apache.catalina.loader.ParallelWebappClassLoader</x:v>
      </x:c>
      <x:c r="U1443" s="36" t="n">
        <x:v>28</x:v>
      </x:c>
      <x:c r="V1443" s="36" t="n">
        <x:v>0</x:v>
      </x:c>
      <x:c r="W1443" s="44"/>
      <x:c r="X1443" s="36"/>
      <x:c r="Y1443" s="36"/>
      <x:c r="Z1443" s="44"/>
      <x:c r="AA1443" s="49"/>
      <x:c r="AB1443" s="43"/>
      <x:c r="AC1443" s="34"/>
      <x:c r="AD1443" s="34"/>
      <x:c r="AE1443" s="34"/>
      <x:c r="AF1443" s="34"/>
      <x:c r="AG1443" s="34"/>
      <x:c r="AH1443" s="34"/>
      <x:c r="AI1443" s="34"/>
    </x:row>
    <x:row r="1444">
      <x:c r="A1444" s="34" t="str">
        <x:v>article1-unified-v4-2-fb3f101b-20260903-000401-default-f06-p6-cache2k</x:v>
      </x:c>
      <x:c r="B1444" s="34" t="str">
        <x:v>default</x:v>
      </x:c>
      <x:c r="C1444" s="34" t="str">
        <x:v>cache2k</x:v>
      </x:c>
      <x:c r="D1444" s="34" t="str">
        <x:v>cache2k</x:v>
      </x:c>
      <x:c r="E1444" s="36" t="n">
        <x:v>6</x:v>
      </x:c>
      <x:c r="F1444" s="36" t="n">
        <x:v>6</x:v>
      </x:c>
      <x:c r="G1444" s="36" t="n">
        <x:v>6</x:v>
      </x:c>
      <x:c r="H1444" s="36" t="n">
        <x:v>1</x:v>
      </x:c>
      <x:c r="I1444" s="34" t="str">
        <x:v>afterFinalUndeployEarly</x:v>
      </x:c>
      <x:c r="J1444" s="34" t="str">
        <x:v>after-final-undeploy-early</x:v>
      </x:c>
      <x:c r="K1444" s="36" t="n">
        <x:v>2</x:v>
      </x:c>
      <x:c r="L1444" s="34" t="str">
        <x:v>early</x:v>
      </x:c>
      <x:c r="M1444" s="34" t="str">
        <x:v>article1-unified-v4-2-fb3f101b-20260903-000401-default-f06-p6-cache2k-1-after-final-undeploy-early-2s</x:v>
      </x:c>
      <x:c r="N1444" s="38" t="n">
        <x:v>46268.1205819213</x:v>
      </x:c>
      <x:c r="O1444" s="36"/>
      <x:c r="P1444" s="43"/>
      <x:c r="Q1444" s="43"/>
      <x:c r="R1444" s="43"/>
      <x:c r="S1444" s="36"/>
      <x:c r="T1444" s="44"/>
      <x:c r="U1444" s="36" t="n">
        <x:v>27</x:v>
      </x:c>
      <x:c r="V1444" s="36" t="n">
        <x:v>0</x:v>
      </x:c>
      <x:c r="W1444" s="44"/>
      <x:c r="X1444" s="36"/>
      <x:c r="Y1444" s="36"/>
      <x:c r="Z1444" s="44"/>
      <x:c r="AA1444" s="49"/>
      <x:c r="AB1444" s="43" t="n">
        <x:v>1</x:v>
      </x:c>
      <x:c r="AC1444" s="34"/>
      <x:c r="AD1444" s="34"/>
      <x:c r="AE1444" s="34" t="str">
        <x:v>article1-unified-v4-2-fb3f101b-20260903-000401-default-f06-p6-cache2k-1-after-final-undeploy-early-2s-thread-dump.txt</x:v>
      </x:c>
      <x:c r="AF1444" s="34" t="str">
        <x:v>article1-unified-v4-2-fb3f101b-20260903-000401-default-f06-p6-cache2k-1-after-final-undeploy-early-tomcat-log.txt</x:v>
      </x:c>
      <x:c r="AG1444" s="34"/>
      <x:c r="AH1444" s="34"/>
      <x:c r="AI1444" s="34"/>
    </x:row>
    <x:row r="1445">
      <x:c r="A1445" s="34" t="str">
        <x:v>article1-unified-v4-2-fb3f101b-20260903-000401-default-f06-p6-cache2k</x:v>
      </x:c>
      <x:c r="B1445" s="34" t="str">
        <x:v>default</x:v>
      </x:c>
      <x:c r="C1445" s="34" t="str">
        <x:v>cache2k</x:v>
      </x:c>
      <x:c r="D1445" s="34" t="str">
        <x:v>cache2k</x:v>
      </x:c>
      <x:c r="E1445" s="36" t="n">
        <x:v>6</x:v>
      </x:c>
      <x:c r="F1445" s="36" t="n">
        <x:v>6</x:v>
      </x:c>
      <x:c r="G1445" s="36" t="n">
        <x:v>6</x:v>
      </x:c>
      <x:c r="H1445" s="36" t="n">
        <x:v>1</x:v>
      </x:c>
      <x:c r="I1445" s="34" t="str">
        <x:v>afterFinalUndeploy</x:v>
      </x:c>
      <x:c r="J1445" s="34" t="str">
        <x:v>after-final-undeploy-final</x:v>
      </x:c>
      <x:c r="K1445" s="36" t="n">
        <x:v>2</x:v>
      </x:c>
      <x:c r="L1445" s="34" t="str">
        <x:v>final</x:v>
      </x:c>
      <x:c r="M1445" s="34" t="str">
        <x:v>article1-unified-v4-2-fb3f101b-20260903-000401-default-f06-p6-cache2k-1-after-final-undeploy-final-10s</x:v>
      </x:c>
      <x:c r="N1445" s="38" t="n">
        <x:v>46268.12075135417</x:v>
      </x:c>
      <x:c r="O1445" s="36" t="n">
        <x:v>2</x:v>
      </x:c>
      <x:c r="P1445" s="43" t="n">
        <x:v>15594496</x:v>
      </x:c>
      <x:c r="Q1445" s="43" t="n">
        <x:v>268435456</x:v>
      </x:c>
      <x:c r="R1445" s="43" t="n">
        <x:v>417683456</x:v>
      </x:c>
      <x:c r="S1445" s="36" t="n">
        <x:v>2</x:v>
      </x:c>
      <x:c r="T1445" s="44" t="str">
        <x:v>0x0000000065116bd8  0x0000000065003818  0x00007212a4011b00    4452  21303296  21292048  org.apache.catalina.loader.ParallelWebappClassLoader | 0x0000000065116bd8  0x0000000065003818  0x00007213305f1100       0         0         0  org.apache.catalina.loader.ParallelWebappClassLoader</x:v>
      </x:c>
      <x:c r="U1445" s="36" t="n">
        <x:v>27</x:v>
      </x:c>
      <x:c r="V1445" s="36" t="n">
        <x:v>0</x:v>
      </x:c>
      <x:c r="W1445" s="44"/>
      <x:c r="X1445" s="36" t="n">
        <x:v>1</x:v>
      </x:c>
      <x:c r="Y1445" s="36" t="n">
        <x:v>1</x:v>
      </x:c>
      <x:c r="Z1445" s="44" t="str">
        <x:v>/cache2k</x:v>
      </x:c>
      <x:c r="AA1445" s="45" t="b">
        <x:v>1</x:v>
      </x:c>
      <x:c r="AB1445" s="43"/>
      <x:c r="AC1445" s="34" t="str">
        <x:v>article1-unified-v4-2-fb3f101b-20260903-000401-default-f06-p6-cache2k-1-after-final-undeploy-final-10s-heap-info.txt</x:v>
      </x:c>
      <x:c r="AD1445" s="34" t="str">
        <x:v>article1-unified-v4-2-fb3f101b-20260903-000401-default-f06-p6-cache2k-1-after-final-undeploy-final-10s-classloader-stats.txt</x:v>
      </x:c>
      <x:c r="AE1445" s="34" t="str">
        <x:v>article1-unified-v4-2-fb3f101b-20260903-000401-default-f06-p6-cache2k-1-after-final-undeploy-final-10s-thread-dump.txt</x:v>
      </x:c>
      <x:c r="AF1445" s="34"/>
      <x:c r="AG1445" s="34" t="str">
        <x:v>article1-unified-v4-2-fb3f101b-20260903-000401-default-f06-p6-cache2k-1-after-final-undeploy-final-10s-native-memory.txt</x:v>
      </x:c>
      <x:c r="AH1445" s="34" t="str">
        <x:v>article1-unified-v4-2-fb3f101b-20260903-000401-default-f06-p6-cache2k-1-after-final-undeploy-final-10s-class-histogram.txt</x:v>
      </x:c>
      <x:c r="AI1445" s="34" t="str">
        <x:v>article1-unified-v4-2-fb3f101b-20260903-000401-default-f06-p6-cache2k-1-after-final-undeploy-tomcat-findleaks.txt</x:v>
      </x:c>
    </x:row>
    <x:row r="1446">
      <x:c r="A1446" s="34" t="str">
        <x:v>article1-unified-v4-2-fb3f101b-20260903-000401-default-f06-p6-cache2k</x:v>
      </x:c>
      <x:c r="B1446" s="34" t="str">
        <x:v>default</x:v>
      </x:c>
      <x:c r="C1446" s="34" t="str">
        <x:v>cache2k</x:v>
      </x:c>
      <x:c r="D1446" s="34" t="str">
        <x:v>cache2k</x:v>
      </x:c>
      <x:c r="E1446" s="36" t="n">
        <x:v>6</x:v>
      </x:c>
      <x:c r="F1446" s="36" t="n">
        <x:v>6</x:v>
      </x:c>
      <x:c r="G1446" s="36" t="n">
        <x:v>6</x:v>
      </x:c>
      <x:c r="H1446" s="36" t="n">
        <x:v>2</x:v>
      </x:c>
      <x:c r="I1446" s="34" t="str">
        <x:v>baseline</x:v>
      </x:c>
      <x:c r="J1446" s="34" t="str">
        <x:v>cycle-baseline</x:v>
      </x:c>
      <x:c r="K1446" s="36" t="n">
        <x:v>0</x:v>
      </x:c>
      <x:c r="L1446" s="34" t="str">
        <x:v>baseline</x:v>
      </x:c>
      <x:c r="M1446" s="34" t="str">
        <x:v>article1-unified-v4-2-fb3f101b-20260903-000401-default-f06-p6-cache2k-2-baseline</x:v>
      </x:c>
      <x:c r="N1446" s="38" t="n">
        <x:v>46268.12079383102</x:v>
      </x:c>
      <x:c r="O1446" s="36" t="n">
        <x:v>0</x:v>
      </x:c>
      <x:c r="P1446" s="43" t="n">
        <x:v>15594496</x:v>
      </x:c>
      <x:c r="Q1446" s="43" t="n">
        <x:v>268435456</x:v>
      </x:c>
      <x:c r="R1446" s="43" t="n">
        <x:v>417734656</x:v>
      </x:c>
      <x:c r="S1446" s="36" t="n">
        <x:v>2</x:v>
      </x:c>
      <x:c r="T1446" s="44" t="str">
        <x:v>0x0000000065116bd8  0x0000000065003818  0x00007212a4011b00    4452  21303296  21292048  org.apache.catalina.loader.ParallelWebappClassLoader | 0x0000000065116bd8  0x0000000065003818  0x00007213305f1100       0         0         0  org.apache.catalina.loader.ParallelWebappClassLoader</x:v>
      </x:c>
      <x:c r="U1446" s="36" t="n">
        <x:v>27</x:v>
      </x:c>
      <x:c r="V1446" s="36" t="n">
        <x:v>0</x:v>
      </x:c>
      <x:c r="W1446" s="44"/>
      <x:c r="X1446" s="36"/>
      <x:c r="Y1446" s="36"/>
      <x:c r="Z1446" s="44"/>
      <x:c r="AA1446" s="49"/>
      <x:c r="AB1446" s="43"/>
      <x:c r="AC1446" s="34" t="str">
        <x:v>article1-unified-v4-2-fb3f101b-20260903-000401-default-f06-p6-cache2k-2-baseline-heap-info.txt</x:v>
      </x:c>
      <x:c r="AD1446" s="34" t="str">
        <x:v>article1-unified-v4-2-fb3f101b-20260903-000401-default-f06-p6-cache2k-2-baseline-classloader-stats.txt</x:v>
      </x:c>
      <x:c r="AE1446" s="34" t="str">
        <x:v>article1-unified-v4-2-fb3f101b-20260903-000401-default-f06-p6-cache2k-2-baseline-thread-dump.txt</x:v>
      </x:c>
      <x:c r="AF1446" s="34"/>
      <x:c r="AG1446" s="34" t="str">
        <x:v>article1-unified-v4-2-fb3f101b-20260903-000401-default-f06-p6-cache2k-2-baseline-native-memory.txt</x:v>
      </x:c>
      <x:c r="AH1446" s="34"/>
      <x:c r="AI1446" s="34"/>
    </x:row>
    <x:row r="1447">
      <x:c r="A1447" s="34" t="str">
        <x:v>article1-unified-v4-2-fb3f101b-20260903-000401-default-f06-p6-cache2k</x:v>
      </x:c>
      <x:c r="B1447" s="34" t="str">
        <x:v>default</x:v>
      </x:c>
      <x:c r="C1447" s="34" t="str">
        <x:v>cache2k</x:v>
      </x:c>
      <x:c r="D1447" s="34" t="str">
        <x:v>cache2k</x:v>
      </x:c>
      <x:c r="E1447" s="36" t="n">
        <x:v>6</x:v>
      </x:c>
      <x:c r="F1447" s="36" t="n">
        <x:v>6</x:v>
      </x:c>
      <x:c r="G1447" s="36" t="n">
        <x:v>6</x:v>
      </x:c>
      <x:c r="H1447" s="36" t="n">
        <x:v>2</x:v>
      </x:c>
      <x:c r="I1447" s="34" t="str">
        <x:v>deployedIdle</x:v>
      </x:c>
      <x:c r="J1447" s="34" t="str">
        <x:v>deployed-idle</x:v>
      </x:c>
      <x:c r="K1447" s="36" t="n">
        <x:v>0</x:v>
      </x:c>
      <x:c r="L1447" s="34" t="str">
        <x:v>initial</x:v>
      </x:c>
      <x:c r="M1447" s="34" t="str">
        <x:v>article1-unified-v4-2-fb3f101b-20260903-000401-default-f06-p6-cache2k-2-deployed-idle</x:v>
      </x:c>
      <x:c r="N1447" s="38" t="n">
        <x:v>46268.120890439815</x:v>
      </x:c>
      <x:c r="O1447" s="36" t="n">
        <x:v>0</x:v>
      </x:c>
      <x:c r="P1447" s="43" t="n">
        <x:v>167899136</x:v>
      </x:c>
      <x:c r="Q1447" s="43" t="n">
        <x:v>268435456</x:v>
      </x:c>
      <x:c r="R1447" s="43" t="n">
        <x:v>435645440</x:v>
      </x:c>
      <x:c r="S1447" s="36" t="n">
        <x:v>3</x:v>
      </x:c>
      <x:c r="T1447" s="44" t="str">
        <x:v>0x0000000065116bd8  0x0000000065003818  0x00007212a02ec2f0    4091  19429376  19416952  org.apache.catalina.loader.ParallelWebappClassLoader | 0x0000000065116bd8  0x0000000065003818  0x00007212a4011b00    4452  21303296  21292048  org.apache.catalina.loader.ParallelWebappClassLoader | 0x0000000065116bd8  0x0000000065003818  0x00007213305f1100       0         0         0  org.apache.catalina.loader.ParallelWebappClassLoader</x:v>
      </x:c>
      <x:c r="U1447" s="36" t="n">
        <x:v>28</x:v>
      </x:c>
      <x:c r="V1447" s="36" t="n">
        <x:v>0</x:v>
      </x:c>
      <x:c r="W1447" s="44"/>
      <x:c r="X1447" s="36"/>
      <x:c r="Y1447" s="36"/>
      <x:c r="Z1447" s="44"/>
      <x:c r="AA1447" s="49"/>
      <x:c r="AB1447" s="43"/>
      <x:c r="AC1447" s="34"/>
      <x:c r="AD1447" s="34"/>
      <x:c r="AE1447" s="34"/>
      <x:c r="AF1447" s="34"/>
      <x:c r="AG1447" s="34"/>
      <x:c r="AH1447" s="34"/>
      <x:c r="AI1447" s="34"/>
    </x:row>
    <x:row r="1448">
      <x:c r="A1448" s="34" t="str">
        <x:v>article1-unified-v4-2-fb3f101b-20260903-000401-default-f06-p6-cache2k</x:v>
      </x:c>
      <x:c r="B1448" s="34" t="str">
        <x:v>default</x:v>
      </x:c>
      <x:c r="C1448" s="34" t="str">
        <x:v>cache2k</x:v>
      </x:c>
      <x:c r="D1448" s="34" t="str">
        <x:v>cache2k</x:v>
      </x:c>
      <x:c r="E1448" s="36" t="n">
        <x:v>6</x:v>
      </x:c>
      <x:c r="F1448" s="36" t="n">
        <x:v>6</x:v>
      </x:c>
      <x:c r="G1448" s="36" t="n">
        <x:v>6</x:v>
      </x:c>
      <x:c r="H1448" s="36" t="n">
        <x:v>2</x:v>
      </x:c>
      <x:c r="I1448" s="34" t="str">
        <x:v>loaded</x:v>
      </x:c>
      <x:c r="J1448" s="34" t="str">
        <x:v>loaded</x:v>
      </x:c>
      <x:c r="K1448" s="36" t="n">
        <x:v>0</x:v>
      </x:c>
      <x:c r="L1448" s="34" t="str">
        <x:v>initial</x:v>
      </x:c>
      <x:c r="M1448" s="34" t="str">
        <x:v>article1-unified-v4-2-fb3f101b-20260903-000401-default-f06-p6-cache2k-2-loaded</x:v>
      </x:c>
      <x:c r="N1448" s="38" t="n">
        <x:v>46268.1210458912</x:v>
      </x:c>
      <x:c r="O1448" s="36" t="n">
        <x:v>0</x:v>
      </x:c>
      <x:c r="P1448" s="43" t="n">
        <x:v>93115392</x:v>
      </x:c>
      <x:c r="Q1448" s="43" t="n">
        <x:v>268435456</x:v>
      </x:c>
      <x:c r="R1448" s="43" t="n">
        <x:v>438487040</x:v>
      </x:c>
      <x:c r="S1448" s="36" t="n">
        <x:v>3</x:v>
      </x:c>
      <x:c r="T1448" s="44" t="str">
        <x:v>0x0000000065116bd8  0x0000000065003818  0x00007212a02ec2f0    4449  21279744  21257088  org.apache.catalina.loader.ParallelWebappClassLoader | 0x0000000065116bd8  0x0000000065003818  0x00007212a4011b00    4452  21303296  21292048  org.apache.catalina.loader.ParallelWebappClassLoader | 0x0000000065116bd8  0x0000000065003818  0x00007213305f1100       0         0         0  org.apache.catalina.loader.ParallelWebappClassLoader</x:v>
      </x:c>
      <x:c r="U1448" s="36" t="n">
        <x:v>29</x:v>
      </x:c>
      <x:c r="V1448" s="36" t="n">
        <x:v>0</x:v>
      </x:c>
      <x:c r="W1448" s="44"/>
      <x:c r="X1448" s="36"/>
      <x:c r="Y1448" s="36"/>
      <x:c r="Z1448" s="44"/>
      <x:c r="AA1448" s="49"/>
      <x:c r="AB1448" s="43"/>
      <x:c r="AC1448" s="34"/>
      <x:c r="AD1448" s="34"/>
      <x:c r="AE1448" s="34"/>
      <x:c r="AF1448" s="34"/>
      <x:c r="AG1448" s="34"/>
      <x:c r="AH1448" s="34"/>
      <x:c r="AI1448" s="34"/>
    </x:row>
    <x:row r="1449">
      <x:c r="A1449" s="34" t="str">
        <x:v>article1-unified-v4-2-fb3f101b-20260903-000401-default-f06-p6-cache2k</x:v>
      </x:c>
      <x:c r="B1449" s="34" t="str">
        <x:v>default</x:v>
      </x:c>
      <x:c r="C1449" s="34" t="str">
        <x:v>cache2k</x:v>
      </x:c>
      <x:c r="D1449" s="34" t="str">
        <x:v>cache2k</x:v>
      </x:c>
      <x:c r="E1449" s="36" t="n">
        <x:v>6</x:v>
      </x:c>
      <x:c r="F1449" s="36" t="n">
        <x:v>6</x:v>
      </x:c>
      <x:c r="G1449" s="36" t="n">
        <x:v>6</x:v>
      </x:c>
      <x:c r="H1449" s="36" t="n">
        <x:v>2</x:v>
      </x:c>
      <x:c r="I1449" s="34" t="str">
        <x:v>afterUndeployEarly</x:v>
      </x:c>
      <x:c r="J1449" s="34" t="str">
        <x:v>after-undeploy-early</x:v>
      </x:c>
      <x:c r="K1449" s="36" t="n">
        <x:v>1</x:v>
      </x:c>
      <x:c r="L1449" s="34" t="str">
        <x:v>early</x:v>
      </x:c>
      <x:c r="M1449" s="34" t="str">
        <x:v>article1-unified-v4-2-fb3f101b-20260903-000401-default-f06-p6-cache2k-2-after-undeploy-early-2s</x:v>
      </x:c>
      <x:c r="N1449" s="38" t="n">
        <x:v>46268.121127280094</x:v>
      </x:c>
      <x:c r="O1449" s="36"/>
      <x:c r="P1449" s="43"/>
      <x:c r="Q1449" s="43"/>
      <x:c r="R1449" s="43"/>
      <x:c r="S1449" s="36"/>
      <x:c r="T1449" s="44"/>
      <x:c r="U1449" s="36" t="n">
        <x:v>27</x:v>
      </x:c>
      <x:c r="V1449" s="36" t="n">
        <x:v>0</x:v>
      </x:c>
      <x:c r="W1449" s="44"/>
      <x:c r="X1449" s="36"/>
      <x:c r="Y1449" s="36"/>
      <x:c r="Z1449" s="44"/>
      <x:c r="AA1449" s="49"/>
      <x:c r="AB1449" s="43" t="n">
        <x:v>1</x:v>
      </x:c>
      <x:c r="AC1449" s="34"/>
      <x:c r="AD1449" s="34"/>
      <x:c r="AE1449" s="34" t="str">
        <x:v>article1-unified-v4-2-fb3f101b-20260903-000401-default-f06-p6-cache2k-2-after-undeploy-early-2s-thread-dump.txt</x:v>
      </x:c>
      <x:c r="AF1449" s="34" t="str">
        <x:v>article1-unified-v4-2-fb3f101b-20260903-000401-default-f06-p6-cache2k-2-after-undeploy-early-tomcat-log.txt</x:v>
      </x:c>
      <x:c r="AG1449" s="34"/>
      <x:c r="AH1449" s="34"/>
      <x:c r="AI1449" s="34"/>
    </x:row>
    <x:row r="1450">
      <x:c r="A1450" s="34" t="str">
        <x:v>article1-unified-v4-2-fb3f101b-20260903-000401-default-f06-p6-cache2k</x:v>
      </x:c>
      <x:c r="B1450" s="34" t="str">
        <x:v>default</x:v>
      </x:c>
      <x:c r="C1450" s="34" t="str">
        <x:v>cache2k</x:v>
      </x:c>
      <x:c r="D1450" s="34" t="str">
        <x:v>cache2k</x:v>
      </x:c>
      <x:c r="E1450" s="36" t="n">
        <x:v>6</x:v>
      </x:c>
      <x:c r="F1450" s="36" t="n">
        <x:v>6</x:v>
      </x:c>
      <x:c r="G1450" s="36" t="n">
        <x:v>6</x:v>
      </x:c>
      <x:c r="H1450" s="36" t="n">
        <x:v>2</x:v>
      </x:c>
      <x:c r="I1450" s="34" t="str">
        <x:v>afterUndeploy</x:v>
      </x:c>
      <x:c r="J1450" s="34" t="str">
        <x:v>after-undeploy-final</x:v>
      </x:c>
      <x:c r="K1450" s="36" t="n">
        <x:v>1</x:v>
      </x:c>
      <x:c r="L1450" s="34" t="str">
        <x:v>final</x:v>
      </x:c>
      <x:c r="M1450" s="34" t="str">
        <x:v>article1-unified-v4-2-fb3f101b-20260903-000401-default-f06-p6-cache2k-2-after-undeploy-final-10s</x:v>
      </x:c>
      <x:c r="N1450" s="38" t="n">
        <x:v>46268.12128994213</x:v>
      </x:c>
      <x:c r="O1450" s="36" t="n">
        <x:v>2</x:v>
      </x:c>
      <x:c r="P1450" s="43" t="n">
        <x:v>15621120</x:v>
      </x:c>
      <x:c r="Q1450" s="43" t="n">
        <x:v>268435456</x:v>
      </x:c>
      <x:c r="R1450" s="43" t="n">
        <x:v>416009216</x:v>
      </x:c>
      <x:c r="S1450" s="36" t="n">
        <x:v>2</x:v>
      </x:c>
      <x:c r="T1450" s="44" t="str">
        <x:v>0x0000000065116bd8  0x0000000065003818  0x00007213305f1100       0         0         0  org.apache.catalina.loader.ParallelWebappClassLoader | 0x0000000065116bd8  0x0000000065003818  0x00007212a02ec2f0    4459  21296128  21286024  org.apache.catalina.loader.ParallelWebappClassLoader</x:v>
      </x:c>
      <x:c r="U1450" s="36" t="n">
        <x:v>27</x:v>
      </x:c>
      <x:c r="V1450" s="36" t="n">
        <x:v>0</x:v>
      </x:c>
      <x:c r="W1450" s="44"/>
      <x:c r="X1450" s="36" t="n">
        <x:v>1</x:v>
      </x:c>
      <x:c r="Y1450" s="36" t="n">
        <x:v>1</x:v>
      </x:c>
      <x:c r="Z1450" s="44" t="str">
        <x:v>/cache2k</x:v>
      </x:c>
      <x:c r="AA1450" s="45" t="b">
        <x:v>1</x:v>
      </x:c>
      <x:c r="AB1450" s="43"/>
      <x:c r="AC1450" s="34" t="str">
        <x:v>article1-unified-v4-2-fb3f101b-20260903-000401-default-f06-p6-cache2k-2-after-undeploy-final-10s-heap-info.txt</x:v>
      </x:c>
      <x:c r="AD1450" s="34" t="str">
        <x:v>article1-unified-v4-2-fb3f101b-20260903-000401-default-f06-p6-cache2k-2-after-undeploy-final-10s-classloader-stats.txt</x:v>
      </x:c>
      <x:c r="AE1450" s="34" t="str">
        <x:v>article1-unified-v4-2-fb3f101b-20260903-000401-default-f06-p6-cache2k-2-after-undeploy-final-10s-thread-dump.txt</x:v>
      </x:c>
      <x:c r="AF1450" s="34"/>
      <x:c r="AG1450" s="34" t="str">
        <x:v>article1-unified-v4-2-fb3f101b-20260903-000401-default-f06-p6-cache2k-2-after-undeploy-final-10s-native-memory.txt</x:v>
      </x:c>
      <x:c r="AH1450" s="34" t="str">
        <x:v>article1-unified-v4-2-fb3f101b-20260903-000401-default-f06-p6-cache2k-2-after-undeploy-final-10s-class-histogram.txt</x:v>
      </x:c>
      <x:c r="AI1450" s="34" t="str">
        <x:v>article1-unified-v4-2-fb3f101b-20260903-000401-default-f06-p6-cache2k-2-after-undeploy-tomcat-findleaks.txt</x:v>
      </x:c>
    </x:row>
    <x:row r="1451">
      <x:c r="A1451" s="34" t="str">
        <x:v>article1-unified-v4-2-fb3f101b-20260903-000401-default-f06-p6-cache2k</x:v>
      </x:c>
      <x:c r="B1451" s="34" t="str">
        <x:v>default</x:v>
      </x:c>
      <x:c r="C1451" s="34" t="str">
        <x:v>cache2k</x:v>
      </x:c>
      <x:c r="D1451" s="34" t="str">
        <x:v>cache2k</x:v>
      </x:c>
      <x:c r="E1451" s="36" t="n">
        <x:v>6</x:v>
      </x:c>
      <x:c r="F1451" s="36" t="n">
        <x:v>6</x:v>
      </x:c>
      <x:c r="G1451" s="36" t="n">
        <x:v>6</x:v>
      </x:c>
      <x:c r="H1451" s="36" t="n">
        <x:v>2</x:v>
      </x:c>
      <x:c r="I1451" s="34" t="str">
        <x:v>redeployedLoaded</x:v>
      </x:c>
      <x:c r="J1451" s="34" t="str">
        <x:v>redeployed-loaded</x:v>
      </x:c>
      <x:c r="K1451" s="36" t="n">
        <x:v>0</x:v>
      </x:c>
      <x:c r="L1451" s="34" t="str">
        <x:v>redeploy</x:v>
      </x:c>
      <x:c r="M1451" s="34" t="str">
        <x:v>article1-unified-v4-2-fb3f101b-20260903-000401-default-f06-p6-cache2k-2-redeployed-loaded</x:v>
      </x:c>
      <x:c r="N1451" s="38" t="n">
        <x:v>46268.12154609954</x:v>
      </x:c>
      <x:c r="O1451" s="36" t="n">
        <x:v>0</x:v>
      </x:c>
      <x:c r="P1451" s="43" t="n">
        <x:v>94181376</x:v>
      </x:c>
      <x:c r="Q1451" s="43" t="n">
        <x:v>268435456</x:v>
      </x:c>
      <x:c r="R1451" s="43" t="n">
        <x:v>442589184</x:v>
      </x:c>
      <x:c r="S1451" s="36" t="n">
        <x:v>3</x:v>
      </x:c>
      <x:c r="T1451" s="44" t="str">
        <x:v>0x0000000065116bd8  0x0000000065003818  0x000072124c19c010    4440  21275648  21262280  org.apache.catalina.loader.ParallelWebappClassLoader | 0x0000000065116bd8  0x0000000065003818  0x00007213305f1100       0         0         0  org.apache.catalina.loader.ParallelWebappClassLoader | 0x0000000065116bd8  0x0000000065003818  0x00007212a02ec2f0    4459  21296128  21286024  org.apache.catalina.loader.ParallelWebappClassLoader</x:v>
      </x:c>
      <x:c r="U1451" s="36" t="n">
        <x:v>29</x:v>
      </x:c>
      <x:c r="V1451" s="36" t="n">
        <x:v>0</x:v>
      </x:c>
      <x:c r="W1451" s="44"/>
      <x:c r="X1451" s="36"/>
      <x:c r="Y1451" s="36"/>
      <x:c r="Z1451" s="44"/>
      <x:c r="AA1451" s="49"/>
      <x:c r="AB1451" s="43"/>
      <x:c r="AC1451" s="34"/>
      <x:c r="AD1451" s="34"/>
      <x:c r="AE1451" s="34"/>
      <x:c r="AF1451" s="34"/>
      <x:c r="AG1451" s="34"/>
      <x:c r="AH1451" s="34"/>
      <x:c r="AI1451" s="34"/>
    </x:row>
    <x:row r="1452">
      <x:c r="A1452" s="34" t="str">
        <x:v>article1-unified-v4-2-fb3f101b-20260903-000401-default-f06-p6-cache2k</x:v>
      </x:c>
      <x:c r="B1452" s="34" t="str">
        <x:v>default</x:v>
      </x:c>
      <x:c r="C1452" s="34" t="str">
        <x:v>cache2k</x:v>
      </x:c>
      <x:c r="D1452" s="34" t="str">
        <x:v>cache2k</x:v>
      </x:c>
      <x:c r="E1452" s="36" t="n">
        <x:v>6</x:v>
      </x:c>
      <x:c r="F1452" s="36" t="n">
        <x:v>6</x:v>
      </x:c>
      <x:c r="G1452" s="36" t="n">
        <x:v>6</x:v>
      </x:c>
      <x:c r="H1452" s="36" t="n">
        <x:v>2</x:v>
      </x:c>
      <x:c r="I1452" s="34" t="str">
        <x:v>afterFinalUndeployEarly</x:v>
      </x:c>
      <x:c r="J1452" s="34" t="str">
        <x:v>after-final-undeploy-early</x:v>
      </x:c>
      <x:c r="K1452" s="36" t="n">
        <x:v>2</x:v>
      </x:c>
      <x:c r="L1452" s="34" t="str">
        <x:v>early</x:v>
      </x:c>
      <x:c r="M1452" s="34" t="str">
        <x:v>article1-unified-v4-2-fb3f101b-20260903-000401-default-f06-p6-cache2k-2-after-final-undeploy-early-2s</x:v>
      </x:c>
      <x:c r="N1452" s="38" t="n">
        <x:v>46268.121628078705</x:v>
      </x:c>
      <x:c r="O1452" s="36"/>
      <x:c r="P1452" s="43"/>
      <x:c r="Q1452" s="43"/>
      <x:c r="R1452" s="43"/>
      <x:c r="S1452" s="36"/>
      <x:c r="T1452" s="44"/>
      <x:c r="U1452" s="36" t="n">
        <x:v>27</x:v>
      </x:c>
      <x:c r="V1452" s="36" t="n">
        <x:v>0</x:v>
      </x:c>
      <x:c r="W1452" s="44"/>
      <x:c r="X1452" s="36"/>
      <x:c r="Y1452" s="36"/>
      <x:c r="Z1452" s="44"/>
      <x:c r="AA1452" s="49"/>
      <x:c r="AB1452" s="43" t="n">
        <x:v>1</x:v>
      </x:c>
      <x:c r="AC1452" s="34"/>
      <x:c r="AD1452" s="34"/>
      <x:c r="AE1452" s="34" t="str">
        <x:v>article1-unified-v4-2-fb3f101b-20260903-000401-default-f06-p6-cache2k-2-after-final-undeploy-early-2s-thread-dump.txt</x:v>
      </x:c>
      <x:c r="AF1452" s="34" t="str">
        <x:v>article1-unified-v4-2-fb3f101b-20260903-000401-default-f06-p6-cache2k-2-after-final-undeploy-early-tomcat-log.txt</x:v>
      </x:c>
      <x:c r="AG1452" s="34"/>
      <x:c r="AH1452" s="34"/>
      <x:c r="AI1452" s="34"/>
    </x:row>
    <x:row r="1453">
      <x:c r="A1453" s="34" t="str">
        <x:v>article1-unified-v4-2-fb3f101b-20260903-000401-default-f06-p6-cache2k</x:v>
      </x:c>
      <x:c r="B1453" s="34" t="str">
        <x:v>default</x:v>
      </x:c>
      <x:c r="C1453" s="34" t="str">
        <x:v>cache2k</x:v>
      </x:c>
      <x:c r="D1453" s="34" t="str">
        <x:v>cache2k</x:v>
      </x:c>
      <x:c r="E1453" s="36" t="n">
        <x:v>6</x:v>
      </x:c>
      <x:c r="F1453" s="36" t="n">
        <x:v>6</x:v>
      </x:c>
      <x:c r="G1453" s="36" t="n">
        <x:v>6</x:v>
      </x:c>
      <x:c r="H1453" s="36" t="n">
        <x:v>2</x:v>
      </x:c>
      <x:c r="I1453" s="34" t="str">
        <x:v>afterFinalUndeploy</x:v>
      </x:c>
      <x:c r="J1453" s="34" t="str">
        <x:v>after-final-undeploy-final</x:v>
      </x:c>
      <x:c r="K1453" s="36" t="n">
        <x:v>2</x:v>
      </x:c>
      <x:c r="L1453" s="34" t="str">
        <x:v>final</x:v>
      </x:c>
      <x:c r="M1453" s="34" t="str">
        <x:v>article1-unified-v4-2-fb3f101b-20260903-000401-default-f06-p6-cache2k-2-after-final-undeploy-final-10s</x:v>
      </x:c>
      <x:c r="N1453" s="38" t="n">
        <x:v>46268.12178505787</x:v>
      </x:c>
      <x:c r="O1453" s="36" t="n">
        <x:v>2</x:v>
      </x:c>
      <x:c r="P1453" s="43" t="n">
        <x:v>15617024</x:v>
      </x:c>
      <x:c r="Q1453" s="43" t="n">
        <x:v>268435456</x:v>
      </x:c>
      <x:c r="R1453" s="43" t="n">
        <x:v>421924864</x:v>
      </x:c>
      <x:c r="S1453" s="36" t="n">
        <x:v>2</x:v>
      </x:c>
      <x:c r="T1453" s="44" t="str">
        <x:v>0x0000000065116bd8  0x0000000065003818  0x000072124c19c010    4450  21308416  21291224  org.apache.catalina.loader.ParallelWebappClassLoader | 0x0000000065116bd8  0x0000000065003818  0x00007213305f1100       0         0         0  org.apache.catalina.loader.ParallelWebappClassLoader</x:v>
      </x:c>
      <x:c r="U1453" s="36" t="n">
        <x:v>27</x:v>
      </x:c>
      <x:c r="V1453" s="36" t="n">
        <x:v>0</x:v>
      </x:c>
      <x:c r="W1453" s="44"/>
      <x:c r="X1453" s="36" t="n">
        <x:v>1</x:v>
      </x:c>
      <x:c r="Y1453" s="36" t="n">
        <x:v>1</x:v>
      </x:c>
      <x:c r="Z1453" s="44" t="str">
        <x:v>/cache2k</x:v>
      </x:c>
      <x:c r="AA1453" s="45" t="b">
        <x:v>1</x:v>
      </x:c>
      <x:c r="AB1453" s="43"/>
      <x:c r="AC1453" s="34" t="str">
        <x:v>article1-unified-v4-2-fb3f101b-20260903-000401-default-f06-p6-cache2k-2-after-final-undeploy-final-10s-heap-info.txt</x:v>
      </x:c>
      <x:c r="AD1453" s="34" t="str">
        <x:v>article1-unified-v4-2-fb3f101b-20260903-000401-default-f06-p6-cache2k-2-after-final-undeploy-final-10s-classloader-stats.txt</x:v>
      </x:c>
      <x:c r="AE1453" s="34" t="str">
        <x:v>article1-unified-v4-2-fb3f101b-20260903-000401-default-f06-p6-cache2k-2-after-final-undeploy-final-10s-thread-dump.txt</x:v>
      </x:c>
      <x:c r="AF1453" s="34"/>
      <x:c r="AG1453" s="34" t="str">
        <x:v>article1-unified-v4-2-fb3f101b-20260903-000401-default-f06-p6-cache2k-2-after-final-undeploy-final-10s-native-memory.txt</x:v>
      </x:c>
      <x:c r="AH1453" s="34" t="str">
        <x:v>article1-unified-v4-2-fb3f101b-20260903-000401-default-f06-p6-cache2k-2-after-final-undeploy-final-10s-class-histogram.txt</x:v>
      </x:c>
      <x:c r="AI1453" s="34" t="str">
        <x:v>article1-unified-v4-2-fb3f101b-20260903-000401-default-f06-p6-cache2k-2-after-final-undeploy-tomcat-findleaks.txt</x:v>
      </x:c>
    </x:row>
    <x:row r="1454">
      <x:c r="A1454" s="34" t="str">
        <x:v>article1-unified-v4-2-fb3f101b-20260903-000401-default-f06-p6-cache2k</x:v>
      </x:c>
      <x:c r="B1454" s="34" t="str">
        <x:v>default</x:v>
      </x:c>
      <x:c r="C1454" s="34" t="str">
        <x:v>cache2k</x:v>
      </x:c>
      <x:c r="D1454" s="34" t="str">
        <x:v>cache2k</x:v>
      </x:c>
      <x:c r="E1454" s="36" t="n">
        <x:v>6</x:v>
      </x:c>
      <x:c r="F1454" s="36" t="n">
        <x:v>6</x:v>
      </x:c>
      <x:c r="G1454" s="36" t="n">
        <x:v>6</x:v>
      </x:c>
      <x:c r="H1454" s="36" t="n">
        <x:v>3</x:v>
      </x:c>
      <x:c r="I1454" s="34" t="str">
        <x:v>baseline</x:v>
      </x:c>
      <x:c r="J1454" s="34" t="str">
        <x:v>cycle-baseline</x:v>
      </x:c>
      <x:c r="K1454" s="36" t="n">
        <x:v>0</x:v>
      </x:c>
      <x:c r="L1454" s="34" t="str">
        <x:v>baseline</x:v>
      </x:c>
      <x:c r="M1454" s="34" t="str">
        <x:v>article1-unified-v4-2-fb3f101b-20260903-000401-default-f06-p6-cache2k-3-baseline</x:v>
      </x:c>
      <x:c r="N1454" s="38" t="n">
        <x:v>46268.12182923611</x:v>
      </x:c>
      <x:c r="O1454" s="36" t="n">
        <x:v>0</x:v>
      </x:c>
      <x:c r="P1454" s="43" t="n">
        <x:v>15617024</x:v>
      </x:c>
      <x:c r="Q1454" s="43" t="n">
        <x:v>268435456</x:v>
      </x:c>
      <x:c r="R1454" s="43" t="n">
        <x:v>421516288</x:v>
      </x:c>
      <x:c r="S1454" s="36" t="n">
        <x:v>2</x:v>
      </x:c>
      <x:c r="T1454" s="44" t="str">
        <x:v>0x0000000065116bd8  0x0000000065003818  0x000072124c19c010    4450  21308416  21291224  org.apache.catalina.loader.ParallelWebappClassLoader | 0x0000000065116bd8  0x0000000065003818  0x00007213305f1100       0         0         0  org.apache.catalina.loader.ParallelWebappClassLoader</x:v>
      </x:c>
      <x:c r="U1454" s="36" t="n">
        <x:v>27</x:v>
      </x:c>
      <x:c r="V1454" s="36" t="n">
        <x:v>0</x:v>
      </x:c>
      <x:c r="W1454" s="44"/>
      <x:c r="X1454" s="36"/>
      <x:c r="Y1454" s="36"/>
      <x:c r="Z1454" s="44"/>
      <x:c r="AA1454" s="49"/>
      <x:c r="AB1454" s="43"/>
      <x:c r="AC1454" s="34" t="str">
        <x:v>article1-unified-v4-2-fb3f101b-20260903-000401-default-f06-p6-cache2k-3-baseline-heap-info.txt</x:v>
      </x:c>
      <x:c r="AD1454" s="34" t="str">
        <x:v>article1-unified-v4-2-fb3f101b-20260903-000401-default-f06-p6-cache2k-3-baseline-classloader-stats.txt</x:v>
      </x:c>
      <x:c r="AE1454" s="34" t="str">
        <x:v>article1-unified-v4-2-fb3f101b-20260903-000401-default-f06-p6-cache2k-3-baseline-thread-dump.txt</x:v>
      </x:c>
      <x:c r="AF1454" s="34"/>
      <x:c r="AG1454" s="34" t="str">
        <x:v>article1-unified-v4-2-fb3f101b-20260903-000401-default-f06-p6-cache2k-3-baseline-native-memory.txt</x:v>
      </x:c>
      <x:c r="AH1454" s="34"/>
      <x:c r="AI1454" s="34"/>
    </x:row>
    <x:row r="1455">
      <x:c r="A1455" s="34" t="str">
        <x:v>article1-unified-v4-2-fb3f101b-20260903-000401-default-f06-p6-cache2k</x:v>
      </x:c>
      <x:c r="B1455" s="34" t="str">
        <x:v>default</x:v>
      </x:c>
      <x:c r="C1455" s="34" t="str">
        <x:v>cache2k</x:v>
      </x:c>
      <x:c r="D1455" s="34" t="str">
        <x:v>cache2k</x:v>
      </x:c>
      <x:c r="E1455" s="36" t="n">
        <x:v>6</x:v>
      </x:c>
      <x:c r="F1455" s="36" t="n">
        <x:v>6</x:v>
      </x:c>
      <x:c r="G1455" s="36" t="n">
        <x:v>6</x:v>
      </x:c>
      <x:c r="H1455" s="36" t="n">
        <x:v>3</x:v>
      </x:c>
      <x:c r="I1455" s="34" t="str">
        <x:v>deployedIdle</x:v>
      </x:c>
      <x:c r="J1455" s="34" t="str">
        <x:v>deployed-idle</x:v>
      </x:c>
      <x:c r="K1455" s="36" t="n">
        <x:v>0</x:v>
      </x:c>
      <x:c r="L1455" s="34" t="str">
        <x:v>initial</x:v>
      </x:c>
      <x:c r="M1455" s="34" t="str">
        <x:v>article1-unified-v4-2-fb3f101b-20260903-000401-default-f06-p6-cache2k-3-deployed-idle</x:v>
      </x:c>
      <x:c r="N1455" s="38" t="n">
        <x:v>46268.12192777778</x:v>
      </x:c>
      <x:c r="O1455" s="36" t="n">
        <x:v>0</x:v>
      </x:c>
      <x:c r="P1455" s="43" t="n">
        <x:v>166952960</x:v>
      </x:c>
      <x:c r="Q1455" s="43" t="n">
        <x:v>268435456</x:v>
      </x:c>
      <x:c r="R1455" s="43" t="n">
        <x:v>438050816</x:v>
      </x:c>
      <x:c r="S1455" s="36" t="n">
        <x:v>3</x:v>
      </x:c>
      <x:c r="T1455" s="44" t="str">
        <x:v>0x0000000065116bd8  0x0000000065003818  0x000072124c19c010    4450  21308416  21291224  org.apache.catalina.loader.ParallelWebappClassLoader | 0x0000000065116bd8  0x0000000065003818  0x000072127c17e780    4091  19409920  19405472  org.apache.catalina.loader.ParallelWebappClassLoader | 0x0000000065116bd8  0x0000000065003818  0x00007213305f1100       0         0         0  org.apache.catalina.loader.ParallelWebappClassLoader</x:v>
      </x:c>
      <x:c r="U1455" s="36" t="n">
        <x:v>27</x:v>
      </x:c>
      <x:c r="V1455" s="36" t="n">
        <x:v>0</x:v>
      </x:c>
      <x:c r="W1455" s="44"/>
      <x:c r="X1455" s="36"/>
      <x:c r="Y1455" s="36"/>
      <x:c r="Z1455" s="44"/>
      <x:c r="AA1455" s="49"/>
      <x:c r="AB1455" s="43"/>
      <x:c r="AC1455" s="34"/>
      <x:c r="AD1455" s="34"/>
      <x:c r="AE1455" s="34"/>
      <x:c r="AF1455" s="34"/>
      <x:c r="AG1455" s="34"/>
      <x:c r="AH1455" s="34"/>
      <x:c r="AI1455" s="34"/>
    </x:row>
    <x:row r="1456">
      <x:c r="A1456" s="34" t="str">
        <x:v>article1-unified-v4-2-fb3f101b-20260903-000401-default-f06-p6-cache2k</x:v>
      </x:c>
      <x:c r="B1456" s="34" t="str">
        <x:v>default</x:v>
      </x:c>
      <x:c r="C1456" s="34" t="str">
        <x:v>cache2k</x:v>
      </x:c>
      <x:c r="D1456" s="34" t="str">
        <x:v>cache2k</x:v>
      </x:c>
      <x:c r="E1456" s="36" t="n">
        <x:v>6</x:v>
      </x:c>
      <x:c r="F1456" s="36" t="n">
        <x:v>6</x:v>
      </x:c>
      <x:c r="G1456" s="36" t="n">
        <x:v>6</x:v>
      </x:c>
      <x:c r="H1456" s="36" t="n">
        <x:v>3</x:v>
      </x:c>
      <x:c r="I1456" s="34" t="str">
        <x:v>loaded</x:v>
      </x:c>
      <x:c r="J1456" s="34" t="str">
        <x:v>loaded</x:v>
      </x:c>
      <x:c r="K1456" s="36" t="n">
        <x:v>0</x:v>
      </x:c>
      <x:c r="L1456" s="34" t="str">
        <x:v>initial</x:v>
      </x:c>
      <x:c r="M1456" s="34" t="str">
        <x:v>article1-unified-v4-2-fb3f101b-20260903-000401-default-f06-p6-cache2k-3-loaded</x:v>
      </x:c>
      <x:c r="N1456" s="38" t="n">
        <x:v>46268.12207965278</x:v>
      </x:c>
      <x:c r="O1456" s="36" t="n">
        <x:v>0</x:v>
      </x:c>
      <x:c r="P1456" s="43" t="n">
        <x:v>95563776</x:v>
      </x:c>
      <x:c r="Q1456" s="43" t="n">
        <x:v>268435456</x:v>
      </x:c>
      <x:c r="R1456" s="43" t="n">
        <x:v>443212800</x:v>
      </x:c>
      <x:c r="S1456" s="36" t="n">
        <x:v>3</x:v>
      </x:c>
      <x:c r="T1456" s="44" t="str">
        <x:v>0x0000000065116bd8  0x0000000065003818  0x000072124c19c010    4450  21308416  21291224  org.apache.catalina.loader.ParallelWebappClassLoader | 0x0000000065116bd8  0x0000000065003818  0x000072127c17e780    4440  21261312  21236960  org.apache.catalina.loader.ParallelWebappClassLoader | 0x0000000065116bd8  0x0000000065003818  0x00007213305f1100       0         0         0  org.apache.catalina.loader.ParallelWebappClassLoader</x:v>
      </x:c>
      <x:c r="U1456" s="36" t="n">
        <x:v>29</x:v>
      </x:c>
      <x:c r="V1456" s="36" t="n">
        <x:v>0</x:v>
      </x:c>
      <x:c r="W1456" s="44"/>
      <x:c r="X1456" s="36"/>
      <x:c r="Y1456" s="36"/>
      <x:c r="Z1456" s="44"/>
      <x:c r="AA1456" s="49"/>
      <x:c r="AB1456" s="43"/>
      <x:c r="AC1456" s="34"/>
      <x:c r="AD1456" s="34"/>
      <x:c r="AE1456" s="34"/>
      <x:c r="AF1456" s="34"/>
      <x:c r="AG1456" s="34"/>
      <x:c r="AH1456" s="34"/>
      <x:c r="AI1456" s="34"/>
    </x:row>
    <x:row r="1457">
      <x:c r="A1457" s="34" t="str">
        <x:v>article1-unified-v4-2-fb3f101b-20260903-000401-default-f06-p6-cache2k</x:v>
      </x:c>
      <x:c r="B1457" s="34" t="str">
        <x:v>default</x:v>
      </x:c>
      <x:c r="C1457" s="34" t="str">
        <x:v>cache2k</x:v>
      </x:c>
      <x:c r="D1457" s="34" t="str">
        <x:v>cache2k</x:v>
      </x:c>
      <x:c r="E1457" s="36" t="n">
        <x:v>6</x:v>
      </x:c>
      <x:c r="F1457" s="36" t="n">
        <x:v>6</x:v>
      </x:c>
      <x:c r="G1457" s="36" t="n">
        <x:v>6</x:v>
      </x:c>
      <x:c r="H1457" s="36" t="n">
        <x:v>3</x:v>
      </x:c>
      <x:c r="I1457" s="34" t="str">
        <x:v>afterUndeployEarly</x:v>
      </x:c>
      <x:c r="J1457" s="34" t="str">
        <x:v>after-undeploy-early</x:v>
      </x:c>
      <x:c r="K1457" s="36" t="n">
        <x:v>1</x:v>
      </x:c>
      <x:c r="L1457" s="34" t="str">
        <x:v>early</x:v>
      </x:c>
      <x:c r="M1457" s="34" t="str">
        <x:v>article1-unified-v4-2-fb3f101b-20260903-000401-default-f06-p6-cache2k-3-after-undeploy-early-2s</x:v>
      </x:c>
      <x:c r="N1457" s="38" t="n">
        <x:v>46268.12216168982</x:v>
      </x:c>
      <x:c r="O1457" s="36"/>
      <x:c r="P1457" s="43"/>
      <x:c r="Q1457" s="43"/>
      <x:c r="R1457" s="43"/>
      <x:c r="S1457" s="36"/>
      <x:c r="T1457" s="44"/>
      <x:c r="U1457" s="36" t="n">
        <x:v>27</x:v>
      </x:c>
      <x:c r="V1457" s="36" t="n">
        <x:v>0</x:v>
      </x:c>
      <x:c r="W1457" s="44"/>
      <x:c r="X1457" s="36"/>
      <x:c r="Y1457" s="36"/>
      <x:c r="Z1457" s="44"/>
      <x:c r="AA1457" s="49"/>
      <x:c r="AB1457" s="43" t="n">
        <x:v>1</x:v>
      </x:c>
      <x:c r="AC1457" s="34"/>
      <x:c r="AD1457" s="34"/>
      <x:c r="AE1457" s="34" t="str">
        <x:v>article1-unified-v4-2-fb3f101b-20260903-000401-default-f06-p6-cache2k-3-after-undeploy-early-2s-thread-dump.txt</x:v>
      </x:c>
      <x:c r="AF1457" s="34" t="str">
        <x:v>article1-unified-v4-2-fb3f101b-20260903-000401-default-f06-p6-cache2k-3-after-undeploy-early-tomcat-log.txt</x:v>
      </x:c>
      <x:c r="AG1457" s="34"/>
      <x:c r="AH1457" s="34"/>
      <x:c r="AI1457" s="34"/>
    </x:row>
    <x:row r="1458">
      <x:c r="A1458" s="34" t="str">
        <x:v>article1-unified-v4-2-fb3f101b-20260903-000401-default-f06-p6-cache2k</x:v>
      </x:c>
      <x:c r="B1458" s="34" t="str">
        <x:v>default</x:v>
      </x:c>
      <x:c r="C1458" s="34" t="str">
        <x:v>cache2k</x:v>
      </x:c>
      <x:c r="D1458" s="34" t="str">
        <x:v>cache2k</x:v>
      </x:c>
      <x:c r="E1458" s="36" t="n">
        <x:v>6</x:v>
      </x:c>
      <x:c r="F1458" s="36" t="n">
        <x:v>6</x:v>
      </x:c>
      <x:c r="G1458" s="36" t="n">
        <x:v>6</x:v>
      </x:c>
      <x:c r="H1458" s="36" t="n">
        <x:v>3</x:v>
      </x:c>
      <x:c r="I1458" s="34" t="str">
        <x:v>afterUndeploy</x:v>
      </x:c>
      <x:c r="J1458" s="34" t="str">
        <x:v>after-undeploy-final</x:v>
      </x:c>
      <x:c r="K1458" s="36" t="n">
        <x:v>1</x:v>
      </x:c>
      <x:c r="L1458" s="34" t="str">
        <x:v>final</x:v>
      </x:c>
      <x:c r="M1458" s="34" t="str">
        <x:v>article1-unified-v4-2-fb3f101b-20260903-000401-default-f06-p6-cache2k-3-after-undeploy-final-10s</x:v>
      </x:c>
      <x:c r="N1458" s="38" t="n">
        <x:v>46268.1223221875</x:v>
      </x:c>
      <x:c r="O1458" s="36" t="n">
        <x:v>2</x:v>
      </x:c>
      <x:c r="P1458" s="43" t="n">
        <x:v>15622144</x:v>
      </x:c>
      <x:c r="Q1458" s="43" t="n">
        <x:v>268435456</x:v>
      </x:c>
      <x:c r="R1458" s="43" t="n">
        <x:v>419495936</x:v>
      </x:c>
      <x:c r="S1458" s="36" t="n">
        <x:v>2</x:v>
      </x:c>
      <x:c r="T1458" s="44" t="str">
        <x:v>0x0000000065116bd8  0x0000000065003818  0x000072127c17e780    4450  21277696  21265864  org.apache.catalina.loader.ParallelWebappClassLoader | 0x0000000065116bd8  0x0000000065003818  0x00007213305f1100       0         0         0  org.apache.catalina.loader.ParallelWebappClassLoader</x:v>
      </x:c>
      <x:c r="U1458" s="36" t="n">
        <x:v>27</x:v>
      </x:c>
      <x:c r="V1458" s="36" t="n">
        <x:v>0</x:v>
      </x:c>
      <x:c r="W1458" s="44"/>
      <x:c r="X1458" s="36" t="n">
        <x:v>1</x:v>
      </x:c>
      <x:c r="Y1458" s="36" t="n">
        <x:v>1</x:v>
      </x:c>
      <x:c r="Z1458" s="44" t="str">
        <x:v>/cache2k</x:v>
      </x:c>
      <x:c r="AA1458" s="45" t="b">
        <x:v>1</x:v>
      </x:c>
      <x:c r="AB1458" s="43"/>
      <x:c r="AC1458" s="34" t="str">
        <x:v>article1-unified-v4-2-fb3f101b-20260903-000401-default-f06-p6-cache2k-3-after-undeploy-final-10s-heap-info.txt</x:v>
      </x:c>
      <x:c r="AD1458" s="34" t="str">
        <x:v>article1-unified-v4-2-fb3f101b-20260903-000401-default-f06-p6-cache2k-3-after-undeploy-final-10s-classloader-stats.txt</x:v>
      </x:c>
      <x:c r="AE1458" s="34" t="str">
        <x:v>article1-unified-v4-2-fb3f101b-20260903-000401-default-f06-p6-cache2k-3-after-undeploy-final-10s-thread-dump.txt</x:v>
      </x:c>
      <x:c r="AF1458" s="34"/>
      <x:c r="AG1458" s="34" t="str">
        <x:v>article1-unified-v4-2-fb3f101b-20260903-000401-default-f06-p6-cache2k-3-after-undeploy-final-10s-native-memory.txt</x:v>
      </x:c>
      <x:c r="AH1458" s="34" t="str">
        <x:v>article1-unified-v4-2-fb3f101b-20260903-000401-default-f06-p6-cache2k-3-after-undeploy-final-10s-class-histogram.txt</x:v>
      </x:c>
      <x:c r="AI1458" s="34" t="str">
        <x:v>article1-unified-v4-2-fb3f101b-20260903-000401-default-f06-p6-cache2k-3-after-undeploy-tomcat-findleaks.txt</x:v>
      </x:c>
    </x:row>
    <x:row r="1459">
      <x:c r="A1459" s="34" t="str">
        <x:v>article1-unified-v4-2-fb3f101b-20260903-000401-default-f06-p6-cache2k</x:v>
      </x:c>
      <x:c r="B1459" s="34" t="str">
        <x:v>default</x:v>
      </x:c>
      <x:c r="C1459" s="34" t="str">
        <x:v>cache2k</x:v>
      </x:c>
      <x:c r="D1459" s="34" t="str">
        <x:v>cache2k</x:v>
      </x:c>
      <x:c r="E1459" s="36" t="n">
        <x:v>6</x:v>
      </x:c>
      <x:c r="F1459" s="36" t="n">
        <x:v>6</x:v>
      </x:c>
      <x:c r="G1459" s="36" t="n">
        <x:v>6</x:v>
      </x:c>
      <x:c r="H1459" s="36" t="n">
        <x:v>3</x:v>
      </x:c>
      <x:c r="I1459" s="34" t="str">
        <x:v>redeployedLoaded</x:v>
      </x:c>
      <x:c r="J1459" s="34" t="str">
        <x:v>redeployed-loaded</x:v>
      </x:c>
      <x:c r="K1459" s="36" t="n">
        <x:v>0</x:v>
      </x:c>
      <x:c r="L1459" s="34" t="str">
        <x:v>redeploy</x:v>
      </x:c>
      <x:c r="M1459" s="34" t="str">
        <x:v>article1-unified-v4-2-fb3f101b-20260903-000401-default-f06-p6-cache2k-3-redeployed-loaded</x:v>
      </x:c>
      <x:c r="N1459" s="38" t="n">
        <x:v>46268.122577118054</x:v>
      </x:c>
      <x:c r="O1459" s="36" t="n">
        <x:v>0</x:v>
      </x:c>
      <x:c r="P1459" s="43" t="n">
        <x:v>92767232</x:v>
      </x:c>
      <x:c r="Q1459" s="43" t="n">
        <x:v>268435456</x:v>
      </x:c>
      <x:c r="R1459" s="43" t="n">
        <x:v>445415424</x:v>
      </x:c>
      <x:c r="S1459" s="36" t="n">
        <x:v>3</x:v>
      </x:c>
      <x:c r="T1459" s="44" t="str">
        <x:v>0x0000000065116bd8  0x0000000065003818  0x000072124c4fb1f0    4444  21257216  21253248  org.apache.catalina.loader.ParallelWebappClassLoader | 0x0000000065116bd8  0x0000000065003818  0x000072127c17e780    4450  21277696  21265864  org.apache.catalina.loader.ParallelWebappClassLoader | 0x0000000065116bd8  0x0000000065003818  0x00007213305f1100       0         0         0  org.apache.catalina.loader.ParallelWebappClassLoader</x:v>
      </x:c>
      <x:c r="U1459" s="36" t="n">
        <x:v>29</x:v>
      </x:c>
      <x:c r="V1459" s="36" t="n">
        <x:v>0</x:v>
      </x:c>
      <x:c r="W1459" s="44"/>
      <x:c r="X1459" s="36"/>
      <x:c r="Y1459" s="36"/>
      <x:c r="Z1459" s="44"/>
      <x:c r="AA1459" s="49"/>
      <x:c r="AB1459" s="43"/>
      <x:c r="AC1459" s="34"/>
      <x:c r="AD1459" s="34"/>
      <x:c r="AE1459" s="34"/>
      <x:c r="AF1459" s="34"/>
      <x:c r="AG1459" s="34"/>
      <x:c r="AH1459" s="34"/>
      <x:c r="AI1459" s="34"/>
    </x:row>
    <x:row r="1460">
      <x:c r="A1460" s="34" t="str">
        <x:v>article1-unified-v4-2-fb3f101b-20260903-000401-default-f06-p6-cache2k</x:v>
      </x:c>
      <x:c r="B1460" s="34" t="str">
        <x:v>default</x:v>
      </x:c>
      <x:c r="C1460" s="34" t="str">
        <x:v>cache2k</x:v>
      </x:c>
      <x:c r="D1460" s="34" t="str">
        <x:v>cache2k</x:v>
      </x:c>
      <x:c r="E1460" s="36" t="n">
        <x:v>6</x:v>
      </x:c>
      <x:c r="F1460" s="36" t="n">
        <x:v>6</x:v>
      </x:c>
      <x:c r="G1460" s="36" t="n">
        <x:v>6</x:v>
      </x:c>
      <x:c r="H1460" s="36" t="n">
        <x:v>3</x:v>
      </x:c>
      <x:c r="I1460" s="34" t="str">
        <x:v>afterFinalUndeployEarly</x:v>
      </x:c>
      <x:c r="J1460" s="34" t="str">
        <x:v>after-final-undeploy-early</x:v>
      </x:c>
      <x:c r="K1460" s="36" t="n">
        <x:v>2</x:v>
      </x:c>
      <x:c r="L1460" s="34" t="str">
        <x:v>early</x:v>
      </x:c>
      <x:c r="M1460" s="34" t="str">
        <x:v>article1-unified-v4-2-fb3f101b-20260903-000401-default-f06-p6-cache2k-3-after-final-undeploy-early-2s</x:v>
      </x:c>
      <x:c r="N1460" s="38" t="n">
        <x:v>46268.12266494213</x:v>
      </x:c>
      <x:c r="O1460" s="36"/>
      <x:c r="P1460" s="43"/>
      <x:c r="Q1460" s="43"/>
      <x:c r="R1460" s="43"/>
      <x:c r="S1460" s="36"/>
      <x:c r="T1460" s="44"/>
      <x:c r="U1460" s="36" t="n">
        <x:v>27</x:v>
      </x:c>
      <x:c r="V1460" s="36" t="n">
        <x:v>0</x:v>
      </x:c>
      <x:c r="W1460" s="44"/>
      <x:c r="X1460" s="36"/>
      <x:c r="Y1460" s="36"/>
      <x:c r="Z1460" s="44"/>
      <x:c r="AA1460" s="49"/>
      <x:c r="AB1460" s="43" t="n">
        <x:v>1</x:v>
      </x:c>
      <x:c r="AC1460" s="34"/>
      <x:c r="AD1460" s="34"/>
      <x:c r="AE1460" s="34" t="str">
        <x:v>article1-unified-v4-2-fb3f101b-20260903-000401-default-f06-p6-cache2k-3-after-final-undeploy-early-2s-thread-dump.txt</x:v>
      </x:c>
      <x:c r="AF1460" s="34" t="str">
        <x:v>article1-unified-v4-2-fb3f101b-20260903-000401-default-f06-p6-cache2k-3-after-final-undeploy-early-tomcat-log.txt</x:v>
      </x:c>
      <x:c r="AG1460" s="34"/>
      <x:c r="AH1460" s="34"/>
      <x:c r="AI1460" s="34"/>
    </x:row>
    <x:row r="1461">
      <x:c r="A1461" s="34" t="str">
        <x:v>article1-unified-v4-2-fb3f101b-20260903-000401-default-f06-p6-cache2k</x:v>
      </x:c>
      <x:c r="B1461" s="34" t="str">
        <x:v>default</x:v>
      </x:c>
      <x:c r="C1461" s="34" t="str">
        <x:v>cache2k</x:v>
      </x:c>
      <x:c r="D1461" s="34" t="str">
        <x:v>cache2k</x:v>
      </x:c>
      <x:c r="E1461" s="36" t="n">
        <x:v>6</x:v>
      </x:c>
      <x:c r="F1461" s="36" t="n">
        <x:v>6</x:v>
      </x:c>
      <x:c r="G1461" s="36" t="n">
        <x:v>6</x:v>
      </x:c>
      <x:c r="H1461" s="36" t="n">
        <x:v>3</x:v>
      </x:c>
      <x:c r="I1461" s="34" t="str">
        <x:v>afterFinalUndeploy</x:v>
      </x:c>
      <x:c r="J1461" s="34" t="str">
        <x:v>after-final-undeploy-final</x:v>
      </x:c>
      <x:c r="K1461" s="36" t="n">
        <x:v>2</x:v>
      </x:c>
      <x:c r="L1461" s="34" t="str">
        <x:v>final</x:v>
      </x:c>
      <x:c r="M1461" s="34" t="str">
        <x:v>article1-unified-v4-2-fb3f101b-20260903-000401-default-f06-p6-cache2k-3-after-final-undeploy-final-10s</x:v>
      </x:c>
      <x:c r="N1461" s="38" t="n">
        <x:v>46268.12281829861</x:v>
      </x:c>
      <x:c r="O1461" s="36" t="n">
        <x:v>2</x:v>
      </x:c>
      <x:c r="P1461" s="43" t="n">
        <x:v>15646720</x:v>
      </x:c>
      <x:c r="Q1461" s="43" t="n">
        <x:v>268435456</x:v>
      </x:c>
      <x:c r="R1461" s="43" t="n">
        <x:v>424462336</x:v>
      </x:c>
      <x:c r="S1461" s="36" t="n">
        <x:v>2</x:v>
      </x:c>
      <x:c r="T1461" s="44" t="str">
        <x:v>0x0000000065116bd8  0x0000000065003818  0x000072124c4fb1f0    4454  21305344  21282192  org.apache.catalina.loader.ParallelWebappClassLoader | 0x0000000065116bd8  0x0000000065003818  0x00007213305f1100       0         0         0  org.apache.catalina.loader.ParallelWebappClassLoader</x:v>
      </x:c>
      <x:c r="U1461" s="36" t="n">
        <x:v>27</x:v>
      </x:c>
      <x:c r="V1461" s="36" t="n">
        <x:v>0</x:v>
      </x:c>
      <x:c r="W1461" s="44"/>
      <x:c r="X1461" s="36" t="n">
        <x:v>1</x:v>
      </x:c>
      <x:c r="Y1461" s="36" t="n">
        <x:v>1</x:v>
      </x:c>
      <x:c r="Z1461" s="44" t="str">
        <x:v>/cache2k</x:v>
      </x:c>
      <x:c r="AA1461" s="45" t="b">
        <x:v>1</x:v>
      </x:c>
      <x:c r="AB1461" s="43"/>
      <x:c r="AC1461" s="34" t="str">
        <x:v>article1-unified-v4-2-fb3f101b-20260903-000401-default-f06-p6-cache2k-3-after-final-undeploy-final-10s-heap-info.txt</x:v>
      </x:c>
      <x:c r="AD1461" s="34" t="str">
        <x:v>article1-unified-v4-2-fb3f101b-20260903-000401-default-f06-p6-cache2k-3-after-final-undeploy-final-10s-classloader-stats.txt</x:v>
      </x:c>
      <x:c r="AE1461" s="34" t="str">
        <x:v>article1-unified-v4-2-fb3f101b-20260903-000401-default-f06-p6-cache2k-3-after-final-undeploy-final-10s-thread-dump.txt</x:v>
      </x:c>
      <x:c r="AF1461" s="34"/>
      <x:c r="AG1461" s="34" t="str">
        <x:v>article1-unified-v4-2-fb3f101b-20260903-000401-default-f06-p6-cache2k-3-after-final-undeploy-final-10s-native-memory.txt</x:v>
      </x:c>
      <x:c r="AH1461" s="34" t="str">
        <x:v>article1-unified-v4-2-fb3f101b-20260903-000401-default-f06-p6-cache2k-3-after-final-undeploy-final-10s-class-histogram.txt</x:v>
      </x:c>
      <x:c r="AI1461" s="34" t="str">
        <x:v>article1-unified-v4-2-fb3f101b-20260903-000401-default-f06-p6-cache2k-3-after-final-undeploy-tomcat-findleaks.txt</x:v>
      </x:c>
    </x:row>
    <x:row r="1462">
      <x:c r="A1462" s="34" t="str">
        <x:v>article1-unified-v4-2-fb3f101b-20260903-000401-default-f06-p6-cache2k</x:v>
      </x:c>
      <x:c r="B1462" s="34" t="str">
        <x:v>default</x:v>
      </x:c>
      <x:c r="C1462" s="34" t="str">
        <x:v>cache2k</x:v>
      </x:c>
      <x:c r="D1462" s="34" t="str">
        <x:v>cache2k</x:v>
      </x:c>
      <x:c r="E1462" s="36" t="n">
        <x:v>6</x:v>
      </x:c>
      <x:c r="F1462" s="36" t="n">
        <x:v>6</x:v>
      </x:c>
      <x:c r="G1462" s="36" t="n">
        <x:v>6</x:v>
      </x:c>
      <x:c r="H1462" s="36" t="n">
        <x:v>4</x:v>
      </x:c>
      <x:c r="I1462" s="34" t="str">
        <x:v>baseline</x:v>
      </x:c>
      <x:c r="J1462" s="34" t="str">
        <x:v>cycle-baseline</x:v>
      </x:c>
      <x:c r="K1462" s="36" t="n">
        <x:v>0</x:v>
      </x:c>
      <x:c r="L1462" s="34" t="str">
        <x:v>baseline</x:v>
      </x:c>
      <x:c r="M1462" s="34" t="str">
        <x:v>article1-unified-v4-2-fb3f101b-20260903-000401-default-f06-p6-cache2k-4-baseline</x:v>
      </x:c>
      <x:c r="N1462" s="38" t="n">
        <x:v>46268.122860787036</x:v>
      </x:c>
      <x:c r="O1462" s="36" t="n">
        <x:v>0</x:v>
      </x:c>
      <x:c r="P1462" s="43" t="n">
        <x:v>15652864</x:v>
      </x:c>
      <x:c r="Q1462" s="43" t="n">
        <x:v>268435456</x:v>
      </x:c>
      <x:c r="R1462" s="43" t="n">
        <x:v>424455168</x:v>
      </x:c>
      <x:c r="S1462" s="36" t="n">
        <x:v>2</x:v>
      </x:c>
      <x:c r="T1462" s="44" t="str">
        <x:v>0x0000000065116bd8  0x0000000065003818  0x000072124c4fb1f0    4454  21305344  21282192  org.apache.catalina.loader.ParallelWebappClassLoader | 0x0000000065116bd8  0x0000000065003818  0x00007213305f1100       0         0         0  org.apache.catalina.loader.ParallelWebappClassLoader</x:v>
      </x:c>
      <x:c r="U1462" s="36" t="n">
        <x:v>27</x:v>
      </x:c>
      <x:c r="V1462" s="36" t="n">
        <x:v>0</x:v>
      </x:c>
      <x:c r="W1462" s="44"/>
      <x:c r="X1462" s="36"/>
      <x:c r="Y1462" s="36"/>
      <x:c r="Z1462" s="44"/>
      <x:c r="AA1462" s="49"/>
      <x:c r="AB1462" s="43"/>
      <x:c r="AC1462" s="34" t="str">
        <x:v>article1-unified-v4-2-fb3f101b-20260903-000401-default-f06-p6-cache2k-4-baseline-heap-info.txt</x:v>
      </x:c>
      <x:c r="AD1462" s="34" t="str">
        <x:v>article1-unified-v4-2-fb3f101b-20260903-000401-default-f06-p6-cache2k-4-baseline-classloader-stats.txt</x:v>
      </x:c>
      <x:c r="AE1462" s="34" t="str">
        <x:v>article1-unified-v4-2-fb3f101b-20260903-000401-default-f06-p6-cache2k-4-baseline-thread-dump.txt</x:v>
      </x:c>
      <x:c r="AF1462" s="34"/>
      <x:c r="AG1462" s="34" t="str">
        <x:v>article1-unified-v4-2-fb3f101b-20260903-000401-default-f06-p6-cache2k-4-baseline-native-memory.txt</x:v>
      </x:c>
      <x:c r="AH1462" s="34"/>
      <x:c r="AI1462" s="34"/>
    </x:row>
    <x:row r="1463">
      <x:c r="A1463" s="34" t="str">
        <x:v>article1-unified-v4-2-fb3f101b-20260903-000401-default-f06-p6-cache2k</x:v>
      </x:c>
      <x:c r="B1463" s="34" t="str">
        <x:v>default</x:v>
      </x:c>
      <x:c r="C1463" s="34" t="str">
        <x:v>cache2k</x:v>
      </x:c>
      <x:c r="D1463" s="34" t="str">
        <x:v>cache2k</x:v>
      </x:c>
      <x:c r="E1463" s="36" t="n">
        <x:v>6</x:v>
      </x:c>
      <x:c r="F1463" s="36" t="n">
        <x:v>6</x:v>
      </x:c>
      <x:c r="G1463" s="36" t="n">
        <x:v>6</x:v>
      </x:c>
      <x:c r="H1463" s="36" t="n">
        <x:v>4</x:v>
      </x:c>
      <x:c r="I1463" s="34" t="str">
        <x:v>deployedIdle</x:v>
      </x:c>
      <x:c r="J1463" s="34" t="str">
        <x:v>deployed-idle</x:v>
      </x:c>
      <x:c r="K1463" s="36" t="n">
        <x:v>0</x:v>
      </x:c>
      <x:c r="L1463" s="34" t="str">
        <x:v>initial</x:v>
      </x:c>
      <x:c r="M1463" s="34" t="str">
        <x:v>article1-unified-v4-2-fb3f101b-20260903-000401-default-f06-p6-cache2k-4-deployed-idle</x:v>
      </x:c>
      <x:c r="N1463" s="38" t="n">
        <x:v>46268.12295732639</x:v>
      </x:c>
      <x:c r="O1463" s="36" t="n">
        <x:v>0</x:v>
      </x:c>
      <x:c r="P1463" s="43" t="n">
        <x:v>171358208</x:v>
      </x:c>
      <x:c r="Q1463" s="43" t="n">
        <x:v>268435456</x:v>
      </x:c>
      <x:c r="R1463" s="43" t="n">
        <x:v>440684544</x:v>
      </x:c>
      <x:c r="S1463" s="36" t="n">
        <x:v>3</x:v>
      </x:c>
      <x:c r="T1463" s="44" t="str">
        <x:v>0x0000000065116bd8  0x0000000065003818  0x000072124c4fb1f0    4454  21305344  21282192  org.apache.catalina.loader.ParallelWebappClassLoader | 0x0000000065116bd8  0x0000000065003818  0x0000721294148960    4091  19436544  19427264  org.apache.catalina.loader.ParallelWebappClassLoader | 0x0000000065116bd8  0x0000000065003818  0x00007213305f1100       0         0         0  org.apache.catalina.loader.ParallelWebappClassLoader</x:v>
      </x:c>
      <x:c r="U1463" s="36" t="n">
        <x:v>27</x:v>
      </x:c>
      <x:c r="V1463" s="36" t="n">
        <x:v>0</x:v>
      </x:c>
      <x:c r="W1463" s="44"/>
      <x:c r="X1463" s="36"/>
      <x:c r="Y1463" s="36"/>
      <x:c r="Z1463" s="44"/>
      <x:c r="AA1463" s="49"/>
      <x:c r="AB1463" s="43"/>
      <x:c r="AC1463" s="34"/>
      <x:c r="AD1463" s="34"/>
      <x:c r="AE1463" s="34"/>
      <x:c r="AF1463" s="34"/>
      <x:c r="AG1463" s="34"/>
      <x:c r="AH1463" s="34"/>
      <x:c r="AI1463" s="34"/>
    </x:row>
    <x:row r="1464">
      <x:c r="A1464" s="34" t="str">
        <x:v>article1-unified-v4-2-fb3f101b-20260903-000401-default-f06-p6-cache2k</x:v>
      </x:c>
      <x:c r="B1464" s="34" t="str">
        <x:v>default</x:v>
      </x:c>
      <x:c r="C1464" s="34" t="str">
        <x:v>cache2k</x:v>
      </x:c>
      <x:c r="D1464" s="34" t="str">
        <x:v>cache2k</x:v>
      </x:c>
      <x:c r="E1464" s="36" t="n">
        <x:v>6</x:v>
      </x:c>
      <x:c r="F1464" s="36" t="n">
        <x:v>6</x:v>
      </x:c>
      <x:c r="G1464" s="36" t="n">
        <x:v>6</x:v>
      </x:c>
      <x:c r="H1464" s="36" t="n">
        <x:v>4</x:v>
      </x:c>
      <x:c r="I1464" s="34" t="str">
        <x:v>loaded</x:v>
      </x:c>
      <x:c r="J1464" s="34" t="str">
        <x:v>loaded</x:v>
      </x:c>
      <x:c r="K1464" s="36" t="n">
        <x:v>0</x:v>
      </x:c>
      <x:c r="L1464" s="34" t="str">
        <x:v>initial</x:v>
      </x:c>
      <x:c r="M1464" s="34" t="str">
        <x:v>article1-unified-v4-2-fb3f101b-20260903-000401-default-f06-p6-cache2k-4-loaded</x:v>
      </x:c>
      <x:c r="N1464" s="38" t="n">
        <x:v>46268.123106851854</x:v>
      </x:c>
      <x:c r="O1464" s="36" t="n">
        <x:v>0</x:v>
      </x:c>
      <x:c r="P1464" s="43" t="n">
        <x:v>93078528</x:v>
      </x:c>
      <x:c r="Q1464" s="43" t="n">
        <x:v>268435456</x:v>
      </x:c>
      <x:c r="R1464" s="43" t="n">
        <x:v>448878592</x:v>
      </x:c>
      <x:c r="S1464" s="36" t="n">
        <x:v>3</x:v>
      </x:c>
      <x:c r="T1464" s="44" t="str">
        <x:v>0x0000000065116bd8  0x0000000065003818  0x0000721294148960    4440  21255168  21253408  org.apache.catalina.loader.ParallelWebappClassLoader | 0x0000000065116bd8  0x0000000065003818  0x000072124c4fb1f0    4454  21305344  21282192  org.apache.catalina.loader.ParallelWebappClassLoader | 0x0000000065116bd8  0x0000000065003818  0x00007213305f1100       0         0         0  org.apache.catalina.loader.ParallelWebappClassLoader</x:v>
      </x:c>
      <x:c r="U1464" s="36" t="n">
        <x:v>28</x:v>
      </x:c>
      <x:c r="V1464" s="36" t="n">
        <x:v>0</x:v>
      </x:c>
      <x:c r="W1464" s="44"/>
      <x:c r="X1464" s="36"/>
      <x:c r="Y1464" s="36"/>
      <x:c r="Z1464" s="44"/>
      <x:c r="AA1464" s="49"/>
      <x:c r="AB1464" s="43"/>
      <x:c r="AC1464" s="34"/>
      <x:c r="AD1464" s="34"/>
      <x:c r="AE1464" s="34"/>
      <x:c r="AF1464" s="34"/>
      <x:c r="AG1464" s="34"/>
      <x:c r="AH1464" s="34"/>
      <x:c r="AI1464" s="34"/>
    </x:row>
    <x:row r="1465">
      <x:c r="A1465" s="34" t="str">
        <x:v>article1-unified-v4-2-fb3f101b-20260903-000401-default-f06-p6-cache2k</x:v>
      </x:c>
      <x:c r="B1465" s="34" t="str">
        <x:v>default</x:v>
      </x:c>
      <x:c r="C1465" s="34" t="str">
        <x:v>cache2k</x:v>
      </x:c>
      <x:c r="D1465" s="34" t="str">
        <x:v>cache2k</x:v>
      </x:c>
      <x:c r="E1465" s="36" t="n">
        <x:v>6</x:v>
      </x:c>
      <x:c r="F1465" s="36" t="n">
        <x:v>6</x:v>
      </x:c>
      <x:c r="G1465" s="36" t="n">
        <x:v>6</x:v>
      </x:c>
      <x:c r="H1465" s="36" t="n">
        <x:v>4</x:v>
      </x:c>
      <x:c r="I1465" s="34" t="str">
        <x:v>afterUndeployEarly</x:v>
      </x:c>
      <x:c r="J1465" s="34" t="str">
        <x:v>after-undeploy-early</x:v>
      </x:c>
      <x:c r="K1465" s="36" t="n">
        <x:v>1</x:v>
      </x:c>
      <x:c r="L1465" s="34" t="str">
        <x:v>early</x:v>
      </x:c>
      <x:c r="M1465" s="34" t="str">
        <x:v>article1-unified-v4-2-fb3f101b-20260903-000401-default-f06-p6-cache2k-4-after-undeploy-early-2s</x:v>
      </x:c>
      <x:c r="N1465" s="38" t="n">
        <x:v>46268.12319239583</x:v>
      </x:c>
      <x:c r="O1465" s="36"/>
      <x:c r="P1465" s="43"/>
      <x:c r="Q1465" s="43"/>
      <x:c r="R1465" s="43"/>
      <x:c r="S1465" s="36"/>
      <x:c r="T1465" s="44"/>
      <x:c r="U1465" s="36" t="n">
        <x:v>27</x:v>
      </x:c>
      <x:c r="V1465" s="36" t="n">
        <x:v>0</x:v>
      </x:c>
      <x:c r="W1465" s="44"/>
      <x:c r="X1465" s="36"/>
      <x:c r="Y1465" s="36"/>
      <x:c r="Z1465" s="44"/>
      <x:c r="AA1465" s="49"/>
      <x:c r="AB1465" s="43" t="n">
        <x:v>1</x:v>
      </x:c>
      <x:c r="AC1465" s="34"/>
      <x:c r="AD1465" s="34"/>
      <x:c r="AE1465" s="34" t="str">
        <x:v>article1-unified-v4-2-fb3f101b-20260903-000401-default-f06-p6-cache2k-4-after-undeploy-early-2s-thread-dump.txt</x:v>
      </x:c>
      <x:c r="AF1465" s="34" t="str">
        <x:v>article1-unified-v4-2-fb3f101b-20260903-000401-default-f06-p6-cache2k-4-after-undeploy-early-tomcat-log.txt</x:v>
      </x:c>
      <x:c r="AG1465" s="34"/>
      <x:c r="AH1465" s="34"/>
      <x:c r="AI1465" s="34"/>
    </x:row>
    <x:row r="1466">
      <x:c r="A1466" s="34" t="str">
        <x:v>article1-unified-v4-2-fb3f101b-20260903-000401-default-f06-p6-cache2k</x:v>
      </x:c>
      <x:c r="B1466" s="34" t="str">
        <x:v>default</x:v>
      </x:c>
      <x:c r="C1466" s="34" t="str">
        <x:v>cache2k</x:v>
      </x:c>
      <x:c r="D1466" s="34" t="str">
        <x:v>cache2k</x:v>
      </x:c>
      <x:c r="E1466" s="36" t="n">
        <x:v>6</x:v>
      </x:c>
      <x:c r="F1466" s="36" t="n">
        <x:v>6</x:v>
      </x:c>
      <x:c r="G1466" s="36" t="n">
        <x:v>6</x:v>
      </x:c>
      <x:c r="H1466" s="36" t="n">
        <x:v>4</x:v>
      </x:c>
      <x:c r="I1466" s="34" t="str">
        <x:v>afterUndeploy</x:v>
      </x:c>
      <x:c r="J1466" s="34" t="str">
        <x:v>after-undeploy-final</x:v>
      </x:c>
      <x:c r="K1466" s="36" t="n">
        <x:v>1</x:v>
      </x:c>
      <x:c r="L1466" s="34" t="str">
        <x:v>final</x:v>
      </x:c>
      <x:c r="M1466" s="34" t="str">
        <x:v>article1-unified-v4-2-fb3f101b-20260903-000401-default-f06-p6-cache2k-4-after-undeploy-final-10s</x:v>
      </x:c>
      <x:c r="N1466" s="38" t="n">
        <x:v>46268.12334788194</x:v>
      </x:c>
      <x:c r="O1466" s="36" t="n">
        <x:v>2</x:v>
      </x:c>
      <x:c r="P1466" s="43" t="n">
        <x:v>15673344</x:v>
      </x:c>
      <x:c r="Q1466" s="43" t="n">
        <x:v>268435456</x:v>
      </x:c>
      <x:c r="R1466" s="43" t="n">
        <x:v>422968320</x:v>
      </x:c>
      <x:c r="S1466" s="36" t="n">
        <x:v>2</x:v>
      </x:c>
      <x:c r="T1466" s="44" t="str">
        <x:v>0x0000000065116bd8  0x0000000065003818  0x00007213305f1100       0         0         0  org.apache.catalina.loader.ParallelWebappClassLoader | 0x0000000065116bd8  0x0000000065003818  0x0000721294148960    4450  21304320  21282352  org.apache.catalina.loader.ParallelWebappClassLoader</x:v>
      </x:c>
      <x:c r="U1466" s="36" t="n">
        <x:v>27</x:v>
      </x:c>
      <x:c r="V1466" s="36" t="n">
        <x:v>0</x:v>
      </x:c>
      <x:c r="W1466" s="44"/>
      <x:c r="X1466" s="36" t="n">
        <x:v>1</x:v>
      </x:c>
      <x:c r="Y1466" s="36" t="n">
        <x:v>1</x:v>
      </x:c>
      <x:c r="Z1466" s="44" t="str">
        <x:v>/cache2k</x:v>
      </x:c>
      <x:c r="AA1466" s="45" t="b">
        <x:v>1</x:v>
      </x:c>
      <x:c r="AB1466" s="43"/>
      <x:c r="AC1466" s="34" t="str">
        <x:v>article1-unified-v4-2-fb3f101b-20260903-000401-default-f06-p6-cache2k-4-after-undeploy-final-10s-heap-info.txt</x:v>
      </x:c>
      <x:c r="AD1466" s="34" t="str">
        <x:v>article1-unified-v4-2-fb3f101b-20260903-000401-default-f06-p6-cache2k-4-after-undeploy-final-10s-classloader-stats.txt</x:v>
      </x:c>
      <x:c r="AE1466" s="34" t="str">
        <x:v>article1-unified-v4-2-fb3f101b-20260903-000401-default-f06-p6-cache2k-4-after-undeploy-final-10s-thread-dump.txt</x:v>
      </x:c>
      <x:c r="AF1466" s="34"/>
      <x:c r="AG1466" s="34" t="str">
        <x:v>article1-unified-v4-2-fb3f101b-20260903-000401-default-f06-p6-cache2k-4-after-undeploy-final-10s-native-memory.txt</x:v>
      </x:c>
      <x:c r="AH1466" s="34" t="str">
        <x:v>article1-unified-v4-2-fb3f101b-20260903-000401-default-f06-p6-cache2k-4-after-undeploy-final-10s-class-histogram.txt</x:v>
      </x:c>
      <x:c r="AI1466" s="34" t="str">
        <x:v>article1-unified-v4-2-fb3f101b-20260903-000401-default-f06-p6-cache2k-4-after-undeploy-tomcat-findleaks.txt</x:v>
      </x:c>
    </x:row>
    <x:row r="1467">
      <x:c r="A1467" s="34" t="str">
        <x:v>article1-unified-v4-2-fb3f101b-20260903-000401-default-f06-p6-cache2k</x:v>
      </x:c>
      <x:c r="B1467" s="34" t="str">
        <x:v>default</x:v>
      </x:c>
      <x:c r="C1467" s="34" t="str">
        <x:v>cache2k</x:v>
      </x:c>
      <x:c r="D1467" s="34" t="str">
        <x:v>cache2k</x:v>
      </x:c>
      <x:c r="E1467" s="36" t="n">
        <x:v>6</x:v>
      </x:c>
      <x:c r="F1467" s="36" t="n">
        <x:v>6</x:v>
      </x:c>
      <x:c r="G1467" s="36" t="n">
        <x:v>6</x:v>
      </x:c>
      <x:c r="H1467" s="36" t="n">
        <x:v>4</x:v>
      </x:c>
      <x:c r="I1467" s="34" t="str">
        <x:v>redeployedLoaded</x:v>
      </x:c>
      <x:c r="J1467" s="34" t="str">
        <x:v>redeployed-loaded</x:v>
      </x:c>
      <x:c r="K1467" s="36" t="n">
        <x:v>0</x:v>
      </x:c>
      <x:c r="L1467" s="34" t="str">
        <x:v>redeploy</x:v>
      </x:c>
      <x:c r="M1467" s="34" t="str">
        <x:v>article1-unified-v4-2-fb3f101b-20260903-000401-default-f06-p6-cache2k-4-redeployed-loaded</x:v>
      </x:c>
      <x:c r="N1467" s="38" t="n">
        <x:v>46268.12361236111</x:v>
      </x:c>
      <x:c r="O1467" s="36" t="n">
        <x:v>0</x:v>
      </x:c>
      <x:c r="P1467" s="43" t="n">
        <x:v>94166016</x:v>
      </x:c>
      <x:c r="Q1467" s="43" t="n">
        <x:v>268435456</x:v>
      </x:c>
      <x:c r="R1467" s="43" t="n">
        <x:v>444779520</x:v>
      </x:c>
      <x:c r="S1467" s="36" t="n">
        <x:v>3</x:v>
      </x:c>
      <x:c r="T1467" s="44" t="str">
        <x:v>0x0000000065116bd8  0x0000000065003818  0x000072123c013930    4446  21265408  21250816  org.apache.catalina.loader.ParallelWebappClassLoader | 0x0000000065116bd8  0x0000000065003818  0x00007213305f1100       0         0         0  org.apache.catalina.loader.ParallelWebappClassLoader | 0x0000000065116bd8  0x0000000065003818  0x0000721294148960    4450  21304320  21282352  org.apache.catalina.loader.ParallelWebappClassLoader</x:v>
      </x:c>
      <x:c r="U1467" s="36" t="n">
        <x:v>29</x:v>
      </x:c>
      <x:c r="V1467" s="36" t="n">
        <x:v>0</x:v>
      </x:c>
      <x:c r="W1467" s="44"/>
      <x:c r="X1467" s="36"/>
      <x:c r="Y1467" s="36"/>
      <x:c r="Z1467" s="44"/>
      <x:c r="AA1467" s="49"/>
      <x:c r="AB1467" s="43"/>
      <x:c r="AC1467" s="34"/>
      <x:c r="AD1467" s="34"/>
      <x:c r="AE1467" s="34"/>
      <x:c r="AF1467" s="34"/>
      <x:c r="AG1467" s="34"/>
      <x:c r="AH1467" s="34"/>
      <x:c r="AI1467" s="34"/>
    </x:row>
    <x:row r="1468">
      <x:c r="A1468" s="34" t="str">
        <x:v>article1-unified-v4-2-fb3f101b-20260903-000401-default-f06-p6-cache2k</x:v>
      </x:c>
      <x:c r="B1468" s="34" t="str">
        <x:v>default</x:v>
      </x:c>
      <x:c r="C1468" s="34" t="str">
        <x:v>cache2k</x:v>
      </x:c>
      <x:c r="D1468" s="34" t="str">
        <x:v>cache2k</x:v>
      </x:c>
      <x:c r="E1468" s="36" t="n">
        <x:v>6</x:v>
      </x:c>
      <x:c r="F1468" s="36" t="n">
        <x:v>6</x:v>
      </x:c>
      <x:c r="G1468" s="36" t="n">
        <x:v>6</x:v>
      </x:c>
      <x:c r="H1468" s="36" t="n">
        <x:v>4</x:v>
      </x:c>
      <x:c r="I1468" s="34" t="str">
        <x:v>afterFinalUndeployEarly</x:v>
      </x:c>
      <x:c r="J1468" s="34" t="str">
        <x:v>after-final-undeploy-early</x:v>
      </x:c>
      <x:c r="K1468" s="36" t="n">
        <x:v>2</x:v>
      </x:c>
      <x:c r="L1468" s="34" t="str">
        <x:v>early</x:v>
      </x:c>
      <x:c r="M1468" s="34" t="str">
        <x:v>article1-unified-v4-2-fb3f101b-20260903-000401-default-f06-p6-cache2k-4-after-final-undeploy-early-2s</x:v>
      </x:c>
      <x:c r="N1468" s="38" t="n">
        <x:v>46268.123694560185</x:v>
      </x:c>
      <x:c r="O1468" s="36"/>
      <x:c r="P1468" s="43"/>
      <x:c r="Q1468" s="43"/>
      <x:c r="R1468" s="43"/>
      <x:c r="S1468" s="36"/>
      <x:c r="T1468" s="44"/>
      <x:c r="U1468" s="36" t="n">
        <x:v>27</x:v>
      </x:c>
      <x:c r="V1468" s="36" t="n">
        <x:v>0</x:v>
      </x:c>
      <x:c r="W1468" s="44"/>
      <x:c r="X1468" s="36"/>
      <x:c r="Y1468" s="36"/>
      <x:c r="Z1468" s="44"/>
      <x:c r="AA1468" s="49"/>
      <x:c r="AB1468" s="43" t="n">
        <x:v>1</x:v>
      </x:c>
      <x:c r="AC1468" s="34"/>
      <x:c r="AD1468" s="34"/>
      <x:c r="AE1468" s="34" t="str">
        <x:v>article1-unified-v4-2-fb3f101b-20260903-000401-default-f06-p6-cache2k-4-after-final-undeploy-early-2s-thread-dump.txt</x:v>
      </x:c>
      <x:c r="AF1468" s="34" t="str">
        <x:v>article1-unified-v4-2-fb3f101b-20260903-000401-default-f06-p6-cache2k-4-after-final-undeploy-early-tomcat-log.txt</x:v>
      </x:c>
      <x:c r="AG1468" s="34"/>
      <x:c r="AH1468" s="34"/>
      <x:c r="AI1468" s="34"/>
    </x:row>
    <x:row r="1469">
      <x:c r="A1469" s="34" t="str">
        <x:v>article1-unified-v4-2-fb3f101b-20260903-000401-default-f06-p6-cache2k</x:v>
      </x:c>
      <x:c r="B1469" s="34" t="str">
        <x:v>default</x:v>
      </x:c>
      <x:c r="C1469" s="34" t="str">
        <x:v>cache2k</x:v>
      </x:c>
      <x:c r="D1469" s="34" t="str">
        <x:v>cache2k</x:v>
      </x:c>
      <x:c r="E1469" s="36" t="n">
        <x:v>6</x:v>
      </x:c>
      <x:c r="F1469" s="36" t="n">
        <x:v>6</x:v>
      </x:c>
      <x:c r="G1469" s="36" t="n">
        <x:v>6</x:v>
      </x:c>
      <x:c r="H1469" s="36" t="n">
        <x:v>4</x:v>
      </x:c>
      <x:c r="I1469" s="34" t="str">
        <x:v>afterFinalUndeploy</x:v>
      </x:c>
      <x:c r="J1469" s="34" t="str">
        <x:v>after-final-undeploy-final</x:v>
      </x:c>
      <x:c r="K1469" s="36" t="n">
        <x:v>2</x:v>
      </x:c>
      <x:c r="L1469" s="34" t="str">
        <x:v>final</x:v>
      </x:c>
      <x:c r="M1469" s="34" t="str">
        <x:v>article1-unified-v4-2-fb3f101b-20260903-000401-default-f06-p6-cache2k-4-after-final-undeploy-final-10s</x:v>
      </x:c>
      <x:c r="N1469" s="38" t="n">
        <x:v>46268.123853171295</x:v>
      </x:c>
      <x:c r="O1469" s="36" t="n">
        <x:v>2</x:v>
      </x:c>
      <x:c r="P1469" s="43" t="n">
        <x:v>15675392</x:v>
      </x:c>
      <x:c r="Q1469" s="43" t="n">
        <x:v>268435456</x:v>
      </x:c>
      <x:c r="R1469" s="43" t="n">
        <x:v>426503168</x:v>
      </x:c>
      <x:c r="S1469" s="36" t="n">
        <x:v>2</x:v>
      </x:c>
      <x:c r="T1469" s="44" t="str">
        <x:v>0x0000000065116bd8  0x0000000065003818  0x000072123c013930    4456  21298176  21279752  org.apache.catalina.loader.ParallelWebappClassLoader | 0x0000000065116bd8  0x0000000065003818  0x00007213305f1100       0         0         0  org.apache.catalina.loader.ParallelWebappClassLoader</x:v>
      </x:c>
      <x:c r="U1469" s="36" t="n">
        <x:v>27</x:v>
      </x:c>
      <x:c r="V1469" s="36" t="n">
        <x:v>0</x:v>
      </x:c>
      <x:c r="W1469" s="44"/>
      <x:c r="X1469" s="36" t="n">
        <x:v>1</x:v>
      </x:c>
      <x:c r="Y1469" s="36" t="n">
        <x:v>1</x:v>
      </x:c>
      <x:c r="Z1469" s="44" t="str">
        <x:v>/cache2k</x:v>
      </x:c>
      <x:c r="AA1469" s="45" t="b">
        <x:v>1</x:v>
      </x:c>
      <x:c r="AB1469" s="43"/>
      <x:c r="AC1469" s="34" t="str">
        <x:v>article1-unified-v4-2-fb3f101b-20260903-000401-default-f06-p6-cache2k-4-after-final-undeploy-final-10s-heap-info.txt</x:v>
      </x:c>
      <x:c r="AD1469" s="34" t="str">
        <x:v>article1-unified-v4-2-fb3f101b-20260903-000401-default-f06-p6-cache2k-4-after-final-undeploy-final-10s-classloader-stats.txt</x:v>
      </x:c>
      <x:c r="AE1469" s="34" t="str">
        <x:v>article1-unified-v4-2-fb3f101b-20260903-000401-default-f06-p6-cache2k-4-after-final-undeploy-final-10s-thread-dump.txt</x:v>
      </x:c>
      <x:c r="AF1469" s="34"/>
      <x:c r="AG1469" s="34" t="str">
        <x:v>article1-unified-v4-2-fb3f101b-20260903-000401-default-f06-p6-cache2k-4-after-final-undeploy-final-10s-native-memory.txt</x:v>
      </x:c>
      <x:c r="AH1469" s="34" t="str">
        <x:v>article1-unified-v4-2-fb3f101b-20260903-000401-default-f06-p6-cache2k-4-after-final-undeploy-final-10s-class-histogram.txt</x:v>
      </x:c>
      <x:c r="AI1469" s="34" t="str">
        <x:v>article1-unified-v4-2-fb3f101b-20260903-000401-default-f06-p6-cache2k-4-after-final-undeploy-tomcat-findleaks.txt</x:v>
      </x:c>
    </x:row>
    <x:row r="1470">
      <x:c r="A1470" s="34" t="str">
        <x:v>article1-unified-v4-2-fb3f101b-20260903-000401-default-f06-p6-cache2k</x:v>
      </x:c>
      <x:c r="B1470" s="34" t="str">
        <x:v>default</x:v>
      </x:c>
      <x:c r="C1470" s="34" t="str">
        <x:v>cache2k</x:v>
      </x:c>
      <x:c r="D1470" s="34" t="str">
        <x:v>cache2k</x:v>
      </x:c>
      <x:c r="E1470" s="36" t="n">
        <x:v>6</x:v>
      </x:c>
      <x:c r="F1470" s="36" t="n">
        <x:v>6</x:v>
      </x:c>
      <x:c r="G1470" s="36" t="n">
        <x:v>6</x:v>
      </x:c>
      <x:c r="H1470" s="36" t="n">
        <x:v>5</x:v>
      </x:c>
      <x:c r="I1470" s="34" t="str">
        <x:v>baseline</x:v>
      </x:c>
      <x:c r="J1470" s="34" t="str">
        <x:v>cycle-baseline</x:v>
      </x:c>
      <x:c r="K1470" s="36" t="n">
        <x:v>0</x:v>
      </x:c>
      <x:c r="L1470" s="34" t="str">
        <x:v>baseline</x:v>
      </x:c>
      <x:c r="M1470" s="34" t="str">
        <x:v>article1-unified-v4-2-fb3f101b-20260903-000401-default-f06-p6-cache2k-5-baseline</x:v>
      </x:c>
      <x:c r="N1470" s="38" t="n">
        <x:v>46268.123897523146</x:v>
      </x:c>
      <x:c r="O1470" s="36" t="n">
        <x:v>0</x:v>
      </x:c>
      <x:c r="P1470" s="43" t="n">
        <x:v>15675392</x:v>
      </x:c>
      <x:c r="Q1470" s="43" t="n">
        <x:v>268435456</x:v>
      </x:c>
      <x:c r="R1470" s="43" t="n">
        <x:v>426503168</x:v>
      </x:c>
      <x:c r="S1470" s="36" t="n">
        <x:v>2</x:v>
      </x:c>
      <x:c r="T1470" s="44" t="str">
        <x:v>0x0000000065116bd8  0x0000000065003818  0x000072123c013930    4456  21298176  21279752  org.apache.catalina.loader.ParallelWebappClassLoader | 0x0000000065116bd8  0x0000000065003818  0x00007213305f1100       0         0         0  org.apache.catalina.loader.ParallelWebappClassLoader</x:v>
      </x:c>
      <x:c r="U1470" s="36" t="n">
        <x:v>27</x:v>
      </x:c>
      <x:c r="V1470" s="36" t="n">
        <x:v>0</x:v>
      </x:c>
      <x:c r="W1470" s="44"/>
      <x:c r="X1470" s="36"/>
      <x:c r="Y1470" s="36"/>
      <x:c r="Z1470" s="44"/>
      <x:c r="AA1470" s="49"/>
      <x:c r="AB1470" s="43"/>
      <x:c r="AC1470" s="34" t="str">
        <x:v>article1-unified-v4-2-fb3f101b-20260903-000401-default-f06-p6-cache2k-5-baseline-heap-info.txt</x:v>
      </x:c>
      <x:c r="AD1470" s="34" t="str">
        <x:v>article1-unified-v4-2-fb3f101b-20260903-000401-default-f06-p6-cache2k-5-baseline-classloader-stats.txt</x:v>
      </x:c>
      <x:c r="AE1470" s="34" t="str">
        <x:v>article1-unified-v4-2-fb3f101b-20260903-000401-default-f06-p6-cache2k-5-baseline-thread-dump.txt</x:v>
      </x:c>
      <x:c r="AF1470" s="34"/>
      <x:c r="AG1470" s="34" t="str">
        <x:v>article1-unified-v4-2-fb3f101b-20260903-000401-default-f06-p6-cache2k-5-baseline-native-memory.txt</x:v>
      </x:c>
      <x:c r="AH1470" s="34"/>
      <x:c r="AI1470" s="34"/>
    </x:row>
    <x:row r="1471">
      <x:c r="A1471" s="34" t="str">
        <x:v>article1-unified-v4-2-fb3f101b-20260903-000401-default-f06-p6-cache2k</x:v>
      </x:c>
      <x:c r="B1471" s="34" t="str">
        <x:v>default</x:v>
      </x:c>
      <x:c r="C1471" s="34" t="str">
        <x:v>cache2k</x:v>
      </x:c>
      <x:c r="D1471" s="34" t="str">
        <x:v>cache2k</x:v>
      </x:c>
      <x:c r="E1471" s="36" t="n">
        <x:v>6</x:v>
      </x:c>
      <x:c r="F1471" s="36" t="n">
        <x:v>6</x:v>
      </x:c>
      <x:c r="G1471" s="36" t="n">
        <x:v>6</x:v>
      </x:c>
      <x:c r="H1471" s="36" t="n">
        <x:v>5</x:v>
      </x:c>
      <x:c r="I1471" s="34" t="str">
        <x:v>deployedIdle</x:v>
      </x:c>
      <x:c r="J1471" s="34" t="str">
        <x:v>deployed-idle</x:v>
      </x:c>
      <x:c r="K1471" s="36" t="n">
        <x:v>0</x:v>
      </x:c>
      <x:c r="L1471" s="34" t="str">
        <x:v>initial</x:v>
      </x:c>
      <x:c r="M1471" s="34" t="str">
        <x:v>article1-unified-v4-2-fb3f101b-20260903-000401-default-f06-p6-cache2k-5-deployed-idle</x:v>
      </x:c>
      <x:c r="N1471" s="38" t="n">
        <x:v>46268.123999537034</x:v>
      </x:c>
      <x:c r="O1471" s="36" t="n">
        <x:v>0</x:v>
      </x:c>
      <x:c r="P1471" s="43" t="n">
        <x:v>169646080</x:v>
      </x:c>
      <x:c r="Q1471" s="43" t="n">
        <x:v>268435456</x:v>
      </x:c>
      <x:c r="R1471" s="43" t="n">
        <x:v>441688064</x:v>
      </x:c>
      <x:c r="S1471" s="36" t="n">
        <x:v>3</x:v>
      </x:c>
      <x:c r="T1471" s="44" t="str">
        <x:v>0x0000000065116bd8  0x0000000065003818  0x000072123c013930    4456  21298176  21279752  org.apache.catalina.loader.ParallelWebappClassLoader | 0x0000000065116bd8  0x0000000065003818  0x00007212401986e0    4091  19431424  19411448  org.apache.catalina.loader.ParallelWebappClassLoader | 0x0000000065116bd8  0x0000000065003818  0x00007213305f1100       0         0         0  org.apache.catalina.loader.ParallelWebappClassLoader</x:v>
      </x:c>
      <x:c r="U1471" s="36" t="n">
        <x:v>27</x:v>
      </x:c>
      <x:c r="V1471" s="36" t="n">
        <x:v>0</x:v>
      </x:c>
      <x:c r="W1471" s="44"/>
      <x:c r="X1471" s="36"/>
      <x:c r="Y1471" s="36"/>
      <x:c r="Z1471" s="44"/>
      <x:c r="AA1471" s="49"/>
      <x:c r="AB1471" s="43"/>
      <x:c r="AC1471" s="34"/>
      <x:c r="AD1471" s="34"/>
      <x:c r="AE1471" s="34"/>
      <x:c r="AF1471" s="34"/>
      <x:c r="AG1471" s="34"/>
      <x:c r="AH1471" s="34"/>
      <x:c r="AI1471" s="34"/>
    </x:row>
    <x:row r="1472">
      <x:c r="A1472" s="34" t="str">
        <x:v>article1-unified-v4-2-fb3f101b-20260903-000401-default-f06-p6-cache2k</x:v>
      </x:c>
      <x:c r="B1472" s="34" t="str">
        <x:v>default</x:v>
      </x:c>
      <x:c r="C1472" s="34" t="str">
        <x:v>cache2k</x:v>
      </x:c>
      <x:c r="D1472" s="34" t="str">
        <x:v>cache2k</x:v>
      </x:c>
      <x:c r="E1472" s="36" t="n">
        <x:v>6</x:v>
      </x:c>
      <x:c r="F1472" s="36" t="n">
        <x:v>6</x:v>
      </x:c>
      <x:c r="G1472" s="36" t="n">
        <x:v>6</x:v>
      </x:c>
      <x:c r="H1472" s="36" t="n">
        <x:v>5</x:v>
      </x:c>
      <x:c r="I1472" s="34" t="str">
        <x:v>loaded</x:v>
      </x:c>
      <x:c r="J1472" s="34" t="str">
        <x:v>loaded</x:v>
      </x:c>
      <x:c r="K1472" s="36" t="n">
        <x:v>0</x:v>
      </x:c>
      <x:c r="L1472" s="34" t="str">
        <x:v>initial</x:v>
      </x:c>
      <x:c r="M1472" s="34" t="str">
        <x:v>article1-unified-v4-2-fb3f101b-20260903-000401-default-f06-p6-cache2k-5-loaded</x:v>
      </x:c>
      <x:c r="N1472" s="38" t="n">
        <x:v>46268.124155625</x:v>
      </x:c>
      <x:c r="O1472" s="36" t="n">
        <x:v>0</x:v>
      </x:c>
      <x:c r="P1472" s="43" t="n">
        <x:v>92213248</x:v>
      </x:c>
      <x:c r="Q1472" s="43" t="n">
        <x:v>268435456</x:v>
      </x:c>
      <x:c r="R1472" s="43" t="n">
        <x:v>445642752</x:v>
      </x:c>
      <x:c r="S1472" s="36" t="n">
        <x:v>3</x:v>
      </x:c>
      <x:c r="T1472" s="44" t="str">
        <x:v>0x0000000065116bd8  0x0000000065003818  0x00007212401986e0    4441  21266432  21242344  org.apache.catalina.loader.ParallelWebappClassLoader | 0x0000000065116bd8  0x0000000065003818  0x000072123c013930    4456  21298176  21279752  org.apache.catalina.loader.ParallelWebappClassLoader | 0x0000000065116bd8  0x0000000065003818  0x00007213305f1100       0         0         0  org.apache.catalina.loader.ParallelWebappClassLoader</x:v>
      </x:c>
      <x:c r="U1472" s="36" t="n">
        <x:v>28</x:v>
      </x:c>
      <x:c r="V1472" s="36" t="n">
        <x:v>0</x:v>
      </x:c>
      <x:c r="W1472" s="44"/>
      <x:c r="X1472" s="36"/>
      <x:c r="Y1472" s="36"/>
      <x:c r="Z1472" s="44"/>
      <x:c r="AA1472" s="49"/>
      <x:c r="AB1472" s="43"/>
      <x:c r="AC1472" s="34"/>
      <x:c r="AD1472" s="34"/>
      <x:c r="AE1472" s="34"/>
      <x:c r="AF1472" s="34"/>
      <x:c r="AG1472" s="34"/>
      <x:c r="AH1472" s="34"/>
      <x:c r="AI1472" s="34"/>
    </x:row>
    <x:row r="1473">
      <x:c r="A1473" s="34" t="str">
        <x:v>article1-unified-v4-2-fb3f101b-20260903-000401-default-f06-p6-cache2k</x:v>
      </x:c>
      <x:c r="B1473" s="34" t="str">
        <x:v>default</x:v>
      </x:c>
      <x:c r="C1473" s="34" t="str">
        <x:v>cache2k</x:v>
      </x:c>
      <x:c r="D1473" s="34" t="str">
        <x:v>cache2k</x:v>
      </x:c>
      <x:c r="E1473" s="36" t="n">
        <x:v>6</x:v>
      </x:c>
      <x:c r="F1473" s="36" t="n">
        <x:v>6</x:v>
      </x:c>
      <x:c r="G1473" s="36" t="n">
        <x:v>6</x:v>
      </x:c>
      <x:c r="H1473" s="36" t="n">
        <x:v>5</x:v>
      </x:c>
      <x:c r="I1473" s="34" t="str">
        <x:v>afterUndeployEarly</x:v>
      </x:c>
      <x:c r="J1473" s="34" t="str">
        <x:v>after-undeploy-early</x:v>
      </x:c>
      <x:c r="K1473" s="36" t="n">
        <x:v>1</x:v>
      </x:c>
      <x:c r="L1473" s="34" t="str">
        <x:v>early</x:v>
      </x:c>
      <x:c r="M1473" s="34" t="str">
        <x:v>article1-unified-v4-2-fb3f101b-20260903-000401-default-f06-p6-cache2k-5-after-undeploy-early-2s</x:v>
      </x:c>
      <x:c r="N1473" s="38" t="n">
        <x:v>46268.12424451389</x:v>
      </x:c>
      <x:c r="O1473" s="36"/>
      <x:c r="P1473" s="43"/>
      <x:c r="Q1473" s="43"/>
      <x:c r="R1473" s="43"/>
      <x:c r="S1473" s="36"/>
      <x:c r="T1473" s="44"/>
      <x:c r="U1473" s="36" t="n">
        <x:v>27</x:v>
      </x:c>
      <x:c r="V1473" s="36" t="n">
        <x:v>0</x:v>
      </x:c>
      <x:c r="W1473" s="44"/>
      <x:c r="X1473" s="36"/>
      <x:c r="Y1473" s="36"/>
      <x:c r="Z1473" s="44"/>
      <x:c r="AA1473" s="49"/>
      <x:c r="AB1473" s="43" t="n">
        <x:v>1</x:v>
      </x:c>
      <x:c r="AC1473" s="34"/>
      <x:c r="AD1473" s="34"/>
      <x:c r="AE1473" s="34" t="str">
        <x:v>article1-unified-v4-2-fb3f101b-20260903-000401-default-f06-p6-cache2k-5-after-undeploy-early-2s-thread-dump.txt</x:v>
      </x:c>
      <x:c r="AF1473" s="34" t="str">
        <x:v>article1-unified-v4-2-fb3f101b-20260903-000401-default-f06-p6-cache2k-5-after-undeploy-early-tomcat-log.txt</x:v>
      </x:c>
      <x:c r="AG1473" s="34"/>
      <x:c r="AH1473" s="34"/>
      <x:c r="AI1473" s="34"/>
    </x:row>
    <x:row r="1474">
      <x:c r="A1474" s="34" t="str">
        <x:v>article1-unified-v4-2-fb3f101b-20260903-000401-default-f06-p6-cache2k</x:v>
      </x:c>
      <x:c r="B1474" s="34" t="str">
        <x:v>default</x:v>
      </x:c>
      <x:c r="C1474" s="34" t="str">
        <x:v>cache2k</x:v>
      </x:c>
      <x:c r="D1474" s="34" t="str">
        <x:v>cache2k</x:v>
      </x:c>
      <x:c r="E1474" s="36" t="n">
        <x:v>6</x:v>
      </x:c>
      <x:c r="F1474" s="36" t="n">
        <x:v>6</x:v>
      </x:c>
      <x:c r="G1474" s="36" t="n">
        <x:v>6</x:v>
      </x:c>
      <x:c r="H1474" s="36" t="n">
        <x:v>5</x:v>
      </x:c>
      <x:c r="I1474" s="34" t="str">
        <x:v>afterUndeploy</x:v>
      </x:c>
      <x:c r="J1474" s="34" t="str">
        <x:v>after-undeploy-final</x:v>
      </x:c>
      <x:c r="K1474" s="36" t="n">
        <x:v>1</x:v>
      </x:c>
      <x:c r="L1474" s="34" t="str">
        <x:v>final</x:v>
      </x:c>
      <x:c r="M1474" s="34" t="str">
        <x:v>article1-unified-v4-2-fb3f101b-20260903-000401-default-f06-p6-cache2k-5-after-undeploy-final-10s</x:v>
      </x:c>
      <x:c r="N1474" s="38" t="n">
        <x:v>46268.12440635417</x:v>
      </x:c>
      <x:c r="O1474" s="36" t="n">
        <x:v>2</x:v>
      </x:c>
      <x:c r="P1474" s="43" t="n">
        <x:v>15690752</x:v>
      </x:c>
      <x:c r="Q1474" s="43" t="n">
        <x:v>268435456</x:v>
      </x:c>
      <x:c r="R1474" s="43" t="n">
        <x:v>424062976</x:v>
      </x:c>
      <x:c r="S1474" s="36" t="n">
        <x:v>2</x:v>
      </x:c>
      <x:c r="T1474" s="44" t="str">
        <x:v>0x0000000065116bd8  0x0000000065003818  0x00007212401986e0    4451  21282816  21271288  org.apache.catalina.loader.ParallelWebappClassLoader | 0x0000000065116bd8  0x0000000065003818  0x00007213305f1100       0         0         0  org.apache.catalina.loader.ParallelWebappClassLoader</x:v>
      </x:c>
      <x:c r="U1474" s="36" t="n">
        <x:v>27</x:v>
      </x:c>
      <x:c r="V1474" s="36" t="n">
        <x:v>0</x:v>
      </x:c>
      <x:c r="W1474" s="44"/>
      <x:c r="X1474" s="36" t="n">
        <x:v>1</x:v>
      </x:c>
      <x:c r="Y1474" s="36" t="n">
        <x:v>1</x:v>
      </x:c>
      <x:c r="Z1474" s="44" t="str">
        <x:v>/cache2k</x:v>
      </x:c>
      <x:c r="AA1474" s="45" t="b">
        <x:v>1</x:v>
      </x:c>
      <x:c r="AB1474" s="43"/>
      <x:c r="AC1474" s="34" t="str">
        <x:v>article1-unified-v4-2-fb3f101b-20260903-000401-default-f06-p6-cache2k-5-after-undeploy-final-10s-heap-info.txt</x:v>
      </x:c>
      <x:c r="AD1474" s="34" t="str">
        <x:v>article1-unified-v4-2-fb3f101b-20260903-000401-default-f06-p6-cache2k-5-after-undeploy-final-10s-classloader-stats.txt</x:v>
      </x:c>
      <x:c r="AE1474" s="34" t="str">
        <x:v>article1-unified-v4-2-fb3f101b-20260903-000401-default-f06-p6-cache2k-5-after-undeploy-final-10s-thread-dump.txt</x:v>
      </x:c>
      <x:c r="AF1474" s="34"/>
      <x:c r="AG1474" s="34" t="str">
        <x:v>article1-unified-v4-2-fb3f101b-20260903-000401-default-f06-p6-cache2k-5-after-undeploy-final-10s-native-memory.txt</x:v>
      </x:c>
      <x:c r="AH1474" s="34" t="str">
        <x:v>article1-unified-v4-2-fb3f101b-20260903-000401-default-f06-p6-cache2k-5-after-undeploy-final-10s-class-histogram.txt</x:v>
      </x:c>
      <x:c r="AI1474" s="34" t="str">
        <x:v>article1-unified-v4-2-fb3f101b-20260903-000401-default-f06-p6-cache2k-5-after-undeploy-tomcat-findleaks.txt</x:v>
      </x:c>
    </x:row>
    <x:row r="1475">
      <x:c r="A1475" s="34" t="str">
        <x:v>article1-unified-v4-2-fb3f101b-20260903-000401-default-f06-p6-cache2k</x:v>
      </x:c>
      <x:c r="B1475" s="34" t="str">
        <x:v>default</x:v>
      </x:c>
      <x:c r="C1475" s="34" t="str">
        <x:v>cache2k</x:v>
      </x:c>
      <x:c r="D1475" s="34" t="str">
        <x:v>cache2k</x:v>
      </x:c>
      <x:c r="E1475" s="36" t="n">
        <x:v>6</x:v>
      </x:c>
      <x:c r="F1475" s="36" t="n">
        <x:v>6</x:v>
      </x:c>
      <x:c r="G1475" s="36" t="n">
        <x:v>6</x:v>
      </x:c>
      <x:c r="H1475" s="36" t="n">
        <x:v>5</x:v>
      </x:c>
      <x:c r="I1475" s="34" t="str">
        <x:v>redeployedLoaded</x:v>
      </x:c>
      <x:c r="J1475" s="34" t="str">
        <x:v>redeployed-loaded</x:v>
      </x:c>
      <x:c r="K1475" s="36" t="n">
        <x:v>0</x:v>
      </x:c>
      <x:c r="L1475" s="34" t="str">
        <x:v>redeploy</x:v>
      </x:c>
      <x:c r="M1475" s="34" t="str">
        <x:v>article1-unified-v4-2-fb3f101b-20260903-000401-default-f06-p6-cache2k-5-redeployed-loaded</x:v>
      </x:c>
      <x:c r="N1475" s="38" t="n">
        <x:v>46268.12466771991</x:v>
      </x:c>
      <x:c r="O1475" s="36" t="n">
        <x:v>0</x:v>
      </x:c>
      <x:c r="P1475" s="43" t="n">
        <x:v>93410304</x:v>
      </x:c>
      <x:c r="Q1475" s="43" t="n">
        <x:v>268435456</x:v>
      </x:c>
      <x:c r="R1475" s="43" t="n">
        <x:v>452273152</x:v>
      </x:c>
      <x:c r="S1475" s="36" t="n">
        <x:v>3</x:v>
      </x:c>
      <x:c r="T1475" s="44" t="str">
        <x:v>0x0000000065116bd8  0x0000000065003818  0x00007212401986e0    4451  21282816  21271288  org.apache.catalina.loader.ParallelWebappClassLoader | 0x0000000065116bd8  0x0000000065003818  0x00007213305f1100       0         0         0  org.apache.catalina.loader.ParallelWebappClassLoader | 0x0000000065116bd8  0x0000000065003818  0x000072128c1ea650    4440  21270528  21256584  org.apache.catalina.loader.ParallelWebappClassLoader</x:v>
      </x:c>
      <x:c r="U1475" s="36" t="n">
        <x:v>29</x:v>
      </x:c>
      <x:c r="V1475" s="36" t="n">
        <x:v>0</x:v>
      </x:c>
      <x:c r="W1475" s="44"/>
      <x:c r="X1475" s="36"/>
      <x:c r="Y1475" s="36"/>
      <x:c r="Z1475" s="44"/>
      <x:c r="AA1475" s="49"/>
      <x:c r="AB1475" s="43"/>
      <x:c r="AC1475" s="34"/>
      <x:c r="AD1475" s="34"/>
      <x:c r="AE1475" s="34"/>
      <x:c r="AF1475" s="34"/>
      <x:c r="AG1475" s="34"/>
      <x:c r="AH1475" s="34"/>
      <x:c r="AI1475" s="34"/>
    </x:row>
    <x:row r="1476">
      <x:c r="A1476" s="34" t="str">
        <x:v>article1-unified-v4-2-fb3f101b-20260903-000401-default-f06-p6-cache2k</x:v>
      </x:c>
      <x:c r="B1476" s="34" t="str">
        <x:v>default</x:v>
      </x:c>
      <x:c r="C1476" s="34" t="str">
        <x:v>cache2k</x:v>
      </x:c>
      <x:c r="D1476" s="34" t="str">
        <x:v>cache2k</x:v>
      </x:c>
      <x:c r="E1476" s="36" t="n">
        <x:v>6</x:v>
      </x:c>
      <x:c r="F1476" s="36" t="n">
        <x:v>6</x:v>
      </x:c>
      <x:c r="G1476" s="36" t="n">
        <x:v>6</x:v>
      </x:c>
      <x:c r="H1476" s="36" t="n">
        <x:v>5</x:v>
      </x:c>
      <x:c r="I1476" s="34" t="str">
        <x:v>afterFinalUndeployEarly</x:v>
      </x:c>
      <x:c r="J1476" s="34" t="str">
        <x:v>after-final-undeploy-early</x:v>
      </x:c>
      <x:c r="K1476" s="36" t="n">
        <x:v>2</x:v>
      </x:c>
      <x:c r="L1476" s="34" t="str">
        <x:v>early</x:v>
      </x:c>
      <x:c r="M1476" s="34" t="str">
        <x:v>article1-unified-v4-2-fb3f101b-20260903-000401-default-f06-p6-cache2k-5-after-final-undeploy-early-2s</x:v>
      </x:c>
      <x:c r="N1476" s="38" t="n">
        <x:v>46268.12475347222</x:v>
      </x:c>
      <x:c r="O1476" s="36"/>
      <x:c r="P1476" s="43"/>
      <x:c r="Q1476" s="43"/>
      <x:c r="R1476" s="43"/>
      <x:c r="S1476" s="36"/>
      <x:c r="T1476" s="44"/>
      <x:c r="U1476" s="36" t="n">
        <x:v>27</x:v>
      </x:c>
      <x:c r="V1476" s="36" t="n">
        <x:v>0</x:v>
      </x:c>
      <x:c r="W1476" s="44"/>
      <x:c r="X1476" s="36"/>
      <x:c r="Y1476" s="36"/>
      <x:c r="Z1476" s="44"/>
      <x:c r="AA1476" s="49"/>
      <x:c r="AB1476" s="43" t="n">
        <x:v>1</x:v>
      </x:c>
      <x:c r="AC1476" s="34"/>
      <x:c r="AD1476" s="34"/>
      <x:c r="AE1476" s="34" t="str">
        <x:v>article1-unified-v4-2-fb3f101b-20260903-000401-default-f06-p6-cache2k-5-after-final-undeploy-early-2s-thread-dump.txt</x:v>
      </x:c>
      <x:c r="AF1476" s="34" t="str">
        <x:v>article1-unified-v4-2-fb3f101b-20260903-000401-default-f06-p6-cache2k-5-after-final-undeploy-early-tomcat-log.txt</x:v>
      </x:c>
      <x:c r="AG1476" s="34"/>
      <x:c r="AH1476" s="34"/>
      <x:c r="AI1476" s="34"/>
    </x:row>
    <x:row r="1477">
      <x:c r="A1477" s="34" t="str">
        <x:v>article1-unified-v4-2-fb3f101b-20260903-000401-default-f06-p6-cache2k</x:v>
      </x:c>
      <x:c r="B1477" s="34" t="str">
        <x:v>default</x:v>
      </x:c>
      <x:c r="C1477" s="34" t="str">
        <x:v>cache2k</x:v>
      </x:c>
      <x:c r="D1477" s="34" t="str">
        <x:v>cache2k</x:v>
      </x:c>
      <x:c r="E1477" s="36" t="n">
        <x:v>6</x:v>
      </x:c>
      <x:c r="F1477" s="36" t="n">
        <x:v>6</x:v>
      </x:c>
      <x:c r="G1477" s="36" t="n">
        <x:v>6</x:v>
      </x:c>
      <x:c r="H1477" s="36" t="n">
        <x:v>5</x:v>
      </x:c>
      <x:c r="I1477" s="34" t="str">
        <x:v>afterFinalUndeploy</x:v>
      </x:c>
      <x:c r="J1477" s="34" t="str">
        <x:v>after-final-undeploy-final</x:v>
      </x:c>
      <x:c r="K1477" s="36" t="n">
        <x:v>2</x:v>
      </x:c>
      <x:c r="L1477" s="34" t="str">
        <x:v>final</x:v>
      </x:c>
      <x:c r="M1477" s="34" t="str">
        <x:v>article1-unified-v4-2-fb3f101b-20260903-000401-default-f06-p6-cache2k-5-after-final-undeploy-final-10s</x:v>
      </x:c>
      <x:c r="N1477" s="38" t="n">
        <x:v>46268.12490914352</x:v>
      </x:c>
      <x:c r="O1477" s="36" t="n">
        <x:v>2</x:v>
      </x:c>
      <x:c r="P1477" s="43" t="n">
        <x:v>15706112</x:v>
      </x:c>
      <x:c r="Q1477" s="43" t="n">
        <x:v>268435456</x:v>
      </x:c>
      <x:c r="R1477" s="43" t="n">
        <x:v>428059648</x:v>
      </x:c>
      <x:c r="S1477" s="36" t="n">
        <x:v>2</x:v>
      </x:c>
      <x:c r="T1477" s="44" t="str">
        <x:v>0x0000000065116bd8  0x0000000065003818  0x000072128c1ea650    4450  21303296  21285528  org.apache.catalina.loader.ParallelWebappClassLoader | 0x0000000065116bd8  0x0000000065003818  0x00007213305f1100       0         0         0  org.apache.catalina.loader.ParallelWebappClassLoader</x:v>
      </x:c>
      <x:c r="U1477" s="36" t="n">
        <x:v>27</x:v>
      </x:c>
      <x:c r="V1477" s="36" t="n">
        <x:v>0</x:v>
      </x:c>
      <x:c r="W1477" s="44"/>
      <x:c r="X1477" s="36" t="n">
        <x:v>1</x:v>
      </x:c>
      <x:c r="Y1477" s="36" t="n">
        <x:v>1</x:v>
      </x:c>
      <x:c r="Z1477" s="44" t="str">
        <x:v>/cache2k</x:v>
      </x:c>
      <x:c r="AA1477" s="45" t="b">
        <x:v>1</x:v>
      </x:c>
      <x:c r="AB1477" s="43"/>
      <x:c r="AC1477" s="34" t="str">
        <x:v>article1-unified-v4-2-fb3f101b-20260903-000401-default-f06-p6-cache2k-5-after-final-undeploy-final-10s-heap-info.txt</x:v>
      </x:c>
      <x:c r="AD1477" s="34" t="str">
        <x:v>article1-unified-v4-2-fb3f101b-20260903-000401-default-f06-p6-cache2k-5-after-final-undeploy-final-10s-classloader-stats.txt</x:v>
      </x:c>
      <x:c r="AE1477" s="34" t="str">
        <x:v>article1-unified-v4-2-fb3f101b-20260903-000401-default-f06-p6-cache2k-5-after-final-undeploy-final-10s-thread-dump.txt</x:v>
      </x:c>
      <x:c r="AF1477" s="34"/>
      <x:c r="AG1477" s="34" t="str">
        <x:v>article1-unified-v4-2-fb3f101b-20260903-000401-default-f06-p6-cache2k-5-after-final-undeploy-final-10s-native-memory.txt</x:v>
      </x:c>
      <x:c r="AH1477" s="34" t="str">
        <x:v>article1-unified-v4-2-fb3f101b-20260903-000401-default-f06-p6-cache2k-5-after-final-undeploy-final-10s-class-histogram.txt</x:v>
      </x:c>
      <x:c r="AI1477" s="34" t="str">
        <x:v>article1-unified-v4-2-fb3f101b-20260903-000401-default-f06-p6-cache2k-5-after-final-undeploy-tomcat-findleaks.txt</x:v>
      </x:c>
    </x:row>
  </x:sheetData>
  <x:pageMargins left="0.7" right="0.7" top="0.75" bottom="0.75" header="0.3" footer="0.3"/>
  <x:tableParts count="1">
    <x:tablePart xmlns:r="http://schemas.openxmlformats.org/officeDocument/2006/relationships" r:id="Re6f85d4712d14d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2" hidden="0" customWidth="1"/>
    <x:col min="3" max="3" width="13" hidden="0" customWidth="1"/>
    <x:col min="4" max="4" width="8" hidden="0" customWidth="1"/>
    <x:col min="5" max="5" width="12" hidden="0" customWidth="1"/>
    <x:col min="6" max="6" width="12" hidden="0" customWidth="1"/>
    <x:col min="7" max="7" width="8" hidden="0" customWidth="1"/>
    <x:col min="8" max="8" width="34" hidden="0" customWidth="1"/>
    <x:col min="9" max="9" width="14" hidden="0" customWidth="1"/>
    <x:col min="10" max="10" width="11" hidden="0" customWidth="1"/>
    <x:col min="11" max="11" width="12" hidden="0" customWidth="1"/>
    <x:col min="12" max="12" width="20" hidden="0" customWidth="1"/>
    <x:col min="13" max="13" width="19" hidden="0" customWidth="1"/>
    <x:col min="14" max="14" width="17" hidden="0" customWidth="1"/>
    <x:col min="15" max="15" width="56" hidden="0" customWidth="1"/>
    <x:col min="16" max="16" width="16" hidden="0" customWidth="1"/>
    <x:col min="17" max="17" width="56" hidden="0" customWidth="1"/>
    <x:col min="18" max="18" width="22" hidden="0" customWidth="1"/>
    <x:col min="19" max="19" width="58" hidden="0" customWidth="1"/>
    <x:col min="20" max="20" width="21" hidden="0" customWidth="1"/>
    <x:col min="21" max="21" width="58" hidden="0" customWidth="1"/>
    <x:col min="22" max="22" width="16" hidden="0" customWidth="1"/>
    <x:col min="23" max="23" width="54" hidden="0" customWidth="1"/>
    <x:col min="24" max="24" width="24" hidden="0" customWidth="1"/>
    <x:col min="25" max="25" width="62" hidden="0" customWidth="1"/>
  </x:cols>
  <x:sheetData>
    <x:row r="1" ht="31" customHeight="1">
      <x:c r="A1" s="23" t="str">
        <x:v>processRunId</x:v>
      </x:c>
      <x:c r="B1" s="23" t="str">
        <x:v>scenario</x:v>
      </x:c>
      <x:c r="C1" s="23" t="str">
        <x:v>provider</x:v>
      </x:c>
      <x:c r="D1" s="23" t="str">
        <x:v>fork</x:v>
      </x:c>
      <x:c r="E1" s="23" t="str">
        <x:v>Williams block</x:v>
      </x:c>
      <x:c r="F1" s="23" t="str">
        <x:v>orderPosition</x:v>
      </x:c>
      <x:c r="G1" s="23" t="str">
        <x:v>cycle</x:v>
      </x:c>
      <x:c r="H1" s="23" t="str">
        <x:v>evidence source</x:v>
      </x:c>
      <x:c r="I1" s="23" t="str">
        <x:v>undeploy ordinal</x:v>
      </x:c>
      <x:c r="J1" s="23" t="str">
        <x:v>timing</x:v>
      </x:c>
      <x:c r="K1" s="23" t="str">
        <x:v>thread stock</x:v>
      </x:c>
      <x:c r="L1" s="23" t="str">
        <x:v>Δ threads vs process baseline</x:v>
      </x:c>
      <x:c r="M1" s="23" t="str">
        <x:v>Δ threads vs cycle baseline</x:v>
      </x:c>
      <x:c r="N1" s="23" t="str">
        <x:v>new vs process count</x:v>
      </x:c>
      <x:c r="O1" s="23" t="str">
        <x:v>new vs process threads</x:v>
      </x:c>
      <x:c r="P1" s="23" t="str">
        <x:v>new vs cycle count</x:v>
      </x:c>
      <x:c r="Q1" s="23" t="str">
        <x:v>new vs cycle threads</x:v>
      </x:c>
      <x:c r="R1" s="23" t="str">
        <x:v>candidate app threads vs process</x:v>
      </x:c>
      <x:c r="S1" s="23" t="str">
        <x:v>candidate app thread names vs process</x:v>
      </x:c>
      <x:c r="T1" s="23" t="str">
        <x:v>candidate app threads vs cycle</x:v>
      </x:c>
      <x:c r="U1" s="23" t="str">
        <x:v>candidate app thread names vs cycle</x:v>
      </x:c>
      <x:c r="V1" s="23" t="str">
        <x:v>JCS signature count</x:v>
      </x:c>
      <x:c r="W1" s="23" t="str">
        <x:v>JCS signatures</x:v>
      </x:c>
      <x:c r="X1" s="23" t="str">
        <x:v>classification</x:v>
      </x:c>
      <x:c r="Y1" s="23" t="str">
        <x:v>classification basis</x:v>
      </x:c>
    </x:row>
    <x:row r="2">
      <x:c r="A2" s="34" t="str">
        <x:v>article1-unified-v4-2-fb3f101b-20260903-000401-default-f01-p1-caffeine</x:v>
      </x:c>
      <x:c r="B2" s="34" t="str">
        <x:v>default</x:v>
      </x:c>
      <x:c r="C2" s="34" t="str">
        <x:v>caffeine</x:v>
      </x:c>
      <x:c r="D2" s="36" t="n">
        <x:v>1</x:v>
      </x:c>
      <x:c r="E2" s="36" t="n">
        <x:v>1</x:v>
      </x:c>
      <x:c r="F2" s="36" t="n">
        <x:v>1</x:v>
      </x:c>
      <x:c r="G2" s="36" t="n">
        <x:v>1</x:v>
      </x:c>
      <x:c r="H2" s="34" t="str">
        <x:v>firstUndeployThreadEvidenceEarly</x:v>
      </x:c>
      <x:c r="I2" s="36" t="n">
        <x:v>1</x:v>
      </x:c>
      <x:c r="J2" s="34" t="str">
        <x:v>early</x:v>
      </x:c>
      <x:c r="K2" s="36" t="n">
        <x:v>30</x:v>
      </x:c>
      <x:c r="L2" s="51" t="n">
        <x:v>3</x:v>
      </x:c>
      <x:c r="M2" s="51" t="n">
        <x:v>3</x:v>
      </x:c>
      <x:c r="N2" s="36" t="n">
        <x:v>5</x:v>
      </x:c>
      <x:c r="O2" s="44" t="str">
        <x:v>ForkJoinPool.commonPool-worker-1#48 | ForkJoinPool.commonPool-worker-2#49 | ForkJoinPool.commonPool-worker-3#58 | http-nio-8080-exec-11#83 | http-nio-8080-exec-12#84</x:v>
      </x:c>
      <x:c r="P2" s="36" t="n">
        <x:v>5</x:v>
      </x:c>
      <x:c r="Q2" s="44" t="str">
        <x:v>ForkJoinPool.commonPool-worker-1#48 | ForkJoinPool.commonPool-worker-2#49 | ForkJoinPool.commonPool-worker-3#58 | http-nio-8080-exec-11#83 | http-nio-8080-exec-12#84</x:v>
      </x:c>
      <x:c r="R2" s="36" t="n">
        <x:v>3</x:v>
      </x:c>
      <x:c r="S2" s="44" t="str">
        <x:v>ForkJoinPool.commonPool-worker-1#48 | ForkJoinPool.commonPool-worker-2#49 | ForkJoinPool.commonPool-worker-3#58</x:v>
      </x:c>
      <x:c r="T2" s="36" t="n">
        <x:v>3</x:v>
      </x:c>
      <x:c r="U2" s="44" t="str">
        <x:v>ForkJoinPool.commonPool-worker-1#48 | ForkJoinPool.commonPool-worker-2#49 | ForkJoinPool.commonPool-worker-3#58</x:v>
      </x:c>
      <x:c r="V2" s="36" t="n">
        <x:v>0</x:v>
      </x:c>
      <x:c r="W2" s="44"/>
      <x:c r="X2" s="34" t="str">
        <x:v>unattributed-thread-signal</x:v>
      </x:c>
      <x:c r="Y2" s="44" t="str">
        <x:v>automated signatures are JCS-specific; all other candidate application threads remain unattributed and ownership requires the archived full dump</x:v>
      </x:c>
    </x:row>
    <x:row r="3">
      <x:c r="A3" s="34" t="str">
        <x:v>article1-unified-v4-2-fb3f101b-20260903-000401-default-f01-p1-caffeine</x:v>
      </x:c>
      <x:c r="B3" s="34" t="str">
        <x:v>default</x:v>
      </x:c>
      <x:c r="C3" s="34" t="str">
        <x:v>caffeine</x:v>
      </x:c>
      <x:c r="D3" s="36" t="n">
        <x:v>1</x:v>
      </x:c>
      <x:c r="E3" s="36" t="n">
        <x:v>1</x:v>
      </x:c>
      <x:c r="F3" s="36" t="n">
        <x:v>1</x:v>
      </x:c>
      <x:c r="G3" s="36" t="n">
        <x:v>1</x:v>
      </x:c>
      <x:c r="H3" s="34" t="str">
        <x:v>firstUndeployThreadEvidenceFinal</x:v>
      </x:c>
      <x:c r="I3" s="36" t="n">
        <x:v>1</x:v>
      </x:c>
      <x:c r="J3" s="34" t="str">
        <x:v>final</x:v>
      </x:c>
      <x:c r="K3" s="36" t="n">
        <x:v>30</x:v>
      </x:c>
      <x:c r="L3" s="51" t="n">
        <x:v>3</x:v>
      </x:c>
      <x:c r="M3" s="51" t="n">
        <x:v>3</x:v>
      </x:c>
      <x:c r="N3" s="36" t="n">
        <x:v>6</x:v>
      </x:c>
      <x:c r="O3" s="44" t="str">
        <x:v>ForkJoinPool.commonPool-worker-1#48 | ForkJoinPool.commonPool-worker-2#49 | ForkJoinPool.commonPool-worker-3#58 | http-nio-8080-exec-11#83 | http-nio-8080-exec-12#84 | http-nio-8080-exec-13#85</x:v>
      </x:c>
      <x:c r="P3" s="36" t="n">
        <x:v>6</x:v>
      </x:c>
      <x:c r="Q3" s="44" t="str">
        <x:v>ForkJoinPool.commonPool-worker-1#48 | ForkJoinPool.commonPool-worker-2#49 | ForkJoinPool.commonPool-worker-3#58 | http-nio-8080-exec-11#83 | http-nio-8080-exec-12#84 | http-nio-8080-exec-13#85</x:v>
      </x:c>
      <x:c r="R3" s="36" t="n">
        <x:v>3</x:v>
      </x:c>
      <x:c r="S3" s="44" t="str">
        <x:v>ForkJoinPool.commonPool-worker-1#48 | ForkJoinPool.commonPool-worker-2#49 | ForkJoinPool.commonPool-worker-3#58</x:v>
      </x:c>
      <x:c r="T3" s="36" t="n">
        <x:v>3</x:v>
      </x:c>
      <x:c r="U3" s="44" t="str">
        <x:v>ForkJoinPool.commonPool-worker-1#48 | ForkJoinPool.commonPool-worker-2#49 | ForkJoinPool.commonPool-worker-3#58</x:v>
      </x:c>
      <x:c r="V3" s="36" t="n">
        <x:v>0</x:v>
      </x:c>
      <x:c r="W3" s="44"/>
      <x:c r="X3" s="34" t="str">
        <x:v>unattributed-thread-signal</x:v>
      </x:c>
      <x:c r="Y3" s="44" t="str">
        <x:v>automated signatures are JCS-specific; all other candidate application threads remain unattributed and ownership requires the archived full dump</x:v>
      </x:c>
    </x:row>
    <x:row r="4">
      <x:c r="A4" s="34" t="str">
        <x:v>article1-unified-v4-2-fb3f101b-20260903-000401-default-f01-p1-caffeine</x:v>
      </x:c>
      <x:c r="B4" s="34" t="str">
        <x:v>default</x:v>
      </x:c>
      <x:c r="C4" s="34" t="str">
        <x:v>caffeine</x:v>
      </x:c>
      <x:c r="D4" s="36" t="n">
        <x:v>1</x:v>
      </x:c>
      <x:c r="E4" s="36" t="n">
        <x:v>1</x:v>
      </x:c>
      <x:c r="F4" s="36" t="n">
        <x:v>1</x:v>
      </x:c>
      <x:c r="G4" s="36" t="n">
        <x:v>1</x:v>
      </x:c>
      <x:c r="H4" s="34" t="str">
        <x:v>finalUndeployThreadEvidenceEarly</x:v>
      </x:c>
      <x:c r="I4" s="36" t="n">
        <x:v>2</x:v>
      </x:c>
      <x:c r="J4" s="34" t="str">
        <x:v>early</x:v>
      </x:c>
      <x:c r="K4" s="36" t="n">
        <x:v>30</x:v>
      </x:c>
      <x:c r="L4" s="51" t="n">
        <x:v>3</x:v>
      </x:c>
      <x:c r="M4" s="51" t="n">
        <x:v>3</x:v>
      </x:c>
      <x:c r="N4" s="36" t="n">
        <x:v>11</x:v>
      </x:c>
      <x:c r="O4" s="44" t="str">
        <x:v>ForkJoinPool.commonPool-worker-1#48 | ForkJoinPool.commonPool-worker-2#49 | ForkJoinPool.commonPool-worker-3#58 | http-nio-8080-exec-11#83 | http-nio-8080-exec-12#84 | http-nio-8080-exec-13#85 | http-nio-8080-exec-14#88 | http-nio-8080-exec-15#89 | http-nio-8080-exec-16#90 | http-nio-8080-exec-18#124 | http-nio-8080-exec-19#125</x:v>
      </x:c>
      <x:c r="P4" s="36" t="n">
        <x:v>11</x:v>
      </x:c>
      <x:c r="Q4" s="44" t="str">
        <x:v>ForkJoinPool.commonPool-worker-1#48 | ForkJoinPool.commonPool-worker-2#49 | ForkJoinPool.commonPool-worker-3#58 | http-nio-8080-exec-11#83 | http-nio-8080-exec-12#84 | http-nio-8080-exec-13#85 | http-nio-8080-exec-14#88 | http-nio-8080-exec-15#89 | http-nio-8080-exec-16#90 | http-nio-8080-exec-18#124 | http-nio-8080-exec-19#125</x:v>
      </x:c>
      <x:c r="R4" s="36" t="n">
        <x:v>3</x:v>
      </x:c>
      <x:c r="S4" s="44" t="str">
        <x:v>ForkJoinPool.commonPool-worker-1#48 | ForkJoinPool.commonPool-worker-2#49 | ForkJoinPool.commonPool-worker-3#58</x:v>
      </x:c>
      <x:c r="T4" s="36" t="n">
        <x:v>3</x:v>
      </x:c>
      <x:c r="U4" s="44" t="str">
        <x:v>ForkJoinPool.commonPool-worker-1#48 | ForkJoinPool.commonPool-worker-2#49 | ForkJoinPool.commonPool-worker-3#58</x:v>
      </x:c>
      <x:c r="V4" s="36" t="n">
        <x:v>0</x:v>
      </x:c>
      <x:c r="W4" s="44"/>
      <x:c r="X4" s="34" t="str">
        <x:v>unattributed-thread-signal</x:v>
      </x:c>
      <x:c r="Y4" s="44" t="str">
        <x:v>automated signatures are JCS-specific; all other candidate application threads remain unattributed and ownership requires the archived full dump</x:v>
      </x:c>
    </x:row>
    <x:row r="5">
      <x:c r="A5" s="34" t="str">
        <x:v>article1-unified-v4-2-fb3f101b-20260903-000401-default-f01-p1-caffeine</x:v>
      </x:c>
      <x:c r="B5" s="34" t="str">
        <x:v>default</x:v>
      </x:c>
      <x:c r="C5" s="34" t="str">
        <x:v>caffeine</x:v>
      </x:c>
      <x:c r="D5" s="36" t="n">
        <x:v>1</x:v>
      </x:c>
      <x:c r="E5" s="36" t="n">
        <x:v>1</x:v>
      </x:c>
      <x:c r="F5" s="36" t="n">
        <x:v>1</x:v>
      </x:c>
      <x:c r="G5" s="36" t="n">
        <x:v>1</x:v>
      </x:c>
      <x:c r="H5" s="34" t="str">
        <x:v>finalUndeployThreadEvidenceFinal</x:v>
      </x:c>
      <x:c r="I5" s="36" t="n">
        <x:v>2</x:v>
      </x:c>
      <x:c r="J5" s="34" t="str">
        <x:v>final</x:v>
      </x:c>
      <x:c r="K5" s="36" t="n">
        <x:v>30</x:v>
      </x:c>
      <x:c r="L5" s="51" t="n">
        <x:v>3</x:v>
      </x:c>
      <x:c r="M5" s="51" t="n">
        <x:v>3</x:v>
      </x:c>
      <x:c r="N5" s="36" t="n">
        <x:v>11</x:v>
      </x:c>
      <x:c r="O5" s="44" t="str">
        <x:v>ForkJoinPool.commonPool-worker-1#48 | ForkJoinPool.commonPool-worker-2#49 | ForkJoinPool.commonPool-worker-3#58 | http-nio-8080-exec-11#83 | http-nio-8080-exec-12#84 | http-nio-8080-exec-13#85 | http-nio-8080-exec-15#89 | http-nio-8080-exec-16#90 | http-nio-8080-exec-18#124 | http-nio-8080-exec-19#125 | http-nio-8080-exec-20#126</x:v>
      </x:c>
      <x:c r="P5" s="36" t="n">
        <x:v>11</x:v>
      </x:c>
      <x:c r="Q5" s="44" t="str">
        <x:v>ForkJoinPool.commonPool-worker-1#48 | ForkJoinPool.commonPool-worker-2#49 | ForkJoinPool.commonPool-worker-3#58 | http-nio-8080-exec-11#83 | http-nio-8080-exec-12#84 | http-nio-8080-exec-13#85 | http-nio-8080-exec-15#89 | http-nio-8080-exec-16#90 | http-nio-8080-exec-18#124 | http-nio-8080-exec-19#125 | http-nio-8080-exec-20#126</x:v>
      </x:c>
      <x:c r="R5" s="36" t="n">
        <x:v>3</x:v>
      </x:c>
      <x:c r="S5" s="44" t="str">
        <x:v>ForkJoinPool.commonPool-worker-1#48 | ForkJoinPool.commonPool-worker-2#49 | ForkJoinPool.commonPool-worker-3#58</x:v>
      </x:c>
      <x:c r="T5" s="36" t="n">
        <x:v>3</x:v>
      </x:c>
      <x:c r="U5" s="44" t="str">
        <x:v>ForkJoinPool.commonPool-worker-1#48 | ForkJoinPool.commonPool-worker-2#49 | ForkJoinPool.commonPool-worker-3#58</x:v>
      </x:c>
      <x:c r="V5" s="36" t="n">
        <x:v>0</x:v>
      </x:c>
      <x:c r="W5" s="44"/>
      <x:c r="X5" s="34" t="str">
        <x:v>unattributed-thread-signal</x:v>
      </x:c>
      <x:c r="Y5" s="44" t="str">
        <x:v>automated signatures are JCS-specific; all other candidate application threads remain unattributed and ownership requires the archived full dump</x:v>
      </x:c>
    </x:row>
    <x:row r="6">
      <x:c r="A6" s="34" t="str">
        <x:v>article1-unified-v4-2-fb3f101b-20260903-000401-default-f01-p1-caffeine</x:v>
      </x:c>
      <x:c r="B6" s="34" t="str">
        <x:v>default</x:v>
      </x:c>
      <x:c r="C6" s="34" t="str">
        <x:v>caffeine</x:v>
      </x:c>
      <x:c r="D6" s="36" t="n">
        <x:v>1</x:v>
      </x:c>
      <x:c r="E6" s="36" t="n">
        <x:v>1</x:v>
      </x:c>
      <x:c r="F6" s="36" t="n">
        <x:v>1</x:v>
      </x:c>
      <x:c r="G6" s="36" t="n">
        <x:v>2</x:v>
      </x:c>
      <x:c r="H6" s="34" t="str">
        <x:v>firstUndeployThreadEvidenceEarly</x:v>
      </x:c>
      <x:c r="I6" s="36" t="n">
        <x:v>1</x:v>
      </x:c>
      <x:c r="J6" s="34" t="str">
        <x:v>early</x:v>
      </x:c>
      <x:c r="K6" s="36" t="n">
        <x:v>30</x:v>
      </x:c>
      <x:c r="L6" s="51" t="n">
        <x:v>3</x:v>
      </x:c>
      <x:c r="M6" s="51" t="n">
        <x:v>0</x:v>
      </x:c>
      <x:c r="N6" s="36" t="n">
        <x:v>11</x:v>
      </x:c>
      <x:c r="O6" s="44" t="str">
        <x:v>ForkJoinPool.commonPool-worker-1#48 | ForkJoinPool.commonPool-worker-2#49 | ForkJoinPool.commonPool-worker-3#58 | http-nio-8080-exec-15#89 | http-nio-8080-exec-18#124 | http-nio-8080-exec-19#125 | http-nio-8080-exec-20#126 | http-nio-8080-exec-21#129 | http-nio-8080-exec-23#163 | http-nio-8080-exec-24#164 | http-nio-8080-exec-25#165</x:v>
      </x:c>
      <x:c r="P6" s="36" t="n">
        <x:v>4</x:v>
      </x:c>
      <x:c r="Q6" s="44" t="str">
        <x:v>http-nio-8080-exec-21#129 | http-nio-8080-exec-23#163 | http-nio-8080-exec-24#164 | http-nio-8080-exec-25#165</x:v>
      </x:c>
      <x:c r="R6" s="36" t="n">
        <x:v>3</x:v>
      </x:c>
      <x:c r="S6" s="44" t="str">
        <x:v>ForkJoinPool.commonPool-worker-1#48 | ForkJoinPool.commonPool-worker-2#49 | ForkJoinPool.commonPool-worker-3#58</x:v>
      </x:c>
      <x:c r="T6" s="36" t="n">
        <x:v>0</x:v>
      </x:c>
      <x:c r="U6" s="44"/>
      <x:c r="V6" s="36" t="n">
        <x:v>0</x:v>
      </x:c>
      <x:c r="W6" s="44"/>
      <x:c r="X6" s="34" t="str">
        <x:v>unattributed-thread-signal</x:v>
      </x:c>
      <x:c r="Y6" s="44" t="str">
        <x:v>automated signatures are JCS-specific; all other candidate application threads remain unattributed and ownership requires the archived full dump</x:v>
      </x:c>
    </x:row>
    <x:row r="7">
      <x:c r="A7" s="34" t="str">
        <x:v>article1-unified-v4-2-fb3f101b-20260903-000401-default-f01-p1-caffeine</x:v>
      </x:c>
      <x:c r="B7" s="34" t="str">
        <x:v>default</x:v>
      </x:c>
      <x:c r="C7" s="34" t="str">
        <x:v>caffeine</x:v>
      </x:c>
      <x:c r="D7" s="36" t="n">
        <x:v>1</x:v>
      </x:c>
      <x:c r="E7" s="36" t="n">
        <x:v>1</x:v>
      </x:c>
      <x:c r="F7" s="36" t="n">
        <x:v>1</x:v>
      </x:c>
      <x:c r="G7" s="36" t="n">
        <x:v>2</x:v>
      </x:c>
      <x:c r="H7" s="34" t="str">
        <x:v>firstUndeployThreadEvidenceFinal</x:v>
      </x:c>
      <x:c r="I7" s="36" t="n">
        <x:v>1</x:v>
      </x:c>
      <x:c r="J7" s="34" t="str">
        <x:v>final</x:v>
      </x:c>
      <x:c r="K7" s="36" t="n">
        <x:v>30</x:v>
      </x:c>
      <x:c r="L7" s="51" t="n">
        <x:v>3</x:v>
      </x:c>
      <x:c r="M7" s="51" t="n">
        <x:v>0</x:v>
      </x:c>
      <x:c r="N7" s="36" t="n">
        <x:v>12</x:v>
      </x:c>
      <x:c r="O7" s="44" t="str">
        <x:v>ForkJoinPool.commonPool-worker-1#48 | ForkJoinPool.commonPool-worker-2#49 | ForkJoinPool.commonPool-worker-3#58 | http-nio-8080-exec-15#89 | http-nio-8080-exec-18#124 | http-nio-8080-exec-19#125 | http-nio-8080-exec-20#126 | http-nio-8080-exec-21#129 | http-nio-8080-exec-23#163 | http-nio-8080-exec-24#164 | http-nio-8080-exec-25#165 | http-nio-8080-exec-26#166</x:v>
      </x:c>
      <x:c r="P7" s="36" t="n">
        <x:v>5</x:v>
      </x:c>
      <x:c r="Q7" s="44" t="str">
        <x:v>http-nio-8080-exec-21#129 | http-nio-8080-exec-23#163 | http-nio-8080-exec-24#164 | http-nio-8080-exec-25#165 | http-nio-8080-exec-26#166</x:v>
      </x:c>
      <x:c r="R7" s="36" t="n">
        <x:v>3</x:v>
      </x:c>
      <x:c r="S7" s="44" t="str">
        <x:v>ForkJoinPool.commonPool-worker-1#48 | ForkJoinPool.commonPool-worker-2#49 | ForkJoinPool.commonPool-worker-3#58</x:v>
      </x:c>
      <x:c r="T7" s="36" t="n">
        <x:v>0</x:v>
      </x:c>
      <x:c r="U7" s="44"/>
      <x:c r="V7" s="36" t="n">
        <x:v>0</x:v>
      </x:c>
      <x:c r="W7" s="44"/>
      <x:c r="X7" s="34" t="str">
        <x:v>unattributed-thread-signal</x:v>
      </x:c>
      <x:c r="Y7" s="44" t="str">
        <x:v>automated signatures are JCS-specific; all other candidate application threads remain unattributed and ownership requires the archived full dump</x:v>
      </x:c>
    </x:row>
    <x:row r="8">
      <x:c r="A8" s="34" t="str">
        <x:v>article1-unified-v4-2-fb3f101b-20260903-000401-default-f01-p1-caffeine</x:v>
      </x:c>
      <x:c r="B8" s="34" t="str">
        <x:v>default</x:v>
      </x:c>
      <x:c r="C8" s="34" t="str">
        <x:v>caffeine</x:v>
      </x:c>
      <x:c r="D8" s="36" t="n">
        <x:v>1</x:v>
      </x:c>
      <x:c r="E8" s="36" t="n">
        <x:v>1</x:v>
      </x:c>
      <x:c r="F8" s="36" t="n">
        <x:v>1</x:v>
      </x:c>
      <x:c r="G8" s="36" t="n">
        <x:v>2</x:v>
      </x:c>
      <x:c r="H8" s="34" t="str">
        <x:v>finalUndeployThreadEvidenceEarly</x:v>
      </x:c>
      <x:c r="I8" s="36" t="n">
        <x:v>2</x:v>
      </x:c>
      <x:c r="J8" s="34" t="str">
        <x:v>early</x:v>
      </x:c>
      <x:c r="K8" s="36" t="n">
        <x:v>30</x:v>
      </x:c>
      <x:c r="L8" s="51" t="n">
        <x:v>3</x:v>
      </x:c>
      <x:c r="M8" s="51" t="n">
        <x:v>0</x:v>
      </x:c>
      <x:c r="N8" s="36" t="n">
        <x:v>13</x:v>
      </x:c>
      <x:c r="O8" s="44" t="str">
        <x:v>ForkJoinPool.commonPool-worker-1#48 | ForkJoinPool.commonPool-worker-2#49 | ForkJoinPool.commonPool-worker-3#58 | http-nio-8080-exec-21#129 | http-nio-8080-exec-23#163 | http-nio-8080-exec-24#164 | http-nio-8080-exec-25#165 | http-nio-8080-exec-27#169 | http-nio-8080-exec-28#170 | http-nio-8080-exec-29#171 | http-nio-8080-exec-30#204 | http-nio-8080-exec-31#205 | http-nio-8080-exec-32#206</x:v>
      </x:c>
      <x:c r="P8" s="36" t="n">
        <x:v>10</x:v>
      </x:c>
      <x:c r="Q8" s="44" t="str">
        <x:v>http-nio-8080-exec-21#129 | http-nio-8080-exec-23#163 | http-nio-8080-exec-24#164 | http-nio-8080-exec-25#165 | http-nio-8080-exec-27#169 | http-nio-8080-exec-28#170 | http-nio-8080-exec-29#171 | http-nio-8080-exec-30#204 | http-nio-8080-exec-31#205 | http-nio-8080-exec-32#206</x:v>
      </x:c>
      <x:c r="R8" s="36" t="n">
        <x:v>3</x:v>
      </x:c>
      <x:c r="S8" s="44" t="str">
        <x:v>ForkJoinPool.commonPool-worker-1#48 | ForkJoinPool.commonPool-worker-2#49 | ForkJoinPool.commonPool-worker-3#58</x:v>
      </x:c>
      <x:c r="T8" s="36" t="n">
        <x:v>0</x:v>
      </x:c>
      <x:c r="U8" s="44"/>
      <x:c r="V8" s="36" t="n">
        <x:v>0</x:v>
      </x:c>
      <x:c r="W8" s="44"/>
      <x:c r="X8" s="34" t="str">
        <x:v>unattributed-thread-signal</x:v>
      </x:c>
      <x:c r="Y8" s="44" t="str">
        <x:v>automated signatures are JCS-specific; all other candidate application threads remain unattributed and ownership requires the archived full dump</x:v>
      </x:c>
    </x:row>
    <x:row r="9">
      <x:c r="A9" s="34" t="str">
        <x:v>article1-unified-v4-2-fb3f101b-20260903-000401-default-f01-p1-caffeine</x:v>
      </x:c>
      <x:c r="B9" s="34" t="str">
        <x:v>default</x:v>
      </x:c>
      <x:c r="C9" s="34" t="str">
        <x:v>caffeine</x:v>
      </x:c>
      <x:c r="D9" s="36" t="n">
        <x:v>1</x:v>
      </x:c>
      <x:c r="E9" s="36" t="n">
        <x:v>1</x:v>
      </x:c>
      <x:c r="F9" s="36" t="n">
        <x:v>1</x:v>
      </x:c>
      <x:c r="G9" s="36" t="n">
        <x:v>2</x:v>
      </x:c>
      <x:c r="H9" s="34" t="str">
        <x:v>finalUndeployThreadEvidenceFinal</x:v>
      </x:c>
      <x:c r="I9" s="36" t="n">
        <x:v>2</x:v>
      </x:c>
      <x:c r="J9" s="34" t="str">
        <x:v>final</x:v>
      </x:c>
      <x:c r="K9" s="36" t="n">
        <x:v>30</x:v>
      </x:c>
      <x:c r="L9" s="51" t="n">
        <x:v>3</x:v>
      </x:c>
      <x:c r="M9" s="51" t="n">
        <x:v>0</x:v>
      </x:c>
      <x:c r="N9" s="36" t="n">
        <x:v>13</x:v>
      </x:c>
      <x:c r="O9" s="44" t="str">
        <x:v>ForkJoinPool.commonPool-worker-1#48 | ForkJoinPool.commonPool-worker-2#49 | ForkJoinPool.commonPool-worker-3#58 | http-nio-8080-exec-23#163 | http-nio-8080-exec-24#164 | http-nio-8080-exec-25#165 | http-nio-8080-exec-27#169 | http-nio-8080-exec-28#170 | http-nio-8080-exec-29#171 | http-nio-8080-exec-30#204 | http-nio-8080-exec-31#205 | http-nio-8080-exec-32#206 | http-nio-8080-exec-33#207</x:v>
      </x:c>
      <x:c r="P9" s="36" t="n">
        <x:v>10</x:v>
      </x:c>
      <x:c r="Q9" s="44" t="str">
        <x:v>http-nio-8080-exec-23#163 | http-nio-8080-exec-24#164 | http-nio-8080-exec-25#165 | http-nio-8080-exec-27#169 | http-nio-8080-exec-28#170 | http-nio-8080-exec-29#171 | http-nio-8080-exec-30#204 | http-nio-8080-exec-31#205 | http-nio-8080-exec-32#206 | http-nio-8080-exec-33#207</x:v>
      </x:c>
      <x:c r="R9" s="36" t="n">
        <x:v>3</x:v>
      </x:c>
      <x:c r="S9" s="44" t="str">
        <x:v>ForkJoinPool.commonPool-worker-1#48 | ForkJoinPool.commonPool-worker-2#49 | ForkJoinPool.commonPool-worker-3#58</x:v>
      </x:c>
      <x:c r="T9" s="36" t="n">
        <x:v>0</x:v>
      </x:c>
      <x:c r="U9" s="44"/>
      <x:c r="V9" s="36" t="n">
        <x:v>0</x:v>
      </x:c>
      <x:c r="W9" s="44"/>
      <x:c r="X9" s="34" t="str">
        <x:v>unattributed-thread-signal</x:v>
      </x:c>
      <x:c r="Y9" s="44" t="str">
        <x:v>automated signatures are JCS-specific; all other candidate application threads remain unattributed and ownership requires the archived full dump</x:v>
      </x:c>
    </x:row>
    <x:row r="10">
      <x:c r="A10" s="34" t="str">
        <x:v>article1-unified-v4-2-fb3f101b-20260903-000401-default-f01-p1-caffeine</x:v>
      </x:c>
      <x:c r="B10" s="34" t="str">
        <x:v>default</x:v>
      </x:c>
      <x:c r="C10" s="34" t="str">
        <x:v>caffeine</x:v>
      </x:c>
      <x:c r="D10" s="36" t="n">
        <x:v>1</x:v>
      </x:c>
      <x:c r="E10" s="36" t="n">
        <x:v>1</x:v>
      </x:c>
      <x:c r="F10" s="36" t="n">
        <x:v>1</x:v>
      </x:c>
      <x:c r="G10" s="36" t="n">
        <x:v>3</x:v>
      </x:c>
      <x:c r="H10" s="34" t="str">
        <x:v>firstUndeployThreadEvidenceEarly</x:v>
      </x:c>
      <x:c r="I10" s="36" t="n">
        <x:v>1</x:v>
      </x:c>
      <x:c r="J10" s="34" t="str">
        <x:v>early</x:v>
      </x:c>
      <x:c r="K10" s="36" t="n">
        <x:v>30</x:v>
      </x:c>
      <x:c r="L10" s="51" t="n">
        <x:v>3</x:v>
      </x:c>
      <x:c r="M10" s="51" t="n">
        <x:v>0</x:v>
      </x:c>
      <x:c r="N10" s="36" t="n">
        <x:v>13</x:v>
      </x:c>
      <x:c r="O10" s="44" t="str">
        <x:v>ForkJoinPool.commonPool-worker-1#48 | ForkJoinPool.commonPool-worker-2#49 | ForkJoinPool.commonPool-worker-3#58 | http-nio-8080-exec-23#163 | http-nio-8080-exec-28#170 | http-nio-8080-exec-30#204 | http-nio-8080-exec-31#205 | http-nio-8080-exec-32#206 | http-nio-8080-exec-33#207 | http-nio-8080-exec-34#210 | http-nio-8080-exec-36#244 | http-nio-8080-exec-37#245 | http-nio-8080-exec-38#246</x:v>
      </x:c>
      <x:c r="P10" s="36" t="n">
        <x:v>4</x:v>
      </x:c>
      <x:c r="Q10" s="44" t="str">
        <x:v>http-nio-8080-exec-34#210 | http-nio-8080-exec-36#244 | http-nio-8080-exec-37#245 | http-nio-8080-exec-38#246</x:v>
      </x:c>
      <x:c r="R10" s="36" t="n">
        <x:v>3</x:v>
      </x:c>
      <x:c r="S10" s="44" t="str">
        <x:v>ForkJoinPool.commonPool-worker-1#48 | ForkJoinPool.commonPool-worker-2#49 | ForkJoinPool.commonPool-worker-3#58</x:v>
      </x:c>
      <x:c r="T10" s="36" t="n">
        <x:v>0</x:v>
      </x:c>
      <x:c r="U10" s="44"/>
      <x:c r="V10" s="36" t="n">
        <x:v>0</x:v>
      </x:c>
      <x:c r="W10" s="44"/>
      <x:c r="X10" s="34" t="str">
        <x:v>unattributed-thread-signal</x:v>
      </x:c>
      <x:c r="Y10" s="44" t="str">
        <x:v>automated signatures are JCS-specific; all other candidate application threads remain unattributed and ownership requires the archived full dump</x:v>
      </x:c>
    </x:row>
    <x:row r="11">
      <x:c r="A11" s="34" t="str">
        <x:v>article1-unified-v4-2-fb3f101b-20260903-000401-default-f01-p1-caffeine</x:v>
      </x:c>
      <x:c r="B11" s="34" t="str">
        <x:v>default</x:v>
      </x:c>
      <x:c r="C11" s="34" t="str">
        <x:v>caffeine</x:v>
      </x:c>
      <x:c r="D11" s="36" t="n">
        <x:v>1</x:v>
      </x:c>
      <x:c r="E11" s="36" t="n">
        <x:v>1</x:v>
      </x:c>
      <x:c r="F11" s="36" t="n">
        <x:v>1</x:v>
      </x:c>
      <x:c r="G11" s="36" t="n">
        <x:v>3</x:v>
      </x:c>
      <x:c r="H11" s="34" t="str">
        <x:v>firstUndeployThreadEvidenceFinal</x:v>
      </x:c>
      <x:c r="I11" s="36" t="n">
        <x:v>1</x:v>
      </x:c>
      <x:c r="J11" s="34" t="str">
        <x:v>final</x:v>
      </x:c>
      <x:c r="K11" s="36" t="n">
        <x:v>30</x:v>
      </x:c>
      <x:c r="L11" s="51" t="n">
        <x:v>3</x:v>
      </x:c>
      <x:c r="M11" s="51" t="n">
        <x:v>0</x:v>
      </x:c>
      <x:c r="N11" s="36" t="n">
        <x:v>13</x:v>
      </x:c>
      <x:c r="O11" s="44" t="str">
        <x:v>ForkJoinPool.commonPool-worker-1#48 | ForkJoinPool.commonPool-worker-2#49 | ForkJoinPool.commonPool-worker-3#58 | http-nio-8080-exec-23#163 | http-nio-8080-exec-28#170 | http-nio-8080-exec-30#204 | http-nio-8080-exec-31#205 | http-nio-8080-exec-32#206 | http-nio-8080-exec-33#207 | http-nio-8080-exec-36#244 | http-nio-8080-exec-37#245 | http-nio-8080-exec-38#246 | http-nio-8080-exec-39#247</x:v>
      </x:c>
      <x:c r="P11" s="36" t="n">
        <x:v>4</x:v>
      </x:c>
      <x:c r="Q11" s="44" t="str">
        <x:v>http-nio-8080-exec-36#244 | http-nio-8080-exec-37#245 | http-nio-8080-exec-38#246 | http-nio-8080-exec-39#247</x:v>
      </x:c>
      <x:c r="R11" s="36" t="n">
        <x:v>3</x:v>
      </x:c>
      <x:c r="S11" s="44" t="str">
        <x:v>ForkJoinPool.commonPool-worker-1#48 | ForkJoinPool.commonPool-worker-2#49 | ForkJoinPool.commonPool-worker-3#58</x:v>
      </x:c>
      <x:c r="T11" s="36" t="n">
        <x:v>0</x:v>
      </x:c>
      <x:c r="U11" s="44"/>
      <x:c r="V11" s="36" t="n">
        <x:v>0</x:v>
      </x:c>
      <x:c r="W11" s="44"/>
      <x:c r="X11" s="34" t="str">
        <x:v>unattributed-thread-signal</x:v>
      </x:c>
      <x:c r="Y11" s="44" t="str">
        <x:v>automated signatures are JCS-specific; all other candidate application threads remain unattributed and ownership requires the archived full dump</x:v>
      </x:c>
    </x:row>
    <x:row r="12">
      <x:c r="A12" s="34" t="str">
        <x:v>article1-unified-v4-2-fb3f101b-20260903-000401-default-f01-p1-caffeine</x:v>
      </x:c>
      <x:c r="B12" s="34" t="str">
        <x:v>default</x:v>
      </x:c>
      <x:c r="C12" s="34" t="str">
        <x:v>caffeine</x:v>
      </x:c>
      <x:c r="D12" s="36" t="n">
        <x:v>1</x:v>
      </x:c>
      <x:c r="E12" s="36" t="n">
        <x:v>1</x:v>
      </x:c>
      <x:c r="F12" s="36" t="n">
        <x:v>1</x:v>
      </x:c>
      <x:c r="G12" s="36" t="n">
        <x:v>3</x:v>
      </x:c>
      <x:c r="H12" s="34" t="str">
        <x:v>finalUndeployThreadEvidenceEarly</x:v>
      </x:c>
      <x:c r="I12" s="36" t="n">
        <x:v>2</x:v>
      </x:c>
      <x:c r="J12" s="34" t="str">
        <x:v>early</x:v>
      </x:c>
      <x:c r="K12" s="36" t="n">
        <x:v>30</x:v>
      </x:c>
      <x:c r="L12" s="51" t="n">
        <x:v>3</x:v>
      </x:c>
      <x:c r="M12" s="51" t="n">
        <x:v>0</x:v>
      </x:c>
      <x:c r="N12" s="36" t="n">
        <x:v>13</x:v>
      </x:c>
      <x:c r="O12" s="44" t="str">
        <x:v>ForkJoinPool.commonPool-worker-1#48 | ForkJoinPool.commonPool-worker-2#49 | ForkJoinPool.commonPool-worker-3#58 | http-nio-8080-exec-23#163 | http-nio-8080-exec-36#244 | http-nio-8080-exec-37#245 | http-nio-8080-exec-38#246 | http-nio-8080-exec-40#250 | http-nio-8080-exec-41#251 | http-nio-8080-exec-42#252 | http-nio-8080-exec-43#285 | http-nio-8080-exec-44#286 | http-nio-8080-exec-45#287</x:v>
      </x:c>
      <x:c r="P12" s="36" t="n">
        <x:v>9</x:v>
      </x:c>
      <x:c r="Q12" s="44" t="str">
        <x:v>http-nio-8080-exec-36#244 | http-nio-8080-exec-37#245 | http-nio-8080-exec-38#246 | http-nio-8080-exec-40#250 | http-nio-8080-exec-41#251 | http-nio-8080-exec-42#252 | http-nio-8080-exec-43#285 | http-nio-8080-exec-44#286 | http-nio-8080-exec-45#287</x:v>
      </x:c>
      <x:c r="R12" s="36" t="n">
        <x:v>3</x:v>
      </x:c>
      <x:c r="S12" s="44" t="str">
        <x:v>ForkJoinPool.commonPool-worker-1#48 | ForkJoinPool.commonPool-worker-2#49 | ForkJoinPool.commonPool-worker-3#58</x:v>
      </x:c>
      <x:c r="T12" s="36" t="n">
        <x:v>0</x:v>
      </x:c>
      <x:c r="U12" s="44"/>
      <x:c r="V12" s="36" t="n">
        <x:v>0</x:v>
      </x:c>
      <x:c r="W12" s="44"/>
      <x:c r="X12" s="34" t="str">
        <x:v>unattributed-thread-signal</x:v>
      </x:c>
      <x:c r="Y12" s="44" t="str">
        <x:v>automated signatures are JCS-specific; all other candidate application threads remain unattributed and ownership requires the archived full dump</x:v>
      </x:c>
    </x:row>
    <x:row r="13">
      <x:c r="A13" s="34" t="str">
        <x:v>article1-unified-v4-2-fb3f101b-20260903-000401-default-f01-p1-caffeine</x:v>
      </x:c>
      <x:c r="B13" s="34" t="str">
        <x:v>default</x:v>
      </x:c>
      <x:c r="C13" s="34" t="str">
        <x:v>caffeine</x:v>
      </x:c>
      <x:c r="D13" s="36" t="n">
        <x:v>1</x:v>
      </x:c>
      <x:c r="E13" s="36" t="n">
        <x:v>1</x:v>
      </x:c>
      <x:c r="F13" s="36" t="n">
        <x:v>1</x:v>
      </x:c>
      <x:c r="G13" s="36" t="n">
        <x:v>3</x:v>
      </x:c>
      <x:c r="H13" s="34" t="str">
        <x:v>finalUndeployThreadEvidenceFinal</x:v>
      </x:c>
      <x:c r="I13" s="36" t="n">
        <x:v>2</x:v>
      </x:c>
      <x:c r="J13" s="34" t="str">
        <x:v>final</x:v>
      </x:c>
      <x:c r="K13" s="36" t="n">
        <x:v>30</x:v>
      </x:c>
      <x:c r="L13" s="51" t="n">
        <x:v>3</x:v>
      </x:c>
      <x:c r="M13" s="51" t="n">
        <x:v>0</x:v>
      </x:c>
      <x:c r="N13" s="36" t="n">
        <x:v>13</x:v>
      </x:c>
      <x:c r="O13" s="44" t="str">
        <x:v>ForkJoinPool.commonPool-worker-1#48 | ForkJoinPool.commonPool-worker-2#49 | ForkJoinPool.commonPool-worker-3#58 | http-nio-8080-exec-23#163 | http-nio-8080-exec-36#244 | http-nio-8080-exec-38#246 | http-nio-8080-exec-40#250 | http-nio-8080-exec-41#251 | http-nio-8080-exec-42#252 | http-nio-8080-exec-43#285 | http-nio-8080-exec-44#286 | http-nio-8080-exec-45#287 | http-nio-8080-exec-46#288</x:v>
      </x:c>
      <x:c r="P13" s="36" t="n">
        <x:v>9</x:v>
      </x:c>
      <x:c r="Q13" s="44" t="str">
        <x:v>http-nio-8080-exec-36#244 | http-nio-8080-exec-38#246 | http-nio-8080-exec-40#250 | http-nio-8080-exec-41#251 | http-nio-8080-exec-42#252 | http-nio-8080-exec-43#285 | http-nio-8080-exec-44#286 | http-nio-8080-exec-45#287 | http-nio-8080-exec-46#288</x:v>
      </x:c>
      <x:c r="R13" s="36" t="n">
        <x:v>3</x:v>
      </x:c>
      <x:c r="S13" s="44" t="str">
        <x:v>ForkJoinPool.commonPool-worker-1#48 | ForkJoinPool.commonPool-worker-2#49 | ForkJoinPool.commonPool-worker-3#58</x:v>
      </x:c>
      <x:c r="T13" s="36" t="n">
        <x:v>0</x:v>
      </x:c>
      <x:c r="U13" s="44"/>
      <x:c r="V13" s="36" t="n">
        <x:v>0</x:v>
      </x:c>
      <x:c r="W13" s="44"/>
      <x:c r="X13" s="34" t="str">
        <x:v>unattributed-thread-signal</x:v>
      </x:c>
      <x:c r="Y13" s="44" t="str">
        <x:v>automated signatures are JCS-specific; all other candidate application threads remain unattributed and ownership requires the archived full dump</x:v>
      </x:c>
    </x:row>
    <x:row r="14">
      <x:c r="A14" s="34" t="str">
        <x:v>article1-unified-v4-2-fb3f101b-20260903-000401-default-f01-p1-caffeine</x:v>
      </x:c>
      <x:c r="B14" s="34" t="str">
        <x:v>default</x:v>
      </x:c>
      <x:c r="C14" s="34" t="str">
        <x:v>caffeine</x:v>
      </x:c>
      <x:c r="D14" s="36" t="n">
        <x:v>1</x:v>
      </x:c>
      <x:c r="E14" s="36" t="n">
        <x:v>1</x:v>
      </x:c>
      <x:c r="F14" s="36" t="n">
        <x:v>1</x:v>
      </x:c>
      <x:c r="G14" s="36" t="n">
        <x:v>4</x:v>
      </x:c>
      <x:c r="H14" s="34" t="str">
        <x:v>firstUndeployThreadEvidenceEarly</x:v>
      </x:c>
      <x:c r="I14" s="36" t="n">
        <x:v>1</x:v>
      </x:c>
      <x:c r="J14" s="34" t="str">
        <x:v>early</x:v>
      </x:c>
      <x:c r="K14" s="36" t="n">
        <x:v>30</x:v>
      </x:c>
      <x:c r="L14" s="51" t="n">
        <x:v>3</x:v>
      </x:c>
      <x:c r="M14" s="51" t="n">
        <x:v>0</x:v>
      </x:c>
      <x:c r="N14" s="36" t="n">
        <x:v>13</x:v>
      </x:c>
      <x:c r="O14" s="44" t="str">
        <x:v>ForkJoinPool.commonPool-worker-1#48 | ForkJoinPool.commonPool-worker-2#49 | ForkJoinPool.commonPool-worker-3#58 | http-nio-8080-exec-23#163 | http-nio-8080-exec-40#250 | http-nio-8080-exec-41#251 | http-nio-8080-exec-44#286 | http-nio-8080-exec-45#287 | http-nio-8080-exec-47#291 | http-nio-8080-exec-48#292 | http-nio-8080-exec-49#325 | http-nio-8080-exec-50#326 | http-nio-8080-exec-51#327</x:v>
      </x:c>
      <x:c r="P14" s="36" t="n">
        <x:v>5</x:v>
      </x:c>
      <x:c r="Q14" s="44" t="str">
        <x:v>http-nio-8080-exec-47#291 | http-nio-8080-exec-48#292 | http-nio-8080-exec-49#325 | http-nio-8080-exec-50#326 | http-nio-8080-exec-51#327</x:v>
      </x:c>
      <x:c r="R14" s="36" t="n">
        <x:v>3</x:v>
      </x:c>
      <x:c r="S14" s="44" t="str">
        <x:v>ForkJoinPool.commonPool-worker-1#48 | ForkJoinPool.commonPool-worker-2#49 | ForkJoinPool.commonPool-worker-3#58</x:v>
      </x:c>
      <x:c r="T14" s="36" t="n">
        <x:v>0</x:v>
      </x:c>
      <x:c r="U14" s="44"/>
      <x:c r="V14" s="36" t="n">
        <x:v>0</x:v>
      </x:c>
      <x:c r="W14" s="44"/>
      <x:c r="X14" s="34" t="str">
        <x:v>unattributed-thread-signal</x:v>
      </x:c>
      <x:c r="Y14" s="44" t="str">
        <x:v>automated signatures are JCS-specific; all other candidate application threads remain unattributed and ownership requires the archived full dump</x:v>
      </x:c>
    </x:row>
    <x:row r="15">
      <x:c r="A15" s="34" t="str">
        <x:v>article1-unified-v4-2-fb3f101b-20260903-000401-default-f01-p1-caffeine</x:v>
      </x:c>
      <x:c r="B15" s="34" t="str">
        <x:v>default</x:v>
      </x:c>
      <x:c r="C15" s="34" t="str">
        <x:v>caffeine</x:v>
      </x:c>
      <x:c r="D15" s="36" t="n">
        <x:v>1</x:v>
      </x:c>
      <x:c r="E15" s="36" t="n">
        <x:v>1</x:v>
      </x:c>
      <x:c r="F15" s="36" t="n">
        <x:v>1</x:v>
      </x:c>
      <x:c r="G15" s="36" t="n">
        <x:v>4</x:v>
      </x:c>
      <x:c r="H15" s="34" t="str">
        <x:v>firstUndeployThreadEvidenceFinal</x:v>
      </x:c>
      <x:c r="I15" s="36" t="n">
        <x:v>1</x:v>
      </x:c>
      <x:c r="J15" s="34" t="str">
        <x:v>final</x:v>
      </x:c>
      <x:c r="K15" s="36" t="n">
        <x:v>30</x:v>
      </x:c>
      <x:c r="L15" s="51" t="n">
        <x:v>3</x:v>
      </x:c>
      <x:c r="M15" s="51" t="n">
        <x:v>0</x:v>
      </x:c>
      <x:c r="N15" s="36" t="n">
        <x:v>13</x:v>
      </x:c>
      <x:c r="O15" s="44" t="str">
        <x:v>ForkJoinPool.commonPool-worker-1#48 | ForkJoinPool.commonPool-worker-2#49 | ForkJoinPool.commonPool-worker-3#58 | http-nio-8080-exec-23#163 | http-nio-8080-exec-40#250 | http-nio-8080-exec-41#251 | http-nio-8080-exec-44#286 | http-nio-8080-exec-45#287 | http-nio-8080-exec-47#291 | http-nio-8080-exec-49#325 | http-nio-8080-exec-50#326 | http-nio-8080-exec-51#327 | http-nio-8080-exec-52#328</x:v>
      </x:c>
      <x:c r="P15" s="36" t="n">
        <x:v>5</x:v>
      </x:c>
      <x:c r="Q15" s="44" t="str">
        <x:v>http-nio-8080-exec-47#291 | http-nio-8080-exec-49#325 | http-nio-8080-exec-50#326 | http-nio-8080-exec-51#327 | http-nio-8080-exec-52#328</x:v>
      </x:c>
      <x:c r="R15" s="36" t="n">
        <x:v>3</x:v>
      </x:c>
      <x:c r="S15" s="44" t="str">
        <x:v>ForkJoinPool.commonPool-worker-1#48 | ForkJoinPool.commonPool-worker-2#49 | ForkJoinPool.commonPool-worker-3#58</x:v>
      </x:c>
      <x:c r="T15" s="36" t="n">
        <x:v>0</x:v>
      </x:c>
      <x:c r="U15" s="44"/>
      <x:c r="V15" s="36" t="n">
        <x:v>0</x:v>
      </x:c>
      <x:c r="W15" s="44"/>
      <x:c r="X15" s="34" t="str">
        <x:v>unattributed-thread-signal</x:v>
      </x:c>
      <x:c r="Y15" s="44" t="str">
        <x:v>automated signatures are JCS-specific; all other candidate application threads remain unattributed and ownership requires the archived full dump</x:v>
      </x:c>
    </x:row>
    <x:row r="16">
      <x:c r="A16" s="34" t="str">
        <x:v>article1-unified-v4-2-fb3f101b-20260903-000401-default-f01-p1-caffeine</x:v>
      </x:c>
      <x:c r="B16" s="34" t="str">
        <x:v>default</x:v>
      </x:c>
      <x:c r="C16" s="34" t="str">
        <x:v>caffeine</x:v>
      </x:c>
      <x:c r="D16" s="36" t="n">
        <x:v>1</x:v>
      </x:c>
      <x:c r="E16" s="36" t="n">
        <x:v>1</x:v>
      </x:c>
      <x:c r="F16" s="36" t="n">
        <x:v>1</x:v>
      </x:c>
      <x:c r="G16" s="36" t="n">
        <x:v>4</x:v>
      </x:c>
      <x:c r="H16" s="34" t="str">
        <x:v>finalUndeployThreadEvidenceEarly</x:v>
      </x:c>
      <x:c r="I16" s="36" t="n">
        <x:v>2</x:v>
      </x:c>
      <x:c r="J16" s="34" t="str">
        <x:v>early</x:v>
      </x:c>
      <x:c r="K16" s="36" t="n">
        <x:v>30</x:v>
      </x:c>
      <x:c r="L16" s="51" t="n">
        <x:v>3</x:v>
      </x:c>
      <x:c r="M16" s="51" t="n">
        <x:v>0</x:v>
      </x:c>
      <x:c r="N16" s="36" t="n">
        <x:v>13</x:v>
      </x:c>
      <x:c r="O16" s="44" t="str">
        <x:v>ForkJoinPool.commonPool-worker-1#48 | ForkJoinPool.commonPool-worker-2#49 | ForkJoinPool.commonPool-worker-3#58 | http-nio-8080-exec-41#251 | http-nio-8080-exec-44#286 | http-nio-8080-exec-50#326 | http-nio-8080-exec-52#328 | http-nio-8080-exec-53#331 | http-nio-8080-exec-54#332 | http-nio-8080-exec-55#333 | http-nio-8080-exec-56#366 | http-nio-8080-exec-57#367 | http-nio-8080-exec-58#368</x:v>
      </x:c>
      <x:c r="P16" s="36" t="n">
        <x:v>8</x:v>
      </x:c>
      <x:c r="Q16" s="44" t="str">
        <x:v>http-nio-8080-exec-50#326 | http-nio-8080-exec-52#328 | http-nio-8080-exec-53#331 | http-nio-8080-exec-54#332 | http-nio-8080-exec-55#333 | http-nio-8080-exec-56#366 | http-nio-8080-exec-57#367 | http-nio-8080-exec-58#368</x:v>
      </x:c>
      <x:c r="R16" s="36" t="n">
        <x:v>3</x:v>
      </x:c>
      <x:c r="S16" s="44" t="str">
        <x:v>ForkJoinPool.commonPool-worker-1#48 | ForkJoinPool.commonPool-worker-2#49 | ForkJoinPool.commonPool-worker-3#58</x:v>
      </x:c>
      <x:c r="T16" s="36" t="n">
        <x:v>0</x:v>
      </x:c>
      <x:c r="U16" s="44"/>
      <x:c r="V16" s="36" t="n">
        <x:v>0</x:v>
      </x:c>
      <x:c r="W16" s="44"/>
      <x:c r="X16" s="34" t="str">
        <x:v>unattributed-thread-signal</x:v>
      </x:c>
      <x:c r="Y16" s="44" t="str">
        <x:v>automated signatures are JCS-specific; all other candidate application threads remain unattributed and ownership requires the archived full dump</x:v>
      </x:c>
    </x:row>
    <x:row r="17">
      <x:c r="A17" s="34" t="str">
        <x:v>article1-unified-v4-2-fb3f101b-20260903-000401-default-f01-p1-caffeine</x:v>
      </x:c>
      <x:c r="B17" s="34" t="str">
        <x:v>default</x:v>
      </x:c>
      <x:c r="C17" s="34" t="str">
        <x:v>caffeine</x:v>
      </x:c>
      <x:c r="D17" s="36" t="n">
        <x:v>1</x:v>
      </x:c>
      <x:c r="E17" s="36" t="n">
        <x:v>1</x:v>
      </x:c>
      <x:c r="F17" s="36" t="n">
        <x:v>1</x:v>
      </x:c>
      <x:c r="G17" s="36" t="n">
        <x:v>4</x:v>
      </x:c>
      <x:c r="H17" s="34" t="str">
        <x:v>finalUndeployThreadEvidenceFinal</x:v>
      </x:c>
      <x:c r="I17" s="36" t="n">
        <x:v>2</x:v>
      </x:c>
      <x:c r="J17" s="34" t="str">
        <x:v>final</x:v>
      </x:c>
      <x:c r="K17" s="36" t="n">
        <x:v>30</x:v>
      </x:c>
      <x:c r="L17" s="51" t="n">
        <x:v>3</x:v>
      </x:c>
      <x:c r="M17" s="51" t="n">
        <x:v>0</x:v>
      </x:c>
      <x:c r="N17" s="36" t="n">
        <x:v>13</x:v>
      </x:c>
      <x:c r="O17" s="44" t="str">
        <x:v>ForkJoinPool.commonPool-worker-1#48 | ForkJoinPool.commonPool-worker-2#49 | ForkJoinPool.commonPool-worker-3#58 | http-nio-8080-exec-41#251 | http-nio-8080-exec-44#286 | http-nio-8080-exec-50#326 | http-nio-8080-exec-52#328 | http-nio-8080-exec-53#331 | http-nio-8080-exec-55#333 | http-nio-8080-exec-56#366 | http-nio-8080-exec-57#367 | http-nio-8080-exec-58#368 | http-nio-8080-exec-59#369</x:v>
      </x:c>
      <x:c r="P17" s="36" t="n">
        <x:v>8</x:v>
      </x:c>
      <x:c r="Q17" s="44" t="str">
        <x:v>http-nio-8080-exec-50#326 | http-nio-8080-exec-52#328 | http-nio-8080-exec-53#331 | http-nio-8080-exec-55#333 | http-nio-8080-exec-56#366 | http-nio-8080-exec-57#367 | http-nio-8080-exec-58#368 | http-nio-8080-exec-59#369</x:v>
      </x:c>
      <x:c r="R17" s="36" t="n">
        <x:v>3</x:v>
      </x:c>
      <x:c r="S17" s="44" t="str">
        <x:v>ForkJoinPool.commonPool-worker-1#48 | ForkJoinPool.commonPool-worker-2#49 | ForkJoinPool.commonPool-worker-3#58</x:v>
      </x:c>
      <x:c r="T17" s="36" t="n">
        <x:v>0</x:v>
      </x:c>
      <x:c r="U17" s="44"/>
      <x:c r="V17" s="36" t="n">
        <x:v>0</x:v>
      </x:c>
      <x:c r="W17" s="44"/>
      <x:c r="X17" s="34" t="str">
        <x:v>unattributed-thread-signal</x:v>
      </x:c>
      <x:c r="Y17" s="44" t="str">
        <x:v>automated signatures are JCS-specific; all other candidate application threads remain unattributed and ownership requires the archived full dump</x:v>
      </x:c>
    </x:row>
    <x:row r="18">
      <x:c r="A18" s="34" t="str">
        <x:v>article1-unified-v4-2-fb3f101b-20260903-000401-default-f01-p1-caffeine</x:v>
      </x:c>
      <x:c r="B18" s="34" t="str">
        <x:v>default</x:v>
      </x:c>
      <x:c r="C18" s="34" t="str">
        <x:v>caffeine</x:v>
      </x:c>
      <x:c r="D18" s="36" t="n">
        <x:v>1</x:v>
      </x:c>
      <x:c r="E18" s="36" t="n">
        <x:v>1</x:v>
      </x:c>
      <x:c r="F18" s="36" t="n">
        <x:v>1</x:v>
      </x:c>
      <x:c r="G18" s="36" t="n">
        <x:v>5</x:v>
      </x:c>
      <x:c r="H18" s="34" t="str">
        <x:v>firstUndeployThreadEvidenceEarly</x:v>
      </x:c>
      <x:c r="I18" s="36" t="n">
        <x:v>1</x:v>
      </x:c>
      <x:c r="J18" s="34" t="str">
        <x:v>early</x:v>
      </x:c>
      <x:c r="K18" s="36" t="n">
        <x:v>30</x:v>
      </x:c>
      <x:c r="L18" s="51" t="n">
        <x:v>3</x:v>
      </x:c>
      <x:c r="M18" s="51" t="n">
        <x:v>0</x:v>
      </x:c>
      <x:c r="N18" s="36" t="n">
        <x:v>13</x:v>
      </x:c>
      <x:c r="O18" s="44" t="str">
        <x:v>ForkJoinPool.commonPool-worker-1#48 | ForkJoinPool.commonPool-worker-2#49 | ForkJoinPool.commonPool-worker-3#58 | http-nio-8080-exec-44#286 | http-nio-8080-exec-52#328 | http-nio-8080-exec-57#367 | http-nio-8080-exec-58#368 | http-nio-8080-exec-59#369 | http-nio-8080-exec-60#372 | http-nio-8080-exec-61#373 | http-nio-8080-exec-62#406 | http-nio-8080-exec-63#407 | http-nio-8080-exec-64#408</x:v>
      </x:c>
      <x:c r="P18" s="36" t="n">
        <x:v>5</x:v>
      </x:c>
      <x:c r="Q18" s="44" t="str">
        <x:v>http-nio-8080-exec-60#372 | http-nio-8080-exec-61#373 | http-nio-8080-exec-62#406 | http-nio-8080-exec-63#407 | http-nio-8080-exec-64#408</x:v>
      </x:c>
      <x:c r="R18" s="36" t="n">
        <x:v>3</x:v>
      </x:c>
      <x:c r="S18" s="44" t="str">
        <x:v>ForkJoinPool.commonPool-worker-1#48 | ForkJoinPool.commonPool-worker-2#49 | ForkJoinPool.commonPool-worker-3#58</x:v>
      </x:c>
      <x:c r="T18" s="36" t="n">
        <x:v>0</x:v>
      </x:c>
      <x:c r="U18" s="44"/>
      <x:c r="V18" s="36" t="n">
        <x:v>0</x:v>
      </x:c>
      <x:c r="W18" s="44"/>
      <x:c r="X18" s="34" t="str">
        <x:v>unattributed-thread-signal</x:v>
      </x:c>
      <x:c r="Y18" s="44" t="str">
        <x:v>automated signatures are JCS-specific; all other candidate application threads remain unattributed and ownership requires the archived full dump</x:v>
      </x:c>
    </x:row>
    <x:row r="19">
      <x:c r="A19" s="34" t="str">
        <x:v>article1-unified-v4-2-fb3f101b-20260903-000401-default-f01-p1-caffeine</x:v>
      </x:c>
      <x:c r="B19" s="34" t="str">
        <x:v>default</x:v>
      </x:c>
      <x:c r="C19" s="34" t="str">
        <x:v>caffeine</x:v>
      </x:c>
      <x:c r="D19" s="36" t="n">
        <x:v>1</x:v>
      </x:c>
      <x:c r="E19" s="36" t="n">
        <x:v>1</x:v>
      </x:c>
      <x:c r="F19" s="36" t="n">
        <x:v>1</x:v>
      </x:c>
      <x:c r="G19" s="36" t="n">
        <x:v>5</x:v>
      </x:c>
      <x:c r="H19" s="34" t="str">
        <x:v>firstUndeployThreadEvidenceFinal</x:v>
      </x:c>
      <x:c r="I19" s="36" t="n">
        <x:v>1</x:v>
      </x:c>
      <x:c r="J19" s="34" t="str">
        <x:v>final</x:v>
      </x:c>
      <x:c r="K19" s="36" t="n">
        <x:v>30</x:v>
      </x:c>
      <x:c r="L19" s="51" t="n">
        <x:v>3</x:v>
      </x:c>
      <x:c r="M19" s="51" t="n">
        <x:v>0</x:v>
      </x:c>
      <x:c r="N19" s="36" t="n">
        <x:v>13</x:v>
      </x:c>
      <x:c r="O19" s="44" t="str">
        <x:v>ForkJoinPool.commonPool-worker-1#48 | ForkJoinPool.commonPool-worker-2#49 | ForkJoinPool.commonPool-worker-3#58 | http-nio-8080-exec-44#286 | http-nio-8080-exec-52#328 | http-nio-8080-exec-58#368 | http-nio-8080-exec-59#369 | http-nio-8080-exec-60#372 | http-nio-8080-exec-61#373 | http-nio-8080-exec-62#406 | http-nio-8080-exec-63#407 | http-nio-8080-exec-64#408 | http-nio-8080-exec-65#409</x:v>
      </x:c>
      <x:c r="P19" s="36" t="n">
        <x:v>6</x:v>
      </x:c>
      <x:c r="Q19" s="44" t="str">
        <x:v>http-nio-8080-exec-60#372 | http-nio-8080-exec-61#373 | http-nio-8080-exec-62#406 | http-nio-8080-exec-63#407 | http-nio-8080-exec-64#408 | http-nio-8080-exec-65#409</x:v>
      </x:c>
      <x:c r="R19" s="36" t="n">
        <x:v>3</x:v>
      </x:c>
      <x:c r="S19" s="44" t="str">
        <x:v>ForkJoinPool.commonPool-worker-1#48 | ForkJoinPool.commonPool-worker-2#49 | ForkJoinPool.commonPool-worker-3#58</x:v>
      </x:c>
      <x:c r="T19" s="36" t="n">
        <x:v>0</x:v>
      </x:c>
      <x:c r="U19" s="44"/>
      <x:c r="V19" s="36" t="n">
        <x:v>0</x:v>
      </x:c>
      <x:c r="W19" s="44"/>
      <x:c r="X19" s="34" t="str">
        <x:v>unattributed-thread-signal</x:v>
      </x:c>
      <x:c r="Y19" s="44" t="str">
        <x:v>automated signatures are JCS-specific; all other candidate application threads remain unattributed and ownership requires the archived full dump</x:v>
      </x:c>
    </x:row>
    <x:row r="20">
      <x:c r="A20" s="34" t="str">
        <x:v>article1-unified-v4-2-fb3f101b-20260903-000401-default-f01-p1-caffeine</x:v>
      </x:c>
      <x:c r="B20" s="34" t="str">
        <x:v>default</x:v>
      </x:c>
      <x:c r="C20" s="34" t="str">
        <x:v>caffeine</x:v>
      </x:c>
      <x:c r="D20" s="36" t="n">
        <x:v>1</x:v>
      </x:c>
      <x:c r="E20" s="36" t="n">
        <x:v>1</x:v>
      </x:c>
      <x:c r="F20" s="36" t="n">
        <x:v>1</x:v>
      </x:c>
      <x:c r="G20" s="36" t="n">
        <x:v>5</x:v>
      </x:c>
      <x:c r="H20" s="34" t="str">
        <x:v>finalUndeployThreadEvidenceEarly</x:v>
      </x:c>
      <x:c r="I20" s="36" t="n">
        <x:v>2</x:v>
      </x:c>
      <x:c r="J20" s="34" t="str">
        <x:v>early</x:v>
      </x:c>
      <x:c r="K20" s="36" t="n">
        <x:v>30</x:v>
      </x:c>
      <x:c r="L20" s="51" t="n">
        <x:v>3</x:v>
      </x:c>
      <x:c r="M20" s="51" t="n">
        <x:v>0</x:v>
      </x:c>
      <x:c r="N20" s="36" t="n">
        <x:v>13</x:v>
      </x:c>
      <x:c r="O20" s="44" t="str">
        <x:v>ForkJoinPool.commonPool-worker-1#48 | ForkJoinPool.commonPool-worker-2#49 | ForkJoinPool.commonPool-worker-3#58 | http-nio-8080-exec-52#328 | http-nio-8080-exec-61#373 | http-nio-8080-exec-63#407 | http-nio-8080-exec-64#408 | http-nio-8080-exec-65#409 | http-nio-8080-exec-66#412 | http-nio-8080-exec-67#413 | http-nio-8080-exec-69#447 | http-nio-8080-exec-70#448 | http-nio-8080-exec-71#449</x:v>
      </x:c>
      <x:c r="P20" s="36" t="n">
        <x:v>9</x:v>
      </x:c>
      <x:c r="Q20" s="44" t="str">
        <x:v>http-nio-8080-exec-61#373 | http-nio-8080-exec-63#407 | http-nio-8080-exec-64#408 | http-nio-8080-exec-65#409 | http-nio-8080-exec-66#412 | http-nio-8080-exec-67#413 | http-nio-8080-exec-69#447 | http-nio-8080-exec-70#448 | http-nio-8080-exec-71#449</x:v>
      </x:c>
      <x:c r="R20" s="36" t="n">
        <x:v>3</x:v>
      </x:c>
      <x:c r="S20" s="44" t="str">
        <x:v>ForkJoinPool.commonPool-worker-1#48 | ForkJoinPool.commonPool-worker-2#49 | ForkJoinPool.commonPool-worker-3#58</x:v>
      </x:c>
      <x:c r="T20" s="36" t="n">
        <x:v>0</x:v>
      </x:c>
      <x:c r="U20" s="44"/>
      <x:c r="V20" s="36" t="n">
        <x:v>0</x:v>
      </x:c>
      <x:c r="W20" s="44"/>
      <x:c r="X20" s="34" t="str">
        <x:v>unattributed-thread-signal</x:v>
      </x:c>
      <x:c r="Y20" s="44" t="str">
        <x:v>automated signatures are JCS-specific; all other candidate application threads remain unattributed and ownership requires the archived full dump</x:v>
      </x:c>
    </x:row>
    <x:row r="21">
      <x:c r="A21" s="34" t="str">
        <x:v>article1-unified-v4-2-fb3f101b-20260903-000401-default-f01-p1-caffeine</x:v>
      </x:c>
      <x:c r="B21" s="34" t="str">
        <x:v>default</x:v>
      </x:c>
      <x:c r="C21" s="34" t="str">
        <x:v>caffeine</x:v>
      </x:c>
      <x:c r="D21" s="36" t="n">
        <x:v>1</x:v>
      </x:c>
      <x:c r="E21" s="36" t="n">
        <x:v>1</x:v>
      </x:c>
      <x:c r="F21" s="36" t="n">
        <x:v>1</x:v>
      </x:c>
      <x:c r="G21" s="36" t="n">
        <x:v>5</x:v>
      </x:c>
      <x:c r="H21" s="34" t="str">
        <x:v>finalUndeployThreadEvidenceFinal</x:v>
      </x:c>
      <x:c r="I21" s="36" t="n">
        <x:v>2</x:v>
      </x:c>
      <x:c r="J21" s="34" t="str">
        <x:v>final</x:v>
      </x:c>
      <x:c r="K21" s="36" t="n">
        <x:v>30</x:v>
      </x:c>
      <x:c r="L21" s="51" t="n">
        <x:v>3</x:v>
      </x:c>
      <x:c r="M21" s="51" t="n">
        <x:v>0</x:v>
      </x:c>
      <x:c r="N21" s="36" t="n">
        <x:v>13</x:v>
      </x:c>
      <x:c r="O21" s="44" t="str">
        <x:v>ForkJoinPool.commonPool-worker-1#48 | ForkJoinPool.commonPool-worker-2#49 | ForkJoinPool.commonPool-worker-3#58 | http-nio-8080-exec-52#328 | http-nio-8080-exec-61#373 | http-nio-8080-exec-63#407 | http-nio-8080-exec-65#409 | http-nio-8080-exec-66#412 | http-nio-8080-exec-67#413 | http-nio-8080-exec-69#447 | http-nio-8080-exec-70#448 | http-nio-8080-exec-71#449 | http-nio-8080-exec-72#450</x:v>
      </x:c>
      <x:c r="P21" s="36" t="n">
        <x:v>9</x:v>
      </x:c>
      <x:c r="Q21" s="44" t="str">
        <x:v>http-nio-8080-exec-61#373 | http-nio-8080-exec-63#407 | http-nio-8080-exec-65#409 | http-nio-8080-exec-66#412 | http-nio-8080-exec-67#413 | http-nio-8080-exec-69#447 | http-nio-8080-exec-70#448 | http-nio-8080-exec-71#449 | http-nio-8080-exec-72#450</x:v>
      </x:c>
      <x:c r="R21" s="36" t="n">
        <x:v>3</x:v>
      </x:c>
      <x:c r="S21" s="44" t="str">
        <x:v>ForkJoinPool.commonPool-worker-1#48 | ForkJoinPool.commonPool-worker-2#49 | ForkJoinPool.commonPool-worker-3#58</x:v>
      </x:c>
      <x:c r="T21" s="36" t="n">
        <x:v>0</x:v>
      </x:c>
      <x:c r="U21" s="44"/>
      <x:c r="V21" s="36" t="n">
        <x:v>0</x:v>
      </x:c>
      <x:c r="W21" s="44"/>
      <x:c r="X21" s="34" t="str">
        <x:v>unattributed-thread-signal</x:v>
      </x:c>
      <x:c r="Y21" s="44" t="str">
        <x:v>automated signatures are JCS-specific; all other candidate application threads remain unattributed and ownership requires the archived full dump</x:v>
      </x:c>
    </x:row>
    <x:row r="22">
      <x:c r="A22" s="34" t="str">
        <x:v>article1-unified-v4-2-fb3f101b-20260903-000401-default-f01-p2-ehcache</x:v>
      </x:c>
      <x:c r="B22" s="34" t="str">
        <x:v>default</x:v>
      </x:c>
      <x:c r="C22" s="34" t="str">
        <x:v>ehcache</x:v>
      </x:c>
      <x:c r="D22" s="36" t="n">
        <x:v>1</x:v>
      </x:c>
      <x:c r="E22" s="36" t="n">
        <x:v>1</x:v>
      </x:c>
      <x:c r="F22" s="36" t="n">
        <x:v>2</x:v>
      </x:c>
      <x:c r="G22" s="36" t="n">
        <x:v>1</x:v>
      </x:c>
      <x:c r="H22" s="34" t="str">
        <x:v>firstUndeployThreadEvidenceEarly</x:v>
      </x:c>
      <x:c r="I22" s="36" t="n">
        <x:v>1</x:v>
      </x:c>
      <x:c r="J22" s="34" t="str">
        <x:v>early</x:v>
      </x:c>
      <x:c r="K22" s="36" t="n">
        <x:v>27</x:v>
      </x:c>
      <x:c r="L22" s="51" t="n">
        <x:v>0</x:v>
      </x:c>
      <x:c r="M22" s="51" t="n">
        <x:v>0</x:v>
      </x:c>
      <x:c r="N22" s="36" t="n">
        <x:v>2</x:v>
      </x:c>
      <x:c r="O22" s="44" t="str">
        <x:v>http-nio-8080-exec-11#80 | http-nio-8080-exec-12#81</x:v>
      </x:c>
      <x:c r="P22" s="36" t="n">
        <x:v>2</x:v>
      </x:c>
      <x:c r="Q22" s="44" t="str">
        <x:v>http-nio-8080-exec-11#80 | http-nio-8080-exec-12#81</x:v>
      </x:c>
      <x:c r="R22" s="36" t="n">
        <x:v>0</x:v>
      </x:c>
      <x:c r="S22" s="44"/>
      <x:c r="T22" s="36" t="n">
        <x:v>0</x:v>
      </x:c>
      <x:c r="U22" s="44"/>
      <x:c r="V22" s="36" t="n">
        <x:v>0</x:v>
      </x:c>
      <x:c r="W22" s="44"/>
      <x:c r="X22" s="34" t="str">
        <x:v>no-post-undeploy-thread-signal</x:v>
      </x:c>
      <x:c r="Y22" s="44" t="str">
        <x:v>automated signatures are JCS-specific; all other candidate application threads remain unattributed and ownership requires the archived full dump</x:v>
      </x:c>
    </x:row>
    <x:row r="23">
      <x:c r="A23" s="34" t="str">
        <x:v>article1-unified-v4-2-fb3f101b-20260903-000401-default-f01-p2-ehcache</x:v>
      </x:c>
      <x:c r="B23" s="34" t="str">
        <x:v>default</x:v>
      </x:c>
      <x:c r="C23" s="34" t="str">
        <x:v>ehcache</x:v>
      </x:c>
      <x:c r="D23" s="36" t="n">
        <x:v>1</x:v>
      </x:c>
      <x:c r="E23" s="36" t="n">
        <x:v>1</x:v>
      </x:c>
      <x:c r="F23" s="36" t="n">
        <x:v>2</x:v>
      </x:c>
      <x:c r="G23" s="36" t="n">
        <x:v>1</x:v>
      </x:c>
      <x:c r="H23" s="34" t="str">
        <x:v>firstUndeployThreadEvidenceFinal</x:v>
      </x:c>
      <x:c r="I23" s="36" t="n">
        <x:v>1</x:v>
      </x:c>
      <x:c r="J23" s="34" t="str">
        <x:v>final</x:v>
      </x:c>
      <x:c r="K23" s="36" t="n">
        <x:v>27</x:v>
      </x:c>
      <x:c r="L23" s="51" t="n">
        <x:v>0</x:v>
      </x:c>
      <x:c r="M23" s="51" t="n">
        <x:v>0</x:v>
      </x:c>
      <x:c r="N23" s="36" t="n">
        <x:v>3</x:v>
      </x:c>
      <x:c r="O23" s="44" t="str">
        <x:v>http-nio-8080-exec-11#80 | http-nio-8080-exec-12#81 | http-nio-8080-exec-13#82</x:v>
      </x:c>
      <x:c r="P23" s="36" t="n">
        <x:v>3</x:v>
      </x:c>
      <x:c r="Q23" s="44" t="str">
        <x:v>http-nio-8080-exec-11#80 | http-nio-8080-exec-12#81 | http-nio-8080-exec-13#82</x:v>
      </x:c>
      <x:c r="R23" s="36" t="n">
        <x:v>0</x:v>
      </x:c>
      <x:c r="S23" s="44"/>
      <x:c r="T23" s="36" t="n">
        <x:v>0</x:v>
      </x:c>
      <x:c r="U23" s="44"/>
      <x:c r="V23" s="36" t="n">
        <x:v>0</x:v>
      </x:c>
      <x:c r="W23" s="44"/>
      <x:c r="X23" s="34" t="str">
        <x:v>no-post-undeploy-thread-signal</x:v>
      </x:c>
      <x:c r="Y23" s="44" t="str">
        <x:v>automated signatures are JCS-specific; all other candidate application threads remain unattributed and ownership requires the archived full dump</x:v>
      </x:c>
    </x:row>
    <x:row r="24">
      <x:c r="A24" s="34" t="str">
        <x:v>article1-unified-v4-2-fb3f101b-20260903-000401-default-f01-p2-ehcache</x:v>
      </x:c>
      <x:c r="B24" s="34" t="str">
        <x:v>default</x:v>
      </x:c>
      <x:c r="C24" s="34" t="str">
        <x:v>ehcache</x:v>
      </x:c>
      <x:c r="D24" s="36" t="n">
        <x:v>1</x:v>
      </x:c>
      <x:c r="E24" s="36" t="n">
        <x:v>1</x:v>
      </x:c>
      <x:c r="F24" s="36" t="n">
        <x:v>2</x:v>
      </x:c>
      <x:c r="G24" s="36" t="n">
        <x:v>1</x:v>
      </x:c>
      <x:c r="H24" s="34" t="str">
        <x:v>finalUndeployThreadEvidenceEarly</x:v>
      </x:c>
      <x:c r="I24" s="36" t="n">
        <x:v>2</x:v>
      </x:c>
      <x:c r="J24" s="34" t="str">
        <x:v>early</x:v>
      </x:c>
      <x:c r="K24" s="36" t="n">
        <x:v>27</x:v>
      </x:c>
      <x:c r="L24" s="51" t="n">
        <x:v>0</x:v>
      </x:c>
      <x:c r="M24" s="51" t="n">
        <x:v>0</x:v>
      </x:c>
      <x:c r="N24" s="36" t="n">
        <x:v>8</x:v>
      </x:c>
      <x:c r="O24" s="44" t="str">
        <x:v>http-nio-8080-exec-12#81 | http-nio-8080-exec-13#82 | http-nio-8080-exec-14#85 | http-nio-8080-exec-15#86 | http-nio-8080-exec-16#87 | http-nio-8080-exec-17#120 | http-nio-8080-exec-18#121 | http-nio-8080-exec-19#122</x:v>
      </x:c>
      <x:c r="P24" s="36" t="n">
        <x:v>8</x:v>
      </x:c>
      <x:c r="Q24" s="44" t="str">
        <x:v>http-nio-8080-exec-12#81 | http-nio-8080-exec-13#82 | http-nio-8080-exec-14#85 | http-nio-8080-exec-15#86 | http-nio-8080-exec-16#87 | http-nio-8080-exec-17#120 | http-nio-8080-exec-18#121 | http-nio-8080-exec-19#122</x:v>
      </x:c>
      <x:c r="R24" s="36" t="n">
        <x:v>0</x:v>
      </x:c>
      <x:c r="S24" s="44"/>
      <x:c r="T24" s="36" t="n">
        <x:v>0</x:v>
      </x:c>
      <x:c r="U24" s="44"/>
      <x:c r="V24" s="36" t="n">
        <x:v>0</x:v>
      </x:c>
      <x:c r="W24" s="44"/>
      <x:c r="X24" s="34" t="str">
        <x:v>no-post-undeploy-thread-signal</x:v>
      </x:c>
      <x:c r="Y24" s="44" t="str">
        <x:v>automated signatures are JCS-specific; all other candidate application threads remain unattributed and ownership requires the archived full dump</x:v>
      </x:c>
    </x:row>
    <x:row r="25">
      <x:c r="A25" s="34" t="str">
        <x:v>article1-unified-v4-2-fb3f101b-20260903-000401-default-f01-p2-ehcache</x:v>
      </x:c>
      <x:c r="B25" s="34" t="str">
        <x:v>default</x:v>
      </x:c>
      <x:c r="C25" s="34" t="str">
        <x:v>ehcache</x:v>
      </x:c>
      <x:c r="D25" s="36" t="n">
        <x:v>1</x:v>
      </x:c>
      <x:c r="E25" s="36" t="n">
        <x:v>1</x:v>
      </x:c>
      <x:c r="F25" s="36" t="n">
        <x:v>2</x:v>
      </x:c>
      <x:c r="G25" s="36" t="n">
        <x:v>1</x:v>
      </x:c>
      <x:c r="H25" s="34" t="str">
        <x:v>finalUndeployThreadEvidenceFinal</x:v>
      </x:c>
      <x:c r="I25" s="36" t="n">
        <x:v>2</x:v>
      </x:c>
      <x:c r="J25" s="34" t="str">
        <x:v>final</x:v>
      </x:c>
      <x:c r="K25" s="36" t="n">
        <x:v>27</x:v>
      </x:c>
      <x:c r="L25" s="51" t="n">
        <x:v>0</x:v>
      </x:c>
      <x:c r="M25" s="51" t="n">
        <x:v>0</x:v>
      </x:c>
      <x:c r="N25" s="36" t="n">
        <x:v>8</x:v>
      </x:c>
      <x:c r="O25" s="44" t="str">
        <x:v>http-nio-8080-exec-12#81 | http-nio-8080-exec-13#82 | http-nio-8080-exec-15#86 | http-nio-8080-exec-16#87 | http-nio-8080-exec-17#120 | http-nio-8080-exec-18#121 | http-nio-8080-exec-19#122 | http-nio-8080-exec-20#123</x:v>
      </x:c>
      <x:c r="P25" s="36" t="n">
        <x:v>8</x:v>
      </x:c>
      <x:c r="Q25" s="44" t="str">
        <x:v>http-nio-8080-exec-12#81 | http-nio-8080-exec-13#82 | http-nio-8080-exec-15#86 | http-nio-8080-exec-16#87 | http-nio-8080-exec-17#120 | http-nio-8080-exec-18#121 | http-nio-8080-exec-19#122 | http-nio-8080-exec-20#123</x:v>
      </x:c>
      <x:c r="R25" s="36" t="n">
        <x:v>0</x:v>
      </x:c>
      <x:c r="S25" s="44"/>
      <x:c r="T25" s="36" t="n">
        <x:v>0</x:v>
      </x:c>
      <x:c r="U25" s="44"/>
      <x:c r="V25" s="36" t="n">
        <x:v>0</x:v>
      </x:c>
      <x:c r="W25" s="44"/>
      <x:c r="X25" s="34" t="str">
        <x:v>no-post-undeploy-thread-signal</x:v>
      </x:c>
      <x:c r="Y25" s="44" t="str">
        <x:v>automated signatures are JCS-specific; all other candidate application threads remain unattributed and ownership requires the archived full dump</x:v>
      </x:c>
    </x:row>
    <x:row r="26">
      <x:c r="A26" s="34" t="str">
        <x:v>article1-unified-v4-2-fb3f101b-20260903-000401-default-f01-p2-ehcache</x:v>
      </x:c>
      <x:c r="B26" s="34" t="str">
        <x:v>default</x:v>
      </x:c>
      <x:c r="C26" s="34" t="str">
        <x:v>ehcache</x:v>
      </x:c>
      <x:c r="D26" s="36" t="n">
        <x:v>1</x:v>
      </x:c>
      <x:c r="E26" s="36" t="n">
        <x:v>1</x:v>
      </x:c>
      <x:c r="F26" s="36" t="n">
        <x:v>2</x:v>
      </x:c>
      <x:c r="G26" s="36" t="n">
        <x:v>2</x:v>
      </x:c>
      <x:c r="H26" s="34" t="str">
        <x:v>firstUndeployThreadEvidenceEarly</x:v>
      </x:c>
      <x:c r="I26" s="36" t="n">
        <x:v>1</x:v>
      </x:c>
      <x:c r="J26" s="34" t="str">
        <x:v>early</x:v>
      </x:c>
      <x:c r="K26" s="36" t="n">
        <x:v>27</x:v>
      </x:c>
      <x:c r="L26" s="51" t="n">
        <x:v>0</x:v>
      </x:c>
      <x:c r="M26" s="51" t="n">
        <x:v>0</x:v>
      </x:c>
      <x:c r="N26" s="36" t="n">
        <x:v>8</x:v>
      </x:c>
      <x:c r="O26" s="44" t="str">
        <x:v>http-nio-8080-exec-13#82 | http-nio-8080-exec-19#122 | http-nio-8080-exec-20#123 | http-nio-8080-exec-21#126 | http-nio-8080-exec-22#127 | http-nio-8080-exec-23#160 | http-nio-8080-exec-24#161 | http-nio-8080-exec-25#162</x:v>
      </x:c>
      <x:c r="P26" s="36" t="n">
        <x:v>5</x:v>
      </x:c>
      <x:c r="Q26" s="44" t="str">
        <x:v>http-nio-8080-exec-21#126 | http-nio-8080-exec-22#127 | http-nio-8080-exec-23#160 | http-nio-8080-exec-24#161 | http-nio-8080-exec-25#162</x:v>
      </x:c>
      <x:c r="R26" s="36" t="n">
        <x:v>0</x:v>
      </x:c>
      <x:c r="S26" s="44"/>
      <x:c r="T26" s="36" t="n">
        <x:v>0</x:v>
      </x:c>
      <x:c r="U26" s="44"/>
      <x:c r="V26" s="36" t="n">
        <x:v>0</x:v>
      </x:c>
      <x:c r="W26" s="44"/>
      <x:c r="X26" s="34" t="str">
        <x:v>no-post-undeploy-thread-signal</x:v>
      </x:c>
      <x:c r="Y26" s="44" t="str">
        <x:v>automated signatures are JCS-specific; all other candidate application threads remain unattributed and ownership requires the archived full dump</x:v>
      </x:c>
    </x:row>
    <x:row r="27">
      <x:c r="A27" s="34" t="str">
        <x:v>article1-unified-v4-2-fb3f101b-20260903-000401-default-f01-p2-ehcache</x:v>
      </x:c>
      <x:c r="B27" s="34" t="str">
        <x:v>default</x:v>
      </x:c>
      <x:c r="C27" s="34" t="str">
        <x:v>ehcache</x:v>
      </x:c>
      <x:c r="D27" s="36" t="n">
        <x:v>1</x:v>
      </x:c>
      <x:c r="E27" s="36" t="n">
        <x:v>1</x:v>
      </x:c>
      <x:c r="F27" s="36" t="n">
        <x:v>2</x:v>
      </x:c>
      <x:c r="G27" s="36" t="n">
        <x:v>2</x:v>
      </x:c>
      <x:c r="H27" s="34" t="str">
        <x:v>firstUndeployThreadEvidenceFinal</x:v>
      </x:c>
      <x:c r="I27" s="36" t="n">
        <x:v>1</x:v>
      </x:c>
      <x:c r="J27" s="34" t="str">
        <x:v>final</x:v>
      </x:c>
      <x:c r="K27" s="36" t="n">
        <x:v>27</x:v>
      </x:c>
      <x:c r="L27" s="51" t="n">
        <x:v>0</x:v>
      </x:c>
      <x:c r="M27" s="51" t="n">
        <x:v>0</x:v>
      </x:c>
      <x:c r="N27" s="36" t="n">
        <x:v>8</x:v>
      </x:c>
      <x:c r="O27" s="44" t="str">
        <x:v>http-nio-8080-exec-19#122 | http-nio-8080-exec-20#123 | http-nio-8080-exec-21#126 | http-nio-8080-exec-22#127 | http-nio-8080-exec-23#160 | http-nio-8080-exec-24#161 | http-nio-8080-exec-25#162 | http-nio-8080-exec-26#163</x:v>
      </x:c>
      <x:c r="P27" s="36" t="n">
        <x:v>6</x:v>
      </x:c>
      <x:c r="Q27" s="44" t="str">
        <x:v>http-nio-8080-exec-21#126 | http-nio-8080-exec-22#127 | http-nio-8080-exec-23#160 | http-nio-8080-exec-24#161 | http-nio-8080-exec-25#162 | http-nio-8080-exec-26#163</x:v>
      </x:c>
      <x:c r="R27" s="36" t="n">
        <x:v>0</x:v>
      </x:c>
      <x:c r="S27" s="44"/>
      <x:c r="T27" s="36" t="n">
        <x:v>0</x:v>
      </x:c>
      <x:c r="U27" s="44"/>
      <x:c r="V27" s="36" t="n">
        <x:v>0</x:v>
      </x:c>
      <x:c r="W27" s="44"/>
      <x:c r="X27" s="34" t="str">
        <x:v>no-post-undeploy-thread-signal</x:v>
      </x:c>
      <x:c r="Y27" s="44" t="str">
        <x:v>automated signatures are JCS-specific; all other candidate application threads remain unattributed and ownership requires the archived full dump</x:v>
      </x:c>
    </x:row>
    <x:row r="28">
      <x:c r="A28" s="34" t="str">
        <x:v>article1-unified-v4-2-fb3f101b-20260903-000401-default-f01-p2-ehcache</x:v>
      </x:c>
      <x:c r="B28" s="34" t="str">
        <x:v>default</x:v>
      </x:c>
      <x:c r="C28" s="34" t="str">
        <x:v>ehcache</x:v>
      </x:c>
      <x:c r="D28" s="36" t="n">
        <x:v>1</x:v>
      </x:c>
      <x:c r="E28" s="36" t="n">
        <x:v>1</x:v>
      </x:c>
      <x:c r="F28" s="36" t="n">
        <x:v>2</x:v>
      </x:c>
      <x:c r="G28" s="36" t="n">
        <x:v>2</x:v>
      </x:c>
      <x:c r="H28" s="34" t="str">
        <x:v>finalUndeployThreadEvidenceEarly</x:v>
      </x:c>
      <x:c r="I28" s="36" t="n">
        <x:v>2</x:v>
      </x:c>
      <x:c r="J28" s="34" t="str">
        <x:v>early</x:v>
      </x:c>
      <x:c r="K28" s="36" t="n">
        <x:v>27</x:v>
      </x:c>
      <x:c r="L28" s="51" t="n">
        <x:v>0</x:v>
      </x:c>
      <x:c r="M28" s="51" t="n">
        <x:v>0</x:v>
      </x:c>
      <x:c r="N28" s="36" t="n">
        <x:v>9</x:v>
      </x:c>
      <x:c r="O28" s="44" t="str">
        <x:v>http-nio-8080-exec-24#161 | http-nio-8080-exec-25#162 | http-nio-8080-exec-26#163 | http-nio-8080-exec-27#166 | http-nio-8080-exec-28#167 | http-nio-8080-exec-29#168 | http-nio-8080-exec-30#201 | http-nio-8080-exec-31#202 | http-nio-8080-exec-32#203</x:v>
      </x:c>
      <x:c r="P28" s="36" t="n">
        <x:v>9</x:v>
      </x:c>
      <x:c r="Q28" s="44" t="str">
        <x:v>http-nio-8080-exec-24#161 | http-nio-8080-exec-25#162 | http-nio-8080-exec-26#163 | http-nio-8080-exec-27#166 | http-nio-8080-exec-28#167 | http-nio-8080-exec-29#168 | http-nio-8080-exec-30#201 | http-nio-8080-exec-31#202 | http-nio-8080-exec-32#203</x:v>
      </x:c>
      <x:c r="R28" s="36" t="n">
        <x:v>0</x:v>
      </x:c>
      <x:c r="S28" s="44"/>
      <x:c r="T28" s="36" t="n">
        <x:v>0</x:v>
      </x:c>
      <x:c r="U28" s="44"/>
      <x:c r="V28" s="36" t="n">
        <x:v>0</x:v>
      </x:c>
      <x:c r="W28" s="44"/>
      <x:c r="X28" s="34" t="str">
        <x:v>no-post-undeploy-thread-signal</x:v>
      </x:c>
      <x:c r="Y28" s="44" t="str">
        <x:v>automated signatures are JCS-specific; all other candidate application threads remain unattributed and ownership requires the archived full dump</x:v>
      </x:c>
    </x:row>
    <x:row r="29">
      <x:c r="A29" s="34" t="str">
        <x:v>article1-unified-v4-2-fb3f101b-20260903-000401-default-f01-p2-ehcache</x:v>
      </x:c>
      <x:c r="B29" s="34" t="str">
        <x:v>default</x:v>
      </x:c>
      <x:c r="C29" s="34" t="str">
        <x:v>ehcache</x:v>
      </x:c>
      <x:c r="D29" s="36" t="n">
        <x:v>1</x:v>
      </x:c>
      <x:c r="E29" s="36" t="n">
        <x:v>1</x:v>
      </x:c>
      <x:c r="F29" s="36" t="n">
        <x:v>2</x:v>
      </x:c>
      <x:c r="G29" s="36" t="n">
        <x:v>2</x:v>
      </x:c>
      <x:c r="H29" s="34" t="str">
        <x:v>finalUndeployThreadEvidenceFinal</x:v>
      </x:c>
      <x:c r="I29" s="36" t="n">
        <x:v>2</x:v>
      </x:c>
      <x:c r="J29" s="34" t="str">
        <x:v>final</x:v>
      </x:c>
      <x:c r="K29" s="36" t="n">
        <x:v>27</x:v>
      </x:c>
      <x:c r="L29" s="51" t="n">
        <x:v>0</x:v>
      </x:c>
      <x:c r="M29" s="51" t="n">
        <x:v>0</x:v>
      </x:c>
      <x:c r="N29" s="36" t="n">
        <x:v>9</x:v>
      </x:c>
      <x:c r="O29" s="44" t="str">
        <x:v>http-nio-8080-exec-24#161 | http-nio-8080-exec-25#162 | http-nio-8080-exec-26#163 | http-nio-8080-exec-28#167 | http-nio-8080-exec-29#168 | http-nio-8080-exec-30#201 | http-nio-8080-exec-31#202 | http-nio-8080-exec-32#203 | http-nio-8080-exec-33#204</x:v>
      </x:c>
      <x:c r="P29" s="36" t="n">
        <x:v>9</x:v>
      </x:c>
      <x:c r="Q29" s="44" t="str">
        <x:v>http-nio-8080-exec-24#161 | http-nio-8080-exec-25#162 | http-nio-8080-exec-26#163 | http-nio-8080-exec-28#167 | http-nio-8080-exec-29#168 | http-nio-8080-exec-30#201 | http-nio-8080-exec-31#202 | http-nio-8080-exec-32#203 | http-nio-8080-exec-33#204</x:v>
      </x:c>
      <x:c r="R29" s="36" t="n">
        <x:v>0</x:v>
      </x:c>
      <x:c r="S29" s="44"/>
      <x:c r="T29" s="36" t="n">
        <x:v>0</x:v>
      </x:c>
      <x:c r="U29" s="44"/>
      <x:c r="V29" s="36" t="n">
        <x:v>0</x:v>
      </x:c>
      <x:c r="W29" s="44"/>
      <x:c r="X29" s="34" t="str">
        <x:v>no-post-undeploy-thread-signal</x:v>
      </x:c>
      <x:c r="Y29" s="44" t="str">
        <x:v>automated signatures are JCS-specific; all other candidate application threads remain unattributed and ownership requires the archived full dump</x:v>
      </x:c>
    </x:row>
    <x:row r="30">
      <x:c r="A30" s="34" t="str">
        <x:v>article1-unified-v4-2-fb3f101b-20260903-000401-default-f01-p2-ehcache</x:v>
      </x:c>
      <x:c r="B30" s="34" t="str">
        <x:v>default</x:v>
      </x:c>
      <x:c r="C30" s="34" t="str">
        <x:v>ehcache</x:v>
      </x:c>
      <x:c r="D30" s="36" t="n">
        <x:v>1</x:v>
      </x:c>
      <x:c r="E30" s="36" t="n">
        <x:v>1</x:v>
      </x:c>
      <x:c r="F30" s="36" t="n">
        <x:v>2</x:v>
      </x:c>
      <x:c r="G30" s="36" t="n">
        <x:v>3</x:v>
      </x:c>
      <x:c r="H30" s="34" t="str">
        <x:v>firstUndeployThreadEvidenceEarly</x:v>
      </x:c>
      <x:c r="I30" s="36" t="n">
        <x:v>1</x:v>
      </x:c>
      <x:c r="J30" s="34" t="str">
        <x:v>early</x:v>
      </x:c>
      <x:c r="K30" s="36" t="n">
        <x:v>27</x:v>
      </x:c>
      <x:c r="L30" s="51" t="n">
        <x:v>0</x:v>
      </x:c>
      <x:c r="M30" s="51" t="n">
        <x:v>0</x:v>
      </x:c>
      <x:c r="N30" s="36" t="n">
        <x:v>9</x:v>
      </x:c>
      <x:c r="O30" s="44" t="str">
        <x:v>http-nio-8080-exec-24#161 | http-nio-8080-exec-30#201 | http-nio-8080-exec-31#202 | http-nio-8080-exec-33#204 | http-nio-8080-exec-34#207 | http-nio-8080-exec-35#208 | http-nio-8080-exec-36#241 | http-nio-8080-exec-37#242 | http-nio-8080-exec-38#243</x:v>
      </x:c>
      <x:c r="P30" s="36" t="n">
        <x:v>5</x:v>
      </x:c>
      <x:c r="Q30" s="44" t="str">
        <x:v>http-nio-8080-exec-34#207 | http-nio-8080-exec-35#208 | http-nio-8080-exec-36#241 | http-nio-8080-exec-37#242 | http-nio-8080-exec-38#243</x:v>
      </x:c>
      <x:c r="R30" s="36" t="n">
        <x:v>0</x:v>
      </x:c>
      <x:c r="S30" s="44"/>
      <x:c r="T30" s="36" t="n">
        <x:v>0</x:v>
      </x:c>
      <x:c r="U30" s="44"/>
      <x:c r="V30" s="36" t="n">
        <x:v>0</x:v>
      </x:c>
      <x:c r="W30" s="44"/>
      <x:c r="X30" s="34" t="str">
        <x:v>no-post-undeploy-thread-signal</x:v>
      </x:c>
      <x:c r="Y30" s="44" t="str">
        <x:v>automated signatures are JCS-specific; all other candidate application threads remain unattributed and ownership requires the archived full dump</x:v>
      </x:c>
    </x:row>
    <x:row r="31">
      <x:c r="A31" s="34" t="str">
        <x:v>article1-unified-v4-2-fb3f101b-20260903-000401-default-f01-p2-ehcache</x:v>
      </x:c>
      <x:c r="B31" s="34" t="str">
        <x:v>default</x:v>
      </x:c>
      <x:c r="C31" s="34" t="str">
        <x:v>ehcache</x:v>
      </x:c>
      <x:c r="D31" s="36" t="n">
        <x:v>1</x:v>
      </x:c>
      <x:c r="E31" s="36" t="n">
        <x:v>1</x:v>
      </x:c>
      <x:c r="F31" s="36" t="n">
        <x:v>2</x:v>
      </x:c>
      <x:c r="G31" s="36" t="n">
        <x:v>3</x:v>
      </x:c>
      <x:c r="H31" s="34" t="str">
        <x:v>firstUndeployThreadEvidenceFinal</x:v>
      </x:c>
      <x:c r="I31" s="36" t="n">
        <x:v>1</x:v>
      </x:c>
      <x:c r="J31" s="34" t="str">
        <x:v>final</x:v>
      </x:c>
      <x:c r="K31" s="36" t="n">
        <x:v>27</x:v>
      </x:c>
      <x:c r="L31" s="51" t="n">
        <x:v>0</x:v>
      </x:c>
      <x:c r="M31" s="51" t="n">
        <x:v>0</x:v>
      </x:c>
      <x:c r="N31" s="36" t="n">
        <x:v>9</x:v>
      </x:c>
      <x:c r="O31" s="44" t="str">
        <x:v>http-nio-8080-exec-24#161 | http-nio-8080-exec-30#201 | http-nio-8080-exec-31#202 | http-nio-8080-exec-34#207 | http-nio-8080-exec-35#208 | http-nio-8080-exec-36#241 | http-nio-8080-exec-37#242 | http-nio-8080-exec-38#243 | http-nio-8080-exec-39#244</x:v>
      </x:c>
      <x:c r="P31" s="36" t="n">
        <x:v>6</x:v>
      </x:c>
      <x:c r="Q31" s="44" t="str">
        <x:v>http-nio-8080-exec-34#207 | http-nio-8080-exec-35#208 | http-nio-8080-exec-36#241 | http-nio-8080-exec-37#242 | http-nio-8080-exec-38#243 | http-nio-8080-exec-39#244</x:v>
      </x:c>
      <x:c r="R31" s="36" t="n">
        <x:v>0</x:v>
      </x:c>
      <x:c r="S31" s="44"/>
      <x:c r="T31" s="36" t="n">
        <x:v>0</x:v>
      </x:c>
      <x:c r="U31" s="44"/>
      <x:c r="V31" s="36" t="n">
        <x:v>0</x:v>
      </x:c>
      <x:c r="W31" s="44"/>
      <x:c r="X31" s="34" t="str">
        <x:v>no-post-undeploy-thread-signal</x:v>
      </x:c>
      <x:c r="Y31" s="44" t="str">
        <x:v>automated signatures are JCS-specific; all other candidate application threads remain unattributed and ownership requires the archived full dump</x:v>
      </x:c>
    </x:row>
    <x:row r="32">
      <x:c r="A32" s="34" t="str">
        <x:v>article1-unified-v4-2-fb3f101b-20260903-000401-default-f01-p2-ehcache</x:v>
      </x:c>
      <x:c r="B32" s="34" t="str">
        <x:v>default</x:v>
      </x:c>
      <x:c r="C32" s="34" t="str">
        <x:v>ehcache</x:v>
      </x:c>
      <x:c r="D32" s="36" t="n">
        <x:v>1</x:v>
      </x:c>
      <x:c r="E32" s="36" t="n">
        <x:v>1</x:v>
      </x:c>
      <x:c r="F32" s="36" t="n">
        <x:v>2</x:v>
      </x:c>
      <x:c r="G32" s="36" t="n">
        <x:v>3</x:v>
      </x:c>
      <x:c r="H32" s="34" t="str">
        <x:v>finalUndeployThreadEvidenceEarly</x:v>
      </x:c>
      <x:c r="I32" s="36" t="n">
        <x:v>2</x:v>
      </x:c>
      <x:c r="J32" s="34" t="str">
        <x:v>early</x:v>
      </x:c>
      <x:c r="K32" s="36" t="n">
        <x:v>27</x:v>
      </x:c>
      <x:c r="L32" s="51" t="n">
        <x:v>0</x:v>
      </x:c>
      <x:c r="M32" s="51" t="n">
        <x:v>0</x:v>
      </x:c>
      <x:c r="N32" s="36" t="n">
        <x:v>10</x:v>
      </x:c>
      <x:c r="O32" s="44" t="str">
        <x:v>http-nio-8080-exec-30#201 | http-nio-8080-exec-31#202 | http-nio-8080-exec-37#242 | http-nio-8080-exec-38#243 | http-nio-8080-exec-39#244 | http-nio-8080-exec-40#247 | http-nio-8080-exec-42#249 | http-nio-8080-exec-43#282 | http-nio-8080-exec-44#283 | http-nio-8080-exec-45#284</x:v>
      </x:c>
      <x:c r="P32" s="36" t="n">
        <x:v>8</x:v>
      </x:c>
      <x:c r="Q32" s="44" t="str">
        <x:v>http-nio-8080-exec-37#242 | http-nio-8080-exec-38#243 | http-nio-8080-exec-39#244 | http-nio-8080-exec-40#247 | http-nio-8080-exec-42#249 | http-nio-8080-exec-43#282 | http-nio-8080-exec-44#283 | http-nio-8080-exec-45#284</x:v>
      </x:c>
      <x:c r="R32" s="36" t="n">
        <x:v>0</x:v>
      </x:c>
      <x:c r="S32" s="44"/>
      <x:c r="T32" s="36" t="n">
        <x:v>0</x:v>
      </x:c>
      <x:c r="U32" s="44"/>
      <x:c r="V32" s="36" t="n">
        <x:v>0</x:v>
      </x:c>
      <x:c r="W32" s="44"/>
      <x:c r="X32" s="34" t="str">
        <x:v>no-post-undeploy-thread-signal</x:v>
      </x:c>
      <x:c r="Y32" s="44" t="str">
        <x:v>automated signatures are JCS-specific; all other candidate application threads remain unattributed and ownership requires the archived full dump</x:v>
      </x:c>
    </x:row>
    <x:row r="33">
      <x:c r="A33" s="34" t="str">
        <x:v>article1-unified-v4-2-fb3f101b-20260903-000401-default-f01-p2-ehcache</x:v>
      </x:c>
      <x:c r="B33" s="34" t="str">
        <x:v>default</x:v>
      </x:c>
      <x:c r="C33" s="34" t="str">
        <x:v>ehcache</x:v>
      </x:c>
      <x:c r="D33" s="36" t="n">
        <x:v>1</x:v>
      </x:c>
      <x:c r="E33" s="36" t="n">
        <x:v>1</x:v>
      </x:c>
      <x:c r="F33" s="36" t="n">
        <x:v>2</x:v>
      </x:c>
      <x:c r="G33" s="36" t="n">
        <x:v>3</x:v>
      </x:c>
      <x:c r="H33" s="34" t="str">
        <x:v>finalUndeployThreadEvidenceFinal</x:v>
      </x:c>
      <x:c r="I33" s="36" t="n">
        <x:v>2</x:v>
      </x:c>
      <x:c r="J33" s="34" t="str">
        <x:v>final</x:v>
      </x:c>
      <x:c r="K33" s="36" t="n">
        <x:v>27</x:v>
      </x:c>
      <x:c r="L33" s="51" t="n">
        <x:v>0</x:v>
      </x:c>
      <x:c r="M33" s="51" t="n">
        <x:v>0</x:v>
      </x:c>
      <x:c r="N33" s="36" t="n">
        <x:v>10</x:v>
      </x:c>
      <x:c r="O33" s="44" t="str">
        <x:v>http-nio-8080-exec-30#201 | http-nio-8080-exec-31#202 | http-nio-8080-exec-37#242 | http-nio-8080-exec-38#243 | http-nio-8080-exec-39#244 | http-nio-8080-exec-40#247 | http-nio-8080-exec-43#282 | http-nio-8080-exec-44#283 | http-nio-8080-exec-45#284 | http-nio-8080-exec-46#285</x:v>
      </x:c>
      <x:c r="P33" s="36" t="n">
        <x:v>8</x:v>
      </x:c>
      <x:c r="Q33" s="44" t="str">
        <x:v>http-nio-8080-exec-37#242 | http-nio-8080-exec-38#243 | http-nio-8080-exec-39#244 | http-nio-8080-exec-40#247 | http-nio-8080-exec-43#282 | http-nio-8080-exec-44#283 | http-nio-8080-exec-45#284 | http-nio-8080-exec-46#285</x:v>
      </x:c>
      <x:c r="R33" s="36" t="n">
        <x:v>0</x:v>
      </x:c>
      <x:c r="S33" s="44"/>
      <x:c r="T33" s="36" t="n">
        <x:v>0</x:v>
      </x:c>
      <x:c r="U33" s="44"/>
      <x:c r="V33" s="36" t="n">
        <x:v>0</x:v>
      </x:c>
      <x:c r="W33" s="44"/>
      <x:c r="X33" s="34" t="str">
        <x:v>no-post-undeploy-thread-signal</x:v>
      </x:c>
      <x:c r="Y33" s="44" t="str">
        <x:v>automated signatures are JCS-specific; all other candidate application threads remain unattributed and ownership requires the archived full dump</x:v>
      </x:c>
    </x:row>
    <x:row r="34">
      <x:c r="A34" s="34" t="str">
        <x:v>article1-unified-v4-2-fb3f101b-20260903-000401-default-f01-p2-ehcache</x:v>
      </x:c>
      <x:c r="B34" s="34" t="str">
        <x:v>default</x:v>
      </x:c>
      <x:c r="C34" s="34" t="str">
        <x:v>ehcache</x:v>
      </x:c>
      <x:c r="D34" s="36" t="n">
        <x:v>1</x:v>
      </x:c>
      <x:c r="E34" s="36" t="n">
        <x:v>1</x:v>
      </x:c>
      <x:c r="F34" s="36" t="n">
        <x:v>2</x:v>
      </x:c>
      <x:c r="G34" s="36" t="n">
        <x:v>4</x:v>
      </x:c>
      <x:c r="H34" s="34" t="str">
        <x:v>firstUndeployThreadEvidenceEarly</x:v>
      </x:c>
      <x:c r="I34" s="36" t="n">
        <x:v>1</x:v>
      </x:c>
      <x:c r="J34" s="34" t="str">
        <x:v>early</x:v>
      </x:c>
      <x:c r="K34" s="36" t="n">
        <x:v>27</x:v>
      </x:c>
      <x:c r="L34" s="51" t="n">
        <x:v>0</x:v>
      </x:c>
      <x:c r="M34" s="51" t="n">
        <x:v>0</x:v>
      </x:c>
      <x:c r="N34" s="36" t="n">
        <x:v>10</x:v>
      </x:c>
      <x:c r="O34" s="44" t="str">
        <x:v>http-nio-8080-exec-31#202 | http-nio-8080-exec-43#282 | http-nio-8080-exec-44#283 | http-nio-8080-exec-45#284 | http-nio-8080-exec-46#285 | http-nio-8080-exec-47#288 | http-nio-8080-exec-48#289 | http-nio-8080-exec-49#322 | http-nio-8080-exec-50#323 | http-nio-8080-exec-51#324</x:v>
      </x:c>
      <x:c r="P34" s="36" t="n">
        <x:v>5</x:v>
      </x:c>
      <x:c r="Q34" s="44" t="str">
        <x:v>http-nio-8080-exec-47#288 | http-nio-8080-exec-48#289 | http-nio-8080-exec-49#322 | http-nio-8080-exec-50#323 | http-nio-8080-exec-51#324</x:v>
      </x:c>
      <x:c r="R34" s="36" t="n">
        <x:v>0</x:v>
      </x:c>
      <x:c r="S34" s="44"/>
      <x:c r="T34" s="36" t="n">
        <x:v>0</x:v>
      </x:c>
      <x:c r="U34" s="44"/>
      <x:c r="V34" s="36" t="n">
        <x:v>0</x:v>
      </x:c>
      <x:c r="W34" s="44"/>
      <x:c r="X34" s="34" t="str">
        <x:v>no-post-undeploy-thread-signal</x:v>
      </x:c>
      <x:c r="Y34" s="44" t="str">
        <x:v>automated signatures are JCS-specific; all other candidate application threads remain unattributed and ownership requires the archived full dump</x:v>
      </x:c>
    </x:row>
    <x:row r="35">
      <x:c r="A35" s="34" t="str">
        <x:v>article1-unified-v4-2-fb3f101b-20260903-000401-default-f01-p2-ehcache</x:v>
      </x:c>
      <x:c r="B35" s="34" t="str">
        <x:v>default</x:v>
      </x:c>
      <x:c r="C35" s="34" t="str">
        <x:v>ehcache</x:v>
      </x:c>
      <x:c r="D35" s="36" t="n">
        <x:v>1</x:v>
      </x:c>
      <x:c r="E35" s="36" t="n">
        <x:v>1</x:v>
      </x:c>
      <x:c r="F35" s="36" t="n">
        <x:v>2</x:v>
      </x:c>
      <x:c r="G35" s="36" t="n">
        <x:v>4</x:v>
      </x:c>
      <x:c r="H35" s="34" t="str">
        <x:v>firstUndeployThreadEvidenceFinal</x:v>
      </x:c>
      <x:c r="I35" s="36" t="n">
        <x:v>1</x:v>
      </x:c>
      <x:c r="J35" s="34" t="str">
        <x:v>final</x:v>
      </x:c>
      <x:c r="K35" s="36" t="n">
        <x:v>27</x:v>
      </x:c>
      <x:c r="L35" s="51" t="n">
        <x:v>0</x:v>
      </x:c>
      <x:c r="M35" s="51" t="n">
        <x:v>0</x:v>
      </x:c>
      <x:c r="N35" s="36" t="n">
        <x:v>10</x:v>
      </x:c>
      <x:c r="O35" s="44" t="str">
        <x:v>http-nio-8080-exec-31#202 | http-nio-8080-exec-43#282 | http-nio-8080-exec-45#284 | http-nio-8080-exec-46#285 | http-nio-8080-exec-47#288 | http-nio-8080-exec-48#289 | http-nio-8080-exec-49#322 | http-nio-8080-exec-50#323 | http-nio-8080-exec-51#324 | http-nio-8080-exec-52#325</x:v>
      </x:c>
      <x:c r="P35" s="36" t="n">
        <x:v>6</x:v>
      </x:c>
      <x:c r="Q35" s="44" t="str">
        <x:v>http-nio-8080-exec-47#288 | http-nio-8080-exec-48#289 | http-nio-8080-exec-49#322 | http-nio-8080-exec-50#323 | http-nio-8080-exec-51#324 | http-nio-8080-exec-52#325</x:v>
      </x:c>
      <x:c r="R35" s="36" t="n">
        <x:v>0</x:v>
      </x:c>
      <x:c r="S35" s="44"/>
      <x:c r="T35" s="36" t="n">
        <x:v>0</x:v>
      </x:c>
      <x:c r="U35" s="44"/>
      <x:c r="V35" s="36" t="n">
        <x:v>0</x:v>
      </x:c>
      <x:c r="W35" s="44"/>
      <x:c r="X35" s="34" t="str">
        <x:v>no-post-undeploy-thread-signal</x:v>
      </x:c>
      <x:c r="Y35" s="44" t="str">
        <x:v>automated signatures are JCS-specific; all other candidate application threads remain unattributed and ownership requires the archived full dump</x:v>
      </x:c>
    </x:row>
    <x:row r="36">
      <x:c r="A36" s="34" t="str">
        <x:v>article1-unified-v4-2-fb3f101b-20260903-000401-default-f01-p2-ehcache</x:v>
      </x:c>
      <x:c r="B36" s="34" t="str">
        <x:v>default</x:v>
      </x:c>
      <x:c r="C36" s="34" t="str">
        <x:v>ehcache</x:v>
      </x:c>
      <x:c r="D36" s="36" t="n">
        <x:v>1</x:v>
      </x:c>
      <x:c r="E36" s="36" t="n">
        <x:v>1</x:v>
      </x:c>
      <x:c r="F36" s="36" t="n">
        <x:v>2</x:v>
      </x:c>
      <x:c r="G36" s="36" t="n">
        <x:v>4</x:v>
      </x:c>
      <x:c r="H36" s="34" t="str">
        <x:v>finalUndeployThreadEvidenceEarly</x:v>
      </x:c>
      <x:c r="I36" s="36" t="n">
        <x:v>2</x:v>
      </x:c>
      <x:c r="J36" s="34" t="str">
        <x:v>early</x:v>
      </x:c>
      <x:c r="K36" s="36" t="n">
        <x:v>27</x:v>
      </x:c>
      <x:c r="L36" s="51" t="n">
        <x:v>0</x:v>
      </x:c>
      <x:c r="M36" s="51" t="n">
        <x:v>0</x:v>
      </x:c>
      <x:c r="N36" s="36" t="n">
        <x:v>10</x:v>
      </x:c>
      <x:c r="O36" s="44" t="str">
        <x:v>http-nio-8080-exec-48#289 | http-nio-8080-exec-50#323 | http-nio-8080-exec-51#324 | http-nio-8080-exec-52#325 | http-nio-8080-exec-53#328 | http-nio-8080-exec-54#329 | http-nio-8080-exec-55#330 | http-nio-8080-exec-56#363 | http-nio-8080-exec-57#364 | http-nio-8080-exec-58#365</x:v>
      </x:c>
      <x:c r="P36" s="36" t="n">
        <x:v>10</x:v>
      </x:c>
      <x:c r="Q36" s="44" t="str">
        <x:v>http-nio-8080-exec-48#289 | http-nio-8080-exec-50#323 | http-nio-8080-exec-51#324 | http-nio-8080-exec-52#325 | http-nio-8080-exec-53#328 | http-nio-8080-exec-54#329 | http-nio-8080-exec-55#330 | http-nio-8080-exec-56#363 | http-nio-8080-exec-57#364 | http-nio-8080-exec-58#365</x:v>
      </x:c>
      <x:c r="R36" s="36" t="n">
        <x:v>0</x:v>
      </x:c>
      <x:c r="S36" s="44"/>
      <x:c r="T36" s="36" t="n">
        <x:v>0</x:v>
      </x:c>
      <x:c r="U36" s="44"/>
      <x:c r="V36" s="36" t="n">
        <x:v>0</x:v>
      </x:c>
      <x:c r="W36" s="44"/>
      <x:c r="X36" s="34" t="str">
        <x:v>no-post-undeploy-thread-signal</x:v>
      </x:c>
      <x:c r="Y36" s="44" t="str">
        <x:v>automated signatures are JCS-specific; all other candidate application threads remain unattributed and ownership requires the archived full dump</x:v>
      </x:c>
    </x:row>
    <x:row r="37">
      <x:c r="A37" s="34" t="str">
        <x:v>article1-unified-v4-2-fb3f101b-20260903-000401-default-f01-p2-ehcache</x:v>
      </x:c>
      <x:c r="B37" s="34" t="str">
        <x:v>default</x:v>
      </x:c>
      <x:c r="C37" s="34" t="str">
        <x:v>ehcache</x:v>
      </x:c>
      <x:c r="D37" s="36" t="n">
        <x:v>1</x:v>
      </x:c>
      <x:c r="E37" s="36" t="n">
        <x:v>1</x:v>
      </x:c>
      <x:c r="F37" s="36" t="n">
        <x:v>2</x:v>
      </x:c>
      <x:c r="G37" s="36" t="n">
        <x:v>4</x:v>
      </x:c>
      <x:c r="H37" s="34" t="str">
        <x:v>finalUndeployThreadEvidenceFinal</x:v>
      </x:c>
      <x:c r="I37" s="36" t="n">
        <x:v>2</x:v>
      </x:c>
      <x:c r="J37" s="34" t="str">
        <x:v>final</x:v>
      </x:c>
      <x:c r="K37" s="36" t="n">
        <x:v>27</x:v>
      </x:c>
      <x:c r="L37" s="51" t="n">
        <x:v>0</x:v>
      </x:c>
      <x:c r="M37" s="51" t="n">
        <x:v>0</x:v>
      </x:c>
      <x:c r="N37" s="36" t="n">
        <x:v>10</x:v>
      </x:c>
      <x:c r="O37" s="44" t="str">
        <x:v>http-nio-8080-exec-50#323 | http-nio-8080-exec-51#324 | http-nio-8080-exec-52#325 | http-nio-8080-exec-53#328 | http-nio-8080-exec-54#329 | http-nio-8080-exec-55#330 | http-nio-8080-exec-56#363 | http-nio-8080-exec-57#364 | http-nio-8080-exec-58#365 | http-nio-8080-exec-59#366</x:v>
      </x:c>
      <x:c r="P37" s="36" t="n">
        <x:v>10</x:v>
      </x:c>
      <x:c r="Q37" s="44" t="str">
        <x:v>http-nio-8080-exec-50#323 | http-nio-8080-exec-51#324 | http-nio-8080-exec-52#325 | http-nio-8080-exec-53#328 | http-nio-8080-exec-54#329 | http-nio-8080-exec-55#330 | http-nio-8080-exec-56#363 | http-nio-8080-exec-57#364 | http-nio-8080-exec-58#365 | http-nio-8080-exec-59#366</x:v>
      </x:c>
      <x:c r="R37" s="36" t="n">
        <x:v>0</x:v>
      </x:c>
      <x:c r="S37" s="44"/>
      <x:c r="T37" s="36" t="n">
        <x:v>0</x:v>
      </x:c>
      <x:c r="U37" s="44"/>
      <x:c r="V37" s="36" t="n">
        <x:v>0</x:v>
      </x:c>
      <x:c r="W37" s="44"/>
      <x:c r="X37" s="34" t="str">
        <x:v>no-post-undeploy-thread-signal</x:v>
      </x:c>
      <x:c r="Y37" s="44" t="str">
        <x:v>automated signatures are JCS-specific; all other candidate application threads remain unattributed and ownership requires the archived full dump</x:v>
      </x:c>
    </x:row>
    <x:row r="38">
      <x:c r="A38" s="34" t="str">
        <x:v>article1-unified-v4-2-fb3f101b-20260903-000401-default-f01-p2-ehcache</x:v>
      </x:c>
      <x:c r="B38" s="34" t="str">
        <x:v>default</x:v>
      </x:c>
      <x:c r="C38" s="34" t="str">
        <x:v>ehcache</x:v>
      </x:c>
      <x:c r="D38" s="36" t="n">
        <x:v>1</x:v>
      </x:c>
      <x:c r="E38" s="36" t="n">
        <x:v>1</x:v>
      </x:c>
      <x:c r="F38" s="36" t="n">
        <x:v>2</x:v>
      </x:c>
      <x:c r="G38" s="36" t="n">
        <x:v>5</x:v>
      </x:c>
      <x:c r="H38" s="34" t="str">
        <x:v>firstUndeployThreadEvidenceEarly</x:v>
      </x:c>
      <x:c r="I38" s="36" t="n">
        <x:v>1</x:v>
      </x:c>
      <x:c r="J38" s="34" t="str">
        <x:v>early</x:v>
      </x:c>
      <x:c r="K38" s="36" t="n">
        <x:v>27</x:v>
      </x:c>
      <x:c r="L38" s="51" t="n">
        <x:v>0</x:v>
      </x:c>
      <x:c r="M38" s="51" t="n">
        <x:v>0</x:v>
      </x:c>
      <x:c r="N38" s="36" t="n">
        <x:v>10</x:v>
      </x:c>
      <x:c r="O38" s="44" t="str">
        <x:v>http-nio-8080-exec-51#324 | http-nio-8080-exec-52#325 | http-nio-8080-exec-56#363 | http-nio-8080-exec-58#365 | http-nio-8080-exec-59#366 | http-nio-8080-exec-60#369 | http-nio-8080-exec-61#370 | http-nio-8080-exec-62#403 | http-nio-8080-exec-63#404 | http-nio-8080-exec-64#405</x:v>
      </x:c>
      <x:c r="P38" s="36" t="n">
        <x:v>5</x:v>
      </x:c>
      <x:c r="Q38" s="44" t="str">
        <x:v>http-nio-8080-exec-60#369 | http-nio-8080-exec-61#370 | http-nio-8080-exec-62#403 | http-nio-8080-exec-63#404 | http-nio-8080-exec-64#405</x:v>
      </x:c>
      <x:c r="R38" s="36" t="n">
        <x:v>0</x:v>
      </x:c>
      <x:c r="S38" s="44"/>
      <x:c r="T38" s="36" t="n">
        <x:v>0</x:v>
      </x:c>
      <x:c r="U38" s="44"/>
      <x:c r="V38" s="36" t="n">
        <x:v>0</x:v>
      </x:c>
      <x:c r="W38" s="44"/>
      <x:c r="X38" s="34" t="str">
        <x:v>no-post-undeploy-thread-signal</x:v>
      </x:c>
      <x:c r="Y38" s="44" t="str">
        <x:v>automated signatures are JCS-specific; all other candidate application threads remain unattributed and ownership requires the archived full dump</x:v>
      </x:c>
    </x:row>
    <x:row r="39">
      <x:c r="A39" s="34" t="str">
        <x:v>article1-unified-v4-2-fb3f101b-20260903-000401-default-f01-p2-ehcache</x:v>
      </x:c>
      <x:c r="B39" s="34" t="str">
        <x:v>default</x:v>
      </x:c>
      <x:c r="C39" s="34" t="str">
        <x:v>ehcache</x:v>
      </x:c>
      <x:c r="D39" s="36" t="n">
        <x:v>1</x:v>
      </x:c>
      <x:c r="E39" s="36" t="n">
        <x:v>1</x:v>
      </x:c>
      <x:c r="F39" s="36" t="n">
        <x:v>2</x:v>
      </x:c>
      <x:c r="G39" s="36" t="n">
        <x:v>5</x:v>
      </x:c>
      <x:c r="H39" s="34" t="str">
        <x:v>firstUndeployThreadEvidenceFinal</x:v>
      </x:c>
      <x:c r="I39" s="36" t="n">
        <x:v>1</x:v>
      </x:c>
      <x:c r="J39" s="34" t="str">
        <x:v>final</x:v>
      </x:c>
      <x:c r="K39" s="36" t="n">
        <x:v>27</x:v>
      </x:c>
      <x:c r="L39" s="51" t="n">
        <x:v>0</x:v>
      </x:c>
      <x:c r="M39" s="51" t="n">
        <x:v>0</x:v>
      </x:c>
      <x:c r="N39" s="36" t="n">
        <x:v>10</x:v>
      </x:c>
      <x:c r="O39" s="44" t="str">
        <x:v>http-nio-8080-exec-51#324 | http-nio-8080-exec-52#325 | http-nio-8080-exec-56#363 | http-nio-8080-exec-58#365 | http-nio-8080-exec-60#369 | http-nio-8080-exec-61#370 | http-nio-8080-exec-62#403 | http-nio-8080-exec-63#404 | http-nio-8080-exec-64#405 | http-nio-8080-exec-65#406</x:v>
      </x:c>
      <x:c r="P39" s="36" t="n">
        <x:v>6</x:v>
      </x:c>
      <x:c r="Q39" s="44" t="str">
        <x:v>http-nio-8080-exec-60#369 | http-nio-8080-exec-61#370 | http-nio-8080-exec-62#403 | http-nio-8080-exec-63#404 | http-nio-8080-exec-64#405 | http-nio-8080-exec-65#406</x:v>
      </x:c>
      <x:c r="R39" s="36" t="n">
        <x:v>0</x:v>
      </x:c>
      <x:c r="S39" s="44"/>
      <x:c r="T39" s="36" t="n">
        <x:v>0</x:v>
      </x:c>
      <x:c r="U39" s="44"/>
      <x:c r="V39" s="36" t="n">
        <x:v>0</x:v>
      </x:c>
      <x:c r="W39" s="44"/>
      <x:c r="X39" s="34" t="str">
        <x:v>no-post-undeploy-thread-signal</x:v>
      </x:c>
      <x:c r="Y39" s="44" t="str">
        <x:v>automated signatures are JCS-specific; all other candidate application threads remain unattributed and ownership requires the archived full dump</x:v>
      </x:c>
    </x:row>
    <x:row r="40">
      <x:c r="A40" s="34" t="str">
        <x:v>article1-unified-v4-2-fb3f101b-20260903-000401-default-f01-p2-ehcache</x:v>
      </x:c>
      <x:c r="B40" s="34" t="str">
        <x:v>default</x:v>
      </x:c>
      <x:c r="C40" s="34" t="str">
        <x:v>ehcache</x:v>
      </x:c>
      <x:c r="D40" s="36" t="n">
        <x:v>1</x:v>
      </x:c>
      <x:c r="E40" s="36" t="n">
        <x:v>1</x:v>
      </x:c>
      <x:c r="F40" s="36" t="n">
        <x:v>2</x:v>
      </x:c>
      <x:c r="G40" s="36" t="n">
        <x:v>5</x:v>
      </x:c>
      <x:c r="H40" s="34" t="str">
        <x:v>finalUndeployThreadEvidenceEarly</x:v>
      </x:c>
      <x:c r="I40" s="36" t="n">
        <x:v>2</x:v>
      </x:c>
      <x:c r="J40" s="34" t="str">
        <x:v>early</x:v>
      </x:c>
      <x:c r="K40" s="36" t="n">
        <x:v>27</x:v>
      </x:c>
      <x:c r="L40" s="51" t="n">
        <x:v>0</x:v>
      </x:c>
      <x:c r="M40" s="51" t="n">
        <x:v>0</x:v>
      </x:c>
      <x:c r="N40" s="36" t="n">
        <x:v>10</x:v>
      </x:c>
      <x:c r="O40" s="44" t="str">
        <x:v>http-nio-8080-exec-56#363 | http-nio-8080-exec-61#370 | http-nio-8080-exec-64#405 | http-nio-8080-exec-65#406 | http-nio-8080-exec-66#409 | http-nio-8080-exec-67#410 | http-nio-8080-exec-68#411 | http-nio-8080-exec-69#444 | http-nio-8080-exec-70#445 | http-nio-8080-exec-71#446</x:v>
      </x:c>
      <x:c r="P40" s="36" t="n">
        <x:v>9</x:v>
      </x:c>
      <x:c r="Q40" s="44" t="str">
        <x:v>http-nio-8080-exec-61#370 | http-nio-8080-exec-64#405 | http-nio-8080-exec-65#406 | http-nio-8080-exec-66#409 | http-nio-8080-exec-67#410 | http-nio-8080-exec-68#411 | http-nio-8080-exec-69#444 | http-nio-8080-exec-70#445 | http-nio-8080-exec-71#446</x:v>
      </x:c>
      <x:c r="R40" s="36" t="n">
        <x:v>0</x:v>
      </x:c>
      <x:c r="S40" s="44"/>
      <x:c r="T40" s="36" t="n">
        <x:v>0</x:v>
      </x:c>
      <x:c r="U40" s="44"/>
      <x:c r="V40" s="36" t="n">
        <x:v>0</x:v>
      </x:c>
      <x:c r="W40" s="44"/>
      <x:c r="X40" s="34" t="str">
        <x:v>no-post-undeploy-thread-signal</x:v>
      </x:c>
      <x:c r="Y40" s="44" t="str">
        <x:v>automated signatures are JCS-specific; all other candidate application threads remain unattributed and ownership requires the archived full dump</x:v>
      </x:c>
    </x:row>
    <x:row r="41">
      <x:c r="A41" s="34" t="str">
        <x:v>article1-unified-v4-2-fb3f101b-20260903-000401-default-f01-p2-ehcache</x:v>
      </x:c>
      <x:c r="B41" s="34" t="str">
        <x:v>default</x:v>
      </x:c>
      <x:c r="C41" s="34" t="str">
        <x:v>ehcache</x:v>
      </x:c>
      <x:c r="D41" s="36" t="n">
        <x:v>1</x:v>
      </x:c>
      <x:c r="E41" s="36" t="n">
        <x:v>1</x:v>
      </x:c>
      <x:c r="F41" s="36" t="n">
        <x:v>2</x:v>
      </x:c>
      <x:c r="G41" s="36" t="n">
        <x:v>5</x:v>
      </x:c>
      <x:c r="H41" s="34" t="str">
        <x:v>finalUndeployThreadEvidenceFinal</x:v>
      </x:c>
      <x:c r="I41" s="36" t="n">
        <x:v>2</x:v>
      </x:c>
      <x:c r="J41" s="34" t="str">
        <x:v>final</x:v>
      </x:c>
      <x:c r="K41" s="36" t="n">
        <x:v>27</x:v>
      </x:c>
      <x:c r="L41" s="51" t="n">
        <x:v>0</x:v>
      </x:c>
      <x:c r="M41" s="51" t="n">
        <x:v>0</x:v>
      </x:c>
      <x:c r="N41" s="36" t="n">
        <x:v>10</x:v>
      </x:c>
      <x:c r="O41" s="44" t="str">
        <x:v>http-nio-8080-exec-56#363 | http-nio-8080-exec-61#370 | http-nio-8080-exec-65#406 | http-nio-8080-exec-66#409 | http-nio-8080-exec-67#410 | http-nio-8080-exec-68#411 | http-nio-8080-exec-69#444 | http-nio-8080-exec-70#445 | http-nio-8080-exec-71#446 | http-nio-8080-exec-72#447</x:v>
      </x:c>
      <x:c r="P41" s="36" t="n">
        <x:v>9</x:v>
      </x:c>
      <x:c r="Q41" s="44" t="str">
        <x:v>http-nio-8080-exec-61#370 | http-nio-8080-exec-65#406 | http-nio-8080-exec-66#409 | http-nio-8080-exec-67#410 | http-nio-8080-exec-68#411 | http-nio-8080-exec-69#444 | http-nio-8080-exec-70#445 | http-nio-8080-exec-71#446 | http-nio-8080-exec-72#447</x:v>
      </x:c>
      <x:c r="R41" s="36" t="n">
        <x:v>0</x:v>
      </x:c>
      <x:c r="S41" s="44"/>
      <x:c r="T41" s="36" t="n">
        <x:v>0</x:v>
      </x:c>
      <x:c r="U41" s="44"/>
      <x:c r="V41" s="36" t="n">
        <x:v>0</x:v>
      </x:c>
      <x:c r="W41" s="44"/>
      <x:c r="X41" s="34" t="str">
        <x:v>no-post-undeploy-thread-signal</x:v>
      </x:c>
      <x:c r="Y41" s="44" t="str">
        <x:v>automated signatures are JCS-specific; all other candidate application threads remain unattributed and ownership requires the archived full dump</x:v>
      </x:c>
    </x:row>
    <x:row r="42">
      <x:c r="A42" s="34" t="str">
        <x:v>article1-unified-v4-2-fb3f101b-20260903-000401-default-f01-p3-nostore</x:v>
      </x:c>
      <x:c r="B42" s="34" t="str">
        <x:v>default</x:v>
      </x:c>
      <x:c r="C42" s="34" t="str">
        <x:v>nostore</x:v>
      </x:c>
      <x:c r="D42" s="36" t="n">
        <x:v>1</x:v>
      </x:c>
      <x:c r="E42" s="36" t="n">
        <x:v>1</x:v>
      </x:c>
      <x:c r="F42" s="36" t="n">
        <x:v>3</x:v>
      </x:c>
      <x:c r="G42" s="36" t="n">
        <x:v>1</x:v>
      </x:c>
      <x:c r="H42" s="34" t="str">
        <x:v>firstUndeployThreadEvidenceEarly</x:v>
      </x:c>
      <x:c r="I42" s="36" t="n">
        <x:v>1</x:v>
      </x:c>
      <x:c r="J42" s="34" t="str">
        <x:v>early</x:v>
      </x:c>
      <x:c r="K42" s="36" t="n">
        <x:v>27</x:v>
      </x:c>
      <x:c r="L42" s="51" t="n">
        <x:v>0</x:v>
      </x:c>
      <x:c r="M42" s="51" t="n">
        <x:v>0</x:v>
      </x:c>
      <x:c r="N42" s="36" t="n">
        <x:v>2</x:v>
      </x:c>
      <x:c r="O42" s="44" t="str">
        <x:v>http-nio-8080-exec-11#80 | http-nio-8080-exec-12#81</x:v>
      </x:c>
      <x:c r="P42" s="36" t="n">
        <x:v>2</x:v>
      </x:c>
      <x:c r="Q42" s="44" t="str">
        <x:v>http-nio-8080-exec-11#80 | http-nio-8080-exec-12#81</x:v>
      </x:c>
      <x:c r="R42" s="36" t="n">
        <x:v>0</x:v>
      </x:c>
      <x:c r="S42" s="44"/>
      <x:c r="T42" s="36" t="n">
        <x:v>0</x:v>
      </x:c>
      <x:c r="U42" s="44"/>
      <x:c r="V42" s="36" t="n">
        <x:v>0</x:v>
      </x:c>
      <x:c r="W42" s="44"/>
      <x:c r="X42" s="34" t="str">
        <x:v>no-post-undeploy-thread-signal</x:v>
      </x:c>
      <x:c r="Y42" s="44" t="str">
        <x:v>automated signatures are JCS-specific; all other candidate application threads remain unattributed and ownership requires the archived full dump</x:v>
      </x:c>
    </x:row>
    <x:row r="43">
      <x:c r="A43" s="34" t="str">
        <x:v>article1-unified-v4-2-fb3f101b-20260903-000401-default-f01-p3-nostore</x:v>
      </x:c>
      <x:c r="B43" s="34" t="str">
        <x:v>default</x:v>
      </x:c>
      <x:c r="C43" s="34" t="str">
        <x:v>nostore</x:v>
      </x:c>
      <x:c r="D43" s="36" t="n">
        <x:v>1</x:v>
      </x:c>
      <x:c r="E43" s="36" t="n">
        <x:v>1</x:v>
      </x:c>
      <x:c r="F43" s="36" t="n">
        <x:v>3</x:v>
      </x:c>
      <x:c r="G43" s="36" t="n">
        <x:v>1</x:v>
      </x:c>
      <x:c r="H43" s="34" t="str">
        <x:v>firstUndeployThreadEvidenceFinal</x:v>
      </x:c>
      <x:c r="I43" s="36" t="n">
        <x:v>1</x:v>
      </x:c>
      <x:c r="J43" s="34" t="str">
        <x:v>final</x:v>
      </x:c>
      <x:c r="K43" s="36" t="n">
        <x:v>27</x:v>
      </x:c>
      <x:c r="L43" s="51" t="n">
        <x:v>0</x:v>
      </x:c>
      <x:c r="M43" s="51" t="n">
        <x:v>0</x:v>
      </x:c>
      <x:c r="N43" s="36" t="n">
        <x:v>3</x:v>
      </x:c>
      <x:c r="O43" s="44" t="str">
        <x:v>http-nio-8080-exec-11#80 | http-nio-8080-exec-12#81 | http-nio-8080-exec-13#82</x:v>
      </x:c>
      <x:c r="P43" s="36" t="n">
        <x:v>3</x:v>
      </x:c>
      <x:c r="Q43" s="44" t="str">
        <x:v>http-nio-8080-exec-11#80 | http-nio-8080-exec-12#81 | http-nio-8080-exec-13#82</x:v>
      </x:c>
      <x:c r="R43" s="36" t="n">
        <x:v>0</x:v>
      </x:c>
      <x:c r="S43" s="44"/>
      <x:c r="T43" s="36" t="n">
        <x:v>0</x:v>
      </x:c>
      <x:c r="U43" s="44"/>
      <x:c r="V43" s="36" t="n">
        <x:v>0</x:v>
      </x:c>
      <x:c r="W43" s="44"/>
      <x:c r="X43" s="34" t="str">
        <x:v>no-post-undeploy-thread-signal</x:v>
      </x:c>
      <x:c r="Y43" s="44" t="str">
        <x:v>automated signatures are JCS-specific; all other candidate application threads remain unattributed and ownership requires the archived full dump</x:v>
      </x:c>
    </x:row>
    <x:row r="44">
      <x:c r="A44" s="34" t="str">
        <x:v>article1-unified-v4-2-fb3f101b-20260903-000401-default-f01-p3-nostore</x:v>
      </x:c>
      <x:c r="B44" s="34" t="str">
        <x:v>default</x:v>
      </x:c>
      <x:c r="C44" s="34" t="str">
        <x:v>nostore</x:v>
      </x:c>
      <x:c r="D44" s="36" t="n">
        <x:v>1</x:v>
      </x:c>
      <x:c r="E44" s="36" t="n">
        <x:v>1</x:v>
      </x:c>
      <x:c r="F44" s="36" t="n">
        <x:v>3</x:v>
      </x:c>
      <x:c r="G44" s="36" t="n">
        <x:v>1</x:v>
      </x:c>
      <x:c r="H44" s="34" t="str">
        <x:v>finalUndeployThreadEvidenceEarly</x:v>
      </x:c>
      <x:c r="I44" s="36" t="n">
        <x:v>2</x:v>
      </x:c>
      <x:c r="J44" s="34" t="str">
        <x:v>early</x:v>
      </x:c>
      <x:c r="K44" s="36" t="n">
        <x:v>27</x:v>
      </x:c>
      <x:c r="L44" s="51" t="n">
        <x:v>0</x:v>
      </x:c>
      <x:c r="M44" s="51" t="n">
        <x:v>0</x:v>
      </x:c>
      <x:c r="N44" s="36" t="n">
        <x:v>8</x:v>
      </x:c>
      <x:c r="O44" s="44" t="str">
        <x:v>http-nio-8080-exec-12#81 | http-nio-8080-exec-13#82 | http-nio-8080-exec-14#85 | http-nio-8080-exec-15#86 | http-nio-8080-exec-16#87 | http-nio-8080-exec-17#120 | http-nio-8080-exec-18#121 | http-nio-8080-exec-19#122</x:v>
      </x:c>
      <x:c r="P44" s="36" t="n">
        <x:v>8</x:v>
      </x:c>
      <x:c r="Q44" s="44" t="str">
        <x:v>http-nio-8080-exec-12#81 | http-nio-8080-exec-13#82 | http-nio-8080-exec-14#85 | http-nio-8080-exec-15#86 | http-nio-8080-exec-16#87 | http-nio-8080-exec-17#120 | http-nio-8080-exec-18#121 | http-nio-8080-exec-19#122</x:v>
      </x:c>
      <x:c r="R44" s="36" t="n">
        <x:v>0</x:v>
      </x:c>
      <x:c r="S44" s="44"/>
      <x:c r="T44" s="36" t="n">
        <x:v>0</x:v>
      </x:c>
      <x:c r="U44" s="44"/>
      <x:c r="V44" s="36" t="n">
        <x:v>0</x:v>
      </x:c>
      <x:c r="W44" s="44"/>
      <x:c r="X44" s="34" t="str">
        <x:v>no-post-undeploy-thread-signal</x:v>
      </x:c>
      <x:c r="Y44" s="44" t="str">
        <x:v>automated signatures are JCS-specific; all other candidate application threads remain unattributed and ownership requires the archived full dump</x:v>
      </x:c>
    </x:row>
    <x:row r="45">
      <x:c r="A45" s="34" t="str">
        <x:v>article1-unified-v4-2-fb3f101b-20260903-000401-default-f01-p3-nostore</x:v>
      </x:c>
      <x:c r="B45" s="34" t="str">
        <x:v>default</x:v>
      </x:c>
      <x:c r="C45" s="34" t="str">
        <x:v>nostore</x:v>
      </x:c>
      <x:c r="D45" s="36" t="n">
        <x:v>1</x:v>
      </x:c>
      <x:c r="E45" s="36" t="n">
        <x:v>1</x:v>
      </x:c>
      <x:c r="F45" s="36" t="n">
        <x:v>3</x:v>
      </x:c>
      <x:c r="G45" s="36" t="n">
        <x:v>1</x:v>
      </x:c>
      <x:c r="H45" s="34" t="str">
        <x:v>finalUndeployThreadEvidenceFinal</x:v>
      </x:c>
      <x:c r="I45" s="36" t="n">
        <x:v>2</x:v>
      </x:c>
      <x:c r="J45" s="34" t="str">
        <x:v>final</x:v>
      </x:c>
      <x:c r="K45" s="36" t="n">
        <x:v>27</x:v>
      </x:c>
      <x:c r="L45" s="51" t="n">
        <x:v>0</x:v>
      </x:c>
      <x:c r="M45" s="51" t="n">
        <x:v>0</x:v>
      </x:c>
      <x:c r="N45" s="36" t="n">
        <x:v>8</x:v>
      </x:c>
      <x:c r="O45" s="44" t="str">
        <x:v>http-nio-8080-exec-13#82 | http-nio-8080-exec-14#85 | http-nio-8080-exec-15#86 | http-nio-8080-exec-16#87 | http-nio-8080-exec-17#120 | http-nio-8080-exec-18#121 | http-nio-8080-exec-19#122 | http-nio-8080-exec-20#123</x:v>
      </x:c>
      <x:c r="P45" s="36" t="n">
        <x:v>8</x:v>
      </x:c>
      <x:c r="Q45" s="44" t="str">
        <x:v>http-nio-8080-exec-13#82 | http-nio-8080-exec-14#85 | http-nio-8080-exec-15#86 | http-nio-8080-exec-16#87 | http-nio-8080-exec-17#120 | http-nio-8080-exec-18#121 | http-nio-8080-exec-19#122 | http-nio-8080-exec-20#123</x:v>
      </x:c>
      <x:c r="R45" s="36" t="n">
        <x:v>0</x:v>
      </x:c>
      <x:c r="S45" s="44"/>
      <x:c r="T45" s="36" t="n">
        <x:v>0</x:v>
      </x:c>
      <x:c r="U45" s="44"/>
      <x:c r="V45" s="36" t="n">
        <x:v>0</x:v>
      </x:c>
      <x:c r="W45" s="44"/>
      <x:c r="X45" s="34" t="str">
        <x:v>no-post-undeploy-thread-signal</x:v>
      </x:c>
      <x:c r="Y45" s="44" t="str">
        <x:v>automated signatures are JCS-specific; all other candidate application threads remain unattributed and ownership requires the archived full dump</x:v>
      </x:c>
    </x:row>
    <x:row r="46">
      <x:c r="A46" s="34" t="str">
        <x:v>article1-unified-v4-2-fb3f101b-20260903-000401-default-f01-p3-nostore</x:v>
      </x:c>
      <x:c r="B46" s="34" t="str">
        <x:v>default</x:v>
      </x:c>
      <x:c r="C46" s="34" t="str">
        <x:v>nostore</x:v>
      </x:c>
      <x:c r="D46" s="36" t="n">
        <x:v>1</x:v>
      </x:c>
      <x:c r="E46" s="36" t="n">
        <x:v>1</x:v>
      </x:c>
      <x:c r="F46" s="36" t="n">
        <x:v>3</x:v>
      </x:c>
      <x:c r="G46" s="36" t="n">
        <x:v>2</x:v>
      </x:c>
      <x:c r="H46" s="34" t="str">
        <x:v>firstUndeployThreadEvidenceEarly</x:v>
      </x:c>
      <x:c r="I46" s="36" t="n">
        <x:v>1</x:v>
      </x:c>
      <x:c r="J46" s="34" t="str">
        <x:v>early</x:v>
      </x:c>
      <x:c r="K46" s="36" t="n">
        <x:v>27</x:v>
      </x:c>
      <x:c r="L46" s="51" t="n">
        <x:v>0</x:v>
      </x:c>
      <x:c r="M46" s="51" t="n">
        <x:v>0</x:v>
      </x:c>
      <x:c r="N46" s="36" t="n">
        <x:v>10</x:v>
      </x:c>
      <x:c r="O46" s="44" t="str">
        <x:v>http-nio-8080-exec-13#82 | http-nio-8080-exec-14#85 | http-nio-8080-exec-15#86 | http-nio-8080-exec-18#121 | http-nio-8080-exec-19#122 | http-nio-8080-exec-21#126 | http-nio-8080-exec-22#127 | http-nio-8080-exec-23#160 | http-nio-8080-exec-24#161 | http-nio-8080-exec-25#162</x:v>
      </x:c>
      <x:c r="P46" s="36" t="n">
        <x:v>5</x:v>
      </x:c>
      <x:c r="Q46" s="44" t="str">
        <x:v>http-nio-8080-exec-21#126 | http-nio-8080-exec-22#127 | http-nio-8080-exec-23#160 | http-nio-8080-exec-24#161 | http-nio-8080-exec-25#162</x:v>
      </x:c>
      <x:c r="R46" s="36" t="n">
        <x:v>0</x:v>
      </x:c>
      <x:c r="S46" s="44"/>
      <x:c r="T46" s="36" t="n">
        <x:v>0</x:v>
      </x:c>
      <x:c r="U46" s="44"/>
      <x:c r="V46" s="36" t="n">
        <x:v>0</x:v>
      </x:c>
      <x:c r="W46" s="44"/>
      <x:c r="X46" s="34" t="str">
        <x:v>no-post-undeploy-thread-signal</x:v>
      </x:c>
      <x:c r="Y46" s="44" t="str">
        <x:v>automated signatures are JCS-specific; all other candidate application threads remain unattributed and ownership requires the archived full dump</x:v>
      </x:c>
    </x:row>
    <x:row r="47">
      <x:c r="A47" s="34" t="str">
        <x:v>article1-unified-v4-2-fb3f101b-20260903-000401-default-f01-p3-nostore</x:v>
      </x:c>
      <x:c r="B47" s="34" t="str">
        <x:v>default</x:v>
      </x:c>
      <x:c r="C47" s="34" t="str">
        <x:v>nostore</x:v>
      </x:c>
      <x:c r="D47" s="36" t="n">
        <x:v>1</x:v>
      </x:c>
      <x:c r="E47" s="36" t="n">
        <x:v>1</x:v>
      </x:c>
      <x:c r="F47" s="36" t="n">
        <x:v>3</x:v>
      </x:c>
      <x:c r="G47" s="36" t="n">
        <x:v>2</x:v>
      </x:c>
      <x:c r="H47" s="34" t="str">
        <x:v>firstUndeployThreadEvidenceFinal</x:v>
      </x:c>
      <x:c r="I47" s="36" t="n">
        <x:v>1</x:v>
      </x:c>
      <x:c r="J47" s="34" t="str">
        <x:v>final</x:v>
      </x:c>
      <x:c r="K47" s="36" t="n">
        <x:v>27</x:v>
      </x:c>
      <x:c r="L47" s="51" t="n">
        <x:v>0</x:v>
      </x:c>
      <x:c r="M47" s="51" t="n">
        <x:v>0</x:v>
      </x:c>
      <x:c r="N47" s="36" t="n">
        <x:v>10</x:v>
      </x:c>
      <x:c r="O47" s="44" t="str">
        <x:v>http-nio-8080-exec-13#82 | http-nio-8080-exec-14#85 | http-nio-8080-exec-15#86 | http-nio-8080-exec-18#121 | http-nio-8080-exec-19#122 | http-nio-8080-exec-21#126 | http-nio-8080-exec-22#127 | http-nio-8080-exec-24#161 | http-nio-8080-exec-25#162 | http-nio-8080-exec-26#163</x:v>
      </x:c>
      <x:c r="P47" s="36" t="n">
        <x:v>5</x:v>
      </x:c>
      <x:c r="Q47" s="44" t="str">
        <x:v>http-nio-8080-exec-21#126 | http-nio-8080-exec-22#127 | http-nio-8080-exec-24#161 | http-nio-8080-exec-25#162 | http-nio-8080-exec-26#163</x:v>
      </x:c>
      <x:c r="R47" s="36" t="n">
        <x:v>0</x:v>
      </x:c>
      <x:c r="S47" s="44"/>
      <x:c r="T47" s="36" t="n">
        <x:v>0</x:v>
      </x:c>
      <x:c r="U47" s="44"/>
      <x:c r="V47" s="36" t="n">
        <x:v>0</x:v>
      </x:c>
      <x:c r="W47" s="44"/>
      <x:c r="X47" s="34" t="str">
        <x:v>no-post-undeploy-thread-signal</x:v>
      </x:c>
      <x:c r="Y47" s="44" t="str">
        <x:v>automated signatures are JCS-specific; all other candidate application threads remain unattributed and ownership requires the archived full dump</x:v>
      </x:c>
    </x:row>
    <x:row r="48">
      <x:c r="A48" s="34" t="str">
        <x:v>article1-unified-v4-2-fb3f101b-20260903-000401-default-f01-p3-nostore</x:v>
      </x:c>
      <x:c r="B48" s="34" t="str">
        <x:v>default</x:v>
      </x:c>
      <x:c r="C48" s="34" t="str">
        <x:v>nostore</x:v>
      </x:c>
      <x:c r="D48" s="36" t="n">
        <x:v>1</x:v>
      </x:c>
      <x:c r="E48" s="36" t="n">
        <x:v>1</x:v>
      </x:c>
      <x:c r="F48" s="36" t="n">
        <x:v>3</x:v>
      </x:c>
      <x:c r="G48" s="36" t="n">
        <x:v>2</x:v>
      </x:c>
      <x:c r="H48" s="34" t="str">
        <x:v>finalUndeployThreadEvidenceEarly</x:v>
      </x:c>
      <x:c r="I48" s="36" t="n">
        <x:v>2</x:v>
      </x:c>
      <x:c r="J48" s="34" t="str">
        <x:v>early</x:v>
      </x:c>
      <x:c r="K48" s="36" t="n">
        <x:v>27</x:v>
      </x:c>
      <x:c r="L48" s="51" t="n">
        <x:v>0</x:v>
      </x:c>
      <x:c r="M48" s="51" t="n">
        <x:v>0</x:v>
      </x:c>
      <x:c r="N48" s="36" t="n">
        <x:v>10</x:v>
      </x:c>
      <x:c r="O48" s="44" t="str">
        <x:v>http-nio-8080-exec-13#82 | http-nio-8080-exec-14#85 | http-nio-8080-exec-24#161 | http-nio-8080-exec-25#162 | http-nio-8080-exec-26#163 | http-nio-8080-exec-27#166 | http-nio-8080-exec-28#167 | http-nio-8080-exec-29#168 | http-nio-8080-exec-31#202 | http-nio-8080-exec-32#203</x:v>
      </x:c>
      <x:c r="P48" s="36" t="n">
        <x:v>8</x:v>
      </x:c>
      <x:c r="Q48" s="44" t="str">
        <x:v>http-nio-8080-exec-24#161 | http-nio-8080-exec-25#162 | http-nio-8080-exec-26#163 | http-nio-8080-exec-27#166 | http-nio-8080-exec-28#167 | http-nio-8080-exec-29#168 | http-nio-8080-exec-31#202 | http-nio-8080-exec-32#203</x:v>
      </x:c>
      <x:c r="R48" s="36" t="n">
        <x:v>0</x:v>
      </x:c>
      <x:c r="S48" s="44"/>
      <x:c r="T48" s="36" t="n">
        <x:v>0</x:v>
      </x:c>
      <x:c r="U48" s="44"/>
      <x:c r="V48" s="36" t="n">
        <x:v>0</x:v>
      </x:c>
      <x:c r="W48" s="44"/>
      <x:c r="X48" s="34" t="str">
        <x:v>no-post-undeploy-thread-signal</x:v>
      </x:c>
      <x:c r="Y48" s="44" t="str">
        <x:v>automated signatures are JCS-specific; all other candidate application threads remain unattributed and ownership requires the archived full dump</x:v>
      </x:c>
    </x:row>
    <x:row r="49">
      <x:c r="A49" s="34" t="str">
        <x:v>article1-unified-v4-2-fb3f101b-20260903-000401-default-f01-p3-nostore</x:v>
      </x:c>
      <x:c r="B49" s="34" t="str">
        <x:v>default</x:v>
      </x:c>
      <x:c r="C49" s="34" t="str">
        <x:v>nostore</x:v>
      </x:c>
      <x:c r="D49" s="36" t="n">
        <x:v>1</x:v>
      </x:c>
      <x:c r="E49" s="36" t="n">
        <x:v>1</x:v>
      </x:c>
      <x:c r="F49" s="36" t="n">
        <x:v>3</x:v>
      </x:c>
      <x:c r="G49" s="36" t="n">
        <x:v>2</x:v>
      </x:c>
      <x:c r="H49" s="34" t="str">
        <x:v>finalUndeployThreadEvidenceFinal</x:v>
      </x:c>
      <x:c r="I49" s="36" t="n">
        <x:v>2</x:v>
      </x:c>
      <x:c r="J49" s="34" t="str">
        <x:v>final</x:v>
      </x:c>
      <x:c r="K49" s="36" t="n">
        <x:v>27</x:v>
      </x:c>
      <x:c r="L49" s="51" t="n">
        <x:v>0</x:v>
      </x:c>
      <x:c r="M49" s="51" t="n">
        <x:v>0</x:v>
      </x:c>
      <x:c r="N49" s="36" t="n">
        <x:v>10</x:v>
      </x:c>
      <x:c r="O49" s="44" t="str">
        <x:v>http-nio-8080-exec-13#82 | http-nio-8080-exec-14#85 | http-nio-8080-exec-24#161 | http-nio-8080-exec-25#162 | http-nio-8080-exec-26#163 | http-nio-8080-exec-27#166 | http-nio-8080-exec-29#168 | http-nio-8080-exec-31#202 | http-nio-8080-exec-32#203 | http-nio-8080-exec-33#204</x:v>
      </x:c>
      <x:c r="P49" s="36" t="n">
        <x:v>8</x:v>
      </x:c>
      <x:c r="Q49" s="44" t="str">
        <x:v>http-nio-8080-exec-24#161 | http-nio-8080-exec-25#162 | http-nio-8080-exec-26#163 | http-nio-8080-exec-27#166 | http-nio-8080-exec-29#168 | http-nio-8080-exec-31#202 | http-nio-8080-exec-32#203 | http-nio-8080-exec-33#204</x:v>
      </x:c>
      <x:c r="R49" s="36" t="n">
        <x:v>0</x:v>
      </x:c>
      <x:c r="S49" s="44"/>
      <x:c r="T49" s="36" t="n">
        <x:v>0</x:v>
      </x:c>
      <x:c r="U49" s="44"/>
      <x:c r="V49" s="36" t="n">
        <x:v>0</x:v>
      </x:c>
      <x:c r="W49" s="44"/>
      <x:c r="X49" s="34" t="str">
        <x:v>no-post-undeploy-thread-signal</x:v>
      </x:c>
      <x:c r="Y49" s="44" t="str">
        <x:v>automated signatures are JCS-specific; all other candidate application threads remain unattributed and ownership requires the archived full dump</x:v>
      </x:c>
    </x:row>
    <x:row r="50">
      <x:c r="A50" s="34" t="str">
        <x:v>article1-unified-v4-2-fb3f101b-20260903-000401-default-f01-p3-nostore</x:v>
      </x:c>
      <x:c r="B50" s="34" t="str">
        <x:v>default</x:v>
      </x:c>
      <x:c r="C50" s="34" t="str">
        <x:v>nostore</x:v>
      </x:c>
      <x:c r="D50" s="36" t="n">
        <x:v>1</x:v>
      </x:c>
      <x:c r="E50" s="36" t="n">
        <x:v>1</x:v>
      </x:c>
      <x:c r="F50" s="36" t="n">
        <x:v>3</x:v>
      </x:c>
      <x:c r="G50" s="36" t="n">
        <x:v>3</x:v>
      </x:c>
      <x:c r="H50" s="34" t="str">
        <x:v>firstUndeployThreadEvidenceEarly</x:v>
      </x:c>
      <x:c r="I50" s="36" t="n">
        <x:v>1</x:v>
      </x:c>
      <x:c r="J50" s="34" t="str">
        <x:v>early</x:v>
      </x:c>
      <x:c r="K50" s="36" t="n">
        <x:v>27</x:v>
      </x:c>
      <x:c r="L50" s="51" t="n">
        <x:v>0</x:v>
      </x:c>
      <x:c r="M50" s="51" t="n">
        <x:v>0</x:v>
      </x:c>
      <x:c r="N50" s="36" t="n">
        <x:v>10</x:v>
      </x:c>
      <x:c r="O50" s="44" t="str">
        <x:v>http-nio-8080-exec-13#82 | http-nio-8080-exec-14#85 | http-nio-8080-exec-24#161 | http-nio-8080-exec-31#202 | http-nio-8080-exec-32#203 | http-nio-8080-exec-33#204 | http-nio-8080-exec-34#207 | http-nio-8080-exec-35#208 | http-nio-8080-exec-37#242 | http-nio-8080-exec-38#243</x:v>
      </x:c>
      <x:c r="P50" s="36" t="n">
        <x:v>4</x:v>
      </x:c>
      <x:c r="Q50" s="44" t="str">
        <x:v>http-nio-8080-exec-34#207 | http-nio-8080-exec-35#208 | http-nio-8080-exec-37#242 | http-nio-8080-exec-38#243</x:v>
      </x:c>
      <x:c r="R50" s="36" t="n">
        <x:v>0</x:v>
      </x:c>
      <x:c r="S50" s="44"/>
      <x:c r="T50" s="36" t="n">
        <x:v>0</x:v>
      </x:c>
      <x:c r="U50" s="44"/>
      <x:c r="V50" s="36" t="n">
        <x:v>0</x:v>
      </x:c>
      <x:c r="W50" s="44"/>
      <x:c r="X50" s="34" t="str">
        <x:v>no-post-undeploy-thread-signal</x:v>
      </x:c>
      <x:c r="Y50" s="44" t="str">
        <x:v>automated signatures are JCS-specific; all other candidate application threads remain unattributed and ownership requires the archived full dump</x:v>
      </x:c>
    </x:row>
    <x:row r="51">
      <x:c r="A51" s="34" t="str">
        <x:v>article1-unified-v4-2-fb3f101b-20260903-000401-default-f01-p3-nostore</x:v>
      </x:c>
      <x:c r="B51" s="34" t="str">
        <x:v>default</x:v>
      </x:c>
      <x:c r="C51" s="34" t="str">
        <x:v>nostore</x:v>
      </x:c>
      <x:c r="D51" s="36" t="n">
        <x:v>1</x:v>
      </x:c>
      <x:c r="E51" s="36" t="n">
        <x:v>1</x:v>
      </x:c>
      <x:c r="F51" s="36" t="n">
        <x:v>3</x:v>
      </x:c>
      <x:c r="G51" s="36" t="n">
        <x:v>3</x:v>
      </x:c>
      <x:c r="H51" s="34" t="str">
        <x:v>firstUndeployThreadEvidenceFinal</x:v>
      </x:c>
      <x:c r="I51" s="36" t="n">
        <x:v>1</x:v>
      </x:c>
      <x:c r="J51" s="34" t="str">
        <x:v>final</x:v>
      </x:c>
      <x:c r="K51" s="36" t="n">
        <x:v>27</x:v>
      </x:c>
      <x:c r="L51" s="51" t="n">
        <x:v>0</x:v>
      </x:c>
      <x:c r="M51" s="51" t="n">
        <x:v>0</x:v>
      </x:c>
      <x:c r="N51" s="36" t="n">
        <x:v>10</x:v>
      </x:c>
      <x:c r="O51" s="44" t="str">
        <x:v>http-nio-8080-exec-13#82 | http-nio-8080-exec-14#85 | http-nio-8080-exec-24#161 | http-nio-8080-exec-31#202 | http-nio-8080-exec-32#203 | http-nio-8080-exec-34#207 | http-nio-8080-exec-35#208 | http-nio-8080-exec-37#242 | http-nio-8080-exec-38#243 | http-nio-8080-exec-39#244</x:v>
      </x:c>
      <x:c r="P51" s="36" t="n">
        <x:v>5</x:v>
      </x:c>
      <x:c r="Q51" s="44" t="str">
        <x:v>http-nio-8080-exec-34#207 | http-nio-8080-exec-35#208 | http-nio-8080-exec-37#242 | http-nio-8080-exec-38#243 | http-nio-8080-exec-39#244</x:v>
      </x:c>
      <x:c r="R51" s="36" t="n">
        <x:v>0</x:v>
      </x:c>
      <x:c r="S51" s="44"/>
      <x:c r="T51" s="36" t="n">
        <x:v>0</x:v>
      </x:c>
      <x:c r="U51" s="44"/>
      <x:c r="V51" s="36" t="n">
        <x:v>0</x:v>
      </x:c>
      <x:c r="W51" s="44"/>
      <x:c r="X51" s="34" t="str">
        <x:v>no-post-undeploy-thread-signal</x:v>
      </x:c>
      <x:c r="Y51" s="44" t="str">
        <x:v>automated signatures are JCS-specific; all other candidate application threads remain unattributed and ownership requires the archived full dump</x:v>
      </x:c>
    </x:row>
    <x:row r="52">
      <x:c r="A52" s="34" t="str">
        <x:v>article1-unified-v4-2-fb3f101b-20260903-000401-default-f01-p3-nostore</x:v>
      </x:c>
      <x:c r="B52" s="34" t="str">
        <x:v>default</x:v>
      </x:c>
      <x:c r="C52" s="34" t="str">
        <x:v>nostore</x:v>
      </x:c>
      <x:c r="D52" s="36" t="n">
        <x:v>1</x:v>
      </x:c>
      <x:c r="E52" s="36" t="n">
        <x:v>1</x:v>
      </x:c>
      <x:c r="F52" s="36" t="n">
        <x:v>3</x:v>
      </x:c>
      <x:c r="G52" s="36" t="n">
        <x:v>3</x:v>
      </x:c>
      <x:c r="H52" s="34" t="str">
        <x:v>finalUndeployThreadEvidenceEarly</x:v>
      </x:c>
      <x:c r="I52" s="36" t="n">
        <x:v>2</x:v>
      </x:c>
      <x:c r="J52" s="34" t="str">
        <x:v>early</x:v>
      </x:c>
      <x:c r="K52" s="36" t="n">
        <x:v>27</x:v>
      </x:c>
      <x:c r="L52" s="51" t="n">
        <x:v>0</x:v>
      </x:c>
      <x:c r="M52" s="51" t="n">
        <x:v>0</x:v>
      </x:c>
      <x:c r="N52" s="36" t="n">
        <x:v>10</x:v>
      </x:c>
      <x:c r="O52" s="44" t="str">
        <x:v>http-nio-8080-exec-13#82 | http-nio-8080-exec-34#207 | http-nio-8080-exec-37#242 | http-nio-8080-exec-38#243 | http-nio-8080-exec-39#244 | http-nio-8080-exec-41#248 | http-nio-8080-exec-42#249 | http-nio-8080-exec-43#282 | http-nio-8080-exec-44#283 | http-nio-8080-exec-45#284</x:v>
      </x:c>
      <x:c r="P52" s="36" t="n">
        <x:v>9</x:v>
      </x:c>
      <x:c r="Q52" s="44" t="str">
        <x:v>http-nio-8080-exec-34#207 | http-nio-8080-exec-37#242 | http-nio-8080-exec-38#243 | http-nio-8080-exec-39#244 | http-nio-8080-exec-41#248 | http-nio-8080-exec-42#249 | http-nio-8080-exec-43#282 | http-nio-8080-exec-44#283 | http-nio-8080-exec-45#284</x:v>
      </x:c>
      <x:c r="R52" s="36" t="n">
        <x:v>0</x:v>
      </x:c>
      <x:c r="S52" s="44"/>
      <x:c r="T52" s="36" t="n">
        <x:v>0</x:v>
      </x:c>
      <x:c r="U52" s="44"/>
      <x:c r="V52" s="36" t="n">
        <x:v>0</x:v>
      </x:c>
      <x:c r="W52" s="44"/>
      <x:c r="X52" s="34" t="str">
        <x:v>no-post-undeploy-thread-signal</x:v>
      </x:c>
      <x:c r="Y52" s="44" t="str">
        <x:v>automated signatures are JCS-specific; all other candidate application threads remain unattributed and ownership requires the archived full dump</x:v>
      </x:c>
    </x:row>
    <x:row r="53">
      <x:c r="A53" s="34" t="str">
        <x:v>article1-unified-v4-2-fb3f101b-20260903-000401-default-f01-p3-nostore</x:v>
      </x:c>
      <x:c r="B53" s="34" t="str">
        <x:v>default</x:v>
      </x:c>
      <x:c r="C53" s="34" t="str">
        <x:v>nostore</x:v>
      </x:c>
      <x:c r="D53" s="36" t="n">
        <x:v>1</x:v>
      </x:c>
      <x:c r="E53" s="36" t="n">
        <x:v>1</x:v>
      </x:c>
      <x:c r="F53" s="36" t="n">
        <x:v>3</x:v>
      </x:c>
      <x:c r="G53" s="36" t="n">
        <x:v>3</x:v>
      </x:c>
      <x:c r="H53" s="34" t="str">
        <x:v>finalUndeployThreadEvidenceFinal</x:v>
      </x:c>
      <x:c r="I53" s="36" t="n">
        <x:v>2</x:v>
      </x:c>
      <x:c r="J53" s="34" t="str">
        <x:v>final</x:v>
      </x:c>
      <x:c r="K53" s="36" t="n">
        <x:v>27</x:v>
      </x:c>
      <x:c r="L53" s="51" t="n">
        <x:v>0</x:v>
      </x:c>
      <x:c r="M53" s="51" t="n">
        <x:v>0</x:v>
      </x:c>
      <x:c r="N53" s="36" t="n">
        <x:v>10</x:v>
      </x:c>
      <x:c r="O53" s="44" t="str">
        <x:v>http-nio-8080-exec-13#82 | http-nio-8080-exec-34#207 | http-nio-8080-exec-38#243 | http-nio-8080-exec-39#244 | http-nio-8080-exec-41#248 | http-nio-8080-exec-42#249 | http-nio-8080-exec-43#282 | http-nio-8080-exec-44#283 | http-nio-8080-exec-45#284 | http-nio-8080-exec-46#285</x:v>
      </x:c>
      <x:c r="P53" s="36" t="n">
        <x:v>9</x:v>
      </x:c>
      <x:c r="Q53" s="44" t="str">
        <x:v>http-nio-8080-exec-34#207 | http-nio-8080-exec-38#243 | http-nio-8080-exec-39#244 | http-nio-8080-exec-41#248 | http-nio-8080-exec-42#249 | http-nio-8080-exec-43#282 | http-nio-8080-exec-44#283 | http-nio-8080-exec-45#284 | http-nio-8080-exec-46#285</x:v>
      </x:c>
      <x:c r="R53" s="36" t="n">
        <x:v>0</x:v>
      </x:c>
      <x:c r="S53" s="44"/>
      <x:c r="T53" s="36" t="n">
        <x:v>0</x:v>
      </x:c>
      <x:c r="U53" s="44"/>
      <x:c r="V53" s="36" t="n">
        <x:v>0</x:v>
      </x:c>
      <x:c r="W53" s="44"/>
      <x:c r="X53" s="34" t="str">
        <x:v>no-post-undeploy-thread-signal</x:v>
      </x:c>
      <x:c r="Y53" s="44" t="str">
        <x:v>automated signatures are JCS-specific; all other candidate application threads remain unattributed and ownership requires the archived full dump</x:v>
      </x:c>
    </x:row>
    <x:row r="54">
      <x:c r="A54" s="34" t="str">
        <x:v>article1-unified-v4-2-fb3f101b-20260903-000401-default-f01-p3-nostore</x:v>
      </x:c>
      <x:c r="B54" s="34" t="str">
        <x:v>default</x:v>
      </x:c>
      <x:c r="C54" s="34" t="str">
        <x:v>nostore</x:v>
      </x:c>
      <x:c r="D54" s="36" t="n">
        <x:v>1</x:v>
      </x:c>
      <x:c r="E54" s="36" t="n">
        <x:v>1</x:v>
      </x:c>
      <x:c r="F54" s="36" t="n">
        <x:v>3</x:v>
      </x:c>
      <x:c r="G54" s="36" t="n">
        <x:v>4</x:v>
      </x:c>
      <x:c r="H54" s="34" t="str">
        <x:v>firstUndeployThreadEvidenceEarly</x:v>
      </x:c>
      <x:c r="I54" s="36" t="n">
        <x:v>1</x:v>
      </x:c>
      <x:c r="J54" s="34" t="str">
        <x:v>early</x:v>
      </x:c>
      <x:c r="K54" s="36" t="n">
        <x:v>27</x:v>
      </x:c>
      <x:c r="L54" s="51" t="n">
        <x:v>0</x:v>
      </x:c>
      <x:c r="M54" s="51" t="n">
        <x:v>0</x:v>
      </x:c>
      <x:c r="N54" s="36" t="n">
        <x:v>10</x:v>
      </x:c>
      <x:c r="O54" s="44" t="str">
        <x:v>http-nio-8080-exec-38#243 | http-nio-8080-exec-39#244 | http-nio-8080-exec-42#249 | http-nio-8080-exec-44#283 | http-nio-8080-exec-45#284 | http-nio-8080-exec-46#285 | http-nio-8080-exec-47#288 | http-nio-8080-exec-49#322 | http-nio-8080-exec-50#323 | http-nio-8080-exec-51#324</x:v>
      </x:c>
      <x:c r="P54" s="36" t="n">
        <x:v>4</x:v>
      </x:c>
      <x:c r="Q54" s="44" t="str">
        <x:v>http-nio-8080-exec-47#288 | http-nio-8080-exec-49#322 | http-nio-8080-exec-50#323 | http-nio-8080-exec-51#324</x:v>
      </x:c>
      <x:c r="R54" s="36" t="n">
        <x:v>0</x:v>
      </x:c>
      <x:c r="S54" s="44"/>
      <x:c r="T54" s="36" t="n">
        <x:v>0</x:v>
      </x:c>
      <x:c r="U54" s="44"/>
      <x:c r="V54" s="36" t="n">
        <x:v>0</x:v>
      </x:c>
      <x:c r="W54" s="44"/>
      <x:c r="X54" s="34" t="str">
        <x:v>no-post-undeploy-thread-signal</x:v>
      </x:c>
      <x:c r="Y54" s="44" t="str">
        <x:v>automated signatures are JCS-specific; all other candidate application threads remain unattributed and ownership requires the archived full dump</x:v>
      </x:c>
    </x:row>
    <x:row r="55">
      <x:c r="A55" s="34" t="str">
        <x:v>article1-unified-v4-2-fb3f101b-20260903-000401-default-f01-p3-nostore</x:v>
      </x:c>
      <x:c r="B55" s="34" t="str">
        <x:v>default</x:v>
      </x:c>
      <x:c r="C55" s="34" t="str">
        <x:v>nostore</x:v>
      </x:c>
      <x:c r="D55" s="36" t="n">
        <x:v>1</x:v>
      </x:c>
      <x:c r="E55" s="36" t="n">
        <x:v>1</x:v>
      </x:c>
      <x:c r="F55" s="36" t="n">
        <x:v>3</x:v>
      </x:c>
      <x:c r="G55" s="36" t="n">
        <x:v>4</x:v>
      </x:c>
      <x:c r="H55" s="34" t="str">
        <x:v>firstUndeployThreadEvidenceFinal</x:v>
      </x:c>
      <x:c r="I55" s="36" t="n">
        <x:v>1</x:v>
      </x:c>
      <x:c r="J55" s="34" t="str">
        <x:v>final</x:v>
      </x:c>
      <x:c r="K55" s="36" t="n">
        <x:v>27</x:v>
      </x:c>
      <x:c r="L55" s="51" t="n">
        <x:v>0</x:v>
      </x:c>
      <x:c r="M55" s="51" t="n">
        <x:v>0</x:v>
      </x:c>
      <x:c r="N55" s="36" t="n">
        <x:v>10</x:v>
      </x:c>
      <x:c r="O55" s="44" t="str">
        <x:v>http-nio-8080-exec-38#243 | http-nio-8080-exec-39#244 | http-nio-8080-exec-44#283 | http-nio-8080-exec-45#284 | http-nio-8080-exec-46#285 | http-nio-8080-exec-47#288 | http-nio-8080-exec-49#322 | http-nio-8080-exec-50#323 | http-nio-8080-exec-51#324 | http-nio-8080-exec-52#325</x:v>
      </x:c>
      <x:c r="P55" s="36" t="n">
        <x:v>5</x:v>
      </x:c>
      <x:c r="Q55" s="44" t="str">
        <x:v>http-nio-8080-exec-47#288 | http-nio-8080-exec-49#322 | http-nio-8080-exec-50#323 | http-nio-8080-exec-51#324 | http-nio-8080-exec-52#325</x:v>
      </x:c>
      <x:c r="R55" s="36" t="n">
        <x:v>0</x:v>
      </x:c>
      <x:c r="S55" s="44"/>
      <x:c r="T55" s="36" t="n">
        <x:v>0</x:v>
      </x:c>
      <x:c r="U55" s="44"/>
      <x:c r="V55" s="36" t="n">
        <x:v>0</x:v>
      </x:c>
      <x:c r="W55" s="44"/>
      <x:c r="X55" s="34" t="str">
        <x:v>no-post-undeploy-thread-signal</x:v>
      </x:c>
      <x:c r="Y55" s="44" t="str">
        <x:v>automated signatures are JCS-specific; all other candidate application threads remain unattributed and ownership requires the archived full dump</x:v>
      </x:c>
    </x:row>
    <x:row r="56">
      <x:c r="A56" s="34" t="str">
        <x:v>article1-unified-v4-2-fb3f101b-20260903-000401-default-f01-p3-nostore</x:v>
      </x:c>
      <x:c r="B56" s="34" t="str">
        <x:v>default</x:v>
      </x:c>
      <x:c r="C56" s="34" t="str">
        <x:v>nostore</x:v>
      </x:c>
      <x:c r="D56" s="36" t="n">
        <x:v>1</x:v>
      </x:c>
      <x:c r="E56" s="36" t="n">
        <x:v>1</x:v>
      </x:c>
      <x:c r="F56" s="36" t="n">
        <x:v>3</x:v>
      </x:c>
      <x:c r="G56" s="36" t="n">
        <x:v>4</x:v>
      </x:c>
      <x:c r="H56" s="34" t="str">
        <x:v>finalUndeployThreadEvidenceEarly</x:v>
      </x:c>
      <x:c r="I56" s="36" t="n">
        <x:v>2</x:v>
      </x:c>
      <x:c r="J56" s="34" t="str">
        <x:v>early</x:v>
      </x:c>
      <x:c r="K56" s="36" t="n">
        <x:v>27</x:v>
      </x:c>
      <x:c r="L56" s="51" t="n">
        <x:v>0</x:v>
      </x:c>
      <x:c r="M56" s="51" t="n">
        <x:v>0</x:v>
      </x:c>
      <x:c r="N56" s="36" t="n">
        <x:v>10</x:v>
      </x:c>
      <x:c r="O56" s="44" t="str">
        <x:v>http-nio-8080-exec-39#244 | http-nio-8080-exec-45#284 | http-nio-8080-exec-50#323 | http-nio-8080-exec-51#324 | http-nio-8080-exec-52#325 | http-nio-8080-exec-53#328 | http-nio-8080-exec-55#330 | http-nio-8080-exec-56#363 | http-nio-8080-exec-57#364 | http-nio-8080-exec-58#365</x:v>
      </x:c>
      <x:c r="P56" s="36" t="n">
        <x:v>8</x:v>
      </x:c>
      <x:c r="Q56" s="44" t="str">
        <x:v>http-nio-8080-exec-50#323 | http-nio-8080-exec-51#324 | http-nio-8080-exec-52#325 | http-nio-8080-exec-53#328 | http-nio-8080-exec-55#330 | http-nio-8080-exec-56#363 | http-nio-8080-exec-57#364 | http-nio-8080-exec-58#365</x:v>
      </x:c>
      <x:c r="R56" s="36" t="n">
        <x:v>0</x:v>
      </x:c>
      <x:c r="S56" s="44"/>
      <x:c r="T56" s="36" t="n">
        <x:v>0</x:v>
      </x:c>
      <x:c r="U56" s="44"/>
      <x:c r="V56" s="36" t="n">
        <x:v>0</x:v>
      </x:c>
      <x:c r="W56" s="44"/>
      <x:c r="X56" s="34" t="str">
        <x:v>no-post-undeploy-thread-signal</x:v>
      </x:c>
      <x:c r="Y56" s="44" t="str">
        <x:v>automated signatures are JCS-specific; all other candidate application threads remain unattributed and ownership requires the archived full dump</x:v>
      </x:c>
    </x:row>
    <x:row r="57">
      <x:c r="A57" s="34" t="str">
        <x:v>article1-unified-v4-2-fb3f101b-20260903-000401-default-f01-p3-nostore</x:v>
      </x:c>
      <x:c r="B57" s="34" t="str">
        <x:v>default</x:v>
      </x:c>
      <x:c r="C57" s="34" t="str">
        <x:v>nostore</x:v>
      </x:c>
      <x:c r="D57" s="36" t="n">
        <x:v>1</x:v>
      </x:c>
      <x:c r="E57" s="36" t="n">
        <x:v>1</x:v>
      </x:c>
      <x:c r="F57" s="36" t="n">
        <x:v>3</x:v>
      </x:c>
      <x:c r="G57" s="36" t="n">
        <x:v>4</x:v>
      </x:c>
      <x:c r="H57" s="34" t="str">
        <x:v>finalUndeployThreadEvidenceFinal</x:v>
      </x:c>
      <x:c r="I57" s="36" t="n">
        <x:v>2</x:v>
      </x:c>
      <x:c r="J57" s="34" t="str">
        <x:v>final</x:v>
      </x:c>
      <x:c r="K57" s="36" t="n">
        <x:v>27</x:v>
      </x:c>
      <x:c r="L57" s="51" t="n">
        <x:v>0</x:v>
      </x:c>
      <x:c r="M57" s="51" t="n">
        <x:v>0</x:v>
      </x:c>
      <x:c r="N57" s="36" t="n">
        <x:v>10</x:v>
      </x:c>
      <x:c r="O57" s="44" t="str">
        <x:v>http-nio-8080-exec-39#244 | http-nio-8080-exec-45#284 | http-nio-8080-exec-50#323 | http-nio-8080-exec-51#324 | http-nio-8080-exec-52#325 | http-nio-8080-exec-53#328 | http-nio-8080-exec-56#363 | http-nio-8080-exec-57#364 | http-nio-8080-exec-58#365 | http-nio-8080-exec-59#366</x:v>
      </x:c>
      <x:c r="P57" s="36" t="n">
        <x:v>8</x:v>
      </x:c>
      <x:c r="Q57" s="44" t="str">
        <x:v>http-nio-8080-exec-50#323 | http-nio-8080-exec-51#324 | http-nio-8080-exec-52#325 | http-nio-8080-exec-53#328 | http-nio-8080-exec-56#363 | http-nio-8080-exec-57#364 | http-nio-8080-exec-58#365 | http-nio-8080-exec-59#366</x:v>
      </x:c>
      <x:c r="R57" s="36" t="n">
        <x:v>0</x:v>
      </x:c>
      <x:c r="S57" s="44"/>
      <x:c r="T57" s="36" t="n">
        <x:v>0</x:v>
      </x:c>
      <x:c r="U57" s="44"/>
      <x:c r="V57" s="36" t="n">
        <x:v>0</x:v>
      </x:c>
      <x:c r="W57" s="44"/>
      <x:c r="X57" s="34" t="str">
        <x:v>no-post-undeploy-thread-signal</x:v>
      </x:c>
      <x:c r="Y57" s="44" t="str">
        <x:v>automated signatures are JCS-specific; all other candidate application threads remain unattributed and ownership requires the archived full dump</x:v>
      </x:c>
    </x:row>
    <x:row r="58">
      <x:c r="A58" s="34" t="str">
        <x:v>article1-unified-v4-2-fb3f101b-20260903-000401-default-f01-p3-nostore</x:v>
      </x:c>
      <x:c r="B58" s="34" t="str">
        <x:v>default</x:v>
      </x:c>
      <x:c r="C58" s="34" t="str">
        <x:v>nostore</x:v>
      </x:c>
      <x:c r="D58" s="36" t="n">
        <x:v>1</x:v>
      </x:c>
      <x:c r="E58" s="36" t="n">
        <x:v>1</x:v>
      </x:c>
      <x:c r="F58" s="36" t="n">
        <x:v>3</x:v>
      </x:c>
      <x:c r="G58" s="36" t="n">
        <x:v>5</x:v>
      </x:c>
      <x:c r="H58" s="34" t="str">
        <x:v>firstUndeployThreadEvidenceEarly</x:v>
      </x:c>
      <x:c r="I58" s="36" t="n">
        <x:v>1</x:v>
      </x:c>
      <x:c r="J58" s="34" t="str">
        <x:v>early</x:v>
      </x:c>
      <x:c r="K58" s="36" t="n">
        <x:v>27</x:v>
      </x:c>
      <x:c r="L58" s="51" t="n">
        <x:v>0</x:v>
      </x:c>
      <x:c r="M58" s="51" t="n">
        <x:v>0</x:v>
      </x:c>
      <x:c r="N58" s="36" t="n">
        <x:v>10</x:v>
      </x:c>
      <x:c r="O58" s="44" t="str">
        <x:v>http-nio-8080-exec-50#323 | http-nio-8080-exec-51#324 | http-nio-8080-exec-52#325 | http-nio-8080-exec-57#364 | http-nio-8080-exec-59#366 | http-nio-8080-exec-60#369 | http-nio-8080-exec-61#370 | http-nio-8080-exec-62#403 | http-nio-8080-exec-63#404 | http-nio-8080-exec-64#405</x:v>
      </x:c>
      <x:c r="P58" s="36" t="n">
        <x:v>5</x:v>
      </x:c>
      <x:c r="Q58" s="44" t="str">
        <x:v>http-nio-8080-exec-60#369 | http-nio-8080-exec-61#370 | http-nio-8080-exec-62#403 | http-nio-8080-exec-63#404 | http-nio-8080-exec-64#405</x:v>
      </x:c>
      <x:c r="R58" s="36" t="n">
        <x:v>0</x:v>
      </x:c>
      <x:c r="S58" s="44"/>
      <x:c r="T58" s="36" t="n">
        <x:v>0</x:v>
      </x:c>
      <x:c r="U58" s="44"/>
      <x:c r="V58" s="36" t="n">
        <x:v>0</x:v>
      </x:c>
      <x:c r="W58" s="44"/>
      <x:c r="X58" s="34" t="str">
        <x:v>no-post-undeploy-thread-signal</x:v>
      </x:c>
      <x:c r="Y58" s="44" t="str">
        <x:v>automated signatures are JCS-specific; all other candidate application threads remain unattributed and ownership requires the archived full dump</x:v>
      </x:c>
    </x:row>
    <x:row r="59">
      <x:c r="A59" s="34" t="str">
        <x:v>article1-unified-v4-2-fb3f101b-20260903-000401-default-f01-p3-nostore</x:v>
      </x:c>
      <x:c r="B59" s="34" t="str">
        <x:v>default</x:v>
      </x:c>
      <x:c r="C59" s="34" t="str">
        <x:v>nostore</x:v>
      </x:c>
      <x:c r="D59" s="36" t="n">
        <x:v>1</x:v>
      </x:c>
      <x:c r="E59" s="36" t="n">
        <x:v>1</x:v>
      </x:c>
      <x:c r="F59" s="36" t="n">
        <x:v>3</x:v>
      </x:c>
      <x:c r="G59" s="36" t="n">
        <x:v>5</x:v>
      </x:c>
      <x:c r="H59" s="34" t="str">
        <x:v>firstUndeployThreadEvidenceFinal</x:v>
      </x:c>
      <x:c r="I59" s="36" t="n">
        <x:v>1</x:v>
      </x:c>
      <x:c r="J59" s="34" t="str">
        <x:v>final</x:v>
      </x:c>
      <x:c r="K59" s="36" t="n">
        <x:v>27</x:v>
      </x:c>
      <x:c r="L59" s="51" t="n">
        <x:v>0</x:v>
      </x:c>
      <x:c r="M59" s="51" t="n">
        <x:v>0</x:v>
      </x:c>
      <x:c r="N59" s="36" t="n">
        <x:v>10</x:v>
      </x:c>
      <x:c r="O59" s="44" t="str">
        <x:v>http-nio-8080-exec-50#323 | http-nio-8080-exec-51#324 | http-nio-8080-exec-52#325 | http-nio-8080-exec-57#364 | http-nio-8080-exec-59#366 | http-nio-8080-exec-61#370 | http-nio-8080-exec-62#403 | http-nio-8080-exec-63#404 | http-nio-8080-exec-64#405 | http-nio-8080-exec-65#406</x:v>
      </x:c>
      <x:c r="P59" s="36" t="n">
        <x:v>5</x:v>
      </x:c>
      <x:c r="Q59" s="44" t="str">
        <x:v>http-nio-8080-exec-61#370 | http-nio-8080-exec-62#403 | http-nio-8080-exec-63#404 | http-nio-8080-exec-64#405 | http-nio-8080-exec-65#406</x:v>
      </x:c>
      <x:c r="R59" s="36" t="n">
        <x:v>0</x:v>
      </x:c>
      <x:c r="S59" s="44"/>
      <x:c r="T59" s="36" t="n">
        <x:v>0</x:v>
      </x:c>
      <x:c r="U59" s="44"/>
      <x:c r="V59" s="36" t="n">
        <x:v>0</x:v>
      </x:c>
      <x:c r="W59" s="44"/>
      <x:c r="X59" s="34" t="str">
        <x:v>no-post-undeploy-thread-signal</x:v>
      </x:c>
      <x:c r="Y59" s="44" t="str">
        <x:v>automated signatures are JCS-specific; all other candidate application threads remain unattributed and ownership requires the archived full dump</x:v>
      </x:c>
    </x:row>
    <x:row r="60">
      <x:c r="A60" s="34" t="str">
        <x:v>article1-unified-v4-2-fb3f101b-20260903-000401-default-f01-p3-nostore</x:v>
      </x:c>
      <x:c r="B60" s="34" t="str">
        <x:v>default</x:v>
      </x:c>
      <x:c r="C60" s="34" t="str">
        <x:v>nostore</x:v>
      </x:c>
      <x:c r="D60" s="36" t="n">
        <x:v>1</x:v>
      </x:c>
      <x:c r="E60" s="36" t="n">
        <x:v>1</x:v>
      </x:c>
      <x:c r="F60" s="36" t="n">
        <x:v>3</x:v>
      </x:c>
      <x:c r="G60" s="36" t="n">
        <x:v>5</x:v>
      </x:c>
      <x:c r="H60" s="34" t="str">
        <x:v>finalUndeployThreadEvidenceEarly</x:v>
      </x:c>
      <x:c r="I60" s="36" t="n">
        <x:v>2</x:v>
      </x:c>
      <x:c r="J60" s="34" t="str">
        <x:v>early</x:v>
      </x:c>
      <x:c r="K60" s="36" t="n">
        <x:v>27</x:v>
      </x:c>
      <x:c r="L60" s="51" t="n">
        <x:v>0</x:v>
      </x:c>
      <x:c r="M60" s="51" t="n">
        <x:v>0</x:v>
      </x:c>
      <x:c r="N60" s="36" t="n">
        <x:v>10</x:v>
      </x:c>
      <x:c r="O60" s="44" t="str">
        <x:v>http-nio-8080-exec-52#325 | http-nio-8080-exec-59#366 | http-nio-8080-exec-63#404 | http-nio-8080-exec-65#406 | http-nio-8080-exec-66#409 | http-nio-8080-exec-67#410 | http-nio-8080-exec-68#411 | http-nio-8080-exec-69#444 | http-nio-8080-exec-70#445 | http-nio-8080-exec-71#446</x:v>
      </x:c>
      <x:c r="P60" s="36" t="n">
        <x:v>8</x:v>
      </x:c>
      <x:c r="Q60" s="44" t="str">
        <x:v>http-nio-8080-exec-63#404 | http-nio-8080-exec-65#406 | http-nio-8080-exec-66#409 | http-nio-8080-exec-67#410 | http-nio-8080-exec-68#411 | http-nio-8080-exec-69#444 | http-nio-8080-exec-70#445 | http-nio-8080-exec-71#446</x:v>
      </x:c>
      <x:c r="R60" s="36" t="n">
        <x:v>0</x:v>
      </x:c>
      <x:c r="S60" s="44"/>
      <x:c r="T60" s="36" t="n">
        <x:v>0</x:v>
      </x:c>
      <x:c r="U60" s="44"/>
      <x:c r="V60" s="36" t="n">
        <x:v>0</x:v>
      </x:c>
      <x:c r="W60" s="44"/>
      <x:c r="X60" s="34" t="str">
        <x:v>no-post-undeploy-thread-signal</x:v>
      </x:c>
      <x:c r="Y60" s="44" t="str">
        <x:v>automated signatures are JCS-specific; all other candidate application threads remain unattributed and ownership requires the archived full dump</x:v>
      </x:c>
    </x:row>
    <x:row r="61">
      <x:c r="A61" s="34" t="str">
        <x:v>article1-unified-v4-2-fb3f101b-20260903-000401-default-f01-p3-nostore</x:v>
      </x:c>
      <x:c r="B61" s="34" t="str">
        <x:v>default</x:v>
      </x:c>
      <x:c r="C61" s="34" t="str">
        <x:v>nostore</x:v>
      </x:c>
      <x:c r="D61" s="36" t="n">
        <x:v>1</x:v>
      </x:c>
      <x:c r="E61" s="36" t="n">
        <x:v>1</x:v>
      </x:c>
      <x:c r="F61" s="36" t="n">
        <x:v>3</x:v>
      </x:c>
      <x:c r="G61" s="36" t="n">
        <x:v>5</x:v>
      </x:c>
      <x:c r="H61" s="34" t="str">
        <x:v>finalUndeployThreadEvidenceFinal</x:v>
      </x:c>
      <x:c r="I61" s="36" t="n">
        <x:v>2</x:v>
      </x:c>
      <x:c r="J61" s="34" t="str">
        <x:v>final</x:v>
      </x:c>
      <x:c r="K61" s="36" t="n">
        <x:v>27</x:v>
      </x:c>
      <x:c r="L61" s="51" t="n">
        <x:v>0</x:v>
      </x:c>
      <x:c r="M61" s="51" t="n">
        <x:v>0</x:v>
      </x:c>
      <x:c r="N61" s="36" t="n">
        <x:v>10</x:v>
      </x:c>
      <x:c r="O61" s="44" t="str">
        <x:v>http-nio-8080-exec-52#325 | http-nio-8080-exec-59#366 | http-nio-8080-exec-63#404 | http-nio-8080-exec-65#406 | http-nio-8080-exec-66#409 | http-nio-8080-exec-67#410 | http-nio-8080-exec-69#444 | http-nio-8080-exec-70#445 | http-nio-8080-exec-71#446 | http-nio-8080-exec-72#447</x:v>
      </x:c>
      <x:c r="P61" s="36" t="n">
        <x:v>8</x:v>
      </x:c>
      <x:c r="Q61" s="44" t="str">
        <x:v>http-nio-8080-exec-63#404 | http-nio-8080-exec-65#406 | http-nio-8080-exec-66#409 | http-nio-8080-exec-67#410 | http-nio-8080-exec-69#444 | http-nio-8080-exec-70#445 | http-nio-8080-exec-71#446 | http-nio-8080-exec-72#447</x:v>
      </x:c>
      <x:c r="R61" s="36" t="n">
        <x:v>0</x:v>
      </x:c>
      <x:c r="S61" s="44"/>
      <x:c r="T61" s="36" t="n">
        <x:v>0</x:v>
      </x:c>
      <x:c r="U61" s="44"/>
      <x:c r="V61" s="36" t="n">
        <x:v>0</x:v>
      </x:c>
      <x:c r="W61" s="44"/>
      <x:c r="X61" s="34" t="str">
        <x:v>no-post-undeploy-thread-signal</x:v>
      </x:c>
      <x:c r="Y61" s="44" t="str">
        <x:v>automated signatures are JCS-specific; all other candidate application threads remain unattributed and ownership requires the archived full dump</x:v>
      </x:c>
    </x:row>
    <x:row r="62">
      <x:c r="A62" s="34" t="str">
        <x:v>article1-unified-v4-2-fb3f101b-20260903-000401-default-f01-p4-cache2k</x:v>
      </x:c>
      <x:c r="B62" s="34" t="str">
        <x:v>default</x:v>
      </x:c>
      <x:c r="C62" s="34" t="str">
        <x:v>cache2k</x:v>
      </x:c>
      <x:c r="D62" s="36" t="n">
        <x:v>1</x:v>
      </x:c>
      <x:c r="E62" s="36" t="n">
        <x:v>1</x:v>
      </x:c>
      <x:c r="F62" s="36" t="n">
        <x:v>4</x:v>
      </x:c>
      <x:c r="G62" s="36" t="n">
        <x:v>1</x:v>
      </x:c>
      <x:c r="H62" s="34" t="str">
        <x:v>firstUndeployThreadEvidenceEarly</x:v>
      </x:c>
      <x:c r="I62" s="36" t="n">
        <x:v>1</x:v>
      </x:c>
      <x:c r="J62" s="34" t="str">
        <x:v>early</x:v>
      </x:c>
      <x:c r="K62" s="36" t="n">
        <x:v>27</x:v>
      </x:c>
      <x:c r="L62" s="51" t="n">
        <x:v>0</x:v>
      </x:c>
      <x:c r="M62" s="51" t="n">
        <x:v>0</x:v>
      </x:c>
      <x:c r="N62" s="36" t="n">
        <x:v>2</x:v>
      </x:c>
      <x:c r="O62" s="44" t="str">
        <x:v>http-nio-8080-exec-11#81 | http-nio-8080-exec-12#82</x:v>
      </x:c>
      <x:c r="P62" s="36" t="n">
        <x:v>2</x:v>
      </x:c>
      <x:c r="Q62" s="44" t="str">
        <x:v>http-nio-8080-exec-11#81 | http-nio-8080-exec-12#82</x:v>
      </x:c>
      <x:c r="R62" s="36" t="n">
        <x:v>0</x:v>
      </x:c>
      <x:c r="S62" s="44"/>
      <x:c r="T62" s="36" t="n">
        <x:v>0</x:v>
      </x:c>
      <x:c r="U62" s="44"/>
      <x:c r="V62" s="36" t="n">
        <x:v>0</x:v>
      </x:c>
      <x:c r="W62" s="44"/>
      <x:c r="X62" s="34" t="str">
        <x:v>no-post-undeploy-thread-signal</x:v>
      </x:c>
      <x:c r="Y62" s="44" t="str">
        <x:v>automated signatures are JCS-specific; all other candidate application threads remain unattributed and ownership requires the archived full dump</x:v>
      </x:c>
    </x:row>
    <x:row r="63">
      <x:c r="A63" s="34" t="str">
        <x:v>article1-unified-v4-2-fb3f101b-20260903-000401-default-f01-p4-cache2k</x:v>
      </x:c>
      <x:c r="B63" s="34" t="str">
        <x:v>default</x:v>
      </x:c>
      <x:c r="C63" s="34" t="str">
        <x:v>cache2k</x:v>
      </x:c>
      <x:c r="D63" s="36" t="n">
        <x:v>1</x:v>
      </x:c>
      <x:c r="E63" s="36" t="n">
        <x:v>1</x:v>
      </x:c>
      <x:c r="F63" s="36" t="n">
        <x:v>4</x:v>
      </x:c>
      <x:c r="G63" s="36" t="n">
        <x:v>1</x:v>
      </x:c>
      <x:c r="H63" s="34" t="str">
        <x:v>firstUndeployThreadEvidenceFinal</x:v>
      </x:c>
      <x:c r="I63" s="36" t="n">
        <x:v>1</x:v>
      </x:c>
      <x:c r="J63" s="34" t="str">
        <x:v>final</x:v>
      </x:c>
      <x:c r="K63" s="36" t="n">
        <x:v>27</x:v>
      </x:c>
      <x:c r="L63" s="51" t="n">
        <x:v>0</x:v>
      </x:c>
      <x:c r="M63" s="51" t="n">
        <x:v>0</x:v>
      </x:c>
      <x:c r="N63" s="36" t="n">
        <x:v>3</x:v>
      </x:c>
      <x:c r="O63" s="44" t="str">
        <x:v>http-nio-8080-exec-11#81 | http-nio-8080-exec-12#82 | http-nio-8080-exec-13#83</x:v>
      </x:c>
      <x:c r="P63" s="36" t="n">
        <x:v>3</x:v>
      </x:c>
      <x:c r="Q63" s="44" t="str">
        <x:v>http-nio-8080-exec-11#81 | http-nio-8080-exec-12#82 | http-nio-8080-exec-13#83</x:v>
      </x:c>
      <x:c r="R63" s="36" t="n">
        <x:v>0</x:v>
      </x:c>
      <x:c r="S63" s="44"/>
      <x:c r="T63" s="36" t="n">
        <x:v>0</x:v>
      </x:c>
      <x:c r="U63" s="44"/>
      <x:c r="V63" s="36" t="n">
        <x:v>0</x:v>
      </x:c>
      <x:c r="W63" s="44"/>
      <x:c r="X63" s="34" t="str">
        <x:v>no-post-undeploy-thread-signal</x:v>
      </x:c>
      <x:c r="Y63" s="44" t="str">
        <x:v>automated signatures are JCS-specific; all other candidate application threads remain unattributed and ownership requires the archived full dump</x:v>
      </x:c>
    </x:row>
    <x:row r="64">
      <x:c r="A64" s="34" t="str">
        <x:v>article1-unified-v4-2-fb3f101b-20260903-000401-default-f01-p4-cache2k</x:v>
      </x:c>
      <x:c r="B64" s="34" t="str">
        <x:v>default</x:v>
      </x:c>
      <x:c r="C64" s="34" t="str">
        <x:v>cache2k</x:v>
      </x:c>
      <x:c r="D64" s="36" t="n">
        <x:v>1</x:v>
      </x:c>
      <x:c r="E64" s="36" t="n">
        <x:v>1</x:v>
      </x:c>
      <x:c r="F64" s="36" t="n">
        <x:v>4</x:v>
      </x:c>
      <x:c r="G64" s="36" t="n">
        <x:v>1</x:v>
      </x:c>
      <x:c r="H64" s="34" t="str">
        <x:v>finalUndeployThreadEvidenceEarly</x:v>
      </x:c>
      <x:c r="I64" s="36" t="n">
        <x:v>2</x:v>
      </x:c>
      <x:c r="J64" s="34" t="str">
        <x:v>early</x:v>
      </x:c>
      <x:c r="K64" s="36" t="n">
        <x:v>27</x:v>
      </x:c>
      <x:c r="L64" s="51" t="n">
        <x:v>0</x:v>
      </x:c>
      <x:c r="M64" s="51" t="n">
        <x:v>0</x:v>
      </x:c>
      <x:c r="N64" s="36" t="n">
        <x:v>8</x:v>
      </x:c>
      <x:c r="O64" s="44" t="str">
        <x:v>http-nio-8080-exec-11#81 | http-nio-8080-exec-12#82 | http-nio-8080-exec-13#83 | http-nio-8080-exec-14#86 | http-nio-8080-exec-16#88 | http-nio-8080-exec-17#122 | http-nio-8080-exec-18#123 | http-nio-8080-exec-19#124</x:v>
      </x:c>
      <x:c r="P64" s="36" t="n">
        <x:v>8</x:v>
      </x:c>
      <x:c r="Q64" s="44" t="str">
        <x:v>http-nio-8080-exec-11#81 | http-nio-8080-exec-12#82 | http-nio-8080-exec-13#83 | http-nio-8080-exec-14#86 | http-nio-8080-exec-16#88 | http-nio-8080-exec-17#122 | http-nio-8080-exec-18#123 | http-nio-8080-exec-19#124</x:v>
      </x:c>
      <x:c r="R64" s="36" t="n">
        <x:v>0</x:v>
      </x:c>
      <x:c r="S64" s="44"/>
      <x:c r="T64" s="36" t="n">
        <x:v>0</x:v>
      </x:c>
      <x:c r="U64" s="44"/>
      <x:c r="V64" s="36" t="n">
        <x:v>0</x:v>
      </x:c>
      <x:c r="W64" s="44"/>
      <x:c r="X64" s="34" t="str">
        <x:v>no-post-undeploy-thread-signal</x:v>
      </x:c>
      <x:c r="Y64" s="44" t="str">
        <x:v>automated signatures are JCS-specific; all other candidate application threads remain unattributed and ownership requires the archived full dump</x:v>
      </x:c>
    </x:row>
    <x:row r="65">
      <x:c r="A65" s="34" t="str">
        <x:v>article1-unified-v4-2-fb3f101b-20260903-000401-default-f01-p4-cache2k</x:v>
      </x:c>
      <x:c r="B65" s="34" t="str">
        <x:v>default</x:v>
      </x:c>
      <x:c r="C65" s="34" t="str">
        <x:v>cache2k</x:v>
      </x:c>
      <x:c r="D65" s="36" t="n">
        <x:v>1</x:v>
      </x:c>
      <x:c r="E65" s="36" t="n">
        <x:v>1</x:v>
      </x:c>
      <x:c r="F65" s="36" t="n">
        <x:v>4</x:v>
      </x:c>
      <x:c r="G65" s="36" t="n">
        <x:v>1</x:v>
      </x:c>
      <x:c r="H65" s="34" t="str">
        <x:v>finalUndeployThreadEvidenceFinal</x:v>
      </x:c>
      <x:c r="I65" s="36" t="n">
        <x:v>2</x:v>
      </x:c>
      <x:c r="J65" s="34" t="str">
        <x:v>final</x:v>
      </x:c>
      <x:c r="K65" s="36" t="n">
        <x:v>27</x:v>
      </x:c>
      <x:c r="L65" s="51" t="n">
        <x:v>0</x:v>
      </x:c>
      <x:c r="M65" s="51" t="n">
        <x:v>0</x:v>
      </x:c>
      <x:c r="N65" s="36" t="n">
        <x:v>8</x:v>
      </x:c>
      <x:c r="O65" s="44" t="str">
        <x:v>http-nio-8080-exec-11#81 | http-nio-8080-exec-12#82 | http-nio-8080-exec-13#83 | http-nio-8080-exec-16#88 | http-nio-8080-exec-17#122 | http-nio-8080-exec-18#123 | http-nio-8080-exec-19#124 | http-nio-8080-exec-20#125</x:v>
      </x:c>
      <x:c r="P65" s="36" t="n">
        <x:v>8</x:v>
      </x:c>
      <x:c r="Q65" s="44" t="str">
        <x:v>http-nio-8080-exec-11#81 | http-nio-8080-exec-12#82 | http-nio-8080-exec-13#83 | http-nio-8080-exec-16#88 | http-nio-8080-exec-17#122 | http-nio-8080-exec-18#123 | http-nio-8080-exec-19#124 | http-nio-8080-exec-20#125</x:v>
      </x:c>
      <x:c r="R65" s="36" t="n">
        <x:v>0</x:v>
      </x:c>
      <x:c r="S65" s="44"/>
      <x:c r="T65" s="36" t="n">
        <x:v>0</x:v>
      </x:c>
      <x:c r="U65" s="44"/>
      <x:c r="V65" s="36" t="n">
        <x:v>0</x:v>
      </x:c>
      <x:c r="W65" s="44"/>
      <x:c r="X65" s="34" t="str">
        <x:v>no-post-undeploy-thread-signal</x:v>
      </x:c>
      <x:c r="Y65" s="44" t="str">
        <x:v>automated signatures are JCS-specific; all other candidate application threads remain unattributed and ownership requires the archived full dump</x:v>
      </x:c>
    </x:row>
    <x:row r="66">
      <x:c r="A66" s="34" t="str">
        <x:v>article1-unified-v4-2-fb3f101b-20260903-000401-default-f01-p4-cache2k</x:v>
      </x:c>
      <x:c r="B66" s="34" t="str">
        <x:v>default</x:v>
      </x:c>
      <x:c r="C66" s="34" t="str">
        <x:v>cache2k</x:v>
      </x:c>
      <x:c r="D66" s="36" t="n">
        <x:v>1</x:v>
      </x:c>
      <x:c r="E66" s="36" t="n">
        <x:v>1</x:v>
      </x:c>
      <x:c r="F66" s="36" t="n">
        <x:v>4</x:v>
      </x:c>
      <x:c r="G66" s="36" t="n">
        <x:v>2</x:v>
      </x:c>
      <x:c r="H66" s="34" t="str">
        <x:v>firstUndeployThreadEvidenceEarly</x:v>
      </x:c>
      <x:c r="I66" s="36" t="n">
        <x:v>1</x:v>
      </x:c>
      <x:c r="J66" s="34" t="str">
        <x:v>early</x:v>
      </x:c>
      <x:c r="K66" s="36" t="n">
        <x:v>27</x:v>
      </x:c>
      <x:c r="L66" s="51" t="n">
        <x:v>0</x:v>
      </x:c>
      <x:c r="M66" s="51" t="n">
        <x:v>0</x:v>
      </x:c>
      <x:c r="N66" s="36" t="n">
        <x:v>9</x:v>
      </x:c>
      <x:c r="O66" s="44" t="str">
        <x:v>http-nio-8080-exec-13#83 | http-nio-8080-exec-16#88 | http-nio-8080-exec-18#123 | http-nio-8080-exec-20#125 | http-nio-8080-exec-21#128 | http-nio-8080-exec-22#129 | http-nio-8080-exec-23#163 | http-nio-8080-exec-24#164 | http-nio-8080-exec-25#165</x:v>
      </x:c>
      <x:c r="P66" s="36" t="n">
        <x:v>5</x:v>
      </x:c>
      <x:c r="Q66" s="44" t="str">
        <x:v>http-nio-8080-exec-21#128 | http-nio-8080-exec-22#129 | http-nio-8080-exec-23#163 | http-nio-8080-exec-24#164 | http-nio-8080-exec-25#165</x:v>
      </x:c>
      <x:c r="R66" s="36" t="n">
        <x:v>0</x:v>
      </x:c>
      <x:c r="S66" s="44"/>
      <x:c r="T66" s="36" t="n">
        <x:v>0</x:v>
      </x:c>
      <x:c r="U66" s="44"/>
      <x:c r="V66" s="36" t="n">
        <x:v>0</x:v>
      </x:c>
      <x:c r="W66" s="44"/>
      <x:c r="X66" s="34" t="str">
        <x:v>no-post-undeploy-thread-signal</x:v>
      </x:c>
      <x:c r="Y66" s="44" t="str">
        <x:v>automated signatures are JCS-specific; all other candidate application threads remain unattributed and ownership requires the archived full dump</x:v>
      </x:c>
    </x:row>
    <x:row r="67">
      <x:c r="A67" s="34" t="str">
        <x:v>article1-unified-v4-2-fb3f101b-20260903-000401-default-f01-p4-cache2k</x:v>
      </x:c>
      <x:c r="B67" s="34" t="str">
        <x:v>default</x:v>
      </x:c>
      <x:c r="C67" s="34" t="str">
        <x:v>cache2k</x:v>
      </x:c>
      <x:c r="D67" s="36" t="n">
        <x:v>1</x:v>
      </x:c>
      <x:c r="E67" s="36" t="n">
        <x:v>1</x:v>
      </x:c>
      <x:c r="F67" s="36" t="n">
        <x:v>4</x:v>
      </x:c>
      <x:c r="G67" s="36" t="n">
        <x:v>2</x:v>
      </x:c>
      <x:c r="H67" s="34" t="str">
        <x:v>firstUndeployThreadEvidenceFinal</x:v>
      </x:c>
      <x:c r="I67" s="36" t="n">
        <x:v>1</x:v>
      </x:c>
      <x:c r="J67" s="34" t="str">
        <x:v>final</x:v>
      </x:c>
      <x:c r="K67" s="36" t="n">
        <x:v>27</x:v>
      </x:c>
      <x:c r="L67" s="51" t="n">
        <x:v>0</x:v>
      </x:c>
      <x:c r="M67" s="51" t="n">
        <x:v>0</x:v>
      </x:c>
      <x:c r="N67" s="36" t="n">
        <x:v>9</x:v>
      </x:c>
      <x:c r="O67" s="44" t="str">
        <x:v>http-nio-8080-exec-13#83 | http-nio-8080-exec-18#123 | http-nio-8080-exec-20#125 | http-nio-8080-exec-21#128 | http-nio-8080-exec-22#129 | http-nio-8080-exec-23#163 | http-nio-8080-exec-24#164 | http-nio-8080-exec-25#165 | http-nio-8080-exec-26#166</x:v>
      </x:c>
      <x:c r="P67" s="36" t="n">
        <x:v>6</x:v>
      </x:c>
      <x:c r="Q67" s="44" t="str">
        <x:v>http-nio-8080-exec-21#128 | http-nio-8080-exec-22#129 | http-nio-8080-exec-23#163 | http-nio-8080-exec-24#164 | http-nio-8080-exec-25#165 | http-nio-8080-exec-26#166</x:v>
      </x:c>
      <x:c r="R67" s="36" t="n">
        <x:v>0</x:v>
      </x:c>
      <x:c r="S67" s="44"/>
      <x:c r="T67" s="36" t="n">
        <x:v>0</x:v>
      </x:c>
      <x:c r="U67" s="44"/>
      <x:c r="V67" s="36" t="n">
        <x:v>0</x:v>
      </x:c>
      <x:c r="W67" s="44"/>
      <x:c r="X67" s="34" t="str">
        <x:v>no-post-undeploy-thread-signal</x:v>
      </x:c>
      <x:c r="Y67" s="44" t="str">
        <x:v>automated signatures are JCS-specific; all other candidate application threads remain unattributed and ownership requires the archived full dump</x:v>
      </x:c>
    </x:row>
    <x:row r="68">
      <x:c r="A68" s="34" t="str">
        <x:v>article1-unified-v4-2-fb3f101b-20260903-000401-default-f01-p4-cache2k</x:v>
      </x:c>
      <x:c r="B68" s="34" t="str">
        <x:v>default</x:v>
      </x:c>
      <x:c r="C68" s="34" t="str">
        <x:v>cache2k</x:v>
      </x:c>
      <x:c r="D68" s="36" t="n">
        <x:v>1</x:v>
      </x:c>
      <x:c r="E68" s="36" t="n">
        <x:v>1</x:v>
      </x:c>
      <x:c r="F68" s="36" t="n">
        <x:v>4</x:v>
      </x:c>
      <x:c r="G68" s="36" t="n">
        <x:v>2</x:v>
      </x:c>
      <x:c r="H68" s="34" t="str">
        <x:v>finalUndeployThreadEvidenceEarly</x:v>
      </x:c>
      <x:c r="I68" s="36" t="n">
        <x:v>2</x:v>
      </x:c>
      <x:c r="J68" s="34" t="str">
        <x:v>early</x:v>
      </x:c>
      <x:c r="K68" s="36" t="n">
        <x:v>27</x:v>
      </x:c>
      <x:c r="L68" s="51" t="n">
        <x:v>0</x:v>
      </x:c>
      <x:c r="M68" s="51" t="n">
        <x:v>0</x:v>
      </x:c>
      <x:c r="N68" s="36" t="n">
        <x:v>10</x:v>
      </x:c>
      <x:c r="O68" s="44" t="str">
        <x:v>http-nio-8080-exec-18#123 | http-nio-8080-exec-23#163 | http-nio-8080-exec-24#164 | http-nio-8080-exec-25#165 | http-nio-8080-exec-26#166 | http-nio-8080-exec-28#170 | http-nio-8080-exec-29#171 | http-nio-8080-exec-30#205 | http-nio-8080-exec-31#206 | http-nio-8080-exec-32#207</x:v>
      </x:c>
      <x:c r="P68" s="36" t="n">
        <x:v>9</x:v>
      </x:c>
      <x:c r="Q68" s="44" t="str">
        <x:v>http-nio-8080-exec-23#163 | http-nio-8080-exec-24#164 | http-nio-8080-exec-25#165 | http-nio-8080-exec-26#166 | http-nio-8080-exec-28#170 | http-nio-8080-exec-29#171 | http-nio-8080-exec-30#205 | http-nio-8080-exec-31#206 | http-nio-8080-exec-32#207</x:v>
      </x:c>
      <x:c r="R68" s="36" t="n">
        <x:v>0</x:v>
      </x:c>
      <x:c r="S68" s="44"/>
      <x:c r="T68" s="36" t="n">
        <x:v>0</x:v>
      </x:c>
      <x:c r="U68" s="44"/>
      <x:c r="V68" s="36" t="n">
        <x:v>0</x:v>
      </x:c>
      <x:c r="W68" s="44"/>
      <x:c r="X68" s="34" t="str">
        <x:v>no-post-undeploy-thread-signal</x:v>
      </x:c>
      <x:c r="Y68" s="44" t="str">
        <x:v>automated signatures are JCS-specific; all other candidate application threads remain unattributed and ownership requires the archived full dump</x:v>
      </x:c>
    </x:row>
    <x:row r="69">
      <x:c r="A69" s="34" t="str">
        <x:v>article1-unified-v4-2-fb3f101b-20260903-000401-default-f01-p4-cache2k</x:v>
      </x:c>
      <x:c r="B69" s="34" t="str">
        <x:v>default</x:v>
      </x:c>
      <x:c r="C69" s="34" t="str">
        <x:v>cache2k</x:v>
      </x:c>
      <x:c r="D69" s="36" t="n">
        <x:v>1</x:v>
      </x:c>
      <x:c r="E69" s="36" t="n">
        <x:v>1</x:v>
      </x:c>
      <x:c r="F69" s="36" t="n">
        <x:v>4</x:v>
      </x:c>
      <x:c r="G69" s="36" t="n">
        <x:v>2</x:v>
      </x:c>
      <x:c r="H69" s="34" t="str">
        <x:v>finalUndeployThreadEvidenceFinal</x:v>
      </x:c>
      <x:c r="I69" s="36" t="n">
        <x:v>2</x:v>
      </x:c>
      <x:c r="J69" s="34" t="str">
        <x:v>final</x:v>
      </x:c>
      <x:c r="K69" s="36" t="n">
        <x:v>27</x:v>
      </x:c>
      <x:c r="L69" s="51" t="n">
        <x:v>0</x:v>
      </x:c>
      <x:c r="M69" s="51" t="n">
        <x:v>0</x:v>
      </x:c>
      <x:c r="N69" s="36" t="n">
        <x:v>10</x:v>
      </x:c>
      <x:c r="O69" s="44" t="str">
        <x:v>http-nio-8080-exec-18#123 | http-nio-8080-exec-23#163 | http-nio-8080-exec-24#164 | http-nio-8080-exec-26#166 | http-nio-8080-exec-28#170 | http-nio-8080-exec-29#171 | http-nio-8080-exec-30#205 | http-nio-8080-exec-31#206 | http-nio-8080-exec-32#207 | http-nio-8080-exec-33#208</x:v>
      </x:c>
      <x:c r="P69" s="36" t="n">
        <x:v>9</x:v>
      </x:c>
      <x:c r="Q69" s="44" t="str">
        <x:v>http-nio-8080-exec-23#163 | http-nio-8080-exec-24#164 | http-nio-8080-exec-26#166 | http-nio-8080-exec-28#170 | http-nio-8080-exec-29#171 | http-nio-8080-exec-30#205 | http-nio-8080-exec-31#206 | http-nio-8080-exec-32#207 | http-nio-8080-exec-33#208</x:v>
      </x:c>
      <x:c r="R69" s="36" t="n">
        <x:v>0</x:v>
      </x:c>
      <x:c r="S69" s="44"/>
      <x:c r="T69" s="36" t="n">
        <x:v>0</x:v>
      </x:c>
      <x:c r="U69" s="44"/>
      <x:c r="V69" s="36" t="n">
        <x:v>0</x:v>
      </x:c>
      <x:c r="W69" s="44"/>
      <x:c r="X69" s="34" t="str">
        <x:v>no-post-undeploy-thread-signal</x:v>
      </x:c>
      <x:c r="Y69" s="44" t="str">
        <x:v>automated signatures are JCS-specific; all other candidate application threads remain unattributed and ownership requires the archived full dump</x:v>
      </x:c>
    </x:row>
    <x:row r="70">
      <x:c r="A70" s="34" t="str">
        <x:v>article1-unified-v4-2-fb3f101b-20260903-000401-default-f01-p4-cache2k</x:v>
      </x:c>
      <x:c r="B70" s="34" t="str">
        <x:v>default</x:v>
      </x:c>
      <x:c r="C70" s="34" t="str">
        <x:v>cache2k</x:v>
      </x:c>
      <x:c r="D70" s="36" t="n">
        <x:v>1</x:v>
      </x:c>
      <x:c r="E70" s="36" t="n">
        <x:v>1</x:v>
      </x:c>
      <x:c r="F70" s="36" t="n">
        <x:v>4</x:v>
      </x:c>
      <x:c r="G70" s="36" t="n">
        <x:v>3</x:v>
      </x:c>
      <x:c r="H70" s="34" t="str">
        <x:v>firstUndeployThreadEvidenceEarly</x:v>
      </x:c>
      <x:c r="I70" s="36" t="n">
        <x:v>1</x:v>
      </x:c>
      <x:c r="J70" s="34" t="str">
        <x:v>early</x:v>
      </x:c>
      <x:c r="K70" s="36" t="n">
        <x:v>27</x:v>
      </x:c>
      <x:c r="L70" s="51" t="n">
        <x:v>0</x:v>
      </x:c>
      <x:c r="M70" s="51" t="n">
        <x:v>0</x:v>
      </x:c>
      <x:c r="N70" s="36" t="n">
        <x:v>10</x:v>
      </x:c>
      <x:c r="O70" s="44" t="str">
        <x:v>http-nio-8080-exec-18#123 | http-nio-8080-exec-29#171 | http-nio-8080-exec-30#205 | http-nio-8080-exec-31#206 | http-nio-8080-exec-32#207 | http-nio-8080-exec-33#208 | http-nio-8080-exec-34#211 | http-nio-8080-exec-35#212 | http-nio-8080-exec-37#247 | http-nio-8080-exec-38#248</x:v>
      </x:c>
      <x:c r="P70" s="36" t="n">
        <x:v>4</x:v>
      </x:c>
      <x:c r="Q70" s="44" t="str">
        <x:v>http-nio-8080-exec-34#211 | http-nio-8080-exec-35#212 | http-nio-8080-exec-37#247 | http-nio-8080-exec-38#248</x:v>
      </x:c>
      <x:c r="R70" s="36" t="n">
        <x:v>0</x:v>
      </x:c>
      <x:c r="S70" s="44"/>
      <x:c r="T70" s="36" t="n">
        <x:v>0</x:v>
      </x:c>
      <x:c r="U70" s="44"/>
      <x:c r="V70" s="36" t="n">
        <x:v>0</x:v>
      </x:c>
      <x:c r="W70" s="44"/>
      <x:c r="X70" s="34" t="str">
        <x:v>no-post-undeploy-thread-signal</x:v>
      </x:c>
      <x:c r="Y70" s="44" t="str">
        <x:v>automated signatures are JCS-specific; all other candidate application threads remain unattributed and ownership requires the archived full dump</x:v>
      </x:c>
    </x:row>
    <x:row r="71">
      <x:c r="A71" s="34" t="str">
        <x:v>article1-unified-v4-2-fb3f101b-20260903-000401-default-f01-p4-cache2k</x:v>
      </x:c>
      <x:c r="B71" s="34" t="str">
        <x:v>default</x:v>
      </x:c>
      <x:c r="C71" s="34" t="str">
        <x:v>cache2k</x:v>
      </x:c>
      <x:c r="D71" s="36" t="n">
        <x:v>1</x:v>
      </x:c>
      <x:c r="E71" s="36" t="n">
        <x:v>1</x:v>
      </x:c>
      <x:c r="F71" s="36" t="n">
        <x:v>4</x:v>
      </x:c>
      <x:c r="G71" s="36" t="n">
        <x:v>3</x:v>
      </x:c>
      <x:c r="H71" s="34" t="str">
        <x:v>firstUndeployThreadEvidenceFinal</x:v>
      </x:c>
      <x:c r="I71" s="36" t="n">
        <x:v>1</x:v>
      </x:c>
      <x:c r="J71" s="34" t="str">
        <x:v>final</x:v>
      </x:c>
      <x:c r="K71" s="36" t="n">
        <x:v>27</x:v>
      </x:c>
      <x:c r="L71" s="51" t="n">
        <x:v>0</x:v>
      </x:c>
      <x:c r="M71" s="51" t="n">
        <x:v>0</x:v>
      </x:c>
      <x:c r="N71" s="36" t="n">
        <x:v>10</x:v>
      </x:c>
      <x:c r="O71" s="44" t="str">
        <x:v>http-nio-8080-exec-18#123 | http-nio-8080-exec-29#171 | http-nio-8080-exec-30#205 | http-nio-8080-exec-31#206 | http-nio-8080-exec-32#207 | http-nio-8080-exec-33#208 | http-nio-8080-exec-34#211 | http-nio-8080-exec-37#247 | http-nio-8080-exec-38#248 | http-nio-8080-exec-39#249</x:v>
      </x:c>
      <x:c r="P71" s="36" t="n">
        <x:v>4</x:v>
      </x:c>
      <x:c r="Q71" s="44" t="str">
        <x:v>http-nio-8080-exec-34#211 | http-nio-8080-exec-37#247 | http-nio-8080-exec-38#248 | http-nio-8080-exec-39#249</x:v>
      </x:c>
      <x:c r="R71" s="36" t="n">
        <x:v>0</x:v>
      </x:c>
      <x:c r="S71" s="44"/>
      <x:c r="T71" s="36" t="n">
        <x:v>0</x:v>
      </x:c>
      <x:c r="U71" s="44"/>
      <x:c r="V71" s="36" t="n">
        <x:v>0</x:v>
      </x:c>
      <x:c r="W71" s="44"/>
      <x:c r="X71" s="34" t="str">
        <x:v>no-post-undeploy-thread-signal</x:v>
      </x:c>
      <x:c r="Y71" s="44" t="str">
        <x:v>automated signatures are JCS-specific; all other candidate application threads remain unattributed and ownership requires the archived full dump</x:v>
      </x:c>
    </x:row>
    <x:row r="72">
      <x:c r="A72" s="34" t="str">
        <x:v>article1-unified-v4-2-fb3f101b-20260903-000401-default-f01-p4-cache2k</x:v>
      </x:c>
      <x:c r="B72" s="34" t="str">
        <x:v>default</x:v>
      </x:c>
      <x:c r="C72" s="34" t="str">
        <x:v>cache2k</x:v>
      </x:c>
      <x:c r="D72" s="36" t="n">
        <x:v>1</x:v>
      </x:c>
      <x:c r="E72" s="36" t="n">
        <x:v>1</x:v>
      </x:c>
      <x:c r="F72" s="36" t="n">
        <x:v>4</x:v>
      </x:c>
      <x:c r="G72" s="36" t="n">
        <x:v>3</x:v>
      </x:c>
      <x:c r="H72" s="34" t="str">
        <x:v>finalUndeployThreadEvidenceEarly</x:v>
      </x:c>
      <x:c r="I72" s="36" t="n">
        <x:v>2</x:v>
      </x:c>
      <x:c r="J72" s="34" t="str">
        <x:v>early</x:v>
      </x:c>
      <x:c r="K72" s="36" t="n">
        <x:v>27</x:v>
      </x:c>
      <x:c r="L72" s="51" t="n">
        <x:v>0</x:v>
      </x:c>
      <x:c r="M72" s="51" t="n">
        <x:v>0</x:v>
      </x:c>
      <x:c r="N72" s="36" t="n">
        <x:v>10</x:v>
      </x:c>
      <x:c r="O72" s="44" t="str">
        <x:v>http-nio-8080-exec-31#206 | http-nio-8080-exec-32#207 | http-nio-8080-exec-37#247 | http-nio-8080-exec-38#248 | http-nio-8080-exec-39#249 | http-nio-8080-exec-40#252 | http-nio-8080-exec-42#254 | http-nio-8080-exec-43#288 | http-nio-8080-exec-44#289 | http-nio-8080-exec-45#290</x:v>
      </x:c>
      <x:c r="P72" s="36" t="n">
        <x:v>8</x:v>
      </x:c>
      <x:c r="Q72" s="44" t="str">
        <x:v>http-nio-8080-exec-37#247 | http-nio-8080-exec-38#248 | http-nio-8080-exec-39#249 | http-nio-8080-exec-40#252 | http-nio-8080-exec-42#254 | http-nio-8080-exec-43#288 | http-nio-8080-exec-44#289 | http-nio-8080-exec-45#290</x:v>
      </x:c>
      <x:c r="R72" s="36" t="n">
        <x:v>0</x:v>
      </x:c>
      <x:c r="S72" s="44"/>
      <x:c r="T72" s="36" t="n">
        <x:v>0</x:v>
      </x:c>
      <x:c r="U72" s="44"/>
      <x:c r="V72" s="36" t="n">
        <x:v>0</x:v>
      </x:c>
      <x:c r="W72" s="44"/>
      <x:c r="X72" s="34" t="str">
        <x:v>no-post-undeploy-thread-signal</x:v>
      </x:c>
      <x:c r="Y72" s="44" t="str">
        <x:v>automated signatures are JCS-specific; all other candidate application threads remain unattributed and ownership requires the archived full dump</x:v>
      </x:c>
    </x:row>
    <x:row r="73">
      <x:c r="A73" s="34" t="str">
        <x:v>article1-unified-v4-2-fb3f101b-20260903-000401-default-f01-p4-cache2k</x:v>
      </x:c>
      <x:c r="B73" s="34" t="str">
        <x:v>default</x:v>
      </x:c>
      <x:c r="C73" s="34" t="str">
        <x:v>cache2k</x:v>
      </x:c>
      <x:c r="D73" s="36" t="n">
        <x:v>1</x:v>
      </x:c>
      <x:c r="E73" s="36" t="n">
        <x:v>1</x:v>
      </x:c>
      <x:c r="F73" s="36" t="n">
        <x:v>4</x:v>
      </x:c>
      <x:c r="G73" s="36" t="n">
        <x:v>3</x:v>
      </x:c>
      <x:c r="H73" s="34" t="str">
        <x:v>finalUndeployThreadEvidenceFinal</x:v>
      </x:c>
      <x:c r="I73" s="36" t="n">
        <x:v>2</x:v>
      </x:c>
      <x:c r="J73" s="34" t="str">
        <x:v>final</x:v>
      </x:c>
      <x:c r="K73" s="36" t="n">
        <x:v>27</x:v>
      </x:c>
      <x:c r="L73" s="51" t="n">
        <x:v>0</x:v>
      </x:c>
      <x:c r="M73" s="51" t="n">
        <x:v>0</x:v>
      </x:c>
      <x:c r="N73" s="36" t="n">
        <x:v>10</x:v>
      </x:c>
      <x:c r="O73" s="44" t="str">
        <x:v>http-nio-8080-exec-31#206 | http-nio-8080-exec-32#207 | http-nio-8080-exec-37#247 | http-nio-8080-exec-38#248 | http-nio-8080-exec-39#249 | http-nio-8080-exec-40#252 | http-nio-8080-exec-43#288 | http-nio-8080-exec-44#289 | http-nio-8080-exec-45#290 | http-nio-8080-exec-46#291</x:v>
      </x:c>
      <x:c r="P73" s="36" t="n">
        <x:v>8</x:v>
      </x:c>
      <x:c r="Q73" s="44" t="str">
        <x:v>http-nio-8080-exec-37#247 | http-nio-8080-exec-38#248 | http-nio-8080-exec-39#249 | http-nio-8080-exec-40#252 | http-nio-8080-exec-43#288 | http-nio-8080-exec-44#289 | http-nio-8080-exec-45#290 | http-nio-8080-exec-46#291</x:v>
      </x:c>
      <x:c r="R73" s="36" t="n">
        <x:v>0</x:v>
      </x:c>
      <x:c r="S73" s="44"/>
      <x:c r="T73" s="36" t="n">
        <x:v>0</x:v>
      </x:c>
      <x:c r="U73" s="44"/>
      <x:c r="V73" s="36" t="n">
        <x:v>0</x:v>
      </x:c>
      <x:c r="W73" s="44"/>
      <x:c r="X73" s="34" t="str">
        <x:v>no-post-undeploy-thread-signal</x:v>
      </x:c>
      <x:c r="Y73" s="44" t="str">
        <x:v>automated signatures are JCS-specific; all other candidate application threads remain unattributed and ownership requires the archived full dump</x:v>
      </x:c>
    </x:row>
    <x:row r="74">
      <x:c r="A74" s="34" t="str">
        <x:v>article1-unified-v4-2-fb3f101b-20260903-000401-default-f01-p4-cache2k</x:v>
      </x:c>
      <x:c r="B74" s="34" t="str">
        <x:v>default</x:v>
      </x:c>
      <x:c r="C74" s="34" t="str">
        <x:v>cache2k</x:v>
      </x:c>
      <x:c r="D74" s="36" t="n">
        <x:v>1</x:v>
      </x:c>
      <x:c r="E74" s="36" t="n">
        <x:v>1</x:v>
      </x:c>
      <x:c r="F74" s="36" t="n">
        <x:v>4</x:v>
      </x:c>
      <x:c r="G74" s="36" t="n">
        <x:v>4</x:v>
      </x:c>
      <x:c r="H74" s="34" t="str">
        <x:v>firstUndeployThreadEvidenceEarly</x:v>
      </x:c>
      <x:c r="I74" s="36" t="n">
        <x:v>1</x:v>
      </x:c>
      <x:c r="J74" s="34" t="str">
        <x:v>early</x:v>
      </x:c>
      <x:c r="K74" s="36" t="n">
        <x:v>27</x:v>
      </x:c>
      <x:c r="L74" s="51" t="n">
        <x:v>0</x:v>
      </x:c>
      <x:c r="M74" s="51" t="n">
        <x:v>0</x:v>
      </x:c>
      <x:c r="N74" s="36" t="n">
        <x:v>10</x:v>
      </x:c>
      <x:c r="O74" s="44" t="str">
        <x:v>http-nio-8080-exec-32#207 | http-nio-8080-exec-39#249 | http-nio-8080-exec-40#252 | http-nio-8080-exec-44#289 | http-nio-8080-exec-45#290 | http-nio-8080-exec-46#291 | http-nio-8080-exec-47#294 | http-nio-8080-exec-48#295 | http-nio-8080-exec-50#330 | http-nio-8080-exec-51#331</x:v>
      </x:c>
      <x:c r="P74" s="36" t="n">
        <x:v>4</x:v>
      </x:c>
      <x:c r="Q74" s="44" t="str">
        <x:v>http-nio-8080-exec-47#294 | http-nio-8080-exec-48#295 | http-nio-8080-exec-50#330 | http-nio-8080-exec-51#331</x:v>
      </x:c>
      <x:c r="R74" s="36" t="n">
        <x:v>0</x:v>
      </x:c>
      <x:c r="S74" s="44"/>
      <x:c r="T74" s="36" t="n">
        <x:v>0</x:v>
      </x:c>
      <x:c r="U74" s="44"/>
      <x:c r="V74" s="36" t="n">
        <x:v>0</x:v>
      </x:c>
      <x:c r="W74" s="44"/>
      <x:c r="X74" s="34" t="str">
        <x:v>no-post-undeploy-thread-signal</x:v>
      </x:c>
      <x:c r="Y74" s="44" t="str">
        <x:v>automated signatures are JCS-specific; all other candidate application threads remain unattributed and ownership requires the archived full dump</x:v>
      </x:c>
    </x:row>
    <x:row r="75">
      <x:c r="A75" s="34" t="str">
        <x:v>article1-unified-v4-2-fb3f101b-20260903-000401-default-f01-p4-cache2k</x:v>
      </x:c>
      <x:c r="B75" s="34" t="str">
        <x:v>default</x:v>
      </x:c>
      <x:c r="C75" s="34" t="str">
        <x:v>cache2k</x:v>
      </x:c>
      <x:c r="D75" s="36" t="n">
        <x:v>1</x:v>
      </x:c>
      <x:c r="E75" s="36" t="n">
        <x:v>1</x:v>
      </x:c>
      <x:c r="F75" s="36" t="n">
        <x:v>4</x:v>
      </x:c>
      <x:c r="G75" s="36" t="n">
        <x:v>4</x:v>
      </x:c>
      <x:c r="H75" s="34" t="str">
        <x:v>firstUndeployThreadEvidenceFinal</x:v>
      </x:c>
      <x:c r="I75" s="36" t="n">
        <x:v>1</x:v>
      </x:c>
      <x:c r="J75" s="34" t="str">
        <x:v>final</x:v>
      </x:c>
      <x:c r="K75" s="36" t="n">
        <x:v>27</x:v>
      </x:c>
      <x:c r="L75" s="51" t="n">
        <x:v>0</x:v>
      </x:c>
      <x:c r="M75" s="51" t="n">
        <x:v>0</x:v>
      </x:c>
      <x:c r="N75" s="36" t="n">
        <x:v>10</x:v>
      </x:c>
      <x:c r="O75" s="44" t="str">
        <x:v>http-nio-8080-exec-32#207 | http-nio-8080-exec-39#249 | http-nio-8080-exec-40#252 | http-nio-8080-exec-44#289 | http-nio-8080-exec-45#290 | http-nio-8080-exec-46#291 | http-nio-8080-exec-48#295 | http-nio-8080-exec-50#330 | http-nio-8080-exec-51#331 | http-nio-8080-exec-52#332</x:v>
      </x:c>
      <x:c r="P75" s="36" t="n">
        <x:v>4</x:v>
      </x:c>
      <x:c r="Q75" s="44" t="str">
        <x:v>http-nio-8080-exec-48#295 | http-nio-8080-exec-50#330 | http-nio-8080-exec-51#331 | http-nio-8080-exec-52#332</x:v>
      </x:c>
      <x:c r="R75" s="36" t="n">
        <x:v>0</x:v>
      </x:c>
      <x:c r="S75" s="44"/>
      <x:c r="T75" s="36" t="n">
        <x:v>0</x:v>
      </x:c>
      <x:c r="U75" s="44"/>
      <x:c r="V75" s="36" t="n">
        <x:v>0</x:v>
      </x:c>
      <x:c r="W75" s="44"/>
      <x:c r="X75" s="34" t="str">
        <x:v>no-post-undeploy-thread-signal</x:v>
      </x:c>
      <x:c r="Y75" s="44" t="str">
        <x:v>automated signatures are JCS-specific; all other candidate application threads remain unattributed and ownership requires the archived full dump</x:v>
      </x:c>
    </x:row>
    <x:row r="76">
      <x:c r="A76" s="34" t="str">
        <x:v>article1-unified-v4-2-fb3f101b-20260903-000401-default-f01-p4-cache2k</x:v>
      </x:c>
      <x:c r="B76" s="34" t="str">
        <x:v>default</x:v>
      </x:c>
      <x:c r="C76" s="34" t="str">
        <x:v>cache2k</x:v>
      </x:c>
      <x:c r="D76" s="36" t="n">
        <x:v>1</x:v>
      </x:c>
      <x:c r="E76" s="36" t="n">
        <x:v>1</x:v>
      </x:c>
      <x:c r="F76" s="36" t="n">
        <x:v>4</x:v>
      </x:c>
      <x:c r="G76" s="36" t="n">
        <x:v>4</x:v>
      </x:c>
      <x:c r="H76" s="34" t="str">
        <x:v>finalUndeployThreadEvidenceEarly</x:v>
      </x:c>
      <x:c r="I76" s="36" t="n">
        <x:v>2</x:v>
      </x:c>
      <x:c r="J76" s="34" t="str">
        <x:v>early</x:v>
      </x:c>
      <x:c r="K76" s="36" t="n">
        <x:v>27</x:v>
      </x:c>
      <x:c r="L76" s="51" t="n">
        <x:v>0</x:v>
      </x:c>
      <x:c r="M76" s="51" t="n">
        <x:v>0</x:v>
      </x:c>
      <x:c r="N76" s="36" t="n">
        <x:v>10</x:v>
      </x:c>
      <x:c r="O76" s="44" t="str">
        <x:v>http-nio-8080-exec-32#207 | http-nio-8080-exec-40#252 | http-nio-8080-exec-50#330 | http-nio-8080-exec-51#331 | http-nio-8080-exec-53#335 | http-nio-8080-exec-54#336 | http-nio-8080-exec-55#337 | http-nio-8080-exec-56#371 | http-nio-8080-exec-57#372 | http-nio-8080-exec-58#373</x:v>
      </x:c>
      <x:c r="P76" s="36" t="n">
        <x:v>8</x:v>
      </x:c>
      <x:c r="Q76" s="44" t="str">
        <x:v>http-nio-8080-exec-50#330 | http-nio-8080-exec-51#331 | http-nio-8080-exec-53#335 | http-nio-8080-exec-54#336 | http-nio-8080-exec-55#337 | http-nio-8080-exec-56#371 | http-nio-8080-exec-57#372 | http-nio-8080-exec-58#373</x:v>
      </x:c>
      <x:c r="R76" s="36" t="n">
        <x:v>0</x:v>
      </x:c>
      <x:c r="S76" s="44"/>
      <x:c r="T76" s="36" t="n">
        <x:v>0</x:v>
      </x:c>
      <x:c r="U76" s="44"/>
      <x:c r="V76" s="36" t="n">
        <x:v>0</x:v>
      </x:c>
      <x:c r="W76" s="44"/>
      <x:c r="X76" s="34" t="str">
        <x:v>no-post-undeploy-thread-signal</x:v>
      </x:c>
      <x:c r="Y76" s="44" t="str">
        <x:v>automated signatures are JCS-specific; all other candidate application threads remain unattributed and ownership requires the archived full dump</x:v>
      </x:c>
    </x:row>
    <x:row r="77">
      <x:c r="A77" s="34" t="str">
        <x:v>article1-unified-v4-2-fb3f101b-20260903-000401-default-f01-p4-cache2k</x:v>
      </x:c>
      <x:c r="B77" s="34" t="str">
        <x:v>default</x:v>
      </x:c>
      <x:c r="C77" s="34" t="str">
        <x:v>cache2k</x:v>
      </x:c>
      <x:c r="D77" s="36" t="n">
        <x:v>1</x:v>
      </x:c>
      <x:c r="E77" s="36" t="n">
        <x:v>1</x:v>
      </x:c>
      <x:c r="F77" s="36" t="n">
        <x:v>4</x:v>
      </x:c>
      <x:c r="G77" s="36" t="n">
        <x:v>4</x:v>
      </x:c>
      <x:c r="H77" s="34" t="str">
        <x:v>finalUndeployThreadEvidenceFinal</x:v>
      </x:c>
      <x:c r="I77" s="36" t="n">
        <x:v>2</x:v>
      </x:c>
      <x:c r="J77" s="34" t="str">
        <x:v>final</x:v>
      </x:c>
      <x:c r="K77" s="36" t="n">
        <x:v>27</x:v>
      </x:c>
      <x:c r="L77" s="51" t="n">
        <x:v>0</x:v>
      </x:c>
      <x:c r="M77" s="51" t="n">
        <x:v>0</x:v>
      </x:c>
      <x:c r="N77" s="36" t="n">
        <x:v>10</x:v>
      </x:c>
      <x:c r="O77" s="44" t="str">
        <x:v>http-nio-8080-exec-32#207 | http-nio-8080-exec-40#252 | http-nio-8080-exec-51#331 | http-nio-8080-exec-53#335 | http-nio-8080-exec-54#336 | http-nio-8080-exec-55#337 | http-nio-8080-exec-56#371 | http-nio-8080-exec-57#372 | http-nio-8080-exec-58#373 | http-nio-8080-exec-59#374</x:v>
      </x:c>
      <x:c r="P77" s="36" t="n">
        <x:v>8</x:v>
      </x:c>
      <x:c r="Q77" s="44" t="str">
        <x:v>http-nio-8080-exec-51#331 | http-nio-8080-exec-53#335 | http-nio-8080-exec-54#336 | http-nio-8080-exec-55#337 | http-nio-8080-exec-56#371 | http-nio-8080-exec-57#372 | http-nio-8080-exec-58#373 | http-nio-8080-exec-59#374</x:v>
      </x:c>
      <x:c r="R77" s="36" t="n">
        <x:v>0</x:v>
      </x:c>
      <x:c r="S77" s="44"/>
      <x:c r="T77" s="36" t="n">
        <x:v>0</x:v>
      </x:c>
      <x:c r="U77" s="44"/>
      <x:c r="V77" s="36" t="n">
        <x:v>0</x:v>
      </x:c>
      <x:c r="W77" s="44"/>
      <x:c r="X77" s="34" t="str">
        <x:v>no-post-undeploy-thread-signal</x:v>
      </x:c>
      <x:c r="Y77" s="44" t="str">
        <x:v>automated signatures are JCS-specific; all other candidate application threads remain unattributed and ownership requires the archived full dump</x:v>
      </x:c>
    </x:row>
    <x:row r="78">
      <x:c r="A78" s="34" t="str">
        <x:v>article1-unified-v4-2-fb3f101b-20260903-000401-default-f01-p4-cache2k</x:v>
      </x:c>
      <x:c r="B78" s="34" t="str">
        <x:v>default</x:v>
      </x:c>
      <x:c r="C78" s="34" t="str">
        <x:v>cache2k</x:v>
      </x:c>
      <x:c r="D78" s="36" t="n">
        <x:v>1</x:v>
      </x:c>
      <x:c r="E78" s="36" t="n">
        <x:v>1</x:v>
      </x:c>
      <x:c r="F78" s="36" t="n">
        <x:v>4</x:v>
      </x:c>
      <x:c r="G78" s="36" t="n">
        <x:v>5</x:v>
      </x:c>
      <x:c r="H78" s="34" t="str">
        <x:v>firstUndeployThreadEvidenceEarly</x:v>
      </x:c>
      <x:c r="I78" s="36" t="n">
        <x:v>1</x:v>
      </x:c>
      <x:c r="J78" s="34" t="str">
        <x:v>early</x:v>
      </x:c>
      <x:c r="K78" s="36" t="n">
        <x:v>27</x:v>
      </x:c>
      <x:c r="L78" s="51" t="n">
        <x:v>0</x:v>
      </x:c>
      <x:c r="M78" s="51" t="n">
        <x:v>0</x:v>
      </x:c>
      <x:c r="N78" s="36" t="n">
        <x:v>10</x:v>
      </x:c>
      <x:c r="O78" s="44" t="str">
        <x:v>http-nio-8080-exec-32#207 | http-nio-8080-exec-51#331 | http-nio-8080-exec-53#335 | http-nio-8080-exec-57#372 | http-nio-8080-exec-58#373 | http-nio-8080-exec-60#377 | http-nio-8080-exec-61#378 | http-nio-8080-exec-62#412 | http-nio-8080-exec-63#413 | http-nio-8080-exec-64#414</x:v>
      </x:c>
      <x:c r="P78" s="36" t="n">
        <x:v>5</x:v>
      </x:c>
      <x:c r="Q78" s="44" t="str">
        <x:v>http-nio-8080-exec-60#377 | http-nio-8080-exec-61#378 | http-nio-8080-exec-62#412 | http-nio-8080-exec-63#413 | http-nio-8080-exec-64#414</x:v>
      </x:c>
      <x:c r="R78" s="36" t="n">
        <x:v>0</x:v>
      </x:c>
      <x:c r="S78" s="44"/>
      <x:c r="T78" s="36" t="n">
        <x:v>0</x:v>
      </x:c>
      <x:c r="U78" s="44"/>
      <x:c r="V78" s="36" t="n">
        <x:v>0</x:v>
      </x:c>
      <x:c r="W78" s="44"/>
      <x:c r="X78" s="34" t="str">
        <x:v>no-post-undeploy-thread-signal</x:v>
      </x:c>
      <x:c r="Y78" s="44" t="str">
        <x:v>automated signatures are JCS-specific; all other candidate application threads remain unattributed and ownership requires the archived full dump</x:v>
      </x:c>
    </x:row>
    <x:row r="79">
      <x:c r="A79" s="34" t="str">
        <x:v>article1-unified-v4-2-fb3f101b-20260903-000401-default-f01-p4-cache2k</x:v>
      </x:c>
      <x:c r="B79" s="34" t="str">
        <x:v>default</x:v>
      </x:c>
      <x:c r="C79" s="34" t="str">
        <x:v>cache2k</x:v>
      </x:c>
      <x:c r="D79" s="36" t="n">
        <x:v>1</x:v>
      </x:c>
      <x:c r="E79" s="36" t="n">
        <x:v>1</x:v>
      </x:c>
      <x:c r="F79" s="36" t="n">
        <x:v>4</x:v>
      </x:c>
      <x:c r="G79" s="36" t="n">
        <x:v>5</x:v>
      </x:c>
      <x:c r="H79" s="34" t="str">
        <x:v>firstUndeployThreadEvidenceFinal</x:v>
      </x:c>
      <x:c r="I79" s="36" t="n">
        <x:v>1</x:v>
      </x:c>
      <x:c r="J79" s="34" t="str">
        <x:v>final</x:v>
      </x:c>
      <x:c r="K79" s="36" t="n">
        <x:v>27</x:v>
      </x:c>
      <x:c r="L79" s="51" t="n">
        <x:v>0</x:v>
      </x:c>
      <x:c r="M79" s="51" t="n">
        <x:v>0</x:v>
      </x:c>
      <x:c r="N79" s="36" t="n">
        <x:v>10</x:v>
      </x:c>
      <x:c r="O79" s="44" t="str">
        <x:v>http-nio-8080-exec-32#207 | http-nio-8080-exec-53#335 | http-nio-8080-exec-57#372 | http-nio-8080-exec-58#373 | http-nio-8080-exec-60#377 | http-nio-8080-exec-61#378 | http-nio-8080-exec-62#412 | http-nio-8080-exec-63#413 | http-nio-8080-exec-64#414 | http-nio-8080-exec-65#415</x:v>
      </x:c>
      <x:c r="P79" s="36" t="n">
        <x:v>6</x:v>
      </x:c>
      <x:c r="Q79" s="44" t="str">
        <x:v>http-nio-8080-exec-60#377 | http-nio-8080-exec-61#378 | http-nio-8080-exec-62#412 | http-nio-8080-exec-63#413 | http-nio-8080-exec-64#414 | http-nio-8080-exec-65#415</x:v>
      </x:c>
      <x:c r="R79" s="36" t="n">
        <x:v>0</x:v>
      </x:c>
      <x:c r="S79" s="44"/>
      <x:c r="T79" s="36" t="n">
        <x:v>0</x:v>
      </x:c>
      <x:c r="U79" s="44"/>
      <x:c r="V79" s="36" t="n">
        <x:v>0</x:v>
      </x:c>
      <x:c r="W79" s="44"/>
      <x:c r="X79" s="34" t="str">
        <x:v>no-post-undeploy-thread-signal</x:v>
      </x:c>
      <x:c r="Y79" s="44" t="str">
        <x:v>automated signatures are JCS-specific; all other candidate application threads remain unattributed and ownership requires the archived full dump</x:v>
      </x:c>
    </x:row>
    <x:row r="80">
      <x:c r="A80" s="34" t="str">
        <x:v>article1-unified-v4-2-fb3f101b-20260903-000401-default-f01-p4-cache2k</x:v>
      </x:c>
      <x:c r="B80" s="34" t="str">
        <x:v>default</x:v>
      </x:c>
      <x:c r="C80" s="34" t="str">
        <x:v>cache2k</x:v>
      </x:c>
      <x:c r="D80" s="36" t="n">
        <x:v>1</x:v>
      </x:c>
      <x:c r="E80" s="36" t="n">
        <x:v>1</x:v>
      </x:c>
      <x:c r="F80" s="36" t="n">
        <x:v>4</x:v>
      </x:c>
      <x:c r="G80" s="36" t="n">
        <x:v>5</x:v>
      </x:c>
      <x:c r="H80" s="34" t="str">
        <x:v>finalUndeployThreadEvidenceEarly</x:v>
      </x:c>
      <x:c r="I80" s="36" t="n">
        <x:v>2</x:v>
      </x:c>
      <x:c r="J80" s="34" t="str">
        <x:v>early</x:v>
      </x:c>
      <x:c r="K80" s="36" t="n">
        <x:v>27</x:v>
      </x:c>
      <x:c r="L80" s="51" t="n">
        <x:v>0</x:v>
      </x:c>
      <x:c r="M80" s="51" t="n">
        <x:v>0</x:v>
      </x:c>
      <x:c r="N80" s="36" t="n">
        <x:v>10</x:v>
      </x:c>
      <x:c r="O80" s="44" t="str">
        <x:v>http-nio-8080-exec-32#207 | http-nio-8080-exec-61#378 | http-nio-8080-exec-63#413 | http-nio-8080-exec-64#414 | http-nio-8080-exec-65#415 | http-nio-8080-exec-66#418 | http-nio-8080-exec-68#420 | http-nio-8080-exec-69#454 | http-nio-8080-exec-70#455 | http-nio-8080-exec-71#456</x:v>
      </x:c>
      <x:c r="P80" s="36" t="n">
        <x:v>9</x:v>
      </x:c>
      <x:c r="Q80" s="44" t="str">
        <x:v>http-nio-8080-exec-61#378 | http-nio-8080-exec-63#413 | http-nio-8080-exec-64#414 | http-nio-8080-exec-65#415 | http-nio-8080-exec-66#418 | http-nio-8080-exec-68#420 | http-nio-8080-exec-69#454 | http-nio-8080-exec-70#455 | http-nio-8080-exec-71#456</x:v>
      </x:c>
      <x:c r="R80" s="36" t="n">
        <x:v>0</x:v>
      </x:c>
      <x:c r="S80" s="44"/>
      <x:c r="T80" s="36" t="n">
        <x:v>0</x:v>
      </x:c>
      <x:c r="U80" s="44"/>
      <x:c r="V80" s="36" t="n">
        <x:v>0</x:v>
      </x:c>
      <x:c r="W80" s="44"/>
      <x:c r="X80" s="34" t="str">
        <x:v>no-post-undeploy-thread-signal</x:v>
      </x:c>
      <x:c r="Y80" s="44" t="str">
        <x:v>automated signatures are JCS-specific; all other candidate application threads remain unattributed and ownership requires the archived full dump</x:v>
      </x:c>
    </x:row>
    <x:row r="81">
      <x:c r="A81" s="34" t="str">
        <x:v>article1-unified-v4-2-fb3f101b-20260903-000401-default-f01-p4-cache2k</x:v>
      </x:c>
      <x:c r="B81" s="34" t="str">
        <x:v>default</x:v>
      </x:c>
      <x:c r="C81" s="34" t="str">
        <x:v>cache2k</x:v>
      </x:c>
      <x:c r="D81" s="36" t="n">
        <x:v>1</x:v>
      </x:c>
      <x:c r="E81" s="36" t="n">
        <x:v>1</x:v>
      </x:c>
      <x:c r="F81" s="36" t="n">
        <x:v>4</x:v>
      </x:c>
      <x:c r="G81" s="36" t="n">
        <x:v>5</x:v>
      </x:c>
      <x:c r="H81" s="34" t="str">
        <x:v>finalUndeployThreadEvidenceFinal</x:v>
      </x:c>
      <x:c r="I81" s="36" t="n">
        <x:v>2</x:v>
      </x:c>
      <x:c r="J81" s="34" t="str">
        <x:v>final</x:v>
      </x:c>
      <x:c r="K81" s="36" t="n">
        <x:v>27</x:v>
      </x:c>
      <x:c r="L81" s="51" t="n">
        <x:v>0</x:v>
      </x:c>
      <x:c r="M81" s="51" t="n">
        <x:v>0</x:v>
      </x:c>
      <x:c r="N81" s="36" t="n">
        <x:v>10</x:v>
      </x:c>
      <x:c r="O81" s="44" t="str">
        <x:v>http-nio-8080-exec-32#207 | http-nio-8080-exec-61#378 | http-nio-8080-exec-63#413 | http-nio-8080-exec-64#414 | http-nio-8080-exec-66#418 | http-nio-8080-exec-68#420 | http-nio-8080-exec-69#454 | http-nio-8080-exec-70#455 | http-nio-8080-exec-71#456 | http-nio-8080-exec-72#457</x:v>
      </x:c>
      <x:c r="P81" s="36" t="n">
        <x:v>9</x:v>
      </x:c>
      <x:c r="Q81" s="44" t="str">
        <x:v>http-nio-8080-exec-61#378 | http-nio-8080-exec-63#413 | http-nio-8080-exec-64#414 | http-nio-8080-exec-66#418 | http-nio-8080-exec-68#420 | http-nio-8080-exec-69#454 | http-nio-8080-exec-70#455 | http-nio-8080-exec-71#456 | http-nio-8080-exec-72#457</x:v>
      </x:c>
      <x:c r="R81" s="36" t="n">
        <x:v>0</x:v>
      </x:c>
      <x:c r="S81" s="44"/>
      <x:c r="T81" s="36" t="n">
        <x:v>0</x:v>
      </x:c>
      <x:c r="U81" s="44"/>
      <x:c r="V81" s="36" t="n">
        <x:v>0</x:v>
      </x:c>
      <x:c r="W81" s="44"/>
      <x:c r="X81" s="34" t="str">
        <x:v>no-post-undeploy-thread-signal</x:v>
      </x:c>
      <x:c r="Y81" s="44" t="str">
        <x:v>automated signatures are JCS-specific; all other candidate application threads remain unattributed and ownership requires the archived full dump</x:v>
      </x:c>
    </x:row>
    <x:row r="82">
      <x:c r="A82" s="34" t="str">
        <x:v>article1-unified-v4-2-fb3f101b-20260903-000401-default-f01-p5-jcs321</x:v>
      </x:c>
      <x:c r="B82" s="34" t="str">
        <x:v>default</x:v>
      </x:c>
      <x:c r="C82" s="34" t="str">
        <x:v>jcs321</x:v>
      </x:c>
      <x:c r="D82" s="36" t="n">
        <x:v>1</x:v>
      </x:c>
      <x:c r="E82" s="36" t="n">
        <x:v>1</x:v>
      </x:c>
      <x:c r="F82" s="36" t="n">
        <x:v>5</x:v>
      </x:c>
      <x:c r="G82" s="36" t="n">
        <x:v>1</x:v>
      </x:c>
      <x:c r="H82" s="34" t="str">
        <x:v>firstUndeployThreadEvidenceEarly</x:v>
      </x:c>
      <x:c r="I82" s="36" t="n">
        <x:v>1</x:v>
      </x:c>
      <x:c r="J82" s="34" t="str">
        <x:v>early</x:v>
      </x:c>
      <x:c r="K82" s="36" t="n">
        <x:v>28</x:v>
      </x:c>
      <x:c r="L82" s="51" t="n">
        <x:v>1</x:v>
      </x:c>
      <x:c r="M82" s="51" t="n">
        <x:v>1</x:v>
      </x:c>
      <x:c r="N82" s="36" t="n">
        <x:v>3</x:v>
      </x:c>
      <x:c r="O82" s="44" t="str">
        <x:v>JCS-ElementEventQueue-Thread-4#49 | http-nio-8080-exec-11#82 | http-nio-8080-exec-12#83</x:v>
      </x:c>
      <x:c r="P82" s="36" t="n">
        <x:v>3</x:v>
      </x:c>
      <x:c r="Q82" s="44" t="str">
        <x:v>JCS-ElementEventQueue-Thread-4#49 | http-nio-8080-exec-11#82 | http-nio-8080-exec-12#83</x:v>
      </x:c>
      <x:c r="R82" s="36" t="n">
        <x:v>1</x:v>
      </x:c>
      <x:c r="S82" s="44" t="str">
        <x:v>JCS-ElementEventQueue-Thread-4#49</x:v>
      </x:c>
      <x:c r="T82" s="36" t="n">
        <x:v>1</x:v>
      </x:c>
      <x:c r="U82" s="44" t="str">
        <x:v>JCS-ElementEventQueue-Thread-4#49</x:v>
      </x:c>
      <x:c r="V82" s="36" t="n">
        <x:v>1</x:v>
      </x:c>
      <x:c r="W82" s="44" t="str">
        <x:v>jcs3-element-event-queue:JCS-ElementEventQueue-Thread-4#49</x:v>
      </x:c>
      <x:c r="X82" s="34" t="str">
        <x:v>jcs-signature-present</x:v>
      </x:c>
      <x:c r="Y82" s="44" t="str">
        <x:v>automated signatures are JCS-specific; all other candidate application threads remain unattributed and ownership requires the archived full dump</x:v>
      </x:c>
    </x:row>
    <x:row r="83">
      <x:c r="A83" s="34" t="str">
        <x:v>article1-unified-v4-2-fb3f101b-20260903-000401-default-f01-p5-jcs321</x:v>
      </x:c>
      <x:c r="B83" s="34" t="str">
        <x:v>default</x:v>
      </x:c>
      <x:c r="C83" s="34" t="str">
        <x:v>jcs321</x:v>
      </x:c>
      <x:c r="D83" s="36" t="n">
        <x:v>1</x:v>
      </x:c>
      <x:c r="E83" s="36" t="n">
        <x:v>1</x:v>
      </x:c>
      <x:c r="F83" s="36" t="n">
        <x:v>5</x:v>
      </x:c>
      <x:c r="G83" s="36" t="n">
        <x:v>1</x:v>
      </x:c>
      <x:c r="H83" s="34" t="str">
        <x:v>firstUndeployThreadEvidenceFinal</x:v>
      </x:c>
      <x:c r="I83" s="36" t="n">
        <x:v>1</x:v>
      </x:c>
      <x:c r="J83" s="34" t="str">
        <x:v>final</x:v>
      </x:c>
      <x:c r="K83" s="36" t="n">
        <x:v>28</x:v>
      </x:c>
      <x:c r="L83" s="51" t="n">
        <x:v>1</x:v>
      </x:c>
      <x:c r="M83" s="51" t="n">
        <x:v>1</x:v>
      </x:c>
      <x:c r="N83" s="36" t="n">
        <x:v>4</x:v>
      </x:c>
      <x:c r="O83" s="44" t="str">
        <x:v>JCS-ElementEventQueue-Thread-4#49 | http-nio-8080-exec-11#82 | http-nio-8080-exec-12#83 | http-nio-8080-exec-13#84</x:v>
      </x:c>
      <x:c r="P83" s="36" t="n">
        <x:v>4</x:v>
      </x:c>
      <x:c r="Q83" s="44" t="str">
        <x:v>JCS-ElementEventQueue-Thread-4#49 | http-nio-8080-exec-11#82 | http-nio-8080-exec-12#83 | http-nio-8080-exec-13#84</x:v>
      </x:c>
      <x:c r="R83" s="36" t="n">
        <x:v>1</x:v>
      </x:c>
      <x:c r="S83" s="44" t="str">
        <x:v>JCS-ElementEventQueue-Thread-4#49</x:v>
      </x:c>
      <x:c r="T83" s="36" t="n">
        <x:v>1</x:v>
      </x:c>
      <x:c r="U83" s="44" t="str">
        <x:v>JCS-ElementEventQueue-Thread-4#49</x:v>
      </x:c>
      <x:c r="V83" s="36" t="n">
        <x:v>1</x:v>
      </x:c>
      <x:c r="W83" s="44" t="str">
        <x:v>jcs3-element-event-queue:JCS-ElementEventQueue-Thread-4#49</x:v>
      </x:c>
      <x:c r="X83" s="34" t="str">
        <x:v>jcs-signature-present</x:v>
      </x:c>
      <x:c r="Y83" s="44" t="str">
        <x:v>automated signatures are JCS-specific; all other candidate application threads remain unattributed and ownership requires the archived full dump</x:v>
      </x:c>
    </x:row>
    <x:row r="84">
      <x:c r="A84" s="34" t="str">
        <x:v>article1-unified-v4-2-fb3f101b-20260903-000401-default-f01-p5-jcs321</x:v>
      </x:c>
      <x:c r="B84" s="34" t="str">
        <x:v>default</x:v>
      </x:c>
      <x:c r="C84" s="34" t="str">
        <x:v>jcs321</x:v>
      </x:c>
      <x:c r="D84" s="36" t="n">
        <x:v>1</x:v>
      </x:c>
      <x:c r="E84" s="36" t="n">
        <x:v>1</x:v>
      </x:c>
      <x:c r="F84" s="36" t="n">
        <x:v>5</x:v>
      </x:c>
      <x:c r="G84" s="36" t="n">
        <x:v>1</x:v>
      </x:c>
      <x:c r="H84" s="34" t="str">
        <x:v>finalUndeployThreadEvidenceEarly</x:v>
      </x:c>
      <x:c r="I84" s="36" t="n">
        <x:v>2</x:v>
      </x:c>
      <x:c r="J84" s="34" t="str">
        <x:v>early</x:v>
      </x:c>
      <x:c r="K84" s="36" t="n">
        <x:v>29</x:v>
      </x:c>
      <x:c r="L84" s="51" t="n">
        <x:v>2</x:v>
      </x:c>
      <x:c r="M84" s="51" t="n">
        <x:v>2</x:v>
      </x:c>
      <x:c r="N84" s="36" t="n">
        <x:v>10</x:v>
      </x:c>
      <x:c r="O84" s="44" t="str">
        <x:v>JCS-ElementEventQueue-Thread-4#49 | http-nio-8080-exec-11#82 | http-nio-8080-exec-12#83 | http-nio-8080-exec-14#87 | http-nio-8080-exec-15#88 | http-nio-8080-exec-16#89 | JCS-ElementEventQueue-Thread-7#91 | http-nio-8080-exec-17#124 | http-nio-8080-exec-18#125 | http-nio-8080-exec-19#126</x:v>
      </x:c>
      <x:c r="P84" s="36" t="n">
        <x:v>10</x:v>
      </x:c>
      <x:c r="Q84" s="44" t="str">
        <x:v>JCS-ElementEventQueue-Thread-4#49 | http-nio-8080-exec-11#82 | http-nio-8080-exec-12#83 | http-nio-8080-exec-14#87 | http-nio-8080-exec-15#88 | http-nio-8080-exec-16#89 | JCS-ElementEventQueue-Thread-7#91 | http-nio-8080-exec-17#124 | http-nio-8080-exec-18#125 | http-nio-8080-exec-19#126</x:v>
      </x:c>
      <x:c r="R84" s="36" t="n">
        <x:v>2</x:v>
      </x:c>
      <x:c r="S84" s="44" t="str">
        <x:v>JCS-ElementEventQueue-Thread-4#49 | JCS-ElementEventQueue-Thread-7#91</x:v>
      </x:c>
      <x:c r="T84" s="36" t="n">
        <x:v>2</x:v>
      </x:c>
      <x:c r="U84" s="44" t="str">
        <x:v>JCS-ElementEventQueue-Thread-4#49 | JCS-ElementEventQueue-Thread-7#91</x:v>
      </x:c>
      <x:c r="V84" s="36" t="n">
        <x:v>2</x:v>
      </x:c>
      <x:c r="W84" s="44" t="str">
        <x:v>jcs3-element-event-queue:JCS-ElementEventQueue-Thread-4#49 | jcs3-element-event-queue:JCS-ElementEventQueue-Thread-7#91</x:v>
      </x:c>
      <x:c r="X84" s="34" t="str">
        <x:v>jcs-signature-present</x:v>
      </x:c>
      <x:c r="Y84" s="44" t="str">
        <x:v>automated signatures are JCS-specific; all other candidate application threads remain unattributed and ownership requires the archived full dump</x:v>
      </x:c>
    </x:row>
    <x:row r="85">
      <x:c r="A85" s="34" t="str">
        <x:v>article1-unified-v4-2-fb3f101b-20260903-000401-default-f01-p5-jcs321</x:v>
      </x:c>
      <x:c r="B85" s="34" t="str">
        <x:v>default</x:v>
      </x:c>
      <x:c r="C85" s="34" t="str">
        <x:v>jcs321</x:v>
      </x:c>
      <x:c r="D85" s="36" t="n">
        <x:v>1</x:v>
      </x:c>
      <x:c r="E85" s="36" t="n">
        <x:v>1</x:v>
      </x:c>
      <x:c r="F85" s="36" t="n">
        <x:v>5</x:v>
      </x:c>
      <x:c r="G85" s="36" t="n">
        <x:v>1</x:v>
      </x:c>
      <x:c r="H85" s="34" t="str">
        <x:v>finalUndeployThreadEvidenceFinal</x:v>
      </x:c>
      <x:c r="I85" s="36" t="n">
        <x:v>2</x:v>
      </x:c>
      <x:c r="J85" s="34" t="str">
        <x:v>final</x:v>
      </x:c>
      <x:c r="K85" s="36" t="n">
        <x:v>29</x:v>
      </x:c>
      <x:c r="L85" s="51" t="n">
        <x:v>2</x:v>
      </x:c>
      <x:c r="M85" s="51" t="n">
        <x:v>2</x:v>
      </x:c>
      <x:c r="N85" s="36" t="n">
        <x:v>10</x:v>
      </x:c>
      <x:c r="O85" s="44" t="str">
        <x:v>JCS-ElementEventQueue-Thread-4#49 | http-nio-8080-exec-11#82 | http-nio-8080-exec-12#83 | http-nio-8080-exec-14#87 | http-nio-8080-exec-15#88 | JCS-ElementEventQueue-Thread-7#91 | http-nio-8080-exec-17#124 | http-nio-8080-exec-18#125 | http-nio-8080-exec-19#126 | http-nio-8080-exec-20#127</x:v>
      </x:c>
      <x:c r="P85" s="36" t="n">
        <x:v>10</x:v>
      </x:c>
      <x:c r="Q85" s="44" t="str">
        <x:v>JCS-ElementEventQueue-Thread-4#49 | http-nio-8080-exec-11#82 | http-nio-8080-exec-12#83 | http-nio-8080-exec-14#87 | http-nio-8080-exec-15#88 | JCS-ElementEventQueue-Thread-7#91 | http-nio-8080-exec-17#124 | http-nio-8080-exec-18#125 | http-nio-8080-exec-19#126 | http-nio-8080-exec-20#127</x:v>
      </x:c>
      <x:c r="R85" s="36" t="n">
        <x:v>2</x:v>
      </x:c>
      <x:c r="S85" s="44" t="str">
        <x:v>JCS-ElementEventQueue-Thread-4#49 | JCS-ElementEventQueue-Thread-7#91</x:v>
      </x:c>
      <x:c r="T85" s="36" t="n">
        <x:v>2</x:v>
      </x:c>
      <x:c r="U85" s="44" t="str">
        <x:v>JCS-ElementEventQueue-Thread-4#49 | JCS-ElementEventQueue-Thread-7#91</x:v>
      </x:c>
      <x:c r="V85" s="36" t="n">
        <x:v>2</x:v>
      </x:c>
      <x:c r="W85" s="44" t="str">
        <x:v>jcs3-element-event-queue:JCS-ElementEventQueue-Thread-4#49 | jcs3-element-event-queue:JCS-ElementEventQueue-Thread-7#91</x:v>
      </x:c>
      <x:c r="X85" s="34" t="str">
        <x:v>jcs-signature-present</x:v>
      </x:c>
      <x:c r="Y85" s="44" t="str">
        <x:v>automated signatures are JCS-specific; all other candidate application threads remain unattributed and ownership requires the archived full dump</x:v>
      </x:c>
    </x:row>
    <x:row r="86">
      <x:c r="A86" s="34" t="str">
        <x:v>article1-unified-v4-2-fb3f101b-20260903-000401-default-f01-p5-jcs321</x:v>
      </x:c>
      <x:c r="B86" s="34" t="str">
        <x:v>default</x:v>
      </x:c>
      <x:c r="C86" s="34" t="str">
        <x:v>jcs321</x:v>
      </x:c>
      <x:c r="D86" s="36" t="n">
        <x:v>1</x:v>
      </x:c>
      <x:c r="E86" s="36" t="n">
        <x:v>1</x:v>
      </x:c>
      <x:c r="F86" s="36" t="n">
        <x:v>5</x:v>
      </x:c>
      <x:c r="G86" s="36" t="n">
        <x:v>2</x:v>
      </x:c>
      <x:c r="H86" s="34" t="str">
        <x:v>firstUndeployThreadEvidenceEarly</x:v>
      </x:c>
      <x:c r="I86" s="36" t="n">
        <x:v>1</x:v>
      </x:c>
      <x:c r="J86" s="34" t="str">
        <x:v>early</x:v>
      </x:c>
      <x:c r="K86" s="36" t="n">
        <x:v>30</x:v>
      </x:c>
      <x:c r="L86" s="51" t="n">
        <x:v>3</x:v>
      </x:c>
      <x:c r="M86" s="51" t="n">
        <x:v>1</x:v>
      </x:c>
      <x:c r="N86" s="36" t="n">
        <x:v>12</x:v>
      </x:c>
      <x:c r="O86" s="44" t="str">
        <x:v>JCS-ElementEventQueue-Thread-4#49 | http-nio-8080-exec-14#87 | JCS-ElementEventQueue-Thread-7#91 | http-nio-8080-exec-18#125 | http-nio-8080-exec-19#126 | http-nio-8080-exec-20#127 | http-nio-8080-exec-21#130 | http-nio-8080-exec-22#131 | JCS-ElementEventQueue-Thread-10#133 | http-nio-8080-exec-23#166 | http-nio-8080-exec-24#167 | http-nio-8080-exec-25#168</x:v>
      </x:c>
      <x:c r="P86" s="36" t="n">
        <x:v>6</x:v>
      </x:c>
      <x:c r="Q86" s="44" t="str">
        <x:v>http-nio-8080-exec-21#130 | http-nio-8080-exec-22#131 | JCS-ElementEventQueue-Thread-10#133 | http-nio-8080-exec-23#166 | http-nio-8080-exec-24#167 | http-nio-8080-exec-25#168</x:v>
      </x:c>
      <x:c r="R86" s="36" t="n">
        <x:v>3</x:v>
      </x:c>
      <x:c r="S86" s="44" t="str">
        <x:v>JCS-ElementEventQueue-Thread-4#49 | JCS-ElementEventQueue-Thread-7#91 | JCS-ElementEventQueue-Thread-10#133</x:v>
      </x:c>
      <x:c r="T86" s="36" t="n">
        <x:v>1</x:v>
      </x:c>
      <x:c r="U86" s="44" t="str">
        <x:v>JCS-ElementEventQueue-Thread-10#133</x:v>
      </x:c>
      <x:c r="V86" s="36" t="n">
        <x:v>3</x:v>
      </x:c>
      <x:c r="W86" s="44" t="str">
        <x:v>jcs3-element-event-queue:JCS-ElementEventQueue-Thread-4#49 | jcs3-element-event-queue:JCS-ElementEventQueue-Thread-7#91 | jcs3-element-event-queue:JCS-ElementEventQueue-Thread-10#133</x:v>
      </x:c>
      <x:c r="X86" s="34" t="str">
        <x:v>jcs-signature-present</x:v>
      </x:c>
      <x:c r="Y86" s="44" t="str">
        <x:v>automated signatures are JCS-specific; all other candidate application threads remain unattributed and ownership requires the archived full dump</x:v>
      </x:c>
    </x:row>
    <x:row r="87">
      <x:c r="A87" s="34" t="str">
        <x:v>article1-unified-v4-2-fb3f101b-20260903-000401-default-f01-p5-jcs321</x:v>
      </x:c>
      <x:c r="B87" s="34" t="str">
        <x:v>default</x:v>
      </x:c>
      <x:c r="C87" s="34" t="str">
        <x:v>jcs321</x:v>
      </x:c>
      <x:c r="D87" s="36" t="n">
        <x:v>1</x:v>
      </x:c>
      <x:c r="E87" s="36" t="n">
        <x:v>1</x:v>
      </x:c>
      <x:c r="F87" s="36" t="n">
        <x:v>5</x:v>
      </x:c>
      <x:c r="G87" s="36" t="n">
        <x:v>2</x:v>
      </x:c>
      <x:c r="H87" s="34" t="str">
        <x:v>firstUndeployThreadEvidenceFinal</x:v>
      </x:c>
      <x:c r="I87" s="36" t="n">
        <x:v>1</x:v>
      </x:c>
      <x:c r="J87" s="34" t="str">
        <x:v>final</x:v>
      </x:c>
      <x:c r="K87" s="36" t="n">
        <x:v>30</x:v>
      </x:c>
      <x:c r="L87" s="51" t="n">
        <x:v>3</x:v>
      </x:c>
      <x:c r="M87" s="51" t="n">
        <x:v>1</x:v>
      </x:c>
      <x:c r="N87" s="36" t="n">
        <x:v>12</x:v>
      </x:c>
      <x:c r="O87" s="44" t="str">
        <x:v>JCS-ElementEventQueue-Thread-4#49 | http-nio-8080-exec-14#87 | JCS-ElementEventQueue-Thread-7#91 | http-nio-8080-exec-18#125 | http-nio-8080-exec-20#127 | http-nio-8080-exec-21#130 | http-nio-8080-exec-22#131 | JCS-ElementEventQueue-Thread-10#133 | http-nio-8080-exec-23#166 | http-nio-8080-exec-24#167 | http-nio-8080-exec-25#168 | http-nio-8080-exec-26#169</x:v>
      </x:c>
      <x:c r="P87" s="36" t="n">
        <x:v>7</x:v>
      </x:c>
      <x:c r="Q87" s="44" t="str">
        <x:v>http-nio-8080-exec-21#130 | http-nio-8080-exec-22#131 | JCS-ElementEventQueue-Thread-10#133 | http-nio-8080-exec-23#166 | http-nio-8080-exec-24#167 | http-nio-8080-exec-25#168 | http-nio-8080-exec-26#169</x:v>
      </x:c>
      <x:c r="R87" s="36" t="n">
        <x:v>3</x:v>
      </x:c>
      <x:c r="S87" s="44" t="str">
        <x:v>JCS-ElementEventQueue-Thread-4#49 | JCS-ElementEventQueue-Thread-7#91 | JCS-ElementEventQueue-Thread-10#133</x:v>
      </x:c>
      <x:c r="T87" s="36" t="n">
        <x:v>1</x:v>
      </x:c>
      <x:c r="U87" s="44" t="str">
        <x:v>JCS-ElementEventQueue-Thread-10#133</x:v>
      </x:c>
      <x:c r="V87" s="36" t="n">
        <x:v>3</x:v>
      </x:c>
      <x:c r="W87" s="44" t="str">
        <x:v>jcs3-element-event-queue:JCS-ElementEventQueue-Thread-4#49 | jcs3-element-event-queue:JCS-ElementEventQueue-Thread-7#91 | jcs3-element-event-queue:JCS-ElementEventQueue-Thread-10#133</x:v>
      </x:c>
      <x:c r="X87" s="34" t="str">
        <x:v>jcs-signature-present</x:v>
      </x:c>
      <x:c r="Y87" s="44" t="str">
        <x:v>automated signatures are JCS-specific; all other candidate application threads remain unattributed and ownership requires the archived full dump</x:v>
      </x:c>
    </x:row>
    <x:row r="88">
      <x:c r="A88" s="34" t="str">
        <x:v>article1-unified-v4-2-fb3f101b-20260903-000401-default-f01-p5-jcs321</x:v>
      </x:c>
      <x:c r="B88" s="34" t="str">
        <x:v>default</x:v>
      </x:c>
      <x:c r="C88" s="34" t="str">
        <x:v>jcs321</x:v>
      </x:c>
      <x:c r="D88" s="36" t="n">
        <x:v>1</x:v>
      </x:c>
      <x:c r="E88" s="36" t="n">
        <x:v>1</x:v>
      </x:c>
      <x:c r="F88" s="36" t="n">
        <x:v>5</x:v>
      </x:c>
      <x:c r="G88" s="36" t="n">
        <x:v>2</x:v>
      </x:c>
      <x:c r="H88" s="34" t="str">
        <x:v>finalUndeployThreadEvidenceEarly</x:v>
      </x:c>
      <x:c r="I88" s="36" t="n">
        <x:v>2</x:v>
      </x:c>
      <x:c r="J88" s="34" t="str">
        <x:v>early</x:v>
      </x:c>
      <x:c r="K88" s="36" t="n">
        <x:v>31</x:v>
      </x:c>
      <x:c r="L88" s="51" t="n">
        <x:v>4</x:v>
      </x:c>
      <x:c r="M88" s="51" t="n">
        <x:v>2</x:v>
      </x:c>
      <x:c r="N88" s="36" t="n">
        <x:v>14</x:v>
      </x:c>
      <x:c r="O88" s="44" t="str">
        <x:v>JCS-ElementEventQueue-Thread-4#49 | http-nio-8080-exec-14#87 | JCS-ElementEventQueue-Thread-7#91 | JCS-ElementEventQueue-Thread-10#133 | http-nio-8080-exec-23#166 | http-nio-8080-exec-24#167 | http-nio-8080-exec-25#168 | http-nio-8080-exec-26#169 | http-nio-8080-exec-28#173 | http-nio-8080-exec-29#174 | JCS-ElementEventQueue-Thread-13#176 | http-nio-8080-exec-30#209 | http-nio-8080-exec-31#210 | http-nio-8080-exec-32#211</x:v>
      </x:c>
      <x:c r="P88" s="36" t="n">
        <x:v>11</x:v>
      </x:c>
      <x:c r="Q88" s="44" t="str">
        <x:v>JCS-ElementEventQueue-Thread-10#133 | http-nio-8080-exec-23#166 | http-nio-8080-exec-24#167 | http-nio-8080-exec-25#168 | http-nio-8080-exec-26#169 | http-nio-8080-exec-28#173 | http-nio-8080-exec-29#174 | JCS-ElementEventQueue-Thread-13#176 | http-nio-8080-exec-30#209 | http-nio-8080-exec-31#210 | http-nio-8080-exec-32#211</x:v>
      </x:c>
      <x:c r="R88" s="36" t="n">
        <x:v>4</x:v>
      </x:c>
      <x:c r="S88" s="44" t="str">
        <x:v>JCS-ElementEventQueue-Thread-4#49 | JCS-ElementEventQueue-Thread-7#91 | JCS-ElementEventQueue-Thread-10#133 | JCS-ElementEventQueue-Thread-13#176</x:v>
      </x:c>
      <x:c r="T88" s="36" t="n">
        <x:v>2</x:v>
      </x:c>
      <x:c r="U88" s="44" t="str">
        <x:v>JCS-ElementEventQueue-Thread-10#133 | JCS-ElementEventQueue-Thread-13#176</x:v>
      </x:c>
      <x:c r="V88" s="36" t="n">
        <x:v>4</x:v>
      </x:c>
      <x:c r="W8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88" s="34" t="str">
        <x:v>jcs-signature-present</x:v>
      </x:c>
      <x:c r="Y88" s="44" t="str">
        <x:v>automated signatures are JCS-specific; all other candidate application threads remain unattributed and ownership requires the archived full dump</x:v>
      </x:c>
    </x:row>
    <x:row r="89">
      <x:c r="A89" s="34" t="str">
        <x:v>article1-unified-v4-2-fb3f101b-20260903-000401-default-f01-p5-jcs321</x:v>
      </x:c>
      <x:c r="B89" s="34" t="str">
        <x:v>default</x:v>
      </x:c>
      <x:c r="C89" s="34" t="str">
        <x:v>jcs321</x:v>
      </x:c>
      <x:c r="D89" s="36" t="n">
        <x:v>1</x:v>
      </x:c>
      <x:c r="E89" s="36" t="n">
        <x:v>1</x:v>
      </x:c>
      <x:c r="F89" s="36" t="n">
        <x:v>5</x:v>
      </x:c>
      <x:c r="G89" s="36" t="n">
        <x:v>2</x:v>
      </x:c>
      <x:c r="H89" s="34" t="str">
        <x:v>finalUndeployThreadEvidenceFinal</x:v>
      </x:c>
      <x:c r="I89" s="36" t="n">
        <x:v>2</x:v>
      </x:c>
      <x:c r="J89" s="34" t="str">
        <x:v>final</x:v>
      </x:c>
      <x:c r="K89" s="36" t="n">
        <x:v>31</x:v>
      </x:c>
      <x:c r="L89" s="51" t="n">
        <x:v>4</x:v>
      </x:c>
      <x:c r="M89" s="51" t="n">
        <x:v>2</x:v>
      </x:c>
      <x:c r="N89" s="36" t="n">
        <x:v>14</x:v>
      </x:c>
      <x:c r="O89" s="44" t="str">
        <x:v>JCS-ElementEventQueue-Thread-4#49 | http-nio-8080-exec-14#87 | JCS-ElementEventQueue-Thread-7#91 | JCS-ElementEventQueue-Thread-10#133 | http-nio-8080-exec-23#166 | http-nio-8080-exec-24#167 | http-nio-8080-exec-25#168 | http-nio-8080-exec-28#173 | http-nio-8080-exec-29#174 | JCS-ElementEventQueue-Thread-13#176 | http-nio-8080-exec-30#209 | http-nio-8080-exec-31#210 | http-nio-8080-exec-32#211 | http-nio-8080-exec-33#212</x:v>
      </x:c>
      <x:c r="P89" s="36" t="n">
        <x:v>11</x:v>
      </x:c>
      <x:c r="Q89" s="44" t="str">
        <x:v>JCS-ElementEventQueue-Thread-10#133 | http-nio-8080-exec-23#166 | http-nio-8080-exec-24#167 | http-nio-8080-exec-25#168 | http-nio-8080-exec-28#173 | http-nio-8080-exec-29#174 | JCS-ElementEventQueue-Thread-13#176 | http-nio-8080-exec-30#209 | http-nio-8080-exec-31#210 | http-nio-8080-exec-32#211 | http-nio-8080-exec-33#212</x:v>
      </x:c>
      <x:c r="R89" s="36" t="n">
        <x:v>4</x:v>
      </x:c>
      <x:c r="S89" s="44" t="str">
        <x:v>JCS-ElementEventQueue-Thread-4#49 | JCS-ElementEventQueue-Thread-7#91 | JCS-ElementEventQueue-Thread-10#133 | JCS-ElementEventQueue-Thread-13#176</x:v>
      </x:c>
      <x:c r="T89" s="36" t="n">
        <x:v>2</x:v>
      </x:c>
      <x:c r="U89" s="44" t="str">
        <x:v>JCS-ElementEventQueue-Thread-10#133 | JCS-ElementEventQueue-Thread-13#176</x:v>
      </x:c>
      <x:c r="V89" s="36" t="n">
        <x:v>4</x:v>
      </x:c>
      <x:c r="W8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89" s="34" t="str">
        <x:v>jcs-signature-present</x:v>
      </x:c>
      <x:c r="Y89" s="44" t="str">
        <x:v>automated signatures are JCS-specific; all other candidate application threads remain unattributed and ownership requires the archived full dump</x:v>
      </x:c>
    </x:row>
    <x:row r="90">
      <x:c r="A90" s="34" t="str">
        <x:v>article1-unified-v4-2-fb3f101b-20260903-000401-default-f01-p5-jcs321</x:v>
      </x:c>
      <x:c r="B90" s="34" t="str">
        <x:v>default</x:v>
      </x:c>
      <x:c r="C90" s="34" t="str">
        <x:v>jcs321</x:v>
      </x:c>
      <x:c r="D90" s="36" t="n">
        <x:v>1</x:v>
      </x:c>
      <x:c r="E90" s="36" t="n">
        <x:v>1</x:v>
      </x:c>
      <x:c r="F90" s="36" t="n">
        <x:v>5</x:v>
      </x:c>
      <x:c r="G90" s="36" t="n">
        <x:v>3</x:v>
      </x:c>
      <x:c r="H90" s="34" t="str">
        <x:v>firstUndeployThreadEvidenceEarly</x:v>
      </x:c>
      <x:c r="I90" s="36" t="n">
        <x:v>1</x:v>
      </x:c>
      <x:c r="J90" s="34" t="str">
        <x:v>early</x:v>
      </x:c>
      <x:c r="K90" s="36" t="n">
        <x:v>32</x:v>
      </x:c>
      <x:c r="L90" s="51" t="n">
        <x:v>5</x:v>
      </x:c>
      <x:c r="M90" s="51" t="n">
        <x:v>1</x:v>
      </x:c>
      <x:c r="N90" s="36" t="n">
        <x:v>15</x:v>
      </x:c>
      <x:c r="O90" s="44" t="str">
        <x:v>JCS-ElementEventQueue-Thread-4#49 | http-nio-8080-exec-14#87 | JCS-ElementEventQueue-Thread-7#91 | JCS-ElementEventQueue-Thread-10#133 | http-nio-8080-exec-23#166 | http-nio-8080-exec-28#173 | JCS-ElementEventQueue-Thread-13#176 | http-nio-8080-exec-31#210 | http-nio-8080-exec-32#211 | http-nio-8080-exec-34#215 | http-nio-8080-exec-35#216 | JCS-ElementEventQueue-Thread-16#218 | http-nio-8080-exec-36#251 | http-nio-8080-exec-37#252 | http-nio-8080-exec-38#253</x:v>
      </x:c>
      <x:c r="P90" s="36" t="n">
        <x:v>6</x:v>
      </x:c>
      <x:c r="Q90" s="44" t="str">
        <x:v>http-nio-8080-exec-34#215 | http-nio-8080-exec-35#216 | JCS-ElementEventQueue-Thread-16#218 | http-nio-8080-exec-36#251 | http-nio-8080-exec-37#252 | http-nio-8080-exec-38#253</x:v>
      </x:c>
      <x:c r="R90" s="36" t="n">
        <x:v>5</x:v>
      </x:c>
      <x:c r="S90" s="44" t="str">
        <x:v>JCS-ElementEventQueue-Thread-4#49 | JCS-ElementEventQueue-Thread-7#91 | JCS-ElementEventQueue-Thread-10#133 | JCS-ElementEventQueue-Thread-13#176 | JCS-ElementEventQueue-Thread-16#218</x:v>
      </x:c>
      <x:c r="T90" s="36" t="n">
        <x:v>1</x:v>
      </x:c>
      <x:c r="U90" s="44" t="str">
        <x:v>JCS-ElementEventQueue-Thread-16#218</x:v>
      </x:c>
      <x:c r="V90" s="36" t="n">
        <x:v>5</x:v>
      </x:c>
      <x:c r="W9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90" s="34" t="str">
        <x:v>jcs-signature-present</x:v>
      </x:c>
      <x:c r="Y90" s="44" t="str">
        <x:v>automated signatures are JCS-specific; all other candidate application threads remain unattributed and ownership requires the archived full dump</x:v>
      </x:c>
    </x:row>
    <x:row r="91">
      <x:c r="A91" s="34" t="str">
        <x:v>article1-unified-v4-2-fb3f101b-20260903-000401-default-f01-p5-jcs321</x:v>
      </x:c>
      <x:c r="B91" s="34" t="str">
        <x:v>default</x:v>
      </x:c>
      <x:c r="C91" s="34" t="str">
        <x:v>jcs321</x:v>
      </x:c>
      <x:c r="D91" s="36" t="n">
        <x:v>1</x:v>
      </x:c>
      <x:c r="E91" s="36" t="n">
        <x:v>1</x:v>
      </x:c>
      <x:c r="F91" s="36" t="n">
        <x:v>5</x:v>
      </x:c>
      <x:c r="G91" s="36" t="n">
        <x:v>3</x:v>
      </x:c>
      <x:c r="H91" s="34" t="str">
        <x:v>firstUndeployThreadEvidenceFinal</x:v>
      </x:c>
      <x:c r="I91" s="36" t="n">
        <x:v>1</x:v>
      </x:c>
      <x:c r="J91" s="34" t="str">
        <x:v>final</x:v>
      </x:c>
      <x:c r="K91" s="36" t="n">
        <x:v>32</x:v>
      </x:c>
      <x:c r="L91" s="51" t="n">
        <x:v>5</x:v>
      </x:c>
      <x:c r="M91" s="51" t="n">
        <x:v>1</x:v>
      </x:c>
      <x:c r="N91" s="36" t="n">
        <x:v>15</x:v>
      </x:c>
      <x:c r="O91" s="44" t="str">
        <x:v>JCS-ElementEventQueue-Thread-4#49 | http-nio-8080-exec-14#87 | JCS-ElementEventQueue-Thread-7#91 | JCS-ElementEventQueue-Thread-10#133 | http-nio-8080-exec-23#166 | http-nio-8080-exec-28#173 | JCS-ElementEventQueue-Thread-13#176 | http-nio-8080-exec-32#211 | http-nio-8080-exec-34#215 | http-nio-8080-exec-35#216 | JCS-ElementEventQueue-Thread-16#218 | http-nio-8080-exec-36#251 | http-nio-8080-exec-37#252 | http-nio-8080-exec-38#253 | http-nio-8080-exec-39#254</x:v>
      </x:c>
      <x:c r="P91" s="36" t="n">
        <x:v>7</x:v>
      </x:c>
      <x:c r="Q91" s="44" t="str">
        <x:v>http-nio-8080-exec-34#215 | http-nio-8080-exec-35#216 | JCS-ElementEventQueue-Thread-16#218 | http-nio-8080-exec-36#251 | http-nio-8080-exec-37#252 | http-nio-8080-exec-38#253 | http-nio-8080-exec-39#254</x:v>
      </x:c>
      <x:c r="R91" s="36" t="n">
        <x:v>5</x:v>
      </x:c>
      <x:c r="S91" s="44" t="str">
        <x:v>JCS-ElementEventQueue-Thread-4#49 | JCS-ElementEventQueue-Thread-7#91 | JCS-ElementEventQueue-Thread-10#133 | JCS-ElementEventQueue-Thread-13#176 | JCS-ElementEventQueue-Thread-16#218</x:v>
      </x:c>
      <x:c r="T91" s="36" t="n">
        <x:v>1</x:v>
      </x:c>
      <x:c r="U91" s="44" t="str">
        <x:v>JCS-ElementEventQueue-Thread-16#218</x:v>
      </x:c>
      <x:c r="V91" s="36" t="n">
        <x:v>5</x:v>
      </x:c>
      <x:c r="W9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91" s="34" t="str">
        <x:v>jcs-signature-present</x:v>
      </x:c>
      <x:c r="Y91" s="44" t="str">
        <x:v>automated signatures are JCS-specific; all other candidate application threads remain unattributed and ownership requires the archived full dump</x:v>
      </x:c>
    </x:row>
    <x:row r="92">
      <x:c r="A92" s="34" t="str">
        <x:v>article1-unified-v4-2-fb3f101b-20260903-000401-default-f01-p5-jcs321</x:v>
      </x:c>
      <x:c r="B92" s="34" t="str">
        <x:v>default</x:v>
      </x:c>
      <x:c r="C92" s="34" t="str">
        <x:v>jcs321</x:v>
      </x:c>
      <x:c r="D92" s="36" t="n">
        <x:v>1</x:v>
      </x:c>
      <x:c r="E92" s="36" t="n">
        <x:v>1</x:v>
      </x:c>
      <x:c r="F92" s="36" t="n">
        <x:v>5</x:v>
      </x:c>
      <x:c r="G92" s="36" t="n">
        <x:v>3</x:v>
      </x:c>
      <x:c r="H92" s="34" t="str">
        <x:v>finalUndeployThreadEvidenceEarly</x:v>
      </x:c>
      <x:c r="I92" s="36" t="n">
        <x:v>2</x:v>
      </x:c>
      <x:c r="J92" s="34" t="str">
        <x:v>early</x:v>
      </x:c>
      <x:c r="K92" s="36" t="n">
        <x:v>33</x:v>
      </x:c>
      <x:c r="L92" s="51" t="n">
        <x:v>6</x:v>
      </x:c>
      <x:c r="M92" s="51" t="n">
        <x:v>2</x:v>
      </x:c>
      <x:c r="N92" s="36" t="n">
        <x:v>16</x:v>
      </x:c>
      <x:c r="O92" s="44" t="str">
        <x:v>JCS-ElementEventQueue-Thread-4#49 | http-nio-8080-exec-14#87 | JCS-ElementEventQueue-Thread-7#91 | JCS-ElementEventQueue-Thread-10#133 | http-nio-8080-exec-23#166 | JCS-ElementEventQueue-Thread-13#176 | JCS-ElementEventQueue-Thread-16#218 | http-nio-8080-exec-37#252 | http-nio-8080-exec-38#253 | http-nio-8080-exec-39#254 | http-nio-8080-exec-40#257 | http-nio-8080-exec-41#258 | JCS-ElementEventQueue-Thread-19#261 | http-nio-8080-exec-43#294 | http-nio-8080-exec-44#295 | http-nio-8080-exec-45#296</x:v>
      </x:c>
      <x:c r="P92" s="36" t="n">
        <x:v>10</x:v>
      </x:c>
      <x:c r="Q92" s="44" t="str">
        <x:v>JCS-ElementEventQueue-Thread-16#218 | http-nio-8080-exec-37#252 | http-nio-8080-exec-38#253 | http-nio-8080-exec-39#254 | http-nio-8080-exec-40#257 | http-nio-8080-exec-41#258 | JCS-ElementEventQueue-Thread-19#261 | http-nio-8080-exec-43#294 | http-nio-8080-exec-44#295 | http-nio-8080-exec-45#296</x:v>
      </x:c>
      <x:c r="R92" s="36" t="n">
        <x:v>6</x:v>
      </x:c>
      <x:c r="S92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92" s="36" t="n">
        <x:v>2</x:v>
      </x:c>
      <x:c r="U92" s="44" t="str">
        <x:v>JCS-ElementEventQueue-Thread-16#218 | JCS-ElementEventQueue-Thread-19#261</x:v>
      </x:c>
      <x:c r="V92" s="36" t="n">
        <x:v>6</x:v>
      </x:c>
      <x:c r="W9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92" s="34" t="str">
        <x:v>jcs-signature-present</x:v>
      </x:c>
      <x:c r="Y92" s="44" t="str">
        <x:v>automated signatures are JCS-specific; all other candidate application threads remain unattributed and ownership requires the archived full dump</x:v>
      </x:c>
    </x:row>
    <x:row r="93">
      <x:c r="A93" s="34" t="str">
        <x:v>article1-unified-v4-2-fb3f101b-20260903-000401-default-f01-p5-jcs321</x:v>
      </x:c>
      <x:c r="B93" s="34" t="str">
        <x:v>default</x:v>
      </x:c>
      <x:c r="C93" s="34" t="str">
        <x:v>jcs321</x:v>
      </x:c>
      <x:c r="D93" s="36" t="n">
        <x:v>1</x:v>
      </x:c>
      <x:c r="E93" s="36" t="n">
        <x:v>1</x:v>
      </x:c>
      <x:c r="F93" s="36" t="n">
        <x:v>5</x:v>
      </x:c>
      <x:c r="G93" s="36" t="n">
        <x:v>3</x:v>
      </x:c>
      <x:c r="H93" s="34" t="str">
        <x:v>finalUndeployThreadEvidenceFinal</x:v>
      </x:c>
      <x:c r="I93" s="36" t="n">
        <x:v>2</x:v>
      </x:c>
      <x:c r="J93" s="34" t="str">
        <x:v>final</x:v>
      </x:c>
      <x:c r="K93" s="36" t="n">
        <x:v>33</x:v>
      </x:c>
      <x:c r="L93" s="51" t="n">
        <x:v>6</x:v>
      </x:c>
      <x:c r="M93" s="51" t="n">
        <x:v>2</x:v>
      </x:c>
      <x:c r="N93" s="36" t="n">
        <x:v>16</x:v>
      </x:c>
      <x:c r="O93" s="44" t="str">
        <x:v>JCS-ElementEventQueue-Thread-4#49 | http-nio-8080-exec-14#87 | JCS-ElementEventQueue-Thread-7#91 | JCS-ElementEventQueue-Thread-10#133 | JCS-ElementEventQueue-Thread-13#176 | JCS-ElementEventQueue-Thread-16#218 | http-nio-8080-exec-37#252 | http-nio-8080-exec-38#253 | http-nio-8080-exec-39#254 | http-nio-8080-exec-40#257 | http-nio-8080-exec-41#258 | JCS-ElementEventQueue-Thread-19#261 | http-nio-8080-exec-43#294 | http-nio-8080-exec-44#295 | http-nio-8080-exec-45#296 | http-nio-8080-exec-46#297</x:v>
      </x:c>
      <x:c r="P93" s="36" t="n">
        <x:v>11</x:v>
      </x:c>
      <x:c r="Q93" s="44" t="str">
        <x:v>JCS-ElementEventQueue-Thread-16#218 | http-nio-8080-exec-37#252 | http-nio-8080-exec-38#253 | http-nio-8080-exec-39#254 | http-nio-8080-exec-40#257 | http-nio-8080-exec-41#258 | JCS-ElementEventQueue-Thread-19#261 | http-nio-8080-exec-43#294 | http-nio-8080-exec-44#295 | http-nio-8080-exec-45#296 | http-nio-8080-exec-46#297</x:v>
      </x:c>
      <x:c r="R93" s="36" t="n">
        <x:v>6</x:v>
      </x:c>
      <x:c r="S93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93" s="36" t="n">
        <x:v>2</x:v>
      </x:c>
      <x:c r="U93" s="44" t="str">
        <x:v>JCS-ElementEventQueue-Thread-16#218 | JCS-ElementEventQueue-Thread-19#261</x:v>
      </x:c>
      <x:c r="V93" s="36" t="n">
        <x:v>6</x:v>
      </x:c>
      <x:c r="W9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93" s="34" t="str">
        <x:v>jcs-signature-present</x:v>
      </x:c>
      <x:c r="Y93" s="44" t="str">
        <x:v>automated signatures are JCS-specific; all other candidate application threads remain unattributed and ownership requires the archived full dump</x:v>
      </x:c>
    </x:row>
    <x:row r="94">
      <x:c r="A94" s="34" t="str">
        <x:v>article1-unified-v4-2-fb3f101b-20260903-000401-default-f01-p5-jcs321</x:v>
      </x:c>
      <x:c r="B94" s="34" t="str">
        <x:v>default</x:v>
      </x:c>
      <x:c r="C94" s="34" t="str">
        <x:v>jcs321</x:v>
      </x:c>
      <x:c r="D94" s="36" t="n">
        <x:v>1</x:v>
      </x:c>
      <x:c r="E94" s="36" t="n">
        <x:v>1</x:v>
      </x:c>
      <x:c r="F94" s="36" t="n">
        <x:v>5</x:v>
      </x:c>
      <x:c r="G94" s="36" t="n">
        <x:v>4</x:v>
      </x:c>
      <x:c r="H94" s="34" t="str">
        <x:v>firstUndeployThreadEvidenceEarly</x:v>
      </x:c>
      <x:c r="I94" s="36" t="n">
        <x:v>1</x:v>
      </x:c>
      <x:c r="J94" s="34" t="str">
        <x:v>early</x:v>
      </x:c>
      <x:c r="K94" s="36" t="n">
        <x:v>34</x:v>
      </x:c>
      <x:c r="L94" s="51" t="n">
        <x:v>7</x:v>
      </x:c>
      <x:c r="M94" s="51" t="n">
        <x:v>1</x:v>
      </x:c>
      <x:c r="N94" s="36" t="n">
        <x:v>17</x:v>
      </x:c>
      <x:c r="O94" s="44" t="str">
        <x:v>JCS-ElementEventQueue-Thread-4#49 | JCS-ElementEventQueue-Thread-7#91 | JCS-ElementEventQueue-Thread-10#133 | JCS-ElementEventQueue-Thread-13#176 | JCS-ElementEventQueue-Thread-16#218 | http-nio-8080-exec-37#252 | http-nio-8080-exec-38#253 | http-nio-8080-exec-40#257 | JCS-ElementEventQueue-Thread-19#261 | http-nio-8080-exec-44#295 | http-nio-8080-exec-45#296 | http-nio-8080-exec-46#297 | http-nio-8080-exec-47#300 | http-nio-8080-exec-48#301 | JCS-ElementEventQueue-Thread-22#303 | http-nio-8080-exec-50#337 | http-nio-8080-exec-51#338</x:v>
      </x:c>
      <x:c r="P94" s="36" t="n">
        <x:v>5</x:v>
      </x:c>
      <x:c r="Q94" s="44" t="str">
        <x:v>http-nio-8080-exec-47#300 | http-nio-8080-exec-48#301 | JCS-ElementEventQueue-Thread-22#303 | http-nio-8080-exec-50#337 | http-nio-8080-exec-51#338</x:v>
      </x:c>
      <x:c r="R94" s="36" t="n">
        <x:v>7</x:v>
      </x:c>
      <x:c r="S94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94" s="36" t="n">
        <x:v>1</x:v>
      </x:c>
      <x:c r="U94" s="44" t="str">
        <x:v>JCS-ElementEventQueue-Thread-22#303</x:v>
      </x:c>
      <x:c r="V94" s="36" t="n">
        <x:v>7</x:v>
      </x:c>
      <x:c r="W9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94" s="34" t="str">
        <x:v>jcs-signature-present</x:v>
      </x:c>
      <x:c r="Y94" s="44" t="str">
        <x:v>automated signatures are JCS-specific; all other candidate application threads remain unattributed and ownership requires the archived full dump</x:v>
      </x:c>
    </x:row>
    <x:row r="95">
      <x:c r="A95" s="34" t="str">
        <x:v>article1-unified-v4-2-fb3f101b-20260903-000401-default-f01-p5-jcs321</x:v>
      </x:c>
      <x:c r="B95" s="34" t="str">
        <x:v>default</x:v>
      </x:c>
      <x:c r="C95" s="34" t="str">
        <x:v>jcs321</x:v>
      </x:c>
      <x:c r="D95" s="36" t="n">
        <x:v>1</x:v>
      </x:c>
      <x:c r="E95" s="36" t="n">
        <x:v>1</x:v>
      </x:c>
      <x:c r="F95" s="36" t="n">
        <x:v>5</x:v>
      </x:c>
      <x:c r="G95" s="36" t="n">
        <x:v>4</x:v>
      </x:c>
      <x:c r="H95" s="34" t="str">
        <x:v>firstUndeployThreadEvidenceFinal</x:v>
      </x:c>
      <x:c r="I95" s="36" t="n">
        <x:v>1</x:v>
      </x:c>
      <x:c r="J95" s="34" t="str">
        <x:v>final</x:v>
      </x:c>
      <x:c r="K95" s="36" t="n">
        <x:v>34</x:v>
      </x:c>
      <x:c r="L95" s="51" t="n">
        <x:v>7</x:v>
      </x:c>
      <x:c r="M95" s="51" t="n">
        <x:v>1</x:v>
      </x:c>
      <x:c r="N95" s="36" t="n">
        <x:v>17</x:v>
      </x:c>
      <x:c r="O95" s="44" t="str">
        <x:v>JCS-ElementEventQueue-Thread-4#49 | JCS-ElementEventQueue-Thread-7#91 | JCS-ElementEventQueue-Thread-10#133 | JCS-ElementEventQueue-Thread-13#176 | JCS-ElementEventQueue-Thread-16#218 | http-nio-8080-exec-37#252 | http-nio-8080-exec-38#253 | http-nio-8080-exec-40#257 | JCS-ElementEventQueue-Thread-19#261 | http-nio-8080-exec-44#295 | http-nio-8080-exec-45#296 | http-nio-8080-exec-46#297 | http-nio-8080-exec-48#301 | JCS-ElementEventQueue-Thread-22#303 | http-nio-8080-exec-50#337 | http-nio-8080-exec-51#338 | http-nio-8080-exec-52#339</x:v>
      </x:c>
      <x:c r="P95" s="36" t="n">
        <x:v>5</x:v>
      </x:c>
      <x:c r="Q95" s="44" t="str">
        <x:v>http-nio-8080-exec-48#301 | JCS-ElementEventQueue-Thread-22#303 | http-nio-8080-exec-50#337 | http-nio-8080-exec-51#338 | http-nio-8080-exec-52#339</x:v>
      </x:c>
      <x:c r="R95" s="36" t="n">
        <x:v>7</x:v>
      </x:c>
      <x:c r="S95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95" s="36" t="n">
        <x:v>1</x:v>
      </x:c>
      <x:c r="U95" s="44" t="str">
        <x:v>JCS-ElementEventQueue-Thread-22#303</x:v>
      </x:c>
      <x:c r="V95" s="36" t="n">
        <x:v>7</x:v>
      </x:c>
      <x:c r="W9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95" s="34" t="str">
        <x:v>jcs-signature-present</x:v>
      </x:c>
      <x:c r="Y95" s="44" t="str">
        <x:v>automated signatures are JCS-specific; all other candidate application threads remain unattributed and ownership requires the archived full dump</x:v>
      </x:c>
    </x:row>
    <x:row r="96">
      <x:c r="A96" s="34" t="str">
        <x:v>article1-unified-v4-2-fb3f101b-20260903-000401-default-f01-p5-jcs321</x:v>
      </x:c>
      <x:c r="B96" s="34" t="str">
        <x:v>default</x:v>
      </x:c>
      <x:c r="C96" s="34" t="str">
        <x:v>jcs321</x:v>
      </x:c>
      <x:c r="D96" s="36" t="n">
        <x:v>1</x:v>
      </x:c>
      <x:c r="E96" s="36" t="n">
        <x:v>1</x:v>
      </x:c>
      <x:c r="F96" s="36" t="n">
        <x:v>5</x:v>
      </x:c>
      <x:c r="G96" s="36" t="n">
        <x:v>4</x:v>
      </x:c>
      <x:c r="H96" s="34" t="str">
        <x:v>finalUndeployThreadEvidenceEarly</x:v>
      </x:c>
      <x:c r="I96" s="36" t="n">
        <x:v>2</x:v>
      </x:c>
      <x:c r="J96" s="34" t="str">
        <x:v>early</x:v>
      </x:c>
      <x:c r="K96" s="36" t="n">
        <x:v>35</x:v>
      </x:c>
      <x:c r="L96" s="51" t="n">
        <x:v>8</x:v>
      </x:c>
      <x:c r="M96" s="51" t="n">
        <x:v>2</x:v>
      </x:c>
      <x:c r="N96" s="36" t="n">
        <x:v>18</x:v>
      </x:c>
      <x:c r="O96" s="44" t="str">
        <x:v>JCS-ElementEventQueue-Thread-4#49 | JCS-ElementEventQueue-Thread-7#91 | JCS-ElementEventQueue-Thread-10#133 | JCS-ElementEventQueue-Thread-13#176 | JCS-ElementEventQueue-Thread-16#218 | http-nio-8080-exec-38#253 | http-nio-8080-exec-40#257 | JCS-ElementEventQueue-Thread-19#261 | JCS-ElementEventQueue-Thread-22#303 | http-nio-8080-exec-50#337 | http-nio-8080-exec-51#338 | http-nio-8080-exec-52#339 | http-nio-8080-exec-53#342 | http-nio-8080-exec-54#343 | JCS-ElementEventQueue-Thread-25#346 | http-nio-8080-exec-56#379 | http-nio-8080-exec-57#380 | http-nio-8080-exec-58#381</x:v>
      </x:c>
      <x:c r="P96" s="36" t="n">
        <x:v>10</x:v>
      </x:c>
      <x:c r="Q96" s="44" t="str">
        <x:v>JCS-ElementEventQueue-Thread-22#303 | http-nio-8080-exec-50#337 | http-nio-8080-exec-51#338 | http-nio-8080-exec-52#339 | http-nio-8080-exec-53#342 | http-nio-8080-exec-54#343 | JCS-ElementEventQueue-Thread-25#346 | http-nio-8080-exec-56#379 | http-nio-8080-exec-57#380 | http-nio-8080-exec-58#381</x:v>
      </x:c>
      <x:c r="R96" s="36" t="n">
        <x:v>8</x:v>
      </x:c>
      <x:c r="S96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96" s="36" t="n">
        <x:v>2</x:v>
      </x:c>
      <x:c r="U96" s="44" t="str">
        <x:v>JCS-ElementEventQueue-Thread-22#303 | JCS-ElementEventQueue-Thread-25#346</x:v>
      </x:c>
      <x:c r="V96" s="36" t="n">
        <x:v>8</x:v>
      </x:c>
      <x:c r="W9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96" s="34" t="str">
        <x:v>jcs-signature-present</x:v>
      </x:c>
      <x:c r="Y96" s="44" t="str">
        <x:v>automated signatures are JCS-specific; all other candidate application threads remain unattributed and ownership requires the archived full dump</x:v>
      </x:c>
    </x:row>
    <x:row r="97">
      <x:c r="A97" s="34" t="str">
        <x:v>article1-unified-v4-2-fb3f101b-20260903-000401-default-f01-p5-jcs321</x:v>
      </x:c>
      <x:c r="B97" s="34" t="str">
        <x:v>default</x:v>
      </x:c>
      <x:c r="C97" s="34" t="str">
        <x:v>jcs321</x:v>
      </x:c>
      <x:c r="D97" s="36" t="n">
        <x:v>1</x:v>
      </x:c>
      <x:c r="E97" s="36" t="n">
        <x:v>1</x:v>
      </x:c>
      <x:c r="F97" s="36" t="n">
        <x:v>5</x:v>
      </x:c>
      <x:c r="G97" s="36" t="n">
        <x:v>4</x:v>
      </x:c>
      <x:c r="H97" s="34" t="str">
        <x:v>finalUndeployThreadEvidenceFinal</x:v>
      </x:c>
      <x:c r="I97" s="36" t="n">
        <x:v>2</x:v>
      </x:c>
      <x:c r="J97" s="34" t="str">
        <x:v>final</x:v>
      </x:c>
      <x:c r="K97" s="36" t="n">
        <x:v>35</x:v>
      </x:c>
      <x:c r="L97" s="51" t="n">
        <x:v>8</x:v>
      </x:c>
      <x:c r="M97" s="51" t="n">
        <x:v>2</x:v>
      </x:c>
      <x:c r="N97" s="36" t="n">
        <x:v>18</x:v>
      </x:c>
      <x:c r="O97" s="44" t="str">
        <x:v>JCS-ElementEventQueue-Thread-4#49 | JCS-ElementEventQueue-Thread-7#91 | JCS-ElementEventQueue-Thread-10#133 | JCS-ElementEventQueue-Thread-13#176 | JCS-ElementEventQueue-Thread-16#218 | http-nio-8080-exec-38#253 | http-nio-8080-exec-40#257 | JCS-ElementEventQueue-Thread-19#261 | JCS-ElementEventQueue-Thread-22#303 | http-nio-8080-exec-50#337 | http-nio-8080-exec-51#338 | http-nio-8080-exec-53#342 | http-nio-8080-exec-54#343 | JCS-ElementEventQueue-Thread-25#346 | http-nio-8080-exec-56#379 | http-nio-8080-exec-57#380 | http-nio-8080-exec-58#381 | http-nio-8080-exec-59#382</x:v>
      </x:c>
      <x:c r="P97" s="36" t="n">
        <x:v>10</x:v>
      </x:c>
      <x:c r="Q97" s="44" t="str">
        <x:v>JCS-ElementEventQueue-Thread-22#303 | http-nio-8080-exec-50#337 | http-nio-8080-exec-51#338 | http-nio-8080-exec-53#342 | http-nio-8080-exec-54#343 | JCS-ElementEventQueue-Thread-25#346 | http-nio-8080-exec-56#379 | http-nio-8080-exec-57#380 | http-nio-8080-exec-58#381 | http-nio-8080-exec-59#382</x:v>
      </x:c>
      <x:c r="R97" s="36" t="n">
        <x:v>8</x:v>
      </x:c>
      <x:c r="S97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97" s="36" t="n">
        <x:v>2</x:v>
      </x:c>
      <x:c r="U97" s="44" t="str">
        <x:v>JCS-ElementEventQueue-Thread-22#303 | JCS-ElementEventQueue-Thread-25#346</x:v>
      </x:c>
      <x:c r="V97" s="36" t="n">
        <x:v>8</x:v>
      </x:c>
      <x:c r="W9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97" s="34" t="str">
        <x:v>jcs-signature-present</x:v>
      </x:c>
      <x:c r="Y97" s="44" t="str">
        <x:v>automated signatures are JCS-specific; all other candidate application threads remain unattributed and ownership requires the archived full dump</x:v>
      </x:c>
    </x:row>
    <x:row r="98">
      <x:c r="A98" s="34" t="str">
        <x:v>article1-unified-v4-2-fb3f101b-20260903-000401-default-f01-p5-jcs321</x:v>
      </x:c>
      <x:c r="B98" s="34" t="str">
        <x:v>default</x:v>
      </x:c>
      <x:c r="C98" s="34" t="str">
        <x:v>jcs321</x:v>
      </x:c>
      <x:c r="D98" s="36" t="n">
        <x:v>1</x:v>
      </x:c>
      <x:c r="E98" s="36" t="n">
        <x:v>1</x:v>
      </x:c>
      <x:c r="F98" s="36" t="n">
        <x:v>5</x:v>
      </x:c>
      <x:c r="G98" s="36" t="n">
        <x:v>5</x:v>
      </x:c>
      <x:c r="H98" s="34" t="str">
        <x:v>firstUndeployThreadEvidenceEarly</x:v>
      </x:c>
      <x:c r="I98" s="36" t="n">
        <x:v>1</x:v>
      </x:c>
      <x:c r="J98" s="34" t="str">
        <x:v>early</x:v>
      </x:c>
      <x:c r="K98" s="36" t="n">
        <x:v>36</x:v>
      </x:c>
      <x:c r="L98" s="51" t="n">
        <x:v>9</x:v>
      </x:c>
      <x:c r="M98" s="51" t="n">
        <x:v>1</x:v>
      </x:c>
      <x:c r="N98" s="36" t="n">
        <x:v>19</x:v>
      </x:c>
      <x:c r="O98" s="44" t="str">
        <x:v>JCS-ElementEventQueue-Thread-4#49 | JCS-ElementEventQueue-Thread-7#91 | JCS-ElementEventQueue-Thread-10#133 | JCS-ElementEventQueue-Thread-13#176 | JCS-ElementEventQueue-Thread-16#218 | http-nio-8080-exec-38#253 | http-nio-8080-exec-40#257 | JCS-ElementEventQueue-Thread-19#261 | JCS-ElementEventQueue-Thread-22#303 | http-nio-8080-exec-54#343 | JCS-ElementEventQueue-Thread-25#346 | http-nio-8080-exec-58#381 | http-nio-8080-exec-59#382 | http-nio-8080-exec-60#385 | http-nio-8080-exec-61#386 | JCS-ElementEventQueue-Thread-28#388 | http-nio-8080-exec-62#421 | http-nio-8080-exec-63#422 | http-nio-8080-exec-64#423</x:v>
      </x:c>
      <x:c r="P98" s="36" t="n">
        <x:v>6</x:v>
      </x:c>
      <x:c r="Q98" s="44" t="str">
        <x:v>http-nio-8080-exec-60#385 | http-nio-8080-exec-61#386 | JCS-ElementEventQueue-Thread-28#388 | http-nio-8080-exec-62#421 | http-nio-8080-exec-63#422 | http-nio-8080-exec-64#423</x:v>
      </x:c>
      <x:c r="R98" s="36" t="n">
        <x:v>9</x:v>
      </x:c>
      <x:c r="S9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98" s="36" t="n">
        <x:v>1</x:v>
      </x:c>
      <x:c r="U98" s="44" t="str">
        <x:v>JCS-ElementEventQueue-Thread-28#388</x:v>
      </x:c>
      <x:c r="V98" s="36" t="n">
        <x:v>9</x:v>
      </x:c>
      <x:c r="W9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98" s="34" t="str">
        <x:v>jcs-signature-present</x:v>
      </x:c>
      <x:c r="Y98" s="44" t="str">
        <x:v>automated signatures are JCS-specific; all other candidate application threads remain unattributed and ownership requires the archived full dump</x:v>
      </x:c>
    </x:row>
    <x:row r="99">
      <x:c r="A99" s="34" t="str">
        <x:v>article1-unified-v4-2-fb3f101b-20260903-000401-default-f01-p5-jcs321</x:v>
      </x:c>
      <x:c r="B99" s="34" t="str">
        <x:v>default</x:v>
      </x:c>
      <x:c r="C99" s="34" t="str">
        <x:v>jcs321</x:v>
      </x:c>
      <x:c r="D99" s="36" t="n">
        <x:v>1</x:v>
      </x:c>
      <x:c r="E99" s="36" t="n">
        <x:v>1</x:v>
      </x:c>
      <x:c r="F99" s="36" t="n">
        <x:v>5</x:v>
      </x:c>
      <x:c r="G99" s="36" t="n">
        <x:v>5</x:v>
      </x:c>
      <x:c r="H99" s="34" t="str">
        <x:v>firstUndeployThreadEvidenceFinal</x:v>
      </x:c>
      <x:c r="I99" s="36" t="n">
        <x:v>1</x:v>
      </x:c>
      <x:c r="J99" s="34" t="str">
        <x:v>final</x:v>
      </x:c>
      <x:c r="K99" s="36" t="n">
        <x:v>36</x:v>
      </x:c>
      <x:c r="L99" s="51" t="n">
        <x:v>9</x:v>
      </x:c>
      <x:c r="M99" s="51" t="n">
        <x:v>1</x:v>
      </x:c>
      <x:c r="N99" s="36" t="n">
        <x:v>19</x:v>
      </x:c>
      <x:c r="O99" s="44" t="str">
        <x:v>JCS-ElementEventQueue-Thread-4#49 | JCS-ElementEventQueue-Thread-7#91 | JCS-ElementEventQueue-Thread-10#133 | JCS-ElementEventQueue-Thread-13#176 | JCS-ElementEventQueue-Thread-16#218 | http-nio-8080-exec-38#253 | http-nio-8080-exec-40#257 | JCS-ElementEventQueue-Thread-19#261 | JCS-ElementEventQueue-Thread-22#303 | http-nio-8080-exec-54#343 | JCS-ElementEventQueue-Thread-25#346 | http-nio-8080-exec-58#381 | http-nio-8080-exec-59#382 | http-nio-8080-exec-60#385 | JCS-ElementEventQueue-Thread-28#388 | http-nio-8080-exec-62#421 | http-nio-8080-exec-63#422 | http-nio-8080-exec-64#423 | http-nio-8080-exec-65#424</x:v>
      </x:c>
      <x:c r="P99" s="36" t="n">
        <x:v>6</x:v>
      </x:c>
      <x:c r="Q99" s="44" t="str">
        <x:v>http-nio-8080-exec-60#385 | JCS-ElementEventQueue-Thread-28#388 | http-nio-8080-exec-62#421 | http-nio-8080-exec-63#422 | http-nio-8080-exec-64#423 | http-nio-8080-exec-65#424</x:v>
      </x:c>
      <x:c r="R99" s="36" t="n">
        <x:v>9</x:v>
      </x:c>
      <x:c r="S9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99" s="36" t="n">
        <x:v>1</x:v>
      </x:c>
      <x:c r="U99" s="44" t="str">
        <x:v>JCS-ElementEventQueue-Thread-28#388</x:v>
      </x:c>
      <x:c r="V99" s="36" t="n">
        <x:v>9</x:v>
      </x:c>
      <x:c r="W9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99" s="34" t="str">
        <x:v>jcs-signature-present</x:v>
      </x:c>
      <x:c r="Y99" s="44" t="str">
        <x:v>automated signatures are JCS-specific; all other candidate application threads remain unattributed and ownership requires the archived full dump</x:v>
      </x:c>
    </x:row>
    <x:row r="100">
      <x:c r="A100" s="34" t="str">
        <x:v>article1-unified-v4-2-fb3f101b-20260903-000401-default-f01-p5-jcs321</x:v>
      </x:c>
      <x:c r="B100" s="34" t="str">
        <x:v>default</x:v>
      </x:c>
      <x:c r="C100" s="34" t="str">
        <x:v>jcs321</x:v>
      </x:c>
      <x:c r="D100" s="36" t="n">
        <x:v>1</x:v>
      </x:c>
      <x:c r="E100" s="36" t="n">
        <x:v>1</x:v>
      </x:c>
      <x:c r="F100" s="36" t="n">
        <x:v>5</x:v>
      </x:c>
      <x:c r="G100" s="36" t="n">
        <x:v>5</x:v>
      </x:c>
      <x:c r="H100" s="34" t="str">
        <x:v>finalUndeployThreadEvidenceEarly</x:v>
      </x:c>
      <x:c r="I100" s="36" t="n">
        <x:v>2</x:v>
      </x:c>
      <x:c r="J100" s="34" t="str">
        <x:v>early</x:v>
      </x:c>
      <x:c r="K100" s="36" t="n">
        <x:v>37</x:v>
      </x:c>
      <x:c r="L100" s="51" t="n">
        <x:v>10</x:v>
      </x:c>
      <x:c r="M100" s="51" t="n">
        <x:v>2</x:v>
      </x:c>
      <x:c r="N100" s="36" t="n">
        <x:v>20</x:v>
      </x:c>
      <x:c r="O100" s="44" t="str">
        <x:v>JCS-ElementEventQueue-Thread-4#49 | JCS-ElementEventQueue-Thread-7#91 | JCS-ElementEventQueue-Thread-10#133 | JCS-ElementEventQueue-Thread-13#176 | JCS-ElementEventQueue-Thread-16#218 | http-nio-8080-exec-40#257 | JCS-ElementEventQueue-Thread-19#261 | JCS-ElementEventQueue-Thread-22#303 | JCS-ElementEventQueue-Thread-25#346 | http-nio-8080-exec-58#381 | JCS-ElementEventQueue-Thread-28#388 | http-nio-8080-exec-63#422 | http-nio-8080-exec-64#423 | http-nio-8080-exec-65#424 | http-nio-8080-exec-66#427 | http-nio-8080-exec-67#428 | JCS-ElementEventQueue-Thread-31#431 | http-nio-8080-exec-69#464 | http-nio-8080-exec-70#465 | http-nio-8080-exec-71#466</x:v>
      </x:c>
      <x:c r="P100" s="36" t="n">
        <x:v>10</x:v>
      </x:c>
      <x:c r="Q100" s="44" t="str">
        <x:v>JCS-ElementEventQueue-Thread-28#388 | http-nio-8080-exec-63#422 | http-nio-8080-exec-64#423 | http-nio-8080-exec-65#424 | http-nio-8080-exec-66#427 | http-nio-8080-exec-67#428 | JCS-ElementEventQueue-Thread-31#431 | http-nio-8080-exec-69#464 | http-nio-8080-exec-70#465 | http-nio-8080-exec-71#466</x:v>
      </x:c>
      <x:c r="R100" s="36" t="n">
        <x:v>10</x:v>
      </x:c>
      <x:c r="S10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100" s="36" t="n">
        <x:v>2</x:v>
      </x:c>
      <x:c r="U100" s="44" t="str">
        <x:v>JCS-ElementEventQueue-Thread-28#388 | JCS-ElementEventQueue-Thread-31#431</x:v>
      </x:c>
      <x:c r="V100" s="36" t="n">
        <x:v>10</x:v>
      </x:c>
      <x:c r="W10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00" s="34" t="str">
        <x:v>jcs-signature-present</x:v>
      </x:c>
      <x:c r="Y100" s="44" t="str">
        <x:v>automated signatures are JCS-specific; all other candidate application threads remain unattributed and ownership requires the archived full dump</x:v>
      </x:c>
    </x:row>
    <x:row r="101">
      <x:c r="A101" s="34" t="str">
        <x:v>article1-unified-v4-2-fb3f101b-20260903-000401-default-f01-p5-jcs321</x:v>
      </x:c>
      <x:c r="B101" s="34" t="str">
        <x:v>default</x:v>
      </x:c>
      <x:c r="C101" s="34" t="str">
        <x:v>jcs321</x:v>
      </x:c>
      <x:c r="D101" s="36" t="n">
        <x:v>1</x:v>
      </x:c>
      <x:c r="E101" s="36" t="n">
        <x:v>1</x:v>
      </x:c>
      <x:c r="F101" s="36" t="n">
        <x:v>5</x:v>
      </x:c>
      <x:c r="G101" s="36" t="n">
        <x:v>5</x:v>
      </x:c>
      <x:c r="H101" s="34" t="str">
        <x:v>finalUndeployThreadEvidenceFinal</x:v>
      </x:c>
      <x:c r="I101" s="36" t="n">
        <x:v>2</x:v>
      </x:c>
      <x:c r="J101" s="34" t="str">
        <x:v>final</x:v>
      </x:c>
      <x:c r="K101" s="36" t="n">
        <x:v>37</x:v>
      </x:c>
      <x:c r="L101" s="51" t="n">
        <x:v>10</x:v>
      </x:c>
      <x:c r="M101" s="51" t="n">
        <x:v>2</x:v>
      </x:c>
      <x:c r="N101" s="36" t="n">
        <x:v>20</x:v>
      </x:c>
      <x:c r="O101" s="44" t="str">
        <x:v>JCS-ElementEventQueue-Thread-4#49 | JCS-ElementEventQueue-Thread-7#91 | JCS-ElementEventQueue-Thread-10#133 | JCS-ElementEventQueue-Thread-13#176 | JCS-ElementEventQueue-Thread-16#218 | http-nio-8080-exec-40#257 | JCS-ElementEventQueue-Thread-19#261 | JCS-ElementEventQueue-Thread-22#303 | JCS-ElementEventQueue-Thread-25#346 | http-nio-8080-exec-58#381 | JCS-ElementEventQueue-Thread-28#388 | http-nio-8080-exec-64#423 | http-nio-8080-exec-65#424 | http-nio-8080-exec-66#427 | http-nio-8080-exec-67#428 | JCS-ElementEventQueue-Thread-31#431 | http-nio-8080-exec-69#464 | http-nio-8080-exec-70#465 | http-nio-8080-exec-71#466 | http-nio-8080-exec-72#467</x:v>
      </x:c>
      <x:c r="P101" s="36" t="n">
        <x:v>10</x:v>
      </x:c>
      <x:c r="Q101" s="44" t="str">
        <x:v>JCS-ElementEventQueue-Thread-28#388 | http-nio-8080-exec-64#423 | http-nio-8080-exec-65#424 | http-nio-8080-exec-66#427 | http-nio-8080-exec-67#428 | JCS-ElementEventQueue-Thread-31#431 | http-nio-8080-exec-69#464 | http-nio-8080-exec-70#465 | http-nio-8080-exec-71#466 | http-nio-8080-exec-72#467</x:v>
      </x:c>
      <x:c r="R101" s="36" t="n">
        <x:v>10</x:v>
      </x:c>
      <x:c r="S10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101" s="36" t="n">
        <x:v>2</x:v>
      </x:c>
      <x:c r="U101" s="44" t="str">
        <x:v>JCS-ElementEventQueue-Thread-28#388 | JCS-ElementEventQueue-Thread-31#431</x:v>
      </x:c>
      <x:c r="V101" s="36" t="n">
        <x:v>10</x:v>
      </x:c>
      <x:c r="W10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101" s="34" t="str">
        <x:v>jcs-signature-present</x:v>
      </x:c>
      <x:c r="Y101" s="44" t="str">
        <x:v>automated signatures are JCS-specific; all other candidate application threads remain unattributed and ownership requires the archived full dump</x:v>
      </x:c>
    </x:row>
    <x:row r="102">
      <x:c r="A102" s="34" t="str">
        <x:v>article1-unified-v4-2-fb3f101b-20260903-000401-default-f01-p6-jcs4</x:v>
      </x:c>
      <x:c r="B102" s="34" t="str">
        <x:v>default</x:v>
      </x:c>
      <x:c r="C102" s="34" t="str">
        <x:v>jcs4</x:v>
      </x:c>
      <x:c r="D102" s="36" t="n">
        <x:v>1</x:v>
      </x:c>
      <x:c r="E102" s="36" t="n">
        <x:v>1</x:v>
      </x:c>
      <x:c r="F102" s="36" t="n">
        <x:v>6</x:v>
      </x:c>
      <x:c r="G102" s="36" t="n">
        <x:v>1</x:v>
      </x:c>
      <x:c r="H102" s="34" t="str">
        <x:v>firstUndeployThreadEvidenceEarly</x:v>
      </x:c>
      <x:c r="I102" s="36" t="n">
        <x:v>1</x:v>
      </x:c>
      <x:c r="J102" s="34" t="str">
        <x:v>early</x:v>
      </x:c>
      <x:c r="K102" s="36" t="n">
        <x:v>27</x:v>
      </x:c>
      <x:c r="L102" s="51" t="n">
        <x:v>0</x:v>
      </x:c>
      <x:c r="M102" s="51" t="n">
        <x:v>0</x:v>
      </x:c>
      <x:c r="N102" s="36" t="n">
        <x:v>2</x:v>
      </x:c>
      <x:c r="O102" s="44" t="str">
        <x:v>http-nio-8080-exec-11#82 | http-nio-8080-exec-12#83</x:v>
      </x:c>
      <x:c r="P102" s="36" t="n">
        <x:v>2</x:v>
      </x:c>
      <x:c r="Q102" s="44" t="str">
        <x:v>http-nio-8080-exec-11#82 | http-nio-8080-exec-12#83</x:v>
      </x:c>
      <x:c r="R102" s="36" t="n">
        <x:v>0</x:v>
      </x:c>
      <x:c r="S102" s="44"/>
      <x:c r="T102" s="36" t="n">
        <x:v>0</x:v>
      </x:c>
      <x:c r="U102" s="44"/>
      <x:c r="V102" s="36" t="n">
        <x:v>0</x:v>
      </x:c>
      <x:c r="W102" s="44"/>
      <x:c r="X102" s="34" t="str">
        <x:v>no-post-undeploy-thread-signal</x:v>
      </x:c>
      <x:c r="Y102" s="44" t="str">
        <x:v>automated signatures are JCS-specific; all other candidate application threads remain unattributed and ownership requires the archived full dump</x:v>
      </x:c>
    </x:row>
    <x:row r="103">
      <x:c r="A103" s="34" t="str">
        <x:v>article1-unified-v4-2-fb3f101b-20260903-000401-default-f01-p6-jcs4</x:v>
      </x:c>
      <x:c r="B103" s="34" t="str">
        <x:v>default</x:v>
      </x:c>
      <x:c r="C103" s="34" t="str">
        <x:v>jcs4</x:v>
      </x:c>
      <x:c r="D103" s="36" t="n">
        <x:v>1</x:v>
      </x:c>
      <x:c r="E103" s="36" t="n">
        <x:v>1</x:v>
      </x:c>
      <x:c r="F103" s="36" t="n">
        <x:v>6</x:v>
      </x:c>
      <x:c r="G103" s="36" t="n">
        <x:v>1</x:v>
      </x:c>
      <x:c r="H103" s="34" t="str">
        <x:v>firstUndeployThreadEvidenceFinal</x:v>
      </x:c>
      <x:c r="I103" s="36" t="n">
        <x:v>1</x:v>
      </x:c>
      <x:c r="J103" s="34" t="str">
        <x:v>final</x:v>
      </x:c>
      <x:c r="K103" s="36" t="n">
        <x:v>27</x:v>
      </x:c>
      <x:c r="L103" s="51" t="n">
        <x:v>0</x:v>
      </x:c>
      <x:c r="M103" s="51" t="n">
        <x:v>0</x:v>
      </x:c>
      <x:c r="N103" s="36" t="n">
        <x:v>3</x:v>
      </x:c>
      <x:c r="O103" s="44" t="str">
        <x:v>http-nio-8080-exec-11#82 | http-nio-8080-exec-12#83 | http-nio-8080-exec-13#84</x:v>
      </x:c>
      <x:c r="P103" s="36" t="n">
        <x:v>3</x:v>
      </x:c>
      <x:c r="Q103" s="44" t="str">
        <x:v>http-nio-8080-exec-11#82 | http-nio-8080-exec-12#83 | http-nio-8080-exec-13#84</x:v>
      </x:c>
      <x:c r="R103" s="36" t="n">
        <x:v>0</x:v>
      </x:c>
      <x:c r="S103" s="44"/>
      <x:c r="T103" s="36" t="n">
        <x:v>0</x:v>
      </x:c>
      <x:c r="U103" s="44"/>
      <x:c r="V103" s="36" t="n">
        <x:v>0</x:v>
      </x:c>
      <x:c r="W103" s="44"/>
      <x:c r="X103" s="34" t="str">
        <x:v>no-post-undeploy-thread-signal</x:v>
      </x:c>
      <x:c r="Y103" s="44" t="str">
        <x:v>automated signatures are JCS-specific; all other candidate application threads remain unattributed and ownership requires the archived full dump</x:v>
      </x:c>
    </x:row>
    <x:row r="104">
      <x:c r="A104" s="34" t="str">
        <x:v>article1-unified-v4-2-fb3f101b-20260903-000401-default-f01-p6-jcs4</x:v>
      </x:c>
      <x:c r="B104" s="34" t="str">
        <x:v>default</x:v>
      </x:c>
      <x:c r="C104" s="34" t="str">
        <x:v>jcs4</x:v>
      </x:c>
      <x:c r="D104" s="36" t="n">
        <x:v>1</x:v>
      </x:c>
      <x:c r="E104" s="36" t="n">
        <x:v>1</x:v>
      </x:c>
      <x:c r="F104" s="36" t="n">
        <x:v>6</x:v>
      </x:c>
      <x:c r="G104" s="36" t="n">
        <x:v>1</x:v>
      </x:c>
      <x:c r="H104" s="34" t="str">
        <x:v>finalUndeployThreadEvidenceEarly</x:v>
      </x:c>
      <x:c r="I104" s="36" t="n">
        <x:v>2</x:v>
      </x:c>
      <x:c r="J104" s="34" t="str">
        <x:v>early</x:v>
      </x:c>
      <x:c r="K104" s="36" t="n">
        <x:v>27</x:v>
      </x:c>
      <x:c r="L104" s="51" t="n">
        <x:v>0</x:v>
      </x:c>
      <x:c r="M104" s="51" t="n">
        <x:v>0</x:v>
      </x:c>
      <x:c r="N104" s="36" t="n">
        <x:v>8</x:v>
      </x:c>
      <x:c r="O104" s="44" t="str">
        <x:v>http-nio-8080-exec-12#83 | http-nio-8080-exec-13#84 | http-nio-8080-exec-14#87 | http-nio-8080-exec-15#88 | http-nio-8080-exec-16#89 | http-nio-8080-exec-17#124 | http-nio-8080-exec-18#125 | http-nio-8080-exec-19#126</x:v>
      </x:c>
      <x:c r="P104" s="36" t="n">
        <x:v>8</x:v>
      </x:c>
      <x:c r="Q104" s="44" t="str">
        <x:v>http-nio-8080-exec-12#83 | http-nio-8080-exec-13#84 | http-nio-8080-exec-14#87 | http-nio-8080-exec-15#88 | http-nio-8080-exec-16#89 | http-nio-8080-exec-17#124 | http-nio-8080-exec-18#125 | http-nio-8080-exec-19#126</x:v>
      </x:c>
      <x:c r="R104" s="36" t="n">
        <x:v>0</x:v>
      </x:c>
      <x:c r="S104" s="44"/>
      <x:c r="T104" s="36" t="n">
        <x:v>0</x:v>
      </x:c>
      <x:c r="U104" s="44"/>
      <x:c r="V104" s="36" t="n">
        <x:v>0</x:v>
      </x:c>
      <x:c r="W104" s="44"/>
      <x:c r="X104" s="34" t="str">
        <x:v>no-post-undeploy-thread-signal</x:v>
      </x:c>
      <x:c r="Y104" s="44" t="str">
        <x:v>automated signatures are JCS-specific; all other candidate application threads remain unattributed and ownership requires the archived full dump</x:v>
      </x:c>
    </x:row>
    <x:row r="105">
      <x:c r="A105" s="34" t="str">
        <x:v>article1-unified-v4-2-fb3f101b-20260903-000401-default-f01-p6-jcs4</x:v>
      </x:c>
      <x:c r="B105" s="34" t="str">
        <x:v>default</x:v>
      </x:c>
      <x:c r="C105" s="34" t="str">
        <x:v>jcs4</x:v>
      </x:c>
      <x:c r="D105" s="36" t="n">
        <x:v>1</x:v>
      </x:c>
      <x:c r="E105" s="36" t="n">
        <x:v>1</x:v>
      </x:c>
      <x:c r="F105" s="36" t="n">
        <x:v>6</x:v>
      </x:c>
      <x:c r="G105" s="36" t="n">
        <x:v>1</x:v>
      </x:c>
      <x:c r="H105" s="34" t="str">
        <x:v>finalUndeployThreadEvidenceFinal</x:v>
      </x:c>
      <x:c r="I105" s="36" t="n">
        <x:v>2</x:v>
      </x:c>
      <x:c r="J105" s="34" t="str">
        <x:v>final</x:v>
      </x:c>
      <x:c r="K105" s="36" t="n">
        <x:v>27</x:v>
      </x:c>
      <x:c r="L105" s="51" t="n">
        <x:v>0</x:v>
      </x:c>
      <x:c r="M105" s="51" t="n">
        <x:v>0</x:v>
      </x:c>
      <x:c r="N105" s="36" t="n">
        <x:v>8</x:v>
      </x:c>
      <x:c r="O105" s="44" t="str">
        <x:v>http-nio-8080-exec-13#84 | http-nio-8080-exec-14#87 | http-nio-8080-exec-15#88 | http-nio-8080-exec-16#89 | http-nio-8080-exec-17#124 | http-nio-8080-exec-18#125 | http-nio-8080-exec-19#126 | http-nio-8080-exec-20#127</x:v>
      </x:c>
      <x:c r="P105" s="36" t="n">
        <x:v>8</x:v>
      </x:c>
      <x:c r="Q105" s="44" t="str">
        <x:v>http-nio-8080-exec-13#84 | http-nio-8080-exec-14#87 | http-nio-8080-exec-15#88 | http-nio-8080-exec-16#89 | http-nio-8080-exec-17#124 | http-nio-8080-exec-18#125 | http-nio-8080-exec-19#126 | http-nio-8080-exec-20#127</x:v>
      </x:c>
      <x:c r="R105" s="36" t="n">
        <x:v>0</x:v>
      </x:c>
      <x:c r="S105" s="44"/>
      <x:c r="T105" s="36" t="n">
        <x:v>0</x:v>
      </x:c>
      <x:c r="U105" s="44"/>
      <x:c r="V105" s="36" t="n">
        <x:v>0</x:v>
      </x:c>
      <x:c r="W105" s="44"/>
      <x:c r="X105" s="34" t="str">
        <x:v>no-post-undeploy-thread-signal</x:v>
      </x:c>
      <x:c r="Y105" s="44" t="str">
        <x:v>automated signatures are JCS-specific; all other candidate application threads remain unattributed and ownership requires the archived full dump</x:v>
      </x:c>
    </x:row>
    <x:row r="106">
      <x:c r="A106" s="34" t="str">
        <x:v>article1-unified-v4-2-fb3f101b-20260903-000401-default-f01-p6-jcs4</x:v>
      </x:c>
      <x:c r="B106" s="34" t="str">
        <x:v>default</x:v>
      </x:c>
      <x:c r="C106" s="34" t="str">
        <x:v>jcs4</x:v>
      </x:c>
      <x:c r="D106" s="36" t="n">
        <x:v>1</x:v>
      </x:c>
      <x:c r="E106" s="36" t="n">
        <x:v>1</x:v>
      </x:c>
      <x:c r="F106" s="36" t="n">
        <x:v>6</x:v>
      </x:c>
      <x:c r="G106" s="36" t="n">
        <x:v>2</x:v>
      </x:c>
      <x:c r="H106" s="34" t="str">
        <x:v>firstUndeployThreadEvidenceEarly</x:v>
      </x:c>
      <x:c r="I106" s="36" t="n">
        <x:v>1</x:v>
      </x:c>
      <x:c r="J106" s="34" t="str">
        <x:v>early</x:v>
      </x:c>
      <x:c r="K106" s="36" t="n">
        <x:v>27</x:v>
      </x:c>
      <x:c r="L106" s="51" t="n">
        <x:v>0</x:v>
      </x:c>
      <x:c r="M106" s="51" t="n">
        <x:v>0</x:v>
      </x:c>
      <x:c r="N106" s="36" t="n">
        <x:v>9</x:v>
      </x:c>
      <x:c r="O106" s="44" t="str">
        <x:v>http-nio-8080-exec-13#84 | http-nio-8080-exec-17#124 | http-nio-8080-exec-18#125 | http-nio-8080-exec-19#126 | http-nio-8080-exec-20#127 | http-nio-8080-exec-21#130 | http-nio-8080-exec-23#166 | http-nio-8080-exec-24#167 | http-nio-8080-exec-25#168</x:v>
      </x:c>
      <x:c r="P106" s="36" t="n">
        <x:v>4</x:v>
      </x:c>
      <x:c r="Q106" s="44" t="str">
        <x:v>http-nio-8080-exec-21#130 | http-nio-8080-exec-23#166 | http-nio-8080-exec-24#167 | http-nio-8080-exec-25#168</x:v>
      </x:c>
      <x:c r="R106" s="36" t="n">
        <x:v>0</x:v>
      </x:c>
      <x:c r="S106" s="44"/>
      <x:c r="T106" s="36" t="n">
        <x:v>0</x:v>
      </x:c>
      <x:c r="U106" s="44"/>
      <x:c r="V106" s="36" t="n">
        <x:v>0</x:v>
      </x:c>
      <x:c r="W106" s="44"/>
      <x:c r="X106" s="34" t="str">
        <x:v>no-post-undeploy-thread-signal</x:v>
      </x:c>
      <x:c r="Y106" s="44" t="str">
        <x:v>automated signatures are JCS-specific; all other candidate application threads remain unattributed and ownership requires the archived full dump</x:v>
      </x:c>
    </x:row>
    <x:row r="107">
      <x:c r="A107" s="34" t="str">
        <x:v>article1-unified-v4-2-fb3f101b-20260903-000401-default-f01-p6-jcs4</x:v>
      </x:c>
      <x:c r="B107" s="34" t="str">
        <x:v>default</x:v>
      </x:c>
      <x:c r="C107" s="34" t="str">
        <x:v>jcs4</x:v>
      </x:c>
      <x:c r="D107" s="36" t="n">
        <x:v>1</x:v>
      </x:c>
      <x:c r="E107" s="36" t="n">
        <x:v>1</x:v>
      </x:c>
      <x:c r="F107" s="36" t="n">
        <x:v>6</x:v>
      </x:c>
      <x:c r="G107" s="36" t="n">
        <x:v>2</x:v>
      </x:c>
      <x:c r="H107" s="34" t="str">
        <x:v>firstUndeployThreadEvidenceFinal</x:v>
      </x:c>
      <x:c r="I107" s="36" t="n">
        <x:v>1</x:v>
      </x:c>
      <x:c r="J107" s="34" t="str">
        <x:v>final</x:v>
      </x:c>
      <x:c r="K107" s="36" t="n">
        <x:v>27</x:v>
      </x:c>
      <x:c r="L107" s="51" t="n">
        <x:v>0</x:v>
      </x:c>
      <x:c r="M107" s="51" t="n">
        <x:v>0</x:v>
      </x:c>
      <x:c r="N107" s="36" t="n">
        <x:v>9</x:v>
      </x:c>
      <x:c r="O107" s="44" t="str">
        <x:v>http-nio-8080-exec-13#84 | http-nio-8080-exec-17#124 | http-nio-8080-exec-18#125 | http-nio-8080-exec-20#127 | http-nio-8080-exec-21#130 | http-nio-8080-exec-23#166 | http-nio-8080-exec-24#167 | http-nio-8080-exec-25#168 | http-nio-8080-exec-26#169</x:v>
      </x:c>
      <x:c r="P107" s="36" t="n">
        <x:v>5</x:v>
      </x:c>
      <x:c r="Q107" s="44" t="str">
        <x:v>http-nio-8080-exec-21#130 | http-nio-8080-exec-23#166 | http-nio-8080-exec-24#167 | http-nio-8080-exec-25#168 | http-nio-8080-exec-26#169</x:v>
      </x:c>
      <x:c r="R107" s="36" t="n">
        <x:v>0</x:v>
      </x:c>
      <x:c r="S107" s="44"/>
      <x:c r="T107" s="36" t="n">
        <x:v>0</x:v>
      </x:c>
      <x:c r="U107" s="44"/>
      <x:c r="V107" s="36" t="n">
        <x:v>0</x:v>
      </x:c>
      <x:c r="W107" s="44"/>
      <x:c r="X107" s="34" t="str">
        <x:v>no-post-undeploy-thread-signal</x:v>
      </x:c>
      <x:c r="Y107" s="44" t="str">
        <x:v>automated signatures are JCS-specific; all other candidate application threads remain unattributed and ownership requires the archived full dump</x:v>
      </x:c>
    </x:row>
    <x:row r="108">
      <x:c r="A108" s="34" t="str">
        <x:v>article1-unified-v4-2-fb3f101b-20260903-000401-default-f01-p6-jcs4</x:v>
      </x:c>
      <x:c r="B108" s="34" t="str">
        <x:v>default</x:v>
      </x:c>
      <x:c r="C108" s="34" t="str">
        <x:v>jcs4</x:v>
      </x:c>
      <x:c r="D108" s="36" t="n">
        <x:v>1</x:v>
      </x:c>
      <x:c r="E108" s="36" t="n">
        <x:v>1</x:v>
      </x:c>
      <x:c r="F108" s="36" t="n">
        <x:v>6</x:v>
      </x:c>
      <x:c r="G108" s="36" t="n">
        <x:v>2</x:v>
      </x:c>
      <x:c r="H108" s="34" t="str">
        <x:v>finalUndeployThreadEvidenceEarly</x:v>
      </x:c>
      <x:c r="I108" s="36" t="n">
        <x:v>2</x:v>
      </x:c>
      <x:c r="J108" s="34" t="str">
        <x:v>early</x:v>
      </x:c>
      <x:c r="K108" s="36" t="n">
        <x:v>27</x:v>
      </x:c>
      <x:c r="L108" s="51" t="n">
        <x:v>0</x:v>
      </x:c>
      <x:c r="M108" s="51" t="n">
        <x:v>0</x:v>
      </x:c>
      <x:c r="N108" s="36" t="n">
        <x:v>10</x:v>
      </x:c>
      <x:c r="O108" s="44" t="str">
        <x:v>http-nio-8080-exec-23#166 | http-nio-8080-exec-24#167 | http-nio-8080-exec-25#168 | http-nio-8080-exec-26#169 | http-nio-8080-exec-27#172 | http-nio-8080-exec-28#173 | http-nio-8080-exec-29#174 | http-nio-8080-exec-30#209 | http-nio-8080-exec-31#210 | http-nio-8080-exec-32#211</x:v>
      </x:c>
      <x:c r="P108" s="36" t="n">
        <x:v>10</x:v>
      </x:c>
      <x:c r="Q108" s="44" t="str">
        <x:v>http-nio-8080-exec-23#166 | http-nio-8080-exec-24#167 | http-nio-8080-exec-25#168 | http-nio-8080-exec-26#169 | http-nio-8080-exec-27#172 | http-nio-8080-exec-28#173 | http-nio-8080-exec-29#174 | http-nio-8080-exec-30#209 | http-nio-8080-exec-31#210 | http-nio-8080-exec-32#211</x:v>
      </x:c>
      <x:c r="R108" s="36" t="n">
        <x:v>0</x:v>
      </x:c>
      <x:c r="S108" s="44"/>
      <x:c r="T108" s="36" t="n">
        <x:v>0</x:v>
      </x:c>
      <x:c r="U108" s="44"/>
      <x:c r="V108" s="36" t="n">
        <x:v>0</x:v>
      </x:c>
      <x:c r="W108" s="44"/>
      <x:c r="X108" s="34" t="str">
        <x:v>no-post-undeploy-thread-signal</x:v>
      </x:c>
      <x:c r="Y108" s="44" t="str">
        <x:v>automated signatures are JCS-specific; all other candidate application threads remain unattributed and ownership requires the archived full dump</x:v>
      </x:c>
    </x:row>
    <x:row r="109">
      <x:c r="A109" s="34" t="str">
        <x:v>article1-unified-v4-2-fb3f101b-20260903-000401-default-f01-p6-jcs4</x:v>
      </x:c>
      <x:c r="B109" s="34" t="str">
        <x:v>default</x:v>
      </x:c>
      <x:c r="C109" s="34" t="str">
        <x:v>jcs4</x:v>
      </x:c>
      <x:c r="D109" s="36" t="n">
        <x:v>1</x:v>
      </x:c>
      <x:c r="E109" s="36" t="n">
        <x:v>1</x:v>
      </x:c>
      <x:c r="F109" s="36" t="n">
        <x:v>6</x:v>
      </x:c>
      <x:c r="G109" s="36" t="n">
        <x:v>2</x:v>
      </x:c>
      <x:c r="H109" s="34" t="str">
        <x:v>finalUndeployThreadEvidenceFinal</x:v>
      </x:c>
      <x:c r="I109" s="36" t="n">
        <x:v>2</x:v>
      </x:c>
      <x:c r="J109" s="34" t="str">
        <x:v>final</x:v>
      </x:c>
      <x:c r="K109" s="36" t="n">
        <x:v>27</x:v>
      </x:c>
      <x:c r="L109" s="51" t="n">
        <x:v>0</x:v>
      </x:c>
      <x:c r="M109" s="51" t="n">
        <x:v>0</x:v>
      </x:c>
      <x:c r="N109" s="36" t="n">
        <x:v>10</x:v>
      </x:c>
      <x:c r="O109" s="44" t="str">
        <x:v>http-nio-8080-exec-23#166 | http-nio-8080-exec-25#168 | http-nio-8080-exec-26#169 | http-nio-8080-exec-27#172 | http-nio-8080-exec-28#173 | http-nio-8080-exec-29#174 | http-nio-8080-exec-30#209 | http-nio-8080-exec-31#210 | http-nio-8080-exec-32#211 | http-nio-8080-exec-33#212</x:v>
      </x:c>
      <x:c r="P109" s="36" t="n">
        <x:v>10</x:v>
      </x:c>
      <x:c r="Q109" s="44" t="str">
        <x:v>http-nio-8080-exec-23#166 | http-nio-8080-exec-25#168 | http-nio-8080-exec-26#169 | http-nio-8080-exec-27#172 | http-nio-8080-exec-28#173 | http-nio-8080-exec-29#174 | http-nio-8080-exec-30#209 | http-nio-8080-exec-31#210 | http-nio-8080-exec-32#211 | http-nio-8080-exec-33#212</x:v>
      </x:c>
      <x:c r="R109" s="36" t="n">
        <x:v>0</x:v>
      </x:c>
      <x:c r="S109" s="44"/>
      <x:c r="T109" s="36" t="n">
        <x:v>0</x:v>
      </x:c>
      <x:c r="U109" s="44"/>
      <x:c r="V109" s="36" t="n">
        <x:v>0</x:v>
      </x:c>
      <x:c r="W109" s="44"/>
      <x:c r="X109" s="34" t="str">
        <x:v>no-post-undeploy-thread-signal</x:v>
      </x:c>
      <x:c r="Y109" s="44" t="str">
        <x:v>automated signatures are JCS-specific; all other candidate application threads remain unattributed and ownership requires the archived full dump</x:v>
      </x:c>
    </x:row>
    <x:row r="110">
      <x:c r="A110" s="34" t="str">
        <x:v>article1-unified-v4-2-fb3f101b-20260903-000401-default-f01-p6-jcs4</x:v>
      </x:c>
      <x:c r="B110" s="34" t="str">
        <x:v>default</x:v>
      </x:c>
      <x:c r="C110" s="34" t="str">
        <x:v>jcs4</x:v>
      </x:c>
      <x:c r="D110" s="36" t="n">
        <x:v>1</x:v>
      </x:c>
      <x:c r="E110" s="36" t="n">
        <x:v>1</x:v>
      </x:c>
      <x:c r="F110" s="36" t="n">
        <x:v>6</x:v>
      </x:c>
      <x:c r="G110" s="36" t="n">
        <x:v>3</x:v>
      </x:c>
      <x:c r="H110" s="34" t="str">
        <x:v>firstUndeployThreadEvidenceEarly</x:v>
      </x:c>
      <x:c r="I110" s="36" t="n">
        <x:v>1</x:v>
      </x:c>
      <x:c r="J110" s="34" t="str">
        <x:v>early</x:v>
      </x:c>
      <x:c r="K110" s="36" t="n">
        <x:v>27</x:v>
      </x:c>
      <x:c r="L110" s="51" t="n">
        <x:v>0</x:v>
      </x:c>
      <x:c r="M110" s="51" t="n">
        <x:v>0</x:v>
      </x:c>
      <x:c r="N110" s="36" t="n">
        <x:v>10</x:v>
      </x:c>
      <x:c r="O110" s="44" t="str">
        <x:v>http-nio-8080-exec-25#168 | http-nio-8080-exec-26#169 | http-nio-8080-exec-27#172 | http-nio-8080-exec-31#210 | http-nio-8080-exec-32#211 | http-nio-8080-exec-33#212 | http-nio-8080-exec-35#216 | http-nio-8080-exec-36#251 | http-nio-8080-exec-37#252 | http-nio-8080-exec-38#253</x:v>
      </x:c>
      <x:c r="P110" s="36" t="n">
        <x:v>4</x:v>
      </x:c>
      <x:c r="Q110" s="44" t="str">
        <x:v>http-nio-8080-exec-35#216 | http-nio-8080-exec-36#251 | http-nio-8080-exec-37#252 | http-nio-8080-exec-38#253</x:v>
      </x:c>
      <x:c r="R110" s="36" t="n">
        <x:v>0</x:v>
      </x:c>
      <x:c r="S110" s="44"/>
      <x:c r="T110" s="36" t="n">
        <x:v>0</x:v>
      </x:c>
      <x:c r="U110" s="44"/>
      <x:c r="V110" s="36" t="n">
        <x:v>0</x:v>
      </x:c>
      <x:c r="W110" s="44"/>
      <x:c r="X110" s="34" t="str">
        <x:v>no-post-undeploy-thread-signal</x:v>
      </x:c>
      <x:c r="Y110" s="44" t="str">
        <x:v>automated signatures are JCS-specific; all other candidate application threads remain unattributed and ownership requires the archived full dump</x:v>
      </x:c>
    </x:row>
    <x:row r="111">
      <x:c r="A111" s="34" t="str">
        <x:v>article1-unified-v4-2-fb3f101b-20260903-000401-default-f01-p6-jcs4</x:v>
      </x:c>
      <x:c r="B111" s="34" t="str">
        <x:v>default</x:v>
      </x:c>
      <x:c r="C111" s="34" t="str">
        <x:v>jcs4</x:v>
      </x:c>
      <x:c r="D111" s="36" t="n">
        <x:v>1</x:v>
      </x:c>
      <x:c r="E111" s="36" t="n">
        <x:v>1</x:v>
      </x:c>
      <x:c r="F111" s="36" t="n">
        <x:v>6</x:v>
      </x:c>
      <x:c r="G111" s="36" t="n">
        <x:v>3</x:v>
      </x:c>
      <x:c r="H111" s="34" t="str">
        <x:v>firstUndeployThreadEvidenceFinal</x:v>
      </x:c>
      <x:c r="I111" s="36" t="n">
        <x:v>1</x:v>
      </x:c>
      <x:c r="J111" s="34" t="str">
        <x:v>final</x:v>
      </x:c>
      <x:c r="K111" s="36" t="n">
        <x:v>27</x:v>
      </x:c>
      <x:c r="L111" s="51" t="n">
        <x:v>0</x:v>
      </x:c>
      <x:c r="M111" s="51" t="n">
        <x:v>0</x:v>
      </x:c>
      <x:c r="N111" s="36" t="n">
        <x:v>10</x:v>
      </x:c>
      <x:c r="O111" s="44" t="str">
        <x:v>http-nio-8080-exec-25#168 | http-nio-8080-exec-26#169 | http-nio-8080-exec-27#172 | http-nio-8080-exec-31#210 | http-nio-8080-exec-32#211 | http-nio-8080-exec-35#216 | http-nio-8080-exec-36#251 | http-nio-8080-exec-37#252 | http-nio-8080-exec-38#253 | http-nio-8080-exec-39#254</x:v>
      </x:c>
      <x:c r="P111" s="36" t="n">
        <x:v>5</x:v>
      </x:c>
      <x:c r="Q111" s="44" t="str">
        <x:v>http-nio-8080-exec-35#216 | http-nio-8080-exec-36#251 | http-nio-8080-exec-37#252 | http-nio-8080-exec-38#253 | http-nio-8080-exec-39#254</x:v>
      </x:c>
      <x:c r="R111" s="36" t="n">
        <x:v>0</x:v>
      </x:c>
      <x:c r="S111" s="44"/>
      <x:c r="T111" s="36" t="n">
        <x:v>0</x:v>
      </x:c>
      <x:c r="U111" s="44"/>
      <x:c r="V111" s="36" t="n">
        <x:v>0</x:v>
      </x:c>
      <x:c r="W111" s="44"/>
      <x:c r="X111" s="34" t="str">
        <x:v>no-post-undeploy-thread-signal</x:v>
      </x:c>
      <x:c r="Y111" s="44" t="str">
        <x:v>automated signatures are JCS-specific; all other candidate application threads remain unattributed and ownership requires the archived full dump</x:v>
      </x:c>
    </x:row>
    <x:row r="112">
      <x:c r="A112" s="34" t="str">
        <x:v>article1-unified-v4-2-fb3f101b-20260903-000401-default-f01-p6-jcs4</x:v>
      </x:c>
      <x:c r="B112" s="34" t="str">
        <x:v>default</x:v>
      </x:c>
      <x:c r="C112" s="34" t="str">
        <x:v>jcs4</x:v>
      </x:c>
      <x:c r="D112" s="36" t="n">
        <x:v>1</x:v>
      </x:c>
      <x:c r="E112" s="36" t="n">
        <x:v>1</x:v>
      </x:c>
      <x:c r="F112" s="36" t="n">
        <x:v>6</x:v>
      </x:c>
      <x:c r="G112" s="36" t="n">
        <x:v>3</x:v>
      </x:c>
      <x:c r="H112" s="34" t="str">
        <x:v>finalUndeployThreadEvidenceEarly</x:v>
      </x:c>
      <x:c r="I112" s="36" t="n">
        <x:v>2</x:v>
      </x:c>
      <x:c r="J112" s="34" t="str">
        <x:v>early</x:v>
      </x:c>
      <x:c r="K112" s="36" t="n">
        <x:v>27</x:v>
      </x:c>
      <x:c r="L112" s="51" t="n">
        <x:v>0</x:v>
      </x:c>
      <x:c r="M112" s="51" t="n">
        <x:v>0</x:v>
      </x:c>
      <x:c r="N112" s="36" t="n">
        <x:v>10</x:v>
      </x:c>
      <x:c r="O112" s="44" t="str">
        <x:v>http-nio-8080-exec-35#216 | http-nio-8080-exec-36#251 | http-nio-8080-exec-37#252 | http-nio-8080-exec-38#253 | http-nio-8080-exec-39#254 | http-nio-8080-exec-41#258 | http-nio-8080-exec-42#259 | http-nio-8080-exec-43#294 | http-nio-8080-exec-44#295 | http-nio-8080-exec-45#296</x:v>
      </x:c>
      <x:c r="P112" s="36" t="n">
        <x:v>10</x:v>
      </x:c>
      <x:c r="Q112" s="44" t="str">
        <x:v>http-nio-8080-exec-35#216 | http-nio-8080-exec-36#251 | http-nio-8080-exec-37#252 | http-nio-8080-exec-38#253 | http-nio-8080-exec-39#254 | http-nio-8080-exec-41#258 | http-nio-8080-exec-42#259 | http-nio-8080-exec-43#294 | http-nio-8080-exec-44#295 | http-nio-8080-exec-45#296</x:v>
      </x:c>
      <x:c r="R112" s="36" t="n">
        <x:v>0</x:v>
      </x:c>
      <x:c r="S112" s="44"/>
      <x:c r="T112" s="36" t="n">
        <x:v>0</x:v>
      </x:c>
      <x:c r="U112" s="44"/>
      <x:c r="V112" s="36" t="n">
        <x:v>0</x:v>
      </x:c>
      <x:c r="W112" s="44"/>
      <x:c r="X112" s="34" t="str">
        <x:v>no-post-undeploy-thread-signal</x:v>
      </x:c>
      <x:c r="Y112" s="44" t="str">
        <x:v>automated signatures are JCS-specific; all other candidate application threads remain unattributed and ownership requires the archived full dump</x:v>
      </x:c>
    </x:row>
    <x:row r="113">
      <x:c r="A113" s="34" t="str">
        <x:v>article1-unified-v4-2-fb3f101b-20260903-000401-default-f01-p6-jcs4</x:v>
      </x:c>
      <x:c r="B113" s="34" t="str">
        <x:v>default</x:v>
      </x:c>
      <x:c r="C113" s="34" t="str">
        <x:v>jcs4</x:v>
      </x:c>
      <x:c r="D113" s="36" t="n">
        <x:v>1</x:v>
      </x:c>
      <x:c r="E113" s="36" t="n">
        <x:v>1</x:v>
      </x:c>
      <x:c r="F113" s="36" t="n">
        <x:v>6</x:v>
      </x:c>
      <x:c r="G113" s="36" t="n">
        <x:v>3</x:v>
      </x:c>
      <x:c r="H113" s="34" t="str">
        <x:v>finalUndeployThreadEvidenceFinal</x:v>
      </x:c>
      <x:c r="I113" s="36" t="n">
        <x:v>2</x:v>
      </x:c>
      <x:c r="J113" s="34" t="str">
        <x:v>final</x:v>
      </x:c>
      <x:c r="K113" s="36" t="n">
        <x:v>27</x:v>
      </x:c>
      <x:c r="L113" s="51" t="n">
        <x:v>0</x:v>
      </x:c>
      <x:c r="M113" s="51" t="n">
        <x:v>0</x:v>
      </x:c>
      <x:c r="N113" s="36" t="n">
        <x:v>10</x:v>
      </x:c>
      <x:c r="O113" s="44" t="str">
        <x:v>http-nio-8080-exec-35#216 | http-nio-8080-exec-36#251 | http-nio-8080-exec-37#252 | http-nio-8080-exec-38#253 | http-nio-8080-exec-39#254 | http-nio-8080-exec-41#258 | http-nio-8080-exec-42#259 | http-nio-8080-exec-44#295 | http-nio-8080-exec-45#296 | http-nio-8080-exec-46#297</x:v>
      </x:c>
      <x:c r="P113" s="36" t="n">
        <x:v>10</x:v>
      </x:c>
      <x:c r="Q113" s="44" t="str">
        <x:v>http-nio-8080-exec-35#216 | http-nio-8080-exec-36#251 | http-nio-8080-exec-37#252 | http-nio-8080-exec-38#253 | http-nio-8080-exec-39#254 | http-nio-8080-exec-41#258 | http-nio-8080-exec-42#259 | http-nio-8080-exec-44#295 | http-nio-8080-exec-45#296 | http-nio-8080-exec-46#297</x:v>
      </x:c>
      <x:c r="R113" s="36" t="n">
        <x:v>0</x:v>
      </x:c>
      <x:c r="S113" s="44"/>
      <x:c r="T113" s="36" t="n">
        <x:v>0</x:v>
      </x:c>
      <x:c r="U113" s="44"/>
      <x:c r="V113" s="36" t="n">
        <x:v>0</x:v>
      </x:c>
      <x:c r="W113" s="44"/>
      <x:c r="X113" s="34" t="str">
        <x:v>no-post-undeploy-thread-signal</x:v>
      </x:c>
      <x:c r="Y113" s="44" t="str">
        <x:v>automated signatures are JCS-specific; all other candidate application threads remain unattributed and ownership requires the archived full dump</x:v>
      </x:c>
    </x:row>
    <x:row r="114">
      <x:c r="A114" s="34" t="str">
        <x:v>article1-unified-v4-2-fb3f101b-20260903-000401-default-f01-p6-jcs4</x:v>
      </x:c>
      <x:c r="B114" s="34" t="str">
        <x:v>default</x:v>
      </x:c>
      <x:c r="C114" s="34" t="str">
        <x:v>jcs4</x:v>
      </x:c>
      <x:c r="D114" s="36" t="n">
        <x:v>1</x:v>
      </x:c>
      <x:c r="E114" s="36" t="n">
        <x:v>1</x:v>
      </x:c>
      <x:c r="F114" s="36" t="n">
        <x:v>6</x:v>
      </x:c>
      <x:c r="G114" s="36" t="n">
        <x:v>4</x:v>
      </x:c>
      <x:c r="H114" s="34" t="str">
        <x:v>firstUndeployThreadEvidenceEarly</x:v>
      </x:c>
      <x:c r="I114" s="36" t="n">
        <x:v>1</x:v>
      </x:c>
      <x:c r="J114" s="34" t="str">
        <x:v>early</x:v>
      </x:c>
      <x:c r="K114" s="36" t="n">
        <x:v>27</x:v>
      </x:c>
      <x:c r="L114" s="51" t="n">
        <x:v>0</x:v>
      </x:c>
      <x:c r="M114" s="51" t="n">
        <x:v>0</x:v>
      </x:c>
      <x:c r="N114" s="36" t="n">
        <x:v>10</x:v>
      </x:c>
      <x:c r="O114" s="44" t="str">
        <x:v>http-nio-8080-exec-36#251 | http-nio-8080-exec-39#254 | http-nio-8080-exec-41#258 | http-nio-8080-exec-44#295 | http-nio-8080-exec-45#296 | http-nio-8080-exec-46#297 | http-nio-8080-exec-48#301 | http-nio-8080-exec-49#336 | http-nio-8080-exec-50#337 | http-nio-8080-exec-51#338</x:v>
      </x:c>
      <x:c r="P114" s="36" t="n">
        <x:v>4</x:v>
      </x:c>
      <x:c r="Q114" s="44" t="str">
        <x:v>http-nio-8080-exec-48#301 | http-nio-8080-exec-49#336 | http-nio-8080-exec-50#337 | http-nio-8080-exec-51#338</x:v>
      </x:c>
      <x:c r="R114" s="36" t="n">
        <x:v>0</x:v>
      </x:c>
      <x:c r="S114" s="44"/>
      <x:c r="T114" s="36" t="n">
        <x:v>0</x:v>
      </x:c>
      <x:c r="U114" s="44"/>
      <x:c r="V114" s="36" t="n">
        <x:v>0</x:v>
      </x:c>
      <x:c r="W114" s="44"/>
      <x:c r="X114" s="34" t="str">
        <x:v>no-post-undeploy-thread-signal</x:v>
      </x:c>
      <x:c r="Y114" s="44" t="str">
        <x:v>automated signatures are JCS-specific; all other candidate application threads remain unattributed and ownership requires the archived full dump</x:v>
      </x:c>
    </x:row>
    <x:row r="115">
      <x:c r="A115" s="34" t="str">
        <x:v>article1-unified-v4-2-fb3f101b-20260903-000401-default-f01-p6-jcs4</x:v>
      </x:c>
      <x:c r="B115" s="34" t="str">
        <x:v>default</x:v>
      </x:c>
      <x:c r="C115" s="34" t="str">
        <x:v>jcs4</x:v>
      </x:c>
      <x:c r="D115" s="36" t="n">
        <x:v>1</x:v>
      </x:c>
      <x:c r="E115" s="36" t="n">
        <x:v>1</x:v>
      </x:c>
      <x:c r="F115" s="36" t="n">
        <x:v>6</x:v>
      </x:c>
      <x:c r="G115" s="36" t="n">
        <x:v>4</x:v>
      </x:c>
      <x:c r="H115" s="34" t="str">
        <x:v>firstUndeployThreadEvidenceFinal</x:v>
      </x:c>
      <x:c r="I115" s="36" t="n">
        <x:v>1</x:v>
      </x:c>
      <x:c r="J115" s="34" t="str">
        <x:v>final</x:v>
      </x:c>
      <x:c r="K115" s="36" t="n">
        <x:v>27</x:v>
      </x:c>
      <x:c r="L115" s="51" t="n">
        <x:v>0</x:v>
      </x:c>
      <x:c r="M115" s="51" t="n">
        <x:v>0</x:v>
      </x:c>
      <x:c r="N115" s="36" t="n">
        <x:v>10</x:v>
      </x:c>
      <x:c r="O115" s="44" t="str">
        <x:v>http-nio-8080-exec-36#251 | http-nio-8080-exec-39#254 | http-nio-8080-exec-41#258 | http-nio-8080-exec-45#296 | http-nio-8080-exec-46#297 | http-nio-8080-exec-48#301 | http-nio-8080-exec-49#336 | http-nio-8080-exec-50#337 | http-nio-8080-exec-51#338 | http-nio-8080-exec-52#339</x:v>
      </x:c>
      <x:c r="P115" s="36" t="n">
        <x:v>5</x:v>
      </x:c>
      <x:c r="Q115" s="44" t="str">
        <x:v>http-nio-8080-exec-48#301 | http-nio-8080-exec-49#336 | http-nio-8080-exec-50#337 | http-nio-8080-exec-51#338 | http-nio-8080-exec-52#339</x:v>
      </x:c>
      <x:c r="R115" s="36" t="n">
        <x:v>0</x:v>
      </x:c>
      <x:c r="S115" s="44"/>
      <x:c r="T115" s="36" t="n">
        <x:v>0</x:v>
      </x:c>
      <x:c r="U115" s="44"/>
      <x:c r="V115" s="36" t="n">
        <x:v>0</x:v>
      </x:c>
      <x:c r="W115" s="44"/>
      <x:c r="X115" s="34" t="str">
        <x:v>no-post-undeploy-thread-signal</x:v>
      </x:c>
      <x:c r="Y115" s="44" t="str">
        <x:v>automated signatures are JCS-specific; all other candidate application threads remain unattributed and ownership requires the archived full dump</x:v>
      </x:c>
    </x:row>
    <x:row r="116">
      <x:c r="A116" s="34" t="str">
        <x:v>article1-unified-v4-2-fb3f101b-20260903-000401-default-f01-p6-jcs4</x:v>
      </x:c>
      <x:c r="B116" s="34" t="str">
        <x:v>default</x:v>
      </x:c>
      <x:c r="C116" s="34" t="str">
        <x:v>jcs4</x:v>
      </x:c>
      <x:c r="D116" s="36" t="n">
        <x:v>1</x:v>
      </x:c>
      <x:c r="E116" s="36" t="n">
        <x:v>1</x:v>
      </x:c>
      <x:c r="F116" s="36" t="n">
        <x:v>6</x:v>
      </x:c>
      <x:c r="G116" s="36" t="n">
        <x:v>4</x:v>
      </x:c>
      <x:c r="H116" s="34" t="str">
        <x:v>finalUndeployThreadEvidenceEarly</x:v>
      </x:c>
      <x:c r="I116" s="36" t="n">
        <x:v>2</x:v>
      </x:c>
      <x:c r="J116" s="34" t="str">
        <x:v>early</x:v>
      </x:c>
      <x:c r="K116" s="36" t="n">
        <x:v>27</x:v>
      </x:c>
      <x:c r="L116" s="51" t="n">
        <x:v>0</x:v>
      </x:c>
      <x:c r="M116" s="51" t="n">
        <x:v>0</x:v>
      </x:c>
      <x:c r="N116" s="36" t="n">
        <x:v>10</x:v>
      </x:c>
      <x:c r="O116" s="44" t="str">
        <x:v>http-nio-8080-exec-36#251 | http-nio-8080-exec-50#337 | http-nio-8080-exec-51#338 | http-nio-8080-exec-52#339 | http-nio-8080-exec-53#342 | http-nio-8080-exec-54#343 | http-nio-8080-exec-55#344 | http-nio-8080-exec-56#379 | http-nio-8080-exec-57#380 | http-nio-8080-exec-58#381</x:v>
      </x:c>
      <x:c r="P116" s="36" t="n">
        <x:v>9</x:v>
      </x:c>
      <x:c r="Q116" s="44" t="str">
        <x:v>http-nio-8080-exec-50#337 | http-nio-8080-exec-51#338 | http-nio-8080-exec-52#339 | http-nio-8080-exec-53#342 | http-nio-8080-exec-54#343 | http-nio-8080-exec-55#344 | http-nio-8080-exec-56#379 | http-nio-8080-exec-57#380 | http-nio-8080-exec-58#381</x:v>
      </x:c>
      <x:c r="R116" s="36" t="n">
        <x:v>0</x:v>
      </x:c>
      <x:c r="S116" s="44"/>
      <x:c r="T116" s="36" t="n">
        <x:v>0</x:v>
      </x:c>
      <x:c r="U116" s="44"/>
      <x:c r="V116" s="36" t="n">
        <x:v>0</x:v>
      </x:c>
      <x:c r="W116" s="44"/>
      <x:c r="X116" s="34" t="str">
        <x:v>no-post-undeploy-thread-signal</x:v>
      </x:c>
      <x:c r="Y116" s="44" t="str">
        <x:v>automated signatures are JCS-specific; all other candidate application threads remain unattributed and ownership requires the archived full dump</x:v>
      </x:c>
    </x:row>
    <x:row r="117">
      <x:c r="A117" s="34" t="str">
        <x:v>article1-unified-v4-2-fb3f101b-20260903-000401-default-f01-p6-jcs4</x:v>
      </x:c>
      <x:c r="B117" s="34" t="str">
        <x:v>default</x:v>
      </x:c>
      <x:c r="C117" s="34" t="str">
        <x:v>jcs4</x:v>
      </x:c>
      <x:c r="D117" s="36" t="n">
        <x:v>1</x:v>
      </x:c>
      <x:c r="E117" s="36" t="n">
        <x:v>1</x:v>
      </x:c>
      <x:c r="F117" s="36" t="n">
        <x:v>6</x:v>
      </x:c>
      <x:c r="G117" s="36" t="n">
        <x:v>4</x:v>
      </x:c>
      <x:c r="H117" s="34" t="str">
        <x:v>finalUndeployThreadEvidenceFinal</x:v>
      </x:c>
      <x:c r="I117" s="36" t="n">
        <x:v>2</x:v>
      </x:c>
      <x:c r="J117" s="34" t="str">
        <x:v>final</x:v>
      </x:c>
      <x:c r="K117" s="36" t="n">
        <x:v>27</x:v>
      </x:c>
      <x:c r="L117" s="51" t="n">
        <x:v>0</x:v>
      </x:c>
      <x:c r="M117" s="51" t="n">
        <x:v>0</x:v>
      </x:c>
      <x:c r="N117" s="36" t="n">
        <x:v>10</x:v>
      </x:c>
      <x:c r="O117" s="44" t="str">
        <x:v>http-nio-8080-exec-36#251 | http-nio-8080-exec-50#337 | http-nio-8080-exec-51#338 | http-nio-8080-exec-52#339 | http-nio-8080-exec-53#342 | http-nio-8080-exec-54#343 | http-nio-8080-exec-55#344 | http-nio-8080-exec-57#380 | http-nio-8080-exec-58#381 | http-nio-8080-exec-59#382</x:v>
      </x:c>
      <x:c r="P117" s="36" t="n">
        <x:v>9</x:v>
      </x:c>
      <x:c r="Q117" s="44" t="str">
        <x:v>http-nio-8080-exec-50#337 | http-nio-8080-exec-51#338 | http-nio-8080-exec-52#339 | http-nio-8080-exec-53#342 | http-nio-8080-exec-54#343 | http-nio-8080-exec-55#344 | http-nio-8080-exec-57#380 | http-nio-8080-exec-58#381 | http-nio-8080-exec-59#382</x:v>
      </x:c>
      <x:c r="R117" s="36" t="n">
        <x:v>0</x:v>
      </x:c>
      <x:c r="S117" s="44"/>
      <x:c r="T117" s="36" t="n">
        <x:v>0</x:v>
      </x:c>
      <x:c r="U117" s="44"/>
      <x:c r="V117" s="36" t="n">
        <x:v>0</x:v>
      </x:c>
      <x:c r="W117" s="44"/>
      <x:c r="X117" s="34" t="str">
        <x:v>no-post-undeploy-thread-signal</x:v>
      </x:c>
      <x:c r="Y117" s="44" t="str">
        <x:v>automated signatures are JCS-specific; all other candidate application threads remain unattributed and ownership requires the archived full dump</x:v>
      </x:c>
    </x:row>
    <x:row r="118">
      <x:c r="A118" s="34" t="str">
        <x:v>article1-unified-v4-2-fb3f101b-20260903-000401-default-f01-p6-jcs4</x:v>
      </x:c>
      <x:c r="B118" s="34" t="str">
        <x:v>default</x:v>
      </x:c>
      <x:c r="C118" s="34" t="str">
        <x:v>jcs4</x:v>
      </x:c>
      <x:c r="D118" s="36" t="n">
        <x:v>1</x:v>
      </x:c>
      <x:c r="E118" s="36" t="n">
        <x:v>1</x:v>
      </x:c>
      <x:c r="F118" s="36" t="n">
        <x:v>6</x:v>
      </x:c>
      <x:c r="G118" s="36" t="n">
        <x:v>5</x:v>
      </x:c>
      <x:c r="H118" s="34" t="str">
        <x:v>firstUndeployThreadEvidenceEarly</x:v>
      </x:c>
      <x:c r="I118" s="36" t="n">
        <x:v>1</x:v>
      </x:c>
      <x:c r="J118" s="34" t="str">
        <x:v>early</x:v>
      </x:c>
      <x:c r="K118" s="36" t="n">
        <x:v>27</x:v>
      </x:c>
      <x:c r="L118" s="51" t="n">
        <x:v>0</x:v>
      </x:c>
      <x:c r="M118" s="51" t="n">
        <x:v>0</x:v>
      </x:c>
      <x:c r="N118" s="36" t="n">
        <x:v>10</x:v>
      </x:c>
      <x:c r="O118" s="44" t="str">
        <x:v>http-nio-8080-exec-36#251 | http-nio-8080-exec-50#337 | http-nio-8080-exec-53#342 | http-nio-8080-exec-57#380 | http-nio-8080-exec-58#381 | http-nio-8080-exec-59#382 | http-nio-8080-exec-60#385 | http-nio-8080-exec-61#386 | http-nio-8080-exec-63#422 | http-nio-8080-exec-64#423</x:v>
      </x:c>
      <x:c r="P118" s="36" t="n">
        <x:v>4</x:v>
      </x:c>
      <x:c r="Q118" s="44" t="str">
        <x:v>http-nio-8080-exec-60#385 | http-nio-8080-exec-61#386 | http-nio-8080-exec-63#422 | http-nio-8080-exec-64#423</x:v>
      </x:c>
      <x:c r="R118" s="36" t="n">
        <x:v>0</x:v>
      </x:c>
      <x:c r="S118" s="44"/>
      <x:c r="T118" s="36" t="n">
        <x:v>0</x:v>
      </x:c>
      <x:c r="U118" s="44"/>
      <x:c r="V118" s="36" t="n">
        <x:v>0</x:v>
      </x:c>
      <x:c r="W118" s="44"/>
      <x:c r="X118" s="34" t="str">
        <x:v>no-post-undeploy-thread-signal</x:v>
      </x:c>
      <x:c r="Y118" s="44" t="str">
        <x:v>automated signatures are JCS-specific; all other candidate application threads remain unattributed and ownership requires the archived full dump</x:v>
      </x:c>
    </x:row>
    <x:row r="119">
      <x:c r="A119" s="34" t="str">
        <x:v>article1-unified-v4-2-fb3f101b-20260903-000401-default-f01-p6-jcs4</x:v>
      </x:c>
      <x:c r="B119" s="34" t="str">
        <x:v>default</x:v>
      </x:c>
      <x:c r="C119" s="34" t="str">
        <x:v>jcs4</x:v>
      </x:c>
      <x:c r="D119" s="36" t="n">
        <x:v>1</x:v>
      </x:c>
      <x:c r="E119" s="36" t="n">
        <x:v>1</x:v>
      </x:c>
      <x:c r="F119" s="36" t="n">
        <x:v>6</x:v>
      </x:c>
      <x:c r="G119" s="36" t="n">
        <x:v>5</x:v>
      </x:c>
      <x:c r="H119" s="34" t="str">
        <x:v>firstUndeployThreadEvidenceFinal</x:v>
      </x:c>
      <x:c r="I119" s="36" t="n">
        <x:v>1</x:v>
      </x:c>
      <x:c r="J119" s="34" t="str">
        <x:v>final</x:v>
      </x:c>
      <x:c r="K119" s="36" t="n">
        <x:v>27</x:v>
      </x:c>
      <x:c r="L119" s="51" t="n">
        <x:v>0</x:v>
      </x:c>
      <x:c r="M119" s="51" t="n">
        <x:v>0</x:v>
      </x:c>
      <x:c r="N119" s="36" t="n">
        <x:v>10</x:v>
      </x:c>
      <x:c r="O119" s="44" t="str">
        <x:v>http-nio-8080-exec-36#251 | http-nio-8080-exec-50#337 | http-nio-8080-exec-53#342 | http-nio-8080-exec-57#380 | http-nio-8080-exec-58#381 | http-nio-8080-exec-60#385 | http-nio-8080-exec-61#386 | http-nio-8080-exec-63#422 | http-nio-8080-exec-64#423 | http-nio-8080-exec-65#424</x:v>
      </x:c>
      <x:c r="P119" s="36" t="n">
        <x:v>5</x:v>
      </x:c>
      <x:c r="Q119" s="44" t="str">
        <x:v>http-nio-8080-exec-60#385 | http-nio-8080-exec-61#386 | http-nio-8080-exec-63#422 | http-nio-8080-exec-64#423 | http-nio-8080-exec-65#424</x:v>
      </x:c>
      <x:c r="R119" s="36" t="n">
        <x:v>0</x:v>
      </x:c>
      <x:c r="S119" s="44"/>
      <x:c r="T119" s="36" t="n">
        <x:v>0</x:v>
      </x:c>
      <x:c r="U119" s="44"/>
      <x:c r="V119" s="36" t="n">
        <x:v>0</x:v>
      </x:c>
      <x:c r="W119" s="44"/>
      <x:c r="X119" s="34" t="str">
        <x:v>no-post-undeploy-thread-signal</x:v>
      </x:c>
      <x:c r="Y119" s="44" t="str">
        <x:v>automated signatures are JCS-specific; all other candidate application threads remain unattributed and ownership requires the archived full dump</x:v>
      </x:c>
    </x:row>
    <x:row r="120">
      <x:c r="A120" s="34" t="str">
        <x:v>article1-unified-v4-2-fb3f101b-20260903-000401-default-f01-p6-jcs4</x:v>
      </x:c>
      <x:c r="B120" s="34" t="str">
        <x:v>default</x:v>
      </x:c>
      <x:c r="C120" s="34" t="str">
        <x:v>jcs4</x:v>
      </x:c>
      <x:c r="D120" s="36" t="n">
        <x:v>1</x:v>
      </x:c>
      <x:c r="E120" s="36" t="n">
        <x:v>1</x:v>
      </x:c>
      <x:c r="F120" s="36" t="n">
        <x:v>6</x:v>
      </x:c>
      <x:c r="G120" s="36" t="n">
        <x:v>5</x:v>
      </x:c>
      <x:c r="H120" s="34" t="str">
        <x:v>finalUndeployThreadEvidenceEarly</x:v>
      </x:c>
      <x:c r="I120" s="36" t="n">
        <x:v>2</x:v>
      </x:c>
      <x:c r="J120" s="34" t="str">
        <x:v>early</x:v>
      </x:c>
      <x:c r="K120" s="36" t="n">
        <x:v>27</x:v>
      </x:c>
      <x:c r="L120" s="51" t="n">
        <x:v>0</x:v>
      </x:c>
      <x:c r="M120" s="51" t="n">
        <x:v>0</x:v>
      </x:c>
      <x:c r="N120" s="36" t="n">
        <x:v>10</x:v>
      </x:c>
      <x:c r="O120" s="44" t="str">
        <x:v>http-nio-8080-exec-36#251 | http-nio-8080-exec-53#342 | http-nio-8080-exec-63#422 | http-nio-8080-exec-64#423 | http-nio-8080-exec-65#424 | http-nio-8080-exec-66#427 | http-nio-8080-exec-67#428 | http-nio-8080-exec-69#464 | http-nio-8080-exec-70#465 | http-nio-8080-exec-71#466</x:v>
      </x:c>
      <x:c r="P120" s="36" t="n">
        <x:v>8</x:v>
      </x:c>
      <x:c r="Q120" s="44" t="str">
        <x:v>http-nio-8080-exec-63#422 | http-nio-8080-exec-64#423 | http-nio-8080-exec-65#424 | http-nio-8080-exec-66#427 | http-nio-8080-exec-67#428 | http-nio-8080-exec-69#464 | http-nio-8080-exec-70#465 | http-nio-8080-exec-71#466</x:v>
      </x:c>
      <x:c r="R120" s="36" t="n">
        <x:v>0</x:v>
      </x:c>
      <x:c r="S120" s="44"/>
      <x:c r="T120" s="36" t="n">
        <x:v>0</x:v>
      </x:c>
      <x:c r="U120" s="44"/>
      <x:c r="V120" s="36" t="n">
        <x:v>0</x:v>
      </x:c>
      <x:c r="W120" s="44"/>
      <x:c r="X120" s="34" t="str">
        <x:v>no-post-undeploy-thread-signal</x:v>
      </x:c>
      <x:c r="Y120" s="44" t="str">
        <x:v>automated signatures are JCS-specific; all other candidate application threads remain unattributed and ownership requires the archived full dump</x:v>
      </x:c>
    </x:row>
    <x:row r="121">
      <x:c r="A121" s="34" t="str">
        <x:v>article1-unified-v4-2-fb3f101b-20260903-000401-default-f01-p6-jcs4</x:v>
      </x:c>
      <x:c r="B121" s="34" t="str">
        <x:v>default</x:v>
      </x:c>
      <x:c r="C121" s="34" t="str">
        <x:v>jcs4</x:v>
      </x:c>
      <x:c r="D121" s="36" t="n">
        <x:v>1</x:v>
      </x:c>
      <x:c r="E121" s="36" t="n">
        <x:v>1</x:v>
      </x:c>
      <x:c r="F121" s="36" t="n">
        <x:v>6</x:v>
      </x:c>
      <x:c r="G121" s="36" t="n">
        <x:v>5</x:v>
      </x:c>
      <x:c r="H121" s="34" t="str">
        <x:v>finalUndeployThreadEvidenceFinal</x:v>
      </x:c>
      <x:c r="I121" s="36" t="n">
        <x:v>2</x:v>
      </x:c>
      <x:c r="J121" s="34" t="str">
        <x:v>final</x:v>
      </x:c>
      <x:c r="K121" s="36" t="n">
        <x:v>27</x:v>
      </x:c>
      <x:c r="L121" s="51" t="n">
        <x:v>0</x:v>
      </x:c>
      <x:c r="M121" s="51" t="n">
        <x:v>0</x:v>
      </x:c>
      <x:c r="N121" s="36" t="n">
        <x:v>10</x:v>
      </x:c>
      <x:c r="O121" s="44" t="str">
        <x:v>http-nio-8080-exec-53#342 | http-nio-8080-exec-63#422 | http-nio-8080-exec-64#423 | http-nio-8080-exec-65#424 | http-nio-8080-exec-66#427 | http-nio-8080-exec-67#428 | http-nio-8080-exec-69#464 | http-nio-8080-exec-70#465 | http-nio-8080-exec-71#466 | http-nio-8080-exec-72#467</x:v>
      </x:c>
      <x:c r="P121" s="36" t="n">
        <x:v>9</x:v>
      </x:c>
      <x:c r="Q121" s="44" t="str">
        <x:v>http-nio-8080-exec-63#422 | http-nio-8080-exec-64#423 | http-nio-8080-exec-65#424 | http-nio-8080-exec-66#427 | http-nio-8080-exec-67#428 | http-nio-8080-exec-69#464 | http-nio-8080-exec-70#465 | http-nio-8080-exec-71#466 | http-nio-8080-exec-72#467</x:v>
      </x:c>
      <x:c r="R121" s="36" t="n">
        <x:v>0</x:v>
      </x:c>
      <x:c r="S121" s="44"/>
      <x:c r="T121" s="36" t="n">
        <x:v>0</x:v>
      </x:c>
      <x:c r="U121" s="44"/>
      <x:c r="V121" s="36" t="n">
        <x:v>0</x:v>
      </x:c>
      <x:c r="W121" s="44"/>
      <x:c r="X121" s="34" t="str">
        <x:v>no-post-undeploy-thread-signal</x:v>
      </x:c>
      <x:c r="Y121" s="44" t="str">
        <x:v>automated signatures are JCS-specific; all other candidate application threads remain unattributed and ownership requires the archived full dump</x:v>
      </x:c>
    </x:row>
    <x:row r="122">
      <x:c r="A122" s="34" t="str">
        <x:v>article1-unified-v4-2-fb3f101b-20260903-000401-default-f02-p1-ehcache</x:v>
      </x:c>
      <x:c r="B122" s="34" t="str">
        <x:v>default</x:v>
      </x:c>
      <x:c r="C122" s="34" t="str">
        <x:v>ehcache</x:v>
      </x:c>
      <x:c r="D122" s="36" t="n">
        <x:v>2</x:v>
      </x:c>
      <x:c r="E122" s="36" t="n">
        <x:v>2</x:v>
      </x:c>
      <x:c r="F122" s="36" t="n">
        <x:v>1</x:v>
      </x:c>
      <x:c r="G122" s="36" t="n">
        <x:v>1</x:v>
      </x:c>
      <x:c r="H122" s="34" t="str">
        <x:v>firstUndeployThreadEvidenceEarly</x:v>
      </x:c>
      <x:c r="I122" s="36" t="n">
        <x:v>1</x:v>
      </x:c>
      <x:c r="J122" s="34" t="str">
        <x:v>early</x:v>
      </x:c>
      <x:c r="K122" s="36" t="n">
        <x:v>27</x:v>
      </x:c>
      <x:c r="L122" s="51" t="n">
        <x:v>0</x:v>
      </x:c>
      <x:c r="M122" s="51" t="n">
        <x:v>0</x:v>
      </x:c>
      <x:c r="N122" s="36" t="n">
        <x:v>2</x:v>
      </x:c>
      <x:c r="O122" s="44" t="str">
        <x:v>http-nio-8080-exec-11#80 | http-nio-8080-exec-12#81</x:v>
      </x:c>
      <x:c r="P122" s="36" t="n">
        <x:v>2</x:v>
      </x:c>
      <x:c r="Q122" s="44" t="str">
        <x:v>http-nio-8080-exec-11#80 | http-nio-8080-exec-12#81</x:v>
      </x:c>
      <x:c r="R122" s="36" t="n">
        <x:v>0</x:v>
      </x:c>
      <x:c r="S122" s="44"/>
      <x:c r="T122" s="36" t="n">
        <x:v>0</x:v>
      </x:c>
      <x:c r="U122" s="44"/>
      <x:c r="V122" s="36" t="n">
        <x:v>0</x:v>
      </x:c>
      <x:c r="W122" s="44"/>
      <x:c r="X122" s="34" t="str">
        <x:v>no-post-undeploy-thread-signal</x:v>
      </x:c>
      <x:c r="Y122" s="44" t="str">
        <x:v>automated signatures are JCS-specific; all other candidate application threads remain unattributed and ownership requires the archived full dump</x:v>
      </x:c>
    </x:row>
    <x:row r="123">
      <x:c r="A123" s="34" t="str">
        <x:v>article1-unified-v4-2-fb3f101b-20260903-000401-default-f02-p1-ehcache</x:v>
      </x:c>
      <x:c r="B123" s="34" t="str">
        <x:v>default</x:v>
      </x:c>
      <x:c r="C123" s="34" t="str">
        <x:v>ehcache</x:v>
      </x:c>
      <x:c r="D123" s="36" t="n">
        <x:v>2</x:v>
      </x:c>
      <x:c r="E123" s="36" t="n">
        <x:v>2</x:v>
      </x:c>
      <x:c r="F123" s="36" t="n">
        <x:v>1</x:v>
      </x:c>
      <x:c r="G123" s="36" t="n">
        <x:v>1</x:v>
      </x:c>
      <x:c r="H123" s="34" t="str">
        <x:v>firstUndeployThreadEvidenceFinal</x:v>
      </x:c>
      <x:c r="I123" s="36" t="n">
        <x:v>1</x:v>
      </x:c>
      <x:c r="J123" s="34" t="str">
        <x:v>final</x:v>
      </x:c>
      <x:c r="K123" s="36" t="n">
        <x:v>27</x:v>
      </x:c>
      <x:c r="L123" s="51" t="n">
        <x:v>0</x:v>
      </x:c>
      <x:c r="M123" s="51" t="n">
        <x:v>0</x:v>
      </x:c>
      <x:c r="N123" s="36" t="n">
        <x:v>3</x:v>
      </x:c>
      <x:c r="O123" s="44" t="str">
        <x:v>http-nio-8080-exec-11#80 | http-nio-8080-exec-12#81 | http-nio-8080-exec-13#82</x:v>
      </x:c>
      <x:c r="P123" s="36" t="n">
        <x:v>3</x:v>
      </x:c>
      <x:c r="Q123" s="44" t="str">
        <x:v>http-nio-8080-exec-11#80 | http-nio-8080-exec-12#81 | http-nio-8080-exec-13#82</x:v>
      </x:c>
      <x:c r="R123" s="36" t="n">
        <x:v>0</x:v>
      </x:c>
      <x:c r="S123" s="44"/>
      <x:c r="T123" s="36" t="n">
        <x:v>0</x:v>
      </x:c>
      <x:c r="U123" s="44"/>
      <x:c r="V123" s="36" t="n">
        <x:v>0</x:v>
      </x:c>
      <x:c r="W123" s="44"/>
      <x:c r="X123" s="34" t="str">
        <x:v>no-post-undeploy-thread-signal</x:v>
      </x:c>
      <x:c r="Y123" s="44" t="str">
        <x:v>automated signatures are JCS-specific; all other candidate application threads remain unattributed and ownership requires the archived full dump</x:v>
      </x:c>
    </x:row>
    <x:row r="124">
      <x:c r="A124" s="34" t="str">
        <x:v>article1-unified-v4-2-fb3f101b-20260903-000401-default-f02-p1-ehcache</x:v>
      </x:c>
      <x:c r="B124" s="34" t="str">
        <x:v>default</x:v>
      </x:c>
      <x:c r="C124" s="34" t="str">
        <x:v>ehcache</x:v>
      </x:c>
      <x:c r="D124" s="36" t="n">
        <x:v>2</x:v>
      </x:c>
      <x:c r="E124" s="36" t="n">
        <x:v>2</x:v>
      </x:c>
      <x:c r="F124" s="36" t="n">
        <x:v>1</x:v>
      </x:c>
      <x:c r="G124" s="36" t="n">
        <x:v>1</x:v>
      </x:c>
      <x:c r="H124" s="34" t="str">
        <x:v>finalUndeployThreadEvidenceEarly</x:v>
      </x:c>
      <x:c r="I124" s="36" t="n">
        <x:v>2</x:v>
      </x:c>
      <x:c r="J124" s="34" t="str">
        <x:v>early</x:v>
      </x:c>
      <x:c r="K124" s="36" t="n">
        <x:v>27</x:v>
      </x:c>
      <x:c r="L124" s="51" t="n">
        <x:v>0</x:v>
      </x:c>
      <x:c r="M124" s="51" t="n">
        <x:v>0</x:v>
      </x:c>
      <x:c r="N124" s="36" t="n">
        <x:v>8</x:v>
      </x:c>
      <x:c r="O124" s="44" t="str">
        <x:v>http-nio-8080-exec-11#80 | http-nio-8080-exec-12#81 | http-nio-8080-exec-14#85 | http-nio-8080-exec-15#86 | http-nio-8080-exec-16#87 | http-nio-8080-exec-17#120 | http-nio-8080-exec-18#121 | http-nio-8080-exec-19#122</x:v>
      </x:c>
      <x:c r="P124" s="36" t="n">
        <x:v>8</x:v>
      </x:c>
      <x:c r="Q124" s="44" t="str">
        <x:v>http-nio-8080-exec-11#80 | http-nio-8080-exec-12#81 | http-nio-8080-exec-14#85 | http-nio-8080-exec-15#86 | http-nio-8080-exec-16#87 | http-nio-8080-exec-17#120 | http-nio-8080-exec-18#121 | http-nio-8080-exec-19#122</x:v>
      </x:c>
      <x:c r="R124" s="36" t="n">
        <x:v>0</x:v>
      </x:c>
      <x:c r="S124" s="44"/>
      <x:c r="T124" s="36" t="n">
        <x:v>0</x:v>
      </x:c>
      <x:c r="U124" s="44"/>
      <x:c r="V124" s="36" t="n">
        <x:v>0</x:v>
      </x:c>
      <x:c r="W124" s="44"/>
      <x:c r="X124" s="34" t="str">
        <x:v>no-post-undeploy-thread-signal</x:v>
      </x:c>
      <x:c r="Y124" s="44" t="str">
        <x:v>automated signatures are JCS-specific; all other candidate application threads remain unattributed and ownership requires the archived full dump</x:v>
      </x:c>
    </x:row>
    <x:row r="125">
      <x:c r="A125" s="34" t="str">
        <x:v>article1-unified-v4-2-fb3f101b-20260903-000401-default-f02-p1-ehcache</x:v>
      </x:c>
      <x:c r="B125" s="34" t="str">
        <x:v>default</x:v>
      </x:c>
      <x:c r="C125" s="34" t="str">
        <x:v>ehcache</x:v>
      </x:c>
      <x:c r="D125" s="36" t="n">
        <x:v>2</x:v>
      </x:c>
      <x:c r="E125" s="36" t="n">
        <x:v>2</x:v>
      </x:c>
      <x:c r="F125" s="36" t="n">
        <x:v>1</x:v>
      </x:c>
      <x:c r="G125" s="36" t="n">
        <x:v>1</x:v>
      </x:c>
      <x:c r="H125" s="34" t="str">
        <x:v>finalUndeployThreadEvidenceFinal</x:v>
      </x:c>
      <x:c r="I125" s="36" t="n">
        <x:v>2</x:v>
      </x:c>
      <x:c r="J125" s="34" t="str">
        <x:v>final</x:v>
      </x:c>
      <x:c r="K125" s="36" t="n">
        <x:v>27</x:v>
      </x:c>
      <x:c r="L125" s="51" t="n">
        <x:v>0</x:v>
      </x:c>
      <x:c r="M125" s="51" t="n">
        <x:v>0</x:v>
      </x:c>
      <x:c r="N125" s="36" t="n">
        <x:v>8</x:v>
      </x:c>
      <x:c r="O125" s="44" t="str">
        <x:v>http-nio-8080-exec-11#80 | http-nio-8080-exec-14#85 | http-nio-8080-exec-15#86 | http-nio-8080-exec-16#87 | http-nio-8080-exec-17#120 | http-nio-8080-exec-18#121 | http-nio-8080-exec-19#122 | http-nio-8080-exec-20#123</x:v>
      </x:c>
      <x:c r="P125" s="36" t="n">
        <x:v>8</x:v>
      </x:c>
      <x:c r="Q125" s="44" t="str">
        <x:v>http-nio-8080-exec-11#80 | http-nio-8080-exec-14#85 | http-nio-8080-exec-15#86 | http-nio-8080-exec-16#87 | http-nio-8080-exec-17#120 | http-nio-8080-exec-18#121 | http-nio-8080-exec-19#122 | http-nio-8080-exec-20#123</x:v>
      </x:c>
      <x:c r="R125" s="36" t="n">
        <x:v>0</x:v>
      </x:c>
      <x:c r="S125" s="44"/>
      <x:c r="T125" s="36" t="n">
        <x:v>0</x:v>
      </x:c>
      <x:c r="U125" s="44"/>
      <x:c r="V125" s="36" t="n">
        <x:v>0</x:v>
      </x:c>
      <x:c r="W125" s="44"/>
      <x:c r="X125" s="34" t="str">
        <x:v>no-post-undeploy-thread-signal</x:v>
      </x:c>
      <x:c r="Y125" s="44" t="str">
        <x:v>automated signatures are JCS-specific; all other candidate application threads remain unattributed and ownership requires the archived full dump</x:v>
      </x:c>
    </x:row>
    <x:row r="126">
      <x:c r="A126" s="34" t="str">
        <x:v>article1-unified-v4-2-fb3f101b-20260903-000401-default-f02-p1-ehcache</x:v>
      </x:c>
      <x:c r="B126" s="34" t="str">
        <x:v>default</x:v>
      </x:c>
      <x:c r="C126" s="34" t="str">
        <x:v>ehcache</x:v>
      </x:c>
      <x:c r="D126" s="36" t="n">
        <x:v>2</x:v>
      </x:c>
      <x:c r="E126" s="36" t="n">
        <x:v>2</x:v>
      </x:c>
      <x:c r="F126" s="36" t="n">
        <x:v>1</x:v>
      </x:c>
      <x:c r="G126" s="36" t="n">
        <x:v>2</x:v>
      </x:c>
      <x:c r="H126" s="34" t="str">
        <x:v>firstUndeployThreadEvidenceEarly</x:v>
      </x:c>
      <x:c r="I126" s="36" t="n">
        <x:v>1</x:v>
      </x:c>
      <x:c r="J126" s="34" t="str">
        <x:v>early</x:v>
      </x:c>
      <x:c r="K126" s="36" t="n">
        <x:v>27</x:v>
      </x:c>
      <x:c r="L126" s="51" t="n">
        <x:v>0</x:v>
      </x:c>
      <x:c r="M126" s="51" t="n">
        <x:v>0</x:v>
      </x:c>
      <x:c r="N126" s="36" t="n">
        <x:v>10</x:v>
      </x:c>
      <x:c r="O126" s="44" t="str">
        <x:v>http-nio-8080-exec-14#85 | http-nio-8080-exec-17#120 | http-nio-8080-exec-18#121 | http-nio-8080-exec-19#122 | http-nio-8080-exec-20#123 | http-nio-8080-exec-21#126 | http-nio-8080-exec-22#127 | http-nio-8080-exec-23#160 | http-nio-8080-exec-24#161 | http-nio-8080-exec-25#162</x:v>
      </x:c>
      <x:c r="P126" s="36" t="n">
        <x:v>5</x:v>
      </x:c>
      <x:c r="Q126" s="44" t="str">
        <x:v>http-nio-8080-exec-21#126 | http-nio-8080-exec-22#127 | http-nio-8080-exec-23#160 | http-nio-8080-exec-24#161 | http-nio-8080-exec-25#162</x:v>
      </x:c>
      <x:c r="R126" s="36" t="n">
        <x:v>0</x:v>
      </x:c>
      <x:c r="S126" s="44"/>
      <x:c r="T126" s="36" t="n">
        <x:v>0</x:v>
      </x:c>
      <x:c r="U126" s="44"/>
      <x:c r="V126" s="36" t="n">
        <x:v>0</x:v>
      </x:c>
      <x:c r="W126" s="44"/>
      <x:c r="X126" s="34" t="str">
        <x:v>no-post-undeploy-thread-signal</x:v>
      </x:c>
      <x:c r="Y126" s="44" t="str">
        <x:v>automated signatures are JCS-specific; all other candidate application threads remain unattributed and ownership requires the archived full dump</x:v>
      </x:c>
    </x:row>
    <x:row r="127">
      <x:c r="A127" s="34" t="str">
        <x:v>article1-unified-v4-2-fb3f101b-20260903-000401-default-f02-p1-ehcache</x:v>
      </x:c>
      <x:c r="B127" s="34" t="str">
        <x:v>default</x:v>
      </x:c>
      <x:c r="C127" s="34" t="str">
        <x:v>ehcache</x:v>
      </x:c>
      <x:c r="D127" s="36" t="n">
        <x:v>2</x:v>
      </x:c>
      <x:c r="E127" s="36" t="n">
        <x:v>2</x:v>
      </x:c>
      <x:c r="F127" s="36" t="n">
        <x:v>1</x:v>
      </x:c>
      <x:c r="G127" s="36" t="n">
        <x:v>2</x:v>
      </x:c>
      <x:c r="H127" s="34" t="str">
        <x:v>firstUndeployThreadEvidenceFinal</x:v>
      </x:c>
      <x:c r="I127" s="36" t="n">
        <x:v>1</x:v>
      </x:c>
      <x:c r="J127" s="34" t="str">
        <x:v>final</x:v>
      </x:c>
      <x:c r="K127" s="36" t="n">
        <x:v>27</x:v>
      </x:c>
      <x:c r="L127" s="51" t="n">
        <x:v>0</x:v>
      </x:c>
      <x:c r="M127" s="51" t="n">
        <x:v>0</x:v>
      </x:c>
      <x:c r="N127" s="36" t="n">
        <x:v>10</x:v>
      </x:c>
      <x:c r="O127" s="44" t="str">
        <x:v>http-nio-8080-exec-14#85 | http-nio-8080-exec-17#120 | http-nio-8080-exec-18#121 | http-nio-8080-exec-19#122 | http-nio-8080-exec-20#123 | http-nio-8080-exec-22#127 | http-nio-8080-exec-23#160 | http-nio-8080-exec-24#161 | http-nio-8080-exec-25#162 | http-nio-8080-exec-26#163</x:v>
      </x:c>
      <x:c r="P127" s="36" t="n">
        <x:v>5</x:v>
      </x:c>
      <x:c r="Q127" s="44" t="str">
        <x:v>http-nio-8080-exec-22#127 | http-nio-8080-exec-23#160 | http-nio-8080-exec-24#161 | http-nio-8080-exec-25#162 | http-nio-8080-exec-26#163</x:v>
      </x:c>
      <x:c r="R127" s="36" t="n">
        <x:v>0</x:v>
      </x:c>
      <x:c r="S127" s="44"/>
      <x:c r="T127" s="36" t="n">
        <x:v>0</x:v>
      </x:c>
      <x:c r="U127" s="44"/>
      <x:c r="V127" s="36" t="n">
        <x:v>0</x:v>
      </x:c>
      <x:c r="W127" s="44"/>
      <x:c r="X127" s="34" t="str">
        <x:v>no-post-undeploy-thread-signal</x:v>
      </x:c>
      <x:c r="Y127" s="44" t="str">
        <x:v>automated signatures are JCS-specific; all other candidate application threads remain unattributed and ownership requires the archived full dump</x:v>
      </x:c>
    </x:row>
    <x:row r="128">
      <x:c r="A128" s="34" t="str">
        <x:v>article1-unified-v4-2-fb3f101b-20260903-000401-default-f02-p1-ehcache</x:v>
      </x:c>
      <x:c r="B128" s="34" t="str">
        <x:v>default</x:v>
      </x:c>
      <x:c r="C128" s="34" t="str">
        <x:v>ehcache</x:v>
      </x:c>
      <x:c r="D128" s="36" t="n">
        <x:v>2</x:v>
      </x:c>
      <x:c r="E128" s="36" t="n">
        <x:v>2</x:v>
      </x:c>
      <x:c r="F128" s="36" t="n">
        <x:v>1</x:v>
      </x:c>
      <x:c r="G128" s="36" t="n">
        <x:v>2</x:v>
      </x:c>
      <x:c r="H128" s="34" t="str">
        <x:v>finalUndeployThreadEvidenceEarly</x:v>
      </x:c>
      <x:c r="I128" s="36" t="n">
        <x:v>2</x:v>
      </x:c>
      <x:c r="J128" s="34" t="str">
        <x:v>early</x:v>
      </x:c>
      <x:c r="K128" s="36" t="n">
        <x:v>27</x:v>
      </x:c>
      <x:c r="L128" s="51" t="n">
        <x:v>0</x:v>
      </x:c>
      <x:c r="M128" s="51" t="n">
        <x:v>0</x:v>
      </x:c>
      <x:c r="N128" s="36" t="n">
        <x:v>10</x:v>
      </x:c>
      <x:c r="O128" s="44" t="str">
        <x:v>http-nio-8080-exec-14#85 | http-nio-8080-exec-18#121 | http-nio-8080-exec-24#161 | http-nio-8080-exec-25#162 | http-nio-8080-exec-27#166 | http-nio-8080-exec-28#167 | http-nio-8080-exec-29#168 | http-nio-8080-exec-30#201 | http-nio-8080-exec-31#202 | http-nio-8080-exec-32#203</x:v>
      </x:c>
      <x:c r="P128" s="36" t="n">
        <x:v>8</x:v>
      </x:c>
      <x:c r="Q128" s="44" t="str">
        <x:v>http-nio-8080-exec-24#161 | http-nio-8080-exec-25#162 | http-nio-8080-exec-27#166 | http-nio-8080-exec-28#167 | http-nio-8080-exec-29#168 | http-nio-8080-exec-30#201 | http-nio-8080-exec-31#202 | http-nio-8080-exec-32#203</x:v>
      </x:c>
      <x:c r="R128" s="36" t="n">
        <x:v>0</x:v>
      </x:c>
      <x:c r="S128" s="44"/>
      <x:c r="T128" s="36" t="n">
        <x:v>0</x:v>
      </x:c>
      <x:c r="U128" s="44"/>
      <x:c r="V128" s="36" t="n">
        <x:v>0</x:v>
      </x:c>
      <x:c r="W128" s="44"/>
      <x:c r="X128" s="34" t="str">
        <x:v>no-post-undeploy-thread-signal</x:v>
      </x:c>
      <x:c r="Y128" s="44" t="str">
        <x:v>automated signatures are JCS-specific; all other candidate application threads remain unattributed and ownership requires the archived full dump</x:v>
      </x:c>
    </x:row>
    <x:row r="129">
      <x:c r="A129" s="34" t="str">
        <x:v>article1-unified-v4-2-fb3f101b-20260903-000401-default-f02-p1-ehcache</x:v>
      </x:c>
      <x:c r="B129" s="34" t="str">
        <x:v>default</x:v>
      </x:c>
      <x:c r="C129" s="34" t="str">
        <x:v>ehcache</x:v>
      </x:c>
      <x:c r="D129" s="36" t="n">
        <x:v>2</x:v>
      </x:c>
      <x:c r="E129" s="36" t="n">
        <x:v>2</x:v>
      </x:c>
      <x:c r="F129" s="36" t="n">
        <x:v>1</x:v>
      </x:c>
      <x:c r="G129" s="36" t="n">
        <x:v>2</x:v>
      </x:c>
      <x:c r="H129" s="34" t="str">
        <x:v>finalUndeployThreadEvidenceFinal</x:v>
      </x:c>
      <x:c r="I129" s="36" t="n">
        <x:v>2</x:v>
      </x:c>
      <x:c r="J129" s="34" t="str">
        <x:v>final</x:v>
      </x:c>
      <x:c r="K129" s="36" t="n">
        <x:v>27</x:v>
      </x:c>
      <x:c r="L129" s="51" t="n">
        <x:v>0</x:v>
      </x:c>
      <x:c r="M129" s="51" t="n">
        <x:v>0</x:v>
      </x:c>
      <x:c r="N129" s="36" t="n">
        <x:v>10</x:v>
      </x:c>
      <x:c r="O129" s="44" t="str">
        <x:v>http-nio-8080-exec-14#85 | http-nio-8080-exec-24#161 | http-nio-8080-exec-25#162 | http-nio-8080-exec-27#166 | http-nio-8080-exec-28#167 | http-nio-8080-exec-29#168 | http-nio-8080-exec-30#201 | http-nio-8080-exec-31#202 | http-nio-8080-exec-32#203 | http-nio-8080-exec-33#204</x:v>
      </x:c>
      <x:c r="P129" s="36" t="n">
        <x:v>9</x:v>
      </x:c>
      <x:c r="Q129" s="44" t="str">
        <x:v>http-nio-8080-exec-24#161 | http-nio-8080-exec-25#162 | http-nio-8080-exec-27#166 | http-nio-8080-exec-28#167 | http-nio-8080-exec-29#168 | http-nio-8080-exec-30#201 | http-nio-8080-exec-31#202 | http-nio-8080-exec-32#203 | http-nio-8080-exec-33#204</x:v>
      </x:c>
      <x:c r="R129" s="36" t="n">
        <x:v>0</x:v>
      </x:c>
      <x:c r="S129" s="44"/>
      <x:c r="T129" s="36" t="n">
        <x:v>0</x:v>
      </x:c>
      <x:c r="U129" s="44"/>
      <x:c r="V129" s="36" t="n">
        <x:v>0</x:v>
      </x:c>
      <x:c r="W129" s="44"/>
      <x:c r="X129" s="34" t="str">
        <x:v>no-post-undeploy-thread-signal</x:v>
      </x:c>
      <x:c r="Y129" s="44" t="str">
        <x:v>automated signatures are JCS-specific; all other candidate application threads remain unattributed and ownership requires the archived full dump</x:v>
      </x:c>
    </x:row>
    <x:row r="130">
      <x:c r="A130" s="34" t="str">
        <x:v>article1-unified-v4-2-fb3f101b-20260903-000401-default-f02-p1-ehcache</x:v>
      </x:c>
      <x:c r="B130" s="34" t="str">
        <x:v>default</x:v>
      </x:c>
      <x:c r="C130" s="34" t="str">
        <x:v>ehcache</x:v>
      </x:c>
      <x:c r="D130" s="36" t="n">
        <x:v>2</x:v>
      </x:c>
      <x:c r="E130" s="36" t="n">
        <x:v>2</x:v>
      </x:c>
      <x:c r="F130" s="36" t="n">
        <x:v>1</x:v>
      </x:c>
      <x:c r="G130" s="36" t="n">
        <x:v>3</x:v>
      </x:c>
      <x:c r="H130" s="34" t="str">
        <x:v>firstUndeployThreadEvidenceEarly</x:v>
      </x:c>
      <x:c r="I130" s="36" t="n">
        <x:v>1</x:v>
      </x:c>
      <x:c r="J130" s="34" t="str">
        <x:v>early</x:v>
      </x:c>
      <x:c r="K130" s="36" t="n">
        <x:v>27</x:v>
      </x:c>
      <x:c r="L130" s="51" t="n">
        <x:v>0</x:v>
      </x:c>
      <x:c r="M130" s="51" t="n">
        <x:v>0</x:v>
      </x:c>
      <x:c r="N130" s="36" t="n">
        <x:v>10</x:v>
      </x:c>
      <x:c r="O130" s="44" t="str">
        <x:v>http-nio-8080-exec-24#161 | http-nio-8080-exec-28#167 | http-nio-8080-exec-29#168 | http-nio-8080-exec-31#202 | http-nio-8080-exec-32#203 | http-nio-8080-exec-33#204 | http-nio-8080-exec-34#207 | http-nio-8080-exec-36#241 | http-nio-8080-exec-37#242 | http-nio-8080-exec-38#243</x:v>
      </x:c>
      <x:c r="P130" s="36" t="n">
        <x:v>4</x:v>
      </x:c>
      <x:c r="Q130" s="44" t="str">
        <x:v>http-nio-8080-exec-34#207 | http-nio-8080-exec-36#241 | http-nio-8080-exec-37#242 | http-nio-8080-exec-38#243</x:v>
      </x:c>
      <x:c r="R130" s="36" t="n">
        <x:v>0</x:v>
      </x:c>
      <x:c r="S130" s="44"/>
      <x:c r="T130" s="36" t="n">
        <x:v>0</x:v>
      </x:c>
      <x:c r="U130" s="44"/>
      <x:c r="V130" s="36" t="n">
        <x:v>0</x:v>
      </x:c>
      <x:c r="W130" s="44"/>
      <x:c r="X130" s="34" t="str">
        <x:v>no-post-undeploy-thread-signal</x:v>
      </x:c>
      <x:c r="Y130" s="44" t="str">
        <x:v>automated signatures are JCS-specific; all other candidate application threads remain unattributed and ownership requires the archived full dump</x:v>
      </x:c>
    </x:row>
    <x:row r="131">
      <x:c r="A131" s="34" t="str">
        <x:v>article1-unified-v4-2-fb3f101b-20260903-000401-default-f02-p1-ehcache</x:v>
      </x:c>
      <x:c r="B131" s="34" t="str">
        <x:v>default</x:v>
      </x:c>
      <x:c r="C131" s="34" t="str">
        <x:v>ehcache</x:v>
      </x:c>
      <x:c r="D131" s="36" t="n">
        <x:v>2</x:v>
      </x:c>
      <x:c r="E131" s="36" t="n">
        <x:v>2</x:v>
      </x:c>
      <x:c r="F131" s="36" t="n">
        <x:v>1</x:v>
      </x:c>
      <x:c r="G131" s="36" t="n">
        <x:v>3</x:v>
      </x:c>
      <x:c r="H131" s="34" t="str">
        <x:v>firstUndeployThreadEvidenceFinal</x:v>
      </x:c>
      <x:c r="I131" s="36" t="n">
        <x:v>1</x:v>
      </x:c>
      <x:c r="J131" s="34" t="str">
        <x:v>final</x:v>
      </x:c>
      <x:c r="K131" s="36" t="n">
        <x:v>27</x:v>
      </x:c>
      <x:c r="L131" s="51" t="n">
        <x:v>0</x:v>
      </x:c>
      <x:c r="M131" s="51" t="n">
        <x:v>0</x:v>
      </x:c>
      <x:c r="N131" s="36" t="n">
        <x:v>10</x:v>
      </x:c>
      <x:c r="O131" s="44" t="str">
        <x:v>http-nio-8080-exec-24#161 | http-nio-8080-exec-29#168 | http-nio-8080-exec-31#202 | http-nio-8080-exec-32#203 | http-nio-8080-exec-33#204 | http-nio-8080-exec-34#207 | http-nio-8080-exec-36#241 | http-nio-8080-exec-37#242 | http-nio-8080-exec-38#243 | http-nio-8080-exec-39#244</x:v>
      </x:c>
      <x:c r="P131" s="36" t="n">
        <x:v>5</x:v>
      </x:c>
      <x:c r="Q131" s="44" t="str">
        <x:v>http-nio-8080-exec-34#207 | http-nio-8080-exec-36#241 | http-nio-8080-exec-37#242 | http-nio-8080-exec-38#243 | http-nio-8080-exec-39#244</x:v>
      </x:c>
      <x:c r="R131" s="36" t="n">
        <x:v>0</x:v>
      </x:c>
      <x:c r="S131" s="44"/>
      <x:c r="T131" s="36" t="n">
        <x:v>0</x:v>
      </x:c>
      <x:c r="U131" s="44"/>
      <x:c r="V131" s="36" t="n">
        <x:v>0</x:v>
      </x:c>
      <x:c r="W131" s="44"/>
      <x:c r="X131" s="34" t="str">
        <x:v>no-post-undeploy-thread-signal</x:v>
      </x:c>
      <x:c r="Y131" s="44" t="str">
        <x:v>automated signatures are JCS-specific; all other candidate application threads remain unattributed and ownership requires the archived full dump</x:v>
      </x:c>
    </x:row>
    <x:row r="132">
      <x:c r="A132" s="34" t="str">
        <x:v>article1-unified-v4-2-fb3f101b-20260903-000401-default-f02-p1-ehcache</x:v>
      </x:c>
      <x:c r="B132" s="34" t="str">
        <x:v>default</x:v>
      </x:c>
      <x:c r="C132" s="34" t="str">
        <x:v>ehcache</x:v>
      </x:c>
      <x:c r="D132" s="36" t="n">
        <x:v>2</x:v>
      </x:c>
      <x:c r="E132" s="36" t="n">
        <x:v>2</x:v>
      </x:c>
      <x:c r="F132" s="36" t="n">
        <x:v>1</x:v>
      </x:c>
      <x:c r="G132" s="36" t="n">
        <x:v>3</x:v>
      </x:c>
      <x:c r="H132" s="34" t="str">
        <x:v>finalUndeployThreadEvidenceEarly</x:v>
      </x:c>
      <x:c r="I132" s="36" t="n">
        <x:v>2</x:v>
      </x:c>
      <x:c r="J132" s="34" t="str">
        <x:v>early</x:v>
      </x:c>
      <x:c r="K132" s="36" t="n">
        <x:v>27</x:v>
      </x:c>
      <x:c r="L132" s="51" t="n">
        <x:v>0</x:v>
      </x:c>
      <x:c r="M132" s="51" t="n">
        <x:v>0</x:v>
      </x:c>
      <x:c r="N132" s="36" t="n">
        <x:v>10</x:v>
      </x:c>
      <x:c r="O132" s="44" t="str">
        <x:v>http-nio-8080-exec-32#203 | http-nio-8080-exec-33#204 | http-nio-8080-exec-37#242 | http-nio-8080-exec-38#243 | http-nio-8080-exec-39#244 | http-nio-8080-exec-40#247 | http-nio-8080-exec-42#249 | http-nio-8080-exec-43#282 | http-nio-8080-exec-44#283 | http-nio-8080-exec-45#284</x:v>
      </x:c>
      <x:c r="P132" s="36" t="n">
        <x:v>8</x:v>
      </x:c>
      <x:c r="Q132" s="44" t="str">
        <x:v>http-nio-8080-exec-37#242 | http-nio-8080-exec-38#243 | http-nio-8080-exec-39#244 | http-nio-8080-exec-40#247 | http-nio-8080-exec-42#249 | http-nio-8080-exec-43#282 | http-nio-8080-exec-44#283 | http-nio-8080-exec-45#284</x:v>
      </x:c>
      <x:c r="R132" s="36" t="n">
        <x:v>0</x:v>
      </x:c>
      <x:c r="S132" s="44"/>
      <x:c r="T132" s="36" t="n">
        <x:v>0</x:v>
      </x:c>
      <x:c r="U132" s="44"/>
      <x:c r="V132" s="36" t="n">
        <x:v>0</x:v>
      </x:c>
      <x:c r="W132" s="44"/>
      <x:c r="X132" s="34" t="str">
        <x:v>no-post-undeploy-thread-signal</x:v>
      </x:c>
      <x:c r="Y132" s="44" t="str">
        <x:v>automated signatures are JCS-specific; all other candidate application threads remain unattributed and ownership requires the archived full dump</x:v>
      </x:c>
    </x:row>
    <x:row r="133">
      <x:c r="A133" s="34" t="str">
        <x:v>article1-unified-v4-2-fb3f101b-20260903-000401-default-f02-p1-ehcache</x:v>
      </x:c>
      <x:c r="B133" s="34" t="str">
        <x:v>default</x:v>
      </x:c>
      <x:c r="C133" s="34" t="str">
        <x:v>ehcache</x:v>
      </x:c>
      <x:c r="D133" s="36" t="n">
        <x:v>2</x:v>
      </x:c>
      <x:c r="E133" s="36" t="n">
        <x:v>2</x:v>
      </x:c>
      <x:c r="F133" s="36" t="n">
        <x:v>1</x:v>
      </x:c>
      <x:c r="G133" s="36" t="n">
        <x:v>3</x:v>
      </x:c>
      <x:c r="H133" s="34" t="str">
        <x:v>finalUndeployThreadEvidenceFinal</x:v>
      </x:c>
      <x:c r="I133" s="36" t="n">
        <x:v>2</x:v>
      </x:c>
      <x:c r="J133" s="34" t="str">
        <x:v>final</x:v>
      </x:c>
      <x:c r="K133" s="36" t="n">
        <x:v>27</x:v>
      </x:c>
      <x:c r="L133" s="51" t="n">
        <x:v>0</x:v>
      </x:c>
      <x:c r="M133" s="51" t="n">
        <x:v>0</x:v>
      </x:c>
      <x:c r="N133" s="36" t="n">
        <x:v>10</x:v>
      </x:c>
      <x:c r="O133" s="44" t="str">
        <x:v>http-nio-8080-exec-32#203 | http-nio-8080-exec-33#204 | http-nio-8080-exec-37#242 | http-nio-8080-exec-38#243 | http-nio-8080-exec-39#244 | http-nio-8080-exec-40#247 | http-nio-8080-exec-42#249 | http-nio-8080-exec-44#283 | http-nio-8080-exec-45#284 | http-nio-8080-exec-46#285</x:v>
      </x:c>
      <x:c r="P133" s="36" t="n">
        <x:v>8</x:v>
      </x:c>
      <x:c r="Q133" s="44" t="str">
        <x:v>http-nio-8080-exec-37#242 | http-nio-8080-exec-38#243 | http-nio-8080-exec-39#244 | http-nio-8080-exec-40#247 | http-nio-8080-exec-42#249 | http-nio-8080-exec-44#283 | http-nio-8080-exec-45#284 | http-nio-8080-exec-46#285</x:v>
      </x:c>
      <x:c r="R133" s="36" t="n">
        <x:v>0</x:v>
      </x:c>
      <x:c r="S133" s="44"/>
      <x:c r="T133" s="36" t="n">
        <x:v>0</x:v>
      </x:c>
      <x:c r="U133" s="44"/>
      <x:c r="V133" s="36" t="n">
        <x:v>0</x:v>
      </x:c>
      <x:c r="W133" s="44"/>
      <x:c r="X133" s="34" t="str">
        <x:v>no-post-undeploy-thread-signal</x:v>
      </x:c>
      <x:c r="Y133" s="44" t="str">
        <x:v>automated signatures are JCS-specific; all other candidate application threads remain unattributed and ownership requires the archived full dump</x:v>
      </x:c>
    </x:row>
    <x:row r="134">
      <x:c r="A134" s="34" t="str">
        <x:v>article1-unified-v4-2-fb3f101b-20260903-000401-default-f02-p1-ehcache</x:v>
      </x:c>
      <x:c r="B134" s="34" t="str">
        <x:v>default</x:v>
      </x:c>
      <x:c r="C134" s="34" t="str">
        <x:v>ehcache</x:v>
      </x:c>
      <x:c r="D134" s="36" t="n">
        <x:v>2</x:v>
      </x:c>
      <x:c r="E134" s="36" t="n">
        <x:v>2</x:v>
      </x:c>
      <x:c r="F134" s="36" t="n">
        <x:v>1</x:v>
      </x:c>
      <x:c r="G134" s="36" t="n">
        <x:v>4</x:v>
      </x:c>
      <x:c r="H134" s="34" t="str">
        <x:v>firstUndeployThreadEvidenceEarly</x:v>
      </x:c>
      <x:c r="I134" s="36" t="n">
        <x:v>1</x:v>
      </x:c>
      <x:c r="J134" s="34" t="str">
        <x:v>early</x:v>
      </x:c>
      <x:c r="K134" s="36" t="n">
        <x:v>27</x:v>
      </x:c>
      <x:c r="L134" s="51" t="n">
        <x:v>0</x:v>
      </x:c>
      <x:c r="M134" s="51" t="n">
        <x:v>0</x:v>
      </x:c>
      <x:c r="N134" s="36" t="n">
        <x:v>10</x:v>
      </x:c>
      <x:c r="O134" s="44" t="str">
        <x:v>http-nio-8080-exec-33#204 | http-nio-8080-exec-38#243 | http-nio-8080-exec-40#247 | http-nio-8080-exec-44#283 | http-nio-8080-exec-45#284 | http-nio-8080-exec-46#285 | http-nio-8080-exec-47#288 | http-nio-8080-exec-48#289 | http-nio-8080-exec-50#323 | http-nio-8080-exec-51#324</x:v>
      </x:c>
      <x:c r="P134" s="36" t="n">
        <x:v>4</x:v>
      </x:c>
      <x:c r="Q134" s="44" t="str">
        <x:v>http-nio-8080-exec-47#288 | http-nio-8080-exec-48#289 | http-nio-8080-exec-50#323 | http-nio-8080-exec-51#324</x:v>
      </x:c>
      <x:c r="R134" s="36" t="n">
        <x:v>0</x:v>
      </x:c>
      <x:c r="S134" s="44"/>
      <x:c r="T134" s="36" t="n">
        <x:v>0</x:v>
      </x:c>
      <x:c r="U134" s="44"/>
      <x:c r="V134" s="36" t="n">
        <x:v>0</x:v>
      </x:c>
      <x:c r="W134" s="44"/>
      <x:c r="X134" s="34" t="str">
        <x:v>no-post-undeploy-thread-signal</x:v>
      </x:c>
      <x:c r="Y134" s="44" t="str">
        <x:v>automated signatures are JCS-specific; all other candidate application threads remain unattributed and ownership requires the archived full dump</x:v>
      </x:c>
    </x:row>
    <x:row r="135">
      <x:c r="A135" s="34" t="str">
        <x:v>article1-unified-v4-2-fb3f101b-20260903-000401-default-f02-p1-ehcache</x:v>
      </x:c>
      <x:c r="B135" s="34" t="str">
        <x:v>default</x:v>
      </x:c>
      <x:c r="C135" s="34" t="str">
        <x:v>ehcache</x:v>
      </x:c>
      <x:c r="D135" s="36" t="n">
        <x:v>2</x:v>
      </x:c>
      <x:c r="E135" s="36" t="n">
        <x:v>2</x:v>
      </x:c>
      <x:c r="F135" s="36" t="n">
        <x:v>1</x:v>
      </x:c>
      <x:c r="G135" s="36" t="n">
        <x:v>4</x:v>
      </x:c>
      <x:c r="H135" s="34" t="str">
        <x:v>firstUndeployThreadEvidenceFinal</x:v>
      </x:c>
      <x:c r="I135" s="36" t="n">
        <x:v>1</x:v>
      </x:c>
      <x:c r="J135" s="34" t="str">
        <x:v>final</x:v>
      </x:c>
      <x:c r="K135" s="36" t="n">
        <x:v>27</x:v>
      </x:c>
      <x:c r="L135" s="51" t="n">
        <x:v>0</x:v>
      </x:c>
      <x:c r="M135" s="51" t="n">
        <x:v>0</x:v>
      </x:c>
      <x:c r="N135" s="36" t="n">
        <x:v>10</x:v>
      </x:c>
      <x:c r="O135" s="44" t="str">
        <x:v>http-nio-8080-exec-33#204 | http-nio-8080-exec-38#243 | http-nio-8080-exec-40#247 | http-nio-8080-exec-44#283 | http-nio-8080-exec-45#284 | http-nio-8080-exec-47#288 | http-nio-8080-exec-48#289 | http-nio-8080-exec-50#323 | http-nio-8080-exec-51#324 | http-nio-8080-exec-52#325</x:v>
      </x:c>
      <x:c r="P135" s="36" t="n">
        <x:v>5</x:v>
      </x:c>
      <x:c r="Q135" s="44" t="str">
        <x:v>http-nio-8080-exec-47#288 | http-nio-8080-exec-48#289 | http-nio-8080-exec-50#323 | http-nio-8080-exec-51#324 | http-nio-8080-exec-52#325</x:v>
      </x:c>
      <x:c r="R135" s="36" t="n">
        <x:v>0</x:v>
      </x:c>
      <x:c r="S135" s="44"/>
      <x:c r="T135" s="36" t="n">
        <x:v>0</x:v>
      </x:c>
      <x:c r="U135" s="44"/>
      <x:c r="V135" s="36" t="n">
        <x:v>0</x:v>
      </x:c>
      <x:c r="W135" s="44"/>
      <x:c r="X135" s="34" t="str">
        <x:v>no-post-undeploy-thread-signal</x:v>
      </x:c>
      <x:c r="Y135" s="44" t="str">
        <x:v>automated signatures are JCS-specific; all other candidate application threads remain unattributed and ownership requires the archived full dump</x:v>
      </x:c>
    </x:row>
    <x:row r="136">
      <x:c r="A136" s="34" t="str">
        <x:v>article1-unified-v4-2-fb3f101b-20260903-000401-default-f02-p1-ehcache</x:v>
      </x:c>
      <x:c r="B136" s="34" t="str">
        <x:v>default</x:v>
      </x:c>
      <x:c r="C136" s="34" t="str">
        <x:v>ehcache</x:v>
      </x:c>
      <x:c r="D136" s="36" t="n">
        <x:v>2</x:v>
      </x:c>
      <x:c r="E136" s="36" t="n">
        <x:v>2</x:v>
      </x:c>
      <x:c r="F136" s="36" t="n">
        <x:v>1</x:v>
      </x:c>
      <x:c r="G136" s="36" t="n">
        <x:v>4</x:v>
      </x:c>
      <x:c r="H136" s="34" t="str">
        <x:v>finalUndeployThreadEvidenceEarly</x:v>
      </x:c>
      <x:c r="I136" s="36" t="n">
        <x:v>2</x:v>
      </x:c>
      <x:c r="J136" s="34" t="str">
        <x:v>early</x:v>
      </x:c>
      <x:c r="K136" s="36" t="n">
        <x:v>27</x:v>
      </x:c>
      <x:c r="L136" s="51" t="n">
        <x:v>0</x:v>
      </x:c>
      <x:c r="M136" s="51" t="n">
        <x:v>0</x:v>
      </x:c>
      <x:c r="N136" s="36" t="n">
        <x:v>10</x:v>
      </x:c>
      <x:c r="O136" s="44" t="str">
        <x:v>http-nio-8080-exec-40#247 | http-nio-8080-exec-44#283 | http-nio-8080-exec-50#323 | http-nio-8080-exec-51#324 | http-nio-8080-exec-52#325 | http-nio-8080-exec-53#328 | http-nio-8080-exec-55#330 | http-nio-8080-exec-56#363 | http-nio-8080-exec-57#364 | http-nio-8080-exec-58#365</x:v>
      </x:c>
      <x:c r="P136" s="36" t="n">
        <x:v>8</x:v>
      </x:c>
      <x:c r="Q136" s="44" t="str">
        <x:v>http-nio-8080-exec-50#323 | http-nio-8080-exec-51#324 | http-nio-8080-exec-52#325 | http-nio-8080-exec-53#328 | http-nio-8080-exec-55#330 | http-nio-8080-exec-56#363 | http-nio-8080-exec-57#364 | http-nio-8080-exec-58#365</x:v>
      </x:c>
      <x:c r="R136" s="36" t="n">
        <x:v>0</x:v>
      </x:c>
      <x:c r="S136" s="44"/>
      <x:c r="T136" s="36" t="n">
        <x:v>0</x:v>
      </x:c>
      <x:c r="U136" s="44"/>
      <x:c r="V136" s="36" t="n">
        <x:v>0</x:v>
      </x:c>
      <x:c r="W136" s="44"/>
      <x:c r="X136" s="34" t="str">
        <x:v>no-post-undeploy-thread-signal</x:v>
      </x:c>
      <x:c r="Y136" s="44" t="str">
        <x:v>automated signatures are JCS-specific; all other candidate application threads remain unattributed and ownership requires the archived full dump</x:v>
      </x:c>
    </x:row>
    <x:row r="137">
      <x:c r="A137" s="34" t="str">
        <x:v>article1-unified-v4-2-fb3f101b-20260903-000401-default-f02-p1-ehcache</x:v>
      </x:c>
      <x:c r="B137" s="34" t="str">
        <x:v>default</x:v>
      </x:c>
      <x:c r="C137" s="34" t="str">
        <x:v>ehcache</x:v>
      </x:c>
      <x:c r="D137" s="36" t="n">
        <x:v>2</x:v>
      </x:c>
      <x:c r="E137" s="36" t="n">
        <x:v>2</x:v>
      </x:c>
      <x:c r="F137" s="36" t="n">
        <x:v>1</x:v>
      </x:c>
      <x:c r="G137" s="36" t="n">
        <x:v>4</x:v>
      </x:c>
      <x:c r="H137" s="34" t="str">
        <x:v>finalUndeployThreadEvidenceFinal</x:v>
      </x:c>
      <x:c r="I137" s="36" t="n">
        <x:v>2</x:v>
      </x:c>
      <x:c r="J137" s="34" t="str">
        <x:v>final</x:v>
      </x:c>
      <x:c r="K137" s="36" t="n">
        <x:v>27</x:v>
      </x:c>
      <x:c r="L137" s="51" t="n">
        <x:v>0</x:v>
      </x:c>
      <x:c r="M137" s="51" t="n">
        <x:v>0</x:v>
      </x:c>
      <x:c r="N137" s="36" t="n">
        <x:v>10</x:v>
      </x:c>
      <x:c r="O137" s="44" t="str">
        <x:v>http-nio-8080-exec-44#283 | http-nio-8080-exec-50#323 | http-nio-8080-exec-51#324 | http-nio-8080-exec-52#325 | http-nio-8080-exec-53#328 | http-nio-8080-exec-55#330 | http-nio-8080-exec-56#363 | http-nio-8080-exec-57#364 | http-nio-8080-exec-58#365 | http-nio-8080-exec-59#366</x:v>
      </x:c>
      <x:c r="P137" s="36" t="n">
        <x:v>9</x:v>
      </x:c>
      <x:c r="Q137" s="44" t="str">
        <x:v>http-nio-8080-exec-50#323 | http-nio-8080-exec-51#324 | http-nio-8080-exec-52#325 | http-nio-8080-exec-53#328 | http-nio-8080-exec-55#330 | http-nio-8080-exec-56#363 | http-nio-8080-exec-57#364 | http-nio-8080-exec-58#365 | http-nio-8080-exec-59#366</x:v>
      </x:c>
      <x:c r="R137" s="36" t="n">
        <x:v>0</x:v>
      </x:c>
      <x:c r="S137" s="44"/>
      <x:c r="T137" s="36" t="n">
        <x:v>0</x:v>
      </x:c>
      <x:c r="U137" s="44"/>
      <x:c r="V137" s="36" t="n">
        <x:v>0</x:v>
      </x:c>
      <x:c r="W137" s="44"/>
      <x:c r="X137" s="34" t="str">
        <x:v>no-post-undeploy-thread-signal</x:v>
      </x:c>
      <x:c r="Y137" s="44" t="str">
        <x:v>automated signatures are JCS-specific; all other candidate application threads remain unattributed and ownership requires the archived full dump</x:v>
      </x:c>
    </x:row>
    <x:row r="138">
      <x:c r="A138" s="34" t="str">
        <x:v>article1-unified-v4-2-fb3f101b-20260903-000401-default-f02-p1-ehcache</x:v>
      </x:c>
      <x:c r="B138" s="34" t="str">
        <x:v>default</x:v>
      </x:c>
      <x:c r="C138" s="34" t="str">
        <x:v>ehcache</x:v>
      </x:c>
      <x:c r="D138" s="36" t="n">
        <x:v>2</x:v>
      </x:c>
      <x:c r="E138" s="36" t="n">
        <x:v>2</x:v>
      </x:c>
      <x:c r="F138" s="36" t="n">
        <x:v>1</x:v>
      </x:c>
      <x:c r="G138" s="36" t="n">
        <x:v>5</x:v>
      </x:c>
      <x:c r="H138" s="34" t="str">
        <x:v>firstUndeployThreadEvidenceEarly</x:v>
      </x:c>
      <x:c r="I138" s="36" t="n">
        <x:v>1</x:v>
      </x:c>
      <x:c r="J138" s="34" t="str">
        <x:v>early</x:v>
      </x:c>
      <x:c r="K138" s="36" t="n">
        <x:v>27</x:v>
      </x:c>
      <x:c r="L138" s="51" t="n">
        <x:v>0</x:v>
      </x:c>
      <x:c r="M138" s="51" t="n">
        <x:v>0</x:v>
      </x:c>
      <x:c r="N138" s="36" t="n">
        <x:v>10</x:v>
      </x:c>
      <x:c r="O138" s="44" t="str">
        <x:v>http-nio-8080-exec-51#324 | http-nio-8080-exec-52#325 | http-nio-8080-exec-56#363 | http-nio-8080-exec-57#364 | http-nio-8080-exec-58#365 | http-nio-8080-exec-59#366 | http-nio-8080-exec-60#369 | http-nio-8080-exec-61#370 | http-nio-8080-exec-63#404 | http-nio-8080-exec-64#405</x:v>
      </x:c>
      <x:c r="P138" s="36" t="n">
        <x:v>4</x:v>
      </x:c>
      <x:c r="Q138" s="44" t="str">
        <x:v>http-nio-8080-exec-60#369 | http-nio-8080-exec-61#370 | http-nio-8080-exec-63#404 | http-nio-8080-exec-64#405</x:v>
      </x:c>
      <x:c r="R138" s="36" t="n">
        <x:v>0</x:v>
      </x:c>
      <x:c r="S138" s="44"/>
      <x:c r="T138" s="36" t="n">
        <x:v>0</x:v>
      </x:c>
      <x:c r="U138" s="44"/>
      <x:c r="V138" s="36" t="n">
        <x:v>0</x:v>
      </x:c>
      <x:c r="W138" s="44"/>
      <x:c r="X138" s="34" t="str">
        <x:v>no-post-undeploy-thread-signal</x:v>
      </x:c>
      <x:c r="Y138" s="44" t="str">
        <x:v>automated signatures are JCS-specific; all other candidate application threads remain unattributed and ownership requires the archived full dump</x:v>
      </x:c>
    </x:row>
    <x:row r="139">
      <x:c r="A139" s="34" t="str">
        <x:v>article1-unified-v4-2-fb3f101b-20260903-000401-default-f02-p1-ehcache</x:v>
      </x:c>
      <x:c r="B139" s="34" t="str">
        <x:v>default</x:v>
      </x:c>
      <x:c r="C139" s="34" t="str">
        <x:v>ehcache</x:v>
      </x:c>
      <x:c r="D139" s="36" t="n">
        <x:v>2</x:v>
      </x:c>
      <x:c r="E139" s="36" t="n">
        <x:v>2</x:v>
      </x:c>
      <x:c r="F139" s="36" t="n">
        <x:v>1</x:v>
      </x:c>
      <x:c r="G139" s="36" t="n">
        <x:v>5</x:v>
      </x:c>
      <x:c r="H139" s="34" t="str">
        <x:v>firstUndeployThreadEvidenceFinal</x:v>
      </x:c>
      <x:c r="I139" s="36" t="n">
        <x:v>1</x:v>
      </x:c>
      <x:c r="J139" s="34" t="str">
        <x:v>final</x:v>
      </x:c>
      <x:c r="K139" s="36" t="n">
        <x:v>27</x:v>
      </x:c>
      <x:c r="L139" s="51" t="n">
        <x:v>0</x:v>
      </x:c>
      <x:c r="M139" s="51" t="n">
        <x:v>0</x:v>
      </x:c>
      <x:c r="N139" s="36" t="n">
        <x:v>10</x:v>
      </x:c>
      <x:c r="O139" s="44" t="str">
        <x:v>http-nio-8080-exec-52#325 | http-nio-8080-exec-56#363 | http-nio-8080-exec-57#364 | http-nio-8080-exec-58#365 | http-nio-8080-exec-59#366 | http-nio-8080-exec-60#369 | http-nio-8080-exec-61#370 | http-nio-8080-exec-63#404 | http-nio-8080-exec-64#405 | http-nio-8080-exec-65#406</x:v>
      </x:c>
      <x:c r="P139" s="36" t="n">
        <x:v>5</x:v>
      </x:c>
      <x:c r="Q139" s="44" t="str">
        <x:v>http-nio-8080-exec-60#369 | http-nio-8080-exec-61#370 | http-nio-8080-exec-63#404 | http-nio-8080-exec-64#405 | http-nio-8080-exec-65#406</x:v>
      </x:c>
      <x:c r="R139" s="36" t="n">
        <x:v>0</x:v>
      </x:c>
      <x:c r="S139" s="44"/>
      <x:c r="T139" s="36" t="n">
        <x:v>0</x:v>
      </x:c>
      <x:c r="U139" s="44"/>
      <x:c r="V139" s="36" t="n">
        <x:v>0</x:v>
      </x:c>
      <x:c r="W139" s="44"/>
      <x:c r="X139" s="34" t="str">
        <x:v>no-post-undeploy-thread-signal</x:v>
      </x:c>
      <x:c r="Y139" s="44" t="str">
        <x:v>automated signatures are JCS-specific; all other candidate application threads remain unattributed and ownership requires the archived full dump</x:v>
      </x:c>
    </x:row>
    <x:row r="140">
      <x:c r="A140" s="34" t="str">
        <x:v>article1-unified-v4-2-fb3f101b-20260903-000401-default-f02-p1-ehcache</x:v>
      </x:c>
      <x:c r="B140" s="34" t="str">
        <x:v>default</x:v>
      </x:c>
      <x:c r="C140" s="34" t="str">
        <x:v>ehcache</x:v>
      </x:c>
      <x:c r="D140" s="36" t="n">
        <x:v>2</x:v>
      </x:c>
      <x:c r="E140" s="36" t="n">
        <x:v>2</x:v>
      </x:c>
      <x:c r="F140" s="36" t="n">
        <x:v>1</x:v>
      </x:c>
      <x:c r="G140" s="36" t="n">
        <x:v>5</x:v>
      </x:c>
      <x:c r="H140" s="34" t="str">
        <x:v>finalUndeployThreadEvidenceEarly</x:v>
      </x:c>
      <x:c r="I140" s="36" t="n">
        <x:v>2</x:v>
      </x:c>
      <x:c r="J140" s="34" t="str">
        <x:v>early</x:v>
      </x:c>
      <x:c r="K140" s="36" t="n">
        <x:v>27</x:v>
      </x:c>
      <x:c r="L140" s="51" t="n">
        <x:v>0</x:v>
      </x:c>
      <x:c r="M140" s="51" t="n">
        <x:v>0</x:v>
      </x:c>
      <x:c r="N140" s="36" t="n">
        <x:v>10</x:v>
      </x:c>
      <x:c r="O140" s="44" t="str">
        <x:v>http-nio-8080-exec-52#325 | http-nio-8080-exec-56#363 | http-nio-8080-exec-63#404 | http-nio-8080-exec-64#405 | http-nio-8080-exec-65#406 | http-nio-8080-exec-66#409 | http-nio-8080-exec-67#410 | http-nio-8080-exec-69#444 | http-nio-8080-exec-70#445 | http-nio-8080-exec-71#446</x:v>
      </x:c>
      <x:c r="P140" s="36" t="n">
        <x:v>8</x:v>
      </x:c>
      <x:c r="Q140" s="44" t="str">
        <x:v>http-nio-8080-exec-63#404 | http-nio-8080-exec-64#405 | http-nio-8080-exec-65#406 | http-nio-8080-exec-66#409 | http-nio-8080-exec-67#410 | http-nio-8080-exec-69#444 | http-nio-8080-exec-70#445 | http-nio-8080-exec-71#446</x:v>
      </x:c>
      <x:c r="R140" s="36" t="n">
        <x:v>0</x:v>
      </x:c>
      <x:c r="S140" s="44"/>
      <x:c r="T140" s="36" t="n">
        <x:v>0</x:v>
      </x:c>
      <x:c r="U140" s="44"/>
      <x:c r="V140" s="36" t="n">
        <x:v>0</x:v>
      </x:c>
      <x:c r="W140" s="44"/>
      <x:c r="X140" s="34" t="str">
        <x:v>no-post-undeploy-thread-signal</x:v>
      </x:c>
      <x:c r="Y140" s="44" t="str">
        <x:v>automated signatures are JCS-specific; all other candidate application threads remain unattributed and ownership requires the archived full dump</x:v>
      </x:c>
    </x:row>
    <x:row r="141">
      <x:c r="A141" s="34" t="str">
        <x:v>article1-unified-v4-2-fb3f101b-20260903-000401-default-f02-p1-ehcache</x:v>
      </x:c>
      <x:c r="B141" s="34" t="str">
        <x:v>default</x:v>
      </x:c>
      <x:c r="C141" s="34" t="str">
        <x:v>ehcache</x:v>
      </x:c>
      <x:c r="D141" s="36" t="n">
        <x:v>2</x:v>
      </x:c>
      <x:c r="E141" s="36" t="n">
        <x:v>2</x:v>
      </x:c>
      <x:c r="F141" s="36" t="n">
        <x:v>1</x:v>
      </x:c>
      <x:c r="G141" s="36" t="n">
        <x:v>5</x:v>
      </x:c>
      <x:c r="H141" s="34" t="str">
        <x:v>finalUndeployThreadEvidenceFinal</x:v>
      </x:c>
      <x:c r="I141" s="36" t="n">
        <x:v>2</x:v>
      </x:c>
      <x:c r="J141" s="34" t="str">
        <x:v>final</x:v>
      </x:c>
      <x:c r="K141" s="36" t="n">
        <x:v>27</x:v>
      </x:c>
      <x:c r="L141" s="51" t="n">
        <x:v>0</x:v>
      </x:c>
      <x:c r="M141" s="51" t="n">
        <x:v>0</x:v>
      </x:c>
      <x:c r="N141" s="36" t="n">
        <x:v>10</x:v>
      </x:c>
      <x:c r="O141" s="44" t="str">
        <x:v>http-nio-8080-exec-52#325 | http-nio-8080-exec-56#363 | http-nio-8080-exec-63#404 | http-nio-8080-exec-64#405 | http-nio-8080-exec-65#406 | http-nio-8080-exec-66#409 | http-nio-8080-exec-67#410 | http-nio-8080-exec-70#445 | http-nio-8080-exec-71#446 | http-nio-8080-exec-72#447</x:v>
      </x:c>
      <x:c r="P141" s="36" t="n">
        <x:v>8</x:v>
      </x:c>
      <x:c r="Q141" s="44" t="str">
        <x:v>http-nio-8080-exec-63#404 | http-nio-8080-exec-64#405 | http-nio-8080-exec-65#406 | http-nio-8080-exec-66#409 | http-nio-8080-exec-67#410 | http-nio-8080-exec-70#445 | http-nio-8080-exec-71#446 | http-nio-8080-exec-72#447</x:v>
      </x:c>
      <x:c r="R141" s="36" t="n">
        <x:v>0</x:v>
      </x:c>
      <x:c r="S141" s="44"/>
      <x:c r="T141" s="36" t="n">
        <x:v>0</x:v>
      </x:c>
      <x:c r="U141" s="44"/>
      <x:c r="V141" s="36" t="n">
        <x:v>0</x:v>
      </x:c>
      <x:c r="W141" s="44"/>
      <x:c r="X141" s="34" t="str">
        <x:v>no-post-undeploy-thread-signal</x:v>
      </x:c>
      <x:c r="Y141" s="44" t="str">
        <x:v>automated signatures are JCS-specific; all other candidate application threads remain unattributed and ownership requires the archived full dump</x:v>
      </x:c>
    </x:row>
    <x:row r="142">
      <x:c r="A142" s="34" t="str">
        <x:v>article1-unified-v4-2-fb3f101b-20260903-000401-default-f02-p2-cache2k</x:v>
      </x:c>
      <x:c r="B142" s="34" t="str">
        <x:v>default</x:v>
      </x:c>
      <x:c r="C142" s="34" t="str">
        <x:v>cache2k</x:v>
      </x:c>
      <x:c r="D142" s="36" t="n">
        <x:v>2</x:v>
      </x:c>
      <x:c r="E142" s="36" t="n">
        <x:v>2</x:v>
      </x:c>
      <x:c r="F142" s="36" t="n">
        <x:v>2</x:v>
      </x:c>
      <x:c r="G142" s="36" t="n">
        <x:v>1</x:v>
      </x:c>
      <x:c r="H142" s="34" t="str">
        <x:v>firstUndeployThreadEvidenceEarly</x:v>
      </x:c>
      <x:c r="I142" s="36" t="n">
        <x:v>1</x:v>
      </x:c>
      <x:c r="J142" s="34" t="str">
        <x:v>early</x:v>
      </x:c>
      <x:c r="K142" s="36" t="n">
        <x:v>27</x:v>
      </x:c>
      <x:c r="L142" s="51" t="n">
        <x:v>0</x:v>
      </x:c>
      <x:c r="M142" s="51" t="n">
        <x:v>0</x:v>
      </x:c>
      <x:c r="N142" s="36" t="n">
        <x:v>2</x:v>
      </x:c>
      <x:c r="O142" s="44" t="str">
        <x:v>http-nio-8080-exec-11#81 | http-nio-8080-exec-12#82</x:v>
      </x:c>
      <x:c r="P142" s="36" t="n">
        <x:v>2</x:v>
      </x:c>
      <x:c r="Q142" s="44" t="str">
        <x:v>http-nio-8080-exec-11#81 | http-nio-8080-exec-12#82</x:v>
      </x:c>
      <x:c r="R142" s="36" t="n">
        <x:v>0</x:v>
      </x:c>
      <x:c r="S142" s="44"/>
      <x:c r="T142" s="36" t="n">
        <x:v>0</x:v>
      </x:c>
      <x:c r="U142" s="44"/>
      <x:c r="V142" s="36" t="n">
        <x:v>0</x:v>
      </x:c>
      <x:c r="W142" s="44"/>
      <x:c r="X142" s="34" t="str">
        <x:v>no-post-undeploy-thread-signal</x:v>
      </x:c>
      <x:c r="Y142" s="44" t="str">
        <x:v>automated signatures are JCS-specific; all other candidate application threads remain unattributed and ownership requires the archived full dump</x:v>
      </x:c>
    </x:row>
    <x:row r="143">
      <x:c r="A143" s="34" t="str">
        <x:v>article1-unified-v4-2-fb3f101b-20260903-000401-default-f02-p2-cache2k</x:v>
      </x:c>
      <x:c r="B143" s="34" t="str">
        <x:v>default</x:v>
      </x:c>
      <x:c r="C143" s="34" t="str">
        <x:v>cache2k</x:v>
      </x:c>
      <x:c r="D143" s="36" t="n">
        <x:v>2</x:v>
      </x:c>
      <x:c r="E143" s="36" t="n">
        <x:v>2</x:v>
      </x:c>
      <x:c r="F143" s="36" t="n">
        <x:v>2</x:v>
      </x:c>
      <x:c r="G143" s="36" t="n">
        <x:v>1</x:v>
      </x:c>
      <x:c r="H143" s="34" t="str">
        <x:v>firstUndeployThreadEvidenceFinal</x:v>
      </x:c>
      <x:c r="I143" s="36" t="n">
        <x:v>1</x:v>
      </x:c>
      <x:c r="J143" s="34" t="str">
        <x:v>final</x:v>
      </x:c>
      <x:c r="K143" s="36" t="n">
        <x:v>27</x:v>
      </x:c>
      <x:c r="L143" s="51" t="n">
        <x:v>0</x:v>
      </x:c>
      <x:c r="M143" s="51" t="n">
        <x:v>0</x:v>
      </x:c>
      <x:c r="N143" s="36" t="n">
        <x:v>3</x:v>
      </x:c>
      <x:c r="O143" s="44" t="str">
        <x:v>http-nio-8080-exec-11#81 | http-nio-8080-exec-12#82 | http-nio-8080-exec-13#83</x:v>
      </x:c>
      <x:c r="P143" s="36" t="n">
        <x:v>3</x:v>
      </x:c>
      <x:c r="Q143" s="44" t="str">
        <x:v>http-nio-8080-exec-11#81 | http-nio-8080-exec-12#82 | http-nio-8080-exec-13#83</x:v>
      </x:c>
      <x:c r="R143" s="36" t="n">
        <x:v>0</x:v>
      </x:c>
      <x:c r="S143" s="44"/>
      <x:c r="T143" s="36" t="n">
        <x:v>0</x:v>
      </x:c>
      <x:c r="U143" s="44"/>
      <x:c r="V143" s="36" t="n">
        <x:v>0</x:v>
      </x:c>
      <x:c r="W143" s="44"/>
      <x:c r="X143" s="34" t="str">
        <x:v>no-post-undeploy-thread-signal</x:v>
      </x:c>
      <x:c r="Y143" s="44" t="str">
        <x:v>automated signatures are JCS-specific; all other candidate application threads remain unattributed and ownership requires the archived full dump</x:v>
      </x:c>
    </x:row>
    <x:row r="144">
      <x:c r="A144" s="34" t="str">
        <x:v>article1-unified-v4-2-fb3f101b-20260903-000401-default-f02-p2-cache2k</x:v>
      </x:c>
      <x:c r="B144" s="34" t="str">
        <x:v>default</x:v>
      </x:c>
      <x:c r="C144" s="34" t="str">
        <x:v>cache2k</x:v>
      </x:c>
      <x:c r="D144" s="36" t="n">
        <x:v>2</x:v>
      </x:c>
      <x:c r="E144" s="36" t="n">
        <x:v>2</x:v>
      </x:c>
      <x:c r="F144" s="36" t="n">
        <x:v>2</x:v>
      </x:c>
      <x:c r="G144" s="36" t="n">
        <x:v>1</x:v>
      </x:c>
      <x:c r="H144" s="34" t="str">
        <x:v>finalUndeployThreadEvidenceEarly</x:v>
      </x:c>
      <x:c r="I144" s="36" t="n">
        <x:v>2</x:v>
      </x:c>
      <x:c r="J144" s="34" t="str">
        <x:v>early</x:v>
      </x:c>
      <x:c r="K144" s="36" t="n">
        <x:v>27</x:v>
      </x:c>
      <x:c r="L144" s="51" t="n">
        <x:v>0</x:v>
      </x:c>
      <x:c r="M144" s="51" t="n">
        <x:v>0</x:v>
      </x:c>
      <x:c r="N144" s="36" t="n">
        <x:v>8</x:v>
      </x:c>
      <x:c r="O144" s="44" t="str">
        <x:v>http-nio-8080-exec-11#81 | http-nio-8080-exec-12#82 | http-nio-8080-exec-13#83 | http-nio-8080-exec-15#87 | http-nio-8080-exec-16#88 | http-nio-8080-exec-17#122 | http-nio-8080-exec-18#123 | http-nio-8080-exec-19#124</x:v>
      </x:c>
      <x:c r="P144" s="36" t="n">
        <x:v>8</x:v>
      </x:c>
      <x:c r="Q144" s="44" t="str">
        <x:v>http-nio-8080-exec-11#81 | http-nio-8080-exec-12#82 | http-nio-8080-exec-13#83 | http-nio-8080-exec-15#87 | http-nio-8080-exec-16#88 | http-nio-8080-exec-17#122 | http-nio-8080-exec-18#123 | http-nio-8080-exec-19#124</x:v>
      </x:c>
      <x:c r="R144" s="36" t="n">
        <x:v>0</x:v>
      </x:c>
      <x:c r="S144" s="44"/>
      <x:c r="T144" s="36" t="n">
        <x:v>0</x:v>
      </x:c>
      <x:c r="U144" s="44"/>
      <x:c r="V144" s="36" t="n">
        <x:v>0</x:v>
      </x:c>
      <x:c r="W144" s="44"/>
      <x:c r="X144" s="34" t="str">
        <x:v>no-post-undeploy-thread-signal</x:v>
      </x:c>
      <x:c r="Y144" s="44" t="str">
        <x:v>automated signatures are JCS-specific; all other candidate application threads remain unattributed and ownership requires the archived full dump</x:v>
      </x:c>
    </x:row>
    <x:row r="145">
      <x:c r="A145" s="34" t="str">
        <x:v>article1-unified-v4-2-fb3f101b-20260903-000401-default-f02-p2-cache2k</x:v>
      </x:c>
      <x:c r="B145" s="34" t="str">
        <x:v>default</x:v>
      </x:c>
      <x:c r="C145" s="34" t="str">
        <x:v>cache2k</x:v>
      </x:c>
      <x:c r="D145" s="36" t="n">
        <x:v>2</x:v>
      </x:c>
      <x:c r="E145" s="36" t="n">
        <x:v>2</x:v>
      </x:c>
      <x:c r="F145" s="36" t="n">
        <x:v>2</x:v>
      </x:c>
      <x:c r="G145" s="36" t="n">
        <x:v>1</x:v>
      </x:c>
      <x:c r="H145" s="34" t="str">
        <x:v>finalUndeployThreadEvidenceFinal</x:v>
      </x:c>
      <x:c r="I145" s="36" t="n">
        <x:v>2</x:v>
      </x:c>
      <x:c r="J145" s="34" t="str">
        <x:v>final</x:v>
      </x:c>
      <x:c r="K145" s="36" t="n">
        <x:v>27</x:v>
      </x:c>
      <x:c r="L145" s="51" t="n">
        <x:v>0</x:v>
      </x:c>
      <x:c r="M145" s="51" t="n">
        <x:v>0</x:v>
      </x:c>
      <x:c r="N145" s="36" t="n">
        <x:v>8</x:v>
      </x:c>
      <x:c r="O145" s="44" t="str">
        <x:v>http-nio-8080-exec-11#81 | http-nio-8080-exec-13#83 | http-nio-8080-exec-15#87 | http-nio-8080-exec-16#88 | http-nio-8080-exec-17#122 | http-nio-8080-exec-18#123 | http-nio-8080-exec-19#124 | http-nio-8080-exec-20#125</x:v>
      </x:c>
      <x:c r="P145" s="36" t="n">
        <x:v>8</x:v>
      </x:c>
      <x:c r="Q145" s="44" t="str">
        <x:v>http-nio-8080-exec-11#81 | http-nio-8080-exec-13#83 | http-nio-8080-exec-15#87 | http-nio-8080-exec-16#88 | http-nio-8080-exec-17#122 | http-nio-8080-exec-18#123 | http-nio-8080-exec-19#124 | http-nio-8080-exec-20#125</x:v>
      </x:c>
      <x:c r="R145" s="36" t="n">
        <x:v>0</x:v>
      </x:c>
      <x:c r="S145" s="44"/>
      <x:c r="T145" s="36" t="n">
        <x:v>0</x:v>
      </x:c>
      <x:c r="U145" s="44"/>
      <x:c r="V145" s="36" t="n">
        <x:v>0</x:v>
      </x:c>
      <x:c r="W145" s="44"/>
      <x:c r="X145" s="34" t="str">
        <x:v>no-post-undeploy-thread-signal</x:v>
      </x:c>
      <x:c r="Y145" s="44" t="str">
        <x:v>automated signatures are JCS-specific; all other candidate application threads remain unattributed and ownership requires the archived full dump</x:v>
      </x:c>
    </x:row>
    <x:row r="146">
      <x:c r="A146" s="34" t="str">
        <x:v>article1-unified-v4-2-fb3f101b-20260903-000401-default-f02-p2-cache2k</x:v>
      </x:c>
      <x:c r="B146" s="34" t="str">
        <x:v>default</x:v>
      </x:c>
      <x:c r="C146" s="34" t="str">
        <x:v>cache2k</x:v>
      </x:c>
      <x:c r="D146" s="36" t="n">
        <x:v>2</x:v>
      </x:c>
      <x:c r="E146" s="36" t="n">
        <x:v>2</x:v>
      </x:c>
      <x:c r="F146" s="36" t="n">
        <x:v>2</x:v>
      </x:c>
      <x:c r="G146" s="36" t="n">
        <x:v>2</x:v>
      </x:c>
      <x:c r="H146" s="34" t="str">
        <x:v>firstUndeployThreadEvidenceEarly</x:v>
      </x:c>
      <x:c r="I146" s="36" t="n">
        <x:v>1</x:v>
      </x:c>
      <x:c r="J146" s="34" t="str">
        <x:v>early</x:v>
      </x:c>
      <x:c r="K146" s="36" t="n">
        <x:v>27</x:v>
      </x:c>
      <x:c r="L146" s="51" t="n">
        <x:v>0</x:v>
      </x:c>
      <x:c r="M146" s="51" t="n">
        <x:v>0</x:v>
      </x:c>
      <x:c r="N146" s="36" t="n">
        <x:v>9</x:v>
      </x:c>
      <x:c r="O146" s="44" t="str">
        <x:v>http-nio-8080-exec-15#87 | http-nio-8080-exec-18#123 | http-nio-8080-exec-19#124 | http-nio-8080-exec-20#125 | http-nio-8080-exec-21#128 | http-nio-8080-exec-22#129 | http-nio-8080-exec-23#163 | http-nio-8080-exec-24#164 | http-nio-8080-exec-25#165</x:v>
      </x:c>
      <x:c r="P146" s="36" t="n">
        <x:v>5</x:v>
      </x:c>
      <x:c r="Q146" s="44" t="str">
        <x:v>http-nio-8080-exec-21#128 | http-nio-8080-exec-22#129 | http-nio-8080-exec-23#163 | http-nio-8080-exec-24#164 | http-nio-8080-exec-25#165</x:v>
      </x:c>
      <x:c r="R146" s="36" t="n">
        <x:v>0</x:v>
      </x:c>
      <x:c r="S146" s="44"/>
      <x:c r="T146" s="36" t="n">
        <x:v>0</x:v>
      </x:c>
      <x:c r="U146" s="44"/>
      <x:c r="V146" s="36" t="n">
        <x:v>0</x:v>
      </x:c>
      <x:c r="W146" s="44"/>
      <x:c r="X146" s="34" t="str">
        <x:v>no-post-undeploy-thread-signal</x:v>
      </x:c>
      <x:c r="Y146" s="44" t="str">
        <x:v>automated signatures are JCS-specific; all other candidate application threads remain unattributed and ownership requires the archived full dump</x:v>
      </x:c>
    </x:row>
    <x:row r="147">
      <x:c r="A147" s="34" t="str">
        <x:v>article1-unified-v4-2-fb3f101b-20260903-000401-default-f02-p2-cache2k</x:v>
      </x:c>
      <x:c r="B147" s="34" t="str">
        <x:v>default</x:v>
      </x:c>
      <x:c r="C147" s="34" t="str">
        <x:v>cache2k</x:v>
      </x:c>
      <x:c r="D147" s="36" t="n">
        <x:v>2</x:v>
      </x:c>
      <x:c r="E147" s="36" t="n">
        <x:v>2</x:v>
      </x:c>
      <x:c r="F147" s="36" t="n">
        <x:v>2</x:v>
      </x:c>
      <x:c r="G147" s="36" t="n">
        <x:v>2</x:v>
      </x:c>
      <x:c r="H147" s="34" t="str">
        <x:v>firstUndeployThreadEvidenceFinal</x:v>
      </x:c>
      <x:c r="I147" s="36" t="n">
        <x:v>1</x:v>
      </x:c>
      <x:c r="J147" s="34" t="str">
        <x:v>final</x:v>
      </x:c>
      <x:c r="K147" s="36" t="n">
        <x:v>27</x:v>
      </x:c>
      <x:c r="L147" s="51" t="n">
        <x:v>0</x:v>
      </x:c>
      <x:c r="M147" s="51" t="n">
        <x:v>0</x:v>
      </x:c>
      <x:c r="N147" s="36" t="n">
        <x:v>9</x:v>
      </x:c>
      <x:c r="O147" s="44" t="str">
        <x:v>http-nio-8080-exec-15#87 | http-nio-8080-exec-18#123 | http-nio-8080-exec-19#124 | http-nio-8080-exec-20#125 | http-nio-8080-exec-21#128 | http-nio-8080-exec-23#163 | http-nio-8080-exec-24#164 | http-nio-8080-exec-25#165 | http-nio-8080-exec-26#166</x:v>
      </x:c>
      <x:c r="P147" s="36" t="n">
        <x:v>5</x:v>
      </x:c>
      <x:c r="Q147" s="44" t="str">
        <x:v>http-nio-8080-exec-21#128 | http-nio-8080-exec-23#163 | http-nio-8080-exec-24#164 | http-nio-8080-exec-25#165 | http-nio-8080-exec-26#166</x:v>
      </x:c>
      <x:c r="R147" s="36" t="n">
        <x:v>0</x:v>
      </x:c>
      <x:c r="S147" s="44"/>
      <x:c r="T147" s="36" t="n">
        <x:v>0</x:v>
      </x:c>
      <x:c r="U147" s="44"/>
      <x:c r="V147" s="36" t="n">
        <x:v>0</x:v>
      </x:c>
      <x:c r="W147" s="44"/>
      <x:c r="X147" s="34" t="str">
        <x:v>no-post-undeploy-thread-signal</x:v>
      </x:c>
      <x:c r="Y147" s="44" t="str">
        <x:v>automated signatures are JCS-specific; all other candidate application threads remain unattributed and ownership requires the archived full dump</x:v>
      </x:c>
    </x:row>
    <x:row r="148">
      <x:c r="A148" s="34" t="str">
        <x:v>article1-unified-v4-2-fb3f101b-20260903-000401-default-f02-p2-cache2k</x:v>
      </x:c>
      <x:c r="B148" s="34" t="str">
        <x:v>default</x:v>
      </x:c>
      <x:c r="C148" s="34" t="str">
        <x:v>cache2k</x:v>
      </x:c>
      <x:c r="D148" s="36" t="n">
        <x:v>2</x:v>
      </x:c>
      <x:c r="E148" s="36" t="n">
        <x:v>2</x:v>
      </x:c>
      <x:c r="F148" s="36" t="n">
        <x:v>2</x:v>
      </x:c>
      <x:c r="G148" s="36" t="n">
        <x:v>2</x:v>
      </x:c>
      <x:c r="H148" s="34" t="str">
        <x:v>finalUndeployThreadEvidenceEarly</x:v>
      </x:c>
      <x:c r="I148" s="36" t="n">
        <x:v>2</x:v>
      </x:c>
      <x:c r="J148" s="34" t="str">
        <x:v>early</x:v>
      </x:c>
      <x:c r="K148" s="36" t="n">
        <x:v>27</x:v>
      </x:c>
      <x:c r="L148" s="51" t="n">
        <x:v>0</x:v>
      </x:c>
      <x:c r="M148" s="51" t="n">
        <x:v>0</x:v>
      </x:c>
      <x:c r="N148" s="36" t="n">
        <x:v>9</x:v>
      </x:c>
      <x:c r="O148" s="44" t="str">
        <x:v>http-nio-8080-exec-18#123 | http-nio-8080-exec-24#164 | http-nio-8080-exec-26#166 | http-nio-8080-exec-27#169 | http-nio-8080-exec-28#170 | http-nio-8080-exec-29#171 | http-nio-8080-exec-30#205 | http-nio-8080-exec-31#206 | http-nio-8080-exec-32#207</x:v>
      </x:c>
      <x:c r="P148" s="36" t="n">
        <x:v>8</x:v>
      </x:c>
      <x:c r="Q148" s="44" t="str">
        <x:v>http-nio-8080-exec-24#164 | http-nio-8080-exec-26#166 | http-nio-8080-exec-27#169 | http-nio-8080-exec-28#170 | http-nio-8080-exec-29#171 | http-nio-8080-exec-30#205 | http-nio-8080-exec-31#206 | http-nio-8080-exec-32#207</x:v>
      </x:c>
      <x:c r="R148" s="36" t="n">
        <x:v>0</x:v>
      </x:c>
      <x:c r="S148" s="44"/>
      <x:c r="T148" s="36" t="n">
        <x:v>0</x:v>
      </x:c>
      <x:c r="U148" s="44"/>
      <x:c r="V148" s="36" t="n">
        <x:v>0</x:v>
      </x:c>
      <x:c r="W148" s="44"/>
      <x:c r="X148" s="34" t="str">
        <x:v>no-post-undeploy-thread-signal</x:v>
      </x:c>
      <x:c r="Y148" s="44" t="str">
        <x:v>automated signatures are JCS-specific; all other candidate application threads remain unattributed and ownership requires the archived full dump</x:v>
      </x:c>
    </x:row>
    <x:row r="149">
      <x:c r="A149" s="34" t="str">
        <x:v>article1-unified-v4-2-fb3f101b-20260903-000401-default-f02-p2-cache2k</x:v>
      </x:c>
      <x:c r="B149" s="34" t="str">
        <x:v>default</x:v>
      </x:c>
      <x:c r="C149" s="34" t="str">
        <x:v>cache2k</x:v>
      </x:c>
      <x:c r="D149" s="36" t="n">
        <x:v>2</x:v>
      </x:c>
      <x:c r="E149" s="36" t="n">
        <x:v>2</x:v>
      </x:c>
      <x:c r="F149" s="36" t="n">
        <x:v>2</x:v>
      </x:c>
      <x:c r="G149" s="36" t="n">
        <x:v>2</x:v>
      </x:c>
      <x:c r="H149" s="34" t="str">
        <x:v>finalUndeployThreadEvidenceFinal</x:v>
      </x:c>
      <x:c r="I149" s="36" t="n">
        <x:v>2</x:v>
      </x:c>
      <x:c r="J149" s="34" t="str">
        <x:v>final</x:v>
      </x:c>
      <x:c r="K149" s="36" t="n">
        <x:v>27</x:v>
      </x:c>
      <x:c r="L149" s="51" t="n">
        <x:v>0</x:v>
      </x:c>
      <x:c r="M149" s="51" t="n">
        <x:v>0</x:v>
      </x:c>
      <x:c r="N149" s="36" t="n">
        <x:v>9</x:v>
      </x:c>
      <x:c r="O149" s="44" t="str">
        <x:v>http-nio-8080-exec-18#123 | http-nio-8080-exec-26#166 | http-nio-8080-exec-27#169 | http-nio-8080-exec-28#170 | http-nio-8080-exec-29#171 | http-nio-8080-exec-30#205 | http-nio-8080-exec-31#206 | http-nio-8080-exec-32#207 | http-nio-8080-exec-33#208</x:v>
      </x:c>
      <x:c r="P149" s="36" t="n">
        <x:v>8</x:v>
      </x:c>
      <x:c r="Q149" s="44" t="str">
        <x:v>http-nio-8080-exec-26#166 | http-nio-8080-exec-27#169 | http-nio-8080-exec-28#170 | http-nio-8080-exec-29#171 | http-nio-8080-exec-30#205 | http-nio-8080-exec-31#206 | http-nio-8080-exec-32#207 | http-nio-8080-exec-33#208</x:v>
      </x:c>
      <x:c r="R149" s="36" t="n">
        <x:v>0</x:v>
      </x:c>
      <x:c r="S149" s="44"/>
      <x:c r="T149" s="36" t="n">
        <x:v>0</x:v>
      </x:c>
      <x:c r="U149" s="44"/>
      <x:c r="V149" s="36" t="n">
        <x:v>0</x:v>
      </x:c>
      <x:c r="W149" s="44"/>
      <x:c r="X149" s="34" t="str">
        <x:v>no-post-undeploy-thread-signal</x:v>
      </x:c>
      <x:c r="Y149" s="44" t="str">
        <x:v>automated signatures are JCS-specific; all other candidate application threads remain unattributed and ownership requires the archived full dump</x:v>
      </x:c>
    </x:row>
    <x:row r="150">
      <x:c r="A150" s="34" t="str">
        <x:v>article1-unified-v4-2-fb3f101b-20260903-000401-default-f02-p2-cache2k</x:v>
      </x:c>
      <x:c r="B150" s="34" t="str">
        <x:v>default</x:v>
      </x:c>
      <x:c r="C150" s="34" t="str">
        <x:v>cache2k</x:v>
      </x:c>
      <x:c r="D150" s="36" t="n">
        <x:v>2</x:v>
      </x:c>
      <x:c r="E150" s="36" t="n">
        <x:v>2</x:v>
      </x:c>
      <x:c r="F150" s="36" t="n">
        <x:v>2</x:v>
      </x:c>
      <x:c r="G150" s="36" t="n">
        <x:v>3</x:v>
      </x:c>
      <x:c r="H150" s="34" t="str">
        <x:v>firstUndeployThreadEvidenceEarly</x:v>
      </x:c>
      <x:c r="I150" s="36" t="n">
        <x:v>1</x:v>
      </x:c>
      <x:c r="J150" s="34" t="str">
        <x:v>early</x:v>
      </x:c>
      <x:c r="K150" s="36" t="n">
        <x:v>27</x:v>
      </x:c>
      <x:c r="L150" s="51" t="n">
        <x:v>0</x:v>
      </x:c>
      <x:c r="M150" s="51" t="n">
        <x:v>0</x:v>
      </x:c>
      <x:c r="N150" s="36" t="n">
        <x:v>9</x:v>
      </x:c>
      <x:c r="O150" s="44" t="str">
        <x:v>http-nio-8080-exec-18#123 | http-nio-8080-exec-28#170 | http-nio-8080-exec-31#206 | http-nio-8080-exec-32#207 | http-nio-8080-exec-33#208 | http-nio-8080-exec-35#212 | http-nio-8080-exec-36#246 | http-nio-8080-exec-37#247 | http-nio-8080-exec-38#248</x:v>
      </x:c>
      <x:c r="P150" s="36" t="n">
        <x:v>4</x:v>
      </x:c>
      <x:c r="Q150" s="44" t="str">
        <x:v>http-nio-8080-exec-35#212 | http-nio-8080-exec-36#246 | http-nio-8080-exec-37#247 | http-nio-8080-exec-38#248</x:v>
      </x:c>
      <x:c r="R150" s="36" t="n">
        <x:v>0</x:v>
      </x:c>
      <x:c r="S150" s="44"/>
      <x:c r="T150" s="36" t="n">
        <x:v>0</x:v>
      </x:c>
      <x:c r="U150" s="44"/>
      <x:c r="V150" s="36" t="n">
        <x:v>0</x:v>
      </x:c>
      <x:c r="W150" s="44"/>
      <x:c r="X150" s="34" t="str">
        <x:v>no-post-undeploy-thread-signal</x:v>
      </x:c>
      <x:c r="Y150" s="44" t="str">
        <x:v>automated signatures are JCS-specific; all other candidate application threads remain unattributed and ownership requires the archived full dump</x:v>
      </x:c>
    </x:row>
    <x:row r="151">
      <x:c r="A151" s="34" t="str">
        <x:v>article1-unified-v4-2-fb3f101b-20260903-000401-default-f02-p2-cache2k</x:v>
      </x:c>
      <x:c r="B151" s="34" t="str">
        <x:v>default</x:v>
      </x:c>
      <x:c r="C151" s="34" t="str">
        <x:v>cache2k</x:v>
      </x:c>
      <x:c r="D151" s="36" t="n">
        <x:v>2</x:v>
      </x:c>
      <x:c r="E151" s="36" t="n">
        <x:v>2</x:v>
      </x:c>
      <x:c r="F151" s="36" t="n">
        <x:v>2</x:v>
      </x:c>
      <x:c r="G151" s="36" t="n">
        <x:v>3</x:v>
      </x:c>
      <x:c r="H151" s="34" t="str">
        <x:v>firstUndeployThreadEvidenceFinal</x:v>
      </x:c>
      <x:c r="I151" s="36" t="n">
        <x:v>1</x:v>
      </x:c>
      <x:c r="J151" s="34" t="str">
        <x:v>final</x:v>
      </x:c>
      <x:c r="K151" s="36" t="n">
        <x:v>27</x:v>
      </x:c>
      <x:c r="L151" s="51" t="n">
        <x:v>0</x:v>
      </x:c>
      <x:c r="M151" s="51" t="n">
        <x:v>0</x:v>
      </x:c>
      <x:c r="N151" s="36" t="n">
        <x:v>9</x:v>
      </x:c>
      <x:c r="O151" s="44" t="str">
        <x:v>http-nio-8080-exec-18#123 | http-nio-8080-exec-28#170 | http-nio-8080-exec-31#206 | http-nio-8080-exec-32#207 | http-nio-8080-exec-33#208 | http-nio-8080-exec-35#212 | http-nio-8080-exec-37#247 | http-nio-8080-exec-38#248 | http-nio-8080-exec-39#249</x:v>
      </x:c>
      <x:c r="P151" s="36" t="n">
        <x:v>4</x:v>
      </x:c>
      <x:c r="Q151" s="44" t="str">
        <x:v>http-nio-8080-exec-35#212 | http-nio-8080-exec-37#247 | http-nio-8080-exec-38#248 | http-nio-8080-exec-39#249</x:v>
      </x:c>
      <x:c r="R151" s="36" t="n">
        <x:v>0</x:v>
      </x:c>
      <x:c r="S151" s="44"/>
      <x:c r="T151" s="36" t="n">
        <x:v>0</x:v>
      </x:c>
      <x:c r="U151" s="44"/>
      <x:c r="V151" s="36" t="n">
        <x:v>0</x:v>
      </x:c>
      <x:c r="W151" s="44"/>
      <x:c r="X151" s="34" t="str">
        <x:v>no-post-undeploy-thread-signal</x:v>
      </x:c>
      <x:c r="Y151" s="44" t="str">
        <x:v>automated signatures are JCS-specific; all other candidate application threads remain unattributed and ownership requires the archived full dump</x:v>
      </x:c>
    </x:row>
    <x:row r="152">
      <x:c r="A152" s="34" t="str">
        <x:v>article1-unified-v4-2-fb3f101b-20260903-000401-default-f02-p2-cache2k</x:v>
      </x:c>
      <x:c r="B152" s="34" t="str">
        <x:v>default</x:v>
      </x:c>
      <x:c r="C152" s="34" t="str">
        <x:v>cache2k</x:v>
      </x:c>
      <x:c r="D152" s="36" t="n">
        <x:v>2</x:v>
      </x:c>
      <x:c r="E152" s="36" t="n">
        <x:v>2</x:v>
      </x:c>
      <x:c r="F152" s="36" t="n">
        <x:v>2</x:v>
      </x:c>
      <x:c r="G152" s="36" t="n">
        <x:v>3</x:v>
      </x:c>
      <x:c r="H152" s="34" t="str">
        <x:v>finalUndeployThreadEvidenceEarly</x:v>
      </x:c>
      <x:c r="I152" s="36" t="n">
        <x:v>2</x:v>
      </x:c>
      <x:c r="J152" s="34" t="str">
        <x:v>early</x:v>
      </x:c>
      <x:c r="K152" s="36" t="n">
        <x:v>27</x:v>
      </x:c>
      <x:c r="L152" s="51" t="n">
        <x:v>0</x:v>
      </x:c>
      <x:c r="M152" s="51" t="n">
        <x:v>0</x:v>
      </x:c>
      <x:c r="N152" s="36" t="n">
        <x:v>10</x:v>
      </x:c>
      <x:c r="O152" s="44" t="str">
        <x:v>http-nio-8080-exec-18#123 | http-nio-8080-exec-31#206 | http-nio-8080-exec-37#247 | http-nio-8080-exec-38#248 | http-nio-8080-exec-39#249 | http-nio-8080-exec-40#252 | http-nio-8080-exec-41#253 | http-nio-8080-exec-43#288 | http-nio-8080-exec-44#289 | http-nio-8080-exec-45#290</x:v>
      </x:c>
      <x:c r="P152" s="36" t="n">
        <x:v>8</x:v>
      </x:c>
      <x:c r="Q152" s="44" t="str">
        <x:v>http-nio-8080-exec-37#247 | http-nio-8080-exec-38#248 | http-nio-8080-exec-39#249 | http-nio-8080-exec-40#252 | http-nio-8080-exec-41#253 | http-nio-8080-exec-43#288 | http-nio-8080-exec-44#289 | http-nio-8080-exec-45#290</x:v>
      </x:c>
      <x:c r="R152" s="36" t="n">
        <x:v>0</x:v>
      </x:c>
      <x:c r="S152" s="44"/>
      <x:c r="T152" s="36" t="n">
        <x:v>0</x:v>
      </x:c>
      <x:c r="U152" s="44"/>
      <x:c r="V152" s="36" t="n">
        <x:v>0</x:v>
      </x:c>
      <x:c r="W152" s="44"/>
      <x:c r="X152" s="34" t="str">
        <x:v>no-post-undeploy-thread-signal</x:v>
      </x:c>
      <x:c r="Y152" s="44" t="str">
        <x:v>automated signatures are JCS-specific; all other candidate application threads remain unattributed and ownership requires the archived full dump</x:v>
      </x:c>
    </x:row>
    <x:row r="153">
      <x:c r="A153" s="34" t="str">
        <x:v>article1-unified-v4-2-fb3f101b-20260903-000401-default-f02-p2-cache2k</x:v>
      </x:c>
      <x:c r="B153" s="34" t="str">
        <x:v>default</x:v>
      </x:c>
      <x:c r="C153" s="34" t="str">
        <x:v>cache2k</x:v>
      </x:c>
      <x:c r="D153" s="36" t="n">
        <x:v>2</x:v>
      </x:c>
      <x:c r="E153" s="36" t="n">
        <x:v>2</x:v>
      </x:c>
      <x:c r="F153" s="36" t="n">
        <x:v>2</x:v>
      </x:c>
      <x:c r="G153" s="36" t="n">
        <x:v>3</x:v>
      </x:c>
      <x:c r="H153" s="34" t="str">
        <x:v>finalUndeployThreadEvidenceFinal</x:v>
      </x:c>
      <x:c r="I153" s="36" t="n">
        <x:v>2</x:v>
      </x:c>
      <x:c r="J153" s="34" t="str">
        <x:v>final</x:v>
      </x:c>
      <x:c r="K153" s="36" t="n">
        <x:v>27</x:v>
      </x:c>
      <x:c r="L153" s="51" t="n">
        <x:v>0</x:v>
      </x:c>
      <x:c r="M153" s="51" t="n">
        <x:v>0</x:v>
      </x:c>
      <x:c r="N153" s="36" t="n">
        <x:v>10</x:v>
      </x:c>
      <x:c r="O153" s="44" t="str">
        <x:v>http-nio-8080-exec-31#206 | http-nio-8080-exec-37#247 | http-nio-8080-exec-38#248 | http-nio-8080-exec-39#249 | http-nio-8080-exec-40#252 | http-nio-8080-exec-41#253 | http-nio-8080-exec-43#288 | http-nio-8080-exec-44#289 | http-nio-8080-exec-45#290 | http-nio-8080-exec-46#291</x:v>
      </x:c>
      <x:c r="P153" s="36" t="n">
        <x:v>9</x:v>
      </x:c>
      <x:c r="Q153" s="44" t="str">
        <x:v>http-nio-8080-exec-37#247 | http-nio-8080-exec-38#248 | http-nio-8080-exec-39#249 | http-nio-8080-exec-40#252 | http-nio-8080-exec-41#253 | http-nio-8080-exec-43#288 | http-nio-8080-exec-44#289 | http-nio-8080-exec-45#290 | http-nio-8080-exec-46#291</x:v>
      </x:c>
      <x:c r="R153" s="36" t="n">
        <x:v>0</x:v>
      </x:c>
      <x:c r="S153" s="44"/>
      <x:c r="T153" s="36" t="n">
        <x:v>0</x:v>
      </x:c>
      <x:c r="U153" s="44"/>
      <x:c r="V153" s="36" t="n">
        <x:v>0</x:v>
      </x:c>
      <x:c r="W153" s="44"/>
      <x:c r="X153" s="34" t="str">
        <x:v>no-post-undeploy-thread-signal</x:v>
      </x:c>
      <x:c r="Y153" s="44" t="str">
        <x:v>automated signatures are JCS-specific; all other candidate application threads remain unattributed and ownership requires the archived full dump</x:v>
      </x:c>
    </x:row>
    <x:row r="154">
      <x:c r="A154" s="34" t="str">
        <x:v>article1-unified-v4-2-fb3f101b-20260903-000401-default-f02-p2-cache2k</x:v>
      </x:c>
      <x:c r="B154" s="34" t="str">
        <x:v>default</x:v>
      </x:c>
      <x:c r="C154" s="34" t="str">
        <x:v>cache2k</x:v>
      </x:c>
      <x:c r="D154" s="36" t="n">
        <x:v>2</x:v>
      </x:c>
      <x:c r="E154" s="36" t="n">
        <x:v>2</x:v>
      </x:c>
      <x:c r="F154" s="36" t="n">
        <x:v>2</x:v>
      </x:c>
      <x:c r="G154" s="36" t="n">
        <x:v>4</x:v>
      </x:c>
      <x:c r="H154" s="34" t="str">
        <x:v>firstUndeployThreadEvidenceEarly</x:v>
      </x:c>
      <x:c r="I154" s="36" t="n">
        <x:v>1</x:v>
      </x:c>
      <x:c r="J154" s="34" t="str">
        <x:v>early</x:v>
      </x:c>
      <x:c r="K154" s="36" t="n">
        <x:v>27</x:v>
      </x:c>
      <x:c r="L154" s="51" t="n">
        <x:v>0</x:v>
      </x:c>
      <x:c r="M154" s="51" t="n">
        <x:v>0</x:v>
      </x:c>
      <x:c r="N154" s="36" t="n">
        <x:v>10</x:v>
      </x:c>
      <x:c r="O154" s="44" t="str">
        <x:v>http-nio-8080-exec-31#206 | http-nio-8080-exec-37#247 | http-nio-8080-exec-39#249 | http-nio-8080-exec-44#289 | http-nio-8080-exec-45#290 | http-nio-8080-exec-46#291 | http-nio-8080-exec-48#295 | http-nio-8080-exec-49#329 | http-nio-8080-exec-50#330 | http-nio-8080-exec-51#331</x:v>
      </x:c>
      <x:c r="P154" s="36" t="n">
        <x:v>4</x:v>
      </x:c>
      <x:c r="Q154" s="44" t="str">
        <x:v>http-nio-8080-exec-48#295 | http-nio-8080-exec-49#329 | http-nio-8080-exec-50#330 | http-nio-8080-exec-51#331</x:v>
      </x:c>
      <x:c r="R154" s="36" t="n">
        <x:v>0</x:v>
      </x:c>
      <x:c r="S154" s="44"/>
      <x:c r="T154" s="36" t="n">
        <x:v>0</x:v>
      </x:c>
      <x:c r="U154" s="44"/>
      <x:c r="V154" s="36" t="n">
        <x:v>0</x:v>
      </x:c>
      <x:c r="W154" s="44"/>
      <x:c r="X154" s="34" t="str">
        <x:v>no-post-undeploy-thread-signal</x:v>
      </x:c>
      <x:c r="Y154" s="44" t="str">
        <x:v>automated signatures are JCS-specific; all other candidate application threads remain unattributed and ownership requires the archived full dump</x:v>
      </x:c>
    </x:row>
    <x:row r="155">
      <x:c r="A155" s="34" t="str">
        <x:v>article1-unified-v4-2-fb3f101b-20260903-000401-default-f02-p2-cache2k</x:v>
      </x:c>
      <x:c r="B155" s="34" t="str">
        <x:v>default</x:v>
      </x:c>
      <x:c r="C155" s="34" t="str">
        <x:v>cache2k</x:v>
      </x:c>
      <x:c r="D155" s="36" t="n">
        <x:v>2</x:v>
      </x:c>
      <x:c r="E155" s="36" t="n">
        <x:v>2</x:v>
      </x:c>
      <x:c r="F155" s="36" t="n">
        <x:v>2</x:v>
      </x:c>
      <x:c r="G155" s="36" t="n">
        <x:v>4</x:v>
      </x:c>
      <x:c r="H155" s="34" t="str">
        <x:v>firstUndeployThreadEvidenceFinal</x:v>
      </x:c>
      <x:c r="I155" s="36" t="n">
        <x:v>1</x:v>
      </x:c>
      <x:c r="J155" s="34" t="str">
        <x:v>final</x:v>
      </x:c>
      <x:c r="K155" s="36" t="n">
        <x:v>27</x:v>
      </x:c>
      <x:c r="L155" s="51" t="n">
        <x:v>0</x:v>
      </x:c>
      <x:c r="M155" s="51" t="n">
        <x:v>0</x:v>
      </x:c>
      <x:c r="N155" s="36" t="n">
        <x:v>10</x:v>
      </x:c>
      <x:c r="O155" s="44" t="str">
        <x:v>http-nio-8080-exec-31#206 | http-nio-8080-exec-39#249 | http-nio-8080-exec-44#289 | http-nio-8080-exec-45#290 | http-nio-8080-exec-46#291 | http-nio-8080-exec-48#295 | http-nio-8080-exec-49#329 | http-nio-8080-exec-50#330 | http-nio-8080-exec-51#331 | http-nio-8080-exec-52#332</x:v>
      </x:c>
      <x:c r="P155" s="36" t="n">
        <x:v>5</x:v>
      </x:c>
      <x:c r="Q155" s="44" t="str">
        <x:v>http-nio-8080-exec-48#295 | http-nio-8080-exec-49#329 | http-nio-8080-exec-50#330 | http-nio-8080-exec-51#331 | http-nio-8080-exec-52#332</x:v>
      </x:c>
      <x:c r="R155" s="36" t="n">
        <x:v>0</x:v>
      </x:c>
      <x:c r="S155" s="44"/>
      <x:c r="T155" s="36" t="n">
        <x:v>0</x:v>
      </x:c>
      <x:c r="U155" s="44"/>
      <x:c r="V155" s="36" t="n">
        <x:v>0</x:v>
      </x:c>
      <x:c r="W155" s="44"/>
      <x:c r="X155" s="34" t="str">
        <x:v>no-post-undeploy-thread-signal</x:v>
      </x:c>
      <x:c r="Y155" s="44" t="str">
        <x:v>automated signatures are JCS-specific; all other candidate application threads remain unattributed and ownership requires the archived full dump</x:v>
      </x:c>
    </x:row>
    <x:row r="156">
      <x:c r="A156" s="34" t="str">
        <x:v>article1-unified-v4-2-fb3f101b-20260903-000401-default-f02-p2-cache2k</x:v>
      </x:c>
      <x:c r="B156" s="34" t="str">
        <x:v>default</x:v>
      </x:c>
      <x:c r="C156" s="34" t="str">
        <x:v>cache2k</x:v>
      </x:c>
      <x:c r="D156" s="36" t="n">
        <x:v>2</x:v>
      </x:c>
      <x:c r="E156" s="36" t="n">
        <x:v>2</x:v>
      </x:c>
      <x:c r="F156" s="36" t="n">
        <x:v>2</x:v>
      </x:c>
      <x:c r="G156" s="36" t="n">
        <x:v>4</x:v>
      </x:c>
      <x:c r="H156" s="34" t="str">
        <x:v>finalUndeployThreadEvidenceEarly</x:v>
      </x:c>
      <x:c r="I156" s="36" t="n">
        <x:v>2</x:v>
      </x:c>
      <x:c r="J156" s="34" t="str">
        <x:v>early</x:v>
      </x:c>
      <x:c r="K156" s="36" t="n">
        <x:v>27</x:v>
      </x:c>
      <x:c r="L156" s="51" t="n">
        <x:v>0</x:v>
      </x:c>
      <x:c r="M156" s="51" t="n">
        <x:v>0</x:v>
      </x:c>
      <x:c r="N156" s="36" t="n">
        <x:v>10</x:v>
      </x:c>
      <x:c r="O156" s="44" t="str">
        <x:v>http-nio-8080-exec-39#249 | http-nio-8080-exec-45#290 | http-nio-8080-exec-50#330 | http-nio-8080-exec-52#332 | http-nio-8080-exec-53#335 | http-nio-8080-exec-54#336 | http-nio-8080-exec-55#337 | http-nio-8080-exec-56#371 | http-nio-8080-exec-57#372 | http-nio-8080-exec-58#373</x:v>
      </x:c>
      <x:c r="P156" s="36" t="n">
        <x:v>8</x:v>
      </x:c>
      <x:c r="Q156" s="44" t="str">
        <x:v>http-nio-8080-exec-50#330 | http-nio-8080-exec-52#332 | http-nio-8080-exec-53#335 | http-nio-8080-exec-54#336 | http-nio-8080-exec-55#337 | http-nio-8080-exec-56#371 | http-nio-8080-exec-57#372 | http-nio-8080-exec-58#373</x:v>
      </x:c>
      <x:c r="R156" s="36" t="n">
        <x:v>0</x:v>
      </x:c>
      <x:c r="S156" s="44"/>
      <x:c r="T156" s="36" t="n">
        <x:v>0</x:v>
      </x:c>
      <x:c r="U156" s="44"/>
      <x:c r="V156" s="36" t="n">
        <x:v>0</x:v>
      </x:c>
      <x:c r="W156" s="44"/>
      <x:c r="X156" s="34" t="str">
        <x:v>no-post-undeploy-thread-signal</x:v>
      </x:c>
      <x:c r="Y156" s="44" t="str">
        <x:v>automated signatures are JCS-specific; all other candidate application threads remain unattributed and ownership requires the archived full dump</x:v>
      </x:c>
    </x:row>
    <x:row r="157">
      <x:c r="A157" s="34" t="str">
        <x:v>article1-unified-v4-2-fb3f101b-20260903-000401-default-f02-p2-cache2k</x:v>
      </x:c>
      <x:c r="B157" s="34" t="str">
        <x:v>default</x:v>
      </x:c>
      <x:c r="C157" s="34" t="str">
        <x:v>cache2k</x:v>
      </x:c>
      <x:c r="D157" s="36" t="n">
        <x:v>2</x:v>
      </x:c>
      <x:c r="E157" s="36" t="n">
        <x:v>2</x:v>
      </x:c>
      <x:c r="F157" s="36" t="n">
        <x:v>2</x:v>
      </x:c>
      <x:c r="G157" s="36" t="n">
        <x:v>4</x:v>
      </x:c>
      <x:c r="H157" s="34" t="str">
        <x:v>finalUndeployThreadEvidenceFinal</x:v>
      </x:c>
      <x:c r="I157" s="36" t="n">
        <x:v>2</x:v>
      </x:c>
      <x:c r="J157" s="34" t="str">
        <x:v>final</x:v>
      </x:c>
      <x:c r="K157" s="36" t="n">
        <x:v>27</x:v>
      </x:c>
      <x:c r="L157" s="51" t="n">
        <x:v>0</x:v>
      </x:c>
      <x:c r="M157" s="51" t="n">
        <x:v>0</x:v>
      </x:c>
      <x:c r="N157" s="36" t="n">
        <x:v>10</x:v>
      </x:c>
      <x:c r="O157" s="44" t="str">
        <x:v>http-nio-8080-exec-39#249 | http-nio-8080-exec-45#290 | http-nio-8080-exec-50#330 | http-nio-8080-exec-53#335 | http-nio-8080-exec-54#336 | http-nio-8080-exec-55#337 | http-nio-8080-exec-56#371 | http-nio-8080-exec-57#372 | http-nio-8080-exec-58#373 | http-nio-8080-exec-59#374</x:v>
      </x:c>
      <x:c r="P157" s="36" t="n">
        <x:v>8</x:v>
      </x:c>
      <x:c r="Q157" s="44" t="str">
        <x:v>http-nio-8080-exec-50#330 | http-nio-8080-exec-53#335 | http-nio-8080-exec-54#336 | http-nio-8080-exec-55#337 | http-nio-8080-exec-56#371 | http-nio-8080-exec-57#372 | http-nio-8080-exec-58#373 | http-nio-8080-exec-59#374</x:v>
      </x:c>
      <x:c r="R157" s="36" t="n">
        <x:v>0</x:v>
      </x:c>
      <x:c r="S157" s="44"/>
      <x:c r="T157" s="36" t="n">
        <x:v>0</x:v>
      </x:c>
      <x:c r="U157" s="44"/>
      <x:c r="V157" s="36" t="n">
        <x:v>0</x:v>
      </x:c>
      <x:c r="W157" s="44"/>
      <x:c r="X157" s="34" t="str">
        <x:v>no-post-undeploy-thread-signal</x:v>
      </x:c>
      <x:c r="Y157" s="44" t="str">
        <x:v>automated signatures are JCS-specific; all other candidate application threads remain unattributed and ownership requires the archived full dump</x:v>
      </x:c>
    </x:row>
    <x:row r="158">
      <x:c r="A158" s="34" t="str">
        <x:v>article1-unified-v4-2-fb3f101b-20260903-000401-default-f02-p2-cache2k</x:v>
      </x:c>
      <x:c r="B158" s="34" t="str">
        <x:v>default</x:v>
      </x:c>
      <x:c r="C158" s="34" t="str">
        <x:v>cache2k</x:v>
      </x:c>
      <x:c r="D158" s="36" t="n">
        <x:v>2</x:v>
      </x:c>
      <x:c r="E158" s="36" t="n">
        <x:v>2</x:v>
      </x:c>
      <x:c r="F158" s="36" t="n">
        <x:v>2</x:v>
      </x:c>
      <x:c r="G158" s="36" t="n">
        <x:v>5</x:v>
      </x:c>
      <x:c r="H158" s="34" t="str">
        <x:v>firstUndeployThreadEvidenceEarly</x:v>
      </x:c>
      <x:c r="I158" s="36" t="n">
        <x:v>1</x:v>
      </x:c>
      <x:c r="J158" s="34" t="str">
        <x:v>early</x:v>
      </x:c>
      <x:c r="K158" s="36" t="n">
        <x:v>27</x:v>
      </x:c>
      <x:c r="L158" s="51" t="n">
        <x:v>0</x:v>
      </x:c>
      <x:c r="M158" s="51" t="n">
        <x:v>0</x:v>
      </x:c>
      <x:c r="N158" s="36" t="n">
        <x:v>10</x:v>
      </x:c>
      <x:c r="O158" s="44" t="str">
        <x:v>http-nio-8080-exec-53#335 | http-nio-8080-exec-56#371 | http-nio-8080-exec-57#372 | http-nio-8080-exec-58#373 | http-nio-8080-exec-59#374 | http-nio-8080-exec-60#377 | http-nio-8080-exec-61#378 | http-nio-8080-exec-62#412 | http-nio-8080-exec-63#413 | http-nio-8080-exec-64#414</x:v>
      </x:c>
      <x:c r="P158" s="36" t="n">
        <x:v>5</x:v>
      </x:c>
      <x:c r="Q158" s="44" t="str">
        <x:v>http-nio-8080-exec-60#377 | http-nio-8080-exec-61#378 | http-nio-8080-exec-62#412 | http-nio-8080-exec-63#413 | http-nio-8080-exec-64#414</x:v>
      </x:c>
      <x:c r="R158" s="36" t="n">
        <x:v>0</x:v>
      </x:c>
      <x:c r="S158" s="44"/>
      <x:c r="T158" s="36" t="n">
        <x:v>0</x:v>
      </x:c>
      <x:c r="U158" s="44"/>
      <x:c r="V158" s="36" t="n">
        <x:v>0</x:v>
      </x:c>
      <x:c r="W158" s="44"/>
      <x:c r="X158" s="34" t="str">
        <x:v>no-post-undeploy-thread-signal</x:v>
      </x:c>
      <x:c r="Y158" s="44" t="str">
        <x:v>automated signatures are JCS-specific; all other candidate application threads remain unattributed and ownership requires the archived full dump</x:v>
      </x:c>
    </x:row>
    <x:row r="159">
      <x:c r="A159" s="34" t="str">
        <x:v>article1-unified-v4-2-fb3f101b-20260903-000401-default-f02-p2-cache2k</x:v>
      </x:c>
      <x:c r="B159" s="34" t="str">
        <x:v>default</x:v>
      </x:c>
      <x:c r="C159" s="34" t="str">
        <x:v>cache2k</x:v>
      </x:c>
      <x:c r="D159" s="36" t="n">
        <x:v>2</x:v>
      </x:c>
      <x:c r="E159" s="36" t="n">
        <x:v>2</x:v>
      </x:c>
      <x:c r="F159" s="36" t="n">
        <x:v>2</x:v>
      </x:c>
      <x:c r="G159" s="36" t="n">
        <x:v>5</x:v>
      </x:c>
      <x:c r="H159" s="34" t="str">
        <x:v>firstUndeployThreadEvidenceFinal</x:v>
      </x:c>
      <x:c r="I159" s="36" t="n">
        <x:v>1</x:v>
      </x:c>
      <x:c r="J159" s="34" t="str">
        <x:v>final</x:v>
      </x:c>
      <x:c r="K159" s="36" t="n">
        <x:v>27</x:v>
      </x:c>
      <x:c r="L159" s="51" t="n">
        <x:v>0</x:v>
      </x:c>
      <x:c r="M159" s="51" t="n">
        <x:v>0</x:v>
      </x:c>
      <x:c r="N159" s="36" t="n">
        <x:v>10</x:v>
      </x:c>
      <x:c r="O159" s="44" t="str">
        <x:v>http-nio-8080-exec-53#335 | http-nio-8080-exec-56#371 | http-nio-8080-exec-58#373 | http-nio-8080-exec-59#374 | http-nio-8080-exec-60#377 | http-nio-8080-exec-61#378 | http-nio-8080-exec-62#412 | http-nio-8080-exec-63#413 | http-nio-8080-exec-64#414 | http-nio-8080-exec-65#415</x:v>
      </x:c>
      <x:c r="P159" s="36" t="n">
        <x:v>6</x:v>
      </x:c>
      <x:c r="Q159" s="44" t="str">
        <x:v>http-nio-8080-exec-60#377 | http-nio-8080-exec-61#378 | http-nio-8080-exec-62#412 | http-nio-8080-exec-63#413 | http-nio-8080-exec-64#414 | http-nio-8080-exec-65#415</x:v>
      </x:c>
      <x:c r="R159" s="36" t="n">
        <x:v>0</x:v>
      </x:c>
      <x:c r="S159" s="44"/>
      <x:c r="T159" s="36" t="n">
        <x:v>0</x:v>
      </x:c>
      <x:c r="U159" s="44"/>
      <x:c r="V159" s="36" t="n">
        <x:v>0</x:v>
      </x:c>
      <x:c r="W159" s="44"/>
      <x:c r="X159" s="34" t="str">
        <x:v>no-post-undeploy-thread-signal</x:v>
      </x:c>
      <x:c r="Y159" s="44" t="str">
        <x:v>automated signatures are JCS-specific; all other candidate application threads remain unattributed and ownership requires the archived full dump</x:v>
      </x:c>
    </x:row>
    <x:row r="160">
      <x:c r="A160" s="34" t="str">
        <x:v>article1-unified-v4-2-fb3f101b-20260903-000401-default-f02-p2-cache2k</x:v>
      </x:c>
      <x:c r="B160" s="34" t="str">
        <x:v>default</x:v>
      </x:c>
      <x:c r="C160" s="34" t="str">
        <x:v>cache2k</x:v>
      </x:c>
      <x:c r="D160" s="36" t="n">
        <x:v>2</x:v>
      </x:c>
      <x:c r="E160" s="36" t="n">
        <x:v>2</x:v>
      </x:c>
      <x:c r="F160" s="36" t="n">
        <x:v>2</x:v>
      </x:c>
      <x:c r="G160" s="36" t="n">
        <x:v>5</x:v>
      </x:c>
      <x:c r="H160" s="34" t="str">
        <x:v>finalUndeployThreadEvidenceEarly</x:v>
      </x:c>
      <x:c r="I160" s="36" t="n">
        <x:v>2</x:v>
      </x:c>
      <x:c r="J160" s="34" t="str">
        <x:v>early</x:v>
      </x:c>
      <x:c r="K160" s="36" t="n">
        <x:v>27</x:v>
      </x:c>
      <x:c r="L160" s="51" t="n">
        <x:v>0</x:v>
      </x:c>
      <x:c r="M160" s="51" t="n">
        <x:v>0</x:v>
      </x:c>
      <x:c r="N160" s="36" t="n">
        <x:v>10</x:v>
      </x:c>
      <x:c r="O160" s="44" t="str">
        <x:v>http-nio-8080-exec-53#335 | http-nio-8080-exec-62#412 | http-nio-8080-exec-64#414 | http-nio-8080-exec-65#415 | http-nio-8080-exec-66#418 | http-nio-8080-exec-67#419 | http-nio-8080-exec-68#420 | http-nio-8080-exec-69#454 | http-nio-8080-exec-70#455 | http-nio-8080-exec-71#456</x:v>
      </x:c>
      <x:c r="P160" s="36" t="n">
        <x:v>9</x:v>
      </x:c>
      <x:c r="Q160" s="44" t="str">
        <x:v>http-nio-8080-exec-62#412 | http-nio-8080-exec-64#414 | http-nio-8080-exec-65#415 | http-nio-8080-exec-66#418 | http-nio-8080-exec-67#419 | http-nio-8080-exec-68#420 | http-nio-8080-exec-69#454 | http-nio-8080-exec-70#455 | http-nio-8080-exec-71#456</x:v>
      </x:c>
      <x:c r="R160" s="36" t="n">
        <x:v>0</x:v>
      </x:c>
      <x:c r="S160" s="44"/>
      <x:c r="T160" s="36" t="n">
        <x:v>0</x:v>
      </x:c>
      <x:c r="U160" s="44"/>
      <x:c r="V160" s="36" t="n">
        <x:v>0</x:v>
      </x:c>
      <x:c r="W160" s="44"/>
      <x:c r="X160" s="34" t="str">
        <x:v>no-post-undeploy-thread-signal</x:v>
      </x:c>
      <x:c r="Y160" s="44" t="str">
        <x:v>automated signatures are JCS-specific; all other candidate application threads remain unattributed and ownership requires the archived full dump</x:v>
      </x:c>
    </x:row>
    <x:row r="161">
      <x:c r="A161" s="34" t="str">
        <x:v>article1-unified-v4-2-fb3f101b-20260903-000401-default-f02-p2-cache2k</x:v>
      </x:c>
      <x:c r="B161" s="34" t="str">
        <x:v>default</x:v>
      </x:c>
      <x:c r="C161" s="34" t="str">
        <x:v>cache2k</x:v>
      </x:c>
      <x:c r="D161" s="36" t="n">
        <x:v>2</x:v>
      </x:c>
      <x:c r="E161" s="36" t="n">
        <x:v>2</x:v>
      </x:c>
      <x:c r="F161" s="36" t="n">
        <x:v>2</x:v>
      </x:c>
      <x:c r="G161" s="36" t="n">
        <x:v>5</x:v>
      </x:c>
      <x:c r="H161" s="34" t="str">
        <x:v>finalUndeployThreadEvidenceFinal</x:v>
      </x:c>
      <x:c r="I161" s="36" t="n">
        <x:v>2</x:v>
      </x:c>
      <x:c r="J161" s="34" t="str">
        <x:v>final</x:v>
      </x:c>
      <x:c r="K161" s="36" t="n">
        <x:v>27</x:v>
      </x:c>
      <x:c r="L161" s="51" t="n">
        <x:v>0</x:v>
      </x:c>
      <x:c r="M161" s="51" t="n">
        <x:v>0</x:v>
      </x:c>
      <x:c r="N161" s="36" t="n">
        <x:v>10</x:v>
      </x:c>
      <x:c r="O161" s="44" t="str">
        <x:v>http-nio-8080-exec-53#335 | http-nio-8080-exec-62#412 | http-nio-8080-exec-64#414 | http-nio-8080-exec-65#415 | http-nio-8080-exec-66#418 | http-nio-8080-exec-67#419 | http-nio-8080-exec-69#454 | http-nio-8080-exec-70#455 | http-nio-8080-exec-71#456 | http-nio-8080-exec-72#457</x:v>
      </x:c>
      <x:c r="P161" s="36" t="n">
        <x:v>9</x:v>
      </x:c>
      <x:c r="Q161" s="44" t="str">
        <x:v>http-nio-8080-exec-62#412 | http-nio-8080-exec-64#414 | http-nio-8080-exec-65#415 | http-nio-8080-exec-66#418 | http-nio-8080-exec-67#419 | http-nio-8080-exec-69#454 | http-nio-8080-exec-70#455 | http-nio-8080-exec-71#456 | http-nio-8080-exec-72#457</x:v>
      </x:c>
      <x:c r="R161" s="36" t="n">
        <x:v>0</x:v>
      </x:c>
      <x:c r="S161" s="44"/>
      <x:c r="T161" s="36" t="n">
        <x:v>0</x:v>
      </x:c>
      <x:c r="U161" s="44"/>
      <x:c r="V161" s="36" t="n">
        <x:v>0</x:v>
      </x:c>
      <x:c r="W161" s="44"/>
      <x:c r="X161" s="34" t="str">
        <x:v>no-post-undeploy-thread-signal</x:v>
      </x:c>
      <x:c r="Y161" s="44" t="str">
        <x:v>automated signatures are JCS-specific; all other candidate application threads remain unattributed and ownership requires the archived full dump</x:v>
      </x:c>
    </x:row>
    <x:row r="162">
      <x:c r="A162" s="34" t="str">
        <x:v>article1-unified-v4-2-fb3f101b-20260903-000401-default-f02-p3-caffeine</x:v>
      </x:c>
      <x:c r="B162" s="34" t="str">
        <x:v>default</x:v>
      </x:c>
      <x:c r="C162" s="34" t="str">
        <x:v>caffeine</x:v>
      </x:c>
      <x:c r="D162" s="36" t="n">
        <x:v>2</x:v>
      </x:c>
      <x:c r="E162" s="36" t="n">
        <x:v>2</x:v>
      </x:c>
      <x:c r="F162" s="36" t="n">
        <x:v>3</x:v>
      </x:c>
      <x:c r="G162" s="36" t="n">
        <x:v>1</x:v>
      </x:c>
      <x:c r="H162" s="34" t="str">
        <x:v>firstUndeployThreadEvidenceEarly</x:v>
      </x:c>
      <x:c r="I162" s="36" t="n">
        <x:v>1</x:v>
      </x:c>
      <x:c r="J162" s="34" t="str">
        <x:v>early</x:v>
      </x:c>
      <x:c r="K162" s="36" t="n">
        <x:v>30</x:v>
      </x:c>
      <x:c r="L162" s="51" t="n">
        <x:v>3</x:v>
      </x:c>
      <x:c r="M162" s="51" t="n">
        <x:v>3</x:v>
      </x:c>
      <x:c r="N162" s="36" t="n">
        <x:v>5</x:v>
      </x:c>
      <x:c r="O162" s="44" t="str">
        <x:v>ForkJoinPool.commonPool-worker-1#48 | ForkJoinPool.commonPool-worker-2#49 | ForkJoinPool.commonPool-worker-3#50 | http-nio-8080-exec-11#83 | http-nio-8080-exec-12#84</x:v>
      </x:c>
      <x:c r="P162" s="36" t="n">
        <x:v>5</x:v>
      </x:c>
      <x:c r="Q162" s="44" t="str">
        <x:v>ForkJoinPool.commonPool-worker-1#48 | ForkJoinPool.commonPool-worker-2#49 | ForkJoinPool.commonPool-worker-3#50 | http-nio-8080-exec-11#83 | http-nio-8080-exec-12#84</x:v>
      </x:c>
      <x:c r="R162" s="36" t="n">
        <x:v>3</x:v>
      </x:c>
      <x:c r="S162" s="44" t="str">
        <x:v>ForkJoinPool.commonPool-worker-1#48 | ForkJoinPool.commonPool-worker-2#49 | ForkJoinPool.commonPool-worker-3#50</x:v>
      </x:c>
      <x:c r="T162" s="36" t="n">
        <x:v>3</x:v>
      </x:c>
      <x:c r="U162" s="44" t="str">
        <x:v>ForkJoinPool.commonPool-worker-1#48 | ForkJoinPool.commonPool-worker-2#49 | ForkJoinPool.commonPool-worker-3#50</x:v>
      </x:c>
      <x:c r="V162" s="36" t="n">
        <x:v>0</x:v>
      </x:c>
      <x:c r="W162" s="44"/>
      <x:c r="X162" s="34" t="str">
        <x:v>unattributed-thread-signal</x:v>
      </x:c>
      <x:c r="Y162" s="44" t="str">
        <x:v>automated signatures are JCS-specific; all other candidate application threads remain unattributed and ownership requires the archived full dump</x:v>
      </x:c>
    </x:row>
    <x:row r="163">
      <x:c r="A163" s="34" t="str">
        <x:v>article1-unified-v4-2-fb3f101b-20260903-000401-default-f02-p3-caffeine</x:v>
      </x:c>
      <x:c r="B163" s="34" t="str">
        <x:v>default</x:v>
      </x:c>
      <x:c r="C163" s="34" t="str">
        <x:v>caffeine</x:v>
      </x:c>
      <x:c r="D163" s="36" t="n">
        <x:v>2</x:v>
      </x:c>
      <x:c r="E163" s="36" t="n">
        <x:v>2</x:v>
      </x:c>
      <x:c r="F163" s="36" t="n">
        <x:v>3</x:v>
      </x:c>
      <x:c r="G163" s="36" t="n">
        <x:v>1</x:v>
      </x:c>
      <x:c r="H163" s="34" t="str">
        <x:v>firstUndeployThreadEvidenceFinal</x:v>
      </x:c>
      <x:c r="I163" s="36" t="n">
        <x:v>1</x:v>
      </x:c>
      <x:c r="J163" s="34" t="str">
        <x:v>final</x:v>
      </x:c>
      <x:c r="K163" s="36" t="n">
        <x:v>30</x:v>
      </x:c>
      <x:c r="L163" s="51" t="n">
        <x:v>3</x:v>
      </x:c>
      <x:c r="M163" s="51" t="n">
        <x:v>3</x:v>
      </x:c>
      <x:c r="N163" s="36" t="n">
        <x:v>6</x:v>
      </x:c>
      <x:c r="O163" s="44" t="str">
        <x:v>ForkJoinPool.commonPool-worker-1#48 | ForkJoinPool.commonPool-worker-2#49 | ForkJoinPool.commonPool-worker-3#50 | http-nio-8080-exec-11#83 | http-nio-8080-exec-12#84 | http-nio-8080-exec-13#85</x:v>
      </x:c>
      <x:c r="P163" s="36" t="n">
        <x:v>6</x:v>
      </x:c>
      <x:c r="Q163" s="44" t="str">
        <x:v>ForkJoinPool.commonPool-worker-1#48 | ForkJoinPool.commonPool-worker-2#49 | ForkJoinPool.commonPool-worker-3#50 | http-nio-8080-exec-11#83 | http-nio-8080-exec-12#84 | http-nio-8080-exec-13#85</x:v>
      </x:c>
      <x:c r="R163" s="36" t="n">
        <x:v>3</x:v>
      </x:c>
      <x:c r="S163" s="44" t="str">
        <x:v>ForkJoinPool.commonPool-worker-1#48 | ForkJoinPool.commonPool-worker-2#49 | ForkJoinPool.commonPool-worker-3#50</x:v>
      </x:c>
      <x:c r="T163" s="36" t="n">
        <x:v>3</x:v>
      </x:c>
      <x:c r="U163" s="44" t="str">
        <x:v>ForkJoinPool.commonPool-worker-1#48 | ForkJoinPool.commonPool-worker-2#49 | ForkJoinPool.commonPool-worker-3#50</x:v>
      </x:c>
      <x:c r="V163" s="36" t="n">
        <x:v>0</x:v>
      </x:c>
      <x:c r="W163" s="44"/>
      <x:c r="X163" s="34" t="str">
        <x:v>unattributed-thread-signal</x:v>
      </x:c>
      <x:c r="Y163" s="44" t="str">
        <x:v>automated signatures are JCS-specific; all other candidate application threads remain unattributed and ownership requires the archived full dump</x:v>
      </x:c>
    </x:row>
    <x:row r="164">
      <x:c r="A164" s="34" t="str">
        <x:v>article1-unified-v4-2-fb3f101b-20260903-000401-default-f02-p3-caffeine</x:v>
      </x:c>
      <x:c r="B164" s="34" t="str">
        <x:v>default</x:v>
      </x:c>
      <x:c r="C164" s="34" t="str">
        <x:v>caffeine</x:v>
      </x:c>
      <x:c r="D164" s="36" t="n">
        <x:v>2</x:v>
      </x:c>
      <x:c r="E164" s="36" t="n">
        <x:v>2</x:v>
      </x:c>
      <x:c r="F164" s="36" t="n">
        <x:v>3</x:v>
      </x:c>
      <x:c r="G164" s="36" t="n">
        <x:v>1</x:v>
      </x:c>
      <x:c r="H164" s="34" t="str">
        <x:v>finalUndeployThreadEvidenceEarly</x:v>
      </x:c>
      <x:c r="I164" s="36" t="n">
        <x:v>2</x:v>
      </x:c>
      <x:c r="J164" s="34" t="str">
        <x:v>early</x:v>
      </x:c>
      <x:c r="K164" s="36" t="n">
        <x:v>30</x:v>
      </x:c>
      <x:c r="L164" s="51" t="n">
        <x:v>3</x:v>
      </x:c>
      <x:c r="M164" s="51" t="n">
        <x:v>3</x:v>
      </x:c>
      <x:c r="N164" s="36" t="n">
        <x:v>11</x:v>
      </x:c>
      <x:c r="O164" s="44" t="str">
        <x:v>ForkJoinPool.commonPool-worker-1#48 | ForkJoinPool.commonPool-worker-2#49 | ForkJoinPool.commonPool-worker-3#50 | http-nio-8080-exec-11#83 | http-nio-8080-exec-12#84 | http-nio-8080-exec-13#85 | http-nio-8080-exec-14#88 | http-nio-8080-exec-15#89 | http-nio-8080-exec-17#123 | http-nio-8080-exec-18#124 | http-nio-8080-exec-19#125</x:v>
      </x:c>
      <x:c r="P164" s="36" t="n">
        <x:v>11</x:v>
      </x:c>
      <x:c r="Q164" s="44" t="str">
        <x:v>ForkJoinPool.commonPool-worker-1#48 | ForkJoinPool.commonPool-worker-2#49 | ForkJoinPool.commonPool-worker-3#50 | http-nio-8080-exec-11#83 | http-nio-8080-exec-12#84 | http-nio-8080-exec-13#85 | http-nio-8080-exec-14#88 | http-nio-8080-exec-15#89 | http-nio-8080-exec-17#123 | http-nio-8080-exec-18#124 | http-nio-8080-exec-19#125</x:v>
      </x:c>
      <x:c r="R164" s="36" t="n">
        <x:v>3</x:v>
      </x:c>
      <x:c r="S164" s="44" t="str">
        <x:v>ForkJoinPool.commonPool-worker-1#48 | ForkJoinPool.commonPool-worker-2#49 | ForkJoinPool.commonPool-worker-3#50</x:v>
      </x:c>
      <x:c r="T164" s="36" t="n">
        <x:v>3</x:v>
      </x:c>
      <x:c r="U164" s="44" t="str">
        <x:v>ForkJoinPool.commonPool-worker-1#48 | ForkJoinPool.commonPool-worker-2#49 | ForkJoinPool.commonPool-worker-3#50</x:v>
      </x:c>
      <x:c r="V164" s="36" t="n">
        <x:v>0</x:v>
      </x:c>
      <x:c r="W164" s="44"/>
      <x:c r="X164" s="34" t="str">
        <x:v>unattributed-thread-signal</x:v>
      </x:c>
      <x:c r="Y164" s="44" t="str">
        <x:v>automated signatures are JCS-specific; all other candidate application threads remain unattributed and ownership requires the archived full dump</x:v>
      </x:c>
    </x:row>
    <x:row r="165">
      <x:c r="A165" s="34" t="str">
        <x:v>article1-unified-v4-2-fb3f101b-20260903-000401-default-f02-p3-caffeine</x:v>
      </x:c>
      <x:c r="B165" s="34" t="str">
        <x:v>default</x:v>
      </x:c>
      <x:c r="C165" s="34" t="str">
        <x:v>caffeine</x:v>
      </x:c>
      <x:c r="D165" s="36" t="n">
        <x:v>2</x:v>
      </x:c>
      <x:c r="E165" s="36" t="n">
        <x:v>2</x:v>
      </x:c>
      <x:c r="F165" s="36" t="n">
        <x:v>3</x:v>
      </x:c>
      <x:c r="G165" s="36" t="n">
        <x:v>1</x:v>
      </x:c>
      <x:c r="H165" s="34" t="str">
        <x:v>finalUndeployThreadEvidenceFinal</x:v>
      </x:c>
      <x:c r="I165" s="36" t="n">
        <x:v>2</x:v>
      </x:c>
      <x:c r="J165" s="34" t="str">
        <x:v>final</x:v>
      </x:c>
      <x:c r="K165" s="36" t="n">
        <x:v>30</x:v>
      </x:c>
      <x:c r="L165" s="51" t="n">
        <x:v>3</x:v>
      </x:c>
      <x:c r="M165" s="51" t="n">
        <x:v>3</x:v>
      </x:c>
      <x:c r="N165" s="36" t="n">
        <x:v>11</x:v>
      </x:c>
      <x:c r="O165" s="44" t="str">
        <x:v>ForkJoinPool.commonPool-worker-1#48 | ForkJoinPool.commonPool-worker-2#49 | ForkJoinPool.commonPool-worker-3#50 | http-nio-8080-exec-11#83 | http-nio-8080-exec-12#84 | http-nio-8080-exec-13#85 | http-nio-8080-exec-14#88 | http-nio-8080-exec-17#123 | http-nio-8080-exec-18#124 | http-nio-8080-exec-19#125 | http-nio-8080-exec-20#126</x:v>
      </x:c>
      <x:c r="P165" s="36" t="n">
        <x:v>11</x:v>
      </x:c>
      <x:c r="Q165" s="44" t="str">
        <x:v>ForkJoinPool.commonPool-worker-1#48 | ForkJoinPool.commonPool-worker-2#49 | ForkJoinPool.commonPool-worker-3#50 | http-nio-8080-exec-11#83 | http-nio-8080-exec-12#84 | http-nio-8080-exec-13#85 | http-nio-8080-exec-14#88 | http-nio-8080-exec-17#123 | http-nio-8080-exec-18#124 | http-nio-8080-exec-19#125 | http-nio-8080-exec-20#126</x:v>
      </x:c>
      <x:c r="R165" s="36" t="n">
        <x:v>3</x:v>
      </x:c>
      <x:c r="S165" s="44" t="str">
        <x:v>ForkJoinPool.commonPool-worker-1#48 | ForkJoinPool.commonPool-worker-2#49 | ForkJoinPool.commonPool-worker-3#50</x:v>
      </x:c>
      <x:c r="T165" s="36" t="n">
        <x:v>3</x:v>
      </x:c>
      <x:c r="U165" s="44" t="str">
        <x:v>ForkJoinPool.commonPool-worker-1#48 | ForkJoinPool.commonPool-worker-2#49 | ForkJoinPool.commonPool-worker-3#50</x:v>
      </x:c>
      <x:c r="V165" s="36" t="n">
        <x:v>0</x:v>
      </x:c>
      <x:c r="W165" s="44"/>
      <x:c r="X165" s="34" t="str">
        <x:v>unattributed-thread-signal</x:v>
      </x:c>
      <x:c r="Y165" s="44" t="str">
        <x:v>automated signatures are JCS-specific; all other candidate application threads remain unattributed and ownership requires the archived full dump</x:v>
      </x:c>
    </x:row>
    <x:row r="166">
      <x:c r="A166" s="34" t="str">
        <x:v>article1-unified-v4-2-fb3f101b-20260903-000401-default-f02-p3-caffeine</x:v>
      </x:c>
      <x:c r="B166" s="34" t="str">
        <x:v>default</x:v>
      </x:c>
      <x:c r="C166" s="34" t="str">
        <x:v>caffeine</x:v>
      </x:c>
      <x:c r="D166" s="36" t="n">
        <x:v>2</x:v>
      </x:c>
      <x:c r="E166" s="36" t="n">
        <x:v>2</x:v>
      </x:c>
      <x:c r="F166" s="36" t="n">
        <x:v>3</x:v>
      </x:c>
      <x:c r="G166" s="36" t="n">
        <x:v>2</x:v>
      </x:c>
      <x:c r="H166" s="34" t="str">
        <x:v>firstUndeployThreadEvidenceEarly</x:v>
      </x:c>
      <x:c r="I166" s="36" t="n">
        <x:v>1</x:v>
      </x:c>
      <x:c r="J166" s="34" t="str">
        <x:v>early</x:v>
      </x:c>
      <x:c r="K166" s="36" t="n">
        <x:v>30</x:v>
      </x:c>
      <x:c r="L166" s="51" t="n">
        <x:v>3</x:v>
      </x:c>
      <x:c r="M166" s="51" t="n">
        <x:v>0</x:v>
      </x:c>
      <x:c r="N166" s="36" t="n">
        <x:v>11</x:v>
      </x:c>
      <x:c r="O166" s="44" t="str">
        <x:v>ForkJoinPool.commonPool-worker-1#48 | ForkJoinPool.commonPool-worker-2#49 | ForkJoinPool.commonPool-worker-3#50 | http-nio-8080-exec-12#84 | http-nio-8080-exec-18#124 | http-nio-8080-exec-19#125 | http-nio-8080-exec-20#126 | http-nio-8080-exec-21#129 | http-nio-8080-exec-22#130 | http-nio-8080-exec-24#164 | http-nio-8080-exec-25#165</x:v>
      </x:c>
      <x:c r="P166" s="36" t="n">
        <x:v>4</x:v>
      </x:c>
      <x:c r="Q166" s="44" t="str">
        <x:v>http-nio-8080-exec-21#129 | http-nio-8080-exec-22#130 | http-nio-8080-exec-24#164 | http-nio-8080-exec-25#165</x:v>
      </x:c>
      <x:c r="R166" s="36" t="n">
        <x:v>3</x:v>
      </x:c>
      <x:c r="S166" s="44" t="str">
        <x:v>ForkJoinPool.commonPool-worker-1#48 | ForkJoinPool.commonPool-worker-2#49 | ForkJoinPool.commonPool-worker-3#50</x:v>
      </x:c>
      <x:c r="T166" s="36" t="n">
        <x:v>0</x:v>
      </x:c>
      <x:c r="U166" s="44"/>
      <x:c r="V166" s="36" t="n">
        <x:v>0</x:v>
      </x:c>
      <x:c r="W166" s="44"/>
      <x:c r="X166" s="34" t="str">
        <x:v>unattributed-thread-signal</x:v>
      </x:c>
      <x:c r="Y166" s="44" t="str">
        <x:v>automated signatures are JCS-specific; all other candidate application threads remain unattributed and ownership requires the archived full dump</x:v>
      </x:c>
    </x:row>
    <x:row r="167">
      <x:c r="A167" s="34" t="str">
        <x:v>article1-unified-v4-2-fb3f101b-20260903-000401-default-f02-p3-caffeine</x:v>
      </x:c>
      <x:c r="B167" s="34" t="str">
        <x:v>default</x:v>
      </x:c>
      <x:c r="C167" s="34" t="str">
        <x:v>caffeine</x:v>
      </x:c>
      <x:c r="D167" s="36" t="n">
        <x:v>2</x:v>
      </x:c>
      <x:c r="E167" s="36" t="n">
        <x:v>2</x:v>
      </x:c>
      <x:c r="F167" s="36" t="n">
        <x:v>3</x:v>
      </x:c>
      <x:c r="G167" s="36" t="n">
        <x:v>2</x:v>
      </x:c>
      <x:c r="H167" s="34" t="str">
        <x:v>firstUndeployThreadEvidenceFinal</x:v>
      </x:c>
      <x:c r="I167" s="36" t="n">
        <x:v>1</x:v>
      </x:c>
      <x:c r="J167" s="34" t="str">
        <x:v>final</x:v>
      </x:c>
      <x:c r="K167" s="36" t="n">
        <x:v>30</x:v>
      </x:c>
      <x:c r="L167" s="51" t="n">
        <x:v>3</x:v>
      </x:c>
      <x:c r="M167" s="51" t="n">
        <x:v>0</x:v>
      </x:c>
      <x:c r="N167" s="36" t="n">
        <x:v>11</x:v>
      </x:c>
      <x:c r="O167" s="44" t="str">
        <x:v>ForkJoinPool.commonPool-worker-1#48 | ForkJoinPool.commonPool-worker-2#49 | ForkJoinPool.commonPool-worker-3#50 | http-nio-8080-exec-18#124 | http-nio-8080-exec-19#125 | http-nio-8080-exec-20#126 | http-nio-8080-exec-21#129 | http-nio-8080-exec-22#130 | http-nio-8080-exec-24#164 | http-nio-8080-exec-25#165 | http-nio-8080-exec-26#166</x:v>
      </x:c>
      <x:c r="P167" s="36" t="n">
        <x:v>5</x:v>
      </x:c>
      <x:c r="Q167" s="44" t="str">
        <x:v>http-nio-8080-exec-21#129 | http-nio-8080-exec-22#130 | http-nio-8080-exec-24#164 | http-nio-8080-exec-25#165 | http-nio-8080-exec-26#166</x:v>
      </x:c>
      <x:c r="R167" s="36" t="n">
        <x:v>3</x:v>
      </x:c>
      <x:c r="S167" s="44" t="str">
        <x:v>ForkJoinPool.commonPool-worker-1#48 | ForkJoinPool.commonPool-worker-2#49 | ForkJoinPool.commonPool-worker-3#50</x:v>
      </x:c>
      <x:c r="T167" s="36" t="n">
        <x:v>0</x:v>
      </x:c>
      <x:c r="U167" s="44"/>
      <x:c r="V167" s="36" t="n">
        <x:v>0</x:v>
      </x:c>
      <x:c r="W167" s="44"/>
      <x:c r="X167" s="34" t="str">
        <x:v>unattributed-thread-signal</x:v>
      </x:c>
      <x:c r="Y167" s="44" t="str">
        <x:v>automated signatures are JCS-specific; all other candidate application threads remain unattributed and ownership requires the archived full dump</x:v>
      </x:c>
    </x:row>
    <x:row r="168">
      <x:c r="A168" s="34" t="str">
        <x:v>article1-unified-v4-2-fb3f101b-20260903-000401-default-f02-p3-caffeine</x:v>
      </x:c>
      <x:c r="B168" s="34" t="str">
        <x:v>default</x:v>
      </x:c>
      <x:c r="C168" s="34" t="str">
        <x:v>caffeine</x:v>
      </x:c>
      <x:c r="D168" s="36" t="n">
        <x:v>2</x:v>
      </x:c>
      <x:c r="E168" s="36" t="n">
        <x:v>2</x:v>
      </x:c>
      <x:c r="F168" s="36" t="n">
        <x:v>3</x:v>
      </x:c>
      <x:c r="G168" s="36" t="n">
        <x:v>2</x:v>
      </x:c>
      <x:c r="H168" s="34" t="str">
        <x:v>finalUndeployThreadEvidenceEarly</x:v>
      </x:c>
      <x:c r="I168" s="36" t="n">
        <x:v>2</x:v>
      </x:c>
      <x:c r="J168" s="34" t="str">
        <x:v>early</x:v>
      </x:c>
      <x:c r="K168" s="36" t="n">
        <x:v>30</x:v>
      </x:c>
      <x:c r="L168" s="51" t="n">
        <x:v>3</x:v>
      </x:c>
      <x:c r="M168" s="51" t="n">
        <x:v>0</x:v>
      </x:c>
      <x:c r="N168" s="36" t="n">
        <x:v>13</x:v>
      </x:c>
      <x:c r="O168" s="44" t="str">
        <x:v>ForkJoinPool.commonPool-worker-1#48 | ForkJoinPool.commonPool-worker-2#49 | ForkJoinPool.commonPool-worker-3#50 | http-nio-8080-exec-18#124 | http-nio-8080-exec-21#129 | http-nio-8080-exec-24#164 | http-nio-8080-exec-25#165 | http-nio-8080-exec-26#166 | http-nio-8080-exec-28#170 | http-nio-8080-exec-29#171 | http-nio-8080-exec-30#204 | http-nio-8080-exec-31#205 | http-nio-8080-exec-32#206</x:v>
      </x:c>
      <x:c r="P168" s="36" t="n">
        <x:v>9</x:v>
      </x:c>
      <x:c r="Q168" s="44" t="str">
        <x:v>http-nio-8080-exec-21#129 | http-nio-8080-exec-24#164 | http-nio-8080-exec-25#165 | http-nio-8080-exec-26#166 | http-nio-8080-exec-28#170 | http-nio-8080-exec-29#171 | http-nio-8080-exec-30#204 | http-nio-8080-exec-31#205 | http-nio-8080-exec-32#206</x:v>
      </x:c>
      <x:c r="R168" s="36" t="n">
        <x:v>3</x:v>
      </x:c>
      <x:c r="S168" s="44" t="str">
        <x:v>ForkJoinPool.commonPool-worker-1#48 | ForkJoinPool.commonPool-worker-2#49 | ForkJoinPool.commonPool-worker-3#50</x:v>
      </x:c>
      <x:c r="T168" s="36" t="n">
        <x:v>0</x:v>
      </x:c>
      <x:c r="U168" s="44"/>
      <x:c r="V168" s="36" t="n">
        <x:v>0</x:v>
      </x:c>
      <x:c r="W168" s="44"/>
      <x:c r="X168" s="34" t="str">
        <x:v>unattributed-thread-signal</x:v>
      </x:c>
      <x:c r="Y168" s="44" t="str">
        <x:v>automated signatures are JCS-specific; all other candidate application threads remain unattributed and ownership requires the archived full dump</x:v>
      </x:c>
    </x:row>
    <x:row r="169">
      <x:c r="A169" s="34" t="str">
        <x:v>article1-unified-v4-2-fb3f101b-20260903-000401-default-f02-p3-caffeine</x:v>
      </x:c>
      <x:c r="B169" s="34" t="str">
        <x:v>default</x:v>
      </x:c>
      <x:c r="C169" s="34" t="str">
        <x:v>caffeine</x:v>
      </x:c>
      <x:c r="D169" s="36" t="n">
        <x:v>2</x:v>
      </x:c>
      <x:c r="E169" s="36" t="n">
        <x:v>2</x:v>
      </x:c>
      <x:c r="F169" s="36" t="n">
        <x:v>3</x:v>
      </x:c>
      <x:c r="G169" s="36" t="n">
        <x:v>2</x:v>
      </x:c>
      <x:c r="H169" s="34" t="str">
        <x:v>finalUndeployThreadEvidenceFinal</x:v>
      </x:c>
      <x:c r="I169" s="36" t="n">
        <x:v>2</x:v>
      </x:c>
      <x:c r="J169" s="34" t="str">
        <x:v>final</x:v>
      </x:c>
      <x:c r="K169" s="36" t="n">
        <x:v>30</x:v>
      </x:c>
      <x:c r="L169" s="51" t="n">
        <x:v>3</x:v>
      </x:c>
      <x:c r="M169" s="51" t="n">
        <x:v>0</x:v>
      </x:c>
      <x:c r="N169" s="36" t="n">
        <x:v>13</x:v>
      </x:c>
      <x:c r="O169" s="44" t="str">
        <x:v>ForkJoinPool.commonPool-worker-1#48 | ForkJoinPool.commonPool-worker-2#49 | ForkJoinPool.commonPool-worker-3#50 | http-nio-8080-exec-18#124 | http-nio-8080-exec-21#129 | http-nio-8080-exec-24#164 | http-nio-8080-exec-25#165 | http-nio-8080-exec-26#166 | http-nio-8080-exec-28#170 | http-nio-8080-exec-29#171 | http-nio-8080-exec-31#205 | http-nio-8080-exec-32#206 | http-nio-8080-exec-33#207</x:v>
      </x:c>
      <x:c r="P169" s="36" t="n">
        <x:v>9</x:v>
      </x:c>
      <x:c r="Q169" s="44" t="str">
        <x:v>http-nio-8080-exec-21#129 | http-nio-8080-exec-24#164 | http-nio-8080-exec-25#165 | http-nio-8080-exec-26#166 | http-nio-8080-exec-28#170 | http-nio-8080-exec-29#171 | http-nio-8080-exec-31#205 | http-nio-8080-exec-32#206 | http-nio-8080-exec-33#207</x:v>
      </x:c>
      <x:c r="R169" s="36" t="n">
        <x:v>3</x:v>
      </x:c>
      <x:c r="S169" s="44" t="str">
        <x:v>ForkJoinPool.commonPool-worker-1#48 | ForkJoinPool.commonPool-worker-2#49 | ForkJoinPool.commonPool-worker-3#50</x:v>
      </x:c>
      <x:c r="T169" s="36" t="n">
        <x:v>0</x:v>
      </x:c>
      <x:c r="U169" s="44"/>
      <x:c r="V169" s="36" t="n">
        <x:v>0</x:v>
      </x:c>
      <x:c r="W169" s="44"/>
      <x:c r="X169" s="34" t="str">
        <x:v>unattributed-thread-signal</x:v>
      </x:c>
      <x:c r="Y169" s="44" t="str">
        <x:v>automated signatures are JCS-specific; all other candidate application threads remain unattributed and ownership requires the archived full dump</x:v>
      </x:c>
    </x:row>
    <x:row r="170">
      <x:c r="A170" s="34" t="str">
        <x:v>article1-unified-v4-2-fb3f101b-20260903-000401-default-f02-p3-caffeine</x:v>
      </x:c>
      <x:c r="B170" s="34" t="str">
        <x:v>default</x:v>
      </x:c>
      <x:c r="C170" s="34" t="str">
        <x:v>caffeine</x:v>
      </x:c>
      <x:c r="D170" s="36" t="n">
        <x:v>2</x:v>
      </x:c>
      <x:c r="E170" s="36" t="n">
        <x:v>2</x:v>
      </x:c>
      <x:c r="F170" s="36" t="n">
        <x:v>3</x:v>
      </x:c>
      <x:c r="G170" s="36" t="n">
        <x:v>3</x:v>
      </x:c>
      <x:c r="H170" s="34" t="str">
        <x:v>firstUndeployThreadEvidenceEarly</x:v>
      </x:c>
      <x:c r="I170" s="36" t="n">
        <x:v>1</x:v>
      </x:c>
      <x:c r="J170" s="34" t="str">
        <x:v>early</x:v>
      </x:c>
      <x:c r="K170" s="36" t="n">
        <x:v>30</x:v>
      </x:c>
      <x:c r="L170" s="51" t="n">
        <x:v>3</x:v>
      </x:c>
      <x:c r="M170" s="51" t="n">
        <x:v>0</x:v>
      </x:c>
      <x:c r="N170" s="36" t="n">
        <x:v>13</x:v>
      </x:c>
      <x:c r="O170" s="44" t="str">
        <x:v>ForkJoinPool.commonPool-worker-1#48 | ForkJoinPool.commonPool-worker-2#49 | ForkJoinPool.commonPool-worker-3#50 | http-nio-8080-exec-18#124 | http-nio-8080-exec-21#129 | http-nio-8080-exec-26#166 | http-nio-8080-exec-31#205 | http-nio-8080-exec-32#206 | http-nio-8080-exec-33#207 | http-nio-8080-exec-34#210 | http-nio-8080-exec-35#211 | http-nio-8080-exec-37#245 | http-nio-8080-exec-38#246</x:v>
      </x:c>
      <x:c r="P170" s="36" t="n">
        <x:v>4</x:v>
      </x:c>
      <x:c r="Q170" s="44" t="str">
        <x:v>http-nio-8080-exec-34#210 | http-nio-8080-exec-35#211 | http-nio-8080-exec-37#245 | http-nio-8080-exec-38#246</x:v>
      </x:c>
      <x:c r="R170" s="36" t="n">
        <x:v>3</x:v>
      </x:c>
      <x:c r="S170" s="44" t="str">
        <x:v>ForkJoinPool.commonPool-worker-1#48 | ForkJoinPool.commonPool-worker-2#49 | ForkJoinPool.commonPool-worker-3#50</x:v>
      </x:c>
      <x:c r="T170" s="36" t="n">
        <x:v>0</x:v>
      </x:c>
      <x:c r="U170" s="44"/>
      <x:c r="V170" s="36" t="n">
        <x:v>0</x:v>
      </x:c>
      <x:c r="W170" s="44"/>
      <x:c r="X170" s="34" t="str">
        <x:v>unattributed-thread-signal</x:v>
      </x:c>
      <x:c r="Y170" s="44" t="str">
        <x:v>automated signatures are JCS-specific; all other candidate application threads remain unattributed and ownership requires the archived full dump</x:v>
      </x:c>
    </x:row>
    <x:row r="171">
      <x:c r="A171" s="34" t="str">
        <x:v>article1-unified-v4-2-fb3f101b-20260903-000401-default-f02-p3-caffeine</x:v>
      </x:c>
      <x:c r="B171" s="34" t="str">
        <x:v>default</x:v>
      </x:c>
      <x:c r="C171" s="34" t="str">
        <x:v>caffeine</x:v>
      </x:c>
      <x:c r="D171" s="36" t="n">
        <x:v>2</x:v>
      </x:c>
      <x:c r="E171" s="36" t="n">
        <x:v>2</x:v>
      </x:c>
      <x:c r="F171" s="36" t="n">
        <x:v>3</x:v>
      </x:c>
      <x:c r="G171" s="36" t="n">
        <x:v>3</x:v>
      </x:c>
      <x:c r="H171" s="34" t="str">
        <x:v>firstUndeployThreadEvidenceFinal</x:v>
      </x:c>
      <x:c r="I171" s="36" t="n">
        <x:v>1</x:v>
      </x:c>
      <x:c r="J171" s="34" t="str">
        <x:v>final</x:v>
      </x:c>
      <x:c r="K171" s="36" t="n">
        <x:v>30</x:v>
      </x:c>
      <x:c r="L171" s="51" t="n">
        <x:v>3</x:v>
      </x:c>
      <x:c r="M171" s="51" t="n">
        <x:v>0</x:v>
      </x:c>
      <x:c r="N171" s="36" t="n">
        <x:v>13</x:v>
      </x:c>
      <x:c r="O171" s="44" t="str">
        <x:v>ForkJoinPool.commonPool-worker-1#48 | ForkJoinPool.commonPool-worker-2#49 | ForkJoinPool.commonPool-worker-3#50 | http-nio-8080-exec-18#124 | http-nio-8080-exec-26#166 | http-nio-8080-exec-31#205 | http-nio-8080-exec-32#206 | http-nio-8080-exec-33#207 | http-nio-8080-exec-34#210 | http-nio-8080-exec-35#211 | http-nio-8080-exec-37#245 | http-nio-8080-exec-38#246 | http-nio-8080-exec-39#247</x:v>
      </x:c>
      <x:c r="P171" s="36" t="n">
        <x:v>5</x:v>
      </x:c>
      <x:c r="Q171" s="44" t="str">
        <x:v>http-nio-8080-exec-34#210 | http-nio-8080-exec-35#211 | http-nio-8080-exec-37#245 | http-nio-8080-exec-38#246 | http-nio-8080-exec-39#247</x:v>
      </x:c>
      <x:c r="R171" s="36" t="n">
        <x:v>3</x:v>
      </x:c>
      <x:c r="S171" s="44" t="str">
        <x:v>ForkJoinPool.commonPool-worker-1#48 | ForkJoinPool.commonPool-worker-2#49 | ForkJoinPool.commonPool-worker-3#50</x:v>
      </x:c>
      <x:c r="T171" s="36" t="n">
        <x:v>0</x:v>
      </x:c>
      <x:c r="U171" s="44"/>
      <x:c r="V171" s="36" t="n">
        <x:v>0</x:v>
      </x:c>
      <x:c r="W171" s="44"/>
      <x:c r="X171" s="34" t="str">
        <x:v>unattributed-thread-signal</x:v>
      </x:c>
      <x:c r="Y171" s="44" t="str">
        <x:v>automated signatures are JCS-specific; all other candidate application threads remain unattributed and ownership requires the archived full dump</x:v>
      </x:c>
    </x:row>
    <x:row r="172">
      <x:c r="A172" s="34" t="str">
        <x:v>article1-unified-v4-2-fb3f101b-20260903-000401-default-f02-p3-caffeine</x:v>
      </x:c>
      <x:c r="B172" s="34" t="str">
        <x:v>default</x:v>
      </x:c>
      <x:c r="C172" s="34" t="str">
        <x:v>caffeine</x:v>
      </x:c>
      <x:c r="D172" s="36" t="n">
        <x:v>2</x:v>
      </x:c>
      <x:c r="E172" s="36" t="n">
        <x:v>2</x:v>
      </x:c>
      <x:c r="F172" s="36" t="n">
        <x:v>3</x:v>
      </x:c>
      <x:c r="G172" s="36" t="n">
        <x:v>3</x:v>
      </x:c>
      <x:c r="H172" s="34" t="str">
        <x:v>finalUndeployThreadEvidenceEarly</x:v>
      </x:c>
      <x:c r="I172" s="36" t="n">
        <x:v>2</x:v>
      </x:c>
      <x:c r="J172" s="34" t="str">
        <x:v>early</x:v>
      </x:c>
      <x:c r="K172" s="36" t="n">
        <x:v>30</x:v>
      </x:c>
      <x:c r="L172" s="51" t="n">
        <x:v>3</x:v>
      </x:c>
      <x:c r="M172" s="51" t="n">
        <x:v>0</x:v>
      </x:c>
      <x:c r="N172" s="36" t="n">
        <x:v>13</x:v>
      </x:c>
      <x:c r="O172" s="44" t="str">
        <x:v>ForkJoinPool.commonPool-worker-1#48 | ForkJoinPool.commonPool-worker-2#49 | ForkJoinPool.commonPool-worker-3#50 | http-nio-8080-exec-18#124 | http-nio-8080-exec-34#210 | http-nio-8080-exec-37#245 | http-nio-8080-exec-38#246 | http-nio-8080-exec-39#247 | http-nio-8080-exec-41#251 | http-nio-8080-exec-42#252 | http-nio-8080-exec-43#285 | http-nio-8080-exec-44#286 | http-nio-8080-exec-45#287</x:v>
      </x:c>
      <x:c r="P172" s="36" t="n">
        <x:v>9</x:v>
      </x:c>
      <x:c r="Q172" s="44" t="str">
        <x:v>http-nio-8080-exec-34#210 | http-nio-8080-exec-37#245 | http-nio-8080-exec-38#246 | http-nio-8080-exec-39#247 | http-nio-8080-exec-41#251 | http-nio-8080-exec-42#252 | http-nio-8080-exec-43#285 | http-nio-8080-exec-44#286 | http-nio-8080-exec-45#287</x:v>
      </x:c>
      <x:c r="R172" s="36" t="n">
        <x:v>3</x:v>
      </x:c>
      <x:c r="S172" s="44" t="str">
        <x:v>ForkJoinPool.commonPool-worker-1#48 | ForkJoinPool.commonPool-worker-2#49 | ForkJoinPool.commonPool-worker-3#50</x:v>
      </x:c>
      <x:c r="T172" s="36" t="n">
        <x:v>0</x:v>
      </x:c>
      <x:c r="U172" s="44"/>
      <x:c r="V172" s="36" t="n">
        <x:v>0</x:v>
      </x:c>
      <x:c r="W172" s="44"/>
      <x:c r="X172" s="34" t="str">
        <x:v>unattributed-thread-signal</x:v>
      </x:c>
      <x:c r="Y172" s="44" t="str">
        <x:v>automated signatures are JCS-specific; all other candidate application threads remain unattributed and ownership requires the archived full dump</x:v>
      </x:c>
    </x:row>
    <x:row r="173">
      <x:c r="A173" s="34" t="str">
        <x:v>article1-unified-v4-2-fb3f101b-20260903-000401-default-f02-p3-caffeine</x:v>
      </x:c>
      <x:c r="B173" s="34" t="str">
        <x:v>default</x:v>
      </x:c>
      <x:c r="C173" s="34" t="str">
        <x:v>caffeine</x:v>
      </x:c>
      <x:c r="D173" s="36" t="n">
        <x:v>2</x:v>
      </x:c>
      <x:c r="E173" s="36" t="n">
        <x:v>2</x:v>
      </x:c>
      <x:c r="F173" s="36" t="n">
        <x:v>3</x:v>
      </x:c>
      <x:c r="G173" s="36" t="n">
        <x:v>3</x:v>
      </x:c>
      <x:c r="H173" s="34" t="str">
        <x:v>finalUndeployThreadEvidenceFinal</x:v>
      </x:c>
      <x:c r="I173" s="36" t="n">
        <x:v>2</x:v>
      </x:c>
      <x:c r="J173" s="34" t="str">
        <x:v>final</x:v>
      </x:c>
      <x:c r="K173" s="36" t="n">
        <x:v>30</x:v>
      </x:c>
      <x:c r="L173" s="51" t="n">
        <x:v>3</x:v>
      </x:c>
      <x:c r="M173" s="51" t="n">
        <x:v>0</x:v>
      </x:c>
      <x:c r="N173" s="36" t="n">
        <x:v>13</x:v>
      </x:c>
      <x:c r="O173" s="44" t="str">
        <x:v>ForkJoinPool.commonPool-worker-1#48 | ForkJoinPool.commonPool-worker-2#49 | ForkJoinPool.commonPool-worker-3#50 | http-nio-8080-exec-18#124 | http-nio-8080-exec-37#245 | http-nio-8080-exec-38#246 | http-nio-8080-exec-39#247 | http-nio-8080-exec-41#251 | http-nio-8080-exec-42#252 | http-nio-8080-exec-43#285 | http-nio-8080-exec-44#286 | http-nio-8080-exec-45#287 | http-nio-8080-exec-46#288</x:v>
      </x:c>
      <x:c r="P173" s="36" t="n">
        <x:v>9</x:v>
      </x:c>
      <x:c r="Q173" s="44" t="str">
        <x:v>http-nio-8080-exec-37#245 | http-nio-8080-exec-38#246 | http-nio-8080-exec-39#247 | http-nio-8080-exec-41#251 | http-nio-8080-exec-42#252 | http-nio-8080-exec-43#285 | http-nio-8080-exec-44#286 | http-nio-8080-exec-45#287 | http-nio-8080-exec-46#288</x:v>
      </x:c>
      <x:c r="R173" s="36" t="n">
        <x:v>3</x:v>
      </x:c>
      <x:c r="S173" s="44" t="str">
        <x:v>ForkJoinPool.commonPool-worker-1#48 | ForkJoinPool.commonPool-worker-2#49 | ForkJoinPool.commonPool-worker-3#50</x:v>
      </x:c>
      <x:c r="T173" s="36" t="n">
        <x:v>0</x:v>
      </x:c>
      <x:c r="U173" s="44"/>
      <x:c r="V173" s="36" t="n">
        <x:v>0</x:v>
      </x:c>
      <x:c r="W173" s="44"/>
      <x:c r="X173" s="34" t="str">
        <x:v>unattributed-thread-signal</x:v>
      </x:c>
      <x:c r="Y173" s="44" t="str">
        <x:v>automated signatures are JCS-specific; all other candidate application threads remain unattributed and ownership requires the archived full dump</x:v>
      </x:c>
    </x:row>
    <x:row r="174">
      <x:c r="A174" s="34" t="str">
        <x:v>article1-unified-v4-2-fb3f101b-20260903-000401-default-f02-p3-caffeine</x:v>
      </x:c>
      <x:c r="B174" s="34" t="str">
        <x:v>default</x:v>
      </x:c>
      <x:c r="C174" s="34" t="str">
        <x:v>caffeine</x:v>
      </x:c>
      <x:c r="D174" s="36" t="n">
        <x:v>2</x:v>
      </x:c>
      <x:c r="E174" s="36" t="n">
        <x:v>2</x:v>
      </x:c>
      <x:c r="F174" s="36" t="n">
        <x:v>3</x:v>
      </x:c>
      <x:c r="G174" s="36" t="n">
        <x:v>4</x:v>
      </x:c>
      <x:c r="H174" s="34" t="str">
        <x:v>firstUndeployThreadEvidenceEarly</x:v>
      </x:c>
      <x:c r="I174" s="36" t="n">
        <x:v>1</x:v>
      </x:c>
      <x:c r="J174" s="34" t="str">
        <x:v>early</x:v>
      </x:c>
      <x:c r="K174" s="36" t="n">
        <x:v>30</x:v>
      </x:c>
      <x:c r="L174" s="51" t="n">
        <x:v>3</x:v>
      </x:c>
      <x:c r="M174" s="51" t="n">
        <x:v>0</x:v>
      </x:c>
      <x:c r="N174" s="36" t="n">
        <x:v>13</x:v>
      </x:c>
      <x:c r="O174" s="44" t="str">
        <x:v>ForkJoinPool.commonPool-worker-1#48 | ForkJoinPool.commonPool-worker-2#49 | ForkJoinPool.commonPool-worker-3#50 | http-nio-8080-exec-18#124 | http-nio-8080-exec-37#245 | http-nio-8080-exec-39#247 | http-nio-8080-exec-44#286 | http-nio-8080-exec-45#287 | http-nio-8080-exec-46#288 | http-nio-8080-exec-48#292 | http-nio-8080-exec-49#325 | http-nio-8080-exec-50#326 | http-nio-8080-exec-51#327</x:v>
      </x:c>
      <x:c r="P174" s="36" t="n">
        <x:v>4</x:v>
      </x:c>
      <x:c r="Q174" s="44" t="str">
        <x:v>http-nio-8080-exec-48#292 | http-nio-8080-exec-49#325 | http-nio-8080-exec-50#326 | http-nio-8080-exec-51#327</x:v>
      </x:c>
      <x:c r="R174" s="36" t="n">
        <x:v>3</x:v>
      </x:c>
      <x:c r="S174" s="44" t="str">
        <x:v>ForkJoinPool.commonPool-worker-1#48 | ForkJoinPool.commonPool-worker-2#49 | ForkJoinPool.commonPool-worker-3#50</x:v>
      </x:c>
      <x:c r="T174" s="36" t="n">
        <x:v>0</x:v>
      </x:c>
      <x:c r="U174" s="44"/>
      <x:c r="V174" s="36" t="n">
        <x:v>0</x:v>
      </x:c>
      <x:c r="W174" s="44"/>
      <x:c r="X174" s="34" t="str">
        <x:v>unattributed-thread-signal</x:v>
      </x:c>
      <x:c r="Y174" s="44" t="str">
        <x:v>automated signatures are JCS-specific; all other candidate application threads remain unattributed and ownership requires the archived full dump</x:v>
      </x:c>
    </x:row>
    <x:row r="175">
      <x:c r="A175" s="34" t="str">
        <x:v>article1-unified-v4-2-fb3f101b-20260903-000401-default-f02-p3-caffeine</x:v>
      </x:c>
      <x:c r="B175" s="34" t="str">
        <x:v>default</x:v>
      </x:c>
      <x:c r="C175" s="34" t="str">
        <x:v>caffeine</x:v>
      </x:c>
      <x:c r="D175" s="36" t="n">
        <x:v>2</x:v>
      </x:c>
      <x:c r="E175" s="36" t="n">
        <x:v>2</x:v>
      </x:c>
      <x:c r="F175" s="36" t="n">
        <x:v>3</x:v>
      </x:c>
      <x:c r="G175" s="36" t="n">
        <x:v>4</x:v>
      </x:c>
      <x:c r="H175" s="34" t="str">
        <x:v>firstUndeployThreadEvidenceFinal</x:v>
      </x:c>
      <x:c r="I175" s="36" t="n">
        <x:v>1</x:v>
      </x:c>
      <x:c r="J175" s="34" t="str">
        <x:v>final</x:v>
      </x:c>
      <x:c r="K175" s="36" t="n">
        <x:v>30</x:v>
      </x:c>
      <x:c r="L175" s="51" t="n">
        <x:v>3</x:v>
      </x:c>
      <x:c r="M175" s="51" t="n">
        <x:v>0</x:v>
      </x:c>
      <x:c r="N175" s="36" t="n">
        <x:v>13</x:v>
      </x:c>
      <x:c r="O175" s="44" t="str">
        <x:v>ForkJoinPool.commonPool-worker-1#48 | ForkJoinPool.commonPool-worker-2#49 | ForkJoinPool.commonPool-worker-3#50 | http-nio-8080-exec-18#124 | http-nio-8080-exec-37#245 | http-nio-8080-exec-39#247 | http-nio-8080-exec-44#286 | http-nio-8080-exec-45#287 | http-nio-8080-exec-46#288 | http-nio-8080-exec-48#292 | http-nio-8080-exec-50#326 | http-nio-8080-exec-51#327 | http-nio-8080-exec-52#328</x:v>
      </x:c>
      <x:c r="P175" s="36" t="n">
        <x:v>4</x:v>
      </x:c>
      <x:c r="Q175" s="44" t="str">
        <x:v>http-nio-8080-exec-48#292 | http-nio-8080-exec-50#326 | http-nio-8080-exec-51#327 | http-nio-8080-exec-52#328</x:v>
      </x:c>
      <x:c r="R175" s="36" t="n">
        <x:v>3</x:v>
      </x:c>
      <x:c r="S175" s="44" t="str">
        <x:v>ForkJoinPool.commonPool-worker-1#48 | ForkJoinPool.commonPool-worker-2#49 | ForkJoinPool.commonPool-worker-3#50</x:v>
      </x:c>
      <x:c r="T175" s="36" t="n">
        <x:v>0</x:v>
      </x:c>
      <x:c r="U175" s="44"/>
      <x:c r="V175" s="36" t="n">
        <x:v>0</x:v>
      </x:c>
      <x:c r="W175" s="44"/>
      <x:c r="X175" s="34" t="str">
        <x:v>unattributed-thread-signal</x:v>
      </x:c>
      <x:c r="Y175" s="44" t="str">
        <x:v>automated signatures are JCS-specific; all other candidate application threads remain unattributed and ownership requires the archived full dump</x:v>
      </x:c>
    </x:row>
    <x:row r="176">
      <x:c r="A176" s="34" t="str">
        <x:v>article1-unified-v4-2-fb3f101b-20260903-000401-default-f02-p3-caffeine</x:v>
      </x:c>
      <x:c r="B176" s="34" t="str">
        <x:v>default</x:v>
      </x:c>
      <x:c r="C176" s="34" t="str">
        <x:v>caffeine</x:v>
      </x:c>
      <x:c r="D176" s="36" t="n">
        <x:v>2</x:v>
      </x:c>
      <x:c r="E176" s="36" t="n">
        <x:v>2</x:v>
      </x:c>
      <x:c r="F176" s="36" t="n">
        <x:v>3</x:v>
      </x:c>
      <x:c r="G176" s="36" t="n">
        <x:v>4</x:v>
      </x:c>
      <x:c r="H176" s="34" t="str">
        <x:v>finalUndeployThreadEvidenceEarly</x:v>
      </x:c>
      <x:c r="I176" s="36" t="n">
        <x:v>2</x:v>
      </x:c>
      <x:c r="J176" s="34" t="str">
        <x:v>early</x:v>
      </x:c>
      <x:c r="K176" s="36" t="n">
        <x:v>30</x:v>
      </x:c>
      <x:c r="L176" s="51" t="n">
        <x:v>3</x:v>
      </x:c>
      <x:c r="M176" s="51" t="n">
        <x:v>0</x:v>
      </x:c>
      <x:c r="N176" s="36" t="n">
        <x:v>13</x:v>
      </x:c>
      <x:c r="O176" s="44" t="str">
        <x:v>ForkJoinPool.commonPool-worker-1#48 | ForkJoinPool.commonPool-worker-2#49 | ForkJoinPool.commonPool-worker-3#50 | http-nio-8080-exec-39#247 | http-nio-8080-exec-44#286 | http-nio-8080-exec-50#326 | http-nio-8080-exec-51#327 | http-nio-8080-exec-53#331 | http-nio-8080-exec-54#332 | http-nio-8080-exec-55#333 | http-nio-8080-exec-56#366 | http-nio-8080-exec-57#367 | http-nio-8080-exec-58#368</x:v>
      </x:c>
      <x:c r="P176" s="36" t="n">
        <x:v>8</x:v>
      </x:c>
      <x:c r="Q176" s="44" t="str">
        <x:v>http-nio-8080-exec-50#326 | http-nio-8080-exec-51#327 | http-nio-8080-exec-53#331 | http-nio-8080-exec-54#332 | http-nio-8080-exec-55#333 | http-nio-8080-exec-56#366 | http-nio-8080-exec-57#367 | http-nio-8080-exec-58#368</x:v>
      </x:c>
      <x:c r="R176" s="36" t="n">
        <x:v>3</x:v>
      </x:c>
      <x:c r="S176" s="44" t="str">
        <x:v>ForkJoinPool.commonPool-worker-1#48 | ForkJoinPool.commonPool-worker-2#49 | ForkJoinPool.commonPool-worker-3#50</x:v>
      </x:c>
      <x:c r="T176" s="36" t="n">
        <x:v>0</x:v>
      </x:c>
      <x:c r="U176" s="44"/>
      <x:c r="V176" s="36" t="n">
        <x:v>0</x:v>
      </x:c>
      <x:c r="W176" s="44"/>
      <x:c r="X176" s="34" t="str">
        <x:v>unattributed-thread-signal</x:v>
      </x:c>
      <x:c r="Y176" s="44" t="str">
        <x:v>automated signatures are JCS-specific; all other candidate application threads remain unattributed and ownership requires the archived full dump</x:v>
      </x:c>
    </x:row>
    <x:row r="177">
      <x:c r="A177" s="34" t="str">
        <x:v>article1-unified-v4-2-fb3f101b-20260903-000401-default-f02-p3-caffeine</x:v>
      </x:c>
      <x:c r="B177" s="34" t="str">
        <x:v>default</x:v>
      </x:c>
      <x:c r="C177" s="34" t="str">
        <x:v>caffeine</x:v>
      </x:c>
      <x:c r="D177" s="36" t="n">
        <x:v>2</x:v>
      </x:c>
      <x:c r="E177" s="36" t="n">
        <x:v>2</x:v>
      </x:c>
      <x:c r="F177" s="36" t="n">
        <x:v>3</x:v>
      </x:c>
      <x:c r="G177" s="36" t="n">
        <x:v>4</x:v>
      </x:c>
      <x:c r="H177" s="34" t="str">
        <x:v>finalUndeployThreadEvidenceFinal</x:v>
      </x:c>
      <x:c r="I177" s="36" t="n">
        <x:v>2</x:v>
      </x:c>
      <x:c r="J177" s="34" t="str">
        <x:v>final</x:v>
      </x:c>
      <x:c r="K177" s="36" t="n">
        <x:v>30</x:v>
      </x:c>
      <x:c r="L177" s="51" t="n">
        <x:v>3</x:v>
      </x:c>
      <x:c r="M177" s="51" t="n">
        <x:v>0</x:v>
      </x:c>
      <x:c r="N177" s="36" t="n">
        <x:v>13</x:v>
      </x:c>
      <x:c r="O177" s="44" t="str">
        <x:v>ForkJoinPool.commonPool-worker-1#48 | ForkJoinPool.commonPool-worker-2#49 | ForkJoinPool.commonPool-worker-3#50 | http-nio-8080-exec-39#247 | http-nio-8080-exec-44#286 | http-nio-8080-exec-50#326 | http-nio-8080-exec-53#331 | http-nio-8080-exec-54#332 | http-nio-8080-exec-55#333 | http-nio-8080-exec-56#366 | http-nio-8080-exec-57#367 | http-nio-8080-exec-58#368 | http-nio-8080-exec-59#369</x:v>
      </x:c>
      <x:c r="P177" s="36" t="n">
        <x:v>8</x:v>
      </x:c>
      <x:c r="Q177" s="44" t="str">
        <x:v>http-nio-8080-exec-50#326 | http-nio-8080-exec-53#331 | http-nio-8080-exec-54#332 | http-nio-8080-exec-55#333 | http-nio-8080-exec-56#366 | http-nio-8080-exec-57#367 | http-nio-8080-exec-58#368 | http-nio-8080-exec-59#369</x:v>
      </x:c>
      <x:c r="R177" s="36" t="n">
        <x:v>3</x:v>
      </x:c>
      <x:c r="S177" s="44" t="str">
        <x:v>ForkJoinPool.commonPool-worker-1#48 | ForkJoinPool.commonPool-worker-2#49 | ForkJoinPool.commonPool-worker-3#50</x:v>
      </x:c>
      <x:c r="T177" s="36" t="n">
        <x:v>0</x:v>
      </x:c>
      <x:c r="U177" s="44"/>
      <x:c r="V177" s="36" t="n">
        <x:v>0</x:v>
      </x:c>
      <x:c r="W177" s="44"/>
      <x:c r="X177" s="34" t="str">
        <x:v>unattributed-thread-signal</x:v>
      </x:c>
      <x:c r="Y177" s="44" t="str">
        <x:v>automated signatures are JCS-specific; all other candidate application threads remain unattributed and ownership requires the archived full dump</x:v>
      </x:c>
    </x:row>
    <x:row r="178">
      <x:c r="A178" s="34" t="str">
        <x:v>article1-unified-v4-2-fb3f101b-20260903-000401-default-f02-p3-caffeine</x:v>
      </x:c>
      <x:c r="B178" s="34" t="str">
        <x:v>default</x:v>
      </x:c>
      <x:c r="C178" s="34" t="str">
        <x:v>caffeine</x:v>
      </x:c>
      <x:c r="D178" s="36" t="n">
        <x:v>2</x:v>
      </x:c>
      <x:c r="E178" s="36" t="n">
        <x:v>2</x:v>
      </x:c>
      <x:c r="F178" s="36" t="n">
        <x:v>3</x:v>
      </x:c>
      <x:c r="G178" s="36" t="n">
        <x:v>5</x:v>
      </x:c>
      <x:c r="H178" s="34" t="str">
        <x:v>firstUndeployThreadEvidenceEarly</x:v>
      </x:c>
      <x:c r="I178" s="36" t="n">
        <x:v>1</x:v>
      </x:c>
      <x:c r="J178" s="34" t="str">
        <x:v>early</x:v>
      </x:c>
      <x:c r="K178" s="36" t="n">
        <x:v>30</x:v>
      </x:c>
      <x:c r="L178" s="51" t="n">
        <x:v>3</x:v>
      </x:c>
      <x:c r="M178" s="51" t="n">
        <x:v>0</x:v>
      </x:c>
      <x:c r="N178" s="36" t="n">
        <x:v>13</x:v>
      </x:c>
      <x:c r="O178" s="44" t="str">
        <x:v>ForkJoinPool.commonPool-worker-1#48 | ForkJoinPool.commonPool-worker-2#49 | ForkJoinPool.commonPool-worker-3#50 | http-nio-8080-exec-39#247 | http-nio-8080-exec-50#326 | http-nio-8080-exec-54#332 | http-nio-8080-exec-57#367 | http-nio-8080-exec-58#368 | http-nio-8080-exec-59#369 | http-nio-8080-exec-60#372 | http-nio-8080-exec-62#406 | http-nio-8080-exec-63#407 | http-nio-8080-exec-64#408</x:v>
      </x:c>
      <x:c r="P178" s="36" t="n">
        <x:v>4</x:v>
      </x:c>
      <x:c r="Q178" s="44" t="str">
        <x:v>http-nio-8080-exec-60#372 | http-nio-8080-exec-62#406 | http-nio-8080-exec-63#407 | http-nio-8080-exec-64#408</x:v>
      </x:c>
      <x:c r="R178" s="36" t="n">
        <x:v>3</x:v>
      </x:c>
      <x:c r="S178" s="44" t="str">
        <x:v>ForkJoinPool.commonPool-worker-1#48 | ForkJoinPool.commonPool-worker-2#49 | ForkJoinPool.commonPool-worker-3#50</x:v>
      </x:c>
      <x:c r="T178" s="36" t="n">
        <x:v>0</x:v>
      </x:c>
      <x:c r="U178" s="44"/>
      <x:c r="V178" s="36" t="n">
        <x:v>0</x:v>
      </x:c>
      <x:c r="W178" s="44"/>
      <x:c r="X178" s="34" t="str">
        <x:v>unattributed-thread-signal</x:v>
      </x:c>
      <x:c r="Y178" s="44" t="str">
        <x:v>automated signatures are JCS-specific; all other candidate application threads remain unattributed and ownership requires the archived full dump</x:v>
      </x:c>
    </x:row>
    <x:row r="179">
      <x:c r="A179" s="34" t="str">
        <x:v>article1-unified-v4-2-fb3f101b-20260903-000401-default-f02-p3-caffeine</x:v>
      </x:c>
      <x:c r="B179" s="34" t="str">
        <x:v>default</x:v>
      </x:c>
      <x:c r="C179" s="34" t="str">
        <x:v>caffeine</x:v>
      </x:c>
      <x:c r="D179" s="36" t="n">
        <x:v>2</x:v>
      </x:c>
      <x:c r="E179" s="36" t="n">
        <x:v>2</x:v>
      </x:c>
      <x:c r="F179" s="36" t="n">
        <x:v>3</x:v>
      </x:c>
      <x:c r="G179" s="36" t="n">
        <x:v>5</x:v>
      </x:c>
      <x:c r="H179" s="34" t="str">
        <x:v>firstUndeployThreadEvidenceFinal</x:v>
      </x:c>
      <x:c r="I179" s="36" t="n">
        <x:v>1</x:v>
      </x:c>
      <x:c r="J179" s="34" t="str">
        <x:v>final</x:v>
      </x:c>
      <x:c r="K179" s="36" t="n">
        <x:v>30</x:v>
      </x:c>
      <x:c r="L179" s="51" t="n">
        <x:v>3</x:v>
      </x:c>
      <x:c r="M179" s="51" t="n">
        <x:v>0</x:v>
      </x:c>
      <x:c r="N179" s="36" t="n">
        <x:v>13</x:v>
      </x:c>
      <x:c r="O179" s="44" t="str">
        <x:v>ForkJoinPool.commonPool-worker-1#48 | ForkJoinPool.commonPool-worker-2#49 | ForkJoinPool.commonPool-worker-3#50 | http-nio-8080-exec-39#247 | http-nio-8080-exec-50#326 | http-nio-8080-exec-54#332 | http-nio-8080-exec-57#367 | http-nio-8080-exec-59#369 | http-nio-8080-exec-60#372 | http-nio-8080-exec-62#406 | http-nio-8080-exec-63#407 | http-nio-8080-exec-64#408 | http-nio-8080-exec-65#409</x:v>
      </x:c>
      <x:c r="P179" s="36" t="n">
        <x:v>5</x:v>
      </x:c>
      <x:c r="Q179" s="44" t="str">
        <x:v>http-nio-8080-exec-60#372 | http-nio-8080-exec-62#406 | http-nio-8080-exec-63#407 | http-nio-8080-exec-64#408 | http-nio-8080-exec-65#409</x:v>
      </x:c>
      <x:c r="R179" s="36" t="n">
        <x:v>3</x:v>
      </x:c>
      <x:c r="S179" s="44" t="str">
        <x:v>ForkJoinPool.commonPool-worker-1#48 | ForkJoinPool.commonPool-worker-2#49 | ForkJoinPool.commonPool-worker-3#50</x:v>
      </x:c>
      <x:c r="T179" s="36" t="n">
        <x:v>0</x:v>
      </x:c>
      <x:c r="U179" s="44"/>
      <x:c r="V179" s="36" t="n">
        <x:v>0</x:v>
      </x:c>
      <x:c r="W179" s="44"/>
      <x:c r="X179" s="34" t="str">
        <x:v>unattributed-thread-signal</x:v>
      </x:c>
      <x:c r="Y179" s="44" t="str">
        <x:v>automated signatures are JCS-specific; all other candidate application threads remain unattributed and ownership requires the archived full dump</x:v>
      </x:c>
    </x:row>
    <x:row r="180">
      <x:c r="A180" s="34" t="str">
        <x:v>article1-unified-v4-2-fb3f101b-20260903-000401-default-f02-p3-caffeine</x:v>
      </x:c>
      <x:c r="B180" s="34" t="str">
        <x:v>default</x:v>
      </x:c>
      <x:c r="C180" s="34" t="str">
        <x:v>caffeine</x:v>
      </x:c>
      <x:c r="D180" s="36" t="n">
        <x:v>2</x:v>
      </x:c>
      <x:c r="E180" s="36" t="n">
        <x:v>2</x:v>
      </x:c>
      <x:c r="F180" s="36" t="n">
        <x:v>3</x:v>
      </x:c>
      <x:c r="G180" s="36" t="n">
        <x:v>5</x:v>
      </x:c>
      <x:c r="H180" s="34" t="str">
        <x:v>finalUndeployThreadEvidenceEarly</x:v>
      </x:c>
      <x:c r="I180" s="36" t="n">
        <x:v>2</x:v>
      </x:c>
      <x:c r="J180" s="34" t="str">
        <x:v>early</x:v>
      </x:c>
      <x:c r="K180" s="36" t="n">
        <x:v>30</x:v>
      </x:c>
      <x:c r="L180" s="51" t="n">
        <x:v>3</x:v>
      </x:c>
      <x:c r="M180" s="51" t="n">
        <x:v>0</x:v>
      </x:c>
      <x:c r="N180" s="36" t="n">
        <x:v>13</x:v>
      </x:c>
      <x:c r="O180" s="44" t="str">
        <x:v>ForkJoinPool.commonPool-worker-1#48 | ForkJoinPool.commonPool-worker-2#49 | ForkJoinPool.commonPool-worker-3#50 | http-nio-8080-exec-54#332 | http-nio-8080-exec-63#407 | http-nio-8080-exec-64#408 | http-nio-8080-exec-65#409 | http-nio-8080-exec-66#412 | http-nio-8080-exec-67#413 | http-nio-8080-exec-68#414 | http-nio-8080-exec-69#447 | http-nio-8080-exec-70#448 | http-nio-8080-exec-71#449</x:v>
      </x:c>
      <x:c r="P180" s="36" t="n">
        <x:v>9</x:v>
      </x:c>
      <x:c r="Q180" s="44" t="str">
        <x:v>http-nio-8080-exec-63#407 | http-nio-8080-exec-64#408 | http-nio-8080-exec-65#409 | http-nio-8080-exec-66#412 | http-nio-8080-exec-67#413 | http-nio-8080-exec-68#414 | http-nio-8080-exec-69#447 | http-nio-8080-exec-70#448 | http-nio-8080-exec-71#449</x:v>
      </x:c>
      <x:c r="R180" s="36" t="n">
        <x:v>3</x:v>
      </x:c>
      <x:c r="S180" s="44" t="str">
        <x:v>ForkJoinPool.commonPool-worker-1#48 | ForkJoinPool.commonPool-worker-2#49 | ForkJoinPool.commonPool-worker-3#50</x:v>
      </x:c>
      <x:c r="T180" s="36" t="n">
        <x:v>0</x:v>
      </x:c>
      <x:c r="U180" s="44"/>
      <x:c r="V180" s="36" t="n">
        <x:v>0</x:v>
      </x:c>
      <x:c r="W180" s="44"/>
      <x:c r="X180" s="34" t="str">
        <x:v>unattributed-thread-signal</x:v>
      </x:c>
      <x:c r="Y180" s="44" t="str">
        <x:v>automated signatures are JCS-specific; all other candidate application threads remain unattributed and ownership requires the archived full dump</x:v>
      </x:c>
    </x:row>
    <x:row r="181">
      <x:c r="A181" s="34" t="str">
        <x:v>article1-unified-v4-2-fb3f101b-20260903-000401-default-f02-p3-caffeine</x:v>
      </x:c>
      <x:c r="B181" s="34" t="str">
        <x:v>default</x:v>
      </x:c>
      <x:c r="C181" s="34" t="str">
        <x:v>caffeine</x:v>
      </x:c>
      <x:c r="D181" s="36" t="n">
        <x:v>2</x:v>
      </x:c>
      <x:c r="E181" s="36" t="n">
        <x:v>2</x:v>
      </x:c>
      <x:c r="F181" s="36" t="n">
        <x:v>3</x:v>
      </x:c>
      <x:c r="G181" s="36" t="n">
        <x:v>5</x:v>
      </x:c>
      <x:c r="H181" s="34" t="str">
        <x:v>finalUndeployThreadEvidenceFinal</x:v>
      </x:c>
      <x:c r="I181" s="36" t="n">
        <x:v>2</x:v>
      </x:c>
      <x:c r="J181" s="34" t="str">
        <x:v>final</x:v>
      </x:c>
      <x:c r="K181" s="36" t="n">
        <x:v>30</x:v>
      </x:c>
      <x:c r="L181" s="51" t="n">
        <x:v>3</x:v>
      </x:c>
      <x:c r="M181" s="51" t="n">
        <x:v>0</x:v>
      </x:c>
      <x:c r="N181" s="36" t="n">
        <x:v>13</x:v>
      </x:c>
      <x:c r="O181" s="44" t="str">
        <x:v>ForkJoinPool.commonPool-worker-1#48 | ForkJoinPool.commonPool-worker-2#49 | ForkJoinPool.commonPool-worker-3#50 | http-nio-8080-exec-54#332 | http-nio-8080-exec-63#407 | http-nio-8080-exec-64#408 | http-nio-8080-exec-65#409 | http-nio-8080-exec-66#412 | http-nio-8080-exec-67#413 | http-nio-8080-exec-68#414 | http-nio-8080-exec-70#448 | http-nio-8080-exec-71#449 | http-nio-8080-exec-72#450</x:v>
      </x:c>
      <x:c r="P181" s="36" t="n">
        <x:v>9</x:v>
      </x:c>
      <x:c r="Q181" s="44" t="str">
        <x:v>http-nio-8080-exec-63#407 | http-nio-8080-exec-64#408 | http-nio-8080-exec-65#409 | http-nio-8080-exec-66#412 | http-nio-8080-exec-67#413 | http-nio-8080-exec-68#414 | http-nio-8080-exec-70#448 | http-nio-8080-exec-71#449 | http-nio-8080-exec-72#450</x:v>
      </x:c>
      <x:c r="R181" s="36" t="n">
        <x:v>3</x:v>
      </x:c>
      <x:c r="S181" s="44" t="str">
        <x:v>ForkJoinPool.commonPool-worker-1#48 | ForkJoinPool.commonPool-worker-2#49 | ForkJoinPool.commonPool-worker-3#50</x:v>
      </x:c>
      <x:c r="T181" s="36" t="n">
        <x:v>0</x:v>
      </x:c>
      <x:c r="U181" s="44"/>
      <x:c r="V181" s="36" t="n">
        <x:v>0</x:v>
      </x:c>
      <x:c r="W181" s="44"/>
      <x:c r="X181" s="34" t="str">
        <x:v>unattributed-thread-signal</x:v>
      </x:c>
      <x:c r="Y181" s="44" t="str">
        <x:v>automated signatures are JCS-specific; all other candidate application threads remain unattributed and ownership requires the archived full dump</x:v>
      </x:c>
    </x:row>
    <x:row r="182">
      <x:c r="A182" s="34" t="str">
        <x:v>article1-unified-v4-2-fb3f101b-20260903-000401-default-f02-p4-jcs4</x:v>
      </x:c>
      <x:c r="B182" s="34" t="str">
        <x:v>default</x:v>
      </x:c>
      <x:c r="C182" s="34" t="str">
        <x:v>jcs4</x:v>
      </x:c>
      <x:c r="D182" s="36" t="n">
        <x:v>2</x:v>
      </x:c>
      <x:c r="E182" s="36" t="n">
        <x:v>2</x:v>
      </x:c>
      <x:c r="F182" s="36" t="n">
        <x:v>4</x:v>
      </x:c>
      <x:c r="G182" s="36" t="n">
        <x:v>1</x:v>
      </x:c>
      <x:c r="H182" s="34" t="str">
        <x:v>firstUndeployThreadEvidenceEarly</x:v>
      </x:c>
      <x:c r="I182" s="36" t="n">
        <x:v>1</x:v>
      </x:c>
      <x:c r="J182" s="34" t="str">
        <x:v>early</x:v>
      </x:c>
      <x:c r="K182" s="36" t="n">
        <x:v>27</x:v>
      </x:c>
      <x:c r="L182" s="51" t="n">
        <x:v>0</x:v>
      </x:c>
      <x:c r="M182" s="51" t="n">
        <x:v>0</x:v>
      </x:c>
      <x:c r="N182" s="36" t="n">
        <x:v>2</x:v>
      </x:c>
      <x:c r="O182" s="44" t="str">
        <x:v>http-nio-8080-exec-11#82 | http-nio-8080-exec-12#83</x:v>
      </x:c>
      <x:c r="P182" s="36" t="n">
        <x:v>2</x:v>
      </x:c>
      <x:c r="Q182" s="44" t="str">
        <x:v>http-nio-8080-exec-11#82 | http-nio-8080-exec-12#83</x:v>
      </x:c>
      <x:c r="R182" s="36" t="n">
        <x:v>0</x:v>
      </x:c>
      <x:c r="S182" s="44"/>
      <x:c r="T182" s="36" t="n">
        <x:v>0</x:v>
      </x:c>
      <x:c r="U182" s="44"/>
      <x:c r="V182" s="36" t="n">
        <x:v>0</x:v>
      </x:c>
      <x:c r="W182" s="44"/>
      <x:c r="X182" s="34" t="str">
        <x:v>no-post-undeploy-thread-signal</x:v>
      </x:c>
      <x:c r="Y182" s="44" t="str">
        <x:v>automated signatures are JCS-specific; all other candidate application threads remain unattributed and ownership requires the archived full dump</x:v>
      </x:c>
    </x:row>
    <x:row r="183">
      <x:c r="A183" s="34" t="str">
        <x:v>article1-unified-v4-2-fb3f101b-20260903-000401-default-f02-p4-jcs4</x:v>
      </x:c>
      <x:c r="B183" s="34" t="str">
        <x:v>default</x:v>
      </x:c>
      <x:c r="C183" s="34" t="str">
        <x:v>jcs4</x:v>
      </x:c>
      <x:c r="D183" s="36" t="n">
        <x:v>2</x:v>
      </x:c>
      <x:c r="E183" s="36" t="n">
        <x:v>2</x:v>
      </x:c>
      <x:c r="F183" s="36" t="n">
        <x:v>4</x:v>
      </x:c>
      <x:c r="G183" s="36" t="n">
        <x:v>1</x:v>
      </x:c>
      <x:c r="H183" s="34" t="str">
        <x:v>firstUndeployThreadEvidenceFinal</x:v>
      </x:c>
      <x:c r="I183" s="36" t="n">
        <x:v>1</x:v>
      </x:c>
      <x:c r="J183" s="34" t="str">
        <x:v>final</x:v>
      </x:c>
      <x:c r="K183" s="36" t="n">
        <x:v>27</x:v>
      </x:c>
      <x:c r="L183" s="51" t="n">
        <x:v>0</x:v>
      </x:c>
      <x:c r="M183" s="51" t="n">
        <x:v>0</x:v>
      </x:c>
      <x:c r="N183" s="36" t="n">
        <x:v>3</x:v>
      </x:c>
      <x:c r="O183" s="44" t="str">
        <x:v>http-nio-8080-exec-11#82 | http-nio-8080-exec-12#83 | http-nio-8080-exec-13#84</x:v>
      </x:c>
      <x:c r="P183" s="36" t="n">
        <x:v>3</x:v>
      </x:c>
      <x:c r="Q183" s="44" t="str">
        <x:v>http-nio-8080-exec-11#82 | http-nio-8080-exec-12#83 | http-nio-8080-exec-13#84</x:v>
      </x:c>
      <x:c r="R183" s="36" t="n">
        <x:v>0</x:v>
      </x:c>
      <x:c r="S183" s="44"/>
      <x:c r="T183" s="36" t="n">
        <x:v>0</x:v>
      </x:c>
      <x:c r="U183" s="44"/>
      <x:c r="V183" s="36" t="n">
        <x:v>0</x:v>
      </x:c>
      <x:c r="W183" s="44"/>
      <x:c r="X183" s="34" t="str">
        <x:v>no-post-undeploy-thread-signal</x:v>
      </x:c>
      <x:c r="Y183" s="44" t="str">
        <x:v>automated signatures are JCS-specific; all other candidate application threads remain unattributed and ownership requires the archived full dump</x:v>
      </x:c>
    </x:row>
    <x:row r="184">
      <x:c r="A184" s="34" t="str">
        <x:v>article1-unified-v4-2-fb3f101b-20260903-000401-default-f02-p4-jcs4</x:v>
      </x:c>
      <x:c r="B184" s="34" t="str">
        <x:v>default</x:v>
      </x:c>
      <x:c r="C184" s="34" t="str">
        <x:v>jcs4</x:v>
      </x:c>
      <x:c r="D184" s="36" t="n">
        <x:v>2</x:v>
      </x:c>
      <x:c r="E184" s="36" t="n">
        <x:v>2</x:v>
      </x:c>
      <x:c r="F184" s="36" t="n">
        <x:v>4</x:v>
      </x:c>
      <x:c r="G184" s="36" t="n">
        <x:v>1</x:v>
      </x:c>
      <x:c r="H184" s="34" t="str">
        <x:v>finalUndeployThreadEvidenceEarly</x:v>
      </x:c>
      <x:c r="I184" s="36" t="n">
        <x:v>2</x:v>
      </x:c>
      <x:c r="J184" s="34" t="str">
        <x:v>early</x:v>
      </x:c>
      <x:c r="K184" s="36" t="n">
        <x:v>27</x:v>
      </x:c>
      <x:c r="L184" s="51" t="n">
        <x:v>0</x:v>
      </x:c>
      <x:c r="M184" s="51" t="n">
        <x:v>0</x:v>
      </x:c>
      <x:c r="N184" s="36" t="n">
        <x:v>8</x:v>
      </x:c>
      <x:c r="O184" s="44" t="str">
        <x:v>http-nio-8080-exec-11#82 | http-nio-8080-exec-12#83 | http-nio-8080-exec-14#87 | http-nio-8080-exec-15#88 | http-nio-8080-exec-16#89 | http-nio-8080-exec-17#124 | http-nio-8080-exec-18#125 | http-nio-8080-exec-19#126</x:v>
      </x:c>
      <x:c r="P184" s="36" t="n">
        <x:v>8</x:v>
      </x:c>
      <x:c r="Q184" s="44" t="str">
        <x:v>http-nio-8080-exec-11#82 | http-nio-8080-exec-12#83 | http-nio-8080-exec-14#87 | http-nio-8080-exec-15#88 | http-nio-8080-exec-16#89 | http-nio-8080-exec-17#124 | http-nio-8080-exec-18#125 | http-nio-8080-exec-19#126</x:v>
      </x:c>
      <x:c r="R184" s="36" t="n">
        <x:v>0</x:v>
      </x:c>
      <x:c r="S184" s="44"/>
      <x:c r="T184" s="36" t="n">
        <x:v>0</x:v>
      </x:c>
      <x:c r="U184" s="44"/>
      <x:c r="V184" s="36" t="n">
        <x:v>0</x:v>
      </x:c>
      <x:c r="W184" s="44"/>
      <x:c r="X184" s="34" t="str">
        <x:v>no-post-undeploy-thread-signal</x:v>
      </x:c>
      <x:c r="Y184" s="44" t="str">
        <x:v>automated signatures are JCS-specific; all other candidate application threads remain unattributed and ownership requires the archived full dump</x:v>
      </x:c>
    </x:row>
    <x:row r="185">
      <x:c r="A185" s="34" t="str">
        <x:v>article1-unified-v4-2-fb3f101b-20260903-000401-default-f02-p4-jcs4</x:v>
      </x:c>
      <x:c r="B185" s="34" t="str">
        <x:v>default</x:v>
      </x:c>
      <x:c r="C185" s="34" t="str">
        <x:v>jcs4</x:v>
      </x:c>
      <x:c r="D185" s="36" t="n">
        <x:v>2</x:v>
      </x:c>
      <x:c r="E185" s="36" t="n">
        <x:v>2</x:v>
      </x:c>
      <x:c r="F185" s="36" t="n">
        <x:v>4</x:v>
      </x:c>
      <x:c r="G185" s="36" t="n">
        <x:v>1</x:v>
      </x:c>
      <x:c r="H185" s="34" t="str">
        <x:v>finalUndeployThreadEvidenceFinal</x:v>
      </x:c>
      <x:c r="I185" s="36" t="n">
        <x:v>2</x:v>
      </x:c>
      <x:c r="J185" s="34" t="str">
        <x:v>final</x:v>
      </x:c>
      <x:c r="K185" s="36" t="n">
        <x:v>27</x:v>
      </x:c>
      <x:c r="L185" s="51" t="n">
        <x:v>0</x:v>
      </x:c>
      <x:c r="M185" s="51" t="n">
        <x:v>0</x:v>
      </x:c>
      <x:c r="N185" s="36" t="n">
        <x:v>8</x:v>
      </x:c>
      <x:c r="O185" s="44" t="str">
        <x:v>http-nio-8080-exec-11#82 | http-nio-8080-exec-12#83 | http-nio-8080-exec-14#87 | http-nio-8080-exec-16#89 | http-nio-8080-exec-17#124 | http-nio-8080-exec-18#125 | http-nio-8080-exec-19#126 | http-nio-8080-exec-20#127</x:v>
      </x:c>
      <x:c r="P185" s="36" t="n">
        <x:v>8</x:v>
      </x:c>
      <x:c r="Q185" s="44" t="str">
        <x:v>http-nio-8080-exec-11#82 | http-nio-8080-exec-12#83 | http-nio-8080-exec-14#87 | http-nio-8080-exec-16#89 | http-nio-8080-exec-17#124 | http-nio-8080-exec-18#125 | http-nio-8080-exec-19#126 | http-nio-8080-exec-20#127</x:v>
      </x:c>
      <x:c r="R185" s="36" t="n">
        <x:v>0</x:v>
      </x:c>
      <x:c r="S185" s="44"/>
      <x:c r="T185" s="36" t="n">
        <x:v>0</x:v>
      </x:c>
      <x:c r="U185" s="44"/>
      <x:c r="V185" s="36" t="n">
        <x:v>0</x:v>
      </x:c>
      <x:c r="W185" s="44"/>
      <x:c r="X185" s="34" t="str">
        <x:v>no-post-undeploy-thread-signal</x:v>
      </x:c>
      <x:c r="Y185" s="44" t="str">
        <x:v>automated signatures are JCS-specific; all other candidate application threads remain unattributed and ownership requires the archived full dump</x:v>
      </x:c>
    </x:row>
    <x:row r="186">
      <x:c r="A186" s="34" t="str">
        <x:v>article1-unified-v4-2-fb3f101b-20260903-000401-default-f02-p4-jcs4</x:v>
      </x:c>
      <x:c r="B186" s="34" t="str">
        <x:v>default</x:v>
      </x:c>
      <x:c r="C186" s="34" t="str">
        <x:v>jcs4</x:v>
      </x:c>
      <x:c r="D186" s="36" t="n">
        <x:v>2</x:v>
      </x:c>
      <x:c r="E186" s="36" t="n">
        <x:v>2</x:v>
      </x:c>
      <x:c r="F186" s="36" t="n">
        <x:v>4</x:v>
      </x:c>
      <x:c r="G186" s="36" t="n">
        <x:v>2</x:v>
      </x:c>
      <x:c r="H186" s="34" t="str">
        <x:v>firstUndeployThreadEvidenceEarly</x:v>
      </x:c>
      <x:c r="I186" s="36" t="n">
        <x:v>1</x:v>
      </x:c>
      <x:c r="J186" s="34" t="str">
        <x:v>early</x:v>
      </x:c>
      <x:c r="K186" s="36" t="n">
        <x:v>27</x:v>
      </x:c>
      <x:c r="L186" s="51" t="n">
        <x:v>0</x:v>
      </x:c>
      <x:c r="M186" s="51" t="n">
        <x:v>0</x:v>
      </x:c>
      <x:c r="N186" s="36" t="n">
        <x:v>10</x:v>
      </x:c>
      <x:c r="O186" s="44" t="str">
        <x:v>http-nio-8080-exec-11#82 | http-nio-8080-exec-12#83 | http-nio-8080-exec-17#124 | http-nio-8080-exec-18#125 | http-nio-8080-exec-20#127 | http-nio-8080-exec-21#130 | http-nio-8080-exec-22#131 | http-nio-8080-exec-23#166 | http-nio-8080-exec-24#167 | http-nio-8080-exec-25#168</x:v>
      </x:c>
      <x:c r="P186" s="36" t="n">
        <x:v>5</x:v>
      </x:c>
      <x:c r="Q186" s="44" t="str">
        <x:v>http-nio-8080-exec-21#130 | http-nio-8080-exec-22#131 | http-nio-8080-exec-23#166 | http-nio-8080-exec-24#167 | http-nio-8080-exec-25#168</x:v>
      </x:c>
      <x:c r="R186" s="36" t="n">
        <x:v>0</x:v>
      </x:c>
      <x:c r="S186" s="44"/>
      <x:c r="T186" s="36" t="n">
        <x:v>0</x:v>
      </x:c>
      <x:c r="U186" s="44"/>
      <x:c r="V186" s="36" t="n">
        <x:v>0</x:v>
      </x:c>
      <x:c r="W186" s="44"/>
      <x:c r="X186" s="34" t="str">
        <x:v>no-post-undeploy-thread-signal</x:v>
      </x:c>
      <x:c r="Y186" s="44" t="str">
        <x:v>automated signatures are JCS-specific; all other candidate application threads remain unattributed and ownership requires the archived full dump</x:v>
      </x:c>
    </x:row>
    <x:row r="187">
      <x:c r="A187" s="34" t="str">
        <x:v>article1-unified-v4-2-fb3f101b-20260903-000401-default-f02-p4-jcs4</x:v>
      </x:c>
      <x:c r="B187" s="34" t="str">
        <x:v>default</x:v>
      </x:c>
      <x:c r="C187" s="34" t="str">
        <x:v>jcs4</x:v>
      </x:c>
      <x:c r="D187" s="36" t="n">
        <x:v>2</x:v>
      </x:c>
      <x:c r="E187" s="36" t="n">
        <x:v>2</x:v>
      </x:c>
      <x:c r="F187" s="36" t="n">
        <x:v>4</x:v>
      </x:c>
      <x:c r="G187" s="36" t="n">
        <x:v>2</x:v>
      </x:c>
      <x:c r="H187" s="34" t="str">
        <x:v>firstUndeployThreadEvidenceFinal</x:v>
      </x:c>
      <x:c r="I187" s="36" t="n">
        <x:v>1</x:v>
      </x:c>
      <x:c r="J187" s="34" t="str">
        <x:v>final</x:v>
      </x:c>
      <x:c r="K187" s="36" t="n">
        <x:v>27</x:v>
      </x:c>
      <x:c r="L187" s="51" t="n">
        <x:v>0</x:v>
      </x:c>
      <x:c r="M187" s="51" t="n">
        <x:v>0</x:v>
      </x:c>
      <x:c r="N187" s="36" t="n">
        <x:v>10</x:v>
      </x:c>
      <x:c r="O187" s="44" t="str">
        <x:v>http-nio-8080-exec-11#82 | http-nio-8080-exec-12#83 | http-nio-8080-exec-17#124 | http-nio-8080-exec-18#125 | http-nio-8080-exec-20#127 | http-nio-8080-exec-22#131 | http-nio-8080-exec-23#166 | http-nio-8080-exec-24#167 | http-nio-8080-exec-25#168 | http-nio-8080-exec-26#169</x:v>
      </x:c>
      <x:c r="P187" s="36" t="n">
        <x:v>5</x:v>
      </x:c>
      <x:c r="Q187" s="44" t="str">
        <x:v>http-nio-8080-exec-22#131 | http-nio-8080-exec-23#166 | http-nio-8080-exec-24#167 | http-nio-8080-exec-25#168 | http-nio-8080-exec-26#169</x:v>
      </x:c>
      <x:c r="R187" s="36" t="n">
        <x:v>0</x:v>
      </x:c>
      <x:c r="S187" s="44"/>
      <x:c r="T187" s="36" t="n">
        <x:v>0</x:v>
      </x:c>
      <x:c r="U187" s="44"/>
      <x:c r="V187" s="36" t="n">
        <x:v>0</x:v>
      </x:c>
      <x:c r="W187" s="44"/>
      <x:c r="X187" s="34" t="str">
        <x:v>no-post-undeploy-thread-signal</x:v>
      </x:c>
      <x:c r="Y187" s="44" t="str">
        <x:v>automated signatures are JCS-specific; all other candidate application threads remain unattributed and ownership requires the archived full dump</x:v>
      </x:c>
    </x:row>
    <x:row r="188">
      <x:c r="A188" s="34" t="str">
        <x:v>article1-unified-v4-2-fb3f101b-20260903-000401-default-f02-p4-jcs4</x:v>
      </x:c>
      <x:c r="B188" s="34" t="str">
        <x:v>default</x:v>
      </x:c>
      <x:c r="C188" s="34" t="str">
        <x:v>jcs4</x:v>
      </x:c>
      <x:c r="D188" s="36" t="n">
        <x:v>2</x:v>
      </x:c>
      <x:c r="E188" s="36" t="n">
        <x:v>2</x:v>
      </x:c>
      <x:c r="F188" s="36" t="n">
        <x:v>4</x:v>
      </x:c>
      <x:c r="G188" s="36" t="n">
        <x:v>2</x:v>
      </x:c>
      <x:c r="H188" s="34" t="str">
        <x:v>finalUndeployThreadEvidenceEarly</x:v>
      </x:c>
      <x:c r="I188" s="36" t="n">
        <x:v>2</x:v>
      </x:c>
      <x:c r="J188" s="34" t="str">
        <x:v>early</x:v>
      </x:c>
      <x:c r="K188" s="36" t="n">
        <x:v>27</x:v>
      </x:c>
      <x:c r="L188" s="51" t="n">
        <x:v>0</x:v>
      </x:c>
      <x:c r="M188" s="51" t="n">
        <x:v>0</x:v>
      </x:c>
      <x:c r="N188" s="36" t="n">
        <x:v>10</x:v>
      </x:c>
      <x:c r="O188" s="44" t="str">
        <x:v>http-nio-8080-exec-20#127 | http-nio-8080-exec-22#131 | http-nio-8080-exec-25#168 | http-nio-8080-exec-26#169 | http-nio-8080-exec-27#172 | http-nio-8080-exec-28#173 | http-nio-8080-exec-29#174 | http-nio-8080-exec-30#209 | http-nio-8080-exec-31#210 | http-nio-8080-exec-32#211</x:v>
      </x:c>
      <x:c r="P188" s="36" t="n">
        <x:v>9</x:v>
      </x:c>
      <x:c r="Q188" s="44" t="str">
        <x:v>http-nio-8080-exec-22#131 | http-nio-8080-exec-25#168 | http-nio-8080-exec-26#169 | http-nio-8080-exec-27#172 | http-nio-8080-exec-28#173 | http-nio-8080-exec-29#174 | http-nio-8080-exec-30#209 | http-nio-8080-exec-31#210 | http-nio-8080-exec-32#211</x:v>
      </x:c>
      <x:c r="R188" s="36" t="n">
        <x:v>0</x:v>
      </x:c>
      <x:c r="S188" s="44"/>
      <x:c r="T188" s="36" t="n">
        <x:v>0</x:v>
      </x:c>
      <x:c r="U188" s="44"/>
      <x:c r="V188" s="36" t="n">
        <x:v>0</x:v>
      </x:c>
      <x:c r="W188" s="44"/>
      <x:c r="X188" s="34" t="str">
        <x:v>no-post-undeploy-thread-signal</x:v>
      </x:c>
      <x:c r="Y188" s="44" t="str">
        <x:v>automated signatures are JCS-specific; all other candidate application threads remain unattributed and ownership requires the archived full dump</x:v>
      </x:c>
    </x:row>
    <x:row r="189">
      <x:c r="A189" s="34" t="str">
        <x:v>article1-unified-v4-2-fb3f101b-20260903-000401-default-f02-p4-jcs4</x:v>
      </x:c>
      <x:c r="B189" s="34" t="str">
        <x:v>default</x:v>
      </x:c>
      <x:c r="C189" s="34" t="str">
        <x:v>jcs4</x:v>
      </x:c>
      <x:c r="D189" s="36" t="n">
        <x:v>2</x:v>
      </x:c>
      <x:c r="E189" s="36" t="n">
        <x:v>2</x:v>
      </x:c>
      <x:c r="F189" s="36" t="n">
        <x:v>4</x:v>
      </x:c>
      <x:c r="G189" s="36" t="n">
        <x:v>2</x:v>
      </x:c>
      <x:c r="H189" s="34" t="str">
        <x:v>finalUndeployThreadEvidenceFinal</x:v>
      </x:c>
      <x:c r="I189" s="36" t="n">
        <x:v>2</x:v>
      </x:c>
      <x:c r="J189" s="34" t="str">
        <x:v>final</x:v>
      </x:c>
      <x:c r="K189" s="36" t="n">
        <x:v>27</x:v>
      </x:c>
      <x:c r="L189" s="51" t="n">
        <x:v>0</x:v>
      </x:c>
      <x:c r="M189" s="51" t="n">
        <x:v>0</x:v>
      </x:c>
      <x:c r="N189" s="36" t="n">
        <x:v>10</x:v>
      </x:c>
      <x:c r="O189" s="44" t="str">
        <x:v>http-nio-8080-exec-20#127 | http-nio-8080-exec-22#131 | http-nio-8080-exec-26#169 | http-nio-8080-exec-27#172 | http-nio-8080-exec-28#173 | http-nio-8080-exec-29#174 | http-nio-8080-exec-30#209 | http-nio-8080-exec-31#210 | http-nio-8080-exec-32#211 | http-nio-8080-exec-33#212</x:v>
      </x:c>
      <x:c r="P189" s="36" t="n">
        <x:v>9</x:v>
      </x:c>
      <x:c r="Q189" s="44" t="str">
        <x:v>http-nio-8080-exec-22#131 | http-nio-8080-exec-26#169 | http-nio-8080-exec-27#172 | http-nio-8080-exec-28#173 | http-nio-8080-exec-29#174 | http-nio-8080-exec-30#209 | http-nio-8080-exec-31#210 | http-nio-8080-exec-32#211 | http-nio-8080-exec-33#212</x:v>
      </x:c>
      <x:c r="R189" s="36" t="n">
        <x:v>0</x:v>
      </x:c>
      <x:c r="S189" s="44"/>
      <x:c r="T189" s="36" t="n">
        <x:v>0</x:v>
      </x:c>
      <x:c r="U189" s="44"/>
      <x:c r="V189" s="36" t="n">
        <x:v>0</x:v>
      </x:c>
      <x:c r="W189" s="44"/>
      <x:c r="X189" s="34" t="str">
        <x:v>no-post-undeploy-thread-signal</x:v>
      </x:c>
      <x:c r="Y189" s="44" t="str">
        <x:v>automated signatures are JCS-specific; all other candidate application threads remain unattributed and ownership requires the archived full dump</x:v>
      </x:c>
    </x:row>
    <x:row r="190">
      <x:c r="A190" s="34" t="str">
        <x:v>article1-unified-v4-2-fb3f101b-20260903-000401-default-f02-p4-jcs4</x:v>
      </x:c>
      <x:c r="B190" s="34" t="str">
        <x:v>default</x:v>
      </x:c>
      <x:c r="C190" s="34" t="str">
        <x:v>jcs4</x:v>
      </x:c>
      <x:c r="D190" s="36" t="n">
        <x:v>2</x:v>
      </x:c>
      <x:c r="E190" s="36" t="n">
        <x:v>2</x:v>
      </x:c>
      <x:c r="F190" s="36" t="n">
        <x:v>4</x:v>
      </x:c>
      <x:c r="G190" s="36" t="n">
        <x:v>3</x:v>
      </x:c>
      <x:c r="H190" s="34" t="str">
        <x:v>firstUndeployThreadEvidenceEarly</x:v>
      </x:c>
      <x:c r="I190" s="36" t="n">
        <x:v>1</x:v>
      </x:c>
      <x:c r="J190" s="34" t="str">
        <x:v>early</x:v>
      </x:c>
      <x:c r="K190" s="36" t="n">
        <x:v>27</x:v>
      </x:c>
      <x:c r="L190" s="51" t="n">
        <x:v>0</x:v>
      </x:c>
      <x:c r="M190" s="51" t="n">
        <x:v>0</x:v>
      </x:c>
      <x:c r="N190" s="36" t="n">
        <x:v>10</x:v>
      </x:c>
      <x:c r="O190" s="44" t="str">
        <x:v>http-nio-8080-exec-26#169 | http-nio-8080-exec-29#174 | http-nio-8080-exec-30#209 | http-nio-8080-exec-32#211 | http-nio-8080-exec-33#212 | http-nio-8080-exec-34#215 | http-nio-8080-exec-35#216 | http-nio-8080-exec-36#251 | http-nio-8080-exec-37#252 | http-nio-8080-exec-38#253</x:v>
      </x:c>
      <x:c r="P190" s="36" t="n">
        <x:v>5</x:v>
      </x:c>
      <x:c r="Q190" s="44" t="str">
        <x:v>http-nio-8080-exec-34#215 | http-nio-8080-exec-35#216 | http-nio-8080-exec-36#251 | http-nio-8080-exec-37#252 | http-nio-8080-exec-38#253</x:v>
      </x:c>
      <x:c r="R190" s="36" t="n">
        <x:v>0</x:v>
      </x:c>
      <x:c r="S190" s="44"/>
      <x:c r="T190" s="36" t="n">
        <x:v>0</x:v>
      </x:c>
      <x:c r="U190" s="44"/>
      <x:c r="V190" s="36" t="n">
        <x:v>0</x:v>
      </x:c>
      <x:c r="W190" s="44"/>
      <x:c r="X190" s="34" t="str">
        <x:v>no-post-undeploy-thread-signal</x:v>
      </x:c>
      <x:c r="Y190" s="44" t="str">
        <x:v>automated signatures are JCS-specific; all other candidate application threads remain unattributed and ownership requires the archived full dump</x:v>
      </x:c>
    </x:row>
    <x:row r="191">
      <x:c r="A191" s="34" t="str">
        <x:v>article1-unified-v4-2-fb3f101b-20260903-000401-default-f02-p4-jcs4</x:v>
      </x:c>
      <x:c r="B191" s="34" t="str">
        <x:v>default</x:v>
      </x:c>
      <x:c r="C191" s="34" t="str">
        <x:v>jcs4</x:v>
      </x:c>
      <x:c r="D191" s="36" t="n">
        <x:v>2</x:v>
      </x:c>
      <x:c r="E191" s="36" t="n">
        <x:v>2</x:v>
      </x:c>
      <x:c r="F191" s="36" t="n">
        <x:v>4</x:v>
      </x:c>
      <x:c r="G191" s="36" t="n">
        <x:v>3</x:v>
      </x:c>
      <x:c r="H191" s="34" t="str">
        <x:v>firstUndeployThreadEvidenceFinal</x:v>
      </x:c>
      <x:c r="I191" s="36" t="n">
        <x:v>1</x:v>
      </x:c>
      <x:c r="J191" s="34" t="str">
        <x:v>final</x:v>
      </x:c>
      <x:c r="K191" s="36" t="n">
        <x:v>27</x:v>
      </x:c>
      <x:c r="L191" s="51" t="n">
        <x:v>0</x:v>
      </x:c>
      <x:c r="M191" s="51" t="n">
        <x:v>0</x:v>
      </x:c>
      <x:c r="N191" s="36" t="n">
        <x:v>10</x:v>
      </x:c>
      <x:c r="O191" s="44" t="str">
        <x:v>http-nio-8080-exec-26#169 | http-nio-8080-exec-29#174 | http-nio-8080-exec-30#209 | http-nio-8080-exec-32#211 | http-nio-8080-exec-33#212 | http-nio-8080-exec-34#215 | http-nio-8080-exec-36#251 | http-nio-8080-exec-37#252 | http-nio-8080-exec-38#253 | http-nio-8080-exec-39#254</x:v>
      </x:c>
      <x:c r="P191" s="36" t="n">
        <x:v>5</x:v>
      </x:c>
      <x:c r="Q191" s="44" t="str">
        <x:v>http-nio-8080-exec-34#215 | http-nio-8080-exec-36#251 | http-nio-8080-exec-37#252 | http-nio-8080-exec-38#253 | http-nio-8080-exec-39#254</x:v>
      </x:c>
      <x:c r="R191" s="36" t="n">
        <x:v>0</x:v>
      </x:c>
      <x:c r="S191" s="44"/>
      <x:c r="T191" s="36" t="n">
        <x:v>0</x:v>
      </x:c>
      <x:c r="U191" s="44"/>
      <x:c r="V191" s="36" t="n">
        <x:v>0</x:v>
      </x:c>
      <x:c r="W191" s="44"/>
      <x:c r="X191" s="34" t="str">
        <x:v>no-post-undeploy-thread-signal</x:v>
      </x:c>
      <x:c r="Y191" s="44" t="str">
        <x:v>automated signatures are JCS-specific; all other candidate application threads remain unattributed and ownership requires the archived full dump</x:v>
      </x:c>
    </x:row>
    <x:row r="192">
      <x:c r="A192" s="34" t="str">
        <x:v>article1-unified-v4-2-fb3f101b-20260903-000401-default-f02-p4-jcs4</x:v>
      </x:c>
      <x:c r="B192" s="34" t="str">
        <x:v>default</x:v>
      </x:c>
      <x:c r="C192" s="34" t="str">
        <x:v>jcs4</x:v>
      </x:c>
      <x:c r="D192" s="36" t="n">
        <x:v>2</x:v>
      </x:c>
      <x:c r="E192" s="36" t="n">
        <x:v>2</x:v>
      </x:c>
      <x:c r="F192" s="36" t="n">
        <x:v>4</x:v>
      </x:c>
      <x:c r="G192" s="36" t="n">
        <x:v>3</x:v>
      </x:c>
      <x:c r="H192" s="34" t="str">
        <x:v>finalUndeployThreadEvidenceEarly</x:v>
      </x:c>
      <x:c r="I192" s="36" t="n">
        <x:v>2</x:v>
      </x:c>
      <x:c r="J192" s="34" t="str">
        <x:v>early</x:v>
      </x:c>
      <x:c r="K192" s="36" t="n">
        <x:v>27</x:v>
      </x:c>
      <x:c r="L192" s="51" t="n">
        <x:v>0</x:v>
      </x:c>
      <x:c r="M192" s="51" t="n">
        <x:v>0</x:v>
      </x:c>
      <x:c r="N192" s="36" t="n">
        <x:v>10</x:v>
      </x:c>
      <x:c r="O192" s="44" t="str">
        <x:v>http-nio-8080-exec-26#169 | http-nio-8080-exec-29#174 | http-nio-8080-exec-37#252 | http-nio-8080-exec-38#253 | http-nio-8080-exec-39#254 | http-nio-8080-exec-40#257 | http-nio-8080-exec-41#258 | http-nio-8080-exec-43#294 | http-nio-8080-exec-44#295 | http-nio-8080-exec-45#296</x:v>
      </x:c>
      <x:c r="P192" s="36" t="n">
        <x:v>8</x:v>
      </x:c>
      <x:c r="Q192" s="44" t="str">
        <x:v>http-nio-8080-exec-37#252 | http-nio-8080-exec-38#253 | http-nio-8080-exec-39#254 | http-nio-8080-exec-40#257 | http-nio-8080-exec-41#258 | http-nio-8080-exec-43#294 | http-nio-8080-exec-44#295 | http-nio-8080-exec-45#296</x:v>
      </x:c>
      <x:c r="R192" s="36" t="n">
        <x:v>0</x:v>
      </x:c>
      <x:c r="S192" s="44"/>
      <x:c r="T192" s="36" t="n">
        <x:v>0</x:v>
      </x:c>
      <x:c r="U192" s="44"/>
      <x:c r="V192" s="36" t="n">
        <x:v>0</x:v>
      </x:c>
      <x:c r="W192" s="44"/>
      <x:c r="X192" s="34" t="str">
        <x:v>no-post-undeploy-thread-signal</x:v>
      </x:c>
      <x:c r="Y192" s="44" t="str">
        <x:v>automated signatures are JCS-specific; all other candidate application threads remain unattributed and ownership requires the archived full dump</x:v>
      </x:c>
    </x:row>
    <x:row r="193">
      <x:c r="A193" s="34" t="str">
        <x:v>article1-unified-v4-2-fb3f101b-20260903-000401-default-f02-p4-jcs4</x:v>
      </x:c>
      <x:c r="B193" s="34" t="str">
        <x:v>default</x:v>
      </x:c>
      <x:c r="C193" s="34" t="str">
        <x:v>jcs4</x:v>
      </x:c>
      <x:c r="D193" s="36" t="n">
        <x:v>2</x:v>
      </x:c>
      <x:c r="E193" s="36" t="n">
        <x:v>2</x:v>
      </x:c>
      <x:c r="F193" s="36" t="n">
        <x:v>4</x:v>
      </x:c>
      <x:c r="G193" s="36" t="n">
        <x:v>3</x:v>
      </x:c>
      <x:c r="H193" s="34" t="str">
        <x:v>finalUndeployThreadEvidenceFinal</x:v>
      </x:c>
      <x:c r="I193" s="36" t="n">
        <x:v>2</x:v>
      </x:c>
      <x:c r="J193" s="34" t="str">
        <x:v>final</x:v>
      </x:c>
      <x:c r="K193" s="36" t="n">
        <x:v>27</x:v>
      </x:c>
      <x:c r="L193" s="51" t="n">
        <x:v>0</x:v>
      </x:c>
      <x:c r="M193" s="51" t="n">
        <x:v>0</x:v>
      </x:c>
      <x:c r="N193" s="36" t="n">
        <x:v>10</x:v>
      </x:c>
      <x:c r="O193" s="44" t="str">
        <x:v>http-nio-8080-exec-26#169 | http-nio-8080-exec-29#174 | http-nio-8080-exec-37#252 | http-nio-8080-exec-38#253 | http-nio-8080-exec-39#254 | http-nio-8080-exec-41#258 | http-nio-8080-exec-43#294 | http-nio-8080-exec-44#295 | http-nio-8080-exec-45#296 | http-nio-8080-exec-46#297</x:v>
      </x:c>
      <x:c r="P193" s="36" t="n">
        <x:v>8</x:v>
      </x:c>
      <x:c r="Q193" s="44" t="str">
        <x:v>http-nio-8080-exec-37#252 | http-nio-8080-exec-38#253 | http-nio-8080-exec-39#254 | http-nio-8080-exec-41#258 | http-nio-8080-exec-43#294 | http-nio-8080-exec-44#295 | http-nio-8080-exec-45#296 | http-nio-8080-exec-46#297</x:v>
      </x:c>
      <x:c r="R193" s="36" t="n">
        <x:v>0</x:v>
      </x:c>
      <x:c r="S193" s="44"/>
      <x:c r="T193" s="36" t="n">
        <x:v>0</x:v>
      </x:c>
      <x:c r="U193" s="44"/>
      <x:c r="V193" s="36" t="n">
        <x:v>0</x:v>
      </x:c>
      <x:c r="W193" s="44"/>
      <x:c r="X193" s="34" t="str">
        <x:v>no-post-undeploy-thread-signal</x:v>
      </x:c>
      <x:c r="Y193" s="44" t="str">
        <x:v>automated signatures are JCS-specific; all other candidate application threads remain unattributed and ownership requires the archived full dump</x:v>
      </x:c>
    </x:row>
    <x:row r="194">
      <x:c r="A194" s="34" t="str">
        <x:v>article1-unified-v4-2-fb3f101b-20260903-000401-default-f02-p4-jcs4</x:v>
      </x:c>
      <x:c r="B194" s="34" t="str">
        <x:v>default</x:v>
      </x:c>
      <x:c r="C194" s="34" t="str">
        <x:v>jcs4</x:v>
      </x:c>
      <x:c r="D194" s="36" t="n">
        <x:v>2</x:v>
      </x:c>
      <x:c r="E194" s="36" t="n">
        <x:v>2</x:v>
      </x:c>
      <x:c r="F194" s="36" t="n">
        <x:v>4</x:v>
      </x:c>
      <x:c r="G194" s="36" t="n">
        <x:v>4</x:v>
      </x:c>
      <x:c r="H194" s="34" t="str">
        <x:v>firstUndeployThreadEvidenceEarly</x:v>
      </x:c>
      <x:c r="I194" s="36" t="n">
        <x:v>1</x:v>
      </x:c>
      <x:c r="J194" s="34" t="str">
        <x:v>early</x:v>
      </x:c>
      <x:c r="K194" s="36" t="n">
        <x:v>27</x:v>
      </x:c>
      <x:c r="L194" s="51" t="n">
        <x:v>0</x:v>
      </x:c>
      <x:c r="M194" s="51" t="n">
        <x:v>0</x:v>
      </x:c>
      <x:c r="N194" s="36" t="n">
        <x:v>10</x:v>
      </x:c>
      <x:c r="O194" s="44" t="str">
        <x:v>http-nio-8080-exec-26#169 | http-nio-8080-exec-29#174 | http-nio-8080-exec-38#253 | http-nio-8080-exec-44#295 | http-nio-8080-exec-45#296 | http-nio-8080-exec-46#297 | http-nio-8080-exec-48#301 | http-nio-8080-exec-49#336 | http-nio-8080-exec-50#337 | http-nio-8080-exec-51#338</x:v>
      </x:c>
      <x:c r="P194" s="36" t="n">
        <x:v>4</x:v>
      </x:c>
      <x:c r="Q194" s="44" t="str">
        <x:v>http-nio-8080-exec-48#301 | http-nio-8080-exec-49#336 | http-nio-8080-exec-50#337 | http-nio-8080-exec-51#338</x:v>
      </x:c>
      <x:c r="R194" s="36" t="n">
        <x:v>0</x:v>
      </x:c>
      <x:c r="S194" s="44"/>
      <x:c r="T194" s="36" t="n">
        <x:v>0</x:v>
      </x:c>
      <x:c r="U194" s="44"/>
      <x:c r="V194" s="36" t="n">
        <x:v>0</x:v>
      </x:c>
      <x:c r="W194" s="44"/>
      <x:c r="X194" s="34" t="str">
        <x:v>no-post-undeploy-thread-signal</x:v>
      </x:c>
      <x:c r="Y194" s="44" t="str">
        <x:v>automated signatures are JCS-specific; all other candidate application threads remain unattributed and ownership requires the archived full dump</x:v>
      </x:c>
    </x:row>
    <x:row r="195">
      <x:c r="A195" s="34" t="str">
        <x:v>article1-unified-v4-2-fb3f101b-20260903-000401-default-f02-p4-jcs4</x:v>
      </x:c>
      <x:c r="B195" s="34" t="str">
        <x:v>default</x:v>
      </x:c>
      <x:c r="C195" s="34" t="str">
        <x:v>jcs4</x:v>
      </x:c>
      <x:c r="D195" s="36" t="n">
        <x:v>2</x:v>
      </x:c>
      <x:c r="E195" s="36" t="n">
        <x:v>2</x:v>
      </x:c>
      <x:c r="F195" s="36" t="n">
        <x:v>4</x:v>
      </x:c>
      <x:c r="G195" s="36" t="n">
        <x:v>4</x:v>
      </x:c>
      <x:c r="H195" s="34" t="str">
        <x:v>firstUndeployThreadEvidenceFinal</x:v>
      </x:c>
      <x:c r="I195" s="36" t="n">
        <x:v>1</x:v>
      </x:c>
      <x:c r="J195" s="34" t="str">
        <x:v>final</x:v>
      </x:c>
      <x:c r="K195" s="36" t="n">
        <x:v>27</x:v>
      </x:c>
      <x:c r="L195" s="51" t="n">
        <x:v>0</x:v>
      </x:c>
      <x:c r="M195" s="51" t="n">
        <x:v>0</x:v>
      </x:c>
      <x:c r="N195" s="36" t="n">
        <x:v>10</x:v>
      </x:c>
      <x:c r="O195" s="44" t="str">
        <x:v>http-nio-8080-exec-26#169 | http-nio-8080-exec-29#174 | http-nio-8080-exec-38#253 | http-nio-8080-exec-44#295 | http-nio-8080-exec-45#296 | http-nio-8080-exec-48#301 | http-nio-8080-exec-49#336 | http-nio-8080-exec-50#337 | http-nio-8080-exec-51#338 | http-nio-8080-exec-52#339</x:v>
      </x:c>
      <x:c r="P195" s="36" t="n">
        <x:v>5</x:v>
      </x:c>
      <x:c r="Q195" s="44" t="str">
        <x:v>http-nio-8080-exec-48#301 | http-nio-8080-exec-49#336 | http-nio-8080-exec-50#337 | http-nio-8080-exec-51#338 | http-nio-8080-exec-52#339</x:v>
      </x:c>
      <x:c r="R195" s="36" t="n">
        <x:v>0</x:v>
      </x:c>
      <x:c r="S195" s="44"/>
      <x:c r="T195" s="36" t="n">
        <x:v>0</x:v>
      </x:c>
      <x:c r="U195" s="44"/>
      <x:c r="V195" s="36" t="n">
        <x:v>0</x:v>
      </x:c>
      <x:c r="W195" s="44"/>
      <x:c r="X195" s="34" t="str">
        <x:v>no-post-undeploy-thread-signal</x:v>
      </x:c>
      <x:c r="Y195" s="44" t="str">
        <x:v>automated signatures are JCS-specific; all other candidate application threads remain unattributed and ownership requires the archived full dump</x:v>
      </x:c>
    </x:row>
    <x:row r="196">
      <x:c r="A196" s="34" t="str">
        <x:v>article1-unified-v4-2-fb3f101b-20260903-000401-default-f02-p4-jcs4</x:v>
      </x:c>
      <x:c r="B196" s="34" t="str">
        <x:v>default</x:v>
      </x:c>
      <x:c r="C196" s="34" t="str">
        <x:v>jcs4</x:v>
      </x:c>
      <x:c r="D196" s="36" t="n">
        <x:v>2</x:v>
      </x:c>
      <x:c r="E196" s="36" t="n">
        <x:v>2</x:v>
      </x:c>
      <x:c r="F196" s="36" t="n">
        <x:v>4</x:v>
      </x:c>
      <x:c r="G196" s="36" t="n">
        <x:v>4</x:v>
      </x:c>
      <x:c r="H196" s="34" t="str">
        <x:v>finalUndeployThreadEvidenceEarly</x:v>
      </x:c>
      <x:c r="I196" s="36" t="n">
        <x:v>2</x:v>
      </x:c>
      <x:c r="J196" s="34" t="str">
        <x:v>early</x:v>
      </x:c>
      <x:c r="K196" s="36" t="n">
        <x:v>27</x:v>
      </x:c>
      <x:c r="L196" s="51" t="n">
        <x:v>0</x:v>
      </x:c>
      <x:c r="M196" s="51" t="n">
        <x:v>0</x:v>
      </x:c>
      <x:c r="N196" s="36" t="n">
        <x:v>10</x:v>
      </x:c>
      <x:c r="O196" s="44" t="str">
        <x:v>http-nio-8080-exec-44#295 | http-nio-8080-exec-48#301 | http-nio-8080-exec-50#337 | http-nio-8080-exec-51#338 | http-nio-8080-exec-52#339 | http-nio-8080-exec-53#342 | http-nio-8080-exec-54#343 | http-nio-8080-exec-56#379 | http-nio-8080-exec-57#380 | http-nio-8080-exec-58#381</x:v>
      </x:c>
      <x:c r="P196" s="36" t="n">
        <x:v>9</x:v>
      </x:c>
      <x:c r="Q196" s="44" t="str">
        <x:v>http-nio-8080-exec-48#301 | http-nio-8080-exec-50#337 | http-nio-8080-exec-51#338 | http-nio-8080-exec-52#339 | http-nio-8080-exec-53#342 | http-nio-8080-exec-54#343 | http-nio-8080-exec-56#379 | http-nio-8080-exec-57#380 | http-nio-8080-exec-58#381</x:v>
      </x:c>
      <x:c r="R196" s="36" t="n">
        <x:v>0</x:v>
      </x:c>
      <x:c r="S196" s="44"/>
      <x:c r="T196" s="36" t="n">
        <x:v>0</x:v>
      </x:c>
      <x:c r="U196" s="44"/>
      <x:c r="V196" s="36" t="n">
        <x:v>0</x:v>
      </x:c>
      <x:c r="W196" s="44"/>
      <x:c r="X196" s="34" t="str">
        <x:v>no-post-undeploy-thread-signal</x:v>
      </x:c>
      <x:c r="Y196" s="44" t="str">
        <x:v>automated signatures are JCS-specific; all other candidate application threads remain unattributed and ownership requires the archived full dump</x:v>
      </x:c>
    </x:row>
    <x:row r="197">
      <x:c r="A197" s="34" t="str">
        <x:v>article1-unified-v4-2-fb3f101b-20260903-000401-default-f02-p4-jcs4</x:v>
      </x:c>
      <x:c r="B197" s="34" t="str">
        <x:v>default</x:v>
      </x:c>
      <x:c r="C197" s="34" t="str">
        <x:v>jcs4</x:v>
      </x:c>
      <x:c r="D197" s="36" t="n">
        <x:v>2</x:v>
      </x:c>
      <x:c r="E197" s="36" t="n">
        <x:v>2</x:v>
      </x:c>
      <x:c r="F197" s="36" t="n">
        <x:v>4</x:v>
      </x:c>
      <x:c r="G197" s="36" t="n">
        <x:v>4</x:v>
      </x:c>
      <x:c r="H197" s="34" t="str">
        <x:v>finalUndeployThreadEvidenceFinal</x:v>
      </x:c>
      <x:c r="I197" s="36" t="n">
        <x:v>2</x:v>
      </x:c>
      <x:c r="J197" s="34" t="str">
        <x:v>final</x:v>
      </x:c>
      <x:c r="K197" s="36" t="n">
        <x:v>27</x:v>
      </x:c>
      <x:c r="L197" s="51" t="n">
        <x:v>0</x:v>
      </x:c>
      <x:c r="M197" s="51" t="n">
        <x:v>0</x:v>
      </x:c>
      <x:c r="N197" s="36" t="n">
        <x:v>10</x:v>
      </x:c>
      <x:c r="O197" s="44" t="str">
        <x:v>http-nio-8080-exec-44#295 | http-nio-8080-exec-48#301 | http-nio-8080-exec-50#337 | http-nio-8080-exec-51#338 | http-nio-8080-exec-53#342 | http-nio-8080-exec-54#343 | http-nio-8080-exec-56#379 | http-nio-8080-exec-57#380 | http-nio-8080-exec-58#381 | http-nio-8080-exec-59#382</x:v>
      </x:c>
      <x:c r="P197" s="36" t="n">
        <x:v>9</x:v>
      </x:c>
      <x:c r="Q197" s="44" t="str">
        <x:v>http-nio-8080-exec-48#301 | http-nio-8080-exec-50#337 | http-nio-8080-exec-51#338 | http-nio-8080-exec-53#342 | http-nio-8080-exec-54#343 | http-nio-8080-exec-56#379 | http-nio-8080-exec-57#380 | http-nio-8080-exec-58#381 | http-nio-8080-exec-59#382</x:v>
      </x:c>
      <x:c r="R197" s="36" t="n">
        <x:v>0</x:v>
      </x:c>
      <x:c r="S197" s="44"/>
      <x:c r="T197" s="36" t="n">
        <x:v>0</x:v>
      </x:c>
      <x:c r="U197" s="44"/>
      <x:c r="V197" s="36" t="n">
        <x:v>0</x:v>
      </x:c>
      <x:c r="W197" s="44"/>
      <x:c r="X197" s="34" t="str">
        <x:v>no-post-undeploy-thread-signal</x:v>
      </x:c>
      <x:c r="Y197" s="44" t="str">
        <x:v>automated signatures are JCS-specific; all other candidate application threads remain unattributed and ownership requires the archived full dump</x:v>
      </x:c>
    </x:row>
    <x:row r="198">
      <x:c r="A198" s="34" t="str">
        <x:v>article1-unified-v4-2-fb3f101b-20260903-000401-default-f02-p4-jcs4</x:v>
      </x:c>
      <x:c r="B198" s="34" t="str">
        <x:v>default</x:v>
      </x:c>
      <x:c r="C198" s="34" t="str">
        <x:v>jcs4</x:v>
      </x:c>
      <x:c r="D198" s="36" t="n">
        <x:v>2</x:v>
      </x:c>
      <x:c r="E198" s="36" t="n">
        <x:v>2</x:v>
      </x:c>
      <x:c r="F198" s="36" t="n">
        <x:v>4</x:v>
      </x:c>
      <x:c r="G198" s="36" t="n">
        <x:v>5</x:v>
      </x:c>
      <x:c r="H198" s="34" t="str">
        <x:v>firstUndeployThreadEvidenceEarly</x:v>
      </x:c>
      <x:c r="I198" s="36" t="n">
        <x:v>1</x:v>
      </x:c>
      <x:c r="J198" s="34" t="str">
        <x:v>early</x:v>
      </x:c>
      <x:c r="K198" s="36" t="n">
        <x:v>27</x:v>
      </x:c>
      <x:c r="L198" s="51" t="n">
        <x:v>0</x:v>
      </x:c>
      <x:c r="M198" s="51" t="n">
        <x:v>0</x:v>
      </x:c>
      <x:c r="N198" s="36" t="n">
        <x:v>10</x:v>
      </x:c>
      <x:c r="O198" s="44" t="str">
        <x:v>http-nio-8080-exec-50#337 | http-nio-8080-exec-51#338 | http-nio-8080-exec-54#343 | http-nio-8080-exec-57#380 | http-nio-8080-exec-58#381 | http-nio-8080-exec-59#382 | http-nio-8080-exec-61#386 | http-nio-8080-exec-62#421 | http-nio-8080-exec-63#422 | http-nio-8080-exec-64#423</x:v>
      </x:c>
      <x:c r="P198" s="36" t="n">
        <x:v>4</x:v>
      </x:c>
      <x:c r="Q198" s="44" t="str">
        <x:v>http-nio-8080-exec-61#386 | http-nio-8080-exec-62#421 | http-nio-8080-exec-63#422 | http-nio-8080-exec-64#423</x:v>
      </x:c>
      <x:c r="R198" s="36" t="n">
        <x:v>0</x:v>
      </x:c>
      <x:c r="S198" s="44"/>
      <x:c r="T198" s="36" t="n">
        <x:v>0</x:v>
      </x:c>
      <x:c r="U198" s="44"/>
      <x:c r="V198" s="36" t="n">
        <x:v>0</x:v>
      </x:c>
      <x:c r="W198" s="44"/>
      <x:c r="X198" s="34" t="str">
        <x:v>no-post-undeploy-thread-signal</x:v>
      </x:c>
      <x:c r="Y198" s="44" t="str">
        <x:v>automated signatures are JCS-specific; all other candidate application threads remain unattributed and ownership requires the archived full dump</x:v>
      </x:c>
    </x:row>
    <x:row r="199">
      <x:c r="A199" s="34" t="str">
        <x:v>article1-unified-v4-2-fb3f101b-20260903-000401-default-f02-p4-jcs4</x:v>
      </x:c>
      <x:c r="B199" s="34" t="str">
        <x:v>default</x:v>
      </x:c>
      <x:c r="C199" s="34" t="str">
        <x:v>jcs4</x:v>
      </x:c>
      <x:c r="D199" s="36" t="n">
        <x:v>2</x:v>
      </x:c>
      <x:c r="E199" s="36" t="n">
        <x:v>2</x:v>
      </x:c>
      <x:c r="F199" s="36" t="n">
        <x:v>4</x:v>
      </x:c>
      <x:c r="G199" s="36" t="n">
        <x:v>5</x:v>
      </x:c>
      <x:c r="H199" s="34" t="str">
        <x:v>firstUndeployThreadEvidenceFinal</x:v>
      </x:c>
      <x:c r="I199" s="36" t="n">
        <x:v>1</x:v>
      </x:c>
      <x:c r="J199" s="34" t="str">
        <x:v>final</x:v>
      </x:c>
      <x:c r="K199" s="36" t="n">
        <x:v>27</x:v>
      </x:c>
      <x:c r="L199" s="51" t="n">
        <x:v>0</x:v>
      </x:c>
      <x:c r="M199" s="51" t="n">
        <x:v>0</x:v>
      </x:c>
      <x:c r="N199" s="36" t="n">
        <x:v>10</x:v>
      </x:c>
      <x:c r="O199" s="44" t="str">
        <x:v>http-nio-8080-exec-50#337 | http-nio-8080-exec-51#338 | http-nio-8080-exec-54#343 | http-nio-8080-exec-58#381 | http-nio-8080-exec-59#382 | http-nio-8080-exec-61#386 | http-nio-8080-exec-62#421 | http-nio-8080-exec-63#422 | http-nio-8080-exec-64#423 | http-nio-8080-exec-65#424</x:v>
      </x:c>
      <x:c r="P199" s="36" t="n">
        <x:v>5</x:v>
      </x:c>
      <x:c r="Q199" s="44" t="str">
        <x:v>http-nio-8080-exec-61#386 | http-nio-8080-exec-62#421 | http-nio-8080-exec-63#422 | http-nio-8080-exec-64#423 | http-nio-8080-exec-65#424</x:v>
      </x:c>
      <x:c r="R199" s="36" t="n">
        <x:v>0</x:v>
      </x:c>
      <x:c r="S199" s="44"/>
      <x:c r="T199" s="36" t="n">
        <x:v>0</x:v>
      </x:c>
      <x:c r="U199" s="44"/>
      <x:c r="V199" s="36" t="n">
        <x:v>0</x:v>
      </x:c>
      <x:c r="W199" s="44"/>
      <x:c r="X199" s="34" t="str">
        <x:v>no-post-undeploy-thread-signal</x:v>
      </x:c>
      <x:c r="Y199" s="44" t="str">
        <x:v>automated signatures are JCS-specific; all other candidate application threads remain unattributed and ownership requires the archived full dump</x:v>
      </x:c>
    </x:row>
    <x:row r="200">
      <x:c r="A200" s="34" t="str">
        <x:v>article1-unified-v4-2-fb3f101b-20260903-000401-default-f02-p4-jcs4</x:v>
      </x:c>
      <x:c r="B200" s="34" t="str">
        <x:v>default</x:v>
      </x:c>
      <x:c r="C200" s="34" t="str">
        <x:v>jcs4</x:v>
      </x:c>
      <x:c r="D200" s="36" t="n">
        <x:v>2</x:v>
      </x:c>
      <x:c r="E200" s="36" t="n">
        <x:v>2</x:v>
      </x:c>
      <x:c r="F200" s="36" t="n">
        <x:v>4</x:v>
      </x:c>
      <x:c r="G200" s="36" t="n">
        <x:v>5</x:v>
      </x:c>
      <x:c r="H200" s="34" t="str">
        <x:v>finalUndeployThreadEvidenceEarly</x:v>
      </x:c>
      <x:c r="I200" s="36" t="n">
        <x:v>2</x:v>
      </x:c>
      <x:c r="J200" s="34" t="str">
        <x:v>early</x:v>
      </x:c>
      <x:c r="K200" s="36" t="n">
        <x:v>27</x:v>
      </x:c>
      <x:c r="L200" s="51" t="n">
        <x:v>0</x:v>
      </x:c>
      <x:c r="M200" s="51" t="n">
        <x:v>0</x:v>
      </x:c>
      <x:c r="N200" s="36" t="n">
        <x:v>10</x:v>
      </x:c>
      <x:c r="O200" s="44" t="str">
        <x:v>http-nio-8080-exec-61#386 | http-nio-8080-exec-62#421 | http-nio-8080-exec-63#422 | http-nio-8080-exec-64#423 | http-nio-8080-exec-65#424 | http-nio-8080-exec-66#427 | http-nio-8080-exec-68#429 | http-nio-8080-exec-69#464 | http-nio-8080-exec-70#465 | http-nio-8080-exec-71#466</x:v>
      </x:c>
      <x:c r="P200" s="36" t="n">
        <x:v>10</x:v>
      </x:c>
      <x:c r="Q200" s="44" t="str">
        <x:v>http-nio-8080-exec-61#386 | http-nio-8080-exec-62#421 | http-nio-8080-exec-63#422 | http-nio-8080-exec-64#423 | http-nio-8080-exec-65#424 | http-nio-8080-exec-66#427 | http-nio-8080-exec-68#429 | http-nio-8080-exec-69#464 | http-nio-8080-exec-70#465 | http-nio-8080-exec-71#466</x:v>
      </x:c>
      <x:c r="R200" s="36" t="n">
        <x:v>0</x:v>
      </x:c>
      <x:c r="S200" s="44"/>
      <x:c r="T200" s="36" t="n">
        <x:v>0</x:v>
      </x:c>
      <x:c r="U200" s="44"/>
      <x:c r="V200" s="36" t="n">
        <x:v>0</x:v>
      </x:c>
      <x:c r="W200" s="44"/>
      <x:c r="X200" s="34" t="str">
        <x:v>no-post-undeploy-thread-signal</x:v>
      </x:c>
      <x:c r="Y200" s="44" t="str">
        <x:v>automated signatures are JCS-specific; all other candidate application threads remain unattributed and ownership requires the archived full dump</x:v>
      </x:c>
    </x:row>
    <x:row r="201">
      <x:c r="A201" s="34" t="str">
        <x:v>article1-unified-v4-2-fb3f101b-20260903-000401-default-f02-p4-jcs4</x:v>
      </x:c>
      <x:c r="B201" s="34" t="str">
        <x:v>default</x:v>
      </x:c>
      <x:c r="C201" s="34" t="str">
        <x:v>jcs4</x:v>
      </x:c>
      <x:c r="D201" s="36" t="n">
        <x:v>2</x:v>
      </x:c>
      <x:c r="E201" s="36" t="n">
        <x:v>2</x:v>
      </x:c>
      <x:c r="F201" s="36" t="n">
        <x:v>4</x:v>
      </x:c>
      <x:c r="G201" s="36" t="n">
        <x:v>5</x:v>
      </x:c>
      <x:c r="H201" s="34" t="str">
        <x:v>finalUndeployThreadEvidenceFinal</x:v>
      </x:c>
      <x:c r="I201" s="36" t="n">
        <x:v>2</x:v>
      </x:c>
      <x:c r="J201" s="34" t="str">
        <x:v>final</x:v>
      </x:c>
      <x:c r="K201" s="36" t="n">
        <x:v>27</x:v>
      </x:c>
      <x:c r="L201" s="51" t="n">
        <x:v>0</x:v>
      </x:c>
      <x:c r="M201" s="51" t="n">
        <x:v>0</x:v>
      </x:c>
      <x:c r="N201" s="36" t="n">
        <x:v>10</x:v>
      </x:c>
      <x:c r="O201" s="44" t="str">
        <x:v>http-nio-8080-exec-61#386 | http-nio-8080-exec-62#421 | http-nio-8080-exec-63#422 | http-nio-8080-exec-64#423 | http-nio-8080-exec-65#424 | http-nio-8080-exec-68#429 | http-nio-8080-exec-69#464 | http-nio-8080-exec-70#465 | http-nio-8080-exec-71#466 | http-nio-8080-exec-72#467</x:v>
      </x:c>
      <x:c r="P201" s="36" t="n">
        <x:v>10</x:v>
      </x:c>
      <x:c r="Q201" s="44" t="str">
        <x:v>http-nio-8080-exec-61#386 | http-nio-8080-exec-62#421 | http-nio-8080-exec-63#422 | http-nio-8080-exec-64#423 | http-nio-8080-exec-65#424 | http-nio-8080-exec-68#429 | http-nio-8080-exec-69#464 | http-nio-8080-exec-70#465 | http-nio-8080-exec-71#466 | http-nio-8080-exec-72#467</x:v>
      </x:c>
      <x:c r="R201" s="36" t="n">
        <x:v>0</x:v>
      </x:c>
      <x:c r="S201" s="44"/>
      <x:c r="T201" s="36" t="n">
        <x:v>0</x:v>
      </x:c>
      <x:c r="U201" s="44"/>
      <x:c r="V201" s="36" t="n">
        <x:v>0</x:v>
      </x:c>
      <x:c r="W201" s="44"/>
      <x:c r="X201" s="34" t="str">
        <x:v>no-post-undeploy-thread-signal</x:v>
      </x:c>
      <x:c r="Y201" s="44" t="str">
        <x:v>automated signatures are JCS-specific; all other candidate application threads remain unattributed and ownership requires the archived full dump</x:v>
      </x:c>
    </x:row>
    <x:row r="202">
      <x:c r="A202" s="34" t="str">
        <x:v>article1-unified-v4-2-fb3f101b-20260903-000401-default-f02-p5-nostore</x:v>
      </x:c>
      <x:c r="B202" s="34" t="str">
        <x:v>default</x:v>
      </x:c>
      <x:c r="C202" s="34" t="str">
        <x:v>nostore</x:v>
      </x:c>
      <x:c r="D202" s="36" t="n">
        <x:v>2</x:v>
      </x:c>
      <x:c r="E202" s="36" t="n">
        <x:v>2</x:v>
      </x:c>
      <x:c r="F202" s="36" t="n">
        <x:v>5</x:v>
      </x:c>
      <x:c r="G202" s="36" t="n">
        <x:v>1</x:v>
      </x:c>
      <x:c r="H202" s="34" t="str">
        <x:v>firstUndeployThreadEvidenceEarly</x:v>
      </x:c>
      <x:c r="I202" s="36" t="n">
        <x:v>1</x:v>
      </x:c>
      <x:c r="J202" s="34" t="str">
        <x:v>early</x:v>
      </x:c>
      <x:c r="K202" s="36" t="n">
        <x:v>27</x:v>
      </x:c>
      <x:c r="L202" s="51" t="n">
        <x:v>0</x:v>
      </x:c>
      <x:c r="M202" s="51" t="n">
        <x:v>0</x:v>
      </x:c>
      <x:c r="N202" s="36" t="n">
        <x:v>2</x:v>
      </x:c>
      <x:c r="O202" s="44" t="str">
        <x:v>http-nio-8080-exec-11#80 | http-nio-8080-exec-12#81</x:v>
      </x:c>
      <x:c r="P202" s="36" t="n">
        <x:v>2</x:v>
      </x:c>
      <x:c r="Q202" s="44" t="str">
        <x:v>http-nio-8080-exec-11#80 | http-nio-8080-exec-12#81</x:v>
      </x:c>
      <x:c r="R202" s="36" t="n">
        <x:v>0</x:v>
      </x:c>
      <x:c r="S202" s="44"/>
      <x:c r="T202" s="36" t="n">
        <x:v>0</x:v>
      </x:c>
      <x:c r="U202" s="44"/>
      <x:c r="V202" s="36" t="n">
        <x:v>0</x:v>
      </x:c>
      <x:c r="W202" s="44"/>
      <x:c r="X202" s="34" t="str">
        <x:v>no-post-undeploy-thread-signal</x:v>
      </x:c>
      <x:c r="Y202" s="44" t="str">
        <x:v>automated signatures are JCS-specific; all other candidate application threads remain unattributed and ownership requires the archived full dump</x:v>
      </x:c>
    </x:row>
    <x:row r="203">
      <x:c r="A203" s="34" t="str">
        <x:v>article1-unified-v4-2-fb3f101b-20260903-000401-default-f02-p5-nostore</x:v>
      </x:c>
      <x:c r="B203" s="34" t="str">
        <x:v>default</x:v>
      </x:c>
      <x:c r="C203" s="34" t="str">
        <x:v>nostore</x:v>
      </x:c>
      <x:c r="D203" s="36" t="n">
        <x:v>2</x:v>
      </x:c>
      <x:c r="E203" s="36" t="n">
        <x:v>2</x:v>
      </x:c>
      <x:c r="F203" s="36" t="n">
        <x:v>5</x:v>
      </x:c>
      <x:c r="G203" s="36" t="n">
        <x:v>1</x:v>
      </x:c>
      <x:c r="H203" s="34" t="str">
        <x:v>firstUndeployThreadEvidenceFinal</x:v>
      </x:c>
      <x:c r="I203" s="36" t="n">
        <x:v>1</x:v>
      </x:c>
      <x:c r="J203" s="34" t="str">
        <x:v>final</x:v>
      </x:c>
      <x:c r="K203" s="36" t="n">
        <x:v>27</x:v>
      </x:c>
      <x:c r="L203" s="51" t="n">
        <x:v>0</x:v>
      </x:c>
      <x:c r="M203" s="51" t="n">
        <x:v>0</x:v>
      </x:c>
      <x:c r="N203" s="36" t="n">
        <x:v>3</x:v>
      </x:c>
      <x:c r="O203" s="44" t="str">
        <x:v>http-nio-8080-exec-11#80 | http-nio-8080-exec-12#81 | http-nio-8080-exec-13#82</x:v>
      </x:c>
      <x:c r="P203" s="36" t="n">
        <x:v>3</x:v>
      </x:c>
      <x:c r="Q203" s="44" t="str">
        <x:v>http-nio-8080-exec-11#80 | http-nio-8080-exec-12#81 | http-nio-8080-exec-13#82</x:v>
      </x:c>
      <x:c r="R203" s="36" t="n">
        <x:v>0</x:v>
      </x:c>
      <x:c r="S203" s="44"/>
      <x:c r="T203" s="36" t="n">
        <x:v>0</x:v>
      </x:c>
      <x:c r="U203" s="44"/>
      <x:c r="V203" s="36" t="n">
        <x:v>0</x:v>
      </x:c>
      <x:c r="W203" s="44"/>
      <x:c r="X203" s="34" t="str">
        <x:v>no-post-undeploy-thread-signal</x:v>
      </x:c>
      <x:c r="Y203" s="44" t="str">
        <x:v>automated signatures are JCS-specific; all other candidate application threads remain unattributed and ownership requires the archived full dump</x:v>
      </x:c>
    </x:row>
    <x:row r="204">
      <x:c r="A204" s="34" t="str">
        <x:v>article1-unified-v4-2-fb3f101b-20260903-000401-default-f02-p5-nostore</x:v>
      </x:c>
      <x:c r="B204" s="34" t="str">
        <x:v>default</x:v>
      </x:c>
      <x:c r="C204" s="34" t="str">
        <x:v>nostore</x:v>
      </x:c>
      <x:c r="D204" s="36" t="n">
        <x:v>2</x:v>
      </x:c>
      <x:c r="E204" s="36" t="n">
        <x:v>2</x:v>
      </x:c>
      <x:c r="F204" s="36" t="n">
        <x:v>5</x:v>
      </x:c>
      <x:c r="G204" s="36" t="n">
        <x:v>1</x:v>
      </x:c>
      <x:c r="H204" s="34" t="str">
        <x:v>finalUndeployThreadEvidenceEarly</x:v>
      </x:c>
      <x:c r="I204" s="36" t="n">
        <x:v>2</x:v>
      </x:c>
      <x:c r="J204" s="34" t="str">
        <x:v>early</x:v>
      </x:c>
      <x:c r="K204" s="36" t="n">
        <x:v>27</x:v>
      </x:c>
      <x:c r="L204" s="51" t="n">
        <x:v>0</x:v>
      </x:c>
      <x:c r="M204" s="51" t="n">
        <x:v>0</x:v>
      </x:c>
      <x:c r="N204" s="36" t="n">
        <x:v>8</x:v>
      </x:c>
      <x:c r="O204" s="44" t="str">
        <x:v>http-nio-8080-exec-11#80 | http-nio-8080-exec-12#81 | http-nio-8080-exec-13#82 | http-nio-8080-exec-15#86 | http-nio-8080-exec-16#87 | http-nio-8080-exec-17#120 | http-nio-8080-exec-18#121 | http-nio-8080-exec-19#122</x:v>
      </x:c>
      <x:c r="P204" s="36" t="n">
        <x:v>8</x:v>
      </x:c>
      <x:c r="Q204" s="44" t="str">
        <x:v>http-nio-8080-exec-11#80 | http-nio-8080-exec-12#81 | http-nio-8080-exec-13#82 | http-nio-8080-exec-15#86 | http-nio-8080-exec-16#87 | http-nio-8080-exec-17#120 | http-nio-8080-exec-18#121 | http-nio-8080-exec-19#122</x:v>
      </x:c>
      <x:c r="R204" s="36" t="n">
        <x:v>0</x:v>
      </x:c>
      <x:c r="S204" s="44"/>
      <x:c r="T204" s="36" t="n">
        <x:v>0</x:v>
      </x:c>
      <x:c r="U204" s="44"/>
      <x:c r="V204" s="36" t="n">
        <x:v>0</x:v>
      </x:c>
      <x:c r="W204" s="44"/>
      <x:c r="X204" s="34" t="str">
        <x:v>no-post-undeploy-thread-signal</x:v>
      </x:c>
      <x:c r="Y204" s="44" t="str">
        <x:v>automated signatures are JCS-specific; all other candidate application threads remain unattributed and ownership requires the archived full dump</x:v>
      </x:c>
    </x:row>
    <x:row r="205">
      <x:c r="A205" s="34" t="str">
        <x:v>article1-unified-v4-2-fb3f101b-20260903-000401-default-f02-p5-nostore</x:v>
      </x:c>
      <x:c r="B205" s="34" t="str">
        <x:v>default</x:v>
      </x:c>
      <x:c r="C205" s="34" t="str">
        <x:v>nostore</x:v>
      </x:c>
      <x:c r="D205" s="36" t="n">
        <x:v>2</x:v>
      </x:c>
      <x:c r="E205" s="36" t="n">
        <x:v>2</x:v>
      </x:c>
      <x:c r="F205" s="36" t="n">
        <x:v>5</x:v>
      </x:c>
      <x:c r="G205" s="36" t="n">
        <x:v>1</x:v>
      </x:c>
      <x:c r="H205" s="34" t="str">
        <x:v>finalUndeployThreadEvidenceFinal</x:v>
      </x:c>
      <x:c r="I205" s="36" t="n">
        <x:v>2</x:v>
      </x:c>
      <x:c r="J205" s="34" t="str">
        <x:v>final</x:v>
      </x:c>
      <x:c r="K205" s="36" t="n">
        <x:v>27</x:v>
      </x:c>
      <x:c r="L205" s="51" t="n">
        <x:v>0</x:v>
      </x:c>
      <x:c r="M205" s="51" t="n">
        <x:v>0</x:v>
      </x:c>
      <x:c r="N205" s="36" t="n">
        <x:v>8</x:v>
      </x:c>
      <x:c r="O205" s="44" t="str">
        <x:v>http-nio-8080-exec-12#81 | http-nio-8080-exec-13#82 | http-nio-8080-exec-15#86 | http-nio-8080-exec-16#87 | http-nio-8080-exec-17#120 | http-nio-8080-exec-18#121 | http-nio-8080-exec-19#122 | http-nio-8080-exec-20#123</x:v>
      </x:c>
      <x:c r="P205" s="36" t="n">
        <x:v>8</x:v>
      </x:c>
      <x:c r="Q205" s="44" t="str">
        <x:v>http-nio-8080-exec-12#81 | http-nio-8080-exec-13#82 | http-nio-8080-exec-15#86 | http-nio-8080-exec-16#87 | http-nio-8080-exec-17#120 | http-nio-8080-exec-18#121 | http-nio-8080-exec-19#122 | http-nio-8080-exec-20#123</x:v>
      </x:c>
      <x:c r="R205" s="36" t="n">
        <x:v>0</x:v>
      </x:c>
      <x:c r="S205" s="44"/>
      <x:c r="T205" s="36" t="n">
        <x:v>0</x:v>
      </x:c>
      <x:c r="U205" s="44"/>
      <x:c r="V205" s="36" t="n">
        <x:v>0</x:v>
      </x:c>
      <x:c r="W205" s="44"/>
      <x:c r="X205" s="34" t="str">
        <x:v>no-post-undeploy-thread-signal</x:v>
      </x:c>
      <x:c r="Y205" s="44" t="str">
        <x:v>automated signatures are JCS-specific; all other candidate application threads remain unattributed and ownership requires the archived full dump</x:v>
      </x:c>
    </x:row>
    <x:row r="206">
      <x:c r="A206" s="34" t="str">
        <x:v>article1-unified-v4-2-fb3f101b-20260903-000401-default-f02-p5-nostore</x:v>
      </x:c>
      <x:c r="B206" s="34" t="str">
        <x:v>default</x:v>
      </x:c>
      <x:c r="C206" s="34" t="str">
        <x:v>nostore</x:v>
      </x:c>
      <x:c r="D206" s="36" t="n">
        <x:v>2</x:v>
      </x:c>
      <x:c r="E206" s="36" t="n">
        <x:v>2</x:v>
      </x:c>
      <x:c r="F206" s="36" t="n">
        <x:v>5</x:v>
      </x:c>
      <x:c r="G206" s="36" t="n">
        <x:v>2</x:v>
      </x:c>
      <x:c r="H206" s="34" t="str">
        <x:v>firstUndeployThreadEvidenceEarly</x:v>
      </x:c>
      <x:c r="I206" s="36" t="n">
        <x:v>1</x:v>
      </x:c>
      <x:c r="J206" s="34" t="str">
        <x:v>early</x:v>
      </x:c>
      <x:c r="K206" s="36" t="n">
        <x:v>27</x:v>
      </x:c>
      <x:c r="L206" s="51" t="n">
        <x:v>0</x:v>
      </x:c>
      <x:c r="M206" s="51" t="n">
        <x:v>0</x:v>
      </x:c>
      <x:c r="N206" s="36" t="n">
        <x:v>10</x:v>
      </x:c>
      <x:c r="O206" s="44" t="str">
        <x:v>http-nio-8080-exec-13#82 | http-nio-8080-exec-15#86 | http-nio-8080-exec-17#120 | http-nio-8080-exec-18#121 | http-nio-8080-exec-20#123 | http-nio-8080-exec-21#126 | http-nio-8080-exec-22#127 | http-nio-8080-exec-23#160 | http-nio-8080-exec-24#161 | http-nio-8080-exec-25#162</x:v>
      </x:c>
      <x:c r="P206" s="36" t="n">
        <x:v>5</x:v>
      </x:c>
      <x:c r="Q206" s="44" t="str">
        <x:v>http-nio-8080-exec-21#126 | http-nio-8080-exec-22#127 | http-nio-8080-exec-23#160 | http-nio-8080-exec-24#161 | http-nio-8080-exec-25#162</x:v>
      </x:c>
      <x:c r="R206" s="36" t="n">
        <x:v>0</x:v>
      </x:c>
      <x:c r="S206" s="44"/>
      <x:c r="T206" s="36" t="n">
        <x:v>0</x:v>
      </x:c>
      <x:c r="U206" s="44"/>
      <x:c r="V206" s="36" t="n">
        <x:v>0</x:v>
      </x:c>
      <x:c r="W206" s="44"/>
      <x:c r="X206" s="34" t="str">
        <x:v>no-post-undeploy-thread-signal</x:v>
      </x:c>
      <x:c r="Y206" s="44" t="str">
        <x:v>automated signatures are JCS-specific; all other candidate application threads remain unattributed and ownership requires the archived full dump</x:v>
      </x:c>
    </x:row>
    <x:row r="207">
      <x:c r="A207" s="34" t="str">
        <x:v>article1-unified-v4-2-fb3f101b-20260903-000401-default-f02-p5-nostore</x:v>
      </x:c>
      <x:c r="B207" s="34" t="str">
        <x:v>default</x:v>
      </x:c>
      <x:c r="C207" s="34" t="str">
        <x:v>nostore</x:v>
      </x:c>
      <x:c r="D207" s="36" t="n">
        <x:v>2</x:v>
      </x:c>
      <x:c r="E207" s="36" t="n">
        <x:v>2</x:v>
      </x:c>
      <x:c r="F207" s="36" t="n">
        <x:v>5</x:v>
      </x:c>
      <x:c r="G207" s="36" t="n">
        <x:v>2</x:v>
      </x:c>
      <x:c r="H207" s="34" t="str">
        <x:v>firstUndeployThreadEvidenceFinal</x:v>
      </x:c>
      <x:c r="I207" s="36" t="n">
        <x:v>1</x:v>
      </x:c>
      <x:c r="J207" s="34" t="str">
        <x:v>final</x:v>
      </x:c>
      <x:c r="K207" s="36" t="n">
        <x:v>27</x:v>
      </x:c>
      <x:c r="L207" s="51" t="n">
        <x:v>0</x:v>
      </x:c>
      <x:c r="M207" s="51" t="n">
        <x:v>0</x:v>
      </x:c>
      <x:c r="N207" s="36" t="n">
        <x:v>10</x:v>
      </x:c>
      <x:c r="O207" s="44" t="str">
        <x:v>http-nio-8080-exec-13#82 | http-nio-8080-exec-15#86 | http-nio-8080-exec-17#120 | http-nio-8080-exec-18#121 | http-nio-8080-exec-20#123 | http-nio-8080-exec-22#127 | http-nio-8080-exec-23#160 | http-nio-8080-exec-24#161 | http-nio-8080-exec-25#162 | http-nio-8080-exec-26#163</x:v>
      </x:c>
      <x:c r="P207" s="36" t="n">
        <x:v>5</x:v>
      </x:c>
      <x:c r="Q207" s="44" t="str">
        <x:v>http-nio-8080-exec-22#127 | http-nio-8080-exec-23#160 | http-nio-8080-exec-24#161 | http-nio-8080-exec-25#162 | http-nio-8080-exec-26#163</x:v>
      </x:c>
      <x:c r="R207" s="36" t="n">
        <x:v>0</x:v>
      </x:c>
      <x:c r="S207" s="44"/>
      <x:c r="T207" s="36" t="n">
        <x:v>0</x:v>
      </x:c>
      <x:c r="U207" s="44"/>
      <x:c r="V207" s="36" t="n">
        <x:v>0</x:v>
      </x:c>
      <x:c r="W207" s="44"/>
      <x:c r="X207" s="34" t="str">
        <x:v>no-post-undeploy-thread-signal</x:v>
      </x:c>
      <x:c r="Y207" s="44" t="str">
        <x:v>automated signatures are JCS-specific; all other candidate application threads remain unattributed and ownership requires the archived full dump</x:v>
      </x:c>
    </x:row>
    <x:row r="208">
      <x:c r="A208" s="34" t="str">
        <x:v>article1-unified-v4-2-fb3f101b-20260903-000401-default-f02-p5-nostore</x:v>
      </x:c>
      <x:c r="B208" s="34" t="str">
        <x:v>default</x:v>
      </x:c>
      <x:c r="C208" s="34" t="str">
        <x:v>nostore</x:v>
      </x:c>
      <x:c r="D208" s="36" t="n">
        <x:v>2</x:v>
      </x:c>
      <x:c r="E208" s="36" t="n">
        <x:v>2</x:v>
      </x:c>
      <x:c r="F208" s="36" t="n">
        <x:v>5</x:v>
      </x:c>
      <x:c r="G208" s="36" t="n">
        <x:v>2</x:v>
      </x:c>
      <x:c r="H208" s="34" t="str">
        <x:v>finalUndeployThreadEvidenceEarly</x:v>
      </x:c>
      <x:c r="I208" s="36" t="n">
        <x:v>2</x:v>
      </x:c>
      <x:c r="J208" s="34" t="str">
        <x:v>early</x:v>
      </x:c>
      <x:c r="K208" s="36" t="n">
        <x:v>27</x:v>
      </x:c>
      <x:c r="L208" s="51" t="n">
        <x:v>0</x:v>
      </x:c>
      <x:c r="M208" s="51" t="n">
        <x:v>0</x:v>
      </x:c>
      <x:c r="N208" s="36" t="n">
        <x:v>10</x:v>
      </x:c>
      <x:c r="O208" s="44" t="str">
        <x:v>http-nio-8080-exec-17#120 | http-nio-8080-exec-22#127 | http-nio-8080-exec-24#161 | http-nio-8080-exec-25#162 | http-nio-8080-exec-26#163 | http-nio-8080-exec-27#166 | http-nio-8080-exec-29#168 | http-nio-8080-exec-30#201 | http-nio-8080-exec-31#202 | http-nio-8080-exec-32#203</x:v>
      </x:c>
      <x:c r="P208" s="36" t="n">
        <x:v>9</x:v>
      </x:c>
      <x:c r="Q208" s="44" t="str">
        <x:v>http-nio-8080-exec-22#127 | http-nio-8080-exec-24#161 | http-nio-8080-exec-25#162 | http-nio-8080-exec-26#163 | http-nio-8080-exec-27#166 | http-nio-8080-exec-29#168 | http-nio-8080-exec-30#201 | http-nio-8080-exec-31#202 | http-nio-8080-exec-32#203</x:v>
      </x:c>
      <x:c r="R208" s="36" t="n">
        <x:v>0</x:v>
      </x:c>
      <x:c r="S208" s="44"/>
      <x:c r="T208" s="36" t="n">
        <x:v>0</x:v>
      </x:c>
      <x:c r="U208" s="44"/>
      <x:c r="V208" s="36" t="n">
        <x:v>0</x:v>
      </x:c>
      <x:c r="W208" s="44"/>
      <x:c r="X208" s="34" t="str">
        <x:v>no-post-undeploy-thread-signal</x:v>
      </x:c>
      <x:c r="Y208" s="44" t="str">
        <x:v>automated signatures are JCS-specific; all other candidate application threads remain unattributed and ownership requires the archived full dump</x:v>
      </x:c>
    </x:row>
    <x:row r="209">
      <x:c r="A209" s="34" t="str">
        <x:v>article1-unified-v4-2-fb3f101b-20260903-000401-default-f02-p5-nostore</x:v>
      </x:c>
      <x:c r="B209" s="34" t="str">
        <x:v>default</x:v>
      </x:c>
      <x:c r="C209" s="34" t="str">
        <x:v>nostore</x:v>
      </x:c>
      <x:c r="D209" s="36" t="n">
        <x:v>2</x:v>
      </x:c>
      <x:c r="E209" s="36" t="n">
        <x:v>2</x:v>
      </x:c>
      <x:c r="F209" s="36" t="n">
        <x:v>5</x:v>
      </x:c>
      <x:c r="G209" s="36" t="n">
        <x:v>2</x:v>
      </x:c>
      <x:c r="H209" s="34" t="str">
        <x:v>finalUndeployThreadEvidenceFinal</x:v>
      </x:c>
      <x:c r="I209" s="36" t="n">
        <x:v>2</x:v>
      </x:c>
      <x:c r="J209" s="34" t="str">
        <x:v>final</x:v>
      </x:c>
      <x:c r="K209" s="36" t="n">
        <x:v>27</x:v>
      </x:c>
      <x:c r="L209" s="51" t="n">
        <x:v>0</x:v>
      </x:c>
      <x:c r="M209" s="51" t="n">
        <x:v>0</x:v>
      </x:c>
      <x:c r="N209" s="36" t="n">
        <x:v>10</x:v>
      </x:c>
      <x:c r="O209" s="44" t="str">
        <x:v>http-nio-8080-exec-17#120 | http-nio-8080-exec-22#127 | http-nio-8080-exec-24#161 | http-nio-8080-exec-25#162 | http-nio-8080-exec-26#163 | http-nio-8080-exec-29#168 | http-nio-8080-exec-30#201 | http-nio-8080-exec-31#202 | http-nio-8080-exec-32#203 | http-nio-8080-exec-33#204</x:v>
      </x:c>
      <x:c r="P209" s="36" t="n">
        <x:v>9</x:v>
      </x:c>
      <x:c r="Q209" s="44" t="str">
        <x:v>http-nio-8080-exec-22#127 | http-nio-8080-exec-24#161 | http-nio-8080-exec-25#162 | http-nio-8080-exec-26#163 | http-nio-8080-exec-29#168 | http-nio-8080-exec-30#201 | http-nio-8080-exec-31#202 | http-nio-8080-exec-32#203 | http-nio-8080-exec-33#204</x:v>
      </x:c>
      <x:c r="R209" s="36" t="n">
        <x:v>0</x:v>
      </x:c>
      <x:c r="S209" s="44"/>
      <x:c r="T209" s="36" t="n">
        <x:v>0</x:v>
      </x:c>
      <x:c r="U209" s="44"/>
      <x:c r="V209" s="36" t="n">
        <x:v>0</x:v>
      </x:c>
      <x:c r="W209" s="44"/>
      <x:c r="X209" s="34" t="str">
        <x:v>no-post-undeploy-thread-signal</x:v>
      </x:c>
      <x:c r="Y209" s="44" t="str">
        <x:v>automated signatures are JCS-specific; all other candidate application threads remain unattributed and ownership requires the archived full dump</x:v>
      </x:c>
    </x:row>
    <x:row r="210">
      <x:c r="A210" s="34" t="str">
        <x:v>article1-unified-v4-2-fb3f101b-20260903-000401-default-f02-p5-nostore</x:v>
      </x:c>
      <x:c r="B210" s="34" t="str">
        <x:v>default</x:v>
      </x:c>
      <x:c r="C210" s="34" t="str">
        <x:v>nostore</x:v>
      </x:c>
      <x:c r="D210" s="36" t="n">
        <x:v>2</x:v>
      </x:c>
      <x:c r="E210" s="36" t="n">
        <x:v>2</x:v>
      </x:c>
      <x:c r="F210" s="36" t="n">
        <x:v>5</x:v>
      </x:c>
      <x:c r="G210" s="36" t="n">
        <x:v>3</x:v>
      </x:c>
      <x:c r="H210" s="34" t="str">
        <x:v>firstUndeployThreadEvidenceEarly</x:v>
      </x:c>
      <x:c r="I210" s="36" t="n">
        <x:v>1</x:v>
      </x:c>
      <x:c r="J210" s="34" t="str">
        <x:v>early</x:v>
      </x:c>
      <x:c r="K210" s="36" t="n">
        <x:v>27</x:v>
      </x:c>
      <x:c r="L210" s="51" t="n">
        <x:v>0</x:v>
      </x:c>
      <x:c r="M210" s="51" t="n">
        <x:v>0</x:v>
      </x:c>
      <x:c r="N210" s="36" t="n">
        <x:v>10</x:v>
      </x:c>
      <x:c r="O210" s="44" t="str">
        <x:v>http-nio-8080-exec-22#127 | http-nio-8080-exec-24#161 | http-nio-8080-exec-29#168 | http-nio-8080-exec-31#202 | http-nio-8080-exec-32#203 | http-nio-8080-exec-34#207 | http-nio-8080-exec-35#208 | http-nio-8080-exec-36#241 | http-nio-8080-exec-37#242 | http-nio-8080-exec-38#243</x:v>
      </x:c>
      <x:c r="P210" s="36" t="n">
        <x:v>5</x:v>
      </x:c>
      <x:c r="Q210" s="44" t="str">
        <x:v>http-nio-8080-exec-34#207 | http-nio-8080-exec-35#208 | http-nio-8080-exec-36#241 | http-nio-8080-exec-37#242 | http-nio-8080-exec-38#243</x:v>
      </x:c>
      <x:c r="R210" s="36" t="n">
        <x:v>0</x:v>
      </x:c>
      <x:c r="S210" s="44"/>
      <x:c r="T210" s="36" t="n">
        <x:v>0</x:v>
      </x:c>
      <x:c r="U210" s="44"/>
      <x:c r="V210" s="36" t="n">
        <x:v>0</x:v>
      </x:c>
      <x:c r="W210" s="44"/>
      <x:c r="X210" s="34" t="str">
        <x:v>no-post-undeploy-thread-signal</x:v>
      </x:c>
      <x:c r="Y210" s="44" t="str">
        <x:v>automated signatures are JCS-specific; all other candidate application threads remain unattributed and ownership requires the archived full dump</x:v>
      </x:c>
    </x:row>
    <x:row r="211">
      <x:c r="A211" s="34" t="str">
        <x:v>article1-unified-v4-2-fb3f101b-20260903-000401-default-f02-p5-nostore</x:v>
      </x:c>
      <x:c r="B211" s="34" t="str">
        <x:v>default</x:v>
      </x:c>
      <x:c r="C211" s="34" t="str">
        <x:v>nostore</x:v>
      </x:c>
      <x:c r="D211" s="36" t="n">
        <x:v>2</x:v>
      </x:c>
      <x:c r="E211" s="36" t="n">
        <x:v>2</x:v>
      </x:c>
      <x:c r="F211" s="36" t="n">
        <x:v>5</x:v>
      </x:c>
      <x:c r="G211" s="36" t="n">
        <x:v>3</x:v>
      </x:c>
      <x:c r="H211" s="34" t="str">
        <x:v>firstUndeployThreadEvidenceFinal</x:v>
      </x:c>
      <x:c r="I211" s="36" t="n">
        <x:v>1</x:v>
      </x:c>
      <x:c r="J211" s="34" t="str">
        <x:v>final</x:v>
      </x:c>
      <x:c r="K211" s="36" t="n">
        <x:v>27</x:v>
      </x:c>
      <x:c r="L211" s="51" t="n">
        <x:v>0</x:v>
      </x:c>
      <x:c r="M211" s="51" t="n">
        <x:v>0</x:v>
      </x:c>
      <x:c r="N211" s="36" t="n">
        <x:v>10</x:v>
      </x:c>
      <x:c r="O211" s="44" t="str">
        <x:v>http-nio-8080-exec-22#127 | http-nio-8080-exec-24#161 | http-nio-8080-exec-29#168 | http-nio-8080-exec-31#202 | http-nio-8080-exec-34#207 | http-nio-8080-exec-35#208 | http-nio-8080-exec-36#241 | http-nio-8080-exec-37#242 | http-nio-8080-exec-38#243 | http-nio-8080-exec-39#244</x:v>
      </x:c>
      <x:c r="P211" s="36" t="n">
        <x:v>6</x:v>
      </x:c>
      <x:c r="Q211" s="44" t="str">
        <x:v>http-nio-8080-exec-34#207 | http-nio-8080-exec-35#208 | http-nio-8080-exec-36#241 | http-nio-8080-exec-37#242 | http-nio-8080-exec-38#243 | http-nio-8080-exec-39#244</x:v>
      </x:c>
      <x:c r="R211" s="36" t="n">
        <x:v>0</x:v>
      </x:c>
      <x:c r="S211" s="44"/>
      <x:c r="T211" s="36" t="n">
        <x:v>0</x:v>
      </x:c>
      <x:c r="U211" s="44"/>
      <x:c r="V211" s="36" t="n">
        <x:v>0</x:v>
      </x:c>
      <x:c r="W211" s="44"/>
      <x:c r="X211" s="34" t="str">
        <x:v>no-post-undeploy-thread-signal</x:v>
      </x:c>
      <x:c r="Y211" s="44" t="str">
        <x:v>automated signatures are JCS-specific; all other candidate application threads remain unattributed and ownership requires the archived full dump</x:v>
      </x:c>
    </x:row>
    <x:row r="212">
      <x:c r="A212" s="34" t="str">
        <x:v>article1-unified-v4-2-fb3f101b-20260903-000401-default-f02-p5-nostore</x:v>
      </x:c>
      <x:c r="B212" s="34" t="str">
        <x:v>default</x:v>
      </x:c>
      <x:c r="C212" s="34" t="str">
        <x:v>nostore</x:v>
      </x:c>
      <x:c r="D212" s="36" t="n">
        <x:v>2</x:v>
      </x:c>
      <x:c r="E212" s="36" t="n">
        <x:v>2</x:v>
      </x:c>
      <x:c r="F212" s="36" t="n">
        <x:v>5</x:v>
      </x:c>
      <x:c r="G212" s="36" t="n">
        <x:v>3</x:v>
      </x:c>
      <x:c r="H212" s="34" t="str">
        <x:v>finalUndeployThreadEvidenceEarly</x:v>
      </x:c>
      <x:c r="I212" s="36" t="n">
        <x:v>2</x:v>
      </x:c>
      <x:c r="J212" s="34" t="str">
        <x:v>early</x:v>
      </x:c>
      <x:c r="K212" s="36" t="n">
        <x:v>27</x:v>
      </x:c>
      <x:c r="L212" s="51" t="n">
        <x:v>0</x:v>
      </x:c>
      <x:c r="M212" s="51" t="n">
        <x:v>0</x:v>
      </x:c>
      <x:c r="N212" s="36" t="n">
        <x:v>10</x:v>
      </x:c>
      <x:c r="O212" s="44" t="str">
        <x:v>http-nio-8080-exec-35#208 | http-nio-8080-exec-36#241 | http-nio-8080-exec-38#243 | http-nio-8080-exec-39#244 | http-nio-8080-exec-40#247 | http-nio-8080-exec-41#248 | http-nio-8080-exec-42#249 | http-nio-8080-exec-43#282 | http-nio-8080-exec-44#283 | http-nio-8080-exec-45#284</x:v>
      </x:c>
      <x:c r="P212" s="36" t="n">
        <x:v>10</x:v>
      </x:c>
      <x:c r="Q212" s="44" t="str">
        <x:v>http-nio-8080-exec-35#208 | http-nio-8080-exec-36#241 | http-nio-8080-exec-38#243 | http-nio-8080-exec-39#244 | http-nio-8080-exec-40#247 | http-nio-8080-exec-41#248 | http-nio-8080-exec-42#249 | http-nio-8080-exec-43#282 | http-nio-8080-exec-44#283 | http-nio-8080-exec-45#284</x:v>
      </x:c>
      <x:c r="R212" s="36" t="n">
        <x:v>0</x:v>
      </x:c>
      <x:c r="S212" s="44"/>
      <x:c r="T212" s="36" t="n">
        <x:v>0</x:v>
      </x:c>
      <x:c r="U212" s="44"/>
      <x:c r="V212" s="36" t="n">
        <x:v>0</x:v>
      </x:c>
      <x:c r="W212" s="44"/>
      <x:c r="X212" s="34" t="str">
        <x:v>no-post-undeploy-thread-signal</x:v>
      </x:c>
      <x:c r="Y212" s="44" t="str">
        <x:v>automated signatures are JCS-specific; all other candidate application threads remain unattributed and ownership requires the archived full dump</x:v>
      </x:c>
    </x:row>
    <x:row r="213">
      <x:c r="A213" s="34" t="str">
        <x:v>article1-unified-v4-2-fb3f101b-20260903-000401-default-f02-p5-nostore</x:v>
      </x:c>
      <x:c r="B213" s="34" t="str">
        <x:v>default</x:v>
      </x:c>
      <x:c r="C213" s="34" t="str">
        <x:v>nostore</x:v>
      </x:c>
      <x:c r="D213" s="36" t="n">
        <x:v>2</x:v>
      </x:c>
      <x:c r="E213" s="36" t="n">
        <x:v>2</x:v>
      </x:c>
      <x:c r="F213" s="36" t="n">
        <x:v>5</x:v>
      </x:c>
      <x:c r="G213" s="36" t="n">
        <x:v>3</x:v>
      </x:c>
      <x:c r="H213" s="34" t="str">
        <x:v>finalUndeployThreadEvidenceFinal</x:v>
      </x:c>
      <x:c r="I213" s="36" t="n">
        <x:v>2</x:v>
      </x:c>
      <x:c r="J213" s="34" t="str">
        <x:v>final</x:v>
      </x:c>
      <x:c r="K213" s="36" t="n">
        <x:v>27</x:v>
      </x:c>
      <x:c r="L213" s="51" t="n">
        <x:v>0</x:v>
      </x:c>
      <x:c r="M213" s="51" t="n">
        <x:v>0</x:v>
      </x:c>
      <x:c r="N213" s="36" t="n">
        <x:v>10</x:v>
      </x:c>
      <x:c r="O213" s="44" t="str">
        <x:v>http-nio-8080-exec-35#208 | http-nio-8080-exec-36#241 | http-nio-8080-exec-38#243 | http-nio-8080-exec-39#244 | http-nio-8080-exec-40#247 | http-nio-8080-exec-41#248 | http-nio-8080-exec-42#249 | http-nio-8080-exec-44#283 | http-nio-8080-exec-45#284 | http-nio-8080-exec-46#285</x:v>
      </x:c>
      <x:c r="P213" s="36" t="n">
        <x:v>10</x:v>
      </x:c>
      <x:c r="Q213" s="44" t="str">
        <x:v>http-nio-8080-exec-35#208 | http-nio-8080-exec-36#241 | http-nio-8080-exec-38#243 | http-nio-8080-exec-39#244 | http-nio-8080-exec-40#247 | http-nio-8080-exec-41#248 | http-nio-8080-exec-42#249 | http-nio-8080-exec-44#283 | http-nio-8080-exec-45#284 | http-nio-8080-exec-46#285</x:v>
      </x:c>
      <x:c r="R213" s="36" t="n">
        <x:v>0</x:v>
      </x:c>
      <x:c r="S213" s="44"/>
      <x:c r="T213" s="36" t="n">
        <x:v>0</x:v>
      </x:c>
      <x:c r="U213" s="44"/>
      <x:c r="V213" s="36" t="n">
        <x:v>0</x:v>
      </x:c>
      <x:c r="W213" s="44"/>
      <x:c r="X213" s="34" t="str">
        <x:v>no-post-undeploy-thread-signal</x:v>
      </x:c>
      <x:c r="Y213" s="44" t="str">
        <x:v>automated signatures are JCS-specific; all other candidate application threads remain unattributed and ownership requires the archived full dump</x:v>
      </x:c>
    </x:row>
    <x:row r="214">
      <x:c r="A214" s="34" t="str">
        <x:v>article1-unified-v4-2-fb3f101b-20260903-000401-default-f02-p5-nostore</x:v>
      </x:c>
      <x:c r="B214" s="34" t="str">
        <x:v>default</x:v>
      </x:c>
      <x:c r="C214" s="34" t="str">
        <x:v>nostore</x:v>
      </x:c>
      <x:c r="D214" s="36" t="n">
        <x:v>2</x:v>
      </x:c>
      <x:c r="E214" s="36" t="n">
        <x:v>2</x:v>
      </x:c>
      <x:c r="F214" s="36" t="n">
        <x:v>5</x:v>
      </x:c>
      <x:c r="G214" s="36" t="n">
        <x:v>4</x:v>
      </x:c>
      <x:c r="H214" s="34" t="str">
        <x:v>firstUndeployThreadEvidenceEarly</x:v>
      </x:c>
      <x:c r="I214" s="36" t="n">
        <x:v>1</x:v>
      </x:c>
      <x:c r="J214" s="34" t="str">
        <x:v>early</x:v>
      </x:c>
      <x:c r="K214" s="36" t="n">
        <x:v>27</x:v>
      </x:c>
      <x:c r="L214" s="51" t="n">
        <x:v>0</x:v>
      </x:c>
      <x:c r="M214" s="51" t="n">
        <x:v>0</x:v>
      </x:c>
      <x:c r="N214" s="36" t="n">
        <x:v>10</x:v>
      </x:c>
      <x:c r="O214" s="44" t="str">
        <x:v>http-nio-8080-exec-35#208 | http-nio-8080-exec-36#241 | http-nio-8080-exec-38#243 | http-nio-8080-exec-44#283 | http-nio-8080-exec-45#284 | http-nio-8080-exec-46#285 | http-nio-8080-exec-48#289 | http-nio-8080-exec-49#322 | http-nio-8080-exec-50#323 | http-nio-8080-exec-51#324</x:v>
      </x:c>
      <x:c r="P214" s="36" t="n">
        <x:v>4</x:v>
      </x:c>
      <x:c r="Q214" s="44" t="str">
        <x:v>http-nio-8080-exec-48#289 | http-nio-8080-exec-49#322 | http-nio-8080-exec-50#323 | http-nio-8080-exec-51#324</x:v>
      </x:c>
      <x:c r="R214" s="36" t="n">
        <x:v>0</x:v>
      </x:c>
      <x:c r="S214" s="44"/>
      <x:c r="T214" s="36" t="n">
        <x:v>0</x:v>
      </x:c>
      <x:c r="U214" s="44"/>
      <x:c r="V214" s="36" t="n">
        <x:v>0</x:v>
      </x:c>
      <x:c r="W214" s="44"/>
      <x:c r="X214" s="34" t="str">
        <x:v>no-post-undeploy-thread-signal</x:v>
      </x:c>
      <x:c r="Y214" s="44" t="str">
        <x:v>automated signatures are JCS-specific; all other candidate application threads remain unattributed and ownership requires the archived full dump</x:v>
      </x:c>
    </x:row>
    <x:row r="215">
      <x:c r="A215" s="34" t="str">
        <x:v>article1-unified-v4-2-fb3f101b-20260903-000401-default-f02-p5-nostore</x:v>
      </x:c>
      <x:c r="B215" s="34" t="str">
        <x:v>default</x:v>
      </x:c>
      <x:c r="C215" s="34" t="str">
        <x:v>nostore</x:v>
      </x:c>
      <x:c r="D215" s="36" t="n">
        <x:v>2</x:v>
      </x:c>
      <x:c r="E215" s="36" t="n">
        <x:v>2</x:v>
      </x:c>
      <x:c r="F215" s="36" t="n">
        <x:v>5</x:v>
      </x:c>
      <x:c r="G215" s="36" t="n">
        <x:v>4</x:v>
      </x:c>
      <x:c r="H215" s="34" t="str">
        <x:v>firstUndeployThreadEvidenceFinal</x:v>
      </x:c>
      <x:c r="I215" s="36" t="n">
        <x:v>1</x:v>
      </x:c>
      <x:c r="J215" s="34" t="str">
        <x:v>final</x:v>
      </x:c>
      <x:c r="K215" s="36" t="n">
        <x:v>27</x:v>
      </x:c>
      <x:c r="L215" s="51" t="n">
        <x:v>0</x:v>
      </x:c>
      <x:c r="M215" s="51" t="n">
        <x:v>0</x:v>
      </x:c>
      <x:c r="N215" s="36" t="n">
        <x:v>10</x:v>
      </x:c>
      <x:c r="O215" s="44" t="str">
        <x:v>http-nio-8080-exec-36#241 | http-nio-8080-exec-38#243 | http-nio-8080-exec-44#283 | http-nio-8080-exec-45#284 | http-nio-8080-exec-46#285 | http-nio-8080-exec-48#289 | http-nio-8080-exec-49#322 | http-nio-8080-exec-50#323 | http-nio-8080-exec-51#324 | http-nio-8080-exec-52#325</x:v>
      </x:c>
      <x:c r="P215" s="36" t="n">
        <x:v>5</x:v>
      </x:c>
      <x:c r="Q215" s="44" t="str">
        <x:v>http-nio-8080-exec-48#289 | http-nio-8080-exec-49#322 | http-nio-8080-exec-50#323 | http-nio-8080-exec-51#324 | http-nio-8080-exec-52#325</x:v>
      </x:c>
      <x:c r="R215" s="36" t="n">
        <x:v>0</x:v>
      </x:c>
      <x:c r="S215" s="44"/>
      <x:c r="T215" s="36" t="n">
        <x:v>0</x:v>
      </x:c>
      <x:c r="U215" s="44"/>
      <x:c r="V215" s="36" t="n">
        <x:v>0</x:v>
      </x:c>
      <x:c r="W215" s="44"/>
      <x:c r="X215" s="34" t="str">
        <x:v>no-post-undeploy-thread-signal</x:v>
      </x:c>
      <x:c r="Y215" s="44" t="str">
        <x:v>automated signatures are JCS-specific; all other candidate application threads remain unattributed and ownership requires the archived full dump</x:v>
      </x:c>
    </x:row>
    <x:row r="216">
      <x:c r="A216" s="34" t="str">
        <x:v>article1-unified-v4-2-fb3f101b-20260903-000401-default-f02-p5-nostore</x:v>
      </x:c>
      <x:c r="B216" s="34" t="str">
        <x:v>default</x:v>
      </x:c>
      <x:c r="C216" s="34" t="str">
        <x:v>nostore</x:v>
      </x:c>
      <x:c r="D216" s="36" t="n">
        <x:v>2</x:v>
      </x:c>
      <x:c r="E216" s="36" t="n">
        <x:v>2</x:v>
      </x:c>
      <x:c r="F216" s="36" t="n">
        <x:v>5</x:v>
      </x:c>
      <x:c r="G216" s="36" t="n">
        <x:v>4</x:v>
      </x:c>
      <x:c r="H216" s="34" t="str">
        <x:v>finalUndeployThreadEvidenceEarly</x:v>
      </x:c>
      <x:c r="I216" s="36" t="n">
        <x:v>2</x:v>
      </x:c>
      <x:c r="J216" s="34" t="str">
        <x:v>early</x:v>
      </x:c>
      <x:c r="K216" s="36" t="n">
        <x:v>27</x:v>
      </x:c>
      <x:c r="L216" s="51" t="n">
        <x:v>0</x:v>
      </x:c>
      <x:c r="M216" s="51" t="n">
        <x:v>0</x:v>
      </x:c>
      <x:c r="N216" s="36" t="n">
        <x:v>10</x:v>
      </x:c>
      <x:c r="O216" s="44" t="str">
        <x:v>http-nio-8080-exec-36#241 | http-nio-8080-exec-46#285 | http-nio-8080-exec-50#323 | http-nio-8080-exec-51#324 | http-nio-8080-exec-52#325 | http-nio-8080-exec-54#329 | http-nio-8080-exec-55#330 | http-nio-8080-exec-56#363 | http-nio-8080-exec-57#364 | http-nio-8080-exec-58#365</x:v>
      </x:c>
      <x:c r="P216" s="36" t="n">
        <x:v>8</x:v>
      </x:c>
      <x:c r="Q216" s="44" t="str">
        <x:v>http-nio-8080-exec-50#323 | http-nio-8080-exec-51#324 | http-nio-8080-exec-52#325 | http-nio-8080-exec-54#329 | http-nio-8080-exec-55#330 | http-nio-8080-exec-56#363 | http-nio-8080-exec-57#364 | http-nio-8080-exec-58#365</x:v>
      </x:c>
      <x:c r="R216" s="36" t="n">
        <x:v>0</x:v>
      </x:c>
      <x:c r="S216" s="44"/>
      <x:c r="T216" s="36" t="n">
        <x:v>0</x:v>
      </x:c>
      <x:c r="U216" s="44"/>
      <x:c r="V216" s="36" t="n">
        <x:v>0</x:v>
      </x:c>
      <x:c r="W216" s="44"/>
      <x:c r="X216" s="34" t="str">
        <x:v>no-post-undeploy-thread-signal</x:v>
      </x:c>
      <x:c r="Y216" s="44" t="str">
        <x:v>automated signatures are JCS-specific; all other candidate application threads remain unattributed and ownership requires the archived full dump</x:v>
      </x:c>
    </x:row>
    <x:row r="217">
      <x:c r="A217" s="34" t="str">
        <x:v>article1-unified-v4-2-fb3f101b-20260903-000401-default-f02-p5-nostore</x:v>
      </x:c>
      <x:c r="B217" s="34" t="str">
        <x:v>default</x:v>
      </x:c>
      <x:c r="C217" s="34" t="str">
        <x:v>nostore</x:v>
      </x:c>
      <x:c r="D217" s="36" t="n">
        <x:v>2</x:v>
      </x:c>
      <x:c r="E217" s="36" t="n">
        <x:v>2</x:v>
      </x:c>
      <x:c r="F217" s="36" t="n">
        <x:v>5</x:v>
      </x:c>
      <x:c r="G217" s="36" t="n">
        <x:v>4</x:v>
      </x:c>
      <x:c r="H217" s="34" t="str">
        <x:v>finalUndeployThreadEvidenceFinal</x:v>
      </x:c>
      <x:c r="I217" s="36" t="n">
        <x:v>2</x:v>
      </x:c>
      <x:c r="J217" s="34" t="str">
        <x:v>final</x:v>
      </x:c>
      <x:c r="K217" s="36" t="n">
        <x:v>27</x:v>
      </x:c>
      <x:c r="L217" s="51" t="n">
        <x:v>0</x:v>
      </x:c>
      <x:c r="M217" s="51" t="n">
        <x:v>0</x:v>
      </x:c>
      <x:c r="N217" s="36" t="n">
        <x:v>10</x:v>
      </x:c>
      <x:c r="O217" s="44" t="str">
        <x:v>http-nio-8080-exec-36#241 | http-nio-8080-exec-46#285 | http-nio-8080-exec-50#323 | http-nio-8080-exec-51#324 | http-nio-8080-exec-52#325 | http-nio-8080-exec-54#329 | http-nio-8080-exec-55#330 | http-nio-8080-exec-57#364 | http-nio-8080-exec-58#365 | http-nio-8080-exec-59#366</x:v>
      </x:c>
      <x:c r="P217" s="36" t="n">
        <x:v>8</x:v>
      </x:c>
      <x:c r="Q217" s="44" t="str">
        <x:v>http-nio-8080-exec-50#323 | http-nio-8080-exec-51#324 | http-nio-8080-exec-52#325 | http-nio-8080-exec-54#329 | http-nio-8080-exec-55#330 | http-nio-8080-exec-57#364 | http-nio-8080-exec-58#365 | http-nio-8080-exec-59#366</x:v>
      </x:c>
      <x:c r="R217" s="36" t="n">
        <x:v>0</x:v>
      </x:c>
      <x:c r="S217" s="44"/>
      <x:c r="T217" s="36" t="n">
        <x:v>0</x:v>
      </x:c>
      <x:c r="U217" s="44"/>
      <x:c r="V217" s="36" t="n">
        <x:v>0</x:v>
      </x:c>
      <x:c r="W217" s="44"/>
      <x:c r="X217" s="34" t="str">
        <x:v>no-post-undeploy-thread-signal</x:v>
      </x:c>
      <x:c r="Y217" s="44" t="str">
        <x:v>automated signatures are JCS-specific; all other candidate application threads remain unattributed and ownership requires the archived full dump</x:v>
      </x:c>
    </x:row>
    <x:row r="218">
      <x:c r="A218" s="34" t="str">
        <x:v>article1-unified-v4-2-fb3f101b-20260903-000401-default-f02-p5-nostore</x:v>
      </x:c>
      <x:c r="B218" s="34" t="str">
        <x:v>default</x:v>
      </x:c>
      <x:c r="C218" s="34" t="str">
        <x:v>nostore</x:v>
      </x:c>
      <x:c r="D218" s="36" t="n">
        <x:v>2</x:v>
      </x:c>
      <x:c r="E218" s="36" t="n">
        <x:v>2</x:v>
      </x:c>
      <x:c r="F218" s="36" t="n">
        <x:v>5</x:v>
      </x:c>
      <x:c r="G218" s="36" t="n">
        <x:v>5</x:v>
      </x:c>
      <x:c r="H218" s="34" t="str">
        <x:v>firstUndeployThreadEvidenceEarly</x:v>
      </x:c>
      <x:c r="I218" s="36" t="n">
        <x:v>1</x:v>
      </x:c>
      <x:c r="J218" s="34" t="str">
        <x:v>early</x:v>
      </x:c>
      <x:c r="K218" s="36" t="n">
        <x:v>27</x:v>
      </x:c>
      <x:c r="L218" s="51" t="n">
        <x:v>0</x:v>
      </x:c>
      <x:c r="M218" s="51" t="n">
        <x:v>0</x:v>
      </x:c>
      <x:c r="N218" s="36" t="n">
        <x:v>10</x:v>
      </x:c>
      <x:c r="O218" s="44" t="str">
        <x:v>http-nio-8080-exec-46#285 | http-nio-8080-exec-51#324 | http-nio-8080-exec-52#325 | http-nio-8080-exec-57#364 | http-nio-8080-exec-58#365 | http-nio-8080-exec-59#366 | http-nio-8080-exec-60#369 | http-nio-8080-exec-61#370 | http-nio-8080-exec-63#404 | http-nio-8080-exec-64#405</x:v>
      </x:c>
      <x:c r="P218" s="36" t="n">
        <x:v>4</x:v>
      </x:c>
      <x:c r="Q218" s="44" t="str">
        <x:v>http-nio-8080-exec-60#369 | http-nio-8080-exec-61#370 | http-nio-8080-exec-63#404 | http-nio-8080-exec-64#405</x:v>
      </x:c>
      <x:c r="R218" s="36" t="n">
        <x:v>0</x:v>
      </x:c>
      <x:c r="S218" s="44"/>
      <x:c r="T218" s="36" t="n">
        <x:v>0</x:v>
      </x:c>
      <x:c r="U218" s="44"/>
      <x:c r="V218" s="36" t="n">
        <x:v>0</x:v>
      </x:c>
      <x:c r="W218" s="44"/>
      <x:c r="X218" s="34" t="str">
        <x:v>no-post-undeploy-thread-signal</x:v>
      </x:c>
      <x:c r="Y218" s="44" t="str">
        <x:v>automated signatures are JCS-specific; all other candidate application threads remain unattributed and ownership requires the archived full dump</x:v>
      </x:c>
    </x:row>
    <x:row r="219">
      <x:c r="A219" s="34" t="str">
        <x:v>article1-unified-v4-2-fb3f101b-20260903-000401-default-f02-p5-nostore</x:v>
      </x:c>
      <x:c r="B219" s="34" t="str">
        <x:v>default</x:v>
      </x:c>
      <x:c r="C219" s="34" t="str">
        <x:v>nostore</x:v>
      </x:c>
      <x:c r="D219" s="36" t="n">
        <x:v>2</x:v>
      </x:c>
      <x:c r="E219" s="36" t="n">
        <x:v>2</x:v>
      </x:c>
      <x:c r="F219" s="36" t="n">
        <x:v>5</x:v>
      </x:c>
      <x:c r="G219" s="36" t="n">
        <x:v>5</x:v>
      </x:c>
      <x:c r="H219" s="34" t="str">
        <x:v>firstUndeployThreadEvidenceFinal</x:v>
      </x:c>
      <x:c r="I219" s="36" t="n">
        <x:v>1</x:v>
      </x:c>
      <x:c r="J219" s="34" t="str">
        <x:v>final</x:v>
      </x:c>
      <x:c r="K219" s="36" t="n">
        <x:v>27</x:v>
      </x:c>
      <x:c r="L219" s="51" t="n">
        <x:v>0</x:v>
      </x:c>
      <x:c r="M219" s="51" t="n">
        <x:v>0</x:v>
      </x:c>
      <x:c r="N219" s="36" t="n">
        <x:v>10</x:v>
      </x:c>
      <x:c r="O219" s="44" t="str">
        <x:v>http-nio-8080-exec-46#285 | http-nio-8080-exec-51#324 | http-nio-8080-exec-57#364 | http-nio-8080-exec-58#365 | http-nio-8080-exec-59#366 | http-nio-8080-exec-60#369 | http-nio-8080-exec-61#370 | http-nio-8080-exec-63#404 | http-nio-8080-exec-64#405 | http-nio-8080-exec-65#406</x:v>
      </x:c>
      <x:c r="P219" s="36" t="n">
        <x:v>5</x:v>
      </x:c>
      <x:c r="Q219" s="44" t="str">
        <x:v>http-nio-8080-exec-60#369 | http-nio-8080-exec-61#370 | http-nio-8080-exec-63#404 | http-nio-8080-exec-64#405 | http-nio-8080-exec-65#406</x:v>
      </x:c>
      <x:c r="R219" s="36" t="n">
        <x:v>0</x:v>
      </x:c>
      <x:c r="S219" s="44"/>
      <x:c r="T219" s="36" t="n">
        <x:v>0</x:v>
      </x:c>
      <x:c r="U219" s="44"/>
      <x:c r="V219" s="36" t="n">
        <x:v>0</x:v>
      </x:c>
      <x:c r="W219" s="44"/>
      <x:c r="X219" s="34" t="str">
        <x:v>no-post-undeploy-thread-signal</x:v>
      </x:c>
      <x:c r="Y219" s="44" t="str">
        <x:v>automated signatures are JCS-specific; all other candidate application threads remain unattributed and ownership requires the archived full dump</x:v>
      </x:c>
    </x:row>
    <x:row r="220">
      <x:c r="A220" s="34" t="str">
        <x:v>article1-unified-v4-2-fb3f101b-20260903-000401-default-f02-p5-nostore</x:v>
      </x:c>
      <x:c r="B220" s="34" t="str">
        <x:v>default</x:v>
      </x:c>
      <x:c r="C220" s="34" t="str">
        <x:v>nostore</x:v>
      </x:c>
      <x:c r="D220" s="36" t="n">
        <x:v>2</x:v>
      </x:c>
      <x:c r="E220" s="36" t="n">
        <x:v>2</x:v>
      </x:c>
      <x:c r="F220" s="36" t="n">
        <x:v>5</x:v>
      </x:c>
      <x:c r="G220" s="36" t="n">
        <x:v>5</x:v>
      </x:c>
      <x:c r="H220" s="34" t="str">
        <x:v>finalUndeployThreadEvidenceEarly</x:v>
      </x:c>
      <x:c r="I220" s="36" t="n">
        <x:v>2</x:v>
      </x:c>
      <x:c r="J220" s="34" t="str">
        <x:v>early</x:v>
      </x:c>
      <x:c r="K220" s="36" t="n">
        <x:v>27</x:v>
      </x:c>
      <x:c r="L220" s="51" t="n">
        <x:v>0</x:v>
      </x:c>
      <x:c r="M220" s="51" t="n">
        <x:v>0</x:v>
      </x:c>
      <x:c r="N220" s="36" t="n">
        <x:v>10</x:v>
      </x:c>
      <x:c r="O220" s="44" t="str">
        <x:v>http-nio-8080-exec-58#365 | http-nio-8080-exec-60#369 | http-nio-8080-exec-64#405 | http-nio-8080-exec-65#406 | http-nio-8080-exec-66#409 | http-nio-8080-exec-67#410 | http-nio-8080-exec-68#411 | http-nio-8080-exec-69#444 | http-nio-8080-exec-70#445 | http-nio-8080-exec-71#446</x:v>
      </x:c>
      <x:c r="P220" s="36" t="n">
        <x:v>9</x:v>
      </x:c>
      <x:c r="Q220" s="44" t="str">
        <x:v>http-nio-8080-exec-60#369 | http-nio-8080-exec-64#405 | http-nio-8080-exec-65#406 | http-nio-8080-exec-66#409 | http-nio-8080-exec-67#410 | http-nio-8080-exec-68#411 | http-nio-8080-exec-69#444 | http-nio-8080-exec-70#445 | http-nio-8080-exec-71#446</x:v>
      </x:c>
      <x:c r="R220" s="36" t="n">
        <x:v>0</x:v>
      </x:c>
      <x:c r="S220" s="44"/>
      <x:c r="T220" s="36" t="n">
        <x:v>0</x:v>
      </x:c>
      <x:c r="U220" s="44"/>
      <x:c r="V220" s="36" t="n">
        <x:v>0</x:v>
      </x:c>
      <x:c r="W220" s="44"/>
      <x:c r="X220" s="34" t="str">
        <x:v>no-post-undeploy-thread-signal</x:v>
      </x:c>
      <x:c r="Y220" s="44" t="str">
        <x:v>automated signatures are JCS-specific; all other candidate application threads remain unattributed and ownership requires the archived full dump</x:v>
      </x:c>
    </x:row>
    <x:row r="221">
      <x:c r="A221" s="34" t="str">
        <x:v>article1-unified-v4-2-fb3f101b-20260903-000401-default-f02-p5-nostore</x:v>
      </x:c>
      <x:c r="B221" s="34" t="str">
        <x:v>default</x:v>
      </x:c>
      <x:c r="C221" s="34" t="str">
        <x:v>nostore</x:v>
      </x:c>
      <x:c r="D221" s="36" t="n">
        <x:v>2</x:v>
      </x:c>
      <x:c r="E221" s="36" t="n">
        <x:v>2</x:v>
      </x:c>
      <x:c r="F221" s="36" t="n">
        <x:v>5</x:v>
      </x:c>
      <x:c r="G221" s="36" t="n">
        <x:v>5</x:v>
      </x:c>
      <x:c r="H221" s="34" t="str">
        <x:v>finalUndeployThreadEvidenceFinal</x:v>
      </x:c>
      <x:c r="I221" s="36" t="n">
        <x:v>2</x:v>
      </x:c>
      <x:c r="J221" s="34" t="str">
        <x:v>final</x:v>
      </x:c>
      <x:c r="K221" s="36" t="n">
        <x:v>27</x:v>
      </x:c>
      <x:c r="L221" s="51" t="n">
        <x:v>0</x:v>
      </x:c>
      <x:c r="M221" s="51" t="n">
        <x:v>0</x:v>
      </x:c>
      <x:c r="N221" s="36" t="n">
        <x:v>10</x:v>
      </x:c>
      <x:c r="O221" s="44" t="str">
        <x:v>http-nio-8080-exec-58#365 | http-nio-8080-exec-60#369 | http-nio-8080-exec-64#405 | http-nio-8080-exec-65#406 | http-nio-8080-exec-66#409 | http-nio-8080-exec-67#410 | http-nio-8080-exec-68#411 | http-nio-8080-exec-70#445 | http-nio-8080-exec-71#446 | http-nio-8080-exec-72#447</x:v>
      </x:c>
      <x:c r="P221" s="36" t="n">
        <x:v>9</x:v>
      </x:c>
      <x:c r="Q221" s="44" t="str">
        <x:v>http-nio-8080-exec-60#369 | http-nio-8080-exec-64#405 | http-nio-8080-exec-65#406 | http-nio-8080-exec-66#409 | http-nio-8080-exec-67#410 | http-nio-8080-exec-68#411 | http-nio-8080-exec-70#445 | http-nio-8080-exec-71#446 | http-nio-8080-exec-72#447</x:v>
      </x:c>
      <x:c r="R221" s="36" t="n">
        <x:v>0</x:v>
      </x:c>
      <x:c r="S221" s="44"/>
      <x:c r="T221" s="36" t="n">
        <x:v>0</x:v>
      </x:c>
      <x:c r="U221" s="44"/>
      <x:c r="V221" s="36" t="n">
        <x:v>0</x:v>
      </x:c>
      <x:c r="W221" s="44"/>
      <x:c r="X221" s="34" t="str">
        <x:v>no-post-undeploy-thread-signal</x:v>
      </x:c>
      <x:c r="Y221" s="44" t="str">
        <x:v>automated signatures are JCS-specific; all other candidate application threads remain unattributed and ownership requires the archived full dump</x:v>
      </x:c>
    </x:row>
    <x:row r="222">
      <x:c r="A222" s="34" t="str">
        <x:v>article1-unified-v4-2-fb3f101b-20260903-000401-default-f02-p6-jcs321</x:v>
      </x:c>
      <x:c r="B222" s="34" t="str">
        <x:v>default</x:v>
      </x:c>
      <x:c r="C222" s="34" t="str">
        <x:v>jcs321</x:v>
      </x:c>
      <x:c r="D222" s="36" t="n">
        <x:v>2</x:v>
      </x:c>
      <x:c r="E222" s="36" t="n">
        <x:v>2</x:v>
      </x:c>
      <x:c r="F222" s="36" t="n">
        <x:v>6</x:v>
      </x:c>
      <x:c r="G222" s="36" t="n">
        <x:v>1</x:v>
      </x:c>
      <x:c r="H222" s="34" t="str">
        <x:v>firstUndeployThreadEvidenceEarly</x:v>
      </x:c>
      <x:c r="I222" s="36" t="n">
        <x:v>1</x:v>
      </x:c>
      <x:c r="J222" s="34" t="str">
        <x:v>early</x:v>
      </x:c>
      <x:c r="K222" s="36" t="n">
        <x:v>28</x:v>
      </x:c>
      <x:c r="L222" s="51" t="n">
        <x:v>1</x:v>
      </x:c>
      <x:c r="M222" s="51" t="n">
        <x:v>1</x:v>
      </x:c>
      <x:c r="N222" s="36" t="n">
        <x:v>3</x:v>
      </x:c>
      <x:c r="O222" s="44" t="str">
        <x:v>JCS-ElementEventQueue-Thread-4#49 | http-nio-8080-exec-11#82 | http-nio-8080-exec-12#83</x:v>
      </x:c>
      <x:c r="P222" s="36" t="n">
        <x:v>3</x:v>
      </x:c>
      <x:c r="Q222" s="44" t="str">
        <x:v>JCS-ElementEventQueue-Thread-4#49 | http-nio-8080-exec-11#82 | http-nio-8080-exec-12#83</x:v>
      </x:c>
      <x:c r="R222" s="36" t="n">
        <x:v>1</x:v>
      </x:c>
      <x:c r="S222" s="44" t="str">
        <x:v>JCS-ElementEventQueue-Thread-4#49</x:v>
      </x:c>
      <x:c r="T222" s="36" t="n">
        <x:v>1</x:v>
      </x:c>
      <x:c r="U222" s="44" t="str">
        <x:v>JCS-ElementEventQueue-Thread-4#49</x:v>
      </x:c>
      <x:c r="V222" s="36" t="n">
        <x:v>1</x:v>
      </x:c>
      <x:c r="W222" s="44" t="str">
        <x:v>jcs3-element-event-queue:JCS-ElementEventQueue-Thread-4#49</x:v>
      </x:c>
      <x:c r="X222" s="34" t="str">
        <x:v>jcs-signature-present</x:v>
      </x:c>
      <x:c r="Y222" s="44" t="str">
        <x:v>automated signatures are JCS-specific; all other candidate application threads remain unattributed and ownership requires the archived full dump</x:v>
      </x:c>
    </x:row>
    <x:row r="223">
      <x:c r="A223" s="34" t="str">
        <x:v>article1-unified-v4-2-fb3f101b-20260903-000401-default-f02-p6-jcs321</x:v>
      </x:c>
      <x:c r="B223" s="34" t="str">
        <x:v>default</x:v>
      </x:c>
      <x:c r="C223" s="34" t="str">
        <x:v>jcs321</x:v>
      </x:c>
      <x:c r="D223" s="36" t="n">
        <x:v>2</x:v>
      </x:c>
      <x:c r="E223" s="36" t="n">
        <x:v>2</x:v>
      </x:c>
      <x:c r="F223" s="36" t="n">
        <x:v>6</x:v>
      </x:c>
      <x:c r="G223" s="36" t="n">
        <x:v>1</x:v>
      </x:c>
      <x:c r="H223" s="34" t="str">
        <x:v>firstUndeployThreadEvidenceFinal</x:v>
      </x:c>
      <x:c r="I223" s="36" t="n">
        <x:v>1</x:v>
      </x:c>
      <x:c r="J223" s="34" t="str">
        <x:v>final</x:v>
      </x:c>
      <x:c r="K223" s="36" t="n">
        <x:v>28</x:v>
      </x:c>
      <x:c r="L223" s="51" t="n">
        <x:v>1</x:v>
      </x:c>
      <x:c r="M223" s="51" t="n">
        <x:v>1</x:v>
      </x:c>
      <x:c r="N223" s="36" t="n">
        <x:v>4</x:v>
      </x:c>
      <x:c r="O223" s="44" t="str">
        <x:v>JCS-ElementEventQueue-Thread-4#49 | http-nio-8080-exec-11#82 | http-nio-8080-exec-12#83 | http-nio-8080-exec-13#84</x:v>
      </x:c>
      <x:c r="P223" s="36" t="n">
        <x:v>4</x:v>
      </x:c>
      <x:c r="Q223" s="44" t="str">
        <x:v>JCS-ElementEventQueue-Thread-4#49 | http-nio-8080-exec-11#82 | http-nio-8080-exec-12#83 | http-nio-8080-exec-13#84</x:v>
      </x:c>
      <x:c r="R223" s="36" t="n">
        <x:v>1</x:v>
      </x:c>
      <x:c r="S223" s="44" t="str">
        <x:v>JCS-ElementEventQueue-Thread-4#49</x:v>
      </x:c>
      <x:c r="T223" s="36" t="n">
        <x:v>1</x:v>
      </x:c>
      <x:c r="U223" s="44" t="str">
        <x:v>JCS-ElementEventQueue-Thread-4#49</x:v>
      </x:c>
      <x:c r="V223" s="36" t="n">
        <x:v>1</x:v>
      </x:c>
      <x:c r="W223" s="44" t="str">
        <x:v>jcs3-element-event-queue:JCS-ElementEventQueue-Thread-4#49</x:v>
      </x:c>
      <x:c r="X223" s="34" t="str">
        <x:v>jcs-signature-present</x:v>
      </x:c>
      <x:c r="Y223" s="44" t="str">
        <x:v>automated signatures are JCS-specific; all other candidate application threads remain unattributed and ownership requires the archived full dump</x:v>
      </x:c>
    </x:row>
    <x:row r="224">
      <x:c r="A224" s="34" t="str">
        <x:v>article1-unified-v4-2-fb3f101b-20260903-000401-default-f02-p6-jcs321</x:v>
      </x:c>
      <x:c r="B224" s="34" t="str">
        <x:v>default</x:v>
      </x:c>
      <x:c r="C224" s="34" t="str">
        <x:v>jcs321</x:v>
      </x:c>
      <x:c r="D224" s="36" t="n">
        <x:v>2</x:v>
      </x:c>
      <x:c r="E224" s="36" t="n">
        <x:v>2</x:v>
      </x:c>
      <x:c r="F224" s="36" t="n">
        <x:v>6</x:v>
      </x:c>
      <x:c r="G224" s="36" t="n">
        <x:v>1</x:v>
      </x:c>
      <x:c r="H224" s="34" t="str">
        <x:v>finalUndeployThreadEvidenceEarly</x:v>
      </x:c>
      <x:c r="I224" s="36" t="n">
        <x:v>2</x:v>
      </x:c>
      <x:c r="J224" s="34" t="str">
        <x:v>early</x:v>
      </x:c>
      <x:c r="K224" s="36" t="n">
        <x:v>29</x:v>
      </x:c>
      <x:c r="L224" s="51" t="n">
        <x:v>2</x:v>
      </x:c>
      <x:c r="M224" s="51" t="n">
        <x:v>2</x:v>
      </x:c>
      <x:c r="N224" s="36" t="n">
        <x:v>10</x:v>
      </x:c>
      <x:c r="O224" s="44" t="str">
        <x:v>JCS-ElementEventQueue-Thread-4#49 | http-nio-8080-exec-11#82 | http-nio-8080-exec-12#83 | http-nio-8080-exec-13#84 | http-nio-8080-exec-14#87 | http-nio-8080-exec-16#89 | JCS-ElementEventQueue-Thread-7#91 | http-nio-8080-exec-17#124 | http-nio-8080-exec-18#125 | http-nio-8080-exec-19#126</x:v>
      </x:c>
      <x:c r="P224" s="36" t="n">
        <x:v>10</x:v>
      </x:c>
      <x:c r="Q224" s="44" t="str">
        <x:v>JCS-ElementEventQueue-Thread-4#49 | http-nio-8080-exec-11#82 | http-nio-8080-exec-12#83 | http-nio-8080-exec-13#84 | http-nio-8080-exec-14#87 | http-nio-8080-exec-16#89 | JCS-ElementEventQueue-Thread-7#91 | http-nio-8080-exec-17#124 | http-nio-8080-exec-18#125 | http-nio-8080-exec-19#126</x:v>
      </x:c>
      <x:c r="R224" s="36" t="n">
        <x:v>2</x:v>
      </x:c>
      <x:c r="S224" s="44" t="str">
        <x:v>JCS-ElementEventQueue-Thread-4#49 | JCS-ElementEventQueue-Thread-7#91</x:v>
      </x:c>
      <x:c r="T224" s="36" t="n">
        <x:v>2</x:v>
      </x:c>
      <x:c r="U224" s="44" t="str">
        <x:v>JCS-ElementEventQueue-Thread-4#49 | JCS-ElementEventQueue-Thread-7#91</x:v>
      </x:c>
      <x:c r="V224" s="36" t="n">
        <x:v>2</x:v>
      </x:c>
      <x:c r="W224" s="44" t="str">
        <x:v>jcs3-element-event-queue:JCS-ElementEventQueue-Thread-4#49 | jcs3-element-event-queue:JCS-ElementEventQueue-Thread-7#91</x:v>
      </x:c>
      <x:c r="X224" s="34" t="str">
        <x:v>jcs-signature-present</x:v>
      </x:c>
      <x:c r="Y224" s="44" t="str">
        <x:v>automated signatures are JCS-specific; all other candidate application threads remain unattributed and ownership requires the archived full dump</x:v>
      </x:c>
    </x:row>
    <x:row r="225">
      <x:c r="A225" s="34" t="str">
        <x:v>article1-unified-v4-2-fb3f101b-20260903-000401-default-f02-p6-jcs321</x:v>
      </x:c>
      <x:c r="B225" s="34" t="str">
        <x:v>default</x:v>
      </x:c>
      <x:c r="C225" s="34" t="str">
        <x:v>jcs321</x:v>
      </x:c>
      <x:c r="D225" s="36" t="n">
        <x:v>2</x:v>
      </x:c>
      <x:c r="E225" s="36" t="n">
        <x:v>2</x:v>
      </x:c>
      <x:c r="F225" s="36" t="n">
        <x:v>6</x:v>
      </x:c>
      <x:c r="G225" s="36" t="n">
        <x:v>1</x:v>
      </x:c>
      <x:c r="H225" s="34" t="str">
        <x:v>finalUndeployThreadEvidenceFinal</x:v>
      </x:c>
      <x:c r="I225" s="36" t="n">
        <x:v>2</x:v>
      </x:c>
      <x:c r="J225" s="34" t="str">
        <x:v>final</x:v>
      </x:c>
      <x:c r="K225" s="36" t="n">
        <x:v>29</x:v>
      </x:c>
      <x:c r="L225" s="51" t="n">
        <x:v>2</x:v>
      </x:c>
      <x:c r="M225" s="51" t="n">
        <x:v>2</x:v>
      </x:c>
      <x:c r="N225" s="36" t="n">
        <x:v>11</x:v>
      </x:c>
      <x:c r="O225" s="44" t="str">
        <x:v>JCS-ElementEventQueue-Thread-4#49 | http-nio-8080-exec-11#82 | http-nio-8080-exec-12#83 | http-nio-8080-exec-13#84 | http-nio-8080-exec-14#87 | http-nio-8080-exec-16#89 | JCS-ElementEventQueue-Thread-7#91 | http-nio-8080-exec-17#124 | http-nio-8080-exec-18#125 | http-nio-8080-exec-19#126 | http-nio-8080-exec-20#127</x:v>
      </x:c>
      <x:c r="P225" s="36" t="n">
        <x:v>11</x:v>
      </x:c>
      <x:c r="Q225" s="44" t="str">
        <x:v>JCS-ElementEventQueue-Thread-4#49 | http-nio-8080-exec-11#82 | http-nio-8080-exec-12#83 | http-nio-8080-exec-13#84 | http-nio-8080-exec-14#87 | http-nio-8080-exec-16#89 | JCS-ElementEventQueue-Thread-7#91 | http-nio-8080-exec-17#124 | http-nio-8080-exec-18#125 | http-nio-8080-exec-19#126 | http-nio-8080-exec-20#127</x:v>
      </x:c>
      <x:c r="R225" s="36" t="n">
        <x:v>2</x:v>
      </x:c>
      <x:c r="S225" s="44" t="str">
        <x:v>JCS-ElementEventQueue-Thread-4#49 | JCS-ElementEventQueue-Thread-7#91</x:v>
      </x:c>
      <x:c r="T225" s="36" t="n">
        <x:v>2</x:v>
      </x:c>
      <x:c r="U225" s="44" t="str">
        <x:v>JCS-ElementEventQueue-Thread-4#49 | JCS-ElementEventQueue-Thread-7#91</x:v>
      </x:c>
      <x:c r="V225" s="36" t="n">
        <x:v>2</x:v>
      </x:c>
      <x:c r="W225" s="44" t="str">
        <x:v>jcs3-element-event-queue:JCS-ElementEventQueue-Thread-4#49 | jcs3-element-event-queue:JCS-ElementEventQueue-Thread-7#91</x:v>
      </x:c>
      <x:c r="X225" s="34" t="str">
        <x:v>jcs-signature-present</x:v>
      </x:c>
      <x:c r="Y225" s="44" t="str">
        <x:v>automated signatures are JCS-specific; all other candidate application threads remain unattributed and ownership requires the archived full dump</x:v>
      </x:c>
    </x:row>
    <x:row r="226">
      <x:c r="A226" s="34" t="str">
        <x:v>article1-unified-v4-2-fb3f101b-20260903-000401-default-f02-p6-jcs321</x:v>
      </x:c>
      <x:c r="B226" s="34" t="str">
        <x:v>default</x:v>
      </x:c>
      <x:c r="C226" s="34" t="str">
        <x:v>jcs321</x:v>
      </x:c>
      <x:c r="D226" s="36" t="n">
        <x:v>2</x:v>
      </x:c>
      <x:c r="E226" s="36" t="n">
        <x:v>2</x:v>
      </x:c>
      <x:c r="F226" s="36" t="n">
        <x:v>6</x:v>
      </x:c>
      <x:c r="G226" s="36" t="n">
        <x:v>2</x:v>
      </x:c>
      <x:c r="H226" s="34" t="str">
        <x:v>firstUndeployThreadEvidenceEarly</x:v>
      </x:c>
      <x:c r="I226" s="36" t="n">
        <x:v>1</x:v>
      </x:c>
      <x:c r="J226" s="34" t="str">
        <x:v>early</x:v>
      </x:c>
      <x:c r="K226" s="36" t="n">
        <x:v>30</x:v>
      </x:c>
      <x:c r="L226" s="51" t="n">
        <x:v>3</x:v>
      </x:c>
      <x:c r="M226" s="51" t="n">
        <x:v>1</x:v>
      </x:c>
      <x:c r="N226" s="36" t="n">
        <x:v>13</x:v>
      </x:c>
      <x:c r="O226" s="44" t="str">
        <x:v>JCS-ElementEventQueue-Thread-4#49 | http-nio-8080-exec-11#82 | http-nio-8080-exec-14#87 | JCS-ElementEventQueue-Thread-7#91 | http-nio-8080-exec-17#124 | http-nio-8080-exec-18#125 | http-nio-8080-exec-19#126 | http-nio-8080-exec-20#127 | http-nio-8080-exec-21#130 | JCS-ElementEventQueue-Thread-10#133 | http-nio-8080-exec-23#166 | http-nio-8080-exec-24#167 | http-nio-8080-exec-25#168</x:v>
      </x:c>
      <x:c r="P226" s="36" t="n">
        <x:v>5</x:v>
      </x:c>
      <x:c r="Q226" s="44" t="str">
        <x:v>http-nio-8080-exec-21#130 | JCS-ElementEventQueue-Thread-10#133 | http-nio-8080-exec-23#166 | http-nio-8080-exec-24#167 | http-nio-8080-exec-25#168</x:v>
      </x:c>
      <x:c r="R226" s="36" t="n">
        <x:v>3</x:v>
      </x:c>
      <x:c r="S226" s="44" t="str">
        <x:v>JCS-ElementEventQueue-Thread-4#49 | JCS-ElementEventQueue-Thread-7#91 | JCS-ElementEventQueue-Thread-10#133</x:v>
      </x:c>
      <x:c r="T226" s="36" t="n">
        <x:v>1</x:v>
      </x:c>
      <x:c r="U226" s="44" t="str">
        <x:v>JCS-ElementEventQueue-Thread-10#133</x:v>
      </x:c>
      <x:c r="V226" s="36" t="n">
        <x:v>3</x:v>
      </x:c>
      <x:c r="W226" s="44" t="str">
        <x:v>jcs3-element-event-queue:JCS-ElementEventQueue-Thread-4#49 | jcs3-element-event-queue:JCS-ElementEventQueue-Thread-7#91 | jcs3-element-event-queue:JCS-ElementEventQueue-Thread-10#133</x:v>
      </x:c>
      <x:c r="X226" s="34" t="str">
        <x:v>jcs-signature-present</x:v>
      </x:c>
      <x:c r="Y226" s="44" t="str">
        <x:v>automated signatures are JCS-specific; all other candidate application threads remain unattributed and ownership requires the archived full dump</x:v>
      </x:c>
    </x:row>
    <x:row r="227">
      <x:c r="A227" s="34" t="str">
        <x:v>article1-unified-v4-2-fb3f101b-20260903-000401-default-f02-p6-jcs321</x:v>
      </x:c>
      <x:c r="B227" s="34" t="str">
        <x:v>default</x:v>
      </x:c>
      <x:c r="C227" s="34" t="str">
        <x:v>jcs321</x:v>
      </x:c>
      <x:c r="D227" s="36" t="n">
        <x:v>2</x:v>
      </x:c>
      <x:c r="E227" s="36" t="n">
        <x:v>2</x:v>
      </x:c>
      <x:c r="F227" s="36" t="n">
        <x:v>6</x:v>
      </x:c>
      <x:c r="G227" s="36" t="n">
        <x:v>2</x:v>
      </x:c>
      <x:c r="H227" s="34" t="str">
        <x:v>firstUndeployThreadEvidenceFinal</x:v>
      </x:c>
      <x:c r="I227" s="36" t="n">
        <x:v>1</x:v>
      </x:c>
      <x:c r="J227" s="34" t="str">
        <x:v>final</x:v>
      </x:c>
      <x:c r="K227" s="36" t="n">
        <x:v>30</x:v>
      </x:c>
      <x:c r="L227" s="51" t="n">
        <x:v>3</x:v>
      </x:c>
      <x:c r="M227" s="51" t="n">
        <x:v>1</x:v>
      </x:c>
      <x:c r="N227" s="36" t="n">
        <x:v>13</x:v>
      </x:c>
      <x:c r="O227" s="44" t="str">
        <x:v>JCS-ElementEventQueue-Thread-4#49 | http-nio-8080-exec-11#82 | JCS-ElementEventQueue-Thread-7#91 | http-nio-8080-exec-17#124 | http-nio-8080-exec-18#125 | http-nio-8080-exec-19#126 | http-nio-8080-exec-20#127 | http-nio-8080-exec-21#130 | JCS-ElementEventQueue-Thread-10#133 | http-nio-8080-exec-23#166 | http-nio-8080-exec-24#167 | http-nio-8080-exec-25#168 | http-nio-8080-exec-26#169</x:v>
      </x:c>
      <x:c r="P227" s="36" t="n">
        <x:v>6</x:v>
      </x:c>
      <x:c r="Q227" s="44" t="str">
        <x:v>http-nio-8080-exec-21#130 | JCS-ElementEventQueue-Thread-10#133 | http-nio-8080-exec-23#166 | http-nio-8080-exec-24#167 | http-nio-8080-exec-25#168 | http-nio-8080-exec-26#169</x:v>
      </x:c>
      <x:c r="R227" s="36" t="n">
        <x:v>3</x:v>
      </x:c>
      <x:c r="S227" s="44" t="str">
        <x:v>JCS-ElementEventQueue-Thread-4#49 | JCS-ElementEventQueue-Thread-7#91 | JCS-ElementEventQueue-Thread-10#133</x:v>
      </x:c>
      <x:c r="T227" s="36" t="n">
        <x:v>1</x:v>
      </x:c>
      <x:c r="U227" s="44" t="str">
        <x:v>JCS-ElementEventQueue-Thread-10#133</x:v>
      </x:c>
      <x:c r="V227" s="36" t="n">
        <x:v>3</x:v>
      </x:c>
      <x:c r="W227" s="44" t="str">
        <x:v>jcs3-element-event-queue:JCS-ElementEventQueue-Thread-4#49 | jcs3-element-event-queue:JCS-ElementEventQueue-Thread-7#91 | jcs3-element-event-queue:JCS-ElementEventQueue-Thread-10#133</x:v>
      </x:c>
      <x:c r="X227" s="34" t="str">
        <x:v>jcs-signature-present</x:v>
      </x:c>
      <x:c r="Y227" s="44" t="str">
        <x:v>automated signatures are JCS-specific; all other candidate application threads remain unattributed and ownership requires the archived full dump</x:v>
      </x:c>
    </x:row>
    <x:row r="228">
      <x:c r="A228" s="34" t="str">
        <x:v>article1-unified-v4-2-fb3f101b-20260903-000401-default-f02-p6-jcs321</x:v>
      </x:c>
      <x:c r="B228" s="34" t="str">
        <x:v>default</x:v>
      </x:c>
      <x:c r="C228" s="34" t="str">
        <x:v>jcs321</x:v>
      </x:c>
      <x:c r="D228" s="36" t="n">
        <x:v>2</x:v>
      </x:c>
      <x:c r="E228" s="36" t="n">
        <x:v>2</x:v>
      </x:c>
      <x:c r="F228" s="36" t="n">
        <x:v>6</x:v>
      </x:c>
      <x:c r="G228" s="36" t="n">
        <x:v>2</x:v>
      </x:c>
      <x:c r="H228" s="34" t="str">
        <x:v>finalUndeployThreadEvidenceEarly</x:v>
      </x:c>
      <x:c r="I228" s="36" t="n">
        <x:v>2</x:v>
      </x:c>
      <x:c r="J228" s="34" t="str">
        <x:v>early</x:v>
      </x:c>
      <x:c r="K228" s="36" t="n">
        <x:v>31</x:v>
      </x:c>
      <x:c r="L228" s="51" t="n">
        <x:v>4</x:v>
      </x:c>
      <x:c r="M228" s="51" t="n">
        <x:v>2</x:v>
      </x:c>
      <x:c r="N228" s="36" t="n">
        <x:v>14</x:v>
      </x:c>
      <x:c r="O228" s="44" t="str">
        <x:v>JCS-ElementEventQueue-Thread-4#49 | http-nio-8080-exec-11#82 | JCS-ElementEventQueue-Thread-7#91 | http-nio-8080-exec-20#127 | JCS-ElementEventQueue-Thread-10#133 | http-nio-8080-exec-25#168 | http-nio-8080-exec-26#169 | http-nio-8080-exec-27#172 | http-nio-8080-exec-28#173 | http-nio-8080-exec-29#174 | JCS-ElementEventQueue-Thread-13#176 | http-nio-8080-exec-30#209 | http-nio-8080-exec-31#210 | http-nio-8080-exec-32#211</x:v>
      </x:c>
      <x:c r="P228" s="36" t="n">
        <x:v>10</x:v>
      </x:c>
      <x:c r="Q228" s="44" t="str">
        <x:v>JCS-ElementEventQueue-Thread-10#133 | http-nio-8080-exec-25#168 | http-nio-8080-exec-26#169 | http-nio-8080-exec-27#172 | http-nio-8080-exec-28#173 | http-nio-8080-exec-29#174 | JCS-ElementEventQueue-Thread-13#176 | http-nio-8080-exec-30#209 | http-nio-8080-exec-31#210 | http-nio-8080-exec-32#211</x:v>
      </x:c>
      <x:c r="R228" s="36" t="n">
        <x:v>4</x:v>
      </x:c>
      <x:c r="S228" s="44" t="str">
        <x:v>JCS-ElementEventQueue-Thread-4#49 | JCS-ElementEventQueue-Thread-7#91 | JCS-ElementEventQueue-Thread-10#133 | JCS-ElementEventQueue-Thread-13#176</x:v>
      </x:c>
      <x:c r="T228" s="36" t="n">
        <x:v>2</x:v>
      </x:c>
      <x:c r="U228" s="44" t="str">
        <x:v>JCS-ElementEventQueue-Thread-10#133 | JCS-ElementEventQueue-Thread-13#176</x:v>
      </x:c>
      <x:c r="V228" s="36" t="n">
        <x:v>4</x:v>
      </x:c>
      <x:c r="W22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228" s="34" t="str">
        <x:v>jcs-signature-present</x:v>
      </x:c>
      <x:c r="Y228" s="44" t="str">
        <x:v>automated signatures are JCS-specific; all other candidate application threads remain unattributed and ownership requires the archived full dump</x:v>
      </x:c>
    </x:row>
    <x:row r="229">
      <x:c r="A229" s="34" t="str">
        <x:v>article1-unified-v4-2-fb3f101b-20260903-000401-default-f02-p6-jcs321</x:v>
      </x:c>
      <x:c r="B229" s="34" t="str">
        <x:v>default</x:v>
      </x:c>
      <x:c r="C229" s="34" t="str">
        <x:v>jcs321</x:v>
      </x:c>
      <x:c r="D229" s="36" t="n">
        <x:v>2</x:v>
      </x:c>
      <x:c r="E229" s="36" t="n">
        <x:v>2</x:v>
      </x:c>
      <x:c r="F229" s="36" t="n">
        <x:v>6</x:v>
      </x:c>
      <x:c r="G229" s="36" t="n">
        <x:v>2</x:v>
      </x:c>
      <x:c r="H229" s="34" t="str">
        <x:v>finalUndeployThreadEvidenceFinal</x:v>
      </x:c>
      <x:c r="I229" s="36" t="n">
        <x:v>2</x:v>
      </x:c>
      <x:c r="J229" s="34" t="str">
        <x:v>final</x:v>
      </x:c>
      <x:c r="K229" s="36" t="n">
        <x:v>31</x:v>
      </x:c>
      <x:c r="L229" s="51" t="n">
        <x:v>4</x:v>
      </x:c>
      <x:c r="M229" s="51" t="n">
        <x:v>2</x:v>
      </x:c>
      <x:c r="N229" s="36" t="n">
        <x:v>14</x:v>
      </x:c>
      <x:c r="O229" s="44" t="str">
        <x:v>JCS-ElementEventQueue-Thread-4#49 | http-nio-8080-exec-11#82 | JCS-ElementEventQueue-Thread-7#91 | http-nio-8080-exec-20#127 | JCS-ElementEventQueue-Thread-10#133 | http-nio-8080-exec-25#168 | http-nio-8080-exec-26#169 | http-nio-8080-exec-27#172 | http-nio-8080-exec-28#173 | JCS-ElementEventQueue-Thread-13#176 | http-nio-8080-exec-30#209 | http-nio-8080-exec-31#210 | http-nio-8080-exec-32#211 | http-nio-8080-exec-33#212</x:v>
      </x:c>
      <x:c r="P229" s="36" t="n">
        <x:v>10</x:v>
      </x:c>
      <x:c r="Q229" s="44" t="str">
        <x:v>JCS-ElementEventQueue-Thread-10#133 | http-nio-8080-exec-25#168 | http-nio-8080-exec-26#169 | http-nio-8080-exec-27#172 | http-nio-8080-exec-28#173 | JCS-ElementEventQueue-Thread-13#176 | http-nio-8080-exec-30#209 | http-nio-8080-exec-31#210 | http-nio-8080-exec-32#211 | http-nio-8080-exec-33#212</x:v>
      </x:c>
      <x:c r="R229" s="36" t="n">
        <x:v>4</x:v>
      </x:c>
      <x:c r="S229" s="44" t="str">
        <x:v>JCS-ElementEventQueue-Thread-4#49 | JCS-ElementEventQueue-Thread-7#91 | JCS-ElementEventQueue-Thread-10#133 | JCS-ElementEventQueue-Thread-13#176</x:v>
      </x:c>
      <x:c r="T229" s="36" t="n">
        <x:v>2</x:v>
      </x:c>
      <x:c r="U229" s="44" t="str">
        <x:v>JCS-ElementEventQueue-Thread-10#133 | JCS-ElementEventQueue-Thread-13#176</x:v>
      </x:c>
      <x:c r="V229" s="36" t="n">
        <x:v>4</x:v>
      </x:c>
      <x:c r="W22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229" s="34" t="str">
        <x:v>jcs-signature-present</x:v>
      </x:c>
      <x:c r="Y229" s="44" t="str">
        <x:v>automated signatures are JCS-specific; all other candidate application threads remain unattributed and ownership requires the archived full dump</x:v>
      </x:c>
    </x:row>
    <x:row r="230">
      <x:c r="A230" s="34" t="str">
        <x:v>article1-unified-v4-2-fb3f101b-20260903-000401-default-f02-p6-jcs321</x:v>
      </x:c>
      <x:c r="B230" s="34" t="str">
        <x:v>default</x:v>
      </x:c>
      <x:c r="C230" s="34" t="str">
        <x:v>jcs321</x:v>
      </x:c>
      <x:c r="D230" s="36" t="n">
        <x:v>2</x:v>
      </x:c>
      <x:c r="E230" s="36" t="n">
        <x:v>2</x:v>
      </x:c>
      <x:c r="F230" s="36" t="n">
        <x:v>6</x:v>
      </x:c>
      <x:c r="G230" s="36" t="n">
        <x:v>3</x:v>
      </x:c>
      <x:c r="H230" s="34" t="str">
        <x:v>firstUndeployThreadEvidenceEarly</x:v>
      </x:c>
      <x:c r="I230" s="36" t="n">
        <x:v>1</x:v>
      </x:c>
      <x:c r="J230" s="34" t="str">
        <x:v>early</x:v>
      </x:c>
      <x:c r="K230" s="36" t="n">
        <x:v>32</x:v>
      </x:c>
      <x:c r="L230" s="51" t="n">
        <x:v>5</x:v>
      </x:c>
      <x:c r="M230" s="51" t="n">
        <x:v>1</x:v>
      </x:c>
      <x:c r="N230" s="36" t="n">
        <x:v>15</x:v>
      </x:c>
      <x:c r="O230" s="44" t="str">
        <x:v>JCS-ElementEventQueue-Thread-4#49 | JCS-ElementEventQueue-Thread-7#91 | JCS-ElementEventQueue-Thread-10#133 | http-nio-8080-exec-27#172 | JCS-ElementEventQueue-Thread-13#176 | http-nio-8080-exec-30#209 | http-nio-8080-exec-31#210 | http-nio-8080-exec-32#211 | http-nio-8080-exec-33#212 | http-nio-8080-exec-34#215 | http-nio-8080-exec-35#216 | JCS-ElementEventQueue-Thread-16#218 | http-nio-8080-exec-36#251 | http-nio-8080-exec-37#252 | http-nio-8080-exec-38#253</x:v>
      </x:c>
      <x:c r="P230" s="36" t="n">
        <x:v>6</x:v>
      </x:c>
      <x:c r="Q230" s="44" t="str">
        <x:v>http-nio-8080-exec-34#215 | http-nio-8080-exec-35#216 | JCS-ElementEventQueue-Thread-16#218 | http-nio-8080-exec-36#251 | http-nio-8080-exec-37#252 | http-nio-8080-exec-38#253</x:v>
      </x:c>
      <x:c r="R230" s="36" t="n">
        <x:v>5</x:v>
      </x:c>
      <x:c r="S230" s="44" t="str">
        <x:v>JCS-ElementEventQueue-Thread-4#49 | JCS-ElementEventQueue-Thread-7#91 | JCS-ElementEventQueue-Thread-10#133 | JCS-ElementEventQueue-Thread-13#176 | JCS-ElementEventQueue-Thread-16#218</x:v>
      </x:c>
      <x:c r="T230" s="36" t="n">
        <x:v>1</x:v>
      </x:c>
      <x:c r="U230" s="44" t="str">
        <x:v>JCS-ElementEventQueue-Thread-16#218</x:v>
      </x:c>
      <x:c r="V230" s="36" t="n">
        <x:v>5</x:v>
      </x:c>
      <x:c r="W23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230" s="34" t="str">
        <x:v>jcs-signature-present</x:v>
      </x:c>
      <x:c r="Y230" s="44" t="str">
        <x:v>automated signatures are JCS-specific; all other candidate application threads remain unattributed and ownership requires the archived full dump</x:v>
      </x:c>
    </x:row>
    <x:row r="231">
      <x:c r="A231" s="34" t="str">
        <x:v>article1-unified-v4-2-fb3f101b-20260903-000401-default-f02-p6-jcs321</x:v>
      </x:c>
      <x:c r="B231" s="34" t="str">
        <x:v>default</x:v>
      </x:c>
      <x:c r="C231" s="34" t="str">
        <x:v>jcs321</x:v>
      </x:c>
      <x:c r="D231" s="36" t="n">
        <x:v>2</x:v>
      </x:c>
      <x:c r="E231" s="36" t="n">
        <x:v>2</x:v>
      </x:c>
      <x:c r="F231" s="36" t="n">
        <x:v>6</x:v>
      </x:c>
      <x:c r="G231" s="36" t="n">
        <x:v>3</x:v>
      </x:c>
      <x:c r="H231" s="34" t="str">
        <x:v>firstUndeployThreadEvidenceFinal</x:v>
      </x:c>
      <x:c r="I231" s="36" t="n">
        <x:v>1</x:v>
      </x:c>
      <x:c r="J231" s="34" t="str">
        <x:v>final</x:v>
      </x:c>
      <x:c r="K231" s="36" t="n">
        <x:v>32</x:v>
      </x:c>
      <x:c r="L231" s="51" t="n">
        <x:v>5</x:v>
      </x:c>
      <x:c r="M231" s="51" t="n">
        <x:v>1</x:v>
      </x:c>
      <x:c r="N231" s="36" t="n">
        <x:v>15</x:v>
      </x:c>
      <x:c r="O231" s="44" t="str">
        <x:v>JCS-ElementEventQueue-Thread-4#49 | JCS-ElementEventQueue-Thread-7#91 | JCS-ElementEventQueue-Thread-10#133 | http-nio-8080-exec-27#172 | JCS-ElementEventQueue-Thread-13#176 | http-nio-8080-exec-30#209 | http-nio-8080-exec-31#210 | http-nio-8080-exec-32#211 | http-nio-8080-exec-34#215 | http-nio-8080-exec-35#216 | JCS-ElementEventQueue-Thread-16#218 | http-nio-8080-exec-36#251 | http-nio-8080-exec-37#252 | http-nio-8080-exec-38#253 | http-nio-8080-exec-39#254</x:v>
      </x:c>
      <x:c r="P231" s="36" t="n">
        <x:v>7</x:v>
      </x:c>
      <x:c r="Q231" s="44" t="str">
        <x:v>http-nio-8080-exec-34#215 | http-nio-8080-exec-35#216 | JCS-ElementEventQueue-Thread-16#218 | http-nio-8080-exec-36#251 | http-nio-8080-exec-37#252 | http-nio-8080-exec-38#253 | http-nio-8080-exec-39#254</x:v>
      </x:c>
      <x:c r="R231" s="36" t="n">
        <x:v>5</x:v>
      </x:c>
      <x:c r="S231" s="44" t="str">
        <x:v>JCS-ElementEventQueue-Thread-4#49 | JCS-ElementEventQueue-Thread-7#91 | JCS-ElementEventQueue-Thread-10#133 | JCS-ElementEventQueue-Thread-13#176 | JCS-ElementEventQueue-Thread-16#218</x:v>
      </x:c>
      <x:c r="T231" s="36" t="n">
        <x:v>1</x:v>
      </x:c>
      <x:c r="U231" s="44" t="str">
        <x:v>JCS-ElementEventQueue-Thread-16#218</x:v>
      </x:c>
      <x:c r="V231" s="36" t="n">
        <x:v>5</x:v>
      </x:c>
      <x:c r="W23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231" s="34" t="str">
        <x:v>jcs-signature-present</x:v>
      </x:c>
      <x:c r="Y231" s="44" t="str">
        <x:v>automated signatures are JCS-specific; all other candidate application threads remain unattributed and ownership requires the archived full dump</x:v>
      </x:c>
    </x:row>
    <x:row r="232">
      <x:c r="A232" s="34" t="str">
        <x:v>article1-unified-v4-2-fb3f101b-20260903-000401-default-f02-p6-jcs321</x:v>
      </x:c>
      <x:c r="B232" s="34" t="str">
        <x:v>default</x:v>
      </x:c>
      <x:c r="C232" s="34" t="str">
        <x:v>jcs321</x:v>
      </x:c>
      <x:c r="D232" s="36" t="n">
        <x:v>2</x:v>
      </x:c>
      <x:c r="E232" s="36" t="n">
        <x:v>2</x:v>
      </x:c>
      <x:c r="F232" s="36" t="n">
        <x:v>6</x:v>
      </x:c>
      <x:c r="G232" s="36" t="n">
        <x:v>3</x:v>
      </x:c>
      <x:c r="H232" s="34" t="str">
        <x:v>finalUndeployThreadEvidenceEarly</x:v>
      </x:c>
      <x:c r="I232" s="36" t="n">
        <x:v>2</x:v>
      </x:c>
      <x:c r="J232" s="34" t="str">
        <x:v>early</x:v>
      </x:c>
      <x:c r="K232" s="36" t="n">
        <x:v>33</x:v>
      </x:c>
      <x:c r="L232" s="51" t="n">
        <x:v>6</x:v>
      </x:c>
      <x:c r="M232" s="51" t="n">
        <x:v>2</x:v>
      </x:c>
      <x:c r="N232" s="36" t="n">
        <x:v>16</x:v>
      </x:c>
      <x:c r="O232" s="44" t="str">
        <x:v>JCS-ElementEventQueue-Thread-4#49 | JCS-ElementEventQueue-Thread-7#91 | JCS-ElementEventQueue-Thread-10#133 | JCS-ElementEventQueue-Thread-13#176 | http-nio-8080-exec-30#209 | JCS-ElementEventQueue-Thread-16#218 | http-nio-8080-exec-36#251 | http-nio-8080-exec-37#252 | http-nio-8080-exec-38#253 | http-nio-8080-exec-39#254 | http-nio-8080-exec-40#257 | http-nio-8080-exec-41#258 | http-nio-8080-exec-42#259 | JCS-ElementEventQueue-Thread-19#261 | http-nio-8080-exec-44#295 | http-nio-8080-exec-45#296</x:v>
      </x:c>
      <x:c r="P232" s="36" t="n">
        <x:v>11</x:v>
      </x:c>
      <x:c r="Q232" s="44" t="str">
        <x:v>JCS-ElementEventQueue-Thread-16#218 | http-nio-8080-exec-36#251 | http-nio-8080-exec-37#252 | http-nio-8080-exec-38#253 | http-nio-8080-exec-39#254 | http-nio-8080-exec-40#257 | http-nio-8080-exec-41#258 | http-nio-8080-exec-42#259 | JCS-ElementEventQueue-Thread-19#261 | http-nio-8080-exec-44#295 | http-nio-8080-exec-45#296</x:v>
      </x:c>
      <x:c r="R232" s="36" t="n">
        <x:v>6</x:v>
      </x:c>
      <x:c r="S232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232" s="36" t="n">
        <x:v>2</x:v>
      </x:c>
      <x:c r="U232" s="44" t="str">
        <x:v>JCS-ElementEventQueue-Thread-16#218 | JCS-ElementEventQueue-Thread-19#261</x:v>
      </x:c>
      <x:c r="V232" s="36" t="n">
        <x:v>6</x:v>
      </x:c>
      <x:c r="W23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232" s="34" t="str">
        <x:v>jcs-signature-present</x:v>
      </x:c>
      <x:c r="Y232" s="44" t="str">
        <x:v>automated signatures are JCS-specific; all other candidate application threads remain unattributed and ownership requires the archived full dump</x:v>
      </x:c>
    </x:row>
    <x:row r="233">
      <x:c r="A233" s="34" t="str">
        <x:v>article1-unified-v4-2-fb3f101b-20260903-000401-default-f02-p6-jcs321</x:v>
      </x:c>
      <x:c r="B233" s="34" t="str">
        <x:v>default</x:v>
      </x:c>
      <x:c r="C233" s="34" t="str">
        <x:v>jcs321</x:v>
      </x:c>
      <x:c r="D233" s="36" t="n">
        <x:v>2</x:v>
      </x:c>
      <x:c r="E233" s="36" t="n">
        <x:v>2</x:v>
      </x:c>
      <x:c r="F233" s="36" t="n">
        <x:v>6</x:v>
      </x:c>
      <x:c r="G233" s="36" t="n">
        <x:v>3</x:v>
      </x:c>
      <x:c r="H233" s="34" t="str">
        <x:v>finalUndeployThreadEvidenceFinal</x:v>
      </x:c>
      <x:c r="I233" s="36" t="n">
        <x:v>2</x:v>
      </x:c>
      <x:c r="J233" s="34" t="str">
        <x:v>final</x:v>
      </x:c>
      <x:c r="K233" s="36" t="n">
        <x:v>33</x:v>
      </x:c>
      <x:c r="L233" s="51" t="n">
        <x:v>6</x:v>
      </x:c>
      <x:c r="M233" s="51" t="n">
        <x:v>2</x:v>
      </x:c>
      <x:c r="N233" s="36" t="n">
        <x:v>16</x:v>
      </x:c>
      <x:c r="O233" s="44" t="str">
        <x:v>JCS-ElementEventQueue-Thread-4#49 | JCS-ElementEventQueue-Thread-7#91 | JCS-ElementEventQueue-Thread-10#133 | JCS-ElementEventQueue-Thread-13#176 | JCS-ElementEventQueue-Thread-16#218 | http-nio-8080-exec-36#251 | http-nio-8080-exec-37#252 | http-nio-8080-exec-38#253 | http-nio-8080-exec-39#254 | http-nio-8080-exec-40#257 | http-nio-8080-exec-41#258 | http-nio-8080-exec-42#259 | JCS-ElementEventQueue-Thread-19#261 | http-nio-8080-exec-44#295 | http-nio-8080-exec-45#296 | http-nio-8080-exec-46#297</x:v>
      </x:c>
      <x:c r="P233" s="36" t="n">
        <x:v>12</x:v>
      </x:c>
      <x:c r="Q233" s="44" t="str">
        <x:v>JCS-ElementEventQueue-Thread-16#218 | http-nio-8080-exec-36#251 | http-nio-8080-exec-37#252 | http-nio-8080-exec-38#253 | http-nio-8080-exec-39#254 | http-nio-8080-exec-40#257 | http-nio-8080-exec-41#258 | http-nio-8080-exec-42#259 | JCS-ElementEventQueue-Thread-19#261 | http-nio-8080-exec-44#295 | http-nio-8080-exec-45#296 | http-nio-8080-exec-46#297</x:v>
      </x:c>
      <x:c r="R233" s="36" t="n">
        <x:v>6</x:v>
      </x:c>
      <x:c r="S233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233" s="36" t="n">
        <x:v>2</x:v>
      </x:c>
      <x:c r="U233" s="44" t="str">
        <x:v>JCS-ElementEventQueue-Thread-16#218 | JCS-ElementEventQueue-Thread-19#261</x:v>
      </x:c>
      <x:c r="V233" s="36" t="n">
        <x:v>6</x:v>
      </x:c>
      <x:c r="W23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233" s="34" t="str">
        <x:v>jcs-signature-present</x:v>
      </x:c>
      <x:c r="Y233" s="44" t="str">
        <x:v>automated signatures are JCS-specific; all other candidate application threads remain unattributed and ownership requires the archived full dump</x:v>
      </x:c>
    </x:row>
    <x:row r="234">
      <x:c r="A234" s="34" t="str">
        <x:v>article1-unified-v4-2-fb3f101b-20260903-000401-default-f02-p6-jcs321</x:v>
      </x:c>
      <x:c r="B234" s="34" t="str">
        <x:v>default</x:v>
      </x:c>
      <x:c r="C234" s="34" t="str">
        <x:v>jcs321</x:v>
      </x:c>
      <x:c r="D234" s="36" t="n">
        <x:v>2</x:v>
      </x:c>
      <x:c r="E234" s="36" t="n">
        <x:v>2</x:v>
      </x:c>
      <x:c r="F234" s="36" t="n">
        <x:v>6</x:v>
      </x:c>
      <x:c r="G234" s="36" t="n">
        <x:v>4</x:v>
      </x:c>
      <x:c r="H234" s="34" t="str">
        <x:v>firstUndeployThreadEvidenceEarly</x:v>
      </x:c>
      <x:c r="I234" s="36" t="n">
        <x:v>1</x:v>
      </x:c>
      <x:c r="J234" s="34" t="str">
        <x:v>early</x:v>
      </x:c>
      <x:c r="K234" s="36" t="n">
        <x:v>34</x:v>
      </x:c>
      <x:c r="L234" s="51" t="n">
        <x:v>7</x:v>
      </x:c>
      <x:c r="M234" s="51" t="n">
        <x:v>1</x:v>
      </x:c>
      <x:c r="N234" s="36" t="n">
        <x:v>17</x:v>
      </x:c>
      <x:c r="O234" s="44" t="str">
        <x:v>JCS-ElementEventQueue-Thread-4#49 | JCS-ElementEventQueue-Thread-7#91 | JCS-ElementEventQueue-Thread-10#133 | JCS-ElementEventQueue-Thread-13#176 | JCS-ElementEventQueue-Thread-16#218 | http-nio-8080-exec-36#251 | http-nio-8080-exec-38#253 | http-nio-8080-exec-42#259 | JCS-ElementEventQueue-Thread-19#261 | http-nio-8080-exec-45#296 | http-nio-8080-exec-46#297 | http-nio-8080-exec-47#300 | http-nio-8080-exec-48#301 | JCS-ElementEventQueue-Thread-22#303 | http-nio-8080-exec-49#336 | http-nio-8080-exec-50#337 | http-nio-8080-exec-51#338</x:v>
      </x:c>
      <x:c r="P234" s="36" t="n">
        <x:v>6</x:v>
      </x:c>
      <x:c r="Q234" s="44" t="str">
        <x:v>http-nio-8080-exec-47#300 | http-nio-8080-exec-48#301 | JCS-ElementEventQueue-Thread-22#303 | http-nio-8080-exec-49#336 | http-nio-8080-exec-50#337 | http-nio-8080-exec-51#338</x:v>
      </x:c>
      <x:c r="R234" s="36" t="n">
        <x:v>7</x:v>
      </x:c>
      <x:c r="S234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234" s="36" t="n">
        <x:v>1</x:v>
      </x:c>
      <x:c r="U234" s="44" t="str">
        <x:v>JCS-ElementEventQueue-Thread-22#303</x:v>
      </x:c>
      <x:c r="V234" s="36" t="n">
        <x:v>7</x:v>
      </x:c>
      <x:c r="W23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234" s="34" t="str">
        <x:v>jcs-signature-present</x:v>
      </x:c>
      <x:c r="Y234" s="44" t="str">
        <x:v>automated signatures are JCS-specific; all other candidate application threads remain unattributed and ownership requires the archived full dump</x:v>
      </x:c>
    </x:row>
    <x:row r="235">
      <x:c r="A235" s="34" t="str">
        <x:v>article1-unified-v4-2-fb3f101b-20260903-000401-default-f02-p6-jcs321</x:v>
      </x:c>
      <x:c r="B235" s="34" t="str">
        <x:v>default</x:v>
      </x:c>
      <x:c r="C235" s="34" t="str">
        <x:v>jcs321</x:v>
      </x:c>
      <x:c r="D235" s="36" t="n">
        <x:v>2</x:v>
      </x:c>
      <x:c r="E235" s="36" t="n">
        <x:v>2</x:v>
      </x:c>
      <x:c r="F235" s="36" t="n">
        <x:v>6</x:v>
      </x:c>
      <x:c r="G235" s="36" t="n">
        <x:v>4</x:v>
      </x:c>
      <x:c r="H235" s="34" t="str">
        <x:v>firstUndeployThreadEvidenceFinal</x:v>
      </x:c>
      <x:c r="I235" s="36" t="n">
        <x:v>1</x:v>
      </x:c>
      <x:c r="J235" s="34" t="str">
        <x:v>final</x:v>
      </x:c>
      <x:c r="K235" s="36" t="n">
        <x:v>34</x:v>
      </x:c>
      <x:c r="L235" s="51" t="n">
        <x:v>7</x:v>
      </x:c>
      <x:c r="M235" s="51" t="n">
        <x:v>1</x:v>
      </x:c>
      <x:c r="N235" s="36" t="n">
        <x:v>17</x:v>
      </x:c>
      <x:c r="O235" s="44" t="str">
        <x:v>JCS-ElementEventQueue-Thread-4#49 | JCS-ElementEventQueue-Thread-7#91 | JCS-ElementEventQueue-Thread-10#133 | JCS-ElementEventQueue-Thread-13#176 | JCS-ElementEventQueue-Thread-16#218 | http-nio-8080-exec-36#251 | http-nio-8080-exec-42#259 | JCS-ElementEventQueue-Thread-19#261 | http-nio-8080-exec-45#296 | http-nio-8080-exec-46#297 | http-nio-8080-exec-47#300 | http-nio-8080-exec-48#301 | JCS-ElementEventQueue-Thread-22#303 | http-nio-8080-exec-49#336 | http-nio-8080-exec-50#337 | http-nio-8080-exec-51#338 | http-nio-8080-exec-52#339</x:v>
      </x:c>
      <x:c r="P235" s="36" t="n">
        <x:v>7</x:v>
      </x:c>
      <x:c r="Q235" s="44" t="str">
        <x:v>http-nio-8080-exec-47#300 | http-nio-8080-exec-48#301 | JCS-ElementEventQueue-Thread-22#303 | http-nio-8080-exec-49#336 | http-nio-8080-exec-50#337 | http-nio-8080-exec-51#338 | http-nio-8080-exec-52#339</x:v>
      </x:c>
      <x:c r="R235" s="36" t="n">
        <x:v>7</x:v>
      </x:c>
      <x:c r="S235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235" s="36" t="n">
        <x:v>1</x:v>
      </x:c>
      <x:c r="U235" s="44" t="str">
        <x:v>JCS-ElementEventQueue-Thread-22#303</x:v>
      </x:c>
      <x:c r="V235" s="36" t="n">
        <x:v>7</x:v>
      </x:c>
      <x:c r="W23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235" s="34" t="str">
        <x:v>jcs-signature-present</x:v>
      </x:c>
      <x:c r="Y235" s="44" t="str">
        <x:v>automated signatures are JCS-specific; all other candidate application threads remain unattributed and ownership requires the archived full dump</x:v>
      </x:c>
    </x:row>
    <x:row r="236">
      <x:c r="A236" s="34" t="str">
        <x:v>article1-unified-v4-2-fb3f101b-20260903-000401-default-f02-p6-jcs321</x:v>
      </x:c>
      <x:c r="B236" s="34" t="str">
        <x:v>default</x:v>
      </x:c>
      <x:c r="C236" s="34" t="str">
        <x:v>jcs321</x:v>
      </x:c>
      <x:c r="D236" s="36" t="n">
        <x:v>2</x:v>
      </x:c>
      <x:c r="E236" s="36" t="n">
        <x:v>2</x:v>
      </x:c>
      <x:c r="F236" s="36" t="n">
        <x:v>6</x:v>
      </x:c>
      <x:c r="G236" s="36" t="n">
        <x:v>4</x:v>
      </x:c>
      <x:c r="H236" s="34" t="str">
        <x:v>finalUndeployThreadEvidenceEarly</x:v>
      </x:c>
      <x:c r="I236" s="36" t="n">
        <x:v>2</x:v>
      </x:c>
      <x:c r="J236" s="34" t="str">
        <x:v>early</x:v>
      </x:c>
      <x:c r="K236" s="36" t="n">
        <x:v>35</x:v>
      </x:c>
      <x:c r="L236" s="51" t="n">
        <x:v>8</x:v>
      </x:c>
      <x:c r="M236" s="51" t="n">
        <x:v>2</x:v>
      </x:c>
      <x:c r="N236" s="36" t="n">
        <x:v>18</x:v>
      </x:c>
      <x:c r="O236" s="44" t="str">
        <x:v>JCS-ElementEventQueue-Thread-4#49 | JCS-ElementEventQueue-Thread-7#91 | JCS-ElementEventQueue-Thread-10#133 | JCS-ElementEventQueue-Thread-13#176 | JCS-ElementEventQueue-Thread-16#218 | http-nio-8080-exec-36#251 | JCS-ElementEventQueue-Thread-19#261 | JCS-ElementEventQueue-Thread-22#303 | http-nio-8080-exec-50#337 | http-nio-8080-exec-51#338 | http-nio-8080-exec-52#339 | http-nio-8080-exec-53#342 | http-nio-8080-exec-54#343 | http-nio-8080-exec-55#344 | JCS-ElementEventQueue-Thread-25#346 | http-nio-8080-exec-56#379 | http-nio-8080-exec-57#380 | http-nio-8080-exec-58#381</x:v>
      </x:c>
      <x:c r="P236" s="36" t="n">
        <x:v>11</x:v>
      </x:c>
      <x:c r="Q236" s="44" t="str">
        <x:v>JCS-ElementEventQueue-Thread-22#303 | http-nio-8080-exec-50#337 | http-nio-8080-exec-51#338 | http-nio-8080-exec-52#339 | http-nio-8080-exec-53#342 | http-nio-8080-exec-54#343 | http-nio-8080-exec-55#344 | JCS-ElementEventQueue-Thread-25#346 | http-nio-8080-exec-56#379 | http-nio-8080-exec-57#380 | http-nio-8080-exec-58#381</x:v>
      </x:c>
      <x:c r="R236" s="36" t="n">
        <x:v>8</x:v>
      </x:c>
      <x:c r="S236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236" s="36" t="n">
        <x:v>2</x:v>
      </x:c>
      <x:c r="U236" s="44" t="str">
        <x:v>JCS-ElementEventQueue-Thread-22#303 | JCS-ElementEventQueue-Thread-25#346</x:v>
      </x:c>
      <x:c r="V236" s="36" t="n">
        <x:v>8</x:v>
      </x:c>
      <x:c r="W23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236" s="34" t="str">
        <x:v>jcs-signature-present</x:v>
      </x:c>
      <x:c r="Y236" s="44" t="str">
        <x:v>automated signatures are JCS-specific; all other candidate application threads remain unattributed and ownership requires the archived full dump</x:v>
      </x:c>
    </x:row>
    <x:row r="237">
      <x:c r="A237" s="34" t="str">
        <x:v>article1-unified-v4-2-fb3f101b-20260903-000401-default-f02-p6-jcs321</x:v>
      </x:c>
      <x:c r="B237" s="34" t="str">
        <x:v>default</x:v>
      </x:c>
      <x:c r="C237" s="34" t="str">
        <x:v>jcs321</x:v>
      </x:c>
      <x:c r="D237" s="36" t="n">
        <x:v>2</x:v>
      </x:c>
      <x:c r="E237" s="36" t="n">
        <x:v>2</x:v>
      </x:c>
      <x:c r="F237" s="36" t="n">
        <x:v>6</x:v>
      </x:c>
      <x:c r="G237" s="36" t="n">
        <x:v>4</x:v>
      </x:c>
      <x:c r="H237" s="34" t="str">
        <x:v>finalUndeployThreadEvidenceFinal</x:v>
      </x:c>
      <x:c r="I237" s="36" t="n">
        <x:v>2</x:v>
      </x:c>
      <x:c r="J237" s="34" t="str">
        <x:v>final</x:v>
      </x:c>
      <x:c r="K237" s="36" t="n">
        <x:v>35</x:v>
      </x:c>
      <x:c r="L237" s="51" t="n">
        <x:v>8</x:v>
      </x:c>
      <x:c r="M237" s="51" t="n">
        <x:v>2</x:v>
      </x:c>
      <x:c r="N237" s="36" t="n">
        <x:v>18</x:v>
      </x:c>
      <x:c r="O237" s="44" t="str">
        <x:v>JCS-ElementEventQueue-Thread-4#49 | JCS-ElementEventQueue-Thread-7#91 | JCS-ElementEventQueue-Thread-10#133 | JCS-ElementEventQueue-Thread-13#176 | JCS-ElementEventQueue-Thread-16#218 | http-nio-8080-exec-36#251 | JCS-ElementEventQueue-Thread-19#261 | JCS-ElementEventQueue-Thread-22#303 | http-nio-8080-exec-50#337 | http-nio-8080-exec-51#338 | http-nio-8080-exec-52#339 | http-nio-8080-exec-53#342 | http-nio-8080-exec-55#344 | JCS-ElementEventQueue-Thread-25#346 | http-nio-8080-exec-56#379 | http-nio-8080-exec-57#380 | http-nio-8080-exec-58#381 | http-nio-8080-exec-59#382</x:v>
      </x:c>
      <x:c r="P237" s="36" t="n">
        <x:v>11</x:v>
      </x:c>
      <x:c r="Q237" s="44" t="str">
        <x:v>JCS-ElementEventQueue-Thread-22#303 | http-nio-8080-exec-50#337 | http-nio-8080-exec-51#338 | http-nio-8080-exec-52#339 | http-nio-8080-exec-53#342 | http-nio-8080-exec-55#344 | JCS-ElementEventQueue-Thread-25#346 | http-nio-8080-exec-56#379 | http-nio-8080-exec-57#380 | http-nio-8080-exec-58#381 | http-nio-8080-exec-59#382</x:v>
      </x:c>
      <x:c r="R237" s="36" t="n">
        <x:v>8</x:v>
      </x:c>
      <x:c r="S237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237" s="36" t="n">
        <x:v>2</x:v>
      </x:c>
      <x:c r="U237" s="44" t="str">
        <x:v>JCS-ElementEventQueue-Thread-22#303 | JCS-ElementEventQueue-Thread-25#346</x:v>
      </x:c>
      <x:c r="V237" s="36" t="n">
        <x:v>8</x:v>
      </x:c>
      <x:c r="W23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237" s="34" t="str">
        <x:v>jcs-signature-present</x:v>
      </x:c>
      <x:c r="Y237" s="44" t="str">
        <x:v>automated signatures are JCS-specific; all other candidate application threads remain unattributed and ownership requires the archived full dump</x:v>
      </x:c>
    </x:row>
    <x:row r="238">
      <x:c r="A238" s="34" t="str">
        <x:v>article1-unified-v4-2-fb3f101b-20260903-000401-default-f02-p6-jcs321</x:v>
      </x:c>
      <x:c r="B238" s="34" t="str">
        <x:v>default</x:v>
      </x:c>
      <x:c r="C238" s="34" t="str">
        <x:v>jcs321</x:v>
      </x:c>
      <x:c r="D238" s="36" t="n">
        <x:v>2</x:v>
      </x:c>
      <x:c r="E238" s="36" t="n">
        <x:v>2</x:v>
      </x:c>
      <x:c r="F238" s="36" t="n">
        <x:v>6</x:v>
      </x:c>
      <x:c r="G238" s="36" t="n">
        <x:v>5</x:v>
      </x:c>
      <x:c r="H238" s="34" t="str">
        <x:v>firstUndeployThreadEvidenceEarly</x:v>
      </x:c>
      <x:c r="I238" s="36" t="n">
        <x:v>1</x:v>
      </x:c>
      <x:c r="J238" s="34" t="str">
        <x:v>early</x:v>
      </x:c>
      <x:c r="K238" s="36" t="n">
        <x:v>36</x:v>
      </x:c>
      <x:c r="L238" s="51" t="n">
        <x:v>9</x:v>
      </x:c>
      <x:c r="M238" s="51" t="n">
        <x:v>1</x:v>
      </x:c>
      <x:c r="N238" s="36" t="n">
        <x:v>19</x:v>
      </x:c>
      <x:c r="O23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http-nio-8080-exec-51#338 | http-nio-8080-exec-52#339 | http-nio-8080-exec-55#344 | JCS-ElementEventQueue-Thread-25#346 | http-nio-8080-exec-57#380 | http-nio-8080-exec-58#381 | http-nio-8080-exec-60#385 | http-nio-8080-exec-61#386 | JCS-ElementEventQueue-Thread-28#388 | http-nio-8080-exec-62#421 | http-nio-8080-exec-63#422 | http-nio-8080-exec-64#423</x:v>
      </x:c>
      <x:c r="P238" s="36" t="n">
        <x:v>6</x:v>
      </x:c>
      <x:c r="Q238" s="44" t="str">
        <x:v>http-nio-8080-exec-60#385 | http-nio-8080-exec-61#386 | JCS-ElementEventQueue-Thread-28#388 | http-nio-8080-exec-62#421 | http-nio-8080-exec-63#422 | http-nio-8080-exec-64#423</x:v>
      </x:c>
      <x:c r="R238" s="36" t="n">
        <x:v>9</x:v>
      </x:c>
      <x:c r="S23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238" s="36" t="n">
        <x:v>1</x:v>
      </x:c>
      <x:c r="U238" s="44" t="str">
        <x:v>JCS-ElementEventQueue-Thread-28#388</x:v>
      </x:c>
      <x:c r="V238" s="36" t="n">
        <x:v>9</x:v>
      </x:c>
      <x:c r="W23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238" s="34" t="str">
        <x:v>jcs-signature-present</x:v>
      </x:c>
      <x:c r="Y238" s="44" t="str">
        <x:v>automated signatures are JCS-specific; all other candidate application threads remain unattributed and ownership requires the archived full dump</x:v>
      </x:c>
    </x:row>
    <x:row r="239">
      <x:c r="A239" s="34" t="str">
        <x:v>article1-unified-v4-2-fb3f101b-20260903-000401-default-f02-p6-jcs321</x:v>
      </x:c>
      <x:c r="B239" s="34" t="str">
        <x:v>default</x:v>
      </x:c>
      <x:c r="C239" s="34" t="str">
        <x:v>jcs321</x:v>
      </x:c>
      <x:c r="D239" s="36" t="n">
        <x:v>2</x:v>
      </x:c>
      <x:c r="E239" s="36" t="n">
        <x:v>2</x:v>
      </x:c>
      <x:c r="F239" s="36" t="n">
        <x:v>6</x:v>
      </x:c>
      <x:c r="G239" s="36" t="n">
        <x:v>5</x:v>
      </x:c>
      <x:c r="H239" s="34" t="str">
        <x:v>firstUndeployThreadEvidenceFinal</x:v>
      </x:c>
      <x:c r="I239" s="36" t="n">
        <x:v>1</x:v>
      </x:c>
      <x:c r="J239" s="34" t="str">
        <x:v>final</x:v>
      </x:c>
      <x:c r="K239" s="36" t="n">
        <x:v>36</x:v>
      </x:c>
      <x:c r="L239" s="51" t="n">
        <x:v>9</x:v>
      </x:c>
      <x:c r="M239" s="51" t="n">
        <x:v>1</x:v>
      </x:c>
      <x:c r="N239" s="36" t="n">
        <x:v>19</x:v>
      </x:c>
      <x:c r="O23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http-nio-8080-exec-51#338 | http-nio-8080-exec-52#339 | JCS-ElementEventQueue-Thread-25#346 | http-nio-8080-exec-57#380 | http-nio-8080-exec-58#381 | http-nio-8080-exec-60#385 | http-nio-8080-exec-61#386 | JCS-ElementEventQueue-Thread-28#388 | http-nio-8080-exec-62#421 | http-nio-8080-exec-63#422 | http-nio-8080-exec-64#423 | http-nio-8080-exec-65#424</x:v>
      </x:c>
      <x:c r="P239" s="36" t="n">
        <x:v>7</x:v>
      </x:c>
      <x:c r="Q239" s="44" t="str">
        <x:v>http-nio-8080-exec-60#385 | http-nio-8080-exec-61#386 | JCS-ElementEventQueue-Thread-28#388 | http-nio-8080-exec-62#421 | http-nio-8080-exec-63#422 | http-nio-8080-exec-64#423 | http-nio-8080-exec-65#424</x:v>
      </x:c>
      <x:c r="R239" s="36" t="n">
        <x:v>9</x:v>
      </x:c>
      <x:c r="S23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239" s="36" t="n">
        <x:v>1</x:v>
      </x:c>
      <x:c r="U239" s="44" t="str">
        <x:v>JCS-ElementEventQueue-Thread-28#388</x:v>
      </x:c>
      <x:c r="V239" s="36" t="n">
        <x:v>9</x:v>
      </x:c>
      <x:c r="W23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239" s="34" t="str">
        <x:v>jcs-signature-present</x:v>
      </x:c>
      <x:c r="Y239" s="44" t="str">
        <x:v>automated signatures are JCS-specific; all other candidate application threads remain unattributed and ownership requires the archived full dump</x:v>
      </x:c>
    </x:row>
    <x:row r="240">
      <x:c r="A240" s="34" t="str">
        <x:v>article1-unified-v4-2-fb3f101b-20260903-000401-default-f02-p6-jcs321</x:v>
      </x:c>
      <x:c r="B240" s="34" t="str">
        <x:v>default</x:v>
      </x:c>
      <x:c r="C240" s="34" t="str">
        <x:v>jcs321</x:v>
      </x:c>
      <x:c r="D240" s="36" t="n">
        <x:v>2</x:v>
      </x:c>
      <x:c r="E240" s="36" t="n">
        <x:v>2</x:v>
      </x:c>
      <x:c r="F240" s="36" t="n">
        <x:v>6</x:v>
      </x:c>
      <x:c r="G240" s="36" t="n">
        <x:v>5</x:v>
      </x:c>
      <x:c r="H240" s="34" t="str">
        <x:v>finalUndeployThreadEvidenceEarly</x:v>
      </x:c>
      <x:c r="I240" s="36" t="n">
        <x:v>2</x:v>
      </x:c>
      <x:c r="J240" s="34" t="str">
        <x:v>early</x:v>
      </x:c>
      <x:c r="K240" s="36" t="n">
        <x:v>37</x:v>
      </x:c>
      <x:c r="L240" s="51" t="n">
        <x:v>10</x:v>
      </x:c>
      <x:c r="M240" s="51" t="n">
        <x:v>2</x:v>
      </x:c>
      <x:c r="N240" s="36" t="n">
        <x:v>20</x:v>
      </x:c>
      <x:c r="O24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http-nio-8080-exec-60#385 | http-nio-8080-exec-61#386 | JCS-ElementEventQueue-Thread-28#388 | http-nio-8080-exec-63#422 | http-nio-8080-exec-64#423 | http-nio-8080-exec-66#427 | http-nio-8080-exec-67#428 | http-nio-8080-exec-68#429 | JCS-ElementEventQueue-Thread-31#431 | http-nio-8080-exec-69#464 | http-nio-8080-exec-70#465 | http-nio-8080-exec-71#466</x:v>
      </x:c>
      <x:c r="P240" s="36" t="n">
        <x:v>12</x:v>
      </x:c>
      <x:c r="Q240" s="44" t="str">
        <x:v>http-nio-8080-exec-60#385 | http-nio-8080-exec-61#386 | JCS-ElementEventQueue-Thread-28#388 | http-nio-8080-exec-63#422 | http-nio-8080-exec-64#423 | http-nio-8080-exec-66#427 | http-nio-8080-exec-67#428 | http-nio-8080-exec-68#429 | JCS-ElementEventQueue-Thread-31#431 | http-nio-8080-exec-69#464 | http-nio-8080-exec-70#465 | http-nio-8080-exec-71#466</x:v>
      </x:c>
      <x:c r="R240" s="36" t="n">
        <x:v>10</x:v>
      </x:c>
      <x:c r="S24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240" s="36" t="n">
        <x:v>2</x:v>
      </x:c>
      <x:c r="U240" s="44" t="str">
        <x:v>JCS-ElementEventQueue-Thread-28#388 | JCS-ElementEventQueue-Thread-31#431</x:v>
      </x:c>
      <x:c r="V240" s="36" t="n">
        <x:v>10</x:v>
      </x:c>
      <x:c r="W24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240" s="34" t="str">
        <x:v>jcs-signature-present</x:v>
      </x:c>
      <x:c r="Y240" s="44" t="str">
        <x:v>automated signatures are JCS-specific; all other candidate application threads remain unattributed and ownership requires the archived full dump</x:v>
      </x:c>
    </x:row>
    <x:row r="241">
      <x:c r="A241" s="34" t="str">
        <x:v>article1-unified-v4-2-fb3f101b-20260903-000401-default-f02-p6-jcs321</x:v>
      </x:c>
      <x:c r="B241" s="34" t="str">
        <x:v>default</x:v>
      </x:c>
      <x:c r="C241" s="34" t="str">
        <x:v>jcs321</x:v>
      </x:c>
      <x:c r="D241" s="36" t="n">
        <x:v>2</x:v>
      </x:c>
      <x:c r="E241" s="36" t="n">
        <x:v>2</x:v>
      </x:c>
      <x:c r="F241" s="36" t="n">
        <x:v>6</x:v>
      </x:c>
      <x:c r="G241" s="36" t="n">
        <x:v>5</x:v>
      </x:c>
      <x:c r="H241" s="34" t="str">
        <x:v>finalUndeployThreadEvidenceFinal</x:v>
      </x:c>
      <x:c r="I241" s="36" t="n">
        <x:v>2</x:v>
      </x:c>
      <x:c r="J241" s="34" t="str">
        <x:v>final</x:v>
      </x:c>
      <x:c r="K241" s="36" t="n">
        <x:v>37</x:v>
      </x:c>
      <x:c r="L241" s="51" t="n">
        <x:v>10</x:v>
      </x:c>
      <x:c r="M241" s="51" t="n">
        <x:v>2</x:v>
      </x:c>
      <x:c r="N241" s="36" t="n">
        <x:v>20</x:v>
      </x:c>
      <x:c r="O24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http-nio-8080-exec-60#385 | http-nio-8080-exec-61#386 | JCS-ElementEventQueue-Thread-28#388 | http-nio-8080-exec-63#422 | http-nio-8080-exec-64#423 | http-nio-8080-exec-67#428 | http-nio-8080-exec-68#429 | JCS-ElementEventQueue-Thread-31#431 | http-nio-8080-exec-69#464 | http-nio-8080-exec-70#465 | http-nio-8080-exec-71#466 | http-nio-8080-exec-72#467</x:v>
      </x:c>
      <x:c r="P241" s="36" t="n">
        <x:v>12</x:v>
      </x:c>
      <x:c r="Q241" s="44" t="str">
        <x:v>http-nio-8080-exec-60#385 | http-nio-8080-exec-61#386 | JCS-ElementEventQueue-Thread-28#388 | http-nio-8080-exec-63#422 | http-nio-8080-exec-64#423 | http-nio-8080-exec-67#428 | http-nio-8080-exec-68#429 | JCS-ElementEventQueue-Thread-31#431 | http-nio-8080-exec-69#464 | http-nio-8080-exec-70#465 | http-nio-8080-exec-71#466 | http-nio-8080-exec-72#467</x:v>
      </x:c>
      <x:c r="R241" s="36" t="n">
        <x:v>10</x:v>
      </x:c>
      <x:c r="S24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241" s="36" t="n">
        <x:v>2</x:v>
      </x:c>
      <x:c r="U241" s="44" t="str">
        <x:v>JCS-ElementEventQueue-Thread-28#388 | JCS-ElementEventQueue-Thread-31#431</x:v>
      </x:c>
      <x:c r="V241" s="36" t="n">
        <x:v>10</x:v>
      </x:c>
      <x:c r="W24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241" s="34" t="str">
        <x:v>jcs-signature-present</x:v>
      </x:c>
      <x:c r="Y241" s="44" t="str">
        <x:v>automated signatures are JCS-specific; all other candidate application threads remain unattributed and ownership requires the archived full dump</x:v>
      </x:c>
    </x:row>
    <x:row r="242">
      <x:c r="A242" s="34" t="str">
        <x:v>article1-unified-v4-2-fb3f101b-20260903-000401-default-f03-p1-cache2k</x:v>
      </x:c>
      <x:c r="B242" s="34" t="str">
        <x:v>default</x:v>
      </x:c>
      <x:c r="C242" s="34" t="str">
        <x:v>cache2k</x:v>
      </x:c>
      <x:c r="D242" s="36" t="n">
        <x:v>3</x:v>
      </x:c>
      <x:c r="E242" s="36" t="n">
        <x:v>3</x:v>
      </x:c>
      <x:c r="F242" s="36" t="n">
        <x:v>1</x:v>
      </x:c>
      <x:c r="G242" s="36" t="n">
        <x:v>1</x:v>
      </x:c>
      <x:c r="H242" s="34" t="str">
        <x:v>firstUndeployThreadEvidenceEarly</x:v>
      </x:c>
      <x:c r="I242" s="36" t="n">
        <x:v>1</x:v>
      </x:c>
      <x:c r="J242" s="34" t="str">
        <x:v>early</x:v>
      </x:c>
      <x:c r="K242" s="36" t="n">
        <x:v>27</x:v>
      </x:c>
      <x:c r="L242" s="51" t="n">
        <x:v>0</x:v>
      </x:c>
      <x:c r="M242" s="51" t="n">
        <x:v>0</x:v>
      </x:c>
      <x:c r="N242" s="36" t="n">
        <x:v>2</x:v>
      </x:c>
      <x:c r="O242" s="44" t="str">
        <x:v>http-nio-8080-exec-11#81 | http-nio-8080-exec-12#82</x:v>
      </x:c>
      <x:c r="P242" s="36" t="n">
        <x:v>2</x:v>
      </x:c>
      <x:c r="Q242" s="44" t="str">
        <x:v>http-nio-8080-exec-11#81 | http-nio-8080-exec-12#82</x:v>
      </x:c>
      <x:c r="R242" s="36" t="n">
        <x:v>0</x:v>
      </x:c>
      <x:c r="S242" s="44"/>
      <x:c r="T242" s="36" t="n">
        <x:v>0</x:v>
      </x:c>
      <x:c r="U242" s="44"/>
      <x:c r="V242" s="36" t="n">
        <x:v>0</x:v>
      </x:c>
      <x:c r="W242" s="44"/>
      <x:c r="X242" s="34" t="str">
        <x:v>no-post-undeploy-thread-signal</x:v>
      </x:c>
      <x:c r="Y242" s="44" t="str">
        <x:v>automated signatures are JCS-specific; all other candidate application threads remain unattributed and ownership requires the archived full dump</x:v>
      </x:c>
    </x:row>
    <x:row r="243">
      <x:c r="A243" s="34" t="str">
        <x:v>article1-unified-v4-2-fb3f101b-20260903-000401-default-f03-p1-cache2k</x:v>
      </x:c>
      <x:c r="B243" s="34" t="str">
        <x:v>default</x:v>
      </x:c>
      <x:c r="C243" s="34" t="str">
        <x:v>cache2k</x:v>
      </x:c>
      <x:c r="D243" s="36" t="n">
        <x:v>3</x:v>
      </x:c>
      <x:c r="E243" s="36" t="n">
        <x:v>3</x:v>
      </x:c>
      <x:c r="F243" s="36" t="n">
        <x:v>1</x:v>
      </x:c>
      <x:c r="G243" s="36" t="n">
        <x:v>1</x:v>
      </x:c>
      <x:c r="H243" s="34" t="str">
        <x:v>firstUndeployThreadEvidenceFinal</x:v>
      </x:c>
      <x:c r="I243" s="36" t="n">
        <x:v>1</x:v>
      </x:c>
      <x:c r="J243" s="34" t="str">
        <x:v>final</x:v>
      </x:c>
      <x:c r="K243" s="36" t="n">
        <x:v>27</x:v>
      </x:c>
      <x:c r="L243" s="51" t="n">
        <x:v>0</x:v>
      </x:c>
      <x:c r="M243" s="51" t="n">
        <x:v>0</x:v>
      </x:c>
      <x:c r="N243" s="36" t="n">
        <x:v>3</x:v>
      </x:c>
      <x:c r="O243" s="44" t="str">
        <x:v>http-nio-8080-exec-11#81 | http-nio-8080-exec-12#82 | http-nio-8080-exec-13#83</x:v>
      </x:c>
      <x:c r="P243" s="36" t="n">
        <x:v>3</x:v>
      </x:c>
      <x:c r="Q243" s="44" t="str">
        <x:v>http-nio-8080-exec-11#81 | http-nio-8080-exec-12#82 | http-nio-8080-exec-13#83</x:v>
      </x:c>
      <x:c r="R243" s="36" t="n">
        <x:v>0</x:v>
      </x:c>
      <x:c r="S243" s="44"/>
      <x:c r="T243" s="36" t="n">
        <x:v>0</x:v>
      </x:c>
      <x:c r="U243" s="44"/>
      <x:c r="V243" s="36" t="n">
        <x:v>0</x:v>
      </x:c>
      <x:c r="W243" s="44"/>
      <x:c r="X243" s="34" t="str">
        <x:v>no-post-undeploy-thread-signal</x:v>
      </x:c>
      <x:c r="Y243" s="44" t="str">
        <x:v>automated signatures are JCS-specific; all other candidate application threads remain unattributed and ownership requires the archived full dump</x:v>
      </x:c>
    </x:row>
    <x:row r="244">
      <x:c r="A244" s="34" t="str">
        <x:v>article1-unified-v4-2-fb3f101b-20260903-000401-default-f03-p1-cache2k</x:v>
      </x:c>
      <x:c r="B244" s="34" t="str">
        <x:v>default</x:v>
      </x:c>
      <x:c r="C244" s="34" t="str">
        <x:v>cache2k</x:v>
      </x:c>
      <x:c r="D244" s="36" t="n">
        <x:v>3</x:v>
      </x:c>
      <x:c r="E244" s="36" t="n">
        <x:v>3</x:v>
      </x:c>
      <x:c r="F244" s="36" t="n">
        <x:v>1</x:v>
      </x:c>
      <x:c r="G244" s="36" t="n">
        <x:v>1</x:v>
      </x:c>
      <x:c r="H244" s="34" t="str">
        <x:v>finalUndeployThreadEvidenceEarly</x:v>
      </x:c>
      <x:c r="I244" s="36" t="n">
        <x:v>2</x:v>
      </x:c>
      <x:c r="J244" s="34" t="str">
        <x:v>early</x:v>
      </x:c>
      <x:c r="K244" s="36" t="n">
        <x:v>27</x:v>
      </x:c>
      <x:c r="L244" s="51" t="n">
        <x:v>0</x:v>
      </x:c>
      <x:c r="M244" s="51" t="n">
        <x:v>0</x:v>
      </x:c>
      <x:c r="N244" s="36" t="n">
        <x:v>8</x:v>
      </x:c>
      <x:c r="O244" s="44" t="str">
        <x:v>http-nio-8080-exec-11#81 | http-nio-8080-exec-12#82 | http-nio-8080-exec-13#83 | http-nio-8080-exec-14#86 | http-nio-8080-exec-15#87 | http-nio-8080-exec-17#122 | http-nio-8080-exec-18#123 | http-nio-8080-exec-19#124</x:v>
      </x:c>
      <x:c r="P244" s="36" t="n">
        <x:v>8</x:v>
      </x:c>
      <x:c r="Q244" s="44" t="str">
        <x:v>http-nio-8080-exec-11#81 | http-nio-8080-exec-12#82 | http-nio-8080-exec-13#83 | http-nio-8080-exec-14#86 | http-nio-8080-exec-15#87 | http-nio-8080-exec-17#122 | http-nio-8080-exec-18#123 | http-nio-8080-exec-19#124</x:v>
      </x:c>
      <x:c r="R244" s="36" t="n">
        <x:v>0</x:v>
      </x:c>
      <x:c r="S244" s="44"/>
      <x:c r="T244" s="36" t="n">
        <x:v>0</x:v>
      </x:c>
      <x:c r="U244" s="44"/>
      <x:c r="V244" s="36" t="n">
        <x:v>0</x:v>
      </x:c>
      <x:c r="W244" s="44"/>
      <x:c r="X244" s="34" t="str">
        <x:v>no-post-undeploy-thread-signal</x:v>
      </x:c>
      <x:c r="Y244" s="44" t="str">
        <x:v>automated signatures are JCS-specific; all other candidate application threads remain unattributed and ownership requires the archived full dump</x:v>
      </x:c>
    </x:row>
    <x:row r="245">
      <x:c r="A245" s="34" t="str">
        <x:v>article1-unified-v4-2-fb3f101b-20260903-000401-default-f03-p1-cache2k</x:v>
      </x:c>
      <x:c r="B245" s="34" t="str">
        <x:v>default</x:v>
      </x:c>
      <x:c r="C245" s="34" t="str">
        <x:v>cache2k</x:v>
      </x:c>
      <x:c r="D245" s="36" t="n">
        <x:v>3</x:v>
      </x:c>
      <x:c r="E245" s="36" t="n">
        <x:v>3</x:v>
      </x:c>
      <x:c r="F245" s="36" t="n">
        <x:v>1</x:v>
      </x:c>
      <x:c r="G245" s="36" t="n">
        <x:v>1</x:v>
      </x:c>
      <x:c r="H245" s="34" t="str">
        <x:v>finalUndeployThreadEvidenceFinal</x:v>
      </x:c>
      <x:c r="I245" s="36" t="n">
        <x:v>2</x:v>
      </x:c>
      <x:c r="J245" s="34" t="str">
        <x:v>final</x:v>
      </x:c>
      <x:c r="K245" s="36" t="n">
        <x:v>27</x:v>
      </x:c>
      <x:c r="L245" s="51" t="n">
        <x:v>0</x:v>
      </x:c>
      <x:c r="M245" s="51" t="n">
        <x:v>0</x:v>
      </x:c>
      <x:c r="N245" s="36" t="n">
        <x:v>8</x:v>
      </x:c>
      <x:c r="O245" s="44" t="str">
        <x:v>http-nio-8080-exec-11#81 | http-nio-8080-exec-12#82 | http-nio-8080-exec-13#83 | http-nio-8080-exec-14#86 | http-nio-8080-exec-17#122 | http-nio-8080-exec-18#123 | http-nio-8080-exec-19#124 | http-nio-8080-exec-20#125</x:v>
      </x:c>
      <x:c r="P245" s="36" t="n">
        <x:v>8</x:v>
      </x:c>
      <x:c r="Q245" s="44" t="str">
        <x:v>http-nio-8080-exec-11#81 | http-nio-8080-exec-12#82 | http-nio-8080-exec-13#83 | http-nio-8080-exec-14#86 | http-nio-8080-exec-17#122 | http-nio-8080-exec-18#123 | http-nio-8080-exec-19#124 | http-nio-8080-exec-20#125</x:v>
      </x:c>
      <x:c r="R245" s="36" t="n">
        <x:v>0</x:v>
      </x:c>
      <x:c r="S245" s="44"/>
      <x:c r="T245" s="36" t="n">
        <x:v>0</x:v>
      </x:c>
      <x:c r="U245" s="44"/>
      <x:c r="V245" s="36" t="n">
        <x:v>0</x:v>
      </x:c>
      <x:c r="W245" s="44"/>
      <x:c r="X245" s="34" t="str">
        <x:v>no-post-undeploy-thread-signal</x:v>
      </x:c>
      <x:c r="Y245" s="44" t="str">
        <x:v>automated signatures are JCS-specific; all other candidate application threads remain unattributed and ownership requires the archived full dump</x:v>
      </x:c>
    </x:row>
    <x:row r="246">
      <x:c r="A246" s="34" t="str">
        <x:v>article1-unified-v4-2-fb3f101b-20260903-000401-default-f03-p1-cache2k</x:v>
      </x:c>
      <x:c r="B246" s="34" t="str">
        <x:v>default</x:v>
      </x:c>
      <x:c r="C246" s="34" t="str">
        <x:v>cache2k</x:v>
      </x:c>
      <x:c r="D246" s="36" t="n">
        <x:v>3</x:v>
      </x:c>
      <x:c r="E246" s="36" t="n">
        <x:v>3</x:v>
      </x:c>
      <x:c r="F246" s="36" t="n">
        <x:v>1</x:v>
      </x:c>
      <x:c r="G246" s="36" t="n">
        <x:v>2</x:v>
      </x:c>
      <x:c r="H246" s="34" t="str">
        <x:v>firstUndeployThreadEvidenceEarly</x:v>
      </x:c>
      <x:c r="I246" s="36" t="n">
        <x:v>1</x:v>
      </x:c>
      <x:c r="J246" s="34" t="str">
        <x:v>early</x:v>
      </x:c>
      <x:c r="K246" s="36" t="n">
        <x:v>27</x:v>
      </x:c>
      <x:c r="L246" s="51" t="n">
        <x:v>0</x:v>
      </x:c>
      <x:c r="M246" s="51" t="n">
        <x:v>0</x:v>
      </x:c>
      <x:c r="N246" s="36" t="n">
        <x:v>8</x:v>
      </x:c>
      <x:c r="O246" s="44" t="str">
        <x:v>http-nio-8080-exec-14#86 | http-nio-8080-exec-19#124 | http-nio-8080-exec-20#125 | http-nio-8080-exec-21#128 | http-nio-8080-exec-22#129 | http-nio-8080-exec-23#163 | http-nio-8080-exec-24#164 | http-nio-8080-exec-25#165</x:v>
      </x:c>
      <x:c r="P246" s="36" t="n">
        <x:v>5</x:v>
      </x:c>
      <x:c r="Q246" s="44" t="str">
        <x:v>http-nio-8080-exec-21#128 | http-nio-8080-exec-22#129 | http-nio-8080-exec-23#163 | http-nio-8080-exec-24#164 | http-nio-8080-exec-25#165</x:v>
      </x:c>
      <x:c r="R246" s="36" t="n">
        <x:v>0</x:v>
      </x:c>
      <x:c r="S246" s="44"/>
      <x:c r="T246" s="36" t="n">
        <x:v>0</x:v>
      </x:c>
      <x:c r="U246" s="44"/>
      <x:c r="V246" s="36" t="n">
        <x:v>0</x:v>
      </x:c>
      <x:c r="W246" s="44"/>
      <x:c r="X246" s="34" t="str">
        <x:v>no-post-undeploy-thread-signal</x:v>
      </x:c>
      <x:c r="Y246" s="44" t="str">
        <x:v>automated signatures are JCS-specific; all other candidate application threads remain unattributed and ownership requires the archived full dump</x:v>
      </x:c>
    </x:row>
    <x:row r="247">
      <x:c r="A247" s="34" t="str">
        <x:v>article1-unified-v4-2-fb3f101b-20260903-000401-default-f03-p1-cache2k</x:v>
      </x:c>
      <x:c r="B247" s="34" t="str">
        <x:v>default</x:v>
      </x:c>
      <x:c r="C247" s="34" t="str">
        <x:v>cache2k</x:v>
      </x:c>
      <x:c r="D247" s="36" t="n">
        <x:v>3</x:v>
      </x:c>
      <x:c r="E247" s="36" t="n">
        <x:v>3</x:v>
      </x:c>
      <x:c r="F247" s="36" t="n">
        <x:v>1</x:v>
      </x:c>
      <x:c r="G247" s="36" t="n">
        <x:v>2</x:v>
      </x:c>
      <x:c r="H247" s="34" t="str">
        <x:v>firstUndeployThreadEvidenceFinal</x:v>
      </x:c>
      <x:c r="I247" s="36" t="n">
        <x:v>1</x:v>
      </x:c>
      <x:c r="J247" s="34" t="str">
        <x:v>final</x:v>
      </x:c>
      <x:c r="K247" s="36" t="n">
        <x:v>27</x:v>
      </x:c>
      <x:c r="L247" s="51" t="n">
        <x:v>0</x:v>
      </x:c>
      <x:c r="M247" s="51" t="n">
        <x:v>0</x:v>
      </x:c>
      <x:c r="N247" s="36" t="n">
        <x:v>8</x:v>
      </x:c>
      <x:c r="O247" s="44" t="str">
        <x:v>http-nio-8080-exec-14#86 | http-nio-8080-exec-20#125 | http-nio-8080-exec-21#128 | http-nio-8080-exec-22#129 | http-nio-8080-exec-23#163 | http-nio-8080-exec-24#164 | http-nio-8080-exec-25#165 | http-nio-8080-exec-26#166</x:v>
      </x:c>
      <x:c r="P247" s="36" t="n">
        <x:v>6</x:v>
      </x:c>
      <x:c r="Q247" s="44" t="str">
        <x:v>http-nio-8080-exec-21#128 | http-nio-8080-exec-22#129 | http-nio-8080-exec-23#163 | http-nio-8080-exec-24#164 | http-nio-8080-exec-25#165 | http-nio-8080-exec-26#166</x:v>
      </x:c>
      <x:c r="R247" s="36" t="n">
        <x:v>0</x:v>
      </x:c>
      <x:c r="S247" s="44"/>
      <x:c r="T247" s="36" t="n">
        <x:v>0</x:v>
      </x:c>
      <x:c r="U247" s="44"/>
      <x:c r="V247" s="36" t="n">
        <x:v>0</x:v>
      </x:c>
      <x:c r="W247" s="44"/>
      <x:c r="X247" s="34" t="str">
        <x:v>no-post-undeploy-thread-signal</x:v>
      </x:c>
      <x:c r="Y247" s="44" t="str">
        <x:v>automated signatures are JCS-specific; all other candidate application threads remain unattributed and ownership requires the archived full dump</x:v>
      </x:c>
    </x:row>
    <x:row r="248">
      <x:c r="A248" s="34" t="str">
        <x:v>article1-unified-v4-2-fb3f101b-20260903-000401-default-f03-p1-cache2k</x:v>
      </x:c>
      <x:c r="B248" s="34" t="str">
        <x:v>default</x:v>
      </x:c>
      <x:c r="C248" s="34" t="str">
        <x:v>cache2k</x:v>
      </x:c>
      <x:c r="D248" s="36" t="n">
        <x:v>3</x:v>
      </x:c>
      <x:c r="E248" s="36" t="n">
        <x:v>3</x:v>
      </x:c>
      <x:c r="F248" s="36" t="n">
        <x:v>1</x:v>
      </x:c>
      <x:c r="G248" s="36" t="n">
        <x:v>2</x:v>
      </x:c>
      <x:c r="H248" s="34" t="str">
        <x:v>finalUndeployThreadEvidenceEarly</x:v>
      </x:c>
      <x:c r="I248" s="36" t="n">
        <x:v>2</x:v>
      </x:c>
      <x:c r="J248" s="34" t="str">
        <x:v>early</x:v>
      </x:c>
      <x:c r="K248" s="36" t="n">
        <x:v>27</x:v>
      </x:c>
      <x:c r="L248" s="51" t="n">
        <x:v>0</x:v>
      </x:c>
      <x:c r="M248" s="51" t="n">
        <x:v>0</x:v>
      </x:c>
      <x:c r="N248" s="36" t="n">
        <x:v>9</x:v>
      </x:c>
      <x:c r="O248" s="44" t="str">
        <x:v>http-nio-8080-exec-20#125 | http-nio-8080-exec-24#164 | http-nio-8080-exec-25#165 | http-nio-8080-exec-26#166 | http-nio-8080-exec-28#170 | http-nio-8080-exec-29#171 | http-nio-8080-exec-30#205 | http-nio-8080-exec-31#206 | http-nio-8080-exec-32#207</x:v>
      </x:c>
      <x:c r="P248" s="36" t="n">
        <x:v>8</x:v>
      </x:c>
      <x:c r="Q248" s="44" t="str">
        <x:v>http-nio-8080-exec-24#164 | http-nio-8080-exec-25#165 | http-nio-8080-exec-26#166 | http-nio-8080-exec-28#170 | http-nio-8080-exec-29#171 | http-nio-8080-exec-30#205 | http-nio-8080-exec-31#206 | http-nio-8080-exec-32#207</x:v>
      </x:c>
      <x:c r="R248" s="36" t="n">
        <x:v>0</x:v>
      </x:c>
      <x:c r="S248" s="44"/>
      <x:c r="T248" s="36" t="n">
        <x:v>0</x:v>
      </x:c>
      <x:c r="U248" s="44"/>
      <x:c r="V248" s="36" t="n">
        <x:v>0</x:v>
      </x:c>
      <x:c r="W248" s="44"/>
      <x:c r="X248" s="34" t="str">
        <x:v>no-post-undeploy-thread-signal</x:v>
      </x:c>
      <x:c r="Y248" s="44" t="str">
        <x:v>automated signatures are JCS-specific; all other candidate application threads remain unattributed and ownership requires the archived full dump</x:v>
      </x:c>
    </x:row>
    <x:row r="249">
      <x:c r="A249" s="34" t="str">
        <x:v>article1-unified-v4-2-fb3f101b-20260903-000401-default-f03-p1-cache2k</x:v>
      </x:c>
      <x:c r="B249" s="34" t="str">
        <x:v>default</x:v>
      </x:c>
      <x:c r="C249" s="34" t="str">
        <x:v>cache2k</x:v>
      </x:c>
      <x:c r="D249" s="36" t="n">
        <x:v>3</x:v>
      </x:c>
      <x:c r="E249" s="36" t="n">
        <x:v>3</x:v>
      </x:c>
      <x:c r="F249" s="36" t="n">
        <x:v>1</x:v>
      </x:c>
      <x:c r="G249" s="36" t="n">
        <x:v>2</x:v>
      </x:c>
      <x:c r="H249" s="34" t="str">
        <x:v>finalUndeployThreadEvidenceFinal</x:v>
      </x:c>
      <x:c r="I249" s="36" t="n">
        <x:v>2</x:v>
      </x:c>
      <x:c r="J249" s="34" t="str">
        <x:v>final</x:v>
      </x:c>
      <x:c r="K249" s="36" t="n">
        <x:v>27</x:v>
      </x:c>
      <x:c r="L249" s="51" t="n">
        <x:v>0</x:v>
      </x:c>
      <x:c r="M249" s="51" t="n">
        <x:v>0</x:v>
      </x:c>
      <x:c r="N249" s="36" t="n">
        <x:v>10</x:v>
      </x:c>
      <x:c r="O249" s="44" t="str">
        <x:v>http-nio-8080-exec-20#125 | http-nio-8080-exec-24#164 | http-nio-8080-exec-25#165 | http-nio-8080-exec-26#166 | http-nio-8080-exec-28#170 | http-nio-8080-exec-29#171 | http-nio-8080-exec-30#205 | http-nio-8080-exec-31#206 | http-nio-8080-exec-32#207 | http-nio-8080-exec-33#208</x:v>
      </x:c>
      <x:c r="P249" s="36" t="n">
        <x:v>9</x:v>
      </x:c>
      <x:c r="Q249" s="44" t="str">
        <x:v>http-nio-8080-exec-24#164 | http-nio-8080-exec-25#165 | http-nio-8080-exec-26#166 | http-nio-8080-exec-28#170 | http-nio-8080-exec-29#171 | http-nio-8080-exec-30#205 | http-nio-8080-exec-31#206 | http-nio-8080-exec-32#207 | http-nio-8080-exec-33#208</x:v>
      </x:c>
      <x:c r="R249" s="36" t="n">
        <x:v>0</x:v>
      </x:c>
      <x:c r="S249" s="44"/>
      <x:c r="T249" s="36" t="n">
        <x:v>0</x:v>
      </x:c>
      <x:c r="U249" s="44"/>
      <x:c r="V249" s="36" t="n">
        <x:v>0</x:v>
      </x:c>
      <x:c r="W249" s="44"/>
      <x:c r="X249" s="34" t="str">
        <x:v>no-post-undeploy-thread-signal</x:v>
      </x:c>
      <x:c r="Y249" s="44" t="str">
        <x:v>automated signatures are JCS-specific; all other candidate application threads remain unattributed and ownership requires the archived full dump</x:v>
      </x:c>
    </x:row>
    <x:row r="250">
      <x:c r="A250" s="34" t="str">
        <x:v>article1-unified-v4-2-fb3f101b-20260903-000401-default-f03-p1-cache2k</x:v>
      </x:c>
      <x:c r="B250" s="34" t="str">
        <x:v>default</x:v>
      </x:c>
      <x:c r="C250" s="34" t="str">
        <x:v>cache2k</x:v>
      </x:c>
      <x:c r="D250" s="36" t="n">
        <x:v>3</x:v>
      </x:c>
      <x:c r="E250" s="36" t="n">
        <x:v>3</x:v>
      </x:c>
      <x:c r="F250" s="36" t="n">
        <x:v>1</x:v>
      </x:c>
      <x:c r="G250" s="36" t="n">
        <x:v>3</x:v>
      </x:c>
      <x:c r="H250" s="34" t="str">
        <x:v>firstUndeployThreadEvidenceEarly</x:v>
      </x:c>
      <x:c r="I250" s="36" t="n">
        <x:v>1</x:v>
      </x:c>
      <x:c r="J250" s="34" t="str">
        <x:v>early</x:v>
      </x:c>
      <x:c r="K250" s="36" t="n">
        <x:v>27</x:v>
      </x:c>
      <x:c r="L250" s="51" t="n">
        <x:v>0</x:v>
      </x:c>
      <x:c r="M250" s="51" t="n">
        <x:v>0</x:v>
      </x:c>
      <x:c r="N250" s="36" t="n">
        <x:v>10</x:v>
      </x:c>
      <x:c r="O250" s="44" t="str">
        <x:v>http-nio-8080-exec-28#170 | http-nio-8080-exec-30#205 | http-nio-8080-exec-31#206 | http-nio-8080-exec-32#207 | http-nio-8080-exec-33#208 | http-nio-8080-exec-34#211 | http-nio-8080-exec-35#212 | http-nio-8080-exec-36#246 | http-nio-8080-exec-37#247 | http-nio-8080-exec-38#248</x:v>
      </x:c>
      <x:c r="P250" s="36" t="n">
        <x:v>5</x:v>
      </x:c>
      <x:c r="Q250" s="44" t="str">
        <x:v>http-nio-8080-exec-34#211 | http-nio-8080-exec-35#212 | http-nio-8080-exec-36#246 | http-nio-8080-exec-37#247 | http-nio-8080-exec-38#248</x:v>
      </x:c>
      <x:c r="R250" s="36" t="n">
        <x:v>0</x:v>
      </x:c>
      <x:c r="S250" s="44"/>
      <x:c r="T250" s="36" t="n">
        <x:v>0</x:v>
      </x:c>
      <x:c r="U250" s="44"/>
      <x:c r="V250" s="36" t="n">
        <x:v>0</x:v>
      </x:c>
      <x:c r="W250" s="44"/>
      <x:c r="X250" s="34" t="str">
        <x:v>no-post-undeploy-thread-signal</x:v>
      </x:c>
      <x:c r="Y250" s="44" t="str">
        <x:v>automated signatures are JCS-specific; all other candidate application threads remain unattributed and ownership requires the archived full dump</x:v>
      </x:c>
    </x:row>
    <x:row r="251">
      <x:c r="A251" s="34" t="str">
        <x:v>article1-unified-v4-2-fb3f101b-20260903-000401-default-f03-p1-cache2k</x:v>
      </x:c>
      <x:c r="B251" s="34" t="str">
        <x:v>default</x:v>
      </x:c>
      <x:c r="C251" s="34" t="str">
        <x:v>cache2k</x:v>
      </x:c>
      <x:c r="D251" s="36" t="n">
        <x:v>3</x:v>
      </x:c>
      <x:c r="E251" s="36" t="n">
        <x:v>3</x:v>
      </x:c>
      <x:c r="F251" s="36" t="n">
        <x:v>1</x:v>
      </x:c>
      <x:c r="G251" s="36" t="n">
        <x:v>3</x:v>
      </x:c>
      <x:c r="H251" s="34" t="str">
        <x:v>firstUndeployThreadEvidenceFinal</x:v>
      </x:c>
      <x:c r="I251" s="36" t="n">
        <x:v>1</x:v>
      </x:c>
      <x:c r="J251" s="34" t="str">
        <x:v>final</x:v>
      </x:c>
      <x:c r="K251" s="36" t="n">
        <x:v>27</x:v>
      </x:c>
      <x:c r="L251" s="51" t="n">
        <x:v>0</x:v>
      </x:c>
      <x:c r="M251" s="51" t="n">
        <x:v>0</x:v>
      </x:c>
      <x:c r="N251" s="36" t="n">
        <x:v>10</x:v>
      </x:c>
      <x:c r="O251" s="44" t="str">
        <x:v>http-nio-8080-exec-28#170 | http-nio-8080-exec-30#205 | http-nio-8080-exec-31#206 | http-nio-8080-exec-32#207 | http-nio-8080-exec-33#208 | http-nio-8080-exec-34#211 | http-nio-8080-exec-35#212 | http-nio-8080-exec-37#247 | http-nio-8080-exec-38#248 | http-nio-8080-exec-39#249</x:v>
      </x:c>
      <x:c r="P251" s="36" t="n">
        <x:v>5</x:v>
      </x:c>
      <x:c r="Q251" s="44" t="str">
        <x:v>http-nio-8080-exec-34#211 | http-nio-8080-exec-35#212 | http-nio-8080-exec-37#247 | http-nio-8080-exec-38#248 | http-nio-8080-exec-39#249</x:v>
      </x:c>
      <x:c r="R251" s="36" t="n">
        <x:v>0</x:v>
      </x:c>
      <x:c r="S251" s="44"/>
      <x:c r="T251" s="36" t="n">
        <x:v>0</x:v>
      </x:c>
      <x:c r="U251" s="44"/>
      <x:c r="V251" s="36" t="n">
        <x:v>0</x:v>
      </x:c>
      <x:c r="W251" s="44"/>
      <x:c r="X251" s="34" t="str">
        <x:v>no-post-undeploy-thread-signal</x:v>
      </x:c>
      <x:c r="Y251" s="44" t="str">
        <x:v>automated signatures are JCS-specific; all other candidate application threads remain unattributed and ownership requires the archived full dump</x:v>
      </x:c>
    </x:row>
    <x:row r="252">
      <x:c r="A252" s="34" t="str">
        <x:v>article1-unified-v4-2-fb3f101b-20260903-000401-default-f03-p1-cache2k</x:v>
      </x:c>
      <x:c r="B252" s="34" t="str">
        <x:v>default</x:v>
      </x:c>
      <x:c r="C252" s="34" t="str">
        <x:v>cache2k</x:v>
      </x:c>
      <x:c r="D252" s="36" t="n">
        <x:v>3</x:v>
      </x:c>
      <x:c r="E252" s="36" t="n">
        <x:v>3</x:v>
      </x:c>
      <x:c r="F252" s="36" t="n">
        <x:v>1</x:v>
      </x:c>
      <x:c r="G252" s="36" t="n">
        <x:v>3</x:v>
      </x:c>
      <x:c r="H252" s="34" t="str">
        <x:v>finalUndeployThreadEvidenceEarly</x:v>
      </x:c>
      <x:c r="I252" s="36" t="n">
        <x:v>2</x:v>
      </x:c>
      <x:c r="J252" s="34" t="str">
        <x:v>early</x:v>
      </x:c>
      <x:c r="K252" s="36" t="n">
        <x:v>27</x:v>
      </x:c>
      <x:c r="L252" s="51" t="n">
        <x:v>0</x:v>
      </x:c>
      <x:c r="M252" s="51" t="n">
        <x:v>0</x:v>
      </x:c>
      <x:c r="N252" s="36" t="n">
        <x:v>10</x:v>
      </x:c>
      <x:c r="O252" s="44" t="str">
        <x:v>http-nio-8080-exec-28#170 | http-nio-8080-exec-33#208 | http-nio-8080-exec-37#247 | http-nio-8080-exec-38#248 | http-nio-8080-exec-39#249 | http-nio-8080-exec-41#253 | http-nio-8080-exec-42#254 | http-nio-8080-exec-43#288 | http-nio-8080-exec-44#289 | http-nio-8080-exec-45#290</x:v>
      </x:c>
      <x:c r="P252" s="36" t="n">
        <x:v>8</x:v>
      </x:c>
      <x:c r="Q252" s="44" t="str">
        <x:v>http-nio-8080-exec-37#247 | http-nio-8080-exec-38#248 | http-nio-8080-exec-39#249 | http-nio-8080-exec-41#253 | http-nio-8080-exec-42#254 | http-nio-8080-exec-43#288 | http-nio-8080-exec-44#289 | http-nio-8080-exec-45#290</x:v>
      </x:c>
      <x:c r="R252" s="36" t="n">
        <x:v>0</x:v>
      </x:c>
      <x:c r="S252" s="44"/>
      <x:c r="T252" s="36" t="n">
        <x:v>0</x:v>
      </x:c>
      <x:c r="U252" s="44"/>
      <x:c r="V252" s="36" t="n">
        <x:v>0</x:v>
      </x:c>
      <x:c r="W252" s="44"/>
      <x:c r="X252" s="34" t="str">
        <x:v>no-post-undeploy-thread-signal</x:v>
      </x:c>
      <x:c r="Y252" s="44" t="str">
        <x:v>automated signatures are JCS-specific; all other candidate application threads remain unattributed and ownership requires the archived full dump</x:v>
      </x:c>
    </x:row>
    <x:row r="253">
      <x:c r="A253" s="34" t="str">
        <x:v>article1-unified-v4-2-fb3f101b-20260903-000401-default-f03-p1-cache2k</x:v>
      </x:c>
      <x:c r="B253" s="34" t="str">
        <x:v>default</x:v>
      </x:c>
      <x:c r="C253" s="34" t="str">
        <x:v>cache2k</x:v>
      </x:c>
      <x:c r="D253" s="36" t="n">
        <x:v>3</x:v>
      </x:c>
      <x:c r="E253" s="36" t="n">
        <x:v>3</x:v>
      </x:c>
      <x:c r="F253" s="36" t="n">
        <x:v>1</x:v>
      </x:c>
      <x:c r="G253" s="36" t="n">
        <x:v>3</x:v>
      </x:c>
      <x:c r="H253" s="34" t="str">
        <x:v>finalUndeployThreadEvidenceFinal</x:v>
      </x:c>
      <x:c r="I253" s="36" t="n">
        <x:v>2</x:v>
      </x:c>
      <x:c r="J253" s="34" t="str">
        <x:v>final</x:v>
      </x:c>
      <x:c r="K253" s="36" t="n">
        <x:v>27</x:v>
      </x:c>
      <x:c r="L253" s="51" t="n">
        <x:v>0</x:v>
      </x:c>
      <x:c r="M253" s="51" t="n">
        <x:v>0</x:v>
      </x:c>
      <x:c r="N253" s="36" t="n">
        <x:v>10</x:v>
      </x:c>
      <x:c r="O253" s="44" t="str">
        <x:v>http-nio-8080-exec-28#170 | http-nio-8080-exec-33#208 | http-nio-8080-exec-37#247 | http-nio-8080-exec-38#248 | http-nio-8080-exec-39#249 | http-nio-8080-exec-41#253 | http-nio-8080-exec-43#288 | http-nio-8080-exec-44#289 | http-nio-8080-exec-45#290 | http-nio-8080-exec-46#291</x:v>
      </x:c>
      <x:c r="P253" s="36" t="n">
        <x:v>8</x:v>
      </x:c>
      <x:c r="Q253" s="44" t="str">
        <x:v>http-nio-8080-exec-37#247 | http-nio-8080-exec-38#248 | http-nio-8080-exec-39#249 | http-nio-8080-exec-41#253 | http-nio-8080-exec-43#288 | http-nio-8080-exec-44#289 | http-nio-8080-exec-45#290 | http-nio-8080-exec-46#291</x:v>
      </x:c>
      <x:c r="R253" s="36" t="n">
        <x:v>0</x:v>
      </x:c>
      <x:c r="S253" s="44"/>
      <x:c r="T253" s="36" t="n">
        <x:v>0</x:v>
      </x:c>
      <x:c r="U253" s="44"/>
      <x:c r="V253" s="36" t="n">
        <x:v>0</x:v>
      </x:c>
      <x:c r="W253" s="44"/>
      <x:c r="X253" s="34" t="str">
        <x:v>no-post-undeploy-thread-signal</x:v>
      </x:c>
      <x:c r="Y253" s="44" t="str">
        <x:v>automated signatures are JCS-specific; all other candidate application threads remain unattributed and ownership requires the archived full dump</x:v>
      </x:c>
    </x:row>
    <x:row r="254">
      <x:c r="A254" s="34" t="str">
        <x:v>article1-unified-v4-2-fb3f101b-20260903-000401-default-f03-p1-cache2k</x:v>
      </x:c>
      <x:c r="B254" s="34" t="str">
        <x:v>default</x:v>
      </x:c>
      <x:c r="C254" s="34" t="str">
        <x:v>cache2k</x:v>
      </x:c>
      <x:c r="D254" s="36" t="n">
        <x:v>3</x:v>
      </x:c>
      <x:c r="E254" s="36" t="n">
        <x:v>3</x:v>
      </x:c>
      <x:c r="F254" s="36" t="n">
        <x:v>1</x:v>
      </x:c>
      <x:c r="G254" s="36" t="n">
        <x:v>4</x:v>
      </x:c>
      <x:c r="H254" s="34" t="str">
        <x:v>firstUndeployThreadEvidenceEarly</x:v>
      </x:c>
      <x:c r="I254" s="36" t="n">
        <x:v>1</x:v>
      </x:c>
      <x:c r="J254" s="34" t="str">
        <x:v>early</x:v>
      </x:c>
      <x:c r="K254" s="36" t="n">
        <x:v>27</x:v>
      </x:c>
      <x:c r="L254" s="51" t="n">
        <x:v>0</x:v>
      </x:c>
      <x:c r="M254" s="51" t="n">
        <x:v>0</x:v>
      </x:c>
      <x:c r="N254" s="36" t="n">
        <x:v>10</x:v>
      </x:c>
      <x:c r="O254" s="44" t="str">
        <x:v>http-nio-8080-exec-28#170 | http-nio-8080-exec-33#208 | http-nio-8080-exec-41#253 | http-nio-8080-exec-44#289 | http-nio-8080-exec-45#290 | http-nio-8080-exec-46#291 | http-nio-8080-exec-48#295 | http-nio-8080-exec-49#329 | http-nio-8080-exec-50#330 | http-nio-8080-exec-51#331</x:v>
      </x:c>
      <x:c r="P254" s="36" t="n">
        <x:v>4</x:v>
      </x:c>
      <x:c r="Q254" s="44" t="str">
        <x:v>http-nio-8080-exec-48#295 | http-nio-8080-exec-49#329 | http-nio-8080-exec-50#330 | http-nio-8080-exec-51#331</x:v>
      </x:c>
      <x:c r="R254" s="36" t="n">
        <x:v>0</x:v>
      </x:c>
      <x:c r="S254" s="44"/>
      <x:c r="T254" s="36" t="n">
        <x:v>0</x:v>
      </x:c>
      <x:c r="U254" s="44"/>
      <x:c r="V254" s="36" t="n">
        <x:v>0</x:v>
      </x:c>
      <x:c r="W254" s="44"/>
      <x:c r="X254" s="34" t="str">
        <x:v>no-post-undeploy-thread-signal</x:v>
      </x:c>
      <x:c r="Y254" s="44" t="str">
        <x:v>automated signatures are JCS-specific; all other candidate application threads remain unattributed and ownership requires the archived full dump</x:v>
      </x:c>
    </x:row>
    <x:row r="255">
      <x:c r="A255" s="34" t="str">
        <x:v>article1-unified-v4-2-fb3f101b-20260903-000401-default-f03-p1-cache2k</x:v>
      </x:c>
      <x:c r="B255" s="34" t="str">
        <x:v>default</x:v>
      </x:c>
      <x:c r="C255" s="34" t="str">
        <x:v>cache2k</x:v>
      </x:c>
      <x:c r="D255" s="36" t="n">
        <x:v>3</x:v>
      </x:c>
      <x:c r="E255" s="36" t="n">
        <x:v>3</x:v>
      </x:c>
      <x:c r="F255" s="36" t="n">
        <x:v>1</x:v>
      </x:c>
      <x:c r="G255" s="36" t="n">
        <x:v>4</x:v>
      </x:c>
      <x:c r="H255" s="34" t="str">
        <x:v>firstUndeployThreadEvidenceFinal</x:v>
      </x:c>
      <x:c r="I255" s="36" t="n">
        <x:v>1</x:v>
      </x:c>
      <x:c r="J255" s="34" t="str">
        <x:v>final</x:v>
      </x:c>
      <x:c r="K255" s="36" t="n">
        <x:v>27</x:v>
      </x:c>
      <x:c r="L255" s="51" t="n">
        <x:v>0</x:v>
      </x:c>
      <x:c r="M255" s="51" t="n">
        <x:v>0</x:v>
      </x:c>
      <x:c r="N255" s="36" t="n">
        <x:v>10</x:v>
      </x:c>
      <x:c r="O255" s="44" t="str">
        <x:v>http-nio-8080-exec-28#170 | http-nio-8080-exec-33#208 | http-nio-8080-exec-41#253 | http-nio-8080-exec-45#290 | http-nio-8080-exec-46#291 | http-nio-8080-exec-48#295 | http-nio-8080-exec-49#329 | http-nio-8080-exec-50#330 | http-nio-8080-exec-51#331 | http-nio-8080-exec-52#332</x:v>
      </x:c>
      <x:c r="P255" s="36" t="n">
        <x:v>5</x:v>
      </x:c>
      <x:c r="Q255" s="44" t="str">
        <x:v>http-nio-8080-exec-48#295 | http-nio-8080-exec-49#329 | http-nio-8080-exec-50#330 | http-nio-8080-exec-51#331 | http-nio-8080-exec-52#332</x:v>
      </x:c>
      <x:c r="R255" s="36" t="n">
        <x:v>0</x:v>
      </x:c>
      <x:c r="S255" s="44"/>
      <x:c r="T255" s="36" t="n">
        <x:v>0</x:v>
      </x:c>
      <x:c r="U255" s="44"/>
      <x:c r="V255" s="36" t="n">
        <x:v>0</x:v>
      </x:c>
      <x:c r="W255" s="44"/>
      <x:c r="X255" s="34" t="str">
        <x:v>no-post-undeploy-thread-signal</x:v>
      </x:c>
      <x:c r="Y255" s="44" t="str">
        <x:v>automated signatures are JCS-specific; all other candidate application threads remain unattributed and ownership requires the archived full dump</x:v>
      </x:c>
    </x:row>
    <x:row r="256">
      <x:c r="A256" s="34" t="str">
        <x:v>article1-unified-v4-2-fb3f101b-20260903-000401-default-f03-p1-cache2k</x:v>
      </x:c>
      <x:c r="B256" s="34" t="str">
        <x:v>default</x:v>
      </x:c>
      <x:c r="C256" s="34" t="str">
        <x:v>cache2k</x:v>
      </x:c>
      <x:c r="D256" s="36" t="n">
        <x:v>3</x:v>
      </x:c>
      <x:c r="E256" s="36" t="n">
        <x:v>3</x:v>
      </x:c>
      <x:c r="F256" s="36" t="n">
        <x:v>1</x:v>
      </x:c>
      <x:c r="G256" s="36" t="n">
        <x:v>4</x:v>
      </x:c>
      <x:c r="H256" s="34" t="str">
        <x:v>finalUndeployThreadEvidenceEarly</x:v>
      </x:c>
      <x:c r="I256" s="36" t="n">
        <x:v>2</x:v>
      </x:c>
      <x:c r="J256" s="34" t="str">
        <x:v>early</x:v>
      </x:c>
      <x:c r="K256" s="36" t="n">
        <x:v>27</x:v>
      </x:c>
      <x:c r="L256" s="51" t="n">
        <x:v>0</x:v>
      </x:c>
      <x:c r="M256" s="51" t="n">
        <x:v>0</x:v>
      </x:c>
      <x:c r="N256" s="36" t="n">
        <x:v>10</x:v>
      </x:c>
      <x:c r="O256" s="44" t="str">
        <x:v>http-nio-8080-exec-41#253 | http-nio-8080-exec-46#291 | http-nio-8080-exec-50#330 | http-nio-8080-exec-52#332 | http-nio-8080-exec-53#335 | http-nio-8080-exec-54#336 | http-nio-8080-exec-55#337 | http-nio-8080-exec-56#371 | http-nio-8080-exec-57#372 | http-nio-8080-exec-58#373</x:v>
      </x:c>
      <x:c r="P256" s="36" t="n">
        <x:v>8</x:v>
      </x:c>
      <x:c r="Q256" s="44" t="str">
        <x:v>http-nio-8080-exec-50#330 | http-nio-8080-exec-52#332 | http-nio-8080-exec-53#335 | http-nio-8080-exec-54#336 | http-nio-8080-exec-55#337 | http-nio-8080-exec-56#371 | http-nio-8080-exec-57#372 | http-nio-8080-exec-58#373</x:v>
      </x:c>
      <x:c r="R256" s="36" t="n">
        <x:v>0</x:v>
      </x:c>
      <x:c r="S256" s="44"/>
      <x:c r="T256" s="36" t="n">
        <x:v>0</x:v>
      </x:c>
      <x:c r="U256" s="44"/>
      <x:c r="V256" s="36" t="n">
        <x:v>0</x:v>
      </x:c>
      <x:c r="W256" s="44"/>
      <x:c r="X256" s="34" t="str">
        <x:v>no-post-undeploy-thread-signal</x:v>
      </x:c>
      <x:c r="Y256" s="44" t="str">
        <x:v>automated signatures are JCS-specific; all other candidate application threads remain unattributed and ownership requires the archived full dump</x:v>
      </x:c>
    </x:row>
    <x:row r="257">
      <x:c r="A257" s="34" t="str">
        <x:v>article1-unified-v4-2-fb3f101b-20260903-000401-default-f03-p1-cache2k</x:v>
      </x:c>
      <x:c r="B257" s="34" t="str">
        <x:v>default</x:v>
      </x:c>
      <x:c r="C257" s="34" t="str">
        <x:v>cache2k</x:v>
      </x:c>
      <x:c r="D257" s="36" t="n">
        <x:v>3</x:v>
      </x:c>
      <x:c r="E257" s="36" t="n">
        <x:v>3</x:v>
      </x:c>
      <x:c r="F257" s="36" t="n">
        <x:v>1</x:v>
      </x:c>
      <x:c r="G257" s="36" t="n">
        <x:v>4</x:v>
      </x:c>
      <x:c r="H257" s="34" t="str">
        <x:v>finalUndeployThreadEvidenceFinal</x:v>
      </x:c>
      <x:c r="I257" s="36" t="n">
        <x:v>2</x:v>
      </x:c>
      <x:c r="J257" s="34" t="str">
        <x:v>final</x:v>
      </x:c>
      <x:c r="K257" s="36" t="n">
        <x:v>27</x:v>
      </x:c>
      <x:c r="L257" s="51" t="n">
        <x:v>0</x:v>
      </x:c>
      <x:c r="M257" s="51" t="n">
        <x:v>0</x:v>
      </x:c>
      <x:c r="N257" s="36" t="n">
        <x:v>10</x:v>
      </x:c>
      <x:c r="O257" s="44" t="str">
        <x:v>http-nio-8080-exec-41#253 | http-nio-8080-exec-46#291 | http-nio-8080-exec-50#330 | http-nio-8080-exec-52#332 | http-nio-8080-exec-54#336 | http-nio-8080-exec-55#337 | http-nio-8080-exec-56#371 | http-nio-8080-exec-57#372 | http-nio-8080-exec-58#373 | http-nio-8080-exec-59#374</x:v>
      </x:c>
      <x:c r="P257" s="36" t="n">
        <x:v>8</x:v>
      </x:c>
      <x:c r="Q257" s="44" t="str">
        <x:v>http-nio-8080-exec-50#330 | http-nio-8080-exec-52#332 | http-nio-8080-exec-54#336 | http-nio-8080-exec-55#337 | http-nio-8080-exec-56#371 | http-nio-8080-exec-57#372 | http-nio-8080-exec-58#373 | http-nio-8080-exec-59#374</x:v>
      </x:c>
      <x:c r="R257" s="36" t="n">
        <x:v>0</x:v>
      </x:c>
      <x:c r="S257" s="44"/>
      <x:c r="T257" s="36" t="n">
        <x:v>0</x:v>
      </x:c>
      <x:c r="U257" s="44"/>
      <x:c r="V257" s="36" t="n">
        <x:v>0</x:v>
      </x:c>
      <x:c r="W257" s="44"/>
      <x:c r="X257" s="34" t="str">
        <x:v>no-post-undeploy-thread-signal</x:v>
      </x:c>
      <x:c r="Y257" s="44" t="str">
        <x:v>automated signatures are JCS-specific; all other candidate application threads remain unattributed and ownership requires the archived full dump</x:v>
      </x:c>
    </x:row>
    <x:row r="258">
      <x:c r="A258" s="34" t="str">
        <x:v>article1-unified-v4-2-fb3f101b-20260903-000401-default-f03-p1-cache2k</x:v>
      </x:c>
      <x:c r="B258" s="34" t="str">
        <x:v>default</x:v>
      </x:c>
      <x:c r="C258" s="34" t="str">
        <x:v>cache2k</x:v>
      </x:c>
      <x:c r="D258" s="36" t="n">
        <x:v>3</x:v>
      </x:c>
      <x:c r="E258" s="36" t="n">
        <x:v>3</x:v>
      </x:c>
      <x:c r="F258" s="36" t="n">
        <x:v>1</x:v>
      </x:c>
      <x:c r="G258" s="36" t="n">
        <x:v>5</x:v>
      </x:c>
      <x:c r="H258" s="34" t="str">
        <x:v>firstUndeployThreadEvidenceEarly</x:v>
      </x:c>
      <x:c r="I258" s="36" t="n">
        <x:v>1</x:v>
      </x:c>
      <x:c r="J258" s="34" t="str">
        <x:v>early</x:v>
      </x:c>
      <x:c r="K258" s="36" t="n">
        <x:v>27</x:v>
      </x:c>
      <x:c r="L258" s="51" t="n">
        <x:v>0</x:v>
      </x:c>
      <x:c r="M258" s="51" t="n">
        <x:v>0</x:v>
      </x:c>
      <x:c r="N258" s="36" t="n">
        <x:v>10</x:v>
      </x:c>
      <x:c r="O258" s="44" t="str">
        <x:v>http-nio-8080-exec-46#291 | http-nio-8080-exec-54#336 | http-nio-8080-exec-56#371 | http-nio-8080-exec-57#372 | http-nio-8080-exec-58#373 | http-nio-8080-exec-59#374 | http-nio-8080-exec-60#377 | http-nio-8080-exec-62#412 | http-nio-8080-exec-63#413 | http-nio-8080-exec-64#414</x:v>
      </x:c>
      <x:c r="P258" s="36" t="n">
        <x:v>4</x:v>
      </x:c>
      <x:c r="Q258" s="44" t="str">
        <x:v>http-nio-8080-exec-60#377 | http-nio-8080-exec-62#412 | http-nio-8080-exec-63#413 | http-nio-8080-exec-64#414</x:v>
      </x:c>
      <x:c r="R258" s="36" t="n">
        <x:v>0</x:v>
      </x:c>
      <x:c r="S258" s="44"/>
      <x:c r="T258" s="36" t="n">
        <x:v>0</x:v>
      </x:c>
      <x:c r="U258" s="44"/>
      <x:c r="V258" s="36" t="n">
        <x:v>0</x:v>
      </x:c>
      <x:c r="W258" s="44"/>
      <x:c r="X258" s="34" t="str">
        <x:v>no-post-undeploy-thread-signal</x:v>
      </x:c>
      <x:c r="Y258" s="44" t="str">
        <x:v>automated signatures are JCS-specific; all other candidate application threads remain unattributed and ownership requires the archived full dump</x:v>
      </x:c>
    </x:row>
    <x:row r="259">
      <x:c r="A259" s="34" t="str">
        <x:v>article1-unified-v4-2-fb3f101b-20260903-000401-default-f03-p1-cache2k</x:v>
      </x:c>
      <x:c r="B259" s="34" t="str">
        <x:v>default</x:v>
      </x:c>
      <x:c r="C259" s="34" t="str">
        <x:v>cache2k</x:v>
      </x:c>
      <x:c r="D259" s="36" t="n">
        <x:v>3</x:v>
      </x:c>
      <x:c r="E259" s="36" t="n">
        <x:v>3</x:v>
      </x:c>
      <x:c r="F259" s="36" t="n">
        <x:v>1</x:v>
      </x:c>
      <x:c r="G259" s="36" t="n">
        <x:v>5</x:v>
      </x:c>
      <x:c r="H259" s="34" t="str">
        <x:v>firstUndeployThreadEvidenceFinal</x:v>
      </x:c>
      <x:c r="I259" s="36" t="n">
        <x:v>1</x:v>
      </x:c>
      <x:c r="J259" s="34" t="str">
        <x:v>final</x:v>
      </x:c>
      <x:c r="K259" s="36" t="n">
        <x:v>27</x:v>
      </x:c>
      <x:c r="L259" s="51" t="n">
        <x:v>0</x:v>
      </x:c>
      <x:c r="M259" s="51" t="n">
        <x:v>0</x:v>
      </x:c>
      <x:c r="N259" s="36" t="n">
        <x:v>10</x:v>
      </x:c>
      <x:c r="O259" s="44" t="str">
        <x:v>http-nio-8080-exec-46#291 | http-nio-8080-exec-54#336 | http-nio-8080-exec-56#371 | http-nio-8080-exec-57#372 | http-nio-8080-exec-59#374 | http-nio-8080-exec-60#377 | http-nio-8080-exec-62#412 | http-nio-8080-exec-63#413 | http-nio-8080-exec-64#414 | http-nio-8080-exec-65#415</x:v>
      </x:c>
      <x:c r="P259" s="36" t="n">
        <x:v>5</x:v>
      </x:c>
      <x:c r="Q259" s="44" t="str">
        <x:v>http-nio-8080-exec-60#377 | http-nio-8080-exec-62#412 | http-nio-8080-exec-63#413 | http-nio-8080-exec-64#414 | http-nio-8080-exec-65#415</x:v>
      </x:c>
      <x:c r="R259" s="36" t="n">
        <x:v>0</x:v>
      </x:c>
      <x:c r="S259" s="44"/>
      <x:c r="T259" s="36" t="n">
        <x:v>0</x:v>
      </x:c>
      <x:c r="U259" s="44"/>
      <x:c r="V259" s="36" t="n">
        <x:v>0</x:v>
      </x:c>
      <x:c r="W259" s="44"/>
      <x:c r="X259" s="34" t="str">
        <x:v>no-post-undeploy-thread-signal</x:v>
      </x:c>
      <x:c r="Y259" s="44" t="str">
        <x:v>automated signatures are JCS-specific; all other candidate application threads remain unattributed and ownership requires the archived full dump</x:v>
      </x:c>
    </x:row>
    <x:row r="260">
      <x:c r="A260" s="34" t="str">
        <x:v>article1-unified-v4-2-fb3f101b-20260903-000401-default-f03-p1-cache2k</x:v>
      </x:c>
      <x:c r="B260" s="34" t="str">
        <x:v>default</x:v>
      </x:c>
      <x:c r="C260" s="34" t="str">
        <x:v>cache2k</x:v>
      </x:c>
      <x:c r="D260" s="36" t="n">
        <x:v>3</x:v>
      </x:c>
      <x:c r="E260" s="36" t="n">
        <x:v>3</x:v>
      </x:c>
      <x:c r="F260" s="36" t="n">
        <x:v>1</x:v>
      </x:c>
      <x:c r="G260" s="36" t="n">
        <x:v>5</x:v>
      </x:c>
      <x:c r="H260" s="34" t="str">
        <x:v>finalUndeployThreadEvidenceEarly</x:v>
      </x:c>
      <x:c r="I260" s="36" t="n">
        <x:v>2</x:v>
      </x:c>
      <x:c r="J260" s="34" t="str">
        <x:v>early</x:v>
      </x:c>
      <x:c r="K260" s="36" t="n">
        <x:v>27</x:v>
      </x:c>
      <x:c r="L260" s="51" t="n">
        <x:v>0</x:v>
      </x:c>
      <x:c r="M260" s="51" t="n">
        <x:v>0</x:v>
      </x:c>
      <x:c r="N260" s="36" t="n">
        <x:v>10</x:v>
      </x:c>
      <x:c r="O260" s="44" t="str">
        <x:v>http-nio-8080-exec-59#374 | http-nio-8080-exec-62#412 | http-nio-8080-exec-63#413 | http-nio-8080-exec-64#414 | http-nio-8080-exec-65#415 | http-nio-8080-exec-66#418 | http-nio-8080-exec-68#420 | http-nio-8080-exec-69#454 | http-nio-8080-exec-70#455 | http-nio-8080-exec-71#456</x:v>
      </x:c>
      <x:c r="P260" s="36" t="n">
        <x:v>9</x:v>
      </x:c>
      <x:c r="Q260" s="44" t="str">
        <x:v>http-nio-8080-exec-62#412 | http-nio-8080-exec-63#413 | http-nio-8080-exec-64#414 | http-nio-8080-exec-65#415 | http-nio-8080-exec-66#418 | http-nio-8080-exec-68#420 | http-nio-8080-exec-69#454 | http-nio-8080-exec-70#455 | http-nio-8080-exec-71#456</x:v>
      </x:c>
      <x:c r="R260" s="36" t="n">
        <x:v>0</x:v>
      </x:c>
      <x:c r="S260" s="44"/>
      <x:c r="T260" s="36" t="n">
        <x:v>0</x:v>
      </x:c>
      <x:c r="U260" s="44"/>
      <x:c r="V260" s="36" t="n">
        <x:v>0</x:v>
      </x:c>
      <x:c r="W260" s="44"/>
      <x:c r="X260" s="34" t="str">
        <x:v>no-post-undeploy-thread-signal</x:v>
      </x:c>
      <x:c r="Y260" s="44" t="str">
        <x:v>automated signatures are JCS-specific; all other candidate application threads remain unattributed and ownership requires the archived full dump</x:v>
      </x:c>
    </x:row>
    <x:row r="261">
      <x:c r="A261" s="34" t="str">
        <x:v>article1-unified-v4-2-fb3f101b-20260903-000401-default-f03-p1-cache2k</x:v>
      </x:c>
      <x:c r="B261" s="34" t="str">
        <x:v>default</x:v>
      </x:c>
      <x:c r="C261" s="34" t="str">
        <x:v>cache2k</x:v>
      </x:c>
      <x:c r="D261" s="36" t="n">
        <x:v>3</x:v>
      </x:c>
      <x:c r="E261" s="36" t="n">
        <x:v>3</x:v>
      </x:c>
      <x:c r="F261" s="36" t="n">
        <x:v>1</x:v>
      </x:c>
      <x:c r="G261" s="36" t="n">
        <x:v>5</x:v>
      </x:c>
      <x:c r="H261" s="34" t="str">
        <x:v>finalUndeployThreadEvidenceFinal</x:v>
      </x:c>
      <x:c r="I261" s="36" t="n">
        <x:v>2</x:v>
      </x:c>
      <x:c r="J261" s="34" t="str">
        <x:v>final</x:v>
      </x:c>
      <x:c r="K261" s="36" t="n">
        <x:v>27</x:v>
      </x:c>
      <x:c r="L261" s="51" t="n">
        <x:v>0</x:v>
      </x:c>
      <x:c r="M261" s="51" t="n">
        <x:v>0</x:v>
      </x:c>
      <x:c r="N261" s="36" t="n">
        <x:v>10</x:v>
      </x:c>
      <x:c r="O261" s="44" t="str">
        <x:v>http-nio-8080-exec-59#374 | http-nio-8080-exec-62#412 | http-nio-8080-exec-63#413 | http-nio-8080-exec-65#415 | http-nio-8080-exec-66#418 | http-nio-8080-exec-68#420 | http-nio-8080-exec-69#454 | http-nio-8080-exec-70#455 | http-nio-8080-exec-71#456 | http-nio-8080-exec-72#457</x:v>
      </x:c>
      <x:c r="P261" s="36" t="n">
        <x:v>9</x:v>
      </x:c>
      <x:c r="Q261" s="44" t="str">
        <x:v>http-nio-8080-exec-62#412 | http-nio-8080-exec-63#413 | http-nio-8080-exec-65#415 | http-nio-8080-exec-66#418 | http-nio-8080-exec-68#420 | http-nio-8080-exec-69#454 | http-nio-8080-exec-70#455 | http-nio-8080-exec-71#456 | http-nio-8080-exec-72#457</x:v>
      </x:c>
      <x:c r="R261" s="36" t="n">
        <x:v>0</x:v>
      </x:c>
      <x:c r="S261" s="44"/>
      <x:c r="T261" s="36" t="n">
        <x:v>0</x:v>
      </x:c>
      <x:c r="U261" s="44"/>
      <x:c r="V261" s="36" t="n">
        <x:v>0</x:v>
      </x:c>
      <x:c r="W261" s="44"/>
      <x:c r="X261" s="34" t="str">
        <x:v>no-post-undeploy-thread-signal</x:v>
      </x:c>
      <x:c r="Y261" s="44" t="str">
        <x:v>automated signatures are JCS-specific; all other candidate application threads remain unattributed and ownership requires the archived full dump</x:v>
      </x:c>
    </x:row>
    <x:row r="262">
      <x:c r="A262" s="34" t="str">
        <x:v>article1-unified-v4-2-fb3f101b-20260903-000401-default-f03-p2-jcs4</x:v>
      </x:c>
      <x:c r="B262" s="34" t="str">
        <x:v>default</x:v>
      </x:c>
      <x:c r="C262" s="34" t="str">
        <x:v>jcs4</x:v>
      </x:c>
      <x:c r="D262" s="36" t="n">
        <x:v>3</x:v>
      </x:c>
      <x:c r="E262" s="36" t="n">
        <x:v>3</x:v>
      </x:c>
      <x:c r="F262" s="36" t="n">
        <x:v>2</x:v>
      </x:c>
      <x:c r="G262" s="36" t="n">
        <x:v>1</x:v>
      </x:c>
      <x:c r="H262" s="34" t="str">
        <x:v>firstUndeployThreadEvidenceEarly</x:v>
      </x:c>
      <x:c r="I262" s="36" t="n">
        <x:v>1</x:v>
      </x:c>
      <x:c r="J262" s="34" t="str">
        <x:v>early</x:v>
      </x:c>
      <x:c r="K262" s="36" t="n">
        <x:v>27</x:v>
      </x:c>
      <x:c r="L262" s="51" t="n">
        <x:v>0</x:v>
      </x:c>
      <x:c r="M262" s="51" t="n">
        <x:v>0</x:v>
      </x:c>
      <x:c r="N262" s="36" t="n">
        <x:v>2</x:v>
      </x:c>
      <x:c r="O262" s="44" t="str">
        <x:v>http-nio-8080-exec-11#82 | http-nio-8080-exec-12#83</x:v>
      </x:c>
      <x:c r="P262" s="36" t="n">
        <x:v>2</x:v>
      </x:c>
      <x:c r="Q262" s="44" t="str">
        <x:v>http-nio-8080-exec-11#82 | http-nio-8080-exec-12#83</x:v>
      </x:c>
      <x:c r="R262" s="36" t="n">
        <x:v>0</x:v>
      </x:c>
      <x:c r="S262" s="44"/>
      <x:c r="T262" s="36" t="n">
        <x:v>0</x:v>
      </x:c>
      <x:c r="U262" s="44"/>
      <x:c r="V262" s="36" t="n">
        <x:v>0</x:v>
      </x:c>
      <x:c r="W262" s="44"/>
      <x:c r="X262" s="34" t="str">
        <x:v>no-post-undeploy-thread-signal</x:v>
      </x:c>
      <x:c r="Y262" s="44" t="str">
        <x:v>automated signatures are JCS-specific; all other candidate application threads remain unattributed and ownership requires the archived full dump</x:v>
      </x:c>
    </x:row>
    <x:row r="263">
      <x:c r="A263" s="34" t="str">
        <x:v>article1-unified-v4-2-fb3f101b-20260903-000401-default-f03-p2-jcs4</x:v>
      </x:c>
      <x:c r="B263" s="34" t="str">
        <x:v>default</x:v>
      </x:c>
      <x:c r="C263" s="34" t="str">
        <x:v>jcs4</x:v>
      </x:c>
      <x:c r="D263" s="36" t="n">
        <x:v>3</x:v>
      </x:c>
      <x:c r="E263" s="36" t="n">
        <x:v>3</x:v>
      </x:c>
      <x:c r="F263" s="36" t="n">
        <x:v>2</x:v>
      </x:c>
      <x:c r="G263" s="36" t="n">
        <x:v>1</x:v>
      </x:c>
      <x:c r="H263" s="34" t="str">
        <x:v>firstUndeployThreadEvidenceFinal</x:v>
      </x:c>
      <x:c r="I263" s="36" t="n">
        <x:v>1</x:v>
      </x:c>
      <x:c r="J263" s="34" t="str">
        <x:v>final</x:v>
      </x:c>
      <x:c r="K263" s="36" t="n">
        <x:v>27</x:v>
      </x:c>
      <x:c r="L263" s="51" t="n">
        <x:v>0</x:v>
      </x:c>
      <x:c r="M263" s="51" t="n">
        <x:v>0</x:v>
      </x:c>
      <x:c r="N263" s="36" t="n">
        <x:v>3</x:v>
      </x:c>
      <x:c r="O263" s="44" t="str">
        <x:v>http-nio-8080-exec-11#82 | http-nio-8080-exec-12#83 | http-nio-8080-exec-13#84</x:v>
      </x:c>
      <x:c r="P263" s="36" t="n">
        <x:v>3</x:v>
      </x:c>
      <x:c r="Q263" s="44" t="str">
        <x:v>http-nio-8080-exec-11#82 | http-nio-8080-exec-12#83 | http-nio-8080-exec-13#84</x:v>
      </x:c>
      <x:c r="R263" s="36" t="n">
        <x:v>0</x:v>
      </x:c>
      <x:c r="S263" s="44"/>
      <x:c r="T263" s="36" t="n">
        <x:v>0</x:v>
      </x:c>
      <x:c r="U263" s="44"/>
      <x:c r="V263" s="36" t="n">
        <x:v>0</x:v>
      </x:c>
      <x:c r="W263" s="44"/>
      <x:c r="X263" s="34" t="str">
        <x:v>no-post-undeploy-thread-signal</x:v>
      </x:c>
      <x:c r="Y263" s="44" t="str">
        <x:v>automated signatures are JCS-specific; all other candidate application threads remain unattributed and ownership requires the archived full dump</x:v>
      </x:c>
    </x:row>
    <x:row r="264">
      <x:c r="A264" s="34" t="str">
        <x:v>article1-unified-v4-2-fb3f101b-20260903-000401-default-f03-p2-jcs4</x:v>
      </x:c>
      <x:c r="B264" s="34" t="str">
        <x:v>default</x:v>
      </x:c>
      <x:c r="C264" s="34" t="str">
        <x:v>jcs4</x:v>
      </x:c>
      <x:c r="D264" s="36" t="n">
        <x:v>3</x:v>
      </x:c>
      <x:c r="E264" s="36" t="n">
        <x:v>3</x:v>
      </x:c>
      <x:c r="F264" s="36" t="n">
        <x:v>2</x:v>
      </x:c>
      <x:c r="G264" s="36" t="n">
        <x:v>1</x:v>
      </x:c>
      <x:c r="H264" s="34" t="str">
        <x:v>finalUndeployThreadEvidenceEarly</x:v>
      </x:c>
      <x:c r="I264" s="36" t="n">
        <x:v>2</x:v>
      </x:c>
      <x:c r="J264" s="34" t="str">
        <x:v>early</x:v>
      </x:c>
      <x:c r="K264" s="36" t="n">
        <x:v>27</x:v>
      </x:c>
      <x:c r="L264" s="51" t="n">
        <x:v>0</x:v>
      </x:c>
      <x:c r="M264" s="51" t="n">
        <x:v>0</x:v>
      </x:c>
      <x:c r="N264" s="36" t="n">
        <x:v>8</x:v>
      </x:c>
      <x:c r="O264" s="44" t="str">
        <x:v>http-nio-8080-exec-11#82 | http-nio-8080-exec-12#83 | http-nio-8080-exec-13#84 | http-nio-8080-exec-14#87 | http-nio-8080-exec-15#88 | http-nio-8080-exec-17#124 | http-nio-8080-exec-18#125 | http-nio-8080-exec-19#126</x:v>
      </x:c>
      <x:c r="P264" s="36" t="n">
        <x:v>8</x:v>
      </x:c>
      <x:c r="Q264" s="44" t="str">
        <x:v>http-nio-8080-exec-11#82 | http-nio-8080-exec-12#83 | http-nio-8080-exec-13#84 | http-nio-8080-exec-14#87 | http-nio-8080-exec-15#88 | http-nio-8080-exec-17#124 | http-nio-8080-exec-18#125 | http-nio-8080-exec-19#126</x:v>
      </x:c>
      <x:c r="R264" s="36" t="n">
        <x:v>0</x:v>
      </x:c>
      <x:c r="S264" s="44"/>
      <x:c r="T264" s="36" t="n">
        <x:v>0</x:v>
      </x:c>
      <x:c r="U264" s="44"/>
      <x:c r="V264" s="36" t="n">
        <x:v>0</x:v>
      </x:c>
      <x:c r="W264" s="44"/>
      <x:c r="X264" s="34" t="str">
        <x:v>no-post-undeploy-thread-signal</x:v>
      </x:c>
      <x:c r="Y264" s="44" t="str">
        <x:v>automated signatures are JCS-specific; all other candidate application threads remain unattributed and ownership requires the archived full dump</x:v>
      </x:c>
    </x:row>
    <x:row r="265">
      <x:c r="A265" s="34" t="str">
        <x:v>article1-unified-v4-2-fb3f101b-20260903-000401-default-f03-p2-jcs4</x:v>
      </x:c>
      <x:c r="B265" s="34" t="str">
        <x:v>default</x:v>
      </x:c>
      <x:c r="C265" s="34" t="str">
        <x:v>jcs4</x:v>
      </x:c>
      <x:c r="D265" s="36" t="n">
        <x:v>3</x:v>
      </x:c>
      <x:c r="E265" s="36" t="n">
        <x:v>3</x:v>
      </x:c>
      <x:c r="F265" s="36" t="n">
        <x:v>2</x:v>
      </x:c>
      <x:c r="G265" s="36" t="n">
        <x:v>1</x:v>
      </x:c>
      <x:c r="H265" s="34" t="str">
        <x:v>finalUndeployThreadEvidenceFinal</x:v>
      </x:c>
      <x:c r="I265" s="36" t="n">
        <x:v>2</x:v>
      </x:c>
      <x:c r="J265" s="34" t="str">
        <x:v>final</x:v>
      </x:c>
      <x:c r="K265" s="36" t="n">
        <x:v>27</x:v>
      </x:c>
      <x:c r="L265" s="51" t="n">
        <x:v>0</x:v>
      </x:c>
      <x:c r="M265" s="51" t="n">
        <x:v>0</x:v>
      </x:c>
      <x:c r="N265" s="36" t="n">
        <x:v>8</x:v>
      </x:c>
      <x:c r="O265" s="44" t="str">
        <x:v>http-nio-8080-exec-11#82 | http-nio-8080-exec-12#83 | http-nio-8080-exec-13#84 | http-nio-8080-exec-14#87 | http-nio-8080-exec-17#124 | http-nio-8080-exec-18#125 | http-nio-8080-exec-19#126 | http-nio-8080-exec-20#127</x:v>
      </x:c>
      <x:c r="P265" s="36" t="n">
        <x:v>8</x:v>
      </x:c>
      <x:c r="Q265" s="44" t="str">
        <x:v>http-nio-8080-exec-11#82 | http-nio-8080-exec-12#83 | http-nio-8080-exec-13#84 | http-nio-8080-exec-14#87 | http-nio-8080-exec-17#124 | http-nio-8080-exec-18#125 | http-nio-8080-exec-19#126 | http-nio-8080-exec-20#127</x:v>
      </x:c>
      <x:c r="R265" s="36" t="n">
        <x:v>0</x:v>
      </x:c>
      <x:c r="S265" s="44"/>
      <x:c r="T265" s="36" t="n">
        <x:v>0</x:v>
      </x:c>
      <x:c r="U265" s="44"/>
      <x:c r="V265" s="36" t="n">
        <x:v>0</x:v>
      </x:c>
      <x:c r="W265" s="44"/>
      <x:c r="X265" s="34" t="str">
        <x:v>no-post-undeploy-thread-signal</x:v>
      </x:c>
      <x:c r="Y265" s="44" t="str">
        <x:v>automated signatures are JCS-specific; all other candidate application threads remain unattributed and ownership requires the archived full dump</x:v>
      </x:c>
    </x:row>
    <x:row r="266">
      <x:c r="A266" s="34" t="str">
        <x:v>article1-unified-v4-2-fb3f101b-20260903-000401-default-f03-p2-jcs4</x:v>
      </x:c>
      <x:c r="B266" s="34" t="str">
        <x:v>default</x:v>
      </x:c>
      <x:c r="C266" s="34" t="str">
        <x:v>jcs4</x:v>
      </x:c>
      <x:c r="D266" s="36" t="n">
        <x:v>3</x:v>
      </x:c>
      <x:c r="E266" s="36" t="n">
        <x:v>3</x:v>
      </x:c>
      <x:c r="F266" s="36" t="n">
        <x:v>2</x:v>
      </x:c>
      <x:c r="G266" s="36" t="n">
        <x:v>2</x:v>
      </x:c>
      <x:c r="H266" s="34" t="str">
        <x:v>firstUndeployThreadEvidenceEarly</x:v>
      </x:c>
      <x:c r="I266" s="36" t="n">
        <x:v>1</x:v>
      </x:c>
      <x:c r="J266" s="34" t="str">
        <x:v>early</x:v>
      </x:c>
      <x:c r="K266" s="36" t="n">
        <x:v>27</x:v>
      </x:c>
      <x:c r="L266" s="51" t="n">
        <x:v>0</x:v>
      </x:c>
      <x:c r="M266" s="51" t="n">
        <x:v>0</x:v>
      </x:c>
      <x:c r="N266" s="36" t="n">
        <x:v>9</x:v>
      </x:c>
      <x:c r="O266" s="44" t="str">
        <x:v>http-nio-8080-exec-11#82 | http-nio-8080-exec-14#87 | http-nio-8080-exec-18#125 | http-nio-8080-exec-19#126 | http-nio-8080-exec-21#130 | http-nio-8080-exec-22#131 | http-nio-8080-exec-23#166 | http-nio-8080-exec-24#167 | http-nio-8080-exec-25#168</x:v>
      </x:c>
      <x:c r="P266" s="36" t="n">
        <x:v>5</x:v>
      </x:c>
      <x:c r="Q266" s="44" t="str">
        <x:v>http-nio-8080-exec-21#130 | http-nio-8080-exec-22#131 | http-nio-8080-exec-23#166 | http-nio-8080-exec-24#167 | http-nio-8080-exec-25#168</x:v>
      </x:c>
      <x:c r="R266" s="36" t="n">
        <x:v>0</x:v>
      </x:c>
      <x:c r="S266" s="44"/>
      <x:c r="T266" s="36" t="n">
        <x:v>0</x:v>
      </x:c>
      <x:c r="U266" s="44"/>
      <x:c r="V266" s="36" t="n">
        <x:v>0</x:v>
      </x:c>
      <x:c r="W266" s="44"/>
      <x:c r="X266" s="34" t="str">
        <x:v>no-post-undeploy-thread-signal</x:v>
      </x:c>
      <x:c r="Y266" s="44" t="str">
        <x:v>automated signatures are JCS-specific; all other candidate application threads remain unattributed and ownership requires the archived full dump</x:v>
      </x:c>
    </x:row>
    <x:row r="267">
      <x:c r="A267" s="34" t="str">
        <x:v>article1-unified-v4-2-fb3f101b-20260903-000401-default-f03-p2-jcs4</x:v>
      </x:c>
      <x:c r="B267" s="34" t="str">
        <x:v>default</x:v>
      </x:c>
      <x:c r="C267" s="34" t="str">
        <x:v>jcs4</x:v>
      </x:c>
      <x:c r="D267" s="36" t="n">
        <x:v>3</x:v>
      </x:c>
      <x:c r="E267" s="36" t="n">
        <x:v>3</x:v>
      </x:c>
      <x:c r="F267" s="36" t="n">
        <x:v>2</x:v>
      </x:c>
      <x:c r="G267" s="36" t="n">
        <x:v>2</x:v>
      </x:c>
      <x:c r="H267" s="34" t="str">
        <x:v>firstUndeployThreadEvidenceFinal</x:v>
      </x:c>
      <x:c r="I267" s="36" t="n">
        <x:v>1</x:v>
      </x:c>
      <x:c r="J267" s="34" t="str">
        <x:v>final</x:v>
      </x:c>
      <x:c r="K267" s="36" t="n">
        <x:v>27</x:v>
      </x:c>
      <x:c r="L267" s="51" t="n">
        <x:v>0</x:v>
      </x:c>
      <x:c r="M267" s="51" t="n">
        <x:v>0</x:v>
      </x:c>
      <x:c r="N267" s="36" t="n">
        <x:v>9</x:v>
      </x:c>
      <x:c r="O267" s="44" t="str">
        <x:v>http-nio-8080-exec-11#82 | http-nio-8080-exec-14#87 | http-nio-8080-exec-18#125 | http-nio-8080-exec-19#126 | http-nio-8080-exec-22#131 | http-nio-8080-exec-23#166 | http-nio-8080-exec-24#167 | http-nio-8080-exec-25#168 | http-nio-8080-exec-26#169</x:v>
      </x:c>
      <x:c r="P267" s="36" t="n">
        <x:v>5</x:v>
      </x:c>
      <x:c r="Q267" s="44" t="str">
        <x:v>http-nio-8080-exec-22#131 | http-nio-8080-exec-23#166 | http-nio-8080-exec-24#167 | http-nio-8080-exec-25#168 | http-nio-8080-exec-26#169</x:v>
      </x:c>
      <x:c r="R267" s="36" t="n">
        <x:v>0</x:v>
      </x:c>
      <x:c r="S267" s="44"/>
      <x:c r="T267" s="36" t="n">
        <x:v>0</x:v>
      </x:c>
      <x:c r="U267" s="44"/>
      <x:c r="V267" s="36" t="n">
        <x:v>0</x:v>
      </x:c>
      <x:c r="W267" s="44"/>
      <x:c r="X267" s="34" t="str">
        <x:v>no-post-undeploy-thread-signal</x:v>
      </x:c>
      <x:c r="Y267" s="44" t="str">
        <x:v>automated signatures are JCS-specific; all other candidate application threads remain unattributed and ownership requires the archived full dump</x:v>
      </x:c>
    </x:row>
    <x:row r="268">
      <x:c r="A268" s="34" t="str">
        <x:v>article1-unified-v4-2-fb3f101b-20260903-000401-default-f03-p2-jcs4</x:v>
      </x:c>
      <x:c r="B268" s="34" t="str">
        <x:v>default</x:v>
      </x:c>
      <x:c r="C268" s="34" t="str">
        <x:v>jcs4</x:v>
      </x:c>
      <x:c r="D268" s="36" t="n">
        <x:v>3</x:v>
      </x:c>
      <x:c r="E268" s="36" t="n">
        <x:v>3</x:v>
      </x:c>
      <x:c r="F268" s="36" t="n">
        <x:v>2</x:v>
      </x:c>
      <x:c r="G268" s="36" t="n">
        <x:v>2</x:v>
      </x:c>
      <x:c r="H268" s="34" t="str">
        <x:v>finalUndeployThreadEvidenceEarly</x:v>
      </x:c>
      <x:c r="I268" s="36" t="n">
        <x:v>2</x:v>
      </x:c>
      <x:c r="J268" s="34" t="str">
        <x:v>early</x:v>
      </x:c>
      <x:c r="K268" s="36" t="n">
        <x:v>27</x:v>
      </x:c>
      <x:c r="L268" s="51" t="n">
        <x:v>0</x:v>
      </x:c>
      <x:c r="M268" s="51" t="n">
        <x:v>0</x:v>
      </x:c>
      <x:c r="N268" s="36" t="n">
        <x:v>9</x:v>
      </x:c>
      <x:c r="O268" s="44" t="str">
        <x:v>http-nio-8080-exec-22#131 | http-nio-8080-exec-24#167 | http-nio-8080-exec-25#168 | http-nio-8080-exec-27#172 | http-nio-8080-exec-28#173 | http-nio-8080-exec-29#174 | http-nio-8080-exec-30#209 | http-nio-8080-exec-31#210 | http-nio-8080-exec-32#211</x:v>
      </x:c>
      <x:c r="P268" s="36" t="n">
        <x:v>9</x:v>
      </x:c>
      <x:c r="Q268" s="44" t="str">
        <x:v>http-nio-8080-exec-22#131 | http-nio-8080-exec-24#167 | http-nio-8080-exec-25#168 | http-nio-8080-exec-27#172 | http-nio-8080-exec-28#173 | http-nio-8080-exec-29#174 | http-nio-8080-exec-30#209 | http-nio-8080-exec-31#210 | http-nio-8080-exec-32#211</x:v>
      </x:c>
      <x:c r="R268" s="36" t="n">
        <x:v>0</x:v>
      </x:c>
      <x:c r="S268" s="44"/>
      <x:c r="T268" s="36" t="n">
        <x:v>0</x:v>
      </x:c>
      <x:c r="U268" s="44"/>
      <x:c r="V268" s="36" t="n">
        <x:v>0</x:v>
      </x:c>
      <x:c r="W268" s="44"/>
      <x:c r="X268" s="34" t="str">
        <x:v>no-post-undeploy-thread-signal</x:v>
      </x:c>
      <x:c r="Y268" s="44" t="str">
        <x:v>automated signatures are JCS-specific; all other candidate application threads remain unattributed and ownership requires the archived full dump</x:v>
      </x:c>
    </x:row>
    <x:row r="269">
      <x:c r="A269" s="34" t="str">
        <x:v>article1-unified-v4-2-fb3f101b-20260903-000401-default-f03-p2-jcs4</x:v>
      </x:c>
      <x:c r="B269" s="34" t="str">
        <x:v>default</x:v>
      </x:c>
      <x:c r="C269" s="34" t="str">
        <x:v>jcs4</x:v>
      </x:c>
      <x:c r="D269" s="36" t="n">
        <x:v>3</x:v>
      </x:c>
      <x:c r="E269" s="36" t="n">
        <x:v>3</x:v>
      </x:c>
      <x:c r="F269" s="36" t="n">
        <x:v>2</x:v>
      </x:c>
      <x:c r="G269" s="36" t="n">
        <x:v>2</x:v>
      </x:c>
      <x:c r="H269" s="34" t="str">
        <x:v>finalUndeployThreadEvidenceFinal</x:v>
      </x:c>
      <x:c r="I269" s="36" t="n">
        <x:v>2</x:v>
      </x:c>
      <x:c r="J269" s="34" t="str">
        <x:v>final</x:v>
      </x:c>
      <x:c r="K269" s="36" t="n">
        <x:v>27</x:v>
      </x:c>
      <x:c r="L269" s="51" t="n">
        <x:v>0</x:v>
      </x:c>
      <x:c r="M269" s="51" t="n">
        <x:v>0</x:v>
      </x:c>
      <x:c r="N269" s="36" t="n">
        <x:v>9</x:v>
      </x:c>
      <x:c r="O269" s="44" t="str">
        <x:v>http-nio-8080-exec-24#167 | http-nio-8080-exec-25#168 | http-nio-8080-exec-27#172 | http-nio-8080-exec-28#173 | http-nio-8080-exec-29#174 | http-nio-8080-exec-30#209 | http-nio-8080-exec-31#210 | http-nio-8080-exec-32#211 | http-nio-8080-exec-33#212</x:v>
      </x:c>
      <x:c r="P269" s="36" t="n">
        <x:v>9</x:v>
      </x:c>
      <x:c r="Q269" s="44" t="str">
        <x:v>http-nio-8080-exec-24#167 | http-nio-8080-exec-25#168 | http-nio-8080-exec-27#172 | http-nio-8080-exec-28#173 | http-nio-8080-exec-29#174 | http-nio-8080-exec-30#209 | http-nio-8080-exec-31#210 | http-nio-8080-exec-32#211 | http-nio-8080-exec-33#212</x:v>
      </x:c>
      <x:c r="R269" s="36" t="n">
        <x:v>0</x:v>
      </x:c>
      <x:c r="S269" s="44"/>
      <x:c r="T269" s="36" t="n">
        <x:v>0</x:v>
      </x:c>
      <x:c r="U269" s="44"/>
      <x:c r="V269" s="36" t="n">
        <x:v>0</x:v>
      </x:c>
      <x:c r="W269" s="44"/>
      <x:c r="X269" s="34" t="str">
        <x:v>no-post-undeploy-thread-signal</x:v>
      </x:c>
      <x:c r="Y269" s="44" t="str">
        <x:v>automated signatures are JCS-specific; all other candidate application threads remain unattributed and ownership requires the archived full dump</x:v>
      </x:c>
    </x:row>
    <x:row r="270">
      <x:c r="A270" s="34" t="str">
        <x:v>article1-unified-v4-2-fb3f101b-20260903-000401-default-f03-p2-jcs4</x:v>
      </x:c>
      <x:c r="B270" s="34" t="str">
        <x:v>default</x:v>
      </x:c>
      <x:c r="C270" s="34" t="str">
        <x:v>jcs4</x:v>
      </x:c>
      <x:c r="D270" s="36" t="n">
        <x:v>3</x:v>
      </x:c>
      <x:c r="E270" s="36" t="n">
        <x:v>3</x:v>
      </x:c>
      <x:c r="F270" s="36" t="n">
        <x:v>2</x:v>
      </x:c>
      <x:c r="G270" s="36" t="n">
        <x:v>3</x:v>
      </x:c>
      <x:c r="H270" s="34" t="str">
        <x:v>firstUndeployThreadEvidenceEarly</x:v>
      </x:c>
      <x:c r="I270" s="36" t="n">
        <x:v>1</x:v>
      </x:c>
      <x:c r="J270" s="34" t="str">
        <x:v>early</x:v>
      </x:c>
      <x:c r="K270" s="36" t="n">
        <x:v>27</x:v>
      </x:c>
      <x:c r="L270" s="51" t="n">
        <x:v>0</x:v>
      </x:c>
      <x:c r="M270" s="51" t="n">
        <x:v>0</x:v>
      </x:c>
      <x:c r="N270" s="36" t="n">
        <x:v>9</x:v>
      </x:c>
      <x:c r="O270" s="44" t="str">
        <x:v>http-nio-8080-exec-25#168 | http-nio-8080-exec-31#210 | http-nio-8080-exec-32#211 | http-nio-8080-exec-33#212 | http-nio-8080-exec-34#215 | http-nio-8080-exec-35#216 | http-nio-8080-exec-36#251 | http-nio-8080-exec-37#252 | http-nio-8080-exec-38#253</x:v>
      </x:c>
      <x:c r="P270" s="36" t="n">
        <x:v>5</x:v>
      </x:c>
      <x:c r="Q270" s="44" t="str">
        <x:v>http-nio-8080-exec-34#215 | http-nio-8080-exec-35#216 | http-nio-8080-exec-36#251 | http-nio-8080-exec-37#252 | http-nio-8080-exec-38#253</x:v>
      </x:c>
      <x:c r="R270" s="36" t="n">
        <x:v>0</x:v>
      </x:c>
      <x:c r="S270" s="44"/>
      <x:c r="T270" s="36" t="n">
        <x:v>0</x:v>
      </x:c>
      <x:c r="U270" s="44"/>
      <x:c r="V270" s="36" t="n">
        <x:v>0</x:v>
      </x:c>
      <x:c r="W270" s="44"/>
      <x:c r="X270" s="34" t="str">
        <x:v>no-post-undeploy-thread-signal</x:v>
      </x:c>
      <x:c r="Y270" s="44" t="str">
        <x:v>automated signatures are JCS-specific; all other candidate application threads remain unattributed and ownership requires the archived full dump</x:v>
      </x:c>
    </x:row>
    <x:row r="271">
      <x:c r="A271" s="34" t="str">
        <x:v>article1-unified-v4-2-fb3f101b-20260903-000401-default-f03-p2-jcs4</x:v>
      </x:c>
      <x:c r="B271" s="34" t="str">
        <x:v>default</x:v>
      </x:c>
      <x:c r="C271" s="34" t="str">
        <x:v>jcs4</x:v>
      </x:c>
      <x:c r="D271" s="36" t="n">
        <x:v>3</x:v>
      </x:c>
      <x:c r="E271" s="36" t="n">
        <x:v>3</x:v>
      </x:c>
      <x:c r="F271" s="36" t="n">
        <x:v>2</x:v>
      </x:c>
      <x:c r="G271" s="36" t="n">
        <x:v>3</x:v>
      </x:c>
      <x:c r="H271" s="34" t="str">
        <x:v>firstUndeployThreadEvidenceFinal</x:v>
      </x:c>
      <x:c r="I271" s="36" t="n">
        <x:v>1</x:v>
      </x:c>
      <x:c r="J271" s="34" t="str">
        <x:v>final</x:v>
      </x:c>
      <x:c r="K271" s="36" t="n">
        <x:v>27</x:v>
      </x:c>
      <x:c r="L271" s="51" t="n">
        <x:v>0</x:v>
      </x:c>
      <x:c r="M271" s="51" t="n">
        <x:v>0</x:v>
      </x:c>
      <x:c r="N271" s="36" t="n">
        <x:v>9</x:v>
      </x:c>
      <x:c r="O271" s="44" t="str">
        <x:v>http-nio-8080-exec-25#168 | http-nio-8080-exec-31#210 | http-nio-8080-exec-32#211 | http-nio-8080-exec-34#215 | http-nio-8080-exec-35#216 | http-nio-8080-exec-36#251 | http-nio-8080-exec-37#252 | http-nio-8080-exec-38#253 | http-nio-8080-exec-39#254</x:v>
      </x:c>
      <x:c r="P271" s="36" t="n">
        <x:v>6</x:v>
      </x:c>
      <x:c r="Q271" s="44" t="str">
        <x:v>http-nio-8080-exec-34#215 | http-nio-8080-exec-35#216 | http-nio-8080-exec-36#251 | http-nio-8080-exec-37#252 | http-nio-8080-exec-38#253 | http-nio-8080-exec-39#254</x:v>
      </x:c>
      <x:c r="R271" s="36" t="n">
        <x:v>0</x:v>
      </x:c>
      <x:c r="S271" s="44"/>
      <x:c r="T271" s="36" t="n">
        <x:v>0</x:v>
      </x:c>
      <x:c r="U271" s="44"/>
      <x:c r="V271" s="36" t="n">
        <x:v>0</x:v>
      </x:c>
      <x:c r="W271" s="44"/>
      <x:c r="X271" s="34" t="str">
        <x:v>no-post-undeploy-thread-signal</x:v>
      </x:c>
      <x:c r="Y271" s="44" t="str">
        <x:v>automated signatures are JCS-specific; all other candidate application threads remain unattributed and ownership requires the archived full dump</x:v>
      </x:c>
    </x:row>
    <x:row r="272">
      <x:c r="A272" s="34" t="str">
        <x:v>article1-unified-v4-2-fb3f101b-20260903-000401-default-f03-p2-jcs4</x:v>
      </x:c>
      <x:c r="B272" s="34" t="str">
        <x:v>default</x:v>
      </x:c>
      <x:c r="C272" s="34" t="str">
        <x:v>jcs4</x:v>
      </x:c>
      <x:c r="D272" s="36" t="n">
        <x:v>3</x:v>
      </x:c>
      <x:c r="E272" s="36" t="n">
        <x:v>3</x:v>
      </x:c>
      <x:c r="F272" s="36" t="n">
        <x:v>2</x:v>
      </x:c>
      <x:c r="G272" s="36" t="n">
        <x:v>3</x:v>
      </x:c>
      <x:c r="H272" s="34" t="str">
        <x:v>finalUndeployThreadEvidenceEarly</x:v>
      </x:c>
      <x:c r="I272" s="36" t="n">
        <x:v>2</x:v>
      </x:c>
      <x:c r="J272" s="34" t="str">
        <x:v>early</x:v>
      </x:c>
      <x:c r="K272" s="36" t="n">
        <x:v>27</x:v>
      </x:c>
      <x:c r="L272" s="51" t="n">
        <x:v>0</x:v>
      </x:c>
      <x:c r="M272" s="51" t="n">
        <x:v>0</x:v>
      </x:c>
      <x:c r="N272" s="36" t="n">
        <x:v>9</x:v>
      </x:c>
      <x:c r="O272" s="44" t="str">
        <x:v>http-nio-8080-exec-35#216 | http-nio-8080-exec-37#252 | http-nio-8080-exec-38#253 | http-nio-8080-exec-39#254 | http-nio-8080-exec-40#257 | http-nio-8080-exec-41#258 | http-nio-8080-exec-43#294 | http-nio-8080-exec-44#295 | http-nio-8080-exec-45#296</x:v>
      </x:c>
      <x:c r="P272" s="36" t="n">
        <x:v>9</x:v>
      </x:c>
      <x:c r="Q272" s="44" t="str">
        <x:v>http-nio-8080-exec-35#216 | http-nio-8080-exec-37#252 | http-nio-8080-exec-38#253 | http-nio-8080-exec-39#254 | http-nio-8080-exec-40#257 | http-nio-8080-exec-41#258 | http-nio-8080-exec-43#294 | http-nio-8080-exec-44#295 | http-nio-8080-exec-45#296</x:v>
      </x:c>
      <x:c r="R272" s="36" t="n">
        <x:v>0</x:v>
      </x:c>
      <x:c r="S272" s="44"/>
      <x:c r="T272" s="36" t="n">
        <x:v>0</x:v>
      </x:c>
      <x:c r="U272" s="44"/>
      <x:c r="V272" s="36" t="n">
        <x:v>0</x:v>
      </x:c>
      <x:c r="W272" s="44"/>
      <x:c r="X272" s="34" t="str">
        <x:v>no-post-undeploy-thread-signal</x:v>
      </x:c>
      <x:c r="Y272" s="44" t="str">
        <x:v>automated signatures are JCS-specific; all other candidate application threads remain unattributed and ownership requires the archived full dump</x:v>
      </x:c>
    </x:row>
    <x:row r="273">
      <x:c r="A273" s="34" t="str">
        <x:v>article1-unified-v4-2-fb3f101b-20260903-000401-default-f03-p2-jcs4</x:v>
      </x:c>
      <x:c r="B273" s="34" t="str">
        <x:v>default</x:v>
      </x:c>
      <x:c r="C273" s="34" t="str">
        <x:v>jcs4</x:v>
      </x:c>
      <x:c r="D273" s="36" t="n">
        <x:v>3</x:v>
      </x:c>
      <x:c r="E273" s="36" t="n">
        <x:v>3</x:v>
      </x:c>
      <x:c r="F273" s="36" t="n">
        <x:v>2</x:v>
      </x:c>
      <x:c r="G273" s="36" t="n">
        <x:v>3</x:v>
      </x:c>
      <x:c r="H273" s="34" t="str">
        <x:v>finalUndeployThreadEvidenceFinal</x:v>
      </x:c>
      <x:c r="I273" s="36" t="n">
        <x:v>2</x:v>
      </x:c>
      <x:c r="J273" s="34" t="str">
        <x:v>final</x:v>
      </x:c>
      <x:c r="K273" s="36" t="n">
        <x:v>27</x:v>
      </x:c>
      <x:c r="L273" s="51" t="n">
        <x:v>0</x:v>
      </x:c>
      <x:c r="M273" s="51" t="n">
        <x:v>0</x:v>
      </x:c>
      <x:c r="N273" s="36" t="n">
        <x:v>9</x:v>
      </x:c>
      <x:c r="O273" s="44" t="str">
        <x:v>http-nio-8080-exec-35#216 | http-nio-8080-exec-37#252 | http-nio-8080-exec-38#253 | http-nio-8080-exec-40#257 | http-nio-8080-exec-41#258 | http-nio-8080-exec-43#294 | http-nio-8080-exec-44#295 | http-nio-8080-exec-45#296 | http-nio-8080-exec-46#297</x:v>
      </x:c>
      <x:c r="P273" s="36" t="n">
        <x:v>9</x:v>
      </x:c>
      <x:c r="Q273" s="44" t="str">
        <x:v>http-nio-8080-exec-35#216 | http-nio-8080-exec-37#252 | http-nio-8080-exec-38#253 | http-nio-8080-exec-40#257 | http-nio-8080-exec-41#258 | http-nio-8080-exec-43#294 | http-nio-8080-exec-44#295 | http-nio-8080-exec-45#296 | http-nio-8080-exec-46#297</x:v>
      </x:c>
      <x:c r="R273" s="36" t="n">
        <x:v>0</x:v>
      </x:c>
      <x:c r="S273" s="44"/>
      <x:c r="T273" s="36" t="n">
        <x:v>0</x:v>
      </x:c>
      <x:c r="U273" s="44"/>
      <x:c r="V273" s="36" t="n">
        <x:v>0</x:v>
      </x:c>
      <x:c r="W273" s="44"/>
      <x:c r="X273" s="34" t="str">
        <x:v>no-post-undeploy-thread-signal</x:v>
      </x:c>
      <x:c r="Y273" s="44" t="str">
        <x:v>automated signatures are JCS-specific; all other candidate application threads remain unattributed and ownership requires the archived full dump</x:v>
      </x:c>
    </x:row>
    <x:row r="274">
      <x:c r="A274" s="34" t="str">
        <x:v>article1-unified-v4-2-fb3f101b-20260903-000401-default-f03-p2-jcs4</x:v>
      </x:c>
      <x:c r="B274" s="34" t="str">
        <x:v>default</x:v>
      </x:c>
      <x:c r="C274" s="34" t="str">
        <x:v>jcs4</x:v>
      </x:c>
      <x:c r="D274" s="36" t="n">
        <x:v>3</x:v>
      </x:c>
      <x:c r="E274" s="36" t="n">
        <x:v>3</x:v>
      </x:c>
      <x:c r="F274" s="36" t="n">
        <x:v>2</x:v>
      </x:c>
      <x:c r="G274" s="36" t="n">
        <x:v>4</x:v>
      </x:c>
      <x:c r="H274" s="34" t="str">
        <x:v>firstUndeployThreadEvidenceEarly</x:v>
      </x:c>
      <x:c r="I274" s="36" t="n">
        <x:v>1</x:v>
      </x:c>
      <x:c r="J274" s="34" t="str">
        <x:v>early</x:v>
      </x:c>
      <x:c r="K274" s="36" t="n">
        <x:v>27</x:v>
      </x:c>
      <x:c r="L274" s="51" t="n">
        <x:v>0</x:v>
      </x:c>
      <x:c r="M274" s="51" t="n">
        <x:v>0</x:v>
      </x:c>
      <x:c r="N274" s="36" t="n">
        <x:v>10</x:v>
      </x:c>
      <x:c r="O274" s="44" t="str">
        <x:v>http-nio-8080-exec-35#216 | http-nio-8080-exec-40#257 | http-nio-8080-exec-43#294 | http-nio-8080-exec-45#296 | http-nio-8080-exec-46#297 | http-nio-8080-exec-47#300 | http-nio-8080-exec-48#301 | http-nio-8080-exec-49#336 | http-nio-8080-exec-50#337 | http-nio-8080-exec-51#338</x:v>
      </x:c>
      <x:c r="P274" s="36" t="n">
        <x:v>5</x:v>
      </x:c>
      <x:c r="Q274" s="44" t="str">
        <x:v>http-nio-8080-exec-47#300 | http-nio-8080-exec-48#301 | http-nio-8080-exec-49#336 | http-nio-8080-exec-50#337 | http-nio-8080-exec-51#338</x:v>
      </x:c>
      <x:c r="R274" s="36" t="n">
        <x:v>0</x:v>
      </x:c>
      <x:c r="S274" s="44"/>
      <x:c r="T274" s="36" t="n">
        <x:v>0</x:v>
      </x:c>
      <x:c r="U274" s="44"/>
      <x:c r="V274" s="36" t="n">
        <x:v>0</x:v>
      </x:c>
      <x:c r="W274" s="44"/>
      <x:c r="X274" s="34" t="str">
        <x:v>no-post-undeploy-thread-signal</x:v>
      </x:c>
      <x:c r="Y274" s="44" t="str">
        <x:v>automated signatures are JCS-specific; all other candidate application threads remain unattributed and ownership requires the archived full dump</x:v>
      </x:c>
    </x:row>
    <x:row r="275">
      <x:c r="A275" s="34" t="str">
        <x:v>article1-unified-v4-2-fb3f101b-20260903-000401-default-f03-p2-jcs4</x:v>
      </x:c>
      <x:c r="B275" s="34" t="str">
        <x:v>default</x:v>
      </x:c>
      <x:c r="C275" s="34" t="str">
        <x:v>jcs4</x:v>
      </x:c>
      <x:c r="D275" s="36" t="n">
        <x:v>3</x:v>
      </x:c>
      <x:c r="E275" s="36" t="n">
        <x:v>3</x:v>
      </x:c>
      <x:c r="F275" s="36" t="n">
        <x:v>2</x:v>
      </x:c>
      <x:c r="G275" s="36" t="n">
        <x:v>4</x:v>
      </x:c>
      <x:c r="H275" s="34" t="str">
        <x:v>firstUndeployThreadEvidenceFinal</x:v>
      </x:c>
      <x:c r="I275" s="36" t="n">
        <x:v>1</x:v>
      </x:c>
      <x:c r="J275" s="34" t="str">
        <x:v>final</x:v>
      </x:c>
      <x:c r="K275" s="36" t="n">
        <x:v>27</x:v>
      </x:c>
      <x:c r="L275" s="51" t="n">
        <x:v>0</x:v>
      </x:c>
      <x:c r="M275" s="51" t="n">
        <x:v>0</x:v>
      </x:c>
      <x:c r="N275" s="36" t="n">
        <x:v>10</x:v>
      </x:c>
      <x:c r="O275" s="44" t="str">
        <x:v>http-nio-8080-exec-35#216 | http-nio-8080-exec-40#257 | http-nio-8080-exec-43#294 | http-nio-8080-exec-45#296 | http-nio-8080-exec-46#297 | http-nio-8080-exec-48#301 | http-nio-8080-exec-49#336 | http-nio-8080-exec-50#337 | http-nio-8080-exec-51#338 | http-nio-8080-exec-52#339</x:v>
      </x:c>
      <x:c r="P275" s="36" t="n">
        <x:v>5</x:v>
      </x:c>
      <x:c r="Q275" s="44" t="str">
        <x:v>http-nio-8080-exec-48#301 | http-nio-8080-exec-49#336 | http-nio-8080-exec-50#337 | http-nio-8080-exec-51#338 | http-nio-8080-exec-52#339</x:v>
      </x:c>
      <x:c r="R275" s="36" t="n">
        <x:v>0</x:v>
      </x:c>
      <x:c r="S275" s="44"/>
      <x:c r="T275" s="36" t="n">
        <x:v>0</x:v>
      </x:c>
      <x:c r="U275" s="44"/>
      <x:c r="V275" s="36" t="n">
        <x:v>0</x:v>
      </x:c>
      <x:c r="W275" s="44"/>
      <x:c r="X275" s="34" t="str">
        <x:v>no-post-undeploy-thread-signal</x:v>
      </x:c>
      <x:c r="Y275" s="44" t="str">
        <x:v>automated signatures are JCS-specific; all other candidate application threads remain unattributed and ownership requires the archived full dump</x:v>
      </x:c>
    </x:row>
    <x:row r="276">
      <x:c r="A276" s="34" t="str">
        <x:v>article1-unified-v4-2-fb3f101b-20260903-000401-default-f03-p2-jcs4</x:v>
      </x:c>
      <x:c r="B276" s="34" t="str">
        <x:v>default</x:v>
      </x:c>
      <x:c r="C276" s="34" t="str">
        <x:v>jcs4</x:v>
      </x:c>
      <x:c r="D276" s="36" t="n">
        <x:v>3</x:v>
      </x:c>
      <x:c r="E276" s="36" t="n">
        <x:v>3</x:v>
      </x:c>
      <x:c r="F276" s="36" t="n">
        <x:v>2</x:v>
      </x:c>
      <x:c r="G276" s="36" t="n">
        <x:v>4</x:v>
      </x:c>
      <x:c r="H276" s="34" t="str">
        <x:v>finalUndeployThreadEvidenceEarly</x:v>
      </x:c>
      <x:c r="I276" s="36" t="n">
        <x:v>2</x:v>
      </x:c>
      <x:c r="J276" s="34" t="str">
        <x:v>early</x:v>
      </x:c>
      <x:c r="K276" s="36" t="n">
        <x:v>27</x:v>
      </x:c>
      <x:c r="L276" s="51" t="n">
        <x:v>0</x:v>
      </x:c>
      <x:c r="M276" s="51" t="n">
        <x:v>0</x:v>
      </x:c>
      <x:c r="N276" s="36" t="n">
        <x:v>10</x:v>
      </x:c>
      <x:c r="O276" s="44" t="str">
        <x:v>http-nio-8080-exec-35#216 | http-nio-8080-exec-46#297 | http-nio-8080-exec-50#337 | http-nio-8080-exec-51#338 | http-nio-8080-exec-52#339 | http-nio-8080-exec-53#342 | http-nio-8080-exec-54#343 | http-nio-8080-exec-56#379 | http-nio-8080-exec-57#380 | http-nio-8080-exec-58#381</x:v>
      </x:c>
      <x:c r="P276" s="36" t="n">
        <x:v>8</x:v>
      </x:c>
      <x:c r="Q276" s="44" t="str">
        <x:v>http-nio-8080-exec-50#337 | http-nio-8080-exec-51#338 | http-nio-8080-exec-52#339 | http-nio-8080-exec-53#342 | http-nio-8080-exec-54#343 | http-nio-8080-exec-56#379 | http-nio-8080-exec-57#380 | http-nio-8080-exec-58#381</x:v>
      </x:c>
      <x:c r="R276" s="36" t="n">
        <x:v>0</x:v>
      </x:c>
      <x:c r="S276" s="44"/>
      <x:c r="T276" s="36" t="n">
        <x:v>0</x:v>
      </x:c>
      <x:c r="U276" s="44"/>
      <x:c r="V276" s="36" t="n">
        <x:v>0</x:v>
      </x:c>
      <x:c r="W276" s="44"/>
      <x:c r="X276" s="34" t="str">
        <x:v>no-post-undeploy-thread-signal</x:v>
      </x:c>
      <x:c r="Y276" s="44" t="str">
        <x:v>automated signatures are JCS-specific; all other candidate application threads remain unattributed and ownership requires the archived full dump</x:v>
      </x:c>
    </x:row>
    <x:row r="277">
      <x:c r="A277" s="34" t="str">
        <x:v>article1-unified-v4-2-fb3f101b-20260903-000401-default-f03-p2-jcs4</x:v>
      </x:c>
      <x:c r="B277" s="34" t="str">
        <x:v>default</x:v>
      </x:c>
      <x:c r="C277" s="34" t="str">
        <x:v>jcs4</x:v>
      </x:c>
      <x:c r="D277" s="36" t="n">
        <x:v>3</x:v>
      </x:c>
      <x:c r="E277" s="36" t="n">
        <x:v>3</x:v>
      </x:c>
      <x:c r="F277" s="36" t="n">
        <x:v>2</x:v>
      </x:c>
      <x:c r="G277" s="36" t="n">
        <x:v>4</x:v>
      </x:c>
      <x:c r="H277" s="34" t="str">
        <x:v>finalUndeployThreadEvidenceFinal</x:v>
      </x:c>
      <x:c r="I277" s="36" t="n">
        <x:v>2</x:v>
      </x:c>
      <x:c r="J277" s="34" t="str">
        <x:v>final</x:v>
      </x:c>
      <x:c r="K277" s="36" t="n">
        <x:v>27</x:v>
      </x:c>
      <x:c r="L277" s="51" t="n">
        <x:v>0</x:v>
      </x:c>
      <x:c r="M277" s="51" t="n">
        <x:v>0</x:v>
      </x:c>
      <x:c r="N277" s="36" t="n">
        <x:v>10</x:v>
      </x:c>
      <x:c r="O277" s="44" t="str">
        <x:v>http-nio-8080-exec-35#216 | http-nio-8080-exec-46#297 | http-nio-8080-exec-50#337 | http-nio-8080-exec-51#338 | http-nio-8080-exec-52#339 | http-nio-8080-exec-53#342 | http-nio-8080-exec-54#343 | http-nio-8080-exec-57#380 | http-nio-8080-exec-58#381 | http-nio-8080-exec-59#382</x:v>
      </x:c>
      <x:c r="P277" s="36" t="n">
        <x:v>8</x:v>
      </x:c>
      <x:c r="Q277" s="44" t="str">
        <x:v>http-nio-8080-exec-50#337 | http-nio-8080-exec-51#338 | http-nio-8080-exec-52#339 | http-nio-8080-exec-53#342 | http-nio-8080-exec-54#343 | http-nio-8080-exec-57#380 | http-nio-8080-exec-58#381 | http-nio-8080-exec-59#382</x:v>
      </x:c>
      <x:c r="R277" s="36" t="n">
        <x:v>0</x:v>
      </x:c>
      <x:c r="S277" s="44"/>
      <x:c r="T277" s="36" t="n">
        <x:v>0</x:v>
      </x:c>
      <x:c r="U277" s="44"/>
      <x:c r="V277" s="36" t="n">
        <x:v>0</x:v>
      </x:c>
      <x:c r="W277" s="44"/>
      <x:c r="X277" s="34" t="str">
        <x:v>no-post-undeploy-thread-signal</x:v>
      </x:c>
      <x:c r="Y277" s="44" t="str">
        <x:v>automated signatures are JCS-specific; all other candidate application threads remain unattributed and ownership requires the archived full dump</x:v>
      </x:c>
    </x:row>
    <x:row r="278">
      <x:c r="A278" s="34" t="str">
        <x:v>article1-unified-v4-2-fb3f101b-20260903-000401-default-f03-p2-jcs4</x:v>
      </x:c>
      <x:c r="B278" s="34" t="str">
        <x:v>default</x:v>
      </x:c>
      <x:c r="C278" s="34" t="str">
        <x:v>jcs4</x:v>
      </x:c>
      <x:c r="D278" s="36" t="n">
        <x:v>3</x:v>
      </x:c>
      <x:c r="E278" s="36" t="n">
        <x:v>3</x:v>
      </x:c>
      <x:c r="F278" s="36" t="n">
        <x:v>2</x:v>
      </x:c>
      <x:c r="G278" s="36" t="n">
        <x:v>5</x:v>
      </x:c>
      <x:c r="H278" s="34" t="str">
        <x:v>firstUndeployThreadEvidenceEarly</x:v>
      </x:c>
      <x:c r="I278" s="36" t="n">
        <x:v>1</x:v>
      </x:c>
      <x:c r="J278" s="34" t="str">
        <x:v>early</x:v>
      </x:c>
      <x:c r="K278" s="36" t="n">
        <x:v>27</x:v>
      </x:c>
      <x:c r="L278" s="51" t="n">
        <x:v>0</x:v>
      </x:c>
      <x:c r="M278" s="51" t="n">
        <x:v>0</x:v>
      </x:c>
      <x:c r="N278" s="36" t="n">
        <x:v>10</x:v>
      </x:c>
      <x:c r="O278" s="44" t="str">
        <x:v>http-nio-8080-exec-35#216 | http-nio-8080-exec-46#297 | http-nio-8080-exec-53#342 | http-nio-8080-exec-57#380 | http-nio-8080-exec-58#381 | http-nio-8080-exec-59#382 | http-nio-8080-exec-60#385 | http-nio-8080-exec-61#386 | http-nio-8080-exec-63#422 | http-nio-8080-exec-64#423</x:v>
      </x:c>
      <x:c r="P278" s="36" t="n">
        <x:v>4</x:v>
      </x:c>
      <x:c r="Q278" s="44" t="str">
        <x:v>http-nio-8080-exec-60#385 | http-nio-8080-exec-61#386 | http-nio-8080-exec-63#422 | http-nio-8080-exec-64#423</x:v>
      </x:c>
      <x:c r="R278" s="36" t="n">
        <x:v>0</x:v>
      </x:c>
      <x:c r="S278" s="44"/>
      <x:c r="T278" s="36" t="n">
        <x:v>0</x:v>
      </x:c>
      <x:c r="U278" s="44"/>
      <x:c r="V278" s="36" t="n">
        <x:v>0</x:v>
      </x:c>
      <x:c r="W278" s="44"/>
      <x:c r="X278" s="34" t="str">
        <x:v>no-post-undeploy-thread-signal</x:v>
      </x:c>
      <x:c r="Y278" s="44" t="str">
        <x:v>automated signatures are JCS-specific; all other candidate application threads remain unattributed and ownership requires the archived full dump</x:v>
      </x:c>
    </x:row>
    <x:row r="279">
      <x:c r="A279" s="34" t="str">
        <x:v>article1-unified-v4-2-fb3f101b-20260903-000401-default-f03-p2-jcs4</x:v>
      </x:c>
      <x:c r="B279" s="34" t="str">
        <x:v>default</x:v>
      </x:c>
      <x:c r="C279" s="34" t="str">
        <x:v>jcs4</x:v>
      </x:c>
      <x:c r="D279" s="36" t="n">
        <x:v>3</x:v>
      </x:c>
      <x:c r="E279" s="36" t="n">
        <x:v>3</x:v>
      </x:c>
      <x:c r="F279" s="36" t="n">
        <x:v>2</x:v>
      </x:c>
      <x:c r="G279" s="36" t="n">
        <x:v>5</x:v>
      </x:c>
      <x:c r="H279" s="34" t="str">
        <x:v>firstUndeployThreadEvidenceFinal</x:v>
      </x:c>
      <x:c r="I279" s="36" t="n">
        <x:v>1</x:v>
      </x:c>
      <x:c r="J279" s="34" t="str">
        <x:v>final</x:v>
      </x:c>
      <x:c r="K279" s="36" t="n">
        <x:v>27</x:v>
      </x:c>
      <x:c r="L279" s="51" t="n">
        <x:v>0</x:v>
      </x:c>
      <x:c r="M279" s="51" t="n">
        <x:v>0</x:v>
      </x:c>
      <x:c r="N279" s="36" t="n">
        <x:v>10</x:v>
      </x:c>
      <x:c r="O279" s="44" t="str">
        <x:v>http-nio-8080-exec-46#297 | http-nio-8080-exec-53#342 | http-nio-8080-exec-57#380 | http-nio-8080-exec-58#381 | http-nio-8080-exec-59#382 | http-nio-8080-exec-60#385 | http-nio-8080-exec-61#386 | http-nio-8080-exec-63#422 | http-nio-8080-exec-64#423 | http-nio-8080-exec-65#424</x:v>
      </x:c>
      <x:c r="P279" s="36" t="n">
        <x:v>5</x:v>
      </x:c>
      <x:c r="Q279" s="44" t="str">
        <x:v>http-nio-8080-exec-60#385 | http-nio-8080-exec-61#386 | http-nio-8080-exec-63#422 | http-nio-8080-exec-64#423 | http-nio-8080-exec-65#424</x:v>
      </x:c>
      <x:c r="R279" s="36" t="n">
        <x:v>0</x:v>
      </x:c>
      <x:c r="S279" s="44"/>
      <x:c r="T279" s="36" t="n">
        <x:v>0</x:v>
      </x:c>
      <x:c r="U279" s="44"/>
      <x:c r="V279" s="36" t="n">
        <x:v>0</x:v>
      </x:c>
      <x:c r="W279" s="44"/>
      <x:c r="X279" s="34" t="str">
        <x:v>no-post-undeploy-thread-signal</x:v>
      </x:c>
      <x:c r="Y279" s="44" t="str">
        <x:v>automated signatures are JCS-specific; all other candidate application threads remain unattributed and ownership requires the archived full dump</x:v>
      </x:c>
    </x:row>
    <x:row r="280">
      <x:c r="A280" s="34" t="str">
        <x:v>article1-unified-v4-2-fb3f101b-20260903-000401-default-f03-p2-jcs4</x:v>
      </x:c>
      <x:c r="B280" s="34" t="str">
        <x:v>default</x:v>
      </x:c>
      <x:c r="C280" s="34" t="str">
        <x:v>jcs4</x:v>
      </x:c>
      <x:c r="D280" s="36" t="n">
        <x:v>3</x:v>
      </x:c>
      <x:c r="E280" s="36" t="n">
        <x:v>3</x:v>
      </x:c>
      <x:c r="F280" s="36" t="n">
        <x:v>2</x:v>
      </x:c>
      <x:c r="G280" s="36" t="n">
        <x:v>5</x:v>
      </x:c>
      <x:c r="H280" s="34" t="str">
        <x:v>finalUndeployThreadEvidenceEarly</x:v>
      </x:c>
      <x:c r="I280" s="36" t="n">
        <x:v>2</x:v>
      </x:c>
      <x:c r="J280" s="34" t="str">
        <x:v>early</x:v>
      </x:c>
      <x:c r="K280" s="36" t="n">
        <x:v>27</x:v>
      </x:c>
      <x:c r="L280" s="51" t="n">
        <x:v>0</x:v>
      </x:c>
      <x:c r="M280" s="51" t="n">
        <x:v>0</x:v>
      </x:c>
      <x:c r="N280" s="36" t="n">
        <x:v>10</x:v>
      </x:c>
      <x:c r="O280" s="44" t="str">
        <x:v>http-nio-8080-exec-53#342 | http-nio-8080-exec-60#385 | http-nio-8080-exec-63#422 | http-nio-8080-exec-65#424 | http-nio-8080-exec-66#427 | http-nio-8080-exec-67#428 | http-nio-8080-exec-68#429 | http-nio-8080-exec-69#464 | http-nio-8080-exec-70#465 | http-nio-8080-exec-71#466</x:v>
      </x:c>
      <x:c r="P280" s="36" t="n">
        <x:v>9</x:v>
      </x:c>
      <x:c r="Q280" s="44" t="str">
        <x:v>http-nio-8080-exec-60#385 | http-nio-8080-exec-63#422 | http-nio-8080-exec-65#424 | http-nio-8080-exec-66#427 | http-nio-8080-exec-67#428 | http-nio-8080-exec-68#429 | http-nio-8080-exec-69#464 | http-nio-8080-exec-70#465 | http-nio-8080-exec-71#466</x:v>
      </x:c>
      <x:c r="R280" s="36" t="n">
        <x:v>0</x:v>
      </x:c>
      <x:c r="S280" s="44"/>
      <x:c r="T280" s="36" t="n">
        <x:v>0</x:v>
      </x:c>
      <x:c r="U280" s="44"/>
      <x:c r="V280" s="36" t="n">
        <x:v>0</x:v>
      </x:c>
      <x:c r="W280" s="44"/>
      <x:c r="X280" s="34" t="str">
        <x:v>no-post-undeploy-thread-signal</x:v>
      </x:c>
      <x:c r="Y280" s="44" t="str">
        <x:v>automated signatures are JCS-specific; all other candidate application threads remain unattributed and ownership requires the archived full dump</x:v>
      </x:c>
    </x:row>
    <x:row r="281">
      <x:c r="A281" s="34" t="str">
        <x:v>article1-unified-v4-2-fb3f101b-20260903-000401-default-f03-p2-jcs4</x:v>
      </x:c>
      <x:c r="B281" s="34" t="str">
        <x:v>default</x:v>
      </x:c>
      <x:c r="C281" s="34" t="str">
        <x:v>jcs4</x:v>
      </x:c>
      <x:c r="D281" s="36" t="n">
        <x:v>3</x:v>
      </x:c>
      <x:c r="E281" s="36" t="n">
        <x:v>3</x:v>
      </x:c>
      <x:c r="F281" s="36" t="n">
        <x:v>2</x:v>
      </x:c>
      <x:c r="G281" s="36" t="n">
        <x:v>5</x:v>
      </x:c>
      <x:c r="H281" s="34" t="str">
        <x:v>finalUndeployThreadEvidenceFinal</x:v>
      </x:c>
      <x:c r="I281" s="36" t="n">
        <x:v>2</x:v>
      </x:c>
      <x:c r="J281" s="34" t="str">
        <x:v>final</x:v>
      </x:c>
      <x:c r="K281" s="36" t="n">
        <x:v>27</x:v>
      </x:c>
      <x:c r="L281" s="51" t="n">
        <x:v>0</x:v>
      </x:c>
      <x:c r="M281" s="51" t="n">
        <x:v>0</x:v>
      </x:c>
      <x:c r="N281" s="36" t="n">
        <x:v>10</x:v>
      </x:c>
      <x:c r="O281" s="44" t="str">
        <x:v>http-nio-8080-exec-53#342 | http-nio-8080-exec-60#385 | http-nio-8080-exec-63#422 | http-nio-8080-exec-65#424 | http-nio-8080-exec-66#427 | http-nio-8080-exec-67#428 | http-nio-8080-exec-69#464 | http-nio-8080-exec-70#465 | http-nio-8080-exec-71#466 | http-nio-8080-exec-72#467</x:v>
      </x:c>
      <x:c r="P281" s="36" t="n">
        <x:v>9</x:v>
      </x:c>
      <x:c r="Q281" s="44" t="str">
        <x:v>http-nio-8080-exec-60#385 | http-nio-8080-exec-63#422 | http-nio-8080-exec-65#424 | http-nio-8080-exec-66#427 | http-nio-8080-exec-67#428 | http-nio-8080-exec-69#464 | http-nio-8080-exec-70#465 | http-nio-8080-exec-71#466 | http-nio-8080-exec-72#467</x:v>
      </x:c>
      <x:c r="R281" s="36" t="n">
        <x:v>0</x:v>
      </x:c>
      <x:c r="S281" s="44"/>
      <x:c r="T281" s="36" t="n">
        <x:v>0</x:v>
      </x:c>
      <x:c r="U281" s="44"/>
      <x:c r="V281" s="36" t="n">
        <x:v>0</x:v>
      </x:c>
      <x:c r="W281" s="44"/>
      <x:c r="X281" s="34" t="str">
        <x:v>no-post-undeploy-thread-signal</x:v>
      </x:c>
      <x:c r="Y281" s="44" t="str">
        <x:v>automated signatures are JCS-specific; all other candidate application threads remain unattributed and ownership requires the archived full dump</x:v>
      </x:c>
    </x:row>
    <x:row r="282">
      <x:c r="A282" s="34" t="str">
        <x:v>article1-unified-v4-2-fb3f101b-20260903-000401-default-f03-p3-ehcache</x:v>
      </x:c>
      <x:c r="B282" s="34" t="str">
        <x:v>default</x:v>
      </x:c>
      <x:c r="C282" s="34" t="str">
        <x:v>ehcache</x:v>
      </x:c>
      <x:c r="D282" s="36" t="n">
        <x:v>3</x:v>
      </x:c>
      <x:c r="E282" s="36" t="n">
        <x:v>3</x:v>
      </x:c>
      <x:c r="F282" s="36" t="n">
        <x:v>3</x:v>
      </x:c>
      <x:c r="G282" s="36" t="n">
        <x:v>1</x:v>
      </x:c>
      <x:c r="H282" s="34" t="str">
        <x:v>firstUndeployThreadEvidenceEarly</x:v>
      </x:c>
      <x:c r="I282" s="36" t="n">
        <x:v>1</x:v>
      </x:c>
      <x:c r="J282" s="34" t="str">
        <x:v>early</x:v>
      </x:c>
      <x:c r="K282" s="36" t="n">
        <x:v>27</x:v>
      </x:c>
      <x:c r="L282" s="51" t="n">
        <x:v>0</x:v>
      </x:c>
      <x:c r="M282" s="51" t="n">
        <x:v>0</x:v>
      </x:c>
      <x:c r="N282" s="36" t="n">
        <x:v>2</x:v>
      </x:c>
      <x:c r="O282" s="44" t="str">
        <x:v>http-nio-8080-exec-11#80 | http-nio-8080-exec-12#81</x:v>
      </x:c>
      <x:c r="P282" s="36" t="n">
        <x:v>2</x:v>
      </x:c>
      <x:c r="Q282" s="44" t="str">
        <x:v>http-nio-8080-exec-11#80 | http-nio-8080-exec-12#81</x:v>
      </x:c>
      <x:c r="R282" s="36" t="n">
        <x:v>0</x:v>
      </x:c>
      <x:c r="S282" s="44"/>
      <x:c r="T282" s="36" t="n">
        <x:v>0</x:v>
      </x:c>
      <x:c r="U282" s="44"/>
      <x:c r="V282" s="36" t="n">
        <x:v>0</x:v>
      </x:c>
      <x:c r="W282" s="44"/>
      <x:c r="X282" s="34" t="str">
        <x:v>no-post-undeploy-thread-signal</x:v>
      </x:c>
      <x:c r="Y282" s="44" t="str">
        <x:v>automated signatures are JCS-specific; all other candidate application threads remain unattributed and ownership requires the archived full dump</x:v>
      </x:c>
    </x:row>
    <x:row r="283">
      <x:c r="A283" s="34" t="str">
        <x:v>article1-unified-v4-2-fb3f101b-20260903-000401-default-f03-p3-ehcache</x:v>
      </x:c>
      <x:c r="B283" s="34" t="str">
        <x:v>default</x:v>
      </x:c>
      <x:c r="C283" s="34" t="str">
        <x:v>ehcache</x:v>
      </x:c>
      <x:c r="D283" s="36" t="n">
        <x:v>3</x:v>
      </x:c>
      <x:c r="E283" s="36" t="n">
        <x:v>3</x:v>
      </x:c>
      <x:c r="F283" s="36" t="n">
        <x:v>3</x:v>
      </x:c>
      <x:c r="G283" s="36" t="n">
        <x:v>1</x:v>
      </x:c>
      <x:c r="H283" s="34" t="str">
        <x:v>firstUndeployThreadEvidenceFinal</x:v>
      </x:c>
      <x:c r="I283" s="36" t="n">
        <x:v>1</x:v>
      </x:c>
      <x:c r="J283" s="34" t="str">
        <x:v>final</x:v>
      </x:c>
      <x:c r="K283" s="36" t="n">
        <x:v>27</x:v>
      </x:c>
      <x:c r="L283" s="51" t="n">
        <x:v>0</x:v>
      </x:c>
      <x:c r="M283" s="51" t="n">
        <x:v>0</x:v>
      </x:c>
      <x:c r="N283" s="36" t="n">
        <x:v>3</x:v>
      </x:c>
      <x:c r="O283" s="44" t="str">
        <x:v>http-nio-8080-exec-11#80 | http-nio-8080-exec-12#81 | http-nio-8080-exec-13#82</x:v>
      </x:c>
      <x:c r="P283" s="36" t="n">
        <x:v>3</x:v>
      </x:c>
      <x:c r="Q283" s="44" t="str">
        <x:v>http-nio-8080-exec-11#80 | http-nio-8080-exec-12#81 | http-nio-8080-exec-13#82</x:v>
      </x:c>
      <x:c r="R283" s="36" t="n">
        <x:v>0</x:v>
      </x:c>
      <x:c r="S283" s="44"/>
      <x:c r="T283" s="36" t="n">
        <x:v>0</x:v>
      </x:c>
      <x:c r="U283" s="44"/>
      <x:c r="V283" s="36" t="n">
        <x:v>0</x:v>
      </x:c>
      <x:c r="W283" s="44"/>
      <x:c r="X283" s="34" t="str">
        <x:v>no-post-undeploy-thread-signal</x:v>
      </x:c>
      <x:c r="Y283" s="44" t="str">
        <x:v>automated signatures are JCS-specific; all other candidate application threads remain unattributed and ownership requires the archived full dump</x:v>
      </x:c>
    </x:row>
    <x:row r="284">
      <x:c r="A284" s="34" t="str">
        <x:v>article1-unified-v4-2-fb3f101b-20260903-000401-default-f03-p3-ehcache</x:v>
      </x:c>
      <x:c r="B284" s="34" t="str">
        <x:v>default</x:v>
      </x:c>
      <x:c r="C284" s="34" t="str">
        <x:v>ehcache</x:v>
      </x:c>
      <x:c r="D284" s="36" t="n">
        <x:v>3</x:v>
      </x:c>
      <x:c r="E284" s="36" t="n">
        <x:v>3</x:v>
      </x:c>
      <x:c r="F284" s="36" t="n">
        <x:v>3</x:v>
      </x:c>
      <x:c r="G284" s="36" t="n">
        <x:v>1</x:v>
      </x:c>
      <x:c r="H284" s="34" t="str">
        <x:v>finalUndeployThreadEvidenceEarly</x:v>
      </x:c>
      <x:c r="I284" s="36" t="n">
        <x:v>2</x:v>
      </x:c>
      <x:c r="J284" s="34" t="str">
        <x:v>early</x:v>
      </x:c>
      <x:c r="K284" s="36" t="n">
        <x:v>27</x:v>
      </x:c>
      <x:c r="L284" s="51" t="n">
        <x:v>0</x:v>
      </x:c>
      <x:c r="M284" s="51" t="n">
        <x:v>0</x:v>
      </x:c>
      <x:c r="N284" s="36" t="n">
        <x:v>8</x:v>
      </x:c>
      <x:c r="O284" s="44" t="str">
        <x:v>http-nio-8080-exec-11#80 | http-nio-8080-exec-12#81 | http-nio-8080-exec-13#82 | http-nio-8080-exec-14#85 | http-nio-8080-exec-15#86 | http-nio-8080-exec-17#120 | http-nio-8080-exec-18#121 | http-nio-8080-exec-19#122</x:v>
      </x:c>
      <x:c r="P284" s="36" t="n">
        <x:v>8</x:v>
      </x:c>
      <x:c r="Q284" s="44" t="str">
        <x:v>http-nio-8080-exec-11#80 | http-nio-8080-exec-12#81 | http-nio-8080-exec-13#82 | http-nio-8080-exec-14#85 | http-nio-8080-exec-15#86 | http-nio-8080-exec-17#120 | http-nio-8080-exec-18#121 | http-nio-8080-exec-19#122</x:v>
      </x:c>
      <x:c r="R284" s="36" t="n">
        <x:v>0</x:v>
      </x:c>
      <x:c r="S284" s="44"/>
      <x:c r="T284" s="36" t="n">
        <x:v>0</x:v>
      </x:c>
      <x:c r="U284" s="44"/>
      <x:c r="V284" s="36" t="n">
        <x:v>0</x:v>
      </x:c>
      <x:c r="W284" s="44"/>
      <x:c r="X284" s="34" t="str">
        <x:v>no-post-undeploy-thread-signal</x:v>
      </x:c>
      <x:c r="Y284" s="44" t="str">
        <x:v>automated signatures are JCS-specific; all other candidate application threads remain unattributed and ownership requires the archived full dump</x:v>
      </x:c>
    </x:row>
    <x:row r="285">
      <x:c r="A285" s="34" t="str">
        <x:v>article1-unified-v4-2-fb3f101b-20260903-000401-default-f03-p3-ehcache</x:v>
      </x:c>
      <x:c r="B285" s="34" t="str">
        <x:v>default</x:v>
      </x:c>
      <x:c r="C285" s="34" t="str">
        <x:v>ehcache</x:v>
      </x:c>
      <x:c r="D285" s="36" t="n">
        <x:v>3</x:v>
      </x:c>
      <x:c r="E285" s="36" t="n">
        <x:v>3</x:v>
      </x:c>
      <x:c r="F285" s="36" t="n">
        <x:v>3</x:v>
      </x:c>
      <x:c r="G285" s="36" t="n">
        <x:v>1</x:v>
      </x:c>
      <x:c r="H285" s="34" t="str">
        <x:v>finalUndeployThreadEvidenceFinal</x:v>
      </x:c>
      <x:c r="I285" s="36" t="n">
        <x:v>2</x:v>
      </x:c>
      <x:c r="J285" s="34" t="str">
        <x:v>final</x:v>
      </x:c>
      <x:c r="K285" s="36" t="n">
        <x:v>27</x:v>
      </x:c>
      <x:c r="L285" s="51" t="n">
        <x:v>0</x:v>
      </x:c>
      <x:c r="M285" s="51" t="n">
        <x:v>0</x:v>
      </x:c>
      <x:c r="N285" s="36" t="n">
        <x:v>9</x:v>
      </x:c>
      <x:c r="O285" s="44" t="str">
        <x:v>http-nio-8080-exec-11#80 | http-nio-8080-exec-12#81 | http-nio-8080-exec-13#82 | http-nio-8080-exec-14#85 | http-nio-8080-exec-15#86 | http-nio-8080-exec-17#120 | http-nio-8080-exec-18#121 | http-nio-8080-exec-19#122 | http-nio-8080-exec-20#123</x:v>
      </x:c>
      <x:c r="P285" s="36" t="n">
        <x:v>9</x:v>
      </x:c>
      <x:c r="Q285" s="44" t="str">
        <x:v>http-nio-8080-exec-11#80 | http-nio-8080-exec-12#81 | http-nio-8080-exec-13#82 | http-nio-8080-exec-14#85 | http-nio-8080-exec-15#86 | http-nio-8080-exec-17#120 | http-nio-8080-exec-18#121 | http-nio-8080-exec-19#122 | http-nio-8080-exec-20#123</x:v>
      </x:c>
      <x:c r="R285" s="36" t="n">
        <x:v>0</x:v>
      </x:c>
      <x:c r="S285" s="44"/>
      <x:c r="T285" s="36" t="n">
        <x:v>0</x:v>
      </x:c>
      <x:c r="U285" s="44"/>
      <x:c r="V285" s="36" t="n">
        <x:v>0</x:v>
      </x:c>
      <x:c r="W285" s="44"/>
      <x:c r="X285" s="34" t="str">
        <x:v>no-post-undeploy-thread-signal</x:v>
      </x:c>
      <x:c r="Y285" s="44" t="str">
        <x:v>automated signatures are JCS-specific; all other candidate application threads remain unattributed and ownership requires the archived full dump</x:v>
      </x:c>
    </x:row>
    <x:row r="286">
      <x:c r="A286" s="34" t="str">
        <x:v>article1-unified-v4-2-fb3f101b-20260903-000401-default-f03-p3-ehcache</x:v>
      </x:c>
      <x:c r="B286" s="34" t="str">
        <x:v>default</x:v>
      </x:c>
      <x:c r="C286" s="34" t="str">
        <x:v>ehcache</x:v>
      </x:c>
      <x:c r="D286" s="36" t="n">
        <x:v>3</x:v>
      </x:c>
      <x:c r="E286" s="36" t="n">
        <x:v>3</x:v>
      </x:c>
      <x:c r="F286" s="36" t="n">
        <x:v>3</x:v>
      </x:c>
      <x:c r="G286" s="36" t="n">
        <x:v>2</x:v>
      </x:c>
      <x:c r="H286" s="34" t="str">
        <x:v>firstUndeployThreadEvidenceEarly</x:v>
      </x:c>
      <x:c r="I286" s="36" t="n">
        <x:v>1</x:v>
      </x:c>
      <x:c r="J286" s="34" t="str">
        <x:v>early</x:v>
      </x:c>
      <x:c r="K286" s="36" t="n">
        <x:v>27</x:v>
      </x:c>
      <x:c r="L286" s="51" t="n">
        <x:v>0</x:v>
      </x:c>
      <x:c r="M286" s="51" t="n">
        <x:v>0</x:v>
      </x:c>
      <x:c r="N286" s="36" t="n">
        <x:v>10</x:v>
      </x:c>
      <x:c r="O286" s="44" t="str">
        <x:v>http-nio-8080-exec-14#85 | http-nio-8080-exec-17#120 | http-nio-8080-exec-18#121 | http-nio-8080-exec-19#122 | http-nio-8080-exec-20#123 | http-nio-8080-exec-21#126 | http-nio-8080-exec-22#127 | http-nio-8080-exec-23#160 | http-nio-8080-exec-24#161 | http-nio-8080-exec-25#162</x:v>
      </x:c>
      <x:c r="P286" s="36" t="n">
        <x:v>5</x:v>
      </x:c>
      <x:c r="Q286" s="44" t="str">
        <x:v>http-nio-8080-exec-21#126 | http-nio-8080-exec-22#127 | http-nio-8080-exec-23#160 | http-nio-8080-exec-24#161 | http-nio-8080-exec-25#162</x:v>
      </x:c>
      <x:c r="R286" s="36" t="n">
        <x:v>0</x:v>
      </x:c>
      <x:c r="S286" s="44"/>
      <x:c r="T286" s="36" t="n">
        <x:v>0</x:v>
      </x:c>
      <x:c r="U286" s="44"/>
      <x:c r="V286" s="36" t="n">
        <x:v>0</x:v>
      </x:c>
      <x:c r="W286" s="44"/>
      <x:c r="X286" s="34" t="str">
        <x:v>no-post-undeploy-thread-signal</x:v>
      </x:c>
      <x:c r="Y286" s="44" t="str">
        <x:v>automated signatures are JCS-specific; all other candidate application threads remain unattributed and ownership requires the archived full dump</x:v>
      </x:c>
    </x:row>
    <x:row r="287">
      <x:c r="A287" s="34" t="str">
        <x:v>article1-unified-v4-2-fb3f101b-20260903-000401-default-f03-p3-ehcache</x:v>
      </x:c>
      <x:c r="B287" s="34" t="str">
        <x:v>default</x:v>
      </x:c>
      <x:c r="C287" s="34" t="str">
        <x:v>ehcache</x:v>
      </x:c>
      <x:c r="D287" s="36" t="n">
        <x:v>3</x:v>
      </x:c>
      <x:c r="E287" s="36" t="n">
        <x:v>3</x:v>
      </x:c>
      <x:c r="F287" s="36" t="n">
        <x:v>3</x:v>
      </x:c>
      <x:c r="G287" s="36" t="n">
        <x:v>2</x:v>
      </x:c>
      <x:c r="H287" s="34" t="str">
        <x:v>firstUndeployThreadEvidenceFinal</x:v>
      </x:c>
      <x:c r="I287" s="36" t="n">
        <x:v>1</x:v>
      </x:c>
      <x:c r="J287" s="34" t="str">
        <x:v>final</x:v>
      </x:c>
      <x:c r="K287" s="36" t="n">
        <x:v>27</x:v>
      </x:c>
      <x:c r="L287" s="51" t="n">
        <x:v>0</x:v>
      </x:c>
      <x:c r="M287" s="51" t="n">
        <x:v>0</x:v>
      </x:c>
      <x:c r="N287" s="36" t="n">
        <x:v>10</x:v>
      </x:c>
      <x:c r="O287" s="44" t="str">
        <x:v>http-nio-8080-exec-14#85 | http-nio-8080-exec-17#120 | http-nio-8080-exec-18#121 | http-nio-8080-exec-19#122 | http-nio-8080-exec-21#126 | http-nio-8080-exec-22#127 | http-nio-8080-exec-23#160 | http-nio-8080-exec-24#161 | http-nio-8080-exec-25#162 | http-nio-8080-exec-26#163</x:v>
      </x:c>
      <x:c r="P287" s="36" t="n">
        <x:v>6</x:v>
      </x:c>
      <x:c r="Q287" s="44" t="str">
        <x:v>http-nio-8080-exec-21#126 | http-nio-8080-exec-22#127 | http-nio-8080-exec-23#160 | http-nio-8080-exec-24#161 | http-nio-8080-exec-25#162 | http-nio-8080-exec-26#163</x:v>
      </x:c>
      <x:c r="R287" s="36" t="n">
        <x:v>0</x:v>
      </x:c>
      <x:c r="S287" s="44"/>
      <x:c r="T287" s="36" t="n">
        <x:v>0</x:v>
      </x:c>
      <x:c r="U287" s="44"/>
      <x:c r="V287" s="36" t="n">
        <x:v>0</x:v>
      </x:c>
      <x:c r="W287" s="44"/>
      <x:c r="X287" s="34" t="str">
        <x:v>no-post-undeploy-thread-signal</x:v>
      </x:c>
      <x:c r="Y287" s="44" t="str">
        <x:v>automated signatures are JCS-specific; all other candidate application threads remain unattributed and ownership requires the archived full dump</x:v>
      </x:c>
    </x:row>
    <x:row r="288">
      <x:c r="A288" s="34" t="str">
        <x:v>article1-unified-v4-2-fb3f101b-20260903-000401-default-f03-p3-ehcache</x:v>
      </x:c>
      <x:c r="B288" s="34" t="str">
        <x:v>default</x:v>
      </x:c>
      <x:c r="C288" s="34" t="str">
        <x:v>ehcache</x:v>
      </x:c>
      <x:c r="D288" s="36" t="n">
        <x:v>3</x:v>
      </x:c>
      <x:c r="E288" s="36" t="n">
        <x:v>3</x:v>
      </x:c>
      <x:c r="F288" s="36" t="n">
        <x:v>3</x:v>
      </x:c>
      <x:c r="G288" s="36" t="n">
        <x:v>2</x:v>
      </x:c>
      <x:c r="H288" s="34" t="str">
        <x:v>finalUndeployThreadEvidenceEarly</x:v>
      </x:c>
      <x:c r="I288" s="36" t="n">
        <x:v>2</x:v>
      </x:c>
      <x:c r="J288" s="34" t="str">
        <x:v>early</x:v>
      </x:c>
      <x:c r="K288" s="36" t="n">
        <x:v>27</x:v>
      </x:c>
      <x:c r="L288" s="51" t="n">
        <x:v>0</x:v>
      </x:c>
      <x:c r="M288" s="51" t="n">
        <x:v>0</x:v>
      </x:c>
      <x:c r="N288" s="36" t="n">
        <x:v>10</x:v>
      </x:c>
      <x:c r="O288" s="44" t="str">
        <x:v>http-nio-8080-exec-18#121 | http-nio-8080-exec-22#127 | http-nio-8080-exec-25#162 | http-nio-8080-exec-26#163 | http-nio-8080-exec-27#166 | http-nio-8080-exec-28#167 | http-nio-8080-exec-29#168 | http-nio-8080-exec-30#201 | http-nio-8080-exec-31#202 | http-nio-8080-exec-32#203</x:v>
      </x:c>
      <x:c r="P288" s="36" t="n">
        <x:v>9</x:v>
      </x:c>
      <x:c r="Q288" s="44" t="str">
        <x:v>http-nio-8080-exec-22#127 | http-nio-8080-exec-25#162 | http-nio-8080-exec-26#163 | http-nio-8080-exec-27#166 | http-nio-8080-exec-28#167 | http-nio-8080-exec-29#168 | http-nio-8080-exec-30#201 | http-nio-8080-exec-31#202 | http-nio-8080-exec-32#203</x:v>
      </x:c>
      <x:c r="R288" s="36" t="n">
        <x:v>0</x:v>
      </x:c>
      <x:c r="S288" s="44"/>
      <x:c r="T288" s="36" t="n">
        <x:v>0</x:v>
      </x:c>
      <x:c r="U288" s="44"/>
      <x:c r="V288" s="36" t="n">
        <x:v>0</x:v>
      </x:c>
      <x:c r="W288" s="44"/>
      <x:c r="X288" s="34" t="str">
        <x:v>no-post-undeploy-thread-signal</x:v>
      </x:c>
      <x:c r="Y288" s="44" t="str">
        <x:v>automated signatures are JCS-specific; all other candidate application threads remain unattributed and ownership requires the archived full dump</x:v>
      </x:c>
    </x:row>
    <x:row r="289">
      <x:c r="A289" s="34" t="str">
        <x:v>article1-unified-v4-2-fb3f101b-20260903-000401-default-f03-p3-ehcache</x:v>
      </x:c>
      <x:c r="B289" s="34" t="str">
        <x:v>default</x:v>
      </x:c>
      <x:c r="C289" s="34" t="str">
        <x:v>ehcache</x:v>
      </x:c>
      <x:c r="D289" s="36" t="n">
        <x:v>3</x:v>
      </x:c>
      <x:c r="E289" s="36" t="n">
        <x:v>3</x:v>
      </x:c>
      <x:c r="F289" s="36" t="n">
        <x:v>3</x:v>
      </x:c>
      <x:c r="G289" s="36" t="n">
        <x:v>2</x:v>
      </x:c>
      <x:c r="H289" s="34" t="str">
        <x:v>finalUndeployThreadEvidenceFinal</x:v>
      </x:c>
      <x:c r="I289" s="36" t="n">
        <x:v>2</x:v>
      </x:c>
      <x:c r="J289" s="34" t="str">
        <x:v>final</x:v>
      </x:c>
      <x:c r="K289" s="36" t="n">
        <x:v>27</x:v>
      </x:c>
      <x:c r="L289" s="51" t="n">
        <x:v>0</x:v>
      </x:c>
      <x:c r="M289" s="51" t="n">
        <x:v>0</x:v>
      </x:c>
      <x:c r="N289" s="36" t="n">
        <x:v>10</x:v>
      </x:c>
      <x:c r="O289" s="44" t="str">
        <x:v>http-nio-8080-exec-18#121 | http-nio-8080-exec-22#127 | http-nio-8080-exec-25#162 | http-nio-8080-exec-26#163 | http-nio-8080-exec-28#167 | http-nio-8080-exec-29#168 | http-nio-8080-exec-30#201 | http-nio-8080-exec-31#202 | http-nio-8080-exec-32#203 | http-nio-8080-exec-33#204</x:v>
      </x:c>
      <x:c r="P289" s="36" t="n">
        <x:v>9</x:v>
      </x:c>
      <x:c r="Q289" s="44" t="str">
        <x:v>http-nio-8080-exec-22#127 | http-nio-8080-exec-25#162 | http-nio-8080-exec-26#163 | http-nio-8080-exec-28#167 | http-nio-8080-exec-29#168 | http-nio-8080-exec-30#201 | http-nio-8080-exec-31#202 | http-nio-8080-exec-32#203 | http-nio-8080-exec-33#204</x:v>
      </x:c>
      <x:c r="R289" s="36" t="n">
        <x:v>0</x:v>
      </x:c>
      <x:c r="S289" s="44"/>
      <x:c r="T289" s="36" t="n">
        <x:v>0</x:v>
      </x:c>
      <x:c r="U289" s="44"/>
      <x:c r="V289" s="36" t="n">
        <x:v>0</x:v>
      </x:c>
      <x:c r="W289" s="44"/>
      <x:c r="X289" s="34" t="str">
        <x:v>no-post-undeploy-thread-signal</x:v>
      </x:c>
      <x:c r="Y289" s="44" t="str">
        <x:v>automated signatures are JCS-specific; all other candidate application threads remain unattributed and ownership requires the archived full dump</x:v>
      </x:c>
    </x:row>
    <x:row r="290">
      <x:c r="A290" s="34" t="str">
        <x:v>article1-unified-v4-2-fb3f101b-20260903-000401-default-f03-p3-ehcache</x:v>
      </x:c>
      <x:c r="B290" s="34" t="str">
        <x:v>default</x:v>
      </x:c>
      <x:c r="C290" s="34" t="str">
        <x:v>ehcache</x:v>
      </x:c>
      <x:c r="D290" s="36" t="n">
        <x:v>3</x:v>
      </x:c>
      <x:c r="E290" s="36" t="n">
        <x:v>3</x:v>
      </x:c>
      <x:c r="F290" s="36" t="n">
        <x:v>3</x:v>
      </x:c>
      <x:c r="G290" s="36" t="n">
        <x:v>3</x:v>
      </x:c>
      <x:c r="H290" s="34" t="str">
        <x:v>firstUndeployThreadEvidenceEarly</x:v>
      </x:c>
      <x:c r="I290" s="36" t="n">
        <x:v>1</x:v>
      </x:c>
      <x:c r="J290" s="34" t="str">
        <x:v>early</x:v>
      </x:c>
      <x:c r="K290" s="36" t="n">
        <x:v>27</x:v>
      </x:c>
      <x:c r="L290" s="51" t="n">
        <x:v>0</x:v>
      </x:c>
      <x:c r="M290" s="51" t="n">
        <x:v>0</x:v>
      </x:c>
      <x:c r="N290" s="36" t="n">
        <x:v>10</x:v>
      </x:c>
      <x:c r="O290" s="44" t="str">
        <x:v>http-nio-8080-exec-22#127 | http-nio-8080-exec-28#167 | http-nio-8080-exec-29#168 | http-nio-8080-exec-31#202 | http-nio-8080-exec-32#203 | http-nio-8080-exec-33#204 | http-nio-8080-exec-35#208 | http-nio-8080-exec-36#241 | http-nio-8080-exec-37#242 | http-nio-8080-exec-38#243</x:v>
      </x:c>
      <x:c r="P290" s="36" t="n">
        <x:v>4</x:v>
      </x:c>
      <x:c r="Q290" s="44" t="str">
        <x:v>http-nio-8080-exec-35#208 | http-nio-8080-exec-36#241 | http-nio-8080-exec-37#242 | http-nio-8080-exec-38#243</x:v>
      </x:c>
      <x:c r="R290" s="36" t="n">
        <x:v>0</x:v>
      </x:c>
      <x:c r="S290" s="44"/>
      <x:c r="T290" s="36" t="n">
        <x:v>0</x:v>
      </x:c>
      <x:c r="U290" s="44"/>
      <x:c r="V290" s="36" t="n">
        <x:v>0</x:v>
      </x:c>
      <x:c r="W290" s="44"/>
      <x:c r="X290" s="34" t="str">
        <x:v>no-post-undeploy-thread-signal</x:v>
      </x:c>
      <x:c r="Y290" s="44" t="str">
        <x:v>automated signatures are JCS-specific; all other candidate application threads remain unattributed and ownership requires the archived full dump</x:v>
      </x:c>
    </x:row>
    <x:row r="291">
      <x:c r="A291" s="34" t="str">
        <x:v>article1-unified-v4-2-fb3f101b-20260903-000401-default-f03-p3-ehcache</x:v>
      </x:c>
      <x:c r="B291" s="34" t="str">
        <x:v>default</x:v>
      </x:c>
      <x:c r="C291" s="34" t="str">
        <x:v>ehcache</x:v>
      </x:c>
      <x:c r="D291" s="36" t="n">
        <x:v>3</x:v>
      </x:c>
      <x:c r="E291" s="36" t="n">
        <x:v>3</x:v>
      </x:c>
      <x:c r="F291" s="36" t="n">
        <x:v>3</x:v>
      </x:c>
      <x:c r="G291" s="36" t="n">
        <x:v>3</x:v>
      </x:c>
      <x:c r="H291" s="34" t="str">
        <x:v>firstUndeployThreadEvidenceFinal</x:v>
      </x:c>
      <x:c r="I291" s="36" t="n">
        <x:v>1</x:v>
      </x:c>
      <x:c r="J291" s="34" t="str">
        <x:v>final</x:v>
      </x:c>
      <x:c r="K291" s="36" t="n">
        <x:v>27</x:v>
      </x:c>
      <x:c r="L291" s="51" t="n">
        <x:v>0</x:v>
      </x:c>
      <x:c r="M291" s="51" t="n">
        <x:v>0</x:v>
      </x:c>
      <x:c r="N291" s="36" t="n">
        <x:v>10</x:v>
      </x:c>
      <x:c r="O291" s="44" t="str">
        <x:v>http-nio-8080-exec-22#127 | http-nio-8080-exec-28#167 | http-nio-8080-exec-29#168 | http-nio-8080-exec-32#203 | http-nio-8080-exec-33#204 | http-nio-8080-exec-35#208 | http-nio-8080-exec-36#241 | http-nio-8080-exec-37#242 | http-nio-8080-exec-38#243 | http-nio-8080-exec-39#244</x:v>
      </x:c>
      <x:c r="P291" s="36" t="n">
        <x:v>5</x:v>
      </x:c>
      <x:c r="Q291" s="44" t="str">
        <x:v>http-nio-8080-exec-35#208 | http-nio-8080-exec-36#241 | http-nio-8080-exec-37#242 | http-nio-8080-exec-38#243 | http-nio-8080-exec-39#244</x:v>
      </x:c>
      <x:c r="R291" s="36" t="n">
        <x:v>0</x:v>
      </x:c>
      <x:c r="S291" s="44"/>
      <x:c r="T291" s="36" t="n">
        <x:v>0</x:v>
      </x:c>
      <x:c r="U291" s="44"/>
      <x:c r="V291" s="36" t="n">
        <x:v>0</x:v>
      </x:c>
      <x:c r="W291" s="44"/>
      <x:c r="X291" s="34" t="str">
        <x:v>no-post-undeploy-thread-signal</x:v>
      </x:c>
      <x:c r="Y291" s="44" t="str">
        <x:v>automated signatures are JCS-specific; all other candidate application threads remain unattributed and ownership requires the archived full dump</x:v>
      </x:c>
    </x:row>
    <x:row r="292">
      <x:c r="A292" s="34" t="str">
        <x:v>article1-unified-v4-2-fb3f101b-20260903-000401-default-f03-p3-ehcache</x:v>
      </x:c>
      <x:c r="B292" s="34" t="str">
        <x:v>default</x:v>
      </x:c>
      <x:c r="C292" s="34" t="str">
        <x:v>ehcache</x:v>
      </x:c>
      <x:c r="D292" s="36" t="n">
        <x:v>3</x:v>
      </x:c>
      <x:c r="E292" s="36" t="n">
        <x:v>3</x:v>
      </x:c>
      <x:c r="F292" s="36" t="n">
        <x:v>3</x:v>
      </x:c>
      <x:c r="G292" s="36" t="n">
        <x:v>3</x:v>
      </x:c>
      <x:c r="H292" s="34" t="str">
        <x:v>finalUndeployThreadEvidenceEarly</x:v>
      </x:c>
      <x:c r="I292" s="36" t="n">
        <x:v>2</x:v>
      </x:c>
      <x:c r="J292" s="34" t="str">
        <x:v>early</x:v>
      </x:c>
      <x:c r="K292" s="36" t="n">
        <x:v>27</x:v>
      </x:c>
      <x:c r="L292" s="51" t="n">
        <x:v>0</x:v>
      </x:c>
      <x:c r="M292" s="51" t="n">
        <x:v>0</x:v>
      </x:c>
      <x:c r="N292" s="36" t="n">
        <x:v>10</x:v>
      </x:c>
      <x:c r="O292" s="44" t="str">
        <x:v>http-nio-8080-exec-32#203 | http-nio-8080-exec-35#208 | http-nio-8080-exec-37#242 | http-nio-8080-exec-38#243 | http-nio-8080-exec-39#244 | http-nio-8080-exec-40#247 | http-nio-8080-exec-41#248 | http-nio-8080-exec-43#282 | http-nio-8080-exec-44#283 | http-nio-8080-exec-45#284</x:v>
      </x:c>
      <x:c r="P292" s="36" t="n">
        <x:v>9</x:v>
      </x:c>
      <x:c r="Q292" s="44" t="str">
        <x:v>http-nio-8080-exec-35#208 | http-nio-8080-exec-37#242 | http-nio-8080-exec-38#243 | http-nio-8080-exec-39#244 | http-nio-8080-exec-40#247 | http-nio-8080-exec-41#248 | http-nio-8080-exec-43#282 | http-nio-8080-exec-44#283 | http-nio-8080-exec-45#284</x:v>
      </x:c>
      <x:c r="R292" s="36" t="n">
        <x:v>0</x:v>
      </x:c>
      <x:c r="S292" s="44"/>
      <x:c r="T292" s="36" t="n">
        <x:v>0</x:v>
      </x:c>
      <x:c r="U292" s="44"/>
      <x:c r="V292" s="36" t="n">
        <x:v>0</x:v>
      </x:c>
      <x:c r="W292" s="44"/>
      <x:c r="X292" s="34" t="str">
        <x:v>no-post-undeploy-thread-signal</x:v>
      </x:c>
      <x:c r="Y292" s="44" t="str">
        <x:v>automated signatures are JCS-specific; all other candidate application threads remain unattributed and ownership requires the archived full dump</x:v>
      </x:c>
    </x:row>
    <x:row r="293">
      <x:c r="A293" s="34" t="str">
        <x:v>article1-unified-v4-2-fb3f101b-20260903-000401-default-f03-p3-ehcache</x:v>
      </x:c>
      <x:c r="B293" s="34" t="str">
        <x:v>default</x:v>
      </x:c>
      <x:c r="C293" s="34" t="str">
        <x:v>ehcache</x:v>
      </x:c>
      <x:c r="D293" s="36" t="n">
        <x:v>3</x:v>
      </x:c>
      <x:c r="E293" s="36" t="n">
        <x:v>3</x:v>
      </x:c>
      <x:c r="F293" s="36" t="n">
        <x:v>3</x:v>
      </x:c>
      <x:c r="G293" s="36" t="n">
        <x:v>3</x:v>
      </x:c>
      <x:c r="H293" s="34" t="str">
        <x:v>finalUndeployThreadEvidenceFinal</x:v>
      </x:c>
      <x:c r="I293" s="36" t="n">
        <x:v>2</x:v>
      </x:c>
      <x:c r="J293" s="34" t="str">
        <x:v>final</x:v>
      </x:c>
      <x:c r="K293" s="36" t="n">
        <x:v>27</x:v>
      </x:c>
      <x:c r="L293" s="51" t="n">
        <x:v>0</x:v>
      </x:c>
      <x:c r="M293" s="51" t="n">
        <x:v>0</x:v>
      </x:c>
      <x:c r="N293" s="36" t="n">
        <x:v>10</x:v>
      </x:c>
      <x:c r="O293" s="44" t="str">
        <x:v>http-nio-8080-exec-32#203 | http-nio-8080-exec-35#208 | http-nio-8080-exec-37#242 | http-nio-8080-exec-38#243 | http-nio-8080-exec-39#244 | http-nio-8080-exec-40#247 | http-nio-8080-exec-43#282 | http-nio-8080-exec-44#283 | http-nio-8080-exec-45#284 | http-nio-8080-exec-46#285</x:v>
      </x:c>
      <x:c r="P293" s="36" t="n">
        <x:v>9</x:v>
      </x:c>
      <x:c r="Q293" s="44" t="str">
        <x:v>http-nio-8080-exec-35#208 | http-nio-8080-exec-37#242 | http-nio-8080-exec-38#243 | http-nio-8080-exec-39#244 | http-nio-8080-exec-40#247 | http-nio-8080-exec-43#282 | http-nio-8080-exec-44#283 | http-nio-8080-exec-45#284 | http-nio-8080-exec-46#285</x:v>
      </x:c>
      <x:c r="R293" s="36" t="n">
        <x:v>0</x:v>
      </x:c>
      <x:c r="S293" s="44"/>
      <x:c r="T293" s="36" t="n">
        <x:v>0</x:v>
      </x:c>
      <x:c r="U293" s="44"/>
      <x:c r="V293" s="36" t="n">
        <x:v>0</x:v>
      </x:c>
      <x:c r="W293" s="44"/>
      <x:c r="X293" s="34" t="str">
        <x:v>no-post-undeploy-thread-signal</x:v>
      </x:c>
      <x:c r="Y293" s="44" t="str">
        <x:v>automated signatures are JCS-specific; all other candidate application threads remain unattributed and ownership requires the archived full dump</x:v>
      </x:c>
    </x:row>
    <x:row r="294">
      <x:c r="A294" s="34" t="str">
        <x:v>article1-unified-v4-2-fb3f101b-20260903-000401-default-f03-p3-ehcache</x:v>
      </x:c>
      <x:c r="B294" s="34" t="str">
        <x:v>default</x:v>
      </x:c>
      <x:c r="C294" s="34" t="str">
        <x:v>ehcache</x:v>
      </x:c>
      <x:c r="D294" s="36" t="n">
        <x:v>3</x:v>
      </x:c>
      <x:c r="E294" s="36" t="n">
        <x:v>3</x:v>
      </x:c>
      <x:c r="F294" s="36" t="n">
        <x:v>3</x:v>
      </x:c>
      <x:c r="G294" s="36" t="n">
        <x:v>4</x:v>
      </x:c>
      <x:c r="H294" s="34" t="str">
        <x:v>firstUndeployThreadEvidenceEarly</x:v>
      </x:c>
      <x:c r="I294" s="36" t="n">
        <x:v>1</x:v>
      </x:c>
      <x:c r="J294" s="34" t="str">
        <x:v>early</x:v>
      </x:c>
      <x:c r="K294" s="36" t="n">
        <x:v>27</x:v>
      </x:c>
      <x:c r="L294" s="51" t="n">
        <x:v>0</x:v>
      </x:c>
      <x:c r="M294" s="51" t="n">
        <x:v>0</x:v>
      </x:c>
      <x:c r="N294" s="36" t="n">
        <x:v>10</x:v>
      </x:c>
      <x:c r="O294" s="44" t="str">
        <x:v>http-nio-8080-exec-37#242 | http-nio-8080-exec-40#247 | http-nio-8080-exec-43#282 | http-nio-8080-exec-44#283 | http-nio-8080-exec-45#284 | http-nio-8080-exec-46#285 | http-nio-8080-exec-48#289 | http-nio-8080-exec-49#322 | http-nio-8080-exec-50#323 | http-nio-8080-exec-51#324</x:v>
      </x:c>
      <x:c r="P294" s="36" t="n">
        <x:v>4</x:v>
      </x:c>
      <x:c r="Q294" s="44" t="str">
        <x:v>http-nio-8080-exec-48#289 | http-nio-8080-exec-49#322 | http-nio-8080-exec-50#323 | http-nio-8080-exec-51#324</x:v>
      </x:c>
      <x:c r="R294" s="36" t="n">
        <x:v>0</x:v>
      </x:c>
      <x:c r="S294" s="44"/>
      <x:c r="T294" s="36" t="n">
        <x:v>0</x:v>
      </x:c>
      <x:c r="U294" s="44"/>
      <x:c r="V294" s="36" t="n">
        <x:v>0</x:v>
      </x:c>
      <x:c r="W294" s="44"/>
      <x:c r="X294" s="34" t="str">
        <x:v>no-post-undeploy-thread-signal</x:v>
      </x:c>
      <x:c r="Y294" s="44" t="str">
        <x:v>automated signatures are JCS-specific; all other candidate application threads remain unattributed and ownership requires the archived full dump</x:v>
      </x:c>
    </x:row>
    <x:row r="295">
      <x:c r="A295" s="34" t="str">
        <x:v>article1-unified-v4-2-fb3f101b-20260903-000401-default-f03-p3-ehcache</x:v>
      </x:c>
      <x:c r="B295" s="34" t="str">
        <x:v>default</x:v>
      </x:c>
      <x:c r="C295" s="34" t="str">
        <x:v>ehcache</x:v>
      </x:c>
      <x:c r="D295" s="36" t="n">
        <x:v>3</x:v>
      </x:c>
      <x:c r="E295" s="36" t="n">
        <x:v>3</x:v>
      </x:c>
      <x:c r="F295" s="36" t="n">
        <x:v>3</x:v>
      </x:c>
      <x:c r="G295" s="36" t="n">
        <x:v>4</x:v>
      </x:c>
      <x:c r="H295" s="34" t="str">
        <x:v>firstUndeployThreadEvidenceFinal</x:v>
      </x:c>
      <x:c r="I295" s="36" t="n">
        <x:v>1</x:v>
      </x:c>
      <x:c r="J295" s="34" t="str">
        <x:v>final</x:v>
      </x:c>
      <x:c r="K295" s="36" t="n">
        <x:v>27</x:v>
      </x:c>
      <x:c r="L295" s="51" t="n">
        <x:v>0</x:v>
      </x:c>
      <x:c r="M295" s="51" t="n">
        <x:v>0</x:v>
      </x:c>
      <x:c r="N295" s="36" t="n">
        <x:v>10</x:v>
      </x:c>
      <x:c r="O295" s="44" t="str">
        <x:v>http-nio-8080-exec-40#247 | http-nio-8080-exec-43#282 | http-nio-8080-exec-44#283 | http-nio-8080-exec-45#284 | http-nio-8080-exec-46#285 | http-nio-8080-exec-48#289 | http-nio-8080-exec-49#322 | http-nio-8080-exec-50#323 | http-nio-8080-exec-51#324 | http-nio-8080-exec-52#325</x:v>
      </x:c>
      <x:c r="P295" s="36" t="n">
        <x:v>5</x:v>
      </x:c>
      <x:c r="Q295" s="44" t="str">
        <x:v>http-nio-8080-exec-48#289 | http-nio-8080-exec-49#322 | http-nio-8080-exec-50#323 | http-nio-8080-exec-51#324 | http-nio-8080-exec-52#325</x:v>
      </x:c>
      <x:c r="R295" s="36" t="n">
        <x:v>0</x:v>
      </x:c>
      <x:c r="S295" s="44"/>
      <x:c r="T295" s="36" t="n">
        <x:v>0</x:v>
      </x:c>
      <x:c r="U295" s="44"/>
      <x:c r="V295" s="36" t="n">
        <x:v>0</x:v>
      </x:c>
      <x:c r="W295" s="44"/>
      <x:c r="X295" s="34" t="str">
        <x:v>no-post-undeploy-thread-signal</x:v>
      </x:c>
      <x:c r="Y295" s="44" t="str">
        <x:v>automated signatures are JCS-specific; all other candidate application threads remain unattributed and ownership requires the archived full dump</x:v>
      </x:c>
    </x:row>
    <x:row r="296">
      <x:c r="A296" s="34" t="str">
        <x:v>article1-unified-v4-2-fb3f101b-20260903-000401-default-f03-p3-ehcache</x:v>
      </x:c>
      <x:c r="B296" s="34" t="str">
        <x:v>default</x:v>
      </x:c>
      <x:c r="C296" s="34" t="str">
        <x:v>ehcache</x:v>
      </x:c>
      <x:c r="D296" s="36" t="n">
        <x:v>3</x:v>
      </x:c>
      <x:c r="E296" s="36" t="n">
        <x:v>3</x:v>
      </x:c>
      <x:c r="F296" s="36" t="n">
        <x:v>3</x:v>
      </x:c>
      <x:c r="G296" s="36" t="n">
        <x:v>4</x:v>
      </x:c>
      <x:c r="H296" s="34" t="str">
        <x:v>finalUndeployThreadEvidenceEarly</x:v>
      </x:c>
      <x:c r="I296" s="36" t="n">
        <x:v>2</x:v>
      </x:c>
      <x:c r="J296" s="34" t="str">
        <x:v>early</x:v>
      </x:c>
      <x:c r="K296" s="36" t="n">
        <x:v>27</x:v>
      </x:c>
      <x:c r="L296" s="51" t="n">
        <x:v>0</x:v>
      </x:c>
      <x:c r="M296" s="51" t="n">
        <x:v>0</x:v>
      </x:c>
      <x:c r="N296" s="36" t="n">
        <x:v>10</x:v>
      </x:c>
      <x:c r="O296" s="44" t="str">
        <x:v>http-nio-8080-exec-40#247 | http-nio-8080-exec-43#282 | http-nio-8080-exec-50#323 | http-nio-8080-exec-51#324 | http-nio-8080-exec-52#325 | http-nio-8080-exec-53#328 | http-nio-8080-exec-54#329 | http-nio-8080-exec-56#363 | http-nio-8080-exec-57#364 | http-nio-8080-exec-58#365</x:v>
      </x:c>
      <x:c r="P296" s="36" t="n">
        <x:v>8</x:v>
      </x:c>
      <x:c r="Q296" s="44" t="str">
        <x:v>http-nio-8080-exec-50#323 | http-nio-8080-exec-51#324 | http-nio-8080-exec-52#325 | http-nio-8080-exec-53#328 | http-nio-8080-exec-54#329 | http-nio-8080-exec-56#363 | http-nio-8080-exec-57#364 | http-nio-8080-exec-58#365</x:v>
      </x:c>
      <x:c r="R296" s="36" t="n">
        <x:v>0</x:v>
      </x:c>
      <x:c r="S296" s="44"/>
      <x:c r="T296" s="36" t="n">
        <x:v>0</x:v>
      </x:c>
      <x:c r="U296" s="44"/>
      <x:c r="V296" s="36" t="n">
        <x:v>0</x:v>
      </x:c>
      <x:c r="W296" s="44"/>
      <x:c r="X296" s="34" t="str">
        <x:v>no-post-undeploy-thread-signal</x:v>
      </x:c>
      <x:c r="Y296" s="44" t="str">
        <x:v>automated signatures are JCS-specific; all other candidate application threads remain unattributed and ownership requires the archived full dump</x:v>
      </x:c>
    </x:row>
    <x:row r="297">
      <x:c r="A297" s="34" t="str">
        <x:v>article1-unified-v4-2-fb3f101b-20260903-000401-default-f03-p3-ehcache</x:v>
      </x:c>
      <x:c r="B297" s="34" t="str">
        <x:v>default</x:v>
      </x:c>
      <x:c r="C297" s="34" t="str">
        <x:v>ehcache</x:v>
      </x:c>
      <x:c r="D297" s="36" t="n">
        <x:v>3</x:v>
      </x:c>
      <x:c r="E297" s="36" t="n">
        <x:v>3</x:v>
      </x:c>
      <x:c r="F297" s="36" t="n">
        <x:v>3</x:v>
      </x:c>
      <x:c r="G297" s="36" t="n">
        <x:v>4</x:v>
      </x:c>
      <x:c r="H297" s="34" t="str">
        <x:v>finalUndeployThreadEvidenceFinal</x:v>
      </x:c>
      <x:c r="I297" s="36" t="n">
        <x:v>2</x:v>
      </x:c>
      <x:c r="J297" s="34" t="str">
        <x:v>final</x:v>
      </x:c>
      <x:c r="K297" s="36" t="n">
        <x:v>27</x:v>
      </x:c>
      <x:c r="L297" s="51" t="n">
        <x:v>0</x:v>
      </x:c>
      <x:c r="M297" s="51" t="n">
        <x:v>0</x:v>
      </x:c>
      <x:c r="N297" s="36" t="n">
        <x:v>10</x:v>
      </x:c>
      <x:c r="O297" s="44" t="str">
        <x:v>http-nio-8080-exec-40#247 | http-nio-8080-exec-43#282 | http-nio-8080-exec-50#323 | http-nio-8080-exec-51#324 | http-nio-8080-exec-52#325 | http-nio-8080-exec-53#328 | http-nio-8080-exec-54#329 | http-nio-8080-exec-57#364 | http-nio-8080-exec-58#365 | http-nio-8080-exec-59#366</x:v>
      </x:c>
      <x:c r="P297" s="36" t="n">
        <x:v>8</x:v>
      </x:c>
      <x:c r="Q297" s="44" t="str">
        <x:v>http-nio-8080-exec-50#323 | http-nio-8080-exec-51#324 | http-nio-8080-exec-52#325 | http-nio-8080-exec-53#328 | http-nio-8080-exec-54#329 | http-nio-8080-exec-57#364 | http-nio-8080-exec-58#365 | http-nio-8080-exec-59#366</x:v>
      </x:c>
      <x:c r="R297" s="36" t="n">
        <x:v>0</x:v>
      </x:c>
      <x:c r="S297" s="44"/>
      <x:c r="T297" s="36" t="n">
        <x:v>0</x:v>
      </x:c>
      <x:c r="U297" s="44"/>
      <x:c r="V297" s="36" t="n">
        <x:v>0</x:v>
      </x:c>
      <x:c r="W297" s="44"/>
      <x:c r="X297" s="34" t="str">
        <x:v>no-post-undeploy-thread-signal</x:v>
      </x:c>
      <x:c r="Y297" s="44" t="str">
        <x:v>automated signatures are JCS-specific; all other candidate application threads remain unattributed and ownership requires the archived full dump</x:v>
      </x:c>
    </x:row>
    <x:row r="298">
      <x:c r="A298" s="34" t="str">
        <x:v>article1-unified-v4-2-fb3f101b-20260903-000401-default-f03-p3-ehcache</x:v>
      </x:c>
      <x:c r="B298" s="34" t="str">
        <x:v>default</x:v>
      </x:c>
      <x:c r="C298" s="34" t="str">
        <x:v>ehcache</x:v>
      </x:c>
      <x:c r="D298" s="36" t="n">
        <x:v>3</x:v>
      </x:c>
      <x:c r="E298" s="36" t="n">
        <x:v>3</x:v>
      </x:c>
      <x:c r="F298" s="36" t="n">
        <x:v>3</x:v>
      </x:c>
      <x:c r="G298" s="36" t="n">
        <x:v>5</x:v>
      </x:c>
      <x:c r="H298" s="34" t="str">
        <x:v>firstUndeployThreadEvidenceEarly</x:v>
      </x:c>
      <x:c r="I298" s="36" t="n">
        <x:v>1</x:v>
      </x:c>
      <x:c r="J298" s="34" t="str">
        <x:v>early</x:v>
      </x:c>
      <x:c r="K298" s="36" t="n">
        <x:v>27</x:v>
      </x:c>
      <x:c r="L298" s="51" t="n">
        <x:v>0</x:v>
      </x:c>
      <x:c r="M298" s="51" t="n">
        <x:v>0</x:v>
      </x:c>
      <x:c r="N298" s="36" t="n">
        <x:v>10</x:v>
      </x:c>
      <x:c r="O298" s="44" t="str">
        <x:v>http-nio-8080-exec-43#282 | http-nio-8080-exec-51#324 | http-nio-8080-exec-52#325 | http-nio-8080-exec-57#364 | http-nio-8080-exec-58#365 | http-nio-8080-exec-60#369 | http-nio-8080-exec-61#370 | http-nio-8080-exec-62#403 | http-nio-8080-exec-63#404 | http-nio-8080-exec-64#405</x:v>
      </x:c>
      <x:c r="P298" s="36" t="n">
        <x:v>5</x:v>
      </x:c>
      <x:c r="Q298" s="44" t="str">
        <x:v>http-nio-8080-exec-60#369 | http-nio-8080-exec-61#370 | http-nio-8080-exec-62#403 | http-nio-8080-exec-63#404 | http-nio-8080-exec-64#405</x:v>
      </x:c>
      <x:c r="R298" s="36" t="n">
        <x:v>0</x:v>
      </x:c>
      <x:c r="S298" s="44"/>
      <x:c r="T298" s="36" t="n">
        <x:v>0</x:v>
      </x:c>
      <x:c r="U298" s="44"/>
      <x:c r="V298" s="36" t="n">
        <x:v>0</x:v>
      </x:c>
      <x:c r="W298" s="44"/>
      <x:c r="X298" s="34" t="str">
        <x:v>no-post-undeploy-thread-signal</x:v>
      </x:c>
      <x:c r="Y298" s="44" t="str">
        <x:v>automated signatures are JCS-specific; all other candidate application threads remain unattributed and ownership requires the archived full dump</x:v>
      </x:c>
    </x:row>
    <x:row r="299">
      <x:c r="A299" s="34" t="str">
        <x:v>article1-unified-v4-2-fb3f101b-20260903-000401-default-f03-p3-ehcache</x:v>
      </x:c>
      <x:c r="B299" s="34" t="str">
        <x:v>default</x:v>
      </x:c>
      <x:c r="C299" s="34" t="str">
        <x:v>ehcache</x:v>
      </x:c>
      <x:c r="D299" s="36" t="n">
        <x:v>3</x:v>
      </x:c>
      <x:c r="E299" s="36" t="n">
        <x:v>3</x:v>
      </x:c>
      <x:c r="F299" s="36" t="n">
        <x:v>3</x:v>
      </x:c>
      <x:c r="G299" s="36" t="n">
        <x:v>5</x:v>
      </x:c>
      <x:c r="H299" s="34" t="str">
        <x:v>firstUndeployThreadEvidenceFinal</x:v>
      </x:c>
      <x:c r="I299" s="36" t="n">
        <x:v>1</x:v>
      </x:c>
      <x:c r="J299" s="34" t="str">
        <x:v>final</x:v>
      </x:c>
      <x:c r="K299" s="36" t="n">
        <x:v>27</x:v>
      </x:c>
      <x:c r="L299" s="51" t="n">
        <x:v>0</x:v>
      </x:c>
      <x:c r="M299" s="51" t="n">
        <x:v>0</x:v>
      </x:c>
      <x:c r="N299" s="36" t="n">
        <x:v>10</x:v>
      </x:c>
      <x:c r="O299" s="44" t="str">
        <x:v>http-nio-8080-exec-43#282 | http-nio-8080-exec-51#324 | http-nio-8080-exec-52#325 | http-nio-8080-exec-58#365 | http-nio-8080-exec-60#369 | http-nio-8080-exec-61#370 | http-nio-8080-exec-62#403 | http-nio-8080-exec-63#404 | http-nio-8080-exec-64#405 | http-nio-8080-exec-65#406</x:v>
      </x:c>
      <x:c r="P299" s="36" t="n">
        <x:v>6</x:v>
      </x:c>
      <x:c r="Q299" s="44" t="str">
        <x:v>http-nio-8080-exec-60#369 | http-nio-8080-exec-61#370 | http-nio-8080-exec-62#403 | http-nio-8080-exec-63#404 | http-nio-8080-exec-64#405 | http-nio-8080-exec-65#406</x:v>
      </x:c>
      <x:c r="R299" s="36" t="n">
        <x:v>0</x:v>
      </x:c>
      <x:c r="S299" s="44"/>
      <x:c r="T299" s="36" t="n">
        <x:v>0</x:v>
      </x:c>
      <x:c r="U299" s="44"/>
      <x:c r="V299" s="36" t="n">
        <x:v>0</x:v>
      </x:c>
      <x:c r="W299" s="44"/>
      <x:c r="X299" s="34" t="str">
        <x:v>no-post-undeploy-thread-signal</x:v>
      </x:c>
      <x:c r="Y299" s="44" t="str">
        <x:v>automated signatures are JCS-specific; all other candidate application threads remain unattributed and ownership requires the archived full dump</x:v>
      </x:c>
    </x:row>
    <x:row r="300">
      <x:c r="A300" s="34" t="str">
        <x:v>article1-unified-v4-2-fb3f101b-20260903-000401-default-f03-p3-ehcache</x:v>
      </x:c>
      <x:c r="B300" s="34" t="str">
        <x:v>default</x:v>
      </x:c>
      <x:c r="C300" s="34" t="str">
        <x:v>ehcache</x:v>
      </x:c>
      <x:c r="D300" s="36" t="n">
        <x:v>3</x:v>
      </x:c>
      <x:c r="E300" s="36" t="n">
        <x:v>3</x:v>
      </x:c>
      <x:c r="F300" s="36" t="n">
        <x:v>3</x:v>
      </x:c>
      <x:c r="G300" s="36" t="n">
        <x:v>5</x:v>
      </x:c>
      <x:c r="H300" s="34" t="str">
        <x:v>finalUndeployThreadEvidenceEarly</x:v>
      </x:c>
      <x:c r="I300" s="36" t="n">
        <x:v>2</x:v>
      </x:c>
      <x:c r="J300" s="34" t="str">
        <x:v>early</x:v>
      </x:c>
      <x:c r="K300" s="36" t="n">
        <x:v>27</x:v>
      </x:c>
      <x:c r="L300" s="51" t="n">
        <x:v>0</x:v>
      </x:c>
      <x:c r="M300" s="51" t="n">
        <x:v>0</x:v>
      </x:c>
      <x:c r="N300" s="36" t="n">
        <x:v>10</x:v>
      </x:c>
      <x:c r="O300" s="44" t="str">
        <x:v>http-nio-8080-exec-58#365 | http-nio-8080-exec-60#369 | http-nio-8080-exec-63#404 | http-nio-8080-exec-65#406 | http-nio-8080-exec-66#409 | http-nio-8080-exec-67#410 | http-nio-8080-exec-68#411 | http-nio-8080-exec-69#444 | http-nio-8080-exec-70#445 | http-nio-8080-exec-71#446</x:v>
      </x:c>
      <x:c r="P300" s="36" t="n">
        <x:v>9</x:v>
      </x:c>
      <x:c r="Q300" s="44" t="str">
        <x:v>http-nio-8080-exec-60#369 | http-nio-8080-exec-63#404 | http-nio-8080-exec-65#406 | http-nio-8080-exec-66#409 | http-nio-8080-exec-67#410 | http-nio-8080-exec-68#411 | http-nio-8080-exec-69#444 | http-nio-8080-exec-70#445 | http-nio-8080-exec-71#446</x:v>
      </x:c>
      <x:c r="R300" s="36" t="n">
        <x:v>0</x:v>
      </x:c>
      <x:c r="S300" s="44"/>
      <x:c r="T300" s="36" t="n">
        <x:v>0</x:v>
      </x:c>
      <x:c r="U300" s="44"/>
      <x:c r="V300" s="36" t="n">
        <x:v>0</x:v>
      </x:c>
      <x:c r="W300" s="44"/>
      <x:c r="X300" s="34" t="str">
        <x:v>no-post-undeploy-thread-signal</x:v>
      </x:c>
      <x:c r="Y300" s="44" t="str">
        <x:v>automated signatures are JCS-specific; all other candidate application threads remain unattributed and ownership requires the archived full dump</x:v>
      </x:c>
    </x:row>
    <x:row r="301">
      <x:c r="A301" s="34" t="str">
        <x:v>article1-unified-v4-2-fb3f101b-20260903-000401-default-f03-p3-ehcache</x:v>
      </x:c>
      <x:c r="B301" s="34" t="str">
        <x:v>default</x:v>
      </x:c>
      <x:c r="C301" s="34" t="str">
        <x:v>ehcache</x:v>
      </x:c>
      <x:c r="D301" s="36" t="n">
        <x:v>3</x:v>
      </x:c>
      <x:c r="E301" s="36" t="n">
        <x:v>3</x:v>
      </x:c>
      <x:c r="F301" s="36" t="n">
        <x:v>3</x:v>
      </x:c>
      <x:c r="G301" s="36" t="n">
        <x:v>5</x:v>
      </x:c>
      <x:c r="H301" s="34" t="str">
        <x:v>finalUndeployThreadEvidenceFinal</x:v>
      </x:c>
      <x:c r="I301" s="36" t="n">
        <x:v>2</x:v>
      </x:c>
      <x:c r="J301" s="34" t="str">
        <x:v>final</x:v>
      </x:c>
      <x:c r="K301" s="36" t="n">
        <x:v>27</x:v>
      </x:c>
      <x:c r="L301" s="51" t="n">
        <x:v>0</x:v>
      </x:c>
      <x:c r="M301" s="51" t="n">
        <x:v>0</x:v>
      </x:c>
      <x:c r="N301" s="36" t="n">
        <x:v>10</x:v>
      </x:c>
      <x:c r="O301" s="44" t="str">
        <x:v>http-nio-8080-exec-58#365 | http-nio-8080-exec-60#369 | http-nio-8080-exec-63#404 | http-nio-8080-exec-66#409 | http-nio-8080-exec-67#410 | http-nio-8080-exec-68#411 | http-nio-8080-exec-69#444 | http-nio-8080-exec-70#445 | http-nio-8080-exec-71#446 | http-nio-8080-exec-72#447</x:v>
      </x:c>
      <x:c r="P301" s="36" t="n">
        <x:v>9</x:v>
      </x:c>
      <x:c r="Q301" s="44" t="str">
        <x:v>http-nio-8080-exec-60#369 | http-nio-8080-exec-63#404 | http-nio-8080-exec-66#409 | http-nio-8080-exec-67#410 | http-nio-8080-exec-68#411 | http-nio-8080-exec-69#444 | http-nio-8080-exec-70#445 | http-nio-8080-exec-71#446 | http-nio-8080-exec-72#447</x:v>
      </x:c>
      <x:c r="R301" s="36" t="n">
        <x:v>0</x:v>
      </x:c>
      <x:c r="S301" s="44"/>
      <x:c r="T301" s="36" t="n">
        <x:v>0</x:v>
      </x:c>
      <x:c r="U301" s="44"/>
      <x:c r="V301" s="36" t="n">
        <x:v>0</x:v>
      </x:c>
      <x:c r="W301" s="44"/>
      <x:c r="X301" s="34" t="str">
        <x:v>no-post-undeploy-thread-signal</x:v>
      </x:c>
      <x:c r="Y301" s="44" t="str">
        <x:v>automated signatures are JCS-specific; all other candidate application threads remain unattributed and ownership requires the archived full dump</x:v>
      </x:c>
    </x:row>
    <x:row r="302">
      <x:c r="A302" s="34" t="str">
        <x:v>article1-unified-v4-2-fb3f101b-20260903-000401-default-f03-p4-jcs321</x:v>
      </x:c>
      <x:c r="B302" s="34" t="str">
        <x:v>default</x:v>
      </x:c>
      <x:c r="C302" s="34" t="str">
        <x:v>jcs321</x:v>
      </x:c>
      <x:c r="D302" s="36" t="n">
        <x:v>3</x:v>
      </x:c>
      <x:c r="E302" s="36" t="n">
        <x:v>3</x:v>
      </x:c>
      <x:c r="F302" s="36" t="n">
        <x:v>4</x:v>
      </x:c>
      <x:c r="G302" s="36" t="n">
        <x:v>1</x:v>
      </x:c>
      <x:c r="H302" s="34" t="str">
        <x:v>firstUndeployThreadEvidenceEarly</x:v>
      </x:c>
      <x:c r="I302" s="36" t="n">
        <x:v>1</x:v>
      </x:c>
      <x:c r="J302" s="34" t="str">
        <x:v>early</x:v>
      </x:c>
      <x:c r="K302" s="36" t="n">
        <x:v>28</x:v>
      </x:c>
      <x:c r="L302" s="51" t="n">
        <x:v>1</x:v>
      </x:c>
      <x:c r="M302" s="51" t="n">
        <x:v>1</x:v>
      </x:c>
      <x:c r="N302" s="36" t="n">
        <x:v>3</x:v>
      </x:c>
      <x:c r="O302" s="44" t="str">
        <x:v>JCS-ElementEventQueue-Thread-4#49 | http-nio-8080-exec-11#82 | http-nio-8080-exec-12#83</x:v>
      </x:c>
      <x:c r="P302" s="36" t="n">
        <x:v>3</x:v>
      </x:c>
      <x:c r="Q302" s="44" t="str">
        <x:v>JCS-ElementEventQueue-Thread-4#49 | http-nio-8080-exec-11#82 | http-nio-8080-exec-12#83</x:v>
      </x:c>
      <x:c r="R302" s="36" t="n">
        <x:v>1</x:v>
      </x:c>
      <x:c r="S302" s="44" t="str">
        <x:v>JCS-ElementEventQueue-Thread-4#49</x:v>
      </x:c>
      <x:c r="T302" s="36" t="n">
        <x:v>1</x:v>
      </x:c>
      <x:c r="U302" s="44" t="str">
        <x:v>JCS-ElementEventQueue-Thread-4#49</x:v>
      </x:c>
      <x:c r="V302" s="36" t="n">
        <x:v>1</x:v>
      </x:c>
      <x:c r="W302" s="44" t="str">
        <x:v>jcs3-element-event-queue:JCS-ElementEventQueue-Thread-4#49</x:v>
      </x:c>
      <x:c r="X302" s="34" t="str">
        <x:v>jcs-signature-present</x:v>
      </x:c>
      <x:c r="Y302" s="44" t="str">
        <x:v>automated signatures are JCS-specific; all other candidate application threads remain unattributed and ownership requires the archived full dump</x:v>
      </x:c>
    </x:row>
    <x:row r="303">
      <x:c r="A303" s="34" t="str">
        <x:v>article1-unified-v4-2-fb3f101b-20260903-000401-default-f03-p4-jcs321</x:v>
      </x:c>
      <x:c r="B303" s="34" t="str">
        <x:v>default</x:v>
      </x:c>
      <x:c r="C303" s="34" t="str">
        <x:v>jcs321</x:v>
      </x:c>
      <x:c r="D303" s="36" t="n">
        <x:v>3</x:v>
      </x:c>
      <x:c r="E303" s="36" t="n">
        <x:v>3</x:v>
      </x:c>
      <x:c r="F303" s="36" t="n">
        <x:v>4</x:v>
      </x:c>
      <x:c r="G303" s="36" t="n">
        <x:v>1</x:v>
      </x:c>
      <x:c r="H303" s="34" t="str">
        <x:v>firstUndeployThreadEvidenceFinal</x:v>
      </x:c>
      <x:c r="I303" s="36" t="n">
        <x:v>1</x:v>
      </x:c>
      <x:c r="J303" s="34" t="str">
        <x:v>final</x:v>
      </x:c>
      <x:c r="K303" s="36" t="n">
        <x:v>28</x:v>
      </x:c>
      <x:c r="L303" s="51" t="n">
        <x:v>1</x:v>
      </x:c>
      <x:c r="M303" s="51" t="n">
        <x:v>1</x:v>
      </x:c>
      <x:c r="N303" s="36" t="n">
        <x:v>4</x:v>
      </x:c>
      <x:c r="O303" s="44" t="str">
        <x:v>JCS-ElementEventQueue-Thread-4#49 | http-nio-8080-exec-11#82 | http-nio-8080-exec-12#83 | http-nio-8080-exec-13#84</x:v>
      </x:c>
      <x:c r="P303" s="36" t="n">
        <x:v>4</x:v>
      </x:c>
      <x:c r="Q303" s="44" t="str">
        <x:v>JCS-ElementEventQueue-Thread-4#49 | http-nio-8080-exec-11#82 | http-nio-8080-exec-12#83 | http-nio-8080-exec-13#84</x:v>
      </x:c>
      <x:c r="R303" s="36" t="n">
        <x:v>1</x:v>
      </x:c>
      <x:c r="S303" s="44" t="str">
        <x:v>JCS-ElementEventQueue-Thread-4#49</x:v>
      </x:c>
      <x:c r="T303" s="36" t="n">
        <x:v>1</x:v>
      </x:c>
      <x:c r="U303" s="44" t="str">
        <x:v>JCS-ElementEventQueue-Thread-4#49</x:v>
      </x:c>
      <x:c r="V303" s="36" t="n">
        <x:v>1</x:v>
      </x:c>
      <x:c r="W303" s="44" t="str">
        <x:v>jcs3-element-event-queue:JCS-ElementEventQueue-Thread-4#49</x:v>
      </x:c>
      <x:c r="X303" s="34" t="str">
        <x:v>jcs-signature-present</x:v>
      </x:c>
      <x:c r="Y303" s="44" t="str">
        <x:v>automated signatures are JCS-specific; all other candidate application threads remain unattributed and ownership requires the archived full dump</x:v>
      </x:c>
    </x:row>
    <x:row r="304">
      <x:c r="A304" s="34" t="str">
        <x:v>article1-unified-v4-2-fb3f101b-20260903-000401-default-f03-p4-jcs321</x:v>
      </x:c>
      <x:c r="B304" s="34" t="str">
        <x:v>default</x:v>
      </x:c>
      <x:c r="C304" s="34" t="str">
        <x:v>jcs321</x:v>
      </x:c>
      <x:c r="D304" s="36" t="n">
        <x:v>3</x:v>
      </x:c>
      <x:c r="E304" s="36" t="n">
        <x:v>3</x:v>
      </x:c>
      <x:c r="F304" s="36" t="n">
        <x:v>4</x:v>
      </x:c>
      <x:c r="G304" s="36" t="n">
        <x:v>1</x:v>
      </x:c>
      <x:c r="H304" s="34" t="str">
        <x:v>finalUndeployThreadEvidenceEarly</x:v>
      </x:c>
      <x:c r="I304" s="36" t="n">
        <x:v>2</x:v>
      </x:c>
      <x:c r="J304" s="34" t="str">
        <x:v>early</x:v>
      </x:c>
      <x:c r="K304" s="36" t="n">
        <x:v>29</x:v>
      </x:c>
      <x:c r="L304" s="51" t="n">
        <x:v>2</x:v>
      </x:c>
      <x:c r="M304" s="51" t="n">
        <x:v>2</x:v>
      </x:c>
      <x:c r="N304" s="36" t="n">
        <x:v>10</x:v>
      </x:c>
      <x:c r="O304" s="44" t="str">
        <x:v>JCS-ElementEventQueue-Thread-4#49 | http-nio-8080-exec-11#82 | http-nio-8080-exec-13#84 | http-nio-8080-exec-14#87 | http-nio-8080-exec-15#88 | http-nio-8080-exec-16#89 | JCS-ElementEventQueue-Thread-7#91 | http-nio-8080-exec-17#124 | http-nio-8080-exec-18#125 | http-nio-8080-exec-19#126</x:v>
      </x:c>
      <x:c r="P304" s="36" t="n">
        <x:v>10</x:v>
      </x:c>
      <x:c r="Q304" s="44" t="str">
        <x:v>JCS-ElementEventQueue-Thread-4#49 | http-nio-8080-exec-11#82 | http-nio-8080-exec-13#84 | http-nio-8080-exec-14#87 | http-nio-8080-exec-15#88 | http-nio-8080-exec-16#89 | JCS-ElementEventQueue-Thread-7#91 | http-nio-8080-exec-17#124 | http-nio-8080-exec-18#125 | http-nio-8080-exec-19#126</x:v>
      </x:c>
      <x:c r="R304" s="36" t="n">
        <x:v>2</x:v>
      </x:c>
      <x:c r="S304" s="44" t="str">
        <x:v>JCS-ElementEventQueue-Thread-4#49 | JCS-ElementEventQueue-Thread-7#91</x:v>
      </x:c>
      <x:c r="T304" s="36" t="n">
        <x:v>2</x:v>
      </x:c>
      <x:c r="U304" s="44" t="str">
        <x:v>JCS-ElementEventQueue-Thread-4#49 | JCS-ElementEventQueue-Thread-7#91</x:v>
      </x:c>
      <x:c r="V304" s="36" t="n">
        <x:v>2</x:v>
      </x:c>
      <x:c r="W304" s="44" t="str">
        <x:v>jcs3-element-event-queue:JCS-ElementEventQueue-Thread-4#49 | jcs3-element-event-queue:JCS-ElementEventQueue-Thread-7#91</x:v>
      </x:c>
      <x:c r="X304" s="34" t="str">
        <x:v>jcs-signature-present</x:v>
      </x:c>
      <x:c r="Y304" s="44" t="str">
        <x:v>automated signatures are JCS-specific; all other candidate application threads remain unattributed and ownership requires the archived full dump</x:v>
      </x:c>
    </x:row>
    <x:row r="305">
      <x:c r="A305" s="34" t="str">
        <x:v>article1-unified-v4-2-fb3f101b-20260903-000401-default-f03-p4-jcs321</x:v>
      </x:c>
      <x:c r="B305" s="34" t="str">
        <x:v>default</x:v>
      </x:c>
      <x:c r="C305" s="34" t="str">
        <x:v>jcs321</x:v>
      </x:c>
      <x:c r="D305" s="36" t="n">
        <x:v>3</x:v>
      </x:c>
      <x:c r="E305" s="36" t="n">
        <x:v>3</x:v>
      </x:c>
      <x:c r="F305" s="36" t="n">
        <x:v>4</x:v>
      </x:c>
      <x:c r="G305" s="36" t="n">
        <x:v>1</x:v>
      </x:c>
      <x:c r="H305" s="34" t="str">
        <x:v>finalUndeployThreadEvidenceFinal</x:v>
      </x:c>
      <x:c r="I305" s="36" t="n">
        <x:v>2</x:v>
      </x:c>
      <x:c r="J305" s="34" t="str">
        <x:v>final</x:v>
      </x:c>
      <x:c r="K305" s="36" t="n">
        <x:v>29</x:v>
      </x:c>
      <x:c r="L305" s="51" t="n">
        <x:v>2</x:v>
      </x:c>
      <x:c r="M305" s="51" t="n">
        <x:v>2</x:v>
      </x:c>
      <x:c r="N305" s="36" t="n">
        <x:v>10</x:v>
      </x:c>
      <x:c r="O305" s="44" t="str">
        <x:v>JCS-ElementEventQueue-Thread-4#49 | http-nio-8080-exec-11#82 | http-nio-8080-exec-13#84 | http-nio-8080-exec-14#87 | http-nio-8080-exec-15#88 | http-nio-8080-exec-16#89 | JCS-ElementEventQueue-Thread-7#91 | http-nio-8080-exec-18#125 | http-nio-8080-exec-19#126 | http-nio-8080-exec-20#127</x:v>
      </x:c>
      <x:c r="P305" s="36" t="n">
        <x:v>10</x:v>
      </x:c>
      <x:c r="Q305" s="44" t="str">
        <x:v>JCS-ElementEventQueue-Thread-4#49 | http-nio-8080-exec-11#82 | http-nio-8080-exec-13#84 | http-nio-8080-exec-14#87 | http-nio-8080-exec-15#88 | http-nio-8080-exec-16#89 | JCS-ElementEventQueue-Thread-7#91 | http-nio-8080-exec-18#125 | http-nio-8080-exec-19#126 | http-nio-8080-exec-20#127</x:v>
      </x:c>
      <x:c r="R305" s="36" t="n">
        <x:v>2</x:v>
      </x:c>
      <x:c r="S305" s="44" t="str">
        <x:v>JCS-ElementEventQueue-Thread-4#49 | JCS-ElementEventQueue-Thread-7#91</x:v>
      </x:c>
      <x:c r="T305" s="36" t="n">
        <x:v>2</x:v>
      </x:c>
      <x:c r="U305" s="44" t="str">
        <x:v>JCS-ElementEventQueue-Thread-4#49 | JCS-ElementEventQueue-Thread-7#91</x:v>
      </x:c>
      <x:c r="V305" s="36" t="n">
        <x:v>2</x:v>
      </x:c>
      <x:c r="W305" s="44" t="str">
        <x:v>jcs3-element-event-queue:JCS-ElementEventQueue-Thread-4#49 | jcs3-element-event-queue:JCS-ElementEventQueue-Thread-7#91</x:v>
      </x:c>
      <x:c r="X305" s="34" t="str">
        <x:v>jcs-signature-present</x:v>
      </x:c>
      <x:c r="Y305" s="44" t="str">
        <x:v>automated signatures are JCS-specific; all other candidate application threads remain unattributed and ownership requires the archived full dump</x:v>
      </x:c>
    </x:row>
    <x:row r="306">
      <x:c r="A306" s="34" t="str">
        <x:v>article1-unified-v4-2-fb3f101b-20260903-000401-default-f03-p4-jcs321</x:v>
      </x:c>
      <x:c r="B306" s="34" t="str">
        <x:v>default</x:v>
      </x:c>
      <x:c r="C306" s="34" t="str">
        <x:v>jcs321</x:v>
      </x:c>
      <x:c r="D306" s="36" t="n">
        <x:v>3</x:v>
      </x:c>
      <x:c r="E306" s="36" t="n">
        <x:v>3</x:v>
      </x:c>
      <x:c r="F306" s="36" t="n">
        <x:v>4</x:v>
      </x:c>
      <x:c r="G306" s="36" t="n">
        <x:v>2</x:v>
      </x:c>
      <x:c r="H306" s="34" t="str">
        <x:v>firstUndeployThreadEvidenceEarly</x:v>
      </x:c>
      <x:c r="I306" s="36" t="n">
        <x:v>1</x:v>
      </x:c>
      <x:c r="J306" s="34" t="str">
        <x:v>early</x:v>
      </x:c>
      <x:c r="K306" s="36" t="n">
        <x:v>30</x:v>
      </x:c>
      <x:c r="L306" s="51" t="n">
        <x:v>3</x:v>
      </x:c>
      <x:c r="M306" s="51" t="n">
        <x:v>1</x:v>
      </x:c>
      <x:c r="N306" s="36" t="n">
        <x:v>13</x:v>
      </x:c>
      <x:c r="O306" s="44" t="str">
        <x:v>JCS-ElementEventQueue-Thread-4#49 | http-nio-8080-exec-13#84 | http-nio-8080-exec-15#88 | http-nio-8080-exec-16#89 | JCS-ElementEventQueue-Thread-7#91 | http-nio-8080-exec-18#125 | http-nio-8080-exec-19#126 | http-nio-8080-exec-20#127 | http-nio-8080-exec-22#131 | JCS-ElementEventQueue-Thread-10#133 | http-nio-8080-exec-23#166 | http-nio-8080-exec-24#167 | http-nio-8080-exec-25#168</x:v>
      </x:c>
      <x:c r="P306" s="36" t="n">
        <x:v>5</x:v>
      </x:c>
      <x:c r="Q306" s="44" t="str">
        <x:v>http-nio-8080-exec-22#131 | JCS-ElementEventQueue-Thread-10#133 | http-nio-8080-exec-23#166 | http-nio-8080-exec-24#167 | http-nio-8080-exec-25#168</x:v>
      </x:c>
      <x:c r="R306" s="36" t="n">
        <x:v>3</x:v>
      </x:c>
      <x:c r="S306" s="44" t="str">
        <x:v>JCS-ElementEventQueue-Thread-4#49 | JCS-ElementEventQueue-Thread-7#91 | JCS-ElementEventQueue-Thread-10#133</x:v>
      </x:c>
      <x:c r="T306" s="36" t="n">
        <x:v>1</x:v>
      </x:c>
      <x:c r="U306" s="44" t="str">
        <x:v>JCS-ElementEventQueue-Thread-10#133</x:v>
      </x:c>
      <x:c r="V306" s="36" t="n">
        <x:v>3</x:v>
      </x:c>
      <x:c r="W306" s="44" t="str">
        <x:v>jcs3-element-event-queue:JCS-ElementEventQueue-Thread-4#49 | jcs3-element-event-queue:JCS-ElementEventQueue-Thread-7#91 | jcs3-element-event-queue:JCS-ElementEventQueue-Thread-10#133</x:v>
      </x:c>
      <x:c r="X306" s="34" t="str">
        <x:v>jcs-signature-present</x:v>
      </x:c>
      <x:c r="Y306" s="44" t="str">
        <x:v>automated signatures are JCS-specific; all other candidate application threads remain unattributed and ownership requires the archived full dump</x:v>
      </x:c>
    </x:row>
    <x:row r="307">
      <x:c r="A307" s="34" t="str">
        <x:v>article1-unified-v4-2-fb3f101b-20260903-000401-default-f03-p4-jcs321</x:v>
      </x:c>
      <x:c r="B307" s="34" t="str">
        <x:v>default</x:v>
      </x:c>
      <x:c r="C307" s="34" t="str">
        <x:v>jcs321</x:v>
      </x:c>
      <x:c r="D307" s="36" t="n">
        <x:v>3</x:v>
      </x:c>
      <x:c r="E307" s="36" t="n">
        <x:v>3</x:v>
      </x:c>
      <x:c r="F307" s="36" t="n">
        <x:v>4</x:v>
      </x:c>
      <x:c r="G307" s="36" t="n">
        <x:v>2</x:v>
      </x:c>
      <x:c r="H307" s="34" t="str">
        <x:v>firstUndeployThreadEvidenceFinal</x:v>
      </x:c>
      <x:c r="I307" s="36" t="n">
        <x:v>1</x:v>
      </x:c>
      <x:c r="J307" s="34" t="str">
        <x:v>final</x:v>
      </x:c>
      <x:c r="K307" s="36" t="n">
        <x:v>30</x:v>
      </x:c>
      <x:c r="L307" s="51" t="n">
        <x:v>3</x:v>
      </x:c>
      <x:c r="M307" s="51" t="n">
        <x:v>1</x:v>
      </x:c>
      <x:c r="N307" s="36" t="n">
        <x:v>13</x:v>
      </x:c>
      <x:c r="O307" s="44" t="str">
        <x:v>JCS-ElementEventQueue-Thread-4#49 | http-nio-8080-exec-13#84 | http-nio-8080-exec-15#88 | http-nio-8080-exec-16#89 | JCS-ElementEventQueue-Thread-7#91 | http-nio-8080-exec-18#125 | http-nio-8080-exec-19#126 | http-nio-8080-exec-20#127 | JCS-ElementEventQueue-Thread-10#133 | http-nio-8080-exec-23#166 | http-nio-8080-exec-24#167 | http-nio-8080-exec-25#168 | http-nio-8080-exec-26#169</x:v>
      </x:c>
      <x:c r="P307" s="36" t="n">
        <x:v>5</x:v>
      </x:c>
      <x:c r="Q307" s="44" t="str">
        <x:v>JCS-ElementEventQueue-Thread-10#133 | http-nio-8080-exec-23#166 | http-nio-8080-exec-24#167 | http-nio-8080-exec-25#168 | http-nio-8080-exec-26#169</x:v>
      </x:c>
      <x:c r="R307" s="36" t="n">
        <x:v>3</x:v>
      </x:c>
      <x:c r="S307" s="44" t="str">
        <x:v>JCS-ElementEventQueue-Thread-4#49 | JCS-ElementEventQueue-Thread-7#91 | JCS-ElementEventQueue-Thread-10#133</x:v>
      </x:c>
      <x:c r="T307" s="36" t="n">
        <x:v>1</x:v>
      </x:c>
      <x:c r="U307" s="44" t="str">
        <x:v>JCS-ElementEventQueue-Thread-10#133</x:v>
      </x:c>
      <x:c r="V307" s="36" t="n">
        <x:v>3</x:v>
      </x:c>
      <x:c r="W307" s="44" t="str">
        <x:v>jcs3-element-event-queue:JCS-ElementEventQueue-Thread-4#49 | jcs3-element-event-queue:JCS-ElementEventQueue-Thread-7#91 | jcs3-element-event-queue:JCS-ElementEventQueue-Thread-10#133</x:v>
      </x:c>
      <x:c r="X307" s="34" t="str">
        <x:v>jcs-signature-present</x:v>
      </x:c>
      <x:c r="Y307" s="44" t="str">
        <x:v>automated signatures are JCS-specific; all other candidate application threads remain unattributed and ownership requires the archived full dump</x:v>
      </x:c>
    </x:row>
    <x:row r="308">
      <x:c r="A308" s="34" t="str">
        <x:v>article1-unified-v4-2-fb3f101b-20260903-000401-default-f03-p4-jcs321</x:v>
      </x:c>
      <x:c r="B308" s="34" t="str">
        <x:v>default</x:v>
      </x:c>
      <x:c r="C308" s="34" t="str">
        <x:v>jcs321</x:v>
      </x:c>
      <x:c r="D308" s="36" t="n">
        <x:v>3</x:v>
      </x:c>
      <x:c r="E308" s="36" t="n">
        <x:v>3</x:v>
      </x:c>
      <x:c r="F308" s="36" t="n">
        <x:v>4</x:v>
      </x:c>
      <x:c r="G308" s="36" t="n">
        <x:v>2</x:v>
      </x:c>
      <x:c r="H308" s="34" t="str">
        <x:v>finalUndeployThreadEvidenceEarly</x:v>
      </x:c>
      <x:c r="I308" s="36" t="n">
        <x:v>2</x:v>
      </x:c>
      <x:c r="J308" s="34" t="str">
        <x:v>early</x:v>
      </x:c>
      <x:c r="K308" s="36" t="n">
        <x:v>31</x:v>
      </x:c>
      <x:c r="L308" s="51" t="n">
        <x:v>4</x:v>
      </x:c>
      <x:c r="M308" s="51" t="n">
        <x:v>2</x:v>
      </x:c>
      <x:c r="N308" s="36" t="n">
        <x:v>14</x:v>
      </x:c>
      <x:c r="O308" s="44" t="str">
        <x:v>JCS-ElementEventQueue-Thread-4#49 | http-nio-8080-exec-15#88 | JCS-ElementEventQueue-Thread-7#91 | http-nio-8080-exec-20#127 | JCS-ElementEventQueue-Thread-10#133 | http-nio-8080-exec-24#167 | http-nio-8080-exec-25#168 | http-nio-8080-exec-27#172 | http-nio-8080-exec-28#173 | http-nio-8080-exec-29#174 | JCS-ElementEventQueue-Thread-13#176 | http-nio-8080-exec-30#209 | http-nio-8080-exec-31#210 | http-nio-8080-exec-32#211</x:v>
      </x:c>
      <x:c r="P308" s="36" t="n">
        <x:v>10</x:v>
      </x:c>
      <x:c r="Q308" s="44" t="str">
        <x:v>JCS-ElementEventQueue-Thread-10#133 | http-nio-8080-exec-24#167 | http-nio-8080-exec-25#168 | http-nio-8080-exec-27#172 | http-nio-8080-exec-28#173 | http-nio-8080-exec-29#174 | JCS-ElementEventQueue-Thread-13#176 | http-nio-8080-exec-30#209 | http-nio-8080-exec-31#210 | http-nio-8080-exec-32#211</x:v>
      </x:c>
      <x:c r="R308" s="36" t="n">
        <x:v>4</x:v>
      </x:c>
      <x:c r="S308" s="44" t="str">
        <x:v>JCS-ElementEventQueue-Thread-4#49 | JCS-ElementEventQueue-Thread-7#91 | JCS-ElementEventQueue-Thread-10#133 | JCS-ElementEventQueue-Thread-13#176</x:v>
      </x:c>
      <x:c r="T308" s="36" t="n">
        <x:v>2</x:v>
      </x:c>
      <x:c r="U308" s="44" t="str">
        <x:v>JCS-ElementEventQueue-Thread-10#133 | JCS-ElementEventQueue-Thread-13#176</x:v>
      </x:c>
      <x:c r="V308" s="36" t="n">
        <x:v>4</x:v>
      </x:c>
      <x:c r="W30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308" s="34" t="str">
        <x:v>jcs-signature-present</x:v>
      </x:c>
      <x:c r="Y308" s="44" t="str">
        <x:v>automated signatures are JCS-specific; all other candidate application threads remain unattributed and ownership requires the archived full dump</x:v>
      </x:c>
    </x:row>
    <x:row r="309">
      <x:c r="A309" s="34" t="str">
        <x:v>article1-unified-v4-2-fb3f101b-20260903-000401-default-f03-p4-jcs321</x:v>
      </x:c>
      <x:c r="B309" s="34" t="str">
        <x:v>default</x:v>
      </x:c>
      <x:c r="C309" s="34" t="str">
        <x:v>jcs321</x:v>
      </x:c>
      <x:c r="D309" s="36" t="n">
        <x:v>3</x:v>
      </x:c>
      <x:c r="E309" s="36" t="n">
        <x:v>3</x:v>
      </x:c>
      <x:c r="F309" s="36" t="n">
        <x:v>4</x:v>
      </x:c>
      <x:c r="G309" s="36" t="n">
        <x:v>2</x:v>
      </x:c>
      <x:c r="H309" s="34" t="str">
        <x:v>finalUndeployThreadEvidenceFinal</x:v>
      </x:c>
      <x:c r="I309" s="36" t="n">
        <x:v>2</x:v>
      </x:c>
      <x:c r="J309" s="34" t="str">
        <x:v>final</x:v>
      </x:c>
      <x:c r="K309" s="36" t="n">
        <x:v>31</x:v>
      </x:c>
      <x:c r="L309" s="51" t="n">
        <x:v>4</x:v>
      </x:c>
      <x:c r="M309" s="51" t="n">
        <x:v>2</x:v>
      </x:c>
      <x:c r="N309" s="36" t="n">
        <x:v>14</x:v>
      </x:c>
      <x:c r="O309" s="44" t="str">
        <x:v>JCS-ElementEventQueue-Thread-4#49 | http-nio-8080-exec-15#88 | JCS-ElementEventQueue-Thread-7#91 | JCS-ElementEventQueue-Thread-10#133 | http-nio-8080-exec-24#167 | http-nio-8080-exec-25#168 | http-nio-8080-exec-27#172 | http-nio-8080-exec-28#173 | http-nio-8080-exec-29#174 | JCS-ElementEventQueue-Thread-13#176 | http-nio-8080-exec-30#209 | http-nio-8080-exec-31#210 | http-nio-8080-exec-32#211 | http-nio-8080-exec-33#212</x:v>
      </x:c>
      <x:c r="P309" s="36" t="n">
        <x:v>11</x:v>
      </x:c>
      <x:c r="Q309" s="44" t="str">
        <x:v>JCS-ElementEventQueue-Thread-10#133 | http-nio-8080-exec-24#167 | http-nio-8080-exec-25#168 | http-nio-8080-exec-27#172 | http-nio-8080-exec-28#173 | http-nio-8080-exec-29#174 | JCS-ElementEventQueue-Thread-13#176 | http-nio-8080-exec-30#209 | http-nio-8080-exec-31#210 | http-nio-8080-exec-32#211 | http-nio-8080-exec-33#212</x:v>
      </x:c>
      <x:c r="R309" s="36" t="n">
        <x:v>4</x:v>
      </x:c>
      <x:c r="S309" s="44" t="str">
        <x:v>JCS-ElementEventQueue-Thread-4#49 | JCS-ElementEventQueue-Thread-7#91 | JCS-ElementEventQueue-Thread-10#133 | JCS-ElementEventQueue-Thread-13#176</x:v>
      </x:c>
      <x:c r="T309" s="36" t="n">
        <x:v>2</x:v>
      </x:c>
      <x:c r="U309" s="44" t="str">
        <x:v>JCS-ElementEventQueue-Thread-10#133 | JCS-ElementEventQueue-Thread-13#176</x:v>
      </x:c>
      <x:c r="V309" s="36" t="n">
        <x:v>4</x:v>
      </x:c>
      <x:c r="W30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309" s="34" t="str">
        <x:v>jcs-signature-present</x:v>
      </x:c>
      <x:c r="Y309" s="44" t="str">
        <x:v>automated signatures are JCS-specific; all other candidate application threads remain unattributed and ownership requires the archived full dump</x:v>
      </x:c>
    </x:row>
    <x:row r="310">
      <x:c r="A310" s="34" t="str">
        <x:v>article1-unified-v4-2-fb3f101b-20260903-000401-default-f03-p4-jcs321</x:v>
      </x:c>
      <x:c r="B310" s="34" t="str">
        <x:v>default</x:v>
      </x:c>
      <x:c r="C310" s="34" t="str">
        <x:v>jcs321</x:v>
      </x:c>
      <x:c r="D310" s="36" t="n">
        <x:v>3</x:v>
      </x:c>
      <x:c r="E310" s="36" t="n">
        <x:v>3</x:v>
      </x:c>
      <x:c r="F310" s="36" t="n">
        <x:v>4</x:v>
      </x:c>
      <x:c r="G310" s="36" t="n">
        <x:v>3</x:v>
      </x:c>
      <x:c r="H310" s="34" t="str">
        <x:v>firstUndeployThreadEvidenceEarly</x:v>
      </x:c>
      <x:c r="I310" s="36" t="n">
        <x:v>1</x:v>
      </x:c>
      <x:c r="J310" s="34" t="str">
        <x:v>early</x:v>
      </x:c>
      <x:c r="K310" s="36" t="n">
        <x:v>32</x:v>
      </x:c>
      <x:c r="L310" s="51" t="n">
        <x:v>5</x:v>
      </x:c>
      <x:c r="M310" s="51" t="n">
        <x:v>1</x:v>
      </x:c>
      <x:c r="N310" s="36" t="n">
        <x:v>15</x:v>
      </x:c>
      <x:c r="O310" s="44" t="str">
        <x:v>JCS-ElementEventQueue-Thread-4#49 | http-nio-8080-exec-15#88 | JCS-ElementEventQueue-Thread-7#91 | JCS-ElementEventQueue-Thread-10#133 | http-nio-8080-exec-27#172 | http-nio-8080-exec-29#174 | JCS-ElementEventQueue-Thread-13#176 | http-nio-8080-exec-31#210 | http-nio-8080-exec-32#211 | http-nio-8080-exec-33#212 | http-nio-8080-exec-34#215 | http-nio-8080-exec-35#216 | JCS-ElementEventQueue-Thread-16#218 | http-nio-8080-exec-37#252 | http-nio-8080-exec-38#253</x:v>
      </x:c>
      <x:c r="P310" s="36" t="n">
        <x:v>5</x:v>
      </x:c>
      <x:c r="Q310" s="44" t="str">
        <x:v>http-nio-8080-exec-34#215 | http-nio-8080-exec-35#216 | JCS-ElementEventQueue-Thread-16#218 | http-nio-8080-exec-37#252 | http-nio-8080-exec-38#253</x:v>
      </x:c>
      <x:c r="R310" s="36" t="n">
        <x:v>5</x:v>
      </x:c>
      <x:c r="S310" s="44" t="str">
        <x:v>JCS-ElementEventQueue-Thread-4#49 | JCS-ElementEventQueue-Thread-7#91 | JCS-ElementEventQueue-Thread-10#133 | JCS-ElementEventQueue-Thread-13#176 | JCS-ElementEventQueue-Thread-16#218</x:v>
      </x:c>
      <x:c r="T310" s="36" t="n">
        <x:v>1</x:v>
      </x:c>
      <x:c r="U310" s="44" t="str">
        <x:v>JCS-ElementEventQueue-Thread-16#218</x:v>
      </x:c>
      <x:c r="V310" s="36" t="n">
        <x:v>5</x:v>
      </x:c>
      <x:c r="W31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310" s="34" t="str">
        <x:v>jcs-signature-present</x:v>
      </x:c>
      <x:c r="Y310" s="44" t="str">
        <x:v>automated signatures are JCS-specific; all other candidate application threads remain unattributed and ownership requires the archived full dump</x:v>
      </x:c>
    </x:row>
    <x:row r="311">
      <x:c r="A311" s="34" t="str">
        <x:v>article1-unified-v4-2-fb3f101b-20260903-000401-default-f03-p4-jcs321</x:v>
      </x:c>
      <x:c r="B311" s="34" t="str">
        <x:v>default</x:v>
      </x:c>
      <x:c r="C311" s="34" t="str">
        <x:v>jcs321</x:v>
      </x:c>
      <x:c r="D311" s="36" t="n">
        <x:v>3</x:v>
      </x:c>
      <x:c r="E311" s="36" t="n">
        <x:v>3</x:v>
      </x:c>
      <x:c r="F311" s="36" t="n">
        <x:v>4</x:v>
      </x:c>
      <x:c r="G311" s="36" t="n">
        <x:v>3</x:v>
      </x:c>
      <x:c r="H311" s="34" t="str">
        <x:v>firstUndeployThreadEvidenceFinal</x:v>
      </x:c>
      <x:c r="I311" s="36" t="n">
        <x:v>1</x:v>
      </x:c>
      <x:c r="J311" s="34" t="str">
        <x:v>final</x:v>
      </x:c>
      <x:c r="K311" s="36" t="n">
        <x:v>32</x:v>
      </x:c>
      <x:c r="L311" s="51" t="n">
        <x:v>5</x:v>
      </x:c>
      <x:c r="M311" s="51" t="n">
        <x:v>1</x:v>
      </x:c>
      <x:c r="N311" s="36" t="n">
        <x:v>15</x:v>
      </x:c>
      <x:c r="O311" s="44" t="str">
        <x:v>JCS-ElementEventQueue-Thread-4#49 | http-nio-8080-exec-15#88 | JCS-ElementEventQueue-Thread-7#91 | JCS-ElementEventQueue-Thread-10#133 | http-nio-8080-exec-27#172 | JCS-ElementEventQueue-Thread-13#176 | http-nio-8080-exec-31#210 | http-nio-8080-exec-32#211 | http-nio-8080-exec-33#212 | http-nio-8080-exec-34#215 | http-nio-8080-exec-35#216 | JCS-ElementEventQueue-Thread-16#218 | http-nio-8080-exec-37#252 | http-nio-8080-exec-38#253 | http-nio-8080-exec-39#254</x:v>
      </x:c>
      <x:c r="P311" s="36" t="n">
        <x:v>6</x:v>
      </x:c>
      <x:c r="Q311" s="44" t="str">
        <x:v>http-nio-8080-exec-34#215 | http-nio-8080-exec-35#216 | JCS-ElementEventQueue-Thread-16#218 | http-nio-8080-exec-37#252 | http-nio-8080-exec-38#253 | http-nio-8080-exec-39#254</x:v>
      </x:c>
      <x:c r="R311" s="36" t="n">
        <x:v>5</x:v>
      </x:c>
      <x:c r="S311" s="44" t="str">
        <x:v>JCS-ElementEventQueue-Thread-4#49 | JCS-ElementEventQueue-Thread-7#91 | JCS-ElementEventQueue-Thread-10#133 | JCS-ElementEventQueue-Thread-13#176 | JCS-ElementEventQueue-Thread-16#218</x:v>
      </x:c>
      <x:c r="T311" s="36" t="n">
        <x:v>1</x:v>
      </x:c>
      <x:c r="U311" s="44" t="str">
        <x:v>JCS-ElementEventQueue-Thread-16#218</x:v>
      </x:c>
      <x:c r="V311" s="36" t="n">
        <x:v>5</x:v>
      </x:c>
      <x:c r="W31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311" s="34" t="str">
        <x:v>jcs-signature-present</x:v>
      </x:c>
      <x:c r="Y311" s="44" t="str">
        <x:v>automated signatures are JCS-specific; all other candidate application threads remain unattributed and ownership requires the archived full dump</x:v>
      </x:c>
    </x:row>
    <x:row r="312">
      <x:c r="A312" s="34" t="str">
        <x:v>article1-unified-v4-2-fb3f101b-20260903-000401-default-f03-p4-jcs321</x:v>
      </x:c>
      <x:c r="B312" s="34" t="str">
        <x:v>default</x:v>
      </x:c>
      <x:c r="C312" s="34" t="str">
        <x:v>jcs321</x:v>
      </x:c>
      <x:c r="D312" s="36" t="n">
        <x:v>3</x:v>
      </x:c>
      <x:c r="E312" s="36" t="n">
        <x:v>3</x:v>
      </x:c>
      <x:c r="F312" s="36" t="n">
        <x:v>4</x:v>
      </x:c>
      <x:c r="G312" s="36" t="n">
        <x:v>3</x:v>
      </x:c>
      <x:c r="H312" s="34" t="str">
        <x:v>finalUndeployThreadEvidenceEarly</x:v>
      </x:c>
      <x:c r="I312" s="36" t="n">
        <x:v>2</x:v>
      </x:c>
      <x:c r="J312" s="34" t="str">
        <x:v>early</x:v>
      </x:c>
      <x:c r="K312" s="36" t="n">
        <x:v>33</x:v>
      </x:c>
      <x:c r="L312" s="51" t="n">
        <x:v>6</x:v>
      </x:c>
      <x:c r="M312" s="51" t="n">
        <x:v>2</x:v>
      </x:c>
      <x:c r="N312" s="36" t="n">
        <x:v>16</x:v>
      </x:c>
      <x:c r="O312" s="44" t="str">
        <x:v>JCS-ElementEventQueue-Thread-4#49 | JCS-ElementEventQueue-Thread-7#91 | JCS-ElementEventQueue-Thread-10#133 | http-nio-8080-exec-27#172 | JCS-ElementEventQueue-Thread-13#176 | http-nio-8080-exec-34#215 | JCS-ElementEventQueue-Thread-16#218 | http-nio-8080-exec-37#252 | http-nio-8080-exec-38#253 | http-nio-8080-exec-39#254 | http-nio-8080-exec-40#257 | http-nio-8080-exec-41#258 | http-nio-8080-exec-42#259 | JCS-ElementEventQueue-Thread-19#261 | http-nio-8080-exec-44#295 | http-nio-8080-exec-45#296</x:v>
      </x:c>
      <x:c r="P312" s="36" t="n">
        <x:v>11</x:v>
      </x:c>
      <x:c r="Q312" s="44" t="str">
        <x:v>http-nio-8080-exec-34#215 | JCS-ElementEventQueue-Thread-16#218 | http-nio-8080-exec-37#252 | http-nio-8080-exec-38#253 | http-nio-8080-exec-39#254 | http-nio-8080-exec-40#257 | http-nio-8080-exec-41#258 | http-nio-8080-exec-42#259 | JCS-ElementEventQueue-Thread-19#261 | http-nio-8080-exec-44#295 | http-nio-8080-exec-45#296</x:v>
      </x:c>
      <x:c r="R312" s="36" t="n">
        <x:v>6</x:v>
      </x:c>
      <x:c r="S312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312" s="36" t="n">
        <x:v>2</x:v>
      </x:c>
      <x:c r="U312" s="44" t="str">
        <x:v>JCS-ElementEventQueue-Thread-16#218 | JCS-ElementEventQueue-Thread-19#261</x:v>
      </x:c>
      <x:c r="V312" s="36" t="n">
        <x:v>6</x:v>
      </x:c>
      <x:c r="W31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312" s="34" t="str">
        <x:v>jcs-signature-present</x:v>
      </x:c>
      <x:c r="Y312" s="44" t="str">
        <x:v>automated signatures are JCS-specific; all other candidate application threads remain unattributed and ownership requires the archived full dump</x:v>
      </x:c>
    </x:row>
    <x:row r="313">
      <x:c r="A313" s="34" t="str">
        <x:v>article1-unified-v4-2-fb3f101b-20260903-000401-default-f03-p4-jcs321</x:v>
      </x:c>
      <x:c r="B313" s="34" t="str">
        <x:v>default</x:v>
      </x:c>
      <x:c r="C313" s="34" t="str">
        <x:v>jcs321</x:v>
      </x:c>
      <x:c r="D313" s="36" t="n">
        <x:v>3</x:v>
      </x:c>
      <x:c r="E313" s="36" t="n">
        <x:v>3</x:v>
      </x:c>
      <x:c r="F313" s="36" t="n">
        <x:v>4</x:v>
      </x:c>
      <x:c r="G313" s="36" t="n">
        <x:v>3</x:v>
      </x:c>
      <x:c r="H313" s="34" t="str">
        <x:v>finalUndeployThreadEvidenceFinal</x:v>
      </x:c>
      <x:c r="I313" s="36" t="n">
        <x:v>2</x:v>
      </x:c>
      <x:c r="J313" s="34" t="str">
        <x:v>final</x:v>
      </x:c>
      <x:c r="K313" s="36" t="n">
        <x:v>33</x:v>
      </x:c>
      <x:c r="L313" s="51" t="n">
        <x:v>6</x:v>
      </x:c>
      <x:c r="M313" s="51" t="n">
        <x:v>2</x:v>
      </x:c>
      <x:c r="N313" s="36" t="n">
        <x:v>16</x:v>
      </x:c>
      <x:c r="O313" s="44" t="str">
        <x:v>JCS-ElementEventQueue-Thread-4#49 | JCS-ElementEventQueue-Thread-7#91 | JCS-ElementEventQueue-Thread-10#133 | http-nio-8080-exec-27#172 | JCS-ElementEventQueue-Thread-13#176 | JCS-ElementEventQueue-Thread-16#218 | http-nio-8080-exec-37#252 | http-nio-8080-exec-38#253 | http-nio-8080-exec-39#254 | http-nio-8080-exec-40#257 | http-nio-8080-exec-41#258 | http-nio-8080-exec-42#259 | JCS-ElementEventQueue-Thread-19#261 | http-nio-8080-exec-44#295 | http-nio-8080-exec-45#296 | http-nio-8080-exec-46#297</x:v>
      </x:c>
      <x:c r="P313" s="36" t="n">
        <x:v>11</x:v>
      </x:c>
      <x:c r="Q313" s="44" t="str">
        <x:v>JCS-ElementEventQueue-Thread-16#218 | http-nio-8080-exec-37#252 | http-nio-8080-exec-38#253 | http-nio-8080-exec-39#254 | http-nio-8080-exec-40#257 | http-nio-8080-exec-41#258 | http-nio-8080-exec-42#259 | JCS-ElementEventQueue-Thread-19#261 | http-nio-8080-exec-44#295 | http-nio-8080-exec-45#296 | http-nio-8080-exec-46#297</x:v>
      </x:c>
      <x:c r="R313" s="36" t="n">
        <x:v>6</x:v>
      </x:c>
      <x:c r="S313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313" s="36" t="n">
        <x:v>2</x:v>
      </x:c>
      <x:c r="U313" s="44" t="str">
        <x:v>JCS-ElementEventQueue-Thread-16#218 | JCS-ElementEventQueue-Thread-19#261</x:v>
      </x:c>
      <x:c r="V313" s="36" t="n">
        <x:v>6</x:v>
      </x:c>
      <x:c r="W31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313" s="34" t="str">
        <x:v>jcs-signature-present</x:v>
      </x:c>
      <x:c r="Y313" s="44" t="str">
        <x:v>automated signatures are JCS-specific; all other candidate application threads remain unattributed and ownership requires the archived full dump</x:v>
      </x:c>
    </x:row>
    <x:row r="314">
      <x:c r="A314" s="34" t="str">
        <x:v>article1-unified-v4-2-fb3f101b-20260903-000401-default-f03-p4-jcs321</x:v>
      </x:c>
      <x:c r="B314" s="34" t="str">
        <x:v>default</x:v>
      </x:c>
      <x:c r="C314" s="34" t="str">
        <x:v>jcs321</x:v>
      </x:c>
      <x:c r="D314" s="36" t="n">
        <x:v>3</x:v>
      </x:c>
      <x:c r="E314" s="36" t="n">
        <x:v>3</x:v>
      </x:c>
      <x:c r="F314" s="36" t="n">
        <x:v>4</x:v>
      </x:c>
      <x:c r="G314" s="36" t="n">
        <x:v>4</x:v>
      </x:c>
      <x:c r="H314" s="34" t="str">
        <x:v>firstUndeployThreadEvidenceEarly</x:v>
      </x:c>
      <x:c r="I314" s="36" t="n">
        <x:v>1</x:v>
      </x:c>
      <x:c r="J314" s="34" t="str">
        <x:v>early</x:v>
      </x:c>
      <x:c r="K314" s="36" t="n">
        <x:v>34</x:v>
      </x:c>
      <x:c r="L314" s="51" t="n">
        <x:v>7</x:v>
      </x:c>
      <x:c r="M314" s="51" t="n">
        <x:v>1</x:v>
      </x:c>
      <x:c r="N314" s="36" t="n">
        <x:v>17</x:v>
      </x:c>
      <x:c r="O314" s="44" t="str">
        <x:v>JCS-ElementEventQueue-Thread-4#49 | JCS-ElementEventQueue-Thread-7#91 | JCS-ElementEventQueue-Thread-10#133 | JCS-ElementEventQueue-Thread-13#176 | JCS-ElementEventQueue-Thread-16#218 | http-nio-8080-exec-37#252 | http-nio-8080-exec-38#253 | http-nio-8080-exec-42#259 | JCS-ElementEventQueue-Thread-19#261 | http-nio-8080-exec-44#295 | http-nio-8080-exec-45#296 | http-nio-8080-exec-46#297 | http-nio-8080-exec-47#300 | JCS-ElementEventQueue-Thread-22#303 | http-nio-8080-exec-49#336 | http-nio-8080-exec-50#337 | http-nio-8080-exec-51#338</x:v>
      </x:c>
      <x:c r="P314" s="36" t="n">
        <x:v>5</x:v>
      </x:c>
      <x:c r="Q314" s="44" t="str">
        <x:v>http-nio-8080-exec-47#300 | JCS-ElementEventQueue-Thread-22#303 | http-nio-8080-exec-49#336 | http-nio-8080-exec-50#337 | http-nio-8080-exec-51#338</x:v>
      </x:c>
      <x:c r="R314" s="36" t="n">
        <x:v>7</x:v>
      </x:c>
      <x:c r="S314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314" s="36" t="n">
        <x:v>1</x:v>
      </x:c>
      <x:c r="U314" s="44" t="str">
        <x:v>JCS-ElementEventQueue-Thread-22#303</x:v>
      </x:c>
      <x:c r="V314" s="36" t="n">
        <x:v>7</x:v>
      </x:c>
      <x:c r="W31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314" s="34" t="str">
        <x:v>jcs-signature-present</x:v>
      </x:c>
      <x:c r="Y314" s="44" t="str">
        <x:v>automated signatures are JCS-specific; all other candidate application threads remain unattributed and ownership requires the archived full dump</x:v>
      </x:c>
    </x:row>
    <x:row r="315">
      <x:c r="A315" s="34" t="str">
        <x:v>article1-unified-v4-2-fb3f101b-20260903-000401-default-f03-p4-jcs321</x:v>
      </x:c>
      <x:c r="B315" s="34" t="str">
        <x:v>default</x:v>
      </x:c>
      <x:c r="C315" s="34" t="str">
        <x:v>jcs321</x:v>
      </x:c>
      <x:c r="D315" s="36" t="n">
        <x:v>3</x:v>
      </x:c>
      <x:c r="E315" s="36" t="n">
        <x:v>3</x:v>
      </x:c>
      <x:c r="F315" s="36" t="n">
        <x:v>4</x:v>
      </x:c>
      <x:c r="G315" s="36" t="n">
        <x:v>4</x:v>
      </x:c>
      <x:c r="H315" s="34" t="str">
        <x:v>firstUndeployThreadEvidenceFinal</x:v>
      </x:c>
      <x:c r="I315" s="36" t="n">
        <x:v>1</x:v>
      </x:c>
      <x:c r="J315" s="34" t="str">
        <x:v>final</x:v>
      </x:c>
      <x:c r="K315" s="36" t="n">
        <x:v>34</x:v>
      </x:c>
      <x:c r="L315" s="51" t="n">
        <x:v>7</x:v>
      </x:c>
      <x:c r="M315" s="51" t="n">
        <x:v>1</x:v>
      </x:c>
      <x:c r="N315" s="36" t="n">
        <x:v>17</x:v>
      </x:c>
      <x:c r="O315" s="44" t="str">
        <x:v>JCS-ElementEventQueue-Thread-4#49 | JCS-ElementEventQueue-Thread-7#91 | JCS-ElementEventQueue-Thread-10#133 | JCS-ElementEventQueue-Thread-13#176 | JCS-ElementEventQueue-Thread-16#218 | http-nio-8080-exec-37#252 | http-nio-8080-exec-38#253 | http-nio-8080-exec-42#259 | JCS-ElementEventQueue-Thread-19#261 | http-nio-8080-exec-44#295 | http-nio-8080-exec-45#296 | http-nio-8080-exec-46#297 | http-nio-8080-exec-47#300 | JCS-ElementEventQueue-Thread-22#303 | http-nio-8080-exec-50#337 | http-nio-8080-exec-51#338 | http-nio-8080-exec-52#339</x:v>
      </x:c>
      <x:c r="P315" s="36" t="n">
        <x:v>5</x:v>
      </x:c>
      <x:c r="Q315" s="44" t="str">
        <x:v>http-nio-8080-exec-47#300 | JCS-ElementEventQueue-Thread-22#303 | http-nio-8080-exec-50#337 | http-nio-8080-exec-51#338 | http-nio-8080-exec-52#339</x:v>
      </x:c>
      <x:c r="R315" s="36" t="n">
        <x:v>7</x:v>
      </x:c>
      <x:c r="S315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315" s="36" t="n">
        <x:v>1</x:v>
      </x:c>
      <x:c r="U315" s="44" t="str">
        <x:v>JCS-ElementEventQueue-Thread-22#303</x:v>
      </x:c>
      <x:c r="V315" s="36" t="n">
        <x:v>7</x:v>
      </x:c>
      <x:c r="W31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315" s="34" t="str">
        <x:v>jcs-signature-present</x:v>
      </x:c>
      <x:c r="Y315" s="44" t="str">
        <x:v>automated signatures are JCS-specific; all other candidate application threads remain unattributed and ownership requires the archived full dump</x:v>
      </x:c>
    </x:row>
    <x:row r="316">
      <x:c r="A316" s="34" t="str">
        <x:v>article1-unified-v4-2-fb3f101b-20260903-000401-default-f03-p4-jcs321</x:v>
      </x:c>
      <x:c r="B316" s="34" t="str">
        <x:v>default</x:v>
      </x:c>
      <x:c r="C316" s="34" t="str">
        <x:v>jcs321</x:v>
      </x:c>
      <x:c r="D316" s="36" t="n">
        <x:v>3</x:v>
      </x:c>
      <x:c r="E316" s="36" t="n">
        <x:v>3</x:v>
      </x:c>
      <x:c r="F316" s="36" t="n">
        <x:v>4</x:v>
      </x:c>
      <x:c r="G316" s="36" t="n">
        <x:v>4</x:v>
      </x:c>
      <x:c r="H316" s="34" t="str">
        <x:v>finalUndeployThreadEvidenceEarly</x:v>
      </x:c>
      <x:c r="I316" s="36" t="n">
        <x:v>2</x:v>
      </x:c>
      <x:c r="J316" s="34" t="str">
        <x:v>early</x:v>
      </x:c>
      <x:c r="K316" s="36" t="n">
        <x:v>35</x:v>
      </x:c>
      <x:c r="L316" s="51" t="n">
        <x:v>8</x:v>
      </x:c>
      <x:c r="M316" s="51" t="n">
        <x:v>2</x:v>
      </x:c>
      <x:c r="N316" s="36" t="n">
        <x:v>18</x:v>
      </x:c>
      <x:c r="O316" s="44" t="str">
        <x:v>JCS-ElementEventQueue-Thread-4#49 | JCS-ElementEventQueue-Thread-7#91 | JCS-ElementEventQueue-Thread-10#133 | JCS-ElementEventQueue-Thread-13#176 | JCS-ElementEventQueue-Thread-16#218 | http-nio-8080-exec-37#252 | JCS-ElementEventQueue-Thread-19#261 | http-nio-8080-exec-45#296 | JCS-ElementEventQueue-Thread-22#303 | http-nio-8080-exec-50#337 | http-nio-8080-exec-51#338 | http-nio-8080-exec-52#339 | http-nio-8080-exec-54#343 | http-nio-8080-exec-55#344 | JCS-ElementEventQueue-Thread-25#346 | http-nio-8080-exec-56#379 | http-nio-8080-exec-57#380 | http-nio-8080-exec-58#381</x:v>
      </x:c>
      <x:c r="P316" s="36" t="n">
        <x:v>10</x:v>
      </x:c>
      <x:c r="Q316" s="44" t="str">
        <x:v>JCS-ElementEventQueue-Thread-22#303 | http-nio-8080-exec-50#337 | http-nio-8080-exec-51#338 | http-nio-8080-exec-52#339 | http-nio-8080-exec-54#343 | http-nio-8080-exec-55#344 | JCS-ElementEventQueue-Thread-25#346 | http-nio-8080-exec-56#379 | http-nio-8080-exec-57#380 | http-nio-8080-exec-58#381</x:v>
      </x:c>
      <x:c r="R316" s="36" t="n">
        <x:v>8</x:v>
      </x:c>
      <x:c r="S316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316" s="36" t="n">
        <x:v>2</x:v>
      </x:c>
      <x:c r="U316" s="44" t="str">
        <x:v>JCS-ElementEventQueue-Thread-22#303 | JCS-ElementEventQueue-Thread-25#346</x:v>
      </x:c>
      <x:c r="V316" s="36" t="n">
        <x:v>8</x:v>
      </x:c>
      <x:c r="W31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316" s="34" t="str">
        <x:v>jcs-signature-present</x:v>
      </x:c>
      <x:c r="Y316" s="44" t="str">
        <x:v>automated signatures are JCS-specific; all other candidate application threads remain unattributed and ownership requires the archived full dump</x:v>
      </x:c>
    </x:row>
    <x:row r="317">
      <x:c r="A317" s="34" t="str">
        <x:v>article1-unified-v4-2-fb3f101b-20260903-000401-default-f03-p4-jcs321</x:v>
      </x:c>
      <x:c r="B317" s="34" t="str">
        <x:v>default</x:v>
      </x:c>
      <x:c r="C317" s="34" t="str">
        <x:v>jcs321</x:v>
      </x:c>
      <x:c r="D317" s="36" t="n">
        <x:v>3</x:v>
      </x:c>
      <x:c r="E317" s="36" t="n">
        <x:v>3</x:v>
      </x:c>
      <x:c r="F317" s="36" t="n">
        <x:v>4</x:v>
      </x:c>
      <x:c r="G317" s="36" t="n">
        <x:v>4</x:v>
      </x:c>
      <x:c r="H317" s="34" t="str">
        <x:v>finalUndeployThreadEvidenceFinal</x:v>
      </x:c>
      <x:c r="I317" s="36" t="n">
        <x:v>2</x:v>
      </x:c>
      <x:c r="J317" s="34" t="str">
        <x:v>final</x:v>
      </x:c>
      <x:c r="K317" s="36" t="n">
        <x:v>35</x:v>
      </x:c>
      <x:c r="L317" s="51" t="n">
        <x:v>8</x:v>
      </x:c>
      <x:c r="M317" s="51" t="n">
        <x:v>2</x:v>
      </x:c>
      <x:c r="N317" s="36" t="n">
        <x:v>18</x:v>
      </x:c>
      <x:c r="O317" s="44" t="str">
        <x:v>JCS-ElementEventQueue-Thread-4#49 | JCS-ElementEventQueue-Thread-7#91 | JCS-ElementEventQueue-Thread-10#133 | JCS-ElementEventQueue-Thread-13#176 | JCS-ElementEventQueue-Thread-16#218 | JCS-ElementEventQueue-Thread-19#261 | http-nio-8080-exec-45#296 | JCS-ElementEventQueue-Thread-22#303 | http-nio-8080-exec-50#337 | http-nio-8080-exec-51#338 | http-nio-8080-exec-52#339 | http-nio-8080-exec-54#343 | http-nio-8080-exec-55#344 | JCS-ElementEventQueue-Thread-25#346 | http-nio-8080-exec-56#379 | http-nio-8080-exec-57#380 | http-nio-8080-exec-58#381 | http-nio-8080-exec-59#382</x:v>
      </x:c>
      <x:c r="P317" s="36" t="n">
        <x:v>11</x:v>
      </x:c>
      <x:c r="Q317" s="44" t="str">
        <x:v>JCS-ElementEventQueue-Thread-22#303 | http-nio-8080-exec-50#337 | http-nio-8080-exec-51#338 | http-nio-8080-exec-52#339 | http-nio-8080-exec-54#343 | http-nio-8080-exec-55#344 | JCS-ElementEventQueue-Thread-25#346 | http-nio-8080-exec-56#379 | http-nio-8080-exec-57#380 | http-nio-8080-exec-58#381 | http-nio-8080-exec-59#382</x:v>
      </x:c>
      <x:c r="R317" s="36" t="n">
        <x:v>8</x:v>
      </x:c>
      <x:c r="S317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317" s="36" t="n">
        <x:v>2</x:v>
      </x:c>
      <x:c r="U317" s="44" t="str">
        <x:v>JCS-ElementEventQueue-Thread-22#303 | JCS-ElementEventQueue-Thread-25#346</x:v>
      </x:c>
      <x:c r="V317" s="36" t="n">
        <x:v>8</x:v>
      </x:c>
      <x:c r="W31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317" s="34" t="str">
        <x:v>jcs-signature-present</x:v>
      </x:c>
      <x:c r="Y317" s="44" t="str">
        <x:v>automated signatures are JCS-specific; all other candidate application threads remain unattributed and ownership requires the archived full dump</x:v>
      </x:c>
    </x:row>
    <x:row r="318">
      <x:c r="A318" s="34" t="str">
        <x:v>article1-unified-v4-2-fb3f101b-20260903-000401-default-f03-p4-jcs321</x:v>
      </x:c>
      <x:c r="B318" s="34" t="str">
        <x:v>default</x:v>
      </x:c>
      <x:c r="C318" s="34" t="str">
        <x:v>jcs321</x:v>
      </x:c>
      <x:c r="D318" s="36" t="n">
        <x:v>3</x:v>
      </x:c>
      <x:c r="E318" s="36" t="n">
        <x:v>3</x:v>
      </x:c>
      <x:c r="F318" s="36" t="n">
        <x:v>4</x:v>
      </x:c>
      <x:c r="G318" s="36" t="n">
        <x:v>5</x:v>
      </x:c>
      <x:c r="H318" s="34" t="str">
        <x:v>firstUndeployThreadEvidenceEarly</x:v>
      </x:c>
      <x:c r="I318" s="36" t="n">
        <x:v>1</x:v>
      </x:c>
      <x:c r="J318" s="34" t="str">
        <x:v>early</x:v>
      </x:c>
      <x:c r="K318" s="36" t="n">
        <x:v>36</x:v>
      </x:c>
      <x:c r="L318" s="51" t="n">
        <x:v>9</x:v>
      </x:c>
      <x:c r="M318" s="51" t="n">
        <x:v>1</x:v>
      </x:c>
      <x:c r="N318" s="36" t="n">
        <x:v>19</x:v>
      </x:c>
      <x:c r="O31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http-nio-8080-exec-51#338 | JCS-ElementEventQueue-Thread-25#346 | http-nio-8080-exec-56#379 | http-nio-8080-exec-57#380 | http-nio-8080-exec-58#381 | http-nio-8080-exec-59#382 | http-nio-8080-exec-60#385 | http-nio-8080-exec-61#386 | JCS-ElementEventQueue-Thread-28#388 | http-nio-8080-exec-62#421 | http-nio-8080-exec-63#422 | http-nio-8080-exec-64#423</x:v>
      </x:c>
      <x:c r="P318" s="36" t="n">
        <x:v>6</x:v>
      </x:c>
      <x:c r="Q318" s="44" t="str">
        <x:v>http-nio-8080-exec-60#385 | http-nio-8080-exec-61#386 | JCS-ElementEventQueue-Thread-28#388 | http-nio-8080-exec-62#421 | http-nio-8080-exec-63#422 | http-nio-8080-exec-64#423</x:v>
      </x:c>
      <x:c r="R318" s="36" t="n">
        <x:v>9</x:v>
      </x:c>
      <x:c r="S31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318" s="36" t="n">
        <x:v>1</x:v>
      </x:c>
      <x:c r="U318" s="44" t="str">
        <x:v>JCS-ElementEventQueue-Thread-28#388</x:v>
      </x:c>
      <x:c r="V318" s="36" t="n">
        <x:v>9</x:v>
      </x:c>
      <x:c r="W31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318" s="34" t="str">
        <x:v>jcs-signature-present</x:v>
      </x:c>
      <x:c r="Y318" s="44" t="str">
        <x:v>automated signatures are JCS-specific; all other candidate application threads remain unattributed and ownership requires the archived full dump</x:v>
      </x:c>
    </x:row>
    <x:row r="319">
      <x:c r="A319" s="34" t="str">
        <x:v>article1-unified-v4-2-fb3f101b-20260903-000401-default-f03-p4-jcs321</x:v>
      </x:c>
      <x:c r="B319" s="34" t="str">
        <x:v>default</x:v>
      </x:c>
      <x:c r="C319" s="34" t="str">
        <x:v>jcs321</x:v>
      </x:c>
      <x:c r="D319" s="36" t="n">
        <x:v>3</x:v>
      </x:c>
      <x:c r="E319" s="36" t="n">
        <x:v>3</x:v>
      </x:c>
      <x:c r="F319" s="36" t="n">
        <x:v>4</x:v>
      </x:c>
      <x:c r="G319" s="36" t="n">
        <x:v>5</x:v>
      </x:c>
      <x:c r="H319" s="34" t="str">
        <x:v>firstUndeployThreadEvidenceFinal</x:v>
      </x:c>
      <x:c r="I319" s="36" t="n">
        <x:v>1</x:v>
      </x:c>
      <x:c r="J319" s="34" t="str">
        <x:v>final</x:v>
      </x:c>
      <x:c r="K319" s="36" t="n">
        <x:v>36</x:v>
      </x:c>
      <x:c r="L319" s="51" t="n">
        <x:v>9</x:v>
      </x:c>
      <x:c r="M319" s="51" t="n">
        <x:v>1</x:v>
      </x:c>
      <x:c r="N319" s="36" t="n">
        <x:v>19</x:v>
      </x:c>
      <x:c r="O31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http-nio-8080-exec-51#338 | JCS-ElementEventQueue-Thread-25#346 | http-nio-8080-exec-56#379 | http-nio-8080-exec-57#380 | http-nio-8080-exec-58#381 | http-nio-8080-exec-60#385 | http-nio-8080-exec-61#386 | JCS-ElementEventQueue-Thread-28#388 | http-nio-8080-exec-62#421 | http-nio-8080-exec-63#422 | http-nio-8080-exec-64#423 | http-nio-8080-exec-65#424</x:v>
      </x:c>
      <x:c r="P319" s="36" t="n">
        <x:v>7</x:v>
      </x:c>
      <x:c r="Q319" s="44" t="str">
        <x:v>http-nio-8080-exec-60#385 | http-nio-8080-exec-61#386 | JCS-ElementEventQueue-Thread-28#388 | http-nio-8080-exec-62#421 | http-nio-8080-exec-63#422 | http-nio-8080-exec-64#423 | http-nio-8080-exec-65#424</x:v>
      </x:c>
      <x:c r="R319" s="36" t="n">
        <x:v>9</x:v>
      </x:c>
      <x:c r="S31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319" s="36" t="n">
        <x:v>1</x:v>
      </x:c>
      <x:c r="U319" s="44" t="str">
        <x:v>JCS-ElementEventQueue-Thread-28#388</x:v>
      </x:c>
      <x:c r="V319" s="36" t="n">
        <x:v>9</x:v>
      </x:c>
      <x:c r="W31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319" s="34" t="str">
        <x:v>jcs-signature-present</x:v>
      </x:c>
      <x:c r="Y319" s="44" t="str">
        <x:v>automated signatures are JCS-specific; all other candidate application threads remain unattributed and ownership requires the archived full dump</x:v>
      </x:c>
    </x:row>
    <x:row r="320">
      <x:c r="A320" s="34" t="str">
        <x:v>article1-unified-v4-2-fb3f101b-20260903-000401-default-f03-p4-jcs321</x:v>
      </x:c>
      <x:c r="B320" s="34" t="str">
        <x:v>default</x:v>
      </x:c>
      <x:c r="C320" s="34" t="str">
        <x:v>jcs321</x:v>
      </x:c>
      <x:c r="D320" s="36" t="n">
        <x:v>3</x:v>
      </x:c>
      <x:c r="E320" s="36" t="n">
        <x:v>3</x:v>
      </x:c>
      <x:c r="F320" s="36" t="n">
        <x:v>4</x:v>
      </x:c>
      <x:c r="G320" s="36" t="n">
        <x:v>5</x:v>
      </x:c>
      <x:c r="H320" s="34" t="str">
        <x:v>finalUndeployThreadEvidenceEarly</x:v>
      </x:c>
      <x:c r="I320" s="36" t="n">
        <x:v>2</x:v>
      </x:c>
      <x:c r="J320" s="34" t="str">
        <x:v>early</x:v>
      </x:c>
      <x:c r="K320" s="36" t="n">
        <x:v>37</x:v>
      </x:c>
      <x:c r="L320" s="51" t="n">
        <x:v>10</x:v>
      </x:c>
      <x:c r="M320" s="51" t="n">
        <x:v>2</x:v>
      </x:c>
      <x:c r="N320" s="36" t="n">
        <x:v>20</x:v>
      </x:c>
      <x:c r="O32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http-nio-8080-exec-57#380 | JCS-ElementEventQueue-Thread-28#388 | http-nio-8080-exec-62#421 | http-nio-8080-exec-63#422 | http-nio-8080-exec-64#423 | http-nio-8080-exec-66#427 | http-nio-8080-exec-67#428 | http-nio-8080-exec-68#429 | JCS-ElementEventQueue-Thread-31#431 | http-nio-8080-exec-69#464 | http-nio-8080-exec-70#465 | http-nio-8080-exec-71#466</x:v>
      </x:c>
      <x:c r="P320" s="36" t="n">
        <x:v>11</x:v>
      </x:c>
      <x:c r="Q320" s="44" t="str">
        <x:v>JCS-ElementEventQueue-Thread-28#388 | http-nio-8080-exec-62#421 | http-nio-8080-exec-63#422 | http-nio-8080-exec-64#423 | http-nio-8080-exec-66#427 | http-nio-8080-exec-67#428 | http-nio-8080-exec-68#429 | JCS-ElementEventQueue-Thread-31#431 | http-nio-8080-exec-69#464 | http-nio-8080-exec-70#465 | http-nio-8080-exec-71#466</x:v>
      </x:c>
      <x:c r="R320" s="36" t="n">
        <x:v>10</x:v>
      </x:c>
      <x:c r="S32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320" s="36" t="n">
        <x:v>2</x:v>
      </x:c>
      <x:c r="U320" s="44" t="str">
        <x:v>JCS-ElementEventQueue-Thread-28#388 | JCS-ElementEventQueue-Thread-31#431</x:v>
      </x:c>
      <x:c r="V320" s="36" t="n">
        <x:v>10</x:v>
      </x:c>
      <x:c r="W32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320" s="34" t="str">
        <x:v>jcs-signature-present</x:v>
      </x:c>
      <x:c r="Y320" s="44" t="str">
        <x:v>automated signatures are JCS-specific; all other candidate application threads remain unattributed and ownership requires the archived full dump</x:v>
      </x:c>
    </x:row>
    <x:row r="321">
      <x:c r="A321" s="34" t="str">
        <x:v>article1-unified-v4-2-fb3f101b-20260903-000401-default-f03-p4-jcs321</x:v>
      </x:c>
      <x:c r="B321" s="34" t="str">
        <x:v>default</x:v>
      </x:c>
      <x:c r="C321" s="34" t="str">
        <x:v>jcs321</x:v>
      </x:c>
      <x:c r="D321" s="36" t="n">
        <x:v>3</x:v>
      </x:c>
      <x:c r="E321" s="36" t="n">
        <x:v>3</x:v>
      </x:c>
      <x:c r="F321" s="36" t="n">
        <x:v>4</x:v>
      </x:c>
      <x:c r="G321" s="36" t="n">
        <x:v>5</x:v>
      </x:c>
      <x:c r="H321" s="34" t="str">
        <x:v>finalUndeployThreadEvidenceFinal</x:v>
      </x:c>
      <x:c r="I321" s="36" t="n">
        <x:v>2</x:v>
      </x:c>
      <x:c r="J321" s="34" t="str">
        <x:v>final</x:v>
      </x:c>
      <x:c r="K321" s="36" t="n">
        <x:v>37</x:v>
      </x:c>
      <x:c r="L321" s="51" t="n">
        <x:v>10</x:v>
      </x:c>
      <x:c r="M321" s="51" t="n">
        <x:v>2</x:v>
      </x:c>
      <x:c r="N321" s="36" t="n">
        <x:v>20</x:v>
      </x:c>
      <x:c r="O32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http-nio-8080-exec-57#380 | JCS-ElementEventQueue-Thread-28#388 | http-nio-8080-exec-62#421 | http-nio-8080-exec-63#422 | http-nio-8080-exec-64#423 | http-nio-8080-exec-66#427 | http-nio-8080-exec-67#428 | http-nio-8080-exec-68#429 | JCS-ElementEventQueue-Thread-31#431 | http-nio-8080-exec-70#465 | http-nio-8080-exec-71#466 | http-nio-8080-exec-72#467</x:v>
      </x:c>
      <x:c r="P321" s="36" t="n">
        <x:v>11</x:v>
      </x:c>
      <x:c r="Q321" s="44" t="str">
        <x:v>JCS-ElementEventQueue-Thread-28#388 | http-nio-8080-exec-62#421 | http-nio-8080-exec-63#422 | http-nio-8080-exec-64#423 | http-nio-8080-exec-66#427 | http-nio-8080-exec-67#428 | http-nio-8080-exec-68#429 | JCS-ElementEventQueue-Thread-31#431 | http-nio-8080-exec-70#465 | http-nio-8080-exec-71#466 | http-nio-8080-exec-72#467</x:v>
      </x:c>
      <x:c r="R321" s="36" t="n">
        <x:v>10</x:v>
      </x:c>
      <x:c r="S32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321" s="36" t="n">
        <x:v>2</x:v>
      </x:c>
      <x:c r="U321" s="44" t="str">
        <x:v>JCS-ElementEventQueue-Thread-28#388 | JCS-ElementEventQueue-Thread-31#431</x:v>
      </x:c>
      <x:c r="V321" s="36" t="n">
        <x:v>10</x:v>
      </x:c>
      <x:c r="W32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321" s="34" t="str">
        <x:v>jcs-signature-present</x:v>
      </x:c>
      <x:c r="Y321" s="44" t="str">
        <x:v>automated signatures are JCS-specific; all other candidate application threads remain unattributed and ownership requires the archived full dump</x:v>
      </x:c>
    </x:row>
    <x:row r="322">
      <x:c r="A322" s="34" t="str">
        <x:v>article1-unified-v4-2-fb3f101b-20260903-000401-default-f03-p5-caffeine</x:v>
      </x:c>
      <x:c r="B322" s="34" t="str">
        <x:v>default</x:v>
      </x:c>
      <x:c r="C322" s="34" t="str">
        <x:v>caffeine</x:v>
      </x:c>
      <x:c r="D322" s="36" t="n">
        <x:v>3</x:v>
      </x:c>
      <x:c r="E322" s="36" t="n">
        <x:v>3</x:v>
      </x:c>
      <x:c r="F322" s="36" t="n">
        <x:v>5</x:v>
      </x:c>
      <x:c r="G322" s="36" t="n">
        <x:v>1</x:v>
      </x:c>
      <x:c r="H322" s="34" t="str">
        <x:v>firstUndeployThreadEvidenceEarly</x:v>
      </x:c>
      <x:c r="I322" s="36" t="n">
        <x:v>1</x:v>
      </x:c>
      <x:c r="J322" s="34" t="str">
        <x:v>early</x:v>
      </x:c>
      <x:c r="K322" s="36" t="n">
        <x:v>30</x:v>
      </x:c>
      <x:c r="L322" s="51" t="n">
        <x:v>3</x:v>
      </x:c>
      <x:c r="M322" s="51" t="n">
        <x:v>3</x:v>
      </x:c>
      <x:c r="N322" s="36" t="n">
        <x:v>5</x:v>
      </x:c>
      <x:c r="O322" s="44" t="str">
        <x:v>ForkJoinPool.commonPool-worker-1#48 | ForkJoinPool.commonPool-worker-2#49 | ForkJoinPool.commonPool-worker-3#50 | http-nio-8080-exec-11#83 | http-nio-8080-exec-12#84</x:v>
      </x:c>
      <x:c r="P322" s="36" t="n">
        <x:v>5</x:v>
      </x:c>
      <x:c r="Q322" s="44" t="str">
        <x:v>ForkJoinPool.commonPool-worker-1#48 | ForkJoinPool.commonPool-worker-2#49 | ForkJoinPool.commonPool-worker-3#50 | http-nio-8080-exec-11#83 | http-nio-8080-exec-12#84</x:v>
      </x:c>
      <x:c r="R322" s="36" t="n">
        <x:v>3</x:v>
      </x:c>
      <x:c r="S322" s="44" t="str">
        <x:v>ForkJoinPool.commonPool-worker-1#48 | ForkJoinPool.commonPool-worker-2#49 | ForkJoinPool.commonPool-worker-3#50</x:v>
      </x:c>
      <x:c r="T322" s="36" t="n">
        <x:v>3</x:v>
      </x:c>
      <x:c r="U322" s="44" t="str">
        <x:v>ForkJoinPool.commonPool-worker-1#48 | ForkJoinPool.commonPool-worker-2#49 | ForkJoinPool.commonPool-worker-3#50</x:v>
      </x:c>
      <x:c r="V322" s="36" t="n">
        <x:v>0</x:v>
      </x:c>
      <x:c r="W322" s="44"/>
      <x:c r="X322" s="34" t="str">
        <x:v>unattributed-thread-signal</x:v>
      </x:c>
      <x:c r="Y322" s="44" t="str">
        <x:v>automated signatures are JCS-specific; all other candidate application threads remain unattributed and ownership requires the archived full dump</x:v>
      </x:c>
    </x:row>
    <x:row r="323">
      <x:c r="A323" s="34" t="str">
        <x:v>article1-unified-v4-2-fb3f101b-20260903-000401-default-f03-p5-caffeine</x:v>
      </x:c>
      <x:c r="B323" s="34" t="str">
        <x:v>default</x:v>
      </x:c>
      <x:c r="C323" s="34" t="str">
        <x:v>caffeine</x:v>
      </x:c>
      <x:c r="D323" s="36" t="n">
        <x:v>3</x:v>
      </x:c>
      <x:c r="E323" s="36" t="n">
        <x:v>3</x:v>
      </x:c>
      <x:c r="F323" s="36" t="n">
        <x:v>5</x:v>
      </x:c>
      <x:c r="G323" s="36" t="n">
        <x:v>1</x:v>
      </x:c>
      <x:c r="H323" s="34" t="str">
        <x:v>firstUndeployThreadEvidenceFinal</x:v>
      </x:c>
      <x:c r="I323" s="36" t="n">
        <x:v>1</x:v>
      </x:c>
      <x:c r="J323" s="34" t="str">
        <x:v>final</x:v>
      </x:c>
      <x:c r="K323" s="36" t="n">
        <x:v>30</x:v>
      </x:c>
      <x:c r="L323" s="51" t="n">
        <x:v>3</x:v>
      </x:c>
      <x:c r="M323" s="51" t="n">
        <x:v>3</x:v>
      </x:c>
      <x:c r="N323" s="36" t="n">
        <x:v>6</x:v>
      </x:c>
      <x:c r="O323" s="44" t="str">
        <x:v>ForkJoinPool.commonPool-worker-1#48 | ForkJoinPool.commonPool-worker-2#49 | ForkJoinPool.commonPool-worker-3#50 | http-nio-8080-exec-11#83 | http-nio-8080-exec-12#84 | http-nio-8080-exec-13#85</x:v>
      </x:c>
      <x:c r="P323" s="36" t="n">
        <x:v>6</x:v>
      </x:c>
      <x:c r="Q323" s="44" t="str">
        <x:v>ForkJoinPool.commonPool-worker-1#48 | ForkJoinPool.commonPool-worker-2#49 | ForkJoinPool.commonPool-worker-3#50 | http-nio-8080-exec-11#83 | http-nio-8080-exec-12#84 | http-nio-8080-exec-13#85</x:v>
      </x:c>
      <x:c r="R323" s="36" t="n">
        <x:v>3</x:v>
      </x:c>
      <x:c r="S323" s="44" t="str">
        <x:v>ForkJoinPool.commonPool-worker-1#48 | ForkJoinPool.commonPool-worker-2#49 | ForkJoinPool.commonPool-worker-3#50</x:v>
      </x:c>
      <x:c r="T323" s="36" t="n">
        <x:v>3</x:v>
      </x:c>
      <x:c r="U323" s="44" t="str">
        <x:v>ForkJoinPool.commonPool-worker-1#48 | ForkJoinPool.commonPool-worker-2#49 | ForkJoinPool.commonPool-worker-3#50</x:v>
      </x:c>
      <x:c r="V323" s="36" t="n">
        <x:v>0</x:v>
      </x:c>
      <x:c r="W323" s="44"/>
      <x:c r="X323" s="34" t="str">
        <x:v>unattributed-thread-signal</x:v>
      </x:c>
      <x:c r="Y323" s="44" t="str">
        <x:v>automated signatures are JCS-specific; all other candidate application threads remain unattributed and ownership requires the archived full dump</x:v>
      </x:c>
    </x:row>
    <x:row r="324">
      <x:c r="A324" s="34" t="str">
        <x:v>article1-unified-v4-2-fb3f101b-20260903-000401-default-f03-p5-caffeine</x:v>
      </x:c>
      <x:c r="B324" s="34" t="str">
        <x:v>default</x:v>
      </x:c>
      <x:c r="C324" s="34" t="str">
        <x:v>caffeine</x:v>
      </x:c>
      <x:c r="D324" s="36" t="n">
        <x:v>3</x:v>
      </x:c>
      <x:c r="E324" s="36" t="n">
        <x:v>3</x:v>
      </x:c>
      <x:c r="F324" s="36" t="n">
        <x:v>5</x:v>
      </x:c>
      <x:c r="G324" s="36" t="n">
        <x:v>1</x:v>
      </x:c>
      <x:c r="H324" s="34" t="str">
        <x:v>finalUndeployThreadEvidenceEarly</x:v>
      </x:c>
      <x:c r="I324" s="36" t="n">
        <x:v>2</x:v>
      </x:c>
      <x:c r="J324" s="34" t="str">
        <x:v>early</x:v>
      </x:c>
      <x:c r="K324" s="36" t="n">
        <x:v>30</x:v>
      </x:c>
      <x:c r="L324" s="51" t="n">
        <x:v>3</x:v>
      </x:c>
      <x:c r="M324" s="51" t="n">
        <x:v>3</x:v>
      </x:c>
      <x:c r="N324" s="36" t="n">
        <x:v>11</x:v>
      </x:c>
      <x:c r="O324" s="44" t="str">
        <x:v>ForkJoinPool.commonPool-worker-1#48 | ForkJoinPool.commonPool-worker-2#49 | ForkJoinPool.commonPool-worker-3#50 | http-nio-8080-exec-11#83 | http-nio-8080-exec-12#84 | http-nio-8080-exec-14#88 | http-nio-8080-exec-15#89 | http-nio-8080-exec-16#90 | http-nio-8080-exec-17#123 | http-nio-8080-exec-18#124 | http-nio-8080-exec-19#125</x:v>
      </x:c>
      <x:c r="P324" s="36" t="n">
        <x:v>11</x:v>
      </x:c>
      <x:c r="Q324" s="44" t="str">
        <x:v>ForkJoinPool.commonPool-worker-1#48 | ForkJoinPool.commonPool-worker-2#49 | ForkJoinPool.commonPool-worker-3#50 | http-nio-8080-exec-11#83 | http-nio-8080-exec-12#84 | http-nio-8080-exec-14#88 | http-nio-8080-exec-15#89 | http-nio-8080-exec-16#90 | http-nio-8080-exec-17#123 | http-nio-8080-exec-18#124 | http-nio-8080-exec-19#125</x:v>
      </x:c>
      <x:c r="R324" s="36" t="n">
        <x:v>3</x:v>
      </x:c>
      <x:c r="S324" s="44" t="str">
        <x:v>ForkJoinPool.commonPool-worker-1#48 | ForkJoinPool.commonPool-worker-2#49 | ForkJoinPool.commonPool-worker-3#50</x:v>
      </x:c>
      <x:c r="T324" s="36" t="n">
        <x:v>3</x:v>
      </x:c>
      <x:c r="U324" s="44" t="str">
        <x:v>ForkJoinPool.commonPool-worker-1#48 | ForkJoinPool.commonPool-worker-2#49 | ForkJoinPool.commonPool-worker-3#50</x:v>
      </x:c>
      <x:c r="V324" s="36" t="n">
        <x:v>0</x:v>
      </x:c>
      <x:c r="W324" s="44"/>
      <x:c r="X324" s="34" t="str">
        <x:v>unattributed-thread-signal</x:v>
      </x:c>
      <x:c r="Y324" s="44" t="str">
        <x:v>automated signatures are JCS-specific; all other candidate application threads remain unattributed and ownership requires the archived full dump</x:v>
      </x:c>
    </x:row>
    <x:row r="325">
      <x:c r="A325" s="34" t="str">
        <x:v>article1-unified-v4-2-fb3f101b-20260903-000401-default-f03-p5-caffeine</x:v>
      </x:c>
      <x:c r="B325" s="34" t="str">
        <x:v>default</x:v>
      </x:c>
      <x:c r="C325" s="34" t="str">
        <x:v>caffeine</x:v>
      </x:c>
      <x:c r="D325" s="36" t="n">
        <x:v>3</x:v>
      </x:c>
      <x:c r="E325" s="36" t="n">
        <x:v>3</x:v>
      </x:c>
      <x:c r="F325" s="36" t="n">
        <x:v>5</x:v>
      </x:c>
      <x:c r="G325" s="36" t="n">
        <x:v>1</x:v>
      </x:c>
      <x:c r="H325" s="34" t="str">
        <x:v>finalUndeployThreadEvidenceFinal</x:v>
      </x:c>
      <x:c r="I325" s="36" t="n">
        <x:v>2</x:v>
      </x:c>
      <x:c r="J325" s="34" t="str">
        <x:v>final</x:v>
      </x:c>
      <x:c r="K325" s="36" t="n">
        <x:v>30</x:v>
      </x:c>
      <x:c r="L325" s="51" t="n">
        <x:v>3</x:v>
      </x:c>
      <x:c r="M325" s="51" t="n">
        <x:v>3</x:v>
      </x:c>
      <x:c r="N325" s="36" t="n">
        <x:v>11</x:v>
      </x:c>
      <x:c r="O325" s="44" t="str">
        <x:v>ForkJoinPool.commonPool-worker-1#48 | ForkJoinPool.commonPool-worker-2#49 | ForkJoinPool.commonPool-worker-3#50 | http-nio-8080-exec-11#83 | http-nio-8080-exec-12#84 | http-nio-8080-exec-14#88 | http-nio-8080-exec-16#90 | http-nio-8080-exec-17#123 | http-nio-8080-exec-18#124 | http-nio-8080-exec-19#125 | http-nio-8080-exec-20#126</x:v>
      </x:c>
      <x:c r="P325" s="36" t="n">
        <x:v>11</x:v>
      </x:c>
      <x:c r="Q325" s="44" t="str">
        <x:v>ForkJoinPool.commonPool-worker-1#48 | ForkJoinPool.commonPool-worker-2#49 | ForkJoinPool.commonPool-worker-3#50 | http-nio-8080-exec-11#83 | http-nio-8080-exec-12#84 | http-nio-8080-exec-14#88 | http-nio-8080-exec-16#90 | http-nio-8080-exec-17#123 | http-nio-8080-exec-18#124 | http-nio-8080-exec-19#125 | http-nio-8080-exec-20#126</x:v>
      </x:c>
      <x:c r="R325" s="36" t="n">
        <x:v>3</x:v>
      </x:c>
      <x:c r="S325" s="44" t="str">
        <x:v>ForkJoinPool.commonPool-worker-1#48 | ForkJoinPool.commonPool-worker-2#49 | ForkJoinPool.commonPool-worker-3#50</x:v>
      </x:c>
      <x:c r="T325" s="36" t="n">
        <x:v>3</x:v>
      </x:c>
      <x:c r="U325" s="44" t="str">
        <x:v>ForkJoinPool.commonPool-worker-1#48 | ForkJoinPool.commonPool-worker-2#49 | ForkJoinPool.commonPool-worker-3#50</x:v>
      </x:c>
      <x:c r="V325" s="36" t="n">
        <x:v>0</x:v>
      </x:c>
      <x:c r="W325" s="44"/>
      <x:c r="X325" s="34" t="str">
        <x:v>unattributed-thread-signal</x:v>
      </x:c>
      <x:c r="Y325" s="44" t="str">
        <x:v>automated signatures are JCS-specific; all other candidate application threads remain unattributed and ownership requires the archived full dump</x:v>
      </x:c>
    </x:row>
    <x:row r="326">
      <x:c r="A326" s="34" t="str">
        <x:v>article1-unified-v4-2-fb3f101b-20260903-000401-default-f03-p5-caffeine</x:v>
      </x:c>
      <x:c r="B326" s="34" t="str">
        <x:v>default</x:v>
      </x:c>
      <x:c r="C326" s="34" t="str">
        <x:v>caffeine</x:v>
      </x:c>
      <x:c r="D326" s="36" t="n">
        <x:v>3</x:v>
      </x:c>
      <x:c r="E326" s="36" t="n">
        <x:v>3</x:v>
      </x:c>
      <x:c r="F326" s="36" t="n">
        <x:v>5</x:v>
      </x:c>
      <x:c r="G326" s="36" t="n">
        <x:v>2</x:v>
      </x:c>
      <x:c r="H326" s="34" t="str">
        <x:v>firstUndeployThreadEvidenceEarly</x:v>
      </x:c>
      <x:c r="I326" s="36" t="n">
        <x:v>1</x:v>
      </x:c>
      <x:c r="J326" s="34" t="str">
        <x:v>early</x:v>
      </x:c>
      <x:c r="K326" s="36" t="n">
        <x:v>30</x:v>
      </x:c>
      <x:c r="L326" s="51" t="n">
        <x:v>3</x:v>
      </x:c>
      <x:c r="M326" s="51" t="n">
        <x:v>0</x:v>
      </x:c>
      <x:c r="N326" s="36" t="n">
        <x:v>11</x:v>
      </x:c>
      <x:c r="O326" s="44" t="str">
        <x:v>ForkJoinPool.commonPool-worker-1#48 | ForkJoinPool.commonPool-worker-2#49 | ForkJoinPool.commonPool-worker-3#50 | http-nio-8080-exec-11#83 | http-nio-8080-exec-18#124 | http-nio-8080-exec-19#125 | http-nio-8080-exec-21#129 | http-nio-8080-exec-22#130 | http-nio-8080-exec-23#163 | http-nio-8080-exec-24#164 | http-nio-8080-exec-25#165</x:v>
      </x:c>
      <x:c r="P326" s="36" t="n">
        <x:v>5</x:v>
      </x:c>
      <x:c r="Q326" s="44" t="str">
        <x:v>http-nio-8080-exec-21#129 | http-nio-8080-exec-22#130 | http-nio-8080-exec-23#163 | http-nio-8080-exec-24#164 | http-nio-8080-exec-25#165</x:v>
      </x:c>
      <x:c r="R326" s="36" t="n">
        <x:v>3</x:v>
      </x:c>
      <x:c r="S326" s="44" t="str">
        <x:v>ForkJoinPool.commonPool-worker-1#48 | ForkJoinPool.commonPool-worker-2#49 | ForkJoinPool.commonPool-worker-3#50</x:v>
      </x:c>
      <x:c r="T326" s="36" t="n">
        <x:v>0</x:v>
      </x:c>
      <x:c r="U326" s="44"/>
      <x:c r="V326" s="36" t="n">
        <x:v>0</x:v>
      </x:c>
      <x:c r="W326" s="44"/>
      <x:c r="X326" s="34" t="str">
        <x:v>unattributed-thread-signal</x:v>
      </x:c>
      <x:c r="Y326" s="44" t="str">
        <x:v>automated signatures are JCS-specific; all other candidate application threads remain unattributed and ownership requires the archived full dump</x:v>
      </x:c>
    </x:row>
    <x:row r="327">
      <x:c r="A327" s="34" t="str">
        <x:v>article1-unified-v4-2-fb3f101b-20260903-000401-default-f03-p5-caffeine</x:v>
      </x:c>
      <x:c r="B327" s="34" t="str">
        <x:v>default</x:v>
      </x:c>
      <x:c r="C327" s="34" t="str">
        <x:v>caffeine</x:v>
      </x:c>
      <x:c r="D327" s="36" t="n">
        <x:v>3</x:v>
      </x:c>
      <x:c r="E327" s="36" t="n">
        <x:v>3</x:v>
      </x:c>
      <x:c r="F327" s="36" t="n">
        <x:v>5</x:v>
      </x:c>
      <x:c r="G327" s="36" t="n">
        <x:v>2</x:v>
      </x:c>
      <x:c r="H327" s="34" t="str">
        <x:v>firstUndeployThreadEvidenceFinal</x:v>
      </x:c>
      <x:c r="I327" s="36" t="n">
        <x:v>1</x:v>
      </x:c>
      <x:c r="J327" s="34" t="str">
        <x:v>final</x:v>
      </x:c>
      <x:c r="K327" s="36" t="n">
        <x:v>30</x:v>
      </x:c>
      <x:c r="L327" s="51" t="n">
        <x:v>3</x:v>
      </x:c>
      <x:c r="M327" s="51" t="n">
        <x:v>0</x:v>
      </x:c>
      <x:c r="N327" s="36" t="n">
        <x:v>11</x:v>
      </x:c>
      <x:c r="O327" s="44" t="str">
        <x:v>ForkJoinPool.commonPool-worker-1#48 | ForkJoinPool.commonPool-worker-2#49 | ForkJoinPool.commonPool-worker-3#50 | http-nio-8080-exec-11#83 | http-nio-8080-exec-19#125 | http-nio-8080-exec-21#129 | http-nio-8080-exec-22#130 | http-nio-8080-exec-23#163 | http-nio-8080-exec-24#164 | http-nio-8080-exec-25#165 | http-nio-8080-exec-26#166</x:v>
      </x:c>
      <x:c r="P327" s="36" t="n">
        <x:v>6</x:v>
      </x:c>
      <x:c r="Q327" s="44" t="str">
        <x:v>http-nio-8080-exec-21#129 | http-nio-8080-exec-22#130 | http-nio-8080-exec-23#163 | http-nio-8080-exec-24#164 | http-nio-8080-exec-25#165 | http-nio-8080-exec-26#166</x:v>
      </x:c>
      <x:c r="R327" s="36" t="n">
        <x:v>3</x:v>
      </x:c>
      <x:c r="S327" s="44" t="str">
        <x:v>ForkJoinPool.commonPool-worker-1#48 | ForkJoinPool.commonPool-worker-2#49 | ForkJoinPool.commonPool-worker-3#50</x:v>
      </x:c>
      <x:c r="T327" s="36" t="n">
        <x:v>0</x:v>
      </x:c>
      <x:c r="U327" s="44"/>
      <x:c r="V327" s="36" t="n">
        <x:v>0</x:v>
      </x:c>
      <x:c r="W327" s="44"/>
      <x:c r="X327" s="34" t="str">
        <x:v>unattributed-thread-signal</x:v>
      </x:c>
      <x:c r="Y327" s="44" t="str">
        <x:v>automated signatures are JCS-specific; all other candidate application threads remain unattributed and ownership requires the archived full dump</x:v>
      </x:c>
    </x:row>
    <x:row r="328">
      <x:c r="A328" s="34" t="str">
        <x:v>article1-unified-v4-2-fb3f101b-20260903-000401-default-f03-p5-caffeine</x:v>
      </x:c>
      <x:c r="B328" s="34" t="str">
        <x:v>default</x:v>
      </x:c>
      <x:c r="C328" s="34" t="str">
        <x:v>caffeine</x:v>
      </x:c>
      <x:c r="D328" s="36" t="n">
        <x:v>3</x:v>
      </x:c>
      <x:c r="E328" s="36" t="n">
        <x:v>3</x:v>
      </x:c>
      <x:c r="F328" s="36" t="n">
        <x:v>5</x:v>
      </x:c>
      <x:c r="G328" s="36" t="n">
        <x:v>2</x:v>
      </x:c>
      <x:c r="H328" s="34" t="str">
        <x:v>finalUndeployThreadEvidenceEarly</x:v>
      </x:c>
      <x:c r="I328" s="36" t="n">
        <x:v>2</x:v>
      </x:c>
      <x:c r="J328" s="34" t="str">
        <x:v>early</x:v>
      </x:c>
      <x:c r="K328" s="36" t="n">
        <x:v>30</x:v>
      </x:c>
      <x:c r="L328" s="51" t="n">
        <x:v>3</x:v>
      </x:c>
      <x:c r="M328" s="51" t="n">
        <x:v>0</x:v>
      </x:c>
      <x:c r="N328" s="36" t="n">
        <x:v>13</x:v>
      </x:c>
      <x:c r="O328" s="44" t="str">
        <x:v>ForkJoinPool.commonPool-worker-1#48 | ForkJoinPool.commonPool-worker-2#49 | ForkJoinPool.commonPool-worker-3#50 | http-nio-8080-exec-19#125 | http-nio-8080-exec-22#130 | http-nio-8080-exec-24#164 | http-nio-8080-exec-26#166 | http-nio-8080-exec-27#169 | http-nio-8080-exec-28#170 | http-nio-8080-exec-29#171 | http-nio-8080-exec-30#204 | http-nio-8080-exec-31#205 | http-nio-8080-exec-32#206</x:v>
      </x:c>
      <x:c r="P328" s="36" t="n">
        <x:v>9</x:v>
      </x:c>
      <x:c r="Q328" s="44" t="str">
        <x:v>http-nio-8080-exec-22#130 | http-nio-8080-exec-24#164 | http-nio-8080-exec-26#166 | http-nio-8080-exec-27#169 | http-nio-8080-exec-28#170 | http-nio-8080-exec-29#171 | http-nio-8080-exec-30#204 | http-nio-8080-exec-31#205 | http-nio-8080-exec-32#206</x:v>
      </x:c>
      <x:c r="R328" s="36" t="n">
        <x:v>3</x:v>
      </x:c>
      <x:c r="S328" s="44" t="str">
        <x:v>ForkJoinPool.commonPool-worker-1#48 | ForkJoinPool.commonPool-worker-2#49 | ForkJoinPool.commonPool-worker-3#50</x:v>
      </x:c>
      <x:c r="T328" s="36" t="n">
        <x:v>0</x:v>
      </x:c>
      <x:c r="U328" s="44"/>
      <x:c r="V328" s="36" t="n">
        <x:v>0</x:v>
      </x:c>
      <x:c r="W328" s="44"/>
      <x:c r="X328" s="34" t="str">
        <x:v>unattributed-thread-signal</x:v>
      </x:c>
      <x:c r="Y328" s="44" t="str">
        <x:v>automated signatures are JCS-specific; all other candidate application threads remain unattributed and ownership requires the archived full dump</x:v>
      </x:c>
    </x:row>
    <x:row r="329">
      <x:c r="A329" s="34" t="str">
        <x:v>article1-unified-v4-2-fb3f101b-20260903-000401-default-f03-p5-caffeine</x:v>
      </x:c>
      <x:c r="B329" s="34" t="str">
        <x:v>default</x:v>
      </x:c>
      <x:c r="C329" s="34" t="str">
        <x:v>caffeine</x:v>
      </x:c>
      <x:c r="D329" s="36" t="n">
        <x:v>3</x:v>
      </x:c>
      <x:c r="E329" s="36" t="n">
        <x:v>3</x:v>
      </x:c>
      <x:c r="F329" s="36" t="n">
        <x:v>5</x:v>
      </x:c>
      <x:c r="G329" s="36" t="n">
        <x:v>2</x:v>
      </x:c>
      <x:c r="H329" s="34" t="str">
        <x:v>finalUndeployThreadEvidenceFinal</x:v>
      </x:c>
      <x:c r="I329" s="36" t="n">
        <x:v>2</x:v>
      </x:c>
      <x:c r="J329" s="34" t="str">
        <x:v>final</x:v>
      </x:c>
      <x:c r="K329" s="36" t="n">
        <x:v>30</x:v>
      </x:c>
      <x:c r="L329" s="51" t="n">
        <x:v>3</x:v>
      </x:c>
      <x:c r="M329" s="51" t="n">
        <x:v>0</x:v>
      </x:c>
      <x:c r="N329" s="36" t="n">
        <x:v>13</x:v>
      </x:c>
      <x:c r="O329" s="44" t="str">
        <x:v>ForkJoinPool.commonPool-worker-1#48 | ForkJoinPool.commonPool-worker-2#49 | ForkJoinPool.commonPool-worker-3#50 | http-nio-8080-exec-19#125 | http-nio-8080-exec-22#130 | http-nio-8080-exec-26#166 | http-nio-8080-exec-27#169 | http-nio-8080-exec-28#170 | http-nio-8080-exec-29#171 | http-nio-8080-exec-30#204 | http-nio-8080-exec-31#205 | http-nio-8080-exec-32#206 | http-nio-8080-exec-33#207</x:v>
      </x:c>
      <x:c r="P329" s="36" t="n">
        <x:v>9</x:v>
      </x:c>
      <x:c r="Q329" s="44" t="str">
        <x:v>http-nio-8080-exec-22#130 | http-nio-8080-exec-26#166 | http-nio-8080-exec-27#169 | http-nio-8080-exec-28#170 | http-nio-8080-exec-29#171 | http-nio-8080-exec-30#204 | http-nio-8080-exec-31#205 | http-nio-8080-exec-32#206 | http-nio-8080-exec-33#207</x:v>
      </x:c>
      <x:c r="R329" s="36" t="n">
        <x:v>3</x:v>
      </x:c>
      <x:c r="S329" s="44" t="str">
        <x:v>ForkJoinPool.commonPool-worker-1#48 | ForkJoinPool.commonPool-worker-2#49 | ForkJoinPool.commonPool-worker-3#50</x:v>
      </x:c>
      <x:c r="T329" s="36" t="n">
        <x:v>0</x:v>
      </x:c>
      <x:c r="U329" s="44"/>
      <x:c r="V329" s="36" t="n">
        <x:v>0</x:v>
      </x:c>
      <x:c r="W329" s="44"/>
      <x:c r="X329" s="34" t="str">
        <x:v>unattributed-thread-signal</x:v>
      </x:c>
      <x:c r="Y329" s="44" t="str">
        <x:v>automated signatures are JCS-specific; all other candidate application threads remain unattributed and ownership requires the archived full dump</x:v>
      </x:c>
    </x:row>
    <x:row r="330">
      <x:c r="A330" s="34" t="str">
        <x:v>article1-unified-v4-2-fb3f101b-20260903-000401-default-f03-p5-caffeine</x:v>
      </x:c>
      <x:c r="B330" s="34" t="str">
        <x:v>default</x:v>
      </x:c>
      <x:c r="C330" s="34" t="str">
        <x:v>caffeine</x:v>
      </x:c>
      <x:c r="D330" s="36" t="n">
        <x:v>3</x:v>
      </x:c>
      <x:c r="E330" s="36" t="n">
        <x:v>3</x:v>
      </x:c>
      <x:c r="F330" s="36" t="n">
        <x:v>5</x:v>
      </x:c>
      <x:c r="G330" s="36" t="n">
        <x:v>3</x:v>
      </x:c>
      <x:c r="H330" s="34" t="str">
        <x:v>firstUndeployThreadEvidenceEarly</x:v>
      </x:c>
      <x:c r="I330" s="36" t="n">
        <x:v>1</x:v>
      </x:c>
      <x:c r="J330" s="34" t="str">
        <x:v>early</x:v>
      </x:c>
      <x:c r="K330" s="36" t="n">
        <x:v>30</x:v>
      </x:c>
      <x:c r="L330" s="51" t="n">
        <x:v>3</x:v>
      </x:c>
      <x:c r="M330" s="51" t="n">
        <x:v>0</x:v>
      </x:c>
      <x:c r="N330" s="36" t="n">
        <x:v>13</x:v>
      </x:c>
      <x:c r="O330" s="44" t="str">
        <x:v>ForkJoinPool.commonPool-worker-1#48 | ForkJoinPool.commonPool-worker-2#49 | ForkJoinPool.commonPool-worker-3#50 | http-nio-8080-exec-19#125 | http-nio-8080-exec-28#170 | http-nio-8080-exec-31#205 | http-nio-8080-exec-32#206 | http-nio-8080-exec-33#207 | http-nio-8080-exec-34#210 | http-nio-8080-exec-35#211 | http-nio-8080-exec-36#244 | http-nio-8080-exec-37#245 | http-nio-8080-exec-38#246</x:v>
      </x:c>
      <x:c r="P330" s="36" t="n">
        <x:v>5</x:v>
      </x:c>
      <x:c r="Q330" s="44" t="str">
        <x:v>http-nio-8080-exec-34#210 | http-nio-8080-exec-35#211 | http-nio-8080-exec-36#244 | http-nio-8080-exec-37#245 | http-nio-8080-exec-38#246</x:v>
      </x:c>
      <x:c r="R330" s="36" t="n">
        <x:v>3</x:v>
      </x:c>
      <x:c r="S330" s="44" t="str">
        <x:v>ForkJoinPool.commonPool-worker-1#48 | ForkJoinPool.commonPool-worker-2#49 | ForkJoinPool.commonPool-worker-3#50</x:v>
      </x:c>
      <x:c r="T330" s="36" t="n">
        <x:v>0</x:v>
      </x:c>
      <x:c r="U330" s="44"/>
      <x:c r="V330" s="36" t="n">
        <x:v>0</x:v>
      </x:c>
      <x:c r="W330" s="44"/>
      <x:c r="X330" s="34" t="str">
        <x:v>unattributed-thread-signal</x:v>
      </x:c>
      <x:c r="Y330" s="44" t="str">
        <x:v>automated signatures are JCS-specific; all other candidate application threads remain unattributed and ownership requires the archived full dump</x:v>
      </x:c>
    </x:row>
    <x:row r="331">
      <x:c r="A331" s="34" t="str">
        <x:v>article1-unified-v4-2-fb3f101b-20260903-000401-default-f03-p5-caffeine</x:v>
      </x:c>
      <x:c r="B331" s="34" t="str">
        <x:v>default</x:v>
      </x:c>
      <x:c r="C331" s="34" t="str">
        <x:v>caffeine</x:v>
      </x:c>
      <x:c r="D331" s="36" t="n">
        <x:v>3</x:v>
      </x:c>
      <x:c r="E331" s="36" t="n">
        <x:v>3</x:v>
      </x:c>
      <x:c r="F331" s="36" t="n">
        <x:v>5</x:v>
      </x:c>
      <x:c r="G331" s="36" t="n">
        <x:v>3</x:v>
      </x:c>
      <x:c r="H331" s="34" t="str">
        <x:v>firstUndeployThreadEvidenceFinal</x:v>
      </x:c>
      <x:c r="I331" s="36" t="n">
        <x:v>1</x:v>
      </x:c>
      <x:c r="J331" s="34" t="str">
        <x:v>final</x:v>
      </x:c>
      <x:c r="K331" s="36" t="n">
        <x:v>30</x:v>
      </x:c>
      <x:c r="L331" s="51" t="n">
        <x:v>3</x:v>
      </x:c>
      <x:c r="M331" s="51" t="n">
        <x:v>0</x:v>
      </x:c>
      <x:c r="N331" s="36" t="n">
        <x:v>13</x:v>
      </x:c>
      <x:c r="O331" s="44" t="str">
        <x:v>ForkJoinPool.commonPool-worker-1#48 | ForkJoinPool.commonPool-worker-2#49 | ForkJoinPool.commonPool-worker-3#50 | http-nio-8080-exec-19#125 | http-nio-8080-exec-28#170 | http-nio-8080-exec-31#205 | http-nio-8080-exec-32#206 | http-nio-8080-exec-34#210 | http-nio-8080-exec-35#211 | http-nio-8080-exec-36#244 | http-nio-8080-exec-37#245 | http-nio-8080-exec-38#246 | http-nio-8080-exec-39#247</x:v>
      </x:c>
      <x:c r="P331" s="36" t="n">
        <x:v>6</x:v>
      </x:c>
      <x:c r="Q331" s="44" t="str">
        <x:v>http-nio-8080-exec-34#210 | http-nio-8080-exec-35#211 | http-nio-8080-exec-36#244 | http-nio-8080-exec-37#245 | http-nio-8080-exec-38#246 | http-nio-8080-exec-39#247</x:v>
      </x:c>
      <x:c r="R331" s="36" t="n">
        <x:v>3</x:v>
      </x:c>
      <x:c r="S331" s="44" t="str">
        <x:v>ForkJoinPool.commonPool-worker-1#48 | ForkJoinPool.commonPool-worker-2#49 | ForkJoinPool.commonPool-worker-3#50</x:v>
      </x:c>
      <x:c r="T331" s="36" t="n">
        <x:v>0</x:v>
      </x:c>
      <x:c r="U331" s="44"/>
      <x:c r="V331" s="36" t="n">
        <x:v>0</x:v>
      </x:c>
      <x:c r="W331" s="44"/>
      <x:c r="X331" s="34" t="str">
        <x:v>unattributed-thread-signal</x:v>
      </x:c>
      <x:c r="Y331" s="44" t="str">
        <x:v>automated signatures are JCS-specific; all other candidate application threads remain unattributed and ownership requires the archived full dump</x:v>
      </x:c>
    </x:row>
    <x:row r="332">
      <x:c r="A332" s="34" t="str">
        <x:v>article1-unified-v4-2-fb3f101b-20260903-000401-default-f03-p5-caffeine</x:v>
      </x:c>
      <x:c r="B332" s="34" t="str">
        <x:v>default</x:v>
      </x:c>
      <x:c r="C332" s="34" t="str">
        <x:v>caffeine</x:v>
      </x:c>
      <x:c r="D332" s="36" t="n">
        <x:v>3</x:v>
      </x:c>
      <x:c r="E332" s="36" t="n">
        <x:v>3</x:v>
      </x:c>
      <x:c r="F332" s="36" t="n">
        <x:v>5</x:v>
      </x:c>
      <x:c r="G332" s="36" t="n">
        <x:v>3</x:v>
      </x:c>
      <x:c r="H332" s="34" t="str">
        <x:v>finalUndeployThreadEvidenceEarly</x:v>
      </x:c>
      <x:c r="I332" s="36" t="n">
        <x:v>2</x:v>
      </x:c>
      <x:c r="J332" s="34" t="str">
        <x:v>early</x:v>
      </x:c>
      <x:c r="K332" s="36" t="n">
        <x:v>30</x:v>
      </x:c>
      <x:c r="L332" s="51" t="n">
        <x:v>3</x:v>
      </x:c>
      <x:c r="M332" s="51" t="n">
        <x:v>0</x:v>
      </x:c>
      <x:c r="N332" s="36" t="n">
        <x:v>13</x:v>
      </x:c>
      <x:c r="O332" s="44" t="str">
        <x:v>ForkJoinPool.commonPool-worker-1#48 | ForkJoinPool.commonPool-worker-2#49 | ForkJoinPool.commonPool-worker-3#50 | http-nio-8080-exec-19#125 | http-nio-8080-exec-31#205 | http-nio-8080-exec-37#245 | http-nio-8080-exec-38#246 | http-nio-8080-exec-39#247 | http-nio-8080-exec-40#250 | http-nio-8080-exec-42#252 | http-nio-8080-exec-43#285 | http-nio-8080-exec-44#286 | http-nio-8080-exec-45#287</x:v>
      </x:c>
      <x:c r="P332" s="36" t="n">
        <x:v>8</x:v>
      </x:c>
      <x:c r="Q332" s="44" t="str">
        <x:v>http-nio-8080-exec-37#245 | http-nio-8080-exec-38#246 | http-nio-8080-exec-39#247 | http-nio-8080-exec-40#250 | http-nio-8080-exec-42#252 | http-nio-8080-exec-43#285 | http-nio-8080-exec-44#286 | http-nio-8080-exec-45#287</x:v>
      </x:c>
      <x:c r="R332" s="36" t="n">
        <x:v>3</x:v>
      </x:c>
      <x:c r="S332" s="44" t="str">
        <x:v>ForkJoinPool.commonPool-worker-1#48 | ForkJoinPool.commonPool-worker-2#49 | ForkJoinPool.commonPool-worker-3#50</x:v>
      </x:c>
      <x:c r="T332" s="36" t="n">
        <x:v>0</x:v>
      </x:c>
      <x:c r="U332" s="44"/>
      <x:c r="V332" s="36" t="n">
        <x:v>0</x:v>
      </x:c>
      <x:c r="W332" s="44"/>
      <x:c r="X332" s="34" t="str">
        <x:v>unattributed-thread-signal</x:v>
      </x:c>
      <x:c r="Y332" s="44" t="str">
        <x:v>automated signatures are JCS-specific; all other candidate application threads remain unattributed and ownership requires the archived full dump</x:v>
      </x:c>
    </x:row>
    <x:row r="333">
      <x:c r="A333" s="34" t="str">
        <x:v>article1-unified-v4-2-fb3f101b-20260903-000401-default-f03-p5-caffeine</x:v>
      </x:c>
      <x:c r="B333" s="34" t="str">
        <x:v>default</x:v>
      </x:c>
      <x:c r="C333" s="34" t="str">
        <x:v>caffeine</x:v>
      </x:c>
      <x:c r="D333" s="36" t="n">
        <x:v>3</x:v>
      </x:c>
      <x:c r="E333" s="36" t="n">
        <x:v>3</x:v>
      </x:c>
      <x:c r="F333" s="36" t="n">
        <x:v>5</x:v>
      </x:c>
      <x:c r="G333" s="36" t="n">
        <x:v>3</x:v>
      </x:c>
      <x:c r="H333" s="34" t="str">
        <x:v>finalUndeployThreadEvidenceFinal</x:v>
      </x:c>
      <x:c r="I333" s="36" t="n">
        <x:v>2</x:v>
      </x:c>
      <x:c r="J333" s="34" t="str">
        <x:v>final</x:v>
      </x:c>
      <x:c r="K333" s="36" t="n">
        <x:v>30</x:v>
      </x:c>
      <x:c r="L333" s="51" t="n">
        <x:v>3</x:v>
      </x:c>
      <x:c r="M333" s="51" t="n">
        <x:v>0</x:v>
      </x:c>
      <x:c r="N333" s="36" t="n">
        <x:v>13</x:v>
      </x:c>
      <x:c r="O333" s="44" t="str">
        <x:v>ForkJoinPool.commonPool-worker-1#48 | ForkJoinPool.commonPool-worker-2#49 | ForkJoinPool.commonPool-worker-3#50 | http-nio-8080-exec-19#125 | http-nio-8080-exec-31#205 | http-nio-8080-exec-37#245 | http-nio-8080-exec-38#246 | http-nio-8080-exec-39#247 | http-nio-8080-exec-40#250 | http-nio-8080-exec-42#252 | http-nio-8080-exec-44#286 | http-nio-8080-exec-45#287 | http-nio-8080-exec-46#288</x:v>
      </x:c>
      <x:c r="P333" s="36" t="n">
        <x:v>8</x:v>
      </x:c>
      <x:c r="Q333" s="44" t="str">
        <x:v>http-nio-8080-exec-37#245 | http-nio-8080-exec-38#246 | http-nio-8080-exec-39#247 | http-nio-8080-exec-40#250 | http-nio-8080-exec-42#252 | http-nio-8080-exec-44#286 | http-nio-8080-exec-45#287 | http-nio-8080-exec-46#288</x:v>
      </x:c>
      <x:c r="R333" s="36" t="n">
        <x:v>3</x:v>
      </x:c>
      <x:c r="S333" s="44" t="str">
        <x:v>ForkJoinPool.commonPool-worker-1#48 | ForkJoinPool.commonPool-worker-2#49 | ForkJoinPool.commonPool-worker-3#50</x:v>
      </x:c>
      <x:c r="T333" s="36" t="n">
        <x:v>0</x:v>
      </x:c>
      <x:c r="U333" s="44"/>
      <x:c r="V333" s="36" t="n">
        <x:v>0</x:v>
      </x:c>
      <x:c r="W333" s="44"/>
      <x:c r="X333" s="34" t="str">
        <x:v>unattributed-thread-signal</x:v>
      </x:c>
      <x:c r="Y333" s="44" t="str">
        <x:v>automated signatures are JCS-specific; all other candidate application threads remain unattributed and ownership requires the archived full dump</x:v>
      </x:c>
    </x:row>
    <x:row r="334">
      <x:c r="A334" s="34" t="str">
        <x:v>article1-unified-v4-2-fb3f101b-20260903-000401-default-f03-p5-caffeine</x:v>
      </x:c>
      <x:c r="B334" s="34" t="str">
        <x:v>default</x:v>
      </x:c>
      <x:c r="C334" s="34" t="str">
        <x:v>caffeine</x:v>
      </x:c>
      <x:c r="D334" s="36" t="n">
        <x:v>3</x:v>
      </x:c>
      <x:c r="E334" s="36" t="n">
        <x:v>3</x:v>
      </x:c>
      <x:c r="F334" s="36" t="n">
        <x:v>5</x:v>
      </x:c>
      <x:c r="G334" s="36" t="n">
        <x:v>4</x:v>
      </x:c>
      <x:c r="H334" s="34" t="str">
        <x:v>firstUndeployThreadEvidenceEarly</x:v>
      </x:c>
      <x:c r="I334" s="36" t="n">
        <x:v>1</x:v>
      </x:c>
      <x:c r="J334" s="34" t="str">
        <x:v>early</x:v>
      </x:c>
      <x:c r="K334" s="36" t="n">
        <x:v>30</x:v>
      </x:c>
      <x:c r="L334" s="51" t="n">
        <x:v>3</x:v>
      </x:c>
      <x:c r="M334" s="51" t="n">
        <x:v>0</x:v>
      </x:c>
      <x:c r="N334" s="36" t="n">
        <x:v>13</x:v>
      </x:c>
      <x:c r="O334" s="44" t="str">
        <x:v>ForkJoinPool.commonPool-worker-1#48 | ForkJoinPool.commonPool-worker-2#49 | ForkJoinPool.commonPool-worker-3#50 | http-nio-8080-exec-19#125 | http-nio-8080-exec-37#245 | http-nio-8080-exec-39#247 | http-nio-8080-exec-44#286 | http-nio-8080-exec-45#287 | http-nio-8080-exec-46#288 | http-nio-8080-exec-48#292 | http-nio-8080-exec-49#325 | http-nio-8080-exec-50#326 | http-nio-8080-exec-51#327</x:v>
      </x:c>
      <x:c r="P334" s="36" t="n">
        <x:v>4</x:v>
      </x:c>
      <x:c r="Q334" s="44" t="str">
        <x:v>http-nio-8080-exec-48#292 | http-nio-8080-exec-49#325 | http-nio-8080-exec-50#326 | http-nio-8080-exec-51#327</x:v>
      </x:c>
      <x:c r="R334" s="36" t="n">
        <x:v>3</x:v>
      </x:c>
      <x:c r="S334" s="44" t="str">
        <x:v>ForkJoinPool.commonPool-worker-1#48 | ForkJoinPool.commonPool-worker-2#49 | ForkJoinPool.commonPool-worker-3#50</x:v>
      </x:c>
      <x:c r="T334" s="36" t="n">
        <x:v>0</x:v>
      </x:c>
      <x:c r="U334" s="44"/>
      <x:c r="V334" s="36" t="n">
        <x:v>0</x:v>
      </x:c>
      <x:c r="W334" s="44"/>
      <x:c r="X334" s="34" t="str">
        <x:v>unattributed-thread-signal</x:v>
      </x:c>
      <x:c r="Y334" s="44" t="str">
        <x:v>automated signatures are JCS-specific; all other candidate application threads remain unattributed and ownership requires the archived full dump</x:v>
      </x:c>
    </x:row>
    <x:row r="335">
      <x:c r="A335" s="34" t="str">
        <x:v>article1-unified-v4-2-fb3f101b-20260903-000401-default-f03-p5-caffeine</x:v>
      </x:c>
      <x:c r="B335" s="34" t="str">
        <x:v>default</x:v>
      </x:c>
      <x:c r="C335" s="34" t="str">
        <x:v>caffeine</x:v>
      </x:c>
      <x:c r="D335" s="36" t="n">
        <x:v>3</x:v>
      </x:c>
      <x:c r="E335" s="36" t="n">
        <x:v>3</x:v>
      </x:c>
      <x:c r="F335" s="36" t="n">
        <x:v>5</x:v>
      </x:c>
      <x:c r="G335" s="36" t="n">
        <x:v>4</x:v>
      </x:c>
      <x:c r="H335" s="34" t="str">
        <x:v>firstUndeployThreadEvidenceFinal</x:v>
      </x:c>
      <x:c r="I335" s="36" t="n">
        <x:v>1</x:v>
      </x:c>
      <x:c r="J335" s="34" t="str">
        <x:v>final</x:v>
      </x:c>
      <x:c r="K335" s="36" t="n">
        <x:v>30</x:v>
      </x:c>
      <x:c r="L335" s="51" t="n">
        <x:v>3</x:v>
      </x:c>
      <x:c r="M335" s="51" t="n">
        <x:v>0</x:v>
      </x:c>
      <x:c r="N335" s="36" t="n">
        <x:v>13</x:v>
      </x:c>
      <x:c r="O335" s="44" t="str">
        <x:v>ForkJoinPool.commonPool-worker-1#48 | ForkJoinPool.commonPool-worker-2#49 | ForkJoinPool.commonPool-worker-3#50 | http-nio-8080-exec-19#125 | http-nio-8080-exec-37#245 | http-nio-8080-exec-39#247 | http-nio-8080-exec-45#287 | http-nio-8080-exec-46#288 | http-nio-8080-exec-48#292 | http-nio-8080-exec-49#325 | http-nio-8080-exec-50#326 | http-nio-8080-exec-51#327 | http-nio-8080-exec-52#328</x:v>
      </x:c>
      <x:c r="P335" s="36" t="n">
        <x:v>5</x:v>
      </x:c>
      <x:c r="Q335" s="44" t="str">
        <x:v>http-nio-8080-exec-48#292 | http-nio-8080-exec-49#325 | http-nio-8080-exec-50#326 | http-nio-8080-exec-51#327 | http-nio-8080-exec-52#328</x:v>
      </x:c>
      <x:c r="R335" s="36" t="n">
        <x:v>3</x:v>
      </x:c>
      <x:c r="S335" s="44" t="str">
        <x:v>ForkJoinPool.commonPool-worker-1#48 | ForkJoinPool.commonPool-worker-2#49 | ForkJoinPool.commonPool-worker-3#50</x:v>
      </x:c>
      <x:c r="T335" s="36" t="n">
        <x:v>0</x:v>
      </x:c>
      <x:c r="U335" s="44"/>
      <x:c r="V335" s="36" t="n">
        <x:v>0</x:v>
      </x:c>
      <x:c r="W335" s="44"/>
      <x:c r="X335" s="34" t="str">
        <x:v>unattributed-thread-signal</x:v>
      </x:c>
      <x:c r="Y335" s="44" t="str">
        <x:v>automated signatures are JCS-specific; all other candidate application threads remain unattributed and ownership requires the archived full dump</x:v>
      </x:c>
    </x:row>
    <x:row r="336">
      <x:c r="A336" s="34" t="str">
        <x:v>article1-unified-v4-2-fb3f101b-20260903-000401-default-f03-p5-caffeine</x:v>
      </x:c>
      <x:c r="B336" s="34" t="str">
        <x:v>default</x:v>
      </x:c>
      <x:c r="C336" s="34" t="str">
        <x:v>caffeine</x:v>
      </x:c>
      <x:c r="D336" s="36" t="n">
        <x:v>3</x:v>
      </x:c>
      <x:c r="E336" s="36" t="n">
        <x:v>3</x:v>
      </x:c>
      <x:c r="F336" s="36" t="n">
        <x:v>5</x:v>
      </x:c>
      <x:c r="G336" s="36" t="n">
        <x:v>4</x:v>
      </x:c>
      <x:c r="H336" s="34" t="str">
        <x:v>finalUndeployThreadEvidenceEarly</x:v>
      </x:c>
      <x:c r="I336" s="36" t="n">
        <x:v>2</x:v>
      </x:c>
      <x:c r="J336" s="34" t="str">
        <x:v>early</x:v>
      </x:c>
      <x:c r="K336" s="36" t="n">
        <x:v>30</x:v>
      </x:c>
      <x:c r="L336" s="51" t="n">
        <x:v>3</x:v>
      </x:c>
      <x:c r="M336" s="51" t="n">
        <x:v>0</x:v>
      </x:c>
      <x:c r="N336" s="36" t="n">
        <x:v>13</x:v>
      </x:c>
      <x:c r="O336" s="44" t="str">
        <x:v>ForkJoinPool.commonPool-worker-1#48 | ForkJoinPool.commonPool-worker-2#49 | ForkJoinPool.commonPool-worker-3#50 | http-nio-8080-exec-45#287 | http-nio-8080-exec-46#288 | http-nio-8080-exec-50#326 | http-nio-8080-exec-51#327 | http-nio-8080-exec-52#328 | http-nio-8080-exec-53#331 | http-nio-8080-exec-54#332 | http-nio-8080-exec-55#333 | http-nio-8080-exec-57#367 | http-nio-8080-exec-58#368</x:v>
      </x:c>
      <x:c r="P336" s="36" t="n">
        <x:v>8</x:v>
      </x:c>
      <x:c r="Q336" s="44" t="str">
        <x:v>http-nio-8080-exec-50#326 | http-nio-8080-exec-51#327 | http-nio-8080-exec-52#328 | http-nio-8080-exec-53#331 | http-nio-8080-exec-54#332 | http-nio-8080-exec-55#333 | http-nio-8080-exec-57#367 | http-nio-8080-exec-58#368</x:v>
      </x:c>
      <x:c r="R336" s="36" t="n">
        <x:v>3</x:v>
      </x:c>
      <x:c r="S336" s="44" t="str">
        <x:v>ForkJoinPool.commonPool-worker-1#48 | ForkJoinPool.commonPool-worker-2#49 | ForkJoinPool.commonPool-worker-3#50</x:v>
      </x:c>
      <x:c r="T336" s="36" t="n">
        <x:v>0</x:v>
      </x:c>
      <x:c r="U336" s="44"/>
      <x:c r="V336" s="36" t="n">
        <x:v>0</x:v>
      </x:c>
      <x:c r="W336" s="44"/>
      <x:c r="X336" s="34" t="str">
        <x:v>unattributed-thread-signal</x:v>
      </x:c>
      <x:c r="Y336" s="44" t="str">
        <x:v>automated signatures are JCS-specific; all other candidate application threads remain unattributed and ownership requires the archived full dump</x:v>
      </x:c>
    </x:row>
    <x:row r="337">
      <x:c r="A337" s="34" t="str">
        <x:v>article1-unified-v4-2-fb3f101b-20260903-000401-default-f03-p5-caffeine</x:v>
      </x:c>
      <x:c r="B337" s="34" t="str">
        <x:v>default</x:v>
      </x:c>
      <x:c r="C337" s="34" t="str">
        <x:v>caffeine</x:v>
      </x:c>
      <x:c r="D337" s="36" t="n">
        <x:v>3</x:v>
      </x:c>
      <x:c r="E337" s="36" t="n">
        <x:v>3</x:v>
      </x:c>
      <x:c r="F337" s="36" t="n">
        <x:v>5</x:v>
      </x:c>
      <x:c r="G337" s="36" t="n">
        <x:v>4</x:v>
      </x:c>
      <x:c r="H337" s="34" t="str">
        <x:v>finalUndeployThreadEvidenceFinal</x:v>
      </x:c>
      <x:c r="I337" s="36" t="n">
        <x:v>2</x:v>
      </x:c>
      <x:c r="J337" s="34" t="str">
        <x:v>final</x:v>
      </x:c>
      <x:c r="K337" s="36" t="n">
        <x:v>30</x:v>
      </x:c>
      <x:c r="L337" s="51" t="n">
        <x:v>3</x:v>
      </x:c>
      <x:c r="M337" s="51" t="n">
        <x:v>0</x:v>
      </x:c>
      <x:c r="N337" s="36" t="n">
        <x:v>13</x:v>
      </x:c>
      <x:c r="O337" s="44" t="str">
        <x:v>ForkJoinPool.commonPool-worker-1#48 | ForkJoinPool.commonPool-worker-2#49 | ForkJoinPool.commonPool-worker-3#50 | http-nio-8080-exec-45#287 | http-nio-8080-exec-50#326 | http-nio-8080-exec-51#327 | http-nio-8080-exec-52#328 | http-nio-8080-exec-53#331 | http-nio-8080-exec-54#332 | http-nio-8080-exec-55#333 | http-nio-8080-exec-57#367 | http-nio-8080-exec-58#368 | http-nio-8080-exec-59#369</x:v>
      </x:c>
      <x:c r="P337" s="36" t="n">
        <x:v>9</x:v>
      </x:c>
      <x:c r="Q337" s="44" t="str">
        <x:v>http-nio-8080-exec-50#326 | http-nio-8080-exec-51#327 | http-nio-8080-exec-52#328 | http-nio-8080-exec-53#331 | http-nio-8080-exec-54#332 | http-nio-8080-exec-55#333 | http-nio-8080-exec-57#367 | http-nio-8080-exec-58#368 | http-nio-8080-exec-59#369</x:v>
      </x:c>
      <x:c r="R337" s="36" t="n">
        <x:v>3</x:v>
      </x:c>
      <x:c r="S337" s="44" t="str">
        <x:v>ForkJoinPool.commonPool-worker-1#48 | ForkJoinPool.commonPool-worker-2#49 | ForkJoinPool.commonPool-worker-3#50</x:v>
      </x:c>
      <x:c r="T337" s="36" t="n">
        <x:v>0</x:v>
      </x:c>
      <x:c r="U337" s="44"/>
      <x:c r="V337" s="36" t="n">
        <x:v>0</x:v>
      </x:c>
      <x:c r="W337" s="44"/>
      <x:c r="X337" s="34" t="str">
        <x:v>unattributed-thread-signal</x:v>
      </x:c>
      <x:c r="Y337" s="44" t="str">
        <x:v>automated signatures are JCS-specific; all other candidate application threads remain unattributed and ownership requires the archived full dump</x:v>
      </x:c>
    </x:row>
    <x:row r="338">
      <x:c r="A338" s="34" t="str">
        <x:v>article1-unified-v4-2-fb3f101b-20260903-000401-default-f03-p5-caffeine</x:v>
      </x:c>
      <x:c r="B338" s="34" t="str">
        <x:v>default</x:v>
      </x:c>
      <x:c r="C338" s="34" t="str">
        <x:v>caffeine</x:v>
      </x:c>
      <x:c r="D338" s="36" t="n">
        <x:v>3</x:v>
      </x:c>
      <x:c r="E338" s="36" t="n">
        <x:v>3</x:v>
      </x:c>
      <x:c r="F338" s="36" t="n">
        <x:v>5</x:v>
      </x:c>
      <x:c r="G338" s="36" t="n">
        <x:v>5</x:v>
      </x:c>
      <x:c r="H338" s="34" t="str">
        <x:v>firstUndeployThreadEvidenceEarly</x:v>
      </x:c>
      <x:c r="I338" s="36" t="n">
        <x:v>1</x:v>
      </x:c>
      <x:c r="J338" s="34" t="str">
        <x:v>early</x:v>
      </x:c>
      <x:c r="K338" s="36" t="n">
        <x:v>30</x:v>
      </x:c>
      <x:c r="L338" s="51" t="n">
        <x:v>3</x:v>
      </x:c>
      <x:c r="M338" s="51" t="n">
        <x:v>0</x:v>
      </x:c>
      <x:c r="N338" s="36" t="n">
        <x:v>13</x:v>
      </x:c>
      <x:c r="O338" s="44" t="str">
        <x:v>ForkJoinPool.commonPool-worker-1#48 | ForkJoinPool.commonPool-worker-2#49 | ForkJoinPool.commonPool-worker-3#50 | http-nio-8080-exec-45#287 | http-nio-8080-exec-51#327 | http-nio-8080-exec-54#332 | http-nio-8080-exec-58#368 | http-nio-8080-exec-59#369 | http-nio-8080-exec-60#372 | http-nio-8080-exec-61#373 | http-nio-8080-exec-62#406 | http-nio-8080-exec-63#407 | http-nio-8080-exec-64#408</x:v>
      </x:c>
      <x:c r="P338" s="36" t="n">
        <x:v>5</x:v>
      </x:c>
      <x:c r="Q338" s="44" t="str">
        <x:v>http-nio-8080-exec-60#372 | http-nio-8080-exec-61#373 | http-nio-8080-exec-62#406 | http-nio-8080-exec-63#407 | http-nio-8080-exec-64#408</x:v>
      </x:c>
      <x:c r="R338" s="36" t="n">
        <x:v>3</x:v>
      </x:c>
      <x:c r="S338" s="44" t="str">
        <x:v>ForkJoinPool.commonPool-worker-1#48 | ForkJoinPool.commonPool-worker-2#49 | ForkJoinPool.commonPool-worker-3#50</x:v>
      </x:c>
      <x:c r="T338" s="36" t="n">
        <x:v>0</x:v>
      </x:c>
      <x:c r="U338" s="44"/>
      <x:c r="V338" s="36" t="n">
        <x:v>0</x:v>
      </x:c>
      <x:c r="W338" s="44"/>
      <x:c r="X338" s="34" t="str">
        <x:v>unattributed-thread-signal</x:v>
      </x:c>
      <x:c r="Y338" s="44" t="str">
        <x:v>automated signatures are JCS-specific; all other candidate application threads remain unattributed and ownership requires the archived full dump</x:v>
      </x:c>
    </x:row>
    <x:row r="339">
      <x:c r="A339" s="34" t="str">
        <x:v>article1-unified-v4-2-fb3f101b-20260903-000401-default-f03-p5-caffeine</x:v>
      </x:c>
      <x:c r="B339" s="34" t="str">
        <x:v>default</x:v>
      </x:c>
      <x:c r="C339" s="34" t="str">
        <x:v>caffeine</x:v>
      </x:c>
      <x:c r="D339" s="36" t="n">
        <x:v>3</x:v>
      </x:c>
      <x:c r="E339" s="36" t="n">
        <x:v>3</x:v>
      </x:c>
      <x:c r="F339" s="36" t="n">
        <x:v>5</x:v>
      </x:c>
      <x:c r="G339" s="36" t="n">
        <x:v>5</x:v>
      </x:c>
      <x:c r="H339" s="34" t="str">
        <x:v>firstUndeployThreadEvidenceFinal</x:v>
      </x:c>
      <x:c r="I339" s="36" t="n">
        <x:v>1</x:v>
      </x:c>
      <x:c r="J339" s="34" t="str">
        <x:v>final</x:v>
      </x:c>
      <x:c r="K339" s="36" t="n">
        <x:v>30</x:v>
      </x:c>
      <x:c r="L339" s="51" t="n">
        <x:v>3</x:v>
      </x:c>
      <x:c r="M339" s="51" t="n">
        <x:v>0</x:v>
      </x:c>
      <x:c r="N339" s="36" t="n">
        <x:v>13</x:v>
      </x:c>
      <x:c r="O339" s="44" t="str">
        <x:v>ForkJoinPool.commonPool-worker-1#48 | ForkJoinPool.commonPool-worker-2#49 | ForkJoinPool.commonPool-worker-3#50 | http-nio-8080-exec-45#287 | http-nio-8080-exec-51#327 | http-nio-8080-exec-54#332 | http-nio-8080-exec-58#368 | http-nio-8080-exec-59#369 | http-nio-8080-exec-61#373 | http-nio-8080-exec-62#406 | http-nio-8080-exec-63#407 | http-nio-8080-exec-64#408 | http-nio-8080-exec-65#409</x:v>
      </x:c>
      <x:c r="P339" s="36" t="n">
        <x:v>5</x:v>
      </x:c>
      <x:c r="Q339" s="44" t="str">
        <x:v>http-nio-8080-exec-61#373 | http-nio-8080-exec-62#406 | http-nio-8080-exec-63#407 | http-nio-8080-exec-64#408 | http-nio-8080-exec-65#409</x:v>
      </x:c>
      <x:c r="R339" s="36" t="n">
        <x:v>3</x:v>
      </x:c>
      <x:c r="S339" s="44" t="str">
        <x:v>ForkJoinPool.commonPool-worker-1#48 | ForkJoinPool.commonPool-worker-2#49 | ForkJoinPool.commonPool-worker-3#50</x:v>
      </x:c>
      <x:c r="T339" s="36" t="n">
        <x:v>0</x:v>
      </x:c>
      <x:c r="U339" s="44"/>
      <x:c r="V339" s="36" t="n">
        <x:v>0</x:v>
      </x:c>
      <x:c r="W339" s="44"/>
      <x:c r="X339" s="34" t="str">
        <x:v>unattributed-thread-signal</x:v>
      </x:c>
      <x:c r="Y339" s="44" t="str">
        <x:v>automated signatures are JCS-specific; all other candidate application threads remain unattributed and ownership requires the archived full dump</x:v>
      </x:c>
    </x:row>
    <x:row r="340">
      <x:c r="A340" s="34" t="str">
        <x:v>article1-unified-v4-2-fb3f101b-20260903-000401-default-f03-p5-caffeine</x:v>
      </x:c>
      <x:c r="B340" s="34" t="str">
        <x:v>default</x:v>
      </x:c>
      <x:c r="C340" s="34" t="str">
        <x:v>caffeine</x:v>
      </x:c>
      <x:c r="D340" s="36" t="n">
        <x:v>3</x:v>
      </x:c>
      <x:c r="E340" s="36" t="n">
        <x:v>3</x:v>
      </x:c>
      <x:c r="F340" s="36" t="n">
        <x:v>5</x:v>
      </x:c>
      <x:c r="G340" s="36" t="n">
        <x:v>5</x:v>
      </x:c>
      <x:c r="H340" s="34" t="str">
        <x:v>finalUndeployThreadEvidenceEarly</x:v>
      </x:c>
      <x:c r="I340" s="36" t="n">
        <x:v>2</x:v>
      </x:c>
      <x:c r="J340" s="34" t="str">
        <x:v>early</x:v>
      </x:c>
      <x:c r="K340" s="36" t="n">
        <x:v>30</x:v>
      </x:c>
      <x:c r="L340" s="51" t="n">
        <x:v>3</x:v>
      </x:c>
      <x:c r="M340" s="51" t="n">
        <x:v>0</x:v>
      </x:c>
      <x:c r="N340" s="36" t="n">
        <x:v>13</x:v>
      </x:c>
      <x:c r="O340" s="44" t="str">
        <x:v>ForkJoinPool.commonPool-worker-1#48 | ForkJoinPool.commonPool-worker-2#49 | ForkJoinPool.commonPool-worker-3#50 | http-nio-8080-exec-59#369 | http-nio-8080-exec-62#406 | http-nio-8080-exec-63#407 | http-nio-8080-exec-64#408 | http-nio-8080-exec-65#409 | http-nio-8080-exec-66#412 | http-nio-8080-exec-67#413 | http-nio-8080-exec-68#414 | http-nio-8080-exec-70#448 | http-nio-8080-exec-71#449</x:v>
      </x:c>
      <x:c r="P340" s="36" t="n">
        <x:v>9</x:v>
      </x:c>
      <x:c r="Q340" s="44" t="str">
        <x:v>http-nio-8080-exec-62#406 | http-nio-8080-exec-63#407 | http-nio-8080-exec-64#408 | http-nio-8080-exec-65#409 | http-nio-8080-exec-66#412 | http-nio-8080-exec-67#413 | http-nio-8080-exec-68#414 | http-nio-8080-exec-70#448 | http-nio-8080-exec-71#449</x:v>
      </x:c>
      <x:c r="R340" s="36" t="n">
        <x:v>3</x:v>
      </x:c>
      <x:c r="S340" s="44" t="str">
        <x:v>ForkJoinPool.commonPool-worker-1#48 | ForkJoinPool.commonPool-worker-2#49 | ForkJoinPool.commonPool-worker-3#50</x:v>
      </x:c>
      <x:c r="T340" s="36" t="n">
        <x:v>0</x:v>
      </x:c>
      <x:c r="U340" s="44"/>
      <x:c r="V340" s="36" t="n">
        <x:v>0</x:v>
      </x:c>
      <x:c r="W340" s="44"/>
      <x:c r="X340" s="34" t="str">
        <x:v>unattributed-thread-signal</x:v>
      </x:c>
      <x:c r="Y340" s="44" t="str">
        <x:v>automated signatures are JCS-specific; all other candidate application threads remain unattributed and ownership requires the archived full dump</x:v>
      </x:c>
    </x:row>
    <x:row r="341">
      <x:c r="A341" s="34" t="str">
        <x:v>article1-unified-v4-2-fb3f101b-20260903-000401-default-f03-p5-caffeine</x:v>
      </x:c>
      <x:c r="B341" s="34" t="str">
        <x:v>default</x:v>
      </x:c>
      <x:c r="C341" s="34" t="str">
        <x:v>caffeine</x:v>
      </x:c>
      <x:c r="D341" s="36" t="n">
        <x:v>3</x:v>
      </x:c>
      <x:c r="E341" s="36" t="n">
        <x:v>3</x:v>
      </x:c>
      <x:c r="F341" s="36" t="n">
        <x:v>5</x:v>
      </x:c>
      <x:c r="G341" s="36" t="n">
        <x:v>5</x:v>
      </x:c>
      <x:c r="H341" s="34" t="str">
        <x:v>finalUndeployThreadEvidenceFinal</x:v>
      </x:c>
      <x:c r="I341" s="36" t="n">
        <x:v>2</x:v>
      </x:c>
      <x:c r="J341" s="34" t="str">
        <x:v>final</x:v>
      </x:c>
      <x:c r="K341" s="36" t="n">
        <x:v>30</x:v>
      </x:c>
      <x:c r="L341" s="51" t="n">
        <x:v>3</x:v>
      </x:c>
      <x:c r="M341" s="51" t="n">
        <x:v>0</x:v>
      </x:c>
      <x:c r="N341" s="36" t="n">
        <x:v>13</x:v>
      </x:c>
      <x:c r="O341" s="44" t="str">
        <x:v>ForkJoinPool.commonPool-worker-1#48 | ForkJoinPool.commonPool-worker-2#49 | ForkJoinPool.commonPool-worker-3#50 | http-nio-8080-exec-59#369 | http-nio-8080-exec-62#406 | http-nio-8080-exec-63#407 | http-nio-8080-exec-64#408 | http-nio-8080-exec-65#409 | http-nio-8080-exec-67#413 | http-nio-8080-exec-68#414 | http-nio-8080-exec-70#448 | http-nio-8080-exec-71#449 | http-nio-8080-exec-72#450</x:v>
      </x:c>
      <x:c r="P341" s="36" t="n">
        <x:v>9</x:v>
      </x:c>
      <x:c r="Q341" s="44" t="str">
        <x:v>http-nio-8080-exec-62#406 | http-nio-8080-exec-63#407 | http-nio-8080-exec-64#408 | http-nio-8080-exec-65#409 | http-nio-8080-exec-67#413 | http-nio-8080-exec-68#414 | http-nio-8080-exec-70#448 | http-nio-8080-exec-71#449 | http-nio-8080-exec-72#450</x:v>
      </x:c>
      <x:c r="R341" s="36" t="n">
        <x:v>3</x:v>
      </x:c>
      <x:c r="S341" s="44" t="str">
        <x:v>ForkJoinPool.commonPool-worker-1#48 | ForkJoinPool.commonPool-worker-2#49 | ForkJoinPool.commonPool-worker-3#50</x:v>
      </x:c>
      <x:c r="T341" s="36" t="n">
        <x:v>0</x:v>
      </x:c>
      <x:c r="U341" s="44"/>
      <x:c r="V341" s="36" t="n">
        <x:v>0</x:v>
      </x:c>
      <x:c r="W341" s="44"/>
      <x:c r="X341" s="34" t="str">
        <x:v>unattributed-thread-signal</x:v>
      </x:c>
      <x:c r="Y341" s="44" t="str">
        <x:v>automated signatures are JCS-specific; all other candidate application threads remain unattributed and ownership requires the archived full dump</x:v>
      </x:c>
    </x:row>
    <x:row r="342">
      <x:c r="A342" s="34" t="str">
        <x:v>article1-unified-v4-2-fb3f101b-20260903-000401-default-f03-p6-nostore</x:v>
      </x:c>
      <x:c r="B342" s="34" t="str">
        <x:v>default</x:v>
      </x:c>
      <x:c r="C342" s="34" t="str">
        <x:v>nostore</x:v>
      </x:c>
      <x:c r="D342" s="36" t="n">
        <x:v>3</x:v>
      </x:c>
      <x:c r="E342" s="36" t="n">
        <x:v>3</x:v>
      </x:c>
      <x:c r="F342" s="36" t="n">
        <x:v>6</x:v>
      </x:c>
      <x:c r="G342" s="36" t="n">
        <x:v>1</x:v>
      </x:c>
      <x:c r="H342" s="34" t="str">
        <x:v>firstUndeployThreadEvidenceEarly</x:v>
      </x:c>
      <x:c r="I342" s="36" t="n">
        <x:v>1</x:v>
      </x:c>
      <x:c r="J342" s="34" t="str">
        <x:v>early</x:v>
      </x:c>
      <x:c r="K342" s="36" t="n">
        <x:v>27</x:v>
      </x:c>
      <x:c r="L342" s="51" t="n">
        <x:v>0</x:v>
      </x:c>
      <x:c r="M342" s="51" t="n">
        <x:v>0</x:v>
      </x:c>
      <x:c r="N342" s="36" t="n">
        <x:v>2</x:v>
      </x:c>
      <x:c r="O342" s="44" t="str">
        <x:v>http-nio-8080-exec-11#80 | http-nio-8080-exec-12#81</x:v>
      </x:c>
      <x:c r="P342" s="36" t="n">
        <x:v>2</x:v>
      </x:c>
      <x:c r="Q342" s="44" t="str">
        <x:v>http-nio-8080-exec-11#80 | http-nio-8080-exec-12#81</x:v>
      </x:c>
      <x:c r="R342" s="36" t="n">
        <x:v>0</x:v>
      </x:c>
      <x:c r="S342" s="44"/>
      <x:c r="T342" s="36" t="n">
        <x:v>0</x:v>
      </x:c>
      <x:c r="U342" s="44"/>
      <x:c r="V342" s="36" t="n">
        <x:v>0</x:v>
      </x:c>
      <x:c r="W342" s="44"/>
      <x:c r="X342" s="34" t="str">
        <x:v>no-post-undeploy-thread-signal</x:v>
      </x:c>
      <x:c r="Y342" s="44" t="str">
        <x:v>automated signatures are JCS-specific; all other candidate application threads remain unattributed and ownership requires the archived full dump</x:v>
      </x:c>
    </x:row>
    <x:row r="343">
      <x:c r="A343" s="34" t="str">
        <x:v>article1-unified-v4-2-fb3f101b-20260903-000401-default-f03-p6-nostore</x:v>
      </x:c>
      <x:c r="B343" s="34" t="str">
        <x:v>default</x:v>
      </x:c>
      <x:c r="C343" s="34" t="str">
        <x:v>nostore</x:v>
      </x:c>
      <x:c r="D343" s="36" t="n">
        <x:v>3</x:v>
      </x:c>
      <x:c r="E343" s="36" t="n">
        <x:v>3</x:v>
      </x:c>
      <x:c r="F343" s="36" t="n">
        <x:v>6</x:v>
      </x:c>
      <x:c r="G343" s="36" t="n">
        <x:v>1</x:v>
      </x:c>
      <x:c r="H343" s="34" t="str">
        <x:v>firstUndeployThreadEvidenceFinal</x:v>
      </x:c>
      <x:c r="I343" s="36" t="n">
        <x:v>1</x:v>
      </x:c>
      <x:c r="J343" s="34" t="str">
        <x:v>final</x:v>
      </x:c>
      <x:c r="K343" s="36" t="n">
        <x:v>27</x:v>
      </x:c>
      <x:c r="L343" s="51" t="n">
        <x:v>0</x:v>
      </x:c>
      <x:c r="M343" s="51" t="n">
        <x:v>0</x:v>
      </x:c>
      <x:c r="N343" s="36" t="n">
        <x:v>3</x:v>
      </x:c>
      <x:c r="O343" s="44" t="str">
        <x:v>http-nio-8080-exec-11#80 | http-nio-8080-exec-12#81 | http-nio-8080-exec-13#82</x:v>
      </x:c>
      <x:c r="P343" s="36" t="n">
        <x:v>3</x:v>
      </x:c>
      <x:c r="Q343" s="44" t="str">
        <x:v>http-nio-8080-exec-11#80 | http-nio-8080-exec-12#81 | http-nio-8080-exec-13#82</x:v>
      </x:c>
      <x:c r="R343" s="36" t="n">
        <x:v>0</x:v>
      </x:c>
      <x:c r="S343" s="44"/>
      <x:c r="T343" s="36" t="n">
        <x:v>0</x:v>
      </x:c>
      <x:c r="U343" s="44"/>
      <x:c r="V343" s="36" t="n">
        <x:v>0</x:v>
      </x:c>
      <x:c r="W343" s="44"/>
      <x:c r="X343" s="34" t="str">
        <x:v>no-post-undeploy-thread-signal</x:v>
      </x:c>
      <x:c r="Y343" s="44" t="str">
        <x:v>automated signatures are JCS-specific; all other candidate application threads remain unattributed and ownership requires the archived full dump</x:v>
      </x:c>
    </x:row>
    <x:row r="344">
      <x:c r="A344" s="34" t="str">
        <x:v>article1-unified-v4-2-fb3f101b-20260903-000401-default-f03-p6-nostore</x:v>
      </x:c>
      <x:c r="B344" s="34" t="str">
        <x:v>default</x:v>
      </x:c>
      <x:c r="C344" s="34" t="str">
        <x:v>nostore</x:v>
      </x:c>
      <x:c r="D344" s="36" t="n">
        <x:v>3</x:v>
      </x:c>
      <x:c r="E344" s="36" t="n">
        <x:v>3</x:v>
      </x:c>
      <x:c r="F344" s="36" t="n">
        <x:v>6</x:v>
      </x:c>
      <x:c r="G344" s="36" t="n">
        <x:v>1</x:v>
      </x:c>
      <x:c r="H344" s="34" t="str">
        <x:v>finalUndeployThreadEvidenceEarly</x:v>
      </x:c>
      <x:c r="I344" s="36" t="n">
        <x:v>2</x:v>
      </x:c>
      <x:c r="J344" s="34" t="str">
        <x:v>early</x:v>
      </x:c>
      <x:c r="K344" s="36" t="n">
        <x:v>27</x:v>
      </x:c>
      <x:c r="L344" s="51" t="n">
        <x:v>0</x:v>
      </x:c>
      <x:c r="M344" s="51" t="n">
        <x:v>0</x:v>
      </x:c>
      <x:c r="N344" s="36" t="n">
        <x:v>8</x:v>
      </x:c>
      <x:c r="O344" s="44" t="str">
        <x:v>http-nio-8080-exec-11#80 | http-nio-8080-exec-12#81 | http-nio-8080-exec-14#85 | http-nio-8080-exec-15#86 | http-nio-8080-exec-16#87 | http-nio-8080-exec-17#120 | http-nio-8080-exec-18#121 | http-nio-8080-exec-19#122</x:v>
      </x:c>
      <x:c r="P344" s="36" t="n">
        <x:v>8</x:v>
      </x:c>
      <x:c r="Q344" s="44" t="str">
        <x:v>http-nio-8080-exec-11#80 | http-nio-8080-exec-12#81 | http-nio-8080-exec-14#85 | http-nio-8080-exec-15#86 | http-nio-8080-exec-16#87 | http-nio-8080-exec-17#120 | http-nio-8080-exec-18#121 | http-nio-8080-exec-19#122</x:v>
      </x:c>
      <x:c r="R344" s="36" t="n">
        <x:v>0</x:v>
      </x:c>
      <x:c r="S344" s="44"/>
      <x:c r="T344" s="36" t="n">
        <x:v>0</x:v>
      </x:c>
      <x:c r="U344" s="44"/>
      <x:c r="V344" s="36" t="n">
        <x:v>0</x:v>
      </x:c>
      <x:c r="W344" s="44"/>
      <x:c r="X344" s="34" t="str">
        <x:v>no-post-undeploy-thread-signal</x:v>
      </x:c>
      <x:c r="Y344" s="44" t="str">
        <x:v>automated signatures are JCS-specific; all other candidate application threads remain unattributed and ownership requires the archived full dump</x:v>
      </x:c>
    </x:row>
    <x:row r="345">
      <x:c r="A345" s="34" t="str">
        <x:v>article1-unified-v4-2-fb3f101b-20260903-000401-default-f03-p6-nostore</x:v>
      </x:c>
      <x:c r="B345" s="34" t="str">
        <x:v>default</x:v>
      </x:c>
      <x:c r="C345" s="34" t="str">
        <x:v>nostore</x:v>
      </x:c>
      <x:c r="D345" s="36" t="n">
        <x:v>3</x:v>
      </x:c>
      <x:c r="E345" s="36" t="n">
        <x:v>3</x:v>
      </x:c>
      <x:c r="F345" s="36" t="n">
        <x:v>6</x:v>
      </x:c>
      <x:c r="G345" s="36" t="n">
        <x:v>1</x:v>
      </x:c>
      <x:c r="H345" s="34" t="str">
        <x:v>finalUndeployThreadEvidenceFinal</x:v>
      </x:c>
      <x:c r="I345" s="36" t="n">
        <x:v>2</x:v>
      </x:c>
      <x:c r="J345" s="34" t="str">
        <x:v>final</x:v>
      </x:c>
      <x:c r="K345" s="36" t="n">
        <x:v>27</x:v>
      </x:c>
      <x:c r="L345" s="51" t="n">
        <x:v>0</x:v>
      </x:c>
      <x:c r="M345" s="51" t="n">
        <x:v>0</x:v>
      </x:c>
      <x:c r="N345" s="36" t="n">
        <x:v>8</x:v>
      </x:c>
      <x:c r="O345" s="44" t="str">
        <x:v>http-nio-8080-exec-11#80 | http-nio-8080-exec-12#81 | http-nio-8080-exec-14#85 | http-nio-8080-exec-15#86 | http-nio-8080-exec-16#87 | http-nio-8080-exec-18#121 | http-nio-8080-exec-19#122 | http-nio-8080-exec-20#123</x:v>
      </x:c>
      <x:c r="P345" s="36" t="n">
        <x:v>8</x:v>
      </x:c>
      <x:c r="Q345" s="44" t="str">
        <x:v>http-nio-8080-exec-11#80 | http-nio-8080-exec-12#81 | http-nio-8080-exec-14#85 | http-nio-8080-exec-15#86 | http-nio-8080-exec-16#87 | http-nio-8080-exec-18#121 | http-nio-8080-exec-19#122 | http-nio-8080-exec-20#123</x:v>
      </x:c>
      <x:c r="R345" s="36" t="n">
        <x:v>0</x:v>
      </x:c>
      <x:c r="S345" s="44"/>
      <x:c r="T345" s="36" t="n">
        <x:v>0</x:v>
      </x:c>
      <x:c r="U345" s="44"/>
      <x:c r="V345" s="36" t="n">
        <x:v>0</x:v>
      </x:c>
      <x:c r="W345" s="44"/>
      <x:c r="X345" s="34" t="str">
        <x:v>no-post-undeploy-thread-signal</x:v>
      </x:c>
      <x:c r="Y345" s="44" t="str">
        <x:v>automated signatures are JCS-specific; all other candidate application threads remain unattributed and ownership requires the archived full dump</x:v>
      </x:c>
    </x:row>
    <x:row r="346">
      <x:c r="A346" s="34" t="str">
        <x:v>article1-unified-v4-2-fb3f101b-20260903-000401-default-f03-p6-nostore</x:v>
      </x:c>
      <x:c r="B346" s="34" t="str">
        <x:v>default</x:v>
      </x:c>
      <x:c r="C346" s="34" t="str">
        <x:v>nostore</x:v>
      </x:c>
      <x:c r="D346" s="36" t="n">
        <x:v>3</x:v>
      </x:c>
      <x:c r="E346" s="36" t="n">
        <x:v>3</x:v>
      </x:c>
      <x:c r="F346" s="36" t="n">
        <x:v>6</x:v>
      </x:c>
      <x:c r="G346" s="36" t="n">
        <x:v>2</x:v>
      </x:c>
      <x:c r="H346" s="34" t="str">
        <x:v>firstUndeployThreadEvidenceEarly</x:v>
      </x:c>
      <x:c r="I346" s="36" t="n">
        <x:v>1</x:v>
      </x:c>
      <x:c r="J346" s="34" t="str">
        <x:v>early</x:v>
      </x:c>
      <x:c r="K346" s="36" t="n">
        <x:v>27</x:v>
      </x:c>
      <x:c r="L346" s="51" t="n">
        <x:v>0</x:v>
      </x:c>
      <x:c r="M346" s="51" t="n">
        <x:v>0</x:v>
      </x:c>
      <x:c r="N346" s="36" t="n">
        <x:v>10</x:v>
      </x:c>
      <x:c r="O346" s="44" t="str">
        <x:v>http-nio-8080-exec-11#80 | http-nio-8080-exec-12#81 | http-nio-8080-exec-15#86 | http-nio-8080-exec-18#121 | http-nio-8080-exec-19#122 | http-nio-8080-exec-20#123 | http-nio-8080-exec-22#127 | http-nio-8080-exec-23#160 | http-nio-8080-exec-24#161 | http-nio-8080-exec-25#162</x:v>
      </x:c>
      <x:c r="P346" s="36" t="n">
        <x:v>4</x:v>
      </x:c>
      <x:c r="Q346" s="44" t="str">
        <x:v>http-nio-8080-exec-22#127 | http-nio-8080-exec-23#160 | http-nio-8080-exec-24#161 | http-nio-8080-exec-25#162</x:v>
      </x:c>
      <x:c r="R346" s="36" t="n">
        <x:v>0</x:v>
      </x:c>
      <x:c r="S346" s="44"/>
      <x:c r="T346" s="36" t="n">
        <x:v>0</x:v>
      </x:c>
      <x:c r="U346" s="44"/>
      <x:c r="V346" s="36" t="n">
        <x:v>0</x:v>
      </x:c>
      <x:c r="W346" s="44"/>
      <x:c r="X346" s="34" t="str">
        <x:v>no-post-undeploy-thread-signal</x:v>
      </x:c>
      <x:c r="Y346" s="44" t="str">
        <x:v>automated signatures are JCS-specific; all other candidate application threads remain unattributed and ownership requires the archived full dump</x:v>
      </x:c>
    </x:row>
    <x:row r="347">
      <x:c r="A347" s="34" t="str">
        <x:v>article1-unified-v4-2-fb3f101b-20260903-000401-default-f03-p6-nostore</x:v>
      </x:c>
      <x:c r="B347" s="34" t="str">
        <x:v>default</x:v>
      </x:c>
      <x:c r="C347" s="34" t="str">
        <x:v>nostore</x:v>
      </x:c>
      <x:c r="D347" s="36" t="n">
        <x:v>3</x:v>
      </x:c>
      <x:c r="E347" s="36" t="n">
        <x:v>3</x:v>
      </x:c>
      <x:c r="F347" s="36" t="n">
        <x:v>6</x:v>
      </x:c>
      <x:c r="G347" s="36" t="n">
        <x:v>2</x:v>
      </x:c>
      <x:c r="H347" s="34" t="str">
        <x:v>firstUndeployThreadEvidenceFinal</x:v>
      </x:c>
      <x:c r="I347" s="36" t="n">
        <x:v>1</x:v>
      </x:c>
      <x:c r="J347" s="34" t="str">
        <x:v>final</x:v>
      </x:c>
      <x:c r="K347" s="36" t="n">
        <x:v>27</x:v>
      </x:c>
      <x:c r="L347" s="51" t="n">
        <x:v>0</x:v>
      </x:c>
      <x:c r="M347" s="51" t="n">
        <x:v>0</x:v>
      </x:c>
      <x:c r="N347" s="36" t="n">
        <x:v>10</x:v>
      </x:c>
      <x:c r="O347" s="44" t="str">
        <x:v>http-nio-8080-exec-11#80 | http-nio-8080-exec-12#81 | http-nio-8080-exec-15#86 | http-nio-8080-exec-18#121 | http-nio-8080-exec-19#122 | http-nio-8080-exec-20#123 | http-nio-8080-exec-22#127 | http-nio-8080-exec-24#161 | http-nio-8080-exec-25#162 | http-nio-8080-exec-26#163</x:v>
      </x:c>
      <x:c r="P347" s="36" t="n">
        <x:v>4</x:v>
      </x:c>
      <x:c r="Q347" s="44" t="str">
        <x:v>http-nio-8080-exec-22#127 | http-nio-8080-exec-24#161 | http-nio-8080-exec-25#162 | http-nio-8080-exec-26#163</x:v>
      </x:c>
      <x:c r="R347" s="36" t="n">
        <x:v>0</x:v>
      </x:c>
      <x:c r="S347" s="44"/>
      <x:c r="T347" s="36" t="n">
        <x:v>0</x:v>
      </x:c>
      <x:c r="U347" s="44"/>
      <x:c r="V347" s="36" t="n">
        <x:v>0</x:v>
      </x:c>
      <x:c r="W347" s="44"/>
      <x:c r="X347" s="34" t="str">
        <x:v>no-post-undeploy-thread-signal</x:v>
      </x:c>
      <x:c r="Y347" s="44" t="str">
        <x:v>automated signatures are JCS-specific; all other candidate application threads remain unattributed and ownership requires the archived full dump</x:v>
      </x:c>
    </x:row>
    <x:row r="348">
      <x:c r="A348" s="34" t="str">
        <x:v>article1-unified-v4-2-fb3f101b-20260903-000401-default-f03-p6-nostore</x:v>
      </x:c>
      <x:c r="B348" s="34" t="str">
        <x:v>default</x:v>
      </x:c>
      <x:c r="C348" s="34" t="str">
        <x:v>nostore</x:v>
      </x:c>
      <x:c r="D348" s="36" t="n">
        <x:v>3</x:v>
      </x:c>
      <x:c r="E348" s="36" t="n">
        <x:v>3</x:v>
      </x:c>
      <x:c r="F348" s="36" t="n">
        <x:v>6</x:v>
      </x:c>
      <x:c r="G348" s="36" t="n">
        <x:v>2</x:v>
      </x:c>
      <x:c r="H348" s="34" t="str">
        <x:v>finalUndeployThreadEvidenceEarly</x:v>
      </x:c>
      <x:c r="I348" s="36" t="n">
        <x:v>2</x:v>
      </x:c>
      <x:c r="J348" s="34" t="str">
        <x:v>early</x:v>
      </x:c>
      <x:c r="K348" s="36" t="n">
        <x:v>27</x:v>
      </x:c>
      <x:c r="L348" s="51" t="n">
        <x:v>0</x:v>
      </x:c>
      <x:c r="M348" s="51" t="n">
        <x:v>0</x:v>
      </x:c>
      <x:c r="N348" s="36" t="n">
        <x:v>10</x:v>
      </x:c>
      <x:c r="O348" s="44" t="str">
        <x:v>http-nio-8080-exec-11#80 | http-nio-8080-exec-15#86 | http-nio-8080-exec-24#161 | http-nio-8080-exec-25#162 | http-nio-8080-exec-27#166 | http-nio-8080-exec-28#167 | http-nio-8080-exec-29#168 | http-nio-8080-exec-30#201 | http-nio-8080-exec-31#202 | http-nio-8080-exec-32#203</x:v>
      </x:c>
      <x:c r="P348" s="36" t="n">
        <x:v>8</x:v>
      </x:c>
      <x:c r="Q348" s="44" t="str">
        <x:v>http-nio-8080-exec-24#161 | http-nio-8080-exec-25#162 | http-nio-8080-exec-27#166 | http-nio-8080-exec-28#167 | http-nio-8080-exec-29#168 | http-nio-8080-exec-30#201 | http-nio-8080-exec-31#202 | http-nio-8080-exec-32#203</x:v>
      </x:c>
      <x:c r="R348" s="36" t="n">
        <x:v>0</x:v>
      </x:c>
      <x:c r="S348" s="44"/>
      <x:c r="T348" s="36" t="n">
        <x:v>0</x:v>
      </x:c>
      <x:c r="U348" s="44"/>
      <x:c r="V348" s="36" t="n">
        <x:v>0</x:v>
      </x:c>
      <x:c r="W348" s="44"/>
      <x:c r="X348" s="34" t="str">
        <x:v>no-post-undeploy-thread-signal</x:v>
      </x:c>
      <x:c r="Y348" s="44" t="str">
        <x:v>automated signatures are JCS-specific; all other candidate application threads remain unattributed and ownership requires the archived full dump</x:v>
      </x:c>
    </x:row>
    <x:row r="349">
      <x:c r="A349" s="34" t="str">
        <x:v>article1-unified-v4-2-fb3f101b-20260903-000401-default-f03-p6-nostore</x:v>
      </x:c>
      <x:c r="B349" s="34" t="str">
        <x:v>default</x:v>
      </x:c>
      <x:c r="C349" s="34" t="str">
        <x:v>nostore</x:v>
      </x:c>
      <x:c r="D349" s="36" t="n">
        <x:v>3</x:v>
      </x:c>
      <x:c r="E349" s="36" t="n">
        <x:v>3</x:v>
      </x:c>
      <x:c r="F349" s="36" t="n">
        <x:v>6</x:v>
      </x:c>
      <x:c r="G349" s="36" t="n">
        <x:v>2</x:v>
      </x:c>
      <x:c r="H349" s="34" t="str">
        <x:v>finalUndeployThreadEvidenceFinal</x:v>
      </x:c>
      <x:c r="I349" s="36" t="n">
        <x:v>2</x:v>
      </x:c>
      <x:c r="J349" s="34" t="str">
        <x:v>final</x:v>
      </x:c>
      <x:c r="K349" s="36" t="n">
        <x:v>27</x:v>
      </x:c>
      <x:c r="L349" s="51" t="n">
        <x:v>0</x:v>
      </x:c>
      <x:c r="M349" s="51" t="n">
        <x:v>0</x:v>
      </x:c>
      <x:c r="N349" s="36" t="n">
        <x:v>10</x:v>
      </x:c>
      <x:c r="O349" s="44" t="str">
        <x:v>http-nio-8080-exec-11#80 | http-nio-8080-exec-15#86 | http-nio-8080-exec-24#161 | http-nio-8080-exec-25#162 | http-nio-8080-exec-28#167 | http-nio-8080-exec-29#168 | http-nio-8080-exec-30#201 | http-nio-8080-exec-31#202 | http-nio-8080-exec-32#203 | http-nio-8080-exec-33#204</x:v>
      </x:c>
      <x:c r="P349" s="36" t="n">
        <x:v>8</x:v>
      </x:c>
      <x:c r="Q349" s="44" t="str">
        <x:v>http-nio-8080-exec-24#161 | http-nio-8080-exec-25#162 | http-nio-8080-exec-28#167 | http-nio-8080-exec-29#168 | http-nio-8080-exec-30#201 | http-nio-8080-exec-31#202 | http-nio-8080-exec-32#203 | http-nio-8080-exec-33#204</x:v>
      </x:c>
      <x:c r="R349" s="36" t="n">
        <x:v>0</x:v>
      </x:c>
      <x:c r="S349" s="44"/>
      <x:c r="T349" s="36" t="n">
        <x:v>0</x:v>
      </x:c>
      <x:c r="U349" s="44"/>
      <x:c r="V349" s="36" t="n">
        <x:v>0</x:v>
      </x:c>
      <x:c r="W349" s="44"/>
      <x:c r="X349" s="34" t="str">
        <x:v>no-post-undeploy-thread-signal</x:v>
      </x:c>
      <x:c r="Y349" s="44" t="str">
        <x:v>automated signatures are JCS-specific; all other candidate application threads remain unattributed and ownership requires the archived full dump</x:v>
      </x:c>
    </x:row>
    <x:row r="350">
      <x:c r="A350" s="34" t="str">
        <x:v>article1-unified-v4-2-fb3f101b-20260903-000401-default-f03-p6-nostore</x:v>
      </x:c>
      <x:c r="B350" s="34" t="str">
        <x:v>default</x:v>
      </x:c>
      <x:c r="C350" s="34" t="str">
        <x:v>nostore</x:v>
      </x:c>
      <x:c r="D350" s="36" t="n">
        <x:v>3</x:v>
      </x:c>
      <x:c r="E350" s="36" t="n">
        <x:v>3</x:v>
      </x:c>
      <x:c r="F350" s="36" t="n">
        <x:v>6</x:v>
      </x:c>
      <x:c r="G350" s="36" t="n">
        <x:v>3</x:v>
      </x:c>
      <x:c r="H350" s="34" t="str">
        <x:v>firstUndeployThreadEvidenceEarly</x:v>
      </x:c>
      <x:c r="I350" s="36" t="n">
        <x:v>1</x:v>
      </x:c>
      <x:c r="J350" s="34" t="str">
        <x:v>early</x:v>
      </x:c>
      <x:c r="K350" s="36" t="n">
        <x:v>27</x:v>
      </x:c>
      <x:c r="L350" s="51" t="n">
        <x:v>0</x:v>
      </x:c>
      <x:c r="M350" s="51" t="n">
        <x:v>0</x:v>
      </x:c>
      <x:c r="N350" s="36" t="n">
        <x:v>10</x:v>
      </x:c>
      <x:c r="O350" s="44" t="str">
        <x:v>http-nio-8080-exec-15#86 | http-nio-8080-exec-28#167 | http-nio-8080-exec-29#168 | http-nio-8080-exec-31#202 | http-nio-8080-exec-32#203 | http-nio-8080-exec-33#204 | http-nio-8080-exec-35#208 | http-nio-8080-exec-36#241 | http-nio-8080-exec-37#242 | http-nio-8080-exec-38#243</x:v>
      </x:c>
      <x:c r="P350" s="36" t="n">
        <x:v>4</x:v>
      </x:c>
      <x:c r="Q350" s="44" t="str">
        <x:v>http-nio-8080-exec-35#208 | http-nio-8080-exec-36#241 | http-nio-8080-exec-37#242 | http-nio-8080-exec-38#243</x:v>
      </x:c>
      <x:c r="R350" s="36" t="n">
        <x:v>0</x:v>
      </x:c>
      <x:c r="S350" s="44"/>
      <x:c r="T350" s="36" t="n">
        <x:v>0</x:v>
      </x:c>
      <x:c r="U350" s="44"/>
      <x:c r="V350" s="36" t="n">
        <x:v>0</x:v>
      </x:c>
      <x:c r="W350" s="44"/>
      <x:c r="X350" s="34" t="str">
        <x:v>no-post-undeploy-thread-signal</x:v>
      </x:c>
      <x:c r="Y350" s="44" t="str">
        <x:v>automated signatures are JCS-specific; all other candidate application threads remain unattributed and ownership requires the archived full dump</x:v>
      </x:c>
    </x:row>
    <x:row r="351">
      <x:c r="A351" s="34" t="str">
        <x:v>article1-unified-v4-2-fb3f101b-20260903-000401-default-f03-p6-nostore</x:v>
      </x:c>
      <x:c r="B351" s="34" t="str">
        <x:v>default</x:v>
      </x:c>
      <x:c r="C351" s="34" t="str">
        <x:v>nostore</x:v>
      </x:c>
      <x:c r="D351" s="36" t="n">
        <x:v>3</x:v>
      </x:c>
      <x:c r="E351" s="36" t="n">
        <x:v>3</x:v>
      </x:c>
      <x:c r="F351" s="36" t="n">
        <x:v>6</x:v>
      </x:c>
      <x:c r="G351" s="36" t="n">
        <x:v>3</x:v>
      </x:c>
      <x:c r="H351" s="34" t="str">
        <x:v>firstUndeployThreadEvidenceFinal</x:v>
      </x:c>
      <x:c r="I351" s="36" t="n">
        <x:v>1</x:v>
      </x:c>
      <x:c r="J351" s="34" t="str">
        <x:v>final</x:v>
      </x:c>
      <x:c r="K351" s="36" t="n">
        <x:v>27</x:v>
      </x:c>
      <x:c r="L351" s="51" t="n">
        <x:v>0</x:v>
      </x:c>
      <x:c r="M351" s="51" t="n">
        <x:v>0</x:v>
      </x:c>
      <x:c r="N351" s="36" t="n">
        <x:v>10</x:v>
      </x:c>
      <x:c r="O351" s="44" t="str">
        <x:v>http-nio-8080-exec-15#86 | http-nio-8080-exec-28#167 | http-nio-8080-exec-29#168 | http-nio-8080-exec-32#203 | http-nio-8080-exec-33#204 | http-nio-8080-exec-35#208 | http-nio-8080-exec-36#241 | http-nio-8080-exec-37#242 | http-nio-8080-exec-38#243 | http-nio-8080-exec-39#244</x:v>
      </x:c>
      <x:c r="P351" s="36" t="n">
        <x:v>5</x:v>
      </x:c>
      <x:c r="Q351" s="44" t="str">
        <x:v>http-nio-8080-exec-35#208 | http-nio-8080-exec-36#241 | http-nio-8080-exec-37#242 | http-nio-8080-exec-38#243 | http-nio-8080-exec-39#244</x:v>
      </x:c>
      <x:c r="R351" s="36" t="n">
        <x:v>0</x:v>
      </x:c>
      <x:c r="S351" s="44"/>
      <x:c r="T351" s="36" t="n">
        <x:v>0</x:v>
      </x:c>
      <x:c r="U351" s="44"/>
      <x:c r="V351" s="36" t="n">
        <x:v>0</x:v>
      </x:c>
      <x:c r="W351" s="44"/>
      <x:c r="X351" s="34" t="str">
        <x:v>no-post-undeploy-thread-signal</x:v>
      </x:c>
      <x:c r="Y351" s="44" t="str">
        <x:v>automated signatures are JCS-specific; all other candidate application threads remain unattributed and ownership requires the archived full dump</x:v>
      </x:c>
    </x:row>
    <x:row r="352">
      <x:c r="A352" s="34" t="str">
        <x:v>article1-unified-v4-2-fb3f101b-20260903-000401-default-f03-p6-nostore</x:v>
      </x:c>
      <x:c r="B352" s="34" t="str">
        <x:v>default</x:v>
      </x:c>
      <x:c r="C352" s="34" t="str">
        <x:v>nostore</x:v>
      </x:c>
      <x:c r="D352" s="36" t="n">
        <x:v>3</x:v>
      </x:c>
      <x:c r="E352" s="36" t="n">
        <x:v>3</x:v>
      </x:c>
      <x:c r="F352" s="36" t="n">
        <x:v>6</x:v>
      </x:c>
      <x:c r="G352" s="36" t="n">
        <x:v>3</x:v>
      </x:c>
      <x:c r="H352" s="34" t="str">
        <x:v>finalUndeployThreadEvidenceEarly</x:v>
      </x:c>
      <x:c r="I352" s="36" t="n">
        <x:v>2</x:v>
      </x:c>
      <x:c r="J352" s="34" t="str">
        <x:v>early</x:v>
      </x:c>
      <x:c r="K352" s="36" t="n">
        <x:v>27</x:v>
      </x:c>
      <x:c r="L352" s="51" t="n">
        <x:v>0</x:v>
      </x:c>
      <x:c r="M352" s="51" t="n">
        <x:v>0</x:v>
      </x:c>
      <x:c r="N352" s="36" t="n">
        <x:v>10</x:v>
      </x:c>
      <x:c r="O352" s="44" t="str">
        <x:v>http-nio-8080-exec-15#86 | http-nio-8080-exec-29#168 | http-nio-8080-exec-37#242 | http-nio-8080-exec-38#243 | http-nio-8080-exec-39#244 | http-nio-8080-exec-41#248 | http-nio-8080-exec-42#249 | http-nio-8080-exec-43#282 | http-nio-8080-exec-44#283 | http-nio-8080-exec-45#284</x:v>
      </x:c>
      <x:c r="P352" s="36" t="n">
        <x:v>8</x:v>
      </x:c>
      <x:c r="Q352" s="44" t="str">
        <x:v>http-nio-8080-exec-37#242 | http-nio-8080-exec-38#243 | http-nio-8080-exec-39#244 | http-nio-8080-exec-41#248 | http-nio-8080-exec-42#249 | http-nio-8080-exec-43#282 | http-nio-8080-exec-44#283 | http-nio-8080-exec-45#284</x:v>
      </x:c>
      <x:c r="R352" s="36" t="n">
        <x:v>0</x:v>
      </x:c>
      <x:c r="S352" s="44"/>
      <x:c r="T352" s="36" t="n">
        <x:v>0</x:v>
      </x:c>
      <x:c r="U352" s="44"/>
      <x:c r="V352" s="36" t="n">
        <x:v>0</x:v>
      </x:c>
      <x:c r="W352" s="44"/>
      <x:c r="X352" s="34" t="str">
        <x:v>no-post-undeploy-thread-signal</x:v>
      </x:c>
      <x:c r="Y352" s="44" t="str">
        <x:v>automated signatures are JCS-specific; all other candidate application threads remain unattributed and ownership requires the archived full dump</x:v>
      </x:c>
    </x:row>
    <x:row r="353">
      <x:c r="A353" s="34" t="str">
        <x:v>article1-unified-v4-2-fb3f101b-20260903-000401-default-f03-p6-nostore</x:v>
      </x:c>
      <x:c r="B353" s="34" t="str">
        <x:v>default</x:v>
      </x:c>
      <x:c r="C353" s="34" t="str">
        <x:v>nostore</x:v>
      </x:c>
      <x:c r="D353" s="36" t="n">
        <x:v>3</x:v>
      </x:c>
      <x:c r="E353" s="36" t="n">
        <x:v>3</x:v>
      </x:c>
      <x:c r="F353" s="36" t="n">
        <x:v>6</x:v>
      </x:c>
      <x:c r="G353" s="36" t="n">
        <x:v>3</x:v>
      </x:c>
      <x:c r="H353" s="34" t="str">
        <x:v>finalUndeployThreadEvidenceFinal</x:v>
      </x:c>
      <x:c r="I353" s="36" t="n">
        <x:v>2</x:v>
      </x:c>
      <x:c r="J353" s="34" t="str">
        <x:v>final</x:v>
      </x:c>
      <x:c r="K353" s="36" t="n">
        <x:v>27</x:v>
      </x:c>
      <x:c r="L353" s="51" t="n">
        <x:v>0</x:v>
      </x:c>
      <x:c r="M353" s="51" t="n">
        <x:v>0</x:v>
      </x:c>
      <x:c r="N353" s="36" t="n">
        <x:v>10</x:v>
      </x:c>
      <x:c r="O353" s="44" t="str">
        <x:v>http-nio-8080-exec-15#86 | http-nio-8080-exec-29#168 | http-nio-8080-exec-37#242 | http-nio-8080-exec-38#243 | http-nio-8080-exec-41#248 | http-nio-8080-exec-42#249 | http-nio-8080-exec-43#282 | http-nio-8080-exec-44#283 | http-nio-8080-exec-45#284 | http-nio-8080-exec-46#285</x:v>
      </x:c>
      <x:c r="P353" s="36" t="n">
        <x:v>8</x:v>
      </x:c>
      <x:c r="Q353" s="44" t="str">
        <x:v>http-nio-8080-exec-37#242 | http-nio-8080-exec-38#243 | http-nio-8080-exec-41#248 | http-nio-8080-exec-42#249 | http-nio-8080-exec-43#282 | http-nio-8080-exec-44#283 | http-nio-8080-exec-45#284 | http-nio-8080-exec-46#285</x:v>
      </x:c>
      <x:c r="R353" s="36" t="n">
        <x:v>0</x:v>
      </x:c>
      <x:c r="S353" s="44"/>
      <x:c r="T353" s="36" t="n">
        <x:v>0</x:v>
      </x:c>
      <x:c r="U353" s="44"/>
      <x:c r="V353" s="36" t="n">
        <x:v>0</x:v>
      </x:c>
      <x:c r="W353" s="44"/>
      <x:c r="X353" s="34" t="str">
        <x:v>no-post-undeploy-thread-signal</x:v>
      </x:c>
      <x:c r="Y353" s="44" t="str">
        <x:v>automated signatures are JCS-specific; all other candidate application threads remain unattributed and ownership requires the archived full dump</x:v>
      </x:c>
    </x:row>
    <x:row r="354">
      <x:c r="A354" s="34" t="str">
        <x:v>article1-unified-v4-2-fb3f101b-20260903-000401-default-f03-p6-nostore</x:v>
      </x:c>
      <x:c r="B354" s="34" t="str">
        <x:v>default</x:v>
      </x:c>
      <x:c r="C354" s="34" t="str">
        <x:v>nostore</x:v>
      </x:c>
      <x:c r="D354" s="36" t="n">
        <x:v>3</x:v>
      </x:c>
      <x:c r="E354" s="36" t="n">
        <x:v>3</x:v>
      </x:c>
      <x:c r="F354" s="36" t="n">
        <x:v>6</x:v>
      </x:c>
      <x:c r="G354" s="36" t="n">
        <x:v>4</x:v>
      </x:c>
      <x:c r="H354" s="34" t="str">
        <x:v>firstUndeployThreadEvidenceEarly</x:v>
      </x:c>
      <x:c r="I354" s="36" t="n">
        <x:v>1</x:v>
      </x:c>
      <x:c r="J354" s="34" t="str">
        <x:v>early</x:v>
      </x:c>
      <x:c r="K354" s="36" t="n">
        <x:v>27</x:v>
      </x:c>
      <x:c r="L354" s="51" t="n">
        <x:v>0</x:v>
      </x:c>
      <x:c r="M354" s="51" t="n">
        <x:v>0</x:v>
      </x:c>
      <x:c r="N354" s="36" t="n">
        <x:v>10</x:v>
      </x:c>
      <x:c r="O354" s="44" t="str">
        <x:v>http-nio-8080-exec-15#86 | http-nio-8080-exec-37#242 | http-nio-8080-exec-41#248 | http-nio-8080-exec-44#283 | http-nio-8080-exec-46#285 | http-nio-8080-exec-47#288 | http-nio-8080-exec-48#289 | http-nio-8080-exec-49#322 | http-nio-8080-exec-50#323 | http-nio-8080-exec-51#324</x:v>
      </x:c>
      <x:c r="P354" s="36" t="n">
        <x:v>5</x:v>
      </x:c>
      <x:c r="Q354" s="44" t="str">
        <x:v>http-nio-8080-exec-47#288 | http-nio-8080-exec-48#289 | http-nio-8080-exec-49#322 | http-nio-8080-exec-50#323 | http-nio-8080-exec-51#324</x:v>
      </x:c>
      <x:c r="R354" s="36" t="n">
        <x:v>0</x:v>
      </x:c>
      <x:c r="S354" s="44"/>
      <x:c r="T354" s="36" t="n">
        <x:v>0</x:v>
      </x:c>
      <x:c r="U354" s="44"/>
      <x:c r="V354" s="36" t="n">
        <x:v>0</x:v>
      </x:c>
      <x:c r="W354" s="44"/>
      <x:c r="X354" s="34" t="str">
        <x:v>no-post-undeploy-thread-signal</x:v>
      </x:c>
      <x:c r="Y354" s="44" t="str">
        <x:v>automated signatures are JCS-specific; all other candidate application threads remain unattributed and ownership requires the archived full dump</x:v>
      </x:c>
    </x:row>
    <x:row r="355">
      <x:c r="A355" s="34" t="str">
        <x:v>article1-unified-v4-2-fb3f101b-20260903-000401-default-f03-p6-nostore</x:v>
      </x:c>
      <x:c r="B355" s="34" t="str">
        <x:v>default</x:v>
      </x:c>
      <x:c r="C355" s="34" t="str">
        <x:v>nostore</x:v>
      </x:c>
      <x:c r="D355" s="36" t="n">
        <x:v>3</x:v>
      </x:c>
      <x:c r="E355" s="36" t="n">
        <x:v>3</x:v>
      </x:c>
      <x:c r="F355" s="36" t="n">
        <x:v>6</x:v>
      </x:c>
      <x:c r="G355" s="36" t="n">
        <x:v>4</x:v>
      </x:c>
      <x:c r="H355" s="34" t="str">
        <x:v>firstUndeployThreadEvidenceFinal</x:v>
      </x:c>
      <x:c r="I355" s="36" t="n">
        <x:v>1</x:v>
      </x:c>
      <x:c r="J355" s="34" t="str">
        <x:v>final</x:v>
      </x:c>
      <x:c r="K355" s="36" t="n">
        <x:v>27</x:v>
      </x:c>
      <x:c r="L355" s="51" t="n">
        <x:v>0</x:v>
      </x:c>
      <x:c r="M355" s="51" t="n">
        <x:v>0</x:v>
      </x:c>
      <x:c r="N355" s="36" t="n">
        <x:v>10</x:v>
      </x:c>
      <x:c r="O355" s="44" t="str">
        <x:v>http-nio-8080-exec-15#86 | http-nio-8080-exec-37#242 | http-nio-8080-exec-41#248 | http-nio-8080-exec-44#283 | http-nio-8080-exec-46#285 | http-nio-8080-exec-47#288 | http-nio-8080-exec-49#322 | http-nio-8080-exec-50#323 | http-nio-8080-exec-51#324 | http-nio-8080-exec-52#325</x:v>
      </x:c>
      <x:c r="P355" s="36" t="n">
        <x:v>5</x:v>
      </x:c>
      <x:c r="Q355" s="44" t="str">
        <x:v>http-nio-8080-exec-47#288 | http-nio-8080-exec-49#322 | http-nio-8080-exec-50#323 | http-nio-8080-exec-51#324 | http-nio-8080-exec-52#325</x:v>
      </x:c>
      <x:c r="R355" s="36" t="n">
        <x:v>0</x:v>
      </x:c>
      <x:c r="S355" s="44"/>
      <x:c r="T355" s="36" t="n">
        <x:v>0</x:v>
      </x:c>
      <x:c r="U355" s="44"/>
      <x:c r="V355" s="36" t="n">
        <x:v>0</x:v>
      </x:c>
      <x:c r="W355" s="44"/>
      <x:c r="X355" s="34" t="str">
        <x:v>no-post-undeploy-thread-signal</x:v>
      </x:c>
      <x:c r="Y355" s="44" t="str">
        <x:v>automated signatures are JCS-specific; all other candidate application threads remain unattributed and ownership requires the archived full dump</x:v>
      </x:c>
    </x:row>
    <x:row r="356">
      <x:c r="A356" s="34" t="str">
        <x:v>article1-unified-v4-2-fb3f101b-20260903-000401-default-f03-p6-nostore</x:v>
      </x:c>
      <x:c r="B356" s="34" t="str">
        <x:v>default</x:v>
      </x:c>
      <x:c r="C356" s="34" t="str">
        <x:v>nostore</x:v>
      </x:c>
      <x:c r="D356" s="36" t="n">
        <x:v>3</x:v>
      </x:c>
      <x:c r="E356" s="36" t="n">
        <x:v>3</x:v>
      </x:c>
      <x:c r="F356" s="36" t="n">
        <x:v>6</x:v>
      </x:c>
      <x:c r="G356" s="36" t="n">
        <x:v>4</x:v>
      </x:c>
      <x:c r="H356" s="34" t="str">
        <x:v>finalUndeployThreadEvidenceEarly</x:v>
      </x:c>
      <x:c r="I356" s="36" t="n">
        <x:v>2</x:v>
      </x:c>
      <x:c r="J356" s="34" t="str">
        <x:v>early</x:v>
      </x:c>
      <x:c r="K356" s="36" t="n">
        <x:v>27</x:v>
      </x:c>
      <x:c r="L356" s="51" t="n">
        <x:v>0</x:v>
      </x:c>
      <x:c r="M356" s="51" t="n">
        <x:v>0</x:v>
      </x:c>
      <x:c r="N356" s="36" t="n">
        <x:v>10</x:v>
      </x:c>
      <x:c r="O356" s="44" t="str">
        <x:v>http-nio-8080-exec-15#86 | http-nio-8080-exec-41#248 | http-nio-8080-exec-50#323 | http-nio-8080-exec-51#324 | http-nio-8080-exec-52#325 | http-nio-8080-exec-53#328 | http-nio-8080-exec-54#329 | http-nio-8080-exec-55#330 | http-nio-8080-exec-57#364 | http-nio-8080-exec-58#365</x:v>
      </x:c>
      <x:c r="P356" s="36" t="n">
        <x:v>8</x:v>
      </x:c>
      <x:c r="Q356" s="44" t="str">
        <x:v>http-nio-8080-exec-50#323 | http-nio-8080-exec-51#324 | http-nio-8080-exec-52#325 | http-nio-8080-exec-53#328 | http-nio-8080-exec-54#329 | http-nio-8080-exec-55#330 | http-nio-8080-exec-57#364 | http-nio-8080-exec-58#365</x:v>
      </x:c>
      <x:c r="R356" s="36" t="n">
        <x:v>0</x:v>
      </x:c>
      <x:c r="S356" s="44"/>
      <x:c r="T356" s="36" t="n">
        <x:v>0</x:v>
      </x:c>
      <x:c r="U356" s="44"/>
      <x:c r="V356" s="36" t="n">
        <x:v>0</x:v>
      </x:c>
      <x:c r="W356" s="44"/>
      <x:c r="X356" s="34" t="str">
        <x:v>no-post-undeploy-thread-signal</x:v>
      </x:c>
      <x:c r="Y356" s="44" t="str">
        <x:v>automated signatures are JCS-specific; all other candidate application threads remain unattributed and ownership requires the archived full dump</x:v>
      </x:c>
    </x:row>
    <x:row r="357">
      <x:c r="A357" s="34" t="str">
        <x:v>article1-unified-v4-2-fb3f101b-20260903-000401-default-f03-p6-nostore</x:v>
      </x:c>
      <x:c r="B357" s="34" t="str">
        <x:v>default</x:v>
      </x:c>
      <x:c r="C357" s="34" t="str">
        <x:v>nostore</x:v>
      </x:c>
      <x:c r="D357" s="36" t="n">
        <x:v>3</x:v>
      </x:c>
      <x:c r="E357" s="36" t="n">
        <x:v>3</x:v>
      </x:c>
      <x:c r="F357" s="36" t="n">
        <x:v>6</x:v>
      </x:c>
      <x:c r="G357" s="36" t="n">
        <x:v>4</x:v>
      </x:c>
      <x:c r="H357" s="34" t="str">
        <x:v>finalUndeployThreadEvidenceFinal</x:v>
      </x:c>
      <x:c r="I357" s="36" t="n">
        <x:v>2</x:v>
      </x:c>
      <x:c r="J357" s="34" t="str">
        <x:v>final</x:v>
      </x:c>
      <x:c r="K357" s="36" t="n">
        <x:v>27</x:v>
      </x:c>
      <x:c r="L357" s="51" t="n">
        <x:v>0</x:v>
      </x:c>
      <x:c r="M357" s="51" t="n">
        <x:v>0</x:v>
      </x:c>
      <x:c r="N357" s="36" t="n">
        <x:v>10</x:v>
      </x:c>
      <x:c r="O357" s="44" t="str">
        <x:v>http-nio-8080-exec-15#86 | http-nio-8080-exec-41#248 | http-nio-8080-exec-50#323 | http-nio-8080-exec-51#324 | http-nio-8080-exec-52#325 | http-nio-8080-exec-53#328 | http-nio-8080-exec-55#330 | http-nio-8080-exec-57#364 | http-nio-8080-exec-58#365 | http-nio-8080-exec-59#366</x:v>
      </x:c>
      <x:c r="P357" s="36" t="n">
        <x:v>8</x:v>
      </x:c>
      <x:c r="Q357" s="44" t="str">
        <x:v>http-nio-8080-exec-50#323 | http-nio-8080-exec-51#324 | http-nio-8080-exec-52#325 | http-nio-8080-exec-53#328 | http-nio-8080-exec-55#330 | http-nio-8080-exec-57#364 | http-nio-8080-exec-58#365 | http-nio-8080-exec-59#366</x:v>
      </x:c>
      <x:c r="R357" s="36" t="n">
        <x:v>0</x:v>
      </x:c>
      <x:c r="S357" s="44"/>
      <x:c r="T357" s="36" t="n">
        <x:v>0</x:v>
      </x:c>
      <x:c r="U357" s="44"/>
      <x:c r="V357" s="36" t="n">
        <x:v>0</x:v>
      </x:c>
      <x:c r="W357" s="44"/>
      <x:c r="X357" s="34" t="str">
        <x:v>no-post-undeploy-thread-signal</x:v>
      </x:c>
      <x:c r="Y357" s="44" t="str">
        <x:v>automated signatures are JCS-specific; all other candidate application threads remain unattributed and ownership requires the archived full dump</x:v>
      </x:c>
    </x:row>
    <x:row r="358">
      <x:c r="A358" s="34" t="str">
        <x:v>article1-unified-v4-2-fb3f101b-20260903-000401-default-f03-p6-nostore</x:v>
      </x:c>
      <x:c r="B358" s="34" t="str">
        <x:v>default</x:v>
      </x:c>
      <x:c r="C358" s="34" t="str">
        <x:v>nostore</x:v>
      </x:c>
      <x:c r="D358" s="36" t="n">
        <x:v>3</x:v>
      </x:c>
      <x:c r="E358" s="36" t="n">
        <x:v>3</x:v>
      </x:c>
      <x:c r="F358" s="36" t="n">
        <x:v>6</x:v>
      </x:c>
      <x:c r="G358" s="36" t="n">
        <x:v>5</x:v>
      </x:c>
      <x:c r="H358" s="34" t="str">
        <x:v>firstUndeployThreadEvidenceEarly</x:v>
      </x:c>
      <x:c r="I358" s="36" t="n">
        <x:v>1</x:v>
      </x:c>
      <x:c r="J358" s="34" t="str">
        <x:v>early</x:v>
      </x:c>
      <x:c r="K358" s="36" t="n">
        <x:v>27</x:v>
      </x:c>
      <x:c r="L358" s="51" t="n">
        <x:v>0</x:v>
      </x:c>
      <x:c r="M358" s="51" t="n">
        <x:v>0</x:v>
      </x:c>
      <x:c r="N358" s="36" t="n">
        <x:v>10</x:v>
      </x:c>
      <x:c r="O358" s="44" t="str">
        <x:v>http-nio-8080-exec-15#86 | http-nio-8080-exec-41#248 | http-nio-8080-exec-52#325 | http-nio-8080-exec-58#365 | http-nio-8080-exec-59#366 | http-nio-8080-exec-60#369 | http-nio-8080-exec-61#370 | http-nio-8080-exec-62#403 | http-nio-8080-exec-63#404 | http-nio-8080-exec-64#405</x:v>
      </x:c>
      <x:c r="P358" s="36" t="n">
        <x:v>5</x:v>
      </x:c>
      <x:c r="Q358" s="44" t="str">
        <x:v>http-nio-8080-exec-60#369 | http-nio-8080-exec-61#370 | http-nio-8080-exec-62#403 | http-nio-8080-exec-63#404 | http-nio-8080-exec-64#405</x:v>
      </x:c>
      <x:c r="R358" s="36" t="n">
        <x:v>0</x:v>
      </x:c>
      <x:c r="S358" s="44"/>
      <x:c r="T358" s="36" t="n">
        <x:v>0</x:v>
      </x:c>
      <x:c r="U358" s="44"/>
      <x:c r="V358" s="36" t="n">
        <x:v>0</x:v>
      </x:c>
      <x:c r="W358" s="44"/>
      <x:c r="X358" s="34" t="str">
        <x:v>no-post-undeploy-thread-signal</x:v>
      </x:c>
      <x:c r="Y358" s="44" t="str">
        <x:v>automated signatures are JCS-specific; all other candidate application threads remain unattributed and ownership requires the archived full dump</x:v>
      </x:c>
    </x:row>
    <x:row r="359">
      <x:c r="A359" s="34" t="str">
        <x:v>article1-unified-v4-2-fb3f101b-20260903-000401-default-f03-p6-nostore</x:v>
      </x:c>
      <x:c r="B359" s="34" t="str">
        <x:v>default</x:v>
      </x:c>
      <x:c r="C359" s="34" t="str">
        <x:v>nostore</x:v>
      </x:c>
      <x:c r="D359" s="36" t="n">
        <x:v>3</x:v>
      </x:c>
      <x:c r="E359" s="36" t="n">
        <x:v>3</x:v>
      </x:c>
      <x:c r="F359" s="36" t="n">
        <x:v>6</x:v>
      </x:c>
      <x:c r="G359" s="36" t="n">
        <x:v>5</x:v>
      </x:c>
      <x:c r="H359" s="34" t="str">
        <x:v>firstUndeployThreadEvidenceFinal</x:v>
      </x:c>
      <x:c r="I359" s="36" t="n">
        <x:v>1</x:v>
      </x:c>
      <x:c r="J359" s="34" t="str">
        <x:v>final</x:v>
      </x:c>
      <x:c r="K359" s="36" t="n">
        <x:v>27</x:v>
      </x:c>
      <x:c r="L359" s="51" t="n">
        <x:v>0</x:v>
      </x:c>
      <x:c r="M359" s="51" t="n">
        <x:v>0</x:v>
      </x:c>
      <x:c r="N359" s="36" t="n">
        <x:v>10</x:v>
      </x:c>
      <x:c r="O359" s="44" t="str">
        <x:v>http-nio-8080-exec-15#86 | http-nio-8080-exec-41#248 | http-nio-8080-exec-58#365 | http-nio-8080-exec-59#366 | http-nio-8080-exec-60#369 | http-nio-8080-exec-61#370 | http-nio-8080-exec-62#403 | http-nio-8080-exec-63#404 | http-nio-8080-exec-64#405 | http-nio-8080-exec-65#406</x:v>
      </x:c>
      <x:c r="P359" s="36" t="n">
        <x:v>6</x:v>
      </x:c>
      <x:c r="Q359" s="44" t="str">
        <x:v>http-nio-8080-exec-60#369 | http-nio-8080-exec-61#370 | http-nio-8080-exec-62#403 | http-nio-8080-exec-63#404 | http-nio-8080-exec-64#405 | http-nio-8080-exec-65#406</x:v>
      </x:c>
      <x:c r="R359" s="36" t="n">
        <x:v>0</x:v>
      </x:c>
      <x:c r="S359" s="44"/>
      <x:c r="T359" s="36" t="n">
        <x:v>0</x:v>
      </x:c>
      <x:c r="U359" s="44"/>
      <x:c r="V359" s="36" t="n">
        <x:v>0</x:v>
      </x:c>
      <x:c r="W359" s="44"/>
      <x:c r="X359" s="34" t="str">
        <x:v>no-post-undeploy-thread-signal</x:v>
      </x:c>
      <x:c r="Y359" s="44" t="str">
        <x:v>automated signatures are JCS-specific; all other candidate application threads remain unattributed and ownership requires the archived full dump</x:v>
      </x:c>
    </x:row>
    <x:row r="360">
      <x:c r="A360" s="34" t="str">
        <x:v>article1-unified-v4-2-fb3f101b-20260903-000401-default-f03-p6-nostore</x:v>
      </x:c>
      <x:c r="B360" s="34" t="str">
        <x:v>default</x:v>
      </x:c>
      <x:c r="C360" s="34" t="str">
        <x:v>nostore</x:v>
      </x:c>
      <x:c r="D360" s="36" t="n">
        <x:v>3</x:v>
      </x:c>
      <x:c r="E360" s="36" t="n">
        <x:v>3</x:v>
      </x:c>
      <x:c r="F360" s="36" t="n">
        <x:v>6</x:v>
      </x:c>
      <x:c r="G360" s="36" t="n">
        <x:v>5</x:v>
      </x:c>
      <x:c r="H360" s="34" t="str">
        <x:v>finalUndeployThreadEvidenceEarly</x:v>
      </x:c>
      <x:c r="I360" s="36" t="n">
        <x:v>2</x:v>
      </x:c>
      <x:c r="J360" s="34" t="str">
        <x:v>early</x:v>
      </x:c>
      <x:c r="K360" s="36" t="n">
        <x:v>27</x:v>
      </x:c>
      <x:c r="L360" s="51" t="n">
        <x:v>0</x:v>
      </x:c>
      <x:c r="M360" s="51" t="n">
        <x:v>0</x:v>
      </x:c>
      <x:c r="N360" s="36" t="n">
        <x:v>10</x:v>
      </x:c>
      <x:c r="O360" s="44" t="str">
        <x:v>http-nio-8080-exec-41#248 | http-nio-8080-exec-60#369 | http-nio-8080-exec-63#404 | http-nio-8080-exec-64#405 | http-nio-8080-exec-65#406 | http-nio-8080-exec-66#409 | http-nio-8080-exec-68#411 | http-nio-8080-exec-69#444 | http-nio-8080-exec-70#445 | http-nio-8080-exec-71#446</x:v>
      </x:c>
      <x:c r="P360" s="36" t="n">
        <x:v>9</x:v>
      </x:c>
      <x:c r="Q360" s="44" t="str">
        <x:v>http-nio-8080-exec-60#369 | http-nio-8080-exec-63#404 | http-nio-8080-exec-64#405 | http-nio-8080-exec-65#406 | http-nio-8080-exec-66#409 | http-nio-8080-exec-68#411 | http-nio-8080-exec-69#444 | http-nio-8080-exec-70#445 | http-nio-8080-exec-71#446</x:v>
      </x:c>
      <x:c r="R360" s="36" t="n">
        <x:v>0</x:v>
      </x:c>
      <x:c r="S360" s="44"/>
      <x:c r="T360" s="36" t="n">
        <x:v>0</x:v>
      </x:c>
      <x:c r="U360" s="44"/>
      <x:c r="V360" s="36" t="n">
        <x:v>0</x:v>
      </x:c>
      <x:c r="W360" s="44"/>
      <x:c r="X360" s="34" t="str">
        <x:v>no-post-undeploy-thread-signal</x:v>
      </x:c>
      <x:c r="Y360" s="44" t="str">
        <x:v>automated signatures are JCS-specific; all other candidate application threads remain unattributed and ownership requires the archived full dump</x:v>
      </x:c>
    </x:row>
    <x:row r="361">
      <x:c r="A361" s="34" t="str">
        <x:v>article1-unified-v4-2-fb3f101b-20260903-000401-default-f03-p6-nostore</x:v>
      </x:c>
      <x:c r="B361" s="34" t="str">
        <x:v>default</x:v>
      </x:c>
      <x:c r="C361" s="34" t="str">
        <x:v>nostore</x:v>
      </x:c>
      <x:c r="D361" s="36" t="n">
        <x:v>3</x:v>
      </x:c>
      <x:c r="E361" s="36" t="n">
        <x:v>3</x:v>
      </x:c>
      <x:c r="F361" s="36" t="n">
        <x:v>6</x:v>
      </x:c>
      <x:c r="G361" s="36" t="n">
        <x:v>5</x:v>
      </x:c>
      <x:c r="H361" s="34" t="str">
        <x:v>finalUndeployThreadEvidenceFinal</x:v>
      </x:c>
      <x:c r="I361" s="36" t="n">
        <x:v>2</x:v>
      </x:c>
      <x:c r="J361" s="34" t="str">
        <x:v>final</x:v>
      </x:c>
      <x:c r="K361" s="36" t="n">
        <x:v>27</x:v>
      </x:c>
      <x:c r="L361" s="51" t="n">
        <x:v>0</x:v>
      </x:c>
      <x:c r="M361" s="51" t="n">
        <x:v>0</x:v>
      </x:c>
      <x:c r="N361" s="36" t="n">
        <x:v>10</x:v>
      </x:c>
      <x:c r="O361" s="44" t="str">
        <x:v>http-nio-8080-exec-41#248 | http-nio-8080-exec-60#369 | http-nio-8080-exec-63#404 | http-nio-8080-exec-64#405 | http-nio-8080-exec-66#409 | http-nio-8080-exec-68#411 | http-nio-8080-exec-69#444 | http-nio-8080-exec-70#445 | http-nio-8080-exec-71#446 | http-nio-8080-exec-72#447</x:v>
      </x:c>
      <x:c r="P361" s="36" t="n">
        <x:v>9</x:v>
      </x:c>
      <x:c r="Q361" s="44" t="str">
        <x:v>http-nio-8080-exec-60#369 | http-nio-8080-exec-63#404 | http-nio-8080-exec-64#405 | http-nio-8080-exec-66#409 | http-nio-8080-exec-68#411 | http-nio-8080-exec-69#444 | http-nio-8080-exec-70#445 | http-nio-8080-exec-71#446 | http-nio-8080-exec-72#447</x:v>
      </x:c>
      <x:c r="R361" s="36" t="n">
        <x:v>0</x:v>
      </x:c>
      <x:c r="S361" s="44"/>
      <x:c r="T361" s="36" t="n">
        <x:v>0</x:v>
      </x:c>
      <x:c r="U361" s="44"/>
      <x:c r="V361" s="36" t="n">
        <x:v>0</x:v>
      </x:c>
      <x:c r="W361" s="44"/>
      <x:c r="X361" s="34" t="str">
        <x:v>no-post-undeploy-thread-signal</x:v>
      </x:c>
      <x:c r="Y361" s="44" t="str">
        <x:v>automated signatures are JCS-specific; all other candidate application threads remain unattributed and ownership requires the archived full dump</x:v>
      </x:c>
    </x:row>
    <x:row r="362">
      <x:c r="A362" s="34" t="str">
        <x:v>article1-unified-v4-2-fb3f101b-20260903-000401-default-f04-p1-jcs4</x:v>
      </x:c>
      <x:c r="B362" s="34" t="str">
        <x:v>default</x:v>
      </x:c>
      <x:c r="C362" s="34" t="str">
        <x:v>jcs4</x:v>
      </x:c>
      <x:c r="D362" s="36" t="n">
        <x:v>4</x:v>
      </x:c>
      <x:c r="E362" s="36" t="n">
        <x:v>4</x:v>
      </x:c>
      <x:c r="F362" s="36" t="n">
        <x:v>1</x:v>
      </x:c>
      <x:c r="G362" s="36" t="n">
        <x:v>1</x:v>
      </x:c>
      <x:c r="H362" s="34" t="str">
        <x:v>firstUndeployThreadEvidenceEarly</x:v>
      </x:c>
      <x:c r="I362" s="36" t="n">
        <x:v>1</x:v>
      </x:c>
      <x:c r="J362" s="34" t="str">
        <x:v>early</x:v>
      </x:c>
      <x:c r="K362" s="36" t="n">
        <x:v>27</x:v>
      </x:c>
      <x:c r="L362" s="51" t="n">
        <x:v>0</x:v>
      </x:c>
      <x:c r="M362" s="51" t="n">
        <x:v>0</x:v>
      </x:c>
      <x:c r="N362" s="36" t="n">
        <x:v>2</x:v>
      </x:c>
      <x:c r="O362" s="44" t="str">
        <x:v>http-nio-8080-exec-11#82 | http-nio-8080-exec-12#83</x:v>
      </x:c>
      <x:c r="P362" s="36" t="n">
        <x:v>2</x:v>
      </x:c>
      <x:c r="Q362" s="44" t="str">
        <x:v>http-nio-8080-exec-11#82 | http-nio-8080-exec-12#83</x:v>
      </x:c>
      <x:c r="R362" s="36" t="n">
        <x:v>0</x:v>
      </x:c>
      <x:c r="S362" s="44"/>
      <x:c r="T362" s="36" t="n">
        <x:v>0</x:v>
      </x:c>
      <x:c r="U362" s="44"/>
      <x:c r="V362" s="36" t="n">
        <x:v>0</x:v>
      </x:c>
      <x:c r="W362" s="44"/>
      <x:c r="X362" s="34" t="str">
        <x:v>no-post-undeploy-thread-signal</x:v>
      </x:c>
      <x:c r="Y362" s="44" t="str">
        <x:v>automated signatures are JCS-specific; all other candidate application threads remain unattributed and ownership requires the archived full dump</x:v>
      </x:c>
    </x:row>
    <x:row r="363">
      <x:c r="A363" s="34" t="str">
        <x:v>article1-unified-v4-2-fb3f101b-20260903-000401-default-f04-p1-jcs4</x:v>
      </x:c>
      <x:c r="B363" s="34" t="str">
        <x:v>default</x:v>
      </x:c>
      <x:c r="C363" s="34" t="str">
        <x:v>jcs4</x:v>
      </x:c>
      <x:c r="D363" s="36" t="n">
        <x:v>4</x:v>
      </x:c>
      <x:c r="E363" s="36" t="n">
        <x:v>4</x:v>
      </x:c>
      <x:c r="F363" s="36" t="n">
        <x:v>1</x:v>
      </x:c>
      <x:c r="G363" s="36" t="n">
        <x:v>1</x:v>
      </x:c>
      <x:c r="H363" s="34" t="str">
        <x:v>firstUndeployThreadEvidenceFinal</x:v>
      </x:c>
      <x:c r="I363" s="36" t="n">
        <x:v>1</x:v>
      </x:c>
      <x:c r="J363" s="34" t="str">
        <x:v>final</x:v>
      </x:c>
      <x:c r="K363" s="36" t="n">
        <x:v>27</x:v>
      </x:c>
      <x:c r="L363" s="51" t="n">
        <x:v>0</x:v>
      </x:c>
      <x:c r="M363" s="51" t="n">
        <x:v>0</x:v>
      </x:c>
      <x:c r="N363" s="36" t="n">
        <x:v>3</x:v>
      </x:c>
      <x:c r="O363" s="44" t="str">
        <x:v>http-nio-8080-exec-11#82 | http-nio-8080-exec-12#83 | http-nio-8080-exec-13#84</x:v>
      </x:c>
      <x:c r="P363" s="36" t="n">
        <x:v>3</x:v>
      </x:c>
      <x:c r="Q363" s="44" t="str">
        <x:v>http-nio-8080-exec-11#82 | http-nio-8080-exec-12#83 | http-nio-8080-exec-13#84</x:v>
      </x:c>
      <x:c r="R363" s="36" t="n">
        <x:v>0</x:v>
      </x:c>
      <x:c r="S363" s="44"/>
      <x:c r="T363" s="36" t="n">
        <x:v>0</x:v>
      </x:c>
      <x:c r="U363" s="44"/>
      <x:c r="V363" s="36" t="n">
        <x:v>0</x:v>
      </x:c>
      <x:c r="W363" s="44"/>
      <x:c r="X363" s="34" t="str">
        <x:v>no-post-undeploy-thread-signal</x:v>
      </x:c>
      <x:c r="Y363" s="44" t="str">
        <x:v>automated signatures are JCS-specific; all other candidate application threads remain unattributed and ownership requires the archived full dump</x:v>
      </x:c>
    </x:row>
    <x:row r="364">
      <x:c r="A364" s="34" t="str">
        <x:v>article1-unified-v4-2-fb3f101b-20260903-000401-default-f04-p1-jcs4</x:v>
      </x:c>
      <x:c r="B364" s="34" t="str">
        <x:v>default</x:v>
      </x:c>
      <x:c r="C364" s="34" t="str">
        <x:v>jcs4</x:v>
      </x:c>
      <x:c r="D364" s="36" t="n">
        <x:v>4</x:v>
      </x:c>
      <x:c r="E364" s="36" t="n">
        <x:v>4</x:v>
      </x:c>
      <x:c r="F364" s="36" t="n">
        <x:v>1</x:v>
      </x:c>
      <x:c r="G364" s="36" t="n">
        <x:v>1</x:v>
      </x:c>
      <x:c r="H364" s="34" t="str">
        <x:v>finalUndeployThreadEvidenceEarly</x:v>
      </x:c>
      <x:c r="I364" s="36" t="n">
        <x:v>2</x:v>
      </x:c>
      <x:c r="J364" s="34" t="str">
        <x:v>early</x:v>
      </x:c>
      <x:c r="K364" s="36" t="n">
        <x:v>27</x:v>
      </x:c>
      <x:c r="L364" s="51" t="n">
        <x:v>0</x:v>
      </x:c>
      <x:c r="M364" s="51" t="n">
        <x:v>0</x:v>
      </x:c>
      <x:c r="N364" s="36" t="n">
        <x:v>9</x:v>
      </x:c>
      <x:c r="O364" s="44" t="str">
        <x:v>http-nio-8080-exec-11#82 | http-nio-8080-exec-12#83 | http-nio-8080-exec-13#84 | http-nio-8080-exec-14#87 | http-nio-8080-exec-15#88 | http-nio-8080-exec-16#89 | http-nio-8080-exec-17#124 | http-nio-8080-exec-18#125 | http-nio-8080-exec-19#126</x:v>
      </x:c>
      <x:c r="P364" s="36" t="n">
        <x:v>9</x:v>
      </x:c>
      <x:c r="Q364" s="44" t="str">
        <x:v>http-nio-8080-exec-11#82 | http-nio-8080-exec-12#83 | http-nio-8080-exec-13#84 | http-nio-8080-exec-14#87 | http-nio-8080-exec-15#88 | http-nio-8080-exec-16#89 | http-nio-8080-exec-17#124 | http-nio-8080-exec-18#125 | http-nio-8080-exec-19#126</x:v>
      </x:c>
      <x:c r="R364" s="36" t="n">
        <x:v>0</x:v>
      </x:c>
      <x:c r="S364" s="44"/>
      <x:c r="T364" s="36" t="n">
        <x:v>0</x:v>
      </x:c>
      <x:c r="U364" s="44"/>
      <x:c r="V364" s="36" t="n">
        <x:v>0</x:v>
      </x:c>
      <x:c r="W364" s="44"/>
      <x:c r="X364" s="34" t="str">
        <x:v>no-post-undeploy-thread-signal</x:v>
      </x:c>
      <x:c r="Y364" s="44" t="str">
        <x:v>automated signatures are JCS-specific; all other candidate application threads remain unattributed and ownership requires the archived full dump</x:v>
      </x:c>
    </x:row>
    <x:row r="365">
      <x:c r="A365" s="34" t="str">
        <x:v>article1-unified-v4-2-fb3f101b-20260903-000401-default-f04-p1-jcs4</x:v>
      </x:c>
      <x:c r="B365" s="34" t="str">
        <x:v>default</x:v>
      </x:c>
      <x:c r="C365" s="34" t="str">
        <x:v>jcs4</x:v>
      </x:c>
      <x:c r="D365" s="36" t="n">
        <x:v>4</x:v>
      </x:c>
      <x:c r="E365" s="36" t="n">
        <x:v>4</x:v>
      </x:c>
      <x:c r="F365" s="36" t="n">
        <x:v>1</x:v>
      </x:c>
      <x:c r="G365" s="36" t="n">
        <x:v>1</x:v>
      </x:c>
      <x:c r="H365" s="34" t="str">
        <x:v>finalUndeployThreadEvidenceFinal</x:v>
      </x:c>
      <x:c r="I365" s="36" t="n">
        <x:v>2</x:v>
      </x:c>
      <x:c r="J365" s="34" t="str">
        <x:v>final</x:v>
      </x:c>
      <x:c r="K365" s="36" t="n">
        <x:v>27</x:v>
      </x:c>
      <x:c r="L365" s="51" t="n">
        <x:v>0</x:v>
      </x:c>
      <x:c r="M365" s="51" t="n">
        <x:v>0</x:v>
      </x:c>
      <x:c r="N365" s="36" t="n">
        <x:v>9</x:v>
      </x:c>
      <x:c r="O365" s="44" t="str">
        <x:v>http-nio-8080-exec-12#83 | http-nio-8080-exec-13#84 | http-nio-8080-exec-14#87 | http-nio-8080-exec-15#88 | http-nio-8080-exec-16#89 | http-nio-8080-exec-17#124 | http-nio-8080-exec-18#125 | http-nio-8080-exec-19#126 | http-nio-8080-exec-20#127</x:v>
      </x:c>
      <x:c r="P365" s="36" t="n">
        <x:v>9</x:v>
      </x:c>
      <x:c r="Q365" s="44" t="str">
        <x:v>http-nio-8080-exec-12#83 | http-nio-8080-exec-13#84 | http-nio-8080-exec-14#87 | http-nio-8080-exec-15#88 | http-nio-8080-exec-16#89 | http-nio-8080-exec-17#124 | http-nio-8080-exec-18#125 | http-nio-8080-exec-19#126 | http-nio-8080-exec-20#127</x:v>
      </x:c>
      <x:c r="R365" s="36" t="n">
        <x:v>0</x:v>
      </x:c>
      <x:c r="S365" s="44"/>
      <x:c r="T365" s="36" t="n">
        <x:v>0</x:v>
      </x:c>
      <x:c r="U365" s="44"/>
      <x:c r="V365" s="36" t="n">
        <x:v>0</x:v>
      </x:c>
      <x:c r="W365" s="44"/>
      <x:c r="X365" s="34" t="str">
        <x:v>no-post-undeploy-thread-signal</x:v>
      </x:c>
      <x:c r="Y365" s="44" t="str">
        <x:v>automated signatures are JCS-specific; all other candidate application threads remain unattributed and ownership requires the archived full dump</x:v>
      </x:c>
    </x:row>
    <x:row r="366">
      <x:c r="A366" s="34" t="str">
        <x:v>article1-unified-v4-2-fb3f101b-20260903-000401-default-f04-p1-jcs4</x:v>
      </x:c>
      <x:c r="B366" s="34" t="str">
        <x:v>default</x:v>
      </x:c>
      <x:c r="C366" s="34" t="str">
        <x:v>jcs4</x:v>
      </x:c>
      <x:c r="D366" s="36" t="n">
        <x:v>4</x:v>
      </x:c>
      <x:c r="E366" s="36" t="n">
        <x:v>4</x:v>
      </x:c>
      <x:c r="F366" s="36" t="n">
        <x:v>1</x:v>
      </x:c>
      <x:c r="G366" s="36" t="n">
        <x:v>2</x:v>
      </x:c>
      <x:c r="H366" s="34" t="str">
        <x:v>firstUndeployThreadEvidenceEarly</x:v>
      </x:c>
      <x:c r="I366" s="36" t="n">
        <x:v>1</x:v>
      </x:c>
      <x:c r="J366" s="34" t="str">
        <x:v>early</x:v>
      </x:c>
      <x:c r="K366" s="36" t="n">
        <x:v>27</x:v>
      </x:c>
      <x:c r="L366" s="51" t="n">
        <x:v>0</x:v>
      </x:c>
      <x:c r="M366" s="51" t="n">
        <x:v>0</x:v>
      </x:c>
      <x:c r="N366" s="36" t="n">
        <x:v>10</x:v>
      </x:c>
      <x:c r="O366" s="44" t="str">
        <x:v>http-nio-8080-exec-13#84 | http-nio-8080-exec-16#89 | http-nio-8080-exec-18#125 | http-nio-8080-exec-19#126 | http-nio-8080-exec-20#127 | http-nio-8080-exec-21#130 | http-nio-8080-exec-22#131 | http-nio-8080-exec-23#166 | http-nio-8080-exec-24#167 | http-nio-8080-exec-25#168</x:v>
      </x:c>
      <x:c r="P366" s="36" t="n">
        <x:v>5</x:v>
      </x:c>
      <x:c r="Q366" s="44" t="str">
        <x:v>http-nio-8080-exec-21#130 | http-nio-8080-exec-22#131 | http-nio-8080-exec-23#166 | http-nio-8080-exec-24#167 | http-nio-8080-exec-25#168</x:v>
      </x:c>
      <x:c r="R366" s="36" t="n">
        <x:v>0</x:v>
      </x:c>
      <x:c r="S366" s="44"/>
      <x:c r="T366" s="36" t="n">
        <x:v>0</x:v>
      </x:c>
      <x:c r="U366" s="44"/>
      <x:c r="V366" s="36" t="n">
        <x:v>0</x:v>
      </x:c>
      <x:c r="W366" s="44"/>
      <x:c r="X366" s="34" t="str">
        <x:v>no-post-undeploy-thread-signal</x:v>
      </x:c>
      <x:c r="Y366" s="44" t="str">
        <x:v>automated signatures are JCS-specific; all other candidate application threads remain unattributed and ownership requires the archived full dump</x:v>
      </x:c>
    </x:row>
    <x:row r="367">
      <x:c r="A367" s="34" t="str">
        <x:v>article1-unified-v4-2-fb3f101b-20260903-000401-default-f04-p1-jcs4</x:v>
      </x:c>
      <x:c r="B367" s="34" t="str">
        <x:v>default</x:v>
      </x:c>
      <x:c r="C367" s="34" t="str">
        <x:v>jcs4</x:v>
      </x:c>
      <x:c r="D367" s="36" t="n">
        <x:v>4</x:v>
      </x:c>
      <x:c r="E367" s="36" t="n">
        <x:v>4</x:v>
      </x:c>
      <x:c r="F367" s="36" t="n">
        <x:v>1</x:v>
      </x:c>
      <x:c r="G367" s="36" t="n">
        <x:v>2</x:v>
      </x:c>
      <x:c r="H367" s="34" t="str">
        <x:v>firstUndeployThreadEvidenceFinal</x:v>
      </x:c>
      <x:c r="I367" s="36" t="n">
        <x:v>1</x:v>
      </x:c>
      <x:c r="J367" s="34" t="str">
        <x:v>final</x:v>
      </x:c>
      <x:c r="K367" s="36" t="n">
        <x:v>27</x:v>
      </x:c>
      <x:c r="L367" s="51" t="n">
        <x:v>0</x:v>
      </x:c>
      <x:c r="M367" s="51" t="n">
        <x:v>0</x:v>
      </x:c>
      <x:c r="N367" s="36" t="n">
        <x:v>10</x:v>
      </x:c>
      <x:c r="O367" s="44" t="str">
        <x:v>http-nio-8080-exec-13#84 | http-nio-8080-exec-16#89 | http-nio-8080-exec-19#126 | http-nio-8080-exec-20#127 | http-nio-8080-exec-21#130 | http-nio-8080-exec-22#131 | http-nio-8080-exec-23#166 | http-nio-8080-exec-24#167 | http-nio-8080-exec-25#168 | http-nio-8080-exec-26#169</x:v>
      </x:c>
      <x:c r="P367" s="36" t="n">
        <x:v>6</x:v>
      </x:c>
      <x:c r="Q367" s="44" t="str">
        <x:v>http-nio-8080-exec-21#130 | http-nio-8080-exec-22#131 | http-nio-8080-exec-23#166 | http-nio-8080-exec-24#167 | http-nio-8080-exec-25#168 | http-nio-8080-exec-26#169</x:v>
      </x:c>
      <x:c r="R367" s="36" t="n">
        <x:v>0</x:v>
      </x:c>
      <x:c r="S367" s="44"/>
      <x:c r="T367" s="36" t="n">
        <x:v>0</x:v>
      </x:c>
      <x:c r="U367" s="44"/>
      <x:c r="V367" s="36" t="n">
        <x:v>0</x:v>
      </x:c>
      <x:c r="W367" s="44"/>
      <x:c r="X367" s="34" t="str">
        <x:v>no-post-undeploy-thread-signal</x:v>
      </x:c>
      <x:c r="Y367" s="44" t="str">
        <x:v>automated signatures are JCS-specific; all other candidate application threads remain unattributed and ownership requires the archived full dump</x:v>
      </x:c>
    </x:row>
    <x:row r="368">
      <x:c r="A368" s="34" t="str">
        <x:v>article1-unified-v4-2-fb3f101b-20260903-000401-default-f04-p1-jcs4</x:v>
      </x:c>
      <x:c r="B368" s="34" t="str">
        <x:v>default</x:v>
      </x:c>
      <x:c r="C368" s="34" t="str">
        <x:v>jcs4</x:v>
      </x:c>
      <x:c r="D368" s="36" t="n">
        <x:v>4</x:v>
      </x:c>
      <x:c r="E368" s="36" t="n">
        <x:v>4</x:v>
      </x:c>
      <x:c r="F368" s="36" t="n">
        <x:v>1</x:v>
      </x:c>
      <x:c r="G368" s="36" t="n">
        <x:v>2</x:v>
      </x:c>
      <x:c r="H368" s="34" t="str">
        <x:v>finalUndeployThreadEvidenceEarly</x:v>
      </x:c>
      <x:c r="I368" s="36" t="n">
        <x:v>2</x:v>
      </x:c>
      <x:c r="J368" s="34" t="str">
        <x:v>early</x:v>
      </x:c>
      <x:c r="K368" s="36" t="n">
        <x:v>27</x:v>
      </x:c>
      <x:c r="L368" s="51" t="n">
        <x:v>0</x:v>
      </x:c>
      <x:c r="M368" s="51" t="n">
        <x:v>0</x:v>
      </x:c>
      <x:c r="N368" s="36" t="n">
        <x:v>10</x:v>
      </x:c>
      <x:c r="O368" s="44" t="str">
        <x:v>http-nio-8080-exec-13#84 | http-nio-8080-exec-16#89 | http-nio-8080-exec-25#168 | http-nio-8080-exec-26#169 | http-nio-8080-exec-27#172 | http-nio-8080-exec-28#173 | http-nio-8080-exec-29#174 | http-nio-8080-exec-30#209 | http-nio-8080-exec-31#210 | http-nio-8080-exec-32#211</x:v>
      </x:c>
      <x:c r="P368" s="36" t="n">
        <x:v>8</x:v>
      </x:c>
      <x:c r="Q368" s="44" t="str">
        <x:v>http-nio-8080-exec-25#168 | http-nio-8080-exec-26#169 | http-nio-8080-exec-27#172 | http-nio-8080-exec-28#173 | http-nio-8080-exec-29#174 | http-nio-8080-exec-30#209 | http-nio-8080-exec-31#210 | http-nio-8080-exec-32#211</x:v>
      </x:c>
      <x:c r="R368" s="36" t="n">
        <x:v>0</x:v>
      </x:c>
      <x:c r="S368" s="44"/>
      <x:c r="T368" s="36" t="n">
        <x:v>0</x:v>
      </x:c>
      <x:c r="U368" s="44"/>
      <x:c r="V368" s="36" t="n">
        <x:v>0</x:v>
      </x:c>
      <x:c r="W368" s="44"/>
      <x:c r="X368" s="34" t="str">
        <x:v>no-post-undeploy-thread-signal</x:v>
      </x:c>
      <x:c r="Y368" s="44" t="str">
        <x:v>automated signatures are JCS-specific; all other candidate application threads remain unattributed and ownership requires the archived full dump</x:v>
      </x:c>
    </x:row>
    <x:row r="369">
      <x:c r="A369" s="34" t="str">
        <x:v>article1-unified-v4-2-fb3f101b-20260903-000401-default-f04-p1-jcs4</x:v>
      </x:c>
      <x:c r="B369" s="34" t="str">
        <x:v>default</x:v>
      </x:c>
      <x:c r="C369" s="34" t="str">
        <x:v>jcs4</x:v>
      </x:c>
      <x:c r="D369" s="36" t="n">
        <x:v>4</x:v>
      </x:c>
      <x:c r="E369" s="36" t="n">
        <x:v>4</x:v>
      </x:c>
      <x:c r="F369" s="36" t="n">
        <x:v>1</x:v>
      </x:c>
      <x:c r="G369" s="36" t="n">
        <x:v>2</x:v>
      </x:c>
      <x:c r="H369" s="34" t="str">
        <x:v>finalUndeployThreadEvidenceFinal</x:v>
      </x:c>
      <x:c r="I369" s="36" t="n">
        <x:v>2</x:v>
      </x:c>
      <x:c r="J369" s="34" t="str">
        <x:v>final</x:v>
      </x:c>
      <x:c r="K369" s="36" t="n">
        <x:v>27</x:v>
      </x:c>
      <x:c r="L369" s="51" t="n">
        <x:v>0</x:v>
      </x:c>
      <x:c r="M369" s="51" t="n">
        <x:v>0</x:v>
      </x:c>
      <x:c r="N369" s="36" t="n">
        <x:v>10</x:v>
      </x:c>
      <x:c r="O369" s="44" t="str">
        <x:v>http-nio-8080-exec-13#84 | http-nio-8080-exec-16#89 | http-nio-8080-exec-25#168 | http-nio-8080-exec-26#169 | http-nio-8080-exec-27#172 | http-nio-8080-exec-29#174 | http-nio-8080-exec-30#209 | http-nio-8080-exec-31#210 | http-nio-8080-exec-32#211 | http-nio-8080-exec-33#212</x:v>
      </x:c>
      <x:c r="P369" s="36" t="n">
        <x:v>8</x:v>
      </x:c>
      <x:c r="Q369" s="44" t="str">
        <x:v>http-nio-8080-exec-25#168 | http-nio-8080-exec-26#169 | http-nio-8080-exec-27#172 | http-nio-8080-exec-29#174 | http-nio-8080-exec-30#209 | http-nio-8080-exec-31#210 | http-nio-8080-exec-32#211 | http-nio-8080-exec-33#212</x:v>
      </x:c>
      <x:c r="R369" s="36" t="n">
        <x:v>0</x:v>
      </x:c>
      <x:c r="S369" s="44"/>
      <x:c r="T369" s="36" t="n">
        <x:v>0</x:v>
      </x:c>
      <x:c r="U369" s="44"/>
      <x:c r="V369" s="36" t="n">
        <x:v>0</x:v>
      </x:c>
      <x:c r="W369" s="44"/>
      <x:c r="X369" s="34" t="str">
        <x:v>no-post-undeploy-thread-signal</x:v>
      </x:c>
      <x:c r="Y369" s="44" t="str">
        <x:v>automated signatures are JCS-specific; all other candidate application threads remain unattributed and ownership requires the archived full dump</x:v>
      </x:c>
    </x:row>
    <x:row r="370">
      <x:c r="A370" s="34" t="str">
        <x:v>article1-unified-v4-2-fb3f101b-20260903-000401-default-f04-p1-jcs4</x:v>
      </x:c>
      <x:c r="B370" s="34" t="str">
        <x:v>default</x:v>
      </x:c>
      <x:c r="C370" s="34" t="str">
        <x:v>jcs4</x:v>
      </x:c>
      <x:c r="D370" s="36" t="n">
        <x:v>4</x:v>
      </x:c>
      <x:c r="E370" s="36" t="n">
        <x:v>4</x:v>
      </x:c>
      <x:c r="F370" s="36" t="n">
        <x:v>1</x:v>
      </x:c>
      <x:c r="G370" s="36" t="n">
        <x:v>3</x:v>
      </x:c>
      <x:c r="H370" s="34" t="str">
        <x:v>firstUndeployThreadEvidenceEarly</x:v>
      </x:c>
      <x:c r="I370" s="36" t="n">
        <x:v>1</x:v>
      </x:c>
      <x:c r="J370" s="34" t="str">
        <x:v>early</x:v>
      </x:c>
      <x:c r="K370" s="36" t="n">
        <x:v>27</x:v>
      </x:c>
      <x:c r="L370" s="51" t="n">
        <x:v>0</x:v>
      </x:c>
      <x:c r="M370" s="51" t="n">
        <x:v>0</x:v>
      </x:c>
      <x:c r="N370" s="36" t="n">
        <x:v>10</x:v>
      </x:c>
      <x:c r="O370" s="44" t="str">
        <x:v>http-nio-8080-exec-13#84 | http-nio-8080-exec-26#169 | http-nio-8080-exec-29#174 | http-nio-8080-exec-31#210 | http-nio-8080-exec-32#211 | http-nio-8080-exec-33#212 | http-nio-8080-exec-34#215 | http-nio-8080-exec-35#216 | http-nio-8080-exec-37#252 | http-nio-8080-exec-38#253</x:v>
      </x:c>
      <x:c r="P370" s="36" t="n">
        <x:v>4</x:v>
      </x:c>
      <x:c r="Q370" s="44" t="str">
        <x:v>http-nio-8080-exec-34#215 | http-nio-8080-exec-35#216 | http-nio-8080-exec-37#252 | http-nio-8080-exec-38#253</x:v>
      </x:c>
      <x:c r="R370" s="36" t="n">
        <x:v>0</x:v>
      </x:c>
      <x:c r="S370" s="44"/>
      <x:c r="T370" s="36" t="n">
        <x:v>0</x:v>
      </x:c>
      <x:c r="U370" s="44"/>
      <x:c r="V370" s="36" t="n">
        <x:v>0</x:v>
      </x:c>
      <x:c r="W370" s="44"/>
      <x:c r="X370" s="34" t="str">
        <x:v>no-post-undeploy-thread-signal</x:v>
      </x:c>
      <x:c r="Y370" s="44" t="str">
        <x:v>automated signatures are JCS-specific; all other candidate application threads remain unattributed and ownership requires the archived full dump</x:v>
      </x:c>
    </x:row>
    <x:row r="371">
      <x:c r="A371" s="34" t="str">
        <x:v>article1-unified-v4-2-fb3f101b-20260903-000401-default-f04-p1-jcs4</x:v>
      </x:c>
      <x:c r="B371" s="34" t="str">
        <x:v>default</x:v>
      </x:c>
      <x:c r="C371" s="34" t="str">
        <x:v>jcs4</x:v>
      </x:c>
      <x:c r="D371" s="36" t="n">
        <x:v>4</x:v>
      </x:c>
      <x:c r="E371" s="36" t="n">
        <x:v>4</x:v>
      </x:c>
      <x:c r="F371" s="36" t="n">
        <x:v>1</x:v>
      </x:c>
      <x:c r="G371" s="36" t="n">
        <x:v>3</x:v>
      </x:c>
      <x:c r="H371" s="34" t="str">
        <x:v>firstUndeployThreadEvidenceFinal</x:v>
      </x:c>
      <x:c r="I371" s="36" t="n">
        <x:v>1</x:v>
      </x:c>
      <x:c r="J371" s="34" t="str">
        <x:v>final</x:v>
      </x:c>
      <x:c r="K371" s="36" t="n">
        <x:v>27</x:v>
      </x:c>
      <x:c r="L371" s="51" t="n">
        <x:v>0</x:v>
      </x:c>
      <x:c r="M371" s="51" t="n">
        <x:v>0</x:v>
      </x:c>
      <x:c r="N371" s="36" t="n">
        <x:v>10</x:v>
      </x:c>
      <x:c r="O371" s="44" t="str">
        <x:v>http-nio-8080-exec-13#84 | http-nio-8080-exec-26#169 | http-nio-8080-exec-31#210 | http-nio-8080-exec-32#211 | http-nio-8080-exec-33#212 | http-nio-8080-exec-34#215 | http-nio-8080-exec-35#216 | http-nio-8080-exec-37#252 | http-nio-8080-exec-38#253 | http-nio-8080-exec-39#254</x:v>
      </x:c>
      <x:c r="P371" s="36" t="n">
        <x:v>5</x:v>
      </x:c>
      <x:c r="Q371" s="44" t="str">
        <x:v>http-nio-8080-exec-34#215 | http-nio-8080-exec-35#216 | http-nio-8080-exec-37#252 | http-nio-8080-exec-38#253 | http-nio-8080-exec-39#254</x:v>
      </x:c>
      <x:c r="R371" s="36" t="n">
        <x:v>0</x:v>
      </x:c>
      <x:c r="S371" s="44"/>
      <x:c r="T371" s="36" t="n">
        <x:v>0</x:v>
      </x:c>
      <x:c r="U371" s="44"/>
      <x:c r="V371" s="36" t="n">
        <x:v>0</x:v>
      </x:c>
      <x:c r="W371" s="44"/>
      <x:c r="X371" s="34" t="str">
        <x:v>no-post-undeploy-thread-signal</x:v>
      </x:c>
      <x:c r="Y371" s="44" t="str">
        <x:v>automated signatures are JCS-specific; all other candidate application threads remain unattributed and ownership requires the archived full dump</x:v>
      </x:c>
    </x:row>
    <x:row r="372">
      <x:c r="A372" s="34" t="str">
        <x:v>article1-unified-v4-2-fb3f101b-20260903-000401-default-f04-p1-jcs4</x:v>
      </x:c>
      <x:c r="B372" s="34" t="str">
        <x:v>default</x:v>
      </x:c>
      <x:c r="C372" s="34" t="str">
        <x:v>jcs4</x:v>
      </x:c>
      <x:c r="D372" s="36" t="n">
        <x:v>4</x:v>
      </x:c>
      <x:c r="E372" s="36" t="n">
        <x:v>4</x:v>
      </x:c>
      <x:c r="F372" s="36" t="n">
        <x:v>1</x:v>
      </x:c>
      <x:c r="G372" s="36" t="n">
        <x:v>3</x:v>
      </x:c>
      <x:c r="H372" s="34" t="str">
        <x:v>finalUndeployThreadEvidenceEarly</x:v>
      </x:c>
      <x:c r="I372" s="36" t="n">
        <x:v>2</x:v>
      </x:c>
      <x:c r="J372" s="34" t="str">
        <x:v>early</x:v>
      </x:c>
      <x:c r="K372" s="36" t="n">
        <x:v>27</x:v>
      </x:c>
      <x:c r="L372" s="51" t="n">
        <x:v>0</x:v>
      </x:c>
      <x:c r="M372" s="51" t="n">
        <x:v>0</x:v>
      </x:c>
      <x:c r="N372" s="36" t="n">
        <x:v>10</x:v>
      </x:c>
      <x:c r="O372" s="44" t="str">
        <x:v>http-nio-8080-exec-13#84 | http-nio-8080-exec-37#252 | http-nio-8080-exec-38#253 | http-nio-8080-exec-39#254 | http-nio-8080-exec-40#257 | http-nio-8080-exec-41#258 | http-nio-8080-exec-42#259 | http-nio-8080-exec-43#294 | http-nio-8080-exec-44#295 | http-nio-8080-exec-45#296</x:v>
      </x:c>
      <x:c r="P372" s="36" t="n">
        <x:v>9</x:v>
      </x:c>
      <x:c r="Q372" s="44" t="str">
        <x:v>http-nio-8080-exec-37#252 | http-nio-8080-exec-38#253 | http-nio-8080-exec-39#254 | http-nio-8080-exec-40#257 | http-nio-8080-exec-41#258 | http-nio-8080-exec-42#259 | http-nio-8080-exec-43#294 | http-nio-8080-exec-44#295 | http-nio-8080-exec-45#296</x:v>
      </x:c>
      <x:c r="R372" s="36" t="n">
        <x:v>0</x:v>
      </x:c>
      <x:c r="S372" s="44"/>
      <x:c r="T372" s="36" t="n">
        <x:v>0</x:v>
      </x:c>
      <x:c r="U372" s="44"/>
      <x:c r="V372" s="36" t="n">
        <x:v>0</x:v>
      </x:c>
      <x:c r="W372" s="44"/>
      <x:c r="X372" s="34" t="str">
        <x:v>no-post-undeploy-thread-signal</x:v>
      </x:c>
      <x:c r="Y372" s="44" t="str">
        <x:v>automated signatures are JCS-specific; all other candidate application threads remain unattributed and ownership requires the archived full dump</x:v>
      </x:c>
    </x:row>
    <x:row r="373">
      <x:c r="A373" s="34" t="str">
        <x:v>article1-unified-v4-2-fb3f101b-20260903-000401-default-f04-p1-jcs4</x:v>
      </x:c>
      <x:c r="B373" s="34" t="str">
        <x:v>default</x:v>
      </x:c>
      <x:c r="C373" s="34" t="str">
        <x:v>jcs4</x:v>
      </x:c>
      <x:c r="D373" s="36" t="n">
        <x:v>4</x:v>
      </x:c>
      <x:c r="E373" s="36" t="n">
        <x:v>4</x:v>
      </x:c>
      <x:c r="F373" s="36" t="n">
        <x:v>1</x:v>
      </x:c>
      <x:c r="G373" s="36" t="n">
        <x:v>3</x:v>
      </x:c>
      <x:c r="H373" s="34" t="str">
        <x:v>finalUndeployThreadEvidenceFinal</x:v>
      </x:c>
      <x:c r="I373" s="36" t="n">
        <x:v>2</x:v>
      </x:c>
      <x:c r="J373" s="34" t="str">
        <x:v>final</x:v>
      </x:c>
      <x:c r="K373" s="36" t="n">
        <x:v>27</x:v>
      </x:c>
      <x:c r="L373" s="51" t="n">
        <x:v>0</x:v>
      </x:c>
      <x:c r="M373" s="51" t="n">
        <x:v>0</x:v>
      </x:c>
      <x:c r="N373" s="36" t="n">
        <x:v>10</x:v>
      </x:c>
      <x:c r="O373" s="44" t="str">
        <x:v>http-nio-8080-exec-13#84 | http-nio-8080-exec-37#252 | http-nio-8080-exec-38#253 | http-nio-8080-exec-39#254 | http-nio-8080-exec-40#257 | http-nio-8080-exec-41#258 | http-nio-8080-exec-43#294 | http-nio-8080-exec-44#295 | http-nio-8080-exec-45#296 | http-nio-8080-exec-46#297</x:v>
      </x:c>
      <x:c r="P373" s="36" t="n">
        <x:v>9</x:v>
      </x:c>
      <x:c r="Q373" s="44" t="str">
        <x:v>http-nio-8080-exec-37#252 | http-nio-8080-exec-38#253 | http-nio-8080-exec-39#254 | http-nio-8080-exec-40#257 | http-nio-8080-exec-41#258 | http-nio-8080-exec-43#294 | http-nio-8080-exec-44#295 | http-nio-8080-exec-45#296 | http-nio-8080-exec-46#297</x:v>
      </x:c>
      <x:c r="R373" s="36" t="n">
        <x:v>0</x:v>
      </x:c>
      <x:c r="S373" s="44"/>
      <x:c r="T373" s="36" t="n">
        <x:v>0</x:v>
      </x:c>
      <x:c r="U373" s="44"/>
      <x:c r="V373" s="36" t="n">
        <x:v>0</x:v>
      </x:c>
      <x:c r="W373" s="44"/>
      <x:c r="X373" s="34" t="str">
        <x:v>no-post-undeploy-thread-signal</x:v>
      </x:c>
      <x:c r="Y373" s="44" t="str">
        <x:v>automated signatures are JCS-specific; all other candidate application threads remain unattributed and ownership requires the archived full dump</x:v>
      </x:c>
    </x:row>
    <x:row r="374">
      <x:c r="A374" s="34" t="str">
        <x:v>article1-unified-v4-2-fb3f101b-20260903-000401-default-f04-p1-jcs4</x:v>
      </x:c>
      <x:c r="B374" s="34" t="str">
        <x:v>default</x:v>
      </x:c>
      <x:c r="C374" s="34" t="str">
        <x:v>jcs4</x:v>
      </x:c>
      <x:c r="D374" s="36" t="n">
        <x:v>4</x:v>
      </x:c>
      <x:c r="E374" s="36" t="n">
        <x:v>4</x:v>
      </x:c>
      <x:c r="F374" s="36" t="n">
        <x:v>1</x:v>
      </x:c>
      <x:c r="G374" s="36" t="n">
        <x:v>4</x:v>
      </x:c>
      <x:c r="H374" s="34" t="str">
        <x:v>firstUndeployThreadEvidenceEarly</x:v>
      </x:c>
      <x:c r="I374" s="36" t="n">
        <x:v>1</x:v>
      </x:c>
      <x:c r="J374" s="34" t="str">
        <x:v>early</x:v>
      </x:c>
      <x:c r="K374" s="36" t="n">
        <x:v>27</x:v>
      </x:c>
      <x:c r="L374" s="51" t="n">
        <x:v>0</x:v>
      </x:c>
      <x:c r="M374" s="51" t="n">
        <x:v>0</x:v>
      </x:c>
      <x:c r="N374" s="36" t="n">
        <x:v>10</x:v>
      </x:c>
      <x:c r="O374" s="44" t="str">
        <x:v>http-nio-8080-exec-13#84 | http-nio-8080-exec-37#252 | http-nio-8080-exec-43#294 | http-nio-8080-exec-45#296 | http-nio-8080-exec-46#297 | http-nio-8080-exec-47#300 | http-nio-8080-exec-48#301 | http-nio-8080-exec-49#336 | http-nio-8080-exec-50#337 | http-nio-8080-exec-51#338</x:v>
      </x:c>
      <x:c r="P374" s="36" t="n">
        <x:v>5</x:v>
      </x:c>
      <x:c r="Q374" s="44" t="str">
        <x:v>http-nio-8080-exec-47#300 | http-nio-8080-exec-48#301 | http-nio-8080-exec-49#336 | http-nio-8080-exec-50#337 | http-nio-8080-exec-51#338</x:v>
      </x:c>
      <x:c r="R374" s="36" t="n">
        <x:v>0</x:v>
      </x:c>
      <x:c r="S374" s="44"/>
      <x:c r="T374" s="36" t="n">
        <x:v>0</x:v>
      </x:c>
      <x:c r="U374" s="44"/>
      <x:c r="V374" s="36" t="n">
        <x:v>0</x:v>
      </x:c>
      <x:c r="W374" s="44"/>
      <x:c r="X374" s="34" t="str">
        <x:v>no-post-undeploy-thread-signal</x:v>
      </x:c>
      <x:c r="Y374" s="44" t="str">
        <x:v>automated signatures are JCS-specific; all other candidate application threads remain unattributed and ownership requires the archived full dump</x:v>
      </x:c>
    </x:row>
    <x:row r="375">
      <x:c r="A375" s="34" t="str">
        <x:v>article1-unified-v4-2-fb3f101b-20260903-000401-default-f04-p1-jcs4</x:v>
      </x:c>
      <x:c r="B375" s="34" t="str">
        <x:v>default</x:v>
      </x:c>
      <x:c r="C375" s="34" t="str">
        <x:v>jcs4</x:v>
      </x:c>
      <x:c r="D375" s="36" t="n">
        <x:v>4</x:v>
      </x:c>
      <x:c r="E375" s="36" t="n">
        <x:v>4</x:v>
      </x:c>
      <x:c r="F375" s="36" t="n">
        <x:v>1</x:v>
      </x:c>
      <x:c r="G375" s="36" t="n">
        <x:v>4</x:v>
      </x:c>
      <x:c r="H375" s="34" t="str">
        <x:v>firstUndeployThreadEvidenceFinal</x:v>
      </x:c>
      <x:c r="I375" s="36" t="n">
        <x:v>1</x:v>
      </x:c>
      <x:c r="J375" s="34" t="str">
        <x:v>final</x:v>
      </x:c>
      <x:c r="K375" s="36" t="n">
        <x:v>27</x:v>
      </x:c>
      <x:c r="L375" s="51" t="n">
        <x:v>0</x:v>
      </x:c>
      <x:c r="M375" s="51" t="n">
        <x:v>0</x:v>
      </x:c>
      <x:c r="N375" s="36" t="n">
        <x:v>10</x:v>
      </x:c>
      <x:c r="O375" s="44" t="str">
        <x:v>http-nio-8080-exec-13#84 | http-nio-8080-exec-37#252 | http-nio-8080-exec-43#294 | http-nio-8080-exec-45#296 | http-nio-8080-exec-46#297 | http-nio-8080-exec-47#300 | http-nio-8080-exec-48#301 | http-nio-8080-exec-50#337 | http-nio-8080-exec-51#338 | http-nio-8080-exec-52#339</x:v>
      </x:c>
      <x:c r="P375" s="36" t="n">
        <x:v>5</x:v>
      </x:c>
      <x:c r="Q375" s="44" t="str">
        <x:v>http-nio-8080-exec-47#300 | http-nio-8080-exec-48#301 | http-nio-8080-exec-50#337 | http-nio-8080-exec-51#338 | http-nio-8080-exec-52#339</x:v>
      </x:c>
      <x:c r="R375" s="36" t="n">
        <x:v>0</x:v>
      </x:c>
      <x:c r="S375" s="44"/>
      <x:c r="T375" s="36" t="n">
        <x:v>0</x:v>
      </x:c>
      <x:c r="U375" s="44"/>
      <x:c r="V375" s="36" t="n">
        <x:v>0</x:v>
      </x:c>
      <x:c r="W375" s="44"/>
      <x:c r="X375" s="34" t="str">
        <x:v>no-post-undeploy-thread-signal</x:v>
      </x:c>
      <x:c r="Y375" s="44" t="str">
        <x:v>automated signatures are JCS-specific; all other candidate application threads remain unattributed and ownership requires the archived full dump</x:v>
      </x:c>
    </x:row>
    <x:row r="376">
      <x:c r="A376" s="34" t="str">
        <x:v>article1-unified-v4-2-fb3f101b-20260903-000401-default-f04-p1-jcs4</x:v>
      </x:c>
      <x:c r="B376" s="34" t="str">
        <x:v>default</x:v>
      </x:c>
      <x:c r="C376" s="34" t="str">
        <x:v>jcs4</x:v>
      </x:c>
      <x:c r="D376" s="36" t="n">
        <x:v>4</x:v>
      </x:c>
      <x:c r="E376" s="36" t="n">
        <x:v>4</x:v>
      </x:c>
      <x:c r="F376" s="36" t="n">
        <x:v>1</x:v>
      </x:c>
      <x:c r="G376" s="36" t="n">
        <x:v>4</x:v>
      </x:c>
      <x:c r="H376" s="34" t="str">
        <x:v>finalUndeployThreadEvidenceEarly</x:v>
      </x:c>
      <x:c r="I376" s="36" t="n">
        <x:v>2</x:v>
      </x:c>
      <x:c r="J376" s="34" t="str">
        <x:v>early</x:v>
      </x:c>
      <x:c r="K376" s="36" t="n">
        <x:v>27</x:v>
      </x:c>
      <x:c r="L376" s="51" t="n">
        <x:v>0</x:v>
      </x:c>
      <x:c r="M376" s="51" t="n">
        <x:v>0</x:v>
      </x:c>
      <x:c r="N376" s="36" t="n">
        <x:v>10</x:v>
      </x:c>
      <x:c r="O376" s="44" t="str">
        <x:v>http-nio-8080-exec-43#294 | http-nio-8080-exec-46#297 | http-nio-8080-exec-50#337 | http-nio-8080-exec-52#339 | http-nio-8080-exec-53#342 | http-nio-8080-exec-54#343 | http-nio-8080-exec-55#344 | http-nio-8080-exec-56#379 | http-nio-8080-exec-57#380 | http-nio-8080-exec-58#381</x:v>
      </x:c>
      <x:c r="P376" s="36" t="n">
        <x:v>8</x:v>
      </x:c>
      <x:c r="Q376" s="44" t="str">
        <x:v>http-nio-8080-exec-50#337 | http-nio-8080-exec-52#339 | http-nio-8080-exec-53#342 | http-nio-8080-exec-54#343 | http-nio-8080-exec-55#344 | http-nio-8080-exec-56#379 | http-nio-8080-exec-57#380 | http-nio-8080-exec-58#381</x:v>
      </x:c>
      <x:c r="R376" s="36" t="n">
        <x:v>0</x:v>
      </x:c>
      <x:c r="S376" s="44"/>
      <x:c r="T376" s="36" t="n">
        <x:v>0</x:v>
      </x:c>
      <x:c r="U376" s="44"/>
      <x:c r="V376" s="36" t="n">
        <x:v>0</x:v>
      </x:c>
      <x:c r="W376" s="44"/>
      <x:c r="X376" s="34" t="str">
        <x:v>no-post-undeploy-thread-signal</x:v>
      </x:c>
      <x:c r="Y376" s="44" t="str">
        <x:v>automated signatures are JCS-specific; all other candidate application threads remain unattributed and ownership requires the archived full dump</x:v>
      </x:c>
    </x:row>
    <x:row r="377">
      <x:c r="A377" s="34" t="str">
        <x:v>article1-unified-v4-2-fb3f101b-20260903-000401-default-f04-p1-jcs4</x:v>
      </x:c>
      <x:c r="B377" s="34" t="str">
        <x:v>default</x:v>
      </x:c>
      <x:c r="C377" s="34" t="str">
        <x:v>jcs4</x:v>
      </x:c>
      <x:c r="D377" s="36" t="n">
        <x:v>4</x:v>
      </x:c>
      <x:c r="E377" s="36" t="n">
        <x:v>4</x:v>
      </x:c>
      <x:c r="F377" s="36" t="n">
        <x:v>1</x:v>
      </x:c>
      <x:c r="G377" s="36" t="n">
        <x:v>4</x:v>
      </x:c>
      <x:c r="H377" s="34" t="str">
        <x:v>finalUndeployThreadEvidenceFinal</x:v>
      </x:c>
      <x:c r="I377" s="36" t="n">
        <x:v>2</x:v>
      </x:c>
      <x:c r="J377" s="34" t="str">
        <x:v>final</x:v>
      </x:c>
      <x:c r="K377" s="36" t="n">
        <x:v>27</x:v>
      </x:c>
      <x:c r="L377" s="51" t="n">
        <x:v>0</x:v>
      </x:c>
      <x:c r="M377" s="51" t="n">
        <x:v>0</x:v>
      </x:c>
      <x:c r="N377" s="36" t="n">
        <x:v>10</x:v>
      </x:c>
      <x:c r="O377" s="44" t="str">
        <x:v>http-nio-8080-exec-43#294 | http-nio-8080-exec-46#297 | http-nio-8080-exec-50#337 | http-nio-8080-exec-53#342 | http-nio-8080-exec-54#343 | http-nio-8080-exec-55#344 | http-nio-8080-exec-56#379 | http-nio-8080-exec-57#380 | http-nio-8080-exec-58#381 | http-nio-8080-exec-59#382</x:v>
      </x:c>
      <x:c r="P377" s="36" t="n">
        <x:v>8</x:v>
      </x:c>
      <x:c r="Q377" s="44" t="str">
        <x:v>http-nio-8080-exec-50#337 | http-nio-8080-exec-53#342 | http-nio-8080-exec-54#343 | http-nio-8080-exec-55#344 | http-nio-8080-exec-56#379 | http-nio-8080-exec-57#380 | http-nio-8080-exec-58#381 | http-nio-8080-exec-59#382</x:v>
      </x:c>
      <x:c r="R377" s="36" t="n">
        <x:v>0</x:v>
      </x:c>
      <x:c r="S377" s="44"/>
      <x:c r="T377" s="36" t="n">
        <x:v>0</x:v>
      </x:c>
      <x:c r="U377" s="44"/>
      <x:c r="V377" s="36" t="n">
        <x:v>0</x:v>
      </x:c>
      <x:c r="W377" s="44"/>
      <x:c r="X377" s="34" t="str">
        <x:v>no-post-undeploy-thread-signal</x:v>
      </x:c>
      <x:c r="Y377" s="44" t="str">
        <x:v>automated signatures are JCS-specific; all other candidate application threads remain unattributed and ownership requires the archived full dump</x:v>
      </x:c>
    </x:row>
    <x:row r="378">
      <x:c r="A378" s="34" t="str">
        <x:v>article1-unified-v4-2-fb3f101b-20260903-000401-default-f04-p1-jcs4</x:v>
      </x:c>
      <x:c r="B378" s="34" t="str">
        <x:v>default</x:v>
      </x:c>
      <x:c r="C378" s="34" t="str">
        <x:v>jcs4</x:v>
      </x:c>
      <x:c r="D378" s="36" t="n">
        <x:v>4</x:v>
      </x:c>
      <x:c r="E378" s="36" t="n">
        <x:v>4</x:v>
      </x:c>
      <x:c r="F378" s="36" t="n">
        <x:v>1</x:v>
      </x:c>
      <x:c r="G378" s="36" t="n">
        <x:v>5</x:v>
      </x:c>
      <x:c r="H378" s="34" t="str">
        <x:v>firstUndeployThreadEvidenceEarly</x:v>
      </x:c>
      <x:c r="I378" s="36" t="n">
        <x:v>1</x:v>
      </x:c>
      <x:c r="J378" s="34" t="str">
        <x:v>early</x:v>
      </x:c>
      <x:c r="K378" s="36" t="n">
        <x:v>27</x:v>
      </x:c>
      <x:c r="L378" s="51" t="n">
        <x:v>0</x:v>
      </x:c>
      <x:c r="M378" s="51" t="n">
        <x:v>0</x:v>
      </x:c>
      <x:c r="N378" s="36" t="n">
        <x:v>10</x:v>
      </x:c>
      <x:c r="O378" s="44" t="str">
        <x:v>http-nio-8080-exec-53#342 | http-nio-8080-exec-54#343 | http-nio-8080-exec-55#344 | http-nio-8080-exec-57#380 | http-nio-8080-exec-58#381 | http-nio-8080-exec-59#382 | http-nio-8080-exec-61#386 | http-nio-8080-exec-62#421 | http-nio-8080-exec-63#422 | http-nio-8080-exec-64#423</x:v>
      </x:c>
      <x:c r="P378" s="36" t="n">
        <x:v>4</x:v>
      </x:c>
      <x:c r="Q378" s="44" t="str">
        <x:v>http-nio-8080-exec-61#386 | http-nio-8080-exec-62#421 | http-nio-8080-exec-63#422 | http-nio-8080-exec-64#423</x:v>
      </x:c>
      <x:c r="R378" s="36" t="n">
        <x:v>0</x:v>
      </x:c>
      <x:c r="S378" s="44"/>
      <x:c r="T378" s="36" t="n">
        <x:v>0</x:v>
      </x:c>
      <x:c r="U378" s="44"/>
      <x:c r="V378" s="36" t="n">
        <x:v>0</x:v>
      </x:c>
      <x:c r="W378" s="44"/>
      <x:c r="X378" s="34" t="str">
        <x:v>no-post-undeploy-thread-signal</x:v>
      </x:c>
      <x:c r="Y378" s="44" t="str">
        <x:v>automated signatures are JCS-specific; all other candidate application threads remain unattributed and ownership requires the archived full dump</x:v>
      </x:c>
    </x:row>
    <x:row r="379">
      <x:c r="A379" s="34" t="str">
        <x:v>article1-unified-v4-2-fb3f101b-20260903-000401-default-f04-p1-jcs4</x:v>
      </x:c>
      <x:c r="B379" s="34" t="str">
        <x:v>default</x:v>
      </x:c>
      <x:c r="C379" s="34" t="str">
        <x:v>jcs4</x:v>
      </x:c>
      <x:c r="D379" s="36" t="n">
        <x:v>4</x:v>
      </x:c>
      <x:c r="E379" s="36" t="n">
        <x:v>4</x:v>
      </x:c>
      <x:c r="F379" s="36" t="n">
        <x:v>1</x:v>
      </x:c>
      <x:c r="G379" s="36" t="n">
        <x:v>5</x:v>
      </x:c>
      <x:c r="H379" s="34" t="str">
        <x:v>firstUndeployThreadEvidenceFinal</x:v>
      </x:c>
      <x:c r="I379" s="36" t="n">
        <x:v>1</x:v>
      </x:c>
      <x:c r="J379" s="34" t="str">
        <x:v>final</x:v>
      </x:c>
      <x:c r="K379" s="36" t="n">
        <x:v>27</x:v>
      </x:c>
      <x:c r="L379" s="51" t="n">
        <x:v>0</x:v>
      </x:c>
      <x:c r="M379" s="51" t="n">
        <x:v>0</x:v>
      </x:c>
      <x:c r="N379" s="36" t="n">
        <x:v>10</x:v>
      </x:c>
      <x:c r="O379" s="44" t="str">
        <x:v>http-nio-8080-exec-53#342 | http-nio-8080-exec-54#343 | http-nio-8080-exec-55#344 | http-nio-8080-exec-57#380 | http-nio-8080-exec-58#381 | http-nio-8080-exec-61#386 | http-nio-8080-exec-62#421 | http-nio-8080-exec-63#422 | http-nio-8080-exec-64#423 | http-nio-8080-exec-65#424</x:v>
      </x:c>
      <x:c r="P379" s="36" t="n">
        <x:v>5</x:v>
      </x:c>
      <x:c r="Q379" s="44" t="str">
        <x:v>http-nio-8080-exec-61#386 | http-nio-8080-exec-62#421 | http-nio-8080-exec-63#422 | http-nio-8080-exec-64#423 | http-nio-8080-exec-65#424</x:v>
      </x:c>
      <x:c r="R379" s="36" t="n">
        <x:v>0</x:v>
      </x:c>
      <x:c r="S379" s="44"/>
      <x:c r="T379" s="36" t="n">
        <x:v>0</x:v>
      </x:c>
      <x:c r="U379" s="44"/>
      <x:c r="V379" s="36" t="n">
        <x:v>0</x:v>
      </x:c>
      <x:c r="W379" s="44"/>
      <x:c r="X379" s="34" t="str">
        <x:v>no-post-undeploy-thread-signal</x:v>
      </x:c>
      <x:c r="Y379" s="44" t="str">
        <x:v>automated signatures are JCS-specific; all other candidate application threads remain unattributed and ownership requires the archived full dump</x:v>
      </x:c>
    </x:row>
    <x:row r="380">
      <x:c r="A380" s="34" t="str">
        <x:v>article1-unified-v4-2-fb3f101b-20260903-000401-default-f04-p1-jcs4</x:v>
      </x:c>
      <x:c r="B380" s="34" t="str">
        <x:v>default</x:v>
      </x:c>
      <x:c r="C380" s="34" t="str">
        <x:v>jcs4</x:v>
      </x:c>
      <x:c r="D380" s="36" t="n">
        <x:v>4</x:v>
      </x:c>
      <x:c r="E380" s="36" t="n">
        <x:v>4</x:v>
      </x:c>
      <x:c r="F380" s="36" t="n">
        <x:v>1</x:v>
      </x:c>
      <x:c r="G380" s="36" t="n">
        <x:v>5</x:v>
      </x:c>
      <x:c r="H380" s="34" t="str">
        <x:v>finalUndeployThreadEvidenceEarly</x:v>
      </x:c>
      <x:c r="I380" s="36" t="n">
        <x:v>2</x:v>
      </x:c>
      <x:c r="J380" s="34" t="str">
        <x:v>early</x:v>
      </x:c>
      <x:c r="K380" s="36" t="n">
        <x:v>27</x:v>
      </x:c>
      <x:c r="L380" s="51" t="n">
        <x:v>0</x:v>
      </x:c>
      <x:c r="M380" s="51" t="n">
        <x:v>0</x:v>
      </x:c>
      <x:c r="N380" s="36" t="n">
        <x:v>10</x:v>
      </x:c>
      <x:c r="O380" s="44" t="str">
        <x:v>http-nio-8080-exec-55#344 | http-nio-8080-exec-58#381 | http-nio-8080-exec-63#422 | http-nio-8080-exec-64#423 | http-nio-8080-exec-65#424 | http-nio-8080-exec-66#427 | http-nio-8080-exec-67#428 | http-nio-8080-exec-68#429 | http-nio-8080-exec-70#465 | http-nio-8080-exec-71#466</x:v>
      </x:c>
      <x:c r="P380" s="36" t="n">
        <x:v>8</x:v>
      </x:c>
      <x:c r="Q380" s="44" t="str">
        <x:v>http-nio-8080-exec-63#422 | http-nio-8080-exec-64#423 | http-nio-8080-exec-65#424 | http-nio-8080-exec-66#427 | http-nio-8080-exec-67#428 | http-nio-8080-exec-68#429 | http-nio-8080-exec-70#465 | http-nio-8080-exec-71#466</x:v>
      </x:c>
      <x:c r="R380" s="36" t="n">
        <x:v>0</x:v>
      </x:c>
      <x:c r="S380" s="44"/>
      <x:c r="T380" s="36" t="n">
        <x:v>0</x:v>
      </x:c>
      <x:c r="U380" s="44"/>
      <x:c r="V380" s="36" t="n">
        <x:v>0</x:v>
      </x:c>
      <x:c r="W380" s="44"/>
      <x:c r="X380" s="34" t="str">
        <x:v>no-post-undeploy-thread-signal</x:v>
      </x:c>
      <x:c r="Y380" s="44" t="str">
        <x:v>automated signatures are JCS-specific; all other candidate application threads remain unattributed and ownership requires the archived full dump</x:v>
      </x:c>
    </x:row>
    <x:row r="381">
      <x:c r="A381" s="34" t="str">
        <x:v>article1-unified-v4-2-fb3f101b-20260903-000401-default-f04-p1-jcs4</x:v>
      </x:c>
      <x:c r="B381" s="34" t="str">
        <x:v>default</x:v>
      </x:c>
      <x:c r="C381" s="34" t="str">
        <x:v>jcs4</x:v>
      </x:c>
      <x:c r="D381" s="36" t="n">
        <x:v>4</x:v>
      </x:c>
      <x:c r="E381" s="36" t="n">
        <x:v>4</x:v>
      </x:c>
      <x:c r="F381" s="36" t="n">
        <x:v>1</x:v>
      </x:c>
      <x:c r="G381" s="36" t="n">
        <x:v>5</x:v>
      </x:c>
      <x:c r="H381" s="34" t="str">
        <x:v>finalUndeployThreadEvidenceFinal</x:v>
      </x:c>
      <x:c r="I381" s="36" t="n">
        <x:v>2</x:v>
      </x:c>
      <x:c r="J381" s="34" t="str">
        <x:v>final</x:v>
      </x:c>
      <x:c r="K381" s="36" t="n">
        <x:v>27</x:v>
      </x:c>
      <x:c r="L381" s="51" t="n">
        <x:v>0</x:v>
      </x:c>
      <x:c r="M381" s="51" t="n">
        <x:v>0</x:v>
      </x:c>
      <x:c r="N381" s="36" t="n">
        <x:v>10</x:v>
      </x:c>
      <x:c r="O381" s="44" t="str">
        <x:v>http-nio-8080-exec-55#344 | http-nio-8080-exec-58#381 | http-nio-8080-exec-63#422 | http-nio-8080-exec-64#423 | http-nio-8080-exec-65#424 | http-nio-8080-exec-66#427 | http-nio-8080-exec-67#428 | http-nio-8080-exec-70#465 | http-nio-8080-exec-71#466 | http-nio-8080-exec-72#467</x:v>
      </x:c>
      <x:c r="P381" s="36" t="n">
        <x:v>8</x:v>
      </x:c>
      <x:c r="Q381" s="44" t="str">
        <x:v>http-nio-8080-exec-63#422 | http-nio-8080-exec-64#423 | http-nio-8080-exec-65#424 | http-nio-8080-exec-66#427 | http-nio-8080-exec-67#428 | http-nio-8080-exec-70#465 | http-nio-8080-exec-71#466 | http-nio-8080-exec-72#467</x:v>
      </x:c>
      <x:c r="R381" s="36" t="n">
        <x:v>0</x:v>
      </x:c>
      <x:c r="S381" s="44"/>
      <x:c r="T381" s="36" t="n">
        <x:v>0</x:v>
      </x:c>
      <x:c r="U381" s="44"/>
      <x:c r="V381" s="36" t="n">
        <x:v>0</x:v>
      </x:c>
      <x:c r="W381" s="44"/>
      <x:c r="X381" s="34" t="str">
        <x:v>no-post-undeploy-thread-signal</x:v>
      </x:c>
      <x:c r="Y381" s="44" t="str">
        <x:v>automated signatures are JCS-specific; all other candidate application threads remain unattributed and ownership requires the archived full dump</x:v>
      </x:c>
    </x:row>
    <x:row r="382">
      <x:c r="A382" s="34" t="str">
        <x:v>article1-unified-v4-2-fb3f101b-20260903-000401-default-f04-p2-jcs321</x:v>
      </x:c>
      <x:c r="B382" s="34" t="str">
        <x:v>default</x:v>
      </x:c>
      <x:c r="C382" s="34" t="str">
        <x:v>jcs321</x:v>
      </x:c>
      <x:c r="D382" s="36" t="n">
        <x:v>4</x:v>
      </x:c>
      <x:c r="E382" s="36" t="n">
        <x:v>4</x:v>
      </x:c>
      <x:c r="F382" s="36" t="n">
        <x:v>2</x:v>
      </x:c>
      <x:c r="G382" s="36" t="n">
        <x:v>1</x:v>
      </x:c>
      <x:c r="H382" s="34" t="str">
        <x:v>firstUndeployThreadEvidenceEarly</x:v>
      </x:c>
      <x:c r="I382" s="36" t="n">
        <x:v>1</x:v>
      </x:c>
      <x:c r="J382" s="34" t="str">
        <x:v>early</x:v>
      </x:c>
      <x:c r="K382" s="36" t="n">
        <x:v>28</x:v>
      </x:c>
      <x:c r="L382" s="51" t="n">
        <x:v>1</x:v>
      </x:c>
      <x:c r="M382" s="51" t="n">
        <x:v>1</x:v>
      </x:c>
      <x:c r="N382" s="36" t="n">
        <x:v>3</x:v>
      </x:c>
      <x:c r="O382" s="44" t="str">
        <x:v>JCS-ElementEventQueue-Thread-4#49 | http-nio-8080-exec-11#82 | http-nio-8080-exec-12#83</x:v>
      </x:c>
      <x:c r="P382" s="36" t="n">
        <x:v>3</x:v>
      </x:c>
      <x:c r="Q382" s="44" t="str">
        <x:v>JCS-ElementEventQueue-Thread-4#49 | http-nio-8080-exec-11#82 | http-nio-8080-exec-12#83</x:v>
      </x:c>
      <x:c r="R382" s="36" t="n">
        <x:v>1</x:v>
      </x:c>
      <x:c r="S382" s="44" t="str">
        <x:v>JCS-ElementEventQueue-Thread-4#49</x:v>
      </x:c>
      <x:c r="T382" s="36" t="n">
        <x:v>1</x:v>
      </x:c>
      <x:c r="U382" s="44" t="str">
        <x:v>JCS-ElementEventQueue-Thread-4#49</x:v>
      </x:c>
      <x:c r="V382" s="36" t="n">
        <x:v>1</x:v>
      </x:c>
      <x:c r="W382" s="44" t="str">
        <x:v>jcs3-element-event-queue:JCS-ElementEventQueue-Thread-4#49</x:v>
      </x:c>
      <x:c r="X382" s="34" t="str">
        <x:v>jcs-signature-present</x:v>
      </x:c>
      <x:c r="Y382" s="44" t="str">
        <x:v>automated signatures are JCS-specific; all other candidate application threads remain unattributed and ownership requires the archived full dump</x:v>
      </x:c>
    </x:row>
    <x:row r="383">
      <x:c r="A383" s="34" t="str">
        <x:v>article1-unified-v4-2-fb3f101b-20260903-000401-default-f04-p2-jcs321</x:v>
      </x:c>
      <x:c r="B383" s="34" t="str">
        <x:v>default</x:v>
      </x:c>
      <x:c r="C383" s="34" t="str">
        <x:v>jcs321</x:v>
      </x:c>
      <x:c r="D383" s="36" t="n">
        <x:v>4</x:v>
      </x:c>
      <x:c r="E383" s="36" t="n">
        <x:v>4</x:v>
      </x:c>
      <x:c r="F383" s="36" t="n">
        <x:v>2</x:v>
      </x:c>
      <x:c r="G383" s="36" t="n">
        <x:v>1</x:v>
      </x:c>
      <x:c r="H383" s="34" t="str">
        <x:v>firstUndeployThreadEvidenceFinal</x:v>
      </x:c>
      <x:c r="I383" s="36" t="n">
        <x:v>1</x:v>
      </x:c>
      <x:c r="J383" s="34" t="str">
        <x:v>final</x:v>
      </x:c>
      <x:c r="K383" s="36" t="n">
        <x:v>28</x:v>
      </x:c>
      <x:c r="L383" s="51" t="n">
        <x:v>1</x:v>
      </x:c>
      <x:c r="M383" s="51" t="n">
        <x:v>1</x:v>
      </x:c>
      <x:c r="N383" s="36" t="n">
        <x:v>4</x:v>
      </x:c>
      <x:c r="O383" s="44" t="str">
        <x:v>JCS-ElementEventQueue-Thread-4#49 | http-nio-8080-exec-11#82 | http-nio-8080-exec-12#83 | http-nio-8080-exec-13#84</x:v>
      </x:c>
      <x:c r="P383" s="36" t="n">
        <x:v>4</x:v>
      </x:c>
      <x:c r="Q383" s="44" t="str">
        <x:v>JCS-ElementEventQueue-Thread-4#49 | http-nio-8080-exec-11#82 | http-nio-8080-exec-12#83 | http-nio-8080-exec-13#84</x:v>
      </x:c>
      <x:c r="R383" s="36" t="n">
        <x:v>1</x:v>
      </x:c>
      <x:c r="S383" s="44" t="str">
        <x:v>JCS-ElementEventQueue-Thread-4#49</x:v>
      </x:c>
      <x:c r="T383" s="36" t="n">
        <x:v>1</x:v>
      </x:c>
      <x:c r="U383" s="44" t="str">
        <x:v>JCS-ElementEventQueue-Thread-4#49</x:v>
      </x:c>
      <x:c r="V383" s="36" t="n">
        <x:v>1</x:v>
      </x:c>
      <x:c r="W383" s="44" t="str">
        <x:v>jcs3-element-event-queue:JCS-ElementEventQueue-Thread-4#49</x:v>
      </x:c>
      <x:c r="X383" s="34" t="str">
        <x:v>jcs-signature-present</x:v>
      </x:c>
      <x:c r="Y383" s="44" t="str">
        <x:v>automated signatures are JCS-specific; all other candidate application threads remain unattributed and ownership requires the archived full dump</x:v>
      </x:c>
    </x:row>
    <x:row r="384">
      <x:c r="A384" s="34" t="str">
        <x:v>article1-unified-v4-2-fb3f101b-20260903-000401-default-f04-p2-jcs321</x:v>
      </x:c>
      <x:c r="B384" s="34" t="str">
        <x:v>default</x:v>
      </x:c>
      <x:c r="C384" s="34" t="str">
        <x:v>jcs321</x:v>
      </x:c>
      <x:c r="D384" s="36" t="n">
        <x:v>4</x:v>
      </x:c>
      <x:c r="E384" s="36" t="n">
        <x:v>4</x:v>
      </x:c>
      <x:c r="F384" s="36" t="n">
        <x:v>2</x:v>
      </x:c>
      <x:c r="G384" s="36" t="n">
        <x:v>1</x:v>
      </x:c>
      <x:c r="H384" s="34" t="str">
        <x:v>finalUndeployThreadEvidenceEarly</x:v>
      </x:c>
      <x:c r="I384" s="36" t="n">
        <x:v>2</x:v>
      </x:c>
      <x:c r="J384" s="34" t="str">
        <x:v>early</x:v>
      </x:c>
      <x:c r="K384" s="36" t="n">
        <x:v>29</x:v>
      </x:c>
      <x:c r="L384" s="51" t="n">
        <x:v>2</x:v>
      </x:c>
      <x:c r="M384" s="51" t="n">
        <x:v>2</x:v>
      </x:c>
      <x:c r="N384" s="36" t="n">
        <x:v>10</x:v>
      </x:c>
      <x:c r="O384" s="44" t="str">
        <x:v>JCS-ElementEventQueue-Thread-4#49 | http-nio-8080-exec-11#82 | http-nio-8080-exec-13#84 | http-nio-8080-exec-14#87 | http-nio-8080-exec-15#88 | http-nio-8080-exec-16#89 | JCS-ElementEventQueue-Thread-7#91 | http-nio-8080-exec-17#124 | http-nio-8080-exec-18#125 | http-nio-8080-exec-19#126</x:v>
      </x:c>
      <x:c r="P384" s="36" t="n">
        <x:v>10</x:v>
      </x:c>
      <x:c r="Q384" s="44" t="str">
        <x:v>JCS-ElementEventQueue-Thread-4#49 | http-nio-8080-exec-11#82 | http-nio-8080-exec-13#84 | http-nio-8080-exec-14#87 | http-nio-8080-exec-15#88 | http-nio-8080-exec-16#89 | JCS-ElementEventQueue-Thread-7#91 | http-nio-8080-exec-17#124 | http-nio-8080-exec-18#125 | http-nio-8080-exec-19#126</x:v>
      </x:c>
      <x:c r="R384" s="36" t="n">
        <x:v>2</x:v>
      </x:c>
      <x:c r="S384" s="44" t="str">
        <x:v>JCS-ElementEventQueue-Thread-4#49 | JCS-ElementEventQueue-Thread-7#91</x:v>
      </x:c>
      <x:c r="T384" s="36" t="n">
        <x:v>2</x:v>
      </x:c>
      <x:c r="U384" s="44" t="str">
        <x:v>JCS-ElementEventQueue-Thread-4#49 | JCS-ElementEventQueue-Thread-7#91</x:v>
      </x:c>
      <x:c r="V384" s="36" t="n">
        <x:v>2</x:v>
      </x:c>
      <x:c r="W384" s="44" t="str">
        <x:v>jcs3-element-event-queue:JCS-ElementEventQueue-Thread-4#49 | jcs3-element-event-queue:JCS-ElementEventQueue-Thread-7#91</x:v>
      </x:c>
      <x:c r="X384" s="34" t="str">
        <x:v>jcs-signature-present</x:v>
      </x:c>
      <x:c r="Y384" s="44" t="str">
        <x:v>automated signatures are JCS-specific; all other candidate application threads remain unattributed and ownership requires the archived full dump</x:v>
      </x:c>
    </x:row>
    <x:row r="385">
      <x:c r="A385" s="34" t="str">
        <x:v>article1-unified-v4-2-fb3f101b-20260903-000401-default-f04-p2-jcs321</x:v>
      </x:c>
      <x:c r="B385" s="34" t="str">
        <x:v>default</x:v>
      </x:c>
      <x:c r="C385" s="34" t="str">
        <x:v>jcs321</x:v>
      </x:c>
      <x:c r="D385" s="36" t="n">
        <x:v>4</x:v>
      </x:c>
      <x:c r="E385" s="36" t="n">
        <x:v>4</x:v>
      </x:c>
      <x:c r="F385" s="36" t="n">
        <x:v>2</x:v>
      </x:c>
      <x:c r="G385" s="36" t="n">
        <x:v>1</x:v>
      </x:c>
      <x:c r="H385" s="34" t="str">
        <x:v>finalUndeployThreadEvidenceFinal</x:v>
      </x:c>
      <x:c r="I385" s="36" t="n">
        <x:v>2</x:v>
      </x:c>
      <x:c r="J385" s="34" t="str">
        <x:v>final</x:v>
      </x:c>
      <x:c r="K385" s="36" t="n">
        <x:v>29</x:v>
      </x:c>
      <x:c r="L385" s="51" t="n">
        <x:v>2</x:v>
      </x:c>
      <x:c r="M385" s="51" t="n">
        <x:v>2</x:v>
      </x:c>
      <x:c r="N385" s="36" t="n">
        <x:v>10</x:v>
      </x:c>
      <x:c r="O385" s="44" t="str">
        <x:v>JCS-ElementEventQueue-Thread-4#49 | http-nio-8080-exec-11#82 | http-nio-8080-exec-13#84 | http-nio-8080-exec-14#87 | http-nio-8080-exec-15#88 | http-nio-8080-exec-16#89 | JCS-ElementEventQueue-Thread-7#91 | http-nio-8080-exec-18#125 | http-nio-8080-exec-19#126 | http-nio-8080-exec-20#127</x:v>
      </x:c>
      <x:c r="P385" s="36" t="n">
        <x:v>10</x:v>
      </x:c>
      <x:c r="Q385" s="44" t="str">
        <x:v>JCS-ElementEventQueue-Thread-4#49 | http-nio-8080-exec-11#82 | http-nio-8080-exec-13#84 | http-nio-8080-exec-14#87 | http-nio-8080-exec-15#88 | http-nio-8080-exec-16#89 | JCS-ElementEventQueue-Thread-7#91 | http-nio-8080-exec-18#125 | http-nio-8080-exec-19#126 | http-nio-8080-exec-20#127</x:v>
      </x:c>
      <x:c r="R385" s="36" t="n">
        <x:v>2</x:v>
      </x:c>
      <x:c r="S385" s="44" t="str">
        <x:v>JCS-ElementEventQueue-Thread-4#49 | JCS-ElementEventQueue-Thread-7#91</x:v>
      </x:c>
      <x:c r="T385" s="36" t="n">
        <x:v>2</x:v>
      </x:c>
      <x:c r="U385" s="44" t="str">
        <x:v>JCS-ElementEventQueue-Thread-4#49 | JCS-ElementEventQueue-Thread-7#91</x:v>
      </x:c>
      <x:c r="V385" s="36" t="n">
        <x:v>2</x:v>
      </x:c>
      <x:c r="W385" s="44" t="str">
        <x:v>jcs3-element-event-queue:JCS-ElementEventQueue-Thread-4#49 | jcs3-element-event-queue:JCS-ElementEventQueue-Thread-7#91</x:v>
      </x:c>
      <x:c r="X385" s="34" t="str">
        <x:v>jcs-signature-present</x:v>
      </x:c>
      <x:c r="Y385" s="44" t="str">
        <x:v>automated signatures are JCS-specific; all other candidate application threads remain unattributed and ownership requires the archived full dump</x:v>
      </x:c>
    </x:row>
    <x:row r="386">
      <x:c r="A386" s="34" t="str">
        <x:v>article1-unified-v4-2-fb3f101b-20260903-000401-default-f04-p2-jcs321</x:v>
      </x:c>
      <x:c r="B386" s="34" t="str">
        <x:v>default</x:v>
      </x:c>
      <x:c r="C386" s="34" t="str">
        <x:v>jcs321</x:v>
      </x:c>
      <x:c r="D386" s="36" t="n">
        <x:v>4</x:v>
      </x:c>
      <x:c r="E386" s="36" t="n">
        <x:v>4</x:v>
      </x:c>
      <x:c r="F386" s="36" t="n">
        <x:v>2</x:v>
      </x:c>
      <x:c r="G386" s="36" t="n">
        <x:v>2</x:v>
      </x:c>
      <x:c r="H386" s="34" t="str">
        <x:v>firstUndeployThreadEvidenceEarly</x:v>
      </x:c>
      <x:c r="I386" s="36" t="n">
        <x:v>1</x:v>
      </x:c>
      <x:c r="J386" s="34" t="str">
        <x:v>early</x:v>
      </x:c>
      <x:c r="K386" s="36" t="n">
        <x:v>30</x:v>
      </x:c>
      <x:c r="L386" s="51" t="n">
        <x:v>3</x:v>
      </x:c>
      <x:c r="M386" s="51" t="n">
        <x:v>1</x:v>
      </x:c>
      <x:c r="N386" s="36" t="n">
        <x:v>12</x:v>
      </x:c>
      <x:c r="O386" s="44" t="str">
        <x:v>JCS-ElementEventQueue-Thread-4#49 | http-nio-8080-exec-11#82 | http-nio-8080-exec-14#87 | JCS-ElementEventQueue-Thread-7#91 | http-nio-8080-exec-19#126 | http-nio-8080-exec-20#127 | http-nio-8080-exec-21#130 | http-nio-8080-exec-22#131 | JCS-ElementEventQueue-Thread-10#133 | http-nio-8080-exec-23#166 | http-nio-8080-exec-24#167 | http-nio-8080-exec-25#168</x:v>
      </x:c>
      <x:c r="P386" s="36" t="n">
        <x:v>6</x:v>
      </x:c>
      <x:c r="Q386" s="44" t="str">
        <x:v>http-nio-8080-exec-21#130 | http-nio-8080-exec-22#131 | JCS-ElementEventQueue-Thread-10#133 | http-nio-8080-exec-23#166 | http-nio-8080-exec-24#167 | http-nio-8080-exec-25#168</x:v>
      </x:c>
      <x:c r="R386" s="36" t="n">
        <x:v>3</x:v>
      </x:c>
      <x:c r="S386" s="44" t="str">
        <x:v>JCS-ElementEventQueue-Thread-4#49 | JCS-ElementEventQueue-Thread-7#91 | JCS-ElementEventQueue-Thread-10#133</x:v>
      </x:c>
      <x:c r="T386" s="36" t="n">
        <x:v>1</x:v>
      </x:c>
      <x:c r="U386" s="44" t="str">
        <x:v>JCS-ElementEventQueue-Thread-10#133</x:v>
      </x:c>
      <x:c r="V386" s="36" t="n">
        <x:v>3</x:v>
      </x:c>
      <x:c r="W386" s="44" t="str">
        <x:v>jcs3-element-event-queue:JCS-ElementEventQueue-Thread-4#49 | jcs3-element-event-queue:JCS-ElementEventQueue-Thread-7#91 | jcs3-element-event-queue:JCS-ElementEventQueue-Thread-10#133</x:v>
      </x:c>
      <x:c r="X386" s="34" t="str">
        <x:v>jcs-signature-present</x:v>
      </x:c>
      <x:c r="Y386" s="44" t="str">
        <x:v>automated signatures are JCS-specific; all other candidate application threads remain unattributed and ownership requires the archived full dump</x:v>
      </x:c>
    </x:row>
    <x:row r="387">
      <x:c r="A387" s="34" t="str">
        <x:v>article1-unified-v4-2-fb3f101b-20260903-000401-default-f04-p2-jcs321</x:v>
      </x:c>
      <x:c r="B387" s="34" t="str">
        <x:v>default</x:v>
      </x:c>
      <x:c r="C387" s="34" t="str">
        <x:v>jcs321</x:v>
      </x:c>
      <x:c r="D387" s="36" t="n">
        <x:v>4</x:v>
      </x:c>
      <x:c r="E387" s="36" t="n">
        <x:v>4</x:v>
      </x:c>
      <x:c r="F387" s="36" t="n">
        <x:v>2</x:v>
      </x:c>
      <x:c r="G387" s="36" t="n">
        <x:v>2</x:v>
      </x:c>
      <x:c r="H387" s="34" t="str">
        <x:v>firstUndeployThreadEvidenceFinal</x:v>
      </x:c>
      <x:c r="I387" s="36" t="n">
        <x:v>1</x:v>
      </x:c>
      <x:c r="J387" s="34" t="str">
        <x:v>final</x:v>
      </x:c>
      <x:c r="K387" s="36" t="n">
        <x:v>30</x:v>
      </x:c>
      <x:c r="L387" s="51" t="n">
        <x:v>3</x:v>
      </x:c>
      <x:c r="M387" s="51" t="n">
        <x:v>1</x:v>
      </x:c>
      <x:c r="N387" s="36" t="n">
        <x:v>12</x:v>
      </x:c>
      <x:c r="O387" s="44" t="str">
        <x:v>JCS-ElementEventQueue-Thread-4#49 | http-nio-8080-exec-11#82 | http-nio-8080-exec-14#87 | JCS-ElementEventQueue-Thread-7#91 | http-nio-8080-exec-19#126 | http-nio-8080-exec-20#127 | http-nio-8080-exec-22#131 | JCS-ElementEventQueue-Thread-10#133 | http-nio-8080-exec-23#166 | http-nio-8080-exec-24#167 | http-nio-8080-exec-25#168 | http-nio-8080-exec-26#169</x:v>
      </x:c>
      <x:c r="P387" s="36" t="n">
        <x:v>6</x:v>
      </x:c>
      <x:c r="Q387" s="44" t="str">
        <x:v>http-nio-8080-exec-22#131 | JCS-ElementEventQueue-Thread-10#133 | http-nio-8080-exec-23#166 | http-nio-8080-exec-24#167 | http-nio-8080-exec-25#168 | http-nio-8080-exec-26#169</x:v>
      </x:c>
      <x:c r="R387" s="36" t="n">
        <x:v>3</x:v>
      </x:c>
      <x:c r="S387" s="44" t="str">
        <x:v>JCS-ElementEventQueue-Thread-4#49 | JCS-ElementEventQueue-Thread-7#91 | JCS-ElementEventQueue-Thread-10#133</x:v>
      </x:c>
      <x:c r="T387" s="36" t="n">
        <x:v>1</x:v>
      </x:c>
      <x:c r="U387" s="44" t="str">
        <x:v>JCS-ElementEventQueue-Thread-10#133</x:v>
      </x:c>
      <x:c r="V387" s="36" t="n">
        <x:v>3</x:v>
      </x:c>
      <x:c r="W387" s="44" t="str">
        <x:v>jcs3-element-event-queue:JCS-ElementEventQueue-Thread-4#49 | jcs3-element-event-queue:JCS-ElementEventQueue-Thread-7#91 | jcs3-element-event-queue:JCS-ElementEventQueue-Thread-10#133</x:v>
      </x:c>
      <x:c r="X387" s="34" t="str">
        <x:v>jcs-signature-present</x:v>
      </x:c>
      <x:c r="Y387" s="44" t="str">
        <x:v>automated signatures are JCS-specific; all other candidate application threads remain unattributed and ownership requires the archived full dump</x:v>
      </x:c>
    </x:row>
    <x:row r="388">
      <x:c r="A388" s="34" t="str">
        <x:v>article1-unified-v4-2-fb3f101b-20260903-000401-default-f04-p2-jcs321</x:v>
      </x:c>
      <x:c r="B388" s="34" t="str">
        <x:v>default</x:v>
      </x:c>
      <x:c r="C388" s="34" t="str">
        <x:v>jcs321</x:v>
      </x:c>
      <x:c r="D388" s="36" t="n">
        <x:v>4</x:v>
      </x:c>
      <x:c r="E388" s="36" t="n">
        <x:v>4</x:v>
      </x:c>
      <x:c r="F388" s="36" t="n">
        <x:v>2</x:v>
      </x:c>
      <x:c r="G388" s="36" t="n">
        <x:v>2</x:v>
      </x:c>
      <x:c r="H388" s="34" t="str">
        <x:v>finalUndeployThreadEvidenceEarly</x:v>
      </x:c>
      <x:c r="I388" s="36" t="n">
        <x:v>2</x:v>
      </x:c>
      <x:c r="J388" s="34" t="str">
        <x:v>early</x:v>
      </x:c>
      <x:c r="K388" s="36" t="n">
        <x:v>31</x:v>
      </x:c>
      <x:c r="L388" s="51" t="n">
        <x:v>4</x:v>
      </x:c>
      <x:c r="M388" s="51" t="n">
        <x:v>2</x:v>
      </x:c>
      <x:c r="N388" s="36" t="n">
        <x:v>14</x:v>
      </x:c>
      <x:c r="O388" s="44" t="str">
        <x:v>JCS-ElementEventQueue-Thread-4#49 | http-nio-8080-exec-11#82 | JCS-ElementEventQueue-Thread-7#91 | JCS-ElementEventQueue-Thread-10#133 | http-nio-8080-exec-23#166 | http-nio-8080-exec-24#167 | http-nio-8080-exec-25#168 | http-nio-8080-exec-26#169 | http-nio-8080-exec-28#173 | http-nio-8080-exec-29#174 | JCS-ElementEventQueue-Thread-13#176 | http-nio-8080-exec-30#209 | http-nio-8080-exec-31#210 | http-nio-8080-exec-32#211</x:v>
      </x:c>
      <x:c r="P388" s="36" t="n">
        <x:v>11</x:v>
      </x:c>
      <x:c r="Q388" s="44" t="str">
        <x:v>JCS-ElementEventQueue-Thread-10#133 | http-nio-8080-exec-23#166 | http-nio-8080-exec-24#167 | http-nio-8080-exec-25#168 | http-nio-8080-exec-26#169 | http-nio-8080-exec-28#173 | http-nio-8080-exec-29#174 | JCS-ElementEventQueue-Thread-13#176 | http-nio-8080-exec-30#209 | http-nio-8080-exec-31#210 | http-nio-8080-exec-32#211</x:v>
      </x:c>
      <x:c r="R388" s="36" t="n">
        <x:v>4</x:v>
      </x:c>
      <x:c r="S388" s="44" t="str">
        <x:v>JCS-ElementEventQueue-Thread-4#49 | JCS-ElementEventQueue-Thread-7#91 | JCS-ElementEventQueue-Thread-10#133 | JCS-ElementEventQueue-Thread-13#176</x:v>
      </x:c>
      <x:c r="T388" s="36" t="n">
        <x:v>2</x:v>
      </x:c>
      <x:c r="U388" s="44" t="str">
        <x:v>JCS-ElementEventQueue-Thread-10#133 | JCS-ElementEventQueue-Thread-13#176</x:v>
      </x:c>
      <x:c r="V388" s="36" t="n">
        <x:v>4</x:v>
      </x:c>
      <x:c r="W38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388" s="34" t="str">
        <x:v>jcs-signature-present</x:v>
      </x:c>
      <x:c r="Y388" s="44" t="str">
        <x:v>automated signatures are JCS-specific; all other candidate application threads remain unattributed and ownership requires the archived full dump</x:v>
      </x:c>
    </x:row>
    <x:row r="389">
      <x:c r="A389" s="34" t="str">
        <x:v>article1-unified-v4-2-fb3f101b-20260903-000401-default-f04-p2-jcs321</x:v>
      </x:c>
      <x:c r="B389" s="34" t="str">
        <x:v>default</x:v>
      </x:c>
      <x:c r="C389" s="34" t="str">
        <x:v>jcs321</x:v>
      </x:c>
      <x:c r="D389" s="36" t="n">
        <x:v>4</x:v>
      </x:c>
      <x:c r="E389" s="36" t="n">
        <x:v>4</x:v>
      </x:c>
      <x:c r="F389" s="36" t="n">
        <x:v>2</x:v>
      </x:c>
      <x:c r="G389" s="36" t="n">
        <x:v>2</x:v>
      </x:c>
      <x:c r="H389" s="34" t="str">
        <x:v>finalUndeployThreadEvidenceFinal</x:v>
      </x:c>
      <x:c r="I389" s="36" t="n">
        <x:v>2</x:v>
      </x:c>
      <x:c r="J389" s="34" t="str">
        <x:v>final</x:v>
      </x:c>
      <x:c r="K389" s="36" t="n">
        <x:v>31</x:v>
      </x:c>
      <x:c r="L389" s="51" t="n">
        <x:v>4</x:v>
      </x:c>
      <x:c r="M389" s="51" t="n">
        <x:v>2</x:v>
      </x:c>
      <x:c r="N389" s="36" t="n">
        <x:v>14</x:v>
      </x:c>
      <x:c r="O389" s="44" t="str">
        <x:v>JCS-ElementEventQueue-Thread-4#49 | http-nio-8080-exec-11#82 | JCS-ElementEventQueue-Thread-7#91 | JCS-ElementEventQueue-Thread-10#133 | http-nio-8080-exec-23#166 | http-nio-8080-exec-24#167 | http-nio-8080-exec-25#168 | http-nio-8080-exec-26#169 | http-nio-8080-exec-29#174 | JCS-ElementEventQueue-Thread-13#176 | http-nio-8080-exec-30#209 | http-nio-8080-exec-31#210 | http-nio-8080-exec-32#211 | http-nio-8080-exec-33#212</x:v>
      </x:c>
      <x:c r="P389" s="36" t="n">
        <x:v>11</x:v>
      </x:c>
      <x:c r="Q389" s="44" t="str">
        <x:v>JCS-ElementEventQueue-Thread-10#133 | http-nio-8080-exec-23#166 | http-nio-8080-exec-24#167 | http-nio-8080-exec-25#168 | http-nio-8080-exec-26#169 | http-nio-8080-exec-29#174 | JCS-ElementEventQueue-Thread-13#176 | http-nio-8080-exec-30#209 | http-nio-8080-exec-31#210 | http-nio-8080-exec-32#211 | http-nio-8080-exec-33#212</x:v>
      </x:c>
      <x:c r="R389" s="36" t="n">
        <x:v>4</x:v>
      </x:c>
      <x:c r="S389" s="44" t="str">
        <x:v>JCS-ElementEventQueue-Thread-4#49 | JCS-ElementEventQueue-Thread-7#91 | JCS-ElementEventQueue-Thread-10#133 | JCS-ElementEventQueue-Thread-13#176</x:v>
      </x:c>
      <x:c r="T389" s="36" t="n">
        <x:v>2</x:v>
      </x:c>
      <x:c r="U389" s="44" t="str">
        <x:v>JCS-ElementEventQueue-Thread-10#133 | JCS-ElementEventQueue-Thread-13#176</x:v>
      </x:c>
      <x:c r="V389" s="36" t="n">
        <x:v>4</x:v>
      </x:c>
      <x:c r="W38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389" s="34" t="str">
        <x:v>jcs-signature-present</x:v>
      </x:c>
      <x:c r="Y389" s="44" t="str">
        <x:v>automated signatures are JCS-specific; all other candidate application threads remain unattributed and ownership requires the archived full dump</x:v>
      </x:c>
    </x:row>
    <x:row r="390">
      <x:c r="A390" s="34" t="str">
        <x:v>article1-unified-v4-2-fb3f101b-20260903-000401-default-f04-p2-jcs321</x:v>
      </x:c>
      <x:c r="B390" s="34" t="str">
        <x:v>default</x:v>
      </x:c>
      <x:c r="C390" s="34" t="str">
        <x:v>jcs321</x:v>
      </x:c>
      <x:c r="D390" s="36" t="n">
        <x:v>4</x:v>
      </x:c>
      <x:c r="E390" s="36" t="n">
        <x:v>4</x:v>
      </x:c>
      <x:c r="F390" s="36" t="n">
        <x:v>2</x:v>
      </x:c>
      <x:c r="G390" s="36" t="n">
        <x:v>3</x:v>
      </x:c>
      <x:c r="H390" s="34" t="str">
        <x:v>firstUndeployThreadEvidenceEarly</x:v>
      </x:c>
      <x:c r="I390" s="36" t="n">
        <x:v>1</x:v>
      </x:c>
      <x:c r="J390" s="34" t="str">
        <x:v>early</x:v>
      </x:c>
      <x:c r="K390" s="36" t="n">
        <x:v>32</x:v>
      </x:c>
      <x:c r="L390" s="51" t="n">
        <x:v>5</x:v>
      </x:c>
      <x:c r="M390" s="51" t="n">
        <x:v>1</x:v>
      </x:c>
      <x:c r="N390" s="36" t="n">
        <x:v>15</x:v>
      </x:c>
      <x:c r="O390" s="44" t="str">
        <x:v>JCS-ElementEventQueue-Thread-4#49 | http-nio-8080-exec-11#82 | JCS-ElementEventQueue-Thread-7#91 | JCS-ElementEventQueue-Thread-10#133 | http-nio-8080-exec-25#168 | http-nio-8080-exec-29#174 | JCS-ElementEventQueue-Thread-13#176 | http-nio-8080-exec-31#210 | http-nio-8080-exec-32#211 | http-nio-8080-exec-34#215 | http-nio-8080-exec-35#216 | JCS-ElementEventQueue-Thread-16#218 | http-nio-8080-exec-36#251 | http-nio-8080-exec-37#252 | http-nio-8080-exec-38#253</x:v>
      </x:c>
      <x:c r="P390" s="36" t="n">
        <x:v>6</x:v>
      </x:c>
      <x:c r="Q390" s="44" t="str">
        <x:v>http-nio-8080-exec-34#215 | http-nio-8080-exec-35#216 | JCS-ElementEventQueue-Thread-16#218 | http-nio-8080-exec-36#251 | http-nio-8080-exec-37#252 | http-nio-8080-exec-38#253</x:v>
      </x:c>
      <x:c r="R390" s="36" t="n">
        <x:v>5</x:v>
      </x:c>
      <x:c r="S390" s="44" t="str">
        <x:v>JCS-ElementEventQueue-Thread-4#49 | JCS-ElementEventQueue-Thread-7#91 | JCS-ElementEventQueue-Thread-10#133 | JCS-ElementEventQueue-Thread-13#176 | JCS-ElementEventQueue-Thread-16#218</x:v>
      </x:c>
      <x:c r="T390" s="36" t="n">
        <x:v>1</x:v>
      </x:c>
      <x:c r="U390" s="44" t="str">
        <x:v>JCS-ElementEventQueue-Thread-16#218</x:v>
      </x:c>
      <x:c r="V390" s="36" t="n">
        <x:v>5</x:v>
      </x:c>
      <x:c r="W39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390" s="34" t="str">
        <x:v>jcs-signature-present</x:v>
      </x:c>
      <x:c r="Y390" s="44" t="str">
        <x:v>automated signatures are JCS-specific; all other candidate application threads remain unattributed and ownership requires the archived full dump</x:v>
      </x:c>
    </x:row>
    <x:row r="391">
      <x:c r="A391" s="34" t="str">
        <x:v>article1-unified-v4-2-fb3f101b-20260903-000401-default-f04-p2-jcs321</x:v>
      </x:c>
      <x:c r="B391" s="34" t="str">
        <x:v>default</x:v>
      </x:c>
      <x:c r="C391" s="34" t="str">
        <x:v>jcs321</x:v>
      </x:c>
      <x:c r="D391" s="36" t="n">
        <x:v>4</x:v>
      </x:c>
      <x:c r="E391" s="36" t="n">
        <x:v>4</x:v>
      </x:c>
      <x:c r="F391" s="36" t="n">
        <x:v>2</x:v>
      </x:c>
      <x:c r="G391" s="36" t="n">
        <x:v>3</x:v>
      </x:c>
      <x:c r="H391" s="34" t="str">
        <x:v>firstUndeployThreadEvidenceFinal</x:v>
      </x:c>
      <x:c r="I391" s="36" t="n">
        <x:v>1</x:v>
      </x:c>
      <x:c r="J391" s="34" t="str">
        <x:v>final</x:v>
      </x:c>
      <x:c r="K391" s="36" t="n">
        <x:v>32</x:v>
      </x:c>
      <x:c r="L391" s="51" t="n">
        <x:v>5</x:v>
      </x:c>
      <x:c r="M391" s="51" t="n">
        <x:v>1</x:v>
      </x:c>
      <x:c r="N391" s="36" t="n">
        <x:v>15</x:v>
      </x:c>
      <x:c r="O391" s="44" t="str">
        <x:v>JCS-ElementEventQueue-Thread-4#49 | http-nio-8080-exec-11#82 | JCS-ElementEventQueue-Thread-7#91 | JCS-ElementEventQueue-Thread-10#133 | http-nio-8080-exec-25#168 | JCS-ElementEventQueue-Thread-13#176 | http-nio-8080-exec-31#210 | http-nio-8080-exec-32#211 | http-nio-8080-exec-34#215 | http-nio-8080-exec-35#216 | JCS-ElementEventQueue-Thread-16#218 | http-nio-8080-exec-36#251 | http-nio-8080-exec-37#252 | http-nio-8080-exec-38#253 | http-nio-8080-exec-39#254</x:v>
      </x:c>
      <x:c r="P391" s="36" t="n">
        <x:v>7</x:v>
      </x:c>
      <x:c r="Q391" s="44" t="str">
        <x:v>http-nio-8080-exec-34#215 | http-nio-8080-exec-35#216 | JCS-ElementEventQueue-Thread-16#218 | http-nio-8080-exec-36#251 | http-nio-8080-exec-37#252 | http-nio-8080-exec-38#253 | http-nio-8080-exec-39#254</x:v>
      </x:c>
      <x:c r="R391" s="36" t="n">
        <x:v>5</x:v>
      </x:c>
      <x:c r="S391" s="44" t="str">
        <x:v>JCS-ElementEventQueue-Thread-4#49 | JCS-ElementEventQueue-Thread-7#91 | JCS-ElementEventQueue-Thread-10#133 | JCS-ElementEventQueue-Thread-13#176 | JCS-ElementEventQueue-Thread-16#218</x:v>
      </x:c>
      <x:c r="T391" s="36" t="n">
        <x:v>1</x:v>
      </x:c>
      <x:c r="U391" s="44" t="str">
        <x:v>JCS-ElementEventQueue-Thread-16#218</x:v>
      </x:c>
      <x:c r="V391" s="36" t="n">
        <x:v>5</x:v>
      </x:c>
      <x:c r="W39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391" s="34" t="str">
        <x:v>jcs-signature-present</x:v>
      </x:c>
      <x:c r="Y391" s="44" t="str">
        <x:v>automated signatures are JCS-specific; all other candidate application threads remain unattributed and ownership requires the archived full dump</x:v>
      </x:c>
    </x:row>
    <x:row r="392">
      <x:c r="A392" s="34" t="str">
        <x:v>article1-unified-v4-2-fb3f101b-20260903-000401-default-f04-p2-jcs321</x:v>
      </x:c>
      <x:c r="B392" s="34" t="str">
        <x:v>default</x:v>
      </x:c>
      <x:c r="C392" s="34" t="str">
        <x:v>jcs321</x:v>
      </x:c>
      <x:c r="D392" s="36" t="n">
        <x:v>4</x:v>
      </x:c>
      <x:c r="E392" s="36" t="n">
        <x:v>4</x:v>
      </x:c>
      <x:c r="F392" s="36" t="n">
        <x:v>2</x:v>
      </x:c>
      <x:c r="G392" s="36" t="n">
        <x:v>3</x:v>
      </x:c>
      <x:c r="H392" s="34" t="str">
        <x:v>finalUndeployThreadEvidenceEarly</x:v>
      </x:c>
      <x:c r="I392" s="36" t="n">
        <x:v>2</x:v>
      </x:c>
      <x:c r="J392" s="34" t="str">
        <x:v>early</x:v>
      </x:c>
      <x:c r="K392" s="36" t="n">
        <x:v>33</x:v>
      </x:c>
      <x:c r="L392" s="51" t="n">
        <x:v>6</x:v>
      </x:c>
      <x:c r="M392" s="51" t="n">
        <x:v>2</x:v>
      </x:c>
      <x:c r="N392" s="36" t="n">
        <x:v>16</x:v>
      </x:c>
      <x:c r="O392" s="44" t="str">
        <x:v>JCS-ElementEventQueue-Thread-4#49 | JCS-ElementEventQueue-Thread-7#91 | JCS-ElementEventQueue-Thread-10#133 | http-nio-8080-exec-25#168 | JCS-ElementEventQueue-Thread-13#176 | http-nio-8080-exec-32#211 | JCS-ElementEventQueue-Thread-16#218 | http-nio-8080-exec-37#252 | http-nio-8080-exec-38#253 | http-nio-8080-exec-39#254 | http-nio-8080-exec-40#257 | http-nio-8080-exec-41#258 | JCS-ElementEventQueue-Thread-19#261 | http-nio-8080-exec-43#294 | http-nio-8080-exec-44#295 | http-nio-8080-exec-45#296</x:v>
      </x:c>
      <x:c r="P392" s="36" t="n">
        <x:v>10</x:v>
      </x:c>
      <x:c r="Q392" s="44" t="str">
        <x:v>JCS-ElementEventQueue-Thread-16#218 | http-nio-8080-exec-37#252 | http-nio-8080-exec-38#253 | http-nio-8080-exec-39#254 | http-nio-8080-exec-40#257 | http-nio-8080-exec-41#258 | JCS-ElementEventQueue-Thread-19#261 | http-nio-8080-exec-43#294 | http-nio-8080-exec-44#295 | http-nio-8080-exec-45#296</x:v>
      </x:c>
      <x:c r="R392" s="36" t="n">
        <x:v>6</x:v>
      </x:c>
      <x:c r="S392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392" s="36" t="n">
        <x:v>2</x:v>
      </x:c>
      <x:c r="U392" s="44" t="str">
        <x:v>JCS-ElementEventQueue-Thread-16#218 | JCS-ElementEventQueue-Thread-19#261</x:v>
      </x:c>
      <x:c r="V392" s="36" t="n">
        <x:v>6</x:v>
      </x:c>
      <x:c r="W39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392" s="34" t="str">
        <x:v>jcs-signature-present</x:v>
      </x:c>
      <x:c r="Y392" s="44" t="str">
        <x:v>automated signatures are JCS-specific; all other candidate application threads remain unattributed and ownership requires the archived full dump</x:v>
      </x:c>
    </x:row>
    <x:row r="393">
      <x:c r="A393" s="34" t="str">
        <x:v>article1-unified-v4-2-fb3f101b-20260903-000401-default-f04-p2-jcs321</x:v>
      </x:c>
      <x:c r="B393" s="34" t="str">
        <x:v>default</x:v>
      </x:c>
      <x:c r="C393" s="34" t="str">
        <x:v>jcs321</x:v>
      </x:c>
      <x:c r="D393" s="36" t="n">
        <x:v>4</x:v>
      </x:c>
      <x:c r="E393" s="36" t="n">
        <x:v>4</x:v>
      </x:c>
      <x:c r="F393" s="36" t="n">
        <x:v>2</x:v>
      </x:c>
      <x:c r="G393" s="36" t="n">
        <x:v>3</x:v>
      </x:c>
      <x:c r="H393" s="34" t="str">
        <x:v>finalUndeployThreadEvidenceFinal</x:v>
      </x:c>
      <x:c r="I393" s="36" t="n">
        <x:v>2</x:v>
      </x:c>
      <x:c r="J393" s="34" t="str">
        <x:v>final</x:v>
      </x:c>
      <x:c r="K393" s="36" t="n">
        <x:v>33</x:v>
      </x:c>
      <x:c r="L393" s="51" t="n">
        <x:v>6</x:v>
      </x:c>
      <x:c r="M393" s="51" t="n">
        <x:v>2</x:v>
      </x:c>
      <x:c r="N393" s="36" t="n">
        <x:v>16</x:v>
      </x:c>
      <x:c r="O393" s="44" t="str">
        <x:v>JCS-ElementEventQueue-Thread-4#49 | JCS-ElementEventQueue-Thread-7#91 | JCS-ElementEventQueue-Thread-10#133 | http-nio-8080-exec-25#168 | JCS-ElementEventQueue-Thread-13#176 | http-nio-8080-exec-32#211 | JCS-ElementEventQueue-Thread-16#218 | http-nio-8080-exec-37#252 | http-nio-8080-exec-38#253 | http-nio-8080-exec-39#254 | http-nio-8080-exec-41#258 | JCS-ElementEventQueue-Thread-19#261 | http-nio-8080-exec-43#294 | http-nio-8080-exec-44#295 | http-nio-8080-exec-45#296 | http-nio-8080-exec-46#297</x:v>
      </x:c>
      <x:c r="P393" s="36" t="n">
        <x:v>10</x:v>
      </x:c>
      <x:c r="Q393" s="44" t="str">
        <x:v>JCS-ElementEventQueue-Thread-16#218 | http-nio-8080-exec-37#252 | http-nio-8080-exec-38#253 | http-nio-8080-exec-39#254 | http-nio-8080-exec-41#258 | JCS-ElementEventQueue-Thread-19#261 | http-nio-8080-exec-43#294 | http-nio-8080-exec-44#295 | http-nio-8080-exec-45#296 | http-nio-8080-exec-46#297</x:v>
      </x:c>
      <x:c r="R393" s="36" t="n">
        <x:v>6</x:v>
      </x:c>
      <x:c r="S393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393" s="36" t="n">
        <x:v>2</x:v>
      </x:c>
      <x:c r="U393" s="44" t="str">
        <x:v>JCS-ElementEventQueue-Thread-16#218 | JCS-ElementEventQueue-Thread-19#261</x:v>
      </x:c>
      <x:c r="V393" s="36" t="n">
        <x:v>6</x:v>
      </x:c>
      <x:c r="W39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393" s="34" t="str">
        <x:v>jcs-signature-present</x:v>
      </x:c>
      <x:c r="Y393" s="44" t="str">
        <x:v>automated signatures are JCS-specific; all other candidate application threads remain unattributed and ownership requires the archived full dump</x:v>
      </x:c>
    </x:row>
    <x:row r="394">
      <x:c r="A394" s="34" t="str">
        <x:v>article1-unified-v4-2-fb3f101b-20260903-000401-default-f04-p2-jcs321</x:v>
      </x:c>
      <x:c r="B394" s="34" t="str">
        <x:v>default</x:v>
      </x:c>
      <x:c r="C394" s="34" t="str">
        <x:v>jcs321</x:v>
      </x:c>
      <x:c r="D394" s="36" t="n">
        <x:v>4</x:v>
      </x:c>
      <x:c r="E394" s="36" t="n">
        <x:v>4</x:v>
      </x:c>
      <x:c r="F394" s="36" t="n">
        <x:v>2</x:v>
      </x:c>
      <x:c r="G394" s="36" t="n">
        <x:v>4</x:v>
      </x:c>
      <x:c r="H394" s="34" t="str">
        <x:v>firstUndeployThreadEvidenceEarly</x:v>
      </x:c>
      <x:c r="I394" s="36" t="n">
        <x:v>1</x:v>
      </x:c>
      <x:c r="J394" s="34" t="str">
        <x:v>early</x:v>
      </x:c>
      <x:c r="K394" s="36" t="n">
        <x:v>34</x:v>
      </x:c>
      <x:c r="L394" s="51" t="n">
        <x:v>7</x:v>
      </x:c>
      <x:c r="M394" s="51" t="n">
        <x:v>1</x:v>
      </x:c>
      <x:c r="N394" s="36" t="n">
        <x:v>17</x:v>
      </x:c>
      <x:c r="O394" s="44" t="str">
        <x:v>JCS-ElementEventQueue-Thread-4#49 | JCS-ElementEventQueue-Thread-7#91 | JCS-ElementEventQueue-Thread-10#133 | http-nio-8080-exec-25#168 | JCS-ElementEventQueue-Thread-13#176 | http-nio-8080-exec-32#211 | JCS-ElementEventQueue-Thread-16#218 | http-nio-8080-exec-39#254 | JCS-ElementEventQueue-Thread-19#261 | http-nio-8080-exec-44#295 | http-nio-8080-exec-45#296 | http-nio-8080-exec-47#300 | http-nio-8080-exec-48#301 | JCS-ElementEventQueue-Thread-22#303 | http-nio-8080-exec-49#336 | http-nio-8080-exec-50#337 | http-nio-8080-exec-51#338</x:v>
      </x:c>
      <x:c r="P394" s="36" t="n">
        <x:v>6</x:v>
      </x:c>
      <x:c r="Q394" s="44" t="str">
        <x:v>http-nio-8080-exec-47#300 | http-nio-8080-exec-48#301 | JCS-ElementEventQueue-Thread-22#303 | http-nio-8080-exec-49#336 | http-nio-8080-exec-50#337 | http-nio-8080-exec-51#338</x:v>
      </x:c>
      <x:c r="R394" s="36" t="n">
        <x:v>7</x:v>
      </x:c>
      <x:c r="S394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394" s="36" t="n">
        <x:v>1</x:v>
      </x:c>
      <x:c r="U394" s="44" t="str">
        <x:v>JCS-ElementEventQueue-Thread-22#303</x:v>
      </x:c>
      <x:c r="V394" s="36" t="n">
        <x:v>7</x:v>
      </x:c>
      <x:c r="W39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394" s="34" t="str">
        <x:v>jcs-signature-present</x:v>
      </x:c>
      <x:c r="Y394" s="44" t="str">
        <x:v>automated signatures are JCS-specific; all other candidate application threads remain unattributed and ownership requires the archived full dump</x:v>
      </x:c>
    </x:row>
    <x:row r="395">
      <x:c r="A395" s="34" t="str">
        <x:v>article1-unified-v4-2-fb3f101b-20260903-000401-default-f04-p2-jcs321</x:v>
      </x:c>
      <x:c r="B395" s="34" t="str">
        <x:v>default</x:v>
      </x:c>
      <x:c r="C395" s="34" t="str">
        <x:v>jcs321</x:v>
      </x:c>
      <x:c r="D395" s="36" t="n">
        <x:v>4</x:v>
      </x:c>
      <x:c r="E395" s="36" t="n">
        <x:v>4</x:v>
      </x:c>
      <x:c r="F395" s="36" t="n">
        <x:v>2</x:v>
      </x:c>
      <x:c r="G395" s="36" t="n">
        <x:v>4</x:v>
      </x:c>
      <x:c r="H395" s="34" t="str">
        <x:v>firstUndeployThreadEvidenceFinal</x:v>
      </x:c>
      <x:c r="I395" s="36" t="n">
        <x:v>1</x:v>
      </x:c>
      <x:c r="J395" s="34" t="str">
        <x:v>final</x:v>
      </x:c>
      <x:c r="K395" s="36" t="n">
        <x:v>34</x:v>
      </x:c>
      <x:c r="L395" s="51" t="n">
        <x:v>7</x:v>
      </x:c>
      <x:c r="M395" s="51" t="n">
        <x:v>1</x:v>
      </x:c>
      <x:c r="N395" s="36" t="n">
        <x:v>17</x:v>
      </x:c>
      <x:c r="O395" s="44" t="str">
        <x:v>JCS-ElementEventQueue-Thread-4#49 | JCS-ElementEventQueue-Thread-7#91 | JCS-ElementEventQueue-Thread-10#133 | http-nio-8080-exec-25#168 | JCS-ElementEventQueue-Thread-13#176 | http-nio-8080-exec-32#211 | JCS-ElementEventQueue-Thread-16#218 | http-nio-8080-exec-39#254 | JCS-ElementEventQueue-Thread-19#261 | http-nio-8080-exec-44#295 | http-nio-8080-exec-45#296 | http-nio-8080-exec-47#300 | http-nio-8080-exec-48#301 | JCS-ElementEventQueue-Thread-22#303 | http-nio-8080-exec-50#337 | http-nio-8080-exec-51#338 | http-nio-8080-exec-52#339</x:v>
      </x:c>
      <x:c r="P395" s="36" t="n">
        <x:v>6</x:v>
      </x:c>
      <x:c r="Q395" s="44" t="str">
        <x:v>http-nio-8080-exec-47#300 | http-nio-8080-exec-48#301 | JCS-ElementEventQueue-Thread-22#303 | http-nio-8080-exec-50#337 | http-nio-8080-exec-51#338 | http-nio-8080-exec-52#339</x:v>
      </x:c>
      <x:c r="R395" s="36" t="n">
        <x:v>7</x:v>
      </x:c>
      <x:c r="S395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395" s="36" t="n">
        <x:v>1</x:v>
      </x:c>
      <x:c r="U395" s="44" t="str">
        <x:v>JCS-ElementEventQueue-Thread-22#303</x:v>
      </x:c>
      <x:c r="V395" s="36" t="n">
        <x:v>7</x:v>
      </x:c>
      <x:c r="W39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395" s="34" t="str">
        <x:v>jcs-signature-present</x:v>
      </x:c>
      <x:c r="Y395" s="44" t="str">
        <x:v>automated signatures are JCS-specific; all other candidate application threads remain unattributed and ownership requires the archived full dump</x:v>
      </x:c>
    </x:row>
    <x:row r="396">
      <x:c r="A396" s="34" t="str">
        <x:v>article1-unified-v4-2-fb3f101b-20260903-000401-default-f04-p2-jcs321</x:v>
      </x:c>
      <x:c r="B396" s="34" t="str">
        <x:v>default</x:v>
      </x:c>
      <x:c r="C396" s="34" t="str">
        <x:v>jcs321</x:v>
      </x:c>
      <x:c r="D396" s="36" t="n">
        <x:v>4</x:v>
      </x:c>
      <x:c r="E396" s="36" t="n">
        <x:v>4</x:v>
      </x:c>
      <x:c r="F396" s="36" t="n">
        <x:v>2</x:v>
      </x:c>
      <x:c r="G396" s="36" t="n">
        <x:v>4</x:v>
      </x:c>
      <x:c r="H396" s="34" t="str">
        <x:v>finalUndeployThreadEvidenceEarly</x:v>
      </x:c>
      <x:c r="I396" s="36" t="n">
        <x:v>2</x:v>
      </x:c>
      <x:c r="J396" s="34" t="str">
        <x:v>early</x:v>
      </x:c>
      <x:c r="K396" s="36" t="n">
        <x:v>35</x:v>
      </x:c>
      <x:c r="L396" s="51" t="n">
        <x:v>8</x:v>
      </x:c>
      <x:c r="M396" s="51" t="n">
        <x:v>2</x:v>
      </x:c>
      <x:c r="N396" s="36" t="n">
        <x:v>18</x:v>
      </x:c>
      <x:c r="O396" s="44" t="str">
        <x:v>JCS-ElementEventQueue-Thread-4#49 | JCS-ElementEventQueue-Thread-7#91 | JCS-ElementEventQueue-Thread-10#133 | JCS-ElementEventQueue-Thread-13#176 | JCS-ElementEventQueue-Thread-16#218 | JCS-ElementEventQueue-Thread-19#261 | http-nio-8080-exec-45#296 | http-nio-8080-exec-47#300 | JCS-ElementEventQueue-Thread-22#303 | http-nio-8080-exec-50#337 | http-nio-8080-exec-51#338 | http-nio-8080-exec-53#342 | http-nio-8080-exec-54#343 | http-nio-8080-exec-55#344 | JCS-ElementEventQueue-Thread-25#346 | http-nio-8080-exec-56#379 | http-nio-8080-exec-57#380 | http-nio-8080-exec-58#381</x:v>
      </x:c>
      <x:c r="P396" s="36" t="n">
        <x:v>11</x:v>
      </x:c>
      <x:c r="Q396" s="44" t="str">
        <x:v>http-nio-8080-exec-47#300 | JCS-ElementEventQueue-Thread-22#303 | http-nio-8080-exec-50#337 | http-nio-8080-exec-51#338 | http-nio-8080-exec-53#342 | http-nio-8080-exec-54#343 | http-nio-8080-exec-55#344 | JCS-ElementEventQueue-Thread-25#346 | http-nio-8080-exec-56#379 | http-nio-8080-exec-57#380 | http-nio-8080-exec-58#381</x:v>
      </x:c>
      <x:c r="R396" s="36" t="n">
        <x:v>8</x:v>
      </x:c>
      <x:c r="S396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396" s="36" t="n">
        <x:v>2</x:v>
      </x:c>
      <x:c r="U396" s="44" t="str">
        <x:v>JCS-ElementEventQueue-Thread-22#303 | JCS-ElementEventQueue-Thread-25#346</x:v>
      </x:c>
      <x:c r="V396" s="36" t="n">
        <x:v>8</x:v>
      </x:c>
      <x:c r="W39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396" s="34" t="str">
        <x:v>jcs-signature-present</x:v>
      </x:c>
      <x:c r="Y396" s="44" t="str">
        <x:v>automated signatures are JCS-specific; all other candidate application threads remain unattributed and ownership requires the archived full dump</x:v>
      </x:c>
    </x:row>
    <x:row r="397">
      <x:c r="A397" s="34" t="str">
        <x:v>article1-unified-v4-2-fb3f101b-20260903-000401-default-f04-p2-jcs321</x:v>
      </x:c>
      <x:c r="B397" s="34" t="str">
        <x:v>default</x:v>
      </x:c>
      <x:c r="C397" s="34" t="str">
        <x:v>jcs321</x:v>
      </x:c>
      <x:c r="D397" s="36" t="n">
        <x:v>4</x:v>
      </x:c>
      <x:c r="E397" s="36" t="n">
        <x:v>4</x:v>
      </x:c>
      <x:c r="F397" s="36" t="n">
        <x:v>2</x:v>
      </x:c>
      <x:c r="G397" s="36" t="n">
        <x:v>4</x:v>
      </x:c>
      <x:c r="H397" s="34" t="str">
        <x:v>finalUndeployThreadEvidenceFinal</x:v>
      </x:c>
      <x:c r="I397" s="36" t="n">
        <x:v>2</x:v>
      </x:c>
      <x:c r="J397" s="34" t="str">
        <x:v>final</x:v>
      </x:c>
      <x:c r="K397" s="36" t="n">
        <x:v>35</x:v>
      </x:c>
      <x:c r="L397" s="51" t="n">
        <x:v>8</x:v>
      </x:c>
      <x:c r="M397" s="51" t="n">
        <x:v>2</x:v>
      </x:c>
      <x:c r="N397" s="36" t="n">
        <x:v>18</x:v>
      </x:c>
      <x:c r="O397" s="44" t="str">
        <x:v>JCS-ElementEventQueue-Thread-4#49 | JCS-ElementEventQueue-Thread-7#91 | JCS-ElementEventQueue-Thread-10#133 | JCS-ElementEventQueue-Thread-13#176 | JCS-ElementEventQueue-Thread-16#218 | JCS-ElementEventQueue-Thread-19#261 | http-nio-8080-exec-47#300 | JCS-ElementEventQueue-Thread-22#303 | http-nio-8080-exec-50#337 | http-nio-8080-exec-51#338 | http-nio-8080-exec-53#342 | http-nio-8080-exec-54#343 | http-nio-8080-exec-55#344 | JCS-ElementEventQueue-Thread-25#346 | http-nio-8080-exec-56#379 | http-nio-8080-exec-57#380 | http-nio-8080-exec-58#381 | http-nio-8080-exec-59#382</x:v>
      </x:c>
      <x:c r="P397" s="36" t="n">
        <x:v>12</x:v>
      </x:c>
      <x:c r="Q397" s="44" t="str">
        <x:v>http-nio-8080-exec-47#300 | JCS-ElementEventQueue-Thread-22#303 | http-nio-8080-exec-50#337 | http-nio-8080-exec-51#338 | http-nio-8080-exec-53#342 | http-nio-8080-exec-54#343 | http-nio-8080-exec-55#344 | JCS-ElementEventQueue-Thread-25#346 | http-nio-8080-exec-56#379 | http-nio-8080-exec-57#380 | http-nio-8080-exec-58#381 | http-nio-8080-exec-59#382</x:v>
      </x:c>
      <x:c r="R397" s="36" t="n">
        <x:v>8</x:v>
      </x:c>
      <x:c r="S397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397" s="36" t="n">
        <x:v>2</x:v>
      </x:c>
      <x:c r="U397" s="44" t="str">
        <x:v>JCS-ElementEventQueue-Thread-22#303 | JCS-ElementEventQueue-Thread-25#346</x:v>
      </x:c>
      <x:c r="V397" s="36" t="n">
        <x:v>8</x:v>
      </x:c>
      <x:c r="W39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397" s="34" t="str">
        <x:v>jcs-signature-present</x:v>
      </x:c>
      <x:c r="Y397" s="44" t="str">
        <x:v>automated signatures are JCS-specific; all other candidate application threads remain unattributed and ownership requires the archived full dump</x:v>
      </x:c>
    </x:row>
    <x:row r="398">
      <x:c r="A398" s="34" t="str">
        <x:v>article1-unified-v4-2-fb3f101b-20260903-000401-default-f04-p2-jcs321</x:v>
      </x:c>
      <x:c r="B398" s="34" t="str">
        <x:v>default</x:v>
      </x:c>
      <x:c r="C398" s="34" t="str">
        <x:v>jcs321</x:v>
      </x:c>
      <x:c r="D398" s="36" t="n">
        <x:v>4</x:v>
      </x:c>
      <x:c r="E398" s="36" t="n">
        <x:v>4</x:v>
      </x:c>
      <x:c r="F398" s="36" t="n">
        <x:v>2</x:v>
      </x:c>
      <x:c r="G398" s="36" t="n">
        <x:v>5</x:v>
      </x:c>
      <x:c r="H398" s="34" t="str">
        <x:v>firstUndeployThreadEvidenceEarly</x:v>
      </x:c>
      <x:c r="I398" s="36" t="n">
        <x:v>1</x:v>
      </x:c>
      <x:c r="J398" s="34" t="str">
        <x:v>early</x:v>
      </x:c>
      <x:c r="K398" s="36" t="n">
        <x:v>36</x:v>
      </x:c>
      <x:c r="L398" s="51" t="n">
        <x:v>9</x:v>
      </x:c>
      <x:c r="M398" s="51" t="n">
        <x:v>1</x:v>
      </x:c>
      <x:c r="N398" s="36" t="n">
        <x:v>19</x:v>
      </x:c>
      <x:c r="O398" s="44" t="str">
        <x:v>JCS-ElementEventQueue-Thread-4#49 | JCS-ElementEventQueue-Thread-7#91 | JCS-ElementEventQueue-Thread-10#133 | JCS-ElementEventQueue-Thread-13#176 | JCS-ElementEventQueue-Thread-16#218 | JCS-ElementEventQueue-Thread-19#261 | http-nio-8080-exec-47#300 | JCS-ElementEventQueue-Thread-22#303 | http-nio-8080-exec-50#337 | http-nio-8080-exec-55#344 | JCS-ElementEventQueue-Thread-25#346 | http-nio-8080-exec-57#380 | http-nio-8080-exec-58#381 | http-nio-8080-exec-59#382 | http-nio-8080-exec-60#385 | http-nio-8080-exec-61#386 | JCS-ElementEventQueue-Thread-28#388 | http-nio-8080-exec-63#422 | http-nio-8080-exec-64#423</x:v>
      </x:c>
      <x:c r="P398" s="36" t="n">
        <x:v>5</x:v>
      </x:c>
      <x:c r="Q398" s="44" t="str">
        <x:v>http-nio-8080-exec-60#385 | http-nio-8080-exec-61#386 | JCS-ElementEventQueue-Thread-28#388 | http-nio-8080-exec-63#422 | http-nio-8080-exec-64#423</x:v>
      </x:c>
      <x:c r="R398" s="36" t="n">
        <x:v>9</x:v>
      </x:c>
      <x:c r="S39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398" s="36" t="n">
        <x:v>1</x:v>
      </x:c>
      <x:c r="U398" s="44" t="str">
        <x:v>JCS-ElementEventQueue-Thread-28#388</x:v>
      </x:c>
      <x:c r="V398" s="36" t="n">
        <x:v>9</x:v>
      </x:c>
      <x:c r="W39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398" s="34" t="str">
        <x:v>jcs-signature-present</x:v>
      </x:c>
      <x:c r="Y398" s="44" t="str">
        <x:v>automated signatures are JCS-specific; all other candidate application threads remain unattributed and ownership requires the archived full dump</x:v>
      </x:c>
    </x:row>
    <x:row r="399">
      <x:c r="A399" s="34" t="str">
        <x:v>article1-unified-v4-2-fb3f101b-20260903-000401-default-f04-p2-jcs321</x:v>
      </x:c>
      <x:c r="B399" s="34" t="str">
        <x:v>default</x:v>
      </x:c>
      <x:c r="C399" s="34" t="str">
        <x:v>jcs321</x:v>
      </x:c>
      <x:c r="D399" s="36" t="n">
        <x:v>4</x:v>
      </x:c>
      <x:c r="E399" s="36" t="n">
        <x:v>4</x:v>
      </x:c>
      <x:c r="F399" s="36" t="n">
        <x:v>2</x:v>
      </x:c>
      <x:c r="G399" s="36" t="n">
        <x:v>5</x:v>
      </x:c>
      <x:c r="H399" s="34" t="str">
        <x:v>firstUndeployThreadEvidenceFinal</x:v>
      </x:c>
      <x:c r="I399" s="36" t="n">
        <x:v>1</x:v>
      </x:c>
      <x:c r="J399" s="34" t="str">
        <x:v>final</x:v>
      </x:c>
      <x:c r="K399" s="36" t="n">
        <x:v>36</x:v>
      </x:c>
      <x:c r="L399" s="51" t="n">
        <x:v>9</x:v>
      </x:c>
      <x:c r="M399" s="51" t="n">
        <x:v>1</x:v>
      </x:c>
      <x:c r="N399" s="36" t="n">
        <x:v>19</x:v>
      </x:c>
      <x:c r="O399" s="44" t="str">
        <x:v>JCS-ElementEventQueue-Thread-4#49 | JCS-ElementEventQueue-Thread-7#91 | JCS-ElementEventQueue-Thread-10#133 | JCS-ElementEventQueue-Thread-13#176 | JCS-ElementEventQueue-Thread-16#218 | JCS-ElementEventQueue-Thread-19#261 | http-nio-8080-exec-47#300 | JCS-ElementEventQueue-Thread-22#303 | http-nio-8080-exec-50#337 | http-nio-8080-exec-55#344 | JCS-ElementEventQueue-Thread-25#346 | http-nio-8080-exec-57#380 | http-nio-8080-exec-58#381 | http-nio-8080-exec-59#382 | http-nio-8080-exec-60#385 | JCS-ElementEventQueue-Thread-28#388 | http-nio-8080-exec-63#422 | http-nio-8080-exec-64#423 | http-nio-8080-exec-65#424</x:v>
      </x:c>
      <x:c r="P399" s="36" t="n">
        <x:v>5</x:v>
      </x:c>
      <x:c r="Q399" s="44" t="str">
        <x:v>http-nio-8080-exec-60#385 | JCS-ElementEventQueue-Thread-28#388 | http-nio-8080-exec-63#422 | http-nio-8080-exec-64#423 | http-nio-8080-exec-65#424</x:v>
      </x:c>
      <x:c r="R399" s="36" t="n">
        <x:v>9</x:v>
      </x:c>
      <x:c r="S39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399" s="36" t="n">
        <x:v>1</x:v>
      </x:c>
      <x:c r="U399" s="44" t="str">
        <x:v>JCS-ElementEventQueue-Thread-28#388</x:v>
      </x:c>
      <x:c r="V399" s="36" t="n">
        <x:v>9</x:v>
      </x:c>
      <x:c r="W39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399" s="34" t="str">
        <x:v>jcs-signature-present</x:v>
      </x:c>
      <x:c r="Y399" s="44" t="str">
        <x:v>automated signatures are JCS-specific; all other candidate application threads remain unattributed and ownership requires the archived full dump</x:v>
      </x:c>
    </x:row>
    <x:row r="400">
      <x:c r="A400" s="34" t="str">
        <x:v>article1-unified-v4-2-fb3f101b-20260903-000401-default-f04-p2-jcs321</x:v>
      </x:c>
      <x:c r="B400" s="34" t="str">
        <x:v>default</x:v>
      </x:c>
      <x:c r="C400" s="34" t="str">
        <x:v>jcs321</x:v>
      </x:c>
      <x:c r="D400" s="36" t="n">
        <x:v>4</x:v>
      </x:c>
      <x:c r="E400" s="36" t="n">
        <x:v>4</x:v>
      </x:c>
      <x:c r="F400" s="36" t="n">
        <x:v>2</x:v>
      </x:c>
      <x:c r="G400" s="36" t="n">
        <x:v>5</x:v>
      </x:c>
      <x:c r="H400" s="34" t="str">
        <x:v>finalUndeployThreadEvidenceEarly</x:v>
      </x:c>
      <x:c r="I400" s="36" t="n">
        <x:v>2</x:v>
      </x:c>
      <x:c r="J400" s="34" t="str">
        <x:v>early</x:v>
      </x:c>
      <x:c r="K400" s="36" t="n">
        <x:v>37</x:v>
      </x:c>
      <x:c r="L400" s="51" t="n">
        <x:v>10</x:v>
      </x:c>
      <x:c r="M400" s="51" t="n">
        <x:v>2</x:v>
      </x:c>
      <x:c r="N400" s="36" t="n">
        <x:v>20</x:v>
      </x:c>
      <x:c r="O40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http-nio-8080-exec-55#344 | JCS-ElementEventQueue-Thread-25#346 | http-nio-8080-exec-57#380 | JCS-ElementEventQueue-Thread-28#388 | http-nio-8080-exec-63#422 | http-nio-8080-exec-64#423 | http-nio-8080-exec-65#424 | http-nio-8080-exec-66#427 | http-nio-8080-exec-68#429 | JCS-ElementEventQueue-Thread-31#431 | http-nio-8080-exec-69#464 | http-nio-8080-exec-70#465 | http-nio-8080-exec-71#466</x:v>
      </x:c>
      <x:c r="P400" s="36" t="n">
        <x:v>10</x:v>
      </x:c>
      <x:c r="Q400" s="44" t="str">
        <x:v>JCS-ElementEventQueue-Thread-28#388 | http-nio-8080-exec-63#422 | http-nio-8080-exec-64#423 | http-nio-8080-exec-65#424 | http-nio-8080-exec-66#427 | http-nio-8080-exec-68#429 | JCS-ElementEventQueue-Thread-31#431 | http-nio-8080-exec-69#464 | http-nio-8080-exec-70#465 | http-nio-8080-exec-71#466</x:v>
      </x:c>
      <x:c r="R400" s="36" t="n">
        <x:v>10</x:v>
      </x:c>
      <x:c r="S40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400" s="36" t="n">
        <x:v>2</x:v>
      </x:c>
      <x:c r="U400" s="44" t="str">
        <x:v>JCS-ElementEventQueue-Thread-28#388 | JCS-ElementEventQueue-Thread-31#431</x:v>
      </x:c>
      <x:c r="V400" s="36" t="n">
        <x:v>10</x:v>
      </x:c>
      <x:c r="W40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400" s="34" t="str">
        <x:v>jcs-signature-present</x:v>
      </x:c>
      <x:c r="Y400" s="44" t="str">
        <x:v>automated signatures are JCS-specific; all other candidate application threads remain unattributed and ownership requires the archived full dump</x:v>
      </x:c>
    </x:row>
    <x:row r="401">
      <x:c r="A401" s="34" t="str">
        <x:v>article1-unified-v4-2-fb3f101b-20260903-000401-default-f04-p2-jcs321</x:v>
      </x:c>
      <x:c r="B401" s="34" t="str">
        <x:v>default</x:v>
      </x:c>
      <x:c r="C401" s="34" t="str">
        <x:v>jcs321</x:v>
      </x:c>
      <x:c r="D401" s="36" t="n">
        <x:v>4</x:v>
      </x:c>
      <x:c r="E401" s="36" t="n">
        <x:v>4</x:v>
      </x:c>
      <x:c r="F401" s="36" t="n">
        <x:v>2</x:v>
      </x:c>
      <x:c r="G401" s="36" t="n">
        <x:v>5</x:v>
      </x:c>
      <x:c r="H401" s="34" t="str">
        <x:v>finalUndeployThreadEvidenceFinal</x:v>
      </x:c>
      <x:c r="I401" s="36" t="n">
        <x:v>2</x:v>
      </x:c>
      <x:c r="J401" s="34" t="str">
        <x:v>final</x:v>
      </x:c>
      <x:c r="K401" s="36" t="n">
        <x:v>37</x:v>
      </x:c>
      <x:c r="L401" s="51" t="n">
        <x:v>10</x:v>
      </x:c>
      <x:c r="M401" s="51" t="n">
        <x:v>2</x:v>
      </x:c>
      <x:c r="N401" s="36" t="n">
        <x:v>20</x:v>
      </x:c>
      <x:c r="O40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http-nio-8080-exec-55#344 | JCS-ElementEventQueue-Thread-25#346 | http-nio-8080-exec-57#380 | JCS-ElementEventQueue-Thread-28#388 | http-nio-8080-exec-63#422 | http-nio-8080-exec-64#423 | http-nio-8080-exec-65#424 | http-nio-8080-exec-66#427 | http-nio-8080-exec-68#429 | JCS-ElementEventQueue-Thread-31#431 | http-nio-8080-exec-70#465 | http-nio-8080-exec-71#466 | http-nio-8080-exec-72#467</x:v>
      </x:c>
      <x:c r="P401" s="36" t="n">
        <x:v>10</x:v>
      </x:c>
      <x:c r="Q401" s="44" t="str">
        <x:v>JCS-ElementEventQueue-Thread-28#388 | http-nio-8080-exec-63#422 | http-nio-8080-exec-64#423 | http-nio-8080-exec-65#424 | http-nio-8080-exec-66#427 | http-nio-8080-exec-68#429 | JCS-ElementEventQueue-Thread-31#431 | http-nio-8080-exec-70#465 | http-nio-8080-exec-71#466 | http-nio-8080-exec-72#467</x:v>
      </x:c>
      <x:c r="R401" s="36" t="n">
        <x:v>10</x:v>
      </x:c>
      <x:c r="S40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401" s="36" t="n">
        <x:v>2</x:v>
      </x:c>
      <x:c r="U401" s="44" t="str">
        <x:v>JCS-ElementEventQueue-Thread-28#388 | JCS-ElementEventQueue-Thread-31#431</x:v>
      </x:c>
      <x:c r="V401" s="36" t="n">
        <x:v>10</x:v>
      </x:c>
      <x:c r="W40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401" s="34" t="str">
        <x:v>jcs-signature-present</x:v>
      </x:c>
      <x:c r="Y401" s="44" t="str">
        <x:v>automated signatures are JCS-specific; all other candidate application threads remain unattributed and ownership requires the archived full dump</x:v>
      </x:c>
    </x:row>
    <x:row r="402">
      <x:c r="A402" s="34" t="str">
        <x:v>article1-unified-v4-2-fb3f101b-20260903-000401-default-f04-p3-cache2k</x:v>
      </x:c>
      <x:c r="B402" s="34" t="str">
        <x:v>default</x:v>
      </x:c>
      <x:c r="C402" s="34" t="str">
        <x:v>cache2k</x:v>
      </x:c>
      <x:c r="D402" s="36" t="n">
        <x:v>4</x:v>
      </x:c>
      <x:c r="E402" s="36" t="n">
        <x:v>4</x:v>
      </x:c>
      <x:c r="F402" s="36" t="n">
        <x:v>3</x:v>
      </x:c>
      <x:c r="G402" s="36" t="n">
        <x:v>1</x:v>
      </x:c>
      <x:c r="H402" s="34" t="str">
        <x:v>firstUndeployThreadEvidenceEarly</x:v>
      </x:c>
      <x:c r="I402" s="36" t="n">
        <x:v>1</x:v>
      </x:c>
      <x:c r="J402" s="34" t="str">
        <x:v>early</x:v>
      </x:c>
      <x:c r="K402" s="36" t="n">
        <x:v>27</x:v>
      </x:c>
      <x:c r="L402" s="51" t="n">
        <x:v>0</x:v>
      </x:c>
      <x:c r="M402" s="51" t="n">
        <x:v>0</x:v>
      </x:c>
      <x:c r="N402" s="36" t="n">
        <x:v>2</x:v>
      </x:c>
      <x:c r="O402" s="44" t="str">
        <x:v>http-nio-8080-exec-11#81 | http-nio-8080-exec-12#82</x:v>
      </x:c>
      <x:c r="P402" s="36" t="n">
        <x:v>2</x:v>
      </x:c>
      <x:c r="Q402" s="44" t="str">
        <x:v>http-nio-8080-exec-11#81 | http-nio-8080-exec-12#82</x:v>
      </x:c>
      <x:c r="R402" s="36" t="n">
        <x:v>0</x:v>
      </x:c>
      <x:c r="S402" s="44"/>
      <x:c r="T402" s="36" t="n">
        <x:v>0</x:v>
      </x:c>
      <x:c r="U402" s="44"/>
      <x:c r="V402" s="36" t="n">
        <x:v>0</x:v>
      </x:c>
      <x:c r="W402" s="44"/>
      <x:c r="X402" s="34" t="str">
        <x:v>no-post-undeploy-thread-signal</x:v>
      </x:c>
      <x:c r="Y402" s="44" t="str">
        <x:v>automated signatures are JCS-specific; all other candidate application threads remain unattributed and ownership requires the archived full dump</x:v>
      </x:c>
    </x:row>
    <x:row r="403">
      <x:c r="A403" s="34" t="str">
        <x:v>article1-unified-v4-2-fb3f101b-20260903-000401-default-f04-p3-cache2k</x:v>
      </x:c>
      <x:c r="B403" s="34" t="str">
        <x:v>default</x:v>
      </x:c>
      <x:c r="C403" s="34" t="str">
        <x:v>cache2k</x:v>
      </x:c>
      <x:c r="D403" s="36" t="n">
        <x:v>4</x:v>
      </x:c>
      <x:c r="E403" s="36" t="n">
        <x:v>4</x:v>
      </x:c>
      <x:c r="F403" s="36" t="n">
        <x:v>3</x:v>
      </x:c>
      <x:c r="G403" s="36" t="n">
        <x:v>1</x:v>
      </x:c>
      <x:c r="H403" s="34" t="str">
        <x:v>firstUndeployThreadEvidenceFinal</x:v>
      </x:c>
      <x:c r="I403" s="36" t="n">
        <x:v>1</x:v>
      </x:c>
      <x:c r="J403" s="34" t="str">
        <x:v>final</x:v>
      </x:c>
      <x:c r="K403" s="36" t="n">
        <x:v>27</x:v>
      </x:c>
      <x:c r="L403" s="51" t="n">
        <x:v>0</x:v>
      </x:c>
      <x:c r="M403" s="51" t="n">
        <x:v>0</x:v>
      </x:c>
      <x:c r="N403" s="36" t="n">
        <x:v>3</x:v>
      </x:c>
      <x:c r="O403" s="44" t="str">
        <x:v>http-nio-8080-exec-11#81 | http-nio-8080-exec-12#82 | http-nio-8080-exec-13#83</x:v>
      </x:c>
      <x:c r="P403" s="36" t="n">
        <x:v>3</x:v>
      </x:c>
      <x:c r="Q403" s="44" t="str">
        <x:v>http-nio-8080-exec-11#81 | http-nio-8080-exec-12#82 | http-nio-8080-exec-13#83</x:v>
      </x:c>
      <x:c r="R403" s="36" t="n">
        <x:v>0</x:v>
      </x:c>
      <x:c r="S403" s="44"/>
      <x:c r="T403" s="36" t="n">
        <x:v>0</x:v>
      </x:c>
      <x:c r="U403" s="44"/>
      <x:c r="V403" s="36" t="n">
        <x:v>0</x:v>
      </x:c>
      <x:c r="W403" s="44"/>
      <x:c r="X403" s="34" t="str">
        <x:v>no-post-undeploy-thread-signal</x:v>
      </x:c>
      <x:c r="Y403" s="44" t="str">
        <x:v>automated signatures are JCS-specific; all other candidate application threads remain unattributed and ownership requires the archived full dump</x:v>
      </x:c>
    </x:row>
    <x:row r="404">
      <x:c r="A404" s="34" t="str">
        <x:v>article1-unified-v4-2-fb3f101b-20260903-000401-default-f04-p3-cache2k</x:v>
      </x:c>
      <x:c r="B404" s="34" t="str">
        <x:v>default</x:v>
      </x:c>
      <x:c r="C404" s="34" t="str">
        <x:v>cache2k</x:v>
      </x:c>
      <x:c r="D404" s="36" t="n">
        <x:v>4</x:v>
      </x:c>
      <x:c r="E404" s="36" t="n">
        <x:v>4</x:v>
      </x:c>
      <x:c r="F404" s="36" t="n">
        <x:v>3</x:v>
      </x:c>
      <x:c r="G404" s="36" t="n">
        <x:v>1</x:v>
      </x:c>
      <x:c r="H404" s="34" t="str">
        <x:v>finalUndeployThreadEvidenceEarly</x:v>
      </x:c>
      <x:c r="I404" s="36" t="n">
        <x:v>2</x:v>
      </x:c>
      <x:c r="J404" s="34" t="str">
        <x:v>early</x:v>
      </x:c>
      <x:c r="K404" s="36" t="n">
        <x:v>27</x:v>
      </x:c>
      <x:c r="L404" s="51" t="n">
        <x:v>0</x:v>
      </x:c>
      <x:c r="M404" s="51" t="n">
        <x:v>0</x:v>
      </x:c>
      <x:c r="N404" s="36" t="n">
        <x:v>9</x:v>
      </x:c>
      <x:c r="O404" s="44" t="str">
        <x:v>http-nio-8080-exec-11#81 | http-nio-8080-exec-12#82 | http-nio-8080-exec-13#83 | http-nio-8080-exec-14#86 | http-nio-8080-exec-15#87 | http-nio-8080-exec-16#88 | http-nio-8080-exec-17#122 | http-nio-8080-exec-18#123 | http-nio-8080-exec-19#124</x:v>
      </x:c>
      <x:c r="P404" s="36" t="n">
        <x:v>9</x:v>
      </x:c>
      <x:c r="Q404" s="44" t="str">
        <x:v>http-nio-8080-exec-11#81 | http-nio-8080-exec-12#82 | http-nio-8080-exec-13#83 | http-nio-8080-exec-14#86 | http-nio-8080-exec-15#87 | http-nio-8080-exec-16#88 | http-nio-8080-exec-17#122 | http-nio-8080-exec-18#123 | http-nio-8080-exec-19#124</x:v>
      </x:c>
      <x:c r="R404" s="36" t="n">
        <x:v>0</x:v>
      </x:c>
      <x:c r="S404" s="44"/>
      <x:c r="T404" s="36" t="n">
        <x:v>0</x:v>
      </x:c>
      <x:c r="U404" s="44"/>
      <x:c r="V404" s="36" t="n">
        <x:v>0</x:v>
      </x:c>
      <x:c r="W404" s="44"/>
      <x:c r="X404" s="34" t="str">
        <x:v>no-post-undeploy-thread-signal</x:v>
      </x:c>
      <x:c r="Y404" s="44" t="str">
        <x:v>automated signatures are JCS-specific; all other candidate application threads remain unattributed and ownership requires the archived full dump</x:v>
      </x:c>
    </x:row>
    <x:row r="405">
      <x:c r="A405" s="34" t="str">
        <x:v>article1-unified-v4-2-fb3f101b-20260903-000401-default-f04-p3-cache2k</x:v>
      </x:c>
      <x:c r="B405" s="34" t="str">
        <x:v>default</x:v>
      </x:c>
      <x:c r="C405" s="34" t="str">
        <x:v>cache2k</x:v>
      </x:c>
      <x:c r="D405" s="36" t="n">
        <x:v>4</x:v>
      </x:c>
      <x:c r="E405" s="36" t="n">
        <x:v>4</x:v>
      </x:c>
      <x:c r="F405" s="36" t="n">
        <x:v>3</x:v>
      </x:c>
      <x:c r="G405" s="36" t="n">
        <x:v>1</x:v>
      </x:c>
      <x:c r="H405" s="34" t="str">
        <x:v>finalUndeployThreadEvidenceFinal</x:v>
      </x:c>
      <x:c r="I405" s="36" t="n">
        <x:v>2</x:v>
      </x:c>
      <x:c r="J405" s="34" t="str">
        <x:v>final</x:v>
      </x:c>
      <x:c r="K405" s="36" t="n">
        <x:v>27</x:v>
      </x:c>
      <x:c r="L405" s="51" t="n">
        <x:v>0</x:v>
      </x:c>
      <x:c r="M405" s="51" t="n">
        <x:v>0</x:v>
      </x:c>
      <x:c r="N405" s="36" t="n">
        <x:v>9</x:v>
      </x:c>
      <x:c r="O405" s="44" t="str">
        <x:v>http-nio-8080-exec-11#81 | http-nio-8080-exec-12#82 | http-nio-8080-exec-13#83 | http-nio-8080-exec-14#86 | http-nio-8080-exec-16#88 | http-nio-8080-exec-17#122 | http-nio-8080-exec-18#123 | http-nio-8080-exec-19#124 | http-nio-8080-exec-20#125</x:v>
      </x:c>
      <x:c r="P405" s="36" t="n">
        <x:v>9</x:v>
      </x:c>
      <x:c r="Q405" s="44" t="str">
        <x:v>http-nio-8080-exec-11#81 | http-nio-8080-exec-12#82 | http-nio-8080-exec-13#83 | http-nio-8080-exec-14#86 | http-nio-8080-exec-16#88 | http-nio-8080-exec-17#122 | http-nio-8080-exec-18#123 | http-nio-8080-exec-19#124 | http-nio-8080-exec-20#125</x:v>
      </x:c>
      <x:c r="R405" s="36" t="n">
        <x:v>0</x:v>
      </x:c>
      <x:c r="S405" s="44"/>
      <x:c r="T405" s="36" t="n">
        <x:v>0</x:v>
      </x:c>
      <x:c r="U405" s="44"/>
      <x:c r="V405" s="36" t="n">
        <x:v>0</x:v>
      </x:c>
      <x:c r="W405" s="44"/>
      <x:c r="X405" s="34" t="str">
        <x:v>no-post-undeploy-thread-signal</x:v>
      </x:c>
      <x:c r="Y405" s="44" t="str">
        <x:v>automated signatures are JCS-specific; all other candidate application threads remain unattributed and ownership requires the archived full dump</x:v>
      </x:c>
    </x:row>
    <x:row r="406">
      <x:c r="A406" s="34" t="str">
        <x:v>article1-unified-v4-2-fb3f101b-20260903-000401-default-f04-p3-cache2k</x:v>
      </x:c>
      <x:c r="B406" s="34" t="str">
        <x:v>default</x:v>
      </x:c>
      <x:c r="C406" s="34" t="str">
        <x:v>cache2k</x:v>
      </x:c>
      <x:c r="D406" s="36" t="n">
        <x:v>4</x:v>
      </x:c>
      <x:c r="E406" s="36" t="n">
        <x:v>4</x:v>
      </x:c>
      <x:c r="F406" s="36" t="n">
        <x:v>3</x:v>
      </x:c>
      <x:c r="G406" s="36" t="n">
        <x:v>2</x:v>
      </x:c>
      <x:c r="H406" s="34" t="str">
        <x:v>firstUndeployThreadEvidenceEarly</x:v>
      </x:c>
      <x:c r="I406" s="36" t="n">
        <x:v>1</x:v>
      </x:c>
      <x:c r="J406" s="34" t="str">
        <x:v>early</x:v>
      </x:c>
      <x:c r="K406" s="36" t="n">
        <x:v>27</x:v>
      </x:c>
      <x:c r="L406" s="51" t="n">
        <x:v>0</x:v>
      </x:c>
      <x:c r="M406" s="51" t="n">
        <x:v>0</x:v>
      </x:c>
      <x:c r="N406" s="36" t="n">
        <x:v>9</x:v>
      </x:c>
      <x:c r="O406" s="44" t="str">
        <x:v>http-nio-8080-exec-13#83 | http-nio-8080-exec-17#122 | http-nio-8080-exec-18#123 | http-nio-8080-exec-19#124 | http-nio-8080-exec-20#125 | http-nio-8080-exec-21#128 | http-nio-8080-exec-22#129 | http-nio-8080-exec-24#164 | http-nio-8080-exec-25#165</x:v>
      </x:c>
      <x:c r="P406" s="36" t="n">
        <x:v>4</x:v>
      </x:c>
      <x:c r="Q406" s="44" t="str">
        <x:v>http-nio-8080-exec-21#128 | http-nio-8080-exec-22#129 | http-nio-8080-exec-24#164 | http-nio-8080-exec-25#165</x:v>
      </x:c>
      <x:c r="R406" s="36" t="n">
        <x:v>0</x:v>
      </x:c>
      <x:c r="S406" s="44"/>
      <x:c r="T406" s="36" t="n">
        <x:v>0</x:v>
      </x:c>
      <x:c r="U406" s="44"/>
      <x:c r="V406" s="36" t="n">
        <x:v>0</x:v>
      </x:c>
      <x:c r="W406" s="44"/>
      <x:c r="X406" s="34" t="str">
        <x:v>no-post-undeploy-thread-signal</x:v>
      </x:c>
      <x:c r="Y406" s="44" t="str">
        <x:v>automated signatures are JCS-specific; all other candidate application threads remain unattributed and ownership requires the archived full dump</x:v>
      </x:c>
    </x:row>
    <x:row r="407">
      <x:c r="A407" s="34" t="str">
        <x:v>article1-unified-v4-2-fb3f101b-20260903-000401-default-f04-p3-cache2k</x:v>
      </x:c>
      <x:c r="B407" s="34" t="str">
        <x:v>default</x:v>
      </x:c>
      <x:c r="C407" s="34" t="str">
        <x:v>cache2k</x:v>
      </x:c>
      <x:c r="D407" s="36" t="n">
        <x:v>4</x:v>
      </x:c>
      <x:c r="E407" s="36" t="n">
        <x:v>4</x:v>
      </x:c>
      <x:c r="F407" s="36" t="n">
        <x:v>3</x:v>
      </x:c>
      <x:c r="G407" s="36" t="n">
        <x:v>2</x:v>
      </x:c>
      <x:c r="H407" s="34" t="str">
        <x:v>firstUndeployThreadEvidenceFinal</x:v>
      </x:c>
      <x:c r="I407" s="36" t="n">
        <x:v>1</x:v>
      </x:c>
      <x:c r="J407" s="34" t="str">
        <x:v>final</x:v>
      </x:c>
      <x:c r="K407" s="36" t="n">
        <x:v>27</x:v>
      </x:c>
      <x:c r="L407" s="51" t="n">
        <x:v>0</x:v>
      </x:c>
      <x:c r="M407" s="51" t="n">
        <x:v>0</x:v>
      </x:c>
      <x:c r="N407" s="36" t="n">
        <x:v>9</x:v>
      </x:c>
      <x:c r="O407" s="44" t="str">
        <x:v>http-nio-8080-exec-13#83 | http-nio-8080-exec-17#122 | http-nio-8080-exec-18#123 | http-nio-8080-exec-19#124 | http-nio-8080-exec-20#125 | http-nio-8080-exec-21#128 | http-nio-8080-exec-24#164 | http-nio-8080-exec-25#165 | http-nio-8080-exec-26#166</x:v>
      </x:c>
      <x:c r="P407" s="36" t="n">
        <x:v>4</x:v>
      </x:c>
      <x:c r="Q407" s="44" t="str">
        <x:v>http-nio-8080-exec-21#128 | http-nio-8080-exec-24#164 | http-nio-8080-exec-25#165 | http-nio-8080-exec-26#166</x:v>
      </x:c>
      <x:c r="R407" s="36" t="n">
        <x:v>0</x:v>
      </x:c>
      <x:c r="S407" s="44"/>
      <x:c r="T407" s="36" t="n">
        <x:v>0</x:v>
      </x:c>
      <x:c r="U407" s="44"/>
      <x:c r="V407" s="36" t="n">
        <x:v>0</x:v>
      </x:c>
      <x:c r="W407" s="44"/>
      <x:c r="X407" s="34" t="str">
        <x:v>no-post-undeploy-thread-signal</x:v>
      </x:c>
      <x:c r="Y407" s="44" t="str">
        <x:v>automated signatures are JCS-specific; all other candidate application threads remain unattributed and ownership requires the archived full dump</x:v>
      </x:c>
    </x:row>
    <x:row r="408">
      <x:c r="A408" s="34" t="str">
        <x:v>article1-unified-v4-2-fb3f101b-20260903-000401-default-f04-p3-cache2k</x:v>
      </x:c>
      <x:c r="B408" s="34" t="str">
        <x:v>default</x:v>
      </x:c>
      <x:c r="C408" s="34" t="str">
        <x:v>cache2k</x:v>
      </x:c>
      <x:c r="D408" s="36" t="n">
        <x:v>4</x:v>
      </x:c>
      <x:c r="E408" s="36" t="n">
        <x:v>4</x:v>
      </x:c>
      <x:c r="F408" s="36" t="n">
        <x:v>3</x:v>
      </x:c>
      <x:c r="G408" s="36" t="n">
        <x:v>2</x:v>
      </x:c>
      <x:c r="H408" s="34" t="str">
        <x:v>finalUndeployThreadEvidenceEarly</x:v>
      </x:c>
      <x:c r="I408" s="36" t="n">
        <x:v>2</x:v>
      </x:c>
      <x:c r="J408" s="34" t="str">
        <x:v>early</x:v>
      </x:c>
      <x:c r="K408" s="36" t="n">
        <x:v>27</x:v>
      </x:c>
      <x:c r="L408" s="51" t="n">
        <x:v>0</x:v>
      </x:c>
      <x:c r="M408" s="51" t="n">
        <x:v>0</x:v>
      </x:c>
      <x:c r="N408" s="36" t="n">
        <x:v>10</x:v>
      </x:c>
      <x:c r="O408" s="44" t="str">
        <x:v>http-nio-8080-exec-17#122 | http-nio-8080-exec-20#125 | http-nio-8080-exec-24#164 | http-nio-8080-exec-25#165 | http-nio-8080-exec-27#169 | http-nio-8080-exec-28#170 | http-nio-8080-exec-29#171 | http-nio-8080-exec-30#205 | http-nio-8080-exec-31#206 | http-nio-8080-exec-32#207</x:v>
      </x:c>
      <x:c r="P408" s="36" t="n">
        <x:v>8</x:v>
      </x:c>
      <x:c r="Q408" s="44" t="str">
        <x:v>http-nio-8080-exec-24#164 | http-nio-8080-exec-25#165 | http-nio-8080-exec-27#169 | http-nio-8080-exec-28#170 | http-nio-8080-exec-29#171 | http-nio-8080-exec-30#205 | http-nio-8080-exec-31#206 | http-nio-8080-exec-32#207</x:v>
      </x:c>
      <x:c r="R408" s="36" t="n">
        <x:v>0</x:v>
      </x:c>
      <x:c r="S408" s="44"/>
      <x:c r="T408" s="36" t="n">
        <x:v>0</x:v>
      </x:c>
      <x:c r="U408" s="44"/>
      <x:c r="V408" s="36" t="n">
        <x:v>0</x:v>
      </x:c>
      <x:c r="W408" s="44"/>
      <x:c r="X408" s="34" t="str">
        <x:v>no-post-undeploy-thread-signal</x:v>
      </x:c>
      <x:c r="Y408" s="44" t="str">
        <x:v>automated signatures are JCS-specific; all other candidate application threads remain unattributed and ownership requires the archived full dump</x:v>
      </x:c>
    </x:row>
    <x:row r="409">
      <x:c r="A409" s="34" t="str">
        <x:v>article1-unified-v4-2-fb3f101b-20260903-000401-default-f04-p3-cache2k</x:v>
      </x:c>
      <x:c r="B409" s="34" t="str">
        <x:v>default</x:v>
      </x:c>
      <x:c r="C409" s="34" t="str">
        <x:v>cache2k</x:v>
      </x:c>
      <x:c r="D409" s="36" t="n">
        <x:v>4</x:v>
      </x:c>
      <x:c r="E409" s="36" t="n">
        <x:v>4</x:v>
      </x:c>
      <x:c r="F409" s="36" t="n">
        <x:v>3</x:v>
      </x:c>
      <x:c r="G409" s="36" t="n">
        <x:v>2</x:v>
      </x:c>
      <x:c r="H409" s="34" t="str">
        <x:v>finalUndeployThreadEvidenceFinal</x:v>
      </x:c>
      <x:c r="I409" s="36" t="n">
        <x:v>2</x:v>
      </x:c>
      <x:c r="J409" s="34" t="str">
        <x:v>final</x:v>
      </x:c>
      <x:c r="K409" s="36" t="n">
        <x:v>27</x:v>
      </x:c>
      <x:c r="L409" s="51" t="n">
        <x:v>0</x:v>
      </x:c>
      <x:c r="M409" s="51" t="n">
        <x:v>0</x:v>
      </x:c>
      <x:c r="N409" s="36" t="n">
        <x:v>10</x:v>
      </x:c>
      <x:c r="O409" s="44" t="str">
        <x:v>http-nio-8080-exec-17#122 | http-nio-8080-exec-20#125 | http-nio-8080-exec-24#164 | http-nio-8080-exec-25#165 | http-nio-8080-exec-28#170 | http-nio-8080-exec-29#171 | http-nio-8080-exec-30#205 | http-nio-8080-exec-31#206 | http-nio-8080-exec-32#207 | http-nio-8080-exec-33#208</x:v>
      </x:c>
      <x:c r="P409" s="36" t="n">
        <x:v>8</x:v>
      </x:c>
      <x:c r="Q409" s="44" t="str">
        <x:v>http-nio-8080-exec-24#164 | http-nio-8080-exec-25#165 | http-nio-8080-exec-28#170 | http-nio-8080-exec-29#171 | http-nio-8080-exec-30#205 | http-nio-8080-exec-31#206 | http-nio-8080-exec-32#207 | http-nio-8080-exec-33#208</x:v>
      </x:c>
      <x:c r="R409" s="36" t="n">
        <x:v>0</x:v>
      </x:c>
      <x:c r="S409" s="44"/>
      <x:c r="T409" s="36" t="n">
        <x:v>0</x:v>
      </x:c>
      <x:c r="U409" s="44"/>
      <x:c r="V409" s="36" t="n">
        <x:v>0</x:v>
      </x:c>
      <x:c r="W409" s="44"/>
      <x:c r="X409" s="34" t="str">
        <x:v>no-post-undeploy-thread-signal</x:v>
      </x:c>
      <x:c r="Y409" s="44" t="str">
        <x:v>automated signatures are JCS-specific; all other candidate application threads remain unattributed and ownership requires the archived full dump</x:v>
      </x:c>
    </x:row>
    <x:row r="410">
      <x:c r="A410" s="34" t="str">
        <x:v>article1-unified-v4-2-fb3f101b-20260903-000401-default-f04-p3-cache2k</x:v>
      </x:c>
      <x:c r="B410" s="34" t="str">
        <x:v>default</x:v>
      </x:c>
      <x:c r="C410" s="34" t="str">
        <x:v>cache2k</x:v>
      </x:c>
      <x:c r="D410" s="36" t="n">
        <x:v>4</x:v>
      </x:c>
      <x:c r="E410" s="36" t="n">
        <x:v>4</x:v>
      </x:c>
      <x:c r="F410" s="36" t="n">
        <x:v>3</x:v>
      </x:c>
      <x:c r="G410" s="36" t="n">
        <x:v>3</x:v>
      </x:c>
      <x:c r="H410" s="34" t="str">
        <x:v>firstUndeployThreadEvidenceEarly</x:v>
      </x:c>
      <x:c r="I410" s="36" t="n">
        <x:v>1</x:v>
      </x:c>
      <x:c r="J410" s="34" t="str">
        <x:v>early</x:v>
      </x:c>
      <x:c r="K410" s="36" t="n">
        <x:v>27</x:v>
      </x:c>
      <x:c r="L410" s="51" t="n">
        <x:v>0</x:v>
      </x:c>
      <x:c r="M410" s="51" t="n">
        <x:v>0</x:v>
      </x:c>
      <x:c r="N410" s="36" t="n">
        <x:v>10</x:v>
      </x:c>
      <x:c r="O410" s="44" t="str">
        <x:v>http-nio-8080-exec-20#125 | http-nio-8080-exec-28#170 | http-nio-8080-exec-30#205 | http-nio-8080-exec-31#206 | http-nio-8080-exec-32#207 | http-nio-8080-exec-33#208 | http-nio-8080-exec-34#211 | http-nio-8080-exec-35#212 | http-nio-8080-exec-37#247 | http-nio-8080-exec-38#248</x:v>
      </x:c>
      <x:c r="P410" s="36" t="n">
        <x:v>4</x:v>
      </x:c>
      <x:c r="Q410" s="44" t="str">
        <x:v>http-nio-8080-exec-34#211 | http-nio-8080-exec-35#212 | http-nio-8080-exec-37#247 | http-nio-8080-exec-38#248</x:v>
      </x:c>
      <x:c r="R410" s="36" t="n">
        <x:v>0</x:v>
      </x:c>
      <x:c r="S410" s="44"/>
      <x:c r="T410" s="36" t="n">
        <x:v>0</x:v>
      </x:c>
      <x:c r="U410" s="44"/>
      <x:c r="V410" s="36" t="n">
        <x:v>0</x:v>
      </x:c>
      <x:c r="W410" s="44"/>
      <x:c r="X410" s="34" t="str">
        <x:v>no-post-undeploy-thread-signal</x:v>
      </x:c>
      <x:c r="Y410" s="44" t="str">
        <x:v>automated signatures are JCS-specific; all other candidate application threads remain unattributed and ownership requires the archived full dump</x:v>
      </x:c>
    </x:row>
    <x:row r="411">
      <x:c r="A411" s="34" t="str">
        <x:v>article1-unified-v4-2-fb3f101b-20260903-000401-default-f04-p3-cache2k</x:v>
      </x:c>
      <x:c r="B411" s="34" t="str">
        <x:v>default</x:v>
      </x:c>
      <x:c r="C411" s="34" t="str">
        <x:v>cache2k</x:v>
      </x:c>
      <x:c r="D411" s="36" t="n">
        <x:v>4</x:v>
      </x:c>
      <x:c r="E411" s="36" t="n">
        <x:v>4</x:v>
      </x:c>
      <x:c r="F411" s="36" t="n">
        <x:v>3</x:v>
      </x:c>
      <x:c r="G411" s="36" t="n">
        <x:v>3</x:v>
      </x:c>
      <x:c r="H411" s="34" t="str">
        <x:v>firstUndeployThreadEvidenceFinal</x:v>
      </x:c>
      <x:c r="I411" s="36" t="n">
        <x:v>1</x:v>
      </x:c>
      <x:c r="J411" s="34" t="str">
        <x:v>final</x:v>
      </x:c>
      <x:c r="K411" s="36" t="n">
        <x:v>27</x:v>
      </x:c>
      <x:c r="L411" s="51" t="n">
        <x:v>0</x:v>
      </x:c>
      <x:c r="M411" s="51" t="n">
        <x:v>0</x:v>
      </x:c>
      <x:c r="N411" s="36" t="n">
        <x:v>10</x:v>
      </x:c>
      <x:c r="O411" s="44" t="str">
        <x:v>http-nio-8080-exec-20#125 | http-nio-8080-exec-28#170 | http-nio-8080-exec-30#205 | http-nio-8080-exec-31#206 | http-nio-8080-exec-32#207 | http-nio-8080-exec-33#208 | http-nio-8080-exec-34#211 | http-nio-8080-exec-37#247 | http-nio-8080-exec-38#248 | http-nio-8080-exec-39#249</x:v>
      </x:c>
      <x:c r="P411" s="36" t="n">
        <x:v>4</x:v>
      </x:c>
      <x:c r="Q411" s="44" t="str">
        <x:v>http-nio-8080-exec-34#211 | http-nio-8080-exec-37#247 | http-nio-8080-exec-38#248 | http-nio-8080-exec-39#249</x:v>
      </x:c>
      <x:c r="R411" s="36" t="n">
        <x:v>0</x:v>
      </x:c>
      <x:c r="S411" s="44"/>
      <x:c r="T411" s="36" t="n">
        <x:v>0</x:v>
      </x:c>
      <x:c r="U411" s="44"/>
      <x:c r="V411" s="36" t="n">
        <x:v>0</x:v>
      </x:c>
      <x:c r="W411" s="44"/>
      <x:c r="X411" s="34" t="str">
        <x:v>no-post-undeploy-thread-signal</x:v>
      </x:c>
      <x:c r="Y411" s="44" t="str">
        <x:v>automated signatures are JCS-specific; all other candidate application threads remain unattributed and ownership requires the archived full dump</x:v>
      </x:c>
    </x:row>
    <x:row r="412">
      <x:c r="A412" s="34" t="str">
        <x:v>article1-unified-v4-2-fb3f101b-20260903-000401-default-f04-p3-cache2k</x:v>
      </x:c>
      <x:c r="B412" s="34" t="str">
        <x:v>default</x:v>
      </x:c>
      <x:c r="C412" s="34" t="str">
        <x:v>cache2k</x:v>
      </x:c>
      <x:c r="D412" s="36" t="n">
        <x:v>4</x:v>
      </x:c>
      <x:c r="E412" s="36" t="n">
        <x:v>4</x:v>
      </x:c>
      <x:c r="F412" s="36" t="n">
        <x:v>3</x:v>
      </x:c>
      <x:c r="G412" s="36" t="n">
        <x:v>3</x:v>
      </x:c>
      <x:c r="H412" s="34" t="str">
        <x:v>finalUndeployThreadEvidenceEarly</x:v>
      </x:c>
      <x:c r="I412" s="36" t="n">
        <x:v>2</x:v>
      </x:c>
      <x:c r="J412" s="34" t="str">
        <x:v>early</x:v>
      </x:c>
      <x:c r="K412" s="36" t="n">
        <x:v>27</x:v>
      </x:c>
      <x:c r="L412" s="51" t="n">
        <x:v>0</x:v>
      </x:c>
      <x:c r="M412" s="51" t="n">
        <x:v>0</x:v>
      </x:c>
      <x:c r="N412" s="36" t="n">
        <x:v>10</x:v>
      </x:c>
      <x:c r="O412" s="44" t="str">
        <x:v>http-nio-8080-exec-33#208 | http-nio-8080-exec-34#211 | http-nio-8080-exec-37#247 | http-nio-8080-exec-38#248 | http-nio-8080-exec-39#249 | http-nio-8080-exec-41#253 | http-nio-8080-exec-42#254 | http-nio-8080-exec-43#288 | http-nio-8080-exec-44#289 | http-nio-8080-exec-45#290</x:v>
      </x:c>
      <x:c r="P412" s="36" t="n">
        <x:v>9</x:v>
      </x:c>
      <x:c r="Q412" s="44" t="str">
        <x:v>http-nio-8080-exec-34#211 | http-nio-8080-exec-37#247 | http-nio-8080-exec-38#248 | http-nio-8080-exec-39#249 | http-nio-8080-exec-41#253 | http-nio-8080-exec-42#254 | http-nio-8080-exec-43#288 | http-nio-8080-exec-44#289 | http-nio-8080-exec-45#290</x:v>
      </x:c>
      <x:c r="R412" s="36" t="n">
        <x:v>0</x:v>
      </x:c>
      <x:c r="S412" s="44"/>
      <x:c r="T412" s="36" t="n">
        <x:v>0</x:v>
      </x:c>
      <x:c r="U412" s="44"/>
      <x:c r="V412" s="36" t="n">
        <x:v>0</x:v>
      </x:c>
      <x:c r="W412" s="44"/>
      <x:c r="X412" s="34" t="str">
        <x:v>no-post-undeploy-thread-signal</x:v>
      </x:c>
      <x:c r="Y412" s="44" t="str">
        <x:v>automated signatures are JCS-specific; all other candidate application threads remain unattributed and ownership requires the archived full dump</x:v>
      </x:c>
    </x:row>
    <x:row r="413">
      <x:c r="A413" s="34" t="str">
        <x:v>article1-unified-v4-2-fb3f101b-20260903-000401-default-f04-p3-cache2k</x:v>
      </x:c>
      <x:c r="B413" s="34" t="str">
        <x:v>default</x:v>
      </x:c>
      <x:c r="C413" s="34" t="str">
        <x:v>cache2k</x:v>
      </x:c>
      <x:c r="D413" s="36" t="n">
        <x:v>4</x:v>
      </x:c>
      <x:c r="E413" s="36" t="n">
        <x:v>4</x:v>
      </x:c>
      <x:c r="F413" s="36" t="n">
        <x:v>3</x:v>
      </x:c>
      <x:c r="G413" s="36" t="n">
        <x:v>3</x:v>
      </x:c>
      <x:c r="H413" s="34" t="str">
        <x:v>finalUndeployThreadEvidenceFinal</x:v>
      </x:c>
      <x:c r="I413" s="36" t="n">
        <x:v>2</x:v>
      </x:c>
      <x:c r="J413" s="34" t="str">
        <x:v>final</x:v>
      </x:c>
      <x:c r="K413" s="36" t="n">
        <x:v>27</x:v>
      </x:c>
      <x:c r="L413" s="51" t="n">
        <x:v>0</x:v>
      </x:c>
      <x:c r="M413" s="51" t="n">
        <x:v>0</x:v>
      </x:c>
      <x:c r="N413" s="36" t="n">
        <x:v>10</x:v>
      </x:c>
      <x:c r="O413" s="44" t="str">
        <x:v>http-nio-8080-exec-34#211 | http-nio-8080-exec-37#247 | http-nio-8080-exec-38#248 | http-nio-8080-exec-39#249 | http-nio-8080-exec-41#253 | http-nio-8080-exec-42#254 | http-nio-8080-exec-43#288 | http-nio-8080-exec-44#289 | http-nio-8080-exec-45#290 | http-nio-8080-exec-46#291</x:v>
      </x:c>
      <x:c r="P413" s="36" t="n">
        <x:v>10</x:v>
      </x:c>
      <x:c r="Q413" s="44" t="str">
        <x:v>http-nio-8080-exec-34#211 | http-nio-8080-exec-37#247 | http-nio-8080-exec-38#248 | http-nio-8080-exec-39#249 | http-nio-8080-exec-41#253 | http-nio-8080-exec-42#254 | http-nio-8080-exec-43#288 | http-nio-8080-exec-44#289 | http-nio-8080-exec-45#290 | http-nio-8080-exec-46#291</x:v>
      </x:c>
      <x:c r="R413" s="36" t="n">
        <x:v>0</x:v>
      </x:c>
      <x:c r="S413" s="44"/>
      <x:c r="T413" s="36" t="n">
        <x:v>0</x:v>
      </x:c>
      <x:c r="U413" s="44"/>
      <x:c r="V413" s="36" t="n">
        <x:v>0</x:v>
      </x:c>
      <x:c r="W413" s="44"/>
      <x:c r="X413" s="34" t="str">
        <x:v>no-post-undeploy-thread-signal</x:v>
      </x:c>
      <x:c r="Y413" s="44" t="str">
        <x:v>automated signatures are JCS-specific; all other candidate application threads remain unattributed and ownership requires the archived full dump</x:v>
      </x:c>
    </x:row>
    <x:row r="414">
      <x:c r="A414" s="34" t="str">
        <x:v>article1-unified-v4-2-fb3f101b-20260903-000401-default-f04-p3-cache2k</x:v>
      </x:c>
      <x:c r="B414" s="34" t="str">
        <x:v>default</x:v>
      </x:c>
      <x:c r="C414" s="34" t="str">
        <x:v>cache2k</x:v>
      </x:c>
      <x:c r="D414" s="36" t="n">
        <x:v>4</x:v>
      </x:c>
      <x:c r="E414" s="36" t="n">
        <x:v>4</x:v>
      </x:c>
      <x:c r="F414" s="36" t="n">
        <x:v>3</x:v>
      </x:c>
      <x:c r="G414" s="36" t="n">
        <x:v>4</x:v>
      </x:c>
      <x:c r="H414" s="34" t="str">
        <x:v>firstUndeployThreadEvidenceEarly</x:v>
      </x:c>
      <x:c r="I414" s="36" t="n">
        <x:v>1</x:v>
      </x:c>
      <x:c r="J414" s="34" t="str">
        <x:v>early</x:v>
      </x:c>
      <x:c r="K414" s="36" t="n">
        <x:v>27</x:v>
      </x:c>
      <x:c r="L414" s="51" t="n">
        <x:v>0</x:v>
      </x:c>
      <x:c r="M414" s="51" t="n">
        <x:v>0</x:v>
      </x:c>
      <x:c r="N414" s="36" t="n">
        <x:v>10</x:v>
      </x:c>
      <x:c r="O414" s="44" t="str">
        <x:v>http-nio-8080-exec-41#253 | http-nio-8080-exec-42#254 | http-nio-8080-exec-44#289 | http-nio-8080-exec-45#290 | http-nio-8080-exec-46#291 | http-nio-8080-exec-47#294 | http-nio-8080-exec-48#295 | http-nio-8080-exec-49#329 | http-nio-8080-exec-50#330 | http-nio-8080-exec-51#331</x:v>
      </x:c>
      <x:c r="P414" s="36" t="n">
        <x:v>5</x:v>
      </x:c>
      <x:c r="Q414" s="44" t="str">
        <x:v>http-nio-8080-exec-47#294 | http-nio-8080-exec-48#295 | http-nio-8080-exec-49#329 | http-nio-8080-exec-50#330 | http-nio-8080-exec-51#331</x:v>
      </x:c>
      <x:c r="R414" s="36" t="n">
        <x:v>0</x:v>
      </x:c>
      <x:c r="S414" s="44"/>
      <x:c r="T414" s="36" t="n">
        <x:v>0</x:v>
      </x:c>
      <x:c r="U414" s="44"/>
      <x:c r="V414" s="36" t="n">
        <x:v>0</x:v>
      </x:c>
      <x:c r="W414" s="44"/>
      <x:c r="X414" s="34" t="str">
        <x:v>no-post-undeploy-thread-signal</x:v>
      </x:c>
      <x:c r="Y414" s="44" t="str">
        <x:v>automated signatures are JCS-specific; all other candidate application threads remain unattributed and ownership requires the archived full dump</x:v>
      </x:c>
    </x:row>
    <x:row r="415">
      <x:c r="A415" s="34" t="str">
        <x:v>article1-unified-v4-2-fb3f101b-20260903-000401-default-f04-p3-cache2k</x:v>
      </x:c>
      <x:c r="B415" s="34" t="str">
        <x:v>default</x:v>
      </x:c>
      <x:c r="C415" s="34" t="str">
        <x:v>cache2k</x:v>
      </x:c>
      <x:c r="D415" s="36" t="n">
        <x:v>4</x:v>
      </x:c>
      <x:c r="E415" s="36" t="n">
        <x:v>4</x:v>
      </x:c>
      <x:c r="F415" s="36" t="n">
        <x:v>3</x:v>
      </x:c>
      <x:c r="G415" s="36" t="n">
        <x:v>4</x:v>
      </x:c>
      <x:c r="H415" s="34" t="str">
        <x:v>firstUndeployThreadEvidenceFinal</x:v>
      </x:c>
      <x:c r="I415" s="36" t="n">
        <x:v>1</x:v>
      </x:c>
      <x:c r="J415" s="34" t="str">
        <x:v>final</x:v>
      </x:c>
      <x:c r="K415" s="36" t="n">
        <x:v>27</x:v>
      </x:c>
      <x:c r="L415" s="51" t="n">
        <x:v>0</x:v>
      </x:c>
      <x:c r="M415" s="51" t="n">
        <x:v>0</x:v>
      </x:c>
      <x:c r="N415" s="36" t="n">
        <x:v>10</x:v>
      </x:c>
      <x:c r="O415" s="44" t="str">
        <x:v>http-nio-8080-exec-41#253 | http-nio-8080-exec-42#254 | http-nio-8080-exec-44#289 | http-nio-8080-exec-46#291 | http-nio-8080-exec-47#294 | http-nio-8080-exec-48#295 | http-nio-8080-exec-49#329 | http-nio-8080-exec-50#330 | http-nio-8080-exec-51#331 | http-nio-8080-exec-52#332</x:v>
      </x:c>
      <x:c r="P415" s="36" t="n">
        <x:v>6</x:v>
      </x:c>
      <x:c r="Q415" s="44" t="str">
        <x:v>http-nio-8080-exec-47#294 | http-nio-8080-exec-48#295 | http-nio-8080-exec-49#329 | http-nio-8080-exec-50#330 | http-nio-8080-exec-51#331 | http-nio-8080-exec-52#332</x:v>
      </x:c>
      <x:c r="R415" s="36" t="n">
        <x:v>0</x:v>
      </x:c>
      <x:c r="S415" s="44"/>
      <x:c r="T415" s="36" t="n">
        <x:v>0</x:v>
      </x:c>
      <x:c r="U415" s="44"/>
      <x:c r="V415" s="36" t="n">
        <x:v>0</x:v>
      </x:c>
      <x:c r="W415" s="44"/>
      <x:c r="X415" s="34" t="str">
        <x:v>no-post-undeploy-thread-signal</x:v>
      </x:c>
      <x:c r="Y415" s="44" t="str">
        <x:v>automated signatures are JCS-specific; all other candidate application threads remain unattributed and ownership requires the archived full dump</x:v>
      </x:c>
    </x:row>
    <x:row r="416">
      <x:c r="A416" s="34" t="str">
        <x:v>article1-unified-v4-2-fb3f101b-20260903-000401-default-f04-p3-cache2k</x:v>
      </x:c>
      <x:c r="B416" s="34" t="str">
        <x:v>default</x:v>
      </x:c>
      <x:c r="C416" s="34" t="str">
        <x:v>cache2k</x:v>
      </x:c>
      <x:c r="D416" s="36" t="n">
        <x:v>4</x:v>
      </x:c>
      <x:c r="E416" s="36" t="n">
        <x:v>4</x:v>
      </x:c>
      <x:c r="F416" s="36" t="n">
        <x:v>3</x:v>
      </x:c>
      <x:c r="G416" s="36" t="n">
        <x:v>4</x:v>
      </x:c>
      <x:c r="H416" s="34" t="str">
        <x:v>finalUndeployThreadEvidenceEarly</x:v>
      </x:c>
      <x:c r="I416" s="36" t="n">
        <x:v>2</x:v>
      </x:c>
      <x:c r="J416" s="34" t="str">
        <x:v>early</x:v>
      </x:c>
      <x:c r="K416" s="36" t="n">
        <x:v>27</x:v>
      </x:c>
      <x:c r="L416" s="51" t="n">
        <x:v>0</x:v>
      </x:c>
      <x:c r="M416" s="51" t="n">
        <x:v>0</x:v>
      </x:c>
      <x:c r="N416" s="36" t="n">
        <x:v>10</x:v>
      </x:c>
      <x:c r="O416" s="44" t="str">
        <x:v>http-nio-8080-exec-42#254 | http-nio-8080-exec-44#289 | http-nio-8080-exec-50#330 | http-nio-8080-exec-51#331 | http-nio-8080-exec-52#332 | http-nio-8080-exec-53#335 | http-nio-8080-exec-55#337 | http-nio-8080-exec-56#371 | http-nio-8080-exec-57#372 | http-nio-8080-exec-58#373</x:v>
      </x:c>
      <x:c r="P416" s="36" t="n">
        <x:v>8</x:v>
      </x:c>
      <x:c r="Q416" s="44" t="str">
        <x:v>http-nio-8080-exec-50#330 | http-nio-8080-exec-51#331 | http-nio-8080-exec-52#332 | http-nio-8080-exec-53#335 | http-nio-8080-exec-55#337 | http-nio-8080-exec-56#371 | http-nio-8080-exec-57#372 | http-nio-8080-exec-58#373</x:v>
      </x:c>
      <x:c r="R416" s="36" t="n">
        <x:v>0</x:v>
      </x:c>
      <x:c r="S416" s="44"/>
      <x:c r="T416" s="36" t="n">
        <x:v>0</x:v>
      </x:c>
      <x:c r="U416" s="44"/>
      <x:c r="V416" s="36" t="n">
        <x:v>0</x:v>
      </x:c>
      <x:c r="W416" s="44"/>
      <x:c r="X416" s="34" t="str">
        <x:v>no-post-undeploy-thread-signal</x:v>
      </x:c>
      <x:c r="Y416" s="44" t="str">
        <x:v>automated signatures are JCS-specific; all other candidate application threads remain unattributed and ownership requires the archived full dump</x:v>
      </x:c>
    </x:row>
    <x:row r="417">
      <x:c r="A417" s="34" t="str">
        <x:v>article1-unified-v4-2-fb3f101b-20260903-000401-default-f04-p3-cache2k</x:v>
      </x:c>
      <x:c r="B417" s="34" t="str">
        <x:v>default</x:v>
      </x:c>
      <x:c r="C417" s="34" t="str">
        <x:v>cache2k</x:v>
      </x:c>
      <x:c r="D417" s="36" t="n">
        <x:v>4</x:v>
      </x:c>
      <x:c r="E417" s="36" t="n">
        <x:v>4</x:v>
      </x:c>
      <x:c r="F417" s="36" t="n">
        <x:v>3</x:v>
      </x:c>
      <x:c r="G417" s="36" t="n">
        <x:v>4</x:v>
      </x:c>
      <x:c r="H417" s="34" t="str">
        <x:v>finalUndeployThreadEvidenceFinal</x:v>
      </x:c>
      <x:c r="I417" s="36" t="n">
        <x:v>2</x:v>
      </x:c>
      <x:c r="J417" s="34" t="str">
        <x:v>final</x:v>
      </x:c>
      <x:c r="K417" s="36" t="n">
        <x:v>27</x:v>
      </x:c>
      <x:c r="L417" s="51" t="n">
        <x:v>0</x:v>
      </x:c>
      <x:c r="M417" s="51" t="n">
        <x:v>0</x:v>
      </x:c>
      <x:c r="N417" s="36" t="n">
        <x:v>10</x:v>
      </x:c>
      <x:c r="O417" s="44" t="str">
        <x:v>http-nio-8080-exec-44#289 | http-nio-8080-exec-50#330 | http-nio-8080-exec-51#331 | http-nio-8080-exec-52#332 | http-nio-8080-exec-53#335 | http-nio-8080-exec-55#337 | http-nio-8080-exec-56#371 | http-nio-8080-exec-57#372 | http-nio-8080-exec-58#373 | http-nio-8080-exec-59#374</x:v>
      </x:c>
      <x:c r="P417" s="36" t="n">
        <x:v>9</x:v>
      </x:c>
      <x:c r="Q417" s="44" t="str">
        <x:v>http-nio-8080-exec-50#330 | http-nio-8080-exec-51#331 | http-nio-8080-exec-52#332 | http-nio-8080-exec-53#335 | http-nio-8080-exec-55#337 | http-nio-8080-exec-56#371 | http-nio-8080-exec-57#372 | http-nio-8080-exec-58#373 | http-nio-8080-exec-59#374</x:v>
      </x:c>
      <x:c r="R417" s="36" t="n">
        <x:v>0</x:v>
      </x:c>
      <x:c r="S417" s="44"/>
      <x:c r="T417" s="36" t="n">
        <x:v>0</x:v>
      </x:c>
      <x:c r="U417" s="44"/>
      <x:c r="V417" s="36" t="n">
        <x:v>0</x:v>
      </x:c>
      <x:c r="W417" s="44"/>
      <x:c r="X417" s="34" t="str">
        <x:v>no-post-undeploy-thread-signal</x:v>
      </x:c>
      <x:c r="Y417" s="44" t="str">
        <x:v>automated signatures are JCS-specific; all other candidate application threads remain unattributed and ownership requires the archived full dump</x:v>
      </x:c>
    </x:row>
    <x:row r="418">
      <x:c r="A418" s="34" t="str">
        <x:v>article1-unified-v4-2-fb3f101b-20260903-000401-default-f04-p3-cache2k</x:v>
      </x:c>
      <x:c r="B418" s="34" t="str">
        <x:v>default</x:v>
      </x:c>
      <x:c r="C418" s="34" t="str">
        <x:v>cache2k</x:v>
      </x:c>
      <x:c r="D418" s="36" t="n">
        <x:v>4</x:v>
      </x:c>
      <x:c r="E418" s="36" t="n">
        <x:v>4</x:v>
      </x:c>
      <x:c r="F418" s="36" t="n">
        <x:v>3</x:v>
      </x:c>
      <x:c r="G418" s="36" t="n">
        <x:v>5</x:v>
      </x:c>
      <x:c r="H418" s="34" t="str">
        <x:v>firstUndeployThreadEvidenceEarly</x:v>
      </x:c>
      <x:c r="I418" s="36" t="n">
        <x:v>1</x:v>
      </x:c>
      <x:c r="J418" s="34" t="str">
        <x:v>early</x:v>
      </x:c>
      <x:c r="K418" s="36" t="n">
        <x:v>27</x:v>
      </x:c>
      <x:c r="L418" s="51" t="n">
        <x:v>0</x:v>
      </x:c>
      <x:c r="M418" s="51" t="n">
        <x:v>0</x:v>
      </x:c>
      <x:c r="N418" s="36" t="n">
        <x:v>10</x:v>
      </x:c>
      <x:c r="O418" s="44" t="str">
        <x:v>http-nio-8080-exec-44#289 | http-nio-8080-exec-56#371 | http-nio-8080-exec-57#372 | http-nio-8080-exec-58#373 | http-nio-8080-exec-59#374 | http-nio-8080-exec-60#377 | http-nio-8080-exec-61#378 | http-nio-8080-exec-62#412 | http-nio-8080-exec-63#413 | http-nio-8080-exec-64#414</x:v>
      </x:c>
      <x:c r="P418" s="36" t="n">
        <x:v>5</x:v>
      </x:c>
      <x:c r="Q418" s="44" t="str">
        <x:v>http-nio-8080-exec-60#377 | http-nio-8080-exec-61#378 | http-nio-8080-exec-62#412 | http-nio-8080-exec-63#413 | http-nio-8080-exec-64#414</x:v>
      </x:c>
      <x:c r="R418" s="36" t="n">
        <x:v>0</x:v>
      </x:c>
      <x:c r="S418" s="44"/>
      <x:c r="T418" s="36" t="n">
        <x:v>0</x:v>
      </x:c>
      <x:c r="U418" s="44"/>
      <x:c r="V418" s="36" t="n">
        <x:v>0</x:v>
      </x:c>
      <x:c r="W418" s="44"/>
      <x:c r="X418" s="34" t="str">
        <x:v>no-post-undeploy-thread-signal</x:v>
      </x:c>
      <x:c r="Y418" s="44" t="str">
        <x:v>automated signatures are JCS-specific; all other candidate application threads remain unattributed and ownership requires the archived full dump</x:v>
      </x:c>
    </x:row>
    <x:row r="419">
      <x:c r="A419" s="34" t="str">
        <x:v>article1-unified-v4-2-fb3f101b-20260903-000401-default-f04-p3-cache2k</x:v>
      </x:c>
      <x:c r="B419" s="34" t="str">
        <x:v>default</x:v>
      </x:c>
      <x:c r="C419" s="34" t="str">
        <x:v>cache2k</x:v>
      </x:c>
      <x:c r="D419" s="36" t="n">
        <x:v>4</x:v>
      </x:c>
      <x:c r="E419" s="36" t="n">
        <x:v>4</x:v>
      </x:c>
      <x:c r="F419" s="36" t="n">
        <x:v>3</x:v>
      </x:c>
      <x:c r="G419" s="36" t="n">
        <x:v>5</x:v>
      </x:c>
      <x:c r="H419" s="34" t="str">
        <x:v>firstUndeployThreadEvidenceFinal</x:v>
      </x:c>
      <x:c r="I419" s="36" t="n">
        <x:v>1</x:v>
      </x:c>
      <x:c r="J419" s="34" t="str">
        <x:v>final</x:v>
      </x:c>
      <x:c r="K419" s="36" t="n">
        <x:v>27</x:v>
      </x:c>
      <x:c r="L419" s="51" t="n">
        <x:v>0</x:v>
      </x:c>
      <x:c r="M419" s="51" t="n">
        <x:v>0</x:v>
      </x:c>
      <x:c r="N419" s="36" t="n">
        <x:v>10</x:v>
      </x:c>
      <x:c r="O419" s="44" t="str">
        <x:v>http-nio-8080-exec-56#371 | http-nio-8080-exec-57#372 | http-nio-8080-exec-58#373 | http-nio-8080-exec-59#374 | http-nio-8080-exec-60#377 | http-nio-8080-exec-61#378 | http-nio-8080-exec-62#412 | http-nio-8080-exec-63#413 | http-nio-8080-exec-64#414 | http-nio-8080-exec-65#415</x:v>
      </x:c>
      <x:c r="P419" s="36" t="n">
        <x:v>6</x:v>
      </x:c>
      <x:c r="Q419" s="44" t="str">
        <x:v>http-nio-8080-exec-60#377 | http-nio-8080-exec-61#378 | http-nio-8080-exec-62#412 | http-nio-8080-exec-63#413 | http-nio-8080-exec-64#414 | http-nio-8080-exec-65#415</x:v>
      </x:c>
      <x:c r="R419" s="36" t="n">
        <x:v>0</x:v>
      </x:c>
      <x:c r="S419" s="44"/>
      <x:c r="T419" s="36" t="n">
        <x:v>0</x:v>
      </x:c>
      <x:c r="U419" s="44"/>
      <x:c r="V419" s="36" t="n">
        <x:v>0</x:v>
      </x:c>
      <x:c r="W419" s="44"/>
      <x:c r="X419" s="34" t="str">
        <x:v>no-post-undeploy-thread-signal</x:v>
      </x:c>
      <x:c r="Y419" s="44" t="str">
        <x:v>automated signatures are JCS-specific; all other candidate application threads remain unattributed and ownership requires the archived full dump</x:v>
      </x:c>
    </x:row>
    <x:row r="420">
      <x:c r="A420" s="34" t="str">
        <x:v>article1-unified-v4-2-fb3f101b-20260903-000401-default-f04-p3-cache2k</x:v>
      </x:c>
      <x:c r="B420" s="34" t="str">
        <x:v>default</x:v>
      </x:c>
      <x:c r="C420" s="34" t="str">
        <x:v>cache2k</x:v>
      </x:c>
      <x:c r="D420" s="36" t="n">
        <x:v>4</x:v>
      </x:c>
      <x:c r="E420" s="36" t="n">
        <x:v>4</x:v>
      </x:c>
      <x:c r="F420" s="36" t="n">
        <x:v>3</x:v>
      </x:c>
      <x:c r="G420" s="36" t="n">
        <x:v>5</x:v>
      </x:c>
      <x:c r="H420" s="34" t="str">
        <x:v>finalUndeployThreadEvidenceEarly</x:v>
      </x:c>
      <x:c r="I420" s="36" t="n">
        <x:v>2</x:v>
      </x:c>
      <x:c r="J420" s="34" t="str">
        <x:v>early</x:v>
      </x:c>
      <x:c r="K420" s="36" t="n">
        <x:v>27</x:v>
      </x:c>
      <x:c r="L420" s="51" t="n">
        <x:v>0</x:v>
      </x:c>
      <x:c r="M420" s="51" t="n">
        <x:v>0</x:v>
      </x:c>
      <x:c r="N420" s="36" t="n">
        <x:v>10</x:v>
      </x:c>
      <x:c r="O420" s="44" t="str">
        <x:v>http-nio-8080-exec-61#378 | http-nio-8080-exec-62#412 | http-nio-8080-exec-63#413 | http-nio-8080-exec-64#414 | http-nio-8080-exec-65#415 | http-nio-8080-exec-66#418 | http-nio-8080-exec-67#419 | http-nio-8080-exec-69#454 | http-nio-8080-exec-70#455 | http-nio-8080-exec-71#456</x:v>
      </x:c>
      <x:c r="P420" s="36" t="n">
        <x:v>10</x:v>
      </x:c>
      <x:c r="Q420" s="44" t="str">
        <x:v>http-nio-8080-exec-61#378 | http-nio-8080-exec-62#412 | http-nio-8080-exec-63#413 | http-nio-8080-exec-64#414 | http-nio-8080-exec-65#415 | http-nio-8080-exec-66#418 | http-nio-8080-exec-67#419 | http-nio-8080-exec-69#454 | http-nio-8080-exec-70#455 | http-nio-8080-exec-71#456</x:v>
      </x:c>
      <x:c r="R420" s="36" t="n">
        <x:v>0</x:v>
      </x:c>
      <x:c r="S420" s="44"/>
      <x:c r="T420" s="36" t="n">
        <x:v>0</x:v>
      </x:c>
      <x:c r="U420" s="44"/>
      <x:c r="V420" s="36" t="n">
        <x:v>0</x:v>
      </x:c>
      <x:c r="W420" s="44"/>
      <x:c r="X420" s="34" t="str">
        <x:v>no-post-undeploy-thread-signal</x:v>
      </x:c>
      <x:c r="Y420" s="44" t="str">
        <x:v>automated signatures are JCS-specific; all other candidate application threads remain unattributed and ownership requires the archived full dump</x:v>
      </x:c>
    </x:row>
    <x:row r="421">
      <x:c r="A421" s="34" t="str">
        <x:v>article1-unified-v4-2-fb3f101b-20260903-000401-default-f04-p3-cache2k</x:v>
      </x:c>
      <x:c r="B421" s="34" t="str">
        <x:v>default</x:v>
      </x:c>
      <x:c r="C421" s="34" t="str">
        <x:v>cache2k</x:v>
      </x:c>
      <x:c r="D421" s="36" t="n">
        <x:v>4</x:v>
      </x:c>
      <x:c r="E421" s="36" t="n">
        <x:v>4</x:v>
      </x:c>
      <x:c r="F421" s="36" t="n">
        <x:v>3</x:v>
      </x:c>
      <x:c r="G421" s="36" t="n">
        <x:v>5</x:v>
      </x:c>
      <x:c r="H421" s="34" t="str">
        <x:v>finalUndeployThreadEvidenceFinal</x:v>
      </x:c>
      <x:c r="I421" s="36" t="n">
        <x:v>2</x:v>
      </x:c>
      <x:c r="J421" s="34" t="str">
        <x:v>final</x:v>
      </x:c>
      <x:c r="K421" s="36" t="n">
        <x:v>27</x:v>
      </x:c>
      <x:c r="L421" s="51" t="n">
        <x:v>0</x:v>
      </x:c>
      <x:c r="M421" s="51" t="n">
        <x:v>0</x:v>
      </x:c>
      <x:c r="N421" s="36" t="n">
        <x:v>10</x:v>
      </x:c>
      <x:c r="O421" s="44" t="str">
        <x:v>http-nio-8080-exec-61#378 | http-nio-8080-exec-62#412 | http-nio-8080-exec-63#413 | http-nio-8080-exec-64#414 | http-nio-8080-exec-65#415 | http-nio-8080-exec-67#419 | http-nio-8080-exec-69#454 | http-nio-8080-exec-70#455 | http-nio-8080-exec-71#456 | http-nio-8080-exec-72#457</x:v>
      </x:c>
      <x:c r="P421" s="36" t="n">
        <x:v>10</x:v>
      </x:c>
      <x:c r="Q421" s="44" t="str">
        <x:v>http-nio-8080-exec-61#378 | http-nio-8080-exec-62#412 | http-nio-8080-exec-63#413 | http-nio-8080-exec-64#414 | http-nio-8080-exec-65#415 | http-nio-8080-exec-67#419 | http-nio-8080-exec-69#454 | http-nio-8080-exec-70#455 | http-nio-8080-exec-71#456 | http-nio-8080-exec-72#457</x:v>
      </x:c>
      <x:c r="R421" s="36" t="n">
        <x:v>0</x:v>
      </x:c>
      <x:c r="S421" s="44"/>
      <x:c r="T421" s="36" t="n">
        <x:v>0</x:v>
      </x:c>
      <x:c r="U421" s="44"/>
      <x:c r="V421" s="36" t="n">
        <x:v>0</x:v>
      </x:c>
      <x:c r="W421" s="44"/>
      <x:c r="X421" s="34" t="str">
        <x:v>no-post-undeploy-thread-signal</x:v>
      </x:c>
      <x:c r="Y421" s="44" t="str">
        <x:v>automated signatures are JCS-specific; all other candidate application threads remain unattributed and ownership requires the archived full dump</x:v>
      </x:c>
    </x:row>
    <x:row r="422">
      <x:c r="A422" s="34" t="str">
        <x:v>article1-unified-v4-2-fb3f101b-20260903-000401-default-f04-p4-nostore</x:v>
      </x:c>
      <x:c r="B422" s="34" t="str">
        <x:v>default</x:v>
      </x:c>
      <x:c r="C422" s="34" t="str">
        <x:v>nostore</x:v>
      </x:c>
      <x:c r="D422" s="36" t="n">
        <x:v>4</x:v>
      </x:c>
      <x:c r="E422" s="36" t="n">
        <x:v>4</x:v>
      </x:c>
      <x:c r="F422" s="36" t="n">
        <x:v>4</x:v>
      </x:c>
      <x:c r="G422" s="36" t="n">
        <x:v>1</x:v>
      </x:c>
      <x:c r="H422" s="34" t="str">
        <x:v>firstUndeployThreadEvidenceEarly</x:v>
      </x:c>
      <x:c r="I422" s="36" t="n">
        <x:v>1</x:v>
      </x:c>
      <x:c r="J422" s="34" t="str">
        <x:v>early</x:v>
      </x:c>
      <x:c r="K422" s="36" t="n">
        <x:v>27</x:v>
      </x:c>
      <x:c r="L422" s="51" t="n">
        <x:v>0</x:v>
      </x:c>
      <x:c r="M422" s="51" t="n">
        <x:v>0</x:v>
      </x:c>
      <x:c r="N422" s="36" t="n">
        <x:v>2</x:v>
      </x:c>
      <x:c r="O422" s="44" t="str">
        <x:v>http-nio-8080-exec-11#80 | http-nio-8080-exec-12#81</x:v>
      </x:c>
      <x:c r="P422" s="36" t="n">
        <x:v>2</x:v>
      </x:c>
      <x:c r="Q422" s="44" t="str">
        <x:v>http-nio-8080-exec-11#80 | http-nio-8080-exec-12#81</x:v>
      </x:c>
      <x:c r="R422" s="36" t="n">
        <x:v>0</x:v>
      </x:c>
      <x:c r="S422" s="44"/>
      <x:c r="T422" s="36" t="n">
        <x:v>0</x:v>
      </x:c>
      <x:c r="U422" s="44"/>
      <x:c r="V422" s="36" t="n">
        <x:v>0</x:v>
      </x:c>
      <x:c r="W422" s="44"/>
      <x:c r="X422" s="34" t="str">
        <x:v>no-post-undeploy-thread-signal</x:v>
      </x:c>
      <x:c r="Y422" s="44" t="str">
        <x:v>automated signatures are JCS-specific; all other candidate application threads remain unattributed and ownership requires the archived full dump</x:v>
      </x:c>
    </x:row>
    <x:row r="423">
      <x:c r="A423" s="34" t="str">
        <x:v>article1-unified-v4-2-fb3f101b-20260903-000401-default-f04-p4-nostore</x:v>
      </x:c>
      <x:c r="B423" s="34" t="str">
        <x:v>default</x:v>
      </x:c>
      <x:c r="C423" s="34" t="str">
        <x:v>nostore</x:v>
      </x:c>
      <x:c r="D423" s="36" t="n">
        <x:v>4</x:v>
      </x:c>
      <x:c r="E423" s="36" t="n">
        <x:v>4</x:v>
      </x:c>
      <x:c r="F423" s="36" t="n">
        <x:v>4</x:v>
      </x:c>
      <x:c r="G423" s="36" t="n">
        <x:v>1</x:v>
      </x:c>
      <x:c r="H423" s="34" t="str">
        <x:v>firstUndeployThreadEvidenceFinal</x:v>
      </x:c>
      <x:c r="I423" s="36" t="n">
        <x:v>1</x:v>
      </x:c>
      <x:c r="J423" s="34" t="str">
        <x:v>final</x:v>
      </x:c>
      <x:c r="K423" s="36" t="n">
        <x:v>27</x:v>
      </x:c>
      <x:c r="L423" s="51" t="n">
        <x:v>0</x:v>
      </x:c>
      <x:c r="M423" s="51" t="n">
        <x:v>0</x:v>
      </x:c>
      <x:c r="N423" s="36" t="n">
        <x:v>3</x:v>
      </x:c>
      <x:c r="O423" s="44" t="str">
        <x:v>http-nio-8080-exec-11#80 | http-nio-8080-exec-12#81 | http-nio-8080-exec-13#82</x:v>
      </x:c>
      <x:c r="P423" s="36" t="n">
        <x:v>3</x:v>
      </x:c>
      <x:c r="Q423" s="44" t="str">
        <x:v>http-nio-8080-exec-11#80 | http-nio-8080-exec-12#81 | http-nio-8080-exec-13#82</x:v>
      </x:c>
      <x:c r="R423" s="36" t="n">
        <x:v>0</x:v>
      </x:c>
      <x:c r="S423" s="44"/>
      <x:c r="T423" s="36" t="n">
        <x:v>0</x:v>
      </x:c>
      <x:c r="U423" s="44"/>
      <x:c r="V423" s="36" t="n">
        <x:v>0</x:v>
      </x:c>
      <x:c r="W423" s="44"/>
      <x:c r="X423" s="34" t="str">
        <x:v>no-post-undeploy-thread-signal</x:v>
      </x:c>
      <x:c r="Y423" s="44" t="str">
        <x:v>automated signatures are JCS-specific; all other candidate application threads remain unattributed and ownership requires the archived full dump</x:v>
      </x:c>
    </x:row>
    <x:row r="424">
      <x:c r="A424" s="34" t="str">
        <x:v>article1-unified-v4-2-fb3f101b-20260903-000401-default-f04-p4-nostore</x:v>
      </x:c>
      <x:c r="B424" s="34" t="str">
        <x:v>default</x:v>
      </x:c>
      <x:c r="C424" s="34" t="str">
        <x:v>nostore</x:v>
      </x:c>
      <x:c r="D424" s="36" t="n">
        <x:v>4</x:v>
      </x:c>
      <x:c r="E424" s="36" t="n">
        <x:v>4</x:v>
      </x:c>
      <x:c r="F424" s="36" t="n">
        <x:v>4</x:v>
      </x:c>
      <x:c r="G424" s="36" t="n">
        <x:v>1</x:v>
      </x:c>
      <x:c r="H424" s="34" t="str">
        <x:v>finalUndeployThreadEvidenceEarly</x:v>
      </x:c>
      <x:c r="I424" s="36" t="n">
        <x:v>2</x:v>
      </x:c>
      <x:c r="J424" s="34" t="str">
        <x:v>early</x:v>
      </x:c>
      <x:c r="K424" s="36" t="n">
        <x:v>27</x:v>
      </x:c>
      <x:c r="L424" s="51" t="n">
        <x:v>0</x:v>
      </x:c>
      <x:c r="M424" s="51" t="n">
        <x:v>0</x:v>
      </x:c>
      <x:c r="N424" s="36" t="n">
        <x:v>8</x:v>
      </x:c>
      <x:c r="O424" s="44" t="str">
        <x:v>http-nio-8080-exec-11#80 | http-nio-8080-exec-12#81 | http-nio-8080-exec-13#82 | http-nio-8080-exec-14#85 | http-nio-8080-exec-16#87 | http-nio-8080-exec-17#120 | http-nio-8080-exec-18#121 | http-nio-8080-exec-19#122</x:v>
      </x:c>
      <x:c r="P424" s="36" t="n">
        <x:v>8</x:v>
      </x:c>
      <x:c r="Q424" s="44" t="str">
        <x:v>http-nio-8080-exec-11#80 | http-nio-8080-exec-12#81 | http-nio-8080-exec-13#82 | http-nio-8080-exec-14#85 | http-nio-8080-exec-16#87 | http-nio-8080-exec-17#120 | http-nio-8080-exec-18#121 | http-nio-8080-exec-19#122</x:v>
      </x:c>
      <x:c r="R424" s="36" t="n">
        <x:v>0</x:v>
      </x:c>
      <x:c r="S424" s="44"/>
      <x:c r="T424" s="36" t="n">
        <x:v>0</x:v>
      </x:c>
      <x:c r="U424" s="44"/>
      <x:c r="V424" s="36" t="n">
        <x:v>0</x:v>
      </x:c>
      <x:c r="W424" s="44"/>
      <x:c r="X424" s="34" t="str">
        <x:v>no-post-undeploy-thread-signal</x:v>
      </x:c>
      <x:c r="Y424" s="44" t="str">
        <x:v>automated signatures are JCS-specific; all other candidate application threads remain unattributed and ownership requires the archived full dump</x:v>
      </x:c>
    </x:row>
    <x:row r="425">
      <x:c r="A425" s="34" t="str">
        <x:v>article1-unified-v4-2-fb3f101b-20260903-000401-default-f04-p4-nostore</x:v>
      </x:c>
      <x:c r="B425" s="34" t="str">
        <x:v>default</x:v>
      </x:c>
      <x:c r="C425" s="34" t="str">
        <x:v>nostore</x:v>
      </x:c>
      <x:c r="D425" s="36" t="n">
        <x:v>4</x:v>
      </x:c>
      <x:c r="E425" s="36" t="n">
        <x:v>4</x:v>
      </x:c>
      <x:c r="F425" s="36" t="n">
        <x:v>4</x:v>
      </x:c>
      <x:c r="G425" s="36" t="n">
        <x:v>1</x:v>
      </x:c>
      <x:c r="H425" s="34" t="str">
        <x:v>finalUndeployThreadEvidenceFinal</x:v>
      </x:c>
      <x:c r="I425" s="36" t="n">
        <x:v>2</x:v>
      </x:c>
      <x:c r="J425" s="34" t="str">
        <x:v>final</x:v>
      </x:c>
      <x:c r="K425" s="36" t="n">
        <x:v>27</x:v>
      </x:c>
      <x:c r="L425" s="51" t="n">
        <x:v>0</x:v>
      </x:c>
      <x:c r="M425" s="51" t="n">
        <x:v>0</x:v>
      </x:c>
      <x:c r="N425" s="36" t="n">
        <x:v>8</x:v>
      </x:c>
      <x:c r="O425" s="44" t="str">
        <x:v>http-nio-8080-exec-11#80 | http-nio-8080-exec-12#81 | http-nio-8080-exec-14#85 | http-nio-8080-exec-16#87 | http-nio-8080-exec-17#120 | http-nio-8080-exec-18#121 | http-nio-8080-exec-19#122 | http-nio-8080-exec-20#123</x:v>
      </x:c>
      <x:c r="P425" s="36" t="n">
        <x:v>8</x:v>
      </x:c>
      <x:c r="Q425" s="44" t="str">
        <x:v>http-nio-8080-exec-11#80 | http-nio-8080-exec-12#81 | http-nio-8080-exec-14#85 | http-nio-8080-exec-16#87 | http-nio-8080-exec-17#120 | http-nio-8080-exec-18#121 | http-nio-8080-exec-19#122 | http-nio-8080-exec-20#123</x:v>
      </x:c>
      <x:c r="R425" s="36" t="n">
        <x:v>0</x:v>
      </x:c>
      <x:c r="S425" s="44"/>
      <x:c r="T425" s="36" t="n">
        <x:v>0</x:v>
      </x:c>
      <x:c r="U425" s="44"/>
      <x:c r="V425" s="36" t="n">
        <x:v>0</x:v>
      </x:c>
      <x:c r="W425" s="44"/>
      <x:c r="X425" s="34" t="str">
        <x:v>no-post-undeploy-thread-signal</x:v>
      </x:c>
      <x:c r="Y425" s="44" t="str">
        <x:v>automated signatures are JCS-specific; all other candidate application threads remain unattributed and ownership requires the archived full dump</x:v>
      </x:c>
    </x:row>
    <x:row r="426">
      <x:c r="A426" s="34" t="str">
        <x:v>article1-unified-v4-2-fb3f101b-20260903-000401-default-f04-p4-nostore</x:v>
      </x:c>
      <x:c r="B426" s="34" t="str">
        <x:v>default</x:v>
      </x:c>
      <x:c r="C426" s="34" t="str">
        <x:v>nostore</x:v>
      </x:c>
      <x:c r="D426" s="36" t="n">
        <x:v>4</x:v>
      </x:c>
      <x:c r="E426" s="36" t="n">
        <x:v>4</x:v>
      </x:c>
      <x:c r="F426" s="36" t="n">
        <x:v>4</x:v>
      </x:c>
      <x:c r="G426" s="36" t="n">
        <x:v>2</x:v>
      </x:c>
      <x:c r="H426" s="34" t="str">
        <x:v>firstUndeployThreadEvidenceEarly</x:v>
      </x:c>
      <x:c r="I426" s="36" t="n">
        <x:v>1</x:v>
      </x:c>
      <x:c r="J426" s="34" t="str">
        <x:v>early</x:v>
      </x:c>
      <x:c r="K426" s="36" t="n">
        <x:v>27</x:v>
      </x:c>
      <x:c r="L426" s="51" t="n">
        <x:v>0</x:v>
      </x:c>
      <x:c r="M426" s="51" t="n">
        <x:v>0</x:v>
      </x:c>
      <x:c r="N426" s="36" t="n">
        <x:v>10</x:v>
      </x:c>
      <x:c r="O426" s="44" t="str">
        <x:v>http-nio-8080-exec-11#80 | http-nio-8080-exec-16#87 | http-nio-8080-exec-17#120 | http-nio-8080-exec-18#121 | http-nio-8080-exec-19#122 | http-nio-8080-exec-21#126 | http-nio-8080-exec-22#127 | http-nio-8080-exec-23#160 | http-nio-8080-exec-24#161 | http-nio-8080-exec-25#162</x:v>
      </x:c>
      <x:c r="P426" s="36" t="n">
        <x:v>5</x:v>
      </x:c>
      <x:c r="Q426" s="44" t="str">
        <x:v>http-nio-8080-exec-21#126 | http-nio-8080-exec-22#127 | http-nio-8080-exec-23#160 | http-nio-8080-exec-24#161 | http-nio-8080-exec-25#162</x:v>
      </x:c>
      <x:c r="R426" s="36" t="n">
        <x:v>0</x:v>
      </x:c>
      <x:c r="S426" s="44"/>
      <x:c r="T426" s="36" t="n">
        <x:v>0</x:v>
      </x:c>
      <x:c r="U426" s="44"/>
      <x:c r="V426" s="36" t="n">
        <x:v>0</x:v>
      </x:c>
      <x:c r="W426" s="44"/>
      <x:c r="X426" s="34" t="str">
        <x:v>no-post-undeploy-thread-signal</x:v>
      </x:c>
      <x:c r="Y426" s="44" t="str">
        <x:v>automated signatures are JCS-specific; all other candidate application threads remain unattributed and ownership requires the archived full dump</x:v>
      </x:c>
    </x:row>
    <x:row r="427">
      <x:c r="A427" s="34" t="str">
        <x:v>article1-unified-v4-2-fb3f101b-20260903-000401-default-f04-p4-nostore</x:v>
      </x:c>
      <x:c r="B427" s="34" t="str">
        <x:v>default</x:v>
      </x:c>
      <x:c r="C427" s="34" t="str">
        <x:v>nostore</x:v>
      </x:c>
      <x:c r="D427" s="36" t="n">
        <x:v>4</x:v>
      </x:c>
      <x:c r="E427" s="36" t="n">
        <x:v>4</x:v>
      </x:c>
      <x:c r="F427" s="36" t="n">
        <x:v>4</x:v>
      </x:c>
      <x:c r="G427" s="36" t="n">
        <x:v>2</x:v>
      </x:c>
      <x:c r="H427" s="34" t="str">
        <x:v>firstUndeployThreadEvidenceFinal</x:v>
      </x:c>
      <x:c r="I427" s="36" t="n">
        <x:v>1</x:v>
      </x:c>
      <x:c r="J427" s="34" t="str">
        <x:v>final</x:v>
      </x:c>
      <x:c r="K427" s="36" t="n">
        <x:v>27</x:v>
      </x:c>
      <x:c r="L427" s="51" t="n">
        <x:v>0</x:v>
      </x:c>
      <x:c r="M427" s="51" t="n">
        <x:v>0</x:v>
      </x:c>
      <x:c r="N427" s="36" t="n">
        <x:v>10</x:v>
      </x:c>
      <x:c r="O427" s="44" t="str">
        <x:v>http-nio-8080-exec-11#80 | http-nio-8080-exec-16#87 | http-nio-8080-exec-17#120 | http-nio-8080-exec-18#121 | http-nio-8080-exec-21#126 | http-nio-8080-exec-22#127 | http-nio-8080-exec-23#160 | http-nio-8080-exec-24#161 | http-nio-8080-exec-25#162 | http-nio-8080-exec-26#163</x:v>
      </x:c>
      <x:c r="P427" s="36" t="n">
        <x:v>6</x:v>
      </x:c>
      <x:c r="Q427" s="44" t="str">
        <x:v>http-nio-8080-exec-21#126 | http-nio-8080-exec-22#127 | http-nio-8080-exec-23#160 | http-nio-8080-exec-24#161 | http-nio-8080-exec-25#162 | http-nio-8080-exec-26#163</x:v>
      </x:c>
      <x:c r="R427" s="36" t="n">
        <x:v>0</x:v>
      </x:c>
      <x:c r="S427" s="44"/>
      <x:c r="T427" s="36" t="n">
        <x:v>0</x:v>
      </x:c>
      <x:c r="U427" s="44"/>
      <x:c r="V427" s="36" t="n">
        <x:v>0</x:v>
      </x:c>
      <x:c r="W427" s="44"/>
      <x:c r="X427" s="34" t="str">
        <x:v>no-post-undeploy-thread-signal</x:v>
      </x:c>
      <x:c r="Y427" s="44" t="str">
        <x:v>automated signatures are JCS-specific; all other candidate application threads remain unattributed and ownership requires the archived full dump</x:v>
      </x:c>
    </x:row>
    <x:row r="428">
      <x:c r="A428" s="34" t="str">
        <x:v>article1-unified-v4-2-fb3f101b-20260903-000401-default-f04-p4-nostore</x:v>
      </x:c>
      <x:c r="B428" s="34" t="str">
        <x:v>default</x:v>
      </x:c>
      <x:c r="C428" s="34" t="str">
        <x:v>nostore</x:v>
      </x:c>
      <x:c r="D428" s="36" t="n">
        <x:v>4</x:v>
      </x:c>
      <x:c r="E428" s="36" t="n">
        <x:v>4</x:v>
      </x:c>
      <x:c r="F428" s="36" t="n">
        <x:v>4</x:v>
      </x:c>
      <x:c r="G428" s="36" t="n">
        <x:v>2</x:v>
      </x:c>
      <x:c r="H428" s="34" t="str">
        <x:v>finalUndeployThreadEvidenceEarly</x:v>
      </x:c>
      <x:c r="I428" s="36" t="n">
        <x:v>2</x:v>
      </x:c>
      <x:c r="J428" s="34" t="str">
        <x:v>early</x:v>
      </x:c>
      <x:c r="K428" s="36" t="n">
        <x:v>27</x:v>
      </x:c>
      <x:c r="L428" s="51" t="n">
        <x:v>0</x:v>
      </x:c>
      <x:c r="M428" s="51" t="n">
        <x:v>0</x:v>
      </x:c>
      <x:c r="N428" s="36" t="n">
        <x:v>10</x:v>
      </x:c>
      <x:c r="O428" s="44" t="str">
        <x:v>http-nio-8080-exec-17#120 | http-nio-8080-exec-21#126 | http-nio-8080-exec-24#161 | http-nio-8080-exec-26#163 | http-nio-8080-exec-27#166 | http-nio-8080-exec-28#167 | http-nio-8080-exec-29#168 | http-nio-8080-exec-30#201 | http-nio-8080-exec-31#202 | http-nio-8080-exec-32#203</x:v>
      </x:c>
      <x:c r="P428" s="36" t="n">
        <x:v>9</x:v>
      </x:c>
      <x:c r="Q428" s="44" t="str">
        <x:v>http-nio-8080-exec-21#126 | http-nio-8080-exec-24#161 | http-nio-8080-exec-26#163 | http-nio-8080-exec-27#166 | http-nio-8080-exec-28#167 | http-nio-8080-exec-29#168 | http-nio-8080-exec-30#201 | http-nio-8080-exec-31#202 | http-nio-8080-exec-32#203</x:v>
      </x:c>
      <x:c r="R428" s="36" t="n">
        <x:v>0</x:v>
      </x:c>
      <x:c r="S428" s="44"/>
      <x:c r="T428" s="36" t="n">
        <x:v>0</x:v>
      </x:c>
      <x:c r="U428" s="44"/>
      <x:c r="V428" s="36" t="n">
        <x:v>0</x:v>
      </x:c>
      <x:c r="W428" s="44"/>
      <x:c r="X428" s="34" t="str">
        <x:v>no-post-undeploy-thread-signal</x:v>
      </x:c>
      <x:c r="Y428" s="44" t="str">
        <x:v>automated signatures are JCS-specific; all other candidate application threads remain unattributed and ownership requires the archived full dump</x:v>
      </x:c>
    </x:row>
    <x:row r="429">
      <x:c r="A429" s="34" t="str">
        <x:v>article1-unified-v4-2-fb3f101b-20260903-000401-default-f04-p4-nostore</x:v>
      </x:c>
      <x:c r="B429" s="34" t="str">
        <x:v>default</x:v>
      </x:c>
      <x:c r="C429" s="34" t="str">
        <x:v>nostore</x:v>
      </x:c>
      <x:c r="D429" s="36" t="n">
        <x:v>4</x:v>
      </x:c>
      <x:c r="E429" s="36" t="n">
        <x:v>4</x:v>
      </x:c>
      <x:c r="F429" s="36" t="n">
        <x:v>4</x:v>
      </x:c>
      <x:c r="G429" s="36" t="n">
        <x:v>2</x:v>
      </x:c>
      <x:c r="H429" s="34" t="str">
        <x:v>finalUndeployThreadEvidenceFinal</x:v>
      </x:c>
      <x:c r="I429" s="36" t="n">
        <x:v>2</x:v>
      </x:c>
      <x:c r="J429" s="34" t="str">
        <x:v>final</x:v>
      </x:c>
      <x:c r="K429" s="36" t="n">
        <x:v>27</x:v>
      </x:c>
      <x:c r="L429" s="51" t="n">
        <x:v>0</x:v>
      </x:c>
      <x:c r="M429" s="51" t="n">
        <x:v>0</x:v>
      </x:c>
      <x:c r="N429" s="36" t="n">
        <x:v>10</x:v>
      </x:c>
      <x:c r="O429" s="44" t="str">
        <x:v>http-nio-8080-exec-17#120 | http-nio-8080-exec-21#126 | http-nio-8080-exec-24#161 | http-nio-8080-exec-27#166 | http-nio-8080-exec-28#167 | http-nio-8080-exec-29#168 | http-nio-8080-exec-30#201 | http-nio-8080-exec-31#202 | http-nio-8080-exec-32#203 | http-nio-8080-exec-33#204</x:v>
      </x:c>
      <x:c r="P429" s="36" t="n">
        <x:v>9</x:v>
      </x:c>
      <x:c r="Q429" s="44" t="str">
        <x:v>http-nio-8080-exec-21#126 | http-nio-8080-exec-24#161 | http-nio-8080-exec-27#166 | http-nio-8080-exec-28#167 | http-nio-8080-exec-29#168 | http-nio-8080-exec-30#201 | http-nio-8080-exec-31#202 | http-nio-8080-exec-32#203 | http-nio-8080-exec-33#204</x:v>
      </x:c>
      <x:c r="R429" s="36" t="n">
        <x:v>0</x:v>
      </x:c>
      <x:c r="S429" s="44"/>
      <x:c r="T429" s="36" t="n">
        <x:v>0</x:v>
      </x:c>
      <x:c r="U429" s="44"/>
      <x:c r="V429" s="36" t="n">
        <x:v>0</x:v>
      </x:c>
      <x:c r="W429" s="44"/>
      <x:c r="X429" s="34" t="str">
        <x:v>no-post-undeploy-thread-signal</x:v>
      </x:c>
      <x:c r="Y429" s="44" t="str">
        <x:v>automated signatures are JCS-specific; all other candidate application threads remain unattributed and ownership requires the archived full dump</x:v>
      </x:c>
    </x:row>
    <x:row r="430">
      <x:c r="A430" s="34" t="str">
        <x:v>article1-unified-v4-2-fb3f101b-20260903-000401-default-f04-p4-nostore</x:v>
      </x:c>
      <x:c r="B430" s="34" t="str">
        <x:v>default</x:v>
      </x:c>
      <x:c r="C430" s="34" t="str">
        <x:v>nostore</x:v>
      </x:c>
      <x:c r="D430" s="36" t="n">
        <x:v>4</x:v>
      </x:c>
      <x:c r="E430" s="36" t="n">
        <x:v>4</x:v>
      </x:c>
      <x:c r="F430" s="36" t="n">
        <x:v>4</x:v>
      </x:c>
      <x:c r="G430" s="36" t="n">
        <x:v>3</x:v>
      </x:c>
      <x:c r="H430" s="34" t="str">
        <x:v>firstUndeployThreadEvidenceEarly</x:v>
      </x:c>
      <x:c r="I430" s="36" t="n">
        <x:v>1</x:v>
      </x:c>
      <x:c r="J430" s="34" t="str">
        <x:v>early</x:v>
      </x:c>
      <x:c r="K430" s="36" t="n">
        <x:v>27</x:v>
      </x:c>
      <x:c r="L430" s="51" t="n">
        <x:v>0</x:v>
      </x:c>
      <x:c r="M430" s="51" t="n">
        <x:v>0</x:v>
      </x:c>
      <x:c r="N430" s="36" t="n">
        <x:v>10</x:v>
      </x:c>
      <x:c r="O430" s="44" t="str">
        <x:v>http-nio-8080-exec-17#120 | http-nio-8080-exec-24#161 | http-nio-8080-exec-27#166 | http-nio-8080-exec-31#202 | http-nio-8080-exec-33#204 | http-nio-8080-exec-34#207 | http-nio-8080-exec-35#208 | http-nio-8080-exec-36#241 | http-nio-8080-exec-37#242 | http-nio-8080-exec-38#243</x:v>
      </x:c>
      <x:c r="P430" s="36" t="n">
        <x:v>5</x:v>
      </x:c>
      <x:c r="Q430" s="44" t="str">
        <x:v>http-nio-8080-exec-34#207 | http-nio-8080-exec-35#208 | http-nio-8080-exec-36#241 | http-nio-8080-exec-37#242 | http-nio-8080-exec-38#243</x:v>
      </x:c>
      <x:c r="R430" s="36" t="n">
        <x:v>0</x:v>
      </x:c>
      <x:c r="S430" s="44"/>
      <x:c r="T430" s="36" t="n">
        <x:v>0</x:v>
      </x:c>
      <x:c r="U430" s="44"/>
      <x:c r="V430" s="36" t="n">
        <x:v>0</x:v>
      </x:c>
      <x:c r="W430" s="44"/>
      <x:c r="X430" s="34" t="str">
        <x:v>no-post-undeploy-thread-signal</x:v>
      </x:c>
      <x:c r="Y430" s="44" t="str">
        <x:v>automated signatures are JCS-specific; all other candidate application threads remain unattributed and ownership requires the archived full dump</x:v>
      </x:c>
    </x:row>
    <x:row r="431">
      <x:c r="A431" s="34" t="str">
        <x:v>article1-unified-v4-2-fb3f101b-20260903-000401-default-f04-p4-nostore</x:v>
      </x:c>
      <x:c r="B431" s="34" t="str">
        <x:v>default</x:v>
      </x:c>
      <x:c r="C431" s="34" t="str">
        <x:v>nostore</x:v>
      </x:c>
      <x:c r="D431" s="36" t="n">
        <x:v>4</x:v>
      </x:c>
      <x:c r="E431" s="36" t="n">
        <x:v>4</x:v>
      </x:c>
      <x:c r="F431" s="36" t="n">
        <x:v>4</x:v>
      </x:c>
      <x:c r="G431" s="36" t="n">
        <x:v>3</x:v>
      </x:c>
      <x:c r="H431" s="34" t="str">
        <x:v>firstUndeployThreadEvidenceFinal</x:v>
      </x:c>
      <x:c r="I431" s="36" t="n">
        <x:v>1</x:v>
      </x:c>
      <x:c r="J431" s="34" t="str">
        <x:v>final</x:v>
      </x:c>
      <x:c r="K431" s="36" t="n">
        <x:v>27</x:v>
      </x:c>
      <x:c r="L431" s="51" t="n">
        <x:v>0</x:v>
      </x:c>
      <x:c r="M431" s="51" t="n">
        <x:v>0</x:v>
      </x:c>
      <x:c r="N431" s="36" t="n">
        <x:v>10</x:v>
      </x:c>
      <x:c r="O431" s="44" t="str">
        <x:v>http-nio-8080-exec-17#120 | http-nio-8080-exec-24#161 | http-nio-8080-exec-27#166 | http-nio-8080-exec-31#202 | http-nio-8080-exec-33#204 | http-nio-8080-exec-35#208 | http-nio-8080-exec-36#241 | http-nio-8080-exec-37#242 | http-nio-8080-exec-38#243 | http-nio-8080-exec-39#244</x:v>
      </x:c>
      <x:c r="P431" s="36" t="n">
        <x:v>5</x:v>
      </x:c>
      <x:c r="Q431" s="44" t="str">
        <x:v>http-nio-8080-exec-35#208 | http-nio-8080-exec-36#241 | http-nio-8080-exec-37#242 | http-nio-8080-exec-38#243 | http-nio-8080-exec-39#244</x:v>
      </x:c>
      <x:c r="R431" s="36" t="n">
        <x:v>0</x:v>
      </x:c>
      <x:c r="S431" s="44"/>
      <x:c r="T431" s="36" t="n">
        <x:v>0</x:v>
      </x:c>
      <x:c r="U431" s="44"/>
      <x:c r="V431" s="36" t="n">
        <x:v>0</x:v>
      </x:c>
      <x:c r="W431" s="44"/>
      <x:c r="X431" s="34" t="str">
        <x:v>no-post-undeploy-thread-signal</x:v>
      </x:c>
      <x:c r="Y431" s="44" t="str">
        <x:v>automated signatures are JCS-specific; all other candidate application threads remain unattributed and ownership requires the archived full dump</x:v>
      </x:c>
    </x:row>
    <x:row r="432">
      <x:c r="A432" s="34" t="str">
        <x:v>article1-unified-v4-2-fb3f101b-20260903-000401-default-f04-p4-nostore</x:v>
      </x:c>
      <x:c r="B432" s="34" t="str">
        <x:v>default</x:v>
      </x:c>
      <x:c r="C432" s="34" t="str">
        <x:v>nostore</x:v>
      </x:c>
      <x:c r="D432" s="36" t="n">
        <x:v>4</x:v>
      </x:c>
      <x:c r="E432" s="36" t="n">
        <x:v>4</x:v>
      </x:c>
      <x:c r="F432" s="36" t="n">
        <x:v>4</x:v>
      </x:c>
      <x:c r="G432" s="36" t="n">
        <x:v>3</x:v>
      </x:c>
      <x:c r="H432" s="34" t="str">
        <x:v>finalUndeployThreadEvidenceEarly</x:v>
      </x:c>
      <x:c r="I432" s="36" t="n">
        <x:v>2</x:v>
      </x:c>
      <x:c r="J432" s="34" t="str">
        <x:v>early</x:v>
      </x:c>
      <x:c r="K432" s="36" t="n">
        <x:v>27</x:v>
      </x:c>
      <x:c r="L432" s="51" t="n">
        <x:v>0</x:v>
      </x:c>
      <x:c r="M432" s="51" t="n">
        <x:v>0</x:v>
      </x:c>
      <x:c r="N432" s="36" t="n">
        <x:v>10</x:v>
      </x:c>
      <x:c r="O432" s="44" t="str">
        <x:v>http-nio-8080-exec-27#166 | http-nio-8080-exec-35#208 | http-nio-8080-exec-37#242 | http-nio-8080-exec-38#243 | http-nio-8080-exec-40#247 | http-nio-8080-exec-41#248 | http-nio-8080-exec-42#249 | http-nio-8080-exec-43#282 | http-nio-8080-exec-44#283 | http-nio-8080-exec-45#284</x:v>
      </x:c>
      <x:c r="P432" s="36" t="n">
        <x:v>9</x:v>
      </x:c>
      <x:c r="Q432" s="44" t="str">
        <x:v>http-nio-8080-exec-35#208 | http-nio-8080-exec-37#242 | http-nio-8080-exec-38#243 | http-nio-8080-exec-40#247 | http-nio-8080-exec-41#248 | http-nio-8080-exec-42#249 | http-nio-8080-exec-43#282 | http-nio-8080-exec-44#283 | http-nio-8080-exec-45#284</x:v>
      </x:c>
      <x:c r="R432" s="36" t="n">
        <x:v>0</x:v>
      </x:c>
      <x:c r="S432" s="44"/>
      <x:c r="T432" s="36" t="n">
        <x:v>0</x:v>
      </x:c>
      <x:c r="U432" s="44"/>
      <x:c r="V432" s="36" t="n">
        <x:v>0</x:v>
      </x:c>
      <x:c r="W432" s="44"/>
      <x:c r="X432" s="34" t="str">
        <x:v>no-post-undeploy-thread-signal</x:v>
      </x:c>
      <x:c r="Y432" s="44" t="str">
        <x:v>automated signatures are JCS-specific; all other candidate application threads remain unattributed and ownership requires the archived full dump</x:v>
      </x:c>
    </x:row>
    <x:row r="433">
      <x:c r="A433" s="34" t="str">
        <x:v>article1-unified-v4-2-fb3f101b-20260903-000401-default-f04-p4-nostore</x:v>
      </x:c>
      <x:c r="B433" s="34" t="str">
        <x:v>default</x:v>
      </x:c>
      <x:c r="C433" s="34" t="str">
        <x:v>nostore</x:v>
      </x:c>
      <x:c r="D433" s="36" t="n">
        <x:v>4</x:v>
      </x:c>
      <x:c r="E433" s="36" t="n">
        <x:v>4</x:v>
      </x:c>
      <x:c r="F433" s="36" t="n">
        <x:v>4</x:v>
      </x:c>
      <x:c r="G433" s="36" t="n">
        <x:v>3</x:v>
      </x:c>
      <x:c r="H433" s="34" t="str">
        <x:v>finalUndeployThreadEvidenceFinal</x:v>
      </x:c>
      <x:c r="I433" s="36" t="n">
        <x:v>2</x:v>
      </x:c>
      <x:c r="J433" s="34" t="str">
        <x:v>final</x:v>
      </x:c>
      <x:c r="K433" s="36" t="n">
        <x:v>27</x:v>
      </x:c>
      <x:c r="L433" s="51" t="n">
        <x:v>0</x:v>
      </x:c>
      <x:c r="M433" s="51" t="n">
        <x:v>0</x:v>
      </x:c>
      <x:c r="N433" s="36" t="n">
        <x:v>10</x:v>
      </x:c>
      <x:c r="O433" s="44" t="str">
        <x:v>http-nio-8080-exec-27#166 | http-nio-8080-exec-35#208 | http-nio-8080-exec-37#242 | http-nio-8080-exec-40#247 | http-nio-8080-exec-41#248 | http-nio-8080-exec-42#249 | http-nio-8080-exec-43#282 | http-nio-8080-exec-44#283 | http-nio-8080-exec-45#284 | http-nio-8080-exec-46#285</x:v>
      </x:c>
      <x:c r="P433" s="36" t="n">
        <x:v>9</x:v>
      </x:c>
      <x:c r="Q433" s="44" t="str">
        <x:v>http-nio-8080-exec-35#208 | http-nio-8080-exec-37#242 | http-nio-8080-exec-40#247 | http-nio-8080-exec-41#248 | http-nio-8080-exec-42#249 | http-nio-8080-exec-43#282 | http-nio-8080-exec-44#283 | http-nio-8080-exec-45#284 | http-nio-8080-exec-46#285</x:v>
      </x:c>
      <x:c r="R433" s="36" t="n">
        <x:v>0</x:v>
      </x:c>
      <x:c r="S433" s="44"/>
      <x:c r="T433" s="36" t="n">
        <x:v>0</x:v>
      </x:c>
      <x:c r="U433" s="44"/>
      <x:c r="V433" s="36" t="n">
        <x:v>0</x:v>
      </x:c>
      <x:c r="W433" s="44"/>
      <x:c r="X433" s="34" t="str">
        <x:v>no-post-undeploy-thread-signal</x:v>
      </x:c>
      <x:c r="Y433" s="44" t="str">
        <x:v>automated signatures are JCS-specific; all other candidate application threads remain unattributed and ownership requires the archived full dump</x:v>
      </x:c>
    </x:row>
    <x:row r="434">
      <x:c r="A434" s="34" t="str">
        <x:v>article1-unified-v4-2-fb3f101b-20260903-000401-default-f04-p4-nostore</x:v>
      </x:c>
      <x:c r="B434" s="34" t="str">
        <x:v>default</x:v>
      </x:c>
      <x:c r="C434" s="34" t="str">
        <x:v>nostore</x:v>
      </x:c>
      <x:c r="D434" s="36" t="n">
        <x:v>4</x:v>
      </x:c>
      <x:c r="E434" s="36" t="n">
        <x:v>4</x:v>
      </x:c>
      <x:c r="F434" s="36" t="n">
        <x:v>4</x:v>
      </x:c>
      <x:c r="G434" s="36" t="n">
        <x:v>4</x:v>
      </x:c>
      <x:c r="H434" s="34" t="str">
        <x:v>firstUndeployThreadEvidenceEarly</x:v>
      </x:c>
      <x:c r="I434" s="36" t="n">
        <x:v>1</x:v>
      </x:c>
      <x:c r="J434" s="34" t="str">
        <x:v>early</x:v>
      </x:c>
      <x:c r="K434" s="36" t="n">
        <x:v>27</x:v>
      </x:c>
      <x:c r="L434" s="51" t="n">
        <x:v>0</x:v>
      </x:c>
      <x:c r="M434" s="51" t="n">
        <x:v>0</x:v>
      </x:c>
      <x:c r="N434" s="36" t="n">
        <x:v>10</x:v>
      </x:c>
      <x:c r="O434" s="44" t="str">
        <x:v>http-nio-8080-exec-27#166 | http-nio-8080-exec-35#208 | http-nio-8080-exec-44#283 | http-nio-8080-exec-45#284 | http-nio-8080-exec-46#285 | http-nio-8080-exec-47#288 | http-nio-8080-exec-48#289 | http-nio-8080-exec-49#322 | http-nio-8080-exec-50#323 | http-nio-8080-exec-51#324</x:v>
      </x:c>
      <x:c r="P434" s="36" t="n">
        <x:v>5</x:v>
      </x:c>
      <x:c r="Q434" s="44" t="str">
        <x:v>http-nio-8080-exec-47#288 | http-nio-8080-exec-48#289 | http-nio-8080-exec-49#322 | http-nio-8080-exec-50#323 | http-nio-8080-exec-51#324</x:v>
      </x:c>
      <x:c r="R434" s="36" t="n">
        <x:v>0</x:v>
      </x:c>
      <x:c r="S434" s="44"/>
      <x:c r="T434" s="36" t="n">
        <x:v>0</x:v>
      </x:c>
      <x:c r="U434" s="44"/>
      <x:c r="V434" s="36" t="n">
        <x:v>0</x:v>
      </x:c>
      <x:c r="W434" s="44"/>
      <x:c r="X434" s="34" t="str">
        <x:v>no-post-undeploy-thread-signal</x:v>
      </x:c>
      <x:c r="Y434" s="44" t="str">
        <x:v>automated signatures are JCS-specific; all other candidate application threads remain unattributed and ownership requires the archived full dump</x:v>
      </x:c>
    </x:row>
    <x:row r="435">
      <x:c r="A435" s="34" t="str">
        <x:v>article1-unified-v4-2-fb3f101b-20260903-000401-default-f04-p4-nostore</x:v>
      </x:c>
      <x:c r="B435" s="34" t="str">
        <x:v>default</x:v>
      </x:c>
      <x:c r="C435" s="34" t="str">
        <x:v>nostore</x:v>
      </x:c>
      <x:c r="D435" s="36" t="n">
        <x:v>4</x:v>
      </x:c>
      <x:c r="E435" s="36" t="n">
        <x:v>4</x:v>
      </x:c>
      <x:c r="F435" s="36" t="n">
        <x:v>4</x:v>
      </x:c>
      <x:c r="G435" s="36" t="n">
        <x:v>4</x:v>
      </x:c>
      <x:c r="H435" s="34" t="str">
        <x:v>firstUndeployThreadEvidenceFinal</x:v>
      </x:c>
      <x:c r="I435" s="36" t="n">
        <x:v>1</x:v>
      </x:c>
      <x:c r="J435" s="34" t="str">
        <x:v>final</x:v>
      </x:c>
      <x:c r="K435" s="36" t="n">
        <x:v>27</x:v>
      </x:c>
      <x:c r="L435" s="51" t="n">
        <x:v>0</x:v>
      </x:c>
      <x:c r="M435" s="51" t="n">
        <x:v>0</x:v>
      </x:c>
      <x:c r="N435" s="36" t="n">
        <x:v>10</x:v>
      </x:c>
      <x:c r="O435" s="44" t="str">
        <x:v>http-nio-8080-exec-27#166 | http-nio-8080-exec-35#208 | http-nio-8080-exec-45#284 | http-nio-8080-exec-46#285 | http-nio-8080-exec-47#288 | http-nio-8080-exec-48#289 | http-nio-8080-exec-49#322 | http-nio-8080-exec-50#323 | http-nio-8080-exec-51#324 | http-nio-8080-exec-52#325</x:v>
      </x:c>
      <x:c r="P435" s="36" t="n">
        <x:v>6</x:v>
      </x:c>
      <x:c r="Q435" s="44" t="str">
        <x:v>http-nio-8080-exec-47#288 | http-nio-8080-exec-48#289 | http-nio-8080-exec-49#322 | http-nio-8080-exec-50#323 | http-nio-8080-exec-51#324 | http-nio-8080-exec-52#325</x:v>
      </x:c>
      <x:c r="R435" s="36" t="n">
        <x:v>0</x:v>
      </x:c>
      <x:c r="S435" s="44"/>
      <x:c r="T435" s="36" t="n">
        <x:v>0</x:v>
      </x:c>
      <x:c r="U435" s="44"/>
      <x:c r="V435" s="36" t="n">
        <x:v>0</x:v>
      </x:c>
      <x:c r="W435" s="44"/>
      <x:c r="X435" s="34" t="str">
        <x:v>no-post-undeploy-thread-signal</x:v>
      </x:c>
      <x:c r="Y435" s="44" t="str">
        <x:v>automated signatures are JCS-specific; all other candidate application threads remain unattributed and ownership requires the archived full dump</x:v>
      </x:c>
    </x:row>
    <x:row r="436">
      <x:c r="A436" s="34" t="str">
        <x:v>article1-unified-v4-2-fb3f101b-20260903-000401-default-f04-p4-nostore</x:v>
      </x:c>
      <x:c r="B436" s="34" t="str">
        <x:v>default</x:v>
      </x:c>
      <x:c r="C436" s="34" t="str">
        <x:v>nostore</x:v>
      </x:c>
      <x:c r="D436" s="36" t="n">
        <x:v>4</x:v>
      </x:c>
      <x:c r="E436" s="36" t="n">
        <x:v>4</x:v>
      </x:c>
      <x:c r="F436" s="36" t="n">
        <x:v>4</x:v>
      </x:c>
      <x:c r="G436" s="36" t="n">
        <x:v>4</x:v>
      </x:c>
      <x:c r="H436" s="34" t="str">
        <x:v>finalUndeployThreadEvidenceEarly</x:v>
      </x:c>
      <x:c r="I436" s="36" t="n">
        <x:v>2</x:v>
      </x:c>
      <x:c r="J436" s="34" t="str">
        <x:v>early</x:v>
      </x:c>
      <x:c r="K436" s="36" t="n">
        <x:v>27</x:v>
      </x:c>
      <x:c r="L436" s="51" t="n">
        <x:v>0</x:v>
      </x:c>
      <x:c r="M436" s="51" t="n">
        <x:v>0</x:v>
      </x:c>
      <x:c r="N436" s="36" t="n">
        <x:v>10</x:v>
      </x:c>
      <x:c r="O436" s="44" t="str">
        <x:v>http-nio-8080-exec-35#208 | http-nio-8080-exec-47#288 | http-nio-8080-exec-50#323 | http-nio-8080-exec-51#324 | http-nio-8080-exec-52#325 | http-nio-8080-exec-53#328 | http-nio-8080-exec-55#330 | http-nio-8080-exec-56#363 | http-nio-8080-exec-57#364 | http-nio-8080-exec-58#365</x:v>
      </x:c>
      <x:c r="P436" s="36" t="n">
        <x:v>9</x:v>
      </x:c>
      <x:c r="Q436" s="44" t="str">
        <x:v>http-nio-8080-exec-47#288 | http-nio-8080-exec-50#323 | http-nio-8080-exec-51#324 | http-nio-8080-exec-52#325 | http-nio-8080-exec-53#328 | http-nio-8080-exec-55#330 | http-nio-8080-exec-56#363 | http-nio-8080-exec-57#364 | http-nio-8080-exec-58#365</x:v>
      </x:c>
      <x:c r="R436" s="36" t="n">
        <x:v>0</x:v>
      </x:c>
      <x:c r="S436" s="44"/>
      <x:c r="T436" s="36" t="n">
        <x:v>0</x:v>
      </x:c>
      <x:c r="U436" s="44"/>
      <x:c r="V436" s="36" t="n">
        <x:v>0</x:v>
      </x:c>
      <x:c r="W436" s="44"/>
      <x:c r="X436" s="34" t="str">
        <x:v>no-post-undeploy-thread-signal</x:v>
      </x:c>
      <x:c r="Y436" s="44" t="str">
        <x:v>automated signatures are JCS-specific; all other candidate application threads remain unattributed and ownership requires the archived full dump</x:v>
      </x:c>
    </x:row>
    <x:row r="437">
      <x:c r="A437" s="34" t="str">
        <x:v>article1-unified-v4-2-fb3f101b-20260903-000401-default-f04-p4-nostore</x:v>
      </x:c>
      <x:c r="B437" s="34" t="str">
        <x:v>default</x:v>
      </x:c>
      <x:c r="C437" s="34" t="str">
        <x:v>nostore</x:v>
      </x:c>
      <x:c r="D437" s="36" t="n">
        <x:v>4</x:v>
      </x:c>
      <x:c r="E437" s="36" t="n">
        <x:v>4</x:v>
      </x:c>
      <x:c r="F437" s="36" t="n">
        <x:v>4</x:v>
      </x:c>
      <x:c r="G437" s="36" t="n">
        <x:v>4</x:v>
      </x:c>
      <x:c r="H437" s="34" t="str">
        <x:v>finalUndeployThreadEvidenceFinal</x:v>
      </x:c>
      <x:c r="I437" s="36" t="n">
        <x:v>2</x:v>
      </x:c>
      <x:c r="J437" s="34" t="str">
        <x:v>final</x:v>
      </x:c>
      <x:c r="K437" s="36" t="n">
        <x:v>27</x:v>
      </x:c>
      <x:c r="L437" s="51" t="n">
        <x:v>0</x:v>
      </x:c>
      <x:c r="M437" s="51" t="n">
        <x:v>0</x:v>
      </x:c>
      <x:c r="N437" s="36" t="n">
        <x:v>10</x:v>
      </x:c>
      <x:c r="O437" s="44" t="str">
        <x:v>http-nio-8080-exec-35#208 | http-nio-8080-exec-47#288 | http-nio-8080-exec-51#324 | http-nio-8080-exec-52#325 | http-nio-8080-exec-53#328 | http-nio-8080-exec-55#330 | http-nio-8080-exec-56#363 | http-nio-8080-exec-57#364 | http-nio-8080-exec-58#365 | http-nio-8080-exec-59#366</x:v>
      </x:c>
      <x:c r="P437" s="36" t="n">
        <x:v>9</x:v>
      </x:c>
      <x:c r="Q437" s="44" t="str">
        <x:v>http-nio-8080-exec-47#288 | http-nio-8080-exec-51#324 | http-nio-8080-exec-52#325 | http-nio-8080-exec-53#328 | http-nio-8080-exec-55#330 | http-nio-8080-exec-56#363 | http-nio-8080-exec-57#364 | http-nio-8080-exec-58#365 | http-nio-8080-exec-59#366</x:v>
      </x:c>
      <x:c r="R437" s="36" t="n">
        <x:v>0</x:v>
      </x:c>
      <x:c r="S437" s="44"/>
      <x:c r="T437" s="36" t="n">
        <x:v>0</x:v>
      </x:c>
      <x:c r="U437" s="44"/>
      <x:c r="V437" s="36" t="n">
        <x:v>0</x:v>
      </x:c>
      <x:c r="W437" s="44"/>
      <x:c r="X437" s="34" t="str">
        <x:v>no-post-undeploy-thread-signal</x:v>
      </x:c>
      <x:c r="Y437" s="44" t="str">
        <x:v>automated signatures are JCS-specific; all other candidate application threads remain unattributed and ownership requires the archived full dump</x:v>
      </x:c>
    </x:row>
    <x:row r="438">
      <x:c r="A438" s="34" t="str">
        <x:v>article1-unified-v4-2-fb3f101b-20260903-000401-default-f04-p4-nostore</x:v>
      </x:c>
      <x:c r="B438" s="34" t="str">
        <x:v>default</x:v>
      </x:c>
      <x:c r="C438" s="34" t="str">
        <x:v>nostore</x:v>
      </x:c>
      <x:c r="D438" s="36" t="n">
        <x:v>4</x:v>
      </x:c>
      <x:c r="E438" s="36" t="n">
        <x:v>4</x:v>
      </x:c>
      <x:c r="F438" s="36" t="n">
        <x:v>4</x:v>
      </x:c>
      <x:c r="G438" s="36" t="n">
        <x:v>5</x:v>
      </x:c>
      <x:c r="H438" s="34" t="str">
        <x:v>firstUndeployThreadEvidenceEarly</x:v>
      </x:c>
      <x:c r="I438" s="36" t="n">
        <x:v>1</x:v>
      </x:c>
      <x:c r="J438" s="34" t="str">
        <x:v>early</x:v>
      </x:c>
      <x:c r="K438" s="36" t="n">
        <x:v>27</x:v>
      </x:c>
      <x:c r="L438" s="51" t="n">
        <x:v>0</x:v>
      </x:c>
      <x:c r="M438" s="51" t="n">
        <x:v>0</x:v>
      </x:c>
      <x:c r="N438" s="36" t="n">
        <x:v>10</x:v>
      </x:c>
      <x:c r="O438" s="44" t="str">
        <x:v>http-nio-8080-exec-35#208 | http-nio-8080-exec-52#325 | http-nio-8080-exec-56#363 | http-nio-8080-exec-58#365 | http-nio-8080-exec-59#366 | http-nio-8080-exec-60#369 | http-nio-8080-exec-61#370 | http-nio-8080-exec-62#403 | http-nio-8080-exec-63#404 | http-nio-8080-exec-64#405</x:v>
      </x:c>
      <x:c r="P438" s="36" t="n">
        <x:v>5</x:v>
      </x:c>
      <x:c r="Q438" s="44" t="str">
        <x:v>http-nio-8080-exec-60#369 | http-nio-8080-exec-61#370 | http-nio-8080-exec-62#403 | http-nio-8080-exec-63#404 | http-nio-8080-exec-64#405</x:v>
      </x:c>
      <x:c r="R438" s="36" t="n">
        <x:v>0</x:v>
      </x:c>
      <x:c r="S438" s="44"/>
      <x:c r="T438" s="36" t="n">
        <x:v>0</x:v>
      </x:c>
      <x:c r="U438" s="44"/>
      <x:c r="V438" s="36" t="n">
        <x:v>0</x:v>
      </x:c>
      <x:c r="W438" s="44"/>
      <x:c r="X438" s="34" t="str">
        <x:v>no-post-undeploy-thread-signal</x:v>
      </x:c>
      <x:c r="Y438" s="44" t="str">
        <x:v>automated signatures are JCS-specific; all other candidate application threads remain unattributed and ownership requires the archived full dump</x:v>
      </x:c>
    </x:row>
    <x:row r="439">
      <x:c r="A439" s="34" t="str">
        <x:v>article1-unified-v4-2-fb3f101b-20260903-000401-default-f04-p4-nostore</x:v>
      </x:c>
      <x:c r="B439" s="34" t="str">
        <x:v>default</x:v>
      </x:c>
      <x:c r="C439" s="34" t="str">
        <x:v>nostore</x:v>
      </x:c>
      <x:c r="D439" s="36" t="n">
        <x:v>4</x:v>
      </x:c>
      <x:c r="E439" s="36" t="n">
        <x:v>4</x:v>
      </x:c>
      <x:c r="F439" s="36" t="n">
        <x:v>4</x:v>
      </x:c>
      <x:c r="G439" s="36" t="n">
        <x:v>5</x:v>
      </x:c>
      <x:c r="H439" s="34" t="str">
        <x:v>firstUndeployThreadEvidenceFinal</x:v>
      </x:c>
      <x:c r="I439" s="36" t="n">
        <x:v>1</x:v>
      </x:c>
      <x:c r="J439" s="34" t="str">
        <x:v>final</x:v>
      </x:c>
      <x:c r="K439" s="36" t="n">
        <x:v>27</x:v>
      </x:c>
      <x:c r="L439" s="51" t="n">
        <x:v>0</x:v>
      </x:c>
      <x:c r="M439" s="51" t="n">
        <x:v>0</x:v>
      </x:c>
      <x:c r="N439" s="36" t="n">
        <x:v>10</x:v>
      </x:c>
      <x:c r="O439" s="44" t="str">
        <x:v>http-nio-8080-exec-35#208 | http-nio-8080-exec-52#325 | http-nio-8080-exec-56#363 | http-nio-8080-exec-58#365 | http-nio-8080-exec-59#366 | http-nio-8080-exec-61#370 | http-nio-8080-exec-62#403 | http-nio-8080-exec-63#404 | http-nio-8080-exec-64#405 | http-nio-8080-exec-65#406</x:v>
      </x:c>
      <x:c r="P439" s="36" t="n">
        <x:v>5</x:v>
      </x:c>
      <x:c r="Q439" s="44" t="str">
        <x:v>http-nio-8080-exec-61#370 | http-nio-8080-exec-62#403 | http-nio-8080-exec-63#404 | http-nio-8080-exec-64#405 | http-nio-8080-exec-65#406</x:v>
      </x:c>
      <x:c r="R439" s="36" t="n">
        <x:v>0</x:v>
      </x:c>
      <x:c r="S439" s="44"/>
      <x:c r="T439" s="36" t="n">
        <x:v>0</x:v>
      </x:c>
      <x:c r="U439" s="44"/>
      <x:c r="V439" s="36" t="n">
        <x:v>0</x:v>
      </x:c>
      <x:c r="W439" s="44"/>
      <x:c r="X439" s="34" t="str">
        <x:v>no-post-undeploy-thread-signal</x:v>
      </x:c>
      <x:c r="Y439" s="44" t="str">
        <x:v>automated signatures are JCS-specific; all other candidate application threads remain unattributed and ownership requires the archived full dump</x:v>
      </x:c>
    </x:row>
    <x:row r="440">
      <x:c r="A440" s="34" t="str">
        <x:v>article1-unified-v4-2-fb3f101b-20260903-000401-default-f04-p4-nostore</x:v>
      </x:c>
      <x:c r="B440" s="34" t="str">
        <x:v>default</x:v>
      </x:c>
      <x:c r="C440" s="34" t="str">
        <x:v>nostore</x:v>
      </x:c>
      <x:c r="D440" s="36" t="n">
        <x:v>4</x:v>
      </x:c>
      <x:c r="E440" s="36" t="n">
        <x:v>4</x:v>
      </x:c>
      <x:c r="F440" s="36" t="n">
        <x:v>4</x:v>
      </x:c>
      <x:c r="G440" s="36" t="n">
        <x:v>5</x:v>
      </x:c>
      <x:c r="H440" s="34" t="str">
        <x:v>finalUndeployThreadEvidenceEarly</x:v>
      </x:c>
      <x:c r="I440" s="36" t="n">
        <x:v>2</x:v>
      </x:c>
      <x:c r="J440" s="34" t="str">
        <x:v>early</x:v>
      </x:c>
      <x:c r="K440" s="36" t="n">
        <x:v>27</x:v>
      </x:c>
      <x:c r="L440" s="51" t="n">
        <x:v>0</x:v>
      </x:c>
      <x:c r="M440" s="51" t="n">
        <x:v>0</x:v>
      </x:c>
      <x:c r="N440" s="36" t="n">
        <x:v>10</x:v>
      </x:c>
      <x:c r="O440" s="44" t="str">
        <x:v>http-nio-8080-exec-35#208 | http-nio-8080-exec-62#403 | http-nio-8080-exec-63#404 | http-nio-8080-exec-64#405 | http-nio-8080-exec-65#406 | http-nio-8080-exec-67#410 | http-nio-8080-exec-68#411 | http-nio-8080-exec-69#444 | http-nio-8080-exec-70#445 | http-nio-8080-exec-71#446</x:v>
      </x:c>
      <x:c r="P440" s="36" t="n">
        <x:v>9</x:v>
      </x:c>
      <x:c r="Q440" s="44" t="str">
        <x:v>http-nio-8080-exec-62#403 | http-nio-8080-exec-63#404 | http-nio-8080-exec-64#405 | http-nio-8080-exec-65#406 | http-nio-8080-exec-67#410 | http-nio-8080-exec-68#411 | http-nio-8080-exec-69#444 | http-nio-8080-exec-70#445 | http-nio-8080-exec-71#446</x:v>
      </x:c>
      <x:c r="R440" s="36" t="n">
        <x:v>0</x:v>
      </x:c>
      <x:c r="S440" s="44"/>
      <x:c r="T440" s="36" t="n">
        <x:v>0</x:v>
      </x:c>
      <x:c r="U440" s="44"/>
      <x:c r="V440" s="36" t="n">
        <x:v>0</x:v>
      </x:c>
      <x:c r="W440" s="44"/>
      <x:c r="X440" s="34" t="str">
        <x:v>no-post-undeploy-thread-signal</x:v>
      </x:c>
      <x:c r="Y440" s="44" t="str">
        <x:v>automated signatures are JCS-specific; all other candidate application threads remain unattributed and ownership requires the archived full dump</x:v>
      </x:c>
    </x:row>
    <x:row r="441">
      <x:c r="A441" s="34" t="str">
        <x:v>article1-unified-v4-2-fb3f101b-20260903-000401-default-f04-p4-nostore</x:v>
      </x:c>
      <x:c r="B441" s="34" t="str">
        <x:v>default</x:v>
      </x:c>
      <x:c r="C441" s="34" t="str">
        <x:v>nostore</x:v>
      </x:c>
      <x:c r="D441" s="36" t="n">
        <x:v>4</x:v>
      </x:c>
      <x:c r="E441" s="36" t="n">
        <x:v>4</x:v>
      </x:c>
      <x:c r="F441" s="36" t="n">
        <x:v>4</x:v>
      </x:c>
      <x:c r="G441" s="36" t="n">
        <x:v>5</x:v>
      </x:c>
      <x:c r="H441" s="34" t="str">
        <x:v>finalUndeployThreadEvidenceFinal</x:v>
      </x:c>
      <x:c r="I441" s="36" t="n">
        <x:v>2</x:v>
      </x:c>
      <x:c r="J441" s="34" t="str">
        <x:v>final</x:v>
      </x:c>
      <x:c r="K441" s="36" t="n">
        <x:v>27</x:v>
      </x:c>
      <x:c r="L441" s="51" t="n">
        <x:v>0</x:v>
      </x:c>
      <x:c r="M441" s="51" t="n">
        <x:v>0</x:v>
      </x:c>
      <x:c r="N441" s="36" t="n">
        <x:v>10</x:v>
      </x:c>
      <x:c r="O441" s="44" t="str">
        <x:v>http-nio-8080-exec-35#208 | http-nio-8080-exec-63#404 | http-nio-8080-exec-64#405 | http-nio-8080-exec-65#406 | http-nio-8080-exec-67#410 | http-nio-8080-exec-68#411 | http-nio-8080-exec-69#444 | http-nio-8080-exec-70#445 | http-nio-8080-exec-71#446 | http-nio-8080-exec-72#447</x:v>
      </x:c>
      <x:c r="P441" s="36" t="n">
        <x:v>9</x:v>
      </x:c>
      <x:c r="Q441" s="44" t="str">
        <x:v>http-nio-8080-exec-63#404 | http-nio-8080-exec-64#405 | http-nio-8080-exec-65#406 | http-nio-8080-exec-67#410 | http-nio-8080-exec-68#411 | http-nio-8080-exec-69#444 | http-nio-8080-exec-70#445 | http-nio-8080-exec-71#446 | http-nio-8080-exec-72#447</x:v>
      </x:c>
      <x:c r="R441" s="36" t="n">
        <x:v>0</x:v>
      </x:c>
      <x:c r="S441" s="44"/>
      <x:c r="T441" s="36" t="n">
        <x:v>0</x:v>
      </x:c>
      <x:c r="U441" s="44"/>
      <x:c r="V441" s="36" t="n">
        <x:v>0</x:v>
      </x:c>
      <x:c r="W441" s="44"/>
      <x:c r="X441" s="34" t="str">
        <x:v>no-post-undeploy-thread-signal</x:v>
      </x:c>
      <x:c r="Y441" s="44" t="str">
        <x:v>automated signatures are JCS-specific; all other candidate application threads remain unattributed and ownership requires the archived full dump</x:v>
      </x:c>
    </x:row>
    <x:row r="442">
      <x:c r="A442" s="34" t="str">
        <x:v>article1-unified-v4-2-fb3f101b-20260903-000401-default-f04-p5-ehcache</x:v>
      </x:c>
      <x:c r="B442" s="34" t="str">
        <x:v>default</x:v>
      </x:c>
      <x:c r="C442" s="34" t="str">
        <x:v>ehcache</x:v>
      </x:c>
      <x:c r="D442" s="36" t="n">
        <x:v>4</x:v>
      </x:c>
      <x:c r="E442" s="36" t="n">
        <x:v>4</x:v>
      </x:c>
      <x:c r="F442" s="36" t="n">
        <x:v>5</x:v>
      </x:c>
      <x:c r="G442" s="36" t="n">
        <x:v>1</x:v>
      </x:c>
      <x:c r="H442" s="34" t="str">
        <x:v>firstUndeployThreadEvidenceEarly</x:v>
      </x:c>
      <x:c r="I442" s="36" t="n">
        <x:v>1</x:v>
      </x:c>
      <x:c r="J442" s="34" t="str">
        <x:v>early</x:v>
      </x:c>
      <x:c r="K442" s="36" t="n">
        <x:v>27</x:v>
      </x:c>
      <x:c r="L442" s="51" t="n">
        <x:v>0</x:v>
      </x:c>
      <x:c r="M442" s="51" t="n">
        <x:v>0</x:v>
      </x:c>
      <x:c r="N442" s="36" t="n">
        <x:v>2</x:v>
      </x:c>
      <x:c r="O442" s="44" t="str">
        <x:v>http-nio-8080-exec-11#80 | http-nio-8080-exec-12#81</x:v>
      </x:c>
      <x:c r="P442" s="36" t="n">
        <x:v>2</x:v>
      </x:c>
      <x:c r="Q442" s="44" t="str">
        <x:v>http-nio-8080-exec-11#80 | http-nio-8080-exec-12#81</x:v>
      </x:c>
      <x:c r="R442" s="36" t="n">
        <x:v>0</x:v>
      </x:c>
      <x:c r="S442" s="44"/>
      <x:c r="T442" s="36" t="n">
        <x:v>0</x:v>
      </x:c>
      <x:c r="U442" s="44"/>
      <x:c r="V442" s="36" t="n">
        <x:v>0</x:v>
      </x:c>
      <x:c r="W442" s="44"/>
      <x:c r="X442" s="34" t="str">
        <x:v>no-post-undeploy-thread-signal</x:v>
      </x:c>
      <x:c r="Y442" s="44" t="str">
        <x:v>automated signatures are JCS-specific; all other candidate application threads remain unattributed and ownership requires the archived full dump</x:v>
      </x:c>
    </x:row>
    <x:row r="443">
      <x:c r="A443" s="34" t="str">
        <x:v>article1-unified-v4-2-fb3f101b-20260903-000401-default-f04-p5-ehcache</x:v>
      </x:c>
      <x:c r="B443" s="34" t="str">
        <x:v>default</x:v>
      </x:c>
      <x:c r="C443" s="34" t="str">
        <x:v>ehcache</x:v>
      </x:c>
      <x:c r="D443" s="36" t="n">
        <x:v>4</x:v>
      </x:c>
      <x:c r="E443" s="36" t="n">
        <x:v>4</x:v>
      </x:c>
      <x:c r="F443" s="36" t="n">
        <x:v>5</x:v>
      </x:c>
      <x:c r="G443" s="36" t="n">
        <x:v>1</x:v>
      </x:c>
      <x:c r="H443" s="34" t="str">
        <x:v>firstUndeployThreadEvidenceFinal</x:v>
      </x:c>
      <x:c r="I443" s="36" t="n">
        <x:v>1</x:v>
      </x:c>
      <x:c r="J443" s="34" t="str">
        <x:v>final</x:v>
      </x:c>
      <x:c r="K443" s="36" t="n">
        <x:v>27</x:v>
      </x:c>
      <x:c r="L443" s="51" t="n">
        <x:v>0</x:v>
      </x:c>
      <x:c r="M443" s="51" t="n">
        <x:v>0</x:v>
      </x:c>
      <x:c r="N443" s="36" t="n">
        <x:v>3</x:v>
      </x:c>
      <x:c r="O443" s="44" t="str">
        <x:v>http-nio-8080-exec-11#80 | http-nio-8080-exec-12#81 | http-nio-8080-exec-13#82</x:v>
      </x:c>
      <x:c r="P443" s="36" t="n">
        <x:v>3</x:v>
      </x:c>
      <x:c r="Q443" s="44" t="str">
        <x:v>http-nio-8080-exec-11#80 | http-nio-8080-exec-12#81 | http-nio-8080-exec-13#82</x:v>
      </x:c>
      <x:c r="R443" s="36" t="n">
        <x:v>0</x:v>
      </x:c>
      <x:c r="S443" s="44"/>
      <x:c r="T443" s="36" t="n">
        <x:v>0</x:v>
      </x:c>
      <x:c r="U443" s="44"/>
      <x:c r="V443" s="36" t="n">
        <x:v>0</x:v>
      </x:c>
      <x:c r="W443" s="44"/>
      <x:c r="X443" s="34" t="str">
        <x:v>no-post-undeploy-thread-signal</x:v>
      </x:c>
      <x:c r="Y443" s="44" t="str">
        <x:v>automated signatures are JCS-specific; all other candidate application threads remain unattributed and ownership requires the archived full dump</x:v>
      </x:c>
    </x:row>
    <x:row r="444">
      <x:c r="A444" s="34" t="str">
        <x:v>article1-unified-v4-2-fb3f101b-20260903-000401-default-f04-p5-ehcache</x:v>
      </x:c>
      <x:c r="B444" s="34" t="str">
        <x:v>default</x:v>
      </x:c>
      <x:c r="C444" s="34" t="str">
        <x:v>ehcache</x:v>
      </x:c>
      <x:c r="D444" s="36" t="n">
        <x:v>4</x:v>
      </x:c>
      <x:c r="E444" s="36" t="n">
        <x:v>4</x:v>
      </x:c>
      <x:c r="F444" s="36" t="n">
        <x:v>5</x:v>
      </x:c>
      <x:c r="G444" s="36" t="n">
        <x:v>1</x:v>
      </x:c>
      <x:c r="H444" s="34" t="str">
        <x:v>finalUndeployThreadEvidenceEarly</x:v>
      </x:c>
      <x:c r="I444" s="36" t="n">
        <x:v>2</x:v>
      </x:c>
      <x:c r="J444" s="34" t="str">
        <x:v>early</x:v>
      </x:c>
      <x:c r="K444" s="36" t="n">
        <x:v>27</x:v>
      </x:c>
      <x:c r="L444" s="51" t="n">
        <x:v>0</x:v>
      </x:c>
      <x:c r="M444" s="51" t="n">
        <x:v>0</x:v>
      </x:c>
      <x:c r="N444" s="36" t="n">
        <x:v>8</x:v>
      </x:c>
      <x:c r="O444" s="44" t="str">
        <x:v>http-nio-8080-exec-11#80 | http-nio-8080-exec-12#81 | http-nio-8080-exec-13#82 | http-nio-8080-exec-14#85 | http-nio-8080-exec-16#87 | http-nio-8080-exec-17#120 | http-nio-8080-exec-18#121 | http-nio-8080-exec-19#122</x:v>
      </x:c>
      <x:c r="P444" s="36" t="n">
        <x:v>8</x:v>
      </x:c>
      <x:c r="Q444" s="44" t="str">
        <x:v>http-nio-8080-exec-11#80 | http-nio-8080-exec-12#81 | http-nio-8080-exec-13#82 | http-nio-8080-exec-14#85 | http-nio-8080-exec-16#87 | http-nio-8080-exec-17#120 | http-nio-8080-exec-18#121 | http-nio-8080-exec-19#122</x:v>
      </x:c>
      <x:c r="R444" s="36" t="n">
        <x:v>0</x:v>
      </x:c>
      <x:c r="S444" s="44"/>
      <x:c r="T444" s="36" t="n">
        <x:v>0</x:v>
      </x:c>
      <x:c r="U444" s="44"/>
      <x:c r="V444" s="36" t="n">
        <x:v>0</x:v>
      </x:c>
      <x:c r="W444" s="44"/>
      <x:c r="X444" s="34" t="str">
        <x:v>no-post-undeploy-thread-signal</x:v>
      </x:c>
      <x:c r="Y444" s="44" t="str">
        <x:v>automated signatures are JCS-specific; all other candidate application threads remain unattributed and ownership requires the archived full dump</x:v>
      </x:c>
    </x:row>
    <x:row r="445">
      <x:c r="A445" s="34" t="str">
        <x:v>article1-unified-v4-2-fb3f101b-20260903-000401-default-f04-p5-ehcache</x:v>
      </x:c>
      <x:c r="B445" s="34" t="str">
        <x:v>default</x:v>
      </x:c>
      <x:c r="C445" s="34" t="str">
        <x:v>ehcache</x:v>
      </x:c>
      <x:c r="D445" s="36" t="n">
        <x:v>4</x:v>
      </x:c>
      <x:c r="E445" s="36" t="n">
        <x:v>4</x:v>
      </x:c>
      <x:c r="F445" s="36" t="n">
        <x:v>5</x:v>
      </x:c>
      <x:c r="G445" s="36" t="n">
        <x:v>1</x:v>
      </x:c>
      <x:c r="H445" s="34" t="str">
        <x:v>finalUndeployThreadEvidenceFinal</x:v>
      </x:c>
      <x:c r="I445" s="36" t="n">
        <x:v>2</x:v>
      </x:c>
      <x:c r="J445" s="34" t="str">
        <x:v>final</x:v>
      </x:c>
      <x:c r="K445" s="36" t="n">
        <x:v>27</x:v>
      </x:c>
      <x:c r="L445" s="51" t="n">
        <x:v>0</x:v>
      </x:c>
      <x:c r="M445" s="51" t="n">
        <x:v>0</x:v>
      </x:c>
      <x:c r="N445" s="36" t="n">
        <x:v>8</x:v>
      </x:c>
      <x:c r="O445" s="44" t="str">
        <x:v>http-nio-8080-exec-11#80 | http-nio-8080-exec-12#81 | http-nio-8080-exec-13#82 | http-nio-8080-exec-14#85 | http-nio-8080-exec-16#87 | http-nio-8080-exec-18#121 | http-nio-8080-exec-19#122 | http-nio-8080-exec-20#123</x:v>
      </x:c>
      <x:c r="P445" s="36" t="n">
        <x:v>8</x:v>
      </x:c>
      <x:c r="Q445" s="44" t="str">
        <x:v>http-nio-8080-exec-11#80 | http-nio-8080-exec-12#81 | http-nio-8080-exec-13#82 | http-nio-8080-exec-14#85 | http-nio-8080-exec-16#87 | http-nio-8080-exec-18#121 | http-nio-8080-exec-19#122 | http-nio-8080-exec-20#123</x:v>
      </x:c>
      <x:c r="R445" s="36" t="n">
        <x:v>0</x:v>
      </x:c>
      <x:c r="S445" s="44"/>
      <x:c r="T445" s="36" t="n">
        <x:v>0</x:v>
      </x:c>
      <x:c r="U445" s="44"/>
      <x:c r="V445" s="36" t="n">
        <x:v>0</x:v>
      </x:c>
      <x:c r="W445" s="44"/>
      <x:c r="X445" s="34" t="str">
        <x:v>no-post-undeploy-thread-signal</x:v>
      </x:c>
      <x:c r="Y445" s="44" t="str">
        <x:v>automated signatures are JCS-specific; all other candidate application threads remain unattributed and ownership requires the archived full dump</x:v>
      </x:c>
    </x:row>
    <x:row r="446">
      <x:c r="A446" s="34" t="str">
        <x:v>article1-unified-v4-2-fb3f101b-20260903-000401-default-f04-p5-ehcache</x:v>
      </x:c>
      <x:c r="B446" s="34" t="str">
        <x:v>default</x:v>
      </x:c>
      <x:c r="C446" s="34" t="str">
        <x:v>ehcache</x:v>
      </x:c>
      <x:c r="D446" s="36" t="n">
        <x:v>4</x:v>
      </x:c>
      <x:c r="E446" s="36" t="n">
        <x:v>4</x:v>
      </x:c>
      <x:c r="F446" s="36" t="n">
        <x:v>5</x:v>
      </x:c>
      <x:c r="G446" s="36" t="n">
        <x:v>2</x:v>
      </x:c>
      <x:c r="H446" s="34" t="str">
        <x:v>firstUndeployThreadEvidenceEarly</x:v>
      </x:c>
      <x:c r="I446" s="36" t="n">
        <x:v>1</x:v>
      </x:c>
      <x:c r="J446" s="34" t="str">
        <x:v>early</x:v>
      </x:c>
      <x:c r="K446" s="36" t="n">
        <x:v>27</x:v>
      </x:c>
      <x:c r="L446" s="51" t="n">
        <x:v>0</x:v>
      </x:c>
      <x:c r="M446" s="51" t="n">
        <x:v>0</x:v>
      </x:c>
      <x:c r="N446" s="36" t="n">
        <x:v>9</x:v>
      </x:c>
      <x:c r="O446" s="44" t="str">
        <x:v>http-nio-8080-exec-13#82 | http-nio-8080-exec-16#87 | http-nio-8080-exec-18#121 | http-nio-8080-exec-19#122 | http-nio-8080-exec-21#126 | http-nio-8080-exec-22#127 | http-nio-8080-exec-23#160 | http-nio-8080-exec-24#161 | http-nio-8080-exec-25#162</x:v>
      </x:c>
      <x:c r="P446" s="36" t="n">
        <x:v>5</x:v>
      </x:c>
      <x:c r="Q446" s="44" t="str">
        <x:v>http-nio-8080-exec-21#126 | http-nio-8080-exec-22#127 | http-nio-8080-exec-23#160 | http-nio-8080-exec-24#161 | http-nio-8080-exec-25#162</x:v>
      </x:c>
      <x:c r="R446" s="36" t="n">
        <x:v>0</x:v>
      </x:c>
      <x:c r="S446" s="44"/>
      <x:c r="T446" s="36" t="n">
        <x:v>0</x:v>
      </x:c>
      <x:c r="U446" s="44"/>
      <x:c r="V446" s="36" t="n">
        <x:v>0</x:v>
      </x:c>
      <x:c r="W446" s="44"/>
      <x:c r="X446" s="34" t="str">
        <x:v>no-post-undeploy-thread-signal</x:v>
      </x:c>
      <x:c r="Y446" s="44" t="str">
        <x:v>automated signatures are JCS-specific; all other candidate application threads remain unattributed and ownership requires the archived full dump</x:v>
      </x:c>
    </x:row>
    <x:row r="447">
      <x:c r="A447" s="34" t="str">
        <x:v>article1-unified-v4-2-fb3f101b-20260903-000401-default-f04-p5-ehcache</x:v>
      </x:c>
      <x:c r="B447" s="34" t="str">
        <x:v>default</x:v>
      </x:c>
      <x:c r="C447" s="34" t="str">
        <x:v>ehcache</x:v>
      </x:c>
      <x:c r="D447" s="36" t="n">
        <x:v>4</x:v>
      </x:c>
      <x:c r="E447" s="36" t="n">
        <x:v>4</x:v>
      </x:c>
      <x:c r="F447" s="36" t="n">
        <x:v>5</x:v>
      </x:c>
      <x:c r="G447" s="36" t="n">
        <x:v>2</x:v>
      </x:c>
      <x:c r="H447" s="34" t="str">
        <x:v>firstUndeployThreadEvidenceFinal</x:v>
      </x:c>
      <x:c r="I447" s="36" t="n">
        <x:v>1</x:v>
      </x:c>
      <x:c r="J447" s="34" t="str">
        <x:v>final</x:v>
      </x:c>
      <x:c r="K447" s="36" t="n">
        <x:v>27</x:v>
      </x:c>
      <x:c r="L447" s="51" t="n">
        <x:v>0</x:v>
      </x:c>
      <x:c r="M447" s="51" t="n">
        <x:v>0</x:v>
      </x:c>
      <x:c r="N447" s="36" t="n">
        <x:v>9</x:v>
      </x:c>
      <x:c r="O447" s="44" t="str">
        <x:v>http-nio-8080-exec-13#82 | http-nio-8080-exec-16#87 | http-nio-8080-exec-18#121 | http-nio-8080-exec-19#122 | http-nio-8080-exec-22#127 | http-nio-8080-exec-23#160 | http-nio-8080-exec-24#161 | http-nio-8080-exec-25#162 | http-nio-8080-exec-26#163</x:v>
      </x:c>
      <x:c r="P447" s="36" t="n">
        <x:v>5</x:v>
      </x:c>
      <x:c r="Q447" s="44" t="str">
        <x:v>http-nio-8080-exec-22#127 | http-nio-8080-exec-23#160 | http-nio-8080-exec-24#161 | http-nio-8080-exec-25#162 | http-nio-8080-exec-26#163</x:v>
      </x:c>
      <x:c r="R447" s="36" t="n">
        <x:v>0</x:v>
      </x:c>
      <x:c r="S447" s="44"/>
      <x:c r="T447" s="36" t="n">
        <x:v>0</x:v>
      </x:c>
      <x:c r="U447" s="44"/>
      <x:c r="V447" s="36" t="n">
        <x:v>0</x:v>
      </x:c>
      <x:c r="W447" s="44"/>
      <x:c r="X447" s="34" t="str">
        <x:v>no-post-undeploy-thread-signal</x:v>
      </x:c>
      <x:c r="Y447" s="44" t="str">
        <x:v>automated signatures are JCS-specific; all other candidate application threads remain unattributed and ownership requires the archived full dump</x:v>
      </x:c>
    </x:row>
    <x:row r="448">
      <x:c r="A448" s="34" t="str">
        <x:v>article1-unified-v4-2-fb3f101b-20260903-000401-default-f04-p5-ehcache</x:v>
      </x:c>
      <x:c r="B448" s="34" t="str">
        <x:v>default</x:v>
      </x:c>
      <x:c r="C448" s="34" t="str">
        <x:v>ehcache</x:v>
      </x:c>
      <x:c r="D448" s="36" t="n">
        <x:v>4</x:v>
      </x:c>
      <x:c r="E448" s="36" t="n">
        <x:v>4</x:v>
      </x:c>
      <x:c r="F448" s="36" t="n">
        <x:v>5</x:v>
      </x:c>
      <x:c r="G448" s="36" t="n">
        <x:v>2</x:v>
      </x:c>
      <x:c r="H448" s="34" t="str">
        <x:v>finalUndeployThreadEvidenceEarly</x:v>
      </x:c>
      <x:c r="I448" s="36" t="n">
        <x:v>2</x:v>
      </x:c>
      <x:c r="J448" s="34" t="str">
        <x:v>early</x:v>
      </x:c>
      <x:c r="K448" s="36" t="n">
        <x:v>27</x:v>
      </x:c>
      <x:c r="L448" s="51" t="n">
        <x:v>0</x:v>
      </x:c>
      <x:c r="M448" s="51" t="n">
        <x:v>0</x:v>
      </x:c>
      <x:c r="N448" s="36" t="n">
        <x:v>10</x:v>
      </x:c>
      <x:c r="O448" s="44" t="str">
        <x:v>http-nio-8080-exec-16#87 | http-nio-8080-exec-23#160 | http-nio-8080-exec-24#161 | http-nio-8080-exec-25#162 | http-nio-8080-exec-26#163 | http-nio-8080-exec-28#167 | http-nio-8080-exec-29#168 | http-nio-8080-exec-30#201 | http-nio-8080-exec-31#202 | http-nio-8080-exec-32#203</x:v>
      </x:c>
      <x:c r="P448" s="36" t="n">
        <x:v>9</x:v>
      </x:c>
      <x:c r="Q448" s="44" t="str">
        <x:v>http-nio-8080-exec-23#160 | http-nio-8080-exec-24#161 | http-nio-8080-exec-25#162 | http-nio-8080-exec-26#163 | http-nio-8080-exec-28#167 | http-nio-8080-exec-29#168 | http-nio-8080-exec-30#201 | http-nio-8080-exec-31#202 | http-nio-8080-exec-32#203</x:v>
      </x:c>
      <x:c r="R448" s="36" t="n">
        <x:v>0</x:v>
      </x:c>
      <x:c r="S448" s="44"/>
      <x:c r="T448" s="36" t="n">
        <x:v>0</x:v>
      </x:c>
      <x:c r="U448" s="44"/>
      <x:c r="V448" s="36" t="n">
        <x:v>0</x:v>
      </x:c>
      <x:c r="W448" s="44"/>
      <x:c r="X448" s="34" t="str">
        <x:v>no-post-undeploy-thread-signal</x:v>
      </x:c>
      <x:c r="Y448" s="44" t="str">
        <x:v>automated signatures are JCS-specific; all other candidate application threads remain unattributed and ownership requires the archived full dump</x:v>
      </x:c>
    </x:row>
    <x:row r="449">
      <x:c r="A449" s="34" t="str">
        <x:v>article1-unified-v4-2-fb3f101b-20260903-000401-default-f04-p5-ehcache</x:v>
      </x:c>
      <x:c r="B449" s="34" t="str">
        <x:v>default</x:v>
      </x:c>
      <x:c r="C449" s="34" t="str">
        <x:v>ehcache</x:v>
      </x:c>
      <x:c r="D449" s="36" t="n">
        <x:v>4</x:v>
      </x:c>
      <x:c r="E449" s="36" t="n">
        <x:v>4</x:v>
      </x:c>
      <x:c r="F449" s="36" t="n">
        <x:v>5</x:v>
      </x:c>
      <x:c r="G449" s="36" t="n">
        <x:v>2</x:v>
      </x:c>
      <x:c r="H449" s="34" t="str">
        <x:v>finalUndeployThreadEvidenceFinal</x:v>
      </x:c>
      <x:c r="I449" s="36" t="n">
        <x:v>2</x:v>
      </x:c>
      <x:c r="J449" s="34" t="str">
        <x:v>final</x:v>
      </x:c>
      <x:c r="K449" s="36" t="n">
        <x:v>27</x:v>
      </x:c>
      <x:c r="L449" s="51" t="n">
        <x:v>0</x:v>
      </x:c>
      <x:c r="M449" s="51" t="n">
        <x:v>0</x:v>
      </x:c>
      <x:c r="N449" s="36" t="n">
        <x:v>10</x:v>
      </x:c>
      <x:c r="O449" s="44" t="str">
        <x:v>http-nio-8080-exec-16#87 | http-nio-8080-exec-23#160 | http-nio-8080-exec-24#161 | http-nio-8080-exec-25#162 | http-nio-8080-exec-26#163 | http-nio-8080-exec-28#167 | http-nio-8080-exec-29#168 | http-nio-8080-exec-31#202 | http-nio-8080-exec-32#203 | http-nio-8080-exec-33#204</x:v>
      </x:c>
      <x:c r="P449" s="36" t="n">
        <x:v>9</x:v>
      </x:c>
      <x:c r="Q449" s="44" t="str">
        <x:v>http-nio-8080-exec-23#160 | http-nio-8080-exec-24#161 | http-nio-8080-exec-25#162 | http-nio-8080-exec-26#163 | http-nio-8080-exec-28#167 | http-nio-8080-exec-29#168 | http-nio-8080-exec-31#202 | http-nio-8080-exec-32#203 | http-nio-8080-exec-33#204</x:v>
      </x:c>
      <x:c r="R449" s="36" t="n">
        <x:v>0</x:v>
      </x:c>
      <x:c r="S449" s="44"/>
      <x:c r="T449" s="36" t="n">
        <x:v>0</x:v>
      </x:c>
      <x:c r="U449" s="44"/>
      <x:c r="V449" s="36" t="n">
        <x:v>0</x:v>
      </x:c>
      <x:c r="W449" s="44"/>
      <x:c r="X449" s="34" t="str">
        <x:v>no-post-undeploy-thread-signal</x:v>
      </x:c>
      <x:c r="Y449" s="44" t="str">
        <x:v>automated signatures are JCS-specific; all other candidate application threads remain unattributed and ownership requires the archived full dump</x:v>
      </x:c>
    </x:row>
    <x:row r="450">
      <x:c r="A450" s="34" t="str">
        <x:v>article1-unified-v4-2-fb3f101b-20260903-000401-default-f04-p5-ehcache</x:v>
      </x:c>
      <x:c r="B450" s="34" t="str">
        <x:v>default</x:v>
      </x:c>
      <x:c r="C450" s="34" t="str">
        <x:v>ehcache</x:v>
      </x:c>
      <x:c r="D450" s="36" t="n">
        <x:v>4</x:v>
      </x:c>
      <x:c r="E450" s="36" t="n">
        <x:v>4</x:v>
      </x:c>
      <x:c r="F450" s="36" t="n">
        <x:v>5</x:v>
      </x:c>
      <x:c r="G450" s="36" t="n">
        <x:v>3</x:v>
      </x:c>
      <x:c r="H450" s="34" t="str">
        <x:v>firstUndeployThreadEvidenceEarly</x:v>
      </x:c>
      <x:c r="I450" s="36" t="n">
        <x:v>1</x:v>
      </x:c>
      <x:c r="J450" s="34" t="str">
        <x:v>early</x:v>
      </x:c>
      <x:c r="K450" s="36" t="n">
        <x:v>27</x:v>
      </x:c>
      <x:c r="L450" s="51" t="n">
        <x:v>0</x:v>
      </x:c>
      <x:c r="M450" s="51" t="n">
        <x:v>0</x:v>
      </x:c>
      <x:c r="N450" s="36" t="n">
        <x:v>10</x:v>
      </x:c>
      <x:c r="O450" s="44" t="str">
        <x:v>http-nio-8080-exec-16#87 | http-nio-8080-exec-25#162 | http-nio-8080-exec-31#202 | http-nio-8080-exec-32#203 | http-nio-8080-exec-33#204 | http-nio-8080-exec-34#207 | http-nio-8080-exec-35#208 | http-nio-8080-exec-36#241 | http-nio-8080-exec-37#242 | http-nio-8080-exec-38#243</x:v>
      </x:c>
      <x:c r="P450" s="36" t="n">
        <x:v>5</x:v>
      </x:c>
      <x:c r="Q450" s="44" t="str">
        <x:v>http-nio-8080-exec-34#207 | http-nio-8080-exec-35#208 | http-nio-8080-exec-36#241 | http-nio-8080-exec-37#242 | http-nio-8080-exec-38#243</x:v>
      </x:c>
      <x:c r="R450" s="36" t="n">
        <x:v>0</x:v>
      </x:c>
      <x:c r="S450" s="44"/>
      <x:c r="T450" s="36" t="n">
        <x:v>0</x:v>
      </x:c>
      <x:c r="U450" s="44"/>
      <x:c r="V450" s="36" t="n">
        <x:v>0</x:v>
      </x:c>
      <x:c r="W450" s="44"/>
      <x:c r="X450" s="34" t="str">
        <x:v>no-post-undeploy-thread-signal</x:v>
      </x:c>
      <x:c r="Y450" s="44" t="str">
        <x:v>automated signatures are JCS-specific; all other candidate application threads remain unattributed and ownership requires the archived full dump</x:v>
      </x:c>
    </x:row>
    <x:row r="451">
      <x:c r="A451" s="34" t="str">
        <x:v>article1-unified-v4-2-fb3f101b-20260903-000401-default-f04-p5-ehcache</x:v>
      </x:c>
      <x:c r="B451" s="34" t="str">
        <x:v>default</x:v>
      </x:c>
      <x:c r="C451" s="34" t="str">
        <x:v>ehcache</x:v>
      </x:c>
      <x:c r="D451" s="36" t="n">
        <x:v>4</x:v>
      </x:c>
      <x:c r="E451" s="36" t="n">
        <x:v>4</x:v>
      </x:c>
      <x:c r="F451" s="36" t="n">
        <x:v>5</x:v>
      </x:c>
      <x:c r="G451" s="36" t="n">
        <x:v>3</x:v>
      </x:c>
      <x:c r="H451" s="34" t="str">
        <x:v>firstUndeployThreadEvidenceFinal</x:v>
      </x:c>
      <x:c r="I451" s="36" t="n">
        <x:v>1</x:v>
      </x:c>
      <x:c r="J451" s="34" t="str">
        <x:v>final</x:v>
      </x:c>
      <x:c r="K451" s="36" t="n">
        <x:v>27</x:v>
      </x:c>
      <x:c r="L451" s="51" t="n">
        <x:v>0</x:v>
      </x:c>
      <x:c r="M451" s="51" t="n">
        <x:v>0</x:v>
      </x:c>
      <x:c r="N451" s="36" t="n">
        <x:v>10</x:v>
      </x:c>
      <x:c r="O451" s="44" t="str">
        <x:v>http-nio-8080-exec-16#87 | http-nio-8080-exec-25#162 | http-nio-8080-exec-31#202 | http-nio-8080-exec-32#203 | http-nio-8080-exec-33#204 | http-nio-8080-exec-34#207 | http-nio-8080-exec-35#208 | http-nio-8080-exec-37#242 | http-nio-8080-exec-38#243 | http-nio-8080-exec-39#244</x:v>
      </x:c>
      <x:c r="P451" s="36" t="n">
        <x:v>5</x:v>
      </x:c>
      <x:c r="Q451" s="44" t="str">
        <x:v>http-nio-8080-exec-34#207 | http-nio-8080-exec-35#208 | http-nio-8080-exec-37#242 | http-nio-8080-exec-38#243 | http-nio-8080-exec-39#244</x:v>
      </x:c>
      <x:c r="R451" s="36" t="n">
        <x:v>0</x:v>
      </x:c>
      <x:c r="S451" s="44"/>
      <x:c r="T451" s="36" t="n">
        <x:v>0</x:v>
      </x:c>
      <x:c r="U451" s="44"/>
      <x:c r="V451" s="36" t="n">
        <x:v>0</x:v>
      </x:c>
      <x:c r="W451" s="44"/>
      <x:c r="X451" s="34" t="str">
        <x:v>no-post-undeploy-thread-signal</x:v>
      </x:c>
      <x:c r="Y451" s="44" t="str">
        <x:v>automated signatures are JCS-specific; all other candidate application threads remain unattributed and ownership requires the archived full dump</x:v>
      </x:c>
    </x:row>
    <x:row r="452">
      <x:c r="A452" s="34" t="str">
        <x:v>article1-unified-v4-2-fb3f101b-20260903-000401-default-f04-p5-ehcache</x:v>
      </x:c>
      <x:c r="B452" s="34" t="str">
        <x:v>default</x:v>
      </x:c>
      <x:c r="C452" s="34" t="str">
        <x:v>ehcache</x:v>
      </x:c>
      <x:c r="D452" s="36" t="n">
        <x:v>4</x:v>
      </x:c>
      <x:c r="E452" s="36" t="n">
        <x:v>4</x:v>
      </x:c>
      <x:c r="F452" s="36" t="n">
        <x:v>5</x:v>
      </x:c>
      <x:c r="G452" s="36" t="n">
        <x:v>3</x:v>
      </x:c>
      <x:c r="H452" s="34" t="str">
        <x:v>finalUndeployThreadEvidenceEarly</x:v>
      </x:c>
      <x:c r="I452" s="36" t="n">
        <x:v>2</x:v>
      </x:c>
      <x:c r="J452" s="34" t="str">
        <x:v>early</x:v>
      </x:c>
      <x:c r="K452" s="36" t="n">
        <x:v>27</x:v>
      </x:c>
      <x:c r="L452" s="51" t="n">
        <x:v>0</x:v>
      </x:c>
      <x:c r="M452" s="51" t="n">
        <x:v>0</x:v>
      </x:c>
      <x:c r="N452" s="36" t="n">
        <x:v>10</x:v>
      </x:c>
      <x:c r="O452" s="44" t="str">
        <x:v>http-nio-8080-exec-33#204 | http-nio-8080-exec-34#207 | http-nio-8080-exec-37#242 | http-nio-8080-exec-38#243 | http-nio-8080-exec-39#244 | http-nio-8080-exec-41#248 | http-nio-8080-exec-42#249 | http-nio-8080-exec-43#282 | http-nio-8080-exec-44#283 | http-nio-8080-exec-45#284</x:v>
      </x:c>
      <x:c r="P452" s="36" t="n">
        <x:v>9</x:v>
      </x:c>
      <x:c r="Q452" s="44" t="str">
        <x:v>http-nio-8080-exec-34#207 | http-nio-8080-exec-37#242 | http-nio-8080-exec-38#243 | http-nio-8080-exec-39#244 | http-nio-8080-exec-41#248 | http-nio-8080-exec-42#249 | http-nio-8080-exec-43#282 | http-nio-8080-exec-44#283 | http-nio-8080-exec-45#284</x:v>
      </x:c>
      <x:c r="R452" s="36" t="n">
        <x:v>0</x:v>
      </x:c>
      <x:c r="S452" s="44"/>
      <x:c r="T452" s="36" t="n">
        <x:v>0</x:v>
      </x:c>
      <x:c r="U452" s="44"/>
      <x:c r="V452" s="36" t="n">
        <x:v>0</x:v>
      </x:c>
      <x:c r="W452" s="44"/>
      <x:c r="X452" s="34" t="str">
        <x:v>no-post-undeploy-thread-signal</x:v>
      </x:c>
      <x:c r="Y452" s="44" t="str">
        <x:v>automated signatures are JCS-specific; all other candidate application threads remain unattributed and ownership requires the archived full dump</x:v>
      </x:c>
    </x:row>
    <x:row r="453">
      <x:c r="A453" s="34" t="str">
        <x:v>article1-unified-v4-2-fb3f101b-20260903-000401-default-f04-p5-ehcache</x:v>
      </x:c>
      <x:c r="B453" s="34" t="str">
        <x:v>default</x:v>
      </x:c>
      <x:c r="C453" s="34" t="str">
        <x:v>ehcache</x:v>
      </x:c>
      <x:c r="D453" s="36" t="n">
        <x:v>4</x:v>
      </x:c>
      <x:c r="E453" s="36" t="n">
        <x:v>4</x:v>
      </x:c>
      <x:c r="F453" s="36" t="n">
        <x:v>5</x:v>
      </x:c>
      <x:c r="G453" s="36" t="n">
        <x:v>3</x:v>
      </x:c>
      <x:c r="H453" s="34" t="str">
        <x:v>finalUndeployThreadEvidenceFinal</x:v>
      </x:c>
      <x:c r="I453" s="36" t="n">
        <x:v>2</x:v>
      </x:c>
      <x:c r="J453" s="34" t="str">
        <x:v>final</x:v>
      </x:c>
      <x:c r="K453" s="36" t="n">
        <x:v>27</x:v>
      </x:c>
      <x:c r="L453" s="51" t="n">
        <x:v>0</x:v>
      </x:c>
      <x:c r="M453" s="51" t="n">
        <x:v>0</x:v>
      </x:c>
      <x:c r="N453" s="36" t="n">
        <x:v>10</x:v>
      </x:c>
      <x:c r="O453" s="44" t="str">
        <x:v>http-nio-8080-exec-34#207 | http-nio-8080-exec-37#242 | http-nio-8080-exec-38#243 | http-nio-8080-exec-39#244 | http-nio-8080-exec-41#248 | http-nio-8080-exec-42#249 | http-nio-8080-exec-43#282 | http-nio-8080-exec-44#283 | http-nio-8080-exec-45#284 | http-nio-8080-exec-46#285</x:v>
      </x:c>
      <x:c r="P453" s="36" t="n">
        <x:v>10</x:v>
      </x:c>
      <x:c r="Q453" s="44" t="str">
        <x:v>http-nio-8080-exec-34#207 | http-nio-8080-exec-37#242 | http-nio-8080-exec-38#243 | http-nio-8080-exec-39#244 | http-nio-8080-exec-41#248 | http-nio-8080-exec-42#249 | http-nio-8080-exec-43#282 | http-nio-8080-exec-44#283 | http-nio-8080-exec-45#284 | http-nio-8080-exec-46#285</x:v>
      </x:c>
      <x:c r="R453" s="36" t="n">
        <x:v>0</x:v>
      </x:c>
      <x:c r="S453" s="44"/>
      <x:c r="T453" s="36" t="n">
        <x:v>0</x:v>
      </x:c>
      <x:c r="U453" s="44"/>
      <x:c r="V453" s="36" t="n">
        <x:v>0</x:v>
      </x:c>
      <x:c r="W453" s="44"/>
      <x:c r="X453" s="34" t="str">
        <x:v>no-post-undeploy-thread-signal</x:v>
      </x:c>
      <x:c r="Y453" s="44" t="str">
        <x:v>automated signatures are JCS-specific; all other candidate application threads remain unattributed and ownership requires the archived full dump</x:v>
      </x:c>
    </x:row>
    <x:row r="454">
      <x:c r="A454" s="34" t="str">
        <x:v>article1-unified-v4-2-fb3f101b-20260903-000401-default-f04-p5-ehcache</x:v>
      </x:c>
      <x:c r="B454" s="34" t="str">
        <x:v>default</x:v>
      </x:c>
      <x:c r="C454" s="34" t="str">
        <x:v>ehcache</x:v>
      </x:c>
      <x:c r="D454" s="36" t="n">
        <x:v>4</x:v>
      </x:c>
      <x:c r="E454" s="36" t="n">
        <x:v>4</x:v>
      </x:c>
      <x:c r="F454" s="36" t="n">
        <x:v>5</x:v>
      </x:c>
      <x:c r="G454" s="36" t="n">
        <x:v>4</x:v>
      </x:c>
      <x:c r="H454" s="34" t="str">
        <x:v>firstUndeployThreadEvidenceEarly</x:v>
      </x:c>
      <x:c r="I454" s="36" t="n">
        <x:v>1</x:v>
      </x:c>
      <x:c r="J454" s="34" t="str">
        <x:v>early</x:v>
      </x:c>
      <x:c r="K454" s="36" t="n">
        <x:v>27</x:v>
      </x:c>
      <x:c r="L454" s="51" t="n">
        <x:v>0</x:v>
      </x:c>
      <x:c r="M454" s="51" t="n">
        <x:v>0</x:v>
      </x:c>
      <x:c r="N454" s="36" t="n">
        <x:v>10</x:v>
      </x:c>
      <x:c r="O454" s="44" t="str">
        <x:v>http-nio-8080-exec-34#207 | http-nio-8080-exec-41#248 | http-nio-8080-exec-42#249 | http-nio-8080-exec-44#283 | http-nio-8080-exec-45#284 | http-nio-8080-exec-46#285 | http-nio-8080-exec-47#288 | http-nio-8080-exec-48#289 | http-nio-8080-exec-50#323 | http-nio-8080-exec-51#324</x:v>
      </x:c>
      <x:c r="P454" s="36" t="n">
        <x:v>4</x:v>
      </x:c>
      <x:c r="Q454" s="44" t="str">
        <x:v>http-nio-8080-exec-47#288 | http-nio-8080-exec-48#289 | http-nio-8080-exec-50#323 | http-nio-8080-exec-51#324</x:v>
      </x:c>
      <x:c r="R454" s="36" t="n">
        <x:v>0</x:v>
      </x:c>
      <x:c r="S454" s="44"/>
      <x:c r="T454" s="36" t="n">
        <x:v>0</x:v>
      </x:c>
      <x:c r="U454" s="44"/>
      <x:c r="V454" s="36" t="n">
        <x:v>0</x:v>
      </x:c>
      <x:c r="W454" s="44"/>
      <x:c r="X454" s="34" t="str">
        <x:v>no-post-undeploy-thread-signal</x:v>
      </x:c>
      <x:c r="Y454" s="44" t="str">
        <x:v>automated signatures are JCS-specific; all other candidate application threads remain unattributed and ownership requires the archived full dump</x:v>
      </x:c>
    </x:row>
    <x:row r="455">
      <x:c r="A455" s="34" t="str">
        <x:v>article1-unified-v4-2-fb3f101b-20260903-000401-default-f04-p5-ehcache</x:v>
      </x:c>
      <x:c r="B455" s="34" t="str">
        <x:v>default</x:v>
      </x:c>
      <x:c r="C455" s="34" t="str">
        <x:v>ehcache</x:v>
      </x:c>
      <x:c r="D455" s="36" t="n">
        <x:v>4</x:v>
      </x:c>
      <x:c r="E455" s="36" t="n">
        <x:v>4</x:v>
      </x:c>
      <x:c r="F455" s="36" t="n">
        <x:v>5</x:v>
      </x:c>
      <x:c r="G455" s="36" t="n">
        <x:v>4</x:v>
      </x:c>
      <x:c r="H455" s="34" t="str">
        <x:v>firstUndeployThreadEvidenceFinal</x:v>
      </x:c>
      <x:c r="I455" s="36" t="n">
        <x:v>1</x:v>
      </x:c>
      <x:c r="J455" s="34" t="str">
        <x:v>final</x:v>
      </x:c>
      <x:c r="K455" s="36" t="n">
        <x:v>27</x:v>
      </x:c>
      <x:c r="L455" s="51" t="n">
        <x:v>0</x:v>
      </x:c>
      <x:c r="M455" s="51" t="n">
        <x:v>0</x:v>
      </x:c>
      <x:c r="N455" s="36" t="n">
        <x:v>10</x:v>
      </x:c>
      <x:c r="O455" s="44" t="str">
        <x:v>http-nio-8080-exec-34#207 | http-nio-8080-exec-41#248 | http-nio-8080-exec-42#249 | http-nio-8080-exec-44#283 | http-nio-8080-exec-45#284 | http-nio-8080-exec-47#288 | http-nio-8080-exec-48#289 | http-nio-8080-exec-50#323 | http-nio-8080-exec-51#324 | http-nio-8080-exec-52#325</x:v>
      </x:c>
      <x:c r="P455" s="36" t="n">
        <x:v>5</x:v>
      </x:c>
      <x:c r="Q455" s="44" t="str">
        <x:v>http-nio-8080-exec-47#288 | http-nio-8080-exec-48#289 | http-nio-8080-exec-50#323 | http-nio-8080-exec-51#324 | http-nio-8080-exec-52#325</x:v>
      </x:c>
      <x:c r="R455" s="36" t="n">
        <x:v>0</x:v>
      </x:c>
      <x:c r="S455" s="44"/>
      <x:c r="T455" s="36" t="n">
        <x:v>0</x:v>
      </x:c>
      <x:c r="U455" s="44"/>
      <x:c r="V455" s="36" t="n">
        <x:v>0</x:v>
      </x:c>
      <x:c r="W455" s="44"/>
      <x:c r="X455" s="34" t="str">
        <x:v>no-post-undeploy-thread-signal</x:v>
      </x:c>
      <x:c r="Y455" s="44" t="str">
        <x:v>automated signatures are JCS-specific; all other candidate application threads remain unattributed and ownership requires the archived full dump</x:v>
      </x:c>
    </x:row>
    <x:row r="456">
      <x:c r="A456" s="34" t="str">
        <x:v>article1-unified-v4-2-fb3f101b-20260903-000401-default-f04-p5-ehcache</x:v>
      </x:c>
      <x:c r="B456" s="34" t="str">
        <x:v>default</x:v>
      </x:c>
      <x:c r="C456" s="34" t="str">
        <x:v>ehcache</x:v>
      </x:c>
      <x:c r="D456" s="36" t="n">
        <x:v>4</x:v>
      </x:c>
      <x:c r="E456" s="36" t="n">
        <x:v>4</x:v>
      </x:c>
      <x:c r="F456" s="36" t="n">
        <x:v>5</x:v>
      </x:c>
      <x:c r="G456" s="36" t="n">
        <x:v>4</x:v>
      </x:c>
      <x:c r="H456" s="34" t="str">
        <x:v>finalUndeployThreadEvidenceEarly</x:v>
      </x:c>
      <x:c r="I456" s="36" t="n">
        <x:v>2</x:v>
      </x:c>
      <x:c r="J456" s="34" t="str">
        <x:v>early</x:v>
      </x:c>
      <x:c r="K456" s="36" t="n">
        <x:v>27</x:v>
      </x:c>
      <x:c r="L456" s="51" t="n">
        <x:v>0</x:v>
      </x:c>
      <x:c r="M456" s="51" t="n">
        <x:v>0</x:v>
      </x:c>
      <x:c r="N456" s="36" t="n">
        <x:v>10</x:v>
      </x:c>
      <x:c r="O456" s="44" t="str">
        <x:v>http-nio-8080-exec-42#249 | http-nio-8080-exec-48#289 | http-nio-8080-exec-50#323 | http-nio-8080-exec-51#324 | http-nio-8080-exec-52#325 | http-nio-8080-exec-53#328 | http-nio-8080-exec-54#329 | http-nio-8080-exec-56#363 | http-nio-8080-exec-57#364 | http-nio-8080-exec-58#365</x:v>
      </x:c>
      <x:c r="P456" s="36" t="n">
        <x:v>9</x:v>
      </x:c>
      <x:c r="Q456" s="44" t="str">
        <x:v>http-nio-8080-exec-48#289 | http-nio-8080-exec-50#323 | http-nio-8080-exec-51#324 | http-nio-8080-exec-52#325 | http-nio-8080-exec-53#328 | http-nio-8080-exec-54#329 | http-nio-8080-exec-56#363 | http-nio-8080-exec-57#364 | http-nio-8080-exec-58#365</x:v>
      </x:c>
      <x:c r="R456" s="36" t="n">
        <x:v>0</x:v>
      </x:c>
      <x:c r="S456" s="44"/>
      <x:c r="T456" s="36" t="n">
        <x:v>0</x:v>
      </x:c>
      <x:c r="U456" s="44"/>
      <x:c r="V456" s="36" t="n">
        <x:v>0</x:v>
      </x:c>
      <x:c r="W456" s="44"/>
      <x:c r="X456" s="34" t="str">
        <x:v>no-post-undeploy-thread-signal</x:v>
      </x:c>
      <x:c r="Y456" s="44" t="str">
        <x:v>automated signatures are JCS-specific; all other candidate application threads remain unattributed and ownership requires the archived full dump</x:v>
      </x:c>
    </x:row>
    <x:row r="457">
      <x:c r="A457" s="34" t="str">
        <x:v>article1-unified-v4-2-fb3f101b-20260903-000401-default-f04-p5-ehcache</x:v>
      </x:c>
      <x:c r="B457" s="34" t="str">
        <x:v>default</x:v>
      </x:c>
      <x:c r="C457" s="34" t="str">
        <x:v>ehcache</x:v>
      </x:c>
      <x:c r="D457" s="36" t="n">
        <x:v>4</x:v>
      </x:c>
      <x:c r="E457" s="36" t="n">
        <x:v>4</x:v>
      </x:c>
      <x:c r="F457" s="36" t="n">
        <x:v>5</x:v>
      </x:c>
      <x:c r="G457" s="36" t="n">
        <x:v>4</x:v>
      </x:c>
      <x:c r="H457" s="34" t="str">
        <x:v>finalUndeployThreadEvidenceFinal</x:v>
      </x:c>
      <x:c r="I457" s="36" t="n">
        <x:v>2</x:v>
      </x:c>
      <x:c r="J457" s="34" t="str">
        <x:v>final</x:v>
      </x:c>
      <x:c r="K457" s="36" t="n">
        <x:v>27</x:v>
      </x:c>
      <x:c r="L457" s="51" t="n">
        <x:v>0</x:v>
      </x:c>
      <x:c r="M457" s="51" t="n">
        <x:v>0</x:v>
      </x:c>
      <x:c r="N457" s="36" t="n">
        <x:v>10</x:v>
      </x:c>
      <x:c r="O457" s="44" t="str">
        <x:v>http-nio-8080-exec-42#249 | http-nio-8080-exec-48#289 | http-nio-8080-exec-51#324 | http-nio-8080-exec-52#325 | http-nio-8080-exec-53#328 | http-nio-8080-exec-54#329 | http-nio-8080-exec-56#363 | http-nio-8080-exec-57#364 | http-nio-8080-exec-58#365 | http-nio-8080-exec-59#366</x:v>
      </x:c>
      <x:c r="P457" s="36" t="n">
        <x:v>9</x:v>
      </x:c>
      <x:c r="Q457" s="44" t="str">
        <x:v>http-nio-8080-exec-48#289 | http-nio-8080-exec-51#324 | http-nio-8080-exec-52#325 | http-nio-8080-exec-53#328 | http-nio-8080-exec-54#329 | http-nio-8080-exec-56#363 | http-nio-8080-exec-57#364 | http-nio-8080-exec-58#365 | http-nio-8080-exec-59#366</x:v>
      </x:c>
      <x:c r="R457" s="36" t="n">
        <x:v>0</x:v>
      </x:c>
      <x:c r="S457" s="44"/>
      <x:c r="T457" s="36" t="n">
        <x:v>0</x:v>
      </x:c>
      <x:c r="U457" s="44"/>
      <x:c r="V457" s="36" t="n">
        <x:v>0</x:v>
      </x:c>
      <x:c r="W457" s="44"/>
      <x:c r="X457" s="34" t="str">
        <x:v>no-post-undeploy-thread-signal</x:v>
      </x:c>
      <x:c r="Y457" s="44" t="str">
        <x:v>automated signatures are JCS-specific; all other candidate application threads remain unattributed and ownership requires the archived full dump</x:v>
      </x:c>
    </x:row>
    <x:row r="458">
      <x:c r="A458" s="34" t="str">
        <x:v>article1-unified-v4-2-fb3f101b-20260903-000401-default-f04-p5-ehcache</x:v>
      </x:c>
      <x:c r="B458" s="34" t="str">
        <x:v>default</x:v>
      </x:c>
      <x:c r="C458" s="34" t="str">
        <x:v>ehcache</x:v>
      </x:c>
      <x:c r="D458" s="36" t="n">
        <x:v>4</x:v>
      </x:c>
      <x:c r="E458" s="36" t="n">
        <x:v>4</x:v>
      </x:c>
      <x:c r="F458" s="36" t="n">
        <x:v>5</x:v>
      </x:c>
      <x:c r="G458" s="36" t="n">
        <x:v>5</x:v>
      </x:c>
      <x:c r="H458" s="34" t="str">
        <x:v>firstUndeployThreadEvidenceEarly</x:v>
      </x:c>
      <x:c r="I458" s="36" t="n">
        <x:v>1</x:v>
      </x:c>
      <x:c r="J458" s="34" t="str">
        <x:v>early</x:v>
      </x:c>
      <x:c r="K458" s="36" t="n">
        <x:v>27</x:v>
      </x:c>
      <x:c r="L458" s="51" t="n">
        <x:v>0</x:v>
      </x:c>
      <x:c r="M458" s="51" t="n">
        <x:v>0</x:v>
      </x:c>
      <x:c r="N458" s="36" t="n">
        <x:v>10</x:v>
      </x:c>
      <x:c r="O458" s="44" t="str">
        <x:v>http-nio-8080-exec-42#249 | http-nio-8080-exec-53#328 | http-nio-8080-exec-56#363 | http-nio-8080-exec-57#364 | http-nio-8080-exec-59#366 | http-nio-8080-exec-60#369 | http-nio-8080-exec-61#370 | http-nio-8080-exec-62#403 | http-nio-8080-exec-63#404 | http-nio-8080-exec-64#405</x:v>
      </x:c>
      <x:c r="P458" s="36" t="n">
        <x:v>5</x:v>
      </x:c>
      <x:c r="Q458" s="44" t="str">
        <x:v>http-nio-8080-exec-60#369 | http-nio-8080-exec-61#370 | http-nio-8080-exec-62#403 | http-nio-8080-exec-63#404 | http-nio-8080-exec-64#405</x:v>
      </x:c>
      <x:c r="R458" s="36" t="n">
        <x:v>0</x:v>
      </x:c>
      <x:c r="S458" s="44"/>
      <x:c r="T458" s="36" t="n">
        <x:v>0</x:v>
      </x:c>
      <x:c r="U458" s="44"/>
      <x:c r="V458" s="36" t="n">
        <x:v>0</x:v>
      </x:c>
      <x:c r="W458" s="44"/>
      <x:c r="X458" s="34" t="str">
        <x:v>no-post-undeploy-thread-signal</x:v>
      </x:c>
      <x:c r="Y458" s="44" t="str">
        <x:v>automated signatures are JCS-specific; all other candidate application threads remain unattributed and ownership requires the archived full dump</x:v>
      </x:c>
    </x:row>
    <x:row r="459">
      <x:c r="A459" s="34" t="str">
        <x:v>article1-unified-v4-2-fb3f101b-20260903-000401-default-f04-p5-ehcache</x:v>
      </x:c>
      <x:c r="B459" s="34" t="str">
        <x:v>default</x:v>
      </x:c>
      <x:c r="C459" s="34" t="str">
        <x:v>ehcache</x:v>
      </x:c>
      <x:c r="D459" s="36" t="n">
        <x:v>4</x:v>
      </x:c>
      <x:c r="E459" s="36" t="n">
        <x:v>4</x:v>
      </x:c>
      <x:c r="F459" s="36" t="n">
        <x:v>5</x:v>
      </x:c>
      <x:c r="G459" s="36" t="n">
        <x:v>5</x:v>
      </x:c>
      <x:c r="H459" s="34" t="str">
        <x:v>firstUndeployThreadEvidenceFinal</x:v>
      </x:c>
      <x:c r="I459" s="36" t="n">
        <x:v>1</x:v>
      </x:c>
      <x:c r="J459" s="34" t="str">
        <x:v>final</x:v>
      </x:c>
      <x:c r="K459" s="36" t="n">
        <x:v>27</x:v>
      </x:c>
      <x:c r="L459" s="51" t="n">
        <x:v>0</x:v>
      </x:c>
      <x:c r="M459" s="51" t="n">
        <x:v>0</x:v>
      </x:c>
      <x:c r="N459" s="36" t="n">
        <x:v>10</x:v>
      </x:c>
      <x:c r="O459" s="44" t="str">
        <x:v>http-nio-8080-exec-42#249 | http-nio-8080-exec-53#328 | http-nio-8080-exec-56#363 | http-nio-8080-exec-57#364 | http-nio-8080-exec-59#366 | http-nio-8080-exec-60#369 | http-nio-8080-exec-62#403 | http-nio-8080-exec-63#404 | http-nio-8080-exec-64#405 | http-nio-8080-exec-65#406</x:v>
      </x:c>
      <x:c r="P459" s="36" t="n">
        <x:v>5</x:v>
      </x:c>
      <x:c r="Q459" s="44" t="str">
        <x:v>http-nio-8080-exec-60#369 | http-nio-8080-exec-62#403 | http-nio-8080-exec-63#404 | http-nio-8080-exec-64#405 | http-nio-8080-exec-65#406</x:v>
      </x:c>
      <x:c r="R459" s="36" t="n">
        <x:v>0</x:v>
      </x:c>
      <x:c r="S459" s="44"/>
      <x:c r="T459" s="36" t="n">
        <x:v>0</x:v>
      </x:c>
      <x:c r="U459" s="44"/>
      <x:c r="V459" s="36" t="n">
        <x:v>0</x:v>
      </x:c>
      <x:c r="W459" s="44"/>
      <x:c r="X459" s="34" t="str">
        <x:v>no-post-undeploy-thread-signal</x:v>
      </x:c>
      <x:c r="Y459" s="44" t="str">
        <x:v>automated signatures are JCS-specific; all other candidate application threads remain unattributed and ownership requires the archived full dump</x:v>
      </x:c>
    </x:row>
    <x:row r="460">
      <x:c r="A460" s="34" t="str">
        <x:v>article1-unified-v4-2-fb3f101b-20260903-000401-default-f04-p5-ehcache</x:v>
      </x:c>
      <x:c r="B460" s="34" t="str">
        <x:v>default</x:v>
      </x:c>
      <x:c r="C460" s="34" t="str">
        <x:v>ehcache</x:v>
      </x:c>
      <x:c r="D460" s="36" t="n">
        <x:v>4</x:v>
      </x:c>
      <x:c r="E460" s="36" t="n">
        <x:v>4</x:v>
      </x:c>
      <x:c r="F460" s="36" t="n">
        <x:v>5</x:v>
      </x:c>
      <x:c r="G460" s="36" t="n">
        <x:v>5</x:v>
      </x:c>
      <x:c r="H460" s="34" t="str">
        <x:v>finalUndeployThreadEvidenceEarly</x:v>
      </x:c>
      <x:c r="I460" s="36" t="n">
        <x:v>2</x:v>
      </x:c>
      <x:c r="J460" s="34" t="str">
        <x:v>early</x:v>
      </x:c>
      <x:c r="K460" s="36" t="n">
        <x:v>27</x:v>
      </x:c>
      <x:c r="L460" s="51" t="n">
        <x:v>0</x:v>
      </x:c>
      <x:c r="M460" s="51" t="n">
        <x:v>0</x:v>
      </x:c>
      <x:c r="N460" s="36" t="n">
        <x:v>10</x:v>
      </x:c>
      <x:c r="O460" s="44" t="str">
        <x:v>http-nio-8080-exec-42#249 | http-nio-8080-exec-56#363 | http-nio-8080-exec-63#404 | http-nio-8080-exec-64#405 | http-nio-8080-exec-65#406 | http-nio-8080-exec-66#409 | http-nio-8080-exec-67#410 | http-nio-8080-exec-68#411 | http-nio-8080-exec-70#445 | http-nio-8080-exec-71#446</x:v>
      </x:c>
      <x:c r="P460" s="36" t="n">
        <x:v>8</x:v>
      </x:c>
      <x:c r="Q460" s="44" t="str">
        <x:v>http-nio-8080-exec-63#404 | http-nio-8080-exec-64#405 | http-nio-8080-exec-65#406 | http-nio-8080-exec-66#409 | http-nio-8080-exec-67#410 | http-nio-8080-exec-68#411 | http-nio-8080-exec-70#445 | http-nio-8080-exec-71#446</x:v>
      </x:c>
      <x:c r="R460" s="36" t="n">
        <x:v>0</x:v>
      </x:c>
      <x:c r="S460" s="44"/>
      <x:c r="T460" s="36" t="n">
        <x:v>0</x:v>
      </x:c>
      <x:c r="U460" s="44"/>
      <x:c r="V460" s="36" t="n">
        <x:v>0</x:v>
      </x:c>
      <x:c r="W460" s="44"/>
      <x:c r="X460" s="34" t="str">
        <x:v>no-post-undeploy-thread-signal</x:v>
      </x:c>
      <x:c r="Y460" s="44" t="str">
        <x:v>automated signatures are JCS-specific; all other candidate application threads remain unattributed and ownership requires the archived full dump</x:v>
      </x:c>
    </x:row>
    <x:row r="461">
      <x:c r="A461" s="34" t="str">
        <x:v>article1-unified-v4-2-fb3f101b-20260903-000401-default-f04-p5-ehcache</x:v>
      </x:c>
      <x:c r="B461" s="34" t="str">
        <x:v>default</x:v>
      </x:c>
      <x:c r="C461" s="34" t="str">
        <x:v>ehcache</x:v>
      </x:c>
      <x:c r="D461" s="36" t="n">
        <x:v>4</x:v>
      </x:c>
      <x:c r="E461" s="36" t="n">
        <x:v>4</x:v>
      </x:c>
      <x:c r="F461" s="36" t="n">
        <x:v>5</x:v>
      </x:c>
      <x:c r="G461" s="36" t="n">
        <x:v>5</x:v>
      </x:c>
      <x:c r="H461" s="34" t="str">
        <x:v>finalUndeployThreadEvidenceFinal</x:v>
      </x:c>
      <x:c r="I461" s="36" t="n">
        <x:v>2</x:v>
      </x:c>
      <x:c r="J461" s="34" t="str">
        <x:v>final</x:v>
      </x:c>
      <x:c r="K461" s="36" t="n">
        <x:v>27</x:v>
      </x:c>
      <x:c r="L461" s="51" t="n">
        <x:v>0</x:v>
      </x:c>
      <x:c r="M461" s="51" t="n">
        <x:v>0</x:v>
      </x:c>
      <x:c r="N461" s="36" t="n">
        <x:v>10</x:v>
      </x:c>
      <x:c r="O461" s="44" t="str">
        <x:v>http-nio-8080-exec-42#249 | http-nio-8080-exec-56#363 | http-nio-8080-exec-63#404 | http-nio-8080-exec-64#405 | http-nio-8080-exec-65#406 | http-nio-8080-exec-67#410 | http-nio-8080-exec-68#411 | http-nio-8080-exec-70#445 | http-nio-8080-exec-71#446 | http-nio-8080-exec-72#447</x:v>
      </x:c>
      <x:c r="P461" s="36" t="n">
        <x:v>8</x:v>
      </x:c>
      <x:c r="Q461" s="44" t="str">
        <x:v>http-nio-8080-exec-63#404 | http-nio-8080-exec-64#405 | http-nio-8080-exec-65#406 | http-nio-8080-exec-67#410 | http-nio-8080-exec-68#411 | http-nio-8080-exec-70#445 | http-nio-8080-exec-71#446 | http-nio-8080-exec-72#447</x:v>
      </x:c>
      <x:c r="R461" s="36" t="n">
        <x:v>0</x:v>
      </x:c>
      <x:c r="S461" s="44"/>
      <x:c r="T461" s="36" t="n">
        <x:v>0</x:v>
      </x:c>
      <x:c r="U461" s="44"/>
      <x:c r="V461" s="36" t="n">
        <x:v>0</x:v>
      </x:c>
      <x:c r="W461" s="44"/>
      <x:c r="X461" s="34" t="str">
        <x:v>no-post-undeploy-thread-signal</x:v>
      </x:c>
      <x:c r="Y461" s="44" t="str">
        <x:v>automated signatures are JCS-specific; all other candidate application threads remain unattributed and ownership requires the archived full dump</x:v>
      </x:c>
    </x:row>
    <x:row r="462">
      <x:c r="A462" s="34" t="str">
        <x:v>article1-unified-v4-2-fb3f101b-20260903-000401-default-f04-p6-caffeine</x:v>
      </x:c>
      <x:c r="B462" s="34" t="str">
        <x:v>default</x:v>
      </x:c>
      <x:c r="C462" s="34" t="str">
        <x:v>caffeine</x:v>
      </x:c>
      <x:c r="D462" s="36" t="n">
        <x:v>4</x:v>
      </x:c>
      <x:c r="E462" s="36" t="n">
        <x:v>4</x:v>
      </x:c>
      <x:c r="F462" s="36" t="n">
        <x:v>6</x:v>
      </x:c>
      <x:c r="G462" s="36" t="n">
        <x:v>1</x:v>
      </x:c>
      <x:c r="H462" s="34" t="str">
        <x:v>firstUndeployThreadEvidenceEarly</x:v>
      </x:c>
      <x:c r="I462" s="36" t="n">
        <x:v>1</x:v>
      </x:c>
      <x:c r="J462" s="34" t="str">
        <x:v>early</x:v>
      </x:c>
      <x:c r="K462" s="36" t="n">
        <x:v>30</x:v>
      </x:c>
      <x:c r="L462" s="51" t="n">
        <x:v>3</x:v>
      </x:c>
      <x:c r="M462" s="51" t="n">
        <x:v>3</x:v>
      </x:c>
      <x:c r="N462" s="36" t="n">
        <x:v>5</x:v>
      </x:c>
      <x:c r="O462" s="44" t="str">
        <x:v>ForkJoinPool.commonPool-worker-1#48 | ForkJoinPool.commonPool-worker-2#49 | ForkJoinPool.commonPool-worker-3#50 | http-nio-8080-exec-11#83 | http-nio-8080-exec-12#84</x:v>
      </x:c>
      <x:c r="P462" s="36" t="n">
        <x:v>5</x:v>
      </x:c>
      <x:c r="Q462" s="44" t="str">
        <x:v>ForkJoinPool.commonPool-worker-1#48 | ForkJoinPool.commonPool-worker-2#49 | ForkJoinPool.commonPool-worker-3#50 | http-nio-8080-exec-11#83 | http-nio-8080-exec-12#84</x:v>
      </x:c>
      <x:c r="R462" s="36" t="n">
        <x:v>3</x:v>
      </x:c>
      <x:c r="S462" s="44" t="str">
        <x:v>ForkJoinPool.commonPool-worker-1#48 | ForkJoinPool.commonPool-worker-2#49 | ForkJoinPool.commonPool-worker-3#50</x:v>
      </x:c>
      <x:c r="T462" s="36" t="n">
        <x:v>3</x:v>
      </x:c>
      <x:c r="U462" s="44" t="str">
        <x:v>ForkJoinPool.commonPool-worker-1#48 | ForkJoinPool.commonPool-worker-2#49 | ForkJoinPool.commonPool-worker-3#50</x:v>
      </x:c>
      <x:c r="V462" s="36" t="n">
        <x:v>0</x:v>
      </x:c>
      <x:c r="W462" s="44"/>
      <x:c r="X462" s="34" t="str">
        <x:v>unattributed-thread-signal</x:v>
      </x:c>
      <x:c r="Y462" s="44" t="str">
        <x:v>automated signatures are JCS-specific; all other candidate application threads remain unattributed and ownership requires the archived full dump</x:v>
      </x:c>
    </x:row>
    <x:row r="463">
      <x:c r="A463" s="34" t="str">
        <x:v>article1-unified-v4-2-fb3f101b-20260903-000401-default-f04-p6-caffeine</x:v>
      </x:c>
      <x:c r="B463" s="34" t="str">
        <x:v>default</x:v>
      </x:c>
      <x:c r="C463" s="34" t="str">
        <x:v>caffeine</x:v>
      </x:c>
      <x:c r="D463" s="36" t="n">
        <x:v>4</x:v>
      </x:c>
      <x:c r="E463" s="36" t="n">
        <x:v>4</x:v>
      </x:c>
      <x:c r="F463" s="36" t="n">
        <x:v>6</x:v>
      </x:c>
      <x:c r="G463" s="36" t="n">
        <x:v>1</x:v>
      </x:c>
      <x:c r="H463" s="34" t="str">
        <x:v>firstUndeployThreadEvidenceFinal</x:v>
      </x:c>
      <x:c r="I463" s="36" t="n">
        <x:v>1</x:v>
      </x:c>
      <x:c r="J463" s="34" t="str">
        <x:v>final</x:v>
      </x:c>
      <x:c r="K463" s="36" t="n">
        <x:v>30</x:v>
      </x:c>
      <x:c r="L463" s="51" t="n">
        <x:v>3</x:v>
      </x:c>
      <x:c r="M463" s="51" t="n">
        <x:v>3</x:v>
      </x:c>
      <x:c r="N463" s="36" t="n">
        <x:v>6</x:v>
      </x:c>
      <x:c r="O463" s="44" t="str">
        <x:v>ForkJoinPool.commonPool-worker-1#48 | ForkJoinPool.commonPool-worker-2#49 | ForkJoinPool.commonPool-worker-3#50 | http-nio-8080-exec-11#83 | http-nio-8080-exec-12#84 | http-nio-8080-exec-13#85</x:v>
      </x:c>
      <x:c r="P463" s="36" t="n">
        <x:v>6</x:v>
      </x:c>
      <x:c r="Q463" s="44" t="str">
        <x:v>ForkJoinPool.commonPool-worker-1#48 | ForkJoinPool.commonPool-worker-2#49 | ForkJoinPool.commonPool-worker-3#50 | http-nio-8080-exec-11#83 | http-nio-8080-exec-12#84 | http-nio-8080-exec-13#85</x:v>
      </x:c>
      <x:c r="R463" s="36" t="n">
        <x:v>3</x:v>
      </x:c>
      <x:c r="S463" s="44" t="str">
        <x:v>ForkJoinPool.commonPool-worker-1#48 | ForkJoinPool.commonPool-worker-2#49 | ForkJoinPool.commonPool-worker-3#50</x:v>
      </x:c>
      <x:c r="T463" s="36" t="n">
        <x:v>3</x:v>
      </x:c>
      <x:c r="U463" s="44" t="str">
        <x:v>ForkJoinPool.commonPool-worker-1#48 | ForkJoinPool.commonPool-worker-2#49 | ForkJoinPool.commonPool-worker-3#50</x:v>
      </x:c>
      <x:c r="V463" s="36" t="n">
        <x:v>0</x:v>
      </x:c>
      <x:c r="W463" s="44"/>
      <x:c r="X463" s="34" t="str">
        <x:v>unattributed-thread-signal</x:v>
      </x:c>
      <x:c r="Y463" s="44" t="str">
        <x:v>automated signatures are JCS-specific; all other candidate application threads remain unattributed and ownership requires the archived full dump</x:v>
      </x:c>
    </x:row>
    <x:row r="464">
      <x:c r="A464" s="34" t="str">
        <x:v>article1-unified-v4-2-fb3f101b-20260903-000401-default-f04-p6-caffeine</x:v>
      </x:c>
      <x:c r="B464" s="34" t="str">
        <x:v>default</x:v>
      </x:c>
      <x:c r="C464" s="34" t="str">
        <x:v>caffeine</x:v>
      </x:c>
      <x:c r="D464" s="36" t="n">
        <x:v>4</x:v>
      </x:c>
      <x:c r="E464" s="36" t="n">
        <x:v>4</x:v>
      </x:c>
      <x:c r="F464" s="36" t="n">
        <x:v>6</x:v>
      </x:c>
      <x:c r="G464" s="36" t="n">
        <x:v>1</x:v>
      </x:c>
      <x:c r="H464" s="34" t="str">
        <x:v>finalUndeployThreadEvidenceEarly</x:v>
      </x:c>
      <x:c r="I464" s="36" t="n">
        <x:v>2</x:v>
      </x:c>
      <x:c r="J464" s="34" t="str">
        <x:v>early</x:v>
      </x:c>
      <x:c r="K464" s="36" t="n">
        <x:v>30</x:v>
      </x:c>
      <x:c r="L464" s="51" t="n">
        <x:v>3</x:v>
      </x:c>
      <x:c r="M464" s="51" t="n">
        <x:v>3</x:v>
      </x:c>
      <x:c r="N464" s="36" t="n">
        <x:v>11</x:v>
      </x:c>
      <x:c r="O464" s="44" t="str">
        <x:v>ForkJoinPool.commonPool-worker-1#48 | ForkJoinPool.commonPool-worker-2#49 | ForkJoinPool.commonPool-worker-3#50 | http-nio-8080-exec-11#83 | http-nio-8080-exec-12#84 | http-nio-8080-exec-13#85 | http-nio-8080-exec-15#89 | http-nio-8080-exec-16#90 | http-nio-8080-exec-17#123 | http-nio-8080-exec-18#124 | http-nio-8080-exec-19#125</x:v>
      </x:c>
      <x:c r="P464" s="36" t="n">
        <x:v>11</x:v>
      </x:c>
      <x:c r="Q464" s="44" t="str">
        <x:v>ForkJoinPool.commonPool-worker-1#48 | ForkJoinPool.commonPool-worker-2#49 | ForkJoinPool.commonPool-worker-3#50 | http-nio-8080-exec-11#83 | http-nio-8080-exec-12#84 | http-nio-8080-exec-13#85 | http-nio-8080-exec-15#89 | http-nio-8080-exec-16#90 | http-nio-8080-exec-17#123 | http-nio-8080-exec-18#124 | http-nio-8080-exec-19#125</x:v>
      </x:c>
      <x:c r="R464" s="36" t="n">
        <x:v>3</x:v>
      </x:c>
      <x:c r="S464" s="44" t="str">
        <x:v>ForkJoinPool.commonPool-worker-1#48 | ForkJoinPool.commonPool-worker-2#49 | ForkJoinPool.commonPool-worker-3#50</x:v>
      </x:c>
      <x:c r="T464" s="36" t="n">
        <x:v>3</x:v>
      </x:c>
      <x:c r="U464" s="44" t="str">
        <x:v>ForkJoinPool.commonPool-worker-1#48 | ForkJoinPool.commonPool-worker-2#49 | ForkJoinPool.commonPool-worker-3#50</x:v>
      </x:c>
      <x:c r="V464" s="36" t="n">
        <x:v>0</x:v>
      </x:c>
      <x:c r="W464" s="44"/>
      <x:c r="X464" s="34" t="str">
        <x:v>unattributed-thread-signal</x:v>
      </x:c>
      <x:c r="Y464" s="44" t="str">
        <x:v>automated signatures are JCS-specific; all other candidate application threads remain unattributed and ownership requires the archived full dump</x:v>
      </x:c>
    </x:row>
    <x:row r="465">
      <x:c r="A465" s="34" t="str">
        <x:v>article1-unified-v4-2-fb3f101b-20260903-000401-default-f04-p6-caffeine</x:v>
      </x:c>
      <x:c r="B465" s="34" t="str">
        <x:v>default</x:v>
      </x:c>
      <x:c r="C465" s="34" t="str">
        <x:v>caffeine</x:v>
      </x:c>
      <x:c r="D465" s="36" t="n">
        <x:v>4</x:v>
      </x:c>
      <x:c r="E465" s="36" t="n">
        <x:v>4</x:v>
      </x:c>
      <x:c r="F465" s="36" t="n">
        <x:v>6</x:v>
      </x:c>
      <x:c r="G465" s="36" t="n">
        <x:v>1</x:v>
      </x:c>
      <x:c r="H465" s="34" t="str">
        <x:v>finalUndeployThreadEvidenceFinal</x:v>
      </x:c>
      <x:c r="I465" s="36" t="n">
        <x:v>2</x:v>
      </x:c>
      <x:c r="J465" s="34" t="str">
        <x:v>final</x:v>
      </x:c>
      <x:c r="K465" s="36" t="n">
        <x:v>30</x:v>
      </x:c>
      <x:c r="L465" s="51" t="n">
        <x:v>3</x:v>
      </x:c>
      <x:c r="M465" s="51" t="n">
        <x:v>3</x:v>
      </x:c>
      <x:c r="N465" s="36" t="n">
        <x:v>11</x:v>
      </x:c>
      <x:c r="O465" s="44" t="str">
        <x:v>ForkJoinPool.commonPool-worker-1#48 | ForkJoinPool.commonPool-worker-2#49 | ForkJoinPool.commonPool-worker-3#50 | http-nio-8080-exec-11#83 | http-nio-8080-exec-12#84 | http-nio-8080-exec-13#85 | http-nio-8080-exec-16#90 | http-nio-8080-exec-17#123 | http-nio-8080-exec-18#124 | http-nio-8080-exec-19#125 | http-nio-8080-exec-20#126</x:v>
      </x:c>
      <x:c r="P465" s="36" t="n">
        <x:v>11</x:v>
      </x:c>
      <x:c r="Q465" s="44" t="str">
        <x:v>ForkJoinPool.commonPool-worker-1#48 | ForkJoinPool.commonPool-worker-2#49 | ForkJoinPool.commonPool-worker-3#50 | http-nio-8080-exec-11#83 | http-nio-8080-exec-12#84 | http-nio-8080-exec-13#85 | http-nio-8080-exec-16#90 | http-nio-8080-exec-17#123 | http-nio-8080-exec-18#124 | http-nio-8080-exec-19#125 | http-nio-8080-exec-20#126</x:v>
      </x:c>
      <x:c r="R465" s="36" t="n">
        <x:v>3</x:v>
      </x:c>
      <x:c r="S465" s="44" t="str">
        <x:v>ForkJoinPool.commonPool-worker-1#48 | ForkJoinPool.commonPool-worker-2#49 | ForkJoinPool.commonPool-worker-3#50</x:v>
      </x:c>
      <x:c r="T465" s="36" t="n">
        <x:v>3</x:v>
      </x:c>
      <x:c r="U465" s="44" t="str">
        <x:v>ForkJoinPool.commonPool-worker-1#48 | ForkJoinPool.commonPool-worker-2#49 | ForkJoinPool.commonPool-worker-3#50</x:v>
      </x:c>
      <x:c r="V465" s="36" t="n">
        <x:v>0</x:v>
      </x:c>
      <x:c r="W465" s="44"/>
      <x:c r="X465" s="34" t="str">
        <x:v>unattributed-thread-signal</x:v>
      </x:c>
      <x:c r="Y465" s="44" t="str">
        <x:v>automated signatures are JCS-specific; all other candidate application threads remain unattributed and ownership requires the archived full dump</x:v>
      </x:c>
    </x:row>
    <x:row r="466">
      <x:c r="A466" s="34" t="str">
        <x:v>article1-unified-v4-2-fb3f101b-20260903-000401-default-f04-p6-caffeine</x:v>
      </x:c>
      <x:c r="B466" s="34" t="str">
        <x:v>default</x:v>
      </x:c>
      <x:c r="C466" s="34" t="str">
        <x:v>caffeine</x:v>
      </x:c>
      <x:c r="D466" s="36" t="n">
        <x:v>4</x:v>
      </x:c>
      <x:c r="E466" s="36" t="n">
        <x:v>4</x:v>
      </x:c>
      <x:c r="F466" s="36" t="n">
        <x:v>6</x:v>
      </x:c>
      <x:c r="G466" s="36" t="n">
        <x:v>2</x:v>
      </x:c>
      <x:c r="H466" s="34" t="str">
        <x:v>firstUndeployThreadEvidenceEarly</x:v>
      </x:c>
      <x:c r="I466" s="36" t="n">
        <x:v>1</x:v>
      </x:c>
      <x:c r="J466" s="34" t="str">
        <x:v>early</x:v>
      </x:c>
      <x:c r="K466" s="36" t="n">
        <x:v>30</x:v>
      </x:c>
      <x:c r="L466" s="51" t="n">
        <x:v>3</x:v>
      </x:c>
      <x:c r="M466" s="51" t="n">
        <x:v>0</x:v>
      </x:c>
      <x:c r="N466" s="36" t="n">
        <x:v>12</x:v>
      </x:c>
      <x:c r="O466" s="44" t="str">
        <x:v>ForkJoinPool.commonPool-worker-1#48 | ForkJoinPool.commonPool-worker-2#49 | ForkJoinPool.commonPool-worker-3#50 | http-nio-8080-exec-13#85 | http-nio-8080-exec-18#124 | http-nio-8080-exec-19#125 | http-nio-8080-exec-20#126 | http-nio-8080-exec-21#129 | http-nio-8080-exec-22#130 | http-nio-8080-exec-23#163 | http-nio-8080-exec-24#164 | http-nio-8080-exec-25#165</x:v>
      </x:c>
      <x:c r="P466" s="36" t="n">
        <x:v>5</x:v>
      </x:c>
      <x:c r="Q466" s="44" t="str">
        <x:v>http-nio-8080-exec-21#129 | http-nio-8080-exec-22#130 | http-nio-8080-exec-23#163 | http-nio-8080-exec-24#164 | http-nio-8080-exec-25#165</x:v>
      </x:c>
      <x:c r="R466" s="36" t="n">
        <x:v>3</x:v>
      </x:c>
      <x:c r="S466" s="44" t="str">
        <x:v>ForkJoinPool.commonPool-worker-1#48 | ForkJoinPool.commonPool-worker-2#49 | ForkJoinPool.commonPool-worker-3#50</x:v>
      </x:c>
      <x:c r="T466" s="36" t="n">
        <x:v>0</x:v>
      </x:c>
      <x:c r="U466" s="44"/>
      <x:c r="V466" s="36" t="n">
        <x:v>0</x:v>
      </x:c>
      <x:c r="W466" s="44"/>
      <x:c r="X466" s="34" t="str">
        <x:v>unattributed-thread-signal</x:v>
      </x:c>
      <x:c r="Y466" s="44" t="str">
        <x:v>automated signatures are JCS-specific; all other candidate application threads remain unattributed and ownership requires the archived full dump</x:v>
      </x:c>
    </x:row>
    <x:row r="467">
      <x:c r="A467" s="34" t="str">
        <x:v>article1-unified-v4-2-fb3f101b-20260903-000401-default-f04-p6-caffeine</x:v>
      </x:c>
      <x:c r="B467" s="34" t="str">
        <x:v>default</x:v>
      </x:c>
      <x:c r="C467" s="34" t="str">
        <x:v>caffeine</x:v>
      </x:c>
      <x:c r="D467" s="36" t="n">
        <x:v>4</x:v>
      </x:c>
      <x:c r="E467" s="36" t="n">
        <x:v>4</x:v>
      </x:c>
      <x:c r="F467" s="36" t="n">
        <x:v>6</x:v>
      </x:c>
      <x:c r="G467" s="36" t="n">
        <x:v>2</x:v>
      </x:c>
      <x:c r="H467" s="34" t="str">
        <x:v>firstUndeployThreadEvidenceFinal</x:v>
      </x:c>
      <x:c r="I467" s="36" t="n">
        <x:v>1</x:v>
      </x:c>
      <x:c r="J467" s="34" t="str">
        <x:v>final</x:v>
      </x:c>
      <x:c r="K467" s="36" t="n">
        <x:v>30</x:v>
      </x:c>
      <x:c r="L467" s="51" t="n">
        <x:v>3</x:v>
      </x:c>
      <x:c r="M467" s="51" t="n">
        <x:v>0</x:v>
      </x:c>
      <x:c r="N467" s="36" t="n">
        <x:v>12</x:v>
      </x:c>
      <x:c r="O467" s="44" t="str">
        <x:v>ForkJoinPool.commonPool-worker-1#48 | ForkJoinPool.commonPool-worker-2#49 | ForkJoinPool.commonPool-worker-3#50 | http-nio-8080-exec-13#85 | http-nio-8080-exec-18#124 | http-nio-8080-exec-19#125 | http-nio-8080-exec-20#126 | http-nio-8080-exec-21#129 | http-nio-8080-exec-22#130 | http-nio-8080-exec-24#164 | http-nio-8080-exec-25#165 | http-nio-8080-exec-26#166</x:v>
      </x:c>
      <x:c r="P467" s="36" t="n">
        <x:v>5</x:v>
      </x:c>
      <x:c r="Q467" s="44" t="str">
        <x:v>http-nio-8080-exec-21#129 | http-nio-8080-exec-22#130 | http-nio-8080-exec-24#164 | http-nio-8080-exec-25#165 | http-nio-8080-exec-26#166</x:v>
      </x:c>
      <x:c r="R467" s="36" t="n">
        <x:v>3</x:v>
      </x:c>
      <x:c r="S467" s="44" t="str">
        <x:v>ForkJoinPool.commonPool-worker-1#48 | ForkJoinPool.commonPool-worker-2#49 | ForkJoinPool.commonPool-worker-3#50</x:v>
      </x:c>
      <x:c r="T467" s="36" t="n">
        <x:v>0</x:v>
      </x:c>
      <x:c r="U467" s="44"/>
      <x:c r="V467" s="36" t="n">
        <x:v>0</x:v>
      </x:c>
      <x:c r="W467" s="44"/>
      <x:c r="X467" s="34" t="str">
        <x:v>unattributed-thread-signal</x:v>
      </x:c>
      <x:c r="Y467" s="44" t="str">
        <x:v>automated signatures are JCS-specific; all other candidate application threads remain unattributed and ownership requires the archived full dump</x:v>
      </x:c>
    </x:row>
    <x:row r="468">
      <x:c r="A468" s="34" t="str">
        <x:v>article1-unified-v4-2-fb3f101b-20260903-000401-default-f04-p6-caffeine</x:v>
      </x:c>
      <x:c r="B468" s="34" t="str">
        <x:v>default</x:v>
      </x:c>
      <x:c r="C468" s="34" t="str">
        <x:v>caffeine</x:v>
      </x:c>
      <x:c r="D468" s="36" t="n">
        <x:v>4</x:v>
      </x:c>
      <x:c r="E468" s="36" t="n">
        <x:v>4</x:v>
      </x:c>
      <x:c r="F468" s="36" t="n">
        <x:v>6</x:v>
      </x:c>
      <x:c r="G468" s="36" t="n">
        <x:v>2</x:v>
      </x:c>
      <x:c r="H468" s="34" t="str">
        <x:v>finalUndeployThreadEvidenceEarly</x:v>
      </x:c>
      <x:c r="I468" s="36" t="n">
        <x:v>2</x:v>
      </x:c>
      <x:c r="J468" s="34" t="str">
        <x:v>early</x:v>
      </x:c>
      <x:c r="K468" s="36" t="n">
        <x:v>30</x:v>
      </x:c>
      <x:c r="L468" s="51" t="n">
        <x:v>3</x:v>
      </x:c>
      <x:c r="M468" s="51" t="n">
        <x:v>0</x:v>
      </x:c>
      <x:c r="N468" s="36" t="n">
        <x:v>13</x:v>
      </x:c>
      <x:c r="O468" s="44" t="str">
        <x:v>ForkJoinPool.commonPool-worker-1#48 | ForkJoinPool.commonPool-worker-2#49 | ForkJoinPool.commonPool-worker-3#50 | http-nio-8080-exec-13#85 | http-nio-8080-exec-18#124 | http-nio-8080-exec-24#164 | http-nio-8080-exec-25#165 | http-nio-8080-exec-26#166 | http-nio-8080-exec-27#169 | http-nio-8080-exec-28#170 | http-nio-8080-exec-30#204 | http-nio-8080-exec-31#205 | http-nio-8080-exec-32#206</x:v>
      </x:c>
      <x:c r="P468" s="36" t="n">
        <x:v>8</x:v>
      </x:c>
      <x:c r="Q468" s="44" t="str">
        <x:v>http-nio-8080-exec-24#164 | http-nio-8080-exec-25#165 | http-nio-8080-exec-26#166 | http-nio-8080-exec-27#169 | http-nio-8080-exec-28#170 | http-nio-8080-exec-30#204 | http-nio-8080-exec-31#205 | http-nio-8080-exec-32#206</x:v>
      </x:c>
      <x:c r="R468" s="36" t="n">
        <x:v>3</x:v>
      </x:c>
      <x:c r="S468" s="44" t="str">
        <x:v>ForkJoinPool.commonPool-worker-1#48 | ForkJoinPool.commonPool-worker-2#49 | ForkJoinPool.commonPool-worker-3#50</x:v>
      </x:c>
      <x:c r="T468" s="36" t="n">
        <x:v>0</x:v>
      </x:c>
      <x:c r="U468" s="44"/>
      <x:c r="V468" s="36" t="n">
        <x:v>0</x:v>
      </x:c>
      <x:c r="W468" s="44"/>
      <x:c r="X468" s="34" t="str">
        <x:v>unattributed-thread-signal</x:v>
      </x:c>
      <x:c r="Y468" s="44" t="str">
        <x:v>automated signatures are JCS-specific; all other candidate application threads remain unattributed and ownership requires the archived full dump</x:v>
      </x:c>
    </x:row>
    <x:row r="469">
      <x:c r="A469" s="34" t="str">
        <x:v>article1-unified-v4-2-fb3f101b-20260903-000401-default-f04-p6-caffeine</x:v>
      </x:c>
      <x:c r="B469" s="34" t="str">
        <x:v>default</x:v>
      </x:c>
      <x:c r="C469" s="34" t="str">
        <x:v>caffeine</x:v>
      </x:c>
      <x:c r="D469" s="36" t="n">
        <x:v>4</x:v>
      </x:c>
      <x:c r="E469" s="36" t="n">
        <x:v>4</x:v>
      </x:c>
      <x:c r="F469" s="36" t="n">
        <x:v>6</x:v>
      </x:c>
      <x:c r="G469" s="36" t="n">
        <x:v>2</x:v>
      </x:c>
      <x:c r="H469" s="34" t="str">
        <x:v>finalUndeployThreadEvidenceFinal</x:v>
      </x:c>
      <x:c r="I469" s="36" t="n">
        <x:v>2</x:v>
      </x:c>
      <x:c r="J469" s="34" t="str">
        <x:v>final</x:v>
      </x:c>
      <x:c r="K469" s="36" t="n">
        <x:v>30</x:v>
      </x:c>
      <x:c r="L469" s="51" t="n">
        <x:v>3</x:v>
      </x:c>
      <x:c r="M469" s="51" t="n">
        <x:v>0</x:v>
      </x:c>
      <x:c r="N469" s="36" t="n">
        <x:v>13</x:v>
      </x:c>
      <x:c r="O469" s="44" t="str">
        <x:v>ForkJoinPool.commonPool-worker-1#48 | ForkJoinPool.commonPool-worker-2#49 | ForkJoinPool.commonPool-worker-3#50 | http-nio-8080-exec-13#85 | http-nio-8080-exec-18#124 | http-nio-8080-exec-24#164 | http-nio-8080-exec-25#165 | http-nio-8080-exec-26#166 | http-nio-8080-exec-27#169 | http-nio-8080-exec-30#204 | http-nio-8080-exec-31#205 | http-nio-8080-exec-32#206 | http-nio-8080-exec-33#207</x:v>
      </x:c>
      <x:c r="P469" s="36" t="n">
        <x:v>8</x:v>
      </x:c>
      <x:c r="Q469" s="44" t="str">
        <x:v>http-nio-8080-exec-24#164 | http-nio-8080-exec-25#165 | http-nio-8080-exec-26#166 | http-nio-8080-exec-27#169 | http-nio-8080-exec-30#204 | http-nio-8080-exec-31#205 | http-nio-8080-exec-32#206 | http-nio-8080-exec-33#207</x:v>
      </x:c>
      <x:c r="R469" s="36" t="n">
        <x:v>3</x:v>
      </x:c>
      <x:c r="S469" s="44" t="str">
        <x:v>ForkJoinPool.commonPool-worker-1#48 | ForkJoinPool.commonPool-worker-2#49 | ForkJoinPool.commonPool-worker-3#50</x:v>
      </x:c>
      <x:c r="T469" s="36" t="n">
        <x:v>0</x:v>
      </x:c>
      <x:c r="U469" s="44"/>
      <x:c r="V469" s="36" t="n">
        <x:v>0</x:v>
      </x:c>
      <x:c r="W469" s="44"/>
      <x:c r="X469" s="34" t="str">
        <x:v>unattributed-thread-signal</x:v>
      </x:c>
      <x:c r="Y469" s="44" t="str">
        <x:v>automated signatures are JCS-specific; all other candidate application threads remain unattributed and ownership requires the archived full dump</x:v>
      </x:c>
    </x:row>
    <x:row r="470">
      <x:c r="A470" s="34" t="str">
        <x:v>article1-unified-v4-2-fb3f101b-20260903-000401-default-f04-p6-caffeine</x:v>
      </x:c>
      <x:c r="B470" s="34" t="str">
        <x:v>default</x:v>
      </x:c>
      <x:c r="C470" s="34" t="str">
        <x:v>caffeine</x:v>
      </x:c>
      <x:c r="D470" s="36" t="n">
        <x:v>4</x:v>
      </x:c>
      <x:c r="E470" s="36" t="n">
        <x:v>4</x:v>
      </x:c>
      <x:c r="F470" s="36" t="n">
        <x:v>6</x:v>
      </x:c>
      <x:c r="G470" s="36" t="n">
        <x:v>3</x:v>
      </x:c>
      <x:c r="H470" s="34" t="str">
        <x:v>firstUndeployThreadEvidenceEarly</x:v>
      </x:c>
      <x:c r="I470" s="36" t="n">
        <x:v>1</x:v>
      </x:c>
      <x:c r="J470" s="34" t="str">
        <x:v>early</x:v>
      </x:c>
      <x:c r="K470" s="36" t="n">
        <x:v>30</x:v>
      </x:c>
      <x:c r="L470" s="51" t="n">
        <x:v>3</x:v>
      </x:c>
      <x:c r="M470" s="51" t="n">
        <x:v>0</x:v>
      </x:c>
      <x:c r="N470" s="36" t="n">
        <x:v>13</x:v>
      </x:c>
      <x:c r="O470" s="44" t="str">
        <x:v>ForkJoinPool.commonPool-worker-1#48 | ForkJoinPool.commonPool-worker-2#49 | ForkJoinPool.commonPool-worker-3#50 | http-nio-8080-exec-25#165 | http-nio-8080-exec-26#166 | http-nio-8080-exec-27#169 | http-nio-8080-exec-31#205 | http-nio-8080-exec-32#206 | http-nio-8080-exec-34#210 | http-nio-8080-exec-35#211 | http-nio-8080-exec-36#244 | http-nio-8080-exec-37#245 | http-nio-8080-exec-38#246</x:v>
      </x:c>
      <x:c r="P470" s="36" t="n">
        <x:v>5</x:v>
      </x:c>
      <x:c r="Q470" s="44" t="str">
        <x:v>http-nio-8080-exec-34#210 | http-nio-8080-exec-35#211 | http-nio-8080-exec-36#244 | http-nio-8080-exec-37#245 | http-nio-8080-exec-38#246</x:v>
      </x:c>
      <x:c r="R470" s="36" t="n">
        <x:v>3</x:v>
      </x:c>
      <x:c r="S470" s="44" t="str">
        <x:v>ForkJoinPool.commonPool-worker-1#48 | ForkJoinPool.commonPool-worker-2#49 | ForkJoinPool.commonPool-worker-3#50</x:v>
      </x:c>
      <x:c r="T470" s="36" t="n">
        <x:v>0</x:v>
      </x:c>
      <x:c r="U470" s="44"/>
      <x:c r="V470" s="36" t="n">
        <x:v>0</x:v>
      </x:c>
      <x:c r="W470" s="44"/>
      <x:c r="X470" s="34" t="str">
        <x:v>unattributed-thread-signal</x:v>
      </x:c>
      <x:c r="Y470" s="44" t="str">
        <x:v>automated signatures are JCS-specific; all other candidate application threads remain unattributed and ownership requires the archived full dump</x:v>
      </x:c>
    </x:row>
    <x:row r="471">
      <x:c r="A471" s="34" t="str">
        <x:v>article1-unified-v4-2-fb3f101b-20260903-000401-default-f04-p6-caffeine</x:v>
      </x:c>
      <x:c r="B471" s="34" t="str">
        <x:v>default</x:v>
      </x:c>
      <x:c r="C471" s="34" t="str">
        <x:v>caffeine</x:v>
      </x:c>
      <x:c r="D471" s="36" t="n">
        <x:v>4</x:v>
      </x:c>
      <x:c r="E471" s="36" t="n">
        <x:v>4</x:v>
      </x:c>
      <x:c r="F471" s="36" t="n">
        <x:v>6</x:v>
      </x:c>
      <x:c r="G471" s="36" t="n">
        <x:v>3</x:v>
      </x:c>
      <x:c r="H471" s="34" t="str">
        <x:v>firstUndeployThreadEvidenceFinal</x:v>
      </x:c>
      <x:c r="I471" s="36" t="n">
        <x:v>1</x:v>
      </x:c>
      <x:c r="J471" s="34" t="str">
        <x:v>final</x:v>
      </x:c>
      <x:c r="K471" s="36" t="n">
        <x:v>30</x:v>
      </x:c>
      <x:c r="L471" s="51" t="n">
        <x:v>3</x:v>
      </x:c>
      <x:c r="M471" s="51" t="n">
        <x:v>0</x:v>
      </x:c>
      <x:c r="N471" s="36" t="n">
        <x:v>13</x:v>
      </x:c>
      <x:c r="O471" s="44" t="str">
        <x:v>ForkJoinPool.commonPool-worker-1#48 | ForkJoinPool.commonPool-worker-2#49 | ForkJoinPool.commonPool-worker-3#50 | http-nio-8080-exec-25#165 | http-nio-8080-exec-26#166 | http-nio-8080-exec-27#169 | http-nio-8080-exec-32#206 | http-nio-8080-exec-34#210 | http-nio-8080-exec-35#211 | http-nio-8080-exec-36#244 | http-nio-8080-exec-37#245 | http-nio-8080-exec-38#246 | http-nio-8080-exec-39#247</x:v>
      </x:c>
      <x:c r="P471" s="36" t="n">
        <x:v>6</x:v>
      </x:c>
      <x:c r="Q471" s="44" t="str">
        <x:v>http-nio-8080-exec-34#210 | http-nio-8080-exec-35#211 | http-nio-8080-exec-36#244 | http-nio-8080-exec-37#245 | http-nio-8080-exec-38#246 | http-nio-8080-exec-39#247</x:v>
      </x:c>
      <x:c r="R471" s="36" t="n">
        <x:v>3</x:v>
      </x:c>
      <x:c r="S471" s="44" t="str">
        <x:v>ForkJoinPool.commonPool-worker-1#48 | ForkJoinPool.commonPool-worker-2#49 | ForkJoinPool.commonPool-worker-3#50</x:v>
      </x:c>
      <x:c r="T471" s="36" t="n">
        <x:v>0</x:v>
      </x:c>
      <x:c r="U471" s="44"/>
      <x:c r="V471" s="36" t="n">
        <x:v>0</x:v>
      </x:c>
      <x:c r="W471" s="44"/>
      <x:c r="X471" s="34" t="str">
        <x:v>unattributed-thread-signal</x:v>
      </x:c>
      <x:c r="Y471" s="44" t="str">
        <x:v>automated signatures are JCS-specific; all other candidate application threads remain unattributed and ownership requires the archived full dump</x:v>
      </x:c>
    </x:row>
    <x:row r="472">
      <x:c r="A472" s="34" t="str">
        <x:v>article1-unified-v4-2-fb3f101b-20260903-000401-default-f04-p6-caffeine</x:v>
      </x:c>
      <x:c r="B472" s="34" t="str">
        <x:v>default</x:v>
      </x:c>
      <x:c r="C472" s="34" t="str">
        <x:v>caffeine</x:v>
      </x:c>
      <x:c r="D472" s="36" t="n">
        <x:v>4</x:v>
      </x:c>
      <x:c r="E472" s="36" t="n">
        <x:v>4</x:v>
      </x:c>
      <x:c r="F472" s="36" t="n">
        <x:v>6</x:v>
      </x:c>
      <x:c r="G472" s="36" t="n">
        <x:v>3</x:v>
      </x:c>
      <x:c r="H472" s="34" t="str">
        <x:v>finalUndeployThreadEvidenceEarly</x:v>
      </x:c>
      <x:c r="I472" s="36" t="n">
        <x:v>2</x:v>
      </x:c>
      <x:c r="J472" s="34" t="str">
        <x:v>early</x:v>
      </x:c>
      <x:c r="K472" s="36" t="n">
        <x:v>30</x:v>
      </x:c>
      <x:c r="L472" s="51" t="n">
        <x:v>3</x:v>
      </x:c>
      <x:c r="M472" s="51" t="n">
        <x:v>0</x:v>
      </x:c>
      <x:c r="N472" s="36" t="n">
        <x:v>13</x:v>
      </x:c>
      <x:c r="O472" s="44" t="str">
        <x:v>ForkJoinPool.commonPool-worker-1#48 | ForkJoinPool.commonPool-worker-2#49 | ForkJoinPool.commonPool-worker-3#50 | http-nio-8080-exec-25#165 | http-nio-8080-exec-27#169 | http-nio-8080-exec-37#245 | http-nio-8080-exec-38#246 | http-nio-8080-exec-39#247 | http-nio-8080-exec-41#251 | http-nio-8080-exec-42#252 | http-nio-8080-exec-43#285 | http-nio-8080-exec-44#286 | http-nio-8080-exec-45#287</x:v>
      </x:c>
      <x:c r="P472" s="36" t="n">
        <x:v>8</x:v>
      </x:c>
      <x:c r="Q472" s="44" t="str">
        <x:v>http-nio-8080-exec-37#245 | http-nio-8080-exec-38#246 | http-nio-8080-exec-39#247 | http-nio-8080-exec-41#251 | http-nio-8080-exec-42#252 | http-nio-8080-exec-43#285 | http-nio-8080-exec-44#286 | http-nio-8080-exec-45#287</x:v>
      </x:c>
      <x:c r="R472" s="36" t="n">
        <x:v>3</x:v>
      </x:c>
      <x:c r="S472" s="44" t="str">
        <x:v>ForkJoinPool.commonPool-worker-1#48 | ForkJoinPool.commonPool-worker-2#49 | ForkJoinPool.commonPool-worker-3#50</x:v>
      </x:c>
      <x:c r="T472" s="36" t="n">
        <x:v>0</x:v>
      </x:c>
      <x:c r="U472" s="44"/>
      <x:c r="V472" s="36" t="n">
        <x:v>0</x:v>
      </x:c>
      <x:c r="W472" s="44"/>
      <x:c r="X472" s="34" t="str">
        <x:v>unattributed-thread-signal</x:v>
      </x:c>
      <x:c r="Y472" s="44" t="str">
        <x:v>automated signatures are JCS-specific; all other candidate application threads remain unattributed and ownership requires the archived full dump</x:v>
      </x:c>
    </x:row>
    <x:row r="473">
      <x:c r="A473" s="34" t="str">
        <x:v>article1-unified-v4-2-fb3f101b-20260903-000401-default-f04-p6-caffeine</x:v>
      </x:c>
      <x:c r="B473" s="34" t="str">
        <x:v>default</x:v>
      </x:c>
      <x:c r="C473" s="34" t="str">
        <x:v>caffeine</x:v>
      </x:c>
      <x:c r="D473" s="36" t="n">
        <x:v>4</x:v>
      </x:c>
      <x:c r="E473" s="36" t="n">
        <x:v>4</x:v>
      </x:c>
      <x:c r="F473" s="36" t="n">
        <x:v>6</x:v>
      </x:c>
      <x:c r="G473" s="36" t="n">
        <x:v>3</x:v>
      </x:c>
      <x:c r="H473" s="34" t="str">
        <x:v>finalUndeployThreadEvidenceFinal</x:v>
      </x:c>
      <x:c r="I473" s="36" t="n">
        <x:v>2</x:v>
      </x:c>
      <x:c r="J473" s="34" t="str">
        <x:v>final</x:v>
      </x:c>
      <x:c r="K473" s="36" t="n">
        <x:v>30</x:v>
      </x:c>
      <x:c r="L473" s="51" t="n">
        <x:v>3</x:v>
      </x:c>
      <x:c r="M473" s="51" t="n">
        <x:v>0</x:v>
      </x:c>
      <x:c r="N473" s="36" t="n">
        <x:v>13</x:v>
      </x:c>
      <x:c r="O473" s="44" t="str">
        <x:v>ForkJoinPool.commonPool-worker-1#48 | ForkJoinPool.commonPool-worker-2#49 | ForkJoinPool.commonPool-worker-3#50 | http-nio-8080-exec-25#165 | http-nio-8080-exec-27#169 | http-nio-8080-exec-37#245 | http-nio-8080-exec-38#246 | http-nio-8080-exec-39#247 | http-nio-8080-exec-41#251 | http-nio-8080-exec-42#252 | http-nio-8080-exec-44#286 | http-nio-8080-exec-45#287 | http-nio-8080-exec-46#288</x:v>
      </x:c>
      <x:c r="P473" s="36" t="n">
        <x:v>8</x:v>
      </x:c>
      <x:c r="Q473" s="44" t="str">
        <x:v>http-nio-8080-exec-37#245 | http-nio-8080-exec-38#246 | http-nio-8080-exec-39#247 | http-nio-8080-exec-41#251 | http-nio-8080-exec-42#252 | http-nio-8080-exec-44#286 | http-nio-8080-exec-45#287 | http-nio-8080-exec-46#288</x:v>
      </x:c>
      <x:c r="R473" s="36" t="n">
        <x:v>3</x:v>
      </x:c>
      <x:c r="S473" s="44" t="str">
        <x:v>ForkJoinPool.commonPool-worker-1#48 | ForkJoinPool.commonPool-worker-2#49 | ForkJoinPool.commonPool-worker-3#50</x:v>
      </x:c>
      <x:c r="T473" s="36" t="n">
        <x:v>0</x:v>
      </x:c>
      <x:c r="U473" s="44"/>
      <x:c r="V473" s="36" t="n">
        <x:v>0</x:v>
      </x:c>
      <x:c r="W473" s="44"/>
      <x:c r="X473" s="34" t="str">
        <x:v>unattributed-thread-signal</x:v>
      </x:c>
      <x:c r="Y473" s="44" t="str">
        <x:v>automated signatures are JCS-specific; all other candidate application threads remain unattributed and ownership requires the archived full dump</x:v>
      </x:c>
    </x:row>
    <x:row r="474">
      <x:c r="A474" s="34" t="str">
        <x:v>article1-unified-v4-2-fb3f101b-20260903-000401-default-f04-p6-caffeine</x:v>
      </x:c>
      <x:c r="B474" s="34" t="str">
        <x:v>default</x:v>
      </x:c>
      <x:c r="C474" s="34" t="str">
        <x:v>caffeine</x:v>
      </x:c>
      <x:c r="D474" s="36" t="n">
        <x:v>4</x:v>
      </x:c>
      <x:c r="E474" s="36" t="n">
        <x:v>4</x:v>
      </x:c>
      <x:c r="F474" s="36" t="n">
        <x:v>6</x:v>
      </x:c>
      <x:c r="G474" s="36" t="n">
        <x:v>4</x:v>
      </x:c>
      <x:c r="H474" s="34" t="str">
        <x:v>firstUndeployThreadEvidenceEarly</x:v>
      </x:c>
      <x:c r="I474" s="36" t="n">
        <x:v>1</x:v>
      </x:c>
      <x:c r="J474" s="34" t="str">
        <x:v>early</x:v>
      </x:c>
      <x:c r="K474" s="36" t="n">
        <x:v>30</x:v>
      </x:c>
      <x:c r="L474" s="51" t="n">
        <x:v>3</x:v>
      </x:c>
      <x:c r="M474" s="51" t="n">
        <x:v>0</x:v>
      </x:c>
      <x:c r="N474" s="36" t="n">
        <x:v>13</x:v>
      </x:c>
      <x:c r="O474" s="44" t="str">
        <x:v>ForkJoinPool.commonPool-worker-1#48 | ForkJoinPool.commonPool-worker-2#49 | ForkJoinPool.commonPool-worker-3#50 | http-nio-8080-exec-37#245 | http-nio-8080-exec-39#247 | http-nio-8080-exec-41#251 | http-nio-8080-exec-44#286 | http-nio-8080-exec-45#287 | http-nio-8080-exec-47#291 | http-nio-8080-exec-48#292 | http-nio-8080-exec-49#325 | http-nio-8080-exec-50#326 | http-nio-8080-exec-51#327</x:v>
      </x:c>
      <x:c r="P474" s="36" t="n">
        <x:v>5</x:v>
      </x:c>
      <x:c r="Q474" s="44" t="str">
        <x:v>http-nio-8080-exec-47#291 | http-nio-8080-exec-48#292 | http-nio-8080-exec-49#325 | http-nio-8080-exec-50#326 | http-nio-8080-exec-51#327</x:v>
      </x:c>
      <x:c r="R474" s="36" t="n">
        <x:v>3</x:v>
      </x:c>
      <x:c r="S474" s="44" t="str">
        <x:v>ForkJoinPool.commonPool-worker-1#48 | ForkJoinPool.commonPool-worker-2#49 | ForkJoinPool.commonPool-worker-3#50</x:v>
      </x:c>
      <x:c r="T474" s="36" t="n">
        <x:v>0</x:v>
      </x:c>
      <x:c r="U474" s="44"/>
      <x:c r="V474" s="36" t="n">
        <x:v>0</x:v>
      </x:c>
      <x:c r="W474" s="44"/>
      <x:c r="X474" s="34" t="str">
        <x:v>unattributed-thread-signal</x:v>
      </x:c>
      <x:c r="Y474" s="44" t="str">
        <x:v>automated signatures are JCS-specific; all other candidate application threads remain unattributed and ownership requires the archived full dump</x:v>
      </x:c>
    </x:row>
    <x:row r="475">
      <x:c r="A475" s="34" t="str">
        <x:v>article1-unified-v4-2-fb3f101b-20260903-000401-default-f04-p6-caffeine</x:v>
      </x:c>
      <x:c r="B475" s="34" t="str">
        <x:v>default</x:v>
      </x:c>
      <x:c r="C475" s="34" t="str">
        <x:v>caffeine</x:v>
      </x:c>
      <x:c r="D475" s="36" t="n">
        <x:v>4</x:v>
      </x:c>
      <x:c r="E475" s="36" t="n">
        <x:v>4</x:v>
      </x:c>
      <x:c r="F475" s="36" t="n">
        <x:v>6</x:v>
      </x:c>
      <x:c r="G475" s="36" t="n">
        <x:v>4</x:v>
      </x:c>
      <x:c r="H475" s="34" t="str">
        <x:v>firstUndeployThreadEvidenceFinal</x:v>
      </x:c>
      <x:c r="I475" s="36" t="n">
        <x:v>1</x:v>
      </x:c>
      <x:c r="J475" s="34" t="str">
        <x:v>final</x:v>
      </x:c>
      <x:c r="K475" s="36" t="n">
        <x:v>30</x:v>
      </x:c>
      <x:c r="L475" s="51" t="n">
        <x:v>3</x:v>
      </x:c>
      <x:c r="M475" s="51" t="n">
        <x:v>0</x:v>
      </x:c>
      <x:c r="N475" s="36" t="n">
        <x:v>13</x:v>
      </x:c>
      <x:c r="O475" s="44" t="str">
        <x:v>ForkJoinPool.commonPool-worker-1#48 | ForkJoinPool.commonPool-worker-2#49 | ForkJoinPool.commonPool-worker-3#50 | http-nio-8080-exec-37#245 | http-nio-8080-exec-39#247 | http-nio-8080-exec-41#251 | http-nio-8080-exec-44#286 | http-nio-8080-exec-45#287 | http-nio-8080-exec-47#291 | http-nio-8080-exec-49#325 | http-nio-8080-exec-50#326 | http-nio-8080-exec-51#327 | http-nio-8080-exec-52#328</x:v>
      </x:c>
      <x:c r="P475" s="36" t="n">
        <x:v>5</x:v>
      </x:c>
      <x:c r="Q475" s="44" t="str">
        <x:v>http-nio-8080-exec-47#291 | http-nio-8080-exec-49#325 | http-nio-8080-exec-50#326 | http-nio-8080-exec-51#327 | http-nio-8080-exec-52#328</x:v>
      </x:c>
      <x:c r="R475" s="36" t="n">
        <x:v>3</x:v>
      </x:c>
      <x:c r="S475" s="44" t="str">
        <x:v>ForkJoinPool.commonPool-worker-1#48 | ForkJoinPool.commonPool-worker-2#49 | ForkJoinPool.commonPool-worker-3#50</x:v>
      </x:c>
      <x:c r="T475" s="36" t="n">
        <x:v>0</x:v>
      </x:c>
      <x:c r="U475" s="44"/>
      <x:c r="V475" s="36" t="n">
        <x:v>0</x:v>
      </x:c>
      <x:c r="W475" s="44"/>
      <x:c r="X475" s="34" t="str">
        <x:v>unattributed-thread-signal</x:v>
      </x:c>
      <x:c r="Y475" s="44" t="str">
        <x:v>automated signatures are JCS-specific; all other candidate application threads remain unattributed and ownership requires the archived full dump</x:v>
      </x:c>
    </x:row>
    <x:row r="476">
      <x:c r="A476" s="34" t="str">
        <x:v>article1-unified-v4-2-fb3f101b-20260903-000401-default-f04-p6-caffeine</x:v>
      </x:c>
      <x:c r="B476" s="34" t="str">
        <x:v>default</x:v>
      </x:c>
      <x:c r="C476" s="34" t="str">
        <x:v>caffeine</x:v>
      </x:c>
      <x:c r="D476" s="36" t="n">
        <x:v>4</x:v>
      </x:c>
      <x:c r="E476" s="36" t="n">
        <x:v>4</x:v>
      </x:c>
      <x:c r="F476" s="36" t="n">
        <x:v>6</x:v>
      </x:c>
      <x:c r="G476" s="36" t="n">
        <x:v>4</x:v>
      </x:c>
      <x:c r="H476" s="34" t="str">
        <x:v>finalUndeployThreadEvidenceEarly</x:v>
      </x:c>
      <x:c r="I476" s="36" t="n">
        <x:v>2</x:v>
      </x:c>
      <x:c r="J476" s="34" t="str">
        <x:v>early</x:v>
      </x:c>
      <x:c r="K476" s="36" t="n">
        <x:v>31</x:v>
      </x:c>
      <x:c r="L476" s="51" t="n">
        <x:v>4</x:v>
      </x:c>
      <x:c r="M476" s="51" t="n">
        <x:v>1</x:v>
      </x:c>
      <x:c r="N476" s="36" t="n">
        <x:v>14</x:v>
      </x:c>
      <x:c r="O476" s="44" t="str">
        <x:v>ForkJoinPool.commonPool-worker-1#48 | ForkJoinPool.commonPool-worker-2#49 | ForkJoinPool.commonPool-worker-3#50 | http-nio-8080-exec-39#247 | http-nio-8080-exec-47#291 | http-nio-8080-exec-50#326 | http-nio-8080-exec-52#328 | http-nio-8080-exec-53#331 | http-nio-8080-exec-54#332 | http-nio-8080-exec-55#333 | http-nio-8080-exec-56#366 | C2 CompilerThread1#19 | http-nio-8080-exec-57#367 | http-nio-8080-exec-58#368</x:v>
      </x:c>
      <x:c r="P476" s="36" t="n">
        <x:v>10</x:v>
      </x:c>
      <x:c r="Q476" s="44" t="str">
        <x:v>http-nio-8080-exec-47#291 | http-nio-8080-exec-50#326 | http-nio-8080-exec-52#328 | http-nio-8080-exec-53#331 | http-nio-8080-exec-54#332 | http-nio-8080-exec-55#333 | http-nio-8080-exec-56#366 | C2 CompilerThread1#19 | http-nio-8080-exec-57#367 | http-nio-8080-exec-58#368</x:v>
      </x:c>
      <x:c r="R476" s="36" t="n">
        <x:v>3</x:v>
      </x:c>
      <x:c r="S476" s="44" t="str">
        <x:v>ForkJoinPool.commonPool-worker-1#48 | ForkJoinPool.commonPool-worker-2#49 | ForkJoinPool.commonPool-worker-3#50</x:v>
      </x:c>
      <x:c r="T476" s="36" t="n">
        <x:v>0</x:v>
      </x:c>
      <x:c r="U476" s="44"/>
      <x:c r="V476" s="36" t="n">
        <x:v>0</x:v>
      </x:c>
      <x:c r="W476" s="44"/>
      <x:c r="X476" s="34" t="str">
        <x:v>unattributed-thread-signal</x:v>
      </x:c>
      <x:c r="Y476" s="44" t="str">
        <x:v>automated signatures are JCS-specific; all other candidate application threads remain unattributed and ownership requires the archived full dump</x:v>
      </x:c>
    </x:row>
    <x:row r="477">
      <x:c r="A477" s="34" t="str">
        <x:v>article1-unified-v4-2-fb3f101b-20260903-000401-default-f04-p6-caffeine</x:v>
      </x:c>
      <x:c r="B477" s="34" t="str">
        <x:v>default</x:v>
      </x:c>
      <x:c r="C477" s="34" t="str">
        <x:v>caffeine</x:v>
      </x:c>
      <x:c r="D477" s="36" t="n">
        <x:v>4</x:v>
      </x:c>
      <x:c r="E477" s="36" t="n">
        <x:v>4</x:v>
      </x:c>
      <x:c r="F477" s="36" t="n">
        <x:v>6</x:v>
      </x:c>
      <x:c r="G477" s="36" t="n">
        <x:v>4</x:v>
      </x:c>
      <x:c r="H477" s="34" t="str">
        <x:v>finalUndeployThreadEvidenceFinal</x:v>
      </x:c>
      <x:c r="I477" s="36" t="n">
        <x:v>2</x:v>
      </x:c>
      <x:c r="J477" s="34" t="str">
        <x:v>final</x:v>
      </x:c>
      <x:c r="K477" s="36" t="n">
        <x:v>30</x:v>
      </x:c>
      <x:c r="L477" s="51" t="n">
        <x:v>3</x:v>
      </x:c>
      <x:c r="M477" s="51" t="n">
        <x:v>0</x:v>
      </x:c>
      <x:c r="N477" s="36" t="n">
        <x:v>13</x:v>
      </x:c>
      <x:c r="O477" s="44" t="str">
        <x:v>ForkJoinPool.commonPool-worker-1#48 | ForkJoinPool.commonPool-worker-2#49 | ForkJoinPool.commonPool-worker-3#50 | http-nio-8080-exec-39#247 | http-nio-8080-exec-47#291 | http-nio-8080-exec-50#326 | http-nio-8080-exec-52#328 | http-nio-8080-exec-53#331 | http-nio-8080-exec-55#333 | http-nio-8080-exec-56#366 | http-nio-8080-exec-57#367 | http-nio-8080-exec-58#368 | http-nio-8080-exec-59#369</x:v>
      </x:c>
      <x:c r="P477" s="36" t="n">
        <x:v>9</x:v>
      </x:c>
      <x:c r="Q477" s="44" t="str">
        <x:v>http-nio-8080-exec-47#291 | http-nio-8080-exec-50#326 | http-nio-8080-exec-52#328 | http-nio-8080-exec-53#331 | http-nio-8080-exec-55#333 | http-nio-8080-exec-56#366 | http-nio-8080-exec-57#367 | http-nio-8080-exec-58#368 | http-nio-8080-exec-59#369</x:v>
      </x:c>
      <x:c r="R477" s="36" t="n">
        <x:v>3</x:v>
      </x:c>
      <x:c r="S477" s="44" t="str">
        <x:v>ForkJoinPool.commonPool-worker-1#48 | ForkJoinPool.commonPool-worker-2#49 | ForkJoinPool.commonPool-worker-3#50</x:v>
      </x:c>
      <x:c r="T477" s="36" t="n">
        <x:v>0</x:v>
      </x:c>
      <x:c r="U477" s="44"/>
      <x:c r="V477" s="36" t="n">
        <x:v>0</x:v>
      </x:c>
      <x:c r="W477" s="44"/>
      <x:c r="X477" s="34" t="str">
        <x:v>unattributed-thread-signal</x:v>
      </x:c>
      <x:c r="Y477" s="44" t="str">
        <x:v>automated signatures are JCS-specific; all other candidate application threads remain unattributed and ownership requires the archived full dump</x:v>
      </x:c>
    </x:row>
    <x:row r="478">
      <x:c r="A478" s="34" t="str">
        <x:v>article1-unified-v4-2-fb3f101b-20260903-000401-default-f04-p6-caffeine</x:v>
      </x:c>
      <x:c r="B478" s="34" t="str">
        <x:v>default</x:v>
      </x:c>
      <x:c r="C478" s="34" t="str">
        <x:v>caffeine</x:v>
      </x:c>
      <x:c r="D478" s="36" t="n">
        <x:v>4</x:v>
      </x:c>
      <x:c r="E478" s="36" t="n">
        <x:v>4</x:v>
      </x:c>
      <x:c r="F478" s="36" t="n">
        <x:v>6</x:v>
      </x:c>
      <x:c r="G478" s="36" t="n">
        <x:v>5</x:v>
      </x:c>
      <x:c r="H478" s="34" t="str">
        <x:v>firstUndeployThreadEvidenceEarly</x:v>
      </x:c>
      <x:c r="I478" s="36" t="n">
        <x:v>1</x:v>
      </x:c>
      <x:c r="J478" s="34" t="str">
        <x:v>early</x:v>
      </x:c>
      <x:c r="K478" s="36" t="n">
        <x:v>30</x:v>
      </x:c>
      <x:c r="L478" s="51" t="n">
        <x:v>3</x:v>
      </x:c>
      <x:c r="M478" s="51" t="n">
        <x:v>0</x:v>
      </x:c>
      <x:c r="N478" s="36" t="n">
        <x:v>13</x:v>
      </x:c>
      <x:c r="O478" s="44" t="str">
        <x:v>ForkJoinPool.commonPool-worker-1#48 | ForkJoinPool.commonPool-worker-2#49 | ForkJoinPool.commonPool-worker-3#50 | http-nio-8080-exec-39#247 | http-nio-8080-exec-56#366 | http-nio-8080-exec-57#367 | http-nio-8080-exec-58#368 | http-nio-8080-exec-59#369 | http-nio-8080-exec-60#372 | http-nio-8080-exec-61#373 | http-nio-8080-exec-62#406 | http-nio-8080-exec-63#407 | http-nio-8080-exec-64#408</x:v>
      </x:c>
      <x:c r="P478" s="36" t="n">
        <x:v>5</x:v>
      </x:c>
      <x:c r="Q478" s="44" t="str">
        <x:v>http-nio-8080-exec-60#372 | http-nio-8080-exec-61#373 | http-nio-8080-exec-62#406 | http-nio-8080-exec-63#407 | http-nio-8080-exec-64#408</x:v>
      </x:c>
      <x:c r="R478" s="36" t="n">
        <x:v>3</x:v>
      </x:c>
      <x:c r="S478" s="44" t="str">
        <x:v>ForkJoinPool.commonPool-worker-1#48 | ForkJoinPool.commonPool-worker-2#49 | ForkJoinPool.commonPool-worker-3#50</x:v>
      </x:c>
      <x:c r="T478" s="36" t="n">
        <x:v>0</x:v>
      </x:c>
      <x:c r="U478" s="44"/>
      <x:c r="V478" s="36" t="n">
        <x:v>0</x:v>
      </x:c>
      <x:c r="W478" s="44"/>
      <x:c r="X478" s="34" t="str">
        <x:v>unattributed-thread-signal</x:v>
      </x:c>
      <x:c r="Y478" s="44" t="str">
        <x:v>automated signatures are JCS-specific; all other candidate application threads remain unattributed and ownership requires the archived full dump</x:v>
      </x:c>
    </x:row>
    <x:row r="479">
      <x:c r="A479" s="34" t="str">
        <x:v>article1-unified-v4-2-fb3f101b-20260903-000401-default-f04-p6-caffeine</x:v>
      </x:c>
      <x:c r="B479" s="34" t="str">
        <x:v>default</x:v>
      </x:c>
      <x:c r="C479" s="34" t="str">
        <x:v>caffeine</x:v>
      </x:c>
      <x:c r="D479" s="36" t="n">
        <x:v>4</x:v>
      </x:c>
      <x:c r="E479" s="36" t="n">
        <x:v>4</x:v>
      </x:c>
      <x:c r="F479" s="36" t="n">
        <x:v>6</x:v>
      </x:c>
      <x:c r="G479" s="36" t="n">
        <x:v>5</x:v>
      </x:c>
      <x:c r="H479" s="34" t="str">
        <x:v>firstUndeployThreadEvidenceFinal</x:v>
      </x:c>
      <x:c r="I479" s="36" t="n">
        <x:v>1</x:v>
      </x:c>
      <x:c r="J479" s="34" t="str">
        <x:v>final</x:v>
      </x:c>
      <x:c r="K479" s="36" t="n">
        <x:v>30</x:v>
      </x:c>
      <x:c r="L479" s="51" t="n">
        <x:v>3</x:v>
      </x:c>
      <x:c r="M479" s="51" t="n">
        <x:v>0</x:v>
      </x:c>
      <x:c r="N479" s="36" t="n">
        <x:v>13</x:v>
      </x:c>
      <x:c r="O479" s="44" t="str">
        <x:v>ForkJoinPool.commonPool-worker-1#48 | ForkJoinPool.commonPool-worker-2#49 | ForkJoinPool.commonPool-worker-3#50 | http-nio-8080-exec-56#366 | http-nio-8080-exec-57#367 | http-nio-8080-exec-58#368 | http-nio-8080-exec-59#369 | http-nio-8080-exec-60#372 | http-nio-8080-exec-61#373 | http-nio-8080-exec-62#406 | http-nio-8080-exec-63#407 | http-nio-8080-exec-64#408 | http-nio-8080-exec-65#409</x:v>
      </x:c>
      <x:c r="P479" s="36" t="n">
        <x:v>6</x:v>
      </x:c>
      <x:c r="Q479" s="44" t="str">
        <x:v>http-nio-8080-exec-60#372 | http-nio-8080-exec-61#373 | http-nio-8080-exec-62#406 | http-nio-8080-exec-63#407 | http-nio-8080-exec-64#408 | http-nio-8080-exec-65#409</x:v>
      </x:c>
      <x:c r="R479" s="36" t="n">
        <x:v>3</x:v>
      </x:c>
      <x:c r="S479" s="44" t="str">
        <x:v>ForkJoinPool.commonPool-worker-1#48 | ForkJoinPool.commonPool-worker-2#49 | ForkJoinPool.commonPool-worker-3#50</x:v>
      </x:c>
      <x:c r="T479" s="36" t="n">
        <x:v>0</x:v>
      </x:c>
      <x:c r="U479" s="44"/>
      <x:c r="V479" s="36" t="n">
        <x:v>0</x:v>
      </x:c>
      <x:c r="W479" s="44"/>
      <x:c r="X479" s="34" t="str">
        <x:v>unattributed-thread-signal</x:v>
      </x:c>
      <x:c r="Y479" s="44" t="str">
        <x:v>automated signatures are JCS-specific; all other candidate application threads remain unattributed and ownership requires the archived full dump</x:v>
      </x:c>
    </x:row>
    <x:row r="480">
      <x:c r="A480" s="34" t="str">
        <x:v>article1-unified-v4-2-fb3f101b-20260903-000401-default-f04-p6-caffeine</x:v>
      </x:c>
      <x:c r="B480" s="34" t="str">
        <x:v>default</x:v>
      </x:c>
      <x:c r="C480" s="34" t="str">
        <x:v>caffeine</x:v>
      </x:c>
      <x:c r="D480" s="36" t="n">
        <x:v>4</x:v>
      </x:c>
      <x:c r="E480" s="36" t="n">
        <x:v>4</x:v>
      </x:c>
      <x:c r="F480" s="36" t="n">
        <x:v>6</x:v>
      </x:c>
      <x:c r="G480" s="36" t="n">
        <x:v>5</x:v>
      </x:c>
      <x:c r="H480" s="34" t="str">
        <x:v>finalUndeployThreadEvidenceEarly</x:v>
      </x:c>
      <x:c r="I480" s="36" t="n">
        <x:v>2</x:v>
      </x:c>
      <x:c r="J480" s="34" t="str">
        <x:v>early</x:v>
      </x:c>
      <x:c r="K480" s="36" t="n">
        <x:v>30</x:v>
      </x:c>
      <x:c r="L480" s="51" t="n">
        <x:v>3</x:v>
      </x:c>
      <x:c r="M480" s="51" t="n">
        <x:v>0</x:v>
      </x:c>
      <x:c r="N480" s="36" t="n">
        <x:v>13</x:v>
      </x:c>
      <x:c r="O480" s="44" t="str">
        <x:v>ForkJoinPool.commonPool-worker-1#48 | ForkJoinPool.commonPool-worker-2#49 | ForkJoinPool.commonPool-worker-3#50 | http-nio-8080-exec-56#366 | http-nio-8080-exec-62#406 | http-nio-8080-exec-63#407 | http-nio-8080-exec-64#408 | http-nio-8080-exec-65#409 | http-nio-8080-exec-66#412 | http-nio-8080-exec-68#414 | http-nio-8080-exec-69#447 | http-nio-8080-exec-70#448 | http-nio-8080-exec-71#449</x:v>
      </x:c>
      <x:c r="P480" s="36" t="n">
        <x:v>9</x:v>
      </x:c>
      <x:c r="Q480" s="44" t="str">
        <x:v>http-nio-8080-exec-62#406 | http-nio-8080-exec-63#407 | http-nio-8080-exec-64#408 | http-nio-8080-exec-65#409 | http-nio-8080-exec-66#412 | http-nio-8080-exec-68#414 | http-nio-8080-exec-69#447 | http-nio-8080-exec-70#448 | http-nio-8080-exec-71#449</x:v>
      </x:c>
      <x:c r="R480" s="36" t="n">
        <x:v>3</x:v>
      </x:c>
      <x:c r="S480" s="44" t="str">
        <x:v>ForkJoinPool.commonPool-worker-1#48 | ForkJoinPool.commonPool-worker-2#49 | ForkJoinPool.commonPool-worker-3#50</x:v>
      </x:c>
      <x:c r="T480" s="36" t="n">
        <x:v>0</x:v>
      </x:c>
      <x:c r="U480" s="44"/>
      <x:c r="V480" s="36" t="n">
        <x:v>0</x:v>
      </x:c>
      <x:c r="W480" s="44"/>
      <x:c r="X480" s="34" t="str">
        <x:v>unattributed-thread-signal</x:v>
      </x:c>
      <x:c r="Y480" s="44" t="str">
        <x:v>automated signatures are JCS-specific; all other candidate application threads remain unattributed and ownership requires the archived full dump</x:v>
      </x:c>
    </x:row>
    <x:row r="481">
      <x:c r="A481" s="34" t="str">
        <x:v>article1-unified-v4-2-fb3f101b-20260903-000401-default-f04-p6-caffeine</x:v>
      </x:c>
      <x:c r="B481" s="34" t="str">
        <x:v>default</x:v>
      </x:c>
      <x:c r="C481" s="34" t="str">
        <x:v>caffeine</x:v>
      </x:c>
      <x:c r="D481" s="36" t="n">
        <x:v>4</x:v>
      </x:c>
      <x:c r="E481" s="36" t="n">
        <x:v>4</x:v>
      </x:c>
      <x:c r="F481" s="36" t="n">
        <x:v>6</x:v>
      </x:c>
      <x:c r="G481" s="36" t="n">
        <x:v>5</x:v>
      </x:c>
      <x:c r="H481" s="34" t="str">
        <x:v>finalUndeployThreadEvidenceFinal</x:v>
      </x:c>
      <x:c r="I481" s="36" t="n">
        <x:v>2</x:v>
      </x:c>
      <x:c r="J481" s="34" t="str">
        <x:v>final</x:v>
      </x:c>
      <x:c r="K481" s="36" t="n">
        <x:v>30</x:v>
      </x:c>
      <x:c r="L481" s="51" t="n">
        <x:v>3</x:v>
      </x:c>
      <x:c r="M481" s="51" t="n">
        <x:v>0</x:v>
      </x:c>
      <x:c r="N481" s="36" t="n">
        <x:v>13</x:v>
      </x:c>
      <x:c r="O481" s="44" t="str">
        <x:v>ForkJoinPool.commonPool-worker-1#48 | ForkJoinPool.commonPool-worker-2#49 | ForkJoinPool.commonPool-worker-3#50 | http-nio-8080-exec-56#366 | http-nio-8080-exec-62#406 | http-nio-8080-exec-64#408 | http-nio-8080-exec-65#409 | http-nio-8080-exec-66#412 | http-nio-8080-exec-68#414 | http-nio-8080-exec-69#447 | http-nio-8080-exec-70#448 | http-nio-8080-exec-71#449 | http-nio-8080-exec-72#450</x:v>
      </x:c>
      <x:c r="P481" s="36" t="n">
        <x:v>9</x:v>
      </x:c>
      <x:c r="Q481" s="44" t="str">
        <x:v>http-nio-8080-exec-62#406 | http-nio-8080-exec-64#408 | http-nio-8080-exec-65#409 | http-nio-8080-exec-66#412 | http-nio-8080-exec-68#414 | http-nio-8080-exec-69#447 | http-nio-8080-exec-70#448 | http-nio-8080-exec-71#449 | http-nio-8080-exec-72#450</x:v>
      </x:c>
      <x:c r="R481" s="36" t="n">
        <x:v>3</x:v>
      </x:c>
      <x:c r="S481" s="44" t="str">
        <x:v>ForkJoinPool.commonPool-worker-1#48 | ForkJoinPool.commonPool-worker-2#49 | ForkJoinPool.commonPool-worker-3#50</x:v>
      </x:c>
      <x:c r="T481" s="36" t="n">
        <x:v>0</x:v>
      </x:c>
      <x:c r="U481" s="44"/>
      <x:c r="V481" s="36" t="n">
        <x:v>0</x:v>
      </x:c>
      <x:c r="W481" s="44"/>
      <x:c r="X481" s="34" t="str">
        <x:v>unattributed-thread-signal</x:v>
      </x:c>
      <x:c r="Y481" s="44" t="str">
        <x:v>automated signatures are JCS-specific; all other candidate application threads remain unattributed and ownership requires the archived full dump</x:v>
      </x:c>
    </x:row>
    <x:row r="482">
      <x:c r="A482" s="34" t="str">
        <x:v>article1-unified-v4-2-fb3f101b-20260903-000401-default-f05-p1-jcs321</x:v>
      </x:c>
      <x:c r="B482" s="34" t="str">
        <x:v>default</x:v>
      </x:c>
      <x:c r="C482" s="34" t="str">
        <x:v>jcs321</x:v>
      </x:c>
      <x:c r="D482" s="36" t="n">
        <x:v>5</x:v>
      </x:c>
      <x:c r="E482" s="36" t="n">
        <x:v>5</x:v>
      </x:c>
      <x:c r="F482" s="36" t="n">
        <x:v>1</x:v>
      </x:c>
      <x:c r="G482" s="36" t="n">
        <x:v>1</x:v>
      </x:c>
      <x:c r="H482" s="34" t="str">
        <x:v>firstUndeployThreadEvidenceEarly</x:v>
      </x:c>
      <x:c r="I482" s="36" t="n">
        <x:v>1</x:v>
      </x:c>
      <x:c r="J482" s="34" t="str">
        <x:v>early</x:v>
      </x:c>
      <x:c r="K482" s="36" t="n">
        <x:v>28</x:v>
      </x:c>
      <x:c r="L482" s="51" t="n">
        <x:v>1</x:v>
      </x:c>
      <x:c r="M482" s="51" t="n">
        <x:v>1</x:v>
      </x:c>
      <x:c r="N482" s="36" t="n">
        <x:v>3</x:v>
      </x:c>
      <x:c r="O482" s="44" t="str">
        <x:v>JCS-ElementEventQueue-Thread-4#49 | http-nio-8080-exec-11#82 | http-nio-8080-exec-12#83</x:v>
      </x:c>
      <x:c r="P482" s="36" t="n">
        <x:v>3</x:v>
      </x:c>
      <x:c r="Q482" s="44" t="str">
        <x:v>JCS-ElementEventQueue-Thread-4#49 | http-nio-8080-exec-11#82 | http-nio-8080-exec-12#83</x:v>
      </x:c>
      <x:c r="R482" s="36" t="n">
        <x:v>1</x:v>
      </x:c>
      <x:c r="S482" s="44" t="str">
        <x:v>JCS-ElementEventQueue-Thread-4#49</x:v>
      </x:c>
      <x:c r="T482" s="36" t="n">
        <x:v>1</x:v>
      </x:c>
      <x:c r="U482" s="44" t="str">
        <x:v>JCS-ElementEventQueue-Thread-4#49</x:v>
      </x:c>
      <x:c r="V482" s="36" t="n">
        <x:v>1</x:v>
      </x:c>
      <x:c r="W482" s="44" t="str">
        <x:v>jcs3-element-event-queue:JCS-ElementEventQueue-Thread-4#49</x:v>
      </x:c>
      <x:c r="X482" s="34" t="str">
        <x:v>jcs-signature-present</x:v>
      </x:c>
      <x:c r="Y482" s="44" t="str">
        <x:v>automated signatures are JCS-specific; all other candidate application threads remain unattributed and ownership requires the archived full dump</x:v>
      </x:c>
    </x:row>
    <x:row r="483">
      <x:c r="A483" s="34" t="str">
        <x:v>article1-unified-v4-2-fb3f101b-20260903-000401-default-f05-p1-jcs321</x:v>
      </x:c>
      <x:c r="B483" s="34" t="str">
        <x:v>default</x:v>
      </x:c>
      <x:c r="C483" s="34" t="str">
        <x:v>jcs321</x:v>
      </x:c>
      <x:c r="D483" s="36" t="n">
        <x:v>5</x:v>
      </x:c>
      <x:c r="E483" s="36" t="n">
        <x:v>5</x:v>
      </x:c>
      <x:c r="F483" s="36" t="n">
        <x:v>1</x:v>
      </x:c>
      <x:c r="G483" s="36" t="n">
        <x:v>1</x:v>
      </x:c>
      <x:c r="H483" s="34" t="str">
        <x:v>firstUndeployThreadEvidenceFinal</x:v>
      </x:c>
      <x:c r="I483" s="36" t="n">
        <x:v>1</x:v>
      </x:c>
      <x:c r="J483" s="34" t="str">
        <x:v>final</x:v>
      </x:c>
      <x:c r="K483" s="36" t="n">
        <x:v>28</x:v>
      </x:c>
      <x:c r="L483" s="51" t="n">
        <x:v>1</x:v>
      </x:c>
      <x:c r="M483" s="51" t="n">
        <x:v>1</x:v>
      </x:c>
      <x:c r="N483" s="36" t="n">
        <x:v>4</x:v>
      </x:c>
      <x:c r="O483" s="44" t="str">
        <x:v>JCS-ElementEventQueue-Thread-4#49 | http-nio-8080-exec-11#82 | http-nio-8080-exec-12#83 | http-nio-8080-exec-13#84</x:v>
      </x:c>
      <x:c r="P483" s="36" t="n">
        <x:v>4</x:v>
      </x:c>
      <x:c r="Q483" s="44" t="str">
        <x:v>JCS-ElementEventQueue-Thread-4#49 | http-nio-8080-exec-11#82 | http-nio-8080-exec-12#83 | http-nio-8080-exec-13#84</x:v>
      </x:c>
      <x:c r="R483" s="36" t="n">
        <x:v>1</x:v>
      </x:c>
      <x:c r="S483" s="44" t="str">
        <x:v>JCS-ElementEventQueue-Thread-4#49</x:v>
      </x:c>
      <x:c r="T483" s="36" t="n">
        <x:v>1</x:v>
      </x:c>
      <x:c r="U483" s="44" t="str">
        <x:v>JCS-ElementEventQueue-Thread-4#49</x:v>
      </x:c>
      <x:c r="V483" s="36" t="n">
        <x:v>1</x:v>
      </x:c>
      <x:c r="W483" s="44" t="str">
        <x:v>jcs3-element-event-queue:JCS-ElementEventQueue-Thread-4#49</x:v>
      </x:c>
      <x:c r="X483" s="34" t="str">
        <x:v>jcs-signature-present</x:v>
      </x:c>
      <x:c r="Y483" s="44" t="str">
        <x:v>automated signatures are JCS-specific; all other candidate application threads remain unattributed and ownership requires the archived full dump</x:v>
      </x:c>
    </x:row>
    <x:row r="484">
      <x:c r="A484" s="34" t="str">
        <x:v>article1-unified-v4-2-fb3f101b-20260903-000401-default-f05-p1-jcs321</x:v>
      </x:c>
      <x:c r="B484" s="34" t="str">
        <x:v>default</x:v>
      </x:c>
      <x:c r="C484" s="34" t="str">
        <x:v>jcs321</x:v>
      </x:c>
      <x:c r="D484" s="36" t="n">
        <x:v>5</x:v>
      </x:c>
      <x:c r="E484" s="36" t="n">
        <x:v>5</x:v>
      </x:c>
      <x:c r="F484" s="36" t="n">
        <x:v>1</x:v>
      </x:c>
      <x:c r="G484" s="36" t="n">
        <x:v>1</x:v>
      </x:c>
      <x:c r="H484" s="34" t="str">
        <x:v>finalUndeployThreadEvidenceEarly</x:v>
      </x:c>
      <x:c r="I484" s="36" t="n">
        <x:v>2</x:v>
      </x:c>
      <x:c r="J484" s="34" t="str">
        <x:v>early</x:v>
      </x:c>
      <x:c r="K484" s="36" t="n">
        <x:v>29</x:v>
      </x:c>
      <x:c r="L484" s="51" t="n">
        <x:v>2</x:v>
      </x:c>
      <x:c r="M484" s="51" t="n">
        <x:v>2</x:v>
      </x:c>
      <x:c r="N484" s="36" t="n">
        <x:v>10</x:v>
      </x:c>
      <x:c r="O484" s="44" t="str">
        <x:v>JCS-ElementEventQueue-Thread-4#49 | http-nio-8080-exec-11#82 | http-nio-8080-exec-13#84 | http-nio-8080-exec-14#87 | http-nio-8080-exec-15#88 | http-nio-8080-exec-16#89 | JCS-ElementEventQueue-Thread-7#91 | http-nio-8080-exec-17#124 | http-nio-8080-exec-18#125 | http-nio-8080-exec-19#126</x:v>
      </x:c>
      <x:c r="P484" s="36" t="n">
        <x:v>10</x:v>
      </x:c>
      <x:c r="Q484" s="44" t="str">
        <x:v>JCS-ElementEventQueue-Thread-4#49 | http-nio-8080-exec-11#82 | http-nio-8080-exec-13#84 | http-nio-8080-exec-14#87 | http-nio-8080-exec-15#88 | http-nio-8080-exec-16#89 | JCS-ElementEventQueue-Thread-7#91 | http-nio-8080-exec-17#124 | http-nio-8080-exec-18#125 | http-nio-8080-exec-19#126</x:v>
      </x:c>
      <x:c r="R484" s="36" t="n">
        <x:v>2</x:v>
      </x:c>
      <x:c r="S484" s="44" t="str">
        <x:v>JCS-ElementEventQueue-Thread-4#49 | JCS-ElementEventQueue-Thread-7#91</x:v>
      </x:c>
      <x:c r="T484" s="36" t="n">
        <x:v>2</x:v>
      </x:c>
      <x:c r="U484" s="44" t="str">
        <x:v>JCS-ElementEventQueue-Thread-4#49 | JCS-ElementEventQueue-Thread-7#91</x:v>
      </x:c>
      <x:c r="V484" s="36" t="n">
        <x:v>2</x:v>
      </x:c>
      <x:c r="W484" s="44" t="str">
        <x:v>jcs3-element-event-queue:JCS-ElementEventQueue-Thread-4#49 | jcs3-element-event-queue:JCS-ElementEventQueue-Thread-7#91</x:v>
      </x:c>
      <x:c r="X484" s="34" t="str">
        <x:v>jcs-signature-present</x:v>
      </x:c>
      <x:c r="Y484" s="44" t="str">
        <x:v>automated signatures are JCS-specific; all other candidate application threads remain unattributed and ownership requires the archived full dump</x:v>
      </x:c>
    </x:row>
    <x:row r="485">
      <x:c r="A485" s="34" t="str">
        <x:v>article1-unified-v4-2-fb3f101b-20260903-000401-default-f05-p1-jcs321</x:v>
      </x:c>
      <x:c r="B485" s="34" t="str">
        <x:v>default</x:v>
      </x:c>
      <x:c r="C485" s="34" t="str">
        <x:v>jcs321</x:v>
      </x:c>
      <x:c r="D485" s="36" t="n">
        <x:v>5</x:v>
      </x:c>
      <x:c r="E485" s="36" t="n">
        <x:v>5</x:v>
      </x:c>
      <x:c r="F485" s="36" t="n">
        <x:v>1</x:v>
      </x:c>
      <x:c r="G485" s="36" t="n">
        <x:v>1</x:v>
      </x:c>
      <x:c r="H485" s="34" t="str">
        <x:v>finalUndeployThreadEvidenceFinal</x:v>
      </x:c>
      <x:c r="I485" s="36" t="n">
        <x:v>2</x:v>
      </x:c>
      <x:c r="J485" s="34" t="str">
        <x:v>final</x:v>
      </x:c>
      <x:c r="K485" s="36" t="n">
        <x:v>29</x:v>
      </x:c>
      <x:c r="L485" s="51" t="n">
        <x:v>2</x:v>
      </x:c>
      <x:c r="M485" s="51" t="n">
        <x:v>2</x:v>
      </x:c>
      <x:c r="N485" s="36" t="n">
        <x:v>10</x:v>
      </x:c>
      <x:c r="O485" s="44" t="str">
        <x:v>JCS-ElementEventQueue-Thread-4#49 | http-nio-8080-exec-13#84 | http-nio-8080-exec-14#87 | http-nio-8080-exec-15#88 | http-nio-8080-exec-16#89 | JCS-ElementEventQueue-Thread-7#91 | http-nio-8080-exec-17#124 | http-nio-8080-exec-18#125 | http-nio-8080-exec-19#126 | http-nio-8080-exec-20#127</x:v>
      </x:c>
      <x:c r="P485" s="36" t="n">
        <x:v>10</x:v>
      </x:c>
      <x:c r="Q485" s="44" t="str">
        <x:v>JCS-ElementEventQueue-Thread-4#49 | http-nio-8080-exec-13#84 | http-nio-8080-exec-14#87 | http-nio-8080-exec-15#88 | http-nio-8080-exec-16#89 | JCS-ElementEventQueue-Thread-7#91 | http-nio-8080-exec-17#124 | http-nio-8080-exec-18#125 | http-nio-8080-exec-19#126 | http-nio-8080-exec-20#127</x:v>
      </x:c>
      <x:c r="R485" s="36" t="n">
        <x:v>2</x:v>
      </x:c>
      <x:c r="S485" s="44" t="str">
        <x:v>JCS-ElementEventQueue-Thread-4#49 | JCS-ElementEventQueue-Thread-7#91</x:v>
      </x:c>
      <x:c r="T485" s="36" t="n">
        <x:v>2</x:v>
      </x:c>
      <x:c r="U485" s="44" t="str">
        <x:v>JCS-ElementEventQueue-Thread-4#49 | JCS-ElementEventQueue-Thread-7#91</x:v>
      </x:c>
      <x:c r="V485" s="36" t="n">
        <x:v>2</x:v>
      </x:c>
      <x:c r="W485" s="44" t="str">
        <x:v>jcs3-element-event-queue:JCS-ElementEventQueue-Thread-4#49 | jcs3-element-event-queue:JCS-ElementEventQueue-Thread-7#91</x:v>
      </x:c>
      <x:c r="X485" s="34" t="str">
        <x:v>jcs-signature-present</x:v>
      </x:c>
      <x:c r="Y485" s="44" t="str">
        <x:v>automated signatures are JCS-specific; all other candidate application threads remain unattributed and ownership requires the archived full dump</x:v>
      </x:c>
    </x:row>
    <x:row r="486">
      <x:c r="A486" s="34" t="str">
        <x:v>article1-unified-v4-2-fb3f101b-20260903-000401-default-f05-p1-jcs321</x:v>
      </x:c>
      <x:c r="B486" s="34" t="str">
        <x:v>default</x:v>
      </x:c>
      <x:c r="C486" s="34" t="str">
        <x:v>jcs321</x:v>
      </x:c>
      <x:c r="D486" s="36" t="n">
        <x:v>5</x:v>
      </x:c>
      <x:c r="E486" s="36" t="n">
        <x:v>5</x:v>
      </x:c>
      <x:c r="F486" s="36" t="n">
        <x:v>1</x:v>
      </x:c>
      <x:c r="G486" s="36" t="n">
        <x:v>2</x:v>
      </x:c>
      <x:c r="H486" s="34" t="str">
        <x:v>firstUndeployThreadEvidenceEarly</x:v>
      </x:c>
      <x:c r="I486" s="36" t="n">
        <x:v>1</x:v>
      </x:c>
      <x:c r="J486" s="34" t="str">
        <x:v>early</x:v>
      </x:c>
      <x:c r="K486" s="36" t="n">
        <x:v>30</x:v>
      </x:c>
      <x:c r="L486" s="51" t="n">
        <x:v>3</x:v>
      </x:c>
      <x:c r="M486" s="51" t="n">
        <x:v>1</x:v>
      </x:c>
      <x:c r="N486" s="36" t="n">
        <x:v>13</x:v>
      </x:c>
      <x:c r="O486" s="44" t="str">
        <x:v>JCS-ElementEventQueue-Thread-4#49 | http-nio-8080-exec-13#84 | http-nio-8080-exec-15#88 | JCS-ElementEventQueue-Thread-7#91 | http-nio-8080-exec-18#125 | http-nio-8080-exec-19#126 | http-nio-8080-exec-20#127 | http-nio-8080-exec-21#130 | http-nio-8080-exec-22#131 | JCS-ElementEventQueue-Thread-10#133 | http-nio-8080-exec-23#166 | http-nio-8080-exec-24#167 | http-nio-8080-exec-25#168</x:v>
      </x:c>
      <x:c r="P486" s="36" t="n">
        <x:v>6</x:v>
      </x:c>
      <x:c r="Q486" s="44" t="str">
        <x:v>http-nio-8080-exec-21#130 | http-nio-8080-exec-22#131 | JCS-ElementEventQueue-Thread-10#133 | http-nio-8080-exec-23#166 | http-nio-8080-exec-24#167 | http-nio-8080-exec-25#168</x:v>
      </x:c>
      <x:c r="R486" s="36" t="n">
        <x:v>3</x:v>
      </x:c>
      <x:c r="S486" s="44" t="str">
        <x:v>JCS-ElementEventQueue-Thread-4#49 | JCS-ElementEventQueue-Thread-7#91 | JCS-ElementEventQueue-Thread-10#133</x:v>
      </x:c>
      <x:c r="T486" s="36" t="n">
        <x:v>1</x:v>
      </x:c>
      <x:c r="U486" s="44" t="str">
        <x:v>JCS-ElementEventQueue-Thread-10#133</x:v>
      </x:c>
      <x:c r="V486" s="36" t="n">
        <x:v>3</x:v>
      </x:c>
      <x:c r="W486" s="44" t="str">
        <x:v>jcs3-element-event-queue:JCS-ElementEventQueue-Thread-4#49 | jcs3-element-event-queue:JCS-ElementEventQueue-Thread-7#91 | jcs3-element-event-queue:JCS-ElementEventQueue-Thread-10#133</x:v>
      </x:c>
      <x:c r="X486" s="34" t="str">
        <x:v>jcs-signature-present</x:v>
      </x:c>
      <x:c r="Y486" s="44" t="str">
        <x:v>automated signatures are JCS-specific; all other candidate application threads remain unattributed and ownership requires the archived full dump</x:v>
      </x:c>
    </x:row>
    <x:row r="487">
      <x:c r="A487" s="34" t="str">
        <x:v>article1-unified-v4-2-fb3f101b-20260903-000401-default-f05-p1-jcs321</x:v>
      </x:c>
      <x:c r="B487" s="34" t="str">
        <x:v>default</x:v>
      </x:c>
      <x:c r="C487" s="34" t="str">
        <x:v>jcs321</x:v>
      </x:c>
      <x:c r="D487" s="36" t="n">
        <x:v>5</x:v>
      </x:c>
      <x:c r="E487" s="36" t="n">
        <x:v>5</x:v>
      </x:c>
      <x:c r="F487" s="36" t="n">
        <x:v>1</x:v>
      </x:c>
      <x:c r="G487" s="36" t="n">
        <x:v>2</x:v>
      </x:c>
      <x:c r="H487" s="34" t="str">
        <x:v>firstUndeployThreadEvidenceFinal</x:v>
      </x:c>
      <x:c r="I487" s="36" t="n">
        <x:v>1</x:v>
      </x:c>
      <x:c r="J487" s="34" t="str">
        <x:v>final</x:v>
      </x:c>
      <x:c r="K487" s="36" t="n">
        <x:v>30</x:v>
      </x:c>
      <x:c r="L487" s="51" t="n">
        <x:v>3</x:v>
      </x:c>
      <x:c r="M487" s="51" t="n">
        <x:v>1</x:v>
      </x:c>
      <x:c r="N487" s="36" t="n">
        <x:v>13</x:v>
      </x:c>
      <x:c r="O487" s="44" t="str">
        <x:v>JCS-ElementEventQueue-Thread-4#49 | http-nio-8080-exec-13#84 | http-nio-8080-exec-15#88 | JCS-ElementEventQueue-Thread-7#91 | http-nio-8080-exec-19#126 | http-nio-8080-exec-20#127 | http-nio-8080-exec-21#130 | http-nio-8080-exec-22#131 | JCS-ElementEventQueue-Thread-10#133 | http-nio-8080-exec-23#166 | http-nio-8080-exec-24#167 | http-nio-8080-exec-25#168 | http-nio-8080-exec-26#169</x:v>
      </x:c>
      <x:c r="P487" s="36" t="n">
        <x:v>7</x:v>
      </x:c>
      <x:c r="Q487" s="44" t="str">
        <x:v>http-nio-8080-exec-21#130 | http-nio-8080-exec-22#131 | JCS-ElementEventQueue-Thread-10#133 | http-nio-8080-exec-23#166 | http-nio-8080-exec-24#167 | http-nio-8080-exec-25#168 | http-nio-8080-exec-26#169</x:v>
      </x:c>
      <x:c r="R487" s="36" t="n">
        <x:v>3</x:v>
      </x:c>
      <x:c r="S487" s="44" t="str">
        <x:v>JCS-ElementEventQueue-Thread-4#49 | JCS-ElementEventQueue-Thread-7#91 | JCS-ElementEventQueue-Thread-10#133</x:v>
      </x:c>
      <x:c r="T487" s="36" t="n">
        <x:v>1</x:v>
      </x:c>
      <x:c r="U487" s="44" t="str">
        <x:v>JCS-ElementEventQueue-Thread-10#133</x:v>
      </x:c>
      <x:c r="V487" s="36" t="n">
        <x:v>3</x:v>
      </x:c>
      <x:c r="W487" s="44" t="str">
        <x:v>jcs3-element-event-queue:JCS-ElementEventQueue-Thread-4#49 | jcs3-element-event-queue:JCS-ElementEventQueue-Thread-7#91 | jcs3-element-event-queue:JCS-ElementEventQueue-Thread-10#133</x:v>
      </x:c>
      <x:c r="X487" s="34" t="str">
        <x:v>jcs-signature-present</x:v>
      </x:c>
      <x:c r="Y487" s="44" t="str">
        <x:v>automated signatures are JCS-specific; all other candidate application threads remain unattributed and ownership requires the archived full dump</x:v>
      </x:c>
    </x:row>
    <x:row r="488">
      <x:c r="A488" s="34" t="str">
        <x:v>article1-unified-v4-2-fb3f101b-20260903-000401-default-f05-p1-jcs321</x:v>
      </x:c>
      <x:c r="B488" s="34" t="str">
        <x:v>default</x:v>
      </x:c>
      <x:c r="C488" s="34" t="str">
        <x:v>jcs321</x:v>
      </x:c>
      <x:c r="D488" s="36" t="n">
        <x:v>5</x:v>
      </x:c>
      <x:c r="E488" s="36" t="n">
        <x:v>5</x:v>
      </x:c>
      <x:c r="F488" s="36" t="n">
        <x:v>1</x:v>
      </x:c>
      <x:c r="G488" s="36" t="n">
        <x:v>2</x:v>
      </x:c>
      <x:c r="H488" s="34" t="str">
        <x:v>finalUndeployThreadEvidenceEarly</x:v>
      </x:c>
      <x:c r="I488" s="36" t="n">
        <x:v>2</x:v>
      </x:c>
      <x:c r="J488" s="34" t="str">
        <x:v>early</x:v>
      </x:c>
      <x:c r="K488" s="36" t="n">
        <x:v>31</x:v>
      </x:c>
      <x:c r="L488" s="51" t="n">
        <x:v>4</x:v>
      </x:c>
      <x:c r="M488" s="51" t="n">
        <x:v>2</x:v>
      </x:c>
      <x:c r="N488" s="36" t="n">
        <x:v>14</x:v>
      </x:c>
      <x:c r="O488" s="44" t="str">
        <x:v>JCS-ElementEventQueue-Thread-4#49 | JCS-ElementEventQueue-Thread-7#91 | http-nio-8080-exec-19#126 | http-nio-8080-exec-20#127 | JCS-ElementEventQueue-Thread-10#133 | http-nio-8080-exec-24#167 | http-nio-8080-exec-25#168 | http-nio-8080-exec-26#169 | http-nio-8080-exec-27#172 | http-nio-8080-exec-29#174 | JCS-ElementEventQueue-Thread-13#176 | http-nio-8080-exec-30#209 | http-nio-8080-exec-31#210 | http-nio-8080-exec-32#211</x:v>
      </x:c>
      <x:c r="P488" s="36" t="n">
        <x:v>10</x:v>
      </x:c>
      <x:c r="Q488" s="44" t="str">
        <x:v>JCS-ElementEventQueue-Thread-10#133 | http-nio-8080-exec-24#167 | http-nio-8080-exec-25#168 | http-nio-8080-exec-26#169 | http-nio-8080-exec-27#172 | http-nio-8080-exec-29#174 | JCS-ElementEventQueue-Thread-13#176 | http-nio-8080-exec-30#209 | http-nio-8080-exec-31#210 | http-nio-8080-exec-32#211</x:v>
      </x:c>
      <x:c r="R488" s="36" t="n">
        <x:v>4</x:v>
      </x:c>
      <x:c r="S488" s="44" t="str">
        <x:v>JCS-ElementEventQueue-Thread-4#49 | JCS-ElementEventQueue-Thread-7#91 | JCS-ElementEventQueue-Thread-10#133 | JCS-ElementEventQueue-Thread-13#176</x:v>
      </x:c>
      <x:c r="T488" s="36" t="n">
        <x:v>2</x:v>
      </x:c>
      <x:c r="U488" s="44" t="str">
        <x:v>JCS-ElementEventQueue-Thread-10#133 | JCS-ElementEventQueue-Thread-13#176</x:v>
      </x:c>
      <x:c r="V488" s="36" t="n">
        <x:v>4</x:v>
      </x:c>
      <x:c r="W48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488" s="34" t="str">
        <x:v>jcs-signature-present</x:v>
      </x:c>
      <x:c r="Y488" s="44" t="str">
        <x:v>automated signatures are JCS-specific; all other candidate application threads remain unattributed and ownership requires the archived full dump</x:v>
      </x:c>
    </x:row>
    <x:row r="489">
      <x:c r="A489" s="34" t="str">
        <x:v>article1-unified-v4-2-fb3f101b-20260903-000401-default-f05-p1-jcs321</x:v>
      </x:c>
      <x:c r="B489" s="34" t="str">
        <x:v>default</x:v>
      </x:c>
      <x:c r="C489" s="34" t="str">
        <x:v>jcs321</x:v>
      </x:c>
      <x:c r="D489" s="36" t="n">
        <x:v>5</x:v>
      </x:c>
      <x:c r="E489" s="36" t="n">
        <x:v>5</x:v>
      </x:c>
      <x:c r="F489" s="36" t="n">
        <x:v>1</x:v>
      </x:c>
      <x:c r="G489" s="36" t="n">
        <x:v>2</x:v>
      </x:c>
      <x:c r="H489" s="34" t="str">
        <x:v>finalUndeployThreadEvidenceFinal</x:v>
      </x:c>
      <x:c r="I489" s="36" t="n">
        <x:v>2</x:v>
      </x:c>
      <x:c r="J489" s="34" t="str">
        <x:v>final</x:v>
      </x:c>
      <x:c r="K489" s="36" t="n">
        <x:v>31</x:v>
      </x:c>
      <x:c r="L489" s="51" t="n">
        <x:v>4</x:v>
      </x:c>
      <x:c r="M489" s="51" t="n">
        <x:v>2</x:v>
      </x:c>
      <x:c r="N489" s="36" t="n">
        <x:v>14</x:v>
      </x:c>
      <x:c r="O489" s="44" t="str">
        <x:v>JCS-ElementEventQueue-Thread-4#49 | JCS-ElementEventQueue-Thread-7#91 | http-nio-8080-exec-19#126 | http-nio-8080-exec-20#127 | JCS-ElementEventQueue-Thread-10#133 | http-nio-8080-exec-25#168 | http-nio-8080-exec-26#169 | http-nio-8080-exec-27#172 | http-nio-8080-exec-29#174 | JCS-ElementEventQueue-Thread-13#176 | http-nio-8080-exec-30#209 | http-nio-8080-exec-31#210 | http-nio-8080-exec-32#211 | http-nio-8080-exec-33#212</x:v>
      </x:c>
      <x:c r="P489" s="36" t="n">
        <x:v>10</x:v>
      </x:c>
      <x:c r="Q489" s="44" t="str">
        <x:v>JCS-ElementEventQueue-Thread-10#133 | http-nio-8080-exec-25#168 | http-nio-8080-exec-26#169 | http-nio-8080-exec-27#172 | http-nio-8080-exec-29#174 | JCS-ElementEventQueue-Thread-13#176 | http-nio-8080-exec-30#209 | http-nio-8080-exec-31#210 | http-nio-8080-exec-32#211 | http-nio-8080-exec-33#212</x:v>
      </x:c>
      <x:c r="R489" s="36" t="n">
        <x:v>4</x:v>
      </x:c>
      <x:c r="S489" s="44" t="str">
        <x:v>JCS-ElementEventQueue-Thread-4#49 | JCS-ElementEventQueue-Thread-7#91 | JCS-ElementEventQueue-Thread-10#133 | JCS-ElementEventQueue-Thread-13#176</x:v>
      </x:c>
      <x:c r="T489" s="36" t="n">
        <x:v>2</x:v>
      </x:c>
      <x:c r="U489" s="44" t="str">
        <x:v>JCS-ElementEventQueue-Thread-10#133 | JCS-ElementEventQueue-Thread-13#176</x:v>
      </x:c>
      <x:c r="V489" s="36" t="n">
        <x:v>4</x:v>
      </x:c>
      <x:c r="W48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489" s="34" t="str">
        <x:v>jcs-signature-present</x:v>
      </x:c>
      <x:c r="Y489" s="44" t="str">
        <x:v>automated signatures are JCS-specific; all other candidate application threads remain unattributed and ownership requires the archived full dump</x:v>
      </x:c>
    </x:row>
    <x:row r="490">
      <x:c r="A490" s="34" t="str">
        <x:v>article1-unified-v4-2-fb3f101b-20260903-000401-default-f05-p1-jcs321</x:v>
      </x:c>
      <x:c r="B490" s="34" t="str">
        <x:v>default</x:v>
      </x:c>
      <x:c r="C490" s="34" t="str">
        <x:v>jcs321</x:v>
      </x:c>
      <x:c r="D490" s="36" t="n">
        <x:v>5</x:v>
      </x:c>
      <x:c r="E490" s="36" t="n">
        <x:v>5</x:v>
      </x:c>
      <x:c r="F490" s="36" t="n">
        <x:v>1</x:v>
      </x:c>
      <x:c r="G490" s="36" t="n">
        <x:v>3</x:v>
      </x:c>
      <x:c r="H490" s="34" t="str">
        <x:v>firstUndeployThreadEvidenceEarly</x:v>
      </x:c>
      <x:c r="I490" s="36" t="n">
        <x:v>1</x:v>
      </x:c>
      <x:c r="J490" s="34" t="str">
        <x:v>early</x:v>
      </x:c>
      <x:c r="K490" s="36" t="n">
        <x:v>32</x:v>
      </x:c>
      <x:c r="L490" s="51" t="n">
        <x:v>5</x:v>
      </x:c>
      <x:c r="M490" s="51" t="n">
        <x:v>1</x:v>
      </x:c>
      <x:c r="N490" s="36" t="n">
        <x:v>15</x:v>
      </x:c>
      <x:c r="O490" s="44" t="str">
        <x:v>JCS-ElementEventQueue-Thread-4#49 | JCS-ElementEventQueue-Thread-7#91 | JCS-ElementEventQueue-Thread-10#133 | http-nio-8080-exec-25#168 | http-nio-8080-exec-27#172 | JCS-ElementEventQueue-Thread-13#176 | http-nio-8080-exec-30#209 | http-nio-8080-exec-31#210 | http-nio-8080-exec-32#211 | http-nio-8080-exec-34#215 | http-nio-8080-exec-35#216 | JCS-ElementEventQueue-Thread-16#218 | http-nio-8080-exec-36#251 | http-nio-8080-exec-37#252 | http-nio-8080-exec-38#253</x:v>
      </x:c>
      <x:c r="P490" s="36" t="n">
        <x:v>6</x:v>
      </x:c>
      <x:c r="Q490" s="44" t="str">
        <x:v>http-nio-8080-exec-34#215 | http-nio-8080-exec-35#216 | JCS-ElementEventQueue-Thread-16#218 | http-nio-8080-exec-36#251 | http-nio-8080-exec-37#252 | http-nio-8080-exec-38#253</x:v>
      </x:c>
      <x:c r="R490" s="36" t="n">
        <x:v>5</x:v>
      </x:c>
      <x:c r="S490" s="44" t="str">
        <x:v>JCS-ElementEventQueue-Thread-4#49 | JCS-ElementEventQueue-Thread-7#91 | JCS-ElementEventQueue-Thread-10#133 | JCS-ElementEventQueue-Thread-13#176 | JCS-ElementEventQueue-Thread-16#218</x:v>
      </x:c>
      <x:c r="T490" s="36" t="n">
        <x:v>1</x:v>
      </x:c>
      <x:c r="U490" s="44" t="str">
        <x:v>JCS-ElementEventQueue-Thread-16#218</x:v>
      </x:c>
      <x:c r="V490" s="36" t="n">
        <x:v>5</x:v>
      </x:c>
      <x:c r="W49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490" s="34" t="str">
        <x:v>jcs-signature-present</x:v>
      </x:c>
      <x:c r="Y490" s="44" t="str">
        <x:v>automated signatures are JCS-specific; all other candidate application threads remain unattributed and ownership requires the archived full dump</x:v>
      </x:c>
    </x:row>
    <x:row r="491">
      <x:c r="A491" s="34" t="str">
        <x:v>article1-unified-v4-2-fb3f101b-20260903-000401-default-f05-p1-jcs321</x:v>
      </x:c>
      <x:c r="B491" s="34" t="str">
        <x:v>default</x:v>
      </x:c>
      <x:c r="C491" s="34" t="str">
        <x:v>jcs321</x:v>
      </x:c>
      <x:c r="D491" s="36" t="n">
        <x:v>5</x:v>
      </x:c>
      <x:c r="E491" s="36" t="n">
        <x:v>5</x:v>
      </x:c>
      <x:c r="F491" s="36" t="n">
        <x:v>1</x:v>
      </x:c>
      <x:c r="G491" s="36" t="n">
        <x:v>3</x:v>
      </x:c>
      <x:c r="H491" s="34" t="str">
        <x:v>firstUndeployThreadEvidenceFinal</x:v>
      </x:c>
      <x:c r="I491" s="36" t="n">
        <x:v>1</x:v>
      </x:c>
      <x:c r="J491" s="34" t="str">
        <x:v>final</x:v>
      </x:c>
      <x:c r="K491" s="36" t="n">
        <x:v>32</x:v>
      </x:c>
      <x:c r="L491" s="51" t="n">
        <x:v>5</x:v>
      </x:c>
      <x:c r="M491" s="51" t="n">
        <x:v>1</x:v>
      </x:c>
      <x:c r="N491" s="36" t="n">
        <x:v>15</x:v>
      </x:c>
      <x:c r="O491" s="44" t="str">
        <x:v>JCS-ElementEventQueue-Thread-4#49 | JCS-ElementEventQueue-Thread-7#91 | JCS-ElementEventQueue-Thread-10#133 | http-nio-8080-exec-25#168 | http-nio-8080-exec-27#172 | JCS-ElementEventQueue-Thread-13#176 | http-nio-8080-exec-31#210 | http-nio-8080-exec-32#211 | http-nio-8080-exec-34#215 | http-nio-8080-exec-35#216 | JCS-ElementEventQueue-Thread-16#218 | http-nio-8080-exec-36#251 | http-nio-8080-exec-37#252 | http-nio-8080-exec-38#253 | http-nio-8080-exec-39#254</x:v>
      </x:c>
      <x:c r="P491" s="36" t="n">
        <x:v>7</x:v>
      </x:c>
      <x:c r="Q491" s="44" t="str">
        <x:v>http-nio-8080-exec-34#215 | http-nio-8080-exec-35#216 | JCS-ElementEventQueue-Thread-16#218 | http-nio-8080-exec-36#251 | http-nio-8080-exec-37#252 | http-nio-8080-exec-38#253 | http-nio-8080-exec-39#254</x:v>
      </x:c>
      <x:c r="R491" s="36" t="n">
        <x:v>5</x:v>
      </x:c>
      <x:c r="S491" s="44" t="str">
        <x:v>JCS-ElementEventQueue-Thread-4#49 | JCS-ElementEventQueue-Thread-7#91 | JCS-ElementEventQueue-Thread-10#133 | JCS-ElementEventQueue-Thread-13#176 | JCS-ElementEventQueue-Thread-16#218</x:v>
      </x:c>
      <x:c r="T491" s="36" t="n">
        <x:v>1</x:v>
      </x:c>
      <x:c r="U491" s="44" t="str">
        <x:v>JCS-ElementEventQueue-Thread-16#218</x:v>
      </x:c>
      <x:c r="V491" s="36" t="n">
        <x:v>5</x:v>
      </x:c>
      <x:c r="W49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491" s="34" t="str">
        <x:v>jcs-signature-present</x:v>
      </x:c>
      <x:c r="Y491" s="44" t="str">
        <x:v>automated signatures are JCS-specific; all other candidate application threads remain unattributed and ownership requires the archived full dump</x:v>
      </x:c>
    </x:row>
    <x:row r="492">
      <x:c r="A492" s="34" t="str">
        <x:v>article1-unified-v4-2-fb3f101b-20260903-000401-default-f05-p1-jcs321</x:v>
      </x:c>
      <x:c r="B492" s="34" t="str">
        <x:v>default</x:v>
      </x:c>
      <x:c r="C492" s="34" t="str">
        <x:v>jcs321</x:v>
      </x:c>
      <x:c r="D492" s="36" t="n">
        <x:v>5</x:v>
      </x:c>
      <x:c r="E492" s="36" t="n">
        <x:v>5</x:v>
      </x:c>
      <x:c r="F492" s="36" t="n">
        <x:v>1</x:v>
      </x:c>
      <x:c r="G492" s="36" t="n">
        <x:v>3</x:v>
      </x:c>
      <x:c r="H492" s="34" t="str">
        <x:v>finalUndeployThreadEvidenceEarly</x:v>
      </x:c>
      <x:c r="I492" s="36" t="n">
        <x:v>2</x:v>
      </x:c>
      <x:c r="J492" s="34" t="str">
        <x:v>early</x:v>
      </x:c>
      <x:c r="K492" s="36" t="n">
        <x:v>33</x:v>
      </x:c>
      <x:c r="L492" s="51" t="n">
        <x:v>6</x:v>
      </x:c>
      <x:c r="M492" s="51" t="n">
        <x:v>2</x:v>
      </x:c>
      <x:c r="N492" s="36" t="n">
        <x:v>16</x:v>
      </x:c>
      <x:c r="O492" s="44" t="str">
        <x:v>JCS-ElementEventQueue-Thread-4#49 | JCS-ElementEventQueue-Thread-7#91 | JCS-ElementEventQueue-Thread-10#133 | http-nio-8080-exec-25#168 | JCS-ElementEventQueue-Thread-13#176 | http-nio-8080-exec-35#216 | JCS-ElementEventQueue-Thread-16#218 | http-nio-8080-exec-38#253 | http-nio-8080-exec-39#254 | http-nio-8080-exec-40#257 | http-nio-8080-exec-41#258 | http-nio-8080-exec-42#259 | JCS-ElementEventQueue-Thread-19#261 | http-nio-8080-exec-43#294 | http-nio-8080-exec-44#295 | http-nio-8080-exec-45#296</x:v>
      </x:c>
      <x:c r="P492" s="36" t="n">
        <x:v>11</x:v>
      </x:c>
      <x:c r="Q492" s="44" t="str">
        <x:v>http-nio-8080-exec-35#216 | JCS-ElementEventQueue-Thread-16#218 | http-nio-8080-exec-38#253 | http-nio-8080-exec-39#254 | http-nio-8080-exec-40#257 | http-nio-8080-exec-41#258 | http-nio-8080-exec-42#259 | JCS-ElementEventQueue-Thread-19#261 | http-nio-8080-exec-43#294 | http-nio-8080-exec-44#295 | http-nio-8080-exec-45#296</x:v>
      </x:c>
      <x:c r="R492" s="36" t="n">
        <x:v>6</x:v>
      </x:c>
      <x:c r="S492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492" s="36" t="n">
        <x:v>2</x:v>
      </x:c>
      <x:c r="U492" s="44" t="str">
        <x:v>JCS-ElementEventQueue-Thread-16#218 | JCS-ElementEventQueue-Thread-19#261</x:v>
      </x:c>
      <x:c r="V492" s="36" t="n">
        <x:v>6</x:v>
      </x:c>
      <x:c r="W49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492" s="34" t="str">
        <x:v>jcs-signature-present</x:v>
      </x:c>
      <x:c r="Y492" s="44" t="str">
        <x:v>automated signatures are JCS-specific; all other candidate application threads remain unattributed and ownership requires the archived full dump</x:v>
      </x:c>
    </x:row>
    <x:row r="493">
      <x:c r="A493" s="34" t="str">
        <x:v>article1-unified-v4-2-fb3f101b-20260903-000401-default-f05-p1-jcs321</x:v>
      </x:c>
      <x:c r="B493" s="34" t="str">
        <x:v>default</x:v>
      </x:c>
      <x:c r="C493" s="34" t="str">
        <x:v>jcs321</x:v>
      </x:c>
      <x:c r="D493" s="36" t="n">
        <x:v>5</x:v>
      </x:c>
      <x:c r="E493" s="36" t="n">
        <x:v>5</x:v>
      </x:c>
      <x:c r="F493" s="36" t="n">
        <x:v>1</x:v>
      </x:c>
      <x:c r="G493" s="36" t="n">
        <x:v>3</x:v>
      </x:c>
      <x:c r="H493" s="34" t="str">
        <x:v>finalUndeployThreadEvidenceFinal</x:v>
      </x:c>
      <x:c r="I493" s="36" t="n">
        <x:v>2</x:v>
      </x:c>
      <x:c r="J493" s="34" t="str">
        <x:v>final</x:v>
      </x:c>
      <x:c r="K493" s="36" t="n">
        <x:v>33</x:v>
      </x:c>
      <x:c r="L493" s="51" t="n">
        <x:v>6</x:v>
      </x:c>
      <x:c r="M493" s="51" t="n">
        <x:v>2</x:v>
      </x:c>
      <x:c r="N493" s="36" t="n">
        <x:v>16</x:v>
      </x:c>
      <x:c r="O493" s="44" t="str">
        <x:v>JCS-ElementEventQueue-Thread-4#49 | JCS-ElementEventQueue-Thread-7#91 | JCS-ElementEventQueue-Thread-10#133 | http-nio-8080-exec-25#168 | JCS-ElementEventQueue-Thread-13#176 | http-nio-8080-exec-35#216 | JCS-ElementEventQueue-Thread-16#218 | http-nio-8080-exec-38#253 | http-nio-8080-exec-39#254 | http-nio-8080-exec-40#257 | http-nio-8080-exec-41#258 | http-nio-8080-exec-42#259 | JCS-ElementEventQueue-Thread-19#261 | http-nio-8080-exec-44#295 | http-nio-8080-exec-45#296 | http-nio-8080-exec-46#297</x:v>
      </x:c>
      <x:c r="P493" s="36" t="n">
        <x:v>11</x:v>
      </x:c>
      <x:c r="Q493" s="44" t="str">
        <x:v>http-nio-8080-exec-35#216 | JCS-ElementEventQueue-Thread-16#218 | http-nio-8080-exec-38#253 | http-nio-8080-exec-39#254 | http-nio-8080-exec-40#257 | http-nio-8080-exec-41#258 | http-nio-8080-exec-42#259 | JCS-ElementEventQueue-Thread-19#261 | http-nio-8080-exec-44#295 | http-nio-8080-exec-45#296 | http-nio-8080-exec-46#297</x:v>
      </x:c>
      <x:c r="R493" s="36" t="n">
        <x:v>6</x:v>
      </x:c>
      <x:c r="S493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493" s="36" t="n">
        <x:v>2</x:v>
      </x:c>
      <x:c r="U493" s="44" t="str">
        <x:v>JCS-ElementEventQueue-Thread-16#218 | JCS-ElementEventQueue-Thread-19#261</x:v>
      </x:c>
      <x:c r="V493" s="36" t="n">
        <x:v>6</x:v>
      </x:c>
      <x:c r="W49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493" s="34" t="str">
        <x:v>jcs-signature-present</x:v>
      </x:c>
      <x:c r="Y493" s="44" t="str">
        <x:v>automated signatures are JCS-specific; all other candidate application threads remain unattributed and ownership requires the archived full dump</x:v>
      </x:c>
    </x:row>
    <x:row r="494">
      <x:c r="A494" s="34" t="str">
        <x:v>article1-unified-v4-2-fb3f101b-20260903-000401-default-f05-p1-jcs321</x:v>
      </x:c>
      <x:c r="B494" s="34" t="str">
        <x:v>default</x:v>
      </x:c>
      <x:c r="C494" s="34" t="str">
        <x:v>jcs321</x:v>
      </x:c>
      <x:c r="D494" s="36" t="n">
        <x:v>5</x:v>
      </x:c>
      <x:c r="E494" s="36" t="n">
        <x:v>5</x:v>
      </x:c>
      <x:c r="F494" s="36" t="n">
        <x:v>1</x:v>
      </x:c>
      <x:c r="G494" s="36" t="n">
        <x:v>4</x:v>
      </x:c>
      <x:c r="H494" s="34" t="str">
        <x:v>firstUndeployThreadEvidenceEarly</x:v>
      </x:c>
      <x:c r="I494" s="36" t="n">
        <x:v>1</x:v>
      </x:c>
      <x:c r="J494" s="34" t="str">
        <x:v>early</x:v>
      </x:c>
      <x:c r="K494" s="36" t="n">
        <x:v>34</x:v>
      </x:c>
      <x:c r="L494" s="51" t="n">
        <x:v>7</x:v>
      </x:c>
      <x:c r="M494" s="51" t="n">
        <x:v>1</x:v>
      </x:c>
      <x:c r="N494" s="36" t="n">
        <x:v>17</x:v>
      </x:c>
      <x:c r="O494" s="44" t="str">
        <x:v>JCS-ElementEventQueue-Thread-4#49 | JCS-ElementEventQueue-Thread-7#91 | JCS-ElementEventQueue-Thread-10#133 | http-nio-8080-exec-25#168 | JCS-ElementEventQueue-Thread-13#176 | JCS-ElementEventQueue-Thread-16#218 | http-nio-8080-exec-41#258 | JCS-ElementEventQueue-Thread-19#261 | http-nio-8080-exec-44#295 | http-nio-8080-exec-45#296 | http-nio-8080-exec-46#297 | http-nio-8080-exec-47#300 | http-nio-8080-exec-48#301 | JCS-ElementEventQueue-Thread-22#303 | http-nio-8080-exec-49#336 | http-nio-8080-exec-50#337 | http-nio-8080-exec-51#338</x:v>
      </x:c>
      <x:c r="P494" s="36" t="n">
        <x:v>6</x:v>
      </x:c>
      <x:c r="Q494" s="44" t="str">
        <x:v>http-nio-8080-exec-47#300 | http-nio-8080-exec-48#301 | JCS-ElementEventQueue-Thread-22#303 | http-nio-8080-exec-49#336 | http-nio-8080-exec-50#337 | http-nio-8080-exec-51#338</x:v>
      </x:c>
      <x:c r="R494" s="36" t="n">
        <x:v>7</x:v>
      </x:c>
      <x:c r="S494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494" s="36" t="n">
        <x:v>1</x:v>
      </x:c>
      <x:c r="U494" s="44" t="str">
        <x:v>JCS-ElementEventQueue-Thread-22#303</x:v>
      </x:c>
      <x:c r="V494" s="36" t="n">
        <x:v>7</x:v>
      </x:c>
      <x:c r="W49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494" s="34" t="str">
        <x:v>jcs-signature-present</x:v>
      </x:c>
      <x:c r="Y494" s="44" t="str">
        <x:v>automated signatures are JCS-specific; all other candidate application threads remain unattributed and ownership requires the archived full dump</x:v>
      </x:c>
    </x:row>
    <x:row r="495">
      <x:c r="A495" s="34" t="str">
        <x:v>article1-unified-v4-2-fb3f101b-20260903-000401-default-f05-p1-jcs321</x:v>
      </x:c>
      <x:c r="B495" s="34" t="str">
        <x:v>default</x:v>
      </x:c>
      <x:c r="C495" s="34" t="str">
        <x:v>jcs321</x:v>
      </x:c>
      <x:c r="D495" s="36" t="n">
        <x:v>5</x:v>
      </x:c>
      <x:c r="E495" s="36" t="n">
        <x:v>5</x:v>
      </x:c>
      <x:c r="F495" s="36" t="n">
        <x:v>1</x:v>
      </x:c>
      <x:c r="G495" s="36" t="n">
        <x:v>4</x:v>
      </x:c>
      <x:c r="H495" s="34" t="str">
        <x:v>firstUndeployThreadEvidenceFinal</x:v>
      </x:c>
      <x:c r="I495" s="36" t="n">
        <x:v>1</x:v>
      </x:c>
      <x:c r="J495" s="34" t="str">
        <x:v>final</x:v>
      </x:c>
      <x:c r="K495" s="36" t="n">
        <x:v>34</x:v>
      </x:c>
      <x:c r="L495" s="51" t="n">
        <x:v>7</x:v>
      </x:c>
      <x:c r="M495" s="51" t="n">
        <x:v>1</x:v>
      </x:c>
      <x:c r="N495" s="36" t="n">
        <x:v>17</x:v>
      </x:c>
      <x:c r="O495" s="44" t="str">
        <x:v>JCS-ElementEventQueue-Thread-4#49 | JCS-ElementEventQueue-Thread-7#91 | JCS-ElementEventQueue-Thread-10#133 | http-nio-8080-exec-25#168 | JCS-ElementEventQueue-Thread-13#176 | JCS-ElementEventQueue-Thread-16#218 | http-nio-8080-exec-41#258 | JCS-ElementEventQueue-Thread-19#261 | http-nio-8080-exec-44#295 | http-nio-8080-exec-45#296 | http-nio-8080-exec-46#297 | http-nio-8080-exec-47#300 | http-nio-8080-exec-48#301 | JCS-ElementEventQueue-Thread-22#303 | http-nio-8080-exec-50#337 | http-nio-8080-exec-51#338 | http-nio-8080-exec-52#339</x:v>
      </x:c>
      <x:c r="P495" s="36" t="n">
        <x:v>6</x:v>
      </x:c>
      <x:c r="Q495" s="44" t="str">
        <x:v>http-nio-8080-exec-47#300 | http-nio-8080-exec-48#301 | JCS-ElementEventQueue-Thread-22#303 | http-nio-8080-exec-50#337 | http-nio-8080-exec-51#338 | http-nio-8080-exec-52#339</x:v>
      </x:c>
      <x:c r="R495" s="36" t="n">
        <x:v>7</x:v>
      </x:c>
      <x:c r="S495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495" s="36" t="n">
        <x:v>1</x:v>
      </x:c>
      <x:c r="U495" s="44" t="str">
        <x:v>JCS-ElementEventQueue-Thread-22#303</x:v>
      </x:c>
      <x:c r="V495" s="36" t="n">
        <x:v>7</x:v>
      </x:c>
      <x:c r="W49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495" s="34" t="str">
        <x:v>jcs-signature-present</x:v>
      </x:c>
      <x:c r="Y495" s="44" t="str">
        <x:v>automated signatures are JCS-specific; all other candidate application threads remain unattributed and ownership requires the archived full dump</x:v>
      </x:c>
    </x:row>
    <x:row r="496">
      <x:c r="A496" s="34" t="str">
        <x:v>article1-unified-v4-2-fb3f101b-20260903-000401-default-f05-p1-jcs321</x:v>
      </x:c>
      <x:c r="B496" s="34" t="str">
        <x:v>default</x:v>
      </x:c>
      <x:c r="C496" s="34" t="str">
        <x:v>jcs321</x:v>
      </x:c>
      <x:c r="D496" s="36" t="n">
        <x:v>5</x:v>
      </x:c>
      <x:c r="E496" s="36" t="n">
        <x:v>5</x:v>
      </x:c>
      <x:c r="F496" s="36" t="n">
        <x:v>1</x:v>
      </x:c>
      <x:c r="G496" s="36" t="n">
        <x:v>4</x:v>
      </x:c>
      <x:c r="H496" s="34" t="str">
        <x:v>finalUndeployThreadEvidenceEarly</x:v>
      </x:c>
      <x:c r="I496" s="36" t="n">
        <x:v>2</x:v>
      </x:c>
      <x:c r="J496" s="34" t="str">
        <x:v>early</x:v>
      </x:c>
      <x:c r="K496" s="36" t="n">
        <x:v>35</x:v>
      </x:c>
      <x:c r="L496" s="51" t="n">
        <x:v>8</x:v>
      </x:c>
      <x:c r="M496" s="51" t="n">
        <x:v>2</x:v>
      </x:c>
      <x:c r="N496" s="36" t="n">
        <x:v>18</x:v>
      </x:c>
      <x:c r="O496" s="44" t="str">
        <x:v>JCS-ElementEventQueue-Thread-4#49 | JCS-ElementEventQueue-Thread-7#91 | JCS-ElementEventQueue-Thread-10#133 | http-nio-8080-exec-25#168 | JCS-ElementEventQueue-Thread-13#176 | JCS-ElementEventQueue-Thread-16#218 | JCS-ElementEventQueue-Thread-19#261 | http-nio-8080-exec-46#297 | JCS-ElementEventQueue-Thread-22#303 | http-nio-8080-exec-50#337 | http-nio-8080-exec-51#338 | http-nio-8080-exec-52#339 | http-nio-8080-exec-54#343 | http-nio-8080-exec-55#344 | JCS-ElementEventQueue-Thread-25#346 | http-nio-8080-exec-56#379 | http-nio-8080-exec-57#380 | http-nio-8080-exec-58#381</x:v>
      </x:c>
      <x:c r="P496" s="36" t="n">
        <x:v>10</x:v>
      </x:c>
      <x:c r="Q496" s="44" t="str">
        <x:v>JCS-ElementEventQueue-Thread-22#303 | http-nio-8080-exec-50#337 | http-nio-8080-exec-51#338 | http-nio-8080-exec-52#339 | http-nio-8080-exec-54#343 | http-nio-8080-exec-55#344 | JCS-ElementEventQueue-Thread-25#346 | http-nio-8080-exec-56#379 | http-nio-8080-exec-57#380 | http-nio-8080-exec-58#381</x:v>
      </x:c>
      <x:c r="R496" s="36" t="n">
        <x:v>8</x:v>
      </x:c>
      <x:c r="S496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496" s="36" t="n">
        <x:v>2</x:v>
      </x:c>
      <x:c r="U496" s="44" t="str">
        <x:v>JCS-ElementEventQueue-Thread-22#303 | JCS-ElementEventQueue-Thread-25#346</x:v>
      </x:c>
      <x:c r="V496" s="36" t="n">
        <x:v>8</x:v>
      </x:c>
      <x:c r="W49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496" s="34" t="str">
        <x:v>jcs-signature-present</x:v>
      </x:c>
      <x:c r="Y496" s="44" t="str">
        <x:v>automated signatures are JCS-specific; all other candidate application threads remain unattributed and ownership requires the archived full dump</x:v>
      </x:c>
    </x:row>
    <x:row r="497">
      <x:c r="A497" s="34" t="str">
        <x:v>article1-unified-v4-2-fb3f101b-20260903-000401-default-f05-p1-jcs321</x:v>
      </x:c>
      <x:c r="B497" s="34" t="str">
        <x:v>default</x:v>
      </x:c>
      <x:c r="C497" s="34" t="str">
        <x:v>jcs321</x:v>
      </x:c>
      <x:c r="D497" s="36" t="n">
        <x:v>5</x:v>
      </x:c>
      <x:c r="E497" s="36" t="n">
        <x:v>5</x:v>
      </x:c>
      <x:c r="F497" s="36" t="n">
        <x:v>1</x:v>
      </x:c>
      <x:c r="G497" s="36" t="n">
        <x:v>4</x:v>
      </x:c>
      <x:c r="H497" s="34" t="str">
        <x:v>finalUndeployThreadEvidenceFinal</x:v>
      </x:c>
      <x:c r="I497" s="36" t="n">
        <x:v>2</x:v>
      </x:c>
      <x:c r="J497" s="34" t="str">
        <x:v>final</x:v>
      </x:c>
      <x:c r="K497" s="36" t="n">
        <x:v>35</x:v>
      </x:c>
      <x:c r="L497" s="51" t="n">
        <x:v>8</x:v>
      </x:c>
      <x:c r="M497" s="51" t="n">
        <x:v>2</x:v>
      </x:c>
      <x:c r="N497" s="36" t="n">
        <x:v>18</x:v>
      </x:c>
      <x:c r="O497" s="44" t="str">
        <x:v>JCS-ElementEventQueue-Thread-4#49 | JCS-ElementEventQueue-Thread-7#91 | JCS-ElementEventQueue-Thread-10#133 | http-nio-8080-exec-25#168 | JCS-ElementEventQueue-Thread-13#176 | JCS-ElementEventQueue-Thread-16#218 | JCS-ElementEventQueue-Thread-19#261 | http-nio-8080-exec-46#297 | JCS-ElementEventQueue-Thread-22#303 | http-nio-8080-exec-50#337 | http-nio-8080-exec-51#338 | http-nio-8080-exec-52#339 | http-nio-8080-exec-54#343 | http-nio-8080-exec-55#344 | JCS-ElementEventQueue-Thread-25#346 | http-nio-8080-exec-57#380 | http-nio-8080-exec-58#381 | http-nio-8080-exec-59#382</x:v>
      </x:c>
      <x:c r="P497" s="36" t="n">
        <x:v>10</x:v>
      </x:c>
      <x:c r="Q497" s="44" t="str">
        <x:v>JCS-ElementEventQueue-Thread-22#303 | http-nio-8080-exec-50#337 | http-nio-8080-exec-51#338 | http-nio-8080-exec-52#339 | http-nio-8080-exec-54#343 | http-nio-8080-exec-55#344 | JCS-ElementEventQueue-Thread-25#346 | http-nio-8080-exec-57#380 | http-nio-8080-exec-58#381 | http-nio-8080-exec-59#382</x:v>
      </x:c>
      <x:c r="R497" s="36" t="n">
        <x:v>8</x:v>
      </x:c>
      <x:c r="S497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497" s="36" t="n">
        <x:v>2</x:v>
      </x:c>
      <x:c r="U497" s="44" t="str">
        <x:v>JCS-ElementEventQueue-Thread-22#303 | JCS-ElementEventQueue-Thread-25#346</x:v>
      </x:c>
      <x:c r="V497" s="36" t="n">
        <x:v>8</x:v>
      </x:c>
      <x:c r="W49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497" s="34" t="str">
        <x:v>jcs-signature-present</x:v>
      </x:c>
      <x:c r="Y497" s="44" t="str">
        <x:v>automated signatures are JCS-specific; all other candidate application threads remain unattributed and ownership requires the archived full dump</x:v>
      </x:c>
    </x:row>
    <x:row r="498">
      <x:c r="A498" s="34" t="str">
        <x:v>article1-unified-v4-2-fb3f101b-20260903-000401-default-f05-p1-jcs321</x:v>
      </x:c>
      <x:c r="B498" s="34" t="str">
        <x:v>default</x:v>
      </x:c>
      <x:c r="C498" s="34" t="str">
        <x:v>jcs321</x:v>
      </x:c>
      <x:c r="D498" s="36" t="n">
        <x:v>5</x:v>
      </x:c>
      <x:c r="E498" s="36" t="n">
        <x:v>5</x:v>
      </x:c>
      <x:c r="F498" s="36" t="n">
        <x:v>1</x:v>
      </x:c>
      <x:c r="G498" s="36" t="n">
        <x:v>5</x:v>
      </x:c>
      <x:c r="H498" s="34" t="str">
        <x:v>firstUndeployThreadEvidenceEarly</x:v>
      </x:c>
      <x:c r="I498" s="36" t="n">
        <x:v>1</x:v>
      </x:c>
      <x:c r="J498" s="34" t="str">
        <x:v>early</x:v>
      </x:c>
      <x:c r="K498" s="36" t="n">
        <x:v>36</x:v>
      </x:c>
      <x:c r="L498" s="51" t="n">
        <x:v>9</x:v>
      </x:c>
      <x:c r="M498" s="51" t="n">
        <x:v>1</x:v>
      </x:c>
      <x:c r="N498" s="36" t="n">
        <x:v>19</x:v>
      </x:c>
      <x:c r="O498" s="44" t="str">
        <x:v>JCS-ElementEventQueue-Thread-4#49 | JCS-ElementEventQueue-Thread-7#91 | JCS-ElementEventQueue-Thread-10#133 | http-nio-8080-exec-25#168 | JCS-ElementEventQueue-Thread-13#176 | JCS-ElementEventQueue-Thread-16#218 | JCS-ElementEventQueue-Thread-19#261 | JCS-ElementEventQueue-Thread-22#303 | http-nio-8080-exec-54#343 | http-nio-8080-exec-55#344 | JCS-ElementEventQueue-Thread-25#346 | http-nio-8080-exec-57#380 | http-nio-8080-exec-58#381 | http-nio-8080-exec-59#382 | http-nio-8080-exec-60#385 | http-nio-8080-exec-61#386 | JCS-ElementEventQueue-Thread-28#388 | http-nio-8080-exec-63#422 | http-nio-8080-exec-64#423</x:v>
      </x:c>
      <x:c r="P498" s="36" t="n">
        <x:v>5</x:v>
      </x:c>
      <x:c r="Q498" s="44" t="str">
        <x:v>http-nio-8080-exec-60#385 | http-nio-8080-exec-61#386 | JCS-ElementEventQueue-Thread-28#388 | http-nio-8080-exec-63#422 | http-nio-8080-exec-64#423</x:v>
      </x:c>
      <x:c r="R498" s="36" t="n">
        <x:v>9</x:v>
      </x:c>
      <x:c r="S49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498" s="36" t="n">
        <x:v>1</x:v>
      </x:c>
      <x:c r="U498" s="44" t="str">
        <x:v>JCS-ElementEventQueue-Thread-28#388</x:v>
      </x:c>
      <x:c r="V498" s="36" t="n">
        <x:v>9</x:v>
      </x:c>
      <x:c r="W49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498" s="34" t="str">
        <x:v>jcs-signature-present</x:v>
      </x:c>
      <x:c r="Y498" s="44" t="str">
        <x:v>automated signatures are JCS-specific; all other candidate application threads remain unattributed and ownership requires the archived full dump</x:v>
      </x:c>
    </x:row>
    <x:row r="499">
      <x:c r="A499" s="34" t="str">
        <x:v>article1-unified-v4-2-fb3f101b-20260903-000401-default-f05-p1-jcs321</x:v>
      </x:c>
      <x:c r="B499" s="34" t="str">
        <x:v>default</x:v>
      </x:c>
      <x:c r="C499" s="34" t="str">
        <x:v>jcs321</x:v>
      </x:c>
      <x:c r="D499" s="36" t="n">
        <x:v>5</x:v>
      </x:c>
      <x:c r="E499" s="36" t="n">
        <x:v>5</x:v>
      </x:c>
      <x:c r="F499" s="36" t="n">
        <x:v>1</x:v>
      </x:c>
      <x:c r="G499" s="36" t="n">
        <x:v>5</x:v>
      </x:c>
      <x:c r="H499" s="34" t="str">
        <x:v>firstUndeployThreadEvidenceFinal</x:v>
      </x:c>
      <x:c r="I499" s="36" t="n">
        <x:v>1</x:v>
      </x:c>
      <x:c r="J499" s="34" t="str">
        <x:v>final</x:v>
      </x:c>
      <x:c r="K499" s="36" t="n">
        <x:v>36</x:v>
      </x:c>
      <x:c r="L499" s="51" t="n">
        <x:v>9</x:v>
      </x:c>
      <x:c r="M499" s="51" t="n">
        <x:v>1</x:v>
      </x:c>
      <x:c r="N499" s="36" t="n">
        <x:v>19</x:v>
      </x:c>
      <x:c r="O499" s="44" t="str">
        <x:v>JCS-ElementEventQueue-Thread-4#49 | JCS-ElementEventQueue-Thread-7#91 | JCS-ElementEventQueue-Thread-10#133 | http-nio-8080-exec-25#168 | JCS-ElementEventQueue-Thread-13#176 | JCS-ElementEventQueue-Thread-16#218 | JCS-ElementEventQueue-Thread-19#261 | JCS-ElementEventQueue-Thread-22#303 | http-nio-8080-exec-55#344 | JCS-ElementEventQueue-Thread-25#346 | http-nio-8080-exec-57#380 | http-nio-8080-exec-58#381 | http-nio-8080-exec-59#382 | http-nio-8080-exec-60#385 | http-nio-8080-exec-61#386 | JCS-ElementEventQueue-Thread-28#388 | http-nio-8080-exec-63#422 | http-nio-8080-exec-64#423 | http-nio-8080-exec-65#424</x:v>
      </x:c>
      <x:c r="P499" s="36" t="n">
        <x:v>6</x:v>
      </x:c>
      <x:c r="Q499" s="44" t="str">
        <x:v>http-nio-8080-exec-60#385 | http-nio-8080-exec-61#386 | JCS-ElementEventQueue-Thread-28#388 | http-nio-8080-exec-63#422 | http-nio-8080-exec-64#423 | http-nio-8080-exec-65#424</x:v>
      </x:c>
      <x:c r="R499" s="36" t="n">
        <x:v>9</x:v>
      </x:c>
      <x:c r="S49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499" s="36" t="n">
        <x:v>1</x:v>
      </x:c>
      <x:c r="U499" s="44" t="str">
        <x:v>JCS-ElementEventQueue-Thread-28#388</x:v>
      </x:c>
      <x:c r="V499" s="36" t="n">
        <x:v>9</x:v>
      </x:c>
      <x:c r="W49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499" s="34" t="str">
        <x:v>jcs-signature-present</x:v>
      </x:c>
      <x:c r="Y499" s="44" t="str">
        <x:v>automated signatures are JCS-specific; all other candidate application threads remain unattributed and ownership requires the archived full dump</x:v>
      </x:c>
    </x:row>
    <x:row r="500">
      <x:c r="A500" s="34" t="str">
        <x:v>article1-unified-v4-2-fb3f101b-20260903-000401-default-f05-p1-jcs321</x:v>
      </x:c>
      <x:c r="B500" s="34" t="str">
        <x:v>default</x:v>
      </x:c>
      <x:c r="C500" s="34" t="str">
        <x:v>jcs321</x:v>
      </x:c>
      <x:c r="D500" s="36" t="n">
        <x:v>5</x:v>
      </x:c>
      <x:c r="E500" s="36" t="n">
        <x:v>5</x:v>
      </x:c>
      <x:c r="F500" s="36" t="n">
        <x:v>1</x:v>
      </x:c>
      <x:c r="G500" s="36" t="n">
        <x:v>5</x:v>
      </x:c>
      <x:c r="H500" s="34" t="str">
        <x:v>finalUndeployThreadEvidenceEarly</x:v>
      </x:c>
      <x:c r="I500" s="36" t="n">
        <x:v>2</x:v>
      </x:c>
      <x:c r="J500" s="34" t="str">
        <x:v>early</x:v>
      </x:c>
      <x:c r="K500" s="36" t="n">
        <x:v>37</x:v>
      </x:c>
      <x:c r="L500" s="51" t="n">
        <x:v>10</x:v>
      </x:c>
      <x:c r="M500" s="51" t="n">
        <x:v>2</x:v>
      </x:c>
      <x:c r="N500" s="36" t="n">
        <x:v>20</x:v>
      </x:c>
      <x:c r="O500" s="44" t="str">
        <x:v>JCS-ElementEventQueue-Thread-4#49 | JCS-ElementEventQueue-Thread-7#91 | JCS-ElementEventQueue-Thread-10#133 | http-nio-8080-exec-25#168 | JCS-ElementEventQueue-Thread-13#176 | JCS-ElementEventQueue-Thread-16#218 | JCS-ElementEventQueue-Thread-19#261 | JCS-ElementEventQueue-Thread-22#303 | JCS-ElementEventQueue-Thread-25#346 | http-nio-8080-exec-59#382 | JCS-ElementEventQueue-Thread-28#388 | http-nio-8080-exec-63#422 | http-nio-8080-exec-64#423 | http-nio-8080-exec-65#424 | http-nio-8080-exec-67#428 | http-nio-8080-exec-68#429 | JCS-ElementEventQueue-Thread-31#431 | http-nio-8080-exec-69#464 | http-nio-8080-exec-70#465 | http-nio-8080-exec-71#466</x:v>
      </x:c>
      <x:c r="P500" s="36" t="n">
        <x:v>10</x:v>
      </x:c>
      <x:c r="Q500" s="44" t="str">
        <x:v>JCS-ElementEventQueue-Thread-28#388 | http-nio-8080-exec-63#422 | http-nio-8080-exec-64#423 | http-nio-8080-exec-65#424 | http-nio-8080-exec-67#428 | http-nio-8080-exec-68#429 | JCS-ElementEventQueue-Thread-31#431 | http-nio-8080-exec-69#464 | http-nio-8080-exec-70#465 | http-nio-8080-exec-71#466</x:v>
      </x:c>
      <x:c r="R500" s="36" t="n">
        <x:v>10</x:v>
      </x:c>
      <x:c r="S50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500" s="36" t="n">
        <x:v>2</x:v>
      </x:c>
      <x:c r="U500" s="44" t="str">
        <x:v>JCS-ElementEventQueue-Thread-28#388 | JCS-ElementEventQueue-Thread-31#431</x:v>
      </x:c>
      <x:c r="V500" s="36" t="n">
        <x:v>10</x:v>
      </x:c>
      <x:c r="W50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500" s="34" t="str">
        <x:v>jcs-signature-present</x:v>
      </x:c>
      <x:c r="Y500" s="44" t="str">
        <x:v>automated signatures are JCS-specific; all other candidate application threads remain unattributed and ownership requires the archived full dump</x:v>
      </x:c>
    </x:row>
    <x:row r="501">
      <x:c r="A501" s="34" t="str">
        <x:v>article1-unified-v4-2-fb3f101b-20260903-000401-default-f05-p1-jcs321</x:v>
      </x:c>
      <x:c r="B501" s="34" t="str">
        <x:v>default</x:v>
      </x:c>
      <x:c r="C501" s="34" t="str">
        <x:v>jcs321</x:v>
      </x:c>
      <x:c r="D501" s="36" t="n">
        <x:v>5</x:v>
      </x:c>
      <x:c r="E501" s="36" t="n">
        <x:v>5</x:v>
      </x:c>
      <x:c r="F501" s="36" t="n">
        <x:v>1</x:v>
      </x:c>
      <x:c r="G501" s="36" t="n">
        <x:v>5</x:v>
      </x:c>
      <x:c r="H501" s="34" t="str">
        <x:v>finalUndeployThreadEvidenceFinal</x:v>
      </x:c>
      <x:c r="I501" s="36" t="n">
        <x:v>2</x:v>
      </x:c>
      <x:c r="J501" s="34" t="str">
        <x:v>final</x:v>
      </x:c>
      <x:c r="K501" s="36" t="n">
        <x:v>37</x:v>
      </x:c>
      <x:c r="L501" s="51" t="n">
        <x:v>10</x:v>
      </x:c>
      <x:c r="M501" s="51" t="n">
        <x:v>2</x:v>
      </x:c>
      <x:c r="N501" s="36" t="n">
        <x:v>20</x:v>
      </x:c>
      <x:c r="O501" s="44" t="str">
        <x:v>JCS-ElementEventQueue-Thread-4#49 | JCS-ElementEventQueue-Thread-7#91 | JCS-ElementEventQueue-Thread-10#133 | http-nio-8080-exec-25#168 | JCS-ElementEventQueue-Thread-13#176 | JCS-ElementEventQueue-Thread-16#218 | JCS-ElementEventQueue-Thread-19#261 | JCS-ElementEventQueue-Thread-22#303 | JCS-ElementEventQueue-Thread-25#346 | http-nio-8080-exec-59#382 | JCS-ElementEventQueue-Thread-28#388 | http-nio-8080-exec-63#422 | http-nio-8080-exec-64#423 | http-nio-8080-exec-67#428 | http-nio-8080-exec-68#429 | JCS-ElementEventQueue-Thread-31#431 | http-nio-8080-exec-69#464 | http-nio-8080-exec-70#465 | http-nio-8080-exec-71#466 | http-nio-8080-exec-72#467</x:v>
      </x:c>
      <x:c r="P501" s="36" t="n">
        <x:v>10</x:v>
      </x:c>
      <x:c r="Q501" s="44" t="str">
        <x:v>JCS-ElementEventQueue-Thread-28#388 | http-nio-8080-exec-63#422 | http-nio-8080-exec-64#423 | http-nio-8080-exec-67#428 | http-nio-8080-exec-68#429 | JCS-ElementEventQueue-Thread-31#431 | http-nio-8080-exec-69#464 | http-nio-8080-exec-70#465 | http-nio-8080-exec-71#466 | http-nio-8080-exec-72#467</x:v>
      </x:c>
      <x:c r="R501" s="36" t="n">
        <x:v>10</x:v>
      </x:c>
      <x:c r="S50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501" s="36" t="n">
        <x:v>2</x:v>
      </x:c>
      <x:c r="U501" s="44" t="str">
        <x:v>JCS-ElementEventQueue-Thread-28#388 | JCS-ElementEventQueue-Thread-31#431</x:v>
      </x:c>
      <x:c r="V501" s="36" t="n">
        <x:v>10</x:v>
      </x:c>
      <x:c r="W50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501" s="34" t="str">
        <x:v>jcs-signature-present</x:v>
      </x:c>
      <x:c r="Y501" s="44" t="str">
        <x:v>automated signatures are JCS-specific; all other candidate application threads remain unattributed and ownership requires the archived full dump</x:v>
      </x:c>
    </x:row>
    <x:row r="502">
      <x:c r="A502" s="34" t="str">
        <x:v>article1-unified-v4-2-fb3f101b-20260903-000401-default-f05-p2-nostore</x:v>
      </x:c>
      <x:c r="B502" s="34" t="str">
        <x:v>default</x:v>
      </x:c>
      <x:c r="C502" s="34" t="str">
        <x:v>nostore</x:v>
      </x:c>
      <x:c r="D502" s="36" t="n">
        <x:v>5</x:v>
      </x:c>
      <x:c r="E502" s="36" t="n">
        <x:v>5</x:v>
      </x:c>
      <x:c r="F502" s="36" t="n">
        <x:v>2</x:v>
      </x:c>
      <x:c r="G502" s="36" t="n">
        <x:v>1</x:v>
      </x:c>
      <x:c r="H502" s="34" t="str">
        <x:v>firstUndeployThreadEvidenceEarly</x:v>
      </x:c>
      <x:c r="I502" s="36" t="n">
        <x:v>1</x:v>
      </x:c>
      <x:c r="J502" s="34" t="str">
        <x:v>early</x:v>
      </x:c>
      <x:c r="K502" s="36" t="n">
        <x:v>27</x:v>
      </x:c>
      <x:c r="L502" s="51" t="n">
        <x:v>0</x:v>
      </x:c>
      <x:c r="M502" s="51" t="n">
        <x:v>0</x:v>
      </x:c>
      <x:c r="N502" s="36" t="n">
        <x:v>2</x:v>
      </x:c>
      <x:c r="O502" s="44" t="str">
        <x:v>http-nio-8080-exec-11#80 | http-nio-8080-exec-12#81</x:v>
      </x:c>
      <x:c r="P502" s="36" t="n">
        <x:v>2</x:v>
      </x:c>
      <x:c r="Q502" s="44" t="str">
        <x:v>http-nio-8080-exec-11#80 | http-nio-8080-exec-12#81</x:v>
      </x:c>
      <x:c r="R502" s="36" t="n">
        <x:v>0</x:v>
      </x:c>
      <x:c r="S502" s="44"/>
      <x:c r="T502" s="36" t="n">
        <x:v>0</x:v>
      </x:c>
      <x:c r="U502" s="44"/>
      <x:c r="V502" s="36" t="n">
        <x:v>0</x:v>
      </x:c>
      <x:c r="W502" s="44"/>
      <x:c r="X502" s="34" t="str">
        <x:v>no-post-undeploy-thread-signal</x:v>
      </x:c>
      <x:c r="Y502" s="44" t="str">
        <x:v>automated signatures are JCS-specific; all other candidate application threads remain unattributed and ownership requires the archived full dump</x:v>
      </x:c>
    </x:row>
    <x:row r="503">
      <x:c r="A503" s="34" t="str">
        <x:v>article1-unified-v4-2-fb3f101b-20260903-000401-default-f05-p2-nostore</x:v>
      </x:c>
      <x:c r="B503" s="34" t="str">
        <x:v>default</x:v>
      </x:c>
      <x:c r="C503" s="34" t="str">
        <x:v>nostore</x:v>
      </x:c>
      <x:c r="D503" s="36" t="n">
        <x:v>5</x:v>
      </x:c>
      <x:c r="E503" s="36" t="n">
        <x:v>5</x:v>
      </x:c>
      <x:c r="F503" s="36" t="n">
        <x:v>2</x:v>
      </x:c>
      <x:c r="G503" s="36" t="n">
        <x:v>1</x:v>
      </x:c>
      <x:c r="H503" s="34" t="str">
        <x:v>firstUndeployThreadEvidenceFinal</x:v>
      </x:c>
      <x:c r="I503" s="36" t="n">
        <x:v>1</x:v>
      </x:c>
      <x:c r="J503" s="34" t="str">
        <x:v>final</x:v>
      </x:c>
      <x:c r="K503" s="36" t="n">
        <x:v>27</x:v>
      </x:c>
      <x:c r="L503" s="51" t="n">
        <x:v>0</x:v>
      </x:c>
      <x:c r="M503" s="51" t="n">
        <x:v>0</x:v>
      </x:c>
      <x:c r="N503" s="36" t="n">
        <x:v>3</x:v>
      </x:c>
      <x:c r="O503" s="44" t="str">
        <x:v>http-nio-8080-exec-11#80 | http-nio-8080-exec-12#81 | http-nio-8080-exec-13#82</x:v>
      </x:c>
      <x:c r="P503" s="36" t="n">
        <x:v>3</x:v>
      </x:c>
      <x:c r="Q503" s="44" t="str">
        <x:v>http-nio-8080-exec-11#80 | http-nio-8080-exec-12#81 | http-nio-8080-exec-13#82</x:v>
      </x:c>
      <x:c r="R503" s="36" t="n">
        <x:v>0</x:v>
      </x:c>
      <x:c r="S503" s="44"/>
      <x:c r="T503" s="36" t="n">
        <x:v>0</x:v>
      </x:c>
      <x:c r="U503" s="44"/>
      <x:c r="V503" s="36" t="n">
        <x:v>0</x:v>
      </x:c>
      <x:c r="W503" s="44"/>
      <x:c r="X503" s="34" t="str">
        <x:v>no-post-undeploy-thread-signal</x:v>
      </x:c>
      <x:c r="Y503" s="44" t="str">
        <x:v>automated signatures are JCS-specific; all other candidate application threads remain unattributed and ownership requires the archived full dump</x:v>
      </x:c>
    </x:row>
    <x:row r="504">
      <x:c r="A504" s="34" t="str">
        <x:v>article1-unified-v4-2-fb3f101b-20260903-000401-default-f05-p2-nostore</x:v>
      </x:c>
      <x:c r="B504" s="34" t="str">
        <x:v>default</x:v>
      </x:c>
      <x:c r="C504" s="34" t="str">
        <x:v>nostore</x:v>
      </x:c>
      <x:c r="D504" s="36" t="n">
        <x:v>5</x:v>
      </x:c>
      <x:c r="E504" s="36" t="n">
        <x:v>5</x:v>
      </x:c>
      <x:c r="F504" s="36" t="n">
        <x:v>2</x:v>
      </x:c>
      <x:c r="G504" s="36" t="n">
        <x:v>1</x:v>
      </x:c>
      <x:c r="H504" s="34" t="str">
        <x:v>finalUndeployThreadEvidenceEarly</x:v>
      </x:c>
      <x:c r="I504" s="36" t="n">
        <x:v>2</x:v>
      </x:c>
      <x:c r="J504" s="34" t="str">
        <x:v>early</x:v>
      </x:c>
      <x:c r="K504" s="36" t="n">
        <x:v>27</x:v>
      </x:c>
      <x:c r="L504" s="51" t="n">
        <x:v>0</x:v>
      </x:c>
      <x:c r="M504" s="51" t="n">
        <x:v>0</x:v>
      </x:c>
      <x:c r="N504" s="36" t="n">
        <x:v>8</x:v>
      </x:c>
      <x:c r="O504" s="44" t="str">
        <x:v>http-nio-8080-exec-11#80 | http-nio-8080-exec-12#81 | http-nio-8080-exec-13#82 | http-nio-8080-exec-15#86 | http-nio-8080-exec-16#87 | http-nio-8080-exec-17#120 | http-nio-8080-exec-18#121 | http-nio-8080-exec-19#122</x:v>
      </x:c>
      <x:c r="P504" s="36" t="n">
        <x:v>8</x:v>
      </x:c>
      <x:c r="Q504" s="44" t="str">
        <x:v>http-nio-8080-exec-11#80 | http-nio-8080-exec-12#81 | http-nio-8080-exec-13#82 | http-nio-8080-exec-15#86 | http-nio-8080-exec-16#87 | http-nio-8080-exec-17#120 | http-nio-8080-exec-18#121 | http-nio-8080-exec-19#122</x:v>
      </x:c>
      <x:c r="R504" s="36" t="n">
        <x:v>0</x:v>
      </x:c>
      <x:c r="S504" s="44"/>
      <x:c r="T504" s="36" t="n">
        <x:v>0</x:v>
      </x:c>
      <x:c r="U504" s="44"/>
      <x:c r="V504" s="36" t="n">
        <x:v>0</x:v>
      </x:c>
      <x:c r="W504" s="44"/>
      <x:c r="X504" s="34" t="str">
        <x:v>no-post-undeploy-thread-signal</x:v>
      </x:c>
      <x:c r="Y504" s="44" t="str">
        <x:v>automated signatures are JCS-specific; all other candidate application threads remain unattributed and ownership requires the archived full dump</x:v>
      </x:c>
    </x:row>
    <x:row r="505">
      <x:c r="A505" s="34" t="str">
        <x:v>article1-unified-v4-2-fb3f101b-20260903-000401-default-f05-p2-nostore</x:v>
      </x:c>
      <x:c r="B505" s="34" t="str">
        <x:v>default</x:v>
      </x:c>
      <x:c r="C505" s="34" t="str">
        <x:v>nostore</x:v>
      </x:c>
      <x:c r="D505" s="36" t="n">
        <x:v>5</x:v>
      </x:c>
      <x:c r="E505" s="36" t="n">
        <x:v>5</x:v>
      </x:c>
      <x:c r="F505" s="36" t="n">
        <x:v>2</x:v>
      </x:c>
      <x:c r="G505" s="36" t="n">
        <x:v>1</x:v>
      </x:c>
      <x:c r="H505" s="34" t="str">
        <x:v>finalUndeployThreadEvidenceFinal</x:v>
      </x:c>
      <x:c r="I505" s="36" t="n">
        <x:v>2</x:v>
      </x:c>
      <x:c r="J505" s="34" t="str">
        <x:v>final</x:v>
      </x:c>
      <x:c r="K505" s="36" t="n">
        <x:v>27</x:v>
      </x:c>
      <x:c r="L505" s="51" t="n">
        <x:v>0</x:v>
      </x:c>
      <x:c r="M505" s="51" t="n">
        <x:v>0</x:v>
      </x:c>
      <x:c r="N505" s="36" t="n">
        <x:v>8</x:v>
      </x:c>
      <x:c r="O505" s="44" t="str">
        <x:v>http-nio-8080-exec-11#80 | http-nio-8080-exec-12#81 | http-nio-8080-exec-13#82 | http-nio-8080-exec-15#86 | http-nio-8080-exec-16#87 | http-nio-8080-exec-18#121 | http-nio-8080-exec-19#122 | http-nio-8080-exec-20#123</x:v>
      </x:c>
      <x:c r="P505" s="36" t="n">
        <x:v>8</x:v>
      </x:c>
      <x:c r="Q505" s="44" t="str">
        <x:v>http-nio-8080-exec-11#80 | http-nio-8080-exec-12#81 | http-nio-8080-exec-13#82 | http-nio-8080-exec-15#86 | http-nio-8080-exec-16#87 | http-nio-8080-exec-18#121 | http-nio-8080-exec-19#122 | http-nio-8080-exec-20#123</x:v>
      </x:c>
      <x:c r="R505" s="36" t="n">
        <x:v>0</x:v>
      </x:c>
      <x:c r="S505" s="44"/>
      <x:c r="T505" s="36" t="n">
        <x:v>0</x:v>
      </x:c>
      <x:c r="U505" s="44"/>
      <x:c r="V505" s="36" t="n">
        <x:v>0</x:v>
      </x:c>
      <x:c r="W505" s="44"/>
      <x:c r="X505" s="34" t="str">
        <x:v>no-post-undeploy-thread-signal</x:v>
      </x:c>
      <x:c r="Y505" s="44" t="str">
        <x:v>automated signatures are JCS-specific; all other candidate application threads remain unattributed and ownership requires the archived full dump</x:v>
      </x:c>
    </x:row>
    <x:row r="506">
      <x:c r="A506" s="34" t="str">
        <x:v>article1-unified-v4-2-fb3f101b-20260903-000401-default-f05-p2-nostore</x:v>
      </x:c>
      <x:c r="B506" s="34" t="str">
        <x:v>default</x:v>
      </x:c>
      <x:c r="C506" s="34" t="str">
        <x:v>nostore</x:v>
      </x:c>
      <x:c r="D506" s="36" t="n">
        <x:v>5</x:v>
      </x:c>
      <x:c r="E506" s="36" t="n">
        <x:v>5</x:v>
      </x:c>
      <x:c r="F506" s="36" t="n">
        <x:v>2</x:v>
      </x:c>
      <x:c r="G506" s="36" t="n">
        <x:v>2</x:v>
      </x:c>
      <x:c r="H506" s="34" t="str">
        <x:v>firstUndeployThreadEvidenceEarly</x:v>
      </x:c>
      <x:c r="I506" s="36" t="n">
        <x:v>1</x:v>
      </x:c>
      <x:c r="J506" s="34" t="str">
        <x:v>early</x:v>
      </x:c>
      <x:c r="K506" s="36" t="n">
        <x:v>27</x:v>
      </x:c>
      <x:c r="L506" s="51" t="n">
        <x:v>0</x:v>
      </x:c>
      <x:c r="M506" s="51" t="n">
        <x:v>0</x:v>
      </x:c>
      <x:c r="N506" s="36" t="n">
        <x:v>8</x:v>
      </x:c>
      <x:c r="O506" s="44" t="str">
        <x:v>http-nio-8080-exec-16#87 | http-nio-8080-exec-18#121 | http-nio-8080-exec-19#122 | http-nio-8080-exec-20#123 | http-nio-8080-exec-22#127 | http-nio-8080-exec-23#160 | http-nio-8080-exec-24#161 | http-nio-8080-exec-25#162</x:v>
      </x:c>
      <x:c r="P506" s="36" t="n">
        <x:v>4</x:v>
      </x:c>
      <x:c r="Q506" s="44" t="str">
        <x:v>http-nio-8080-exec-22#127 | http-nio-8080-exec-23#160 | http-nio-8080-exec-24#161 | http-nio-8080-exec-25#162</x:v>
      </x:c>
      <x:c r="R506" s="36" t="n">
        <x:v>0</x:v>
      </x:c>
      <x:c r="S506" s="44"/>
      <x:c r="T506" s="36" t="n">
        <x:v>0</x:v>
      </x:c>
      <x:c r="U506" s="44"/>
      <x:c r="V506" s="36" t="n">
        <x:v>0</x:v>
      </x:c>
      <x:c r="W506" s="44"/>
      <x:c r="X506" s="34" t="str">
        <x:v>no-post-undeploy-thread-signal</x:v>
      </x:c>
      <x:c r="Y506" s="44" t="str">
        <x:v>automated signatures are JCS-specific; all other candidate application threads remain unattributed and ownership requires the archived full dump</x:v>
      </x:c>
    </x:row>
    <x:row r="507">
      <x:c r="A507" s="34" t="str">
        <x:v>article1-unified-v4-2-fb3f101b-20260903-000401-default-f05-p2-nostore</x:v>
      </x:c>
      <x:c r="B507" s="34" t="str">
        <x:v>default</x:v>
      </x:c>
      <x:c r="C507" s="34" t="str">
        <x:v>nostore</x:v>
      </x:c>
      <x:c r="D507" s="36" t="n">
        <x:v>5</x:v>
      </x:c>
      <x:c r="E507" s="36" t="n">
        <x:v>5</x:v>
      </x:c>
      <x:c r="F507" s="36" t="n">
        <x:v>2</x:v>
      </x:c>
      <x:c r="G507" s="36" t="n">
        <x:v>2</x:v>
      </x:c>
      <x:c r="H507" s="34" t="str">
        <x:v>firstUndeployThreadEvidenceFinal</x:v>
      </x:c>
      <x:c r="I507" s="36" t="n">
        <x:v>1</x:v>
      </x:c>
      <x:c r="J507" s="34" t="str">
        <x:v>final</x:v>
      </x:c>
      <x:c r="K507" s="36" t="n">
        <x:v>27</x:v>
      </x:c>
      <x:c r="L507" s="51" t="n">
        <x:v>0</x:v>
      </x:c>
      <x:c r="M507" s="51" t="n">
        <x:v>0</x:v>
      </x:c>
      <x:c r="N507" s="36" t="n">
        <x:v>8</x:v>
      </x:c>
      <x:c r="O507" s="44" t="str">
        <x:v>http-nio-8080-exec-16#87 | http-nio-8080-exec-18#121 | http-nio-8080-exec-19#122 | http-nio-8080-exec-22#127 | http-nio-8080-exec-23#160 | http-nio-8080-exec-24#161 | http-nio-8080-exec-25#162 | http-nio-8080-exec-26#163</x:v>
      </x:c>
      <x:c r="P507" s="36" t="n">
        <x:v>5</x:v>
      </x:c>
      <x:c r="Q507" s="44" t="str">
        <x:v>http-nio-8080-exec-22#127 | http-nio-8080-exec-23#160 | http-nio-8080-exec-24#161 | http-nio-8080-exec-25#162 | http-nio-8080-exec-26#163</x:v>
      </x:c>
      <x:c r="R507" s="36" t="n">
        <x:v>0</x:v>
      </x:c>
      <x:c r="S507" s="44"/>
      <x:c r="T507" s="36" t="n">
        <x:v>0</x:v>
      </x:c>
      <x:c r="U507" s="44"/>
      <x:c r="V507" s="36" t="n">
        <x:v>0</x:v>
      </x:c>
      <x:c r="W507" s="44"/>
      <x:c r="X507" s="34" t="str">
        <x:v>no-post-undeploy-thread-signal</x:v>
      </x:c>
      <x:c r="Y507" s="44" t="str">
        <x:v>automated signatures are JCS-specific; all other candidate application threads remain unattributed and ownership requires the archived full dump</x:v>
      </x:c>
    </x:row>
    <x:row r="508">
      <x:c r="A508" s="34" t="str">
        <x:v>article1-unified-v4-2-fb3f101b-20260903-000401-default-f05-p2-nostore</x:v>
      </x:c>
      <x:c r="B508" s="34" t="str">
        <x:v>default</x:v>
      </x:c>
      <x:c r="C508" s="34" t="str">
        <x:v>nostore</x:v>
      </x:c>
      <x:c r="D508" s="36" t="n">
        <x:v>5</x:v>
      </x:c>
      <x:c r="E508" s="36" t="n">
        <x:v>5</x:v>
      </x:c>
      <x:c r="F508" s="36" t="n">
        <x:v>2</x:v>
      </x:c>
      <x:c r="G508" s="36" t="n">
        <x:v>2</x:v>
      </x:c>
      <x:c r="H508" s="34" t="str">
        <x:v>finalUndeployThreadEvidenceEarly</x:v>
      </x:c>
      <x:c r="I508" s="36" t="n">
        <x:v>2</x:v>
      </x:c>
      <x:c r="J508" s="34" t="str">
        <x:v>early</x:v>
      </x:c>
      <x:c r="K508" s="36" t="n">
        <x:v>27</x:v>
      </x:c>
      <x:c r="L508" s="51" t="n">
        <x:v>0</x:v>
      </x:c>
      <x:c r="M508" s="51" t="n">
        <x:v>0</x:v>
      </x:c>
      <x:c r="N508" s="36" t="n">
        <x:v>9</x:v>
      </x:c>
      <x:c r="O508" s="44" t="str">
        <x:v>http-nio-8080-exec-19#122 | http-nio-8080-exec-24#161 | http-nio-8080-exec-25#162 | http-nio-8080-exec-26#163 | http-nio-8080-exec-27#166 | http-nio-8080-exec-28#167 | http-nio-8080-exec-30#201 | http-nio-8080-exec-31#202 | http-nio-8080-exec-32#203</x:v>
      </x:c>
      <x:c r="P508" s="36" t="n">
        <x:v>8</x:v>
      </x:c>
      <x:c r="Q508" s="44" t="str">
        <x:v>http-nio-8080-exec-24#161 | http-nio-8080-exec-25#162 | http-nio-8080-exec-26#163 | http-nio-8080-exec-27#166 | http-nio-8080-exec-28#167 | http-nio-8080-exec-30#201 | http-nio-8080-exec-31#202 | http-nio-8080-exec-32#203</x:v>
      </x:c>
      <x:c r="R508" s="36" t="n">
        <x:v>0</x:v>
      </x:c>
      <x:c r="S508" s="44"/>
      <x:c r="T508" s="36" t="n">
        <x:v>0</x:v>
      </x:c>
      <x:c r="U508" s="44"/>
      <x:c r="V508" s="36" t="n">
        <x:v>0</x:v>
      </x:c>
      <x:c r="W508" s="44"/>
      <x:c r="X508" s="34" t="str">
        <x:v>no-post-undeploy-thread-signal</x:v>
      </x:c>
      <x:c r="Y508" s="44" t="str">
        <x:v>automated signatures are JCS-specific; all other candidate application threads remain unattributed and ownership requires the archived full dump</x:v>
      </x:c>
    </x:row>
    <x:row r="509">
      <x:c r="A509" s="34" t="str">
        <x:v>article1-unified-v4-2-fb3f101b-20260903-000401-default-f05-p2-nostore</x:v>
      </x:c>
      <x:c r="B509" s="34" t="str">
        <x:v>default</x:v>
      </x:c>
      <x:c r="C509" s="34" t="str">
        <x:v>nostore</x:v>
      </x:c>
      <x:c r="D509" s="36" t="n">
        <x:v>5</x:v>
      </x:c>
      <x:c r="E509" s="36" t="n">
        <x:v>5</x:v>
      </x:c>
      <x:c r="F509" s="36" t="n">
        <x:v>2</x:v>
      </x:c>
      <x:c r="G509" s="36" t="n">
        <x:v>2</x:v>
      </x:c>
      <x:c r="H509" s="34" t="str">
        <x:v>finalUndeployThreadEvidenceFinal</x:v>
      </x:c>
      <x:c r="I509" s="36" t="n">
        <x:v>2</x:v>
      </x:c>
      <x:c r="J509" s="34" t="str">
        <x:v>final</x:v>
      </x:c>
      <x:c r="K509" s="36" t="n">
        <x:v>27</x:v>
      </x:c>
      <x:c r="L509" s="51" t="n">
        <x:v>0</x:v>
      </x:c>
      <x:c r="M509" s="51" t="n">
        <x:v>0</x:v>
      </x:c>
      <x:c r="N509" s="36" t="n">
        <x:v>9</x:v>
      </x:c>
      <x:c r="O509" s="44" t="str">
        <x:v>http-nio-8080-exec-19#122 | http-nio-8080-exec-24#161 | http-nio-8080-exec-25#162 | http-nio-8080-exec-26#163 | http-nio-8080-exec-27#166 | http-nio-8080-exec-30#201 | http-nio-8080-exec-31#202 | http-nio-8080-exec-32#203 | http-nio-8080-exec-33#204</x:v>
      </x:c>
      <x:c r="P509" s="36" t="n">
        <x:v>8</x:v>
      </x:c>
      <x:c r="Q509" s="44" t="str">
        <x:v>http-nio-8080-exec-24#161 | http-nio-8080-exec-25#162 | http-nio-8080-exec-26#163 | http-nio-8080-exec-27#166 | http-nio-8080-exec-30#201 | http-nio-8080-exec-31#202 | http-nio-8080-exec-32#203 | http-nio-8080-exec-33#204</x:v>
      </x:c>
      <x:c r="R509" s="36" t="n">
        <x:v>0</x:v>
      </x:c>
      <x:c r="S509" s="44"/>
      <x:c r="T509" s="36" t="n">
        <x:v>0</x:v>
      </x:c>
      <x:c r="U509" s="44"/>
      <x:c r="V509" s="36" t="n">
        <x:v>0</x:v>
      </x:c>
      <x:c r="W509" s="44"/>
      <x:c r="X509" s="34" t="str">
        <x:v>no-post-undeploy-thread-signal</x:v>
      </x:c>
      <x:c r="Y509" s="44" t="str">
        <x:v>automated signatures are JCS-specific; all other candidate application threads remain unattributed and ownership requires the archived full dump</x:v>
      </x:c>
    </x:row>
    <x:row r="510">
      <x:c r="A510" s="34" t="str">
        <x:v>article1-unified-v4-2-fb3f101b-20260903-000401-default-f05-p2-nostore</x:v>
      </x:c>
      <x:c r="B510" s="34" t="str">
        <x:v>default</x:v>
      </x:c>
      <x:c r="C510" s="34" t="str">
        <x:v>nostore</x:v>
      </x:c>
      <x:c r="D510" s="36" t="n">
        <x:v>5</x:v>
      </x:c>
      <x:c r="E510" s="36" t="n">
        <x:v>5</x:v>
      </x:c>
      <x:c r="F510" s="36" t="n">
        <x:v>2</x:v>
      </x:c>
      <x:c r="G510" s="36" t="n">
        <x:v>3</x:v>
      </x:c>
      <x:c r="H510" s="34" t="str">
        <x:v>firstUndeployThreadEvidenceEarly</x:v>
      </x:c>
      <x:c r="I510" s="36" t="n">
        <x:v>1</x:v>
      </x:c>
      <x:c r="J510" s="34" t="str">
        <x:v>early</x:v>
      </x:c>
      <x:c r="K510" s="36" t="n">
        <x:v>27</x:v>
      </x:c>
      <x:c r="L510" s="51" t="n">
        <x:v>0</x:v>
      </x:c>
      <x:c r="M510" s="51" t="n">
        <x:v>0</x:v>
      </x:c>
      <x:c r="N510" s="36" t="n">
        <x:v>10</x:v>
      </x:c>
      <x:c r="O510" s="44" t="str">
        <x:v>http-nio-8080-exec-19#122 | http-nio-8080-exec-24#161 | http-nio-8080-exec-31#202 | http-nio-8080-exec-32#203 | http-nio-8080-exec-33#204 | http-nio-8080-exec-34#207 | http-nio-8080-exec-35#208 | http-nio-8080-exec-36#241 | http-nio-8080-exec-37#242 | http-nio-8080-exec-38#243</x:v>
      </x:c>
      <x:c r="P510" s="36" t="n">
        <x:v>5</x:v>
      </x:c>
      <x:c r="Q510" s="44" t="str">
        <x:v>http-nio-8080-exec-34#207 | http-nio-8080-exec-35#208 | http-nio-8080-exec-36#241 | http-nio-8080-exec-37#242 | http-nio-8080-exec-38#243</x:v>
      </x:c>
      <x:c r="R510" s="36" t="n">
        <x:v>0</x:v>
      </x:c>
      <x:c r="S510" s="44"/>
      <x:c r="T510" s="36" t="n">
        <x:v>0</x:v>
      </x:c>
      <x:c r="U510" s="44"/>
      <x:c r="V510" s="36" t="n">
        <x:v>0</x:v>
      </x:c>
      <x:c r="W510" s="44"/>
      <x:c r="X510" s="34" t="str">
        <x:v>no-post-undeploy-thread-signal</x:v>
      </x:c>
      <x:c r="Y510" s="44" t="str">
        <x:v>automated signatures are JCS-specific; all other candidate application threads remain unattributed and ownership requires the archived full dump</x:v>
      </x:c>
    </x:row>
    <x:row r="511">
      <x:c r="A511" s="34" t="str">
        <x:v>article1-unified-v4-2-fb3f101b-20260903-000401-default-f05-p2-nostore</x:v>
      </x:c>
      <x:c r="B511" s="34" t="str">
        <x:v>default</x:v>
      </x:c>
      <x:c r="C511" s="34" t="str">
        <x:v>nostore</x:v>
      </x:c>
      <x:c r="D511" s="36" t="n">
        <x:v>5</x:v>
      </x:c>
      <x:c r="E511" s="36" t="n">
        <x:v>5</x:v>
      </x:c>
      <x:c r="F511" s="36" t="n">
        <x:v>2</x:v>
      </x:c>
      <x:c r="G511" s="36" t="n">
        <x:v>3</x:v>
      </x:c>
      <x:c r="H511" s="34" t="str">
        <x:v>firstUndeployThreadEvidenceFinal</x:v>
      </x:c>
      <x:c r="I511" s="36" t="n">
        <x:v>1</x:v>
      </x:c>
      <x:c r="J511" s="34" t="str">
        <x:v>final</x:v>
      </x:c>
      <x:c r="K511" s="36" t="n">
        <x:v>27</x:v>
      </x:c>
      <x:c r="L511" s="51" t="n">
        <x:v>0</x:v>
      </x:c>
      <x:c r="M511" s="51" t="n">
        <x:v>0</x:v>
      </x:c>
      <x:c r="N511" s="36" t="n">
        <x:v>10</x:v>
      </x:c>
      <x:c r="O511" s="44" t="str">
        <x:v>http-nio-8080-exec-19#122 | http-nio-8080-exec-24#161 | http-nio-8080-exec-31#202 | http-nio-8080-exec-33#204 | http-nio-8080-exec-34#207 | http-nio-8080-exec-35#208 | http-nio-8080-exec-36#241 | http-nio-8080-exec-37#242 | http-nio-8080-exec-38#243 | http-nio-8080-exec-39#244</x:v>
      </x:c>
      <x:c r="P511" s="36" t="n">
        <x:v>6</x:v>
      </x:c>
      <x:c r="Q511" s="44" t="str">
        <x:v>http-nio-8080-exec-34#207 | http-nio-8080-exec-35#208 | http-nio-8080-exec-36#241 | http-nio-8080-exec-37#242 | http-nio-8080-exec-38#243 | http-nio-8080-exec-39#244</x:v>
      </x:c>
      <x:c r="R511" s="36" t="n">
        <x:v>0</x:v>
      </x:c>
      <x:c r="S511" s="44"/>
      <x:c r="T511" s="36" t="n">
        <x:v>0</x:v>
      </x:c>
      <x:c r="U511" s="44"/>
      <x:c r="V511" s="36" t="n">
        <x:v>0</x:v>
      </x:c>
      <x:c r="W511" s="44"/>
      <x:c r="X511" s="34" t="str">
        <x:v>no-post-undeploy-thread-signal</x:v>
      </x:c>
      <x:c r="Y511" s="44" t="str">
        <x:v>automated signatures are JCS-specific; all other candidate application threads remain unattributed and ownership requires the archived full dump</x:v>
      </x:c>
    </x:row>
    <x:row r="512">
      <x:c r="A512" s="34" t="str">
        <x:v>article1-unified-v4-2-fb3f101b-20260903-000401-default-f05-p2-nostore</x:v>
      </x:c>
      <x:c r="B512" s="34" t="str">
        <x:v>default</x:v>
      </x:c>
      <x:c r="C512" s="34" t="str">
        <x:v>nostore</x:v>
      </x:c>
      <x:c r="D512" s="36" t="n">
        <x:v>5</x:v>
      </x:c>
      <x:c r="E512" s="36" t="n">
        <x:v>5</x:v>
      </x:c>
      <x:c r="F512" s="36" t="n">
        <x:v>2</x:v>
      </x:c>
      <x:c r="G512" s="36" t="n">
        <x:v>3</x:v>
      </x:c>
      <x:c r="H512" s="34" t="str">
        <x:v>finalUndeployThreadEvidenceEarly</x:v>
      </x:c>
      <x:c r="I512" s="36" t="n">
        <x:v>2</x:v>
      </x:c>
      <x:c r="J512" s="34" t="str">
        <x:v>early</x:v>
      </x:c>
      <x:c r="K512" s="36" t="n">
        <x:v>27</x:v>
      </x:c>
      <x:c r="L512" s="51" t="n">
        <x:v>0</x:v>
      </x:c>
      <x:c r="M512" s="51" t="n">
        <x:v>0</x:v>
      </x:c>
      <x:c r="N512" s="36" t="n">
        <x:v>10</x:v>
      </x:c>
      <x:c r="O512" s="44" t="str">
        <x:v>http-nio-8080-exec-31#202 | http-nio-8080-exec-36#241 | http-nio-8080-exec-37#242 | http-nio-8080-exec-38#243 | http-nio-8080-exec-39#244 | http-nio-8080-exec-40#247 | http-nio-8080-exec-41#248 | http-nio-8080-exec-42#249 | http-nio-8080-exec-44#283 | http-nio-8080-exec-45#284</x:v>
      </x:c>
      <x:c r="P512" s="36" t="n">
        <x:v>9</x:v>
      </x:c>
      <x:c r="Q512" s="44" t="str">
        <x:v>http-nio-8080-exec-36#241 | http-nio-8080-exec-37#242 | http-nio-8080-exec-38#243 | http-nio-8080-exec-39#244 | http-nio-8080-exec-40#247 | http-nio-8080-exec-41#248 | http-nio-8080-exec-42#249 | http-nio-8080-exec-44#283 | http-nio-8080-exec-45#284</x:v>
      </x:c>
      <x:c r="R512" s="36" t="n">
        <x:v>0</x:v>
      </x:c>
      <x:c r="S512" s="44"/>
      <x:c r="T512" s="36" t="n">
        <x:v>0</x:v>
      </x:c>
      <x:c r="U512" s="44"/>
      <x:c r="V512" s="36" t="n">
        <x:v>0</x:v>
      </x:c>
      <x:c r="W512" s="44"/>
      <x:c r="X512" s="34" t="str">
        <x:v>no-post-undeploy-thread-signal</x:v>
      </x:c>
      <x:c r="Y512" s="44" t="str">
        <x:v>automated signatures are JCS-specific; all other candidate application threads remain unattributed and ownership requires the archived full dump</x:v>
      </x:c>
    </x:row>
    <x:row r="513">
      <x:c r="A513" s="34" t="str">
        <x:v>article1-unified-v4-2-fb3f101b-20260903-000401-default-f05-p2-nostore</x:v>
      </x:c>
      <x:c r="B513" s="34" t="str">
        <x:v>default</x:v>
      </x:c>
      <x:c r="C513" s="34" t="str">
        <x:v>nostore</x:v>
      </x:c>
      <x:c r="D513" s="36" t="n">
        <x:v>5</x:v>
      </x:c>
      <x:c r="E513" s="36" t="n">
        <x:v>5</x:v>
      </x:c>
      <x:c r="F513" s="36" t="n">
        <x:v>2</x:v>
      </x:c>
      <x:c r="G513" s="36" t="n">
        <x:v>3</x:v>
      </x:c>
      <x:c r="H513" s="34" t="str">
        <x:v>finalUndeployThreadEvidenceFinal</x:v>
      </x:c>
      <x:c r="I513" s="36" t="n">
        <x:v>2</x:v>
      </x:c>
      <x:c r="J513" s="34" t="str">
        <x:v>final</x:v>
      </x:c>
      <x:c r="K513" s="36" t="n">
        <x:v>27</x:v>
      </x:c>
      <x:c r="L513" s="51" t="n">
        <x:v>0</x:v>
      </x:c>
      <x:c r="M513" s="51" t="n">
        <x:v>0</x:v>
      </x:c>
      <x:c r="N513" s="36" t="n">
        <x:v>10</x:v>
      </x:c>
      <x:c r="O513" s="44" t="str">
        <x:v>http-nio-8080-exec-36#241 | http-nio-8080-exec-37#242 | http-nio-8080-exec-38#243 | http-nio-8080-exec-39#244 | http-nio-8080-exec-40#247 | http-nio-8080-exec-41#248 | http-nio-8080-exec-42#249 | http-nio-8080-exec-44#283 | http-nio-8080-exec-45#284 | http-nio-8080-exec-46#285</x:v>
      </x:c>
      <x:c r="P513" s="36" t="n">
        <x:v>10</x:v>
      </x:c>
      <x:c r="Q513" s="44" t="str">
        <x:v>http-nio-8080-exec-36#241 | http-nio-8080-exec-37#242 | http-nio-8080-exec-38#243 | http-nio-8080-exec-39#244 | http-nio-8080-exec-40#247 | http-nio-8080-exec-41#248 | http-nio-8080-exec-42#249 | http-nio-8080-exec-44#283 | http-nio-8080-exec-45#284 | http-nio-8080-exec-46#285</x:v>
      </x:c>
      <x:c r="R513" s="36" t="n">
        <x:v>0</x:v>
      </x:c>
      <x:c r="S513" s="44"/>
      <x:c r="T513" s="36" t="n">
        <x:v>0</x:v>
      </x:c>
      <x:c r="U513" s="44"/>
      <x:c r="V513" s="36" t="n">
        <x:v>0</x:v>
      </x:c>
      <x:c r="W513" s="44"/>
      <x:c r="X513" s="34" t="str">
        <x:v>no-post-undeploy-thread-signal</x:v>
      </x:c>
      <x:c r="Y513" s="44" t="str">
        <x:v>automated signatures are JCS-specific; all other candidate application threads remain unattributed and ownership requires the archived full dump</x:v>
      </x:c>
    </x:row>
    <x:row r="514">
      <x:c r="A514" s="34" t="str">
        <x:v>article1-unified-v4-2-fb3f101b-20260903-000401-default-f05-p2-nostore</x:v>
      </x:c>
      <x:c r="B514" s="34" t="str">
        <x:v>default</x:v>
      </x:c>
      <x:c r="C514" s="34" t="str">
        <x:v>nostore</x:v>
      </x:c>
      <x:c r="D514" s="36" t="n">
        <x:v>5</x:v>
      </x:c>
      <x:c r="E514" s="36" t="n">
        <x:v>5</x:v>
      </x:c>
      <x:c r="F514" s="36" t="n">
        <x:v>2</x:v>
      </x:c>
      <x:c r="G514" s="36" t="n">
        <x:v>4</x:v>
      </x:c>
      <x:c r="H514" s="34" t="str">
        <x:v>firstUndeployThreadEvidenceEarly</x:v>
      </x:c>
      <x:c r="I514" s="36" t="n">
        <x:v>1</x:v>
      </x:c>
      <x:c r="J514" s="34" t="str">
        <x:v>early</x:v>
      </x:c>
      <x:c r="K514" s="36" t="n">
        <x:v>27</x:v>
      </x:c>
      <x:c r="L514" s="51" t="n">
        <x:v>0</x:v>
      </x:c>
      <x:c r="M514" s="51" t="n">
        <x:v>0</x:v>
      </x:c>
      <x:c r="N514" s="36" t="n">
        <x:v>10</x:v>
      </x:c>
      <x:c r="O514" s="44" t="str">
        <x:v>http-nio-8080-exec-38#243 | http-nio-8080-exec-39#244 | http-nio-8080-exec-40#247 | http-nio-8080-exec-44#283 | http-nio-8080-exec-46#285 | http-nio-8080-exec-47#288 | http-nio-8080-exec-48#289 | http-nio-8080-exec-49#322 | http-nio-8080-exec-50#323 | http-nio-8080-exec-51#324</x:v>
      </x:c>
      <x:c r="P514" s="36" t="n">
        <x:v>5</x:v>
      </x:c>
      <x:c r="Q514" s="44" t="str">
        <x:v>http-nio-8080-exec-47#288 | http-nio-8080-exec-48#289 | http-nio-8080-exec-49#322 | http-nio-8080-exec-50#323 | http-nio-8080-exec-51#324</x:v>
      </x:c>
      <x:c r="R514" s="36" t="n">
        <x:v>0</x:v>
      </x:c>
      <x:c r="S514" s="44"/>
      <x:c r="T514" s="36" t="n">
        <x:v>0</x:v>
      </x:c>
      <x:c r="U514" s="44"/>
      <x:c r="V514" s="36" t="n">
        <x:v>0</x:v>
      </x:c>
      <x:c r="W514" s="44"/>
      <x:c r="X514" s="34" t="str">
        <x:v>no-post-undeploy-thread-signal</x:v>
      </x:c>
      <x:c r="Y514" s="44" t="str">
        <x:v>automated signatures are JCS-specific; all other candidate application threads remain unattributed and ownership requires the archived full dump</x:v>
      </x:c>
    </x:row>
    <x:row r="515">
      <x:c r="A515" s="34" t="str">
        <x:v>article1-unified-v4-2-fb3f101b-20260903-000401-default-f05-p2-nostore</x:v>
      </x:c>
      <x:c r="B515" s="34" t="str">
        <x:v>default</x:v>
      </x:c>
      <x:c r="C515" s="34" t="str">
        <x:v>nostore</x:v>
      </x:c>
      <x:c r="D515" s="36" t="n">
        <x:v>5</x:v>
      </x:c>
      <x:c r="E515" s="36" t="n">
        <x:v>5</x:v>
      </x:c>
      <x:c r="F515" s="36" t="n">
        <x:v>2</x:v>
      </x:c>
      <x:c r="G515" s="36" t="n">
        <x:v>4</x:v>
      </x:c>
      <x:c r="H515" s="34" t="str">
        <x:v>firstUndeployThreadEvidenceFinal</x:v>
      </x:c>
      <x:c r="I515" s="36" t="n">
        <x:v>1</x:v>
      </x:c>
      <x:c r="J515" s="34" t="str">
        <x:v>final</x:v>
      </x:c>
      <x:c r="K515" s="36" t="n">
        <x:v>27</x:v>
      </x:c>
      <x:c r="L515" s="51" t="n">
        <x:v>0</x:v>
      </x:c>
      <x:c r="M515" s="51" t="n">
        <x:v>0</x:v>
      </x:c>
      <x:c r="N515" s="36" t="n">
        <x:v>10</x:v>
      </x:c>
      <x:c r="O515" s="44" t="str">
        <x:v>http-nio-8080-exec-38#243 | http-nio-8080-exec-39#244 | http-nio-8080-exec-44#283 | http-nio-8080-exec-46#285 | http-nio-8080-exec-47#288 | http-nio-8080-exec-48#289 | http-nio-8080-exec-49#322 | http-nio-8080-exec-50#323 | http-nio-8080-exec-51#324 | http-nio-8080-exec-52#325</x:v>
      </x:c>
      <x:c r="P515" s="36" t="n">
        <x:v>6</x:v>
      </x:c>
      <x:c r="Q515" s="44" t="str">
        <x:v>http-nio-8080-exec-47#288 | http-nio-8080-exec-48#289 | http-nio-8080-exec-49#322 | http-nio-8080-exec-50#323 | http-nio-8080-exec-51#324 | http-nio-8080-exec-52#325</x:v>
      </x:c>
      <x:c r="R515" s="36" t="n">
        <x:v>0</x:v>
      </x:c>
      <x:c r="S515" s="44"/>
      <x:c r="T515" s="36" t="n">
        <x:v>0</x:v>
      </x:c>
      <x:c r="U515" s="44"/>
      <x:c r="V515" s="36" t="n">
        <x:v>0</x:v>
      </x:c>
      <x:c r="W515" s="44"/>
      <x:c r="X515" s="34" t="str">
        <x:v>no-post-undeploy-thread-signal</x:v>
      </x:c>
      <x:c r="Y515" s="44" t="str">
        <x:v>automated signatures are JCS-specific; all other candidate application threads remain unattributed and ownership requires the archived full dump</x:v>
      </x:c>
    </x:row>
    <x:row r="516">
      <x:c r="A516" s="34" t="str">
        <x:v>article1-unified-v4-2-fb3f101b-20260903-000401-default-f05-p2-nostore</x:v>
      </x:c>
      <x:c r="B516" s="34" t="str">
        <x:v>default</x:v>
      </x:c>
      <x:c r="C516" s="34" t="str">
        <x:v>nostore</x:v>
      </x:c>
      <x:c r="D516" s="36" t="n">
        <x:v>5</x:v>
      </x:c>
      <x:c r="E516" s="36" t="n">
        <x:v>5</x:v>
      </x:c>
      <x:c r="F516" s="36" t="n">
        <x:v>2</x:v>
      </x:c>
      <x:c r="G516" s="36" t="n">
        <x:v>4</x:v>
      </x:c>
      <x:c r="H516" s="34" t="str">
        <x:v>finalUndeployThreadEvidenceEarly</x:v>
      </x:c>
      <x:c r="I516" s="36" t="n">
        <x:v>2</x:v>
      </x:c>
      <x:c r="J516" s="34" t="str">
        <x:v>early</x:v>
      </x:c>
      <x:c r="K516" s="36" t="n">
        <x:v>27</x:v>
      </x:c>
      <x:c r="L516" s="51" t="n">
        <x:v>0</x:v>
      </x:c>
      <x:c r="M516" s="51" t="n">
        <x:v>0</x:v>
      </x:c>
      <x:c r="N516" s="36" t="n">
        <x:v>10</x:v>
      </x:c>
      <x:c r="O516" s="44" t="str">
        <x:v>http-nio-8080-exec-44#283 | http-nio-8080-exec-50#323 | http-nio-8080-exec-51#324 | http-nio-8080-exec-52#325 | http-nio-8080-exec-53#328 | http-nio-8080-exec-54#329 | http-nio-8080-exec-55#330 | http-nio-8080-exec-56#363 | http-nio-8080-exec-57#364 | http-nio-8080-exec-58#365</x:v>
      </x:c>
      <x:c r="P516" s="36" t="n">
        <x:v>9</x:v>
      </x:c>
      <x:c r="Q516" s="44" t="str">
        <x:v>http-nio-8080-exec-50#323 | http-nio-8080-exec-51#324 | http-nio-8080-exec-52#325 | http-nio-8080-exec-53#328 | http-nio-8080-exec-54#329 | http-nio-8080-exec-55#330 | http-nio-8080-exec-56#363 | http-nio-8080-exec-57#364 | http-nio-8080-exec-58#365</x:v>
      </x:c>
      <x:c r="R516" s="36" t="n">
        <x:v>0</x:v>
      </x:c>
      <x:c r="S516" s="44"/>
      <x:c r="T516" s="36" t="n">
        <x:v>0</x:v>
      </x:c>
      <x:c r="U516" s="44"/>
      <x:c r="V516" s="36" t="n">
        <x:v>0</x:v>
      </x:c>
      <x:c r="W516" s="44"/>
      <x:c r="X516" s="34" t="str">
        <x:v>no-post-undeploy-thread-signal</x:v>
      </x:c>
      <x:c r="Y516" s="44" t="str">
        <x:v>automated signatures are JCS-specific; all other candidate application threads remain unattributed and ownership requires the archived full dump</x:v>
      </x:c>
    </x:row>
    <x:row r="517">
      <x:c r="A517" s="34" t="str">
        <x:v>article1-unified-v4-2-fb3f101b-20260903-000401-default-f05-p2-nostore</x:v>
      </x:c>
      <x:c r="B517" s="34" t="str">
        <x:v>default</x:v>
      </x:c>
      <x:c r="C517" s="34" t="str">
        <x:v>nostore</x:v>
      </x:c>
      <x:c r="D517" s="36" t="n">
        <x:v>5</x:v>
      </x:c>
      <x:c r="E517" s="36" t="n">
        <x:v>5</x:v>
      </x:c>
      <x:c r="F517" s="36" t="n">
        <x:v>2</x:v>
      </x:c>
      <x:c r="G517" s="36" t="n">
        <x:v>4</x:v>
      </x:c>
      <x:c r="H517" s="34" t="str">
        <x:v>finalUndeployThreadEvidenceFinal</x:v>
      </x:c>
      <x:c r="I517" s="36" t="n">
        <x:v>2</x:v>
      </x:c>
      <x:c r="J517" s="34" t="str">
        <x:v>final</x:v>
      </x:c>
      <x:c r="K517" s="36" t="n">
        <x:v>27</x:v>
      </x:c>
      <x:c r="L517" s="51" t="n">
        <x:v>0</x:v>
      </x:c>
      <x:c r="M517" s="51" t="n">
        <x:v>0</x:v>
      </x:c>
      <x:c r="N517" s="36" t="n">
        <x:v>10</x:v>
      </x:c>
      <x:c r="O517" s="44" t="str">
        <x:v>http-nio-8080-exec-50#323 | http-nio-8080-exec-51#324 | http-nio-8080-exec-52#325 | http-nio-8080-exec-53#328 | http-nio-8080-exec-54#329 | http-nio-8080-exec-55#330 | http-nio-8080-exec-56#363 | http-nio-8080-exec-57#364 | http-nio-8080-exec-58#365 | http-nio-8080-exec-59#366</x:v>
      </x:c>
      <x:c r="P517" s="36" t="n">
        <x:v>10</x:v>
      </x:c>
      <x:c r="Q517" s="44" t="str">
        <x:v>http-nio-8080-exec-50#323 | http-nio-8080-exec-51#324 | http-nio-8080-exec-52#325 | http-nio-8080-exec-53#328 | http-nio-8080-exec-54#329 | http-nio-8080-exec-55#330 | http-nio-8080-exec-56#363 | http-nio-8080-exec-57#364 | http-nio-8080-exec-58#365 | http-nio-8080-exec-59#366</x:v>
      </x:c>
      <x:c r="R517" s="36" t="n">
        <x:v>0</x:v>
      </x:c>
      <x:c r="S517" s="44"/>
      <x:c r="T517" s="36" t="n">
        <x:v>0</x:v>
      </x:c>
      <x:c r="U517" s="44"/>
      <x:c r="V517" s="36" t="n">
        <x:v>0</x:v>
      </x:c>
      <x:c r="W517" s="44"/>
      <x:c r="X517" s="34" t="str">
        <x:v>no-post-undeploy-thread-signal</x:v>
      </x:c>
      <x:c r="Y517" s="44" t="str">
        <x:v>automated signatures are JCS-specific; all other candidate application threads remain unattributed and ownership requires the archived full dump</x:v>
      </x:c>
    </x:row>
    <x:row r="518">
      <x:c r="A518" s="34" t="str">
        <x:v>article1-unified-v4-2-fb3f101b-20260903-000401-default-f05-p2-nostore</x:v>
      </x:c>
      <x:c r="B518" s="34" t="str">
        <x:v>default</x:v>
      </x:c>
      <x:c r="C518" s="34" t="str">
        <x:v>nostore</x:v>
      </x:c>
      <x:c r="D518" s="36" t="n">
        <x:v>5</x:v>
      </x:c>
      <x:c r="E518" s="36" t="n">
        <x:v>5</x:v>
      </x:c>
      <x:c r="F518" s="36" t="n">
        <x:v>2</x:v>
      </x:c>
      <x:c r="G518" s="36" t="n">
        <x:v>5</x:v>
      </x:c>
      <x:c r="H518" s="34" t="str">
        <x:v>firstUndeployThreadEvidenceEarly</x:v>
      </x:c>
      <x:c r="I518" s="36" t="n">
        <x:v>1</x:v>
      </x:c>
      <x:c r="J518" s="34" t="str">
        <x:v>early</x:v>
      </x:c>
      <x:c r="K518" s="36" t="n">
        <x:v>27</x:v>
      </x:c>
      <x:c r="L518" s="51" t="n">
        <x:v>0</x:v>
      </x:c>
      <x:c r="M518" s="51" t="n">
        <x:v>0</x:v>
      </x:c>
      <x:c r="N518" s="36" t="n">
        <x:v>10</x:v>
      </x:c>
      <x:c r="O518" s="44" t="str">
        <x:v>http-nio-8080-exec-54#329 | http-nio-8080-exec-56#363 | http-nio-8080-exec-57#364 | http-nio-8080-exec-58#365 | http-nio-8080-exec-59#366 | http-nio-8080-exec-60#369 | http-nio-8080-exec-61#370 | http-nio-8080-exec-62#403 | http-nio-8080-exec-63#404 | http-nio-8080-exec-64#405</x:v>
      </x:c>
      <x:c r="P518" s="36" t="n">
        <x:v>5</x:v>
      </x:c>
      <x:c r="Q518" s="44" t="str">
        <x:v>http-nio-8080-exec-60#369 | http-nio-8080-exec-61#370 | http-nio-8080-exec-62#403 | http-nio-8080-exec-63#404 | http-nio-8080-exec-64#405</x:v>
      </x:c>
      <x:c r="R518" s="36" t="n">
        <x:v>0</x:v>
      </x:c>
      <x:c r="S518" s="44"/>
      <x:c r="T518" s="36" t="n">
        <x:v>0</x:v>
      </x:c>
      <x:c r="U518" s="44"/>
      <x:c r="V518" s="36" t="n">
        <x:v>0</x:v>
      </x:c>
      <x:c r="W518" s="44"/>
      <x:c r="X518" s="34" t="str">
        <x:v>no-post-undeploy-thread-signal</x:v>
      </x:c>
      <x:c r="Y518" s="44" t="str">
        <x:v>automated signatures are JCS-specific; all other candidate application threads remain unattributed and ownership requires the archived full dump</x:v>
      </x:c>
    </x:row>
    <x:row r="519">
      <x:c r="A519" s="34" t="str">
        <x:v>article1-unified-v4-2-fb3f101b-20260903-000401-default-f05-p2-nostore</x:v>
      </x:c>
      <x:c r="B519" s="34" t="str">
        <x:v>default</x:v>
      </x:c>
      <x:c r="C519" s="34" t="str">
        <x:v>nostore</x:v>
      </x:c>
      <x:c r="D519" s="36" t="n">
        <x:v>5</x:v>
      </x:c>
      <x:c r="E519" s="36" t="n">
        <x:v>5</x:v>
      </x:c>
      <x:c r="F519" s="36" t="n">
        <x:v>2</x:v>
      </x:c>
      <x:c r="G519" s="36" t="n">
        <x:v>5</x:v>
      </x:c>
      <x:c r="H519" s="34" t="str">
        <x:v>firstUndeployThreadEvidenceFinal</x:v>
      </x:c>
      <x:c r="I519" s="36" t="n">
        <x:v>1</x:v>
      </x:c>
      <x:c r="J519" s="34" t="str">
        <x:v>final</x:v>
      </x:c>
      <x:c r="K519" s="36" t="n">
        <x:v>27</x:v>
      </x:c>
      <x:c r="L519" s="51" t="n">
        <x:v>0</x:v>
      </x:c>
      <x:c r="M519" s="51" t="n">
        <x:v>0</x:v>
      </x:c>
      <x:c r="N519" s="36" t="n">
        <x:v>10</x:v>
      </x:c>
      <x:c r="O519" s="44" t="str">
        <x:v>http-nio-8080-exec-56#363 | http-nio-8080-exec-57#364 | http-nio-8080-exec-58#365 | http-nio-8080-exec-59#366 | http-nio-8080-exec-60#369 | http-nio-8080-exec-61#370 | http-nio-8080-exec-62#403 | http-nio-8080-exec-63#404 | http-nio-8080-exec-64#405 | http-nio-8080-exec-65#406</x:v>
      </x:c>
      <x:c r="P519" s="36" t="n">
        <x:v>6</x:v>
      </x:c>
      <x:c r="Q519" s="44" t="str">
        <x:v>http-nio-8080-exec-60#369 | http-nio-8080-exec-61#370 | http-nio-8080-exec-62#403 | http-nio-8080-exec-63#404 | http-nio-8080-exec-64#405 | http-nio-8080-exec-65#406</x:v>
      </x:c>
      <x:c r="R519" s="36" t="n">
        <x:v>0</x:v>
      </x:c>
      <x:c r="S519" s="44"/>
      <x:c r="T519" s="36" t="n">
        <x:v>0</x:v>
      </x:c>
      <x:c r="U519" s="44"/>
      <x:c r="V519" s="36" t="n">
        <x:v>0</x:v>
      </x:c>
      <x:c r="W519" s="44"/>
      <x:c r="X519" s="34" t="str">
        <x:v>no-post-undeploy-thread-signal</x:v>
      </x:c>
      <x:c r="Y519" s="44" t="str">
        <x:v>automated signatures are JCS-specific; all other candidate application threads remain unattributed and ownership requires the archived full dump</x:v>
      </x:c>
    </x:row>
    <x:row r="520">
      <x:c r="A520" s="34" t="str">
        <x:v>article1-unified-v4-2-fb3f101b-20260903-000401-default-f05-p2-nostore</x:v>
      </x:c>
      <x:c r="B520" s="34" t="str">
        <x:v>default</x:v>
      </x:c>
      <x:c r="C520" s="34" t="str">
        <x:v>nostore</x:v>
      </x:c>
      <x:c r="D520" s="36" t="n">
        <x:v>5</x:v>
      </x:c>
      <x:c r="E520" s="36" t="n">
        <x:v>5</x:v>
      </x:c>
      <x:c r="F520" s="36" t="n">
        <x:v>2</x:v>
      </x:c>
      <x:c r="G520" s="36" t="n">
        <x:v>5</x:v>
      </x:c>
      <x:c r="H520" s="34" t="str">
        <x:v>finalUndeployThreadEvidenceEarly</x:v>
      </x:c>
      <x:c r="I520" s="36" t="n">
        <x:v>2</x:v>
      </x:c>
      <x:c r="J520" s="34" t="str">
        <x:v>early</x:v>
      </x:c>
      <x:c r="K520" s="36" t="n">
        <x:v>27</x:v>
      </x:c>
      <x:c r="L520" s="51" t="n">
        <x:v>0</x:v>
      </x:c>
      <x:c r="M520" s="51" t="n">
        <x:v>0</x:v>
      </x:c>
      <x:c r="N520" s="36" t="n">
        <x:v>10</x:v>
      </x:c>
      <x:c r="O520" s="44" t="str">
        <x:v>http-nio-8080-exec-61#370 | http-nio-8080-exec-62#403 | http-nio-8080-exec-63#404 | http-nio-8080-exec-64#405 | http-nio-8080-exec-65#406 | http-nio-8080-exec-67#410 | http-nio-8080-exec-68#411 | http-nio-8080-exec-69#444 | http-nio-8080-exec-70#445 | http-nio-8080-exec-71#446</x:v>
      </x:c>
      <x:c r="P520" s="36" t="n">
        <x:v>10</x:v>
      </x:c>
      <x:c r="Q520" s="44" t="str">
        <x:v>http-nio-8080-exec-61#370 | http-nio-8080-exec-62#403 | http-nio-8080-exec-63#404 | http-nio-8080-exec-64#405 | http-nio-8080-exec-65#406 | http-nio-8080-exec-67#410 | http-nio-8080-exec-68#411 | http-nio-8080-exec-69#444 | http-nio-8080-exec-70#445 | http-nio-8080-exec-71#446</x:v>
      </x:c>
      <x:c r="R520" s="36" t="n">
        <x:v>0</x:v>
      </x:c>
      <x:c r="S520" s="44"/>
      <x:c r="T520" s="36" t="n">
        <x:v>0</x:v>
      </x:c>
      <x:c r="U520" s="44"/>
      <x:c r="V520" s="36" t="n">
        <x:v>0</x:v>
      </x:c>
      <x:c r="W520" s="44"/>
      <x:c r="X520" s="34" t="str">
        <x:v>no-post-undeploy-thread-signal</x:v>
      </x:c>
      <x:c r="Y520" s="44" t="str">
        <x:v>automated signatures are JCS-specific; all other candidate application threads remain unattributed and ownership requires the archived full dump</x:v>
      </x:c>
    </x:row>
    <x:row r="521">
      <x:c r="A521" s="34" t="str">
        <x:v>article1-unified-v4-2-fb3f101b-20260903-000401-default-f05-p2-nostore</x:v>
      </x:c>
      <x:c r="B521" s="34" t="str">
        <x:v>default</x:v>
      </x:c>
      <x:c r="C521" s="34" t="str">
        <x:v>nostore</x:v>
      </x:c>
      <x:c r="D521" s="36" t="n">
        <x:v>5</x:v>
      </x:c>
      <x:c r="E521" s="36" t="n">
        <x:v>5</x:v>
      </x:c>
      <x:c r="F521" s="36" t="n">
        <x:v>2</x:v>
      </x:c>
      <x:c r="G521" s="36" t="n">
        <x:v>5</x:v>
      </x:c>
      <x:c r="H521" s="34" t="str">
        <x:v>finalUndeployThreadEvidenceFinal</x:v>
      </x:c>
      <x:c r="I521" s="36" t="n">
        <x:v>2</x:v>
      </x:c>
      <x:c r="J521" s="34" t="str">
        <x:v>final</x:v>
      </x:c>
      <x:c r="K521" s="36" t="n">
        <x:v>27</x:v>
      </x:c>
      <x:c r="L521" s="51" t="n">
        <x:v>0</x:v>
      </x:c>
      <x:c r="M521" s="51" t="n">
        <x:v>0</x:v>
      </x:c>
      <x:c r="N521" s="36" t="n">
        <x:v>10</x:v>
      </x:c>
      <x:c r="O521" s="44" t="str">
        <x:v>http-nio-8080-exec-61#370 | http-nio-8080-exec-62#403 | http-nio-8080-exec-64#405 | http-nio-8080-exec-65#406 | http-nio-8080-exec-67#410 | http-nio-8080-exec-68#411 | http-nio-8080-exec-69#444 | http-nio-8080-exec-70#445 | http-nio-8080-exec-71#446 | http-nio-8080-exec-72#447</x:v>
      </x:c>
      <x:c r="P521" s="36" t="n">
        <x:v>10</x:v>
      </x:c>
      <x:c r="Q521" s="44" t="str">
        <x:v>http-nio-8080-exec-61#370 | http-nio-8080-exec-62#403 | http-nio-8080-exec-64#405 | http-nio-8080-exec-65#406 | http-nio-8080-exec-67#410 | http-nio-8080-exec-68#411 | http-nio-8080-exec-69#444 | http-nio-8080-exec-70#445 | http-nio-8080-exec-71#446 | http-nio-8080-exec-72#447</x:v>
      </x:c>
      <x:c r="R521" s="36" t="n">
        <x:v>0</x:v>
      </x:c>
      <x:c r="S521" s="44"/>
      <x:c r="T521" s="36" t="n">
        <x:v>0</x:v>
      </x:c>
      <x:c r="U521" s="44"/>
      <x:c r="V521" s="36" t="n">
        <x:v>0</x:v>
      </x:c>
      <x:c r="W521" s="44"/>
      <x:c r="X521" s="34" t="str">
        <x:v>no-post-undeploy-thread-signal</x:v>
      </x:c>
      <x:c r="Y521" s="44" t="str">
        <x:v>automated signatures are JCS-specific; all other candidate application threads remain unattributed and ownership requires the archived full dump</x:v>
      </x:c>
    </x:row>
    <x:row r="522">
      <x:c r="A522" s="34" t="str">
        <x:v>article1-unified-v4-2-fb3f101b-20260903-000401-default-f05-p3-jcs4</x:v>
      </x:c>
      <x:c r="B522" s="34" t="str">
        <x:v>default</x:v>
      </x:c>
      <x:c r="C522" s="34" t="str">
        <x:v>jcs4</x:v>
      </x:c>
      <x:c r="D522" s="36" t="n">
        <x:v>5</x:v>
      </x:c>
      <x:c r="E522" s="36" t="n">
        <x:v>5</x:v>
      </x:c>
      <x:c r="F522" s="36" t="n">
        <x:v>3</x:v>
      </x:c>
      <x:c r="G522" s="36" t="n">
        <x:v>1</x:v>
      </x:c>
      <x:c r="H522" s="34" t="str">
        <x:v>firstUndeployThreadEvidenceEarly</x:v>
      </x:c>
      <x:c r="I522" s="36" t="n">
        <x:v>1</x:v>
      </x:c>
      <x:c r="J522" s="34" t="str">
        <x:v>early</x:v>
      </x:c>
      <x:c r="K522" s="36" t="n">
        <x:v>27</x:v>
      </x:c>
      <x:c r="L522" s="51" t="n">
        <x:v>0</x:v>
      </x:c>
      <x:c r="M522" s="51" t="n">
        <x:v>0</x:v>
      </x:c>
      <x:c r="N522" s="36" t="n">
        <x:v>2</x:v>
      </x:c>
      <x:c r="O522" s="44" t="str">
        <x:v>http-nio-8080-exec-11#82 | http-nio-8080-exec-12#83</x:v>
      </x:c>
      <x:c r="P522" s="36" t="n">
        <x:v>2</x:v>
      </x:c>
      <x:c r="Q522" s="44" t="str">
        <x:v>http-nio-8080-exec-11#82 | http-nio-8080-exec-12#83</x:v>
      </x:c>
      <x:c r="R522" s="36" t="n">
        <x:v>0</x:v>
      </x:c>
      <x:c r="S522" s="44"/>
      <x:c r="T522" s="36" t="n">
        <x:v>0</x:v>
      </x:c>
      <x:c r="U522" s="44"/>
      <x:c r="V522" s="36" t="n">
        <x:v>0</x:v>
      </x:c>
      <x:c r="W522" s="44"/>
      <x:c r="X522" s="34" t="str">
        <x:v>no-post-undeploy-thread-signal</x:v>
      </x:c>
      <x:c r="Y522" s="44" t="str">
        <x:v>automated signatures are JCS-specific; all other candidate application threads remain unattributed and ownership requires the archived full dump</x:v>
      </x:c>
    </x:row>
    <x:row r="523">
      <x:c r="A523" s="34" t="str">
        <x:v>article1-unified-v4-2-fb3f101b-20260903-000401-default-f05-p3-jcs4</x:v>
      </x:c>
      <x:c r="B523" s="34" t="str">
        <x:v>default</x:v>
      </x:c>
      <x:c r="C523" s="34" t="str">
        <x:v>jcs4</x:v>
      </x:c>
      <x:c r="D523" s="36" t="n">
        <x:v>5</x:v>
      </x:c>
      <x:c r="E523" s="36" t="n">
        <x:v>5</x:v>
      </x:c>
      <x:c r="F523" s="36" t="n">
        <x:v>3</x:v>
      </x:c>
      <x:c r="G523" s="36" t="n">
        <x:v>1</x:v>
      </x:c>
      <x:c r="H523" s="34" t="str">
        <x:v>firstUndeployThreadEvidenceFinal</x:v>
      </x:c>
      <x:c r="I523" s="36" t="n">
        <x:v>1</x:v>
      </x:c>
      <x:c r="J523" s="34" t="str">
        <x:v>final</x:v>
      </x:c>
      <x:c r="K523" s="36" t="n">
        <x:v>27</x:v>
      </x:c>
      <x:c r="L523" s="51" t="n">
        <x:v>0</x:v>
      </x:c>
      <x:c r="M523" s="51" t="n">
        <x:v>0</x:v>
      </x:c>
      <x:c r="N523" s="36" t="n">
        <x:v>3</x:v>
      </x:c>
      <x:c r="O523" s="44" t="str">
        <x:v>http-nio-8080-exec-11#82 | http-nio-8080-exec-12#83 | http-nio-8080-exec-13#84</x:v>
      </x:c>
      <x:c r="P523" s="36" t="n">
        <x:v>3</x:v>
      </x:c>
      <x:c r="Q523" s="44" t="str">
        <x:v>http-nio-8080-exec-11#82 | http-nio-8080-exec-12#83 | http-nio-8080-exec-13#84</x:v>
      </x:c>
      <x:c r="R523" s="36" t="n">
        <x:v>0</x:v>
      </x:c>
      <x:c r="S523" s="44"/>
      <x:c r="T523" s="36" t="n">
        <x:v>0</x:v>
      </x:c>
      <x:c r="U523" s="44"/>
      <x:c r="V523" s="36" t="n">
        <x:v>0</x:v>
      </x:c>
      <x:c r="W523" s="44"/>
      <x:c r="X523" s="34" t="str">
        <x:v>no-post-undeploy-thread-signal</x:v>
      </x:c>
      <x:c r="Y523" s="44" t="str">
        <x:v>automated signatures are JCS-specific; all other candidate application threads remain unattributed and ownership requires the archived full dump</x:v>
      </x:c>
    </x:row>
    <x:row r="524">
      <x:c r="A524" s="34" t="str">
        <x:v>article1-unified-v4-2-fb3f101b-20260903-000401-default-f05-p3-jcs4</x:v>
      </x:c>
      <x:c r="B524" s="34" t="str">
        <x:v>default</x:v>
      </x:c>
      <x:c r="C524" s="34" t="str">
        <x:v>jcs4</x:v>
      </x:c>
      <x:c r="D524" s="36" t="n">
        <x:v>5</x:v>
      </x:c>
      <x:c r="E524" s="36" t="n">
        <x:v>5</x:v>
      </x:c>
      <x:c r="F524" s="36" t="n">
        <x:v>3</x:v>
      </x:c>
      <x:c r="G524" s="36" t="n">
        <x:v>1</x:v>
      </x:c>
      <x:c r="H524" s="34" t="str">
        <x:v>finalUndeployThreadEvidenceEarly</x:v>
      </x:c>
      <x:c r="I524" s="36" t="n">
        <x:v>2</x:v>
      </x:c>
      <x:c r="J524" s="34" t="str">
        <x:v>early</x:v>
      </x:c>
      <x:c r="K524" s="36" t="n">
        <x:v>27</x:v>
      </x:c>
      <x:c r="L524" s="51" t="n">
        <x:v>0</x:v>
      </x:c>
      <x:c r="M524" s="51" t="n">
        <x:v>0</x:v>
      </x:c>
      <x:c r="N524" s="36" t="n">
        <x:v>8</x:v>
      </x:c>
      <x:c r="O524" s="44" t="str">
        <x:v>http-nio-8080-exec-11#82 | http-nio-8080-exec-12#83 | http-nio-8080-exec-14#87 | http-nio-8080-exec-15#88 | http-nio-8080-exec-16#89 | http-nio-8080-exec-17#124 | http-nio-8080-exec-18#125 | http-nio-8080-exec-19#126</x:v>
      </x:c>
      <x:c r="P524" s="36" t="n">
        <x:v>8</x:v>
      </x:c>
      <x:c r="Q524" s="44" t="str">
        <x:v>http-nio-8080-exec-11#82 | http-nio-8080-exec-12#83 | http-nio-8080-exec-14#87 | http-nio-8080-exec-15#88 | http-nio-8080-exec-16#89 | http-nio-8080-exec-17#124 | http-nio-8080-exec-18#125 | http-nio-8080-exec-19#126</x:v>
      </x:c>
      <x:c r="R524" s="36" t="n">
        <x:v>0</x:v>
      </x:c>
      <x:c r="S524" s="44"/>
      <x:c r="T524" s="36" t="n">
        <x:v>0</x:v>
      </x:c>
      <x:c r="U524" s="44"/>
      <x:c r="V524" s="36" t="n">
        <x:v>0</x:v>
      </x:c>
      <x:c r="W524" s="44"/>
      <x:c r="X524" s="34" t="str">
        <x:v>no-post-undeploy-thread-signal</x:v>
      </x:c>
      <x:c r="Y524" s="44" t="str">
        <x:v>automated signatures are JCS-specific; all other candidate application threads remain unattributed and ownership requires the archived full dump</x:v>
      </x:c>
    </x:row>
    <x:row r="525">
      <x:c r="A525" s="34" t="str">
        <x:v>article1-unified-v4-2-fb3f101b-20260903-000401-default-f05-p3-jcs4</x:v>
      </x:c>
      <x:c r="B525" s="34" t="str">
        <x:v>default</x:v>
      </x:c>
      <x:c r="C525" s="34" t="str">
        <x:v>jcs4</x:v>
      </x:c>
      <x:c r="D525" s="36" t="n">
        <x:v>5</x:v>
      </x:c>
      <x:c r="E525" s="36" t="n">
        <x:v>5</x:v>
      </x:c>
      <x:c r="F525" s="36" t="n">
        <x:v>3</x:v>
      </x:c>
      <x:c r="G525" s="36" t="n">
        <x:v>1</x:v>
      </x:c>
      <x:c r="H525" s="34" t="str">
        <x:v>finalUndeployThreadEvidenceFinal</x:v>
      </x:c>
      <x:c r="I525" s="36" t="n">
        <x:v>2</x:v>
      </x:c>
      <x:c r="J525" s="34" t="str">
        <x:v>final</x:v>
      </x:c>
      <x:c r="K525" s="36" t="n">
        <x:v>27</x:v>
      </x:c>
      <x:c r="L525" s="51" t="n">
        <x:v>0</x:v>
      </x:c>
      <x:c r="M525" s="51" t="n">
        <x:v>0</x:v>
      </x:c>
      <x:c r="N525" s="36" t="n">
        <x:v>9</x:v>
      </x:c>
      <x:c r="O525" s="44" t="str">
        <x:v>http-nio-8080-exec-11#82 | http-nio-8080-exec-12#83 | http-nio-8080-exec-14#87 | http-nio-8080-exec-15#88 | http-nio-8080-exec-16#89 | http-nio-8080-exec-17#124 | http-nio-8080-exec-18#125 | http-nio-8080-exec-19#126 | http-nio-8080-exec-20#127</x:v>
      </x:c>
      <x:c r="P525" s="36" t="n">
        <x:v>9</x:v>
      </x:c>
      <x:c r="Q525" s="44" t="str">
        <x:v>http-nio-8080-exec-11#82 | http-nio-8080-exec-12#83 | http-nio-8080-exec-14#87 | http-nio-8080-exec-15#88 | http-nio-8080-exec-16#89 | http-nio-8080-exec-17#124 | http-nio-8080-exec-18#125 | http-nio-8080-exec-19#126 | http-nio-8080-exec-20#127</x:v>
      </x:c>
      <x:c r="R525" s="36" t="n">
        <x:v>0</x:v>
      </x:c>
      <x:c r="S525" s="44"/>
      <x:c r="T525" s="36" t="n">
        <x:v>0</x:v>
      </x:c>
      <x:c r="U525" s="44"/>
      <x:c r="V525" s="36" t="n">
        <x:v>0</x:v>
      </x:c>
      <x:c r="W525" s="44"/>
      <x:c r="X525" s="34" t="str">
        <x:v>no-post-undeploy-thread-signal</x:v>
      </x:c>
      <x:c r="Y525" s="44" t="str">
        <x:v>automated signatures are JCS-specific; all other candidate application threads remain unattributed and ownership requires the archived full dump</x:v>
      </x:c>
    </x:row>
    <x:row r="526">
      <x:c r="A526" s="34" t="str">
        <x:v>article1-unified-v4-2-fb3f101b-20260903-000401-default-f05-p3-jcs4</x:v>
      </x:c>
      <x:c r="B526" s="34" t="str">
        <x:v>default</x:v>
      </x:c>
      <x:c r="C526" s="34" t="str">
        <x:v>jcs4</x:v>
      </x:c>
      <x:c r="D526" s="36" t="n">
        <x:v>5</x:v>
      </x:c>
      <x:c r="E526" s="36" t="n">
        <x:v>5</x:v>
      </x:c>
      <x:c r="F526" s="36" t="n">
        <x:v>3</x:v>
      </x:c>
      <x:c r="G526" s="36" t="n">
        <x:v>2</x:v>
      </x:c>
      <x:c r="H526" s="34" t="str">
        <x:v>firstUndeployThreadEvidenceEarly</x:v>
      </x:c>
      <x:c r="I526" s="36" t="n">
        <x:v>1</x:v>
      </x:c>
      <x:c r="J526" s="34" t="str">
        <x:v>early</x:v>
      </x:c>
      <x:c r="K526" s="36" t="n">
        <x:v>27</x:v>
      </x:c>
      <x:c r="L526" s="51" t="n">
        <x:v>0</x:v>
      </x:c>
      <x:c r="M526" s="51" t="n">
        <x:v>0</x:v>
      </x:c>
      <x:c r="N526" s="36" t="n">
        <x:v>10</x:v>
      </x:c>
      <x:c r="O526" s="44" t="str">
        <x:v>http-nio-8080-exec-14#87 | http-nio-8080-exec-15#88 | http-nio-8080-exec-16#89 | http-nio-8080-exec-19#126 | http-nio-8080-exec-20#127 | http-nio-8080-exec-21#130 | http-nio-8080-exec-22#131 | http-nio-8080-exec-23#166 | http-nio-8080-exec-24#167 | http-nio-8080-exec-25#168</x:v>
      </x:c>
      <x:c r="P526" s="36" t="n">
        <x:v>5</x:v>
      </x:c>
      <x:c r="Q526" s="44" t="str">
        <x:v>http-nio-8080-exec-21#130 | http-nio-8080-exec-22#131 | http-nio-8080-exec-23#166 | http-nio-8080-exec-24#167 | http-nio-8080-exec-25#168</x:v>
      </x:c>
      <x:c r="R526" s="36" t="n">
        <x:v>0</x:v>
      </x:c>
      <x:c r="S526" s="44"/>
      <x:c r="T526" s="36" t="n">
        <x:v>0</x:v>
      </x:c>
      <x:c r="U526" s="44"/>
      <x:c r="V526" s="36" t="n">
        <x:v>0</x:v>
      </x:c>
      <x:c r="W526" s="44"/>
      <x:c r="X526" s="34" t="str">
        <x:v>no-post-undeploy-thread-signal</x:v>
      </x:c>
      <x:c r="Y526" s="44" t="str">
        <x:v>automated signatures are JCS-specific; all other candidate application threads remain unattributed and ownership requires the archived full dump</x:v>
      </x:c>
    </x:row>
    <x:row r="527">
      <x:c r="A527" s="34" t="str">
        <x:v>article1-unified-v4-2-fb3f101b-20260903-000401-default-f05-p3-jcs4</x:v>
      </x:c>
      <x:c r="B527" s="34" t="str">
        <x:v>default</x:v>
      </x:c>
      <x:c r="C527" s="34" t="str">
        <x:v>jcs4</x:v>
      </x:c>
      <x:c r="D527" s="36" t="n">
        <x:v>5</x:v>
      </x:c>
      <x:c r="E527" s="36" t="n">
        <x:v>5</x:v>
      </x:c>
      <x:c r="F527" s="36" t="n">
        <x:v>3</x:v>
      </x:c>
      <x:c r="G527" s="36" t="n">
        <x:v>2</x:v>
      </x:c>
      <x:c r="H527" s="34" t="str">
        <x:v>firstUndeployThreadEvidenceFinal</x:v>
      </x:c>
      <x:c r="I527" s="36" t="n">
        <x:v>1</x:v>
      </x:c>
      <x:c r="J527" s="34" t="str">
        <x:v>final</x:v>
      </x:c>
      <x:c r="K527" s="36" t="n">
        <x:v>27</x:v>
      </x:c>
      <x:c r="L527" s="51" t="n">
        <x:v>0</x:v>
      </x:c>
      <x:c r="M527" s="51" t="n">
        <x:v>0</x:v>
      </x:c>
      <x:c r="N527" s="36" t="n">
        <x:v>10</x:v>
      </x:c>
      <x:c r="O527" s="44" t="str">
        <x:v>http-nio-8080-exec-14#87 | http-nio-8080-exec-15#88 | http-nio-8080-exec-16#89 | http-nio-8080-exec-20#127 | http-nio-8080-exec-21#130 | http-nio-8080-exec-22#131 | http-nio-8080-exec-23#166 | http-nio-8080-exec-24#167 | http-nio-8080-exec-25#168 | http-nio-8080-exec-26#169</x:v>
      </x:c>
      <x:c r="P527" s="36" t="n">
        <x:v>6</x:v>
      </x:c>
      <x:c r="Q527" s="44" t="str">
        <x:v>http-nio-8080-exec-21#130 | http-nio-8080-exec-22#131 | http-nio-8080-exec-23#166 | http-nio-8080-exec-24#167 | http-nio-8080-exec-25#168 | http-nio-8080-exec-26#169</x:v>
      </x:c>
      <x:c r="R527" s="36" t="n">
        <x:v>0</x:v>
      </x:c>
      <x:c r="S527" s="44"/>
      <x:c r="T527" s="36" t="n">
        <x:v>0</x:v>
      </x:c>
      <x:c r="U527" s="44"/>
      <x:c r="V527" s="36" t="n">
        <x:v>0</x:v>
      </x:c>
      <x:c r="W527" s="44"/>
      <x:c r="X527" s="34" t="str">
        <x:v>no-post-undeploy-thread-signal</x:v>
      </x:c>
      <x:c r="Y527" s="44" t="str">
        <x:v>automated signatures are JCS-specific; all other candidate application threads remain unattributed and ownership requires the archived full dump</x:v>
      </x:c>
    </x:row>
    <x:row r="528">
      <x:c r="A528" s="34" t="str">
        <x:v>article1-unified-v4-2-fb3f101b-20260903-000401-default-f05-p3-jcs4</x:v>
      </x:c>
      <x:c r="B528" s="34" t="str">
        <x:v>default</x:v>
      </x:c>
      <x:c r="C528" s="34" t="str">
        <x:v>jcs4</x:v>
      </x:c>
      <x:c r="D528" s="36" t="n">
        <x:v>5</x:v>
      </x:c>
      <x:c r="E528" s="36" t="n">
        <x:v>5</x:v>
      </x:c>
      <x:c r="F528" s="36" t="n">
        <x:v>3</x:v>
      </x:c>
      <x:c r="G528" s="36" t="n">
        <x:v>2</x:v>
      </x:c>
      <x:c r="H528" s="34" t="str">
        <x:v>finalUndeployThreadEvidenceEarly</x:v>
      </x:c>
      <x:c r="I528" s="36" t="n">
        <x:v>2</x:v>
      </x:c>
      <x:c r="J528" s="34" t="str">
        <x:v>early</x:v>
      </x:c>
      <x:c r="K528" s="36" t="n">
        <x:v>27</x:v>
      </x:c>
      <x:c r="L528" s="51" t="n">
        <x:v>0</x:v>
      </x:c>
      <x:c r="M528" s="51" t="n">
        <x:v>0</x:v>
      </x:c>
      <x:c r="N528" s="36" t="n">
        <x:v>10</x:v>
      </x:c>
      <x:c r="O528" s="44" t="str">
        <x:v>http-nio-8080-exec-22#131 | http-nio-8080-exec-23#166 | http-nio-8080-exec-24#167 | http-nio-8080-exec-25#168 | http-nio-8080-exec-26#169 | http-nio-8080-exec-27#172 | http-nio-8080-exec-29#174 | http-nio-8080-exec-30#209 | http-nio-8080-exec-31#210 | http-nio-8080-exec-32#211</x:v>
      </x:c>
      <x:c r="P528" s="36" t="n">
        <x:v>10</x:v>
      </x:c>
      <x:c r="Q528" s="44" t="str">
        <x:v>http-nio-8080-exec-22#131 | http-nio-8080-exec-23#166 | http-nio-8080-exec-24#167 | http-nio-8080-exec-25#168 | http-nio-8080-exec-26#169 | http-nio-8080-exec-27#172 | http-nio-8080-exec-29#174 | http-nio-8080-exec-30#209 | http-nio-8080-exec-31#210 | http-nio-8080-exec-32#211</x:v>
      </x:c>
      <x:c r="R528" s="36" t="n">
        <x:v>0</x:v>
      </x:c>
      <x:c r="S528" s="44"/>
      <x:c r="T528" s="36" t="n">
        <x:v>0</x:v>
      </x:c>
      <x:c r="U528" s="44"/>
      <x:c r="V528" s="36" t="n">
        <x:v>0</x:v>
      </x:c>
      <x:c r="W528" s="44"/>
      <x:c r="X528" s="34" t="str">
        <x:v>no-post-undeploy-thread-signal</x:v>
      </x:c>
      <x:c r="Y528" s="44" t="str">
        <x:v>automated signatures are JCS-specific; all other candidate application threads remain unattributed and ownership requires the archived full dump</x:v>
      </x:c>
    </x:row>
    <x:row r="529">
      <x:c r="A529" s="34" t="str">
        <x:v>article1-unified-v4-2-fb3f101b-20260903-000401-default-f05-p3-jcs4</x:v>
      </x:c>
      <x:c r="B529" s="34" t="str">
        <x:v>default</x:v>
      </x:c>
      <x:c r="C529" s="34" t="str">
        <x:v>jcs4</x:v>
      </x:c>
      <x:c r="D529" s="36" t="n">
        <x:v>5</x:v>
      </x:c>
      <x:c r="E529" s="36" t="n">
        <x:v>5</x:v>
      </x:c>
      <x:c r="F529" s="36" t="n">
        <x:v>3</x:v>
      </x:c>
      <x:c r="G529" s="36" t="n">
        <x:v>2</x:v>
      </x:c>
      <x:c r="H529" s="34" t="str">
        <x:v>finalUndeployThreadEvidenceFinal</x:v>
      </x:c>
      <x:c r="I529" s="36" t="n">
        <x:v>2</x:v>
      </x:c>
      <x:c r="J529" s="34" t="str">
        <x:v>final</x:v>
      </x:c>
      <x:c r="K529" s="36" t="n">
        <x:v>27</x:v>
      </x:c>
      <x:c r="L529" s="51" t="n">
        <x:v>0</x:v>
      </x:c>
      <x:c r="M529" s="51" t="n">
        <x:v>0</x:v>
      </x:c>
      <x:c r="N529" s="36" t="n">
        <x:v>10</x:v>
      </x:c>
      <x:c r="O529" s="44" t="str">
        <x:v>http-nio-8080-exec-22#131 | http-nio-8080-exec-23#166 | http-nio-8080-exec-24#167 | http-nio-8080-exec-26#169 | http-nio-8080-exec-27#172 | http-nio-8080-exec-29#174 | http-nio-8080-exec-30#209 | http-nio-8080-exec-31#210 | http-nio-8080-exec-32#211 | http-nio-8080-exec-33#212</x:v>
      </x:c>
      <x:c r="P529" s="36" t="n">
        <x:v>10</x:v>
      </x:c>
      <x:c r="Q529" s="44" t="str">
        <x:v>http-nio-8080-exec-22#131 | http-nio-8080-exec-23#166 | http-nio-8080-exec-24#167 | http-nio-8080-exec-26#169 | http-nio-8080-exec-27#172 | http-nio-8080-exec-29#174 | http-nio-8080-exec-30#209 | http-nio-8080-exec-31#210 | http-nio-8080-exec-32#211 | http-nio-8080-exec-33#212</x:v>
      </x:c>
      <x:c r="R529" s="36" t="n">
        <x:v>0</x:v>
      </x:c>
      <x:c r="S529" s="44"/>
      <x:c r="T529" s="36" t="n">
        <x:v>0</x:v>
      </x:c>
      <x:c r="U529" s="44"/>
      <x:c r="V529" s="36" t="n">
        <x:v>0</x:v>
      </x:c>
      <x:c r="W529" s="44"/>
      <x:c r="X529" s="34" t="str">
        <x:v>no-post-undeploy-thread-signal</x:v>
      </x:c>
      <x:c r="Y529" s="44" t="str">
        <x:v>automated signatures are JCS-specific; all other candidate application threads remain unattributed and ownership requires the archived full dump</x:v>
      </x:c>
    </x:row>
    <x:row r="530">
      <x:c r="A530" s="34" t="str">
        <x:v>article1-unified-v4-2-fb3f101b-20260903-000401-default-f05-p3-jcs4</x:v>
      </x:c>
      <x:c r="B530" s="34" t="str">
        <x:v>default</x:v>
      </x:c>
      <x:c r="C530" s="34" t="str">
        <x:v>jcs4</x:v>
      </x:c>
      <x:c r="D530" s="36" t="n">
        <x:v>5</x:v>
      </x:c>
      <x:c r="E530" s="36" t="n">
        <x:v>5</x:v>
      </x:c>
      <x:c r="F530" s="36" t="n">
        <x:v>3</x:v>
      </x:c>
      <x:c r="G530" s="36" t="n">
        <x:v>3</x:v>
      </x:c>
      <x:c r="H530" s="34" t="str">
        <x:v>firstUndeployThreadEvidenceEarly</x:v>
      </x:c>
      <x:c r="I530" s="36" t="n">
        <x:v>1</x:v>
      </x:c>
      <x:c r="J530" s="34" t="str">
        <x:v>early</x:v>
      </x:c>
      <x:c r="K530" s="36" t="n">
        <x:v>27</x:v>
      </x:c>
      <x:c r="L530" s="51" t="n">
        <x:v>0</x:v>
      </x:c>
      <x:c r="M530" s="51" t="n">
        <x:v>0</x:v>
      </x:c>
      <x:c r="N530" s="36" t="n">
        <x:v>10</x:v>
      </x:c>
      <x:c r="O530" s="44" t="str">
        <x:v>http-nio-8080-exec-22#131 | http-nio-8080-exec-23#166 | http-nio-8080-exec-26#169 | http-nio-8080-exec-31#210 | http-nio-8080-exec-33#212 | http-nio-8080-exec-34#215 | http-nio-8080-exec-35#216 | http-nio-8080-exec-36#251 | http-nio-8080-exec-37#252 | http-nio-8080-exec-38#253</x:v>
      </x:c>
      <x:c r="P530" s="36" t="n">
        <x:v>5</x:v>
      </x:c>
      <x:c r="Q530" s="44" t="str">
        <x:v>http-nio-8080-exec-34#215 | http-nio-8080-exec-35#216 | http-nio-8080-exec-36#251 | http-nio-8080-exec-37#252 | http-nio-8080-exec-38#253</x:v>
      </x:c>
      <x:c r="R530" s="36" t="n">
        <x:v>0</x:v>
      </x:c>
      <x:c r="S530" s="44"/>
      <x:c r="T530" s="36" t="n">
        <x:v>0</x:v>
      </x:c>
      <x:c r="U530" s="44"/>
      <x:c r="V530" s="36" t="n">
        <x:v>0</x:v>
      </x:c>
      <x:c r="W530" s="44"/>
      <x:c r="X530" s="34" t="str">
        <x:v>no-post-undeploy-thread-signal</x:v>
      </x:c>
      <x:c r="Y530" s="44" t="str">
        <x:v>automated signatures are JCS-specific; all other candidate application threads remain unattributed and ownership requires the archived full dump</x:v>
      </x:c>
    </x:row>
    <x:row r="531">
      <x:c r="A531" s="34" t="str">
        <x:v>article1-unified-v4-2-fb3f101b-20260903-000401-default-f05-p3-jcs4</x:v>
      </x:c>
      <x:c r="B531" s="34" t="str">
        <x:v>default</x:v>
      </x:c>
      <x:c r="C531" s="34" t="str">
        <x:v>jcs4</x:v>
      </x:c>
      <x:c r="D531" s="36" t="n">
        <x:v>5</x:v>
      </x:c>
      <x:c r="E531" s="36" t="n">
        <x:v>5</x:v>
      </x:c>
      <x:c r="F531" s="36" t="n">
        <x:v>3</x:v>
      </x:c>
      <x:c r="G531" s="36" t="n">
        <x:v>3</x:v>
      </x:c>
      <x:c r="H531" s="34" t="str">
        <x:v>firstUndeployThreadEvidenceFinal</x:v>
      </x:c>
      <x:c r="I531" s="36" t="n">
        <x:v>1</x:v>
      </x:c>
      <x:c r="J531" s="34" t="str">
        <x:v>final</x:v>
      </x:c>
      <x:c r="K531" s="36" t="n">
        <x:v>27</x:v>
      </x:c>
      <x:c r="L531" s="51" t="n">
        <x:v>0</x:v>
      </x:c>
      <x:c r="M531" s="51" t="n">
        <x:v>0</x:v>
      </x:c>
      <x:c r="N531" s="36" t="n">
        <x:v>10</x:v>
      </x:c>
      <x:c r="O531" s="44" t="str">
        <x:v>http-nio-8080-exec-22#131 | http-nio-8080-exec-23#166 | http-nio-8080-exec-26#169 | http-nio-8080-exec-31#210 | http-nio-8080-exec-33#212 | http-nio-8080-exec-35#216 | http-nio-8080-exec-36#251 | http-nio-8080-exec-37#252 | http-nio-8080-exec-38#253 | http-nio-8080-exec-39#254</x:v>
      </x:c>
      <x:c r="P531" s="36" t="n">
        <x:v>5</x:v>
      </x:c>
      <x:c r="Q531" s="44" t="str">
        <x:v>http-nio-8080-exec-35#216 | http-nio-8080-exec-36#251 | http-nio-8080-exec-37#252 | http-nio-8080-exec-38#253 | http-nio-8080-exec-39#254</x:v>
      </x:c>
      <x:c r="R531" s="36" t="n">
        <x:v>0</x:v>
      </x:c>
      <x:c r="S531" s="44"/>
      <x:c r="T531" s="36" t="n">
        <x:v>0</x:v>
      </x:c>
      <x:c r="U531" s="44"/>
      <x:c r="V531" s="36" t="n">
        <x:v>0</x:v>
      </x:c>
      <x:c r="W531" s="44"/>
      <x:c r="X531" s="34" t="str">
        <x:v>no-post-undeploy-thread-signal</x:v>
      </x:c>
      <x:c r="Y531" s="44" t="str">
        <x:v>automated signatures are JCS-specific; all other candidate application threads remain unattributed and ownership requires the archived full dump</x:v>
      </x:c>
    </x:row>
    <x:row r="532">
      <x:c r="A532" s="34" t="str">
        <x:v>article1-unified-v4-2-fb3f101b-20260903-000401-default-f05-p3-jcs4</x:v>
      </x:c>
      <x:c r="B532" s="34" t="str">
        <x:v>default</x:v>
      </x:c>
      <x:c r="C532" s="34" t="str">
        <x:v>jcs4</x:v>
      </x:c>
      <x:c r="D532" s="36" t="n">
        <x:v>5</x:v>
      </x:c>
      <x:c r="E532" s="36" t="n">
        <x:v>5</x:v>
      </x:c>
      <x:c r="F532" s="36" t="n">
        <x:v>3</x:v>
      </x:c>
      <x:c r="G532" s="36" t="n">
        <x:v>3</x:v>
      </x:c>
      <x:c r="H532" s="34" t="str">
        <x:v>finalUndeployThreadEvidenceEarly</x:v>
      </x:c>
      <x:c r="I532" s="36" t="n">
        <x:v>2</x:v>
      </x:c>
      <x:c r="J532" s="34" t="str">
        <x:v>early</x:v>
      </x:c>
      <x:c r="K532" s="36" t="n">
        <x:v>27</x:v>
      </x:c>
      <x:c r="L532" s="51" t="n">
        <x:v>0</x:v>
      </x:c>
      <x:c r="M532" s="51" t="n">
        <x:v>0</x:v>
      </x:c>
      <x:c r="N532" s="36" t="n">
        <x:v>10</x:v>
      </x:c>
      <x:c r="O532" s="44" t="str">
        <x:v>http-nio-8080-exec-22#131 | http-nio-8080-exec-37#252 | http-nio-8080-exec-38#253 | http-nio-8080-exec-39#254 | http-nio-8080-exec-40#257 | http-nio-8080-exec-41#258 | http-nio-8080-exec-42#259 | http-nio-8080-exec-43#294 | http-nio-8080-exec-44#295 | http-nio-8080-exec-45#296</x:v>
      </x:c>
      <x:c r="P532" s="36" t="n">
        <x:v>9</x:v>
      </x:c>
      <x:c r="Q532" s="44" t="str">
        <x:v>http-nio-8080-exec-37#252 | http-nio-8080-exec-38#253 | http-nio-8080-exec-39#254 | http-nio-8080-exec-40#257 | http-nio-8080-exec-41#258 | http-nio-8080-exec-42#259 | http-nio-8080-exec-43#294 | http-nio-8080-exec-44#295 | http-nio-8080-exec-45#296</x:v>
      </x:c>
      <x:c r="R532" s="36" t="n">
        <x:v>0</x:v>
      </x:c>
      <x:c r="S532" s="44"/>
      <x:c r="T532" s="36" t="n">
        <x:v>0</x:v>
      </x:c>
      <x:c r="U532" s="44"/>
      <x:c r="V532" s="36" t="n">
        <x:v>0</x:v>
      </x:c>
      <x:c r="W532" s="44"/>
      <x:c r="X532" s="34" t="str">
        <x:v>no-post-undeploy-thread-signal</x:v>
      </x:c>
      <x:c r="Y532" s="44" t="str">
        <x:v>automated signatures are JCS-specific; all other candidate application threads remain unattributed and ownership requires the archived full dump</x:v>
      </x:c>
    </x:row>
    <x:row r="533">
      <x:c r="A533" s="34" t="str">
        <x:v>article1-unified-v4-2-fb3f101b-20260903-000401-default-f05-p3-jcs4</x:v>
      </x:c>
      <x:c r="B533" s="34" t="str">
        <x:v>default</x:v>
      </x:c>
      <x:c r="C533" s="34" t="str">
        <x:v>jcs4</x:v>
      </x:c>
      <x:c r="D533" s="36" t="n">
        <x:v>5</x:v>
      </x:c>
      <x:c r="E533" s="36" t="n">
        <x:v>5</x:v>
      </x:c>
      <x:c r="F533" s="36" t="n">
        <x:v>3</x:v>
      </x:c>
      <x:c r="G533" s="36" t="n">
        <x:v>3</x:v>
      </x:c>
      <x:c r="H533" s="34" t="str">
        <x:v>finalUndeployThreadEvidenceFinal</x:v>
      </x:c>
      <x:c r="I533" s="36" t="n">
        <x:v>2</x:v>
      </x:c>
      <x:c r="J533" s="34" t="str">
        <x:v>final</x:v>
      </x:c>
      <x:c r="K533" s="36" t="n">
        <x:v>27</x:v>
      </x:c>
      <x:c r="L533" s="51" t="n">
        <x:v>0</x:v>
      </x:c>
      <x:c r="M533" s="51" t="n">
        <x:v>0</x:v>
      </x:c>
      <x:c r="N533" s="36" t="n">
        <x:v>10</x:v>
      </x:c>
      <x:c r="O533" s="44" t="str">
        <x:v>http-nio-8080-exec-22#131 | http-nio-8080-exec-37#252 | http-nio-8080-exec-39#254 | http-nio-8080-exec-40#257 | http-nio-8080-exec-41#258 | http-nio-8080-exec-42#259 | http-nio-8080-exec-43#294 | http-nio-8080-exec-44#295 | http-nio-8080-exec-45#296 | http-nio-8080-exec-46#297</x:v>
      </x:c>
      <x:c r="P533" s="36" t="n">
        <x:v>9</x:v>
      </x:c>
      <x:c r="Q533" s="44" t="str">
        <x:v>http-nio-8080-exec-37#252 | http-nio-8080-exec-39#254 | http-nio-8080-exec-40#257 | http-nio-8080-exec-41#258 | http-nio-8080-exec-42#259 | http-nio-8080-exec-43#294 | http-nio-8080-exec-44#295 | http-nio-8080-exec-45#296 | http-nio-8080-exec-46#297</x:v>
      </x:c>
      <x:c r="R533" s="36" t="n">
        <x:v>0</x:v>
      </x:c>
      <x:c r="S533" s="44"/>
      <x:c r="T533" s="36" t="n">
        <x:v>0</x:v>
      </x:c>
      <x:c r="U533" s="44"/>
      <x:c r="V533" s="36" t="n">
        <x:v>0</x:v>
      </x:c>
      <x:c r="W533" s="44"/>
      <x:c r="X533" s="34" t="str">
        <x:v>no-post-undeploy-thread-signal</x:v>
      </x:c>
      <x:c r="Y533" s="44" t="str">
        <x:v>automated signatures are JCS-specific; all other candidate application threads remain unattributed and ownership requires the archived full dump</x:v>
      </x:c>
    </x:row>
    <x:row r="534">
      <x:c r="A534" s="34" t="str">
        <x:v>article1-unified-v4-2-fb3f101b-20260903-000401-default-f05-p3-jcs4</x:v>
      </x:c>
      <x:c r="B534" s="34" t="str">
        <x:v>default</x:v>
      </x:c>
      <x:c r="C534" s="34" t="str">
        <x:v>jcs4</x:v>
      </x:c>
      <x:c r="D534" s="36" t="n">
        <x:v>5</x:v>
      </x:c>
      <x:c r="E534" s="36" t="n">
        <x:v>5</x:v>
      </x:c>
      <x:c r="F534" s="36" t="n">
        <x:v>3</x:v>
      </x:c>
      <x:c r="G534" s="36" t="n">
        <x:v>4</x:v>
      </x:c>
      <x:c r="H534" s="34" t="str">
        <x:v>firstUndeployThreadEvidenceEarly</x:v>
      </x:c>
      <x:c r="I534" s="36" t="n">
        <x:v>1</x:v>
      </x:c>
      <x:c r="J534" s="34" t="str">
        <x:v>early</x:v>
      </x:c>
      <x:c r="K534" s="36" t="n">
        <x:v>27</x:v>
      </x:c>
      <x:c r="L534" s="51" t="n">
        <x:v>0</x:v>
      </x:c>
      <x:c r="M534" s="51" t="n">
        <x:v>0</x:v>
      </x:c>
      <x:c r="N534" s="36" t="n">
        <x:v>10</x:v>
      </x:c>
      <x:c r="O534" s="44" t="str">
        <x:v>http-nio-8080-exec-22#131 | http-nio-8080-exec-42#259 | http-nio-8080-exec-44#295 | http-nio-8080-exec-45#296 | http-nio-8080-exec-46#297 | http-nio-8080-exec-47#300 | http-nio-8080-exec-48#301 | http-nio-8080-exec-49#336 | http-nio-8080-exec-50#337 | http-nio-8080-exec-51#338</x:v>
      </x:c>
      <x:c r="P534" s="36" t="n">
        <x:v>5</x:v>
      </x:c>
      <x:c r="Q534" s="44" t="str">
        <x:v>http-nio-8080-exec-47#300 | http-nio-8080-exec-48#301 | http-nio-8080-exec-49#336 | http-nio-8080-exec-50#337 | http-nio-8080-exec-51#338</x:v>
      </x:c>
      <x:c r="R534" s="36" t="n">
        <x:v>0</x:v>
      </x:c>
      <x:c r="S534" s="44"/>
      <x:c r="T534" s="36" t="n">
        <x:v>0</x:v>
      </x:c>
      <x:c r="U534" s="44"/>
      <x:c r="V534" s="36" t="n">
        <x:v>0</x:v>
      </x:c>
      <x:c r="W534" s="44"/>
      <x:c r="X534" s="34" t="str">
        <x:v>no-post-undeploy-thread-signal</x:v>
      </x:c>
      <x:c r="Y534" s="44" t="str">
        <x:v>automated signatures are JCS-specific; all other candidate application threads remain unattributed and ownership requires the archived full dump</x:v>
      </x:c>
    </x:row>
    <x:row r="535">
      <x:c r="A535" s="34" t="str">
        <x:v>article1-unified-v4-2-fb3f101b-20260903-000401-default-f05-p3-jcs4</x:v>
      </x:c>
      <x:c r="B535" s="34" t="str">
        <x:v>default</x:v>
      </x:c>
      <x:c r="C535" s="34" t="str">
        <x:v>jcs4</x:v>
      </x:c>
      <x:c r="D535" s="36" t="n">
        <x:v>5</x:v>
      </x:c>
      <x:c r="E535" s="36" t="n">
        <x:v>5</x:v>
      </x:c>
      <x:c r="F535" s="36" t="n">
        <x:v>3</x:v>
      </x:c>
      <x:c r="G535" s="36" t="n">
        <x:v>4</x:v>
      </x:c>
      <x:c r="H535" s="34" t="str">
        <x:v>firstUndeployThreadEvidenceFinal</x:v>
      </x:c>
      <x:c r="I535" s="36" t="n">
        <x:v>1</x:v>
      </x:c>
      <x:c r="J535" s="34" t="str">
        <x:v>final</x:v>
      </x:c>
      <x:c r="K535" s="36" t="n">
        <x:v>27</x:v>
      </x:c>
      <x:c r="L535" s="51" t="n">
        <x:v>0</x:v>
      </x:c>
      <x:c r="M535" s="51" t="n">
        <x:v>0</x:v>
      </x:c>
      <x:c r="N535" s="36" t="n">
        <x:v>10</x:v>
      </x:c>
      <x:c r="O535" s="44" t="str">
        <x:v>http-nio-8080-exec-22#131 | http-nio-8080-exec-44#295 | http-nio-8080-exec-45#296 | http-nio-8080-exec-46#297 | http-nio-8080-exec-47#300 | http-nio-8080-exec-48#301 | http-nio-8080-exec-49#336 | http-nio-8080-exec-50#337 | http-nio-8080-exec-51#338 | http-nio-8080-exec-52#339</x:v>
      </x:c>
      <x:c r="P535" s="36" t="n">
        <x:v>6</x:v>
      </x:c>
      <x:c r="Q535" s="44" t="str">
        <x:v>http-nio-8080-exec-47#300 | http-nio-8080-exec-48#301 | http-nio-8080-exec-49#336 | http-nio-8080-exec-50#337 | http-nio-8080-exec-51#338 | http-nio-8080-exec-52#339</x:v>
      </x:c>
      <x:c r="R535" s="36" t="n">
        <x:v>0</x:v>
      </x:c>
      <x:c r="S535" s="44"/>
      <x:c r="T535" s="36" t="n">
        <x:v>0</x:v>
      </x:c>
      <x:c r="U535" s="44"/>
      <x:c r="V535" s="36" t="n">
        <x:v>0</x:v>
      </x:c>
      <x:c r="W535" s="44"/>
      <x:c r="X535" s="34" t="str">
        <x:v>no-post-undeploy-thread-signal</x:v>
      </x:c>
      <x:c r="Y535" s="44" t="str">
        <x:v>automated signatures are JCS-specific; all other candidate application threads remain unattributed and ownership requires the archived full dump</x:v>
      </x:c>
    </x:row>
    <x:row r="536">
      <x:c r="A536" s="34" t="str">
        <x:v>article1-unified-v4-2-fb3f101b-20260903-000401-default-f05-p3-jcs4</x:v>
      </x:c>
      <x:c r="B536" s="34" t="str">
        <x:v>default</x:v>
      </x:c>
      <x:c r="C536" s="34" t="str">
        <x:v>jcs4</x:v>
      </x:c>
      <x:c r="D536" s="36" t="n">
        <x:v>5</x:v>
      </x:c>
      <x:c r="E536" s="36" t="n">
        <x:v>5</x:v>
      </x:c>
      <x:c r="F536" s="36" t="n">
        <x:v>3</x:v>
      </x:c>
      <x:c r="G536" s="36" t="n">
        <x:v>4</x:v>
      </x:c>
      <x:c r="H536" s="34" t="str">
        <x:v>finalUndeployThreadEvidenceEarly</x:v>
      </x:c>
      <x:c r="I536" s="36" t="n">
        <x:v>2</x:v>
      </x:c>
      <x:c r="J536" s="34" t="str">
        <x:v>early</x:v>
      </x:c>
      <x:c r="K536" s="36" t="n">
        <x:v>27</x:v>
      </x:c>
      <x:c r="L536" s="51" t="n">
        <x:v>0</x:v>
      </x:c>
      <x:c r="M536" s="51" t="n">
        <x:v>0</x:v>
      </x:c>
      <x:c r="N536" s="36" t="n">
        <x:v>10</x:v>
      </x:c>
      <x:c r="O536" s="44" t="str">
        <x:v>http-nio-8080-exec-22#131 | http-nio-8080-exec-44#295 | http-nio-8080-exec-50#337 | http-nio-8080-exec-51#338 | http-nio-8080-exec-53#342 | http-nio-8080-exec-54#343 | http-nio-8080-exec-55#344 | http-nio-8080-exec-56#379 | http-nio-8080-exec-57#380 | http-nio-8080-exec-58#381</x:v>
      </x:c>
      <x:c r="P536" s="36" t="n">
        <x:v>8</x:v>
      </x:c>
      <x:c r="Q536" s="44" t="str">
        <x:v>http-nio-8080-exec-50#337 | http-nio-8080-exec-51#338 | http-nio-8080-exec-53#342 | http-nio-8080-exec-54#343 | http-nio-8080-exec-55#344 | http-nio-8080-exec-56#379 | http-nio-8080-exec-57#380 | http-nio-8080-exec-58#381</x:v>
      </x:c>
      <x:c r="R536" s="36" t="n">
        <x:v>0</x:v>
      </x:c>
      <x:c r="S536" s="44"/>
      <x:c r="T536" s="36" t="n">
        <x:v>0</x:v>
      </x:c>
      <x:c r="U536" s="44"/>
      <x:c r="V536" s="36" t="n">
        <x:v>0</x:v>
      </x:c>
      <x:c r="W536" s="44"/>
      <x:c r="X536" s="34" t="str">
        <x:v>no-post-undeploy-thread-signal</x:v>
      </x:c>
      <x:c r="Y536" s="44" t="str">
        <x:v>automated signatures are JCS-specific; all other candidate application threads remain unattributed and ownership requires the archived full dump</x:v>
      </x:c>
    </x:row>
    <x:row r="537">
      <x:c r="A537" s="34" t="str">
        <x:v>article1-unified-v4-2-fb3f101b-20260903-000401-default-f05-p3-jcs4</x:v>
      </x:c>
      <x:c r="B537" s="34" t="str">
        <x:v>default</x:v>
      </x:c>
      <x:c r="C537" s="34" t="str">
        <x:v>jcs4</x:v>
      </x:c>
      <x:c r="D537" s="36" t="n">
        <x:v>5</x:v>
      </x:c>
      <x:c r="E537" s="36" t="n">
        <x:v>5</x:v>
      </x:c>
      <x:c r="F537" s="36" t="n">
        <x:v>3</x:v>
      </x:c>
      <x:c r="G537" s="36" t="n">
        <x:v>4</x:v>
      </x:c>
      <x:c r="H537" s="34" t="str">
        <x:v>finalUndeployThreadEvidenceFinal</x:v>
      </x:c>
      <x:c r="I537" s="36" t="n">
        <x:v>2</x:v>
      </x:c>
      <x:c r="J537" s="34" t="str">
        <x:v>final</x:v>
      </x:c>
      <x:c r="K537" s="36" t="n">
        <x:v>27</x:v>
      </x:c>
      <x:c r="L537" s="51" t="n">
        <x:v>0</x:v>
      </x:c>
      <x:c r="M537" s="51" t="n">
        <x:v>0</x:v>
      </x:c>
      <x:c r="N537" s="36" t="n">
        <x:v>10</x:v>
      </x:c>
      <x:c r="O537" s="44" t="str">
        <x:v>http-nio-8080-exec-44#295 | http-nio-8080-exec-50#337 | http-nio-8080-exec-51#338 | http-nio-8080-exec-53#342 | http-nio-8080-exec-54#343 | http-nio-8080-exec-55#344 | http-nio-8080-exec-56#379 | http-nio-8080-exec-57#380 | http-nio-8080-exec-58#381 | http-nio-8080-exec-59#382</x:v>
      </x:c>
      <x:c r="P537" s="36" t="n">
        <x:v>9</x:v>
      </x:c>
      <x:c r="Q537" s="44" t="str">
        <x:v>http-nio-8080-exec-50#337 | http-nio-8080-exec-51#338 | http-nio-8080-exec-53#342 | http-nio-8080-exec-54#343 | http-nio-8080-exec-55#344 | http-nio-8080-exec-56#379 | http-nio-8080-exec-57#380 | http-nio-8080-exec-58#381 | http-nio-8080-exec-59#382</x:v>
      </x:c>
      <x:c r="R537" s="36" t="n">
        <x:v>0</x:v>
      </x:c>
      <x:c r="S537" s="44"/>
      <x:c r="T537" s="36" t="n">
        <x:v>0</x:v>
      </x:c>
      <x:c r="U537" s="44"/>
      <x:c r="V537" s="36" t="n">
        <x:v>0</x:v>
      </x:c>
      <x:c r="W537" s="44"/>
      <x:c r="X537" s="34" t="str">
        <x:v>no-post-undeploy-thread-signal</x:v>
      </x:c>
      <x:c r="Y537" s="44" t="str">
        <x:v>automated signatures are JCS-specific; all other candidate application threads remain unattributed and ownership requires the archived full dump</x:v>
      </x:c>
    </x:row>
    <x:row r="538">
      <x:c r="A538" s="34" t="str">
        <x:v>article1-unified-v4-2-fb3f101b-20260903-000401-default-f05-p3-jcs4</x:v>
      </x:c>
      <x:c r="B538" s="34" t="str">
        <x:v>default</x:v>
      </x:c>
      <x:c r="C538" s="34" t="str">
        <x:v>jcs4</x:v>
      </x:c>
      <x:c r="D538" s="36" t="n">
        <x:v>5</x:v>
      </x:c>
      <x:c r="E538" s="36" t="n">
        <x:v>5</x:v>
      </x:c>
      <x:c r="F538" s="36" t="n">
        <x:v>3</x:v>
      </x:c>
      <x:c r="G538" s="36" t="n">
        <x:v>5</x:v>
      </x:c>
      <x:c r="H538" s="34" t="str">
        <x:v>firstUndeployThreadEvidenceEarly</x:v>
      </x:c>
      <x:c r="I538" s="36" t="n">
        <x:v>1</x:v>
      </x:c>
      <x:c r="J538" s="34" t="str">
        <x:v>early</x:v>
      </x:c>
      <x:c r="K538" s="36" t="n">
        <x:v>27</x:v>
      </x:c>
      <x:c r="L538" s="51" t="n">
        <x:v>0</x:v>
      </x:c>
      <x:c r="M538" s="51" t="n">
        <x:v>0</x:v>
      </x:c>
      <x:c r="N538" s="36" t="n">
        <x:v>10</x:v>
      </x:c>
      <x:c r="O538" s="44" t="str">
        <x:v>http-nio-8080-exec-53#342 | http-nio-8080-exec-55#344 | http-nio-8080-exec-57#380 | http-nio-8080-exec-58#381 | http-nio-8080-exec-59#382 | http-nio-8080-exec-60#385 | http-nio-8080-exec-61#386 | http-nio-8080-exec-62#421 | http-nio-8080-exec-63#422 | http-nio-8080-exec-64#423</x:v>
      </x:c>
      <x:c r="P538" s="36" t="n">
        <x:v>5</x:v>
      </x:c>
      <x:c r="Q538" s="44" t="str">
        <x:v>http-nio-8080-exec-60#385 | http-nio-8080-exec-61#386 | http-nio-8080-exec-62#421 | http-nio-8080-exec-63#422 | http-nio-8080-exec-64#423</x:v>
      </x:c>
      <x:c r="R538" s="36" t="n">
        <x:v>0</x:v>
      </x:c>
      <x:c r="S538" s="44"/>
      <x:c r="T538" s="36" t="n">
        <x:v>0</x:v>
      </x:c>
      <x:c r="U538" s="44"/>
      <x:c r="V538" s="36" t="n">
        <x:v>0</x:v>
      </x:c>
      <x:c r="W538" s="44"/>
      <x:c r="X538" s="34" t="str">
        <x:v>no-post-undeploy-thread-signal</x:v>
      </x:c>
      <x:c r="Y538" s="44" t="str">
        <x:v>automated signatures are JCS-specific; all other candidate application threads remain unattributed and ownership requires the archived full dump</x:v>
      </x:c>
    </x:row>
    <x:row r="539">
      <x:c r="A539" s="34" t="str">
        <x:v>article1-unified-v4-2-fb3f101b-20260903-000401-default-f05-p3-jcs4</x:v>
      </x:c>
      <x:c r="B539" s="34" t="str">
        <x:v>default</x:v>
      </x:c>
      <x:c r="C539" s="34" t="str">
        <x:v>jcs4</x:v>
      </x:c>
      <x:c r="D539" s="36" t="n">
        <x:v>5</x:v>
      </x:c>
      <x:c r="E539" s="36" t="n">
        <x:v>5</x:v>
      </x:c>
      <x:c r="F539" s="36" t="n">
        <x:v>3</x:v>
      </x:c>
      <x:c r="G539" s="36" t="n">
        <x:v>5</x:v>
      </x:c>
      <x:c r="H539" s="34" t="str">
        <x:v>firstUndeployThreadEvidenceFinal</x:v>
      </x:c>
      <x:c r="I539" s="36" t="n">
        <x:v>1</x:v>
      </x:c>
      <x:c r="J539" s="34" t="str">
        <x:v>final</x:v>
      </x:c>
      <x:c r="K539" s="36" t="n">
        <x:v>27</x:v>
      </x:c>
      <x:c r="L539" s="51" t="n">
        <x:v>0</x:v>
      </x:c>
      <x:c r="M539" s="51" t="n">
        <x:v>0</x:v>
      </x:c>
      <x:c r="N539" s="36" t="n">
        <x:v>10</x:v>
      </x:c>
      <x:c r="O539" s="44" t="str">
        <x:v>http-nio-8080-exec-53#342 | http-nio-8080-exec-55#344 | http-nio-8080-exec-57#380 | http-nio-8080-exec-59#382 | http-nio-8080-exec-60#385 | http-nio-8080-exec-61#386 | http-nio-8080-exec-62#421 | http-nio-8080-exec-63#422 | http-nio-8080-exec-64#423 | http-nio-8080-exec-65#424</x:v>
      </x:c>
      <x:c r="P539" s="36" t="n">
        <x:v>6</x:v>
      </x:c>
      <x:c r="Q539" s="44" t="str">
        <x:v>http-nio-8080-exec-60#385 | http-nio-8080-exec-61#386 | http-nio-8080-exec-62#421 | http-nio-8080-exec-63#422 | http-nio-8080-exec-64#423 | http-nio-8080-exec-65#424</x:v>
      </x:c>
      <x:c r="R539" s="36" t="n">
        <x:v>0</x:v>
      </x:c>
      <x:c r="S539" s="44"/>
      <x:c r="T539" s="36" t="n">
        <x:v>0</x:v>
      </x:c>
      <x:c r="U539" s="44"/>
      <x:c r="V539" s="36" t="n">
        <x:v>0</x:v>
      </x:c>
      <x:c r="W539" s="44"/>
      <x:c r="X539" s="34" t="str">
        <x:v>no-post-undeploy-thread-signal</x:v>
      </x:c>
      <x:c r="Y539" s="44" t="str">
        <x:v>automated signatures are JCS-specific; all other candidate application threads remain unattributed and ownership requires the archived full dump</x:v>
      </x:c>
    </x:row>
    <x:row r="540">
      <x:c r="A540" s="34" t="str">
        <x:v>article1-unified-v4-2-fb3f101b-20260903-000401-default-f05-p3-jcs4</x:v>
      </x:c>
      <x:c r="B540" s="34" t="str">
        <x:v>default</x:v>
      </x:c>
      <x:c r="C540" s="34" t="str">
        <x:v>jcs4</x:v>
      </x:c>
      <x:c r="D540" s="36" t="n">
        <x:v>5</x:v>
      </x:c>
      <x:c r="E540" s="36" t="n">
        <x:v>5</x:v>
      </x:c>
      <x:c r="F540" s="36" t="n">
        <x:v>3</x:v>
      </x:c>
      <x:c r="G540" s="36" t="n">
        <x:v>5</x:v>
      </x:c>
      <x:c r="H540" s="34" t="str">
        <x:v>finalUndeployThreadEvidenceEarly</x:v>
      </x:c>
      <x:c r="I540" s="36" t="n">
        <x:v>2</x:v>
      </x:c>
      <x:c r="J540" s="34" t="str">
        <x:v>early</x:v>
      </x:c>
      <x:c r="K540" s="36" t="n">
        <x:v>27</x:v>
      </x:c>
      <x:c r="L540" s="51" t="n">
        <x:v>0</x:v>
      </x:c>
      <x:c r="M540" s="51" t="n">
        <x:v>0</x:v>
      </x:c>
      <x:c r="N540" s="36" t="n">
        <x:v>10</x:v>
      </x:c>
      <x:c r="O540" s="44" t="str">
        <x:v>http-nio-8080-exec-59#382 | http-nio-8080-exec-62#421 | http-nio-8080-exec-63#422 | http-nio-8080-exec-64#423 | http-nio-8080-exec-65#424 | http-nio-8080-exec-66#427 | http-nio-8080-exec-67#428 | http-nio-8080-exec-68#429 | http-nio-8080-exec-70#465 | http-nio-8080-exec-71#466</x:v>
      </x:c>
      <x:c r="P540" s="36" t="n">
        <x:v>9</x:v>
      </x:c>
      <x:c r="Q540" s="44" t="str">
        <x:v>http-nio-8080-exec-62#421 | http-nio-8080-exec-63#422 | http-nio-8080-exec-64#423 | http-nio-8080-exec-65#424 | http-nio-8080-exec-66#427 | http-nio-8080-exec-67#428 | http-nio-8080-exec-68#429 | http-nio-8080-exec-70#465 | http-nio-8080-exec-71#466</x:v>
      </x:c>
      <x:c r="R540" s="36" t="n">
        <x:v>0</x:v>
      </x:c>
      <x:c r="S540" s="44"/>
      <x:c r="T540" s="36" t="n">
        <x:v>0</x:v>
      </x:c>
      <x:c r="U540" s="44"/>
      <x:c r="V540" s="36" t="n">
        <x:v>0</x:v>
      </x:c>
      <x:c r="W540" s="44"/>
      <x:c r="X540" s="34" t="str">
        <x:v>no-post-undeploy-thread-signal</x:v>
      </x:c>
      <x:c r="Y540" s="44" t="str">
        <x:v>automated signatures are JCS-specific; all other candidate application threads remain unattributed and ownership requires the archived full dump</x:v>
      </x:c>
    </x:row>
    <x:row r="541">
      <x:c r="A541" s="34" t="str">
        <x:v>article1-unified-v4-2-fb3f101b-20260903-000401-default-f05-p3-jcs4</x:v>
      </x:c>
      <x:c r="B541" s="34" t="str">
        <x:v>default</x:v>
      </x:c>
      <x:c r="C541" s="34" t="str">
        <x:v>jcs4</x:v>
      </x:c>
      <x:c r="D541" s="36" t="n">
        <x:v>5</x:v>
      </x:c>
      <x:c r="E541" s="36" t="n">
        <x:v>5</x:v>
      </x:c>
      <x:c r="F541" s="36" t="n">
        <x:v>3</x:v>
      </x:c>
      <x:c r="G541" s="36" t="n">
        <x:v>5</x:v>
      </x:c>
      <x:c r="H541" s="34" t="str">
        <x:v>finalUndeployThreadEvidenceFinal</x:v>
      </x:c>
      <x:c r="I541" s="36" t="n">
        <x:v>2</x:v>
      </x:c>
      <x:c r="J541" s="34" t="str">
        <x:v>final</x:v>
      </x:c>
      <x:c r="K541" s="36" t="n">
        <x:v>27</x:v>
      </x:c>
      <x:c r="L541" s="51" t="n">
        <x:v>0</x:v>
      </x:c>
      <x:c r="M541" s="51" t="n">
        <x:v>0</x:v>
      </x:c>
      <x:c r="N541" s="36" t="n">
        <x:v>10</x:v>
      </x:c>
      <x:c r="O541" s="44" t="str">
        <x:v>http-nio-8080-exec-59#382 | http-nio-8080-exec-62#421 | http-nio-8080-exec-64#423 | http-nio-8080-exec-65#424 | http-nio-8080-exec-66#427 | http-nio-8080-exec-67#428 | http-nio-8080-exec-68#429 | http-nio-8080-exec-70#465 | http-nio-8080-exec-71#466 | http-nio-8080-exec-72#467</x:v>
      </x:c>
      <x:c r="P541" s="36" t="n">
        <x:v>9</x:v>
      </x:c>
      <x:c r="Q541" s="44" t="str">
        <x:v>http-nio-8080-exec-62#421 | http-nio-8080-exec-64#423 | http-nio-8080-exec-65#424 | http-nio-8080-exec-66#427 | http-nio-8080-exec-67#428 | http-nio-8080-exec-68#429 | http-nio-8080-exec-70#465 | http-nio-8080-exec-71#466 | http-nio-8080-exec-72#467</x:v>
      </x:c>
      <x:c r="R541" s="36" t="n">
        <x:v>0</x:v>
      </x:c>
      <x:c r="S541" s="44"/>
      <x:c r="T541" s="36" t="n">
        <x:v>0</x:v>
      </x:c>
      <x:c r="U541" s="44"/>
      <x:c r="V541" s="36" t="n">
        <x:v>0</x:v>
      </x:c>
      <x:c r="W541" s="44"/>
      <x:c r="X541" s="34" t="str">
        <x:v>no-post-undeploy-thread-signal</x:v>
      </x:c>
      <x:c r="Y541" s="44" t="str">
        <x:v>automated signatures are JCS-specific; all other candidate application threads remain unattributed and ownership requires the archived full dump</x:v>
      </x:c>
    </x:row>
    <x:row r="542">
      <x:c r="A542" s="34" t="str">
        <x:v>article1-unified-v4-2-fb3f101b-20260903-000401-default-f05-p4-caffeine</x:v>
      </x:c>
      <x:c r="B542" s="34" t="str">
        <x:v>default</x:v>
      </x:c>
      <x:c r="C542" s="34" t="str">
        <x:v>caffeine</x:v>
      </x:c>
      <x:c r="D542" s="36" t="n">
        <x:v>5</x:v>
      </x:c>
      <x:c r="E542" s="36" t="n">
        <x:v>5</x:v>
      </x:c>
      <x:c r="F542" s="36" t="n">
        <x:v>4</x:v>
      </x:c>
      <x:c r="G542" s="36" t="n">
        <x:v>1</x:v>
      </x:c>
      <x:c r="H542" s="34" t="str">
        <x:v>firstUndeployThreadEvidenceEarly</x:v>
      </x:c>
      <x:c r="I542" s="36" t="n">
        <x:v>1</x:v>
      </x:c>
      <x:c r="J542" s="34" t="str">
        <x:v>early</x:v>
      </x:c>
      <x:c r="K542" s="36" t="n">
        <x:v>30</x:v>
      </x:c>
      <x:c r="L542" s="51" t="n">
        <x:v>3</x:v>
      </x:c>
      <x:c r="M542" s="51" t="n">
        <x:v>3</x:v>
      </x:c>
      <x:c r="N542" s="36" t="n">
        <x:v>5</x:v>
      </x:c>
      <x:c r="O542" s="44" t="str">
        <x:v>ForkJoinPool.commonPool-worker-1#48 | ForkJoinPool.commonPool-worker-2#49 | ForkJoinPool.commonPool-worker-3#58 | http-nio-8080-exec-11#83 | http-nio-8080-exec-12#84</x:v>
      </x:c>
      <x:c r="P542" s="36" t="n">
        <x:v>5</x:v>
      </x:c>
      <x:c r="Q542" s="44" t="str">
        <x:v>ForkJoinPool.commonPool-worker-1#48 | ForkJoinPool.commonPool-worker-2#49 | ForkJoinPool.commonPool-worker-3#58 | http-nio-8080-exec-11#83 | http-nio-8080-exec-12#84</x:v>
      </x:c>
      <x:c r="R542" s="36" t="n">
        <x:v>3</x:v>
      </x:c>
      <x:c r="S542" s="44" t="str">
        <x:v>ForkJoinPool.commonPool-worker-1#48 | ForkJoinPool.commonPool-worker-2#49 | ForkJoinPool.commonPool-worker-3#58</x:v>
      </x:c>
      <x:c r="T542" s="36" t="n">
        <x:v>3</x:v>
      </x:c>
      <x:c r="U542" s="44" t="str">
        <x:v>ForkJoinPool.commonPool-worker-1#48 | ForkJoinPool.commonPool-worker-2#49 | ForkJoinPool.commonPool-worker-3#58</x:v>
      </x:c>
      <x:c r="V542" s="36" t="n">
        <x:v>0</x:v>
      </x:c>
      <x:c r="W542" s="44"/>
      <x:c r="X542" s="34" t="str">
        <x:v>unattributed-thread-signal</x:v>
      </x:c>
      <x:c r="Y542" s="44" t="str">
        <x:v>automated signatures are JCS-specific; all other candidate application threads remain unattributed and ownership requires the archived full dump</x:v>
      </x:c>
    </x:row>
    <x:row r="543">
      <x:c r="A543" s="34" t="str">
        <x:v>article1-unified-v4-2-fb3f101b-20260903-000401-default-f05-p4-caffeine</x:v>
      </x:c>
      <x:c r="B543" s="34" t="str">
        <x:v>default</x:v>
      </x:c>
      <x:c r="C543" s="34" t="str">
        <x:v>caffeine</x:v>
      </x:c>
      <x:c r="D543" s="36" t="n">
        <x:v>5</x:v>
      </x:c>
      <x:c r="E543" s="36" t="n">
        <x:v>5</x:v>
      </x:c>
      <x:c r="F543" s="36" t="n">
        <x:v>4</x:v>
      </x:c>
      <x:c r="G543" s="36" t="n">
        <x:v>1</x:v>
      </x:c>
      <x:c r="H543" s="34" t="str">
        <x:v>firstUndeployThreadEvidenceFinal</x:v>
      </x:c>
      <x:c r="I543" s="36" t="n">
        <x:v>1</x:v>
      </x:c>
      <x:c r="J543" s="34" t="str">
        <x:v>final</x:v>
      </x:c>
      <x:c r="K543" s="36" t="n">
        <x:v>30</x:v>
      </x:c>
      <x:c r="L543" s="51" t="n">
        <x:v>3</x:v>
      </x:c>
      <x:c r="M543" s="51" t="n">
        <x:v>3</x:v>
      </x:c>
      <x:c r="N543" s="36" t="n">
        <x:v>6</x:v>
      </x:c>
      <x:c r="O543" s="44" t="str">
        <x:v>ForkJoinPool.commonPool-worker-1#48 | ForkJoinPool.commonPool-worker-2#49 | ForkJoinPool.commonPool-worker-3#58 | http-nio-8080-exec-11#83 | http-nio-8080-exec-12#84 | http-nio-8080-exec-13#85</x:v>
      </x:c>
      <x:c r="P543" s="36" t="n">
        <x:v>6</x:v>
      </x:c>
      <x:c r="Q543" s="44" t="str">
        <x:v>ForkJoinPool.commonPool-worker-1#48 | ForkJoinPool.commonPool-worker-2#49 | ForkJoinPool.commonPool-worker-3#58 | http-nio-8080-exec-11#83 | http-nio-8080-exec-12#84 | http-nio-8080-exec-13#85</x:v>
      </x:c>
      <x:c r="R543" s="36" t="n">
        <x:v>3</x:v>
      </x:c>
      <x:c r="S543" s="44" t="str">
        <x:v>ForkJoinPool.commonPool-worker-1#48 | ForkJoinPool.commonPool-worker-2#49 | ForkJoinPool.commonPool-worker-3#58</x:v>
      </x:c>
      <x:c r="T543" s="36" t="n">
        <x:v>3</x:v>
      </x:c>
      <x:c r="U543" s="44" t="str">
        <x:v>ForkJoinPool.commonPool-worker-1#48 | ForkJoinPool.commonPool-worker-2#49 | ForkJoinPool.commonPool-worker-3#58</x:v>
      </x:c>
      <x:c r="V543" s="36" t="n">
        <x:v>0</x:v>
      </x:c>
      <x:c r="W543" s="44"/>
      <x:c r="X543" s="34" t="str">
        <x:v>unattributed-thread-signal</x:v>
      </x:c>
      <x:c r="Y543" s="44" t="str">
        <x:v>automated signatures are JCS-specific; all other candidate application threads remain unattributed and ownership requires the archived full dump</x:v>
      </x:c>
    </x:row>
    <x:row r="544">
      <x:c r="A544" s="34" t="str">
        <x:v>article1-unified-v4-2-fb3f101b-20260903-000401-default-f05-p4-caffeine</x:v>
      </x:c>
      <x:c r="B544" s="34" t="str">
        <x:v>default</x:v>
      </x:c>
      <x:c r="C544" s="34" t="str">
        <x:v>caffeine</x:v>
      </x:c>
      <x:c r="D544" s="36" t="n">
        <x:v>5</x:v>
      </x:c>
      <x:c r="E544" s="36" t="n">
        <x:v>5</x:v>
      </x:c>
      <x:c r="F544" s="36" t="n">
        <x:v>4</x:v>
      </x:c>
      <x:c r="G544" s="36" t="n">
        <x:v>1</x:v>
      </x:c>
      <x:c r="H544" s="34" t="str">
        <x:v>finalUndeployThreadEvidenceEarly</x:v>
      </x:c>
      <x:c r="I544" s="36" t="n">
        <x:v>2</x:v>
      </x:c>
      <x:c r="J544" s="34" t="str">
        <x:v>early</x:v>
      </x:c>
      <x:c r="K544" s="36" t="n">
        <x:v>30</x:v>
      </x:c>
      <x:c r="L544" s="51" t="n">
        <x:v>3</x:v>
      </x:c>
      <x:c r="M544" s="51" t="n">
        <x:v>3</x:v>
      </x:c>
      <x:c r="N544" s="36" t="n">
        <x:v>11</x:v>
      </x:c>
      <x:c r="O544" s="44" t="str">
        <x:v>ForkJoinPool.commonPool-worker-1#48 | ForkJoinPool.commonPool-worker-2#49 | ForkJoinPool.commonPool-worker-3#58 | http-nio-8080-exec-11#83 | http-nio-8080-exec-13#85 | http-nio-8080-exec-14#88 | http-nio-8080-exec-15#89 | http-nio-8080-exec-16#90 | http-nio-8080-exec-17#123 | http-nio-8080-exec-18#124 | http-nio-8080-exec-19#125</x:v>
      </x:c>
      <x:c r="P544" s="36" t="n">
        <x:v>11</x:v>
      </x:c>
      <x:c r="Q544" s="44" t="str">
        <x:v>ForkJoinPool.commonPool-worker-1#48 | ForkJoinPool.commonPool-worker-2#49 | ForkJoinPool.commonPool-worker-3#58 | http-nio-8080-exec-11#83 | http-nio-8080-exec-13#85 | http-nio-8080-exec-14#88 | http-nio-8080-exec-15#89 | http-nio-8080-exec-16#90 | http-nio-8080-exec-17#123 | http-nio-8080-exec-18#124 | http-nio-8080-exec-19#125</x:v>
      </x:c>
      <x:c r="R544" s="36" t="n">
        <x:v>3</x:v>
      </x:c>
      <x:c r="S544" s="44" t="str">
        <x:v>ForkJoinPool.commonPool-worker-1#48 | ForkJoinPool.commonPool-worker-2#49 | ForkJoinPool.commonPool-worker-3#58</x:v>
      </x:c>
      <x:c r="T544" s="36" t="n">
        <x:v>3</x:v>
      </x:c>
      <x:c r="U544" s="44" t="str">
        <x:v>ForkJoinPool.commonPool-worker-1#48 | ForkJoinPool.commonPool-worker-2#49 | ForkJoinPool.commonPool-worker-3#58</x:v>
      </x:c>
      <x:c r="V544" s="36" t="n">
        <x:v>0</x:v>
      </x:c>
      <x:c r="W544" s="44"/>
      <x:c r="X544" s="34" t="str">
        <x:v>unattributed-thread-signal</x:v>
      </x:c>
      <x:c r="Y544" s="44" t="str">
        <x:v>automated signatures are JCS-specific; all other candidate application threads remain unattributed and ownership requires the archived full dump</x:v>
      </x:c>
    </x:row>
    <x:row r="545">
      <x:c r="A545" s="34" t="str">
        <x:v>article1-unified-v4-2-fb3f101b-20260903-000401-default-f05-p4-caffeine</x:v>
      </x:c>
      <x:c r="B545" s="34" t="str">
        <x:v>default</x:v>
      </x:c>
      <x:c r="C545" s="34" t="str">
        <x:v>caffeine</x:v>
      </x:c>
      <x:c r="D545" s="36" t="n">
        <x:v>5</x:v>
      </x:c>
      <x:c r="E545" s="36" t="n">
        <x:v>5</x:v>
      </x:c>
      <x:c r="F545" s="36" t="n">
        <x:v>4</x:v>
      </x:c>
      <x:c r="G545" s="36" t="n">
        <x:v>1</x:v>
      </x:c>
      <x:c r="H545" s="34" t="str">
        <x:v>finalUndeployThreadEvidenceFinal</x:v>
      </x:c>
      <x:c r="I545" s="36" t="n">
        <x:v>2</x:v>
      </x:c>
      <x:c r="J545" s="34" t="str">
        <x:v>final</x:v>
      </x:c>
      <x:c r="K545" s="36" t="n">
        <x:v>30</x:v>
      </x:c>
      <x:c r="L545" s="51" t="n">
        <x:v>3</x:v>
      </x:c>
      <x:c r="M545" s="51" t="n">
        <x:v>3</x:v>
      </x:c>
      <x:c r="N545" s="36" t="n">
        <x:v>11</x:v>
      </x:c>
      <x:c r="O545" s="44" t="str">
        <x:v>ForkJoinPool.commonPool-worker-1#48 | ForkJoinPool.commonPool-worker-2#49 | ForkJoinPool.commonPool-worker-3#58 | http-nio-8080-exec-11#83 | http-nio-8080-exec-13#85 | http-nio-8080-exec-14#88 | http-nio-8080-exec-15#89 | http-nio-8080-exec-16#90 | http-nio-8080-exec-18#124 | http-nio-8080-exec-19#125 | http-nio-8080-exec-20#126</x:v>
      </x:c>
      <x:c r="P545" s="36" t="n">
        <x:v>11</x:v>
      </x:c>
      <x:c r="Q545" s="44" t="str">
        <x:v>ForkJoinPool.commonPool-worker-1#48 | ForkJoinPool.commonPool-worker-2#49 | ForkJoinPool.commonPool-worker-3#58 | http-nio-8080-exec-11#83 | http-nio-8080-exec-13#85 | http-nio-8080-exec-14#88 | http-nio-8080-exec-15#89 | http-nio-8080-exec-16#90 | http-nio-8080-exec-18#124 | http-nio-8080-exec-19#125 | http-nio-8080-exec-20#126</x:v>
      </x:c>
      <x:c r="R545" s="36" t="n">
        <x:v>3</x:v>
      </x:c>
      <x:c r="S545" s="44" t="str">
        <x:v>ForkJoinPool.commonPool-worker-1#48 | ForkJoinPool.commonPool-worker-2#49 | ForkJoinPool.commonPool-worker-3#58</x:v>
      </x:c>
      <x:c r="T545" s="36" t="n">
        <x:v>3</x:v>
      </x:c>
      <x:c r="U545" s="44" t="str">
        <x:v>ForkJoinPool.commonPool-worker-1#48 | ForkJoinPool.commonPool-worker-2#49 | ForkJoinPool.commonPool-worker-3#58</x:v>
      </x:c>
      <x:c r="V545" s="36" t="n">
        <x:v>0</x:v>
      </x:c>
      <x:c r="W545" s="44"/>
      <x:c r="X545" s="34" t="str">
        <x:v>unattributed-thread-signal</x:v>
      </x:c>
      <x:c r="Y545" s="44" t="str">
        <x:v>automated signatures are JCS-specific; all other candidate application threads remain unattributed and ownership requires the archived full dump</x:v>
      </x:c>
    </x:row>
    <x:row r="546">
      <x:c r="A546" s="34" t="str">
        <x:v>article1-unified-v4-2-fb3f101b-20260903-000401-default-f05-p4-caffeine</x:v>
      </x:c>
      <x:c r="B546" s="34" t="str">
        <x:v>default</x:v>
      </x:c>
      <x:c r="C546" s="34" t="str">
        <x:v>caffeine</x:v>
      </x:c>
      <x:c r="D546" s="36" t="n">
        <x:v>5</x:v>
      </x:c>
      <x:c r="E546" s="36" t="n">
        <x:v>5</x:v>
      </x:c>
      <x:c r="F546" s="36" t="n">
        <x:v>4</x:v>
      </x:c>
      <x:c r="G546" s="36" t="n">
        <x:v>2</x:v>
      </x:c>
      <x:c r="H546" s="34" t="str">
        <x:v>firstUndeployThreadEvidenceEarly</x:v>
      </x:c>
      <x:c r="I546" s="36" t="n">
        <x:v>1</x:v>
      </x:c>
      <x:c r="J546" s="34" t="str">
        <x:v>early</x:v>
      </x:c>
      <x:c r="K546" s="36" t="n">
        <x:v>30</x:v>
      </x:c>
      <x:c r="L546" s="51" t="n">
        <x:v>3</x:v>
      </x:c>
      <x:c r="M546" s="51" t="n">
        <x:v>0</x:v>
      </x:c>
      <x:c r="N546" s="36" t="n">
        <x:v>12</x:v>
      </x:c>
      <x:c r="O546" s="44" t="str">
        <x:v>ForkJoinPool.commonPool-worker-1#48 | ForkJoinPool.commonPool-worker-2#49 | ForkJoinPool.commonPool-worker-3#58 | http-nio-8080-exec-11#83 | http-nio-8080-exec-13#85 | http-nio-8080-exec-18#124 | http-nio-8080-exec-19#125 | http-nio-8080-exec-20#126 | http-nio-8080-exec-21#129 | http-nio-8080-exec-23#163 | http-nio-8080-exec-24#164 | http-nio-8080-exec-25#165</x:v>
      </x:c>
      <x:c r="P546" s="36" t="n">
        <x:v>4</x:v>
      </x:c>
      <x:c r="Q546" s="44" t="str">
        <x:v>http-nio-8080-exec-21#129 | http-nio-8080-exec-23#163 | http-nio-8080-exec-24#164 | http-nio-8080-exec-25#165</x:v>
      </x:c>
      <x:c r="R546" s="36" t="n">
        <x:v>3</x:v>
      </x:c>
      <x:c r="S546" s="44" t="str">
        <x:v>ForkJoinPool.commonPool-worker-1#48 | ForkJoinPool.commonPool-worker-2#49 | ForkJoinPool.commonPool-worker-3#58</x:v>
      </x:c>
      <x:c r="T546" s="36" t="n">
        <x:v>0</x:v>
      </x:c>
      <x:c r="U546" s="44"/>
      <x:c r="V546" s="36" t="n">
        <x:v>0</x:v>
      </x:c>
      <x:c r="W546" s="44"/>
      <x:c r="X546" s="34" t="str">
        <x:v>unattributed-thread-signal</x:v>
      </x:c>
      <x:c r="Y546" s="44" t="str">
        <x:v>automated signatures are JCS-specific; all other candidate application threads remain unattributed and ownership requires the archived full dump</x:v>
      </x:c>
    </x:row>
    <x:row r="547">
      <x:c r="A547" s="34" t="str">
        <x:v>article1-unified-v4-2-fb3f101b-20260903-000401-default-f05-p4-caffeine</x:v>
      </x:c>
      <x:c r="B547" s="34" t="str">
        <x:v>default</x:v>
      </x:c>
      <x:c r="C547" s="34" t="str">
        <x:v>caffeine</x:v>
      </x:c>
      <x:c r="D547" s="36" t="n">
        <x:v>5</x:v>
      </x:c>
      <x:c r="E547" s="36" t="n">
        <x:v>5</x:v>
      </x:c>
      <x:c r="F547" s="36" t="n">
        <x:v>4</x:v>
      </x:c>
      <x:c r="G547" s="36" t="n">
        <x:v>2</x:v>
      </x:c>
      <x:c r="H547" s="34" t="str">
        <x:v>firstUndeployThreadEvidenceFinal</x:v>
      </x:c>
      <x:c r="I547" s="36" t="n">
        <x:v>1</x:v>
      </x:c>
      <x:c r="J547" s="34" t="str">
        <x:v>final</x:v>
      </x:c>
      <x:c r="K547" s="36" t="n">
        <x:v>30</x:v>
      </x:c>
      <x:c r="L547" s="51" t="n">
        <x:v>3</x:v>
      </x:c>
      <x:c r="M547" s="51" t="n">
        <x:v>0</x:v>
      </x:c>
      <x:c r="N547" s="36" t="n">
        <x:v>12</x:v>
      </x:c>
      <x:c r="O547" s="44" t="str">
        <x:v>ForkJoinPool.commonPool-worker-1#48 | ForkJoinPool.commonPool-worker-2#49 | ForkJoinPool.commonPool-worker-3#58 | http-nio-8080-exec-11#83 | http-nio-8080-exec-13#85 | http-nio-8080-exec-18#124 | http-nio-8080-exec-19#125 | http-nio-8080-exec-20#126 | http-nio-8080-exec-21#129 | http-nio-8080-exec-24#164 | http-nio-8080-exec-25#165 | http-nio-8080-exec-26#166</x:v>
      </x:c>
      <x:c r="P547" s="36" t="n">
        <x:v>4</x:v>
      </x:c>
      <x:c r="Q547" s="44" t="str">
        <x:v>http-nio-8080-exec-21#129 | http-nio-8080-exec-24#164 | http-nio-8080-exec-25#165 | http-nio-8080-exec-26#166</x:v>
      </x:c>
      <x:c r="R547" s="36" t="n">
        <x:v>3</x:v>
      </x:c>
      <x:c r="S547" s="44" t="str">
        <x:v>ForkJoinPool.commonPool-worker-1#48 | ForkJoinPool.commonPool-worker-2#49 | ForkJoinPool.commonPool-worker-3#58</x:v>
      </x:c>
      <x:c r="T547" s="36" t="n">
        <x:v>0</x:v>
      </x:c>
      <x:c r="U547" s="44"/>
      <x:c r="V547" s="36" t="n">
        <x:v>0</x:v>
      </x:c>
      <x:c r="W547" s="44"/>
      <x:c r="X547" s="34" t="str">
        <x:v>unattributed-thread-signal</x:v>
      </x:c>
      <x:c r="Y547" s="44" t="str">
        <x:v>automated signatures are JCS-specific; all other candidate application threads remain unattributed and ownership requires the archived full dump</x:v>
      </x:c>
    </x:row>
    <x:row r="548">
      <x:c r="A548" s="34" t="str">
        <x:v>article1-unified-v4-2-fb3f101b-20260903-000401-default-f05-p4-caffeine</x:v>
      </x:c>
      <x:c r="B548" s="34" t="str">
        <x:v>default</x:v>
      </x:c>
      <x:c r="C548" s="34" t="str">
        <x:v>caffeine</x:v>
      </x:c>
      <x:c r="D548" s="36" t="n">
        <x:v>5</x:v>
      </x:c>
      <x:c r="E548" s="36" t="n">
        <x:v>5</x:v>
      </x:c>
      <x:c r="F548" s="36" t="n">
        <x:v>4</x:v>
      </x:c>
      <x:c r="G548" s="36" t="n">
        <x:v>2</x:v>
      </x:c>
      <x:c r="H548" s="34" t="str">
        <x:v>finalUndeployThreadEvidenceEarly</x:v>
      </x:c>
      <x:c r="I548" s="36" t="n">
        <x:v>2</x:v>
      </x:c>
      <x:c r="J548" s="34" t="str">
        <x:v>early</x:v>
      </x:c>
      <x:c r="K548" s="36" t="n">
        <x:v>30</x:v>
      </x:c>
      <x:c r="L548" s="51" t="n">
        <x:v>3</x:v>
      </x:c>
      <x:c r="M548" s="51" t="n">
        <x:v>0</x:v>
      </x:c>
      <x:c r="N548" s="36" t="n">
        <x:v>12</x:v>
      </x:c>
      <x:c r="O548" s="44" t="str">
        <x:v>ForkJoinPool.commonPool-worker-1#48 | ForkJoinPool.commonPool-worker-2#49 | ForkJoinPool.commonPool-worker-3#58 | http-nio-8080-exec-18#124 | http-nio-8080-exec-24#164 | http-nio-8080-exec-26#166 | http-nio-8080-exec-27#169 | http-nio-8080-exec-28#170 | http-nio-8080-exec-29#171 | http-nio-8080-exec-30#204 | http-nio-8080-exec-31#205 | http-nio-8080-exec-32#206</x:v>
      </x:c>
      <x:c r="P548" s="36" t="n">
        <x:v>8</x:v>
      </x:c>
      <x:c r="Q548" s="44" t="str">
        <x:v>http-nio-8080-exec-24#164 | http-nio-8080-exec-26#166 | http-nio-8080-exec-27#169 | http-nio-8080-exec-28#170 | http-nio-8080-exec-29#171 | http-nio-8080-exec-30#204 | http-nio-8080-exec-31#205 | http-nio-8080-exec-32#206</x:v>
      </x:c>
      <x:c r="R548" s="36" t="n">
        <x:v>3</x:v>
      </x:c>
      <x:c r="S548" s="44" t="str">
        <x:v>ForkJoinPool.commonPool-worker-1#48 | ForkJoinPool.commonPool-worker-2#49 | ForkJoinPool.commonPool-worker-3#58</x:v>
      </x:c>
      <x:c r="T548" s="36" t="n">
        <x:v>0</x:v>
      </x:c>
      <x:c r="U548" s="44"/>
      <x:c r="V548" s="36" t="n">
        <x:v>0</x:v>
      </x:c>
      <x:c r="W548" s="44"/>
      <x:c r="X548" s="34" t="str">
        <x:v>unattributed-thread-signal</x:v>
      </x:c>
      <x:c r="Y548" s="44" t="str">
        <x:v>automated signatures are JCS-specific; all other candidate application threads remain unattributed and ownership requires the archived full dump</x:v>
      </x:c>
    </x:row>
    <x:row r="549">
      <x:c r="A549" s="34" t="str">
        <x:v>article1-unified-v4-2-fb3f101b-20260903-000401-default-f05-p4-caffeine</x:v>
      </x:c>
      <x:c r="B549" s="34" t="str">
        <x:v>default</x:v>
      </x:c>
      <x:c r="C549" s="34" t="str">
        <x:v>caffeine</x:v>
      </x:c>
      <x:c r="D549" s="36" t="n">
        <x:v>5</x:v>
      </x:c>
      <x:c r="E549" s="36" t="n">
        <x:v>5</x:v>
      </x:c>
      <x:c r="F549" s="36" t="n">
        <x:v>4</x:v>
      </x:c>
      <x:c r="G549" s="36" t="n">
        <x:v>2</x:v>
      </x:c>
      <x:c r="H549" s="34" t="str">
        <x:v>finalUndeployThreadEvidenceFinal</x:v>
      </x:c>
      <x:c r="I549" s="36" t="n">
        <x:v>2</x:v>
      </x:c>
      <x:c r="J549" s="34" t="str">
        <x:v>final</x:v>
      </x:c>
      <x:c r="K549" s="36" t="n">
        <x:v>30</x:v>
      </x:c>
      <x:c r="L549" s="51" t="n">
        <x:v>3</x:v>
      </x:c>
      <x:c r="M549" s="51" t="n">
        <x:v>0</x:v>
      </x:c>
      <x:c r="N549" s="36" t="n">
        <x:v>12</x:v>
      </x:c>
      <x:c r="O549" s="44" t="str">
        <x:v>ForkJoinPool.commonPool-worker-1#48 | ForkJoinPool.commonPool-worker-2#49 | ForkJoinPool.commonPool-worker-3#58 | http-nio-8080-exec-18#124 | http-nio-8080-exec-24#164 | http-nio-8080-exec-26#166 | http-nio-8080-exec-27#169 | http-nio-8080-exec-29#171 | http-nio-8080-exec-30#204 | http-nio-8080-exec-31#205 | http-nio-8080-exec-32#206 | http-nio-8080-exec-33#207</x:v>
      </x:c>
      <x:c r="P549" s="36" t="n">
        <x:v>8</x:v>
      </x:c>
      <x:c r="Q549" s="44" t="str">
        <x:v>http-nio-8080-exec-24#164 | http-nio-8080-exec-26#166 | http-nio-8080-exec-27#169 | http-nio-8080-exec-29#171 | http-nio-8080-exec-30#204 | http-nio-8080-exec-31#205 | http-nio-8080-exec-32#206 | http-nio-8080-exec-33#207</x:v>
      </x:c>
      <x:c r="R549" s="36" t="n">
        <x:v>3</x:v>
      </x:c>
      <x:c r="S549" s="44" t="str">
        <x:v>ForkJoinPool.commonPool-worker-1#48 | ForkJoinPool.commonPool-worker-2#49 | ForkJoinPool.commonPool-worker-3#58</x:v>
      </x:c>
      <x:c r="T549" s="36" t="n">
        <x:v>0</x:v>
      </x:c>
      <x:c r="U549" s="44"/>
      <x:c r="V549" s="36" t="n">
        <x:v>0</x:v>
      </x:c>
      <x:c r="W549" s="44"/>
      <x:c r="X549" s="34" t="str">
        <x:v>unattributed-thread-signal</x:v>
      </x:c>
      <x:c r="Y549" s="44" t="str">
        <x:v>automated signatures are JCS-specific; all other candidate application threads remain unattributed and ownership requires the archived full dump</x:v>
      </x:c>
    </x:row>
    <x:row r="550">
      <x:c r="A550" s="34" t="str">
        <x:v>article1-unified-v4-2-fb3f101b-20260903-000401-default-f05-p4-caffeine</x:v>
      </x:c>
      <x:c r="B550" s="34" t="str">
        <x:v>default</x:v>
      </x:c>
      <x:c r="C550" s="34" t="str">
        <x:v>caffeine</x:v>
      </x:c>
      <x:c r="D550" s="36" t="n">
        <x:v>5</x:v>
      </x:c>
      <x:c r="E550" s="36" t="n">
        <x:v>5</x:v>
      </x:c>
      <x:c r="F550" s="36" t="n">
        <x:v>4</x:v>
      </x:c>
      <x:c r="G550" s="36" t="n">
        <x:v>3</x:v>
      </x:c>
      <x:c r="H550" s="34" t="str">
        <x:v>firstUndeployThreadEvidenceEarly</x:v>
      </x:c>
      <x:c r="I550" s="36" t="n">
        <x:v>1</x:v>
      </x:c>
      <x:c r="J550" s="34" t="str">
        <x:v>early</x:v>
      </x:c>
      <x:c r="K550" s="36" t="n">
        <x:v>30</x:v>
      </x:c>
      <x:c r="L550" s="51" t="n">
        <x:v>3</x:v>
      </x:c>
      <x:c r="M550" s="51" t="n">
        <x:v>0</x:v>
      </x:c>
      <x:c r="N550" s="36" t="n">
        <x:v>12</x:v>
      </x:c>
      <x:c r="O550" s="44" t="str">
        <x:v>ForkJoinPool.commonPool-worker-1#48 | ForkJoinPool.commonPool-worker-2#49 | ForkJoinPool.commonPool-worker-3#58 | http-nio-8080-exec-18#124 | http-nio-8080-exec-26#166 | http-nio-8080-exec-31#205 | http-nio-8080-exec-32#206 | http-nio-8080-exec-33#207 | http-nio-8080-exec-34#210 | http-nio-8080-exec-36#244 | http-nio-8080-exec-37#245 | http-nio-8080-exec-38#246</x:v>
      </x:c>
      <x:c r="P550" s="36" t="n">
        <x:v>4</x:v>
      </x:c>
      <x:c r="Q550" s="44" t="str">
        <x:v>http-nio-8080-exec-34#210 | http-nio-8080-exec-36#244 | http-nio-8080-exec-37#245 | http-nio-8080-exec-38#246</x:v>
      </x:c>
      <x:c r="R550" s="36" t="n">
        <x:v>3</x:v>
      </x:c>
      <x:c r="S550" s="44" t="str">
        <x:v>ForkJoinPool.commonPool-worker-1#48 | ForkJoinPool.commonPool-worker-2#49 | ForkJoinPool.commonPool-worker-3#58</x:v>
      </x:c>
      <x:c r="T550" s="36" t="n">
        <x:v>0</x:v>
      </x:c>
      <x:c r="U550" s="44"/>
      <x:c r="V550" s="36" t="n">
        <x:v>0</x:v>
      </x:c>
      <x:c r="W550" s="44"/>
      <x:c r="X550" s="34" t="str">
        <x:v>unattributed-thread-signal</x:v>
      </x:c>
      <x:c r="Y550" s="44" t="str">
        <x:v>automated signatures are JCS-specific; all other candidate application threads remain unattributed and ownership requires the archived full dump</x:v>
      </x:c>
    </x:row>
    <x:row r="551">
      <x:c r="A551" s="34" t="str">
        <x:v>article1-unified-v4-2-fb3f101b-20260903-000401-default-f05-p4-caffeine</x:v>
      </x:c>
      <x:c r="B551" s="34" t="str">
        <x:v>default</x:v>
      </x:c>
      <x:c r="C551" s="34" t="str">
        <x:v>caffeine</x:v>
      </x:c>
      <x:c r="D551" s="36" t="n">
        <x:v>5</x:v>
      </x:c>
      <x:c r="E551" s="36" t="n">
        <x:v>5</x:v>
      </x:c>
      <x:c r="F551" s="36" t="n">
        <x:v>4</x:v>
      </x:c>
      <x:c r="G551" s="36" t="n">
        <x:v>3</x:v>
      </x:c>
      <x:c r="H551" s="34" t="str">
        <x:v>firstUndeployThreadEvidenceFinal</x:v>
      </x:c>
      <x:c r="I551" s="36" t="n">
        <x:v>1</x:v>
      </x:c>
      <x:c r="J551" s="34" t="str">
        <x:v>final</x:v>
      </x:c>
      <x:c r="K551" s="36" t="n">
        <x:v>30</x:v>
      </x:c>
      <x:c r="L551" s="51" t="n">
        <x:v>3</x:v>
      </x:c>
      <x:c r="M551" s="51" t="n">
        <x:v>0</x:v>
      </x:c>
      <x:c r="N551" s="36" t="n">
        <x:v>12</x:v>
      </x:c>
      <x:c r="O551" s="44" t="str">
        <x:v>ForkJoinPool.commonPool-worker-1#48 | ForkJoinPool.commonPool-worker-2#49 | ForkJoinPool.commonPool-worker-3#58 | http-nio-8080-exec-18#124 | http-nio-8080-exec-26#166 | http-nio-8080-exec-31#205 | http-nio-8080-exec-32#206 | http-nio-8080-exec-34#210 | http-nio-8080-exec-36#244 | http-nio-8080-exec-37#245 | http-nio-8080-exec-38#246 | http-nio-8080-exec-39#247</x:v>
      </x:c>
      <x:c r="P551" s="36" t="n">
        <x:v>5</x:v>
      </x:c>
      <x:c r="Q551" s="44" t="str">
        <x:v>http-nio-8080-exec-34#210 | http-nio-8080-exec-36#244 | http-nio-8080-exec-37#245 | http-nio-8080-exec-38#246 | http-nio-8080-exec-39#247</x:v>
      </x:c>
      <x:c r="R551" s="36" t="n">
        <x:v>3</x:v>
      </x:c>
      <x:c r="S551" s="44" t="str">
        <x:v>ForkJoinPool.commonPool-worker-1#48 | ForkJoinPool.commonPool-worker-2#49 | ForkJoinPool.commonPool-worker-3#58</x:v>
      </x:c>
      <x:c r="T551" s="36" t="n">
        <x:v>0</x:v>
      </x:c>
      <x:c r="U551" s="44"/>
      <x:c r="V551" s="36" t="n">
        <x:v>0</x:v>
      </x:c>
      <x:c r="W551" s="44"/>
      <x:c r="X551" s="34" t="str">
        <x:v>unattributed-thread-signal</x:v>
      </x:c>
      <x:c r="Y551" s="44" t="str">
        <x:v>automated signatures are JCS-specific; all other candidate application threads remain unattributed and ownership requires the archived full dump</x:v>
      </x:c>
    </x:row>
    <x:row r="552">
      <x:c r="A552" s="34" t="str">
        <x:v>article1-unified-v4-2-fb3f101b-20260903-000401-default-f05-p4-caffeine</x:v>
      </x:c>
      <x:c r="B552" s="34" t="str">
        <x:v>default</x:v>
      </x:c>
      <x:c r="C552" s="34" t="str">
        <x:v>caffeine</x:v>
      </x:c>
      <x:c r="D552" s="36" t="n">
        <x:v>5</x:v>
      </x:c>
      <x:c r="E552" s="36" t="n">
        <x:v>5</x:v>
      </x:c>
      <x:c r="F552" s="36" t="n">
        <x:v>4</x:v>
      </x:c>
      <x:c r="G552" s="36" t="n">
        <x:v>3</x:v>
      </x:c>
      <x:c r="H552" s="34" t="str">
        <x:v>finalUndeployThreadEvidenceEarly</x:v>
      </x:c>
      <x:c r="I552" s="36" t="n">
        <x:v>2</x:v>
      </x:c>
      <x:c r="J552" s="34" t="str">
        <x:v>early</x:v>
      </x:c>
      <x:c r="K552" s="36" t="n">
        <x:v>30</x:v>
      </x:c>
      <x:c r="L552" s="51" t="n">
        <x:v>3</x:v>
      </x:c>
      <x:c r="M552" s="51" t="n">
        <x:v>0</x:v>
      </x:c>
      <x:c r="N552" s="36" t="n">
        <x:v>13</x:v>
      </x:c>
      <x:c r="O552" s="44" t="str">
        <x:v>ForkJoinPool.commonPool-worker-1#48 | ForkJoinPool.commonPool-worker-2#49 | ForkJoinPool.commonPool-worker-3#58 | http-nio-8080-exec-18#124 | http-nio-8080-exec-36#244 | http-nio-8080-exec-37#245 | http-nio-8080-exec-38#246 | http-nio-8080-exec-39#247 | http-nio-8080-exec-41#251 | http-nio-8080-exec-42#252 | http-nio-8080-exec-43#285 | http-nio-8080-exec-44#286 | http-nio-8080-exec-45#287</x:v>
      </x:c>
      <x:c r="P552" s="36" t="n">
        <x:v>9</x:v>
      </x:c>
      <x:c r="Q552" s="44" t="str">
        <x:v>http-nio-8080-exec-36#244 | http-nio-8080-exec-37#245 | http-nio-8080-exec-38#246 | http-nio-8080-exec-39#247 | http-nio-8080-exec-41#251 | http-nio-8080-exec-42#252 | http-nio-8080-exec-43#285 | http-nio-8080-exec-44#286 | http-nio-8080-exec-45#287</x:v>
      </x:c>
      <x:c r="R552" s="36" t="n">
        <x:v>3</x:v>
      </x:c>
      <x:c r="S552" s="44" t="str">
        <x:v>ForkJoinPool.commonPool-worker-1#48 | ForkJoinPool.commonPool-worker-2#49 | ForkJoinPool.commonPool-worker-3#58</x:v>
      </x:c>
      <x:c r="T552" s="36" t="n">
        <x:v>0</x:v>
      </x:c>
      <x:c r="U552" s="44"/>
      <x:c r="V552" s="36" t="n">
        <x:v>0</x:v>
      </x:c>
      <x:c r="W552" s="44"/>
      <x:c r="X552" s="34" t="str">
        <x:v>unattributed-thread-signal</x:v>
      </x:c>
      <x:c r="Y552" s="44" t="str">
        <x:v>automated signatures are JCS-specific; all other candidate application threads remain unattributed and ownership requires the archived full dump</x:v>
      </x:c>
    </x:row>
    <x:row r="553">
      <x:c r="A553" s="34" t="str">
        <x:v>article1-unified-v4-2-fb3f101b-20260903-000401-default-f05-p4-caffeine</x:v>
      </x:c>
      <x:c r="B553" s="34" t="str">
        <x:v>default</x:v>
      </x:c>
      <x:c r="C553" s="34" t="str">
        <x:v>caffeine</x:v>
      </x:c>
      <x:c r="D553" s="36" t="n">
        <x:v>5</x:v>
      </x:c>
      <x:c r="E553" s="36" t="n">
        <x:v>5</x:v>
      </x:c>
      <x:c r="F553" s="36" t="n">
        <x:v>4</x:v>
      </x:c>
      <x:c r="G553" s="36" t="n">
        <x:v>3</x:v>
      </x:c>
      <x:c r="H553" s="34" t="str">
        <x:v>finalUndeployThreadEvidenceFinal</x:v>
      </x:c>
      <x:c r="I553" s="36" t="n">
        <x:v>2</x:v>
      </x:c>
      <x:c r="J553" s="34" t="str">
        <x:v>final</x:v>
      </x:c>
      <x:c r="K553" s="36" t="n">
        <x:v>30</x:v>
      </x:c>
      <x:c r="L553" s="51" t="n">
        <x:v>3</x:v>
      </x:c>
      <x:c r="M553" s="51" t="n">
        <x:v>0</x:v>
      </x:c>
      <x:c r="N553" s="36" t="n">
        <x:v>13</x:v>
      </x:c>
      <x:c r="O553" s="44" t="str">
        <x:v>ForkJoinPool.commonPool-worker-1#48 | ForkJoinPool.commonPool-worker-2#49 | ForkJoinPool.commonPool-worker-3#58 | http-nio-8080-exec-18#124 | http-nio-8080-exec-37#245 | http-nio-8080-exec-38#246 | http-nio-8080-exec-39#247 | http-nio-8080-exec-41#251 | http-nio-8080-exec-42#252 | http-nio-8080-exec-43#285 | http-nio-8080-exec-44#286 | http-nio-8080-exec-45#287 | http-nio-8080-exec-46#288</x:v>
      </x:c>
      <x:c r="P553" s="36" t="n">
        <x:v>9</x:v>
      </x:c>
      <x:c r="Q553" s="44" t="str">
        <x:v>http-nio-8080-exec-37#245 | http-nio-8080-exec-38#246 | http-nio-8080-exec-39#247 | http-nio-8080-exec-41#251 | http-nio-8080-exec-42#252 | http-nio-8080-exec-43#285 | http-nio-8080-exec-44#286 | http-nio-8080-exec-45#287 | http-nio-8080-exec-46#288</x:v>
      </x:c>
      <x:c r="R553" s="36" t="n">
        <x:v>3</x:v>
      </x:c>
      <x:c r="S553" s="44" t="str">
        <x:v>ForkJoinPool.commonPool-worker-1#48 | ForkJoinPool.commonPool-worker-2#49 | ForkJoinPool.commonPool-worker-3#58</x:v>
      </x:c>
      <x:c r="T553" s="36" t="n">
        <x:v>0</x:v>
      </x:c>
      <x:c r="U553" s="44"/>
      <x:c r="V553" s="36" t="n">
        <x:v>0</x:v>
      </x:c>
      <x:c r="W553" s="44"/>
      <x:c r="X553" s="34" t="str">
        <x:v>unattributed-thread-signal</x:v>
      </x:c>
      <x:c r="Y553" s="44" t="str">
        <x:v>automated signatures are JCS-specific; all other candidate application threads remain unattributed and ownership requires the archived full dump</x:v>
      </x:c>
    </x:row>
    <x:row r="554">
      <x:c r="A554" s="34" t="str">
        <x:v>article1-unified-v4-2-fb3f101b-20260903-000401-default-f05-p4-caffeine</x:v>
      </x:c>
      <x:c r="B554" s="34" t="str">
        <x:v>default</x:v>
      </x:c>
      <x:c r="C554" s="34" t="str">
        <x:v>caffeine</x:v>
      </x:c>
      <x:c r="D554" s="36" t="n">
        <x:v>5</x:v>
      </x:c>
      <x:c r="E554" s="36" t="n">
        <x:v>5</x:v>
      </x:c>
      <x:c r="F554" s="36" t="n">
        <x:v>4</x:v>
      </x:c>
      <x:c r="G554" s="36" t="n">
        <x:v>4</x:v>
      </x:c>
      <x:c r="H554" s="34" t="str">
        <x:v>firstUndeployThreadEvidenceEarly</x:v>
      </x:c>
      <x:c r="I554" s="36" t="n">
        <x:v>1</x:v>
      </x:c>
      <x:c r="J554" s="34" t="str">
        <x:v>early</x:v>
      </x:c>
      <x:c r="K554" s="36" t="n">
        <x:v>30</x:v>
      </x:c>
      <x:c r="L554" s="51" t="n">
        <x:v>3</x:v>
      </x:c>
      <x:c r="M554" s="51" t="n">
        <x:v>0</x:v>
      </x:c>
      <x:c r="N554" s="36" t="n">
        <x:v>13</x:v>
      </x:c>
      <x:c r="O554" s="44" t="str">
        <x:v>ForkJoinPool.commonPool-worker-1#48 | ForkJoinPool.commonPool-worker-2#49 | ForkJoinPool.commonPool-worker-3#58 | http-nio-8080-exec-39#247 | http-nio-8080-exec-43#285 | http-nio-8080-exec-44#286 | http-nio-8080-exec-45#287 | http-nio-8080-exec-46#288 | http-nio-8080-exec-47#291 | http-nio-8080-exec-48#292 | http-nio-8080-exec-49#325 | http-nio-8080-exec-50#326 | http-nio-8080-exec-51#327</x:v>
      </x:c>
      <x:c r="P554" s="36" t="n">
        <x:v>5</x:v>
      </x:c>
      <x:c r="Q554" s="44" t="str">
        <x:v>http-nio-8080-exec-47#291 | http-nio-8080-exec-48#292 | http-nio-8080-exec-49#325 | http-nio-8080-exec-50#326 | http-nio-8080-exec-51#327</x:v>
      </x:c>
      <x:c r="R554" s="36" t="n">
        <x:v>3</x:v>
      </x:c>
      <x:c r="S554" s="44" t="str">
        <x:v>ForkJoinPool.commonPool-worker-1#48 | ForkJoinPool.commonPool-worker-2#49 | ForkJoinPool.commonPool-worker-3#58</x:v>
      </x:c>
      <x:c r="T554" s="36" t="n">
        <x:v>0</x:v>
      </x:c>
      <x:c r="U554" s="44"/>
      <x:c r="V554" s="36" t="n">
        <x:v>0</x:v>
      </x:c>
      <x:c r="W554" s="44"/>
      <x:c r="X554" s="34" t="str">
        <x:v>unattributed-thread-signal</x:v>
      </x:c>
      <x:c r="Y554" s="44" t="str">
        <x:v>automated signatures are JCS-specific; all other candidate application threads remain unattributed and ownership requires the archived full dump</x:v>
      </x:c>
    </x:row>
    <x:row r="555">
      <x:c r="A555" s="34" t="str">
        <x:v>article1-unified-v4-2-fb3f101b-20260903-000401-default-f05-p4-caffeine</x:v>
      </x:c>
      <x:c r="B555" s="34" t="str">
        <x:v>default</x:v>
      </x:c>
      <x:c r="C555" s="34" t="str">
        <x:v>caffeine</x:v>
      </x:c>
      <x:c r="D555" s="36" t="n">
        <x:v>5</x:v>
      </x:c>
      <x:c r="E555" s="36" t="n">
        <x:v>5</x:v>
      </x:c>
      <x:c r="F555" s="36" t="n">
        <x:v>4</x:v>
      </x:c>
      <x:c r="G555" s="36" t="n">
        <x:v>4</x:v>
      </x:c>
      <x:c r="H555" s="34" t="str">
        <x:v>firstUndeployThreadEvidenceFinal</x:v>
      </x:c>
      <x:c r="I555" s="36" t="n">
        <x:v>1</x:v>
      </x:c>
      <x:c r="J555" s="34" t="str">
        <x:v>final</x:v>
      </x:c>
      <x:c r="K555" s="36" t="n">
        <x:v>30</x:v>
      </x:c>
      <x:c r="L555" s="51" t="n">
        <x:v>3</x:v>
      </x:c>
      <x:c r="M555" s="51" t="n">
        <x:v>0</x:v>
      </x:c>
      <x:c r="N555" s="36" t="n">
        <x:v>13</x:v>
      </x:c>
      <x:c r="O555" s="44" t="str">
        <x:v>ForkJoinPool.commonPool-worker-1#48 | ForkJoinPool.commonPool-worker-2#49 | ForkJoinPool.commonPool-worker-3#58 | http-nio-8080-exec-39#247 | http-nio-8080-exec-44#286 | http-nio-8080-exec-45#287 | http-nio-8080-exec-46#288 | http-nio-8080-exec-47#291 | http-nio-8080-exec-48#292 | http-nio-8080-exec-49#325 | http-nio-8080-exec-50#326 | http-nio-8080-exec-51#327 | http-nio-8080-exec-52#328</x:v>
      </x:c>
      <x:c r="P555" s="36" t="n">
        <x:v>6</x:v>
      </x:c>
      <x:c r="Q555" s="44" t="str">
        <x:v>http-nio-8080-exec-47#291 | http-nio-8080-exec-48#292 | http-nio-8080-exec-49#325 | http-nio-8080-exec-50#326 | http-nio-8080-exec-51#327 | http-nio-8080-exec-52#328</x:v>
      </x:c>
      <x:c r="R555" s="36" t="n">
        <x:v>3</x:v>
      </x:c>
      <x:c r="S555" s="44" t="str">
        <x:v>ForkJoinPool.commonPool-worker-1#48 | ForkJoinPool.commonPool-worker-2#49 | ForkJoinPool.commonPool-worker-3#58</x:v>
      </x:c>
      <x:c r="T555" s="36" t="n">
        <x:v>0</x:v>
      </x:c>
      <x:c r="U555" s="44"/>
      <x:c r="V555" s="36" t="n">
        <x:v>0</x:v>
      </x:c>
      <x:c r="W555" s="44"/>
      <x:c r="X555" s="34" t="str">
        <x:v>unattributed-thread-signal</x:v>
      </x:c>
      <x:c r="Y555" s="44" t="str">
        <x:v>automated signatures are JCS-specific; all other candidate application threads remain unattributed and ownership requires the archived full dump</x:v>
      </x:c>
    </x:row>
    <x:row r="556">
      <x:c r="A556" s="34" t="str">
        <x:v>article1-unified-v4-2-fb3f101b-20260903-000401-default-f05-p4-caffeine</x:v>
      </x:c>
      <x:c r="B556" s="34" t="str">
        <x:v>default</x:v>
      </x:c>
      <x:c r="C556" s="34" t="str">
        <x:v>caffeine</x:v>
      </x:c>
      <x:c r="D556" s="36" t="n">
        <x:v>5</x:v>
      </x:c>
      <x:c r="E556" s="36" t="n">
        <x:v>5</x:v>
      </x:c>
      <x:c r="F556" s="36" t="n">
        <x:v>4</x:v>
      </x:c>
      <x:c r="G556" s="36" t="n">
        <x:v>4</x:v>
      </x:c>
      <x:c r="H556" s="34" t="str">
        <x:v>finalUndeployThreadEvidenceEarly</x:v>
      </x:c>
      <x:c r="I556" s="36" t="n">
        <x:v>2</x:v>
      </x:c>
      <x:c r="J556" s="34" t="str">
        <x:v>early</x:v>
      </x:c>
      <x:c r="K556" s="36" t="n">
        <x:v>30</x:v>
      </x:c>
      <x:c r="L556" s="51" t="n">
        <x:v>3</x:v>
      </x:c>
      <x:c r="M556" s="51" t="n">
        <x:v>0</x:v>
      </x:c>
      <x:c r="N556" s="36" t="n">
        <x:v>13</x:v>
      </x:c>
      <x:c r="O556" s="44" t="str">
        <x:v>ForkJoinPool.commonPool-worker-1#48 | ForkJoinPool.commonPool-worker-2#49 | ForkJoinPool.commonPool-worker-3#58 | http-nio-8080-exec-39#247 | http-nio-8080-exec-48#292 | http-nio-8080-exec-50#326 | http-nio-8080-exec-51#327 | http-nio-8080-exec-52#328 | http-nio-8080-exec-53#331 | http-nio-8080-exec-55#333 | http-nio-8080-exec-56#366 | http-nio-8080-exec-57#367 | http-nio-8080-exec-58#368</x:v>
      </x:c>
      <x:c r="P556" s="36" t="n">
        <x:v>9</x:v>
      </x:c>
      <x:c r="Q556" s="44" t="str">
        <x:v>http-nio-8080-exec-48#292 | http-nio-8080-exec-50#326 | http-nio-8080-exec-51#327 | http-nio-8080-exec-52#328 | http-nio-8080-exec-53#331 | http-nio-8080-exec-55#333 | http-nio-8080-exec-56#366 | http-nio-8080-exec-57#367 | http-nio-8080-exec-58#368</x:v>
      </x:c>
      <x:c r="R556" s="36" t="n">
        <x:v>3</x:v>
      </x:c>
      <x:c r="S556" s="44" t="str">
        <x:v>ForkJoinPool.commonPool-worker-1#48 | ForkJoinPool.commonPool-worker-2#49 | ForkJoinPool.commonPool-worker-3#58</x:v>
      </x:c>
      <x:c r="T556" s="36" t="n">
        <x:v>0</x:v>
      </x:c>
      <x:c r="U556" s="44"/>
      <x:c r="V556" s="36" t="n">
        <x:v>0</x:v>
      </x:c>
      <x:c r="W556" s="44"/>
      <x:c r="X556" s="34" t="str">
        <x:v>unattributed-thread-signal</x:v>
      </x:c>
      <x:c r="Y556" s="44" t="str">
        <x:v>automated signatures are JCS-specific; all other candidate application threads remain unattributed and ownership requires the archived full dump</x:v>
      </x:c>
    </x:row>
    <x:row r="557">
      <x:c r="A557" s="34" t="str">
        <x:v>article1-unified-v4-2-fb3f101b-20260903-000401-default-f05-p4-caffeine</x:v>
      </x:c>
      <x:c r="B557" s="34" t="str">
        <x:v>default</x:v>
      </x:c>
      <x:c r="C557" s="34" t="str">
        <x:v>caffeine</x:v>
      </x:c>
      <x:c r="D557" s="36" t="n">
        <x:v>5</x:v>
      </x:c>
      <x:c r="E557" s="36" t="n">
        <x:v>5</x:v>
      </x:c>
      <x:c r="F557" s="36" t="n">
        <x:v>4</x:v>
      </x:c>
      <x:c r="G557" s="36" t="n">
        <x:v>4</x:v>
      </x:c>
      <x:c r="H557" s="34" t="str">
        <x:v>finalUndeployThreadEvidenceFinal</x:v>
      </x:c>
      <x:c r="I557" s="36" t="n">
        <x:v>2</x:v>
      </x:c>
      <x:c r="J557" s="34" t="str">
        <x:v>final</x:v>
      </x:c>
      <x:c r="K557" s="36" t="n">
        <x:v>30</x:v>
      </x:c>
      <x:c r="L557" s="51" t="n">
        <x:v>3</x:v>
      </x:c>
      <x:c r="M557" s="51" t="n">
        <x:v>0</x:v>
      </x:c>
      <x:c r="N557" s="36" t="n">
        <x:v>13</x:v>
      </x:c>
      <x:c r="O557" s="44" t="str">
        <x:v>ForkJoinPool.commonPool-worker-1#48 | ForkJoinPool.commonPool-worker-2#49 | ForkJoinPool.commonPool-worker-3#58 | http-nio-8080-exec-39#247 | http-nio-8080-exec-48#292 | http-nio-8080-exec-50#326 | http-nio-8080-exec-52#328 | http-nio-8080-exec-53#331 | http-nio-8080-exec-55#333 | http-nio-8080-exec-56#366 | http-nio-8080-exec-57#367 | http-nio-8080-exec-58#368 | http-nio-8080-exec-59#369</x:v>
      </x:c>
      <x:c r="P557" s="36" t="n">
        <x:v>9</x:v>
      </x:c>
      <x:c r="Q557" s="44" t="str">
        <x:v>http-nio-8080-exec-48#292 | http-nio-8080-exec-50#326 | http-nio-8080-exec-52#328 | http-nio-8080-exec-53#331 | http-nio-8080-exec-55#333 | http-nio-8080-exec-56#366 | http-nio-8080-exec-57#367 | http-nio-8080-exec-58#368 | http-nio-8080-exec-59#369</x:v>
      </x:c>
      <x:c r="R557" s="36" t="n">
        <x:v>3</x:v>
      </x:c>
      <x:c r="S557" s="44" t="str">
        <x:v>ForkJoinPool.commonPool-worker-1#48 | ForkJoinPool.commonPool-worker-2#49 | ForkJoinPool.commonPool-worker-3#58</x:v>
      </x:c>
      <x:c r="T557" s="36" t="n">
        <x:v>0</x:v>
      </x:c>
      <x:c r="U557" s="44"/>
      <x:c r="V557" s="36" t="n">
        <x:v>0</x:v>
      </x:c>
      <x:c r="W557" s="44"/>
      <x:c r="X557" s="34" t="str">
        <x:v>unattributed-thread-signal</x:v>
      </x:c>
      <x:c r="Y557" s="44" t="str">
        <x:v>automated signatures are JCS-specific; all other candidate application threads remain unattributed and ownership requires the archived full dump</x:v>
      </x:c>
    </x:row>
    <x:row r="558">
      <x:c r="A558" s="34" t="str">
        <x:v>article1-unified-v4-2-fb3f101b-20260903-000401-default-f05-p4-caffeine</x:v>
      </x:c>
      <x:c r="B558" s="34" t="str">
        <x:v>default</x:v>
      </x:c>
      <x:c r="C558" s="34" t="str">
        <x:v>caffeine</x:v>
      </x:c>
      <x:c r="D558" s="36" t="n">
        <x:v>5</x:v>
      </x:c>
      <x:c r="E558" s="36" t="n">
        <x:v>5</x:v>
      </x:c>
      <x:c r="F558" s="36" t="n">
        <x:v>4</x:v>
      </x:c>
      <x:c r="G558" s="36" t="n">
        <x:v>5</x:v>
      </x:c>
      <x:c r="H558" s="34" t="str">
        <x:v>firstUndeployThreadEvidenceEarly</x:v>
      </x:c>
      <x:c r="I558" s="36" t="n">
        <x:v>1</x:v>
      </x:c>
      <x:c r="J558" s="34" t="str">
        <x:v>early</x:v>
      </x:c>
      <x:c r="K558" s="36" t="n">
        <x:v>30</x:v>
      </x:c>
      <x:c r="L558" s="51" t="n">
        <x:v>3</x:v>
      </x:c>
      <x:c r="M558" s="51" t="n">
        <x:v>0</x:v>
      </x:c>
      <x:c r="N558" s="36" t="n">
        <x:v>13</x:v>
      </x:c>
      <x:c r="O558" s="44" t="str">
        <x:v>ForkJoinPool.commonPool-worker-1#48 | ForkJoinPool.commonPool-worker-2#49 | ForkJoinPool.commonPool-worker-3#58 | http-nio-8080-exec-52#328 | http-nio-8080-exec-55#333 | http-nio-8080-exec-56#366 | http-nio-8080-exec-58#368 | http-nio-8080-exec-59#369 | http-nio-8080-exec-60#372 | http-nio-8080-exec-61#373 | http-nio-8080-exec-62#406 | http-nio-8080-exec-63#407 | http-nio-8080-exec-64#408</x:v>
      </x:c>
      <x:c r="P558" s="36" t="n">
        <x:v>5</x:v>
      </x:c>
      <x:c r="Q558" s="44" t="str">
        <x:v>http-nio-8080-exec-60#372 | http-nio-8080-exec-61#373 | http-nio-8080-exec-62#406 | http-nio-8080-exec-63#407 | http-nio-8080-exec-64#408</x:v>
      </x:c>
      <x:c r="R558" s="36" t="n">
        <x:v>3</x:v>
      </x:c>
      <x:c r="S558" s="44" t="str">
        <x:v>ForkJoinPool.commonPool-worker-1#48 | ForkJoinPool.commonPool-worker-2#49 | ForkJoinPool.commonPool-worker-3#58</x:v>
      </x:c>
      <x:c r="T558" s="36" t="n">
        <x:v>0</x:v>
      </x:c>
      <x:c r="U558" s="44"/>
      <x:c r="V558" s="36" t="n">
        <x:v>0</x:v>
      </x:c>
      <x:c r="W558" s="44"/>
      <x:c r="X558" s="34" t="str">
        <x:v>unattributed-thread-signal</x:v>
      </x:c>
      <x:c r="Y558" s="44" t="str">
        <x:v>automated signatures are JCS-specific; all other candidate application threads remain unattributed and ownership requires the archived full dump</x:v>
      </x:c>
    </x:row>
    <x:row r="559">
      <x:c r="A559" s="34" t="str">
        <x:v>article1-unified-v4-2-fb3f101b-20260903-000401-default-f05-p4-caffeine</x:v>
      </x:c>
      <x:c r="B559" s="34" t="str">
        <x:v>default</x:v>
      </x:c>
      <x:c r="C559" s="34" t="str">
        <x:v>caffeine</x:v>
      </x:c>
      <x:c r="D559" s="36" t="n">
        <x:v>5</x:v>
      </x:c>
      <x:c r="E559" s="36" t="n">
        <x:v>5</x:v>
      </x:c>
      <x:c r="F559" s="36" t="n">
        <x:v>4</x:v>
      </x:c>
      <x:c r="G559" s="36" t="n">
        <x:v>5</x:v>
      </x:c>
      <x:c r="H559" s="34" t="str">
        <x:v>firstUndeployThreadEvidenceFinal</x:v>
      </x:c>
      <x:c r="I559" s="36" t="n">
        <x:v>1</x:v>
      </x:c>
      <x:c r="J559" s="34" t="str">
        <x:v>final</x:v>
      </x:c>
      <x:c r="K559" s="36" t="n">
        <x:v>30</x:v>
      </x:c>
      <x:c r="L559" s="51" t="n">
        <x:v>3</x:v>
      </x:c>
      <x:c r="M559" s="51" t="n">
        <x:v>0</x:v>
      </x:c>
      <x:c r="N559" s="36" t="n">
        <x:v>13</x:v>
      </x:c>
      <x:c r="O559" s="44" t="str">
        <x:v>ForkJoinPool.commonPool-worker-1#48 | ForkJoinPool.commonPool-worker-2#49 | ForkJoinPool.commonPool-worker-3#58 | http-nio-8080-exec-52#328 | http-nio-8080-exec-55#333 | http-nio-8080-exec-56#366 | http-nio-8080-exec-58#368 | http-nio-8080-exec-59#369 | http-nio-8080-exec-60#372 | http-nio-8080-exec-62#406 | http-nio-8080-exec-63#407 | http-nio-8080-exec-64#408 | http-nio-8080-exec-65#409</x:v>
      </x:c>
      <x:c r="P559" s="36" t="n">
        <x:v>5</x:v>
      </x:c>
      <x:c r="Q559" s="44" t="str">
        <x:v>http-nio-8080-exec-60#372 | http-nio-8080-exec-62#406 | http-nio-8080-exec-63#407 | http-nio-8080-exec-64#408 | http-nio-8080-exec-65#409</x:v>
      </x:c>
      <x:c r="R559" s="36" t="n">
        <x:v>3</x:v>
      </x:c>
      <x:c r="S559" s="44" t="str">
        <x:v>ForkJoinPool.commonPool-worker-1#48 | ForkJoinPool.commonPool-worker-2#49 | ForkJoinPool.commonPool-worker-3#58</x:v>
      </x:c>
      <x:c r="T559" s="36" t="n">
        <x:v>0</x:v>
      </x:c>
      <x:c r="U559" s="44"/>
      <x:c r="V559" s="36" t="n">
        <x:v>0</x:v>
      </x:c>
      <x:c r="W559" s="44"/>
      <x:c r="X559" s="34" t="str">
        <x:v>unattributed-thread-signal</x:v>
      </x:c>
      <x:c r="Y559" s="44" t="str">
        <x:v>automated signatures are JCS-specific; all other candidate application threads remain unattributed and ownership requires the archived full dump</x:v>
      </x:c>
    </x:row>
    <x:row r="560">
      <x:c r="A560" s="34" t="str">
        <x:v>article1-unified-v4-2-fb3f101b-20260903-000401-default-f05-p4-caffeine</x:v>
      </x:c>
      <x:c r="B560" s="34" t="str">
        <x:v>default</x:v>
      </x:c>
      <x:c r="C560" s="34" t="str">
        <x:v>caffeine</x:v>
      </x:c>
      <x:c r="D560" s="36" t="n">
        <x:v>5</x:v>
      </x:c>
      <x:c r="E560" s="36" t="n">
        <x:v>5</x:v>
      </x:c>
      <x:c r="F560" s="36" t="n">
        <x:v>4</x:v>
      </x:c>
      <x:c r="G560" s="36" t="n">
        <x:v>5</x:v>
      </x:c>
      <x:c r="H560" s="34" t="str">
        <x:v>finalUndeployThreadEvidenceEarly</x:v>
      </x:c>
      <x:c r="I560" s="36" t="n">
        <x:v>2</x:v>
      </x:c>
      <x:c r="J560" s="34" t="str">
        <x:v>early</x:v>
      </x:c>
      <x:c r="K560" s="36" t="n">
        <x:v>30</x:v>
      </x:c>
      <x:c r="L560" s="51" t="n">
        <x:v>3</x:v>
      </x:c>
      <x:c r="M560" s="51" t="n">
        <x:v>0</x:v>
      </x:c>
      <x:c r="N560" s="36" t="n">
        <x:v>13</x:v>
      </x:c>
      <x:c r="O560" s="44" t="str">
        <x:v>ForkJoinPool.commonPool-worker-1#48 | ForkJoinPool.commonPool-worker-2#49 | ForkJoinPool.commonPool-worker-3#58 | http-nio-8080-exec-52#328 | http-nio-8080-exec-60#372 | http-nio-8080-exec-64#408 | http-nio-8080-exec-65#409 | http-nio-8080-exec-66#412 | http-nio-8080-exec-67#413 | http-nio-8080-exec-68#414 | http-nio-8080-exec-69#447 | http-nio-8080-exec-70#448 | http-nio-8080-exec-71#449</x:v>
      </x:c>
      <x:c r="P560" s="36" t="n">
        <x:v>9</x:v>
      </x:c>
      <x:c r="Q560" s="44" t="str">
        <x:v>http-nio-8080-exec-60#372 | http-nio-8080-exec-64#408 | http-nio-8080-exec-65#409 | http-nio-8080-exec-66#412 | http-nio-8080-exec-67#413 | http-nio-8080-exec-68#414 | http-nio-8080-exec-69#447 | http-nio-8080-exec-70#448 | http-nio-8080-exec-71#449</x:v>
      </x:c>
      <x:c r="R560" s="36" t="n">
        <x:v>3</x:v>
      </x:c>
      <x:c r="S560" s="44" t="str">
        <x:v>ForkJoinPool.commonPool-worker-1#48 | ForkJoinPool.commonPool-worker-2#49 | ForkJoinPool.commonPool-worker-3#58</x:v>
      </x:c>
      <x:c r="T560" s="36" t="n">
        <x:v>0</x:v>
      </x:c>
      <x:c r="U560" s="44"/>
      <x:c r="V560" s="36" t="n">
        <x:v>0</x:v>
      </x:c>
      <x:c r="W560" s="44"/>
      <x:c r="X560" s="34" t="str">
        <x:v>unattributed-thread-signal</x:v>
      </x:c>
      <x:c r="Y560" s="44" t="str">
        <x:v>automated signatures are JCS-specific; all other candidate application threads remain unattributed and ownership requires the archived full dump</x:v>
      </x:c>
    </x:row>
    <x:row r="561">
      <x:c r="A561" s="34" t="str">
        <x:v>article1-unified-v4-2-fb3f101b-20260903-000401-default-f05-p4-caffeine</x:v>
      </x:c>
      <x:c r="B561" s="34" t="str">
        <x:v>default</x:v>
      </x:c>
      <x:c r="C561" s="34" t="str">
        <x:v>caffeine</x:v>
      </x:c>
      <x:c r="D561" s="36" t="n">
        <x:v>5</x:v>
      </x:c>
      <x:c r="E561" s="36" t="n">
        <x:v>5</x:v>
      </x:c>
      <x:c r="F561" s="36" t="n">
        <x:v>4</x:v>
      </x:c>
      <x:c r="G561" s="36" t="n">
        <x:v>5</x:v>
      </x:c>
      <x:c r="H561" s="34" t="str">
        <x:v>finalUndeployThreadEvidenceFinal</x:v>
      </x:c>
      <x:c r="I561" s="36" t="n">
        <x:v>2</x:v>
      </x:c>
      <x:c r="J561" s="34" t="str">
        <x:v>final</x:v>
      </x:c>
      <x:c r="K561" s="36" t="n">
        <x:v>30</x:v>
      </x:c>
      <x:c r="L561" s="51" t="n">
        <x:v>3</x:v>
      </x:c>
      <x:c r="M561" s="51" t="n">
        <x:v>0</x:v>
      </x:c>
      <x:c r="N561" s="36" t="n">
        <x:v>13</x:v>
      </x:c>
      <x:c r="O561" s="44" t="str">
        <x:v>ForkJoinPool.commonPool-worker-1#48 | ForkJoinPool.commonPool-worker-2#49 | ForkJoinPool.commonPool-worker-3#58 | http-nio-8080-exec-52#328 | http-nio-8080-exec-60#372 | http-nio-8080-exec-64#408 | http-nio-8080-exec-66#412 | http-nio-8080-exec-67#413 | http-nio-8080-exec-68#414 | http-nio-8080-exec-69#447 | http-nio-8080-exec-70#448 | http-nio-8080-exec-71#449 | http-nio-8080-exec-72#450</x:v>
      </x:c>
      <x:c r="P561" s="36" t="n">
        <x:v>9</x:v>
      </x:c>
      <x:c r="Q561" s="44" t="str">
        <x:v>http-nio-8080-exec-60#372 | http-nio-8080-exec-64#408 | http-nio-8080-exec-66#412 | http-nio-8080-exec-67#413 | http-nio-8080-exec-68#414 | http-nio-8080-exec-69#447 | http-nio-8080-exec-70#448 | http-nio-8080-exec-71#449 | http-nio-8080-exec-72#450</x:v>
      </x:c>
      <x:c r="R561" s="36" t="n">
        <x:v>3</x:v>
      </x:c>
      <x:c r="S561" s="44" t="str">
        <x:v>ForkJoinPool.commonPool-worker-1#48 | ForkJoinPool.commonPool-worker-2#49 | ForkJoinPool.commonPool-worker-3#58</x:v>
      </x:c>
      <x:c r="T561" s="36" t="n">
        <x:v>0</x:v>
      </x:c>
      <x:c r="U561" s="44"/>
      <x:c r="V561" s="36" t="n">
        <x:v>0</x:v>
      </x:c>
      <x:c r="W561" s="44"/>
      <x:c r="X561" s="34" t="str">
        <x:v>unattributed-thread-signal</x:v>
      </x:c>
      <x:c r="Y561" s="44" t="str">
        <x:v>automated signatures are JCS-specific; all other candidate application threads remain unattributed and ownership requires the archived full dump</x:v>
      </x:c>
    </x:row>
    <x:row r="562">
      <x:c r="A562" s="34" t="str">
        <x:v>article1-unified-v4-2-fb3f101b-20260903-000401-default-f05-p5-cache2k</x:v>
      </x:c>
      <x:c r="B562" s="34" t="str">
        <x:v>default</x:v>
      </x:c>
      <x:c r="C562" s="34" t="str">
        <x:v>cache2k</x:v>
      </x:c>
      <x:c r="D562" s="36" t="n">
        <x:v>5</x:v>
      </x:c>
      <x:c r="E562" s="36" t="n">
        <x:v>5</x:v>
      </x:c>
      <x:c r="F562" s="36" t="n">
        <x:v>5</x:v>
      </x:c>
      <x:c r="G562" s="36" t="n">
        <x:v>1</x:v>
      </x:c>
      <x:c r="H562" s="34" t="str">
        <x:v>firstUndeployThreadEvidenceEarly</x:v>
      </x:c>
      <x:c r="I562" s="36" t="n">
        <x:v>1</x:v>
      </x:c>
      <x:c r="J562" s="34" t="str">
        <x:v>early</x:v>
      </x:c>
      <x:c r="K562" s="36" t="n">
        <x:v>27</x:v>
      </x:c>
      <x:c r="L562" s="51" t="n">
        <x:v>0</x:v>
      </x:c>
      <x:c r="M562" s="51" t="n">
        <x:v>0</x:v>
      </x:c>
      <x:c r="N562" s="36" t="n">
        <x:v>2</x:v>
      </x:c>
      <x:c r="O562" s="44" t="str">
        <x:v>http-nio-8080-exec-11#81 | http-nio-8080-exec-12#82</x:v>
      </x:c>
      <x:c r="P562" s="36" t="n">
        <x:v>2</x:v>
      </x:c>
      <x:c r="Q562" s="44" t="str">
        <x:v>http-nio-8080-exec-11#81 | http-nio-8080-exec-12#82</x:v>
      </x:c>
      <x:c r="R562" s="36" t="n">
        <x:v>0</x:v>
      </x:c>
      <x:c r="S562" s="44"/>
      <x:c r="T562" s="36" t="n">
        <x:v>0</x:v>
      </x:c>
      <x:c r="U562" s="44"/>
      <x:c r="V562" s="36" t="n">
        <x:v>0</x:v>
      </x:c>
      <x:c r="W562" s="44"/>
      <x:c r="X562" s="34" t="str">
        <x:v>no-post-undeploy-thread-signal</x:v>
      </x:c>
      <x:c r="Y562" s="44" t="str">
        <x:v>automated signatures are JCS-specific; all other candidate application threads remain unattributed and ownership requires the archived full dump</x:v>
      </x:c>
    </x:row>
    <x:row r="563">
      <x:c r="A563" s="34" t="str">
        <x:v>article1-unified-v4-2-fb3f101b-20260903-000401-default-f05-p5-cache2k</x:v>
      </x:c>
      <x:c r="B563" s="34" t="str">
        <x:v>default</x:v>
      </x:c>
      <x:c r="C563" s="34" t="str">
        <x:v>cache2k</x:v>
      </x:c>
      <x:c r="D563" s="36" t="n">
        <x:v>5</x:v>
      </x:c>
      <x:c r="E563" s="36" t="n">
        <x:v>5</x:v>
      </x:c>
      <x:c r="F563" s="36" t="n">
        <x:v>5</x:v>
      </x:c>
      <x:c r="G563" s="36" t="n">
        <x:v>1</x:v>
      </x:c>
      <x:c r="H563" s="34" t="str">
        <x:v>firstUndeployThreadEvidenceFinal</x:v>
      </x:c>
      <x:c r="I563" s="36" t="n">
        <x:v>1</x:v>
      </x:c>
      <x:c r="J563" s="34" t="str">
        <x:v>final</x:v>
      </x:c>
      <x:c r="K563" s="36" t="n">
        <x:v>27</x:v>
      </x:c>
      <x:c r="L563" s="51" t="n">
        <x:v>0</x:v>
      </x:c>
      <x:c r="M563" s="51" t="n">
        <x:v>0</x:v>
      </x:c>
      <x:c r="N563" s="36" t="n">
        <x:v>3</x:v>
      </x:c>
      <x:c r="O563" s="44" t="str">
        <x:v>http-nio-8080-exec-11#81 | http-nio-8080-exec-12#82 | http-nio-8080-exec-13#83</x:v>
      </x:c>
      <x:c r="P563" s="36" t="n">
        <x:v>3</x:v>
      </x:c>
      <x:c r="Q563" s="44" t="str">
        <x:v>http-nio-8080-exec-11#81 | http-nio-8080-exec-12#82 | http-nio-8080-exec-13#83</x:v>
      </x:c>
      <x:c r="R563" s="36" t="n">
        <x:v>0</x:v>
      </x:c>
      <x:c r="S563" s="44"/>
      <x:c r="T563" s="36" t="n">
        <x:v>0</x:v>
      </x:c>
      <x:c r="U563" s="44"/>
      <x:c r="V563" s="36" t="n">
        <x:v>0</x:v>
      </x:c>
      <x:c r="W563" s="44"/>
      <x:c r="X563" s="34" t="str">
        <x:v>no-post-undeploy-thread-signal</x:v>
      </x:c>
      <x:c r="Y563" s="44" t="str">
        <x:v>automated signatures are JCS-specific; all other candidate application threads remain unattributed and ownership requires the archived full dump</x:v>
      </x:c>
    </x:row>
    <x:row r="564">
      <x:c r="A564" s="34" t="str">
        <x:v>article1-unified-v4-2-fb3f101b-20260903-000401-default-f05-p5-cache2k</x:v>
      </x:c>
      <x:c r="B564" s="34" t="str">
        <x:v>default</x:v>
      </x:c>
      <x:c r="C564" s="34" t="str">
        <x:v>cache2k</x:v>
      </x:c>
      <x:c r="D564" s="36" t="n">
        <x:v>5</x:v>
      </x:c>
      <x:c r="E564" s="36" t="n">
        <x:v>5</x:v>
      </x:c>
      <x:c r="F564" s="36" t="n">
        <x:v>5</x:v>
      </x:c>
      <x:c r="G564" s="36" t="n">
        <x:v>1</x:v>
      </x:c>
      <x:c r="H564" s="34" t="str">
        <x:v>finalUndeployThreadEvidenceEarly</x:v>
      </x:c>
      <x:c r="I564" s="36" t="n">
        <x:v>2</x:v>
      </x:c>
      <x:c r="J564" s="34" t="str">
        <x:v>early</x:v>
      </x:c>
      <x:c r="K564" s="36" t="n">
        <x:v>27</x:v>
      </x:c>
      <x:c r="L564" s="51" t="n">
        <x:v>0</x:v>
      </x:c>
      <x:c r="M564" s="51" t="n">
        <x:v>0</x:v>
      </x:c>
      <x:c r="N564" s="36" t="n">
        <x:v>8</x:v>
      </x:c>
      <x:c r="O564" s="44" t="str">
        <x:v>http-nio-8080-exec-11#81 | http-nio-8080-exec-12#82 | http-nio-8080-exec-13#83 | http-nio-8080-exec-14#86 | http-nio-8080-exec-15#87 | http-nio-8080-exec-16#88 | http-nio-8080-exec-18#123 | http-nio-8080-exec-19#124</x:v>
      </x:c>
      <x:c r="P564" s="36" t="n">
        <x:v>8</x:v>
      </x:c>
      <x:c r="Q564" s="44" t="str">
        <x:v>http-nio-8080-exec-11#81 | http-nio-8080-exec-12#82 | http-nio-8080-exec-13#83 | http-nio-8080-exec-14#86 | http-nio-8080-exec-15#87 | http-nio-8080-exec-16#88 | http-nio-8080-exec-18#123 | http-nio-8080-exec-19#124</x:v>
      </x:c>
      <x:c r="R564" s="36" t="n">
        <x:v>0</x:v>
      </x:c>
      <x:c r="S564" s="44"/>
      <x:c r="T564" s="36" t="n">
        <x:v>0</x:v>
      </x:c>
      <x:c r="U564" s="44"/>
      <x:c r="V564" s="36" t="n">
        <x:v>0</x:v>
      </x:c>
      <x:c r="W564" s="44"/>
      <x:c r="X564" s="34" t="str">
        <x:v>no-post-undeploy-thread-signal</x:v>
      </x:c>
      <x:c r="Y564" s="44" t="str">
        <x:v>automated signatures are JCS-specific; all other candidate application threads remain unattributed and ownership requires the archived full dump</x:v>
      </x:c>
    </x:row>
    <x:row r="565">
      <x:c r="A565" s="34" t="str">
        <x:v>article1-unified-v4-2-fb3f101b-20260903-000401-default-f05-p5-cache2k</x:v>
      </x:c>
      <x:c r="B565" s="34" t="str">
        <x:v>default</x:v>
      </x:c>
      <x:c r="C565" s="34" t="str">
        <x:v>cache2k</x:v>
      </x:c>
      <x:c r="D565" s="36" t="n">
        <x:v>5</x:v>
      </x:c>
      <x:c r="E565" s="36" t="n">
        <x:v>5</x:v>
      </x:c>
      <x:c r="F565" s="36" t="n">
        <x:v>5</x:v>
      </x:c>
      <x:c r="G565" s="36" t="n">
        <x:v>1</x:v>
      </x:c>
      <x:c r="H565" s="34" t="str">
        <x:v>finalUndeployThreadEvidenceFinal</x:v>
      </x:c>
      <x:c r="I565" s="36" t="n">
        <x:v>2</x:v>
      </x:c>
      <x:c r="J565" s="34" t="str">
        <x:v>final</x:v>
      </x:c>
      <x:c r="K565" s="36" t="n">
        <x:v>27</x:v>
      </x:c>
      <x:c r="L565" s="51" t="n">
        <x:v>0</x:v>
      </x:c>
      <x:c r="M565" s="51" t="n">
        <x:v>0</x:v>
      </x:c>
      <x:c r="N565" s="36" t="n">
        <x:v>8</x:v>
      </x:c>
      <x:c r="O565" s="44" t="str">
        <x:v>http-nio-8080-exec-12#82 | http-nio-8080-exec-13#83 | http-nio-8080-exec-14#86 | http-nio-8080-exec-15#87 | http-nio-8080-exec-16#88 | http-nio-8080-exec-18#123 | http-nio-8080-exec-19#124 | http-nio-8080-exec-20#125</x:v>
      </x:c>
      <x:c r="P565" s="36" t="n">
        <x:v>8</x:v>
      </x:c>
      <x:c r="Q565" s="44" t="str">
        <x:v>http-nio-8080-exec-12#82 | http-nio-8080-exec-13#83 | http-nio-8080-exec-14#86 | http-nio-8080-exec-15#87 | http-nio-8080-exec-16#88 | http-nio-8080-exec-18#123 | http-nio-8080-exec-19#124 | http-nio-8080-exec-20#125</x:v>
      </x:c>
      <x:c r="R565" s="36" t="n">
        <x:v>0</x:v>
      </x:c>
      <x:c r="S565" s="44"/>
      <x:c r="T565" s="36" t="n">
        <x:v>0</x:v>
      </x:c>
      <x:c r="U565" s="44"/>
      <x:c r="V565" s="36" t="n">
        <x:v>0</x:v>
      </x:c>
      <x:c r="W565" s="44"/>
      <x:c r="X565" s="34" t="str">
        <x:v>no-post-undeploy-thread-signal</x:v>
      </x:c>
      <x:c r="Y565" s="44" t="str">
        <x:v>automated signatures are JCS-specific; all other candidate application threads remain unattributed and ownership requires the archived full dump</x:v>
      </x:c>
    </x:row>
    <x:row r="566">
      <x:c r="A566" s="34" t="str">
        <x:v>article1-unified-v4-2-fb3f101b-20260903-000401-default-f05-p5-cache2k</x:v>
      </x:c>
      <x:c r="B566" s="34" t="str">
        <x:v>default</x:v>
      </x:c>
      <x:c r="C566" s="34" t="str">
        <x:v>cache2k</x:v>
      </x:c>
      <x:c r="D566" s="36" t="n">
        <x:v>5</x:v>
      </x:c>
      <x:c r="E566" s="36" t="n">
        <x:v>5</x:v>
      </x:c>
      <x:c r="F566" s="36" t="n">
        <x:v>5</x:v>
      </x:c>
      <x:c r="G566" s="36" t="n">
        <x:v>2</x:v>
      </x:c>
      <x:c r="H566" s="34" t="str">
        <x:v>firstUndeployThreadEvidenceEarly</x:v>
      </x:c>
      <x:c r="I566" s="36" t="n">
        <x:v>1</x:v>
      </x:c>
      <x:c r="J566" s="34" t="str">
        <x:v>early</x:v>
      </x:c>
      <x:c r="K566" s="36" t="n">
        <x:v>27</x:v>
      </x:c>
      <x:c r="L566" s="51" t="n">
        <x:v>0</x:v>
      </x:c>
      <x:c r="M566" s="51" t="n">
        <x:v>0</x:v>
      </x:c>
      <x:c r="N566" s="36" t="n">
        <x:v>9</x:v>
      </x:c>
      <x:c r="O566" s="44" t="str">
        <x:v>http-nio-8080-exec-13#83 | http-nio-8080-exec-18#123 | http-nio-8080-exec-19#124 | http-nio-8080-exec-20#125 | http-nio-8080-exec-21#128 | http-nio-8080-exec-22#129 | http-nio-8080-exec-23#163 | http-nio-8080-exec-24#164 | http-nio-8080-exec-25#165</x:v>
      </x:c>
      <x:c r="P566" s="36" t="n">
        <x:v>5</x:v>
      </x:c>
      <x:c r="Q566" s="44" t="str">
        <x:v>http-nio-8080-exec-21#128 | http-nio-8080-exec-22#129 | http-nio-8080-exec-23#163 | http-nio-8080-exec-24#164 | http-nio-8080-exec-25#165</x:v>
      </x:c>
      <x:c r="R566" s="36" t="n">
        <x:v>0</x:v>
      </x:c>
      <x:c r="S566" s="44"/>
      <x:c r="T566" s="36" t="n">
        <x:v>0</x:v>
      </x:c>
      <x:c r="U566" s="44"/>
      <x:c r="V566" s="36" t="n">
        <x:v>0</x:v>
      </x:c>
      <x:c r="W566" s="44"/>
      <x:c r="X566" s="34" t="str">
        <x:v>no-post-undeploy-thread-signal</x:v>
      </x:c>
      <x:c r="Y566" s="44" t="str">
        <x:v>automated signatures are JCS-specific; all other candidate application threads remain unattributed and ownership requires the archived full dump</x:v>
      </x:c>
    </x:row>
    <x:row r="567">
      <x:c r="A567" s="34" t="str">
        <x:v>article1-unified-v4-2-fb3f101b-20260903-000401-default-f05-p5-cache2k</x:v>
      </x:c>
      <x:c r="B567" s="34" t="str">
        <x:v>default</x:v>
      </x:c>
      <x:c r="C567" s="34" t="str">
        <x:v>cache2k</x:v>
      </x:c>
      <x:c r="D567" s="36" t="n">
        <x:v>5</x:v>
      </x:c>
      <x:c r="E567" s="36" t="n">
        <x:v>5</x:v>
      </x:c>
      <x:c r="F567" s="36" t="n">
        <x:v>5</x:v>
      </x:c>
      <x:c r="G567" s="36" t="n">
        <x:v>2</x:v>
      </x:c>
      <x:c r="H567" s="34" t="str">
        <x:v>firstUndeployThreadEvidenceFinal</x:v>
      </x:c>
      <x:c r="I567" s="36" t="n">
        <x:v>1</x:v>
      </x:c>
      <x:c r="J567" s="34" t="str">
        <x:v>final</x:v>
      </x:c>
      <x:c r="K567" s="36" t="n">
        <x:v>27</x:v>
      </x:c>
      <x:c r="L567" s="51" t="n">
        <x:v>0</x:v>
      </x:c>
      <x:c r="M567" s="51" t="n">
        <x:v>0</x:v>
      </x:c>
      <x:c r="N567" s="36" t="n">
        <x:v>9</x:v>
      </x:c>
      <x:c r="O567" s="44" t="str">
        <x:v>http-nio-8080-exec-13#83 | http-nio-8080-exec-18#123 | http-nio-8080-exec-19#124 | http-nio-8080-exec-21#128 | http-nio-8080-exec-22#129 | http-nio-8080-exec-23#163 | http-nio-8080-exec-24#164 | http-nio-8080-exec-25#165 | http-nio-8080-exec-26#166</x:v>
      </x:c>
      <x:c r="P567" s="36" t="n">
        <x:v>6</x:v>
      </x:c>
      <x:c r="Q567" s="44" t="str">
        <x:v>http-nio-8080-exec-21#128 | http-nio-8080-exec-22#129 | http-nio-8080-exec-23#163 | http-nio-8080-exec-24#164 | http-nio-8080-exec-25#165 | http-nio-8080-exec-26#166</x:v>
      </x:c>
      <x:c r="R567" s="36" t="n">
        <x:v>0</x:v>
      </x:c>
      <x:c r="S567" s="44"/>
      <x:c r="T567" s="36" t="n">
        <x:v>0</x:v>
      </x:c>
      <x:c r="U567" s="44"/>
      <x:c r="V567" s="36" t="n">
        <x:v>0</x:v>
      </x:c>
      <x:c r="W567" s="44"/>
      <x:c r="X567" s="34" t="str">
        <x:v>no-post-undeploy-thread-signal</x:v>
      </x:c>
      <x:c r="Y567" s="44" t="str">
        <x:v>automated signatures are JCS-specific; all other candidate application threads remain unattributed and ownership requires the archived full dump</x:v>
      </x:c>
    </x:row>
    <x:row r="568">
      <x:c r="A568" s="34" t="str">
        <x:v>article1-unified-v4-2-fb3f101b-20260903-000401-default-f05-p5-cache2k</x:v>
      </x:c>
      <x:c r="B568" s="34" t="str">
        <x:v>default</x:v>
      </x:c>
      <x:c r="C568" s="34" t="str">
        <x:v>cache2k</x:v>
      </x:c>
      <x:c r="D568" s="36" t="n">
        <x:v>5</x:v>
      </x:c>
      <x:c r="E568" s="36" t="n">
        <x:v>5</x:v>
      </x:c>
      <x:c r="F568" s="36" t="n">
        <x:v>5</x:v>
      </x:c>
      <x:c r="G568" s="36" t="n">
        <x:v>2</x:v>
      </x:c>
      <x:c r="H568" s="34" t="str">
        <x:v>finalUndeployThreadEvidenceEarly</x:v>
      </x:c>
      <x:c r="I568" s="36" t="n">
        <x:v>2</x:v>
      </x:c>
      <x:c r="J568" s="34" t="str">
        <x:v>early</x:v>
      </x:c>
      <x:c r="K568" s="36" t="n">
        <x:v>27</x:v>
      </x:c>
      <x:c r="L568" s="51" t="n">
        <x:v>0</x:v>
      </x:c>
      <x:c r="M568" s="51" t="n">
        <x:v>0</x:v>
      </x:c>
      <x:c r="N568" s="36" t="n">
        <x:v>9</x:v>
      </x:c>
      <x:c r="O568" s="44" t="str">
        <x:v>http-nio-8080-exec-13#83 | http-nio-8080-exec-24#164 | http-nio-8080-exec-25#165 | http-nio-8080-exec-26#166 | http-nio-8080-exec-27#169 | http-nio-8080-exec-28#170 | http-nio-8080-exec-30#205 | http-nio-8080-exec-31#206 | http-nio-8080-exec-32#207</x:v>
      </x:c>
      <x:c r="P568" s="36" t="n">
        <x:v>8</x:v>
      </x:c>
      <x:c r="Q568" s="44" t="str">
        <x:v>http-nio-8080-exec-24#164 | http-nio-8080-exec-25#165 | http-nio-8080-exec-26#166 | http-nio-8080-exec-27#169 | http-nio-8080-exec-28#170 | http-nio-8080-exec-30#205 | http-nio-8080-exec-31#206 | http-nio-8080-exec-32#207</x:v>
      </x:c>
      <x:c r="R568" s="36" t="n">
        <x:v>0</x:v>
      </x:c>
      <x:c r="S568" s="44"/>
      <x:c r="T568" s="36" t="n">
        <x:v>0</x:v>
      </x:c>
      <x:c r="U568" s="44"/>
      <x:c r="V568" s="36" t="n">
        <x:v>0</x:v>
      </x:c>
      <x:c r="W568" s="44"/>
      <x:c r="X568" s="34" t="str">
        <x:v>no-post-undeploy-thread-signal</x:v>
      </x:c>
      <x:c r="Y568" s="44" t="str">
        <x:v>automated signatures are JCS-specific; all other candidate application threads remain unattributed and ownership requires the archived full dump</x:v>
      </x:c>
    </x:row>
    <x:row r="569">
      <x:c r="A569" s="34" t="str">
        <x:v>article1-unified-v4-2-fb3f101b-20260903-000401-default-f05-p5-cache2k</x:v>
      </x:c>
      <x:c r="B569" s="34" t="str">
        <x:v>default</x:v>
      </x:c>
      <x:c r="C569" s="34" t="str">
        <x:v>cache2k</x:v>
      </x:c>
      <x:c r="D569" s="36" t="n">
        <x:v>5</x:v>
      </x:c>
      <x:c r="E569" s="36" t="n">
        <x:v>5</x:v>
      </x:c>
      <x:c r="F569" s="36" t="n">
        <x:v>5</x:v>
      </x:c>
      <x:c r="G569" s="36" t="n">
        <x:v>2</x:v>
      </x:c>
      <x:c r="H569" s="34" t="str">
        <x:v>finalUndeployThreadEvidenceFinal</x:v>
      </x:c>
      <x:c r="I569" s="36" t="n">
        <x:v>2</x:v>
      </x:c>
      <x:c r="J569" s="34" t="str">
        <x:v>final</x:v>
      </x:c>
      <x:c r="K569" s="36" t="n">
        <x:v>27</x:v>
      </x:c>
      <x:c r="L569" s="51" t="n">
        <x:v>0</x:v>
      </x:c>
      <x:c r="M569" s="51" t="n">
        <x:v>0</x:v>
      </x:c>
      <x:c r="N569" s="36" t="n">
        <x:v>9</x:v>
      </x:c>
      <x:c r="O569" s="44" t="str">
        <x:v>http-nio-8080-exec-13#83 | http-nio-8080-exec-24#164 | http-nio-8080-exec-25#165 | http-nio-8080-exec-27#169 | http-nio-8080-exec-28#170 | http-nio-8080-exec-30#205 | http-nio-8080-exec-31#206 | http-nio-8080-exec-32#207 | http-nio-8080-exec-33#208</x:v>
      </x:c>
      <x:c r="P569" s="36" t="n">
        <x:v>8</x:v>
      </x:c>
      <x:c r="Q569" s="44" t="str">
        <x:v>http-nio-8080-exec-24#164 | http-nio-8080-exec-25#165 | http-nio-8080-exec-27#169 | http-nio-8080-exec-28#170 | http-nio-8080-exec-30#205 | http-nio-8080-exec-31#206 | http-nio-8080-exec-32#207 | http-nio-8080-exec-33#208</x:v>
      </x:c>
      <x:c r="R569" s="36" t="n">
        <x:v>0</x:v>
      </x:c>
      <x:c r="S569" s="44"/>
      <x:c r="T569" s="36" t="n">
        <x:v>0</x:v>
      </x:c>
      <x:c r="U569" s="44"/>
      <x:c r="V569" s="36" t="n">
        <x:v>0</x:v>
      </x:c>
      <x:c r="W569" s="44"/>
      <x:c r="X569" s="34" t="str">
        <x:v>no-post-undeploy-thread-signal</x:v>
      </x:c>
      <x:c r="Y569" s="44" t="str">
        <x:v>automated signatures are JCS-specific; all other candidate application threads remain unattributed and ownership requires the archived full dump</x:v>
      </x:c>
    </x:row>
    <x:row r="570">
      <x:c r="A570" s="34" t="str">
        <x:v>article1-unified-v4-2-fb3f101b-20260903-000401-default-f05-p5-cache2k</x:v>
      </x:c>
      <x:c r="B570" s="34" t="str">
        <x:v>default</x:v>
      </x:c>
      <x:c r="C570" s="34" t="str">
        <x:v>cache2k</x:v>
      </x:c>
      <x:c r="D570" s="36" t="n">
        <x:v>5</x:v>
      </x:c>
      <x:c r="E570" s="36" t="n">
        <x:v>5</x:v>
      </x:c>
      <x:c r="F570" s="36" t="n">
        <x:v>5</x:v>
      </x:c>
      <x:c r="G570" s="36" t="n">
        <x:v>3</x:v>
      </x:c>
      <x:c r="H570" s="34" t="str">
        <x:v>firstUndeployThreadEvidenceEarly</x:v>
      </x:c>
      <x:c r="I570" s="36" t="n">
        <x:v>1</x:v>
      </x:c>
      <x:c r="J570" s="34" t="str">
        <x:v>early</x:v>
      </x:c>
      <x:c r="K570" s="36" t="n">
        <x:v>27</x:v>
      </x:c>
      <x:c r="L570" s="51" t="n">
        <x:v>0</x:v>
      </x:c>
      <x:c r="M570" s="51" t="n">
        <x:v>0</x:v>
      </x:c>
      <x:c r="N570" s="36" t="n">
        <x:v>9</x:v>
      </x:c>
      <x:c r="O570" s="44" t="str">
        <x:v>http-nio-8080-exec-13#83 | http-nio-8080-exec-30#205 | http-nio-8080-exec-32#207 | http-nio-8080-exec-33#208 | http-nio-8080-exec-34#211 | http-nio-8080-exec-35#212 | http-nio-8080-exec-36#246 | http-nio-8080-exec-37#247 | http-nio-8080-exec-38#248</x:v>
      </x:c>
      <x:c r="P570" s="36" t="n">
        <x:v>5</x:v>
      </x:c>
      <x:c r="Q570" s="44" t="str">
        <x:v>http-nio-8080-exec-34#211 | http-nio-8080-exec-35#212 | http-nio-8080-exec-36#246 | http-nio-8080-exec-37#247 | http-nio-8080-exec-38#248</x:v>
      </x:c>
      <x:c r="R570" s="36" t="n">
        <x:v>0</x:v>
      </x:c>
      <x:c r="S570" s="44"/>
      <x:c r="T570" s="36" t="n">
        <x:v>0</x:v>
      </x:c>
      <x:c r="U570" s="44"/>
      <x:c r="V570" s="36" t="n">
        <x:v>0</x:v>
      </x:c>
      <x:c r="W570" s="44"/>
      <x:c r="X570" s="34" t="str">
        <x:v>no-post-undeploy-thread-signal</x:v>
      </x:c>
      <x:c r="Y570" s="44" t="str">
        <x:v>automated signatures are JCS-specific; all other candidate application threads remain unattributed and ownership requires the archived full dump</x:v>
      </x:c>
    </x:row>
    <x:row r="571">
      <x:c r="A571" s="34" t="str">
        <x:v>article1-unified-v4-2-fb3f101b-20260903-000401-default-f05-p5-cache2k</x:v>
      </x:c>
      <x:c r="B571" s="34" t="str">
        <x:v>default</x:v>
      </x:c>
      <x:c r="C571" s="34" t="str">
        <x:v>cache2k</x:v>
      </x:c>
      <x:c r="D571" s="36" t="n">
        <x:v>5</x:v>
      </x:c>
      <x:c r="E571" s="36" t="n">
        <x:v>5</x:v>
      </x:c>
      <x:c r="F571" s="36" t="n">
        <x:v>5</x:v>
      </x:c>
      <x:c r="G571" s="36" t="n">
        <x:v>3</x:v>
      </x:c>
      <x:c r="H571" s="34" t="str">
        <x:v>firstUndeployThreadEvidenceFinal</x:v>
      </x:c>
      <x:c r="I571" s="36" t="n">
        <x:v>1</x:v>
      </x:c>
      <x:c r="J571" s="34" t="str">
        <x:v>final</x:v>
      </x:c>
      <x:c r="K571" s="36" t="n">
        <x:v>27</x:v>
      </x:c>
      <x:c r="L571" s="51" t="n">
        <x:v>0</x:v>
      </x:c>
      <x:c r="M571" s="51" t="n">
        <x:v>0</x:v>
      </x:c>
      <x:c r="N571" s="36" t="n">
        <x:v>9</x:v>
      </x:c>
      <x:c r="O571" s="44" t="str">
        <x:v>http-nio-8080-exec-13#83 | http-nio-8080-exec-30#205 | http-nio-8080-exec-32#207 | http-nio-8080-exec-33#208 | http-nio-8080-exec-34#211 | http-nio-8080-exec-35#212 | http-nio-8080-exec-37#247 | http-nio-8080-exec-38#248 | http-nio-8080-exec-39#249</x:v>
      </x:c>
      <x:c r="P571" s="36" t="n">
        <x:v>5</x:v>
      </x:c>
      <x:c r="Q571" s="44" t="str">
        <x:v>http-nio-8080-exec-34#211 | http-nio-8080-exec-35#212 | http-nio-8080-exec-37#247 | http-nio-8080-exec-38#248 | http-nio-8080-exec-39#249</x:v>
      </x:c>
      <x:c r="R571" s="36" t="n">
        <x:v>0</x:v>
      </x:c>
      <x:c r="S571" s="44"/>
      <x:c r="T571" s="36" t="n">
        <x:v>0</x:v>
      </x:c>
      <x:c r="U571" s="44"/>
      <x:c r="V571" s="36" t="n">
        <x:v>0</x:v>
      </x:c>
      <x:c r="W571" s="44"/>
      <x:c r="X571" s="34" t="str">
        <x:v>no-post-undeploy-thread-signal</x:v>
      </x:c>
      <x:c r="Y571" s="44" t="str">
        <x:v>automated signatures are JCS-specific; all other candidate application threads remain unattributed and ownership requires the archived full dump</x:v>
      </x:c>
    </x:row>
    <x:row r="572">
      <x:c r="A572" s="34" t="str">
        <x:v>article1-unified-v4-2-fb3f101b-20260903-000401-default-f05-p5-cache2k</x:v>
      </x:c>
      <x:c r="B572" s="34" t="str">
        <x:v>default</x:v>
      </x:c>
      <x:c r="C572" s="34" t="str">
        <x:v>cache2k</x:v>
      </x:c>
      <x:c r="D572" s="36" t="n">
        <x:v>5</x:v>
      </x:c>
      <x:c r="E572" s="36" t="n">
        <x:v>5</x:v>
      </x:c>
      <x:c r="F572" s="36" t="n">
        <x:v>5</x:v>
      </x:c>
      <x:c r="G572" s="36" t="n">
        <x:v>3</x:v>
      </x:c>
      <x:c r="H572" s="34" t="str">
        <x:v>finalUndeployThreadEvidenceEarly</x:v>
      </x:c>
      <x:c r="I572" s="36" t="n">
        <x:v>2</x:v>
      </x:c>
      <x:c r="J572" s="34" t="str">
        <x:v>early</x:v>
      </x:c>
      <x:c r="K572" s="36" t="n">
        <x:v>27</x:v>
      </x:c>
      <x:c r="L572" s="51" t="n">
        <x:v>0</x:v>
      </x:c>
      <x:c r="M572" s="51" t="n">
        <x:v>0</x:v>
      </x:c>
      <x:c r="N572" s="36" t="n">
        <x:v>9</x:v>
      </x:c>
      <x:c r="O572" s="44" t="str">
        <x:v>http-nio-8080-exec-13#83 | http-nio-8080-exec-37#247 | http-nio-8080-exec-38#248 | http-nio-8080-exec-39#249 | http-nio-8080-exec-40#252 | http-nio-8080-exec-42#254 | http-nio-8080-exec-43#288 | http-nio-8080-exec-44#289 | http-nio-8080-exec-45#290</x:v>
      </x:c>
      <x:c r="P572" s="36" t="n">
        <x:v>8</x:v>
      </x:c>
      <x:c r="Q572" s="44" t="str">
        <x:v>http-nio-8080-exec-37#247 | http-nio-8080-exec-38#248 | http-nio-8080-exec-39#249 | http-nio-8080-exec-40#252 | http-nio-8080-exec-42#254 | http-nio-8080-exec-43#288 | http-nio-8080-exec-44#289 | http-nio-8080-exec-45#290</x:v>
      </x:c>
      <x:c r="R572" s="36" t="n">
        <x:v>0</x:v>
      </x:c>
      <x:c r="S572" s="44"/>
      <x:c r="T572" s="36" t="n">
        <x:v>0</x:v>
      </x:c>
      <x:c r="U572" s="44"/>
      <x:c r="V572" s="36" t="n">
        <x:v>0</x:v>
      </x:c>
      <x:c r="W572" s="44"/>
      <x:c r="X572" s="34" t="str">
        <x:v>no-post-undeploy-thread-signal</x:v>
      </x:c>
      <x:c r="Y572" s="44" t="str">
        <x:v>automated signatures are JCS-specific; all other candidate application threads remain unattributed and ownership requires the archived full dump</x:v>
      </x:c>
    </x:row>
    <x:row r="573">
      <x:c r="A573" s="34" t="str">
        <x:v>article1-unified-v4-2-fb3f101b-20260903-000401-default-f05-p5-cache2k</x:v>
      </x:c>
      <x:c r="B573" s="34" t="str">
        <x:v>default</x:v>
      </x:c>
      <x:c r="C573" s="34" t="str">
        <x:v>cache2k</x:v>
      </x:c>
      <x:c r="D573" s="36" t="n">
        <x:v>5</x:v>
      </x:c>
      <x:c r="E573" s="36" t="n">
        <x:v>5</x:v>
      </x:c>
      <x:c r="F573" s="36" t="n">
        <x:v>5</x:v>
      </x:c>
      <x:c r="G573" s="36" t="n">
        <x:v>3</x:v>
      </x:c>
      <x:c r="H573" s="34" t="str">
        <x:v>finalUndeployThreadEvidenceFinal</x:v>
      </x:c>
      <x:c r="I573" s="36" t="n">
        <x:v>2</x:v>
      </x:c>
      <x:c r="J573" s="34" t="str">
        <x:v>final</x:v>
      </x:c>
      <x:c r="K573" s="36" t="n">
        <x:v>27</x:v>
      </x:c>
      <x:c r="L573" s="51" t="n">
        <x:v>0</x:v>
      </x:c>
      <x:c r="M573" s="51" t="n">
        <x:v>0</x:v>
      </x:c>
      <x:c r="N573" s="36" t="n">
        <x:v>9</x:v>
      </x:c>
      <x:c r="O573" s="44" t="str">
        <x:v>http-nio-8080-exec-13#83 | http-nio-8080-exec-38#248 | http-nio-8080-exec-39#249 | http-nio-8080-exec-40#252 | http-nio-8080-exec-42#254 | http-nio-8080-exec-43#288 | http-nio-8080-exec-44#289 | http-nio-8080-exec-45#290 | http-nio-8080-exec-46#291</x:v>
      </x:c>
      <x:c r="P573" s="36" t="n">
        <x:v>8</x:v>
      </x:c>
      <x:c r="Q573" s="44" t="str">
        <x:v>http-nio-8080-exec-38#248 | http-nio-8080-exec-39#249 | http-nio-8080-exec-40#252 | http-nio-8080-exec-42#254 | http-nio-8080-exec-43#288 | http-nio-8080-exec-44#289 | http-nio-8080-exec-45#290 | http-nio-8080-exec-46#291</x:v>
      </x:c>
      <x:c r="R573" s="36" t="n">
        <x:v>0</x:v>
      </x:c>
      <x:c r="S573" s="44"/>
      <x:c r="T573" s="36" t="n">
        <x:v>0</x:v>
      </x:c>
      <x:c r="U573" s="44"/>
      <x:c r="V573" s="36" t="n">
        <x:v>0</x:v>
      </x:c>
      <x:c r="W573" s="44"/>
      <x:c r="X573" s="34" t="str">
        <x:v>no-post-undeploy-thread-signal</x:v>
      </x:c>
      <x:c r="Y573" s="44" t="str">
        <x:v>automated signatures are JCS-specific; all other candidate application threads remain unattributed and ownership requires the archived full dump</x:v>
      </x:c>
    </x:row>
    <x:row r="574">
      <x:c r="A574" s="34" t="str">
        <x:v>article1-unified-v4-2-fb3f101b-20260903-000401-default-f05-p5-cache2k</x:v>
      </x:c>
      <x:c r="B574" s="34" t="str">
        <x:v>default</x:v>
      </x:c>
      <x:c r="C574" s="34" t="str">
        <x:v>cache2k</x:v>
      </x:c>
      <x:c r="D574" s="36" t="n">
        <x:v>5</x:v>
      </x:c>
      <x:c r="E574" s="36" t="n">
        <x:v>5</x:v>
      </x:c>
      <x:c r="F574" s="36" t="n">
        <x:v>5</x:v>
      </x:c>
      <x:c r="G574" s="36" t="n">
        <x:v>4</x:v>
      </x:c>
      <x:c r="H574" s="34" t="str">
        <x:v>firstUndeployThreadEvidenceEarly</x:v>
      </x:c>
      <x:c r="I574" s="36" t="n">
        <x:v>1</x:v>
      </x:c>
      <x:c r="J574" s="34" t="str">
        <x:v>early</x:v>
      </x:c>
      <x:c r="K574" s="36" t="n">
        <x:v>27</x:v>
      </x:c>
      <x:c r="L574" s="51" t="n">
        <x:v>0</x:v>
      </x:c>
      <x:c r="M574" s="51" t="n">
        <x:v>0</x:v>
      </x:c>
      <x:c r="N574" s="36" t="n">
        <x:v>10</x:v>
      </x:c>
      <x:c r="O574" s="44" t="str">
        <x:v>http-nio-8080-exec-13#83 | http-nio-8080-exec-39#249 | http-nio-8080-exec-40#252 | http-nio-8080-exec-44#289 | http-nio-8080-exec-45#290 | http-nio-8080-exec-47#294 | http-nio-8080-exec-48#295 | http-nio-8080-exec-49#329 | http-nio-8080-exec-50#330 | http-nio-8080-exec-51#331</x:v>
      </x:c>
      <x:c r="P574" s="36" t="n">
        <x:v>5</x:v>
      </x:c>
      <x:c r="Q574" s="44" t="str">
        <x:v>http-nio-8080-exec-47#294 | http-nio-8080-exec-48#295 | http-nio-8080-exec-49#329 | http-nio-8080-exec-50#330 | http-nio-8080-exec-51#331</x:v>
      </x:c>
      <x:c r="R574" s="36" t="n">
        <x:v>0</x:v>
      </x:c>
      <x:c r="S574" s="44"/>
      <x:c r="T574" s="36" t="n">
        <x:v>0</x:v>
      </x:c>
      <x:c r="U574" s="44"/>
      <x:c r="V574" s="36" t="n">
        <x:v>0</x:v>
      </x:c>
      <x:c r="W574" s="44"/>
      <x:c r="X574" s="34" t="str">
        <x:v>no-post-undeploy-thread-signal</x:v>
      </x:c>
      <x:c r="Y574" s="44" t="str">
        <x:v>automated signatures are JCS-specific; all other candidate application threads remain unattributed and ownership requires the archived full dump</x:v>
      </x:c>
    </x:row>
    <x:row r="575">
      <x:c r="A575" s="34" t="str">
        <x:v>article1-unified-v4-2-fb3f101b-20260903-000401-default-f05-p5-cache2k</x:v>
      </x:c>
      <x:c r="B575" s="34" t="str">
        <x:v>default</x:v>
      </x:c>
      <x:c r="C575" s="34" t="str">
        <x:v>cache2k</x:v>
      </x:c>
      <x:c r="D575" s="36" t="n">
        <x:v>5</x:v>
      </x:c>
      <x:c r="E575" s="36" t="n">
        <x:v>5</x:v>
      </x:c>
      <x:c r="F575" s="36" t="n">
        <x:v>5</x:v>
      </x:c>
      <x:c r="G575" s="36" t="n">
        <x:v>4</x:v>
      </x:c>
      <x:c r="H575" s="34" t="str">
        <x:v>firstUndeployThreadEvidenceFinal</x:v>
      </x:c>
      <x:c r="I575" s="36" t="n">
        <x:v>1</x:v>
      </x:c>
      <x:c r="J575" s="34" t="str">
        <x:v>final</x:v>
      </x:c>
      <x:c r="K575" s="36" t="n">
        <x:v>27</x:v>
      </x:c>
      <x:c r="L575" s="51" t="n">
        <x:v>0</x:v>
      </x:c>
      <x:c r="M575" s="51" t="n">
        <x:v>0</x:v>
      </x:c>
      <x:c r="N575" s="36" t="n">
        <x:v>10</x:v>
      </x:c>
      <x:c r="O575" s="44" t="str">
        <x:v>http-nio-8080-exec-13#83 | http-nio-8080-exec-39#249 | http-nio-8080-exec-40#252 | http-nio-8080-exec-44#289 | http-nio-8080-exec-45#290 | http-nio-8080-exec-47#294 | http-nio-8080-exec-49#329 | http-nio-8080-exec-50#330 | http-nio-8080-exec-51#331 | http-nio-8080-exec-52#332</x:v>
      </x:c>
      <x:c r="P575" s="36" t="n">
        <x:v>5</x:v>
      </x:c>
      <x:c r="Q575" s="44" t="str">
        <x:v>http-nio-8080-exec-47#294 | http-nio-8080-exec-49#329 | http-nio-8080-exec-50#330 | http-nio-8080-exec-51#331 | http-nio-8080-exec-52#332</x:v>
      </x:c>
      <x:c r="R575" s="36" t="n">
        <x:v>0</x:v>
      </x:c>
      <x:c r="S575" s="44"/>
      <x:c r="T575" s="36" t="n">
        <x:v>0</x:v>
      </x:c>
      <x:c r="U575" s="44"/>
      <x:c r="V575" s="36" t="n">
        <x:v>0</x:v>
      </x:c>
      <x:c r="W575" s="44"/>
      <x:c r="X575" s="34" t="str">
        <x:v>no-post-undeploy-thread-signal</x:v>
      </x:c>
      <x:c r="Y575" s="44" t="str">
        <x:v>automated signatures are JCS-specific; all other candidate application threads remain unattributed and ownership requires the archived full dump</x:v>
      </x:c>
    </x:row>
    <x:row r="576">
      <x:c r="A576" s="34" t="str">
        <x:v>article1-unified-v4-2-fb3f101b-20260903-000401-default-f05-p5-cache2k</x:v>
      </x:c>
      <x:c r="B576" s="34" t="str">
        <x:v>default</x:v>
      </x:c>
      <x:c r="C576" s="34" t="str">
        <x:v>cache2k</x:v>
      </x:c>
      <x:c r="D576" s="36" t="n">
        <x:v>5</x:v>
      </x:c>
      <x:c r="E576" s="36" t="n">
        <x:v>5</x:v>
      </x:c>
      <x:c r="F576" s="36" t="n">
        <x:v>5</x:v>
      </x:c>
      <x:c r="G576" s="36" t="n">
        <x:v>4</x:v>
      </x:c>
      <x:c r="H576" s="34" t="str">
        <x:v>finalUndeployThreadEvidenceEarly</x:v>
      </x:c>
      <x:c r="I576" s="36" t="n">
        <x:v>2</x:v>
      </x:c>
      <x:c r="J576" s="34" t="str">
        <x:v>early</x:v>
      </x:c>
      <x:c r="K576" s="36" t="n">
        <x:v>27</x:v>
      </x:c>
      <x:c r="L576" s="51" t="n">
        <x:v>0</x:v>
      </x:c>
      <x:c r="M576" s="51" t="n">
        <x:v>0</x:v>
      </x:c>
      <x:c r="N576" s="36" t="n">
        <x:v>10</x:v>
      </x:c>
      <x:c r="O576" s="44" t="str">
        <x:v>http-nio-8080-exec-40#252 | http-nio-8080-exec-45#290 | http-nio-8080-exec-50#330 | http-nio-8080-exec-51#331 | http-nio-8080-exec-52#332 | http-nio-8080-exec-53#335 | http-nio-8080-exec-54#336 | http-nio-8080-exec-56#371 | http-nio-8080-exec-57#372 | http-nio-8080-exec-58#373</x:v>
      </x:c>
      <x:c r="P576" s="36" t="n">
        <x:v>8</x:v>
      </x:c>
      <x:c r="Q576" s="44" t="str">
        <x:v>http-nio-8080-exec-50#330 | http-nio-8080-exec-51#331 | http-nio-8080-exec-52#332 | http-nio-8080-exec-53#335 | http-nio-8080-exec-54#336 | http-nio-8080-exec-56#371 | http-nio-8080-exec-57#372 | http-nio-8080-exec-58#373</x:v>
      </x:c>
      <x:c r="R576" s="36" t="n">
        <x:v>0</x:v>
      </x:c>
      <x:c r="S576" s="44"/>
      <x:c r="T576" s="36" t="n">
        <x:v>0</x:v>
      </x:c>
      <x:c r="U576" s="44"/>
      <x:c r="V576" s="36" t="n">
        <x:v>0</x:v>
      </x:c>
      <x:c r="W576" s="44"/>
      <x:c r="X576" s="34" t="str">
        <x:v>no-post-undeploy-thread-signal</x:v>
      </x:c>
      <x:c r="Y576" s="44" t="str">
        <x:v>automated signatures are JCS-specific; all other candidate application threads remain unattributed and ownership requires the archived full dump</x:v>
      </x:c>
    </x:row>
    <x:row r="577">
      <x:c r="A577" s="34" t="str">
        <x:v>article1-unified-v4-2-fb3f101b-20260903-000401-default-f05-p5-cache2k</x:v>
      </x:c>
      <x:c r="B577" s="34" t="str">
        <x:v>default</x:v>
      </x:c>
      <x:c r="C577" s="34" t="str">
        <x:v>cache2k</x:v>
      </x:c>
      <x:c r="D577" s="36" t="n">
        <x:v>5</x:v>
      </x:c>
      <x:c r="E577" s="36" t="n">
        <x:v>5</x:v>
      </x:c>
      <x:c r="F577" s="36" t="n">
        <x:v>5</x:v>
      </x:c>
      <x:c r="G577" s="36" t="n">
        <x:v>4</x:v>
      </x:c>
      <x:c r="H577" s="34" t="str">
        <x:v>finalUndeployThreadEvidenceFinal</x:v>
      </x:c>
      <x:c r="I577" s="36" t="n">
        <x:v>2</x:v>
      </x:c>
      <x:c r="J577" s="34" t="str">
        <x:v>final</x:v>
      </x:c>
      <x:c r="K577" s="36" t="n">
        <x:v>27</x:v>
      </x:c>
      <x:c r="L577" s="51" t="n">
        <x:v>0</x:v>
      </x:c>
      <x:c r="M577" s="51" t="n">
        <x:v>0</x:v>
      </x:c>
      <x:c r="N577" s="36" t="n">
        <x:v>10</x:v>
      </x:c>
      <x:c r="O577" s="44" t="str">
        <x:v>http-nio-8080-exec-40#252 | http-nio-8080-exec-45#290 | http-nio-8080-exec-50#330 | http-nio-8080-exec-51#331 | http-nio-8080-exec-52#332 | http-nio-8080-exec-53#335 | http-nio-8080-exec-54#336 | http-nio-8080-exec-57#372 | http-nio-8080-exec-58#373 | http-nio-8080-exec-59#374</x:v>
      </x:c>
      <x:c r="P577" s="36" t="n">
        <x:v>8</x:v>
      </x:c>
      <x:c r="Q577" s="44" t="str">
        <x:v>http-nio-8080-exec-50#330 | http-nio-8080-exec-51#331 | http-nio-8080-exec-52#332 | http-nio-8080-exec-53#335 | http-nio-8080-exec-54#336 | http-nio-8080-exec-57#372 | http-nio-8080-exec-58#373 | http-nio-8080-exec-59#374</x:v>
      </x:c>
      <x:c r="R577" s="36" t="n">
        <x:v>0</x:v>
      </x:c>
      <x:c r="S577" s="44"/>
      <x:c r="T577" s="36" t="n">
        <x:v>0</x:v>
      </x:c>
      <x:c r="U577" s="44"/>
      <x:c r="V577" s="36" t="n">
        <x:v>0</x:v>
      </x:c>
      <x:c r="W577" s="44"/>
      <x:c r="X577" s="34" t="str">
        <x:v>no-post-undeploy-thread-signal</x:v>
      </x:c>
      <x:c r="Y577" s="44" t="str">
        <x:v>automated signatures are JCS-specific; all other candidate application threads remain unattributed and ownership requires the archived full dump</x:v>
      </x:c>
    </x:row>
    <x:row r="578">
      <x:c r="A578" s="34" t="str">
        <x:v>article1-unified-v4-2-fb3f101b-20260903-000401-default-f05-p5-cache2k</x:v>
      </x:c>
      <x:c r="B578" s="34" t="str">
        <x:v>default</x:v>
      </x:c>
      <x:c r="C578" s="34" t="str">
        <x:v>cache2k</x:v>
      </x:c>
      <x:c r="D578" s="36" t="n">
        <x:v>5</x:v>
      </x:c>
      <x:c r="E578" s="36" t="n">
        <x:v>5</x:v>
      </x:c>
      <x:c r="F578" s="36" t="n">
        <x:v>5</x:v>
      </x:c>
      <x:c r="G578" s="36" t="n">
        <x:v>5</x:v>
      </x:c>
      <x:c r="H578" s="34" t="str">
        <x:v>firstUndeployThreadEvidenceEarly</x:v>
      </x:c>
      <x:c r="I578" s="36" t="n">
        <x:v>1</x:v>
      </x:c>
      <x:c r="J578" s="34" t="str">
        <x:v>early</x:v>
      </x:c>
      <x:c r="K578" s="36" t="n">
        <x:v>27</x:v>
      </x:c>
      <x:c r="L578" s="51" t="n">
        <x:v>0</x:v>
      </x:c>
      <x:c r="M578" s="51" t="n">
        <x:v>0</x:v>
      </x:c>
      <x:c r="N578" s="36" t="n">
        <x:v>10</x:v>
      </x:c>
      <x:c r="O578" s="44" t="str">
        <x:v>http-nio-8080-exec-51#331 | http-nio-8080-exec-53#335 | http-nio-8080-exec-57#372 | http-nio-8080-exec-58#373 | http-nio-8080-exec-59#374 | http-nio-8080-exec-60#377 | http-nio-8080-exec-61#378 | http-nio-8080-exec-62#412 | http-nio-8080-exec-63#413 | http-nio-8080-exec-64#414</x:v>
      </x:c>
      <x:c r="P578" s="36" t="n">
        <x:v>5</x:v>
      </x:c>
      <x:c r="Q578" s="44" t="str">
        <x:v>http-nio-8080-exec-60#377 | http-nio-8080-exec-61#378 | http-nio-8080-exec-62#412 | http-nio-8080-exec-63#413 | http-nio-8080-exec-64#414</x:v>
      </x:c>
      <x:c r="R578" s="36" t="n">
        <x:v>0</x:v>
      </x:c>
      <x:c r="S578" s="44"/>
      <x:c r="T578" s="36" t="n">
        <x:v>0</x:v>
      </x:c>
      <x:c r="U578" s="44"/>
      <x:c r="V578" s="36" t="n">
        <x:v>0</x:v>
      </x:c>
      <x:c r="W578" s="44"/>
      <x:c r="X578" s="34" t="str">
        <x:v>no-post-undeploy-thread-signal</x:v>
      </x:c>
      <x:c r="Y578" s="44" t="str">
        <x:v>automated signatures are JCS-specific; all other candidate application threads remain unattributed and ownership requires the archived full dump</x:v>
      </x:c>
    </x:row>
    <x:row r="579">
      <x:c r="A579" s="34" t="str">
        <x:v>article1-unified-v4-2-fb3f101b-20260903-000401-default-f05-p5-cache2k</x:v>
      </x:c>
      <x:c r="B579" s="34" t="str">
        <x:v>default</x:v>
      </x:c>
      <x:c r="C579" s="34" t="str">
        <x:v>cache2k</x:v>
      </x:c>
      <x:c r="D579" s="36" t="n">
        <x:v>5</x:v>
      </x:c>
      <x:c r="E579" s="36" t="n">
        <x:v>5</x:v>
      </x:c>
      <x:c r="F579" s="36" t="n">
        <x:v>5</x:v>
      </x:c>
      <x:c r="G579" s="36" t="n">
        <x:v>5</x:v>
      </x:c>
      <x:c r="H579" s="34" t="str">
        <x:v>firstUndeployThreadEvidenceFinal</x:v>
      </x:c>
      <x:c r="I579" s="36" t="n">
        <x:v>1</x:v>
      </x:c>
      <x:c r="J579" s="34" t="str">
        <x:v>final</x:v>
      </x:c>
      <x:c r="K579" s="36" t="n">
        <x:v>27</x:v>
      </x:c>
      <x:c r="L579" s="51" t="n">
        <x:v>0</x:v>
      </x:c>
      <x:c r="M579" s="51" t="n">
        <x:v>0</x:v>
      </x:c>
      <x:c r="N579" s="36" t="n">
        <x:v>10</x:v>
      </x:c>
      <x:c r="O579" s="44" t="str">
        <x:v>http-nio-8080-exec-51#331 | http-nio-8080-exec-53#335 | http-nio-8080-exec-57#372 | http-nio-8080-exec-58#373 | http-nio-8080-exec-59#374 | http-nio-8080-exec-60#377 | http-nio-8080-exec-62#412 | http-nio-8080-exec-63#413 | http-nio-8080-exec-64#414 | http-nio-8080-exec-65#415</x:v>
      </x:c>
      <x:c r="P579" s="36" t="n">
        <x:v>5</x:v>
      </x:c>
      <x:c r="Q579" s="44" t="str">
        <x:v>http-nio-8080-exec-60#377 | http-nio-8080-exec-62#412 | http-nio-8080-exec-63#413 | http-nio-8080-exec-64#414 | http-nio-8080-exec-65#415</x:v>
      </x:c>
      <x:c r="R579" s="36" t="n">
        <x:v>0</x:v>
      </x:c>
      <x:c r="S579" s="44"/>
      <x:c r="T579" s="36" t="n">
        <x:v>0</x:v>
      </x:c>
      <x:c r="U579" s="44"/>
      <x:c r="V579" s="36" t="n">
        <x:v>0</x:v>
      </x:c>
      <x:c r="W579" s="44"/>
      <x:c r="X579" s="34" t="str">
        <x:v>no-post-undeploy-thread-signal</x:v>
      </x:c>
      <x:c r="Y579" s="44" t="str">
        <x:v>automated signatures are JCS-specific; all other candidate application threads remain unattributed and ownership requires the archived full dump</x:v>
      </x:c>
    </x:row>
    <x:row r="580">
      <x:c r="A580" s="34" t="str">
        <x:v>article1-unified-v4-2-fb3f101b-20260903-000401-default-f05-p5-cache2k</x:v>
      </x:c>
      <x:c r="B580" s="34" t="str">
        <x:v>default</x:v>
      </x:c>
      <x:c r="C580" s="34" t="str">
        <x:v>cache2k</x:v>
      </x:c>
      <x:c r="D580" s="36" t="n">
        <x:v>5</x:v>
      </x:c>
      <x:c r="E580" s="36" t="n">
        <x:v>5</x:v>
      </x:c>
      <x:c r="F580" s="36" t="n">
        <x:v>5</x:v>
      </x:c>
      <x:c r="G580" s="36" t="n">
        <x:v>5</x:v>
      </x:c>
      <x:c r="H580" s="34" t="str">
        <x:v>finalUndeployThreadEvidenceEarly</x:v>
      </x:c>
      <x:c r="I580" s="36" t="n">
        <x:v>2</x:v>
      </x:c>
      <x:c r="J580" s="34" t="str">
        <x:v>early</x:v>
      </x:c>
      <x:c r="K580" s="36" t="n">
        <x:v>27</x:v>
      </x:c>
      <x:c r="L580" s="51" t="n">
        <x:v>0</x:v>
      </x:c>
      <x:c r="M580" s="51" t="n">
        <x:v>0</x:v>
      </x:c>
      <x:c r="N580" s="36" t="n">
        <x:v>10</x:v>
      </x:c>
      <x:c r="O580" s="44" t="str">
        <x:v>http-nio-8080-exec-60#377 | http-nio-8080-exec-63#413 | http-nio-8080-exec-64#414 | http-nio-8080-exec-65#415 | http-nio-8080-exec-66#418 | http-nio-8080-exec-67#419 | http-nio-8080-exec-68#420 | http-nio-8080-exec-69#454 | http-nio-8080-exec-70#455 | http-nio-8080-exec-71#456</x:v>
      </x:c>
      <x:c r="P580" s="36" t="n">
        <x:v>10</x:v>
      </x:c>
      <x:c r="Q580" s="44" t="str">
        <x:v>http-nio-8080-exec-60#377 | http-nio-8080-exec-63#413 | http-nio-8080-exec-64#414 | http-nio-8080-exec-65#415 | http-nio-8080-exec-66#418 | http-nio-8080-exec-67#419 | http-nio-8080-exec-68#420 | http-nio-8080-exec-69#454 | http-nio-8080-exec-70#455 | http-nio-8080-exec-71#456</x:v>
      </x:c>
      <x:c r="R580" s="36" t="n">
        <x:v>0</x:v>
      </x:c>
      <x:c r="S580" s="44"/>
      <x:c r="T580" s="36" t="n">
        <x:v>0</x:v>
      </x:c>
      <x:c r="U580" s="44"/>
      <x:c r="V580" s="36" t="n">
        <x:v>0</x:v>
      </x:c>
      <x:c r="W580" s="44"/>
      <x:c r="X580" s="34" t="str">
        <x:v>no-post-undeploy-thread-signal</x:v>
      </x:c>
      <x:c r="Y580" s="44" t="str">
        <x:v>automated signatures are JCS-specific; all other candidate application threads remain unattributed and ownership requires the archived full dump</x:v>
      </x:c>
    </x:row>
    <x:row r="581">
      <x:c r="A581" s="34" t="str">
        <x:v>article1-unified-v4-2-fb3f101b-20260903-000401-default-f05-p5-cache2k</x:v>
      </x:c>
      <x:c r="B581" s="34" t="str">
        <x:v>default</x:v>
      </x:c>
      <x:c r="C581" s="34" t="str">
        <x:v>cache2k</x:v>
      </x:c>
      <x:c r="D581" s="36" t="n">
        <x:v>5</x:v>
      </x:c>
      <x:c r="E581" s="36" t="n">
        <x:v>5</x:v>
      </x:c>
      <x:c r="F581" s="36" t="n">
        <x:v>5</x:v>
      </x:c>
      <x:c r="G581" s="36" t="n">
        <x:v>5</x:v>
      </x:c>
      <x:c r="H581" s="34" t="str">
        <x:v>finalUndeployThreadEvidenceFinal</x:v>
      </x:c>
      <x:c r="I581" s="36" t="n">
        <x:v>2</x:v>
      </x:c>
      <x:c r="J581" s="34" t="str">
        <x:v>final</x:v>
      </x:c>
      <x:c r="K581" s="36" t="n">
        <x:v>27</x:v>
      </x:c>
      <x:c r="L581" s="51" t="n">
        <x:v>0</x:v>
      </x:c>
      <x:c r="M581" s="51" t="n">
        <x:v>0</x:v>
      </x:c>
      <x:c r="N581" s="36" t="n">
        <x:v>10</x:v>
      </x:c>
      <x:c r="O581" s="44" t="str">
        <x:v>http-nio-8080-exec-60#377 | http-nio-8080-exec-63#413 | http-nio-8080-exec-64#414 | http-nio-8080-exec-65#415 | http-nio-8080-exec-66#418 | http-nio-8080-exec-67#419 | http-nio-8080-exec-68#420 | http-nio-8080-exec-70#455 | http-nio-8080-exec-71#456 | http-nio-8080-exec-72#457</x:v>
      </x:c>
      <x:c r="P581" s="36" t="n">
        <x:v>10</x:v>
      </x:c>
      <x:c r="Q581" s="44" t="str">
        <x:v>http-nio-8080-exec-60#377 | http-nio-8080-exec-63#413 | http-nio-8080-exec-64#414 | http-nio-8080-exec-65#415 | http-nio-8080-exec-66#418 | http-nio-8080-exec-67#419 | http-nio-8080-exec-68#420 | http-nio-8080-exec-70#455 | http-nio-8080-exec-71#456 | http-nio-8080-exec-72#457</x:v>
      </x:c>
      <x:c r="R581" s="36" t="n">
        <x:v>0</x:v>
      </x:c>
      <x:c r="S581" s="44"/>
      <x:c r="T581" s="36" t="n">
        <x:v>0</x:v>
      </x:c>
      <x:c r="U581" s="44"/>
      <x:c r="V581" s="36" t="n">
        <x:v>0</x:v>
      </x:c>
      <x:c r="W581" s="44"/>
      <x:c r="X581" s="34" t="str">
        <x:v>no-post-undeploy-thread-signal</x:v>
      </x:c>
      <x:c r="Y581" s="44" t="str">
        <x:v>automated signatures are JCS-specific; all other candidate application threads remain unattributed and ownership requires the archived full dump</x:v>
      </x:c>
    </x:row>
    <x:row r="582">
      <x:c r="A582" s="34" t="str">
        <x:v>article1-unified-v4-2-fb3f101b-20260903-000401-default-f05-p6-ehcache</x:v>
      </x:c>
      <x:c r="B582" s="34" t="str">
        <x:v>default</x:v>
      </x:c>
      <x:c r="C582" s="34" t="str">
        <x:v>ehcache</x:v>
      </x:c>
      <x:c r="D582" s="36" t="n">
        <x:v>5</x:v>
      </x:c>
      <x:c r="E582" s="36" t="n">
        <x:v>5</x:v>
      </x:c>
      <x:c r="F582" s="36" t="n">
        <x:v>6</x:v>
      </x:c>
      <x:c r="G582" s="36" t="n">
        <x:v>1</x:v>
      </x:c>
      <x:c r="H582" s="34" t="str">
        <x:v>firstUndeployThreadEvidenceEarly</x:v>
      </x:c>
      <x:c r="I582" s="36" t="n">
        <x:v>1</x:v>
      </x:c>
      <x:c r="J582" s="34" t="str">
        <x:v>early</x:v>
      </x:c>
      <x:c r="K582" s="36" t="n">
        <x:v>27</x:v>
      </x:c>
      <x:c r="L582" s="51" t="n">
        <x:v>0</x:v>
      </x:c>
      <x:c r="M582" s="51" t="n">
        <x:v>0</x:v>
      </x:c>
      <x:c r="N582" s="36" t="n">
        <x:v>2</x:v>
      </x:c>
      <x:c r="O582" s="44" t="str">
        <x:v>http-nio-8080-exec-11#80 | http-nio-8080-exec-12#81</x:v>
      </x:c>
      <x:c r="P582" s="36" t="n">
        <x:v>2</x:v>
      </x:c>
      <x:c r="Q582" s="44" t="str">
        <x:v>http-nio-8080-exec-11#80 | http-nio-8080-exec-12#81</x:v>
      </x:c>
      <x:c r="R582" s="36" t="n">
        <x:v>0</x:v>
      </x:c>
      <x:c r="S582" s="44"/>
      <x:c r="T582" s="36" t="n">
        <x:v>0</x:v>
      </x:c>
      <x:c r="U582" s="44"/>
      <x:c r="V582" s="36" t="n">
        <x:v>0</x:v>
      </x:c>
      <x:c r="W582" s="44"/>
      <x:c r="X582" s="34" t="str">
        <x:v>no-post-undeploy-thread-signal</x:v>
      </x:c>
      <x:c r="Y582" s="44" t="str">
        <x:v>automated signatures are JCS-specific; all other candidate application threads remain unattributed and ownership requires the archived full dump</x:v>
      </x:c>
    </x:row>
    <x:row r="583">
      <x:c r="A583" s="34" t="str">
        <x:v>article1-unified-v4-2-fb3f101b-20260903-000401-default-f05-p6-ehcache</x:v>
      </x:c>
      <x:c r="B583" s="34" t="str">
        <x:v>default</x:v>
      </x:c>
      <x:c r="C583" s="34" t="str">
        <x:v>ehcache</x:v>
      </x:c>
      <x:c r="D583" s="36" t="n">
        <x:v>5</x:v>
      </x:c>
      <x:c r="E583" s="36" t="n">
        <x:v>5</x:v>
      </x:c>
      <x:c r="F583" s="36" t="n">
        <x:v>6</x:v>
      </x:c>
      <x:c r="G583" s="36" t="n">
        <x:v>1</x:v>
      </x:c>
      <x:c r="H583" s="34" t="str">
        <x:v>firstUndeployThreadEvidenceFinal</x:v>
      </x:c>
      <x:c r="I583" s="36" t="n">
        <x:v>1</x:v>
      </x:c>
      <x:c r="J583" s="34" t="str">
        <x:v>final</x:v>
      </x:c>
      <x:c r="K583" s="36" t="n">
        <x:v>27</x:v>
      </x:c>
      <x:c r="L583" s="51" t="n">
        <x:v>0</x:v>
      </x:c>
      <x:c r="M583" s="51" t="n">
        <x:v>0</x:v>
      </x:c>
      <x:c r="N583" s="36" t="n">
        <x:v>3</x:v>
      </x:c>
      <x:c r="O583" s="44" t="str">
        <x:v>http-nio-8080-exec-11#80 | http-nio-8080-exec-12#81 | http-nio-8080-exec-13#82</x:v>
      </x:c>
      <x:c r="P583" s="36" t="n">
        <x:v>3</x:v>
      </x:c>
      <x:c r="Q583" s="44" t="str">
        <x:v>http-nio-8080-exec-11#80 | http-nio-8080-exec-12#81 | http-nio-8080-exec-13#82</x:v>
      </x:c>
      <x:c r="R583" s="36" t="n">
        <x:v>0</x:v>
      </x:c>
      <x:c r="S583" s="44"/>
      <x:c r="T583" s="36" t="n">
        <x:v>0</x:v>
      </x:c>
      <x:c r="U583" s="44"/>
      <x:c r="V583" s="36" t="n">
        <x:v>0</x:v>
      </x:c>
      <x:c r="W583" s="44"/>
      <x:c r="X583" s="34" t="str">
        <x:v>no-post-undeploy-thread-signal</x:v>
      </x:c>
      <x:c r="Y583" s="44" t="str">
        <x:v>automated signatures are JCS-specific; all other candidate application threads remain unattributed and ownership requires the archived full dump</x:v>
      </x:c>
    </x:row>
    <x:row r="584">
      <x:c r="A584" s="34" t="str">
        <x:v>article1-unified-v4-2-fb3f101b-20260903-000401-default-f05-p6-ehcache</x:v>
      </x:c>
      <x:c r="B584" s="34" t="str">
        <x:v>default</x:v>
      </x:c>
      <x:c r="C584" s="34" t="str">
        <x:v>ehcache</x:v>
      </x:c>
      <x:c r="D584" s="36" t="n">
        <x:v>5</x:v>
      </x:c>
      <x:c r="E584" s="36" t="n">
        <x:v>5</x:v>
      </x:c>
      <x:c r="F584" s="36" t="n">
        <x:v>6</x:v>
      </x:c>
      <x:c r="G584" s="36" t="n">
        <x:v>1</x:v>
      </x:c>
      <x:c r="H584" s="34" t="str">
        <x:v>finalUndeployThreadEvidenceEarly</x:v>
      </x:c>
      <x:c r="I584" s="36" t="n">
        <x:v>2</x:v>
      </x:c>
      <x:c r="J584" s="34" t="str">
        <x:v>early</x:v>
      </x:c>
      <x:c r="K584" s="36" t="n">
        <x:v>27</x:v>
      </x:c>
      <x:c r="L584" s="51" t="n">
        <x:v>0</x:v>
      </x:c>
      <x:c r="M584" s="51" t="n">
        <x:v>0</x:v>
      </x:c>
      <x:c r="N584" s="36" t="n">
        <x:v>8</x:v>
      </x:c>
      <x:c r="O584" s="44" t="str">
        <x:v>http-nio-8080-exec-11#80 | http-nio-8080-exec-12#81 | http-nio-8080-exec-14#85 | http-nio-8080-exec-15#86 | http-nio-8080-exec-16#87 | http-nio-8080-exec-17#120 | http-nio-8080-exec-18#121 | http-nio-8080-exec-19#122</x:v>
      </x:c>
      <x:c r="P584" s="36" t="n">
        <x:v>8</x:v>
      </x:c>
      <x:c r="Q584" s="44" t="str">
        <x:v>http-nio-8080-exec-11#80 | http-nio-8080-exec-12#81 | http-nio-8080-exec-14#85 | http-nio-8080-exec-15#86 | http-nio-8080-exec-16#87 | http-nio-8080-exec-17#120 | http-nio-8080-exec-18#121 | http-nio-8080-exec-19#122</x:v>
      </x:c>
      <x:c r="R584" s="36" t="n">
        <x:v>0</x:v>
      </x:c>
      <x:c r="S584" s="44"/>
      <x:c r="T584" s="36" t="n">
        <x:v>0</x:v>
      </x:c>
      <x:c r="U584" s="44"/>
      <x:c r="V584" s="36" t="n">
        <x:v>0</x:v>
      </x:c>
      <x:c r="W584" s="44"/>
      <x:c r="X584" s="34" t="str">
        <x:v>no-post-undeploy-thread-signal</x:v>
      </x:c>
      <x:c r="Y584" s="44" t="str">
        <x:v>automated signatures are JCS-specific; all other candidate application threads remain unattributed and ownership requires the archived full dump</x:v>
      </x:c>
    </x:row>
    <x:row r="585">
      <x:c r="A585" s="34" t="str">
        <x:v>article1-unified-v4-2-fb3f101b-20260903-000401-default-f05-p6-ehcache</x:v>
      </x:c>
      <x:c r="B585" s="34" t="str">
        <x:v>default</x:v>
      </x:c>
      <x:c r="C585" s="34" t="str">
        <x:v>ehcache</x:v>
      </x:c>
      <x:c r="D585" s="36" t="n">
        <x:v>5</x:v>
      </x:c>
      <x:c r="E585" s="36" t="n">
        <x:v>5</x:v>
      </x:c>
      <x:c r="F585" s="36" t="n">
        <x:v>6</x:v>
      </x:c>
      <x:c r="G585" s="36" t="n">
        <x:v>1</x:v>
      </x:c>
      <x:c r="H585" s="34" t="str">
        <x:v>finalUndeployThreadEvidenceFinal</x:v>
      </x:c>
      <x:c r="I585" s="36" t="n">
        <x:v>2</x:v>
      </x:c>
      <x:c r="J585" s="34" t="str">
        <x:v>final</x:v>
      </x:c>
      <x:c r="K585" s="36" t="n">
        <x:v>27</x:v>
      </x:c>
      <x:c r="L585" s="51" t="n">
        <x:v>0</x:v>
      </x:c>
      <x:c r="M585" s="51" t="n">
        <x:v>0</x:v>
      </x:c>
      <x:c r="N585" s="36" t="n">
        <x:v>8</x:v>
      </x:c>
      <x:c r="O585" s="44" t="str">
        <x:v>http-nio-8080-exec-11#80 | http-nio-8080-exec-14#85 | http-nio-8080-exec-15#86 | http-nio-8080-exec-16#87 | http-nio-8080-exec-17#120 | http-nio-8080-exec-18#121 | http-nio-8080-exec-19#122 | http-nio-8080-exec-20#123</x:v>
      </x:c>
      <x:c r="P585" s="36" t="n">
        <x:v>8</x:v>
      </x:c>
      <x:c r="Q585" s="44" t="str">
        <x:v>http-nio-8080-exec-11#80 | http-nio-8080-exec-14#85 | http-nio-8080-exec-15#86 | http-nio-8080-exec-16#87 | http-nio-8080-exec-17#120 | http-nio-8080-exec-18#121 | http-nio-8080-exec-19#122 | http-nio-8080-exec-20#123</x:v>
      </x:c>
      <x:c r="R585" s="36" t="n">
        <x:v>0</x:v>
      </x:c>
      <x:c r="S585" s="44"/>
      <x:c r="T585" s="36" t="n">
        <x:v>0</x:v>
      </x:c>
      <x:c r="U585" s="44"/>
      <x:c r="V585" s="36" t="n">
        <x:v>0</x:v>
      </x:c>
      <x:c r="W585" s="44"/>
      <x:c r="X585" s="34" t="str">
        <x:v>no-post-undeploy-thread-signal</x:v>
      </x:c>
      <x:c r="Y585" s="44" t="str">
        <x:v>automated signatures are JCS-specific; all other candidate application threads remain unattributed and ownership requires the archived full dump</x:v>
      </x:c>
    </x:row>
    <x:row r="586">
      <x:c r="A586" s="34" t="str">
        <x:v>article1-unified-v4-2-fb3f101b-20260903-000401-default-f05-p6-ehcache</x:v>
      </x:c>
      <x:c r="B586" s="34" t="str">
        <x:v>default</x:v>
      </x:c>
      <x:c r="C586" s="34" t="str">
        <x:v>ehcache</x:v>
      </x:c>
      <x:c r="D586" s="36" t="n">
        <x:v>5</x:v>
      </x:c>
      <x:c r="E586" s="36" t="n">
        <x:v>5</x:v>
      </x:c>
      <x:c r="F586" s="36" t="n">
        <x:v>6</x:v>
      </x:c>
      <x:c r="G586" s="36" t="n">
        <x:v>2</x:v>
      </x:c>
      <x:c r="H586" s="34" t="str">
        <x:v>firstUndeployThreadEvidenceEarly</x:v>
      </x:c>
      <x:c r="I586" s="36" t="n">
        <x:v>1</x:v>
      </x:c>
      <x:c r="J586" s="34" t="str">
        <x:v>early</x:v>
      </x:c>
      <x:c r="K586" s="36" t="n">
        <x:v>27</x:v>
      </x:c>
      <x:c r="L586" s="51" t="n">
        <x:v>0</x:v>
      </x:c>
      <x:c r="M586" s="51" t="n">
        <x:v>0</x:v>
      </x:c>
      <x:c r="N586" s="36" t="n">
        <x:v>9</x:v>
      </x:c>
      <x:c r="O586" s="44" t="str">
        <x:v>http-nio-8080-exec-14#85 | http-nio-8080-exec-15#86 | http-nio-8080-exec-19#122 | http-nio-8080-exec-20#123 | http-nio-8080-exec-21#126 | http-nio-8080-exec-22#127 | http-nio-8080-exec-23#160 | http-nio-8080-exec-24#161 | http-nio-8080-exec-25#162</x:v>
      </x:c>
      <x:c r="P586" s="36" t="n">
        <x:v>5</x:v>
      </x:c>
      <x:c r="Q586" s="44" t="str">
        <x:v>http-nio-8080-exec-21#126 | http-nio-8080-exec-22#127 | http-nio-8080-exec-23#160 | http-nio-8080-exec-24#161 | http-nio-8080-exec-25#162</x:v>
      </x:c>
      <x:c r="R586" s="36" t="n">
        <x:v>0</x:v>
      </x:c>
      <x:c r="S586" s="44"/>
      <x:c r="T586" s="36" t="n">
        <x:v>0</x:v>
      </x:c>
      <x:c r="U586" s="44"/>
      <x:c r="V586" s="36" t="n">
        <x:v>0</x:v>
      </x:c>
      <x:c r="W586" s="44"/>
      <x:c r="X586" s="34" t="str">
        <x:v>no-post-undeploy-thread-signal</x:v>
      </x:c>
      <x:c r="Y586" s="44" t="str">
        <x:v>automated signatures are JCS-specific; all other candidate application threads remain unattributed and ownership requires the archived full dump</x:v>
      </x:c>
    </x:row>
    <x:row r="587">
      <x:c r="A587" s="34" t="str">
        <x:v>article1-unified-v4-2-fb3f101b-20260903-000401-default-f05-p6-ehcache</x:v>
      </x:c>
      <x:c r="B587" s="34" t="str">
        <x:v>default</x:v>
      </x:c>
      <x:c r="C587" s="34" t="str">
        <x:v>ehcache</x:v>
      </x:c>
      <x:c r="D587" s="36" t="n">
        <x:v>5</x:v>
      </x:c>
      <x:c r="E587" s="36" t="n">
        <x:v>5</x:v>
      </x:c>
      <x:c r="F587" s="36" t="n">
        <x:v>6</x:v>
      </x:c>
      <x:c r="G587" s="36" t="n">
        <x:v>2</x:v>
      </x:c>
      <x:c r="H587" s="34" t="str">
        <x:v>firstUndeployThreadEvidenceFinal</x:v>
      </x:c>
      <x:c r="I587" s="36" t="n">
        <x:v>1</x:v>
      </x:c>
      <x:c r="J587" s="34" t="str">
        <x:v>final</x:v>
      </x:c>
      <x:c r="K587" s="36" t="n">
        <x:v>27</x:v>
      </x:c>
      <x:c r="L587" s="51" t="n">
        <x:v>0</x:v>
      </x:c>
      <x:c r="M587" s="51" t="n">
        <x:v>0</x:v>
      </x:c>
      <x:c r="N587" s="36" t="n">
        <x:v>9</x:v>
      </x:c>
      <x:c r="O587" s="44" t="str">
        <x:v>http-nio-8080-exec-14#85 | http-nio-8080-exec-15#86 | http-nio-8080-exec-19#122 | http-nio-8080-exec-20#123 | http-nio-8080-exec-21#126 | http-nio-8080-exec-23#160 | http-nio-8080-exec-24#161 | http-nio-8080-exec-25#162 | http-nio-8080-exec-26#163</x:v>
      </x:c>
      <x:c r="P587" s="36" t="n">
        <x:v>5</x:v>
      </x:c>
      <x:c r="Q587" s="44" t="str">
        <x:v>http-nio-8080-exec-21#126 | http-nio-8080-exec-23#160 | http-nio-8080-exec-24#161 | http-nio-8080-exec-25#162 | http-nio-8080-exec-26#163</x:v>
      </x:c>
      <x:c r="R587" s="36" t="n">
        <x:v>0</x:v>
      </x:c>
      <x:c r="S587" s="44"/>
      <x:c r="T587" s="36" t="n">
        <x:v>0</x:v>
      </x:c>
      <x:c r="U587" s="44"/>
      <x:c r="V587" s="36" t="n">
        <x:v>0</x:v>
      </x:c>
      <x:c r="W587" s="44"/>
      <x:c r="X587" s="34" t="str">
        <x:v>no-post-undeploy-thread-signal</x:v>
      </x:c>
      <x:c r="Y587" s="44" t="str">
        <x:v>automated signatures are JCS-specific; all other candidate application threads remain unattributed and ownership requires the archived full dump</x:v>
      </x:c>
    </x:row>
    <x:row r="588">
      <x:c r="A588" s="34" t="str">
        <x:v>article1-unified-v4-2-fb3f101b-20260903-000401-default-f05-p6-ehcache</x:v>
      </x:c>
      <x:c r="B588" s="34" t="str">
        <x:v>default</x:v>
      </x:c>
      <x:c r="C588" s="34" t="str">
        <x:v>ehcache</x:v>
      </x:c>
      <x:c r="D588" s="36" t="n">
        <x:v>5</x:v>
      </x:c>
      <x:c r="E588" s="36" t="n">
        <x:v>5</x:v>
      </x:c>
      <x:c r="F588" s="36" t="n">
        <x:v>6</x:v>
      </x:c>
      <x:c r="G588" s="36" t="n">
        <x:v>2</x:v>
      </x:c>
      <x:c r="H588" s="34" t="str">
        <x:v>finalUndeployThreadEvidenceEarly</x:v>
      </x:c>
      <x:c r="I588" s="36" t="n">
        <x:v>2</x:v>
      </x:c>
      <x:c r="J588" s="34" t="str">
        <x:v>early</x:v>
      </x:c>
      <x:c r="K588" s="36" t="n">
        <x:v>27</x:v>
      </x:c>
      <x:c r="L588" s="51" t="n">
        <x:v>0</x:v>
      </x:c>
      <x:c r="M588" s="51" t="n">
        <x:v>0</x:v>
      </x:c>
      <x:c r="N588" s="36" t="n">
        <x:v>10</x:v>
      </x:c>
      <x:c r="O588" s="44" t="str">
        <x:v>http-nio-8080-exec-20#123 | http-nio-8080-exec-23#160 | http-nio-8080-exec-24#161 | http-nio-8080-exec-25#162 | http-nio-8080-exec-26#163 | http-nio-8080-exec-28#167 | http-nio-8080-exec-29#168 | http-nio-8080-exec-30#201 | http-nio-8080-exec-31#202 | http-nio-8080-exec-32#203</x:v>
      </x:c>
      <x:c r="P588" s="36" t="n">
        <x:v>9</x:v>
      </x:c>
      <x:c r="Q588" s="44" t="str">
        <x:v>http-nio-8080-exec-23#160 | http-nio-8080-exec-24#161 | http-nio-8080-exec-25#162 | http-nio-8080-exec-26#163 | http-nio-8080-exec-28#167 | http-nio-8080-exec-29#168 | http-nio-8080-exec-30#201 | http-nio-8080-exec-31#202 | http-nio-8080-exec-32#203</x:v>
      </x:c>
      <x:c r="R588" s="36" t="n">
        <x:v>0</x:v>
      </x:c>
      <x:c r="S588" s="44"/>
      <x:c r="T588" s="36" t="n">
        <x:v>0</x:v>
      </x:c>
      <x:c r="U588" s="44"/>
      <x:c r="V588" s="36" t="n">
        <x:v>0</x:v>
      </x:c>
      <x:c r="W588" s="44"/>
      <x:c r="X588" s="34" t="str">
        <x:v>no-post-undeploy-thread-signal</x:v>
      </x:c>
      <x:c r="Y588" s="44" t="str">
        <x:v>automated signatures are JCS-specific; all other candidate application threads remain unattributed and ownership requires the archived full dump</x:v>
      </x:c>
    </x:row>
    <x:row r="589">
      <x:c r="A589" s="34" t="str">
        <x:v>article1-unified-v4-2-fb3f101b-20260903-000401-default-f05-p6-ehcache</x:v>
      </x:c>
      <x:c r="B589" s="34" t="str">
        <x:v>default</x:v>
      </x:c>
      <x:c r="C589" s="34" t="str">
        <x:v>ehcache</x:v>
      </x:c>
      <x:c r="D589" s="36" t="n">
        <x:v>5</x:v>
      </x:c>
      <x:c r="E589" s="36" t="n">
        <x:v>5</x:v>
      </x:c>
      <x:c r="F589" s="36" t="n">
        <x:v>6</x:v>
      </x:c>
      <x:c r="G589" s="36" t="n">
        <x:v>2</x:v>
      </x:c>
      <x:c r="H589" s="34" t="str">
        <x:v>finalUndeployThreadEvidenceFinal</x:v>
      </x:c>
      <x:c r="I589" s="36" t="n">
        <x:v>2</x:v>
      </x:c>
      <x:c r="J589" s="34" t="str">
        <x:v>final</x:v>
      </x:c>
      <x:c r="K589" s="36" t="n">
        <x:v>27</x:v>
      </x:c>
      <x:c r="L589" s="51" t="n">
        <x:v>0</x:v>
      </x:c>
      <x:c r="M589" s="51" t="n">
        <x:v>0</x:v>
      </x:c>
      <x:c r="N589" s="36" t="n">
        <x:v>10</x:v>
      </x:c>
      <x:c r="O589" s="44" t="str">
        <x:v>http-nio-8080-exec-20#123 | http-nio-8080-exec-23#160 | http-nio-8080-exec-24#161 | http-nio-8080-exec-26#163 | http-nio-8080-exec-28#167 | http-nio-8080-exec-29#168 | http-nio-8080-exec-30#201 | http-nio-8080-exec-31#202 | http-nio-8080-exec-32#203 | http-nio-8080-exec-33#204</x:v>
      </x:c>
      <x:c r="P589" s="36" t="n">
        <x:v>9</x:v>
      </x:c>
      <x:c r="Q589" s="44" t="str">
        <x:v>http-nio-8080-exec-23#160 | http-nio-8080-exec-24#161 | http-nio-8080-exec-26#163 | http-nio-8080-exec-28#167 | http-nio-8080-exec-29#168 | http-nio-8080-exec-30#201 | http-nio-8080-exec-31#202 | http-nio-8080-exec-32#203 | http-nio-8080-exec-33#204</x:v>
      </x:c>
      <x:c r="R589" s="36" t="n">
        <x:v>0</x:v>
      </x:c>
      <x:c r="S589" s="44"/>
      <x:c r="T589" s="36" t="n">
        <x:v>0</x:v>
      </x:c>
      <x:c r="U589" s="44"/>
      <x:c r="V589" s="36" t="n">
        <x:v>0</x:v>
      </x:c>
      <x:c r="W589" s="44"/>
      <x:c r="X589" s="34" t="str">
        <x:v>no-post-undeploy-thread-signal</x:v>
      </x:c>
      <x:c r="Y589" s="44" t="str">
        <x:v>automated signatures are JCS-specific; all other candidate application threads remain unattributed and ownership requires the archived full dump</x:v>
      </x:c>
    </x:row>
    <x:row r="590">
      <x:c r="A590" s="34" t="str">
        <x:v>article1-unified-v4-2-fb3f101b-20260903-000401-default-f05-p6-ehcache</x:v>
      </x:c>
      <x:c r="B590" s="34" t="str">
        <x:v>default</x:v>
      </x:c>
      <x:c r="C590" s="34" t="str">
        <x:v>ehcache</x:v>
      </x:c>
      <x:c r="D590" s="36" t="n">
        <x:v>5</x:v>
      </x:c>
      <x:c r="E590" s="36" t="n">
        <x:v>5</x:v>
      </x:c>
      <x:c r="F590" s="36" t="n">
        <x:v>6</x:v>
      </x:c>
      <x:c r="G590" s="36" t="n">
        <x:v>3</x:v>
      </x:c>
      <x:c r="H590" s="34" t="str">
        <x:v>firstUndeployThreadEvidenceEarly</x:v>
      </x:c>
      <x:c r="I590" s="36" t="n">
        <x:v>1</x:v>
      </x:c>
      <x:c r="J590" s="34" t="str">
        <x:v>early</x:v>
      </x:c>
      <x:c r="K590" s="36" t="n">
        <x:v>27</x:v>
      </x:c>
      <x:c r="L590" s="51" t="n">
        <x:v>0</x:v>
      </x:c>
      <x:c r="M590" s="51" t="n">
        <x:v>0</x:v>
      </x:c>
      <x:c r="N590" s="36" t="n">
        <x:v>10</x:v>
      </x:c>
      <x:c r="O590" s="44" t="str">
        <x:v>http-nio-8080-exec-23#160 | http-nio-8080-exec-30#201 | http-nio-8080-exec-31#202 | http-nio-8080-exec-32#203 | http-nio-8080-exec-33#204 | http-nio-8080-exec-34#207 | http-nio-8080-exec-35#208 | http-nio-8080-exec-36#241 | http-nio-8080-exec-37#242 | http-nio-8080-exec-38#243</x:v>
      </x:c>
      <x:c r="P590" s="36" t="n">
        <x:v>5</x:v>
      </x:c>
      <x:c r="Q590" s="44" t="str">
        <x:v>http-nio-8080-exec-34#207 | http-nio-8080-exec-35#208 | http-nio-8080-exec-36#241 | http-nio-8080-exec-37#242 | http-nio-8080-exec-38#243</x:v>
      </x:c>
      <x:c r="R590" s="36" t="n">
        <x:v>0</x:v>
      </x:c>
      <x:c r="S590" s="44"/>
      <x:c r="T590" s="36" t="n">
        <x:v>0</x:v>
      </x:c>
      <x:c r="U590" s="44"/>
      <x:c r="V590" s="36" t="n">
        <x:v>0</x:v>
      </x:c>
      <x:c r="W590" s="44"/>
      <x:c r="X590" s="34" t="str">
        <x:v>no-post-undeploy-thread-signal</x:v>
      </x:c>
      <x:c r="Y590" s="44" t="str">
        <x:v>automated signatures are JCS-specific; all other candidate application threads remain unattributed and ownership requires the archived full dump</x:v>
      </x:c>
    </x:row>
    <x:row r="591">
      <x:c r="A591" s="34" t="str">
        <x:v>article1-unified-v4-2-fb3f101b-20260903-000401-default-f05-p6-ehcache</x:v>
      </x:c>
      <x:c r="B591" s="34" t="str">
        <x:v>default</x:v>
      </x:c>
      <x:c r="C591" s="34" t="str">
        <x:v>ehcache</x:v>
      </x:c>
      <x:c r="D591" s="36" t="n">
        <x:v>5</x:v>
      </x:c>
      <x:c r="E591" s="36" t="n">
        <x:v>5</x:v>
      </x:c>
      <x:c r="F591" s="36" t="n">
        <x:v>6</x:v>
      </x:c>
      <x:c r="G591" s="36" t="n">
        <x:v>3</x:v>
      </x:c>
      <x:c r="H591" s="34" t="str">
        <x:v>firstUndeployThreadEvidenceFinal</x:v>
      </x:c>
      <x:c r="I591" s="36" t="n">
        <x:v>1</x:v>
      </x:c>
      <x:c r="J591" s="34" t="str">
        <x:v>final</x:v>
      </x:c>
      <x:c r="K591" s="36" t="n">
        <x:v>27</x:v>
      </x:c>
      <x:c r="L591" s="51" t="n">
        <x:v>0</x:v>
      </x:c>
      <x:c r="M591" s="51" t="n">
        <x:v>0</x:v>
      </x:c>
      <x:c r="N591" s="36" t="n">
        <x:v>10</x:v>
      </x:c>
      <x:c r="O591" s="44" t="str">
        <x:v>http-nio-8080-exec-23#160 | http-nio-8080-exec-31#202 | http-nio-8080-exec-32#203 | http-nio-8080-exec-33#204 | http-nio-8080-exec-34#207 | http-nio-8080-exec-35#208 | http-nio-8080-exec-36#241 | http-nio-8080-exec-37#242 | http-nio-8080-exec-38#243 | http-nio-8080-exec-39#244</x:v>
      </x:c>
      <x:c r="P591" s="36" t="n">
        <x:v>6</x:v>
      </x:c>
      <x:c r="Q591" s="44" t="str">
        <x:v>http-nio-8080-exec-34#207 | http-nio-8080-exec-35#208 | http-nio-8080-exec-36#241 | http-nio-8080-exec-37#242 | http-nio-8080-exec-38#243 | http-nio-8080-exec-39#244</x:v>
      </x:c>
      <x:c r="R591" s="36" t="n">
        <x:v>0</x:v>
      </x:c>
      <x:c r="S591" s="44"/>
      <x:c r="T591" s="36" t="n">
        <x:v>0</x:v>
      </x:c>
      <x:c r="U591" s="44"/>
      <x:c r="V591" s="36" t="n">
        <x:v>0</x:v>
      </x:c>
      <x:c r="W591" s="44"/>
      <x:c r="X591" s="34" t="str">
        <x:v>no-post-undeploy-thread-signal</x:v>
      </x:c>
      <x:c r="Y591" s="44" t="str">
        <x:v>automated signatures are JCS-specific; all other candidate application threads remain unattributed and ownership requires the archived full dump</x:v>
      </x:c>
    </x:row>
    <x:row r="592">
      <x:c r="A592" s="34" t="str">
        <x:v>article1-unified-v4-2-fb3f101b-20260903-000401-default-f05-p6-ehcache</x:v>
      </x:c>
      <x:c r="B592" s="34" t="str">
        <x:v>default</x:v>
      </x:c>
      <x:c r="C592" s="34" t="str">
        <x:v>ehcache</x:v>
      </x:c>
      <x:c r="D592" s="36" t="n">
        <x:v>5</x:v>
      </x:c>
      <x:c r="E592" s="36" t="n">
        <x:v>5</x:v>
      </x:c>
      <x:c r="F592" s="36" t="n">
        <x:v>6</x:v>
      </x:c>
      <x:c r="G592" s="36" t="n">
        <x:v>3</x:v>
      </x:c>
      <x:c r="H592" s="34" t="str">
        <x:v>finalUndeployThreadEvidenceEarly</x:v>
      </x:c>
      <x:c r="I592" s="36" t="n">
        <x:v>2</x:v>
      </x:c>
      <x:c r="J592" s="34" t="str">
        <x:v>early</x:v>
      </x:c>
      <x:c r="K592" s="36" t="n">
        <x:v>27</x:v>
      </x:c>
      <x:c r="L592" s="51" t="n">
        <x:v>0</x:v>
      </x:c>
      <x:c r="M592" s="51" t="n">
        <x:v>0</x:v>
      </x:c>
      <x:c r="N592" s="36" t="n">
        <x:v>10</x:v>
      </x:c>
      <x:c r="O592" s="44" t="str">
        <x:v>http-nio-8080-exec-23#160 | http-nio-8080-exec-32#203 | http-nio-8080-exec-37#242 | http-nio-8080-exec-38#243 | http-nio-8080-exec-40#247 | http-nio-8080-exec-41#248 | http-nio-8080-exec-42#249 | http-nio-8080-exec-43#282 | http-nio-8080-exec-44#283 | http-nio-8080-exec-45#284</x:v>
      </x:c>
      <x:c r="P592" s="36" t="n">
        <x:v>8</x:v>
      </x:c>
      <x:c r="Q592" s="44" t="str">
        <x:v>http-nio-8080-exec-37#242 | http-nio-8080-exec-38#243 | http-nio-8080-exec-40#247 | http-nio-8080-exec-41#248 | http-nio-8080-exec-42#249 | http-nio-8080-exec-43#282 | http-nio-8080-exec-44#283 | http-nio-8080-exec-45#284</x:v>
      </x:c>
      <x:c r="R592" s="36" t="n">
        <x:v>0</x:v>
      </x:c>
      <x:c r="S592" s="44"/>
      <x:c r="T592" s="36" t="n">
        <x:v>0</x:v>
      </x:c>
      <x:c r="U592" s="44"/>
      <x:c r="V592" s="36" t="n">
        <x:v>0</x:v>
      </x:c>
      <x:c r="W592" s="44"/>
      <x:c r="X592" s="34" t="str">
        <x:v>no-post-undeploy-thread-signal</x:v>
      </x:c>
      <x:c r="Y592" s="44" t="str">
        <x:v>automated signatures are JCS-specific; all other candidate application threads remain unattributed and ownership requires the archived full dump</x:v>
      </x:c>
    </x:row>
    <x:row r="593">
      <x:c r="A593" s="34" t="str">
        <x:v>article1-unified-v4-2-fb3f101b-20260903-000401-default-f05-p6-ehcache</x:v>
      </x:c>
      <x:c r="B593" s="34" t="str">
        <x:v>default</x:v>
      </x:c>
      <x:c r="C593" s="34" t="str">
        <x:v>ehcache</x:v>
      </x:c>
      <x:c r="D593" s="36" t="n">
        <x:v>5</x:v>
      </x:c>
      <x:c r="E593" s="36" t="n">
        <x:v>5</x:v>
      </x:c>
      <x:c r="F593" s="36" t="n">
        <x:v>6</x:v>
      </x:c>
      <x:c r="G593" s="36" t="n">
        <x:v>3</x:v>
      </x:c>
      <x:c r="H593" s="34" t="str">
        <x:v>finalUndeployThreadEvidenceFinal</x:v>
      </x:c>
      <x:c r="I593" s="36" t="n">
        <x:v>2</x:v>
      </x:c>
      <x:c r="J593" s="34" t="str">
        <x:v>final</x:v>
      </x:c>
      <x:c r="K593" s="36" t="n">
        <x:v>27</x:v>
      </x:c>
      <x:c r="L593" s="51" t="n">
        <x:v>0</x:v>
      </x:c>
      <x:c r="M593" s="51" t="n">
        <x:v>0</x:v>
      </x:c>
      <x:c r="N593" s="36" t="n">
        <x:v>10</x:v>
      </x:c>
      <x:c r="O593" s="44" t="str">
        <x:v>http-nio-8080-exec-23#160 | http-nio-8080-exec-32#203 | http-nio-8080-exec-37#242 | http-nio-8080-exec-38#243 | http-nio-8080-exec-40#247 | http-nio-8080-exec-41#248 | http-nio-8080-exec-42#249 | http-nio-8080-exec-44#283 | http-nio-8080-exec-45#284 | http-nio-8080-exec-46#285</x:v>
      </x:c>
      <x:c r="P593" s="36" t="n">
        <x:v>8</x:v>
      </x:c>
      <x:c r="Q593" s="44" t="str">
        <x:v>http-nio-8080-exec-37#242 | http-nio-8080-exec-38#243 | http-nio-8080-exec-40#247 | http-nio-8080-exec-41#248 | http-nio-8080-exec-42#249 | http-nio-8080-exec-44#283 | http-nio-8080-exec-45#284 | http-nio-8080-exec-46#285</x:v>
      </x:c>
      <x:c r="R593" s="36" t="n">
        <x:v>0</x:v>
      </x:c>
      <x:c r="S593" s="44"/>
      <x:c r="T593" s="36" t="n">
        <x:v>0</x:v>
      </x:c>
      <x:c r="U593" s="44"/>
      <x:c r="V593" s="36" t="n">
        <x:v>0</x:v>
      </x:c>
      <x:c r="W593" s="44"/>
      <x:c r="X593" s="34" t="str">
        <x:v>no-post-undeploy-thread-signal</x:v>
      </x:c>
      <x:c r="Y593" s="44" t="str">
        <x:v>automated signatures are JCS-specific; all other candidate application threads remain unattributed and ownership requires the archived full dump</x:v>
      </x:c>
    </x:row>
    <x:row r="594">
      <x:c r="A594" s="34" t="str">
        <x:v>article1-unified-v4-2-fb3f101b-20260903-000401-default-f05-p6-ehcache</x:v>
      </x:c>
      <x:c r="B594" s="34" t="str">
        <x:v>default</x:v>
      </x:c>
      <x:c r="C594" s="34" t="str">
        <x:v>ehcache</x:v>
      </x:c>
      <x:c r="D594" s="36" t="n">
        <x:v>5</x:v>
      </x:c>
      <x:c r="E594" s="36" t="n">
        <x:v>5</x:v>
      </x:c>
      <x:c r="F594" s="36" t="n">
        <x:v>6</x:v>
      </x:c>
      <x:c r="G594" s="36" t="n">
        <x:v>4</x:v>
      </x:c>
      <x:c r="H594" s="34" t="str">
        <x:v>firstUndeployThreadEvidenceEarly</x:v>
      </x:c>
      <x:c r="I594" s="36" t="n">
        <x:v>1</x:v>
      </x:c>
      <x:c r="J594" s="34" t="str">
        <x:v>early</x:v>
      </x:c>
      <x:c r="K594" s="36" t="n">
        <x:v>27</x:v>
      </x:c>
      <x:c r="L594" s="51" t="n">
        <x:v>0</x:v>
      </x:c>
      <x:c r="M594" s="51" t="n">
        <x:v>0</x:v>
      </x:c>
      <x:c r="N594" s="36" t="n">
        <x:v>10</x:v>
      </x:c>
      <x:c r="O594" s="44" t="str">
        <x:v>http-nio-8080-exec-23#160 | http-nio-8080-exec-42#249 | http-nio-8080-exec-44#283 | http-nio-8080-exec-45#284 | http-nio-8080-exec-46#285 | http-nio-8080-exec-47#288 | http-nio-8080-exec-48#289 | http-nio-8080-exec-49#322 | http-nio-8080-exec-50#323 | http-nio-8080-exec-51#324</x:v>
      </x:c>
      <x:c r="P594" s="36" t="n">
        <x:v>5</x:v>
      </x:c>
      <x:c r="Q594" s="44" t="str">
        <x:v>http-nio-8080-exec-47#288 | http-nio-8080-exec-48#289 | http-nio-8080-exec-49#322 | http-nio-8080-exec-50#323 | http-nio-8080-exec-51#324</x:v>
      </x:c>
      <x:c r="R594" s="36" t="n">
        <x:v>0</x:v>
      </x:c>
      <x:c r="S594" s="44"/>
      <x:c r="T594" s="36" t="n">
        <x:v>0</x:v>
      </x:c>
      <x:c r="U594" s="44"/>
      <x:c r="V594" s="36" t="n">
        <x:v>0</x:v>
      </x:c>
      <x:c r="W594" s="44"/>
      <x:c r="X594" s="34" t="str">
        <x:v>no-post-undeploy-thread-signal</x:v>
      </x:c>
      <x:c r="Y594" s="44" t="str">
        <x:v>automated signatures are JCS-specific; all other candidate application threads remain unattributed and ownership requires the archived full dump</x:v>
      </x:c>
    </x:row>
    <x:row r="595">
      <x:c r="A595" s="34" t="str">
        <x:v>article1-unified-v4-2-fb3f101b-20260903-000401-default-f05-p6-ehcache</x:v>
      </x:c>
      <x:c r="B595" s="34" t="str">
        <x:v>default</x:v>
      </x:c>
      <x:c r="C595" s="34" t="str">
        <x:v>ehcache</x:v>
      </x:c>
      <x:c r="D595" s="36" t="n">
        <x:v>5</x:v>
      </x:c>
      <x:c r="E595" s="36" t="n">
        <x:v>5</x:v>
      </x:c>
      <x:c r="F595" s="36" t="n">
        <x:v>6</x:v>
      </x:c>
      <x:c r="G595" s="36" t="n">
        <x:v>4</x:v>
      </x:c>
      <x:c r="H595" s="34" t="str">
        <x:v>firstUndeployThreadEvidenceFinal</x:v>
      </x:c>
      <x:c r="I595" s="36" t="n">
        <x:v>1</x:v>
      </x:c>
      <x:c r="J595" s="34" t="str">
        <x:v>final</x:v>
      </x:c>
      <x:c r="K595" s="36" t="n">
        <x:v>27</x:v>
      </x:c>
      <x:c r="L595" s="51" t="n">
        <x:v>0</x:v>
      </x:c>
      <x:c r="M595" s="51" t="n">
        <x:v>0</x:v>
      </x:c>
      <x:c r="N595" s="36" t="n">
        <x:v>10</x:v>
      </x:c>
      <x:c r="O595" s="44" t="str">
        <x:v>http-nio-8080-exec-23#160 | http-nio-8080-exec-44#283 | http-nio-8080-exec-45#284 | http-nio-8080-exec-46#285 | http-nio-8080-exec-47#288 | http-nio-8080-exec-48#289 | http-nio-8080-exec-49#322 | http-nio-8080-exec-50#323 | http-nio-8080-exec-51#324 | http-nio-8080-exec-52#325</x:v>
      </x:c>
      <x:c r="P595" s="36" t="n">
        <x:v>6</x:v>
      </x:c>
      <x:c r="Q595" s="44" t="str">
        <x:v>http-nio-8080-exec-47#288 | http-nio-8080-exec-48#289 | http-nio-8080-exec-49#322 | http-nio-8080-exec-50#323 | http-nio-8080-exec-51#324 | http-nio-8080-exec-52#325</x:v>
      </x:c>
      <x:c r="R595" s="36" t="n">
        <x:v>0</x:v>
      </x:c>
      <x:c r="S595" s="44"/>
      <x:c r="T595" s="36" t="n">
        <x:v>0</x:v>
      </x:c>
      <x:c r="U595" s="44"/>
      <x:c r="V595" s="36" t="n">
        <x:v>0</x:v>
      </x:c>
      <x:c r="W595" s="44"/>
      <x:c r="X595" s="34" t="str">
        <x:v>no-post-undeploy-thread-signal</x:v>
      </x:c>
      <x:c r="Y595" s="44" t="str">
        <x:v>automated signatures are JCS-specific; all other candidate application threads remain unattributed and ownership requires the archived full dump</x:v>
      </x:c>
    </x:row>
    <x:row r="596">
      <x:c r="A596" s="34" t="str">
        <x:v>article1-unified-v4-2-fb3f101b-20260903-000401-default-f05-p6-ehcache</x:v>
      </x:c>
      <x:c r="B596" s="34" t="str">
        <x:v>default</x:v>
      </x:c>
      <x:c r="C596" s="34" t="str">
        <x:v>ehcache</x:v>
      </x:c>
      <x:c r="D596" s="36" t="n">
        <x:v>5</x:v>
      </x:c>
      <x:c r="E596" s="36" t="n">
        <x:v>5</x:v>
      </x:c>
      <x:c r="F596" s="36" t="n">
        <x:v>6</x:v>
      </x:c>
      <x:c r="G596" s="36" t="n">
        <x:v>4</x:v>
      </x:c>
      <x:c r="H596" s="34" t="str">
        <x:v>finalUndeployThreadEvidenceEarly</x:v>
      </x:c>
      <x:c r="I596" s="36" t="n">
        <x:v>2</x:v>
      </x:c>
      <x:c r="J596" s="34" t="str">
        <x:v>early</x:v>
      </x:c>
      <x:c r="K596" s="36" t="n">
        <x:v>27</x:v>
      </x:c>
      <x:c r="L596" s="51" t="n">
        <x:v>0</x:v>
      </x:c>
      <x:c r="M596" s="51" t="n">
        <x:v>0</x:v>
      </x:c>
      <x:c r="N596" s="36" t="n">
        <x:v>10</x:v>
      </x:c>
      <x:c r="O596" s="44" t="str">
        <x:v>http-nio-8080-exec-44#283 | http-nio-8080-exec-49#322 | http-nio-8080-exec-50#323 | http-nio-8080-exec-52#325 | http-nio-8080-exec-53#328 | http-nio-8080-exec-54#329 | http-nio-8080-exec-55#330 | http-nio-8080-exec-56#363 | http-nio-8080-exec-57#364 | http-nio-8080-exec-58#365</x:v>
      </x:c>
      <x:c r="P596" s="36" t="n">
        <x:v>9</x:v>
      </x:c>
      <x:c r="Q596" s="44" t="str">
        <x:v>http-nio-8080-exec-49#322 | http-nio-8080-exec-50#323 | http-nio-8080-exec-52#325 | http-nio-8080-exec-53#328 | http-nio-8080-exec-54#329 | http-nio-8080-exec-55#330 | http-nio-8080-exec-56#363 | http-nio-8080-exec-57#364 | http-nio-8080-exec-58#365</x:v>
      </x:c>
      <x:c r="R596" s="36" t="n">
        <x:v>0</x:v>
      </x:c>
      <x:c r="S596" s="44"/>
      <x:c r="T596" s="36" t="n">
        <x:v>0</x:v>
      </x:c>
      <x:c r="U596" s="44"/>
      <x:c r="V596" s="36" t="n">
        <x:v>0</x:v>
      </x:c>
      <x:c r="W596" s="44"/>
      <x:c r="X596" s="34" t="str">
        <x:v>no-post-undeploy-thread-signal</x:v>
      </x:c>
      <x:c r="Y596" s="44" t="str">
        <x:v>automated signatures are JCS-specific; all other candidate application threads remain unattributed and ownership requires the archived full dump</x:v>
      </x:c>
    </x:row>
    <x:row r="597">
      <x:c r="A597" s="34" t="str">
        <x:v>article1-unified-v4-2-fb3f101b-20260903-000401-default-f05-p6-ehcache</x:v>
      </x:c>
      <x:c r="B597" s="34" t="str">
        <x:v>default</x:v>
      </x:c>
      <x:c r="C597" s="34" t="str">
        <x:v>ehcache</x:v>
      </x:c>
      <x:c r="D597" s="36" t="n">
        <x:v>5</x:v>
      </x:c>
      <x:c r="E597" s="36" t="n">
        <x:v>5</x:v>
      </x:c>
      <x:c r="F597" s="36" t="n">
        <x:v>6</x:v>
      </x:c>
      <x:c r="G597" s="36" t="n">
        <x:v>4</x:v>
      </x:c>
      <x:c r="H597" s="34" t="str">
        <x:v>finalUndeployThreadEvidenceFinal</x:v>
      </x:c>
      <x:c r="I597" s="36" t="n">
        <x:v>2</x:v>
      </x:c>
      <x:c r="J597" s="34" t="str">
        <x:v>final</x:v>
      </x:c>
      <x:c r="K597" s="36" t="n">
        <x:v>27</x:v>
      </x:c>
      <x:c r="L597" s="51" t="n">
        <x:v>0</x:v>
      </x:c>
      <x:c r="M597" s="51" t="n">
        <x:v>0</x:v>
      </x:c>
      <x:c r="N597" s="36" t="n">
        <x:v>10</x:v>
      </x:c>
      <x:c r="O597" s="44" t="str">
        <x:v>http-nio-8080-exec-44#283 | http-nio-8080-exec-49#322 | http-nio-8080-exec-50#323 | http-nio-8080-exec-52#325 | http-nio-8080-exec-53#328 | http-nio-8080-exec-54#329 | http-nio-8080-exec-55#330 | http-nio-8080-exec-57#364 | http-nio-8080-exec-58#365 | http-nio-8080-exec-59#366</x:v>
      </x:c>
      <x:c r="P597" s="36" t="n">
        <x:v>9</x:v>
      </x:c>
      <x:c r="Q597" s="44" t="str">
        <x:v>http-nio-8080-exec-49#322 | http-nio-8080-exec-50#323 | http-nio-8080-exec-52#325 | http-nio-8080-exec-53#328 | http-nio-8080-exec-54#329 | http-nio-8080-exec-55#330 | http-nio-8080-exec-57#364 | http-nio-8080-exec-58#365 | http-nio-8080-exec-59#366</x:v>
      </x:c>
      <x:c r="R597" s="36" t="n">
        <x:v>0</x:v>
      </x:c>
      <x:c r="S597" s="44"/>
      <x:c r="T597" s="36" t="n">
        <x:v>0</x:v>
      </x:c>
      <x:c r="U597" s="44"/>
      <x:c r="V597" s="36" t="n">
        <x:v>0</x:v>
      </x:c>
      <x:c r="W597" s="44"/>
      <x:c r="X597" s="34" t="str">
        <x:v>no-post-undeploy-thread-signal</x:v>
      </x:c>
      <x:c r="Y597" s="44" t="str">
        <x:v>automated signatures are JCS-specific; all other candidate application threads remain unattributed and ownership requires the archived full dump</x:v>
      </x:c>
    </x:row>
    <x:row r="598">
      <x:c r="A598" s="34" t="str">
        <x:v>article1-unified-v4-2-fb3f101b-20260903-000401-default-f05-p6-ehcache</x:v>
      </x:c>
      <x:c r="B598" s="34" t="str">
        <x:v>default</x:v>
      </x:c>
      <x:c r="C598" s="34" t="str">
        <x:v>ehcache</x:v>
      </x:c>
      <x:c r="D598" s="36" t="n">
        <x:v>5</x:v>
      </x:c>
      <x:c r="E598" s="36" t="n">
        <x:v>5</x:v>
      </x:c>
      <x:c r="F598" s="36" t="n">
        <x:v>6</x:v>
      </x:c>
      <x:c r="G598" s="36" t="n">
        <x:v>5</x:v>
      </x:c>
      <x:c r="H598" s="34" t="str">
        <x:v>firstUndeployThreadEvidenceEarly</x:v>
      </x:c>
      <x:c r="I598" s="36" t="n">
        <x:v>1</x:v>
      </x:c>
      <x:c r="J598" s="34" t="str">
        <x:v>early</x:v>
      </x:c>
      <x:c r="K598" s="36" t="n">
        <x:v>27</x:v>
      </x:c>
      <x:c r="L598" s="51" t="n">
        <x:v>0</x:v>
      </x:c>
      <x:c r="M598" s="51" t="n">
        <x:v>0</x:v>
      </x:c>
      <x:c r="N598" s="36" t="n">
        <x:v>10</x:v>
      </x:c>
      <x:c r="O598" s="44" t="str">
        <x:v>http-nio-8080-exec-44#283 | http-nio-8080-exec-49#322 | http-nio-8080-exec-50#323 | http-nio-8080-exec-57#364 | http-nio-8080-exec-58#365 | http-nio-8080-exec-60#369 | http-nio-8080-exec-61#370 | http-nio-8080-exec-62#403 | http-nio-8080-exec-63#404 | http-nio-8080-exec-64#405</x:v>
      </x:c>
      <x:c r="P598" s="36" t="n">
        <x:v>5</x:v>
      </x:c>
      <x:c r="Q598" s="44" t="str">
        <x:v>http-nio-8080-exec-60#369 | http-nio-8080-exec-61#370 | http-nio-8080-exec-62#403 | http-nio-8080-exec-63#404 | http-nio-8080-exec-64#405</x:v>
      </x:c>
      <x:c r="R598" s="36" t="n">
        <x:v>0</x:v>
      </x:c>
      <x:c r="S598" s="44"/>
      <x:c r="T598" s="36" t="n">
        <x:v>0</x:v>
      </x:c>
      <x:c r="U598" s="44"/>
      <x:c r="V598" s="36" t="n">
        <x:v>0</x:v>
      </x:c>
      <x:c r="W598" s="44"/>
      <x:c r="X598" s="34" t="str">
        <x:v>no-post-undeploy-thread-signal</x:v>
      </x:c>
      <x:c r="Y598" s="44" t="str">
        <x:v>automated signatures are JCS-specific; all other candidate application threads remain unattributed and ownership requires the archived full dump</x:v>
      </x:c>
    </x:row>
    <x:row r="599">
      <x:c r="A599" s="34" t="str">
        <x:v>article1-unified-v4-2-fb3f101b-20260903-000401-default-f05-p6-ehcache</x:v>
      </x:c>
      <x:c r="B599" s="34" t="str">
        <x:v>default</x:v>
      </x:c>
      <x:c r="C599" s="34" t="str">
        <x:v>ehcache</x:v>
      </x:c>
      <x:c r="D599" s="36" t="n">
        <x:v>5</x:v>
      </x:c>
      <x:c r="E599" s="36" t="n">
        <x:v>5</x:v>
      </x:c>
      <x:c r="F599" s="36" t="n">
        <x:v>6</x:v>
      </x:c>
      <x:c r="G599" s="36" t="n">
        <x:v>5</x:v>
      </x:c>
      <x:c r="H599" s="34" t="str">
        <x:v>firstUndeployThreadEvidenceFinal</x:v>
      </x:c>
      <x:c r="I599" s="36" t="n">
        <x:v>1</x:v>
      </x:c>
      <x:c r="J599" s="34" t="str">
        <x:v>final</x:v>
      </x:c>
      <x:c r="K599" s="36" t="n">
        <x:v>27</x:v>
      </x:c>
      <x:c r="L599" s="51" t="n">
        <x:v>0</x:v>
      </x:c>
      <x:c r="M599" s="51" t="n">
        <x:v>0</x:v>
      </x:c>
      <x:c r="N599" s="36" t="n">
        <x:v>10</x:v>
      </x:c>
      <x:c r="O599" s="44" t="str">
        <x:v>http-nio-8080-exec-44#283 | http-nio-8080-exec-49#322 | http-nio-8080-exec-50#323 | http-nio-8080-exec-57#364 | http-nio-8080-exec-58#365 | http-nio-8080-exec-61#370 | http-nio-8080-exec-62#403 | http-nio-8080-exec-63#404 | http-nio-8080-exec-64#405 | http-nio-8080-exec-65#406</x:v>
      </x:c>
      <x:c r="P599" s="36" t="n">
        <x:v>5</x:v>
      </x:c>
      <x:c r="Q599" s="44" t="str">
        <x:v>http-nio-8080-exec-61#370 | http-nio-8080-exec-62#403 | http-nio-8080-exec-63#404 | http-nio-8080-exec-64#405 | http-nio-8080-exec-65#406</x:v>
      </x:c>
      <x:c r="R599" s="36" t="n">
        <x:v>0</x:v>
      </x:c>
      <x:c r="S599" s="44"/>
      <x:c r="T599" s="36" t="n">
        <x:v>0</x:v>
      </x:c>
      <x:c r="U599" s="44"/>
      <x:c r="V599" s="36" t="n">
        <x:v>0</x:v>
      </x:c>
      <x:c r="W599" s="44"/>
      <x:c r="X599" s="34" t="str">
        <x:v>no-post-undeploy-thread-signal</x:v>
      </x:c>
      <x:c r="Y599" s="44" t="str">
        <x:v>automated signatures are JCS-specific; all other candidate application threads remain unattributed and ownership requires the archived full dump</x:v>
      </x:c>
    </x:row>
    <x:row r="600">
      <x:c r="A600" s="34" t="str">
        <x:v>article1-unified-v4-2-fb3f101b-20260903-000401-default-f05-p6-ehcache</x:v>
      </x:c>
      <x:c r="B600" s="34" t="str">
        <x:v>default</x:v>
      </x:c>
      <x:c r="C600" s="34" t="str">
        <x:v>ehcache</x:v>
      </x:c>
      <x:c r="D600" s="36" t="n">
        <x:v>5</x:v>
      </x:c>
      <x:c r="E600" s="36" t="n">
        <x:v>5</x:v>
      </x:c>
      <x:c r="F600" s="36" t="n">
        <x:v>6</x:v>
      </x:c>
      <x:c r="G600" s="36" t="n">
        <x:v>5</x:v>
      </x:c>
      <x:c r="H600" s="34" t="str">
        <x:v>finalUndeployThreadEvidenceEarly</x:v>
      </x:c>
      <x:c r="I600" s="36" t="n">
        <x:v>2</x:v>
      </x:c>
      <x:c r="J600" s="34" t="str">
        <x:v>early</x:v>
      </x:c>
      <x:c r="K600" s="36" t="n">
        <x:v>27</x:v>
      </x:c>
      <x:c r="L600" s="51" t="n">
        <x:v>0</x:v>
      </x:c>
      <x:c r="M600" s="51" t="n">
        <x:v>0</x:v>
      </x:c>
      <x:c r="N600" s="36" t="n">
        <x:v>10</x:v>
      </x:c>
      <x:c r="O600" s="44" t="str">
        <x:v>http-nio-8080-exec-44#283 | http-nio-8080-exec-61#370 | http-nio-8080-exec-63#404 | http-nio-8080-exec-64#405 | http-nio-8080-exec-65#406 | http-nio-8080-exec-67#410 | http-nio-8080-exec-68#411 | http-nio-8080-exec-69#444 | http-nio-8080-exec-70#445 | http-nio-8080-exec-71#446</x:v>
      </x:c>
      <x:c r="P600" s="36" t="n">
        <x:v>9</x:v>
      </x:c>
      <x:c r="Q600" s="44" t="str">
        <x:v>http-nio-8080-exec-61#370 | http-nio-8080-exec-63#404 | http-nio-8080-exec-64#405 | http-nio-8080-exec-65#406 | http-nio-8080-exec-67#410 | http-nio-8080-exec-68#411 | http-nio-8080-exec-69#444 | http-nio-8080-exec-70#445 | http-nio-8080-exec-71#446</x:v>
      </x:c>
      <x:c r="R600" s="36" t="n">
        <x:v>0</x:v>
      </x:c>
      <x:c r="S600" s="44"/>
      <x:c r="T600" s="36" t="n">
        <x:v>0</x:v>
      </x:c>
      <x:c r="U600" s="44"/>
      <x:c r="V600" s="36" t="n">
        <x:v>0</x:v>
      </x:c>
      <x:c r="W600" s="44"/>
      <x:c r="X600" s="34" t="str">
        <x:v>no-post-undeploy-thread-signal</x:v>
      </x:c>
      <x:c r="Y600" s="44" t="str">
        <x:v>automated signatures are JCS-specific; all other candidate application threads remain unattributed and ownership requires the archived full dump</x:v>
      </x:c>
    </x:row>
    <x:row r="601">
      <x:c r="A601" s="34" t="str">
        <x:v>article1-unified-v4-2-fb3f101b-20260903-000401-default-f05-p6-ehcache</x:v>
      </x:c>
      <x:c r="B601" s="34" t="str">
        <x:v>default</x:v>
      </x:c>
      <x:c r="C601" s="34" t="str">
        <x:v>ehcache</x:v>
      </x:c>
      <x:c r="D601" s="36" t="n">
        <x:v>5</x:v>
      </x:c>
      <x:c r="E601" s="36" t="n">
        <x:v>5</x:v>
      </x:c>
      <x:c r="F601" s="36" t="n">
        <x:v>6</x:v>
      </x:c>
      <x:c r="G601" s="36" t="n">
        <x:v>5</x:v>
      </x:c>
      <x:c r="H601" s="34" t="str">
        <x:v>finalUndeployThreadEvidenceFinal</x:v>
      </x:c>
      <x:c r="I601" s="36" t="n">
        <x:v>2</x:v>
      </x:c>
      <x:c r="J601" s="34" t="str">
        <x:v>final</x:v>
      </x:c>
      <x:c r="K601" s="36" t="n">
        <x:v>27</x:v>
      </x:c>
      <x:c r="L601" s="51" t="n">
        <x:v>0</x:v>
      </x:c>
      <x:c r="M601" s="51" t="n">
        <x:v>0</x:v>
      </x:c>
      <x:c r="N601" s="36" t="n">
        <x:v>10</x:v>
      </x:c>
      <x:c r="O601" s="44" t="str">
        <x:v>http-nio-8080-exec-61#370 | http-nio-8080-exec-63#404 | http-nio-8080-exec-64#405 | http-nio-8080-exec-65#406 | http-nio-8080-exec-67#410 | http-nio-8080-exec-68#411 | http-nio-8080-exec-69#444 | http-nio-8080-exec-70#445 | http-nio-8080-exec-71#446 | http-nio-8080-exec-72#447</x:v>
      </x:c>
      <x:c r="P601" s="36" t="n">
        <x:v>10</x:v>
      </x:c>
      <x:c r="Q601" s="44" t="str">
        <x:v>http-nio-8080-exec-61#370 | http-nio-8080-exec-63#404 | http-nio-8080-exec-64#405 | http-nio-8080-exec-65#406 | http-nio-8080-exec-67#410 | http-nio-8080-exec-68#411 | http-nio-8080-exec-69#444 | http-nio-8080-exec-70#445 | http-nio-8080-exec-71#446 | http-nio-8080-exec-72#447</x:v>
      </x:c>
      <x:c r="R601" s="36" t="n">
        <x:v>0</x:v>
      </x:c>
      <x:c r="S601" s="44"/>
      <x:c r="T601" s="36" t="n">
        <x:v>0</x:v>
      </x:c>
      <x:c r="U601" s="44"/>
      <x:c r="V601" s="36" t="n">
        <x:v>0</x:v>
      </x:c>
      <x:c r="W601" s="44"/>
      <x:c r="X601" s="34" t="str">
        <x:v>no-post-undeploy-thread-signal</x:v>
      </x:c>
      <x:c r="Y601" s="44" t="str">
        <x:v>automated signatures are JCS-specific; all other candidate application threads remain unattributed and ownership requires the archived full dump</x:v>
      </x:c>
    </x:row>
    <x:row r="602">
      <x:c r="A602" s="34" t="str">
        <x:v>article1-unified-v4-2-fb3f101b-20260903-000401-default-f06-p1-nostore</x:v>
      </x:c>
      <x:c r="B602" s="34" t="str">
        <x:v>default</x:v>
      </x:c>
      <x:c r="C602" s="34" t="str">
        <x:v>nostore</x:v>
      </x:c>
      <x:c r="D602" s="36" t="n">
        <x:v>6</x:v>
      </x:c>
      <x:c r="E602" s="36" t="n">
        <x:v>6</x:v>
      </x:c>
      <x:c r="F602" s="36" t="n">
        <x:v>1</x:v>
      </x:c>
      <x:c r="G602" s="36" t="n">
        <x:v>1</x:v>
      </x:c>
      <x:c r="H602" s="34" t="str">
        <x:v>firstUndeployThreadEvidenceEarly</x:v>
      </x:c>
      <x:c r="I602" s="36" t="n">
        <x:v>1</x:v>
      </x:c>
      <x:c r="J602" s="34" t="str">
        <x:v>early</x:v>
      </x:c>
      <x:c r="K602" s="36" t="n">
        <x:v>27</x:v>
      </x:c>
      <x:c r="L602" s="51" t="n">
        <x:v>0</x:v>
      </x:c>
      <x:c r="M602" s="51" t="n">
        <x:v>0</x:v>
      </x:c>
      <x:c r="N602" s="36" t="n">
        <x:v>2</x:v>
      </x:c>
      <x:c r="O602" s="44" t="str">
        <x:v>http-nio-8080-exec-11#80 | http-nio-8080-exec-12#81</x:v>
      </x:c>
      <x:c r="P602" s="36" t="n">
        <x:v>2</x:v>
      </x:c>
      <x:c r="Q602" s="44" t="str">
        <x:v>http-nio-8080-exec-11#80 | http-nio-8080-exec-12#81</x:v>
      </x:c>
      <x:c r="R602" s="36" t="n">
        <x:v>0</x:v>
      </x:c>
      <x:c r="S602" s="44"/>
      <x:c r="T602" s="36" t="n">
        <x:v>0</x:v>
      </x:c>
      <x:c r="U602" s="44"/>
      <x:c r="V602" s="36" t="n">
        <x:v>0</x:v>
      </x:c>
      <x:c r="W602" s="44"/>
      <x:c r="X602" s="34" t="str">
        <x:v>no-post-undeploy-thread-signal</x:v>
      </x:c>
      <x:c r="Y602" s="44" t="str">
        <x:v>automated signatures are JCS-specific; all other candidate application threads remain unattributed and ownership requires the archived full dump</x:v>
      </x:c>
    </x:row>
    <x:row r="603">
      <x:c r="A603" s="34" t="str">
        <x:v>article1-unified-v4-2-fb3f101b-20260903-000401-default-f06-p1-nostore</x:v>
      </x:c>
      <x:c r="B603" s="34" t="str">
        <x:v>default</x:v>
      </x:c>
      <x:c r="C603" s="34" t="str">
        <x:v>nostore</x:v>
      </x:c>
      <x:c r="D603" s="36" t="n">
        <x:v>6</x:v>
      </x:c>
      <x:c r="E603" s="36" t="n">
        <x:v>6</x:v>
      </x:c>
      <x:c r="F603" s="36" t="n">
        <x:v>1</x:v>
      </x:c>
      <x:c r="G603" s="36" t="n">
        <x:v>1</x:v>
      </x:c>
      <x:c r="H603" s="34" t="str">
        <x:v>firstUndeployThreadEvidenceFinal</x:v>
      </x:c>
      <x:c r="I603" s="36" t="n">
        <x:v>1</x:v>
      </x:c>
      <x:c r="J603" s="34" t="str">
        <x:v>final</x:v>
      </x:c>
      <x:c r="K603" s="36" t="n">
        <x:v>27</x:v>
      </x:c>
      <x:c r="L603" s="51" t="n">
        <x:v>0</x:v>
      </x:c>
      <x:c r="M603" s="51" t="n">
        <x:v>0</x:v>
      </x:c>
      <x:c r="N603" s="36" t="n">
        <x:v>3</x:v>
      </x:c>
      <x:c r="O603" s="44" t="str">
        <x:v>http-nio-8080-exec-11#80 | http-nio-8080-exec-12#81 | http-nio-8080-exec-13#82</x:v>
      </x:c>
      <x:c r="P603" s="36" t="n">
        <x:v>3</x:v>
      </x:c>
      <x:c r="Q603" s="44" t="str">
        <x:v>http-nio-8080-exec-11#80 | http-nio-8080-exec-12#81 | http-nio-8080-exec-13#82</x:v>
      </x:c>
      <x:c r="R603" s="36" t="n">
        <x:v>0</x:v>
      </x:c>
      <x:c r="S603" s="44"/>
      <x:c r="T603" s="36" t="n">
        <x:v>0</x:v>
      </x:c>
      <x:c r="U603" s="44"/>
      <x:c r="V603" s="36" t="n">
        <x:v>0</x:v>
      </x:c>
      <x:c r="W603" s="44"/>
      <x:c r="X603" s="34" t="str">
        <x:v>no-post-undeploy-thread-signal</x:v>
      </x:c>
      <x:c r="Y603" s="44" t="str">
        <x:v>automated signatures are JCS-specific; all other candidate application threads remain unattributed and ownership requires the archived full dump</x:v>
      </x:c>
    </x:row>
    <x:row r="604">
      <x:c r="A604" s="34" t="str">
        <x:v>article1-unified-v4-2-fb3f101b-20260903-000401-default-f06-p1-nostore</x:v>
      </x:c>
      <x:c r="B604" s="34" t="str">
        <x:v>default</x:v>
      </x:c>
      <x:c r="C604" s="34" t="str">
        <x:v>nostore</x:v>
      </x:c>
      <x:c r="D604" s="36" t="n">
        <x:v>6</x:v>
      </x:c>
      <x:c r="E604" s="36" t="n">
        <x:v>6</x:v>
      </x:c>
      <x:c r="F604" s="36" t="n">
        <x:v>1</x:v>
      </x:c>
      <x:c r="G604" s="36" t="n">
        <x:v>1</x:v>
      </x:c>
      <x:c r="H604" s="34" t="str">
        <x:v>finalUndeployThreadEvidenceEarly</x:v>
      </x:c>
      <x:c r="I604" s="36" t="n">
        <x:v>2</x:v>
      </x:c>
      <x:c r="J604" s="34" t="str">
        <x:v>early</x:v>
      </x:c>
      <x:c r="K604" s="36" t="n">
        <x:v>27</x:v>
      </x:c>
      <x:c r="L604" s="51" t="n">
        <x:v>0</x:v>
      </x:c>
      <x:c r="M604" s="51" t="n">
        <x:v>0</x:v>
      </x:c>
      <x:c r="N604" s="36" t="n">
        <x:v>8</x:v>
      </x:c>
      <x:c r="O604" s="44" t="str">
        <x:v>http-nio-8080-exec-11#80 | http-nio-8080-exec-13#82 | http-nio-8080-exec-14#85 | http-nio-8080-exec-15#86 | http-nio-8080-exec-16#87 | http-nio-8080-exec-17#120 | http-nio-8080-exec-18#121 | http-nio-8080-exec-19#122</x:v>
      </x:c>
      <x:c r="P604" s="36" t="n">
        <x:v>8</x:v>
      </x:c>
      <x:c r="Q604" s="44" t="str">
        <x:v>http-nio-8080-exec-11#80 | http-nio-8080-exec-13#82 | http-nio-8080-exec-14#85 | http-nio-8080-exec-15#86 | http-nio-8080-exec-16#87 | http-nio-8080-exec-17#120 | http-nio-8080-exec-18#121 | http-nio-8080-exec-19#122</x:v>
      </x:c>
      <x:c r="R604" s="36" t="n">
        <x:v>0</x:v>
      </x:c>
      <x:c r="S604" s="44"/>
      <x:c r="T604" s="36" t="n">
        <x:v>0</x:v>
      </x:c>
      <x:c r="U604" s="44"/>
      <x:c r="V604" s="36" t="n">
        <x:v>0</x:v>
      </x:c>
      <x:c r="W604" s="44"/>
      <x:c r="X604" s="34" t="str">
        <x:v>no-post-undeploy-thread-signal</x:v>
      </x:c>
      <x:c r="Y604" s="44" t="str">
        <x:v>automated signatures are JCS-specific; all other candidate application threads remain unattributed and ownership requires the archived full dump</x:v>
      </x:c>
    </x:row>
    <x:row r="605">
      <x:c r="A605" s="34" t="str">
        <x:v>article1-unified-v4-2-fb3f101b-20260903-000401-default-f06-p1-nostore</x:v>
      </x:c>
      <x:c r="B605" s="34" t="str">
        <x:v>default</x:v>
      </x:c>
      <x:c r="C605" s="34" t="str">
        <x:v>nostore</x:v>
      </x:c>
      <x:c r="D605" s="36" t="n">
        <x:v>6</x:v>
      </x:c>
      <x:c r="E605" s="36" t="n">
        <x:v>6</x:v>
      </x:c>
      <x:c r="F605" s="36" t="n">
        <x:v>1</x:v>
      </x:c>
      <x:c r="G605" s="36" t="n">
        <x:v>1</x:v>
      </x:c>
      <x:c r="H605" s="34" t="str">
        <x:v>finalUndeployThreadEvidenceFinal</x:v>
      </x:c>
      <x:c r="I605" s="36" t="n">
        <x:v>2</x:v>
      </x:c>
      <x:c r="J605" s="34" t="str">
        <x:v>final</x:v>
      </x:c>
      <x:c r="K605" s="36" t="n">
        <x:v>27</x:v>
      </x:c>
      <x:c r="L605" s="51" t="n">
        <x:v>0</x:v>
      </x:c>
      <x:c r="M605" s="51" t="n">
        <x:v>0</x:v>
      </x:c>
      <x:c r="N605" s="36" t="n">
        <x:v>8</x:v>
      </x:c>
      <x:c r="O605" s="44" t="str">
        <x:v>http-nio-8080-exec-13#82 | http-nio-8080-exec-14#85 | http-nio-8080-exec-15#86 | http-nio-8080-exec-16#87 | http-nio-8080-exec-17#120 | http-nio-8080-exec-18#121 | http-nio-8080-exec-19#122 | http-nio-8080-exec-20#123</x:v>
      </x:c>
      <x:c r="P605" s="36" t="n">
        <x:v>8</x:v>
      </x:c>
      <x:c r="Q605" s="44" t="str">
        <x:v>http-nio-8080-exec-13#82 | http-nio-8080-exec-14#85 | http-nio-8080-exec-15#86 | http-nio-8080-exec-16#87 | http-nio-8080-exec-17#120 | http-nio-8080-exec-18#121 | http-nio-8080-exec-19#122 | http-nio-8080-exec-20#123</x:v>
      </x:c>
      <x:c r="R605" s="36" t="n">
        <x:v>0</x:v>
      </x:c>
      <x:c r="S605" s="44"/>
      <x:c r="T605" s="36" t="n">
        <x:v>0</x:v>
      </x:c>
      <x:c r="U605" s="44"/>
      <x:c r="V605" s="36" t="n">
        <x:v>0</x:v>
      </x:c>
      <x:c r="W605" s="44"/>
      <x:c r="X605" s="34" t="str">
        <x:v>no-post-undeploy-thread-signal</x:v>
      </x:c>
      <x:c r="Y605" s="44" t="str">
        <x:v>automated signatures are JCS-specific; all other candidate application threads remain unattributed and ownership requires the archived full dump</x:v>
      </x:c>
    </x:row>
    <x:row r="606">
      <x:c r="A606" s="34" t="str">
        <x:v>article1-unified-v4-2-fb3f101b-20260903-000401-default-f06-p1-nostore</x:v>
      </x:c>
      <x:c r="B606" s="34" t="str">
        <x:v>default</x:v>
      </x:c>
      <x:c r="C606" s="34" t="str">
        <x:v>nostore</x:v>
      </x:c>
      <x:c r="D606" s="36" t="n">
        <x:v>6</x:v>
      </x:c>
      <x:c r="E606" s="36" t="n">
        <x:v>6</x:v>
      </x:c>
      <x:c r="F606" s="36" t="n">
        <x:v>1</x:v>
      </x:c>
      <x:c r="G606" s="36" t="n">
        <x:v>2</x:v>
      </x:c>
      <x:c r="H606" s="34" t="str">
        <x:v>firstUndeployThreadEvidenceEarly</x:v>
      </x:c>
      <x:c r="I606" s="36" t="n">
        <x:v>1</x:v>
      </x:c>
      <x:c r="J606" s="34" t="str">
        <x:v>early</x:v>
      </x:c>
      <x:c r="K606" s="36" t="n">
        <x:v>27</x:v>
      </x:c>
      <x:c r="L606" s="51" t="n">
        <x:v>0</x:v>
      </x:c>
      <x:c r="M606" s="51" t="n">
        <x:v>0</x:v>
      </x:c>
      <x:c r="N606" s="36" t="n">
        <x:v>9</x:v>
      </x:c>
      <x:c r="O606" s="44" t="str">
        <x:v>http-nio-8080-exec-14#85 | http-nio-8080-exec-18#121 | http-nio-8080-exec-19#122 | http-nio-8080-exec-20#123 | http-nio-8080-exec-21#126 | http-nio-8080-exec-22#127 | http-nio-8080-exec-23#160 | http-nio-8080-exec-24#161 | http-nio-8080-exec-25#162</x:v>
      </x:c>
      <x:c r="P606" s="36" t="n">
        <x:v>5</x:v>
      </x:c>
      <x:c r="Q606" s="44" t="str">
        <x:v>http-nio-8080-exec-21#126 | http-nio-8080-exec-22#127 | http-nio-8080-exec-23#160 | http-nio-8080-exec-24#161 | http-nio-8080-exec-25#162</x:v>
      </x:c>
      <x:c r="R606" s="36" t="n">
        <x:v>0</x:v>
      </x:c>
      <x:c r="S606" s="44"/>
      <x:c r="T606" s="36" t="n">
        <x:v>0</x:v>
      </x:c>
      <x:c r="U606" s="44"/>
      <x:c r="V606" s="36" t="n">
        <x:v>0</x:v>
      </x:c>
      <x:c r="W606" s="44"/>
      <x:c r="X606" s="34" t="str">
        <x:v>no-post-undeploy-thread-signal</x:v>
      </x:c>
      <x:c r="Y606" s="44" t="str">
        <x:v>automated signatures are JCS-specific; all other candidate application threads remain unattributed and ownership requires the archived full dump</x:v>
      </x:c>
    </x:row>
    <x:row r="607">
      <x:c r="A607" s="34" t="str">
        <x:v>article1-unified-v4-2-fb3f101b-20260903-000401-default-f06-p1-nostore</x:v>
      </x:c>
      <x:c r="B607" s="34" t="str">
        <x:v>default</x:v>
      </x:c>
      <x:c r="C607" s="34" t="str">
        <x:v>nostore</x:v>
      </x:c>
      <x:c r="D607" s="36" t="n">
        <x:v>6</x:v>
      </x:c>
      <x:c r="E607" s="36" t="n">
        <x:v>6</x:v>
      </x:c>
      <x:c r="F607" s="36" t="n">
        <x:v>1</x:v>
      </x:c>
      <x:c r="G607" s="36" t="n">
        <x:v>2</x:v>
      </x:c>
      <x:c r="H607" s="34" t="str">
        <x:v>firstUndeployThreadEvidenceFinal</x:v>
      </x:c>
      <x:c r="I607" s="36" t="n">
        <x:v>1</x:v>
      </x:c>
      <x:c r="J607" s="34" t="str">
        <x:v>final</x:v>
      </x:c>
      <x:c r="K607" s="36" t="n">
        <x:v>27</x:v>
      </x:c>
      <x:c r="L607" s="51" t="n">
        <x:v>0</x:v>
      </x:c>
      <x:c r="M607" s="51" t="n">
        <x:v>0</x:v>
      </x:c>
      <x:c r="N607" s="36" t="n">
        <x:v>9</x:v>
      </x:c>
      <x:c r="O607" s="44" t="str">
        <x:v>http-nio-8080-exec-14#85 | http-nio-8080-exec-18#121 | http-nio-8080-exec-19#122 | http-nio-8080-exec-20#123 | http-nio-8080-exec-21#126 | http-nio-8080-exec-22#127 | http-nio-8080-exec-24#161 | http-nio-8080-exec-25#162 | http-nio-8080-exec-26#163</x:v>
      </x:c>
      <x:c r="P607" s="36" t="n">
        <x:v>5</x:v>
      </x:c>
      <x:c r="Q607" s="44" t="str">
        <x:v>http-nio-8080-exec-21#126 | http-nio-8080-exec-22#127 | http-nio-8080-exec-24#161 | http-nio-8080-exec-25#162 | http-nio-8080-exec-26#163</x:v>
      </x:c>
      <x:c r="R607" s="36" t="n">
        <x:v>0</x:v>
      </x:c>
      <x:c r="S607" s="44"/>
      <x:c r="T607" s="36" t="n">
        <x:v>0</x:v>
      </x:c>
      <x:c r="U607" s="44"/>
      <x:c r="V607" s="36" t="n">
        <x:v>0</x:v>
      </x:c>
      <x:c r="W607" s="44"/>
      <x:c r="X607" s="34" t="str">
        <x:v>no-post-undeploy-thread-signal</x:v>
      </x:c>
      <x:c r="Y607" s="44" t="str">
        <x:v>automated signatures are JCS-specific; all other candidate application threads remain unattributed and ownership requires the archived full dump</x:v>
      </x:c>
    </x:row>
    <x:row r="608">
      <x:c r="A608" s="34" t="str">
        <x:v>article1-unified-v4-2-fb3f101b-20260903-000401-default-f06-p1-nostore</x:v>
      </x:c>
      <x:c r="B608" s="34" t="str">
        <x:v>default</x:v>
      </x:c>
      <x:c r="C608" s="34" t="str">
        <x:v>nostore</x:v>
      </x:c>
      <x:c r="D608" s="36" t="n">
        <x:v>6</x:v>
      </x:c>
      <x:c r="E608" s="36" t="n">
        <x:v>6</x:v>
      </x:c>
      <x:c r="F608" s="36" t="n">
        <x:v>1</x:v>
      </x:c>
      <x:c r="G608" s="36" t="n">
        <x:v>2</x:v>
      </x:c>
      <x:c r="H608" s="34" t="str">
        <x:v>finalUndeployThreadEvidenceEarly</x:v>
      </x:c>
      <x:c r="I608" s="36" t="n">
        <x:v>2</x:v>
      </x:c>
      <x:c r="J608" s="34" t="str">
        <x:v>early</x:v>
      </x:c>
      <x:c r="K608" s="36" t="n">
        <x:v>27</x:v>
      </x:c>
      <x:c r="L608" s="51" t="n">
        <x:v>0</x:v>
      </x:c>
      <x:c r="M608" s="51" t="n">
        <x:v>0</x:v>
      </x:c>
      <x:c r="N608" s="36" t="n">
        <x:v>9</x:v>
      </x:c>
      <x:c r="O608" s="44" t="str">
        <x:v>http-nio-8080-exec-18#121 | http-nio-8080-exec-24#161 | http-nio-8080-exec-26#163 | http-nio-8080-exec-27#166 | http-nio-8080-exec-28#167 | http-nio-8080-exec-29#168 | http-nio-8080-exec-30#201 | http-nio-8080-exec-31#202 | http-nio-8080-exec-32#203</x:v>
      </x:c>
      <x:c r="P608" s="36" t="n">
        <x:v>8</x:v>
      </x:c>
      <x:c r="Q608" s="44" t="str">
        <x:v>http-nio-8080-exec-24#161 | http-nio-8080-exec-26#163 | http-nio-8080-exec-27#166 | http-nio-8080-exec-28#167 | http-nio-8080-exec-29#168 | http-nio-8080-exec-30#201 | http-nio-8080-exec-31#202 | http-nio-8080-exec-32#203</x:v>
      </x:c>
      <x:c r="R608" s="36" t="n">
        <x:v>0</x:v>
      </x:c>
      <x:c r="S608" s="44"/>
      <x:c r="T608" s="36" t="n">
        <x:v>0</x:v>
      </x:c>
      <x:c r="U608" s="44"/>
      <x:c r="V608" s="36" t="n">
        <x:v>0</x:v>
      </x:c>
      <x:c r="W608" s="44"/>
      <x:c r="X608" s="34" t="str">
        <x:v>no-post-undeploy-thread-signal</x:v>
      </x:c>
      <x:c r="Y608" s="44" t="str">
        <x:v>automated signatures are JCS-specific; all other candidate application threads remain unattributed and ownership requires the archived full dump</x:v>
      </x:c>
    </x:row>
    <x:row r="609">
      <x:c r="A609" s="34" t="str">
        <x:v>article1-unified-v4-2-fb3f101b-20260903-000401-default-f06-p1-nostore</x:v>
      </x:c>
      <x:c r="B609" s="34" t="str">
        <x:v>default</x:v>
      </x:c>
      <x:c r="C609" s="34" t="str">
        <x:v>nostore</x:v>
      </x:c>
      <x:c r="D609" s="36" t="n">
        <x:v>6</x:v>
      </x:c>
      <x:c r="E609" s="36" t="n">
        <x:v>6</x:v>
      </x:c>
      <x:c r="F609" s="36" t="n">
        <x:v>1</x:v>
      </x:c>
      <x:c r="G609" s="36" t="n">
        <x:v>2</x:v>
      </x:c>
      <x:c r="H609" s="34" t="str">
        <x:v>finalUndeployThreadEvidenceFinal</x:v>
      </x:c>
      <x:c r="I609" s="36" t="n">
        <x:v>2</x:v>
      </x:c>
      <x:c r="J609" s="34" t="str">
        <x:v>final</x:v>
      </x:c>
      <x:c r="K609" s="36" t="n">
        <x:v>27</x:v>
      </x:c>
      <x:c r="L609" s="51" t="n">
        <x:v>0</x:v>
      </x:c>
      <x:c r="M609" s="51" t="n">
        <x:v>0</x:v>
      </x:c>
      <x:c r="N609" s="36" t="n">
        <x:v>9</x:v>
      </x:c>
      <x:c r="O609" s="44" t="str">
        <x:v>http-nio-8080-exec-18#121 | http-nio-8080-exec-24#161 | http-nio-8080-exec-26#163 | http-nio-8080-exec-28#167 | http-nio-8080-exec-29#168 | http-nio-8080-exec-30#201 | http-nio-8080-exec-31#202 | http-nio-8080-exec-32#203 | http-nio-8080-exec-33#204</x:v>
      </x:c>
      <x:c r="P609" s="36" t="n">
        <x:v>8</x:v>
      </x:c>
      <x:c r="Q609" s="44" t="str">
        <x:v>http-nio-8080-exec-24#161 | http-nio-8080-exec-26#163 | http-nio-8080-exec-28#167 | http-nio-8080-exec-29#168 | http-nio-8080-exec-30#201 | http-nio-8080-exec-31#202 | http-nio-8080-exec-32#203 | http-nio-8080-exec-33#204</x:v>
      </x:c>
      <x:c r="R609" s="36" t="n">
        <x:v>0</x:v>
      </x:c>
      <x:c r="S609" s="44"/>
      <x:c r="T609" s="36" t="n">
        <x:v>0</x:v>
      </x:c>
      <x:c r="U609" s="44"/>
      <x:c r="V609" s="36" t="n">
        <x:v>0</x:v>
      </x:c>
      <x:c r="W609" s="44"/>
      <x:c r="X609" s="34" t="str">
        <x:v>no-post-undeploy-thread-signal</x:v>
      </x:c>
      <x:c r="Y609" s="44" t="str">
        <x:v>automated signatures are JCS-specific; all other candidate application threads remain unattributed and ownership requires the archived full dump</x:v>
      </x:c>
    </x:row>
    <x:row r="610">
      <x:c r="A610" s="34" t="str">
        <x:v>article1-unified-v4-2-fb3f101b-20260903-000401-default-f06-p1-nostore</x:v>
      </x:c>
      <x:c r="B610" s="34" t="str">
        <x:v>default</x:v>
      </x:c>
      <x:c r="C610" s="34" t="str">
        <x:v>nostore</x:v>
      </x:c>
      <x:c r="D610" s="36" t="n">
        <x:v>6</x:v>
      </x:c>
      <x:c r="E610" s="36" t="n">
        <x:v>6</x:v>
      </x:c>
      <x:c r="F610" s="36" t="n">
        <x:v>1</x:v>
      </x:c>
      <x:c r="G610" s="36" t="n">
        <x:v>3</x:v>
      </x:c>
      <x:c r="H610" s="34" t="str">
        <x:v>firstUndeployThreadEvidenceEarly</x:v>
      </x:c>
      <x:c r="I610" s="36" t="n">
        <x:v>1</x:v>
      </x:c>
      <x:c r="J610" s="34" t="str">
        <x:v>early</x:v>
      </x:c>
      <x:c r="K610" s="36" t="n">
        <x:v>27</x:v>
      </x:c>
      <x:c r="L610" s="51" t="n">
        <x:v>0</x:v>
      </x:c>
      <x:c r="M610" s="51" t="n">
        <x:v>0</x:v>
      </x:c>
      <x:c r="N610" s="36" t="n">
        <x:v>9</x:v>
      </x:c>
      <x:c r="O610" s="44" t="str">
        <x:v>http-nio-8080-exec-26#163 | http-nio-8080-exec-31#202 | http-nio-8080-exec-32#203 | http-nio-8080-exec-33#204 | http-nio-8080-exec-34#207 | http-nio-8080-exec-35#208 | http-nio-8080-exec-36#241 | http-nio-8080-exec-37#242 | http-nio-8080-exec-38#243</x:v>
      </x:c>
      <x:c r="P610" s="36" t="n">
        <x:v>5</x:v>
      </x:c>
      <x:c r="Q610" s="44" t="str">
        <x:v>http-nio-8080-exec-34#207 | http-nio-8080-exec-35#208 | http-nio-8080-exec-36#241 | http-nio-8080-exec-37#242 | http-nio-8080-exec-38#243</x:v>
      </x:c>
      <x:c r="R610" s="36" t="n">
        <x:v>0</x:v>
      </x:c>
      <x:c r="S610" s="44"/>
      <x:c r="T610" s="36" t="n">
        <x:v>0</x:v>
      </x:c>
      <x:c r="U610" s="44"/>
      <x:c r="V610" s="36" t="n">
        <x:v>0</x:v>
      </x:c>
      <x:c r="W610" s="44"/>
      <x:c r="X610" s="34" t="str">
        <x:v>no-post-undeploy-thread-signal</x:v>
      </x:c>
      <x:c r="Y610" s="44" t="str">
        <x:v>automated signatures are JCS-specific; all other candidate application threads remain unattributed and ownership requires the archived full dump</x:v>
      </x:c>
    </x:row>
    <x:row r="611">
      <x:c r="A611" s="34" t="str">
        <x:v>article1-unified-v4-2-fb3f101b-20260903-000401-default-f06-p1-nostore</x:v>
      </x:c>
      <x:c r="B611" s="34" t="str">
        <x:v>default</x:v>
      </x:c>
      <x:c r="C611" s="34" t="str">
        <x:v>nostore</x:v>
      </x:c>
      <x:c r="D611" s="36" t="n">
        <x:v>6</x:v>
      </x:c>
      <x:c r="E611" s="36" t="n">
        <x:v>6</x:v>
      </x:c>
      <x:c r="F611" s="36" t="n">
        <x:v>1</x:v>
      </x:c>
      <x:c r="G611" s="36" t="n">
        <x:v>3</x:v>
      </x:c>
      <x:c r="H611" s="34" t="str">
        <x:v>firstUndeployThreadEvidenceFinal</x:v>
      </x:c>
      <x:c r="I611" s="36" t="n">
        <x:v>1</x:v>
      </x:c>
      <x:c r="J611" s="34" t="str">
        <x:v>final</x:v>
      </x:c>
      <x:c r="K611" s="36" t="n">
        <x:v>27</x:v>
      </x:c>
      <x:c r="L611" s="51" t="n">
        <x:v>0</x:v>
      </x:c>
      <x:c r="M611" s="51" t="n">
        <x:v>0</x:v>
      </x:c>
      <x:c r="N611" s="36" t="n">
        <x:v>9</x:v>
      </x:c>
      <x:c r="O611" s="44" t="str">
        <x:v>http-nio-8080-exec-26#163 | http-nio-8080-exec-31#202 | http-nio-8080-exec-33#204 | http-nio-8080-exec-34#207 | http-nio-8080-exec-35#208 | http-nio-8080-exec-36#241 | http-nio-8080-exec-37#242 | http-nio-8080-exec-38#243 | http-nio-8080-exec-39#244</x:v>
      </x:c>
      <x:c r="P611" s="36" t="n">
        <x:v>6</x:v>
      </x:c>
      <x:c r="Q611" s="44" t="str">
        <x:v>http-nio-8080-exec-34#207 | http-nio-8080-exec-35#208 | http-nio-8080-exec-36#241 | http-nio-8080-exec-37#242 | http-nio-8080-exec-38#243 | http-nio-8080-exec-39#244</x:v>
      </x:c>
      <x:c r="R611" s="36" t="n">
        <x:v>0</x:v>
      </x:c>
      <x:c r="S611" s="44"/>
      <x:c r="T611" s="36" t="n">
        <x:v>0</x:v>
      </x:c>
      <x:c r="U611" s="44"/>
      <x:c r="V611" s="36" t="n">
        <x:v>0</x:v>
      </x:c>
      <x:c r="W611" s="44"/>
      <x:c r="X611" s="34" t="str">
        <x:v>no-post-undeploy-thread-signal</x:v>
      </x:c>
      <x:c r="Y611" s="44" t="str">
        <x:v>automated signatures are JCS-specific; all other candidate application threads remain unattributed and ownership requires the archived full dump</x:v>
      </x:c>
    </x:row>
    <x:row r="612">
      <x:c r="A612" s="34" t="str">
        <x:v>article1-unified-v4-2-fb3f101b-20260903-000401-default-f06-p1-nostore</x:v>
      </x:c>
      <x:c r="B612" s="34" t="str">
        <x:v>default</x:v>
      </x:c>
      <x:c r="C612" s="34" t="str">
        <x:v>nostore</x:v>
      </x:c>
      <x:c r="D612" s="36" t="n">
        <x:v>6</x:v>
      </x:c>
      <x:c r="E612" s="36" t="n">
        <x:v>6</x:v>
      </x:c>
      <x:c r="F612" s="36" t="n">
        <x:v>1</x:v>
      </x:c>
      <x:c r="G612" s="36" t="n">
        <x:v>3</x:v>
      </x:c>
      <x:c r="H612" s="34" t="str">
        <x:v>finalUndeployThreadEvidenceEarly</x:v>
      </x:c>
      <x:c r="I612" s="36" t="n">
        <x:v>2</x:v>
      </x:c>
      <x:c r="J612" s="34" t="str">
        <x:v>early</x:v>
      </x:c>
      <x:c r="K612" s="36" t="n">
        <x:v>27</x:v>
      </x:c>
      <x:c r="L612" s="51" t="n">
        <x:v>0</x:v>
      </x:c>
      <x:c r="M612" s="51" t="n">
        <x:v>0</x:v>
      </x:c>
      <x:c r="N612" s="36" t="n">
        <x:v>10</x:v>
      </x:c>
      <x:c r="O612" s="44" t="str">
        <x:v>http-nio-8080-exec-31#202 | http-nio-8080-exec-33#204 | http-nio-8080-exec-37#242 | http-nio-8080-exec-39#244 | http-nio-8080-exec-40#247 | http-nio-8080-exec-41#248 | http-nio-8080-exec-42#249 | http-nio-8080-exec-43#282 | http-nio-8080-exec-44#283 | http-nio-8080-exec-45#284</x:v>
      </x:c>
      <x:c r="P612" s="36" t="n">
        <x:v>8</x:v>
      </x:c>
      <x:c r="Q612" s="44" t="str">
        <x:v>http-nio-8080-exec-37#242 | http-nio-8080-exec-39#244 | http-nio-8080-exec-40#247 | http-nio-8080-exec-41#248 | http-nio-8080-exec-42#249 | http-nio-8080-exec-43#282 | http-nio-8080-exec-44#283 | http-nio-8080-exec-45#284</x:v>
      </x:c>
      <x:c r="R612" s="36" t="n">
        <x:v>0</x:v>
      </x:c>
      <x:c r="S612" s="44"/>
      <x:c r="T612" s="36" t="n">
        <x:v>0</x:v>
      </x:c>
      <x:c r="U612" s="44"/>
      <x:c r="V612" s="36" t="n">
        <x:v>0</x:v>
      </x:c>
      <x:c r="W612" s="44"/>
      <x:c r="X612" s="34" t="str">
        <x:v>no-post-undeploy-thread-signal</x:v>
      </x:c>
      <x:c r="Y612" s="44" t="str">
        <x:v>automated signatures are JCS-specific; all other candidate application threads remain unattributed and ownership requires the archived full dump</x:v>
      </x:c>
    </x:row>
    <x:row r="613">
      <x:c r="A613" s="34" t="str">
        <x:v>article1-unified-v4-2-fb3f101b-20260903-000401-default-f06-p1-nostore</x:v>
      </x:c>
      <x:c r="B613" s="34" t="str">
        <x:v>default</x:v>
      </x:c>
      <x:c r="C613" s="34" t="str">
        <x:v>nostore</x:v>
      </x:c>
      <x:c r="D613" s="36" t="n">
        <x:v>6</x:v>
      </x:c>
      <x:c r="E613" s="36" t="n">
        <x:v>6</x:v>
      </x:c>
      <x:c r="F613" s="36" t="n">
        <x:v>1</x:v>
      </x:c>
      <x:c r="G613" s="36" t="n">
        <x:v>3</x:v>
      </x:c>
      <x:c r="H613" s="34" t="str">
        <x:v>finalUndeployThreadEvidenceFinal</x:v>
      </x:c>
      <x:c r="I613" s="36" t="n">
        <x:v>2</x:v>
      </x:c>
      <x:c r="J613" s="34" t="str">
        <x:v>final</x:v>
      </x:c>
      <x:c r="K613" s="36" t="n">
        <x:v>27</x:v>
      </x:c>
      <x:c r="L613" s="51" t="n">
        <x:v>0</x:v>
      </x:c>
      <x:c r="M613" s="51" t="n">
        <x:v>0</x:v>
      </x:c>
      <x:c r="N613" s="36" t="n">
        <x:v>10</x:v>
      </x:c>
      <x:c r="O613" s="44" t="str">
        <x:v>http-nio-8080-exec-31#202 | http-nio-8080-exec-33#204 | http-nio-8080-exec-37#242 | http-nio-8080-exec-39#244 | http-nio-8080-exec-40#247 | http-nio-8080-exec-41#248 | http-nio-8080-exec-43#282 | http-nio-8080-exec-44#283 | http-nio-8080-exec-45#284 | http-nio-8080-exec-46#285</x:v>
      </x:c>
      <x:c r="P613" s="36" t="n">
        <x:v>8</x:v>
      </x:c>
      <x:c r="Q613" s="44" t="str">
        <x:v>http-nio-8080-exec-37#242 | http-nio-8080-exec-39#244 | http-nio-8080-exec-40#247 | http-nio-8080-exec-41#248 | http-nio-8080-exec-43#282 | http-nio-8080-exec-44#283 | http-nio-8080-exec-45#284 | http-nio-8080-exec-46#285</x:v>
      </x:c>
      <x:c r="R613" s="36" t="n">
        <x:v>0</x:v>
      </x:c>
      <x:c r="S613" s="44"/>
      <x:c r="T613" s="36" t="n">
        <x:v>0</x:v>
      </x:c>
      <x:c r="U613" s="44"/>
      <x:c r="V613" s="36" t="n">
        <x:v>0</x:v>
      </x:c>
      <x:c r="W613" s="44"/>
      <x:c r="X613" s="34" t="str">
        <x:v>no-post-undeploy-thread-signal</x:v>
      </x:c>
      <x:c r="Y613" s="44" t="str">
        <x:v>automated signatures are JCS-specific; all other candidate application threads remain unattributed and ownership requires the archived full dump</x:v>
      </x:c>
    </x:row>
    <x:row r="614">
      <x:c r="A614" s="34" t="str">
        <x:v>article1-unified-v4-2-fb3f101b-20260903-000401-default-f06-p1-nostore</x:v>
      </x:c>
      <x:c r="B614" s="34" t="str">
        <x:v>default</x:v>
      </x:c>
      <x:c r="C614" s="34" t="str">
        <x:v>nostore</x:v>
      </x:c>
      <x:c r="D614" s="36" t="n">
        <x:v>6</x:v>
      </x:c>
      <x:c r="E614" s="36" t="n">
        <x:v>6</x:v>
      </x:c>
      <x:c r="F614" s="36" t="n">
        <x:v>1</x:v>
      </x:c>
      <x:c r="G614" s="36" t="n">
        <x:v>4</x:v>
      </x:c>
      <x:c r="H614" s="34" t="str">
        <x:v>firstUndeployThreadEvidenceEarly</x:v>
      </x:c>
      <x:c r="I614" s="36" t="n">
        <x:v>1</x:v>
      </x:c>
      <x:c r="J614" s="34" t="str">
        <x:v>early</x:v>
      </x:c>
      <x:c r="K614" s="36" t="n">
        <x:v>27</x:v>
      </x:c>
      <x:c r="L614" s="51" t="n">
        <x:v>0</x:v>
      </x:c>
      <x:c r="M614" s="51" t="n">
        <x:v>0</x:v>
      </x:c>
      <x:c r="N614" s="36" t="n">
        <x:v>10</x:v>
      </x:c>
      <x:c r="O614" s="44" t="str">
        <x:v>http-nio-8080-exec-31#202 | http-nio-8080-exec-39#244 | http-nio-8080-exec-41#248 | http-nio-8080-exec-44#283 | http-nio-8080-exec-45#284 | http-nio-8080-exec-46#285 | http-nio-8080-exec-48#289 | http-nio-8080-exec-49#322 | http-nio-8080-exec-50#323 | http-nio-8080-exec-51#324</x:v>
      </x:c>
      <x:c r="P614" s="36" t="n">
        <x:v>4</x:v>
      </x:c>
      <x:c r="Q614" s="44" t="str">
        <x:v>http-nio-8080-exec-48#289 | http-nio-8080-exec-49#322 | http-nio-8080-exec-50#323 | http-nio-8080-exec-51#324</x:v>
      </x:c>
      <x:c r="R614" s="36" t="n">
        <x:v>0</x:v>
      </x:c>
      <x:c r="S614" s="44"/>
      <x:c r="T614" s="36" t="n">
        <x:v>0</x:v>
      </x:c>
      <x:c r="U614" s="44"/>
      <x:c r="V614" s="36" t="n">
        <x:v>0</x:v>
      </x:c>
      <x:c r="W614" s="44"/>
      <x:c r="X614" s="34" t="str">
        <x:v>no-post-undeploy-thread-signal</x:v>
      </x:c>
      <x:c r="Y614" s="44" t="str">
        <x:v>automated signatures are JCS-specific; all other candidate application threads remain unattributed and ownership requires the archived full dump</x:v>
      </x:c>
    </x:row>
    <x:row r="615">
      <x:c r="A615" s="34" t="str">
        <x:v>article1-unified-v4-2-fb3f101b-20260903-000401-default-f06-p1-nostore</x:v>
      </x:c>
      <x:c r="B615" s="34" t="str">
        <x:v>default</x:v>
      </x:c>
      <x:c r="C615" s="34" t="str">
        <x:v>nostore</x:v>
      </x:c>
      <x:c r="D615" s="36" t="n">
        <x:v>6</x:v>
      </x:c>
      <x:c r="E615" s="36" t="n">
        <x:v>6</x:v>
      </x:c>
      <x:c r="F615" s="36" t="n">
        <x:v>1</x:v>
      </x:c>
      <x:c r="G615" s="36" t="n">
        <x:v>4</x:v>
      </x:c>
      <x:c r="H615" s="34" t="str">
        <x:v>firstUndeployThreadEvidenceFinal</x:v>
      </x:c>
      <x:c r="I615" s="36" t="n">
        <x:v>1</x:v>
      </x:c>
      <x:c r="J615" s="34" t="str">
        <x:v>final</x:v>
      </x:c>
      <x:c r="K615" s="36" t="n">
        <x:v>27</x:v>
      </x:c>
      <x:c r="L615" s="51" t="n">
        <x:v>0</x:v>
      </x:c>
      <x:c r="M615" s="51" t="n">
        <x:v>0</x:v>
      </x:c>
      <x:c r="N615" s="36" t="n">
        <x:v>10</x:v>
      </x:c>
      <x:c r="O615" s="44" t="str">
        <x:v>http-nio-8080-exec-31#202 | http-nio-8080-exec-39#244 | http-nio-8080-exec-41#248 | http-nio-8080-exec-44#283 | http-nio-8080-exec-45#284 | http-nio-8080-exec-46#285 | http-nio-8080-exec-48#289 | http-nio-8080-exec-50#323 | http-nio-8080-exec-51#324 | http-nio-8080-exec-52#325</x:v>
      </x:c>
      <x:c r="P615" s="36" t="n">
        <x:v>4</x:v>
      </x:c>
      <x:c r="Q615" s="44" t="str">
        <x:v>http-nio-8080-exec-48#289 | http-nio-8080-exec-50#323 | http-nio-8080-exec-51#324 | http-nio-8080-exec-52#325</x:v>
      </x:c>
      <x:c r="R615" s="36" t="n">
        <x:v>0</x:v>
      </x:c>
      <x:c r="S615" s="44"/>
      <x:c r="T615" s="36" t="n">
        <x:v>0</x:v>
      </x:c>
      <x:c r="U615" s="44"/>
      <x:c r="V615" s="36" t="n">
        <x:v>0</x:v>
      </x:c>
      <x:c r="W615" s="44"/>
      <x:c r="X615" s="34" t="str">
        <x:v>no-post-undeploy-thread-signal</x:v>
      </x:c>
      <x:c r="Y615" s="44" t="str">
        <x:v>automated signatures are JCS-specific; all other candidate application threads remain unattributed and ownership requires the archived full dump</x:v>
      </x:c>
    </x:row>
    <x:row r="616">
      <x:c r="A616" s="34" t="str">
        <x:v>article1-unified-v4-2-fb3f101b-20260903-000401-default-f06-p1-nostore</x:v>
      </x:c>
      <x:c r="B616" s="34" t="str">
        <x:v>default</x:v>
      </x:c>
      <x:c r="C616" s="34" t="str">
        <x:v>nostore</x:v>
      </x:c>
      <x:c r="D616" s="36" t="n">
        <x:v>6</x:v>
      </x:c>
      <x:c r="E616" s="36" t="n">
        <x:v>6</x:v>
      </x:c>
      <x:c r="F616" s="36" t="n">
        <x:v>1</x:v>
      </x:c>
      <x:c r="G616" s="36" t="n">
        <x:v>4</x:v>
      </x:c>
      <x:c r="H616" s="34" t="str">
        <x:v>finalUndeployThreadEvidenceEarly</x:v>
      </x:c>
      <x:c r="I616" s="36" t="n">
        <x:v>2</x:v>
      </x:c>
      <x:c r="J616" s="34" t="str">
        <x:v>early</x:v>
      </x:c>
      <x:c r="K616" s="36" t="n">
        <x:v>27</x:v>
      </x:c>
      <x:c r="L616" s="51" t="n">
        <x:v>0</x:v>
      </x:c>
      <x:c r="M616" s="51" t="n">
        <x:v>0</x:v>
      </x:c>
      <x:c r="N616" s="36" t="n">
        <x:v>10</x:v>
      </x:c>
      <x:c r="O616" s="44" t="str">
        <x:v>http-nio-8080-exec-39#244 | http-nio-8080-exec-44#283 | http-nio-8080-exec-50#323 | http-nio-8080-exec-51#324 | http-nio-8080-exec-52#325 | http-nio-8080-exec-54#329 | http-nio-8080-exec-55#330 | http-nio-8080-exec-56#363 | http-nio-8080-exec-57#364 | http-nio-8080-exec-58#365</x:v>
      </x:c>
      <x:c r="P616" s="36" t="n">
        <x:v>8</x:v>
      </x:c>
      <x:c r="Q616" s="44" t="str">
        <x:v>http-nio-8080-exec-50#323 | http-nio-8080-exec-51#324 | http-nio-8080-exec-52#325 | http-nio-8080-exec-54#329 | http-nio-8080-exec-55#330 | http-nio-8080-exec-56#363 | http-nio-8080-exec-57#364 | http-nio-8080-exec-58#365</x:v>
      </x:c>
      <x:c r="R616" s="36" t="n">
        <x:v>0</x:v>
      </x:c>
      <x:c r="S616" s="44"/>
      <x:c r="T616" s="36" t="n">
        <x:v>0</x:v>
      </x:c>
      <x:c r="U616" s="44"/>
      <x:c r="V616" s="36" t="n">
        <x:v>0</x:v>
      </x:c>
      <x:c r="W616" s="44"/>
      <x:c r="X616" s="34" t="str">
        <x:v>no-post-undeploy-thread-signal</x:v>
      </x:c>
      <x:c r="Y616" s="44" t="str">
        <x:v>automated signatures are JCS-specific; all other candidate application threads remain unattributed and ownership requires the archived full dump</x:v>
      </x:c>
    </x:row>
    <x:row r="617">
      <x:c r="A617" s="34" t="str">
        <x:v>article1-unified-v4-2-fb3f101b-20260903-000401-default-f06-p1-nostore</x:v>
      </x:c>
      <x:c r="B617" s="34" t="str">
        <x:v>default</x:v>
      </x:c>
      <x:c r="C617" s="34" t="str">
        <x:v>nostore</x:v>
      </x:c>
      <x:c r="D617" s="36" t="n">
        <x:v>6</x:v>
      </x:c>
      <x:c r="E617" s="36" t="n">
        <x:v>6</x:v>
      </x:c>
      <x:c r="F617" s="36" t="n">
        <x:v>1</x:v>
      </x:c>
      <x:c r="G617" s="36" t="n">
        <x:v>4</x:v>
      </x:c>
      <x:c r="H617" s="34" t="str">
        <x:v>finalUndeployThreadEvidenceFinal</x:v>
      </x:c>
      <x:c r="I617" s="36" t="n">
        <x:v>2</x:v>
      </x:c>
      <x:c r="J617" s="34" t="str">
        <x:v>final</x:v>
      </x:c>
      <x:c r="K617" s="36" t="n">
        <x:v>27</x:v>
      </x:c>
      <x:c r="L617" s="51" t="n">
        <x:v>0</x:v>
      </x:c>
      <x:c r="M617" s="51" t="n">
        <x:v>0</x:v>
      </x:c>
      <x:c r="N617" s="36" t="n">
        <x:v>10</x:v>
      </x:c>
      <x:c r="O617" s="44" t="str">
        <x:v>http-nio-8080-exec-39#244 | http-nio-8080-exec-44#283 | http-nio-8080-exec-51#324 | http-nio-8080-exec-52#325 | http-nio-8080-exec-54#329 | http-nio-8080-exec-55#330 | http-nio-8080-exec-56#363 | http-nio-8080-exec-57#364 | http-nio-8080-exec-58#365 | http-nio-8080-exec-59#366</x:v>
      </x:c>
      <x:c r="P617" s="36" t="n">
        <x:v>8</x:v>
      </x:c>
      <x:c r="Q617" s="44" t="str">
        <x:v>http-nio-8080-exec-51#324 | http-nio-8080-exec-52#325 | http-nio-8080-exec-54#329 | http-nio-8080-exec-55#330 | http-nio-8080-exec-56#363 | http-nio-8080-exec-57#364 | http-nio-8080-exec-58#365 | http-nio-8080-exec-59#366</x:v>
      </x:c>
      <x:c r="R617" s="36" t="n">
        <x:v>0</x:v>
      </x:c>
      <x:c r="S617" s="44"/>
      <x:c r="T617" s="36" t="n">
        <x:v>0</x:v>
      </x:c>
      <x:c r="U617" s="44"/>
      <x:c r="V617" s="36" t="n">
        <x:v>0</x:v>
      </x:c>
      <x:c r="W617" s="44"/>
      <x:c r="X617" s="34" t="str">
        <x:v>no-post-undeploy-thread-signal</x:v>
      </x:c>
      <x:c r="Y617" s="44" t="str">
        <x:v>automated signatures are JCS-specific; all other candidate application threads remain unattributed and ownership requires the archived full dump</x:v>
      </x:c>
    </x:row>
    <x:row r="618">
      <x:c r="A618" s="34" t="str">
        <x:v>article1-unified-v4-2-fb3f101b-20260903-000401-default-f06-p1-nostore</x:v>
      </x:c>
      <x:c r="B618" s="34" t="str">
        <x:v>default</x:v>
      </x:c>
      <x:c r="C618" s="34" t="str">
        <x:v>nostore</x:v>
      </x:c>
      <x:c r="D618" s="36" t="n">
        <x:v>6</x:v>
      </x:c>
      <x:c r="E618" s="36" t="n">
        <x:v>6</x:v>
      </x:c>
      <x:c r="F618" s="36" t="n">
        <x:v>1</x:v>
      </x:c>
      <x:c r="G618" s="36" t="n">
        <x:v>5</x:v>
      </x:c>
      <x:c r="H618" s="34" t="str">
        <x:v>firstUndeployThreadEvidenceEarly</x:v>
      </x:c>
      <x:c r="I618" s="36" t="n">
        <x:v>1</x:v>
      </x:c>
      <x:c r="J618" s="34" t="str">
        <x:v>early</x:v>
      </x:c>
      <x:c r="K618" s="36" t="n">
        <x:v>27</x:v>
      </x:c>
      <x:c r="L618" s="51" t="n">
        <x:v>0</x:v>
      </x:c>
      <x:c r="M618" s="51" t="n">
        <x:v>0</x:v>
      </x:c>
      <x:c r="N618" s="36" t="n">
        <x:v>10</x:v>
      </x:c>
      <x:c r="O618" s="44" t="str">
        <x:v>http-nio-8080-exec-44#283 | http-nio-8080-exec-54#329 | http-nio-8080-exec-57#364 | http-nio-8080-exec-58#365 | http-nio-8080-exec-59#366 | http-nio-8080-exec-60#369 | http-nio-8080-exec-61#370 | http-nio-8080-exec-62#403 | http-nio-8080-exec-63#404 | http-nio-8080-exec-64#405</x:v>
      </x:c>
      <x:c r="P618" s="36" t="n">
        <x:v>5</x:v>
      </x:c>
      <x:c r="Q618" s="44" t="str">
        <x:v>http-nio-8080-exec-60#369 | http-nio-8080-exec-61#370 | http-nio-8080-exec-62#403 | http-nio-8080-exec-63#404 | http-nio-8080-exec-64#405</x:v>
      </x:c>
      <x:c r="R618" s="36" t="n">
        <x:v>0</x:v>
      </x:c>
      <x:c r="S618" s="44"/>
      <x:c r="T618" s="36" t="n">
        <x:v>0</x:v>
      </x:c>
      <x:c r="U618" s="44"/>
      <x:c r="V618" s="36" t="n">
        <x:v>0</x:v>
      </x:c>
      <x:c r="W618" s="44"/>
      <x:c r="X618" s="34" t="str">
        <x:v>no-post-undeploy-thread-signal</x:v>
      </x:c>
      <x:c r="Y618" s="44" t="str">
        <x:v>automated signatures are JCS-specific; all other candidate application threads remain unattributed and ownership requires the archived full dump</x:v>
      </x:c>
    </x:row>
    <x:row r="619">
      <x:c r="A619" s="34" t="str">
        <x:v>article1-unified-v4-2-fb3f101b-20260903-000401-default-f06-p1-nostore</x:v>
      </x:c>
      <x:c r="B619" s="34" t="str">
        <x:v>default</x:v>
      </x:c>
      <x:c r="C619" s="34" t="str">
        <x:v>nostore</x:v>
      </x:c>
      <x:c r="D619" s="36" t="n">
        <x:v>6</x:v>
      </x:c>
      <x:c r="E619" s="36" t="n">
        <x:v>6</x:v>
      </x:c>
      <x:c r="F619" s="36" t="n">
        <x:v>1</x:v>
      </x:c>
      <x:c r="G619" s="36" t="n">
        <x:v>5</x:v>
      </x:c>
      <x:c r="H619" s="34" t="str">
        <x:v>firstUndeployThreadEvidenceFinal</x:v>
      </x:c>
      <x:c r="I619" s="36" t="n">
        <x:v>1</x:v>
      </x:c>
      <x:c r="J619" s="34" t="str">
        <x:v>final</x:v>
      </x:c>
      <x:c r="K619" s="36" t="n">
        <x:v>27</x:v>
      </x:c>
      <x:c r="L619" s="51" t="n">
        <x:v>0</x:v>
      </x:c>
      <x:c r="M619" s="51" t="n">
        <x:v>0</x:v>
      </x:c>
      <x:c r="N619" s="36" t="n">
        <x:v>10</x:v>
      </x:c>
      <x:c r="O619" s="44" t="str">
        <x:v>http-nio-8080-exec-44#283 | http-nio-8080-exec-54#329 | http-nio-8080-exec-57#364 | http-nio-8080-exec-59#366 | http-nio-8080-exec-60#369 | http-nio-8080-exec-61#370 | http-nio-8080-exec-62#403 | http-nio-8080-exec-63#404 | http-nio-8080-exec-64#405 | http-nio-8080-exec-65#406</x:v>
      </x:c>
      <x:c r="P619" s="36" t="n">
        <x:v>6</x:v>
      </x:c>
      <x:c r="Q619" s="44" t="str">
        <x:v>http-nio-8080-exec-60#369 | http-nio-8080-exec-61#370 | http-nio-8080-exec-62#403 | http-nio-8080-exec-63#404 | http-nio-8080-exec-64#405 | http-nio-8080-exec-65#406</x:v>
      </x:c>
      <x:c r="R619" s="36" t="n">
        <x:v>0</x:v>
      </x:c>
      <x:c r="S619" s="44"/>
      <x:c r="T619" s="36" t="n">
        <x:v>0</x:v>
      </x:c>
      <x:c r="U619" s="44"/>
      <x:c r="V619" s="36" t="n">
        <x:v>0</x:v>
      </x:c>
      <x:c r="W619" s="44"/>
      <x:c r="X619" s="34" t="str">
        <x:v>no-post-undeploy-thread-signal</x:v>
      </x:c>
      <x:c r="Y619" s="44" t="str">
        <x:v>automated signatures are JCS-specific; all other candidate application threads remain unattributed and ownership requires the archived full dump</x:v>
      </x:c>
    </x:row>
    <x:row r="620">
      <x:c r="A620" s="34" t="str">
        <x:v>article1-unified-v4-2-fb3f101b-20260903-000401-default-f06-p1-nostore</x:v>
      </x:c>
      <x:c r="B620" s="34" t="str">
        <x:v>default</x:v>
      </x:c>
      <x:c r="C620" s="34" t="str">
        <x:v>nostore</x:v>
      </x:c>
      <x:c r="D620" s="36" t="n">
        <x:v>6</x:v>
      </x:c>
      <x:c r="E620" s="36" t="n">
        <x:v>6</x:v>
      </x:c>
      <x:c r="F620" s="36" t="n">
        <x:v>1</x:v>
      </x:c>
      <x:c r="G620" s="36" t="n">
        <x:v>5</x:v>
      </x:c>
      <x:c r="H620" s="34" t="str">
        <x:v>finalUndeployThreadEvidenceEarly</x:v>
      </x:c>
      <x:c r="I620" s="36" t="n">
        <x:v>2</x:v>
      </x:c>
      <x:c r="J620" s="34" t="str">
        <x:v>early</x:v>
      </x:c>
      <x:c r="K620" s="36" t="n">
        <x:v>27</x:v>
      </x:c>
      <x:c r="L620" s="51" t="n">
        <x:v>0</x:v>
      </x:c>
      <x:c r="M620" s="51" t="n">
        <x:v>0</x:v>
      </x:c>
      <x:c r="N620" s="36" t="n">
        <x:v>10</x:v>
      </x:c>
      <x:c r="O620" s="44" t="str">
        <x:v>http-nio-8080-exec-54#329 | http-nio-8080-exec-63#404 | http-nio-8080-exec-64#405 | http-nio-8080-exec-65#406 | http-nio-8080-exec-66#409 | http-nio-8080-exec-67#410 | http-nio-8080-exec-68#411 | http-nio-8080-exec-69#444 | http-nio-8080-exec-70#445 | http-nio-8080-exec-71#446</x:v>
      </x:c>
      <x:c r="P620" s="36" t="n">
        <x:v>9</x:v>
      </x:c>
      <x:c r="Q620" s="44" t="str">
        <x:v>http-nio-8080-exec-63#404 | http-nio-8080-exec-64#405 | http-nio-8080-exec-65#406 | http-nio-8080-exec-66#409 | http-nio-8080-exec-67#410 | http-nio-8080-exec-68#411 | http-nio-8080-exec-69#444 | http-nio-8080-exec-70#445 | http-nio-8080-exec-71#446</x:v>
      </x:c>
      <x:c r="R620" s="36" t="n">
        <x:v>0</x:v>
      </x:c>
      <x:c r="S620" s="44"/>
      <x:c r="T620" s="36" t="n">
        <x:v>0</x:v>
      </x:c>
      <x:c r="U620" s="44"/>
      <x:c r="V620" s="36" t="n">
        <x:v>0</x:v>
      </x:c>
      <x:c r="W620" s="44"/>
      <x:c r="X620" s="34" t="str">
        <x:v>no-post-undeploy-thread-signal</x:v>
      </x:c>
      <x:c r="Y620" s="44" t="str">
        <x:v>automated signatures are JCS-specific; all other candidate application threads remain unattributed and ownership requires the archived full dump</x:v>
      </x:c>
    </x:row>
    <x:row r="621">
      <x:c r="A621" s="34" t="str">
        <x:v>article1-unified-v4-2-fb3f101b-20260903-000401-default-f06-p1-nostore</x:v>
      </x:c>
      <x:c r="B621" s="34" t="str">
        <x:v>default</x:v>
      </x:c>
      <x:c r="C621" s="34" t="str">
        <x:v>nostore</x:v>
      </x:c>
      <x:c r="D621" s="36" t="n">
        <x:v>6</x:v>
      </x:c>
      <x:c r="E621" s="36" t="n">
        <x:v>6</x:v>
      </x:c>
      <x:c r="F621" s="36" t="n">
        <x:v>1</x:v>
      </x:c>
      <x:c r="G621" s="36" t="n">
        <x:v>5</x:v>
      </x:c>
      <x:c r="H621" s="34" t="str">
        <x:v>finalUndeployThreadEvidenceFinal</x:v>
      </x:c>
      <x:c r="I621" s="36" t="n">
        <x:v>2</x:v>
      </x:c>
      <x:c r="J621" s="34" t="str">
        <x:v>final</x:v>
      </x:c>
      <x:c r="K621" s="36" t="n">
        <x:v>27</x:v>
      </x:c>
      <x:c r="L621" s="51" t="n">
        <x:v>0</x:v>
      </x:c>
      <x:c r="M621" s="51" t="n">
        <x:v>0</x:v>
      </x:c>
      <x:c r="N621" s="36" t="n">
        <x:v>10</x:v>
      </x:c>
      <x:c r="O621" s="44" t="str">
        <x:v>http-nio-8080-exec-54#329 | http-nio-8080-exec-63#404 | http-nio-8080-exec-64#405 | http-nio-8080-exec-65#406 | http-nio-8080-exec-67#410 | http-nio-8080-exec-68#411 | http-nio-8080-exec-69#444 | http-nio-8080-exec-70#445 | http-nio-8080-exec-71#446 | http-nio-8080-exec-72#447</x:v>
      </x:c>
      <x:c r="P621" s="36" t="n">
        <x:v>9</x:v>
      </x:c>
      <x:c r="Q621" s="44" t="str">
        <x:v>http-nio-8080-exec-63#404 | http-nio-8080-exec-64#405 | http-nio-8080-exec-65#406 | http-nio-8080-exec-67#410 | http-nio-8080-exec-68#411 | http-nio-8080-exec-69#444 | http-nio-8080-exec-70#445 | http-nio-8080-exec-71#446 | http-nio-8080-exec-72#447</x:v>
      </x:c>
      <x:c r="R621" s="36" t="n">
        <x:v>0</x:v>
      </x:c>
      <x:c r="S621" s="44"/>
      <x:c r="T621" s="36" t="n">
        <x:v>0</x:v>
      </x:c>
      <x:c r="U621" s="44"/>
      <x:c r="V621" s="36" t="n">
        <x:v>0</x:v>
      </x:c>
      <x:c r="W621" s="44"/>
      <x:c r="X621" s="34" t="str">
        <x:v>no-post-undeploy-thread-signal</x:v>
      </x:c>
      <x:c r="Y621" s="44" t="str">
        <x:v>automated signatures are JCS-specific; all other candidate application threads remain unattributed and ownership requires the archived full dump</x:v>
      </x:c>
    </x:row>
    <x:row r="622">
      <x:c r="A622" s="34" t="str">
        <x:v>article1-unified-v4-2-fb3f101b-20260903-000401-default-f06-p2-caffeine</x:v>
      </x:c>
      <x:c r="B622" s="34" t="str">
        <x:v>default</x:v>
      </x:c>
      <x:c r="C622" s="34" t="str">
        <x:v>caffeine</x:v>
      </x:c>
      <x:c r="D622" s="36" t="n">
        <x:v>6</x:v>
      </x:c>
      <x:c r="E622" s="36" t="n">
        <x:v>6</x:v>
      </x:c>
      <x:c r="F622" s="36" t="n">
        <x:v>2</x:v>
      </x:c>
      <x:c r="G622" s="36" t="n">
        <x:v>1</x:v>
      </x:c>
      <x:c r="H622" s="34" t="str">
        <x:v>firstUndeployThreadEvidenceEarly</x:v>
      </x:c>
      <x:c r="I622" s="36" t="n">
        <x:v>1</x:v>
      </x:c>
      <x:c r="J622" s="34" t="str">
        <x:v>early</x:v>
      </x:c>
      <x:c r="K622" s="36" t="n">
        <x:v>30</x:v>
      </x:c>
      <x:c r="L622" s="51" t="n">
        <x:v>3</x:v>
      </x:c>
      <x:c r="M622" s="51" t="n">
        <x:v>3</x:v>
      </x:c>
      <x:c r="N622" s="36" t="n">
        <x:v>5</x:v>
      </x:c>
      <x:c r="O622" s="44" t="str">
        <x:v>ForkJoinPool.commonPool-worker-1#48 | ForkJoinPool.commonPool-worker-2#49 | ForkJoinPool.commonPool-worker-3#50 | http-nio-8080-exec-11#83 | http-nio-8080-exec-12#84</x:v>
      </x:c>
      <x:c r="P622" s="36" t="n">
        <x:v>5</x:v>
      </x:c>
      <x:c r="Q622" s="44" t="str">
        <x:v>ForkJoinPool.commonPool-worker-1#48 | ForkJoinPool.commonPool-worker-2#49 | ForkJoinPool.commonPool-worker-3#50 | http-nio-8080-exec-11#83 | http-nio-8080-exec-12#84</x:v>
      </x:c>
      <x:c r="R622" s="36" t="n">
        <x:v>3</x:v>
      </x:c>
      <x:c r="S622" s="44" t="str">
        <x:v>ForkJoinPool.commonPool-worker-1#48 | ForkJoinPool.commonPool-worker-2#49 | ForkJoinPool.commonPool-worker-3#50</x:v>
      </x:c>
      <x:c r="T622" s="36" t="n">
        <x:v>3</x:v>
      </x:c>
      <x:c r="U622" s="44" t="str">
        <x:v>ForkJoinPool.commonPool-worker-1#48 | ForkJoinPool.commonPool-worker-2#49 | ForkJoinPool.commonPool-worker-3#50</x:v>
      </x:c>
      <x:c r="V622" s="36" t="n">
        <x:v>0</x:v>
      </x:c>
      <x:c r="W622" s="44"/>
      <x:c r="X622" s="34" t="str">
        <x:v>unattributed-thread-signal</x:v>
      </x:c>
      <x:c r="Y622" s="44" t="str">
        <x:v>automated signatures are JCS-specific; all other candidate application threads remain unattributed and ownership requires the archived full dump</x:v>
      </x:c>
    </x:row>
    <x:row r="623">
      <x:c r="A623" s="34" t="str">
        <x:v>article1-unified-v4-2-fb3f101b-20260903-000401-default-f06-p2-caffeine</x:v>
      </x:c>
      <x:c r="B623" s="34" t="str">
        <x:v>default</x:v>
      </x:c>
      <x:c r="C623" s="34" t="str">
        <x:v>caffeine</x:v>
      </x:c>
      <x:c r="D623" s="36" t="n">
        <x:v>6</x:v>
      </x:c>
      <x:c r="E623" s="36" t="n">
        <x:v>6</x:v>
      </x:c>
      <x:c r="F623" s="36" t="n">
        <x:v>2</x:v>
      </x:c>
      <x:c r="G623" s="36" t="n">
        <x:v>1</x:v>
      </x:c>
      <x:c r="H623" s="34" t="str">
        <x:v>firstUndeployThreadEvidenceFinal</x:v>
      </x:c>
      <x:c r="I623" s="36" t="n">
        <x:v>1</x:v>
      </x:c>
      <x:c r="J623" s="34" t="str">
        <x:v>final</x:v>
      </x:c>
      <x:c r="K623" s="36" t="n">
        <x:v>30</x:v>
      </x:c>
      <x:c r="L623" s="51" t="n">
        <x:v>3</x:v>
      </x:c>
      <x:c r="M623" s="51" t="n">
        <x:v>3</x:v>
      </x:c>
      <x:c r="N623" s="36" t="n">
        <x:v>6</x:v>
      </x:c>
      <x:c r="O623" s="44" t="str">
        <x:v>ForkJoinPool.commonPool-worker-1#48 | ForkJoinPool.commonPool-worker-2#49 | ForkJoinPool.commonPool-worker-3#50 | http-nio-8080-exec-11#83 | http-nio-8080-exec-12#84 | http-nio-8080-exec-13#85</x:v>
      </x:c>
      <x:c r="P623" s="36" t="n">
        <x:v>6</x:v>
      </x:c>
      <x:c r="Q623" s="44" t="str">
        <x:v>ForkJoinPool.commonPool-worker-1#48 | ForkJoinPool.commonPool-worker-2#49 | ForkJoinPool.commonPool-worker-3#50 | http-nio-8080-exec-11#83 | http-nio-8080-exec-12#84 | http-nio-8080-exec-13#85</x:v>
      </x:c>
      <x:c r="R623" s="36" t="n">
        <x:v>3</x:v>
      </x:c>
      <x:c r="S623" s="44" t="str">
        <x:v>ForkJoinPool.commonPool-worker-1#48 | ForkJoinPool.commonPool-worker-2#49 | ForkJoinPool.commonPool-worker-3#50</x:v>
      </x:c>
      <x:c r="T623" s="36" t="n">
        <x:v>3</x:v>
      </x:c>
      <x:c r="U623" s="44" t="str">
        <x:v>ForkJoinPool.commonPool-worker-1#48 | ForkJoinPool.commonPool-worker-2#49 | ForkJoinPool.commonPool-worker-3#50</x:v>
      </x:c>
      <x:c r="V623" s="36" t="n">
        <x:v>0</x:v>
      </x:c>
      <x:c r="W623" s="44"/>
      <x:c r="X623" s="34" t="str">
        <x:v>unattributed-thread-signal</x:v>
      </x:c>
      <x:c r="Y623" s="44" t="str">
        <x:v>automated signatures are JCS-specific; all other candidate application threads remain unattributed and ownership requires the archived full dump</x:v>
      </x:c>
    </x:row>
    <x:row r="624">
      <x:c r="A624" s="34" t="str">
        <x:v>article1-unified-v4-2-fb3f101b-20260903-000401-default-f06-p2-caffeine</x:v>
      </x:c>
      <x:c r="B624" s="34" t="str">
        <x:v>default</x:v>
      </x:c>
      <x:c r="C624" s="34" t="str">
        <x:v>caffeine</x:v>
      </x:c>
      <x:c r="D624" s="36" t="n">
        <x:v>6</x:v>
      </x:c>
      <x:c r="E624" s="36" t="n">
        <x:v>6</x:v>
      </x:c>
      <x:c r="F624" s="36" t="n">
        <x:v>2</x:v>
      </x:c>
      <x:c r="G624" s="36" t="n">
        <x:v>1</x:v>
      </x:c>
      <x:c r="H624" s="34" t="str">
        <x:v>finalUndeployThreadEvidenceEarly</x:v>
      </x:c>
      <x:c r="I624" s="36" t="n">
        <x:v>2</x:v>
      </x:c>
      <x:c r="J624" s="34" t="str">
        <x:v>early</x:v>
      </x:c>
      <x:c r="K624" s="36" t="n">
        <x:v>30</x:v>
      </x:c>
      <x:c r="L624" s="51" t="n">
        <x:v>3</x:v>
      </x:c>
      <x:c r="M624" s="51" t="n">
        <x:v>3</x:v>
      </x:c>
      <x:c r="N624" s="36" t="n">
        <x:v>11</x:v>
      </x:c>
      <x:c r="O624" s="44" t="str">
        <x:v>ForkJoinPool.commonPool-worker-1#48 | ForkJoinPool.commonPool-worker-2#49 | ForkJoinPool.commonPool-worker-3#50 | http-nio-8080-exec-11#83 | http-nio-8080-exec-13#85 | http-nio-8080-exec-14#88 | http-nio-8080-exec-15#89 | http-nio-8080-exec-16#90 | http-nio-8080-exec-17#123 | http-nio-8080-exec-18#124 | http-nio-8080-exec-19#125</x:v>
      </x:c>
      <x:c r="P624" s="36" t="n">
        <x:v>11</x:v>
      </x:c>
      <x:c r="Q624" s="44" t="str">
        <x:v>ForkJoinPool.commonPool-worker-1#48 | ForkJoinPool.commonPool-worker-2#49 | ForkJoinPool.commonPool-worker-3#50 | http-nio-8080-exec-11#83 | http-nio-8080-exec-13#85 | http-nio-8080-exec-14#88 | http-nio-8080-exec-15#89 | http-nio-8080-exec-16#90 | http-nio-8080-exec-17#123 | http-nio-8080-exec-18#124 | http-nio-8080-exec-19#125</x:v>
      </x:c>
      <x:c r="R624" s="36" t="n">
        <x:v>3</x:v>
      </x:c>
      <x:c r="S624" s="44" t="str">
        <x:v>ForkJoinPool.commonPool-worker-1#48 | ForkJoinPool.commonPool-worker-2#49 | ForkJoinPool.commonPool-worker-3#50</x:v>
      </x:c>
      <x:c r="T624" s="36" t="n">
        <x:v>3</x:v>
      </x:c>
      <x:c r="U624" s="44" t="str">
        <x:v>ForkJoinPool.commonPool-worker-1#48 | ForkJoinPool.commonPool-worker-2#49 | ForkJoinPool.commonPool-worker-3#50</x:v>
      </x:c>
      <x:c r="V624" s="36" t="n">
        <x:v>0</x:v>
      </x:c>
      <x:c r="W624" s="44"/>
      <x:c r="X624" s="34" t="str">
        <x:v>unattributed-thread-signal</x:v>
      </x:c>
      <x:c r="Y624" s="44" t="str">
        <x:v>automated signatures are JCS-specific; all other candidate application threads remain unattributed and ownership requires the archived full dump</x:v>
      </x:c>
    </x:row>
    <x:row r="625">
      <x:c r="A625" s="34" t="str">
        <x:v>article1-unified-v4-2-fb3f101b-20260903-000401-default-f06-p2-caffeine</x:v>
      </x:c>
      <x:c r="B625" s="34" t="str">
        <x:v>default</x:v>
      </x:c>
      <x:c r="C625" s="34" t="str">
        <x:v>caffeine</x:v>
      </x:c>
      <x:c r="D625" s="36" t="n">
        <x:v>6</x:v>
      </x:c>
      <x:c r="E625" s="36" t="n">
        <x:v>6</x:v>
      </x:c>
      <x:c r="F625" s="36" t="n">
        <x:v>2</x:v>
      </x:c>
      <x:c r="G625" s="36" t="n">
        <x:v>1</x:v>
      </x:c>
      <x:c r="H625" s="34" t="str">
        <x:v>finalUndeployThreadEvidenceFinal</x:v>
      </x:c>
      <x:c r="I625" s="36" t="n">
        <x:v>2</x:v>
      </x:c>
      <x:c r="J625" s="34" t="str">
        <x:v>final</x:v>
      </x:c>
      <x:c r="K625" s="36" t="n">
        <x:v>30</x:v>
      </x:c>
      <x:c r="L625" s="51" t="n">
        <x:v>3</x:v>
      </x:c>
      <x:c r="M625" s="51" t="n">
        <x:v>3</x:v>
      </x:c>
      <x:c r="N625" s="36" t="n">
        <x:v>11</x:v>
      </x:c>
      <x:c r="O625" s="44" t="str">
        <x:v>ForkJoinPool.commonPool-worker-1#48 | ForkJoinPool.commonPool-worker-2#49 | ForkJoinPool.commonPool-worker-3#50 | http-nio-8080-exec-11#83 | http-nio-8080-exec-13#85 | http-nio-8080-exec-14#88 | http-nio-8080-exec-15#89 | http-nio-8080-exec-17#123 | http-nio-8080-exec-18#124 | http-nio-8080-exec-19#125 | http-nio-8080-exec-20#126</x:v>
      </x:c>
      <x:c r="P625" s="36" t="n">
        <x:v>11</x:v>
      </x:c>
      <x:c r="Q625" s="44" t="str">
        <x:v>ForkJoinPool.commonPool-worker-1#48 | ForkJoinPool.commonPool-worker-2#49 | ForkJoinPool.commonPool-worker-3#50 | http-nio-8080-exec-11#83 | http-nio-8080-exec-13#85 | http-nio-8080-exec-14#88 | http-nio-8080-exec-15#89 | http-nio-8080-exec-17#123 | http-nio-8080-exec-18#124 | http-nio-8080-exec-19#125 | http-nio-8080-exec-20#126</x:v>
      </x:c>
      <x:c r="R625" s="36" t="n">
        <x:v>3</x:v>
      </x:c>
      <x:c r="S625" s="44" t="str">
        <x:v>ForkJoinPool.commonPool-worker-1#48 | ForkJoinPool.commonPool-worker-2#49 | ForkJoinPool.commonPool-worker-3#50</x:v>
      </x:c>
      <x:c r="T625" s="36" t="n">
        <x:v>3</x:v>
      </x:c>
      <x:c r="U625" s="44" t="str">
        <x:v>ForkJoinPool.commonPool-worker-1#48 | ForkJoinPool.commonPool-worker-2#49 | ForkJoinPool.commonPool-worker-3#50</x:v>
      </x:c>
      <x:c r="V625" s="36" t="n">
        <x:v>0</x:v>
      </x:c>
      <x:c r="W625" s="44"/>
      <x:c r="X625" s="34" t="str">
        <x:v>unattributed-thread-signal</x:v>
      </x:c>
      <x:c r="Y625" s="44" t="str">
        <x:v>automated signatures are JCS-specific; all other candidate application threads remain unattributed and ownership requires the archived full dump</x:v>
      </x:c>
    </x:row>
    <x:row r="626">
      <x:c r="A626" s="34" t="str">
        <x:v>article1-unified-v4-2-fb3f101b-20260903-000401-default-f06-p2-caffeine</x:v>
      </x:c>
      <x:c r="B626" s="34" t="str">
        <x:v>default</x:v>
      </x:c>
      <x:c r="C626" s="34" t="str">
        <x:v>caffeine</x:v>
      </x:c>
      <x:c r="D626" s="36" t="n">
        <x:v>6</x:v>
      </x:c>
      <x:c r="E626" s="36" t="n">
        <x:v>6</x:v>
      </x:c>
      <x:c r="F626" s="36" t="n">
        <x:v>2</x:v>
      </x:c>
      <x:c r="G626" s="36" t="n">
        <x:v>2</x:v>
      </x:c>
      <x:c r="H626" s="34" t="str">
        <x:v>firstUndeployThreadEvidenceEarly</x:v>
      </x:c>
      <x:c r="I626" s="36" t="n">
        <x:v>1</x:v>
      </x:c>
      <x:c r="J626" s="34" t="str">
        <x:v>early</x:v>
      </x:c>
      <x:c r="K626" s="36" t="n">
        <x:v>30</x:v>
      </x:c>
      <x:c r="L626" s="51" t="n">
        <x:v>3</x:v>
      </x:c>
      <x:c r="M626" s="51" t="n">
        <x:v>0</x:v>
      </x:c>
      <x:c r="N626" s="36" t="n">
        <x:v>13</x:v>
      </x:c>
      <x:c r="O626" s="44" t="str">
        <x:v>ForkJoinPool.commonPool-worker-1#48 | ForkJoinPool.commonPool-worker-2#49 | ForkJoinPool.commonPool-worker-3#50 | http-nio-8080-exec-14#88 | http-nio-8080-exec-17#123 | http-nio-8080-exec-18#124 | http-nio-8080-exec-19#125 | http-nio-8080-exec-20#126 | http-nio-8080-exec-21#129 | http-nio-8080-exec-22#130 | http-nio-8080-exec-23#163 | http-nio-8080-exec-24#164 | http-nio-8080-exec-25#165</x:v>
      </x:c>
      <x:c r="P626" s="36" t="n">
        <x:v>5</x:v>
      </x:c>
      <x:c r="Q626" s="44" t="str">
        <x:v>http-nio-8080-exec-21#129 | http-nio-8080-exec-22#130 | http-nio-8080-exec-23#163 | http-nio-8080-exec-24#164 | http-nio-8080-exec-25#165</x:v>
      </x:c>
      <x:c r="R626" s="36" t="n">
        <x:v>3</x:v>
      </x:c>
      <x:c r="S626" s="44" t="str">
        <x:v>ForkJoinPool.commonPool-worker-1#48 | ForkJoinPool.commonPool-worker-2#49 | ForkJoinPool.commonPool-worker-3#50</x:v>
      </x:c>
      <x:c r="T626" s="36" t="n">
        <x:v>0</x:v>
      </x:c>
      <x:c r="U626" s="44"/>
      <x:c r="V626" s="36" t="n">
        <x:v>0</x:v>
      </x:c>
      <x:c r="W626" s="44"/>
      <x:c r="X626" s="34" t="str">
        <x:v>unattributed-thread-signal</x:v>
      </x:c>
      <x:c r="Y626" s="44" t="str">
        <x:v>automated signatures are JCS-specific; all other candidate application threads remain unattributed and ownership requires the archived full dump</x:v>
      </x:c>
    </x:row>
    <x:row r="627">
      <x:c r="A627" s="34" t="str">
        <x:v>article1-unified-v4-2-fb3f101b-20260903-000401-default-f06-p2-caffeine</x:v>
      </x:c>
      <x:c r="B627" s="34" t="str">
        <x:v>default</x:v>
      </x:c>
      <x:c r="C627" s="34" t="str">
        <x:v>caffeine</x:v>
      </x:c>
      <x:c r="D627" s="36" t="n">
        <x:v>6</x:v>
      </x:c>
      <x:c r="E627" s="36" t="n">
        <x:v>6</x:v>
      </x:c>
      <x:c r="F627" s="36" t="n">
        <x:v>2</x:v>
      </x:c>
      <x:c r="G627" s="36" t="n">
        <x:v>2</x:v>
      </x:c>
      <x:c r="H627" s="34" t="str">
        <x:v>firstUndeployThreadEvidenceFinal</x:v>
      </x:c>
      <x:c r="I627" s="36" t="n">
        <x:v>1</x:v>
      </x:c>
      <x:c r="J627" s="34" t="str">
        <x:v>final</x:v>
      </x:c>
      <x:c r="K627" s="36" t="n">
        <x:v>30</x:v>
      </x:c>
      <x:c r="L627" s="51" t="n">
        <x:v>3</x:v>
      </x:c>
      <x:c r="M627" s="51" t="n">
        <x:v>0</x:v>
      </x:c>
      <x:c r="N627" s="36" t="n">
        <x:v>13</x:v>
      </x:c>
      <x:c r="O627" s="44" t="str">
        <x:v>ForkJoinPool.commonPool-worker-1#48 | ForkJoinPool.commonPool-worker-2#49 | ForkJoinPool.commonPool-worker-3#50 | http-nio-8080-exec-14#88 | http-nio-8080-exec-17#123 | http-nio-8080-exec-18#124 | http-nio-8080-exec-19#125 | http-nio-8080-exec-20#126 | http-nio-8080-exec-21#129 | http-nio-8080-exec-23#163 | http-nio-8080-exec-24#164 | http-nio-8080-exec-25#165 | http-nio-8080-exec-26#166</x:v>
      </x:c>
      <x:c r="P627" s="36" t="n">
        <x:v>5</x:v>
      </x:c>
      <x:c r="Q627" s="44" t="str">
        <x:v>http-nio-8080-exec-21#129 | http-nio-8080-exec-23#163 | http-nio-8080-exec-24#164 | http-nio-8080-exec-25#165 | http-nio-8080-exec-26#166</x:v>
      </x:c>
      <x:c r="R627" s="36" t="n">
        <x:v>3</x:v>
      </x:c>
      <x:c r="S627" s="44" t="str">
        <x:v>ForkJoinPool.commonPool-worker-1#48 | ForkJoinPool.commonPool-worker-2#49 | ForkJoinPool.commonPool-worker-3#50</x:v>
      </x:c>
      <x:c r="T627" s="36" t="n">
        <x:v>0</x:v>
      </x:c>
      <x:c r="U627" s="44"/>
      <x:c r="V627" s="36" t="n">
        <x:v>0</x:v>
      </x:c>
      <x:c r="W627" s="44"/>
      <x:c r="X627" s="34" t="str">
        <x:v>unattributed-thread-signal</x:v>
      </x:c>
      <x:c r="Y627" s="44" t="str">
        <x:v>automated signatures are JCS-specific; all other candidate application threads remain unattributed and ownership requires the archived full dump</x:v>
      </x:c>
    </x:row>
    <x:row r="628">
      <x:c r="A628" s="34" t="str">
        <x:v>article1-unified-v4-2-fb3f101b-20260903-000401-default-f06-p2-caffeine</x:v>
      </x:c>
      <x:c r="B628" s="34" t="str">
        <x:v>default</x:v>
      </x:c>
      <x:c r="C628" s="34" t="str">
        <x:v>caffeine</x:v>
      </x:c>
      <x:c r="D628" s="36" t="n">
        <x:v>6</x:v>
      </x:c>
      <x:c r="E628" s="36" t="n">
        <x:v>6</x:v>
      </x:c>
      <x:c r="F628" s="36" t="n">
        <x:v>2</x:v>
      </x:c>
      <x:c r="G628" s="36" t="n">
        <x:v>2</x:v>
      </x:c>
      <x:c r="H628" s="34" t="str">
        <x:v>finalUndeployThreadEvidenceEarly</x:v>
      </x:c>
      <x:c r="I628" s="36" t="n">
        <x:v>2</x:v>
      </x:c>
      <x:c r="J628" s="34" t="str">
        <x:v>early</x:v>
      </x:c>
      <x:c r="K628" s="36" t="n">
        <x:v>30</x:v>
      </x:c>
      <x:c r="L628" s="51" t="n">
        <x:v>3</x:v>
      </x:c>
      <x:c r="M628" s="51" t="n">
        <x:v>0</x:v>
      </x:c>
      <x:c r="N628" s="36" t="n">
        <x:v>13</x:v>
      </x:c>
      <x:c r="O628" s="44" t="str">
        <x:v>ForkJoinPool.commonPool-worker-1#48 | ForkJoinPool.commonPool-worker-2#49 | ForkJoinPool.commonPool-worker-3#50 | http-nio-8080-exec-17#123 | http-nio-8080-exec-19#125 | http-nio-8080-exec-25#165 | http-nio-8080-exec-26#166 | http-nio-8080-exec-27#169 | http-nio-8080-exec-28#170 | http-nio-8080-exec-29#171 | http-nio-8080-exec-30#204 | http-nio-8080-exec-31#205 | http-nio-8080-exec-32#206</x:v>
      </x:c>
      <x:c r="P628" s="36" t="n">
        <x:v>8</x:v>
      </x:c>
      <x:c r="Q628" s="44" t="str">
        <x:v>http-nio-8080-exec-25#165 | http-nio-8080-exec-26#166 | http-nio-8080-exec-27#169 | http-nio-8080-exec-28#170 | http-nio-8080-exec-29#171 | http-nio-8080-exec-30#204 | http-nio-8080-exec-31#205 | http-nio-8080-exec-32#206</x:v>
      </x:c>
      <x:c r="R628" s="36" t="n">
        <x:v>3</x:v>
      </x:c>
      <x:c r="S628" s="44" t="str">
        <x:v>ForkJoinPool.commonPool-worker-1#48 | ForkJoinPool.commonPool-worker-2#49 | ForkJoinPool.commonPool-worker-3#50</x:v>
      </x:c>
      <x:c r="T628" s="36" t="n">
        <x:v>0</x:v>
      </x:c>
      <x:c r="U628" s="44"/>
      <x:c r="V628" s="36" t="n">
        <x:v>0</x:v>
      </x:c>
      <x:c r="W628" s="44"/>
      <x:c r="X628" s="34" t="str">
        <x:v>unattributed-thread-signal</x:v>
      </x:c>
      <x:c r="Y628" s="44" t="str">
        <x:v>automated signatures are JCS-specific; all other candidate application threads remain unattributed and ownership requires the archived full dump</x:v>
      </x:c>
    </x:row>
    <x:row r="629">
      <x:c r="A629" s="34" t="str">
        <x:v>article1-unified-v4-2-fb3f101b-20260903-000401-default-f06-p2-caffeine</x:v>
      </x:c>
      <x:c r="B629" s="34" t="str">
        <x:v>default</x:v>
      </x:c>
      <x:c r="C629" s="34" t="str">
        <x:v>caffeine</x:v>
      </x:c>
      <x:c r="D629" s="36" t="n">
        <x:v>6</x:v>
      </x:c>
      <x:c r="E629" s="36" t="n">
        <x:v>6</x:v>
      </x:c>
      <x:c r="F629" s="36" t="n">
        <x:v>2</x:v>
      </x:c>
      <x:c r="G629" s="36" t="n">
        <x:v>2</x:v>
      </x:c>
      <x:c r="H629" s="34" t="str">
        <x:v>finalUndeployThreadEvidenceFinal</x:v>
      </x:c>
      <x:c r="I629" s="36" t="n">
        <x:v>2</x:v>
      </x:c>
      <x:c r="J629" s="34" t="str">
        <x:v>final</x:v>
      </x:c>
      <x:c r="K629" s="36" t="n">
        <x:v>30</x:v>
      </x:c>
      <x:c r="L629" s="51" t="n">
        <x:v>3</x:v>
      </x:c>
      <x:c r="M629" s="51" t="n">
        <x:v>0</x:v>
      </x:c>
      <x:c r="N629" s="36" t="n">
        <x:v>13</x:v>
      </x:c>
      <x:c r="O629" s="44" t="str">
        <x:v>ForkJoinPool.commonPool-worker-1#48 | ForkJoinPool.commonPool-worker-2#49 | ForkJoinPool.commonPool-worker-3#50 | http-nio-8080-exec-19#125 | http-nio-8080-exec-25#165 | http-nio-8080-exec-26#166 | http-nio-8080-exec-27#169 | http-nio-8080-exec-28#170 | http-nio-8080-exec-29#171 | http-nio-8080-exec-30#204 | http-nio-8080-exec-31#205 | http-nio-8080-exec-32#206 | http-nio-8080-exec-33#207</x:v>
      </x:c>
      <x:c r="P629" s="36" t="n">
        <x:v>9</x:v>
      </x:c>
      <x:c r="Q629" s="44" t="str">
        <x:v>http-nio-8080-exec-25#165 | http-nio-8080-exec-26#166 | http-nio-8080-exec-27#169 | http-nio-8080-exec-28#170 | http-nio-8080-exec-29#171 | http-nio-8080-exec-30#204 | http-nio-8080-exec-31#205 | http-nio-8080-exec-32#206 | http-nio-8080-exec-33#207</x:v>
      </x:c>
      <x:c r="R629" s="36" t="n">
        <x:v>3</x:v>
      </x:c>
      <x:c r="S629" s="44" t="str">
        <x:v>ForkJoinPool.commonPool-worker-1#48 | ForkJoinPool.commonPool-worker-2#49 | ForkJoinPool.commonPool-worker-3#50</x:v>
      </x:c>
      <x:c r="T629" s="36" t="n">
        <x:v>0</x:v>
      </x:c>
      <x:c r="U629" s="44"/>
      <x:c r="V629" s="36" t="n">
        <x:v>0</x:v>
      </x:c>
      <x:c r="W629" s="44"/>
      <x:c r="X629" s="34" t="str">
        <x:v>unattributed-thread-signal</x:v>
      </x:c>
      <x:c r="Y629" s="44" t="str">
        <x:v>automated signatures are JCS-specific; all other candidate application threads remain unattributed and ownership requires the archived full dump</x:v>
      </x:c>
    </x:row>
    <x:row r="630">
      <x:c r="A630" s="34" t="str">
        <x:v>article1-unified-v4-2-fb3f101b-20260903-000401-default-f06-p2-caffeine</x:v>
      </x:c>
      <x:c r="B630" s="34" t="str">
        <x:v>default</x:v>
      </x:c>
      <x:c r="C630" s="34" t="str">
        <x:v>caffeine</x:v>
      </x:c>
      <x:c r="D630" s="36" t="n">
        <x:v>6</x:v>
      </x:c>
      <x:c r="E630" s="36" t="n">
        <x:v>6</x:v>
      </x:c>
      <x:c r="F630" s="36" t="n">
        <x:v>2</x:v>
      </x:c>
      <x:c r="G630" s="36" t="n">
        <x:v>3</x:v>
      </x:c>
      <x:c r="H630" s="34" t="str">
        <x:v>firstUndeployThreadEvidenceEarly</x:v>
      </x:c>
      <x:c r="I630" s="36" t="n">
        <x:v>1</x:v>
      </x:c>
      <x:c r="J630" s="34" t="str">
        <x:v>early</x:v>
      </x:c>
      <x:c r="K630" s="36" t="n">
        <x:v>30</x:v>
      </x:c>
      <x:c r="L630" s="51" t="n">
        <x:v>3</x:v>
      </x:c>
      <x:c r="M630" s="51" t="n">
        <x:v>0</x:v>
      </x:c>
      <x:c r="N630" s="36" t="n">
        <x:v>13</x:v>
      </x:c>
      <x:c r="O630" s="44" t="str">
        <x:v>ForkJoinPool.commonPool-worker-1#48 | ForkJoinPool.commonPool-worker-2#49 | ForkJoinPool.commonPool-worker-3#50 | http-nio-8080-exec-19#125 | http-nio-8080-exec-26#166 | http-nio-8080-exec-27#169 | http-nio-8080-exec-31#205 | http-nio-8080-exec-33#207 | http-nio-8080-exec-34#210 | http-nio-8080-exec-35#211 | http-nio-8080-exec-36#244 | http-nio-8080-exec-37#245 | http-nio-8080-exec-38#246</x:v>
      </x:c>
      <x:c r="P630" s="36" t="n">
        <x:v>5</x:v>
      </x:c>
      <x:c r="Q630" s="44" t="str">
        <x:v>http-nio-8080-exec-34#210 | http-nio-8080-exec-35#211 | http-nio-8080-exec-36#244 | http-nio-8080-exec-37#245 | http-nio-8080-exec-38#246</x:v>
      </x:c>
      <x:c r="R630" s="36" t="n">
        <x:v>3</x:v>
      </x:c>
      <x:c r="S630" s="44" t="str">
        <x:v>ForkJoinPool.commonPool-worker-1#48 | ForkJoinPool.commonPool-worker-2#49 | ForkJoinPool.commonPool-worker-3#50</x:v>
      </x:c>
      <x:c r="T630" s="36" t="n">
        <x:v>0</x:v>
      </x:c>
      <x:c r="U630" s="44"/>
      <x:c r="V630" s="36" t="n">
        <x:v>0</x:v>
      </x:c>
      <x:c r="W630" s="44"/>
      <x:c r="X630" s="34" t="str">
        <x:v>unattributed-thread-signal</x:v>
      </x:c>
      <x:c r="Y630" s="44" t="str">
        <x:v>automated signatures are JCS-specific; all other candidate application threads remain unattributed and ownership requires the archived full dump</x:v>
      </x:c>
    </x:row>
    <x:row r="631">
      <x:c r="A631" s="34" t="str">
        <x:v>article1-unified-v4-2-fb3f101b-20260903-000401-default-f06-p2-caffeine</x:v>
      </x:c>
      <x:c r="B631" s="34" t="str">
        <x:v>default</x:v>
      </x:c>
      <x:c r="C631" s="34" t="str">
        <x:v>caffeine</x:v>
      </x:c>
      <x:c r="D631" s="36" t="n">
        <x:v>6</x:v>
      </x:c>
      <x:c r="E631" s="36" t="n">
        <x:v>6</x:v>
      </x:c>
      <x:c r="F631" s="36" t="n">
        <x:v>2</x:v>
      </x:c>
      <x:c r="G631" s="36" t="n">
        <x:v>3</x:v>
      </x:c>
      <x:c r="H631" s="34" t="str">
        <x:v>firstUndeployThreadEvidenceFinal</x:v>
      </x:c>
      <x:c r="I631" s="36" t="n">
        <x:v>1</x:v>
      </x:c>
      <x:c r="J631" s="34" t="str">
        <x:v>final</x:v>
      </x:c>
      <x:c r="K631" s="36" t="n">
        <x:v>30</x:v>
      </x:c>
      <x:c r="L631" s="51" t="n">
        <x:v>3</x:v>
      </x:c>
      <x:c r="M631" s="51" t="n">
        <x:v>0</x:v>
      </x:c>
      <x:c r="N631" s="36" t="n">
        <x:v>13</x:v>
      </x:c>
      <x:c r="O631" s="44" t="str">
        <x:v>ForkJoinPool.commonPool-worker-1#48 | ForkJoinPool.commonPool-worker-2#49 | ForkJoinPool.commonPool-worker-3#50 | http-nio-8080-exec-19#125 | http-nio-8080-exec-26#166 | http-nio-8080-exec-27#169 | http-nio-8080-exec-31#205 | http-nio-8080-exec-33#207 | http-nio-8080-exec-35#211 | http-nio-8080-exec-36#244 | http-nio-8080-exec-37#245 | http-nio-8080-exec-38#246 | http-nio-8080-exec-39#247</x:v>
      </x:c>
      <x:c r="P631" s="36" t="n">
        <x:v>5</x:v>
      </x:c>
      <x:c r="Q631" s="44" t="str">
        <x:v>http-nio-8080-exec-35#211 | http-nio-8080-exec-36#244 | http-nio-8080-exec-37#245 | http-nio-8080-exec-38#246 | http-nio-8080-exec-39#247</x:v>
      </x:c>
      <x:c r="R631" s="36" t="n">
        <x:v>3</x:v>
      </x:c>
      <x:c r="S631" s="44" t="str">
        <x:v>ForkJoinPool.commonPool-worker-1#48 | ForkJoinPool.commonPool-worker-2#49 | ForkJoinPool.commonPool-worker-3#50</x:v>
      </x:c>
      <x:c r="T631" s="36" t="n">
        <x:v>0</x:v>
      </x:c>
      <x:c r="U631" s="44"/>
      <x:c r="V631" s="36" t="n">
        <x:v>0</x:v>
      </x:c>
      <x:c r="W631" s="44"/>
      <x:c r="X631" s="34" t="str">
        <x:v>unattributed-thread-signal</x:v>
      </x:c>
      <x:c r="Y631" s="44" t="str">
        <x:v>automated signatures are JCS-specific; all other candidate application threads remain unattributed and ownership requires the archived full dump</x:v>
      </x:c>
    </x:row>
    <x:row r="632">
      <x:c r="A632" s="34" t="str">
        <x:v>article1-unified-v4-2-fb3f101b-20260903-000401-default-f06-p2-caffeine</x:v>
      </x:c>
      <x:c r="B632" s="34" t="str">
        <x:v>default</x:v>
      </x:c>
      <x:c r="C632" s="34" t="str">
        <x:v>caffeine</x:v>
      </x:c>
      <x:c r="D632" s="36" t="n">
        <x:v>6</x:v>
      </x:c>
      <x:c r="E632" s="36" t="n">
        <x:v>6</x:v>
      </x:c>
      <x:c r="F632" s="36" t="n">
        <x:v>2</x:v>
      </x:c>
      <x:c r="G632" s="36" t="n">
        <x:v>3</x:v>
      </x:c>
      <x:c r="H632" s="34" t="str">
        <x:v>finalUndeployThreadEvidenceEarly</x:v>
      </x:c>
      <x:c r="I632" s="36" t="n">
        <x:v>2</x:v>
      </x:c>
      <x:c r="J632" s="34" t="str">
        <x:v>early</x:v>
      </x:c>
      <x:c r="K632" s="36" t="n">
        <x:v>30</x:v>
      </x:c>
      <x:c r="L632" s="51" t="n">
        <x:v>3</x:v>
      </x:c>
      <x:c r="M632" s="51" t="n">
        <x:v>0</x:v>
      </x:c>
      <x:c r="N632" s="36" t="n">
        <x:v>13</x:v>
      </x:c>
      <x:c r="O632" s="44" t="str">
        <x:v>ForkJoinPool.commonPool-worker-1#48 | ForkJoinPool.commonPool-worker-2#49 | ForkJoinPool.commonPool-worker-3#50 | http-nio-8080-exec-27#169 | http-nio-8080-exec-36#244 | http-nio-8080-exec-37#245 | http-nio-8080-exec-38#246 | http-nio-8080-exec-39#247 | http-nio-8080-exec-41#251 | http-nio-8080-exec-42#252 | http-nio-8080-exec-43#285 | http-nio-8080-exec-44#286 | http-nio-8080-exec-45#287</x:v>
      </x:c>
      <x:c r="P632" s="36" t="n">
        <x:v>9</x:v>
      </x:c>
      <x:c r="Q632" s="44" t="str">
        <x:v>http-nio-8080-exec-36#244 | http-nio-8080-exec-37#245 | http-nio-8080-exec-38#246 | http-nio-8080-exec-39#247 | http-nio-8080-exec-41#251 | http-nio-8080-exec-42#252 | http-nio-8080-exec-43#285 | http-nio-8080-exec-44#286 | http-nio-8080-exec-45#287</x:v>
      </x:c>
      <x:c r="R632" s="36" t="n">
        <x:v>3</x:v>
      </x:c>
      <x:c r="S632" s="44" t="str">
        <x:v>ForkJoinPool.commonPool-worker-1#48 | ForkJoinPool.commonPool-worker-2#49 | ForkJoinPool.commonPool-worker-3#50</x:v>
      </x:c>
      <x:c r="T632" s="36" t="n">
        <x:v>0</x:v>
      </x:c>
      <x:c r="U632" s="44"/>
      <x:c r="V632" s="36" t="n">
        <x:v>0</x:v>
      </x:c>
      <x:c r="W632" s="44"/>
      <x:c r="X632" s="34" t="str">
        <x:v>unattributed-thread-signal</x:v>
      </x:c>
      <x:c r="Y632" s="44" t="str">
        <x:v>automated signatures are JCS-specific; all other candidate application threads remain unattributed and ownership requires the archived full dump</x:v>
      </x:c>
    </x:row>
    <x:row r="633">
      <x:c r="A633" s="34" t="str">
        <x:v>article1-unified-v4-2-fb3f101b-20260903-000401-default-f06-p2-caffeine</x:v>
      </x:c>
      <x:c r="B633" s="34" t="str">
        <x:v>default</x:v>
      </x:c>
      <x:c r="C633" s="34" t="str">
        <x:v>caffeine</x:v>
      </x:c>
      <x:c r="D633" s="36" t="n">
        <x:v>6</x:v>
      </x:c>
      <x:c r="E633" s="36" t="n">
        <x:v>6</x:v>
      </x:c>
      <x:c r="F633" s="36" t="n">
        <x:v>2</x:v>
      </x:c>
      <x:c r="G633" s="36" t="n">
        <x:v>3</x:v>
      </x:c>
      <x:c r="H633" s="34" t="str">
        <x:v>finalUndeployThreadEvidenceFinal</x:v>
      </x:c>
      <x:c r="I633" s="36" t="n">
        <x:v>2</x:v>
      </x:c>
      <x:c r="J633" s="34" t="str">
        <x:v>final</x:v>
      </x:c>
      <x:c r="K633" s="36" t="n">
        <x:v>30</x:v>
      </x:c>
      <x:c r="L633" s="51" t="n">
        <x:v>3</x:v>
      </x:c>
      <x:c r="M633" s="51" t="n">
        <x:v>0</x:v>
      </x:c>
      <x:c r="N633" s="36" t="n">
        <x:v>13</x:v>
      </x:c>
      <x:c r="O633" s="44" t="str">
        <x:v>ForkJoinPool.commonPool-worker-1#48 | ForkJoinPool.commonPool-worker-2#49 | ForkJoinPool.commonPool-worker-3#50 | http-nio-8080-exec-27#169 | http-nio-8080-exec-36#244 | http-nio-8080-exec-37#245 | http-nio-8080-exec-39#247 | http-nio-8080-exec-41#251 | http-nio-8080-exec-42#252 | http-nio-8080-exec-43#285 | http-nio-8080-exec-44#286 | http-nio-8080-exec-45#287 | http-nio-8080-exec-46#288</x:v>
      </x:c>
      <x:c r="P633" s="36" t="n">
        <x:v>9</x:v>
      </x:c>
      <x:c r="Q633" s="44" t="str">
        <x:v>http-nio-8080-exec-36#244 | http-nio-8080-exec-37#245 | http-nio-8080-exec-39#247 | http-nio-8080-exec-41#251 | http-nio-8080-exec-42#252 | http-nio-8080-exec-43#285 | http-nio-8080-exec-44#286 | http-nio-8080-exec-45#287 | http-nio-8080-exec-46#288</x:v>
      </x:c>
      <x:c r="R633" s="36" t="n">
        <x:v>3</x:v>
      </x:c>
      <x:c r="S633" s="44" t="str">
        <x:v>ForkJoinPool.commonPool-worker-1#48 | ForkJoinPool.commonPool-worker-2#49 | ForkJoinPool.commonPool-worker-3#50</x:v>
      </x:c>
      <x:c r="T633" s="36" t="n">
        <x:v>0</x:v>
      </x:c>
      <x:c r="U633" s="44"/>
      <x:c r="V633" s="36" t="n">
        <x:v>0</x:v>
      </x:c>
      <x:c r="W633" s="44"/>
      <x:c r="X633" s="34" t="str">
        <x:v>unattributed-thread-signal</x:v>
      </x:c>
      <x:c r="Y633" s="44" t="str">
        <x:v>automated signatures are JCS-specific; all other candidate application threads remain unattributed and ownership requires the archived full dump</x:v>
      </x:c>
    </x:row>
    <x:row r="634">
      <x:c r="A634" s="34" t="str">
        <x:v>article1-unified-v4-2-fb3f101b-20260903-000401-default-f06-p2-caffeine</x:v>
      </x:c>
      <x:c r="B634" s="34" t="str">
        <x:v>default</x:v>
      </x:c>
      <x:c r="C634" s="34" t="str">
        <x:v>caffeine</x:v>
      </x:c>
      <x:c r="D634" s="36" t="n">
        <x:v>6</x:v>
      </x:c>
      <x:c r="E634" s="36" t="n">
        <x:v>6</x:v>
      </x:c>
      <x:c r="F634" s="36" t="n">
        <x:v>2</x:v>
      </x:c>
      <x:c r="G634" s="36" t="n">
        <x:v>4</x:v>
      </x:c>
      <x:c r="H634" s="34" t="str">
        <x:v>firstUndeployThreadEvidenceEarly</x:v>
      </x:c>
      <x:c r="I634" s="36" t="n">
        <x:v>1</x:v>
      </x:c>
      <x:c r="J634" s="34" t="str">
        <x:v>early</x:v>
      </x:c>
      <x:c r="K634" s="36" t="n">
        <x:v>30</x:v>
      </x:c>
      <x:c r="L634" s="51" t="n">
        <x:v>3</x:v>
      </x:c>
      <x:c r="M634" s="51" t="n">
        <x:v>0</x:v>
      </x:c>
      <x:c r="N634" s="36" t="n">
        <x:v>13</x:v>
      </x:c>
      <x:c r="O634" s="44" t="str">
        <x:v>ForkJoinPool.commonPool-worker-1#48 | ForkJoinPool.commonPool-worker-2#49 | ForkJoinPool.commonPool-worker-3#50 | http-nio-8080-exec-27#169 | http-nio-8080-exec-42#252 | http-nio-8080-exec-43#285 | http-nio-8080-exec-44#286 | http-nio-8080-exec-45#287 | http-nio-8080-exec-46#288 | http-nio-8080-exec-47#291 | http-nio-8080-exec-49#325 | http-nio-8080-exec-50#326 | http-nio-8080-exec-51#327</x:v>
      </x:c>
      <x:c r="P634" s="36" t="n">
        <x:v>4</x:v>
      </x:c>
      <x:c r="Q634" s="44" t="str">
        <x:v>http-nio-8080-exec-47#291 | http-nio-8080-exec-49#325 | http-nio-8080-exec-50#326 | http-nio-8080-exec-51#327</x:v>
      </x:c>
      <x:c r="R634" s="36" t="n">
        <x:v>3</x:v>
      </x:c>
      <x:c r="S634" s="44" t="str">
        <x:v>ForkJoinPool.commonPool-worker-1#48 | ForkJoinPool.commonPool-worker-2#49 | ForkJoinPool.commonPool-worker-3#50</x:v>
      </x:c>
      <x:c r="T634" s="36" t="n">
        <x:v>0</x:v>
      </x:c>
      <x:c r="U634" s="44"/>
      <x:c r="V634" s="36" t="n">
        <x:v>0</x:v>
      </x:c>
      <x:c r="W634" s="44"/>
      <x:c r="X634" s="34" t="str">
        <x:v>unattributed-thread-signal</x:v>
      </x:c>
      <x:c r="Y634" s="44" t="str">
        <x:v>automated signatures are JCS-specific; all other candidate application threads remain unattributed and ownership requires the archived full dump</x:v>
      </x:c>
    </x:row>
    <x:row r="635">
      <x:c r="A635" s="34" t="str">
        <x:v>article1-unified-v4-2-fb3f101b-20260903-000401-default-f06-p2-caffeine</x:v>
      </x:c>
      <x:c r="B635" s="34" t="str">
        <x:v>default</x:v>
      </x:c>
      <x:c r="C635" s="34" t="str">
        <x:v>caffeine</x:v>
      </x:c>
      <x:c r="D635" s="36" t="n">
        <x:v>6</x:v>
      </x:c>
      <x:c r="E635" s="36" t="n">
        <x:v>6</x:v>
      </x:c>
      <x:c r="F635" s="36" t="n">
        <x:v>2</x:v>
      </x:c>
      <x:c r="G635" s="36" t="n">
        <x:v>4</x:v>
      </x:c>
      <x:c r="H635" s="34" t="str">
        <x:v>firstUndeployThreadEvidenceFinal</x:v>
      </x:c>
      <x:c r="I635" s="36" t="n">
        <x:v>1</x:v>
      </x:c>
      <x:c r="J635" s="34" t="str">
        <x:v>final</x:v>
      </x:c>
      <x:c r="K635" s="36" t="n">
        <x:v>30</x:v>
      </x:c>
      <x:c r="L635" s="51" t="n">
        <x:v>3</x:v>
      </x:c>
      <x:c r="M635" s="51" t="n">
        <x:v>0</x:v>
      </x:c>
      <x:c r="N635" s="36" t="n">
        <x:v>13</x:v>
      </x:c>
      <x:c r="O635" s="44" t="str">
        <x:v>ForkJoinPool.commonPool-worker-1#48 | ForkJoinPool.commonPool-worker-2#49 | ForkJoinPool.commonPool-worker-3#50 | http-nio-8080-exec-42#252 | http-nio-8080-exec-43#285 | http-nio-8080-exec-44#286 | http-nio-8080-exec-45#287 | http-nio-8080-exec-46#288 | http-nio-8080-exec-47#291 | http-nio-8080-exec-49#325 | http-nio-8080-exec-50#326 | http-nio-8080-exec-51#327 | http-nio-8080-exec-52#328</x:v>
      </x:c>
      <x:c r="P635" s="36" t="n">
        <x:v>5</x:v>
      </x:c>
      <x:c r="Q635" s="44" t="str">
        <x:v>http-nio-8080-exec-47#291 | http-nio-8080-exec-49#325 | http-nio-8080-exec-50#326 | http-nio-8080-exec-51#327 | http-nio-8080-exec-52#328</x:v>
      </x:c>
      <x:c r="R635" s="36" t="n">
        <x:v>3</x:v>
      </x:c>
      <x:c r="S635" s="44" t="str">
        <x:v>ForkJoinPool.commonPool-worker-1#48 | ForkJoinPool.commonPool-worker-2#49 | ForkJoinPool.commonPool-worker-3#50</x:v>
      </x:c>
      <x:c r="T635" s="36" t="n">
        <x:v>0</x:v>
      </x:c>
      <x:c r="U635" s="44"/>
      <x:c r="V635" s="36" t="n">
        <x:v>0</x:v>
      </x:c>
      <x:c r="W635" s="44"/>
      <x:c r="X635" s="34" t="str">
        <x:v>unattributed-thread-signal</x:v>
      </x:c>
      <x:c r="Y635" s="44" t="str">
        <x:v>automated signatures are JCS-specific; all other candidate application threads remain unattributed and ownership requires the archived full dump</x:v>
      </x:c>
    </x:row>
    <x:row r="636">
      <x:c r="A636" s="34" t="str">
        <x:v>article1-unified-v4-2-fb3f101b-20260903-000401-default-f06-p2-caffeine</x:v>
      </x:c>
      <x:c r="B636" s="34" t="str">
        <x:v>default</x:v>
      </x:c>
      <x:c r="C636" s="34" t="str">
        <x:v>caffeine</x:v>
      </x:c>
      <x:c r="D636" s="36" t="n">
        <x:v>6</x:v>
      </x:c>
      <x:c r="E636" s="36" t="n">
        <x:v>6</x:v>
      </x:c>
      <x:c r="F636" s="36" t="n">
        <x:v>2</x:v>
      </x:c>
      <x:c r="G636" s="36" t="n">
        <x:v>4</x:v>
      </x:c>
      <x:c r="H636" s="34" t="str">
        <x:v>finalUndeployThreadEvidenceEarly</x:v>
      </x:c>
      <x:c r="I636" s="36" t="n">
        <x:v>2</x:v>
      </x:c>
      <x:c r="J636" s="34" t="str">
        <x:v>early</x:v>
      </x:c>
      <x:c r="K636" s="36" t="n">
        <x:v>31</x:v>
      </x:c>
      <x:c r="L636" s="51" t="n">
        <x:v>4</x:v>
      </x:c>
      <x:c r="M636" s="51" t="n">
        <x:v>1</x:v>
      </x:c>
      <x:c r="N636" s="36" t="n">
        <x:v>14</x:v>
      </x:c>
      <x:c r="O636" s="44" t="str">
        <x:v>ForkJoinPool.commonPool-worker-1#48 | ForkJoinPool.commonPool-worker-2#49 | ForkJoinPool.commonPool-worker-3#50 | http-nio-8080-exec-43#285 | http-nio-8080-exec-46#288 | http-nio-8080-exec-50#326 | http-nio-8080-exec-52#328 | http-nio-8080-exec-53#331 | http-nio-8080-exec-54#332 | http-nio-8080-exec-55#333 | http-nio-8080-exec-56#366 | C2 CompilerThread1#19 | http-nio-8080-exec-57#367 | http-nio-8080-exec-58#368</x:v>
      </x:c>
      <x:c r="P636" s="36" t="n">
        <x:v>9</x:v>
      </x:c>
      <x:c r="Q636" s="44" t="str">
        <x:v>http-nio-8080-exec-50#326 | http-nio-8080-exec-52#328 | http-nio-8080-exec-53#331 | http-nio-8080-exec-54#332 | http-nio-8080-exec-55#333 | http-nio-8080-exec-56#366 | C2 CompilerThread1#19 | http-nio-8080-exec-57#367 | http-nio-8080-exec-58#368</x:v>
      </x:c>
      <x:c r="R636" s="36" t="n">
        <x:v>3</x:v>
      </x:c>
      <x:c r="S636" s="44" t="str">
        <x:v>ForkJoinPool.commonPool-worker-1#48 | ForkJoinPool.commonPool-worker-2#49 | ForkJoinPool.commonPool-worker-3#50</x:v>
      </x:c>
      <x:c r="T636" s="36" t="n">
        <x:v>0</x:v>
      </x:c>
      <x:c r="U636" s="44"/>
      <x:c r="V636" s="36" t="n">
        <x:v>0</x:v>
      </x:c>
      <x:c r="W636" s="44"/>
      <x:c r="X636" s="34" t="str">
        <x:v>unattributed-thread-signal</x:v>
      </x:c>
      <x:c r="Y636" s="44" t="str">
        <x:v>automated signatures are JCS-specific; all other candidate application threads remain unattributed and ownership requires the archived full dump</x:v>
      </x:c>
    </x:row>
    <x:row r="637">
      <x:c r="A637" s="34" t="str">
        <x:v>article1-unified-v4-2-fb3f101b-20260903-000401-default-f06-p2-caffeine</x:v>
      </x:c>
      <x:c r="B637" s="34" t="str">
        <x:v>default</x:v>
      </x:c>
      <x:c r="C637" s="34" t="str">
        <x:v>caffeine</x:v>
      </x:c>
      <x:c r="D637" s="36" t="n">
        <x:v>6</x:v>
      </x:c>
      <x:c r="E637" s="36" t="n">
        <x:v>6</x:v>
      </x:c>
      <x:c r="F637" s="36" t="n">
        <x:v>2</x:v>
      </x:c>
      <x:c r="G637" s="36" t="n">
        <x:v>4</x:v>
      </x:c>
      <x:c r="H637" s="34" t="str">
        <x:v>finalUndeployThreadEvidenceFinal</x:v>
      </x:c>
      <x:c r="I637" s="36" t="n">
        <x:v>2</x:v>
      </x:c>
      <x:c r="J637" s="34" t="str">
        <x:v>final</x:v>
      </x:c>
      <x:c r="K637" s="36" t="n">
        <x:v>30</x:v>
      </x:c>
      <x:c r="L637" s="51" t="n">
        <x:v>3</x:v>
      </x:c>
      <x:c r="M637" s="51" t="n">
        <x:v>0</x:v>
      </x:c>
      <x:c r="N637" s="36" t="n">
        <x:v>13</x:v>
      </x:c>
      <x:c r="O637" s="44" t="str">
        <x:v>ForkJoinPool.commonPool-worker-1#48 | ForkJoinPool.commonPool-worker-2#49 | ForkJoinPool.commonPool-worker-3#50 | http-nio-8080-exec-43#285 | http-nio-8080-exec-46#288 | http-nio-8080-exec-50#326 | http-nio-8080-exec-52#328 | http-nio-8080-exec-54#332 | http-nio-8080-exec-55#333 | http-nio-8080-exec-56#366 | http-nio-8080-exec-57#367 | http-nio-8080-exec-58#368 | http-nio-8080-exec-59#369</x:v>
      </x:c>
      <x:c r="P637" s="36" t="n">
        <x:v>8</x:v>
      </x:c>
      <x:c r="Q637" s="44" t="str">
        <x:v>http-nio-8080-exec-50#326 | http-nio-8080-exec-52#328 | http-nio-8080-exec-54#332 | http-nio-8080-exec-55#333 | http-nio-8080-exec-56#366 | http-nio-8080-exec-57#367 | http-nio-8080-exec-58#368 | http-nio-8080-exec-59#369</x:v>
      </x:c>
      <x:c r="R637" s="36" t="n">
        <x:v>3</x:v>
      </x:c>
      <x:c r="S637" s="44" t="str">
        <x:v>ForkJoinPool.commonPool-worker-1#48 | ForkJoinPool.commonPool-worker-2#49 | ForkJoinPool.commonPool-worker-3#50</x:v>
      </x:c>
      <x:c r="T637" s="36" t="n">
        <x:v>0</x:v>
      </x:c>
      <x:c r="U637" s="44"/>
      <x:c r="V637" s="36" t="n">
        <x:v>0</x:v>
      </x:c>
      <x:c r="W637" s="44"/>
      <x:c r="X637" s="34" t="str">
        <x:v>unattributed-thread-signal</x:v>
      </x:c>
      <x:c r="Y637" s="44" t="str">
        <x:v>automated signatures are JCS-specific; all other candidate application threads remain unattributed and ownership requires the archived full dump</x:v>
      </x:c>
    </x:row>
    <x:row r="638">
      <x:c r="A638" s="34" t="str">
        <x:v>article1-unified-v4-2-fb3f101b-20260903-000401-default-f06-p2-caffeine</x:v>
      </x:c>
      <x:c r="B638" s="34" t="str">
        <x:v>default</x:v>
      </x:c>
      <x:c r="C638" s="34" t="str">
        <x:v>caffeine</x:v>
      </x:c>
      <x:c r="D638" s="36" t="n">
        <x:v>6</x:v>
      </x:c>
      <x:c r="E638" s="36" t="n">
        <x:v>6</x:v>
      </x:c>
      <x:c r="F638" s="36" t="n">
        <x:v>2</x:v>
      </x:c>
      <x:c r="G638" s="36" t="n">
        <x:v>5</x:v>
      </x:c>
      <x:c r="H638" s="34" t="str">
        <x:v>firstUndeployThreadEvidenceEarly</x:v>
      </x:c>
      <x:c r="I638" s="36" t="n">
        <x:v>1</x:v>
      </x:c>
      <x:c r="J638" s="34" t="str">
        <x:v>early</x:v>
      </x:c>
      <x:c r="K638" s="36" t="n">
        <x:v>30</x:v>
      </x:c>
      <x:c r="L638" s="51" t="n">
        <x:v>3</x:v>
      </x:c>
      <x:c r="M638" s="51" t="n">
        <x:v>0</x:v>
      </x:c>
      <x:c r="N638" s="36" t="n">
        <x:v>13</x:v>
      </x:c>
      <x:c r="O638" s="44" t="str">
        <x:v>ForkJoinPool.commonPool-worker-1#48 | ForkJoinPool.commonPool-worker-2#49 | ForkJoinPool.commonPool-worker-3#50 | http-nio-8080-exec-43#285 | http-nio-8080-exec-50#326 | http-nio-8080-exec-56#366 | http-nio-8080-exec-58#368 | http-nio-8080-exec-59#369 | http-nio-8080-exec-60#372 | http-nio-8080-exec-61#373 | http-nio-8080-exec-62#406 | http-nio-8080-exec-63#407 | http-nio-8080-exec-64#408</x:v>
      </x:c>
      <x:c r="P638" s="36" t="n">
        <x:v>5</x:v>
      </x:c>
      <x:c r="Q638" s="44" t="str">
        <x:v>http-nio-8080-exec-60#372 | http-nio-8080-exec-61#373 | http-nio-8080-exec-62#406 | http-nio-8080-exec-63#407 | http-nio-8080-exec-64#408</x:v>
      </x:c>
      <x:c r="R638" s="36" t="n">
        <x:v>3</x:v>
      </x:c>
      <x:c r="S638" s="44" t="str">
        <x:v>ForkJoinPool.commonPool-worker-1#48 | ForkJoinPool.commonPool-worker-2#49 | ForkJoinPool.commonPool-worker-3#50</x:v>
      </x:c>
      <x:c r="T638" s="36" t="n">
        <x:v>0</x:v>
      </x:c>
      <x:c r="U638" s="44"/>
      <x:c r="V638" s="36" t="n">
        <x:v>0</x:v>
      </x:c>
      <x:c r="W638" s="44"/>
      <x:c r="X638" s="34" t="str">
        <x:v>unattributed-thread-signal</x:v>
      </x:c>
      <x:c r="Y638" s="44" t="str">
        <x:v>automated signatures are JCS-specific; all other candidate application threads remain unattributed and ownership requires the archived full dump</x:v>
      </x:c>
    </x:row>
    <x:row r="639">
      <x:c r="A639" s="34" t="str">
        <x:v>article1-unified-v4-2-fb3f101b-20260903-000401-default-f06-p2-caffeine</x:v>
      </x:c>
      <x:c r="B639" s="34" t="str">
        <x:v>default</x:v>
      </x:c>
      <x:c r="C639" s="34" t="str">
        <x:v>caffeine</x:v>
      </x:c>
      <x:c r="D639" s="36" t="n">
        <x:v>6</x:v>
      </x:c>
      <x:c r="E639" s="36" t="n">
        <x:v>6</x:v>
      </x:c>
      <x:c r="F639" s="36" t="n">
        <x:v>2</x:v>
      </x:c>
      <x:c r="G639" s="36" t="n">
        <x:v>5</x:v>
      </x:c>
      <x:c r="H639" s="34" t="str">
        <x:v>firstUndeployThreadEvidenceFinal</x:v>
      </x:c>
      <x:c r="I639" s="36" t="n">
        <x:v>1</x:v>
      </x:c>
      <x:c r="J639" s="34" t="str">
        <x:v>final</x:v>
      </x:c>
      <x:c r="K639" s="36" t="n">
        <x:v>30</x:v>
      </x:c>
      <x:c r="L639" s="51" t="n">
        <x:v>3</x:v>
      </x:c>
      <x:c r="M639" s="51" t="n">
        <x:v>0</x:v>
      </x:c>
      <x:c r="N639" s="36" t="n">
        <x:v>13</x:v>
      </x:c>
      <x:c r="O639" s="44" t="str">
        <x:v>ForkJoinPool.commonPool-worker-1#48 | ForkJoinPool.commonPool-worker-2#49 | ForkJoinPool.commonPool-worker-3#50 | http-nio-8080-exec-43#285 | http-nio-8080-exec-56#366 | http-nio-8080-exec-58#368 | http-nio-8080-exec-59#369 | http-nio-8080-exec-60#372 | http-nio-8080-exec-61#373 | http-nio-8080-exec-62#406 | http-nio-8080-exec-63#407 | http-nio-8080-exec-64#408 | http-nio-8080-exec-65#409</x:v>
      </x:c>
      <x:c r="P639" s="36" t="n">
        <x:v>6</x:v>
      </x:c>
      <x:c r="Q639" s="44" t="str">
        <x:v>http-nio-8080-exec-60#372 | http-nio-8080-exec-61#373 | http-nio-8080-exec-62#406 | http-nio-8080-exec-63#407 | http-nio-8080-exec-64#408 | http-nio-8080-exec-65#409</x:v>
      </x:c>
      <x:c r="R639" s="36" t="n">
        <x:v>3</x:v>
      </x:c>
      <x:c r="S639" s="44" t="str">
        <x:v>ForkJoinPool.commonPool-worker-1#48 | ForkJoinPool.commonPool-worker-2#49 | ForkJoinPool.commonPool-worker-3#50</x:v>
      </x:c>
      <x:c r="T639" s="36" t="n">
        <x:v>0</x:v>
      </x:c>
      <x:c r="U639" s="44"/>
      <x:c r="V639" s="36" t="n">
        <x:v>0</x:v>
      </x:c>
      <x:c r="W639" s="44"/>
      <x:c r="X639" s="34" t="str">
        <x:v>unattributed-thread-signal</x:v>
      </x:c>
      <x:c r="Y639" s="44" t="str">
        <x:v>automated signatures are JCS-specific; all other candidate application threads remain unattributed and ownership requires the archived full dump</x:v>
      </x:c>
    </x:row>
    <x:row r="640">
      <x:c r="A640" s="34" t="str">
        <x:v>article1-unified-v4-2-fb3f101b-20260903-000401-default-f06-p2-caffeine</x:v>
      </x:c>
      <x:c r="B640" s="34" t="str">
        <x:v>default</x:v>
      </x:c>
      <x:c r="C640" s="34" t="str">
        <x:v>caffeine</x:v>
      </x:c>
      <x:c r="D640" s="36" t="n">
        <x:v>6</x:v>
      </x:c>
      <x:c r="E640" s="36" t="n">
        <x:v>6</x:v>
      </x:c>
      <x:c r="F640" s="36" t="n">
        <x:v>2</x:v>
      </x:c>
      <x:c r="G640" s="36" t="n">
        <x:v>5</x:v>
      </x:c>
      <x:c r="H640" s="34" t="str">
        <x:v>finalUndeployThreadEvidenceEarly</x:v>
      </x:c>
      <x:c r="I640" s="36" t="n">
        <x:v>2</x:v>
      </x:c>
      <x:c r="J640" s="34" t="str">
        <x:v>early</x:v>
      </x:c>
      <x:c r="K640" s="36" t="n">
        <x:v>30</x:v>
      </x:c>
      <x:c r="L640" s="51" t="n">
        <x:v>3</x:v>
      </x:c>
      <x:c r="M640" s="51" t="n">
        <x:v>0</x:v>
      </x:c>
      <x:c r="N640" s="36" t="n">
        <x:v>13</x:v>
      </x:c>
      <x:c r="O640" s="44" t="str">
        <x:v>ForkJoinPool.commonPool-worker-1#48 | ForkJoinPool.commonPool-worker-2#49 | ForkJoinPool.commonPool-worker-3#50 | http-nio-8080-exec-56#366 | http-nio-8080-exec-59#369 | http-nio-8080-exec-63#407 | http-nio-8080-exec-65#409 | http-nio-8080-exec-66#412 | http-nio-8080-exec-67#413 | http-nio-8080-exec-68#414 | http-nio-8080-exec-69#447 | http-nio-8080-exec-70#448 | http-nio-8080-exec-71#449</x:v>
      </x:c>
      <x:c r="P640" s="36" t="n">
        <x:v>8</x:v>
      </x:c>
      <x:c r="Q640" s="44" t="str">
        <x:v>http-nio-8080-exec-63#407 | http-nio-8080-exec-65#409 | http-nio-8080-exec-66#412 | http-nio-8080-exec-67#413 | http-nio-8080-exec-68#414 | http-nio-8080-exec-69#447 | http-nio-8080-exec-70#448 | http-nio-8080-exec-71#449</x:v>
      </x:c>
      <x:c r="R640" s="36" t="n">
        <x:v>3</x:v>
      </x:c>
      <x:c r="S640" s="44" t="str">
        <x:v>ForkJoinPool.commonPool-worker-1#48 | ForkJoinPool.commonPool-worker-2#49 | ForkJoinPool.commonPool-worker-3#50</x:v>
      </x:c>
      <x:c r="T640" s="36" t="n">
        <x:v>0</x:v>
      </x:c>
      <x:c r="U640" s="44"/>
      <x:c r="V640" s="36" t="n">
        <x:v>0</x:v>
      </x:c>
      <x:c r="W640" s="44"/>
      <x:c r="X640" s="34" t="str">
        <x:v>unattributed-thread-signal</x:v>
      </x:c>
      <x:c r="Y640" s="44" t="str">
        <x:v>automated signatures are JCS-specific; all other candidate application threads remain unattributed and ownership requires the archived full dump</x:v>
      </x:c>
    </x:row>
    <x:row r="641">
      <x:c r="A641" s="34" t="str">
        <x:v>article1-unified-v4-2-fb3f101b-20260903-000401-default-f06-p2-caffeine</x:v>
      </x:c>
      <x:c r="B641" s="34" t="str">
        <x:v>default</x:v>
      </x:c>
      <x:c r="C641" s="34" t="str">
        <x:v>caffeine</x:v>
      </x:c>
      <x:c r="D641" s="36" t="n">
        <x:v>6</x:v>
      </x:c>
      <x:c r="E641" s="36" t="n">
        <x:v>6</x:v>
      </x:c>
      <x:c r="F641" s="36" t="n">
        <x:v>2</x:v>
      </x:c>
      <x:c r="G641" s="36" t="n">
        <x:v>5</x:v>
      </x:c>
      <x:c r="H641" s="34" t="str">
        <x:v>finalUndeployThreadEvidenceFinal</x:v>
      </x:c>
      <x:c r="I641" s="36" t="n">
        <x:v>2</x:v>
      </x:c>
      <x:c r="J641" s="34" t="str">
        <x:v>final</x:v>
      </x:c>
      <x:c r="K641" s="36" t="n">
        <x:v>30</x:v>
      </x:c>
      <x:c r="L641" s="51" t="n">
        <x:v>3</x:v>
      </x:c>
      <x:c r="M641" s="51" t="n">
        <x:v>0</x:v>
      </x:c>
      <x:c r="N641" s="36" t="n">
        <x:v>13</x:v>
      </x:c>
      <x:c r="O641" s="44" t="str">
        <x:v>ForkJoinPool.commonPool-worker-1#48 | ForkJoinPool.commonPool-worker-2#49 | ForkJoinPool.commonPool-worker-3#50 | http-nio-8080-exec-59#369 | http-nio-8080-exec-63#407 | http-nio-8080-exec-65#409 | http-nio-8080-exec-66#412 | http-nio-8080-exec-67#413 | http-nio-8080-exec-68#414 | http-nio-8080-exec-69#447 | http-nio-8080-exec-70#448 | http-nio-8080-exec-71#449 | http-nio-8080-exec-72#450</x:v>
      </x:c>
      <x:c r="P641" s="36" t="n">
        <x:v>9</x:v>
      </x:c>
      <x:c r="Q641" s="44" t="str">
        <x:v>http-nio-8080-exec-63#407 | http-nio-8080-exec-65#409 | http-nio-8080-exec-66#412 | http-nio-8080-exec-67#413 | http-nio-8080-exec-68#414 | http-nio-8080-exec-69#447 | http-nio-8080-exec-70#448 | http-nio-8080-exec-71#449 | http-nio-8080-exec-72#450</x:v>
      </x:c>
      <x:c r="R641" s="36" t="n">
        <x:v>3</x:v>
      </x:c>
      <x:c r="S641" s="44" t="str">
        <x:v>ForkJoinPool.commonPool-worker-1#48 | ForkJoinPool.commonPool-worker-2#49 | ForkJoinPool.commonPool-worker-3#50</x:v>
      </x:c>
      <x:c r="T641" s="36" t="n">
        <x:v>0</x:v>
      </x:c>
      <x:c r="U641" s="44"/>
      <x:c r="V641" s="36" t="n">
        <x:v>0</x:v>
      </x:c>
      <x:c r="W641" s="44"/>
      <x:c r="X641" s="34" t="str">
        <x:v>unattributed-thread-signal</x:v>
      </x:c>
      <x:c r="Y641" s="44" t="str">
        <x:v>automated signatures are JCS-specific; all other candidate application threads remain unattributed and ownership requires the archived full dump</x:v>
      </x:c>
    </x:row>
    <x:row r="642">
      <x:c r="A642" s="34" t="str">
        <x:v>article1-unified-v4-2-fb3f101b-20260903-000401-default-f06-p3-jcs321</x:v>
      </x:c>
      <x:c r="B642" s="34" t="str">
        <x:v>default</x:v>
      </x:c>
      <x:c r="C642" s="34" t="str">
        <x:v>jcs321</x:v>
      </x:c>
      <x:c r="D642" s="36" t="n">
        <x:v>6</x:v>
      </x:c>
      <x:c r="E642" s="36" t="n">
        <x:v>6</x:v>
      </x:c>
      <x:c r="F642" s="36" t="n">
        <x:v>3</x:v>
      </x:c>
      <x:c r="G642" s="36" t="n">
        <x:v>1</x:v>
      </x:c>
      <x:c r="H642" s="34" t="str">
        <x:v>firstUndeployThreadEvidenceEarly</x:v>
      </x:c>
      <x:c r="I642" s="36" t="n">
        <x:v>1</x:v>
      </x:c>
      <x:c r="J642" s="34" t="str">
        <x:v>early</x:v>
      </x:c>
      <x:c r="K642" s="36" t="n">
        <x:v>28</x:v>
      </x:c>
      <x:c r="L642" s="51" t="n">
        <x:v>1</x:v>
      </x:c>
      <x:c r="M642" s="51" t="n">
        <x:v>1</x:v>
      </x:c>
      <x:c r="N642" s="36" t="n">
        <x:v>3</x:v>
      </x:c>
      <x:c r="O642" s="44" t="str">
        <x:v>JCS-ElementEventQueue-Thread-4#49 | http-nio-8080-exec-11#82 | http-nio-8080-exec-12#83</x:v>
      </x:c>
      <x:c r="P642" s="36" t="n">
        <x:v>3</x:v>
      </x:c>
      <x:c r="Q642" s="44" t="str">
        <x:v>JCS-ElementEventQueue-Thread-4#49 | http-nio-8080-exec-11#82 | http-nio-8080-exec-12#83</x:v>
      </x:c>
      <x:c r="R642" s="36" t="n">
        <x:v>1</x:v>
      </x:c>
      <x:c r="S642" s="44" t="str">
        <x:v>JCS-ElementEventQueue-Thread-4#49</x:v>
      </x:c>
      <x:c r="T642" s="36" t="n">
        <x:v>1</x:v>
      </x:c>
      <x:c r="U642" s="44" t="str">
        <x:v>JCS-ElementEventQueue-Thread-4#49</x:v>
      </x:c>
      <x:c r="V642" s="36" t="n">
        <x:v>1</x:v>
      </x:c>
      <x:c r="W642" s="44" t="str">
        <x:v>jcs3-element-event-queue:JCS-ElementEventQueue-Thread-4#49</x:v>
      </x:c>
      <x:c r="X642" s="34" t="str">
        <x:v>jcs-signature-present</x:v>
      </x:c>
      <x:c r="Y642" s="44" t="str">
        <x:v>automated signatures are JCS-specific; all other candidate application threads remain unattributed and ownership requires the archived full dump</x:v>
      </x:c>
    </x:row>
    <x:row r="643">
      <x:c r="A643" s="34" t="str">
        <x:v>article1-unified-v4-2-fb3f101b-20260903-000401-default-f06-p3-jcs321</x:v>
      </x:c>
      <x:c r="B643" s="34" t="str">
        <x:v>default</x:v>
      </x:c>
      <x:c r="C643" s="34" t="str">
        <x:v>jcs321</x:v>
      </x:c>
      <x:c r="D643" s="36" t="n">
        <x:v>6</x:v>
      </x:c>
      <x:c r="E643" s="36" t="n">
        <x:v>6</x:v>
      </x:c>
      <x:c r="F643" s="36" t="n">
        <x:v>3</x:v>
      </x:c>
      <x:c r="G643" s="36" t="n">
        <x:v>1</x:v>
      </x:c>
      <x:c r="H643" s="34" t="str">
        <x:v>firstUndeployThreadEvidenceFinal</x:v>
      </x:c>
      <x:c r="I643" s="36" t="n">
        <x:v>1</x:v>
      </x:c>
      <x:c r="J643" s="34" t="str">
        <x:v>final</x:v>
      </x:c>
      <x:c r="K643" s="36" t="n">
        <x:v>28</x:v>
      </x:c>
      <x:c r="L643" s="51" t="n">
        <x:v>1</x:v>
      </x:c>
      <x:c r="M643" s="51" t="n">
        <x:v>1</x:v>
      </x:c>
      <x:c r="N643" s="36" t="n">
        <x:v>4</x:v>
      </x:c>
      <x:c r="O643" s="44" t="str">
        <x:v>JCS-ElementEventQueue-Thread-4#49 | http-nio-8080-exec-11#82 | http-nio-8080-exec-12#83 | http-nio-8080-exec-13#84</x:v>
      </x:c>
      <x:c r="P643" s="36" t="n">
        <x:v>4</x:v>
      </x:c>
      <x:c r="Q643" s="44" t="str">
        <x:v>JCS-ElementEventQueue-Thread-4#49 | http-nio-8080-exec-11#82 | http-nio-8080-exec-12#83 | http-nio-8080-exec-13#84</x:v>
      </x:c>
      <x:c r="R643" s="36" t="n">
        <x:v>1</x:v>
      </x:c>
      <x:c r="S643" s="44" t="str">
        <x:v>JCS-ElementEventQueue-Thread-4#49</x:v>
      </x:c>
      <x:c r="T643" s="36" t="n">
        <x:v>1</x:v>
      </x:c>
      <x:c r="U643" s="44" t="str">
        <x:v>JCS-ElementEventQueue-Thread-4#49</x:v>
      </x:c>
      <x:c r="V643" s="36" t="n">
        <x:v>1</x:v>
      </x:c>
      <x:c r="W643" s="44" t="str">
        <x:v>jcs3-element-event-queue:JCS-ElementEventQueue-Thread-4#49</x:v>
      </x:c>
      <x:c r="X643" s="34" t="str">
        <x:v>jcs-signature-present</x:v>
      </x:c>
      <x:c r="Y643" s="44" t="str">
        <x:v>automated signatures are JCS-specific; all other candidate application threads remain unattributed and ownership requires the archived full dump</x:v>
      </x:c>
    </x:row>
    <x:row r="644">
      <x:c r="A644" s="34" t="str">
        <x:v>article1-unified-v4-2-fb3f101b-20260903-000401-default-f06-p3-jcs321</x:v>
      </x:c>
      <x:c r="B644" s="34" t="str">
        <x:v>default</x:v>
      </x:c>
      <x:c r="C644" s="34" t="str">
        <x:v>jcs321</x:v>
      </x:c>
      <x:c r="D644" s="36" t="n">
        <x:v>6</x:v>
      </x:c>
      <x:c r="E644" s="36" t="n">
        <x:v>6</x:v>
      </x:c>
      <x:c r="F644" s="36" t="n">
        <x:v>3</x:v>
      </x:c>
      <x:c r="G644" s="36" t="n">
        <x:v>1</x:v>
      </x:c>
      <x:c r="H644" s="34" t="str">
        <x:v>finalUndeployThreadEvidenceEarly</x:v>
      </x:c>
      <x:c r="I644" s="36" t="n">
        <x:v>2</x:v>
      </x:c>
      <x:c r="J644" s="34" t="str">
        <x:v>early</x:v>
      </x:c>
      <x:c r="K644" s="36" t="n">
        <x:v>29</x:v>
      </x:c>
      <x:c r="L644" s="51" t="n">
        <x:v>2</x:v>
      </x:c>
      <x:c r="M644" s="51" t="n">
        <x:v>2</x:v>
      </x:c>
      <x:c r="N644" s="36" t="n">
        <x:v>10</x:v>
      </x:c>
      <x:c r="O644" s="44" t="str">
        <x:v>JCS-ElementEventQueue-Thread-4#49 | http-nio-8080-exec-11#82 | http-nio-8080-exec-12#83 | http-nio-8080-exec-13#84 | http-nio-8080-exec-14#87 | http-nio-8080-exec-15#88 | JCS-ElementEventQueue-Thread-7#91 | http-nio-8080-exec-17#124 | http-nio-8080-exec-18#125 | http-nio-8080-exec-19#126</x:v>
      </x:c>
      <x:c r="P644" s="36" t="n">
        <x:v>10</x:v>
      </x:c>
      <x:c r="Q644" s="44" t="str">
        <x:v>JCS-ElementEventQueue-Thread-4#49 | http-nio-8080-exec-11#82 | http-nio-8080-exec-12#83 | http-nio-8080-exec-13#84 | http-nio-8080-exec-14#87 | http-nio-8080-exec-15#88 | JCS-ElementEventQueue-Thread-7#91 | http-nio-8080-exec-17#124 | http-nio-8080-exec-18#125 | http-nio-8080-exec-19#126</x:v>
      </x:c>
      <x:c r="R644" s="36" t="n">
        <x:v>2</x:v>
      </x:c>
      <x:c r="S644" s="44" t="str">
        <x:v>JCS-ElementEventQueue-Thread-4#49 | JCS-ElementEventQueue-Thread-7#91</x:v>
      </x:c>
      <x:c r="T644" s="36" t="n">
        <x:v>2</x:v>
      </x:c>
      <x:c r="U644" s="44" t="str">
        <x:v>JCS-ElementEventQueue-Thread-4#49 | JCS-ElementEventQueue-Thread-7#91</x:v>
      </x:c>
      <x:c r="V644" s="36" t="n">
        <x:v>2</x:v>
      </x:c>
      <x:c r="W644" s="44" t="str">
        <x:v>jcs3-element-event-queue:JCS-ElementEventQueue-Thread-4#49 | jcs3-element-event-queue:JCS-ElementEventQueue-Thread-7#91</x:v>
      </x:c>
      <x:c r="X644" s="34" t="str">
        <x:v>jcs-signature-present</x:v>
      </x:c>
      <x:c r="Y644" s="44" t="str">
        <x:v>automated signatures are JCS-specific; all other candidate application threads remain unattributed and ownership requires the archived full dump</x:v>
      </x:c>
    </x:row>
    <x:row r="645">
      <x:c r="A645" s="34" t="str">
        <x:v>article1-unified-v4-2-fb3f101b-20260903-000401-default-f06-p3-jcs321</x:v>
      </x:c>
      <x:c r="B645" s="34" t="str">
        <x:v>default</x:v>
      </x:c>
      <x:c r="C645" s="34" t="str">
        <x:v>jcs321</x:v>
      </x:c>
      <x:c r="D645" s="36" t="n">
        <x:v>6</x:v>
      </x:c>
      <x:c r="E645" s="36" t="n">
        <x:v>6</x:v>
      </x:c>
      <x:c r="F645" s="36" t="n">
        <x:v>3</x:v>
      </x:c>
      <x:c r="G645" s="36" t="n">
        <x:v>1</x:v>
      </x:c>
      <x:c r="H645" s="34" t="str">
        <x:v>finalUndeployThreadEvidenceFinal</x:v>
      </x:c>
      <x:c r="I645" s="36" t="n">
        <x:v>2</x:v>
      </x:c>
      <x:c r="J645" s="34" t="str">
        <x:v>final</x:v>
      </x:c>
      <x:c r="K645" s="36" t="n">
        <x:v>29</x:v>
      </x:c>
      <x:c r="L645" s="51" t="n">
        <x:v>2</x:v>
      </x:c>
      <x:c r="M645" s="51" t="n">
        <x:v>2</x:v>
      </x:c>
      <x:c r="N645" s="36" t="n">
        <x:v>10</x:v>
      </x:c>
      <x:c r="O645" s="44" t="str">
        <x:v>JCS-ElementEventQueue-Thread-4#49 | http-nio-8080-exec-11#82 | http-nio-8080-exec-12#83 | http-nio-8080-exec-13#84 | http-nio-8080-exec-14#87 | http-nio-8080-exec-15#88 | JCS-ElementEventQueue-Thread-7#91 | http-nio-8080-exec-18#125 | http-nio-8080-exec-19#126 | http-nio-8080-exec-20#127</x:v>
      </x:c>
      <x:c r="P645" s="36" t="n">
        <x:v>10</x:v>
      </x:c>
      <x:c r="Q645" s="44" t="str">
        <x:v>JCS-ElementEventQueue-Thread-4#49 | http-nio-8080-exec-11#82 | http-nio-8080-exec-12#83 | http-nio-8080-exec-13#84 | http-nio-8080-exec-14#87 | http-nio-8080-exec-15#88 | JCS-ElementEventQueue-Thread-7#91 | http-nio-8080-exec-18#125 | http-nio-8080-exec-19#126 | http-nio-8080-exec-20#127</x:v>
      </x:c>
      <x:c r="R645" s="36" t="n">
        <x:v>2</x:v>
      </x:c>
      <x:c r="S645" s="44" t="str">
        <x:v>JCS-ElementEventQueue-Thread-4#49 | JCS-ElementEventQueue-Thread-7#91</x:v>
      </x:c>
      <x:c r="T645" s="36" t="n">
        <x:v>2</x:v>
      </x:c>
      <x:c r="U645" s="44" t="str">
        <x:v>JCS-ElementEventQueue-Thread-4#49 | JCS-ElementEventQueue-Thread-7#91</x:v>
      </x:c>
      <x:c r="V645" s="36" t="n">
        <x:v>2</x:v>
      </x:c>
      <x:c r="W645" s="44" t="str">
        <x:v>jcs3-element-event-queue:JCS-ElementEventQueue-Thread-4#49 | jcs3-element-event-queue:JCS-ElementEventQueue-Thread-7#91</x:v>
      </x:c>
      <x:c r="X645" s="34" t="str">
        <x:v>jcs-signature-present</x:v>
      </x:c>
      <x:c r="Y645" s="44" t="str">
        <x:v>automated signatures are JCS-specific; all other candidate application threads remain unattributed and ownership requires the archived full dump</x:v>
      </x:c>
    </x:row>
    <x:row r="646">
      <x:c r="A646" s="34" t="str">
        <x:v>article1-unified-v4-2-fb3f101b-20260903-000401-default-f06-p3-jcs321</x:v>
      </x:c>
      <x:c r="B646" s="34" t="str">
        <x:v>default</x:v>
      </x:c>
      <x:c r="C646" s="34" t="str">
        <x:v>jcs321</x:v>
      </x:c>
      <x:c r="D646" s="36" t="n">
        <x:v>6</x:v>
      </x:c>
      <x:c r="E646" s="36" t="n">
        <x:v>6</x:v>
      </x:c>
      <x:c r="F646" s="36" t="n">
        <x:v>3</x:v>
      </x:c>
      <x:c r="G646" s="36" t="n">
        <x:v>2</x:v>
      </x:c>
      <x:c r="H646" s="34" t="str">
        <x:v>firstUndeployThreadEvidenceEarly</x:v>
      </x:c>
      <x:c r="I646" s="36" t="n">
        <x:v>1</x:v>
      </x:c>
      <x:c r="J646" s="34" t="str">
        <x:v>early</x:v>
      </x:c>
      <x:c r="K646" s="36" t="n">
        <x:v>30</x:v>
      </x:c>
      <x:c r="L646" s="51" t="n">
        <x:v>3</x:v>
      </x:c>
      <x:c r="M646" s="51" t="n">
        <x:v>1</x:v>
      </x:c>
      <x:c r="N646" s="36" t="n">
        <x:v>12</x:v>
      </x:c>
      <x:c r="O646" s="44" t="str">
        <x:v>JCS-ElementEventQueue-Thread-4#49 | http-nio-8080-exec-11#82 | http-nio-8080-exec-12#83 | JCS-ElementEventQueue-Thread-7#91 | http-nio-8080-exec-18#125 | http-nio-8080-exec-19#126 | http-nio-8080-exec-21#130 | http-nio-8080-exec-22#131 | JCS-ElementEventQueue-Thread-10#133 | http-nio-8080-exec-23#166 | http-nio-8080-exec-24#167 | http-nio-8080-exec-25#168</x:v>
      </x:c>
      <x:c r="P646" s="36" t="n">
        <x:v>6</x:v>
      </x:c>
      <x:c r="Q646" s="44" t="str">
        <x:v>http-nio-8080-exec-21#130 | http-nio-8080-exec-22#131 | JCS-ElementEventQueue-Thread-10#133 | http-nio-8080-exec-23#166 | http-nio-8080-exec-24#167 | http-nio-8080-exec-25#168</x:v>
      </x:c>
      <x:c r="R646" s="36" t="n">
        <x:v>3</x:v>
      </x:c>
      <x:c r="S646" s="44" t="str">
        <x:v>JCS-ElementEventQueue-Thread-4#49 | JCS-ElementEventQueue-Thread-7#91 | JCS-ElementEventQueue-Thread-10#133</x:v>
      </x:c>
      <x:c r="T646" s="36" t="n">
        <x:v>1</x:v>
      </x:c>
      <x:c r="U646" s="44" t="str">
        <x:v>JCS-ElementEventQueue-Thread-10#133</x:v>
      </x:c>
      <x:c r="V646" s="36" t="n">
        <x:v>3</x:v>
      </x:c>
      <x:c r="W646" s="44" t="str">
        <x:v>jcs3-element-event-queue:JCS-ElementEventQueue-Thread-4#49 | jcs3-element-event-queue:JCS-ElementEventQueue-Thread-7#91 | jcs3-element-event-queue:JCS-ElementEventQueue-Thread-10#133</x:v>
      </x:c>
      <x:c r="X646" s="34" t="str">
        <x:v>jcs-signature-present</x:v>
      </x:c>
      <x:c r="Y646" s="44" t="str">
        <x:v>automated signatures are JCS-specific; all other candidate application threads remain unattributed and ownership requires the archived full dump</x:v>
      </x:c>
    </x:row>
    <x:row r="647">
      <x:c r="A647" s="34" t="str">
        <x:v>article1-unified-v4-2-fb3f101b-20260903-000401-default-f06-p3-jcs321</x:v>
      </x:c>
      <x:c r="B647" s="34" t="str">
        <x:v>default</x:v>
      </x:c>
      <x:c r="C647" s="34" t="str">
        <x:v>jcs321</x:v>
      </x:c>
      <x:c r="D647" s="36" t="n">
        <x:v>6</x:v>
      </x:c>
      <x:c r="E647" s="36" t="n">
        <x:v>6</x:v>
      </x:c>
      <x:c r="F647" s="36" t="n">
        <x:v>3</x:v>
      </x:c>
      <x:c r="G647" s="36" t="n">
        <x:v>2</x:v>
      </x:c>
      <x:c r="H647" s="34" t="str">
        <x:v>firstUndeployThreadEvidenceFinal</x:v>
      </x:c>
      <x:c r="I647" s="36" t="n">
        <x:v>1</x:v>
      </x:c>
      <x:c r="J647" s="34" t="str">
        <x:v>final</x:v>
      </x:c>
      <x:c r="K647" s="36" t="n">
        <x:v>30</x:v>
      </x:c>
      <x:c r="L647" s="51" t="n">
        <x:v>3</x:v>
      </x:c>
      <x:c r="M647" s="51" t="n">
        <x:v>1</x:v>
      </x:c>
      <x:c r="N647" s="36" t="n">
        <x:v>12</x:v>
      </x:c>
      <x:c r="O647" s="44" t="str">
        <x:v>JCS-ElementEventQueue-Thread-4#49 | http-nio-8080-exec-11#82 | http-nio-8080-exec-12#83 | JCS-ElementEventQueue-Thread-7#91 | http-nio-8080-exec-19#126 | http-nio-8080-exec-21#130 | http-nio-8080-exec-22#131 | JCS-ElementEventQueue-Thread-10#133 | http-nio-8080-exec-23#166 | http-nio-8080-exec-24#167 | http-nio-8080-exec-25#168 | http-nio-8080-exec-26#169</x:v>
      </x:c>
      <x:c r="P647" s="36" t="n">
        <x:v>7</x:v>
      </x:c>
      <x:c r="Q647" s="44" t="str">
        <x:v>http-nio-8080-exec-21#130 | http-nio-8080-exec-22#131 | JCS-ElementEventQueue-Thread-10#133 | http-nio-8080-exec-23#166 | http-nio-8080-exec-24#167 | http-nio-8080-exec-25#168 | http-nio-8080-exec-26#169</x:v>
      </x:c>
      <x:c r="R647" s="36" t="n">
        <x:v>3</x:v>
      </x:c>
      <x:c r="S647" s="44" t="str">
        <x:v>JCS-ElementEventQueue-Thread-4#49 | JCS-ElementEventQueue-Thread-7#91 | JCS-ElementEventQueue-Thread-10#133</x:v>
      </x:c>
      <x:c r="T647" s="36" t="n">
        <x:v>1</x:v>
      </x:c>
      <x:c r="U647" s="44" t="str">
        <x:v>JCS-ElementEventQueue-Thread-10#133</x:v>
      </x:c>
      <x:c r="V647" s="36" t="n">
        <x:v>3</x:v>
      </x:c>
      <x:c r="W647" s="44" t="str">
        <x:v>jcs3-element-event-queue:JCS-ElementEventQueue-Thread-4#49 | jcs3-element-event-queue:JCS-ElementEventQueue-Thread-7#91 | jcs3-element-event-queue:JCS-ElementEventQueue-Thread-10#133</x:v>
      </x:c>
      <x:c r="X647" s="34" t="str">
        <x:v>jcs-signature-present</x:v>
      </x:c>
      <x:c r="Y647" s="44" t="str">
        <x:v>automated signatures are JCS-specific; all other candidate application threads remain unattributed and ownership requires the archived full dump</x:v>
      </x:c>
    </x:row>
    <x:row r="648">
      <x:c r="A648" s="34" t="str">
        <x:v>article1-unified-v4-2-fb3f101b-20260903-000401-default-f06-p3-jcs321</x:v>
      </x:c>
      <x:c r="B648" s="34" t="str">
        <x:v>default</x:v>
      </x:c>
      <x:c r="C648" s="34" t="str">
        <x:v>jcs321</x:v>
      </x:c>
      <x:c r="D648" s="36" t="n">
        <x:v>6</x:v>
      </x:c>
      <x:c r="E648" s="36" t="n">
        <x:v>6</x:v>
      </x:c>
      <x:c r="F648" s="36" t="n">
        <x:v>3</x:v>
      </x:c>
      <x:c r="G648" s="36" t="n">
        <x:v>2</x:v>
      </x:c>
      <x:c r="H648" s="34" t="str">
        <x:v>finalUndeployThreadEvidenceEarly</x:v>
      </x:c>
      <x:c r="I648" s="36" t="n">
        <x:v>2</x:v>
      </x:c>
      <x:c r="J648" s="34" t="str">
        <x:v>early</x:v>
      </x:c>
      <x:c r="K648" s="36" t="n">
        <x:v>31</x:v>
      </x:c>
      <x:c r="L648" s="51" t="n">
        <x:v>4</x:v>
      </x:c>
      <x:c r="M648" s="51" t="n">
        <x:v>2</x:v>
      </x:c>
      <x:c r="N648" s="36" t="n">
        <x:v>14</x:v>
      </x:c>
      <x:c r="O648" s="44" t="str">
        <x:v>JCS-ElementEventQueue-Thread-4#49 | http-nio-8080-exec-11#82 | JCS-ElementEventQueue-Thread-7#91 | http-nio-8080-exec-19#126 | JCS-ElementEventQueue-Thread-10#133 | http-nio-8080-exec-24#167 | http-nio-8080-exec-25#168 | http-nio-8080-exec-27#172 | http-nio-8080-exec-28#173 | http-nio-8080-exec-29#174 | JCS-ElementEventQueue-Thread-13#176 | http-nio-8080-exec-30#209 | http-nio-8080-exec-31#210 | http-nio-8080-exec-32#211</x:v>
      </x:c>
      <x:c r="P648" s="36" t="n">
        <x:v>10</x:v>
      </x:c>
      <x:c r="Q648" s="44" t="str">
        <x:v>JCS-ElementEventQueue-Thread-10#133 | http-nio-8080-exec-24#167 | http-nio-8080-exec-25#168 | http-nio-8080-exec-27#172 | http-nio-8080-exec-28#173 | http-nio-8080-exec-29#174 | JCS-ElementEventQueue-Thread-13#176 | http-nio-8080-exec-30#209 | http-nio-8080-exec-31#210 | http-nio-8080-exec-32#211</x:v>
      </x:c>
      <x:c r="R648" s="36" t="n">
        <x:v>4</x:v>
      </x:c>
      <x:c r="S648" s="44" t="str">
        <x:v>JCS-ElementEventQueue-Thread-4#49 | JCS-ElementEventQueue-Thread-7#91 | JCS-ElementEventQueue-Thread-10#133 | JCS-ElementEventQueue-Thread-13#176</x:v>
      </x:c>
      <x:c r="T648" s="36" t="n">
        <x:v>2</x:v>
      </x:c>
      <x:c r="U648" s="44" t="str">
        <x:v>JCS-ElementEventQueue-Thread-10#133 | JCS-ElementEventQueue-Thread-13#176</x:v>
      </x:c>
      <x:c r="V648" s="36" t="n">
        <x:v>4</x:v>
      </x:c>
      <x:c r="W648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648" s="34" t="str">
        <x:v>jcs-signature-present</x:v>
      </x:c>
      <x:c r="Y648" s="44" t="str">
        <x:v>automated signatures are JCS-specific; all other candidate application threads remain unattributed and ownership requires the archived full dump</x:v>
      </x:c>
    </x:row>
    <x:row r="649">
      <x:c r="A649" s="34" t="str">
        <x:v>article1-unified-v4-2-fb3f101b-20260903-000401-default-f06-p3-jcs321</x:v>
      </x:c>
      <x:c r="B649" s="34" t="str">
        <x:v>default</x:v>
      </x:c>
      <x:c r="C649" s="34" t="str">
        <x:v>jcs321</x:v>
      </x:c>
      <x:c r="D649" s="36" t="n">
        <x:v>6</x:v>
      </x:c>
      <x:c r="E649" s="36" t="n">
        <x:v>6</x:v>
      </x:c>
      <x:c r="F649" s="36" t="n">
        <x:v>3</x:v>
      </x:c>
      <x:c r="G649" s="36" t="n">
        <x:v>2</x:v>
      </x:c>
      <x:c r="H649" s="34" t="str">
        <x:v>finalUndeployThreadEvidenceFinal</x:v>
      </x:c>
      <x:c r="I649" s="36" t="n">
        <x:v>2</x:v>
      </x:c>
      <x:c r="J649" s="34" t="str">
        <x:v>final</x:v>
      </x:c>
      <x:c r="K649" s="36" t="n">
        <x:v>31</x:v>
      </x:c>
      <x:c r="L649" s="51" t="n">
        <x:v>4</x:v>
      </x:c>
      <x:c r="M649" s="51" t="n">
        <x:v>2</x:v>
      </x:c>
      <x:c r="N649" s="36" t="n">
        <x:v>14</x:v>
      </x:c>
      <x:c r="O649" s="44" t="str">
        <x:v>JCS-ElementEventQueue-Thread-4#49 | http-nio-8080-exec-11#82 | JCS-ElementEventQueue-Thread-7#91 | http-nio-8080-exec-19#126 | JCS-ElementEventQueue-Thread-10#133 | http-nio-8080-exec-24#167 | http-nio-8080-exec-25#168 | http-nio-8080-exec-27#172 | http-nio-8080-exec-29#174 | JCS-ElementEventQueue-Thread-13#176 | http-nio-8080-exec-30#209 | http-nio-8080-exec-31#210 | http-nio-8080-exec-32#211 | http-nio-8080-exec-33#212</x:v>
      </x:c>
      <x:c r="P649" s="36" t="n">
        <x:v>10</x:v>
      </x:c>
      <x:c r="Q649" s="44" t="str">
        <x:v>JCS-ElementEventQueue-Thread-10#133 | http-nio-8080-exec-24#167 | http-nio-8080-exec-25#168 | http-nio-8080-exec-27#172 | http-nio-8080-exec-29#174 | JCS-ElementEventQueue-Thread-13#176 | http-nio-8080-exec-30#209 | http-nio-8080-exec-31#210 | http-nio-8080-exec-32#211 | http-nio-8080-exec-33#212</x:v>
      </x:c>
      <x:c r="R649" s="36" t="n">
        <x:v>4</x:v>
      </x:c>
      <x:c r="S649" s="44" t="str">
        <x:v>JCS-ElementEventQueue-Thread-4#49 | JCS-ElementEventQueue-Thread-7#91 | JCS-ElementEventQueue-Thread-10#133 | JCS-ElementEventQueue-Thread-13#176</x:v>
      </x:c>
      <x:c r="T649" s="36" t="n">
        <x:v>2</x:v>
      </x:c>
      <x:c r="U649" s="44" t="str">
        <x:v>JCS-ElementEventQueue-Thread-10#133 | JCS-ElementEventQueue-Thread-13#176</x:v>
      </x:c>
      <x:c r="V649" s="36" t="n">
        <x:v>4</x:v>
      </x:c>
      <x:c r="W649" s="44" t="str">
        <x:v>jcs3-element-event-queue:JCS-ElementEventQueue-Thread-4#49 | jcs3-element-event-queue:JCS-ElementEventQueue-Thread-7#91 | jcs3-element-event-queue:JCS-ElementEventQueue-Thread-10#133 | jcs3-element-event-queue:JCS-ElementEventQueue-Thread-13#176</x:v>
      </x:c>
      <x:c r="X649" s="34" t="str">
        <x:v>jcs-signature-present</x:v>
      </x:c>
      <x:c r="Y649" s="44" t="str">
        <x:v>automated signatures are JCS-specific; all other candidate application threads remain unattributed and ownership requires the archived full dump</x:v>
      </x:c>
    </x:row>
    <x:row r="650">
      <x:c r="A650" s="34" t="str">
        <x:v>article1-unified-v4-2-fb3f101b-20260903-000401-default-f06-p3-jcs321</x:v>
      </x:c>
      <x:c r="B650" s="34" t="str">
        <x:v>default</x:v>
      </x:c>
      <x:c r="C650" s="34" t="str">
        <x:v>jcs321</x:v>
      </x:c>
      <x:c r="D650" s="36" t="n">
        <x:v>6</x:v>
      </x:c>
      <x:c r="E650" s="36" t="n">
        <x:v>6</x:v>
      </x:c>
      <x:c r="F650" s="36" t="n">
        <x:v>3</x:v>
      </x:c>
      <x:c r="G650" s="36" t="n">
        <x:v>3</x:v>
      </x:c>
      <x:c r="H650" s="34" t="str">
        <x:v>firstUndeployThreadEvidenceEarly</x:v>
      </x:c>
      <x:c r="I650" s="36" t="n">
        <x:v>1</x:v>
      </x:c>
      <x:c r="J650" s="34" t="str">
        <x:v>early</x:v>
      </x:c>
      <x:c r="K650" s="36" t="n">
        <x:v>32</x:v>
      </x:c>
      <x:c r="L650" s="51" t="n">
        <x:v>5</x:v>
      </x:c>
      <x:c r="M650" s="51" t="n">
        <x:v>1</x:v>
      </x:c>
      <x:c r="N650" s="36" t="n">
        <x:v>15</x:v>
      </x:c>
      <x:c r="O650" s="44" t="str">
        <x:v>JCS-ElementEventQueue-Thread-4#49 | JCS-ElementEventQueue-Thread-7#91 | http-nio-8080-exec-19#126 | JCS-ElementEventQueue-Thread-10#133 | http-nio-8080-exec-27#172 | JCS-ElementEventQueue-Thread-13#176 | http-nio-8080-exec-30#209 | http-nio-8080-exec-31#210 | http-nio-8080-exec-32#211 | http-nio-8080-exec-34#215 | http-nio-8080-exec-35#216 | JCS-ElementEventQueue-Thread-16#218 | http-nio-8080-exec-36#251 | http-nio-8080-exec-37#252 | http-nio-8080-exec-38#253</x:v>
      </x:c>
      <x:c r="P650" s="36" t="n">
        <x:v>6</x:v>
      </x:c>
      <x:c r="Q650" s="44" t="str">
        <x:v>http-nio-8080-exec-34#215 | http-nio-8080-exec-35#216 | JCS-ElementEventQueue-Thread-16#218 | http-nio-8080-exec-36#251 | http-nio-8080-exec-37#252 | http-nio-8080-exec-38#253</x:v>
      </x:c>
      <x:c r="R650" s="36" t="n">
        <x:v>5</x:v>
      </x:c>
      <x:c r="S650" s="44" t="str">
        <x:v>JCS-ElementEventQueue-Thread-4#49 | JCS-ElementEventQueue-Thread-7#91 | JCS-ElementEventQueue-Thread-10#133 | JCS-ElementEventQueue-Thread-13#176 | JCS-ElementEventQueue-Thread-16#218</x:v>
      </x:c>
      <x:c r="T650" s="36" t="n">
        <x:v>1</x:v>
      </x:c>
      <x:c r="U650" s="44" t="str">
        <x:v>JCS-ElementEventQueue-Thread-16#218</x:v>
      </x:c>
      <x:c r="V650" s="36" t="n">
        <x:v>5</x:v>
      </x:c>
      <x:c r="W65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650" s="34" t="str">
        <x:v>jcs-signature-present</x:v>
      </x:c>
      <x:c r="Y650" s="44" t="str">
        <x:v>automated signatures are JCS-specific; all other candidate application threads remain unattributed and ownership requires the archived full dump</x:v>
      </x:c>
    </x:row>
    <x:row r="651">
      <x:c r="A651" s="34" t="str">
        <x:v>article1-unified-v4-2-fb3f101b-20260903-000401-default-f06-p3-jcs321</x:v>
      </x:c>
      <x:c r="B651" s="34" t="str">
        <x:v>default</x:v>
      </x:c>
      <x:c r="C651" s="34" t="str">
        <x:v>jcs321</x:v>
      </x:c>
      <x:c r="D651" s="36" t="n">
        <x:v>6</x:v>
      </x:c>
      <x:c r="E651" s="36" t="n">
        <x:v>6</x:v>
      </x:c>
      <x:c r="F651" s="36" t="n">
        <x:v>3</x:v>
      </x:c>
      <x:c r="G651" s="36" t="n">
        <x:v>3</x:v>
      </x:c>
      <x:c r="H651" s="34" t="str">
        <x:v>firstUndeployThreadEvidenceFinal</x:v>
      </x:c>
      <x:c r="I651" s="36" t="n">
        <x:v>1</x:v>
      </x:c>
      <x:c r="J651" s="34" t="str">
        <x:v>final</x:v>
      </x:c>
      <x:c r="K651" s="36" t="n">
        <x:v>32</x:v>
      </x:c>
      <x:c r="L651" s="51" t="n">
        <x:v>5</x:v>
      </x:c>
      <x:c r="M651" s="51" t="n">
        <x:v>1</x:v>
      </x:c>
      <x:c r="N651" s="36" t="n">
        <x:v>15</x:v>
      </x:c>
      <x:c r="O651" s="44" t="str">
        <x:v>JCS-ElementEventQueue-Thread-4#49 | JCS-ElementEventQueue-Thread-7#91 | http-nio-8080-exec-19#126 | JCS-ElementEventQueue-Thread-10#133 | JCS-ElementEventQueue-Thread-13#176 | http-nio-8080-exec-30#209 | http-nio-8080-exec-31#210 | http-nio-8080-exec-32#211 | http-nio-8080-exec-34#215 | http-nio-8080-exec-35#216 | JCS-ElementEventQueue-Thread-16#218 | http-nio-8080-exec-36#251 | http-nio-8080-exec-37#252 | http-nio-8080-exec-38#253 | http-nio-8080-exec-39#254</x:v>
      </x:c>
      <x:c r="P651" s="36" t="n">
        <x:v>7</x:v>
      </x:c>
      <x:c r="Q651" s="44" t="str">
        <x:v>http-nio-8080-exec-34#215 | http-nio-8080-exec-35#216 | JCS-ElementEventQueue-Thread-16#218 | http-nio-8080-exec-36#251 | http-nio-8080-exec-37#252 | http-nio-8080-exec-38#253 | http-nio-8080-exec-39#254</x:v>
      </x:c>
      <x:c r="R651" s="36" t="n">
        <x:v>5</x:v>
      </x:c>
      <x:c r="S651" s="44" t="str">
        <x:v>JCS-ElementEventQueue-Thread-4#49 | JCS-ElementEventQueue-Thread-7#91 | JCS-ElementEventQueue-Thread-10#133 | JCS-ElementEventQueue-Thread-13#176 | JCS-ElementEventQueue-Thread-16#218</x:v>
      </x:c>
      <x:c r="T651" s="36" t="n">
        <x:v>1</x:v>
      </x:c>
      <x:c r="U651" s="44" t="str">
        <x:v>JCS-ElementEventQueue-Thread-16#218</x:v>
      </x:c>
      <x:c r="V651" s="36" t="n">
        <x:v>5</x:v>
      </x:c>
      <x:c r="W65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</x:v>
      </x:c>
      <x:c r="X651" s="34" t="str">
        <x:v>jcs-signature-present</x:v>
      </x:c>
      <x:c r="Y651" s="44" t="str">
        <x:v>automated signatures are JCS-specific; all other candidate application threads remain unattributed and ownership requires the archived full dump</x:v>
      </x:c>
    </x:row>
    <x:row r="652">
      <x:c r="A652" s="34" t="str">
        <x:v>article1-unified-v4-2-fb3f101b-20260903-000401-default-f06-p3-jcs321</x:v>
      </x:c>
      <x:c r="B652" s="34" t="str">
        <x:v>default</x:v>
      </x:c>
      <x:c r="C652" s="34" t="str">
        <x:v>jcs321</x:v>
      </x:c>
      <x:c r="D652" s="36" t="n">
        <x:v>6</x:v>
      </x:c>
      <x:c r="E652" s="36" t="n">
        <x:v>6</x:v>
      </x:c>
      <x:c r="F652" s="36" t="n">
        <x:v>3</x:v>
      </x:c>
      <x:c r="G652" s="36" t="n">
        <x:v>3</x:v>
      </x:c>
      <x:c r="H652" s="34" t="str">
        <x:v>finalUndeployThreadEvidenceEarly</x:v>
      </x:c>
      <x:c r="I652" s="36" t="n">
        <x:v>2</x:v>
      </x:c>
      <x:c r="J652" s="34" t="str">
        <x:v>early</x:v>
      </x:c>
      <x:c r="K652" s="36" t="n">
        <x:v>33</x:v>
      </x:c>
      <x:c r="L652" s="51" t="n">
        <x:v>6</x:v>
      </x:c>
      <x:c r="M652" s="51" t="n">
        <x:v>2</x:v>
      </x:c>
      <x:c r="N652" s="36" t="n">
        <x:v>16</x:v>
      </x:c>
      <x:c r="O652" s="44" t="str">
        <x:v>JCS-ElementEventQueue-Thread-4#49 | JCS-ElementEventQueue-Thread-7#91 | JCS-ElementEventQueue-Thread-10#133 | JCS-ElementEventQueue-Thread-13#176 | http-nio-8080-exec-30#209 | http-nio-8080-exec-32#211 | JCS-ElementEventQueue-Thread-16#218 | http-nio-8080-exec-37#252 | http-nio-8080-exec-39#254 | http-nio-8080-exec-40#257 | http-nio-8080-exec-41#258 | http-nio-8080-exec-42#259 | JCS-ElementEventQueue-Thread-19#261 | http-nio-8080-exec-43#294 | http-nio-8080-exec-44#295 | http-nio-8080-exec-45#296</x:v>
      </x:c>
      <x:c r="P652" s="36" t="n">
        <x:v>10</x:v>
      </x:c>
      <x:c r="Q652" s="44" t="str">
        <x:v>JCS-ElementEventQueue-Thread-16#218 | http-nio-8080-exec-37#252 | http-nio-8080-exec-39#254 | http-nio-8080-exec-40#257 | http-nio-8080-exec-41#258 | http-nio-8080-exec-42#259 | JCS-ElementEventQueue-Thread-19#261 | http-nio-8080-exec-43#294 | http-nio-8080-exec-44#295 | http-nio-8080-exec-45#296</x:v>
      </x:c>
      <x:c r="R652" s="36" t="n">
        <x:v>6</x:v>
      </x:c>
      <x:c r="S652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652" s="36" t="n">
        <x:v>2</x:v>
      </x:c>
      <x:c r="U652" s="44" t="str">
        <x:v>JCS-ElementEventQueue-Thread-16#218 | JCS-ElementEventQueue-Thread-19#261</x:v>
      </x:c>
      <x:c r="V652" s="36" t="n">
        <x:v>6</x:v>
      </x:c>
      <x:c r="W652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652" s="34" t="str">
        <x:v>jcs-signature-present</x:v>
      </x:c>
      <x:c r="Y652" s="44" t="str">
        <x:v>automated signatures are JCS-specific; all other candidate application threads remain unattributed and ownership requires the archived full dump</x:v>
      </x:c>
    </x:row>
    <x:row r="653">
      <x:c r="A653" s="34" t="str">
        <x:v>article1-unified-v4-2-fb3f101b-20260903-000401-default-f06-p3-jcs321</x:v>
      </x:c>
      <x:c r="B653" s="34" t="str">
        <x:v>default</x:v>
      </x:c>
      <x:c r="C653" s="34" t="str">
        <x:v>jcs321</x:v>
      </x:c>
      <x:c r="D653" s="36" t="n">
        <x:v>6</x:v>
      </x:c>
      <x:c r="E653" s="36" t="n">
        <x:v>6</x:v>
      </x:c>
      <x:c r="F653" s="36" t="n">
        <x:v>3</x:v>
      </x:c>
      <x:c r="G653" s="36" t="n">
        <x:v>3</x:v>
      </x:c>
      <x:c r="H653" s="34" t="str">
        <x:v>finalUndeployThreadEvidenceFinal</x:v>
      </x:c>
      <x:c r="I653" s="36" t="n">
        <x:v>2</x:v>
      </x:c>
      <x:c r="J653" s="34" t="str">
        <x:v>final</x:v>
      </x:c>
      <x:c r="K653" s="36" t="n">
        <x:v>33</x:v>
      </x:c>
      <x:c r="L653" s="51" t="n">
        <x:v>6</x:v>
      </x:c>
      <x:c r="M653" s="51" t="n">
        <x:v>2</x:v>
      </x:c>
      <x:c r="N653" s="36" t="n">
        <x:v>16</x:v>
      </x:c>
      <x:c r="O653" s="44" t="str">
        <x:v>JCS-ElementEventQueue-Thread-4#49 | JCS-ElementEventQueue-Thread-7#91 | JCS-ElementEventQueue-Thread-10#133 | JCS-ElementEventQueue-Thread-13#176 | http-nio-8080-exec-30#209 | http-nio-8080-exec-32#211 | JCS-ElementEventQueue-Thread-16#218 | http-nio-8080-exec-37#252 | http-nio-8080-exec-39#254 | http-nio-8080-exec-40#257 | http-nio-8080-exec-42#259 | JCS-ElementEventQueue-Thread-19#261 | http-nio-8080-exec-43#294 | http-nio-8080-exec-44#295 | http-nio-8080-exec-45#296 | http-nio-8080-exec-46#297</x:v>
      </x:c>
      <x:c r="P653" s="36" t="n">
        <x:v>10</x:v>
      </x:c>
      <x:c r="Q653" s="44" t="str">
        <x:v>JCS-ElementEventQueue-Thread-16#218 | http-nio-8080-exec-37#252 | http-nio-8080-exec-39#254 | http-nio-8080-exec-40#257 | http-nio-8080-exec-42#259 | JCS-ElementEventQueue-Thread-19#261 | http-nio-8080-exec-43#294 | http-nio-8080-exec-44#295 | http-nio-8080-exec-45#296 | http-nio-8080-exec-46#297</x:v>
      </x:c>
      <x:c r="R653" s="36" t="n">
        <x:v>6</x:v>
      </x:c>
      <x:c r="S653" s="44" t="str">
        <x:v>JCS-ElementEventQueue-Thread-4#49 | JCS-ElementEventQueue-Thread-7#91 | JCS-ElementEventQueue-Thread-10#133 | JCS-ElementEventQueue-Thread-13#176 | JCS-ElementEventQueue-Thread-16#218 | JCS-ElementEventQueue-Thread-19#261</x:v>
      </x:c>
      <x:c r="T653" s="36" t="n">
        <x:v>2</x:v>
      </x:c>
      <x:c r="U653" s="44" t="str">
        <x:v>JCS-ElementEventQueue-Thread-16#218 | JCS-ElementEventQueue-Thread-19#261</x:v>
      </x:c>
      <x:c r="V653" s="36" t="n">
        <x:v>6</x:v>
      </x:c>
      <x:c r="W653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</x:v>
      </x:c>
      <x:c r="X653" s="34" t="str">
        <x:v>jcs-signature-present</x:v>
      </x:c>
      <x:c r="Y653" s="44" t="str">
        <x:v>automated signatures are JCS-specific; all other candidate application threads remain unattributed and ownership requires the archived full dump</x:v>
      </x:c>
    </x:row>
    <x:row r="654">
      <x:c r="A654" s="34" t="str">
        <x:v>article1-unified-v4-2-fb3f101b-20260903-000401-default-f06-p3-jcs321</x:v>
      </x:c>
      <x:c r="B654" s="34" t="str">
        <x:v>default</x:v>
      </x:c>
      <x:c r="C654" s="34" t="str">
        <x:v>jcs321</x:v>
      </x:c>
      <x:c r="D654" s="36" t="n">
        <x:v>6</x:v>
      </x:c>
      <x:c r="E654" s="36" t="n">
        <x:v>6</x:v>
      </x:c>
      <x:c r="F654" s="36" t="n">
        <x:v>3</x:v>
      </x:c>
      <x:c r="G654" s="36" t="n">
        <x:v>4</x:v>
      </x:c>
      <x:c r="H654" s="34" t="str">
        <x:v>firstUndeployThreadEvidenceEarly</x:v>
      </x:c>
      <x:c r="I654" s="36" t="n">
        <x:v>1</x:v>
      </x:c>
      <x:c r="J654" s="34" t="str">
        <x:v>early</x:v>
      </x:c>
      <x:c r="K654" s="36" t="n">
        <x:v>34</x:v>
      </x:c>
      <x:c r="L654" s="51" t="n">
        <x:v>7</x:v>
      </x:c>
      <x:c r="M654" s="51" t="n">
        <x:v>1</x:v>
      </x:c>
      <x:c r="N654" s="36" t="n">
        <x:v>17</x:v>
      </x:c>
      <x:c r="O654" s="44" t="str">
        <x:v>JCS-ElementEventQueue-Thread-4#49 | JCS-ElementEventQueue-Thread-7#91 | JCS-ElementEventQueue-Thread-10#133 | JCS-ElementEventQueue-Thread-13#176 | http-nio-8080-exec-32#211 | JCS-ElementEventQueue-Thread-16#218 | http-nio-8080-exec-39#254 | http-nio-8080-exec-42#259 | JCS-ElementEventQueue-Thread-19#261 | http-nio-8080-exec-44#295 | http-nio-8080-exec-45#296 | http-nio-8080-exec-46#297 | http-nio-8080-exec-47#300 | http-nio-8080-exec-48#301 | JCS-ElementEventQueue-Thread-22#303 | http-nio-8080-exec-50#337 | http-nio-8080-exec-51#338</x:v>
      </x:c>
      <x:c r="P654" s="36" t="n">
        <x:v>5</x:v>
      </x:c>
      <x:c r="Q654" s="44" t="str">
        <x:v>http-nio-8080-exec-47#300 | http-nio-8080-exec-48#301 | JCS-ElementEventQueue-Thread-22#303 | http-nio-8080-exec-50#337 | http-nio-8080-exec-51#338</x:v>
      </x:c>
      <x:c r="R654" s="36" t="n">
        <x:v>7</x:v>
      </x:c>
      <x:c r="S654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654" s="36" t="n">
        <x:v>1</x:v>
      </x:c>
      <x:c r="U654" s="44" t="str">
        <x:v>JCS-ElementEventQueue-Thread-22#303</x:v>
      </x:c>
      <x:c r="V654" s="36" t="n">
        <x:v>7</x:v>
      </x:c>
      <x:c r="W654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654" s="34" t="str">
        <x:v>jcs-signature-present</x:v>
      </x:c>
      <x:c r="Y654" s="44" t="str">
        <x:v>automated signatures are JCS-specific; all other candidate application threads remain unattributed and ownership requires the archived full dump</x:v>
      </x:c>
    </x:row>
    <x:row r="655">
      <x:c r="A655" s="34" t="str">
        <x:v>article1-unified-v4-2-fb3f101b-20260903-000401-default-f06-p3-jcs321</x:v>
      </x:c>
      <x:c r="B655" s="34" t="str">
        <x:v>default</x:v>
      </x:c>
      <x:c r="C655" s="34" t="str">
        <x:v>jcs321</x:v>
      </x:c>
      <x:c r="D655" s="36" t="n">
        <x:v>6</x:v>
      </x:c>
      <x:c r="E655" s="36" t="n">
        <x:v>6</x:v>
      </x:c>
      <x:c r="F655" s="36" t="n">
        <x:v>3</x:v>
      </x:c>
      <x:c r="G655" s="36" t="n">
        <x:v>4</x:v>
      </x:c>
      <x:c r="H655" s="34" t="str">
        <x:v>firstUndeployThreadEvidenceFinal</x:v>
      </x:c>
      <x:c r="I655" s="36" t="n">
        <x:v>1</x:v>
      </x:c>
      <x:c r="J655" s="34" t="str">
        <x:v>final</x:v>
      </x:c>
      <x:c r="K655" s="36" t="n">
        <x:v>34</x:v>
      </x:c>
      <x:c r="L655" s="51" t="n">
        <x:v>7</x:v>
      </x:c>
      <x:c r="M655" s="51" t="n">
        <x:v>1</x:v>
      </x:c>
      <x:c r="N655" s="36" t="n">
        <x:v>17</x:v>
      </x:c>
      <x:c r="O655" s="44" t="str">
        <x:v>JCS-ElementEventQueue-Thread-4#49 | JCS-ElementEventQueue-Thread-7#91 | JCS-ElementEventQueue-Thread-10#133 | JCS-ElementEventQueue-Thread-13#176 | http-nio-8080-exec-32#211 | JCS-ElementEventQueue-Thread-16#218 | http-nio-8080-exec-39#254 | http-nio-8080-exec-42#259 | JCS-ElementEventQueue-Thread-19#261 | http-nio-8080-exec-44#295 | http-nio-8080-exec-45#296 | http-nio-8080-exec-46#297 | http-nio-8080-exec-47#300 | JCS-ElementEventQueue-Thread-22#303 | http-nio-8080-exec-50#337 | http-nio-8080-exec-51#338 | http-nio-8080-exec-52#339</x:v>
      </x:c>
      <x:c r="P655" s="36" t="n">
        <x:v>5</x:v>
      </x:c>
      <x:c r="Q655" s="44" t="str">
        <x:v>http-nio-8080-exec-47#300 | JCS-ElementEventQueue-Thread-22#303 | http-nio-8080-exec-50#337 | http-nio-8080-exec-51#338 | http-nio-8080-exec-52#339</x:v>
      </x:c>
      <x:c r="R655" s="36" t="n">
        <x:v>7</x:v>
      </x:c>
      <x:c r="S655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</x:v>
      </x:c>
      <x:c r="T655" s="36" t="n">
        <x:v>1</x:v>
      </x:c>
      <x:c r="U655" s="44" t="str">
        <x:v>JCS-ElementEventQueue-Thread-22#303</x:v>
      </x:c>
      <x:c r="V655" s="36" t="n">
        <x:v>7</x:v>
      </x:c>
      <x:c r="W655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</x:v>
      </x:c>
      <x:c r="X655" s="34" t="str">
        <x:v>jcs-signature-present</x:v>
      </x:c>
      <x:c r="Y655" s="44" t="str">
        <x:v>automated signatures are JCS-specific; all other candidate application threads remain unattributed and ownership requires the archived full dump</x:v>
      </x:c>
    </x:row>
    <x:row r="656">
      <x:c r="A656" s="34" t="str">
        <x:v>article1-unified-v4-2-fb3f101b-20260903-000401-default-f06-p3-jcs321</x:v>
      </x:c>
      <x:c r="B656" s="34" t="str">
        <x:v>default</x:v>
      </x:c>
      <x:c r="C656" s="34" t="str">
        <x:v>jcs321</x:v>
      </x:c>
      <x:c r="D656" s="36" t="n">
        <x:v>6</x:v>
      </x:c>
      <x:c r="E656" s="36" t="n">
        <x:v>6</x:v>
      </x:c>
      <x:c r="F656" s="36" t="n">
        <x:v>3</x:v>
      </x:c>
      <x:c r="G656" s="36" t="n">
        <x:v>4</x:v>
      </x:c>
      <x:c r="H656" s="34" t="str">
        <x:v>finalUndeployThreadEvidenceEarly</x:v>
      </x:c>
      <x:c r="I656" s="36" t="n">
        <x:v>2</x:v>
      </x:c>
      <x:c r="J656" s="34" t="str">
        <x:v>early</x:v>
      </x:c>
      <x:c r="K656" s="36" t="n">
        <x:v>35</x:v>
      </x:c>
      <x:c r="L656" s="51" t="n">
        <x:v>8</x:v>
      </x:c>
      <x:c r="M656" s="51" t="n">
        <x:v>2</x:v>
      </x:c>
      <x:c r="N656" s="36" t="n">
        <x:v>18</x:v>
      </x:c>
      <x:c r="O656" s="44" t="str">
        <x:v>JCS-ElementEventQueue-Thread-4#49 | JCS-ElementEventQueue-Thread-7#91 | JCS-ElementEventQueue-Thread-10#133 | JCS-ElementEventQueue-Thread-13#176 | http-nio-8080-exec-32#211 | JCS-ElementEventQueue-Thread-16#218 | JCS-ElementEventQueue-Thread-19#261 | http-nio-8080-exec-44#295 | JCS-ElementEventQueue-Thread-22#303 | http-nio-8080-exec-50#337 | http-nio-8080-exec-52#339 | http-nio-8080-exec-53#342 | http-nio-8080-exec-54#343 | http-nio-8080-exec-55#344 | JCS-ElementEventQueue-Thread-25#346 | http-nio-8080-exec-56#379 | http-nio-8080-exec-57#380 | http-nio-8080-exec-58#381</x:v>
      </x:c>
      <x:c r="P656" s="36" t="n">
        <x:v>10</x:v>
      </x:c>
      <x:c r="Q656" s="44" t="str">
        <x:v>JCS-ElementEventQueue-Thread-22#303 | http-nio-8080-exec-50#337 | http-nio-8080-exec-52#339 | http-nio-8080-exec-53#342 | http-nio-8080-exec-54#343 | http-nio-8080-exec-55#344 | JCS-ElementEventQueue-Thread-25#346 | http-nio-8080-exec-56#379 | http-nio-8080-exec-57#380 | http-nio-8080-exec-58#381</x:v>
      </x:c>
      <x:c r="R656" s="36" t="n">
        <x:v>8</x:v>
      </x:c>
      <x:c r="S656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656" s="36" t="n">
        <x:v>2</x:v>
      </x:c>
      <x:c r="U656" s="44" t="str">
        <x:v>JCS-ElementEventQueue-Thread-22#303 | JCS-ElementEventQueue-Thread-25#346</x:v>
      </x:c>
      <x:c r="V656" s="36" t="n">
        <x:v>8</x:v>
      </x:c>
      <x:c r="W656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656" s="34" t="str">
        <x:v>jcs-signature-present</x:v>
      </x:c>
      <x:c r="Y656" s="44" t="str">
        <x:v>automated signatures are JCS-specific; all other candidate application threads remain unattributed and ownership requires the archived full dump</x:v>
      </x:c>
    </x:row>
    <x:row r="657">
      <x:c r="A657" s="34" t="str">
        <x:v>article1-unified-v4-2-fb3f101b-20260903-000401-default-f06-p3-jcs321</x:v>
      </x:c>
      <x:c r="B657" s="34" t="str">
        <x:v>default</x:v>
      </x:c>
      <x:c r="C657" s="34" t="str">
        <x:v>jcs321</x:v>
      </x:c>
      <x:c r="D657" s="36" t="n">
        <x:v>6</x:v>
      </x:c>
      <x:c r="E657" s="36" t="n">
        <x:v>6</x:v>
      </x:c>
      <x:c r="F657" s="36" t="n">
        <x:v>3</x:v>
      </x:c>
      <x:c r="G657" s="36" t="n">
        <x:v>4</x:v>
      </x:c>
      <x:c r="H657" s="34" t="str">
        <x:v>finalUndeployThreadEvidenceFinal</x:v>
      </x:c>
      <x:c r="I657" s="36" t="n">
        <x:v>2</x:v>
      </x:c>
      <x:c r="J657" s="34" t="str">
        <x:v>final</x:v>
      </x:c>
      <x:c r="K657" s="36" t="n">
        <x:v>35</x:v>
      </x:c>
      <x:c r="L657" s="51" t="n">
        <x:v>8</x:v>
      </x:c>
      <x:c r="M657" s="51" t="n">
        <x:v>2</x:v>
      </x:c>
      <x:c r="N657" s="36" t="n">
        <x:v>18</x:v>
      </x:c>
      <x:c r="O657" s="44" t="str">
        <x:v>JCS-ElementEventQueue-Thread-4#49 | JCS-ElementEventQueue-Thread-7#91 | JCS-ElementEventQueue-Thread-10#133 | JCS-ElementEventQueue-Thread-13#176 | http-nio-8080-exec-32#211 | JCS-ElementEventQueue-Thread-16#218 | JCS-ElementEventQueue-Thread-19#261 | http-nio-8080-exec-44#295 | JCS-ElementEventQueue-Thread-22#303 | http-nio-8080-exec-52#339 | http-nio-8080-exec-53#342 | http-nio-8080-exec-54#343 | http-nio-8080-exec-55#344 | JCS-ElementEventQueue-Thread-25#346 | http-nio-8080-exec-56#379 | http-nio-8080-exec-57#380 | http-nio-8080-exec-58#381 | http-nio-8080-exec-59#382</x:v>
      </x:c>
      <x:c r="P657" s="36" t="n">
        <x:v>10</x:v>
      </x:c>
      <x:c r="Q657" s="44" t="str">
        <x:v>JCS-ElementEventQueue-Thread-22#303 | http-nio-8080-exec-52#339 | http-nio-8080-exec-53#342 | http-nio-8080-exec-54#343 | http-nio-8080-exec-55#344 | JCS-ElementEventQueue-Thread-25#346 | http-nio-8080-exec-56#379 | http-nio-8080-exec-57#380 | http-nio-8080-exec-58#381 | http-nio-8080-exec-59#382</x:v>
      </x:c>
      <x:c r="R657" s="36" t="n">
        <x:v>8</x:v>
      </x:c>
      <x:c r="S657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</x:v>
      </x:c>
      <x:c r="T657" s="36" t="n">
        <x:v>2</x:v>
      </x:c>
      <x:c r="U657" s="44" t="str">
        <x:v>JCS-ElementEventQueue-Thread-22#303 | JCS-ElementEventQueue-Thread-25#346</x:v>
      </x:c>
      <x:c r="V657" s="36" t="n">
        <x:v>8</x:v>
      </x:c>
      <x:c r="W657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</x:v>
      </x:c>
      <x:c r="X657" s="34" t="str">
        <x:v>jcs-signature-present</x:v>
      </x:c>
      <x:c r="Y657" s="44" t="str">
        <x:v>automated signatures are JCS-specific; all other candidate application threads remain unattributed and ownership requires the archived full dump</x:v>
      </x:c>
    </x:row>
    <x:row r="658">
      <x:c r="A658" s="34" t="str">
        <x:v>article1-unified-v4-2-fb3f101b-20260903-000401-default-f06-p3-jcs321</x:v>
      </x:c>
      <x:c r="B658" s="34" t="str">
        <x:v>default</x:v>
      </x:c>
      <x:c r="C658" s="34" t="str">
        <x:v>jcs321</x:v>
      </x:c>
      <x:c r="D658" s="36" t="n">
        <x:v>6</x:v>
      </x:c>
      <x:c r="E658" s="36" t="n">
        <x:v>6</x:v>
      </x:c>
      <x:c r="F658" s="36" t="n">
        <x:v>3</x:v>
      </x:c>
      <x:c r="G658" s="36" t="n">
        <x:v>5</x:v>
      </x:c>
      <x:c r="H658" s="34" t="str">
        <x:v>firstUndeployThreadEvidenceEarly</x:v>
      </x:c>
      <x:c r="I658" s="36" t="n">
        <x:v>1</x:v>
      </x:c>
      <x:c r="J658" s="34" t="str">
        <x:v>early</x:v>
      </x:c>
      <x:c r="K658" s="36" t="n">
        <x:v>36</x:v>
      </x:c>
      <x:c r="L658" s="51" t="n">
        <x:v>9</x:v>
      </x:c>
      <x:c r="M658" s="51" t="n">
        <x:v>1</x:v>
      </x:c>
      <x:c r="N658" s="36" t="n">
        <x:v>19</x:v>
      </x:c>
      <x:c r="O65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http-nio-8080-exec-52#339 | http-nio-8080-exec-54#343 | JCS-ElementEventQueue-Thread-25#346 | http-nio-8080-exec-57#380 | http-nio-8080-exec-58#381 | http-nio-8080-exec-59#382 | http-nio-8080-exec-60#385 | http-nio-8080-exec-61#386 | JCS-ElementEventQueue-Thread-28#388 | http-nio-8080-exec-62#421 | http-nio-8080-exec-63#422 | http-nio-8080-exec-64#423</x:v>
      </x:c>
      <x:c r="P658" s="36" t="n">
        <x:v>6</x:v>
      </x:c>
      <x:c r="Q658" s="44" t="str">
        <x:v>http-nio-8080-exec-60#385 | http-nio-8080-exec-61#386 | JCS-ElementEventQueue-Thread-28#388 | http-nio-8080-exec-62#421 | http-nio-8080-exec-63#422 | http-nio-8080-exec-64#423</x:v>
      </x:c>
      <x:c r="R658" s="36" t="n">
        <x:v>9</x:v>
      </x:c>
      <x:c r="S658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658" s="36" t="n">
        <x:v>1</x:v>
      </x:c>
      <x:c r="U658" s="44" t="str">
        <x:v>JCS-ElementEventQueue-Thread-28#388</x:v>
      </x:c>
      <x:c r="V658" s="36" t="n">
        <x:v>9</x:v>
      </x:c>
      <x:c r="W658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658" s="34" t="str">
        <x:v>jcs-signature-present</x:v>
      </x:c>
      <x:c r="Y658" s="44" t="str">
        <x:v>automated signatures are JCS-specific; all other candidate application threads remain unattributed and ownership requires the archived full dump</x:v>
      </x:c>
    </x:row>
    <x:row r="659">
      <x:c r="A659" s="34" t="str">
        <x:v>article1-unified-v4-2-fb3f101b-20260903-000401-default-f06-p3-jcs321</x:v>
      </x:c>
      <x:c r="B659" s="34" t="str">
        <x:v>default</x:v>
      </x:c>
      <x:c r="C659" s="34" t="str">
        <x:v>jcs321</x:v>
      </x:c>
      <x:c r="D659" s="36" t="n">
        <x:v>6</x:v>
      </x:c>
      <x:c r="E659" s="36" t="n">
        <x:v>6</x:v>
      </x:c>
      <x:c r="F659" s="36" t="n">
        <x:v>3</x:v>
      </x:c>
      <x:c r="G659" s="36" t="n">
        <x:v>5</x:v>
      </x:c>
      <x:c r="H659" s="34" t="str">
        <x:v>firstUndeployThreadEvidenceFinal</x:v>
      </x:c>
      <x:c r="I659" s="36" t="n">
        <x:v>1</x:v>
      </x:c>
      <x:c r="J659" s="34" t="str">
        <x:v>final</x:v>
      </x:c>
      <x:c r="K659" s="36" t="n">
        <x:v>36</x:v>
      </x:c>
      <x:c r="L659" s="51" t="n">
        <x:v>9</x:v>
      </x:c>
      <x:c r="M659" s="51" t="n">
        <x:v>1</x:v>
      </x:c>
      <x:c r="N659" s="36" t="n">
        <x:v>19</x:v>
      </x:c>
      <x:c r="O65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http-nio-8080-exec-52#339 | JCS-ElementEventQueue-Thread-25#346 | http-nio-8080-exec-57#380 | http-nio-8080-exec-58#381 | http-nio-8080-exec-59#382 | http-nio-8080-exec-60#385 | http-nio-8080-exec-61#386 | JCS-ElementEventQueue-Thread-28#388 | http-nio-8080-exec-62#421 | http-nio-8080-exec-63#422 | http-nio-8080-exec-64#423 | http-nio-8080-exec-65#424</x:v>
      </x:c>
      <x:c r="P659" s="36" t="n">
        <x:v>7</x:v>
      </x:c>
      <x:c r="Q659" s="44" t="str">
        <x:v>http-nio-8080-exec-60#385 | http-nio-8080-exec-61#386 | JCS-ElementEventQueue-Thread-28#388 | http-nio-8080-exec-62#421 | http-nio-8080-exec-63#422 | http-nio-8080-exec-64#423 | http-nio-8080-exec-65#424</x:v>
      </x:c>
      <x:c r="R659" s="36" t="n">
        <x:v>9</x:v>
      </x:c>
      <x:c r="S659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</x:v>
      </x:c>
      <x:c r="T659" s="36" t="n">
        <x:v>1</x:v>
      </x:c>
      <x:c r="U659" s="44" t="str">
        <x:v>JCS-ElementEventQueue-Thread-28#388</x:v>
      </x:c>
      <x:c r="V659" s="36" t="n">
        <x:v>9</x:v>
      </x:c>
      <x:c r="W659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</x:v>
      </x:c>
      <x:c r="X659" s="34" t="str">
        <x:v>jcs-signature-present</x:v>
      </x:c>
      <x:c r="Y659" s="44" t="str">
        <x:v>automated signatures are JCS-specific; all other candidate application threads remain unattributed and ownership requires the archived full dump</x:v>
      </x:c>
    </x:row>
    <x:row r="660">
      <x:c r="A660" s="34" t="str">
        <x:v>article1-unified-v4-2-fb3f101b-20260903-000401-default-f06-p3-jcs321</x:v>
      </x:c>
      <x:c r="B660" s="34" t="str">
        <x:v>default</x:v>
      </x:c>
      <x:c r="C660" s="34" t="str">
        <x:v>jcs321</x:v>
      </x:c>
      <x:c r="D660" s="36" t="n">
        <x:v>6</x:v>
      </x:c>
      <x:c r="E660" s="36" t="n">
        <x:v>6</x:v>
      </x:c>
      <x:c r="F660" s="36" t="n">
        <x:v>3</x:v>
      </x:c>
      <x:c r="G660" s="36" t="n">
        <x:v>5</x:v>
      </x:c>
      <x:c r="H660" s="34" t="str">
        <x:v>finalUndeployThreadEvidenceEarly</x:v>
      </x:c>
      <x:c r="I660" s="36" t="n">
        <x:v>2</x:v>
      </x:c>
      <x:c r="J660" s="34" t="str">
        <x:v>early</x:v>
      </x:c>
      <x:c r="K660" s="36" t="n">
        <x:v>37</x:v>
      </x:c>
      <x:c r="L660" s="51" t="n">
        <x:v>10</x:v>
      </x:c>
      <x:c r="M660" s="51" t="n">
        <x:v>2</x:v>
      </x:c>
      <x:c r="N660" s="36" t="n">
        <x:v>20</x:v>
      </x:c>
      <x:c r="O66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http-nio-8080-exec-52#339 | JCS-ElementEventQueue-Thread-25#346 | http-nio-8080-exec-61#386 | JCS-ElementEventQueue-Thread-28#388 | http-nio-8080-exec-63#422 | http-nio-8080-exec-64#423 | http-nio-8080-exec-66#427 | http-nio-8080-exec-67#428 | http-nio-8080-exec-68#429 | JCS-ElementEventQueue-Thread-31#431 | http-nio-8080-exec-69#464 | http-nio-8080-exec-70#465 | http-nio-8080-exec-71#466</x:v>
      </x:c>
      <x:c r="P660" s="36" t="n">
        <x:v>11</x:v>
      </x:c>
      <x:c r="Q660" s="44" t="str">
        <x:v>http-nio-8080-exec-61#386 | JCS-ElementEventQueue-Thread-28#388 | http-nio-8080-exec-63#422 | http-nio-8080-exec-64#423 | http-nio-8080-exec-66#427 | http-nio-8080-exec-67#428 | http-nio-8080-exec-68#429 | JCS-ElementEventQueue-Thread-31#431 | http-nio-8080-exec-69#464 | http-nio-8080-exec-70#465 | http-nio-8080-exec-71#466</x:v>
      </x:c>
      <x:c r="R660" s="36" t="n">
        <x:v>10</x:v>
      </x:c>
      <x:c r="S660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660" s="36" t="n">
        <x:v>2</x:v>
      </x:c>
      <x:c r="U660" s="44" t="str">
        <x:v>JCS-ElementEventQueue-Thread-28#388 | JCS-ElementEventQueue-Thread-31#431</x:v>
      </x:c>
      <x:c r="V660" s="36" t="n">
        <x:v>10</x:v>
      </x:c>
      <x:c r="W660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660" s="34" t="str">
        <x:v>jcs-signature-present</x:v>
      </x:c>
      <x:c r="Y660" s="44" t="str">
        <x:v>automated signatures are JCS-specific; all other candidate application threads remain unattributed and ownership requires the archived full dump</x:v>
      </x:c>
    </x:row>
    <x:row r="661">
      <x:c r="A661" s="34" t="str">
        <x:v>article1-unified-v4-2-fb3f101b-20260903-000401-default-f06-p3-jcs321</x:v>
      </x:c>
      <x:c r="B661" s="34" t="str">
        <x:v>default</x:v>
      </x:c>
      <x:c r="C661" s="34" t="str">
        <x:v>jcs321</x:v>
      </x:c>
      <x:c r="D661" s="36" t="n">
        <x:v>6</x:v>
      </x:c>
      <x:c r="E661" s="36" t="n">
        <x:v>6</x:v>
      </x:c>
      <x:c r="F661" s="36" t="n">
        <x:v>3</x:v>
      </x:c>
      <x:c r="G661" s="36" t="n">
        <x:v>5</x:v>
      </x:c>
      <x:c r="H661" s="34" t="str">
        <x:v>finalUndeployThreadEvidenceFinal</x:v>
      </x:c>
      <x:c r="I661" s="36" t="n">
        <x:v>2</x:v>
      </x:c>
      <x:c r="J661" s="34" t="str">
        <x:v>final</x:v>
      </x:c>
      <x:c r="K661" s="36" t="n">
        <x:v>37</x:v>
      </x:c>
      <x:c r="L661" s="51" t="n">
        <x:v>10</x:v>
      </x:c>
      <x:c r="M661" s="51" t="n">
        <x:v>2</x:v>
      </x:c>
      <x:c r="N661" s="36" t="n">
        <x:v>20</x:v>
      </x:c>
      <x:c r="O66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http-nio-8080-exec-52#339 | JCS-ElementEventQueue-Thread-25#346 | http-nio-8080-exec-61#386 | JCS-ElementEventQueue-Thread-28#388 | http-nio-8080-exec-63#422 | http-nio-8080-exec-64#423 | http-nio-8080-exec-66#427 | http-nio-8080-exec-67#428 | JCS-ElementEventQueue-Thread-31#431 | http-nio-8080-exec-69#464 | http-nio-8080-exec-70#465 | http-nio-8080-exec-71#466 | http-nio-8080-exec-72#467</x:v>
      </x:c>
      <x:c r="P661" s="36" t="n">
        <x:v>11</x:v>
      </x:c>
      <x:c r="Q661" s="44" t="str">
        <x:v>http-nio-8080-exec-61#386 | JCS-ElementEventQueue-Thread-28#388 | http-nio-8080-exec-63#422 | http-nio-8080-exec-64#423 | http-nio-8080-exec-66#427 | http-nio-8080-exec-67#428 | JCS-ElementEventQueue-Thread-31#431 | http-nio-8080-exec-69#464 | http-nio-8080-exec-70#465 | http-nio-8080-exec-71#466 | http-nio-8080-exec-72#467</x:v>
      </x:c>
      <x:c r="R661" s="36" t="n">
        <x:v>10</x:v>
      </x:c>
      <x:c r="S661" s="44" t="str">
        <x:v>JCS-ElementEventQueue-Thread-4#49 | JCS-ElementEventQueue-Thread-7#91 | JCS-ElementEventQueue-Thread-10#133 | JCS-ElementEventQueue-Thread-13#176 | JCS-ElementEventQueue-Thread-16#218 | JCS-ElementEventQueue-Thread-19#261 | JCS-ElementEventQueue-Thread-22#303 | JCS-ElementEventQueue-Thread-25#346 | JCS-ElementEventQueue-Thread-28#388 | JCS-ElementEventQueue-Thread-31#431</x:v>
      </x:c>
      <x:c r="T661" s="36" t="n">
        <x:v>2</x:v>
      </x:c>
      <x:c r="U661" s="44" t="str">
        <x:v>JCS-ElementEventQueue-Thread-28#388 | JCS-ElementEventQueue-Thread-31#431</x:v>
      </x:c>
      <x:c r="V661" s="36" t="n">
        <x:v>10</x:v>
      </x:c>
      <x:c r="W661" s="44" t="str">
        <x:v>jcs3-element-event-queue:JCS-ElementEventQueue-Thread-4#49 | jcs3-element-event-queue:JCS-ElementEventQueue-Thread-7#91 | jcs3-element-event-queue:JCS-ElementEventQueue-Thread-10#133 | jcs3-element-event-queue:JCS-ElementEventQueue-Thread-13#176 | jcs3-element-event-queue:JCS-ElementEventQueue-Thread-16#218 | jcs3-element-event-queue:JCS-ElementEventQueue-Thread-19#261 | jcs3-element-event-queue:JCS-ElementEventQueue-Thread-22#303 | jcs3-element-event-queue:JCS-ElementEventQueue-Thread-25#346 | jcs3-element-event-queue:JCS-ElementEventQueue-Thread-28#388 | jcs3-element-event-queue:JCS-ElementEventQueue-Thread-31#431</x:v>
      </x:c>
      <x:c r="X661" s="34" t="str">
        <x:v>jcs-signature-present</x:v>
      </x:c>
      <x:c r="Y661" s="44" t="str">
        <x:v>automated signatures are JCS-specific; all other candidate application threads remain unattributed and ownership requires the archived full dump</x:v>
      </x:c>
    </x:row>
    <x:row r="662">
      <x:c r="A662" s="34" t="str">
        <x:v>article1-unified-v4-2-fb3f101b-20260903-000401-default-f06-p4-ehcache</x:v>
      </x:c>
      <x:c r="B662" s="34" t="str">
        <x:v>default</x:v>
      </x:c>
      <x:c r="C662" s="34" t="str">
        <x:v>ehcache</x:v>
      </x:c>
      <x:c r="D662" s="36" t="n">
        <x:v>6</x:v>
      </x:c>
      <x:c r="E662" s="36" t="n">
        <x:v>6</x:v>
      </x:c>
      <x:c r="F662" s="36" t="n">
        <x:v>4</x:v>
      </x:c>
      <x:c r="G662" s="36" t="n">
        <x:v>1</x:v>
      </x:c>
      <x:c r="H662" s="34" t="str">
        <x:v>firstUndeployThreadEvidenceEarly</x:v>
      </x:c>
      <x:c r="I662" s="36" t="n">
        <x:v>1</x:v>
      </x:c>
      <x:c r="J662" s="34" t="str">
        <x:v>early</x:v>
      </x:c>
      <x:c r="K662" s="36" t="n">
        <x:v>27</x:v>
      </x:c>
      <x:c r="L662" s="51" t="n">
        <x:v>0</x:v>
      </x:c>
      <x:c r="M662" s="51" t="n">
        <x:v>0</x:v>
      </x:c>
      <x:c r="N662" s="36" t="n">
        <x:v>2</x:v>
      </x:c>
      <x:c r="O662" s="44" t="str">
        <x:v>http-nio-8080-exec-11#80 | http-nio-8080-exec-12#81</x:v>
      </x:c>
      <x:c r="P662" s="36" t="n">
        <x:v>2</x:v>
      </x:c>
      <x:c r="Q662" s="44" t="str">
        <x:v>http-nio-8080-exec-11#80 | http-nio-8080-exec-12#81</x:v>
      </x:c>
      <x:c r="R662" s="36" t="n">
        <x:v>0</x:v>
      </x:c>
      <x:c r="S662" s="44"/>
      <x:c r="T662" s="36" t="n">
        <x:v>0</x:v>
      </x:c>
      <x:c r="U662" s="44"/>
      <x:c r="V662" s="36" t="n">
        <x:v>0</x:v>
      </x:c>
      <x:c r="W662" s="44"/>
      <x:c r="X662" s="34" t="str">
        <x:v>no-post-undeploy-thread-signal</x:v>
      </x:c>
      <x:c r="Y662" s="44" t="str">
        <x:v>automated signatures are JCS-specific; all other candidate application threads remain unattributed and ownership requires the archived full dump</x:v>
      </x:c>
    </x:row>
    <x:row r="663">
      <x:c r="A663" s="34" t="str">
        <x:v>article1-unified-v4-2-fb3f101b-20260903-000401-default-f06-p4-ehcache</x:v>
      </x:c>
      <x:c r="B663" s="34" t="str">
        <x:v>default</x:v>
      </x:c>
      <x:c r="C663" s="34" t="str">
        <x:v>ehcache</x:v>
      </x:c>
      <x:c r="D663" s="36" t="n">
        <x:v>6</x:v>
      </x:c>
      <x:c r="E663" s="36" t="n">
        <x:v>6</x:v>
      </x:c>
      <x:c r="F663" s="36" t="n">
        <x:v>4</x:v>
      </x:c>
      <x:c r="G663" s="36" t="n">
        <x:v>1</x:v>
      </x:c>
      <x:c r="H663" s="34" t="str">
        <x:v>firstUndeployThreadEvidenceFinal</x:v>
      </x:c>
      <x:c r="I663" s="36" t="n">
        <x:v>1</x:v>
      </x:c>
      <x:c r="J663" s="34" t="str">
        <x:v>final</x:v>
      </x:c>
      <x:c r="K663" s="36" t="n">
        <x:v>27</x:v>
      </x:c>
      <x:c r="L663" s="51" t="n">
        <x:v>0</x:v>
      </x:c>
      <x:c r="M663" s="51" t="n">
        <x:v>0</x:v>
      </x:c>
      <x:c r="N663" s="36" t="n">
        <x:v>3</x:v>
      </x:c>
      <x:c r="O663" s="44" t="str">
        <x:v>http-nio-8080-exec-11#80 | http-nio-8080-exec-12#81 | http-nio-8080-exec-13#82</x:v>
      </x:c>
      <x:c r="P663" s="36" t="n">
        <x:v>3</x:v>
      </x:c>
      <x:c r="Q663" s="44" t="str">
        <x:v>http-nio-8080-exec-11#80 | http-nio-8080-exec-12#81 | http-nio-8080-exec-13#82</x:v>
      </x:c>
      <x:c r="R663" s="36" t="n">
        <x:v>0</x:v>
      </x:c>
      <x:c r="S663" s="44"/>
      <x:c r="T663" s="36" t="n">
        <x:v>0</x:v>
      </x:c>
      <x:c r="U663" s="44"/>
      <x:c r="V663" s="36" t="n">
        <x:v>0</x:v>
      </x:c>
      <x:c r="W663" s="44"/>
      <x:c r="X663" s="34" t="str">
        <x:v>no-post-undeploy-thread-signal</x:v>
      </x:c>
      <x:c r="Y663" s="44" t="str">
        <x:v>automated signatures are JCS-specific; all other candidate application threads remain unattributed and ownership requires the archived full dump</x:v>
      </x:c>
    </x:row>
    <x:row r="664">
      <x:c r="A664" s="34" t="str">
        <x:v>article1-unified-v4-2-fb3f101b-20260903-000401-default-f06-p4-ehcache</x:v>
      </x:c>
      <x:c r="B664" s="34" t="str">
        <x:v>default</x:v>
      </x:c>
      <x:c r="C664" s="34" t="str">
        <x:v>ehcache</x:v>
      </x:c>
      <x:c r="D664" s="36" t="n">
        <x:v>6</x:v>
      </x:c>
      <x:c r="E664" s="36" t="n">
        <x:v>6</x:v>
      </x:c>
      <x:c r="F664" s="36" t="n">
        <x:v>4</x:v>
      </x:c>
      <x:c r="G664" s="36" t="n">
        <x:v>1</x:v>
      </x:c>
      <x:c r="H664" s="34" t="str">
        <x:v>finalUndeployThreadEvidenceEarly</x:v>
      </x:c>
      <x:c r="I664" s="36" t="n">
        <x:v>2</x:v>
      </x:c>
      <x:c r="J664" s="34" t="str">
        <x:v>early</x:v>
      </x:c>
      <x:c r="K664" s="36" t="n">
        <x:v>27</x:v>
      </x:c>
      <x:c r="L664" s="51" t="n">
        <x:v>0</x:v>
      </x:c>
      <x:c r="M664" s="51" t="n">
        <x:v>0</x:v>
      </x:c>
      <x:c r="N664" s="36" t="n">
        <x:v>8</x:v>
      </x:c>
      <x:c r="O664" s="44" t="str">
        <x:v>http-nio-8080-exec-11#80 | http-nio-8080-exec-12#81 | http-nio-8080-exec-13#82 | http-nio-8080-exec-15#86 | http-nio-8080-exec-16#87 | http-nio-8080-exec-17#120 | http-nio-8080-exec-18#121 | http-nio-8080-exec-19#122</x:v>
      </x:c>
      <x:c r="P664" s="36" t="n">
        <x:v>8</x:v>
      </x:c>
      <x:c r="Q664" s="44" t="str">
        <x:v>http-nio-8080-exec-11#80 | http-nio-8080-exec-12#81 | http-nio-8080-exec-13#82 | http-nio-8080-exec-15#86 | http-nio-8080-exec-16#87 | http-nio-8080-exec-17#120 | http-nio-8080-exec-18#121 | http-nio-8080-exec-19#122</x:v>
      </x:c>
      <x:c r="R664" s="36" t="n">
        <x:v>0</x:v>
      </x:c>
      <x:c r="S664" s="44"/>
      <x:c r="T664" s="36" t="n">
        <x:v>0</x:v>
      </x:c>
      <x:c r="U664" s="44"/>
      <x:c r="V664" s="36" t="n">
        <x:v>0</x:v>
      </x:c>
      <x:c r="W664" s="44"/>
      <x:c r="X664" s="34" t="str">
        <x:v>no-post-undeploy-thread-signal</x:v>
      </x:c>
      <x:c r="Y664" s="44" t="str">
        <x:v>automated signatures are JCS-specific; all other candidate application threads remain unattributed and ownership requires the archived full dump</x:v>
      </x:c>
    </x:row>
    <x:row r="665">
      <x:c r="A665" s="34" t="str">
        <x:v>article1-unified-v4-2-fb3f101b-20260903-000401-default-f06-p4-ehcache</x:v>
      </x:c>
      <x:c r="B665" s="34" t="str">
        <x:v>default</x:v>
      </x:c>
      <x:c r="C665" s="34" t="str">
        <x:v>ehcache</x:v>
      </x:c>
      <x:c r="D665" s="36" t="n">
        <x:v>6</x:v>
      </x:c>
      <x:c r="E665" s="36" t="n">
        <x:v>6</x:v>
      </x:c>
      <x:c r="F665" s="36" t="n">
        <x:v>4</x:v>
      </x:c>
      <x:c r="G665" s="36" t="n">
        <x:v>1</x:v>
      </x:c>
      <x:c r="H665" s="34" t="str">
        <x:v>finalUndeployThreadEvidenceFinal</x:v>
      </x:c>
      <x:c r="I665" s="36" t="n">
        <x:v>2</x:v>
      </x:c>
      <x:c r="J665" s="34" t="str">
        <x:v>final</x:v>
      </x:c>
      <x:c r="K665" s="36" t="n">
        <x:v>27</x:v>
      </x:c>
      <x:c r="L665" s="51" t="n">
        <x:v>0</x:v>
      </x:c>
      <x:c r="M665" s="51" t="n">
        <x:v>0</x:v>
      </x:c>
      <x:c r="N665" s="36" t="n">
        <x:v>8</x:v>
      </x:c>
      <x:c r="O665" s="44" t="str">
        <x:v>http-nio-8080-exec-11#80 | http-nio-8080-exec-13#82 | http-nio-8080-exec-15#86 | http-nio-8080-exec-16#87 | http-nio-8080-exec-17#120 | http-nio-8080-exec-18#121 | http-nio-8080-exec-19#122 | http-nio-8080-exec-20#123</x:v>
      </x:c>
      <x:c r="P665" s="36" t="n">
        <x:v>8</x:v>
      </x:c>
      <x:c r="Q665" s="44" t="str">
        <x:v>http-nio-8080-exec-11#80 | http-nio-8080-exec-13#82 | http-nio-8080-exec-15#86 | http-nio-8080-exec-16#87 | http-nio-8080-exec-17#120 | http-nio-8080-exec-18#121 | http-nio-8080-exec-19#122 | http-nio-8080-exec-20#123</x:v>
      </x:c>
      <x:c r="R665" s="36" t="n">
        <x:v>0</x:v>
      </x:c>
      <x:c r="S665" s="44"/>
      <x:c r="T665" s="36" t="n">
        <x:v>0</x:v>
      </x:c>
      <x:c r="U665" s="44"/>
      <x:c r="V665" s="36" t="n">
        <x:v>0</x:v>
      </x:c>
      <x:c r="W665" s="44"/>
      <x:c r="X665" s="34" t="str">
        <x:v>no-post-undeploy-thread-signal</x:v>
      </x:c>
      <x:c r="Y665" s="44" t="str">
        <x:v>automated signatures are JCS-specific; all other candidate application threads remain unattributed and ownership requires the archived full dump</x:v>
      </x:c>
    </x:row>
    <x:row r="666">
      <x:c r="A666" s="34" t="str">
        <x:v>article1-unified-v4-2-fb3f101b-20260903-000401-default-f06-p4-ehcache</x:v>
      </x:c>
      <x:c r="B666" s="34" t="str">
        <x:v>default</x:v>
      </x:c>
      <x:c r="C666" s="34" t="str">
        <x:v>ehcache</x:v>
      </x:c>
      <x:c r="D666" s="36" t="n">
        <x:v>6</x:v>
      </x:c>
      <x:c r="E666" s="36" t="n">
        <x:v>6</x:v>
      </x:c>
      <x:c r="F666" s="36" t="n">
        <x:v>4</x:v>
      </x:c>
      <x:c r="G666" s="36" t="n">
        <x:v>2</x:v>
      </x:c>
      <x:c r="H666" s="34" t="str">
        <x:v>firstUndeployThreadEvidenceEarly</x:v>
      </x:c>
      <x:c r="I666" s="36" t="n">
        <x:v>1</x:v>
      </x:c>
      <x:c r="J666" s="34" t="str">
        <x:v>early</x:v>
      </x:c>
      <x:c r="K666" s="36" t="n">
        <x:v>27</x:v>
      </x:c>
      <x:c r="L666" s="51" t="n">
        <x:v>0</x:v>
      </x:c>
      <x:c r="M666" s="51" t="n">
        <x:v>0</x:v>
      </x:c>
      <x:c r="N666" s="36" t="n">
        <x:v>9</x:v>
      </x:c>
      <x:c r="O666" s="44" t="str">
        <x:v>http-nio-8080-exec-11#80 | http-nio-8080-exec-13#82 | http-nio-8080-exec-18#121 | http-nio-8080-exec-19#122 | http-nio-8080-exec-20#123 | http-nio-8080-exec-21#126 | http-nio-8080-exec-22#127 | http-nio-8080-exec-24#161 | http-nio-8080-exec-25#162</x:v>
      </x:c>
      <x:c r="P666" s="36" t="n">
        <x:v>4</x:v>
      </x:c>
      <x:c r="Q666" s="44" t="str">
        <x:v>http-nio-8080-exec-21#126 | http-nio-8080-exec-22#127 | http-nio-8080-exec-24#161 | http-nio-8080-exec-25#162</x:v>
      </x:c>
      <x:c r="R666" s="36" t="n">
        <x:v>0</x:v>
      </x:c>
      <x:c r="S666" s="44"/>
      <x:c r="T666" s="36" t="n">
        <x:v>0</x:v>
      </x:c>
      <x:c r="U666" s="44"/>
      <x:c r="V666" s="36" t="n">
        <x:v>0</x:v>
      </x:c>
      <x:c r="W666" s="44"/>
      <x:c r="X666" s="34" t="str">
        <x:v>no-post-undeploy-thread-signal</x:v>
      </x:c>
      <x:c r="Y666" s="44" t="str">
        <x:v>automated signatures are JCS-specific; all other candidate application threads remain unattributed and ownership requires the archived full dump</x:v>
      </x:c>
    </x:row>
    <x:row r="667">
      <x:c r="A667" s="34" t="str">
        <x:v>article1-unified-v4-2-fb3f101b-20260903-000401-default-f06-p4-ehcache</x:v>
      </x:c>
      <x:c r="B667" s="34" t="str">
        <x:v>default</x:v>
      </x:c>
      <x:c r="C667" s="34" t="str">
        <x:v>ehcache</x:v>
      </x:c>
      <x:c r="D667" s="36" t="n">
        <x:v>6</x:v>
      </x:c>
      <x:c r="E667" s="36" t="n">
        <x:v>6</x:v>
      </x:c>
      <x:c r="F667" s="36" t="n">
        <x:v>4</x:v>
      </x:c>
      <x:c r="G667" s="36" t="n">
        <x:v>2</x:v>
      </x:c>
      <x:c r="H667" s="34" t="str">
        <x:v>firstUndeployThreadEvidenceFinal</x:v>
      </x:c>
      <x:c r="I667" s="36" t="n">
        <x:v>1</x:v>
      </x:c>
      <x:c r="J667" s="34" t="str">
        <x:v>final</x:v>
      </x:c>
      <x:c r="K667" s="36" t="n">
        <x:v>27</x:v>
      </x:c>
      <x:c r="L667" s="51" t="n">
        <x:v>0</x:v>
      </x:c>
      <x:c r="M667" s="51" t="n">
        <x:v>0</x:v>
      </x:c>
      <x:c r="N667" s="36" t="n">
        <x:v>9</x:v>
      </x:c>
      <x:c r="O667" s="44" t="str">
        <x:v>http-nio-8080-exec-11#80 | http-nio-8080-exec-18#121 | http-nio-8080-exec-19#122 | http-nio-8080-exec-20#123 | http-nio-8080-exec-21#126 | http-nio-8080-exec-22#127 | http-nio-8080-exec-24#161 | http-nio-8080-exec-25#162 | http-nio-8080-exec-26#163</x:v>
      </x:c>
      <x:c r="P667" s="36" t="n">
        <x:v>5</x:v>
      </x:c>
      <x:c r="Q667" s="44" t="str">
        <x:v>http-nio-8080-exec-21#126 | http-nio-8080-exec-22#127 | http-nio-8080-exec-24#161 | http-nio-8080-exec-25#162 | http-nio-8080-exec-26#163</x:v>
      </x:c>
      <x:c r="R667" s="36" t="n">
        <x:v>0</x:v>
      </x:c>
      <x:c r="S667" s="44"/>
      <x:c r="T667" s="36" t="n">
        <x:v>0</x:v>
      </x:c>
      <x:c r="U667" s="44"/>
      <x:c r="V667" s="36" t="n">
        <x:v>0</x:v>
      </x:c>
      <x:c r="W667" s="44"/>
      <x:c r="X667" s="34" t="str">
        <x:v>no-post-undeploy-thread-signal</x:v>
      </x:c>
      <x:c r="Y667" s="44" t="str">
        <x:v>automated signatures are JCS-specific; all other candidate application threads remain unattributed and ownership requires the archived full dump</x:v>
      </x:c>
    </x:row>
    <x:row r="668">
      <x:c r="A668" s="34" t="str">
        <x:v>article1-unified-v4-2-fb3f101b-20260903-000401-default-f06-p4-ehcache</x:v>
      </x:c>
      <x:c r="B668" s="34" t="str">
        <x:v>default</x:v>
      </x:c>
      <x:c r="C668" s="34" t="str">
        <x:v>ehcache</x:v>
      </x:c>
      <x:c r="D668" s="36" t="n">
        <x:v>6</x:v>
      </x:c>
      <x:c r="E668" s="36" t="n">
        <x:v>6</x:v>
      </x:c>
      <x:c r="F668" s="36" t="n">
        <x:v>4</x:v>
      </x:c>
      <x:c r="G668" s="36" t="n">
        <x:v>2</x:v>
      </x:c>
      <x:c r="H668" s="34" t="str">
        <x:v>finalUndeployThreadEvidenceEarly</x:v>
      </x:c>
      <x:c r="I668" s="36" t="n">
        <x:v>2</x:v>
      </x:c>
      <x:c r="J668" s="34" t="str">
        <x:v>early</x:v>
      </x:c>
      <x:c r="K668" s="36" t="n">
        <x:v>27</x:v>
      </x:c>
      <x:c r="L668" s="51" t="n">
        <x:v>0</x:v>
      </x:c>
      <x:c r="M668" s="51" t="n">
        <x:v>0</x:v>
      </x:c>
      <x:c r="N668" s="36" t="n">
        <x:v>10</x:v>
      </x:c>
      <x:c r="O668" s="44" t="str">
        <x:v>http-nio-8080-exec-20#123 | http-nio-8080-exec-22#127 | http-nio-8080-exec-24#161 | http-nio-8080-exec-25#162 | http-nio-8080-exec-26#163 | http-nio-8080-exec-28#167 | http-nio-8080-exec-29#168 | http-nio-8080-exec-30#201 | http-nio-8080-exec-31#202 | http-nio-8080-exec-32#203</x:v>
      </x:c>
      <x:c r="P668" s="36" t="n">
        <x:v>9</x:v>
      </x:c>
      <x:c r="Q668" s="44" t="str">
        <x:v>http-nio-8080-exec-22#127 | http-nio-8080-exec-24#161 | http-nio-8080-exec-25#162 | http-nio-8080-exec-26#163 | http-nio-8080-exec-28#167 | http-nio-8080-exec-29#168 | http-nio-8080-exec-30#201 | http-nio-8080-exec-31#202 | http-nio-8080-exec-32#203</x:v>
      </x:c>
      <x:c r="R668" s="36" t="n">
        <x:v>0</x:v>
      </x:c>
      <x:c r="S668" s="44"/>
      <x:c r="T668" s="36" t="n">
        <x:v>0</x:v>
      </x:c>
      <x:c r="U668" s="44"/>
      <x:c r="V668" s="36" t="n">
        <x:v>0</x:v>
      </x:c>
      <x:c r="W668" s="44"/>
      <x:c r="X668" s="34" t="str">
        <x:v>no-post-undeploy-thread-signal</x:v>
      </x:c>
      <x:c r="Y668" s="44" t="str">
        <x:v>automated signatures are JCS-specific; all other candidate application threads remain unattributed and ownership requires the archived full dump</x:v>
      </x:c>
    </x:row>
    <x:row r="669">
      <x:c r="A669" s="34" t="str">
        <x:v>article1-unified-v4-2-fb3f101b-20260903-000401-default-f06-p4-ehcache</x:v>
      </x:c>
      <x:c r="B669" s="34" t="str">
        <x:v>default</x:v>
      </x:c>
      <x:c r="C669" s="34" t="str">
        <x:v>ehcache</x:v>
      </x:c>
      <x:c r="D669" s="36" t="n">
        <x:v>6</x:v>
      </x:c>
      <x:c r="E669" s="36" t="n">
        <x:v>6</x:v>
      </x:c>
      <x:c r="F669" s="36" t="n">
        <x:v>4</x:v>
      </x:c>
      <x:c r="G669" s="36" t="n">
        <x:v>2</x:v>
      </x:c>
      <x:c r="H669" s="34" t="str">
        <x:v>finalUndeployThreadEvidenceFinal</x:v>
      </x:c>
      <x:c r="I669" s="36" t="n">
        <x:v>2</x:v>
      </x:c>
      <x:c r="J669" s="34" t="str">
        <x:v>final</x:v>
      </x:c>
      <x:c r="K669" s="36" t="n">
        <x:v>27</x:v>
      </x:c>
      <x:c r="L669" s="51" t="n">
        <x:v>0</x:v>
      </x:c>
      <x:c r="M669" s="51" t="n">
        <x:v>0</x:v>
      </x:c>
      <x:c r="N669" s="36" t="n">
        <x:v>10</x:v>
      </x:c>
      <x:c r="O669" s="44" t="str">
        <x:v>http-nio-8080-exec-20#123 | http-nio-8080-exec-22#127 | http-nio-8080-exec-24#161 | http-nio-8080-exec-26#163 | http-nio-8080-exec-28#167 | http-nio-8080-exec-29#168 | http-nio-8080-exec-30#201 | http-nio-8080-exec-31#202 | http-nio-8080-exec-32#203 | http-nio-8080-exec-33#204</x:v>
      </x:c>
      <x:c r="P669" s="36" t="n">
        <x:v>9</x:v>
      </x:c>
      <x:c r="Q669" s="44" t="str">
        <x:v>http-nio-8080-exec-22#127 | http-nio-8080-exec-24#161 | http-nio-8080-exec-26#163 | http-nio-8080-exec-28#167 | http-nio-8080-exec-29#168 | http-nio-8080-exec-30#201 | http-nio-8080-exec-31#202 | http-nio-8080-exec-32#203 | http-nio-8080-exec-33#204</x:v>
      </x:c>
      <x:c r="R669" s="36" t="n">
        <x:v>0</x:v>
      </x:c>
      <x:c r="S669" s="44"/>
      <x:c r="T669" s="36" t="n">
        <x:v>0</x:v>
      </x:c>
      <x:c r="U669" s="44"/>
      <x:c r="V669" s="36" t="n">
        <x:v>0</x:v>
      </x:c>
      <x:c r="W669" s="44"/>
      <x:c r="X669" s="34" t="str">
        <x:v>no-post-undeploy-thread-signal</x:v>
      </x:c>
      <x:c r="Y669" s="44" t="str">
        <x:v>automated signatures are JCS-specific; all other candidate application threads remain unattributed and ownership requires the archived full dump</x:v>
      </x:c>
    </x:row>
    <x:row r="670">
      <x:c r="A670" s="34" t="str">
        <x:v>article1-unified-v4-2-fb3f101b-20260903-000401-default-f06-p4-ehcache</x:v>
      </x:c>
      <x:c r="B670" s="34" t="str">
        <x:v>default</x:v>
      </x:c>
      <x:c r="C670" s="34" t="str">
        <x:v>ehcache</x:v>
      </x:c>
      <x:c r="D670" s="36" t="n">
        <x:v>6</x:v>
      </x:c>
      <x:c r="E670" s="36" t="n">
        <x:v>6</x:v>
      </x:c>
      <x:c r="F670" s="36" t="n">
        <x:v>4</x:v>
      </x:c>
      <x:c r="G670" s="36" t="n">
        <x:v>3</x:v>
      </x:c>
      <x:c r="H670" s="34" t="str">
        <x:v>firstUndeployThreadEvidenceEarly</x:v>
      </x:c>
      <x:c r="I670" s="36" t="n">
        <x:v>1</x:v>
      </x:c>
      <x:c r="J670" s="34" t="str">
        <x:v>early</x:v>
      </x:c>
      <x:c r="K670" s="36" t="n">
        <x:v>27</x:v>
      </x:c>
      <x:c r="L670" s="51" t="n">
        <x:v>0</x:v>
      </x:c>
      <x:c r="M670" s="51" t="n">
        <x:v>0</x:v>
      </x:c>
      <x:c r="N670" s="36" t="n">
        <x:v>10</x:v>
      </x:c>
      <x:c r="O670" s="44" t="str">
        <x:v>http-nio-8080-exec-20#123 | http-nio-8080-exec-22#127 | http-nio-8080-exec-24#161 | http-nio-8080-exec-31#202 | http-nio-8080-exec-33#204 | http-nio-8080-exec-34#207 | http-nio-8080-exec-35#208 | http-nio-8080-exec-36#241 | http-nio-8080-exec-37#242 | http-nio-8080-exec-38#243</x:v>
      </x:c>
      <x:c r="P670" s="36" t="n">
        <x:v>5</x:v>
      </x:c>
      <x:c r="Q670" s="44" t="str">
        <x:v>http-nio-8080-exec-34#207 | http-nio-8080-exec-35#208 | http-nio-8080-exec-36#241 | http-nio-8080-exec-37#242 | http-nio-8080-exec-38#243</x:v>
      </x:c>
      <x:c r="R670" s="36" t="n">
        <x:v>0</x:v>
      </x:c>
      <x:c r="S670" s="44"/>
      <x:c r="T670" s="36" t="n">
        <x:v>0</x:v>
      </x:c>
      <x:c r="U670" s="44"/>
      <x:c r="V670" s="36" t="n">
        <x:v>0</x:v>
      </x:c>
      <x:c r="W670" s="44"/>
      <x:c r="X670" s="34" t="str">
        <x:v>no-post-undeploy-thread-signal</x:v>
      </x:c>
      <x:c r="Y670" s="44" t="str">
        <x:v>automated signatures are JCS-specific; all other candidate application threads remain unattributed and ownership requires the archived full dump</x:v>
      </x:c>
    </x:row>
    <x:row r="671">
      <x:c r="A671" s="34" t="str">
        <x:v>article1-unified-v4-2-fb3f101b-20260903-000401-default-f06-p4-ehcache</x:v>
      </x:c>
      <x:c r="B671" s="34" t="str">
        <x:v>default</x:v>
      </x:c>
      <x:c r="C671" s="34" t="str">
        <x:v>ehcache</x:v>
      </x:c>
      <x:c r="D671" s="36" t="n">
        <x:v>6</x:v>
      </x:c>
      <x:c r="E671" s="36" t="n">
        <x:v>6</x:v>
      </x:c>
      <x:c r="F671" s="36" t="n">
        <x:v>4</x:v>
      </x:c>
      <x:c r="G671" s="36" t="n">
        <x:v>3</x:v>
      </x:c>
      <x:c r="H671" s="34" t="str">
        <x:v>firstUndeployThreadEvidenceFinal</x:v>
      </x:c>
      <x:c r="I671" s="36" t="n">
        <x:v>1</x:v>
      </x:c>
      <x:c r="J671" s="34" t="str">
        <x:v>final</x:v>
      </x:c>
      <x:c r="K671" s="36" t="n">
        <x:v>27</x:v>
      </x:c>
      <x:c r="L671" s="51" t="n">
        <x:v>0</x:v>
      </x:c>
      <x:c r="M671" s="51" t="n">
        <x:v>0</x:v>
      </x:c>
      <x:c r="N671" s="36" t="n">
        <x:v>10</x:v>
      </x:c>
      <x:c r="O671" s="44" t="str">
        <x:v>http-nio-8080-exec-20#123 | http-nio-8080-exec-22#127 | http-nio-8080-exec-24#161 | http-nio-8080-exec-31#202 | http-nio-8080-exec-33#204 | http-nio-8080-exec-34#207 | http-nio-8080-exec-36#241 | http-nio-8080-exec-37#242 | http-nio-8080-exec-38#243 | http-nio-8080-exec-39#244</x:v>
      </x:c>
      <x:c r="P671" s="36" t="n">
        <x:v>5</x:v>
      </x:c>
      <x:c r="Q671" s="44" t="str">
        <x:v>http-nio-8080-exec-34#207 | http-nio-8080-exec-36#241 | http-nio-8080-exec-37#242 | http-nio-8080-exec-38#243 | http-nio-8080-exec-39#244</x:v>
      </x:c>
      <x:c r="R671" s="36" t="n">
        <x:v>0</x:v>
      </x:c>
      <x:c r="S671" s="44"/>
      <x:c r="T671" s="36" t="n">
        <x:v>0</x:v>
      </x:c>
      <x:c r="U671" s="44"/>
      <x:c r="V671" s="36" t="n">
        <x:v>0</x:v>
      </x:c>
      <x:c r="W671" s="44"/>
      <x:c r="X671" s="34" t="str">
        <x:v>no-post-undeploy-thread-signal</x:v>
      </x:c>
      <x:c r="Y671" s="44" t="str">
        <x:v>automated signatures are JCS-specific; all other candidate application threads remain unattributed and ownership requires the archived full dump</x:v>
      </x:c>
    </x:row>
    <x:row r="672">
      <x:c r="A672" s="34" t="str">
        <x:v>article1-unified-v4-2-fb3f101b-20260903-000401-default-f06-p4-ehcache</x:v>
      </x:c>
      <x:c r="B672" s="34" t="str">
        <x:v>default</x:v>
      </x:c>
      <x:c r="C672" s="34" t="str">
        <x:v>ehcache</x:v>
      </x:c>
      <x:c r="D672" s="36" t="n">
        <x:v>6</x:v>
      </x:c>
      <x:c r="E672" s="36" t="n">
        <x:v>6</x:v>
      </x:c>
      <x:c r="F672" s="36" t="n">
        <x:v>4</x:v>
      </x:c>
      <x:c r="G672" s="36" t="n">
        <x:v>3</x:v>
      </x:c>
      <x:c r="H672" s="34" t="str">
        <x:v>finalUndeployThreadEvidenceEarly</x:v>
      </x:c>
      <x:c r="I672" s="36" t="n">
        <x:v>2</x:v>
      </x:c>
      <x:c r="J672" s="34" t="str">
        <x:v>early</x:v>
      </x:c>
      <x:c r="K672" s="36" t="n">
        <x:v>27</x:v>
      </x:c>
      <x:c r="L672" s="51" t="n">
        <x:v>0</x:v>
      </x:c>
      <x:c r="M672" s="51" t="n">
        <x:v>0</x:v>
      </x:c>
      <x:c r="N672" s="36" t="n">
        <x:v>10</x:v>
      </x:c>
      <x:c r="O672" s="44" t="str">
        <x:v>http-nio-8080-exec-22#127 | http-nio-8080-exec-36#241 | http-nio-8080-exec-37#242 | http-nio-8080-exec-38#243 | http-nio-8080-exec-39#244 | http-nio-8080-exec-41#248 | http-nio-8080-exec-42#249 | http-nio-8080-exec-43#282 | http-nio-8080-exec-44#283 | http-nio-8080-exec-45#284</x:v>
      </x:c>
      <x:c r="P672" s="36" t="n">
        <x:v>9</x:v>
      </x:c>
      <x:c r="Q672" s="44" t="str">
        <x:v>http-nio-8080-exec-36#241 | http-nio-8080-exec-37#242 | http-nio-8080-exec-38#243 | http-nio-8080-exec-39#244 | http-nio-8080-exec-41#248 | http-nio-8080-exec-42#249 | http-nio-8080-exec-43#282 | http-nio-8080-exec-44#283 | http-nio-8080-exec-45#284</x:v>
      </x:c>
      <x:c r="R672" s="36" t="n">
        <x:v>0</x:v>
      </x:c>
      <x:c r="S672" s="44"/>
      <x:c r="T672" s="36" t="n">
        <x:v>0</x:v>
      </x:c>
      <x:c r="U672" s="44"/>
      <x:c r="V672" s="36" t="n">
        <x:v>0</x:v>
      </x:c>
      <x:c r="W672" s="44"/>
      <x:c r="X672" s="34" t="str">
        <x:v>no-post-undeploy-thread-signal</x:v>
      </x:c>
      <x:c r="Y672" s="44" t="str">
        <x:v>automated signatures are JCS-specific; all other candidate application threads remain unattributed and ownership requires the archived full dump</x:v>
      </x:c>
    </x:row>
    <x:row r="673">
      <x:c r="A673" s="34" t="str">
        <x:v>article1-unified-v4-2-fb3f101b-20260903-000401-default-f06-p4-ehcache</x:v>
      </x:c>
      <x:c r="B673" s="34" t="str">
        <x:v>default</x:v>
      </x:c>
      <x:c r="C673" s="34" t="str">
        <x:v>ehcache</x:v>
      </x:c>
      <x:c r="D673" s="36" t="n">
        <x:v>6</x:v>
      </x:c>
      <x:c r="E673" s="36" t="n">
        <x:v>6</x:v>
      </x:c>
      <x:c r="F673" s="36" t="n">
        <x:v>4</x:v>
      </x:c>
      <x:c r="G673" s="36" t="n">
        <x:v>3</x:v>
      </x:c>
      <x:c r="H673" s="34" t="str">
        <x:v>finalUndeployThreadEvidenceFinal</x:v>
      </x:c>
      <x:c r="I673" s="36" t="n">
        <x:v>2</x:v>
      </x:c>
      <x:c r="J673" s="34" t="str">
        <x:v>final</x:v>
      </x:c>
      <x:c r="K673" s="36" t="n">
        <x:v>27</x:v>
      </x:c>
      <x:c r="L673" s="51" t="n">
        <x:v>0</x:v>
      </x:c>
      <x:c r="M673" s="51" t="n">
        <x:v>0</x:v>
      </x:c>
      <x:c r="N673" s="36" t="n">
        <x:v>10</x:v>
      </x:c>
      <x:c r="O673" s="44" t="str">
        <x:v>http-nio-8080-exec-22#127 | http-nio-8080-exec-36#241 | http-nio-8080-exec-38#243 | http-nio-8080-exec-39#244 | http-nio-8080-exec-41#248 | http-nio-8080-exec-42#249 | http-nio-8080-exec-43#282 | http-nio-8080-exec-44#283 | http-nio-8080-exec-45#284 | http-nio-8080-exec-46#285</x:v>
      </x:c>
      <x:c r="P673" s="36" t="n">
        <x:v>9</x:v>
      </x:c>
      <x:c r="Q673" s="44" t="str">
        <x:v>http-nio-8080-exec-36#241 | http-nio-8080-exec-38#243 | http-nio-8080-exec-39#244 | http-nio-8080-exec-41#248 | http-nio-8080-exec-42#249 | http-nio-8080-exec-43#282 | http-nio-8080-exec-44#283 | http-nio-8080-exec-45#284 | http-nio-8080-exec-46#285</x:v>
      </x:c>
      <x:c r="R673" s="36" t="n">
        <x:v>0</x:v>
      </x:c>
      <x:c r="S673" s="44"/>
      <x:c r="T673" s="36" t="n">
        <x:v>0</x:v>
      </x:c>
      <x:c r="U673" s="44"/>
      <x:c r="V673" s="36" t="n">
        <x:v>0</x:v>
      </x:c>
      <x:c r="W673" s="44"/>
      <x:c r="X673" s="34" t="str">
        <x:v>no-post-undeploy-thread-signal</x:v>
      </x:c>
      <x:c r="Y673" s="44" t="str">
        <x:v>automated signatures are JCS-specific; all other candidate application threads remain unattributed and ownership requires the archived full dump</x:v>
      </x:c>
    </x:row>
    <x:row r="674">
      <x:c r="A674" s="34" t="str">
        <x:v>article1-unified-v4-2-fb3f101b-20260903-000401-default-f06-p4-ehcache</x:v>
      </x:c>
      <x:c r="B674" s="34" t="str">
        <x:v>default</x:v>
      </x:c>
      <x:c r="C674" s="34" t="str">
        <x:v>ehcache</x:v>
      </x:c>
      <x:c r="D674" s="36" t="n">
        <x:v>6</x:v>
      </x:c>
      <x:c r="E674" s="36" t="n">
        <x:v>6</x:v>
      </x:c>
      <x:c r="F674" s="36" t="n">
        <x:v>4</x:v>
      </x:c>
      <x:c r="G674" s="36" t="n">
        <x:v>4</x:v>
      </x:c>
      <x:c r="H674" s="34" t="str">
        <x:v>firstUndeployThreadEvidenceEarly</x:v>
      </x:c>
      <x:c r="I674" s="36" t="n">
        <x:v>1</x:v>
      </x:c>
      <x:c r="J674" s="34" t="str">
        <x:v>early</x:v>
      </x:c>
      <x:c r="K674" s="36" t="n">
        <x:v>27</x:v>
      </x:c>
      <x:c r="L674" s="51" t="n">
        <x:v>0</x:v>
      </x:c>
      <x:c r="M674" s="51" t="n">
        <x:v>0</x:v>
      </x:c>
      <x:c r="N674" s="36" t="n">
        <x:v>10</x:v>
      </x:c>
      <x:c r="O674" s="44" t="str">
        <x:v>http-nio-8080-exec-22#127 | http-nio-8080-exec-42#249 | http-nio-8080-exec-44#283 | http-nio-8080-exec-45#284 | http-nio-8080-exec-46#285 | http-nio-8080-exec-47#288 | http-nio-8080-exec-48#289 | http-nio-8080-exec-49#322 | http-nio-8080-exec-50#323 | http-nio-8080-exec-51#324</x:v>
      </x:c>
      <x:c r="P674" s="36" t="n">
        <x:v>5</x:v>
      </x:c>
      <x:c r="Q674" s="44" t="str">
        <x:v>http-nio-8080-exec-47#288 | http-nio-8080-exec-48#289 | http-nio-8080-exec-49#322 | http-nio-8080-exec-50#323 | http-nio-8080-exec-51#324</x:v>
      </x:c>
      <x:c r="R674" s="36" t="n">
        <x:v>0</x:v>
      </x:c>
      <x:c r="S674" s="44"/>
      <x:c r="T674" s="36" t="n">
        <x:v>0</x:v>
      </x:c>
      <x:c r="U674" s="44"/>
      <x:c r="V674" s="36" t="n">
        <x:v>0</x:v>
      </x:c>
      <x:c r="W674" s="44"/>
      <x:c r="X674" s="34" t="str">
        <x:v>no-post-undeploy-thread-signal</x:v>
      </x:c>
      <x:c r="Y674" s="44" t="str">
        <x:v>automated signatures are JCS-specific; all other candidate application threads remain unattributed and ownership requires the archived full dump</x:v>
      </x:c>
    </x:row>
    <x:row r="675">
      <x:c r="A675" s="34" t="str">
        <x:v>article1-unified-v4-2-fb3f101b-20260903-000401-default-f06-p4-ehcache</x:v>
      </x:c>
      <x:c r="B675" s="34" t="str">
        <x:v>default</x:v>
      </x:c>
      <x:c r="C675" s="34" t="str">
        <x:v>ehcache</x:v>
      </x:c>
      <x:c r="D675" s="36" t="n">
        <x:v>6</x:v>
      </x:c>
      <x:c r="E675" s="36" t="n">
        <x:v>6</x:v>
      </x:c>
      <x:c r="F675" s="36" t="n">
        <x:v>4</x:v>
      </x:c>
      <x:c r="G675" s="36" t="n">
        <x:v>4</x:v>
      </x:c>
      <x:c r="H675" s="34" t="str">
        <x:v>firstUndeployThreadEvidenceFinal</x:v>
      </x:c>
      <x:c r="I675" s="36" t="n">
        <x:v>1</x:v>
      </x:c>
      <x:c r="J675" s="34" t="str">
        <x:v>final</x:v>
      </x:c>
      <x:c r="K675" s="36" t="n">
        <x:v>27</x:v>
      </x:c>
      <x:c r="L675" s="51" t="n">
        <x:v>0</x:v>
      </x:c>
      <x:c r="M675" s="51" t="n">
        <x:v>0</x:v>
      </x:c>
      <x:c r="N675" s="36" t="n">
        <x:v>10</x:v>
      </x:c>
      <x:c r="O675" s="44" t="str">
        <x:v>http-nio-8080-exec-22#127 | http-nio-8080-exec-42#249 | http-nio-8080-exec-44#283 | http-nio-8080-exec-45#284 | http-nio-8080-exec-47#288 | http-nio-8080-exec-48#289 | http-nio-8080-exec-49#322 | http-nio-8080-exec-50#323 | http-nio-8080-exec-51#324 | http-nio-8080-exec-52#325</x:v>
      </x:c>
      <x:c r="P675" s="36" t="n">
        <x:v>6</x:v>
      </x:c>
      <x:c r="Q675" s="44" t="str">
        <x:v>http-nio-8080-exec-47#288 | http-nio-8080-exec-48#289 | http-nio-8080-exec-49#322 | http-nio-8080-exec-50#323 | http-nio-8080-exec-51#324 | http-nio-8080-exec-52#325</x:v>
      </x:c>
      <x:c r="R675" s="36" t="n">
        <x:v>0</x:v>
      </x:c>
      <x:c r="S675" s="44"/>
      <x:c r="T675" s="36" t="n">
        <x:v>0</x:v>
      </x:c>
      <x:c r="U675" s="44"/>
      <x:c r="V675" s="36" t="n">
        <x:v>0</x:v>
      </x:c>
      <x:c r="W675" s="44"/>
      <x:c r="X675" s="34" t="str">
        <x:v>no-post-undeploy-thread-signal</x:v>
      </x:c>
      <x:c r="Y675" s="44" t="str">
        <x:v>automated signatures are JCS-specific; all other candidate application threads remain unattributed and ownership requires the archived full dump</x:v>
      </x:c>
    </x:row>
    <x:row r="676">
      <x:c r="A676" s="34" t="str">
        <x:v>article1-unified-v4-2-fb3f101b-20260903-000401-default-f06-p4-ehcache</x:v>
      </x:c>
      <x:c r="B676" s="34" t="str">
        <x:v>default</x:v>
      </x:c>
      <x:c r="C676" s="34" t="str">
        <x:v>ehcache</x:v>
      </x:c>
      <x:c r="D676" s="36" t="n">
        <x:v>6</x:v>
      </x:c>
      <x:c r="E676" s="36" t="n">
        <x:v>6</x:v>
      </x:c>
      <x:c r="F676" s="36" t="n">
        <x:v>4</x:v>
      </x:c>
      <x:c r="G676" s="36" t="n">
        <x:v>4</x:v>
      </x:c>
      <x:c r="H676" s="34" t="str">
        <x:v>finalUndeployThreadEvidenceEarly</x:v>
      </x:c>
      <x:c r="I676" s="36" t="n">
        <x:v>2</x:v>
      </x:c>
      <x:c r="J676" s="34" t="str">
        <x:v>early</x:v>
      </x:c>
      <x:c r="K676" s="36" t="n">
        <x:v>27</x:v>
      </x:c>
      <x:c r="L676" s="51" t="n">
        <x:v>0</x:v>
      </x:c>
      <x:c r="M676" s="51" t="n">
        <x:v>0</x:v>
      </x:c>
      <x:c r="N676" s="36" t="n">
        <x:v>10</x:v>
      </x:c>
      <x:c r="O676" s="44" t="str">
        <x:v>http-nio-8080-exec-49#322 | http-nio-8080-exec-50#323 | http-nio-8080-exec-51#324 | http-nio-8080-exec-52#325 | http-nio-8080-exec-53#328 | http-nio-8080-exec-54#329 | http-nio-8080-exec-55#330 | http-nio-8080-exec-56#363 | http-nio-8080-exec-57#364 | http-nio-8080-exec-58#365</x:v>
      </x:c>
      <x:c r="P676" s="36" t="n">
        <x:v>10</x:v>
      </x:c>
      <x:c r="Q676" s="44" t="str">
        <x:v>http-nio-8080-exec-49#322 | http-nio-8080-exec-50#323 | http-nio-8080-exec-51#324 | http-nio-8080-exec-52#325 | http-nio-8080-exec-53#328 | http-nio-8080-exec-54#329 | http-nio-8080-exec-55#330 | http-nio-8080-exec-56#363 | http-nio-8080-exec-57#364 | http-nio-8080-exec-58#365</x:v>
      </x:c>
      <x:c r="R676" s="36" t="n">
        <x:v>0</x:v>
      </x:c>
      <x:c r="S676" s="44"/>
      <x:c r="T676" s="36" t="n">
        <x:v>0</x:v>
      </x:c>
      <x:c r="U676" s="44"/>
      <x:c r="V676" s="36" t="n">
        <x:v>0</x:v>
      </x:c>
      <x:c r="W676" s="44"/>
      <x:c r="X676" s="34" t="str">
        <x:v>no-post-undeploy-thread-signal</x:v>
      </x:c>
      <x:c r="Y676" s="44" t="str">
        <x:v>automated signatures are JCS-specific; all other candidate application threads remain unattributed and ownership requires the archived full dump</x:v>
      </x:c>
    </x:row>
    <x:row r="677">
      <x:c r="A677" s="34" t="str">
        <x:v>article1-unified-v4-2-fb3f101b-20260903-000401-default-f06-p4-ehcache</x:v>
      </x:c>
      <x:c r="B677" s="34" t="str">
        <x:v>default</x:v>
      </x:c>
      <x:c r="C677" s="34" t="str">
        <x:v>ehcache</x:v>
      </x:c>
      <x:c r="D677" s="36" t="n">
        <x:v>6</x:v>
      </x:c>
      <x:c r="E677" s="36" t="n">
        <x:v>6</x:v>
      </x:c>
      <x:c r="F677" s="36" t="n">
        <x:v>4</x:v>
      </x:c>
      <x:c r="G677" s="36" t="n">
        <x:v>4</x:v>
      </x:c>
      <x:c r="H677" s="34" t="str">
        <x:v>finalUndeployThreadEvidenceFinal</x:v>
      </x:c>
      <x:c r="I677" s="36" t="n">
        <x:v>2</x:v>
      </x:c>
      <x:c r="J677" s="34" t="str">
        <x:v>final</x:v>
      </x:c>
      <x:c r="K677" s="36" t="n">
        <x:v>27</x:v>
      </x:c>
      <x:c r="L677" s="51" t="n">
        <x:v>0</x:v>
      </x:c>
      <x:c r="M677" s="51" t="n">
        <x:v>0</x:v>
      </x:c>
      <x:c r="N677" s="36" t="n">
        <x:v>10</x:v>
      </x:c>
      <x:c r="O677" s="44" t="str">
        <x:v>http-nio-8080-exec-49#322 | http-nio-8080-exec-50#323 | http-nio-8080-exec-51#324 | http-nio-8080-exec-52#325 | http-nio-8080-exec-54#329 | http-nio-8080-exec-55#330 | http-nio-8080-exec-56#363 | http-nio-8080-exec-57#364 | http-nio-8080-exec-58#365 | http-nio-8080-exec-59#366</x:v>
      </x:c>
      <x:c r="P677" s="36" t="n">
        <x:v>10</x:v>
      </x:c>
      <x:c r="Q677" s="44" t="str">
        <x:v>http-nio-8080-exec-49#322 | http-nio-8080-exec-50#323 | http-nio-8080-exec-51#324 | http-nio-8080-exec-52#325 | http-nio-8080-exec-54#329 | http-nio-8080-exec-55#330 | http-nio-8080-exec-56#363 | http-nio-8080-exec-57#364 | http-nio-8080-exec-58#365 | http-nio-8080-exec-59#366</x:v>
      </x:c>
      <x:c r="R677" s="36" t="n">
        <x:v>0</x:v>
      </x:c>
      <x:c r="S677" s="44"/>
      <x:c r="T677" s="36" t="n">
        <x:v>0</x:v>
      </x:c>
      <x:c r="U677" s="44"/>
      <x:c r="V677" s="36" t="n">
        <x:v>0</x:v>
      </x:c>
      <x:c r="W677" s="44"/>
      <x:c r="X677" s="34" t="str">
        <x:v>no-post-undeploy-thread-signal</x:v>
      </x:c>
      <x:c r="Y677" s="44" t="str">
        <x:v>automated signatures are JCS-specific; all other candidate application threads remain unattributed and ownership requires the archived full dump</x:v>
      </x:c>
    </x:row>
    <x:row r="678">
      <x:c r="A678" s="34" t="str">
        <x:v>article1-unified-v4-2-fb3f101b-20260903-000401-default-f06-p4-ehcache</x:v>
      </x:c>
      <x:c r="B678" s="34" t="str">
        <x:v>default</x:v>
      </x:c>
      <x:c r="C678" s="34" t="str">
        <x:v>ehcache</x:v>
      </x:c>
      <x:c r="D678" s="36" t="n">
        <x:v>6</x:v>
      </x:c>
      <x:c r="E678" s="36" t="n">
        <x:v>6</x:v>
      </x:c>
      <x:c r="F678" s="36" t="n">
        <x:v>4</x:v>
      </x:c>
      <x:c r="G678" s="36" t="n">
        <x:v>5</x:v>
      </x:c>
      <x:c r="H678" s="34" t="str">
        <x:v>firstUndeployThreadEvidenceEarly</x:v>
      </x:c>
      <x:c r="I678" s="36" t="n">
        <x:v>1</x:v>
      </x:c>
      <x:c r="J678" s="34" t="str">
        <x:v>early</x:v>
      </x:c>
      <x:c r="K678" s="36" t="n">
        <x:v>27</x:v>
      </x:c>
      <x:c r="L678" s="51" t="n">
        <x:v>0</x:v>
      </x:c>
      <x:c r="M678" s="51" t="n">
        <x:v>0</x:v>
      </x:c>
      <x:c r="N678" s="36" t="n">
        <x:v>10</x:v>
      </x:c>
      <x:c r="O678" s="44" t="str">
        <x:v>http-nio-8080-exec-50#323 | http-nio-8080-exec-54#329 | http-nio-8080-exec-56#363 | http-nio-8080-exec-57#364 | http-nio-8080-exec-58#365 | http-nio-8080-exec-59#366 | http-nio-8080-exec-61#370 | http-nio-8080-exec-62#403 | http-nio-8080-exec-63#404 | http-nio-8080-exec-64#405</x:v>
      </x:c>
      <x:c r="P678" s="36" t="n">
        <x:v>4</x:v>
      </x:c>
      <x:c r="Q678" s="44" t="str">
        <x:v>http-nio-8080-exec-61#370 | http-nio-8080-exec-62#403 | http-nio-8080-exec-63#404 | http-nio-8080-exec-64#405</x:v>
      </x:c>
      <x:c r="R678" s="36" t="n">
        <x:v>0</x:v>
      </x:c>
      <x:c r="S678" s="44"/>
      <x:c r="T678" s="36" t="n">
        <x:v>0</x:v>
      </x:c>
      <x:c r="U678" s="44"/>
      <x:c r="V678" s="36" t="n">
        <x:v>0</x:v>
      </x:c>
      <x:c r="W678" s="44"/>
      <x:c r="X678" s="34" t="str">
        <x:v>no-post-undeploy-thread-signal</x:v>
      </x:c>
      <x:c r="Y678" s="44" t="str">
        <x:v>automated signatures are JCS-specific; all other candidate application threads remain unattributed and ownership requires the archived full dump</x:v>
      </x:c>
    </x:row>
    <x:row r="679">
      <x:c r="A679" s="34" t="str">
        <x:v>article1-unified-v4-2-fb3f101b-20260903-000401-default-f06-p4-ehcache</x:v>
      </x:c>
      <x:c r="B679" s="34" t="str">
        <x:v>default</x:v>
      </x:c>
      <x:c r="C679" s="34" t="str">
        <x:v>ehcache</x:v>
      </x:c>
      <x:c r="D679" s="36" t="n">
        <x:v>6</x:v>
      </x:c>
      <x:c r="E679" s="36" t="n">
        <x:v>6</x:v>
      </x:c>
      <x:c r="F679" s="36" t="n">
        <x:v>4</x:v>
      </x:c>
      <x:c r="G679" s="36" t="n">
        <x:v>5</x:v>
      </x:c>
      <x:c r="H679" s="34" t="str">
        <x:v>firstUndeployThreadEvidenceFinal</x:v>
      </x:c>
      <x:c r="I679" s="36" t="n">
        <x:v>1</x:v>
      </x:c>
      <x:c r="J679" s="34" t="str">
        <x:v>final</x:v>
      </x:c>
      <x:c r="K679" s="36" t="n">
        <x:v>27</x:v>
      </x:c>
      <x:c r="L679" s="51" t="n">
        <x:v>0</x:v>
      </x:c>
      <x:c r="M679" s="51" t="n">
        <x:v>0</x:v>
      </x:c>
      <x:c r="N679" s="36" t="n">
        <x:v>10</x:v>
      </x:c>
      <x:c r="O679" s="44" t="str">
        <x:v>http-nio-8080-exec-54#329 | http-nio-8080-exec-56#363 | http-nio-8080-exec-57#364 | http-nio-8080-exec-58#365 | http-nio-8080-exec-59#366 | http-nio-8080-exec-61#370 | http-nio-8080-exec-62#403 | http-nio-8080-exec-63#404 | http-nio-8080-exec-64#405 | http-nio-8080-exec-65#406</x:v>
      </x:c>
      <x:c r="P679" s="36" t="n">
        <x:v>5</x:v>
      </x:c>
      <x:c r="Q679" s="44" t="str">
        <x:v>http-nio-8080-exec-61#370 | http-nio-8080-exec-62#403 | http-nio-8080-exec-63#404 | http-nio-8080-exec-64#405 | http-nio-8080-exec-65#406</x:v>
      </x:c>
      <x:c r="R679" s="36" t="n">
        <x:v>0</x:v>
      </x:c>
      <x:c r="S679" s="44"/>
      <x:c r="T679" s="36" t="n">
        <x:v>0</x:v>
      </x:c>
      <x:c r="U679" s="44"/>
      <x:c r="V679" s="36" t="n">
        <x:v>0</x:v>
      </x:c>
      <x:c r="W679" s="44"/>
      <x:c r="X679" s="34" t="str">
        <x:v>no-post-undeploy-thread-signal</x:v>
      </x:c>
      <x:c r="Y679" s="44" t="str">
        <x:v>automated signatures are JCS-specific; all other candidate application threads remain unattributed and ownership requires the archived full dump</x:v>
      </x:c>
    </x:row>
    <x:row r="680">
      <x:c r="A680" s="34" t="str">
        <x:v>article1-unified-v4-2-fb3f101b-20260903-000401-default-f06-p4-ehcache</x:v>
      </x:c>
      <x:c r="B680" s="34" t="str">
        <x:v>default</x:v>
      </x:c>
      <x:c r="C680" s="34" t="str">
        <x:v>ehcache</x:v>
      </x:c>
      <x:c r="D680" s="36" t="n">
        <x:v>6</x:v>
      </x:c>
      <x:c r="E680" s="36" t="n">
        <x:v>6</x:v>
      </x:c>
      <x:c r="F680" s="36" t="n">
        <x:v>4</x:v>
      </x:c>
      <x:c r="G680" s="36" t="n">
        <x:v>5</x:v>
      </x:c>
      <x:c r="H680" s="34" t="str">
        <x:v>finalUndeployThreadEvidenceEarly</x:v>
      </x:c>
      <x:c r="I680" s="36" t="n">
        <x:v>2</x:v>
      </x:c>
      <x:c r="J680" s="34" t="str">
        <x:v>early</x:v>
      </x:c>
      <x:c r="K680" s="36" t="n">
        <x:v>27</x:v>
      </x:c>
      <x:c r="L680" s="51" t="n">
        <x:v>0</x:v>
      </x:c>
      <x:c r="M680" s="51" t="n">
        <x:v>0</x:v>
      </x:c>
      <x:c r="N680" s="36" t="n">
        <x:v>10</x:v>
      </x:c>
      <x:c r="O680" s="44" t="str">
        <x:v>http-nio-8080-exec-59#366 | http-nio-8080-exec-61#370 | http-nio-8080-exec-64#405 | http-nio-8080-exec-65#406 | http-nio-8080-exec-66#409 | http-nio-8080-exec-67#410 | http-nio-8080-exec-68#411 | http-nio-8080-exec-69#444 | http-nio-8080-exec-70#445 | http-nio-8080-exec-71#446</x:v>
      </x:c>
      <x:c r="P680" s="36" t="n">
        <x:v>9</x:v>
      </x:c>
      <x:c r="Q680" s="44" t="str">
        <x:v>http-nio-8080-exec-61#370 | http-nio-8080-exec-64#405 | http-nio-8080-exec-65#406 | http-nio-8080-exec-66#409 | http-nio-8080-exec-67#410 | http-nio-8080-exec-68#411 | http-nio-8080-exec-69#444 | http-nio-8080-exec-70#445 | http-nio-8080-exec-71#446</x:v>
      </x:c>
      <x:c r="R680" s="36" t="n">
        <x:v>0</x:v>
      </x:c>
      <x:c r="S680" s="44"/>
      <x:c r="T680" s="36" t="n">
        <x:v>0</x:v>
      </x:c>
      <x:c r="U680" s="44"/>
      <x:c r="V680" s="36" t="n">
        <x:v>0</x:v>
      </x:c>
      <x:c r="W680" s="44"/>
      <x:c r="X680" s="34" t="str">
        <x:v>no-post-undeploy-thread-signal</x:v>
      </x:c>
      <x:c r="Y680" s="44" t="str">
        <x:v>automated signatures are JCS-specific; all other candidate application threads remain unattributed and ownership requires the archived full dump</x:v>
      </x:c>
    </x:row>
    <x:row r="681">
      <x:c r="A681" s="34" t="str">
        <x:v>article1-unified-v4-2-fb3f101b-20260903-000401-default-f06-p4-ehcache</x:v>
      </x:c>
      <x:c r="B681" s="34" t="str">
        <x:v>default</x:v>
      </x:c>
      <x:c r="C681" s="34" t="str">
        <x:v>ehcache</x:v>
      </x:c>
      <x:c r="D681" s="36" t="n">
        <x:v>6</x:v>
      </x:c>
      <x:c r="E681" s="36" t="n">
        <x:v>6</x:v>
      </x:c>
      <x:c r="F681" s="36" t="n">
        <x:v>4</x:v>
      </x:c>
      <x:c r="G681" s="36" t="n">
        <x:v>5</x:v>
      </x:c>
      <x:c r="H681" s="34" t="str">
        <x:v>finalUndeployThreadEvidenceFinal</x:v>
      </x:c>
      <x:c r="I681" s="36" t="n">
        <x:v>2</x:v>
      </x:c>
      <x:c r="J681" s="34" t="str">
        <x:v>final</x:v>
      </x:c>
      <x:c r="K681" s="36" t="n">
        <x:v>27</x:v>
      </x:c>
      <x:c r="L681" s="51" t="n">
        <x:v>0</x:v>
      </x:c>
      <x:c r="M681" s="51" t="n">
        <x:v>0</x:v>
      </x:c>
      <x:c r="N681" s="36" t="n">
        <x:v>10</x:v>
      </x:c>
      <x:c r="O681" s="44" t="str">
        <x:v>http-nio-8080-exec-59#366 | http-nio-8080-exec-61#370 | http-nio-8080-exec-64#405 | http-nio-8080-exec-65#406 | http-nio-8080-exec-67#410 | http-nio-8080-exec-68#411 | http-nio-8080-exec-69#444 | http-nio-8080-exec-70#445 | http-nio-8080-exec-71#446 | http-nio-8080-exec-72#447</x:v>
      </x:c>
      <x:c r="P681" s="36" t="n">
        <x:v>9</x:v>
      </x:c>
      <x:c r="Q681" s="44" t="str">
        <x:v>http-nio-8080-exec-61#370 | http-nio-8080-exec-64#405 | http-nio-8080-exec-65#406 | http-nio-8080-exec-67#410 | http-nio-8080-exec-68#411 | http-nio-8080-exec-69#444 | http-nio-8080-exec-70#445 | http-nio-8080-exec-71#446 | http-nio-8080-exec-72#447</x:v>
      </x:c>
      <x:c r="R681" s="36" t="n">
        <x:v>0</x:v>
      </x:c>
      <x:c r="S681" s="44"/>
      <x:c r="T681" s="36" t="n">
        <x:v>0</x:v>
      </x:c>
      <x:c r="U681" s="44"/>
      <x:c r="V681" s="36" t="n">
        <x:v>0</x:v>
      </x:c>
      <x:c r="W681" s="44"/>
      <x:c r="X681" s="34" t="str">
        <x:v>no-post-undeploy-thread-signal</x:v>
      </x:c>
      <x:c r="Y681" s="44" t="str">
        <x:v>automated signatures are JCS-specific; all other candidate application threads remain unattributed and ownership requires the archived full dump</x:v>
      </x:c>
    </x:row>
    <x:row r="682">
      <x:c r="A682" s="34" t="str">
        <x:v>article1-unified-v4-2-fb3f101b-20260903-000401-default-f06-p5-jcs4</x:v>
      </x:c>
      <x:c r="B682" s="34" t="str">
        <x:v>default</x:v>
      </x:c>
      <x:c r="C682" s="34" t="str">
        <x:v>jcs4</x:v>
      </x:c>
      <x:c r="D682" s="36" t="n">
        <x:v>6</x:v>
      </x:c>
      <x:c r="E682" s="36" t="n">
        <x:v>6</x:v>
      </x:c>
      <x:c r="F682" s="36" t="n">
        <x:v>5</x:v>
      </x:c>
      <x:c r="G682" s="36" t="n">
        <x:v>1</x:v>
      </x:c>
      <x:c r="H682" s="34" t="str">
        <x:v>firstUndeployThreadEvidenceEarly</x:v>
      </x:c>
      <x:c r="I682" s="36" t="n">
        <x:v>1</x:v>
      </x:c>
      <x:c r="J682" s="34" t="str">
        <x:v>early</x:v>
      </x:c>
      <x:c r="K682" s="36" t="n">
        <x:v>27</x:v>
      </x:c>
      <x:c r="L682" s="51" t="n">
        <x:v>0</x:v>
      </x:c>
      <x:c r="M682" s="51" t="n">
        <x:v>0</x:v>
      </x:c>
      <x:c r="N682" s="36" t="n">
        <x:v>2</x:v>
      </x:c>
      <x:c r="O682" s="44" t="str">
        <x:v>http-nio-8080-exec-11#82 | http-nio-8080-exec-12#83</x:v>
      </x:c>
      <x:c r="P682" s="36" t="n">
        <x:v>2</x:v>
      </x:c>
      <x:c r="Q682" s="44" t="str">
        <x:v>http-nio-8080-exec-11#82 | http-nio-8080-exec-12#83</x:v>
      </x:c>
      <x:c r="R682" s="36" t="n">
        <x:v>0</x:v>
      </x:c>
      <x:c r="S682" s="44"/>
      <x:c r="T682" s="36" t="n">
        <x:v>0</x:v>
      </x:c>
      <x:c r="U682" s="44"/>
      <x:c r="V682" s="36" t="n">
        <x:v>0</x:v>
      </x:c>
      <x:c r="W682" s="44"/>
      <x:c r="X682" s="34" t="str">
        <x:v>no-post-undeploy-thread-signal</x:v>
      </x:c>
      <x:c r="Y682" s="44" t="str">
        <x:v>automated signatures are JCS-specific; all other candidate application threads remain unattributed and ownership requires the archived full dump</x:v>
      </x:c>
    </x:row>
    <x:row r="683">
      <x:c r="A683" s="34" t="str">
        <x:v>article1-unified-v4-2-fb3f101b-20260903-000401-default-f06-p5-jcs4</x:v>
      </x:c>
      <x:c r="B683" s="34" t="str">
        <x:v>default</x:v>
      </x:c>
      <x:c r="C683" s="34" t="str">
        <x:v>jcs4</x:v>
      </x:c>
      <x:c r="D683" s="36" t="n">
        <x:v>6</x:v>
      </x:c>
      <x:c r="E683" s="36" t="n">
        <x:v>6</x:v>
      </x:c>
      <x:c r="F683" s="36" t="n">
        <x:v>5</x:v>
      </x:c>
      <x:c r="G683" s="36" t="n">
        <x:v>1</x:v>
      </x:c>
      <x:c r="H683" s="34" t="str">
        <x:v>firstUndeployThreadEvidenceFinal</x:v>
      </x:c>
      <x:c r="I683" s="36" t="n">
        <x:v>1</x:v>
      </x:c>
      <x:c r="J683" s="34" t="str">
        <x:v>final</x:v>
      </x:c>
      <x:c r="K683" s="36" t="n">
        <x:v>27</x:v>
      </x:c>
      <x:c r="L683" s="51" t="n">
        <x:v>0</x:v>
      </x:c>
      <x:c r="M683" s="51" t="n">
        <x:v>0</x:v>
      </x:c>
      <x:c r="N683" s="36" t="n">
        <x:v>3</x:v>
      </x:c>
      <x:c r="O683" s="44" t="str">
        <x:v>http-nio-8080-exec-11#82 | http-nio-8080-exec-12#83 | http-nio-8080-exec-13#84</x:v>
      </x:c>
      <x:c r="P683" s="36" t="n">
        <x:v>3</x:v>
      </x:c>
      <x:c r="Q683" s="44" t="str">
        <x:v>http-nio-8080-exec-11#82 | http-nio-8080-exec-12#83 | http-nio-8080-exec-13#84</x:v>
      </x:c>
      <x:c r="R683" s="36" t="n">
        <x:v>0</x:v>
      </x:c>
      <x:c r="S683" s="44"/>
      <x:c r="T683" s="36" t="n">
        <x:v>0</x:v>
      </x:c>
      <x:c r="U683" s="44"/>
      <x:c r="V683" s="36" t="n">
        <x:v>0</x:v>
      </x:c>
      <x:c r="W683" s="44"/>
      <x:c r="X683" s="34" t="str">
        <x:v>no-post-undeploy-thread-signal</x:v>
      </x:c>
      <x:c r="Y683" s="44" t="str">
        <x:v>automated signatures are JCS-specific; all other candidate application threads remain unattributed and ownership requires the archived full dump</x:v>
      </x:c>
    </x:row>
    <x:row r="684">
      <x:c r="A684" s="34" t="str">
        <x:v>article1-unified-v4-2-fb3f101b-20260903-000401-default-f06-p5-jcs4</x:v>
      </x:c>
      <x:c r="B684" s="34" t="str">
        <x:v>default</x:v>
      </x:c>
      <x:c r="C684" s="34" t="str">
        <x:v>jcs4</x:v>
      </x:c>
      <x:c r="D684" s="36" t="n">
        <x:v>6</x:v>
      </x:c>
      <x:c r="E684" s="36" t="n">
        <x:v>6</x:v>
      </x:c>
      <x:c r="F684" s="36" t="n">
        <x:v>5</x:v>
      </x:c>
      <x:c r="G684" s="36" t="n">
        <x:v>1</x:v>
      </x:c>
      <x:c r="H684" s="34" t="str">
        <x:v>finalUndeployThreadEvidenceEarly</x:v>
      </x:c>
      <x:c r="I684" s="36" t="n">
        <x:v>2</x:v>
      </x:c>
      <x:c r="J684" s="34" t="str">
        <x:v>early</x:v>
      </x:c>
      <x:c r="K684" s="36" t="n">
        <x:v>27</x:v>
      </x:c>
      <x:c r="L684" s="51" t="n">
        <x:v>0</x:v>
      </x:c>
      <x:c r="M684" s="51" t="n">
        <x:v>0</x:v>
      </x:c>
      <x:c r="N684" s="36" t="n">
        <x:v>8</x:v>
      </x:c>
      <x:c r="O684" s="44" t="str">
        <x:v>http-nio-8080-exec-11#82 | http-nio-8080-exec-13#84 | http-nio-8080-exec-14#87 | http-nio-8080-exec-15#88 | http-nio-8080-exec-16#89 | http-nio-8080-exec-17#124 | http-nio-8080-exec-18#125 | http-nio-8080-exec-19#126</x:v>
      </x:c>
      <x:c r="P684" s="36" t="n">
        <x:v>8</x:v>
      </x:c>
      <x:c r="Q684" s="44" t="str">
        <x:v>http-nio-8080-exec-11#82 | http-nio-8080-exec-13#84 | http-nio-8080-exec-14#87 | http-nio-8080-exec-15#88 | http-nio-8080-exec-16#89 | http-nio-8080-exec-17#124 | http-nio-8080-exec-18#125 | http-nio-8080-exec-19#126</x:v>
      </x:c>
      <x:c r="R684" s="36" t="n">
        <x:v>0</x:v>
      </x:c>
      <x:c r="S684" s="44"/>
      <x:c r="T684" s="36" t="n">
        <x:v>0</x:v>
      </x:c>
      <x:c r="U684" s="44"/>
      <x:c r="V684" s="36" t="n">
        <x:v>0</x:v>
      </x:c>
      <x:c r="W684" s="44"/>
      <x:c r="X684" s="34" t="str">
        <x:v>no-post-undeploy-thread-signal</x:v>
      </x:c>
      <x:c r="Y684" s="44" t="str">
        <x:v>automated signatures are JCS-specific; all other candidate application threads remain unattributed and ownership requires the archived full dump</x:v>
      </x:c>
    </x:row>
    <x:row r="685">
      <x:c r="A685" s="34" t="str">
        <x:v>article1-unified-v4-2-fb3f101b-20260903-000401-default-f06-p5-jcs4</x:v>
      </x:c>
      <x:c r="B685" s="34" t="str">
        <x:v>default</x:v>
      </x:c>
      <x:c r="C685" s="34" t="str">
        <x:v>jcs4</x:v>
      </x:c>
      <x:c r="D685" s="36" t="n">
        <x:v>6</x:v>
      </x:c>
      <x:c r="E685" s="36" t="n">
        <x:v>6</x:v>
      </x:c>
      <x:c r="F685" s="36" t="n">
        <x:v>5</x:v>
      </x:c>
      <x:c r="G685" s="36" t="n">
        <x:v>1</x:v>
      </x:c>
      <x:c r="H685" s="34" t="str">
        <x:v>finalUndeployThreadEvidenceFinal</x:v>
      </x:c>
      <x:c r="I685" s="36" t="n">
        <x:v>2</x:v>
      </x:c>
      <x:c r="J685" s="34" t="str">
        <x:v>final</x:v>
      </x:c>
      <x:c r="K685" s="36" t="n">
        <x:v>27</x:v>
      </x:c>
      <x:c r="L685" s="51" t="n">
        <x:v>0</x:v>
      </x:c>
      <x:c r="M685" s="51" t="n">
        <x:v>0</x:v>
      </x:c>
      <x:c r="N685" s="36" t="n">
        <x:v>8</x:v>
      </x:c>
      <x:c r="O685" s="44" t="str">
        <x:v>http-nio-8080-exec-11#82 | http-nio-8080-exec-14#87 | http-nio-8080-exec-15#88 | http-nio-8080-exec-16#89 | http-nio-8080-exec-17#124 | http-nio-8080-exec-18#125 | http-nio-8080-exec-19#126 | http-nio-8080-exec-20#127</x:v>
      </x:c>
      <x:c r="P685" s="36" t="n">
        <x:v>8</x:v>
      </x:c>
      <x:c r="Q685" s="44" t="str">
        <x:v>http-nio-8080-exec-11#82 | http-nio-8080-exec-14#87 | http-nio-8080-exec-15#88 | http-nio-8080-exec-16#89 | http-nio-8080-exec-17#124 | http-nio-8080-exec-18#125 | http-nio-8080-exec-19#126 | http-nio-8080-exec-20#127</x:v>
      </x:c>
      <x:c r="R685" s="36" t="n">
        <x:v>0</x:v>
      </x:c>
      <x:c r="S685" s="44"/>
      <x:c r="T685" s="36" t="n">
        <x:v>0</x:v>
      </x:c>
      <x:c r="U685" s="44"/>
      <x:c r="V685" s="36" t="n">
        <x:v>0</x:v>
      </x:c>
      <x:c r="W685" s="44"/>
      <x:c r="X685" s="34" t="str">
        <x:v>no-post-undeploy-thread-signal</x:v>
      </x:c>
      <x:c r="Y685" s="44" t="str">
        <x:v>automated signatures are JCS-specific; all other candidate application threads remain unattributed and ownership requires the archived full dump</x:v>
      </x:c>
    </x:row>
    <x:row r="686">
      <x:c r="A686" s="34" t="str">
        <x:v>article1-unified-v4-2-fb3f101b-20260903-000401-default-f06-p5-jcs4</x:v>
      </x:c>
      <x:c r="B686" s="34" t="str">
        <x:v>default</x:v>
      </x:c>
      <x:c r="C686" s="34" t="str">
        <x:v>jcs4</x:v>
      </x:c>
      <x:c r="D686" s="36" t="n">
        <x:v>6</x:v>
      </x:c>
      <x:c r="E686" s="36" t="n">
        <x:v>6</x:v>
      </x:c>
      <x:c r="F686" s="36" t="n">
        <x:v>5</x:v>
      </x:c>
      <x:c r="G686" s="36" t="n">
        <x:v>2</x:v>
      </x:c>
      <x:c r="H686" s="34" t="str">
        <x:v>firstUndeployThreadEvidenceEarly</x:v>
      </x:c>
      <x:c r="I686" s="36" t="n">
        <x:v>1</x:v>
      </x:c>
      <x:c r="J686" s="34" t="str">
        <x:v>early</x:v>
      </x:c>
      <x:c r="K686" s="36" t="n">
        <x:v>27</x:v>
      </x:c>
      <x:c r="L686" s="51" t="n">
        <x:v>0</x:v>
      </x:c>
      <x:c r="M686" s="51" t="n">
        <x:v>0</x:v>
      </x:c>
      <x:c r="N686" s="36" t="n">
        <x:v>9</x:v>
      </x:c>
      <x:c r="O686" s="44" t="str">
        <x:v>http-nio-8080-exec-14#87 | http-nio-8080-exec-17#124 | http-nio-8080-exec-18#125 | http-nio-8080-exec-19#126 | http-nio-8080-exec-20#127 | http-nio-8080-exec-21#130 | http-nio-8080-exec-23#166 | http-nio-8080-exec-24#167 | http-nio-8080-exec-25#168</x:v>
      </x:c>
      <x:c r="P686" s="36" t="n">
        <x:v>4</x:v>
      </x:c>
      <x:c r="Q686" s="44" t="str">
        <x:v>http-nio-8080-exec-21#130 | http-nio-8080-exec-23#166 | http-nio-8080-exec-24#167 | http-nio-8080-exec-25#168</x:v>
      </x:c>
      <x:c r="R686" s="36" t="n">
        <x:v>0</x:v>
      </x:c>
      <x:c r="S686" s="44"/>
      <x:c r="T686" s="36" t="n">
        <x:v>0</x:v>
      </x:c>
      <x:c r="U686" s="44"/>
      <x:c r="V686" s="36" t="n">
        <x:v>0</x:v>
      </x:c>
      <x:c r="W686" s="44"/>
      <x:c r="X686" s="34" t="str">
        <x:v>no-post-undeploy-thread-signal</x:v>
      </x:c>
      <x:c r="Y686" s="44" t="str">
        <x:v>automated signatures are JCS-specific; all other candidate application threads remain unattributed and ownership requires the archived full dump</x:v>
      </x:c>
    </x:row>
    <x:row r="687">
      <x:c r="A687" s="34" t="str">
        <x:v>article1-unified-v4-2-fb3f101b-20260903-000401-default-f06-p5-jcs4</x:v>
      </x:c>
      <x:c r="B687" s="34" t="str">
        <x:v>default</x:v>
      </x:c>
      <x:c r="C687" s="34" t="str">
        <x:v>jcs4</x:v>
      </x:c>
      <x:c r="D687" s="36" t="n">
        <x:v>6</x:v>
      </x:c>
      <x:c r="E687" s="36" t="n">
        <x:v>6</x:v>
      </x:c>
      <x:c r="F687" s="36" t="n">
        <x:v>5</x:v>
      </x:c>
      <x:c r="G687" s="36" t="n">
        <x:v>2</x:v>
      </x:c>
      <x:c r="H687" s="34" t="str">
        <x:v>firstUndeployThreadEvidenceFinal</x:v>
      </x:c>
      <x:c r="I687" s="36" t="n">
        <x:v>1</x:v>
      </x:c>
      <x:c r="J687" s="34" t="str">
        <x:v>final</x:v>
      </x:c>
      <x:c r="K687" s="36" t="n">
        <x:v>27</x:v>
      </x:c>
      <x:c r="L687" s="51" t="n">
        <x:v>0</x:v>
      </x:c>
      <x:c r="M687" s="51" t="n">
        <x:v>0</x:v>
      </x:c>
      <x:c r="N687" s="36" t="n">
        <x:v>9</x:v>
      </x:c>
      <x:c r="O687" s="44" t="str">
        <x:v>http-nio-8080-exec-14#87 | http-nio-8080-exec-17#124 | http-nio-8080-exec-18#125 | http-nio-8080-exec-19#126 | http-nio-8080-exec-21#130 | http-nio-8080-exec-23#166 | http-nio-8080-exec-24#167 | http-nio-8080-exec-25#168 | http-nio-8080-exec-26#169</x:v>
      </x:c>
      <x:c r="P687" s="36" t="n">
        <x:v>5</x:v>
      </x:c>
      <x:c r="Q687" s="44" t="str">
        <x:v>http-nio-8080-exec-21#130 | http-nio-8080-exec-23#166 | http-nio-8080-exec-24#167 | http-nio-8080-exec-25#168 | http-nio-8080-exec-26#169</x:v>
      </x:c>
      <x:c r="R687" s="36" t="n">
        <x:v>0</x:v>
      </x:c>
      <x:c r="S687" s="44"/>
      <x:c r="T687" s="36" t="n">
        <x:v>0</x:v>
      </x:c>
      <x:c r="U687" s="44"/>
      <x:c r="V687" s="36" t="n">
        <x:v>0</x:v>
      </x:c>
      <x:c r="W687" s="44"/>
      <x:c r="X687" s="34" t="str">
        <x:v>no-post-undeploy-thread-signal</x:v>
      </x:c>
      <x:c r="Y687" s="44" t="str">
        <x:v>automated signatures are JCS-specific; all other candidate application threads remain unattributed and ownership requires the archived full dump</x:v>
      </x:c>
    </x:row>
    <x:row r="688">
      <x:c r="A688" s="34" t="str">
        <x:v>article1-unified-v4-2-fb3f101b-20260903-000401-default-f06-p5-jcs4</x:v>
      </x:c>
      <x:c r="B688" s="34" t="str">
        <x:v>default</x:v>
      </x:c>
      <x:c r="C688" s="34" t="str">
        <x:v>jcs4</x:v>
      </x:c>
      <x:c r="D688" s="36" t="n">
        <x:v>6</x:v>
      </x:c>
      <x:c r="E688" s="36" t="n">
        <x:v>6</x:v>
      </x:c>
      <x:c r="F688" s="36" t="n">
        <x:v>5</x:v>
      </x:c>
      <x:c r="G688" s="36" t="n">
        <x:v>2</x:v>
      </x:c>
      <x:c r="H688" s="34" t="str">
        <x:v>finalUndeployThreadEvidenceEarly</x:v>
      </x:c>
      <x:c r="I688" s="36" t="n">
        <x:v>2</x:v>
      </x:c>
      <x:c r="J688" s="34" t="str">
        <x:v>early</x:v>
      </x:c>
      <x:c r="K688" s="36" t="n">
        <x:v>27</x:v>
      </x:c>
      <x:c r="L688" s="51" t="n">
        <x:v>0</x:v>
      </x:c>
      <x:c r="M688" s="51" t="n">
        <x:v>0</x:v>
      </x:c>
      <x:c r="N688" s="36" t="n">
        <x:v>9</x:v>
      </x:c>
      <x:c r="O688" s="44" t="str">
        <x:v>http-nio-8080-exec-18#125 | http-nio-8080-exec-24#167 | http-nio-8080-exec-25#168 | http-nio-8080-exec-27#172 | http-nio-8080-exec-28#173 | http-nio-8080-exec-29#174 | http-nio-8080-exec-30#209 | http-nio-8080-exec-31#210 | http-nio-8080-exec-32#211</x:v>
      </x:c>
      <x:c r="P688" s="36" t="n">
        <x:v>8</x:v>
      </x:c>
      <x:c r="Q688" s="44" t="str">
        <x:v>http-nio-8080-exec-24#167 | http-nio-8080-exec-25#168 | http-nio-8080-exec-27#172 | http-nio-8080-exec-28#173 | http-nio-8080-exec-29#174 | http-nio-8080-exec-30#209 | http-nio-8080-exec-31#210 | http-nio-8080-exec-32#211</x:v>
      </x:c>
      <x:c r="R688" s="36" t="n">
        <x:v>0</x:v>
      </x:c>
      <x:c r="S688" s="44"/>
      <x:c r="T688" s="36" t="n">
        <x:v>0</x:v>
      </x:c>
      <x:c r="U688" s="44"/>
      <x:c r="V688" s="36" t="n">
        <x:v>0</x:v>
      </x:c>
      <x:c r="W688" s="44"/>
      <x:c r="X688" s="34" t="str">
        <x:v>no-post-undeploy-thread-signal</x:v>
      </x:c>
      <x:c r="Y688" s="44" t="str">
        <x:v>automated signatures are JCS-specific; all other candidate application threads remain unattributed and ownership requires the archived full dump</x:v>
      </x:c>
    </x:row>
    <x:row r="689">
      <x:c r="A689" s="34" t="str">
        <x:v>article1-unified-v4-2-fb3f101b-20260903-000401-default-f06-p5-jcs4</x:v>
      </x:c>
      <x:c r="B689" s="34" t="str">
        <x:v>default</x:v>
      </x:c>
      <x:c r="C689" s="34" t="str">
        <x:v>jcs4</x:v>
      </x:c>
      <x:c r="D689" s="36" t="n">
        <x:v>6</x:v>
      </x:c>
      <x:c r="E689" s="36" t="n">
        <x:v>6</x:v>
      </x:c>
      <x:c r="F689" s="36" t="n">
        <x:v>5</x:v>
      </x:c>
      <x:c r="G689" s="36" t="n">
        <x:v>2</x:v>
      </x:c>
      <x:c r="H689" s="34" t="str">
        <x:v>finalUndeployThreadEvidenceFinal</x:v>
      </x:c>
      <x:c r="I689" s="36" t="n">
        <x:v>2</x:v>
      </x:c>
      <x:c r="J689" s="34" t="str">
        <x:v>final</x:v>
      </x:c>
      <x:c r="K689" s="36" t="n">
        <x:v>27</x:v>
      </x:c>
      <x:c r="L689" s="51" t="n">
        <x:v>0</x:v>
      </x:c>
      <x:c r="M689" s="51" t="n">
        <x:v>0</x:v>
      </x:c>
      <x:c r="N689" s="36" t="n">
        <x:v>9</x:v>
      </x:c>
      <x:c r="O689" s="44" t="str">
        <x:v>http-nio-8080-exec-18#125 | http-nio-8080-exec-24#167 | http-nio-8080-exec-27#172 | http-nio-8080-exec-28#173 | http-nio-8080-exec-29#174 | http-nio-8080-exec-30#209 | http-nio-8080-exec-31#210 | http-nio-8080-exec-32#211 | http-nio-8080-exec-33#212</x:v>
      </x:c>
      <x:c r="P689" s="36" t="n">
        <x:v>8</x:v>
      </x:c>
      <x:c r="Q689" s="44" t="str">
        <x:v>http-nio-8080-exec-24#167 | http-nio-8080-exec-27#172 | http-nio-8080-exec-28#173 | http-nio-8080-exec-29#174 | http-nio-8080-exec-30#209 | http-nio-8080-exec-31#210 | http-nio-8080-exec-32#211 | http-nio-8080-exec-33#212</x:v>
      </x:c>
      <x:c r="R689" s="36" t="n">
        <x:v>0</x:v>
      </x:c>
      <x:c r="S689" s="44"/>
      <x:c r="T689" s="36" t="n">
        <x:v>0</x:v>
      </x:c>
      <x:c r="U689" s="44"/>
      <x:c r="V689" s="36" t="n">
        <x:v>0</x:v>
      </x:c>
      <x:c r="W689" s="44"/>
      <x:c r="X689" s="34" t="str">
        <x:v>no-post-undeploy-thread-signal</x:v>
      </x:c>
      <x:c r="Y689" s="44" t="str">
        <x:v>automated signatures are JCS-specific; all other candidate application threads remain unattributed and ownership requires the archived full dump</x:v>
      </x:c>
    </x:row>
    <x:row r="690">
      <x:c r="A690" s="34" t="str">
        <x:v>article1-unified-v4-2-fb3f101b-20260903-000401-default-f06-p5-jcs4</x:v>
      </x:c>
      <x:c r="B690" s="34" t="str">
        <x:v>default</x:v>
      </x:c>
      <x:c r="C690" s="34" t="str">
        <x:v>jcs4</x:v>
      </x:c>
      <x:c r="D690" s="36" t="n">
        <x:v>6</x:v>
      </x:c>
      <x:c r="E690" s="36" t="n">
        <x:v>6</x:v>
      </x:c>
      <x:c r="F690" s="36" t="n">
        <x:v>5</x:v>
      </x:c>
      <x:c r="G690" s="36" t="n">
        <x:v>3</x:v>
      </x:c>
      <x:c r="H690" s="34" t="str">
        <x:v>firstUndeployThreadEvidenceEarly</x:v>
      </x:c>
      <x:c r="I690" s="36" t="n">
        <x:v>1</x:v>
      </x:c>
      <x:c r="J690" s="34" t="str">
        <x:v>early</x:v>
      </x:c>
      <x:c r="K690" s="36" t="n">
        <x:v>27</x:v>
      </x:c>
      <x:c r="L690" s="51" t="n">
        <x:v>0</x:v>
      </x:c>
      <x:c r="M690" s="51" t="n">
        <x:v>0</x:v>
      </x:c>
      <x:c r="N690" s="36" t="n">
        <x:v>10</x:v>
      </x:c>
      <x:c r="O690" s="44" t="str">
        <x:v>http-nio-8080-exec-18#125 | http-nio-8080-exec-27#172 | http-nio-8080-exec-30#209 | http-nio-8080-exec-31#210 | http-nio-8080-exec-32#211 | http-nio-8080-exec-33#212 | http-nio-8080-exec-34#215 | http-nio-8080-exec-35#216 | http-nio-8080-exec-37#252 | http-nio-8080-exec-38#253</x:v>
      </x:c>
      <x:c r="P690" s="36" t="n">
        <x:v>4</x:v>
      </x:c>
      <x:c r="Q690" s="44" t="str">
        <x:v>http-nio-8080-exec-34#215 | http-nio-8080-exec-35#216 | http-nio-8080-exec-37#252 | http-nio-8080-exec-38#253</x:v>
      </x:c>
      <x:c r="R690" s="36" t="n">
        <x:v>0</x:v>
      </x:c>
      <x:c r="S690" s="44"/>
      <x:c r="T690" s="36" t="n">
        <x:v>0</x:v>
      </x:c>
      <x:c r="U690" s="44"/>
      <x:c r="V690" s="36" t="n">
        <x:v>0</x:v>
      </x:c>
      <x:c r="W690" s="44"/>
      <x:c r="X690" s="34" t="str">
        <x:v>no-post-undeploy-thread-signal</x:v>
      </x:c>
      <x:c r="Y690" s="44" t="str">
        <x:v>automated signatures are JCS-specific; all other candidate application threads remain unattributed and ownership requires the archived full dump</x:v>
      </x:c>
    </x:row>
    <x:row r="691">
      <x:c r="A691" s="34" t="str">
        <x:v>article1-unified-v4-2-fb3f101b-20260903-000401-default-f06-p5-jcs4</x:v>
      </x:c>
      <x:c r="B691" s="34" t="str">
        <x:v>default</x:v>
      </x:c>
      <x:c r="C691" s="34" t="str">
        <x:v>jcs4</x:v>
      </x:c>
      <x:c r="D691" s="36" t="n">
        <x:v>6</x:v>
      </x:c>
      <x:c r="E691" s="36" t="n">
        <x:v>6</x:v>
      </x:c>
      <x:c r="F691" s="36" t="n">
        <x:v>5</x:v>
      </x:c>
      <x:c r="G691" s="36" t="n">
        <x:v>3</x:v>
      </x:c>
      <x:c r="H691" s="34" t="str">
        <x:v>firstUndeployThreadEvidenceFinal</x:v>
      </x:c>
      <x:c r="I691" s="36" t="n">
        <x:v>1</x:v>
      </x:c>
      <x:c r="J691" s="34" t="str">
        <x:v>final</x:v>
      </x:c>
      <x:c r="K691" s="36" t="n">
        <x:v>27</x:v>
      </x:c>
      <x:c r="L691" s="51" t="n">
        <x:v>0</x:v>
      </x:c>
      <x:c r="M691" s="51" t="n">
        <x:v>0</x:v>
      </x:c>
      <x:c r="N691" s="36" t="n">
        <x:v>10</x:v>
      </x:c>
      <x:c r="O691" s="44" t="str">
        <x:v>http-nio-8080-exec-18#125 | http-nio-8080-exec-27#172 | http-nio-8080-exec-30#209 | http-nio-8080-exec-31#210 | http-nio-8080-exec-33#212 | http-nio-8080-exec-34#215 | http-nio-8080-exec-35#216 | http-nio-8080-exec-37#252 | http-nio-8080-exec-38#253 | http-nio-8080-exec-39#254</x:v>
      </x:c>
      <x:c r="P691" s="36" t="n">
        <x:v>5</x:v>
      </x:c>
      <x:c r="Q691" s="44" t="str">
        <x:v>http-nio-8080-exec-34#215 | http-nio-8080-exec-35#216 | http-nio-8080-exec-37#252 | http-nio-8080-exec-38#253 | http-nio-8080-exec-39#254</x:v>
      </x:c>
      <x:c r="R691" s="36" t="n">
        <x:v>0</x:v>
      </x:c>
      <x:c r="S691" s="44"/>
      <x:c r="T691" s="36" t="n">
        <x:v>0</x:v>
      </x:c>
      <x:c r="U691" s="44"/>
      <x:c r="V691" s="36" t="n">
        <x:v>0</x:v>
      </x:c>
      <x:c r="W691" s="44"/>
      <x:c r="X691" s="34" t="str">
        <x:v>no-post-undeploy-thread-signal</x:v>
      </x:c>
      <x:c r="Y691" s="44" t="str">
        <x:v>automated signatures are JCS-specific; all other candidate application threads remain unattributed and ownership requires the archived full dump</x:v>
      </x:c>
    </x:row>
    <x:row r="692">
      <x:c r="A692" s="34" t="str">
        <x:v>article1-unified-v4-2-fb3f101b-20260903-000401-default-f06-p5-jcs4</x:v>
      </x:c>
      <x:c r="B692" s="34" t="str">
        <x:v>default</x:v>
      </x:c>
      <x:c r="C692" s="34" t="str">
        <x:v>jcs4</x:v>
      </x:c>
      <x:c r="D692" s="36" t="n">
        <x:v>6</x:v>
      </x:c>
      <x:c r="E692" s="36" t="n">
        <x:v>6</x:v>
      </x:c>
      <x:c r="F692" s="36" t="n">
        <x:v>5</x:v>
      </x:c>
      <x:c r="G692" s="36" t="n">
        <x:v>3</x:v>
      </x:c>
      <x:c r="H692" s="34" t="str">
        <x:v>finalUndeployThreadEvidenceEarly</x:v>
      </x:c>
      <x:c r="I692" s="36" t="n">
        <x:v>2</x:v>
      </x:c>
      <x:c r="J692" s="34" t="str">
        <x:v>early</x:v>
      </x:c>
      <x:c r="K692" s="36" t="n">
        <x:v>27</x:v>
      </x:c>
      <x:c r="L692" s="51" t="n">
        <x:v>0</x:v>
      </x:c>
      <x:c r="M692" s="51" t="n">
        <x:v>0</x:v>
      </x:c>
      <x:c r="N692" s="36" t="n">
        <x:v>10</x:v>
      </x:c>
      <x:c r="O692" s="44" t="str">
        <x:v>http-nio-8080-exec-30#209 | http-nio-8080-exec-33#212 | http-nio-8080-exec-37#252 | http-nio-8080-exec-38#253 | http-nio-8080-exec-40#257 | http-nio-8080-exec-41#258 | http-nio-8080-exec-42#259 | http-nio-8080-exec-43#294 | http-nio-8080-exec-44#295 | http-nio-8080-exec-45#296</x:v>
      </x:c>
      <x:c r="P692" s="36" t="n">
        <x:v>8</x:v>
      </x:c>
      <x:c r="Q692" s="44" t="str">
        <x:v>http-nio-8080-exec-37#252 | http-nio-8080-exec-38#253 | http-nio-8080-exec-40#257 | http-nio-8080-exec-41#258 | http-nio-8080-exec-42#259 | http-nio-8080-exec-43#294 | http-nio-8080-exec-44#295 | http-nio-8080-exec-45#296</x:v>
      </x:c>
      <x:c r="R692" s="36" t="n">
        <x:v>0</x:v>
      </x:c>
      <x:c r="S692" s="44"/>
      <x:c r="T692" s="36" t="n">
        <x:v>0</x:v>
      </x:c>
      <x:c r="U692" s="44"/>
      <x:c r="V692" s="36" t="n">
        <x:v>0</x:v>
      </x:c>
      <x:c r="W692" s="44"/>
      <x:c r="X692" s="34" t="str">
        <x:v>no-post-undeploy-thread-signal</x:v>
      </x:c>
      <x:c r="Y692" s="44" t="str">
        <x:v>automated signatures are JCS-specific; all other candidate application threads remain unattributed and ownership requires the archived full dump</x:v>
      </x:c>
    </x:row>
    <x:row r="693">
      <x:c r="A693" s="34" t="str">
        <x:v>article1-unified-v4-2-fb3f101b-20260903-000401-default-f06-p5-jcs4</x:v>
      </x:c>
      <x:c r="B693" s="34" t="str">
        <x:v>default</x:v>
      </x:c>
      <x:c r="C693" s="34" t="str">
        <x:v>jcs4</x:v>
      </x:c>
      <x:c r="D693" s="36" t="n">
        <x:v>6</x:v>
      </x:c>
      <x:c r="E693" s="36" t="n">
        <x:v>6</x:v>
      </x:c>
      <x:c r="F693" s="36" t="n">
        <x:v>5</x:v>
      </x:c>
      <x:c r="G693" s="36" t="n">
        <x:v>3</x:v>
      </x:c>
      <x:c r="H693" s="34" t="str">
        <x:v>finalUndeployThreadEvidenceFinal</x:v>
      </x:c>
      <x:c r="I693" s="36" t="n">
        <x:v>2</x:v>
      </x:c>
      <x:c r="J693" s="34" t="str">
        <x:v>final</x:v>
      </x:c>
      <x:c r="K693" s="36" t="n">
        <x:v>27</x:v>
      </x:c>
      <x:c r="L693" s="51" t="n">
        <x:v>0</x:v>
      </x:c>
      <x:c r="M693" s="51" t="n">
        <x:v>0</x:v>
      </x:c>
      <x:c r="N693" s="36" t="n">
        <x:v>10</x:v>
      </x:c>
      <x:c r="O693" s="44" t="str">
        <x:v>http-nio-8080-exec-30#209 | http-nio-8080-exec-33#212 | http-nio-8080-exec-37#252 | http-nio-8080-exec-38#253 | http-nio-8080-exec-40#257 | http-nio-8080-exec-41#258 | http-nio-8080-exec-43#294 | http-nio-8080-exec-44#295 | http-nio-8080-exec-45#296 | http-nio-8080-exec-46#297</x:v>
      </x:c>
      <x:c r="P693" s="36" t="n">
        <x:v>8</x:v>
      </x:c>
      <x:c r="Q693" s="44" t="str">
        <x:v>http-nio-8080-exec-37#252 | http-nio-8080-exec-38#253 | http-nio-8080-exec-40#257 | http-nio-8080-exec-41#258 | http-nio-8080-exec-43#294 | http-nio-8080-exec-44#295 | http-nio-8080-exec-45#296 | http-nio-8080-exec-46#297</x:v>
      </x:c>
      <x:c r="R693" s="36" t="n">
        <x:v>0</x:v>
      </x:c>
      <x:c r="S693" s="44"/>
      <x:c r="T693" s="36" t="n">
        <x:v>0</x:v>
      </x:c>
      <x:c r="U693" s="44"/>
      <x:c r="V693" s="36" t="n">
        <x:v>0</x:v>
      </x:c>
      <x:c r="W693" s="44"/>
      <x:c r="X693" s="34" t="str">
        <x:v>no-post-undeploy-thread-signal</x:v>
      </x:c>
      <x:c r="Y693" s="44" t="str">
        <x:v>automated signatures are JCS-specific; all other candidate application threads remain unattributed and ownership requires the archived full dump</x:v>
      </x:c>
    </x:row>
    <x:row r="694">
      <x:c r="A694" s="34" t="str">
        <x:v>article1-unified-v4-2-fb3f101b-20260903-000401-default-f06-p5-jcs4</x:v>
      </x:c>
      <x:c r="B694" s="34" t="str">
        <x:v>default</x:v>
      </x:c>
      <x:c r="C694" s="34" t="str">
        <x:v>jcs4</x:v>
      </x:c>
      <x:c r="D694" s="36" t="n">
        <x:v>6</x:v>
      </x:c>
      <x:c r="E694" s="36" t="n">
        <x:v>6</x:v>
      </x:c>
      <x:c r="F694" s="36" t="n">
        <x:v>5</x:v>
      </x:c>
      <x:c r="G694" s="36" t="n">
        <x:v>4</x:v>
      </x:c>
      <x:c r="H694" s="34" t="str">
        <x:v>firstUndeployThreadEvidenceEarly</x:v>
      </x:c>
      <x:c r="I694" s="36" t="n">
        <x:v>1</x:v>
      </x:c>
      <x:c r="J694" s="34" t="str">
        <x:v>early</x:v>
      </x:c>
      <x:c r="K694" s="36" t="n">
        <x:v>27</x:v>
      </x:c>
      <x:c r="L694" s="51" t="n">
        <x:v>0</x:v>
      </x:c>
      <x:c r="M694" s="51" t="n">
        <x:v>0</x:v>
      </x:c>
      <x:c r="N694" s="36" t="n">
        <x:v>10</x:v>
      </x:c>
      <x:c r="O694" s="44" t="str">
        <x:v>http-nio-8080-exec-30#209 | http-nio-8080-exec-37#252 | http-nio-8080-exec-38#253 | http-nio-8080-exec-44#295 | http-nio-8080-exec-45#296 | http-nio-8080-exec-46#297 | http-nio-8080-exec-47#300 | http-nio-8080-exec-49#336 | http-nio-8080-exec-50#337 | http-nio-8080-exec-51#338</x:v>
      </x:c>
      <x:c r="P694" s="36" t="n">
        <x:v>4</x:v>
      </x:c>
      <x:c r="Q694" s="44" t="str">
        <x:v>http-nio-8080-exec-47#300 | http-nio-8080-exec-49#336 | http-nio-8080-exec-50#337 | http-nio-8080-exec-51#338</x:v>
      </x:c>
      <x:c r="R694" s="36" t="n">
        <x:v>0</x:v>
      </x:c>
      <x:c r="S694" s="44"/>
      <x:c r="T694" s="36" t="n">
        <x:v>0</x:v>
      </x:c>
      <x:c r="U694" s="44"/>
      <x:c r="V694" s="36" t="n">
        <x:v>0</x:v>
      </x:c>
      <x:c r="W694" s="44"/>
      <x:c r="X694" s="34" t="str">
        <x:v>no-post-undeploy-thread-signal</x:v>
      </x:c>
      <x:c r="Y694" s="44" t="str">
        <x:v>automated signatures are JCS-specific; all other candidate application threads remain unattributed and ownership requires the archived full dump</x:v>
      </x:c>
    </x:row>
    <x:row r="695">
      <x:c r="A695" s="34" t="str">
        <x:v>article1-unified-v4-2-fb3f101b-20260903-000401-default-f06-p5-jcs4</x:v>
      </x:c>
      <x:c r="B695" s="34" t="str">
        <x:v>default</x:v>
      </x:c>
      <x:c r="C695" s="34" t="str">
        <x:v>jcs4</x:v>
      </x:c>
      <x:c r="D695" s="36" t="n">
        <x:v>6</x:v>
      </x:c>
      <x:c r="E695" s="36" t="n">
        <x:v>6</x:v>
      </x:c>
      <x:c r="F695" s="36" t="n">
        <x:v>5</x:v>
      </x:c>
      <x:c r="G695" s="36" t="n">
        <x:v>4</x:v>
      </x:c>
      <x:c r="H695" s="34" t="str">
        <x:v>firstUndeployThreadEvidenceFinal</x:v>
      </x:c>
      <x:c r="I695" s="36" t="n">
        <x:v>1</x:v>
      </x:c>
      <x:c r="J695" s="34" t="str">
        <x:v>final</x:v>
      </x:c>
      <x:c r="K695" s="36" t="n">
        <x:v>27</x:v>
      </x:c>
      <x:c r="L695" s="51" t="n">
        <x:v>0</x:v>
      </x:c>
      <x:c r="M695" s="51" t="n">
        <x:v>0</x:v>
      </x:c>
      <x:c r="N695" s="36" t="n">
        <x:v>10</x:v>
      </x:c>
      <x:c r="O695" s="44" t="str">
        <x:v>http-nio-8080-exec-30#209 | http-nio-8080-exec-38#253 | http-nio-8080-exec-44#295 | http-nio-8080-exec-45#296 | http-nio-8080-exec-46#297 | http-nio-8080-exec-47#300 | http-nio-8080-exec-49#336 | http-nio-8080-exec-50#337 | http-nio-8080-exec-51#338 | http-nio-8080-exec-52#339</x:v>
      </x:c>
      <x:c r="P695" s="36" t="n">
        <x:v>5</x:v>
      </x:c>
      <x:c r="Q695" s="44" t="str">
        <x:v>http-nio-8080-exec-47#300 | http-nio-8080-exec-49#336 | http-nio-8080-exec-50#337 | http-nio-8080-exec-51#338 | http-nio-8080-exec-52#339</x:v>
      </x:c>
      <x:c r="R695" s="36" t="n">
        <x:v>0</x:v>
      </x:c>
      <x:c r="S695" s="44"/>
      <x:c r="T695" s="36" t="n">
        <x:v>0</x:v>
      </x:c>
      <x:c r="U695" s="44"/>
      <x:c r="V695" s="36" t="n">
        <x:v>0</x:v>
      </x:c>
      <x:c r="W695" s="44"/>
      <x:c r="X695" s="34" t="str">
        <x:v>no-post-undeploy-thread-signal</x:v>
      </x:c>
      <x:c r="Y695" s="44" t="str">
        <x:v>automated signatures are JCS-specific; all other candidate application threads remain unattributed and ownership requires the archived full dump</x:v>
      </x:c>
    </x:row>
    <x:row r="696">
      <x:c r="A696" s="34" t="str">
        <x:v>article1-unified-v4-2-fb3f101b-20260903-000401-default-f06-p5-jcs4</x:v>
      </x:c>
      <x:c r="B696" s="34" t="str">
        <x:v>default</x:v>
      </x:c>
      <x:c r="C696" s="34" t="str">
        <x:v>jcs4</x:v>
      </x:c>
      <x:c r="D696" s="36" t="n">
        <x:v>6</x:v>
      </x:c>
      <x:c r="E696" s="36" t="n">
        <x:v>6</x:v>
      </x:c>
      <x:c r="F696" s="36" t="n">
        <x:v>5</x:v>
      </x:c>
      <x:c r="G696" s="36" t="n">
        <x:v>4</x:v>
      </x:c>
      <x:c r="H696" s="34" t="str">
        <x:v>finalUndeployThreadEvidenceEarly</x:v>
      </x:c>
      <x:c r="I696" s="36" t="n">
        <x:v>2</x:v>
      </x:c>
      <x:c r="J696" s="34" t="str">
        <x:v>early</x:v>
      </x:c>
      <x:c r="K696" s="36" t="n">
        <x:v>27</x:v>
      </x:c>
      <x:c r="L696" s="51" t="n">
        <x:v>0</x:v>
      </x:c>
      <x:c r="M696" s="51" t="n">
        <x:v>0</x:v>
      </x:c>
      <x:c r="N696" s="36" t="n">
        <x:v>10</x:v>
      </x:c>
      <x:c r="O696" s="44" t="str">
        <x:v>http-nio-8080-exec-38#253 | http-nio-8080-exec-47#300 | http-nio-8080-exec-50#337 | http-nio-8080-exec-51#338 | http-nio-8080-exec-52#339 | http-nio-8080-exec-53#342 | http-nio-8080-exec-54#343 | http-nio-8080-exec-56#379 | http-nio-8080-exec-57#380 | http-nio-8080-exec-58#381</x:v>
      </x:c>
      <x:c r="P696" s="36" t="n">
        <x:v>9</x:v>
      </x:c>
      <x:c r="Q696" s="44" t="str">
        <x:v>http-nio-8080-exec-47#300 | http-nio-8080-exec-50#337 | http-nio-8080-exec-51#338 | http-nio-8080-exec-52#339 | http-nio-8080-exec-53#342 | http-nio-8080-exec-54#343 | http-nio-8080-exec-56#379 | http-nio-8080-exec-57#380 | http-nio-8080-exec-58#381</x:v>
      </x:c>
      <x:c r="R696" s="36" t="n">
        <x:v>0</x:v>
      </x:c>
      <x:c r="S696" s="44"/>
      <x:c r="T696" s="36" t="n">
        <x:v>0</x:v>
      </x:c>
      <x:c r="U696" s="44"/>
      <x:c r="V696" s="36" t="n">
        <x:v>0</x:v>
      </x:c>
      <x:c r="W696" s="44"/>
      <x:c r="X696" s="34" t="str">
        <x:v>no-post-undeploy-thread-signal</x:v>
      </x:c>
      <x:c r="Y696" s="44" t="str">
        <x:v>automated signatures are JCS-specific; all other candidate application threads remain unattributed and ownership requires the archived full dump</x:v>
      </x:c>
    </x:row>
    <x:row r="697">
      <x:c r="A697" s="34" t="str">
        <x:v>article1-unified-v4-2-fb3f101b-20260903-000401-default-f06-p5-jcs4</x:v>
      </x:c>
      <x:c r="B697" s="34" t="str">
        <x:v>default</x:v>
      </x:c>
      <x:c r="C697" s="34" t="str">
        <x:v>jcs4</x:v>
      </x:c>
      <x:c r="D697" s="36" t="n">
        <x:v>6</x:v>
      </x:c>
      <x:c r="E697" s="36" t="n">
        <x:v>6</x:v>
      </x:c>
      <x:c r="F697" s="36" t="n">
        <x:v>5</x:v>
      </x:c>
      <x:c r="G697" s="36" t="n">
        <x:v>4</x:v>
      </x:c>
      <x:c r="H697" s="34" t="str">
        <x:v>finalUndeployThreadEvidenceFinal</x:v>
      </x:c>
      <x:c r="I697" s="36" t="n">
        <x:v>2</x:v>
      </x:c>
      <x:c r="J697" s="34" t="str">
        <x:v>final</x:v>
      </x:c>
      <x:c r="K697" s="36" t="n">
        <x:v>27</x:v>
      </x:c>
      <x:c r="L697" s="51" t="n">
        <x:v>0</x:v>
      </x:c>
      <x:c r="M697" s="51" t="n">
        <x:v>0</x:v>
      </x:c>
      <x:c r="N697" s="36" t="n">
        <x:v>10</x:v>
      </x:c>
      <x:c r="O697" s="44" t="str">
        <x:v>http-nio-8080-exec-38#253 | http-nio-8080-exec-47#300 | http-nio-8080-exec-50#337 | http-nio-8080-exec-51#338 | http-nio-8080-exec-53#342 | http-nio-8080-exec-54#343 | http-nio-8080-exec-56#379 | http-nio-8080-exec-57#380 | http-nio-8080-exec-58#381 | http-nio-8080-exec-59#382</x:v>
      </x:c>
      <x:c r="P697" s="36" t="n">
        <x:v>9</x:v>
      </x:c>
      <x:c r="Q697" s="44" t="str">
        <x:v>http-nio-8080-exec-47#300 | http-nio-8080-exec-50#337 | http-nio-8080-exec-51#338 | http-nio-8080-exec-53#342 | http-nio-8080-exec-54#343 | http-nio-8080-exec-56#379 | http-nio-8080-exec-57#380 | http-nio-8080-exec-58#381 | http-nio-8080-exec-59#382</x:v>
      </x:c>
      <x:c r="R697" s="36" t="n">
        <x:v>0</x:v>
      </x:c>
      <x:c r="S697" s="44"/>
      <x:c r="T697" s="36" t="n">
        <x:v>0</x:v>
      </x:c>
      <x:c r="U697" s="44"/>
      <x:c r="V697" s="36" t="n">
        <x:v>0</x:v>
      </x:c>
      <x:c r="W697" s="44"/>
      <x:c r="X697" s="34" t="str">
        <x:v>no-post-undeploy-thread-signal</x:v>
      </x:c>
      <x:c r="Y697" s="44" t="str">
        <x:v>automated signatures are JCS-specific; all other candidate application threads remain unattributed and ownership requires the archived full dump</x:v>
      </x:c>
    </x:row>
    <x:row r="698">
      <x:c r="A698" s="34" t="str">
        <x:v>article1-unified-v4-2-fb3f101b-20260903-000401-default-f06-p5-jcs4</x:v>
      </x:c>
      <x:c r="B698" s="34" t="str">
        <x:v>default</x:v>
      </x:c>
      <x:c r="C698" s="34" t="str">
        <x:v>jcs4</x:v>
      </x:c>
      <x:c r="D698" s="36" t="n">
        <x:v>6</x:v>
      </x:c>
      <x:c r="E698" s="36" t="n">
        <x:v>6</x:v>
      </x:c>
      <x:c r="F698" s="36" t="n">
        <x:v>5</x:v>
      </x:c>
      <x:c r="G698" s="36" t="n">
        <x:v>5</x:v>
      </x:c>
      <x:c r="H698" s="34" t="str">
        <x:v>firstUndeployThreadEvidenceEarly</x:v>
      </x:c>
      <x:c r="I698" s="36" t="n">
        <x:v>1</x:v>
      </x:c>
      <x:c r="J698" s="34" t="str">
        <x:v>early</x:v>
      </x:c>
      <x:c r="K698" s="36" t="n">
        <x:v>27</x:v>
      </x:c>
      <x:c r="L698" s="51" t="n">
        <x:v>0</x:v>
      </x:c>
      <x:c r="M698" s="51" t="n">
        <x:v>0</x:v>
      </x:c>
      <x:c r="N698" s="36" t="n">
        <x:v>10</x:v>
      </x:c>
      <x:c r="O698" s="44" t="str">
        <x:v>http-nio-8080-exec-38#253 | http-nio-8080-exec-47#300 | http-nio-8080-exec-53#342 | http-nio-8080-exec-57#380 | http-nio-8080-exec-58#381 | http-nio-8080-exec-59#382 | http-nio-8080-exec-60#385 | http-nio-8080-exec-61#386 | http-nio-8080-exec-63#422 | http-nio-8080-exec-64#423</x:v>
      </x:c>
      <x:c r="P698" s="36" t="n">
        <x:v>4</x:v>
      </x:c>
      <x:c r="Q698" s="44" t="str">
        <x:v>http-nio-8080-exec-60#385 | http-nio-8080-exec-61#386 | http-nio-8080-exec-63#422 | http-nio-8080-exec-64#423</x:v>
      </x:c>
      <x:c r="R698" s="36" t="n">
        <x:v>0</x:v>
      </x:c>
      <x:c r="S698" s="44"/>
      <x:c r="T698" s="36" t="n">
        <x:v>0</x:v>
      </x:c>
      <x:c r="U698" s="44"/>
      <x:c r="V698" s="36" t="n">
        <x:v>0</x:v>
      </x:c>
      <x:c r="W698" s="44"/>
      <x:c r="X698" s="34" t="str">
        <x:v>no-post-undeploy-thread-signal</x:v>
      </x:c>
      <x:c r="Y698" s="44" t="str">
        <x:v>automated signatures are JCS-specific; all other candidate application threads remain unattributed and ownership requires the archived full dump</x:v>
      </x:c>
    </x:row>
    <x:row r="699">
      <x:c r="A699" s="34" t="str">
        <x:v>article1-unified-v4-2-fb3f101b-20260903-000401-default-f06-p5-jcs4</x:v>
      </x:c>
      <x:c r="B699" s="34" t="str">
        <x:v>default</x:v>
      </x:c>
      <x:c r="C699" s="34" t="str">
        <x:v>jcs4</x:v>
      </x:c>
      <x:c r="D699" s="36" t="n">
        <x:v>6</x:v>
      </x:c>
      <x:c r="E699" s="36" t="n">
        <x:v>6</x:v>
      </x:c>
      <x:c r="F699" s="36" t="n">
        <x:v>5</x:v>
      </x:c>
      <x:c r="G699" s="36" t="n">
        <x:v>5</x:v>
      </x:c>
      <x:c r="H699" s="34" t="str">
        <x:v>firstUndeployThreadEvidenceFinal</x:v>
      </x:c>
      <x:c r="I699" s="36" t="n">
        <x:v>1</x:v>
      </x:c>
      <x:c r="J699" s="34" t="str">
        <x:v>final</x:v>
      </x:c>
      <x:c r="K699" s="36" t="n">
        <x:v>27</x:v>
      </x:c>
      <x:c r="L699" s="51" t="n">
        <x:v>0</x:v>
      </x:c>
      <x:c r="M699" s="51" t="n">
        <x:v>0</x:v>
      </x:c>
      <x:c r="N699" s="36" t="n">
        <x:v>10</x:v>
      </x:c>
      <x:c r="O699" s="44" t="str">
        <x:v>http-nio-8080-exec-38#253 | http-nio-8080-exec-47#300 | http-nio-8080-exec-53#342 | http-nio-8080-exec-57#380 | http-nio-8080-exec-59#382 | http-nio-8080-exec-60#385 | http-nio-8080-exec-61#386 | http-nio-8080-exec-63#422 | http-nio-8080-exec-64#423 | http-nio-8080-exec-65#424</x:v>
      </x:c>
      <x:c r="P699" s="36" t="n">
        <x:v>5</x:v>
      </x:c>
      <x:c r="Q699" s="44" t="str">
        <x:v>http-nio-8080-exec-60#385 | http-nio-8080-exec-61#386 | http-nio-8080-exec-63#422 | http-nio-8080-exec-64#423 | http-nio-8080-exec-65#424</x:v>
      </x:c>
      <x:c r="R699" s="36" t="n">
        <x:v>0</x:v>
      </x:c>
      <x:c r="S699" s="44"/>
      <x:c r="T699" s="36" t="n">
        <x:v>0</x:v>
      </x:c>
      <x:c r="U699" s="44"/>
      <x:c r="V699" s="36" t="n">
        <x:v>0</x:v>
      </x:c>
      <x:c r="W699" s="44"/>
      <x:c r="X699" s="34" t="str">
        <x:v>no-post-undeploy-thread-signal</x:v>
      </x:c>
      <x:c r="Y699" s="44" t="str">
        <x:v>automated signatures are JCS-specific; all other candidate application threads remain unattributed and ownership requires the archived full dump</x:v>
      </x:c>
    </x:row>
    <x:row r="700">
      <x:c r="A700" s="34" t="str">
        <x:v>article1-unified-v4-2-fb3f101b-20260903-000401-default-f06-p5-jcs4</x:v>
      </x:c>
      <x:c r="B700" s="34" t="str">
        <x:v>default</x:v>
      </x:c>
      <x:c r="C700" s="34" t="str">
        <x:v>jcs4</x:v>
      </x:c>
      <x:c r="D700" s="36" t="n">
        <x:v>6</x:v>
      </x:c>
      <x:c r="E700" s="36" t="n">
        <x:v>6</x:v>
      </x:c>
      <x:c r="F700" s="36" t="n">
        <x:v>5</x:v>
      </x:c>
      <x:c r="G700" s="36" t="n">
        <x:v>5</x:v>
      </x:c>
      <x:c r="H700" s="34" t="str">
        <x:v>finalUndeployThreadEvidenceEarly</x:v>
      </x:c>
      <x:c r="I700" s="36" t="n">
        <x:v>2</x:v>
      </x:c>
      <x:c r="J700" s="34" t="str">
        <x:v>early</x:v>
      </x:c>
      <x:c r="K700" s="36" t="n">
        <x:v>27</x:v>
      </x:c>
      <x:c r="L700" s="51" t="n">
        <x:v>0</x:v>
      </x:c>
      <x:c r="M700" s="51" t="n">
        <x:v>0</x:v>
      </x:c>
      <x:c r="N700" s="36" t="n">
        <x:v>10</x:v>
      </x:c>
      <x:c r="O700" s="44" t="str">
        <x:v>http-nio-8080-exec-38#253 | http-nio-8080-exec-47#300 | http-nio-8080-exec-63#422 | http-nio-8080-exec-64#423 | http-nio-8080-exec-65#424 | http-nio-8080-exec-66#427 | http-nio-8080-exec-67#428 | http-nio-8080-exec-68#429 | http-nio-8080-exec-70#465 | http-nio-8080-exec-71#466</x:v>
      </x:c>
      <x:c r="P700" s="36" t="n">
        <x:v>8</x:v>
      </x:c>
      <x:c r="Q700" s="44" t="str">
        <x:v>http-nio-8080-exec-63#422 | http-nio-8080-exec-64#423 | http-nio-8080-exec-65#424 | http-nio-8080-exec-66#427 | http-nio-8080-exec-67#428 | http-nio-8080-exec-68#429 | http-nio-8080-exec-70#465 | http-nio-8080-exec-71#466</x:v>
      </x:c>
      <x:c r="R700" s="36" t="n">
        <x:v>0</x:v>
      </x:c>
      <x:c r="S700" s="44"/>
      <x:c r="T700" s="36" t="n">
        <x:v>0</x:v>
      </x:c>
      <x:c r="U700" s="44"/>
      <x:c r="V700" s="36" t="n">
        <x:v>0</x:v>
      </x:c>
      <x:c r="W700" s="44"/>
      <x:c r="X700" s="34" t="str">
        <x:v>no-post-undeploy-thread-signal</x:v>
      </x:c>
      <x:c r="Y700" s="44" t="str">
        <x:v>automated signatures are JCS-specific; all other candidate application threads remain unattributed and ownership requires the archived full dump</x:v>
      </x:c>
    </x:row>
    <x:row r="701">
      <x:c r="A701" s="34" t="str">
        <x:v>article1-unified-v4-2-fb3f101b-20260903-000401-default-f06-p5-jcs4</x:v>
      </x:c>
      <x:c r="B701" s="34" t="str">
        <x:v>default</x:v>
      </x:c>
      <x:c r="C701" s="34" t="str">
        <x:v>jcs4</x:v>
      </x:c>
      <x:c r="D701" s="36" t="n">
        <x:v>6</x:v>
      </x:c>
      <x:c r="E701" s="36" t="n">
        <x:v>6</x:v>
      </x:c>
      <x:c r="F701" s="36" t="n">
        <x:v>5</x:v>
      </x:c>
      <x:c r="G701" s="36" t="n">
        <x:v>5</x:v>
      </x:c>
      <x:c r="H701" s="34" t="str">
        <x:v>finalUndeployThreadEvidenceFinal</x:v>
      </x:c>
      <x:c r="I701" s="36" t="n">
        <x:v>2</x:v>
      </x:c>
      <x:c r="J701" s="34" t="str">
        <x:v>final</x:v>
      </x:c>
      <x:c r="K701" s="36" t="n">
        <x:v>27</x:v>
      </x:c>
      <x:c r="L701" s="51" t="n">
        <x:v>0</x:v>
      </x:c>
      <x:c r="M701" s="51" t="n">
        <x:v>0</x:v>
      </x:c>
      <x:c r="N701" s="36" t="n">
        <x:v>10</x:v>
      </x:c>
      <x:c r="O701" s="44" t="str">
        <x:v>http-nio-8080-exec-38#253 | http-nio-8080-exec-47#300 | http-nio-8080-exec-63#422 | http-nio-8080-exec-64#423 | http-nio-8080-exec-65#424 | http-nio-8080-exec-66#427 | http-nio-8080-exec-68#429 | http-nio-8080-exec-70#465 | http-nio-8080-exec-71#466 | http-nio-8080-exec-72#467</x:v>
      </x:c>
      <x:c r="P701" s="36" t="n">
        <x:v>8</x:v>
      </x:c>
      <x:c r="Q701" s="44" t="str">
        <x:v>http-nio-8080-exec-63#422 | http-nio-8080-exec-64#423 | http-nio-8080-exec-65#424 | http-nio-8080-exec-66#427 | http-nio-8080-exec-68#429 | http-nio-8080-exec-70#465 | http-nio-8080-exec-71#466 | http-nio-8080-exec-72#467</x:v>
      </x:c>
      <x:c r="R701" s="36" t="n">
        <x:v>0</x:v>
      </x:c>
      <x:c r="S701" s="44"/>
      <x:c r="T701" s="36" t="n">
        <x:v>0</x:v>
      </x:c>
      <x:c r="U701" s="44"/>
      <x:c r="V701" s="36" t="n">
        <x:v>0</x:v>
      </x:c>
      <x:c r="W701" s="44"/>
      <x:c r="X701" s="34" t="str">
        <x:v>no-post-undeploy-thread-signal</x:v>
      </x:c>
      <x:c r="Y701" s="44" t="str">
        <x:v>automated signatures are JCS-specific; all other candidate application threads remain unattributed and ownership requires the archived full dump</x:v>
      </x:c>
    </x:row>
    <x:row r="702">
      <x:c r="A702" s="34" t="str">
        <x:v>article1-unified-v4-2-fb3f101b-20260903-000401-default-f06-p6-cache2k</x:v>
      </x:c>
      <x:c r="B702" s="34" t="str">
        <x:v>default</x:v>
      </x:c>
      <x:c r="C702" s="34" t="str">
        <x:v>cache2k</x:v>
      </x:c>
      <x:c r="D702" s="36" t="n">
        <x:v>6</x:v>
      </x:c>
      <x:c r="E702" s="36" t="n">
        <x:v>6</x:v>
      </x:c>
      <x:c r="F702" s="36" t="n">
        <x:v>6</x:v>
      </x:c>
      <x:c r="G702" s="36" t="n">
        <x:v>1</x:v>
      </x:c>
      <x:c r="H702" s="34" t="str">
        <x:v>firstUndeployThreadEvidenceEarly</x:v>
      </x:c>
      <x:c r="I702" s="36" t="n">
        <x:v>1</x:v>
      </x:c>
      <x:c r="J702" s="34" t="str">
        <x:v>early</x:v>
      </x:c>
      <x:c r="K702" s="36" t="n">
        <x:v>27</x:v>
      </x:c>
      <x:c r="L702" s="51" t="n">
        <x:v>0</x:v>
      </x:c>
      <x:c r="M702" s="51" t="n">
        <x:v>0</x:v>
      </x:c>
      <x:c r="N702" s="36" t="n">
        <x:v>2</x:v>
      </x:c>
      <x:c r="O702" s="44" t="str">
        <x:v>http-nio-8080-exec-11#81 | http-nio-8080-exec-12#82</x:v>
      </x:c>
      <x:c r="P702" s="36" t="n">
        <x:v>2</x:v>
      </x:c>
      <x:c r="Q702" s="44" t="str">
        <x:v>http-nio-8080-exec-11#81 | http-nio-8080-exec-12#82</x:v>
      </x:c>
      <x:c r="R702" s="36" t="n">
        <x:v>0</x:v>
      </x:c>
      <x:c r="S702" s="44"/>
      <x:c r="T702" s="36" t="n">
        <x:v>0</x:v>
      </x:c>
      <x:c r="U702" s="44"/>
      <x:c r="V702" s="36" t="n">
        <x:v>0</x:v>
      </x:c>
      <x:c r="W702" s="44"/>
      <x:c r="X702" s="34" t="str">
        <x:v>no-post-undeploy-thread-signal</x:v>
      </x:c>
      <x:c r="Y702" s="44" t="str">
        <x:v>automated signatures are JCS-specific; all other candidate application threads remain unattributed and ownership requires the archived full dump</x:v>
      </x:c>
    </x:row>
    <x:row r="703">
      <x:c r="A703" s="34" t="str">
        <x:v>article1-unified-v4-2-fb3f101b-20260903-000401-default-f06-p6-cache2k</x:v>
      </x:c>
      <x:c r="B703" s="34" t="str">
        <x:v>default</x:v>
      </x:c>
      <x:c r="C703" s="34" t="str">
        <x:v>cache2k</x:v>
      </x:c>
      <x:c r="D703" s="36" t="n">
        <x:v>6</x:v>
      </x:c>
      <x:c r="E703" s="36" t="n">
        <x:v>6</x:v>
      </x:c>
      <x:c r="F703" s="36" t="n">
        <x:v>6</x:v>
      </x:c>
      <x:c r="G703" s="36" t="n">
        <x:v>1</x:v>
      </x:c>
      <x:c r="H703" s="34" t="str">
        <x:v>firstUndeployThreadEvidenceFinal</x:v>
      </x:c>
      <x:c r="I703" s="36" t="n">
        <x:v>1</x:v>
      </x:c>
      <x:c r="J703" s="34" t="str">
        <x:v>final</x:v>
      </x:c>
      <x:c r="K703" s="36" t="n">
        <x:v>27</x:v>
      </x:c>
      <x:c r="L703" s="51" t="n">
        <x:v>0</x:v>
      </x:c>
      <x:c r="M703" s="51" t="n">
        <x:v>0</x:v>
      </x:c>
      <x:c r="N703" s="36" t="n">
        <x:v>3</x:v>
      </x:c>
      <x:c r="O703" s="44" t="str">
        <x:v>http-nio-8080-exec-11#81 | http-nio-8080-exec-12#82 | http-nio-8080-exec-13#83</x:v>
      </x:c>
      <x:c r="P703" s="36" t="n">
        <x:v>3</x:v>
      </x:c>
      <x:c r="Q703" s="44" t="str">
        <x:v>http-nio-8080-exec-11#81 | http-nio-8080-exec-12#82 | http-nio-8080-exec-13#83</x:v>
      </x:c>
      <x:c r="R703" s="36" t="n">
        <x:v>0</x:v>
      </x:c>
      <x:c r="S703" s="44"/>
      <x:c r="T703" s="36" t="n">
        <x:v>0</x:v>
      </x:c>
      <x:c r="U703" s="44"/>
      <x:c r="V703" s="36" t="n">
        <x:v>0</x:v>
      </x:c>
      <x:c r="W703" s="44"/>
      <x:c r="X703" s="34" t="str">
        <x:v>no-post-undeploy-thread-signal</x:v>
      </x:c>
      <x:c r="Y703" s="44" t="str">
        <x:v>automated signatures are JCS-specific; all other candidate application threads remain unattributed and ownership requires the archived full dump</x:v>
      </x:c>
    </x:row>
    <x:row r="704">
      <x:c r="A704" s="34" t="str">
        <x:v>article1-unified-v4-2-fb3f101b-20260903-000401-default-f06-p6-cache2k</x:v>
      </x:c>
      <x:c r="B704" s="34" t="str">
        <x:v>default</x:v>
      </x:c>
      <x:c r="C704" s="34" t="str">
        <x:v>cache2k</x:v>
      </x:c>
      <x:c r="D704" s="36" t="n">
        <x:v>6</x:v>
      </x:c>
      <x:c r="E704" s="36" t="n">
        <x:v>6</x:v>
      </x:c>
      <x:c r="F704" s="36" t="n">
        <x:v>6</x:v>
      </x:c>
      <x:c r="G704" s="36" t="n">
        <x:v>1</x:v>
      </x:c>
      <x:c r="H704" s="34" t="str">
        <x:v>finalUndeployThreadEvidenceEarly</x:v>
      </x:c>
      <x:c r="I704" s="36" t="n">
        <x:v>2</x:v>
      </x:c>
      <x:c r="J704" s="34" t="str">
        <x:v>early</x:v>
      </x:c>
      <x:c r="K704" s="36" t="n">
        <x:v>27</x:v>
      </x:c>
      <x:c r="L704" s="51" t="n">
        <x:v>0</x:v>
      </x:c>
      <x:c r="M704" s="51" t="n">
        <x:v>0</x:v>
      </x:c>
      <x:c r="N704" s="36" t="n">
        <x:v>9</x:v>
      </x:c>
      <x:c r="O704" s="44" t="str">
        <x:v>http-nio-8080-exec-11#81 | http-nio-8080-exec-12#82 | http-nio-8080-exec-13#83 | http-nio-8080-exec-14#86 | http-nio-8080-exec-15#87 | http-nio-8080-exec-16#88 | http-nio-8080-exec-17#122 | http-nio-8080-exec-18#123 | http-nio-8080-exec-19#124</x:v>
      </x:c>
      <x:c r="P704" s="36" t="n">
        <x:v>9</x:v>
      </x:c>
      <x:c r="Q704" s="44" t="str">
        <x:v>http-nio-8080-exec-11#81 | http-nio-8080-exec-12#82 | http-nio-8080-exec-13#83 | http-nio-8080-exec-14#86 | http-nio-8080-exec-15#87 | http-nio-8080-exec-16#88 | http-nio-8080-exec-17#122 | http-nio-8080-exec-18#123 | http-nio-8080-exec-19#124</x:v>
      </x:c>
      <x:c r="R704" s="36" t="n">
        <x:v>0</x:v>
      </x:c>
      <x:c r="S704" s="44"/>
      <x:c r="T704" s="36" t="n">
        <x:v>0</x:v>
      </x:c>
      <x:c r="U704" s="44"/>
      <x:c r="V704" s="36" t="n">
        <x:v>0</x:v>
      </x:c>
      <x:c r="W704" s="44"/>
      <x:c r="X704" s="34" t="str">
        <x:v>no-post-undeploy-thread-signal</x:v>
      </x:c>
      <x:c r="Y704" s="44" t="str">
        <x:v>automated signatures are JCS-specific; all other candidate application threads remain unattributed and ownership requires the archived full dump</x:v>
      </x:c>
    </x:row>
    <x:row r="705">
      <x:c r="A705" s="34" t="str">
        <x:v>article1-unified-v4-2-fb3f101b-20260903-000401-default-f06-p6-cache2k</x:v>
      </x:c>
      <x:c r="B705" s="34" t="str">
        <x:v>default</x:v>
      </x:c>
      <x:c r="C705" s="34" t="str">
        <x:v>cache2k</x:v>
      </x:c>
      <x:c r="D705" s="36" t="n">
        <x:v>6</x:v>
      </x:c>
      <x:c r="E705" s="36" t="n">
        <x:v>6</x:v>
      </x:c>
      <x:c r="F705" s="36" t="n">
        <x:v>6</x:v>
      </x:c>
      <x:c r="G705" s="36" t="n">
        <x:v>1</x:v>
      </x:c>
      <x:c r="H705" s="34" t="str">
        <x:v>finalUndeployThreadEvidenceFinal</x:v>
      </x:c>
      <x:c r="I705" s="36" t="n">
        <x:v>2</x:v>
      </x:c>
      <x:c r="J705" s="34" t="str">
        <x:v>final</x:v>
      </x:c>
      <x:c r="K705" s="36" t="n">
        <x:v>27</x:v>
      </x:c>
      <x:c r="L705" s="51" t="n">
        <x:v>0</x:v>
      </x:c>
      <x:c r="M705" s="51" t="n">
        <x:v>0</x:v>
      </x:c>
      <x:c r="N705" s="36" t="n">
        <x:v>9</x:v>
      </x:c>
      <x:c r="O705" s="44" t="str">
        <x:v>http-nio-8080-exec-11#81 | http-nio-8080-exec-12#82 | http-nio-8080-exec-13#83 | http-nio-8080-exec-14#86 | http-nio-8080-exec-15#87 | http-nio-8080-exec-16#88 | http-nio-8080-exec-18#123 | http-nio-8080-exec-19#124 | http-nio-8080-exec-20#125</x:v>
      </x:c>
      <x:c r="P705" s="36" t="n">
        <x:v>9</x:v>
      </x:c>
      <x:c r="Q705" s="44" t="str">
        <x:v>http-nio-8080-exec-11#81 | http-nio-8080-exec-12#82 | http-nio-8080-exec-13#83 | http-nio-8080-exec-14#86 | http-nio-8080-exec-15#87 | http-nio-8080-exec-16#88 | http-nio-8080-exec-18#123 | http-nio-8080-exec-19#124 | http-nio-8080-exec-20#125</x:v>
      </x:c>
      <x:c r="R705" s="36" t="n">
        <x:v>0</x:v>
      </x:c>
      <x:c r="S705" s="44"/>
      <x:c r="T705" s="36" t="n">
        <x:v>0</x:v>
      </x:c>
      <x:c r="U705" s="44"/>
      <x:c r="V705" s="36" t="n">
        <x:v>0</x:v>
      </x:c>
      <x:c r="W705" s="44"/>
      <x:c r="X705" s="34" t="str">
        <x:v>no-post-undeploy-thread-signal</x:v>
      </x:c>
      <x:c r="Y705" s="44" t="str">
        <x:v>automated signatures are JCS-specific; all other candidate application threads remain unattributed and ownership requires the archived full dump</x:v>
      </x:c>
    </x:row>
    <x:row r="706">
      <x:c r="A706" s="34" t="str">
        <x:v>article1-unified-v4-2-fb3f101b-20260903-000401-default-f06-p6-cache2k</x:v>
      </x:c>
      <x:c r="B706" s="34" t="str">
        <x:v>default</x:v>
      </x:c>
      <x:c r="C706" s="34" t="str">
        <x:v>cache2k</x:v>
      </x:c>
      <x:c r="D706" s="36" t="n">
        <x:v>6</x:v>
      </x:c>
      <x:c r="E706" s="36" t="n">
        <x:v>6</x:v>
      </x:c>
      <x:c r="F706" s="36" t="n">
        <x:v>6</x:v>
      </x:c>
      <x:c r="G706" s="36" t="n">
        <x:v>2</x:v>
      </x:c>
      <x:c r="H706" s="34" t="str">
        <x:v>firstUndeployThreadEvidenceEarly</x:v>
      </x:c>
      <x:c r="I706" s="36" t="n">
        <x:v>1</x:v>
      </x:c>
      <x:c r="J706" s="34" t="str">
        <x:v>early</x:v>
      </x:c>
      <x:c r="K706" s="36" t="n">
        <x:v>27</x:v>
      </x:c>
      <x:c r="L706" s="51" t="n">
        <x:v>0</x:v>
      </x:c>
      <x:c r="M706" s="51" t="n">
        <x:v>0</x:v>
      </x:c>
      <x:c r="N706" s="36" t="n">
        <x:v>9</x:v>
      </x:c>
      <x:c r="O706" s="44" t="str">
        <x:v>http-nio-8080-exec-13#83 | http-nio-8080-exec-14#86 | http-nio-8080-exec-18#123 | http-nio-8080-exec-19#124 | http-nio-8080-exec-20#125 | http-nio-8080-exec-22#129 | http-nio-8080-exec-23#163 | http-nio-8080-exec-24#164 | http-nio-8080-exec-25#165</x:v>
      </x:c>
      <x:c r="P706" s="36" t="n">
        <x:v>4</x:v>
      </x:c>
      <x:c r="Q706" s="44" t="str">
        <x:v>http-nio-8080-exec-22#129 | http-nio-8080-exec-23#163 | http-nio-8080-exec-24#164 | http-nio-8080-exec-25#165</x:v>
      </x:c>
      <x:c r="R706" s="36" t="n">
        <x:v>0</x:v>
      </x:c>
      <x:c r="S706" s="44"/>
      <x:c r="T706" s="36" t="n">
        <x:v>0</x:v>
      </x:c>
      <x:c r="U706" s="44"/>
      <x:c r="V706" s="36" t="n">
        <x:v>0</x:v>
      </x:c>
      <x:c r="W706" s="44"/>
      <x:c r="X706" s="34" t="str">
        <x:v>no-post-undeploy-thread-signal</x:v>
      </x:c>
      <x:c r="Y706" s="44" t="str">
        <x:v>automated signatures are JCS-specific; all other candidate application threads remain unattributed and ownership requires the archived full dump</x:v>
      </x:c>
    </x:row>
    <x:row r="707">
      <x:c r="A707" s="34" t="str">
        <x:v>article1-unified-v4-2-fb3f101b-20260903-000401-default-f06-p6-cache2k</x:v>
      </x:c>
      <x:c r="B707" s="34" t="str">
        <x:v>default</x:v>
      </x:c>
      <x:c r="C707" s="34" t="str">
        <x:v>cache2k</x:v>
      </x:c>
      <x:c r="D707" s="36" t="n">
        <x:v>6</x:v>
      </x:c>
      <x:c r="E707" s="36" t="n">
        <x:v>6</x:v>
      </x:c>
      <x:c r="F707" s="36" t="n">
        <x:v>6</x:v>
      </x:c>
      <x:c r="G707" s="36" t="n">
        <x:v>2</x:v>
      </x:c>
      <x:c r="H707" s="34" t="str">
        <x:v>firstUndeployThreadEvidenceFinal</x:v>
      </x:c>
      <x:c r="I707" s="36" t="n">
        <x:v>1</x:v>
      </x:c>
      <x:c r="J707" s="34" t="str">
        <x:v>final</x:v>
      </x:c>
      <x:c r="K707" s="36" t="n">
        <x:v>27</x:v>
      </x:c>
      <x:c r="L707" s="51" t="n">
        <x:v>0</x:v>
      </x:c>
      <x:c r="M707" s="51" t="n">
        <x:v>0</x:v>
      </x:c>
      <x:c r="N707" s="36" t="n">
        <x:v>9</x:v>
      </x:c>
      <x:c r="O707" s="44" t="str">
        <x:v>http-nio-8080-exec-13#83 | http-nio-8080-exec-14#86 | http-nio-8080-exec-18#123 | http-nio-8080-exec-20#125 | http-nio-8080-exec-22#129 | http-nio-8080-exec-23#163 | http-nio-8080-exec-24#164 | http-nio-8080-exec-25#165 | http-nio-8080-exec-26#166</x:v>
      </x:c>
      <x:c r="P707" s="36" t="n">
        <x:v>5</x:v>
      </x:c>
      <x:c r="Q707" s="44" t="str">
        <x:v>http-nio-8080-exec-22#129 | http-nio-8080-exec-23#163 | http-nio-8080-exec-24#164 | http-nio-8080-exec-25#165 | http-nio-8080-exec-26#166</x:v>
      </x:c>
      <x:c r="R707" s="36" t="n">
        <x:v>0</x:v>
      </x:c>
      <x:c r="S707" s="44"/>
      <x:c r="T707" s="36" t="n">
        <x:v>0</x:v>
      </x:c>
      <x:c r="U707" s="44"/>
      <x:c r="V707" s="36" t="n">
        <x:v>0</x:v>
      </x:c>
      <x:c r="W707" s="44"/>
      <x:c r="X707" s="34" t="str">
        <x:v>no-post-undeploy-thread-signal</x:v>
      </x:c>
      <x:c r="Y707" s="44" t="str">
        <x:v>automated signatures are JCS-specific; all other candidate application threads remain unattributed and ownership requires the archived full dump</x:v>
      </x:c>
    </x:row>
    <x:row r="708">
      <x:c r="A708" s="34" t="str">
        <x:v>article1-unified-v4-2-fb3f101b-20260903-000401-default-f06-p6-cache2k</x:v>
      </x:c>
      <x:c r="B708" s="34" t="str">
        <x:v>default</x:v>
      </x:c>
      <x:c r="C708" s="34" t="str">
        <x:v>cache2k</x:v>
      </x:c>
      <x:c r="D708" s="36" t="n">
        <x:v>6</x:v>
      </x:c>
      <x:c r="E708" s="36" t="n">
        <x:v>6</x:v>
      </x:c>
      <x:c r="F708" s="36" t="n">
        <x:v>6</x:v>
      </x:c>
      <x:c r="G708" s="36" t="n">
        <x:v>2</x:v>
      </x:c>
      <x:c r="H708" s="34" t="str">
        <x:v>finalUndeployThreadEvidenceEarly</x:v>
      </x:c>
      <x:c r="I708" s="36" t="n">
        <x:v>2</x:v>
      </x:c>
      <x:c r="J708" s="34" t="str">
        <x:v>early</x:v>
      </x:c>
      <x:c r="K708" s="36" t="n">
        <x:v>27</x:v>
      </x:c>
      <x:c r="L708" s="51" t="n">
        <x:v>0</x:v>
      </x:c>
      <x:c r="M708" s="51" t="n">
        <x:v>0</x:v>
      </x:c>
      <x:c r="N708" s="36" t="n">
        <x:v>10</x:v>
      </x:c>
      <x:c r="O708" s="44" t="str">
        <x:v>http-nio-8080-exec-18#123 | http-nio-8080-exec-22#129 | http-nio-8080-exec-24#164 | http-nio-8080-exec-25#165 | http-nio-8080-exec-26#166 | http-nio-8080-exec-27#169 | http-nio-8080-exec-29#171 | http-nio-8080-exec-30#205 | http-nio-8080-exec-31#206 | http-nio-8080-exec-32#207</x:v>
      </x:c>
      <x:c r="P708" s="36" t="n">
        <x:v>9</x:v>
      </x:c>
      <x:c r="Q708" s="44" t="str">
        <x:v>http-nio-8080-exec-22#129 | http-nio-8080-exec-24#164 | http-nio-8080-exec-25#165 | http-nio-8080-exec-26#166 | http-nio-8080-exec-27#169 | http-nio-8080-exec-29#171 | http-nio-8080-exec-30#205 | http-nio-8080-exec-31#206 | http-nio-8080-exec-32#207</x:v>
      </x:c>
      <x:c r="R708" s="36" t="n">
        <x:v>0</x:v>
      </x:c>
      <x:c r="S708" s="44"/>
      <x:c r="T708" s="36" t="n">
        <x:v>0</x:v>
      </x:c>
      <x:c r="U708" s="44"/>
      <x:c r="V708" s="36" t="n">
        <x:v>0</x:v>
      </x:c>
      <x:c r="W708" s="44"/>
      <x:c r="X708" s="34" t="str">
        <x:v>no-post-undeploy-thread-signal</x:v>
      </x:c>
      <x:c r="Y708" s="44" t="str">
        <x:v>automated signatures are JCS-specific; all other candidate application threads remain unattributed and ownership requires the archived full dump</x:v>
      </x:c>
    </x:row>
    <x:row r="709">
      <x:c r="A709" s="34" t="str">
        <x:v>article1-unified-v4-2-fb3f101b-20260903-000401-default-f06-p6-cache2k</x:v>
      </x:c>
      <x:c r="B709" s="34" t="str">
        <x:v>default</x:v>
      </x:c>
      <x:c r="C709" s="34" t="str">
        <x:v>cache2k</x:v>
      </x:c>
      <x:c r="D709" s="36" t="n">
        <x:v>6</x:v>
      </x:c>
      <x:c r="E709" s="36" t="n">
        <x:v>6</x:v>
      </x:c>
      <x:c r="F709" s="36" t="n">
        <x:v>6</x:v>
      </x:c>
      <x:c r="G709" s="36" t="n">
        <x:v>2</x:v>
      </x:c>
      <x:c r="H709" s="34" t="str">
        <x:v>finalUndeployThreadEvidenceFinal</x:v>
      </x:c>
      <x:c r="I709" s="36" t="n">
        <x:v>2</x:v>
      </x:c>
      <x:c r="J709" s="34" t="str">
        <x:v>final</x:v>
      </x:c>
      <x:c r="K709" s="36" t="n">
        <x:v>27</x:v>
      </x:c>
      <x:c r="L709" s="51" t="n">
        <x:v>0</x:v>
      </x:c>
      <x:c r="M709" s="51" t="n">
        <x:v>0</x:v>
      </x:c>
      <x:c r="N709" s="36" t="n">
        <x:v>10</x:v>
      </x:c>
      <x:c r="O709" s="44" t="str">
        <x:v>http-nio-8080-exec-18#123 | http-nio-8080-exec-22#129 | http-nio-8080-exec-24#164 | http-nio-8080-exec-25#165 | http-nio-8080-exec-26#166 | http-nio-8080-exec-27#169 | http-nio-8080-exec-29#171 | http-nio-8080-exec-31#206 | http-nio-8080-exec-32#207 | http-nio-8080-exec-33#208</x:v>
      </x:c>
      <x:c r="P709" s="36" t="n">
        <x:v>9</x:v>
      </x:c>
      <x:c r="Q709" s="44" t="str">
        <x:v>http-nio-8080-exec-22#129 | http-nio-8080-exec-24#164 | http-nio-8080-exec-25#165 | http-nio-8080-exec-26#166 | http-nio-8080-exec-27#169 | http-nio-8080-exec-29#171 | http-nio-8080-exec-31#206 | http-nio-8080-exec-32#207 | http-nio-8080-exec-33#208</x:v>
      </x:c>
      <x:c r="R709" s="36" t="n">
        <x:v>0</x:v>
      </x:c>
      <x:c r="S709" s="44"/>
      <x:c r="T709" s="36" t="n">
        <x:v>0</x:v>
      </x:c>
      <x:c r="U709" s="44"/>
      <x:c r="V709" s="36" t="n">
        <x:v>0</x:v>
      </x:c>
      <x:c r="W709" s="44"/>
      <x:c r="X709" s="34" t="str">
        <x:v>no-post-undeploy-thread-signal</x:v>
      </x:c>
      <x:c r="Y709" s="44" t="str">
        <x:v>automated signatures are JCS-specific; all other candidate application threads remain unattributed and ownership requires the archived full dump</x:v>
      </x:c>
    </x:row>
    <x:row r="710">
      <x:c r="A710" s="34" t="str">
        <x:v>article1-unified-v4-2-fb3f101b-20260903-000401-default-f06-p6-cache2k</x:v>
      </x:c>
      <x:c r="B710" s="34" t="str">
        <x:v>default</x:v>
      </x:c>
      <x:c r="C710" s="34" t="str">
        <x:v>cache2k</x:v>
      </x:c>
      <x:c r="D710" s="36" t="n">
        <x:v>6</x:v>
      </x:c>
      <x:c r="E710" s="36" t="n">
        <x:v>6</x:v>
      </x:c>
      <x:c r="F710" s="36" t="n">
        <x:v>6</x:v>
      </x:c>
      <x:c r="G710" s="36" t="n">
        <x:v>3</x:v>
      </x:c>
      <x:c r="H710" s="34" t="str">
        <x:v>firstUndeployThreadEvidenceEarly</x:v>
      </x:c>
      <x:c r="I710" s="36" t="n">
        <x:v>1</x:v>
      </x:c>
      <x:c r="J710" s="34" t="str">
        <x:v>early</x:v>
      </x:c>
      <x:c r="K710" s="36" t="n">
        <x:v>27</x:v>
      </x:c>
      <x:c r="L710" s="51" t="n">
        <x:v>0</x:v>
      </x:c>
      <x:c r="M710" s="51" t="n">
        <x:v>0</x:v>
      </x:c>
      <x:c r="N710" s="36" t="n">
        <x:v>10</x:v>
      </x:c>
      <x:c r="O710" s="44" t="str">
        <x:v>http-nio-8080-exec-24#164 | http-nio-8080-exec-26#166 | http-nio-8080-exec-29#171 | http-nio-8080-exec-31#206 | http-nio-8080-exec-32#207 | http-nio-8080-exec-33#208 | http-nio-8080-exec-34#211 | http-nio-8080-exec-35#212 | http-nio-8080-exec-37#247 | http-nio-8080-exec-38#248</x:v>
      </x:c>
      <x:c r="P710" s="36" t="n">
        <x:v>4</x:v>
      </x:c>
      <x:c r="Q710" s="44" t="str">
        <x:v>http-nio-8080-exec-34#211 | http-nio-8080-exec-35#212 | http-nio-8080-exec-37#247 | http-nio-8080-exec-38#248</x:v>
      </x:c>
      <x:c r="R710" s="36" t="n">
        <x:v>0</x:v>
      </x:c>
      <x:c r="S710" s="44"/>
      <x:c r="T710" s="36" t="n">
        <x:v>0</x:v>
      </x:c>
      <x:c r="U710" s="44"/>
      <x:c r="V710" s="36" t="n">
        <x:v>0</x:v>
      </x:c>
      <x:c r="W710" s="44"/>
      <x:c r="X710" s="34" t="str">
        <x:v>no-post-undeploy-thread-signal</x:v>
      </x:c>
      <x:c r="Y710" s="44" t="str">
        <x:v>automated signatures are JCS-specific; all other candidate application threads remain unattributed and ownership requires the archived full dump</x:v>
      </x:c>
    </x:row>
    <x:row r="711">
      <x:c r="A711" s="34" t="str">
        <x:v>article1-unified-v4-2-fb3f101b-20260903-000401-default-f06-p6-cache2k</x:v>
      </x:c>
      <x:c r="B711" s="34" t="str">
        <x:v>default</x:v>
      </x:c>
      <x:c r="C711" s="34" t="str">
        <x:v>cache2k</x:v>
      </x:c>
      <x:c r="D711" s="36" t="n">
        <x:v>6</x:v>
      </x:c>
      <x:c r="E711" s="36" t="n">
        <x:v>6</x:v>
      </x:c>
      <x:c r="F711" s="36" t="n">
        <x:v>6</x:v>
      </x:c>
      <x:c r="G711" s="36" t="n">
        <x:v>3</x:v>
      </x:c>
      <x:c r="H711" s="34" t="str">
        <x:v>firstUndeployThreadEvidenceFinal</x:v>
      </x:c>
      <x:c r="I711" s="36" t="n">
        <x:v>1</x:v>
      </x:c>
      <x:c r="J711" s="34" t="str">
        <x:v>final</x:v>
      </x:c>
      <x:c r="K711" s="36" t="n">
        <x:v>27</x:v>
      </x:c>
      <x:c r="L711" s="51" t="n">
        <x:v>0</x:v>
      </x:c>
      <x:c r="M711" s="51" t="n">
        <x:v>0</x:v>
      </x:c>
      <x:c r="N711" s="36" t="n">
        <x:v>10</x:v>
      </x:c>
      <x:c r="O711" s="44" t="str">
        <x:v>http-nio-8080-exec-26#166 | http-nio-8080-exec-29#171 | http-nio-8080-exec-31#206 | http-nio-8080-exec-32#207 | http-nio-8080-exec-33#208 | http-nio-8080-exec-34#211 | http-nio-8080-exec-35#212 | http-nio-8080-exec-37#247 | http-nio-8080-exec-38#248 | http-nio-8080-exec-39#249</x:v>
      </x:c>
      <x:c r="P711" s="36" t="n">
        <x:v>5</x:v>
      </x:c>
      <x:c r="Q711" s="44" t="str">
        <x:v>http-nio-8080-exec-34#211 | http-nio-8080-exec-35#212 | http-nio-8080-exec-37#247 | http-nio-8080-exec-38#248 | http-nio-8080-exec-39#249</x:v>
      </x:c>
      <x:c r="R711" s="36" t="n">
        <x:v>0</x:v>
      </x:c>
      <x:c r="S711" s="44"/>
      <x:c r="T711" s="36" t="n">
        <x:v>0</x:v>
      </x:c>
      <x:c r="U711" s="44"/>
      <x:c r="V711" s="36" t="n">
        <x:v>0</x:v>
      </x:c>
      <x:c r="W711" s="44"/>
      <x:c r="X711" s="34" t="str">
        <x:v>no-post-undeploy-thread-signal</x:v>
      </x:c>
      <x:c r="Y711" s="44" t="str">
        <x:v>automated signatures are JCS-specific; all other candidate application threads remain unattributed and ownership requires the archived full dump</x:v>
      </x:c>
    </x:row>
    <x:row r="712">
      <x:c r="A712" s="34" t="str">
        <x:v>article1-unified-v4-2-fb3f101b-20260903-000401-default-f06-p6-cache2k</x:v>
      </x:c>
      <x:c r="B712" s="34" t="str">
        <x:v>default</x:v>
      </x:c>
      <x:c r="C712" s="34" t="str">
        <x:v>cache2k</x:v>
      </x:c>
      <x:c r="D712" s="36" t="n">
        <x:v>6</x:v>
      </x:c>
      <x:c r="E712" s="36" t="n">
        <x:v>6</x:v>
      </x:c>
      <x:c r="F712" s="36" t="n">
        <x:v>6</x:v>
      </x:c>
      <x:c r="G712" s="36" t="n">
        <x:v>3</x:v>
      </x:c>
      <x:c r="H712" s="34" t="str">
        <x:v>finalUndeployThreadEvidenceEarly</x:v>
      </x:c>
      <x:c r="I712" s="36" t="n">
        <x:v>2</x:v>
      </x:c>
      <x:c r="J712" s="34" t="str">
        <x:v>early</x:v>
      </x:c>
      <x:c r="K712" s="36" t="n">
        <x:v>27</x:v>
      </x:c>
      <x:c r="L712" s="51" t="n">
        <x:v>0</x:v>
      </x:c>
      <x:c r="M712" s="51" t="n">
        <x:v>0</x:v>
      </x:c>
      <x:c r="N712" s="36" t="n">
        <x:v>10</x:v>
      </x:c>
      <x:c r="O712" s="44" t="str">
        <x:v>http-nio-8080-exec-26#166 | http-nio-8080-exec-29#171 | http-nio-8080-exec-38#248 | http-nio-8080-exec-39#249 | http-nio-8080-exec-40#252 | http-nio-8080-exec-41#253 | http-nio-8080-exec-42#254 | http-nio-8080-exec-43#288 | http-nio-8080-exec-44#289 | http-nio-8080-exec-45#290</x:v>
      </x:c>
      <x:c r="P712" s="36" t="n">
        <x:v>8</x:v>
      </x:c>
      <x:c r="Q712" s="44" t="str">
        <x:v>http-nio-8080-exec-38#248 | http-nio-8080-exec-39#249 | http-nio-8080-exec-40#252 | http-nio-8080-exec-41#253 | http-nio-8080-exec-42#254 | http-nio-8080-exec-43#288 | http-nio-8080-exec-44#289 | http-nio-8080-exec-45#290</x:v>
      </x:c>
      <x:c r="R712" s="36" t="n">
        <x:v>0</x:v>
      </x:c>
      <x:c r="S712" s="44"/>
      <x:c r="T712" s="36" t="n">
        <x:v>0</x:v>
      </x:c>
      <x:c r="U712" s="44"/>
      <x:c r="V712" s="36" t="n">
        <x:v>0</x:v>
      </x:c>
      <x:c r="W712" s="44"/>
      <x:c r="X712" s="34" t="str">
        <x:v>no-post-undeploy-thread-signal</x:v>
      </x:c>
      <x:c r="Y712" s="44" t="str">
        <x:v>automated signatures are JCS-specific; all other candidate application threads remain unattributed and ownership requires the archived full dump</x:v>
      </x:c>
    </x:row>
    <x:row r="713">
      <x:c r="A713" s="34" t="str">
        <x:v>article1-unified-v4-2-fb3f101b-20260903-000401-default-f06-p6-cache2k</x:v>
      </x:c>
      <x:c r="B713" s="34" t="str">
        <x:v>default</x:v>
      </x:c>
      <x:c r="C713" s="34" t="str">
        <x:v>cache2k</x:v>
      </x:c>
      <x:c r="D713" s="36" t="n">
        <x:v>6</x:v>
      </x:c>
      <x:c r="E713" s="36" t="n">
        <x:v>6</x:v>
      </x:c>
      <x:c r="F713" s="36" t="n">
        <x:v>6</x:v>
      </x:c>
      <x:c r="G713" s="36" t="n">
        <x:v>3</x:v>
      </x:c>
      <x:c r="H713" s="34" t="str">
        <x:v>finalUndeployThreadEvidenceFinal</x:v>
      </x:c>
      <x:c r="I713" s="36" t="n">
        <x:v>2</x:v>
      </x:c>
      <x:c r="J713" s="34" t="str">
        <x:v>final</x:v>
      </x:c>
      <x:c r="K713" s="36" t="n">
        <x:v>27</x:v>
      </x:c>
      <x:c r="L713" s="51" t="n">
        <x:v>0</x:v>
      </x:c>
      <x:c r="M713" s="51" t="n">
        <x:v>0</x:v>
      </x:c>
      <x:c r="N713" s="36" t="n">
        <x:v>10</x:v>
      </x:c>
      <x:c r="O713" s="44" t="str">
        <x:v>http-nio-8080-exec-26#166 | http-nio-8080-exec-29#171 | http-nio-8080-exec-38#248 | http-nio-8080-exec-39#249 | http-nio-8080-exec-40#252 | http-nio-8080-exec-41#253 | http-nio-8080-exec-42#254 | http-nio-8080-exec-44#289 | http-nio-8080-exec-45#290 | http-nio-8080-exec-46#291</x:v>
      </x:c>
      <x:c r="P713" s="36" t="n">
        <x:v>8</x:v>
      </x:c>
      <x:c r="Q713" s="44" t="str">
        <x:v>http-nio-8080-exec-38#248 | http-nio-8080-exec-39#249 | http-nio-8080-exec-40#252 | http-nio-8080-exec-41#253 | http-nio-8080-exec-42#254 | http-nio-8080-exec-44#289 | http-nio-8080-exec-45#290 | http-nio-8080-exec-46#291</x:v>
      </x:c>
      <x:c r="R713" s="36" t="n">
        <x:v>0</x:v>
      </x:c>
      <x:c r="S713" s="44"/>
      <x:c r="T713" s="36" t="n">
        <x:v>0</x:v>
      </x:c>
      <x:c r="U713" s="44"/>
      <x:c r="V713" s="36" t="n">
        <x:v>0</x:v>
      </x:c>
      <x:c r="W713" s="44"/>
      <x:c r="X713" s="34" t="str">
        <x:v>no-post-undeploy-thread-signal</x:v>
      </x:c>
      <x:c r="Y713" s="44" t="str">
        <x:v>automated signatures are JCS-specific; all other candidate application threads remain unattributed and ownership requires the archived full dump</x:v>
      </x:c>
    </x:row>
    <x:row r="714">
      <x:c r="A714" s="34" t="str">
        <x:v>article1-unified-v4-2-fb3f101b-20260903-000401-default-f06-p6-cache2k</x:v>
      </x:c>
      <x:c r="B714" s="34" t="str">
        <x:v>default</x:v>
      </x:c>
      <x:c r="C714" s="34" t="str">
        <x:v>cache2k</x:v>
      </x:c>
      <x:c r="D714" s="36" t="n">
        <x:v>6</x:v>
      </x:c>
      <x:c r="E714" s="36" t="n">
        <x:v>6</x:v>
      </x:c>
      <x:c r="F714" s="36" t="n">
        <x:v>6</x:v>
      </x:c>
      <x:c r="G714" s="36" t="n">
        <x:v>4</x:v>
      </x:c>
      <x:c r="H714" s="34" t="str">
        <x:v>firstUndeployThreadEvidenceEarly</x:v>
      </x:c>
      <x:c r="I714" s="36" t="n">
        <x:v>1</x:v>
      </x:c>
      <x:c r="J714" s="34" t="str">
        <x:v>early</x:v>
      </x:c>
      <x:c r="K714" s="36" t="n">
        <x:v>27</x:v>
      </x:c>
      <x:c r="L714" s="51" t="n">
        <x:v>0</x:v>
      </x:c>
      <x:c r="M714" s="51" t="n">
        <x:v>0</x:v>
      </x:c>
      <x:c r="N714" s="36" t="n">
        <x:v>10</x:v>
      </x:c>
      <x:c r="O714" s="44" t="str">
        <x:v>http-nio-8080-exec-26#166 | http-nio-8080-exec-38#248 | http-nio-8080-exec-39#249 | http-nio-8080-exec-45#290 | http-nio-8080-exec-46#291 | http-nio-8080-exec-47#294 | http-nio-8080-exec-48#295 | http-nio-8080-exec-49#329 | http-nio-8080-exec-50#330 | http-nio-8080-exec-51#331</x:v>
      </x:c>
      <x:c r="P714" s="36" t="n">
        <x:v>5</x:v>
      </x:c>
      <x:c r="Q714" s="44" t="str">
        <x:v>http-nio-8080-exec-47#294 | http-nio-8080-exec-48#295 | http-nio-8080-exec-49#329 | http-nio-8080-exec-50#330 | http-nio-8080-exec-51#331</x:v>
      </x:c>
      <x:c r="R714" s="36" t="n">
        <x:v>0</x:v>
      </x:c>
      <x:c r="S714" s="44"/>
      <x:c r="T714" s="36" t="n">
        <x:v>0</x:v>
      </x:c>
      <x:c r="U714" s="44"/>
      <x:c r="V714" s="36" t="n">
        <x:v>0</x:v>
      </x:c>
      <x:c r="W714" s="44"/>
      <x:c r="X714" s="34" t="str">
        <x:v>no-post-undeploy-thread-signal</x:v>
      </x:c>
      <x:c r="Y714" s="44" t="str">
        <x:v>automated signatures are JCS-specific; all other candidate application threads remain unattributed and ownership requires the archived full dump</x:v>
      </x:c>
    </x:row>
    <x:row r="715">
      <x:c r="A715" s="34" t="str">
        <x:v>article1-unified-v4-2-fb3f101b-20260903-000401-default-f06-p6-cache2k</x:v>
      </x:c>
      <x:c r="B715" s="34" t="str">
        <x:v>default</x:v>
      </x:c>
      <x:c r="C715" s="34" t="str">
        <x:v>cache2k</x:v>
      </x:c>
      <x:c r="D715" s="36" t="n">
        <x:v>6</x:v>
      </x:c>
      <x:c r="E715" s="36" t="n">
        <x:v>6</x:v>
      </x:c>
      <x:c r="F715" s="36" t="n">
        <x:v>6</x:v>
      </x:c>
      <x:c r="G715" s="36" t="n">
        <x:v>4</x:v>
      </x:c>
      <x:c r="H715" s="34" t="str">
        <x:v>firstUndeployThreadEvidenceFinal</x:v>
      </x:c>
      <x:c r="I715" s="36" t="n">
        <x:v>1</x:v>
      </x:c>
      <x:c r="J715" s="34" t="str">
        <x:v>final</x:v>
      </x:c>
      <x:c r="K715" s="36" t="n">
        <x:v>27</x:v>
      </x:c>
      <x:c r="L715" s="51" t="n">
        <x:v>0</x:v>
      </x:c>
      <x:c r="M715" s="51" t="n">
        <x:v>0</x:v>
      </x:c>
      <x:c r="N715" s="36" t="n">
        <x:v>10</x:v>
      </x:c>
      <x:c r="O715" s="44" t="str">
        <x:v>http-nio-8080-exec-26#166 | http-nio-8080-exec-38#248 | http-nio-8080-exec-39#249 | http-nio-8080-exec-45#290 | http-nio-8080-exec-46#291 | http-nio-8080-exec-48#295 | http-nio-8080-exec-49#329 | http-nio-8080-exec-50#330 | http-nio-8080-exec-51#331 | http-nio-8080-exec-52#332</x:v>
      </x:c>
      <x:c r="P715" s="36" t="n">
        <x:v>5</x:v>
      </x:c>
      <x:c r="Q715" s="44" t="str">
        <x:v>http-nio-8080-exec-48#295 | http-nio-8080-exec-49#329 | http-nio-8080-exec-50#330 | http-nio-8080-exec-51#331 | http-nio-8080-exec-52#332</x:v>
      </x:c>
      <x:c r="R715" s="36" t="n">
        <x:v>0</x:v>
      </x:c>
      <x:c r="S715" s="44"/>
      <x:c r="T715" s="36" t="n">
        <x:v>0</x:v>
      </x:c>
      <x:c r="U715" s="44"/>
      <x:c r="V715" s="36" t="n">
        <x:v>0</x:v>
      </x:c>
      <x:c r="W715" s="44"/>
      <x:c r="X715" s="34" t="str">
        <x:v>no-post-undeploy-thread-signal</x:v>
      </x:c>
      <x:c r="Y715" s="44" t="str">
        <x:v>automated signatures are JCS-specific; all other candidate application threads remain unattributed and ownership requires the archived full dump</x:v>
      </x:c>
    </x:row>
    <x:row r="716">
      <x:c r="A716" s="34" t="str">
        <x:v>article1-unified-v4-2-fb3f101b-20260903-000401-default-f06-p6-cache2k</x:v>
      </x:c>
      <x:c r="B716" s="34" t="str">
        <x:v>default</x:v>
      </x:c>
      <x:c r="C716" s="34" t="str">
        <x:v>cache2k</x:v>
      </x:c>
      <x:c r="D716" s="36" t="n">
        <x:v>6</x:v>
      </x:c>
      <x:c r="E716" s="36" t="n">
        <x:v>6</x:v>
      </x:c>
      <x:c r="F716" s="36" t="n">
        <x:v>6</x:v>
      </x:c>
      <x:c r="G716" s="36" t="n">
        <x:v>4</x:v>
      </x:c>
      <x:c r="H716" s="34" t="str">
        <x:v>finalUndeployThreadEvidenceEarly</x:v>
      </x:c>
      <x:c r="I716" s="36" t="n">
        <x:v>2</x:v>
      </x:c>
      <x:c r="J716" s="34" t="str">
        <x:v>early</x:v>
      </x:c>
      <x:c r="K716" s="36" t="n">
        <x:v>27</x:v>
      </x:c>
      <x:c r="L716" s="51" t="n">
        <x:v>0</x:v>
      </x:c>
      <x:c r="M716" s="51" t="n">
        <x:v>0</x:v>
      </x:c>
      <x:c r="N716" s="36" t="n">
        <x:v>10</x:v>
      </x:c>
      <x:c r="O716" s="44" t="str">
        <x:v>http-nio-8080-exec-39#249 | http-nio-8080-exec-46#291 | http-nio-8080-exec-50#330 | http-nio-8080-exec-51#331 | http-nio-8080-exec-52#332 | http-nio-8080-exec-54#336 | http-nio-8080-exec-55#337 | http-nio-8080-exec-56#371 | http-nio-8080-exec-57#372 | http-nio-8080-exec-58#373</x:v>
      </x:c>
      <x:c r="P716" s="36" t="n">
        <x:v>8</x:v>
      </x:c>
      <x:c r="Q716" s="44" t="str">
        <x:v>http-nio-8080-exec-50#330 | http-nio-8080-exec-51#331 | http-nio-8080-exec-52#332 | http-nio-8080-exec-54#336 | http-nio-8080-exec-55#337 | http-nio-8080-exec-56#371 | http-nio-8080-exec-57#372 | http-nio-8080-exec-58#373</x:v>
      </x:c>
      <x:c r="R716" s="36" t="n">
        <x:v>0</x:v>
      </x:c>
      <x:c r="S716" s="44"/>
      <x:c r="T716" s="36" t="n">
        <x:v>0</x:v>
      </x:c>
      <x:c r="U716" s="44"/>
      <x:c r="V716" s="36" t="n">
        <x:v>0</x:v>
      </x:c>
      <x:c r="W716" s="44"/>
      <x:c r="X716" s="34" t="str">
        <x:v>no-post-undeploy-thread-signal</x:v>
      </x:c>
      <x:c r="Y716" s="44" t="str">
        <x:v>automated signatures are JCS-specific; all other candidate application threads remain unattributed and ownership requires the archived full dump</x:v>
      </x:c>
    </x:row>
    <x:row r="717">
      <x:c r="A717" s="34" t="str">
        <x:v>article1-unified-v4-2-fb3f101b-20260903-000401-default-f06-p6-cache2k</x:v>
      </x:c>
      <x:c r="B717" s="34" t="str">
        <x:v>default</x:v>
      </x:c>
      <x:c r="C717" s="34" t="str">
        <x:v>cache2k</x:v>
      </x:c>
      <x:c r="D717" s="36" t="n">
        <x:v>6</x:v>
      </x:c>
      <x:c r="E717" s="36" t="n">
        <x:v>6</x:v>
      </x:c>
      <x:c r="F717" s="36" t="n">
        <x:v>6</x:v>
      </x:c>
      <x:c r="G717" s="36" t="n">
        <x:v>4</x:v>
      </x:c>
      <x:c r="H717" s="34" t="str">
        <x:v>finalUndeployThreadEvidenceFinal</x:v>
      </x:c>
      <x:c r="I717" s="36" t="n">
        <x:v>2</x:v>
      </x:c>
      <x:c r="J717" s="34" t="str">
        <x:v>final</x:v>
      </x:c>
      <x:c r="K717" s="36" t="n">
        <x:v>27</x:v>
      </x:c>
      <x:c r="L717" s="51" t="n">
        <x:v>0</x:v>
      </x:c>
      <x:c r="M717" s="51" t="n">
        <x:v>0</x:v>
      </x:c>
      <x:c r="N717" s="36" t="n">
        <x:v>10</x:v>
      </x:c>
      <x:c r="O717" s="44" t="str">
        <x:v>http-nio-8080-exec-39#249 | http-nio-8080-exec-46#291 | http-nio-8080-exec-51#331 | http-nio-8080-exec-52#332 | http-nio-8080-exec-54#336 | http-nio-8080-exec-55#337 | http-nio-8080-exec-56#371 | http-nio-8080-exec-57#372 | http-nio-8080-exec-58#373 | http-nio-8080-exec-59#374</x:v>
      </x:c>
      <x:c r="P717" s="36" t="n">
        <x:v>8</x:v>
      </x:c>
      <x:c r="Q717" s="44" t="str">
        <x:v>http-nio-8080-exec-51#331 | http-nio-8080-exec-52#332 | http-nio-8080-exec-54#336 | http-nio-8080-exec-55#337 | http-nio-8080-exec-56#371 | http-nio-8080-exec-57#372 | http-nio-8080-exec-58#373 | http-nio-8080-exec-59#374</x:v>
      </x:c>
      <x:c r="R717" s="36" t="n">
        <x:v>0</x:v>
      </x:c>
      <x:c r="S717" s="44"/>
      <x:c r="T717" s="36" t="n">
        <x:v>0</x:v>
      </x:c>
      <x:c r="U717" s="44"/>
      <x:c r="V717" s="36" t="n">
        <x:v>0</x:v>
      </x:c>
      <x:c r="W717" s="44"/>
      <x:c r="X717" s="34" t="str">
        <x:v>no-post-undeploy-thread-signal</x:v>
      </x:c>
      <x:c r="Y717" s="44" t="str">
        <x:v>automated signatures are JCS-specific; all other candidate application threads remain unattributed and ownership requires the archived full dump</x:v>
      </x:c>
    </x:row>
    <x:row r="718">
      <x:c r="A718" s="34" t="str">
        <x:v>article1-unified-v4-2-fb3f101b-20260903-000401-default-f06-p6-cache2k</x:v>
      </x:c>
      <x:c r="B718" s="34" t="str">
        <x:v>default</x:v>
      </x:c>
      <x:c r="C718" s="34" t="str">
        <x:v>cache2k</x:v>
      </x:c>
      <x:c r="D718" s="36" t="n">
        <x:v>6</x:v>
      </x:c>
      <x:c r="E718" s="36" t="n">
        <x:v>6</x:v>
      </x:c>
      <x:c r="F718" s="36" t="n">
        <x:v>6</x:v>
      </x:c>
      <x:c r="G718" s="36" t="n">
        <x:v>5</x:v>
      </x:c>
      <x:c r="H718" s="34" t="str">
        <x:v>firstUndeployThreadEvidenceEarly</x:v>
      </x:c>
      <x:c r="I718" s="36" t="n">
        <x:v>1</x:v>
      </x:c>
      <x:c r="J718" s="34" t="str">
        <x:v>early</x:v>
      </x:c>
      <x:c r="K718" s="36" t="n">
        <x:v>27</x:v>
      </x:c>
      <x:c r="L718" s="51" t="n">
        <x:v>0</x:v>
      </x:c>
      <x:c r="M718" s="51" t="n">
        <x:v>0</x:v>
      </x:c>
      <x:c r="N718" s="36" t="n">
        <x:v>10</x:v>
      </x:c>
      <x:c r="O718" s="44" t="str">
        <x:v>http-nio-8080-exec-39#249 | http-nio-8080-exec-46#291 | http-nio-8080-exec-55#337 | http-nio-8080-exec-57#372 | http-nio-8080-exec-58#373 | http-nio-8080-exec-60#377 | http-nio-8080-exec-61#378 | http-nio-8080-exec-62#412 | http-nio-8080-exec-63#413 | http-nio-8080-exec-64#414</x:v>
      </x:c>
      <x:c r="P718" s="36" t="n">
        <x:v>5</x:v>
      </x:c>
      <x:c r="Q718" s="44" t="str">
        <x:v>http-nio-8080-exec-60#377 | http-nio-8080-exec-61#378 | http-nio-8080-exec-62#412 | http-nio-8080-exec-63#413 | http-nio-8080-exec-64#414</x:v>
      </x:c>
      <x:c r="R718" s="36" t="n">
        <x:v>0</x:v>
      </x:c>
      <x:c r="S718" s="44"/>
      <x:c r="T718" s="36" t="n">
        <x:v>0</x:v>
      </x:c>
      <x:c r="U718" s="44"/>
      <x:c r="V718" s="36" t="n">
        <x:v>0</x:v>
      </x:c>
      <x:c r="W718" s="44"/>
      <x:c r="X718" s="34" t="str">
        <x:v>no-post-undeploy-thread-signal</x:v>
      </x:c>
      <x:c r="Y718" s="44" t="str">
        <x:v>automated signatures are JCS-specific; all other candidate application threads remain unattributed and ownership requires the archived full dump</x:v>
      </x:c>
    </x:row>
    <x:row r="719">
      <x:c r="A719" s="34" t="str">
        <x:v>article1-unified-v4-2-fb3f101b-20260903-000401-default-f06-p6-cache2k</x:v>
      </x:c>
      <x:c r="B719" s="34" t="str">
        <x:v>default</x:v>
      </x:c>
      <x:c r="C719" s="34" t="str">
        <x:v>cache2k</x:v>
      </x:c>
      <x:c r="D719" s="36" t="n">
        <x:v>6</x:v>
      </x:c>
      <x:c r="E719" s="36" t="n">
        <x:v>6</x:v>
      </x:c>
      <x:c r="F719" s="36" t="n">
        <x:v>6</x:v>
      </x:c>
      <x:c r="G719" s="36" t="n">
        <x:v>5</x:v>
      </x:c>
      <x:c r="H719" s="34" t="str">
        <x:v>firstUndeployThreadEvidenceFinal</x:v>
      </x:c>
      <x:c r="I719" s="36" t="n">
        <x:v>1</x:v>
      </x:c>
      <x:c r="J719" s="34" t="str">
        <x:v>final</x:v>
      </x:c>
      <x:c r="K719" s="36" t="n">
        <x:v>27</x:v>
      </x:c>
      <x:c r="L719" s="51" t="n">
        <x:v>0</x:v>
      </x:c>
      <x:c r="M719" s="51" t="n">
        <x:v>0</x:v>
      </x:c>
      <x:c r="N719" s="36" t="n">
        <x:v>10</x:v>
      </x:c>
      <x:c r="O719" s="44" t="str">
        <x:v>http-nio-8080-exec-39#249 | http-nio-8080-exec-46#291 | http-nio-8080-exec-55#337 | http-nio-8080-exec-57#372 | http-nio-8080-exec-60#377 | http-nio-8080-exec-61#378 | http-nio-8080-exec-62#412 | http-nio-8080-exec-63#413 | http-nio-8080-exec-64#414 | http-nio-8080-exec-65#415</x:v>
      </x:c>
      <x:c r="P719" s="36" t="n">
        <x:v>6</x:v>
      </x:c>
      <x:c r="Q719" s="44" t="str">
        <x:v>http-nio-8080-exec-60#377 | http-nio-8080-exec-61#378 | http-nio-8080-exec-62#412 | http-nio-8080-exec-63#413 | http-nio-8080-exec-64#414 | http-nio-8080-exec-65#415</x:v>
      </x:c>
      <x:c r="R719" s="36" t="n">
        <x:v>0</x:v>
      </x:c>
      <x:c r="S719" s="44"/>
      <x:c r="T719" s="36" t="n">
        <x:v>0</x:v>
      </x:c>
      <x:c r="U719" s="44"/>
      <x:c r="V719" s="36" t="n">
        <x:v>0</x:v>
      </x:c>
      <x:c r="W719" s="44"/>
      <x:c r="X719" s="34" t="str">
        <x:v>no-post-undeploy-thread-signal</x:v>
      </x:c>
      <x:c r="Y719" s="44" t="str">
        <x:v>automated signatures are JCS-specific; all other candidate application threads remain unattributed and ownership requires the archived full dump</x:v>
      </x:c>
    </x:row>
    <x:row r="720">
      <x:c r="A720" s="34" t="str">
        <x:v>article1-unified-v4-2-fb3f101b-20260903-000401-default-f06-p6-cache2k</x:v>
      </x:c>
      <x:c r="B720" s="34" t="str">
        <x:v>default</x:v>
      </x:c>
      <x:c r="C720" s="34" t="str">
        <x:v>cache2k</x:v>
      </x:c>
      <x:c r="D720" s="36" t="n">
        <x:v>6</x:v>
      </x:c>
      <x:c r="E720" s="36" t="n">
        <x:v>6</x:v>
      </x:c>
      <x:c r="F720" s="36" t="n">
        <x:v>6</x:v>
      </x:c>
      <x:c r="G720" s="36" t="n">
        <x:v>5</x:v>
      </x:c>
      <x:c r="H720" s="34" t="str">
        <x:v>finalUndeployThreadEvidenceEarly</x:v>
      </x:c>
      <x:c r="I720" s="36" t="n">
        <x:v>2</x:v>
      </x:c>
      <x:c r="J720" s="34" t="str">
        <x:v>early</x:v>
      </x:c>
      <x:c r="K720" s="36" t="n">
        <x:v>27</x:v>
      </x:c>
      <x:c r="L720" s="51" t="n">
        <x:v>0</x:v>
      </x:c>
      <x:c r="M720" s="51" t="n">
        <x:v>0</x:v>
      </x:c>
      <x:c r="N720" s="36" t="n">
        <x:v>10</x:v>
      </x:c>
      <x:c r="O720" s="44" t="str">
        <x:v>http-nio-8080-exec-55#337 | http-nio-8080-exec-61#378 | http-nio-8080-exec-63#413 | http-nio-8080-exec-64#414 | http-nio-8080-exec-65#415 | http-nio-8080-exec-66#418 | http-nio-8080-exec-68#420 | http-nio-8080-exec-69#454 | http-nio-8080-exec-70#455 | http-nio-8080-exec-71#456</x:v>
      </x:c>
      <x:c r="P720" s="36" t="n">
        <x:v>9</x:v>
      </x:c>
      <x:c r="Q720" s="44" t="str">
        <x:v>http-nio-8080-exec-61#378 | http-nio-8080-exec-63#413 | http-nio-8080-exec-64#414 | http-nio-8080-exec-65#415 | http-nio-8080-exec-66#418 | http-nio-8080-exec-68#420 | http-nio-8080-exec-69#454 | http-nio-8080-exec-70#455 | http-nio-8080-exec-71#456</x:v>
      </x:c>
      <x:c r="R720" s="36" t="n">
        <x:v>0</x:v>
      </x:c>
      <x:c r="S720" s="44"/>
      <x:c r="T720" s="36" t="n">
        <x:v>0</x:v>
      </x:c>
      <x:c r="U720" s="44"/>
      <x:c r="V720" s="36" t="n">
        <x:v>0</x:v>
      </x:c>
      <x:c r="W720" s="44"/>
      <x:c r="X720" s="34" t="str">
        <x:v>no-post-undeploy-thread-signal</x:v>
      </x:c>
      <x:c r="Y720" s="44" t="str">
        <x:v>automated signatures are JCS-specific; all other candidate application threads remain unattributed and ownership requires the archived full dump</x:v>
      </x:c>
    </x:row>
    <x:row r="721">
      <x:c r="A721" s="34" t="str">
        <x:v>article1-unified-v4-2-fb3f101b-20260903-000401-default-f06-p6-cache2k</x:v>
      </x:c>
      <x:c r="B721" s="34" t="str">
        <x:v>default</x:v>
      </x:c>
      <x:c r="C721" s="34" t="str">
        <x:v>cache2k</x:v>
      </x:c>
      <x:c r="D721" s="36" t="n">
        <x:v>6</x:v>
      </x:c>
      <x:c r="E721" s="36" t="n">
        <x:v>6</x:v>
      </x:c>
      <x:c r="F721" s="36" t="n">
        <x:v>6</x:v>
      </x:c>
      <x:c r="G721" s="36" t="n">
        <x:v>5</x:v>
      </x:c>
      <x:c r="H721" s="34" t="str">
        <x:v>finalUndeployThreadEvidenceFinal</x:v>
      </x:c>
      <x:c r="I721" s="36" t="n">
        <x:v>2</x:v>
      </x:c>
      <x:c r="J721" s="34" t="str">
        <x:v>final</x:v>
      </x:c>
      <x:c r="K721" s="36" t="n">
        <x:v>27</x:v>
      </x:c>
      <x:c r="L721" s="51" t="n">
        <x:v>0</x:v>
      </x:c>
      <x:c r="M721" s="51" t="n">
        <x:v>0</x:v>
      </x:c>
      <x:c r="N721" s="36" t="n">
        <x:v>10</x:v>
      </x:c>
      <x:c r="O721" s="44" t="str">
        <x:v>http-nio-8080-exec-55#337 | http-nio-8080-exec-61#378 | http-nio-8080-exec-63#413 | http-nio-8080-exec-64#414 | http-nio-8080-exec-66#418 | http-nio-8080-exec-68#420 | http-nio-8080-exec-69#454 | http-nio-8080-exec-70#455 | http-nio-8080-exec-71#456 | http-nio-8080-exec-72#457</x:v>
      </x:c>
      <x:c r="P721" s="36" t="n">
        <x:v>9</x:v>
      </x:c>
      <x:c r="Q721" s="44" t="str">
        <x:v>http-nio-8080-exec-61#378 | http-nio-8080-exec-63#413 | http-nio-8080-exec-64#414 | http-nio-8080-exec-66#418 | http-nio-8080-exec-68#420 | http-nio-8080-exec-69#454 | http-nio-8080-exec-70#455 | http-nio-8080-exec-71#456 | http-nio-8080-exec-72#457</x:v>
      </x:c>
      <x:c r="R721" s="36" t="n">
        <x:v>0</x:v>
      </x:c>
      <x:c r="S721" s="44"/>
      <x:c r="T721" s="36" t="n">
        <x:v>0</x:v>
      </x:c>
      <x:c r="U721" s="44"/>
      <x:c r="V721" s="36" t="n">
        <x:v>0</x:v>
      </x:c>
      <x:c r="W721" s="44"/>
      <x:c r="X721" s="34" t="str">
        <x:v>no-post-undeploy-thread-signal</x:v>
      </x:c>
      <x:c r="Y721" s="44" t="str">
        <x:v>automated signatures are JCS-specific; all other candidate application threads remain unattributed and ownership requires the archived full dump</x:v>
      </x:c>
    </x:row>
  </x:sheetData>
  <x:pageMargins left="0.7" right="0.7" top="0.75" bottom="0.75" header="0.3" footer="0.3"/>
  <x:tableParts count="1">
    <x:tablePart xmlns:r="http://schemas.openxmlformats.org/officeDocument/2006/relationships" r:id="R2232873ce13b48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4" hidden="0" customWidth="1"/>
    <x:col min="3" max="3" width="12" hidden="0" customWidth="1"/>
    <x:col min="4" max="4" width="13" hidden="0" customWidth="1"/>
    <x:col min="5" max="5" width="8" hidden="0" customWidth="1"/>
    <x:col min="6" max="6" width="12" hidden="0" customWidth="1"/>
    <x:col min="7" max="7" width="8" hidden="0" customWidth="1"/>
    <x:col min="8" max="8" width="20" hidden="0" customWidth="1"/>
    <x:col min="9" max="9" width="14" hidden="0" customWidth="1"/>
    <x:col min="10" max="10" width="25" hidden="0" customWidth="1"/>
    <x:col min="11" max="11" width="43" hidden="0" customWidth="1"/>
    <x:col min="12" max="12" width="14" hidden="0" customWidth="1"/>
    <x:col min="13" max="13" width="22" hidden="0" customWidth="1"/>
    <x:col min="14" max="14" width="92" hidden="0" customWidth="1"/>
  </x:cols>
  <x:sheetData>
    <x:row r="1" ht="31" customHeight="1">
      <x:c r="A1" s="23" t="str">
        <x:v>eventId</x:v>
      </x:c>
      <x:c r="B1" s="23" t="str">
        <x:v>processRunId</x:v>
      </x:c>
      <x:c r="C1" s="23" t="str">
        <x:v>scenario</x:v>
      </x:c>
      <x:c r="D1" s="23" t="str">
        <x:v>provider</x:v>
      </x:c>
      <x:c r="E1" s="23" t="str">
        <x:v>fork</x:v>
      </x:c>
      <x:c r="F1" s="23" t="str">
        <x:v>Williams block</x:v>
      </x:c>
      <x:c r="G1" s="23" t="str">
        <x:v>cycle</x:v>
      </x:c>
      <x:c r="H1" s="23" t="str">
        <x:v>aggregation level</x:v>
      </x:c>
      <x:c r="I1" s="23" t="str">
        <x:v>undeploy ordinal</x:v>
      </x:c>
      <x:c r="J1" s="23" t="str">
        <x:v>event category</x:v>
      </x:c>
      <x:c r="K1" s="23" t="str">
        <x:v>source field</x:v>
      </x:c>
      <x:c r="L1" s="23" t="str">
        <x:v>occurrence index</x:v>
      </x:c>
      <x:c r="M1" s="23" t="str">
        <x:v>context</x:v>
      </x:c>
      <x:c r="N1" s="23" t="str">
        <x:v>raw message / payload</x:v>
      </x:c>
    </x:row>
    <x:row r="2">
      <x:c r="A2" s="36" t="n">
        <x:v>1</x:v>
      </x:c>
      <x:c r="B2" s="34" t="str">
        <x:v>article1-unified-v4-2-fb3f101b-20260903-000401-default-f01-p1-caffeine</x:v>
      </x:c>
      <x:c r="C2" s="34" t="str">
        <x:v>default</x:v>
      </x:c>
      <x:c r="D2" s="34" t="str">
        <x:v>caffeine</x:v>
      </x:c>
      <x:c r="E2" s="36" t="n">
        <x:v>1</x:v>
      </x:c>
      <x:c r="F2" s="36" t="n">
        <x:v>1</x:v>
      </x:c>
      <x:c r="G2" s="36" t="n">
        <x:v>1</x:v>
      </x:c>
      <x:c r="H2" s="34" t="str">
        <x:v>cycle-observation</x:v>
      </x:c>
      <x:c r="I2" s="36" t="n">
        <x:v>1</x:v>
      </x:c>
      <x:c r="J2" s="34" t="str">
        <x:v>tomcat-findleaks-occurrence</x:v>
      </x:c>
      <x:c r="K2" s="34" t="str">
        <x:v>afterUndeploy.tomcatFindLeaksOccurrences</x:v>
      </x:c>
      <x:c r="L2" s="36" t="n">
        <x:v>1</x:v>
      </x:c>
      <x:c r="M2" s="34" t="str">
        <x:v>/caffeine</x:v>
      </x:c>
      <x:c r="N2" s="44" t="str">
        <x:v>/caffeine</x:v>
      </x:c>
    </x:row>
    <x:row r="3">
      <x:c r="A3" s="36" t="n">
        <x:v>2</x:v>
      </x:c>
      <x:c r="B3" s="34" t="str">
        <x:v>article1-unified-v4-2-fb3f101b-20260903-000401-default-f01-p1-caffeine</x:v>
      </x:c>
      <x:c r="C3" s="34" t="str">
        <x:v>default</x:v>
      </x:c>
      <x:c r="D3" s="34" t="str">
        <x:v>caffeine</x:v>
      </x:c>
      <x:c r="E3" s="36" t="n">
        <x:v>1</x:v>
      </x:c>
      <x:c r="F3" s="36" t="n">
        <x:v>1</x:v>
      </x:c>
      <x:c r="G3" s="36" t="n">
        <x:v>1</x:v>
      </x:c>
      <x:c r="H3" s="34" t="str">
        <x:v>cycle-observation</x:v>
      </x:c>
      <x:c r="I3" s="36" t="n">
        <x:v>2</x:v>
      </x:c>
      <x:c r="J3" s="34" t="str">
        <x:v>tomcat-findleaks-occurrence</x:v>
      </x:c>
      <x:c r="K3" s="34" t="str">
        <x:v>afterFinalUndeploy.tomcatFindLeaksOccurrences</x:v>
      </x:c>
      <x:c r="L3" s="36" t="n">
        <x:v>1</x:v>
      </x:c>
      <x:c r="M3" s="34" t="str">
        <x:v>/caffeine</x:v>
      </x:c>
      <x:c r="N3" s="44" t="str">
        <x:v>/caffeine</x:v>
      </x:c>
    </x:row>
    <x:row r="4">
      <x:c r="A4" s="36" t="n">
        <x:v>3</x:v>
      </x:c>
      <x:c r="B4" s="34" t="str">
        <x:v>article1-unified-v4-2-fb3f101b-20260903-000401-default-f01-p1-caffeine</x:v>
      </x:c>
      <x:c r="C4" s="34" t="str">
        <x:v>default</x:v>
      </x:c>
      <x:c r="D4" s="34" t="str">
        <x:v>caffeine</x:v>
      </x:c>
      <x:c r="E4" s="36" t="n">
        <x:v>1</x:v>
      </x:c>
      <x:c r="F4" s="36" t="n">
        <x:v>1</x:v>
      </x:c>
      <x:c r="G4" s="36" t="n">
        <x:v>1</x:v>
      </x:c>
      <x:c r="H4" s="34" t="str">
        <x:v>cycle-observation</x:v>
      </x:c>
      <x:c r="I4" s="36" t="n">
        <x:v>2</x:v>
      </x:c>
      <x:c r="J4" s="34" t="str">
        <x:v>tomcat-findleaks-occurrence</x:v>
      </x:c>
      <x:c r="K4" s="34" t="str">
        <x:v>afterFinalUndeploy.tomcatFindLeaksOccurrences</x:v>
      </x:c>
      <x:c r="L4" s="36" t="n">
        <x:v>2</x:v>
      </x:c>
      <x:c r="M4" s="34" t="str">
        <x:v>/caffeine</x:v>
      </x:c>
      <x:c r="N4" s="44" t="str">
        <x:v>/caffeine</x:v>
      </x:c>
    </x:row>
    <x:row r="5">
      <x:c r="A5" s="36" t="n">
        <x:v>4</x:v>
      </x:c>
      <x:c r="B5" s="34" t="str">
        <x:v>article1-unified-v4-2-fb3f101b-20260903-000401-default-f01-p1-caffeine</x:v>
      </x:c>
      <x:c r="C5" s="34" t="str">
        <x:v>default</x:v>
      </x:c>
      <x:c r="D5" s="34" t="str">
        <x:v>caffeine</x:v>
      </x:c>
      <x:c r="E5" s="36" t="n">
        <x:v>1</x:v>
      </x:c>
      <x:c r="F5" s="36" t="n">
        <x:v>1</x:v>
      </x:c>
      <x:c r="G5" s="36" t="n">
        <x:v>2</x:v>
      </x:c>
      <x:c r="H5" s="34" t="str">
        <x:v>cycle-observation</x:v>
      </x:c>
      <x:c r="I5" s="36" t="n">
        <x:v>1</x:v>
      </x:c>
      <x:c r="J5" s="34" t="str">
        <x:v>tomcat-findleaks-occurrence</x:v>
      </x:c>
      <x:c r="K5" s="34" t="str">
        <x:v>afterUndeploy.tomcatFindLeaksOccurrences</x:v>
      </x:c>
      <x:c r="L5" s="36" t="n">
        <x:v>1</x:v>
      </x:c>
      <x:c r="M5" s="34" t="str">
        <x:v>/caffeine</x:v>
      </x:c>
      <x:c r="N5" s="44" t="str">
        <x:v>/caffeine</x:v>
      </x:c>
    </x:row>
    <x:row r="6">
      <x:c r="A6" s="36" t="n">
        <x:v>5</x:v>
      </x:c>
      <x:c r="B6" s="34" t="str">
        <x:v>article1-unified-v4-2-fb3f101b-20260903-000401-default-f01-p1-caffeine</x:v>
      </x:c>
      <x:c r="C6" s="34" t="str">
        <x:v>default</x:v>
      </x:c>
      <x:c r="D6" s="34" t="str">
        <x:v>caffeine</x:v>
      </x:c>
      <x:c r="E6" s="36" t="n">
        <x:v>1</x:v>
      </x:c>
      <x:c r="F6" s="36" t="n">
        <x:v>1</x:v>
      </x:c>
      <x:c r="G6" s="36" t="n">
        <x:v>2</x:v>
      </x:c>
      <x:c r="H6" s="34" t="str">
        <x:v>cycle-observation</x:v>
      </x:c>
      <x:c r="I6" s="36" t="n">
        <x:v>2</x:v>
      </x:c>
      <x:c r="J6" s="34" t="str">
        <x:v>tomcat-findleaks-occurrence</x:v>
      </x:c>
      <x:c r="K6" s="34" t="str">
        <x:v>afterFinalUndeploy.tomcatFindLeaksOccurrences</x:v>
      </x:c>
      <x:c r="L6" s="36" t="n">
        <x:v>1</x:v>
      </x:c>
      <x:c r="M6" s="34" t="str">
        <x:v>/caffeine</x:v>
      </x:c>
      <x:c r="N6" s="44" t="str">
        <x:v>/caffeine</x:v>
      </x:c>
    </x:row>
    <x:row r="7">
      <x:c r="A7" s="36" t="n">
        <x:v>6</x:v>
      </x:c>
      <x:c r="B7" s="34" t="str">
        <x:v>article1-unified-v4-2-fb3f101b-20260903-000401-default-f01-p1-caffeine</x:v>
      </x:c>
      <x:c r="C7" s="34" t="str">
        <x:v>default</x:v>
      </x:c>
      <x:c r="D7" s="34" t="str">
        <x:v>caffeine</x:v>
      </x:c>
      <x:c r="E7" s="36" t="n">
        <x:v>1</x:v>
      </x:c>
      <x:c r="F7" s="36" t="n">
        <x:v>1</x:v>
      </x:c>
      <x:c r="G7" s="36" t="n">
        <x:v>3</x:v>
      </x:c>
      <x:c r="H7" s="34" t="str">
        <x:v>cycle-observation</x:v>
      </x:c>
      <x:c r="I7" s="36" t="n">
        <x:v>1</x:v>
      </x:c>
      <x:c r="J7" s="34" t="str">
        <x:v>tomcat-findleaks-occurrence</x:v>
      </x:c>
      <x:c r="K7" s="34" t="str">
        <x:v>afterUndeploy.tomcatFindLeaksOccurrences</x:v>
      </x:c>
      <x:c r="L7" s="36" t="n">
        <x:v>1</x:v>
      </x:c>
      <x:c r="M7" s="34" t="str">
        <x:v>/caffeine</x:v>
      </x:c>
      <x:c r="N7" s="44" t="str">
        <x:v>/caffeine</x:v>
      </x:c>
    </x:row>
    <x:row r="8">
      <x:c r="A8" s="36" t="n">
        <x:v>7</x:v>
      </x:c>
      <x:c r="B8" s="34" t="str">
        <x:v>article1-unified-v4-2-fb3f101b-20260903-000401-default-f01-p1-caffeine</x:v>
      </x:c>
      <x:c r="C8" s="34" t="str">
        <x:v>default</x:v>
      </x:c>
      <x:c r="D8" s="34" t="str">
        <x:v>caffeine</x:v>
      </x:c>
      <x:c r="E8" s="36" t="n">
        <x:v>1</x:v>
      </x:c>
      <x:c r="F8" s="36" t="n">
        <x:v>1</x:v>
      </x:c>
      <x:c r="G8" s="36" t="n">
        <x:v>3</x:v>
      </x:c>
      <x:c r="H8" s="34" t="str">
        <x:v>cycle-observation</x:v>
      </x:c>
      <x:c r="I8" s="36" t="n">
        <x:v>2</x:v>
      </x:c>
      <x:c r="J8" s="34" t="str">
        <x:v>tomcat-findleaks-occurrence</x:v>
      </x:c>
      <x:c r="K8" s="34" t="str">
        <x:v>afterFinalUndeploy.tomcatFindLeaksOccurrences</x:v>
      </x:c>
      <x:c r="L8" s="36" t="n">
        <x:v>1</x:v>
      </x:c>
      <x:c r="M8" s="34" t="str">
        <x:v>/caffeine</x:v>
      </x:c>
      <x:c r="N8" s="44" t="str">
        <x:v>/caffeine</x:v>
      </x:c>
    </x:row>
    <x:row r="9">
      <x:c r="A9" s="36" t="n">
        <x:v>8</x:v>
      </x:c>
      <x:c r="B9" s="34" t="str">
        <x:v>article1-unified-v4-2-fb3f101b-20260903-000401-default-f01-p1-caffeine</x:v>
      </x:c>
      <x:c r="C9" s="34" t="str">
        <x:v>default</x:v>
      </x:c>
      <x:c r="D9" s="34" t="str">
        <x:v>caffeine</x:v>
      </x:c>
      <x:c r="E9" s="36" t="n">
        <x:v>1</x:v>
      </x:c>
      <x:c r="F9" s="36" t="n">
        <x:v>1</x:v>
      </x:c>
      <x:c r="G9" s="36" t="n">
        <x:v>4</x:v>
      </x:c>
      <x:c r="H9" s="34" t="str">
        <x:v>cycle-observation</x:v>
      </x:c>
      <x:c r="I9" s="36" t="n">
        <x:v>1</x:v>
      </x:c>
      <x:c r="J9" s="34" t="str">
        <x:v>tomcat-findleaks-occurrence</x:v>
      </x:c>
      <x:c r="K9" s="34" t="str">
        <x:v>afterUndeploy.tomcatFindLeaksOccurrences</x:v>
      </x:c>
      <x:c r="L9" s="36" t="n">
        <x:v>1</x:v>
      </x:c>
      <x:c r="M9" s="34" t="str">
        <x:v>/caffeine</x:v>
      </x:c>
      <x:c r="N9" s="44" t="str">
        <x:v>/caffeine</x:v>
      </x:c>
    </x:row>
    <x:row r="10">
      <x:c r="A10" s="36" t="n">
        <x:v>9</x:v>
      </x:c>
      <x:c r="B10" s="34" t="str">
        <x:v>article1-unified-v4-2-fb3f101b-20260903-000401-default-f01-p1-caffeine</x:v>
      </x:c>
      <x:c r="C10" s="34" t="str">
        <x:v>default</x:v>
      </x:c>
      <x:c r="D10" s="34" t="str">
        <x:v>caffeine</x:v>
      </x:c>
      <x:c r="E10" s="36" t="n">
        <x:v>1</x:v>
      </x:c>
      <x:c r="F10" s="36" t="n">
        <x:v>1</x:v>
      </x:c>
      <x:c r="G10" s="36" t="n">
        <x:v>4</x:v>
      </x:c>
      <x:c r="H10" s="34" t="str">
        <x:v>cycle-observation</x:v>
      </x:c>
      <x:c r="I10" s="36" t="n">
        <x:v>2</x:v>
      </x:c>
      <x:c r="J10" s="34" t="str">
        <x:v>tomcat-findleaks-occurrence</x:v>
      </x:c>
      <x:c r="K10" s="34" t="str">
        <x:v>afterFinalUndeploy.tomcatFindLeaksOccurrences</x:v>
      </x:c>
      <x:c r="L10" s="36" t="n">
        <x:v>1</x:v>
      </x:c>
      <x:c r="M10" s="34" t="str">
        <x:v>/caffeine</x:v>
      </x:c>
      <x:c r="N10" s="44" t="str">
        <x:v>/caffeine</x:v>
      </x:c>
    </x:row>
    <x:row r="11">
      <x:c r="A11" s="36" t="n">
        <x:v>10</x:v>
      </x:c>
      <x:c r="B11" s="34" t="str">
        <x:v>article1-unified-v4-2-fb3f101b-20260903-000401-default-f01-p1-caffeine</x:v>
      </x:c>
      <x:c r="C11" s="34" t="str">
        <x:v>default</x:v>
      </x:c>
      <x:c r="D11" s="34" t="str">
        <x:v>caffeine</x:v>
      </x:c>
      <x:c r="E11" s="36" t="n">
        <x:v>1</x:v>
      </x:c>
      <x:c r="F11" s="36" t="n">
        <x:v>1</x:v>
      </x:c>
      <x:c r="G11" s="36" t="n">
        <x:v>5</x:v>
      </x:c>
      <x:c r="H11" s="34" t="str">
        <x:v>cycle-observation</x:v>
      </x:c>
      <x:c r="I11" s="36" t="n">
        <x:v>1</x:v>
      </x:c>
      <x:c r="J11" s="34" t="str">
        <x:v>tomcat-findleaks-occurrence</x:v>
      </x:c>
      <x:c r="K11" s="34" t="str">
        <x:v>afterUndeploy.tomcatFindLeaksOccurrences</x:v>
      </x:c>
      <x:c r="L11" s="36" t="n">
        <x:v>1</x:v>
      </x:c>
      <x:c r="M11" s="34" t="str">
        <x:v>/caffeine</x:v>
      </x:c>
      <x:c r="N11" s="44" t="str">
        <x:v>/caffeine</x:v>
      </x:c>
    </x:row>
    <x:row r="12">
      <x:c r="A12" s="36" t="n">
        <x:v>11</x:v>
      </x:c>
      <x:c r="B12" s="34" t="str">
        <x:v>article1-unified-v4-2-fb3f101b-20260903-000401-default-f01-p1-caffeine</x:v>
      </x:c>
      <x:c r="C12" s="34" t="str">
        <x:v>default</x:v>
      </x:c>
      <x:c r="D12" s="34" t="str">
        <x:v>caffeine</x:v>
      </x:c>
      <x:c r="E12" s="36" t="n">
        <x:v>1</x:v>
      </x:c>
      <x:c r="F12" s="36" t="n">
        <x:v>1</x:v>
      </x:c>
      <x:c r="G12" s="36" t="n">
        <x:v>5</x:v>
      </x:c>
      <x:c r="H12" s="34" t="str">
        <x:v>cycle-observation</x:v>
      </x:c>
      <x:c r="I12" s="36" t="n">
        <x:v>2</x:v>
      </x:c>
      <x:c r="J12" s="34" t="str">
        <x:v>tomcat-findleaks-occurrence</x:v>
      </x:c>
      <x:c r="K12" s="34" t="str">
        <x:v>afterFinalUndeploy.tomcatFindLeaksOccurrences</x:v>
      </x:c>
      <x:c r="L12" s="36" t="n">
        <x:v>1</x:v>
      </x:c>
      <x:c r="M12" s="34" t="str">
        <x:v>/caffeine</x:v>
      </x:c>
      <x:c r="N12" s="44" t="str">
        <x:v>/caffeine</x:v>
      </x:c>
    </x:row>
    <x:row r="13">
      <x:c r="A13" s="36" t="n">
        <x:v>12</x:v>
      </x:c>
      <x:c r="B13" s="34" t="str">
        <x:v>article1-unified-v4-2-fb3f101b-20260903-000401-default-f01-p2-ehcache</x:v>
      </x:c>
      <x:c r="C13" s="34" t="str">
        <x:v>default</x:v>
      </x:c>
      <x:c r="D13" s="34" t="str">
        <x:v>ehcache</x:v>
      </x:c>
      <x:c r="E13" s="36" t="n">
        <x:v>1</x:v>
      </x:c>
      <x:c r="F13" s="36" t="n">
        <x:v>1</x:v>
      </x:c>
      <x:c r="G13" s="36"/>
      <x:c r="H13" s="34" t="str">
        <x:v>process-run-aggregate</x:v>
      </x:c>
      <x:c r="I13" s="36"/>
      <x:c r="J13" s="34" t="str">
        <x:v>warning</x:v>
      </x:c>
      <x:c r="K13" s="34" t="str">
        <x:v>warnings</x:v>
      </x:c>
      <x:c r="L13" s="36" t="n">
        <x:v>1</x:v>
      </x:c>
      <x:c r="M13" s="34"/>
      <x:c r="N13" s="44" t="str">
        <x:v>WARNING: A terminally deprecated method in sun.misc.Unsafe has been called</x:v>
      </x:c>
    </x:row>
    <x:row r="14">
      <x:c r="A14" s="36" t="n">
        <x:v>13</x:v>
      </x:c>
      <x:c r="B14" s="34" t="str">
        <x:v>article1-unified-v4-2-fb3f101b-20260903-000401-default-f01-p2-ehcache</x:v>
      </x:c>
      <x:c r="C14" s="34" t="str">
        <x:v>default</x:v>
      </x:c>
      <x:c r="D14" s="34" t="str">
        <x:v>ehcache</x:v>
      </x:c>
      <x:c r="E14" s="36" t="n">
        <x:v>1</x:v>
      </x:c>
      <x:c r="F14" s="36" t="n">
        <x:v>1</x:v>
      </x:c>
      <x:c r="G14" s="36"/>
      <x:c r="H14" s="34" t="str">
        <x:v>process-run-aggregate</x:v>
      </x:c>
      <x:c r="I14" s="36"/>
      <x:c r="J14" s="34" t="str">
        <x:v>warning</x:v>
      </x:c>
      <x:c r="K14" s="34" t="str">
        <x:v>warnings</x:v>
      </x:c>
      <x:c r="L14" s="36" t="n">
        <x:v>2</x:v>
      </x:c>
      <x:c r="M14" s="34"/>
      <x:c r="N14" s="44" t="str">
        <x:v>WARNING: sun.misc.Unsafe::objectFieldOffset has been called by org.ehcache.impl.internal.concurrent.ThreadLocalRandomUtil (file:/usr/local/tomcat/webapps/ehcache/WEB-INF/lib/ehcache-3.12.0.jar)</x:v>
      </x:c>
    </x:row>
    <x:row r="15">
      <x:c r="A15" s="36" t="n">
        <x:v>14</x:v>
      </x:c>
      <x:c r="B15" s="34" t="str">
        <x:v>article1-unified-v4-2-fb3f101b-20260903-000401-default-f01-p2-ehcache</x:v>
      </x:c>
      <x:c r="C15" s="34" t="str">
        <x:v>default</x:v>
      </x:c>
      <x:c r="D15" s="34" t="str">
        <x:v>ehcache</x:v>
      </x:c>
      <x:c r="E15" s="36" t="n">
        <x:v>1</x:v>
      </x:c>
      <x:c r="F15" s="36" t="n">
        <x:v>1</x:v>
      </x:c>
      <x:c r="G15" s="36"/>
      <x:c r="H15" s="34" t="str">
        <x:v>process-run-aggregate</x:v>
      </x:c>
      <x:c r="I15" s="36"/>
      <x:c r="J15" s="34" t="str">
        <x:v>warning</x:v>
      </x:c>
      <x:c r="K15" s="34" t="str">
        <x:v>warnings</x:v>
      </x:c>
      <x:c r="L15" s="36" t="n">
        <x:v>3</x:v>
      </x:c>
      <x:c r="M15" s="34"/>
      <x:c r="N15" s="44" t="str">
        <x:v>WARNING: Please consider reporting this to the maintainers of class org.ehcache.impl.internal.concurrent.ThreadLocalRandomUtil</x:v>
      </x:c>
    </x:row>
    <x:row r="16">
      <x:c r="A16" s="36" t="n">
        <x:v>15</x:v>
      </x:c>
      <x:c r="B16" s="34" t="str">
        <x:v>article1-unified-v4-2-fb3f101b-20260903-000401-default-f01-p2-ehcache</x:v>
      </x:c>
      <x:c r="C16" s="34" t="str">
        <x:v>default</x:v>
      </x:c>
      <x:c r="D16" s="34" t="str">
        <x:v>ehcache</x:v>
      </x:c>
      <x:c r="E16" s="36" t="n">
        <x:v>1</x:v>
      </x:c>
      <x:c r="F16" s="36" t="n">
        <x:v>1</x:v>
      </x:c>
      <x:c r="G16" s="36"/>
      <x:c r="H16" s="34" t="str">
        <x:v>process-run-aggregate</x:v>
      </x:c>
      <x:c r="I16" s="36"/>
      <x:c r="J16" s="34" t="str">
        <x:v>warning</x:v>
      </x:c>
      <x:c r="K16" s="34" t="str">
        <x:v>warnings</x:v>
      </x:c>
      <x:c r="L16" s="36" t="n">
        <x:v>4</x:v>
      </x:c>
      <x:c r="M16" s="34"/>
      <x:c r="N16" s="44" t="str">
        <x:v>WARNING: sun.misc.Unsafe::objectFieldOffset will be removed in a future release</x:v>
      </x:c>
    </x:row>
    <x:row r="17">
      <x:c r="A17" s="36" t="n">
        <x:v>16</x:v>
      </x:c>
      <x:c r="B17" s="34" t="str">
        <x:v>article1-unified-v4-2-fb3f101b-20260903-000401-default-f01-p2-ehcache</x:v>
      </x:c>
      <x:c r="C17" s="34" t="str">
        <x:v>default</x:v>
      </x:c>
      <x:c r="D17" s="34" t="str">
        <x:v>ehcache</x:v>
      </x:c>
      <x:c r="E17" s="36" t="n">
        <x:v>1</x:v>
      </x:c>
      <x:c r="F17" s="36" t="n">
        <x:v>1</x:v>
      </x:c>
      <x:c r="G17" s="36" t="n">
        <x:v>1</x:v>
      </x:c>
      <x:c r="H17" s="34" t="str">
        <x:v>cycle-observation</x:v>
      </x:c>
      <x:c r="I17" s="36" t="n">
        <x:v>1</x:v>
      </x:c>
      <x:c r="J17" s="34" t="str">
        <x:v>tomcat-findleaks-occurrence</x:v>
      </x:c>
      <x:c r="K17" s="34" t="str">
        <x:v>afterUndeploy.tomcatFindLeaksOccurrences</x:v>
      </x:c>
      <x:c r="L17" s="36" t="n">
        <x:v>1</x:v>
      </x:c>
      <x:c r="M17" s="34" t="str">
        <x:v>/ehcache</x:v>
      </x:c>
      <x:c r="N17" s="44" t="str">
        <x:v>/ehcache</x:v>
      </x:c>
    </x:row>
    <x:row r="18">
      <x:c r="A18" s="36" t="n">
        <x:v>17</x:v>
      </x:c>
      <x:c r="B18" s="34" t="str">
        <x:v>article1-unified-v4-2-fb3f101b-20260903-000401-default-f01-p2-ehcache</x:v>
      </x:c>
      <x:c r="C18" s="34" t="str">
        <x:v>default</x:v>
      </x:c>
      <x:c r="D18" s="34" t="str">
        <x:v>ehcache</x:v>
      </x:c>
      <x:c r="E18" s="36" t="n">
        <x:v>1</x:v>
      </x:c>
      <x:c r="F18" s="36" t="n">
        <x:v>1</x:v>
      </x:c>
      <x:c r="G18" s="36" t="n">
        <x:v>1</x:v>
      </x:c>
      <x:c r="H18" s="34" t="str">
        <x:v>cycle-observation</x:v>
      </x:c>
      <x:c r="I18" s="36" t="n">
        <x:v>2</x:v>
      </x:c>
      <x:c r="J18" s="34" t="str">
        <x:v>tomcat-findleaks-occurrence</x:v>
      </x:c>
      <x:c r="K18" s="34" t="str">
        <x:v>afterFinalUndeploy.tomcatFindLeaksOccurrences</x:v>
      </x:c>
      <x:c r="L18" s="36" t="n">
        <x:v>1</x:v>
      </x:c>
      <x:c r="M18" s="34" t="str">
        <x:v>/ehcache</x:v>
      </x:c>
      <x:c r="N18" s="44" t="str">
        <x:v>/ehcache</x:v>
      </x:c>
    </x:row>
    <x:row r="19">
      <x:c r="A19" s="36" t="n">
        <x:v>18</x:v>
      </x:c>
      <x:c r="B19" s="34" t="str">
        <x:v>article1-unified-v4-2-fb3f101b-20260903-000401-default-f01-p2-ehcache</x:v>
      </x:c>
      <x:c r="C19" s="34" t="str">
        <x:v>default</x:v>
      </x:c>
      <x:c r="D19" s="34" t="str">
        <x:v>ehcache</x:v>
      </x:c>
      <x:c r="E19" s="36" t="n">
        <x:v>1</x:v>
      </x:c>
      <x:c r="F19" s="36" t="n">
        <x:v>1</x:v>
      </x:c>
      <x:c r="G19" s="36" t="n">
        <x:v>1</x:v>
      </x:c>
      <x:c r="H19" s="34" t="str">
        <x:v>cycle-observation</x:v>
      </x:c>
      <x:c r="I19" s="36" t="n">
        <x:v>2</x:v>
      </x:c>
      <x:c r="J19" s="34" t="str">
        <x:v>tomcat-findleaks-occurrence</x:v>
      </x:c>
      <x:c r="K19" s="34" t="str">
        <x:v>afterFinalUndeploy.tomcatFindLeaksOccurrences</x:v>
      </x:c>
      <x:c r="L19" s="36" t="n">
        <x:v>2</x:v>
      </x:c>
      <x:c r="M19" s="34" t="str">
        <x:v>/ehcache</x:v>
      </x:c>
      <x:c r="N19" s="44" t="str">
        <x:v>/ehcache</x:v>
      </x:c>
    </x:row>
    <x:row r="20">
      <x:c r="A20" s="36" t="n">
        <x:v>19</x:v>
      </x:c>
      <x:c r="B20" s="34" t="str">
        <x:v>article1-unified-v4-2-fb3f101b-20260903-000401-default-f01-p2-ehcache</x:v>
      </x:c>
      <x:c r="C20" s="34" t="str">
        <x:v>default</x:v>
      </x:c>
      <x:c r="D20" s="34" t="str">
        <x:v>ehcache</x:v>
      </x:c>
      <x:c r="E20" s="36" t="n">
        <x:v>1</x:v>
      </x:c>
      <x:c r="F20" s="36" t="n">
        <x:v>1</x:v>
      </x:c>
      <x:c r="G20" s="36" t="n">
        <x:v>2</x:v>
      </x:c>
      <x:c r="H20" s="34" t="str">
        <x:v>cycle-observation</x:v>
      </x:c>
      <x:c r="I20" s="36" t="n">
        <x:v>1</x:v>
      </x:c>
      <x:c r="J20" s="34" t="str">
        <x:v>tomcat-findleaks-occurrence</x:v>
      </x:c>
      <x:c r="K20" s="34" t="str">
        <x:v>afterUndeploy.tomcatFindLeaksOccurrences</x:v>
      </x:c>
      <x:c r="L20" s="36" t="n">
        <x:v>1</x:v>
      </x:c>
      <x:c r="M20" s="34" t="str">
        <x:v>/ehcache</x:v>
      </x:c>
      <x:c r="N20" s="44" t="str">
        <x:v>/ehcache</x:v>
      </x:c>
    </x:row>
    <x:row r="21">
      <x:c r="A21" s="36" t="n">
        <x:v>20</x:v>
      </x:c>
      <x:c r="B21" s="34" t="str">
        <x:v>article1-unified-v4-2-fb3f101b-20260903-000401-default-f01-p2-ehcache</x:v>
      </x:c>
      <x:c r="C21" s="34" t="str">
        <x:v>default</x:v>
      </x:c>
      <x:c r="D21" s="34" t="str">
        <x:v>ehcache</x:v>
      </x:c>
      <x:c r="E21" s="36" t="n">
        <x:v>1</x:v>
      </x:c>
      <x:c r="F21" s="36" t="n">
        <x:v>1</x:v>
      </x:c>
      <x:c r="G21" s="36" t="n">
        <x:v>2</x:v>
      </x:c>
      <x:c r="H21" s="34" t="str">
        <x:v>cycle-observation</x:v>
      </x:c>
      <x:c r="I21" s="36" t="n">
        <x:v>1</x:v>
      </x:c>
      <x:c r="J21" s="34" t="str">
        <x:v>tomcat-findleaks-occurrence</x:v>
      </x:c>
      <x:c r="K21" s="34" t="str">
        <x:v>afterUndeploy.tomcatFindLeaksOccurrences</x:v>
      </x:c>
      <x:c r="L21" s="36" t="n">
        <x:v>2</x:v>
      </x:c>
      <x:c r="M21" s="34" t="str">
        <x:v>/ehcache</x:v>
      </x:c>
      <x:c r="N21" s="44" t="str">
        <x:v>/ehcache</x:v>
      </x:c>
    </x:row>
    <x:row r="22">
      <x:c r="A22" s="36" t="n">
        <x:v>21</x:v>
      </x:c>
      <x:c r="B22" s="34" t="str">
        <x:v>article1-unified-v4-2-fb3f101b-20260903-000401-default-f01-p2-ehcache</x:v>
      </x:c>
      <x:c r="C22" s="34" t="str">
        <x:v>default</x:v>
      </x:c>
      <x:c r="D22" s="34" t="str">
        <x:v>ehcache</x:v>
      </x:c>
      <x:c r="E22" s="36" t="n">
        <x:v>1</x:v>
      </x:c>
      <x:c r="F22" s="36" t="n">
        <x:v>1</x:v>
      </x:c>
      <x:c r="G22" s="36" t="n">
        <x:v>2</x:v>
      </x:c>
      <x:c r="H22" s="34" t="str">
        <x:v>cycle-observation</x:v>
      </x:c>
      <x:c r="I22" s="36" t="n">
        <x:v>2</x:v>
      </x:c>
      <x:c r="J22" s="34" t="str">
        <x:v>tomcat-findleaks-occurrence</x:v>
      </x:c>
      <x:c r="K22" s="34" t="str">
        <x:v>afterFinalUndeploy.tomcatFindLeaksOccurrences</x:v>
      </x:c>
      <x:c r="L22" s="36" t="n">
        <x:v>1</x:v>
      </x:c>
      <x:c r="M22" s="34" t="str">
        <x:v>/ehcache</x:v>
      </x:c>
      <x:c r="N22" s="44" t="str">
        <x:v>/ehcache</x:v>
      </x:c>
    </x:row>
    <x:row r="23">
      <x:c r="A23" s="36" t="n">
        <x:v>22</x:v>
      </x:c>
      <x:c r="B23" s="34" t="str">
        <x:v>article1-unified-v4-2-fb3f101b-20260903-000401-default-f01-p2-ehcache</x:v>
      </x:c>
      <x:c r="C23" s="34" t="str">
        <x:v>default</x:v>
      </x:c>
      <x:c r="D23" s="34" t="str">
        <x:v>ehcache</x:v>
      </x:c>
      <x:c r="E23" s="36" t="n">
        <x:v>1</x:v>
      </x:c>
      <x:c r="F23" s="36" t="n">
        <x:v>1</x:v>
      </x:c>
      <x:c r="G23" s="36" t="n">
        <x:v>3</x:v>
      </x:c>
      <x:c r="H23" s="34" t="str">
        <x:v>cycle-observation</x:v>
      </x:c>
      <x:c r="I23" s="36" t="n">
        <x:v>1</x:v>
      </x:c>
      <x:c r="J23" s="34" t="str">
        <x:v>tomcat-findleaks-occurrence</x:v>
      </x:c>
      <x:c r="K23" s="34" t="str">
        <x:v>afterUndeploy.tomcatFindLeaksOccurrences</x:v>
      </x:c>
      <x:c r="L23" s="36" t="n">
        <x:v>1</x:v>
      </x:c>
      <x:c r="M23" s="34" t="str">
        <x:v>/ehcache</x:v>
      </x:c>
      <x:c r="N23" s="44" t="str">
        <x:v>/ehcache</x:v>
      </x:c>
    </x:row>
    <x:row r="24">
      <x:c r="A24" s="36" t="n">
        <x:v>23</x:v>
      </x:c>
      <x:c r="B24" s="34" t="str">
        <x:v>article1-unified-v4-2-fb3f101b-20260903-000401-default-f01-p2-ehcache</x:v>
      </x:c>
      <x:c r="C24" s="34" t="str">
        <x:v>default</x:v>
      </x:c>
      <x:c r="D24" s="34" t="str">
        <x:v>ehcache</x:v>
      </x:c>
      <x:c r="E24" s="36" t="n">
        <x:v>1</x:v>
      </x:c>
      <x:c r="F24" s="36" t="n">
        <x:v>1</x:v>
      </x:c>
      <x:c r="G24" s="36" t="n">
        <x:v>3</x:v>
      </x:c>
      <x:c r="H24" s="34" t="str">
        <x:v>cycle-observation</x:v>
      </x:c>
      <x:c r="I24" s="36" t="n">
        <x:v>2</x:v>
      </x:c>
      <x:c r="J24" s="34" t="str">
        <x:v>tomcat-findleaks-occurrence</x:v>
      </x:c>
      <x:c r="K24" s="34" t="str">
        <x:v>afterFinalUndeploy.tomcatFindLeaksOccurrences</x:v>
      </x:c>
      <x:c r="L24" s="36" t="n">
        <x:v>1</x:v>
      </x:c>
      <x:c r="M24" s="34" t="str">
        <x:v>/ehcache</x:v>
      </x:c>
      <x:c r="N24" s="44" t="str">
        <x:v>/ehcache</x:v>
      </x:c>
    </x:row>
    <x:row r="25">
      <x:c r="A25" s="36" t="n">
        <x:v>24</x:v>
      </x:c>
      <x:c r="B25" s="34" t="str">
        <x:v>article1-unified-v4-2-fb3f101b-20260903-000401-default-f01-p2-ehcache</x:v>
      </x:c>
      <x:c r="C25" s="34" t="str">
        <x:v>default</x:v>
      </x:c>
      <x:c r="D25" s="34" t="str">
        <x:v>ehcache</x:v>
      </x:c>
      <x:c r="E25" s="36" t="n">
        <x:v>1</x:v>
      </x:c>
      <x:c r="F25" s="36" t="n">
        <x:v>1</x:v>
      </x:c>
      <x:c r="G25" s="36" t="n">
        <x:v>4</x:v>
      </x:c>
      <x:c r="H25" s="34" t="str">
        <x:v>cycle-observation</x:v>
      </x:c>
      <x:c r="I25" s="36" t="n">
        <x:v>1</x:v>
      </x:c>
      <x:c r="J25" s="34" t="str">
        <x:v>tomcat-findleaks-occurrence</x:v>
      </x:c>
      <x:c r="K25" s="34" t="str">
        <x:v>afterUndeploy.tomcatFindLeaksOccurrences</x:v>
      </x:c>
      <x:c r="L25" s="36" t="n">
        <x:v>1</x:v>
      </x:c>
      <x:c r="M25" s="34" t="str">
        <x:v>/ehcache</x:v>
      </x:c>
      <x:c r="N25" s="44" t="str">
        <x:v>/ehcache</x:v>
      </x:c>
    </x:row>
    <x:row r="26">
      <x:c r="A26" s="36" t="n">
        <x:v>25</x:v>
      </x:c>
      <x:c r="B26" s="34" t="str">
        <x:v>article1-unified-v4-2-fb3f101b-20260903-000401-default-f01-p2-ehcache</x:v>
      </x:c>
      <x:c r="C26" s="34" t="str">
        <x:v>default</x:v>
      </x:c>
      <x:c r="D26" s="34" t="str">
        <x:v>ehcache</x:v>
      </x:c>
      <x:c r="E26" s="36" t="n">
        <x:v>1</x:v>
      </x:c>
      <x:c r="F26" s="36" t="n">
        <x:v>1</x:v>
      </x:c>
      <x:c r="G26" s="36" t="n">
        <x:v>4</x:v>
      </x:c>
      <x:c r="H26" s="34" t="str">
        <x:v>cycle-observation</x:v>
      </x:c>
      <x:c r="I26" s="36" t="n">
        <x:v>2</x:v>
      </x:c>
      <x:c r="J26" s="34" t="str">
        <x:v>tomcat-findleaks-occurrence</x:v>
      </x:c>
      <x:c r="K26" s="34" t="str">
        <x:v>afterFinalUndeploy.tomcatFindLeaksOccurrences</x:v>
      </x:c>
      <x:c r="L26" s="36" t="n">
        <x:v>1</x:v>
      </x:c>
      <x:c r="M26" s="34" t="str">
        <x:v>/ehcache</x:v>
      </x:c>
      <x:c r="N26" s="44" t="str">
        <x:v>/ehcache</x:v>
      </x:c>
    </x:row>
    <x:row r="27">
      <x:c r="A27" s="36" t="n">
        <x:v>26</x:v>
      </x:c>
      <x:c r="B27" s="34" t="str">
        <x:v>article1-unified-v4-2-fb3f101b-20260903-000401-default-f01-p2-ehcache</x:v>
      </x:c>
      <x:c r="C27" s="34" t="str">
        <x:v>default</x:v>
      </x:c>
      <x:c r="D27" s="34" t="str">
        <x:v>ehcache</x:v>
      </x:c>
      <x:c r="E27" s="36" t="n">
        <x:v>1</x:v>
      </x:c>
      <x:c r="F27" s="36" t="n">
        <x:v>1</x:v>
      </x:c>
      <x:c r="G27" s="36" t="n">
        <x:v>5</x:v>
      </x:c>
      <x:c r="H27" s="34" t="str">
        <x:v>cycle-observation</x:v>
      </x:c>
      <x:c r="I27" s="36" t="n">
        <x:v>1</x:v>
      </x:c>
      <x:c r="J27" s="34" t="str">
        <x:v>tomcat-findleaks-occurrence</x:v>
      </x:c>
      <x:c r="K27" s="34" t="str">
        <x:v>afterUndeploy.tomcatFindLeaksOccurrences</x:v>
      </x:c>
      <x:c r="L27" s="36" t="n">
        <x:v>1</x:v>
      </x:c>
      <x:c r="M27" s="34" t="str">
        <x:v>/ehcache</x:v>
      </x:c>
      <x:c r="N27" s="44" t="str">
        <x:v>/ehcache</x:v>
      </x:c>
    </x:row>
    <x:row r="28">
      <x:c r="A28" s="36" t="n">
        <x:v>27</x:v>
      </x:c>
      <x:c r="B28" s="34" t="str">
        <x:v>article1-unified-v4-2-fb3f101b-20260903-000401-default-f01-p2-ehcache</x:v>
      </x:c>
      <x:c r="C28" s="34" t="str">
        <x:v>default</x:v>
      </x:c>
      <x:c r="D28" s="34" t="str">
        <x:v>ehcache</x:v>
      </x:c>
      <x:c r="E28" s="36" t="n">
        <x:v>1</x:v>
      </x:c>
      <x:c r="F28" s="36" t="n">
        <x:v>1</x:v>
      </x:c>
      <x:c r="G28" s="36" t="n">
        <x:v>5</x:v>
      </x:c>
      <x:c r="H28" s="34" t="str">
        <x:v>cycle-observation</x:v>
      </x:c>
      <x:c r="I28" s="36" t="n">
        <x:v>2</x:v>
      </x:c>
      <x:c r="J28" s="34" t="str">
        <x:v>tomcat-findleaks-occurrence</x:v>
      </x:c>
      <x:c r="K28" s="34" t="str">
        <x:v>afterFinalUndeploy.tomcatFindLeaksOccurrences</x:v>
      </x:c>
      <x:c r="L28" s="36" t="n">
        <x:v>1</x:v>
      </x:c>
      <x:c r="M28" s="34" t="str">
        <x:v>/ehcache</x:v>
      </x:c>
      <x:c r="N28" s="44" t="str">
        <x:v>/ehcache</x:v>
      </x:c>
    </x:row>
    <x:row r="29">
      <x:c r="A29" s="36" t="n">
        <x:v>28</x:v>
      </x:c>
      <x:c r="B29" s="34" t="str">
        <x:v>article1-unified-v4-2-fb3f101b-20260903-000401-default-f01-p3-nostore</x:v>
      </x:c>
      <x:c r="C29" s="34" t="str">
        <x:v>default</x:v>
      </x:c>
      <x:c r="D29" s="34" t="str">
        <x:v>nostore</x:v>
      </x:c>
      <x:c r="E29" s="36" t="n">
        <x:v>1</x:v>
      </x:c>
      <x:c r="F29" s="36" t="n">
        <x:v>1</x:v>
      </x:c>
      <x:c r="G29" s="36" t="n">
        <x:v>1</x:v>
      </x:c>
      <x:c r="H29" s="34" t="str">
        <x:v>cycle-observation</x:v>
      </x:c>
      <x:c r="I29" s="36" t="n">
        <x:v>1</x:v>
      </x:c>
      <x:c r="J29" s="34" t="str">
        <x:v>tomcat-findleaks-occurrence</x:v>
      </x:c>
      <x:c r="K29" s="34" t="str">
        <x:v>afterUndeploy.tomcatFindLeaksOccurrences</x:v>
      </x:c>
      <x:c r="L29" s="36" t="n">
        <x:v>1</x:v>
      </x:c>
      <x:c r="M29" s="34" t="str">
        <x:v>/nostore</x:v>
      </x:c>
      <x:c r="N29" s="44" t="str">
        <x:v>/nostore</x:v>
      </x:c>
    </x:row>
    <x:row r="30">
      <x:c r="A30" s="36" t="n">
        <x:v>29</x:v>
      </x:c>
      <x:c r="B30" s="34" t="str">
        <x:v>article1-unified-v4-2-fb3f101b-20260903-000401-default-f01-p3-nostore</x:v>
      </x:c>
      <x:c r="C30" s="34" t="str">
        <x:v>default</x:v>
      </x:c>
      <x:c r="D30" s="34" t="str">
        <x:v>nostore</x:v>
      </x:c>
      <x:c r="E30" s="36" t="n">
        <x:v>1</x:v>
      </x:c>
      <x:c r="F30" s="36" t="n">
        <x:v>1</x:v>
      </x:c>
      <x:c r="G30" s="36" t="n">
        <x:v>1</x:v>
      </x:c>
      <x:c r="H30" s="34" t="str">
        <x:v>cycle-observation</x:v>
      </x:c>
      <x:c r="I30" s="36" t="n">
        <x:v>2</x:v>
      </x:c>
      <x:c r="J30" s="34" t="str">
        <x:v>tomcat-findleaks-occurrence</x:v>
      </x:c>
      <x:c r="K30" s="34" t="str">
        <x:v>afterFinalUndeploy.tomcatFindLeaksOccurrences</x:v>
      </x:c>
      <x:c r="L30" s="36" t="n">
        <x:v>1</x:v>
      </x:c>
      <x:c r="M30" s="34" t="str">
        <x:v>/nostore</x:v>
      </x:c>
      <x:c r="N30" s="44" t="str">
        <x:v>/nostore</x:v>
      </x:c>
    </x:row>
    <x:row r="31">
      <x:c r="A31" s="36" t="n">
        <x:v>30</x:v>
      </x:c>
      <x:c r="B31" s="34" t="str">
        <x:v>article1-unified-v4-2-fb3f101b-20260903-000401-default-f01-p3-nostore</x:v>
      </x:c>
      <x:c r="C31" s="34" t="str">
        <x:v>default</x:v>
      </x:c>
      <x:c r="D31" s="34" t="str">
        <x:v>nostore</x:v>
      </x:c>
      <x:c r="E31" s="36" t="n">
        <x:v>1</x:v>
      </x:c>
      <x:c r="F31" s="36" t="n">
        <x:v>1</x:v>
      </x:c>
      <x:c r="G31" s="36" t="n">
        <x:v>2</x:v>
      </x:c>
      <x:c r="H31" s="34" t="str">
        <x:v>cycle-observation</x:v>
      </x:c>
      <x:c r="I31" s="36" t="n">
        <x:v>1</x:v>
      </x:c>
      <x:c r="J31" s="34" t="str">
        <x:v>tomcat-findleaks-occurrence</x:v>
      </x:c>
      <x:c r="K31" s="34" t="str">
        <x:v>afterUndeploy.tomcatFindLeaksOccurrences</x:v>
      </x:c>
      <x:c r="L31" s="36" t="n">
        <x:v>1</x:v>
      </x:c>
      <x:c r="M31" s="34" t="str">
        <x:v>/nostore</x:v>
      </x:c>
      <x:c r="N31" s="44" t="str">
        <x:v>/nostore</x:v>
      </x:c>
    </x:row>
    <x:row r="32">
      <x:c r="A32" s="36" t="n">
        <x:v>31</x:v>
      </x:c>
      <x:c r="B32" s="34" t="str">
        <x:v>article1-unified-v4-2-fb3f101b-20260903-000401-default-f01-p3-nostore</x:v>
      </x:c>
      <x:c r="C32" s="34" t="str">
        <x:v>default</x:v>
      </x:c>
      <x:c r="D32" s="34" t="str">
        <x:v>nostore</x:v>
      </x:c>
      <x:c r="E32" s="36" t="n">
        <x:v>1</x:v>
      </x:c>
      <x:c r="F32" s="36" t="n">
        <x:v>1</x:v>
      </x:c>
      <x:c r="G32" s="36" t="n">
        <x:v>2</x:v>
      </x:c>
      <x:c r="H32" s="34" t="str">
        <x:v>cycle-observation</x:v>
      </x:c>
      <x:c r="I32" s="36" t="n">
        <x:v>2</x:v>
      </x:c>
      <x:c r="J32" s="34" t="str">
        <x:v>tomcat-findleaks-occurrence</x:v>
      </x:c>
      <x:c r="K32" s="34" t="str">
        <x:v>afterFinalUndeploy.tomcatFindLeaksOccurrences</x:v>
      </x:c>
      <x:c r="L32" s="36" t="n">
        <x:v>1</x:v>
      </x:c>
      <x:c r="M32" s="34" t="str">
        <x:v>/nostore</x:v>
      </x:c>
      <x:c r="N32" s="44" t="str">
        <x:v>/nostore</x:v>
      </x:c>
    </x:row>
    <x:row r="33">
      <x:c r="A33" s="36" t="n">
        <x:v>32</x:v>
      </x:c>
      <x:c r="B33" s="34" t="str">
        <x:v>article1-unified-v4-2-fb3f101b-20260903-000401-default-f01-p3-nostore</x:v>
      </x:c>
      <x:c r="C33" s="34" t="str">
        <x:v>default</x:v>
      </x:c>
      <x:c r="D33" s="34" t="str">
        <x:v>nostore</x:v>
      </x:c>
      <x:c r="E33" s="36" t="n">
        <x:v>1</x:v>
      </x:c>
      <x:c r="F33" s="36" t="n">
        <x:v>1</x:v>
      </x:c>
      <x:c r="G33" s="36" t="n">
        <x:v>3</x:v>
      </x:c>
      <x:c r="H33" s="34" t="str">
        <x:v>cycle-observation</x:v>
      </x:c>
      <x:c r="I33" s="36" t="n">
        <x:v>1</x:v>
      </x:c>
      <x:c r="J33" s="34" t="str">
        <x:v>tomcat-findleaks-occurrence</x:v>
      </x:c>
      <x:c r="K33" s="34" t="str">
        <x:v>afterUndeploy.tomcatFindLeaksOccurrences</x:v>
      </x:c>
      <x:c r="L33" s="36" t="n">
        <x:v>1</x:v>
      </x:c>
      <x:c r="M33" s="34" t="str">
        <x:v>/nostore</x:v>
      </x:c>
      <x:c r="N33" s="44" t="str">
        <x:v>/nostore</x:v>
      </x:c>
    </x:row>
    <x:row r="34">
      <x:c r="A34" s="36" t="n">
        <x:v>33</x:v>
      </x:c>
      <x:c r="B34" s="34" t="str">
        <x:v>article1-unified-v4-2-fb3f101b-20260903-000401-default-f01-p3-nostore</x:v>
      </x:c>
      <x:c r="C34" s="34" t="str">
        <x:v>default</x:v>
      </x:c>
      <x:c r="D34" s="34" t="str">
        <x:v>nostore</x:v>
      </x:c>
      <x:c r="E34" s="36" t="n">
        <x:v>1</x:v>
      </x:c>
      <x:c r="F34" s="36" t="n">
        <x:v>1</x:v>
      </x:c>
      <x:c r="G34" s="36" t="n">
        <x:v>3</x:v>
      </x:c>
      <x:c r="H34" s="34" t="str">
        <x:v>cycle-observation</x:v>
      </x:c>
      <x:c r="I34" s="36" t="n">
        <x:v>2</x:v>
      </x:c>
      <x:c r="J34" s="34" t="str">
        <x:v>tomcat-findleaks-occurrence</x:v>
      </x:c>
      <x:c r="K34" s="34" t="str">
        <x:v>afterFinalUndeploy.tomcatFindLeaksOccurrences</x:v>
      </x:c>
      <x:c r="L34" s="36" t="n">
        <x:v>1</x:v>
      </x:c>
      <x:c r="M34" s="34" t="str">
        <x:v>/nostore</x:v>
      </x:c>
      <x:c r="N34" s="44" t="str">
        <x:v>/nostore</x:v>
      </x:c>
    </x:row>
    <x:row r="35">
      <x:c r="A35" s="36" t="n">
        <x:v>34</x:v>
      </x:c>
      <x:c r="B35" s="34" t="str">
        <x:v>article1-unified-v4-2-fb3f101b-20260903-000401-default-f01-p3-nostore</x:v>
      </x:c>
      <x:c r="C35" s="34" t="str">
        <x:v>default</x:v>
      </x:c>
      <x:c r="D35" s="34" t="str">
        <x:v>nostore</x:v>
      </x:c>
      <x:c r="E35" s="36" t="n">
        <x:v>1</x:v>
      </x:c>
      <x:c r="F35" s="36" t="n">
        <x:v>1</x:v>
      </x:c>
      <x:c r="G35" s="36" t="n">
        <x:v>4</x:v>
      </x:c>
      <x:c r="H35" s="34" t="str">
        <x:v>cycle-observation</x:v>
      </x:c>
      <x:c r="I35" s="36" t="n">
        <x:v>1</x:v>
      </x:c>
      <x:c r="J35" s="34" t="str">
        <x:v>tomcat-findleaks-occurrence</x:v>
      </x:c>
      <x:c r="K35" s="34" t="str">
        <x:v>afterUndeploy.tomcatFindLeaksOccurrences</x:v>
      </x:c>
      <x:c r="L35" s="36" t="n">
        <x:v>1</x:v>
      </x:c>
      <x:c r="M35" s="34" t="str">
        <x:v>/nostore</x:v>
      </x:c>
      <x:c r="N35" s="44" t="str">
        <x:v>/nostore</x:v>
      </x:c>
    </x:row>
    <x:row r="36">
      <x:c r="A36" s="36" t="n">
        <x:v>35</x:v>
      </x:c>
      <x:c r="B36" s="34" t="str">
        <x:v>article1-unified-v4-2-fb3f101b-20260903-000401-default-f01-p3-nostore</x:v>
      </x:c>
      <x:c r="C36" s="34" t="str">
        <x:v>default</x:v>
      </x:c>
      <x:c r="D36" s="34" t="str">
        <x:v>nostore</x:v>
      </x:c>
      <x:c r="E36" s="36" t="n">
        <x:v>1</x:v>
      </x:c>
      <x:c r="F36" s="36" t="n">
        <x:v>1</x:v>
      </x:c>
      <x:c r="G36" s="36" t="n">
        <x:v>4</x:v>
      </x:c>
      <x:c r="H36" s="34" t="str">
        <x:v>cycle-observation</x:v>
      </x:c>
      <x:c r="I36" s="36" t="n">
        <x:v>2</x:v>
      </x:c>
      <x:c r="J36" s="34" t="str">
        <x:v>tomcat-findleaks-occurrence</x:v>
      </x:c>
      <x:c r="K36" s="34" t="str">
        <x:v>afterFinalUndeploy.tomcatFindLeaksOccurrences</x:v>
      </x:c>
      <x:c r="L36" s="36" t="n">
        <x:v>1</x:v>
      </x:c>
      <x:c r="M36" s="34" t="str">
        <x:v>/nostore</x:v>
      </x:c>
      <x:c r="N36" s="44" t="str">
        <x:v>/nostore</x:v>
      </x:c>
    </x:row>
    <x:row r="37">
      <x:c r="A37" s="36" t="n">
        <x:v>36</x:v>
      </x:c>
      <x:c r="B37" s="34" t="str">
        <x:v>article1-unified-v4-2-fb3f101b-20260903-000401-default-f01-p3-nostore</x:v>
      </x:c>
      <x:c r="C37" s="34" t="str">
        <x:v>default</x:v>
      </x:c>
      <x:c r="D37" s="34" t="str">
        <x:v>nostore</x:v>
      </x:c>
      <x:c r="E37" s="36" t="n">
        <x:v>1</x:v>
      </x:c>
      <x:c r="F37" s="36" t="n">
        <x:v>1</x:v>
      </x:c>
      <x:c r="G37" s="36" t="n">
        <x:v>5</x:v>
      </x:c>
      <x:c r="H37" s="34" t="str">
        <x:v>cycle-observation</x:v>
      </x:c>
      <x:c r="I37" s="36" t="n">
        <x:v>1</x:v>
      </x:c>
      <x:c r="J37" s="34" t="str">
        <x:v>tomcat-findleaks-occurrence</x:v>
      </x:c>
      <x:c r="K37" s="34" t="str">
        <x:v>afterUndeploy.tomcatFindLeaksOccurrences</x:v>
      </x:c>
      <x:c r="L37" s="36" t="n">
        <x:v>1</x:v>
      </x:c>
      <x:c r="M37" s="34" t="str">
        <x:v>/nostore</x:v>
      </x:c>
      <x:c r="N37" s="44" t="str">
        <x:v>/nostore</x:v>
      </x:c>
    </x:row>
    <x:row r="38">
      <x:c r="A38" s="36" t="n">
        <x:v>37</x:v>
      </x:c>
      <x:c r="B38" s="34" t="str">
        <x:v>article1-unified-v4-2-fb3f101b-20260903-000401-default-f01-p3-nostore</x:v>
      </x:c>
      <x:c r="C38" s="34" t="str">
        <x:v>default</x:v>
      </x:c>
      <x:c r="D38" s="34" t="str">
        <x:v>nostore</x:v>
      </x:c>
      <x:c r="E38" s="36" t="n">
        <x:v>1</x:v>
      </x:c>
      <x:c r="F38" s="36" t="n">
        <x:v>1</x:v>
      </x:c>
      <x:c r="G38" s="36" t="n">
        <x:v>5</x:v>
      </x:c>
      <x:c r="H38" s="34" t="str">
        <x:v>cycle-observation</x:v>
      </x:c>
      <x:c r="I38" s="36" t="n">
        <x:v>2</x:v>
      </x:c>
      <x:c r="J38" s="34" t="str">
        <x:v>tomcat-findleaks-occurrence</x:v>
      </x:c>
      <x:c r="K38" s="34" t="str">
        <x:v>afterFinalUndeploy.tomcatFindLeaksOccurrences</x:v>
      </x:c>
      <x:c r="L38" s="36" t="n">
        <x:v>1</x:v>
      </x:c>
      <x:c r="M38" s="34" t="str">
        <x:v>/nostore</x:v>
      </x:c>
      <x:c r="N38" s="44" t="str">
        <x:v>/nostore</x:v>
      </x:c>
    </x:row>
    <x:row r="39">
      <x:c r="A39" s="36" t="n">
        <x:v>38</x:v>
      </x:c>
      <x:c r="B39" s="34" t="str">
        <x:v>article1-unified-v4-2-fb3f101b-20260903-000401-default-f01-p4-cache2k</x:v>
      </x:c>
      <x:c r="C39" s="34" t="str">
        <x:v>default</x:v>
      </x:c>
      <x:c r="D39" s="34" t="str">
        <x:v>cache2k</x:v>
      </x:c>
      <x:c r="E39" s="36" t="n">
        <x:v>1</x:v>
      </x:c>
      <x:c r="F39" s="36" t="n">
        <x:v>1</x:v>
      </x:c>
      <x:c r="G39" s="36" t="n">
        <x:v>1</x:v>
      </x:c>
      <x:c r="H39" s="34" t="str">
        <x:v>cycle-observation</x:v>
      </x:c>
      <x:c r="I39" s="36" t="n">
        <x:v>1</x:v>
      </x:c>
      <x:c r="J39" s="34" t="str">
        <x:v>tomcat-findleaks-occurrence</x:v>
      </x:c>
      <x:c r="K39" s="34" t="str">
        <x:v>afterUndeploy.tomcatFindLeaksOccurrences</x:v>
      </x:c>
      <x:c r="L39" s="36" t="n">
        <x:v>1</x:v>
      </x:c>
      <x:c r="M39" s="34" t="str">
        <x:v>/cache2k</x:v>
      </x:c>
      <x:c r="N39" s="44" t="str">
        <x:v>/cache2k</x:v>
      </x:c>
    </x:row>
    <x:row r="40">
      <x:c r="A40" s="36" t="n">
        <x:v>39</x:v>
      </x:c>
      <x:c r="B40" s="34" t="str">
        <x:v>article1-unified-v4-2-fb3f101b-20260903-000401-default-f01-p4-cache2k</x:v>
      </x:c>
      <x:c r="C40" s="34" t="str">
        <x:v>default</x:v>
      </x:c>
      <x:c r="D40" s="34" t="str">
        <x:v>cache2k</x:v>
      </x:c>
      <x:c r="E40" s="36" t="n">
        <x:v>1</x:v>
      </x:c>
      <x:c r="F40" s="36" t="n">
        <x:v>1</x:v>
      </x:c>
      <x:c r="G40" s="36" t="n">
        <x:v>1</x:v>
      </x:c>
      <x:c r="H40" s="34" t="str">
        <x:v>cycle-observation</x:v>
      </x:c>
      <x:c r="I40" s="36" t="n">
        <x:v>2</x:v>
      </x:c>
      <x:c r="J40" s="34" t="str">
        <x:v>tomcat-findleaks-occurrence</x:v>
      </x:c>
      <x:c r="K40" s="34" t="str">
        <x:v>afterFinalUndeploy.tomcatFindLeaksOccurrences</x:v>
      </x:c>
      <x:c r="L40" s="36" t="n">
        <x:v>1</x:v>
      </x:c>
      <x:c r="M40" s="34" t="str">
        <x:v>/cache2k</x:v>
      </x:c>
      <x:c r="N40" s="44" t="str">
        <x:v>/cache2k</x:v>
      </x:c>
    </x:row>
    <x:row r="41">
      <x:c r="A41" s="36" t="n">
        <x:v>40</x:v>
      </x:c>
      <x:c r="B41" s="34" t="str">
        <x:v>article1-unified-v4-2-fb3f101b-20260903-000401-default-f01-p4-cache2k</x:v>
      </x:c>
      <x:c r="C41" s="34" t="str">
        <x:v>default</x:v>
      </x:c>
      <x:c r="D41" s="34" t="str">
        <x:v>cache2k</x:v>
      </x:c>
      <x:c r="E41" s="36" t="n">
        <x:v>1</x:v>
      </x:c>
      <x:c r="F41" s="36" t="n">
        <x:v>1</x:v>
      </x:c>
      <x:c r="G41" s="36" t="n">
        <x:v>2</x:v>
      </x:c>
      <x:c r="H41" s="34" t="str">
        <x:v>cycle-observation</x:v>
      </x:c>
      <x:c r="I41" s="36" t="n">
        <x:v>1</x:v>
      </x:c>
      <x:c r="J41" s="34" t="str">
        <x:v>tomcat-findleaks-occurrence</x:v>
      </x:c>
      <x:c r="K41" s="34" t="str">
        <x:v>afterUndeploy.tomcatFindLeaksOccurrences</x:v>
      </x:c>
      <x:c r="L41" s="36" t="n">
        <x:v>1</x:v>
      </x:c>
      <x:c r="M41" s="34" t="str">
        <x:v>/cache2k</x:v>
      </x:c>
      <x:c r="N41" s="44" t="str">
        <x:v>/cache2k</x:v>
      </x:c>
    </x:row>
    <x:row r="42">
      <x:c r="A42" s="36" t="n">
        <x:v>41</x:v>
      </x:c>
      <x:c r="B42" s="34" t="str">
        <x:v>article1-unified-v4-2-fb3f101b-20260903-000401-default-f01-p4-cache2k</x:v>
      </x:c>
      <x:c r="C42" s="34" t="str">
        <x:v>default</x:v>
      </x:c>
      <x:c r="D42" s="34" t="str">
        <x:v>cache2k</x:v>
      </x:c>
      <x:c r="E42" s="36" t="n">
        <x:v>1</x:v>
      </x:c>
      <x:c r="F42" s="36" t="n">
        <x:v>1</x:v>
      </x:c>
      <x:c r="G42" s="36" t="n">
        <x:v>2</x:v>
      </x:c>
      <x:c r="H42" s="34" t="str">
        <x:v>cycle-observation</x:v>
      </x:c>
      <x:c r="I42" s="36" t="n">
        <x:v>2</x:v>
      </x:c>
      <x:c r="J42" s="34" t="str">
        <x:v>tomcat-findleaks-occurrence</x:v>
      </x:c>
      <x:c r="K42" s="34" t="str">
        <x:v>afterFinalUndeploy.tomcatFindLeaksOccurrences</x:v>
      </x:c>
      <x:c r="L42" s="36" t="n">
        <x:v>1</x:v>
      </x:c>
      <x:c r="M42" s="34" t="str">
        <x:v>/cache2k</x:v>
      </x:c>
      <x:c r="N42" s="44" t="str">
        <x:v>/cache2k</x:v>
      </x:c>
    </x:row>
    <x:row r="43">
      <x:c r="A43" s="36" t="n">
        <x:v>42</x:v>
      </x:c>
      <x:c r="B43" s="34" t="str">
        <x:v>article1-unified-v4-2-fb3f101b-20260903-000401-default-f01-p4-cache2k</x:v>
      </x:c>
      <x:c r="C43" s="34" t="str">
        <x:v>default</x:v>
      </x:c>
      <x:c r="D43" s="34" t="str">
        <x:v>cache2k</x:v>
      </x:c>
      <x:c r="E43" s="36" t="n">
        <x:v>1</x:v>
      </x:c>
      <x:c r="F43" s="36" t="n">
        <x:v>1</x:v>
      </x:c>
      <x:c r="G43" s="36" t="n">
        <x:v>3</x:v>
      </x:c>
      <x:c r="H43" s="34" t="str">
        <x:v>cycle-observation</x:v>
      </x:c>
      <x:c r="I43" s="36" t="n">
        <x:v>1</x:v>
      </x:c>
      <x:c r="J43" s="34" t="str">
        <x:v>tomcat-findleaks-occurrence</x:v>
      </x:c>
      <x:c r="K43" s="34" t="str">
        <x:v>afterUndeploy.tomcatFindLeaksOccurrences</x:v>
      </x:c>
      <x:c r="L43" s="36" t="n">
        <x:v>1</x:v>
      </x:c>
      <x:c r="M43" s="34" t="str">
        <x:v>/cache2k</x:v>
      </x:c>
      <x:c r="N43" s="44" t="str">
        <x:v>/cache2k</x:v>
      </x:c>
    </x:row>
    <x:row r="44">
      <x:c r="A44" s="36" t="n">
        <x:v>43</x:v>
      </x:c>
      <x:c r="B44" s="34" t="str">
        <x:v>article1-unified-v4-2-fb3f101b-20260903-000401-default-f01-p4-cache2k</x:v>
      </x:c>
      <x:c r="C44" s="34" t="str">
        <x:v>default</x:v>
      </x:c>
      <x:c r="D44" s="34" t="str">
        <x:v>cache2k</x:v>
      </x:c>
      <x:c r="E44" s="36" t="n">
        <x:v>1</x:v>
      </x:c>
      <x:c r="F44" s="36" t="n">
        <x:v>1</x:v>
      </x:c>
      <x:c r="G44" s="36" t="n">
        <x:v>3</x:v>
      </x:c>
      <x:c r="H44" s="34" t="str">
        <x:v>cycle-observation</x:v>
      </x:c>
      <x:c r="I44" s="36" t="n">
        <x:v>2</x:v>
      </x:c>
      <x:c r="J44" s="34" t="str">
        <x:v>tomcat-findleaks-occurrence</x:v>
      </x:c>
      <x:c r="K44" s="34" t="str">
        <x:v>afterFinalUndeploy.tomcatFindLeaksOccurrences</x:v>
      </x:c>
      <x:c r="L44" s="36" t="n">
        <x:v>1</x:v>
      </x:c>
      <x:c r="M44" s="34" t="str">
        <x:v>/cache2k</x:v>
      </x:c>
      <x:c r="N44" s="44" t="str">
        <x:v>/cache2k</x:v>
      </x:c>
    </x:row>
    <x:row r="45">
      <x:c r="A45" s="36" t="n">
        <x:v>44</x:v>
      </x:c>
      <x:c r="B45" s="34" t="str">
        <x:v>article1-unified-v4-2-fb3f101b-20260903-000401-default-f01-p4-cache2k</x:v>
      </x:c>
      <x:c r="C45" s="34" t="str">
        <x:v>default</x:v>
      </x:c>
      <x:c r="D45" s="34" t="str">
        <x:v>cache2k</x:v>
      </x:c>
      <x:c r="E45" s="36" t="n">
        <x:v>1</x:v>
      </x:c>
      <x:c r="F45" s="36" t="n">
        <x:v>1</x:v>
      </x:c>
      <x:c r="G45" s="36" t="n">
        <x:v>4</x:v>
      </x:c>
      <x:c r="H45" s="34" t="str">
        <x:v>cycle-observation</x:v>
      </x:c>
      <x:c r="I45" s="36" t="n">
        <x:v>1</x:v>
      </x:c>
      <x:c r="J45" s="34" t="str">
        <x:v>tomcat-findleaks-occurrence</x:v>
      </x:c>
      <x:c r="K45" s="34" t="str">
        <x:v>afterUndeploy.tomcatFindLeaksOccurrences</x:v>
      </x:c>
      <x:c r="L45" s="36" t="n">
        <x:v>1</x:v>
      </x:c>
      <x:c r="M45" s="34" t="str">
        <x:v>/cache2k</x:v>
      </x:c>
      <x:c r="N45" s="44" t="str">
        <x:v>/cache2k</x:v>
      </x:c>
    </x:row>
    <x:row r="46">
      <x:c r="A46" s="36" t="n">
        <x:v>45</x:v>
      </x:c>
      <x:c r="B46" s="34" t="str">
        <x:v>article1-unified-v4-2-fb3f101b-20260903-000401-default-f01-p4-cache2k</x:v>
      </x:c>
      <x:c r="C46" s="34" t="str">
        <x:v>default</x:v>
      </x:c>
      <x:c r="D46" s="34" t="str">
        <x:v>cache2k</x:v>
      </x:c>
      <x:c r="E46" s="36" t="n">
        <x:v>1</x:v>
      </x:c>
      <x:c r="F46" s="36" t="n">
        <x:v>1</x:v>
      </x:c>
      <x:c r="G46" s="36" t="n">
        <x:v>4</x:v>
      </x:c>
      <x:c r="H46" s="34" t="str">
        <x:v>cycle-observation</x:v>
      </x:c>
      <x:c r="I46" s="36" t="n">
        <x:v>2</x:v>
      </x:c>
      <x:c r="J46" s="34" t="str">
        <x:v>tomcat-findleaks-occurrence</x:v>
      </x:c>
      <x:c r="K46" s="34" t="str">
        <x:v>afterFinalUndeploy.tomcatFindLeaksOccurrences</x:v>
      </x:c>
      <x:c r="L46" s="36" t="n">
        <x:v>1</x:v>
      </x:c>
      <x:c r="M46" s="34" t="str">
        <x:v>/cache2k</x:v>
      </x:c>
      <x:c r="N46" s="44" t="str">
        <x:v>/cache2k</x:v>
      </x:c>
    </x:row>
    <x:row r="47">
      <x:c r="A47" s="36" t="n">
        <x:v>46</x:v>
      </x:c>
      <x:c r="B47" s="34" t="str">
        <x:v>article1-unified-v4-2-fb3f101b-20260903-000401-default-f01-p4-cache2k</x:v>
      </x:c>
      <x:c r="C47" s="34" t="str">
        <x:v>default</x:v>
      </x:c>
      <x:c r="D47" s="34" t="str">
        <x:v>cache2k</x:v>
      </x:c>
      <x:c r="E47" s="36" t="n">
        <x:v>1</x:v>
      </x:c>
      <x:c r="F47" s="36" t="n">
        <x:v>1</x:v>
      </x:c>
      <x:c r="G47" s="36" t="n">
        <x:v>5</x:v>
      </x:c>
      <x:c r="H47" s="34" t="str">
        <x:v>cycle-observation</x:v>
      </x:c>
      <x:c r="I47" s="36" t="n">
        <x:v>1</x:v>
      </x:c>
      <x:c r="J47" s="34" t="str">
        <x:v>tomcat-findleaks-occurrence</x:v>
      </x:c>
      <x:c r="K47" s="34" t="str">
        <x:v>afterUndeploy.tomcatFindLeaksOccurrences</x:v>
      </x:c>
      <x:c r="L47" s="36" t="n">
        <x:v>1</x:v>
      </x:c>
      <x:c r="M47" s="34" t="str">
        <x:v>/cache2k</x:v>
      </x:c>
      <x:c r="N47" s="44" t="str">
        <x:v>/cache2k</x:v>
      </x:c>
    </x:row>
    <x:row r="48">
      <x:c r="A48" s="36" t="n">
        <x:v>47</x:v>
      </x:c>
      <x:c r="B48" s="34" t="str">
        <x:v>article1-unified-v4-2-fb3f101b-20260903-000401-default-f01-p4-cache2k</x:v>
      </x:c>
      <x:c r="C48" s="34" t="str">
        <x:v>default</x:v>
      </x:c>
      <x:c r="D48" s="34" t="str">
        <x:v>cache2k</x:v>
      </x:c>
      <x:c r="E48" s="36" t="n">
        <x:v>1</x:v>
      </x:c>
      <x:c r="F48" s="36" t="n">
        <x:v>1</x:v>
      </x:c>
      <x:c r="G48" s="36" t="n">
        <x:v>5</x:v>
      </x:c>
      <x:c r="H48" s="34" t="str">
        <x:v>cycle-observation</x:v>
      </x:c>
      <x:c r="I48" s="36" t="n">
        <x:v>2</x:v>
      </x:c>
      <x:c r="J48" s="34" t="str">
        <x:v>tomcat-findleaks-occurrence</x:v>
      </x:c>
      <x:c r="K48" s="34" t="str">
        <x:v>afterFinalUndeploy.tomcatFindLeaksOccurrences</x:v>
      </x:c>
      <x:c r="L48" s="36" t="n">
        <x:v>1</x:v>
      </x:c>
      <x:c r="M48" s="34" t="str">
        <x:v>/cache2k</x:v>
      </x:c>
      <x:c r="N48" s="44" t="str">
        <x:v>/cache2k</x:v>
      </x:c>
    </x:row>
    <x:row r="49">
      <x:c r="A49" s="36" t="n">
        <x:v>48</x:v>
      </x:c>
      <x:c r="B49" s="34" t="str">
        <x:v>article1-unified-v4-2-fb3f101b-20260903-000401-default-f01-p5-jcs321</x:v>
      </x:c>
      <x:c r="C49" s="34" t="str">
        <x:v>default</x:v>
      </x:c>
      <x:c r="D49" s="34" t="str">
        <x:v>jcs321</x:v>
      </x:c>
      <x:c r="E49" s="36" t="n">
        <x:v>1</x:v>
      </x:c>
      <x:c r="F49" s="36" t="n">
        <x:v>1</x:v>
      </x:c>
      <x:c r="G49" s="36"/>
      <x:c r="H49" s="34" t="str">
        <x:v>process-run-aggregate</x:v>
      </x:c>
      <x:c r="I49" s="36"/>
      <x:c r="J49" s="34" t="str">
        <x:v>warning</x:v>
      </x:c>
      <x:c r="K49" s="34" t="str">
        <x:v>warnings</x:v>
      </x:c>
      <x:c r="L49" s="36" t="n">
        <x:v>1</x:v>
      </x:c>
      <x:c r="M49" s="34"/>
      <x:c r="N49" s="44" t="str">
        <x:v>02-Sep-2026 22:43:10.803 WARNING [http-nio-8080-exec-1] org.apache.commons.jcs3.engine.control.CompositeCacheConfigurator. Skipping empty auxiliary name</x:v>
      </x:c>
    </x:row>
    <x:row r="50">
      <x:c r="A50" s="36" t="n">
        <x:v>49</x:v>
      </x:c>
      <x:c r="B50" s="34" t="str">
        <x:v>article1-unified-v4-2-fb3f101b-20260903-000401-default-f01-p5-jcs321</x:v>
      </x:c>
      <x:c r="C50" s="34" t="str">
        <x:v>default</x:v>
      </x:c>
      <x:c r="D50" s="34" t="str">
        <x:v>jcs321</x:v>
      </x:c>
      <x:c r="E50" s="36" t="n">
        <x:v>1</x:v>
      </x:c>
      <x:c r="F50" s="36" t="n">
        <x:v>1</x:v>
      </x:c>
      <x:c r="G50" s="36"/>
      <x:c r="H50" s="34" t="str">
        <x:v>process-run-aggregate</x:v>
      </x:c>
      <x:c r="I50" s="36"/>
      <x:c r="J50" s="34" t="str">
        <x:v>warning</x:v>
      </x:c>
      <x:c r="K50" s="34" t="str">
        <x:v>warnings</x:v>
      </x:c>
      <x:c r="L50" s="36" t="n">
        <x:v>2</x:v>
      </x:c>
      <x:c r="M50" s="34"/>
      <x:c r="N50" s="44" t="str">
        <x:v>02-Sep-2026 22:43:23.956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51">
      <x:c r="A51" s="36" t="n">
        <x:v>50</x:v>
      </x:c>
      <x:c r="B51" s="34" t="str">
        <x:v>article1-unified-v4-2-fb3f101b-20260903-000401-default-f01-p5-jcs321</x:v>
      </x:c>
      <x:c r="C51" s="34" t="str">
        <x:v>default</x:v>
      </x:c>
      <x:c r="D51" s="34" t="str">
        <x:v>jcs321</x:v>
      </x:c>
      <x:c r="E51" s="36" t="n">
        <x:v>1</x:v>
      </x:c>
      <x:c r="F51" s="36" t="n">
        <x:v>1</x:v>
      </x:c>
      <x:c r="G51" s="36"/>
      <x:c r="H51" s="34" t="str">
        <x:v>process-run-aggregate</x:v>
      </x:c>
      <x:c r="I51" s="36"/>
      <x:c r="J51" s="34" t="str">
        <x:v>warning</x:v>
      </x:c>
      <x:c r="K51" s="34" t="str">
        <x:v>warnings</x:v>
      </x:c>
      <x:c r="L51" s="36" t="n">
        <x:v>3</x:v>
      </x:c>
      <x:c r="M51" s="34"/>
      <x:c r="N51" s="44" t="str">
        <x:v>02-Sep-2026 22:43:53.716 WARNING [http-nio-8080-exec-1] org.apache.commons.jcs3.engine.control.CompositeCacheConfigurator. Skipping empty auxiliary name</x:v>
      </x:c>
    </x:row>
    <x:row r="52">
      <x:c r="A52" s="36" t="n">
        <x:v>51</x:v>
      </x:c>
      <x:c r="B52" s="34" t="str">
        <x:v>article1-unified-v4-2-fb3f101b-20260903-000401-default-f01-p5-jcs321</x:v>
      </x:c>
      <x:c r="C52" s="34" t="str">
        <x:v>default</x:v>
      </x:c>
      <x:c r="D52" s="34" t="str">
        <x:v>jcs321</x:v>
      </x:c>
      <x:c r="E52" s="36" t="n">
        <x:v>1</x:v>
      </x:c>
      <x:c r="F52" s="36" t="n">
        <x:v>1</x:v>
      </x:c>
      <x:c r="G52" s="36"/>
      <x:c r="H52" s="34" t="str">
        <x:v>process-run-aggregate</x:v>
      </x:c>
      <x:c r="I52" s="36"/>
      <x:c r="J52" s="34" t="str">
        <x:v>warning</x:v>
      </x:c>
      <x:c r="K52" s="34" t="str">
        <x:v>warnings</x:v>
      </x:c>
      <x:c r="L52" s="36" t="n">
        <x:v>4</x:v>
      </x:c>
      <x:c r="M52" s="34"/>
      <x:c r="N52" s="44" t="str">
        <x:v>02-Sep-2026 22:44:06.918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53">
      <x:c r="A53" s="36" t="n">
        <x:v>52</x:v>
      </x:c>
      <x:c r="B53" s="34" t="str">
        <x:v>article1-unified-v4-2-fb3f101b-20260903-000401-default-f01-p5-jcs321</x:v>
      </x:c>
      <x:c r="C53" s="34" t="str">
        <x:v>default</x:v>
      </x:c>
      <x:c r="D53" s="34" t="str">
        <x:v>jcs321</x:v>
      </x:c>
      <x:c r="E53" s="36" t="n">
        <x:v>1</x:v>
      </x:c>
      <x:c r="F53" s="36" t="n">
        <x:v>1</x:v>
      </x:c>
      <x:c r="G53" s="36"/>
      <x:c r="H53" s="34" t="str">
        <x:v>process-run-aggregate</x:v>
      </x:c>
      <x:c r="I53" s="36"/>
      <x:c r="J53" s="34" t="str">
        <x:v>warning</x:v>
      </x:c>
      <x:c r="K53" s="34" t="str">
        <x:v>warnings</x:v>
      </x:c>
      <x:c r="L53" s="36" t="n">
        <x:v>5</x:v>
      </x:c>
      <x:c r="M53" s="34"/>
      <x:c r="N53" s="44" t="str">
        <x:v>02-Sep-2026 22:44:39.806 WARNING [http-nio-8080-exec-12] org.apache.commons.jcs3.engine.control.CompositeCacheConfigurator. Skipping empty auxiliary name</x:v>
      </x:c>
    </x:row>
    <x:row r="54">
      <x:c r="A54" s="36" t="n">
        <x:v>53</x:v>
      </x:c>
      <x:c r="B54" s="34" t="str">
        <x:v>article1-unified-v4-2-fb3f101b-20260903-000401-default-f01-p5-jcs321</x:v>
      </x:c>
      <x:c r="C54" s="34" t="str">
        <x:v>default</x:v>
      </x:c>
      <x:c r="D54" s="34" t="str">
        <x:v>jcs321</x:v>
      </x:c>
      <x:c r="E54" s="36" t="n">
        <x:v>1</x:v>
      </x:c>
      <x:c r="F54" s="36" t="n">
        <x:v>1</x:v>
      </x:c>
      <x:c r="G54" s="36"/>
      <x:c r="H54" s="34" t="str">
        <x:v>process-run-aggregate</x:v>
      </x:c>
      <x:c r="I54" s="36"/>
      <x:c r="J54" s="34" t="str">
        <x:v>warning</x:v>
      </x:c>
      <x:c r="K54" s="34" t="str">
        <x:v>warnings</x:v>
      </x:c>
      <x:c r="L54" s="36" t="n">
        <x:v>6</x:v>
      </x:c>
      <x:c r="M54" s="34"/>
      <x:c r="N54" s="44" t="str">
        <x:v>02-Sep-2026 22:44:52.997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55">
      <x:c r="A55" s="36" t="n">
        <x:v>54</x:v>
      </x:c>
      <x:c r="B55" s="34" t="str">
        <x:v>article1-unified-v4-2-fb3f101b-20260903-000401-default-f01-p5-jcs321</x:v>
      </x:c>
      <x:c r="C55" s="34" t="str">
        <x:v>default</x:v>
      </x:c>
      <x:c r="D55" s="34" t="str">
        <x:v>jcs321</x:v>
      </x:c>
      <x:c r="E55" s="36" t="n">
        <x:v>1</x:v>
      </x:c>
      <x:c r="F55" s="36" t="n">
        <x:v>1</x:v>
      </x:c>
      <x:c r="G55" s="36"/>
      <x:c r="H55" s="34" t="str">
        <x:v>process-run-aggregate</x:v>
      </x:c>
      <x:c r="I55" s="36"/>
      <x:c r="J55" s="34" t="str">
        <x:v>warning</x:v>
      </x:c>
      <x:c r="K55" s="34" t="str">
        <x:v>warnings</x:v>
      </x:c>
      <x:c r="L55" s="36" t="n">
        <x:v>7</x:v>
      </x:c>
      <x:c r="M55" s="34"/>
      <x:c r="N55" s="44" t="str">
        <x:v>02-Sep-2026 22:45:22.695 WARNING [http-nio-8080-exec-18] org.apache.commons.jcs3.engine.control.CompositeCacheConfigurator. Skipping empty auxiliary name</x:v>
      </x:c>
    </x:row>
    <x:row r="56">
      <x:c r="A56" s="36" t="n">
        <x:v>55</x:v>
      </x:c>
      <x:c r="B56" s="34" t="str">
        <x:v>article1-unified-v4-2-fb3f101b-20260903-000401-default-f01-p5-jcs321</x:v>
      </x:c>
      <x:c r="C56" s="34" t="str">
        <x:v>default</x:v>
      </x:c>
      <x:c r="D56" s="34" t="str">
        <x:v>jcs321</x:v>
      </x:c>
      <x:c r="E56" s="36" t="n">
        <x:v>1</x:v>
      </x:c>
      <x:c r="F56" s="36" t="n">
        <x:v>1</x:v>
      </x:c>
      <x:c r="G56" s="36"/>
      <x:c r="H56" s="34" t="str">
        <x:v>process-run-aggregate</x:v>
      </x:c>
      <x:c r="I56" s="36"/>
      <x:c r="J56" s="34" t="str">
        <x:v>warning</x:v>
      </x:c>
      <x:c r="K56" s="34" t="str">
        <x:v>warnings</x:v>
      </x:c>
      <x:c r="L56" s="36" t="n">
        <x:v>8</x:v>
      </x:c>
      <x:c r="M56" s="34"/>
      <x:c r="N56" s="44" t="str">
        <x:v>02-Sep-2026 22:45:35.908 WARNING [http-nio-8080-exec-20]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57">
      <x:c r="A57" s="36" t="n">
        <x:v>56</x:v>
      </x:c>
      <x:c r="B57" s="34" t="str">
        <x:v>article1-unified-v4-2-fb3f101b-20260903-000401-default-f01-p5-jcs321</x:v>
      </x:c>
      <x:c r="C57" s="34" t="str">
        <x:v>default</x:v>
      </x:c>
      <x:c r="D57" s="34" t="str">
        <x:v>jcs321</x:v>
      </x:c>
      <x:c r="E57" s="36" t="n">
        <x:v>1</x:v>
      </x:c>
      <x:c r="F57" s="36" t="n">
        <x:v>1</x:v>
      </x:c>
      <x:c r="G57" s="36"/>
      <x:c r="H57" s="34" t="str">
        <x:v>process-run-aggregate</x:v>
      </x:c>
      <x:c r="I57" s="36"/>
      <x:c r="J57" s="34" t="str">
        <x:v>warning</x:v>
      </x:c>
      <x:c r="K57" s="34" t="str">
        <x:v>warnings</x:v>
      </x:c>
      <x:c r="L57" s="36" t="n">
        <x:v>9</x:v>
      </x:c>
      <x:c r="M57" s="34"/>
      <x:c r="N57" s="44" t="str">
        <x:v>02-Sep-2026 22:46:09.049 WARNING [http-nio-8080-exec-29] org.apache.commons.jcs3.engine.control.CompositeCacheConfigurator. Skipping empty auxiliary name</x:v>
      </x:c>
    </x:row>
    <x:row r="58">
      <x:c r="A58" s="36" t="n">
        <x:v>57</x:v>
      </x:c>
      <x:c r="B58" s="34" t="str">
        <x:v>article1-unified-v4-2-fb3f101b-20260903-000401-default-f01-p5-jcs321</x:v>
      </x:c>
      <x:c r="C58" s="34" t="str">
        <x:v>default</x:v>
      </x:c>
      <x:c r="D58" s="34" t="str">
        <x:v>jcs321</x:v>
      </x:c>
      <x:c r="E58" s="36" t="n">
        <x:v>1</x:v>
      </x:c>
      <x:c r="F58" s="36" t="n">
        <x:v>1</x:v>
      </x:c>
      <x:c r="G58" s="36"/>
      <x:c r="H58" s="34" t="str">
        <x:v>process-run-aggregate</x:v>
      </x:c>
      <x:c r="I58" s="36"/>
      <x:c r="J58" s="34" t="str">
        <x:v>warning</x:v>
      </x:c>
      <x:c r="K58" s="34" t="str">
        <x:v>warnings</x:v>
      </x:c>
      <x:c r="L58" s="36" t="n">
        <x:v>10</x:v>
      </x:c>
      <x:c r="M58" s="34"/>
      <x:c r="N58" s="44" t="str">
        <x:v>02-Sep-2026 22:46:22.030 WARNING [http-nio-8080-exec-25]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59">
      <x:c r="A59" s="36" t="n">
        <x:v>58</x:v>
      </x:c>
      <x:c r="B59" s="34" t="str">
        <x:v>article1-unified-v4-2-fb3f101b-20260903-000401-default-f01-p5-jcs321</x:v>
      </x:c>
      <x:c r="C59" s="34" t="str">
        <x:v>default</x:v>
      </x:c>
      <x:c r="D59" s="34" t="str">
        <x:v>jcs321</x:v>
      </x:c>
      <x:c r="E59" s="36" t="n">
        <x:v>1</x:v>
      </x:c>
      <x:c r="F59" s="36" t="n">
        <x:v>1</x:v>
      </x:c>
      <x:c r="G59" s="36"/>
      <x:c r="H59" s="34" t="str">
        <x:v>process-run-aggregate</x:v>
      </x:c>
      <x:c r="I59" s="36"/>
      <x:c r="J59" s="34" t="str">
        <x:v>warning</x:v>
      </x:c>
      <x:c r="K59" s="34" t="str">
        <x:v>warnings</x:v>
      </x:c>
      <x:c r="L59" s="36" t="n">
        <x:v>11</x:v>
      </x:c>
      <x:c r="M59" s="34"/>
      <x:c r="N59" s="44" t="str">
        <x:v>02-Sep-2026 22:46:51.491 WARNING [http-nio-8080-exec-28] org.apache.commons.jcs3.engine.control.CompositeCacheConfigurator. Skipping empty auxiliary name</x:v>
      </x:c>
    </x:row>
    <x:row r="60">
      <x:c r="A60" s="36" t="n">
        <x:v>59</x:v>
      </x:c>
      <x:c r="B60" s="34" t="str">
        <x:v>article1-unified-v4-2-fb3f101b-20260903-000401-default-f01-p5-jcs321</x:v>
      </x:c>
      <x:c r="C60" s="34" t="str">
        <x:v>default</x:v>
      </x:c>
      <x:c r="D60" s="34" t="str">
        <x:v>jcs321</x:v>
      </x:c>
      <x:c r="E60" s="36" t="n">
        <x:v>1</x:v>
      </x:c>
      <x:c r="F60" s="36" t="n">
        <x:v>1</x:v>
      </x:c>
      <x:c r="G60" s="36"/>
      <x:c r="H60" s="34" t="str">
        <x:v>process-run-aggregate</x:v>
      </x:c>
      <x:c r="I60" s="36"/>
      <x:c r="J60" s="34" t="str">
        <x:v>warning</x:v>
      </x:c>
      <x:c r="K60" s="34" t="str">
        <x:v>warnings</x:v>
      </x:c>
      <x:c r="L60" s="36" t="n">
        <x:v>12</x:v>
      </x:c>
      <x:c r="M60" s="34"/>
      <x:c r="N60" s="44" t="str">
        <x:v>02-Sep-2026 22:47:04.762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61">
      <x:c r="A61" s="36" t="n">
        <x:v>60</x:v>
      </x:c>
      <x:c r="B61" s="34" t="str">
        <x:v>article1-unified-v4-2-fb3f101b-20260903-000401-default-f01-p5-jcs321</x:v>
      </x:c>
      <x:c r="C61" s="34" t="str">
        <x:v>default</x:v>
      </x:c>
      <x:c r="D61" s="34" t="str">
        <x:v>jcs321</x:v>
      </x:c>
      <x:c r="E61" s="36" t="n">
        <x:v>1</x:v>
      </x:c>
      <x:c r="F61" s="36" t="n">
        <x:v>1</x:v>
      </x:c>
      <x:c r="G61" s="36"/>
      <x:c r="H61" s="34" t="str">
        <x:v>process-run-aggregate</x:v>
      </x:c>
      <x:c r="I61" s="36"/>
      <x:c r="J61" s="34" t="str">
        <x:v>warning</x:v>
      </x:c>
      <x:c r="K61" s="34" t="str">
        <x:v>warnings</x:v>
      </x:c>
      <x:c r="L61" s="36" t="n">
        <x:v>13</x:v>
      </x:c>
      <x:c r="M61" s="34"/>
      <x:c r="N61" s="44" t="str">
        <x:v>02-Sep-2026 22:47:37.723 WARNING [http-nio-8080-exec-14] org.apache.commons.jcs3.engine.control.CompositeCacheConfigurator. Skipping empty auxiliary name</x:v>
      </x:c>
    </x:row>
    <x:row r="62">
      <x:c r="A62" s="36" t="n">
        <x:v>61</x:v>
      </x:c>
      <x:c r="B62" s="34" t="str">
        <x:v>article1-unified-v4-2-fb3f101b-20260903-000401-default-f01-p5-jcs321</x:v>
      </x:c>
      <x:c r="C62" s="34" t="str">
        <x:v>default</x:v>
      </x:c>
      <x:c r="D62" s="34" t="str">
        <x:v>jcs321</x:v>
      </x:c>
      <x:c r="E62" s="36" t="n">
        <x:v>1</x:v>
      </x:c>
      <x:c r="F62" s="36" t="n">
        <x:v>1</x:v>
      </x:c>
      <x:c r="G62" s="36"/>
      <x:c r="H62" s="34" t="str">
        <x:v>process-run-aggregate</x:v>
      </x:c>
      <x:c r="I62" s="36"/>
      <x:c r="J62" s="34" t="str">
        <x:v>warning</x:v>
      </x:c>
      <x:c r="K62" s="34" t="str">
        <x:v>warnings</x:v>
      </x:c>
      <x:c r="L62" s="36" t="n">
        <x:v>14</x:v>
      </x:c>
      <x:c r="M62" s="34"/>
      <x:c r="N62" s="44" t="str">
        <x:v>02-Sep-2026 22:47:50.703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63">
      <x:c r="A63" s="36" t="n">
        <x:v>62</x:v>
      </x:c>
      <x:c r="B63" s="34" t="str">
        <x:v>article1-unified-v4-2-fb3f101b-20260903-000401-default-f01-p5-jcs321</x:v>
      </x:c>
      <x:c r="C63" s="34" t="str">
        <x:v>default</x:v>
      </x:c>
      <x:c r="D63" s="34" t="str">
        <x:v>jcs321</x:v>
      </x:c>
      <x:c r="E63" s="36" t="n">
        <x:v>1</x:v>
      </x:c>
      <x:c r="F63" s="36" t="n">
        <x:v>1</x:v>
      </x:c>
      <x:c r="G63" s="36"/>
      <x:c r="H63" s="34" t="str">
        <x:v>process-run-aggregate</x:v>
      </x:c>
      <x:c r="I63" s="36"/>
      <x:c r="J63" s="34" t="str">
        <x:v>warning</x:v>
      </x:c>
      <x:c r="K63" s="34" t="str">
        <x:v>warnings</x:v>
      </x:c>
      <x:c r="L63" s="36" t="n">
        <x:v>15</x:v>
      </x:c>
      <x:c r="M63" s="34"/>
      <x:c r="N63" s="44" t="str">
        <x:v>02-Sep-2026 22:48:20.828 WARNING [http-nio-8080-exec-45] org.apache.commons.jcs3.engine.control.CompositeCacheConfigurator. Skipping empty auxiliary name</x:v>
      </x:c>
    </x:row>
    <x:row r="64">
      <x:c r="A64" s="36" t="n">
        <x:v>63</x:v>
      </x:c>
      <x:c r="B64" s="34" t="str">
        <x:v>article1-unified-v4-2-fb3f101b-20260903-000401-default-f01-p5-jcs321</x:v>
      </x:c>
      <x:c r="C64" s="34" t="str">
        <x:v>default</x:v>
      </x:c>
      <x:c r="D64" s="34" t="str">
        <x:v>jcs321</x:v>
      </x:c>
      <x:c r="E64" s="36" t="n">
        <x:v>1</x:v>
      </x:c>
      <x:c r="F64" s="36" t="n">
        <x:v>1</x:v>
      </x:c>
      <x:c r="G64" s="36"/>
      <x:c r="H64" s="34" t="str">
        <x:v>process-run-aggregate</x:v>
      </x:c>
      <x:c r="I64" s="36"/>
      <x:c r="J64" s="34" t="str">
        <x:v>warning</x:v>
      </x:c>
      <x:c r="K64" s="34" t="str">
        <x:v>warnings</x:v>
      </x:c>
      <x:c r="L64" s="36" t="n">
        <x:v>16</x:v>
      </x:c>
      <x:c r="M64" s="34"/>
      <x:c r="N64" s="44" t="str">
        <x:v>02-Sep-2026 22:48:34.199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65">
      <x:c r="A65" s="36" t="n">
        <x:v>64</x:v>
      </x:c>
      <x:c r="B65" s="34" t="str">
        <x:v>article1-unified-v4-2-fb3f101b-20260903-000401-default-f01-p5-jcs321</x:v>
      </x:c>
      <x:c r="C65" s="34" t="str">
        <x:v>default</x:v>
      </x:c>
      <x:c r="D65" s="34" t="str">
        <x:v>jcs321</x:v>
      </x:c>
      <x:c r="E65" s="36" t="n">
        <x:v>1</x:v>
      </x:c>
      <x:c r="F65" s="36" t="n">
        <x:v>1</x:v>
      </x:c>
      <x:c r="G65" s="36"/>
      <x:c r="H65" s="34" t="str">
        <x:v>process-run-aggregate</x:v>
      </x:c>
      <x:c r="I65" s="36"/>
      <x:c r="J65" s="34" t="str">
        <x:v>warning</x:v>
      </x:c>
      <x:c r="K65" s="34" t="str">
        <x:v>warnings</x:v>
      </x:c>
      <x:c r="L65" s="36" t="n">
        <x:v>17</x:v>
      </x:c>
      <x:c r="M65" s="34"/>
      <x:c r="N65" s="44" t="str">
        <x:v>02-Sep-2026 22:49:07.542 WARNING [http-nio-8080-exec-56] org.apache.commons.jcs3.engine.control.CompositeCacheConfigurator. Skipping empty auxiliary name</x:v>
      </x:c>
    </x:row>
    <x:row r="66">
      <x:c r="A66" s="36" t="n">
        <x:v>65</x:v>
      </x:c>
      <x:c r="B66" s="34" t="str">
        <x:v>article1-unified-v4-2-fb3f101b-20260903-000401-default-f01-p5-jcs321</x:v>
      </x:c>
      <x:c r="C66" s="34" t="str">
        <x:v>default</x:v>
      </x:c>
      <x:c r="D66" s="34" t="str">
        <x:v>jcs321</x:v>
      </x:c>
      <x:c r="E66" s="36" t="n">
        <x:v>1</x:v>
      </x:c>
      <x:c r="F66" s="36" t="n">
        <x:v>1</x:v>
      </x:c>
      <x:c r="G66" s="36"/>
      <x:c r="H66" s="34" t="str">
        <x:v>process-run-aggregate</x:v>
      </x:c>
      <x:c r="I66" s="36"/>
      <x:c r="J66" s="34" t="str">
        <x:v>warning</x:v>
      </x:c>
      <x:c r="K66" s="34" t="str">
        <x:v>warnings</x:v>
      </x:c>
      <x:c r="L66" s="36" t="n">
        <x:v>18</x:v>
      </x:c>
      <x:c r="M66" s="34"/>
      <x:c r="N66" s="44" t="str">
        <x:v>02-Sep-2026 22:49:20.871 WARNING [http-nio-8080-exec-50]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67">
      <x:c r="A67" s="36" t="n">
        <x:v>66</x:v>
      </x:c>
      <x:c r="B67" s="34" t="str">
        <x:v>article1-unified-v4-2-fb3f101b-20260903-000401-default-f01-p5-jcs321</x:v>
      </x:c>
      <x:c r="C67" s="34" t="str">
        <x:v>default</x:v>
      </x:c>
      <x:c r="D67" s="34" t="str">
        <x:v>jcs321</x:v>
      </x:c>
      <x:c r="E67" s="36" t="n">
        <x:v>1</x:v>
      </x:c>
      <x:c r="F67" s="36" t="n">
        <x:v>1</x:v>
      </x:c>
      <x:c r="G67" s="36"/>
      <x:c r="H67" s="34" t="str">
        <x:v>process-run-aggregate</x:v>
      </x:c>
      <x:c r="I67" s="36"/>
      <x:c r="J67" s="34" t="str">
        <x:v>warning</x:v>
      </x:c>
      <x:c r="K67" s="34" t="str">
        <x:v>warnings</x:v>
      </x:c>
      <x:c r="L67" s="36" t="n">
        <x:v>19</x:v>
      </x:c>
      <x:c r="M67" s="34"/>
      <x:c r="N67" s="44" t="str">
        <x:v>02-Sep-2026 22:49:52.555 WARNING [http-nio-8080-exec-38] org.apache.commons.jcs3.engine.control.CompositeCacheConfigurator. Skipping empty auxiliary name</x:v>
      </x:c>
    </x:row>
    <x:row r="68">
      <x:c r="A68" s="36" t="n">
        <x:v>67</x:v>
      </x:c>
      <x:c r="B68" s="34" t="str">
        <x:v>article1-unified-v4-2-fb3f101b-20260903-000401-default-f01-p5-jcs321</x:v>
      </x:c>
      <x:c r="C68" s="34" t="str">
        <x:v>default</x:v>
      </x:c>
      <x:c r="D68" s="34" t="str">
        <x:v>jcs321</x:v>
      </x:c>
      <x:c r="E68" s="36" t="n">
        <x:v>1</x:v>
      </x:c>
      <x:c r="F68" s="36" t="n">
        <x:v>1</x:v>
      </x:c>
      <x:c r="G68" s="36"/>
      <x:c r="H68" s="34" t="str">
        <x:v>process-run-aggregate</x:v>
      </x:c>
      <x:c r="I68" s="36"/>
      <x:c r="J68" s="34" t="str">
        <x:v>warning</x:v>
      </x:c>
      <x:c r="K68" s="34" t="str">
        <x:v>warnings</x:v>
      </x:c>
      <x:c r="L68" s="36" t="n">
        <x:v>20</x:v>
      </x:c>
      <x:c r="M68" s="34"/>
      <x:c r="N68" s="44" t="str">
        <x:v>02-Sep-2026 22:50:06.066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69">
      <x:c r="A69" s="36" t="n">
        <x:v>68</x:v>
      </x:c>
      <x:c r="B69" s="34" t="str">
        <x:v>article1-unified-v4-2-fb3f101b-20260903-000401-default-f01-p5-jcs321</x:v>
      </x:c>
      <x:c r="C69" s="34" t="str">
        <x:v>default</x:v>
      </x:c>
      <x:c r="D69" s="34" t="str">
        <x:v>jcs321</x:v>
      </x:c>
      <x:c r="E69" s="36" t="n">
        <x:v>1</x:v>
      </x:c>
      <x:c r="F69" s="36" t="n">
        <x:v>1</x:v>
      </x:c>
      <x:c r="G69" s="36"/>
      <x:c r="H69" s="34" t="str">
        <x:v>process-run-aggregate</x:v>
      </x:c>
      <x:c r="I69" s="36"/>
      <x:c r="J69" s="34" t="str">
        <x:v>leak-warning</x:v>
      </x:c>
      <x:c r="K69" s="34" t="str">
        <x:v>leakWarnings</x:v>
      </x:c>
      <x:c r="L69" s="36" t="n">
        <x:v>1</x:v>
      </x:c>
      <x:c r="M69" s="34"/>
      <x:c r="N69" s="44" t="str">
        <x:v>02-Sep-2026 22:43:23.956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70">
      <x:c r="A70" s="36" t="n">
        <x:v>69</x:v>
      </x:c>
      <x:c r="B70" s="34" t="str">
        <x:v>article1-unified-v4-2-fb3f101b-20260903-000401-default-f01-p5-jcs321</x:v>
      </x:c>
      <x:c r="C70" s="34" t="str">
        <x:v>default</x:v>
      </x:c>
      <x:c r="D70" s="34" t="str">
        <x:v>jcs321</x:v>
      </x:c>
      <x:c r="E70" s="36" t="n">
        <x:v>1</x:v>
      </x:c>
      <x:c r="F70" s="36" t="n">
        <x:v>1</x:v>
      </x:c>
      <x:c r="G70" s="36"/>
      <x:c r="H70" s="34" t="str">
        <x:v>process-run-aggregate</x:v>
      </x:c>
      <x:c r="I70" s="36"/>
      <x:c r="J70" s="34" t="str">
        <x:v>leak-warning</x:v>
      </x:c>
      <x:c r="K70" s="34" t="str">
        <x:v>leakWarnings</x:v>
      </x:c>
      <x:c r="L70" s="36" t="n">
        <x:v>2</x:v>
      </x:c>
      <x:c r="M70" s="34"/>
      <x:c r="N70" s="44" t="str">
        <x:v>02-Sep-2026 22:44:06.918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71">
      <x:c r="A71" s="36" t="n">
        <x:v>70</x:v>
      </x:c>
      <x:c r="B71" s="34" t="str">
        <x:v>article1-unified-v4-2-fb3f101b-20260903-000401-default-f01-p5-jcs321</x:v>
      </x:c>
      <x:c r="C71" s="34" t="str">
        <x:v>default</x:v>
      </x:c>
      <x:c r="D71" s="34" t="str">
        <x:v>jcs321</x:v>
      </x:c>
      <x:c r="E71" s="36" t="n">
        <x:v>1</x:v>
      </x:c>
      <x:c r="F71" s="36" t="n">
        <x:v>1</x:v>
      </x:c>
      <x:c r="G71" s="36"/>
      <x:c r="H71" s="34" t="str">
        <x:v>process-run-aggregate</x:v>
      </x:c>
      <x:c r="I71" s="36"/>
      <x:c r="J71" s="34" t="str">
        <x:v>leak-warning</x:v>
      </x:c>
      <x:c r="K71" s="34" t="str">
        <x:v>leakWarnings</x:v>
      </x:c>
      <x:c r="L71" s="36" t="n">
        <x:v>3</x:v>
      </x:c>
      <x:c r="M71" s="34"/>
      <x:c r="N71" s="44" t="str">
        <x:v>02-Sep-2026 22:44:52.997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72">
      <x:c r="A72" s="36" t="n">
        <x:v>71</x:v>
      </x:c>
      <x:c r="B72" s="34" t="str">
        <x:v>article1-unified-v4-2-fb3f101b-20260903-000401-default-f01-p5-jcs321</x:v>
      </x:c>
      <x:c r="C72" s="34" t="str">
        <x:v>default</x:v>
      </x:c>
      <x:c r="D72" s="34" t="str">
        <x:v>jcs321</x:v>
      </x:c>
      <x:c r="E72" s="36" t="n">
        <x:v>1</x:v>
      </x:c>
      <x:c r="F72" s="36" t="n">
        <x:v>1</x:v>
      </x:c>
      <x:c r="G72" s="36"/>
      <x:c r="H72" s="34" t="str">
        <x:v>process-run-aggregate</x:v>
      </x:c>
      <x:c r="I72" s="36"/>
      <x:c r="J72" s="34" t="str">
        <x:v>leak-warning</x:v>
      </x:c>
      <x:c r="K72" s="34" t="str">
        <x:v>leakWarnings</x:v>
      </x:c>
      <x:c r="L72" s="36" t="n">
        <x:v>4</x:v>
      </x:c>
      <x:c r="M72" s="34"/>
      <x:c r="N72" s="44" t="str">
        <x:v>02-Sep-2026 22:45:35.908 WARNING [http-nio-8080-exec-20]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73">
      <x:c r="A73" s="36" t="n">
        <x:v>72</x:v>
      </x:c>
      <x:c r="B73" s="34" t="str">
        <x:v>article1-unified-v4-2-fb3f101b-20260903-000401-default-f01-p5-jcs321</x:v>
      </x:c>
      <x:c r="C73" s="34" t="str">
        <x:v>default</x:v>
      </x:c>
      <x:c r="D73" s="34" t="str">
        <x:v>jcs321</x:v>
      </x:c>
      <x:c r="E73" s="36" t="n">
        <x:v>1</x:v>
      </x:c>
      <x:c r="F73" s="36" t="n">
        <x:v>1</x:v>
      </x:c>
      <x:c r="G73" s="36"/>
      <x:c r="H73" s="34" t="str">
        <x:v>process-run-aggregate</x:v>
      </x:c>
      <x:c r="I73" s="36"/>
      <x:c r="J73" s="34" t="str">
        <x:v>leak-warning</x:v>
      </x:c>
      <x:c r="K73" s="34" t="str">
        <x:v>leakWarnings</x:v>
      </x:c>
      <x:c r="L73" s="36" t="n">
        <x:v>5</x:v>
      </x:c>
      <x:c r="M73" s="34"/>
      <x:c r="N73" s="44" t="str">
        <x:v>02-Sep-2026 22:46:22.030 WARNING [http-nio-8080-exec-25]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74">
      <x:c r="A74" s="36" t="n">
        <x:v>73</x:v>
      </x:c>
      <x:c r="B74" s="34" t="str">
        <x:v>article1-unified-v4-2-fb3f101b-20260903-000401-default-f01-p5-jcs321</x:v>
      </x:c>
      <x:c r="C74" s="34" t="str">
        <x:v>default</x:v>
      </x:c>
      <x:c r="D74" s="34" t="str">
        <x:v>jcs321</x:v>
      </x:c>
      <x:c r="E74" s="36" t="n">
        <x:v>1</x:v>
      </x:c>
      <x:c r="F74" s="36" t="n">
        <x:v>1</x:v>
      </x:c>
      <x:c r="G74" s="36"/>
      <x:c r="H74" s="34" t="str">
        <x:v>process-run-aggregate</x:v>
      </x:c>
      <x:c r="I74" s="36"/>
      <x:c r="J74" s="34" t="str">
        <x:v>leak-warning</x:v>
      </x:c>
      <x:c r="K74" s="34" t="str">
        <x:v>leakWarnings</x:v>
      </x:c>
      <x:c r="L74" s="36" t="n">
        <x:v>6</x:v>
      </x:c>
      <x:c r="M74" s="34"/>
      <x:c r="N74" s="44" t="str">
        <x:v>02-Sep-2026 22:47:04.762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75">
      <x:c r="A75" s="36" t="n">
        <x:v>74</x:v>
      </x:c>
      <x:c r="B75" s="34" t="str">
        <x:v>article1-unified-v4-2-fb3f101b-20260903-000401-default-f01-p5-jcs321</x:v>
      </x:c>
      <x:c r="C75" s="34" t="str">
        <x:v>default</x:v>
      </x:c>
      <x:c r="D75" s="34" t="str">
        <x:v>jcs321</x:v>
      </x:c>
      <x:c r="E75" s="36" t="n">
        <x:v>1</x:v>
      </x:c>
      <x:c r="F75" s="36" t="n">
        <x:v>1</x:v>
      </x:c>
      <x:c r="G75" s="36"/>
      <x:c r="H75" s="34" t="str">
        <x:v>process-run-aggregate</x:v>
      </x:c>
      <x:c r="I75" s="36"/>
      <x:c r="J75" s="34" t="str">
        <x:v>leak-warning</x:v>
      </x:c>
      <x:c r="K75" s="34" t="str">
        <x:v>leakWarnings</x:v>
      </x:c>
      <x:c r="L75" s="36" t="n">
        <x:v>7</x:v>
      </x:c>
      <x:c r="M75" s="34"/>
      <x:c r="N75" s="44" t="str">
        <x:v>02-Sep-2026 22:47:50.703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76">
      <x:c r="A76" s="36" t="n">
        <x:v>75</x:v>
      </x:c>
      <x:c r="B76" s="34" t="str">
        <x:v>article1-unified-v4-2-fb3f101b-20260903-000401-default-f01-p5-jcs321</x:v>
      </x:c>
      <x:c r="C76" s="34" t="str">
        <x:v>default</x:v>
      </x:c>
      <x:c r="D76" s="34" t="str">
        <x:v>jcs321</x:v>
      </x:c>
      <x:c r="E76" s="36" t="n">
        <x:v>1</x:v>
      </x:c>
      <x:c r="F76" s="36" t="n">
        <x:v>1</x:v>
      </x:c>
      <x:c r="G76" s="36"/>
      <x:c r="H76" s="34" t="str">
        <x:v>process-run-aggregate</x:v>
      </x:c>
      <x:c r="I76" s="36"/>
      <x:c r="J76" s="34" t="str">
        <x:v>leak-warning</x:v>
      </x:c>
      <x:c r="K76" s="34" t="str">
        <x:v>leakWarnings</x:v>
      </x:c>
      <x:c r="L76" s="36" t="n">
        <x:v>8</x:v>
      </x:c>
      <x:c r="M76" s="34"/>
      <x:c r="N76" s="44" t="str">
        <x:v>02-Sep-2026 22:48:34.199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77">
      <x:c r="A77" s="36" t="n">
        <x:v>76</x:v>
      </x:c>
      <x:c r="B77" s="34" t="str">
        <x:v>article1-unified-v4-2-fb3f101b-20260903-000401-default-f01-p5-jcs321</x:v>
      </x:c>
      <x:c r="C77" s="34" t="str">
        <x:v>default</x:v>
      </x:c>
      <x:c r="D77" s="34" t="str">
        <x:v>jcs321</x:v>
      </x:c>
      <x:c r="E77" s="36" t="n">
        <x:v>1</x:v>
      </x:c>
      <x:c r="F77" s="36" t="n">
        <x:v>1</x:v>
      </x:c>
      <x:c r="G77" s="36"/>
      <x:c r="H77" s="34" t="str">
        <x:v>process-run-aggregate</x:v>
      </x:c>
      <x:c r="I77" s="36"/>
      <x:c r="J77" s="34" t="str">
        <x:v>leak-warning</x:v>
      </x:c>
      <x:c r="K77" s="34" t="str">
        <x:v>leakWarnings</x:v>
      </x:c>
      <x:c r="L77" s="36" t="n">
        <x:v>9</x:v>
      </x:c>
      <x:c r="M77" s="34"/>
      <x:c r="N77" s="44" t="str">
        <x:v>02-Sep-2026 22:49:20.871 WARNING [http-nio-8080-exec-50]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78">
      <x:c r="A78" s="36" t="n">
        <x:v>77</x:v>
      </x:c>
      <x:c r="B78" s="34" t="str">
        <x:v>article1-unified-v4-2-fb3f101b-20260903-000401-default-f01-p5-jcs321</x:v>
      </x:c>
      <x:c r="C78" s="34" t="str">
        <x:v>default</x:v>
      </x:c>
      <x:c r="D78" s="34" t="str">
        <x:v>jcs321</x:v>
      </x:c>
      <x:c r="E78" s="36" t="n">
        <x:v>1</x:v>
      </x:c>
      <x:c r="F78" s="36" t="n">
        <x:v>1</x:v>
      </x:c>
      <x:c r="G78" s="36"/>
      <x:c r="H78" s="34" t="str">
        <x:v>process-run-aggregate</x:v>
      </x:c>
      <x:c r="I78" s="36"/>
      <x:c r="J78" s="34" t="str">
        <x:v>leak-warning</x:v>
      </x:c>
      <x:c r="K78" s="34" t="str">
        <x:v>leakWarnings</x:v>
      </x:c>
      <x:c r="L78" s="36" t="n">
        <x:v>10</x:v>
      </x:c>
      <x:c r="M78" s="34"/>
      <x:c r="N78" s="44" t="str">
        <x:v>02-Sep-2026 22:50:06.066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79">
      <x:c r="A79" s="36" t="n">
        <x:v>78</x:v>
      </x:c>
      <x:c r="B79" s="34" t="str">
        <x:v>article1-unified-v4-2-fb3f101b-20260903-000401-default-f01-p5-jcs321</x:v>
      </x:c>
      <x:c r="C79" s="34" t="str">
        <x:v>default</x:v>
      </x:c>
      <x:c r="D79" s="34" t="str">
        <x:v>jcs321</x:v>
      </x:c>
      <x:c r="E79" s="36" t="n">
        <x:v>1</x:v>
      </x:c>
      <x:c r="F79" s="36" t="n">
        <x:v>1</x:v>
      </x:c>
      <x:c r="G79" s="36"/>
      <x:c r="H79" s="34" t="str">
        <x:v>process-run-aggregate</x:v>
      </x:c>
      <x:c r="I79" s="36"/>
      <x:c r="J79" s="34" t="str">
        <x:v>thread-leak-warning</x:v>
      </x:c>
      <x:c r="K79" s="34" t="str">
        <x:v>threadLeakWarnings</x:v>
      </x:c>
      <x:c r="L79" s="36" t="n">
        <x:v>1</x:v>
      </x:c>
      <x:c r="M79" s="34"/>
      <x:c r="N79" s="44" t="str">
        <x:v>02-Sep-2026 22:43:23.956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80">
      <x:c r="A80" s="36" t="n">
        <x:v>79</x:v>
      </x:c>
      <x:c r="B80" s="34" t="str">
        <x:v>article1-unified-v4-2-fb3f101b-20260903-000401-default-f01-p5-jcs321</x:v>
      </x:c>
      <x:c r="C80" s="34" t="str">
        <x:v>default</x:v>
      </x:c>
      <x:c r="D80" s="34" t="str">
        <x:v>jcs321</x:v>
      </x:c>
      <x:c r="E80" s="36" t="n">
        <x:v>1</x:v>
      </x:c>
      <x:c r="F80" s="36" t="n">
        <x:v>1</x:v>
      </x:c>
      <x:c r="G80" s="36"/>
      <x:c r="H80" s="34" t="str">
        <x:v>process-run-aggregate</x:v>
      </x:c>
      <x:c r="I80" s="36"/>
      <x:c r="J80" s="34" t="str">
        <x:v>thread-leak-warning</x:v>
      </x:c>
      <x:c r="K80" s="34" t="str">
        <x:v>threadLeakWarnings</x:v>
      </x:c>
      <x:c r="L80" s="36" t="n">
        <x:v>2</x:v>
      </x:c>
      <x:c r="M80" s="34"/>
      <x:c r="N80" s="44" t="str">
        <x:v>02-Sep-2026 22:44:06.918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81">
      <x:c r="A81" s="36" t="n">
        <x:v>80</x:v>
      </x:c>
      <x:c r="B81" s="34" t="str">
        <x:v>article1-unified-v4-2-fb3f101b-20260903-000401-default-f01-p5-jcs321</x:v>
      </x:c>
      <x:c r="C81" s="34" t="str">
        <x:v>default</x:v>
      </x:c>
      <x:c r="D81" s="34" t="str">
        <x:v>jcs321</x:v>
      </x:c>
      <x:c r="E81" s="36" t="n">
        <x:v>1</x:v>
      </x:c>
      <x:c r="F81" s="36" t="n">
        <x:v>1</x:v>
      </x:c>
      <x:c r="G81" s="36"/>
      <x:c r="H81" s="34" t="str">
        <x:v>process-run-aggregate</x:v>
      </x:c>
      <x:c r="I81" s="36"/>
      <x:c r="J81" s="34" t="str">
        <x:v>thread-leak-warning</x:v>
      </x:c>
      <x:c r="K81" s="34" t="str">
        <x:v>threadLeakWarnings</x:v>
      </x:c>
      <x:c r="L81" s="36" t="n">
        <x:v>3</x:v>
      </x:c>
      <x:c r="M81" s="34"/>
      <x:c r="N81" s="44" t="str">
        <x:v>02-Sep-2026 22:44:52.997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82">
      <x:c r="A82" s="36" t="n">
        <x:v>81</x:v>
      </x:c>
      <x:c r="B82" s="34" t="str">
        <x:v>article1-unified-v4-2-fb3f101b-20260903-000401-default-f01-p5-jcs321</x:v>
      </x:c>
      <x:c r="C82" s="34" t="str">
        <x:v>default</x:v>
      </x:c>
      <x:c r="D82" s="34" t="str">
        <x:v>jcs321</x:v>
      </x:c>
      <x:c r="E82" s="36" t="n">
        <x:v>1</x:v>
      </x:c>
      <x:c r="F82" s="36" t="n">
        <x:v>1</x:v>
      </x:c>
      <x:c r="G82" s="36"/>
      <x:c r="H82" s="34" t="str">
        <x:v>process-run-aggregate</x:v>
      </x:c>
      <x:c r="I82" s="36"/>
      <x:c r="J82" s="34" t="str">
        <x:v>thread-leak-warning</x:v>
      </x:c>
      <x:c r="K82" s="34" t="str">
        <x:v>threadLeakWarnings</x:v>
      </x:c>
      <x:c r="L82" s="36" t="n">
        <x:v>4</x:v>
      </x:c>
      <x:c r="M82" s="34"/>
      <x:c r="N82" s="44" t="str">
        <x:v>02-Sep-2026 22:45:35.908 WARNING [http-nio-8080-exec-20]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83">
      <x:c r="A83" s="36" t="n">
        <x:v>82</x:v>
      </x:c>
      <x:c r="B83" s="34" t="str">
        <x:v>article1-unified-v4-2-fb3f101b-20260903-000401-default-f01-p5-jcs321</x:v>
      </x:c>
      <x:c r="C83" s="34" t="str">
        <x:v>default</x:v>
      </x:c>
      <x:c r="D83" s="34" t="str">
        <x:v>jcs321</x:v>
      </x:c>
      <x:c r="E83" s="36" t="n">
        <x:v>1</x:v>
      </x:c>
      <x:c r="F83" s="36" t="n">
        <x:v>1</x:v>
      </x:c>
      <x:c r="G83" s="36"/>
      <x:c r="H83" s="34" t="str">
        <x:v>process-run-aggregate</x:v>
      </x:c>
      <x:c r="I83" s="36"/>
      <x:c r="J83" s="34" t="str">
        <x:v>thread-leak-warning</x:v>
      </x:c>
      <x:c r="K83" s="34" t="str">
        <x:v>threadLeakWarnings</x:v>
      </x:c>
      <x:c r="L83" s="36" t="n">
        <x:v>5</x:v>
      </x:c>
      <x:c r="M83" s="34"/>
      <x:c r="N83" s="44" t="str">
        <x:v>02-Sep-2026 22:46:22.030 WARNING [http-nio-8080-exec-25]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84">
      <x:c r="A84" s="36" t="n">
        <x:v>83</x:v>
      </x:c>
      <x:c r="B84" s="34" t="str">
        <x:v>article1-unified-v4-2-fb3f101b-20260903-000401-default-f01-p5-jcs321</x:v>
      </x:c>
      <x:c r="C84" s="34" t="str">
        <x:v>default</x:v>
      </x:c>
      <x:c r="D84" s="34" t="str">
        <x:v>jcs321</x:v>
      </x:c>
      <x:c r="E84" s="36" t="n">
        <x:v>1</x:v>
      </x:c>
      <x:c r="F84" s="36" t="n">
        <x:v>1</x:v>
      </x:c>
      <x:c r="G84" s="36"/>
      <x:c r="H84" s="34" t="str">
        <x:v>process-run-aggregate</x:v>
      </x:c>
      <x:c r="I84" s="36"/>
      <x:c r="J84" s="34" t="str">
        <x:v>thread-leak-warning</x:v>
      </x:c>
      <x:c r="K84" s="34" t="str">
        <x:v>threadLeakWarnings</x:v>
      </x:c>
      <x:c r="L84" s="36" t="n">
        <x:v>6</x:v>
      </x:c>
      <x:c r="M84" s="34"/>
      <x:c r="N84" s="44" t="str">
        <x:v>02-Sep-2026 22:47:04.762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85">
      <x:c r="A85" s="36" t="n">
        <x:v>84</x:v>
      </x:c>
      <x:c r="B85" s="34" t="str">
        <x:v>article1-unified-v4-2-fb3f101b-20260903-000401-default-f01-p5-jcs321</x:v>
      </x:c>
      <x:c r="C85" s="34" t="str">
        <x:v>default</x:v>
      </x:c>
      <x:c r="D85" s="34" t="str">
        <x:v>jcs321</x:v>
      </x:c>
      <x:c r="E85" s="36" t="n">
        <x:v>1</x:v>
      </x:c>
      <x:c r="F85" s="36" t="n">
        <x:v>1</x:v>
      </x:c>
      <x:c r="G85" s="36"/>
      <x:c r="H85" s="34" t="str">
        <x:v>process-run-aggregate</x:v>
      </x:c>
      <x:c r="I85" s="36"/>
      <x:c r="J85" s="34" t="str">
        <x:v>thread-leak-warning</x:v>
      </x:c>
      <x:c r="K85" s="34" t="str">
        <x:v>threadLeakWarnings</x:v>
      </x:c>
      <x:c r="L85" s="36" t="n">
        <x:v>7</x:v>
      </x:c>
      <x:c r="M85" s="34"/>
      <x:c r="N85" s="44" t="str">
        <x:v>02-Sep-2026 22:47:50.703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86">
      <x:c r="A86" s="36" t="n">
        <x:v>85</x:v>
      </x:c>
      <x:c r="B86" s="34" t="str">
        <x:v>article1-unified-v4-2-fb3f101b-20260903-000401-default-f01-p5-jcs321</x:v>
      </x:c>
      <x:c r="C86" s="34" t="str">
        <x:v>default</x:v>
      </x:c>
      <x:c r="D86" s="34" t="str">
        <x:v>jcs321</x:v>
      </x:c>
      <x:c r="E86" s="36" t="n">
        <x:v>1</x:v>
      </x:c>
      <x:c r="F86" s="36" t="n">
        <x:v>1</x:v>
      </x:c>
      <x:c r="G86" s="36"/>
      <x:c r="H86" s="34" t="str">
        <x:v>process-run-aggregate</x:v>
      </x:c>
      <x:c r="I86" s="36"/>
      <x:c r="J86" s="34" t="str">
        <x:v>thread-leak-warning</x:v>
      </x:c>
      <x:c r="K86" s="34" t="str">
        <x:v>threadLeakWarnings</x:v>
      </x:c>
      <x:c r="L86" s="36" t="n">
        <x:v>8</x:v>
      </x:c>
      <x:c r="M86" s="34"/>
      <x:c r="N86" s="44" t="str">
        <x:v>02-Sep-2026 22:48:34.199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87">
      <x:c r="A87" s="36" t="n">
        <x:v>86</x:v>
      </x:c>
      <x:c r="B87" s="34" t="str">
        <x:v>article1-unified-v4-2-fb3f101b-20260903-000401-default-f01-p5-jcs321</x:v>
      </x:c>
      <x:c r="C87" s="34" t="str">
        <x:v>default</x:v>
      </x:c>
      <x:c r="D87" s="34" t="str">
        <x:v>jcs321</x:v>
      </x:c>
      <x:c r="E87" s="36" t="n">
        <x:v>1</x:v>
      </x:c>
      <x:c r="F87" s="36" t="n">
        <x:v>1</x:v>
      </x:c>
      <x:c r="G87" s="36"/>
      <x:c r="H87" s="34" t="str">
        <x:v>process-run-aggregate</x:v>
      </x:c>
      <x:c r="I87" s="36"/>
      <x:c r="J87" s="34" t="str">
        <x:v>thread-leak-warning</x:v>
      </x:c>
      <x:c r="K87" s="34" t="str">
        <x:v>threadLeakWarnings</x:v>
      </x:c>
      <x:c r="L87" s="36" t="n">
        <x:v>9</x:v>
      </x:c>
      <x:c r="M87" s="34"/>
      <x:c r="N87" s="44" t="str">
        <x:v>02-Sep-2026 22:49:20.871 WARNING [http-nio-8080-exec-50]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88">
      <x:c r="A88" s="36" t="n">
        <x:v>87</x:v>
      </x:c>
      <x:c r="B88" s="34" t="str">
        <x:v>article1-unified-v4-2-fb3f101b-20260903-000401-default-f01-p5-jcs321</x:v>
      </x:c>
      <x:c r="C88" s="34" t="str">
        <x:v>default</x:v>
      </x:c>
      <x:c r="D88" s="34" t="str">
        <x:v>jcs321</x:v>
      </x:c>
      <x:c r="E88" s="36" t="n">
        <x:v>1</x:v>
      </x:c>
      <x:c r="F88" s="36" t="n">
        <x:v>1</x:v>
      </x:c>
      <x:c r="G88" s="36"/>
      <x:c r="H88" s="34" t="str">
        <x:v>process-run-aggregate</x:v>
      </x:c>
      <x:c r="I88" s="36"/>
      <x:c r="J88" s="34" t="str">
        <x:v>thread-leak-warning</x:v>
      </x:c>
      <x:c r="K88" s="34" t="str">
        <x:v>threadLeakWarnings</x:v>
      </x:c>
      <x:c r="L88" s="36" t="n">
        <x:v>10</x:v>
      </x:c>
      <x:c r="M88" s="34"/>
      <x:c r="N88" s="44" t="str">
        <x:v>02-Sep-2026 22:50:06.066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89">
      <x:c r="A89" s="36" t="n">
        <x:v>88</x:v>
      </x:c>
      <x:c r="B89" s="34" t="str">
        <x:v>article1-unified-v4-2-fb3f101b-20260903-000401-default-f01-p5-jcs321</x:v>
      </x:c>
      <x:c r="C89" s="34" t="str">
        <x:v>default</x:v>
      </x:c>
      <x:c r="D89" s="34" t="str">
        <x:v>jcs321</x:v>
      </x:c>
      <x:c r="E89" s="36" t="n">
        <x:v>1</x:v>
      </x:c>
      <x:c r="F89" s="36" t="n">
        <x:v>1</x:v>
      </x:c>
      <x:c r="G89" s="36" t="n">
        <x:v>1</x:v>
      </x:c>
      <x:c r="H89" s="34" t="str">
        <x:v>cycle-window</x:v>
      </x:c>
      <x:c r="I89" s="36" t="n">
        <x:v>1</x:v>
      </x:c>
      <x:c r="J89" s="34" t="str">
        <x:v>warning</x:v>
      </x:c>
      <x:c r="K89" s="34" t="str">
        <x:v>firstUndeployWarnings</x:v>
      </x:c>
      <x:c r="L89" s="36" t="n">
        <x:v>1</x:v>
      </x:c>
      <x:c r="M89" s="34"/>
      <x:c r="N89" s="44" t="str">
        <x:v>02-Sep-2026 22:43:23.956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90">
      <x:c r="A90" s="36" t="n">
        <x:v>89</x:v>
      </x:c>
      <x:c r="B90" s="34" t="str">
        <x:v>article1-unified-v4-2-fb3f101b-20260903-000401-default-f01-p5-jcs321</x:v>
      </x:c>
      <x:c r="C90" s="34" t="str">
        <x:v>default</x:v>
      </x:c>
      <x:c r="D90" s="34" t="str">
        <x:v>jcs321</x:v>
      </x:c>
      <x:c r="E90" s="36" t="n">
        <x:v>1</x:v>
      </x:c>
      <x:c r="F90" s="36" t="n">
        <x:v>1</x:v>
      </x:c>
      <x:c r="G90" s="36" t="n">
        <x:v>1</x:v>
      </x:c>
      <x:c r="H90" s="34" t="str">
        <x:v>cycle-window</x:v>
      </x:c>
      <x:c r="I90" s="36" t="n">
        <x:v>1</x:v>
      </x:c>
      <x:c r="J90" s="34" t="str">
        <x:v>leak-warning</x:v>
      </x:c>
      <x:c r="K90" s="34" t="str">
        <x:v>firstUndeployLeakWarnings</x:v>
      </x:c>
      <x:c r="L90" s="36" t="n">
        <x:v>1</x:v>
      </x:c>
      <x:c r="M90" s="34"/>
      <x:c r="N90" s="44" t="str">
        <x:v>02-Sep-2026 22:43:23.956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91">
      <x:c r="A91" s="36" t="n">
        <x:v>90</x:v>
      </x:c>
      <x:c r="B91" s="34" t="str">
        <x:v>article1-unified-v4-2-fb3f101b-20260903-000401-default-f01-p5-jcs321</x:v>
      </x:c>
      <x:c r="C91" s="34" t="str">
        <x:v>default</x:v>
      </x:c>
      <x:c r="D91" s="34" t="str">
        <x:v>jcs321</x:v>
      </x:c>
      <x:c r="E91" s="36" t="n">
        <x:v>1</x:v>
      </x:c>
      <x:c r="F91" s="36" t="n">
        <x:v>1</x:v>
      </x:c>
      <x:c r="G91" s="36" t="n">
        <x:v>1</x:v>
      </x:c>
      <x:c r="H91" s="34" t="str">
        <x:v>cycle-window</x:v>
      </x:c>
      <x:c r="I91" s="36" t="n">
        <x:v>1</x:v>
      </x:c>
      <x:c r="J91" s="34" t="str">
        <x:v>thread-leak-warning</x:v>
      </x:c>
      <x:c r="K91" s="34" t="str">
        <x:v>firstUndeployThreadLeakWarnings</x:v>
      </x:c>
      <x:c r="L91" s="36" t="n">
        <x:v>1</x:v>
      </x:c>
      <x:c r="M91" s="34"/>
      <x:c r="N91" s="44" t="str">
        <x:v>02-Sep-2026 22:43:23.956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92">
      <x:c r="A92" s="36" t="n">
        <x:v>91</x:v>
      </x:c>
      <x:c r="B92" s="34" t="str">
        <x:v>article1-unified-v4-2-fb3f101b-20260903-000401-default-f01-p5-jcs321</x:v>
      </x:c>
      <x:c r="C92" s="34" t="str">
        <x:v>default</x:v>
      </x:c>
      <x:c r="D92" s="34" t="str">
        <x:v>jcs321</x:v>
      </x:c>
      <x:c r="E92" s="36" t="n">
        <x:v>1</x:v>
      </x:c>
      <x:c r="F92" s="36" t="n">
        <x:v>1</x:v>
      </x:c>
      <x:c r="G92" s="36" t="n">
        <x:v>1</x:v>
      </x:c>
      <x:c r="H92" s="34" t="str">
        <x:v>cycle-window</x:v>
      </x:c>
      <x:c r="I92" s="36" t="n">
        <x:v>2</x:v>
      </x:c>
      <x:c r="J92" s="34" t="str">
        <x:v>warning</x:v>
      </x:c>
      <x:c r="K92" s="34" t="str">
        <x:v>secondUndeployWarnings</x:v>
      </x:c>
      <x:c r="L92" s="36" t="n">
        <x:v>1</x:v>
      </x:c>
      <x:c r="M92" s="34"/>
      <x:c r="N92" s="44" t="str">
        <x:v>02-Sep-2026 22:44:06.918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93">
      <x:c r="A93" s="36" t="n">
        <x:v>92</x:v>
      </x:c>
      <x:c r="B93" s="34" t="str">
        <x:v>article1-unified-v4-2-fb3f101b-20260903-000401-default-f01-p5-jcs321</x:v>
      </x:c>
      <x:c r="C93" s="34" t="str">
        <x:v>default</x:v>
      </x:c>
      <x:c r="D93" s="34" t="str">
        <x:v>jcs321</x:v>
      </x:c>
      <x:c r="E93" s="36" t="n">
        <x:v>1</x:v>
      </x:c>
      <x:c r="F93" s="36" t="n">
        <x:v>1</x:v>
      </x:c>
      <x:c r="G93" s="36" t="n">
        <x:v>1</x:v>
      </x:c>
      <x:c r="H93" s="34" t="str">
        <x:v>cycle-window</x:v>
      </x:c>
      <x:c r="I93" s="36" t="n">
        <x:v>2</x:v>
      </x:c>
      <x:c r="J93" s="34" t="str">
        <x:v>leak-warning</x:v>
      </x:c>
      <x:c r="K93" s="34" t="str">
        <x:v>secondUndeployLeakWarnings</x:v>
      </x:c>
      <x:c r="L93" s="36" t="n">
        <x:v>1</x:v>
      </x:c>
      <x:c r="M93" s="34"/>
      <x:c r="N93" s="44" t="str">
        <x:v>02-Sep-2026 22:44:06.918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94">
      <x:c r="A94" s="36" t="n">
        <x:v>93</x:v>
      </x:c>
      <x:c r="B94" s="34" t="str">
        <x:v>article1-unified-v4-2-fb3f101b-20260903-000401-default-f01-p5-jcs321</x:v>
      </x:c>
      <x:c r="C94" s="34" t="str">
        <x:v>default</x:v>
      </x:c>
      <x:c r="D94" s="34" t="str">
        <x:v>jcs321</x:v>
      </x:c>
      <x:c r="E94" s="36" t="n">
        <x:v>1</x:v>
      </x:c>
      <x:c r="F94" s="36" t="n">
        <x:v>1</x:v>
      </x:c>
      <x:c r="G94" s="36" t="n">
        <x:v>1</x:v>
      </x:c>
      <x:c r="H94" s="34" t="str">
        <x:v>cycle-window</x:v>
      </x:c>
      <x:c r="I94" s="36" t="n">
        <x:v>2</x:v>
      </x:c>
      <x:c r="J94" s="34" t="str">
        <x:v>thread-leak-warning</x:v>
      </x:c>
      <x:c r="K94" s="34" t="str">
        <x:v>secondUndeployThreadLeakWarnings</x:v>
      </x:c>
      <x:c r="L94" s="36" t="n">
        <x:v>1</x:v>
      </x:c>
      <x:c r="M94" s="34"/>
      <x:c r="N94" s="44" t="str">
        <x:v>02-Sep-2026 22:44:06.918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95">
      <x:c r="A95" s="36" t="n">
        <x:v>94</x:v>
      </x:c>
      <x:c r="B95" s="34" t="str">
        <x:v>article1-unified-v4-2-fb3f101b-20260903-000401-default-f01-p5-jcs321</x:v>
      </x:c>
      <x:c r="C95" s="34" t="str">
        <x:v>default</x:v>
      </x:c>
      <x:c r="D95" s="34" t="str">
        <x:v>jcs321</x:v>
      </x:c>
      <x:c r="E95" s="36" t="n">
        <x:v>1</x:v>
      </x:c>
      <x:c r="F95" s="36" t="n">
        <x:v>1</x:v>
      </x:c>
      <x:c r="G95" s="36" t="n">
        <x:v>1</x:v>
      </x:c>
      <x:c r="H95" s="34" t="str">
        <x:v>cycle-observation</x:v>
      </x:c>
      <x:c r="I95" s="36" t="n">
        <x:v>1</x:v>
      </x:c>
      <x:c r="J95" s="34" t="str">
        <x:v>tomcat-findleaks-occurrence</x:v>
      </x:c>
      <x:c r="K95" s="34" t="str">
        <x:v>afterUndeploy.tomcatFindLeaksOccurrences</x:v>
      </x:c>
      <x:c r="L95" s="36" t="n">
        <x:v>1</x:v>
      </x:c>
      <x:c r="M95" s="34" t="str">
        <x:v>/jcs321</x:v>
      </x:c>
      <x:c r="N95" s="44" t="str">
        <x:v>/jcs321</x:v>
      </x:c>
    </x:row>
    <x:row r="96">
      <x:c r="A96" s="36" t="n">
        <x:v>95</x:v>
      </x:c>
      <x:c r="B96" s="34" t="str">
        <x:v>article1-unified-v4-2-fb3f101b-20260903-000401-default-f01-p5-jcs321</x:v>
      </x:c>
      <x:c r="C96" s="34" t="str">
        <x:v>default</x:v>
      </x:c>
      <x:c r="D96" s="34" t="str">
        <x:v>jcs321</x:v>
      </x:c>
      <x:c r="E96" s="36" t="n">
        <x:v>1</x:v>
      </x:c>
      <x:c r="F96" s="36" t="n">
        <x:v>1</x:v>
      </x:c>
      <x:c r="G96" s="36" t="n">
        <x:v>1</x:v>
      </x:c>
      <x:c r="H96" s="34" t="str">
        <x:v>cycle-observation</x:v>
      </x:c>
      <x:c r="I96" s="36" t="n">
        <x:v>2</x:v>
      </x:c>
      <x:c r="J96" s="34" t="str">
        <x:v>tomcat-findleaks-occurrence</x:v>
      </x:c>
      <x:c r="K96" s="34" t="str">
        <x:v>afterFinalUndeploy.tomcatFindLeaksOccurrences</x:v>
      </x:c>
      <x:c r="L96" s="36" t="n">
        <x:v>1</x:v>
      </x:c>
      <x:c r="M96" s="34" t="str">
        <x:v>/jcs321</x:v>
      </x:c>
      <x:c r="N96" s="44" t="str">
        <x:v>/jcs321</x:v>
      </x:c>
    </x:row>
    <x:row r="97">
      <x:c r="A97" s="36" t="n">
        <x:v>96</x:v>
      </x:c>
      <x:c r="B97" s="34" t="str">
        <x:v>article1-unified-v4-2-fb3f101b-20260903-000401-default-f01-p5-jcs321</x:v>
      </x:c>
      <x:c r="C97" s="34" t="str">
        <x:v>default</x:v>
      </x:c>
      <x:c r="D97" s="34" t="str">
        <x:v>jcs321</x:v>
      </x:c>
      <x:c r="E97" s="36" t="n">
        <x:v>1</x:v>
      </x:c>
      <x:c r="F97" s="36" t="n">
        <x:v>1</x:v>
      </x:c>
      <x:c r="G97" s="36" t="n">
        <x:v>1</x:v>
      </x:c>
      <x:c r="H97" s="34" t="str">
        <x:v>cycle-observation</x:v>
      </x:c>
      <x:c r="I97" s="36" t="n">
        <x:v>2</x:v>
      </x:c>
      <x:c r="J97" s="34" t="str">
        <x:v>tomcat-findleaks-occurrence</x:v>
      </x:c>
      <x:c r="K97" s="34" t="str">
        <x:v>afterFinalUndeploy.tomcatFindLeaksOccurrences</x:v>
      </x:c>
      <x:c r="L97" s="36" t="n">
        <x:v>2</x:v>
      </x:c>
      <x:c r="M97" s="34" t="str">
        <x:v>/jcs321</x:v>
      </x:c>
      <x:c r="N97" s="44" t="str">
        <x:v>/jcs321</x:v>
      </x:c>
    </x:row>
    <x:row r="98">
      <x:c r="A98" s="36" t="n">
        <x:v>97</x:v>
      </x:c>
      <x:c r="B98" s="34" t="str">
        <x:v>article1-unified-v4-2-fb3f101b-20260903-000401-default-f01-p5-jcs321</x:v>
      </x:c>
      <x:c r="C98" s="34" t="str">
        <x:v>default</x:v>
      </x:c>
      <x:c r="D98" s="34" t="str">
        <x:v>jcs321</x:v>
      </x:c>
      <x:c r="E98" s="36" t="n">
        <x:v>1</x:v>
      </x:c>
      <x:c r="F98" s="36" t="n">
        <x:v>1</x:v>
      </x:c>
      <x:c r="G98" s="36" t="n">
        <x:v>2</x:v>
      </x:c>
      <x:c r="H98" s="34" t="str">
        <x:v>cycle-window</x:v>
      </x:c>
      <x:c r="I98" s="36" t="n">
        <x:v>1</x:v>
      </x:c>
      <x:c r="J98" s="34" t="str">
        <x:v>warning</x:v>
      </x:c>
      <x:c r="K98" s="34" t="str">
        <x:v>firstUndeployWarnings</x:v>
      </x:c>
      <x:c r="L98" s="36" t="n">
        <x:v>1</x:v>
      </x:c>
      <x:c r="M98" s="34"/>
      <x:c r="N98" s="44" t="str">
        <x:v>02-Sep-2026 22:44:52.997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99">
      <x:c r="A99" s="36" t="n">
        <x:v>98</x:v>
      </x:c>
      <x:c r="B99" s="34" t="str">
        <x:v>article1-unified-v4-2-fb3f101b-20260903-000401-default-f01-p5-jcs321</x:v>
      </x:c>
      <x:c r="C99" s="34" t="str">
        <x:v>default</x:v>
      </x:c>
      <x:c r="D99" s="34" t="str">
        <x:v>jcs321</x:v>
      </x:c>
      <x:c r="E99" s="36" t="n">
        <x:v>1</x:v>
      </x:c>
      <x:c r="F99" s="36" t="n">
        <x:v>1</x:v>
      </x:c>
      <x:c r="G99" s="36" t="n">
        <x:v>2</x:v>
      </x:c>
      <x:c r="H99" s="34" t="str">
        <x:v>cycle-window</x:v>
      </x:c>
      <x:c r="I99" s="36" t="n">
        <x:v>1</x:v>
      </x:c>
      <x:c r="J99" s="34" t="str">
        <x:v>leak-warning</x:v>
      </x:c>
      <x:c r="K99" s="34" t="str">
        <x:v>firstUndeployLeakWarnings</x:v>
      </x:c>
      <x:c r="L99" s="36" t="n">
        <x:v>1</x:v>
      </x:c>
      <x:c r="M99" s="34"/>
      <x:c r="N99" s="44" t="str">
        <x:v>02-Sep-2026 22:44:52.997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0">
      <x:c r="A100" s="36" t="n">
        <x:v>99</x:v>
      </x:c>
      <x:c r="B100" s="34" t="str">
        <x:v>article1-unified-v4-2-fb3f101b-20260903-000401-default-f01-p5-jcs321</x:v>
      </x:c>
      <x:c r="C100" s="34" t="str">
        <x:v>default</x:v>
      </x:c>
      <x:c r="D100" s="34" t="str">
        <x:v>jcs321</x:v>
      </x:c>
      <x:c r="E100" s="36" t="n">
        <x:v>1</x:v>
      </x:c>
      <x:c r="F100" s="36" t="n">
        <x:v>1</x:v>
      </x:c>
      <x:c r="G100" s="36" t="n">
        <x:v>2</x:v>
      </x:c>
      <x:c r="H100" s="34" t="str">
        <x:v>cycle-window</x:v>
      </x:c>
      <x:c r="I100" s="36" t="n">
        <x:v>1</x:v>
      </x:c>
      <x:c r="J100" s="34" t="str">
        <x:v>thread-leak-warning</x:v>
      </x:c>
      <x:c r="K100" s="34" t="str">
        <x:v>firstUndeployThreadLeakWarnings</x:v>
      </x:c>
      <x:c r="L100" s="36" t="n">
        <x:v>1</x:v>
      </x:c>
      <x:c r="M100" s="34"/>
      <x:c r="N100" s="44" t="str">
        <x:v>02-Sep-2026 22:44:52.997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1">
      <x:c r="A101" s="36" t="n">
        <x:v>100</x:v>
      </x:c>
      <x:c r="B101" s="34" t="str">
        <x:v>article1-unified-v4-2-fb3f101b-20260903-000401-default-f01-p5-jcs321</x:v>
      </x:c>
      <x:c r="C101" s="34" t="str">
        <x:v>default</x:v>
      </x:c>
      <x:c r="D101" s="34" t="str">
        <x:v>jcs321</x:v>
      </x:c>
      <x:c r="E101" s="36" t="n">
        <x:v>1</x:v>
      </x:c>
      <x:c r="F101" s="36" t="n">
        <x:v>1</x:v>
      </x:c>
      <x:c r="G101" s="36" t="n">
        <x:v>2</x:v>
      </x:c>
      <x:c r="H101" s="34" t="str">
        <x:v>cycle-window</x:v>
      </x:c>
      <x:c r="I101" s="36" t="n">
        <x:v>2</x:v>
      </x:c>
      <x:c r="J101" s="34" t="str">
        <x:v>warning</x:v>
      </x:c>
      <x:c r="K101" s="34" t="str">
        <x:v>secondUndeployWarnings</x:v>
      </x:c>
      <x:c r="L101" s="36" t="n">
        <x:v>1</x:v>
      </x:c>
      <x:c r="M101" s="34"/>
      <x:c r="N101" s="44" t="str">
        <x:v>02-Sep-2026 22:45:35.908 WARNING [http-nio-8080-exec-20]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2">
      <x:c r="A102" s="36" t="n">
        <x:v>101</x:v>
      </x:c>
      <x:c r="B102" s="34" t="str">
        <x:v>article1-unified-v4-2-fb3f101b-20260903-000401-default-f01-p5-jcs321</x:v>
      </x:c>
      <x:c r="C102" s="34" t="str">
        <x:v>default</x:v>
      </x:c>
      <x:c r="D102" s="34" t="str">
        <x:v>jcs321</x:v>
      </x:c>
      <x:c r="E102" s="36" t="n">
        <x:v>1</x:v>
      </x:c>
      <x:c r="F102" s="36" t="n">
        <x:v>1</x:v>
      </x:c>
      <x:c r="G102" s="36" t="n">
        <x:v>2</x:v>
      </x:c>
      <x:c r="H102" s="34" t="str">
        <x:v>cycle-window</x:v>
      </x:c>
      <x:c r="I102" s="36" t="n">
        <x:v>2</x:v>
      </x:c>
      <x:c r="J102" s="34" t="str">
        <x:v>leak-warning</x:v>
      </x:c>
      <x:c r="K102" s="34" t="str">
        <x:v>secondUndeployLeakWarnings</x:v>
      </x:c>
      <x:c r="L102" s="36" t="n">
        <x:v>1</x:v>
      </x:c>
      <x:c r="M102" s="34"/>
      <x:c r="N102" s="44" t="str">
        <x:v>02-Sep-2026 22:45:35.908 WARNING [http-nio-8080-exec-20]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3">
      <x:c r="A103" s="36" t="n">
        <x:v>102</x:v>
      </x:c>
      <x:c r="B103" s="34" t="str">
        <x:v>article1-unified-v4-2-fb3f101b-20260903-000401-default-f01-p5-jcs321</x:v>
      </x:c>
      <x:c r="C103" s="34" t="str">
        <x:v>default</x:v>
      </x:c>
      <x:c r="D103" s="34" t="str">
        <x:v>jcs321</x:v>
      </x:c>
      <x:c r="E103" s="36" t="n">
        <x:v>1</x:v>
      </x:c>
      <x:c r="F103" s="36" t="n">
        <x:v>1</x:v>
      </x:c>
      <x:c r="G103" s="36" t="n">
        <x:v>2</x:v>
      </x:c>
      <x:c r="H103" s="34" t="str">
        <x:v>cycle-window</x:v>
      </x:c>
      <x:c r="I103" s="36" t="n">
        <x:v>2</x:v>
      </x:c>
      <x:c r="J103" s="34" t="str">
        <x:v>thread-leak-warning</x:v>
      </x:c>
      <x:c r="K103" s="34" t="str">
        <x:v>secondUndeployThreadLeakWarnings</x:v>
      </x:c>
      <x:c r="L103" s="36" t="n">
        <x:v>1</x:v>
      </x:c>
      <x:c r="M103" s="34"/>
      <x:c r="N103" s="44" t="str">
        <x:v>02-Sep-2026 22:45:35.908 WARNING [http-nio-8080-exec-20]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4">
      <x:c r="A104" s="36" t="n">
        <x:v>103</x:v>
      </x:c>
      <x:c r="B104" s="34" t="str">
        <x:v>article1-unified-v4-2-fb3f101b-20260903-000401-default-f01-p5-jcs321</x:v>
      </x:c>
      <x:c r="C104" s="34" t="str">
        <x:v>default</x:v>
      </x:c>
      <x:c r="D104" s="34" t="str">
        <x:v>jcs321</x:v>
      </x:c>
      <x:c r="E104" s="36" t="n">
        <x:v>1</x:v>
      </x:c>
      <x:c r="F104" s="36" t="n">
        <x:v>1</x:v>
      </x:c>
      <x:c r="G104" s="36" t="n">
        <x:v>2</x:v>
      </x:c>
      <x:c r="H104" s="34" t="str">
        <x:v>cycle-observation</x:v>
      </x:c>
      <x:c r="I104" s="36" t="n">
        <x:v>1</x:v>
      </x:c>
      <x:c r="J104" s="34" t="str">
        <x:v>tomcat-findleaks-occurrence</x:v>
      </x:c>
      <x:c r="K104" s="34" t="str">
        <x:v>afterUndeploy.tomcatFindLeaksOccurrences</x:v>
      </x:c>
      <x:c r="L104" s="36" t="n">
        <x:v>1</x:v>
      </x:c>
      <x:c r="M104" s="34" t="str">
        <x:v>/jcs321</x:v>
      </x:c>
      <x:c r="N104" s="44" t="str">
        <x:v>/jcs321</x:v>
      </x:c>
    </x:row>
    <x:row r="105">
      <x:c r="A105" s="36" t="n">
        <x:v>104</x:v>
      </x:c>
      <x:c r="B105" s="34" t="str">
        <x:v>article1-unified-v4-2-fb3f101b-20260903-000401-default-f01-p5-jcs321</x:v>
      </x:c>
      <x:c r="C105" s="34" t="str">
        <x:v>default</x:v>
      </x:c>
      <x:c r="D105" s="34" t="str">
        <x:v>jcs321</x:v>
      </x:c>
      <x:c r="E105" s="36" t="n">
        <x:v>1</x:v>
      </x:c>
      <x:c r="F105" s="36" t="n">
        <x:v>1</x:v>
      </x:c>
      <x:c r="G105" s="36" t="n">
        <x:v>2</x:v>
      </x:c>
      <x:c r="H105" s="34" t="str">
        <x:v>cycle-observation</x:v>
      </x:c>
      <x:c r="I105" s="36" t="n">
        <x:v>1</x:v>
      </x:c>
      <x:c r="J105" s="34" t="str">
        <x:v>tomcat-findleaks-occurrence</x:v>
      </x:c>
      <x:c r="K105" s="34" t="str">
        <x:v>afterUndeploy.tomcatFindLeaksOccurrences</x:v>
      </x:c>
      <x:c r="L105" s="36" t="n">
        <x:v>2</x:v>
      </x:c>
      <x:c r="M105" s="34" t="str">
        <x:v>/jcs321</x:v>
      </x:c>
      <x:c r="N105" s="44" t="str">
        <x:v>/jcs321</x:v>
      </x:c>
    </x:row>
    <x:row r="106">
      <x:c r="A106" s="36" t="n">
        <x:v>105</x:v>
      </x:c>
      <x:c r="B106" s="34" t="str">
        <x:v>article1-unified-v4-2-fb3f101b-20260903-000401-default-f01-p5-jcs321</x:v>
      </x:c>
      <x:c r="C106" s="34" t="str">
        <x:v>default</x:v>
      </x:c>
      <x:c r="D106" s="34" t="str">
        <x:v>jcs321</x:v>
      </x:c>
      <x:c r="E106" s="36" t="n">
        <x:v>1</x:v>
      </x:c>
      <x:c r="F106" s="36" t="n">
        <x:v>1</x:v>
      </x:c>
      <x:c r="G106" s="36" t="n">
        <x:v>2</x:v>
      </x:c>
      <x:c r="H106" s="34" t="str">
        <x:v>cycle-observation</x:v>
      </x:c>
      <x:c r="I106" s="36" t="n">
        <x:v>1</x:v>
      </x:c>
      <x:c r="J106" s="34" t="str">
        <x:v>tomcat-findleaks-occurrence</x:v>
      </x:c>
      <x:c r="K106" s="34" t="str">
        <x:v>afterUndeploy.tomcatFindLeaksOccurrences</x:v>
      </x:c>
      <x:c r="L106" s="36" t="n">
        <x:v>3</x:v>
      </x:c>
      <x:c r="M106" s="34" t="str">
        <x:v>/jcs321</x:v>
      </x:c>
      <x:c r="N106" s="44" t="str">
        <x:v>/jcs321</x:v>
      </x:c>
    </x:row>
    <x:row r="107">
      <x:c r="A107" s="36" t="n">
        <x:v>106</x:v>
      </x:c>
      <x:c r="B107" s="34" t="str">
        <x:v>article1-unified-v4-2-fb3f101b-20260903-000401-default-f01-p5-jcs321</x:v>
      </x:c>
      <x:c r="C107" s="34" t="str">
        <x:v>default</x:v>
      </x:c>
      <x:c r="D107" s="34" t="str">
        <x:v>jcs321</x:v>
      </x:c>
      <x:c r="E107" s="36" t="n">
        <x:v>1</x:v>
      </x:c>
      <x:c r="F107" s="36" t="n">
        <x:v>1</x:v>
      </x:c>
      <x:c r="G107" s="36" t="n">
        <x:v>2</x:v>
      </x:c>
      <x:c r="H107" s="34" t="str">
        <x:v>cycle-observation</x:v>
      </x:c>
      <x:c r="I107" s="36" t="n">
        <x:v>2</x:v>
      </x:c>
      <x:c r="J107" s="34" t="str">
        <x:v>tomcat-findleaks-occurrence</x:v>
      </x:c>
      <x:c r="K107" s="34" t="str">
        <x:v>afterFinalUndeploy.tomcatFindLeaksOccurrences</x:v>
      </x:c>
      <x:c r="L107" s="36" t="n">
        <x:v>1</x:v>
      </x:c>
      <x:c r="M107" s="34" t="str">
        <x:v>/jcs321</x:v>
      </x:c>
      <x:c r="N107" s="44" t="str">
        <x:v>/jcs321</x:v>
      </x:c>
    </x:row>
    <x:row r="108">
      <x:c r="A108" s="36" t="n">
        <x:v>107</x:v>
      </x:c>
      <x:c r="B108" s="34" t="str">
        <x:v>article1-unified-v4-2-fb3f101b-20260903-000401-default-f01-p5-jcs321</x:v>
      </x:c>
      <x:c r="C108" s="34" t="str">
        <x:v>default</x:v>
      </x:c>
      <x:c r="D108" s="34" t="str">
        <x:v>jcs321</x:v>
      </x:c>
      <x:c r="E108" s="36" t="n">
        <x:v>1</x:v>
      </x:c>
      <x:c r="F108" s="36" t="n">
        <x:v>1</x:v>
      </x:c>
      <x:c r="G108" s="36" t="n">
        <x:v>2</x:v>
      </x:c>
      <x:c r="H108" s="34" t="str">
        <x:v>cycle-observation</x:v>
      </x:c>
      <x:c r="I108" s="36" t="n">
        <x:v>2</x:v>
      </x:c>
      <x:c r="J108" s="34" t="str">
        <x:v>tomcat-findleaks-occurrence</x:v>
      </x:c>
      <x:c r="K108" s="34" t="str">
        <x:v>afterFinalUndeploy.tomcatFindLeaksOccurrences</x:v>
      </x:c>
      <x:c r="L108" s="36" t="n">
        <x:v>2</x:v>
      </x:c>
      <x:c r="M108" s="34" t="str">
        <x:v>/jcs321</x:v>
      </x:c>
      <x:c r="N108" s="44" t="str">
        <x:v>/jcs321</x:v>
      </x:c>
    </x:row>
    <x:row r="109">
      <x:c r="A109" s="36" t="n">
        <x:v>108</x:v>
      </x:c>
      <x:c r="B109" s="34" t="str">
        <x:v>article1-unified-v4-2-fb3f101b-20260903-000401-default-f01-p5-jcs321</x:v>
      </x:c>
      <x:c r="C109" s="34" t="str">
        <x:v>default</x:v>
      </x:c>
      <x:c r="D109" s="34" t="str">
        <x:v>jcs321</x:v>
      </x:c>
      <x:c r="E109" s="36" t="n">
        <x:v>1</x:v>
      </x:c>
      <x:c r="F109" s="36" t="n">
        <x:v>1</x:v>
      </x:c>
      <x:c r="G109" s="36" t="n">
        <x:v>2</x:v>
      </x:c>
      <x:c r="H109" s="34" t="str">
        <x:v>cycle-observation</x:v>
      </x:c>
      <x:c r="I109" s="36" t="n">
        <x:v>2</x:v>
      </x:c>
      <x:c r="J109" s="34" t="str">
        <x:v>tomcat-findleaks-occurrence</x:v>
      </x:c>
      <x:c r="K109" s="34" t="str">
        <x:v>afterFinalUndeploy.tomcatFindLeaksOccurrences</x:v>
      </x:c>
      <x:c r="L109" s="36" t="n">
        <x:v>3</x:v>
      </x:c>
      <x:c r="M109" s="34" t="str">
        <x:v>/jcs321</x:v>
      </x:c>
      <x:c r="N109" s="44" t="str">
        <x:v>/jcs321</x:v>
      </x:c>
    </x:row>
    <x:row r="110">
      <x:c r="A110" s="36" t="n">
        <x:v>109</x:v>
      </x:c>
      <x:c r="B110" s="34" t="str">
        <x:v>article1-unified-v4-2-fb3f101b-20260903-000401-default-f01-p5-jcs321</x:v>
      </x:c>
      <x:c r="C110" s="34" t="str">
        <x:v>default</x:v>
      </x:c>
      <x:c r="D110" s="34" t="str">
        <x:v>jcs321</x:v>
      </x:c>
      <x:c r="E110" s="36" t="n">
        <x:v>1</x:v>
      </x:c>
      <x:c r="F110" s="36" t="n">
        <x:v>1</x:v>
      </x:c>
      <x:c r="G110" s="36" t="n">
        <x:v>2</x:v>
      </x:c>
      <x:c r="H110" s="34" t="str">
        <x:v>cycle-observation</x:v>
      </x:c>
      <x:c r="I110" s="36" t="n">
        <x:v>2</x:v>
      </x:c>
      <x:c r="J110" s="34" t="str">
        <x:v>tomcat-findleaks-occurrence</x:v>
      </x:c>
      <x:c r="K110" s="34" t="str">
        <x:v>afterFinalUndeploy.tomcatFindLeaksOccurrences</x:v>
      </x:c>
      <x:c r="L110" s="36" t="n">
        <x:v>4</x:v>
      </x:c>
      <x:c r="M110" s="34" t="str">
        <x:v>/jcs321</x:v>
      </x:c>
      <x:c r="N110" s="44" t="str">
        <x:v>/jcs321</x:v>
      </x:c>
    </x:row>
    <x:row r="111">
      <x:c r="A111" s="36" t="n">
        <x:v>110</x:v>
      </x:c>
      <x:c r="B111" s="34" t="str">
        <x:v>article1-unified-v4-2-fb3f101b-20260903-000401-default-f01-p5-jcs321</x:v>
      </x:c>
      <x:c r="C111" s="34" t="str">
        <x:v>default</x:v>
      </x:c>
      <x:c r="D111" s="34" t="str">
        <x:v>jcs321</x:v>
      </x:c>
      <x:c r="E111" s="36" t="n">
        <x:v>1</x:v>
      </x:c>
      <x:c r="F111" s="36" t="n">
        <x:v>1</x:v>
      </x:c>
      <x:c r="G111" s="36" t="n">
        <x:v>3</x:v>
      </x:c>
      <x:c r="H111" s="34" t="str">
        <x:v>cycle-window</x:v>
      </x:c>
      <x:c r="I111" s="36" t="n">
        <x:v>1</x:v>
      </x:c>
      <x:c r="J111" s="34" t="str">
        <x:v>warning</x:v>
      </x:c>
      <x:c r="K111" s="34" t="str">
        <x:v>firstUndeployWarnings</x:v>
      </x:c>
      <x:c r="L111" s="36" t="n">
        <x:v>1</x:v>
      </x:c>
      <x:c r="M111" s="34"/>
      <x:c r="N111" s="44" t="str">
        <x:v>02-Sep-2026 22:46:22.030 WARNING [http-nio-8080-exec-25]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12">
      <x:c r="A112" s="36" t="n">
        <x:v>111</x:v>
      </x:c>
      <x:c r="B112" s="34" t="str">
        <x:v>article1-unified-v4-2-fb3f101b-20260903-000401-default-f01-p5-jcs321</x:v>
      </x:c>
      <x:c r="C112" s="34" t="str">
        <x:v>default</x:v>
      </x:c>
      <x:c r="D112" s="34" t="str">
        <x:v>jcs321</x:v>
      </x:c>
      <x:c r="E112" s="36" t="n">
        <x:v>1</x:v>
      </x:c>
      <x:c r="F112" s="36" t="n">
        <x:v>1</x:v>
      </x:c>
      <x:c r="G112" s="36" t="n">
        <x:v>3</x:v>
      </x:c>
      <x:c r="H112" s="34" t="str">
        <x:v>cycle-window</x:v>
      </x:c>
      <x:c r="I112" s="36" t="n">
        <x:v>1</x:v>
      </x:c>
      <x:c r="J112" s="34" t="str">
        <x:v>leak-warning</x:v>
      </x:c>
      <x:c r="K112" s="34" t="str">
        <x:v>firstUndeployLeakWarnings</x:v>
      </x:c>
      <x:c r="L112" s="36" t="n">
        <x:v>1</x:v>
      </x:c>
      <x:c r="M112" s="34"/>
      <x:c r="N112" s="44" t="str">
        <x:v>02-Sep-2026 22:46:22.030 WARNING [http-nio-8080-exec-25]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13">
      <x:c r="A113" s="36" t="n">
        <x:v>112</x:v>
      </x:c>
      <x:c r="B113" s="34" t="str">
        <x:v>article1-unified-v4-2-fb3f101b-20260903-000401-default-f01-p5-jcs321</x:v>
      </x:c>
      <x:c r="C113" s="34" t="str">
        <x:v>default</x:v>
      </x:c>
      <x:c r="D113" s="34" t="str">
        <x:v>jcs321</x:v>
      </x:c>
      <x:c r="E113" s="36" t="n">
        <x:v>1</x:v>
      </x:c>
      <x:c r="F113" s="36" t="n">
        <x:v>1</x:v>
      </x:c>
      <x:c r="G113" s="36" t="n">
        <x:v>3</x:v>
      </x:c>
      <x:c r="H113" s="34" t="str">
        <x:v>cycle-window</x:v>
      </x:c>
      <x:c r="I113" s="36" t="n">
        <x:v>1</x:v>
      </x:c>
      <x:c r="J113" s="34" t="str">
        <x:v>thread-leak-warning</x:v>
      </x:c>
      <x:c r="K113" s="34" t="str">
        <x:v>firstUndeployThreadLeakWarnings</x:v>
      </x:c>
      <x:c r="L113" s="36" t="n">
        <x:v>1</x:v>
      </x:c>
      <x:c r="M113" s="34"/>
      <x:c r="N113" s="44" t="str">
        <x:v>02-Sep-2026 22:46:22.030 WARNING [http-nio-8080-exec-25]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14">
      <x:c r="A114" s="36" t="n">
        <x:v>113</x:v>
      </x:c>
      <x:c r="B114" s="34" t="str">
        <x:v>article1-unified-v4-2-fb3f101b-20260903-000401-default-f01-p5-jcs321</x:v>
      </x:c>
      <x:c r="C114" s="34" t="str">
        <x:v>default</x:v>
      </x:c>
      <x:c r="D114" s="34" t="str">
        <x:v>jcs321</x:v>
      </x:c>
      <x:c r="E114" s="36" t="n">
        <x:v>1</x:v>
      </x:c>
      <x:c r="F114" s="36" t="n">
        <x:v>1</x:v>
      </x:c>
      <x:c r="G114" s="36" t="n">
        <x:v>3</x:v>
      </x:c>
      <x:c r="H114" s="34" t="str">
        <x:v>cycle-window</x:v>
      </x:c>
      <x:c r="I114" s="36" t="n">
        <x:v>2</x:v>
      </x:c>
      <x:c r="J114" s="34" t="str">
        <x:v>warning</x:v>
      </x:c>
      <x:c r="K114" s="34" t="str">
        <x:v>secondUndeployWarnings</x:v>
      </x:c>
      <x:c r="L114" s="36" t="n">
        <x:v>1</x:v>
      </x:c>
      <x:c r="M114" s="34"/>
      <x:c r="N114" s="44" t="str">
        <x:v>02-Sep-2026 22:47:04.762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15">
      <x:c r="A115" s="36" t="n">
        <x:v>114</x:v>
      </x:c>
      <x:c r="B115" s="34" t="str">
        <x:v>article1-unified-v4-2-fb3f101b-20260903-000401-default-f01-p5-jcs321</x:v>
      </x:c>
      <x:c r="C115" s="34" t="str">
        <x:v>default</x:v>
      </x:c>
      <x:c r="D115" s="34" t="str">
        <x:v>jcs321</x:v>
      </x:c>
      <x:c r="E115" s="36" t="n">
        <x:v>1</x:v>
      </x:c>
      <x:c r="F115" s="36" t="n">
        <x:v>1</x:v>
      </x:c>
      <x:c r="G115" s="36" t="n">
        <x:v>3</x:v>
      </x:c>
      <x:c r="H115" s="34" t="str">
        <x:v>cycle-window</x:v>
      </x:c>
      <x:c r="I115" s="36" t="n">
        <x:v>2</x:v>
      </x:c>
      <x:c r="J115" s="34" t="str">
        <x:v>leak-warning</x:v>
      </x:c>
      <x:c r="K115" s="34" t="str">
        <x:v>secondUndeployLeakWarnings</x:v>
      </x:c>
      <x:c r="L115" s="36" t="n">
        <x:v>1</x:v>
      </x:c>
      <x:c r="M115" s="34"/>
      <x:c r="N115" s="44" t="str">
        <x:v>02-Sep-2026 22:47:04.762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16">
      <x:c r="A116" s="36" t="n">
        <x:v>115</x:v>
      </x:c>
      <x:c r="B116" s="34" t="str">
        <x:v>article1-unified-v4-2-fb3f101b-20260903-000401-default-f01-p5-jcs321</x:v>
      </x:c>
      <x:c r="C116" s="34" t="str">
        <x:v>default</x:v>
      </x:c>
      <x:c r="D116" s="34" t="str">
        <x:v>jcs321</x:v>
      </x:c>
      <x:c r="E116" s="36" t="n">
        <x:v>1</x:v>
      </x:c>
      <x:c r="F116" s="36" t="n">
        <x:v>1</x:v>
      </x:c>
      <x:c r="G116" s="36" t="n">
        <x:v>3</x:v>
      </x:c>
      <x:c r="H116" s="34" t="str">
        <x:v>cycle-window</x:v>
      </x:c>
      <x:c r="I116" s="36" t="n">
        <x:v>2</x:v>
      </x:c>
      <x:c r="J116" s="34" t="str">
        <x:v>thread-leak-warning</x:v>
      </x:c>
      <x:c r="K116" s="34" t="str">
        <x:v>secondUndeployThreadLeakWarnings</x:v>
      </x:c>
      <x:c r="L116" s="36" t="n">
        <x:v>1</x:v>
      </x:c>
      <x:c r="M116" s="34"/>
      <x:c r="N116" s="44" t="str">
        <x:v>02-Sep-2026 22:47:04.762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17">
      <x:c r="A117" s="36" t="n">
        <x:v>116</x:v>
      </x:c>
      <x:c r="B117" s="34" t="str">
        <x:v>article1-unified-v4-2-fb3f101b-20260903-000401-default-f01-p5-jcs321</x:v>
      </x:c>
      <x:c r="C117" s="34" t="str">
        <x:v>default</x:v>
      </x:c>
      <x:c r="D117" s="34" t="str">
        <x:v>jcs321</x:v>
      </x:c>
      <x:c r="E117" s="36" t="n">
        <x:v>1</x:v>
      </x:c>
      <x:c r="F117" s="36" t="n">
        <x:v>1</x:v>
      </x:c>
      <x:c r="G117" s="36" t="n">
        <x:v>3</x:v>
      </x:c>
      <x:c r="H117" s="34" t="str">
        <x:v>cycle-observation</x:v>
      </x:c>
      <x:c r="I117" s="36" t="n">
        <x:v>1</x:v>
      </x:c>
      <x:c r="J117" s="34" t="str">
        <x:v>tomcat-findleaks-occurrence</x:v>
      </x:c>
      <x:c r="K117" s="34" t="str">
        <x:v>afterUndeploy.tomcatFindLeaksOccurrences</x:v>
      </x:c>
      <x:c r="L117" s="36" t="n">
        <x:v>1</x:v>
      </x:c>
      <x:c r="M117" s="34" t="str">
        <x:v>/jcs321</x:v>
      </x:c>
      <x:c r="N117" s="44" t="str">
        <x:v>/jcs321</x:v>
      </x:c>
    </x:row>
    <x:row r="118">
      <x:c r="A118" s="36" t="n">
        <x:v>117</x:v>
      </x:c>
      <x:c r="B118" s="34" t="str">
        <x:v>article1-unified-v4-2-fb3f101b-20260903-000401-default-f01-p5-jcs321</x:v>
      </x:c>
      <x:c r="C118" s="34" t="str">
        <x:v>default</x:v>
      </x:c>
      <x:c r="D118" s="34" t="str">
        <x:v>jcs321</x:v>
      </x:c>
      <x:c r="E118" s="36" t="n">
        <x:v>1</x:v>
      </x:c>
      <x:c r="F118" s="36" t="n">
        <x:v>1</x:v>
      </x:c>
      <x:c r="G118" s="36" t="n">
        <x:v>3</x:v>
      </x:c>
      <x:c r="H118" s="34" t="str">
        <x:v>cycle-observation</x:v>
      </x:c>
      <x:c r="I118" s="36" t="n">
        <x:v>1</x:v>
      </x:c>
      <x:c r="J118" s="34" t="str">
        <x:v>tomcat-findleaks-occurrence</x:v>
      </x:c>
      <x:c r="K118" s="34" t="str">
        <x:v>afterUndeploy.tomcatFindLeaksOccurrences</x:v>
      </x:c>
      <x:c r="L118" s="36" t="n">
        <x:v>2</x:v>
      </x:c>
      <x:c r="M118" s="34" t="str">
        <x:v>/jcs321</x:v>
      </x:c>
      <x:c r="N118" s="44" t="str">
        <x:v>/jcs321</x:v>
      </x:c>
    </x:row>
    <x:row r="119">
      <x:c r="A119" s="36" t="n">
        <x:v>118</x:v>
      </x:c>
      <x:c r="B119" s="34" t="str">
        <x:v>article1-unified-v4-2-fb3f101b-20260903-000401-default-f01-p5-jcs321</x:v>
      </x:c>
      <x:c r="C119" s="34" t="str">
        <x:v>default</x:v>
      </x:c>
      <x:c r="D119" s="34" t="str">
        <x:v>jcs321</x:v>
      </x:c>
      <x:c r="E119" s="36" t="n">
        <x:v>1</x:v>
      </x:c>
      <x:c r="F119" s="36" t="n">
        <x:v>1</x:v>
      </x:c>
      <x:c r="G119" s="36" t="n">
        <x:v>3</x:v>
      </x:c>
      <x:c r="H119" s="34" t="str">
        <x:v>cycle-observation</x:v>
      </x:c>
      <x:c r="I119" s="36" t="n">
        <x:v>1</x:v>
      </x:c>
      <x:c r="J119" s="34" t="str">
        <x:v>tomcat-findleaks-occurrence</x:v>
      </x:c>
      <x:c r="K119" s="34" t="str">
        <x:v>afterUndeploy.tomcatFindLeaksOccurrences</x:v>
      </x:c>
      <x:c r="L119" s="36" t="n">
        <x:v>3</x:v>
      </x:c>
      <x:c r="M119" s="34" t="str">
        <x:v>/jcs321</x:v>
      </x:c>
      <x:c r="N119" s="44" t="str">
        <x:v>/jcs321</x:v>
      </x:c>
    </x:row>
    <x:row r="120">
      <x:c r="A120" s="36" t="n">
        <x:v>119</x:v>
      </x:c>
      <x:c r="B120" s="34" t="str">
        <x:v>article1-unified-v4-2-fb3f101b-20260903-000401-default-f01-p5-jcs321</x:v>
      </x:c>
      <x:c r="C120" s="34" t="str">
        <x:v>default</x:v>
      </x:c>
      <x:c r="D120" s="34" t="str">
        <x:v>jcs321</x:v>
      </x:c>
      <x:c r="E120" s="36" t="n">
        <x:v>1</x:v>
      </x:c>
      <x:c r="F120" s="36" t="n">
        <x:v>1</x:v>
      </x:c>
      <x:c r="G120" s="36" t="n">
        <x:v>3</x:v>
      </x:c>
      <x:c r="H120" s="34" t="str">
        <x:v>cycle-observation</x:v>
      </x:c>
      <x:c r="I120" s="36" t="n">
        <x:v>1</x:v>
      </x:c>
      <x:c r="J120" s="34" t="str">
        <x:v>tomcat-findleaks-occurrence</x:v>
      </x:c>
      <x:c r="K120" s="34" t="str">
        <x:v>afterUndeploy.tomcatFindLeaksOccurrences</x:v>
      </x:c>
      <x:c r="L120" s="36" t="n">
        <x:v>4</x:v>
      </x:c>
      <x:c r="M120" s="34" t="str">
        <x:v>/jcs321</x:v>
      </x:c>
      <x:c r="N120" s="44" t="str">
        <x:v>/jcs321</x:v>
      </x:c>
    </x:row>
    <x:row r="121">
      <x:c r="A121" s="36" t="n">
        <x:v>120</x:v>
      </x:c>
      <x:c r="B121" s="34" t="str">
        <x:v>article1-unified-v4-2-fb3f101b-20260903-000401-default-f01-p5-jcs321</x:v>
      </x:c>
      <x:c r="C121" s="34" t="str">
        <x:v>default</x:v>
      </x:c>
      <x:c r="D121" s="34" t="str">
        <x:v>jcs321</x:v>
      </x:c>
      <x:c r="E121" s="36" t="n">
        <x:v>1</x:v>
      </x:c>
      <x:c r="F121" s="36" t="n">
        <x:v>1</x:v>
      </x:c>
      <x:c r="G121" s="36" t="n">
        <x:v>3</x:v>
      </x:c>
      <x:c r="H121" s="34" t="str">
        <x:v>cycle-observation</x:v>
      </x:c>
      <x:c r="I121" s="36" t="n">
        <x:v>1</x:v>
      </x:c>
      <x:c r="J121" s="34" t="str">
        <x:v>tomcat-findleaks-occurrence</x:v>
      </x:c>
      <x:c r="K121" s="34" t="str">
        <x:v>afterUndeploy.tomcatFindLeaksOccurrences</x:v>
      </x:c>
      <x:c r="L121" s="36" t="n">
        <x:v>5</x:v>
      </x:c>
      <x:c r="M121" s="34" t="str">
        <x:v>/jcs321</x:v>
      </x:c>
      <x:c r="N121" s="44" t="str">
        <x:v>/jcs321</x:v>
      </x:c>
    </x:row>
    <x:row r="122">
      <x:c r="A122" s="36" t="n">
        <x:v>121</x:v>
      </x:c>
      <x:c r="B122" s="34" t="str">
        <x:v>article1-unified-v4-2-fb3f101b-20260903-000401-default-f01-p5-jcs321</x:v>
      </x:c>
      <x:c r="C122" s="34" t="str">
        <x:v>default</x:v>
      </x:c>
      <x:c r="D122" s="34" t="str">
        <x:v>jcs321</x:v>
      </x:c>
      <x:c r="E122" s="36" t="n">
        <x:v>1</x:v>
      </x:c>
      <x:c r="F122" s="36" t="n">
        <x:v>1</x:v>
      </x:c>
      <x:c r="G122" s="36" t="n">
        <x:v>3</x:v>
      </x:c>
      <x:c r="H122" s="34" t="str">
        <x:v>cycle-observation</x:v>
      </x:c>
      <x:c r="I122" s="36" t="n">
        <x:v>2</x:v>
      </x:c>
      <x:c r="J122" s="34" t="str">
        <x:v>tomcat-findleaks-occurrence</x:v>
      </x:c>
      <x:c r="K122" s="34" t="str">
        <x:v>afterFinalUndeploy.tomcatFindLeaksOccurrences</x:v>
      </x:c>
      <x:c r="L122" s="36" t="n">
        <x:v>1</x:v>
      </x:c>
      <x:c r="M122" s="34" t="str">
        <x:v>/jcs321</x:v>
      </x:c>
      <x:c r="N122" s="44" t="str">
        <x:v>/jcs321</x:v>
      </x:c>
    </x:row>
    <x:row r="123">
      <x:c r="A123" s="36" t="n">
        <x:v>122</x:v>
      </x:c>
      <x:c r="B123" s="34" t="str">
        <x:v>article1-unified-v4-2-fb3f101b-20260903-000401-default-f01-p5-jcs321</x:v>
      </x:c>
      <x:c r="C123" s="34" t="str">
        <x:v>default</x:v>
      </x:c>
      <x:c r="D123" s="34" t="str">
        <x:v>jcs321</x:v>
      </x:c>
      <x:c r="E123" s="36" t="n">
        <x:v>1</x:v>
      </x:c>
      <x:c r="F123" s="36" t="n">
        <x:v>1</x:v>
      </x:c>
      <x:c r="G123" s="36" t="n">
        <x:v>3</x:v>
      </x:c>
      <x:c r="H123" s="34" t="str">
        <x:v>cycle-observation</x:v>
      </x:c>
      <x:c r="I123" s="36" t="n">
        <x:v>2</x:v>
      </x:c>
      <x:c r="J123" s="34" t="str">
        <x:v>tomcat-findleaks-occurrence</x:v>
      </x:c>
      <x:c r="K123" s="34" t="str">
        <x:v>afterFinalUndeploy.tomcatFindLeaksOccurrences</x:v>
      </x:c>
      <x:c r="L123" s="36" t="n">
        <x:v>2</x:v>
      </x:c>
      <x:c r="M123" s="34" t="str">
        <x:v>/jcs321</x:v>
      </x:c>
      <x:c r="N123" s="44" t="str">
        <x:v>/jcs321</x:v>
      </x:c>
    </x:row>
    <x:row r="124">
      <x:c r="A124" s="36" t="n">
        <x:v>123</x:v>
      </x:c>
      <x:c r="B124" s="34" t="str">
        <x:v>article1-unified-v4-2-fb3f101b-20260903-000401-default-f01-p5-jcs321</x:v>
      </x:c>
      <x:c r="C124" s="34" t="str">
        <x:v>default</x:v>
      </x:c>
      <x:c r="D124" s="34" t="str">
        <x:v>jcs321</x:v>
      </x:c>
      <x:c r="E124" s="36" t="n">
        <x:v>1</x:v>
      </x:c>
      <x:c r="F124" s="36" t="n">
        <x:v>1</x:v>
      </x:c>
      <x:c r="G124" s="36" t="n">
        <x:v>3</x:v>
      </x:c>
      <x:c r="H124" s="34" t="str">
        <x:v>cycle-observation</x:v>
      </x:c>
      <x:c r="I124" s="36" t="n">
        <x:v>2</x:v>
      </x:c>
      <x:c r="J124" s="34" t="str">
        <x:v>tomcat-findleaks-occurrence</x:v>
      </x:c>
      <x:c r="K124" s="34" t="str">
        <x:v>afterFinalUndeploy.tomcatFindLeaksOccurrences</x:v>
      </x:c>
      <x:c r="L124" s="36" t="n">
        <x:v>3</x:v>
      </x:c>
      <x:c r="M124" s="34" t="str">
        <x:v>/jcs321</x:v>
      </x:c>
      <x:c r="N124" s="44" t="str">
        <x:v>/jcs321</x:v>
      </x:c>
    </x:row>
    <x:row r="125">
      <x:c r="A125" s="36" t="n">
        <x:v>124</x:v>
      </x:c>
      <x:c r="B125" s="34" t="str">
        <x:v>article1-unified-v4-2-fb3f101b-20260903-000401-default-f01-p5-jcs321</x:v>
      </x:c>
      <x:c r="C125" s="34" t="str">
        <x:v>default</x:v>
      </x:c>
      <x:c r="D125" s="34" t="str">
        <x:v>jcs321</x:v>
      </x:c>
      <x:c r="E125" s="36" t="n">
        <x:v>1</x:v>
      </x:c>
      <x:c r="F125" s="36" t="n">
        <x:v>1</x:v>
      </x:c>
      <x:c r="G125" s="36" t="n">
        <x:v>3</x:v>
      </x:c>
      <x:c r="H125" s="34" t="str">
        <x:v>cycle-observation</x:v>
      </x:c>
      <x:c r="I125" s="36" t="n">
        <x:v>2</x:v>
      </x:c>
      <x:c r="J125" s="34" t="str">
        <x:v>tomcat-findleaks-occurrence</x:v>
      </x:c>
      <x:c r="K125" s="34" t="str">
        <x:v>afterFinalUndeploy.tomcatFindLeaksOccurrences</x:v>
      </x:c>
      <x:c r="L125" s="36" t="n">
        <x:v>4</x:v>
      </x:c>
      <x:c r="M125" s="34" t="str">
        <x:v>/jcs321</x:v>
      </x:c>
      <x:c r="N125" s="44" t="str">
        <x:v>/jcs321</x:v>
      </x:c>
    </x:row>
    <x:row r="126">
      <x:c r="A126" s="36" t="n">
        <x:v>125</x:v>
      </x:c>
      <x:c r="B126" s="34" t="str">
        <x:v>article1-unified-v4-2-fb3f101b-20260903-000401-default-f01-p5-jcs321</x:v>
      </x:c>
      <x:c r="C126" s="34" t="str">
        <x:v>default</x:v>
      </x:c>
      <x:c r="D126" s="34" t="str">
        <x:v>jcs321</x:v>
      </x:c>
      <x:c r="E126" s="36" t="n">
        <x:v>1</x:v>
      </x:c>
      <x:c r="F126" s="36" t="n">
        <x:v>1</x:v>
      </x:c>
      <x:c r="G126" s="36" t="n">
        <x:v>3</x:v>
      </x:c>
      <x:c r="H126" s="34" t="str">
        <x:v>cycle-observation</x:v>
      </x:c>
      <x:c r="I126" s="36" t="n">
        <x:v>2</x:v>
      </x:c>
      <x:c r="J126" s="34" t="str">
        <x:v>tomcat-findleaks-occurrence</x:v>
      </x:c>
      <x:c r="K126" s="34" t="str">
        <x:v>afterFinalUndeploy.tomcatFindLeaksOccurrences</x:v>
      </x:c>
      <x:c r="L126" s="36" t="n">
        <x:v>5</x:v>
      </x:c>
      <x:c r="M126" s="34" t="str">
        <x:v>/jcs321</x:v>
      </x:c>
      <x:c r="N126" s="44" t="str">
        <x:v>/jcs321</x:v>
      </x:c>
    </x:row>
    <x:row r="127">
      <x:c r="A127" s="36" t="n">
        <x:v>126</x:v>
      </x:c>
      <x:c r="B127" s="34" t="str">
        <x:v>article1-unified-v4-2-fb3f101b-20260903-000401-default-f01-p5-jcs321</x:v>
      </x:c>
      <x:c r="C127" s="34" t="str">
        <x:v>default</x:v>
      </x:c>
      <x:c r="D127" s="34" t="str">
        <x:v>jcs321</x:v>
      </x:c>
      <x:c r="E127" s="36" t="n">
        <x:v>1</x:v>
      </x:c>
      <x:c r="F127" s="36" t="n">
        <x:v>1</x:v>
      </x:c>
      <x:c r="G127" s="36" t="n">
        <x:v>3</x:v>
      </x:c>
      <x:c r="H127" s="34" t="str">
        <x:v>cycle-observation</x:v>
      </x:c>
      <x:c r="I127" s="36" t="n">
        <x:v>2</x:v>
      </x:c>
      <x:c r="J127" s="34" t="str">
        <x:v>tomcat-findleaks-occurrence</x:v>
      </x:c>
      <x:c r="K127" s="34" t="str">
        <x:v>afterFinalUndeploy.tomcatFindLeaksOccurrences</x:v>
      </x:c>
      <x:c r="L127" s="36" t="n">
        <x:v>6</x:v>
      </x:c>
      <x:c r="M127" s="34" t="str">
        <x:v>/jcs321</x:v>
      </x:c>
      <x:c r="N127" s="44" t="str">
        <x:v>/jcs321</x:v>
      </x:c>
    </x:row>
    <x:row r="128">
      <x:c r="A128" s="36" t="n">
        <x:v>127</x:v>
      </x:c>
      <x:c r="B128" s="34" t="str">
        <x:v>article1-unified-v4-2-fb3f101b-20260903-000401-default-f01-p5-jcs321</x:v>
      </x:c>
      <x:c r="C128" s="34" t="str">
        <x:v>default</x:v>
      </x:c>
      <x:c r="D128" s="34" t="str">
        <x:v>jcs321</x:v>
      </x:c>
      <x:c r="E128" s="36" t="n">
        <x:v>1</x:v>
      </x:c>
      <x:c r="F128" s="36" t="n">
        <x:v>1</x:v>
      </x:c>
      <x:c r="G128" s="36" t="n">
        <x:v>4</x:v>
      </x:c>
      <x:c r="H128" s="34" t="str">
        <x:v>cycle-window</x:v>
      </x:c>
      <x:c r="I128" s="36" t="n">
        <x:v>1</x:v>
      </x:c>
      <x:c r="J128" s="34" t="str">
        <x:v>warning</x:v>
      </x:c>
      <x:c r="K128" s="34" t="str">
        <x:v>firstUndeployWarnings</x:v>
      </x:c>
      <x:c r="L128" s="36" t="n">
        <x:v>1</x:v>
      </x:c>
      <x:c r="M128" s="34"/>
      <x:c r="N128" s="44" t="str">
        <x:v>02-Sep-2026 22:47:50.703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29">
      <x:c r="A129" s="36" t="n">
        <x:v>128</x:v>
      </x:c>
      <x:c r="B129" s="34" t="str">
        <x:v>article1-unified-v4-2-fb3f101b-20260903-000401-default-f01-p5-jcs321</x:v>
      </x:c>
      <x:c r="C129" s="34" t="str">
        <x:v>default</x:v>
      </x:c>
      <x:c r="D129" s="34" t="str">
        <x:v>jcs321</x:v>
      </x:c>
      <x:c r="E129" s="36" t="n">
        <x:v>1</x:v>
      </x:c>
      <x:c r="F129" s="36" t="n">
        <x:v>1</x:v>
      </x:c>
      <x:c r="G129" s="36" t="n">
        <x:v>4</x:v>
      </x:c>
      <x:c r="H129" s="34" t="str">
        <x:v>cycle-window</x:v>
      </x:c>
      <x:c r="I129" s="36" t="n">
        <x:v>1</x:v>
      </x:c>
      <x:c r="J129" s="34" t="str">
        <x:v>leak-warning</x:v>
      </x:c>
      <x:c r="K129" s="34" t="str">
        <x:v>firstUndeployLeakWarnings</x:v>
      </x:c>
      <x:c r="L129" s="36" t="n">
        <x:v>1</x:v>
      </x:c>
      <x:c r="M129" s="34"/>
      <x:c r="N129" s="44" t="str">
        <x:v>02-Sep-2026 22:47:50.703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30">
      <x:c r="A130" s="36" t="n">
        <x:v>129</x:v>
      </x:c>
      <x:c r="B130" s="34" t="str">
        <x:v>article1-unified-v4-2-fb3f101b-20260903-000401-default-f01-p5-jcs321</x:v>
      </x:c>
      <x:c r="C130" s="34" t="str">
        <x:v>default</x:v>
      </x:c>
      <x:c r="D130" s="34" t="str">
        <x:v>jcs321</x:v>
      </x:c>
      <x:c r="E130" s="36" t="n">
        <x:v>1</x:v>
      </x:c>
      <x:c r="F130" s="36" t="n">
        <x:v>1</x:v>
      </x:c>
      <x:c r="G130" s="36" t="n">
        <x:v>4</x:v>
      </x:c>
      <x:c r="H130" s="34" t="str">
        <x:v>cycle-window</x:v>
      </x:c>
      <x:c r="I130" s="36" t="n">
        <x:v>1</x:v>
      </x:c>
      <x:c r="J130" s="34" t="str">
        <x:v>thread-leak-warning</x:v>
      </x:c>
      <x:c r="K130" s="34" t="str">
        <x:v>firstUndeployThreadLeakWarnings</x:v>
      </x:c>
      <x:c r="L130" s="36" t="n">
        <x:v>1</x:v>
      </x:c>
      <x:c r="M130" s="34"/>
      <x:c r="N130" s="44" t="str">
        <x:v>02-Sep-2026 22:47:50.703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31">
      <x:c r="A131" s="36" t="n">
        <x:v>130</x:v>
      </x:c>
      <x:c r="B131" s="34" t="str">
        <x:v>article1-unified-v4-2-fb3f101b-20260903-000401-default-f01-p5-jcs321</x:v>
      </x:c>
      <x:c r="C131" s="34" t="str">
        <x:v>default</x:v>
      </x:c>
      <x:c r="D131" s="34" t="str">
        <x:v>jcs321</x:v>
      </x:c>
      <x:c r="E131" s="36" t="n">
        <x:v>1</x:v>
      </x:c>
      <x:c r="F131" s="36" t="n">
        <x:v>1</x:v>
      </x:c>
      <x:c r="G131" s="36" t="n">
        <x:v>4</x:v>
      </x:c>
      <x:c r="H131" s="34" t="str">
        <x:v>cycle-window</x:v>
      </x:c>
      <x:c r="I131" s="36" t="n">
        <x:v>2</x:v>
      </x:c>
      <x:c r="J131" s="34" t="str">
        <x:v>warning</x:v>
      </x:c>
      <x:c r="K131" s="34" t="str">
        <x:v>secondUndeployWarnings</x:v>
      </x:c>
      <x:c r="L131" s="36" t="n">
        <x:v>1</x:v>
      </x:c>
      <x:c r="M131" s="34"/>
      <x:c r="N131" s="44" t="str">
        <x:v>02-Sep-2026 22:48:34.199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32">
      <x:c r="A132" s="36" t="n">
        <x:v>131</x:v>
      </x:c>
      <x:c r="B132" s="34" t="str">
        <x:v>article1-unified-v4-2-fb3f101b-20260903-000401-default-f01-p5-jcs321</x:v>
      </x:c>
      <x:c r="C132" s="34" t="str">
        <x:v>default</x:v>
      </x:c>
      <x:c r="D132" s="34" t="str">
        <x:v>jcs321</x:v>
      </x:c>
      <x:c r="E132" s="36" t="n">
        <x:v>1</x:v>
      </x:c>
      <x:c r="F132" s="36" t="n">
        <x:v>1</x:v>
      </x:c>
      <x:c r="G132" s="36" t="n">
        <x:v>4</x:v>
      </x:c>
      <x:c r="H132" s="34" t="str">
        <x:v>cycle-window</x:v>
      </x:c>
      <x:c r="I132" s="36" t="n">
        <x:v>2</x:v>
      </x:c>
      <x:c r="J132" s="34" t="str">
        <x:v>leak-warning</x:v>
      </x:c>
      <x:c r="K132" s="34" t="str">
        <x:v>secondUndeployLeakWarnings</x:v>
      </x:c>
      <x:c r="L132" s="36" t="n">
        <x:v>1</x:v>
      </x:c>
      <x:c r="M132" s="34"/>
      <x:c r="N132" s="44" t="str">
        <x:v>02-Sep-2026 22:48:34.199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33">
      <x:c r="A133" s="36" t="n">
        <x:v>132</x:v>
      </x:c>
      <x:c r="B133" s="34" t="str">
        <x:v>article1-unified-v4-2-fb3f101b-20260903-000401-default-f01-p5-jcs321</x:v>
      </x:c>
      <x:c r="C133" s="34" t="str">
        <x:v>default</x:v>
      </x:c>
      <x:c r="D133" s="34" t="str">
        <x:v>jcs321</x:v>
      </x:c>
      <x:c r="E133" s="36" t="n">
        <x:v>1</x:v>
      </x:c>
      <x:c r="F133" s="36" t="n">
        <x:v>1</x:v>
      </x:c>
      <x:c r="G133" s="36" t="n">
        <x:v>4</x:v>
      </x:c>
      <x:c r="H133" s="34" t="str">
        <x:v>cycle-window</x:v>
      </x:c>
      <x:c r="I133" s="36" t="n">
        <x:v>2</x:v>
      </x:c>
      <x:c r="J133" s="34" t="str">
        <x:v>thread-leak-warning</x:v>
      </x:c>
      <x:c r="K133" s="34" t="str">
        <x:v>secondUndeployThreadLeakWarnings</x:v>
      </x:c>
      <x:c r="L133" s="36" t="n">
        <x:v>1</x:v>
      </x:c>
      <x:c r="M133" s="34"/>
      <x:c r="N133" s="44" t="str">
        <x:v>02-Sep-2026 22:48:34.199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34">
      <x:c r="A134" s="36" t="n">
        <x:v>133</x:v>
      </x:c>
      <x:c r="B134" s="34" t="str">
        <x:v>article1-unified-v4-2-fb3f101b-20260903-000401-default-f01-p5-jcs321</x:v>
      </x:c>
      <x:c r="C134" s="34" t="str">
        <x:v>default</x:v>
      </x:c>
      <x:c r="D134" s="34" t="str">
        <x:v>jcs321</x:v>
      </x:c>
      <x:c r="E134" s="36" t="n">
        <x:v>1</x:v>
      </x:c>
      <x:c r="F134" s="36" t="n">
        <x:v>1</x:v>
      </x:c>
      <x:c r="G134" s="36" t="n">
        <x:v>4</x:v>
      </x:c>
      <x:c r="H134" s="34" t="str">
        <x:v>cycle-observation</x:v>
      </x:c>
      <x:c r="I134" s="36" t="n">
        <x:v>1</x:v>
      </x:c>
      <x:c r="J134" s="34" t="str">
        <x:v>tomcat-findleaks-occurrence</x:v>
      </x:c>
      <x:c r="K134" s="34" t="str">
        <x:v>afterUndeploy.tomcatFindLeaksOccurrences</x:v>
      </x:c>
      <x:c r="L134" s="36" t="n">
        <x:v>1</x:v>
      </x:c>
      <x:c r="M134" s="34" t="str">
        <x:v>/jcs321</x:v>
      </x:c>
      <x:c r="N134" s="44" t="str">
        <x:v>/jcs321</x:v>
      </x:c>
    </x:row>
    <x:row r="135">
      <x:c r="A135" s="36" t="n">
        <x:v>134</x:v>
      </x:c>
      <x:c r="B135" s="34" t="str">
        <x:v>article1-unified-v4-2-fb3f101b-20260903-000401-default-f01-p5-jcs321</x:v>
      </x:c>
      <x:c r="C135" s="34" t="str">
        <x:v>default</x:v>
      </x:c>
      <x:c r="D135" s="34" t="str">
        <x:v>jcs321</x:v>
      </x:c>
      <x:c r="E135" s="36" t="n">
        <x:v>1</x:v>
      </x:c>
      <x:c r="F135" s="36" t="n">
        <x:v>1</x:v>
      </x:c>
      <x:c r="G135" s="36" t="n">
        <x:v>4</x:v>
      </x:c>
      <x:c r="H135" s="34" t="str">
        <x:v>cycle-observation</x:v>
      </x:c>
      <x:c r="I135" s="36" t="n">
        <x:v>1</x:v>
      </x:c>
      <x:c r="J135" s="34" t="str">
        <x:v>tomcat-findleaks-occurrence</x:v>
      </x:c>
      <x:c r="K135" s="34" t="str">
        <x:v>afterUndeploy.tomcatFindLeaksOccurrences</x:v>
      </x:c>
      <x:c r="L135" s="36" t="n">
        <x:v>2</x:v>
      </x:c>
      <x:c r="M135" s="34" t="str">
        <x:v>/jcs321</x:v>
      </x:c>
      <x:c r="N135" s="44" t="str">
        <x:v>/jcs321</x:v>
      </x:c>
    </x:row>
    <x:row r="136">
      <x:c r="A136" s="36" t="n">
        <x:v>135</x:v>
      </x:c>
      <x:c r="B136" s="34" t="str">
        <x:v>article1-unified-v4-2-fb3f101b-20260903-000401-default-f01-p5-jcs321</x:v>
      </x:c>
      <x:c r="C136" s="34" t="str">
        <x:v>default</x:v>
      </x:c>
      <x:c r="D136" s="34" t="str">
        <x:v>jcs321</x:v>
      </x:c>
      <x:c r="E136" s="36" t="n">
        <x:v>1</x:v>
      </x:c>
      <x:c r="F136" s="36" t="n">
        <x:v>1</x:v>
      </x:c>
      <x:c r="G136" s="36" t="n">
        <x:v>4</x:v>
      </x:c>
      <x:c r="H136" s="34" t="str">
        <x:v>cycle-observation</x:v>
      </x:c>
      <x:c r="I136" s="36" t="n">
        <x:v>1</x:v>
      </x:c>
      <x:c r="J136" s="34" t="str">
        <x:v>tomcat-findleaks-occurrence</x:v>
      </x:c>
      <x:c r="K136" s="34" t="str">
        <x:v>afterUndeploy.tomcatFindLeaksOccurrences</x:v>
      </x:c>
      <x:c r="L136" s="36" t="n">
        <x:v>3</x:v>
      </x:c>
      <x:c r="M136" s="34" t="str">
        <x:v>/jcs321</x:v>
      </x:c>
      <x:c r="N136" s="44" t="str">
        <x:v>/jcs321</x:v>
      </x:c>
    </x:row>
    <x:row r="137">
      <x:c r="A137" s="36" t="n">
        <x:v>136</x:v>
      </x:c>
      <x:c r="B137" s="34" t="str">
        <x:v>article1-unified-v4-2-fb3f101b-20260903-000401-default-f01-p5-jcs321</x:v>
      </x:c>
      <x:c r="C137" s="34" t="str">
        <x:v>default</x:v>
      </x:c>
      <x:c r="D137" s="34" t="str">
        <x:v>jcs321</x:v>
      </x:c>
      <x:c r="E137" s="36" t="n">
        <x:v>1</x:v>
      </x:c>
      <x:c r="F137" s="36" t="n">
        <x:v>1</x:v>
      </x:c>
      <x:c r="G137" s="36" t="n">
        <x:v>4</x:v>
      </x:c>
      <x:c r="H137" s="34" t="str">
        <x:v>cycle-observation</x:v>
      </x:c>
      <x:c r="I137" s="36" t="n">
        <x:v>1</x:v>
      </x:c>
      <x:c r="J137" s="34" t="str">
        <x:v>tomcat-findleaks-occurrence</x:v>
      </x:c>
      <x:c r="K137" s="34" t="str">
        <x:v>afterUndeploy.tomcatFindLeaksOccurrences</x:v>
      </x:c>
      <x:c r="L137" s="36" t="n">
        <x:v>4</x:v>
      </x:c>
      <x:c r="M137" s="34" t="str">
        <x:v>/jcs321</x:v>
      </x:c>
      <x:c r="N137" s="44" t="str">
        <x:v>/jcs321</x:v>
      </x:c>
    </x:row>
    <x:row r="138">
      <x:c r="A138" s="36" t="n">
        <x:v>137</x:v>
      </x:c>
      <x:c r="B138" s="34" t="str">
        <x:v>article1-unified-v4-2-fb3f101b-20260903-000401-default-f01-p5-jcs321</x:v>
      </x:c>
      <x:c r="C138" s="34" t="str">
        <x:v>default</x:v>
      </x:c>
      <x:c r="D138" s="34" t="str">
        <x:v>jcs321</x:v>
      </x:c>
      <x:c r="E138" s="36" t="n">
        <x:v>1</x:v>
      </x:c>
      <x:c r="F138" s="36" t="n">
        <x:v>1</x:v>
      </x:c>
      <x:c r="G138" s="36" t="n">
        <x:v>4</x:v>
      </x:c>
      <x:c r="H138" s="34" t="str">
        <x:v>cycle-observation</x:v>
      </x:c>
      <x:c r="I138" s="36" t="n">
        <x:v>1</x:v>
      </x:c>
      <x:c r="J138" s="34" t="str">
        <x:v>tomcat-findleaks-occurrence</x:v>
      </x:c>
      <x:c r="K138" s="34" t="str">
        <x:v>afterUndeploy.tomcatFindLeaksOccurrences</x:v>
      </x:c>
      <x:c r="L138" s="36" t="n">
        <x:v>5</x:v>
      </x:c>
      <x:c r="M138" s="34" t="str">
        <x:v>/jcs321</x:v>
      </x:c>
      <x:c r="N138" s="44" t="str">
        <x:v>/jcs321</x:v>
      </x:c>
    </x:row>
    <x:row r="139">
      <x:c r="A139" s="36" t="n">
        <x:v>138</x:v>
      </x:c>
      <x:c r="B139" s="34" t="str">
        <x:v>article1-unified-v4-2-fb3f101b-20260903-000401-default-f01-p5-jcs321</x:v>
      </x:c>
      <x:c r="C139" s="34" t="str">
        <x:v>default</x:v>
      </x:c>
      <x:c r="D139" s="34" t="str">
        <x:v>jcs321</x:v>
      </x:c>
      <x:c r="E139" s="36" t="n">
        <x:v>1</x:v>
      </x:c>
      <x:c r="F139" s="36" t="n">
        <x:v>1</x:v>
      </x:c>
      <x:c r="G139" s="36" t="n">
        <x:v>4</x:v>
      </x:c>
      <x:c r="H139" s="34" t="str">
        <x:v>cycle-observation</x:v>
      </x:c>
      <x:c r="I139" s="36" t="n">
        <x:v>1</x:v>
      </x:c>
      <x:c r="J139" s="34" t="str">
        <x:v>tomcat-findleaks-occurrence</x:v>
      </x:c>
      <x:c r="K139" s="34" t="str">
        <x:v>afterUndeploy.tomcatFindLeaksOccurrences</x:v>
      </x:c>
      <x:c r="L139" s="36" t="n">
        <x:v>6</x:v>
      </x:c>
      <x:c r="M139" s="34" t="str">
        <x:v>/jcs321</x:v>
      </x:c>
      <x:c r="N139" s="44" t="str">
        <x:v>/jcs321</x:v>
      </x:c>
    </x:row>
    <x:row r="140">
      <x:c r="A140" s="36" t="n">
        <x:v>139</x:v>
      </x:c>
      <x:c r="B140" s="34" t="str">
        <x:v>article1-unified-v4-2-fb3f101b-20260903-000401-default-f01-p5-jcs321</x:v>
      </x:c>
      <x:c r="C140" s="34" t="str">
        <x:v>default</x:v>
      </x:c>
      <x:c r="D140" s="34" t="str">
        <x:v>jcs321</x:v>
      </x:c>
      <x:c r="E140" s="36" t="n">
        <x:v>1</x:v>
      </x:c>
      <x:c r="F140" s="36" t="n">
        <x:v>1</x:v>
      </x:c>
      <x:c r="G140" s="36" t="n">
        <x:v>4</x:v>
      </x:c>
      <x:c r="H140" s="34" t="str">
        <x:v>cycle-observation</x:v>
      </x:c>
      <x:c r="I140" s="36" t="n">
        <x:v>1</x:v>
      </x:c>
      <x:c r="J140" s="34" t="str">
        <x:v>tomcat-findleaks-occurrence</x:v>
      </x:c>
      <x:c r="K140" s="34" t="str">
        <x:v>afterUndeploy.tomcatFindLeaksOccurrences</x:v>
      </x:c>
      <x:c r="L140" s="36" t="n">
        <x:v>7</x:v>
      </x:c>
      <x:c r="M140" s="34" t="str">
        <x:v>/jcs321</x:v>
      </x:c>
      <x:c r="N140" s="44" t="str">
        <x:v>/jcs321</x:v>
      </x:c>
    </x:row>
    <x:row r="141">
      <x:c r="A141" s="36" t="n">
        <x:v>140</x:v>
      </x:c>
      <x:c r="B141" s="34" t="str">
        <x:v>article1-unified-v4-2-fb3f101b-20260903-000401-default-f01-p5-jcs321</x:v>
      </x:c>
      <x:c r="C141" s="34" t="str">
        <x:v>default</x:v>
      </x:c>
      <x:c r="D141" s="34" t="str">
        <x:v>jcs321</x:v>
      </x:c>
      <x:c r="E141" s="36" t="n">
        <x:v>1</x:v>
      </x:c>
      <x:c r="F141" s="36" t="n">
        <x:v>1</x:v>
      </x:c>
      <x:c r="G141" s="36" t="n">
        <x:v>4</x:v>
      </x:c>
      <x:c r="H141" s="34" t="str">
        <x:v>cycle-observation</x:v>
      </x:c>
      <x:c r="I141" s="36" t="n">
        <x:v>2</x:v>
      </x:c>
      <x:c r="J141" s="34" t="str">
        <x:v>tomcat-findleaks-occurrence</x:v>
      </x:c>
      <x:c r="K141" s="34" t="str">
        <x:v>afterFinalUndeploy.tomcatFindLeaksOccurrences</x:v>
      </x:c>
      <x:c r="L141" s="36" t="n">
        <x:v>1</x:v>
      </x:c>
      <x:c r="M141" s="34" t="str">
        <x:v>/jcs321</x:v>
      </x:c>
      <x:c r="N141" s="44" t="str">
        <x:v>/jcs321</x:v>
      </x:c>
    </x:row>
    <x:row r="142">
      <x:c r="A142" s="36" t="n">
        <x:v>141</x:v>
      </x:c>
      <x:c r="B142" s="34" t="str">
        <x:v>article1-unified-v4-2-fb3f101b-20260903-000401-default-f01-p5-jcs321</x:v>
      </x:c>
      <x:c r="C142" s="34" t="str">
        <x:v>default</x:v>
      </x:c>
      <x:c r="D142" s="34" t="str">
        <x:v>jcs321</x:v>
      </x:c>
      <x:c r="E142" s="36" t="n">
        <x:v>1</x:v>
      </x:c>
      <x:c r="F142" s="36" t="n">
        <x:v>1</x:v>
      </x:c>
      <x:c r="G142" s="36" t="n">
        <x:v>4</x:v>
      </x:c>
      <x:c r="H142" s="34" t="str">
        <x:v>cycle-observation</x:v>
      </x:c>
      <x:c r="I142" s="36" t="n">
        <x:v>2</x:v>
      </x:c>
      <x:c r="J142" s="34" t="str">
        <x:v>tomcat-findleaks-occurrence</x:v>
      </x:c>
      <x:c r="K142" s="34" t="str">
        <x:v>afterFinalUndeploy.tomcatFindLeaksOccurrences</x:v>
      </x:c>
      <x:c r="L142" s="36" t="n">
        <x:v>2</x:v>
      </x:c>
      <x:c r="M142" s="34" t="str">
        <x:v>/jcs321</x:v>
      </x:c>
      <x:c r="N142" s="44" t="str">
        <x:v>/jcs321</x:v>
      </x:c>
    </x:row>
    <x:row r="143">
      <x:c r="A143" s="36" t="n">
        <x:v>142</x:v>
      </x:c>
      <x:c r="B143" s="34" t="str">
        <x:v>article1-unified-v4-2-fb3f101b-20260903-000401-default-f01-p5-jcs321</x:v>
      </x:c>
      <x:c r="C143" s="34" t="str">
        <x:v>default</x:v>
      </x:c>
      <x:c r="D143" s="34" t="str">
        <x:v>jcs321</x:v>
      </x:c>
      <x:c r="E143" s="36" t="n">
        <x:v>1</x:v>
      </x:c>
      <x:c r="F143" s="36" t="n">
        <x:v>1</x:v>
      </x:c>
      <x:c r="G143" s="36" t="n">
        <x:v>4</x:v>
      </x:c>
      <x:c r="H143" s="34" t="str">
        <x:v>cycle-observation</x:v>
      </x:c>
      <x:c r="I143" s="36" t="n">
        <x:v>2</x:v>
      </x:c>
      <x:c r="J143" s="34" t="str">
        <x:v>tomcat-findleaks-occurrence</x:v>
      </x:c>
      <x:c r="K143" s="34" t="str">
        <x:v>afterFinalUndeploy.tomcatFindLeaksOccurrences</x:v>
      </x:c>
      <x:c r="L143" s="36" t="n">
        <x:v>3</x:v>
      </x:c>
      <x:c r="M143" s="34" t="str">
        <x:v>/jcs321</x:v>
      </x:c>
      <x:c r="N143" s="44" t="str">
        <x:v>/jcs321</x:v>
      </x:c>
    </x:row>
    <x:row r="144">
      <x:c r="A144" s="36" t="n">
        <x:v>143</x:v>
      </x:c>
      <x:c r="B144" s="34" t="str">
        <x:v>article1-unified-v4-2-fb3f101b-20260903-000401-default-f01-p5-jcs321</x:v>
      </x:c>
      <x:c r="C144" s="34" t="str">
        <x:v>default</x:v>
      </x:c>
      <x:c r="D144" s="34" t="str">
        <x:v>jcs321</x:v>
      </x:c>
      <x:c r="E144" s="36" t="n">
        <x:v>1</x:v>
      </x:c>
      <x:c r="F144" s="36" t="n">
        <x:v>1</x:v>
      </x:c>
      <x:c r="G144" s="36" t="n">
        <x:v>4</x:v>
      </x:c>
      <x:c r="H144" s="34" t="str">
        <x:v>cycle-observation</x:v>
      </x:c>
      <x:c r="I144" s="36" t="n">
        <x:v>2</x:v>
      </x:c>
      <x:c r="J144" s="34" t="str">
        <x:v>tomcat-findleaks-occurrence</x:v>
      </x:c>
      <x:c r="K144" s="34" t="str">
        <x:v>afterFinalUndeploy.tomcatFindLeaksOccurrences</x:v>
      </x:c>
      <x:c r="L144" s="36" t="n">
        <x:v>4</x:v>
      </x:c>
      <x:c r="M144" s="34" t="str">
        <x:v>/jcs321</x:v>
      </x:c>
      <x:c r="N144" s="44" t="str">
        <x:v>/jcs321</x:v>
      </x:c>
    </x:row>
    <x:row r="145">
      <x:c r="A145" s="36" t="n">
        <x:v>144</x:v>
      </x:c>
      <x:c r="B145" s="34" t="str">
        <x:v>article1-unified-v4-2-fb3f101b-20260903-000401-default-f01-p5-jcs321</x:v>
      </x:c>
      <x:c r="C145" s="34" t="str">
        <x:v>default</x:v>
      </x:c>
      <x:c r="D145" s="34" t="str">
        <x:v>jcs321</x:v>
      </x:c>
      <x:c r="E145" s="36" t="n">
        <x:v>1</x:v>
      </x:c>
      <x:c r="F145" s="36" t="n">
        <x:v>1</x:v>
      </x:c>
      <x:c r="G145" s="36" t="n">
        <x:v>4</x:v>
      </x:c>
      <x:c r="H145" s="34" t="str">
        <x:v>cycle-observation</x:v>
      </x:c>
      <x:c r="I145" s="36" t="n">
        <x:v>2</x:v>
      </x:c>
      <x:c r="J145" s="34" t="str">
        <x:v>tomcat-findleaks-occurrence</x:v>
      </x:c>
      <x:c r="K145" s="34" t="str">
        <x:v>afterFinalUndeploy.tomcatFindLeaksOccurrences</x:v>
      </x:c>
      <x:c r="L145" s="36" t="n">
        <x:v>5</x:v>
      </x:c>
      <x:c r="M145" s="34" t="str">
        <x:v>/jcs321</x:v>
      </x:c>
      <x:c r="N145" s="44" t="str">
        <x:v>/jcs321</x:v>
      </x:c>
    </x:row>
    <x:row r="146">
      <x:c r="A146" s="36" t="n">
        <x:v>145</x:v>
      </x:c>
      <x:c r="B146" s="34" t="str">
        <x:v>article1-unified-v4-2-fb3f101b-20260903-000401-default-f01-p5-jcs321</x:v>
      </x:c>
      <x:c r="C146" s="34" t="str">
        <x:v>default</x:v>
      </x:c>
      <x:c r="D146" s="34" t="str">
        <x:v>jcs321</x:v>
      </x:c>
      <x:c r="E146" s="36" t="n">
        <x:v>1</x:v>
      </x:c>
      <x:c r="F146" s="36" t="n">
        <x:v>1</x:v>
      </x:c>
      <x:c r="G146" s="36" t="n">
        <x:v>4</x:v>
      </x:c>
      <x:c r="H146" s="34" t="str">
        <x:v>cycle-observation</x:v>
      </x:c>
      <x:c r="I146" s="36" t="n">
        <x:v>2</x:v>
      </x:c>
      <x:c r="J146" s="34" t="str">
        <x:v>tomcat-findleaks-occurrence</x:v>
      </x:c>
      <x:c r="K146" s="34" t="str">
        <x:v>afterFinalUndeploy.tomcatFindLeaksOccurrences</x:v>
      </x:c>
      <x:c r="L146" s="36" t="n">
        <x:v>6</x:v>
      </x:c>
      <x:c r="M146" s="34" t="str">
        <x:v>/jcs321</x:v>
      </x:c>
      <x:c r="N146" s="44" t="str">
        <x:v>/jcs321</x:v>
      </x:c>
    </x:row>
    <x:row r="147">
      <x:c r="A147" s="36" t="n">
        <x:v>146</x:v>
      </x:c>
      <x:c r="B147" s="34" t="str">
        <x:v>article1-unified-v4-2-fb3f101b-20260903-000401-default-f01-p5-jcs321</x:v>
      </x:c>
      <x:c r="C147" s="34" t="str">
        <x:v>default</x:v>
      </x:c>
      <x:c r="D147" s="34" t="str">
        <x:v>jcs321</x:v>
      </x:c>
      <x:c r="E147" s="36" t="n">
        <x:v>1</x:v>
      </x:c>
      <x:c r="F147" s="36" t="n">
        <x:v>1</x:v>
      </x:c>
      <x:c r="G147" s="36" t="n">
        <x:v>4</x:v>
      </x:c>
      <x:c r="H147" s="34" t="str">
        <x:v>cycle-observation</x:v>
      </x:c>
      <x:c r="I147" s="36" t="n">
        <x:v>2</x:v>
      </x:c>
      <x:c r="J147" s="34" t="str">
        <x:v>tomcat-findleaks-occurrence</x:v>
      </x:c>
      <x:c r="K147" s="34" t="str">
        <x:v>afterFinalUndeploy.tomcatFindLeaksOccurrences</x:v>
      </x:c>
      <x:c r="L147" s="36" t="n">
        <x:v>7</x:v>
      </x:c>
      <x:c r="M147" s="34" t="str">
        <x:v>/jcs321</x:v>
      </x:c>
      <x:c r="N147" s="44" t="str">
        <x:v>/jcs321</x:v>
      </x:c>
    </x:row>
    <x:row r="148">
      <x:c r="A148" s="36" t="n">
        <x:v>147</x:v>
      </x:c>
      <x:c r="B148" s="34" t="str">
        <x:v>article1-unified-v4-2-fb3f101b-20260903-000401-default-f01-p5-jcs321</x:v>
      </x:c>
      <x:c r="C148" s="34" t="str">
        <x:v>default</x:v>
      </x:c>
      <x:c r="D148" s="34" t="str">
        <x:v>jcs321</x:v>
      </x:c>
      <x:c r="E148" s="36" t="n">
        <x:v>1</x:v>
      </x:c>
      <x:c r="F148" s="36" t="n">
        <x:v>1</x:v>
      </x:c>
      <x:c r="G148" s="36" t="n">
        <x:v>4</x:v>
      </x:c>
      <x:c r="H148" s="34" t="str">
        <x:v>cycle-observation</x:v>
      </x:c>
      <x:c r="I148" s="36" t="n">
        <x:v>2</x:v>
      </x:c>
      <x:c r="J148" s="34" t="str">
        <x:v>tomcat-findleaks-occurrence</x:v>
      </x:c>
      <x:c r="K148" s="34" t="str">
        <x:v>afterFinalUndeploy.tomcatFindLeaksOccurrences</x:v>
      </x:c>
      <x:c r="L148" s="36" t="n">
        <x:v>8</x:v>
      </x:c>
      <x:c r="M148" s="34" t="str">
        <x:v>/jcs321</x:v>
      </x:c>
      <x:c r="N148" s="44" t="str">
        <x:v>/jcs321</x:v>
      </x:c>
    </x:row>
    <x:row r="149">
      <x:c r="A149" s="36" t="n">
        <x:v>148</x:v>
      </x:c>
      <x:c r="B149" s="34" t="str">
        <x:v>article1-unified-v4-2-fb3f101b-20260903-000401-default-f01-p5-jcs321</x:v>
      </x:c>
      <x:c r="C149" s="34" t="str">
        <x:v>default</x:v>
      </x:c>
      <x:c r="D149" s="34" t="str">
        <x:v>jcs321</x:v>
      </x:c>
      <x:c r="E149" s="36" t="n">
        <x:v>1</x:v>
      </x:c>
      <x:c r="F149" s="36" t="n">
        <x:v>1</x:v>
      </x:c>
      <x:c r="G149" s="36" t="n">
        <x:v>5</x:v>
      </x:c>
      <x:c r="H149" s="34" t="str">
        <x:v>cycle-window</x:v>
      </x:c>
      <x:c r="I149" s="36" t="n">
        <x:v>1</x:v>
      </x:c>
      <x:c r="J149" s="34" t="str">
        <x:v>warning</x:v>
      </x:c>
      <x:c r="K149" s="34" t="str">
        <x:v>firstUndeployWarnings</x:v>
      </x:c>
      <x:c r="L149" s="36" t="n">
        <x:v>1</x:v>
      </x:c>
      <x:c r="M149" s="34"/>
      <x:c r="N149" s="44" t="str">
        <x:v>02-Sep-2026 22:49:20.871 WARNING [http-nio-8080-exec-50]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50">
      <x:c r="A150" s="36" t="n">
        <x:v>149</x:v>
      </x:c>
      <x:c r="B150" s="34" t="str">
        <x:v>article1-unified-v4-2-fb3f101b-20260903-000401-default-f01-p5-jcs321</x:v>
      </x:c>
      <x:c r="C150" s="34" t="str">
        <x:v>default</x:v>
      </x:c>
      <x:c r="D150" s="34" t="str">
        <x:v>jcs321</x:v>
      </x:c>
      <x:c r="E150" s="36" t="n">
        <x:v>1</x:v>
      </x:c>
      <x:c r="F150" s="36" t="n">
        <x:v>1</x:v>
      </x:c>
      <x:c r="G150" s="36" t="n">
        <x:v>5</x:v>
      </x:c>
      <x:c r="H150" s="34" t="str">
        <x:v>cycle-window</x:v>
      </x:c>
      <x:c r="I150" s="36" t="n">
        <x:v>1</x:v>
      </x:c>
      <x:c r="J150" s="34" t="str">
        <x:v>leak-warning</x:v>
      </x:c>
      <x:c r="K150" s="34" t="str">
        <x:v>firstUndeployLeakWarnings</x:v>
      </x:c>
      <x:c r="L150" s="36" t="n">
        <x:v>1</x:v>
      </x:c>
      <x:c r="M150" s="34"/>
      <x:c r="N150" s="44" t="str">
        <x:v>02-Sep-2026 22:49:20.871 WARNING [http-nio-8080-exec-50]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51">
      <x:c r="A151" s="36" t="n">
        <x:v>150</x:v>
      </x:c>
      <x:c r="B151" s="34" t="str">
        <x:v>article1-unified-v4-2-fb3f101b-20260903-000401-default-f01-p5-jcs321</x:v>
      </x:c>
      <x:c r="C151" s="34" t="str">
        <x:v>default</x:v>
      </x:c>
      <x:c r="D151" s="34" t="str">
        <x:v>jcs321</x:v>
      </x:c>
      <x:c r="E151" s="36" t="n">
        <x:v>1</x:v>
      </x:c>
      <x:c r="F151" s="36" t="n">
        <x:v>1</x:v>
      </x:c>
      <x:c r="G151" s="36" t="n">
        <x:v>5</x:v>
      </x:c>
      <x:c r="H151" s="34" t="str">
        <x:v>cycle-window</x:v>
      </x:c>
      <x:c r="I151" s="36" t="n">
        <x:v>1</x:v>
      </x:c>
      <x:c r="J151" s="34" t="str">
        <x:v>thread-leak-warning</x:v>
      </x:c>
      <x:c r="K151" s="34" t="str">
        <x:v>firstUndeployThreadLeakWarnings</x:v>
      </x:c>
      <x:c r="L151" s="36" t="n">
        <x:v>1</x:v>
      </x:c>
      <x:c r="M151" s="34"/>
      <x:c r="N151" s="44" t="str">
        <x:v>02-Sep-2026 22:49:20.871 WARNING [http-nio-8080-exec-50]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52">
      <x:c r="A152" s="36" t="n">
        <x:v>151</x:v>
      </x:c>
      <x:c r="B152" s="34" t="str">
        <x:v>article1-unified-v4-2-fb3f101b-20260903-000401-default-f01-p5-jcs321</x:v>
      </x:c>
      <x:c r="C152" s="34" t="str">
        <x:v>default</x:v>
      </x:c>
      <x:c r="D152" s="34" t="str">
        <x:v>jcs321</x:v>
      </x:c>
      <x:c r="E152" s="36" t="n">
        <x:v>1</x:v>
      </x:c>
      <x:c r="F152" s="36" t="n">
        <x:v>1</x:v>
      </x:c>
      <x:c r="G152" s="36" t="n">
        <x:v>5</x:v>
      </x:c>
      <x:c r="H152" s="34" t="str">
        <x:v>cycle-window</x:v>
      </x:c>
      <x:c r="I152" s="36" t="n">
        <x:v>2</x:v>
      </x:c>
      <x:c r="J152" s="34" t="str">
        <x:v>warning</x:v>
      </x:c>
      <x:c r="K152" s="34" t="str">
        <x:v>secondUndeployWarnings</x:v>
      </x:c>
      <x:c r="L152" s="36" t="n">
        <x:v>1</x:v>
      </x:c>
      <x:c r="M152" s="34"/>
      <x:c r="N152" s="44" t="str">
        <x:v>02-Sep-2026 22:50:06.066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53">
      <x:c r="A153" s="36" t="n">
        <x:v>152</x:v>
      </x:c>
      <x:c r="B153" s="34" t="str">
        <x:v>article1-unified-v4-2-fb3f101b-20260903-000401-default-f01-p5-jcs321</x:v>
      </x:c>
      <x:c r="C153" s="34" t="str">
        <x:v>default</x:v>
      </x:c>
      <x:c r="D153" s="34" t="str">
        <x:v>jcs321</x:v>
      </x:c>
      <x:c r="E153" s="36" t="n">
        <x:v>1</x:v>
      </x:c>
      <x:c r="F153" s="36" t="n">
        <x:v>1</x:v>
      </x:c>
      <x:c r="G153" s="36" t="n">
        <x:v>5</x:v>
      </x:c>
      <x:c r="H153" s="34" t="str">
        <x:v>cycle-window</x:v>
      </x:c>
      <x:c r="I153" s="36" t="n">
        <x:v>2</x:v>
      </x:c>
      <x:c r="J153" s="34" t="str">
        <x:v>leak-warning</x:v>
      </x:c>
      <x:c r="K153" s="34" t="str">
        <x:v>secondUndeployLeakWarnings</x:v>
      </x:c>
      <x:c r="L153" s="36" t="n">
        <x:v>1</x:v>
      </x:c>
      <x:c r="M153" s="34"/>
      <x:c r="N153" s="44" t="str">
        <x:v>02-Sep-2026 22:50:06.066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54">
      <x:c r="A154" s="36" t="n">
        <x:v>153</x:v>
      </x:c>
      <x:c r="B154" s="34" t="str">
        <x:v>article1-unified-v4-2-fb3f101b-20260903-000401-default-f01-p5-jcs321</x:v>
      </x:c>
      <x:c r="C154" s="34" t="str">
        <x:v>default</x:v>
      </x:c>
      <x:c r="D154" s="34" t="str">
        <x:v>jcs321</x:v>
      </x:c>
      <x:c r="E154" s="36" t="n">
        <x:v>1</x:v>
      </x:c>
      <x:c r="F154" s="36" t="n">
        <x:v>1</x:v>
      </x:c>
      <x:c r="G154" s="36" t="n">
        <x:v>5</x:v>
      </x:c>
      <x:c r="H154" s="34" t="str">
        <x:v>cycle-window</x:v>
      </x:c>
      <x:c r="I154" s="36" t="n">
        <x:v>2</x:v>
      </x:c>
      <x:c r="J154" s="34" t="str">
        <x:v>thread-leak-warning</x:v>
      </x:c>
      <x:c r="K154" s="34" t="str">
        <x:v>secondUndeployThreadLeakWarnings</x:v>
      </x:c>
      <x:c r="L154" s="36" t="n">
        <x:v>1</x:v>
      </x:c>
      <x:c r="M154" s="34"/>
      <x:c r="N154" s="44" t="str">
        <x:v>02-Sep-2026 22:50:06.066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55">
      <x:c r="A155" s="36" t="n">
        <x:v>154</x:v>
      </x:c>
      <x:c r="B155" s="34" t="str">
        <x:v>article1-unified-v4-2-fb3f101b-20260903-000401-default-f01-p5-jcs321</x:v>
      </x:c>
      <x:c r="C155" s="34" t="str">
        <x:v>default</x:v>
      </x:c>
      <x:c r="D155" s="34" t="str">
        <x:v>jcs321</x:v>
      </x:c>
      <x:c r="E155" s="36" t="n">
        <x:v>1</x:v>
      </x:c>
      <x:c r="F155" s="36" t="n">
        <x:v>1</x:v>
      </x:c>
      <x:c r="G155" s="36" t="n">
        <x:v>5</x:v>
      </x:c>
      <x:c r="H155" s="34" t="str">
        <x:v>cycle-observation</x:v>
      </x:c>
      <x:c r="I155" s="36" t="n">
        <x:v>1</x:v>
      </x:c>
      <x:c r="J155" s="34" t="str">
        <x:v>tomcat-findleaks-occurrence</x:v>
      </x:c>
      <x:c r="K155" s="34" t="str">
        <x:v>afterUndeploy.tomcatFindLeaksOccurrences</x:v>
      </x:c>
      <x:c r="L155" s="36" t="n">
        <x:v>1</x:v>
      </x:c>
      <x:c r="M155" s="34" t="str">
        <x:v>/jcs321</x:v>
      </x:c>
      <x:c r="N155" s="44" t="str">
        <x:v>/jcs321</x:v>
      </x:c>
    </x:row>
    <x:row r="156">
      <x:c r="A156" s="36" t="n">
        <x:v>155</x:v>
      </x:c>
      <x:c r="B156" s="34" t="str">
        <x:v>article1-unified-v4-2-fb3f101b-20260903-000401-default-f01-p5-jcs321</x:v>
      </x:c>
      <x:c r="C156" s="34" t="str">
        <x:v>default</x:v>
      </x:c>
      <x:c r="D156" s="34" t="str">
        <x:v>jcs321</x:v>
      </x:c>
      <x:c r="E156" s="36" t="n">
        <x:v>1</x:v>
      </x:c>
      <x:c r="F156" s="36" t="n">
        <x:v>1</x:v>
      </x:c>
      <x:c r="G156" s="36" t="n">
        <x:v>5</x:v>
      </x:c>
      <x:c r="H156" s="34" t="str">
        <x:v>cycle-observation</x:v>
      </x:c>
      <x:c r="I156" s="36" t="n">
        <x:v>1</x:v>
      </x:c>
      <x:c r="J156" s="34" t="str">
        <x:v>tomcat-findleaks-occurrence</x:v>
      </x:c>
      <x:c r="K156" s="34" t="str">
        <x:v>afterUndeploy.tomcatFindLeaksOccurrences</x:v>
      </x:c>
      <x:c r="L156" s="36" t="n">
        <x:v>2</x:v>
      </x:c>
      <x:c r="M156" s="34" t="str">
        <x:v>/jcs321</x:v>
      </x:c>
      <x:c r="N156" s="44" t="str">
        <x:v>/jcs321</x:v>
      </x:c>
    </x:row>
    <x:row r="157">
      <x:c r="A157" s="36" t="n">
        <x:v>156</x:v>
      </x:c>
      <x:c r="B157" s="34" t="str">
        <x:v>article1-unified-v4-2-fb3f101b-20260903-000401-default-f01-p5-jcs321</x:v>
      </x:c>
      <x:c r="C157" s="34" t="str">
        <x:v>default</x:v>
      </x:c>
      <x:c r="D157" s="34" t="str">
        <x:v>jcs321</x:v>
      </x:c>
      <x:c r="E157" s="36" t="n">
        <x:v>1</x:v>
      </x:c>
      <x:c r="F157" s="36" t="n">
        <x:v>1</x:v>
      </x:c>
      <x:c r="G157" s="36" t="n">
        <x:v>5</x:v>
      </x:c>
      <x:c r="H157" s="34" t="str">
        <x:v>cycle-observation</x:v>
      </x:c>
      <x:c r="I157" s="36" t="n">
        <x:v>1</x:v>
      </x:c>
      <x:c r="J157" s="34" t="str">
        <x:v>tomcat-findleaks-occurrence</x:v>
      </x:c>
      <x:c r="K157" s="34" t="str">
        <x:v>afterUndeploy.tomcatFindLeaksOccurrences</x:v>
      </x:c>
      <x:c r="L157" s="36" t="n">
        <x:v>3</x:v>
      </x:c>
      <x:c r="M157" s="34" t="str">
        <x:v>/jcs321</x:v>
      </x:c>
      <x:c r="N157" s="44" t="str">
        <x:v>/jcs321</x:v>
      </x:c>
    </x:row>
    <x:row r="158">
      <x:c r="A158" s="36" t="n">
        <x:v>157</x:v>
      </x:c>
      <x:c r="B158" s="34" t="str">
        <x:v>article1-unified-v4-2-fb3f101b-20260903-000401-default-f01-p5-jcs321</x:v>
      </x:c>
      <x:c r="C158" s="34" t="str">
        <x:v>default</x:v>
      </x:c>
      <x:c r="D158" s="34" t="str">
        <x:v>jcs321</x:v>
      </x:c>
      <x:c r="E158" s="36" t="n">
        <x:v>1</x:v>
      </x:c>
      <x:c r="F158" s="36" t="n">
        <x:v>1</x:v>
      </x:c>
      <x:c r="G158" s="36" t="n">
        <x:v>5</x:v>
      </x:c>
      <x:c r="H158" s="34" t="str">
        <x:v>cycle-observation</x:v>
      </x:c>
      <x:c r="I158" s="36" t="n">
        <x:v>1</x:v>
      </x:c>
      <x:c r="J158" s="34" t="str">
        <x:v>tomcat-findleaks-occurrence</x:v>
      </x:c>
      <x:c r="K158" s="34" t="str">
        <x:v>afterUndeploy.tomcatFindLeaksOccurrences</x:v>
      </x:c>
      <x:c r="L158" s="36" t="n">
        <x:v>4</x:v>
      </x:c>
      <x:c r="M158" s="34" t="str">
        <x:v>/jcs321</x:v>
      </x:c>
      <x:c r="N158" s="44" t="str">
        <x:v>/jcs321</x:v>
      </x:c>
    </x:row>
    <x:row r="159">
      <x:c r="A159" s="36" t="n">
        <x:v>158</x:v>
      </x:c>
      <x:c r="B159" s="34" t="str">
        <x:v>article1-unified-v4-2-fb3f101b-20260903-000401-default-f01-p5-jcs321</x:v>
      </x:c>
      <x:c r="C159" s="34" t="str">
        <x:v>default</x:v>
      </x:c>
      <x:c r="D159" s="34" t="str">
        <x:v>jcs321</x:v>
      </x:c>
      <x:c r="E159" s="36" t="n">
        <x:v>1</x:v>
      </x:c>
      <x:c r="F159" s="36" t="n">
        <x:v>1</x:v>
      </x:c>
      <x:c r="G159" s="36" t="n">
        <x:v>5</x:v>
      </x:c>
      <x:c r="H159" s="34" t="str">
        <x:v>cycle-observation</x:v>
      </x:c>
      <x:c r="I159" s="36" t="n">
        <x:v>1</x:v>
      </x:c>
      <x:c r="J159" s="34" t="str">
        <x:v>tomcat-findleaks-occurrence</x:v>
      </x:c>
      <x:c r="K159" s="34" t="str">
        <x:v>afterUndeploy.tomcatFindLeaksOccurrences</x:v>
      </x:c>
      <x:c r="L159" s="36" t="n">
        <x:v>5</x:v>
      </x:c>
      <x:c r="M159" s="34" t="str">
        <x:v>/jcs321</x:v>
      </x:c>
      <x:c r="N159" s="44" t="str">
        <x:v>/jcs321</x:v>
      </x:c>
    </x:row>
    <x:row r="160">
      <x:c r="A160" s="36" t="n">
        <x:v>159</x:v>
      </x:c>
      <x:c r="B160" s="34" t="str">
        <x:v>article1-unified-v4-2-fb3f101b-20260903-000401-default-f01-p5-jcs321</x:v>
      </x:c>
      <x:c r="C160" s="34" t="str">
        <x:v>default</x:v>
      </x:c>
      <x:c r="D160" s="34" t="str">
        <x:v>jcs321</x:v>
      </x:c>
      <x:c r="E160" s="36" t="n">
        <x:v>1</x:v>
      </x:c>
      <x:c r="F160" s="36" t="n">
        <x:v>1</x:v>
      </x:c>
      <x:c r="G160" s="36" t="n">
        <x:v>5</x:v>
      </x:c>
      <x:c r="H160" s="34" t="str">
        <x:v>cycle-observation</x:v>
      </x:c>
      <x:c r="I160" s="36" t="n">
        <x:v>1</x:v>
      </x:c>
      <x:c r="J160" s="34" t="str">
        <x:v>tomcat-findleaks-occurrence</x:v>
      </x:c>
      <x:c r="K160" s="34" t="str">
        <x:v>afterUndeploy.tomcatFindLeaksOccurrences</x:v>
      </x:c>
      <x:c r="L160" s="36" t="n">
        <x:v>6</x:v>
      </x:c>
      <x:c r="M160" s="34" t="str">
        <x:v>/jcs321</x:v>
      </x:c>
      <x:c r="N160" s="44" t="str">
        <x:v>/jcs321</x:v>
      </x:c>
    </x:row>
    <x:row r="161">
      <x:c r="A161" s="36" t="n">
        <x:v>160</x:v>
      </x:c>
      <x:c r="B161" s="34" t="str">
        <x:v>article1-unified-v4-2-fb3f101b-20260903-000401-default-f01-p5-jcs321</x:v>
      </x:c>
      <x:c r="C161" s="34" t="str">
        <x:v>default</x:v>
      </x:c>
      <x:c r="D161" s="34" t="str">
        <x:v>jcs321</x:v>
      </x:c>
      <x:c r="E161" s="36" t="n">
        <x:v>1</x:v>
      </x:c>
      <x:c r="F161" s="36" t="n">
        <x:v>1</x:v>
      </x:c>
      <x:c r="G161" s="36" t="n">
        <x:v>5</x:v>
      </x:c>
      <x:c r="H161" s="34" t="str">
        <x:v>cycle-observation</x:v>
      </x:c>
      <x:c r="I161" s="36" t="n">
        <x:v>1</x:v>
      </x:c>
      <x:c r="J161" s="34" t="str">
        <x:v>tomcat-findleaks-occurrence</x:v>
      </x:c>
      <x:c r="K161" s="34" t="str">
        <x:v>afterUndeploy.tomcatFindLeaksOccurrences</x:v>
      </x:c>
      <x:c r="L161" s="36" t="n">
        <x:v>7</x:v>
      </x:c>
      <x:c r="M161" s="34" t="str">
        <x:v>/jcs321</x:v>
      </x:c>
      <x:c r="N161" s="44" t="str">
        <x:v>/jcs321</x:v>
      </x:c>
    </x:row>
    <x:row r="162">
      <x:c r="A162" s="36" t="n">
        <x:v>161</x:v>
      </x:c>
      <x:c r="B162" s="34" t="str">
        <x:v>article1-unified-v4-2-fb3f101b-20260903-000401-default-f01-p5-jcs321</x:v>
      </x:c>
      <x:c r="C162" s="34" t="str">
        <x:v>default</x:v>
      </x:c>
      <x:c r="D162" s="34" t="str">
        <x:v>jcs321</x:v>
      </x:c>
      <x:c r="E162" s="36" t="n">
        <x:v>1</x:v>
      </x:c>
      <x:c r="F162" s="36" t="n">
        <x:v>1</x:v>
      </x:c>
      <x:c r="G162" s="36" t="n">
        <x:v>5</x:v>
      </x:c>
      <x:c r="H162" s="34" t="str">
        <x:v>cycle-observation</x:v>
      </x:c>
      <x:c r="I162" s="36" t="n">
        <x:v>1</x:v>
      </x:c>
      <x:c r="J162" s="34" t="str">
        <x:v>tomcat-findleaks-occurrence</x:v>
      </x:c>
      <x:c r="K162" s="34" t="str">
        <x:v>afterUndeploy.tomcatFindLeaksOccurrences</x:v>
      </x:c>
      <x:c r="L162" s="36" t="n">
        <x:v>8</x:v>
      </x:c>
      <x:c r="M162" s="34" t="str">
        <x:v>/jcs321</x:v>
      </x:c>
      <x:c r="N162" s="44" t="str">
        <x:v>/jcs321</x:v>
      </x:c>
    </x:row>
    <x:row r="163">
      <x:c r="A163" s="36" t="n">
        <x:v>162</x:v>
      </x:c>
      <x:c r="B163" s="34" t="str">
        <x:v>article1-unified-v4-2-fb3f101b-20260903-000401-default-f01-p5-jcs321</x:v>
      </x:c>
      <x:c r="C163" s="34" t="str">
        <x:v>default</x:v>
      </x:c>
      <x:c r="D163" s="34" t="str">
        <x:v>jcs321</x:v>
      </x:c>
      <x:c r="E163" s="36" t="n">
        <x:v>1</x:v>
      </x:c>
      <x:c r="F163" s="36" t="n">
        <x:v>1</x:v>
      </x:c>
      <x:c r="G163" s="36" t="n">
        <x:v>5</x:v>
      </x:c>
      <x:c r="H163" s="34" t="str">
        <x:v>cycle-observation</x:v>
      </x:c>
      <x:c r="I163" s="36" t="n">
        <x:v>1</x:v>
      </x:c>
      <x:c r="J163" s="34" t="str">
        <x:v>tomcat-findleaks-occurrence</x:v>
      </x:c>
      <x:c r="K163" s="34" t="str">
        <x:v>afterUndeploy.tomcatFindLeaksOccurrences</x:v>
      </x:c>
      <x:c r="L163" s="36" t="n">
        <x:v>9</x:v>
      </x:c>
      <x:c r="M163" s="34" t="str">
        <x:v>/jcs321</x:v>
      </x:c>
      <x:c r="N163" s="44" t="str">
        <x:v>/jcs321</x:v>
      </x:c>
    </x:row>
    <x:row r="164">
      <x:c r="A164" s="36" t="n">
        <x:v>163</x:v>
      </x:c>
      <x:c r="B164" s="34" t="str">
        <x:v>article1-unified-v4-2-fb3f101b-20260903-000401-default-f01-p5-jcs321</x:v>
      </x:c>
      <x:c r="C164" s="34" t="str">
        <x:v>default</x:v>
      </x:c>
      <x:c r="D164" s="34" t="str">
        <x:v>jcs321</x:v>
      </x:c>
      <x:c r="E164" s="36" t="n">
        <x:v>1</x:v>
      </x:c>
      <x:c r="F164" s="36" t="n">
        <x:v>1</x:v>
      </x:c>
      <x:c r="G164" s="36" t="n">
        <x:v>5</x:v>
      </x:c>
      <x:c r="H164" s="34" t="str">
        <x:v>cycle-observation</x:v>
      </x:c>
      <x:c r="I164" s="36" t="n">
        <x:v>2</x:v>
      </x:c>
      <x:c r="J164" s="34" t="str">
        <x:v>tomcat-findleaks-occurrence</x:v>
      </x:c>
      <x:c r="K164" s="34" t="str">
        <x:v>afterFinalUndeploy.tomcatFindLeaksOccurrences</x:v>
      </x:c>
      <x:c r="L164" s="36" t="n">
        <x:v>1</x:v>
      </x:c>
      <x:c r="M164" s="34" t="str">
        <x:v>/jcs321</x:v>
      </x:c>
      <x:c r="N164" s="44" t="str">
        <x:v>/jcs321</x:v>
      </x:c>
    </x:row>
    <x:row r="165">
      <x:c r="A165" s="36" t="n">
        <x:v>164</x:v>
      </x:c>
      <x:c r="B165" s="34" t="str">
        <x:v>article1-unified-v4-2-fb3f101b-20260903-000401-default-f01-p5-jcs321</x:v>
      </x:c>
      <x:c r="C165" s="34" t="str">
        <x:v>default</x:v>
      </x:c>
      <x:c r="D165" s="34" t="str">
        <x:v>jcs321</x:v>
      </x:c>
      <x:c r="E165" s="36" t="n">
        <x:v>1</x:v>
      </x:c>
      <x:c r="F165" s="36" t="n">
        <x:v>1</x:v>
      </x:c>
      <x:c r="G165" s="36" t="n">
        <x:v>5</x:v>
      </x:c>
      <x:c r="H165" s="34" t="str">
        <x:v>cycle-observation</x:v>
      </x:c>
      <x:c r="I165" s="36" t="n">
        <x:v>2</x:v>
      </x:c>
      <x:c r="J165" s="34" t="str">
        <x:v>tomcat-findleaks-occurrence</x:v>
      </x:c>
      <x:c r="K165" s="34" t="str">
        <x:v>afterFinalUndeploy.tomcatFindLeaksOccurrences</x:v>
      </x:c>
      <x:c r="L165" s="36" t="n">
        <x:v>2</x:v>
      </x:c>
      <x:c r="M165" s="34" t="str">
        <x:v>/jcs321</x:v>
      </x:c>
      <x:c r="N165" s="44" t="str">
        <x:v>/jcs321</x:v>
      </x:c>
    </x:row>
    <x:row r="166">
      <x:c r="A166" s="36" t="n">
        <x:v>165</x:v>
      </x:c>
      <x:c r="B166" s="34" t="str">
        <x:v>article1-unified-v4-2-fb3f101b-20260903-000401-default-f01-p5-jcs321</x:v>
      </x:c>
      <x:c r="C166" s="34" t="str">
        <x:v>default</x:v>
      </x:c>
      <x:c r="D166" s="34" t="str">
        <x:v>jcs321</x:v>
      </x:c>
      <x:c r="E166" s="36" t="n">
        <x:v>1</x:v>
      </x:c>
      <x:c r="F166" s="36" t="n">
        <x:v>1</x:v>
      </x:c>
      <x:c r="G166" s="36" t="n">
        <x:v>5</x:v>
      </x:c>
      <x:c r="H166" s="34" t="str">
        <x:v>cycle-observation</x:v>
      </x:c>
      <x:c r="I166" s="36" t="n">
        <x:v>2</x:v>
      </x:c>
      <x:c r="J166" s="34" t="str">
        <x:v>tomcat-findleaks-occurrence</x:v>
      </x:c>
      <x:c r="K166" s="34" t="str">
        <x:v>afterFinalUndeploy.tomcatFindLeaksOccurrences</x:v>
      </x:c>
      <x:c r="L166" s="36" t="n">
        <x:v>3</x:v>
      </x:c>
      <x:c r="M166" s="34" t="str">
        <x:v>/jcs321</x:v>
      </x:c>
      <x:c r="N166" s="44" t="str">
        <x:v>/jcs321</x:v>
      </x:c>
    </x:row>
    <x:row r="167">
      <x:c r="A167" s="36" t="n">
        <x:v>166</x:v>
      </x:c>
      <x:c r="B167" s="34" t="str">
        <x:v>article1-unified-v4-2-fb3f101b-20260903-000401-default-f01-p5-jcs321</x:v>
      </x:c>
      <x:c r="C167" s="34" t="str">
        <x:v>default</x:v>
      </x:c>
      <x:c r="D167" s="34" t="str">
        <x:v>jcs321</x:v>
      </x:c>
      <x:c r="E167" s="36" t="n">
        <x:v>1</x:v>
      </x:c>
      <x:c r="F167" s="36" t="n">
        <x:v>1</x:v>
      </x:c>
      <x:c r="G167" s="36" t="n">
        <x:v>5</x:v>
      </x:c>
      <x:c r="H167" s="34" t="str">
        <x:v>cycle-observation</x:v>
      </x:c>
      <x:c r="I167" s="36" t="n">
        <x:v>2</x:v>
      </x:c>
      <x:c r="J167" s="34" t="str">
        <x:v>tomcat-findleaks-occurrence</x:v>
      </x:c>
      <x:c r="K167" s="34" t="str">
        <x:v>afterFinalUndeploy.tomcatFindLeaksOccurrences</x:v>
      </x:c>
      <x:c r="L167" s="36" t="n">
        <x:v>4</x:v>
      </x:c>
      <x:c r="M167" s="34" t="str">
        <x:v>/jcs321</x:v>
      </x:c>
      <x:c r="N167" s="44" t="str">
        <x:v>/jcs321</x:v>
      </x:c>
    </x:row>
    <x:row r="168">
      <x:c r="A168" s="36" t="n">
        <x:v>167</x:v>
      </x:c>
      <x:c r="B168" s="34" t="str">
        <x:v>article1-unified-v4-2-fb3f101b-20260903-000401-default-f01-p5-jcs321</x:v>
      </x:c>
      <x:c r="C168" s="34" t="str">
        <x:v>default</x:v>
      </x:c>
      <x:c r="D168" s="34" t="str">
        <x:v>jcs321</x:v>
      </x:c>
      <x:c r="E168" s="36" t="n">
        <x:v>1</x:v>
      </x:c>
      <x:c r="F168" s="36" t="n">
        <x:v>1</x:v>
      </x:c>
      <x:c r="G168" s="36" t="n">
        <x:v>5</x:v>
      </x:c>
      <x:c r="H168" s="34" t="str">
        <x:v>cycle-observation</x:v>
      </x:c>
      <x:c r="I168" s="36" t="n">
        <x:v>2</x:v>
      </x:c>
      <x:c r="J168" s="34" t="str">
        <x:v>tomcat-findleaks-occurrence</x:v>
      </x:c>
      <x:c r="K168" s="34" t="str">
        <x:v>afterFinalUndeploy.tomcatFindLeaksOccurrences</x:v>
      </x:c>
      <x:c r="L168" s="36" t="n">
        <x:v>5</x:v>
      </x:c>
      <x:c r="M168" s="34" t="str">
        <x:v>/jcs321</x:v>
      </x:c>
      <x:c r="N168" s="44" t="str">
        <x:v>/jcs321</x:v>
      </x:c>
    </x:row>
    <x:row r="169">
      <x:c r="A169" s="36" t="n">
        <x:v>168</x:v>
      </x:c>
      <x:c r="B169" s="34" t="str">
        <x:v>article1-unified-v4-2-fb3f101b-20260903-000401-default-f01-p5-jcs321</x:v>
      </x:c>
      <x:c r="C169" s="34" t="str">
        <x:v>default</x:v>
      </x:c>
      <x:c r="D169" s="34" t="str">
        <x:v>jcs321</x:v>
      </x:c>
      <x:c r="E169" s="36" t="n">
        <x:v>1</x:v>
      </x:c>
      <x:c r="F169" s="36" t="n">
        <x:v>1</x:v>
      </x:c>
      <x:c r="G169" s="36" t="n">
        <x:v>5</x:v>
      </x:c>
      <x:c r="H169" s="34" t="str">
        <x:v>cycle-observation</x:v>
      </x:c>
      <x:c r="I169" s="36" t="n">
        <x:v>2</x:v>
      </x:c>
      <x:c r="J169" s="34" t="str">
        <x:v>tomcat-findleaks-occurrence</x:v>
      </x:c>
      <x:c r="K169" s="34" t="str">
        <x:v>afterFinalUndeploy.tomcatFindLeaksOccurrences</x:v>
      </x:c>
      <x:c r="L169" s="36" t="n">
        <x:v>6</x:v>
      </x:c>
      <x:c r="M169" s="34" t="str">
        <x:v>/jcs321</x:v>
      </x:c>
      <x:c r="N169" s="44" t="str">
        <x:v>/jcs321</x:v>
      </x:c>
    </x:row>
    <x:row r="170">
      <x:c r="A170" s="36" t="n">
        <x:v>169</x:v>
      </x:c>
      <x:c r="B170" s="34" t="str">
        <x:v>article1-unified-v4-2-fb3f101b-20260903-000401-default-f01-p5-jcs321</x:v>
      </x:c>
      <x:c r="C170" s="34" t="str">
        <x:v>default</x:v>
      </x:c>
      <x:c r="D170" s="34" t="str">
        <x:v>jcs321</x:v>
      </x:c>
      <x:c r="E170" s="36" t="n">
        <x:v>1</x:v>
      </x:c>
      <x:c r="F170" s="36" t="n">
        <x:v>1</x:v>
      </x:c>
      <x:c r="G170" s="36" t="n">
        <x:v>5</x:v>
      </x:c>
      <x:c r="H170" s="34" t="str">
        <x:v>cycle-observation</x:v>
      </x:c>
      <x:c r="I170" s="36" t="n">
        <x:v>2</x:v>
      </x:c>
      <x:c r="J170" s="34" t="str">
        <x:v>tomcat-findleaks-occurrence</x:v>
      </x:c>
      <x:c r="K170" s="34" t="str">
        <x:v>afterFinalUndeploy.tomcatFindLeaksOccurrences</x:v>
      </x:c>
      <x:c r="L170" s="36" t="n">
        <x:v>7</x:v>
      </x:c>
      <x:c r="M170" s="34" t="str">
        <x:v>/jcs321</x:v>
      </x:c>
      <x:c r="N170" s="44" t="str">
        <x:v>/jcs321</x:v>
      </x:c>
    </x:row>
    <x:row r="171">
      <x:c r="A171" s="36" t="n">
        <x:v>170</x:v>
      </x:c>
      <x:c r="B171" s="34" t="str">
        <x:v>article1-unified-v4-2-fb3f101b-20260903-000401-default-f01-p5-jcs321</x:v>
      </x:c>
      <x:c r="C171" s="34" t="str">
        <x:v>default</x:v>
      </x:c>
      <x:c r="D171" s="34" t="str">
        <x:v>jcs321</x:v>
      </x:c>
      <x:c r="E171" s="36" t="n">
        <x:v>1</x:v>
      </x:c>
      <x:c r="F171" s="36" t="n">
        <x:v>1</x:v>
      </x:c>
      <x:c r="G171" s="36" t="n">
        <x:v>5</x:v>
      </x:c>
      <x:c r="H171" s="34" t="str">
        <x:v>cycle-observation</x:v>
      </x:c>
      <x:c r="I171" s="36" t="n">
        <x:v>2</x:v>
      </x:c>
      <x:c r="J171" s="34" t="str">
        <x:v>tomcat-findleaks-occurrence</x:v>
      </x:c>
      <x:c r="K171" s="34" t="str">
        <x:v>afterFinalUndeploy.tomcatFindLeaksOccurrences</x:v>
      </x:c>
      <x:c r="L171" s="36" t="n">
        <x:v>8</x:v>
      </x:c>
      <x:c r="M171" s="34" t="str">
        <x:v>/jcs321</x:v>
      </x:c>
      <x:c r="N171" s="44" t="str">
        <x:v>/jcs321</x:v>
      </x:c>
    </x:row>
    <x:row r="172">
      <x:c r="A172" s="36" t="n">
        <x:v>171</x:v>
      </x:c>
      <x:c r="B172" s="34" t="str">
        <x:v>article1-unified-v4-2-fb3f101b-20260903-000401-default-f01-p5-jcs321</x:v>
      </x:c>
      <x:c r="C172" s="34" t="str">
        <x:v>default</x:v>
      </x:c>
      <x:c r="D172" s="34" t="str">
        <x:v>jcs321</x:v>
      </x:c>
      <x:c r="E172" s="36" t="n">
        <x:v>1</x:v>
      </x:c>
      <x:c r="F172" s="36" t="n">
        <x:v>1</x:v>
      </x:c>
      <x:c r="G172" s="36" t="n">
        <x:v>5</x:v>
      </x:c>
      <x:c r="H172" s="34" t="str">
        <x:v>cycle-observation</x:v>
      </x:c>
      <x:c r="I172" s="36" t="n">
        <x:v>2</x:v>
      </x:c>
      <x:c r="J172" s="34" t="str">
        <x:v>tomcat-findleaks-occurrence</x:v>
      </x:c>
      <x:c r="K172" s="34" t="str">
        <x:v>afterFinalUndeploy.tomcatFindLeaksOccurrences</x:v>
      </x:c>
      <x:c r="L172" s="36" t="n">
        <x:v>9</x:v>
      </x:c>
      <x:c r="M172" s="34" t="str">
        <x:v>/jcs321</x:v>
      </x:c>
      <x:c r="N172" s="44" t="str">
        <x:v>/jcs321</x:v>
      </x:c>
    </x:row>
    <x:row r="173">
      <x:c r="A173" s="36" t="n">
        <x:v>172</x:v>
      </x:c>
      <x:c r="B173" s="34" t="str">
        <x:v>article1-unified-v4-2-fb3f101b-20260903-000401-default-f01-p5-jcs321</x:v>
      </x:c>
      <x:c r="C173" s="34" t="str">
        <x:v>default</x:v>
      </x:c>
      <x:c r="D173" s="34" t="str">
        <x:v>jcs321</x:v>
      </x:c>
      <x:c r="E173" s="36" t="n">
        <x:v>1</x:v>
      </x:c>
      <x:c r="F173" s="36" t="n">
        <x:v>1</x:v>
      </x:c>
      <x:c r="G173" s="36" t="n">
        <x:v>5</x:v>
      </x:c>
      <x:c r="H173" s="34" t="str">
        <x:v>cycle-observation</x:v>
      </x:c>
      <x:c r="I173" s="36" t="n">
        <x:v>2</x:v>
      </x:c>
      <x:c r="J173" s="34" t="str">
        <x:v>tomcat-findleaks-occurrence</x:v>
      </x:c>
      <x:c r="K173" s="34" t="str">
        <x:v>afterFinalUndeploy.tomcatFindLeaksOccurrences</x:v>
      </x:c>
      <x:c r="L173" s="36" t="n">
        <x:v>10</x:v>
      </x:c>
      <x:c r="M173" s="34" t="str">
        <x:v>/jcs321</x:v>
      </x:c>
      <x:c r="N173" s="44" t="str">
        <x:v>/jcs321</x:v>
      </x:c>
    </x:row>
    <x:row r="174">
      <x:c r="A174" s="36" t="n">
        <x:v>173</x:v>
      </x:c>
      <x:c r="B174" s="34" t="str">
        <x:v>article1-unified-v4-2-fb3f101b-20260903-000401-default-f01-p6-jcs4</x:v>
      </x:c>
      <x:c r="C174" s="34" t="str">
        <x:v>default</x:v>
      </x:c>
      <x:c r="D174" s="34" t="str">
        <x:v>jcs4</x:v>
      </x:c>
      <x:c r="E174" s="36" t="n">
        <x:v>1</x:v>
      </x:c>
      <x:c r="F174" s="36" t="n">
        <x:v>1</x:v>
      </x:c>
      <x:c r="G174" s="36"/>
      <x:c r="H174" s="34" t="str">
        <x:v>process-run-aggregate</x:v>
      </x:c>
      <x:c r="I174" s="36"/>
      <x:c r="J174" s="34" t="str">
        <x:v>warning</x:v>
      </x:c>
      <x:c r="K174" s="34" t="str">
        <x:v>warnings</x:v>
      </x:c>
      <x:c r="L174" s="36" t="n">
        <x:v>1</x:v>
      </x:c>
      <x:c r="M174" s="34"/>
      <x:c r="N174" s="44" t="str">
        <x:v>02-Sep-2026 22:51:16.545 WARNING [http-nio-8080-exec-1] org.apache.commons.jcs4.log.SystemLogAdapter.log Could not register JMX bean.</x:v>
      </x:c>
    </x:row>
    <x:row r="175">
      <x:c r="A175" s="36" t="n">
        <x:v>174</x:v>
      </x:c>
      <x:c r="B175" s="34" t="str">
        <x:v>article1-unified-v4-2-fb3f101b-20260903-000401-default-f01-p6-jcs4</x:v>
      </x:c>
      <x:c r="C175" s="34" t="str">
        <x:v>default</x:v>
      </x:c>
      <x:c r="D175" s="34" t="str">
        <x:v>jcs4</x:v>
      </x:c>
      <x:c r="E175" s="36" t="n">
        <x:v>1</x:v>
      </x:c>
      <x:c r="F175" s="36" t="n">
        <x:v>1</x:v>
      </x:c>
      <x:c r="G175" s="36"/>
      <x:c r="H175" s="34" t="str">
        <x:v>process-run-aggregate</x:v>
      </x:c>
      <x:c r="I175" s="36"/>
      <x:c r="J175" s="34" t="str">
        <x:v>warning</x:v>
      </x:c>
      <x:c r="K175" s="34" t="str">
        <x:v>warnings</x:v>
      </x:c>
      <x:c r="L175" s="36" t="n">
        <x:v>2</x:v>
      </x:c>
      <x:c r="M175" s="34"/>
      <x:c r="N175" s="44" t="str">
        <x:v>02-Sep-2026 22:51:16.579 WARNING [http-nio-8080-exec-1] org.apache.commons.jcs4.log.SystemLogAdapter.log Skipping empty auxiliary name</x:v>
      </x:c>
    </x:row>
    <x:row r="176">
      <x:c r="A176" s="36" t="n">
        <x:v>175</x:v>
      </x:c>
      <x:c r="B176" s="34" t="str">
        <x:v>article1-unified-v4-2-fb3f101b-20260903-000401-default-f01-p6-jcs4</x:v>
      </x:c>
      <x:c r="C176" s="34" t="str">
        <x:v>default</x:v>
      </x:c>
      <x:c r="D176" s="34" t="str">
        <x:v>jcs4</x:v>
      </x:c>
      <x:c r="E176" s="36" t="n">
        <x:v>1</x:v>
      </x:c>
      <x:c r="F176" s="36" t="n">
        <x:v>1</x:v>
      </x:c>
      <x:c r="G176" s="36"/>
      <x:c r="H176" s="34" t="str">
        <x:v>process-run-aggregate</x:v>
      </x:c>
      <x:c r="I176" s="36"/>
      <x:c r="J176" s="34" t="str">
        <x:v>warning</x:v>
      </x:c>
      <x:c r="K176" s="34" t="str">
        <x:v>warnings</x:v>
      </x:c>
      <x:c r="L176" s="36" t="n">
        <x:v>3</x:v>
      </x:c>
      <x:c r="M176" s="34"/>
      <x:c r="N176" s="44" t="str">
        <x:v>02-Sep-2026 22:52:00.573 WARNING [http-nio-8080-exec-9] org.apache.commons.jcs4.log.SystemLogAdapter.log Could not register JMX bean.</x:v>
      </x:c>
    </x:row>
    <x:row r="177">
      <x:c r="A177" s="36" t="n">
        <x:v>176</x:v>
      </x:c>
      <x:c r="B177" s="34" t="str">
        <x:v>article1-unified-v4-2-fb3f101b-20260903-000401-default-f01-p6-jcs4</x:v>
      </x:c>
      <x:c r="C177" s="34" t="str">
        <x:v>default</x:v>
      </x:c>
      <x:c r="D177" s="34" t="str">
        <x:v>jcs4</x:v>
      </x:c>
      <x:c r="E177" s="36" t="n">
        <x:v>1</x:v>
      </x:c>
      <x:c r="F177" s="36" t="n">
        <x:v>1</x:v>
      </x:c>
      <x:c r="G177" s="36"/>
      <x:c r="H177" s="34" t="str">
        <x:v>process-run-aggregate</x:v>
      </x:c>
      <x:c r="I177" s="36"/>
      <x:c r="J177" s="34" t="str">
        <x:v>warning</x:v>
      </x:c>
      <x:c r="K177" s="34" t="str">
        <x:v>warnings</x:v>
      </x:c>
      <x:c r="L177" s="36" t="n">
        <x:v>4</x:v>
      </x:c>
      <x:c r="M177" s="34"/>
      <x:c r="N177" s="44" t="str">
        <x:v>02-Sep-2026 22:52:00.597 WARNING [http-nio-8080-exec-9] org.apache.commons.jcs4.log.SystemLogAdapter.log Skipping empty auxiliary name</x:v>
      </x:c>
    </x:row>
    <x:row r="178">
      <x:c r="A178" s="36" t="n">
        <x:v>177</x:v>
      </x:c>
      <x:c r="B178" s="34" t="str">
        <x:v>article1-unified-v4-2-fb3f101b-20260903-000401-default-f01-p6-jcs4</x:v>
      </x:c>
      <x:c r="C178" s="34" t="str">
        <x:v>default</x:v>
      </x:c>
      <x:c r="D178" s="34" t="str">
        <x:v>jcs4</x:v>
      </x:c>
      <x:c r="E178" s="36" t="n">
        <x:v>1</x:v>
      </x:c>
      <x:c r="F178" s="36" t="n">
        <x:v>1</x:v>
      </x:c>
      <x:c r="G178" s="36"/>
      <x:c r="H178" s="34" t="str">
        <x:v>process-run-aggregate</x:v>
      </x:c>
      <x:c r="I178" s="36"/>
      <x:c r="J178" s="34" t="str">
        <x:v>warning</x:v>
      </x:c>
      <x:c r="K178" s="34" t="str">
        <x:v>warnings</x:v>
      </x:c>
      <x:c r="L178" s="36" t="n">
        <x:v>5</x:v>
      </x:c>
      <x:c r="M178" s="34"/>
      <x:c r="N178" s="44" t="str">
        <x:v>02-Sep-2026 22:52:48.395 WARNING [http-nio-8080-exec-16] org.apache.commons.jcs4.log.SystemLogAdapter.log Could not register JMX bean.</x:v>
      </x:c>
    </x:row>
    <x:row r="179">
      <x:c r="A179" s="36" t="n">
        <x:v>178</x:v>
      </x:c>
      <x:c r="B179" s="34" t="str">
        <x:v>article1-unified-v4-2-fb3f101b-20260903-000401-default-f01-p6-jcs4</x:v>
      </x:c>
      <x:c r="C179" s="34" t="str">
        <x:v>default</x:v>
      </x:c>
      <x:c r="D179" s="34" t="str">
        <x:v>jcs4</x:v>
      </x:c>
      <x:c r="E179" s="36" t="n">
        <x:v>1</x:v>
      </x:c>
      <x:c r="F179" s="36" t="n">
        <x:v>1</x:v>
      </x:c>
      <x:c r="G179" s="36"/>
      <x:c r="H179" s="34" t="str">
        <x:v>process-run-aggregate</x:v>
      </x:c>
      <x:c r="I179" s="36"/>
      <x:c r="J179" s="34" t="str">
        <x:v>warning</x:v>
      </x:c>
      <x:c r="K179" s="34" t="str">
        <x:v>warnings</x:v>
      </x:c>
      <x:c r="L179" s="36" t="n">
        <x:v>6</x:v>
      </x:c>
      <x:c r="M179" s="34"/>
      <x:c r="N179" s="44" t="str">
        <x:v>02-Sep-2026 22:52:48.412 WARNING [http-nio-8080-exec-16] org.apache.commons.jcs4.log.SystemLogAdapter.log Skipping empty auxiliary name</x:v>
      </x:c>
    </x:row>
    <x:row r="180">
      <x:c r="A180" s="36" t="n">
        <x:v>179</x:v>
      </x:c>
      <x:c r="B180" s="34" t="str">
        <x:v>article1-unified-v4-2-fb3f101b-20260903-000401-default-f01-p6-jcs4</x:v>
      </x:c>
      <x:c r="C180" s="34" t="str">
        <x:v>default</x:v>
      </x:c>
      <x:c r="D180" s="34" t="str">
        <x:v>jcs4</x:v>
      </x:c>
      <x:c r="E180" s="36" t="n">
        <x:v>1</x:v>
      </x:c>
      <x:c r="F180" s="36" t="n">
        <x:v>1</x:v>
      </x:c>
      <x:c r="G180" s="36"/>
      <x:c r="H180" s="34" t="str">
        <x:v>process-run-aggregate</x:v>
      </x:c>
      <x:c r="I180" s="36"/>
      <x:c r="J180" s="34" t="str">
        <x:v>warning</x:v>
      </x:c>
      <x:c r="K180" s="34" t="str">
        <x:v>warnings</x:v>
      </x:c>
      <x:c r="L180" s="36" t="n">
        <x:v>7</x:v>
      </x:c>
      <x:c r="M180" s="34"/>
      <x:c r="N180" s="44" t="str">
        <x:v>02-Sep-2026 22:53:31.402 WARNING [http-nio-8080-exec-7] org.apache.commons.jcs4.log.SystemLogAdapter.log Could not register JMX bean.</x:v>
      </x:c>
    </x:row>
    <x:row r="181">
      <x:c r="A181" s="36" t="n">
        <x:v>180</x:v>
      </x:c>
      <x:c r="B181" s="34" t="str">
        <x:v>article1-unified-v4-2-fb3f101b-20260903-000401-default-f01-p6-jcs4</x:v>
      </x:c>
      <x:c r="C181" s="34" t="str">
        <x:v>default</x:v>
      </x:c>
      <x:c r="D181" s="34" t="str">
        <x:v>jcs4</x:v>
      </x:c>
      <x:c r="E181" s="36" t="n">
        <x:v>1</x:v>
      </x:c>
      <x:c r="F181" s="36" t="n">
        <x:v>1</x:v>
      </x:c>
      <x:c r="G181" s="36"/>
      <x:c r="H181" s="34" t="str">
        <x:v>process-run-aggregate</x:v>
      </x:c>
      <x:c r="I181" s="36"/>
      <x:c r="J181" s="34" t="str">
        <x:v>warning</x:v>
      </x:c>
      <x:c r="K181" s="34" t="str">
        <x:v>warnings</x:v>
      </x:c>
      <x:c r="L181" s="36" t="n">
        <x:v>8</x:v>
      </x:c>
      <x:c r="M181" s="34"/>
      <x:c r="N181" s="44" t="str">
        <x:v>02-Sep-2026 22:53:31.421 WARNING [http-nio-8080-exec-7] org.apache.commons.jcs4.log.SystemLogAdapter.log Skipping empty auxiliary name</x:v>
      </x:c>
    </x:row>
    <x:row r="182">
      <x:c r="A182" s="36" t="n">
        <x:v>181</x:v>
      </x:c>
      <x:c r="B182" s="34" t="str">
        <x:v>article1-unified-v4-2-fb3f101b-20260903-000401-default-f01-p6-jcs4</x:v>
      </x:c>
      <x:c r="C182" s="34" t="str">
        <x:v>default</x:v>
      </x:c>
      <x:c r="D182" s="34" t="str">
        <x:v>jcs4</x:v>
      </x:c>
      <x:c r="E182" s="36" t="n">
        <x:v>1</x:v>
      </x:c>
      <x:c r="F182" s="36" t="n">
        <x:v>1</x:v>
      </x:c>
      <x:c r="G182" s="36"/>
      <x:c r="H182" s="34" t="str">
        <x:v>process-run-aggregate</x:v>
      </x:c>
      <x:c r="I182" s="36"/>
      <x:c r="J182" s="34" t="str">
        <x:v>warning</x:v>
      </x:c>
      <x:c r="K182" s="34" t="str">
        <x:v>warnings</x:v>
      </x:c>
      <x:c r="L182" s="36" t="n">
        <x:v>9</x:v>
      </x:c>
      <x:c r="M182" s="34"/>
      <x:c r="N182" s="44" t="str">
        <x:v>02-Sep-2026 22:54:16.904 WARNING [http-nio-8080-exec-23] org.apache.commons.jcs4.log.SystemLogAdapter.log Could not register JMX bean.</x:v>
      </x:c>
    </x:row>
    <x:row r="183">
      <x:c r="A183" s="36" t="n">
        <x:v>182</x:v>
      </x:c>
      <x:c r="B183" s="34" t="str">
        <x:v>article1-unified-v4-2-fb3f101b-20260903-000401-default-f01-p6-jcs4</x:v>
      </x:c>
      <x:c r="C183" s="34" t="str">
        <x:v>default</x:v>
      </x:c>
      <x:c r="D183" s="34" t="str">
        <x:v>jcs4</x:v>
      </x:c>
      <x:c r="E183" s="36" t="n">
        <x:v>1</x:v>
      </x:c>
      <x:c r="F183" s="36" t="n">
        <x:v>1</x:v>
      </x:c>
      <x:c r="G183" s="36"/>
      <x:c r="H183" s="34" t="str">
        <x:v>process-run-aggregate</x:v>
      </x:c>
      <x:c r="I183" s="36"/>
      <x:c r="J183" s="34" t="str">
        <x:v>warning</x:v>
      </x:c>
      <x:c r="K183" s="34" t="str">
        <x:v>warnings</x:v>
      </x:c>
      <x:c r="L183" s="36" t="n">
        <x:v>10</x:v>
      </x:c>
      <x:c r="M183" s="34"/>
      <x:c r="N183" s="44" t="str">
        <x:v>02-Sep-2026 22:54:16.916 WARNING [http-nio-8080-exec-23] org.apache.commons.jcs4.log.SystemLogAdapter.log Skipping empty auxiliary name</x:v>
      </x:c>
    </x:row>
    <x:row r="184">
      <x:c r="A184" s="36" t="n">
        <x:v>183</x:v>
      </x:c>
      <x:c r="B184" s="34" t="str">
        <x:v>article1-unified-v4-2-fb3f101b-20260903-000401-default-f01-p6-jcs4</x:v>
      </x:c>
      <x:c r="C184" s="34" t="str">
        <x:v>default</x:v>
      </x:c>
      <x:c r="D184" s="34" t="str">
        <x:v>jcs4</x:v>
      </x:c>
      <x:c r="E184" s="36" t="n">
        <x:v>1</x:v>
      </x:c>
      <x:c r="F184" s="36" t="n">
        <x:v>1</x:v>
      </x:c>
      <x:c r="G184" s="36"/>
      <x:c r="H184" s="34" t="str">
        <x:v>process-run-aggregate</x:v>
      </x:c>
      <x:c r="I184" s="36"/>
      <x:c r="J184" s="34" t="str">
        <x:v>warning</x:v>
      </x:c>
      <x:c r="K184" s="34" t="str">
        <x:v>warnings</x:v>
      </x:c>
      <x:c r="L184" s="36" t="n">
        <x:v>11</x:v>
      </x:c>
      <x:c r="M184" s="34"/>
      <x:c r="N184" s="44" t="str">
        <x:v>02-Sep-2026 22:54:58.966 WARNING [http-nio-8080-exec-32] org.apache.commons.jcs4.log.SystemLogAdapter.log Could not register JMX bean.</x:v>
      </x:c>
    </x:row>
    <x:row r="185">
      <x:c r="A185" s="36" t="n">
        <x:v>184</x:v>
      </x:c>
      <x:c r="B185" s="34" t="str">
        <x:v>article1-unified-v4-2-fb3f101b-20260903-000401-default-f01-p6-jcs4</x:v>
      </x:c>
      <x:c r="C185" s="34" t="str">
        <x:v>default</x:v>
      </x:c>
      <x:c r="D185" s="34" t="str">
        <x:v>jcs4</x:v>
      </x:c>
      <x:c r="E185" s="36" t="n">
        <x:v>1</x:v>
      </x:c>
      <x:c r="F185" s="36" t="n">
        <x:v>1</x:v>
      </x:c>
      <x:c r="G185" s="36"/>
      <x:c r="H185" s="34" t="str">
        <x:v>process-run-aggregate</x:v>
      </x:c>
      <x:c r="I185" s="36"/>
      <x:c r="J185" s="34" t="str">
        <x:v>warning</x:v>
      </x:c>
      <x:c r="K185" s="34" t="str">
        <x:v>warnings</x:v>
      </x:c>
      <x:c r="L185" s="36" t="n">
        <x:v>12</x:v>
      </x:c>
      <x:c r="M185" s="34"/>
      <x:c r="N185" s="44" t="str">
        <x:v>02-Sep-2026 22:54:58.981 WARNING [http-nio-8080-exec-32] org.apache.commons.jcs4.log.SystemLogAdapter.log Skipping empty auxiliary name</x:v>
      </x:c>
    </x:row>
    <x:row r="186">
      <x:c r="A186" s="36" t="n">
        <x:v>185</x:v>
      </x:c>
      <x:c r="B186" s="34" t="str">
        <x:v>article1-unified-v4-2-fb3f101b-20260903-000401-default-f01-p6-jcs4</x:v>
      </x:c>
      <x:c r="C186" s="34" t="str">
        <x:v>default</x:v>
      </x:c>
      <x:c r="D186" s="34" t="str">
        <x:v>jcs4</x:v>
      </x:c>
      <x:c r="E186" s="36" t="n">
        <x:v>1</x:v>
      </x:c>
      <x:c r="F186" s="36" t="n">
        <x:v>1</x:v>
      </x:c>
      <x:c r="G186" s="36"/>
      <x:c r="H186" s="34" t="str">
        <x:v>process-run-aggregate</x:v>
      </x:c>
      <x:c r="I186" s="36"/>
      <x:c r="J186" s="34" t="str">
        <x:v>warning</x:v>
      </x:c>
      <x:c r="K186" s="34" t="str">
        <x:v>warnings</x:v>
      </x:c>
      <x:c r="L186" s="36" t="n">
        <x:v>13</x:v>
      </x:c>
      <x:c r="M186" s="34"/>
      <x:c r="N186" s="44" t="str">
        <x:v>02-Sep-2026 22:55:44.159 WARNING [http-nio-8080-exec-42] org.apache.commons.jcs4.log.SystemLogAdapter.log Could not register JMX bean.</x:v>
      </x:c>
    </x:row>
    <x:row r="187">
      <x:c r="A187" s="36" t="n">
        <x:v>186</x:v>
      </x:c>
      <x:c r="B187" s="34" t="str">
        <x:v>article1-unified-v4-2-fb3f101b-20260903-000401-default-f01-p6-jcs4</x:v>
      </x:c>
      <x:c r="C187" s="34" t="str">
        <x:v>default</x:v>
      </x:c>
      <x:c r="D187" s="34" t="str">
        <x:v>jcs4</x:v>
      </x:c>
      <x:c r="E187" s="36" t="n">
        <x:v>1</x:v>
      </x:c>
      <x:c r="F187" s="36" t="n">
        <x:v>1</x:v>
      </x:c>
      <x:c r="G187" s="36"/>
      <x:c r="H187" s="34" t="str">
        <x:v>process-run-aggregate</x:v>
      </x:c>
      <x:c r="I187" s="36"/>
      <x:c r="J187" s="34" t="str">
        <x:v>warning</x:v>
      </x:c>
      <x:c r="K187" s="34" t="str">
        <x:v>warnings</x:v>
      </x:c>
      <x:c r="L187" s="36" t="n">
        <x:v>14</x:v>
      </x:c>
      <x:c r="M187" s="34"/>
      <x:c r="N187" s="44" t="str">
        <x:v>02-Sep-2026 22:55:44.175 WARNING [http-nio-8080-exec-42] org.apache.commons.jcs4.log.SystemLogAdapter.log Skipping empty auxiliary name</x:v>
      </x:c>
    </x:row>
    <x:row r="188">
      <x:c r="A188" s="36" t="n">
        <x:v>187</x:v>
      </x:c>
      <x:c r="B188" s="34" t="str">
        <x:v>article1-unified-v4-2-fb3f101b-20260903-000401-default-f01-p6-jcs4</x:v>
      </x:c>
      <x:c r="C188" s="34" t="str">
        <x:v>default</x:v>
      </x:c>
      <x:c r="D188" s="34" t="str">
        <x:v>jcs4</x:v>
      </x:c>
      <x:c r="E188" s="36" t="n">
        <x:v>1</x:v>
      </x:c>
      <x:c r="F188" s="36" t="n">
        <x:v>1</x:v>
      </x:c>
      <x:c r="G188" s="36"/>
      <x:c r="H188" s="34" t="str">
        <x:v>process-run-aggregate</x:v>
      </x:c>
      <x:c r="I188" s="36"/>
      <x:c r="J188" s="34" t="str">
        <x:v>warning</x:v>
      </x:c>
      <x:c r="K188" s="34" t="str">
        <x:v>warnings</x:v>
      </x:c>
      <x:c r="L188" s="36" t="n">
        <x:v>15</x:v>
      </x:c>
      <x:c r="M188" s="34"/>
      <x:c r="N188" s="44" t="str">
        <x:v>02-Sep-2026 22:56:26.570 WARNING [http-nio-8080-exec-48] org.apache.commons.jcs4.log.SystemLogAdapter.log Could not register JMX bean.</x:v>
      </x:c>
    </x:row>
    <x:row r="189">
      <x:c r="A189" s="36" t="n">
        <x:v>188</x:v>
      </x:c>
      <x:c r="B189" s="34" t="str">
        <x:v>article1-unified-v4-2-fb3f101b-20260903-000401-default-f01-p6-jcs4</x:v>
      </x:c>
      <x:c r="C189" s="34" t="str">
        <x:v>default</x:v>
      </x:c>
      <x:c r="D189" s="34" t="str">
        <x:v>jcs4</x:v>
      </x:c>
      <x:c r="E189" s="36" t="n">
        <x:v>1</x:v>
      </x:c>
      <x:c r="F189" s="36" t="n">
        <x:v>1</x:v>
      </x:c>
      <x:c r="G189" s="36"/>
      <x:c r="H189" s="34" t="str">
        <x:v>process-run-aggregate</x:v>
      </x:c>
      <x:c r="I189" s="36"/>
      <x:c r="J189" s="34" t="str">
        <x:v>warning</x:v>
      </x:c>
      <x:c r="K189" s="34" t="str">
        <x:v>warnings</x:v>
      </x:c>
      <x:c r="L189" s="36" t="n">
        <x:v>16</x:v>
      </x:c>
      <x:c r="M189" s="34"/>
      <x:c r="N189" s="44" t="str">
        <x:v>02-Sep-2026 22:56:26.590 WARNING [http-nio-8080-exec-48] org.apache.commons.jcs4.log.SystemLogAdapter.log Skipping empty auxiliary name</x:v>
      </x:c>
    </x:row>
    <x:row r="190">
      <x:c r="A190" s="36" t="n">
        <x:v>189</x:v>
      </x:c>
      <x:c r="B190" s="34" t="str">
        <x:v>article1-unified-v4-2-fb3f101b-20260903-000401-default-f01-p6-jcs4</x:v>
      </x:c>
      <x:c r="C190" s="34" t="str">
        <x:v>default</x:v>
      </x:c>
      <x:c r="D190" s="34" t="str">
        <x:v>jcs4</x:v>
      </x:c>
      <x:c r="E190" s="36" t="n">
        <x:v>1</x:v>
      </x:c>
      <x:c r="F190" s="36" t="n">
        <x:v>1</x:v>
      </x:c>
      <x:c r="G190" s="36"/>
      <x:c r="H190" s="34" t="str">
        <x:v>process-run-aggregate</x:v>
      </x:c>
      <x:c r="I190" s="36"/>
      <x:c r="J190" s="34" t="str">
        <x:v>warning</x:v>
      </x:c>
      <x:c r="K190" s="34" t="str">
        <x:v>warnings</x:v>
      </x:c>
      <x:c r="L190" s="36" t="n">
        <x:v>17</x:v>
      </x:c>
      <x:c r="M190" s="34"/>
      <x:c r="N190" s="44" t="str">
        <x:v>02-Sep-2026 22:57:11.890 WARNING [http-nio-8080-exec-52] org.apache.commons.jcs4.log.SystemLogAdapter.log Could not register JMX bean.</x:v>
      </x:c>
    </x:row>
    <x:row r="191">
      <x:c r="A191" s="36" t="n">
        <x:v>190</x:v>
      </x:c>
      <x:c r="B191" s="34" t="str">
        <x:v>article1-unified-v4-2-fb3f101b-20260903-000401-default-f01-p6-jcs4</x:v>
      </x:c>
      <x:c r="C191" s="34" t="str">
        <x:v>default</x:v>
      </x:c>
      <x:c r="D191" s="34" t="str">
        <x:v>jcs4</x:v>
      </x:c>
      <x:c r="E191" s="36" t="n">
        <x:v>1</x:v>
      </x:c>
      <x:c r="F191" s="36" t="n">
        <x:v>1</x:v>
      </x:c>
      <x:c r="G191" s="36"/>
      <x:c r="H191" s="34" t="str">
        <x:v>process-run-aggregate</x:v>
      </x:c>
      <x:c r="I191" s="36"/>
      <x:c r="J191" s="34" t="str">
        <x:v>warning</x:v>
      </x:c>
      <x:c r="K191" s="34" t="str">
        <x:v>warnings</x:v>
      </x:c>
      <x:c r="L191" s="36" t="n">
        <x:v>18</x:v>
      </x:c>
      <x:c r="M191" s="34"/>
      <x:c r="N191" s="44" t="str">
        <x:v>02-Sep-2026 22:57:11.902 WARNING [http-nio-8080-exec-52] org.apache.commons.jcs4.log.SystemLogAdapter.log Skipping empty auxiliary name</x:v>
      </x:c>
    </x:row>
    <x:row r="192">
      <x:c r="A192" s="36" t="n">
        <x:v>191</x:v>
      </x:c>
      <x:c r="B192" s="34" t="str">
        <x:v>article1-unified-v4-2-fb3f101b-20260903-000401-default-f01-p6-jcs4</x:v>
      </x:c>
      <x:c r="C192" s="34" t="str">
        <x:v>default</x:v>
      </x:c>
      <x:c r="D192" s="34" t="str">
        <x:v>jcs4</x:v>
      </x:c>
      <x:c r="E192" s="36" t="n">
        <x:v>1</x:v>
      </x:c>
      <x:c r="F192" s="36" t="n">
        <x:v>1</x:v>
      </x:c>
      <x:c r="G192" s="36"/>
      <x:c r="H192" s="34" t="str">
        <x:v>process-run-aggregate</x:v>
      </x:c>
      <x:c r="I192" s="36"/>
      <x:c r="J192" s="34" t="str">
        <x:v>warning</x:v>
      </x:c>
      <x:c r="K192" s="34" t="str">
        <x:v>warnings</x:v>
      </x:c>
      <x:c r="L192" s="36" t="n">
        <x:v>19</x:v>
      </x:c>
      <x:c r="M192" s="34"/>
      <x:c r="N192" s="44" t="str">
        <x:v>02-Sep-2026 22:57:53.855 WARNING [http-nio-8080-exec-60] org.apache.commons.jcs4.log.SystemLogAdapter.log Could not register JMX bean.</x:v>
      </x:c>
    </x:row>
    <x:row r="193">
      <x:c r="A193" s="36" t="n">
        <x:v>192</x:v>
      </x:c>
      <x:c r="B193" s="34" t="str">
        <x:v>article1-unified-v4-2-fb3f101b-20260903-000401-default-f01-p6-jcs4</x:v>
      </x:c>
      <x:c r="C193" s="34" t="str">
        <x:v>default</x:v>
      </x:c>
      <x:c r="D193" s="34" t="str">
        <x:v>jcs4</x:v>
      </x:c>
      <x:c r="E193" s="36" t="n">
        <x:v>1</x:v>
      </x:c>
      <x:c r="F193" s="36" t="n">
        <x:v>1</x:v>
      </x:c>
      <x:c r="G193" s="36"/>
      <x:c r="H193" s="34" t="str">
        <x:v>process-run-aggregate</x:v>
      </x:c>
      <x:c r="I193" s="36"/>
      <x:c r="J193" s="34" t="str">
        <x:v>warning</x:v>
      </x:c>
      <x:c r="K193" s="34" t="str">
        <x:v>warnings</x:v>
      </x:c>
      <x:c r="L193" s="36" t="n">
        <x:v>20</x:v>
      </x:c>
      <x:c r="M193" s="34"/>
      <x:c r="N193" s="44" t="str">
        <x:v>02-Sep-2026 22:57:53.868 WARNING [http-nio-8080-exec-60] org.apache.commons.jcs4.log.SystemLogAdapter.log Skipping empty auxiliary name</x:v>
      </x:c>
    </x:row>
    <x:row r="194">
      <x:c r="A194" s="36" t="n">
        <x:v>193</x:v>
      </x:c>
      <x:c r="B194" s="34" t="str">
        <x:v>article1-unified-v4-2-fb3f101b-20260903-000401-default-f01-p6-jcs4</x:v>
      </x:c>
      <x:c r="C194" s="34" t="str">
        <x:v>default</x:v>
      </x:c>
      <x:c r="D194" s="34" t="str">
        <x:v>jcs4</x:v>
      </x:c>
      <x:c r="E194" s="36" t="n">
        <x:v>1</x:v>
      </x:c>
      <x:c r="F194" s="36" t="n">
        <x:v>1</x:v>
      </x:c>
      <x:c r="G194" s="36" t="n">
        <x:v>1</x:v>
      </x:c>
      <x:c r="H194" s="34" t="str">
        <x:v>cycle-observation</x:v>
      </x:c>
      <x:c r="I194" s="36" t="n">
        <x:v>1</x:v>
      </x:c>
      <x:c r="J194" s="34" t="str">
        <x:v>tomcat-findleaks-occurrence</x:v>
      </x:c>
      <x:c r="K194" s="34" t="str">
        <x:v>afterUndeploy.tomcatFindLeaksOccurrences</x:v>
      </x:c>
      <x:c r="L194" s="36" t="n">
        <x:v>1</x:v>
      </x:c>
      <x:c r="M194" s="34" t="str">
        <x:v>/jcs4</x:v>
      </x:c>
      <x:c r="N194" s="44" t="str">
        <x:v>/jcs4</x:v>
      </x:c>
    </x:row>
    <x:row r="195">
      <x:c r="A195" s="36" t="n">
        <x:v>194</x:v>
      </x:c>
      <x:c r="B195" s="34" t="str">
        <x:v>article1-unified-v4-2-fb3f101b-20260903-000401-default-f01-p6-jcs4</x:v>
      </x:c>
      <x:c r="C195" s="34" t="str">
        <x:v>default</x:v>
      </x:c>
      <x:c r="D195" s="34" t="str">
        <x:v>jcs4</x:v>
      </x:c>
      <x:c r="E195" s="36" t="n">
        <x:v>1</x:v>
      </x:c>
      <x:c r="F195" s="36" t="n">
        <x:v>1</x:v>
      </x:c>
      <x:c r="G195" s="36" t="n">
        <x:v>1</x:v>
      </x:c>
      <x:c r="H195" s="34" t="str">
        <x:v>cycle-observation</x:v>
      </x:c>
      <x:c r="I195" s="36" t="n">
        <x:v>2</x:v>
      </x:c>
      <x:c r="J195" s="34" t="str">
        <x:v>tomcat-findleaks-occurrence</x:v>
      </x:c>
      <x:c r="K195" s="34" t="str">
        <x:v>afterFinalUndeploy.tomcatFindLeaksOccurrences</x:v>
      </x:c>
      <x:c r="L195" s="36" t="n">
        <x:v>1</x:v>
      </x:c>
      <x:c r="M195" s="34" t="str">
        <x:v>/jcs4</x:v>
      </x:c>
      <x:c r="N195" s="44" t="str">
        <x:v>/jcs4</x:v>
      </x:c>
    </x:row>
    <x:row r="196">
      <x:c r="A196" s="36" t="n">
        <x:v>195</x:v>
      </x:c>
      <x:c r="B196" s="34" t="str">
        <x:v>article1-unified-v4-2-fb3f101b-20260903-000401-default-f01-p6-jcs4</x:v>
      </x:c>
      <x:c r="C196" s="34" t="str">
        <x:v>default</x:v>
      </x:c>
      <x:c r="D196" s="34" t="str">
        <x:v>jcs4</x:v>
      </x:c>
      <x:c r="E196" s="36" t="n">
        <x:v>1</x:v>
      </x:c>
      <x:c r="F196" s="36" t="n">
        <x:v>1</x:v>
      </x:c>
      <x:c r="G196" s="36" t="n">
        <x:v>2</x:v>
      </x:c>
      <x:c r="H196" s="34" t="str">
        <x:v>cycle-observation</x:v>
      </x:c>
      <x:c r="I196" s="36" t="n">
        <x:v>1</x:v>
      </x:c>
      <x:c r="J196" s="34" t="str">
        <x:v>tomcat-findleaks-occurrence</x:v>
      </x:c>
      <x:c r="K196" s="34" t="str">
        <x:v>afterUndeploy.tomcatFindLeaksOccurrences</x:v>
      </x:c>
      <x:c r="L196" s="36" t="n">
        <x:v>1</x:v>
      </x:c>
      <x:c r="M196" s="34" t="str">
        <x:v>/jcs4</x:v>
      </x:c>
      <x:c r="N196" s="44" t="str">
        <x:v>/jcs4</x:v>
      </x:c>
    </x:row>
    <x:row r="197">
      <x:c r="A197" s="36" t="n">
        <x:v>196</x:v>
      </x:c>
      <x:c r="B197" s="34" t="str">
        <x:v>article1-unified-v4-2-fb3f101b-20260903-000401-default-f01-p6-jcs4</x:v>
      </x:c>
      <x:c r="C197" s="34" t="str">
        <x:v>default</x:v>
      </x:c>
      <x:c r="D197" s="34" t="str">
        <x:v>jcs4</x:v>
      </x:c>
      <x:c r="E197" s="36" t="n">
        <x:v>1</x:v>
      </x:c>
      <x:c r="F197" s="36" t="n">
        <x:v>1</x:v>
      </x:c>
      <x:c r="G197" s="36" t="n">
        <x:v>2</x:v>
      </x:c>
      <x:c r="H197" s="34" t="str">
        <x:v>cycle-observation</x:v>
      </x:c>
      <x:c r="I197" s="36" t="n">
        <x:v>2</x:v>
      </x:c>
      <x:c r="J197" s="34" t="str">
        <x:v>tomcat-findleaks-occurrence</x:v>
      </x:c>
      <x:c r="K197" s="34" t="str">
        <x:v>afterFinalUndeploy.tomcatFindLeaksOccurrences</x:v>
      </x:c>
      <x:c r="L197" s="36" t="n">
        <x:v>1</x:v>
      </x:c>
      <x:c r="M197" s="34" t="str">
        <x:v>/jcs4</x:v>
      </x:c>
      <x:c r="N197" s="44" t="str">
        <x:v>/jcs4</x:v>
      </x:c>
    </x:row>
    <x:row r="198">
      <x:c r="A198" s="36" t="n">
        <x:v>197</x:v>
      </x:c>
      <x:c r="B198" s="34" t="str">
        <x:v>article1-unified-v4-2-fb3f101b-20260903-000401-default-f01-p6-jcs4</x:v>
      </x:c>
      <x:c r="C198" s="34" t="str">
        <x:v>default</x:v>
      </x:c>
      <x:c r="D198" s="34" t="str">
        <x:v>jcs4</x:v>
      </x:c>
      <x:c r="E198" s="36" t="n">
        <x:v>1</x:v>
      </x:c>
      <x:c r="F198" s="36" t="n">
        <x:v>1</x:v>
      </x:c>
      <x:c r="G198" s="36" t="n">
        <x:v>3</x:v>
      </x:c>
      <x:c r="H198" s="34" t="str">
        <x:v>cycle-observation</x:v>
      </x:c>
      <x:c r="I198" s="36" t="n">
        <x:v>1</x:v>
      </x:c>
      <x:c r="J198" s="34" t="str">
        <x:v>tomcat-findleaks-occurrence</x:v>
      </x:c>
      <x:c r="K198" s="34" t="str">
        <x:v>afterUndeploy.tomcatFindLeaksOccurrences</x:v>
      </x:c>
      <x:c r="L198" s="36" t="n">
        <x:v>1</x:v>
      </x:c>
      <x:c r="M198" s="34" t="str">
        <x:v>/jcs4</x:v>
      </x:c>
      <x:c r="N198" s="44" t="str">
        <x:v>/jcs4</x:v>
      </x:c>
    </x:row>
    <x:row r="199">
      <x:c r="A199" s="36" t="n">
        <x:v>198</x:v>
      </x:c>
      <x:c r="B199" s="34" t="str">
        <x:v>article1-unified-v4-2-fb3f101b-20260903-000401-default-f01-p6-jcs4</x:v>
      </x:c>
      <x:c r="C199" s="34" t="str">
        <x:v>default</x:v>
      </x:c>
      <x:c r="D199" s="34" t="str">
        <x:v>jcs4</x:v>
      </x:c>
      <x:c r="E199" s="36" t="n">
        <x:v>1</x:v>
      </x:c>
      <x:c r="F199" s="36" t="n">
        <x:v>1</x:v>
      </x:c>
      <x:c r="G199" s="36" t="n">
        <x:v>3</x:v>
      </x:c>
      <x:c r="H199" s="34" t="str">
        <x:v>cycle-observation</x:v>
      </x:c>
      <x:c r="I199" s="36" t="n">
        <x:v>2</x:v>
      </x:c>
      <x:c r="J199" s="34" t="str">
        <x:v>tomcat-findleaks-occurrence</x:v>
      </x:c>
      <x:c r="K199" s="34" t="str">
        <x:v>afterFinalUndeploy.tomcatFindLeaksOccurrences</x:v>
      </x:c>
      <x:c r="L199" s="36" t="n">
        <x:v>1</x:v>
      </x:c>
      <x:c r="M199" s="34" t="str">
        <x:v>/jcs4</x:v>
      </x:c>
      <x:c r="N199" s="44" t="str">
        <x:v>/jcs4</x:v>
      </x:c>
    </x:row>
    <x:row r="200">
      <x:c r="A200" s="36" t="n">
        <x:v>199</x:v>
      </x:c>
      <x:c r="B200" s="34" t="str">
        <x:v>article1-unified-v4-2-fb3f101b-20260903-000401-default-f01-p6-jcs4</x:v>
      </x:c>
      <x:c r="C200" s="34" t="str">
        <x:v>default</x:v>
      </x:c>
      <x:c r="D200" s="34" t="str">
        <x:v>jcs4</x:v>
      </x:c>
      <x:c r="E200" s="36" t="n">
        <x:v>1</x:v>
      </x:c>
      <x:c r="F200" s="36" t="n">
        <x:v>1</x:v>
      </x:c>
      <x:c r="G200" s="36" t="n">
        <x:v>4</x:v>
      </x:c>
      <x:c r="H200" s="34" t="str">
        <x:v>cycle-observation</x:v>
      </x:c>
      <x:c r="I200" s="36" t="n">
        <x:v>1</x:v>
      </x:c>
      <x:c r="J200" s="34" t="str">
        <x:v>tomcat-findleaks-occurrence</x:v>
      </x:c>
      <x:c r="K200" s="34" t="str">
        <x:v>afterUndeploy.tomcatFindLeaksOccurrences</x:v>
      </x:c>
      <x:c r="L200" s="36" t="n">
        <x:v>1</x:v>
      </x:c>
      <x:c r="M200" s="34" t="str">
        <x:v>/jcs4</x:v>
      </x:c>
      <x:c r="N200" s="44" t="str">
        <x:v>/jcs4</x:v>
      </x:c>
    </x:row>
    <x:row r="201">
      <x:c r="A201" s="36" t="n">
        <x:v>200</x:v>
      </x:c>
      <x:c r="B201" s="34" t="str">
        <x:v>article1-unified-v4-2-fb3f101b-20260903-000401-default-f01-p6-jcs4</x:v>
      </x:c>
      <x:c r="C201" s="34" t="str">
        <x:v>default</x:v>
      </x:c>
      <x:c r="D201" s="34" t="str">
        <x:v>jcs4</x:v>
      </x:c>
      <x:c r="E201" s="36" t="n">
        <x:v>1</x:v>
      </x:c>
      <x:c r="F201" s="36" t="n">
        <x:v>1</x:v>
      </x:c>
      <x:c r="G201" s="36" t="n">
        <x:v>4</x:v>
      </x:c>
      <x:c r="H201" s="34" t="str">
        <x:v>cycle-observation</x:v>
      </x:c>
      <x:c r="I201" s="36" t="n">
        <x:v>2</x:v>
      </x:c>
      <x:c r="J201" s="34" t="str">
        <x:v>tomcat-findleaks-occurrence</x:v>
      </x:c>
      <x:c r="K201" s="34" t="str">
        <x:v>afterFinalUndeploy.tomcatFindLeaksOccurrences</x:v>
      </x:c>
      <x:c r="L201" s="36" t="n">
        <x:v>1</x:v>
      </x:c>
      <x:c r="M201" s="34" t="str">
        <x:v>/jcs4</x:v>
      </x:c>
      <x:c r="N201" s="44" t="str">
        <x:v>/jcs4</x:v>
      </x:c>
    </x:row>
    <x:row r="202">
      <x:c r="A202" s="36" t="n">
        <x:v>201</x:v>
      </x:c>
      <x:c r="B202" s="34" t="str">
        <x:v>article1-unified-v4-2-fb3f101b-20260903-000401-default-f01-p6-jcs4</x:v>
      </x:c>
      <x:c r="C202" s="34" t="str">
        <x:v>default</x:v>
      </x:c>
      <x:c r="D202" s="34" t="str">
        <x:v>jcs4</x:v>
      </x:c>
      <x:c r="E202" s="36" t="n">
        <x:v>1</x:v>
      </x:c>
      <x:c r="F202" s="36" t="n">
        <x:v>1</x:v>
      </x:c>
      <x:c r="G202" s="36" t="n">
        <x:v>5</x:v>
      </x:c>
      <x:c r="H202" s="34" t="str">
        <x:v>cycle-observation</x:v>
      </x:c>
      <x:c r="I202" s="36" t="n">
        <x:v>1</x:v>
      </x:c>
      <x:c r="J202" s="34" t="str">
        <x:v>tomcat-findleaks-occurrence</x:v>
      </x:c>
      <x:c r="K202" s="34" t="str">
        <x:v>afterUndeploy.tomcatFindLeaksOccurrences</x:v>
      </x:c>
      <x:c r="L202" s="36" t="n">
        <x:v>1</x:v>
      </x:c>
      <x:c r="M202" s="34" t="str">
        <x:v>/jcs4</x:v>
      </x:c>
      <x:c r="N202" s="44" t="str">
        <x:v>/jcs4</x:v>
      </x:c>
    </x:row>
    <x:row r="203">
      <x:c r="A203" s="36" t="n">
        <x:v>202</x:v>
      </x:c>
      <x:c r="B203" s="34" t="str">
        <x:v>article1-unified-v4-2-fb3f101b-20260903-000401-default-f01-p6-jcs4</x:v>
      </x:c>
      <x:c r="C203" s="34" t="str">
        <x:v>default</x:v>
      </x:c>
      <x:c r="D203" s="34" t="str">
        <x:v>jcs4</x:v>
      </x:c>
      <x:c r="E203" s="36" t="n">
        <x:v>1</x:v>
      </x:c>
      <x:c r="F203" s="36" t="n">
        <x:v>1</x:v>
      </x:c>
      <x:c r="G203" s="36" t="n">
        <x:v>5</x:v>
      </x:c>
      <x:c r="H203" s="34" t="str">
        <x:v>cycle-observation</x:v>
      </x:c>
      <x:c r="I203" s="36" t="n">
        <x:v>2</x:v>
      </x:c>
      <x:c r="J203" s="34" t="str">
        <x:v>tomcat-findleaks-occurrence</x:v>
      </x:c>
      <x:c r="K203" s="34" t="str">
        <x:v>afterFinalUndeploy.tomcatFindLeaksOccurrences</x:v>
      </x:c>
      <x:c r="L203" s="36" t="n">
        <x:v>1</x:v>
      </x:c>
      <x:c r="M203" s="34" t="str">
        <x:v>/jcs4</x:v>
      </x:c>
      <x:c r="N203" s="44" t="str">
        <x:v>/jcs4</x:v>
      </x:c>
    </x:row>
    <x:row r="204">
      <x:c r="A204" s="36" t="n">
        <x:v>203</x:v>
      </x:c>
      <x:c r="B204" s="34" t="str">
        <x:v>article1-unified-v4-2-fb3f101b-20260903-000401-default-f02-p1-ehcache</x:v>
      </x:c>
      <x:c r="C204" s="34" t="str">
        <x:v>default</x:v>
      </x:c>
      <x:c r="D204" s="34" t="str">
        <x:v>ehcache</x:v>
      </x:c>
      <x:c r="E204" s="36" t="n">
        <x:v>2</x:v>
      </x:c>
      <x:c r="F204" s="36" t="n">
        <x:v>2</x:v>
      </x:c>
      <x:c r="G204" s="36"/>
      <x:c r="H204" s="34" t="str">
        <x:v>process-run-aggregate</x:v>
      </x:c>
      <x:c r="I204" s="36"/>
      <x:c r="J204" s="34" t="str">
        <x:v>warning</x:v>
      </x:c>
      <x:c r="K204" s="34" t="str">
        <x:v>warnings</x:v>
      </x:c>
      <x:c r="L204" s="36" t="n">
        <x:v>1</x:v>
      </x:c>
      <x:c r="M204" s="34"/>
      <x:c r="N204" s="44" t="str">
        <x:v>WARNING: A terminally deprecated method in sun.misc.Unsafe has been called</x:v>
      </x:c>
    </x:row>
    <x:row r="205">
      <x:c r="A205" s="36" t="n">
        <x:v>204</x:v>
      </x:c>
      <x:c r="B205" s="34" t="str">
        <x:v>article1-unified-v4-2-fb3f101b-20260903-000401-default-f02-p1-ehcache</x:v>
      </x:c>
      <x:c r="C205" s="34" t="str">
        <x:v>default</x:v>
      </x:c>
      <x:c r="D205" s="34" t="str">
        <x:v>ehcache</x:v>
      </x:c>
      <x:c r="E205" s="36" t="n">
        <x:v>2</x:v>
      </x:c>
      <x:c r="F205" s="36" t="n">
        <x:v>2</x:v>
      </x:c>
      <x:c r="G205" s="36"/>
      <x:c r="H205" s="34" t="str">
        <x:v>process-run-aggregate</x:v>
      </x:c>
      <x:c r="I205" s="36"/>
      <x:c r="J205" s="34" t="str">
        <x:v>warning</x:v>
      </x:c>
      <x:c r="K205" s="34" t="str">
        <x:v>warnings</x:v>
      </x:c>
      <x:c r="L205" s="36" t="n">
        <x:v>2</x:v>
      </x:c>
      <x:c r="M205" s="34"/>
      <x:c r="N205" s="44" t="str">
        <x:v>WARNING: sun.misc.Unsafe::objectFieldOffset has been called by org.ehcache.impl.internal.concurrent.ThreadLocalRandomUtil (file:/usr/local/tomcat/webapps/ehcache/WEB-INF/lib/ehcache-3.12.0.jar)</x:v>
      </x:c>
    </x:row>
    <x:row r="206">
      <x:c r="A206" s="36" t="n">
        <x:v>205</x:v>
      </x:c>
      <x:c r="B206" s="34" t="str">
        <x:v>article1-unified-v4-2-fb3f101b-20260903-000401-default-f02-p1-ehcache</x:v>
      </x:c>
      <x:c r="C206" s="34" t="str">
        <x:v>default</x:v>
      </x:c>
      <x:c r="D206" s="34" t="str">
        <x:v>ehcache</x:v>
      </x:c>
      <x:c r="E206" s="36" t="n">
        <x:v>2</x:v>
      </x:c>
      <x:c r="F206" s="36" t="n">
        <x:v>2</x:v>
      </x:c>
      <x:c r="G206" s="36"/>
      <x:c r="H206" s="34" t="str">
        <x:v>process-run-aggregate</x:v>
      </x:c>
      <x:c r="I206" s="36"/>
      <x:c r="J206" s="34" t="str">
        <x:v>warning</x:v>
      </x:c>
      <x:c r="K206" s="34" t="str">
        <x:v>warnings</x:v>
      </x:c>
      <x:c r="L206" s="36" t="n">
        <x:v>3</x:v>
      </x:c>
      <x:c r="M206" s="34"/>
      <x:c r="N206" s="44" t="str">
        <x:v>WARNING: Please consider reporting this to the maintainers of class org.ehcache.impl.internal.concurrent.ThreadLocalRandomUtil</x:v>
      </x:c>
    </x:row>
    <x:row r="207">
      <x:c r="A207" s="36" t="n">
        <x:v>206</x:v>
      </x:c>
      <x:c r="B207" s="34" t="str">
        <x:v>article1-unified-v4-2-fb3f101b-20260903-000401-default-f02-p1-ehcache</x:v>
      </x:c>
      <x:c r="C207" s="34" t="str">
        <x:v>default</x:v>
      </x:c>
      <x:c r="D207" s="34" t="str">
        <x:v>ehcache</x:v>
      </x:c>
      <x:c r="E207" s="36" t="n">
        <x:v>2</x:v>
      </x:c>
      <x:c r="F207" s="36" t="n">
        <x:v>2</x:v>
      </x:c>
      <x:c r="G207" s="36"/>
      <x:c r="H207" s="34" t="str">
        <x:v>process-run-aggregate</x:v>
      </x:c>
      <x:c r="I207" s="36"/>
      <x:c r="J207" s="34" t="str">
        <x:v>warning</x:v>
      </x:c>
      <x:c r="K207" s="34" t="str">
        <x:v>warnings</x:v>
      </x:c>
      <x:c r="L207" s="36" t="n">
        <x:v>4</x:v>
      </x:c>
      <x:c r="M207" s="34"/>
      <x:c r="N207" s="44" t="str">
        <x:v>WARNING: sun.misc.Unsafe::objectFieldOffset will be removed in a future release</x:v>
      </x:c>
    </x:row>
    <x:row r="208">
      <x:c r="A208" s="36" t="n">
        <x:v>207</x:v>
      </x:c>
      <x:c r="B208" s="34" t="str">
        <x:v>article1-unified-v4-2-fb3f101b-20260903-000401-default-f02-p1-ehcache</x:v>
      </x:c>
      <x:c r="C208" s="34" t="str">
        <x:v>default</x:v>
      </x:c>
      <x:c r="D208" s="34" t="str">
        <x:v>ehcache</x:v>
      </x:c>
      <x:c r="E208" s="36" t="n">
        <x:v>2</x:v>
      </x:c>
      <x:c r="F208" s="36" t="n">
        <x:v>2</x:v>
      </x:c>
      <x:c r="G208" s="36"/>
      <x:c r="H208" s="34" t="str">
        <x:v>process-run-aggregate</x:v>
      </x:c>
      <x:c r="I208" s="36"/>
      <x:c r="J208" s="34" t="str">
        <x:v>warning</x:v>
      </x:c>
      <x:c r="K208" s="34" t="str">
        <x:v>warnings</x:v>
      </x:c>
      <x:c r="L208" s="36" t="n">
        <x:v>5</x:v>
      </x:c>
      <x:c r="M208" s="34"/>
      <x:c r="N208" s="44" t="str">
        <x:v>02-Sep-2026 22:59:30.956 WARNING [http-nio-8080-exec-2] org.apache.catalina.loader.WebappClassLoaderBase.clearReferencesThreads The web application [ehcache] appears to have started a thread named [Catalina-utility-2] but has failed to stop it. This is very likely to create a memory leak. Stack trace of thread:</x:v>
      </x:c>
    </x:row>
    <x:row r="209">
      <x:c r="A209" s="36" t="n">
        <x:v>208</x:v>
      </x:c>
      <x:c r="B209" s="34" t="str">
        <x:v>article1-unified-v4-2-fb3f101b-20260903-000401-default-f02-p1-ehcache</x:v>
      </x:c>
      <x:c r="C209" s="34" t="str">
        <x:v>default</x:v>
      </x:c>
      <x:c r="D209" s="34" t="str">
        <x:v>ehcache</x:v>
      </x:c>
      <x:c r="E209" s="36" t="n">
        <x:v>2</x:v>
      </x:c>
      <x:c r="F209" s="36" t="n">
        <x:v>2</x:v>
      </x:c>
      <x:c r="G209" s="36"/>
      <x:c r="H209" s="34" t="str">
        <x:v>process-run-aggregate</x:v>
      </x:c>
      <x:c r="I209" s="36"/>
      <x:c r="J209" s="34" t="str">
        <x:v>leak-warning</x:v>
      </x:c>
      <x:c r="K209" s="34" t="str">
        <x:v>leakWarnings</x:v>
      </x:c>
      <x:c r="L209" s="36" t="n">
        <x:v>1</x:v>
      </x:c>
      <x:c r="M209" s="34"/>
      <x:c r="N209" s="44" t="str">
        <x:v>02-Sep-2026 22:59:30.956 WARNING [http-nio-8080-exec-2] org.apache.catalina.loader.WebappClassLoaderBase.clearReferencesThreads The web application [ehcache] appears to have started a thread named [Catalina-utility-2] but has failed to stop it. This is very likely to create a memory leak. Stack trace of thread:</x:v>
      </x:c>
    </x:row>
    <x:row r="210">
      <x:c r="A210" s="36" t="n">
        <x:v>209</x:v>
      </x:c>
      <x:c r="B210" s="34" t="str">
        <x:v>article1-unified-v4-2-fb3f101b-20260903-000401-default-f02-p1-ehcache</x:v>
      </x:c>
      <x:c r="C210" s="34" t="str">
        <x:v>default</x:v>
      </x:c>
      <x:c r="D210" s="34" t="str">
        <x:v>ehcache</x:v>
      </x:c>
      <x:c r="E210" s="36" t="n">
        <x:v>2</x:v>
      </x:c>
      <x:c r="F210" s="36" t="n">
        <x:v>2</x:v>
      </x:c>
      <x:c r="G210" s="36"/>
      <x:c r="H210" s="34" t="str">
        <x:v>process-run-aggregate</x:v>
      </x:c>
      <x:c r="I210" s="36"/>
      <x:c r="J210" s="34" t="str">
        <x:v>thread-leak-warning</x:v>
      </x:c>
      <x:c r="K210" s="34" t="str">
        <x:v>threadLeakWarnings</x:v>
      </x:c>
      <x:c r="L210" s="36" t="n">
        <x:v>1</x:v>
      </x:c>
      <x:c r="M210" s="34"/>
      <x:c r="N210" s="44" t="str">
        <x:v>02-Sep-2026 22:59:30.956 WARNING [http-nio-8080-exec-2] org.apache.catalina.loader.WebappClassLoaderBase.clearReferencesThreads The web application [ehcache] appears to have started a thread named [Catalina-utility-2] but has failed to stop it. This is very likely to create a memory leak. Stack trace of thread:</x:v>
      </x:c>
    </x:row>
    <x:row r="211">
      <x:c r="A211" s="36" t="n">
        <x:v>210</x:v>
      </x:c>
      <x:c r="B211" s="34" t="str">
        <x:v>article1-unified-v4-2-fb3f101b-20260903-000401-default-f02-p1-ehcache</x:v>
      </x:c>
      <x:c r="C211" s="34" t="str">
        <x:v>default</x:v>
      </x:c>
      <x:c r="D211" s="34" t="str">
        <x:v>ehcache</x:v>
      </x:c>
      <x:c r="E211" s="36" t="n">
        <x:v>2</x:v>
      </x:c>
      <x:c r="F211" s="36" t="n">
        <x:v>2</x:v>
      </x:c>
      <x:c r="G211" s="36" t="n">
        <x:v>1</x:v>
      </x:c>
      <x:c r="H211" s="34" t="str">
        <x:v>cycle-window</x:v>
      </x:c>
      <x:c r="I211" s="36" t="n">
        <x:v>1</x:v>
      </x:c>
      <x:c r="J211" s="34" t="str">
        <x:v>warning</x:v>
      </x:c>
      <x:c r="K211" s="34" t="str">
        <x:v>firstUndeployWarnings</x:v>
      </x:c>
      <x:c r="L211" s="36" t="n">
        <x:v>1</x:v>
      </x:c>
      <x:c r="M211" s="34"/>
      <x:c r="N211" s="44" t="str">
        <x:v>02-Sep-2026 22:59:30.956 WARNING [http-nio-8080-exec-2] org.apache.catalina.loader.WebappClassLoaderBase.clearReferencesThreads The web application [ehcache] appears to have started a thread named [Catalina-utility-2] but has failed to stop it. This is very likely to create a memory leak. Stack trace of thread:</x:v>
      </x:c>
    </x:row>
    <x:row r="212">
      <x:c r="A212" s="36" t="n">
        <x:v>211</x:v>
      </x:c>
      <x:c r="B212" s="34" t="str">
        <x:v>article1-unified-v4-2-fb3f101b-20260903-000401-default-f02-p1-ehcache</x:v>
      </x:c>
      <x:c r="C212" s="34" t="str">
        <x:v>default</x:v>
      </x:c>
      <x:c r="D212" s="34" t="str">
        <x:v>ehcache</x:v>
      </x:c>
      <x:c r="E212" s="36" t="n">
        <x:v>2</x:v>
      </x:c>
      <x:c r="F212" s="36" t="n">
        <x:v>2</x:v>
      </x:c>
      <x:c r="G212" s="36" t="n">
        <x:v>1</x:v>
      </x:c>
      <x:c r="H212" s="34" t="str">
        <x:v>cycle-window</x:v>
      </x:c>
      <x:c r="I212" s="36" t="n">
        <x:v>1</x:v>
      </x:c>
      <x:c r="J212" s="34" t="str">
        <x:v>leak-warning</x:v>
      </x:c>
      <x:c r="K212" s="34" t="str">
        <x:v>firstUndeployLeakWarnings</x:v>
      </x:c>
      <x:c r="L212" s="36" t="n">
        <x:v>1</x:v>
      </x:c>
      <x:c r="M212" s="34"/>
      <x:c r="N212" s="44" t="str">
        <x:v>02-Sep-2026 22:59:30.956 WARNING [http-nio-8080-exec-2] org.apache.catalina.loader.WebappClassLoaderBase.clearReferencesThreads The web application [ehcache] appears to have started a thread named [Catalina-utility-2] but has failed to stop it. This is very likely to create a memory leak. Stack trace of thread:</x:v>
      </x:c>
    </x:row>
    <x:row r="213">
      <x:c r="A213" s="36" t="n">
        <x:v>212</x:v>
      </x:c>
      <x:c r="B213" s="34" t="str">
        <x:v>article1-unified-v4-2-fb3f101b-20260903-000401-default-f02-p1-ehcache</x:v>
      </x:c>
      <x:c r="C213" s="34" t="str">
        <x:v>default</x:v>
      </x:c>
      <x:c r="D213" s="34" t="str">
        <x:v>ehcache</x:v>
      </x:c>
      <x:c r="E213" s="36" t="n">
        <x:v>2</x:v>
      </x:c>
      <x:c r="F213" s="36" t="n">
        <x:v>2</x:v>
      </x:c>
      <x:c r="G213" s="36" t="n">
        <x:v>1</x:v>
      </x:c>
      <x:c r="H213" s="34" t="str">
        <x:v>cycle-window</x:v>
      </x:c>
      <x:c r="I213" s="36" t="n">
        <x:v>1</x:v>
      </x:c>
      <x:c r="J213" s="34" t="str">
        <x:v>thread-leak-warning</x:v>
      </x:c>
      <x:c r="K213" s="34" t="str">
        <x:v>firstUndeployThreadLeakWarnings</x:v>
      </x:c>
      <x:c r="L213" s="36" t="n">
        <x:v>1</x:v>
      </x:c>
      <x:c r="M213" s="34"/>
      <x:c r="N213" s="44" t="str">
        <x:v>02-Sep-2026 22:59:30.956 WARNING [http-nio-8080-exec-2] org.apache.catalina.loader.WebappClassLoaderBase.clearReferencesThreads The web application [ehcache] appears to have started a thread named [Catalina-utility-2] but has failed to stop it. This is very likely to create a memory leak. Stack trace of thread:</x:v>
      </x:c>
    </x:row>
    <x:row r="214">
      <x:c r="A214" s="36" t="n">
        <x:v>213</x:v>
      </x:c>
      <x:c r="B214" s="34" t="str">
        <x:v>article1-unified-v4-2-fb3f101b-20260903-000401-default-f02-p1-ehcache</x:v>
      </x:c>
      <x:c r="C214" s="34" t="str">
        <x:v>default</x:v>
      </x:c>
      <x:c r="D214" s="34" t="str">
        <x:v>ehcache</x:v>
      </x:c>
      <x:c r="E214" s="36" t="n">
        <x:v>2</x:v>
      </x:c>
      <x:c r="F214" s="36" t="n">
        <x:v>2</x:v>
      </x:c>
      <x:c r="G214" s="36" t="n">
        <x:v>1</x:v>
      </x:c>
      <x:c r="H214" s="34" t="str">
        <x:v>cycle-observation</x:v>
      </x:c>
      <x:c r="I214" s="36" t="n">
        <x:v>1</x:v>
      </x:c>
      <x:c r="J214" s="34" t="str">
        <x:v>tomcat-findleaks-occurrence</x:v>
      </x:c>
      <x:c r="K214" s="34" t="str">
        <x:v>afterUndeploy.tomcatFindLeaksOccurrences</x:v>
      </x:c>
      <x:c r="L214" s="36" t="n">
        <x:v>1</x:v>
      </x:c>
      <x:c r="M214" s="34" t="str">
        <x:v>/ehcache</x:v>
      </x:c>
      <x:c r="N214" s="44" t="str">
        <x:v>/ehcache</x:v>
      </x:c>
    </x:row>
    <x:row r="215">
      <x:c r="A215" s="36" t="n">
        <x:v>214</x:v>
      </x:c>
      <x:c r="B215" s="34" t="str">
        <x:v>article1-unified-v4-2-fb3f101b-20260903-000401-default-f02-p1-ehcache</x:v>
      </x:c>
      <x:c r="C215" s="34" t="str">
        <x:v>default</x:v>
      </x:c>
      <x:c r="D215" s="34" t="str">
        <x:v>ehcache</x:v>
      </x:c>
      <x:c r="E215" s="36" t="n">
        <x:v>2</x:v>
      </x:c>
      <x:c r="F215" s="36" t="n">
        <x:v>2</x:v>
      </x:c>
      <x:c r="G215" s="36" t="n">
        <x:v>1</x:v>
      </x:c>
      <x:c r="H215" s="34" t="str">
        <x:v>cycle-observation</x:v>
      </x:c>
      <x:c r="I215" s="36" t="n">
        <x:v>2</x:v>
      </x:c>
      <x:c r="J215" s="34" t="str">
        <x:v>tomcat-findleaks-occurrence</x:v>
      </x:c>
      <x:c r="K215" s="34" t="str">
        <x:v>afterFinalUndeploy.tomcatFindLeaksOccurrences</x:v>
      </x:c>
      <x:c r="L215" s="36" t="n">
        <x:v>1</x:v>
      </x:c>
      <x:c r="M215" s="34" t="str">
        <x:v>/ehcache</x:v>
      </x:c>
      <x:c r="N215" s="44" t="str">
        <x:v>/ehcache</x:v>
      </x:c>
    </x:row>
    <x:row r="216">
      <x:c r="A216" s="36" t="n">
        <x:v>215</x:v>
      </x:c>
      <x:c r="B216" s="34" t="str">
        <x:v>article1-unified-v4-2-fb3f101b-20260903-000401-default-f02-p1-ehcache</x:v>
      </x:c>
      <x:c r="C216" s="34" t="str">
        <x:v>default</x:v>
      </x:c>
      <x:c r="D216" s="34" t="str">
        <x:v>ehcache</x:v>
      </x:c>
      <x:c r="E216" s="36" t="n">
        <x:v>2</x:v>
      </x:c>
      <x:c r="F216" s="36" t="n">
        <x:v>2</x:v>
      </x:c>
      <x:c r="G216" s="36" t="n">
        <x:v>2</x:v>
      </x:c>
      <x:c r="H216" s="34" t="str">
        <x:v>cycle-observation</x:v>
      </x:c>
      <x:c r="I216" s="36" t="n">
        <x:v>1</x:v>
      </x:c>
      <x:c r="J216" s="34" t="str">
        <x:v>tomcat-findleaks-occurrence</x:v>
      </x:c>
      <x:c r="K216" s="34" t="str">
        <x:v>afterUndeploy.tomcatFindLeaksOccurrences</x:v>
      </x:c>
      <x:c r="L216" s="36" t="n">
        <x:v>1</x:v>
      </x:c>
      <x:c r="M216" s="34" t="str">
        <x:v>/ehcache</x:v>
      </x:c>
      <x:c r="N216" s="44" t="str">
        <x:v>/ehcache</x:v>
      </x:c>
    </x:row>
    <x:row r="217">
      <x:c r="A217" s="36" t="n">
        <x:v>216</x:v>
      </x:c>
      <x:c r="B217" s="34" t="str">
        <x:v>article1-unified-v4-2-fb3f101b-20260903-000401-default-f02-p1-ehcache</x:v>
      </x:c>
      <x:c r="C217" s="34" t="str">
        <x:v>default</x:v>
      </x:c>
      <x:c r="D217" s="34" t="str">
        <x:v>ehcache</x:v>
      </x:c>
      <x:c r="E217" s="36" t="n">
        <x:v>2</x:v>
      </x:c>
      <x:c r="F217" s="36" t="n">
        <x:v>2</x:v>
      </x:c>
      <x:c r="G217" s="36" t="n">
        <x:v>2</x:v>
      </x:c>
      <x:c r="H217" s="34" t="str">
        <x:v>cycle-observation</x:v>
      </x:c>
      <x:c r="I217" s="36" t="n">
        <x:v>2</x:v>
      </x:c>
      <x:c r="J217" s="34" t="str">
        <x:v>tomcat-findleaks-occurrence</x:v>
      </x:c>
      <x:c r="K217" s="34" t="str">
        <x:v>afterFinalUndeploy.tomcatFindLeaksOccurrences</x:v>
      </x:c>
      <x:c r="L217" s="36" t="n">
        <x:v>1</x:v>
      </x:c>
      <x:c r="M217" s="34" t="str">
        <x:v>/ehcache</x:v>
      </x:c>
      <x:c r="N217" s="44" t="str">
        <x:v>/ehcache</x:v>
      </x:c>
    </x:row>
    <x:row r="218">
      <x:c r="A218" s="36" t="n">
        <x:v>217</x:v>
      </x:c>
      <x:c r="B218" s="34" t="str">
        <x:v>article1-unified-v4-2-fb3f101b-20260903-000401-default-f02-p1-ehcache</x:v>
      </x:c>
      <x:c r="C218" s="34" t="str">
        <x:v>default</x:v>
      </x:c>
      <x:c r="D218" s="34" t="str">
        <x:v>ehcache</x:v>
      </x:c>
      <x:c r="E218" s="36" t="n">
        <x:v>2</x:v>
      </x:c>
      <x:c r="F218" s="36" t="n">
        <x:v>2</x:v>
      </x:c>
      <x:c r="G218" s="36" t="n">
        <x:v>3</x:v>
      </x:c>
      <x:c r="H218" s="34" t="str">
        <x:v>cycle-observation</x:v>
      </x:c>
      <x:c r="I218" s="36" t="n">
        <x:v>1</x:v>
      </x:c>
      <x:c r="J218" s="34" t="str">
        <x:v>tomcat-findleaks-occurrence</x:v>
      </x:c>
      <x:c r="K218" s="34" t="str">
        <x:v>afterUndeploy.tomcatFindLeaksOccurrences</x:v>
      </x:c>
      <x:c r="L218" s="36" t="n">
        <x:v>1</x:v>
      </x:c>
      <x:c r="M218" s="34" t="str">
        <x:v>/ehcache</x:v>
      </x:c>
      <x:c r="N218" s="44" t="str">
        <x:v>/ehcache</x:v>
      </x:c>
    </x:row>
    <x:row r="219">
      <x:c r="A219" s="36" t="n">
        <x:v>218</x:v>
      </x:c>
      <x:c r="B219" s="34" t="str">
        <x:v>article1-unified-v4-2-fb3f101b-20260903-000401-default-f02-p1-ehcache</x:v>
      </x:c>
      <x:c r="C219" s="34" t="str">
        <x:v>default</x:v>
      </x:c>
      <x:c r="D219" s="34" t="str">
        <x:v>ehcache</x:v>
      </x:c>
      <x:c r="E219" s="36" t="n">
        <x:v>2</x:v>
      </x:c>
      <x:c r="F219" s="36" t="n">
        <x:v>2</x:v>
      </x:c>
      <x:c r="G219" s="36" t="n">
        <x:v>3</x:v>
      </x:c>
      <x:c r="H219" s="34" t="str">
        <x:v>cycle-observation</x:v>
      </x:c>
      <x:c r="I219" s="36" t="n">
        <x:v>2</x:v>
      </x:c>
      <x:c r="J219" s="34" t="str">
        <x:v>tomcat-findleaks-occurrence</x:v>
      </x:c>
      <x:c r="K219" s="34" t="str">
        <x:v>afterFinalUndeploy.tomcatFindLeaksOccurrences</x:v>
      </x:c>
      <x:c r="L219" s="36" t="n">
        <x:v>1</x:v>
      </x:c>
      <x:c r="M219" s="34" t="str">
        <x:v>/ehcache</x:v>
      </x:c>
      <x:c r="N219" s="44" t="str">
        <x:v>/ehcache</x:v>
      </x:c>
    </x:row>
    <x:row r="220">
      <x:c r="A220" s="36" t="n">
        <x:v>219</x:v>
      </x:c>
      <x:c r="B220" s="34" t="str">
        <x:v>article1-unified-v4-2-fb3f101b-20260903-000401-default-f02-p1-ehcache</x:v>
      </x:c>
      <x:c r="C220" s="34" t="str">
        <x:v>default</x:v>
      </x:c>
      <x:c r="D220" s="34" t="str">
        <x:v>ehcache</x:v>
      </x:c>
      <x:c r="E220" s="36" t="n">
        <x:v>2</x:v>
      </x:c>
      <x:c r="F220" s="36" t="n">
        <x:v>2</x:v>
      </x:c>
      <x:c r="G220" s="36" t="n">
        <x:v>4</x:v>
      </x:c>
      <x:c r="H220" s="34" t="str">
        <x:v>cycle-observation</x:v>
      </x:c>
      <x:c r="I220" s="36" t="n">
        <x:v>1</x:v>
      </x:c>
      <x:c r="J220" s="34" t="str">
        <x:v>tomcat-findleaks-occurrence</x:v>
      </x:c>
      <x:c r="K220" s="34" t="str">
        <x:v>afterUndeploy.tomcatFindLeaksOccurrences</x:v>
      </x:c>
      <x:c r="L220" s="36" t="n">
        <x:v>1</x:v>
      </x:c>
      <x:c r="M220" s="34" t="str">
        <x:v>/ehcache</x:v>
      </x:c>
      <x:c r="N220" s="44" t="str">
        <x:v>/ehcache</x:v>
      </x:c>
    </x:row>
    <x:row r="221">
      <x:c r="A221" s="36" t="n">
        <x:v>220</x:v>
      </x:c>
      <x:c r="B221" s="34" t="str">
        <x:v>article1-unified-v4-2-fb3f101b-20260903-000401-default-f02-p1-ehcache</x:v>
      </x:c>
      <x:c r="C221" s="34" t="str">
        <x:v>default</x:v>
      </x:c>
      <x:c r="D221" s="34" t="str">
        <x:v>ehcache</x:v>
      </x:c>
      <x:c r="E221" s="36" t="n">
        <x:v>2</x:v>
      </x:c>
      <x:c r="F221" s="36" t="n">
        <x:v>2</x:v>
      </x:c>
      <x:c r="G221" s="36" t="n">
        <x:v>4</x:v>
      </x:c>
      <x:c r="H221" s="34" t="str">
        <x:v>cycle-observation</x:v>
      </x:c>
      <x:c r="I221" s="36" t="n">
        <x:v>2</x:v>
      </x:c>
      <x:c r="J221" s="34" t="str">
        <x:v>tomcat-findleaks-occurrence</x:v>
      </x:c>
      <x:c r="K221" s="34" t="str">
        <x:v>afterFinalUndeploy.tomcatFindLeaksOccurrences</x:v>
      </x:c>
      <x:c r="L221" s="36" t="n">
        <x:v>1</x:v>
      </x:c>
      <x:c r="M221" s="34" t="str">
        <x:v>/ehcache</x:v>
      </x:c>
      <x:c r="N221" s="44" t="str">
        <x:v>/ehcache</x:v>
      </x:c>
    </x:row>
    <x:row r="222">
      <x:c r="A222" s="36" t="n">
        <x:v>221</x:v>
      </x:c>
      <x:c r="B222" s="34" t="str">
        <x:v>article1-unified-v4-2-fb3f101b-20260903-000401-default-f02-p1-ehcache</x:v>
      </x:c>
      <x:c r="C222" s="34" t="str">
        <x:v>default</x:v>
      </x:c>
      <x:c r="D222" s="34" t="str">
        <x:v>ehcache</x:v>
      </x:c>
      <x:c r="E222" s="36" t="n">
        <x:v>2</x:v>
      </x:c>
      <x:c r="F222" s="36" t="n">
        <x:v>2</x:v>
      </x:c>
      <x:c r="G222" s="36" t="n">
        <x:v>5</x:v>
      </x:c>
      <x:c r="H222" s="34" t="str">
        <x:v>cycle-observation</x:v>
      </x:c>
      <x:c r="I222" s="36" t="n">
        <x:v>1</x:v>
      </x:c>
      <x:c r="J222" s="34" t="str">
        <x:v>tomcat-findleaks-occurrence</x:v>
      </x:c>
      <x:c r="K222" s="34" t="str">
        <x:v>afterUndeploy.tomcatFindLeaksOccurrences</x:v>
      </x:c>
      <x:c r="L222" s="36" t="n">
        <x:v>1</x:v>
      </x:c>
      <x:c r="M222" s="34" t="str">
        <x:v>/ehcache</x:v>
      </x:c>
      <x:c r="N222" s="44" t="str">
        <x:v>/ehcache</x:v>
      </x:c>
    </x:row>
    <x:row r="223">
      <x:c r="A223" s="36" t="n">
        <x:v>222</x:v>
      </x:c>
      <x:c r="B223" s="34" t="str">
        <x:v>article1-unified-v4-2-fb3f101b-20260903-000401-default-f02-p1-ehcache</x:v>
      </x:c>
      <x:c r="C223" s="34" t="str">
        <x:v>default</x:v>
      </x:c>
      <x:c r="D223" s="34" t="str">
        <x:v>ehcache</x:v>
      </x:c>
      <x:c r="E223" s="36" t="n">
        <x:v>2</x:v>
      </x:c>
      <x:c r="F223" s="36" t="n">
        <x:v>2</x:v>
      </x:c>
      <x:c r="G223" s="36" t="n">
        <x:v>5</x:v>
      </x:c>
      <x:c r="H223" s="34" t="str">
        <x:v>cycle-observation</x:v>
      </x:c>
      <x:c r="I223" s="36" t="n">
        <x:v>2</x:v>
      </x:c>
      <x:c r="J223" s="34" t="str">
        <x:v>tomcat-findleaks-occurrence</x:v>
      </x:c>
      <x:c r="K223" s="34" t="str">
        <x:v>afterFinalUndeploy.tomcatFindLeaksOccurrences</x:v>
      </x:c>
      <x:c r="L223" s="36" t="n">
        <x:v>1</x:v>
      </x:c>
      <x:c r="M223" s="34" t="str">
        <x:v>/ehcache</x:v>
      </x:c>
      <x:c r="N223" s="44" t="str">
        <x:v>/ehcache</x:v>
      </x:c>
    </x:row>
    <x:row r="224">
      <x:c r="A224" s="36" t="n">
        <x:v>223</x:v>
      </x:c>
      <x:c r="B224" s="34" t="str">
        <x:v>article1-unified-v4-2-fb3f101b-20260903-000401-default-f02-p2-cache2k</x:v>
      </x:c>
      <x:c r="C224" s="34" t="str">
        <x:v>default</x:v>
      </x:c>
      <x:c r="D224" s="34" t="str">
        <x:v>cache2k</x:v>
      </x:c>
      <x:c r="E224" s="36" t="n">
        <x:v>2</x:v>
      </x:c>
      <x:c r="F224" s="36" t="n">
        <x:v>2</x:v>
      </x:c>
      <x:c r="G224" s="36" t="n">
        <x:v>1</x:v>
      </x:c>
      <x:c r="H224" s="34" t="str">
        <x:v>cycle-observation</x:v>
      </x:c>
      <x:c r="I224" s="36" t="n">
        <x:v>1</x:v>
      </x:c>
      <x:c r="J224" s="34" t="str">
        <x:v>tomcat-findleaks-occurrence</x:v>
      </x:c>
      <x:c r="K224" s="34" t="str">
        <x:v>afterUndeploy.tomcatFindLeaksOccurrences</x:v>
      </x:c>
      <x:c r="L224" s="36" t="n">
        <x:v>1</x:v>
      </x:c>
      <x:c r="M224" s="34" t="str">
        <x:v>/cache2k</x:v>
      </x:c>
      <x:c r="N224" s="44" t="str">
        <x:v>/cache2k</x:v>
      </x:c>
    </x:row>
    <x:row r="225">
      <x:c r="A225" s="36" t="n">
        <x:v>224</x:v>
      </x:c>
      <x:c r="B225" s="34" t="str">
        <x:v>article1-unified-v4-2-fb3f101b-20260903-000401-default-f02-p2-cache2k</x:v>
      </x:c>
      <x:c r="C225" s="34" t="str">
        <x:v>default</x:v>
      </x:c>
      <x:c r="D225" s="34" t="str">
        <x:v>cache2k</x:v>
      </x:c>
      <x:c r="E225" s="36" t="n">
        <x:v>2</x:v>
      </x:c>
      <x:c r="F225" s="36" t="n">
        <x:v>2</x:v>
      </x:c>
      <x:c r="G225" s="36" t="n">
        <x:v>1</x:v>
      </x:c>
      <x:c r="H225" s="34" t="str">
        <x:v>cycle-observation</x:v>
      </x:c>
      <x:c r="I225" s="36" t="n">
        <x:v>2</x:v>
      </x:c>
      <x:c r="J225" s="34" t="str">
        <x:v>tomcat-findleaks-occurrence</x:v>
      </x:c>
      <x:c r="K225" s="34" t="str">
        <x:v>afterFinalUndeploy.tomcatFindLeaksOccurrences</x:v>
      </x:c>
      <x:c r="L225" s="36" t="n">
        <x:v>1</x:v>
      </x:c>
      <x:c r="M225" s="34" t="str">
        <x:v>/cache2k</x:v>
      </x:c>
      <x:c r="N225" s="44" t="str">
        <x:v>/cache2k</x:v>
      </x:c>
    </x:row>
    <x:row r="226">
      <x:c r="A226" s="36" t="n">
        <x:v>225</x:v>
      </x:c>
      <x:c r="B226" s="34" t="str">
        <x:v>article1-unified-v4-2-fb3f101b-20260903-000401-default-f02-p2-cache2k</x:v>
      </x:c>
      <x:c r="C226" s="34" t="str">
        <x:v>default</x:v>
      </x:c>
      <x:c r="D226" s="34" t="str">
        <x:v>cache2k</x:v>
      </x:c>
      <x:c r="E226" s="36" t="n">
        <x:v>2</x:v>
      </x:c>
      <x:c r="F226" s="36" t="n">
        <x:v>2</x:v>
      </x:c>
      <x:c r="G226" s="36" t="n">
        <x:v>2</x:v>
      </x:c>
      <x:c r="H226" s="34" t="str">
        <x:v>cycle-observation</x:v>
      </x:c>
      <x:c r="I226" s="36" t="n">
        <x:v>1</x:v>
      </x:c>
      <x:c r="J226" s="34" t="str">
        <x:v>tomcat-findleaks-occurrence</x:v>
      </x:c>
      <x:c r="K226" s="34" t="str">
        <x:v>afterUndeploy.tomcatFindLeaksOccurrences</x:v>
      </x:c>
      <x:c r="L226" s="36" t="n">
        <x:v>1</x:v>
      </x:c>
      <x:c r="M226" s="34" t="str">
        <x:v>/cache2k</x:v>
      </x:c>
      <x:c r="N226" s="44" t="str">
        <x:v>/cache2k</x:v>
      </x:c>
    </x:row>
    <x:row r="227">
      <x:c r="A227" s="36" t="n">
        <x:v>226</x:v>
      </x:c>
      <x:c r="B227" s="34" t="str">
        <x:v>article1-unified-v4-2-fb3f101b-20260903-000401-default-f02-p2-cache2k</x:v>
      </x:c>
      <x:c r="C227" s="34" t="str">
        <x:v>default</x:v>
      </x:c>
      <x:c r="D227" s="34" t="str">
        <x:v>cache2k</x:v>
      </x:c>
      <x:c r="E227" s="36" t="n">
        <x:v>2</x:v>
      </x:c>
      <x:c r="F227" s="36" t="n">
        <x:v>2</x:v>
      </x:c>
      <x:c r="G227" s="36" t="n">
        <x:v>2</x:v>
      </x:c>
      <x:c r="H227" s="34" t="str">
        <x:v>cycle-observation</x:v>
      </x:c>
      <x:c r="I227" s="36" t="n">
        <x:v>2</x:v>
      </x:c>
      <x:c r="J227" s="34" t="str">
        <x:v>tomcat-findleaks-occurrence</x:v>
      </x:c>
      <x:c r="K227" s="34" t="str">
        <x:v>afterFinalUndeploy.tomcatFindLeaksOccurrences</x:v>
      </x:c>
      <x:c r="L227" s="36" t="n">
        <x:v>1</x:v>
      </x:c>
      <x:c r="M227" s="34" t="str">
        <x:v>/cache2k</x:v>
      </x:c>
      <x:c r="N227" s="44" t="str">
        <x:v>/cache2k</x:v>
      </x:c>
    </x:row>
    <x:row r="228">
      <x:c r="A228" s="36" t="n">
        <x:v>227</x:v>
      </x:c>
      <x:c r="B228" s="34" t="str">
        <x:v>article1-unified-v4-2-fb3f101b-20260903-000401-default-f02-p2-cache2k</x:v>
      </x:c>
      <x:c r="C228" s="34" t="str">
        <x:v>default</x:v>
      </x:c>
      <x:c r="D228" s="34" t="str">
        <x:v>cache2k</x:v>
      </x:c>
      <x:c r="E228" s="36" t="n">
        <x:v>2</x:v>
      </x:c>
      <x:c r="F228" s="36" t="n">
        <x:v>2</x:v>
      </x:c>
      <x:c r="G228" s="36" t="n">
        <x:v>3</x:v>
      </x:c>
      <x:c r="H228" s="34" t="str">
        <x:v>cycle-observation</x:v>
      </x:c>
      <x:c r="I228" s="36" t="n">
        <x:v>1</x:v>
      </x:c>
      <x:c r="J228" s="34" t="str">
        <x:v>tomcat-findleaks-occurrence</x:v>
      </x:c>
      <x:c r="K228" s="34" t="str">
        <x:v>afterUndeploy.tomcatFindLeaksOccurrences</x:v>
      </x:c>
      <x:c r="L228" s="36" t="n">
        <x:v>1</x:v>
      </x:c>
      <x:c r="M228" s="34" t="str">
        <x:v>/cache2k</x:v>
      </x:c>
      <x:c r="N228" s="44" t="str">
        <x:v>/cache2k</x:v>
      </x:c>
    </x:row>
    <x:row r="229">
      <x:c r="A229" s="36" t="n">
        <x:v>228</x:v>
      </x:c>
      <x:c r="B229" s="34" t="str">
        <x:v>article1-unified-v4-2-fb3f101b-20260903-000401-default-f02-p2-cache2k</x:v>
      </x:c>
      <x:c r="C229" s="34" t="str">
        <x:v>default</x:v>
      </x:c>
      <x:c r="D229" s="34" t="str">
        <x:v>cache2k</x:v>
      </x:c>
      <x:c r="E229" s="36" t="n">
        <x:v>2</x:v>
      </x:c>
      <x:c r="F229" s="36" t="n">
        <x:v>2</x:v>
      </x:c>
      <x:c r="G229" s="36" t="n">
        <x:v>3</x:v>
      </x:c>
      <x:c r="H229" s="34" t="str">
        <x:v>cycle-observation</x:v>
      </x:c>
      <x:c r="I229" s="36" t="n">
        <x:v>2</x:v>
      </x:c>
      <x:c r="J229" s="34" t="str">
        <x:v>tomcat-findleaks-occurrence</x:v>
      </x:c>
      <x:c r="K229" s="34" t="str">
        <x:v>afterFinalUndeploy.tomcatFindLeaksOccurrences</x:v>
      </x:c>
      <x:c r="L229" s="36" t="n">
        <x:v>1</x:v>
      </x:c>
      <x:c r="M229" s="34" t="str">
        <x:v>/cache2k</x:v>
      </x:c>
      <x:c r="N229" s="44" t="str">
        <x:v>/cache2k</x:v>
      </x:c>
    </x:row>
    <x:row r="230">
      <x:c r="A230" s="36" t="n">
        <x:v>229</x:v>
      </x:c>
      <x:c r="B230" s="34" t="str">
        <x:v>article1-unified-v4-2-fb3f101b-20260903-000401-default-f02-p2-cache2k</x:v>
      </x:c>
      <x:c r="C230" s="34" t="str">
        <x:v>default</x:v>
      </x:c>
      <x:c r="D230" s="34" t="str">
        <x:v>cache2k</x:v>
      </x:c>
      <x:c r="E230" s="36" t="n">
        <x:v>2</x:v>
      </x:c>
      <x:c r="F230" s="36" t="n">
        <x:v>2</x:v>
      </x:c>
      <x:c r="G230" s="36" t="n">
        <x:v>4</x:v>
      </x:c>
      <x:c r="H230" s="34" t="str">
        <x:v>cycle-observation</x:v>
      </x:c>
      <x:c r="I230" s="36" t="n">
        <x:v>1</x:v>
      </x:c>
      <x:c r="J230" s="34" t="str">
        <x:v>tomcat-findleaks-occurrence</x:v>
      </x:c>
      <x:c r="K230" s="34" t="str">
        <x:v>afterUndeploy.tomcatFindLeaksOccurrences</x:v>
      </x:c>
      <x:c r="L230" s="36" t="n">
        <x:v>1</x:v>
      </x:c>
      <x:c r="M230" s="34" t="str">
        <x:v>/cache2k</x:v>
      </x:c>
      <x:c r="N230" s="44" t="str">
        <x:v>/cache2k</x:v>
      </x:c>
    </x:row>
    <x:row r="231">
      <x:c r="A231" s="36" t="n">
        <x:v>230</x:v>
      </x:c>
      <x:c r="B231" s="34" t="str">
        <x:v>article1-unified-v4-2-fb3f101b-20260903-000401-default-f02-p2-cache2k</x:v>
      </x:c>
      <x:c r="C231" s="34" t="str">
        <x:v>default</x:v>
      </x:c>
      <x:c r="D231" s="34" t="str">
        <x:v>cache2k</x:v>
      </x:c>
      <x:c r="E231" s="36" t="n">
        <x:v>2</x:v>
      </x:c>
      <x:c r="F231" s="36" t="n">
        <x:v>2</x:v>
      </x:c>
      <x:c r="G231" s="36" t="n">
        <x:v>4</x:v>
      </x:c>
      <x:c r="H231" s="34" t="str">
        <x:v>cycle-observation</x:v>
      </x:c>
      <x:c r="I231" s="36" t="n">
        <x:v>2</x:v>
      </x:c>
      <x:c r="J231" s="34" t="str">
        <x:v>tomcat-findleaks-occurrence</x:v>
      </x:c>
      <x:c r="K231" s="34" t="str">
        <x:v>afterFinalUndeploy.tomcatFindLeaksOccurrences</x:v>
      </x:c>
      <x:c r="L231" s="36" t="n">
        <x:v>1</x:v>
      </x:c>
      <x:c r="M231" s="34" t="str">
        <x:v>/cache2k</x:v>
      </x:c>
      <x:c r="N231" s="44" t="str">
        <x:v>/cache2k</x:v>
      </x:c>
    </x:row>
    <x:row r="232">
      <x:c r="A232" s="36" t="n">
        <x:v>231</x:v>
      </x:c>
      <x:c r="B232" s="34" t="str">
        <x:v>article1-unified-v4-2-fb3f101b-20260903-000401-default-f02-p2-cache2k</x:v>
      </x:c>
      <x:c r="C232" s="34" t="str">
        <x:v>default</x:v>
      </x:c>
      <x:c r="D232" s="34" t="str">
        <x:v>cache2k</x:v>
      </x:c>
      <x:c r="E232" s="36" t="n">
        <x:v>2</x:v>
      </x:c>
      <x:c r="F232" s="36" t="n">
        <x:v>2</x:v>
      </x:c>
      <x:c r="G232" s="36" t="n">
        <x:v>5</x:v>
      </x:c>
      <x:c r="H232" s="34" t="str">
        <x:v>cycle-observation</x:v>
      </x:c>
      <x:c r="I232" s="36" t="n">
        <x:v>1</x:v>
      </x:c>
      <x:c r="J232" s="34" t="str">
        <x:v>tomcat-findleaks-occurrence</x:v>
      </x:c>
      <x:c r="K232" s="34" t="str">
        <x:v>afterUndeploy.tomcatFindLeaksOccurrences</x:v>
      </x:c>
      <x:c r="L232" s="36" t="n">
        <x:v>1</x:v>
      </x:c>
      <x:c r="M232" s="34" t="str">
        <x:v>/cache2k</x:v>
      </x:c>
      <x:c r="N232" s="44" t="str">
        <x:v>/cache2k</x:v>
      </x:c>
    </x:row>
    <x:row r="233">
      <x:c r="A233" s="36" t="n">
        <x:v>232</x:v>
      </x:c>
      <x:c r="B233" s="34" t="str">
        <x:v>article1-unified-v4-2-fb3f101b-20260903-000401-default-f02-p2-cache2k</x:v>
      </x:c>
      <x:c r="C233" s="34" t="str">
        <x:v>default</x:v>
      </x:c>
      <x:c r="D233" s="34" t="str">
        <x:v>cache2k</x:v>
      </x:c>
      <x:c r="E233" s="36" t="n">
        <x:v>2</x:v>
      </x:c>
      <x:c r="F233" s="36" t="n">
        <x:v>2</x:v>
      </x:c>
      <x:c r="G233" s="36" t="n">
        <x:v>5</x:v>
      </x:c>
      <x:c r="H233" s="34" t="str">
        <x:v>cycle-observation</x:v>
      </x:c>
      <x:c r="I233" s="36" t="n">
        <x:v>2</x:v>
      </x:c>
      <x:c r="J233" s="34" t="str">
        <x:v>tomcat-findleaks-occurrence</x:v>
      </x:c>
      <x:c r="K233" s="34" t="str">
        <x:v>afterFinalUndeploy.tomcatFindLeaksOccurrences</x:v>
      </x:c>
      <x:c r="L233" s="36" t="n">
        <x:v>1</x:v>
      </x:c>
      <x:c r="M233" s="34" t="str">
        <x:v>/cache2k</x:v>
      </x:c>
      <x:c r="N233" s="44" t="str">
        <x:v>/cache2k</x:v>
      </x:c>
    </x:row>
    <x:row r="234">
      <x:c r="A234" s="36" t="n">
        <x:v>233</x:v>
      </x:c>
      <x:c r="B234" s="34" t="str">
        <x:v>article1-unified-v4-2-fb3f101b-20260903-000401-default-f02-p3-caffeine</x:v>
      </x:c>
      <x:c r="C234" s="34" t="str">
        <x:v>default</x:v>
      </x:c>
      <x:c r="D234" s="34" t="str">
        <x:v>caffeine</x:v>
      </x:c>
      <x:c r="E234" s="36" t="n">
        <x:v>2</x:v>
      </x:c>
      <x:c r="F234" s="36" t="n">
        <x:v>2</x:v>
      </x:c>
      <x:c r="G234" s="36" t="n">
        <x:v>1</x:v>
      </x:c>
      <x:c r="H234" s="34" t="str">
        <x:v>cycle-observation</x:v>
      </x:c>
      <x:c r="I234" s="36" t="n">
        <x:v>1</x:v>
      </x:c>
      <x:c r="J234" s="34" t="str">
        <x:v>tomcat-findleaks-occurrence</x:v>
      </x:c>
      <x:c r="K234" s="34" t="str">
        <x:v>afterUndeploy.tomcatFindLeaksOccurrences</x:v>
      </x:c>
      <x:c r="L234" s="36" t="n">
        <x:v>1</x:v>
      </x:c>
      <x:c r="M234" s="34" t="str">
        <x:v>/caffeine</x:v>
      </x:c>
      <x:c r="N234" s="44" t="str">
        <x:v>/caffeine</x:v>
      </x:c>
    </x:row>
    <x:row r="235">
      <x:c r="A235" s="36" t="n">
        <x:v>234</x:v>
      </x:c>
      <x:c r="B235" s="34" t="str">
        <x:v>article1-unified-v4-2-fb3f101b-20260903-000401-default-f02-p3-caffeine</x:v>
      </x:c>
      <x:c r="C235" s="34" t="str">
        <x:v>default</x:v>
      </x:c>
      <x:c r="D235" s="34" t="str">
        <x:v>caffeine</x:v>
      </x:c>
      <x:c r="E235" s="36" t="n">
        <x:v>2</x:v>
      </x:c>
      <x:c r="F235" s="36" t="n">
        <x:v>2</x:v>
      </x:c>
      <x:c r="G235" s="36" t="n">
        <x:v>1</x:v>
      </x:c>
      <x:c r="H235" s="34" t="str">
        <x:v>cycle-observation</x:v>
      </x:c>
      <x:c r="I235" s="36" t="n">
        <x:v>2</x:v>
      </x:c>
      <x:c r="J235" s="34" t="str">
        <x:v>tomcat-findleaks-occurrence</x:v>
      </x:c>
      <x:c r="K235" s="34" t="str">
        <x:v>afterFinalUndeploy.tomcatFindLeaksOccurrences</x:v>
      </x:c>
      <x:c r="L235" s="36" t="n">
        <x:v>1</x:v>
      </x:c>
      <x:c r="M235" s="34" t="str">
        <x:v>/caffeine</x:v>
      </x:c>
      <x:c r="N235" s="44" t="str">
        <x:v>/caffeine</x:v>
      </x:c>
    </x:row>
    <x:row r="236">
      <x:c r="A236" s="36" t="n">
        <x:v>235</x:v>
      </x:c>
      <x:c r="B236" s="34" t="str">
        <x:v>article1-unified-v4-2-fb3f101b-20260903-000401-default-f02-p3-caffeine</x:v>
      </x:c>
      <x:c r="C236" s="34" t="str">
        <x:v>default</x:v>
      </x:c>
      <x:c r="D236" s="34" t="str">
        <x:v>caffeine</x:v>
      </x:c>
      <x:c r="E236" s="36" t="n">
        <x:v>2</x:v>
      </x:c>
      <x:c r="F236" s="36" t="n">
        <x:v>2</x:v>
      </x:c>
      <x:c r="G236" s="36" t="n">
        <x:v>1</x:v>
      </x:c>
      <x:c r="H236" s="34" t="str">
        <x:v>cycle-observation</x:v>
      </x:c>
      <x:c r="I236" s="36" t="n">
        <x:v>2</x:v>
      </x:c>
      <x:c r="J236" s="34" t="str">
        <x:v>tomcat-findleaks-occurrence</x:v>
      </x:c>
      <x:c r="K236" s="34" t="str">
        <x:v>afterFinalUndeploy.tomcatFindLeaksOccurrences</x:v>
      </x:c>
      <x:c r="L236" s="36" t="n">
        <x:v>2</x:v>
      </x:c>
      <x:c r="M236" s="34" t="str">
        <x:v>/caffeine</x:v>
      </x:c>
      <x:c r="N236" s="44" t="str">
        <x:v>/caffeine</x:v>
      </x:c>
    </x:row>
    <x:row r="237">
      <x:c r="A237" s="36" t="n">
        <x:v>236</x:v>
      </x:c>
      <x:c r="B237" s="34" t="str">
        <x:v>article1-unified-v4-2-fb3f101b-20260903-000401-default-f02-p3-caffeine</x:v>
      </x:c>
      <x:c r="C237" s="34" t="str">
        <x:v>default</x:v>
      </x:c>
      <x:c r="D237" s="34" t="str">
        <x:v>caffeine</x:v>
      </x:c>
      <x:c r="E237" s="36" t="n">
        <x:v>2</x:v>
      </x:c>
      <x:c r="F237" s="36" t="n">
        <x:v>2</x:v>
      </x:c>
      <x:c r="G237" s="36" t="n">
        <x:v>2</x:v>
      </x:c>
      <x:c r="H237" s="34" t="str">
        <x:v>cycle-observation</x:v>
      </x:c>
      <x:c r="I237" s="36" t="n">
        <x:v>1</x:v>
      </x:c>
      <x:c r="J237" s="34" t="str">
        <x:v>tomcat-findleaks-occurrence</x:v>
      </x:c>
      <x:c r="K237" s="34" t="str">
        <x:v>afterUndeploy.tomcatFindLeaksOccurrences</x:v>
      </x:c>
      <x:c r="L237" s="36" t="n">
        <x:v>1</x:v>
      </x:c>
      <x:c r="M237" s="34" t="str">
        <x:v>/caffeine</x:v>
      </x:c>
      <x:c r="N237" s="44" t="str">
        <x:v>/caffeine</x:v>
      </x:c>
    </x:row>
    <x:row r="238">
      <x:c r="A238" s="36" t="n">
        <x:v>237</x:v>
      </x:c>
      <x:c r="B238" s="34" t="str">
        <x:v>article1-unified-v4-2-fb3f101b-20260903-000401-default-f02-p3-caffeine</x:v>
      </x:c>
      <x:c r="C238" s="34" t="str">
        <x:v>default</x:v>
      </x:c>
      <x:c r="D238" s="34" t="str">
        <x:v>caffeine</x:v>
      </x:c>
      <x:c r="E238" s="36" t="n">
        <x:v>2</x:v>
      </x:c>
      <x:c r="F238" s="36" t="n">
        <x:v>2</x:v>
      </x:c>
      <x:c r="G238" s="36" t="n">
        <x:v>2</x:v>
      </x:c>
      <x:c r="H238" s="34" t="str">
        <x:v>cycle-observation</x:v>
      </x:c>
      <x:c r="I238" s="36" t="n">
        <x:v>1</x:v>
      </x:c>
      <x:c r="J238" s="34" t="str">
        <x:v>tomcat-findleaks-occurrence</x:v>
      </x:c>
      <x:c r="K238" s="34" t="str">
        <x:v>afterUndeploy.tomcatFindLeaksOccurrences</x:v>
      </x:c>
      <x:c r="L238" s="36" t="n">
        <x:v>2</x:v>
      </x:c>
      <x:c r="M238" s="34" t="str">
        <x:v>/caffeine</x:v>
      </x:c>
      <x:c r="N238" s="44" t="str">
        <x:v>/caffeine</x:v>
      </x:c>
    </x:row>
    <x:row r="239">
      <x:c r="A239" s="36" t="n">
        <x:v>238</x:v>
      </x:c>
      <x:c r="B239" s="34" t="str">
        <x:v>article1-unified-v4-2-fb3f101b-20260903-000401-default-f02-p3-caffeine</x:v>
      </x:c>
      <x:c r="C239" s="34" t="str">
        <x:v>default</x:v>
      </x:c>
      <x:c r="D239" s="34" t="str">
        <x:v>caffeine</x:v>
      </x:c>
      <x:c r="E239" s="36" t="n">
        <x:v>2</x:v>
      </x:c>
      <x:c r="F239" s="36" t="n">
        <x:v>2</x:v>
      </x:c>
      <x:c r="G239" s="36" t="n">
        <x:v>2</x:v>
      </x:c>
      <x:c r="H239" s="34" t="str">
        <x:v>cycle-observation</x:v>
      </x:c>
      <x:c r="I239" s="36" t="n">
        <x:v>2</x:v>
      </x:c>
      <x:c r="J239" s="34" t="str">
        <x:v>tomcat-findleaks-occurrence</x:v>
      </x:c>
      <x:c r="K239" s="34" t="str">
        <x:v>afterFinalUndeploy.tomcatFindLeaksOccurrences</x:v>
      </x:c>
      <x:c r="L239" s="36" t="n">
        <x:v>1</x:v>
      </x:c>
      <x:c r="M239" s="34" t="str">
        <x:v>/caffeine</x:v>
      </x:c>
      <x:c r="N239" s="44" t="str">
        <x:v>/caffeine</x:v>
      </x:c>
    </x:row>
    <x:row r="240">
      <x:c r="A240" s="36" t="n">
        <x:v>239</x:v>
      </x:c>
      <x:c r="B240" s="34" t="str">
        <x:v>article1-unified-v4-2-fb3f101b-20260903-000401-default-f02-p3-caffeine</x:v>
      </x:c>
      <x:c r="C240" s="34" t="str">
        <x:v>default</x:v>
      </x:c>
      <x:c r="D240" s="34" t="str">
        <x:v>caffeine</x:v>
      </x:c>
      <x:c r="E240" s="36" t="n">
        <x:v>2</x:v>
      </x:c>
      <x:c r="F240" s="36" t="n">
        <x:v>2</x:v>
      </x:c>
      <x:c r="G240" s="36" t="n">
        <x:v>3</x:v>
      </x:c>
      <x:c r="H240" s="34" t="str">
        <x:v>cycle-observation</x:v>
      </x:c>
      <x:c r="I240" s="36" t="n">
        <x:v>1</x:v>
      </x:c>
      <x:c r="J240" s="34" t="str">
        <x:v>tomcat-findleaks-occurrence</x:v>
      </x:c>
      <x:c r="K240" s="34" t="str">
        <x:v>afterUndeploy.tomcatFindLeaksOccurrences</x:v>
      </x:c>
      <x:c r="L240" s="36" t="n">
        <x:v>1</x:v>
      </x:c>
      <x:c r="M240" s="34" t="str">
        <x:v>/caffeine</x:v>
      </x:c>
      <x:c r="N240" s="44" t="str">
        <x:v>/caffeine</x:v>
      </x:c>
    </x:row>
    <x:row r="241">
      <x:c r="A241" s="36" t="n">
        <x:v>240</x:v>
      </x:c>
      <x:c r="B241" s="34" t="str">
        <x:v>article1-unified-v4-2-fb3f101b-20260903-000401-default-f02-p3-caffeine</x:v>
      </x:c>
      <x:c r="C241" s="34" t="str">
        <x:v>default</x:v>
      </x:c>
      <x:c r="D241" s="34" t="str">
        <x:v>caffeine</x:v>
      </x:c>
      <x:c r="E241" s="36" t="n">
        <x:v>2</x:v>
      </x:c>
      <x:c r="F241" s="36" t="n">
        <x:v>2</x:v>
      </x:c>
      <x:c r="G241" s="36" t="n">
        <x:v>3</x:v>
      </x:c>
      <x:c r="H241" s="34" t="str">
        <x:v>cycle-observation</x:v>
      </x:c>
      <x:c r="I241" s="36" t="n">
        <x:v>2</x:v>
      </x:c>
      <x:c r="J241" s="34" t="str">
        <x:v>tomcat-findleaks-occurrence</x:v>
      </x:c>
      <x:c r="K241" s="34" t="str">
        <x:v>afterFinalUndeploy.tomcatFindLeaksOccurrences</x:v>
      </x:c>
      <x:c r="L241" s="36" t="n">
        <x:v>1</x:v>
      </x:c>
      <x:c r="M241" s="34" t="str">
        <x:v>/caffeine</x:v>
      </x:c>
      <x:c r="N241" s="44" t="str">
        <x:v>/caffeine</x:v>
      </x:c>
    </x:row>
    <x:row r="242">
      <x:c r="A242" s="36" t="n">
        <x:v>241</x:v>
      </x:c>
      <x:c r="B242" s="34" t="str">
        <x:v>article1-unified-v4-2-fb3f101b-20260903-000401-default-f02-p3-caffeine</x:v>
      </x:c>
      <x:c r="C242" s="34" t="str">
        <x:v>default</x:v>
      </x:c>
      <x:c r="D242" s="34" t="str">
        <x:v>caffeine</x:v>
      </x:c>
      <x:c r="E242" s="36" t="n">
        <x:v>2</x:v>
      </x:c>
      <x:c r="F242" s="36" t="n">
        <x:v>2</x:v>
      </x:c>
      <x:c r="G242" s="36" t="n">
        <x:v>4</x:v>
      </x:c>
      <x:c r="H242" s="34" t="str">
        <x:v>cycle-observation</x:v>
      </x:c>
      <x:c r="I242" s="36" t="n">
        <x:v>1</x:v>
      </x:c>
      <x:c r="J242" s="34" t="str">
        <x:v>tomcat-findleaks-occurrence</x:v>
      </x:c>
      <x:c r="K242" s="34" t="str">
        <x:v>afterUndeploy.tomcatFindLeaksOccurrences</x:v>
      </x:c>
      <x:c r="L242" s="36" t="n">
        <x:v>1</x:v>
      </x:c>
      <x:c r="M242" s="34" t="str">
        <x:v>/caffeine</x:v>
      </x:c>
      <x:c r="N242" s="44" t="str">
        <x:v>/caffeine</x:v>
      </x:c>
    </x:row>
    <x:row r="243">
      <x:c r="A243" s="36" t="n">
        <x:v>242</x:v>
      </x:c>
      <x:c r="B243" s="34" t="str">
        <x:v>article1-unified-v4-2-fb3f101b-20260903-000401-default-f02-p3-caffeine</x:v>
      </x:c>
      <x:c r="C243" s="34" t="str">
        <x:v>default</x:v>
      </x:c>
      <x:c r="D243" s="34" t="str">
        <x:v>caffeine</x:v>
      </x:c>
      <x:c r="E243" s="36" t="n">
        <x:v>2</x:v>
      </x:c>
      <x:c r="F243" s="36" t="n">
        <x:v>2</x:v>
      </x:c>
      <x:c r="G243" s="36" t="n">
        <x:v>4</x:v>
      </x:c>
      <x:c r="H243" s="34" t="str">
        <x:v>cycle-observation</x:v>
      </x:c>
      <x:c r="I243" s="36" t="n">
        <x:v>2</x:v>
      </x:c>
      <x:c r="J243" s="34" t="str">
        <x:v>tomcat-findleaks-occurrence</x:v>
      </x:c>
      <x:c r="K243" s="34" t="str">
        <x:v>afterFinalUndeploy.tomcatFindLeaksOccurrences</x:v>
      </x:c>
      <x:c r="L243" s="36" t="n">
        <x:v>1</x:v>
      </x:c>
      <x:c r="M243" s="34" t="str">
        <x:v>/caffeine</x:v>
      </x:c>
      <x:c r="N243" s="44" t="str">
        <x:v>/caffeine</x:v>
      </x:c>
    </x:row>
    <x:row r="244">
      <x:c r="A244" s="36" t="n">
        <x:v>243</x:v>
      </x:c>
      <x:c r="B244" s="34" t="str">
        <x:v>article1-unified-v4-2-fb3f101b-20260903-000401-default-f02-p3-caffeine</x:v>
      </x:c>
      <x:c r="C244" s="34" t="str">
        <x:v>default</x:v>
      </x:c>
      <x:c r="D244" s="34" t="str">
        <x:v>caffeine</x:v>
      </x:c>
      <x:c r="E244" s="36" t="n">
        <x:v>2</x:v>
      </x:c>
      <x:c r="F244" s="36" t="n">
        <x:v>2</x:v>
      </x:c>
      <x:c r="G244" s="36" t="n">
        <x:v>5</x:v>
      </x:c>
      <x:c r="H244" s="34" t="str">
        <x:v>cycle-observation</x:v>
      </x:c>
      <x:c r="I244" s="36" t="n">
        <x:v>1</x:v>
      </x:c>
      <x:c r="J244" s="34" t="str">
        <x:v>tomcat-findleaks-occurrence</x:v>
      </x:c>
      <x:c r="K244" s="34" t="str">
        <x:v>afterUndeploy.tomcatFindLeaksOccurrences</x:v>
      </x:c>
      <x:c r="L244" s="36" t="n">
        <x:v>1</x:v>
      </x:c>
      <x:c r="M244" s="34" t="str">
        <x:v>/caffeine</x:v>
      </x:c>
      <x:c r="N244" s="44" t="str">
        <x:v>/caffeine</x:v>
      </x:c>
    </x:row>
    <x:row r="245">
      <x:c r="A245" s="36" t="n">
        <x:v>244</x:v>
      </x:c>
      <x:c r="B245" s="34" t="str">
        <x:v>article1-unified-v4-2-fb3f101b-20260903-000401-default-f02-p3-caffeine</x:v>
      </x:c>
      <x:c r="C245" s="34" t="str">
        <x:v>default</x:v>
      </x:c>
      <x:c r="D245" s="34" t="str">
        <x:v>caffeine</x:v>
      </x:c>
      <x:c r="E245" s="36" t="n">
        <x:v>2</x:v>
      </x:c>
      <x:c r="F245" s="36" t="n">
        <x:v>2</x:v>
      </x:c>
      <x:c r="G245" s="36" t="n">
        <x:v>5</x:v>
      </x:c>
      <x:c r="H245" s="34" t="str">
        <x:v>cycle-observation</x:v>
      </x:c>
      <x:c r="I245" s="36" t="n">
        <x:v>2</x:v>
      </x:c>
      <x:c r="J245" s="34" t="str">
        <x:v>tomcat-findleaks-occurrence</x:v>
      </x:c>
      <x:c r="K245" s="34" t="str">
        <x:v>afterFinalUndeploy.tomcatFindLeaksOccurrences</x:v>
      </x:c>
      <x:c r="L245" s="36" t="n">
        <x:v>1</x:v>
      </x:c>
      <x:c r="M245" s="34" t="str">
        <x:v>/caffeine</x:v>
      </x:c>
      <x:c r="N245" s="44" t="str">
        <x:v>/caffeine</x:v>
      </x:c>
    </x:row>
    <x:row r="246">
      <x:c r="A246" s="36" t="n">
        <x:v>245</x:v>
      </x:c>
      <x:c r="B246" s="34" t="str">
        <x:v>article1-unified-v4-2-fb3f101b-20260903-000401-default-f02-p4-jcs4</x:v>
      </x:c>
      <x:c r="C246" s="34" t="str">
        <x:v>default</x:v>
      </x:c>
      <x:c r="D246" s="34" t="str">
        <x:v>jcs4</x:v>
      </x:c>
      <x:c r="E246" s="36" t="n">
        <x:v>2</x:v>
      </x:c>
      <x:c r="F246" s="36" t="n">
        <x:v>2</x:v>
      </x:c>
      <x:c r="G246" s="36"/>
      <x:c r="H246" s="34" t="str">
        <x:v>process-run-aggregate</x:v>
      </x:c>
      <x:c r="I246" s="36"/>
      <x:c r="J246" s="34" t="str">
        <x:v>warning</x:v>
      </x:c>
      <x:c r="K246" s="34" t="str">
        <x:v>warnings</x:v>
      </x:c>
      <x:c r="L246" s="36" t="n">
        <x:v>1</x:v>
      </x:c>
      <x:c r="M246" s="34"/>
      <x:c r="N246" s="44" t="str">
        <x:v>02-Sep-2026 23:23:43.866 WARNING [http-nio-8080-exec-1] org.apache.commons.jcs4.log.SystemLogAdapter.log Could not register JMX bean.</x:v>
      </x:c>
    </x:row>
    <x:row r="247">
      <x:c r="A247" s="36" t="n">
        <x:v>246</x:v>
      </x:c>
      <x:c r="B247" s="34" t="str">
        <x:v>article1-unified-v4-2-fb3f101b-20260903-000401-default-f02-p4-jcs4</x:v>
      </x:c>
      <x:c r="C247" s="34" t="str">
        <x:v>default</x:v>
      </x:c>
      <x:c r="D247" s="34" t="str">
        <x:v>jcs4</x:v>
      </x:c>
      <x:c r="E247" s="36" t="n">
        <x:v>2</x:v>
      </x:c>
      <x:c r="F247" s="36" t="n">
        <x:v>2</x:v>
      </x:c>
      <x:c r="G247" s="36"/>
      <x:c r="H247" s="34" t="str">
        <x:v>process-run-aggregate</x:v>
      </x:c>
      <x:c r="I247" s="36"/>
      <x:c r="J247" s="34" t="str">
        <x:v>warning</x:v>
      </x:c>
      <x:c r="K247" s="34" t="str">
        <x:v>warnings</x:v>
      </x:c>
      <x:c r="L247" s="36" t="n">
        <x:v>2</x:v>
      </x:c>
      <x:c r="M247" s="34"/>
      <x:c r="N247" s="44" t="str">
        <x:v>02-Sep-2026 23:23:43.899 WARNING [http-nio-8080-exec-1] org.apache.commons.jcs4.log.SystemLogAdapter.log Skipping empty auxiliary name</x:v>
      </x:c>
    </x:row>
    <x:row r="248">
      <x:c r="A248" s="36" t="n">
        <x:v>247</x:v>
      </x:c>
      <x:c r="B248" s="34" t="str">
        <x:v>article1-unified-v4-2-fb3f101b-20260903-000401-default-f02-p4-jcs4</x:v>
      </x:c>
      <x:c r="C248" s="34" t="str">
        <x:v>default</x:v>
      </x:c>
      <x:c r="D248" s="34" t="str">
        <x:v>jcs4</x:v>
      </x:c>
      <x:c r="E248" s="36" t="n">
        <x:v>2</x:v>
      </x:c>
      <x:c r="F248" s="36" t="n">
        <x:v>2</x:v>
      </x:c>
      <x:c r="G248" s="36"/>
      <x:c r="H248" s="34" t="str">
        <x:v>process-run-aggregate</x:v>
      </x:c>
      <x:c r="I248" s="36"/>
      <x:c r="J248" s="34" t="str">
        <x:v>warning</x:v>
      </x:c>
      <x:c r="K248" s="34" t="str">
        <x:v>warnings</x:v>
      </x:c>
      <x:c r="L248" s="36" t="n">
        <x:v>3</x:v>
      </x:c>
      <x:c r="M248" s="34"/>
      <x:c r="N248" s="44" t="str">
        <x:v>02-Sep-2026 23:24:27.605 WARNING [http-nio-8080-exec-4] org.apache.commons.jcs4.log.SystemLogAdapter.log Could not register JMX bean.</x:v>
      </x:c>
    </x:row>
    <x:row r="249">
      <x:c r="A249" s="36" t="n">
        <x:v>248</x:v>
      </x:c>
      <x:c r="B249" s="34" t="str">
        <x:v>article1-unified-v4-2-fb3f101b-20260903-000401-default-f02-p4-jcs4</x:v>
      </x:c>
      <x:c r="C249" s="34" t="str">
        <x:v>default</x:v>
      </x:c>
      <x:c r="D249" s="34" t="str">
        <x:v>jcs4</x:v>
      </x:c>
      <x:c r="E249" s="36" t="n">
        <x:v>2</x:v>
      </x:c>
      <x:c r="F249" s="36" t="n">
        <x:v>2</x:v>
      </x:c>
      <x:c r="G249" s="36"/>
      <x:c r="H249" s="34" t="str">
        <x:v>process-run-aggregate</x:v>
      </x:c>
      <x:c r="I249" s="36"/>
      <x:c r="J249" s="34" t="str">
        <x:v>warning</x:v>
      </x:c>
      <x:c r="K249" s="34" t="str">
        <x:v>warnings</x:v>
      </x:c>
      <x:c r="L249" s="36" t="n">
        <x:v>4</x:v>
      </x:c>
      <x:c r="M249" s="34"/>
      <x:c r="N249" s="44" t="str">
        <x:v>02-Sep-2026 23:24:27.628 WARNING [http-nio-8080-exec-4] org.apache.commons.jcs4.log.SystemLogAdapter.log Skipping empty auxiliary name</x:v>
      </x:c>
    </x:row>
    <x:row r="250">
      <x:c r="A250" s="36" t="n">
        <x:v>249</x:v>
      </x:c>
      <x:c r="B250" s="34" t="str">
        <x:v>article1-unified-v4-2-fb3f101b-20260903-000401-default-f02-p4-jcs4</x:v>
      </x:c>
      <x:c r="C250" s="34" t="str">
        <x:v>default</x:v>
      </x:c>
      <x:c r="D250" s="34" t="str">
        <x:v>jcs4</x:v>
      </x:c>
      <x:c r="E250" s="36" t="n">
        <x:v>2</x:v>
      </x:c>
      <x:c r="F250" s="36" t="n">
        <x:v>2</x:v>
      </x:c>
      <x:c r="G250" s="36"/>
      <x:c r="H250" s="34" t="str">
        <x:v>process-run-aggregate</x:v>
      </x:c>
      <x:c r="I250" s="36"/>
      <x:c r="J250" s="34" t="str">
        <x:v>warning</x:v>
      </x:c>
      <x:c r="K250" s="34" t="str">
        <x:v>warnings</x:v>
      </x:c>
      <x:c r="L250" s="36" t="n">
        <x:v>5</x:v>
      </x:c>
      <x:c r="M250" s="34"/>
      <x:c r="N250" s="44" t="str">
        <x:v>02-Sep-2026 23:25:15.398 WARNING [http-nio-8080-exec-14] org.apache.commons.jcs4.log.SystemLogAdapter.log Could not register JMX bean.</x:v>
      </x:c>
    </x:row>
    <x:row r="251">
      <x:c r="A251" s="36" t="n">
        <x:v>250</x:v>
      </x:c>
      <x:c r="B251" s="34" t="str">
        <x:v>article1-unified-v4-2-fb3f101b-20260903-000401-default-f02-p4-jcs4</x:v>
      </x:c>
      <x:c r="C251" s="34" t="str">
        <x:v>default</x:v>
      </x:c>
      <x:c r="D251" s="34" t="str">
        <x:v>jcs4</x:v>
      </x:c>
      <x:c r="E251" s="36" t="n">
        <x:v>2</x:v>
      </x:c>
      <x:c r="F251" s="36" t="n">
        <x:v>2</x:v>
      </x:c>
      <x:c r="G251" s="36"/>
      <x:c r="H251" s="34" t="str">
        <x:v>process-run-aggregate</x:v>
      </x:c>
      <x:c r="I251" s="36"/>
      <x:c r="J251" s="34" t="str">
        <x:v>warning</x:v>
      </x:c>
      <x:c r="K251" s="34" t="str">
        <x:v>warnings</x:v>
      </x:c>
      <x:c r="L251" s="36" t="n">
        <x:v>6</x:v>
      </x:c>
      <x:c r="M251" s="34"/>
      <x:c r="N251" s="44" t="str">
        <x:v>02-Sep-2026 23:25:15.436 WARNING [http-nio-8080-exec-14] org.apache.commons.jcs4.log.SystemLogAdapter.log Skipping empty auxiliary name</x:v>
      </x:c>
    </x:row>
    <x:row r="252">
      <x:c r="A252" s="36" t="n">
        <x:v>251</x:v>
      </x:c>
      <x:c r="B252" s="34" t="str">
        <x:v>article1-unified-v4-2-fb3f101b-20260903-000401-default-f02-p4-jcs4</x:v>
      </x:c>
      <x:c r="C252" s="34" t="str">
        <x:v>default</x:v>
      </x:c>
      <x:c r="D252" s="34" t="str">
        <x:v>jcs4</x:v>
      </x:c>
      <x:c r="E252" s="36" t="n">
        <x:v>2</x:v>
      </x:c>
      <x:c r="F252" s="36" t="n">
        <x:v>2</x:v>
      </x:c>
      <x:c r="G252" s="36"/>
      <x:c r="H252" s="34" t="str">
        <x:v>process-run-aggregate</x:v>
      </x:c>
      <x:c r="I252" s="36"/>
      <x:c r="J252" s="34" t="str">
        <x:v>warning</x:v>
      </x:c>
      <x:c r="K252" s="34" t="str">
        <x:v>warnings</x:v>
      </x:c>
      <x:c r="L252" s="36" t="n">
        <x:v>7</x:v>
      </x:c>
      <x:c r="M252" s="34"/>
      <x:c r="N252" s="44" t="str">
        <x:v>02-Sep-2026 23:25:58.606 WARNING [http-nio-8080-exec-11] org.apache.commons.jcs4.log.SystemLogAdapter.log Could not register JMX bean.</x:v>
      </x:c>
    </x:row>
    <x:row r="253">
      <x:c r="A253" s="36" t="n">
        <x:v>252</x:v>
      </x:c>
      <x:c r="B253" s="34" t="str">
        <x:v>article1-unified-v4-2-fb3f101b-20260903-000401-default-f02-p4-jcs4</x:v>
      </x:c>
      <x:c r="C253" s="34" t="str">
        <x:v>default</x:v>
      </x:c>
      <x:c r="D253" s="34" t="str">
        <x:v>jcs4</x:v>
      </x:c>
      <x:c r="E253" s="36" t="n">
        <x:v>2</x:v>
      </x:c>
      <x:c r="F253" s="36" t="n">
        <x:v>2</x:v>
      </x:c>
      <x:c r="G253" s="36"/>
      <x:c r="H253" s="34" t="str">
        <x:v>process-run-aggregate</x:v>
      </x:c>
      <x:c r="I253" s="36"/>
      <x:c r="J253" s="34" t="str">
        <x:v>warning</x:v>
      </x:c>
      <x:c r="K253" s="34" t="str">
        <x:v>warnings</x:v>
      </x:c>
      <x:c r="L253" s="36" t="n">
        <x:v>8</x:v>
      </x:c>
      <x:c r="M253" s="34"/>
      <x:c r="N253" s="44" t="str">
        <x:v>02-Sep-2026 23:25:58.622 WARNING [http-nio-8080-exec-11] org.apache.commons.jcs4.log.SystemLogAdapter.log Skipping empty auxiliary name</x:v>
      </x:c>
    </x:row>
    <x:row r="254">
      <x:c r="A254" s="36" t="n">
        <x:v>253</x:v>
      </x:c>
      <x:c r="B254" s="34" t="str">
        <x:v>article1-unified-v4-2-fb3f101b-20260903-000401-default-f02-p4-jcs4</x:v>
      </x:c>
      <x:c r="C254" s="34" t="str">
        <x:v>default</x:v>
      </x:c>
      <x:c r="D254" s="34" t="str">
        <x:v>jcs4</x:v>
      </x:c>
      <x:c r="E254" s="36" t="n">
        <x:v>2</x:v>
      </x:c>
      <x:c r="F254" s="36" t="n">
        <x:v>2</x:v>
      </x:c>
      <x:c r="G254" s="36"/>
      <x:c r="H254" s="34" t="str">
        <x:v>process-run-aggregate</x:v>
      </x:c>
      <x:c r="I254" s="36"/>
      <x:c r="J254" s="34" t="str">
        <x:v>warning</x:v>
      </x:c>
      <x:c r="K254" s="34" t="str">
        <x:v>warnings</x:v>
      </x:c>
      <x:c r="L254" s="36" t="n">
        <x:v>9</x:v>
      </x:c>
      <x:c r="M254" s="34"/>
      <x:c r="N254" s="44" t="str">
        <x:v>02-Sep-2026 23:26:45.918 WARNING [http-nio-8080-exec-20] org.apache.commons.jcs4.log.SystemLogAdapter.log Could not register JMX bean.</x:v>
      </x:c>
    </x:row>
    <x:row r="255">
      <x:c r="A255" s="36" t="n">
        <x:v>254</x:v>
      </x:c>
      <x:c r="B255" s="34" t="str">
        <x:v>article1-unified-v4-2-fb3f101b-20260903-000401-default-f02-p4-jcs4</x:v>
      </x:c>
      <x:c r="C255" s="34" t="str">
        <x:v>default</x:v>
      </x:c>
      <x:c r="D255" s="34" t="str">
        <x:v>jcs4</x:v>
      </x:c>
      <x:c r="E255" s="36" t="n">
        <x:v>2</x:v>
      </x:c>
      <x:c r="F255" s="36" t="n">
        <x:v>2</x:v>
      </x:c>
      <x:c r="G255" s="36"/>
      <x:c r="H255" s="34" t="str">
        <x:v>process-run-aggregate</x:v>
      </x:c>
      <x:c r="I255" s="36"/>
      <x:c r="J255" s="34" t="str">
        <x:v>warning</x:v>
      </x:c>
      <x:c r="K255" s="34" t="str">
        <x:v>warnings</x:v>
      </x:c>
      <x:c r="L255" s="36" t="n">
        <x:v>10</x:v>
      </x:c>
      <x:c r="M255" s="34"/>
      <x:c r="N255" s="44" t="str">
        <x:v>02-Sep-2026 23:26:45.930 WARNING [http-nio-8080-exec-20] org.apache.commons.jcs4.log.SystemLogAdapter.log Skipping empty auxiliary name</x:v>
      </x:c>
    </x:row>
    <x:row r="256">
      <x:c r="A256" s="36" t="n">
        <x:v>255</x:v>
      </x:c>
      <x:c r="B256" s="34" t="str">
        <x:v>article1-unified-v4-2-fb3f101b-20260903-000401-default-f02-p4-jcs4</x:v>
      </x:c>
      <x:c r="C256" s="34" t="str">
        <x:v>default</x:v>
      </x:c>
      <x:c r="D256" s="34" t="str">
        <x:v>jcs4</x:v>
      </x:c>
      <x:c r="E256" s="36" t="n">
        <x:v>2</x:v>
      </x:c>
      <x:c r="F256" s="36" t="n">
        <x:v>2</x:v>
      </x:c>
      <x:c r="G256" s="36"/>
      <x:c r="H256" s="34" t="str">
        <x:v>process-run-aggregate</x:v>
      </x:c>
      <x:c r="I256" s="36"/>
      <x:c r="J256" s="34" t="str">
        <x:v>warning</x:v>
      </x:c>
      <x:c r="K256" s="34" t="str">
        <x:v>warnings</x:v>
      </x:c>
      <x:c r="L256" s="36" t="n">
        <x:v>11</x:v>
      </x:c>
      <x:c r="M256" s="34"/>
      <x:c r="N256" s="44" t="str">
        <x:v>02-Sep-2026 23:27:29.777 WARNING [http-nio-8080-exec-33] org.apache.commons.jcs4.log.SystemLogAdapter.log Could not register JMX bean.</x:v>
      </x:c>
    </x:row>
    <x:row r="257">
      <x:c r="A257" s="36" t="n">
        <x:v>256</x:v>
      </x:c>
      <x:c r="B257" s="34" t="str">
        <x:v>article1-unified-v4-2-fb3f101b-20260903-000401-default-f02-p4-jcs4</x:v>
      </x:c>
      <x:c r="C257" s="34" t="str">
        <x:v>default</x:v>
      </x:c>
      <x:c r="D257" s="34" t="str">
        <x:v>jcs4</x:v>
      </x:c>
      <x:c r="E257" s="36" t="n">
        <x:v>2</x:v>
      </x:c>
      <x:c r="F257" s="36" t="n">
        <x:v>2</x:v>
      </x:c>
      <x:c r="G257" s="36"/>
      <x:c r="H257" s="34" t="str">
        <x:v>process-run-aggregate</x:v>
      </x:c>
      <x:c r="I257" s="36"/>
      <x:c r="J257" s="34" t="str">
        <x:v>warning</x:v>
      </x:c>
      <x:c r="K257" s="34" t="str">
        <x:v>warnings</x:v>
      </x:c>
      <x:c r="L257" s="36" t="n">
        <x:v>12</x:v>
      </x:c>
      <x:c r="M257" s="34"/>
      <x:c r="N257" s="44" t="str">
        <x:v>02-Sep-2026 23:27:29.790 WARNING [http-nio-8080-exec-33] org.apache.commons.jcs4.log.SystemLogAdapter.log Skipping empty auxiliary name</x:v>
      </x:c>
    </x:row>
    <x:row r="258">
      <x:c r="A258" s="36" t="n">
        <x:v>257</x:v>
      </x:c>
      <x:c r="B258" s="34" t="str">
        <x:v>article1-unified-v4-2-fb3f101b-20260903-000401-default-f02-p4-jcs4</x:v>
      </x:c>
      <x:c r="C258" s="34" t="str">
        <x:v>default</x:v>
      </x:c>
      <x:c r="D258" s="34" t="str">
        <x:v>jcs4</x:v>
      </x:c>
      <x:c r="E258" s="36" t="n">
        <x:v>2</x:v>
      </x:c>
      <x:c r="F258" s="36" t="n">
        <x:v>2</x:v>
      </x:c>
      <x:c r="G258" s="36"/>
      <x:c r="H258" s="34" t="str">
        <x:v>process-run-aggregate</x:v>
      </x:c>
      <x:c r="I258" s="36"/>
      <x:c r="J258" s="34" t="str">
        <x:v>warning</x:v>
      </x:c>
      <x:c r="K258" s="34" t="str">
        <x:v>warnings</x:v>
      </x:c>
      <x:c r="L258" s="36" t="n">
        <x:v>13</x:v>
      </x:c>
      <x:c r="M258" s="34"/>
      <x:c r="N258" s="44" t="str">
        <x:v>02-Sep-2026 23:28:16.197 WARNING [http-nio-8080-exec-41] org.apache.commons.jcs4.log.SystemLogAdapter.log Could not register JMX bean.</x:v>
      </x:c>
    </x:row>
    <x:row r="259">
      <x:c r="A259" s="36" t="n">
        <x:v>258</x:v>
      </x:c>
      <x:c r="B259" s="34" t="str">
        <x:v>article1-unified-v4-2-fb3f101b-20260903-000401-default-f02-p4-jcs4</x:v>
      </x:c>
      <x:c r="C259" s="34" t="str">
        <x:v>default</x:v>
      </x:c>
      <x:c r="D259" s="34" t="str">
        <x:v>jcs4</x:v>
      </x:c>
      <x:c r="E259" s="36" t="n">
        <x:v>2</x:v>
      </x:c>
      <x:c r="F259" s="36" t="n">
        <x:v>2</x:v>
      </x:c>
      <x:c r="G259" s="36"/>
      <x:c r="H259" s="34" t="str">
        <x:v>process-run-aggregate</x:v>
      </x:c>
      <x:c r="I259" s="36"/>
      <x:c r="J259" s="34" t="str">
        <x:v>warning</x:v>
      </x:c>
      <x:c r="K259" s="34" t="str">
        <x:v>warnings</x:v>
      </x:c>
      <x:c r="L259" s="36" t="n">
        <x:v>14</x:v>
      </x:c>
      <x:c r="M259" s="34"/>
      <x:c r="N259" s="44" t="str">
        <x:v>02-Sep-2026 23:28:16.211 WARNING [http-nio-8080-exec-41] org.apache.commons.jcs4.log.SystemLogAdapter.log Skipping empty auxiliary name</x:v>
      </x:c>
    </x:row>
    <x:row r="260">
      <x:c r="A260" s="36" t="n">
        <x:v>259</x:v>
      </x:c>
      <x:c r="B260" s="34" t="str">
        <x:v>article1-unified-v4-2-fb3f101b-20260903-000401-default-f02-p4-jcs4</x:v>
      </x:c>
      <x:c r="C260" s="34" t="str">
        <x:v>default</x:v>
      </x:c>
      <x:c r="D260" s="34" t="str">
        <x:v>jcs4</x:v>
      </x:c>
      <x:c r="E260" s="36" t="n">
        <x:v>2</x:v>
      </x:c>
      <x:c r="F260" s="36" t="n">
        <x:v>2</x:v>
      </x:c>
      <x:c r="G260" s="36"/>
      <x:c r="H260" s="34" t="str">
        <x:v>process-run-aggregate</x:v>
      </x:c>
      <x:c r="I260" s="36"/>
      <x:c r="J260" s="34" t="str">
        <x:v>warning</x:v>
      </x:c>
      <x:c r="K260" s="34" t="str">
        <x:v>warnings</x:v>
      </x:c>
      <x:c r="L260" s="36" t="n">
        <x:v>15</x:v>
      </x:c>
      <x:c r="M260" s="34"/>
      <x:c r="N260" s="44" t="str">
        <x:v>02-Sep-2026 23:28:59.969 WARNING [http-nio-8080-exec-26] org.apache.commons.jcs4.log.SystemLogAdapter.log Could not register JMX bean.</x:v>
      </x:c>
    </x:row>
    <x:row r="261">
      <x:c r="A261" s="36" t="n">
        <x:v>260</x:v>
      </x:c>
      <x:c r="B261" s="34" t="str">
        <x:v>article1-unified-v4-2-fb3f101b-20260903-000401-default-f02-p4-jcs4</x:v>
      </x:c>
      <x:c r="C261" s="34" t="str">
        <x:v>default</x:v>
      </x:c>
      <x:c r="D261" s="34" t="str">
        <x:v>jcs4</x:v>
      </x:c>
      <x:c r="E261" s="36" t="n">
        <x:v>2</x:v>
      </x:c>
      <x:c r="F261" s="36" t="n">
        <x:v>2</x:v>
      </x:c>
      <x:c r="G261" s="36"/>
      <x:c r="H261" s="34" t="str">
        <x:v>process-run-aggregate</x:v>
      </x:c>
      <x:c r="I261" s="36"/>
      <x:c r="J261" s="34" t="str">
        <x:v>warning</x:v>
      </x:c>
      <x:c r="K261" s="34" t="str">
        <x:v>warnings</x:v>
      </x:c>
      <x:c r="L261" s="36" t="n">
        <x:v>16</x:v>
      </x:c>
      <x:c r="M261" s="34"/>
      <x:c r="N261" s="44" t="str">
        <x:v>02-Sep-2026 23:28:59.982 WARNING [http-nio-8080-exec-26] org.apache.commons.jcs4.log.SystemLogAdapter.log Skipping empty auxiliary name</x:v>
      </x:c>
    </x:row>
    <x:row r="262">
      <x:c r="A262" s="36" t="n">
        <x:v>261</x:v>
      </x:c>
      <x:c r="B262" s="34" t="str">
        <x:v>article1-unified-v4-2-fb3f101b-20260903-000401-default-f02-p4-jcs4</x:v>
      </x:c>
      <x:c r="C262" s="34" t="str">
        <x:v>default</x:v>
      </x:c>
      <x:c r="D262" s="34" t="str">
        <x:v>jcs4</x:v>
      </x:c>
      <x:c r="E262" s="36" t="n">
        <x:v>2</x:v>
      </x:c>
      <x:c r="F262" s="36" t="n">
        <x:v>2</x:v>
      </x:c>
      <x:c r="G262" s="36"/>
      <x:c r="H262" s="34" t="str">
        <x:v>process-run-aggregate</x:v>
      </x:c>
      <x:c r="I262" s="36"/>
      <x:c r="J262" s="34" t="str">
        <x:v>warning</x:v>
      </x:c>
      <x:c r="K262" s="34" t="str">
        <x:v>warnings</x:v>
      </x:c>
      <x:c r="L262" s="36" t="n">
        <x:v>17</x:v>
      </x:c>
      <x:c r="M262" s="34"/>
      <x:c r="N262" s="44" t="str">
        <x:v>02-Sep-2026 23:29:46.690 WARNING [http-nio-8080-exec-56] org.apache.commons.jcs4.log.SystemLogAdapter.log Could not register JMX bean.</x:v>
      </x:c>
    </x:row>
    <x:row r="263">
      <x:c r="A263" s="36" t="n">
        <x:v>262</x:v>
      </x:c>
      <x:c r="B263" s="34" t="str">
        <x:v>article1-unified-v4-2-fb3f101b-20260903-000401-default-f02-p4-jcs4</x:v>
      </x:c>
      <x:c r="C263" s="34" t="str">
        <x:v>default</x:v>
      </x:c>
      <x:c r="D263" s="34" t="str">
        <x:v>jcs4</x:v>
      </x:c>
      <x:c r="E263" s="36" t="n">
        <x:v>2</x:v>
      </x:c>
      <x:c r="F263" s="36" t="n">
        <x:v>2</x:v>
      </x:c>
      <x:c r="G263" s="36"/>
      <x:c r="H263" s="34" t="str">
        <x:v>process-run-aggregate</x:v>
      </x:c>
      <x:c r="I263" s="36"/>
      <x:c r="J263" s="34" t="str">
        <x:v>warning</x:v>
      </x:c>
      <x:c r="K263" s="34" t="str">
        <x:v>warnings</x:v>
      </x:c>
      <x:c r="L263" s="36" t="n">
        <x:v>18</x:v>
      </x:c>
      <x:c r="M263" s="34"/>
      <x:c r="N263" s="44" t="str">
        <x:v>02-Sep-2026 23:29:46.705 WARNING [http-nio-8080-exec-56] org.apache.commons.jcs4.log.SystemLogAdapter.log Skipping empty auxiliary name</x:v>
      </x:c>
    </x:row>
    <x:row r="264">
      <x:c r="A264" s="36" t="n">
        <x:v>263</x:v>
      </x:c>
      <x:c r="B264" s="34" t="str">
        <x:v>article1-unified-v4-2-fb3f101b-20260903-000401-default-f02-p4-jcs4</x:v>
      </x:c>
      <x:c r="C264" s="34" t="str">
        <x:v>default</x:v>
      </x:c>
      <x:c r="D264" s="34" t="str">
        <x:v>jcs4</x:v>
      </x:c>
      <x:c r="E264" s="36" t="n">
        <x:v>2</x:v>
      </x:c>
      <x:c r="F264" s="36" t="n">
        <x:v>2</x:v>
      </x:c>
      <x:c r="G264" s="36"/>
      <x:c r="H264" s="34" t="str">
        <x:v>process-run-aggregate</x:v>
      </x:c>
      <x:c r="I264" s="36"/>
      <x:c r="J264" s="34" t="str">
        <x:v>warning</x:v>
      </x:c>
      <x:c r="K264" s="34" t="str">
        <x:v>warnings</x:v>
      </x:c>
      <x:c r="L264" s="36" t="n">
        <x:v>19</x:v>
      </x:c>
      <x:c r="M264" s="34"/>
      <x:c r="N264" s="44" t="str">
        <x:v>02-Sep-2026 23:30:30.462 WARNING [http-nio-8080-exec-51] org.apache.commons.jcs4.log.SystemLogAdapter.log Could not register JMX bean.</x:v>
      </x:c>
    </x:row>
    <x:row r="265">
      <x:c r="A265" s="36" t="n">
        <x:v>264</x:v>
      </x:c>
      <x:c r="B265" s="34" t="str">
        <x:v>article1-unified-v4-2-fb3f101b-20260903-000401-default-f02-p4-jcs4</x:v>
      </x:c>
      <x:c r="C265" s="34" t="str">
        <x:v>default</x:v>
      </x:c>
      <x:c r="D265" s="34" t="str">
        <x:v>jcs4</x:v>
      </x:c>
      <x:c r="E265" s="36" t="n">
        <x:v>2</x:v>
      </x:c>
      <x:c r="F265" s="36" t="n">
        <x:v>2</x:v>
      </x:c>
      <x:c r="G265" s="36"/>
      <x:c r="H265" s="34" t="str">
        <x:v>process-run-aggregate</x:v>
      </x:c>
      <x:c r="I265" s="36"/>
      <x:c r="J265" s="34" t="str">
        <x:v>warning</x:v>
      </x:c>
      <x:c r="K265" s="34" t="str">
        <x:v>warnings</x:v>
      </x:c>
      <x:c r="L265" s="36" t="n">
        <x:v>20</x:v>
      </x:c>
      <x:c r="M265" s="34"/>
      <x:c r="N265" s="44" t="str">
        <x:v>02-Sep-2026 23:30:30.474 WARNING [http-nio-8080-exec-51] org.apache.commons.jcs4.log.SystemLogAdapter.log Skipping empty auxiliary name</x:v>
      </x:c>
    </x:row>
    <x:row r="266">
      <x:c r="A266" s="36" t="n">
        <x:v>265</x:v>
      </x:c>
      <x:c r="B266" s="34" t="str">
        <x:v>article1-unified-v4-2-fb3f101b-20260903-000401-default-f02-p4-jcs4</x:v>
      </x:c>
      <x:c r="C266" s="34" t="str">
        <x:v>default</x:v>
      </x:c>
      <x:c r="D266" s="34" t="str">
        <x:v>jcs4</x:v>
      </x:c>
      <x:c r="E266" s="36" t="n">
        <x:v>2</x:v>
      </x:c>
      <x:c r="F266" s="36" t="n">
        <x:v>2</x:v>
      </x:c>
      <x:c r="G266" s="36" t="n">
        <x:v>1</x:v>
      </x:c>
      <x:c r="H266" s="34" t="str">
        <x:v>cycle-observation</x:v>
      </x:c>
      <x:c r="I266" s="36" t="n">
        <x:v>1</x:v>
      </x:c>
      <x:c r="J266" s="34" t="str">
        <x:v>tomcat-findleaks-occurrence</x:v>
      </x:c>
      <x:c r="K266" s="34" t="str">
        <x:v>afterUndeploy.tomcatFindLeaksOccurrences</x:v>
      </x:c>
      <x:c r="L266" s="36" t="n">
        <x:v>1</x:v>
      </x:c>
      <x:c r="M266" s="34" t="str">
        <x:v>/jcs4</x:v>
      </x:c>
      <x:c r="N266" s="44" t="str">
        <x:v>/jcs4</x:v>
      </x:c>
    </x:row>
    <x:row r="267">
      <x:c r="A267" s="36" t="n">
        <x:v>266</x:v>
      </x:c>
      <x:c r="B267" s="34" t="str">
        <x:v>article1-unified-v4-2-fb3f101b-20260903-000401-default-f02-p4-jcs4</x:v>
      </x:c>
      <x:c r="C267" s="34" t="str">
        <x:v>default</x:v>
      </x:c>
      <x:c r="D267" s="34" t="str">
        <x:v>jcs4</x:v>
      </x:c>
      <x:c r="E267" s="36" t="n">
        <x:v>2</x:v>
      </x:c>
      <x:c r="F267" s="36" t="n">
        <x:v>2</x:v>
      </x:c>
      <x:c r="G267" s="36" t="n">
        <x:v>1</x:v>
      </x:c>
      <x:c r="H267" s="34" t="str">
        <x:v>cycle-observation</x:v>
      </x:c>
      <x:c r="I267" s="36" t="n">
        <x:v>2</x:v>
      </x:c>
      <x:c r="J267" s="34" t="str">
        <x:v>tomcat-findleaks-occurrence</x:v>
      </x:c>
      <x:c r="K267" s="34" t="str">
        <x:v>afterFinalUndeploy.tomcatFindLeaksOccurrences</x:v>
      </x:c>
      <x:c r="L267" s="36" t="n">
        <x:v>1</x:v>
      </x:c>
      <x:c r="M267" s="34" t="str">
        <x:v>/jcs4</x:v>
      </x:c>
      <x:c r="N267" s="44" t="str">
        <x:v>/jcs4</x:v>
      </x:c>
    </x:row>
    <x:row r="268">
      <x:c r="A268" s="36" t="n">
        <x:v>267</x:v>
      </x:c>
      <x:c r="B268" s="34" t="str">
        <x:v>article1-unified-v4-2-fb3f101b-20260903-000401-default-f02-p4-jcs4</x:v>
      </x:c>
      <x:c r="C268" s="34" t="str">
        <x:v>default</x:v>
      </x:c>
      <x:c r="D268" s="34" t="str">
        <x:v>jcs4</x:v>
      </x:c>
      <x:c r="E268" s="36" t="n">
        <x:v>2</x:v>
      </x:c>
      <x:c r="F268" s="36" t="n">
        <x:v>2</x:v>
      </x:c>
      <x:c r="G268" s="36" t="n">
        <x:v>1</x:v>
      </x:c>
      <x:c r="H268" s="34" t="str">
        <x:v>cycle-observation</x:v>
      </x:c>
      <x:c r="I268" s="36" t="n">
        <x:v>2</x:v>
      </x:c>
      <x:c r="J268" s="34" t="str">
        <x:v>tomcat-findleaks-occurrence</x:v>
      </x:c>
      <x:c r="K268" s="34" t="str">
        <x:v>afterFinalUndeploy.tomcatFindLeaksOccurrences</x:v>
      </x:c>
      <x:c r="L268" s="36" t="n">
        <x:v>2</x:v>
      </x:c>
      <x:c r="M268" s="34" t="str">
        <x:v>/jcs4</x:v>
      </x:c>
      <x:c r="N268" s="44" t="str">
        <x:v>/jcs4</x:v>
      </x:c>
    </x:row>
    <x:row r="269">
      <x:c r="A269" s="36" t="n">
        <x:v>268</x:v>
      </x:c>
      <x:c r="B269" s="34" t="str">
        <x:v>article1-unified-v4-2-fb3f101b-20260903-000401-default-f02-p4-jcs4</x:v>
      </x:c>
      <x:c r="C269" s="34" t="str">
        <x:v>default</x:v>
      </x:c>
      <x:c r="D269" s="34" t="str">
        <x:v>jcs4</x:v>
      </x:c>
      <x:c r="E269" s="36" t="n">
        <x:v>2</x:v>
      </x:c>
      <x:c r="F269" s="36" t="n">
        <x:v>2</x:v>
      </x:c>
      <x:c r="G269" s="36" t="n">
        <x:v>2</x:v>
      </x:c>
      <x:c r="H269" s="34" t="str">
        <x:v>cycle-observation</x:v>
      </x:c>
      <x:c r="I269" s="36" t="n">
        <x:v>1</x:v>
      </x:c>
      <x:c r="J269" s="34" t="str">
        <x:v>tomcat-findleaks-occurrence</x:v>
      </x:c>
      <x:c r="K269" s="34" t="str">
        <x:v>afterUndeploy.tomcatFindLeaksOccurrences</x:v>
      </x:c>
      <x:c r="L269" s="36" t="n">
        <x:v>1</x:v>
      </x:c>
      <x:c r="M269" s="34" t="str">
        <x:v>/jcs4</x:v>
      </x:c>
      <x:c r="N269" s="44" t="str">
        <x:v>/jcs4</x:v>
      </x:c>
    </x:row>
    <x:row r="270">
      <x:c r="A270" s="36" t="n">
        <x:v>269</x:v>
      </x:c>
      <x:c r="B270" s="34" t="str">
        <x:v>article1-unified-v4-2-fb3f101b-20260903-000401-default-f02-p4-jcs4</x:v>
      </x:c>
      <x:c r="C270" s="34" t="str">
        <x:v>default</x:v>
      </x:c>
      <x:c r="D270" s="34" t="str">
        <x:v>jcs4</x:v>
      </x:c>
      <x:c r="E270" s="36" t="n">
        <x:v>2</x:v>
      </x:c>
      <x:c r="F270" s="36" t="n">
        <x:v>2</x:v>
      </x:c>
      <x:c r="G270" s="36" t="n">
        <x:v>2</x:v>
      </x:c>
      <x:c r="H270" s="34" t="str">
        <x:v>cycle-observation</x:v>
      </x:c>
      <x:c r="I270" s="36" t="n">
        <x:v>2</x:v>
      </x:c>
      <x:c r="J270" s="34" t="str">
        <x:v>tomcat-findleaks-occurrence</x:v>
      </x:c>
      <x:c r="K270" s="34" t="str">
        <x:v>afterFinalUndeploy.tomcatFindLeaksOccurrences</x:v>
      </x:c>
      <x:c r="L270" s="36" t="n">
        <x:v>1</x:v>
      </x:c>
      <x:c r="M270" s="34" t="str">
        <x:v>/jcs4</x:v>
      </x:c>
      <x:c r="N270" s="44" t="str">
        <x:v>/jcs4</x:v>
      </x:c>
    </x:row>
    <x:row r="271">
      <x:c r="A271" s="36" t="n">
        <x:v>270</x:v>
      </x:c>
      <x:c r="B271" s="34" t="str">
        <x:v>article1-unified-v4-2-fb3f101b-20260903-000401-default-f02-p4-jcs4</x:v>
      </x:c>
      <x:c r="C271" s="34" t="str">
        <x:v>default</x:v>
      </x:c>
      <x:c r="D271" s="34" t="str">
        <x:v>jcs4</x:v>
      </x:c>
      <x:c r="E271" s="36" t="n">
        <x:v>2</x:v>
      </x:c>
      <x:c r="F271" s="36" t="n">
        <x:v>2</x:v>
      </x:c>
      <x:c r="G271" s="36" t="n">
        <x:v>3</x:v>
      </x:c>
      <x:c r="H271" s="34" t="str">
        <x:v>cycle-observation</x:v>
      </x:c>
      <x:c r="I271" s="36" t="n">
        <x:v>1</x:v>
      </x:c>
      <x:c r="J271" s="34" t="str">
        <x:v>tomcat-findleaks-occurrence</x:v>
      </x:c>
      <x:c r="K271" s="34" t="str">
        <x:v>afterUndeploy.tomcatFindLeaksOccurrences</x:v>
      </x:c>
      <x:c r="L271" s="36" t="n">
        <x:v>1</x:v>
      </x:c>
      <x:c r="M271" s="34" t="str">
        <x:v>/jcs4</x:v>
      </x:c>
      <x:c r="N271" s="44" t="str">
        <x:v>/jcs4</x:v>
      </x:c>
    </x:row>
    <x:row r="272">
      <x:c r="A272" s="36" t="n">
        <x:v>271</x:v>
      </x:c>
      <x:c r="B272" s="34" t="str">
        <x:v>article1-unified-v4-2-fb3f101b-20260903-000401-default-f02-p4-jcs4</x:v>
      </x:c>
      <x:c r="C272" s="34" t="str">
        <x:v>default</x:v>
      </x:c>
      <x:c r="D272" s="34" t="str">
        <x:v>jcs4</x:v>
      </x:c>
      <x:c r="E272" s="36" t="n">
        <x:v>2</x:v>
      </x:c>
      <x:c r="F272" s="36" t="n">
        <x:v>2</x:v>
      </x:c>
      <x:c r="G272" s="36" t="n">
        <x:v>3</x:v>
      </x:c>
      <x:c r="H272" s="34" t="str">
        <x:v>cycle-observation</x:v>
      </x:c>
      <x:c r="I272" s="36" t="n">
        <x:v>2</x:v>
      </x:c>
      <x:c r="J272" s="34" t="str">
        <x:v>tomcat-findleaks-occurrence</x:v>
      </x:c>
      <x:c r="K272" s="34" t="str">
        <x:v>afterFinalUndeploy.tomcatFindLeaksOccurrences</x:v>
      </x:c>
      <x:c r="L272" s="36" t="n">
        <x:v>1</x:v>
      </x:c>
      <x:c r="M272" s="34" t="str">
        <x:v>/jcs4</x:v>
      </x:c>
      <x:c r="N272" s="44" t="str">
        <x:v>/jcs4</x:v>
      </x:c>
    </x:row>
    <x:row r="273">
      <x:c r="A273" s="36" t="n">
        <x:v>272</x:v>
      </x:c>
      <x:c r="B273" s="34" t="str">
        <x:v>article1-unified-v4-2-fb3f101b-20260903-000401-default-f02-p4-jcs4</x:v>
      </x:c>
      <x:c r="C273" s="34" t="str">
        <x:v>default</x:v>
      </x:c>
      <x:c r="D273" s="34" t="str">
        <x:v>jcs4</x:v>
      </x:c>
      <x:c r="E273" s="36" t="n">
        <x:v>2</x:v>
      </x:c>
      <x:c r="F273" s="36" t="n">
        <x:v>2</x:v>
      </x:c>
      <x:c r="G273" s="36" t="n">
        <x:v>4</x:v>
      </x:c>
      <x:c r="H273" s="34" t="str">
        <x:v>cycle-observation</x:v>
      </x:c>
      <x:c r="I273" s="36" t="n">
        <x:v>1</x:v>
      </x:c>
      <x:c r="J273" s="34" t="str">
        <x:v>tomcat-findleaks-occurrence</x:v>
      </x:c>
      <x:c r="K273" s="34" t="str">
        <x:v>afterUndeploy.tomcatFindLeaksOccurrences</x:v>
      </x:c>
      <x:c r="L273" s="36" t="n">
        <x:v>1</x:v>
      </x:c>
      <x:c r="M273" s="34" t="str">
        <x:v>/jcs4</x:v>
      </x:c>
      <x:c r="N273" s="44" t="str">
        <x:v>/jcs4</x:v>
      </x:c>
    </x:row>
    <x:row r="274">
      <x:c r="A274" s="36" t="n">
        <x:v>273</x:v>
      </x:c>
      <x:c r="B274" s="34" t="str">
        <x:v>article1-unified-v4-2-fb3f101b-20260903-000401-default-f02-p4-jcs4</x:v>
      </x:c>
      <x:c r="C274" s="34" t="str">
        <x:v>default</x:v>
      </x:c>
      <x:c r="D274" s="34" t="str">
        <x:v>jcs4</x:v>
      </x:c>
      <x:c r="E274" s="36" t="n">
        <x:v>2</x:v>
      </x:c>
      <x:c r="F274" s="36" t="n">
        <x:v>2</x:v>
      </x:c>
      <x:c r="G274" s="36" t="n">
        <x:v>4</x:v>
      </x:c>
      <x:c r="H274" s="34" t="str">
        <x:v>cycle-observation</x:v>
      </x:c>
      <x:c r="I274" s="36" t="n">
        <x:v>2</x:v>
      </x:c>
      <x:c r="J274" s="34" t="str">
        <x:v>tomcat-findleaks-occurrence</x:v>
      </x:c>
      <x:c r="K274" s="34" t="str">
        <x:v>afterFinalUndeploy.tomcatFindLeaksOccurrences</x:v>
      </x:c>
      <x:c r="L274" s="36" t="n">
        <x:v>1</x:v>
      </x:c>
      <x:c r="M274" s="34" t="str">
        <x:v>/jcs4</x:v>
      </x:c>
      <x:c r="N274" s="44" t="str">
        <x:v>/jcs4</x:v>
      </x:c>
    </x:row>
    <x:row r="275">
      <x:c r="A275" s="36" t="n">
        <x:v>274</x:v>
      </x:c>
      <x:c r="B275" s="34" t="str">
        <x:v>article1-unified-v4-2-fb3f101b-20260903-000401-default-f02-p4-jcs4</x:v>
      </x:c>
      <x:c r="C275" s="34" t="str">
        <x:v>default</x:v>
      </x:c>
      <x:c r="D275" s="34" t="str">
        <x:v>jcs4</x:v>
      </x:c>
      <x:c r="E275" s="36" t="n">
        <x:v>2</x:v>
      </x:c>
      <x:c r="F275" s="36" t="n">
        <x:v>2</x:v>
      </x:c>
      <x:c r="G275" s="36" t="n">
        <x:v>5</x:v>
      </x:c>
      <x:c r="H275" s="34" t="str">
        <x:v>cycle-observation</x:v>
      </x:c>
      <x:c r="I275" s="36" t="n">
        <x:v>1</x:v>
      </x:c>
      <x:c r="J275" s="34" t="str">
        <x:v>tomcat-findleaks-occurrence</x:v>
      </x:c>
      <x:c r="K275" s="34" t="str">
        <x:v>afterUndeploy.tomcatFindLeaksOccurrences</x:v>
      </x:c>
      <x:c r="L275" s="36" t="n">
        <x:v>1</x:v>
      </x:c>
      <x:c r="M275" s="34" t="str">
        <x:v>/jcs4</x:v>
      </x:c>
      <x:c r="N275" s="44" t="str">
        <x:v>/jcs4</x:v>
      </x:c>
    </x:row>
    <x:row r="276">
      <x:c r="A276" s="36" t="n">
        <x:v>275</x:v>
      </x:c>
      <x:c r="B276" s="34" t="str">
        <x:v>article1-unified-v4-2-fb3f101b-20260903-000401-default-f02-p4-jcs4</x:v>
      </x:c>
      <x:c r="C276" s="34" t="str">
        <x:v>default</x:v>
      </x:c>
      <x:c r="D276" s="34" t="str">
        <x:v>jcs4</x:v>
      </x:c>
      <x:c r="E276" s="36" t="n">
        <x:v>2</x:v>
      </x:c>
      <x:c r="F276" s="36" t="n">
        <x:v>2</x:v>
      </x:c>
      <x:c r="G276" s="36" t="n">
        <x:v>5</x:v>
      </x:c>
      <x:c r="H276" s="34" t="str">
        <x:v>cycle-observation</x:v>
      </x:c>
      <x:c r="I276" s="36" t="n">
        <x:v>2</x:v>
      </x:c>
      <x:c r="J276" s="34" t="str">
        <x:v>tomcat-findleaks-occurrence</x:v>
      </x:c>
      <x:c r="K276" s="34" t="str">
        <x:v>afterFinalUndeploy.tomcatFindLeaksOccurrences</x:v>
      </x:c>
      <x:c r="L276" s="36" t="n">
        <x:v>1</x:v>
      </x:c>
      <x:c r="M276" s="34" t="str">
        <x:v>/jcs4</x:v>
      </x:c>
      <x:c r="N276" s="44" t="str">
        <x:v>/jcs4</x:v>
      </x:c>
    </x:row>
    <x:row r="277">
      <x:c r="A277" s="36" t="n">
        <x:v>276</x:v>
      </x:c>
      <x:c r="B277" s="34" t="str">
        <x:v>article1-unified-v4-2-fb3f101b-20260903-000401-default-f02-p5-nostore</x:v>
      </x:c>
      <x:c r="C277" s="34" t="str">
        <x:v>default</x:v>
      </x:c>
      <x:c r="D277" s="34" t="str">
        <x:v>nostore</x:v>
      </x:c>
      <x:c r="E277" s="36" t="n">
        <x:v>2</x:v>
      </x:c>
      <x:c r="F277" s="36" t="n">
        <x:v>2</x:v>
      </x:c>
      <x:c r="G277" s="36" t="n">
        <x:v>1</x:v>
      </x:c>
      <x:c r="H277" s="34" t="str">
        <x:v>cycle-observation</x:v>
      </x:c>
      <x:c r="I277" s="36" t="n">
        <x:v>1</x:v>
      </x:c>
      <x:c r="J277" s="34" t="str">
        <x:v>tomcat-findleaks-occurrence</x:v>
      </x:c>
      <x:c r="K277" s="34" t="str">
        <x:v>afterUndeploy.tomcatFindLeaksOccurrences</x:v>
      </x:c>
      <x:c r="L277" s="36" t="n">
        <x:v>1</x:v>
      </x:c>
      <x:c r="M277" s="34" t="str">
        <x:v>/nostore</x:v>
      </x:c>
      <x:c r="N277" s="44" t="str">
        <x:v>/nostore</x:v>
      </x:c>
    </x:row>
    <x:row r="278">
      <x:c r="A278" s="36" t="n">
        <x:v>277</x:v>
      </x:c>
      <x:c r="B278" s="34" t="str">
        <x:v>article1-unified-v4-2-fb3f101b-20260903-000401-default-f02-p5-nostore</x:v>
      </x:c>
      <x:c r="C278" s="34" t="str">
        <x:v>default</x:v>
      </x:c>
      <x:c r="D278" s="34" t="str">
        <x:v>nostore</x:v>
      </x:c>
      <x:c r="E278" s="36" t="n">
        <x:v>2</x:v>
      </x:c>
      <x:c r="F278" s="36" t="n">
        <x:v>2</x:v>
      </x:c>
      <x:c r="G278" s="36" t="n">
        <x:v>1</x:v>
      </x:c>
      <x:c r="H278" s="34" t="str">
        <x:v>cycle-observation</x:v>
      </x:c>
      <x:c r="I278" s="36" t="n">
        <x:v>2</x:v>
      </x:c>
      <x:c r="J278" s="34" t="str">
        <x:v>tomcat-findleaks-occurrence</x:v>
      </x:c>
      <x:c r="K278" s="34" t="str">
        <x:v>afterFinalUndeploy.tomcatFindLeaksOccurrences</x:v>
      </x:c>
      <x:c r="L278" s="36" t="n">
        <x:v>1</x:v>
      </x:c>
      <x:c r="M278" s="34" t="str">
        <x:v>/nostore</x:v>
      </x:c>
      <x:c r="N278" s="44" t="str">
        <x:v>/nostore</x:v>
      </x:c>
    </x:row>
    <x:row r="279">
      <x:c r="A279" s="36" t="n">
        <x:v>278</x:v>
      </x:c>
      <x:c r="B279" s="34" t="str">
        <x:v>article1-unified-v4-2-fb3f101b-20260903-000401-default-f02-p5-nostore</x:v>
      </x:c>
      <x:c r="C279" s="34" t="str">
        <x:v>default</x:v>
      </x:c>
      <x:c r="D279" s="34" t="str">
        <x:v>nostore</x:v>
      </x:c>
      <x:c r="E279" s="36" t="n">
        <x:v>2</x:v>
      </x:c>
      <x:c r="F279" s="36" t="n">
        <x:v>2</x:v>
      </x:c>
      <x:c r="G279" s="36" t="n">
        <x:v>2</x:v>
      </x:c>
      <x:c r="H279" s="34" t="str">
        <x:v>cycle-observation</x:v>
      </x:c>
      <x:c r="I279" s="36" t="n">
        <x:v>1</x:v>
      </x:c>
      <x:c r="J279" s="34" t="str">
        <x:v>tomcat-findleaks-occurrence</x:v>
      </x:c>
      <x:c r="K279" s="34" t="str">
        <x:v>afterUndeploy.tomcatFindLeaksOccurrences</x:v>
      </x:c>
      <x:c r="L279" s="36" t="n">
        <x:v>1</x:v>
      </x:c>
      <x:c r="M279" s="34" t="str">
        <x:v>/nostore</x:v>
      </x:c>
      <x:c r="N279" s="44" t="str">
        <x:v>/nostore</x:v>
      </x:c>
    </x:row>
    <x:row r="280">
      <x:c r="A280" s="36" t="n">
        <x:v>279</x:v>
      </x:c>
      <x:c r="B280" s="34" t="str">
        <x:v>article1-unified-v4-2-fb3f101b-20260903-000401-default-f02-p5-nostore</x:v>
      </x:c>
      <x:c r="C280" s="34" t="str">
        <x:v>default</x:v>
      </x:c>
      <x:c r="D280" s="34" t="str">
        <x:v>nostore</x:v>
      </x:c>
      <x:c r="E280" s="36" t="n">
        <x:v>2</x:v>
      </x:c>
      <x:c r="F280" s="36" t="n">
        <x:v>2</x:v>
      </x:c>
      <x:c r="G280" s="36" t="n">
        <x:v>2</x:v>
      </x:c>
      <x:c r="H280" s="34" t="str">
        <x:v>cycle-observation</x:v>
      </x:c>
      <x:c r="I280" s="36" t="n">
        <x:v>2</x:v>
      </x:c>
      <x:c r="J280" s="34" t="str">
        <x:v>tomcat-findleaks-occurrence</x:v>
      </x:c>
      <x:c r="K280" s="34" t="str">
        <x:v>afterFinalUndeploy.tomcatFindLeaksOccurrences</x:v>
      </x:c>
      <x:c r="L280" s="36" t="n">
        <x:v>1</x:v>
      </x:c>
      <x:c r="M280" s="34" t="str">
        <x:v>/nostore</x:v>
      </x:c>
      <x:c r="N280" s="44" t="str">
        <x:v>/nostore</x:v>
      </x:c>
    </x:row>
    <x:row r="281">
      <x:c r="A281" s="36" t="n">
        <x:v>280</x:v>
      </x:c>
      <x:c r="B281" s="34" t="str">
        <x:v>article1-unified-v4-2-fb3f101b-20260903-000401-default-f02-p5-nostore</x:v>
      </x:c>
      <x:c r="C281" s="34" t="str">
        <x:v>default</x:v>
      </x:c>
      <x:c r="D281" s="34" t="str">
        <x:v>nostore</x:v>
      </x:c>
      <x:c r="E281" s="36" t="n">
        <x:v>2</x:v>
      </x:c>
      <x:c r="F281" s="36" t="n">
        <x:v>2</x:v>
      </x:c>
      <x:c r="G281" s="36" t="n">
        <x:v>3</x:v>
      </x:c>
      <x:c r="H281" s="34" t="str">
        <x:v>cycle-observation</x:v>
      </x:c>
      <x:c r="I281" s="36" t="n">
        <x:v>1</x:v>
      </x:c>
      <x:c r="J281" s="34" t="str">
        <x:v>tomcat-findleaks-occurrence</x:v>
      </x:c>
      <x:c r="K281" s="34" t="str">
        <x:v>afterUndeploy.tomcatFindLeaksOccurrences</x:v>
      </x:c>
      <x:c r="L281" s="36" t="n">
        <x:v>1</x:v>
      </x:c>
      <x:c r="M281" s="34" t="str">
        <x:v>/nostore</x:v>
      </x:c>
      <x:c r="N281" s="44" t="str">
        <x:v>/nostore</x:v>
      </x:c>
    </x:row>
    <x:row r="282">
      <x:c r="A282" s="36" t="n">
        <x:v>281</x:v>
      </x:c>
      <x:c r="B282" s="34" t="str">
        <x:v>article1-unified-v4-2-fb3f101b-20260903-000401-default-f02-p5-nostore</x:v>
      </x:c>
      <x:c r="C282" s="34" t="str">
        <x:v>default</x:v>
      </x:c>
      <x:c r="D282" s="34" t="str">
        <x:v>nostore</x:v>
      </x:c>
      <x:c r="E282" s="36" t="n">
        <x:v>2</x:v>
      </x:c>
      <x:c r="F282" s="36" t="n">
        <x:v>2</x:v>
      </x:c>
      <x:c r="G282" s="36" t="n">
        <x:v>3</x:v>
      </x:c>
      <x:c r="H282" s="34" t="str">
        <x:v>cycle-observation</x:v>
      </x:c>
      <x:c r="I282" s="36" t="n">
        <x:v>2</x:v>
      </x:c>
      <x:c r="J282" s="34" t="str">
        <x:v>tomcat-findleaks-occurrence</x:v>
      </x:c>
      <x:c r="K282" s="34" t="str">
        <x:v>afterFinalUndeploy.tomcatFindLeaksOccurrences</x:v>
      </x:c>
      <x:c r="L282" s="36" t="n">
        <x:v>1</x:v>
      </x:c>
      <x:c r="M282" s="34" t="str">
        <x:v>/nostore</x:v>
      </x:c>
      <x:c r="N282" s="44" t="str">
        <x:v>/nostore</x:v>
      </x:c>
    </x:row>
    <x:row r="283">
      <x:c r="A283" s="36" t="n">
        <x:v>282</x:v>
      </x:c>
      <x:c r="B283" s="34" t="str">
        <x:v>article1-unified-v4-2-fb3f101b-20260903-000401-default-f02-p5-nostore</x:v>
      </x:c>
      <x:c r="C283" s="34" t="str">
        <x:v>default</x:v>
      </x:c>
      <x:c r="D283" s="34" t="str">
        <x:v>nostore</x:v>
      </x:c>
      <x:c r="E283" s="36" t="n">
        <x:v>2</x:v>
      </x:c>
      <x:c r="F283" s="36" t="n">
        <x:v>2</x:v>
      </x:c>
      <x:c r="G283" s="36" t="n">
        <x:v>4</x:v>
      </x:c>
      <x:c r="H283" s="34" t="str">
        <x:v>cycle-observation</x:v>
      </x:c>
      <x:c r="I283" s="36" t="n">
        <x:v>1</x:v>
      </x:c>
      <x:c r="J283" s="34" t="str">
        <x:v>tomcat-findleaks-occurrence</x:v>
      </x:c>
      <x:c r="K283" s="34" t="str">
        <x:v>afterUndeploy.tomcatFindLeaksOccurrences</x:v>
      </x:c>
      <x:c r="L283" s="36" t="n">
        <x:v>1</x:v>
      </x:c>
      <x:c r="M283" s="34" t="str">
        <x:v>/nostore</x:v>
      </x:c>
      <x:c r="N283" s="44" t="str">
        <x:v>/nostore</x:v>
      </x:c>
    </x:row>
    <x:row r="284">
      <x:c r="A284" s="36" t="n">
        <x:v>283</x:v>
      </x:c>
      <x:c r="B284" s="34" t="str">
        <x:v>article1-unified-v4-2-fb3f101b-20260903-000401-default-f02-p5-nostore</x:v>
      </x:c>
      <x:c r="C284" s="34" t="str">
        <x:v>default</x:v>
      </x:c>
      <x:c r="D284" s="34" t="str">
        <x:v>nostore</x:v>
      </x:c>
      <x:c r="E284" s="36" t="n">
        <x:v>2</x:v>
      </x:c>
      <x:c r="F284" s="36" t="n">
        <x:v>2</x:v>
      </x:c>
      <x:c r="G284" s="36" t="n">
        <x:v>4</x:v>
      </x:c>
      <x:c r="H284" s="34" t="str">
        <x:v>cycle-observation</x:v>
      </x:c>
      <x:c r="I284" s="36" t="n">
        <x:v>2</x:v>
      </x:c>
      <x:c r="J284" s="34" t="str">
        <x:v>tomcat-findleaks-occurrence</x:v>
      </x:c>
      <x:c r="K284" s="34" t="str">
        <x:v>afterFinalUndeploy.tomcatFindLeaksOccurrences</x:v>
      </x:c>
      <x:c r="L284" s="36" t="n">
        <x:v>1</x:v>
      </x:c>
      <x:c r="M284" s="34" t="str">
        <x:v>/nostore</x:v>
      </x:c>
      <x:c r="N284" s="44" t="str">
        <x:v>/nostore</x:v>
      </x:c>
    </x:row>
    <x:row r="285">
      <x:c r="A285" s="36" t="n">
        <x:v>284</x:v>
      </x:c>
      <x:c r="B285" s="34" t="str">
        <x:v>article1-unified-v4-2-fb3f101b-20260903-000401-default-f02-p5-nostore</x:v>
      </x:c>
      <x:c r="C285" s="34" t="str">
        <x:v>default</x:v>
      </x:c>
      <x:c r="D285" s="34" t="str">
        <x:v>nostore</x:v>
      </x:c>
      <x:c r="E285" s="36" t="n">
        <x:v>2</x:v>
      </x:c>
      <x:c r="F285" s="36" t="n">
        <x:v>2</x:v>
      </x:c>
      <x:c r="G285" s="36" t="n">
        <x:v>5</x:v>
      </x:c>
      <x:c r="H285" s="34" t="str">
        <x:v>cycle-observation</x:v>
      </x:c>
      <x:c r="I285" s="36" t="n">
        <x:v>1</x:v>
      </x:c>
      <x:c r="J285" s="34" t="str">
        <x:v>tomcat-findleaks-occurrence</x:v>
      </x:c>
      <x:c r="K285" s="34" t="str">
        <x:v>afterUndeploy.tomcatFindLeaksOccurrences</x:v>
      </x:c>
      <x:c r="L285" s="36" t="n">
        <x:v>1</x:v>
      </x:c>
      <x:c r="M285" s="34" t="str">
        <x:v>/nostore</x:v>
      </x:c>
      <x:c r="N285" s="44" t="str">
        <x:v>/nostore</x:v>
      </x:c>
    </x:row>
    <x:row r="286">
      <x:c r="A286" s="36" t="n">
        <x:v>285</x:v>
      </x:c>
      <x:c r="B286" s="34" t="str">
        <x:v>article1-unified-v4-2-fb3f101b-20260903-000401-default-f02-p5-nostore</x:v>
      </x:c>
      <x:c r="C286" s="34" t="str">
        <x:v>default</x:v>
      </x:c>
      <x:c r="D286" s="34" t="str">
        <x:v>nostore</x:v>
      </x:c>
      <x:c r="E286" s="36" t="n">
        <x:v>2</x:v>
      </x:c>
      <x:c r="F286" s="36" t="n">
        <x:v>2</x:v>
      </x:c>
      <x:c r="G286" s="36" t="n">
        <x:v>5</x:v>
      </x:c>
      <x:c r="H286" s="34" t="str">
        <x:v>cycle-observation</x:v>
      </x:c>
      <x:c r="I286" s="36" t="n">
        <x:v>2</x:v>
      </x:c>
      <x:c r="J286" s="34" t="str">
        <x:v>tomcat-findleaks-occurrence</x:v>
      </x:c>
      <x:c r="K286" s="34" t="str">
        <x:v>afterFinalUndeploy.tomcatFindLeaksOccurrences</x:v>
      </x:c>
      <x:c r="L286" s="36" t="n">
        <x:v>1</x:v>
      </x:c>
      <x:c r="M286" s="34" t="str">
        <x:v>/nostore</x:v>
      </x:c>
      <x:c r="N286" s="44" t="str">
        <x:v>/nostore</x:v>
      </x:c>
    </x:row>
    <x:row r="287">
      <x:c r="A287" s="36" t="n">
        <x:v>286</x:v>
      </x:c>
      <x:c r="B287" s="34" t="str">
        <x:v>article1-unified-v4-2-fb3f101b-20260903-000401-default-f02-p6-jcs321</x:v>
      </x:c>
      <x:c r="C287" s="34" t="str">
        <x:v>default</x:v>
      </x:c>
      <x:c r="D287" s="34" t="str">
        <x:v>jcs321</x:v>
      </x:c>
      <x:c r="E287" s="36" t="n">
        <x:v>2</x:v>
      </x:c>
      <x:c r="F287" s="36" t="n">
        <x:v>2</x:v>
      </x:c>
      <x:c r="G287" s="36"/>
      <x:c r="H287" s="34" t="str">
        <x:v>process-run-aggregate</x:v>
      </x:c>
      <x:c r="I287" s="36"/>
      <x:c r="J287" s="34" t="str">
        <x:v>warning</x:v>
      </x:c>
      <x:c r="K287" s="34" t="str">
        <x:v>warnings</x:v>
      </x:c>
      <x:c r="L287" s="36" t="n">
        <x:v>1</x:v>
      </x:c>
      <x:c r="M287" s="34"/>
      <x:c r="N287" s="44" t="str">
        <x:v>02-Sep-2026 23:39:59.213 WARNING [http-nio-8080-exec-1] org.apache.commons.jcs3.engine.control.CompositeCacheConfigurator. Skipping empty auxiliary name</x:v>
      </x:c>
    </x:row>
    <x:row r="288">
      <x:c r="A288" s="36" t="n">
        <x:v>287</x:v>
      </x:c>
      <x:c r="B288" s="34" t="str">
        <x:v>article1-unified-v4-2-fb3f101b-20260903-000401-default-f02-p6-jcs321</x:v>
      </x:c>
      <x:c r="C288" s="34" t="str">
        <x:v>default</x:v>
      </x:c>
      <x:c r="D288" s="34" t="str">
        <x:v>jcs321</x:v>
      </x:c>
      <x:c r="E288" s="36" t="n">
        <x:v>2</x:v>
      </x:c>
      <x:c r="F288" s="36" t="n">
        <x:v>2</x:v>
      </x:c>
      <x:c r="G288" s="36"/>
      <x:c r="H288" s="34" t="str">
        <x:v>process-run-aggregate</x:v>
      </x:c>
      <x:c r="I288" s="36"/>
      <x:c r="J288" s="34" t="str">
        <x:v>warning</x:v>
      </x:c>
      <x:c r="K288" s="34" t="str">
        <x:v>warnings</x:v>
      </x:c>
      <x:c r="L288" s="36" t="n">
        <x:v>2</x:v>
      </x:c>
      <x:c r="M288" s="34"/>
      <x:c r="N288" s="44" t="str">
        <x:v>02-Sep-2026 23:40:12.412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289">
      <x:c r="A289" s="36" t="n">
        <x:v>288</x:v>
      </x:c>
      <x:c r="B289" s="34" t="str">
        <x:v>article1-unified-v4-2-fb3f101b-20260903-000401-default-f02-p6-jcs321</x:v>
      </x:c>
      <x:c r="C289" s="34" t="str">
        <x:v>default</x:v>
      </x:c>
      <x:c r="D289" s="34" t="str">
        <x:v>jcs321</x:v>
      </x:c>
      <x:c r="E289" s="36" t="n">
        <x:v>2</x:v>
      </x:c>
      <x:c r="F289" s="36" t="n">
        <x:v>2</x:v>
      </x:c>
      <x:c r="G289" s="36"/>
      <x:c r="H289" s="34" t="str">
        <x:v>process-run-aggregate</x:v>
      </x:c>
      <x:c r="I289" s="36"/>
      <x:c r="J289" s="34" t="str">
        <x:v>warning</x:v>
      </x:c>
      <x:c r="K289" s="34" t="str">
        <x:v>warnings</x:v>
      </x:c>
      <x:c r="L289" s="36" t="n">
        <x:v>3</x:v>
      </x:c>
      <x:c r="M289" s="34"/>
      <x:c r="N289" s="44" t="str">
        <x:v>02-Sep-2026 23:40:42.480 WARNING [http-nio-8080-exec-5] org.apache.commons.jcs3.engine.control.CompositeCacheConfigurator. Skipping empty auxiliary name</x:v>
      </x:c>
    </x:row>
    <x:row r="290">
      <x:c r="A290" s="36" t="n">
        <x:v>289</x:v>
      </x:c>
      <x:c r="B290" s="34" t="str">
        <x:v>article1-unified-v4-2-fb3f101b-20260903-000401-default-f02-p6-jcs321</x:v>
      </x:c>
      <x:c r="C290" s="34" t="str">
        <x:v>default</x:v>
      </x:c>
      <x:c r="D290" s="34" t="str">
        <x:v>jcs321</x:v>
      </x:c>
      <x:c r="E290" s="36" t="n">
        <x:v>2</x:v>
      </x:c>
      <x:c r="F290" s="36" t="n">
        <x:v>2</x:v>
      </x:c>
      <x:c r="G290" s="36"/>
      <x:c r="H290" s="34" t="str">
        <x:v>process-run-aggregate</x:v>
      </x:c>
      <x:c r="I290" s="36"/>
      <x:c r="J290" s="34" t="str">
        <x:v>warning</x:v>
      </x:c>
      <x:c r="K290" s="34" t="str">
        <x:v>warnings</x:v>
      </x:c>
      <x:c r="L290" s="36" t="n">
        <x:v>4</x:v>
      </x:c>
      <x:c r="M290" s="34"/>
      <x:c r="N290" s="44" t="str">
        <x:v>02-Sep-2026 23:40:55.792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291">
      <x:c r="A291" s="36" t="n">
        <x:v>290</x:v>
      </x:c>
      <x:c r="B291" s="34" t="str">
        <x:v>article1-unified-v4-2-fb3f101b-20260903-000401-default-f02-p6-jcs321</x:v>
      </x:c>
      <x:c r="C291" s="34" t="str">
        <x:v>default</x:v>
      </x:c>
      <x:c r="D291" s="34" t="str">
        <x:v>jcs321</x:v>
      </x:c>
      <x:c r="E291" s="36" t="n">
        <x:v>2</x:v>
      </x:c>
      <x:c r="F291" s="36" t="n">
        <x:v>2</x:v>
      </x:c>
      <x:c r="G291" s="36"/>
      <x:c r="H291" s="34" t="str">
        <x:v>process-run-aggregate</x:v>
      </x:c>
      <x:c r="I291" s="36"/>
      <x:c r="J291" s="34" t="str">
        <x:v>warning</x:v>
      </x:c>
      <x:c r="K291" s="34" t="str">
        <x:v>warnings</x:v>
      </x:c>
      <x:c r="L291" s="36" t="n">
        <x:v>5</x:v>
      </x:c>
      <x:c r="M291" s="34"/>
      <x:c r="N291" s="44" t="str">
        <x:v>02-Sep-2026 23:41:28.131 WARNING [http-nio-8080-exec-8] org.apache.commons.jcs3.engine.control.CompositeCacheConfigurator. Skipping empty auxiliary name</x:v>
      </x:c>
    </x:row>
    <x:row r="292">
      <x:c r="A292" s="36" t="n">
        <x:v>291</x:v>
      </x:c>
      <x:c r="B292" s="34" t="str">
        <x:v>article1-unified-v4-2-fb3f101b-20260903-000401-default-f02-p6-jcs321</x:v>
      </x:c>
      <x:c r="C292" s="34" t="str">
        <x:v>default</x:v>
      </x:c>
      <x:c r="D292" s="34" t="str">
        <x:v>jcs321</x:v>
      </x:c>
      <x:c r="E292" s="36" t="n">
        <x:v>2</x:v>
      </x:c>
      <x:c r="F292" s="36" t="n">
        <x:v>2</x:v>
      </x:c>
      <x:c r="G292" s="36"/>
      <x:c r="H292" s="34" t="str">
        <x:v>process-run-aggregate</x:v>
      </x:c>
      <x:c r="I292" s="36"/>
      <x:c r="J292" s="34" t="str">
        <x:v>warning</x:v>
      </x:c>
      <x:c r="K292" s="34" t="str">
        <x:v>warnings</x:v>
      </x:c>
      <x:c r="L292" s="36" t="n">
        <x:v>6</x:v>
      </x:c>
      <x:c r="M292" s="34"/>
      <x:c r="N292" s="44" t="str">
        <x:v>02-Sep-2026 23:41:42.257 WARNING [http-nio-8080-exec-12]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293">
      <x:c r="A293" s="36" t="n">
        <x:v>292</x:v>
      </x:c>
      <x:c r="B293" s="34" t="str">
        <x:v>article1-unified-v4-2-fb3f101b-20260903-000401-default-f02-p6-jcs321</x:v>
      </x:c>
      <x:c r="C293" s="34" t="str">
        <x:v>default</x:v>
      </x:c>
      <x:c r="D293" s="34" t="str">
        <x:v>jcs321</x:v>
      </x:c>
      <x:c r="E293" s="36" t="n">
        <x:v>2</x:v>
      </x:c>
      <x:c r="F293" s="36" t="n">
        <x:v>2</x:v>
      </x:c>
      <x:c r="G293" s="36"/>
      <x:c r="H293" s="34" t="str">
        <x:v>process-run-aggregate</x:v>
      </x:c>
      <x:c r="I293" s="36"/>
      <x:c r="J293" s="34" t="str">
        <x:v>warning</x:v>
      </x:c>
      <x:c r="K293" s="34" t="str">
        <x:v>warnings</x:v>
      </x:c>
      <x:c r="L293" s="36" t="n">
        <x:v>7</x:v>
      </x:c>
      <x:c r="M293" s="34"/>
      <x:c r="N293" s="44" t="str">
        <x:v>02-Sep-2026 23:42:12.597 WARNING [http-nio-8080-exec-19] org.apache.commons.jcs3.engine.control.CompositeCacheConfigurator. Skipping empty auxiliary name</x:v>
      </x:c>
    </x:row>
    <x:row r="294">
      <x:c r="A294" s="36" t="n">
        <x:v>293</x:v>
      </x:c>
      <x:c r="B294" s="34" t="str">
        <x:v>article1-unified-v4-2-fb3f101b-20260903-000401-default-f02-p6-jcs321</x:v>
      </x:c>
      <x:c r="C294" s="34" t="str">
        <x:v>default</x:v>
      </x:c>
      <x:c r="D294" s="34" t="str">
        <x:v>jcs321</x:v>
      </x:c>
      <x:c r="E294" s="36" t="n">
        <x:v>2</x:v>
      </x:c>
      <x:c r="F294" s="36" t="n">
        <x:v>2</x:v>
      </x:c>
      <x:c r="G294" s="36"/>
      <x:c r="H294" s="34" t="str">
        <x:v>process-run-aggregate</x:v>
      </x:c>
      <x:c r="I294" s="36"/>
      <x:c r="J294" s="34" t="str">
        <x:v>warning</x:v>
      </x:c>
      <x:c r="K294" s="34" t="str">
        <x:v>warnings</x:v>
      </x:c>
      <x:c r="L294" s="36" t="n">
        <x:v>8</x:v>
      </x:c>
      <x:c r="M294" s="34"/>
      <x:c r="N294" s="44" t="str">
        <x:v>02-Sep-2026 23:42:25.942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295">
      <x:c r="A295" s="36" t="n">
        <x:v>294</x:v>
      </x:c>
      <x:c r="B295" s="34" t="str">
        <x:v>article1-unified-v4-2-fb3f101b-20260903-000401-default-f02-p6-jcs321</x:v>
      </x:c>
      <x:c r="C295" s="34" t="str">
        <x:v>default</x:v>
      </x:c>
      <x:c r="D295" s="34" t="str">
        <x:v>jcs321</x:v>
      </x:c>
      <x:c r="E295" s="36" t="n">
        <x:v>2</x:v>
      </x:c>
      <x:c r="F295" s="36" t="n">
        <x:v>2</x:v>
      </x:c>
      <x:c r="G295" s="36"/>
      <x:c r="H295" s="34" t="str">
        <x:v>process-run-aggregate</x:v>
      </x:c>
      <x:c r="I295" s="36"/>
      <x:c r="J295" s="34" t="str">
        <x:v>warning</x:v>
      </x:c>
      <x:c r="K295" s="34" t="str">
        <x:v>warnings</x:v>
      </x:c>
      <x:c r="L295" s="36" t="n">
        <x:v>9</x:v>
      </x:c>
      <x:c r="M295" s="34"/>
      <x:c r="N295" s="44" t="str">
        <x:v>02-Sep-2026 23:42:58.598 WARNING [http-nio-8080-exec-11] org.apache.commons.jcs3.engine.control.CompositeCacheConfigurator. Skipping empty auxiliary name</x:v>
      </x:c>
    </x:row>
    <x:row r="296">
      <x:c r="A296" s="36" t="n">
        <x:v>295</x:v>
      </x:c>
      <x:c r="B296" s="34" t="str">
        <x:v>article1-unified-v4-2-fb3f101b-20260903-000401-default-f02-p6-jcs321</x:v>
      </x:c>
      <x:c r="C296" s="34" t="str">
        <x:v>default</x:v>
      </x:c>
      <x:c r="D296" s="34" t="str">
        <x:v>jcs321</x:v>
      </x:c>
      <x:c r="E296" s="36" t="n">
        <x:v>2</x:v>
      </x:c>
      <x:c r="F296" s="36" t="n">
        <x:v>2</x:v>
      </x:c>
      <x:c r="G296" s="36"/>
      <x:c r="H296" s="34" t="str">
        <x:v>process-run-aggregate</x:v>
      </x:c>
      <x:c r="I296" s="36"/>
      <x:c r="J296" s="34" t="str">
        <x:v>warning</x:v>
      </x:c>
      <x:c r="K296" s="34" t="str">
        <x:v>warnings</x:v>
      </x:c>
      <x:c r="L296" s="36" t="n">
        <x:v>10</x:v>
      </x:c>
      <x:c r="M296" s="34"/>
      <x:c r="N296" s="44" t="str">
        <x:v>02-Sep-2026 23:43:11.936 WARNING [http-nio-8080-exec-20]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297">
      <x:c r="A297" s="36" t="n">
        <x:v>296</x:v>
      </x:c>
      <x:c r="B297" s="34" t="str">
        <x:v>article1-unified-v4-2-fb3f101b-20260903-000401-default-f02-p6-jcs321</x:v>
      </x:c>
      <x:c r="C297" s="34" t="str">
        <x:v>default</x:v>
      </x:c>
      <x:c r="D297" s="34" t="str">
        <x:v>jcs321</x:v>
      </x:c>
      <x:c r="E297" s="36" t="n">
        <x:v>2</x:v>
      </x:c>
      <x:c r="F297" s="36" t="n">
        <x:v>2</x:v>
      </x:c>
      <x:c r="G297" s="36"/>
      <x:c r="H297" s="34" t="str">
        <x:v>process-run-aggregate</x:v>
      </x:c>
      <x:c r="I297" s="36"/>
      <x:c r="J297" s="34" t="str">
        <x:v>warning</x:v>
      </x:c>
      <x:c r="K297" s="34" t="str">
        <x:v>warnings</x:v>
      </x:c>
      <x:c r="L297" s="36" t="n">
        <x:v>11</x:v>
      </x:c>
      <x:c r="M297" s="34"/>
      <x:c r="N297" s="44" t="str">
        <x:v>02-Sep-2026 23:43:41.906 WARNING [http-nio-8080-exec-27] org.apache.commons.jcs3.engine.control.CompositeCacheConfigurator. Skipping empty auxiliary name</x:v>
      </x:c>
    </x:row>
    <x:row r="298">
      <x:c r="A298" s="36" t="n">
        <x:v>297</x:v>
      </x:c>
      <x:c r="B298" s="34" t="str">
        <x:v>article1-unified-v4-2-fb3f101b-20260903-000401-default-f02-p6-jcs321</x:v>
      </x:c>
      <x:c r="C298" s="34" t="str">
        <x:v>default</x:v>
      </x:c>
      <x:c r="D298" s="34" t="str">
        <x:v>jcs321</x:v>
      </x:c>
      <x:c r="E298" s="36" t="n">
        <x:v>2</x:v>
      </x:c>
      <x:c r="F298" s="36" t="n">
        <x:v>2</x:v>
      </x:c>
      <x:c r="G298" s="36"/>
      <x:c r="H298" s="34" t="str">
        <x:v>process-run-aggregate</x:v>
      </x:c>
      <x:c r="I298" s="36"/>
      <x:c r="J298" s="34" t="str">
        <x:v>warning</x:v>
      </x:c>
      <x:c r="K298" s="34" t="str">
        <x:v>warnings</x:v>
      </x:c>
      <x:c r="L298" s="36" t="n">
        <x:v>12</x:v>
      </x:c>
      <x:c r="M298" s="34"/>
      <x:c r="N298" s="44" t="str">
        <x:v>02-Sep-2026 23:43:55.271 WARNING [http-nio-8080-exec-35]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299">
      <x:c r="A299" s="36" t="n">
        <x:v>298</x:v>
      </x:c>
      <x:c r="B299" s="34" t="str">
        <x:v>article1-unified-v4-2-fb3f101b-20260903-000401-default-f02-p6-jcs321</x:v>
      </x:c>
      <x:c r="C299" s="34" t="str">
        <x:v>default</x:v>
      </x:c>
      <x:c r="D299" s="34" t="str">
        <x:v>jcs321</x:v>
      </x:c>
      <x:c r="E299" s="36" t="n">
        <x:v>2</x:v>
      </x:c>
      <x:c r="F299" s="36" t="n">
        <x:v>2</x:v>
      </x:c>
      <x:c r="G299" s="36"/>
      <x:c r="H299" s="34" t="str">
        <x:v>process-run-aggregate</x:v>
      </x:c>
      <x:c r="I299" s="36"/>
      <x:c r="J299" s="34" t="str">
        <x:v>warning</x:v>
      </x:c>
      <x:c r="K299" s="34" t="str">
        <x:v>warnings</x:v>
      </x:c>
      <x:c r="L299" s="36" t="n">
        <x:v>13</x:v>
      </x:c>
      <x:c r="M299" s="34"/>
      <x:c r="N299" s="44" t="str">
        <x:v>02-Sep-2026 23:44:27.810 WARNING [http-nio-8080-exec-41] org.apache.commons.jcs3.engine.control.CompositeCacheConfigurator. Skipping empty auxiliary name</x:v>
      </x:c>
    </x:row>
    <x:row r="300">
      <x:c r="A300" s="36" t="n">
        <x:v>299</x:v>
      </x:c>
      <x:c r="B300" s="34" t="str">
        <x:v>article1-unified-v4-2-fb3f101b-20260903-000401-default-f02-p6-jcs321</x:v>
      </x:c>
      <x:c r="C300" s="34" t="str">
        <x:v>default</x:v>
      </x:c>
      <x:c r="D300" s="34" t="str">
        <x:v>jcs321</x:v>
      </x:c>
      <x:c r="E300" s="36" t="n">
        <x:v>2</x:v>
      </x:c>
      <x:c r="F300" s="36" t="n">
        <x:v>2</x:v>
      </x:c>
      <x:c r="G300" s="36"/>
      <x:c r="H300" s="34" t="str">
        <x:v>process-run-aggregate</x:v>
      </x:c>
      <x:c r="I300" s="36"/>
      <x:c r="J300" s="34" t="str">
        <x:v>warning</x:v>
      </x:c>
      <x:c r="K300" s="34" t="str">
        <x:v>warnings</x:v>
      </x:c>
      <x:c r="L300" s="36" t="n">
        <x:v>14</x:v>
      </x:c>
      <x:c r="M300" s="34"/>
      <x:c r="N300" s="44" t="str">
        <x:v>02-Sep-2026 23:44:41.351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301">
      <x:c r="A301" s="36" t="n">
        <x:v>300</x:v>
      </x:c>
      <x:c r="B301" s="34" t="str">
        <x:v>article1-unified-v4-2-fb3f101b-20260903-000401-default-f02-p6-jcs321</x:v>
      </x:c>
      <x:c r="C301" s="34" t="str">
        <x:v>default</x:v>
      </x:c>
      <x:c r="D301" s="34" t="str">
        <x:v>jcs321</x:v>
      </x:c>
      <x:c r="E301" s="36" t="n">
        <x:v>2</x:v>
      </x:c>
      <x:c r="F301" s="36" t="n">
        <x:v>2</x:v>
      </x:c>
      <x:c r="G301" s="36"/>
      <x:c r="H301" s="34" t="str">
        <x:v>process-run-aggregate</x:v>
      </x:c>
      <x:c r="I301" s="36"/>
      <x:c r="J301" s="34" t="str">
        <x:v>warning</x:v>
      </x:c>
      <x:c r="K301" s="34" t="str">
        <x:v>warnings</x:v>
      </x:c>
      <x:c r="L301" s="36" t="n">
        <x:v>15</x:v>
      </x:c>
      <x:c r="M301" s="34"/>
      <x:c r="N301" s="44" t="str">
        <x:v>02-Sep-2026 23:45:11.459 WARNING [http-nio-8080-exec-47] org.apache.commons.jcs3.engine.control.CompositeCacheConfigurator. Skipping empty auxiliary name</x:v>
      </x:c>
    </x:row>
    <x:row r="302">
      <x:c r="A302" s="36" t="n">
        <x:v>301</x:v>
      </x:c>
      <x:c r="B302" s="34" t="str">
        <x:v>article1-unified-v4-2-fb3f101b-20260903-000401-default-f02-p6-jcs321</x:v>
      </x:c>
      <x:c r="C302" s="34" t="str">
        <x:v>default</x:v>
      </x:c>
      <x:c r="D302" s="34" t="str">
        <x:v>jcs321</x:v>
      </x:c>
      <x:c r="E302" s="36" t="n">
        <x:v>2</x:v>
      </x:c>
      <x:c r="F302" s="36" t="n">
        <x:v>2</x:v>
      </x:c>
      <x:c r="G302" s="36"/>
      <x:c r="H302" s="34" t="str">
        <x:v>process-run-aggregate</x:v>
      </x:c>
      <x:c r="I302" s="36"/>
      <x:c r="J302" s="34" t="str">
        <x:v>warning</x:v>
      </x:c>
      <x:c r="K302" s="34" t="str">
        <x:v>warnings</x:v>
      </x:c>
      <x:c r="L302" s="36" t="n">
        <x:v>16</x:v>
      </x:c>
      <x:c r="M302" s="34"/>
      <x:c r="N302" s="44" t="str">
        <x:v>02-Sep-2026 23:45:24.812 WARNING [http-nio-8080-exec-45]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303">
      <x:c r="A303" s="36" t="n">
        <x:v>302</x:v>
      </x:c>
      <x:c r="B303" s="34" t="str">
        <x:v>article1-unified-v4-2-fb3f101b-20260903-000401-default-f02-p6-jcs321</x:v>
      </x:c>
      <x:c r="C303" s="34" t="str">
        <x:v>default</x:v>
      </x:c>
      <x:c r="D303" s="34" t="str">
        <x:v>jcs321</x:v>
      </x:c>
      <x:c r="E303" s="36" t="n">
        <x:v>2</x:v>
      </x:c>
      <x:c r="F303" s="36" t="n">
        <x:v>2</x:v>
      </x:c>
      <x:c r="G303" s="36"/>
      <x:c r="H303" s="34" t="str">
        <x:v>process-run-aggregate</x:v>
      </x:c>
      <x:c r="I303" s="36"/>
      <x:c r="J303" s="34" t="str">
        <x:v>warning</x:v>
      </x:c>
      <x:c r="K303" s="34" t="str">
        <x:v>warnings</x:v>
      </x:c>
      <x:c r="L303" s="36" t="n">
        <x:v>17</x:v>
      </x:c>
      <x:c r="M303" s="34"/>
      <x:c r="N303" s="44" t="str">
        <x:v>02-Sep-2026 23:45:57.184 WARNING [http-nio-8080-exec-36] org.apache.commons.jcs3.engine.control.CompositeCacheConfigurator. Skipping empty auxiliary name</x:v>
      </x:c>
    </x:row>
    <x:row r="304">
      <x:c r="A304" s="36" t="n">
        <x:v>303</x:v>
      </x:c>
      <x:c r="B304" s="34" t="str">
        <x:v>article1-unified-v4-2-fb3f101b-20260903-000401-default-f02-p6-jcs321</x:v>
      </x:c>
      <x:c r="C304" s="34" t="str">
        <x:v>default</x:v>
      </x:c>
      <x:c r="D304" s="34" t="str">
        <x:v>jcs321</x:v>
      </x:c>
      <x:c r="E304" s="36" t="n">
        <x:v>2</x:v>
      </x:c>
      <x:c r="F304" s="36" t="n">
        <x:v>2</x:v>
      </x:c>
      <x:c r="G304" s="36"/>
      <x:c r="H304" s="34" t="str">
        <x:v>process-run-aggregate</x:v>
      </x:c>
      <x:c r="I304" s="36"/>
      <x:c r="J304" s="34" t="str">
        <x:v>warning</x:v>
      </x:c>
      <x:c r="K304" s="34" t="str">
        <x:v>warnings</x:v>
      </x:c>
      <x:c r="L304" s="36" t="n">
        <x:v>18</x:v>
      </x:c>
      <x:c r="M304" s="34"/>
      <x:c r="N304" s="44" t="str">
        <x:v>02-Sep-2026 23:46:11.606 WARNING [http-nio-8080-exec-53]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305">
      <x:c r="A305" s="36" t="n">
        <x:v>304</x:v>
      </x:c>
      <x:c r="B305" s="34" t="str">
        <x:v>article1-unified-v4-2-fb3f101b-20260903-000401-default-f02-p6-jcs321</x:v>
      </x:c>
      <x:c r="C305" s="34" t="str">
        <x:v>default</x:v>
      </x:c>
      <x:c r="D305" s="34" t="str">
        <x:v>jcs321</x:v>
      </x:c>
      <x:c r="E305" s="36" t="n">
        <x:v>2</x:v>
      </x:c>
      <x:c r="F305" s="36" t="n">
        <x:v>2</x:v>
      </x:c>
      <x:c r="G305" s="36"/>
      <x:c r="H305" s="34" t="str">
        <x:v>process-run-aggregate</x:v>
      </x:c>
      <x:c r="I305" s="36"/>
      <x:c r="J305" s="34" t="str">
        <x:v>warning</x:v>
      </x:c>
      <x:c r="K305" s="34" t="str">
        <x:v>warnings</x:v>
      </x:c>
      <x:c r="L305" s="36" t="n">
        <x:v>19</x:v>
      </x:c>
      <x:c r="M305" s="34"/>
      <x:c r="N305" s="44" t="str">
        <x:v>02-Sep-2026 23:46:41.914 WARNING [http-nio-8080-exec-62] org.apache.commons.jcs3.engine.control.CompositeCacheConfigurator. Skipping empty auxiliary name</x:v>
      </x:c>
    </x:row>
    <x:row r="306">
      <x:c r="A306" s="36" t="n">
        <x:v>305</x:v>
      </x:c>
      <x:c r="B306" s="34" t="str">
        <x:v>article1-unified-v4-2-fb3f101b-20260903-000401-default-f02-p6-jcs321</x:v>
      </x:c>
      <x:c r="C306" s="34" t="str">
        <x:v>default</x:v>
      </x:c>
      <x:c r="D306" s="34" t="str">
        <x:v>jcs321</x:v>
      </x:c>
      <x:c r="E306" s="36" t="n">
        <x:v>2</x:v>
      </x:c>
      <x:c r="F306" s="36" t="n">
        <x:v>2</x:v>
      </x:c>
      <x:c r="G306" s="36"/>
      <x:c r="H306" s="34" t="str">
        <x:v>process-run-aggregate</x:v>
      </x:c>
      <x:c r="I306" s="36"/>
      <x:c r="J306" s="34" t="str">
        <x:v>warning</x:v>
      </x:c>
      <x:c r="K306" s="34" t="str">
        <x:v>warnings</x:v>
      </x:c>
      <x:c r="L306" s="36" t="n">
        <x:v>20</x:v>
      </x:c>
      <x:c r="M306" s="34"/>
      <x:c r="N306" s="44" t="str">
        <x:v>02-Sep-2026 23:46:55.637 WARNING [http-nio-8080-exec-57]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307">
      <x:c r="A307" s="36" t="n">
        <x:v>306</x:v>
      </x:c>
      <x:c r="B307" s="34" t="str">
        <x:v>article1-unified-v4-2-fb3f101b-20260903-000401-default-f02-p6-jcs321</x:v>
      </x:c>
      <x:c r="C307" s="34" t="str">
        <x:v>default</x:v>
      </x:c>
      <x:c r="D307" s="34" t="str">
        <x:v>jcs321</x:v>
      </x:c>
      <x:c r="E307" s="36" t="n">
        <x:v>2</x:v>
      </x:c>
      <x:c r="F307" s="36" t="n">
        <x:v>2</x:v>
      </x:c>
      <x:c r="G307" s="36"/>
      <x:c r="H307" s="34" t="str">
        <x:v>process-run-aggregate</x:v>
      </x:c>
      <x:c r="I307" s="36"/>
      <x:c r="J307" s="34" t="str">
        <x:v>leak-warning</x:v>
      </x:c>
      <x:c r="K307" s="34" t="str">
        <x:v>leakWarnings</x:v>
      </x:c>
      <x:c r="L307" s="36" t="n">
        <x:v>1</x:v>
      </x:c>
      <x:c r="M307" s="34"/>
      <x:c r="N307" s="44" t="str">
        <x:v>02-Sep-2026 23:40:12.412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308">
      <x:c r="A308" s="36" t="n">
        <x:v>307</x:v>
      </x:c>
      <x:c r="B308" s="34" t="str">
        <x:v>article1-unified-v4-2-fb3f101b-20260903-000401-default-f02-p6-jcs321</x:v>
      </x:c>
      <x:c r="C308" s="34" t="str">
        <x:v>default</x:v>
      </x:c>
      <x:c r="D308" s="34" t="str">
        <x:v>jcs321</x:v>
      </x:c>
      <x:c r="E308" s="36" t="n">
        <x:v>2</x:v>
      </x:c>
      <x:c r="F308" s="36" t="n">
        <x:v>2</x:v>
      </x:c>
      <x:c r="G308" s="36"/>
      <x:c r="H308" s="34" t="str">
        <x:v>process-run-aggregate</x:v>
      </x:c>
      <x:c r="I308" s="36"/>
      <x:c r="J308" s="34" t="str">
        <x:v>leak-warning</x:v>
      </x:c>
      <x:c r="K308" s="34" t="str">
        <x:v>leakWarnings</x:v>
      </x:c>
      <x:c r="L308" s="36" t="n">
        <x:v>2</x:v>
      </x:c>
      <x:c r="M308" s="34"/>
      <x:c r="N308" s="44" t="str">
        <x:v>02-Sep-2026 23:40:55.792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309">
      <x:c r="A309" s="36" t="n">
        <x:v>308</x:v>
      </x:c>
      <x:c r="B309" s="34" t="str">
        <x:v>article1-unified-v4-2-fb3f101b-20260903-000401-default-f02-p6-jcs321</x:v>
      </x:c>
      <x:c r="C309" s="34" t="str">
        <x:v>default</x:v>
      </x:c>
      <x:c r="D309" s="34" t="str">
        <x:v>jcs321</x:v>
      </x:c>
      <x:c r="E309" s="36" t="n">
        <x:v>2</x:v>
      </x:c>
      <x:c r="F309" s="36" t="n">
        <x:v>2</x:v>
      </x:c>
      <x:c r="G309" s="36"/>
      <x:c r="H309" s="34" t="str">
        <x:v>process-run-aggregate</x:v>
      </x:c>
      <x:c r="I309" s="36"/>
      <x:c r="J309" s="34" t="str">
        <x:v>leak-warning</x:v>
      </x:c>
      <x:c r="K309" s="34" t="str">
        <x:v>leakWarnings</x:v>
      </x:c>
      <x:c r="L309" s="36" t="n">
        <x:v>3</x:v>
      </x:c>
      <x:c r="M309" s="34"/>
      <x:c r="N309" s="44" t="str">
        <x:v>02-Sep-2026 23:41:42.257 WARNING [http-nio-8080-exec-12]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310">
      <x:c r="A310" s="36" t="n">
        <x:v>309</x:v>
      </x:c>
      <x:c r="B310" s="34" t="str">
        <x:v>article1-unified-v4-2-fb3f101b-20260903-000401-default-f02-p6-jcs321</x:v>
      </x:c>
      <x:c r="C310" s="34" t="str">
        <x:v>default</x:v>
      </x:c>
      <x:c r="D310" s="34" t="str">
        <x:v>jcs321</x:v>
      </x:c>
      <x:c r="E310" s="36" t="n">
        <x:v>2</x:v>
      </x:c>
      <x:c r="F310" s="36" t="n">
        <x:v>2</x:v>
      </x:c>
      <x:c r="G310" s="36"/>
      <x:c r="H310" s="34" t="str">
        <x:v>process-run-aggregate</x:v>
      </x:c>
      <x:c r="I310" s="36"/>
      <x:c r="J310" s="34" t="str">
        <x:v>leak-warning</x:v>
      </x:c>
      <x:c r="K310" s="34" t="str">
        <x:v>leakWarnings</x:v>
      </x:c>
      <x:c r="L310" s="36" t="n">
        <x:v>4</x:v>
      </x:c>
      <x:c r="M310" s="34"/>
      <x:c r="N310" s="44" t="str">
        <x:v>02-Sep-2026 23:42:25.942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311">
      <x:c r="A311" s="36" t="n">
        <x:v>310</x:v>
      </x:c>
      <x:c r="B311" s="34" t="str">
        <x:v>article1-unified-v4-2-fb3f101b-20260903-000401-default-f02-p6-jcs321</x:v>
      </x:c>
      <x:c r="C311" s="34" t="str">
        <x:v>default</x:v>
      </x:c>
      <x:c r="D311" s="34" t="str">
        <x:v>jcs321</x:v>
      </x:c>
      <x:c r="E311" s="36" t="n">
        <x:v>2</x:v>
      </x:c>
      <x:c r="F311" s="36" t="n">
        <x:v>2</x:v>
      </x:c>
      <x:c r="G311" s="36"/>
      <x:c r="H311" s="34" t="str">
        <x:v>process-run-aggregate</x:v>
      </x:c>
      <x:c r="I311" s="36"/>
      <x:c r="J311" s="34" t="str">
        <x:v>leak-warning</x:v>
      </x:c>
      <x:c r="K311" s="34" t="str">
        <x:v>leakWarnings</x:v>
      </x:c>
      <x:c r="L311" s="36" t="n">
        <x:v>5</x:v>
      </x:c>
      <x:c r="M311" s="34"/>
      <x:c r="N311" s="44" t="str">
        <x:v>02-Sep-2026 23:43:11.936 WARNING [http-nio-8080-exec-20]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312">
      <x:c r="A312" s="36" t="n">
        <x:v>311</x:v>
      </x:c>
      <x:c r="B312" s="34" t="str">
        <x:v>article1-unified-v4-2-fb3f101b-20260903-000401-default-f02-p6-jcs321</x:v>
      </x:c>
      <x:c r="C312" s="34" t="str">
        <x:v>default</x:v>
      </x:c>
      <x:c r="D312" s="34" t="str">
        <x:v>jcs321</x:v>
      </x:c>
      <x:c r="E312" s="36" t="n">
        <x:v>2</x:v>
      </x:c>
      <x:c r="F312" s="36" t="n">
        <x:v>2</x:v>
      </x:c>
      <x:c r="G312" s="36"/>
      <x:c r="H312" s="34" t="str">
        <x:v>process-run-aggregate</x:v>
      </x:c>
      <x:c r="I312" s="36"/>
      <x:c r="J312" s="34" t="str">
        <x:v>leak-warning</x:v>
      </x:c>
      <x:c r="K312" s="34" t="str">
        <x:v>leakWarnings</x:v>
      </x:c>
      <x:c r="L312" s="36" t="n">
        <x:v>6</x:v>
      </x:c>
      <x:c r="M312" s="34"/>
      <x:c r="N312" s="44" t="str">
        <x:v>02-Sep-2026 23:43:55.271 WARNING [http-nio-8080-exec-35]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313">
      <x:c r="A313" s="36" t="n">
        <x:v>312</x:v>
      </x:c>
      <x:c r="B313" s="34" t="str">
        <x:v>article1-unified-v4-2-fb3f101b-20260903-000401-default-f02-p6-jcs321</x:v>
      </x:c>
      <x:c r="C313" s="34" t="str">
        <x:v>default</x:v>
      </x:c>
      <x:c r="D313" s="34" t="str">
        <x:v>jcs321</x:v>
      </x:c>
      <x:c r="E313" s="36" t="n">
        <x:v>2</x:v>
      </x:c>
      <x:c r="F313" s="36" t="n">
        <x:v>2</x:v>
      </x:c>
      <x:c r="G313" s="36"/>
      <x:c r="H313" s="34" t="str">
        <x:v>process-run-aggregate</x:v>
      </x:c>
      <x:c r="I313" s="36"/>
      <x:c r="J313" s="34" t="str">
        <x:v>leak-warning</x:v>
      </x:c>
      <x:c r="K313" s="34" t="str">
        <x:v>leakWarnings</x:v>
      </x:c>
      <x:c r="L313" s="36" t="n">
        <x:v>7</x:v>
      </x:c>
      <x:c r="M313" s="34"/>
      <x:c r="N313" s="44" t="str">
        <x:v>02-Sep-2026 23:44:41.351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314">
      <x:c r="A314" s="36" t="n">
        <x:v>313</x:v>
      </x:c>
      <x:c r="B314" s="34" t="str">
        <x:v>article1-unified-v4-2-fb3f101b-20260903-000401-default-f02-p6-jcs321</x:v>
      </x:c>
      <x:c r="C314" s="34" t="str">
        <x:v>default</x:v>
      </x:c>
      <x:c r="D314" s="34" t="str">
        <x:v>jcs321</x:v>
      </x:c>
      <x:c r="E314" s="36" t="n">
        <x:v>2</x:v>
      </x:c>
      <x:c r="F314" s="36" t="n">
        <x:v>2</x:v>
      </x:c>
      <x:c r="G314" s="36"/>
      <x:c r="H314" s="34" t="str">
        <x:v>process-run-aggregate</x:v>
      </x:c>
      <x:c r="I314" s="36"/>
      <x:c r="J314" s="34" t="str">
        <x:v>leak-warning</x:v>
      </x:c>
      <x:c r="K314" s="34" t="str">
        <x:v>leakWarnings</x:v>
      </x:c>
      <x:c r="L314" s="36" t="n">
        <x:v>8</x:v>
      </x:c>
      <x:c r="M314" s="34"/>
      <x:c r="N314" s="44" t="str">
        <x:v>02-Sep-2026 23:45:24.812 WARNING [http-nio-8080-exec-45]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315">
      <x:c r="A315" s="36" t="n">
        <x:v>314</x:v>
      </x:c>
      <x:c r="B315" s="34" t="str">
        <x:v>article1-unified-v4-2-fb3f101b-20260903-000401-default-f02-p6-jcs321</x:v>
      </x:c>
      <x:c r="C315" s="34" t="str">
        <x:v>default</x:v>
      </x:c>
      <x:c r="D315" s="34" t="str">
        <x:v>jcs321</x:v>
      </x:c>
      <x:c r="E315" s="36" t="n">
        <x:v>2</x:v>
      </x:c>
      <x:c r="F315" s="36" t="n">
        <x:v>2</x:v>
      </x:c>
      <x:c r="G315" s="36"/>
      <x:c r="H315" s="34" t="str">
        <x:v>process-run-aggregate</x:v>
      </x:c>
      <x:c r="I315" s="36"/>
      <x:c r="J315" s="34" t="str">
        <x:v>leak-warning</x:v>
      </x:c>
      <x:c r="K315" s="34" t="str">
        <x:v>leakWarnings</x:v>
      </x:c>
      <x:c r="L315" s="36" t="n">
        <x:v>9</x:v>
      </x:c>
      <x:c r="M315" s="34"/>
      <x:c r="N315" s="44" t="str">
        <x:v>02-Sep-2026 23:46:11.606 WARNING [http-nio-8080-exec-53]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316">
      <x:c r="A316" s="36" t="n">
        <x:v>315</x:v>
      </x:c>
      <x:c r="B316" s="34" t="str">
        <x:v>article1-unified-v4-2-fb3f101b-20260903-000401-default-f02-p6-jcs321</x:v>
      </x:c>
      <x:c r="C316" s="34" t="str">
        <x:v>default</x:v>
      </x:c>
      <x:c r="D316" s="34" t="str">
        <x:v>jcs321</x:v>
      </x:c>
      <x:c r="E316" s="36" t="n">
        <x:v>2</x:v>
      </x:c>
      <x:c r="F316" s="36" t="n">
        <x:v>2</x:v>
      </x:c>
      <x:c r="G316" s="36"/>
      <x:c r="H316" s="34" t="str">
        <x:v>process-run-aggregate</x:v>
      </x:c>
      <x:c r="I316" s="36"/>
      <x:c r="J316" s="34" t="str">
        <x:v>leak-warning</x:v>
      </x:c>
      <x:c r="K316" s="34" t="str">
        <x:v>leakWarnings</x:v>
      </x:c>
      <x:c r="L316" s="36" t="n">
        <x:v>10</x:v>
      </x:c>
      <x:c r="M316" s="34"/>
      <x:c r="N316" s="44" t="str">
        <x:v>02-Sep-2026 23:46:55.637 WARNING [http-nio-8080-exec-57]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317">
      <x:c r="A317" s="36" t="n">
        <x:v>316</x:v>
      </x:c>
      <x:c r="B317" s="34" t="str">
        <x:v>article1-unified-v4-2-fb3f101b-20260903-000401-default-f02-p6-jcs321</x:v>
      </x:c>
      <x:c r="C317" s="34" t="str">
        <x:v>default</x:v>
      </x:c>
      <x:c r="D317" s="34" t="str">
        <x:v>jcs321</x:v>
      </x:c>
      <x:c r="E317" s="36" t="n">
        <x:v>2</x:v>
      </x:c>
      <x:c r="F317" s="36" t="n">
        <x:v>2</x:v>
      </x:c>
      <x:c r="G317" s="36"/>
      <x:c r="H317" s="34" t="str">
        <x:v>process-run-aggregate</x:v>
      </x:c>
      <x:c r="I317" s="36"/>
      <x:c r="J317" s="34" t="str">
        <x:v>thread-leak-warning</x:v>
      </x:c>
      <x:c r="K317" s="34" t="str">
        <x:v>threadLeakWarnings</x:v>
      </x:c>
      <x:c r="L317" s="36" t="n">
        <x:v>1</x:v>
      </x:c>
      <x:c r="M317" s="34"/>
      <x:c r="N317" s="44" t="str">
        <x:v>02-Sep-2026 23:40:12.412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318">
      <x:c r="A318" s="36" t="n">
        <x:v>317</x:v>
      </x:c>
      <x:c r="B318" s="34" t="str">
        <x:v>article1-unified-v4-2-fb3f101b-20260903-000401-default-f02-p6-jcs321</x:v>
      </x:c>
      <x:c r="C318" s="34" t="str">
        <x:v>default</x:v>
      </x:c>
      <x:c r="D318" s="34" t="str">
        <x:v>jcs321</x:v>
      </x:c>
      <x:c r="E318" s="36" t="n">
        <x:v>2</x:v>
      </x:c>
      <x:c r="F318" s="36" t="n">
        <x:v>2</x:v>
      </x:c>
      <x:c r="G318" s="36"/>
      <x:c r="H318" s="34" t="str">
        <x:v>process-run-aggregate</x:v>
      </x:c>
      <x:c r="I318" s="36"/>
      <x:c r="J318" s="34" t="str">
        <x:v>thread-leak-warning</x:v>
      </x:c>
      <x:c r="K318" s="34" t="str">
        <x:v>threadLeakWarnings</x:v>
      </x:c>
      <x:c r="L318" s="36" t="n">
        <x:v>2</x:v>
      </x:c>
      <x:c r="M318" s="34"/>
      <x:c r="N318" s="44" t="str">
        <x:v>02-Sep-2026 23:40:55.792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319">
      <x:c r="A319" s="36" t="n">
        <x:v>318</x:v>
      </x:c>
      <x:c r="B319" s="34" t="str">
        <x:v>article1-unified-v4-2-fb3f101b-20260903-000401-default-f02-p6-jcs321</x:v>
      </x:c>
      <x:c r="C319" s="34" t="str">
        <x:v>default</x:v>
      </x:c>
      <x:c r="D319" s="34" t="str">
        <x:v>jcs321</x:v>
      </x:c>
      <x:c r="E319" s="36" t="n">
        <x:v>2</x:v>
      </x:c>
      <x:c r="F319" s="36" t="n">
        <x:v>2</x:v>
      </x:c>
      <x:c r="G319" s="36"/>
      <x:c r="H319" s="34" t="str">
        <x:v>process-run-aggregate</x:v>
      </x:c>
      <x:c r="I319" s="36"/>
      <x:c r="J319" s="34" t="str">
        <x:v>thread-leak-warning</x:v>
      </x:c>
      <x:c r="K319" s="34" t="str">
        <x:v>threadLeakWarnings</x:v>
      </x:c>
      <x:c r="L319" s="36" t="n">
        <x:v>3</x:v>
      </x:c>
      <x:c r="M319" s="34"/>
      <x:c r="N319" s="44" t="str">
        <x:v>02-Sep-2026 23:41:42.257 WARNING [http-nio-8080-exec-12]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320">
      <x:c r="A320" s="36" t="n">
        <x:v>319</x:v>
      </x:c>
      <x:c r="B320" s="34" t="str">
        <x:v>article1-unified-v4-2-fb3f101b-20260903-000401-default-f02-p6-jcs321</x:v>
      </x:c>
      <x:c r="C320" s="34" t="str">
        <x:v>default</x:v>
      </x:c>
      <x:c r="D320" s="34" t="str">
        <x:v>jcs321</x:v>
      </x:c>
      <x:c r="E320" s="36" t="n">
        <x:v>2</x:v>
      </x:c>
      <x:c r="F320" s="36" t="n">
        <x:v>2</x:v>
      </x:c>
      <x:c r="G320" s="36"/>
      <x:c r="H320" s="34" t="str">
        <x:v>process-run-aggregate</x:v>
      </x:c>
      <x:c r="I320" s="36"/>
      <x:c r="J320" s="34" t="str">
        <x:v>thread-leak-warning</x:v>
      </x:c>
      <x:c r="K320" s="34" t="str">
        <x:v>threadLeakWarnings</x:v>
      </x:c>
      <x:c r="L320" s="36" t="n">
        <x:v>4</x:v>
      </x:c>
      <x:c r="M320" s="34"/>
      <x:c r="N320" s="44" t="str">
        <x:v>02-Sep-2026 23:42:25.942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321">
      <x:c r="A321" s="36" t="n">
        <x:v>320</x:v>
      </x:c>
      <x:c r="B321" s="34" t="str">
        <x:v>article1-unified-v4-2-fb3f101b-20260903-000401-default-f02-p6-jcs321</x:v>
      </x:c>
      <x:c r="C321" s="34" t="str">
        <x:v>default</x:v>
      </x:c>
      <x:c r="D321" s="34" t="str">
        <x:v>jcs321</x:v>
      </x:c>
      <x:c r="E321" s="36" t="n">
        <x:v>2</x:v>
      </x:c>
      <x:c r="F321" s="36" t="n">
        <x:v>2</x:v>
      </x:c>
      <x:c r="G321" s="36"/>
      <x:c r="H321" s="34" t="str">
        <x:v>process-run-aggregate</x:v>
      </x:c>
      <x:c r="I321" s="36"/>
      <x:c r="J321" s="34" t="str">
        <x:v>thread-leak-warning</x:v>
      </x:c>
      <x:c r="K321" s="34" t="str">
        <x:v>threadLeakWarnings</x:v>
      </x:c>
      <x:c r="L321" s="36" t="n">
        <x:v>5</x:v>
      </x:c>
      <x:c r="M321" s="34"/>
      <x:c r="N321" s="44" t="str">
        <x:v>02-Sep-2026 23:43:11.936 WARNING [http-nio-8080-exec-20]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322">
      <x:c r="A322" s="36" t="n">
        <x:v>321</x:v>
      </x:c>
      <x:c r="B322" s="34" t="str">
        <x:v>article1-unified-v4-2-fb3f101b-20260903-000401-default-f02-p6-jcs321</x:v>
      </x:c>
      <x:c r="C322" s="34" t="str">
        <x:v>default</x:v>
      </x:c>
      <x:c r="D322" s="34" t="str">
        <x:v>jcs321</x:v>
      </x:c>
      <x:c r="E322" s="36" t="n">
        <x:v>2</x:v>
      </x:c>
      <x:c r="F322" s="36" t="n">
        <x:v>2</x:v>
      </x:c>
      <x:c r="G322" s="36"/>
      <x:c r="H322" s="34" t="str">
        <x:v>process-run-aggregate</x:v>
      </x:c>
      <x:c r="I322" s="36"/>
      <x:c r="J322" s="34" t="str">
        <x:v>thread-leak-warning</x:v>
      </x:c>
      <x:c r="K322" s="34" t="str">
        <x:v>threadLeakWarnings</x:v>
      </x:c>
      <x:c r="L322" s="36" t="n">
        <x:v>6</x:v>
      </x:c>
      <x:c r="M322" s="34"/>
      <x:c r="N322" s="44" t="str">
        <x:v>02-Sep-2026 23:43:55.271 WARNING [http-nio-8080-exec-35]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323">
      <x:c r="A323" s="36" t="n">
        <x:v>322</x:v>
      </x:c>
      <x:c r="B323" s="34" t="str">
        <x:v>article1-unified-v4-2-fb3f101b-20260903-000401-default-f02-p6-jcs321</x:v>
      </x:c>
      <x:c r="C323" s="34" t="str">
        <x:v>default</x:v>
      </x:c>
      <x:c r="D323" s="34" t="str">
        <x:v>jcs321</x:v>
      </x:c>
      <x:c r="E323" s="36" t="n">
        <x:v>2</x:v>
      </x:c>
      <x:c r="F323" s="36" t="n">
        <x:v>2</x:v>
      </x:c>
      <x:c r="G323" s="36"/>
      <x:c r="H323" s="34" t="str">
        <x:v>process-run-aggregate</x:v>
      </x:c>
      <x:c r="I323" s="36"/>
      <x:c r="J323" s="34" t="str">
        <x:v>thread-leak-warning</x:v>
      </x:c>
      <x:c r="K323" s="34" t="str">
        <x:v>threadLeakWarnings</x:v>
      </x:c>
      <x:c r="L323" s="36" t="n">
        <x:v>7</x:v>
      </x:c>
      <x:c r="M323" s="34"/>
      <x:c r="N323" s="44" t="str">
        <x:v>02-Sep-2026 23:44:41.351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324">
      <x:c r="A324" s="36" t="n">
        <x:v>323</x:v>
      </x:c>
      <x:c r="B324" s="34" t="str">
        <x:v>article1-unified-v4-2-fb3f101b-20260903-000401-default-f02-p6-jcs321</x:v>
      </x:c>
      <x:c r="C324" s="34" t="str">
        <x:v>default</x:v>
      </x:c>
      <x:c r="D324" s="34" t="str">
        <x:v>jcs321</x:v>
      </x:c>
      <x:c r="E324" s="36" t="n">
        <x:v>2</x:v>
      </x:c>
      <x:c r="F324" s="36" t="n">
        <x:v>2</x:v>
      </x:c>
      <x:c r="G324" s="36"/>
      <x:c r="H324" s="34" t="str">
        <x:v>process-run-aggregate</x:v>
      </x:c>
      <x:c r="I324" s="36"/>
      <x:c r="J324" s="34" t="str">
        <x:v>thread-leak-warning</x:v>
      </x:c>
      <x:c r="K324" s="34" t="str">
        <x:v>threadLeakWarnings</x:v>
      </x:c>
      <x:c r="L324" s="36" t="n">
        <x:v>8</x:v>
      </x:c>
      <x:c r="M324" s="34"/>
      <x:c r="N324" s="44" t="str">
        <x:v>02-Sep-2026 23:45:24.812 WARNING [http-nio-8080-exec-45]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325">
      <x:c r="A325" s="36" t="n">
        <x:v>324</x:v>
      </x:c>
      <x:c r="B325" s="34" t="str">
        <x:v>article1-unified-v4-2-fb3f101b-20260903-000401-default-f02-p6-jcs321</x:v>
      </x:c>
      <x:c r="C325" s="34" t="str">
        <x:v>default</x:v>
      </x:c>
      <x:c r="D325" s="34" t="str">
        <x:v>jcs321</x:v>
      </x:c>
      <x:c r="E325" s="36" t="n">
        <x:v>2</x:v>
      </x:c>
      <x:c r="F325" s="36" t="n">
        <x:v>2</x:v>
      </x:c>
      <x:c r="G325" s="36"/>
      <x:c r="H325" s="34" t="str">
        <x:v>process-run-aggregate</x:v>
      </x:c>
      <x:c r="I325" s="36"/>
      <x:c r="J325" s="34" t="str">
        <x:v>thread-leak-warning</x:v>
      </x:c>
      <x:c r="K325" s="34" t="str">
        <x:v>threadLeakWarnings</x:v>
      </x:c>
      <x:c r="L325" s="36" t="n">
        <x:v>9</x:v>
      </x:c>
      <x:c r="M325" s="34"/>
      <x:c r="N325" s="44" t="str">
        <x:v>02-Sep-2026 23:46:11.606 WARNING [http-nio-8080-exec-53]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326">
      <x:c r="A326" s="36" t="n">
        <x:v>325</x:v>
      </x:c>
      <x:c r="B326" s="34" t="str">
        <x:v>article1-unified-v4-2-fb3f101b-20260903-000401-default-f02-p6-jcs321</x:v>
      </x:c>
      <x:c r="C326" s="34" t="str">
        <x:v>default</x:v>
      </x:c>
      <x:c r="D326" s="34" t="str">
        <x:v>jcs321</x:v>
      </x:c>
      <x:c r="E326" s="36" t="n">
        <x:v>2</x:v>
      </x:c>
      <x:c r="F326" s="36" t="n">
        <x:v>2</x:v>
      </x:c>
      <x:c r="G326" s="36"/>
      <x:c r="H326" s="34" t="str">
        <x:v>process-run-aggregate</x:v>
      </x:c>
      <x:c r="I326" s="36"/>
      <x:c r="J326" s="34" t="str">
        <x:v>thread-leak-warning</x:v>
      </x:c>
      <x:c r="K326" s="34" t="str">
        <x:v>threadLeakWarnings</x:v>
      </x:c>
      <x:c r="L326" s="36" t="n">
        <x:v>10</x:v>
      </x:c>
      <x:c r="M326" s="34"/>
      <x:c r="N326" s="44" t="str">
        <x:v>02-Sep-2026 23:46:55.637 WARNING [http-nio-8080-exec-57]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327">
      <x:c r="A327" s="36" t="n">
        <x:v>326</x:v>
      </x:c>
      <x:c r="B327" s="34" t="str">
        <x:v>article1-unified-v4-2-fb3f101b-20260903-000401-default-f02-p6-jcs321</x:v>
      </x:c>
      <x:c r="C327" s="34" t="str">
        <x:v>default</x:v>
      </x:c>
      <x:c r="D327" s="34" t="str">
        <x:v>jcs321</x:v>
      </x:c>
      <x:c r="E327" s="36" t="n">
        <x:v>2</x:v>
      </x:c>
      <x:c r="F327" s="36" t="n">
        <x:v>2</x:v>
      </x:c>
      <x:c r="G327" s="36" t="n">
        <x:v>1</x:v>
      </x:c>
      <x:c r="H327" s="34" t="str">
        <x:v>cycle-window</x:v>
      </x:c>
      <x:c r="I327" s="36" t="n">
        <x:v>1</x:v>
      </x:c>
      <x:c r="J327" s="34" t="str">
        <x:v>warning</x:v>
      </x:c>
      <x:c r="K327" s="34" t="str">
        <x:v>firstUndeployWarnings</x:v>
      </x:c>
      <x:c r="L327" s="36" t="n">
        <x:v>1</x:v>
      </x:c>
      <x:c r="M327" s="34"/>
      <x:c r="N327" s="44" t="str">
        <x:v>02-Sep-2026 23:40:12.412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328">
      <x:c r="A328" s="36" t="n">
        <x:v>327</x:v>
      </x:c>
      <x:c r="B328" s="34" t="str">
        <x:v>article1-unified-v4-2-fb3f101b-20260903-000401-default-f02-p6-jcs321</x:v>
      </x:c>
      <x:c r="C328" s="34" t="str">
        <x:v>default</x:v>
      </x:c>
      <x:c r="D328" s="34" t="str">
        <x:v>jcs321</x:v>
      </x:c>
      <x:c r="E328" s="36" t="n">
        <x:v>2</x:v>
      </x:c>
      <x:c r="F328" s="36" t="n">
        <x:v>2</x:v>
      </x:c>
      <x:c r="G328" s="36" t="n">
        <x:v>1</x:v>
      </x:c>
      <x:c r="H328" s="34" t="str">
        <x:v>cycle-window</x:v>
      </x:c>
      <x:c r="I328" s="36" t="n">
        <x:v>1</x:v>
      </x:c>
      <x:c r="J328" s="34" t="str">
        <x:v>leak-warning</x:v>
      </x:c>
      <x:c r="K328" s="34" t="str">
        <x:v>firstUndeployLeakWarnings</x:v>
      </x:c>
      <x:c r="L328" s="36" t="n">
        <x:v>1</x:v>
      </x:c>
      <x:c r="M328" s="34"/>
      <x:c r="N328" s="44" t="str">
        <x:v>02-Sep-2026 23:40:12.412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329">
      <x:c r="A329" s="36" t="n">
        <x:v>328</x:v>
      </x:c>
      <x:c r="B329" s="34" t="str">
        <x:v>article1-unified-v4-2-fb3f101b-20260903-000401-default-f02-p6-jcs321</x:v>
      </x:c>
      <x:c r="C329" s="34" t="str">
        <x:v>default</x:v>
      </x:c>
      <x:c r="D329" s="34" t="str">
        <x:v>jcs321</x:v>
      </x:c>
      <x:c r="E329" s="36" t="n">
        <x:v>2</x:v>
      </x:c>
      <x:c r="F329" s="36" t="n">
        <x:v>2</x:v>
      </x:c>
      <x:c r="G329" s="36" t="n">
        <x:v>1</x:v>
      </x:c>
      <x:c r="H329" s="34" t="str">
        <x:v>cycle-window</x:v>
      </x:c>
      <x:c r="I329" s="36" t="n">
        <x:v>1</x:v>
      </x:c>
      <x:c r="J329" s="34" t="str">
        <x:v>thread-leak-warning</x:v>
      </x:c>
      <x:c r="K329" s="34" t="str">
        <x:v>firstUndeployThreadLeakWarnings</x:v>
      </x:c>
      <x:c r="L329" s="36" t="n">
        <x:v>1</x:v>
      </x:c>
      <x:c r="M329" s="34"/>
      <x:c r="N329" s="44" t="str">
        <x:v>02-Sep-2026 23:40:12.412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330">
      <x:c r="A330" s="36" t="n">
        <x:v>329</x:v>
      </x:c>
      <x:c r="B330" s="34" t="str">
        <x:v>article1-unified-v4-2-fb3f101b-20260903-000401-default-f02-p6-jcs321</x:v>
      </x:c>
      <x:c r="C330" s="34" t="str">
        <x:v>default</x:v>
      </x:c>
      <x:c r="D330" s="34" t="str">
        <x:v>jcs321</x:v>
      </x:c>
      <x:c r="E330" s="36" t="n">
        <x:v>2</x:v>
      </x:c>
      <x:c r="F330" s="36" t="n">
        <x:v>2</x:v>
      </x:c>
      <x:c r="G330" s="36" t="n">
        <x:v>1</x:v>
      </x:c>
      <x:c r="H330" s="34" t="str">
        <x:v>cycle-window</x:v>
      </x:c>
      <x:c r="I330" s="36" t="n">
        <x:v>2</x:v>
      </x:c>
      <x:c r="J330" s="34" t="str">
        <x:v>warning</x:v>
      </x:c>
      <x:c r="K330" s="34" t="str">
        <x:v>secondUndeployWarnings</x:v>
      </x:c>
      <x:c r="L330" s="36" t="n">
        <x:v>1</x:v>
      </x:c>
      <x:c r="M330" s="34"/>
      <x:c r="N330" s="44" t="str">
        <x:v>02-Sep-2026 23:40:55.792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331">
      <x:c r="A331" s="36" t="n">
        <x:v>330</x:v>
      </x:c>
      <x:c r="B331" s="34" t="str">
        <x:v>article1-unified-v4-2-fb3f101b-20260903-000401-default-f02-p6-jcs321</x:v>
      </x:c>
      <x:c r="C331" s="34" t="str">
        <x:v>default</x:v>
      </x:c>
      <x:c r="D331" s="34" t="str">
        <x:v>jcs321</x:v>
      </x:c>
      <x:c r="E331" s="36" t="n">
        <x:v>2</x:v>
      </x:c>
      <x:c r="F331" s="36" t="n">
        <x:v>2</x:v>
      </x:c>
      <x:c r="G331" s="36" t="n">
        <x:v>1</x:v>
      </x:c>
      <x:c r="H331" s="34" t="str">
        <x:v>cycle-window</x:v>
      </x:c>
      <x:c r="I331" s="36" t="n">
        <x:v>2</x:v>
      </x:c>
      <x:c r="J331" s="34" t="str">
        <x:v>leak-warning</x:v>
      </x:c>
      <x:c r="K331" s="34" t="str">
        <x:v>secondUndeployLeakWarnings</x:v>
      </x:c>
      <x:c r="L331" s="36" t="n">
        <x:v>1</x:v>
      </x:c>
      <x:c r="M331" s="34"/>
      <x:c r="N331" s="44" t="str">
        <x:v>02-Sep-2026 23:40:55.792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332">
      <x:c r="A332" s="36" t="n">
        <x:v>331</x:v>
      </x:c>
      <x:c r="B332" s="34" t="str">
        <x:v>article1-unified-v4-2-fb3f101b-20260903-000401-default-f02-p6-jcs321</x:v>
      </x:c>
      <x:c r="C332" s="34" t="str">
        <x:v>default</x:v>
      </x:c>
      <x:c r="D332" s="34" t="str">
        <x:v>jcs321</x:v>
      </x:c>
      <x:c r="E332" s="36" t="n">
        <x:v>2</x:v>
      </x:c>
      <x:c r="F332" s="36" t="n">
        <x:v>2</x:v>
      </x:c>
      <x:c r="G332" s="36" t="n">
        <x:v>1</x:v>
      </x:c>
      <x:c r="H332" s="34" t="str">
        <x:v>cycle-window</x:v>
      </x:c>
      <x:c r="I332" s="36" t="n">
        <x:v>2</x:v>
      </x:c>
      <x:c r="J332" s="34" t="str">
        <x:v>thread-leak-warning</x:v>
      </x:c>
      <x:c r="K332" s="34" t="str">
        <x:v>secondUndeployThreadLeakWarnings</x:v>
      </x:c>
      <x:c r="L332" s="36" t="n">
        <x:v>1</x:v>
      </x:c>
      <x:c r="M332" s="34"/>
      <x:c r="N332" s="44" t="str">
        <x:v>02-Sep-2026 23:40:55.792 WARNING [http-nio-8080-exec-6]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333">
      <x:c r="A333" s="36" t="n">
        <x:v>332</x:v>
      </x:c>
      <x:c r="B333" s="34" t="str">
        <x:v>article1-unified-v4-2-fb3f101b-20260903-000401-default-f02-p6-jcs321</x:v>
      </x:c>
      <x:c r="C333" s="34" t="str">
        <x:v>default</x:v>
      </x:c>
      <x:c r="D333" s="34" t="str">
        <x:v>jcs321</x:v>
      </x:c>
      <x:c r="E333" s="36" t="n">
        <x:v>2</x:v>
      </x:c>
      <x:c r="F333" s="36" t="n">
        <x:v>2</x:v>
      </x:c>
      <x:c r="G333" s="36" t="n">
        <x:v>1</x:v>
      </x:c>
      <x:c r="H333" s="34" t="str">
        <x:v>cycle-observation</x:v>
      </x:c>
      <x:c r="I333" s="36" t="n">
        <x:v>1</x:v>
      </x:c>
      <x:c r="J333" s="34" t="str">
        <x:v>tomcat-findleaks-occurrence</x:v>
      </x:c>
      <x:c r="K333" s="34" t="str">
        <x:v>afterUndeploy.tomcatFindLeaksOccurrences</x:v>
      </x:c>
      <x:c r="L333" s="36" t="n">
        <x:v>1</x:v>
      </x:c>
      <x:c r="M333" s="34" t="str">
        <x:v>/jcs321</x:v>
      </x:c>
      <x:c r="N333" s="44" t="str">
        <x:v>/jcs321</x:v>
      </x:c>
    </x:row>
    <x:row r="334">
      <x:c r="A334" s="36" t="n">
        <x:v>333</x:v>
      </x:c>
      <x:c r="B334" s="34" t="str">
        <x:v>article1-unified-v4-2-fb3f101b-20260903-000401-default-f02-p6-jcs321</x:v>
      </x:c>
      <x:c r="C334" s="34" t="str">
        <x:v>default</x:v>
      </x:c>
      <x:c r="D334" s="34" t="str">
        <x:v>jcs321</x:v>
      </x:c>
      <x:c r="E334" s="36" t="n">
        <x:v>2</x:v>
      </x:c>
      <x:c r="F334" s="36" t="n">
        <x:v>2</x:v>
      </x:c>
      <x:c r="G334" s="36" t="n">
        <x:v>1</x:v>
      </x:c>
      <x:c r="H334" s="34" t="str">
        <x:v>cycle-observation</x:v>
      </x:c>
      <x:c r="I334" s="36" t="n">
        <x:v>2</x:v>
      </x:c>
      <x:c r="J334" s="34" t="str">
        <x:v>tomcat-findleaks-occurrence</x:v>
      </x:c>
      <x:c r="K334" s="34" t="str">
        <x:v>afterFinalUndeploy.tomcatFindLeaksOccurrences</x:v>
      </x:c>
      <x:c r="L334" s="36" t="n">
        <x:v>1</x:v>
      </x:c>
      <x:c r="M334" s="34" t="str">
        <x:v>/jcs321</x:v>
      </x:c>
      <x:c r="N334" s="44" t="str">
        <x:v>/jcs321</x:v>
      </x:c>
    </x:row>
    <x:row r="335">
      <x:c r="A335" s="36" t="n">
        <x:v>334</x:v>
      </x:c>
      <x:c r="B335" s="34" t="str">
        <x:v>article1-unified-v4-2-fb3f101b-20260903-000401-default-f02-p6-jcs321</x:v>
      </x:c>
      <x:c r="C335" s="34" t="str">
        <x:v>default</x:v>
      </x:c>
      <x:c r="D335" s="34" t="str">
        <x:v>jcs321</x:v>
      </x:c>
      <x:c r="E335" s="36" t="n">
        <x:v>2</x:v>
      </x:c>
      <x:c r="F335" s="36" t="n">
        <x:v>2</x:v>
      </x:c>
      <x:c r="G335" s="36" t="n">
        <x:v>1</x:v>
      </x:c>
      <x:c r="H335" s="34" t="str">
        <x:v>cycle-observation</x:v>
      </x:c>
      <x:c r="I335" s="36" t="n">
        <x:v>2</x:v>
      </x:c>
      <x:c r="J335" s="34" t="str">
        <x:v>tomcat-findleaks-occurrence</x:v>
      </x:c>
      <x:c r="K335" s="34" t="str">
        <x:v>afterFinalUndeploy.tomcatFindLeaksOccurrences</x:v>
      </x:c>
      <x:c r="L335" s="36" t="n">
        <x:v>2</x:v>
      </x:c>
      <x:c r="M335" s="34" t="str">
        <x:v>/jcs321</x:v>
      </x:c>
      <x:c r="N335" s="44" t="str">
        <x:v>/jcs321</x:v>
      </x:c>
    </x:row>
    <x:row r="336">
      <x:c r="A336" s="36" t="n">
        <x:v>335</x:v>
      </x:c>
      <x:c r="B336" s="34" t="str">
        <x:v>article1-unified-v4-2-fb3f101b-20260903-000401-default-f02-p6-jcs321</x:v>
      </x:c>
      <x:c r="C336" s="34" t="str">
        <x:v>default</x:v>
      </x:c>
      <x:c r="D336" s="34" t="str">
        <x:v>jcs321</x:v>
      </x:c>
      <x:c r="E336" s="36" t="n">
        <x:v>2</x:v>
      </x:c>
      <x:c r="F336" s="36" t="n">
        <x:v>2</x:v>
      </x:c>
      <x:c r="G336" s="36" t="n">
        <x:v>2</x:v>
      </x:c>
      <x:c r="H336" s="34" t="str">
        <x:v>cycle-window</x:v>
      </x:c>
      <x:c r="I336" s="36" t="n">
        <x:v>1</x:v>
      </x:c>
      <x:c r="J336" s="34" t="str">
        <x:v>warning</x:v>
      </x:c>
      <x:c r="K336" s="34" t="str">
        <x:v>firstUndeployWarnings</x:v>
      </x:c>
      <x:c r="L336" s="36" t="n">
        <x:v>1</x:v>
      </x:c>
      <x:c r="M336" s="34"/>
      <x:c r="N336" s="44" t="str">
        <x:v>02-Sep-2026 23:41:42.257 WARNING [http-nio-8080-exec-12]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337">
      <x:c r="A337" s="36" t="n">
        <x:v>336</x:v>
      </x:c>
      <x:c r="B337" s="34" t="str">
        <x:v>article1-unified-v4-2-fb3f101b-20260903-000401-default-f02-p6-jcs321</x:v>
      </x:c>
      <x:c r="C337" s="34" t="str">
        <x:v>default</x:v>
      </x:c>
      <x:c r="D337" s="34" t="str">
        <x:v>jcs321</x:v>
      </x:c>
      <x:c r="E337" s="36" t="n">
        <x:v>2</x:v>
      </x:c>
      <x:c r="F337" s="36" t="n">
        <x:v>2</x:v>
      </x:c>
      <x:c r="G337" s="36" t="n">
        <x:v>2</x:v>
      </x:c>
      <x:c r="H337" s="34" t="str">
        <x:v>cycle-window</x:v>
      </x:c>
      <x:c r="I337" s="36" t="n">
        <x:v>1</x:v>
      </x:c>
      <x:c r="J337" s="34" t="str">
        <x:v>leak-warning</x:v>
      </x:c>
      <x:c r="K337" s="34" t="str">
        <x:v>firstUndeployLeakWarnings</x:v>
      </x:c>
      <x:c r="L337" s="36" t="n">
        <x:v>1</x:v>
      </x:c>
      <x:c r="M337" s="34"/>
      <x:c r="N337" s="44" t="str">
        <x:v>02-Sep-2026 23:41:42.257 WARNING [http-nio-8080-exec-12]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338">
      <x:c r="A338" s="36" t="n">
        <x:v>337</x:v>
      </x:c>
      <x:c r="B338" s="34" t="str">
        <x:v>article1-unified-v4-2-fb3f101b-20260903-000401-default-f02-p6-jcs321</x:v>
      </x:c>
      <x:c r="C338" s="34" t="str">
        <x:v>default</x:v>
      </x:c>
      <x:c r="D338" s="34" t="str">
        <x:v>jcs321</x:v>
      </x:c>
      <x:c r="E338" s="36" t="n">
        <x:v>2</x:v>
      </x:c>
      <x:c r="F338" s="36" t="n">
        <x:v>2</x:v>
      </x:c>
      <x:c r="G338" s="36" t="n">
        <x:v>2</x:v>
      </x:c>
      <x:c r="H338" s="34" t="str">
        <x:v>cycle-window</x:v>
      </x:c>
      <x:c r="I338" s="36" t="n">
        <x:v>1</x:v>
      </x:c>
      <x:c r="J338" s="34" t="str">
        <x:v>thread-leak-warning</x:v>
      </x:c>
      <x:c r="K338" s="34" t="str">
        <x:v>firstUndeployThreadLeakWarnings</x:v>
      </x:c>
      <x:c r="L338" s="36" t="n">
        <x:v>1</x:v>
      </x:c>
      <x:c r="M338" s="34"/>
      <x:c r="N338" s="44" t="str">
        <x:v>02-Sep-2026 23:41:42.257 WARNING [http-nio-8080-exec-12]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339">
      <x:c r="A339" s="36" t="n">
        <x:v>338</x:v>
      </x:c>
      <x:c r="B339" s="34" t="str">
        <x:v>article1-unified-v4-2-fb3f101b-20260903-000401-default-f02-p6-jcs321</x:v>
      </x:c>
      <x:c r="C339" s="34" t="str">
        <x:v>default</x:v>
      </x:c>
      <x:c r="D339" s="34" t="str">
        <x:v>jcs321</x:v>
      </x:c>
      <x:c r="E339" s="36" t="n">
        <x:v>2</x:v>
      </x:c>
      <x:c r="F339" s="36" t="n">
        <x:v>2</x:v>
      </x:c>
      <x:c r="G339" s="36" t="n">
        <x:v>2</x:v>
      </x:c>
      <x:c r="H339" s="34" t="str">
        <x:v>cycle-window</x:v>
      </x:c>
      <x:c r="I339" s="36" t="n">
        <x:v>2</x:v>
      </x:c>
      <x:c r="J339" s="34" t="str">
        <x:v>warning</x:v>
      </x:c>
      <x:c r="K339" s="34" t="str">
        <x:v>secondUndeployWarnings</x:v>
      </x:c>
      <x:c r="L339" s="36" t="n">
        <x:v>1</x:v>
      </x:c>
      <x:c r="M339" s="34"/>
      <x:c r="N339" s="44" t="str">
        <x:v>02-Sep-2026 23:42:25.942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340">
      <x:c r="A340" s="36" t="n">
        <x:v>339</x:v>
      </x:c>
      <x:c r="B340" s="34" t="str">
        <x:v>article1-unified-v4-2-fb3f101b-20260903-000401-default-f02-p6-jcs321</x:v>
      </x:c>
      <x:c r="C340" s="34" t="str">
        <x:v>default</x:v>
      </x:c>
      <x:c r="D340" s="34" t="str">
        <x:v>jcs321</x:v>
      </x:c>
      <x:c r="E340" s="36" t="n">
        <x:v>2</x:v>
      </x:c>
      <x:c r="F340" s="36" t="n">
        <x:v>2</x:v>
      </x:c>
      <x:c r="G340" s="36" t="n">
        <x:v>2</x:v>
      </x:c>
      <x:c r="H340" s="34" t="str">
        <x:v>cycle-window</x:v>
      </x:c>
      <x:c r="I340" s="36" t="n">
        <x:v>2</x:v>
      </x:c>
      <x:c r="J340" s="34" t="str">
        <x:v>leak-warning</x:v>
      </x:c>
      <x:c r="K340" s="34" t="str">
        <x:v>secondUndeployLeakWarnings</x:v>
      </x:c>
      <x:c r="L340" s="36" t="n">
        <x:v>1</x:v>
      </x:c>
      <x:c r="M340" s="34"/>
      <x:c r="N340" s="44" t="str">
        <x:v>02-Sep-2026 23:42:25.942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341">
      <x:c r="A341" s="36" t="n">
        <x:v>340</x:v>
      </x:c>
      <x:c r="B341" s="34" t="str">
        <x:v>article1-unified-v4-2-fb3f101b-20260903-000401-default-f02-p6-jcs321</x:v>
      </x:c>
      <x:c r="C341" s="34" t="str">
        <x:v>default</x:v>
      </x:c>
      <x:c r="D341" s="34" t="str">
        <x:v>jcs321</x:v>
      </x:c>
      <x:c r="E341" s="36" t="n">
        <x:v>2</x:v>
      </x:c>
      <x:c r="F341" s="36" t="n">
        <x:v>2</x:v>
      </x:c>
      <x:c r="G341" s="36" t="n">
        <x:v>2</x:v>
      </x:c>
      <x:c r="H341" s="34" t="str">
        <x:v>cycle-window</x:v>
      </x:c>
      <x:c r="I341" s="36" t="n">
        <x:v>2</x:v>
      </x:c>
      <x:c r="J341" s="34" t="str">
        <x:v>thread-leak-warning</x:v>
      </x:c>
      <x:c r="K341" s="34" t="str">
        <x:v>secondUndeployThreadLeakWarnings</x:v>
      </x:c>
      <x:c r="L341" s="36" t="n">
        <x:v>1</x:v>
      </x:c>
      <x:c r="M341" s="34"/>
      <x:c r="N341" s="44" t="str">
        <x:v>02-Sep-2026 23:42:25.942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342">
      <x:c r="A342" s="36" t="n">
        <x:v>341</x:v>
      </x:c>
      <x:c r="B342" s="34" t="str">
        <x:v>article1-unified-v4-2-fb3f101b-20260903-000401-default-f02-p6-jcs321</x:v>
      </x:c>
      <x:c r="C342" s="34" t="str">
        <x:v>default</x:v>
      </x:c>
      <x:c r="D342" s="34" t="str">
        <x:v>jcs321</x:v>
      </x:c>
      <x:c r="E342" s="36" t="n">
        <x:v>2</x:v>
      </x:c>
      <x:c r="F342" s="36" t="n">
        <x:v>2</x:v>
      </x:c>
      <x:c r="G342" s="36" t="n">
        <x:v>2</x:v>
      </x:c>
      <x:c r="H342" s="34" t="str">
        <x:v>cycle-observation</x:v>
      </x:c>
      <x:c r="I342" s="36" t="n">
        <x:v>1</x:v>
      </x:c>
      <x:c r="J342" s="34" t="str">
        <x:v>tomcat-findleaks-occurrence</x:v>
      </x:c>
      <x:c r="K342" s="34" t="str">
        <x:v>afterUndeploy.tomcatFindLeaksOccurrences</x:v>
      </x:c>
      <x:c r="L342" s="36" t="n">
        <x:v>1</x:v>
      </x:c>
      <x:c r="M342" s="34" t="str">
        <x:v>/jcs321</x:v>
      </x:c>
      <x:c r="N342" s="44" t="str">
        <x:v>/jcs321</x:v>
      </x:c>
    </x:row>
    <x:row r="343">
      <x:c r="A343" s="36" t="n">
        <x:v>342</x:v>
      </x:c>
      <x:c r="B343" s="34" t="str">
        <x:v>article1-unified-v4-2-fb3f101b-20260903-000401-default-f02-p6-jcs321</x:v>
      </x:c>
      <x:c r="C343" s="34" t="str">
        <x:v>default</x:v>
      </x:c>
      <x:c r="D343" s="34" t="str">
        <x:v>jcs321</x:v>
      </x:c>
      <x:c r="E343" s="36" t="n">
        <x:v>2</x:v>
      </x:c>
      <x:c r="F343" s="36" t="n">
        <x:v>2</x:v>
      </x:c>
      <x:c r="G343" s="36" t="n">
        <x:v>2</x:v>
      </x:c>
      <x:c r="H343" s="34" t="str">
        <x:v>cycle-observation</x:v>
      </x:c>
      <x:c r="I343" s="36" t="n">
        <x:v>1</x:v>
      </x:c>
      <x:c r="J343" s="34" t="str">
        <x:v>tomcat-findleaks-occurrence</x:v>
      </x:c>
      <x:c r="K343" s="34" t="str">
        <x:v>afterUndeploy.tomcatFindLeaksOccurrences</x:v>
      </x:c>
      <x:c r="L343" s="36" t="n">
        <x:v>2</x:v>
      </x:c>
      <x:c r="M343" s="34" t="str">
        <x:v>/jcs321</x:v>
      </x:c>
      <x:c r="N343" s="44" t="str">
        <x:v>/jcs321</x:v>
      </x:c>
    </x:row>
    <x:row r="344">
      <x:c r="A344" s="36" t="n">
        <x:v>343</x:v>
      </x:c>
      <x:c r="B344" s="34" t="str">
        <x:v>article1-unified-v4-2-fb3f101b-20260903-000401-default-f02-p6-jcs321</x:v>
      </x:c>
      <x:c r="C344" s="34" t="str">
        <x:v>default</x:v>
      </x:c>
      <x:c r="D344" s="34" t="str">
        <x:v>jcs321</x:v>
      </x:c>
      <x:c r="E344" s="36" t="n">
        <x:v>2</x:v>
      </x:c>
      <x:c r="F344" s="36" t="n">
        <x:v>2</x:v>
      </x:c>
      <x:c r="G344" s="36" t="n">
        <x:v>2</x:v>
      </x:c>
      <x:c r="H344" s="34" t="str">
        <x:v>cycle-observation</x:v>
      </x:c>
      <x:c r="I344" s="36" t="n">
        <x:v>1</x:v>
      </x:c>
      <x:c r="J344" s="34" t="str">
        <x:v>tomcat-findleaks-occurrence</x:v>
      </x:c>
      <x:c r="K344" s="34" t="str">
        <x:v>afterUndeploy.tomcatFindLeaksOccurrences</x:v>
      </x:c>
      <x:c r="L344" s="36" t="n">
        <x:v>3</x:v>
      </x:c>
      <x:c r="M344" s="34" t="str">
        <x:v>/jcs321</x:v>
      </x:c>
      <x:c r="N344" s="44" t="str">
        <x:v>/jcs321</x:v>
      </x:c>
    </x:row>
    <x:row r="345">
      <x:c r="A345" s="36" t="n">
        <x:v>344</x:v>
      </x:c>
      <x:c r="B345" s="34" t="str">
        <x:v>article1-unified-v4-2-fb3f101b-20260903-000401-default-f02-p6-jcs321</x:v>
      </x:c>
      <x:c r="C345" s="34" t="str">
        <x:v>default</x:v>
      </x:c>
      <x:c r="D345" s="34" t="str">
        <x:v>jcs321</x:v>
      </x:c>
      <x:c r="E345" s="36" t="n">
        <x:v>2</x:v>
      </x:c>
      <x:c r="F345" s="36" t="n">
        <x:v>2</x:v>
      </x:c>
      <x:c r="G345" s="36" t="n">
        <x:v>2</x:v>
      </x:c>
      <x:c r="H345" s="34" t="str">
        <x:v>cycle-observation</x:v>
      </x:c>
      <x:c r="I345" s="36" t="n">
        <x:v>2</x:v>
      </x:c>
      <x:c r="J345" s="34" t="str">
        <x:v>tomcat-findleaks-occurrence</x:v>
      </x:c>
      <x:c r="K345" s="34" t="str">
        <x:v>afterFinalUndeploy.tomcatFindLeaksOccurrences</x:v>
      </x:c>
      <x:c r="L345" s="36" t="n">
        <x:v>1</x:v>
      </x:c>
      <x:c r="M345" s="34" t="str">
        <x:v>/jcs321</x:v>
      </x:c>
      <x:c r="N345" s="44" t="str">
        <x:v>/jcs321</x:v>
      </x:c>
    </x:row>
    <x:row r="346">
      <x:c r="A346" s="36" t="n">
        <x:v>345</x:v>
      </x:c>
      <x:c r="B346" s="34" t="str">
        <x:v>article1-unified-v4-2-fb3f101b-20260903-000401-default-f02-p6-jcs321</x:v>
      </x:c>
      <x:c r="C346" s="34" t="str">
        <x:v>default</x:v>
      </x:c>
      <x:c r="D346" s="34" t="str">
        <x:v>jcs321</x:v>
      </x:c>
      <x:c r="E346" s="36" t="n">
        <x:v>2</x:v>
      </x:c>
      <x:c r="F346" s="36" t="n">
        <x:v>2</x:v>
      </x:c>
      <x:c r="G346" s="36" t="n">
        <x:v>2</x:v>
      </x:c>
      <x:c r="H346" s="34" t="str">
        <x:v>cycle-observation</x:v>
      </x:c>
      <x:c r="I346" s="36" t="n">
        <x:v>2</x:v>
      </x:c>
      <x:c r="J346" s="34" t="str">
        <x:v>tomcat-findleaks-occurrence</x:v>
      </x:c>
      <x:c r="K346" s="34" t="str">
        <x:v>afterFinalUndeploy.tomcatFindLeaksOccurrences</x:v>
      </x:c>
      <x:c r="L346" s="36" t="n">
        <x:v>2</x:v>
      </x:c>
      <x:c r="M346" s="34" t="str">
        <x:v>/jcs321</x:v>
      </x:c>
      <x:c r="N346" s="44" t="str">
        <x:v>/jcs321</x:v>
      </x:c>
    </x:row>
    <x:row r="347">
      <x:c r="A347" s="36" t="n">
        <x:v>346</x:v>
      </x:c>
      <x:c r="B347" s="34" t="str">
        <x:v>article1-unified-v4-2-fb3f101b-20260903-000401-default-f02-p6-jcs321</x:v>
      </x:c>
      <x:c r="C347" s="34" t="str">
        <x:v>default</x:v>
      </x:c>
      <x:c r="D347" s="34" t="str">
        <x:v>jcs321</x:v>
      </x:c>
      <x:c r="E347" s="36" t="n">
        <x:v>2</x:v>
      </x:c>
      <x:c r="F347" s="36" t="n">
        <x:v>2</x:v>
      </x:c>
      <x:c r="G347" s="36" t="n">
        <x:v>2</x:v>
      </x:c>
      <x:c r="H347" s="34" t="str">
        <x:v>cycle-observation</x:v>
      </x:c>
      <x:c r="I347" s="36" t="n">
        <x:v>2</x:v>
      </x:c>
      <x:c r="J347" s="34" t="str">
        <x:v>tomcat-findleaks-occurrence</x:v>
      </x:c>
      <x:c r="K347" s="34" t="str">
        <x:v>afterFinalUndeploy.tomcatFindLeaksOccurrences</x:v>
      </x:c>
      <x:c r="L347" s="36" t="n">
        <x:v>3</x:v>
      </x:c>
      <x:c r="M347" s="34" t="str">
        <x:v>/jcs321</x:v>
      </x:c>
      <x:c r="N347" s="44" t="str">
        <x:v>/jcs321</x:v>
      </x:c>
    </x:row>
    <x:row r="348">
      <x:c r="A348" s="36" t="n">
        <x:v>347</x:v>
      </x:c>
      <x:c r="B348" s="34" t="str">
        <x:v>article1-unified-v4-2-fb3f101b-20260903-000401-default-f02-p6-jcs321</x:v>
      </x:c>
      <x:c r="C348" s="34" t="str">
        <x:v>default</x:v>
      </x:c>
      <x:c r="D348" s="34" t="str">
        <x:v>jcs321</x:v>
      </x:c>
      <x:c r="E348" s="36" t="n">
        <x:v>2</x:v>
      </x:c>
      <x:c r="F348" s="36" t="n">
        <x:v>2</x:v>
      </x:c>
      <x:c r="G348" s="36" t="n">
        <x:v>2</x:v>
      </x:c>
      <x:c r="H348" s="34" t="str">
        <x:v>cycle-observation</x:v>
      </x:c>
      <x:c r="I348" s="36" t="n">
        <x:v>2</x:v>
      </x:c>
      <x:c r="J348" s="34" t="str">
        <x:v>tomcat-findleaks-occurrence</x:v>
      </x:c>
      <x:c r="K348" s="34" t="str">
        <x:v>afterFinalUndeploy.tomcatFindLeaksOccurrences</x:v>
      </x:c>
      <x:c r="L348" s="36" t="n">
        <x:v>4</x:v>
      </x:c>
      <x:c r="M348" s="34" t="str">
        <x:v>/jcs321</x:v>
      </x:c>
      <x:c r="N348" s="44" t="str">
        <x:v>/jcs321</x:v>
      </x:c>
    </x:row>
    <x:row r="349">
      <x:c r="A349" s="36" t="n">
        <x:v>348</x:v>
      </x:c>
      <x:c r="B349" s="34" t="str">
        <x:v>article1-unified-v4-2-fb3f101b-20260903-000401-default-f02-p6-jcs321</x:v>
      </x:c>
      <x:c r="C349" s="34" t="str">
        <x:v>default</x:v>
      </x:c>
      <x:c r="D349" s="34" t="str">
        <x:v>jcs321</x:v>
      </x:c>
      <x:c r="E349" s="36" t="n">
        <x:v>2</x:v>
      </x:c>
      <x:c r="F349" s="36" t="n">
        <x:v>2</x:v>
      </x:c>
      <x:c r="G349" s="36" t="n">
        <x:v>3</x:v>
      </x:c>
      <x:c r="H349" s="34" t="str">
        <x:v>cycle-window</x:v>
      </x:c>
      <x:c r="I349" s="36" t="n">
        <x:v>1</x:v>
      </x:c>
      <x:c r="J349" s="34" t="str">
        <x:v>warning</x:v>
      </x:c>
      <x:c r="K349" s="34" t="str">
        <x:v>firstUndeployWarnings</x:v>
      </x:c>
      <x:c r="L349" s="36" t="n">
        <x:v>1</x:v>
      </x:c>
      <x:c r="M349" s="34"/>
      <x:c r="N349" s="44" t="str">
        <x:v>02-Sep-2026 23:43:11.936 WARNING [http-nio-8080-exec-20]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350">
      <x:c r="A350" s="36" t="n">
        <x:v>349</x:v>
      </x:c>
      <x:c r="B350" s="34" t="str">
        <x:v>article1-unified-v4-2-fb3f101b-20260903-000401-default-f02-p6-jcs321</x:v>
      </x:c>
      <x:c r="C350" s="34" t="str">
        <x:v>default</x:v>
      </x:c>
      <x:c r="D350" s="34" t="str">
        <x:v>jcs321</x:v>
      </x:c>
      <x:c r="E350" s="36" t="n">
        <x:v>2</x:v>
      </x:c>
      <x:c r="F350" s="36" t="n">
        <x:v>2</x:v>
      </x:c>
      <x:c r="G350" s="36" t="n">
        <x:v>3</x:v>
      </x:c>
      <x:c r="H350" s="34" t="str">
        <x:v>cycle-window</x:v>
      </x:c>
      <x:c r="I350" s="36" t="n">
        <x:v>1</x:v>
      </x:c>
      <x:c r="J350" s="34" t="str">
        <x:v>leak-warning</x:v>
      </x:c>
      <x:c r="K350" s="34" t="str">
        <x:v>firstUndeployLeakWarnings</x:v>
      </x:c>
      <x:c r="L350" s="36" t="n">
        <x:v>1</x:v>
      </x:c>
      <x:c r="M350" s="34"/>
      <x:c r="N350" s="44" t="str">
        <x:v>02-Sep-2026 23:43:11.936 WARNING [http-nio-8080-exec-20]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351">
      <x:c r="A351" s="36" t="n">
        <x:v>350</x:v>
      </x:c>
      <x:c r="B351" s="34" t="str">
        <x:v>article1-unified-v4-2-fb3f101b-20260903-000401-default-f02-p6-jcs321</x:v>
      </x:c>
      <x:c r="C351" s="34" t="str">
        <x:v>default</x:v>
      </x:c>
      <x:c r="D351" s="34" t="str">
        <x:v>jcs321</x:v>
      </x:c>
      <x:c r="E351" s="36" t="n">
        <x:v>2</x:v>
      </x:c>
      <x:c r="F351" s="36" t="n">
        <x:v>2</x:v>
      </x:c>
      <x:c r="G351" s="36" t="n">
        <x:v>3</x:v>
      </x:c>
      <x:c r="H351" s="34" t="str">
        <x:v>cycle-window</x:v>
      </x:c>
      <x:c r="I351" s="36" t="n">
        <x:v>1</x:v>
      </x:c>
      <x:c r="J351" s="34" t="str">
        <x:v>thread-leak-warning</x:v>
      </x:c>
      <x:c r="K351" s="34" t="str">
        <x:v>firstUndeployThreadLeakWarnings</x:v>
      </x:c>
      <x:c r="L351" s="36" t="n">
        <x:v>1</x:v>
      </x:c>
      <x:c r="M351" s="34"/>
      <x:c r="N351" s="44" t="str">
        <x:v>02-Sep-2026 23:43:11.936 WARNING [http-nio-8080-exec-20]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352">
      <x:c r="A352" s="36" t="n">
        <x:v>351</x:v>
      </x:c>
      <x:c r="B352" s="34" t="str">
        <x:v>article1-unified-v4-2-fb3f101b-20260903-000401-default-f02-p6-jcs321</x:v>
      </x:c>
      <x:c r="C352" s="34" t="str">
        <x:v>default</x:v>
      </x:c>
      <x:c r="D352" s="34" t="str">
        <x:v>jcs321</x:v>
      </x:c>
      <x:c r="E352" s="36" t="n">
        <x:v>2</x:v>
      </x:c>
      <x:c r="F352" s="36" t="n">
        <x:v>2</x:v>
      </x:c>
      <x:c r="G352" s="36" t="n">
        <x:v>3</x:v>
      </x:c>
      <x:c r="H352" s="34" t="str">
        <x:v>cycle-window</x:v>
      </x:c>
      <x:c r="I352" s="36" t="n">
        <x:v>2</x:v>
      </x:c>
      <x:c r="J352" s="34" t="str">
        <x:v>warning</x:v>
      </x:c>
      <x:c r="K352" s="34" t="str">
        <x:v>secondUndeployWarnings</x:v>
      </x:c>
      <x:c r="L352" s="36" t="n">
        <x:v>1</x:v>
      </x:c>
      <x:c r="M352" s="34"/>
      <x:c r="N352" s="44" t="str">
        <x:v>02-Sep-2026 23:43:55.271 WARNING [http-nio-8080-exec-35]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353">
      <x:c r="A353" s="36" t="n">
        <x:v>352</x:v>
      </x:c>
      <x:c r="B353" s="34" t="str">
        <x:v>article1-unified-v4-2-fb3f101b-20260903-000401-default-f02-p6-jcs321</x:v>
      </x:c>
      <x:c r="C353" s="34" t="str">
        <x:v>default</x:v>
      </x:c>
      <x:c r="D353" s="34" t="str">
        <x:v>jcs321</x:v>
      </x:c>
      <x:c r="E353" s="36" t="n">
        <x:v>2</x:v>
      </x:c>
      <x:c r="F353" s="36" t="n">
        <x:v>2</x:v>
      </x:c>
      <x:c r="G353" s="36" t="n">
        <x:v>3</x:v>
      </x:c>
      <x:c r="H353" s="34" t="str">
        <x:v>cycle-window</x:v>
      </x:c>
      <x:c r="I353" s="36" t="n">
        <x:v>2</x:v>
      </x:c>
      <x:c r="J353" s="34" t="str">
        <x:v>leak-warning</x:v>
      </x:c>
      <x:c r="K353" s="34" t="str">
        <x:v>secondUndeployLeakWarnings</x:v>
      </x:c>
      <x:c r="L353" s="36" t="n">
        <x:v>1</x:v>
      </x:c>
      <x:c r="M353" s="34"/>
      <x:c r="N353" s="44" t="str">
        <x:v>02-Sep-2026 23:43:55.271 WARNING [http-nio-8080-exec-35]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354">
      <x:c r="A354" s="36" t="n">
        <x:v>353</x:v>
      </x:c>
      <x:c r="B354" s="34" t="str">
        <x:v>article1-unified-v4-2-fb3f101b-20260903-000401-default-f02-p6-jcs321</x:v>
      </x:c>
      <x:c r="C354" s="34" t="str">
        <x:v>default</x:v>
      </x:c>
      <x:c r="D354" s="34" t="str">
        <x:v>jcs321</x:v>
      </x:c>
      <x:c r="E354" s="36" t="n">
        <x:v>2</x:v>
      </x:c>
      <x:c r="F354" s="36" t="n">
        <x:v>2</x:v>
      </x:c>
      <x:c r="G354" s="36" t="n">
        <x:v>3</x:v>
      </x:c>
      <x:c r="H354" s="34" t="str">
        <x:v>cycle-window</x:v>
      </x:c>
      <x:c r="I354" s="36" t="n">
        <x:v>2</x:v>
      </x:c>
      <x:c r="J354" s="34" t="str">
        <x:v>thread-leak-warning</x:v>
      </x:c>
      <x:c r="K354" s="34" t="str">
        <x:v>secondUndeployThreadLeakWarnings</x:v>
      </x:c>
      <x:c r="L354" s="36" t="n">
        <x:v>1</x:v>
      </x:c>
      <x:c r="M354" s="34"/>
      <x:c r="N354" s="44" t="str">
        <x:v>02-Sep-2026 23:43:55.271 WARNING [http-nio-8080-exec-35]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355">
      <x:c r="A355" s="36" t="n">
        <x:v>354</x:v>
      </x:c>
      <x:c r="B355" s="34" t="str">
        <x:v>article1-unified-v4-2-fb3f101b-20260903-000401-default-f02-p6-jcs321</x:v>
      </x:c>
      <x:c r="C355" s="34" t="str">
        <x:v>default</x:v>
      </x:c>
      <x:c r="D355" s="34" t="str">
        <x:v>jcs321</x:v>
      </x:c>
      <x:c r="E355" s="36" t="n">
        <x:v>2</x:v>
      </x:c>
      <x:c r="F355" s="36" t="n">
        <x:v>2</x:v>
      </x:c>
      <x:c r="G355" s="36" t="n">
        <x:v>3</x:v>
      </x:c>
      <x:c r="H355" s="34" t="str">
        <x:v>cycle-observation</x:v>
      </x:c>
      <x:c r="I355" s="36" t="n">
        <x:v>1</x:v>
      </x:c>
      <x:c r="J355" s="34" t="str">
        <x:v>tomcat-findleaks-occurrence</x:v>
      </x:c>
      <x:c r="K355" s="34" t="str">
        <x:v>afterUndeploy.tomcatFindLeaksOccurrences</x:v>
      </x:c>
      <x:c r="L355" s="36" t="n">
        <x:v>1</x:v>
      </x:c>
      <x:c r="M355" s="34" t="str">
        <x:v>/jcs321</x:v>
      </x:c>
      <x:c r="N355" s="44" t="str">
        <x:v>/jcs321</x:v>
      </x:c>
    </x:row>
    <x:row r="356">
      <x:c r="A356" s="36" t="n">
        <x:v>355</x:v>
      </x:c>
      <x:c r="B356" s="34" t="str">
        <x:v>article1-unified-v4-2-fb3f101b-20260903-000401-default-f02-p6-jcs321</x:v>
      </x:c>
      <x:c r="C356" s="34" t="str">
        <x:v>default</x:v>
      </x:c>
      <x:c r="D356" s="34" t="str">
        <x:v>jcs321</x:v>
      </x:c>
      <x:c r="E356" s="36" t="n">
        <x:v>2</x:v>
      </x:c>
      <x:c r="F356" s="36" t="n">
        <x:v>2</x:v>
      </x:c>
      <x:c r="G356" s="36" t="n">
        <x:v>3</x:v>
      </x:c>
      <x:c r="H356" s="34" t="str">
        <x:v>cycle-observation</x:v>
      </x:c>
      <x:c r="I356" s="36" t="n">
        <x:v>1</x:v>
      </x:c>
      <x:c r="J356" s="34" t="str">
        <x:v>tomcat-findleaks-occurrence</x:v>
      </x:c>
      <x:c r="K356" s="34" t="str">
        <x:v>afterUndeploy.tomcatFindLeaksOccurrences</x:v>
      </x:c>
      <x:c r="L356" s="36" t="n">
        <x:v>2</x:v>
      </x:c>
      <x:c r="M356" s="34" t="str">
        <x:v>/jcs321</x:v>
      </x:c>
      <x:c r="N356" s="44" t="str">
        <x:v>/jcs321</x:v>
      </x:c>
    </x:row>
    <x:row r="357">
      <x:c r="A357" s="36" t="n">
        <x:v>356</x:v>
      </x:c>
      <x:c r="B357" s="34" t="str">
        <x:v>article1-unified-v4-2-fb3f101b-20260903-000401-default-f02-p6-jcs321</x:v>
      </x:c>
      <x:c r="C357" s="34" t="str">
        <x:v>default</x:v>
      </x:c>
      <x:c r="D357" s="34" t="str">
        <x:v>jcs321</x:v>
      </x:c>
      <x:c r="E357" s="36" t="n">
        <x:v>2</x:v>
      </x:c>
      <x:c r="F357" s="36" t="n">
        <x:v>2</x:v>
      </x:c>
      <x:c r="G357" s="36" t="n">
        <x:v>3</x:v>
      </x:c>
      <x:c r="H357" s="34" t="str">
        <x:v>cycle-observation</x:v>
      </x:c>
      <x:c r="I357" s="36" t="n">
        <x:v>1</x:v>
      </x:c>
      <x:c r="J357" s="34" t="str">
        <x:v>tomcat-findleaks-occurrence</x:v>
      </x:c>
      <x:c r="K357" s="34" t="str">
        <x:v>afterUndeploy.tomcatFindLeaksOccurrences</x:v>
      </x:c>
      <x:c r="L357" s="36" t="n">
        <x:v>3</x:v>
      </x:c>
      <x:c r="M357" s="34" t="str">
        <x:v>/jcs321</x:v>
      </x:c>
      <x:c r="N357" s="44" t="str">
        <x:v>/jcs321</x:v>
      </x:c>
    </x:row>
    <x:row r="358">
      <x:c r="A358" s="36" t="n">
        <x:v>357</x:v>
      </x:c>
      <x:c r="B358" s="34" t="str">
        <x:v>article1-unified-v4-2-fb3f101b-20260903-000401-default-f02-p6-jcs321</x:v>
      </x:c>
      <x:c r="C358" s="34" t="str">
        <x:v>default</x:v>
      </x:c>
      <x:c r="D358" s="34" t="str">
        <x:v>jcs321</x:v>
      </x:c>
      <x:c r="E358" s="36" t="n">
        <x:v>2</x:v>
      </x:c>
      <x:c r="F358" s="36" t="n">
        <x:v>2</x:v>
      </x:c>
      <x:c r="G358" s="36" t="n">
        <x:v>3</x:v>
      </x:c>
      <x:c r="H358" s="34" t="str">
        <x:v>cycle-observation</x:v>
      </x:c>
      <x:c r="I358" s="36" t="n">
        <x:v>1</x:v>
      </x:c>
      <x:c r="J358" s="34" t="str">
        <x:v>tomcat-findleaks-occurrence</x:v>
      </x:c>
      <x:c r="K358" s="34" t="str">
        <x:v>afterUndeploy.tomcatFindLeaksOccurrences</x:v>
      </x:c>
      <x:c r="L358" s="36" t="n">
        <x:v>4</x:v>
      </x:c>
      <x:c r="M358" s="34" t="str">
        <x:v>/jcs321</x:v>
      </x:c>
      <x:c r="N358" s="44" t="str">
        <x:v>/jcs321</x:v>
      </x:c>
    </x:row>
    <x:row r="359">
      <x:c r="A359" s="36" t="n">
        <x:v>358</x:v>
      </x:c>
      <x:c r="B359" s="34" t="str">
        <x:v>article1-unified-v4-2-fb3f101b-20260903-000401-default-f02-p6-jcs321</x:v>
      </x:c>
      <x:c r="C359" s="34" t="str">
        <x:v>default</x:v>
      </x:c>
      <x:c r="D359" s="34" t="str">
        <x:v>jcs321</x:v>
      </x:c>
      <x:c r="E359" s="36" t="n">
        <x:v>2</x:v>
      </x:c>
      <x:c r="F359" s="36" t="n">
        <x:v>2</x:v>
      </x:c>
      <x:c r="G359" s="36" t="n">
        <x:v>3</x:v>
      </x:c>
      <x:c r="H359" s="34" t="str">
        <x:v>cycle-observation</x:v>
      </x:c>
      <x:c r="I359" s="36" t="n">
        <x:v>1</x:v>
      </x:c>
      <x:c r="J359" s="34" t="str">
        <x:v>tomcat-findleaks-occurrence</x:v>
      </x:c>
      <x:c r="K359" s="34" t="str">
        <x:v>afterUndeploy.tomcatFindLeaksOccurrences</x:v>
      </x:c>
      <x:c r="L359" s="36" t="n">
        <x:v>5</x:v>
      </x:c>
      <x:c r="M359" s="34" t="str">
        <x:v>/jcs321</x:v>
      </x:c>
      <x:c r="N359" s="44" t="str">
        <x:v>/jcs321</x:v>
      </x:c>
    </x:row>
    <x:row r="360">
      <x:c r="A360" s="36" t="n">
        <x:v>359</x:v>
      </x:c>
      <x:c r="B360" s="34" t="str">
        <x:v>article1-unified-v4-2-fb3f101b-20260903-000401-default-f02-p6-jcs321</x:v>
      </x:c>
      <x:c r="C360" s="34" t="str">
        <x:v>default</x:v>
      </x:c>
      <x:c r="D360" s="34" t="str">
        <x:v>jcs321</x:v>
      </x:c>
      <x:c r="E360" s="36" t="n">
        <x:v>2</x:v>
      </x:c>
      <x:c r="F360" s="36" t="n">
        <x:v>2</x:v>
      </x:c>
      <x:c r="G360" s="36" t="n">
        <x:v>3</x:v>
      </x:c>
      <x:c r="H360" s="34" t="str">
        <x:v>cycle-observation</x:v>
      </x:c>
      <x:c r="I360" s="36" t="n">
        <x:v>2</x:v>
      </x:c>
      <x:c r="J360" s="34" t="str">
        <x:v>tomcat-findleaks-occurrence</x:v>
      </x:c>
      <x:c r="K360" s="34" t="str">
        <x:v>afterFinalUndeploy.tomcatFindLeaksOccurrences</x:v>
      </x:c>
      <x:c r="L360" s="36" t="n">
        <x:v>1</x:v>
      </x:c>
      <x:c r="M360" s="34" t="str">
        <x:v>/jcs321</x:v>
      </x:c>
      <x:c r="N360" s="44" t="str">
        <x:v>/jcs321</x:v>
      </x:c>
    </x:row>
    <x:row r="361">
      <x:c r="A361" s="36" t="n">
        <x:v>360</x:v>
      </x:c>
      <x:c r="B361" s="34" t="str">
        <x:v>article1-unified-v4-2-fb3f101b-20260903-000401-default-f02-p6-jcs321</x:v>
      </x:c>
      <x:c r="C361" s="34" t="str">
        <x:v>default</x:v>
      </x:c>
      <x:c r="D361" s="34" t="str">
        <x:v>jcs321</x:v>
      </x:c>
      <x:c r="E361" s="36" t="n">
        <x:v>2</x:v>
      </x:c>
      <x:c r="F361" s="36" t="n">
        <x:v>2</x:v>
      </x:c>
      <x:c r="G361" s="36" t="n">
        <x:v>3</x:v>
      </x:c>
      <x:c r="H361" s="34" t="str">
        <x:v>cycle-observation</x:v>
      </x:c>
      <x:c r="I361" s="36" t="n">
        <x:v>2</x:v>
      </x:c>
      <x:c r="J361" s="34" t="str">
        <x:v>tomcat-findleaks-occurrence</x:v>
      </x:c>
      <x:c r="K361" s="34" t="str">
        <x:v>afterFinalUndeploy.tomcatFindLeaksOccurrences</x:v>
      </x:c>
      <x:c r="L361" s="36" t="n">
        <x:v>2</x:v>
      </x:c>
      <x:c r="M361" s="34" t="str">
        <x:v>/jcs321</x:v>
      </x:c>
      <x:c r="N361" s="44" t="str">
        <x:v>/jcs321</x:v>
      </x:c>
    </x:row>
    <x:row r="362">
      <x:c r="A362" s="36" t="n">
        <x:v>361</x:v>
      </x:c>
      <x:c r="B362" s="34" t="str">
        <x:v>article1-unified-v4-2-fb3f101b-20260903-000401-default-f02-p6-jcs321</x:v>
      </x:c>
      <x:c r="C362" s="34" t="str">
        <x:v>default</x:v>
      </x:c>
      <x:c r="D362" s="34" t="str">
        <x:v>jcs321</x:v>
      </x:c>
      <x:c r="E362" s="36" t="n">
        <x:v>2</x:v>
      </x:c>
      <x:c r="F362" s="36" t="n">
        <x:v>2</x:v>
      </x:c>
      <x:c r="G362" s="36" t="n">
        <x:v>3</x:v>
      </x:c>
      <x:c r="H362" s="34" t="str">
        <x:v>cycle-observation</x:v>
      </x:c>
      <x:c r="I362" s="36" t="n">
        <x:v>2</x:v>
      </x:c>
      <x:c r="J362" s="34" t="str">
        <x:v>tomcat-findleaks-occurrence</x:v>
      </x:c>
      <x:c r="K362" s="34" t="str">
        <x:v>afterFinalUndeploy.tomcatFindLeaksOccurrences</x:v>
      </x:c>
      <x:c r="L362" s="36" t="n">
        <x:v>3</x:v>
      </x:c>
      <x:c r="M362" s="34" t="str">
        <x:v>/jcs321</x:v>
      </x:c>
      <x:c r="N362" s="44" t="str">
        <x:v>/jcs321</x:v>
      </x:c>
    </x:row>
    <x:row r="363">
      <x:c r="A363" s="36" t="n">
        <x:v>362</x:v>
      </x:c>
      <x:c r="B363" s="34" t="str">
        <x:v>article1-unified-v4-2-fb3f101b-20260903-000401-default-f02-p6-jcs321</x:v>
      </x:c>
      <x:c r="C363" s="34" t="str">
        <x:v>default</x:v>
      </x:c>
      <x:c r="D363" s="34" t="str">
        <x:v>jcs321</x:v>
      </x:c>
      <x:c r="E363" s="36" t="n">
        <x:v>2</x:v>
      </x:c>
      <x:c r="F363" s="36" t="n">
        <x:v>2</x:v>
      </x:c>
      <x:c r="G363" s="36" t="n">
        <x:v>3</x:v>
      </x:c>
      <x:c r="H363" s="34" t="str">
        <x:v>cycle-observation</x:v>
      </x:c>
      <x:c r="I363" s="36" t="n">
        <x:v>2</x:v>
      </x:c>
      <x:c r="J363" s="34" t="str">
        <x:v>tomcat-findleaks-occurrence</x:v>
      </x:c>
      <x:c r="K363" s="34" t="str">
        <x:v>afterFinalUndeploy.tomcatFindLeaksOccurrences</x:v>
      </x:c>
      <x:c r="L363" s="36" t="n">
        <x:v>4</x:v>
      </x:c>
      <x:c r="M363" s="34" t="str">
        <x:v>/jcs321</x:v>
      </x:c>
      <x:c r="N363" s="44" t="str">
        <x:v>/jcs321</x:v>
      </x:c>
    </x:row>
    <x:row r="364">
      <x:c r="A364" s="36" t="n">
        <x:v>363</x:v>
      </x:c>
      <x:c r="B364" s="34" t="str">
        <x:v>article1-unified-v4-2-fb3f101b-20260903-000401-default-f02-p6-jcs321</x:v>
      </x:c>
      <x:c r="C364" s="34" t="str">
        <x:v>default</x:v>
      </x:c>
      <x:c r="D364" s="34" t="str">
        <x:v>jcs321</x:v>
      </x:c>
      <x:c r="E364" s="36" t="n">
        <x:v>2</x:v>
      </x:c>
      <x:c r="F364" s="36" t="n">
        <x:v>2</x:v>
      </x:c>
      <x:c r="G364" s="36" t="n">
        <x:v>3</x:v>
      </x:c>
      <x:c r="H364" s="34" t="str">
        <x:v>cycle-observation</x:v>
      </x:c>
      <x:c r="I364" s="36" t="n">
        <x:v>2</x:v>
      </x:c>
      <x:c r="J364" s="34" t="str">
        <x:v>tomcat-findleaks-occurrence</x:v>
      </x:c>
      <x:c r="K364" s="34" t="str">
        <x:v>afterFinalUndeploy.tomcatFindLeaksOccurrences</x:v>
      </x:c>
      <x:c r="L364" s="36" t="n">
        <x:v>5</x:v>
      </x:c>
      <x:c r="M364" s="34" t="str">
        <x:v>/jcs321</x:v>
      </x:c>
      <x:c r="N364" s="44" t="str">
        <x:v>/jcs321</x:v>
      </x:c>
    </x:row>
    <x:row r="365">
      <x:c r="A365" s="36" t="n">
        <x:v>364</x:v>
      </x:c>
      <x:c r="B365" s="34" t="str">
        <x:v>article1-unified-v4-2-fb3f101b-20260903-000401-default-f02-p6-jcs321</x:v>
      </x:c>
      <x:c r="C365" s="34" t="str">
        <x:v>default</x:v>
      </x:c>
      <x:c r="D365" s="34" t="str">
        <x:v>jcs321</x:v>
      </x:c>
      <x:c r="E365" s="36" t="n">
        <x:v>2</x:v>
      </x:c>
      <x:c r="F365" s="36" t="n">
        <x:v>2</x:v>
      </x:c>
      <x:c r="G365" s="36" t="n">
        <x:v>3</x:v>
      </x:c>
      <x:c r="H365" s="34" t="str">
        <x:v>cycle-observation</x:v>
      </x:c>
      <x:c r="I365" s="36" t="n">
        <x:v>2</x:v>
      </x:c>
      <x:c r="J365" s="34" t="str">
        <x:v>tomcat-findleaks-occurrence</x:v>
      </x:c>
      <x:c r="K365" s="34" t="str">
        <x:v>afterFinalUndeploy.tomcatFindLeaksOccurrences</x:v>
      </x:c>
      <x:c r="L365" s="36" t="n">
        <x:v>6</x:v>
      </x:c>
      <x:c r="M365" s="34" t="str">
        <x:v>/jcs321</x:v>
      </x:c>
      <x:c r="N365" s="44" t="str">
        <x:v>/jcs321</x:v>
      </x:c>
    </x:row>
    <x:row r="366">
      <x:c r="A366" s="36" t="n">
        <x:v>365</x:v>
      </x:c>
      <x:c r="B366" s="34" t="str">
        <x:v>article1-unified-v4-2-fb3f101b-20260903-000401-default-f02-p6-jcs321</x:v>
      </x:c>
      <x:c r="C366" s="34" t="str">
        <x:v>default</x:v>
      </x:c>
      <x:c r="D366" s="34" t="str">
        <x:v>jcs321</x:v>
      </x:c>
      <x:c r="E366" s="36" t="n">
        <x:v>2</x:v>
      </x:c>
      <x:c r="F366" s="36" t="n">
        <x:v>2</x:v>
      </x:c>
      <x:c r="G366" s="36" t="n">
        <x:v>4</x:v>
      </x:c>
      <x:c r="H366" s="34" t="str">
        <x:v>cycle-window</x:v>
      </x:c>
      <x:c r="I366" s="36" t="n">
        <x:v>1</x:v>
      </x:c>
      <x:c r="J366" s="34" t="str">
        <x:v>warning</x:v>
      </x:c>
      <x:c r="K366" s="34" t="str">
        <x:v>firstUndeployWarnings</x:v>
      </x:c>
      <x:c r="L366" s="36" t="n">
        <x:v>1</x:v>
      </x:c>
      <x:c r="M366" s="34"/>
      <x:c r="N366" s="44" t="str">
        <x:v>02-Sep-2026 23:44:41.351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367">
      <x:c r="A367" s="36" t="n">
        <x:v>366</x:v>
      </x:c>
      <x:c r="B367" s="34" t="str">
        <x:v>article1-unified-v4-2-fb3f101b-20260903-000401-default-f02-p6-jcs321</x:v>
      </x:c>
      <x:c r="C367" s="34" t="str">
        <x:v>default</x:v>
      </x:c>
      <x:c r="D367" s="34" t="str">
        <x:v>jcs321</x:v>
      </x:c>
      <x:c r="E367" s="36" t="n">
        <x:v>2</x:v>
      </x:c>
      <x:c r="F367" s="36" t="n">
        <x:v>2</x:v>
      </x:c>
      <x:c r="G367" s="36" t="n">
        <x:v>4</x:v>
      </x:c>
      <x:c r="H367" s="34" t="str">
        <x:v>cycle-window</x:v>
      </x:c>
      <x:c r="I367" s="36" t="n">
        <x:v>1</x:v>
      </x:c>
      <x:c r="J367" s="34" t="str">
        <x:v>leak-warning</x:v>
      </x:c>
      <x:c r="K367" s="34" t="str">
        <x:v>firstUndeployLeakWarnings</x:v>
      </x:c>
      <x:c r="L367" s="36" t="n">
        <x:v>1</x:v>
      </x:c>
      <x:c r="M367" s="34"/>
      <x:c r="N367" s="44" t="str">
        <x:v>02-Sep-2026 23:44:41.351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368">
      <x:c r="A368" s="36" t="n">
        <x:v>367</x:v>
      </x:c>
      <x:c r="B368" s="34" t="str">
        <x:v>article1-unified-v4-2-fb3f101b-20260903-000401-default-f02-p6-jcs321</x:v>
      </x:c>
      <x:c r="C368" s="34" t="str">
        <x:v>default</x:v>
      </x:c>
      <x:c r="D368" s="34" t="str">
        <x:v>jcs321</x:v>
      </x:c>
      <x:c r="E368" s="36" t="n">
        <x:v>2</x:v>
      </x:c>
      <x:c r="F368" s="36" t="n">
        <x:v>2</x:v>
      </x:c>
      <x:c r="G368" s="36" t="n">
        <x:v>4</x:v>
      </x:c>
      <x:c r="H368" s="34" t="str">
        <x:v>cycle-window</x:v>
      </x:c>
      <x:c r="I368" s="36" t="n">
        <x:v>1</x:v>
      </x:c>
      <x:c r="J368" s="34" t="str">
        <x:v>thread-leak-warning</x:v>
      </x:c>
      <x:c r="K368" s="34" t="str">
        <x:v>firstUndeployThreadLeakWarnings</x:v>
      </x:c>
      <x:c r="L368" s="36" t="n">
        <x:v>1</x:v>
      </x:c>
      <x:c r="M368" s="34"/>
      <x:c r="N368" s="44" t="str">
        <x:v>02-Sep-2026 23:44:41.351 WARNING [http-nio-8080-exec-39]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369">
      <x:c r="A369" s="36" t="n">
        <x:v>368</x:v>
      </x:c>
      <x:c r="B369" s="34" t="str">
        <x:v>article1-unified-v4-2-fb3f101b-20260903-000401-default-f02-p6-jcs321</x:v>
      </x:c>
      <x:c r="C369" s="34" t="str">
        <x:v>default</x:v>
      </x:c>
      <x:c r="D369" s="34" t="str">
        <x:v>jcs321</x:v>
      </x:c>
      <x:c r="E369" s="36" t="n">
        <x:v>2</x:v>
      </x:c>
      <x:c r="F369" s="36" t="n">
        <x:v>2</x:v>
      </x:c>
      <x:c r="G369" s="36" t="n">
        <x:v>4</x:v>
      </x:c>
      <x:c r="H369" s="34" t="str">
        <x:v>cycle-window</x:v>
      </x:c>
      <x:c r="I369" s="36" t="n">
        <x:v>2</x:v>
      </x:c>
      <x:c r="J369" s="34" t="str">
        <x:v>warning</x:v>
      </x:c>
      <x:c r="K369" s="34" t="str">
        <x:v>secondUndeployWarnings</x:v>
      </x:c>
      <x:c r="L369" s="36" t="n">
        <x:v>1</x:v>
      </x:c>
      <x:c r="M369" s="34"/>
      <x:c r="N369" s="44" t="str">
        <x:v>02-Sep-2026 23:45:24.812 WARNING [http-nio-8080-exec-45]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370">
      <x:c r="A370" s="36" t="n">
        <x:v>369</x:v>
      </x:c>
      <x:c r="B370" s="34" t="str">
        <x:v>article1-unified-v4-2-fb3f101b-20260903-000401-default-f02-p6-jcs321</x:v>
      </x:c>
      <x:c r="C370" s="34" t="str">
        <x:v>default</x:v>
      </x:c>
      <x:c r="D370" s="34" t="str">
        <x:v>jcs321</x:v>
      </x:c>
      <x:c r="E370" s="36" t="n">
        <x:v>2</x:v>
      </x:c>
      <x:c r="F370" s="36" t="n">
        <x:v>2</x:v>
      </x:c>
      <x:c r="G370" s="36" t="n">
        <x:v>4</x:v>
      </x:c>
      <x:c r="H370" s="34" t="str">
        <x:v>cycle-window</x:v>
      </x:c>
      <x:c r="I370" s="36" t="n">
        <x:v>2</x:v>
      </x:c>
      <x:c r="J370" s="34" t="str">
        <x:v>leak-warning</x:v>
      </x:c>
      <x:c r="K370" s="34" t="str">
        <x:v>secondUndeployLeakWarnings</x:v>
      </x:c>
      <x:c r="L370" s="36" t="n">
        <x:v>1</x:v>
      </x:c>
      <x:c r="M370" s="34"/>
      <x:c r="N370" s="44" t="str">
        <x:v>02-Sep-2026 23:45:24.812 WARNING [http-nio-8080-exec-45]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371">
      <x:c r="A371" s="36" t="n">
        <x:v>370</x:v>
      </x:c>
      <x:c r="B371" s="34" t="str">
        <x:v>article1-unified-v4-2-fb3f101b-20260903-000401-default-f02-p6-jcs321</x:v>
      </x:c>
      <x:c r="C371" s="34" t="str">
        <x:v>default</x:v>
      </x:c>
      <x:c r="D371" s="34" t="str">
        <x:v>jcs321</x:v>
      </x:c>
      <x:c r="E371" s="36" t="n">
        <x:v>2</x:v>
      </x:c>
      <x:c r="F371" s="36" t="n">
        <x:v>2</x:v>
      </x:c>
      <x:c r="G371" s="36" t="n">
        <x:v>4</x:v>
      </x:c>
      <x:c r="H371" s="34" t="str">
        <x:v>cycle-window</x:v>
      </x:c>
      <x:c r="I371" s="36" t="n">
        <x:v>2</x:v>
      </x:c>
      <x:c r="J371" s="34" t="str">
        <x:v>thread-leak-warning</x:v>
      </x:c>
      <x:c r="K371" s="34" t="str">
        <x:v>secondUndeployThreadLeakWarnings</x:v>
      </x:c>
      <x:c r="L371" s="36" t="n">
        <x:v>1</x:v>
      </x:c>
      <x:c r="M371" s="34"/>
      <x:c r="N371" s="44" t="str">
        <x:v>02-Sep-2026 23:45:24.812 WARNING [http-nio-8080-exec-45]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372">
      <x:c r="A372" s="36" t="n">
        <x:v>371</x:v>
      </x:c>
      <x:c r="B372" s="34" t="str">
        <x:v>article1-unified-v4-2-fb3f101b-20260903-000401-default-f02-p6-jcs321</x:v>
      </x:c>
      <x:c r="C372" s="34" t="str">
        <x:v>default</x:v>
      </x:c>
      <x:c r="D372" s="34" t="str">
        <x:v>jcs321</x:v>
      </x:c>
      <x:c r="E372" s="36" t="n">
        <x:v>2</x:v>
      </x:c>
      <x:c r="F372" s="36" t="n">
        <x:v>2</x:v>
      </x:c>
      <x:c r="G372" s="36" t="n">
        <x:v>4</x:v>
      </x:c>
      <x:c r="H372" s="34" t="str">
        <x:v>cycle-observation</x:v>
      </x:c>
      <x:c r="I372" s="36" t="n">
        <x:v>1</x:v>
      </x:c>
      <x:c r="J372" s="34" t="str">
        <x:v>tomcat-findleaks-occurrence</x:v>
      </x:c>
      <x:c r="K372" s="34" t="str">
        <x:v>afterUndeploy.tomcatFindLeaksOccurrences</x:v>
      </x:c>
      <x:c r="L372" s="36" t="n">
        <x:v>1</x:v>
      </x:c>
      <x:c r="M372" s="34" t="str">
        <x:v>/jcs321</x:v>
      </x:c>
      <x:c r="N372" s="44" t="str">
        <x:v>/jcs321</x:v>
      </x:c>
    </x:row>
    <x:row r="373">
      <x:c r="A373" s="36" t="n">
        <x:v>372</x:v>
      </x:c>
      <x:c r="B373" s="34" t="str">
        <x:v>article1-unified-v4-2-fb3f101b-20260903-000401-default-f02-p6-jcs321</x:v>
      </x:c>
      <x:c r="C373" s="34" t="str">
        <x:v>default</x:v>
      </x:c>
      <x:c r="D373" s="34" t="str">
        <x:v>jcs321</x:v>
      </x:c>
      <x:c r="E373" s="36" t="n">
        <x:v>2</x:v>
      </x:c>
      <x:c r="F373" s="36" t="n">
        <x:v>2</x:v>
      </x:c>
      <x:c r="G373" s="36" t="n">
        <x:v>4</x:v>
      </x:c>
      <x:c r="H373" s="34" t="str">
        <x:v>cycle-observation</x:v>
      </x:c>
      <x:c r="I373" s="36" t="n">
        <x:v>1</x:v>
      </x:c>
      <x:c r="J373" s="34" t="str">
        <x:v>tomcat-findleaks-occurrence</x:v>
      </x:c>
      <x:c r="K373" s="34" t="str">
        <x:v>afterUndeploy.tomcatFindLeaksOccurrences</x:v>
      </x:c>
      <x:c r="L373" s="36" t="n">
        <x:v>2</x:v>
      </x:c>
      <x:c r="M373" s="34" t="str">
        <x:v>/jcs321</x:v>
      </x:c>
      <x:c r="N373" s="44" t="str">
        <x:v>/jcs321</x:v>
      </x:c>
    </x:row>
    <x:row r="374">
      <x:c r="A374" s="36" t="n">
        <x:v>373</x:v>
      </x:c>
      <x:c r="B374" s="34" t="str">
        <x:v>article1-unified-v4-2-fb3f101b-20260903-000401-default-f02-p6-jcs321</x:v>
      </x:c>
      <x:c r="C374" s="34" t="str">
        <x:v>default</x:v>
      </x:c>
      <x:c r="D374" s="34" t="str">
        <x:v>jcs321</x:v>
      </x:c>
      <x:c r="E374" s="36" t="n">
        <x:v>2</x:v>
      </x:c>
      <x:c r="F374" s="36" t="n">
        <x:v>2</x:v>
      </x:c>
      <x:c r="G374" s="36" t="n">
        <x:v>4</x:v>
      </x:c>
      <x:c r="H374" s="34" t="str">
        <x:v>cycle-observation</x:v>
      </x:c>
      <x:c r="I374" s="36" t="n">
        <x:v>1</x:v>
      </x:c>
      <x:c r="J374" s="34" t="str">
        <x:v>tomcat-findleaks-occurrence</x:v>
      </x:c>
      <x:c r="K374" s="34" t="str">
        <x:v>afterUndeploy.tomcatFindLeaksOccurrences</x:v>
      </x:c>
      <x:c r="L374" s="36" t="n">
        <x:v>3</x:v>
      </x:c>
      <x:c r="M374" s="34" t="str">
        <x:v>/jcs321</x:v>
      </x:c>
      <x:c r="N374" s="44" t="str">
        <x:v>/jcs321</x:v>
      </x:c>
    </x:row>
    <x:row r="375">
      <x:c r="A375" s="36" t="n">
        <x:v>374</x:v>
      </x:c>
      <x:c r="B375" s="34" t="str">
        <x:v>article1-unified-v4-2-fb3f101b-20260903-000401-default-f02-p6-jcs321</x:v>
      </x:c>
      <x:c r="C375" s="34" t="str">
        <x:v>default</x:v>
      </x:c>
      <x:c r="D375" s="34" t="str">
        <x:v>jcs321</x:v>
      </x:c>
      <x:c r="E375" s="36" t="n">
        <x:v>2</x:v>
      </x:c>
      <x:c r="F375" s="36" t="n">
        <x:v>2</x:v>
      </x:c>
      <x:c r="G375" s="36" t="n">
        <x:v>4</x:v>
      </x:c>
      <x:c r="H375" s="34" t="str">
        <x:v>cycle-observation</x:v>
      </x:c>
      <x:c r="I375" s="36" t="n">
        <x:v>1</x:v>
      </x:c>
      <x:c r="J375" s="34" t="str">
        <x:v>tomcat-findleaks-occurrence</x:v>
      </x:c>
      <x:c r="K375" s="34" t="str">
        <x:v>afterUndeploy.tomcatFindLeaksOccurrences</x:v>
      </x:c>
      <x:c r="L375" s="36" t="n">
        <x:v>4</x:v>
      </x:c>
      <x:c r="M375" s="34" t="str">
        <x:v>/jcs321</x:v>
      </x:c>
      <x:c r="N375" s="44" t="str">
        <x:v>/jcs321</x:v>
      </x:c>
    </x:row>
    <x:row r="376">
      <x:c r="A376" s="36" t="n">
        <x:v>375</x:v>
      </x:c>
      <x:c r="B376" s="34" t="str">
        <x:v>article1-unified-v4-2-fb3f101b-20260903-000401-default-f02-p6-jcs321</x:v>
      </x:c>
      <x:c r="C376" s="34" t="str">
        <x:v>default</x:v>
      </x:c>
      <x:c r="D376" s="34" t="str">
        <x:v>jcs321</x:v>
      </x:c>
      <x:c r="E376" s="36" t="n">
        <x:v>2</x:v>
      </x:c>
      <x:c r="F376" s="36" t="n">
        <x:v>2</x:v>
      </x:c>
      <x:c r="G376" s="36" t="n">
        <x:v>4</x:v>
      </x:c>
      <x:c r="H376" s="34" t="str">
        <x:v>cycle-observation</x:v>
      </x:c>
      <x:c r="I376" s="36" t="n">
        <x:v>1</x:v>
      </x:c>
      <x:c r="J376" s="34" t="str">
        <x:v>tomcat-findleaks-occurrence</x:v>
      </x:c>
      <x:c r="K376" s="34" t="str">
        <x:v>afterUndeploy.tomcatFindLeaksOccurrences</x:v>
      </x:c>
      <x:c r="L376" s="36" t="n">
        <x:v>5</x:v>
      </x:c>
      <x:c r="M376" s="34" t="str">
        <x:v>/jcs321</x:v>
      </x:c>
      <x:c r="N376" s="44" t="str">
        <x:v>/jcs321</x:v>
      </x:c>
    </x:row>
    <x:row r="377">
      <x:c r="A377" s="36" t="n">
        <x:v>376</x:v>
      </x:c>
      <x:c r="B377" s="34" t="str">
        <x:v>article1-unified-v4-2-fb3f101b-20260903-000401-default-f02-p6-jcs321</x:v>
      </x:c>
      <x:c r="C377" s="34" t="str">
        <x:v>default</x:v>
      </x:c>
      <x:c r="D377" s="34" t="str">
        <x:v>jcs321</x:v>
      </x:c>
      <x:c r="E377" s="36" t="n">
        <x:v>2</x:v>
      </x:c>
      <x:c r="F377" s="36" t="n">
        <x:v>2</x:v>
      </x:c>
      <x:c r="G377" s="36" t="n">
        <x:v>4</x:v>
      </x:c>
      <x:c r="H377" s="34" t="str">
        <x:v>cycle-observation</x:v>
      </x:c>
      <x:c r="I377" s="36" t="n">
        <x:v>1</x:v>
      </x:c>
      <x:c r="J377" s="34" t="str">
        <x:v>tomcat-findleaks-occurrence</x:v>
      </x:c>
      <x:c r="K377" s="34" t="str">
        <x:v>afterUndeploy.tomcatFindLeaksOccurrences</x:v>
      </x:c>
      <x:c r="L377" s="36" t="n">
        <x:v>6</x:v>
      </x:c>
      <x:c r="M377" s="34" t="str">
        <x:v>/jcs321</x:v>
      </x:c>
      <x:c r="N377" s="44" t="str">
        <x:v>/jcs321</x:v>
      </x:c>
    </x:row>
    <x:row r="378">
      <x:c r="A378" s="36" t="n">
        <x:v>377</x:v>
      </x:c>
      <x:c r="B378" s="34" t="str">
        <x:v>article1-unified-v4-2-fb3f101b-20260903-000401-default-f02-p6-jcs321</x:v>
      </x:c>
      <x:c r="C378" s="34" t="str">
        <x:v>default</x:v>
      </x:c>
      <x:c r="D378" s="34" t="str">
        <x:v>jcs321</x:v>
      </x:c>
      <x:c r="E378" s="36" t="n">
        <x:v>2</x:v>
      </x:c>
      <x:c r="F378" s="36" t="n">
        <x:v>2</x:v>
      </x:c>
      <x:c r="G378" s="36" t="n">
        <x:v>4</x:v>
      </x:c>
      <x:c r="H378" s="34" t="str">
        <x:v>cycle-observation</x:v>
      </x:c>
      <x:c r="I378" s="36" t="n">
        <x:v>1</x:v>
      </x:c>
      <x:c r="J378" s="34" t="str">
        <x:v>tomcat-findleaks-occurrence</x:v>
      </x:c>
      <x:c r="K378" s="34" t="str">
        <x:v>afterUndeploy.tomcatFindLeaksOccurrences</x:v>
      </x:c>
      <x:c r="L378" s="36" t="n">
        <x:v>7</x:v>
      </x:c>
      <x:c r="M378" s="34" t="str">
        <x:v>/jcs321</x:v>
      </x:c>
      <x:c r="N378" s="44" t="str">
        <x:v>/jcs321</x:v>
      </x:c>
    </x:row>
    <x:row r="379">
      <x:c r="A379" s="36" t="n">
        <x:v>378</x:v>
      </x:c>
      <x:c r="B379" s="34" t="str">
        <x:v>article1-unified-v4-2-fb3f101b-20260903-000401-default-f02-p6-jcs321</x:v>
      </x:c>
      <x:c r="C379" s="34" t="str">
        <x:v>default</x:v>
      </x:c>
      <x:c r="D379" s="34" t="str">
        <x:v>jcs321</x:v>
      </x:c>
      <x:c r="E379" s="36" t="n">
        <x:v>2</x:v>
      </x:c>
      <x:c r="F379" s="36" t="n">
        <x:v>2</x:v>
      </x:c>
      <x:c r="G379" s="36" t="n">
        <x:v>4</x:v>
      </x:c>
      <x:c r="H379" s="34" t="str">
        <x:v>cycle-observation</x:v>
      </x:c>
      <x:c r="I379" s="36" t="n">
        <x:v>2</x:v>
      </x:c>
      <x:c r="J379" s="34" t="str">
        <x:v>tomcat-findleaks-occurrence</x:v>
      </x:c>
      <x:c r="K379" s="34" t="str">
        <x:v>afterFinalUndeploy.tomcatFindLeaksOccurrences</x:v>
      </x:c>
      <x:c r="L379" s="36" t="n">
        <x:v>1</x:v>
      </x:c>
      <x:c r="M379" s="34" t="str">
        <x:v>/jcs321</x:v>
      </x:c>
      <x:c r="N379" s="44" t="str">
        <x:v>/jcs321</x:v>
      </x:c>
    </x:row>
    <x:row r="380">
      <x:c r="A380" s="36" t="n">
        <x:v>379</x:v>
      </x:c>
      <x:c r="B380" s="34" t="str">
        <x:v>article1-unified-v4-2-fb3f101b-20260903-000401-default-f02-p6-jcs321</x:v>
      </x:c>
      <x:c r="C380" s="34" t="str">
        <x:v>default</x:v>
      </x:c>
      <x:c r="D380" s="34" t="str">
        <x:v>jcs321</x:v>
      </x:c>
      <x:c r="E380" s="36" t="n">
        <x:v>2</x:v>
      </x:c>
      <x:c r="F380" s="36" t="n">
        <x:v>2</x:v>
      </x:c>
      <x:c r="G380" s="36" t="n">
        <x:v>4</x:v>
      </x:c>
      <x:c r="H380" s="34" t="str">
        <x:v>cycle-observation</x:v>
      </x:c>
      <x:c r="I380" s="36" t="n">
        <x:v>2</x:v>
      </x:c>
      <x:c r="J380" s="34" t="str">
        <x:v>tomcat-findleaks-occurrence</x:v>
      </x:c>
      <x:c r="K380" s="34" t="str">
        <x:v>afterFinalUndeploy.tomcatFindLeaksOccurrences</x:v>
      </x:c>
      <x:c r="L380" s="36" t="n">
        <x:v>2</x:v>
      </x:c>
      <x:c r="M380" s="34" t="str">
        <x:v>/jcs321</x:v>
      </x:c>
      <x:c r="N380" s="44" t="str">
        <x:v>/jcs321</x:v>
      </x:c>
    </x:row>
    <x:row r="381">
      <x:c r="A381" s="36" t="n">
        <x:v>380</x:v>
      </x:c>
      <x:c r="B381" s="34" t="str">
        <x:v>article1-unified-v4-2-fb3f101b-20260903-000401-default-f02-p6-jcs321</x:v>
      </x:c>
      <x:c r="C381" s="34" t="str">
        <x:v>default</x:v>
      </x:c>
      <x:c r="D381" s="34" t="str">
        <x:v>jcs321</x:v>
      </x:c>
      <x:c r="E381" s="36" t="n">
        <x:v>2</x:v>
      </x:c>
      <x:c r="F381" s="36" t="n">
        <x:v>2</x:v>
      </x:c>
      <x:c r="G381" s="36" t="n">
        <x:v>4</x:v>
      </x:c>
      <x:c r="H381" s="34" t="str">
        <x:v>cycle-observation</x:v>
      </x:c>
      <x:c r="I381" s="36" t="n">
        <x:v>2</x:v>
      </x:c>
      <x:c r="J381" s="34" t="str">
        <x:v>tomcat-findleaks-occurrence</x:v>
      </x:c>
      <x:c r="K381" s="34" t="str">
        <x:v>afterFinalUndeploy.tomcatFindLeaksOccurrences</x:v>
      </x:c>
      <x:c r="L381" s="36" t="n">
        <x:v>3</x:v>
      </x:c>
      <x:c r="M381" s="34" t="str">
        <x:v>/jcs321</x:v>
      </x:c>
      <x:c r="N381" s="44" t="str">
        <x:v>/jcs321</x:v>
      </x:c>
    </x:row>
    <x:row r="382">
      <x:c r="A382" s="36" t="n">
        <x:v>381</x:v>
      </x:c>
      <x:c r="B382" s="34" t="str">
        <x:v>article1-unified-v4-2-fb3f101b-20260903-000401-default-f02-p6-jcs321</x:v>
      </x:c>
      <x:c r="C382" s="34" t="str">
        <x:v>default</x:v>
      </x:c>
      <x:c r="D382" s="34" t="str">
        <x:v>jcs321</x:v>
      </x:c>
      <x:c r="E382" s="36" t="n">
        <x:v>2</x:v>
      </x:c>
      <x:c r="F382" s="36" t="n">
        <x:v>2</x:v>
      </x:c>
      <x:c r="G382" s="36" t="n">
        <x:v>4</x:v>
      </x:c>
      <x:c r="H382" s="34" t="str">
        <x:v>cycle-observation</x:v>
      </x:c>
      <x:c r="I382" s="36" t="n">
        <x:v>2</x:v>
      </x:c>
      <x:c r="J382" s="34" t="str">
        <x:v>tomcat-findleaks-occurrence</x:v>
      </x:c>
      <x:c r="K382" s="34" t="str">
        <x:v>afterFinalUndeploy.tomcatFindLeaksOccurrences</x:v>
      </x:c>
      <x:c r="L382" s="36" t="n">
        <x:v>4</x:v>
      </x:c>
      <x:c r="M382" s="34" t="str">
        <x:v>/jcs321</x:v>
      </x:c>
      <x:c r="N382" s="44" t="str">
        <x:v>/jcs321</x:v>
      </x:c>
    </x:row>
    <x:row r="383">
      <x:c r="A383" s="36" t="n">
        <x:v>382</x:v>
      </x:c>
      <x:c r="B383" s="34" t="str">
        <x:v>article1-unified-v4-2-fb3f101b-20260903-000401-default-f02-p6-jcs321</x:v>
      </x:c>
      <x:c r="C383" s="34" t="str">
        <x:v>default</x:v>
      </x:c>
      <x:c r="D383" s="34" t="str">
        <x:v>jcs321</x:v>
      </x:c>
      <x:c r="E383" s="36" t="n">
        <x:v>2</x:v>
      </x:c>
      <x:c r="F383" s="36" t="n">
        <x:v>2</x:v>
      </x:c>
      <x:c r="G383" s="36" t="n">
        <x:v>4</x:v>
      </x:c>
      <x:c r="H383" s="34" t="str">
        <x:v>cycle-observation</x:v>
      </x:c>
      <x:c r="I383" s="36" t="n">
        <x:v>2</x:v>
      </x:c>
      <x:c r="J383" s="34" t="str">
        <x:v>tomcat-findleaks-occurrence</x:v>
      </x:c>
      <x:c r="K383" s="34" t="str">
        <x:v>afterFinalUndeploy.tomcatFindLeaksOccurrences</x:v>
      </x:c>
      <x:c r="L383" s="36" t="n">
        <x:v>5</x:v>
      </x:c>
      <x:c r="M383" s="34" t="str">
        <x:v>/jcs321</x:v>
      </x:c>
      <x:c r="N383" s="44" t="str">
        <x:v>/jcs321</x:v>
      </x:c>
    </x:row>
    <x:row r="384">
      <x:c r="A384" s="36" t="n">
        <x:v>383</x:v>
      </x:c>
      <x:c r="B384" s="34" t="str">
        <x:v>article1-unified-v4-2-fb3f101b-20260903-000401-default-f02-p6-jcs321</x:v>
      </x:c>
      <x:c r="C384" s="34" t="str">
        <x:v>default</x:v>
      </x:c>
      <x:c r="D384" s="34" t="str">
        <x:v>jcs321</x:v>
      </x:c>
      <x:c r="E384" s="36" t="n">
        <x:v>2</x:v>
      </x:c>
      <x:c r="F384" s="36" t="n">
        <x:v>2</x:v>
      </x:c>
      <x:c r="G384" s="36" t="n">
        <x:v>4</x:v>
      </x:c>
      <x:c r="H384" s="34" t="str">
        <x:v>cycle-observation</x:v>
      </x:c>
      <x:c r="I384" s="36" t="n">
        <x:v>2</x:v>
      </x:c>
      <x:c r="J384" s="34" t="str">
        <x:v>tomcat-findleaks-occurrence</x:v>
      </x:c>
      <x:c r="K384" s="34" t="str">
        <x:v>afterFinalUndeploy.tomcatFindLeaksOccurrences</x:v>
      </x:c>
      <x:c r="L384" s="36" t="n">
        <x:v>6</x:v>
      </x:c>
      <x:c r="M384" s="34" t="str">
        <x:v>/jcs321</x:v>
      </x:c>
      <x:c r="N384" s="44" t="str">
        <x:v>/jcs321</x:v>
      </x:c>
    </x:row>
    <x:row r="385">
      <x:c r="A385" s="36" t="n">
        <x:v>384</x:v>
      </x:c>
      <x:c r="B385" s="34" t="str">
        <x:v>article1-unified-v4-2-fb3f101b-20260903-000401-default-f02-p6-jcs321</x:v>
      </x:c>
      <x:c r="C385" s="34" t="str">
        <x:v>default</x:v>
      </x:c>
      <x:c r="D385" s="34" t="str">
        <x:v>jcs321</x:v>
      </x:c>
      <x:c r="E385" s="36" t="n">
        <x:v>2</x:v>
      </x:c>
      <x:c r="F385" s="36" t="n">
        <x:v>2</x:v>
      </x:c>
      <x:c r="G385" s="36" t="n">
        <x:v>4</x:v>
      </x:c>
      <x:c r="H385" s="34" t="str">
        <x:v>cycle-observation</x:v>
      </x:c>
      <x:c r="I385" s="36" t="n">
        <x:v>2</x:v>
      </x:c>
      <x:c r="J385" s="34" t="str">
        <x:v>tomcat-findleaks-occurrence</x:v>
      </x:c>
      <x:c r="K385" s="34" t="str">
        <x:v>afterFinalUndeploy.tomcatFindLeaksOccurrences</x:v>
      </x:c>
      <x:c r="L385" s="36" t="n">
        <x:v>7</x:v>
      </x:c>
      <x:c r="M385" s="34" t="str">
        <x:v>/jcs321</x:v>
      </x:c>
      <x:c r="N385" s="44" t="str">
        <x:v>/jcs321</x:v>
      </x:c>
    </x:row>
    <x:row r="386">
      <x:c r="A386" s="36" t="n">
        <x:v>385</x:v>
      </x:c>
      <x:c r="B386" s="34" t="str">
        <x:v>article1-unified-v4-2-fb3f101b-20260903-000401-default-f02-p6-jcs321</x:v>
      </x:c>
      <x:c r="C386" s="34" t="str">
        <x:v>default</x:v>
      </x:c>
      <x:c r="D386" s="34" t="str">
        <x:v>jcs321</x:v>
      </x:c>
      <x:c r="E386" s="36" t="n">
        <x:v>2</x:v>
      </x:c>
      <x:c r="F386" s="36" t="n">
        <x:v>2</x:v>
      </x:c>
      <x:c r="G386" s="36" t="n">
        <x:v>4</x:v>
      </x:c>
      <x:c r="H386" s="34" t="str">
        <x:v>cycle-observation</x:v>
      </x:c>
      <x:c r="I386" s="36" t="n">
        <x:v>2</x:v>
      </x:c>
      <x:c r="J386" s="34" t="str">
        <x:v>tomcat-findleaks-occurrence</x:v>
      </x:c>
      <x:c r="K386" s="34" t="str">
        <x:v>afterFinalUndeploy.tomcatFindLeaksOccurrences</x:v>
      </x:c>
      <x:c r="L386" s="36" t="n">
        <x:v>8</x:v>
      </x:c>
      <x:c r="M386" s="34" t="str">
        <x:v>/jcs321</x:v>
      </x:c>
      <x:c r="N386" s="44" t="str">
        <x:v>/jcs321</x:v>
      </x:c>
    </x:row>
    <x:row r="387">
      <x:c r="A387" s="36" t="n">
        <x:v>386</x:v>
      </x:c>
      <x:c r="B387" s="34" t="str">
        <x:v>article1-unified-v4-2-fb3f101b-20260903-000401-default-f02-p6-jcs321</x:v>
      </x:c>
      <x:c r="C387" s="34" t="str">
        <x:v>default</x:v>
      </x:c>
      <x:c r="D387" s="34" t="str">
        <x:v>jcs321</x:v>
      </x:c>
      <x:c r="E387" s="36" t="n">
        <x:v>2</x:v>
      </x:c>
      <x:c r="F387" s="36" t="n">
        <x:v>2</x:v>
      </x:c>
      <x:c r="G387" s="36" t="n">
        <x:v>5</x:v>
      </x:c>
      <x:c r="H387" s="34" t="str">
        <x:v>cycle-window</x:v>
      </x:c>
      <x:c r="I387" s="36" t="n">
        <x:v>1</x:v>
      </x:c>
      <x:c r="J387" s="34" t="str">
        <x:v>warning</x:v>
      </x:c>
      <x:c r="K387" s="34" t="str">
        <x:v>firstUndeployWarnings</x:v>
      </x:c>
      <x:c r="L387" s="36" t="n">
        <x:v>1</x:v>
      </x:c>
      <x:c r="M387" s="34"/>
      <x:c r="N387" s="44" t="str">
        <x:v>02-Sep-2026 23:46:11.606 WARNING [http-nio-8080-exec-53]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388">
      <x:c r="A388" s="36" t="n">
        <x:v>387</x:v>
      </x:c>
      <x:c r="B388" s="34" t="str">
        <x:v>article1-unified-v4-2-fb3f101b-20260903-000401-default-f02-p6-jcs321</x:v>
      </x:c>
      <x:c r="C388" s="34" t="str">
        <x:v>default</x:v>
      </x:c>
      <x:c r="D388" s="34" t="str">
        <x:v>jcs321</x:v>
      </x:c>
      <x:c r="E388" s="36" t="n">
        <x:v>2</x:v>
      </x:c>
      <x:c r="F388" s="36" t="n">
        <x:v>2</x:v>
      </x:c>
      <x:c r="G388" s="36" t="n">
        <x:v>5</x:v>
      </x:c>
      <x:c r="H388" s="34" t="str">
        <x:v>cycle-window</x:v>
      </x:c>
      <x:c r="I388" s="36" t="n">
        <x:v>1</x:v>
      </x:c>
      <x:c r="J388" s="34" t="str">
        <x:v>leak-warning</x:v>
      </x:c>
      <x:c r="K388" s="34" t="str">
        <x:v>firstUndeployLeakWarnings</x:v>
      </x:c>
      <x:c r="L388" s="36" t="n">
        <x:v>1</x:v>
      </x:c>
      <x:c r="M388" s="34"/>
      <x:c r="N388" s="44" t="str">
        <x:v>02-Sep-2026 23:46:11.606 WARNING [http-nio-8080-exec-53]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389">
      <x:c r="A389" s="36" t="n">
        <x:v>388</x:v>
      </x:c>
      <x:c r="B389" s="34" t="str">
        <x:v>article1-unified-v4-2-fb3f101b-20260903-000401-default-f02-p6-jcs321</x:v>
      </x:c>
      <x:c r="C389" s="34" t="str">
        <x:v>default</x:v>
      </x:c>
      <x:c r="D389" s="34" t="str">
        <x:v>jcs321</x:v>
      </x:c>
      <x:c r="E389" s="36" t="n">
        <x:v>2</x:v>
      </x:c>
      <x:c r="F389" s="36" t="n">
        <x:v>2</x:v>
      </x:c>
      <x:c r="G389" s="36" t="n">
        <x:v>5</x:v>
      </x:c>
      <x:c r="H389" s="34" t="str">
        <x:v>cycle-window</x:v>
      </x:c>
      <x:c r="I389" s="36" t="n">
        <x:v>1</x:v>
      </x:c>
      <x:c r="J389" s="34" t="str">
        <x:v>thread-leak-warning</x:v>
      </x:c>
      <x:c r="K389" s="34" t="str">
        <x:v>firstUndeployThreadLeakWarnings</x:v>
      </x:c>
      <x:c r="L389" s="36" t="n">
        <x:v>1</x:v>
      </x:c>
      <x:c r="M389" s="34"/>
      <x:c r="N389" s="44" t="str">
        <x:v>02-Sep-2026 23:46:11.606 WARNING [http-nio-8080-exec-53]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390">
      <x:c r="A390" s="36" t="n">
        <x:v>389</x:v>
      </x:c>
      <x:c r="B390" s="34" t="str">
        <x:v>article1-unified-v4-2-fb3f101b-20260903-000401-default-f02-p6-jcs321</x:v>
      </x:c>
      <x:c r="C390" s="34" t="str">
        <x:v>default</x:v>
      </x:c>
      <x:c r="D390" s="34" t="str">
        <x:v>jcs321</x:v>
      </x:c>
      <x:c r="E390" s="36" t="n">
        <x:v>2</x:v>
      </x:c>
      <x:c r="F390" s="36" t="n">
        <x:v>2</x:v>
      </x:c>
      <x:c r="G390" s="36" t="n">
        <x:v>5</x:v>
      </x:c>
      <x:c r="H390" s="34" t="str">
        <x:v>cycle-window</x:v>
      </x:c>
      <x:c r="I390" s="36" t="n">
        <x:v>2</x:v>
      </x:c>
      <x:c r="J390" s="34" t="str">
        <x:v>warning</x:v>
      </x:c>
      <x:c r="K390" s="34" t="str">
        <x:v>secondUndeployWarnings</x:v>
      </x:c>
      <x:c r="L390" s="36" t="n">
        <x:v>1</x:v>
      </x:c>
      <x:c r="M390" s="34"/>
      <x:c r="N390" s="44" t="str">
        <x:v>02-Sep-2026 23:46:55.637 WARNING [http-nio-8080-exec-57]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391">
      <x:c r="A391" s="36" t="n">
        <x:v>390</x:v>
      </x:c>
      <x:c r="B391" s="34" t="str">
        <x:v>article1-unified-v4-2-fb3f101b-20260903-000401-default-f02-p6-jcs321</x:v>
      </x:c>
      <x:c r="C391" s="34" t="str">
        <x:v>default</x:v>
      </x:c>
      <x:c r="D391" s="34" t="str">
        <x:v>jcs321</x:v>
      </x:c>
      <x:c r="E391" s="36" t="n">
        <x:v>2</x:v>
      </x:c>
      <x:c r="F391" s="36" t="n">
        <x:v>2</x:v>
      </x:c>
      <x:c r="G391" s="36" t="n">
        <x:v>5</x:v>
      </x:c>
      <x:c r="H391" s="34" t="str">
        <x:v>cycle-window</x:v>
      </x:c>
      <x:c r="I391" s="36" t="n">
        <x:v>2</x:v>
      </x:c>
      <x:c r="J391" s="34" t="str">
        <x:v>leak-warning</x:v>
      </x:c>
      <x:c r="K391" s="34" t="str">
        <x:v>secondUndeployLeakWarnings</x:v>
      </x:c>
      <x:c r="L391" s="36" t="n">
        <x:v>1</x:v>
      </x:c>
      <x:c r="M391" s="34"/>
      <x:c r="N391" s="44" t="str">
        <x:v>02-Sep-2026 23:46:55.637 WARNING [http-nio-8080-exec-57]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392">
      <x:c r="A392" s="36" t="n">
        <x:v>391</x:v>
      </x:c>
      <x:c r="B392" s="34" t="str">
        <x:v>article1-unified-v4-2-fb3f101b-20260903-000401-default-f02-p6-jcs321</x:v>
      </x:c>
      <x:c r="C392" s="34" t="str">
        <x:v>default</x:v>
      </x:c>
      <x:c r="D392" s="34" t="str">
        <x:v>jcs321</x:v>
      </x:c>
      <x:c r="E392" s="36" t="n">
        <x:v>2</x:v>
      </x:c>
      <x:c r="F392" s="36" t="n">
        <x:v>2</x:v>
      </x:c>
      <x:c r="G392" s="36" t="n">
        <x:v>5</x:v>
      </x:c>
      <x:c r="H392" s="34" t="str">
        <x:v>cycle-window</x:v>
      </x:c>
      <x:c r="I392" s="36" t="n">
        <x:v>2</x:v>
      </x:c>
      <x:c r="J392" s="34" t="str">
        <x:v>thread-leak-warning</x:v>
      </x:c>
      <x:c r="K392" s="34" t="str">
        <x:v>secondUndeployThreadLeakWarnings</x:v>
      </x:c>
      <x:c r="L392" s="36" t="n">
        <x:v>1</x:v>
      </x:c>
      <x:c r="M392" s="34"/>
      <x:c r="N392" s="44" t="str">
        <x:v>02-Sep-2026 23:46:55.637 WARNING [http-nio-8080-exec-57]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393">
      <x:c r="A393" s="36" t="n">
        <x:v>392</x:v>
      </x:c>
      <x:c r="B393" s="34" t="str">
        <x:v>article1-unified-v4-2-fb3f101b-20260903-000401-default-f02-p6-jcs321</x:v>
      </x:c>
      <x:c r="C393" s="34" t="str">
        <x:v>default</x:v>
      </x:c>
      <x:c r="D393" s="34" t="str">
        <x:v>jcs321</x:v>
      </x:c>
      <x:c r="E393" s="36" t="n">
        <x:v>2</x:v>
      </x:c>
      <x:c r="F393" s="36" t="n">
        <x:v>2</x:v>
      </x:c>
      <x:c r="G393" s="36" t="n">
        <x:v>5</x:v>
      </x:c>
      <x:c r="H393" s="34" t="str">
        <x:v>cycle-observation</x:v>
      </x:c>
      <x:c r="I393" s="36" t="n">
        <x:v>1</x:v>
      </x:c>
      <x:c r="J393" s="34" t="str">
        <x:v>tomcat-findleaks-occurrence</x:v>
      </x:c>
      <x:c r="K393" s="34" t="str">
        <x:v>afterUndeploy.tomcatFindLeaksOccurrences</x:v>
      </x:c>
      <x:c r="L393" s="36" t="n">
        <x:v>1</x:v>
      </x:c>
      <x:c r="M393" s="34" t="str">
        <x:v>/jcs321</x:v>
      </x:c>
      <x:c r="N393" s="44" t="str">
        <x:v>/jcs321</x:v>
      </x:c>
    </x:row>
    <x:row r="394">
      <x:c r="A394" s="36" t="n">
        <x:v>393</x:v>
      </x:c>
      <x:c r="B394" s="34" t="str">
        <x:v>article1-unified-v4-2-fb3f101b-20260903-000401-default-f02-p6-jcs321</x:v>
      </x:c>
      <x:c r="C394" s="34" t="str">
        <x:v>default</x:v>
      </x:c>
      <x:c r="D394" s="34" t="str">
        <x:v>jcs321</x:v>
      </x:c>
      <x:c r="E394" s="36" t="n">
        <x:v>2</x:v>
      </x:c>
      <x:c r="F394" s="36" t="n">
        <x:v>2</x:v>
      </x:c>
      <x:c r="G394" s="36" t="n">
        <x:v>5</x:v>
      </x:c>
      <x:c r="H394" s="34" t="str">
        <x:v>cycle-observation</x:v>
      </x:c>
      <x:c r="I394" s="36" t="n">
        <x:v>1</x:v>
      </x:c>
      <x:c r="J394" s="34" t="str">
        <x:v>tomcat-findleaks-occurrence</x:v>
      </x:c>
      <x:c r="K394" s="34" t="str">
        <x:v>afterUndeploy.tomcatFindLeaksOccurrences</x:v>
      </x:c>
      <x:c r="L394" s="36" t="n">
        <x:v>2</x:v>
      </x:c>
      <x:c r="M394" s="34" t="str">
        <x:v>/jcs321</x:v>
      </x:c>
      <x:c r="N394" s="44" t="str">
        <x:v>/jcs321</x:v>
      </x:c>
    </x:row>
    <x:row r="395">
      <x:c r="A395" s="36" t="n">
        <x:v>394</x:v>
      </x:c>
      <x:c r="B395" s="34" t="str">
        <x:v>article1-unified-v4-2-fb3f101b-20260903-000401-default-f02-p6-jcs321</x:v>
      </x:c>
      <x:c r="C395" s="34" t="str">
        <x:v>default</x:v>
      </x:c>
      <x:c r="D395" s="34" t="str">
        <x:v>jcs321</x:v>
      </x:c>
      <x:c r="E395" s="36" t="n">
        <x:v>2</x:v>
      </x:c>
      <x:c r="F395" s="36" t="n">
        <x:v>2</x:v>
      </x:c>
      <x:c r="G395" s="36" t="n">
        <x:v>5</x:v>
      </x:c>
      <x:c r="H395" s="34" t="str">
        <x:v>cycle-observation</x:v>
      </x:c>
      <x:c r="I395" s="36" t="n">
        <x:v>1</x:v>
      </x:c>
      <x:c r="J395" s="34" t="str">
        <x:v>tomcat-findleaks-occurrence</x:v>
      </x:c>
      <x:c r="K395" s="34" t="str">
        <x:v>afterUndeploy.tomcatFindLeaksOccurrences</x:v>
      </x:c>
      <x:c r="L395" s="36" t="n">
        <x:v>3</x:v>
      </x:c>
      <x:c r="M395" s="34" t="str">
        <x:v>/jcs321</x:v>
      </x:c>
      <x:c r="N395" s="44" t="str">
        <x:v>/jcs321</x:v>
      </x:c>
    </x:row>
    <x:row r="396">
      <x:c r="A396" s="36" t="n">
        <x:v>395</x:v>
      </x:c>
      <x:c r="B396" s="34" t="str">
        <x:v>article1-unified-v4-2-fb3f101b-20260903-000401-default-f02-p6-jcs321</x:v>
      </x:c>
      <x:c r="C396" s="34" t="str">
        <x:v>default</x:v>
      </x:c>
      <x:c r="D396" s="34" t="str">
        <x:v>jcs321</x:v>
      </x:c>
      <x:c r="E396" s="36" t="n">
        <x:v>2</x:v>
      </x:c>
      <x:c r="F396" s="36" t="n">
        <x:v>2</x:v>
      </x:c>
      <x:c r="G396" s="36" t="n">
        <x:v>5</x:v>
      </x:c>
      <x:c r="H396" s="34" t="str">
        <x:v>cycle-observation</x:v>
      </x:c>
      <x:c r="I396" s="36" t="n">
        <x:v>1</x:v>
      </x:c>
      <x:c r="J396" s="34" t="str">
        <x:v>tomcat-findleaks-occurrence</x:v>
      </x:c>
      <x:c r="K396" s="34" t="str">
        <x:v>afterUndeploy.tomcatFindLeaksOccurrences</x:v>
      </x:c>
      <x:c r="L396" s="36" t="n">
        <x:v>4</x:v>
      </x:c>
      <x:c r="M396" s="34" t="str">
        <x:v>/jcs321</x:v>
      </x:c>
      <x:c r="N396" s="44" t="str">
        <x:v>/jcs321</x:v>
      </x:c>
    </x:row>
    <x:row r="397">
      <x:c r="A397" s="36" t="n">
        <x:v>396</x:v>
      </x:c>
      <x:c r="B397" s="34" t="str">
        <x:v>article1-unified-v4-2-fb3f101b-20260903-000401-default-f02-p6-jcs321</x:v>
      </x:c>
      <x:c r="C397" s="34" t="str">
        <x:v>default</x:v>
      </x:c>
      <x:c r="D397" s="34" t="str">
        <x:v>jcs321</x:v>
      </x:c>
      <x:c r="E397" s="36" t="n">
        <x:v>2</x:v>
      </x:c>
      <x:c r="F397" s="36" t="n">
        <x:v>2</x:v>
      </x:c>
      <x:c r="G397" s="36" t="n">
        <x:v>5</x:v>
      </x:c>
      <x:c r="H397" s="34" t="str">
        <x:v>cycle-observation</x:v>
      </x:c>
      <x:c r="I397" s="36" t="n">
        <x:v>1</x:v>
      </x:c>
      <x:c r="J397" s="34" t="str">
        <x:v>tomcat-findleaks-occurrence</x:v>
      </x:c>
      <x:c r="K397" s="34" t="str">
        <x:v>afterUndeploy.tomcatFindLeaksOccurrences</x:v>
      </x:c>
      <x:c r="L397" s="36" t="n">
        <x:v>5</x:v>
      </x:c>
      <x:c r="M397" s="34" t="str">
        <x:v>/jcs321</x:v>
      </x:c>
      <x:c r="N397" s="44" t="str">
        <x:v>/jcs321</x:v>
      </x:c>
    </x:row>
    <x:row r="398">
      <x:c r="A398" s="36" t="n">
        <x:v>397</x:v>
      </x:c>
      <x:c r="B398" s="34" t="str">
        <x:v>article1-unified-v4-2-fb3f101b-20260903-000401-default-f02-p6-jcs321</x:v>
      </x:c>
      <x:c r="C398" s="34" t="str">
        <x:v>default</x:v>
      </x:c>
      <x:c r="D398" s="34" t="str">
        <x:v>jcs321</x:v>
      </x:c>
      <x:c r="E398" s="36" t="n">
        <x:v>2</x:v>
      </x:c>
      <x:c r="F398" s="36" t="n">
        <x:v>2</x:v>
      </x:c>
      <x:c r="G398" s="36" t="n">
        <x:v>5</x:v>
      </x:c>
      <x:c r="H398" s="34" t="str">
        <x:v>cycle-observation</x:v>
      </x:c>
      <x:c r="I398" s="36" t="n">
        <x:v>1</x:v>
      </x:c>
      <x:c r="J398" s="34" t="str">
        <x:v>tomcat-findleaks-occurrence</x:v>
      </x:c>
      <x:c r="K398" s="34" t="str">
        <x:v>afterUndeploy.tomcatFindLeaksOccurrences</x:v>
      </x:c>
      <x:c r="L398" s="36" t="n">
        <x:v>6</x:v>
      </x:c>
      <x:c r="M398" s="34" t="str">
        <x:v>/jcs321</x:v>
      </x:c>
      <x:c r="N398" s="44" t="str">
        <x:v>/jcs321</x:v>
      </x:c>
    </x:row>
    <x:row r="399">
      <x:c r="A399" s="36" t="n">
        <x:v>398</x:v>
      </x:c>
      <x:c r="B399" s="34" t="str">
        <x:v>article1-unified-v4-2-fb3f101b-20260903-000401-default-f02-p6-jcs321</x:v>
      </x:c>
      <x:c r="C399" s="34" t="str">
        <x:v>default</x:v>
      </x:c>
      <x:c r="D399" s="34" t="str">
        <x:v>jcs321</x:v>
      </x:c>
      <x:c r="E399" s="36" t="n">
        <x:v>2</x:v>
      </x:c>
      <x:c r="F399" s="36" t="n">
        <x:v>2</x:v>
      </x:c>
      <x:c r="G399" s="36" t="n">
        <x:v>5</x:v>
      </x:c>
      <x:c r="H399" s="34" t="str">
        <x:v>cycle-observation</x:v>
      </x:c>
      <x:c r="I399" s="36" t="n">
        <x:v>1</x:v>
      </x:c>
      <x:c r="J399" s="34" t="str">
        <x:v>tomcat-findleaks-occurrence</x:v>
      </x:c>
      <x:c r="K399" s="34" t="str">
        <x:v>afterUndeploy.tomcatFindLeaksOccurrences</x:v>
      </x:c>
      <x:c r="L399" s="36" t="n">
        <x:v>7</x:v>
      </x:c>
      <x:c r="M399" s="34" t="str">
        <x:v>/jcs321</x:v>
      </x:c>
      <x:c r="N399" s="44" t="str">
        <x:v>/jcs321</x:v>
      </x:c>
    </x:row>
    <x:row r="400">
      <x:c r="A400" s="36" t="n">
        <x:v>399</x:v>
      </x:c>
      <x:c r="B400" s="34" t="str">
        <x:v>article1-unified-v4-2-fb3f101b-20260903-000401-default-f02-p6-jcs321</x:v>
      </x:c>
      <x:c r="C400" s="34" t="str">
        <x:v>default</x:v>
      </x:c>
      <x:c r="D400" s="34" t="str">
        <x:v>jcs321</x:v>
      </x:c>
      <x:c r="E400" s="36" t="n">
        <x:v>2</x:v>
      </x:c>
      <x:c r="F400" s="36" t="n">
        <x:v>2</x:v>
      </x:c>
      <x:c r="G400" s="36" t="n">
        <x:v>5</x:v>
      </x:c>
      <x:c r="H400" s="34" t="str">
        <x:v>cycle-observation</x:v>
      </x:c>
      <x:c r="I400" s="36" t="n">
        <x:v>1</x:v>
      </x:c>
      <x:c r="J400" s="34" t="str">
        <x:v>tomcat-findleaks-occurrence</x:v>
      </x:c>
      <x:c r="K400" s="34" t="str">
        <x:v>afterUndeploy.tomcatFindLeaksOccurrences</x:v>
      </x:c>
      <x:c r="L400" s="36" t="n">
        <x:v>8</x:v>
      </x:c>
      <x:c r="M400" s="34" t="str">
        <x:v>/jcs321</x:v>
      </x:c>
      <x:c r="N400" s="44" t="str">
        <x:v>/jcs321</x:v>
      </x:c>
    </x:row>
    <x:row r="401">
      <x:c r="A401" s="36" t="n">
        <x:v>400</x:v>
      </x:c>
      <x:c r="B401" s="34" t="str">
        <x:v>article1-unified-v4-2-fb3f101b-20260903-000401-default-f02-p6-jcs321</x:v>
      </x:c>
      <x:c r="C401" s="34" t="str">
        <x:v>default</x:v>
      </x:c>
      <x:c r="D401" s="34" t="str">
        <x:v>jcs321</x:v>
      </x:c>
      <x:c r="E401" s="36" t="n">
        <x:v>2</x:v>
      </x:c>
      <x:c r="F401" s="36" t="n">
        <x:v>2</x:v>
      </x:c>
      <x:c r="G401" s="36" t="n">
        <x:v>5</x:v>
      </x:c>
      <x:c r="H401" s="34" t="str">
        <x:v>cycle-observation</x:v>
      </x:c>
      <x:c r="I401" s="36" t="n">
        <x:v>1</x:v>
      </x:c>
      <x:c r="J401" s="34" t="str">
        <x:v>tomcat-findleaks-occurrence</x:v>
      </x:c>
      <x:c r="K401" s="34" t="str">
        <x:v>afterUndeploy.tomcatFindLeaksOccurrences</x:v>
      </x:c>
      <x:c r="L401" s="36" t="n">
        <x:v>9</x:v>
      </x:c>
      <x:c r="M401" s="34" t="str">
        <x:v>/jcs321</x:v>
      </x:c>
      <x:c r="N401" s="44" t="str">
        <x:v>/jcs321</x:v>
      </x:c>
    </x:row>
    <x:row r="402">
      <x:c r="A402" s="36" t="n">
        <x:v>401</x:v>
      </x:c>
      <x:c r="B402" s="34" t="str">
        <x:v>article1-unified-v4-2-fb3f101b-20260903-000401-default-f02-p6-jcs321</x:v>
      </x:c>
      <x:c r="C402" s="34" t="str">
        <x:v>default</x:v>
      </x:c>
      <x:c r="D402" s="34" t="str">
        <x:v>jcs321</x:v>
      </x:c>
      <x:c r="E402" s="36" t="n">
        <x:v>2</x:v>
      </x:c>
      <x:c r="F402" s="36" t="n">
        <x:v>2</x:v>
      </x:c>
      <x:c r="G402" s="36" t="n">
        <x:v>5</x:v>
      </x:c>
      <x:c r="H402" s="34" t="str">
        <x:v>cycle-observation</x:v>
      </x:c>
      <x:c r="I402" s="36" t="n">
        <x:v>2</x:v>
      </x:c>
      <x:c r="J402" s="34" t="str">
        <x:v>tomcat-findleaks-occurrence</x:v>
      </x:c>
      <x:c r="K402" s="34" t="str">
        <x:v>afterFinalUndeploy.tomcatFindLeaksOccurrences</x:v>
      </x:c>
      <x:c r="L402" s="36" t="n">
        <x:v>1</x:v>
      </x:c>
      <x:c r="M402" s="34" t="str">
        <x:v>/jcs321</x:v>
      </x:c>
      <x:c r="N402" s="44" t="str">
        <x:v>/jcs321</x:v>
      </x:c>
    </x:row>
    <x:row r="403">
      <x:c r="A403" s="36" t="n">
        <x:v>402</x:v>
      </x:c>
      <x:c r="B403" s="34" t="str">
        <x:v>article1-unified-v4-2-fb3f101b-20260903-000401-default-f02-p6-jcs321</x:v>
      </x:c>
      <x:c r="C403" s="34" t="str">
        <x:v>default</x:v>
      </x:c>
      <x:c r="D403" s="34" t="str">
        <x:v>jcs321</x:v>
      </x:c>
      <x:c r="E403" s="36" t="n">
        <x:v>2</x:v>
      </x:c>
      <x:c r="F403" s="36" t="n">
        <x:v>2</x:v>
      </x:c>
      <x:c r="G403" s="36" t="n">
        <x:v>5</x:v>
      </x:c>
      <x:c r="H403" s="34" t="str">
        <x:v>cycle-observation</x:v>
      </x:c>
      <x:c r="I403" s="36" t="n">
        <x:v>2</x:v>
      </x:c>
      <x:c r="J403" s="34" t="str">
        <x:v>tomcat-findleaks-occurrence</x:v>
      </x:c>
      <x:c r="K403" s="34" t="str">
        <x:v>afterFinalUndeploy.tomcatFindLeaksOccurrences</x:v>
      </x:c>
      <x:c r="L403" s="36" t="n">
        <x:v>2</x:v>
      </x:c>
      <x:c r="M403" s="34" t="str">
        <x:v>/jcs321</x:v>
      </x:c>
      <x:c r="N403" s="44" t="str">
        <x:v>/jcs321</x:v>
      </x:c>
    </x:row>
    <x:row r="404">
      <x:c r="A404" s="36" t="n">
        <x:v>403</x:v>
      </x:c>
      <x:c r="B404" s="34" t="str">
        <x:v>article1-unified-v4-2-fb3f101b-20260903-000401-default-f02-p6-jcs321</x:v>
      </x:c>
      <x:c r="C404" s="34" t="str">
        <x:v>default</x:v>
      </x:c>
      <x:c r="D404" s="34" t="str">
        <x:v>jcs321</x:v>
      </x:c>
      <x:c r="E404" s="36" t="n">
        <x:v>2</x:v>
      </x:c>
      <x:c r="F404" s="36" t="n">
        <x:v>2</x:v>
      </x:c>
      <x:c r="G404" s="36" t="n">
        <x:v>5</x:v>
      </x:c>
      <x:c r="H404" s="34" t="str">
        <x:v>cycle-observation</x:v>
      </x:c>
      <x:c r="I404" s="36" t="n">
        <x:v>2</x:v>
      </x:c>
      <x:c r="J404" s="34" t="str">
        <x:v>tomcat-findleaks-occurrence</x:v>
      </x:c>
      <x:c r="K404" s="34" t="str">
        <x:v>afterFinalUndeploy.tomcatFindLeaksOccurrences</x:v>
      </x:c>
      <x:c r="L404" s="36" t="n">
        <x:v>3</x:v>
      </x:c>
      <x:c r="M404" s="34" t="str">
        <x:v>/jcs321</x:v>
      </x:c>
      <x:c r="N404" s="44" t="str">
        <x:v>/jcs321</x:v>
      </x:c>
    </x:row>
    <x:row r="405">
      <x:c r="A405" s="36" t="n">
        <x:v>404</x:v>
      </x:c>
      <x:c r="B405" s="34" t="str">
        <x:v>article1-unified-v4-2-fb3f101b-20260903-000401-default-f02-p6-jcs321</x:v>
      </x:c>
      <x:c r="C405" s="34" t="str">
        <x:v>default</x:v>
      </x:c>
      <x:c r="D405" s="34" t="str">
        <x:v>jcs321</x:v>
      </x:c>
      <x:c r="E405" s="36" t="n">
        <x:v>2</x:v>
      </x:c>
      <x:c r="F405" s="36" t="n">
        <x:v>2</x:v>
      </x:c>
      <x:c r="G405" s="36" t="n">
        <x:v>5</x:v>
      </x:c>
      <x:c r="H405" s="34" t="str">
        <x:v>cycle-observation</x:v>
      </x:c>
      <x:c r="I405" s="36" t="n">
        <x:v>2</x:v>
      </x:c>
      <x:c r="J405" s="34" t="str">
        <x:v>tomcat-findleaks-occurrence</x:v>
      </x:c>
      <x:c r="K405" s="34" t="str">
        <x:v>afterFinalUndeploy.tomcatFindLeaksOccurrences</x:v>
      </x:c>
      <x:c r="L405" s="36" t="n">
        <x:v>4</x:v>
      </x:c>
      <x:c r="M405" s="34" t="str">
        <x:v>/jcs321</x:v>
      </x:c>
      <x:c r="N405" s="44" t="str">
        <x:v>/jcs321</x:v>
      </x:c>
    </x:row>
    <x:row r="406">
      <x:c r="A406" s="36" t="n">
        <x:v>405</x:v>
      </x:c>
      <x:c r="B406" s="34" t="str">
        <x:v>article1-unified-v4-2-fb3f101b-20260903-000401-default-f02-p6-jcs321</x:v>
      </x:c>
      <x:c r="C406" s="34" t="str">
        <x:v>default</x:v>
      </x:c>
      <x:c r="D406" s="34" t="str">
        <x:v>jcs321</x:v>
      </x:c>
      <x:c r="E406" s="36" t="n">
        <x:v>2</x:v>
      </x:c>
      <x:c r="F406" s="36" t="n">
        <x:v>2</x:v>
      </x:c>
      <x:c r="G406" s="36" t="n">
        <x:v>5</x:v>
      </x:c>
      <x:c r="H406" s="34" t="str">
        <x:v>cycle-observation</x:v>
      </x:c>
      <x:c r="I406" s="36" t="n">
        <x:v>2</x:v>
      </x:c>
      <x:c r="J406" s="34" t="str">
        <x:v>tomcat-findleaks-occurrence</x:v>
      </x:c>
      <x:c r="K406" s="34" t="str">
        <x:v>afterFinalUndeploy.tomcatFindLeaksOccurrences</x:v>
      </x:c>
      <x:c r="L406" s="36" t="n">
        <x:v>5</x:v>
      </x:c>
      <x:c r="M406" s="34" t="str">
        <x:v>/jcs321</x:v>
      </x:c>
      <x:c r="N406" s="44" t="str">
        <x:v>/jcs321</x:v>
      </x:c>
    </x:row>
    <x:row r="407">
      <x:c r="A407" s="36" t="n">
        <x:v>406</x:v>
      </x:c>
      <x:c r="B407" s="34" t="str">
        <x:v>article1-unified-v4-2-fb3f101b-20260903-000401-default-f02-p6-jcs321</x:v>
      </x:c>
      <x:c r="C407" s="34" t="str">
        <x:v>default</x:v>
      </x:c>
      <x:c r="D407" s="34" t="str">
        <x:v>jcs321</x:v>
      </x:c>
      <x:c r="E407" s="36" t="n">
        <x:v>2</x:v>
      </x:c>
      <x:c r="F407" s="36" t="n">
        <x:v>2</x:v>
      </x:c>
      <x:c r="G407" s="36" t="n">
        <x:v>5</x:v>
      </x:c>
      <x:c r="H407" s="34" t="str">
        <x:v>cycle-observation</x:v>
      </x:c>
      <x:c r="I407" s="36" t="n">
        <x:v>2</x:v>
      </x:c>
      <x:c r="J407" s="34" t="str">
        <x:v>tomcat-findleaks-occurrence</x:v>
      </x:c>
      <x:c r="K407" s="34" t="str">
        <x:v>afterFinalUndeploy.tomcatFindLeaksOccurrences</x:v>
      </x:c>
      <x:c r="L407" s="36" t="n">
        <x:v>6</x:v>
      </x:c>
      <x:c r="M407" s="34" t="str">
        <x:v>/jcs321</x:v>
      </x:c>
      <x:c r="N407" s="44" t="str">
        <x:v>/jcs321</x:v>
      </x:c>
    </x:row>
    <x:row r="408">
      <x:c r="A408" s="36" t="n">
        <x:v>407</x:v>
      </x:c>
      <x:c r="B408" s="34" t="str">
        <x:v>article1-unified-v4-2-fb3f101b-20260903-000401-default-f02-p6-jcs321</x:v>
      </x:c>
      <x:c r="C408" s="34" t="str">
        <x:v>default</x:v>
      </x:c>
      <x:c r="D408" s="34" t="str">
        <x:v>jcs321</x:v>
      </x:c>
      <x:c r="E408" s="36" t="n">
        <x:v>2</x:v>
      </x:c>
      <x:c r="F408" s="36" t="n">
        <x:v>2</x:v>
      </x:c>
      <x:c r="G408" s="36" t="n">
        <x:v>5</x:v>
      </x:c>
      <x:c r="H408" s="34" t="str">
        <x:v>cycle-observation</x:v>
      </x:c>
      <x:c r="I408" s="36" t="n">
        <x:v>2</x:v>
      </x:c>
      <x:c r="J408" s="34" t="str">
        <x:v>tomcat-findleaks-occurrence</x:v>
      </x:c>
      <x:c r="K408" s="34" t="str">
        <x:v>afterFinalUndeploy.tomcatFindLeaksOccurrences</x:v>
      </x:c>
      <x:c r="L408" s="36" t="n">
        <x:v>7</x:v>
      </x:c>
      <x:c r="M408" s="34" t="str">
        <x:v>/jcs321</x:v>
      </x:c>
      <x:c r="N408" s="44" t="str">
        <x:v>/jcs321</x:v>
      </x:c>
    </x:row>
    <x:row r="409">
      <x:c r="A409" s="36" t="n">
        <x:v>408</x:v>
      </x:c>
      <x:c r="B409" s="34" t="str">
        <x:v>article1-unified-v4-2-fb3f101b-20260903-000401-default-f02-p6-jcs321</x:v>
      </x:c>
      <x:c r="C409" s="34" t="str">
        <x:v>default</x:v>
      </x:c>
      <x:c r="D409" s="34" t="str">
        <x:v>jcs321</x:v>
      </x:c>
      <x:c r="E409" s="36" t="n">
        <x:v>2</x:v>
      </x:c>
      <x:c r="F409" s="36" t="n">
        <x:v>2</x:v>
      </x:c>
      <x:c r="G409" s="36" t="n">
        <x:v>5</x:v>
      </x:c>
      <x:c r="H409" s="34" t="str">
        <x:v>cycle-observation</x:v>
      </x:c>
      <x:c r="I409" s="36" t="n">
        <x:v>2</x:v>
      </x:c>
      <x:c r="J409" s="34" t="str">
        <x:v>tomcat-findleaks-occurrence</x:v>
      </x:c>
      <x:c r="K409" s="34" t="str">
        <x:v>afterFinalUndeploy.tomcatFindLeaksOccurrences</x:v>
      </x:c>
      <x:c r="L409" s="36" t="n">
        <x:v>8</x:v>
      </x:c>
      <x:c r="M409" s="34" t="str">
        <x:v>/jcs321</x:v>
      </x:c>
      <x:c r="N409" s="44" t="str">
        <x:v>/jcs321</x:v>
      </x:c>
    </x:row>
    <x:row r="410">
      <x:c r="A410" s="36" t="n">
        <x:v>409</x:v>
      </x:c>
      <x:c r="B410" s="34" t="str">
        <x:v>article1-unified-v4-2-fb3f101b-20260903-000401-default-f02-p6-jcs321</x:v>
      </x:c>
      <x:c r="C410" s="34" t="str">
        <x:v>default</x:v>
      </x:c>
      <x:c r="D410" s="34" t="str">
        <x:v>jcs321</x:v>
      </x:c>
      <x:c r="E410" s="36" t="n">
        <x:v>2</x:v>
      </x:c>
      <x:c r="F410" s="36" t="n">
        <x:v>2</x:v>
      </x:c>
      <x:c r="G410" s="36" t="n">
        <x:v>5</x:v>
      </x:c>
      <x:c r="H410" s="34" t="str">
        <x:v>cycle-observation</x:v>
      </x:c>
      <x:c r="I410" s="36" t="n">
        <x:v>2</x:v>
      </x:c>
      <x:c r="J410" s="34" t="str">
        <x:v>tomcat-findleaks-occurrence</x:v>
      </x:c>
      <x:c r="K410" s="34" t="str">
        <x:v>afterFinalUndeploy.tomcatFindLeaksOccurrences</x:v>
      </x:c>
      <x:c r="L410" s="36" t="n">
        <x:v>9</x:v>
      </x:c>
      <x:c r="M410" s="34" t="str">
        <x:v>/jcs321</x:v>
      </x:c>
      <x:c r="N410" s="44" t="str">
        <x:v>/jcs321</x:v>
      </x:c>
    </x:row>
    <x:row r="411">
      <x:c r="A411" s="36" t="n">
        <x:v>410</x:v>
      </x:c>
      <x:c r="B411" s="34" t="str">
        <x:v>article1-unified-v4-2-fb3f101b-20260903-000401-default-f02-p6-jcs321</x:v>
      </x:c>
      <x:c r="C411" s="34" t="str">
        <x:v>default</x:v>
      </x:c>
      <x:c r="D411" s="34" t="str">
        <x:v>jcs321</x:v>
      </x:c>
      <x:c r="E411" s="36" t="n">
        <x:v>2</x:v>
      </x:c>
      <x:c r="F411" s="36" t="n">
        <x:v>2</x:v>
      </x:c>
      <x:c r="G411" s="36" t="n">
        <x:v>5</x:v>
      </x:c>
      <x:c r="H411" s="34" t="str">
        <x:v>cycle-observation</x:v>
      </x:c>
      <x:c r="I411" s="36" t="n">
        <x:v>2</x:v>
      </x:c>
      <x:c r="J411" s="34" t="str">
        <x:v>tomcat-findleaks-occurrence</x:v>
      </x:c>
      <x:c r="K411" s="34" t="str">
        <x:v>afterFinalUndeploy.tomcatFindLeaksOccurrences</x:v>
      </x:c>
      <x:c r="L411" s="36" t="n">
        <x:v>10</x:v>
      </x:c>
      <x:c r="M411" s="34" t="str">
        <x:v>/jcs321</x:v>
      </x:c>
      <x:c r="N411" s="44" t="str">
        <x:v>/jcs321</x:v>
      </x:c>
    </x:row>
    <x:row r="412">
      <x:c r="A412" s="36" t="n">
        <x:v>411</x:v>
      </x:c>
      <x:c r="B412" s="34" t="str">
        <x:v>article1-unified-v4-2-fb3f101b-20260903-000401-default-f03-p1-cache2k</x:v>
      </x:c>
      <x:c r="C412" s="34" t="str">
        <x:v>default</x:v>
      </x:c>
      <x:c r="D412" s="34" t="str">
        <x:v>cache2k</x:v>
      </x:c>
      <x:c r="E412" s="36" t="n">
        <x:v>3</x:v>
      </x:c>
      <x:c r="F412" s="36" t="n">
        <x:v>3</x:v>
      </x:c>
      <x:c r="G412" s="36" t="n">
        <x:v>1</x:v>
      </x:c>
      <x:c r="H412" s="34" t="str">
        <x:v>cycle-observation</x:v>
      </x:c>
      <x:c r="I412" s="36" t="n">
        <x:v>1</x:v>
      </x:c>
      <x:c r="J412" s="34" t="str">
        <x:v>tomcat-findleaks-occurrence</x:v>
      </x:c>
      <x:c r="K412" s="34" t="str">
        <x:v>afterUndeploy.tomcatFindLeaksOccurrences</x:v>
      </x:c>
      <x:c r="L412" s="36" t="n">
        <x:v>1</x:v>
      </x:c>
      <x:c r="M412" s="34" t="str">
        <x:v>/cache2k</x:v>
      </x:c>
      <x:c r="N412" s="44" t="str">
        <x:v>/cache2k</x:v>
      </x:c>
    </x:row>
    <x:row r="413">
      <x:c r="A413" s="36" t="n">
        <x:v>412</x:v>
      </x:c>
      <x:c r="B413" s="34" t="str">
        <x:v>article1-unified-v4-2-fb3f101b-20260903-000401-default-f03-p1-cache2k</x:v>
      </x:c>
      <x:c r="C413" s="34" t="str">
        <x:v>default</x:v>
      </x:c>
      <x:c r="D413" s="34" t="str">
        <x:v>cache2k</x:v>
      </x:c>
      <x:c r="E413" s="36" t="n">
        <x:v>3</x:v>
      </x:c>
      <x:c r="F413" s="36" t="n">
        <x:v>3</x:v>
      </x:c>
      <x:c r="G413" s="36" t="n">
        <x:v>1</x:v>
      </x:c>
      <x:c r="H413" s="34" t="str">
        <x:v>cycle-observation</x:v>
      </x:c>
      <x:c r="I413" s="36" t="n">
        <x:v>2</x:v>
      </x:c>
      <x:c r="J413" s="34" t="str">
        <x:v>tomcat-findleaks-occurrence</x:v>
      </x:c>
      <x:c r="K413" s="34" t="str">
        <x:v>afterFinalUndeploy.tomcatFindLeaksOccurrences</x:v>
      </x:c>
      <x:c r="L413" s="36" t="n">
        <x:v>1</x:v>
      </x:c>
      <x:c r="M413" s="34" t="str">
        <x:v>/cache2k</x:v>
      </x:c>
      <x:c r="N413" s="44" t="str">
        <x:v>/cache2k</x:v>
      </x:c>
    </x:row>
    <x:row r="414">
      <x:c r="A414" s="36" t="n">
        <x:v>413</x:v>
      </x:c>
      <x:c r="B414" s="34" t="str">
        <x:v>article1-unified-v4-2-fb3f101b-20260903-000401-default-f03-p1-cache2k</x:v>
      </x:c>
      <x:c r="C414" s="34" t="str">
        <x:v>default</x:v>
      </x:c>
      <x:c r="D414" s="34" t="str">
        <x:v>cache2k</x:v>
      </x:c>
      <x:c r="E414" s="36" t="n">
        <x:v>3</x:v>
      </x:c>
      <x:c r="F414" s="36" t="n">
        <x:v>3</x:v>
      </x:c>
      <x:c r="G414" s="36" t="n">
        <x:v>1</x:v>
      </x:c>
      <x:c r="H414" s="34" t="str">
        <x:v>cycle-observation</x:v>
      </x:c>
      <x:c r="I414" s="36" t="n">
        <x:v>2</x:v>
      </x:c>
      <x:c r="J414" s="34" t="str">
        <x:v>tomcat-findleaks-occurrence</x:v>
      </x:c>
      <x:c r="K414" s="34" t="str">
        <x:v>afterFinalUndeploy.tomcatFindLeaksOccurrences</x:v>
      </x:c>
      <x:c r="L414" s="36" t="n">
        <x:v>2</x:v>
      </x:c>
      <x:c r="M414" s="34" t="str">
        <x:v>/cache2k</x:v>
      </x:c>
      <x:c r="N414" s="44" t="str">
        <x:v>/cache2k</x:v>
      </x:c>
    </x:row>
    <x:row r="415">
      <x:c r="A415" s="36" t="n">
        <x:v>414</x:v>
      </x:c>
      <x:c r="B415" s="34" t="str">
        <x:v>article1-unified-v4-2-fb3f101b-20260903-000401-default-f03-p1-cache2k</x:v>
      </x:c>
      <x:c r="C415" s="34" t="str">
        <x:v>default</x:v>
      </x:c>
      <x:c r="D415" s="34" t="str">
        <x:v>cache2k</x:v>
      </x:c>
      <x:c r="E415" s="36" t="n">
        <x:v>3</x:v>
      </x:c>
      <x:c r="F415" s="36" t="n">
        <x:v>3</x:v>
      </x:c>
      <x:c r="G415" s="36" t="n">
        <x:v>2</x:v>
      </x:c>
      <x:c r="H415" s="34" t="str">
        <x:v>cycle-observation</x:v>
      </x:c>
      <x:c r="I415" s="36" t="n">
        <x:v>1</x:v>
      </x:c>
      <x:c r="J415" s="34" t="str">
        <x:v>tomcat-findleaks-occurrence</x:v>
      </x:c>
      <x:c r="K415" s="34" t="str">
        <x:v>afterUndeploy.tomcatFindLeaksOccurrences</x:v>
      </x:c>
      <x:c r="L415" s="36" t="n">
        <x:v>1</x:v>
      </x:c>
      <x:c r="M415" s="34" t="str">
        <x:v>/cache2k</x:v>
      </x:c>
      <x:c r="N415" s="44" t="str">
        <x:v>/cache2k</x:v>
      </x:c>
    </x:row>
    <x:row r="416">
      <x:c r="A416" s="36" t="n">
        <x:v>415</x:v>
      </x:c>
      <x:c r="B416" s="34" t="str">
        <x:v>article1-unified-v4-2-fb3f101b-20260903-000401-default-f03-p1-cache2k</x:v>
      </x:c>
      <x:c r="C416" s="34" t="str">
        <x:v>default</x:v>
      </x:c>
      <x:c r="D416" s="34" t="str">
        <x:v>cache2k</x:v>
      </x:c>
      <x:c r="E416" s="36" t="n">
        <x:v>3</x:v>
      </x:c>
      <x:c r="F416" s="36" t="n">
        <x:v>3</x:v>
      </x:c>
      <x:c r="G416" s="36" t="n">
        <x:v>2</x:v>
      </x:c>
      <x:c r="H416" s="34" t="str">
        <x:v>cycle-observation</x:v>
      </x:c>
      <x:c r="I416" s="36" t="n">
        <x:v>1</x:v>
      </x:c>
      <x:c r="J416" s="34" t="str">
        <x:v>tomcat-findleaks-occurrence</x:v>
      </x:c>
      <x:c r="K416" s="34" t="str">
        <x:v>afterUndeploy.tomcatFindLeaksOccurrences</x:v>
      </x:c>
      <x:c r="L416" s="36" t="n">
        <x:v>2</x:v>
      </x:c>
      <x:c r="M416" s="34" t="str">
        <x:v>/cache2k</x:v>
      </x:c>
      <x:c r="N416" s="44" t="str">
        <x:v>/cache2k</x:v>
      </x:c>
    </x:row>
    <x:row r="417">
      <x:c r="A417" s="36" t="n">
        <x:v>416</x:v>
      </x:c>
      <x:c r="B417" s="34" t="str">
        <x:v>article1-unified-v4-2-fb3f101b-20260903-000401-default-f03-p1-cache2k</x:v>
      </x:c>
      <x:c r="C417" s="34" t="str">
        <x:v>default</x:v>
      </x:c>
      <x:c r="D417" s="34" t="str">
        <x:v>cache2k</x:v>
      </x:c>
      <x:c r="E417" s="36" t="n">
        <x:v>3</x:v>
      </x:c>
      <x:c r="F417" s="36" t="n">
        <x:v>3</x:v>
      </x:c>
      <x:c r="G417" s="36" t="n">
        <x:v>2</x:v>
      </x:c>
      <x:c r="H417" s="34" t="str">
        <x:v>cycle-observation</x:v>
      </x:c>
      <x:c r="I417" s="36" t="n">
        <x:v>2</x:v>
      </x:c>
      <x:c r="J417" s="34" t="str">
        <x:v>tomcat-findleaks-occurrence</x:v>
      </x:c>
      <x:c r="K417" s="34" t="str">
        <x:v>afterFinalUndeploy.tomcatFindLeaksOccurrences</x:v>
      </x:c>
      <x:c r="L417" s="36" t="n">
        <x:v>1</x:v>
      </x:c>
      <x:c r="M417" s="34" t="str">
        <x:v>/cache2k</x:v>
      </x:c>
      <x:c r="N417" s="44" t="str">
        <x:v>/cache2k</x:v>
      </x:c>
    </x:row>
    <x:row r="418">
      <x:c r="A418" s="36" t="n">
        <x:v>417</x:v>
      </x:c>
      <x:c r="B418" s="34" t="str">
        <x:v>article1-unified-v4-2-fb3f101b-20260903-000401-default-f03-p1-cache2k</x:v>
      </x:c>
      <x:c r="C418" s="34" t="str">
        <x:v>default</x:v>
      </x:c>
      <x:c r="D418" s="34" t="str">
        <x:v>cache2k</x:v>
      </x:c>
      <x:c r="E418" s="36" t="n">
        <x:v>3</x:v>
      </x:c>
      <x:c r="F418" s="36" t="n">
        <x:v>3</x:v>
      </x:c>
      <x:c r="G418" s="36" t="n">
        <x:v>3</x:v>
      </x:c>
      <x:c r="H418" s="34" t="str">
        <x:v>cycle-observation</x:v>
      </x:c>
      <x:c r="I418" s="36" t="n">
        <x:v>1</x:v>
      </x:c>
      <x:c r="J418" s="34" t="str">
        <x:v>tomcat-findleaks-occurrence</x:v>
      </x:c>
      <x:c r="K418" s="34" t="str">
        <x:v>afterUndeploy.tomcatFindLeaksOccurrences</x:v>
      </x:c>
      <x:c r="L418" s="36" t="n">
        <x:v>1</x:v>
      </x:c>
      <x:c r="M418" s="34" t="str">
        <x:v>/cache2k</x:v>
      </x:c>
      <x:c r="N418" s="44" t="str">
        <x:v>/cache2k</x:v>
      </x:c>
    </x:row>
    <x:row r="419">
      <x:c r="A419" s="36" t="n">
        <x:v>418</x:v>
      </x:c>
      <x:c r="B419" s="34" t="str">
        <x:v>article1-unified-v4-2-fb3f101b-20260903-000401-default-f03-p1-cache2k</x:v>
      </x:c>
      <x:c r="C419" s="34" t="str">
        <x:v>default</x:v>
      </x:c>
      <x:c r="D419" s="34" t="str">
        <x:v>cache2k</x:v>
      </x:c>
      <x:c r="E419" s="36" t="n">
        <x:v>3</x:v>
      </x:c>
      <x:c r="F419" s="36" t="n">
        <x:v>3</x:v>
      </x:c>
      <x:c r="G419" s="36" t="n">
        <x:v>3</x:v>
      </x:c>
      <x:c r="H419" s="34" t="str">
        <x:v>cycle-observation</x:v>
      </x:c>
      <x:c r="I419" s="36" t="n">
        <x:v>2</x:v>
      </x:c>
      <x:c r="J419" s="34" t="str">
        <x:v>tomcat-findleaks-occurrence</x:v>
      </x:c>
      <x:c r="K419" s="34" t="str">
        <x:v>afterFinalUndeploy.tomcatFindLeaksOccurrences</x:v>
      </x:c>
      <x:c r="L419" s="36" t="n">
        <x:v>1</x:v>
      </x:c>
      <x:c r="M419" s="34" t="str">
        <x:v>/cache2k</x:v>
      </x:c>
      <x:c r="N419" s="44" t="str">
        <x:v>/cache2k</x:v>
      </x:c>
    </x:row>
    <x:row r="420">
      <x:c r="A420" s="36" t="n">
        <x:v>419</x:v>
      </x:c>
      <x:c r="B420" s="34" t="str">
        <x:v>article1-unified-v4-2-fb3f101b-20260903-000401-default-f03-p1-cache2k</x:v>
      </x:c>
      <x:c r="C420" s="34" t="str">
        <x:v>default</x:v>
      </x:c>
      <x:c r="D420" s="34" t="str">
        <x:v>cache2k</x:v>
      </x:c>
      <x:c r="E420" s="36" t="n">
        <x:v>3</x:v>
      </x:c>
      <x:c r="F420" s="36" t="n">
        <x:v>3</x:v>
      </x:c>
      <x:c r="G420" s="36" t="n">
        <x:v>4</x:v>
      </x:c>
      <x:c r="H420" s="34" t="str">
        <x:v>cycle-observation</x:v>
      </x:c>
      <x:c r="I420" s="36" t="n">
        <x:v>1</x:v>
      </x:c>
      <x:c r="J420" s="34" t="str">
        <x:v>tomcat-findleaks-occurrence</x:v>
      </x:c>
      <x:c r="K420" s="34" t="str">
        <x:v>afterUndeploy.tomcatFindLeaksOccurrences</x:v>
      </x:c>
      <x:c r="L420" s="36" t="n">
        <x:v>1</x:v>
      </x:c>
      <x:c r="M420" s="34" t="str">
        <x:v>/cache2k</x:v>
      </x:c>
      <x:c r="N420" s="44" t="str">
        <x:v>/cache2k</x:v>
      </x:c>
    </x:row>
    <x:row r="421">
      <x:c r="A421" s="36" t="n">
        <x:v>420</x:v>
      </x:c>
      <x:c r="B421" s="34" t="str">
        <x:v>article1-unified-v4-2-fb3f101b-20260903-000401-default-f03-p1-cache2k</x:v>
      </x:c>
      <x:c r="C421" s="34" t="str">
        <x:v>default</x:v>
      </x:c>
      <x:c r="D421" s="34" t="str">
        <x:v>cache2k</x:v>
      </x:c>
      <x:c r="E421" s="36" t="n">
        <x:v>3</x:v>
      </x:c>
      <x:c r="F421" s="36" t="n">
        <x:v>3</x:v>
      </x:c>
      <x:c r="G421" s="36" t="n">
        <x:v>4</x:v>
      </x:c>
      <x:c r="H421" s="34" t="str">
        <x:v>cycle-observation</x:v>
      </x:c>
      <x:c r="I421" s="36" t="n">
        <x:v>2</x:v>
      </x:c>
      <x:c r="J421" s="34" t="str">
        <x:v>tomcat-findleaks-occurrence</x:v>
      </x:c>
      <x:c r="K421" s="34" t="str">
        <x:v>afterFinalUndeploy.tomcatFindLeaksOccurrences</x:v>
      </x:c>
      <x:c r="L421" s="36" t="n">
        <x:v>1</x:v>
      </x:c>
      <x:c r="M421" s="34" t="str">
        <x:v>/cache2k</x:v>
      </x:c>
      <x:c r="N421" s="44" t="str">
        <x:v>/cache2k</x:v>
      </x:c>
    </x:row>
    <x:row r="422">
      <x:c r="A422" s="36" t="n">
        <x:v>421</x:v>
      </x:c>
      <x:c r="B422" s="34" t="str">
        <x:v>article1-unified-v4-2-fb3f101b-20260903-000401-default-f03-p1-cache2k</x:v>
      </x:c>
      <x:c r="C422" s="34" t="str">
        <x:v>default</x:v>
      </x:c>
      <x:c r="D422" s="34" t="str">
        <x:v>cache2k</x:v>
      </x:c>
      <x:c r="E422" s="36" t="n">
        <x:v>3</x:v>
      </x:c>
      <x:c r="F422" s="36" t="n">
        <x:v>3</x:v>
      </x:c>
      <x:c r="G422" s="36" t="n">
        <x:v>5</x:v>
      </x:c>
      <x:c r="H422" s="34" t="str">
        <x:v>cycle-observation</x:v>
      </x:c>
      <x:c r="I422" s="36" t="n">
        <x:v>1</x:v>
      </x:c>
      <x:c r="J422" s="34" t="str">
        <x:v>tomcat-findleaks-occurrence</x:v>
      </x:c>
      <x:c r="K422" s="34" t="str">
        <x:v>afterUndeploy.tomcatFindLeaksOccurrences</x:v>
      </x:c>
      <x:c r="L422" s="36" t="n">
        <x:v>1</x:v>
      </x:c>
      <x:c r="M422" s="34" t="str">
        <x:v>/cache2k</x:v>
      </x:c>
      <x:c r="N422" s="44" t="str">
        <x:v>/cache2k</x:v>
      </x:c>
    </x:row>
    <x:row r="423">
      <x:c r="A423" s="36" t="n">
        <x:v>422</x:v>
      </x:c>
      <x:c r="B423" s="34" t="str">
        <x:v>article1-unified-v4-2-fb3f101b-20260903-000401-default-f03-p1-cache2k</x:v>
      </x:c>
      <x:c r="C423" s="34" t="str">
        <x:v>default</x:v>
      </x:c>
      <x:c r="D423" s="34" t="str">
        <x:v>cache2k</x:v>
      </x:c>
      <x:c r="E423" s="36" t="n">
        <x:v>3</x:v>
      </x:c>
      <x:c r="F423" s="36" t="n">
        <x:v>3</x:v>
      </x:c>
      <x:c r="G423" s="36" t="n">
        <x:v>5</x:v>
      </x:c>
      <x:c r="H423" s="34" t="str">
        <x:v>cycle-observation</x:v>
      </x:c>
      <x:c r="I423" s="36" t="n">
        <x:v>2</x:v>
      </x:c>
      <x:c r="J423" s="34" t="str">
        <x:v>tomcat-findleaks-occurrence</x:v>
      </x:c>
      <x:c r="K423" s="34" t="str">
        <x:v>afterFinalUndeploy.tomcatFindLeaksOccurrences</x:v>
      </x:c>
      <x:c r="L423" s="36" t="n">
        <x:v>1</x:v>
      </x:c>
      <x:c r="M423" s="34" t="str">
        <x:v>/cache2k</x:v>
      </x:c>
      <x:c r="N423" s="44" t="str">
        <x:v>/cache2k</x:v>
      </x:c>
    </x:row>
    <x:row r="424">
      <x:c r="A424" s="36" t="n">
        <x:v>423</x:v>
      </x:c>
      <x:c r="B424" s="34" t="str">
        <x:v>article1-unified-v4-2-fb3f101b-20260903-000401-default-f03-p2-jcs4</x:v>
      </x:c>
      <x:c r="C424" s="34" t="str">
        <x:v>default</x:v>
      </x:c>
      <x:c r="D424" s="34" t="str">
        <x:v>jcs4</x:v>
      </x:c>
      <x:c r="E424" s="36" t="n">
        <x:v>3</x:v>
      </x:c>
      <x:c r="F424" s="36" t="n">
        <x:v>3</x:v>
      </x:c>
      <x:c r="G424" s="36"/>
      <x:c r="H424" s="34" t="str">
        <x:v>process-run-aggregate</x:v>
      </x:c>
      <x:c r="I424" s="36"/>
      <x:c r="J424" s="34" t="str">
        <x:v>warning</x:v>
      </x:c>
      <x:c r="K424" s="34" t="str">
        <x:v>warnings</x:v>
      </x:c>
      <x:c r="L424" s="36" t="n">
        <x:v>1</x:v>
      </x:c>
      <x:c r="M424" s="34"/>
      <x:c r="N424" s="44" t="str">
        <x:v>02-Sep-2026 23:56:13.755 WARNING [http-nio-8080-exec-1] org.apache.commons.jcs4.log.SystemLogAdapter.log Could not register JMX bean.</x:v>
      </x:c>
    </x:row>
    <x:row r="425">
      <x:c r="A425" s="36" t="n">
        <x:v>424</x:v>
      </x:c>
      <x:c r="B425" s="34" t="str">
        <x:v>article1-unified-v4-2-fb3f101b-20260903-000401-default-f03-p2-jcs4</x:v>
      </x:c>
      <x:c r="C425" s="34" t="str">
        <x:v>default</x:v>
      </x:c>
      <x:c r="D425" s="34" t="str">
        <x:v>jcs4</x:v>
      </x:c>
      <x:c r="E425" s="36" t="n">
        <x:v>3</x:v>
      </x:c>
      <x:c r="F425" s="36" t="n">
        <x:v>3</x:v>
      </x:c>
      <x:c r="G425" s="36"/>
      <x:c r="H425" s="34" t="str">
        <x:v>process-run-aggregate</x:v>
      </x:c>
      <x:c r="I425" s="36"/>
      <x:c r="J425" s="34" t="str">
        <x:v>warning</x:v>
      </x:c>
      <x:c r="K425" s="34" t="str">
        <x:v>warnings</x:v>
      </x:c>
      <x:c r="L425" s="36" t="n">
        <x:v>2</x:v>
      </x:c>
      <x:c r="M425" s="34"/>
      <x:c r="N425" s="44" t="str">
        <x:v>02-Sep-2026 23:56:13.784 WARNING [http-nio-8080-exec-1] org.apache.commons.jcs4.log.SystemLogAdapter.log Skipping empty auxiliary name</x:v>
      </x:c>
    </x:row>
    <x:row r="426">
      <x:c r="A426" s="36" t="n">
        <x:v>425</x:v>
      </x:c>
      <x:c r="B426" s="34" t="str">
        <x:v>article1-unified-v4-2-fb3f101b-20260903-000401-default-f03-p2-jcs4</x:v>
      </x:c>
      <x:c r="C426" s="34" t="str">
        <x:v>default</x:v>
      </x:c>
      <x:c r="D426" s="34" t="str">
        <x:v>jcs4</x:v>
      </x:c>
      <x:c r="E426" s="36" t="n">
        <x:v>3</x:v>
      </x:c>
      <x:c r="F426" s="36" t="n">
        <x:v>3</x:v>
      </x:c>
      <x:c r="G426" s="36"/>
      <x:c r="H426" s="34" t="str">
        <x:v>process-run-aggregate</x:v>
      </x:c>
      <x:c r="I426" s="36"/>
      <x:c r="J426" s="34" t="str">
        <x:v>warning</x:v>
      </x:c>
      <x:c r="K426" s="34" t="str">
        <x:v>warnings</x:v>
      </x:c>
      <x:c r="L426" s="36" t="n">
        <x:v>3</x:v>
      </x:c>
      <x:c r="M426" s="34"/>
      <x:c r="N426" s="44" t="str">
        <x:v>02-Sep-2026 23:56:56.637 WARNING [http-nio-8080-exec-3] org.apache.commons.jcs4.log.SystemLogAdapter.log Could not register JMX bean.</x:v>
      </x:c>
    </x:row>
    <x:row r="427">
      <x:c r="A427" s="36" t="n">
        <x:v>426</x:v>
      </x:c>
      <x:c r="B427" s="34" t="str">
        <x:v>article1-unified-v4-2-fb3f101b-20260903-000401-default-f03-p2-jcs4</x:v>
      </x:c>
      <x:c r="C427" s="34" t="str">
        <x:v>default</x:v>
      </x:c>
      <x:c r="D427" s="34" t="str">
        <x:v>jcs4</x:v>
      </x:c>
      <x:c r="E427" s="36" t="n">
        <x:v>3</x:v>
      </x:c>
      <x:c r="F427" s="36" t="n">
        <x:v>3</x:v>
      </x:c>
      <x:c r="G427" s="36"/>
      <x:c r="H427" s="34" t="str">
        <x:v>process-run-aggregate</x:v>
      </x:c>
      <x:c r="I427" s="36"/>
      <x:c r="J427" s="34" t="str">
        <x:v>warning</x:v>
      </x:c>
      <x:c r="K427" s="34" t="str">
        <x:v>warnings</x:v>
      </x:c>
      <x:c r="L427" s="36" t="n">
        <x:v>4</x:v>
      </x:c>
      <x:c r="M427" s="34"/>
      <x:c r="N427" s="44" t="str">
        <x:v>02-Sep-2026 23:56:56.663 WARNING [http-nio-8080-exec-3] org.apache.commons.jcs4.log.SystemLogAdapter.log Skipping empty auxiliary name</x:v>
      </x:c>
    </x:row>
    <x:row r="428">
      <x:c r="A428" s="36" t="n">
        <x:v>427</x:v>
      </x:c>
      <x:c r="B428" s="34" t="str">
        <x:v>article1-unified-v4-2-fb3f101b-20260903-000401-default-f03-p2-jcs4</x:v>
      </x:c>
      <x:c r="C428" s="34" t="str">
        <x:v>default</x:v>
      </x:c>
      <x:c r="D428" s="34" t="str">
        <x:v>jcs4</x:v>
      </x:c>
      <x:c r="E428" s="36" t="n">
        <x:v>3</x:v>
      </x:c>
      <x:c r="F428" s="36" t="n">
        <x:v>3</x:v>
      </x:c>
      <x:c r="G428" s="36"/>
      <x:c r="H428" s="34" t="str">
        <x:v>process-run-aggregate</x:v>
      </x:c>
      <x:c r="I428" s="36"/>
      <x:c r="J428" s="34" t="str">
        <x:v>warning</x:v>
      </x:c>
      <x:c r="K428" s="34" t="str">
        <x:v>warnings</x:v>
      </x:c>
      <x:c r="L428" s="36" t="n">
        <x:v>5</x:v>
      </x:c>
      <x:c r="M428" s="34"/>
      <x:c r="N428" s="44" t="str">
        <x:v>02-Sep-2026 23:57:42.566 WARNING [http-nio-8080-exec-12] org.apache.commons.jcs4.log.SystemLogAdapter.log Could not register JMX bean.</x:v>
      </x:c>
    </x:row>
    <x:row r="429">
      <x:c r="A429" s="36" t="n">
        <x:v>428</x:v>
      </x:c>
      <x:c r="B429" s="34" t="str">
        <x:v>article1-unified-v4-2-fb3f101b-20260903-000401-default-f03-p2-jcs4</x:v>
      </x:c>
      <x:c r="C429" s="34" t="str">
        <x:v>default</x:v>
      </x:c>
      <x:c r="D429" s="34" t="str">
        <x:v>jcs4</x:v>
      </x:c>
      <x:c r="E429" s="36" t="n">
        <x:v>3</x:v>
      </x:c>
      <x:c r="F429" s="36" t="n">
        <x:v>3</x:v>
      </x:c>
      <x:c r="G429" s="36"/>
      <x:c r="H429" s="34" t="str">
        <x:v>process-run-aggregate</x:v>
      </x:c>
      <x:c r="I429" s="36"/>
      <x:c r="J429" s="34" t="str">
        <x:v>warning</x:v>
      </x:c>
      <x:c r="K429" s="34" t="str">
        <x:v>warnings</x:v>
      </x:c>
      <x:c r="L429" s="36" t="n">
        <x:v>6</x:v>
      </x:c>
      <x:c r="M429" s="34"/>
      <x:c r="N429" s="44" t="str">
        <x:v>02-Sep-2026 23:57:42.583 WARNING [http-nio-8080-exec-12] org.apache.commons.jcs4.log.SystemLogAdapter.log Skipping empty auxiliary name</x:v>
      </x:c>
    </x:row>
    <x:row r="430">
      <x:c r="A430" s="36" t="n">
        <x:v>429</x:v>
      </x:c>
      <x:c r="B430" s="34" t="str">
        <x:v>article1-unified-v4-2-fb3f101b-20260903-000401-default-f03-p2-jcs4</x:v>
      </x:c>
      <x:c r="C430" s="34" t="str">
        <x:v>default</x:v>
      </x:c>
      <x:c r="D430" s="34" t="str">
        <x:v>jcs4</x:v>
      </x:c>
      <x:c r="E430" s="36" t="n">
        <x:v>3</x:v>
      </x:c>
      <x:c r="F430" s="36" t="n">
        <x:v>3</x:v>
      </x:c>
      <x:c r="G430" s="36"/>
      <x:c r="H430" s="34" t="str">
        <x:v>process-run-aggregate</x:v>
      </x:c>
      <x:c r="I430" s="36"/>
      <x:c r="J430" s="34" t="str">
        <x:v>warning</x:v>
      </x:c>
      <x:c r="K430" s="34" t="str">
        <x:v>warnings</x:v>
      </x:c>
      <x:c r="L430" s="36" t="n">
        <x:v>7</x:v>
      </x:c>
      <x:c r="M430" s="34"/>
      <x:c r="N430" s="44" t="str">
        <x:v>02-Sep-2026 23:58:25.537 WARNING [http-nio-8080-exec-11] org.apache.commons.jcs4.log.SystemLogAdapter.log Could not register JMX bean.</x:v>
      </x:c>
    </x:row>
    <x:row r="431">
      <x:c r="A431" s="36" t="n">
        <x:v>430</x:v>
      </x:c>
      <x:c r="B431" s="34" t="str">
        <x:v>article1-unified-v4-2-fb3f101b-20260903-000401-default-f03-p2-jcs4</x:v>
      </x:c>
      <x:c r="C431" s="34" t="str">
        <x:v>default</x:v>
      </x:c>
      <x:c r="D431" s="34" t="str">
        <x:v>jcs4</x:v>
      </x:c>
      <x:c r="E431" s="36" t="n">
        <x:v>3</x:v>
      </x:c>
      <x:c r="F431" s="36" t="n">
        <x:v>3</x:v>
      </x:c>
      <x:c r="G431" s="36"/>
      <x:c r="H431" s="34" t="str">
        <x:v>process-run-aggregate</x:v>
      </x:c>
      <x:c r="I431" s="36"/>
      <x:c r="J431" s="34" t="str">
        <x:v>warning</x:v>
      </x:c>
      <x:c r="K431" s="34" t="str">
        <x:v>warnings</x:v>
      </x:c>
      <x:c r="L431" s="36" t="n">
        <x:v>8</x:v>
      </x:c>
      <x:c r="M431" s="34"/>
      <x:c r="N431" s="44" t="str">
        <x:v>02-Sep-2026 23:58:25.558 WARNING [http-nio-8080-exec-11] org.apache.commons.jcs4.log.SystemLogAdapter.log Skipping empty auxiliary name</x:v>
      </x:c>
    </x:row>
    <x:row r="432">
      <x:c r="A432" s="36" t="n">
        <x:v>431</x:v>
      </x:c>
      <x:c r="B432" s="34" t="str">
        <x:v>article1-unified-v4-2-fb3f101b-20260903-000401-default-f03-p2-jcs4</x:v>
      </x:c>
      <x:c r="C432" s="34" t="str">
        <x:v>default</x:v>
      </x:c>
      <x:c r="D432" s="34" t="str">
        <x:v>jcs4</x:v>
      </x:c>
      <x:c r="E432" s="36" t="n">
        <x:v>3</x:v>
      </x:c>
      <x:c r="F432" s="36" t="n">
        <x:v>3</x:v>
      </x:c>
      <x:c r="G432" s="36"/>
      <x:c r="H432" s="34" t="str">
        <x:v>process-run-aggregate</x:v>
      </x:c>
      <x:c r="I432" s="36"/>
      <x:c r="J432" s="34" t="str">
        <x:v>warning</x:v>
      </x:c>
      <x:c r="K432" s="34" t="str">
        <x:v>warnings</x:v>
      </x:c>
      <x:c r="L432" s="36" t="n">
        <x:v>9</x:v>
      </x:c>
      <x:c r="M432" s="34"/>
      <x:c r="N432" s="44" t="str">
        <x:v>02-Sep-2026 23:59:11.620 WARNING [http-nio-8080-exec-24] org.apache.commons.jcs4.log.SystemLogAdapter.log Could not register JMX bean.</x:v>
      </x:c>
    </x:row>
    <x:row r="433">
      <x:c r="A433" s="36" t="n">
        <x:v>432</x:v>
      </x:c>
      <x:c r="B433" s="34" t="str">
        <x:v>article1-unified-v4-2-fb3f101b-20260903-000401-default-f03-p2-jcs4</x:v>
      </x:c>
      <x:c r="C433" s="34" t="str">
        <x:v>default</x:v>
      </x:c>
      <x:c r="D433" s="34" t="str">
        <x:v>jcs4</x:v>
      </x:c>
      <x:c r="E433" s="36" t="n">
        <x:v>3</x:v>
      </x:c>
      <x:c r="F433" s="36" t="n">
        <x:v>3</x:v>
      </x:c>
      <x:c r="G433" s="36"/>
      <x:c r="H433" s="34" t="str">
        <x:v>process-run-aggregate</x:v>
      </x:c>
      <x:c r="I433" s="36"/>
      <x:c r="J433" s="34" t="str">
        <x:v>warning</x:v>
      </x:c>
      <x:c r="K433" s="34" t="str">
        <x:v>warnings</x:v>
      </x:c>
      <x:c r="L433" s="36" t="n">
        <x:v>10</x:v>
      </x:c>
      <x:c r="M433" s="34"/>
      <x:c r="N433" s="44" t="str">
        <x:v>02-Sep-2026 23:59:11.639 WARNING [http-nio-8080-exec-24] org.apache.commons.jcs4.log.SystemLogAdapter.log Skipping empty auxiliary name</x:v>
      </x:c>
    </x:row>
    <x:row r="434">
      <x:c r="A434" s="36" t="n">
        <x:v>433</x:v>
      </x:c>
      <x:c r="B434" s="34" t="str">
        <x:v>article1-unified-v4-2-fb3f101b-20260903-000401-default-f03-p2-jcs4</x:v>
      </x:c>
      <x:c r="C434" s="34" t="str">
        <x:v>default</x:v>
      </x:c>
      <x:c r="D434" s="34" t="str">
        <x:v>jcs4</x:v>
      </x:c>
      <x:c r="E434" s="36" t="n">
        <x:v>3</x:v>
      </x:c>
      <x:c r="F434" s="36" t="n">
        <x:v>3</x:v>
      </x:c>
      <x:c r="G434" s="36"/>
      <x:c r="H434" s="34" t="str">
        <x:v>process-run-aggregate</x:v>
      </x:c>
      <x:c r="I434" s="36"/>
      <x:c r="J434" s="34" t="str">
        <x:v>warning</x:v>
      </x:c>
      <x:c r="K434" s="34" t="str">
        <x:v>warnings</x:v>
      </x:c>
      <x:c r="L434" s="36" t="n">
        <x:v>11</x:v>
      </x:c>
      <x:c r="M434" s="34"/>
      <x:c r="N434" s="44" t="str">
        <x:v>02-Sep-2026 23:59:54.510 WARNING [http-nio-8080-exec-25] org.apache.commons.jcs4.log.SystemLogAdapter.log Could not register JMX bean.</x:v>
      </x:c>
    </x:row>
    <x:row r="435">
      <x:c r="A435" s="36" t="n">
        <x:v>434</x:v>
      </x:c>
      <x:c r="B435" s="34" t="str">
        <x:v>article1-unified-v4-2-fb3f101b-20260903-000401-default-f03-p2-jcs4</x:v>
      </x:c>
      <x:c r="C435" s="34" t="str">
        <x:v>default</x:v>
      </x:c>
      <x:c r="D435" s="34" t="str">
        <x:v>jcs4</x:v>
      </x:c>
      <x:c r="E435" s="36" t="n">
        <x:v>3</x:v>
      </x:c>
      <x:c r="F435" s="36" t="n">
        <x:v>3</x:v>
      </x:c>
      <x:c r="G435" s="36"/>
      <x:c r="H435" s="34" t="str">
        <x:v>process-run-aggregate</x:v>
      </x:c>
      <x:c r="I435" s="36"/>
      <x:c r="J435" s="34" t="str">
        <x:v>warning</x:v>
      </x:c>
      <x:c r="K435" s="34" t="str">
        <x:v>warnings</x:v>
      </x:c>
      <x:c r="L435" s="36" t="n">
        <x:v>12</x:v>
      </x:c>
      <x:c r="M435" s="34"/>
      <x:c r="N435" s="44" t="str">
        <x:v>02-Sep-2026 23:59:54.528 WARNING [http-nio-8080-exec-25] org.apache.commons.jcs4.log.SystemLogAdapter.log Skipping empty auxiliary name</x:v>
      </x:c>
    </x:row>
    <x:row r="436">
      <x:c r="A436" s="36" t="n">
        <x:v>435</x:v>
      </x:c>
      <x:c r="B436" s="34" t="str">
        <x:v>article1-unified-v4-2-fb3f101b-20260903-000401-default-f03-p2-jcs4</x:v>
      </x:c>
      <x:c r="C436" s="34" t="str">
        <x:v>default</x:v>
      </x:c>
      <x:c r="D436" s="34" t="str">
        <x:v>jcs4</x:v>
      </x:c>
      <x:c r="E436" s="36" t="n">
        <x:v>3</x:v>
      </x:c>
      <x:c r="F436" s="36" t="n">
        <x:v>3</x:v>
      </x:c>
      <x:c r="G436" s="36"/>
      <x:c r="H436" s="34" t="str">
        <x:v>process-run-aggregate</x:v>
      </x:c>
      <x:c r="I436" s="36"/>
      <x:c r="J436" s="34" t="str">
        <x:v>warning</x:v>
      </x:c>
      <x:c r="K436" s="34" t="str">
        <x:v>warnings</x:v>
      </x:c>
      <x:c r="L436" s="36" t="n">
        <x:v>13</x:v>
      </x:c>
      <x:c r="M436" s="34"/>
      <x:c r="N436" s="44" t="str">
        <x:v>03-Sep-2026 00:00:39.979 WARNING [http-nio-8080-exec-37] org.apache.commons.jcs4.log.SystemLogAdapter.log Could not register JMX bean.</x:v>
      </x:c>
    </x:row>
    <x:row r="437">
      <x:c r="A437" s="36" t="n">
        <x:v>436</x:v>
      </x:c>
      <x:c r="B437" s="34" t="str">
        <x:v>article1-unified-v4-2-fb3f101b-20260903-000401-default-f03-p2-jcs4</x:v>
      </x:c>
      <x:c r="C437" s="34" t="str">
        <x:v>default</x:v>
      </x:c>
      <x:c r="D437" s="34" t="str">
        <x:v>jcs4</x:v>
      </x:c>
      <x:c r="E437" s="36" t="n">
        <x:v>3</x:v>
      </x:c>
      <x:c r="F437" s="36" t="n">
        <x:v>3</x:v>
      </x:c>
      <x:c r="G437" s="36"/>
      <x:c r="H437" s="34" t="str">
        <x:v>process-run-aggregate</x:v>
      </x:c>
      <x:c r="I437" s="36"/>
      <x:c r="J437" s="34" t="str">
        <x:v>warning</x:v>
      </x:c>
      <x:c r="K437" s="34" t="str">
        <x:v>warnings</x:v>
      </x:c>
      <x:c r="L437" s="36" t="n">
        <x:v>14</x:v>
      </x:c>
      <x:c r="M437" s="34"/>
      <x:c r="N437" s="44" t="str">
        <x:v>03-Sep-2026 00:00:39.991 WARNING [http-nio-8080-exec-37] org.apache.commons.jcs4.log.SystemLogAdapter.log Skipping empty auxiliary name</x:v>
      </x:c>
    </x:row>
    <x:row r="438">
      <x:c r="A438" s="36" t="n">
        <x:v>437</x:v>
      </x:c>
      <x:c r="B438" s="34" t="str">
        <x:v>article1-unified-v4-2-fb3f101b-20260903-000401-default-f03-p2-jcs4</x:v>
      </x:c>
      <x:c r="C438" s="34" t="str">
        <x:v>default</x:v>
      </x:c>
      <x:c r="D438" s="34" t="str">
        <x:v>jcs4</x:v>
      </x:c>
      <x:c r="E438" s="36" t="n">
        <x:v>3</x:v>
      </x:c>
      <x:c r="F438" s="36" t="n">
        <x:v>3</x:v>
      </x:c>
      <x:c r="G438" s="36"/>
      <x:c r="H438" s="34" t="str">
        <x:v>process-run-aggregate</x:v>
      </x:c>
      <x:c r="I438" s="36"/>
      <x:c r="J438" s="34" t="str">
        <x:v>warning</x:v>
      </x:c>
      <x:c r="K438" s="34" t="str">
        <x:v>warnings</x:v>
      </x:c>
      <x:c r="L438" s="36" t="n">
        <x:v>15</x:v>
      </x:c>
      <x:c r="M438" s="34"/>
      <x:c r="N438" s="44" t="str">
        <x:v>03-Sep-2026 00:01:23.475 WARNING [http-nio-8080-exec-43] org.apache.commons.jcs4.log.SystemLogAdapter.log Could not register JMX bean.</x:v>
      </x:c>
    </x:row>
    <x:row r="439">
      <x:c r="A439" s="36" t="n">
        <x:v>438</x:v>
      </x:c>
      <x:c r="B439" s="34" t="str">
        <x:v>article1-unified-v4-2-fb3f101b-20260903-000401-default-f03-p2-jcs4</x:v>
      </x:c>
      <x:c r="C439" s="34" t="str">
        <x:v>default</x:v>
      </x:c>
      <x:c r="D439" s="34" t="str">
        <x:v>jcs4</x:v>
      </x:c>
      <x:c r="E439" s="36" t="n">
        <x:v>3</x:v>
      </x:c>
      <x:c r="F439" s="36" t="n">
        <x:v>3</x:v>
      </x:c>
      <x:c r="G439" s="36"/>
      <x:c r="H439" s="34" t="str">
        <x:v>process-run-aggregate</x:v>
      </x:c>
      <x:c r="I439" s="36"/>
      <x:c r="J439" s="34" t="str">
        <x:v>warning</x:v>
      </x:c>
      <x:c r="K439" s="34" t="str">
        <x:v>warnings</x:v>
      </x:c>
      <x:c r="L439" s="36" t="n">
        <x:v>16</x:v>
      </x:c>
      <x:c r="M439" s="34"/>
      <x:c r="N439" s="44" t="str">
        <x:v>03-Sep-2026 00:01:23.487 WARNING [http-nio-8080-exec-43] org.apache.commons.jcs4.log.SystemLogAdapter.log Skipping empty auxiliary name</x:v>
      </x:c>
    </x:row>
    <x:row r="440">
      <x:c r="A440" s="36" t="n">
        <x:v>439</x:v>
      </x:c>
      <x:c r="B440" s="34" t="str">
        <x:v>article1-unified-v4-2-fb3f101b-20260903-000401-default-f03-p2-jcs4</x:v>
      </x:c>
      <x:c r="C440" s="34" t="str">
        <x:v>default</x:v>
      </x:c>
      <x:c r="D440" s="34" t="str">
        <x:v>jcs4</x:v>
      </x:c>
      <x:c r="E440" s="36" t="n">
        <x:v>3</x:v>
      </x:c>
      <x:c r="F440" s="36" t="n">
        <x:v>3</x:v>
      </x:c>
      <x:c r="G440" s="36"/>
      <x:c r="H440" s="34" t="str">
        <x:v>process-run-aggregate</x:v>
      </x:c>
      <x:c r="I440" s="36"/>
      <x:c r="J440" s="34" t="str">
        <x:v>warning</x:v>
      </x:c>
      <x:c r="K440" s="34" t="str">
        <x:v>warnings</x:v>
      </x:c>
      <x:c r="L440" s="36" t="n">
        <x:v>17</x:v>
      </x:c>
      <x:c r="M440" s="34"/>
      <x:c r="N440" s="44" t="str">
        <x:v>03-Sep-2026 00:02:09.086 WARNING [http-nio-8080-exec-51] org.apache.commons.jcs4.log.SystemLogAdapter.log Could not register JMX bean.</x:v>
      </x:c>
    </x:row>
    <x:row r="441">
      <x:c r="A441" s="36" t="n">
        <x:v>440</x:v>
      </x:c>
      <x:c r="B441" s="34" t="str">
        <x:v>article1-unified-v4-2-fb3f101b-20260903-000401-default-f03-p2-jcs4</x:v>
      </x:c>
      <x:c r="C441" s="34" t="str">
        <x:v>default</x:v>
      </x:c>
      <x:c r="D441" s="34" t="str">
        <x:v>jcs4</x:v>
      </x:c>
      <x:c r="E441" s="36" t="n">
        <x:v>3</x:v>
      </x:c>
      <x:c r="F441" s="36" t="n">
        <x:v>3</x:v>
      </x:c>
      <x:c r="G441" s="36"/>
      <x:c r="H441" s="34" t="str">
        <x:v>process-run-aggregate</x:v>
      </x:c>
      <x:c r="I441" s="36"/>
      <x:c r="J441" s="34" t="str">
        <x:v>warning</x:v>
      </x:c>
      <x:c r="K441" s="34" t="str">
        <x:v>warnings</x:v>
      </x:c>
      <x:c r="L441" s="36" t="n">
        <x:v>18</x:v>
      </x:c>
      <x:c r="M441" s="34"/>
      <x:c r="N441" s="44" t="str">
        <x:v>03-Sep-2026 00:02:09.101 WARNING [http-nio-8080-exec-51] org.apache.commons.jcs4.log.SystemLogAdapter.log Skipping empty auxiliary name</x:v>
      </x:c>
    </x:row>
    <x:row r="442">
      <x:c r="A442" s="36" t="n">
        <x:v>441</x:v>
      </x:c>
      <x:c r="B442" s="34" t="str">
        <x:v>article1-unified-v4-2-fb3f101b-20260903-000401-default-f03-p2-jcs4</x:v>
      </x:c>
      <x:c r="C442" s="34" t="str">
        <x:v>default</x:v>
      </x:c>
      <x:c r="D442" s="34" t="str">
        <x:v>jcs4</x:v>
      </x:c>
      <x:c r="E442" s="36" t="n">
        <x:v>3</x:v>
      </x:c>
      <x:c r="F442" s="36" t="n">
        <x:v>3</x:v>
      </x:c>
      <x:c r="G442" s="36"/>
      <x:c r="H442" s="34" t="str">
        <x:v>process-run-aggregate</x:v>
      </x:c>
      <x:c r="I442" s="36"/>
      <x:c r="J442" s="34" t="str">
        <x:v>warning</x:v>
      </x:c>
      <x:c r="K442" s="34" t="str">
        <x:v>warnings</x:v>
      </x:c>
      <x:c r="L442" s="36" t="n">
        <x:v>19</x:v>
      </x:c>
      <x:c r="M442" s="34"/>
      <x:c r="N442" s="44" t="str">
        <x:v>03-Sep-2026 00:02:52.312 WARNING [http-nio-8080-exec-59] org.apache.commons.jcs4.log.SystemLogAdapter.log Could not register JMX bean.</x:v>
      </x:c>
    </x:row>
    <x:row r="443">
      <x:c r="A443" s="36" t="n">
        <x:v>442</x:v>
      </x:c>
      <x:c r="B443" s="34" t="str">
        <x:v>article1-unified-v4-2-fb3f101b-20260903-000401-default-f03-p2-jcs4</x:v>
      </x:c>
      <x:c r="C443" s="34" t="str">
        <x:v>default</x:v>
      </x:c>
      <x:c r="D443" s="34" t="str">
        <x:v>jcs4</x:v>
      </x:c>
      <x:c r="E443" s="36" t="n">
        <x:v>3</x:v>
      </x:c>
      <x:c r="F443" s="36" t="n">
        <x:v>3</x:v>
      </x:c>
      <x:c r="G443" s="36"/>
      <x:c r="H443" s="34" t="str">
        <x:v>process-run-aggregate</x:v>
      </x:c>
      <x:c r="I443" s="36"/>
      <x:c r="J443" s="34" t="str">
        <x:v>warning</x:v>
      </x:c>
      <x:c r="K443" s="34" t="str">
        <x:v>warnings</x:v>
      </x:c>
      <x:c r="L443" s="36" t="n">
        <x:v>20</x:v>
      </x:c>
      <x:c r="M443" s="34"/>
      <x:c r="N443" s="44" t="str">
        <x:v>03-Sep-2026 00:02:52.333 WARNING [http-nio-8080-exec-59] org.apache.commons.jcs4.log.SystemLogAdapter.log Skipping empty auxiliary name</x:v>
      </x:c>
    </x:row>
    <x:row r="444">
      <x:c r="A444" s="36" t="n">
        <x:v>443</x:v>
      </x:c>
      <x:c r="B444" s="34" t="str">
        <x:v>article1-unified-v4-2-fb3f101b-20260903-000401-default-f03-p2-jcs4</x:v>
      </x:c>
      <x:c r="C444" s="34" t="str">
        <x:v>default</x:v>
      </x:c>
      <x:c r="D444" s="34" t="str">
        <x:v>jcs4</x:v>
      </x:c>
      <x:c r="E444" s="36" t="n">
        <x:v>3</x:v>
      </x:c>
      <x:c r="F444" s="36" t="n">
        <x:v>3</x:v>
      </x:c>
      <x:c r="G444" s="36" t="n">
        <x:v>1</x:v>
      </x:c>
      <x:c r="H444" s="34" t="str">
        <x:v>cycle-observation</x:v>
      </x:c>
      <x:c r="I444" s="36" t="n">
        <x:v>1</x:v>
      </x:c>
      <x:c r="J444" s="34" t="str">
        <x:v>tomcat-findleaks-occurrence</x:v>
      </x:c>
      <x:c r="K444" s="34" t="str">
        <x:v>afterUndeploy.tomcatFindLeaksOccurrences</x:v>
      </x:c>
      <x:c r="L444" s="36" t="n">
        <x:v>1</x:v>
      </x:c>
      <x:c r="M444" s="34" t="str">
        <x:v>/jcs4</x:v>
      </x:c>
      <x:c r="N444" s="44" t="str">
        <x:v>/jcs4</x:v>
      </x:c>
    </x:row>
    <x:row r="445">
      <x:c r="A445" s="36" t="n">
        <x:v>444</x:v>
      </x:c>
      <x:c r="B445" s="34" t="str">
        <x:v>article1-unified-v4-2-fb3f101b-20260903-000401-default-f03-p2-jcs4</x:v>
      </x:c>
      <x:c r="C445" s="34" t="str">
        <x:v>default</x:v>
      </x:c>
      <x:c r="D445" s="34" t="str">
        <x:v>jcs4</x:v>
      </x:c>
      <x:c r="E445" s="36" t="n">
        <x:v>3</x:v>
      </x:c>
      <x:c r="F445" s="36" t="n">
        <x:v>3</x:v>
      </x:c>
      <x:c r="G445" s="36" t="n">
        <x:v>1</x:v>
      </x:c>
      <x:c r="H445" s="34" t="str">
        <x:v>cycle-observation</x:v>
      </x:c>
      <x:c r="I445" s="36" t="n">
        <x:v>2</x:v>
      </x:c>
      <x:c r="J445" s="34" t="str">
        <x:v>tomcat-findleaks-occurrence</x:v>
      </x:c>
      <x:c r="K445" s="34" t="str">
        <x:v>afterFinalUndeploy.tomcatFindLeaksOccurrences</x:v>
      </x:c>
      <x:c r="L445" s="36" t="n">
        <x:v>1</x:v>
      </x:c>
      <x:c r="M445" s="34" t="str">
        <x:v>/jcs4</x:v>
      </x:c>
      <x:c r="N445" s="44" t="str">
        <x:v>/jcs4</x:v>
      </x:c>
    </x:row>
    <x:row r="446">
      <x:c r="A446" s="36" t="n">
        <x:v>445</x:v>
      </x:c>
      <x:c r="B446" s="34" t="str">
        <x:v>article1-unified-v4-2-fb3f101b-20260903-000401-default-f03-p2-jcs4</x:v>
      </x:c>
      <x:c r="C446" s="34" t="str">
        <x:v>default</x:v>
      </x:c>
      <x:c r="D446" s="34" t="str">
        <x:v>jcs4</x:v>
      </x:c>
      <x:c r="E446" s="36" t="n">
        <x:v>3</x:v>
      </x:c>
      <x:c r="F446" s="36" t="n">
        <x:v>3</x:v>
      </x:c>
      <x:c r="G446" s="36" t="n">
        <x:v>2</x:v>
      </x:c>
      <x:c r="H446" s="34" t="str">
        <x:v>cycle-observation</x:v>
      </x:c>
      <x:c r="I446" s="36" t="n">
        <x:v>1</x:v>
      </x:c>
      <x:c r="J446" s="34" t="str">
        <x:v>tomcat-findleaks-occurrence</x:v>
      </x:c>
      <x:c r="K446" s="34" t="str">
        <x:v>afterUndeploy.tomcatFindLeaksOccurrences</x:v>
      </x:c>
      <x:c r="L446" s="36" t="n">
        <x:v>1</x:v>
      </x:c>
      <x:c r="M446" s="34" t="str">
        <x:v>/jcs4</x:v>
      </x:c>
      <x:c r="N446" s="44" t="str">
        <x:v>/jcs4</x:v>
      </x:c>
    </x:row>
    <x:row r="447">
      <x:c r="A447" s="36" t="n">
        <x:v>446</x:v>
      </x:c>
      <x:c r="B447" s="34" t="str">
        <x:v>article1-unified-v4-2-fb3f101b-20260903-000401-default-f03-p2-jcs4</x:v>
      </x:c>
      <x:c r="C447" s="34" t="str">
        <x:v>default</x:v>
      </x:c>
      <x:c r="D447" s="34" t="str">
        <x:v>jcs4</x:v>
      </x:c>
      <x:c r="E447" s="36" t="n">
        <x:v>3</x:v>
      </x:c>
      <x:c r="F447" s="36" t="n">
        <x:v>3</x:v>
      </x:c>
      <x:c r="G447" s="36" t="n">
        <x:v>2</x:v>
      </x:c>
      <x:c r="H447" s="34" t="str">
        <x:v>cycle-observation</x:v>
      </x:c>
      <x:c r="I447" s="36" t="n">
        <x:v>2</x:v>
      </x:c>
      <x:c r="J447" s="34" t="str">
        <x:v>tomcat-findleaks-occurrence</x:v>
      </x:c>
      <x:c r="K447" s="34" t="str">
        <x:v>afterFinalUndeploy.tomcatFindLeaksOccurrences</x:v>
      </x:c>
      <x:c r="L447" s="36" t="n">
        <x:v>1</x:v>
      </x:c>
      <x:c r="M447" s="34" t="str">
        <x:v>/jcs4</x:v>
      </x:c>
      <x:c r="N447" s="44" t="str">
        <x:v>/jcs4</x:v>
      </x:c>
    </x:row>
    <x:row r="448">
      <x:c r="A448" s="36" t="n">
        <x:v>447</x:v>
      </x:c>
      <x:c r="B448" s="34" t="str">
        <x:v>article1-unified-v4-2-fb3f101b-20260903-000401-default-f03-p2-jcs4</x:v>
      </x:c>
      <x:c r="C448" s="34" t="str">
        <x:v>default</x:v>
      </x:c>
      <x:c r="D448" s="34" t="str">
        <x:v>jcs4</x:v>
      </x:c>
      <x:c r="E448" s="36" t="n">
        <x:v>3</x:v>
      </x:c>
      <x:c r="F448" s="36" t="n">
        <x:v>3</x:v>
      </x:c>
      <x:c r="G448" s="36" t="n">
        <x:v>3</x:v>
      </x:c>
      <x:c r="H448" s="34" t="str">
        <x:v>cycle-observation</x:v>
      </x:c>
      <x:c r="I448" s="36" t="n">
        <x:v>1</x:v>
      </x:c>
      <x:c r="J448" s="34" t="str">
        <x:v>tomcat-findleaks-occurrence</x:v>
      </x:c>
      <x:c r="K448" s="34" t="str">
        <x:v>afterUndeploy.tomcatFindLeaksOccurrences</x:v>
      </x:c>
      <x:c r="L448" s="36" t="n">
        <x:v>1</x:v>
      </x:c>
      <x:c r="M448" s="34" t="str">
        <x:v>/jcs4</x:v>
      </x:c>
      <x:c r="N448" s="44" t="str">
        <x:v>/jcs4</x:v>
      </x:c>
    </x:row>
    <x:row r="449">
      <x:c r="A449" s="36" t="n">
        <x:v>448</x:v>
      </x:c>
      <x:c r="B449" s="34" t="str">
        <x:v>article1-unified-v4-2-fb3f101b-20260903-000401-default-f03-p2-jcs4</x:v>
      </x:c>
      <x:c r="C449" s="34" t="str">
        <x:v>default</x:v>
      </x:c>
      <x:c r="D449" s="34" t="str">
        <x:v>jcs4</x:v>
      </x:c>
      <x:c r="E449" s="36" t="n">
        <x:v>3</x:v>
      </x:c>
      <x:c r="F449" s="36" t="n">
        <x:v>3</x:v>
      </x:c>
      <x:c r="G449" s="36" t="n">
        <x:v>3</x:v>
      </x:c>
      <x:c r="H449" s="34" t="str">
        <x:v>cycle-observation</x:v>
      </x:c>
      <x:c r="I449" s="36" t="n">
        <x:v>2</x:v>
      </x:c>
      <x:c r="J449" s="34" t="str">
        <x:v>tomcat-findleaks-occurrence</x:v>
      </x:c>
      <x:c r="K449" s="34" t="str">
        <x:v>afterFinalUndeploy.tomcatFindLeaksOccurrences</x:v>
      </x:c>
      <x:c r="L449" s="36" t="n">
        <x:v>1</x:v>
      </x:c>
      <x:c r="M449" s="34" t="str">
        <x:v>/jcs4</x:v>
      </x:c>
      <x:c r="N449" s="44" t="str">
        <x:v>/jcs4</x:v>
      </x:c>
    </x:row>
    <x:row r="450">
      <x:c r="A450" s="36" t="n">
        <x:v>449</x:v>
      </x:c>
      <x:c r="B450" s="34" t="str">
        <x:v>article1-unified-v4-2-fb3f101b-20260903-000401-default-f03-p2-jcs4</x:v>
      </x:c>
      <x:c r="C450" s="34" t="str">
        <x:v>default</x:v>
      </x:c>
      <x:c r="D450" s="34" t="str">
        <x:v>jcs4</x:v>
      </x:c>
      <x:c r="E450" s="36" t="n">
        <x:v>3</x:v>
      </x:c>
      <x:c r="F450" s="36" t="n">
        <x:v>3</x:v>
      </x:c>
      <x:c r="G450" s="36" t="n">
        <x:v>4</x:v>
      </x:c>
      <x:c r="H450" s="34" t="str">
        <x:v>cycle-observation</x:v>
      </x:c>
      <x:c r="I450" s="36" t="n">
        <x:v>1</x:v>
      </x:c>
      <x:c r="J450" s="34" t="str">
        <x:v>tomcat-findleaks-occurrence</x:v>
      </x:c>
      <x:c r="K450" s="34" t="str">
        <x:v>afterUndeploy.tomcatFindLeaksOccurrences</x:v>
      </x:c>
      <x:c r="L450" s="36" t="n">
        <x:v>1</x:v>
      </x:c>
      <x:c r="M450" s="34" t="str">
        <x:v>/jcs4</x:v>
      </x:c>
      <x:c r="N450" s="44" t="str">
        <x:v>/jcs4</x:v>
      </x:c>
    </x:row>
    <x:row r="451">
      <x:c r="A451" s="36" t="n">
        <x:v>450</x:v>
      </x:c>
      <x:c r="B451" s="34" t="str">
        <x:v>article1-unified-v4-2-fb3f101b-20260903-000401-default-f03-p2-jcs4</x:v>
      </x:c>
      <x:c r="C451" s="34" t="str">
        <x:v>default</x:v>
      </x:c>
      <x:c r="D451" s="34" t="str">
        <x:v>jcs4</x:v>
      </x:c>
      <x:c r="E451" s="36" t="n">
        <x:v>3</x:v>
      </x:c>
      <x:c r="F451" s="36" t="n">
        <x:v>3</x:v>
      </x:c>
      <x:c r="G451" s="36" t="n">
        <x:v>4</x:v>
      </x:c>
      <x:c r="H451" s="34" t="str">
        <x:v>cycle-observation</x:v>
      </x:c>
      <x:c r="I451" s="36" t="n">
        <x:v>2</x:v>
      </x:c>
      <x:c r="J451" s="34" t="str">
        <x:v>tomcat-findleaks-occurrence</x:v>
      </x:c>
      <x:c r="K451" s="34" t="str">
        <x:v>afterFinalUndeploy.tomcatFindLeaksOccurrences</x:v>
      </x:c>
      <x:c r="L451" s="36" t="n">
        <x:v>1</x:v>
      </x:c>
      <x:c r="M451" s="34" t="str">
        <x:v>/jcs4</x:v>
      </x:c>
      <x:c r="N451" s="44" t="str">
        <x:v>/jcs4</x:v>
      </x:c>
    </x:row>
    <x:row r="452">
      <x:c r="A452" s="36" t="n">
        <x:v>451</x:v>
      </x:c>
      <x:c r="B452" s="34" t="str">
        <x:v>article1-unified-v4-2-fb3f101b-20260903-000401-default-f03-p2-jcs4</x:v>
      </x:c>
      <x:c r="C452" s="34" t="str">
        <x:v>default</x:v>
      </x:c>
      <x:c r="D452" s="34" t="str">
        <x:v>jcs4</x:v>
      </x:c>
      <x:c r="E452" s="36" t="n">
        <x:v>3</x:v>
      </x:c>
      <x:c r="F452" s="36" t="n">
        <x:v>3</x:v>
      </x:c>
      <x:c r="G452" s="36" t="n">
        <x:v>5</x:v>
      </x:c>
      <x:c r="H452" s="34" t="str">
        <x:v>cycle-observation</x:v>
      </x:c>
      <x:c r="I452" s="36" t="n">
        <x:v>1</x:v>
      </x:c>
      <x:c r="J452" s="34" t="str">
        <x:v>tomcat-findleaks-occurrence</x:v>
      </x:c>
      <x:c r="K452" s="34" t="str">
        <x:v>afterUndeploy.tomcatFindLeaksOccurrences</x:v>
      </x:c>
      <x:c r="L452" s="36" t="n">
        <x:v>1</x:v>
      </x:c>
      <x:c r="M452" s="34" t="str">
        <x:v>/jcs4</x:v>
      </x:c>
      <x:c r="N452" s="44" t="str">
        <x:v>/jcs4</x:v>
      </x:c>
    </x:row>
    <x:row r="453">
      <x:c r="A453" s="36" t="n">
        <x:v>452</x:v>
      </x:c>
      <x:c r="B453" s="34" t="str">
        <x:v>article1-unified-v4-2-fb3f101b-20260903-000401-default-f03-p2-jcs4</x:v>
      </x:c>
      <x:c r="C453" s="34" t="str">
        <x:v>default</x:v>
      </x:c>
      <x:c r="D453" s="34" t="str">
        <x:v>jcs4</x:v>
      </x:c>
      <x:c r="E453" s="36" t="n">
        <x:v>3</x:v>
      </x:c>
      <x:c r="F453" s="36" t="n">
        <x:v>3</x:v>
      </x:c>
      <x:c r="G453" s="36" t="n">
        <x:v>5</x:v>
      </x:c>
      <x:c r="H453" s="34" t="str">
        <x:v>cycle-observation</x:v>
      </x:c>
      <x:c r="I453" s="36" t="n">
        <x:v>2</x:v>
      </x:c>
      <x:c r="J453" s="34" t="str">
        <x:v>tomcat-findleaks-occurrence</x:v>
      </x:c>
      <x:c r="K453" s="34" t="str">
        <x:v>afterFinalUndeploy.tomcatFindLeaksOccurrences</x:v>
      </x:c>
      <x:c r="L453" s="36" t="n">
        <x:v>1</x:v>
      </x:c>
      <x:c r="M453" s="34" t="str">
        <x:v>/jcs4</x:v>
      </x:c>
      <x:c r="N453" s="44" t="str">
        <x:v>/jcs4</x:v>
      </x:c>
    </x:row>
    <x:row r="454">
      <x:c r="A454" s="36" t="n">
        <x:v>453</x:v>
      </x:c>
      <x:c r="B454" s="34" t="str">
        <x:v>article1-unified-v4-2-fb3f101b-20260903-000401-default-f03-p3-ehcache</x:v>
      </x:c>
      <x:c r="C454" s="34" t="str">
        <x:v>default</x:v>
      </x:c>
      <x:c r="D454" s="34" t="str">
        <x:v>ehcache</x:v>
      </x:c>
      <x:c r="E454" s="36" t="n">
        <x:v>3</x:v>
      </x:c>
      <x:c r="F454" s="36" t="n">
        <x:v>3</x:v>
      </x:c>
      <x:c r="G454" s="36"/>
      <x:c r="H454" s="34" t="str">
        <x:v>process-run-aggregate</x:v>
      </x:c>
      <x:c r="I454" s="36"/>
      <x:c r="J454" s="34" t="str">
        <x:v>warning</x:v>
      </x:c>
      <x:c r="K454" s="34" t="str">
        <x:v>warnings</x:v>
      </x:c>
      <x:c r="L454" s="36" t="n">
        <x:v>1</x:v>
      </x:c>
      <x:c r="M454" s="34"/>
      <x:c r="N454" s="44" t="str">
        <x:v>WARNING: A terminally deprecated method in sun.misc.Unsafe has been called</x:v>
      </x:c>
    </x:row>
    <x:row r="455">
      <x:c r="A455" s="36" t="n">
        <x:v>454</x:v>
      </x:c>
      <x:c r="B455" s="34" t="str">
        <x:v>article1-unified-v4-2-fb3f101b-20260903-000401-default-f03-p3-ehcache</x:v>
      </x:c>
      <x:c r="C455" s="34" t="str">
        <x:v>default</x:v>
      </x:c>
      <x:c r="D455" s="34" t="str">
        <x:v>ehcache</x:v>
      </x:c>
      <x:c r="E455" s="36" t="n">
        <x:v>3</x:v>
      </x:c>
      <x:c r="F455" s="36" t="n">
        <x:v>3</x:v>
      </x:c>
      <x:c r="G455" s="36"/>
      <x:c r="H455" s="34" t="str">
        <x:v>process-run-aggregate</x:v>
      </x:c>
      <x:c r="I455" s="36"/>
      <x:c r="J455" s="34" t="str">
        <x:v>warning</x:v>
      </x:c>
      <x:c r="K455" s="34" t="str">
        <x:v>warnings</x:v>
      </x:c>
      <x:c r="L455" s="36" t="n">
        <x:v>2</x:v>
      </x:c>
      <x:c r="M455" s="34"/>
      <x:c r="N455" s="44" t="str">
        <x:v>WARNING: sun.misc.Unsafe::objectFieldOffset has been called by org.ehcache.impl.internal.concurrent.ThreadLocalRandomUtil (file:/usr/local/tomcat/webapps/ehcache/WEB-INF/lib/ehcache-3.12.0.jar)</x:v>
      </x:c>
    </x:row>
    <x:row r="456">
      <x:c r="A456" s="36" t="n">
        <x:v>455</x:v>
      </x:c>
      <x:c r="B456" s="34" t="str">
        <x:v>article1-unified-v4-2-fb3f101b-20260903-000401-default-f03-p3-ehcache</x:v>
      </x:c>
      <x:c r="C456" s="34" t="str">
        <x:v>default</x:v>
      </x:c>
      <x:c r="D456" s="34" t="str">
        <x:v>ehcache</x:v>
      </x:c>
      <x:c r="E456" s="36" t="n">
        <x:v>3</x:v>
      </x:c>
      <x:c r="F456" s="36" t="n">
        <x:v>3</x:v>
      </x:c>
      <x:c r="G456" s="36"/>
      <x:c r="H456" s="34" t="str">
        <x:v>process-run-aggregate</x:v>
      </x:c>
      <x:c r="I456" s="36"/>
      <x:c r="J456" s="34" t="str">
        <x:v>warning</x:v>
      </x:c>
      <x:c r="K456" s="34" t="str">
        <x:v>warnings</x:v>
      </x:c>
      <x:c r="L456" s="36" t="n">
        <x:v>3</x:v>
      </x:c>
      <x:c r="M456" s="34"/>
      <x:c r="N456" s="44" t="str">
        <x:v>WARNING: Please consider reporting this to the maintainers of class org.ehcache.impl.internal.concurrent.ThreadLocalRandomUtil</x:v>
      </x:c>
    </x:row>
    <x:row r="457">
      <x:c r="A457" s="36" t="n">
        <x:v>456</x:v>
      </x:c>
      <x:c r="B457" s="34" t="str">
        <x:v>article1-unified-v4-2-fb3f101b-20260903-000401-default-f03-p3-ehcache</x:v>
      </x:c>
      <x:c r="C457" s="34" t="str">
        <x:v>default</x:v>
      </x:c>
      <x:c r="D457" s="34" t="str">
        <x:v>ehcache</x:v>
      </x:c>
      <x:c r="E457" s="36" t="n">
        <x:v>3</x:v>
      </x:c>
      <x:c r="F457" s="36" t="n">
        <x:v>3</x:v>
      </x:c>
      <x:c r="G457" s="36"/>
      <x:c r="H457" s="34" t="str">
        <x:v>process-run-aggregate</x:v>
      </x:c>
      <x:c r="I457" s="36"/>
      <x:c r="J457" s="34" t="str">
        <x:v>warning</x:v>
      </x:c>
      <x:c r="K457" s="34" t="str">
        <x:v>warnings</x:v>
      </x:c>
      <x:c r="L457" s="36" t="n">
        <x:v>4</x:v>
      </x:c>
      <x:c r="M457" s="34"/>
      <x:c r="N457" s="44" t="str">
        <x:v>WARNING: sun.misc.Unsafe::objectFieldOffset will be removed in a future release</x:v>
      </x:c>
    </x:row>
    <x:row r="458">
      <x:c r="A458" s="36" t="n">
        <x:v>457</x:v>
      </x:c>
      <x:c r="B458" s="34" t="str">
        <x:v>article1-unified-v4-2-fb3f101b-20260903-000401-default-f03-p3-ehcache</x:v>
      </x:c>
      <x:c r="C458" s="34" t="str">
        <x:v>default</x:v>
      </x:c>
      <x:c r="D458" s="34" t="str">
        <x:v>ehcache</x:v>
      </x:c>
      <x:c r="E458" s="36" t="n">
        <x:v>3</x:v>
      </x:c>
      <x:c r="F458" s="36" t="n">
        <x:v>3</x:v>
      </x:c>
      <x:c r="G458" s="36" t="n">
        <x:v>1</x:v>
      </x:c>
      <x:c r="H458" s="34" t="str">
        <x:v>cycle-observation</x:v>
      </x:c>
      <x:c r="I458" s="36" t="n">
        <x:v>1</x:v>
      </x:c>
      <x:c r="J458" s="34" t="str">
        <x:v>tomcat-findleaks-occurrence</x:v>
      </x:c>
      <x:c r="K458" s="34" t="str">
        <x:v>afterUndeploy.tomcatFindLeaksOccurrences</x:v>
      </x:c>
      <x:c r="L458" s="36" t="n">
        <x:v>1</x:v>
      </x:c>
      <x:c r="M458" s="34" t="str">
        <x:v>/ehcache</x:v>
      </x:c>
      <x:c r="N458" s="44" t="str">
        <x:v>/ehcache</x:v>
      </x:c>
    </x:row>
    <x:row r="459">
      <x:c r="A459" s="36" t="n">
        <x:v>458</x:v>
      </x:c>
      <x:c r="B459" s="34" t="str">
        <x:v>article1-unified-v4-2-fb3f101b-20260903-000401-default-f03-p3-ehcache</x:v>
      </x:c>
      <x:c r="C459" s="34" t="str">
        <x:v>default</x:v>
      </x:c>
      <x:c r="D459" s="34" t="str">
        <x:v>ehcache</x:v>
      </x:c>
      <x:c r="E459" s="36" t="n">
        <x:v>3</x:v>
      </x:c>
      <x:c r="F459" s="36" t="n">
        <x:v>3</x:v>
      </x:c>
      <x:c r="G459" s="36" t="n">
        <x:v>1</x:v>
      </x:c>
      <x:c r="H459" s="34" t="str">
        <x:v>cycle-observation</x:v>
      </x:c>
      <x:c r="I459" s="36" t="n">
        <x:v>2</x:v>
      </x:c>
      <x:c r="J459" s="34" t="str">
        <x:v>tomcat-findleaks-occurrence</x:v>
      </x:c>
      <x:c r="K459" s="34" t="str">
        <x:v>afterFinalUndeploy.tomcatFindLeaksOccurrences</x:v>
      </x:c>
      <x:c r="L459" s="36" t="n">
        <x:v>1</x:v>
      </x:c>
      <x:c r="M459" s="34" t="str">
        <x:v>/ehcache</x:v>
      </x:c>
      <x:c r="N459" s="44" t="str">
        <x:v>/ehcache</x:v>
      </x:c>
    </x:row>
    <x:row r="460">
      <x:c r="A460" s="36" t="n">
        <x:v>459</x:v>
      </x:c>
      <x:c r="B460" s="34" t="str">
        <x:v>article1-unified-v4-2-fb3f101b-20260903-000401-default-f03-p3-ehcache</x:v>
      </x:c>
      <x:c r="C460" s="34" t="str">
        <x:v>default</x:v>
      </x:c>
      <x:c r="D460" s="34" t="str">
        <x:v>ehcache</x:v>
      </x:c>
      <x:c r="E460" s="36" t="n">
        <x:v>3</x:v>
      </x:c>
      <x:c r="F460" s="36" t="n">
        <x:v>3</x:v>
      </x:c>
      <x:c r="G460" s="36" t="n">
        <x:v>1</x:v>
      </x:c>
      <x:c r="H460" s="34" t="str">
        <x:v>cycle-observation</x:v>
      </x:c>
      <x:c r="I460" s="36" t="n">
        <x:v>2</x:v>
      </x:c>
      <x:c r="J460" s="34" t="str">
        <x:v>tomcat-findleaks-occurrence</x:v>
      </x:c>
      <x:c r="K460" s="34" t="str">
        <x:v>afterFinalUndeploy.tomcatFindLeaksOccurrences</x:v>
      </x:c>
      <x:c r="L460" s="36" t="n">
        <x:v>2</x:v>
      </x:c>
      <x:c r="M460" s="34" t="str">
        <x:v>/ehcache</x:v>
      </x:c>
      <x:c r="N460" s="44" t="str">
        <x:v>/ehcache</x:v>
      </x:c>
    </x:row>
    <x:row r="461">
      <x:c r="A461" s="36" t="n">
        <x:v>460</x:v>
      </x:c>
      <x:c r="B461" s="34" t="str">
        <x:v>article1-unified-v4-2-fb3f101b-20260903-000401-default-f03-p3-ehcache</x:v>
      </x:c>
      <x:c r="C461" s="34" t="str">
        <x:v>default</x:v>
      </x:c>
      <x:c r="D461" s="34" t="str">
        <x:v>ehcache</x:v>
      </x:c>
      <x:c r="E461" s="36" t="n">
        <x:v>3</x:v>
      </x:c>
      <x:c r="F461" s="36" t="n">
        <x:v>3</x:v>
      </x:c>
      <x:c r="G461" s="36" t="n">
        <x:v>2</x:v>
      </x:c>
      <x:c r="H461" s="34" t="str">
        <x:v>cycle-observation</x:v>
      </x:c>
      <x:c r="I461" s="36" t="n">
        <x:v>1</x:v>
      </x:c>
      <x:c r="J461" s="34" t="str">
        <x:v>tomcat-findleaks-occurrence</x:v>
      </x:c>
      <x:c r="K461" s="34" t="str">
        <x:v>afterUndeploy.tomcatFindLeaksOccurrences</x:v>
      </x:c>
      <x:c r="L461" s="36" t="n">
        <x:v>1</x:v>
      </x:c>
      <x:c r="M461" s="34" t="str">
        <x:v>/ehcache</x:v>
      </x:c>
      <x:c r="N461" s="44" t="str">
        <x:v>/ehcache</x:v>
      </x:c>
    </x:row>
    <x:row r="462">
      <x:c r="A462" s="36" t="n">
        <x:v>461</x:v>
      </x:c>
      <x:c r="B462" s="34" t="str">
        <x:v>article1-unified-v4-2-fb3f101b-20260903-000401-default-f03-p3-ehcache</x:v>
      </x:c>
      <x:c r="C462" s="34" t="str">
        <x:v>default</x:v>
      </x:c>
      <x:c r="D462" s="34" t="str">
        <x:v>ehcache</x:v>
      </x:c>
      <x:c r="E462" s="36" t="n">
        <x:v>3</x:v>
      </x:c>
      <x:c r="F462" s="36" t="n">
        <x:v>3</x:v>
      </x:c>
      <x:c r="G462" s="36" t="n">
        <x:v>2</x:v>
      </x:c>
      <x:c r="H462" s="34" t="str">
        <x:v>cycle-observation</x:v>
      </x:c>
      <x:c r="I462" s="36" t="n">
        <x:v>2</x:v>
      </x:c>
      <x:c r="J462" s="34" t="str">
        <x:v>tomcat-findleaks-occurrence</x:v>
      </x:c>
      <x:c r="K462" s="34" t="str">
        <x:v>afterFinalUndeploy.tomcatFindLeaksOccurrences</x:v>
      </x:c>
      <x:c r="L462" s="36" t="n">
        <x:v>1</x:v>
      </x:c>
      <x:c r="M462" s="34" t="str">
        <x:v>/ehcache</x:v>
      </x:c>
      <x:c r="N462" s="44" t="str">
        <x:v>/ehcache</x:v>
      </x:c>
    </x:row>
    <x:row r="463">
      <x:c r="A463" s="36" t="n">
        <x:v>462</x:v>
      </x:c>
      <x:c r="B463" s="34" t="str">
        <x:v>article1-unified-v4-2-fb3f101b-20260903-000401-default-f03-p3-ehcache</x:v>
      </x:c>
      <x:c r="C463" s="34" t="str">
        <x:v>default</x:v>
      </x:c>
      <x:c r="D463" s="34" t="str">
        <x:v>ehcache</x:v>
      </x:c>
      <x:c r="E463" s="36" t="n">
        <x:v>3</x:v>
      </x:c>
      <x:c r="F463" s="36" t="n">
        <x:v>3</x:v>
      </x:c>
      <x:c r="G463" s="36" t="n">
        <x:v>3</x:v>
      </x:c>
      <x:c r="H463" s="34" t="str">
        <x:v>cycle-observation</x:v>
      </x:c>
      <x:c r="I463" s="36" t="n">
        <x:v>1</x:v>
      </x:c>
      <x:c r="J463" s="34" t="str">
        <x:v>tomcat-findleaks-occurrence</x:v>
      </x:c>
      <x:c r="K463" s="34" t="str">
        <x:v>afterUndeploy.tomcatFindLeaksOccurrences</x:v>
      </x:c>
      <x:c r="L463" s="36" t="n">
        <x:v>1</x:v>
      </x:c>
      <x:c r="M463" s="34" t="str">
        <x:v>/ehcache</x:v>
      </x:c>
      <x:c r="N463" s="44" t="str">
        <x:v>/ehcache</x:v>
      </x:c>
    </x:row>
    <x:row r="464">
      <x:c r="A464" s="36" t="n">
        <x:v>463</x:v>
      </x:c>
      <x:c r="B464" s="34" t="str">
        <x:v>article1-unified-v4-2-fb3f101b-20260903-000401-default-f03-p3-ehcache</x:v>
      </x:c>
      <x:c r="C464" s="34" t="str">
        <x:v>default</x:v>
      </x:c>
      <x:c r="D464" s="34" t="str">
        <x:v>ehcache</x:v>
      </x:c>
      <x:c r="E464" s="36" t="n">
        <x:v>3</x:v>
      </x:c>
      <x:c r="F464" s="36" t="n">
        <x:v>3</x:v>
      </x:c>
      <x:c r="G464" s="36" t="n">
        <x:v>3</x:v>
      </x:c>
      <x:c r="H464" s="34" t="str">
        <x:v>cycle-observation</x:v>
      </x:c>
      <x:c r="I464" s="36" t="n">
        <x:v>2</x:v>
      </x:c>
      <x:c r="J464" s="34" t="str">
        <x:v>tomcat-findleaks-occurrence</x:v>
      </x:c>
      <x:c r="K464" s="34" t="str">
        <x:v>afterFinalUndeploy.tomcatFindLeaksOccurrences</x:v>
      </x:c>
      <x:c r="L464" s="36" t="n">
        <x:v>1</x:v>
      </x:c>
      <x:c r="M464" s="34" t="str">
        <x:v>/ehcache</x:v>
      </x:c>
      <x:c r="N464" s="44" t="str">
        <x:v>/ehcache</x:v>
      </x:c>
    </x:row>
    <x:row r="465">
      <x:c r="A465" s="36" t="n">
        <x:v>464</x:v>
      </x:c>
      <x:c r="B465" s="34" t="str">
        <x:v>article1-unified-v4-2-fb3f101b-20260903-000401-default-f03-p3-ehcache</x:v>
      </x:c>
      <x:c r="C465" s="34" t="str">
        <x:v>default</x:v>
      </x:c>
      <x:c r="D465" s="34" t="str">
        <x:v>ehcache</x:v>
      </x:c>
      <x:c r="E465" s="36" t="n">
        <x:v>3</x:v>
      </x:c>
      <x:c r="F465" s="36" t="n">
        <x:v>3</x:v>
      </x:c>
      <x:c r="G465" s="36" t="n">
        <x:v>4</x:v>
      </x:c>
      <x:c r="H465" s="34" t="str">
        <x:v>cycle-observation</x:v>
      </x:c>
      <x:c r="I465" s="36" t="n">
        <x:v>1</x:v>
      </x:c>
      <x:c r="J465" s="34" t="str">
        <x:v>tomcat-findleaks-occurrence</x:v>
      </x:c>
      <x:c r="K465" s="34" t="str">
        <x:v>afterUndeploy.tomcatFindLeaksOccurrences</x:v>
      </x:c>
      <x:c r="L465" s="36" t="n">
        <x:v>1</x:v>
      </x:c>
      <x:c r="M465" s="34" t="str">
        <x:v>/ehcache</x:v>
      </x:c>
      <x:c r="N465" s="44" t="str">
        <x:v>/ehcache</x:v>
      </x:c>
    </x:row>
    <x:row r="466">
      <x:c r="A466" s="36" t="n">
        <x:v>465</x:v>
      </x:c>
      <x:c r="B466" s="34" t="str">
        <x:v>article1-unified-v4-2-fb3f101b-20260903-000401-default-f03-p3-ehcache</x:v>
      </x:c>
      <x:c r="C466" s="34" t="str">
        <x:v>default</x:v>
      </x:c>
      <x:c r="D466" s="34" t="str">
        <x:v>ehcache</x:v>
      </x:c>
      <x:c r="E466" s="36" t="n">
        <x:v>3</x:v>
      </x:c>
      <x:c r="F466" s="36" t="n">
        <x:v>3</x:v>
      </x:c>
      <x:c r="G466" s="36" t="n">
        <x:v>4</x:v>
      </x:c>
      <x:c r="H466" s="34" t="str">
        <x:v>cycle-observation</x:v>
      </x:c>
      <x:c r="I466" s="36" t="n">
        <x:v>2</x:v>
      </x:c>
      <x:c r="J466" s="34" t="str">
        <x:v>tomcat-findleaks-occurrence</x:v>
      </x:c>
      <x:c r="K466" s="34" t="str">
        <x:v>afterFinalUndeploy.tomcatFindLeaksOccurrences</x:v>
      </x:c>
      <x:c r="L466" s="36" t="n">
        <x:v>1</x:v>
      </x:c>
      <x:c r="M466" s="34" t="str">
        <x:v>/ehcache</x:v>
      </x:c>
      <x:c r="N466" s="44" t="str">
        <x:v>/ehcache</x:v>
      </x:c>
    </x:row>
    <x:row r="467">
      <x:c r="A467" s="36" t="n">
        <x:v>466</x:v>
      </x:c>
      <x:c r="B467" s="34" t="str">
        <x:v>article1-unified-v4-2-fb3f101b-20260903-000401-default-f03-p3-ehcache</x:v>
      </x:c>
      <x:c r="C467" s="34" t="str">
        <x:v>default</x:v>
      </x:c>
      <x:c r="D467" s="34" t="str">
        <x:v>ehcache</x:v>
      </x:c>
      <x:c r="E467" s="36" t="n">
        <x:v>3</x:v>
      </x:c>
      <x:c r="F467" s="36" t="n">
        <x:v>3</x:v>
      </x:c>
      <x:c r="G467" s="36" t="n">
        <x:v>5</x:v>
      </x:c>
      <x:c r="H467" s="34" t="str">
        <x:v>cycle-observation</x:v>
      </x:c>
      <x:c r="I467" s="36" t="n">
        <x:v>1</x:v>
      </x:c>
      <x:c r="J467" s="34" t="str">
        <x:v>tomcat-findleaks-occurrence</x:v>
      </x:c>
      <x:c r="K467" s="34" t="str">
        <x:v>afterUndeploy.tomcatFindLeaksOccurrences</x:v>
      </x:c>
      <x:c r="L467" s="36" t="n">
        <x:v>1</x:v>
      </x:c>
      <x:c r="M467" s="34" t="str">
        <x:v>/ehcache</x:v>
      </x:c>
      <x:c r="N467" s="44" t="str">
        <x:v>/ehcache</x:v>
      </x:c>
    </x:row>
    <x:row r="468">
      <x:c r="A468" s="36" t="n">
        <x:v>467</x:v>
      </x:c>
      <x:c r="B468" s="34" t="str">
        <x:v>article1-unified-v4-2-fb3f101b-20260903-000401-default-f03-p3-ehcache</x:v>
      </x:c>
      <x:c r="C468" s="34" t="str">
        <x:v>default</x:v>
      </x:c>
      <x:c r="D468" s="34" t="str">
        <x:v>ehcache</x:v>
      </x:c>
      <x:c r="E468" s="36" t="n">
        <x:v>3</x:v>
      </x:c>
      <x:c r="F468" s="36" t="n">
        <x:v>3</x:v>
      </x:c>
      <x:c r="G468" s="36" t="n">
        <x:v>5</x:v>
      </x:c>
      <x:c r="H468" s="34" t="str">
        <x:v>cycle-observation</x:v>
      </x:c>
      <x:c r="I468" s="36" t="n">
        <x:v>2</x:v>
      </x:c>
      <x:c r="J468" s="34" t="str">
        <x:v>tomcat-findleaks-occurrence</x:v>
      </x:c>
      <x:c r="K468" s="34" t="str">
        <x:v>afterFinalUndeploy.tomcatFindLeaksOccurrences</x:v>
      </x:c>
      <x:c r="L468" s="36" t="n">
        <x:v>1</x:v>
      </x:c>
      <x:c r="M468" s="34" t="str">
        <x:v>/ehcache</x:v>
      </x:c>
      <x:c r="N468" s="44" t="str">
        <x:v>/ehcache</x:v>
      </x:c>
    </x:row>
    <x:row r="469">
      <x:c r="A469" s="36" t="n">
        <x:v>468</x:v>
      </x:c>
      <x:c r="B469" s="34" t="str">
        <x:v>article1-unified-v4-2-fb3f101b-20260903-000401-default-f03-p4-jcs321</x:v>
      </x:c>
      <x:c r="C469" s="34" t="str">
        <x:v>default</x:v>
      </x:c>
      <x:c r="D469" s="34" t="str">
        <x:v>jcs321</x:v>
      </x:c>
      <x:c r="E469" s="36" t="n">
        <x:v>3</x:v>
      </x:c>
      <x:c r="F469" s="36" t="n">
        <x:v>3</x:v>
      </x:c>
      <x:c r="G469" s="36"/>
      <x:c r="H469" s="34" t="str">
        <x:v>process-run-aggregate</x:v>
      </x:c>
      <x:c r="I469" s="36"/>
      <x:c r="J469" s="34" t="str">
        <x:v>warning</x:v>
      </x:c>
      <x:c r="K469" s="34" t="str">
        <x:v>warnings</x:v>
      </x:c>
      <x:c r="L469" s="36" t="n">
        <x:v>1</x:v>
      </x:c>
      <x:c r="M469" s="34"/>
      <x:c r="N469" s="44" t="str">
        <x:v>03-Sep-2026 00:12:15.271 WARNING [http-nio-8080-exec-1] org.apache.commons.jcs3.engine.control.CompositeCacheConfigurator. Skipping empty auxiliary name</x:v>
      </x:c>
    </x:row>
    <x:row r="470">
      <x:c r="A470" s="36" t="n">
        <x:v>469</x:v>
      </x:c>
      <x:c r="B470" s="34" t="str">
        <x:v>article1-unified-v4-2-fb3f101b-20260903-000401-default-f03-p4-jcs321</x:v>
      </x:c>
      <x:c r="C470" s="34" t="str">
        <x:v>default</x:v>
      </x:c>
      <x:c r="D470" s="34" t="str">
        <x:v>jcs321</x:v>
      </x:c>
      <x:c r="E470" s="36" t="n">
        <x:v>3</x:v>
      </x:c>
      <x:c r="F470" s="36" t="n">
        <x:v>3</x:v>
      </x:c>
      <x:c r="G470" s="36"/>
      <x:c r="H470" s="34" t="str">
        <x:v>process-run-aggregate</x:v>
      </x:c>
      <x:c r="I470" s="36"/>
      <x:c r="J470" s="34" t="str">
        <x:v>warning</x:v>
      </x:c>
      <x:c r="K470" s="34" t="str">
        <x:v>warnings</x:v>
      </x:c>
      <x:c r="L470" s="36" t="n">
        <x:v>2</x:v>
      </x:c>
      <x:c r="M470" s="34"/>
      <x:c r="N470" s="44" t="str">
        <x:v>03-Sep-2026 00:12:28.368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471">
      <x:c r="A471" s="36" t="n">
        <x:v>470</x:v>
      </x:c>
      <x:c r="B471" s="34" t="str">
        <x:v>article1-unified-v4-2-fb3f101b-20260903-000401-default-f03-p4-jcs321</x:v>
      </x:c>
      <x:c r="C471" s="34" t="str">
        <x:v>default</x:v>
      </x:c>
      <x:c r="D471" s="34" t="str">
        <x:v>jcs321</x:v>
      </x:c>
      <x:c r="E471" s="36" t="n">
        <x:v>3</x:v>
      </x:c>
      <x:c r="F471" s="36" t="n">
        <x:v>3</x:v>
      </x:c>
      <x:c r="G471" s="36"/>
      <x:c r="H471" s="34" t="str">
        <x:v>process-run-aggregate</x:v>
      </x:c>
      <x:c r="I471" s="36"/>
      <x:c r="J471" s="34" t="str">
        <x:v>warning</x:v>
      </x:c>
      <x:c r="K471" s="34" t="str">
        <x:v>warnings</x:v>
      </x:c>
      <x:c r="L471" s="36" t="n">
        <x:v>3</x:v>
      </x:c>
      <x:c r="M471" s="34"/>
      <x:c r="N471" s="44" t="str">
        <x:v>03-Sep-2026 00:12:59.227 WARNING [http-nio-8080-exec-8] org.apache.commons.jcs3.engine.control.CompositeCacheConfigurator. Skipping empty auxiliary name</x:v>
      </x:c>
    </x:row>
    <x:row r="472">
      <x:c r="A472" s="36" t="n">
        <x:v>471</x:v>
      </x:c>
      <x:c r="B472" s="34" t="str">
        <x:v>article1-unified-v4-2-fb3f101b-20260903-000401-default-f03-p4-jcs321</x:v>
      </x:c>
      <x:c r="C472" s="34" t="str">
        <x:v>default</x:v>
      </x:c>
      <x:c r="D472" s="34" t="str">
        <x:v>jcs321</x:v>
      </x:c>
      <x:c r="E472" s="36" t="n">
        <x:v>3</x:v>
      </x:c>
      <x:c r="F472" s="36" t="n">
        <x:v>3</x:v>
      </x:c>
      <x:c r="G472" s="36"/>
      <x:c r="H472" s="34" t="str">
        <x:v>process-run-aggregate</x:v>
      </x:c>
      <x:c r="I472" s="36"/>
      <x:c r="J472" s="34" t="str">
        <x:v>warning</x:v>
      </x:c>
      <x:c r="K472" s="34" t="str">
        <x:v>warnings</x:v>
      </x:c>
      <x:c r="L472" s="36" t="n">
        <x:v>4</x:v>
      </x:c>
      <x:c r="M472" s="34"/>
      <x:c r="N472" s="44" t="str">
        <x:v>03-Sep-2026 00:13:12.860 WARNING [http-nio-8080-exec-10]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473">
      <x:c r="A473" s="36" t="n">
        <x:v>472</x:v>
      </x:c>
      <x:c r="B473" s="34" t="str">
        <x:v>article1-unified-v4-2-fb3f101b-20260903-000401-default-f03-p4-jcs321</x:v>
      </x:c>
      <x:c r="C473" s="34" t="str">
        <x:v>default</x:v>
      </x:c>
      <x:c r="D473" s="34" t="str">
        <x:v>jcs321</x:v>
      </x:c>
      <x:c r="E473" s="36" t="n">
        <x:v>3</x:v>
      </x:c>
      <x:c r="F473" s="36" t="n">
        <x:v>3</x:v>
      </x:c>
      <x:c r="G473" s="36"/>
      <x:c r="H473" s="34" t="str">
        <x:v>process-run-aggregate</x:v>
      </x:c>
      <x:c r="I473" s="36"/>
      <x:c r="J473" s="34" t="str">
        <x:v>warning</x:v>
      </x:c>
      <x:c r="K473" s="34" t="str">
        <x:v>warnings</x:v>
      </x:c>
      <x:c r="L473" s="36" t="n">
        <x:v>5</x:v>
      </x:c>
      <x:c r="M473" s="34"/>
      <x:c r="N473" s="44" t="str">
        <x:v>03-Sep-2026 00:13:45.626 WARNING [http-nio-8080-exec-14] org.apache.commons.jcs3.engine.control.CompositeCacheConfigurator. Skipping empty auxiliary name</x:v>
      </x:c>
    </x:row>
    <x:row r="474">
      <x:c r="A474" s="36" t="n">
        <x:v>473</x:v>
      </x:c>
      <x:c r="B474" s="34" t="str">
        <x:v>article1-unified-v4-2-fb3f101b-20260903-000401-default-f03-p4-jcs321</x:v>
      </x:c>
      <x:c r="C474" s="34" t="str">
        <x:v>default</x:v>
      </x:c>
      <x:c r="D474" s="34" t="str">
        <x:v>jcs321</x:v>
      </x:c>
      <x:c r="E474" s="36" t="n">
        <x:v>3</x:v>
      </x:c>
      <x:c r="F474" s="36" t="n">
        <x:v>3</x:v>
      </x:c>
      <x:c r="G474" s="36"/>
      <x:c r="H474" s="34" t="str">
        <x:v>process-run-aggregate</x:v>
      </x:c>
      <x:c r="I474" s="36"/>
      <x:c r="J474" s="34" t="str">
        <x:v>warning</x:v>
      </x:c>
      <x:c r="K474" s="34" t="str">
        <x:v>warnings</x:v>
      </x:c>
      <x:c r="L474" s="36" t="n">
        <x:v>6</x:v>
      </x:c>
      <x:c r="M474" s="34"/>
      <x:c r="N474" s="44" t="str">
        <x:v>03-Sep-2026 00:13:58.734 WARNING [http-nio-8080-exec-1]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475">
      <x:c r="A475" s="36" t="n">
        <x:v>474</x:v>
      </x:c>
      <x:c r="B475" s="34" t="str">
        <x:v>article1-unified-v4-2-fb3f101b-20260903-000401-default-f03-p4-jcs321</x:v>
      </x:c>
      <x:c r="C475" s="34" t="str">
        <x:v>default</x:v>
      </x:c>
      <x:c r="D475" s="34" t="str">
        <x:v>jcs321</x:v>
      </x:c>
      <x:c r="E475" s="36" t="n">
        <x:v>3</x:v>
      </x:c>
      <x:c r="F475" s="36" t="n">
        <x:v>3</x:v>
      </x:c>
      <x:c r="G475" s="36"/>
      <x:c r="H475" s="34" t="str">
        <x:v>process-run-aggregate</x:v>
      </x:c>
      <x:c r="I475" s="36"/>
      <x:c r="J475" s="34" t="str">
        <x:v>warning</x:v>
      </x:c>
      <x:c r="K475" s="34" t="str">
        <x:v>warnings</x:v>
      </x:c>
      <x:c r="L475" s="36" t="n">
        <x:v>7</x:v>
      </x:c>
      <x:c r="M475" s="34"/>
      <x:c r="N475" s="44" t="str">
        <x:v>03-Sep-2026 00:14:28.068 WARNING [http-nio-8080-exec-19] org.apache.commons.jcs3.engine.control.CompositeCacheConfigurator. Skipping empty auxiliary name</x:v>
      </x:c>
    </x:row>
    <x:row r="476">
      <x:c r="A476" s="36" t="n">
        <x:v>475</x:v>
      </x:c>
      <x:c r="B476" s="34" t="str">
        <x:v>article1-unified-v4-2-fb3f101b-20260903-000401-default-f03-p4-jcs321</x:v>
      </x:c>
      <x:c r="C476" s="34" t="str">
        <x:v>default</x:v>
      </x:c>
      <x:c r="D476" s="34" t="str">
        <x:v>jcs321</x:v>
      </x:c>
      <x:c r="E476" s="36" t="n">
        <x:v>3</x:v>
      </x:c>
      <x:c r="F476" s="36" t="n">
        <x:v>3</x:v>
      </x:c>
      <x:c r="G476" s="36"/>
      <x:c r="H476" s="34" t="str">
        <x:v>process-run-aggregate</x:v>
      </x:c>
      <x:c r="I476" s="36"/>
      <x:c r="J476" s="34" t="str">
        <x:v>warning</x:v>
      </x:c>
      <x:c r="K476" s="34" t="str">
        <x:v>warnings</x:v>
      </x:c>
      <x:c r="L476" s="36" t="n">
        <x:v>8</x:v>
      </x:c>
      <x:c r="M476" s="34"/>
      <x:c r="N476" s="44" t="str">
        <x:v>03-Sep-2026 00:14:41.568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477">
      <x:c r="A477" s="36" t="n">
        <x:v>476</x:v>
      </x:c>
      <x:c r="B477" s="34" t="str">
        <x:v>article1-unified-v4-2-fb3f101b-20260903-000401-default-f03-p4-jcs321</x:v>
      </x:c>
      <x:c r="C477" s="34" t="str">
        <x:v>default</x:v>
      </x:c>
      <x:c r="D477" s="34" t="str">
        <x:v>jcs321</x:v>
      </x:c>
      <x:c r="E477" s="36" t="n">
        <x:v>3</x:v>
      </x:c>
      <x:c r="F477" s="36" t="n">
        <x:v>3</x:v>
      </x:c>
      <x:c r="G477" s="36"/>
      <x:c r="H477" s="34" t="str">
        <x:v>process-run-aggregate</x:v>
      </x:c>
      <x:c r="I477" s="36"/>
      <x:c r="J477" s="34" t="str">
        <x:v>warning</x:v>
      </x:c>
      <x:c r="K477" s="34" t="str">
        <x:v>warnings</x:v>
      </x:c>
      <x:c r="L477" s="36" t="n">
        <x:v>9</x:v>
      </x:c>
      <x:c r="M477" s="34"/>
      <x:c r="N477" s="44" t="str">
        <x:v>03-Sep-2026 00:15:14.603 WARNING [http-nio-8080-exec-30] org.apache.commons.jcs3.engine.control.CompositeCacheConfigurator. Skipping empty auxiliary name</x:v>
      </x:c>
    </x:row>
    <x:row r="478">
      <x:c r="A478" s="36" t="n">
        <x:v>477</x:v>
      </x:c>
      <x:c r="B478" s="34" t="str">
        <x:v>article1-unified-v4-2-fb3f101b-20260903-000401-default-f03-p4-jcs321</x:v>
      </x:c>
      <x:c r="C478" s="34" t="str">
        <x:v>default</x:v>
      </x:c>
      <x:c r="D478" s="34" t="str">
        <x:v>jcs321</x:v>
      </x:c>
      <x:c r="E478" s="36" t="n">
        <x:v>3</x:v>
      </x:c>
      <x:c r="F478" s="36" t="n">
        <x:v>3</x:v>
      </x:c>
      <x:c r="G478" s="36"/>
      <x:c r="H478" s="34" t="str">
        <x:v>process-run-aggregate</x:v>
      </x:c>
      <x:c r="I478" s="36"/>
      <x:c r="J478" s="34" t="str">
        <x:v>warning</x:v>
      </x:c>
      <x:c r="K478" s="34" t="str">
        <x:v>warnings</x:v>
      </x:c>
      <x:c r="L478" s="36" t="n">
        <x:v>10</x:v>
      </x:c>
      <x:c r="M478" s="34"/>
      <x:c r="N478" s="44" t="str">
        <x:v>03-Sep-2026 00:15:27.654 WARNING [http-nio-8080-exec-28]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479">
      <x:c r="A479" s="36" t="n">
        <x:v>478</x:v>
      </x:c>
      <x:c r="B479" s="34" t="str">
        <x:v>article1-unified-v4-2-fb3f101b-20260903-000401-default-f03-p4-jcs321</x:v>
      </x:c>
      <x:c r="C479" s="34" t="str">
        <x:v>default</x:v>
      </x:c>
      <x:c r="D479" s="34" t="str">
        <x:v>jcs321</x:v>
      </x:c>
      <x:c r="E479" s="36" t="n">
        <x:v>3</x:v>
      </x:c>
      <x:c r="F479" s="36" t="n">
        <x:v>3</x:v>
      </x:c>
      <x:c r="G479" s="36"/>
      <x:c r="H479" s="34" t="str">
        <x:v>process-run-aggregate</x:v>
      </x:c>
      <x:c r="I479" s="36"/>
      <x:c r="J479" s="34" t="str">
        <x:v>warning</x:v>
      </x:c>
      <x:c r="K479" s="34" t="str">
        <x:v>warnings</x:v>
      </x:c>
      <x:c r="L479" s="36" t="n">
        <x:v>11</x:v>
      </x:c>
      <x:c r="M479" s="34"/>
      <x:c r="N479" s="44" t="str">
        <x:v>03-Sep-2026 00:15:57.284 WARNING [http-nio-8080-exec-33] org.apache.commons.jcs3.engine.control.CompositeCacheConfigurator. Skipping empty auxiliary name</x:v>
      </x:c>
    </x:row>
    <x:row r="480">
      <x:c r="A480" s="36" t="n">
        <x:v>479</x:v>
      </x:c>
      <x:c r="B480" s="34" t="str">
        <x:v>article1-unified-v4-2-fb3f101b-20260903-000401-default-f03-p4-jcs321</x:v>
      </x:c>
      <x:c r="C480" s="34" t="str">
        <x:v>default</x:v>
      </x:c>
      <x:c r="D480" s="34" t="str">
        <x:v>jcs321</x:v>
      </x:c>
      <x:c r="E480" s="36" t="n">
        <x:v>3</x:v>
      </x:c>
      <x:c r="F480" s="36" t="n">
        <x:v>3</x:v>
      </x:c>
      <x:c r="G480" s="36"/>
      <x:c r="H480" s="34" t="str">
        <x:v>process-run-aggregate</x:v>
      </x:c>
      <x:c r="I480" s="36"/>
      <x:c r="J480" s="34" t="str">
        <x:v>warning</x:v>
      </x:c>
      <x:c r="K480" s="34" t="str">
        <x:v>warnings</x:v>
      </x:c>
      <x:c r="L480" s="36" t="n">
        <x:v>12</x:v>
      </x:c>
      <x:c r="M480" s="34"/>
      <x:c r="N480" s="44" t="str">
        <x:v>03-Sep-2026 00:16:10.263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481">
      <x:c r="A481" s="36" t="n">
        <x:v>480</x:v>
      </x:c>
      <x:c r="B481" s="34" t="str">
        <x:v>article1-unified-v4-2-fb3f101b-20260903-000401-default-f03-p4-jcs321</x:v>
      </x:c>
      <x:c r="C481" s="34" t="str">
        <x:v>default</x:v>
      </x:c>
      <x:c r="D481" s="34" t="str">
        <x:v>jcs321</x:v>
      </x:c>
      <x:c r="E481" s="36" t="n">
        <x:v>3</x:v>
      </x:c>
      <x:c r="F481" s="36" t="n">
        <x:v>3</x:v>
      </x:c>
      <x:c r="G481" s="36"/>
      <x:c r="H481" s="34" t="str">
        <x:v>process-run-aggregate</x:v>
      </x:c>
      <x:c r="I481" s="36"/>
      <x:c r="J481" s="34" t="str">
        <x:v>warning</x:v>
      </x:c>
      <x:c r="K481" s="34" t="str">
        <x:v>warnings</x:v>
      </x:c>
      <x:c r="L481" s="36" t="n">
        <x:v>13</x:v>
      </x:c>
      <x:c r="M481" s="34"/>
      <x:c r="N481" s="44" t="str">
        <x:v>03-Sep-2026 00:16:43.476 WARNING [http-nio-8080-exec-41] org.apache.commons.jcs3.engine.control.CompositeCacheConfigurator. Skipping empty auxiliary name</x:v>
      </x:c>
    </x:row>
    <x:row r="482">
      <x:c r="A482" s="36" t="n">
        <x:v>481</x:v>
      </x:c>
      <x:c r="B482" s="34" t="str">
        <x:v>article1-unified-v4-2-fb3f101b-20260903-000401-default-f03-p4-jcs321</x:v>
      </x:c>
      <x:c r="C482" s="34" t="str">
        <x:v>default</x:v>
      </x:c>
      <x:c r="D482" s="34" t="str">
        <x:v>jcs321</x:v>
      </x:c>
      <x:c r="E482" s="36" t="n">
        <x:v>3</x:v>
      </x:c>
      <x:c r="F482" s="36" t="n">
        <x:v>3</x:v>
      </x:c>
      <x:c r="G482" s="36"/>
      <x:c r="H482" s="34" t="str">
        <x:v>process-run-aggregate</x:v>
      </x:c>
      <x:c r="I482" s="36"/>
      <x:c r="J482" s="34" t="str">
        <x:v>warning</x:v>
      </x:c>
      <x:c r="K482" s="34" t="str">
        <x:v>warnings</x:v>
      </x:c>
      <x:c r="L482" s="36" t="n">
        <x:v>14</x:v>
      </x:c>
      <x:c r="M482" s="34"/>
      <x:c r="N482" s="44" t="str">
        <x:v>03-Sep-2026 00:16:56.230 WARNING [http-nio-8080-exec-40]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483">
      <x:c r="A483" s="36" t="n">
        <x:v>482</x:v>
      </x:c>
      <x:c r="B483" s="34" t="str">
        <x:v>article1-unified-v4-2-fb3f101b-20260903-000401-default-f03-p4-jcs321</x:v>
      </x:c>
      <x:c r="C483" s="34" t="str">
        <x:v>default</x:v>
      </x:c>
      <x:c r="D483" s="34" t="str">
        <x:v>jcs321</x:v>
      </x:c>
      <x:c r="E483" s="36" t="n">
        <x:v>3</x:v>
      </x:c>
      <x:c r="F483" s="36" t="n">
        <x:v>3</x:v>
      </x:c>
      <x:c r="G483" s="36"/>
      <x:c r="H483" s="34" t="str">
        <x:v>process-run-aggregate</x:v>
      </x:c>
      <x:c r="I483" s="36"/>
      <x:c r="J483" s="34" t="str">
        <x:v>warning</x:v>
      </x:c>
      <x:c r="K483" s="34" t="str">
        <x:v>warnings</x:v>
      </x:c>
      <x:c r="L483" s="36" t="n">
        <x:v>15</x:v>
      </x:c>
      <x:c r="M483" s="34"/>
      <x:c r="N483" s="44" t="str">
        <x:v>03-Sep-2026 00:17:25.778 WARNING [http-nio-8080-exec-44] org.apache.commons.jcs3.engine.control.CompositeCacheConfigurator. Skipping empty auxiliary name</x:v>
      </x:c>
    </x:row>
    <x:row r="484">
      <x:c r="A484" s="36" t="n">
        <x:v>483</x:v>
      </x:c>
      <x:c r="B484" s="34" t="str">
        <x:v>article1-unified-v4-2-fb3f101b-20260903-000401-default-f03-p4-jcs321</x:v>
      </x:c>
      <x:c r="C484" s="34" t="str">
        <x:v>default</x:v>
      </x:c>
      <x:c r="D484" s="34" t="str">
        <x:v>jcs321</x:v>
      </x:c>
      <x:c r="E484" s="36" t="n">
        <x:v>3</x:v>
      </x:c>
      <x:c r="F484" s="36" t="n">
        <x:v>3</x:v>
      </x:c>
      <x:c r="G484" s="36"/>
      <x:c r="H484" s="34" t="str">
        <x:v>process-run-aggregate</x:v>
      </x:c>
      <x:c r="I484" s="36"/>
      <x:c r="J484" s="34" t="str">
        <x:v>warning</x:v>
      </x:c>
      <x:c r="K484" s="34" t="str">
        <x:v>warnings</x:v>
      </x:c>
      <x:c r="L484" s="36" t="n">
        <x:v>16</x:v>
      </x:c>
      <x:c r="M484" s="34"/>
      <x:c r="N484" s="44" t="str">
        <x:v>03-Sep-2026 00:17:38.950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485">
      <x:c r="A485" s="36" t="n">
        <x:v>484</x:v>
      </x:c>
      <x:c r="B485" s="34" t="str">
        <x:v>article1-unified-v4-2-fb3f101b-20260903-000401-default-f03-p4-jcs321</x:v>
      </x:c>
      <x:c r="C485" s="34" t="str">
        <x:v>default</x:v>
      </x:c>
      <x:c r="D485" s="34" t="str">
        <x:v>jcs321</x:v>
      </x:c>
      <x:c r="E485" s="36" t="n">
        <x:v>3</x:v>
      </x:c>
      <x:c r="F485" s="36" t="n">
        <x:v>3</x:v>
      </x:c>
      <x:c r="G485" s="36"/>
      <x:c r="H485" s="34" t="str">
        <x:v>process-run-aggregate</x:v>
      </x:c>
      <x:c r="I485" s="36"/>
      <x:c r="J485" s="34" t="str">
        <x:v>warning</x:v>
      </x:c>
      <x:c r="K485" s="34" t="str">
        <x:v>warnings</x:v>
      </x:c>
      <x:c r="L485" s="36" t="n">
        <x:v>17</x:v>
      </x:c>
      <x:c r="M485" s="34"/>
      <x:c r="N485" s="44" t="str">
        <x:v>03-Sep-2026 00:18:10.831 WARNING [http-nio-8080-exec-55] org.apache.commons.jcs3.engine.control.CompositeCacheConfigurator. Skipping empty auxiliary name</x:v>
      </x:c>
    </x:row>
    <x:row r="486">
      <x:c r="A486" s="36" t="n">
        <x:v>485</x:v>
      </x:c>
      <x:c r="B486" s="34" t="str">
        <x:v>article1-unified-v4-2-fb3f101b-20260903-000401-default-f03-p4-jcs321</x:v>
      </x:c>
      <x:c r="C486" s="34" t="str">
        <x:v>default</x:v>
      </x:c>
      <x:c r="D486" s="34" t="str">
        <x:v>jcs321</x:v>
      </x:c>
      <x:c r="E486" s="36" t="n">
        <x:v>3</x:v>
      </x:c>
      <x:c r="F486" s="36" t="n">
        <x:v>3</x:v>
      </x:c>
      <x:c r="G486" s="36"/>
      <x:c r="H486" s="34" t="str">
        <x:v>process-run-aggregate</x:v>
      </x:c>
      <x:c r="I486" s="36"/>
      <x:c r="J486" s="34" t="str">
        <x:v>warning</x:v>
      </x:c>
      <x:c r="K486" s="34" t="str">
        <x:v>warnings</x:v>
      </x:c>
      <x:c r="L486" s="36" t="n">
        <x:v>18</x:v>
      </x:c>
      <x:c r="M486" s="34"/>
      <x:c r="N486" s="44" t="str">
        <x:v>03-Sep-2026 00:18:24.245 WARNING [http-nio-8080-exec-45]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487">
      <x:c r="A487" s="36" t="n">
        <x:v>486</x:v>
      </x:c>
      <x:c r="B487" s="34" t="str">
        <x:v>article1-unified-v4-2-fb3f101b-20260903-000401-default-f03-p4-jcs321</x:v>
      </x:c>
      <x:c r="C487" s="34" t="str">
        <x:v>default</x:v>
      </x:c>
      <x:c r="D487" s="34" t="str">
        <x:v>jcs321</x:v>
      </x:c>
      <x:c r="E487" s="36" t="n">
        <x:v>3</x:v>
      </x:c>
      <x:c r="F487" s="36" t="n">
        <x:v>3</x:v>
      </x:c>
      <x:c r="G487" s="36"/>
      <x:c r="H487" s="34" t="str">
        <x:v>process-run-aggregate</x:v>
      </x:c>
      <x:c r="I487" s="36"/>
      <x:c r="J487" s="34" t="str">
        <x:v>warning</x:v>
      </x:c>
      <x:c r="K487" s="34" t="str">
        <x:v>warnings</x:v>
      </x:c>
      <x:c r="L487" s="36" t="n">
        <x:v>19</x:v>
      </x:c>
      <x:c r="M487" s="34"/>
      <x:c r="N487" s="44" t="str">
        <x:v>03-Sep-2026 00:18:54.141 WARNING [http-nio-8080-exec-58] org.apache.commons.jcs3.engine.control.CompositeCacheConfigurator. Skipping empty auxiliary name</x:v>
      </x:c>
    </x:row>
    <x:row r="488">
      <x:c r="A488" s="36" t="n">
        <x:v>487</x:v>
      </x:c>
      <x:c r="B488" s="34" t="str">
        <x:v>article1-unified-v4-2-fb3f101b-20260903-000401-default-f03-p4-jcs321</x:v>
      </x:c>
      <x:c r="C488" s="34" t="str">
        <x:v>default</x:v>
      </x:c>
      <x:c r="D488" s="34" t="str">
        <x:v>jcs321</x:v>
      </x:c>
      <x:c r="E488" s="36" t="n">
        <x:v>3</x:v>
      </x:c>
      <x:c r="F488" s="36" t="n">
        <x:v>3</x:v>
      </x:c>
      <x:c r="G488" s="36"/>
      <x:c r="H488" s="34" t="str">
        <x:v>process-run-aggregate</x:v>
      </x:c>
      <x:c r="I488" s="36"/>
      <x:c r="J488" s="34" t="str">
        <x:v>warning</x:v>
      </x:c>
      <x:c r="K488" s="34" t="str">
        <x:v>warnings</x:v>
      </x:c>
      <x:c r="L488" s="36" t="n">
        <x:v>20</x:v>
      </x:c>
      <x:c r="M488" s="34"/>
      <x:c r="N488" s="44" t="str">
        <x:v>03-Sep-2026 00:19:07.310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489">
      <x:c r="A489" s="36" t="n">
        <x:v>488</x:v>
      </x:c>
      <x:c r="B489" s="34" t="str">
        <x:v>article1-unified-v4-2-fb3f101b-20260903-000401-default-f03-p4-jcs321</x:v>
      </x:c>
      <x:c r="C489" s="34" t="str">
        <x:v>default</x:v>
      </x:c>
      <x:c r="D489" s="34" t="str">
        <x:v>jcs321</x:v>
      </x:c>
      <x:c r="E489" s="36" t="n">
        <x:v>3</x:v>
      </x:c>
      <x:c r="F489" s="36" t="n">
        <x:v>3</x:v>
      </x:c>
      <x:c r="G489" s="36"/>
      <x:c r="H489" s="34" t="str">
        <x:v>process-run-aggregate</x:v>
      </x:c>
      <x:c r="I489" s="36"/>
      <x:c r="J489" s="34" t="str">
        <x:v>leak-warning</x:v>
      </x:c>
      <x:c r="K489" s="34" t="str">
        <x:v>leakWarnings</x:v>
      </x:c>
      <x:c r="L489" s="36" t="n">
        <x:v>1</x:v>
      </x:c>
      <x:c r="M489" s="34"/>
      <x:c r="N489" s="44" t="str">
        <x:v>03-Sep-2026 00:12:28.368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490">
      <x:c r="A490" s="36" t="n">
        <x:v>489</x:v>
      </x:c>
      <x:c r="B490" s="34" t="str">
        <x:v>article1-unified-v4-2-fb3f101b-20260903-000401-default-f03-p4-jcs321</x:v>
      </x:c>
      <x:c r="C490" s="34" t="str">
        <x:v>default</x:v>
      </x:c>
      <x:c r="D490" s="34" t="str">
        <x:v>jcs321</x:v>
      </x:c>
      <x:c r="E490" s="36" t="n">
        <x:v>3</x:v>
      </x:c>
      <x:c r="F490" s="36" t="n">
        <x:v>3</x:v>
      </x:c>
      <x:c r="G490" s="36"/>
      <x:c r="H490" s="34" t="str">
        <x:v>process-run-aggregate</x:v>
      </x:c>
      <x:c r="I490" s="36"/>
      <x:c r="J490" s="34" t="str">
        <x:v>leak-warning</x:v>
      </x:c>
      <x:c r="K490" s="34" t="str">
        <x:v>leakWarnings</x:v>
      </x:c>
      <x:c r="L490" s="36" t="n">
        <x:v>2</x:v>
      </x:c>
      <x:c r="M490" s="34"/>
      <x:c r="N490" s="44" t="str">
        <x:v>03-Sep-2026 00:13:12.860 WARNING [http-nio-8080-exec-10]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491">
      <x:c r="A491" s="36" t="n">
        <x:v>490</x:v>
      </x:c>
      <x:c r="B491" s="34" t="str">
        <x:v>article1-unified-v4-2-fb3f101b-20260903-000401-default-f03-p4-jcs321</x:v>
      </x:c>
      <x:c r="C491" s="34" t="str">
        <x:v>default</x:v>
      </x:c>
      <x:c r="D491" s="34" t="str">
        <x:v>jcs321</x:v>
      </x:c>
      <x:c r="E491" s="36" t="n">
        <x:v>3</x:v>
      </x:c>
      <x:c r="F491" s="36" t="n">
        <x:v>3</x:v>
      </x:c>
      <x:c r="G491" s="36"/>
      <x:c r="H491" s="34" t="str">
        <x:v>process-run-aggregate</x:v>
      </x:c>
      <x:c r="I491" s="36"/>
      <x:c r="J491" s="34" t="str">
        <x:v>leak-warning</x:v>
      </x:c>
      <x:c r="K491" s="34" t="str">
        <x:v>leakWarnings</x:v>
      </x:c>
      <x:c r="L491" s="36" t="n">
        <x:v>3</x:v>
      </x:c>
      <x:c r="M491" s="34"/>
      <x:c r="N491" s="44" t="str">
        <x:v>03-Sep-2026 00:13:58.734 WARNING [http-nio-8080-exec-1]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492">
      <x:c r="A492" s="36" t="n">
        <x:v>491</x:v>
      </x:c>
      <x:c r="B492" s="34" t="str">
        <x:v>article1-unified-v4-2-fb3f101b-20260903-000401-default-f03-p4-jcs321</x:v>
      </x:c>
      <x:c r="C492" s="34" t="str">
        <x:v>default</x:v>
      </x:c>
      <x:c r="D492" s="34" t="str">
        <x:v>jcs321</x:v>
      </x:c>
      <x:c r="E492" s="36" t="n">
        <x:v>3</x:v>
      </x:c>
      <x:c r="F492" s="36" t="n">
        <x:v>3</x:v>
      </x:c>
      <x:c r="G492" s="36"/>
      <x:c r="H492" s="34" t="str">
        <x:v>process-run-aggregate</x:v>
      </x:c>
      <x:c r="I492" s="36"/>
      <x:c r="J492" s="34" t="str">
        <x:v>leak-warning</x:v>
      </x:c>
      <x:c r="K492" s="34" t="str">
        <x:v>leakWarnings</x:v>
      </x:c>
      <x:c r="L492" s="36" t="n">
        <x:v>4</x:v>
      </x:c>
      <x:c r="M492" s="34"/>
      <x:c r="N492" s="44" t="str">
        <x:v>03-Sep-2026 00:14:41.568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493">
      <x:c r="A493" s="36" t="n">
        <x:v>492</x:v>
      </x:c>
      <x:c r="B493" s="34" t="str">
        <x:v>article1-unified-v4-2-fb3f101b-20260903-000401-default-f03-p4-jcs321</x:v>
      </x:c>
      <x:c r="C493" s="34" t="str">
        <x:v>default</x:v>
      </x:c>
      <x:c r="D493" s="34" t="str">
        <x:v>jcs321</x:v>
      </x:c>
      <x:c r="E493" s="36" t="n">
        <x:v>3</x:v>
      </x:c>
      <x:c r="F493" s="36" t="n">
        <x:v>3</x:v>
      </x:c>
      <x:c r="G493" s="36"/>
      <x:c r="H493" s="34" t="str">
        <x:v>process-run-aggregate</x:v>
      </x:c>
      <x:c r="I493" s="36"/>
      <x:c r="J493" s="34" t="str">
        <x:v>leak-warning</x:v>
      </x:c>
      <x:c r="K493" s="34" t="str">
        <x:v>leakWarnings</x:v>
      </x:c>
      <x:c r="L493" s="36" t="n">
        <x:v>5</x:v>
      </x:c>
      <x:c r="M493" s="34"/>
      <x:c r="N493" s="44" t="str">
        <x:v>03-Sep-2026 00:15:27.654 WARNING [http-nio-8080-exec-28]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494">
      <x:c r="A494" s="36" t="n">
        <x:v>493</x:v>
      </x:c>
      <x:c r="B494" s="34" t="str">
        <x:v>article1-unified-v4-2-fb3f101b-20260903-000401-default-f03-p4-jcs321</x:v>
      </x:c>
      <x:c r="C494" s="34" t="str">
        <x:v>default</x:v>
      </x:c>
      <x:c r="D494" s="34" t="str">
        <x:v>jcs321</x:v>
      </x:c>
      <x:c r="E494" s="36" t="n">
        <x:v>3</x:v>
      </x:c>
      <x:c r="F494" s="36" t="n">
        <x:v>3</x:v>
      </x:c>
      <x:c r="G494" s="36"/>
      <x:c r="H494" s="34" t="str">
        <x:v>process-run-aggregate</x:v>
      </x:c>
      <x:c r="I494" s="36"/>
      <x:c r="J494" s="34" t="str">
        <x:v>leak-warning</x:v>
      </x:c>
      <x:c r="K494" s="34" t="str">
        <x:v>leakWarnings</x:v>
      </x:c>
      <x:c r="L494" s="36" t="n">
        <x:v>6</x:v>
      </x:c>
      <x:c r="M494" s="34"/>
      <x:c r="N494" s="44" t="str">
        <x:v>03-Sep-2026 00:16:10.263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495">
      <x:c r="A495" s="36" t="n">
        <x:v>494</x:v>
      </x:c>
      <x:c r="B495" s="34" t="str">
        <x:v>article1-unified-v4-2-fb3f101b-20260903-000401-default-f03-p4-jcs321</x:v>
      </x:c>
      <x:c r="C495" s="34" t="str">
        <x:v>default</x:v>
      </x:c>
      <x:c r="D495" s="34" t="str">
        <x:v>jcs321</x:v>
      </x:c>
      <x:c r="E495" s="36" t="n">
        <x:v>3</x:v>
      </x:c>
      <x:c r="F495" s="36" t="n">
        <x:v>3</x:v>
      </x:c>
      <x:c r="G495" s="36"/>
      <x:c r="H495" s="34" t="str">
        <x:v>process-run-aggregate</x:v>
      </x:c>
      <x:c r="I495" s="36"/>
      <x:c r="J495" s="34" t="str">
        <x:v>leak-warning</x:v>
      </x:c>
      <x:c r="K495" s="34" t="str">
        <x:v>leakWarnings</x:v>
      </x:c>
      <x:c r="L495" s="36" t="n">
        <x:v>7</x:v>
      </x:c>
      <x:c r="M495" s="34"/>
      <x:c r="N495" s="44" t="str">
        <x:v>03-Sep-2026 00:16:56.230 WARNING [http-nio-8080-exec-40]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496">
      <x:c r="A496" s="36" t="n">
        <x:v>495</x:v>
      </x:c>
      <x:c r="B496" s="34" t="str">
        <x:v>article1-unified-v4-2-fb3f101b-20260903-000401-default-f03-p4-jcs321</x:v>
      </x:c>
      <x:c r="C496" s="34" t="str">
        <x:v>default</x:v>
      </x:c>
      <x:c r="D496" s="34" t="str">
        <x:v>jcs321</x:v>
      </x:c>
      <x:c r="E496" s="36" t="n">
        <x:v>3</x:v>
      </x:c>
      <x:c r="F496" s="36" t="n">
        <x:v>3</x:v>
      </x:c>
      <x:c r="G496" s="36"/>
      <x:c r="H496" s="34" t="str">
        <x:v>process-run-aggregate</x:v>
      </x:c>
      <x:c r="I496" s="36"/>
      <x:c r="J496" s="34" t="str">
        <x:v>leak-warning</x:v>
      </x:c>
      <x:c r="K496" s="34" t="str">
        <x:v>leakWarnings</x:v>
      </x:c>
      <x:c r="L496" s="36" t="n">
        <x:v>8</x:v>
      </x:c>
      <x:c r="M496" s="34"/>
      <x:c r="N496" s="44" t="str">
        <x:v>03-Sep-2026 00:17:38.950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497">
      <x:c r="A497" s="36" t="n">
        <x:v>496</x:v>
      </x:c>
      <x:c r="B497" s="34" t="str">
        <x:v>article1-unified-v4-2-fb3f101b-20260903-000401-default-f03-p4-jcs321</x:v>
      </x:c>
      <x:c r="C497" s="34" t="str">
        <x:v>default</x:v>
      </x:c>
      <x:c r="D497" s="34" t="str">
        <x:v>jcs321</x:v>
      </x:c>
      <x:c r="E497" s="36" t="n">
        <x:v>3</x:v>
      </x:c>
      <x:c r="F497" s="36" t="n">
        <x:v>3</x:v>
      </x:c>
      <x:c r="G497" s="36"/>
      <x:c r="H497" s="34" t="str">
        <x:v>process-run-aggregate</x:v>
      </x:c>
      <x:c r="I497" s="36"/>
      <x:c r="J497" s="34" t="str">
        <x:v>leak-warning</x:v>
      </x:c>
      <x:c r="K497" s="34" t="str">
        <x:v>leakWarnings</x:v>
      </x:c>
      <x:c r="L497" s="36" t="n">
        <x:v>9</x:v>
      </x:c>
      <x:c r="M497" s="34"/>
      <x:c r="N497" s="44" t="str">
        <x:v>03-Sep-2026 00:18:24.245 WARNING [http-nio-8080-exec-45]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498">
      <x:c r="A498" s="36" t="n">
        <x:v>497</x:v>
      </x:c>
      <x:c r="B498" s="34" t="str">
        <x:v>article1-unified-v4-2-fb3f101b-20260903-000401-default-f03-p4-jcs321</x:v>
      </x:c>
      <x:c r="C498" s="34" t="str">
        <x:v>default</x:v>
      </x:c>
      <x:c r="D498" s="34" t="str">
        <x:v>jcs321</x:v>
      </x:c>
      <x:c r="E498" s="36" t="n">
        <x:v>3</x:v>
      </x:c>
      <x:c r="F498" s="36" t="n">
        <x:v>3</x:v>
      </x:c>
      <x:c r="G498" s="36"/>
      <x:c r="H498" s="34" t="str">
        <x:v>process-run-aggregate</x:v>
      </x:c>
      <x:c r="I498" s="36"/>
      <x:c r="J498" s="34" t="str">
        <x:v>leak-warning</x:v>
      </x:c>
      <x:c r="K498" s="34" t="str">
        <x:v>leakWarnings</x:v>
      </x:c>
      <x:c r="L498" s="36" t="n">
        <x:v>10</x:v>
      </x:c>
      <x:c r="M498" s="34"/>
      <x:c r="N498" s="44" t="str">
        <x:v>03-Sep-2026 00:19:07.310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499">
      <x:c r="A499" s="36" t="n">
        <x:v>498</x:v>
      </x:c>
      <x:c r="B499" s="34" t="str">
        <x:v>article1-unified-v4-2-fb3f101b-20260903-000401-default-f03-p4-jcs321</x:v>
      </x:c>
      <x:c r="C499" s="34" t="str">
        <x:v>default</x:v>
      </x:c>
      <x:c r="D499" s="34" t="str">
        <x:v>jcs321</x:v>
      </x:c>
      <x:c r="E499" s="36" t="n">
        <x:v>3</x:v>
      </x:c>
      <x:c r="F499" s="36" t="n">
        <x:v>3</x:v>
      </x:c>
      <x:c r="G499" s="36"/>
      <x:c r="H499" s="34" t="str">
        <x:v>process-run-aggregate</x:v>
      </x:c>
      <x:c r="I499" s="36"/>
      <x:c r="J499" s="34" t="str">
        <x:v>thread-leak-warning</x:v>
      </x:c>
      <x:c r="K499" s="34" t="str">
        <x:v>threadLeakWarnings</x:v>
      </x:c>
      <x:c r="L499" s="36" t="n">
        <x:v>1</x:v>
      </x:c>
      <x:c r="M499" s="34"/>
      <x:c r="N499" s="44" t="str">
        <x:v>03-Sep-2026 00:12:28.368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500">
      <x:c r="A500" s="36" t="n">
        <x:v>499</x:v>
      </x:c>
      <x:c r="B500" s="34" t="str">
        <x:v>article1-unified-v4-2-fb3f101b-20260903-000401-default-f03-p4-jcs321</x:v>
      </x:c>
      <x:c r="C500" s="34" t="str">
        <x:v>default</x:v>
      </x:c>
      <x:c r="D500" s="34" t="str">
        <x:v>jcs321</x:v>
      </x:c>
      <x:c r="E500" s="36" t="n">
        <x:v>3</x:v>
      </x:c>
      <x:c r="F500" s="36" t="n">
        <x:v>3</x:v>
      </x:c>
      <x:c r="G500" s="36"/>
      <x:c r="H500" s="34" t="str">
        <x:v>process-run-aggregate</x:v>
      </x:c>
      <x:c r="I500" s="36"/>
      <x:c r="J500" s="34" t="str">
        <x:v>thread-leak-warning</x:v>
      </x:c>
      <x:c r="K500" s="34" t="str">
        <x:v>threadLeakWarnings</x:v>
      </x:c>
      <x:c r="L500" s="36" t="n">
        <x:v>2</x:v>
      </x:c>
      <x:c r="M500" s="34"/>
      <x:c r="N500" s="44" t="str">
        <x:v>03-Sep-2026 00:13:12.860 WARNING [http-nio-8080-exec-10]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501">
      <x:c r="A501" s="36" t="n">
        <x:v>500</x:v>
      </x:c>
      <x:c r="B501" s="34" t="str">
        <x:v>article1-unified-v4-2-fb3f101b-20260903-000401-default-f03-p4-jcs321</x:v>
      </x:c>
      <x:c r="C501" s="34" t="str">
        <x:v>default</x:v>
      </x:c>
      <x:c r="D501" s="34" t="str">
        <x:v>jcs321</x:v>
      </x:c>
      <x:c r="E501" s="36" t="n">
        <x:v>3</x:v>
      </x:c>
      <x:c r="F501" s="36" t="n">
        <x:v>3</x:v>
      </x:c>
      <x:c r="G501" s="36"/>
      <x:c r="H501" s="34" t="str">
        <x:v>process-run-aggregate</x:v>
      </x:c>
      <x:c r="I501" s="36"/>
      <x:c r="J501" s="34" t="str">
        <x:v>thread-leak-warning</x:v>
      </x:c>
      <x:c r="K501" s="34" t="str">
        <x:v>threadLeakWarnings</x:v>
      </x:c>
      <x:c r="L501" s="36" t="n">
        <x:v>3</x:v>
      </x:c>
      <x:c r="M501" s="34"/>
      <x:c r="N501" s="44" t="str">
        <x:v>03-Sep-2026 00:13:58.734 WARNING [http-nio-8080-exec-1]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502">
      <x:c r="A502" s="36" t="n">
        <x:v>501</x:v>
      </x:c>
      <x:c r="B502" s="34" t="str">
        <x:v>article1-unified-v4-2-fb3f101b-20260903-000401-default-f03-p4-jcs321</x:v>
      </x:c>
      <x:c r="C502" s="34" t="str">
        <x:v>default</x:v>
      </x:c>
      <x:c r="D502" s="34" t="str">
        <x:v>jcs321</x:v>
      </x:c>
      <x:c r="E502" s="36" t="n">
        <x:v>3</x:v>
      </x:c>
      <x:c r="F502" s="36" t="n">
        <x:v>3</x:v>
      </x:c>
      <x:c r="G502" s="36"/>
      <x:c r="H502" s="34" t="str">
        <x:v>process-run-aggregate</x:v>
      </x:c>
      <x:c r="I502" s="36"/>
      <x:c r="J502" s="34" t="str">
        <x:v>thread-leak-warning</x:v>
      </x:c>
      <x:c r="K502" s="34" t="str">
        <x:v>threadLeakWarnings</x:v>
      </x:c>
      <x:c r="L502" s="36" t="n">
        <x:v>4</x:v>
      </x:c>
      <x:c r="M502" s="34"/>
      <x:c r="N502" s="44" t="str">
        <x:v>03-Sep-2026 00:14:41.568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503">
      <x:c r="A503" s="36" t="n">
        <x:v>502</x:v>
      </x:c>
      <x:c r="B503" s="34" t="str">
        <x:v>article1-unified-v4-2-fb3f101b-20260903-000401-default-f03-p4-jcs321</x:v>
      </x:c>
      <x:c r="C503" s="34" t="str">
        <x:v>default</x:v>
      </x:c>
      <x:c r="D503" s="34" t="str">
        <x:v>jcs321</x:v>
      </x:c>
      <x:c r="E503" s="36" t="n">
        <x:v>3</x:v>
      </x:c>
      <x:c r="F503" s="36" t="n">
        <x:v>3</x:v>
      </x:c>
      <x:c r="G503" s="36"/>
      <x:c r="H503" s="34" t="str">
        <x:v>process-run-aggregate</x:v>
      </x:c>
      <x:c r="I503" s="36"/>
      <x:c r="J503" s="34" t="str">
        <x:v>thread-leak-warning</x:v>
      </x:c>
      <x:c r="K503" s="34" t="str">
        <x:v>threadLeakWarnings</x:v>
      </x:c>
      <x:c r="L503" s="36" t="n">
        <x:v>5</x:v>
      </x:c>
      <x:c r="M503" s="34"/>
      <x:c r="N503" s="44" t="str">
        <x:v>03-Sep-2026 00:15:27.654 WARNING [http-nio-8080-exec-28]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504">
      <x:c r="A504" s="36" t="n">
        <x:v>503</x:v>
      </x:c>
      <x:c r="B504" s="34" t="str">
        <x:v>article1-unified-v4-2-fb3f101b-20260903-000401-default-f03-p4-jcs321</x:v>
      </x:c>
      <x:c r="C504" s="34" t="str">
        <x:v>default</x:v>
      </x:c>
      <x:c r="D504" s="34" t="str">
        <x:v>jcs321</x:v>
      </x:c>
      <x:c r="E504" s="36" t="n">
        <x:v>3</x:v>
      </x:c>
      <x:c r="F504" s="36" t="n">
        <x:v>3</x:v>
      </x:c>
      <x:c r="G504" s="36"/>
      <x:c r="H504" s="34" t="str">
        <x:v>process-run-aggregate</x:v>
      </x:c>
      <x:c r="I504" s="36"/>
      <x:c r="J504" s="34" t="str">
        <x:v>thread-leak-warning</x:v>
      </x:c>
      <x:c r="K504" s="34" t="str">
        <x:v>threadLeakWarnings</x:v>
      </x:c>
      <x:c r="L504" s="36" t="n">
        <x:v>6</x:v>
      </x:c>
      <x:c r="M504" s="34"/>
      <x:c r="N504" s="44" t="str">
        <x:v>03-Sep-2026 00:16:10.263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505">
      <x:c r="A505" s="36" t="n">
        <x:v>504</x:v>
      </x:c>
      <x:c r="B505" s="34" t="str">
        <x:v>article1-unified-v4-2-fb3f101b-20260903-000401-default-f03-p4-jcs321</x:v>
      </x:c>
      <x:c r="C505" s="34" t="str">
        <x:v>default</x:v>
      </x:c>
      <x:c r="D505" s="34" t="str">
        <x:v>jcs321</x:v>
      </x:c>
      <x:c r="E505" s="36" t="n">
        <x:v>3</x:v>
      </x:c>
      <x:c r="F505" s="36" t="n">
        <x:v>3</x:v>
      </x:c>
      <x:c r="G505" s="36"/>
      <x:c r="H505" s="34" t="str">
        <x:v>process-run-aggregate</x:v>
      </x:c>
      <x:c r="I505" s="36"/>
      <x:c r="J505" s="34" t="str">
        <x:v>thread-leak-warning</x:v>
      </x:c>
      <x:c r="K505" s="34" t="str">
        <x:v>threadLeakWarnings</x:v>
      </x:c>
      <x:c r="L505" s="36" t="n">
        <x:v>7</x:v>
      </x:c>
      <x:c r="M505" s="34"/>
      <x:c r="N505" s="44" t="str">
        <x:v>03-Sep-2026 00:16:56.230 WARNING [http-nio-8080-exec-40]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506">
      <x:c r="A506" s="36" t="n">
        <x:v>505</x:v>
      </x:c>
      <x:c r="B506" s="34" t="str">
        <x:v>article1-unified-v4-2-fb3f101b-20260903-000401-default-f03-p4-jcs321</x:v>
      </x:c>
      <x:c r="C506" s="34" t="str">
        <x:v>default</x:v>
      </x:c>
      <x:c r="D506" s="34" t="str">
        <x:v>jcs321</x:v>
      </x:c>
      <x:c r="E506" s="36" t="n">
        <x:v>3</x:v>
      </x:c>
      <x:c r="F506" s="36" t="n">
        <x:v>3</x:v>
      </x:c>
      <x:c r="G506" s="36"/>
      <x:c r="H506" s="34" t="str">
        <x:v>process-run-aggregate</x:v>
      </x:c>
      <x:c r="I506" s="36"/>
      <x:c r="J506" s="34" t="str">
        <x:v>thread-leak-warning</x:v>
      </x:c>
      <x:c r="K506" s="34" t="str">
        <x:v>threadLeakWarnings</x:v>
      </x:c>
      <x:c r="L506" s="36" t="n">
        <x:v>8</x:v>
      </x:c>
      <x:c r="M506" s="34"/>
      <x:c r="N506" s="44" t="str">
        <x:v>03-Sep-2026 00:17:38.950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507">
      <x:c r="A507" s="36" t="n">
        <x:v>506</x:v>
      </x:c>
      <x:c r="B507" s="34" t="str">
        <x:v>article1-unified-v4-2-fb3f101b-20260903-000401-default-f03-p4-jcs321</x:v>
      </x:c>
      <x:c r="C507" s="34" t="str">
        <x:v>default</x:v>
      </x:c>
      <x:c r="D507" s="34" t="str">
        <x:v>jcs321</x:v>
      </x:c>
      <x:c r="E507" s="36" t="n">
        <x:v>3</x:v>
      </x:c>
      <x:c r="F507" s="36" t="n">
        <x:v>3</x:v>
      </x:c>
      <x:c r="G507" s="36"/>
      <x:c r="H507" s="34" t="str">
        <x:v>process-run-aggregate</x:v>
      </x:c>
      <x:c r="I507" s="36"/>
      <x:c r="J507" s="34" t="str">
        <x:v>thread-leak-warning</x:v>
      </x:c>
      <x:c r="K507" s="34" t="str">
        <x:v>threadLeakWarnings</x:v>
      </x:c>
      <x:c r="L507" s="36" t="n">
        <x:v>9</x:v>
      </x:c>
      <x:c r="M507" s="34"/>
      <x:c r="N507" s="44" t="str">
        <x:v>03-Sep-2026 00:18:24.245 WARNING [http-nio-8080-exec-45]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508">
      <x:c r="A508" s="36" t="n">
        <x:v>507</x:v>
      </x:c>
      <x:c r="B508" s="34" t="str">
        <x:v>article1-unified-v4-2-fb3f101b-20260903-000401-default-f03-p4-jcs321</x:v>
      </x:c>
      <x:c r="C508" s="34" t="str">
        <x:v>default</x:v>
      </x:c>
      <x:c r="D508" s="34" t="str">
        <x:v>jcs321</x:v>
      </x:c>
      <x:c r="E508" s="36" t="n">
        <x:v>3</x:v>
      </x:c>
      <x:c r="F508" s="36" t="n">
        <x:v>3</x:v>
      </x:c>
      <x:c r="G508" s="36"/>
      <x:c r="H508" s="34" t="str">
        <x:v>process-run-aggregate</x:v>
      </x:c>
      <x:c r="I508" s="36"/>
      <x:c r="J508" s="34" t="str">
        <x:v>thread-leak-warning</x:v>
      </x:c>
      <x:c r="K508" s="34" t="str">
        <x:v>threadLeakWarnings</x:v>
      </x:c>
      <x:c r="L508" s="36" t="n">
        <x:v>10</x:v>
      </x:c>
      <x:c r="M508" s="34"/>
      <x:c r="N508" s="44" t="str">
        <x:v>03-Sep-2026 00:19:07.310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509">
      <x:c r="A509" s="36" t="n">
        <x:v>508</x:v>
      </x:c>
      <x:c r="B509" s="34" t="str">
        <x:v>article1-unified-v4-2-fb3f101b-20260903-000401-default-f03-p4-jcs321</x:v>
      </x:c>
      <x:c r="C509" s="34" t="str">
        <x:v>default</x:v>
      </x:c>
      <x:c r="D509" s="34" t="str">
        <x:v>jcs321</x:v>
      </x:c>
      <x:c r="E509" s="36" t="n">
        <x:v>3</x:v>
      </x:c>
      <x:c r="F509" s="36" t="n">
        <x:v>3</x:v>
      </x:c>
      <x:c r="G509" s="36" t="n">
        <x:v>1</x:v>
      </x:c>
      <x:c r="H509" s="34" t="str">
        <x:v>cycle-window</x:v>
      </x:c>
      <x:c r="I509" s="36" t="n">
        <x:v>1</x:v>
      </x:c>
      <x:c r="J509" s="34" t="str">
        <x:v>warning</x:v>
      </x:c>
      <x:c r="K509" s="34" t="str">
        <x:v>firstUndeployWarnings</x:v>
      </x:c>
      <x:c r="L509" s="36" t="n">
        <x:v>1</x:v>
      </x:c>
      <x:c r="M509" s="34"/>
      <x:c r="N509" s="44" t="str">
        <x:v>03-Sep-2026 00:12:28.368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510">
      <x:c r="A510" s="36" t="n">
        <x:v>509</x:v>
      </x:c>
      <x:c r="B510" s="34" t="str">
        <x:v>article1-unified-v4-2-fb3f101b-20260903-000401-default-f03-p4-jcs321</x:v>
      </x:c>
      <x:c r="C510" s="34" t="str">
        <x:v>default</x:v>
      </x:c>
      <x:c r="D510" s="34" t="str">
        <x:v>jcs321</x:v>
      </x:c>
      <x:c r="E510" s="36" t="n">
        <x:v>3</x:v>
      </x:c>
      <x:c r="F510" s="36" t="n">
        <x:v>3</x:v>
      </x:c>
      <x:c r="G510" s="36" t="n">
        <x:v>1</x:v>
      </x:c>
      <x:c r="H510" s="34" t="str">
        <x:v>cycle-window</x:v>
      </x:c>
      <x:c r="I510" s="36" t="n">
        <x:v>1</x:v>
      </x:c>
      <x:c r="J510" s="34" t="str">
        <x:v>leak-warning</x:v>
      </x:c>
      <x:c r="K510" s="34" t="str">
        <x:v>firstUndeployLeakWarnings</x:v>
      </x:c>
      <x:c r="L510" s="36" t="n">
        <x:v>1</x:v>
      </x:c>
      <x:c r="M510" s="34"/>
      <x:c r="N510" s="44" t="str">
        <x:v>03-Sep-2026 00:12:28.368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511">
      <x:c r="A511" s="36" t="n">
        <x:v>510</x:v>
      </x:c>
      <x:c r="B511" s="34" t="str">
        <x:v>article1-unified-v4-2-fb3f101b-20260903-000401-default-f03-p4-jcs321</x:v>
      </x:c>
      <x:c r="C511" s="34" t="str">
        <x:v>default</x:v>
      </x:c>
      <x:c r="D511" s="34" t="str">
        <x:v>jcs321</x:v>
      </x:c>
      <x:c r="E511" s="36" t="n">
        <x:v>3</x:v>
      </x:c>
      <x:c r="F511" s="36" t="n">
        <x:v>3</x:v>
      </x:c>
      <x:c r="G511" s="36" t="n">
        <x:v>1</x:v>
      </x:c>
      <x:c r="H511" s="34" t="str">
        <x:v>cycle-window</x:v>
      </x:c>
      <x:c r="I511" s="36" t="n">
        <x:v>1</x:v>
      </x:c>
      <x:c r="J511" s="34" t="str">
        <x:v>thread-leak-warning</x:v>
      </x:c>
      <x:c r="K511" s="34" t="str">
        <x:v>firstUndeployThreadLeakWarnings</x:v>
      </x:c>
      <x:c r="L511" s="36" t="n">
        <x:v>1</x:v>
      </x:c>
      <x:c r="M511" s="34"/>
      <x:c r="N511" s="44" t="str">
        <x:v>03-Sep-2026 00:12:28.368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512">
      <x:c r="A512" s="36" t="n">
        <x:v>511</x:v>
      </x:c>
      <x:c r="B512" s="34" t="str">
        <x:v>article1-unified-v4-2-fb3f101b-20260903-000401-default-f03-p4-jcs321</x:v>
      </x:c>
      <x:c r="C512" s="34" t="str">
        <x:v>default</x:v>
      </x:c>
      <x:c r="D512" s="34" t="str">
        <x:v>jcs321</x:v>
      </x:c>
      <x:c r="E512" s="36" t="n">
        <x:v>3</x:v>
      </x:c>
      <x:c r="F512" s="36" t="n">
        <x:v>3</x:v>
      </x:c>
      <x:c r="G512" s="36" t="n">
        <x:v>1</x:v>
      </x:c>
      <x:c r="H512" s="34" t="str">
        <x:v>cycle-window</x:v>
      </x:c>
      <x:c r="I512" s="36" t="n">
        <x:v>2</x:v>
      </x:c>
      <x:c r="J512" s="34" t="str">
        <x:v>warning</x:v>
      </x:c>
      <x:c r="K512" s="34" t="str">
        <x:v>secondUndeployWarnings</x:v>
      </x:c>
      <x:c r="L512" s="36" t="n">
        <x:v>1</x:v>
      </x:c>
      <x:c r="M512" s="34"/>
      <x:c r="N512" s="44" t="str">
        <x:v>03-Sep-2026 00:13:12.860 WARNING [http-nio-8080-exec-10]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513">
      <x:c r="A513" s="36" t="n">
        <x:v>512</x:v>
      </x:c>
      <x:c r="B513" s="34" t="str">
        <x:v>article1-unified-v4-2-fb3f101b-20260903-000401-default-f03-p4-jcs321</x:v>
      </x:c>
      <x:c r="C513" s="34" t="str">
        <x:v>default</x:v>
      </x:c>
      <x:c r="D513" s="34" t="str">
        <x:v>jcs321</x:v>
      </x:c>
      <x:c r="E513" s="36" t="n">
        <x:v>3</x:v>
      </x:c>
      <x:c r="F513" s="36" t="n">
        <x:v>3</x:v>
      </x:c>
      <x:c r="G513" s="36" t="n">
        <x:v>1</x:v>
      </x:c>
      <x:c r="H513" s="34" t="str">
        <x:v>cycle-window</x:v>
      </x:c>
      <x:c r="I513" s="36" t="n">
        <x:v>2</x:v>
      </x:c>
      <x:c r="J513" s="34" t="str">
        <x:v>leak-warning</x:v>
      </x:c>
      <x:c r="K513" s="34" t="str">
        <x:v>secondUndeployLeakWarnings</x:v>
      </x:c>
      <x:c r="L513" s="36" t="n">
        <x:v>1</x:v>
      </x:c>
      <x:c r="M513" s="34"/>
      <x:c r="N513" s="44" t="str">
        <x:v>03-Sep-2026 00:13:12.860 WARNING [http-nio-8080-exec-10]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514">
      <x:c r="A514" s="36" t="n">
        <x:v>513</x:v>
      </x:c>
      <x:c r="B514" s="34" t="str">
        <x:v>article1-unified-v4-2-fb3f101b-20260903-000401-default-f03-p4-jcs321</x:v>
      </x:c>
      <x:c r="C514" s="34" t="str">
        <x:v>default</x:v>
      </x:c>
      <x:c r="D514" s="34" t="str">
        <x:v>jcs321</x:v>
      </x:c>
      <x:c r="E514" s="36" t="n">
        <x:v>3</x:v>
      </x:c>
      <x:c r="F514" s="36" t="n">
        <x:v>3</x:v>
      </x:c>
      <x:c r="G514" s="36" t="n">
        <x:v>1</x:v>
      </x:c>
      <x:c r="H514" s="34" t="str">
        <x:v>cycle-window</x:v>
      </x:c>
      <x:c r="I514" s="36" t="n">
        <x:v>2</x:v>
      </x:c>
      <x:c r="J514" s="34" t="str">
        <x:v>thread-leak-warning</x:v>
      </x:c>
      <x:c r="K514" s="34" t="str">
        <x:v>secondUndeployThreadLeakWarnings</x:v>
      </x:c>
      <x:c r="L514" s="36" t="n">
        <x:v>1</x:v>
      </x:c>
      <x:c r="M514" s="34"/>
      <x:c r="N514" s="44" t="str">
        <x:v>03-Sep-2026 00:13:12.860 WARNING [http-nio-8080-exec-10]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515">
      <x:c r="A515" s="36" t="n">
        <x:v>514</x:v>
      </x:c>
      <x:c r="B515" s="34" t="str">
        <x:v>article1-unified-v4-2-fb3f101b-20260903-000401-default-f03-p4-jcs321</x:v>
      </x:c>
      <x:c r="C515" s="34" t="str">
        <x:v>default</x:v>
      </x:c>
      <x:c r="D515" s="34" t="str">
        <x:v>jcs321</x:v>
      </x:c>
      <x:c r="E515" s="36" t="n">
        <x:v>3</x:v>
      </x:c>
      <x:c r="F515" s="36" t="n">
        <x:v>3</x:v>
      </x:c>
      <x:c r="G515" s="36" t="n">
        <x:v>1</x:v>
      </x:c>
      <x:c r="H515" s="34" t="str">
        <x:v>cycle-observation</x:v>
      </x:c>
      <x:c r="I515" s="36" t="n">
        <x:v>1</x:v>
      </x:c>
      <x:c r="J515" s="34" t="str">
        <x:v>tomcat-findleaks-occurrence</x:v>
      </x:c>
      <x:c r="K515" s="34" t="str">
        <x:v>afterUndeploy.tomcatFindLeaksOccurrences</x:v>
      </x:c>
      <x:c r="L515" s="36" t="n">
        <x:v>1</x:v>
      </x:c>
      <x:c r="M515" s="34" t="str">
        <x:v>/jcs321</x:v>
      </x:c>
      <x:c r="N515" s="44" t="str">
        <x:v>/jcs321</x:v>
      </x:c>
    </x:row>
    <x:row r="516">
      <x:c r="A516" s="36" t="n">
        <x:v>515</x:v>
      </x:c>
      <x:c r="B516" s="34" t="str">
        <x:v>article1-unified-v4-2-fb3f101b-20260903-000401-default-f03-p4-jcs321</x:v>
      </x:c>
      <x:c r="C516" s="34" t="str">
        <x:v>default</x:v>
      </x:c>
      <x:c r="D516" s="34" t="str">
        <x:v>jcs321</x:v>
      </x:c>
      <x:c r="E516" s="36" t="n">
        <x:v>3</x:v>
      </x:c>
      <x:c r="F516" s="36" t="n">
        <x:v>3</x:v>
      </x:c>
      <x:c r="G516" s="36" t="n">
        <x:v>1</x:v>
      </x:c>
      <x:c r="H516" s="34" t="str">
        <x:v>cycle-observation</x:v>
      </x:c>
      <x:c r="I516" s="36" t="n">
        <x:v>2</x:v>
      </x:c>
      <x:c r="J516" s="34" t="str">
        <x:v>tomcat-findleaks-occurrence</x:v>
      </x:c>
      <x:c r="K516" s="34" t="str">
        <x:v>afterFinalUndeploy.tomcatFindLeaksOccurrences</x:v>
      </x:c>
      <x:c r="L516" s="36" t="n">
        <x:v>1</x:v>
      </x:c>
      <x:c r="M516" s="34" t="str">
        <x:v>/jcs321</x:v>
      </x:c>
      <x:c r="N516" s="44" t="str">
        <x:v>/jcs321</x:v>
      </x:c>
    </x:row>
    <x:row r="517">
      <x:c r="A517" s="36" t="n">
        <x:v>516</x:v>
      </x:c>
      <x:c r="B517" s="34" t="str">
        <x:v>article1-unified-v4-2-fb3f101b-20260903-000401-default-f03-p4-jcs321</x:v>
      </x:c>
      <x:c r="C517" s="34" t="str">
        <x:v>default</x:v>
      </x:c>
      <x:c r="D517" s="34" t="str">
        <x:v>jcs321</x:v>
      </x:c>
      <x:c r="E517" s="36" t="n">
        <x:v>3</x:v>
      </x:c>
      <x:c r="F517" s="36" t="n">
        <x:v>3</x:v>
      </x:c>
      <x:c r="G517" s="36" t="n">
        <x:v>1</x:v>
      </x:c>
      <x:c r="H517" s="34" t="str">
        <x:v>cycle-observation</x:v>
      </x:c>
      <x:c r="I517" s="36" t="n">
        <x:v>2</x:v>
      </x:c>
      <x:c r="J517" s="34" t="str">
        <x:v>tomcat-findleaks-occurrence</x:v>
      </x:c>
      <x:c r="K517" s="34" t="str">
        <x:v>afterFinalUndeploy.tomcatFindLeaksOccurrences</x:v>
      </x:c>
      <x:c r="L517" s="36" t="n">
        <x:v>2</x:v>
      </x:c>
      <x:c r="M517" s="34" t="str">
        <x:v>/jcs321</x:v>
      </x:c>
      <x:c r="N517" s="44" t="str">
        <x:v>/jcs321</x:v>
      </x:c>
    </x:row>
    <x:row r="518">
      <x:c r="A518" s="36" t="n">
        <x:v>517</x:v>
      </x:c>
      <x:c r="B518" s="34" t="str">
        <x:v>article1-unified-v4-2-fb3f101b-20260903-000401-default-f03-p4-jcs321</x:v>
      </x:c>
      <x:c r="C518" s="34" t="str">
        <x:v>default</x:v>
      </x:c>
      <x:c r="D518" s="34" t="str">
        <x:v>jcs321</x:v>
      </x:c>
      <x:c r="E518" s="36" t="n">
        <x:v>3</x:v>
      </x:c>
      <x:c r="F518" s="36" t="n">
        <x:v>3</x:v>
      </x:c>
      <x:c r="G518" s="36" t="n">
        <x:v>2</x:v>
      </x:c>
      <x:c r="H518" s="34" t="str">
        <x:v>cycle-window</x:v>
      </x:c>
      <x:c r="I518" s="36" t="n">
        <x:v>1</x:v>
      </x:c>
      <x:c r="J518" s="34" t="str">
        <x:v>warning</x:v>
      </x:c>
      <x:c r="K518" s="34" t="str">
        <x:v>firstUndeployWarnings</x:v>
      </x:c>
      <x:c r="L518" s="36" t="n">
        <x:v>1</x:v>
      </x:c>
      <x:c r="M518" s="34"/>
      <x:c r="N518" s="44" t="str">
        <x:v>03-Sep-2026 00:13:58.734 WARNING [http-nio-8080-exec-1]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519">
      <x:c r="A519" s="36" t="n">
        <x:v>518</x:v>
      </x:c>
      <x:c r="B519" s="34" t="str">
        <x:v>article1-unified-v4-2-fb3f101b-20260903-000401-default-f03-p4-jcs321</x:v>
      </x:c>
      <x:c r="C519" s="34" t="str">
        <x:v>default</x:v>
      </x:c>
      <x:c r="D519" s="34" t="str">
        <x:v>jcs321</x:v>
      </x:c>
      <x:c r="E519" s="36" t="n">
        <x:v>3</x:v>
      </x:c>
      <x:c r="F519" s="36" t="n">
        <x:v>3</x:v>
      </x:c>
      <x:c r="G519" s="36" t="n">
        <x:v>2</x:v>
      </x:c>
      <x:c r="H519" s="34" t="str">
        <x:v>cycle-window</x:v>
      </x:c>
      <x:c r="I519" s="36" t="n">
        <x:v>1</x:v>
      </x:c>
      <x:c r="J519" s="34" t="str">
        <x:v>leak-warning</x:v>
      </x:c>
      <x:c r="K519" s="34" t="str">
        <x:v>firstUndeployLeakWarnings</x:v>
      </x:c>
      <x:c r="L519" s="36" t="n">
        <x:v>1</x:v>
      </x:c>
      <x:c r="M519" s="34"/>
      <x:c r="N519" s="44" t="str">
        <x:v>03-Sep-2026 00:13:58.734 WARNING [http-nio-8080-exec-1]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520">
      <x:c r="A520" s="36" t="n">
        <x:v>519</x:v>
      </x:c>
      <x:c r="B520" s="34" t="str">
        <x:v>article1-unified-v4-2-fb3f101b-20260903-000401-default-f03-p4-jcs321</x:v>
      </x:c>
      <x:c r="C520" s="34" t="str">
        <x:v>default</x:v>
      </x:c>
      <x:c r="D520" s="34" t="str">
        <x:v>jcs321</x:v>
      </x:c>
      <x:c r="E520" s="36" t="n">
        <x:v>3</x:v>
      </x:c>
      <x:c r="F520" s="36" t="n">
        <x:v>3</x:v>
      </x:c>
      <x:c r="G520" s="36" t="n">
        <x:v>2</x:v>
      </x:c>
      <x:c r="H520" s="34" t="str">
        <x:v>cycle-window</x:v>
      </x:c>
      <x:c r="I520" s="36" t="n">
        <x:v>1</x:v>
      </x:c>
      <x:c r="J520" s="34" t="str">
        <x:v>thread-leak-warning</x:v>
      </x:c>
      <x:c r="K520" s="34" t="str">
        <x:v>firstUndeployThreadLeakWarnings</x:v>
      </x:c>
      <x:c r="L520" s="36" t="n">
        <x:v>1</x:v>
      </x:c>
      <x:c r="M520" s="34"/>
      <x:c r="N520" s="44" t="str">
        <x:v>03-Sep-2026 00:13:58.734 WARNING [http-nio-8080-exec-1]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521">
      <x:c r="A521" s="36" t="n">
        <x:v>520</x:v>
      </x:c>
      <x:c r="B521" s="34" t="str">
        <x:v>article1-unified-v4-2-fb3f101b-20260903-000401-default-f03-p4-jcs321</x:v>
      </x:c>
      <x:c r="C521" s="34" t="str">
        <x:v>default</x:v>
      </x:c>
      <x:c r="D521" s="34" t="str">
        <x:v>jcs321</x:v>
      </x:c>
      <x:c r="E521" s="36" t="n">
        <x:v>3</x:v>
      </x:c>
      <x:c r="F521" s="36" t="n">
        <x:v>3</x:v>
      </x:c>
      <x:c r="G521" s="36" t="n">
        <x:v>2</x:v>
      </x:c>
      <x:c r="H521" s="34" t="str">
        <x:v>cycle-window</x:v>
      </x:c>
      <x:c r="I521" s="36" t="n">
        <x:v>2</x:v>
      </x:c>
      <x:c r="J521" s="34" t="str">
        <x:v>warning</x:v>
      </x:c>
      <x:c r="K521" s="34" t="str">
        <x:v>secondUndeployWarnings</x:v>
      </x:c>
      <x:c r="L521" s="36" t="n">
        <x:v>1</x:v>
      </x:c>
      <x:c r="M521" s="34"/>
      <x:c r="N521" s="44" t="str">
        <x:v>03-Sep-2026 00:14:41.568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522">
      <x:c r="A522" s="36" t="n">
        <x:v>521</x:v>
      </x:c>
      <x:c r="B522" s="34" t="str">
        <x:v>article1-unified-v4-2-fb3f101b-20260903-000401-default-f03-p4-jcs321</x:v>
      </x:c>
      <x:c r="C522" s="34" t="str">
        <x:v>default</x:v>
      </x:c>
      <x:c r="D522" s="34" t="str">
        <x:v>jcs321</x:v>
      </x:c>
      <x:c r="E522" s="36" t="n">
        <x:v>3</x:v>
      </x:c>
      <x:c r="F522" s="36" t="n">
        <x:v>3</x:v>
      </x:c>
      <x:c r="G522" s="36" t="n">
        <x:v>2</x:v>
      </x:c>
      <x:c r="H522" s="34" t="str">
        <x:v>cycle-window</x:v>
      </x:c>
      <x:c r="I522" s="36" t="n">
        <x:v>2</x:v>
      </x:c>
      <x:c r="J522" s="34" t="str">
        <x:v>leak-warning</x:v>
      </x:c>
      <x:c r="K522" s="34" t="str">
        <x:v>secondUndeployLeakWarnings</x:v>
      </x:c>
      <x:c r="L522" s="36" t="n">
        <x:v>1</x:v>
      </x:c>
      <x:c r="M522" s="34"/>
      <x:c r="N522" s="44" t="str">
        <x:v>03-Sep-2026 00:14:41.568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523">
      <x:c r="A523" s="36" t="n">
        <x:v>522</x:v>
      </x:c>
      <x:c r="B523" s="34" t="str">
        <x:v>article1-unified-v4-2-fb3f101b-20260903-000401-default-f03-p4-jcs321</x:v>
      </x:c>
      <x:c r="C523" s="34" t="str">
        <x:v>default</x:v>
      </x:c>
      <x:c r="D523" s="34" t="str">
        <x:v>jcs321</x:v>
      </x:c>
      <x:c r="E523" s="36" t="n">
        <x:v>3</x:v>
      </x:c>
      <x:c r="F523" s="36" t="n">
        <x:v>3</x:v>
      </x:c>
      <x:c r="G523" s="36" t="n">
        <x:v>2</x:v>
      </x:c>
      <x:c r="H523" s="34" t="str">
        <x:v>cycle-window</x:v>
      </x:c>
      <x:c r="I523" s="36" t="n">
        <x:v>2</x:v>
      </x:c>
      <x:c r="J523" s="34" t="str">
        <x:v>thread-leak-warning</x:v>
      </x:c>
      <x:c r="K523" s="34" t="str">
        <x:v>secondUndeployThreadLeakWarnings</x:v>
      </x:c>
      <x:c r="L523" s="36" t="n">
        <x:v>1</x:v>
      </x:c>
      <x:c r="M523" s="34"/>
      <x:c r="N523" s="44" t="str">
        <x:v>03-Sep-2026 00:14:41.568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524">
      <x:c r="A524" s="36" t="n">
        <x:v>523</x:v>
      </x:c>
      <x:c r="B524" s="34" t="str">
        <x:v>article1-unified-v4-2-fb3f101b-20260903-000401-default-f03-p4-jcs321</x:v>
      </x:c>
      <x:c r="C524" s="34" t="str">
        <x:v>default</x:v>
      </x:c>
      <x:c r="D524" s="34" t="str">
        <x:v>jcs321</x:v>
      </x:c>
      <x:c r="E524" s="36" t="n">
        <x:v>3</x:v>
      </x:c>
      <x:c r="F524" s="36" t="n">
        <x:v>3</x:v>
      </x:c>
      <x:c r="G524" s="36" t="n">
        <x:v>2</x:v>
      </x:c>
      <x:c r="H524" s="34" t="str">
        <x:v>cycle-observation</x:v>
      </x:c>
      <x:c r="I524" s="36" t="n">
        <x:v>1</x:v>
      </x:c>
      <x:c r="J524" s="34" t="str">
        <x:v>tomcat-findleaks-occurrence</x:v>
      </x:c>
      <x:c r="K524" s="34" t="str">
        <x:v>afterUndeploy.tomcatFindLeaksOccurrences</x:v>
      </x:c>
      <x:c r="L524" s="36" t="n">
        <x:v>1</x:v>
      </x:c>
      <x:c r="M524" s="34" t="str">
        <x:v>/jcs321</x:v>
      </x:c>
      <x:c r="N524" s="44" t="str">
        <x:v>/jcs321</x:v>
      </x:c>
    </x:row>
    <x:row r="525">
      <x:c r="A525" s="36" t="n">
        <x:v>524</x:v>
      </x:c>
      <x:c r="B525" s="34" t="str">
        <x:v>article1-unified-v4-2-fb3f101b-20260903-000401-default-f03-p4-jcs321</x:v>
      </x:c>
      <x:c r="C525" s="34" t="str">
        <x:v>default</x:v>
      </x:c>
      <x:c r="D525" s="34" t="str">
        <x:v>jcs321</x:v>
      </x:c>
      <x:c r="E525" s="36" t="n">
        <x:v>3</x:v>
      </x:c>
      <x:c r="F525" s="36" t="n">
        <x:v>3</x:v>
      </x:c>
      <x:c r="G525" s="36" t="n">
        <x:v>2</x:v>
      </x:c>
      <x:c r="H525" s="34" t="str">
        <x:v>cycle-observation</x:v>
      </x:c>
      <x:c r="I525" s="36" t="n">
        <x:v>1</x:v>
      </x:c>
      <x:c r="J525" s="34" t="str">
        <x:v>tomcat-findleaks-occurrence</x:v>
      </x:c>
      <x:c r="K525" s="34" t="str">
        <x:v>afterUndeploy.tomcatFindLeaksOccurrences</x:v>
      </x:c>
      <x:c r="L525" s="36" t="n">
        <x:v>2</x:v>
      </x:c>
      <x:c r="M525" s="34" t="str">
        <x:v>/jcs321</x:v>
      </x:c>
      <x:c r="N525" s="44" t="str">
        <x:v>/jcs321</x:v>
      </x:c>
    </x:row>
    <x:row r="526">
      <x:c r="A526" s="36" t="n">
        <x:v>525</x:v>
      </x:c>
      <x:c r="B526" s="34" t="str">
        <x:v>article1-unified-v4-2-fb3f101b-20260903-000401-default-f03-p4-jcs321</x:v>
      </x:c>
      <x:c r="C526" s="34" t="str">
        <x:v>default</x:v>
      </x:c>
      <x:c r="D526" s="34" t="str">
        <x:v>jcs321</x:v>
      </x:c>
      <x:c r="E526" s="36" t="n">
        <x:v>3</x:v>
      </x:c>
      <x:c r="F526" s="36" t="n">
        <x:v>3</x:v>
      </x:c>
      <x:c r="G526" s="36" t="n">
        <x:v>2</x:v>
      </x:c>
      <x:c r="H526" s="34" t="str">
        <x:v>cycle-observation</x:v>
      </x:c>
      <x:c r="I526" s="36" t="n">
        <x:v>1</x:v>
      </x:c>
      <x:c r="J526" s="34" t="str">
        <x:v>tomcat-findleaks-occurrence</x:v>
      </x:c>
      <x:c r="K526" s="34" t="str">
        <x:v>afterUndeploy.tomcatFindLeaksOccurrences</x:v>
      </x:c>
      <x:c r="L526" s="36" t="n">
        <x:v>3</x:v>
      </x:c>
      <x:c r="M526" s="34" t="str">
        <x:v>/jcs321</x:v>
      </x:c>
      <x:c r="N526" s="44" t="str">
        <x:v>/jcs321</x:v>
      </x:c>
    </x:row>
    <x:row r="527">
      <x:c r="A527" s="36" t="n">
        <x:v>526</x:v>
      </x:c>
      <x:c r="B527" s="34" t="str">
        <x:v>article1-unified-v4-2-fb3f101b-20260903-000401-default-f03-p4-jcs321</x:v>
      </x:c>
      <x:c r="C527" s="34" t="str">
        <x:v>default</x:v>
      </x:c>
      <x:c r="D527" s="34" t="str">
        <x:v>jcs321</x:v>
      </x:c>
      <x:c r="E527" s="36" t="n">
        <x:v>3</x:v>
      </x:c>
      <x:c r="F527" s="36" t="n">
        <x:v>3</x:v>
      </x:c>
      <x:c r="G527" s="36" t="n">
        <x:v>2</x:v>
      </x:c>
      <x:c r="H527" s="34" t="str">
        <x:v>cycle-observation</x:v>
      </x:c>
      <x:c r="I527" s="36" t="n">
        <x:v>2</x:v>
      </x:c>
      <x:c r="J527" s="34" t="str">
        <x:v>tomcat-findleaks-occurrence</x:v>
      </x:c>
      <x:c r="K527" s="34" t="str">
        <x:v>afterFinalUndeploy.tomcatFindLeaksOccurrences</x:v>
      </x:c>
      <x:c r="L527" s="36" t="n">
        <x:v>1</x:v>
      </x:c>
      <x:c r="M527" s="34" t="str">
        <x:v>/jcs321</x:v>
      </x:c>
      <x:c r="N527" s="44" t="str">
        <x:v>/jcs321</x:v>
      </x:c>
    </x:row>
    <x:row r="528">
      <x:c r="A528" s="36" t="n">
        <x:v>527</x:v>
      </x:c>
      <x:c r="B528" s="34" t="str">
        <x:v>article1-unified-v4-2-fb3f101b-20260903-000401-default-f03-p4-jcs321</x:v>
      </x:c>
      <x:c r="C528" s="34" t="str">
        <x:v>default</x:v>
      </x:c>
      <x:c r="D528" s="34" t="str">
        <x:v>jcs321</x:v>
      </x:c>
      <x:c r="E528" s="36" t="n">
        <x:v>3</x:v>
      </x:c>
      <x:c r="F528" s="36" t="n">
        <x:v>3</x:v>
      </x:c>
      <x:c r="G528" s="36" t="n">
        <x:v>2</x:v>
      </x:c>
      <x:c r="H528" s="34" t="str">
        <x:v>cycle-observation</x:v>
      </x:c>
      <x:c r="I528" s="36" t="n">
        <x:v>2</x:v>
      </x:c>
      <x:c r="J528" s="34" t="str">
        <x:v>tomcat-findleaks-occurrence</x:v>
      </x:c>
      <x:c r="K528" s="34" t="str">
        <x:v>afterFinalUndeploy.tomcatFindLeaksOccurrences</x:v>
      </x:c>
      <x:c r="L528" s="36" t="n">
        <x:v>2</x:v>
      </x:c>
      <x:c r="M528" s="34" t="str">
        <x:v>/jcs321</x:v>
      </x:c>
      <x:c r="N528" s="44" t="str">
        <x:v>/jcs321</x:v>
      </x:c>
    </x:row>
    <x:row r="529">
      <x:c r="A529" s="36" t="n">
        <x:v>528</x:v>
      </x:c>
      <x:c r="B529" s="34" t="str">
        <x:v>article1-unified-v4-2-fb3f101b-20260903-000401-default-f03-p4-jcs321</x:v>
      </x:c>
      <x:c r="C529" s="34" t="str">
        <x:v>default</x:v>
      </x:c>
      <x:c r="D529" s="34" t="str">
        <x:v>jcs321</x:v>
      </x:c>
      <x:c r="E529" s="36" t="n">
        <x:v>3</x:v>
      </x:c>
      <x:c r="F529" s="36" t="n">
        <x:v>3</x:v>
      </x:c>
      <x:c r="G529" s="36" t="n">
        <x:v>2</x:v>
      </x:c>
      <x:c r="H529" s="34" t="str">
        <x:v>cycle-observation</x:v>
      </x:c>
      <x:c r="I529" s="36" t="n">
        <x:v>2</x:v>
      </x:c>
      <x:c r="J529" s="34" t="str">
        <x:v>tomcat-findleaks-occurrence</x:v>
      </x:c>
      <x:c r="K529" s="34" t="str">
        <x:v>afterFinalUndeploy.tomcatFindLeaksOccurrences</x:v>
      </x:c>
      <x:c r="L529" s="36" t="n">
        <x:v>3</x:v>
      </x:c>
      <x:c r="M529" s="34" t="str">
        <x:v>/jcs321</x:v>
      </x:c>
      <x:c r="N529" s="44" t="str">
        <x:v>/jcs321</x:v>
      </x:c>
    </x:row>
    <x:row r="530">
      <x:c r="A530" s="36" t="n">
        <x:v>529</x:v>
      </x:c>
      <x:c r="B530" s="34" t="str">
        <x:v>article1-unified-v4-2-fb3f101b-20260903-000401-default-f03-p4-jcs321</x:v>
      </x:c>
      <x:c r="C530" s="34" t="str">
        <x:v>default</x:v>
      </x:c>
      <x:c r="D530" s="34" t="str">
        <x:v>jcs321</x:v>
      </x:c>
      <x:c r="E530" s="36" t="n">
        <x:v>3</x:v>
      </x:c>
      <x:c r="F530" s="36" t="n">
        <x:v>3</x:v>
      </x:c>
      <x:c r="G530" s="36" t="n">
        <x:v>2</x:v>
      </x:c>
      <x:c r="H530" s="34" t="str">
        <x:v>cycle-observation</x:v>
      </x:c>
      <x:c r="I530" s="36" t="n">
        <x:v>2</x:v>
      </x:c>
      <x:c r="J530" s="34" t="str">
        <x:v>tomcat-findleaks-occurrence</x:v>
      </x:c>
      <x:c r="K530" s="34" t="str">
        <x:v>afterFinalUndeploy.tomcatFindLeaksOccurrences</x:v>
      </x:c>
      <x:c r="L530" s="36" t="n">
        <x:v>4</x:v>
      </x:c>
      <x:c r="M530" s="34" t="str">
        <x:v>/jcs321</x:v>
      </x:c>
      <x:c r="N530" s="44" t="str">
        <x:v>/jcs321</x:v>
      </x:c>
    </x:row>
    <x:row r="531">
      <x:c r="A531" s="36" t="n">
        <x:v>530</x:v>
      </x:c>
      <x:c r="B531" s="34" t="str">
        <x:v>article1-unified-v4-2-fb3f101b-20260903-000401-default-f03-p4-jcs321</x:v>
      </x:c>
      <x:c r="C531" s="34" t="str">
        <x:v>default</x:v>
      </x:c>
      <x:c r="D531" s="34" t="str">
        <x:v>jcs321</x:v>
      </x:c>
      <x:c r="E531" s="36" t="n">
        <x:v>3</x:v>
      </x:c>
      <x:c r="F531" s="36" t="n">
        <x:v>3</x:v>
      </x:c>
      <x:c r="G531" s="36" t="n">
        <x:v>3</x:v>
      </x:c>
      <x:c r="H531" s="34" t="str">
        <x:v>cycle-window</x:v>
      </x:c>
      <x:c r="I531" s="36" t="n">
        <x:v>1</x:v>
      </x:c>
      <x:c r="J531" s="34" t="str">
        <x:v>warning</x:v>
      </x:c>
      <x:c r="K531" s="34" t="str">
        <x:v>firstUndeployWarnings</x:v>
      </x:c>
      <x:c r="L531" s="36" t="n">
        <x:v>1</x:v>
      </x:c>
      <x:c r="M531" s="34"/>
      <x:c r="N531" s="44" t="str">
        <x:v>03-Sep-2026 00:15:27.654 WARNING [http-nio-8080-exec-28]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532">
      <x:c r="A532" s="36" t="n">
        <x:v>531</x:v>
      </x:c>
      <x:c r="B532" s="34" t="str">
        <x:v>article1-unified-v4-2-fb3f101b-20260903-000401-default-f03-p4-jcs321</x:v>
      </x:c>
      <x:c r="C532" s="34" t="str">
        <x:v>default</x:v>
      </x:c>
      <x:c r="D532" s="34" t="str">
        <x:v>jcs321</x:v>
      </x:c>
      <x:c r="E532" s="36" t="n">
        <x:v>3</x:v>
      </x:c>
      <x:c r="F532" s="36" t="n">
        <x:v>3</x:v>
      </x:c>
      <x:c r="G532" s="36" t="n">
        <x:v>3</x:v>
      </x:c>
      <x:c r="H532" s="34" t="str">
        <x:v>cycle-window</x:v>
      </x:c>
      <x:c r="I532" s="36" t="n">
        <x:v>1</x:v>
      </x:c>
      <x:c r="J532" s="34" t="str">
        <x:v>leak-warning</x:v>
      </x:c>
      <x:c r="K532" s="34" t="str">
        <x:v>firstUndeployLeakWarnings</x:v>
      </x:c>
      <x:c r="L532" s="36" t="n">
        <x:v>1</x:v>
      </x:c>
      <x:c r="M532" s="34"/>
      <x:c r="N532" s="44" t="str">
        <x:v>03-Sep-2026 00:15:27.654 WARNING [http-nio-8080-exec-28]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533">
      <x:c r="A533" s="36" t="n">
        <x:v>532</x:v>
      </x:c>
      <x:c r="B533" s="34" t="str">
        <x:v>article1-unified-v4-2-fb3f101b-20260903-000401-default-f03-p4-jcs321</x:v>
      </x:c>
      <x:c r="C533" s="34" t="str">
        <x:v>default</x:v>
      </x:c>
      <x:c r="D533" s="34" t="str">
        <x:v>jcs321</x:v>
      </x:c>
      <x:c r="E533" s="36" t="n">
        <x:v>3</x:v>
      </x:c>
      <x:c r="F533" s="36" t="n">
        <x:v>3</x:v>
      </x:c>
      <x:c r="G533" s="36" t="n">
        <x:v>3</x:v>
      </x:c>
      <x:c r="H533" s="34" t="str">
        <x:v>cycle-window</x:v>
      </x:c>
      <x:c r="I533" s="36" t="n">
        <x:v>1</x:v>
      </x:c>
      <x:c r="J533" s="34" t="str">
        <x:v>thread-leak-warning</x:v>
      </x:c>
      <x:c r="K533" s="34" t="str">
        <x:v>firstUndeployThreadLeakWarnings</x:v>
      </x:c>
      <x:c r="L533" s="36" t="n">
        <x:v>1</x:v>
      </x:c>
      <x:c r="M533" s="34"/>
      <x:c r="N533" s="44" t="str">
        <x:v>03-Sep-2026 00:15:27.654 WARNING [http-nio-8080-exec-28]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534">
      <x:c r="A534" s="36" t="n">
        <x:v>533</x:v>
      </x:c>
      <x:c r="B534" s="34" t="str">
        <x:v>article1-unified-v4-2-fb3f101b-20260903-000401-default-f03-p4-jcs321</x:v>
      </x:c>
      <x:c r="C534" s="34" t="str">
        <x:v>default</x:v>
      </x:c>
      <x:c r="D534" s="34" t="str">
        <x:v>jcs321</x:v>
      </x:c>
      <x:c r="E534" s="36" t="n">
        <x:v>3</x:v>
      </x:c>
      <x:c r="F534" s="36" t="n">
        <x:v>3</x:v>
      </x:c>
      <x:c r="G534" s="36" t="n">
        <x:v>3</x:v>
      </x:c>
      <x:c r="H534" s="34" t="str">
        <x:v>cycle-window</x:v>
      </x:c>
      <x:c r="I534" s="36" t="n">
        <x:v>2</x:v>
      </x:c>
      <x:c r="J534" s="34" t="str">
        <x:v>warning</x:v>
      </x:c>
      <x:c r="K534" s="34" t="str">
        <x:v>secondUndeployWarnings</x:v>
      </x:c>
      <x:c r="L534" s="36" t="n">
        <x:v>1</x:v>
      </x:c>
      <x:c r="M534" s="34"/>
      <x:c r="N534" s="44" t="str">
        <x:v>03-Sep-2026 00:16:10.263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535">
      <x:c r="A535" s="36" t="n">
        <x:v>534</x:v>
      </x:c>
      <x:c r="B535" s="34" t="str">
        <x:v>article1-unified-v4-2-fb3f101b-20260903-000401-default-f03-p4-jcs321</x:v>
      </x:c>
      <x:c r="C535" s="34" t="str">
        <x:v>default</x:v>
      </x:c>
      <x:c r="D535" s="34" t="str">
        <x:v>jcs321</x:v>
      </x:c>
      <x:c r="E535" s="36" t="n">
        <x:v>3</x:v>
      </x:c>
      <x:c r="F535" s="36" t="n">
        <x:v>3</x:v>
      </x:c>
      <x:c r="G535" s="36" t="n">
        <x:v>3</x:v>
      </x:c>
      <x:c r="H535" s="34" t="str">
        <x:v>cycle-window</x:v>
      </x:c>
      <x:c r="I535" s="36" t="n">
        <x:v>2</x:v>
      </x:c>
      <x:c r="J535" s="34" t="str">
        <x:v>leak-warning</x:v>
      </x:c>
      <x:c r="K535" s="34" t="str">
        <x:v>secondUndeployLeakWarnings</x:v>
      </x:c>
      <x:c r="L535" s="36" t="n">
        <x:v>1</x:v>
      </x:c>
      <x:c r="M535" s="34"/>
      <x:c r="N535" s="44" t="str">
        <x:v>03-Sep-2026 00:16:10.263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536">
      <x:c r="A536" s="36" t="n">
        <x:v>535</x:v>
      </x:c>
      <x:c r="B536" s="34" t="str">
        <x:v>article1-unified-v4-2-fb3f101b-20260903-000401-default-f03-p4-jcs321</x:v>
      </x:c>
      <x:c r="C536" s="34" t="str">
        <x:v>default</x:v>
      </x:c>
      <x:c r="D536" s="34" t="str">
        <x:v>jcs321</x:v>
      </x:c>
      <x:c r="E536" s="36" t="n">
        <x:v>3</x:v>
      </x:c>
      <x:c r="F536" s="36" t="n">
        <x:v>3</x:v>
      </x:c>
      <x:c r="G536" s="36" t="n">
        <x:v>3</x:v>
      </x:c>
      <x:c r="H536" s="34" t="str">
        <x:v>cycle-window</x:v>
      </x:c>
      <x:c r="I536" s="36" t="n">
        <x:v>2</x:v>
      </x:c>
      <x:c r="J536" s="34" t="str">
        <x:v>thread-leak-warning</x:v>
      </x:c>
      <x:c r="K536" s="34" t="str">
        <x:v>secondUndeployThreadLeakWarnings</x:v>
      </x:c>
      <x:c r="L536" s="36" t="n">
        <x:v>1</x:v>
      </x:c>
      <x:c r="M536" s="34"/>
      <x:c r="N536" s="44" t="str">
        <x:v>03-Sep-2026 00:16:10.263 WARNING [http-nio-8080-exec-32]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537">
      <x:c r="A537" s="36" t="n">
        <x:v>536</x:v>
      </x:c>
      <x:c r="B537" s="34" t="str">
        <x:v>article1-unified-v4-2-fb3f101b-20260903-000401-default-f03-p4-jcs321</x:v>
      </x:c>
      <x:c r="C537" s="34" t="str">
        <x:v>default</x:v>
      </x:c>
      <x:c r="D537" s="34" t="str">
        <x:v>jcs321</x:v>
      </x:c>
      <x:c r="E537" s="36" t="n">
        <x:v>3</x:v>
      </x:c>
      <x:c r="F537" s="36" t="n">
        <x:v>3</x:v>
      </x:c>
      <x:c r="G537" s="36" t="n">
        <x:v>3</x:v>
      </x:c>
      <x:c r="H537" s="34" t="str">
        <x:v>cycle-observation</x:v>
      </x:c>
      <x:c r="I537" s="36" t="n">
        <x:v>1</x:v>
      </x:c>
      <x:c r="J537" s="34" t="str">
        <x:v>tomcat-findleaks-occurrence</x:v>
      </x:c>
      <x:c r="K537" s="34" t="str">
        <x:v>afterUndeploy.tomcatFindLeaksOccurrences</x:v>
      </x:c>
      <x:c r="L537" s="36" t="n">
        <x:v>1</x:v>
      </x:c>
      <x:c r="M537" s="34" t="str">
        <x:v>/jcs321</x:v>
      </x:c>
      <x:c r="N537" s="44" t="str">
        <x:v>/jcs321</x:v>
      </x:c>
    </x:row>
    <x:row r="538">
      <x:c r="A538" s="36" t="n">
        <x:v>537</x:v>
      </x:c>
      <x:c r="B538" s="34" t="str">
        <x:v>article1-unified-v4-2-fb3f101b-20260903-000401-default-f03-p4-jcs321</x:v>
      </x:c>
      <x:c r="C538" s="34" t="str">
        <x:v>default</x:v>
      </x:c>
      <x:c r="D538" s="34" t="str">
        <x:v>jcs321</x:v>
      </x:c>
      <x:c r="E538" s="36" t="n">
        <x:v>3</x:v>
      </x:c>
      <x:c r="F538" s="36" t="n">
        <x:v>3</x:v>
      </x:c>
      <x:c r="G538" s="36" t="n">
        <x:v>3</x:v>
      </x:c>
      <x:c r="H538" s="34" t="str">
        <x:v>cycle-observation</x:v>
      </x:c>
      <x:c r="I538" s="36" t="n">
        <x:v>1</x:v>
      </x:c>
      <x:c r="J538" s="34" t="str">
        <x:v>tomcat-findleaks-occurrence</x:v>
      </x:c>
      <x:c r="K538" s="34" t="str">
        <x:v>afterUndeploy.tomcatFindLeaksOccurrences</x:v>
      </x:c>
      <x:c r="L538" s="36" t="n">
        <x:v>2</x:v>
      </x:c>
      <x:c r="M538" s="34" t="str">
        <x:v>/jcs321</x:v>
      </x:c>
      <x:c r="N538" s="44" t="str">
        <x:v>/jcs321</x:v>
      </x:c>
    </x:row>
    <x:row r="539">
      <x:c r="A539" s="36" t="n">
        <x:v>538</x:v>
      </x:c>
      <x:c r="B539" s="34" t="str">
        <x:v>article1-unified-v4-2-fb3f101b-20260903-000401-default-f03-p4-jcs321</x:v>
      </x:c>
      <x:c r="C539" s="34" t="str">
        <x:v>default</x:v>
      </x:c>
      <x:c r="D539" s="34" t="str">
        <x:v>jcs321</x:v>
      </x:c>
      <x:c r="E539" s="36" t="n">
        <x:v>3</x:v>
      </x:c>
      <x:c r="F539" s="36" t="n">
        <x:v>3</x:v>
      </x:c>
      <x:c r="G539" s="36" t="n">
        <x:v>3</x:v>
      </x:c>
      <x:c r="H539" s="34" t="str">
        <x:v>cycle-observation</x:v>
      </x:c>
      <x:c r="I539" s="36" t="n">
        <x:v>1</x:v>
      </x:c>
      <x:c r="J539" s="34" t="str">
        <x:v>tomcat-findleaks-occurrence</x:v>
      </x:c>
      <x:c r="K539" s="34" t="str">
        <x:v>afterUndeploy.tomcatFindLeaksOccurrences</x:v>
      </x:c>
      <x:c r="L539" s="36" t="n">
        <x:v>3</x:v>
      </x:c>
      <x:c r="M539" s="34" t="str">
        <x:v>/jcs321</x:v>
      </x:c>
      <x:c r="N539" s="44" t="str">
        <x:v>/jcs321</x:v>
      </x:c>
    </x:row>
    <x:row r="540">
      <x:c r="A540" s="36" t="n">
        <x:v>539</x:v>
      </x:c>
      <x:c r="B540" s="34" t="str">
        <x:v>article1-unified-v4-2-fb3f101b-20260903-000401-default-f03-p4-jcs321</x:v>
      </x:c>
      <x:c r="C540" s="34" t="str">
        <x:v>default</x:v>
      </x:c>
      <x:c r="D540" s="34" t="str">
        <x:v>jcs321</x:v>
      </x:c>
      <x:c r="E540" s="36" t="n">
        <x:v>3</x:v>
      </x:c>
      <x:c r="F540" s="36" t="n">
        <x:v>3</x:v>
      </x:c>
      <x:c r="G540" s="36" t="n">
        <x:v>3</x:v>
      </x:c>
      <x:c r="H540" s="34" t="str">
        <x:v>cycle-observation</x:v>
      </x:c>
      <x:c r="I540" s="36" t="n">
        <x:v>1</x:v>
      </x:c>
      <x:c r="J540" s="34" t="str">
        <x:v>tomcat-findleaks-occurrence</x:v>
      </x:c>
      <x:c r="K540" s="34" t="str">
        <x:v>afterUndeploy.tomcatFindLeaksOccurrences</x:v>
      </x:c>
      <x:c r="L540" s="36" t="n">
        <x:v>4</x:v>
      </x:c>
      <x:c r="M540" s="34" t="str">
        <x:v>/jcs321</x:v>
      </x:c>
      <x:c r="N540" s="44" t="str">
        <x:v>/jcs321</x:v>
      </x:c>
    </x:row>
    <x:row r="541">
      <x:c r="A541" s="36" t="n">
        <x:v>540</x:v>
      </x:c>
      <x:c r="B541" s="34" t="str">
        <x:v>article1-unified-v4-2-fb3f101b-20260903-000401-default-f03-p4-jcs321</x:v>
      </x:c>
      <x:c r="C541" s="34" t="str">
        <x:v>default</x:v>
      </x:c>
      <x:c r="D541" s="34" t="str">
        <x:v>jcs321</x:v>
      </x:c>
      <x:c r="E541" s="36" t="n">
        <x:v>3</x:v>
      </x:c>
      <x:c r="F541" s="36" t="n">
        <x:v>3</x:v>
      </x:c>
      <x:c r="G541" s="36" t="n">
        <x:v>3</x:v>
      </x:c>
      <x:c r="H541" s="34" t="str">
        <x:v>cycle-observation</x:v>
      </x:c>
      <x:c r="I541" s="36" t="n">
        <x:v>1</x:v>
      </x:c>
      <x:c r="J541" s="34" t="str">
        <x:v>tomcat-findleaks-occurrence</x:v>
      </x:c>
      <x:c r="K541" s="34" t="str">
        <x:v>afterUndeploy.tomcatFindLeaksOccurrences</x:v>
      </x:c>
      <x:c r="L541" s="36" t="n">
        <x:v>5</x:v>
      </x:c>
      <x:c r="M541" s="34" t="str">
        <x:v>/jcs321</x:v>
      </x:c>
      <x:c r="N541" s="44" t="str">
        <x:v>/jcs321</x:v>
      </x:c>
    </x:row>
    <x:row r="542">
      <x:c r="A542" s="36" t="n">
        <x:v>541</x:v>
      </x:c>
      <x:c r="B542" s="34" t="str">
        <x:v>article1-unified-v4-2-fb3f101b-20260903-000401-default-f03-p4-jcs321</x:v>
      </x:c>
      <x:c r="C542" s="34" t="str">
        <x:v>default</x:v>
      </x:c>
      <x:c r="D542" s="34" t="str">
        <x:v>jcs321</x:v>
      </x:c>
      <x:c r="E542" s="36" t="n">
        <x:v>3</x:v>
      </x:c>
      <x:c r="F542" s="36" t="n">
        <x:v>3</x:v>
      </x:c>
      <x:c r="G542" s="36" t="n">
        <x:v>3</x:v>
      </x:c>
      <x:c r="H542" s="34" t="str">
        <x:v>cycle-observation</x:v>
      </x:c>
      <x:c r="I542" s="36" t="n">
        <x:v>2</x:v>
      </x:c>
      <x:c r="J542" s="34" t="str">
        <x:v>tomcat-findleaks-occurrence</x:v>
      </x:c>
      <x:c r="K542" s="34" t="str">
        <x:v>afterFinalUndeploy.tomcatFindLeaksOccurrences</x:v>
      </x:c>
      <x:c r="L542" s="36" t="n">
        <x:v>1</x:v>
      </x:c>
      <x:c r="M542" s="34" t="str">
        <x:v>/jcs321</x:v>
      </x:c>
      <x:c r="N542" s="44" t="str">
        <x:v>/jcs321</x:v>
      </x:c>
    </x:row>
    <x:row r="543">
      <x:c r="A543" s="36" t="n">
        <x:v>542</x:v>
      </x:c>
      <x:c r="B543" s="34" t="str">
        <x:v>article1-unified-v4-2-fb3f101b-20260903-000401-default-f03-p4-jcs321</x:v>
      </x:c>
      <x:c r="C543" s="34" t="str">
        <x:v>default</x:v>
      </x:c>
      <x:c r="D543" s="34" t="str">
        <x:v>jcs321</x:v>
      </x:c>
      <x:c r="E543" s="36" t="n">
        <x:v>3</x:v>
      </x:c>
      <x:c r="F543" s="36" t="n">
        <x:v>3</x:v>
      </x:c>
      <x:c r="G543" s="36" t="n">
        <x:v>3</x:v>
      </x:c>
      <x:c r="H543" s="34" t="str">
        <x:v>cycle-observation</x:v>
      </x:c>
      <x:c r="I543" s="36" t="n">
        <x:v>2</x:v>
      </x:c>
      <x:c r="J543" s="34" t="str">
        <x:v>tomcat-findleaks-occurrence</x:v>
      </x:c>
      <x:c r="K543" s="34" t="str">
        <x:v>afterFinalUndeploy.tomcatFindLeaksOccurrences</x:v>
      </x:c>
      <x:c r="L543" s="36" t="n">
        <x:v>2</x:v>
      </x:c>
      <x:c r="M543" s="34" t="str">
        <x:v>/jcs321</x:v>
      </x:c>
      <x:c r="N543" s="44" t="str">
        <x:v>/jcs321</x:v>
      </x:c>
    </x:row>
    <x:row r="544">
      <x:c r="A544" s="36" t="n">
        <x:v>543</x:v>
      </x:c>
      <x:c r="B544" s="34" t="str">
        <x:v>article1-unified-v4-2-fb3f101b-20260903-000401-default-f03-p4-jcs321</x:v>
      </x:c>
      <x:c r="C544" s="34" t="str">
        <x:v>default</x:v>
      </x:c>
      <x:c r="D544" s="34" t="str">
        <x:v>jcs321</x:v>
      </x:c>
      <x:c r="E544" s="36" t="n">
        <x:v>3</x:v>
      </x:c>
      <x:c r="F544" s="36" t="n">
        <x:v>3</x:v>
      </x:c>
      <x:c r="G544" s="36" t="n">
        <x:v>3</x:v>
      </x:c>
      <x:c r="H544" s="34" t="str">
        <x:v>cycle-observation</x:v>
      </x:c>
      <x:c r="I544" s="36" t="n">
        <x:v>2</x:v>
      </x:c>
      <x:c r="J544" s="34" t="str">
        <x:v>tomcat-findleaks-occurrence</x:v>
      </x:c>
      <x:c r="K544" s="34" t="str">
        <x:v>afterFinalUndeploy.tomcatFindLeaksOccurrences</x:v>
      </x:c>
      <x:c r="L544" s="36" t="n">
        <x:v>3</x:v>
      </x:c>
      <x:c r="M544" s="34" t="str">
        <x:v>/jcs321</x:v>
      </x:c>
      <x:c r="N544" s="44" t="str">
        <x:v>/jcs321</x:v>
      </x:c>
    </x:row>
    <x:row r="545">
      <x:c r="A545" s="36" t="n">
        <x:v>544</x:v>
      </x:c>
      <x:c r="B545" s="34" t="str">
        <x:v>article1-unified-v4-2-fb3f101b-20260903-000401-default-f03-p4-jcs321</x:v>
      </x:c>
      <x:c r="C545" s="34" t="str">
        <x:v>default</x:v>
      </x:c>
      <x:c r="D545" s="34" t="str">
        <x:v>jcs321</x:v>
      </x:c>
      <x:c r="E545" s="36" t="n">
        <x:v>3</x:v>
      </x:c>
      <x:c r="F545" s="36" t="n">
        <x:v>3</x:v>
      </x:c>
      <x:c r="G545" s="36" t="n">
        <x:v>3</x:v>
      </x:c>
      <x:c r="H545" s="34" t="str">
        <x:v>cycle-observation</x:v>
      </x:c>
      <x:c r="I545" s="36" t="n">
        <x:v>2</x:v>
      </x:c>
      <x:c r="J545" s="34" t="str">
        <x:v>tomcat-findleaks-occurrence</x:v>
      </x:c>
      <x:c r="K545" s="34" t="str">
        <x:v>afterFinalUndeploy.tomcatFindLeaksOccurrences</x:v>
      </x:c>
      <x:c r="L545" s="36" t="n">
        <x:v>4</x:v>
      </x:c>
      <x:c r="M545" s="34" t="str">
        <x:v>/jcs321</x:v>
      </x:c>
      <x:c r="N545" s="44" t="str">
        <x:v>/jcs321</x:v>
      </x:c>
    </x:row>
    <x:row r="546">
      <x:c r="A546" s="36" t="n">
        <x:v>545</x:v>
      </x:c>
      <x:c r="B546" s="34" t="str">
        <x:v>article1-unified-v4-2-fb3f101b-20260903-000401-default-f03-p4-jcs321</x:v>
      </x:c>
      <x:c r="C546" s="34" t="str">
        <x:v>default</x:v>
      </x:c>
      <x:c r="D546" s="34" t="str">
        <x:v>jcs321</x:v>
      </x:c>
      <x:c r="E546" s="36" t="n">
        <x:v>3</x:v>
      </x:c>
      <x:c r="F546" s="36" t="n">
        <x:v>3</x:v>
      </x:c>
      <x:c r="G546" s="36" t="n">
        <x:v>3</x:v>
      </x:c>
      <x:c r="H546" s="34" t="str">
        <x:v>cycle-observation</x:v>
      </x:c>
      <x:c r="I546" s="36" t="n">
        <x:v>2</x:v>
      </x:c>
      <x:c r="J546" s="34" t="str">
        <x:v>tomcat-findleaks-occurrence</x:v>
      </x:c>
      <x:c r="K546" s="34" t="str">
        <x:v>afterFinalUndeploy.tomcatFindLeaksOccurrences</x:v>
      </x:c>
      <x:c r="L546" s="36" t="n">
        <x:v>5</x:v>
      </x:c>
      <x:c r="M546" s="34" t="str">
        <x:v>/jcs321</x:v>
      </x:c>
      <x:c r="N546" s="44" t="str">
        <x:v>/jcs321</x:v>
      </x:c>
    </x:row>
    <x:row r="547">
      <x:c r="A547" s="36" t="n">
        <x:v>546</x:v>
      </x:c>
      <x:c r="B547" s="34" t="str">
        <x:v>article1-unified-v4-2-fb3f101b-20260903-000401-default-f03-p4-jcs321</x:v>
      </x:c>
      <x:c r="C547" s="34" t="str">
        <x:v>default</x:v>
      </x:c>
      <x:c r="D547" s="34" t="str">
        <x:v>jcs321</x:v>
      </x:c>
      <x:c r="E547" s="36" t="n">
        <x:v>3</x:v>
      </x:c>
      <x:c r="F547" s="36" t="n">
        <x:v>3</x:v>
      </x:c>
      <x:c r="G547" s="36" t="n">
        <x:v>3</x:v>
      </x:c>
      <x:c r="H547" s="34" t="str">
        <x:v>cycle-observation</x:v>
      </x:c>
      <x:c r="I547" s="36" t="n">
        <x:v>2</x:v>
      </x:c>
      <x:c r="J547" s="34" t="str">
        <x:v>tomcat-findleaks-occurrence</x:v>
      </x:c>
      <x:c r="K547" s="34" t="str">
        <x:v>afterFinalUndeploy.tomcatFindLeaksOccurrences</x:v>
      </x:c>
      <x:c r="L547" s="36" t="n">
        <x:v>6</x:v>
      </x:c>
      <x:c r="M547" s="34" t="str">
        <x:v>/jcs321</x:v>
      </x:c>
      <x:c r="N547" s="44" t="str">
        <x:v>/jcs321</x:v>
      </x:c>
    </x:row>
    <x:row r="548">
      <x:c r="A548" s="36" t="n">
        <x:v>547</x:v>
      </x:c>
      <x:c r="B548" s="34" t="str">
        <x:v>article1-unified-v4-2-fb3f101b-20260903-000401-default-f03-p4-jcs321</x:v>
      </x:c>
      <x:c r="C548" s="34" t="str">
        <x:v>default</x:v>
      </x:c>
      <x:c r="D548" s="34" t="str">
        <x:v>jcs321</x:v>
      </x:c>
      <x:c r="E548" s="36" t="n">
        <x:v>3</x:v>
      </x:c>
      <x:c r="F548" s="36" t="n">
        <x:v>3</x:v>
      </x:c>
      <x:c r="G548" s="36" t="n">
        <x:v>4</x:v>
      </x:c>
      <x:c r="H548" s="34" t="str">
        <x:v>cycle-window</x:v>
      </x:c>
      <x:c r="I548" s="36" t="n">
        <x:v>1</x:v>
      </x:c>
      <x:c r="J548" s="34" t="str">
        <x:v>warning</x:v>
      </x:c>
      <x:c r="K548" s="34" t="str">
        <x:v>firstUndeployWarnings</x:v>
      </x:c>
      <x:c r="L548" s="36" t="n">
        <x:v>1</x:v>
      </x:c>
      <x:c r="M548" s="34"/>
      <x:c r="N548" s="44" t="str">
        <x:v>03-Sep-2026 00:16:56.230 WARNING [http-nio-8080-exec-40]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549">
      <x:c r="A549" s="36" t="n">
        <x:v>548</x:v>
      </x:c>
      <x:c r="B549" s="34" t="str">
        <x:v>article1-unified-v4-2-fb3f101b-20260903-000401-default-f03-p4-jcs321</x:v>
      </x:c>
      <x:c r="C549" s="34" t="str">
        <x:v>default</x:v>
      </x:c>
      <x:c r="D549" s="34" t="str">
        <x:v>jcs321</x:v>
      </x:c>
      <x:c r="E549" s="36" t="n">
        <x:v>3</x:v>
      </x:c>
      <x:c r="F549" s="36" t="n">
        <x:v>3</x:v>
      </x:c>
      <x:c r="G549" s="36" t="n">
        <x:v>4</x:v>
      </x:c>
      <x:c r="H549" s="34" t="str">
        <x:v>cycle-window</x:v>
      </x:c>
      <x:c r="I549" s="36" t="n">
        <x:v>1</x:v>
      </x:c>
      <x:c r="J549" s="34" t="str">
        <x:v>leak-warning</x:v>
      </x:c>
      <x:c r="K549" s="34" t="str">
        <x:v>firstUndeployLeakWarnings</x:v>
      </x:c>
      <x:c r="L549" s="36" t="n">
        <x:v>1</x:v>
      </x:c>
      <x:c r="M549" s="34"/>
      <x:c r="N549" s="44" t="str">
        <x:v>03-Sep-2026 00:16:56.230 WARNING [http-nio-8080-exec-40]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550">
      <x:c r="A550" s="36" t="n">
        <x:v>549</x:v>
      </x:c>
      <x:c r="B550" s="34" t="str">
        <x:v>article1-unified-v4-2-fb3f101b-20260903-000401-default-f03-p4-jcs321</x:v>
      </x:c>
      <x:c r="C550" s="34" t="str">
        <x:v>default</x:v>
      </x:c>
      <x:c r="D550" s="34" t="str">
        <x:v>jcs321</x:v>
      </x:c>
      <x:c r="E550" s="36" t="n">
        <x:v>3</x:v>
      </x:c>
      <x:c r="F550" s="36" t="n">
        <x:v>3</x:v>
      </x:c>
      <x:c r="G550" s="36" t="n">
        <x:v>4</x:v>
      </x:c>
      <x:c r="H550" s="34" t="str">
        <x:v>cycle-window</x:v>
      </x:c>
      <x:c r="I550" s="36" t="n">
        <x:v>1</x:v>
      </x:c>
      <x:c r="J550" s="34" t="str">
        <x:v>thread-leak-warning</x:v>
      </x:c>
      <x:c r="K550" s="34" t="str">
        <x:v>firstUndeployThreadLeakWarnings</x:v>
      </x:c>
      <x:c r="L550" s="36" t="n">
        <x:v>1</x:v>
      </x:c>
      <x:c r="M550" s="34"/>
      <x:c r="N550" s="44" t="str">
        <x:v>03-Sep-2026 00:16:56.230 WARNING [http-nio-8080-exec-40]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551">
      <x:c r="A551" s="36" t="n">
        <x:v>550</x:v>
      </x:c>
      <x:c r="B551" s="34" t="str">
        <x:v>article1-unified-v4-2-fb3f101b-20260903-000401-default-f03-p4-jcs321</x:v>
      </x:c>
      <x:c r="C551" s="34" t="str">
        <x:v>default</x:v>
      </x:c>
      <x:c r="D551" s="34" t="str">
        <x:v>jcs321</x:v>
      </x:c>
      <x:c r="E551" s="36" t="n">
        <x:v>3</x:v>
      </x:c>
      <x:c r="F551" s="36" t="n">
        <x:v>3</x:v>
      </x:c>
      <x:c r="G551" s="36" t="n">
        <x:v>4</x:v>
      </x:c>
      <x:c r="H551" s="34" t="str">
        <x:v>cycle-window</x:v>
      </x:c>
      <x:c r="I551" s="36" t="n">
        <x:v>2</x:v>
      </x:c>
      <x:c r="J551" s="34" t="str">
        <x:v>warning</x:v>
      </x:c>
      <x:c r="K551" s="34" t="str">
        <x:v>secondUndeployWarnings</x:v>
      </x:c>
      <x:c r="L551" s="36" t="n">
        <x:v>1</x:v>
      </x:c>
      <x:c r="M551" s="34"/>
      <x:c r="N551" s="44" t="str">
        <x:v>03-Sep-2026 00:17:38.950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552">
      <x:c r="A552" s="36" t="n">
        <x:v>551</x:v>
      </x:c>
      <x:c r="B552" s="34" t="str">
        <x:v>article1-unified-v4-2-fb3f101b-20260903-000401-default-f03-p4-jcs321</x:v>
      </x:c>
      <x:c r="C552" s="34" t="str">
        <x:v>default</x:v>
      </x:c>
      <x:c r="D552" s="34" t="str">
        <x:v>jcs321</x:v>
      </x:c>
      <x:c r="E552" s="36" t="n">
        <x:v>3</x:v>
      </x:c>
      <x:c r="F552" s="36" t="n">
        <x:v>3</x:v>
      </x:c>
      <x:c r="G552" s="36" t="n">
        <x:v>4</x:v>
      </x:c>
      <x:c r="H552" s="34" t="str">
        <x:v>cycle-window</x:v>
      </x:c>
      <x:c r="I552" s="36" t="n">
        <x:v>2</x:v>
      </x:c>
      <x:c r="J552" s="34" t="str">
        <x:v>leak-warning</x:v>
      </x:c>
      <x:c r="K552" s="34" t="str">
        <x:v>secondUndeployLeakWarnings</x:v>
      </x:c>
      <x:c r="L552" s="36" t="n">
        <x:v>1</x:v>
      </x:c>
      <x:c r="M552" s="34"/>
      <x:c r="N552" s="44" t="str">
        <x:v>03-Sep-2026 00:17:38.950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553">
      <x:c r="A553" s="36" t="n">
        <x:v>552</x:v>
      </x:c>
      <x:c r="B553" s="34" t="str">
        <x:v>article1-unified-v4-2-fb3f101b-20260903-000401-default-f03-p4-jcs321</x:v>
      </x:c>
      <x:c r="C553" s="34" t="str">
        <x:v>default</x:v>
      </x:c>
      <x:c r="D553" s="34" t="str">
        <x:v>jcs321</x:v>
      </x:c>
      <x:c r="E553" s="36" t="n">
        <x:v>3</x:v>
      </x:c>
      <x:c r="F553" s="36" t="n">
        <x:v>3</x:v>
      </x:c>
      <x:c r="G553" s="36" t="n">
        <x:v>4</x:v>
      </x:c>
      <x:c r="H553" s="34" t="str">
        <x:v>cycle-window</x:v>
      </x:c>
      <x:c r="I553" s="36" t="n">
        <x:v>2</x:v>
      </x:c>
      <x:c r="J553" s="34" t="str">
        <x:v>thread-leak-warning</x:v>
      </x:c>
      <x:c r="K553" s="34" t="str">
        <x:v>secondUndeployThreadLeakWarnings</x:v>
      </x:c>
      <x:c r="L553" s="36" t="n">
        <x:v>1</x:v>
      </x:c>
      <x:c r="M553" s="34"/>
      <x:c r="N553" s="44" t="str">
        <x:v>03-Sep-2026 00:17:38.950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554">
      <x:c r="A554" s="36" t="n">
        <x:v>553</x:v>
      </x:c>
      <x:c r="B554" s="34" t="str">
        <x:v>article1-unified-v4-2-fb3f101b-20260903-000401-default-f03-p4-jcs321</x:v>
      </x:c>
      <x:c r="C554" s="34" t="str">
        <x:v>default</x:v>
      </x:c>
      <x:c r="D554" s="34" t="str">
        <x:v>jcs321</x:v>
      </x:c>
      <x:c r="E554" s="36" t="n">
        <x:v>3</x:v>
      </x:c>
      <x:c r="F554" s="36" t="n">
        <x:v>3</x:v>
      </x:c>
      <x:c r="G554" s="36" t="n">
        <x:v>4</x:v>
      </x:c>
      <x:c r="H554" s="34" t="str">
        <x:v>cycle-observation</x:v>
      </x:c>
      <x:c r="I554" s="36" t="n">
        <x:v>1</x:v>
      </x:c>
      <x:c r="J554" s="34" t="str">
        <x:v>tomcat-findleaks-occurrence</x:v>
      </x:c>
      <x:c r="K554" s="34" t="str">
        <x:v>afterUndeploy.tomcatFindLeaksOccurrences</x:v>
      </x:c>
      <x:c r="L554" s="36" t="n">
        <x:v>1</x:v>
      </x:c>
      <x:c r="M554" s="34" t="str">
        <x:v>/jcs321</x:v>
      </x:c>
      <x:c r="N554" s="44" t="str">
        <x:v>/jcs321</x:v>
      </x:c>
    </x:row>
    <x:row r="555">
      <x:c r="A555" s="36" t="n">
        <x:v>554</x:v>
      </x:c>
      <x:c r="B555" s="34" t="str">
        <x:v>article1-unified-v4-2-fb3f101b-20260903-000401-default-f03-p4-jcs321</x:v>
      </x:c>
      <x:c r="C555" s="34" t="str">
        <x:v>default</x:v>
      </x:c>
      <x:c r="D555" s="34" t="str">
        <x:v>jcs321</x:v>
      </x:c>
      <x:c r="E555" s="36" t="n">
        <x:v>3</x:v>
      </x:c>
      <x:c r="F555" s="36" t="n">
        <x:v>3</x:v>
      </x:c>
      <x:c r="G555" s="36" t="n">
        <x:v>4</x:v>
      </x:c>
      <x:c r="H555" s="34" t="str">
        <x:v>cycle-observation</x:v>
      </x:c>
      <x:c r="I555" s="36" t="n">
        <x:v>1</x:v>
      </x:c>
      <x:c r="J555" s="34" t="str">
        <x:v>tomcat-findleaks-occurrence</x:v>
      </x:c>
      <x:c r="K555" s="34" t="str">
        <x:v>afterUndeploy.tomcatFindLeaksOccurrences</x:v>
      </x:c>
      <x:c r="L555" s="36" t="n">
        <x:v>2</x:v>
      </x:c>
      <x:c r="M555" s="34" t="str">
        <x:v>/jcs321</x:v>
      </x:c>
      <x:c r="N555" s="44" t="str">
        <x:v>/jcs321</x:v>
      </x:c>
    </x:row>
    <x:row r="556">
      <x:c r="A556" s="36" t="n">
        <x:v>555</x:v>
      </x:c>
      <x:c r="B556" s="34" t="str">
        <x:v>article1-unified-v4-2-fb3f101b-20260903-000401-default-f03-p4-jcs321</x:v>
      </x:c>
      <x:c r="C556" s="34" t="str">
        <x:v>default</x:v>
      </x:c>
      <x:c r="D556" s="34" t="str">
        <x:v>jcs321</x:v>
      </x:c>
      <x:c r="E556" s="36" t="n">
        <x:v>3</x:v>
      </x:c>
      <x:c r="F556" s="36" t="n">
        <x:v>3</x:v>
      </x:c>
      <x:c r="G556" s="36" t="n">
        <x:v>4</x:v>
      </x:c>
      <x:c r="H556" s="34" t="str">
        <x:v>cycle-observation</x:v>
      </x:c>
      <x:c r="I556" s="36" t="n">
        <x:v>1</x:v>
      </x:c>
      <x:c r="J556" s="34" t="str">
        <x:v>tomcat-findleaks-occurrence</x:v>
      </x:c>
      <x:c r="K556" s="34" t="str">
        <x:v>afterUndeploy.tomcatFindLeaksOccurrences</x:v>
      </x:c>
      <x:c r="L556" s="36" t="n">
        <x:v>3</x:v>
      </x:c>
      <x:c r="M556" s="34" t="str">
        <x:v>/jcs321</x:v>
      </x:c>
      <x:c r="N556" s="44" t="str">
        <x:v>/jcs321</x:v>
      </x:c>
    </x:row>
    <x:row r="557">
      <x:c r="A557" s="36" t="n">
        <x:v>556</x:v>
      </x:c>
      <x:c r="B557" s="34" t="str">
        <x:v>article1-unified-v4-2-fb3f101b-20260903-000401-default-f03-p4-jcs321</x:v>
      </x:c>
      <x:c r="C557" s="34" t="str">
        <x:v>default</x:v>
      </x:c>
      <x:c r="D557" s="34" t="str">
        <x:v>jcs321</x:v>
      </x:c>
      <x:c r="E557" s="36" t="n">
        <x:v>3</x:v>
      </x:c>
      <x:c r="F557" s="36" t="n">
        <x:v>3</x:v>
      </x:c>
      <x:c r="G557" s="36" t="n">
        <x:v>4</x:v>
      </x:c>
      <x:c r="H557" s="34" t="str">
        <x:v>cycle-observation</x:v>
      </x:c>
      <x:c r="I557" s="36" t="n">
        <x:v>1</x:v>
      </x:c>
      <x:c r="J557" s="34" t="str">
        <x:v>tomcat-findleaks-occurrence</x:v>
      </x:c>
      <x:c r="K557" s="34" t="str">
        <x:v>afterUndeploy.tomcatFindLeaksOccurrences</x:v>
      </x:c>
      <x:c r="L557" s="36" t="n">
        <x:v>4</x:v>
      </x:c>
      <x:c r="M557" s="34" t="str">
        <x:v>/jcs321</x:v>
      </x:c>
      <x:c r="N557" s="44" t="str">
        <x:v>/jcs321</x:v>
      </x:c>
    </x:row>
    <x:row r="558">
      <x:c r="A558" s="36" t="n">
        <x:v>557</x:v>
      </x:c>
      <x:c r="B558" s="34" t="str">
        <x:v>article1-unified-v4-2-fb3f101b-20260903-000401-default-f03-p4-jcs321</x:v>
      </x:c>
      <x:c r="C558" s="34" t="str">
        <x:v>default</x:v>
      </x:c>
      <x:c r="D558" s="34" t="str">
        <x:v>jcs321</x:v>
      </x:c>
      <x:c r="E558" s="36" t="n">
        <x:v>3</x:v>
      </x:c>
      <x:c r="F558" s="36" t="n">
        <x:v>3</x:v>
      </x:c>
      <x:c r="G558" s="36" t="n">
        <x:v>4</x:v>
      </x:c>
      <x:c r="H558" s="34" t="str">
        <x:v>cycle-observation</x:v>
      </x:c>
      <x:c r="I558" s="36" t="n">
        <x:v>1</x:v>
      </x:c>
      <x:c r="J558" s="34" t="str">
        <x:v>tomcat-findleaks-occurrence</x:v>
      </x:c>
      <x:c r="K558" s="34" t="str">
        <x:v>afterUndeploy.tomcatFindLeaksOccurrences</x:v>
      </x:c>
      <x:c r="L558" s="36" t="n">
        <x:v>5</x:v>
      </x:c>
      <x:c r="M558" s="34" t="str">
        <x:v>/jcs321</x:v>
      </x:c>
      <x:c r="N558" s="44" t="str">
        <x:v>/jcs321</x:v>
      </x:c>
    </x:row>
    <x:row r="559">
      <x:c r="A559" s="36" t="n">
        <x:v>558</x:v>
      </x:c>
      <x:c r="B559" s="34" t="str">
        <x:v>article1-unified-v4-2-fb3f101b-20260903-000401-default-f03-p4-jcs321</x:v>
      </x:c>
      <x:c r="C559" s="34" t="str">
        <x:v>default</x:v>
      </x:c>
      <x:c r="D559" s="34" t="str">
        <x:v>jcs321</x:v>
      </x:c>
      <x:c r="E559" s="36" t="n">
        <x:v>3</x:v>
      </x:c>
      <x:c r="F559" s="36" t="n">
        <x:v>3</x:v>
      </x:c>
      <x:c r="G559" s="36" t="n">
        <x:v>4</x:v>
      </x:c>
      <x:c r="H559" s="34" t="str">
        <x:v>cycle-observation</x:v>
      </x:c>
      <x:c r="I559" s="36" t="n">
        <x:v>1</x:v>
      </x:c>
      <x:c r="J559" s="34" t="str">
        <x:v>tomcat-findleaks-occurrence</x:v>
      </x:c>
      <x:c r="K559" s="34" t="str">
        <x:v>afterUndeploy.tomcatFindLeaksOccurrences</x:v>
      </x:c>
      <x:c r="L559" s="36" t="n">
        <x:v>6</x:v>
      </x:c>
      <x:c r="M559" s="34" t="str">
        <x:v>/jcs321</x:v>
      </x:c>
      <x:c r="N559" s="44" t="str">
        <x:v>/jcs321</x:v>
      </x:c>
    </x:row>
    <x:row r="560">
      <x:c r="A560" s="36" t="n">
        <x:v>559</x:v>
      </x:c>
      <x:c r="B560" s="34" t="str">
        <x:v>article1-unified-v4-2-fb3f101b-20260903-000401-default-f03-p4-jcs321</x:v>
      </x:c>
      <x:c r="C560" s="34" t="str">
        <x:v>default</x:v>
      </x:c>
      <x:c r="D560" s="34" t="str">
        <x:v>jcs321</x:v>
      </x:c>
      <x:c r="E560" s="36" t="n">
        <x:v>3</x:v>
      </x:c>
      <x:c r="F560" s="36" t="n">
        <x:v>3</x:v>
      </x:c>
      <x:c r="G560" s="36" t="n">
        <x:v>4</x:v>
      </x:c>
      <x:c r="H560" s="34" t="str">
        <x:v>cycle-observation</x:v>
      </x:c>
      <x:c r="I560" s="36" t="n">
        <x:v>1</x:v>
      </x:c>
      <x:c r="J560" s="34" t="str">
        <x:v>tomcat-findleaks-occurrence</x:v>
      </x:c>
      <x:c r="K560" s="34" t="str">
        <x:v>afterUndeploy.tomcatFindLeaksOccurrences</x:v>
      </x:c>
      <x:c r="L560" s="36" t="n">
        <x:v>7</x:v>
      </x:c>
      <x:c r="M560" s="34" t="str">
        <x:v>/jcs321</x:v>
      </x:c>
      <x:c r="N560" s="44" t="str">
        <x:v>/jcs321</x:v>
      </x:c>
    </x:row>
    <x:row r="561">
      <x:c r="A561" s="36" t="n">
        <x:v>560</x:v>
      </x:c>
      <x:c r="B561" s="34" t="str">
        <x:v>article1-unified-v4-2-fb3f101b-20260903-000401-default-f03-p4-jcs321</x:v>
      </x:c>
      <x:c r="C561" s="34" t="str">
        <x:v>default</x:v>
      </x:c>
      <x:c r="D561" s="34" t="str">
        <x:v>jcs321</x:v>
      </x:c>
      <x:c r="E561" s="36" t="n">
        <x:v>3</x:v>
      </x:c>
      <x:c r="F561" s="36" t="n">
        <x:v>3</x:v>
      </x:c>
      <x:c r="G561" s="36" t="n">
        <x:v>4</x:v>
      </x:c>
      <x:c r="H561" s="34" t="str">
        <x:v>cycle-observation</x:v>
      </x:c>
      <x:c r="I561" s="36" t="n">
        <x:v>2</x:v>
      </x:c>
      <x:c r="J561" s="34" t="str">
        <x:v>tomcat-findleaks-occurrence</x:v>
      </x:c>
      <x:c r="K561" s="34" t="str">
        <x:v>afterFinalUndeploy.tomcatFindLeaksOccurrences</x:v>
      </x:c>
      <x:c r="L561" s="36" t="n">
        <x:v>1</x:v>
      </x:c>
      <x:c r="M561" s="34" t="str">
        <x:v>/jcs321</x:v>
      </x:c>
      <x:c r="N561" s="44" t="str">
        <x:v>/jcs321</x:v>
      </x:c>
    </x:row>
    <x:row r="562">
      <x:c r="A562" s="36" t="n">
        <x:v>561</x:v>
      </x:c>
      <x:c r="B562" s="34" t="str">
        <x:v>article1-unified-v4-2-fb3f101b-20260903-000401-default-f03-p4-jcs321</x:v>
      </x:c>
      <x:c r="C562" s="34" t="str">
        <x:v>default</x:v>
      </x:c>
      <x:c r="D562" s="34" t="str">
        <x:v>jcs321</x:v>
      </x:c>
      <x:c r="E562" s="36" t="n">
        <x:v>3</x:v>
      </x:c>
      <x:c r="F562" s="36" t="n">
        <x:v>3</x:v>
      </x:c>
      <x:c r="G562" s="36" t="n">
        <x:v>4</x:v>
      </x:c>
      <x:c r="H562" s="34" t="str">
        <x:v>cycle-observation</x:v>
      </x:c>
      <x:c r="I562" s="36" t="n">
        <x:v>2</x:v>
      </x:c>
      <x:c r="J562" s="34" t="str">
        <x:v>tomcat-findleaks-occurrence</x:v>
      </x:c>
      <x:c r="K562" s="34" t="str">
        <x:v>afterFinalUndeploy.tomcatFindLeaksOccurrences</x:v>
      </x:c>
      <x:c r="L562" s="36" t="n">
        <x:v>2</x:v>
      </x:c>
      <x:c r="M562" s="34" t="str">
        <x:v>/jcs321</x:v>
      </x:c>
      <x:c r="N562" s="44" t="str">
        <x:v>/jcs321</x:v>
      </x:c>
    </x:row>
    <x:row r="563">
      <x:c r="A563" s="36" t="n">
        <x:v>562</x:v>
      </x:c>
      <x:c r="B563" s="34" t="str">
        <x:v>article1-unified-v4-2-fb3f101b-20260903-000401-default-f03-p4-jcs321</x:v>
      </x:c>
      <x:c r="C563" s="34" t="str">
        <x:v>default</x:v>
      </x:c>
      <x:c r="D563" s="34" t="str">
        <x:v>jcs321</x:v>
      </x:c>
      <x:c r="E563" s="36" t="n">
        <x:v>3</x:v>
      </x:c>
      <x:c r="F563" s="36" t="n">
        <x:v>3</x:v>
      </x:c>
      <x:c r="G563" s="36" t="n">
        <x:v>4</x:v>
      </x:c>
      <x:c r="H563" s="34" t="str">
        <x:v>cycle-observation</x:v>
      </x:c>
      <x:c r="I563" s="36" t="n">
        <x:v>2</x:v>
      </x:c>
      <x:c r="J563" s="34" t="str">
        <x:v>tomcat-findleaks-occurrence</x:v>
      </x:c>
      <x:c r="K563" s="34" t="str">
        <x:v>afterFinalUndeploy.tomcatFindLeaksOccurrences</x:v>
      </x:c>
      <x:c r="L563" s="36" t="n">
        <x:v>3</x:v>
      </x:c>
      <x:c r="M563" s="34" t="str">
        <x:v>/jcs321</x:v>
      </x:c>
      <x:c r="N563" s="44" t="str">
        <x:v>/jcs321</x:v>
      </x:c>
    </x:row>
    <x:row r="564">
      <x:c r="A564" s="36" t="n">
        <x:v>563</x:v>
      </x:c>
      <x:c r="B564" s="34" t="str">
        <x:v>article1-unified-v4-2-fb3f101b-20260903-000401-default-f03-p4-jcs321</x:v>
      </x:c>
      <x:c r="C564" s="34" t="str">
        <x:v>default</x:v>
      </x:c>
      <x:c r="D564" s="34" t="str">
        <x:v>jcs321</x:v>
      </x:c>
      <x:c r="E564" s="36" t="n">
        <x:v>3</x:v>
      </x:c>
      <x:c r="F564" s="36" t="n">
        <x:v>3</x:v>
      </x:c>
      <x:c r="G564" s="36" t="n">
        <x:v>4</x:v>
      </x:c>
      <x:c r="H564" s="34" t="str">
        <x:v>cycle-observation</x:v>
      </x:c>
      <x:c r="I564" s="36" t="n">
        <x:v>2</x:v>
      </x:c>
      <x:c r="J564" s="34" t="str">
        <x:v>tomcat-findleaks-occurrence</x:v>
      </x:c>
      <x:c r="K564" s="34" t="str">
        <x:v>afterFinalUndeploy.tomcatFindLeaksOccurrences</x:v>
      </x:c>
      <x:c r="L564" s="36" t="n">
        <x:v>4</x:v>
      </x:c>
      <x:c r="M564" s="34" t="str">
        <x:v>/jcs321</x:v>
      </x:c>
      <x:c r="N564" s="44" t="str">
        <x:v>/jcs321</x:v>
      </x:c>
    </x:row>
    <x:row r="565">
      <x:c r="A565" s="36" t="n">
        <x:v>564</x:v>
      </x:c>
      <x:c r="B565" s="34" t="str">
        <x:v>article1-unified-v4-2-fb3f101b-20260903-000401-default-f03-p4-jcs321</x:v>
      </x:c>
      <x:c r="C565" s="34" t="str">
        <x:v>default</x:v>
      </x:c>
      <x:c r="D565" s="34" t="str">
        <x:v>jcs321</x:v>
      </x:c>
      <x:c r="E565" s="36" t="n">
        <x:v>3</x:v>
      </x:c>
      <x:c r="F565" s="36" t="n">
        <x:v>3</x:v>
      </x:c>
      <x:c r="G565" s="36" t="n">
        <x:v>4</x:v>
      </x:c>
      <x:c r="H565" s="34" t="str">
        <x:v>cycle-observation</x:v>
      </x:c>
      <x:c r="I565" s="36" t="n">
        <x:v>2</x:v>
      </x:c>
      <x:c r="J565" s="34" t="str">
        <x:v>tomcat-findleaks-occurrence</x:v>
      </x:c>
      <x:c r="K565" s="34" t="str">
        <x:v>afterFinalUndeploy.tomcatFindLeaksOccurrences</x:v>
      </x:c>
      <x:c r="L565" s="36" t="n">
        <x:v>5</x:v>
      </x:c>
      <x:c r="M565" s="34" t="str">
        <x:v>/jcs321</x:v>
      </x:c>
      <x:c r="N565" s="44" t="str">
        <x:v>/jcs321</x:v>
      </x:c>
    </x:row>
    <x:row r="566">
      <x:c r="A566" s="36" t="n">
        <x:v>565</x:v>
      </x:c>
      <x:c r="B566" s="34" t="str">
        <x:v>article1-unified-v4-2-fb3f101b-20260903-000401-default-f03-p4-jcs321</x:v>
      </x:c>
      <x:c r="C566" s="34" t="str">
        <x:v>default</x:v>
      </x:c>
      <x:c r="D566" s="34" t="str">
        <x:v>jcs321</x:v>
      </x:c>
      <x:c r="E566" s="36" t="n">
        <x:v>3</x:v>
      </x:c>
      <x:c r="F566" s="36" t="n">
        <x:v>3</x:v>
      </x:c>
      <x:c r="G566" s="36" t="n">
        <x:v>4</x:v>
      </x:c>
      <x:c r="H566" s="34" t="str">
        <x:v>cycle-observation</x:v>
      </x:c>
      <x:c r="I566" s="36" t="n">
        <x:v>2</x:v>
      </x:c>
      <x:c r="J566" s="34" t="str">
        <x:v>tomcat-findleaks-occurrence</x:v>
      </x:c>
      <x:c r="K566" s="34" t="str">
        <x:v>afterFinalUndeploy.tomcatFindLeaksOccurrences</x:v>
      </x:c>
      <x:c r="L566" s="36" t="n">
        <x:v>6</x:v>
      </x:c>
      <x:c r="M566" s="34" t="str">
        <x:v>/jcs321</x:v>
      </x:c>
      <x:c r="N566" s="44" t="str">
        <x:v>/jcs321</x:v>
      </x:c>
    </x:row>
    <x:row r="567">
      <x:c r="A567" s="36" t="n">
        <x:v>566</x:v>
      </x:c>
      <x:c r="B567" s="34" t="str">
        <x:v>article1-unified-v4-2-fb3f101b-20260903-000401-default-f03-p4-jcs321</x:v>
      </x:c>
      <x:c r="C567" s="34" t="str">
        <x:v>default</x:v>
      </x:c>
      <x:c r="D567" s="34" t="str">
        <x:v>jcs321</x:v>
      </x:c>
      <x:c r="E567" s="36" t="n">
        <x:v>3</x:v>
      </x:c>
      <x:c r="F567" s="36" t="n">
        <x:v>3</x:v>
      </x:c>
      <x:c r="G567" s="36" t="n">
        <x:v>4</x:v>
      </x:c>
      <x:c r="H567" s="34" t="str">
        <x:v>cycle-observation</x:v>
      </x:c>
      <x:c r="I567" s="36" t="n">
        <x:v>2</x:v>
      </x:c>
      <x:c r="J567" s="34" t="str">
        <x:v>tomcat-findleaks-occurrence</x:v>
      </x:c>
      <x:c r="K567" s="34" t="str">
        <x:v>afterFinalUndeploy.tomcatFindLeaksOccurrences</x:v>
      </x:c>
      <x:c r="L567" s="36" t="n">
        <x:v>7</x:v>
      </x:c>
      <x:c r="M567" s="34" t="str">
        <x:v>/jcs321</x:v>
      </x:c>
      <x:c r="N567" s="44" t="str">
        <x:v>/jcs321</x:v>
      </x:c>
    </x:row>
    <x:row r="568">
      <x:c r="A568" s="36" t="n">
        <x:v>567</x:v>
      </x:c>
      <x:c r="B568" s="34" t="str">
        <x:v>article1-unified-v4-2-fb3f101b-20260903-000401-default-f03-p4-jcs321</x:v>
      </x:c>
      <x:c r="C568" s="34" t="str">
        <x:v>default</x:v>
      </x:c>
      <x:c r="D568" s="34" t="str">
        <x:v>jcs321</x:v>
      </x:c>
      <x:c r="E568" s="36" t="n">
        <x:v>3</x:v>
      </x:c>
      <x:c r="F568" s="36" t="n">
        <x:v>3</x:v>
      </x:c>
      <x:c r="G568" s="36" t="n">
        <x:v>4</x:v>
      </x:c>
      <x:c r="H568" s="34" t="str">
        <x:v>cycle-observation</x:v>
      </x:c>
      <x:c r="I568" s="36" t="n">
        <x:v>2</x:v>
      </x:c>
      <x:c r="J568" s="34" t="str">
        <x:v>tomcat-findleaks-occurrence</x:v>
      </x:c>
      <x:c r="K568" s="34" t="str">
        <x:v>afterFinalUndeploy.tomcatFindLeaksOccurrences</x:v>
      </x:c>
      <x:c r="L568" s="36" t="n">
        <x:v>8</x:v>
      </x:c>
      <x:c r="M568" s="34" t="str">
        <x:v>/jcs321</x:v>
      </x:c>
      <x:c r="N568" s="44" t="str">
        <x:v>/jcs321</x:v>
      </x:c>
    </x:row>
    <x:row r="569">
      <x:c r="A569" s="36" t="n">
        <x:v>568</x:v>
      </x:c>
      <x:c r="B569" s="34" t="str">
        <x:v>article1-unified-v4-2-fb3f101b-20260903-000401-default-f03-p4-jcs321</x:v>
      </x:c>
      <x:c r="C569" s="34" t="str">
        <x:v>default</x:v>
      </x:c>
      <x:c r="D569" s="34" t="str">
        <x:v>jcs321</x:v>
      </x:c>
      <x:c r="E569" s="36" t="n">
        <x:v>3</x:v>
      </x:c>
      <x:c r="F569" s="36" t="n">
        <x:v>3</x:v>
      </x:c>
      <x:c r="G569" s="36" t="n">
        <x:v>5</x:v>
      </x:c>
      <x:c r="H569" s="34" t="str">
        <x:v>cycle-window</x:v>
      </x:c>
      <x:c r="I569" s="36" t="n">
        <x:v>1</x:v>
      </x:c>
      <x:c r="J569" s="34" t="str">
        <x:v>warning</x:v>
      </x:c>
      <x:c r="K569" s="34" t="str">
        <x:v>firstUndeployWarnings</x:v>
      </x:c>
      <x:c r="L569" s="36" t="n">
        <x:v>1</x:v>
      </x:c>
      <x:c r="M569" s="34"/>
      <x:c r="N569" s="44" t="str">
        <x:v>03-Sep-2026 00:18:24.245 WARNING [http-nio-8080-exec-45]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570">
      <x:c r="A570" s="36" t="n">
        <x:v>569</x:v>
      </x:c>
      <x:c r="B570" s="34" t="str">
        <x:v>article1-unified-v4-2-fb3f101b-20260903-000401-default-f03-p4-jcs321</x:v>
      </x:c>
      <x:c r="C570" s="34" t="str">
        <x:v>default</x:v>
      </x:c>
      <x:c r="D570" s="34" t="str">
        <x:v>jcs321</x:v>
      </x:c>
      <x:c r="E570" s="36" t="n">
        <x:v>3</x:v>
      </x:c>
      <x:c r="F570" s="36" t="n">
        <x:v>3</x:v>
      </x:c>
      <x:c r="G570" s="36" t="n">
        <x:v>5</x:v>
      </x:c>
      <x:c r="H570" s="34" t="str">
        <x:v>cycle-window</x:v>
      </x:c>
      <x:c r="I570" s="36" t="n">
        <x:v>1</x:v>
      </x:c>
      <x:c r="J570" s="34" t="str">
        <x:v>leak-warning</x:v>
      </x:c>
      <x:c r="K570" s="34" t="str">
        <x:v>firstUndeployLeakWarnings</x:v>
      </x:c>
      <x:c r="L570" s="36" t="n">
        <x:v>1</x:v>
      </x:c>
      <x:c r="M570" s="34"/>
      <x:c r="N570" s="44" t="str">
        <x:v>03-Sep-2026 00:18:24.245 WARNING [http-nio-8080-exec-45]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571">
      <x:c r="A571" s="36" t="n">
        <x:v>570</x:v>
      </x:c>
      <x:c r="B571" s="34" t="str">
        <x:v>article1-unified-v4-2-fb3f101b-20260903-000401-default-f03-p4-jcs321</x:v>
      </x:c>
      <x:c r="C571" s="34" t="str">
        <x:v>default</x:v>
      </x:c>
      <x:c r="D571" s="34" t="str">
        <x:v>jcs321</x:v>
      </x:c>
      <x:c r="E571" s="36" t="n">
        <x:v>3</x:v>
      </x:c>
      <x:c r="F571" s="36" t="n">
        <x:v>3</x:v>
      </x:c>
      <x:c r="G571" s="36" t="n">
        <x:v>5</x:v>
      </x:c>
      <x:c r="H571" s="34" t="str">
        <x:v>cycle-window</x:v>
      </x:c>
      <x:c r="I571" s="36" t="n">
        <x:v>1</x:v>
      </x:c>
      <x:c r="J571" s="34" t="str">
        <x:v>thread-leak-warning</x:v>
      </x:c>
      <x:c r="K571" s="34" t="str">
        <x:v>firstUndeployThreadLeakWarnings</x:v>
      </x:c>
      <x:c r="L571" s="36" t="n">
        <x:v>1</x:v>
      </x:c>
      <x:c r="M571" s="34"/>
      <x:c r="N571" s="44" t="str">
        <x:v>03-Sep-2026 00:18:24.245 WARNING [http-nio-8080-exec-45]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572">
      <x:c r="A572" s="36" t="n">
        <x:v>571</x:v>
      </x:c>
      <x:c r="B572" s="34" t="str">
        <x:v>article1-unified-v4-2-fb3f101b-20260903-000401-default-f03-p4-jcs321</x:v>
      </x:c>
      <x:c r="C572" s="34" t="str">
        <x:v>default</x:v>
      </x:c>
      <x:c r="D572" s="34" t="str">
        <x:v>jcs321</x:v>
      </x:c>
      <x:c r="E572" s="36" t="n">
        <x:v>3</x:v>
      </x:c>
      <x:c r="F572" s="36" t="n">
        <x:v>3</x:v>
      </x:c>
      <x:c r="G572" s="36" t="n">
        <x:v>5</x:v>
      </x:c>
      <x:c r="H572" s="34" t="str">
        <x:v>cycle-window</x:v>
      </x:c>
      <x:c r="I572" s="36" t="n">
        <x:v>2</x:v>
      </x:c>
      <x:c r="J572" s="34" t="str">
        <x:v>warning</x:v>
      </x:c>
      <x:c r="K572" s="34" t="str">
        <x:v>secondUndeployWarnings</x:v>
      </x:c>
      <x:c r="L572" s="36" t="n">
        <x:v>1</x:v>
      </x:c>
      <x:c r="M572" s="34"/>
      <x:c r="N572" s="44" t="str">
        <x:v>03-Sep-2026 00:19:07.310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573">
      <x:c r="A573" s="36" t="n">
        <x:v>572</x:v>
      </x:c>
      <x:c r="B573" s="34" t="str">
        <x:v>article1-unified-v4-2-fb3f101b-20260903-000401-default-f03-p4-jcs321</x:v>
      </x:c>
      <x:c r="C573" s="34" t="str">
        <x:v>default</x:v>
      </x:c>
      <x:c r="D573" s="34" t="str">
        <x:v>jcs321</x:v>
      </x:c>
      <x:c r="E573" s="36" t="n">
        <x:v>3</x:v>
      </x:c>
      <x:c r="F573" s="36" t="n">
        <x:v>3</x:v>
      </x:c>
      <x:c r="G573" s="36" t="n">
        <x:v>5</x:v>
      </x:c>
      <x:c r="H573" s="34" t="str">
        <x:v>cycle-window</x:v>
      </x:c>
      <x:c r="I573" s="36" t="n">
        <x:v>2</x:v>
      </x:c>
      <x:c r="J573" s="34" t="str">
        <x:v>leak-warning</x:v>
      </x:c>
      <x:c r="K573" s="34" t="str">
        <x:v>secondUndeployLeakWarnings</x:v>
      </x:c>
      <x:c r="L573" s="36" t="n">
        <x:v>1</x:v>
      </x:c>
      <x:c r="M573" s="34"/>
      <x:c r="N573" s="44" t="str">
        <x:v>03-Sep-2026 00:19:07.310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574">
      <x:c r="A574" s="36" t="n">
        <x:v>573</x:v>
      </x:c>
      <x:c r="B574" s="34" t="str">
        <x:v>article1-unified-v4-2-fb3f101b-20260903-000401-default-f03-p4-jcs321</x:v>
      </x:c>
      <x:c r="C574" s="34" t="str">
        <x:v>default</x:v>
      </x:c>
      <x:c r="D574" s="34" t="str">
        <x:v>jcs321</x:v>
      </x:c>
      <x:c r="E574" s="36" t="n">
        <x:v>3</x:v>
      </x:c>
      <x:c r="F574" s="36" t="n">
        <x:v>3</x:v>
      </x:c>
      <x:c r="G574" s="36" t="n">
        <x:v>5</x:v>
      </x:c>
      <x:c r="H574" s="34" t="str">
        <x:v>cycle-window</x:v>
      </x:c>
      <x:c r="I574" s="36" t="n">
        <x:v>2</x:v>
      </x:c>
      <x:c r="J574" s="34" t="str">
        <x:v>thread-leak-warning</x:v>
      </x:c>
      <x:c r="K574" s="34" t="str">
        <x:v>secondUndeployThreadLeakWarnings</x:v>
      </x:c>
      <x:c r="L574" s="36" t="n">
        <x:v>1</x:v>
      </x:c>
      <x:c r="M574" s="34"/>
      <x:c r="N574" s="44" t="str">
        <x:v>03-Sep-2026 00:19:07.310 WARNING [http-nio-8080-exec-60]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575">
      <x:c r="A575" s="36" t="n">
        <x:v>574</x:v>
      </x:c>
      <x:c r="B575" s="34" t="str">
        <x:v>article1-unified-v4-2-fb3f101b-20260903-000401-default-f03-p4-jcs321</x:v>
      </x:c>
      <x:c r="C575" s="34" t="str">
        <x:v>default</x:v>
      </x:c>
      <x:c r="D575" s="34" t="str">
        <x:v>jcs321</x:v>
      </x:c>
      <x:c r="E575" s="36" t="n">
        <x:v>3</x:v>
      </x:c>
      <x:c r="F575" s="36" t="n">
        <x:v>3</x:v>
      </x:c>
      <x:c r="G575" s="36" t="n">
        <x:v>5</x:v>
      </x:c>
      <x:c r="H575" s="34" t="str">
        <x:v>cycle-observation</x:v>
      </x:c>
      <x:c r="I575" s="36" t="n">
        <x:v>1</x:v>
      </x:c>
      <x:c r="J575" s="34" t="str">
        <x:v>tomcat-findleaks-occurrence</x:v>
      </x:c>
      <x:c r="K575" s="34" t="str">
        <x:v>afterUndeploy.tomcatFindLeaksOccurrences</x:v>
      </x:c>
      <x:c r="L575" s="36" t="n">
        <x:v>1</x:v>
      </x:c>
      <x:c r="M575" s="34" t="str">
        <x:v>/jcs321</x:v>
      </x:c>
      <x:c r="N575" s="44" t="str">
        <x:v>/jcs321</x:v>
      </x:c>
    </x:row>
    <x:row r="576">
      <x:c r="A576" s="36" t="n">
        <x:v>575</x:v>
      </x:c>
      <x:c r="B576" s="34" t="str">
        <x:v>article1-unified-v4-2-fb3f101b-20260903-000401-default-f03-p4-jcs321</x:v>
      </x:c>
      <x:c r="C576" s="34" t="str">
        <x:v>default</x:v>
      </x:c>
      <x:c r="D576" s="34" t="str">
        <x:v>jcs321</x:v>
      </x:c>
      <x:c r="E576" s="36" t="n">
        <x:v>3</x:v>
      </x:c>
      <x:c r="F576" s="36" t="n">
        <x:v>3</x:v>
      </x:c>
      <x:c r="G576" s="36" t="n">
        <x:v>5</x:v>
      </x:c>
      <x:c r="H576" s="34" t="str">
        <x:v>cycle-observation</x:v>
      </x:c>
      <x:c r="I576" s="36" t="n">
        <x:v>1</x:v>
      </x:c>
      <x:c r="J576" s="34" t="str">
        <x:v>tomcat-findleaks-occurrence</x:v>
      </x:c>
      <x:c r="K576" s="34" t="str">
        <x:v>afterUndeploy.tomcatFindLeaksOccurrences</x:v>
      </x:c>
      <x:c r="L576" s="36" t="n">
        <x:v>2</x:v>
      </x:c>
      <x:c r="M576" s="34" t="str">
        <x:v>/jcs321</x:v>
      </x:c>
      <x:c r="N576" s="44" t="str">
        <x:v>/jcs321</x:v>
      </x:c>
    </x:row>
    <x:row r="577">
      <x:c r="A577" s="36" t="n">
        <x:v>576</x:v>
      </x:c>
      <x:c r="B577" s="34" t="str">
        <x:v>article1-unified-v4-2-fb3f101b-20260903-000401-default-f03-p4-jcs321</x:v>
      </x:c>
      <x:c r="C577" s="34" t="str">
        <x:v>default</x:v>
      </x:c>
      <x:c r="D577" s="34" t="str">
        <x:v>jcs321</x:v>
      </x:c>
      <x:c r="E577" s="36" t="n">
        <x:v>3</x:v>
      </x:c>
      <x:c r="F577" s="36" t="n">
        <x:v>3</x:v>
      </x:c>
      <x:c r="G577" s="36" t="n">
        <x:v>5</x:v>
      </x:c>
      <x:c r="H577" s="34" t="str">
        <x:v>cycle-observation</x:v>
      </x:c>
      <x:c r="I577" s="36" t="n">
        <x:v>1</x:v>
      </x:c>
      <x:c r="J577" s="34" t="str">
        <x:v>tomcat-findleaks-occurrence</x:v>
      </x:c>
      <x:c r="K577" s="34" t="str">
        <x:v>afterUndeploy.tomcatFindLeaksOccurrences</x:v>
      </x:c>
      <x:c r="L577" s="36" t="n">
        <x:v>3</x:v>
      </x:c>
      <x:c r="M577" s="34" t="str">
        <x:v>/jcs321</x:v>
      </x:c>
      <x:c r="N577" s="44" t="str">
        <x:v>/jcs321</x:v>
      </x:c>
    </x:row>
    <x:row r="578">
      <x:c r="A578" s="36" t="n">
        <x:v>577</x:v>
      </x:c>
      <x:c r="B578" s="34" t="str">
        <x:v>article1-unified-v4-2-fb3f101b-20260903-000401-default-f03-p4-jcs321</x:v>
      </x:c>
      <x:c r="C578" s="34" t="str">
        <x:v>default</x:v>
      </x:c>
      <x:c r="D578" s="34" t="str">
        <x:v>jcs321</x:v>
      </x:c>
      <x:c r="E578" s="36" t="n">
        <x:v>3</x:v>
      </x:c>
      <x:c r="F578" s="36" t="n">
        <x:v>3</x:v>
      </x:c>
      <x:c r="G578" s="36" t="n">
        <x:v>5</x:v>
      </x:c>
      <x:c r="H578" s="34" t="str">
        <x:v>cycle-observation</x:v>
      </x:c>
      <x:c r="I578" s="36" t="n">
        <x:v>1</x:v>
      </x:c>
      <x:c r="J578" s="34" t="str">
        <x:v>tomcat-findleaks-occurrence</x:v>
      </x:c>
      <x:c r="K578" s="34" t="str">
        <x:v>afterUndeploy.tomcatFindLeaksOccurrences</x:v>
      </x:c>
      <x:c r="L578" s="36" t="n">
        <x:v>4</x:v>
      </x:c>
      <x:c r="M578" s="34" t="str">
        <x:v>/jcs321</x:v>
      </x:c>
      <x:c r="N578" s="44" t="str">
        <x:v>/jcs321</x:v>
      </x:c>
    </x:row>
    <x:row r="579">
      <x:c r="A579" s="36" t="n">
        <x:v>578</x:v>
      </x:c>
      <x:c r="B579" s="34" t="str">
        <x:v>article1-unified-v4-2-fb3f101b-20260903-000401-default-f03-p4-jcs321</x:v>
      </x:c>
      <x:c r="C579" s="34" t="str">
        <x:v>default</x:v>
      </x:c>
      <x:c r="D579" s="34" t="str">
        <x:v>jcs321</x:v>
      </x:c>
      <x:c r="E579" s="36" t="n">
        <x:v>3</x:v>
      </x:c>
      <x:c r="F579" s="36" t="n">
        <x:v>3</x:v>
      </x:c>
      <x:c r="G579" s="36" t="n">
        <x:v>5</x:v>
      </x:c>
      <x:c r="H579" s="34" t="str">
        <x:v>cycle-observation</x:v>
      </x:c>
      <x:c r="I579" s="36" t="n">
        <x:v>1</x:v>
      </x:c>
      <x:c r="J579" s="34" t="str">
        <x:v>tomcat-findleaks-occurrence</x:v>
      </x:c>
      <x:c r="K579" s="34" t="str">
        <x:v>afterUndeploy.tomcatFindLeaksOccurrences</x:v>
      </x:c>
      <x:c r="L579" s="36" t="n">
        <x:v>5</x:v>
      </x:c>
      <x:c r="M579" s="34" t="str">
        <x:v>/jcs321</x:v>
      </x:c>
      <x:c r="N579" s="44" t="str">
        <x:v>/jcs321</x:v>
      </x:c>
    </x:row>
    <x:row r="580">
      <x:c r="A580" s="36" t="n">
        <x:v>579</x:v>
      </x:c>
      <x:c r="B580" s="34" t="str">
        <x:v>article1-unified-v4-2-fb3f101b-20260903-000401-default-f03-p4-jcs321</x:v>
      </x:c>
      <x:c r="C580" s="34" t="str">
        <x:v>default</x:v>
      </x:c>
      <x:c r="D580" s="34" t="str">
        <x:v>jcs321</x:v>
      </x:c>
      <x:c r="E580" s="36" t="n">
        <x:v>3</x:v>
      </x:c>
      <x:c r="F580" s="36" t="n">
        <x:v>3</x:v>
      </x:c>
      <x:c r="G580" s="36" t="n">
        <x:v>5</x:v>
      </x:c>
      <x:c r="H580" s="34" t="str">
        <x:v>cycle-observation</x:v>
      </x:c>
      <x:c r="I580" s="36" t="n">
        <x:v>1</x:v>
      </x:c>
      <x:c r="J580" s="34" t="str">
        <x:v>tomcat-findleaks-occurrence</x:v>
      </x:c>
      <x:c r="K580" s="34" t="str">
        <x:v>afterUndeploy.tomcatFindLeaksOccurrences</x:v>
      </x:c>
      <x:c r="L580" s="36" t="n">
        <x:v>6</x:v>
      </x:c>
      <x:c r="M580" s="34" t="str">
        <x:v>/jcs321</x:v>
      </x:c>
      <x:c r="N580" s="44" t="str">
        <x:v>/jcs321</x:v>
      </x:c>
    </x:row>
    <x:row r="581">
      <x:c r="A581" s="36" t="n">
        <x:v>580</x:v>
      </x:c>
      <x:c r="B581" s="34" t="str">
        <x:v>article1-unified-v4-2-fb3f101b-20260903-000401-default-f03-p4-jcs321</x:v>
      </x:c>
      <x:c r="C581" s="34" t="str">
        <x:v>default</x:v>
      </x:c>
      <x:c r="D581" s="34" t="str">
        <x:v>jcs321</x:v>
      </x:c>
      <x:c r="E581" s="36" t="n">
        <x:v>3</x:v>
      </x:c>
      <x:c r="F581" s="36" t="n">
        <x:v>3</x:v>
      </x:c>
      <x:c r="G581" s="36" t="n">
        <x:v>5</x:v>
      </x:c>
      <x:c r="H581" s="34" t="str">
        <x:v>cycle-observation</x:v>
      </x:c>
      <x:c r="I581" s="36" t="n">
        <x:v>1</x:v>
      </x:c>
      <x:c r="J581" s="34" t="str">
        <x:v>tomcat-findleaks-occurrence</x:v>
      </x:c>
      <x:c r="K581" s="34" t="str">
        <x:v>afterUndeploy.tomcatFindLeaksOccurrences</x:v>
      </x:c>
      <x:c r="L581" s="36" t="n">
        <x:v>7</x:v>
      </x:c>
      <x:c r="M581" s="34" t="str">
        <x:v>/jcs321</x:v>
      </x:c>
      <x:c r="N581" s="44" t="str">
        <x:v>/jcs321</x:v>
      </x:c>
    </x:row>
    <x:row r="582">
      <x:c r="A582" s="36" t="n">
        <x:v>581</x:v>
      </x:c>
      <x:c r="B582" s="34" t="str">
        <x:v>article1-unified-v4-2-fb3f101b-20260903-000401-default-f03-p4-jcs321</x:v>
      </x:c>
      <x:c r="C582" s="34" t="str">
        <x:v>default</x:v>
      </x:c>
      <x:c r="D582" s="34" t="str">
        <x:v>jcs321</x:v>
      </x:c>
      <x:c r="E582" s="36" t="n">
        <x:v>3</x:v>
      </x:c>
      <x:c r="F582" s="36" t="n">
        <x:v>3</x:v>
      </x:c>
      <x:c r="G582" s="36" t="n">
        <x:v>5</x:v>
      </x:c>
      <x:c r="H582" s="34" t="str">
        <x:v>cycle-observation</x:v>
      </x:c>
      <x:c r="I582" s="36" t="n">
        <x:v>1</x:v>
      </x:c>
      <x:c r="J582" s="34" t="str">
        <x:v>tomcat-findleaks-occurrence</x:v>
      </x:c>
      <x:c r="K582" s="34" t="str">
        <x:v>afterUndeploy.tomcatFindLeaksOccurrences</x:v>
      </x:c>
      <x:c r="L582" s="36" t="n">
        <x:v>8</x:v>
      </x:c>
      <x:c r="M582" s="34" t="str">
        <x:v>/jcs321</x:v>
      </x:c>
      <x:c r="N582" s="44" t="str">
        <x:v>/jcs321</x:v>
      </x:c>
    </x:row>
    <x:row r="583">
      <x:c r="A583" s="36" t="n">
        <x:v>582</x:v>
      </x:c>
      <x:c r="B583" s="34" t="str">
        <x:v>article1-unified-v4-2-fb3f101b-20260903-000401-default-f03-p4-jcs321</x:v>
      </x:c>
      <x:c r="C583" s="34" t="str">
        <x:v>default</x:v>
      </x:c>
      <x:c r="D583" s="34" t="str">
        <x:v>jcs321</x:v>
      </x:c>
      <x:c r="E583" s="36" t="n">
        <x:v>3</x:v>
      </x:c>
      <x:c r="F583" s="36" t="n">
        <x:v>3</x:v>
      </x:c>
      <x:c r="G583" s="36" t="n">
        <x:v>5</x:v>
      </x:c>
      <x:c r="H583" s="34" t="str">
        <x:v>cycle-observation</x:v>
      </x:c>
      <x:c r="I583" s="36" t="n">
        <x:v>1</x:v>
      </x:c>
      <x:c r="J583" s="34" t="str">
        <x:v>tomcat-findleaks-occurrence</x:v>
      </x:c>
      <x:c r="K583" s="34" t="str">
        <x:v>afterUndeploy.tomcatFindLeaksOccurrences</x:v>
      </x:c>
      <x:c r="L583" s="36" t="n">
        <x:v>9</x:v>
      </x:c>
      <x:c r="M583" s="34" t="str">
        <x:v>/jcs321</x:v>
      </x:c>
      <x:c r="N583" s="44" t="str">
        <x:v>/jcs321</x:v>
      </x:c>
    </x:row>
    <x:row r="584">
      <x:c r="A584" s="36" t="n">
        <x:v>583</x:v>
      </x:c>
      <x:c r="B584" s="34" t="str">
        <x:v>article1-unified-v4-2-fb3f101b-20260903-000401-default-f03-p4-jcs321</x:v>
      </x:c>
      <x:c r="C584" s="34" t="str">
        <x:v>default</x:v>
      </x:c>
      <x:c r="D584" s="34" t="str">
        <x:v>jcs321</x:v>
      </x:c>
      <x:c r="E584" s="36" t="n">
        <x:v>3</x:v>
      </x:c>
      <x:c r="F584" s="36" t="n">
        <x:v>3</x:v>
      </x:c>
      <x:c r="G584" s="36" t="n">
        <x:v>5</x:v>
      </x:c>
      <x:c r="H584" s="34" t="str">
        <x:v>cycle-observation</x:v>
      </x:c>
      <x:c r="I584" s="36" t="n">
        <x:v>2</x:v>
      </x:c>
      <x:c r="J584" s="34" t="str">
        <x:v>tomcat-findleaks-occurrence</x:v>
      </x:c>
      <x:c r="K584" s="34" t="str">
        <x:v>afterFinalUndeploy.tomcatFindLeaksOccurrences</x:v>
      </x:c>
      <x:c r="L584" s="36" t="n">
        <x:v>1</x:v>
      </x:c>
      <x:c r="M584" s="34" t="str">
        <x:v>/jcs321</x:v>
      </x:c>
      <x:c r="N584" s="44" t="str">
        <x:v>/jcs321</x:v>
      </x:c>
    </x:row>
    <x:row r="585">
      <x:c r="A585" s="36" t="n">
        <x:v>584</x:v>
      </x:c>
      <x:c r="B585" s="34" t="str">
        <x:v>article1-unified-v4-2-fb3f101b-20260903-000401-default-f03-p4-jcs321</x:v>
      </x:c>
      <x:c r="C585" s="34" t="str">
        <x:v>default</x:v>
      </x:c>
      <x:c r="D585" s="34" t="str">
        <x:v>jcs321</x:v>
      </x:c>
      <x:c r="E585" s="36" t="n">
        <x:v>3</x:v>
      </x:c>
      <x:c r="F585" s="36" t="n">
        <x:v>3</x:v>
      </x:c>
      <x:c r="G585" s="36" t="n">
        <x:v>5</x:v>
      </x:c>
      <x:c r="H585" s="34" t="str">
        <x:v>cycle-observation</x:v>
      </x:c>
      <x:c r="I585" s="36" t="n">
        <x:v>2</x:v>
      </x:c>
      <x:c r="J585" s="34" t="str">
        <x:v>tomcat-findleaks-occurrence</x:v>
      </x:c>
      <x:c r="K585" s="34" t="str">
        <x:v>afterFinalUndeploy.tomcatFindLeaksOccurrences</x:v>
      </x:c>
      <x:c r="L585" s="36" t="n">
        <x:v>2</x:v>
      </x:c>
      <x:c r="M585" s="34" t="str">
        <x:v>/jcs321</x:v>
      </x:c>
      <x:c r="N585" s="44" t="str">
        <x:v>/jcs321</x:v>
      </x:c>
    </x:row>
    <x:row r="586">
      <x:c r="A586" s="36" t="n">
        <x:v>585</x:v>
      </x:c>
      <x:c r="B586" s="34" t="str">
        <x:v>article1-unified-v4-2-fb3f101b-20260903-000401-default-f03-p4-jcs321</x:v>
      </x:c>
      <x:c r="C586" s="34" t="str">
        <x:v>default</x:v>
      </x:c>
      <x:c r="D586" s="34" t="str">
        <x:v>jcs321</x:v>
      </x:c>
      <x:c r="E586" s="36" t="n">
        <x:v>3</x:v>
      </x:c>
      <x:c r="F586" s="36" t="n">
        <x:v>3</x:v>
      </x:c>
      <x:c r="G586" s="36" t="n">
        <x:v>5</x:v>
      </x:c>
      <x:c r="H586" s="34" t="str">
        <x:v>cycle-observation</x:v>
      </x:c>
      <x:c r="I586" s="36" t="n">
        <x:v>2</x:v>
      </x:c>
      <x:c r="J586" s="34" t="str">
        <x:v>tomcat-findleaks-occurrence</x:v>
      </x:c>
      <x:c r="K586" s="34" t="str">
        <x:v>afterFinalUndeploy.tomcatFindLeaksOccurrences</x:v>
      </x:c>
      <x:c r="L586" s="36" t="n">
        <x:v>3</x:v>
      </x:c>
      <x:c r="M586" s="34" t="str">
        <x:v>/jcs321</x:v>
      </x:c>
      <x:c r="N586" s="44" t="str">
        <x:v>/jcs321</x:v>
      </x:c>
    </x:row>
    <x:row r="587">
      <x:c r="A587" s="36" t="n">
        <x:v>586</x:v>
      </x:c>
      <x:c r="B587" s="34" t="str">
        <x:v>article1-unified-v4-2-fb3f101b-20260903-000401-default-f03-p4-jcs321</x:v>
      </x:c>
      <x:c r="C587" s="34" t="str">
        <x:v>default</x:v>
      </x:c>
      <x:c r="D587" s="34" t="str">
        <x:v>jcs321</x:v>
      </x:c>
      <x:c r="E587" s="36" t="n">
        <x:v>3</x:v>
      </x:c>
      <x:c r="F587" s="36" t="n">
        <x:v>3</x:v>
      </x:c>
      <x:c r="G587" s="36" t="n">
        <x:v>5</x:v>
      </x:c>
      <x:c r="H587" s="34" t="str">
        <x:v>cycle-observation</x:v>
      </x:c>
      <x:c r="I587" s="36" t="n">
        <x:v>2</x:v>
      </x:c>
      <x:c r="J587" s="34" t="str">
        <x:v>tomcat-findleaks-occurrence</x:v>
      </x:c>
      <x:c r="K587" s="34" t="str">
        <x:v>afterFinalUndeploy.tomcatFindLeaksOccurrences</x:v>
      </x:c>
      <x:c r="L587" s="36" t="n">
        <x:v>4</x:v>
      </x:c>
      <x:c r="M587" s="34" t="str">
        <x:v>/jcs321</x:v>
      </x:c>
      <x:c r="N587" s="44" t="str">
        <x:v>/jcs321</x:v>
      </x:c>
    </x:row>
    <x:row r="588">
      <x:c r="A588" s="36" t="n">
        <x:v>587</x:v>
      </x:c>
      <x:c r="B588" s="34" t="str">
        <x:v>article1-unified-v4-2-fb3f101b-20260903-000401-default-f03-p4-jcs321</x:v>
      </x:c>
      <x:c r="C588" s="34" t="str">
        <x:v>default</x:v>
      </x:c>
      <x:c r="D588" s="34" t="str">
        <x:v>jcs321</x:v>
      </x:c>
      <x:c r="E588" s="36" t="n">
        <x:v>3</x:v>
      </x:c>
      <x:c r="F588" s="36" t="n">
        <x:v>3</x:v>
      </x:c>
      <x:c r="G588" s="36" t="n">
        <x:v>5</x:v>
      </x:c>
      <x:c r="H588" s="34" t="str">
        <x:v>cycle-observation</x:v>
      </x:c>
      <x:c r="I588" s="36" t="n">
        <x:v>2</x:v>
      </x:c>
      <x:c r="J588" s="34" t="str">
        <x:v>tomcat-findleaks-occurrence</x:v>
      </x:c>
      <x:c r="K588" s="34" t="str">
        <x:v>afterFinalUndeploy.tomcatFindLeaksOccurrences</x:v>
      </x:c>
      <x:c r="L588" s="36" t="n">
        <x:v>5</x:v>
      </x:c>
      <x:c r="M588" s="34" t="str">
        <x:v>/jcs321</x:v>
      </x:c>
      <x:c r="N588" s="44" t="str">
        <x:v>/jcs321</x:v>
      </x:c>
    </x:row>
    <x:row r="589">
      <x:c r="A589" s="36" t="n">
        <x:v>588</x:v>
      </x:c>
      <x:c r="B589" s="34" t="str">
        <x:v>article1-unified-v4-2-fb3f101b-20260903-000401-default-f03-p4-jcs321</x:v>
      </x:c>
      <x:c r="C589" s="34" t="str">
        <x:v>default</x:v>
      </x:c>
      <x:c r="D589" s="34" t="str">
        <x:v>jcs321</x:v>
      </x:c>
      <x:c r="E589" s="36" t="n">
        <x:v>3</x:v>
      </x:c>
      <x:c r="F589" s="36" t="n">
        <x:v>3</x:v>
      </x:c>
      <x:c r="G589" s="36" t="n">
        <x:v>5</x:v>
      </x:c>
      <x:c r="H589" s="34" t="str">
        <x:v>cycle-observation</x:v>
      </x:c>
      <x:c r="I589" s="36" t="n">
        <x:v>2</x:v>
      </x:c>
      <x:c r="J589" s="34" t="str">
        <x:v>tomcat-findleaks-occurrence</x:v>
      </x:c>
      <x:c r="K589" s="34" t="str">
        <x:v>afterFinalUndeploy.tomcatFindLeaksOccurrences</x:v>
      </x:c>
      <x:c r="L589" s="36" t="n">
        <x:v>6</x:v>
      </x:c>
      <x:c r="M589" s="34" t="str">
        <x:v>/jcs321</x:v>
      </x:c>
      <x:c r="N589" s="44" t="str">
        <x:v>/jcs321</x:v>
      </x:c>
    </x:row>
    <x:row r="590">
      <x:c r="A590" s="36" t="n">
        <x:v>589</x:v>
      </x:c>
      <x:c r="B590" s="34" t="str">
        <x:v>article1-unified-v4-2-fb3f101b-20260903-000401-default-f03-p4-jcs321</x:v>
      </x:c>
      <x:c r="C590" s="34" t="str">
        <x:v>default</x:v>
      </x:c>
      <x:c r="D590" s="34" t="str">
        <x:v>jcs321</x:v>
      </x:c>
      <x:c r="E590" s="36" t="n">
        <x:v>3</x:v>
      </x:c>
      <x:c r="F590" s="36" t="n">
        <x:v>3</x:v>
      </x:c>
      <x:c r="G590" s="36" t="n">
        <x:v>5</x:v>
      </x:c>
      <x:c r="H590" s="34" t="str">
        <x:v>cycle-observation</x:v>
      </x:c>
      <x:c r="I590" s="36" t="n">
        <x:v>2</x:v>
      </x:c>
      <x:c r="J590" s="34" t="str">
        <x:v>tomcat-findleaks-occurrence</x:v>
      </x:c>
      <x:c r="K590" s="34" t="str">
        <x:v>afterFinalUndeploy.tomcatFindLeaksOccurrences</x:v>
      </x:c>
      <x:c r="L590" s="36" t="n">
        <x:v>7</x:v>
      </x:c>
      <x:c r="M590" s="34" t="str">
        <x:v>/jcs321</x:v>
      </x:c>
      <x:c r="N590" s="44" t="str">
        <x:v>/jcs321</x:v>
      </x:c>
    </x:row>
    <x:row r="591">
      <x:c r="A591" s="36" t="n">
        <x:v>590</x:v>
      </x:c>
      <x:c r="B591" s="34" t="str">
        <x:v>article1-unified-v4-2-fb3f101b-20260903-000401-default-f03-p4-jcs321</x:v>
      </x:c>
      <x:c r="C591" s="34" t="str">
        <x:v>default</x:v>
      </x:c>
      <x:c r="D591" s="34" t="str">
        <x:v>jcs321</x:v>
      </x:c>
      <x:c r="E591" s="36" t="n">
        <x:v>3</x:v>
      </x:c>
      <x:c r="F591" s="36" t="n">
        <x:v>3</x:v>
      </x:c>
      <x:c r="G591" s="36" t="n">
        <x:v>5</x:v>
      </x:c>
      <x:c r="H591" s="34" t="str">
        <x:v>cycle-observation</x:v>
      </x:c>
      <x:c r="I591" s="36" t="n">
        <x:v>2</x:v>
      </x:c>
      <x:c r="J591" s="34" t="str">
        <x:v>tomcat-findleaks-occurrence</x:v>
      </x:c>
      <x:c r="K591" s="34" t="str">
        <x:v>afterFinalUndeploy.tomcatFindLeaksOccurrences</x:v>
      </x:c>
      <x:c r="L591" s="36" t="n">
        <x:v>8</x:v>
      </x:c>
      <x:c r="M591" s="34" t="str">
        <x:v>/jcs321</x:v>
      </x:c>
      <x:c r="N591" s="44" t="str">
        <x:v>/jcs321</x:v>
      </x:c>
    </x:row>
    <x:row r="592">
      <x:c r="A592" s="36" t="n">
        <x:v>591</x:v>
      </x:c>
      <x:c r="B592" s="34" t="str">
        <x:v>article1-unified-v4-2-fb3f101b-20260903-000401-default-f03-p4-jcs321</x:v>
      </x:c>
      <x:c r="C592" s="34" t="str">
        <x:v>default</x:v>
      </x:c>
      <x:c r="D592" s="34" t="str">
        <x:v>jcs321</x:v>
      </x:c>
      <x:c r="E592" s="36" t="n">
        <x:v>3</x:v>
      </x:c>
      <x:c r="F592" s="36" t="n">
        <x:v>3</x:v>
      </x:c>
      <x:c r="G592" s="36" t="n">
        <x:v>5</x:v>
      </x:c>
      <x:c r="H592" s="34" t="str">
        <x:v>cycle-observation</x:v>
      </x:c>
      <x:c r="I592" s="36" t="n">
        <x:v>2</x:v>
      </x:c>
      <x:c r="J592" s="34" t="str">
        <x:v>tomcat-findleaks-occurrence</x:v>
      </x:c>
      <x:c r="K592" s="34" t="str">
        <x:v>afterFinalUndeploy.tomcatFindLeaksOccurrences</x:v>
      </x:c>
      <x:c r="L592" s="36" t="n">
        <x:v>9</x:v>
      </x:c>
      <x:c r="M592" s="34" t="str">
        <x:v>/jcs321</x:v>
      </x:c>
      <x:c r="N592" s="44" t="str">
        <x:v>/jcs321</x:v>
      </x:c>
    </x:row>
    <x:row r="593">
      <x:c r="A593" s="36" t="n">
        <x:v>592</x:v>
      </x:c>
      <x:c r="B593" s="34" t="str">
        <x:v>article1-unified-v4-2-fb3f101b-20260903-000401-default-f03-p4-jcs321</x:v>
      </x:c>
      <x:c r="C593" s="34" t="str">
        <x:v>default</x:v>
      </x:c>
      <x:c r="D593" s="34" t="str">
        <x:v>jcs321</x:v>
      </x:c>
      <x:c r="E593" s="36" t="n">
        <x:v>3</x:v>
      </x:c>
      <x:c r="F593" s="36" t="n">
        <x:v>3</x:v>
      </x:c>
      <x:c r="G593" s="36" t="n">
        <x:v>5</x:v>
      </x:c>
      <x:c r="H593" s="34" t="str">
        <x:v>cycle-observation</x:v>
      </x:c>
      <x:c r="I593" s="36" t="n">
        <x:v>2</x:v>
      </x:c>
      <x:c r="J593" s="34" t="str">
        <x:v>tomcat-findleaks-occurrence</x:v>
      </x:c>
      <x:c r="K593" s="34" t="str">
        <x:v>afterFinalUndeploy.tomcatFindLeaksOccurrences</x:v>
      </x:c>
      <x:c r="L593" s="36" t="n">
        <x:v>10</x:v>
      </x:c>
      <x:c r="M593" s="34" t="str">
        <x:v>/jcs321</x:v>
      </x:c>
      <x:c r="N593" s="44" t="str">
        <x:v>/jcs321</x:v>
      </x:c>
    </x:row>
    <x:row r="594">
      <x:c r="A594" s="36" t="n">
        <x:v>593</x:v>
      </x:c>
      <x:c r="B594" s="34" t="str">
        <x:v>article1-unified-v4-2-fb3f101b-20260903-000401-default-f03-p5-caffeine</x:v>
      </x:c>
      <x:c r="C594" s="34" t="str">
        <x:v>default</x:v>
      </x:c>
      <x:c r="D594" s="34" t="str">
        <x:v>caffeine</x:v>
      </x:c>
      <x:c r="E594" s="36" t="n">
        <x:v>3</x:v>
      </x:c>
      <x:c r="F594" s="36" t="n">
        <x:v>3</x:v>
      </x:c>
      <x:c r="G594" s="36" t="n">
        <x:v>1</x:v>
      </x:c>
      <x:c r="H594" s="34" t="str">
        <x:v>cycle-observation</x:v>
      </x:c>
      <x:c r="I594" s="36" t="n">
        <x:v>1</x:v>
      </x:c>
      <x:c r="J594" s="34" t="str">
        <x:v>tomcat-findleaks-occurrence</x:v>
      </x:c>
      <x:c r="K594" s="34" t="str">
        <x:v>afterUndeploy.tomcatFindLeaksOccurrences</x:v>
      </x:c>
      <x:c r="L594" s="36" t="n">
        <x:v>1</x:v>
      </x:c>
      <x:c r="M594" s="34" t="str">
        <x:v>/caffeine</x:v>
      </x:c>
      <x:c r="N594" s="44" t="str">
        <x:v>/caffeine</x:v>
      </x:c>
    </x:row>
    <x:row r="595">
      <x:c r="A595" s="36" t="n">
        <x:v>594</x:v>
      </x:c>
      <x:c r="B595" s="34" t="str">
        <x:v>article1-unified-v4-2-fb3f101b-20260903-000401-default-f03-p5-caffeine</x:v>
      </x:c>
      <x:c r="C595" s="34" t="str">
        <x:v>default</x:v>
      </x:c>
      <x:c r="D595" s="34" t="str">
        <x:v>caffeine</x:v>
      </x:c>
      <x:c r="E595" s="36" t="n">
        <x:v>3</x:v>
      </x:c>
      <x:c r="F595" s="36" t="n">
        <x:v>3</x:v>
      </x:c>
      <x:c r="G595" s="36" t="n">
        <x:v>1</x:v>
      </x:c>
      <x:c r="H595" s="34" t="str">
        <x:v>cycle-observation</x:v>
      </x:c>
      <x:c r="I595" s="36" t="n">
        <x:v>2</x:v>
      </x:c>
      <x:c r="J595" s="34" t="str">
        <x:v>tomcat-findleaks-occurrence</x:v>
      </x:c>
      <x:c r="K595" s="34" t="str">
        <x:v>afterFinalUndeploy.tomcatFindLeaksOccurrences</x:v>
      </x:c>
      <x:c r="L595" s="36" t="n">
        <x:v>1</x:v>
      </x:c>
      <x:c r="M595" s="34" t="str">
        <x:v>/caffeine</x:v>
      </x:c>
      <x:c r="N595" s="44" t="str">
        <x:v>/caffeine</x:v>
      </x:c>
    </x:row>
    <x:row r="596">
      <x:c r="A596" s="36" t="n">
        <x:v>595</x:v>
      </x:c>
      <x:c r="B596" s="34" t="str">
        <x:v>article1-unified-v4-2-fb3f101b-20260903-000401-default-f03-p5-caffeine</x:v>
      </x:c>
      <x:c r="C596" s="34" t="str">
        <x:v>default</x:v>
      </x:c>
      <x:c r="D596" s="34" t="str">
        <x:v>caffeine</x:v>
      </x:c>
      <x:c r="E596" s="36" t="n">
        <x:v>3</x:v>
      </x:c>
      <x:c r="F596" s="36" t="n">
        <x:v>3</x:v>
      </x:c>
      <x:c r="G596" s="36" t="n">
        <x:v>2</x:v>
      </x:c>
      <x:c r="H596" s="34" t="str">
        <x:v>cycle-observation</x:v>
      </x:c>
      <x:c r="I596" s="36" t="n">
        <x:v>1</x:v>
      </x:c>
      <x:c r="J596" s="34" t="str">
        <x:v>tomcat-findleaks-occurrence</x:v>
      </x:c>
      <x:c r="K596" s="34" t="str">
        <x:v>afterUndeploy.tomcatFindLeaksOccurrences</x:v>
      </x:c>
      <x:c r="L596" s="36" t="n">
        <x:v>1</x:v>
      </x:c>
      <x:c r="M596" s="34" t="str">
        <x:v>/caffeine</x:v>
      </x:c>
      <x:c r="N596" s="44" t="str">
        <x:v>/caffeine</x:v>
      </x:c>
    </x:row>
    <x:row r="597">
      <x:c r="A597" s="36" t="n">
        <x:v>596</x:v>
      </x:c>
      <x:c r="B597" s="34" t="str">
        <x:v>article1-unified-v4-2-fb3f101b-20260903-000401-default-f03-p5-caffeine</x:v>
      </x:c>
      <x:c r="C597" s="34" t="str">
        <x:v>default</x:v>
      </x:c>
      <x:c r="D597" s="34" t="str">
        <x:v>caffeine</x:v>
      </x:c>
      <x:c r="E597" s="36" t="n">
        <x:v>3</x:v>
      </x:c>
      <x:c r="F597" s="36" t="n">
        <x:v>3</x:v>
      </x:c>
      <x:c r="G597" s="36" t="n">
        <x:v>2</x:v>
      </x:c>
      <x:c r="H597" s="34" t="str">
        <x:v>cycle-observation</x:v>
      </x:c>
      <x:c r="I597" s="36" t="n">
        <x:v>2</x:v>
      </x:c>
      <x:c r="J597" s="34" t="str">
        <x:v>tomcat-findleaks-occurrence</x:v>
      </x:c>
      <x:c r="K597" s="34" t="str">
        <x:v>afterFinalUndeploy.tomcatFindLeaksOccurrences</x:v>
      </x:c>
      <x:c r="L597" s="36" t="n">
        <x:v>1</x:v>
      </x:c>
      <x:c r="M597" s="34" t="str">
        <x:v>/caffeine</x:v>
      </x:c>
      <x:c r="N597" s="44" t="str">
        <x:v>/caffeine</x:v>
      </x:c>
    </x:row>
    <x:row r="598">
      <x:c r="A598" s="36" t="n">
        <x:v>597</x:v>
      </x:c>
      <x:c r="B598" s="34" t="str">
        <x:v>article1-unified-v4-2-fb3f101b-20260903-000401-default-f03-p5-caffeine</x:v>
      </x:c>
      <x:c r="C598" s="34" t="str">
        <x:v>default</x:v>
      </x:c>
      <x:c r="D598" s="34" t="str">
        <x:v>caffeine</x:v>
      </x:c>
      <x:c r="E598" s="36" t="n">
        <x:v>3</x:v>
      </x:c>
      <x:c r="F598" s="36" t="n">
        <x:v>3</x:v>
      </x:c>
      <x:c r="G598" s="36" t="n">
        <x:v>3</x:v>
      </x:c>
      <x:c r="H598" s="34" t="str">
        <x:v>cycle-observation</x:v>
      </x:c>
      <x:c r="I598" s="36" t="n">
        <x:v>1</x:v>
      </x:c>
      <x:c r="J598" s="34" t="str">
        <x:v>tomcat-findleaks-occurrence</x:v>
      </x:c>
      <x:c r="K598" s="34" t="str">
        <x:v>afterUndeploy.tomcatFindLeaksOccurrences</x:v>
      </x:c>
      <x:c r="L598" s="36" t="n">
        <x:v>1</x:v>
      </x:c>
      <x:c r="M598" s="34" t="str">
        <x:v>/caffeine</x:v>
      </x:c>
      <x:c r="N598" s="44" t="str">
        <x:v>/caffeine</x:v>
      </x:c>
    </x:row>
    <x:row r="599">
      <x:c r="A599" s="36" t="n">
        <x:v>598</x:v>
      </x:c>
      <x:c r="B599" s="34" t="str">
        <x:v>article1-unified-v4-2-fb3f101b-20260903-000401-default-f03-p5-caffeine</x:v>
      </x:c>
      <x:c r="C599" s="34" t="str">
        <x:v>default</x:v>
      </x:c>
      <x:c r="D599" s="34" t="str">
        <x:v>caffeine</x:v>
      </x:c>
      <x:c r="E599" s="36" t="n">
        <x:v>3</x:v>
      </x:c>
      <x:c r="F599" s="36" t="n">
        <x:v>3</x:v>
      </x:c>
      <x:c r="G599" s="36" t="n">
        <x:v>3</x:v>
      </x:c>
      <x:c r="H599" s="34" t="str">
        <x:v>cycle-observation</x:v>
      </x:c>
      <x:c r="I599" s="36" t="n">
        <x:v>2</x:v>
      </x:c>
      <x:c r="J599" s="34" t="str">
        <x:v>tomcat-findleaks-occurrence</x:v>
      </x:c>
      <x:c r="K599" s="34" t="str">
        <x:v>afterFinalUndeploy.tomcatFindLeaksOccurrences</x:v>
      </x:c>
      <x:c r="L599" s="36" t="n">
        <x:v>1</x:v>
      </x:c>
      <x:c r="M599" s="34" t="str">
        <x:v>/caffeine</x:v>
      </x:c>
      <x:c r="N599" s="44" t="str">
        <x:v>/caffeine</x:v>
      </x:c>
    </x:row>
    <x:row r="600">
      <x:c r="A600" s="36" t="n">
        <x:v>599</x:v>
      </x:c>
      <x:c r="B600" s="34" t="str">
        <x:v>article1-unified-v4-2-fb3f101b-20260903-000401-default-f03-p5-caffeine</x:v>
      </x:c>
      <x:c r="C600" s="34" t="str">
        <x:v>default</x:v>
      </x:c>
      <x:c r="D600" s="34" t="str">
        <x:v>caffeine</x:v>
      </x:c>
      <x:c r="E600" s="36" t="n">
        <x:v>3</x:v>
      </x:c>
      <x:c r="F600" s="36" t="n">
        <x:v>3</x:v>
      </x:c>
      <x:c r="G600" s="36" t="n">
        <x:v>4</x:v>
      </x:c>
      <x:c r="H600" s="34" t="str">
        <x:v>cycle-observation</x:v>
      </x:c>
      <x:c r="I600" s="36" t="n">
        <x:v>1</x:v>
      </x:c>
      <x:c r="J600" s="34" t="str">
        <x:v>tomcat-findleaks-occurrence</x:v>
      </x:c>
      <x:c r="K600" s="34" t="str">
        <x:v>afterUndeploy.tomcatFindLeaksOccurrences</x:v>
      </x:c>
      <x:c r="L600" s="36" t="n">
        <x:v>1</x:v>
      </x:c>
      <x:c r="M600" s="34" t="str">
        <x:v>/caffeine</x:v>
      </x:c>
      <x:c r="N600" s="44" t="str">
        <x:v>/caffeine</x:v>
      </x:c>
    </x:row>
    <x:row r="601">
      <x:c r="A601" s="36" t="n">
        <x:v>600</x:v>
      </x:c>
      <x:c r="B601" s="34" t="str">
        <x:v>article1-unified-v4-2-fb3f101b-20260903-000401-default-f03-p5-caffeine</x:v>
      </x:c>
      <x:c r="C601" s="34" t="str">
        <x:v>default</x:v>
      </x:c>
      <x:c r="D601" s="34" t="str">
        <x:v>caffeine</x:v>
      </x:c>
      <x:c r="E601" s="36" t="n">
        <x:v>3</x:v>
      </x:c>
      <x:c r="F601" s="36" t="n">
        <x:v>3</x:v>
      </x:c>
      <x:c r="G601" s="36" t="n">
        <x:v>4</x:v>
      </x:c>
      <x:c r="H601" s="34" t="str">
        <x:v>cycle-observation</x:v>
      </x:c>
      <x:c r="I601" s="36" t="n">
        <x:v>2</x:v>
      </x:c>
      <x:c r="J601" s="34" t="str">
        <x:v>tomcat-findleaks-occurrence</x:v>
      </x:c>
      <x:c r="K601" s="34" t="str">
        <x:v>afterFinalUndeploy.tomcatFindLeaksOccurrences</x:v>
      </x:c>
      <x:c r="L601" s="36" t="n">
        <x:v>1</x:v>
      </x:c>
      <x:c r="M601" s="34" t="str">
        <x:v>/caffeine</x:v>
      </x:c>
      <x:c r="N601" s="44" t="str">
        <x:v>/caffeine</x:v>
      </x:c>
    </x:row>
    <x:row r="602">
      <x:c r="A602" s="36" t="n">
        <x:v>601</x:v>
      </x:c>
      <x:c r="B602" s="34" t="str">
        <x:v>article1-unified-v4-2-fb3f101b-20260903-000401-default-f03-p5-caffeine</x:v>
      </x:c>
      <x:c r="C602" s="34" t="str">
        <x:v>default</x:v>
      </x:c>
      <x:c r="D602" s="34" t="str">
        <x:v>caffeine</x:v>
      </x:c>
      <x:c r="E602" s="36" t="n">
        <x:v>3</x:v>
      </x:c>
      <x:c r="F602" s="36" t="n">
        <x:v>3</x:v>
      </x:c>
      <x:c r="G602" s="36" t="n">
        <x:v>5</x:v>
      </x:c>
      <x:c r="H602" s="34" t="str">
        <x:v>cycle-observation</x:v>
      </x:c>
      <x:c r="I602" s="36" t="n">
        <x:v>1</x:v>
      </x:c>
      <x:c r="J602" s="34" t="str">
        <x:v>tomcat-findleaks-occurrence</x:v>
      </x:c>
      <x:c r="K602" s="34" t="str">
        <x:v>afterUndeploy.tomcatFindLeaksOccurrences</x:v>
      </x:c>
      <x:c r="L602" s="36" t="n">
        <x:v>1</x:v>
      </x:c>
      <x:c r="M602" s="34" t="str">
        <x:v>/caffeine</x:v>
      </x:c>
      <x:c r="N602" s="44" t="str">
        <x:v>/caffeine</x:v>
      </x:c>
    </x:row>
    <x:row r="603">
      <x:c r="A603" s="36" t="n">
        <x:v>602</x:v>
      </x:c>
      <x:c r="B603" s="34" t="str">
        <x:v>article1-unified-v4-2-fb3f101b-20260903-000401-default-f03-p5-caffeine</x:v>
      </x:c>
      <x:c r="C603" s="34" t="str">
        <x:v>default</x:v>
      </x:c>
      <x:c r="D603" s="34" t="str">
        <x:v>caffeine</x:v>
      </x:c>
      <x:c r="E603" s="36" t="n">
        <x:v>3</x:v>
      </x:c>
      <x:c r="F603" s="36" t="n">
        <x:v>3</x:v>
      </x:c>
      <x:c r="G603" s="36" t="n">
        <x:v>5</x:v>
      </x:c>
      <x:c r="H603" s="34" t="str">
        <x:v>cycle-observation</x:v>
      </x:c>
      <x:c r="I603" s="36" t="n">
        <x:v>2</x:v>
      </x:c>
      <x:c r="J603" s="34" t="str">
        <x:v>tomcat-findleaks-occurrence</x:v>
      </x:c>
      <x:c r="K603" s="34" t="str">
        <x:v>afterFinalUndeploy.tomcatFindLeaksOccurrences</x:v>
      </x:c>
      <x:c r="L603" s="36" t="n">
        <x:v>1</x:v>
      </x:c>
      <x:c r="M603" s="34" t="str">
        <x:v>/caffeine</x:v>
      </x:c>
      <x:c r="N603" s="44" t="str">
        <x:v>/caffeine</x:v>
      </x:c>
    </x:row>
    <x:row r="604">
      <x:c r="A604" s="36" t="n">
        <x:v>603</x:v>
      </x:c>
      <x:c r="B604" s="34" t="str">
        <x:v>article1-unified-v4-2-fb3f101b-20260903-000401-default-f03-p6-nostore</x:v>
      </x:c>
      <x:c r="C604" s="34" t="str">
        <x:v>default</x:v>
      </x:c>
      <x:c r="D604" s="34" t="str">
        <x:v>nostore</x:v>
      </x:c>
      <x:c r="E604" s="36" t="n">
        <x:v>3</x:v>
      </x:c>
      <x:c r="F604" s="36" t="n">
        <x:v>3</x:v>
      </x:c>
      <x:c r="G604" s="36" t="n">
        <x:v>1</x:v>
      </x:c>
      <x:c r="H604" s="34" t="str">
        <x:v>cycle-observation</x:v>
      </x:c>
      <x:c r="I604" s="36" t="n">
        <x:v>1</x:v>
      </x:c>
      <x:c r="J604" s="34" t="str">
        <x:v>tomcat-findleaks-occurrence</x:v>
      </x:c>
      <x:c r="K604" s="34" t="str">
        <x:v>afterUndeploy.tomcatFindLeaksOccurrences</x:v>
      </x:c>
      <x:c r="L604" s="36" t="n">
        <x:v>1</x:v>
      </x:c>
      <x:c r="M604" s="34" t="str">
        <x:v>/nostore</x:v>
      </x:c>
      <x:c r="N604" s="44" t="str">
        <x:v>/nostore</x:v>
      </x:c>
    </x:row>
    <x:row r="605">
      <x:c r="A605" s="36" t="n">
        <x:v>604</x:v>
      </x:c>
      <x:c r="B605" s="34" t="str">
        <x:v>article1-unified-v4-2-fb3f101b-20260903-000401-default-f03-p6-nostore</x:v>
      </x:c>
      <x:c r="C605" s="34" t="str">
        <x:v>default</x:v>
      </x:c>
      <x:c r="D605" s="34" t="str">
        <x:v>nostore</x:v>
      </x:c>
      <x:c r="E605" s="36" t="n">
        <x:v>3</x:v>
      </x:c>
      <x:c r="F605" s="36" t="n">
        <x:v>3</x:v>
      </x:c>
      <x:c r="G605" s="36" t="n">
        <x:v>1</x:v>
      </x:c>
      <x:c r="H605" s="34" t="str">
        <x:v>cycle-observation</x:v>
      </x:c>
      <x:c r="I605" s="36" t="n">
        <x:v>2</x:v>
      </x:c>
      <x:c r="J605" s="34" t="str">
        <x:v>tomcat-findleaks-occurrence</x:v>
      </x:c>
      <x:c r="K605" s="34" t="str">
        <x:v>afterFinalUndeploy.tomcatFindLeaksOccurrences</x:v>
      </x:c>
      <x:c r="L605" s="36" t="n">
        <x:v>1</x:v>
      </x:c>
      <x:c r="M605" s="34" t="str">
        <x:v>/nostore</x:v>
      </x:c>
      <x:c r="N605" s="44" t="str">
        <x:v>/nostore</x:v>
      </x:c>
    </x:row>
    <x:row r="606">
      <x:c r="A606" s="36" t="n">
        <x:v>605</x:v>
      </x:c>
      <x:c r="B606" s="34" t="str">
        <x:v>article1-unified-v4-2-fb3f101b-20260903-000401-default-f03-p6-nostore</x:v>
      </x:c>
      <x:c r="C606" s="34" t="str">
        <x:v>default</x:v>
      </x:c>
      <x:c r="D606" s="34" t="str">
        <x:v>nostore</x:v>
      </x:c>
      <x:c r="E606" s="36" t="n">
        <x:v>3</x:v>
      </x:c>
      <x:c r="F606" s="36" t="n">
        <x:v>3</x:v>
      </x:c>
      <x:c r="G606" s="36" t="n">
        <x:v>2</x:v>
      </x:c>
      <x:c r="H606" s="34" t="str">
        <x:v>cycle-observation</x:v>
      </x:c>
      <x:c r="I606" s="36" t="n">
        <x:v>1</x:v>
      </x:c>
      <x:c r="J606" s="34" t="str">
        <x:v>tomcat-findleaks-occurrence</x:v>
      </x:c>
      <x:c r="K606" s="34" t="str">
        <x:v>afterUndeploy.tomcatFindLeaksOccurrences</x:v>
      </x:c>
      <x:c r="L606" s="36" t="n">
        <x:v>1</x:v>
      </x:c>
      <x:c r="M606" s="34" t="str">
        <x:v>/nostore</x:v>
      </x:c>
      <x:c r="N606" s="44" t="str">
        <x:v>/nostore</x:v>
      </x:c>
    </x:row>
    <x:row r="607">
      <x:c r="A607" s="36" t="n">
        <x:v>606</x:v>
      </x:c>
      <x:c r="B607" s="34" t="str">
        <x:v>article1-unified-v4-2-fb3f101b-20260903-000401-default-f03-p6-nostore</x:v>
      </x:c>
      <x:c r="C607" s="34" t="str">
        <x:v>default</x:v>
      </x:c>
      <x:c r="D607" s="34" t="str">
        <x:v>nostore</x:v>
      </x:c>
      <x:c r="E607" s="36" t="n">
        <x:v>3</x:v>
      </x:c>
      <x:c r="F607" s="36" t="n">
        <x:v>3</x:v>
      </x:c>
      <x:c r="G607" s="36" t="n">
        <x:v>2</x:v>
      </x:c>
      <x:c r="H607" s="34" t="str">
        <x:v>cycle-observation</x:v>
      </x:c>
      <x:c r="I607" s="36" t="n">
        <x:v>2</x:v>
      </x:c>
      <x:c r="J607" s="34" t="str">
        <x:v>tomcat-findleaks-occurrence</x:v>
      </x:c>
      <x:c r="K607" s="34" t="str">
        <x:v>afterFinalUndeploy.tomcatFindLeaksOccurrences</x:v>
      </x:c>
      <x:c r="L607" s="36" t="n">
        <x:v>1</x:v>
      </x:c>
      <x:c r="M607" s="34" t="str">
        <x:v>/nostore</x:v>
      </x:c>
      <x:c r="N607" s="44" t="str">
        <x:v>/nostore</x:v>
      </x:c>
    </x:row>
    <x:row r="608">
      <x:c r="A608" s="36" t="n">
        <x:v>607</x:v>
      </x:c>
      <x:c r="B608" s="34" t="str">
        <x:v>article1-unified-v4-2-fb3f101b-20260903-000401-default-f03-p6-nostore</x:v>
      </x:c>
      <x:c r="C608" s="34" t="str">
        <x:v>default</x:v>
      </x:c>
      <x:c r="D608" s="34" t="str">
        <x:v>nostore</x:v>
      </x:c>
      <x:c r="E608" s="36" t="n">
        <x:v>3</x:v>
      </x:c>
      <x:c r="F608" s="36" t="n">
        <x:v>3</x:v>
      </x:c>
      <x:c r="G608" s="36" t="n">
        <x:v>3</x:v>
      </x:c>
      <x:c r="H608" s="34" t="str">
        <x:v>cycle-observation</x:v>
      </x:c>
      <x:c r="I608" s="36" t="n">
        <x:v>1</x:v>
      </x:c>
      <x:c r="J608" s="34" t="str">
        <x:v>tomcat-findleaks-occurrence</x:v>
      </x:c>
      <x:c r="K608" s="34" t="str">
        <x:v>afterUndeploy.tomcatFindLeaksOccurrences</x:v>
      </x:c>
      <x:c r="L608" s="36" t="n">
        <x:v>1</x:v>
      </x:c>
      <x:c r="M608" s="34" t="str">
        <x:v>/nostore</x:v>
      </x:c>
      <x:c r="N608" s="44" t="str">
        <x:v>/nostore</x:v>
      </x:c>
    </x:row>
    <x:row r="609">
      <x:c r="A609" s="36" t="n">
        <x:v>608</x:v>
      </x:c>
      <x:c r="B609" s="34" t="str">
        <x:v>article1-unified-v4-2-fb3f101b-20260903-000401-default-f03-p6-nostore</x:v>
      </x:c>
      <x:c r="C609" s="34" t="str">
        <x:v>default</x:v>
      </x:c>
      <x:c r="D609" s="34" t="str">
        <x:v>nostore</x:v>
      </x:c>
      <x:c r="E609" s="36" t="n">
        <x:v>3</x:v>
      </x:c>
      <x:c r="F609" s="36" t="n">
        <x:v>3</x:v>
      </x:c>
      <x:c r="G609" s="36" t="n">
        <x:v>3</x:v>
      </x:c>
      <x:c r="H609" s="34" t="str">
        <x:v>cycle-observation</x:v>
      </x:c>
      <x:c r="I609" s="36" t="n">
        <x:v>2</x:v>
      </x:c>
      <x:c r="J609" s="34" t="str">
        <x:v>tomcat-findleaks-occurrence</x:v>
      </x:c>
      <x:c r="K609" s="34" t="str">
        <x:v>afterFinalUndeploy.tomcatFindLeaksOccurrences</x:v>
      </x:c>
      <x:c r="L609" s="36" t="n">
        <x:v>1</x:v>
      </x:c>
      <x:c r="M609" s="34" t="str">
        <x:v>/nostore</x:v>
      </x:c>
      <x:c r="N609" s="44" t="str">
        <x:v>/nostore</x:v>
      </x:c>
    </x:row>
    <x:row r="610">
      <x:c r="A610" s="36" t="n">
        <x:v>609</x:v>
      </x:c>
      <x:c r="B610" s="34" t="str">
        <x:v>article1-unified-v4-2-fb3f101b-20260903-000401-default-f03-p6-nostore</x:v>
      </x:c>
      <x:c r="C610" s="34" t="str">
        <x:v>default</x:v>
      </x:c>
      <x:c r="D610" s="34" t="str">
        <x:v>nostore</x:v>
      </x:c>
      <x:c r="E610" s="36" t="n">
        <x:v>3</x:v>
      </x:c>
      <x:c r="F610" s="36" t="n">
        <x:v>3</x:v>
      </x:c>
      <x:c r="G610" s="36" t="n">
        <x:v>4</x:v>
      </x:c>
      <x:c r="H610" s="34" t="str">
        <x:v>cycle-observation</x:v>
      </x:c>
      <x:c r="I610" s="36" t="n">
        <x:v>1</x:v>
      </x:c>
      <x:c r="J610" s="34" t="str">
        <x:v>tomcat-findleaks-occurrence</x:v>
      </x:c>
      <x:c r="K610" s="34" t="str">
        <x:v>afterUndeploy.tomcatFindLeaksOccurrences</x:v>
      </x:c>
      <x:c r="L610" s="36" t="n">
        <x:v>1</x:v>
      </x:c>
      <x:c r="M610" s="34" t="str">
        <x:v>/nostore</x:v>
      </x:c>
      <x:c r="N610" s="44" t="str">
        <x:v>/nostore</x:v>
      </x:c>
    </x:row>
    <x:row r="611">
      <x:c r="A611" s="36" t="n">
        <x:v>610</x:v>
      </x:c>
      <x:c r="B611" s="34" t="str">
        <x:v>article1-unified-v4-2-fb3f101b-20260903-000401-default-f03-p6-nostore</x:v>
      </x:c>
      <x:c r="C611" s="34" t="str">
        <x:v>default</x:v>
      </x:c>
      <x:c r="D611" s="34" t="str">
        <x:v>nostore</x:v>
      </x:c>
      <x:c r="E611" s="36" t="n">
        <x:v>3</x:v>
      </x:c>
      <x:c r="F611" s="36" t="n">
        <x:v>3</x:v>
      </x:c>
      <x:c r="G611" s="36" t="n">
        <x:v>4</x:v>
      </x:c>
      <x:c r="H611" s="34" t="str">
        <x:v>cycle-observation</x:v>
      </x:c>
      <x:c r="I611" s="36" t="n">
        <x:v>2</x:v>
      </x:c>
      <x:c r="J611" s="34" t="str">
        <x:v>tomcat-findleaks-occurrence</x:v>
      </x:c>
      <x:c r="K611" s="34" t="str">
        <x:v>afterFinalUndeploy.tomcatFindLeaksOccurrences</x:v>
      </x:c>
      <x:c r="L611" s="36" t="n">
        <x:v>1</x:v>
      </x:c>
      <x:c r="M611" s="34" t="str">
        <x:v>/nostore</x:v>
      </x:c>
      <x:c r="N611" s="44" t="str">
        <x:v>/nostore</x:v>
      </x:c>
    </x:row>
    <x:row r="612">
      <x:c r="A612" s="36" t="n">
        <x:v>611</x:v>
      </x:c>
      <x:c r="B612" s="34" t="str">
        <x:v>article1-unified-v4-2-fb3f101b-20260903-000401-default-f03-p6-nostore</x:v>
      </x:c>
      <x:c r="C612" s="34" t="str">
        <x:v>default</x:v>
      </x:c>
      <x:c r="D612" s="34" t="str">
        <x:v>nostore</x:v>
      </x:c>
      <x:c r="E612" s="36" t="n">
        <x:v>3</x:v>
      </x:c>
      <x:c r="F612" s="36" t="n">
        <x:v>3</x:v>
      </x:c>
      <x:c r="G612" s="36" t="n">
        <x:v>5</x:v>
      </x:c>
      <x:c r="H612" s="34" t="str">
        <x:v>cycle-observation</x:v>
      </x:c>
      <x:c r="I612" s="36" t="n">
        <x:v>1</x:v>
      </x:c>
      <x:c r="J612" s="34" t="str">
        <x:v>tomcat-findleaks-occurrence</x:v>
      </x:c>
      <x:c r="K612" s="34" t="str">
        <x:v>afterUndeploy.tomcatFindLeaksOccurrences</x:v>
      </x:c>
      <x:c r="L612" s="36" t="n">
        <x:v>1</x:v>
      </x:c>
      <x:c r="M612" s="34" t="str">
        <x:v>/nostore</x:v>
      </x:c>
      <x:c r="N612" s="44" t="str">
        <x:v>/nostore</x:v>
      </x:c>
    </x:row>
    <x:row r="613">
      <x:c r="A613" s="36" t="n">
        <x:v>612</x:v>
      </x:c>
      <x:c r="B613" s="34" t="str">
        <x:v>article1-unified-v4-2-fb3f101b-20260903-000401-default-f03-p6-nostore</x:v>
      </x:c>
      <x:c r="C613" s="34" t="str">
        <x:v>default</x:v>
      </x:c>
      <x:c r="D613" s="34" t="str">
        <x:v>nostore</x:v>
      </x:c>
      <x:c r="E613" s="36" t="n">
        <x:v>3</x:v>
      </x:c>
      <x:c r="F613" s="36" t="n">
        <x:v>3</x:v>
      </x:c>
      <x:c r="G613" s="36" t="n">
        <x:v>5</x:v>
      </x:c>
      <x:c r="H613" s="34" t="str">
        <x:v>cycle-observation</x:v>
      </x:c>
      <x:c r="I613" s="36" t="n">
        <x:v>2</x:v>
      </x:c>
      <x:c r="J613" s="34" t="str">
        <x:v>tomcat-findleaks-occurrence</x:v>
      </x:c>
      <x:c r="K613" s="34" t="str">
        <x:v>afterFinalUndeploy.tomcatFindLeaksOccurrences</x:v>
      </x:c>
      <x:c r="L613" s="36" t="n">
        <x:v>1</x:v>
      </x:c>
      <x:c r="M613" s="34" t="str">
        <x:v>/nostore</x:v>
      </x:c>
      <x:c r="N613" s="44" t="str">
        <x:v>/nostore</x:v>
      </x:c>
    </x:row>
    <x:row r="614">
      <x:c r="A614" s="36" t="n">
        <x:v>613</x:v>
      </x:c>
      <x:c r="B614" s="34" t="str">
        <x:v>article1-unified-v4-2-fb3f101b-20260903-000401-default-f04-p1-jcs4</x:v>
      </x:c>
      <x:c r="C614" s="34" t="str">
        <x:v>default</x:v>
      </x:c>
      <x:c r="D614" s="34" t="str">
        <x:v>jcs4</x:v>
      </x:c>
      <x:c r="E614" s="36" t="n">
        <x:v>4</x:v>
      </x:c>
      <x:c r="F614" s="36" t="n">
        <x:v>4</x:v>
      </x:c>
      <x:c r="G614" s="36"/>
      <x:c r="H614" s="34" t="str">
        <x:v>process-run-aggregate</x:v>
      </x:c>
      <x:c r="I614" s="36"/>
      <x:c r="J614" s="34" t="str">
        <x:v>warning</x:v>
      </x:c>
      <x:c r="K614" s="34" t="str">
        <x:v>warnings</x:v>
      </x:c>
      <x:c r="L614" s="36" t="n">
        <x:v>1</x:v>
      </x:c>
      <x:c r="M614" s="34"/>
      <x:c r="N614" s="44" t="str">
        <x:v>03-Sep-2026 00:36:13.122 WARNING [http-nio-8080-exec-1] org.apache.commons.jcs4.log.SystemLogAdapter.log Could not register JMX bean.</x:v>
      </x:c>
    </x:row>
    <x:row r="615">
      <x:c r="A615" s="36" t="n">
        <x:v>614</x:v>
      </x:c>
      <x:c r="B615" s="34" t="str">
        <x:v>article1-unified-v4-2-fb3f101b-20260903-000401-default-f04-p1-jcs4</x:v>
      </x:c>
      <x:c r="C615" s="34" t="str">
        <x:v>default</x:v>
      </x:c>
      <x:c r="D615" s="34" t="str">
        <x:v>jcs4</x:v>
      </x:c>
      <x:c r="E615" s="36" t="n">
        <x:v>4</x:v>
      </x:c>
      <x:c r="F615" s="36" t="n">
        <x:v>4</x:v>
      </x:c>
      <x:c r="G615" s="36"/>
      <x:c r="H615" s="34" t="str">
        <x:v>process-run-aggregate</x:v>
      </x:c>
      <x:c r="I615" s="36"/>
      <x:c r="J615" s="34" t="str">
        <x:v>warning</x:v>
      </x:c>
      <x:c r="K615" s="34" t="str">
        <x:v>warnings</x:v>
      </x:c>
      <x:c r="L615" s="36" t="n">
        <x:v>2</x:v>
      </x:c>
      <x:c r="M615" s="34"/>
      <x:c r="N615" s="44" t="str">
        <x:v>03-Sep-2026 00:36:13.151 WARNING [http-nio-8080-exec-1] org.apache.commons.jcs4.log.SystemLogAdapter.log Skipping empty auxiliary name</x:v>
      </x:c>
    </x:row>
    <x:row r="616">
      <x:c r="A616" s="36" t="n">
        <x:v>615</x:v>
      </x:c>
      <x:c r="B616" s="34" t="str">
        <x:v>article1-unified-v4-2-fb3f101b-20260903-000401-default-f04-p1-jcs4</x:v>
      </x:c>
      <x:c r="C616" s="34" t="str">
        <x:v>default</x:v>
      </x:c>
      <x:c r="D616" s="34" t="str">
        <x:v>jcs4</x:v>
      </x:c>
      <x:c r="E616" s="36" t="n">
        <x:v>4</x:v>
      </x:c>
      <x:c r="F616" s="36" t="n">
        <x:v>4</x:v>
      </x:c>
      <x:c r="G616" s="36"/>
      <x:c r="H616" s="34" t="str">
        <x:v>process-run-aggregate</x:v>
      </x:c>
      <x:c r="I616" s="36"/>
      <x:c r="J616" s="34" t="str">
        <x:v>warning</x:v>
      </x:c>
      <x:c r="K616" s="34" t="str">
        <x:v>warnings</x:v>
      </x:c>
      <x:c r="L616" s="36" t="n">
        <x:v>3</x:v>
      </x:c>
      <x:c r="M616" s="34"/>
      <x:c r="N616" s="44" t="str">
        <x:v>03-Sep-2026 00:36:55.669 WARNING [http-nio-8080-exec-1] org.apache.commons.jcs4.log.SystemLogAdapter.log Could not register JMX bean.</x:v>
      </x:c>
    </x:row>
    <x:row r="617">
      <x:c r="A617" s="36" t="n">
        <x:v>616</x:v>
      </x:c>
      <x:c r="B617" s="34" t="str">
        <x:v>article1-unified-v4-2-fb3f101b-20260903-000401-default-f04-p1-jcs4</x:v>
      </x:c>
      <x:c r="C617" s="34" t="str">
        <x:v>default</x:v>
      </x:c>
      <x:c r="D617" s="34" t="str">
        <x:v>jcs4</x:v>
      </x:c>
      <x:c r="E617" s="36" t="n">
        <x:v>4</x:v>
      </x:c>
      <x:c r="F617" s="36" t="n">
        <x:v>4</x:v>
      </x:c>
      <x:c r="G617" s="36"/>
      <x:c r="H617" s="34" t="str">
        <x:v>process-run-aggregate</x:v>
      </x:c>
      <x:c r="I617" s="36"/>
      <x:c r="J617" s="34" t="str">
        <x:v>warning</x:v>
      </x:c>
      <x:c r="K617" s="34" t="str">
        <x:v>warnings</x:v>
      </x:c>
      <x:c r="L617" s="36" t="n">
        <x:v>4</x:v>
      </x:c>
      <x:c r="M617" s="34"/>
      <x:c r="N617" s="44" t="str">
        <x:v>03-Sep-2026 00:36:55.689 WARNING [http-nio-8080-exec-1] org.apache.commons.jcs4.log.SystemLogAdapter.log Skipping empty auxiliary name</x:v>
      </x:c>
    </x:row>
    <x:row r="618">
      <x:c r="A618" s="36" t="n">
        <x:v>617</x:v>
      </x:c>
      <x:c r="B618" s="34" t="str">
        <x:v>article1-unified-v4-2-fb3f101b-20260903-000401-default-f04-p1-jcs4</x:v>
      </x:c>
      <x:c r="C618" s="34" t="str">
        <x:v>default</x:v>
      </x:c>
      <x:c r="D618" s="34" t="str">
        <x:v>jcs4</x:v>
      </x:c>
      <x:c r="E618" s="36" t="n">
        <x:v>4</x:v>
      </x:c>
      <x:c r="F618" s="36" t="n">
        <x:v>4</x:v>
      </x:c>
      <x:c r="G618" s="36"/>
      <x:c r="H618" s="34" t="str">
        <x:v>process-run-aggregate</x:v>
      </x:c>
      <x:c r="I618" s="36"/>
      <x:c r="J618" s="34" t="str">
        <x:v>warning</x:v>
      </x:c>
      <x:c r="K618" s="34" t="str">
        <x:v>warnings</x:v>
      </x:c>
      <x:c r="L618" s="36" t="n">
        <x:v>5</x:v>
      </x:c>
      <x:c r="M618" s="34"/>
      <x:c r="N618" s="44" t="str">
        <x:v>03-Sep-2026 00:37:41.284 WARNING [http-nio-8080-exec-12] org.apache.commons.jcs4.log.SystemLogAdapter.log Could not register JMX bean.</x:v>
      </x:c>
    </x:row>
    <x:row r="619">
      <x:c r="A619" s="36" t="n">
        <x:v>618</x:v>
      </x:c>
      <x:c r="B619" s="34" t="str">
        <x:v>article1-unified-v4-2-fb3f101b-20260903-000401-default-f04-p1-jcs4</x:v>
      </x:c>
      <x:c r="C619" s="34" t="str">
        <x:v>default</x:v>
      </x:c>
      <x:c r="D619" s="34" t="str">
        <x:v>jcs4</x:v>
      </x:c>
      <x:c r="E619" s="36" t="n">
        <x:v>4</x:v>
      </x:c>
      <x:c r="F619" s="36" t="n">
        <x:v>4</x:v>
      </x:c>
      <x:c r="G619" s="36"/>
      <x:c r="H619" s="34" t="str">
        <x:v>process-run-aggregate</x:v>
      </x:c>
      <x:c r="I619" s="36"/>
      <x:c r="J619" s="34" t="str">
        <x:v>warning</x:v>
      </x:c>
      <x:c r="K619" s="34" t="str">
        <x:v>warnings</x:v>
      </x:c>
      <x:c r="L619" s="36" t="n">
        <x:v>6</x:v>
      </x:c>
      <x:c r="M619" s="34"/>
      <x:c r="N619" s="44" t="str">
        <x:v>03-Sep-2026 00:37:41.299 WARNING [http-nio-8080-exec-12] org.apache.commons.jcs4.log.SystemLogAdapter.log Skipping empty auxiliary name</x:v>
      </x:c>
    </x:row>
    <x:row r="620">
      <x:c r="A620" s="36" t="n">
        <x:v>619</x:v>
      </x:c>
      <x:c r="B620" s="34" t="str">
        <x:v>article1-unified-v4-2-fb3f101b-20260903-000401-default-f04-p1-jcs4</x:v>
      </x:c>
      <x:c r="C620" s="34" t="str">
        <x:v>default</x:v>
      </x:c>
      <x:c r="D620" s="34" t="str">
        <x:v>jcs4</x:v>
      </x:c>
      <x:c r="E620" s="36" t="n">
        <x:v>4</x:v>
      </x:c>
      <x:c r="F620" s="36" t="n">
        <x:v>4</x:v>
      </x:c>
      <x:c r="G620" s="36"/>
      <x:c r="H620" s="34" t="str">
        <x:v>process-run-aggregate</x:v>
      </x:c>
      <x:c r="I620" s="36"/>
      <x:c r="J620" s="34" t="str">
        <x:v>warning</x:v>
      </x:c>
      <x:c r="K620" s="34" t="str">
        <x:v>warnings</x:v>
      </x:c>
      <x:c r="L620" s="36" t="n">
        <x:v>7</x:v>
      </x:c>
      <x:c r="M620" s="34"/>
      <x:c r="N620" s="44" t="str">
        <x:v>03-Sep-2026 00:38:25.096 WARNING [http-nio-8080-exec-19] org.apache.commons.jcs4.log.SystemLogAdapter.log Could not register JMX bean.</x:v>
      </x:c>
    </x:row>
    <x:row r="621">
      <x:c r="A621" s="36" t="n">
        <x:v>620</x:v>
      </x:c>
      <x:c r="B621" s="34" t="str">
        <x:v>article1-unified-v4-2-fb3f101b-20260903-000401-default-f04-p1-jcs4</x:v>
      </x:c>
      <x:c r="C621" s="34" t="str">
        <x:v>default</x:v>
      </x:c>
      <x:c r="D621" s="34" t="str">
        <x:v>jcs4</x:v>
      </x:c>
      <x:c r="E621" s="36" t="n">
        <x:v>4</x:v>
      </x:c>
      <x:c r="F621" s="36" t="n">
        <x:v>4</x:v>
      </x:c>
      <x:c r="G621" s="36"/>
      <x:c r="H621" s="34" t="str">
        <x:v>process-run-aggregate</x:v>
      </x:c>
      <x:c r="I621" s="36"/>
      <x:c r="J621" s="34" t="str">
        <x:v>warning</x:v>
      </x:c>
      <x:c r="K621" s="34" t="str">
        <x:v>warnings</x:v>
      </x:c>
      <x:c r="L621" s="36" t="n">
        <x:v>8</x:v>
      </x:c>
      <x:c r="M621" s="34"/>
      <x:c r="N621" s="44" t="str">
        <x:v>03-Sep-2026 00:38:25.111 WARNING [http-nio-8080-exec-19] org.apache.commons.jcs4.log.SystemLogAdapter.log Skipping empty auxiliary name</x:v>
      </x:c>
    </x:row>
    <x:row r="622">
      <x:c r="A622" s="36" t="n">
        <x:v>621</x:v>
      </x:c>
      <x:c r="B622" s="34" t="str">
        <x:v>article1-unified-v4-2-fb3f101b-20260903-000401-default-f04-p1-jcs4</x:v>
      </x:c>
      <x:c r="C622" s="34" t="str">
        <x:v>default</x:v>
      </x:c>
      <x:c r="D622" s="34" t="str">
        <x:v>jcs4</x:v>
      </x:c>
      <x:c r="E622" s="36" t="n">
        <x:v>4</x:v>
      </x:c>
      <x:c r="F622" s="36" t="n">
        <x:v>4</x:v>
      </x:c>
      <x:c r="G622" s="36"/>
      <x:c r="H622" s="34" t="str">
        <x:v>process-run-aggregate</x:v>
      </x:c>
      <x:c r="I622" s="36"/>
      <x:c r="J622" s="34" t="str">
        <x:v>warning</x:v>
      </x:c>
      <x:c r="K622" s="34" t="str">
        <x:v>warnings</x:v>
      </x:c>
      <x:c r="L622" s="36" t="n">
        <x:v>9</x:v>
      </x:c>
      <x:c r="M622" s="34"/>
      <x:c r="N622" s="44" t="str">
        <x:v>03-Sep-2026 00:39:10.333 WARNING [http-nio-8080-exec-25] org.apache.commons.jcs4.log.SystemLogAdapter.log Could not register JMX bean.</x:v>
      </x:c>
    </x:row>
    <x:row r="623">
      <x:c r="A623" s="36" t="n">
        <x:v>622</x:v>
      </x:c>
      <x:c r="B623" s="34" t="str">
        <x:v>article1-unified-v4-2-fb3f101b-20260903-000401-default-f04-p1-jcs4</x:v>
      </x:c>
      <x:c r="C623" s="34" t="str">
        <x:v>default</x:v>
      </x:c>
      <x:c r="D623" s="34" t="str">
        <x:v>jcs4</x:v>
      </x:c>
      <x:c r="E623" s="36" t="n">
        <x:v>4</x:v>
      </x:c>
      <x:c r="F623" s="36" t="n">
        <x:v>4</x:v>
      </x:c>
      <x:c r="G623" s="36"/>
      <x:c r="H623" s="34" t="str">
        <x:v>process-run-aggregate</x:v>
      </x:c>
      <x:c r="I623" s="36"/>
      <x:c r="J623" s="34" t="str">
        <x:v>warning</x:v>
      </x:c>
      <x:c r="K623" s="34" t="str">
        <x:v>warnings</x:v>
      </x:c>
      <x:c r="L623" s="36" t="n">
        <x:v>10</x:v>
      </x:c>
      <x:c r="M623" s="34"/>
      <x:c r="N623" s="44" t="str">
        <x:v>03-Sep-2026 00:39:10.348 WARNING [http-nio-8080-exec-25] org.apache.commons.jcs4.log.SystemLogAdapter.log Skipping empty auxiliary name</x:v>
      </x:c>
    </x:row>
    <x:row r="624">
      <x:c r="A624" s="36" t="n">
        <x:v>623</x:v>
      </x:c>
      <x:c r="B624" s="34" t="str">
        <x:v>article1-unified-v4-2-fb3f101b-20260903-000401-default-f04-p1-jcs4</x:v>
      </x:c>
      <x:c r="C624" s="34" t="str">
        <x:v>default</x:v>
      </x:c>
      <x:c r="D624" s="34" t="str">
        <x:v>jcs4</x:v>
      </x:c>
      <x:c r="E624" s="36" t="n">
        <x:v>4</x:v>
      </x:c>
      <x:c r="F624" s="36" t="n">
        <x:v>4</x:v>
      </x:c>
      <x:c r="G624" s="36"/>
      <x:c r="H624" s="34" t="str">
        <x:v>process-run-aggregate</x:v>
      </x:c>
      <x:c r="I624" s="36"/>
      <x:c r="J624" s="34" t="str">
        <x:v>warning</x:v>
      </x:c>
      <x:c r="K624" s="34" t="str">
        <x:v>warnings</x:v>
      </x:c>
      <x:c r="L624" s="36" t="n">
        <x:v>11</x:v>
      </x:c>
      <x:c r="M624" s="34"/>
      <x:c r="N624" s="44" t="str">
        <x:v>03-Sep-2026 00:39:53.655 WARNING [http-nio-8080-exec-32] org.apache.commons.jcs4.log.SystemLogAdapter.log Could not register JMX bean.</x:v>
      </x:c>
    </x:row>
    <x:row r="625">
      <x:c r="A625" s="36" t="n">
        <x:v>624</x:v>
      </x:c>
      <x:c r="B625" s="34" t="str">
        <x:v>article1-unified-v4-2-fb3f101b-20260903-000401-default-f04-p1-jcs4</x:v>
      </x:c>
      <x:c r="C625" s="34" t="str">
        <x:v>default</x:v>
      </x:c>
      <x:c r="D625" s="34" t="str">
        <x:v>jcs4</x:v>
      </x:c>
      <x:c r="E625" s="36" t="n">
        <x:v>4</x:v>
      </x:c>
      <x:c r="F625" s="36" t="n">
        <x:v>4</x:v>
      </x:c>
      <x:c r="G625" s="36"/>
      <x:c r="H625" s="34" t="str">
        <x:v>process-run-aggregate</x:v>
      </x:c>
      <x:c r="I625" s="36"/>
      <x:c r="J625" s="34" t="str">
        <x:v>warning</x:v>
      </x:c>
      <x:c r="K625" s="34" t="str">
        <x:v>warnings</x:v>
      </x:c>
      <x:c r="L625" s="36" t="n">
        <x:v>12</x:v>
      </x:c>
      <x:c r="M625" s="34"/>
      <x:c r="N625" s="44" t="str">
        <x:v>03-Sep-2026 00:39:53.670 WARNING [http-nio-8080-exec-32] org.apache.commons.jcs4.log.SystemLogAdapter.log Skipping empty auxiliary name</x:v>
      </x:c>
    </x:row>
    <x:row r="626">
      <x:c r="A626" s="36" t="n">
        <x:v>625</x:v>
      </x:c>
      <x:c r="B626" s="34" t="str">
        <x:v>article1-unified-v4-2-fb3f101b-20260903-000401-default-f04-p1-jcs4</x:v>
      </x:c>
      <x:c r="C626" s="34" t="str">
        <x:v>default</x:v>
      </x:c>
      <x:c r="D626" s="34" t="str">
        <x:v>jcs4</x:v>
      </x:c>
      <x:c r="E626" s="36" t="n">
        <x:v>4</x:v>
      </x:c>
      <x:c r="F626" s="36" t="n">
        <x:v>4</x:v>
      </x:c>
      <x:c r="G626" s="36"/>
      <x:c r="H626" s="34" t="str">
        <x:v>process-run-aggregate</x:v>
      </x:c>
      <x:c r="I626" s="36"/>
      <x:c r="J626" s="34" t="str">
        <x:v>warning</x:v>
      </x:c>
      <x:c r="K626" s="34" t="str">
        <x:v>warnings</x:v>
      </x:c>
      <x:c r="L626" s="36" t="n">
        <x:v>13</x:v>
      </x:c>
      <x:c r="M626" s="34"/>
      <x:c r="N626" s="44" t="str">
        <x:v>03-Sep-2026 00:40:39.574 WARNING [http-nio-8080-exec-40] org.apache.commons.jcs4.log.SystemLogAdapter.log Could not register JMX bean.</x:v>
      </x:c>
    </x:row>
    <x:row r="627">
      <x:c r="A627" s="36" t="n">
        <x:v>626</x:v>
      </x:c>
      <x:c r="B627" s="34" t="str">
        <x:v>article1-unified-v4-2-fb3f101b-20260903-000401-default-f04-p1-jcs4</x:v>
      </x:c>
      <x:c r="C627" s="34" t="str">
        <x:v>default</x:v>
      </x:c>
      <x:c r="D627" s="34" t="str">
        <x:v>jcs4</x:v>
      </x:c>
      <x:c r="E627" s="36" t="n">
        <x:v>4</x:v>
      </x:c>
      <x:c r="F627" s="36" t="n">
        <x:v>4</x:v>
      </x:c>
      <x:c r="G627" s="36"/>
      <x:c r="H627" s="34" t="str">
        <x:v>process-run-aggregate</x:v>
      </x:c>
      <x:c r="I627" s="36"/>
      <x:c r="J627" s="34" t="str">
        <x:v>warning</x:v>
      </x:c>
      <x:c r="K627" s="34" t="str">
        <x:v>warnings</x:v>
      </x:c>
      <x:c r="L627" s="36" t="n">
        <x:v>14</x:v>
      </x:c>
      <x:c r="M627" s="34"/>
      <x:c r="N627" s="44" t="str">
        <x:v>03-Sep-2026 00:40:39.588 WARNING [http-nio-8080-exec-40] org.apache.commons.jcs4.log.SystemLogAdapter.log Skipping empty auxiliary name</x:v>
      </x:c>
    </x:row>
    <x:row r="628">
      <x:c r="A628" s="36" t="n">
        <x:v>627</x:v>
      </x:c>
      <x:c r="B628" s="34" t="str">
        <x:v>article1-unified-v4-2-fb3f101b-20260903-000401-default-f04-p1-jcs4</x:v>
      </x:c>
      <x:c r="C628" s="34" t="str">
        <x:v>default</x:v>
      </x:c>
      <x:c r="D628" s="34" t="str">
        <x:v>jcs4</x:v>
      </x:c>
      <x:c r="E628" s="36" t="n">
        <x:v>4</x:v>
      </x:c>
      <x:c r="F628" s="36" t="n">
        <x:v>4</x:v>
      </x:c>
      <x:c r="G628" s="36"/>
      <x:c r="H628" s="34" t="str">
        <x:v>process-run-aggregate</x:v>
      </x:c>
      <x:c r="I628" s="36"/>
      <x:c r="J628" s="34" t="str">
        <x:v>warning</x:v>
      </x:c>
      <x:c r="K628" s="34" t="str">
        <x:v>warnings</x:v>
      </x:c>
      <x:c r="L628" s="36" t="n">
        <x:v>15</x:v>
      </x:c>
      <x:c r="M628" s="34"/>
      <x:c r="N628" s="44" t="str">
        <x:v>03-Sep-2026 00:41:22.668 WARNING [http-nio-8080-exec-48] org.apache.commons.jcs4.log.SystemLogAdapter.log Could not register JMX bean.</x:v>
      </x:c>
    </x:row>
    <x:row r="629">
      <x:c r="A629" s="36" t="n">
        <x:v>628</x:v>
      </x:c>
      <x:c r="B629" s="34" t="str">
        <x:v>article1-unified-v4-2-fb3f101b-20260903-000401-default-f04-p1-jcs4</x:v>
      </x:c>
      <x:c r="C629" s="34" t="str">
        <x:v>default</x:v>
      </x:c>
      <x:c r="D629" s="34" t="str">
        <x:v>jcs4</x:v>
      </x:c>
      <x:c r="E629" s="36" t="n">
        <x:v>4</x:v>
      </x:c>
      <x:c r="F629" s="36" t="n">
        <x:v>4</x:v>
      </x:c>
      <x:c r="G629" s="36"/>
      <x:c r="H629" s="34" t="str">
        <x:v>process-run-aggregate</x:v>
      </x:c>
      <x:c r="I629" s="36"/>
      <x:c r="J629" s="34" t="str">
        <x:v>warning</x:v>
      </x:c>
      <x:c r="K629" s="34" t="str">
        <x:v>warnings</x:v>
      </x:c>
      <x:c r="L629" s="36" t="n">
        <x:v>16</x:v>
      </x:c>
      <x:c r="M629" s="34"/>
      <x:c r="N629" s="44" t="str">
        <x:v>03-Sep-2026 00:41:22.684 WARNING [http-nio-8080-exec-48] org.apache.commons.jcs4.log.SystemLogAdapter.log Skipping empty auxiliary name</x:v>
      </x:c>
    </x:row>
    <x:row r="630">
      <x:c r="A630" s="36" t="n">
        <x:v>629</x:v>
      </x:c>
      <x:c r="B630" s="34" t="str">
        <x:v>article1-unified-v4-2-fb3f101b-20260903-000401-default-f04-p1-jcs4</x:v>
      </x:c>
      <x:c r="C630" s="34" t="str">
        <x:v>default</x:v>
      </x:c>
      <x:c r="D630" s="34" t="str">
        <x:v>jcs4</x:v>
      </x:c>
      <x:c r="E630" s="36" t="n">
        <x:v>4</x:v>
      </x:c>
      <x:c r="F630" s="36" t="n">
        <x:v>4</x:v>
      </x:c>
      <x:c r="G630" s="36"/>
      <x:c r="H630" s="34" t="str">
        <x:v>process-run-aggregate</x:v>
      </x:c>
      <x:c r="I630" s="36"/>
      <x:c r="J630" s="34" t="str">
        <x:v>warning</x:v>
      </x:c>
      <x:c r="K630" s="34" t="str">
        <x:v>warnings</x:v>
      </x:c>
      <x:c r="L630" s="36" t="n">
        <x:v>17</x:v>
      </x:c>
      <x:c r="M630" s="34"/>
      <x:c r="N630" s="44" t="str">
        <x:v>03-Sep-2026 00:42:09.832 WARNING [http-nio-8080-exec-56] org.apache.commons.jcs4.log.SystemLogAdapter.log Could not register JMX bean.</x:v>
      </x:c>
    </x:row>
    <x:row r="631">
      <x:c r="A631" s="36" t="n">
        <x:v>630</x:v>
      </x:c>
      <x:c r="B631" s="34" t="str">
        <x:v>article1-unified-v4-2-fb3f101b-20260903-000401-default-f04-p1-jcs4</x:v>
      </x:c>
      <x:c r="C631" s="34" t="str">
        <x:v>default</x:v>
      </x:c>
      <x:c r="D631" s="34" t="str">
        <x:v>jcs4</x:v>
      </x:c>
      <x:c r="E631" s="36" t="n">
        <x:v>4</x:v>
      </x:c>
      <x:c r="F631" s="36" t="n">
        <x:v>4</x:v>
      </x:c>
      <x:c r="G631" s="36"/>
      <x:c r="H631" s="34" t="str">
        <x:v>process-run-aggregate</x:v>
      </x:c>
      <x:c r="I631" s="36"/>
      <x:c r="J631" s="34" t="str">
        <x:v>warning</x:v>
      </x:c>
      <x:c r="K631" s="34" t="str">
        <x:v>warnings</x:v>
      </x:c>
      <x:c r="L631" s="36" t="n">
        <x:v>18</x:v>
      </x:c>
      <x:c r="M631" s="34"/>
      <x:c r="N631" s="44" t="str">
        <x:v>03-Sep-2026 00:42:09.846 WARNING [http-nio-8080-exec-56] org.apache.commons.jcs4.log.SystemLogAdapter.log Skipping empty auxiliary name</x:v>
      </x:c>
    </x:row>
    <x:row r="632">
      <x:c r="A632" s="36" t="n">
        <x:v>631</x:v>
      </x:c>
      <x:c r="B632" s="34" t="str">
        <x:v>article1-unified-v4-2-fb3f101b-20260903-000401-default-f04-p1-jcs4</x:v>
      </x:c>
      <x:c r="C632" s="34" t="str">
        <x:v>default</x:v>
      </x:c>
      <x:c r="D632" s="34" t="str">
        <x:v>jcs4</x:v>
      </x:c>
      <x:c r="E632" s="36" t="n">
        <x:v>4</x:v>
      </x:c>
      <x:c r="F632" s="36" t="n">
        <x:v>4</x:v>
      </x:c>
      <x:c r="G632" s="36"/>
      <x:c r="H632" s="34" t="str">
        <x:v>process-run-aggregate</x:v>
      </x:c>
      <x:c r="I632" s="36"/>
      <x:c r="J632" s="34" t="str">
        <x:v>warning</x:v>
      </x:c>
      <x:c r="K632" s="34" t="str">
        <x:v>warnings</x:v>
      </x:c>
      <x:c r="L632" s="36" t="n">
        <x:v>19</x:v>
      </x:c>
      <x:c r="M632" s="34"/>
      <x:c r="N632" s="44" t="str">
        <x:v>03-Sep-2026 00:42:53.638 WARNING [http-nio-8080-exec-61] org.apache.commons.jcs4.log.SystemLogAdapter.log Could not register JMX bean.</x:v>
      </x:c>
    </x:row>
    <x:row r="633">
      <x:c r="A633" s="36" t="n">
        <x:v>632</x:v>
      </x:c>
      <x:c r="B633" s="34" t="str">
        <x:v>article1-unified-v4-2-fb3f101b-20260903-000401-default-f04-p1-jcs4</x:v>
      </x:c>
      <x:c r="C633" s="34" t="str">
        <x:v>default</x:v>
      </x:c>
      <x:c r="D633" s="34" t="str">
        <x:v>jcs4</x:v>
      </x:c>
      <x:c r="E633" s="36" t="n">
        <x:v>4</x:v>
      </x:c>
      <x:c r="F633" s="36" t="n">
        <x:v>4</x:v>
      </x:c>
      <x:c r="G633" s="36"/>
      <x:c r="H633" s="34" t="str">
        <x:v>process-run-aggregate</x:v>
      </x:c>
      <x:c r="I633" s="36"/>
      <x:c r="J633" s="34" t="str">
        <x:v>warning</x:v>
      </x:c>
      <x:c r="K633" s="34" t="str">
        <x:v>warnings</x:v>
      </x:c>
      <x:c r="L633" s="36" t="n">
        <x:v>20</x:v>
      </x:c>
      <x:c r="M633" s="34"/>
      <x:c r="N633" s="44" t="str">
        <x:v>03-Sep-2026 00:42:53.649 WARNING [http-nio-8080-exec-61] org.apache.commons.jcs4.log.SystemLogAdapter.log Skipping empty auxiliary name</x:v>
      </x:c>
    </x:row>
    <x:row r="634">
      <x:c r="A634" s="36" t="n">
        <x:v>633</x:v>
      </x:c>
      <x:c r="B634" s="34" t="str">
        <x:v>article1-unified-v4-2-fb3f101b-20260903-000401-default-f04-p1-jcs4</x:v>
      </x:c>
      <x:c r="C634" s="34" t="str">
        <x:v>default</x:v>
      </x:c>
      <x:c r="D634" s="34" t="str">
        <x:v>jcs4</x:v>
      </x:c>
      <x:c r="E634" s="36" t="n">
        <x:v>4</x:v>
      </x:c>
      <x:c r="F634" s="36" t="n">
        <x:v>4</x:v>
      </x:c>
      <x:c r="G634" s="36" t="n">
        <x:v>1</x:v>
      </x:c>
      <x:c r="H634" s="34" t="str">
        <x:v>cycle-observation</x:v>
      </x:c>
      <x:c r="I634" s="36" t="n">
        <x:v>1</x:v>
      </x:c>
      <x:c r="J634" s="34" t="str">
        <x:v>tomcat-findleaks-occurrence</x:v>
      </x:c>
      <x:c r="K634" s="34" t="str">
        <x:v>afterUndeploy.tomcatFindLeaksOccurrences</x:v>
      </x:c>
      <x:c r="L634" s="36" t="n">
        <x:v>1</x:v>
      </x:c>
      <x:c r="M634" s="34" t="str">
        <x:v>/jcs4</x:v>
      </x:c>
      <x:c r="N634" s="44" t="str">
        <x:v>/jcs4</x:v>
      </x:c>
    </x:row>
    <x:row r="635">
      <x:c r="A635" s="36" t="n">
        <x:v>634</x:v>
      </x:c>
      <x:c r="B635" s="34" t="str">
        <x:v>article1-unified-v4-2-fb3f101b-20260903-000401-default-f04-p1-jcs4</x:v>
      </x:c>
      <x:c r="C635" s="34" t="str">
        <x:v>default</x:v>
      </x:c>
      <x:c r="D635" s="34" t="str">
        <x:v>jcs4</x:v>
      </x:c>
      <x:c r="E635" s="36" t="n">
        <x:v>4</x:v>
      </x:c>
      <x:c r="F635" s="36" t="n">
        <x:v>4</x:v>
      </x:c>
      <x:c r="G635" s="36" t="n">
        <x:v>1</x:v>
      </x:c>
      <x:c r="H635" s="34" t="str">
        <x:v>cycle-observation</x:v>
      </x:c>
      <x:c r="I635" s="36" t="n">
        <x:v>2</x:v>
      </x:c>
      <x:c r="J635" s="34" t="str">
        <x:v>tomcat-findleaks-occurrence</x:v>
      </x:c>
      <x:c r="K635" s="34" t="str">
        <x:v>afterFinalUndeploy.tomcatFindLeaksOccurrences</x:v>
      </x:c>
      <x:c r="L635" s="36" t="n">
        <x:v>1</x:v>
      </x:c>
      <x:c r="M635" s="34" t="str">
        <x:v>/jcs4</x:v>
      </x:c>
      <x:c r="N635" s="44" t="str">
        <x:v>/jcs4</x:v>
      </x:c>
    </x:row>
    <x:row r="636">
      <x:c r="A636" s="36" t="n">
        <x:v>635</x:v>
      </x:c>
      <x:c r="B636" s="34" t="str">
        <x:v>article1-unified-v4-2-fb3f101b-20260903-000401-default-f04-p1-jcs4</x:v>
      </x:c>
      <x:c r="C636" s="34" t="str">
        <x:v>default</x:v>
      </x:c>
      <x:c r="D636" s="34" t="str">
        <x:v>jcs4</x:v>
      </x:c>
      <x:c r="E636" s="36" t="n">
        <x:v>4</x:v>
      </x:c>
      <x:c r="F636" s="36" t="n">
        <x:v>4</x:v>
      </x:c>
      <x:c r="G636" s="36" t="n">
        <x:v>2</x:v>
      </x:c>
      <x:c r="H636" s="34" t="str">
        <x:v>cycle-observation</x:v>
      </x:c>
      <x:c r="I636" s="36" t="n">
        <x:v>1</x:v>
      </x:c>
      <x:c r="J636" s="34" t="str">
        <x:v>tomcat-findleaks-occurrence</x:v>
      </x:c>
      <x:c r="K636" s="34" t="str">
        <x:v>afterUndeploy.tomcatFindLeaksOccurrences</x:v>
      </x:c>
      <x:c r="L636" s="36" t="n">
        <x:v>1</x:v>
      </x:c>
      <x:c r="M636" s="34" t="str">
        <x:v>/jcs4</x:v>
      </x:c>
      <x:c r="N636" s="44" t="str">
        <x:v>/jcs4</x:v>
      </x:c>
    </x:row>
    <x:row r="637">
      <x:c r="A637" s="36" t="n">
        <x:v>636</x:v>
      </x:c>
      <x:c r="B637" s="34" t="str">
        <x:v>article1-unified-v4-2-fb3f101b-20260903-000401-default-f04-p1-jcs4</x:v>
      </x:c>
      <x:c r="C637" s="34" t="str">
        <x:v>default</x:v>
      </x:c>
      <x:c r="D637" s="34" t="str">
        <x:v>jcs4</x:v>
      </x:c>
      <x:c r="E637" s="36" t="n">
        <x:v>4</x:v>
      </x:c>
      <x:c r="F637" s="36" t="n">
        <x:v>4</x:v>
      </x:c>
      <x:c r="G637" s="36" t="n">
        <x:v>2</x:v>
      </x:c>
      <x:c r="H637" s="34" t="str">
        <x:v>cycle-observation</x:v>
      </x:c>
      <x:c r="I637" s="36" t="n">
        <x:v>2</x:v>
      </x:c>
      <x:c r="J637" s="34" t="str">
        <x:v>tomcat-findleaks-occurrence</x:v>
      </x:c>
      <x:c r="K637" s="34" t="str">
        <x:v>afterFinalUndeploy.tomcatFindLeaksOccurrences</x:v>
      </x:c>
      <x:c r="L637" s="36" t="n">
        <x:v>1</x:v>
      </x:c>
      <x:c r="M637" s="34" t="str">
        <x:v>/jcs4</x:v>
      </x:c>
      <x:c r="N637" s="44" t="str">
        <x:v>/jcs4</x:v>
      </x:c>
    </x:row>
    <x:row r="638">
      <x:c r="A638" s="36" t="n">
        <x:v>637</x:v>
      </x:c>
      <x:c r="B638" s="34" t="str">
        <x:v>article1-unified-v4-2-fb3f101b-20260903-000401-default-f04-p1-jcs4</x:v>
      </x:c>
      <x:c r="C638" s="34" t="str">
        <x:v>default</x:v>
      </x:c>
      <x:c r="D638" s="34" t="str">
        <x:v>jcs4</x:v>
      </x:c>
      <x:c r="E638" s="36" t="n">
        <x:v>4</x:v>
      </x:c>
      <x:c r="F638" s="36" t="n">
        <x:v>4</x:v>
      </x:c>
      <x:c r="G638" s="36" t="n">
        <x:v>3</x:v>
      </x:c>
      <x:c r="H638" s="34" t="str">
        <x:v>cycle-observation</x:v>
      </x:c>
      <x:c r="I638" s="36" t="n">
        <x:v>1</x:v>
      </x:c>
      <x:c r="J638" s="34" t="str">
        <x:v>tomcat-findleaks-occurrence</x:v>
      </x:c>
      <x:c r="K638" s="34" t="str">
        <x:v>afterUndeploy.tomcatFindLeaksOccurrences</x:v>
      </x:c>
      <x:c r="L638" s="36" t="n">
        <x:v>1</x:v>
      </x:c>
      <x:c r="M638" s="34" t="str">
        <x:v>/jcs4</x:v>
      </x:c>
      <x:c r="N638" s="44" t="str">
        <x:v>/jcs4</x:v>
      </x:c>
    </x:row>
    <x:row r="639">
      <x:c r="A639" s="36" t="n">
        <x:v>638</x:v>
      </x:c>
      <x:c r="B639" s="34" t="str">
        <x:v>article1-unified-v4-2-fb3f101b-20260903-000401-default-f04-p1-jcs4</x:v>
      </x:c>
      <x:c r="C639" s="34" t="str">
        <x:v>default</x:v>
      </x:c>
      <x:c r="D639" s="34" t="str">
        <x:v>jcs4</x:v>
      </x:c>
      <x:c r="E639" s="36" t="n">
        <x:v>4</x:v>
      </x:c>
      <x:c r="F639" s="36" t="n">
        <x:v>4</x:v>
      </x:c>
      <x:c r="G639" s="36" t="n">
        <x:v>3</x:v>
      </x:c>
      <x:c r="H639" s="34" t="str">
        <x:v>cycle-observation</x:v>
      </x:c>
      <x:c r="I639" s="36" t="n">
        <x:v>2</x:v>
      </x:c>
      <x:c r="J639" s="34" t="str">
        <x:v>tomcat-findleaks-occurrence</x:v>
      </x:c>
      <x:c r="K639" s="34" t="str">
        <x:v>afterFinalUndeploy.tomcatFindLeaksOccurrences</x:v>
      </x:c>
      <x:c r="L639" s="36" t="n">
        <x:v>1</x:v>
      </x:c>
      <x:c r="M639" s="34" t="str">
        <x:v>/jcs4</x:v>
      </x:c>
      <x:c r="N639" s="44" t="str">
        <x:v>/jcs4</x:v>
      </x:c>
    </x:row>
    <x:row r="640">
      <x:c r="A640" s="36" t="n">
        <x:v>639</x:v>
      </x:c>
      <x:c r="B640" s="34" t="str">
        <x:v>article1-unified-v4-2-fb3f101b-20260903-000401-default-f04-p1-jcs4</x:v>
      </x:c>
      <x:c r="C640" s="34" t="str">
        <x:v>default</x:v>
      </x:c>
      <x:c r="D640" s="34" t="str">
        <x:v>jcs4</x:v>
      </x:c>
      <x:c r="E640" s="36" t="n">
        <x:v>4</x:v>
      </x:c>
      <x:c r="F640" s="36" t="n">
        <x:v>4</x:v>
      </x:c>
      <x:c r="G640" s="36" t="n">
        <x:v>4</x:v>
      </x:c>
      <x:c r="H640" s="34" t="str">
        <x:v>cycle-observation</x:v>
      </x:c>
      <x:c r="I640" s="36" t="n">
        <x:v>1</x:v>
      </x:c>
      <x:c r="J640" s="34" t="str">
        <x:v>tomcat-findleaks-occurrence</x:v>
      </x:c>
      <x:c r="K640" s="34" t="str">
        <x:v>afterUndeploy.tomcatFindLeaksOccurrences</x:v>
      </x:c>
      <x:c r="L640" s="36" t="n">
        <x:v>1</x:v>
      </x:c>
      <x:c r="M640" s="34" t="str">
        <x:v>/jcs4</x:v>
      </x:c>
      <x:c r="N640" s="44" t="str">
        <x:v>/jcs4</x:v>
      </x:c>
    </x:row>
    <x:row r="641">
      <x:c r="A641" s="36" t="n">
        <x:v>640</x:v>
      </x:c>
      <x:c r="B641" s="34" t="str">
        <x:v>article1-unified-v4-2-fb3f101b-20260903-000401-default-f04-p1-jcs4</x:v>
      </x:c>
      <x:c r="C641" s="34" t="str">
        <x:v>default</x:v>
      </x:c>
      <x:c r="D641" s="34" t="str">
        <x:v>jcs4</x:v>
      </x:c>
      <x:c r="E641" s="36" t="n">
        <x:v>4</x:v>
      </x:c>
      <x:c r="F641" s="36" t="n">
        <x:v>4</x:v>
      </x:c>
      <x:c r="G641" s="36" t="n">
        <x:v>4</x:v>
      </x:c>
      <x:c r="H641" s="34" t="str">
        <x:v>cycle-observation</x:v>
      </x:c>
      <x:c r="I641" s="36" t="n">
        <x:v>2</x:v>
      </x:c>
      <x:c r="J641" s="34" t="str">
        <x:v>tomcat-findleaks-occurrence</x:v>
      </x:c>
      <x:c r="K641" s="34" t="str">
        <x:v>afterFinalUndeploy.tomcatFindLeaksOccurrences</x:v>
      </x:c>
      <x:c r="L641" s="36" t="n">
        <x:v>1</x:v>
      </x:c>
      <x:c r="M641" s="34" t="str">
        <x:v>/jcs4</x:v>
      </x:c>
      <x:c r="N641" s="44" t="str">
        <x:v>/jcs4</x:v>
      </x:c>
    </x:row>
    <x:row r="642">
      <x:c r="A642" s="36" t="n">
        <x:v>641</x:v>
      </x:c>
      <x:c r="B642" s="34" t="str">
        <x:v>article1-unified-v4-2-fb3f101b-20260903-000401-default-f04-p1-jcs4</x:v>
      </x:c>
      <x:c r="C642" s="34" t="str">
        <x:v>default</x:v>
      </x:c>
      <x:c r="D642" s="34" t="str">
        <x:v>jcs4</x:v>
      </x:c>
      <x:c r="E642" s="36" t="n">
        <x:v>4</x:v>
      </x:c>
      <x:c r="F642" s="36" t="n">
        <x:v>4</x:v>
      </x:c>
      <x:c r="G642" s="36" t="n">
        <x:v>5</x:v>
      </x:c>
      <x:c r="H642" s="34" t="str">
        <x:v>cycle-observation</x:v>
      </x:c>
      <x:c r="I642" s="36" t="n">
        <x:v>1</x:v>
      </x:c>
      <x:c r="J642" s="34" t="str">
        <x:v>tomcat-findleaks-occurrence</x:v>
      </x:c>
      <x:c r="K642" s="34" t="str">
        <x:v>afterUndeploy.tomcatFindLeaksOccurrences</x:v>
      </x:c>
      <x:c r="L642" s="36" t="n">
        <x:v>1</x:v>
      </x:c>
      <x:c r="M642" s="34" t="str">
        <x:v>/jcs4</x:v>
      </x:c>
      <x:c r="N642" s="44" t="str">
        <x:v>/jcs4</x:v>
      </x:c>
    </x:row>
    <x:row r="643">
      <x:c r="A643" s="36" t="n">
        <x:v>642</x:v>
      </x:c>
      <x:c r="B643" s="34" t="str">
        <x:v>article1-unified-v4-2-fb3f101b-20260903-000401-default-f04-p1-jcs4</x:v>
      </x:c>
      <x:c r="C643" s="34" t="str">
        <x:v>default</x:v>
      </x:c>
      <x:c r="D643" s="34" t="str">
        <x:v>jcs4</x:v>
      </x:c>
      <x:c r="E643" s="36" t="n">
        <x:v>4</x:v>
      </x:c>
      <x:c r="F643" s="36" t="n">
        <x:v>4</x:v>
      </x:c>
      <x:c r="G643" s="36" t="n">
        <x:v>5</x:v>
      </x:c>
      <x:c r="H643" s="34" t="str">
        <x:v>cycle-observation</x:v>
      </x:c>
      <x:c r="I643" s="36" t="n">
        <x:v>2</x:v>
      </x:c>
      <x:c r="J643" s="34" t="str">
        <x:v>tomcat-findleaks-occurrence</x:v>
      </x:c>
      <x:c r="K643" s="34" t="str">
        <x:v>afterFinalUndeploy.tomcatFindLeaksOccurrences</x:v>
      </x:c>
      <x:c r="L643" s="36" t="n">
        <x:v>1</x:v>
      </x:c>
      <x:c r="M643" s="34" t="str">
        <x:v>/jcs4</x:v>
      </x:c>
      <x:c r="N643" s="44" t="str">
        <x:v>/jcs4</x:v>
      </x:c>
    </x:row>
    <x:row r="644">
      <x:c r="A644" s="36" t="n">
        <x:v>643</x:v>
      </x:c>
      <x:c r="B644" s="34" t="str">
        <x:v>article1-unified-v4-2-fb3f101b-20260903-000401-default-f04-p2-jcs321</x:v>
      </x:c>
      <x:c r="C644" s="34" t="str">
        <x:v>default</x:v>
      </x:c>
      <x:c r="D644" s="34" t="str">
        <x:v>jcs321</x:v>
      </x:c>
      <x:c r="E644" s="36" t="n">
        <x:v>4</x:v>
      </x:c>
      <x:c r="F644" s="36" t="n">
        <x:v>4</x:v>
      </x:c>
      <x:c r="G644" s="36"/>
      <x:c r="H644" s="34" t="str">
        <x:v>process-run-aggregate</x:v>
      </x:c>
      <x:c r="I644" s="36"/>
      <x:c r="J644" s="34" t="str">
        <x:v>warning</x:v>
      </x:c>
      <x:c r="K644" s="34" t="str">
        <x:v>warnings</x:v>
      </x:c>
      <x:c r="L644" s="36" t="n">
        <x:v>1</x:v>
      </x:c>
      <x:c r="M644" s="34"/>
      <x:c r="N644" s="44" t="str">
        <x:v>03-Sep-2026 00:44:15.800 WARNING [http-nio-8080-exec-1] org.apache.commons.jcs3.engine.control.CompositeCacheConfigurator. Skipping empty auxiliary name</x:v>
      </x:c>
    </x:row>
    <x:row r="645">
      <x:c r="A645" s="36" t="n">
        <x:v>644</x:v>
      </x:c>
      <x:c r="B645" s="34" t="str">
        <x:v>article1-unified-v4-2-fb3f101b-20260903-000401-default-f04-p2-jcs321</x:v>
      </x:c>
      <x:c r="C645" s="34" t="str">
        <x:v>default</x:v>
      </x:c>
      <x:c r="D645" s="34" t="str">
        <x:v>jcs321</x:v>
      </x:c>
      <x:c r="E645" s="36" t="n">
        <x:v>4</x:v>
      </x:c>
      <x:c r="F645" s="36" t="n">
        <x:v>4</x:v>
      </x:c>
      <x:c r="G645" s="36"/>
      <x:c r="H645" s="34" t="str">
        <x:v>process-run-aggregate</x:v>
      </x:c>
      <x:c r="I645" s="36"/>
      <x:c r="J645" s="34" t="str">
        <x:v>warning</x:v>
      </x:c>
      <x:c r="K645" s="34" t="str">
        <x:v>warnings</x:v>
      </x:c>
      <x:c r="L645" s="36" t="n">
        <x:v>2</x:v>
      </x:c>
      <x:c r="M645" s="34"/>
      <x:c r="N645" s="44" t="str">
        <x:v>03-Sep-2026 00:44:29.105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646">
      <x:c r="A646" s="36" t="n">
        <x:v>645</x:v>
      </x:c>
      <x:c r="B646" s="34" t="str">
        <x:v>article1-unified-v4-2-fb3f101b-20260903-000401-default-f04-p2-jcs321</x:v>
      </x:c>
      <x:c r="C646" s="34" t="str">
        <x:v>default</x:v>
      </x:c>
      <x:c r="D646" s="34" t="str">
        <x:v>jcs321</x:v>
      </x:c>
      <x:c r="E646" s="36" t="n">
        <x:v>4</x:v>
      </x:c>
      <x:c r="F646" s="36" t="n">
        <x:v>4</x:v>
      </x:c>
      <x:c r="G646" s="36"/>
      <x:c r="H646" s="34" t="str">
        <x:v>process-run-aggregate</x:v>
      </x:c>
      <x:c r="I646" s="36"/>
      <x:c r="J646" s="34" t="str">
        <x:v>warning</x:v>
      </x:c>
      <x:c r="K646" s="34" t="str">
        <x:v>warnings</x:v>
      </x:c>
      <x:c r="L646" s="36" t="n">
        <x:v>3</x:v>
      </x:c>
      <x:c r="M646" s="34"/>
      <x:c r="N646" s="44" t="str">
        <x:v>03-Sep-2026 00:44:58.852 WARNING [http-nio-8080-exec-8] org.apache.commons.jcs3.engine.control.CompositeCacheConfigurator. Skipping empty auxiliary name</x:v>
      </x:c>
    </x:row>
    <x:row r="647">
      <x:c r="A647" s="36" t="n">
        <x:v>646</x:v>
      </x:c>
      <x:c r="B647" s="34" t="str">
        <x:v>article1-unified-v4-2-fb3f101b-20260903-000401-default-f04-p2-jcs321</x:v>
      </x:c>
      <x:c r="C647" s="34" t="str">
        <x:v>default</x:v>
      </x:c>
      <x:c r="D647" s="34" t="str">
        <x:v>jcs321</x:v>
      </x:c>
      <x:c r="E647" s="36" t="n">
        <x:v>4</x:v>
      </x:c>
      <x:c r="F647" s="36" t="n">
        <x:v>4</x:v>
      </x:c>
      <x:c r="G647" s="36"/>
      <x:c r="H647" s="34" t="str">
        <x:v>process-run-aggregate</x:v>
      </x:c>
      <x:c r="I647" s="36"/>
      <x:c r="J647" s="34" t="str">
        <x:v>warning</x:v>
      </x:c>
      <x:c r="K647" s="34" t="str">
        <x:v>warnings</x:v>
      </x:c>
      <x:c r="L647" s="36" t="n">
        <x:v>4</x:v>
      </x:c>
      <x:c r="M647" s="34"/>
      <x:c r="N647" s="44" t="str">
        <x:v>03-Sep-2026 00:45:12.082 WARNING [http-nio-8080-exec-9]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648">
      <x:c r="A648" s="36" t="n">
        <x:v>647</x:v>
      </x:c>
      <x:c r="B648" s="34" t="str">
        <x:v>article1-unified-v4-2-fb3f101b-20260903-000401-default-f04-p2-jcs321</x:v>
      </x:c>
      <x:c r="C648" s="34" t="str">
        <x:v>default</x:v>
      </x:c>
      <x:c r="D648" s="34" t="str">
        <x:v>jcs321</x:v>
      </x:c>
      <x:c r="E648" s="36" t="n">
        <x:v>4</x:v>
      </x:c>
      <x:c r="F648" s="36" t="n">
        <x:v>4</x:v>
      </x:c>
      <x:c r="G648" s="36"/>
      <x:c r="H648" s="34" t="str">
        <x:v>process-run-aggregate</x:v>
      </x:c>
      <x:c r="I648" s="36"/>
      <x:c r="J648" s="34" t="str">
        <x:v>warning</x:v>
      </x:c>
      <x:c r="K648" s="34" t="str">
        <x:v>warnings</x:v>
      </x:c>
      <x:c r="L648" s="36" t="n">
        <x:v>5</x:v>
      </x:c>
      <x:c r="M648" s="34"/>
      <x:c r="N648" s="44" t="str">
        <x:v>03-Sep-2026 00:45:44.749 WARNING [http-nio-8080-exec-3] org.apache.commons.jcs3.engine.control.CompositeCacheConfigurator. Skipping empty auxiliary name</x:v>
      </x:c>
    </x:row>
    <x:row r="649">
      <x:c r="A649" s="36" t="n">
        <x:v>648</x:v>
      </x:c>
      <x:c r="B649" s="34" t="str">
        <x:v>article1-unified-v4-2-fb3f101b-20260903-000401-default-f04-p2-jcs321</x:v>
      </x:c>
      <x:c r="C649" s="34" t="str">
        <x:v>default</x:v>
      </x:c>
      <x:c r="D649" s="34" t="str">
        <x:v>jcs321</x:v>
      </x:c>
      <x:c r="E649" s="36" t="n">
        <x:v>4</x:v>
      </x:c>
      <x:c r="F649" s="36" t="n">
        <x:v>4</x:v>
      </x:c>
      <x:c r="G649" s="36"/>
      <x:c r="H649" s="34" t="str">
        <x:v>process-run-aggregate</x:v>
      </x:c>
      <x:c r="I649" s="36"/>
      <x:c r="J649" s="34" t="str">
        <x:v>warning</x:v>
      </x:c>
      <x:c r="K649" s="34" t="str">
        <x:v>warnings</x:v>
      </x:c>
      <x:c r="L649" s="36" t="n">
        <x:v>6</x:v>
      </x:c>
      <x:c r="M649" s="34"/>
      <x:c r="N649" s="44" t="str">
        <x:v>03-Sep-2026 00:45:57.628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650">
      <x:c r="A650" s="36" t="n">
        <x:v>649</x:v>
      </x:c>
      <x:c r="B650" s="34" t="str">
        <x:v>article1-unified-v4-2-fb3f101b-20260903-000401-default-f04-p2-jcs321</x:v>
      </x:c>
      <x:c r="C650" s="34" t="str">
        <x:v>default</x:v>
      </x:c>
      <x:c r="D650" s="34" t="str">
        <x:v>jcs321</x:v>
      </x:c>
      <x:c r="E650" s="36" t="n">
        <x:v>4</x:v>
      </x:c>
      <x:c r="F650" s="36" t="n">
        <x:v>4</x:v>
      </x:c>
      <x:c r="G650" s="36"/>
      <x:c r="H650" s="34" t="str">
        <x:v>process-run-aggregate</x:v>
      </x:c>
      <x:c r="I650" s="36"/>
      <x:c r="J650" s="34" t="str">
        <x:v>warning</x:v>
      </x:c>
      <x:c r="K650" s="34" t="str">
        <x:v>warnings</x:v>
      </x:c>
      <x:c r="L650" s="36" t="n">
        <x:v>7</x:v>
      </x:c>
      <x:c r="M650" s="34"/>
      <x:c r="N650" s="44" t="str">
        <x:v>03-Sep-2026 00:46:27.506 WARNING [http-nio-8080-exec-19] org.apache.commons.jcs3.engine.control.CompositeCacheConfigurator. Skipping empty auxiliary name</x:v>
      </x:c>
    </x:row>
    <x:row r="651">
      <x:c r="A651" s="36" t="n">
        <x:v>650</x:v>
      </x:c>
      <x:c r="B651" s="34" t="str">
        <x:v>article1-unified-v4-2-fb3f101b-20260903-000401-default-f04-p2-jcs321</x:v>
      </x:c>
      <x:c r="C651" s="34" t="str">
        <x:v>default</x:v>
      </x:c>
      <x:c r="D651" s="34" t="str">
        <x:v>jcs321</x:v>
      </x:c>
      <x:c r="E651" s="36" t="n">
        <x:v>4</x:v>
      </x:c>
      <x:c r="F651" s="36" t="n">
        <x:v>4</x:v>
      </x:c>
      <x:c r="G651" s="36"/>
      <x:c r="H651" s="34" t="str">
        <x:v>process-run-aggregate</x:v>
      </x:c>
      <x:c r="I651" s="36"/>
      <x:c r="J651" s="34" t="str">
        <x:v>warning</x:v>
      </x:c>
      <x:c r="K651" s="34" t="str">
        <x:v>warnings</x:v>
      </x:c>
      <x:c r="L651" s="36" t="n">
        <x:v>8</x:v>
      </x:c>
      <x:c r="M651" s="34"/>
      <x:c r="N651" s="44" t="str">
        <x:v>03-Sep-2026 00:46:40.513 WARNING [http-nio-8080-exec-4]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652">
      <x:c r="A652" s="36" t="n">
        <x:v>651</x:v>
      </x:c>
      <x:c r="B652" s="34" t="str">
        <x:v>article1-unified-v4-2-fb3f101b-20260903-000401-default-f04-p2-jcs321</x:v>
      </x:c>
      <x:c r="C652" s="34" t="str">
        <x:v>default</x:v>
      </x:c>
      <x:c r="D652" s="34" t="str">
        <x:v>jcs321</x:v>
      </x:c>
      <x:c r="E652" s="36" t="n">
        <x:v>4</x:v>
      </x:c>
      <x:c r="F652" s="36" t="n">
        <x:v>4</x:v>
      </x:c>
      <x:c r="G652" s="36"/>
      <x:c r="H652" s="34" t="str">
        <x:v>process-run-aggregate</x:v>
      </x:c>
      <x:c r="I652" s="36"/>
      <x:c r="J652" s="34" t="str">
        <x:v>warning</x:v>
      </x:c>
      <x:c r="K652" s="34" t="str">
        <x:v>warnings</x:v>
      </x:c>
      <x:c r="L652" s="36" t="n">
        <x:v>9</x:v>
      </x:c>
      <x:c r="M652" s="34"/>
      <x:c r="N652" s="44" t="str">
        <x:v>03-Sep-2026 00:47:13.130 WARNING [http-nio-8080-exec-23] org.apache.commons.jcs3.engine.control.CompositeCacheConfigurator. Skipping empty auxiliary name</x:v>
      </x:c>
    </x:row>
    <x:row r="653">
      <x:c r="A653" s="36" t="n">
        <x:v>652</x:v>
      </x:c>
      <x:c r="B653" s="34" t="str">
        <x:v>article1-unified-v4-2-fb3f101b-20260903-000401-default-f04-p2-jcs321</x:v>
      </x:c>
      <x:c r="C653" s="34" t="str">
        <x:v>default</x:v>
      </x:c>
      <x:c r="D653" s="34" t="str">
        <x:v>jcs321</x:v>
      </x:c>
      <x:c r="E653" s="36" t="n">
        <x:v>4</x:v>
      </x:c>
      <x:c r="F653" s="36" t="n">
        <x:v>4</x:v>
      </x:c>
      <x:c r="G653" s="36"/>
      <x:c r="H653" s="34" t="str">
        <x:v>process-run-aggregate</x:v>
      </x:c>
      <x:c r="I653" s="36"/>
      <x:c r="J653" s="34" t="str">
        <x:v>warning</x:v>
      </x:c>
      <x:c r="K653" s="34" t="str">
        <x:v>warnings</x:v>
      </x:c>
      <x:c r="L653" s="36" t="n">
        <x:v>10</x:v>
      </x:c>
      <x:c r="M653" s="34"/>
      <x:c r="N653" s="44" t="str">
        <x:v>03-Sep-2026 00:47:26.432 WARNING [http-nio-8080-exec-26]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654">
      <x:c r="A654" s="36" t="n">
        <x:v>653</x:v>
      </x:c>
      <x:c r="B654" s="34" t="str">
        <x:v>article1-unified-v4-2-fb3f101b-20260903-000401-default-f04-p2-jcs321</x:v>
      </x:c>
      <x:c r="C654" s="34" t="str">
        <x:v>default</x:v>
      </x:c>
      <x:c r="D654" s="34" t="str">
        <x:v>jcs321</x:v>
      </x:c>
      <x:c r="E654" s="36" t="n">
        <x:v>4</x:v>
      </x:c>
      <x:c r="F654" s="36" t="n">
        <x:v>4</x:v>
      </x:c>
      <x:c r="G654" s="36"/>
      <x:c r="H654" s="34" t="str">
        <x:v>process-run-aggregate</x:v>
      </x:c>
      <x:c r="I654" s="36"/>
      <x:c r="J654" s="34" t="str">
        <x:v>warning</x:v>
      </x:c>
      <x:c r="K654" s="34" t="str">
        <x:v>warnings</x:v>
      </x:c>
      <x:c r="L654" s="36" t="n">
        <x:v>11</x:v>
      </x:c>
      <x:c r="M654" s="34"/>
      <x:c r="N654" s="44" t="str">
        <x:v>03-Sep-2026 00:47:56.259 WARNING [http-nio-8080-exec-11] org.apache.commons.jcs3.engine.control.CompositeCacheConfigurator. Skipping empty auxiliary name</x:v>
      </x:c>
    </x:row>
    <x:row r="655">
      <x:c r="A655" s="36" t="n">
        <x:v>654</x:v>
      </x:c>
      <x:c r="B655" s="34" t="str">
        <x:v>article1-unified-v4-2-fb3f101b-20260903-000401-default-f04-p2-jcs321</x:v>
      </x:c>
      <x:c r="C655" s="34" t="str">
        <x:v>default</x:v>
      </x:c>
      <x:c r="D655" s="34" t="str">
        <x:v>jcs321</x:v>
      </x:c>
      <x:c r="E655" s="36" t="n">
        <x:v>4</x:v>
      </x:c>
      <x:c r="F655" s="36" t="n">
        <x:v>4</x:v>
      </x:c>
      <x:c r="G655" s="36"/>
      <x:c r="H655" s="34" t="str">
        <x:v>process-run-aggregate</x:v>
      </x:c>
      <x:c r="I655" s="36"/>
      <x:c r="J655" s="34" t="str">
        <x:v>warning</x:v>
      </x:c>
      <x:c r="K655" s="34" t="str">
        <x:v>warnings</x:v>
      </x:c>
      <x:c r="L655" s="36" t="n">
        <x:v>12</x:v>
      </x:c>
      <x:c r="M655" s="34"/>
      <x:c r="N655" s="44" t="str">
        <x:v>03-Sep-2026 00:48:09.247 WARNING [http-nio-8080-exec-31]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656">
      <x:c r="A656" s="36" t="n">
        <x:v>655</x:v>
      </x:c>
      <x:c r="B656" s="34" t="str">
        <x:v>article1-unified-v4-2-fb3f101b-20260903-000401-default-f04-p2-jcs321</x:v>
      </x:c>
      <x:c r="C656" s="34" t="str">
        <x:v>default</x:v>
      </x:c>
      <x:c r="D656" s="34" t="str">
        <x:v>jcs321</x:v>
      </x:c>
      <x:c r="E656" s="36" t="n">
        <x:v>4</x:v>
      </x:c>
      <x:c r="F656" s="36" t="n">
        <x:v>4</x:v>
      </x:c>
      <x:c r="G656" s="36"/>
      <x:c r="H656" s="34" t="str">
        <x:v>process-run-aggregate</x:v>
      </x:c>
      <x:c r="I656" s="36"/>
      <x:c r="J656" s="34" t="str">
        <x:v>warning</x:v>
      </x:c>
      <x:c r="K656" s="34" t="str">
        <x:v>warnings</x:v>
      </x:c>
      <x:c r="L656" s="36" t="n">
        <x:v>13</x:v>
      </x:c>
      <x:c r="M656" s="34"/>
      <x:c r="N656" s="44" t="str">
        <x:v>03-Sep-2026 00:48:42.073 WARNING [http-nio-8080-exec-41] org.apache.commons.jcs3.engine.control.CompositeCacheConfigurator. Skipping empty auxiliary name</x:v>
      </x:c>
    </x:row>
    <x:row r="657">
      <x:c r="A657" s="36" t="n">
        <x:v>656</x:v>
      </x:c>
      <x:c r="B657" s="34" t="str">
        <x:v>article1-unified-v4-2-fb3f101b-20260903-000401-default-f04-p2-jcs321</x:v>
      </x:c>
      <x:c r="C657" s="34" t="str">
        <x:v>default</x:v>
      </x:c>
      <x:c r="D657" s="34" t="str">
        <x:v>jcs321</x:v>
      </x:c>
      <x:c r="E657" s="36" t="n">
        <x:v>4</x:v>
      </x:c>
      <x:c r="F657" s="36" t="n">
        <x:v>4</x:v>
      </x:c>
      <x:c r="G657" s="36"/>
      <x:c r="H657" s="34" t="str">
        <x:v>process-run-aggregate</x:v>
      </x:c>
      <x:c r="I657" s="36"/>
      <x:c r="J657" s="34" t="str">
        <x:v>warning</x:v>
      </x:c>
      <x:c r="K657" s="34" t="str">
        <x:v>warnings</x:v>
      </x:c>
      <x:c r="L657" s="36" t="n">
        <x:v>14</x:v>
      </x:c>
      <x:c r="M657" s="34"/>
      <x:c r="N657" s="44" t="str">
        <x:v>03-Sep-2026 00:48:55.368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658">
      <x:c r="A658" s="36" t="n">
        <x:v>657</x:v>
      </x:c>
      <x:c r="B658" s="34" t="str">
        <x:v>article1-unified-v4-2-fb3f101b-20260903-000401-default-f04-p2-jcs321</x:v>
      </x:c>
      <x:c r="C658" s="34" t="str">
        <x:v>default</x:v>
      </x:c>
      <x:c r="D658" s="34" t="str">
        <x:v>jcs321</x:v>
      </x:c>
      <x:c r="E658" s="36" t="n">
        <x:v>4</x:v>
      </x:c>
      <x:c r="F658" s="36" t="n">
        <x:v>4</x:v>
      </x:c>
      <x:c r="G658" s="36"/>
      <x:c r="H658" s="34" t="str">
        <x:v>process-run-aggregate</x:v>
      </x:c>
      <x:c r="I658" s="36"/>
      <x:c r="J658" s="34" t="str">
        <x:v>warning</x:v>
      </x:c>
      <x:c r="K658" s="34" t="str">
        <x:v>warnings</x:v>
      </x:c>
      <x:c r="L658" s="36" t="n">
        <x:v>15</x:v>
      </x:c>
      <x:c r="M658" s="34"/>
      <x:c r="N658" s="44" t="str">
        <x:v>03-Sep-2026 00:49:25.267 WARNING [http-nio-8080-exec-39] org.apache.commons.jcs3.engine.control.CompositeCacheConfigurator. Skipping empty auxiliary name</x:v>
      </x:c>
    </x:row>
    <x:row r="659">
      <x:c r="A659" s="36" t="n">
        <x:v>658</x:v>
      </x:c>
      <x:c r="B659" s="34" t="str">
        <x:v>article1-unified-v4-2-fb3f101b-20260903-000401-default-f04-p2-jcs321</x:v>
      </x:c>
      <x:c r="C659" s="34" t="str">
        <x:v>default</x:v>
      </x:c>
      <x:c r="D659" s="34" t="str">
        <x:v>jcs321</x:v>
      </x:c>
      <x:c r="E659" s="36" t="n">
        <x:v>4</x:v>
      </x:c>
      <x:c r="F659" s="36" t="n">
        <x:v>4</x:v>
      </x:c>
      <x:c r="G659" s="36"/>
      <x:c r="H659" s="34" t="str">
        <x:v>process-run-aggregate</x:v>
      </x:c>
      <x:c r="I659" s="36"/>
      <x:c r="J659" s="34" t="str">
        <x:v>warning</x:v>
      </x:c>
      <x:c r="K659" s="34" t="str">
        <x:v>warnings</x:v>
      </x:c>
      <x:c r="L659" s="36" t="n">
        <x:v>16</x:v>
      </x:c>
      <x:c r="M659" s="34"/>
      <x:c r="N659" s="44" t="str">
        <x:v>03-Sep-2026 00:49:38.369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660">
      <x:c r="A660" s="36" t="n">
        <x:v>659</x:v>
      </x:c>
      <x:c r="B660" s="34" t="str">
        <x:v>article1-unified-v4-2-fb3f101b-20260903-000401-default-f04-p2-jcs321</x:v>
      </x:c>
      <x:c r="C660" s="34" t="str">
        <x:v>default</x:v>
      </x:c>
      <x:c r="D660" s="34" t="str">
        <x:v>jcs321</x:v>
      </x:c>
      <x:c r="E660" s="36" t="n">
        <x:v>4</x:v>
      </x:c>
      <x:c r="F660" s="36" t="n">
        <x:v>4</x:v>
      </x:c>
      <x:c r="G660" s="36"/>
      <x:c r="H660" s="34" t="str">
        <x:v>process-run-aggregate</x:v>
      </x:c>
      <x:c r="I660" s="36"/>
      <x:c r="J660" s="34" t="str">
        <x:v>warning</x:v>
      </x:c>
      <x:c r="K660" s="34" t="str">
        <x:v>warnings</x:v>
      </x:c>
      <x:c r="L660" s="36" t="n">
        <x:v>17</x:v>
      </x:c>
      <x:c r="M660" s="34"/>
      <x:c r="N660" s="44" t="str">
        <x:v>03-Sep-2026 00:50:11.005 WARNING [http-nio-8080-exec-54] org.apache.commons.jcs3.engine.control.CompositeCacheConfigurator. Skipping empty auxiliary name</x:v>
      </x:c>
    </x:row>
    <x:row r="661">
      <x:c r="A661" s="36" t="n">
        <x:v>660</x:v>
      </x:c>
      <x:c r="B661" s="34" t="str">
        <x:v>article1-unified-v4-2-fb3f101b-20260903-000401-default-f04-p2-jcs321</x:v>
      </x:c>
      <x:c r="C661" s="34" t="str">
        <x:v>default</x:v>
      </x:c>
      <x:c r="D661" s="34" t="str">
        <x:v>jcs321</x:v>
      </x:c>
      <x:c r="E661" s="36" t="n">
        <x:v>4</x:v>
      </x:c>
      <x:c r="F661" s="36" t="n">
        <x:v>4</x:v>
      </x:c>
      <x:c r="G661" s="36"/>
      <x:c r="H661" s="34" t="str">
        <x:v>process-run-aggregate</x:v>
      </x:c>
      <x:c r="I661" s="36"/>
      <x:c r="J661" s="34" t="str">
        <x:v>warning</x:v>
      </x:c>
      <x:c r="K661" s="34" t="str">
        <x:v>warnings</x:v>
      </x:c>
      <x:c r="L661" s="36" t="n">
        <x:v>18</x:v>
      </x:c>
      <x:c r="M661" s="34"/>
      <x:c r="N661" s="44" t="str">
        <x:v>03-Sep-2026 00:50:24.600 WARNING [http-nio-8080-exec-56]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662">
      <x:c r="A662" s="36" t="n">
        <x:v>661</x:v>
      </x:c>
      <x:c r="B662" s="34" t="str">
        <x:v>article1-unified-v4-2-fb3f101b-20260903-000401-default-f04-p2-jcs321</x:v>
      </x:c>
      <x:c r="C662" s="34" t="str">
        <x:v>default</x:v>
      </x:c>
      <x:c r="D662" s="34" t="str">
        <x:v>jcs321</x:v>
      </x:c>
      <x:c r="E662" s="36" t="n">
        <x:v>4</x:v>
      </x:c>
      <x:c r="F662" s="36" t="n">
        <x:v>4</x:v>
      </x:c>
      <x:c r="G662" s="36"/>
      <x:c r="H662" s="34" t="str">
        <x:v>process-run-aggregate</x:v>
      </x:c>
      <x:c r="I662" s="36"/>
      <x:c r="J662" s="34" t="str">
        <x:v>warning</x:v>
      </x:c>
      <x:c r="K662" s="34" t="str">
        <x:v>warnings</x:v>
      </x:c>
      <x:c r="L662" s="36" t="n">
        <x:v>19</x:v>
      </x:c>
      <x:c r="M662" s="34"/>
      <x:c r="N662" s="44" t="str">
        <x:v>03-Sep-2026 00:50:54.494 WARNING [http-nio-8080-exec-50] org.apache.commons.jcs3.engine.control.CompositeCacheConfigurator. Skipping empty auxiliary name</x:v>
      </x:c>
    </x:row>
    <x:row r="663">
      <x:c r="A663" s="36" t="n">
        <x:v>662</x:v>
      </x:c>
      <x:c r="B663" s="34" t="str">
        <x:v>article1-unified-v4-2-fb3f101b-20260903-000401-default-f04-p2-jcs321</x:v>
      </x:c>
      <x:c r="C663" s="34" t="str">
        <x:v>default</x:v>
      </x:c>
      <x:c r="D663" s="34" t="str">
        <x:v>jcs321</x:v>
      </x:c>
      <x:c r="E663" s="36" t="n">
        <x:v>4</x:v>
      </x:c>
      <x:c r="F663" s="36" t="n">
        <x:v>4</x:v>
      </x:c>
      <x:c r="G663" s="36"/>
      <x:c r="H663" s="34" t="str">
        <x:v>process-run-aggregate</x:v>
      </x:c>
      <x:c r="I663" s="36"/>
      <x:c r="J663" s="34" t="str">
        <x:v>warning</x:v>
      </x:c>
      <x:c r="K663" s="34" t="str">
        <x:v>warnings</x:v>
      </x:c>
      <x:c r="L663" s="36" t="n">
        <x:v>20</x:v>
      </x:c>
      <x:c r="M663" s="34"/>
      <x:c r="N663" s="44" t="str">
        <x:v>03-Sep-2026 00:51:07.628 WARNING [http-nio-8080-exec-47]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664">
      <x:c r="A664" s="36" t="n">
        <x:v>663</x:v>
      </x:c>
      <x:c r="B664" s="34" t="str">
        <x:v>article1-unified-v4-2-fb3f101b-20260903-000401-default-f04-p2-jcs321</x:v>
      </x:c>
      <x:c r="C664" s="34" t="str">
        <x:v>default</x:v>
      </x:c>
      <x:c r="D664" s="34" t="str">
        <x:v>jcs321</x:v>
      </x:c>
      <x:c r="E664" s="36" t="n">
        <x:v>4</x:v>
      </x:c>
      <x:c r="F664" s="36" t="n">
        <x:v>4</x:v>
      </x:c>
      <x:c r="G664" s="36"/>
      <x:c r="H664" s="34" t="str">
        <x:v>process-run-aggregate</x:v>
      </x:c>
      <x:c r="I664" s="36"/>
      <x:c r="J664" s="34" t="str">
        <x:v>leak-warning</x:v>
      </x:c>
      <x:c r="K664" s="34" t="str">
        <x:v>leakWarnings</x:v>
      </x:c>
      <x:c r="L664" s="36" t="n">
        <x:v>1</x:v>
      </x:c>
      <x:c r="M664" s="34"/>
      <x:c r="N664" s="44" t="str">
        <x:v>03-Sep-2026 00:44:29.105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665">
      <x:c r="A665" s="36" t="n">
        <x:v>664</x:v>
      </x:c>
      <x:c r="B665" s="34" t="str">
        <x:v>article1-unified-v4-2-fb3f101b-20260903-000401-default-f04-p2-jcs321</x:v>
      </x:c>
      <x:c r="C665" s="34" t="str">
        <x:v>default</x:v>
      </x:c>
      <x:c r="D665" s="34" t="str">
        <x:v>jcs321</x:v>
      </x:c>
      <x:c r="E665" s="36" t="n">
        <x:v>4</x:v>
      </x:c>
      <x:c r="F665" s="36" t="n">
        <x:v>4</x:v>
      </x:c>
      <x:c r="G665" s="36"/>
      <x:c r="H665" s="34" t="str">
        <x:v>process-run-aggregate</x:v>
      </x:c>
      <x:c r="I665" s="36"/>
      <x:c r="J665" s="34" t="str">
        <x:v>leak-warning</x:v>
      </x:c>
      <x:c r="K665" s="34" t="str">
        <x:v>leakWarnings</x:v>
      </x:c>
      <x:c r="L665" s="36" t="n">
        <x:v>2</x:v>
      </x:c>
      <x:c r="M665" s="34"/>
      <x:c r="N665" s="44" t="str">
        <x:v>03-Sep-2026 00:45:12.082 WARNING [http-nio-8080-exec-9]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666">
      <x:c r="A666" s="36" t="n">
        <x:v>665</x:v>
      </x:c>
      <x:c r="B666" s="34" t="str">
        <x:v>article1-unified-v4-2-fb3f101b-20260903-000401-default-f04-p2-jcs321</x:v>
      </x:c>
      <x:c r="C666" s="34" t="str">
        <x:v>default</x:v>
      </x:c>
      <x:c r="D666" s="34" t="str">
        <x:v>jcs321</x:v>
      </x:c>
      <x:c r="E666" s="36" t="n">
        <x:v>4</x:v>
      </x:c>
      <x:c r="F666" s="36" t="n">
        <x:v>4</x:v>
      </x:c>
      <x:c r="G666" s="36"/>
      <x:c r="H666" s="34" t="str">
        <x:v>process-run-aggregate</x:v>
      </x:c>
      <x:c r="I666" s="36"/>
      <x:c r="J666" s="34" t="str">
        <x:v>leak-warning</x:v>
      </x:c>
      <x:c r="K666" s="34" t="str">
        <x:v>leakWarnings</x:v>
      </x:c>
      <x:c r="L666" s="36" t="n">
        <x:v>3</x:v>
      </x:c>
      <x:c r="M666" s="34"/>
      <x:c r="N666" s="44" t="str">
        <x:v>03-Sep-2026 00:45:57.628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667">
      <x:c r="A667" s="36" t="n">
        <x:v>666</x:v>
      </x:c>
      <x:c r="B667" s="34" t="str">
        <x:v>article1-unified-v4-2-fb3f101b-20260903-000401-default-f04-p2-jcs321</x:v>
      </x:c>
      <x:c r="C667" s="34" t="str">
        <x:v>default</x:v>
      </x:c>
      <x:c r="D667" s="34" t="str">
        <x:v>jcs321</x:v>
      </x:c>
      <x:c r="E667" s="36" t="n">
        <x:v>4</x:v>
      </x:c>
      <x:c r="F667" s="36" t="n">
        <x:v>4</x:v>
      </x:c>
      <x:c r="G667" s="36"/>
      <x:c r="H667" s="34" t="str">
        <x:v>process-run-aggregate</x:v>
      </x:c>
      <x:c r="I667" s="36"/>
      <x:c r="J667" s="34" t="str">
        <x:v>leak-warning</x:v>
      </x:c>
      <x:c r="K667" s="34" t="str">
        <x:v>leakWarnings</x:v>
      </x:c>
      <x:c r="L667" s="36" t="n">
        <x:v>4</x:v>
      </x:c>
      <x:c r="M667" s="34"/>
      <x:c r="N667" s="44" t="str">
        <x:v>03-Sep-2026 00:46:40.513 WARNING [http-nio-8080-exec-4]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668">
      <x:c r="A668" s="36" t="n">
        <x:v>667</x:v>
      </x:c>
      <x:c r="B668" s="34" t="str">
        <x:v>article1-unified-v4-2-fb3f101b-20260903-000401-default-f04-p2-jcs321</x:v>
      </x:c>
      <x:c r="C668" s="34" t="str">
        <x:v>default</x:v>
      </x:c>
      <x:c r="D668" s="34" t="str">
        <x:v>jcs321</x:v>
      </x:c>
      <x:c r="E668" s="36" t="n">
        <x:v>4</x:v>
      </x:c>
      <x:c r="F668" s="36" t="n">
        <x:v>4</x:v>
      </x:c>
      <x:c r="G668" s="36"/>
      <x:c r="H668" s="34" t="str">
        <x:v>process-run-aggregate</x:v>
      </x:c>
      <x:c r="I668" s="36"/>
      <x:c r="J668" s="34" t="str">
        <x:v>leak-warning</x:v>
      </x:c>
      <x:c r="K668" s="34" t="str">
        <x:v>leakWarnings</x:v>
      </x:c>
      <x:c r="L668" s="36" t="n">
        <x:v>5</x:v>
      </x:c>
      <x:c r="M668" s="34"/>
      <x:c r="N668" s="44" t="str">
        <x:v>03-Sep-2026 00:47:26.432 WARNING [http-nio-8080-exec-26]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669">
      <x:c r="A669" s="36" t="n">
        <x:v>668</x:v>
      </x:c>
      <x:c r="B669" s="34" t="str">
        <x:v>article1-unified-v4-2-fb3f101b-20260903-000401-default-f04-p2-jcs321</x:v>
      </x:c>
      <x:c r="C669" s="34" t="str">
        <x:v>default</x:v>
      </x:c>
      <x:c r="D669" s="34" t="str">
        <x:v>jcs321</x:v>
      </x:c>
      <x:c r="E669" s="36" t="n">
        <x:v>4</x:v>
      </x:c>
      <x:c r="F669" s="36" t="n">
        <x:v>4</x:v>
      </x:c>
      <x:c r="G669" s="36"/>
      <x:c r="H669" s="34" t="str">
        <x:v>process-run-aggregate</x:v>
      </x:c>
      <x:c r="I669" s="36"/>
      <x:c r="J669" s="34" t="str">
        <x:v>leak-warning</x:v>
      </x:c>
      <x:c r="K669" s="34" t="str">
        <x:v>leakWarnings</x:v>
      </x:c>
      <x:c r="L669" s="36" t="n">
        <x:v>6</x:v>
      </x:c>
      <x:c r="M669" s="34"/>
      <x:c r="N669" s="44" t="str">
        <x:v>03-Sep-2026 00:48:09.247 WARNING [http-nio-8080-exec-31]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670">
      <x:c r="A670" s="36" t="n">
        <x:v>669</x:v>
      </x:c>
      <x:c r="B670" s="34" t="str">
        <x:v>article1-unified-v4-2-fb3f101b-20260903-000401-default-f04-p2-jcs321</x:v>
      </x:c>
      <x:c r="C670" s="34" t="str">
        <x:v>default</x:v>
      </x:c>
      <x:c r="D670" s="34" t="str">
        <x:v>jcs321</x:v>
      </x:c>
      <x:c r="E670" s="36" t="n">
        <x:v>4</x:v>
      </x:c>
      <x:c r="F670" s="36" t="n">
        <x:v>4</x:v>
      </x:c>
      <x:c r="G670" s="36"/>
      <x:c r="H670" s="34" t="str">
        <x:v>process-run-aggregate</x:v>
      </x:c>
      <x:c r="I670" s="36"/>
      <x:c r="J670" s="34" t="str">
        <x:v>leak-warning</x:v>
      </x:c>
      <x:c r="K670" s="34" t="str">
        <x:v>leakWarnings</x:v>
      </x:c>
      <x:c r="L670" s="36" t="n">
        <x:v>7</x:v>
      </x:c>
      <x:c r="M670" s="34"/>
      <x:c r="N670" s="44" t="str">
        <x:v>03-Sep-2026 00:48:55.368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671">
      <x:c r="A671" s="36" t="n">
        <x:v>670</x:v>
      </x:c>
      <x:c r="B671" s="34" t="str">
        <x:v>article1-unified-v4-2-fb3f101b-20260903-000401-default-f04-p2-jcs321</x:v>
      </x:c>
      <x:c r="C671" s="34" t="str">
        <x:v>default</x:v>
      </x:c>
      <x:c r="D671" s="34" t="str">
        <x:v>jcs321</x:v>
      </x:c>
      <x:c r="E671" s="36" t="n">
        <x:v>4</x:v>
      </x:c>
      <x:c r="F671" s="36" t="n">
        <x:v>4</x:v>
      </x:c>
      <x:c r="G671" s="36"/>
      <x:c r="H671" s="34" t="str">
        <x:v>process-run-aggregate</x:v>
      </x:c>
      <x:c r="I671" s="36"/>
      <x:c r="J671" s="34" t="str">
        <x:v>leak-warning</x:v>
      </x:c>
      <x:c r="K671" s="34" t="str">
        <x:v>leakWarnings</x:v>
      </x:c>
      <x:c r="L671" s="36" t="n">
        <x:v>8</x:v>
      </x:c>
      <x:c r="M671" s="34"/>
      <x:c r="N671" s="44" t="str">
        <x:v>03-Sep-2026 00:49:38.369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672">
      <x:c r="A672" s="36" t="n">
        <x:v>671</x:v>
      </x:c>
      <x:c r="B672" s="34" t="str">
        <x:v>article1-unified-v4-2-fb3f101b-20260903-000401-default-f04-p2-jcs321</x:v>
      </x:c>
      <x:c r="C672" s="34" t="str">
        <x:v>default</x:v>
      </x:c>
      <x:c r="D672" s="34" t="str">
        <x:v>jcs321</x:v>
      </x:c>
      <x:c r="E672" s="36" t="n">
        <x:v>4</x:v>
      </x:c>
      <x:c r="F672" s="36" t="n">
        <x:v>4</x:v>
      </x:c>
      <x:c r="G672" s="36"/>
      <x:c r="H672" s="34" t="str">
        <x:v>process-run-aggregate</x:v>
      </x:c>
      <x:c r="I672" s="36"/>
      <x:c r="J672" s="34" t="str">
        <x:v>leak-warning</x:v>
      </x:c>
      <x:c r="K672" s="34" t="str">
        <x:v>leakWarnings</x:v>
      </x:c>
      <x:c r="L672" s="36" t="n">
        <x:v>9</x:v>
      </x:c>
      <x:c r="M672" s="34"/>
      <x:c r="N672" s="44" t="str">
        <x:v>03-Sep-2026 00:50:24.600 WARNING [http-nio-8080-exec-56]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673">
      <x:c r="A673" s="36" t="n">
        <x:v>672</x:v>
      </x:c>
      <x:c r="B673" s="34" t="str">
        <x:v>article1-unified-v4-2-fb3f101b-20260903-000401-default-f04-p2-jcs321</x:v>
      </x:c>
      <x:c r="C673" s="34" t="str">
        <x:v>default</x:v>
      </x:c>
      <x:c r="D673" s="34" t="str">
        <x:v>jcs321</x:v>
      </x:c>
      <x:c r="E673" s="36" t="n">
        <x:v>4</x:v>
      </x:c>
      <x:c r="F673" s="36" t="n">
        <x:v>4</x:v>
      </x:c>
      <x:c r="G673" s="36"/>
      <x:c r="H673" s="34" t="str">
        <x:v>process-run-aggregate</x:v>
      </x:c>
      <x:c r="I673" s="36"/>
      <x:c r="J673" s="34" t="str">
        <x:v>leak-warning</x:v>
      </x:c>
      <x:c r="K673" s="34" t="str">
        <x:v>leakWarnings</x:v>
      </x:c>
      <x:c r="L673" s="36" t="n">
        <x:v>10</x:v>
      </x:c>
      <x:c r="M673" s="34"/>
      <x:c r="N673" s="44" t="str">
        <x:v>03-Sep-2026 00:51:07.628 WARNING [http-nio-8080-exec-47]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674">
      <x:c r="A674" s="36" t="n">
        <x:v>673</x:v>
      </x:c>
      <x:c r="B674" s="34" t="str">
        <x:v>article1-unified-v4-2-fb3f101b-20260903-000401-default-f04-p2-jcs321</x:v>
      </x:c>
      <x:c r="C674" s="34" t="str">
        <x:v>default</x:v>
      </x:c>
      <x:c r="D674" s="34" t="str">
        <x:v>jcs321</x:v>
      </x:c>
      <x:c r="E674" s="36" t="n">
        <x:v>4</x:v>
      </x:c>
      <x:c r="F674" s="36" t="n">
        <x:v>4</x:v>
      </x:c>
      <x:c r="G674" s="36"/>
      <x:c r="H674" s="34" t="str">
        <x:v>process-run-aggregate</x:v>
      </x:c>
      <x:c r="I674" s="36"/>
      <x:c r="J674" s="34" t="str">
        <x:v>thread-leak-warning</x:v>
      </x:c>
      <x:c r="K674" s="34" t="str">
        <x:v>threadLeakWarnings</x:v>
      </x:c>
      <x:c r="L674" s="36" t="n">
        <x:v>1</x:v>
      </x:c>
      <x:c r="M674" s="34"/>
      <x:c r="N674" s="44" t="str">
        <x:v>03-Sep-2026 00:44:29.105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675">
      <x:c r="A675" s="36" t="n">
        <x:v>674</x:v>
      </x:c>
      <x:c r="B675" s="34" t="str">
        <x:v>article1-unified-v4-2-fb3f101b-20260903-000401-default-f04-p2-jcs321</x:v>
      </x:c>
      <x:c r="C675" s="34" t="str">
        <x:v>default</x:v>
      </x:c>
      <x:c r="D675" s="34" t="str">
        <x:v>jcs321</x:v>
      </x:c>
      <x:c r="E675" s="36" t="n">
        <x:v>4</x:v>
      </x:c>
      <x:c r="F675" s="36" t="n">
        <x:v>4</x:v>
      </x:c>
      <x:c r="G675" s="36"/>
      <x:c r="H675" s="34" t="str">
        <x:v>process-run-aggregate</x:v>
      </x:c>
      <x:c r="I675" s="36"/>
      <x:c r="J675" s="34" t="str">
        <x:v>thread-leak-warning</x:v>
      </x:c>
      <x:c r="K675" s="34" t="str">
        <x:v>threadLeakWarnings</x:v>
      </x:c>
      <x:c r="L675" s="36" t="n">
        <x:v>2</x:v>
      </x:c>
      <x:c r="M675" s="34"/>
      <x:c r="N675" s="44" t="str">
        <x:v>03-Sep-2026 00:45:12.082 WARNING [http-nio-8080-exec-9]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676">
      <x:c r="A676" s="36" t="n">
        <x:v>675</x:v>
      </x:c>
      <x:c r="B676" s="34" t="str">
        <x:v>article1-unified-v4-2-fb3f101b-20260903-000401-default-f04-p2-jcs321</x:v>
      </x:c>
      <x:c r="C676" s="34" t="str">
        <x:v>default</x:v>
      </x:c>
      <x:c r="D676" s="34" t="str">
        <x:v>jcs321</x:v>
      </x:c>
      <x:c r="E676" s="36" t="n">
        <x:v>4</x:v>
      </x:c>
      <x:c r="F676" s="36" t="n">
        <x:v>4</x:v>
      </x:c>
      <x:c r="G676" s="36"/>
      <x:c r="H676" s="34" t="str">
        <x:v>process-run-aggregate</x:v>
      </x:c>
      <x:c r="I676" s="36"/>
      <x:c r="J676" s="34" t="str">
        <x:v>thread-leak-warning</x:v>
      </x:c>
      <x:c r="K676" s="34" t="str">
        <x:v>threadLeakWarnings</x:v>
      </x:c>
      <x:c r="L676" s="36" t="n">
        <x:v>3</x:v>
      </x:c>
      <x:c r="M676" s="34"/>
      <x:c r="N676" s="44" t="str">
        <x:v>03-Sep-2026 00:45:57.628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677">
      <x:c r="A677" s="36" t="n">
        <x:v>676</x:v>
      </x:c>
      <x:c r="B677" s="34" t="str">
        <x:v>article1-unified-v4-2-fb3f101b-20260903-000401-default-f04-p2-jcs321</x:v>
      </x:c>
      <x:c r="C677" s="34" t="str">
        <x:v>default</x:v>
      </x:c>
      <x:c r="D677" s="34" t="str">
        <x:v>jcs321</x:v>
      </x:c>
      <x:c r="E677" s="36" t="n">
        <x:v>4</x:v>
      </x:c>
      <x:c r="F677" s="36" t="n">
        <x:v>4</x:v>
      </x:c>
      <x:c r="G677" s="36"/>
      <x:c r="H677" s="34" t="str">
        <x:v>process-run-aggregate</x:v>
      </x:c>
      <x:c r="I677" s="36"/>
      <x:c r="J677" s="34" t="str">
        <x:v>thread-leak-warning</x:v>
      </x:c>
      <x:c r="K677" s="34" t="str">
        <x:v>threadLeakWarnings</x:v>
      </x:c>
      <x:c r="L677" s="36" t="n">
        <x:v>4</x:v>
      </x:c>
      <x:c r="M677" s="34"/>
      <x:c r="N677" s="44" t="str">
        <x:v>03-Sep-2026 00:46:40.513 WARNING [http-nio-8080-exec-4]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678">
      <x:c r="A678" s="36" t="n">
        <x:v>677</x:v>
      </x:c>
      <x:c r="B678" s="34" t="str">
        <x:v>article1-unified-v4-2-fb3f101b-20260903-000401-default-f04-p2-jcs321</x:v>
      </x:c>
      <x:c r="C678" s="34" t="str">
        <x:v>default</x:v>
      </x:c>
      <x:c r="D678" s="34" t="str">
        <x:v>jcs321</x:v>
      </x:c>
      <x:c r="E678" s="36" t="n">
        <x:v>4</x:v>
      </x:c>
      <x:c r="F678" s="36" t="n">
        <x:v>4</x:v>
      </x:c>
      <x:c r="G678" s="36"/>
      <x:c r="H678" s="34" t="str">
        <x:v>process-run-aggregate</x:v>
      </x:c>
      <x:c r="I678" s="36"/>
      <x:c r="J678" s="34" t="str">
        <x:v>thread-leak-warning</x:v>
      </x:c>
      <x:c r="K678" s="34" t="str">
        <x:v>threadLeakWarnings</x:v>
      </x:c>
      <x:c r="L678" s="36" t="n">
        <x:v>5</x:v>
      </x:c>
      <x:c r="M678" s="34"/>
      <x:c r="N678" s="44" t="str">
        <x:v>03-Sep-2026 00:47:26.432 WARNING [http-nio-8080-exec-26]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679">
      <x:c r="A679" s="36" t="n">
        <x:v>678</x:v>
      </x:c>
      <x:c r="B679" s="34" t="str">
        <x:v>article1-unified-v4-2-fb3f101b-20260903-000401-default-f04-p2-jcs321</x:v>
      </x:c>
      <x:c r="C679" s="34" t="str">
        <x:v>default</x:v>
      </x:c>
      <x:c r="D679" s="34" t="str">
        <x:v>jcs321</x:v>
      </x:c>
      <x:c r="E679" s="36" t="n">
        <x:v>4</x:v>
      </x:c>
      <x:c r="F679" s="36" t="n">
        <x:v>4</x:v>
      </x:c>
      <x:c r="G679" s="36"/>
      <x:c r="H679" s="34" t="str">
        <x:v>process-run-aggregate</x:v>
      </x:c>
      <x:c r="I679" s="36"/>
      <x:c r="J679" s="34" t="str">
        <x:v>thread-leak-warning</x:v>
      </x:c>
      <x:c r="K679" s="34" t="str">
        <x:v>threadLeakWarnings</x:v>
      </x:c>
      <x:c r="L679" s="36" t="n">
        <x:v>6</x:v>
      </x:c>
      <x:c r="M679" s="34"/>
      <x:c r="N679" s="44" t="str">
        <x:v>03-Sep-2026 00:48:09.247 WARNING [http-nio-8080-exec-31]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680">
      <x:c r="A680" s="36" t="n">
        <x:v>679</x:v>
      </x:c>
      <x:c r="B680" s="34" t="str">
        <x:v>article1-unified-v4-2-fb3f101b-20260903-000401-default-f04-p2-jcs321</x:v>
      </x:c>
      <x:c r="C680" s="34" t="str">
        <x:v>default</x:v>
      </x:c>
      <x:c r="D680" s="34" t="str">
        <x:v>jcs321</x:v>
      </x:c>
      <x:c r="E680" s="36" t="n">
        <x:v>4</x:v>
      </x:c>
      <x:c r="F680" s="36" t="n">
        <x:v>4</x:v>
      </x:c>
      <x:c r="G680" s="36"/>
      <x:c r="H680" s="34" t="str">
        <x:v>process-run-aggregate</x:v>
      </x:c>
      <x:c r="I680" s="36"/>
      <x:c r="J680" s="34" t="str">
        <x:v>thread-leak-warning</x:v>
      </x:c>
      <x:c r="K680" s="34" t="str">
        <x:v>threadLeakWarnings</x:v>
      </x:c>
      <x:c r="L680" s="36" t="n">
        <x:v>7</x:v>
      </x:c>
      <x:c r="M680" s="34"/>
      <x:c r="N680" s="44" t="str">
        <x:v>03-Sep-2026 00:48:55.368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681">
      <x:c r="A681" s="36" t="n">
        <x:v>680</x:v>
      </x:c>
      <x:c r="B681" s="34" t="str">
        <x:v>article1-unified-v4-2-fb3f101b-20260903-000401-default-f04-p2-jcs321</x:v>
      </x:c>
      <x:c r="C681" s="34" t="str">
        <x:v>default</x:v>
      </x:c>
      <x:c r="D681" s="34" t="str">
        <x:v>jcs321</x:v>
      </x:c>
      <x:c r="E681" s="36" t="n">
        <x:v>4</x:v>
      </x:c>
      <x:c r="F681" s="36" t="n">
        <x:v>4</x:v>
      </x:c>
      <x:c r="G681" s="36"/>
      <x:c r="H681" s="34" t="str">
        <x:v>process-run-aggregate</x:v>
      </x:c>
      <x:c r="I681" s="36"/>
      <x:c r="J681" s="34" t="str">
        <x:v>thread-leak-warning</x:v>
      </x:c>
      <x:c r="K681" s="34" t="str">
        <x:v>threadLeakWarnings</x:v>
      </x:c>
      <x:c r="L681" s="36" t="n">
        <x:v>8</x:v>
      </x:c>
      <x:c r="M681" s="34"/>
      <x:c r="N681" s="44" t="str">
        <x:v>03-Sep-2026 00:49:38.369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682">
      <x:c r="A682" s="36" t="n">
        <x:v>681</x:v>
      </x:c>
      <x:c r="B682" s="34" t="str">
        <x:v>article1-unified-v4-2-fb3f101b-20260903-000401-default-f04-p2-jcs321</x:v>
      </x:c>
      <x:c r="C682" s="34" t="str">
        <x:v>default</x:v>
      </x:c>
      <x:c r="D682" s="34" t="str">
        <x:v>jcs321</x:v>
      </x:c>
      <x:c r="E682" s="36" t="n">
        <x:v>4</x:v>
      </x:c>
      <x:c r="F682" s="36" t="n">
        <x:v>4</x:v>
      </x:c>
      <x:c r="G682" s="36"/>
      <x:c r="H682" s="34" t="str">
        <x:v>process-run-aggregate</x:v>
      </x:c>
      <x:c r="I682" s="36"/>
      <x:c r="J682" s="34" t="str">
        <x:v>thread-leak-warning</x:v>
      </x:c>
      <x:c r="K682" s="34" t="str">
        <x:v>threadLeakWarnings</x:v>
      </x:c>
      <x:c r="L682" s="36" t="n">
        <x:v>9</x:v>
      </x:c>
      <x:c r="M682" s="34"/>
      <x:c r="N682" s="44" t="str">
        <x:v>03-Sep-2026 00:50:24.600 WARNING [http-nio-8080-exec-56]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683">
      <x:c r="A683" s="36" t="n">
        <x:v>682</x:v>
      </x:c>
      <x:c r="B683" s="34" t="str">
        <x:v>article1-unified-v4-2-fb3f101b-20260903-000401-default-f04-p2-jcs321</x:v>
      </x:c>
      <x:c r="C683" s="34" t="str">
        <x:v>default</x:v>
      </x:c>
      <x:c r="D683" s="34" t="str">
        <x:v>jcs321</x:v>
      </x:c>
      <x:c r="E683" s="36" t="n">
        <x:v>4</x:v>
      </x:c>
      <x:c r="F683" s="36" t="n">
        <x:v>4</x:v>
      </x:c>
      <x:c r="G683" s="36"/>
      <x:c r="H683" s="34" t="str">
        <x:v>process-run-aggregate</x:v>
      </x:c>
      <x:c r="I683" s="36"/>
      <x:c r="J683" s="34" t="str">
        <x:v>thread-leak-warning</x:v>
      </x:c>
      <x:c r="K683" s="34" t="str">
        <x:v>threadLeakWarnings</x:v>
      </x:c>
      <x:c r="L683" s="36" t="n">
        <x:v>10</x:v>
      </x:c>
      <x:c r="M683" s="34"/>
      <x:c r="N683" s="44" t="str">
        <x:v>03-Sep-2026 00:51:07.628 WARNING [http-nio-8080-exec-47]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684">
      <x:c r="A684" s="36" t="n">
        <x:v>683</x:v>
      </x:c>
      <x:c r="B684" s="34" t="str">
        <x:v>article1-unified-v4-2-fb3f101b-20260903-000401-default-f04-p2-jcs321</x:v>
      </x:c>
      <x:c r="C684" s="34" t="str">
        <x:v>default</x:v>
      </x:c>
      <x:c r="D684" s="34" t="str">
        <x:v>jcs321</x:v>
      </x:c>
      <x:c r="E684" s="36" t="n">
        <x:v>4</x:v>
      </x:c>
      <x:c r="F684" s="36" t="n">
        <x:v>4</x:v>
      </x:c>
      <x:c r="G684" s="36" t="n">
        <x:v>1</x:v>
      </x:c>
      <x:c r="H684" s="34" t="str">
        <x:v>cycle-window</x:v>
      </x:c>
      <x:c r="I684" s="36" t="n">
        <x:v>1</x:v>
      </x:c>
      <x:c r="J684" s="34" t="str">
        <x:v>warning</x:v>
      </x:c>
      <x:c r="K684" s="34" t="str">
        <x:v>firstUndeployWarnings</x:v>
      </x:c>
      <x:c r="L684" s="36" t="n">
        <x:v>1</x:v>
      </x:c>
      <x:c r="M684" s="34"/>
      <x:c r="N684" s="44" t="str">
        <x:v>03-Sep-2026 00:44:29.105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685">
      <x:c r="A685" s="36" t="n">
        <x:v>684</x:v>
      </x:c>
      <x:c r="B685" s="34" t="str">
        <x:v>article1-unified-v4-2-fb3f101b-20260903-000401-default-f04-p2-jcs321</x:v>
      </x:c>
      <x:c r="C685" s="34" t="str">
        <x:v>default</x:v>
      </x:c>
      <x:c r="D685" s="34" t="str">
        <x:v>jcs321</x:v>
      </x:c>
      <x:c r="E685" s="36" t="n">
        <x:v>4</x:v>
      </x:c>
      <x:c r="F685" s="36" t="n">
        <x:v>4</x:v>
      </x:c>
      <x:c r="G685" s="36" t="n">
        <x:v>1</x:v>
      </x:c>
      <x:c r="H685" s="34" t="str">
        <x:v>cycle-window</x:v>
      </x:c>
      <x:c r="I685" s="36" t="n">
        <x:v>1</x:v>
      </x:c>
      <x:c r="J685" s="34" t="str">
        <x:v>leak-warning</x:v>
      </x:c>
      <x:c r="K685" s="34" t="str">
        <x:v>firstUndeployLeakWarnings</x:v>
      </x:c>
      <x:c r="L685" s="36" t="n">
        <x:v>1</x:v>
      </x:c>
      <x:c r="M685" s="34"/>
      <x:c r="N685" s="44" t="str">
        <x:v>03-Sep-2026 00:44:29.105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686">
      <x:c r="A686" s="36" t="n">
        <x:v>685</x:v>
      </x:c>
      <x:c r="B686" s="34" t="str">
        <x:v>article1-unified-v4-2-fb3f101b-20260903-000401-default-f04-p2-jcs321</x:v>
      </x:c>
      <x:c r="C686" s="34" t="str">
        <x:v>default</x:v>
      </x:c>
      <x:c r="D686" s="34" t="str">
        <x:v>jcs321</x:v>
      </x:c>
      <x:c r="E686" s="36" t="n">
        <x:v>4</x:v>
      </x:c>
      <x:c r="F686" s="36" t="n">
        <x:v>4</x:v>
      </x:c>
      <x:c r="G686" s="36" t="n">
        <x:v>1</x:v>
      </x:c>
      <x:c r="H686" s="34" t="str">
        <x:v>cycle-window</x:v>
      </x:c>
      <x:c r="I686" s="36" t="n">
        <x:v>1</x:v>
      </x:c>
      <x:c r="J686" s="34" t="str">
        <x:v>thread-leak-warning</x:v>
      </x:c>
      <x:c r="K686" s="34" t="str">
        <x:v>firstUndeployThreadLeakWarnings</x:v>
      </x:c>
      <x:c r="L686" s="36" t="n">
        <x:v>1</x:v>
      </x:c>
      <x:c r="M686" s="34"/>
      <x:c r="N686" s="44" t="str">
        <x:v>03-Sep-2026 00:44:29.105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687">
      <x:c r="A687" s="36" t="n">
        <x:v>686</x:v>
      </x:c>
      <x:c r="B687" s="34" t="str">
        <x:v>article1-unified-v4-2-fb3f101b-20260903-000401-default-f04-p2-jcs321</x:v>
      </x:c>
      <x:c r="C687" s="34" t="str">
        <x:v>default</x:v>
      </x:c>
      <x:c r="D687" s="34" t="str">
        <x:v>jcs321</x:v>
      </x:c>
      <x:c r="E687" s="36" t="n">
        <x:v>4</x:v>
      </x:c>
      <x:c r="F687" s="36" t="n">
        <x:v>4</x:v>
      </x:c>
      <x:c r="G687" s="36" t="n">
        <x:v>1</x:v>
      </x:c>
      <x:c r="H687" s="34" t="str">
        <x:v>cycle-window</x:v>
      </x:c>
      <x:c r="I687" s="36" t="n">
        <x:v>2</x:v>
      </x:c>
      <x:c r="J687" s="34" t="str">
        <x:v>warning</x:v>
      </x:c>
      <x:c r="K687" s="34" t="str">
        <x:v>secondUndeployWarnings</x:v>
      </x:c>
      <x:c r="L687" s="36" t="n">
        <x:v>1</x:v>
      </x:c>
      <x:c r="M687" s="34"/>
      <x:c r="N687" s="44" t="str">
        <x:v>03-Sep-2026 00:45:12.082 WARNING [http-nio-8080-exec-9]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688">
      <x:c r="A688" s="36" t="n">
        <x:v>687</x:v>
      </x:c>
      <x:c r="B688" s="34" t="str">
        <x:v>article1-unified-v4-2-fb3f101b-20260903-000401-default-f04-p2-jcs321</x:v>
      </x:c>
      <x:c r="C688" s="34" t="str">
        <x:v>default</x:v>
      </x:c>
      <x:c r="D688" s="34" t="str">
        <x:v>jcs321</x:v>
      </x:c>
      <x:c r="E688" s="36" t="n">
        <x:v>4</x:v>
      </x:c>
      <x:c r="F688" s="36" t="n">
        <x:v>4</x:v>
      </x:c>
      <x:c r="G688" s="36" t="n">
        <x:v>1</x:v>
      </x:c>
      <x:c r="H688" s="34" t="str">
        <x:v>cycle-window</x:v>
      </x:c>
      <x:c r="I688" s="36" t="n">
        <x:v>2</x:v>
      </x:c>
      <x:c r="J688" s="34" t="str">
        <x:v>leak-warning</x:v>
      </x:c>
      <x:c r="K688" s="34" t="str">
        <x:v>secondUndeployLeakWarnings</x:v>
      </x:c>
      <x:c r="L688" s="36" t="n">
        <x:v>1</x:v>
      </x:c>
      <x:c r="M688" s="34"/>
      <x:c r="N688" s="44" t="str">
        <x:v>03-Sep-2026 00:45:12.082 WARNING [http-nio-8080-exec-9]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689">
      <x:c r="A689" s="36" t="n">
        <x:v>688</x:v>
      </x:c>
      <x:c r="B689" s="34" t="str">
        <x:v>article1-unified-v4-2-fb3f101b-20260903-000401-default-f04-p2-jcs321</x:v>
      </x:c>
      <x:c r="C689" s="34" t="str">
        <x:v>default</x:v>
      </x:c>
      <x:c r="D689" s="34" t="str">
        <x:v>jcs321</x:v>
      </x:c>
      <x:c r="E689" s="36" t="n">
        <x:v>4</x:v>
      </x:c>
      <x:c r="F689" s="36" t="n">
        <x:v>4</x:v>
      </x:c>
      <x:c r="G689" s="36" t="n">
        <x:v>1</x:v>
      </x:c>
      <x:c r="H689" s="34" t="str">
        <x:v>cycle-window</x:v>
      </x:c>
      <x:c r="I689" s="36" t="n">
        <x:v>2</x:v>
      </x:c>
      <x:c r="J689" s="34" t="str">
        <x:v>thread-leak-warning</x:v>
      </x:c>
      <x:c r="K689" s="34" t="str">
        <x:v>secondUndeployThreadLeakWarnings</x:v>
      </x:c>
      <x:c r="L689" s="36" t="n">
        <x:v>1</x:v>
      </x:c>
      <x:c r="M689" s="34"/>
      <x:c r="N689" s="44" t="str">
        <x:v>03-Sep-2026 00:45:12.082 WARNING [http-nio-8080-exec-9]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690">
      <x:c r="A690" s="36" t="n">
        <x:v>689</x:v>
      </x:c>
      <x:c r="B690" s="34" t="str">
        <x:v>article1-unified-v4-2-fb3f101b-20260903-000401-default-f04-p2-jcs321</x:v>
      </x:c>
      <x:c r="C690" s="34" t="str">
        <x:v>default</x:v>
      </x:c>
      <x:c r="D690" s="34" t="str">
        <x:v>jcs321</x:v>
      </x:c>
      <x:c r="E690" s="36" t="n">
        <x:v>4</x:v>
      </x:c>
      <x:c r="F690" s="36" t="n">
        <x:v>4</x:v>
      </x:c>
      <x:c r="G690" s="36" t="n">
        <x:v>1</x:v>
      </x:c>
      <x:c r="H690" s="34" t="str">
        <x:v>cycle-observation</x:v>
      </x:c>
      <x:c r="I690" s="36" t="n">
        <x:v>1</x:v>
      </x:c>
      <x:c r="J690" s="34" t="str">
        <x:v>tomcat-findleaks-occurrence</x:v>
      </x:c>
      <x:c r="K690" s="34" t="str">
        <x:v>afterUndeploy.tomcatFindLeaksOccurrences</x:v>
      </x:c>
      <x:c r="L690" s="36" t="n">
        <x:v>1</x:v>
      </x:c>
      <x:c r="M690" s="34" t="str">
        <x:v>/jcs321</x:v>
      </x:c>
      <x:c r="N690" s="44" t="str">
        <x:v>/jcs321</x:v>
      </x:c>
    </x:row>
    <x:row r="691">
      <x:c r="A691" s="36" t="n">
        <x:v>690</x:v>
      </x:c>
      <x:c r="B691" s="34" t="str">
        <x:v>article1-unified-v4-2-fb3f101b-20260903-000401-default-f04-p2-jcs321</x:v>
      </x:c>
      <x:c r="C691" s="34" t="str">
        <x:v>default</x:v>
      </x:c>
      <x:c r="D691" s="34" t="str">
        <x:v>jcs321</x:v>
      </x:c>
      <x:c r="E691" s="36" t="n">
        <x:v>4</x:v>
      </x:c>
      <x:c r="F691" s="36" t="n">
        <x:v>4</x:v>
      </x:c>
      <x:c r="G691" s="36" t="n">
        <x:v>1</x:v>
      </x:c>
      <x:c r="H691" s="34" t="str">
        <x:v>cycle-observation</x:v>
      </x:c>
      <x:c r="I691" s="36" t="n">
        <x:v>2</x:v>
      </x:c>
      <x:c r="J691" s="34" t="str">
        <x:v>tomcat-findleaks-occurrence</x:v>
      </x:c>
      <x:c r="K691" s="34" t="str">
        <x:v>afterFinalUndeploy.tomcatFindLeaksOccurrences</x:v>
      </x:c>
      <x:c r="L691" s="36" t="n">
        <x:v>1</x:v>
      </x:c>
      <x:c r="M691" s="34" t="str">
        <x:v>/jcs321</x:v>
      </x:c>
      <x:c r="N691" s="44" t="str">
        <x:v>/jcs321</x:v>
      </x:c>
    </x:row>
    <x:row r="692">
      <x:c r="A692" s="36" t="n">
        <x:v>691</x:v>
      </x:c>
      <x:c r="B692" s="34" t="str">
        <x:v>article1-unified-v4-2-fb3f101b-20260903-000401-default-f04-p2-jcs321</x:v>
      </x:c>
      <x:c r="C692" s="34" t="str">
        <x:v>default</x:v>
      </x:c>
      <x:c r="D692" s="34" t="str">
        <x:v>jcs321</x:v>
      </x:c>
      <x:c r="E692" s="36" t="n">
        <x:v>4</x:v>
      </x:c>
      <x:c r="F692" s="36" t="n">
        <x:v>4</x:v>
      </x:c>
      <x:c r="G692" s="36" t="n">
        <x:v>1</x:v>
      </x:c>
      <x:c r="H692" s="34" t="str">
        <x:v>cycle-observation</x:v>
      </x:c>
      <x:c r="I692" s="36" t="n">
        <x:v>2</x:v>
      </x:c>
      <x:c r="J692" s="34" t="str">
        <x:v>tomcat-findleaks-occurrence</x:v>
      </x:c>
      <x:c r="K692" s="34" t="str">
        <x:v>afterFinalUndeploy.tomcatFindLeaksOccurrences</x:v>
      </x:c>
      <x:c r="L692" s="36" t="n">
        <x:v>2</x:v>
      </x:c>
      <x:c r="M692" s="34" t="str">
        <x:v>/jcs321</x:v>
      </x:c>
      <x:c r="N692" s="44" t="str">
        <x:v>/jcs321</x:v>
      </x:c>
    </x:row>
    <x:row r="693">
      <x:c r="A693" s="36" t="n">
        <x:v>692</x:v>
      </x:c>
      <x:c r="B693" s="34" t="str">
        <x:v>article1-unified-v4-2-fb3f101b-20260903-000401-default-f04-p2-jcs321</x:v>
      </x:c>
      <x:c r="C693" s="34" t="str">
        <x:v>default</x:v>
      </x:c>
      <x:c r="D693" s="34" t="str">
        <x:v>jcs321</x:v>
      </x:c>
      <x:c r="E693" s="36" t="n">
        <x:v>4</x:v>
      </x:c>
      <x:c r="F693" s="36" t="n">
        <x:v>4</x:v>
      </x:c>
      <x:c r="G693" s="36" t="n">
        <x:v>2</x:v>
      </x:c>
      <x:c r="H693" s="34" t="str">
        <x:v>cycle-window</x:v>
      </x:c>
      <x:c r="I693" s="36" t="n">
        <x:v>1</x:v>
      </x:c>
      <x:c r="J693" s="34" t="str">
        <x:v>warning</x:v>
      </x:c>
      <x:c r="K693" s="34" t="str">
        <x:v>firstUndeployWarnings</x:v>
      </x:c>
      <x:c r="L693" s="36" t="n">
        <x:v>1</x:v>
      </x:c>
      <x:c r="M693" s="34"/>
      <x:c r="N693" s="44" t="str">
        <x:v>03-Sep-2026 00:45:57.628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694">
      <x:c r="A694" s="36" t="n">
        <x:v>693</x:v>
      </x:c>
      <x:c r="B694" s="34" t="str">
        <x:v>article1-unified-v4-2-fb3f101b-20260903-000401-default-f04-p2-jcs321</x:v>
      </x:c>
      <x:c r="C694" s="34" t="str">
        <x:v>default</x:v>
      </x:c>
      <x:c r="D694" s="34" t="str">
        <x:v>jcs321</x:v>
      </x:c>
      <x:c r="E694" s="36" t="n">
        <x:v>4</x:v>
      </x:c>
      <x:c r="F694" s="36" t="n">
        <x:v>4</x:v>
      </x:c>
      <x:c r="G694" s="36" t="n">
        <x:v>2</x:v>
      </x:c>
      <x:c r="H694" s="34" t="str">
        <x:v>cycle-window</x:v>
      </x:c>
      <x:c r="I694" s="36" t="n">
        <x:v>1</x:v>
      </x:c>
      <x:c r="J694" s="34" t="str">
        <x:v>leak-warning</x:v>
      </x:c>
      <x:c r="K694" s="34" t="str">
        <x:v>firstUndeployLeakWarnings</x:v>
      </x:c>
      <x:c r="L694" s="36" t="n">
        <x:v>1</x:v>
      </x:c>
      <x:c r="M694" s="34"/>
      <x:c r="N694" s="44" t="str">
        <x:v>03-Sep-2026 00:45:57.628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695">
      <x:c r="A695" s="36" t="n">
        <x:v>694</x:v>
      </x:c>
      <x:c r="B695" s="34" t="str">
        <x:v>article1-unified-v4-2-fb3f101b-20260903-000401-default-f04-p2-jcs321</x:v>
      </x:c>
      <x:c r="C695" s="34" t="str">
        <x:v>default</x:v>
      </x:c>
      <x:c r="D695" s="34" t="str">
        <x:v>jcs321</x:v>
      </x:c>
      <x:c r="E695" s="36" t="n">
        <x:v>4</x:v>
      </x:c>
      <x:c r="F695" s="36" t="n">
        <x:v>4</x:v>
      </x:c>
      <x:c r="G695" s="36" t="n">
        <x:v>2</x:v>
      </x:c>
      <x:c r="H695" s="34" t="str">
        <x:v>cycle-window</x:v>
      </x:c>
      <x:c r="I695" s="36" t="n">
        <x:v>1</x:v>
      </x:c>
      <x:c r="J695" s="34" t="str">
        <x:v>thread-leak-warning</x:v>
      </x:c>
      <x:c r="K695" s="34" t="str">
        <x:v>firstUndeployThreadLeakWarnings</x:v>
      </x:c>
      <x:c r="L695" s="36" t="n">
        <x:v>1</x:v>
      </x:c>
      <x:c r="M695" s="34"/>
      <x:c r="N695" s="44" t="str">
        <x:v>03-Sep-2026 00:45:57.628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696">
      <x:c r="A696" s="36" t="n">
        <x:v>695</x:v>
      </x:c>
      <x:c r="B696" s="34" t="str">
        <x:v>article1-unified-v4-2-fb3f101b-20260903-000401-default-f04-p2-jcs321</x:v>
      </x:c>
      <x:c r="C696" s="34" t="str">
        <x:v>default</x:v>
      </x:c>
      <x:c r="D696" s="34" t="str">
        <x:v>jcs321</x:v>
      </x:c>
      <x:c r="E696" s="36" t="n">
        <x:v>4</x:v>
      </x:c>
      <x:c r="F696" s="36" t="n">
        <x:v>4</x:v>
      </x:c>
      <x:c r="G696" s="36" t="n">
        <x:v>2</x:v>
      </x:c>
      <x:c r="H696" s="34" t="str">
        <x:v>cycle-window</x:v>
      </x:c>
      <x:c r="I696" s="36" t="n">
        <x:v>2</x:v>
      </x:c>
      <x:c r="J696" s="34" t="str">
        <x:v>warning</x:v>
      </x:c>
      <x:c r="K696" s="34" t="str">
        <x:v>secondUndeployWarnings</x:v>
      </x:c>
      <x:c r="L696" s="36" t="n">
        <x:v>1</x:v>
      </x:c>
      <x:c r="M696" s="34"/>
      <x:c r="N696" s="44" t="str">
        <x:v>03-Sep-2026 00:46:40.513 WARNING [http-nio-8080-exec-4]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697">
      <x:c r="A697" s="36" t="n">
        <x:v>696</x:v>
      </x:c>
      <x:c r="B697" s="34" t="str">
        <x:v>article1-unified-v4-2-fb3f101b-20260903-000401-default-f04-p2-jcs321</x:v>
      </x:c>
      <x:c r="C697" s="34" t="str">
        <x:v>default</x:v>
      </x:c>
      <x:c r="D697" s="34" t="str">
        <x:v>jcs321</x:v>
      </x:c>
      <x:c r="E697" s="36" t="n">
        <x:v>4</x:v>
      </x:c>
      <x:c r="F697" s="36" t="n">
        <x:v>4</x:v>
      </x:c>
      <x:c r="G697" s="36" t="n">
        <x:v>2</x:v>
      </x:c>
      <x:c r="H697" s="34" t="str">
        <x:v>cycle-window</x:v>
      </x:c>
      <x:c r="I697" s="36" t="n">
        <x:v>2</x:v>
      </x:c>
      <x:c r="J697" s="34" t="str">
        <x:v>leak-warning</x:v>
      </x:c>
      <x:c r="K697" s="34" t="str">
        <x:v>secondUndeployLeakWarnings</x:v>
      </x:c>
      <x:c r="L697" s="36" t="n">
        <x:v>1</x:v>
      </x:c>
      <x:c r="M697" s="34"/>
      <x:c r="N697" s="44" t="str">
        <x:v>03-Sep-2026 00:46:40.513 WARNING [http-nio-8080-exec-4]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698">
      <x:c r="A698" s="36" t="n">
        <x:v>697</x:v>
      </x:c>
      <x:c r="B698" s="34" t="str">
        <x:v>article1-unified-v4-2-fb3f101b-20260903-000401-default-f04-p2-jcs321</x:v>
      </x:c>
      <x:c r="C698" s="34" t="str">
        <x:v>default</x:v>
      </x:c>
      <x:c r="D698" s="34" t="str">
        <x:v>jcs321</x:v>
      </x:c>
      <x:c r="E698" s="36" t="n">
        <x:v>4</x:v>
      </x:c>
      <x:c r="F698" s="36" t="n">
        <x:v>4</x:v>
      </x:c>
      <x:c r="G698" s="36" t="n">
        <x:v>2</x:v>
      </x:c>
      <x:c r="H698" s="34" t="str">
        <x:v>cycle-window</x:v>
      </x:c>
      <x:c r="I698" s="36" t="n">
        <x:v>2</x:v>
      </x:c>
      <x:c r="J698" s="34" t="str">
        <x:v>thread-leak-warning</x:v>
      </x:c>
      <x:c r="K698" s="34" t="str">
        <x:v>secondUndeployThreadLeakWarnings</x:v>
      </x:c>
      <x:c r="L698" s="36" t="n">
        <x:v>1</x:v>
      </x:c>
      <x:c r="M698" s="34"/>
      <x:c r="N698" s="44" t="str">
        <x:v>03-Sep-2026 00:46:40.513 WARNING [http-nio-8080-exec-4]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699">
      <x:c r="A699" s="36" t="n">
        <x:v>698</x:v>
      </x:c>
      <x:c r="B699" s="34" t="str">
        <x:v>article1-unified-v4-2-fb3f101b-20260903-000401-default-f04-p2-jcs321</x:v>
      </x:c>
      <x:c r="C699" s="34" t="str">
        <x:v>default</x:v>
      </x:c>
      <x:c r="D699" s="34" t="str">
        <x:v>jcs321</x:v>
      </x:c>
      <x:c r="E699" s="36" t="n">
        <x:v>4</x:v>
      </x:c>
      <x:c r="F699" s="36" t="n">
        <x:v>4</x:v>
      </x:c>
      <x:c r="G699" s="36" t="n">
        <x:v>2</x:v>
      </x:c>
      <x:c r="H699" s="34" t="str">
        <x:v>cycle-observation</x:v>
      </x:c>
      <x:c r="I699" s="36" t="n">
        <x:v>1</x:v>
      </x:c>
      <x:c r="J699" s="34" t="str">
        <x:v>tomcat-findleaks-occurrence</x:v>
      </x:c>
      <x:c r="K699" s="34" t="str">
        <x:v>afterUndeploy.tomcatFindLeaksOccurrences</x:v>
      </x:c>
      <x:c r="L699" s="36" t="n">
        <x:v>1</x:v>
      </x:c>
      <x:c r="M699" s="34" t="str">
        <x:v>/jcs321</x:v>
      </x:c>
      <x:c r="N699" s="44" t="str">
        <x:v>/jcs321</x:v>
      </x:c>
    </x:row>
    <x:row r="700">
      <x:c r="A700" s="36" t="n">
        <x:v>699</x:v>
      </x:c>
      <x:c r="B700" s="34" t="str">
        <x:v>article1-unified-v4-2-fb3f101b-20260903-000401-default-f04-p2-jcs321</x:v>
      </x:c>
      <x:c r="C700" s="34" t="str">
        <x:v>default</x:v>
      </x:c>
      <x:c r="D700" s="34" t="str">
        <x:v>jcs321</x:v>
      </x:c>
      <x:c r="E700" s="36" t="n">
        <x:v>4</x:v>
      </x:c>
      <x:c r="F700" s="36" t="n">
        <x:v>4</x:v>
      </x:c>
      <x:c r="G700" s="36" t="n">
        <x:v>2</x:v>
      </x:c>
      <x:c r="H700" s="34" t="str">
        <x:v>cycle-observation</x:v>
      </x:c>
      <x:c r="I700" s="36" t="n">
        <x:v>1</x:v>
      </x:c>
      <x:c r="J700" s="34" t="str">
        <x:v>tomcat-findleaks-occurrence</x:v>
      </x:c>
      <x:c r="K700" s="34" t="str">
        <x:v>afterUndeploy.tomcatFindLeaksOccurrences</x:v>
      </x:c>
      <x:c r="L700" s="36" t="n">
        <x:v>2</x:v>
      </x:c>
      <x:c r="M700" s="34" t="str">
        <x:v>/jcs321</x:v>
      </x:c>
      <x:c r="N700" s="44" t="str">
        <x:v>/jcs321</x:v>
      </x:c>
    </x:row>
    <x:row r="701">
      <x:c r="A701" s="36" t="n">
        <x:v>700</x:v>
      </x:c>
      <x:c r="B701" s="34" t="str">
        <x:v>article1-unified-v4-2-fb3f101b-20260903-000401-default-f04-p2-jcs321</x:v>
      </x:c>
      <x:c r="C701" s="34" t="str">
        <x:v>default</x:v>
      </x:c>
      <x:c r="D701" s="34" t="str">
        <x:v>jcs321</x:v>
      </x:c>
      <x:c r="E701" s="36" t="n">
        <x:v>4</x:v>
      </x:c>
      <x:c r="F701" s="36" t="n">
        <x:v>4</x:v>
      </x:c>
      <x:c r="G701" s="36" t="n">
        <x:v>2</x:v>
      </x:c>
      <x:c r="H701" s="34" t="str">
        <x:v>cycle-observation</x:v>
      </x:c>
      <x:c r="I701" s="36" t="n">
        <x:v>1</x:v>
      </x:c>
      <x:c r="J701" s="34" t="str">
        <x:v>tomcat-findleaks-occurrence</x:v>
      </x:c>
      <x:c r="K701" s="34" t="str">
        <x:v>afterUndeploy.tomcatFindLeaksOccurrences</x:v>
      </x:c>
      <x:c r="L701" s="36" t="n">
        <x:v>3</x:v>
      </x:c>
      <x:c r="M701" s="34" t="str">
        <x:v>/jcs321</x:v>
      </x:c>
      <x:c r="N701" s="44" t="str">
        <x:v>/jcs321</x:v>
      </x:c>
    </x:row>
    <x:row r="702">
      <x:c r="A702" s="36" t="n">
        <x:v>701</x:v>
      </x:c>
      <x:c r="B702" s="34" t="str">
        <x:v>article1-unified-v4-2-fb3f101b-20260903-000401-default-f04-p2-jcs321</x:v>
      </x:c>
      <x:c r="C702" s="34" t="str">
        <x:v>default</x:v>
      </x:c>
      <x:c r="D702" s="34" t="str">
        <x:v>jcs321</x:v>
      </x:c>
      <x:c r="E702" s="36" t="n">
        <x:v>4</x:v>
      </x:c>
      <x:c r="F702" s="36" t="n">
        <x:v>4</x:v>
      </x:c>
      <x:c r="G702" s="36" t="n">
        <x:v>2</x:v>
      </x:c>
      <x:c r="H702" s="34" t="str">
        <x:v>cycle-observation</x:v>
      </x:c>
      <x:c r="I702" s="36" t="n">
        <x:v>2</x:v>
      </x:c>
      <x:c r="J702" s="34" t="str">
        <x:v>tomcat-findleaks-occurrence</x:v>
      </x:c>
      <x:c r="K702" s="34" t="str">
        <x:v>afterFinalUndeploy.tomcatFindLeaksOccurrences</x:v>
      </x:c>
      <x:c r="L702" s="36" t="n">
        <x:v>1</x:v>
      </x:c>
      <x:c r="M702" s="34" t="str">
        <x:v>/jcs321</x:v>
      </x:c>
      <x:c r="N702" s="44" t="str">
        <x:v>/jcs321</x:v>
      </x:c>
    </x:row>
    <x:row r="703">
      <x:c r="A703" s="36" t="n">
        <x:v>702</x:v>
      </x:c>
      <x:c r="B703" s="34" t="str">
        <x:v>article1-unified-v4-2-fb3f101b-20260903-000401-default-f04-p2-jcs321</x:v>
      </x:c>
      <x:c r="C703" s="34" t="str">
        <x:v>default</x:v>
      </x:c>
      <x:c r="D703" s="34" t="str">
        <x:v>jcs321</x:v>
      </x:c>
      <x:c r="E703" s="36" t="n">
        <x:v>4</x:v>
      </x:c>
      <x:c r="F703" s="36" t="n">
        <x:v>4</x:v>
      </x:c>
      <x:c r="G703" s="36" t="n">
        <x:v>2</x:v>
      </x:c>
      <x:c r="H703" s="34" t="str">
        <x:v>cycle-observation</x:v>
      </x:c>
      <x:c r="I703" s="36" t="n">
        <x:v>2</x:v>
      </x:c>
      <x:c r="J703" s="34" t="str">
        <x:v>tomcat-findleaks-occurrence</x:v>
      </x:c>
      <x:c r="K703" s="34" t="str">
        <x:v>afterFinalUndeploy.tomcatFindLeaksOccurrences</x:v>
      </x:c>
      <x:c r="L703" s="36" t="n">
        <x:v>2</x:v>
      </x:c>
      <x:c r="M703" s="34" t="str">
        <x:v>/jcs321</x:v>
      </x:c>
      <x:c r="N703" s="44" t="str">
        <x:v>/jcs321</x:v>
      </x:c>
    </x:row>
    <x:row r="704">
      <x:c r="A704" s="36" t="n">
        <x:v>703</x:v>
      </x:c>
      <x:c r="B704" s="34" t="str">
        <x:v>article1-unified-v4-2-fb3f101b-20260903-000401-default-f04-p2-jcs321</x:v>
      </x:c>
      <x:c r="C704" s="34" t="str">
        <x:v>default</x:v>
      </x:c>
      <x:c r="D704" s="34" t="str">
        <x:v>jcs321</x:v>
      </x:c>
      <x:c r="E704" s="36" t="n">
        <x:v>4</x:v>
      </x:c>
      <x:c r="F704" s="36" t="n">
        <x:v>4</x:v>
      </x:c>
      <x:c r="G704" s="36" t="n">
        <x:v>2</x:v>
      </x:c>
      <x:c r="H704" s="34" t="str">
        <x:v>cycle-observation</x:v>
      </x:c>
      <x:c r="I704" s="36" t="n">
        <x:v>2</x:v>
      </x:c>
      <x:c r="J704" s="34" t="str">
        <x:v>tomcat-findleaks-occurrence</x:v>
      </x:c>
      <x:c r="K704" s="34" t="str">
        <x:v>afterFinalUndeploy.tomcatFindLeaksOccurrences</x:v>
      </x:c>
      <x:c r="L704" s="36" t="n">
        <x:v>3</x:v>
      </x:c>
      <x:c r="M704" s="34" t="str">
        <x:v>/jcs321</x:v>
      </x:c>
      <x:c r="N704" s="44" t="str">
        <x:v>/jcs321</x:v>
      </x:c>
    </x:row>
    <x:row r="705">
      <x:c r="A705" s="36" t="n">
        <x:v>704</x:v>
      </x:c>
      <x:c r="B705" s="34" t="str">
        <x:v>article1-unified-v4-2-fb3f101b-20260903-000401-default-f04-p2-jcs321</x:v>
      </x:c>
      <x:c r="C705" s="34" t="str">
        <x:v>default</x:v>
      </x:c>
      <x:c r="D705" s="34" t="str">
        <x:v>jcs321</x:v>
      </x:c>
      <x:c r="E705" s="36" t="n">
        <x:v>4</x:v>
      </x:c>
      <x:c r="F705" s="36" t="n">
        <x:v>4</x:v>
      </x:c>
      <x:c r="G705" s="36" t="n">
        <x:v>2</x:v>
      </x:c>
      <x:c r="H705" s="34" t="str">
        <x:v>cycle-observation</x:v>
      </x:c>
      <x:c r="I705" s="36" t="n">
        <x:v>2</x:v>
      </x:c>
      <x:c r="J705" s="34" t="str">
        <x:v>tomcat-findleaks-occurrence</x:v>
      </x:c>
      <x:c r="K705" s="34" t="str">
        <x:v>afterFinalUndeploy.tomcatFindLeaksOccurrences</x:v>
      </x:c>
      <x:c r="L705" s="36" t="n">
        <x:v>4</x:v>
      </x:c>
      <x:c r="M705" s="34" t="str">
        <x:v>/jcs321</x:v>
      </x:c>
      <x:c r="N705" s="44" t="str">
        <x:v>/jcs321</x:v>
      </x:c>
    </x:row>
    <x:row r="706">
      <x:c r="A706" s="36" t="n">
        <x:v>705</x:v>
      </x:c>
      <x:c r="B706" s="34" t="str">
        <x:v>article1-unified-v4-2-fb3f101b-20260903-000401-default-f04-p2-jcs321</x:v>
      </x:c>
      <x:c r="C706" s="34" t="str">
        <x:v>default</x:v>
      </x:c>
      <x:c r="D706" s="34" t="str">
        <x:v>jcs321</x:v>
      </x:c>
      <x:c r="E706" s="36" t="n">
        <x:v>4</x:v>
      </x:c>
      <x:c r="F706" s="36" t="n">
        <x:v>4</x:v>
      </x:c>
      <x:c r="G706" s="36" t="n">
        <x:v>3</x:v>
      </x:c>
      <x:c r="H706" s="34" t="str">
        <x:v>cycle-window</x:v>
      </x:c>
      <x:c r="I706" s="36" t="n">
        <x:v>1</x:v>
      </x:c>
      <x:c r="J706" s="34" t="str">
        <x:v>warning</x:v>
      </x:c>
      <x:c r="K706" s="34" t="str">
        <x:v>firstUndeployWarnings</x:v>
      </x:c>
      <x:c r="L706" s="36" t="n">
        <x:v>1</x:v>
      </x:c>
      <x:c r="M706" s="34"/>
      <x:c r="N706" s="44" t="str">
        <x:v>03-Sep-2026 00:47:26.432 WARNING [http-nio-8080-exec-26]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707">
      <x:c r="A707" s="36" t="n">
        <x:v>706</x:v>
      </x:c>
      <x:c r="B707" s="34" t="str">
        <x:v>article1-unified-v4-2-fb3f101b-20260903-000401-default-f04-p2-jcs321</x:v>
      </x:c>
      <x:c r="C707" s="34" t="str">
        <x:v>default</x:v>
      </x:c>
      <x:c r="D707" s="34" t="str">
        <x:v>jcs321</x:v>
      </x:c>
      <x:c r="E707" s="36" t="n">
        <x:v>4</x:v>
      </x:c>
      <x:c r="F707" s="36" t="n">
        <x:v>4</x:v>
      </x:c>
      <x:c r="G707" s="36" t="n">
        <x:v>3</x:v>
      </x:c>
      <x:c r="H707" s="34" t="str">
        <x:v>cycle-window</x:v>
      </x:c>
      <x:c r="I707" s="36" t="n">
        <x:v>1</x:v>
      </x:c>
      <x:c r="J707" s="34" t="str">
        <x:v>leak-warning</x:v>
      </x:c>
      <x:c r="K707" s="34" t="str">
        <x:v>firstUndeployLeakWarnings</x:v>
      </x:c>
      <x:c r="L707" s="36" t="n">
        <x:v>1</x:v>
      </x:c>
      <x:c r="M707" s="34"/>
      <x:c r="N707" s="44" t="str">
        <x:v>03-Sep-2026 00:47:26.432 WARNING [http-nio-8080-exec-26]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708">
      <x:c r="A708" s="36" t="n">
        <x:v>707</x:v>
      </x:c>
      <x:c r="B708" s="34" t="str">
        <x:v>article1-unified-v4-2-fb3f101b-20260903-000401-default-f04-p2-jcs321</x:v>
      </x:c>
      <x:c r="C708" s="34" t="str">
        <x:v>default</x:v>
      </x:c>
      <x:c r="D708" s="34" t="str">
        <x:v>jcs321</x:v>
      </x:c>
      <x:c r="E708" s="36" t="n">
        <x:v>4</x:v>
      </x:c>
      <x:c r="F708" s="36" t="n">
        <x:v>4</x:v>
      </x:c>
      <x:c r="G708" s="36" t="n">
        <x:v>3</x:v>
      </x:c>
      <x:c r="H708" s="34" t="str">
        <x:v>cycle-window</x:v>
      </x:c>
      <x:c r="I708" s="36" t="n">
        <x:v>1</x:v>
      </x:c>
      <x:c r="J708" s="34" t="str">
        <x:v>thread-leak-warning</x:v>
      </x:c>
      <x:c r="K708" s="34" t="str">
        <x:v>firstUndeployThreadLeakWarnings</x:v>
      </x:c>
      <x:c r="L708" s="36" t="n">
        <x:v>1</x:v>
      </x:c>
      <x:c r="M708" s="34"/>
      <x:c r="N708" s="44" t="str">
        <x:v>03-Sep-2026 00:47:26.432 WARNING [http-nio-8080-exec-26]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709">
      <x:c r="A709" s="36" t="n">
        <x:v>708</x:v>
      </x:c>
      <x:c r="B709" s="34" t="str">
        <x:v>article1-unified-v4-2-fb3f101b-20260903-000401-default-f04-p2-jcs321</x:v>
      </x:c>
      <x:c r="C709" s="34" t="str">
        <x:v>default</x:v>
      </x:c>
      <x:c r="D709" s="34" t="str">
        <x:v>jcs321</x:v>
      </x:c>
      <x:c r="E709" s="36" t="n">
        <x:v>4</x:v>
      </x:c>
      <x:c r="F709" s="36" t="n">
        <x:v>4</x:v>
      </x:c>
      <x:c r="G709" s="36" t="n">
        <x:v>3</x:v>
      </x:c>
      <x:c r="H709" s="34" t="str">
        <x:v>cycle-window</x:v>
      </x:c>
      <x:c r="I709" s="36" t="n">
        <x:v>2</x:v>
      </x:c>
      <x:c r="J709" s="34" t="str">
        <x:v>warning</x:v>
      </x:c>
      <x:c r="K709" s="34" t="str">
        <x:v>secondUndeployWarnings</x:v>
      </x:c>
      <x:c r="L709" s="36" t="n">
        <x:v>1</x:v>
      </x:c>
      <x:c r="M709" s="34"/>
      <x:c r="N709" s="44" t="str">
        <x:v>03-Sep-2026 00:48:09.247 WARNING [http-nio-8080-exec-31]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710">
      <x:c r="A710" s="36" t="n">
        <x:v>709</x:v>
      </x:c>
      <x:c r="B710" s="34" t="str">
        <x:v>article1-unified-v4-2-fb3f101b-20260903-000401-default-f04-p2-jcs321</x:v>
      </x:c>
      <x:c r="C710" s="34" t="str">
        <x:v>default</x:v>
      </x:c>
      <x:c r="D710" s="34" t="str">
        <x:v>jcs321</x:v>
      </x:c>
      <x:c r="E710" s="36" t="n">
        <x:v>4</x:v>
      </x:c>
      <x:c r="F710" s="36" t="n">
        <x:v>4</x:v>
      </x:c>
      <x:c r="G710" s="36" t="n">
        <x:v>3</x:v>
      </x:c>
      <x:c r="H710" s="34" t="str">
        <x:v>cycle-window</x:v>
      </x:c>
      <x:c r="I710" s="36" t="n">
        <x:v>2</x:v>
      </x:c>
      <x:c r="J710" s="34" t="str">
        <x:v>leak-warning</x:v>
      </x:c>
      <x:c r="K710" s="34" t="str">
        <x:v>secondUndeployLeakWarnings</x:v>
      </x:c>
      <x:c r="L710" s="36" t="n">
        <x:v>1</x:v>
      </x:c>
      <x:c r="M710" s="34"/>
      <x:c r="N710" s="44" t="str">
        <x:v>03-Sep-2026 00:48:09.247 WARNING [http-nio-8080-exec-31]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711">
      <x:c r="A711" s="36" t="n">
        <x:v>710</x:v>
      </x:c>
      <x:c r="B711" s="34" t="str">
        <x:v>article1-unified-v4-2-fb3f101b-20260903-000401-default-f04-p2-jcs321</x:v>
      </x:c>
      <x:c r="C711" s="34" t="str">
        <x:v>default</x:v>
      </x:c>
      <x:c r="D711" s="34" t="str">
        <x:v>jcs321</x:v>
      </x:c>
      <x:c r="E711" s="36" t="n">
        <x:v>4</x:v>
      </x:c>
      <x:c r="F711" s="36" t="n">
        <x:v>4</x:v>
      </x:c>
      <x:c r="G711" s="36" t="n">
        <x:v>3</x:v>
      </x:c>
      <x:c r="H711" s="34" t="str">
        <x:v>cycle-window</x:v>
      </x:c>
      <x:c r="I711" s="36" t="n">
        <x:v>2</x:v>
      </x:c>
      <x:c r="J711" s="34" t="str">
        <x:v>thread-leak-warning</x:v>
      </x:c>
      <x:c r="K711" s="34" t="str">
        <x:v>secondUndeployThreadLeakWarnings</x:v>
      </x:c>
      <x:c r="L711" s="36" t="n">
        <x:v>1</x:v>
      </x:c>
      <x:c r="M711" s="34"/>
      <x:c r="N711" s="44" t="str">
        <x:v>03-Sep-2026 00:48:09.247 WARNING [http-nio-8080-exec-31]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712">
      <x:c r="A712" s="36" t="n">
        <x:v>711</x:v>
      </x:c>
      <x:c r="B712" s="34" t="str">
        <x:v>article1-unified-v4-2-fb3f101b-20260903-000401-default-f04-p2-jcs321</x:v>
      </x:c>
      <x:c r="C712" s="34" t="str">
        <x:v>default</x:v>
      </x:c>
      <x:c r="D712" s="34" t="str">
        <x:v>jcs321</x:v>
      </x:c>
      <x:c r="E712" s="36" t="n">
        <x:v>4</x:v>
      </x:c>
      <x:c r="F712" s="36" t="n">
        <x:v>4</x:v>
      </x:c>
      <x:c r="G712" s="36" t="n">
        <x:v>3</x:v>
      </x:c>
      <x:c r="H712" s="34" t="str">
        <x:v>cycle-observation</x:v>
      </x:c>
      <x:c r="I712" s="36" t="n">
        <x:v>1</x:v>
      </x:c>
      <x:c r="J712" s="34" t="str">
        <x:v>tomcat-findleaks-occurrence</x:v>
      </x:c>
      <x:c r="K712" s="34" t="str">
        <x:v>afterUndeploy.tomcatFindLeaksOccurrences</x:v>
      </x:c>
      <x:c r="L712" s="36" t="n">
        <x:v>1</x:v>
      </x:c>
      <x:c r="M712" s="34" t="str">
        <x:v>/jcs321</x:v>
      </x:c>
      <x:c r="N712" s="44" t="str">
        <x:v>/jcs321</x:v>
      </x:c>
    </x:row>
    <x:row r="713">
      <x:c r="A713" s="36" t="n">
        <x:v>712</x:v>
      </x:c>
      <x:c r="B713" s="34" t="str">
        <x:v>article1-unified-v4-2-fb3f101b-20260903-000401-default-f04-p2-jcs321</x:v>
      </x:c>
      <x:c r="C713" s="34" t="str">
        <x:v>default</x:v>
      </x:c>
      <x:c r="D713" s="34" t="str">
        <x:v>jcs321</x:v>
      </x:c>
      <x:c r="E713" s="36" t="n">
        <x:v>4</x:v>
      </x:c>
      <x:c r="F713" s="36" t="n">
        <x:v>4</x:v>
      </x:c>
      <x:c r="G713" s="36" t="n">
        <x:v>3</x:v>
      </x:c>
      <x:c r="H713" s="34" t="str">
        <x:v>cycle-observation</x:v>
      </x:c>
      <x:c r="I713" s="36" t="n">
        <x:v>1</x:v>
      </x:c>
      <x:c r="J713" s="34" t="str">
        <x:v>tomcat-findleaks-occurrence</x:v>
      </x:c>
      <x:c r="K713" s="34" t="str">
        <x:v>afterUndeploy.tomcatFindLeaksOccurrences</x:v>
      </x:c>
      <x:c r="L713" s="36" t="n">
        <x:v>2</x:v>
      </x:c>
      <x:c r="M713" s="34" t="str">
        <x:v>/jcs321</x:v>
      </x:c>
      <x:c r="N713" s="44" t="str">
        <x:v>/jcs321</x:v>
      </x:c>
    </x:row>
    <x:row r="714">
      <x:c r="A714" s="36" t="n">
        <x:v>713</x:v>
      </x:c>
      <x:c r="B714" s="34" t="str">
        <x:v>article1-unified-v4-2-fb3f101b-20260903-000401-default-f04-p2-jcs321</x:v>
      </x:c>
      <x:c r="C714" s="34" t="str">
        <x:v>default</x:v>
      </x:c>
      <x:c r="D714" s="34" t="str">
        <x:v>jcs321</x:v>
      </x:c>
      <x:c r="E714" s="36" t="n">
        <x:v>4</x:v>
      </x:c>
      <x:c r="F714" s="36" t="n">
        <x:v>4</x:v>
      </x:c>
      <x:c r="G714" s="36" t="n">
        <x:v>3</x:v>
      </x:c>
      <x:c r="H714" s="34" t="str">
        <x:v>cycle-observation</x:v>
      </x:c>
      <x:c r="I714" s="36" t="n">
        <x:v>1</x:v>
      </x:c>
      <x:c r="J714" s="34" t="str">
        <x:v>tomcat-findleaks-occurrence</x:v>
      </x:c>
      <x:c r="K714" s="34" t="str">
        <x:v>afterUndeploy.tomcatFindLeaksOccurrences</x:v>
      </x:c>
      <x:c r="L714" s="36" t="n">
        <x:v>3</x:v>
      </x:c>
      <x:c r="M714" s="34" t="str">
        <x:v>/jcs321</x:v>
      </x:c>
      <x:c r="N714" s="44" t="str">
        <x:v>/jcs321</x:v>
      </x:c>
    </x:row>
    <x:row r="715">
      <x:c r="A715" s="36" t="n">
        <x:v>714</x:v>
      </x:c>
      <x:c r="B715" s="34" t="str">
        <x:v>article1-unified-v4-2-fb3f101b-20260903-000401-default-f04-p2-jcs321</x:v>
      </x:c>
      <x:c r="C715" s="34" t="str">
        <x:v>default</x:v>
      </x:c>
      <x:c r="D715" s="34" t="str">
        <x:v>jcs321</x:v>
      </x:c>
      <x:c r="E715" s="36" t="n">
        <x:v>4</x:v>
      </x:c>
      <x:c r="F715" s="36" t="n">
        <x:v>4</x:v>
      </x:c>
      <x:c r="G715" s="36" t="n">
        <x:v>3</x:v>
      </x:c>
      <x:c r="H715" s="34" t="str">
        <x:v>cycle-observation</x:v>
      </x:c>
      <x:c r="I715" s="36" t="n">
        <x:v>1</x:v>
      </x:c>
      <x:c r="J715" s="34" t="str">
        <x:v>tomcat-findleaks-occurrence</x:v>
      </x:c>
      <x:c r="K715" s="34" t="str">
        <x:v>afterUndeploy.tomcatFindLeaksOccurrences</x:v>
      </x:c>
      <x:c r="L715" s="36" t="n">
        <x:v>4</x:v>
      </x:c>
      <x:c r="M715" s="34" t="str">
        <x:v>/jcs321</x:v>
      </x:c>
      <x:c r="N715" s="44" t="str">
        <x:v>/jcs321</x:v>
      </x:c>
    </x:row>
    <x:row r="716">
      <x:c r="A716" s="36" t="n">
        <x:v>715</x:v>
      </x:c>
      <x:c r="B716" s="34" t="str">
        <x:v>article1-unified-v4-2-fb3f101b-20260903-000401-default-f04-p2-jcs321</x:v>
      </x:c>
      <x:c r="C716" s="34" t="str">
        <x:v>default</x:v>
      </x:c>
      <x:c r="D716" s="34" t="str">
        <x:v>jcs321</x:v>
      </x:c>
      <x:c r="E716" s="36" t="n">
        <x:v>4</x:v>
      </x:c>
      <x:c r="F716" s="36" t="n">
        <x:v>4</x:v>
      </x:c>
      <x:c r="G716" s="36" t="n">
        <x:v>3</x:v>
      </x:c>
      <x:c r="H716" s="34" t="str">
        <x:v>cycle-observation</x:v>
      </x:c>
      <x:c r="I716" s="36" t="n">
        <x:v>1</x:v>
      </x:c>
      <x:c r="J716" s="34" t="str">
        <x:v>tomcat-findleaks-occurrence</x:v>
      </x:c>
      <x:c r="K716" s="34" t="str">
        <x:v>afterUndeploy.tomcatFindLeaksOccurrences</x:v>
      </x:c>
      <x:c r="L716" s="36" t="n">
        <x:v>5</x:v>
      </x:c>
      <x:c r="M716" s="34" t="str">
        <x:v>/jcs321</x:v>
      </x:c>
      <x:c r="N716" s="44" t="str">
        <x:v>/jcs321</x:v>
      </x:c>
    </x:row>
    <x:row r="717">
      <x:c r="A717" s="36" t="n">
        <x:v>716</x:v>
      </x:c>
      <x:c r="B717" s="34" t="str">
        <x:v>article1-unified-v4-2-fb3f101b-20260903-000401-default-f04-p2-jcs321</x:v>
      </x:c>
      <x:c r="C717" s="34" t="str">
        <x:v>default</x:v>
      </x:c>
      <x:c r="D717" s="34" t="str">
        <x:v>jcs321</x:v>
      </x:c>
      <x:c r="E717" s="36" t="n">
        <x:v>4</x:v>
      </x:c>
      <x:c r="F717" s="36" t="n">
        <x:v>4</x:v>
      </x:c>
      <x:c r="G717" s="36" t="n">
        <x:v>3</x:v>
      </x:c>
      <x:c r="H717" s="34" t="str">
        <x:v>cycle-observation</x:v>
      </x:c>
      <x:c r="I717" s="36" t="n">
        <x:v>2</x:v>
      </x:c>
      <x:c r="J717" s="34" t="str">
        <x:v>tomcat-findleaks-occurrence</x:v>
      </x:c>
      <x:c r="K717" s="34" t="str">
        <x:v>afterFinalUndeploy.tomcatFindLeaksOccurrences</x:v>
      </x:c>
      <x:c r="L717" s="36" t="n">
        <x:v>1</x:v>
      </x:c>
      <x:c r="M717" s="34" t="str">
        <x:v>/jcs321</x:v>
      </x:c>
      <x:c r="N717" s="44" t="str">
        <x:v>/jcs321</x:v>
      </x:c>
    </x:row>
    <x:row r="718">
      <x:c r="A718" s="36" t="n">
        <x:v>717</x:v>
      </x:c>
      <x:c r="B718" s="34" t="str">
        <x:v>article1-unified-v4-2-fb3f101b-20260903-000401-default-f04-p2-jcs321</x:v>
      </x:c>
      <x:c r="C718" s="34" t="str">
        <x:v>default</x:v>
      </x:c>
      <x:c r="D718" s="34" t="str">
        <x:v>jcs321</x:v>
      </x:c>
      <x:c r="E718" s="36" t="n">
        <x:v>4</x:v>
      </x:c>
      <x:c r="F718" s="36" t="n">
        <x:v>4</x:v>
      </x:c>
      <x:c r="G718" s="36" t="n">
        <x:v>3</x:v>
      </x:c>
      <x:c r="H718" s="34" t="str">
        <x:v>cycle-observation</x:v>
      </x:c>
      <x:c r="I718" s="36" t="n">
        <x:v>2</x:v>
      </x:c>
      <x:c r="J718" s="34" t="str">
        <x:v>tomcat-findleaks-occurrence</x:v>
      </x:c>
      <x:c r="K718" s="34" t="str">
        <x:v>afterFinalUndeploy.tomcatFindLeaksOccurrences</x:v>
      </x:c>
      <x:c r="L718" s="36" t="n">
        <x:v>2</x:v>
      </x:c>
      <x:c r="M718" s="34" t="str">
        <x:v>/jcs321</x:v>
      </x:c>
      <x:c r="N718" s="44" t="str">
        <x:v>/jcs321</x:v>
      </x:c>
    </x:row>
    <x:row r="719">
      <x:c r="A719" s="36" t="n">
        <x:v>718</x:v>
      </x:c>
      <x:c r="B719" s="34" t="str">
        <x:v>article1-unified-v4-2-fb3f101b-20260903-000401-default-f04-p2-jcs321</x:v>
      </x:c>
      <x:c r="C719" s="34" t="str">
        <x:v>default</x:v>
      </x:c>
      <x:c r="D719" s="34" t="str">
        <x:v>jcs321</x:v>
      </x:c>
      <x:c r="E719" s="36" t="n">
        <x:v>4</x:v>
      </x:c>
      <x:c r="F719" s="36" t="n">
        <x:v>4</x:v>
      </x:c>
      <x:c r="G719" s="36" t="n">
        <x:v>3</x:v>
      </x:c>
      <x:c r="H719" s="34" t="str">
        <x:v>cycle-observation</x:v>
      </x:c>
      <x:c r="I719" s="36" t="n">
        <x:v>2</x:v>
      </x:c>
      <x:c r="J719" s="34" t="str">
        <x:v>tomcat-findleaks-occurrence</x:v>
      </x:c>
      <x:c r="K719" s="34" t="str">
        <x:v>afterFinalUndeploy.tomcatFindLeaksOccurrences</x:v>
      </x:c>
      <x:c r="L719" s="36" t="n">
        <x:v>3</x:v>
      </x:c>
      <x:c r="M719" s="34" t="str">
        <x:v>/jcs321</x:v>
      </x:c>
      <x:c r="N719" s="44" t="str">
        <x:v>/jcs321</x:v>
      </x:c>
    </x:row>
    <x:row r="720">
      <x:c r="A720" s="36" t="n">
        <x:v>719</x:v>
      </x:c>
      <x:c r="B720" s="34" t="str">
        <x:v>article1-unified-v4-2-fb3f101b-20260903-000401-default-f04-p2-jcs321</x:v>
      </x:c>
      <x:c r="C720" s="34" t="str">
        <x:v>default</x:v>
      </x:c>
      <x:c r="D720" s="34" t="str">
        <x:v>jcs321</x:v>
      </x:c>
      <x:c r="E720" s="36" t="n">
        <x:v>4</x:v>
      </x:c>
      <x:c r="F720" s="36" t="n">
        <x:v>4</x:v>
      </x:c>
      <x:c r="G720" s="36" t="n">
        <x:v>3</x:v>
      </x:c>
      <x:c r="H720" s="34" t="str">
        <x:v>cycle-observation</x:v>
      </x:c>
      <x:c r="I720" s="36" t="n">
        <x:v>2</x:v>
      </x:c>
      <x:c r="J720" s="34" t="str">
        <x:v>tomcat-findleaks-occurrence</x:v>
      </x:c>
      <x:c r="K720" s="34" t="str">
        <x:v>afterFinalUndeploy.tomcatFindLeaksOccurrences</x:v>
      </x:c>
      <x:c r="L720" s="36" t="n">
        <x:v>4</x:v>
      </x:c>
      <x:c r="M720" s="34" t="str">
        <x:v>/jcs321</x:v>
      </x:c>
      <x:c r="N720" s="44" t="str">
        <x:v>/jcs321</x:v>
      </x:c>
    </x:row>
    <x:row r="721">
      <x:c r="A721" s="36" t="n">
        <x:v>720</x:v>
      </x:c>
      <x:c r="B721" s="34" t="str">
        <x:v>article1-unified-v4-2-fb3f101b-20260903-000401-default-f04-p2-jcs321</x:v>
      </x:c>
      <x:c r="C721" s="34" t="str">
        <x:v>default</x:v>
      </x:c>
      <x:c r="D721" s="34" t="str">
        <x:v>jcs321</x:v>
      </x:c>
      <x:c r="E721" s="36" t="n">
        <x:v>4</x:v>
      </x:c>
      <x:c r="F721" s="36" t="n">
        <x:v>4</x:v>
      </x:c>
      <x:c r="G721" s="36" t="n">
        <x:v>3</x:v>
      </x:c>
      <x:c r="H721" s="34" t="str">
        <x:v>cycle-observation</x:v>
      </x:c>
      <x:c r="I721" s="36" t="n">
        <x:v>2</x:v>
      </x:c>
      <x:c r="J721" s="34" t="str">
        <x:v>tomcat-findleaks-occurrence</x:v>
      </x:c>
      <x:c r="K721" s="34" t="str">
        <x:v>afterFinalUndeploy.tomcatFindLeaksOccurrences</x:v>
      </x:c>
      <x:c r="L721" s="36" t="n">
        <x:v>5</x:v>
      </x:c>
      <x:c r="M721" s="34" t="str">
        <x:v>/jcs321</x:v>
      </x:c>
      <x:c r="N721" s="44" t="str">
        <x:v>/jcs321</x:v>
      </x:c>
    </x:row>
    <x:row r="722">
      <x:c r="A722" s="36" t="n">
        <x:v>721</x:v>
      </x:c>
      <x:c r="B722" s="34" t="str">
        <x:v>article1-unified-v4-2-fb3f101b-20260903-000401-default-f04-p2-jcs321</x:v>
      </x:c>
      <x:c r="C722" s="34" t="str">
        <x:v>default</x:v>
      </x:c>
      <x:c r="D722" s="34" t="str">
        <x:v>jcs321</x:v>
      </x:c>
      <x:c r="E722" s="36" t="n">
        <x:v>4</x:v>
      </x:c>
      <x:c r="F722" s="36" t="n">
        <x:v>4</x:v>
      </x:c>
      <x:c r="G722" s="36" t="n">
        <x:v>3</x:v>
      </x:c>
      <x:c r="H722" s="34" t="str">
        <x:v>cycle-observation</x:v>
      </x:c>
      <x:c r="I722" s="36" t="n">
        <x:v>2</x:v>
      </x:c>
      <x:c r="J722" s="34" t="str">
        <x:v>tomcat-findleaks-occurrence</x:v>
      </x:c>
      <x:c r="K722" s="34" t="str">
        <x:v>afterFinalUndeploy.tomcatFindLeaksOccurrences</x:v>
      </x:c>
      <x:c r="L722" s="36" t="n">
        <x:v>6</x:v>
      </x:c>
      <x:c r="M722" s="34" t="str">
        <x:v>/jcs321</x:v>
      </x:c>
      <x:c r="N722" s="44" t="str">
        <x:v>/jcs321</x:v>
      </x:c>
    </x:row>
    <x:row r="723">
      <x:c r="A723" s="36" t="n">
        <x:v>722</x:v>
      </x:c>
      <x:c r="B723" s="34" t="str">
        <x:v>article1-unified-v4-2-fb3f101b-20260903-000401-default-f04-p2-jcs321</x:v>
      </x:c>
      <x:c r="C723" s="34" t="str">
        <x:v>default</x:v>
      </x:c>
      <x:c r="D723" s="34" t="str">
        <x:v>jcs321</x:v>
      </x:c>
      <x:c r="E723" s="36" t="n">
        <x:v>4</x:v>
      </x:c>
      <x:c r="F723" s="36" t="n">
        <x:v>4</x:v>
      </x:c>
      <x:c r="G723" s="36" t="n">
        <x:v>4</x:v>
      </x:c>
      <x:c r="H723" s="34" t="str">
        <x:v>cycle-window</x:v>
      </x:c>
      <x:c r="I723" s="36" t="n">
        <x:v>1</x:v>
      </x:c>
      <x:c r="J723" s="34" t="str">
        <x:v>warning</x:v>
      </x:c>
      <x:c r="K723" s="34" t="str">
        <x:v>firstUndeployWarnings</x:v>
      </x:c>
      <x:c r="L723" s="36" t="n">
        <x:v>1</x:v>
      </x:c>
      <x:c r="M723" s="34"/>
      <x:c r="N723" s="44" t="str">
        <x:v>03-Sep-2026 00:48:55.368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724">
      <x:c r="A724" s="36" t="n">
        <x:v>723</x:v>
      </x:c>
      <x:c r="B724" s="34" t="str">
        <x:v>article1-unified-v4-2-fb3f101b-20260903-000401-default-f04-p2-jcs321</x:v>
      </x:c>
      <x:c r="C724" s="34" t="str">
        <x:v>default</x:v>
      </x:c>
      <x:c r="D724" s="34" t="str">
        <x:v>jcs321</x:v>
      </x:c>
      <x:c r="E724" s="36" t="n">
        <x:v>4</x:v>
      </x:c>
      <x:c r="F724" s="36" t="n">
        <x:v>4</x:v>
      </x:c>
      <x:c r="G724" s="36" t="n">
        <x:v>4</x:v>
      </x:c>
      <x:c r="H724" s="34" t="str">
        <x:v>cycle-window</x:v>
      </x:c>
      <x:c r="I724" s="36" t="n">
        <x:v>1</x:v>
      </x:c>
      <x:c r="J724" s="34" t="str">
        <x:v>leak-warning</x:v>
      </x:c>
      <x:c r="K724" s="34" t="str">
        <x:v>firstUndeployLeakWarnings</x:v>
      </x:c>
      <x:c r="L724" s="36" t="n">
        <x:v>1</x:v>
      </x:c>
      <x:c r="M724" s="34"/>
      <x:c r="N724" s="44" t="str">
        <x:v>03-Sep-2026 00:48:55.368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725">
      <x:c r="A725" s="36" t="n">
        <x:v>724</x:v>
      </x:c>
      <x:c r="B725" s="34" t="str">
        <x:v>article1-unified-v4-2-fb3f101b-20260903-000401-default-f04-p2-jcs321</x:v>
      </x:c>
      <x:c r="C725" s="34" t="str">
        <x:v>default</x:v>
      </x:c>
      <x:c r="D725" s="34" t="str">
        <x:v>jcs321</x:v>
      </x:c>
      <x:c r="E725" s="36" t="n">
        <x:v>4</x:v>
      </x:c>
      <x:c r="F725" s="36" t="n">
        <x:v>4</x:v>
      </x:c>
      <x:c r="G725" s="36" t="n">
        <x:v>4</x:v>
      </x:c>
      <x:c r="H725" s="34" t="str">
        <x:v>cycle-window</x:v>
      </x:c>
      <x:c r="I725" s="36" t="n">
        <x:v>1</x:v>
      </x:c>
      <x:c r="J725" s="34" t="str">
        <x:v>thread-leak-warning</x:v>
      </x:c>
      <x:c r="K725" s="34" t="str">
        <x:v>firstUndeployThreadLeakWarnings</x:v>
      </x:c>
      <x:c r="L725" s="36" t="n">
        <x:v>1</x:v>
      </x:c>
      <x:c r="M725" s="34"/>
      <x:c r="N725" s="44" t="str">
        <x:v>03-Sep-2026 00:48:55.368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726">
      <x:c r="A726" s="36" t="n">
        <x:v>725</x:v>
      </x:c>
      <x:c r="B726" s="34" t="str">
        <x:v>article1-unified-v4-2-fb3f101b-20260903-000401-default-f04-p2-jcs321</x:v>
      </x:c>
      <x:c r="C726" s="34" t="str">
        <x:v>default</x:v>
      </x:c>
      <x:c r="D726" s="34" t="str">
        <x:v>jcs321</x:v>
      </x:c>
      <x:c r="E726" s="36" t="n">
        <x:v>4</x:v>
      </x:c>
      <x:c r="F726" s="36" t="n">
        <x:v>4</x:v>
      </x:c>
      <x:c r="G726" s="36" t="n">
        <x:v>4</x:v>
      </x:c>
      <x:c r="H726" s="34" t="str">
        <x:v>cycle-window</x:v>
      </x:c>
      <x:c r="I726" s="36" t="n">
        <x:v>2</x:v>
      </x:c>
      <x:c r="J726" s="34" t="str">
        <x:v>warning</x:v>
      </x:c>
      <x:c r="K726" s="34" t="str">
        <x:v>secondUndeployWarnings</x:v>
      </x:c>
      <x:c r="L726" s="36" t="n">
        <x:v>1</x:v>
      </x:c>
      <x:c r="M726" s="34"/>
      <x:c r="N726" s="44" t="str">
        <x:v>03-Sep-2026 00:49:38.369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727">
      <x:c r="A727" s="36" t="n">
        <x:v>726</x:v>
      </x:c>
      <x:c r="B727" s="34" t="str">
        <x:v>article1-unified-v4-2-fb3f101b-20260903-000401-default-f04-p2-jcs321</x:v>
      </x:c>
      <x:c r="C727" s="34" t="str">
        <x:v>default</x:v>
      </x:c>
      <x:c r="D727" s="34" t="str">
        <x:v>jcs321</x:v>
      </x:c>
      <x:c r="E727" s="36" t="n">
        <x:v>4</x:v>
      </x:c>
      <x:c r="F727" s="36" t="n">
        <x:v>4</x:v>
      </x:c>
      <x:c r="G727" s="36" t="n">
        <x:v>4</x:v>
      </x:c>
      <x:c r="H727" s="34" t="str">
        <x:v>cycle-window</x:v>
      </x:c>
      <x:c r="I727" s="36" t="n">
        <x:v>2</x:v>
      </x:c>
      <x:c r="J727" s="34" t="str">
        <x:v>leak-warning</x:v>
      </x:c>
      <x:c r="K727" s="34" t="str">
        <x:v>secondUndeployLeakWarnings</x:v>
      </x:c>
      <x:c r="L727" s="36" t="n">
        <x:v>1</x:v>
      </x:c>
      <x:c r="M727" s="34"/>
      <x:c r="N727" s="44" t="str">
        <x:v>03-Sep-2026 00:49:38.369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728">
      <x:c r="A728" s="36" t="n">
        <x:v>727</x:v>
      </x:c>
      <x:c r="B728" s="34" t="str">
        <x:v>article1-unified-v4-2-fb3f101b-20260903-000401-default-f04-p2-jcs321</x:v>
      </x:c>
      <x:c r="C728" s="34" t="str">
        <x:v>default</x:v>
      </x:c>
      <x:c r="D728" s="34" t="str">
        <x:v>jcs321</x:v>
      </x:c>
      <x:c r="E728" s="36" t="n">
        <x:v>4</x:v>
      </x:c>
      <x:c r="F728" s="36" t="n">
        <x:v>4</x:v>
      </x:c>
      <x:c r="G728" s="36" t="n">
        <x:v>4</x:v>
      </x:c>
      <x:c r="H728" s="34" t="str">
        <x:v>cycle-window</x:v>
      </x:c>
      <x:c r="I728" s="36" t="n">
        <x:v>2</x:v>
      </x:c>
      <x:c r="J728" s="34" t="str">
        <x:v>thread-leak-warning</x:v>
      </x:c>
      <x:c r="K728" s="34" t="str">
        <x:v>secondUndeployThreadLeakWarnings</x:v>
      </x:c>
      <x:c r="L728" s="36" t="n">
        <x:v>1</x:v>
      </x:c>
      <x:c r="M728" s="34"/>
      <x:c r="N728" s="44" t="str">
        <x:v>03-Sep-2026 00:49:38.369 WARNING [http-nio-8080-exec-48]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729">
      <x:c r="A729" s="36" t="n">
        <x:v>728</x:v>
      </x:c>
      <x:c r="B729" s="34" t="str">
        <x:v>article1-unified-v4-2-fb3f101b-20260903-000401-default-f04-p2-jcs321</x:v>
      </x:c>
      <x:c r="C729" s="34" t="str">
        <x:v>default</x:v>
      </x:c>
      <x:c r="D729" s="34" t="str">
        <x:v>jcs321</x:v>
      </x:c>
      <x:c r="E729" s="36" t="n">
        <x:v>4</x:v>
      </x:c>
      <x:c r="F729" s="36" t="n">
        <x:v>4</x:v>
      </x:c>
      <x:c r="G729" s="36" t="n">
        <x:v>4</x:v>
      </x:c>
      <x:c r="H729" s="34" t="str">
        <x:v>cycle-observation</x:v>
      </x:c>
      <x:c r="I729" s="36" t="n">
        <x:v>1</x:v>
      </x:c>
      <x:c r="J729" s="34" t="str">
        <x:v>tomcat-findleaks-occurrence</x:v>
      </x:c>
      <x:c r="K729" s="34" t="str">
        <x:v>afterUndeploy.tomcatFindLeaksOccurrences</x:v>
      </x:c>
      <x:c r="L729" s="36" t="n">
        <x:v>1</x:v>
      </x:c>
      <x:c r="M729" s="34" t="str">
        <x:v>/jcs321</x:v>
      </x:c>
      <x:c r="N729" s="44" t="str">
        <x:v>/jcs321</x:v>
      </x:c>
    </x:row>
    <x:row r="730">
      <x:c r="A730" s="36" t="n">
        <x:v>729</x:v>
      </x:c>
      <x:c r="B730" s="34" t="str">
        <x:v>article1-unified-v4-2-fb3f101b-20260903-000401-default-f04-p2-jcs321</x:v>
      </x:c>
      <x:c r="C730" s="34" t="str">
        <x:v>default</x:v>
      </x:c>
      <x:c r="D730" s="34" t="str">
        <x:v>jcs321</x:v>
      </x:c>
      <x:c r="E730" s="36" t="n">
        <x:v>4</x:v>
      </x:c>
      <x:c r="F730" s="36" t="n">
        <x:v>4</x:v>
      </x:c>
      <x:c r="G730" s="36" t="n">
        <x:v>4</x:v>
      </x:c>
      <x:c r="H730" s="34" t="str">
        <x:v>cycle-observation</x:v>
      </x:c>
      <x:c r="I730" s="36" t="n">
        <x:v>1</x:v>
      </x:c>
      <x:c r="J730" s="34" t="str">
        <x:v>tomcat-findleaks-occurrence</x:v>
      </x:c>
      <x:c r="K730" s="34" t="str">
        <x:v>afterUndeploy.tomcatFindLeaksOccurrences</x:v>
      </x:c>
      <x:c r="L730" s="36" t="n">
        <x:v>2</x:v>
      </x:c>
      <x:c r="M730" s="34" t="str">
        <x:v>/jcs321</x:v>
      </x:c>
      <x:c r="N730" s="44" t="str">
        <x:v>/jcs321</x:v>
      </x:c>
    </x:row>
    <x:row r="731">
      <x:c r="A731" s="36" t="n">
        <x:v>730</x:v>
      </x:c>
      <x:c r="B731" s="34" t="str">
        <x:v>article1-unified-v4-2-fb3f101b-20260903-000401-default-f04-p2-jcs321</x:v>
      </x:c>
      <x:c r="C731" s="34" t="str">
        <x:v>default</x:v>
      </x:c>
      <x:c r="D731" s="34" t="str">
        <x:v>jcs321</x:v>
      </x:c>
      <x:c r="E731" s="36" t="n">
        <x:v>4</x:v>
      </x:c>
      <x:c r="F731" s="36" t="n">
        <x:v>4</x:v>
      </x:c>
      <x:c r="G731" s="36" t="n">
        <x:v>4</x:v>
      </x:c>
      <x:c r="H731" s="34" t="str">
        <x:v>cycle-observation</x:v>
      </x:c>
      <x:c r="I731" s="36" t="n">
        <x:v>1</x:v>
      </x:c>
      <x:c r="J731" s="34" t="str">
        <x:v>tomcat-findleaks-occurrence</x:v>
      </x:c>
      <x:c r="K731" s="34" t="str">
        <x:v>afterUndeploy.tomcatFindLeaksOccurrences</x:v>
      </x:c>
      <x:c r="L731" s="36" t="n">
        <x:v>3</x:v>
      </x:c>
      <x:c r="M731" s="34" t="str">
        <x:v>/jcs321</x:v>
      </x:c>
      <x:c r="N731" s="44" t="str">
        <x:v>/jcs321</x:v>
      </x:c>
    </x:row>
    <x:row r="732">
      <x:c r="A732" s="36" t="n">
        <x:v>731</x:v>
      </x:c>
      <x:c r="B732" s="34" t="str">
        <x:v>article1-unified-v4-2-fb3f101b-20260903-000401-default-f04-p2-jcs321</x:v>
      </x:c>
      <x:c r="C732" s="34" t="str">
        <x:v>default</x:v>
      </x:c>
      <x:c r="D732" s="34" t="str">
        <x:v>jcs321</x:v>
      </x:c>
      <x:c r="E732" s="36" t="n">
        <x:v>4</x:v>
      </x:c>
      <x:c r="F732" s="36" t="n">
        <x:v>4</x:v>
      </x:c>
      <x:c r="G732" s="36" t="n">
        <x:v>4</x:v>
      </x:c>
      <x:c r="H732" s="34" t="str">
        <x:v>cycle-observation</x:v>
      </x:c>
      <x:c r="I732" s="36" t="n">
        <x:v>1</x:v>
      </x:c>
      <x:c r="J732" s="34" t="str">
        <x:v>tomcat-findleaks-occurrence</x:v>
      </x:c>
      <x:c r="K732" s="34" t="str">
        <x:v>afterUndeploy.tomcatFindLeaksOccurrences</x:v>
      </x:c>
      <x:c r="L732" s="36" t="n">
        <x:v>4</x:v>
      </x:c>
      <x:c r="M732" s="34" t="str">
        <x:v>/jcs321</x:v>
      </x:c>
      <x:c r="N732" s="44" t="str">
        <x:v>/jcs321</x:v>
      </x:c>
    </x:row>
    <x:row r="733">
      <x:c r="A733" s="36" t="n">
        <x:v>732</x:v>
      </x:c>
      <x:c r="B733" s="34" t="str">
        <x:v>article1-unified-v4-2-fb3f101b-20260903-000401-default-f04-p2-jcs321</x:v>
      </x:c>
      <x:c r="C733" s="34" t="str">
        <x:v>default</x:v>
      </x:c>
      <x:c r="D733" s="34" t="str">
        <x:v>jcs321</x:v>
      </x:c>
      <x:c r="E733" s="36" t="n">
        <x:v>4</x:v>
      </x:c>
      <x:c r="F733" s="36" t="n">
        <x:v>4</x:v>
      </x:c>
      <x:c r="G733" s="36" t="n">
        <x:v>4</x:v>
      </x:c>
      <x:c r="H733" s="34" t="str">
        <x:v>cycle-observation</x:v>
      </x:c>
      <x:c r="I733" s="36" t="n">
        <x:v>1</x:v>
      </x:c>
      <x:c r="J733" s="34" t="str">
        <x:v>tomcat-findleaks-occurrence</x:v>
      </x:c>
      <x:c r="K733" s="34" t="str">
        <x:v>afterUndeploy.tomcatFindLeaksOccurrences</x:v>
      </x:c>
      <x:c r="L733" s="36" t="n">
        <x:v>5</x:v>
      </x:c>
      <x:c r="M733" s="34" t="str">
        <x:v>/jcs321</x:v>
      </x:c>
      <x:c r="N733" s="44" t="str">
        <x:v>/jcs321</x:v>
      </x:c>
    </x:row>
    <x:row r="734">
      <x:c r="A734" s="36" t="n">
        <x:v>733</x:v>
      </x:c>
      <x:c r="B734" s="34" t="str">
        <x:v>article1-unified-v4-2-fb3f101b-20260903-000401-default-f04-p2-jcs321</x:v>
      </x:c>
      <x:c r="C734" s="34" t="str">
        <x:v>default</x:v>
      </x:c>
      <x:c r="D734" s="34" t="str">
        <x:v>jcs321</x:v>
      </x:c>
      <x:c r="E734" s="36" t="n">
        <x:v>4</x:v>
      </x:c>
      <x:c r="F734" s="36" t="n">
        <x:v>4</x:v>
      </x:c>
      <x:c r="G734" s="36" t="n">
        <x:v>4</x:v>
      </x:c>
      <x:c r="H734" s="34" t="str">
        <x:v>cycle-observation</x:v>
      </x:c>
      <x:c r="I734" s="36" t="n">
        <x:v>1</x:v>
      </x:c>
      <x:c r="J734" s="34" t="str">
        <x:v>tomcat-findleaks-occurrence</x:v>
      </x:c>
      <x:c r="K734" s="34" t="str">
        <x:v>afterUndeploy.tomcatFindLeaksOccurrences</x:v>
      </x:c>
      <x:c r="L734" s="36" t="n">
        <x:v>6</x:v>
      </x:c>
      <x:c r="M734" s="34" t="str">
        <x:v>/jcs321</x:v>
      </x:c>
      <x:c r="N734" s="44" t="str">
        <x:v>/jcs321</x:v>
      </x:c>
    </x:row>
    <x:row r="735">
      <x:c r="A735" s="36" t="n">
        <x:v>734</x:v>
      </x:c>
      <x:c r="B735" s="34" t="str">
        <x:v>article1-unified-v4-2-fb3f101b-20260903-000401-default-f04-p2-jcs321</x:v>
      </x:c>
      <x:c r="C735" s="34" t="str">
        <x:v>default</x:v>
      </x:c>
      <x:c r="D735" s="34" t="str">
        <x:v>jcs321</x:v>
      </x:c>
      <x:c r="E735" s="36" t="n">
        <x:v>4</x:v>
      </x:c>
      <x:c r="F735" s="36" t="n">
        <x:v>4</x:v>
      </x:c>
      <x:c r="G735" s="36" t="n">
        <x:v>4</x:v>
      </x:c>
      <x:c r="H735" s="34" t="str">
        <x:v>cycle-observation</x:v>
      </x:c>
      <x:c r="I735" s="36" t="n">
        <x:v>1</x:v>
      </x:c>
      <x:c r="J735" s="34" t="str">
        <x:v>tomcat-findleaks-occurrence</x:v>
      </x:c>
      <x:c r="K735" s="34" t="str">
        <x:v>afterUndeploy.tomcatFindLeaksOccurrences</x:v>
      </x:c>
      <x:c r="L735" s="36" t="n">
        <x:v>7</x:v>
      </x:c>
      <x:c r="M735" s="34" t="str">
        <x:v>/jcs321</x:v>
      </x:c>
      <x:c r="N735" s="44" t="str">
        <x:v>/jcs321</x:v>
      </x:c>
    </x:row>
    <x:row r="736">
      <x:c r="A736" s="36" t="n">
        <x:v>735</x:v>
      </x:c>
      <x:c r="B736" s="34" t="str">
        <x:v>article1-unified-v4-2-fb3f101b-20260903-000401-default-f04-p2-jcs321</x:v>
      </x:c>
      <x:c r="C736" s="34" t="str">
        <x:v>default</x:v>
      </x:c>
      <x:c r="D736" s="34" t="str">
        <x:v>jcs321</x:v>
      </x:c>
      <x:c r="E736" s="36" t="n">
        <x:v>4</x:v>
      </x:c>
      <x:c r="F736" s="36" t="n">
        <x:v>4</x:v>
      </x:c>
      <x:c r="G736" s="36" t="n">
        <x:v>4</x:v>
      </x:c>
      <x:c r="H736" s="34" t="str">
        <x:v>cycle-observation</x:v>
      </x:c>
      <x:c r="I736" s="36" t="n">
        <x:v>2</x:v>
      </x:c>
      <x:c r="J736" s="34" t="str">
        <x:v>tomcat-findleaks-occurrence</x:v>
      </x:c>
      <x:c r="K736" s="34" t="str">
        <x:v>afterFinalUndeploy.tomcatFindLeaksOccurrences</x:v>
      </x:c>
      <x:c r="L736" s="36" t="n">
        <x:v>1</x:v>
      </x:c>
      <x:c r="M736" s="34" t="str">
        <x:v>/jcs321</x:v>
      </x:c>
      <x:c r="N736" s="44" t="str">
        <x:v>/jcs321</x:v>
      </x:c>
    </x:row>
    <x:row r="737">
      <x:c r="A737" s="36" t="n">
        <x:v>736</x:v>
      </x:c>
      <x:c r="B737" s="34" t="str">
        <x:v>article1-unified-v4-2-fb3f101b-20260903-000401-default-f04-p2-jcs321</x:v>
      </x:c>
      <x:c r="C737" s="34" t="str">
        <x:v>default</x:v>
      </x:c>
      <x:c r="D737" s="34" t="str">
        <x:v>jcs321</x:v>
      </x:c>
      <x:c r="E737" s="36" t="n">
        <x:v>4</x:v>
      </x:c>
      <x:c r="F737" s="36" t="n">
        <x:v>4</x:v>
      </x:c>
      <x:c r="G737" s="36" t="n">
        <x:v>4</x:v>
      </x:c>
      <x:c r="H737" s="34" t="str">
        <x:v>cycle-observation</x:v>
      </x:c>
      <x:c r="I737" s="36" t="n">
        <x:v>2</x:v>
      </x:c>
      <x:c r="J737" s="34" t="str">
        <x:v>tomcat-findleaks-occurrence</x:v>
      </x:c>
      <x:c r="K737" s="34" t="str">
        <x:v>afterFinalUndeploy.tomcatFindLeaksOccurrences</x:v>
      </x:c>
      <x:c r="L737" s="36" t="n">
        <x:v>2</x:v>
      </x:c>
      <x:c r="M737" s="34" t="str">
        <x:v>/jcs321</x:v>
      </x:c>
      <x:c r="N737" s="44" t="str">
        <x:v>/jcs321</x:v>
      </x:c>
    </x:row>
    <x:row r="738">
      <x:c r="A738" s="36" t="n">
        <x:v>737</x:v>
      </x:c>
      <x:c r="B738" s="34" t="str">
        <x:v>article1-unified-v4-2-fb3f101b-20260903-000401-default-f04-p2-jcs321</x:v>
      </x:c>
      <x:c r="C738" s="34" t="str">
        <x:v>default</x:v>
      </x:c>
      <x:c r="D738" s="34" t="str">
        <x:v>jcs321</x:v>
      </x:c>
      <x:c r="E738" s="36" t="n">
        <x:v>4</x:v>
      </x:c>
      <x:c r="F738" s="36" t="n">
        <x:v>4</x:v>
      </x:c>
      <x:c r="G738" s="36" t="n">
        <x:v>4</x:v>
      </x:c>
      <x:c r="H738" s="34" t="str">
        <x:v>cycle-observation</x:v>
      </x:c>
      <x:c r="I738" s="36" t="n">
        <x:v>2</x:v>
      </x:c>
      <x:c r="J738" s="34" t="str">
        <x:v>tomcat-findleaks-occurrence</x:v>
      </x:c>
      <x:c r="K738" s="34" t="str">
        <x:v>afterFinalUndeploy.tomcatFindLeaksOccurrences</x:v>
      </x:c>
      <x:c r="L738" s="36" t="n">
        <x:v>3</x:v>
      </x:c>
      <x:c r="M738" s="34" t="str">
        <x:v>/jcs321</x:v>
      </x:c>
      <x:c r="N738" s="44" t="str">
        <x:v>/jcs321</x:v>
      </x:c>
    </x:row>
    <x:row r="739">
      <x:c r="A739" s="36" t="n">
        <x:v>738</x:v>
      </x:c>
      <x:c r="B739" s="34" t="str">
        <x:v>article1-unified-v4-2-fb3f101b-20260903-000401-default-f04-p2-jcs321</x:v>
      </x:c>
      <x:c r="C739" s="34" t="str">
        <x:v>default</x:v>
      </x:c>
      <x:c r="D739" s="34" t="str">
        <x:v>jcs321</x:v>
      </x:c>
      <x:c r="E739" s="36" t="n">
        <x:v>4</x:v>
      </x:c>
      <x:c r="F739" s="36" t="n">
        <x:v>4</x:v>
      </x:c>
      <x:c r="G739" s="36" t="n">
        <x:v>4</x:v>
      </x:c>
      <x:c r="H739" s="34" t="str">
        <x:v>cycle-observation</x:v>
      </x:c>
      <x:c r="I739" s="36" t="n">
        <x:v>2</x:v>
      </x:c>
      <x:c r="J739" s="34" t="str">
        <x:v>tomcat-findleaks-occurrence</x:v>
      </x:c>
      <x:c r="K739" s="34" t="str">
        <x:v>afterFinalUndeploy.tomcatFindLeaksOccurrences</x:v>
      </x:c>
      <x:c r="L739" s="36" t="n">
        <x:v>4</x:v>
      </x:c>
      <x:c r="M739" s="34" t="str">
        <x:v>/jcs321</x:v>
      </x:c>
      <x:c r="N739" s="44" t="str">
        <x:v>/jcs321</x:v>
      </x:c>
    </x:row>
    <x:row r="740">
      <x:c r="A740" s="36" t="n">
        <x:v>739</x:v>
      </x:c>
      <x:c r="B740" s="34" t="str">
        <x:v>article1-unified-v4-2-fb3f101b-20260903-000401-default-f04-p2-jcs321</x:v>
      </x:c>
      <x:c r="C740" s="34" t="str">
        <x:v>default</x:v>
      </x:c>
      <x:c r="D740" s="34" t="str">
        <x:v>jcs321</x:v>
      </x:c>
      <x:c r="E740" s="36" t="n">
        <x:v>4</x:v>
      </x:c>
      <x:c r="F740" s="36" t="n">
        <x:v>4</x:v>
      </x:c>
      <x:c r="G740" s="36" t="n">
        <x:v>4</x:v>
      </x:c>
      <x:c r="H740" s="34" t="str">
        <x:v>cycle-observation</x:v>
      </x:c>
      <x:c r="I740" s="36" t="n">
        <x:v>2</x:v>
      </x:c>
      <x:c r="J740" s="34" t="str">
        <x:v>tomcat-findleaks-occurrence</x:v>
      </x:c>
      <x:c r="K740" s="34" t="str">
        <x:v>afterFinalUndeploy.tomcatFindLeaksOccurrences</x:v>
      </x:c>
      <x:c r="L740" s="36" t="n">
        <x:v>5</x:v>
      </x:c>
      <x:c r="M740" s="34" t="str">
        <x:v>/jcs321</x:v>
      </x:c>
      <x:c r="N740" s="44" t="str">
        <x:v>/jcs321</x:v>
      </x:c>
    </x:row>
    <x:row r="741">
      <x:c r="A741" s="36" t="n">
        <x:v>740</x:v>
      </x:c>
      <x:c r="B741" s="34" t="str">
        <x:v>article1-unified-v4-2-fb3f101b-20260903-000401-default-f04-p2-jcs321</x:v>
      </x:c>
      <x:c r="C741" s="34" t="str">
        <x:v>default</x:v>
      </x:c>
      <x:c r="D741" s="34" t="str">
        <x:v>jcs321</x:v>
      </x:c>
      <x:c r="E741" s="36" t="n">
        <x:v>4</x:v>
      </x:c>
      <x:c r="F741" s="36" t="n">
        <x:v>4</x:v>
      </x:c>
      <x:c r="G741" s="36" t="n">
        <x:v>4</x:v>
      </x:c>
      <x:c r="H741" s="34" t="str">
        <x:v>cycle-observation</x:v>
      </x:c>
      <x:c r="I741" s="36" t="n">
        <x:v>2</x:v>
      </x:c>
      <x:c r="J741" s="34" t="str">
        <x:v>tomcat-findleaks-occurrence</x:v>
      </x:c>
      <x:c r="K741" s="34" t="str">
        <x:v>afterFinalUndeploy.tomcatFindLeaksOccurrences</x:v>
      </x:c>
      <x:c r="L741" s="36" t="n">
        <x:v>6</x:v>
      </x:c>
      <x:c r="M741" s="34" t="str">
        <x:v>/jcs321</x:v>
      </x:c>
      <x:c r="N741" s="44" t="str">
        <x:v>/jcs321</x:v>
      </x:c>
    </x:row>
    <x:row r="742">
      <x:c r="A742" s="36" t="n">
        <x:v>741</x:v>
      </x:c>
      <x:c r="B742" s="34" t="str">
        <x:v>article1-unified-v4-2-fb3f101b-20260903-000401-default-f04-p2-jcs321</x:v>
      </x:c>
      <x:c r="C742" s="34" t="str">
        <x:v>default</x:v>
      </x:c>
      <x:c r="D742" s="34" t="str">
        <x:v>jcs321</x:v>
      </x:c>
      <x:c r="E742" s="36" t="n">
        <x:v>4</x:v>
      </x:c>
      <x:c r="F742" s="36" t="n">
        <x:v>4</x:v>
      </x:c>
      <x:c r="G742" s="36" t="n">
        <x:v>4</x:v>
      </x:c>
      <x:c r="H742" s="34" t="str">
        <x:v>cycle-observation</x:v>
      </x:c>
      <x:c r="I742" s="36" t="n">
        <x:v>2</x:v>
      </x:c>
      <x:c r="J742" s="34" t="str">
        <x:v>tomcat-findleaks-occurrence</x:v>
      </x:c>
      <x:c r="K742" s="34" t="str">
        <x:v>afterFinalUndeploy.tomcatFindLeaksOccurrences</x:v>
      </x:c>
      <x:c r="L742" s="36" t="n">
        <x:v>7</x:v>
      </x:c>
      <x:c r="M742" s="34" t="str">
        <x:v>/jcs321</x:v>
      </x:c>
      <x:c r="N742" s="44" t="str">
        <x:v>/jcs321</x:v>
      </x:c>
    </x:row>
    <x:row r="743">
      <x:c r="A743" s="36" t="n">
        <x:v>742</x:v>
      </x:c>
      <x:c r="B743" s="34" t="str">
        <x:v>article1-unified-v4-2-fb3f101b-20260903-000401-default-f04-p2-jcs321</x:v>
      </x:c>
      <x:c r="C743" s="34" t="str">
        <x:v>default</x:v>
      </x:c>
      <x:c r="D743" s="34" t="str">
        <x:v>jcs321</x:v>
      </x:c>
      <x:c r="E743" s="36" t="n">
        <x:v>4</x:v>
      </x:c>
      <x:c r="F743" s="36" t="n">
        <x:v>4</x:v>
      </x:c>
      <x:c r="G743" s="36" t="n">
        <x:v>4</x:v>
      </x:c>
      <x:c r="H743" s="34" t="str">
        <x:v>cycle-observation</x:v>
      </x:c>
      <x:c r="I743" s="36" t="n">
        <x:v>2</x:v>
      </x:c>
      <x:c r="J743" s="34" t="str">
        <x:v>tomcat-findleaks-occurrence</x:v>
      </x:c>
      <x:c r="K743" s="34" t="str">
        <x:v>afterFinalUndeploy.tomcatFindLeaksOccurrences</x:v>
      </x:c>
      <x:c r="L743" s="36" t="n">
        <x:v>8</x:v>
      </x:c>
      <x:c r="M743" s="34" t="str">
        <x:v>/jcs321</x:v>
      </x:c>
      <x:c r="N743" s="44" t="str">
        <x:v>/jcs321</x:v>
      </x:c>
    </x:row>
    <x:row r="744">
      <x:c r="A744" s="36" t="n">
        <x:v>743</x:v>
      </x:c>
      <x:c r="B744" s="34" t="str">
        <x:v>article1-unified-v4-2-fb3f101b-20260903-000401-default-f04-p2-jcs321</x:v>
      </x:c>
      <x:c r="C744" s="34" t="str">
        <x:v>default</x:v>
      </x:c>
      <x:c r="D744" s="34" t="str">
        <x:v>jcs321</x:v>
      </x:c>
      <x:c r="E744" s="36" t="n">
        <x:v>4</x:v>
      </x:c>
      <x:c r="F744" s="36" t="n">
        <x:v>4</x:v>
      </x:c>
      <x:c r="G744" s="36" t="n">
        <x:v>5</x:v>
      </x:c>
      <x:c r="H744" s="34" t="str">
        <x:v>cycle-window</x:v>
      </x:c>
      <x:c r="I744" s="36" t="n">
        <x:v>1</x:v>
      </x:c>
      <x:c r="J744" s="34" t="str">
        <x:v>warning</x:v>
      </x:c>
      <x:c r="K744" s="34" t="str">
        <x:v>firstUndeployWarnings</x:v>
      </x:c>
      <x:c r="L744" s="36" t="n">
        <x:v>1</x:v>
      </x:c>
      <x:c r="M744" s="34"/>
      <x:c r="N744" s="44" t="str">
        <x:v>03-Sep-2026 00:50:24.600 WARNING [http-nio-8080-exec-56]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745">
      <x:c r="A745" s="36" t="n">
        <x:v>744</x:v>
      </x:c>
      <x:c r="B745" s="34" t="str">
        <x:v>article1-unified-v4-2-fb3f101b-20260903-000401-default-f04-p2-jcs321</x:v>
      </x:c>
      <x:c r="C745" s="34" t="str">
        <x:v>default</x:v>
      </x:c>
      <x:c r="D745" s="34" t="str">
        <x:v>jcs321</x:v>
      </x:c>
      <x:c r="E745" s="36" t="n">
        <x:v>4</x:v>
      </x:c>
      <x:c r="F745" s="36" t="n">
        <x:v>4</x:v>
      </x:c>
      <x:c r="G745" s="36" t="n">
        <x:v>5</x:v>
      </x:c>
      <x:c r="H745" s="34" t="str">
        <x:v>cycle-window</x:v>
      </x:c>
      <x:c r="I745" s="36" t="n">
        <x:v>1</x:v>
      </x:c>
      <x:c r="J745" s="34" t="str">
        <x:v>leak-warning</x:v>
      </x:c>
      <x:c r="K745" s="34" t="str">
        <x:v>firstUndeployLeakWarnings</x:v>
      </x:c>
      <x:c r="L745" s="36" t="n">
        <x:v>1</x:v>
      </x:c>
      <x:c r="M745" s="34"/>
      <x:c r="N745" s="44" t="str">
        <x:v>03-Sep-2026 00:50:24.600 WARNING [http-nio-8080-exec-56]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746">
      <x:c r="A746" s="36" t="n">
        <x:v>745</x:v>
      </x:c>
      <x:c r="B746" s="34" t="str">
        <x:v>article1-unified-v4-2-fb3f101b-20260903-000401-default-f04-p2-jcs321</x:v>
      </x:c>
      <x:c r="C746" s="34" t="str">
        <x:v>default</x:v>
      </x:c>
      <x:c r="D746" s="34" t="str">
        <x:v>jcs321</x:v>
      </x:c>
      <x:c r="E746" s="36" t="n">
        <x:v>4</x:v>
      </x:c>
      <x:c r="F746" s="36" t="n">
        <x:v>4</x:v>
      </x:c>
      <x:c r="G746" s="36" t="n">
        <x:v>5</x:v>
      </x:c>
      <x:c r="H746" s="34" t="str">
        <x:v>cycle-window</x:v>
      </x:c>
      <x:c r="I746" s="36" t="n">
        <x:v>1</x:v>
      </x:c>
      <x:c r="J746" s="34" t="str">
        <x:v>thread-leak-warning</x:v>
      </x:c>
      <x:c r="K746" s="34" t="str">
        <x:v>firstUndeployThreadLeakWarnings</x:v>
      </x:c>
      <x:c r="L746" s="36" t="n">
        <x:v>1</x:v>
      </x:c>
      <x:c r="M746" s="34"/>
      <x:c r="N746" s="44" t="str">
        <x:v>03-Sep-2026 00:50:24.600 WARNING [http-nio-8080-exec-56]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747">
      <x:c r="A747" s="36" t="n">
        <x:v>746</x:v>
      </x:c>
      <x:c r="B747" s="34" t="str">
        <x:v>article1-unified-v4-2-fb3f101b-20260903-000401-default-f04-p2-jcs321</x:v>
      </x:c>
      <x:c r="C747" s="34" t="str">
        <x:v>default</x:v>
      </x:c>
      <x:c r="D747" s="34" t="str">
        <x:v>jcs321</x:v>
      </x:c>
      <x:c r="E747" s="36" t="n">
        <x:v>4</x:v>
      </x:c>
      <x:c r="F747" s="36" t="n">
        <x:v>4</x:v>
      </x:c>
      <x:c r="G747" s="36" t="n">
        <x:v>5</x:v>
      </x:c>
      <x:c r="H747" s="34" t="str">
        <x:v>cycle-window</x:v>
      </x:c>
      <x:c r="I747" s="36" t="n">
        <x:v>2</x:v>
      </x:c>
      <x:c r="J747" s="34" t="str">
        <x:v>warning</x:v>
      </x:c>
      <x:c r="K747" s="34" t="str">
        <x:v>secondUndeployWarnings</x:v>
      </x:c>
      <x:c r="L747" s="36" t="n">
        <x:v>1</x:v>
      </x:c>
      <x:c r="M747" s="34"/>
      <x:c r="N747" s="44" t="str">
        <x:v>03-Sep-2026 00:51:07.628 WARNING [http-nio-8080-exec-47]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748">
      <x:c r="A748" s="36" t="n">
        <x:v>747</x:v>
      </x:c>
      <x:c r="B748" s="34" t="str">
        <x:v>article1-unified-v4-2-fb3f101b-20260903-000401-default-f04-p2-jcs321</x:v>
      </x:c>
      <x:c r="C748" s="34" t="str">
        <x:v>default</x:v>
      </x:c>
      <x:c r="D748" s="34" t="str">
        <x:v>jcs321</x:v>
      </x:c>
      <x:c r="E748" s="36" t="n">
        <x:v>4</x:v>
      </x:c>
      <x:c r="F748" s="36" t="n">
        <x:v>4</x:v>
      </x:c>
      <x:c r="G748" s="36" t="n">
        <x:v>5</x:v>
      </x:c>
      <x:c r="H748" s="34" t="str">
        <x:v>cycle-window</x:v>
      </x:c>
      <x:c r="I748" s="36" t="n">
        <x:v>2</x:v>
      </x:c>
      <x:c r="J748" s="34" t="str">
        <x:v>leak-warning</x:v>
      </x:c>
      <x:c r="K748" s="34" t="str">
        <x:v>secondUndeployLeakWarnings</x:v>
      </x:c>
      <x:c r="L748" s="36" t="n">
        <x:v>1</x:v>
      </x:c>
      <x:c r="M748" s="34"/>
      <x:c r="N748" s="44" t="str">
        <x:v>03-Sep-2026 00:51:07.628 WARNING [http-nio-8080-exec-47]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749">
      <x:c r="A749" s="36" t="n">
        <x:v>748</x:v>
      </x:c>
      <x:c r="B749" s="34" t="str">
        <x:v>article1-unified-v4-2-fb3f101b-20260903-000401-default-f04-p2-jcs321</x:v>
      </x:c>
      <x:c r="C749" s="34" t="str">
        <x:v>default</x:v>
      </x:c>
      <x:c r="D749" s="34" t="str">
        <x:v>jcs321</x:v>
      </x:c>
      <x:c r="E749" s="36" t="n">
        <x:v>4</x:v>
      </x:c>
      <x:c r="F749" s="36" t="n">
        <x:v>4</x:v>
      </x:c>
      <x:c r="G749" s="36" t="n">
        <x:v>5</x:v>
      </x:c>
      <x:c r="H749" s="34" t="str">
        <x:v>cycle-window</x:v>
      </x:c>
      <x:c r="I749" s="36" t="n">
        <x:v>2</x:v>
      </x:c>
      <x:c r="J749" s="34" t="str">
        <x:v>thread-leak-warning</x:v>
      </x:c>
      <x:c r="K749" s="34" t="str">
        <x:v>secondUndeployThreadLeakWarnings</x:v>
      </x:c>
      <x:c r="L749" s="36" t="n">
        <x:v>1</x:v>
      </x:c>
      <x:c r="M749" s="34"/>
      <x:c r="N749" s="44" t="str">
        <x:v>03-Sep-2026 00:51:07.628 WARNING [http-nio-8080-exec-47]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750">
      <x:c r="A750" s="36" t="n">
        <x:v>749</x:v>
      </x:c>
      <x:c r="B750" s="34" t="str">
        <x:v>article1-unified-v4-2-fb3f101b-20260903-000401-default-f04-p2-jcs321</x:v>
      </x:c>
      <x:c r="C750" s="34" t="str">
        <x:v>default</x:v>
      </x:c>
      <x:c r="D750" s="34" t="str">
        <x:v>jcs321</x:v>
      </x:c>
      <x:c r="E750" s="36" t="n">
        <x:v>4</x:v>
      </x:c>
      <x:c r="F750" s="36" t="n">
        <x:v>4</x:v>
      </x:c>
      <x:c r="G750" s="36" t="n">
        <x:v>5</x:v>
      </x:c>
      <x:c r="H750" s="34" t="str">
        <x:v>cycle-observation</x:v>
      </x:c>
      <x:c r="I750" s="36" t="n">
        <x:v>1</x:v>
      </x:c>
      <x:c r="J750" s="34" t="str">
        <x:v>tomcat-findleaks-occurrence</x:v>
      </x:c>
      <x:c r="K750" s="34" t="str">
        <x:v>afterUndeploy.tomcatFindLeaksOccurrences</x:v>
      </x:c>
      <x:c r="L750" s="36" t="n">
        <x:v>1</x:v>
      </x:c>
      <x:c r="M750" s="34" t="str">
        <x:v>/jcs321</x:v>
      </x:c>
      <x:c r="N750" s="44" t="str">
        <x:v>/jcs321</x:v>
      </x:c>
    </x:row>
    <x:row r="751">
      <x:c r="A751" s="36" t="n">
        <x:v>750</x:v>
      </x:c>
      <x:c r="B751" s="34" t="str">
        <x:v>article1-unified-v4-2-fb3f101b-20260903-000401-default-f04-p2-jcs321</x:v>
      </x:c>
      <x:c r="C751" s="34" t="str">
        <x:v>default</x:v>
      </x:c>
      <x:c r="D751" s="34" t="str">
        <x:v>jcs321</x:v>
      </x:c>
      <x:c r="E751" s="36" t="n">
        <x:v>4</x:v>
      </x:c>
      <x:c r="F751" s="36" t="n">
        <x:v>4</x:v>
      </x:c>
      <x:c r="G751" s="36" t="n">
        <x:v>5</x:v>
      </x:c>
      <x:c r="H751" s="34" t="str">
        <x:v>cycle-observation</x:v>
      </x:c>
      <x:c r="I751" s="36" t="n">
        <x:v>1</x:v>
      </x:c>
      <x:c r="J751" s="34" t="str">
        <x:v>tomcat-findleaks-occurrence</x:v>
      </x:c>
      <x:c r="K751" s="34" t="str">
        <x:v>afterUndeploy.tomcatFindLeaksOccurrences</x:v>
      </x:c>
      <x:c r="L751" s="36" t="n">
        <x:v>2</x:v>
      </x:c>
      <x:c r="M751" s="34" t="str">
        <x:v>/jcs321</x:v>
      </x:c>
      <x:c r="N751" s="44" t="str">
        <x:v>/jcs321</x:v>
      </x:c>
    </x:row>
    <x:row r="752">
      <x:c r="A752" s="36" t="n">
        <x:v>751</x:v>
      </x:c>
      <x:c r="B752" s="34" t="str">
        <x:v>article1-unified-v4-2-fb3f101b-20260903-000401-default-f04-p2-jcs321</x:v>
      </x:c>
      <x:c r="C752" s="34" t="str">
        <x:v>default</x:v>
      </x:c>
      <x:c r="D752" s="34" t="str">
        <x:v>jcs321</x:v>
      </x:c>
      <x:c r="E752" s="36" t="n">
        <x:v>4</x:v>
      </x:c>
      <x:c r="F752" s="36" t="n">
        <x:v>4</x:v>
      </x:c>
      <x:c r="G752" s="36" t="n">
        <x:v>5</x:v>
      </x:c>
      <x:c r="H752" s="34" t="str">
        <x:v>cycle-observation</x:v>
      </x:c>
      <x:c r="I752" s="36" t="n">
        <x:v>1</x:v>
      </x:c>
      <x:c r="J752" s="34" t="str">
        <x:v>tomcat-findleaks-occurrence</x:v>
      </x:c>
      <x:c r="K752" s="34" t="str">
        <x:v>afterUndeploy.tomcatFindLeaksOccurrences</x:v>
      </x:c>
      <x:c r="L752" s="36" t="n">
        <x:v>3</x:v>
      </x:c>
      <x:c r="M752" s="34" t="str">
        <x:v>/jcs321</x:v>
      </x:c>
      <x:c r="N752" s="44" t="str">
        <x:v>/jcs321</x:v>
      </x:c>
    </x:row>
    <x:row r="753">
      <x:c r="A753" s="36" t="n">
        <x:v>752</x:v>
      </x:c>
      <x:c r="B753" s="34" t="str">
        <x:v>article1-unified-v4-2-fb3f101b-20260903-000401-default-f04-p2-jcs321</x:v>
      </x:c>
      <x:c r="C753" s="34" t="str">
        <x:v>default</x:v>
      </x:c>
      <x:c r="D753" s="34" t="str">
        <x:v>jcs321</x:v>
      </x:c>
      <x:c r="E753" s="36" t="n">
        <x:v>4</x:v>
      </x:c>
      <x:c r="F753" s="36" t="n">
        <x:v>4</x:v>
      </x:c>
      <x:c r="G753" s="36" t="n">
        <x:v>5</x:v>
      </x:c>
      <x:c r="H753" s="34" t="str">
        <x:v>cycle-observation</x:v>
      </x:c>
      <x:c r="I753" s="36" t="n">
        <x:v>1</x:v>
      </x:c>
      <x:c r="J753" s="34" t="str">
        <x:v>tomcat-findleaks-occurrence</x:v>
      </x:c>
      <x:c r="K753" s="34" t="str">
        <x:v>afterUndeploy.tomcatFindLeaksOccurrences</x:v>
      </x:c>
      <x:c r="L753" s="36" t="n">
        <x:v>4</x:v>
      </x:c>
      <x:c r="M753" s="34" t="str">
        <x:v>/jcs321</x:v>
      </x:c>
      <x:c r="N753" s="44" t="str">
        <x:v>/jcs321</x:v>
      </x:c>
    </x:row>
    <x:row r="754">
      <x:c r="A754" s="36" t="n">
        <x:v>753</x:v>
      </x:c>
      <x:c r="B754" s="34" t="str">
        <x:v>article1-unified-v4-2-fb3f101b-20260903-000401-default-f04-p2-jcs321</x:v>
      </x:c>
      <x:c r="C754" s="34" t="str">
        <x:v>default</x:v>
      </x:c>
      <x:c r="D754" s="34" t="str">
        <x:v>jcs321</x:v>
      </x:c>
      <x:c r="E754" s="36" t="n">
        <x:v>4</x:v>
      </x:c>
      <x:c r="F754" s="36" t="n">
        <x:v>4</x:v>
      </x:c>
      <x:c r="G754" s="36" t="n">
        <x:v>5</x:v>
      </x:c>
      <x:c r="H754" s="34" t="str">
        <x:v>cycle-observation</x:v>
      </x:c>
      <x:c r="I754" s="36" t="n">
        <x:v>1</x:v>
      </x:c>
      <x:c r="J754" s="34" t="str">
        <x:v>tomcat-findleaks-occurrence</x:v>
      </x:c>
      <x:c r="K754" s="34" t="str">
        <x:v>afterUndeploy.tomcatFindLeaksOccurrences</x:v>
      </x:c>
      <x:c r="L754" s="36" t="n">
        <x:v>5</x:v>
      </x:c>
      <x:c r="M754" s="34" t="str">
        <x:v>/jcs321</x:v>
      </x:c>
      <x:c r="N754" s="44" t="str">
        <x:v>/jcs321</x:v>
      </x:c>
    </x:row>
    <x:row r="755">
      <x:c r="A755" s="36" t="n">
        <x:v>754</x:v>
      </x:c>
      <x:c r="B755" s="34" t="str">
        <x:v>article1-unified-v4-2-fb3f101b-20260903-000401-default-f04-p2-jcs321</x:v>
      </x:c>
      <x:c r="C755" s="34" t="str">
        <x:v>default</x:v>
      </x:c>
      <x:c r="D755" s="34" t="str">
        <x:v>jcs321</x:v>
      </x:c>
      <x:c r="E755" s="36" t="n">
        <x:v>4</x:v>
      </x:c>
      <x:c r="F755" s="36" t="n">
        <x:v>4</x:v>
      </x:c>
      <x:c r="G755" s="36" t="n">
        <x:v>5</x:v>
      </x:c>
      <x:c r="H755" s="34" t="str">
        <x:v>cycle-observation</x:v>
      </x:c>
      <x:c r="I755" s="36" t="n">
        <x:v>1</x:v>
      </x:c>
      <x:c r="J755" s="34" t="str">
        <x:v>tomcat-findleaks-occurrence</x:v>
      </x:c>
      <x:c r="K755" s="34" t="str">
        <x:v>afterUndeploy.tomcatFindLeaksOccurrences</x:v>
      </x:c>
      <x:c r="L755" s="36" t="n">
        <x:v>6</x:v>
      </x:c>
      <x:c r="M755" s="34" t="str">
        <x:v>/jcs321</x:v>
      </x:c>
      <x:c r="N755" s="44" t="str">
        <x:v>/jcs321</x:v>
      </x:c>
    </x:row>
    <x:row r="756">
      <x:c r="A756" s="36" t="n">
        <x:v>755</x:v>
      </x:c>
      <x:c r="B756" s="34" t="str">
        <x:v>article1-unified-v4-2-fb3f101b-20260903-000401-default-f04-p2-jcs321</x:v>
      </x:c>
      <x:c r="C756" s="34" t="str">
        <x:v>default</x:v>
      </x:c>
      <x:c r="D756" s="34" t="str">
        <x:v>jcs321</x:v>
      </x:c>
      <x:c r="E756" s="36" t="n">
        <x:v>4</x:v>
      </x:c>
      <x:c r="F756" s="36" t="n">
        <x:v>4</x:v>
      </x:c>
      <x:c r="G756" s="36" t="n">
        <x:v>5</x:v>
      </x:c>
      <x:c r="H756" s="34" t="str">
        <x:v>cycle-observation</x:v>
      </x:c>
      <x:c r="I756" s="36" t="n">
        <x:v>1</x:v>
      </x:c>
      <x:c r="J756" s="34" t="str">
        <x:v>tomcat-findleaks-occurrence</x:v>
      </x:c>
      <x:c r="K756" s="34" t="str">
        <x:v>afterUndeploy.tomcatFindLeaksOccurrences</x:v>
      </x:c>
      <x:c r="L756" s="36" t="n">
        <x:v>7</x:v>
      </x:c>
      <x:c r="M756" s="34" t="str">
        <x:v>/jcs321</x:v>
      </x:c>
      <x:c r="N756" s="44" t="str">
        <x:v>/jcs321</x:v>
      </x:c>
    </x:row>
    <x:row r="757">
      <x:c r="A757" s="36" t="n">
        <x:v>756</x:v>
      </x:c>
      <x:c r="B757" s="34" t="str">
        <x:v>article1-unified-v4-2-fb3f101b-20260903-000401-default-f04-p2-jcs321</x:v>
      </x:c>
      <x:c r="C757" s="34" t="str">
        <x:v>default</x:v>
      </x:c>
      <x:c r="D757" s="34" t="str">
        <x:v>jcs321</x:v>
      </x:c>
      <x:c r="E757" s="36" t="n">
        <x:v>4</x:v>
      </x:c>
      <x:c r="F757" s="36" t="n">
        <x:v>4</x:v>
      </x:c>
      <x:c r="G757" s="36" t="n">
        <x:v>5</x:v>
      </x:c>
      <x:c r="H757" s="34" t="str">
        <x:v>cycle-observation</x:v>
      </x:c>
      <x:c r="I757" s="36" t="n">
        <x:v>1</x:v>
      </x:c>
      <x:c r="J757" s="34" t="str">
        <x:v>tomcat-findleaks-occurrence</x:v>
      </x:c>
      <x:c r="K757" s="34" t="str">
        <x:v>afterUndeploy.tomcatFindLeaksOccurrences</x:v>
      </x:c>
      <x:c r="L757" s="36" t="n">
        <x:v>8</x:v>
      </x:c>
      <x:c r="M757" s="34" t="str">
        <x:v>/jcs321</x:v>
      </x:c>
      <x:c r="N757" s="44" t="str">
        <x:v>/jcs321</x:v>
      </x:c>
    </x:row>
    <x:row r="758">
      <x:c r="A758" s="36" t="n">
        <x:v>757</x:v>
      </x:c>
      <x:c r="B758" s="34" t="str">
        <x:v>article1-unified-v4-2-fb3f101b-20260903-000401-default-f04-p2-jcs321</x:v>
      </x:c>
      <x:c r="C758" s="34" t="str">
        <x:v>default</x:v>
      </x:c>
      <x:c r="D758" s="34" t="str">
        <x:v>jcs321</x:v>
      </x:c>
      <x:c r="E758" s="36" t="n">
        <x:v>4</x:v>
      </x:c>
      <x:c r="F758" s="36" t="n">
        <x:v>4</x:v>
      </x:c>
      <x:c r="G758" s="36" t="n">
        <x:v>5</x:v>
      </x:c>
      <x:c r="H758" s="34" t="str">
        <x:v>cycle-observation</x:v>
      </x:c>
      <x:c r="I758" s="36" t="n">
        <x:v>1</x:v>
      </x:c>
      <x:c r="J758" s="34" t="str">
        <x:v>tomcat-findleaks-occurrence</x:v>
      </x:c>
      <x:c r="K758" s="34" t="str">
        <x:v>afterUndeploy.tomcatFindLeaksOccurrences</x:v>
      </x:c>
      <x:c r="L758" s="36" t="n">
        <x:v>9</x:v>
      </x:c>
      <x:c r="M758" s="34" t="str">
        <x:v>/jcs321</x:v>
      </x:c>
      <x:c r="N758" s="44" t="str">
        <x:v>/jcs321</x:v>
      </x:c>
    </x:row>
    <x:row r="759">
      <x:c r="A759" s="36" t="n">
        <x:v>758</x:v>
      </x:c>
      <x:c r="B759" s="34" t="str">
        <x:v>article1-unified-v4-2-fb3f101b-20260903-000401-default-f04-p2-jcs321</x:v>
      </x:c>
      <x:c r="C759" s="34" t="str">
        <x:v>default</x:v>
      </x:c>
      <x:c r="D759" s="34" t="str">
        <x:v>jcs321</x:v>
      </x:c>
      <x:c r="E759" s="36" t="n">
        <x:v>4</x:v>
      </x:c>
      <x:c r="F759" s="36" t="n">
        <x:v>4</x:v>
      </x:c>
      <x:c r="G759" s="36" t="n">
        <x:v>5</x:v>
      </x:c>
      <x:c r="H759" s="34" t="str">
        <x:v>cycle-observation</x:v>
      </x:c>
      <x:c r="I759" s="36" t="n">
        <x:v>2</x:v>
      </x:c>
      <x:c r="J759" s="34" t="str">
        <x:v>tomcat-findleaks-occurrence</x:v>
      </x:c>
      <x:c r="K759" s="34" t="str">
        <x:v>afterFinalUndeploy.tomcatFindLeaksOccurrences</x:v>
      </x:c>
      <x:c r="L759" s="36" t="n">
        <x:v>1</x:v>
      </x:c>
      <x:c r="M759" s="34" t="str">
        <x:v>/jcs321</x:v>
      </x:c>
      <x:c r="N759" s="44" t="str">
        <x:v>/jcs321</x:v>
      </x:c>
    </x:row>
    <x:row r="760">
      <x:c r="A760" s="36" t="n">
        <x:v>759</x:v>
      </x:c>
      <x:c r="B760" s="34" t="str">
        <x:v>article1-unified-v4-2-fb3f101b-20260903-000401-default-f04-p2-jcs321</x:v>
      </x:c>
      <x:c r="C760" s="34" t="str">
        <x:v>default</x:v>
      </x:c>
      <x:c r="D760" s="34" t="str">
        <x:v>jcs321</x:v>
      </x:c>
      <x:c r="E760" s="36" t="n">
        <x:v>4</x:v>
      </x:c>
      <x:c r="F760" s="36" t="n">
        <x:v>4</x:v>
      </x:c>
      <x:c r="G760" s="36" t="n">
        <x:v>5</x:v>
      </x:c>
      <x:c r="H760" s="34" t="str">
        <x:v>cycle-observation</x:v>
      </x:c>
      <x:c r="I760" s="36" t="n">
        <x:v>2</x:v>
      </x:c>
      <x:c r="J760" s="34" t="str">
        <x:v>tomcat-findleaks-occurrence</x:v>
      </x:c>
      <x:c r="K760" s="34" t="str">
        <x:v>afterFinalUndeploy.tomcatFindLeaksOccurrences</x:v>
      </x:c>
      <x:c r="L760" s="36" t="n">
        <x:v>2</x:v>
      </x:c>
      <x:c r="M760" s="34" t="str">
        <x:v>/jcs321</x:v>
      </x:c>
      <x:c r="N760" s="44" t="str">
        <x:v>/jcs321</x:v>
      </x:c>
    </x:row>
    <x:row r="761">
      <x:c r="A761" s="36" t="n">
        <x:v>760</x:v>
      </x:c>
      <x:c r="B761" s="34" t="str">
        <x:v>article1-unified-v4-2-fb3f101b-20260903-000401-default-f04-p2-jcs321</x:v>
      </x:c>
      <x:c r="C761" s="34" t="str">
        <x:v>default</x:v>
      </x:c>
      <x:c r="D761" s="34" t="str">
        <x:v>jcs321</x:v>
      </x:c>
      <x:c r="E761" s="36" t="n">
        <x:v>4</x:v>
      </x:c>
      <x:c r="F761" s="36" t="n">
        <x:v>4</x:v>
      </x:c>
      <x:c r="G761" s="36" t="n">
        <x:v>5</x:v>
      </x:c>
      <x:c r="H761" s="34" t="str">
        <x:v>cycle-observation</x:v>
      </x:c>
      <x:c r="I761" s="36" t="n">
        <x:v>2</x:v>
      </x:c>
      <x:c r="J761" s="34" t="str">
        <x:v>tomcat-findleaks-occurrence</x:v>
      </x:c>
      <x:c r="K761" s="34" t="str">
        <x:v>afterFinalUndeploy.tomcatFindLeaksOccurrences</x:v>
      </x:c>
      <x:c r="L761" s="36" t="n">
        <x:v>3</x:v>
      </x:c>
      <x:c r="M761" s="34" t="str">
        <x:v>/jcs321</x:v>
      </x:c>
      <x:c r="N761" s="44" t="str">
        <x:v>/jcs321</x:v>
      </x:c>
    </x:row>
    <x:row r="762">
      <x:c r="A762" s="36" t="n">
        <x:v>761</x:v>
      </x:c>
      <x:c r="B762" s="34" t="str">
        <x:v>article1-unified-v4-2-fb3f101b-20260903-000401-default-f04-p2-jcs321</x:v>
      </x:c>
      <x:c r="C762" s="34" t="str">
        <x:v>default</x:v>
      </x:c>
      <x:c r="D762" s="34" t="str">
        <x:v>jcs321</x:v>
      </x:c>
      <x:c r="E762" s="36" t="n">
        <x:v>4</x:v>
      </x:c>
      <x:c r="F762" s="36" t="n">
        <x:v>4</x:v>
      </x:c>
      <x:c r="G762" s="36" t="n">
        <x:v>5</x:v>
      </x:c>
      <x:c r="H762" s="34" t="str">
        <x:v>cycle-observation</x:v>
      </x:c>
      <x:c r="I762" s="36" t="n">
        <x:v>2</x:v>
      </x:c>
      <x:c r="J762" s="34" t="str">
        <x:v>tomcat-findleaks-occurrence</x:v>
      </x:c>
      <x:c r="K762" s="34" t="str">
        <x:v>afterFinalUndeploy.tomcatFindLeaksOccurrences</x:v>
      </x:c>
      <x:c r="L762" s="36" t="n">
        <x:v>4</x:v>
      </x:c>
      <x:c r="M762" s="34" t="str">
        <x:v>/jcs321</x:v>
      </x:c>
      <x:c r="N762" s="44" t="str">
        <x:v>/jcs321</x:v>
      </x:c>
    </x:row>
    <x:row r="763">
      <x:c r="A763" s="36" t="n">
        <x:v>762</x:v>
      </x:c>
      <x:c r="B763" s="34" t="str">
        <x:v>article1-unified-v4-2-fb3f101b-20260903-000401-default-f04-p2-jcs321</x:v>
      </x:c>
      <x:c r="C763" s="34" t="str">
        <x:v>default</x:v>
      </x:c>
      <x:c r="D763" s="34" t="str">
        <x:v>jcs321</x:v>
      </x:c>
      <x:c r="E763" s="36" t="n">
        <x:v>4</x:v>
      </x:c>
      <x:c r="F763" s="36" t="n">
        <x:v>4</x:v>
      </x:c>
      <x:c r="G763" s="36" t="n">
        <x:v>5</x:v>
      </x:c>
      <x:c r="H763" s="34" t="str">
        <x:v>cycle-observation</x:v>
      </x:c>
      <x:c r="I763" s="36" t="n">
        <x:v>2</x:v>
      </x:c>
      <x:c r="J763" s="34" t="str">
        <x:v>tomcat-findleaks-occurrence</x:v>
      </x:c>
      <x:c r="K763" s="34" t="str">
        <x:v>afterFinalUndeploy.tomcatFindLeaksOccurrences</x:v>
      </x:c>
      <x:c r="L763" s="36" t="n">
        <x:v>5</x:v>
      </x:c>
      <x:c r="M763" s="34" t="str">
        <x:v>/jcs321</x:v>
      </x:c>
      <x:c r="N763" s="44" t="str">
        <x:v>/jcs321</x:v>
      </x:c>
    </x:row>
    <x:row r="764">
      <x:c r="A764" s="36" t="n">
        <x:v>763</x:v>
      </x:c>
      <x:c r="B764" s="34" t="str">
        <x:v>article1-unified-v4-2-fb3f101b-20260903-000401-default-f04-p2-jcs321</x:v>
      </x:c>
      <x:c r="C764" s="34" t="str">
        <x:v>default</x:v>
      </x:c>
      <x:c r="D764" s="34" t="str">
        <x:v>jcs321</x:v>
      </x:c>
      <x:c r="E764" s="36" t="n">
        <x:v>4</x:v>
      </x:c>
      <x:c r="F764" s="36" t="n">
        <x:v>4</x:v>
      </x:c>
      <x:c r="G764" s="36" t="n">
        <x:v>5</x:v>
      </x:c>
      <x:c r="H764" s="34" t="str">
        <x:v>cycle-observation</x:v>
      </x:c>
      <x:c r="I764" s="36" t="n">
        <x:v>2</x:v>
      </x:c>
      <x:c r="J764" s="34" t="str">
        <x:v>tomcat-findleaks-occurrence</x:v>
      </x:c>
      <x:c r="K764" s="34" t="str">
        <x:v>afterFinalUndeploy.tomcatFindLeaksOccurrences</x:v>
      </x:c>
      <x:c r="L764" s="36" t="n">
        <x:v>6</x:v>
      </x:c>
      <x:c r="M764" s="34" t="str">
        <x:v>/jcs321</x:v>
      </x:c>
      <x:c r="N764" s="44" t="str">
        <x:v>/jcs321</x:v>
      </x:c>
    </x:row>
    <x:row r="765">
      <x:c r="A765" s="36" t="n">
        <x:v>764</x:v>
      </x:c>
      <x:c r="B765" s="34" t="str">
        <x:v>article1-unified-v4-2-fb3f101b-20260903-000401-default-f04-p2-jcs321</x:v>
      </x:c>
      <x:c r="C765" s="34" t="str">
        <x:v>default</x:v>
      </x:c>
      <x:c r="D765" s="34" t="str">
        <x:v>jcs321</x:v>
      </x:c>
      <x:c r="E765" s="36" t="n">
        <x:v>4</x:v>
      </x:c>
      <x:c r="F765" s="36" t="n">
        <x:v>4</x:v>
      </x:c>
      <x:c r="G765" s="36" t="n">
        <x:v>5</x:v>
      </x:c>
      <x:c r="H765" s="34" t="str">
        <x:v>cycle-observation</x:v>
      </x:c>
      <x:c r="I765" s="36" t="n">
        <x:v>2</x:v>
      </x:c>
      <x:c r="J765" s="34" t="str">
        <x:v>tomcat-findleaks-occurrence</x:v>
      </x:c>
      <x:c r="K765" s="34" t="str">
        <x:v>afterFinalUndeploy.tomcatFindLeaksOccurrences</x:v>
      </x:c>
      <x:c r="L765" s="36" t="n">
        <x:v>7</x:v>
      </x:c>
      <x:c r="M765" s="34" t="str">
        <x:v>/jcs321</x:v>
      </x:c>
      <x:c r="N765" s="44" t="str">
        <x:v>/jcs321</x:v>
      </x:c>
    </x:row>
    <x:row r="766">
      <x:c r="A766" s="36" t="n">
        <x:v>765</x:v>
      </x:c>
      <x:c r="B766" s="34" t="str">
        <x:v>article1-unified-v4-2-fb3f101b-20260903-000401-default-f04-p2-jcs321</x:v>
      </x:c>
      <x:c r="C766" s="34" t="str">
        <x:v>default</x:v>
      </x:c>
      <x:c r="D766" s="34" t="str">
        <x:v>jcs321</x:v>
      </x:c>
      <x:c r="E766" s="36" t="n">
        <x:v>4</x:v>
      </x:c>
      <x:c r="F766" s="36" t="n">
        <x:v>4</x:v>
      </x:c>
      <x:c r="G766" s="36" t="n">
        <x:v>5</x:v>
      </x:c>
      <x:c r="H766" s="34" t="str">
        <x:v>cycle-observation</x:v>
      </x:c>
      <x:c r="I766" s="36" t="n">
        <x:v>2</x:v>
      </x:c>
      <x:c r="J766" s="34" t="str">
        <x:v>tomcat-findleaks-occurrence</x:v>
      </x:c>
      <x:c r="K766" s="34" t="str">
        <x:v>afterFinalUndeploy.tomcatFindLeaksOccurrences</x:v>
      </x:c>
      <x:c r="L766" s="36" t="n">
        <x:v>8</x:v>
      </x:c>
      <x:c r="M766" s="34" t="str">
        <x:v>/jcs321</x:v>
      </x:c>
      <x:c r="N766" s="44" t="str">
        <x:v>/jcs321</x:v>
      </x:c>
    </x:row>
    <x:row r="767">
      <x:c r="A767" s="36" t="n">
        <x:v>766</x:v>
      </x:c>
      <x:c r="B767" s="34" t="str">
        <x:v>article1-unified-v4-2-fb3f101b-20260903-000401-default-f04-p2-jcs321</x:v>
      </x:c>
      <x:c r="C767" s="34" t="str">
        <x:v>default</x:v>
      </x:c>
      <x:c r="D767" s="34" t="str">
        <x:v>jcs321</x:v>
      </x:c>
      <x:c r="E767" s="36" t="n">
        <x:v>4</x:v>
      </x:c>
      <x:c r="F767" s="36" t="n">
        <x:v>4</x:v>
      </x:c>
      <x:c r="G767" s="36" t="n">
        <x:v>5</x:v>
      </x:c>
      <x:c r="H767" s="34" t="str">
        <x:v>cycle-observation</x:v>
      </x:c>
      <x:c r="I767" s="36" t="n">
        <x:v>2</x:v>
      </x:c>
      <x:c r="J767" s="34" t="str">
        <x:v>tomcat-findleaks-occurrence</x:v>
      </x:c>
      <x:c r="K767" s="34" t="str">
        <x:v>afterFinalUndeploy.tomcatFindLeaksOccurrences</x:v>
      </x:c>
      <x:c r="L767" s="36" t="n">
        <x:v>9</x:v>
      </x:c>
      <x:c r="M767" s="34" t="str">
        <x:v>/jcs321</x:v>
      </x:c>
      <x:c r="N767" s="44" t="str">
        <x:v>/jcs321</x:v>
      </x:c>
    </x:row>
    <x:row r="768">
      <x:c r="A768" s="36" t="n">
        <x:v>767</x:v>
      </x:c>
      <x:c r="B768" s="34" t="str">
        <x:v>article1-unified-v4-2-fb3f101b-20260903-000401-default-f04-p2-jcs321</x:v>
      </x:c>
      <x:c r="C768" s="34" t="str">
        <x:v>default</x:v>
      </x:c>
      <x:c r="D768" s="34" t="str">
        <x:v>jcs321</x:v>
      </x:c>
      <x:c r="E768" s="36" t="n">
        <x:v>4</x:v>
      </x:c>
      <x:c r="F768" s="36" t="n">
        <x:v>4</x:v>
      </x:c>
      <x:c r="G768" s="36" t="n">
        <x:v>5</x:v>
      </x:c>
      <x:c r="H768" s="34" t="str">
        <x:v>cycle-observation</x:v>
      </x:c>
      <x:c r="I768" s="36" t="n">
        <x:v>2</x:v>
      </x:c>
      <x:c r="J768" s="34" t="str">
        <x:v>tomcat-findleaks-occurrence</x:v>
      </x:c>
      <x:c r="K768" s="34" t="str">
        <x:v>afterFinalUndeploy.tomcatFindLeaksOccurrences</x:v>
      </x:c>
      <x:c r="L768" s="36" t="n">
        <x:v>10</x:v>
      </x:c>
      <x:c r="M768" s="34" t="str">
        <x:v>/jcs321</x:v>
      </x:c>
      <x:c r="N768" s="44" t="str">
        <x:v>/jcs321</x:v>
      </x:c>
    </x:row>
    <x:row r="769">
      <x:c r="A769" s="36" t="n">
        <x:v>768</x:v>
      </x:c>
      <x:c r="B769" s="34" t="str">
        <x:v>article1-unified-v4-2-fb3f101b-20260903-000401-default-f04-p3-cache2k</x:v>
      </x:c>
      <x:c r="C769" s="34" t="str">
        <x:v>default</x:v>
      </x:c>
      <x:c r="D769" s="34" t="str">
        <x:v>cache2k</x:v>
      </x:c>
      <x:c r="E769" s="36" t="n">
        <x:v>4</x:v>
      </x:c>
      <x:c r="F769" s="36" t="n">
        <x:v>4</x:v>
      </x:c>
      <x:c r="G769" s="36" t="n">
        <x:v>1</x:v>
      </x:c>
      <x:c r="H769" s="34" t="str">
        <x:v>cycle-observation</x:v>
      </x:c>
      <x:c r="I769" s="36" t="n">
        <x:v>1</x:v>
      </x:c>
      <x:c r="J769" s="34" t="str">
        <x:v>tomcat-findleaks-occurrence</x:v>
      </x:c>
      <x:c r="K769" s="34" t="str">
        <x:v>afterUndeploy.tomcatFindLeaksOccurrences</x:v>
      </x:c>
      <x:c r="L769" s="36" t="n">
        <x:v>1</x:v>
      </x:c>
      <x:c r="M769" s="34" t="str">
        <x:v>/cache2k</x:v>
      </x:c>
      <x:c r="N769" s="44" t="str">
        <x:v>/cache2k</x:v>
      </x:c>
    </x:row>
    <x:row r="770">
      <x:c r="A770" s="36" t="n">
        <x:v>769</x:v>
      </x:c>
      <x:c r="B770" s="34" t="str">
        <x:v>article1-unified-v4-2-fb3f101b-20260903-000401-default-f04-p3-cache2k</x:v>
      </x:c>
      <x:c r="C770" s="34" t="str">
        <x:v>default</x:v>
      </x:c>
      <x:c r="D770" s="34" t="str">
        <x:v>cache2k</x:v>
      </x:c>
      <x:c r="E770" s="36" t="n">
        <x:v>4</x:v>
      </x:c>
      <x:c r="F770" s="36" t="n">
        <x:v>4</x:v>
      </x:c>
      <x:c r="G770" s="36" t="n">
        <x:v>1</x:v>
      </x:c>
      <x:c r="H770" s="34" t="str">
        <x:v>cycle-observation</x:v>
      </x:c>
      <x:c r="I770" s="36" t="n">
        <x:v>2</x:v>
      </x:c>
      <x:c r="J770" s="34" t="str">
        <x:v>tomcat-findleaks-occurrence</x:v>
      </x:c>
      <x:c r="K770" s="34" t="str">
        <x:v>afterFinalUndeploy.tomcatFindLeaksOccurrences</x:v>
      </x:c>
      <x:c r="L770" s="36" t="n">
        <x:v>1</x:v>
      </x:c>
      <x:c r="M770" s="34" t="str">
        <x:v>/cache2k</x:v>
      </x:c>
      <x:c r="N770" s="44" t="str">
        <x:v>/cache2k</x:v>
      </x:c>
    </x:row>
    <x:row r="771">
      <x:c r="A771" s="36" t="n">
        <x:v>770</x:v>
      </x:c>
      <x:c r="B771" s="34" t="str">
        <x:v>article1-unified-v4-2-fb3f101b-20260903-000401-default-f04-p3-cache2k</x:v>
      </x:c>
      <x:c r="C771" s="34" t="str">
        <x:v>default</x:v>
      </x:c>
      <x:c r="D771" s="34" t="str">
        <x:v>cache2k</x:v>
      </x:c>
      <x:c r="E771" s="36" t="n">
        <x:v>4</x:v>
      </x:c>
      <x:c r="F771" s="36" t="n">
        <x:v>4</x:v>
      </x:c>
      <x:c r="G771" s="36" t="n">
        <x:v>2</x:v>
      </x:c>
      <x:c r="H771" s="34" t="str">
        <x:v>cycle-observation</x:v>
      </x:c>
      <x:c r="I771" s="36" t="n">
        <x:v>1</x:v>
      </x:c>
      <x:c r="J771" s="34" t="str">
        <x:v>tomcat-findleaks-occurrence</x:v>
      </x:c>
      <x:c r="K771" s="34" t="str">
        <x:v>afterUndeploy.tomcatFindLeaksOccurrences</x:v>
      </x:c>
      <x:c r="L771" s="36" t="n">
        <x:v>1</x:v>
      </x:c>
      <x:c r="M771" s="34" t="str">
        <x:v>/cache2k</x:v>
      </x:c>
      <x:c r="N771" s="44" t="str">
        <x:v>/cache2k</x:v>
      </x:c>
    </x:row>
    <x:row r="772">
      <x:c r="A772" s="36" t="n">
        <x:v>771</x:v>
      </x:c>
      <x:c r="B772" s="34" t="str">
        <x:v>article1-unified-v4-2-fb3f101b-20260903-000401-default-f04-p3-cache2k</x:v>
      </x:c>
      <x:c r="C772" s="34" t="str">
        <x:v>default</x:v>
      </x:c>
      <x:c r="D772" s="34" t="str">
        <x:v>cache2k</x:v>
      </x:c>
      <x:c r="E772" s="36" t="n">
        <x:v>4</x:v>
      </x:c>
      <x:c r="F772" s="36" t="n">
        <x:v>4</x:v>
      </x:c>
      <x:c r="G772" s="36" t="n">
        <x:v>2</x:v>
      </x:c>
      <x:c r="H772" s="34" t="str">
        <x:v>cycle-observation</x:v>
      </x:c>
      <x:c r="I772" s="36" t="n">
        <x:v>2</x:v>
      </x:c>
      <x:c r="J772" s="34" t="str">
        <x:v>tomcat-findleaks-occurrence</x:v>
      </x:c>
      <x:c r="K772" s="34" t="str">
        <x:v>afterFinalUndeploy.tomcatFindLeaksOccurrences</x:v>
      </x:c>
      <x:c r="L772" s="36" t="n">
        <x:v>1</x:v>
      </x:c>
      <x:c r="M772" s="34" t="str">
        <x:v>/cache2k</x:v>
      </x:c>
      <x:c r="N772" s="44" t="str">
        <x:v>/cache2k</x:v>
      </x:c>
    </x:row>
    <x:row r="773">
      <x:c r="A773" s="36" t="n">
        <x:v>772</x:v>
      </x:c>
      <x:c r="B773" s="34" t="str">
        <x:v>article1-unified-v4-2-fb3f101b-20260903-000401-default-f04-p3-cache2k</x:v>
      </x:c>
      <x:c r="C773" s="34" t="str">
        <x:v>default</x:v>
      </x:c>
      <x:c r="D773" s="34" t="str">
        <x:v>cache2k</x:v>
      </x:c>
      <x:c r="E773" s="36" t="n">
        <x:v>4</x:v>
      </x:c>
      <x:c r="F773" s="36" t="n">
        <x:v>4</x:v>
      </x:c>
      <x:c r="G773" s="36" t="n">
        <x:v>3</x:v>
      </x:c>
      <x:c r="H773" s="34" t="str">
        <x:v>cycle-observation</x:v>
      </x:c>
      <x:c r="I773" s="36" t="n">
        <x:v>1</x:v>
      </x:c>
      <x:c r="J773" s="34" t="str">
        <x:v>tomcat-findleaks-occurrence</x:v>
      </x:c>
      <x:c r="K773" s="34" t="str">
        <x:v>afterUndeploy.tomcatFindLeaksOccurrences</x:v>
      </x:c>
      <x:c r="L773" s="36" t="n">
        <x:v>1</x:v>
      </x:c>
      <x:c r="M773" s="34" t="str">
        <x:v>/cache2k</x:v>
      </x:c>
      <x:c r="N773" s="44" t="str">
        <x:v>/cache2k</x:v>
      </x:c>
    </x:row>
    <x:row r="774">
      <x:c r="A774" s="36" t="n">
        <x:v>773</x:v>
      </x:c>
      <x:c r="B774" s="34" t="str">
        <x:v>article1-unified-v4-2-fb3f101b-20260903-000401-default-f04-p3-cache2k</x:v>
      </x:c>
      <x:c r="C774" s="34" t="str">
        <x:v>default</x:v>
      </x:c>
      <x:c r="D774" s="34" t="str">
        <x:v>cache2k</x:v>
      </x:c>
      <x:c r="E774" s="36" t="n">
        <x:v>4</x:v>
      </x:c>
      <x:c r="F774" s="36" t="n">
        <x:v>4</x:v>
      </x:c>
      <x:c r="G774" s="36" t="n">
        <x:v>3</x:v>
      </x:c>
      <x:c r="H774" s="34" t="str">
        <x:v>cycle-observation</x:v>
      </x:c>
      <x:c r="I774" s="36" t="n">
        <x:v>2</x:v>
      </x:c>
      <x:c r="J774" s="34" t="str">
        <x:v>tomcat-findleaks-occurrence</x:v>
      </x:c>
      <x:c r="K774" s="34" t="str">
        <x:v>afterFinalUndeploy.tomcatFindLeaksOccurrences</x:v>
      </x:c>
      <x:c r="L774" s="36" t="n">
        <x:v>1</x:v>
      </x:c>
      <x:c r="M774" s="34" t="str">
        <x:v>/cache2k</x:v>
      </x:c>
      <x:c r="N774" s="44" t="str">
        <x:v>/cache2k</x:v>
      </x:c>
    </x:row>
    <x:row r="775">
      <x:c r="A775" s="36" t="n">
        <x:v>774</x:v>
      </x:c>
      <x:c r="B775" s="34" t="str">
        <x:v>article1-unified-v4-2-fb3f101b-20260903-000401-default-f04-p3-cache2k</x:v>
      </x:c>
      <x:c r="C775" s="34" t="str">
        <x:v>default</x:v>
      </x:c>
      <x:c r="D775" s="34" t="str">
        <x:v>cache2k</x:v>
      </x:c>
      <x:c r="E775" s="36" t="n">
        <x:v>4</x:v>
      </x:c>
      <x:c r="F775" s="36" t="n">
        <x:v>4</x:v>
      </x:c>
      <x:c r="G775" s="36" t="n">
        <x:v>4</x:v>
      </x:c>
      <x:c r="H775" s="34" t="str">
        <x:v>cycle-observation</x:v>
      </x:c>
      <x:c r="I775" s="36" t="n">
        <x:v>1</x:v>
      </x:c>
      <x:c r="J775" s="34" t="str">
        <x:v>tomcat-findleaks-occurrence</x:v>
      </x:c>
      <x:c r="K775" s="34" t="str">
        <x:v>afterUndeploy.tomcatFindLeaksOccurrences</x:v>
      </x:c>
      <x:c r="L775" s="36" t="n">
        <x:v>1</x:v>
      </x:c>
      <x:c r="M775" s="34" t="str">
        <x:v>/cache2k</x:v>
      </x:c>
      <x:c r="N775" s="44" t="str">
        <x:v>/cache2k</x:v>
      </x:c>
    </x:row>
    <x:row r="776">
      <x:c r="A776" s="36" t="n">
        <x:v>775</x:v>
      </x:c>
      <x:c r="B776" s="34" t="str">
        <x:v>article1-unified-v4-2-fb3f101b-20260903-000401-default-f04-p3-cache2k</x:v>
      </x:c>
      <x:c r="C776" s="34" t="str">
        <x:v>default</x:v>
      </x:c>
      <x:c r="D776" s="34" t="str">
        <x:v>cache2k</x:v>
      </x:c>
      <x:c r="E776" s="36" t="n">
        <x:v>4</x:v>
      </x:c>
      <x:c r="F776" s="36" t="n">
        <x:v>4</x:v>
      </x:c>
      <x:c r="G776" s="36" t="n">
        <x:v>4</x:v>
      </x:c>
      <x:c r="H776" s="34" t="str">
        <x:v>cycle-observation</x:v>
      </x:c>
      <x:c r="I776" s="36" t="n">
        <x:v>2</x:v>
      </x:c>
      <x:c r="J776" s="34" t="str">
        <x:v>tomcat-findleaks-occurrence</x:v>
      </x:c>
      <x:c r="K776" s="34" t="str">
        <x:v>afterFinalUndeploy.tomcatFindLeaksOccurrences</x:v>
      </x:c>
      <x:c r="L776" s="36" t="n">
        <x:v>1</x:v>
      </x:c>
      <x:c r="M776" s="34" t="str">
        <x:v>/cache2k</x:v>
      </x:c>
      <x:c r="N776" s="44" t="str">
        <x:v>/cache2k</x:v>
      </x:c>
    </x:row>
    <x:row r="777">
      <x:c r="A777" s="36" t="n">
        <x:v>776</x:v>
      </x:c>
      <x:c r="B777" s="34" t="str">
        <x:v>article1-unified-v4-2-fb3f101b-20260903-000401-default-f04-p3-cache2k</x:v>
      </x:c>
      <x:c r="C777" s="34" t="str">
        <x:v>default</x:v>
      </x:c>
      <x:c r="D777" s="34" t="str">
        <x:v>cache2k</x:v>
      </x:c>
      <x:c r="E777" s="36" t="n">
        <x:v>4</x:v>
      </x:c>
      <x:c r="F777" s="36" t="n">
        <x:v>4</x:v>
      </x:c>
      <x:c r="G777" s="36" t="n">
        <x:v>5</x:v>
      </x:c>
      <x:c r="H777" s="34" t="str">
        <x:v>cycle-observation</x:v>
      </x:c>
      <x:c r="I777" s="36" t="n">
        <x:v>1</x:v>
      </x:c>
      <x:c r="J777" s="34" t="str">
        <x:v>tomcat-findleaks-occurrence</x:v>
      </x:c>
      <x:c r="K777" s="34" t="str">
        <x:v>afterUndeploy.tomcatFindLeaksOccurrences</x:v>
      </x:c>
      <x:c r="L777" s="36" t="n">
        <x:v>1</x:v>
      </x:c>
      <x:c r="M777" s="34" t="str">
        <x:v>/cache2k</x:v>
      </x:c>
      <x:c r="N777" s="44" t="str">
        <x:v>/cache2k</x:v>
      </x:c>
    </x:row>
    <x:row r="778">
      <x:c r="A778" s="36" t="n">
        <x:v>777</x:v>
      </x:c>
      <x:c r="B778" s="34" t="str">
        <x:v>article1-unified-v4-2-fb3f101b-20260903-000401-default-f04-p3-cache2k</x:v>
      </x:c>
      <x:c r="C778" s="34" t="str">
        <x:v>default</x:v>
      </x:c>
      <x:c r="D778" s="34" t="str">
        <x:v>cache2k</x:v>
      </x:c>
      <x:c r="E778" s="36" t="n">
        <x:v>4</x:v>
      </x:c>
      <x:c r="F778" s="36" t="n">
        <x:v>4</x:v>
      </x:c>
      <x:c r="G778" s="36" t="n">
        <x:v>5</x:v>
      </x:c>
      <x:c r="H778" s="34" t="str">
        <x:v>cycle-observation</x:v>
      </x:c>
      <x:c r="I778" s="36" t="n">
        <x:v>2</x:v>
      </x:c>
      <x:c r="J778" s="34" t="str">
        <x:v>tomcat-findleaks-occurrence</x:v>
      </x:c>
      <x:c r="K778" s="34" t="str">
        <x:v>afterFinalUndeploy.tomcatFindLeaksOccurrences</x:v>
      </x:c>
      <x:c r="L778" s="36" t="n">
        <x:v>1</x:v>
      </x:c>
      <x:c r="M778" s="34" t="str">
        <x:v>/cache2k</x:v>
      </x:c>
      <x:c r="N778" s="44" t="str">
        <x:v>/cache2k</x:v>
      </x:c>
    </x:row>
    <x:row r="779">
      <x:c r="A779" s="36" t="n">
        <x:v>778</x:v>
      </x:c>
      <x:c r="B779" s="34" t="str">
        <x:v>article1-unified-v4-2-fb3f101b-20260903-000401-default-f04-p4-nostore</x:v>
      </x:c>
      <x:c r="C779" s="34" t="str">
        <x:v>default</x:v>
      </x:c>
      <x:c r="D779" s="34" t="str">
        <x:v>nostore</x:v>
      </x:c>
      <x:c r="E779" s="36" t="n">
        <x:v>4</x:v>
      </x:c>
      <x:c r="F779" s="36" t="n">
        <x:v>4</x:v>
      </x:c>
      <x:c r="G779" s="36" t="n">
        <x:v>1</x:v>
      </x:c>
      <x:c r="H779" s="34" t="str">
        <x:v>cycle-observation</x:v>
      </x:c>
      <x:c r="I779" s="36" t="n">
        <x:v>1</x:v>
      </x:c>
      <x:c r="J779" s="34" t="str">
        <x:v>tomcat-findleaks-occurrence</x:v>
      </x:c>
      <x:c r="K779" s="34" t="str">
        <x:v>afterUndeploy.tomcatFindLeaksOccurrences</x:v>
      </x:c>
      <x:c r="L779" s="36" t="n">
        <x:v>1</x:v>
      </x:c>
      <x:c r="M779" s="34" t="str">
        <x:v>/nostore</x:v>
      </x:c>
      <x:c r="N779" s="44" t="str">
        <x:v>/nostore</x:v>
      </x:c>
    </x:row>
    <x:row r="780">
      <x:c r="A780" s="36" t="n">
        <x:v>779</x:v>
      </x:c>
      <x:c r="B780" s="34" t="str">
        <x:v>article1-unified-v4-2-fb3f101b-20260903-000401-default-f04-p4-nostore</x:v>
      </x:c>
      <x:c r="C780" s="34" t="str">
        <x:v>default</x:v>
      </x:c>
      <x:c r="D780" s="34" t="str">
        <x:v>nostore</x:v>
      </x:c>
      <x:c r="E780" s="36" t="n">
        <x:v>4</x:v>
      </x:c>
      <x:c r="F780" s="36" t="n">
        <x:v>4</x:v>
      </x:c>
      <x:c r="G780" s="36" t="n">
        <x:v>1</x:v>
      </x:c>
      <x:c r="H780" s="34" t="str">
        <x:v>cycle-observation</x:v>
      </x:c>
      <x:c r="I780" s="36" t="n">
        <x:v>2</x:v>
      </x:c>
      <x:c r="J780" s="34" t="str">
        <x:v>tomcat-findleaks-occurrence</x:v>
      </x:c>
      <x:c r="K780" s="34" t="str">
        <x:v>afterFinalUndeploy.tomcatFindLeaksOccurrences</x:v>
      </x:c>
      <x:c r="L780" s="36" t="n">
        <x:v>1</x:v>
      </x:c>
      <x:c r="M780" s="34" t="str">
        <x:v>/nostore</x:v>
      </x:c>
      <x:c r="N780" s="44" t="str">
        <x:v>/nostore</x:v>
      </x:c>
    </x:row>
    <x:row r="781">
      <x:c r="A781" s="36" t="n">
        <x:v>780</x:v>
      </x:c>
      <x:c r="B781" s="34" t="str">
        <x:v>article1-unified-v4-2-fb3f101b-20260903-000401-default-f04-p4-nostore</x:v>
      </x:c>
      <x:c r="C781" s="34" t="str">
        <x:v>default</x:v>
      </x:c>
      <x:c r="D781" s="34" t="str">
        <x:v>nostore</x:v>
      </x:c>
      <x:c r="E781" s="36" t="n">
        <x:v>4</x:v>
      </x:c>
      <x:c r="F781" s="36" t="n">
        <x:v>4</x:v>
      </x:c>
      <x:c r="G781" s="36" t="n">
        <x:v>2</x:v>
      </x:c>
      <x:c r="H781" s="34" t="str">
        <x:v>cycle-observation</x:v>
      </x:c>
      <x:c r="I781" s="36" t="n">
        <x:v>1</x:v>
      </x:c>
      <x:c r="J781" s="34" t="str">
        <x:v>tomcat-findleaks-occurrence</x:v>
      </x:c>
      <x:c r="K781" s="34" t="str">
        <x:v>afterUndeploy.tomcatFindLeaksOccurrences</x:v>
      </x:c>
      <x:c r="L781" s="36" t="n">
        <x:v>1</x:v>
      </x:c>
      <x:c r="M781" s="34" t="str">
        <x:v>/nostore</x:v>
      </x:c>
      <x:c r="N781" s="44" t="str">
        <x:v>/nostore</x:v>
      </x:c>
    </x:row>
    <x:row r="782">
      <x:c r="A782" s="36" t="n">
        <x:v>781</x:v>
      </x:c>
      <x:c r="B782" s="34" t="str">
        <x:v>article1-unified-v4-2-fb3f101b-20260903-000401-default-f04-p4-nostore</x:v>
      </x:c>
      <x:c r="C782" s="34" t="str">
        <x:v>default</x:v>
      </x:c>
      <x:c r="D782" s="34" t="str">
        <x:v>nostore</x:v>
      </x:c>
      <x:c r="E782" s="36" t="n">
        <x:v>4</x:v>
      </x:c>
      <x:c r="F782" s="36" t="n">
        <x:v>4</x:v>
      </x:c>
      <x:c r="G782" s="36" t="n">
        <x:v>2</x:v>
      </x:c>
      <x:c r="H782" s="34" t="str">
        <x:v>cycle-observation</x:v>
      </x:c>
      <x:c r="I782" s="36" t="n">
        <x:v>2</x:v>
      </x:c>
      <x:c r="J782" s="34" t="str">
        <x:v>tomcat-findleaks-occurrence</x:v>
      </x:c>
      <x:c r="K782" s="34" t="str">
        <x:v>afterFinalUndeploy.tomcatFindLeaksOccurrences</x:v>
      </x:c>
      <x:c r="L782" s="36" t="n">
        <x:v>1</x:v>
      </x:c>
      <x:c r="M782" s="34" t="str">
        <x:v>/nostore</x:v>
      </x:c>
      <x:c r="N782" s="44" t="str">
        <x:v>/nostore</x:v>
      </x:c>
    </x:row>
    <x:row r="783">
      <x:c r="A783" s="36" t="n">
        <x:v>782</x:v>
      </x:c>
      <x:c r="B783" s="34" t="str">
        <x:v>article1-unified-v4-2-fb3f101b-20260903-000401-default-f04-p4-nostore</x:v>
      </x:c>
      <x:c r="C783" s="34" t="str">
        <x:v>default</x:v>
      </x:c>
      <x:c r="D783" s="34" t="str">
        <x:v>nostore</x:v>
      </x:c>
      <x:c r="E783" s="36" t="n">
        <x:v>4</x:v>
      </x:c>
      <x:c r="F783" s="36" t="n">
        <x:v>4</x:v>
      </x:c>
      <x:c r="G783" s="36" t="n">
        <x:v>3</x:v>
      </x:c>
      <x:c r="H783" s="34" t="str">
        <x:v>cycle-observation</x:v>
      </x:c>
      <x:c r="I783" s="36" t="n">
        <x:v>1</x:v>
      </x:c>
      <x:c r="J783" s="34" t="str">
        <x:v>tomcat-findleaks-occurrence</x:v>
      </x:c>
      <x:c r="K783" s="34" t="str">
        <x:v>afterUndeploy.tomcatFindLeaksOccurrences</x:v>
      </x:c>
      <x:c r="L783" s="36" t="n">
        <x:v>1</x:v>
      </x:c>
      <x:c r="M783" s="34" t="str">
        <x:v>/nostore</x:v>
      </x:c>
      <x:c r="N783" s="44" t="str">
        <x:v>/nostore</x:v>
      </x:c>
    </x:row>
    <x:row r="784">
      <x:c r="A784" s="36" t="n">
        <x:v>783</x:v>
      </x:c>
      <x:c r="B784" s="34" t="str">
        <x:v>article1-unified-v4-2-fb3f101b-20260903-000401-default-f04-p4-nostore</x:v>
      </x:c>
      <x:c r="C784" s="34" t="str">
        <x:v>default</x:v>
      </x:c>
      <x:c r="D784" s="34" t="str">
        <x:v>nostore</x:v>
      </x:c>
      <x:c r="E784" s="36" t="n">
        <x:v>4</x:v>
      </x:c>
      <x:c r="F784" s="36" t="n">
        <x:v>4</x:v>
      </x:c>
      <x:c r="G784" s="36" t="n">
        <x:v>3</x:v>
      </x:c>
      <x:c r="H784" s="34" t="str">
        <x:v>cycle-observation</x:v>
      </x:c>
      <x:c r="I784" s="36" t="n">
        <x:v>2</x:v>
      </x:c>
      <x:c r="J784" s="34" t="str">
        <x:v>tomcat-findleaks-occurrence</x:v>
      </x:c>
      <x:c r="K784" s="34" t="str">
        <x:v>afterFinalUndeploy.tomcatFindLeaksOccurrences</x:v>
      </x:c>
      <x:c r="L784" s="36" t="n">
        <x:v>1</x:v>
      </x:c>
      <x:c r="M784" s="34" t="str">
        <x:v>/nostore</x:v>
      </x:c>
      <x:c r="N784" s="44" t="str">
        <x:v>/nostore</x:v>
      </x:c>
    </x:row>
    <x:row r="785">
      <x:c r="A785" s="36" t="n">
        <x:v>784</x:v>
      </x:c>
      <x:c r="B785" s="34" t="str">
        <x:v>article1-unified-v4-2-fb3f101b-20260903-000401-default-f04-p4-nostore</x:v>
      </x:c>
      <x:c r="C785" s="34" t="str">
        <x:v>default</x:v>
      </x:c>
      <x:c r="D785" s="34" t="str">
        <x:v>nostore</x:v>
      </x:c>
      <x:c r="E785" s="36" t="n">
        <x:v>4</x:v>
      </x:c>
      <x:c r="F785" s="36" t="n">
        <x:v>4</x:v>
      </x:c>
      <x:c r="G785" s="36" t="n">
        <x:v>4</x:v>
      </x:c>
      <x:c r="H785" s="34" t="str">
        <x:v>cycle-observation</x:v>
      </x:c>
      <x:c r="I785" s="36" t="n">
        <x:v>1</x:v>
      </x:c>
      <x:c r="J785" s="34" t="str">
        <x:v>tomcat-findleaks-occurrence</x:v>
      </x:c>
      <x:c r="K785" s="34" t="str">
        <x:v>afterUndeploy.tomcatFindLeaksOccurrences</x:v>
      </x:c>
      <x:c r="L785" s="36" t="n">
        <x:v>1</x:v>
      </x:c>
      <x:c r="M785" s="34" t="str">
        <x:v>/nostore</x:v>
      </x:c>
      <x:c r="N785" s="44" t="str">
        <x:v>/nostore</x:v>
      </x:c>
    </x:row>
    <x:row r="786">
      <x:c r="A786" s="36" t="n">
        <x:v>785</x:v>
      </x:c>
      <x:c r="B786" s="34" t="str">
        <x:v>article1-unified-v4-2-fb3f101b-20260903-000401-default-f04-p4-nostore</x:v>
      </x:c>
      <x:c r="C786" s="34" t="str">
        <x:v>default</x:v>
      </x:c>
      <x:c r="D786" s="34" t="str">
        <x:v>nostore</x:v>
      </x:c>
      <x:c r="E786" s="36" t="n">
        <x:v>4</x:v>
      </x:c>
      <x:c r="F786" s="36" t="n">
        <x:v>4</x:v>
      </x:c>
      <x:c r="G786" s="36" t="n">
        <x:v>4</x:v>
      </x:c>
      <x:c r="H786" s="34" t="str">
        <x:v>cycle-observation</x:v>
      </x:c>
      <x:c r="I786" s="36" t="n">
        <x:v>2</x:v>
      </x:c>
      <x:c r="J786" s="34" t="str">
        <x:v>tomcat-findleaks-occurrence</x:v>
      </x:c>
      <x:c r="K786" s="34" t="str">
        <x:v>afterFinalUndeploy.tomcatFindLeaksOccurrences</x:v>
      </x:c>
      <x:c r="L786" s="36" t="n">
        <x:v>1</x:v>
      </x:c>
      <x:c r="M786" s="34" t="str">
        <x:v>/nostore</x:v>
      </x:c>
      <x:c r="N786" s="44" t="str">
        <x:v>/nostore</x:v>
      </x:c>
    </x:row>
    <x:row r="787">
      <x:c r="A787" s="36" t="n">
        <x:v>786</x:v>
      </x:c>
      <x:c r="B787" s="34" t="str">
        <x:v>article1-unified-v4-2-fb3f101b-20260903-000401-default-f04-p4-nostore</x:v>
      </x:c>
      <x:c r="C787" s="34" t="str">
        <x:v>default</x:v>
      </x:c>
      <x:c r="D787" s="34" t="str">
        <x:v>nostore</x:v>
      </x:c>
      <x:c r="E787" s="36" t="n">
        <x:v>4</x:v>
      </x:c>
      <x:c r="F787" s="36" t="n">
        <x:v>4</x:v>
      </x:c>
      <x:c r="G787" s="36" t="n">
        <x:v>5</x:v>
      </x:c>
      <x:c r="H787" s="34" t="str">
        <x:v>cycle-observation</x:v>
      </x:c>
      <x:c r="I787" s="36" t="n">
        <x:v>1</x:v>
      </x:c>
      <x:c r="J787" s="34" t="str">
        <x:v>tomcat-findleaks-occurrence</x:v>
      </x:c>
      <x:c r="K787" s="34" t="str">
        <x:v>afterUndeploy.tomcatFindLeaksOccurrences</x:v>
      </x:c>
      <x:c r="L787" s="36" t="n">
        <x:v>1</x:v>
      </x:c>
      <x:c r="M787" s="34" t="str">
        <x:v>/nostore</x:v>
      </x:c>
      <x:c r="N787" s="44" t="str">
        <x:v>/nostore</x:v>
      </x:c>
    </x:row>
    <x:row r="788">
      <x:c r="A788" s="36" t="n">
        <x:v>787</x:v>
      </x:c>
      <x:c r="B788" s="34" t="str">
        <x:v>article1-unified-v4-2-fb3f101b-20260903-000401-default-f04-p4-nostore</x:v>
      </x:c>
      <x:c r="C788" s="34" t="str">
        <x:v>default</x:v>
      </x:c>
      <x:c r="D788" s="34" t="str">
        <x:v>nostore</x:v>
      </x:c>
      <x:c r="E788" s="36" t="n">
        <x:v>4</x:v>
      </x:c>
      <x:c r="F788" s="36" t="n">
        <x:v>4</x:v>
      </x:c>
      <x:c r="G788" s="36" t="n">
        <x:v>5</x:v>
      </x:c>
      <x:c r="H788" s="34" t="str">
        <x:v>cycle-observation</x:v>
      </x:c>
      <x:c r="I788" s="36" t="n">
        <x:v>2</x:v>
      </x:c>
      <x:c r="J788" s="34" t="str">
        <x:v>tomcat-findleaks-occurrence</x:v>
      </x:c>
      <x:c r="K788" s="34" t="str">
        <x:v>afterFinalUndeploy.tomcatFindLeaksOccurrences</x:v>
      </x:c>
      <x:c r="L788" s="36" t="n">
        <x:v>1</x:v>
      </x:c>
      <x:c r="M788" s="34" t="str">
        <x:v>/nostore</x:v>
      </x:c>
      <x:c r="N788" s="44" t="str">
        <x:v>/nostore</x:v>
      </x:c>
    </x:row>
    <x:row r="789">
      <x:c r="A789" s="36" t="n">
        <x:v>788</x:v>
      </x:c>
      <x:c r="B789" s="34" t="str">
        <x:v>article1-unified-v4-2-fb3f101b-20260903-000401-default-f04-p5-ehcache</x:v>
      </x:c>
      <x:c r="C789" s="34" t="str">
        <x:v>default</x:v>
      </x:c>
      <x:c r="D789" s="34" t="str">
        <x:v>ehcache</x:v>
      </x:c>
      <x:c r="E789" s="36" t="n">
        <x:v>4</x:v>
      </x:c>
      <x:c r="F789" s="36" t="n">
        <x:v>4</x:v>
      </x:c>
      <x:c r="G789" s="36"/>
      <x:c r="H789" s="34" t="str">
        <x:v>process-run-aggregate</x:v>
      </x:c>
      <x:c r="I789" s="36"/>
      <x:c r="J789" s="34" t="str">
        <x:v>warning</x:v>
      </x:c>
      <x:c r="K789" s="34" t="str">
        <x:v>warnings</x:v>
      </x:c>
      <x:c r="L789" s="36" t="n">
        <x:v>1</x:v>
      </x:c>
      <x:c r="M789" s="34"/>
      <x:c r="N789" s="44" t="str">
        <x:v>WARNING: A terminally deprecated method in sun.misc.Unsafe has been called</x:v>
      </x:c>
    </x:row>
    <x:row r="790">
      <x:c r="A790" s="36" t="n">
        <x:v>789</x:v>
      </x:c>
      <x:c r="B790" s="34" t="str">
        <x:v>article1-unified-v4-2-fb3f101b-20260903-000401-default-f04-p5-ehcache</x:v>
      </x:c>
      <x:c r="C790" s="34" t="str">
        <x:v>default</x:v>
      </x:c>
      <x:c r="D790" s="34" t="str">
        <x:v>ehcache</x:v>
      </x:c>
      <x:c r="E790" s="36" t="n">
        <x:v>4</x:v>
      </x:c>
      <x:c r="F790" s="36" t="n">
        <x:v>4</x:v>
      </x:c>
      <x:c r="G790" s="36"/>
      <x:c r="H790" s="34" t="str">
        <x:v>process-run-aggregate</x:v>
      </x:c>
      <x:c r="I790" s="36"/>
      <x:c r="J790" s="34" t="str">
        <x:v>warning</x:v>
      </x:c>
      <x:c r="K790" s="34" t="str">
        <x:v>warnings</x:v>
      </x:c>
      <x:c r="L790" s="36" t="n">
        <x:v>2</x:v>
      </x:c>
      <x:c r="M790" s="34"/>
      <x:c r="N790" s="44" t="str">
        <x:v>WARNING: sun.misc.Unsafe::objectFieldOffset has been called by org.ehcache.impl.internal.concurrent.ThreadLocalRandomUtil (file:/usr/local/tomcat/webapps/ehcache/WEB-INF/lib/ehcache-3.12.0.jar)</x:v>
      </x:c>
    </x:row>
    <x:row r="791">
      <x:c r="A791" s="36" t="n">
        <x:v>790</x:v>
      </x:c>
      <x:c r="B791" s="34" t="str">
        <x:v>article1-unified-v4-2-fb3f101b-20260903-000401-default-f04-p5-ehcache</x:v>
      </x:c>
      <x:c r="C791" s="34" t="str">
        <x:v>default</x:v>
      </x:c>
      <x:c r="D791" s="34" t="str">
        <x:v>ehcache</x:v>
      </x:c>
      <x:c r="E791" s="36" t="n">
        <x:v>4</x:v>
      </x:c>
      <x:c r="F791" s="36" t="n">
        <x:v>4</x:v>
      </x:c>
      <x:c r="G791" s="36"/>
      <x:c r="H791" s="34" t="str">
        <x:v>process-run-aggregate</x:v>
      </x:c>
      <x:c r="I791" s="36"/>
      <x:c r="J791" s="34" t="str">
        <x:v>warning</x:v>
      </x:c>
      <x:c r="K791" s="34" t="str">
        <x:v>warnings</x:v>
      </x:c>
      <x:c r="L791" s="36" t="n">
        <x:v>3</x:v>
      </x:c>
      <x:c r="M791" s="34"/>
      <x:c r="N791" s="44" t="str">
        <x:v>WARNING: Please consider reporting this to the maintainers of class org.ehcache.impl.internal.concurrent.ThreadLocalRandomUtil</x:v>
      </x:c>
    </x:row>
    <x:row r="792">
      <x:c r="A792" s="36" t="n">
        <x:v>791</x:v>
      </x:c>
      <x:c r="B792" s="34" t="str">
        <x:v>article1-unified-v4-2-fb3f101b-20260903-000401-default-f04-p5-ehcache</x:v>
      </x:c>
      <x:c r="C792" s="34" t="str">
        <x:v>default</x:v>
      </x:c>
      <x:c r="D792" s="34" t="str">
        <x:v>ehcache</x:v>
      </x:c>
      <x:c r="E792" s="36" t="n">
        <x:v>4</x:v>
      </x:c>
      <x:c r="F792" s="36" t="n">
        <x:v>4</x:v>
      </x:c>
      <x:c r="G792" s="36"/>
      <x:c r="H792" s="34" t="str">
        <x:v>process-run-aggregate</x:v>
      </x:c>
      <x:c r="I792" s="36"/>
      <x:c r="J792" s="34" t="str">
        <x:v>warning</x:v>
      </x:c>
      <x:c r="K792" s="34" t="str">
        <x:v>warnings</x:v>
      </x:c>
      <x:c r="L792" s="36" t="n">
        <x:v>4</x:v>
      </x:c>
      <x:c r="M792" s="34"/>
      <x:c r="N792" s="44" t="str">
        <x:v>WARNING: sun.misc.Unsafe::objectFieldOffset will be removed in a future release</x:v>
      </x:c>
    </x:row>
    <x:row r="793">
      <x:c r="A793" s="36" t="n">
        <x:v>792</x:v>
      </x:c>
      <x:c r="B793" s="34" t="str">
        <x:v>article1-unified-v4-2-fb3f101b-20260903-000401-default-f04-p5-ehcache</x:v>
      </x:c>
      <x:c r="C793" s="34" t="str">
        <x:v>default</x:v>
      </x:c>
      <x:c r="D793" s="34" t="str">
        <x:v>ehcache</x:v>
      </x:c>
      <x:c r="E793" s="36" t="n">
        <x:v>4</x:v>
      </x:c>
      <x:c r="F793" s="36" t="n">
        <x:v>4</x:v>
      </x:c>
      <x:c r="G793" s="36" t="n">
        <x:v>1</x:v>
      </x:c>
      <x:c r="H793" s="34" t="str">
        <x:v>cycle-observation</x:v>
      </x:c>
      <x:c r="I793" s="36" t="n">
        <x:v>1</x:v>
      </x:c>
      <x:c r="J793" s="34" t="str">
        <x:v>tomcat-findleaks-occurrence</x:v>
      </x:c>
      <x:c r="K793" s="34" t="str">
        <x:v>afterUndeploy.tomcatFindLeaksOccurrences</x:v>
      </x:c>
      <x:c r="L793" s="36" t="n">
        <x:v>1</x:v>
      </x:c>
      <x:c r="M793" s="34" t="str">
        <x:v>/ehcache</x:v>
      </x:c>
      <x:c r="N793" s="44" t="str">
        <x:v>/ehcache</x:v>
      </x:c>
    </x:row>
    <x:row r="794">
      <x:c r="A794" s="36" t="n">
        <x:v>793</x:v>
      </x:c>
      <x:c r="B794" s="34" t="str">
        <x:v>article1-unified-v4-2-fb3f101b-20260903-000401-default-f04-p5-ehcache</x:v>
      </x:c>
      <x:c r="C794" s="34" t="str">
        <x:v>default</x:v>
      </x:c>
      <x:c r="D794" s="34" t="str">
        <x:v>ehcache</x:v>
      </x:c>
      <x:c r="E794" s="36" t="n">
        <x:v>4</x:v>
      </x:c>
      <x:c r="F794" s="36" t="n">
        <x:v>4</x:v>
      </x:c>
      <x:c r="G794" s="36" t="n">
        <x:v>1</x:v>
      </x:c>
      <x:c r="H794" s="34" t="str">
        <x:v>cycle-observation</x:v>
      </x:c>
      <x:c r="I794" s="36" t="n">
        <x:v>2</x:v>
      </x:c>
      <x:c r="J794" s="34" t="str">
        <x:v>tomcat-findleaks-occurrence</x:v>
      </x:c>
      <x:c r="K794" s="34" t="str">
        <x:v>afterFinalUndeploy.tomcatFindLeaksOccurrences</x:v>
      </x:c>
      <x:c r="L794" s="36" t="n">
        <x:v>1</x:v>
      </x:c>
      <x:c r="M794" s="34" t="str">
        <x:v>/ehcache</x:v>
      </x:c>
      <x:c r="N794" s="44" t="str">
        <x:v>/ehcache</x:v>
      </x:c>
    </x:row>
    <x:row r="795">
      <x:c r="A795" s="36" t="n">
        <x:v>794</x:v>
      </x:c>
      <x:c r="B795" s="34" t="str">
        <x:v>article1-unified-v4-2-fb3f101b-20260903-000401-default-f04-p5-ehcache</x:v>
      </x:c>
      <x:c r="C795" s="34" t="str">
        <x:v>default</x:v>
      </x:c>
      <x:c r="D795" s="34" t="str">
        <x:v>ehcache</x:v>
      </x:c>
      <x:c r="E795" s="36" t="n">
        <x:v>4</x:v>
      </x:c>
      <x:c r="F795" s="36" t="n">
        <x:v>4</x:v>
      </x:c>
      <x:c r="G795" s="36" t="n">
        <x:v>2</x:v>
      </x:c>
      <x:c r="H795" s="34" t="str">
        <x:v>cycle-observation</x:v>
      </x:c>
      <x:c r="I795" s="36" t="n">
        <x:v>1</x:v>
      </x:c>
      <x:c r="J795" s="34" t="str">
        <x:v>tomcat-findleaks-occurrence</x:v>
      </x:c>
      <x:c r="K795" s="34" t="str">
        <x:v>afterUndeploy.tomcatFindLeaksOccurrences</x:v>
      </x:c>
      <x:c r="L795" s="36" t="n">
        <x:v>1</x:v>
      </x:c>
      <x:c r="M795" s="34" t="str">
        <x:v>/ehcache</x:v>
      </x:c>
      <x:c r="N795" s="44" t="str">
        <x:v>/ehcache</x:v>
      </x:c>
    </x:row>
    <x:row r="796">
      <x:c r="A796" s="36" t="n">
        <x:v>795</x:v>
      </x:c>
      <x:c r="B796" s="34" t="str">
        <x:v>article1-unified-v4-2-fb3f101b-20260903-000401-default-f04-p5-ehcache</x:v>
      </x:c>
      <x:c r="C796" s="34" t="str">
        <x:v>default</x:v>
      </x:c>
      <x:c r="D796" s="34" t="str">
        <x:v>ehcache</x:v>
      </x:c>
      <x:c r="E796" s="36" t="n">
        <x:v>4</x:v>
      </x:c>
      <x:c r="F796" s="36" t="n">
        <x:v>4</x:v>
      </x:c>
      <x:c r="G796" s="36" t="n">
        <x:v>2</x:v>
      </x:c>
      <x:c r="H796" s="34" t="str">
        <x:v>cycle-observation</x:v>
      </x:c>
      <x:c r="I796" s="36" t="n">
        <x:v>2</x:v>
      </x:c>
      <x:c r="J796" s="34" t="str">
        <x:v>tomcat-findleaks-occurrence</x:v>
      </x:c>
      <x:c r="K796" s="34" t="str">
        <x:v>afterFinalUndeploy.tomcatFindLeaksOccurrences</x:v>
      </x:c>
      <x:c r="L796" s="36" t="n">
        <x:v>1</x:v>
      </x:c>
      <x:c r="M796" s="34" t="str">
        <x:v>/ehcache</x:v>
      </x:c>
      <x:c r="N796" s="44" t="str">
        <x:v>/ehcache</x:v>
      </x:c>
    </x:row>
    <x:row r="797">
      <x:c r="A797" s="36" t="n">
        <x:v>796</x:v>
      </x:c>
      <x:c r="B797" s="34" t="str">
        <x:v>article1-unified-v4-2-fb3f101b-20260903-000401-default-f04-p5-ehcache</x:v>
      </x:c>
      <x:c r="C797" s="34" t="str">
        <x:v>default</x:v>
      </x:c>
      <x:c r="D797" s="34" t="str">
        <x:v>ehcache</x:v>
      </x:c>
      <x:c r="E797" s="36" t="n">
        <x:v>4</x:v>
      </x:c>
      <x:c r="F797" s="36" t="n">
        <x:v>4</x:v>
      </x:c>
      <x:c r="G797" s="36" t="n">
        <x:v>3</x:v>
      </x:c>
      <x:c r="H797" s="34" t="str">
        <x:v>cycle-observation</x:v>
      </x:c>
      <x:c r="I797" s="36" t="n">
        <x:v>1</x:v>
      </x:c>
      <x:c r="J797" s="34" t="str">
        <x:v>tomcat-findleaks-occurrence</x:v>
      </x:c>
      <x:c r="K797" s="34" t="str">
        <x:v>afterUndeploy.tomcatFindLeaksOccurrences</x:v>
      </x:c>
      <x:c r="L797" s="36" t="n">
        <x:v>1</x:v>
      </x:c>
      <x:c r="M797" s="34" t="str">
        <x:v>/ehcache</x:v>
      </x:c>
      <x:c r="N797" s="44" t="str">
        <x:v>/ehcache</x:v>
      </x:c>
    </x:row>
    <x:row r="798">
      <x:c r="A798" s="36" t="n">
        <x:v>797</x:v>
      </x:c>
      <x:c r="B798" s="34" t="str">
        <x:v>article1-unified-v4-2-fb3f101b-20260903-000401-default-f04-p5-ehcache</x:v>
      </x:c>
      <x:c r="C798" s="34" t="str">
        <x:v>default</x:v>
      </x:c>
      <x:c r="D798" s="34" t="str">
        <x:v>ehcache</x:v>
      </x:c>
      <x:c r="E798" s="36" t="n">
        <x:v>4</x:v>
      </x:c>
      <x:c r="F798" s="36" t="n">
        <x:v>4</x:v>
      </x:c>
      <x:c r="G798" s="36" t="n">
        <x:v>3</x:v>
      </x:c>
      <x:c r="H798" s="34" t="str">
        <x:v>cycle-observation</x:v>
      </x:c>
      <x:c r="I798" s="36" t="n">
        <x:v>2</x:v>
      </x:c>
      <x:c r="J798" s="34" t="str">
        <x:v>tomcat-findleaks-occurrence</x:v>
      </x:c>
      <x:c r="K798" s="34" t="str">
        <x:v>afterFinalUndeploy.tomcatFindLeaksOccurrences</x:v>
      </x:c>
      <x:c r="L798" s="36" t="n">
        <x:v>1</x:v>
      </x:c>
      <x:c r="M798" s="34" t="str">
        <x:v>/ehcache</x:v>
      </x:c>
      <x:c r="N798" s="44" t="str">
        <x:v>/ehcache</x:v>
      </x:c>
    </x:row>
    <x:row r="799">
      <x:c r="A799" s="36" t="n">
        <x:v>798</x:v>
      </x:c>
      <x:c r="B799" s="34" t="str">
        <x:v>article1-unified-v4-2-fb3f101b-20260903-000401-default-f04-p5-ehcache</x:v>
      </x:c>
      <x:c r="C799" s="34" t="str">
        <x:v>default</x:v>
      </x:c>
      <x:c r="D799" s="34" t="str">
        <x:v>ehcache</x:v>
      </x:c>
      <x:c r="E799" s="36" t="n">
        <x:v>4</x:v>
      </x:c>
      <x:c r="F799" s="36" t="n">
        <x:v>4</x:v>
      </x:c>
      <x:c r="G799" s="36" t="n">
        <x:v>4</x:v>
      </x:c>
      <x:c r="H799" s="34" t="str">
        <x:v>cycle-observation</x:v>
      </x:c>
      <x:c r="I799" s="36" t="n">
        <x:v>1</x:v>
      </x:c>
      <x:c r="J799" s="34" t="str">
        <x:v>tomcat-findleaks-occurrence</x:v>
      </x:c>
      <x:c r="K799" s="34" t="str">
        <x:v>afterUndeploy.tomcatFindLeaksOccurrences</x:v>
      </x:c>
      <x:c r="L799" s="36" t="n">
        <x:v>1</x:v>
      </x:c>
      <x:c r="M799" s="34" t="str">
        <x:v>/ehcache</x:v>
      </x:c>
      <x:c r="N799" s="44" t="str">
        <x:v>/ehcache</x:v>
      </x:c>
    </x:row>
    <x:row r="800">
      <x:c r="A800" s="36" t="n">
        <x:v>799</x:v>
      </x:c>
      <x:c r="B800" s="34" t="str">
        <x:v>article1-unified-v4-2-fb3f101b-20260903-000401-default-f04-p5-ehcache</x:v>
      </x:c>
      <x:c r="C800" s="34" t="str">
        <x:v>default</x:v>
      </x:c>
      <x:c r="D800" s="34" t="str">
        <x:v>ehcache</x:v>
      </x:c>
      <x:c r="E800" s="36" t="n">
        <x:v>4</x:v>
      </x:c>
      <x:c r="F800" s="36" t="n">
        <x:v>4</x:v>
      </x:c>
      <x:c r="G800" s="36" t="n">
        <x:v>4</x:v>
      </x:c>
      <x:c r="H800" s="34" t="str">
        <x:v>cycle-observation</x:v>
      </x:c>
      <x:c r="I800" s="36" t="n">
        <x:v>2</x:v>
      </x:c>
      <x:c r="J800" s="34" t="str">
        <x:v>tomcat-findleaks-occurrence</x:v>
      </x:c>
      <x:c r="K800" s="34" t="str">
        <x:v>afterFinalUndeploy.tomcatFindLeaksOccurrences</x:v>
      </x:c>
      <x:c r="L800" s="36" t="n">
        <x:v>1</x:v>
      </x:c>
      <x:c r="M800" s="34" t="str">
        <x:v>/ehcache</x:v>
      </x:c>
      <x:c r="N800" s="44" t="str">
        <x:v>/ehcache</x:v>
      </x:c>
    </x:row>
    <x:row r="801">
      <x:c r="A801" s="36" t="n">
        <x:v>800</x:v>
      </x:c>
      <x:c r="B801" s="34" t="str">
        <x:v>article1-unified-v4-2-fb3f101b-20260903-000401-default-f04-p5-ehcache</x:v>
      </x:c>
      <x:c r="C801" s="34" t="str">
        <x:v>default</x:v>
      </x:c>
      <x:c r="D801" s="34" t="str">
        <x:v>ehcache</x:v>
      </x:c>
      <x:c r="E801" s="36" t="n">
        <x:v>4</x:v>
      </x:c>
      <x:c r="F801" s="36" t="n">
        <x:v>4</x:v>
      </x:c>
      <x:c r="G801" s="36" t="n">
        <x:v>5</x:v>
      </x:c>
      <x:c r="H801" s="34" t="str">
        <x:v>cycle-observation</x:v>
      </x:c>
      <x:c r="I801" s="36" t="n">
        <x:v>1</x:v>
      </x:c>
      <x:c r="J801" s="34" t="str">
        <x:v>tomcat-findleaks-occurrence</x:v>
      </x:c>
      <x:c r="K801" s="34" t="str">
        <x:v>afterUndeploy.tomcatFindLeaksOccurrences</x:v>
      </x:c>
      <x:c r="L801" s="36" t="n">
        <x:v>1</x:v>
      </x:c>
      <x:c r="M801" s="34" t="str">
        <x:v>/ehcache</x:v>
      </x:c>
      <x:c r="N801" s="44" t="str">
        <x:v>/ehcache</x:v>
      </x:c>
    </x:row>
    <x:row r="802">
      <x:c r="A802" s="36" t="n">
        <x:v>801</x:v>
      </x:c>
      <x:c r="B802" s="34" t="str">
        <x:v>article1-unified-v4-2-fb3f101b-20260903-000401-default-f04-p5-ehcache</x:v>
      </x:c>
      <x:c r="C802" s="34" t="str">
        <x:v>default</x:v>
      </x:c>
      <x:c r="D802" s="34" t="str">
        <x:v>ehcache</x:v>
      </x:c>
      <x:c r="E802" s="36" t="n">
        <x:v>4</x:v>
      </x:c>
      <x:c r="F802" s="36" t="n">
        <x:v>4</x:v>
      </x:c>
      <x:c r="G802" s="36" t="n">
        <x:v>5</x:v>
      </x:c>
      <x:c r="H802" s="34" t="str">
        <x:v>cycle-observation</x:v>
      </x:c>
      <x:c r="I802" s="36" t="n">
        <x:v>2</x:v>
      </x:c>
      <x:c r="J802" s="34" t="str">
        <x:v>tomcat-findleaks-occurrence</x:v>
      </x:c>
      <x:c r="K802" s="34" t="str">
        <x:v>afterFinalUndeploy.tomcatFindLeaksOccurrences</x:v>
      </x:c>
      <x:c r="L802" s="36" t="n">
        <x:v>1</x:v>
      </x:c>
      <x:c r="M802" s="34" t="str">
        <x:v>/ehcache</x:v>
      </x:c>
      <x:c r="N802" s="44" t="str">
        <x:v>/ehcache</x:v>
      </x:c>
    </x:row>
    <x:row r="803">
      <x:c r="A803" s="36" t="n">
        <x:v>802</x:v>
      </x:c>
      <x:c r="B803" s="34" t="str">
        <x:v>article1-unified-v4-2-fb3f101b-20260903-000401-default-f04-p6-caffeine</x:v>
      </x:c>
      <x:c r="C803" s="34" t="str">
        <x:v>default</x:v>
      </x:c>
      <x:c r="D803" s="34" t="str">
        <x:v>caffeine</x:v>
      </x:c>
      <x:c r="E803" s="36" t="n">
        <x:v>4</x:v>
      </x:c>
      <x:c r="F803" s="36" t="n">
        <x:v>4</x:v>
      </x:c>
      <x:c r="G803" s="36" t="n">
        <x:v>1</x:v>
      </x:c>
      <x:c r="H803" s="34" t="str">
        <x:v>cycle-observation</x:v>
      </x:c>
      <x:c r="I803" s="36" t="n">
        <x:v>1</x:v>
      </x:c>
      <x:c r="J803" s="34" t="str">
        <x:v>tomcat-findleaks-occurrence</x:v>
      </x:c>
      <x:c r="K803" s="34" t="str">
        <x:v>afterUndeploy.tomcatFindLeaksOccurrences</x:v>
      </x:c>
      <x:c r="L803" s="36" t="n">
        <x:v>1</x:v>
      </x:c>
      <x:c r="M803" s="34" t="str">
        <x:v>/caffeine</x:v>
      </x:c>
      <x:c r="N803" s="44" t="str">
        <x:v>/caffeine</x:v>
      </x:c>
    </x:row>
    <x:row r="804">
      <x:c r="A804" s="36" t="n">
        <x:v>803</x:v>
      </x:c>
      <x:c r="B804" s="34" t="str">
        <x:v>article1-unified-v4-2-fb3f101b-20260903-000401-default-f04-p6-caffeine</x:v>
      </x:c>
      <x:c r="C804" s="34" t="str">
        <x:v>default</x:v>
      </x:c>
      <x:c r="D804" s="34" t="str">
        <x:v>caffeine</x:v>
      </x:c>
      <x:c r="E804" s="36" t="n">
        <x:v>4</x:v>
      </x:c>
      <x:c r="F804" s="36" t="n">
        <x:v>4</x:v>
      </x:c>
      <x:c r="G804" s="36" t="n">
        <x:v>1</x:v>
      </x:c>
      <x:c r="H804" s="34" t="str">
        <x:v>cycle-observation</x:v>
      </x:c>
      <x:c r="I804" s="36" t="n">
        <x:v>2</x:v>
      </x:c>
      <x:c r="J804" s="34" t="str">
        <x:v>tomcat-findleaks-occurrence</x:v>
      </x:c>
      <x:c r="K804" s="34" t="str">
        <x:v>afterFinalUndeploy.tomcatFindLeaksOccurrences</x:v>
      </x:c>
      <x:c r="L804" s="36" t="n">
        <x:v>1</x:v>
      </x:c>
      <x:c r="M804" s="34" t="str">
        <x:v>/caffeine</x:v>
      </x:c>
      <x:c r="N804" s="44" t="str">
        <x:v>/caffeine</x:v>
      </x:c>
    </x:row>
    <x:row r="805">
      <x:c r="A805" s="36" t="n">
        <x:v>804</x:v>
      </x:c>
      <x:c r="B805" s="34" t="str">
        <x:v>article1-unified-v4-2-fb3f101b-20260903-000401-default-f04-p6-caffeine</x:v>
      </x:c>
      <x:c r="C805" s="34" t="str">
        <x:v>default</x:v>
      </x:c>
      <x:c r="D805" s="34" t="str">
        <x:v>caffeine</x:v>
      </x:c>
      <x:c r="E805" s="36" t="n">
        <x:v>4</x:v>
      </x:c>
      <x:c r="F805" s="36" t="n">
        <x:v>4</x:v>
      </x:c>
      <x:c r="G805" s="36" t="n">
        <x:v>1</x:v>
      </x:c>
      <x:c r="H805" s="34" t="str">
        <x:v>cycle-observation</x:v>
      </x:c>
      <x:c r="I805" s="36" t="n">
        <x:v>2</x:v>
      </x:c>
      <x:c r="J805" s="34" t="str">
        <x:v>tomcat-findleaks-occurrence</x:v>
      </x:c>
      <x:c r="K805" s="34" t="str">
        <x:v>afterFinalUndeploy.tomcatFindLeaksOccurrences</x:v>
      </x:c>
      <x:c r="L805" s="36" t="n">
        <x:v>2</x:v>
      </x:c>
      <x:c r="M805" s="34" t="str">
        <x:v>/caffeine</x:v>
      </x:c>
      <x:c r="N805" s="44" t="str">
        <x:v>/caffeine</x:v>
      </x:c>
    </x:row>
    <x:row r="806">
      <x:c r="A806" s="36" t="n">
        <x:v>805</x:v>
      </x:c>
      <x:c r="B806" s="34" t="str">
        <x:v>article1-unified-v4-2-fb3f101b-20260903-000401-default-f04-p6-caffeine</x:v>
      </x:c>
      <x:c r="C806" s="34" t="str">
        <x:v>default</x:v>
      </x:c>
      <x:c r="D806" s="34" t="str">
        <x:v>caffeine</x:v>
      </x:c>
      <x:c r="E806" s="36" t="n">
        <x:v>4</x:v>
      </x:c>
      <x:c r="F806" s="36" t="n">
        <x:v>4</x:v>
      </x:c>
      <x:c r="G806" s="36" t="n">
        <x:v>2</x:v>
      </x:c>
      <x:c r="H806" s="34" t="str">
        <x:v>cycle-observation</x:v>
      </x:c>
      <x:c r="I806" s="36" t="n">
        <x:v>1</x:v>
      </x:c>
      <x:c r="J806" s="34" t="str">
        <x:v>tomcat-findleaks-occurrence</x:v>
      </x:c>
      <x:c r="K806" s="34" t="str">
        <x:v>afterUndeploy.tomcatFindLeaksOccurrences</x:v>
      </x:c>
      <x:c r="L806" s="36" t="n">
        <x:v>1</x:v>
      </x:c>
      <x:c r="M806" s="34" t="str">
        <x:v>/caffeine</x:v>
      </x:c>
      <x:c r="N806" s="44" t="str">
        <x:v>/caffeine</x:v>
      </x:c>
    </x:row>
    <x:row r="807">
      <x:c r="A807" s="36" t="n">
        <x:v>806</x:v>
      </x:c>
      <x:c r="B807" s="34" t="str">
        <x:v>article1-unified-v4-2-fb3f101b-20260903-000401-default-f04-p6-caffeine</x:v>
      </x:c>
      <x:c r="C807" s="34" t="str">
        <x:v>default</x:v>
      </x:c>
      <x:c r="D807" s="34" t="str">
        <x:v>caffeine</x:v>
      </x:c>
      <x:c r="E807" s="36" t="n">
        <x:v>4</x:v>
      </x:c>
      <x:c r="F807" s="36" t="n">
        <x:v>4</x:v>
      </x:c>
      <x:c r="G807" s="36" t="n">
        <x:v>2</x:v>
      </x:c>
      <x:c r="H807" s="34" t="str">
        <x:v>cycle-observation</x:v>
      </x:c>
      <x:c r="I807" s="36" t="n">
        <x:v>2</x:v>
      </x:c>
      <x:c r="J807" s="34" t="str">
        <x:v>tomcat-findleaks-occurrence</x:v>
      </x:c>
      <x:c r="K807" s="34" t="str">
        <x:v>afterFinalUndeploy.tomcatFindLeaksOccurrences</x:v>
      </x:c>
      <x:c r="L807" s="36" t="n">
        <x:v>1</x:v>
      </x:c>
      <x:c r="M807" s="34" t="str">
        <x:v>/caffeine</x:v>
      </x:c>
      <x:c r="N807" s="44" t="str">
        <x:v>/caffeine</x:v>
      </x:c>
    </x:row>
    <x:row r="808">
      <x:c r="A808" s="36" t="n">
        <x:v>807</x:v>
      </x:c>
      <x:c r="B808" s="34" t="str">
        <x:v>article1-unified-v4-2-fb3f101b-20260903-000401-default-f04-p6-caffeine</x:v>
      </x:c>
      <x:c r="C808" s="34" t="str">
        <x:v>default</x:v>
      </x:c>
      <x:c r="D808" s="34" t="str">
        <x:v>caffeine</x:v>
      </x:c>
      <x:c r="E808" s="36" t="n">
        <x:v>4</x:v>
      </x:c>
      <x:c r="F808" s="36" t="n">
        <x:v>4</x:v>
      </x:c>
      <x:c r="G808" s="36" t="n">
        <x:v>3</x:v>
      </x:c>
      <x:c r="H808" s="34" t="str">
        <x:v>cycle-observation</x:v>
      </x:c>
      <x:c r="I808" s="36" t="n">
        <x:v>1</x:v>
      </x:c>
      <x:c r="J808" s="34" t="str">
        <x:v>tomcat-findleaks-occurrence</x:v>
      </x:c>
      <x:c r="K808" s="34" t="str">
        <x:v>afterUndeploy.tomcatFindLeaksOccurrences</x:v>
      </x:c>
      <x:c r="L808" s="36" t="n">
        <x:v>1</x:v>
      </x:c>
      <x:c r="M808" s="34" t="str">
        <x:v>/caffeine</x:v>
      </x:c>
      <x:c r="N808" s="44" t="str">
        <x:v>/caffeine</x:v>
      </x:c>
    </x:row>
    <x:row r="809">
      <x:c r="A809" s="36" t="n">
        <x:v>808</x:v>
      </x:c>
      <x:c r="B809" s="34" t="str">
        <x:v>article1-unified-v4-2-fb3f101b-20260903-000401-default-f04-p6-caffeine</x:v>
      </x:c>
      <x:c r="C809" s="34" t="str">
        <x:v>default</x:v>
      </x:c>
      <x:c r="D809" s="34" t="str">
        <x:v>caffeine</x:v>
      </x:c>
      <x:c r="E809" s="36" t="n">
        <x:v>4</x:v>
      </x:c>
      <x:c r="F809" s="36" t="n">
        <x:v>4</x:v>
      </x:c>
      <x:c r="G809" s="36" t="n">
        <x:v>3</x:v>
      </x:c>
      <x:c r="H809" s="34" t="str">
        <x:v>cycle-observation</x:v>
      </x:c>
      <x:c r="I809" s="36" t="n">
        <x:v>2</x:v>
      </x:c>
      <x:c r="J809" s="34" t="str">
        <x:v>tomcat-findleaks-occurrence</x:v>
      </x:c>
      <x:c r="K809" s="34" t="str">
        <x:v>afterFinalUndeploy.tomcatFindLeaksOccurrences</x:v>
      </x:c>
      <x:c r="L809" s="36" t="n">
        <x:v>1</x:v>
      </x:c>
      <x:c r="M809" s="34" t="str">
        <x:v>/caffeine</x:v>
      </x:c>
      <x:c r="N809" s="44" t="str">
        <x:v>/caffeine</x:v>
      </x:c>
    </x:row>
    <x:row r="810">
      <x:c r="A810" s="36" t="n">
        <x:v>809</x:v>
      </x:c>
      <x:c r="B810" s="34" t="str">
        <x:v>article1-unified-v4-2-fb3f101b-20260903-000401-default-f04-p6-caffeine</x:v>
      </x:c>
      <x:c r="C810" s="34" t="str">
        <x:v>default</x:v>
      </x:c>
      <x:c r="D810" s="34" t="str">
        <x:v>caffeine</x:v>
      </x:c>
      <x:c r="E810" s="36" t="n">
        <x:v>4</x:v>
      </x:c>
      <x:c r="F810" s="36" t="n">
        <x:v>4</x:v>
      </x:c>
      <x:c r="G810" s="36" t="n">
        <x:v>4</x:v>
      </x:c>
      <x:c r="H810" s="34" t="str">
        <x:v>cycle-observation</x:v>
      </x:c>
      <x:c r="I810" s="36" t="n">
        <x:v>1</x:v>
      </x:c>
      <x:c r="J810" s="34" t="str">
        <x:v>tomcat-findleaks-occurrence</x:v>
      </x:c>
      <x:c r="K810" s="34" t="str">
        <x:v>afterUndeploy.tomcatFindLeaksOccurrences</x:v>
      </x:c>
      <x:c r="L810" s="36" t="n">
        <x:v>1</x:v>
      </x:c>
      <x:c r="M810" s="34" t="str">
        <x:v>/caffeine</x:v>
      </x:c>
      <x:c r="N810" s="44" t="str">
        <x:v>/caffeine</x:v>
      </x:c>
    </x:row>
    <x:row r="811">
      <x:c r="A811" s="36" t="n">
        <x:v>810</x:v>
      </x:c>
      <x:c r="B811" s="34" t="str">
        <x:v>article1-unified-v4-2-fb3f101b-20260903-000401-default-f04-p6-caffeine</x:v>
      </x:c>
      <x:c r="C811" s="34" t="str">
        <x:v>default</x:v>
      </x:c>
      <x:c r="D811" s="34" t="str">
        <x:v>caffeine</x:v>
      </x:c>
      <x:c r="E811" s="36" t="n">
        <x:v>4</x:v>
      </x:c>
      <x:c r="F811" s="36" t="n">
        <x:v>4</x:v>
      </x:c>
      <x:c r="G811" s="36" t="n">
        <x:v>4</x:v>
      </x:c>
      <x:c r="H811" s="34" t="str">
        <x:v>cycle-observation</x:v>
      </x:c>
      <x:c r="I811" s="36" t="n">
        <x:v>2</x:v>
      </x:c>
      <x:c r="J811" s="34" t="str">
        <x:v>tomcat-findleaks-occurrence</x:v>
      </x:c>
      <x:c r="K811" s="34" t="str">
        <x:v>afterFinalUndeploy.tomcatFindLeaksOccurrences</x:v>
      </x:c>
      <x:c r="L811" s="36" t="n">
        <x:v>1</x:v>
      </x:c>
      <x:c r="M811" s="34" t="str">
        <x:v>/caffeine</x:v>
      </x:c>
      <x:c r="N811" s="44" t="str">
        <x:v>/caffeine</x:v>
      </x:c>
    </x:row>
    <x:row r="812">
      <x:c r="A812" s="36" t="n">
        <x:v>811</x:v>
      </x:c>
      <x:c r="B812" s="34" t="str">
        <x:v>article1-unified-v4-2-fb3f101b-20260903-000401-default-f04-p6-caffeine</x:v>
      </x:c>
      <x:c r="C812" s="34" t="str">
        <x:v>default</x:v>
      </x:c>
      <x:c r="D812" s="34" t="str">
        <x:v>caffeine</x:v>
      </x:c>
      <x:c r="E812" s="36" t="n">
        <x:v>4</x:v>
      </x:c>
      <x:c r="F812" s="36" t="n">
        <x:v>4</x:v>
      </x:c>
      <x:c r="G812" s="36" t="n">
        <x:v>5</x:v>
      </x:c>
      <x:c r="H812" s="34" t="str">
        <x:v>cycle-observation</x:v>
      </x:c>
      <x:c r="I812" s="36" t="n">
        <x:v>1</x:v>
      </x:c>
      <x:c r="J812" s="34" t="str">
        <x:v>tomcat-findleaks-occurrence</x:v>
      </x:c>
      <x:c r="K812" s="34" t="str">
        <x:v>afterUndeploy.tomcatFindLeaksOccurrences</x:v>
      </x:c>
      <x:c r="L812" s="36" t="n">
        <x:v>1</x:v>
      </x:c>
      <x:c r="M812" s="34" t="str">
        <x:v>/caffeine</x:v>
      </x:c>
      <x:c r="N812" s="44" t="str">
        <x:v>/caffeine</x:v>
      </x:c>
    </x:row>
    <x:row r="813">
      <x:c r="A813" s="36" t="n">
        <x:v>812</x:v>
      </x:c>
      <x:c r="B813" s="34" t="str">
        <x:v>article1-unified-v4-2-fb3f101b-20260903-000401-default-f04-p6-caffeine</x:v>
      </x:c>
      <x:c r="C813" s="34" t="str">
        <x:v>default</x:v>
      </x:c>
      <x:c r="D813" s="34" t="str">
        <x:v>caffeine</x:v>
      </x:c>
      <x:c r="E813" s="36" t="n">
        <x:v>4</x:v>
      </x:c>
      <x:c r="F813" s="36" t="n">
        <x:v>4</x:v>
      </x:c>
      <x:c r="G813" s="36" t="n">
        <x:v>5</x:v>
      </x:c>
      <x:c r="H813" s="34" t="str">
        <x:v>cycle-observation</x:v>
      </x:c>
      <x:c r="I813" s="36" t="n">
        <x:v>2</x:v>
      </x:c>
      <x:c r="J813" s="34" t="str">
        <x:v>tomcat-findleaks-occurrence</x:v>
      </x:c>
      <x:c r="K813" s="34" t="str">
        <x:v>afterFinalUndeploy.tomcatFindLeaksOccurrences</x:v>
      </x:c>
      <x:c r="L813" s="36" t="n">
        <x:v>1</x:v>
      </x:c>
      <x:c r="M813" s="34" t="str">
        <x:v>/caffeine</x:v>
      </x:c>
      <x:c r="N813" s="44" t="str">
        <x:v>/caffeine</x:v>
      </x:c>
    </x:row>
    <x:row r="814">
      <x:c r="A814" s="36" t="n">
        <x:v>813</x:v>
      </x:c>
      <x:c r="B814" s="34" t="str">
        <x:v>article1-unified-v4-2-fb3f101b-20260903-000401-default-f05-p1-jcs321</x:v>
      </x:c>
      <x:c r="C814" s="34" t="str">
        <x:v>default</x:v>
      </x:c>
      <x:c r="D814" s="34" t="str">
        <x:v>jcs321</x:v>
      </x:c>
      <x:c r="E814" s="36" t="n">
        <x:v>5</x:v>
      </x:c>
      <x:c r="F814" s="36" t="n">
        <x:v>5</x:v>
      </x:c>
      <x:c r="G814" s="36"/>
      <x:c r="H814" s="34" t="str">
        <x:v>process-run-aggregate</x:v>
      </x:c>
      <x:c r="I814" s="36"/>
      <x:c r="J814" s="34" t="str">
        <x:v>warning</x:v>
      </x:c>
      <x:c r="K814" s="34" t="str">
        <x:v>warnings</x:v>
      </x:c>
      <x:c r="L814" s="36" t="n">
        <x:v>1</x:v>
      </x:c>
      <x:c r="M814" s="34"/>
      <x:c r="N814" s="44" t="str">
        <x:v>03-Sep-2026 01:24:23.286 WARNING [http-nio-8080-exec-1] org.apache.commons.jcs3.engine.control.CompositeCacheConfigurator. Skipping empty auxiliary name</x:v>
      </x:c>
    </x:row>
    <x:row r="815">
      <x:c r="A815" s="36" t="n">
        <x:v>814</x:v>
      </x:c>
      <x:c r="B815" s="34" t="str">
        <x:v>article1-unified-v4-2-fb3f101b-20260903-000401-default-f05-p1-jcs321</x:v>
      </x:c>
      <x:c r="C815" s="34" t="str">
        <x:v>default</x:v>
      </x:c>
      <x:c r="D815" s="34" t="str">
        <x:v>jcs321</x:v>
      </x:c>
      <x:c r="E815" s="36" t="n">
        <x:v>5</x:v>
      </x:c>
      <x:c r="F815" s="36" t="n">
        <x:v>5</x:v>
      </x:c>
      <x:c r="G815" s="36"/>
      <x:c r="H815" s="34" t="str">
        <x:v>process-run-aggregate</x:v>
      </x:c>
      <x:c r="I815" s="36"/>
      <x:c r="J815" s="34" t="str">
        <x:v>warning</x:v>
      </x:c>
      <x:c r="K815" s="34" t="str">
        <x:v>warnings</x:v>
      </x:c>
      <x:c r="L815" s="36" t="n">
        <x:v>2</x:v>
      </x:c>
      <x:c r="M815" s="34"/>
      <x:c r="N815" s="44" t="str">
        <x:v>03-Sep-2026 01:24:37.011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816">
      <x:c r="A816" s="36" t="n">
        <x:v>815</x:v>
      </x:c>
      <x:c r="B816" s="34" t="str">
        <x:v>article1-unified-v4-2-fb3f101b-20260903-000401-default-f05-p1-jcs321</x:v>
      </x:c>
      <x:c r="C816" s="34" t="str">
        <x:v>default</x:v>
      </x:c>
      <x:c r="D816" s="34" t="str">
        <x:v>jcs321</x:v>
      </x:c>
      <x:c r="E816" s="36" t="n">
        <x:v>5</x:v>
      </x:c>
      <x:c r="F816" s="36" t="n">
        <x:v>5</x:v>
      </x:c>
      <x:c r="G816" s="36"/>
      <x:c r="H816" s="34" t="str">
        <x:v>process-run-aggregate</x:v>
      </x:c>
      <x:c r="I816" s="36"/>
      <x:c r="J816" s="34" t="str">
        <x:v>warning</x:v>
      </x:c>
      <x:c r="K816" s="34" t="str">
        <x:v>warnings</x:v>
      </x:c>
      <x:c r="L816" s="36" t="n">
        <x:v>3</x:v>
      </x:c>
      <x:c r="M816" s="34"/>
      <x:c r="N816" s="44" t="str">
        <x:v>03-Sep-2026 01:25:07.006 WARNING [http-nio-8080-exec-8] org.apache.commons.jcs3.engine.control.CompositeCacheConfigurator. Skipping empty auxiliary name</x:v>
      </x:c>
    </x:row>
    <x:row r="817">
      <x:c r="A817" s="36" t="n">
        <x:v>816</x:v>
      </x:c>
      <x:c r="B817" s="34" t="str">
        <x:v>article1-unified-v4-2-fb3f101b-20260903-000401-default-f05-p1-jcs321</x:v>
      </x:c>
      <x:c r="C817" s="34" t="str">
        <x:v>default</x:v>
      </x:c>
      <x:c r="D817" s="34" t="str">
        <x:v>jcs321</x:v>
      </x:c>
      <x:c r="E817" s="36" t="n">
        <x:v>5</x:v>
      </x:c>
      <x:c r="F817" s="36" t="n">
        <x:v>5</x:v>
      </x:c>
      <x:c r="G817" s="36"/>
      <x:c r="H817" s="34" t="str">
        <x:v>process-run-aggregate</x:v>
      </x:c>
      <x:c r="I817" s="36"/>
      <x:c r="J817" s="34" t="str">
        <x:v>warning</x:v>
      </x:c>
      <x:c r="K817" s="34" t="str">
        <x:v>warnings</x:v>
      </x:c>
      <x:c r="L817" s="36" t="n">
        <x:v>4</x:v>
      </x:c>
      <x:c r="M817" s="34"/>
      <x:c r="N817" s="44" t="str">
        <x:v>03-Sep-2026 01:25:20.141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818">
      <x:c r="A818" s="36" t="n">
        <x:v>817</x:v>
      </x:c>
      <x:c r="B818" s="34" t="str">
        <x:v>article1-unified-v4-2-fb3f101b-20260903-000401-default-f05-p1-jcs321</x:v>
      </x:c>
      <x:c r="C818" s="34" t="str">
        <x:v>default</x:v>
      </x:c>
      <x:c r="D818" s="34" t="str">
        <x:v>jcs321</x:v>
      </x:c>
      <x:c r="E818" s="36" t="n">
        <x:v>5</x:v>
      </x:c>
      <x:c r="F818" s="36" t="n">
        <x:v>5</x:v>
      </x:c>
      <x:c r="G818" s="36"/>
      <x:c r="H818" s="34" t="str">
        <x:v>process-run-aggregate</x:v>
      </x:c>
      <x:c r="I818" s="36"/>
      <x:c r="J818" s="34" t="str">
        <x:v>warning</x:v>
      </x:c>
      <x:c r="K818" s="34" t="str">
        <x:v>warnings</x:v>
      </x:c>
      <x:c r="L818" s="36" t="n">
        <x:v>5</x:v>
      </x:c>
      <x:c r="M818" s="34"/>
      <x:c r="N818" s="44" t="str">
        <x:v>03-Sep-2026 01:25:52.753 WARNING [http-nio-8080-exec-1] org.apache.commons.jcs3.engine.control.CompositeCacheConfigurator. Skipping empty auxiliary name</x:v>
      </x:c>
    </x:row>
    <x:row r="819">
      <x:c r="A819" s="36" t="n">
        <x:v>818</x:v>
      </x:c>
      <x:c r="B819" s="34" t="str">
        <x:v>article1-unified-v4-2-fb3f101b-20260903-000401-default-f05-p1-jcs321</x:v>
      </x:c>
      <x:c r="C819" s="34" t="str">
        <x:v>default</x:v>
      </x:c>
      <x:c r="D819" s="34" t="str">
        <x:v>jcs321</x:v>
      </x:c>
      <x:c r="E819" s="36" t="n">
        <x:v>5</x:v>
      </x:c>
      <x:c r="F819" s="36" t="n">
        <x:v>5</x:v>
      </x:c>
      <x:c r="G819" s="36"/>
      <x:c r="H819" s="34" t="str">
        <x:v>process-run-aggregate</x:v>
      </x:c>
      <x:c r="I819" s="36"/>
      <x:c r="J819" s="34" t="str">
        <x:v>warning</x:v>
      </x:c>
      <x:c r="K819" s="34" t="str">
        <x:v>warnings</x:v>
      </x:c>
      <x:c r="L819" s="36" t="n">
        <x:v>6</x:v>
      </x:c>
      <x:c r="M819" s="34"/>
      <x:c r="N819" s="44" t="str">
        <x:v>03-Sep-2026 01:26:06.189 WARNING [http-nio-8080-exec-7]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820">
      <x:c r="A820" s="36" t="n">
        <x:v>819</x:v>
      </x:c>
      <x:c r="B820" s="34" t="str">
        <x:v>article1-unified-v4-2-fb3f101b-20260903-000401-default-f05-p1-jcs321</x:v>
      </x:c>
      <x:c r="C820" s="34" t="str">
        <x:v>default</x:v>
      </x:c>
      <x:c r="D820" s="34" t="str">
        <x:v>jcs321</x:v>
      </x:c>
      <x:c r="E820" s="36" t="n">
        <x:v>5</x:v>
      </x:c>
      <x:c r="F820" s="36" t="n">
        <x:v>5</x:v>
      </x:c>
      <x:c r="G820" s="36"/>
      <x:c r="H820" s="34" t="str">
        <x:v>process-run-aggregate</x:v>
      </x:c>
      <x:c r="I820" s="36"/>
      <x:c r="J820" s="34" t="str">
        <x:v>warning</x:v>
      </x:c>
      <x:c r="K820" s="34" t="str">
        <x:v>warnings</x:v>
      </x:c>
      <x:c r="L820" s="36" t="n">
        <x:v>7</x:v>
      </x:c>
      <x:c r="M820" s="34"/>
      <x:c r="N820" s="44" t="str">
        <x:v>03-Sep-2026 01:26:36.001 WARNING [http-nio-8080-exec-21] org.apache.commons.jcs3.engine.control.CompositeCacheConfigurator. Skipping empty auxiliary name</x:v>
      </x:c>
    </x:row>
    <x:row r="821">
      <x:c r="A821" s="36" t="n">
        <x:v>820</x:v>
      </x:c>
      <x:c r="B821" s="34" t="str">
        <x:v>article1-unified-v4-2-fb3f101b-20260903-000401-default-f05-p1-jcs321</x:v>
      </x:c>
      <x:c r="C821" s="34" t="str">
        <x:v>default</x:v>
      </x:c>
      <x:c r="D821" s="34" t="str">
        <x:v>jcs321</x:v>
      </x:c>
      <x:c r="E821" s="36" t="n">
        <x:v>5</x:v>
      </x:c>
      <x:c r="F821" s="36" t="n">
        <x:v>5</x:v>
      </x:c>
      <x:c r="G821" s="36"/>
      <x:c r="H821" s="34" t="str">
        <x:v>process-run-aggregate</x:v>
      </x:c>
      <x:c r="I821" s="36"/>
      <x:c r="J821" s="34" t="str">
        <x:v>warning</x:v>
      </x:c>
      <x:c r="K821" s="34" t="str">
        <x:v>warnings</x:v>
      </x:c>
      <x:c r="L821" s="36" t="n">
        <x:v>8</x:v>
      </x:c>
      <x:c r="M821" s="34"/>
      <x:c r="N821" s="44" t="str">
        <x:v>03-Sep-2026 01:26:48.981 WARNING [http-nio-8080-exec-22]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822">
      <x:c r="A822" s="36" t="n">
        <x:v>821</x:v>
      </x:c>
      <x:c r="B822" s="34" t="str">
        <x:v>article1-unified-v4-2-fb3f101b-20260903-000401-default-f05-p1-jcs321</x:v>
      </x:c>
      <x:c r="C822" s="34" t="str">
        <x:v>default</x:v>
      </x:c>
      <x:c r="D822" s="34" t="str">
        <x:v>jcs321</x:v>
      </x:c>
      <x:c r="E822" s="36" t="n">
        <x:v>5</x:v>
      </x:c>
      <x:c r="F822" s="36" t="n">
        <x:v>5</x:v>
      </x:c>
      <x:c r="G822" s="36"/>
      <x:c r="H822" s="34" t="str">
        <x:v>process-run-aggregate</x:v>
      </x:c>
      <x:c r="I822" s="36"/>
      <x:c r="J822" s="34" t="str">
        <x:v>warning</x:v>
      </x:c>
      <x:c r="K822" s="34" t="str">
        <x:v>warnings</x:v>
      </x:c>
      <x:c r="L822" s="36" t="n">
        <x:v>9</x:v>
      </x:c>
      <x:c r="M822" s="34"/>
      <x:c r="N822" s="44" t="str">
        <x:v>03-Sep-2026 01:27:21.191 WARNING [http-nio-8080-exec-20] org.apache.commons.jcs3.engine.control.CompositeCacheConfigurator. Skipping empty auxiliary name</x:v>
      </x:c>
    </x:row>
    <x:row r="823">
      <x:c r="A823" s="36" t="n">
        <x:v>822</x:v>
      </x:c>
      <x:c r="B823" s="34" t="str">
        <x:v>article1-unified-v4-2-fb3f101b-20260903-000401-default-f05-p1-jcs321</x:v>
      </x:c>
      <x:c r="C823" s="34" t="str">
        <x:v>default</x:v>
      </x:c>
      <x:c r="D823" s="34" t="str">
        <x:v>jcs321</x:v>
      </x:c>
      <x:c r="E823" s="36" t="n">
        <x:v>5</x:v>
      </x:c>
      <x:c r="F823" s="36" t="n">
        <x:v>5</x:v>
      </x:c>
      <x:c r="G823" s="36"/>
      <x:c r="H823" s="34" t="str">
        <x:v>process-run-aggregate</x:v>
      </x:c>
      <x:c r="I823" s="36"/>
      <x:c r="J823" s="34" t="str">
        <x:v>warning</x:v>
      </x:c>
      <x:c r="K823" s="34" t="str">
        <x:v>warnings</x:v>
      </x:c>
      <x:c r="L823" s="36" t="n">
        <x:v>10</x:v>
      </x:c>
      <x:c r="M823" s="34"/>
      <x:c r="N823" s="44" t="str">
        <x:v>03-Sep-2026 01:27:34.159 WARNING [http-nio-8080-exec-19]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824">
      <x:c r="A824" s="36" t="n">
        <x:v>823</x:v>
      </x:c>
      <x:c r="B824" s="34" t="str">
        <x:v>article1-unified-v4-2-fb3f101b-20260903-000401-default-f05-p1-jcs321</x:v>
      </x:c>
      <x:c r="C824" s="34" t="str">
        <x:v>default</x:v>
      </x:c>
      <x:c r="D824" s="34" t="str">
        <x:v>jcs321</x:v>
      </x:c>
      <x:c r="E824" s="36" t="n">
        <x:v>5</x:v>
      </x:c>
      <x:c r="F824" s="36" t="n">
        <x:v>5</x:v>
      </x:c>
      <x:c r="G824" s="36"/>
      <x:c r="H824" s="34" t="str">
        <x:v>process-run-aggregate</x:v>
      </x:c>
      <x:c r="I824" s="36"/>
      <x:c r="J824" s="34" t="str">
        <x:v>warning</x:v>
      </x:c>
      <x:c r="K824" s="34" t="str">
        <x:v>warnings</x:v>
      </x:c>
      <x:c r="L824" s="36" t="n">
        <x:v>11</x:v>
      </x:c>
      <x:c r="M824" s="34"/>
      <x:c r="N824" s="44" t="str">
        <x:v>03-Sep-2026 01:28:04.268 WARNING [http-nio-8080-exec-36] org.apache.commons.jcs3.engine.control.CompositeCacheConfigurator. Skipping empty auxiliary name</x:v>
      </x:c>
    </x:row>
    <x:row r="825">
      <x:c r="A825" s="36" t="n">
        <x:v>824</x:v>
      </x:c>
      <x:c r="B825" s="34" t="str">
        <x:v>article1-unified-v4-2-fb3f101b-20260903-000401-default-f05-p1-jcs321</x:v>
      </x:c>
      <x:c r="C825" s="34" t="str">
        <x:v>default</x:v>
      </x:c>
      <x:c r="D825" s="34" t="str">
        <x:v>jcs321</x:v>
      </x:c>
      <x:c r="E825" s="36" t="n">
        <x:v>5</x:v>
      </x:c>
      <x:c r="F825" s="36" t="n">
        <x:v>5</x:v>
      </x:c>
      <x:c r="G825" s="36"/>
      <x:c r="H825" s="34" t="str">
        <x:v>process-run-aggregate</x:v>
      </x:c>
      <x:c r="I825" s="36"/>
      <x:c r="J825" s="34" t="str">
        <x:v>warning</x:v>
      </x:c>
      <x:c r="K825" s="34" t="str">
        <x:v>warnings</x:v>
      </x:c>
      <x:c r="L825" s="36" t="n">
        <x:v>12</x:v>
      </x:c>
      <x:c r="M825" s="34"/>
      <x:c r="N825" s="44" t="str">
        <x:v>03-Sep-2026 01:28:17.485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826">
      <x:c r="A826" s="36" t="n">
        <x:v>825</x:v>
      </x:c>
      <x:c r="B826" s="34" t="str">
        <x:v>article1-unified-v4-2-fb3f101b-20260903-000401-default-f05-p1-jcs321</x:v>
      </x:c>
      <x:c r="C826" s="34" t="str">
        <x:v>default</x:v>
      </x:c>
      <x:c r="D826" s="34" t="str">
        <x:v>jcs321</x:v>
      </x:c>
      <x:c r="E826" s="36" t="n">
        <x:v>5</x:v>
      </x:c>
      <x:c r="F826" s="36" t="n">
        <x:v>5</x:v>
      </x:c>
      <x:c r="G826" s="36"/>
      <x:c r="H826" s="34" t="str">
        <x:v>process-run-aggregate</x:v>
      </x:c>
      <x:c r="I826" s="36"/>
      <x:c r="J826" s="34" t="str">
        <x:v>warning</x:v>
      </x:c>
      <x:c r="K826" s="34" t="str">
        <x:v>warnings</x:v>
      </x:c>
      <x:c r="L826" s="36" t="n">
        <x:v>13</x:v>
      </x:c>
      <x:c r="M826" s="34"/>
      <x:c r="N826" s="44" t="str">
        <x:v>03-Sep-2026 01:28:50.094 WARNING [http-nio-8080-exec-39] org.apache.commons.jcs3.engine.control.CompositeCacheConfigurator. Skipping empty auxiliary name</x:v>
      </x:c>
    </x:row>
    <x:row r="827">
      <x:c r="A827" s="36" t="n">
        <x:v>826</x:v>
      </x:c>
      <x:c r="B827" s="34" t="str">
        <x:v>article1-unified-v4-2-fb3f101b-20260903-000401-default-f05-p1-jcs321</x:v>
      </x:c>
      <x:c r="C827" s="34" t="str">
        <x:v>default</x:v>
      </x:c>
      <x:c r="D827" s="34" t="str">
        <x:v>jcs321</x:v>
      </x:c>
      <x:c r="E827" s="36" t="n">
        <x:v>5</x:v>
      </x:c>
      <x:c r="F827" s="36" t="n">
        <x:v>5</x:v>
      </x:c>
      <x:c r="G827" s="36"/>
      <x:c r="H827" s="34" t="str">
        <x:v>process-run-aggregate</x:v>
      </x:c>
      <x:c r="I827" s="36"/>
      <x:c r="J827" s="34" t="str">
        <x:v>warning</x:v>
      </x:c>
      <x:c r="K827" s="34" t="str">
        <x:v>warnings</x:v>
      </x:c>
      <x:c r="L827" s="36" t="n">
        <x:v>14</x:v>
      </x:c>
      <x:c r="M827" s="34"/>
      <x:c r="N827" s="44" t="str">
        <x:v>03-Sep-2026 01:29:03.266 WARNING [http-nio-8080-exec-35]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828">
      <x:c r="A828" s="36" t="n">
        <x:v>827</x:v>
      </x:c>
      <x:c r="B828" s="34" t="str">
        <x:v>article1-unified-v4-2-fb3f101b-20260903-000401-default-f05-p1-jcs321</x:v>
      </x:c>
      <x:c r="C828" s="34" t="str">
        <x:v>default</x:v>
      </x:c>
      <x:c r="D828" s="34" t="str">
        <x:v>jcs321</x:v>
      </x:c>
      <x:c r="E828" s="36" t="n">
        <x:v>5</x:v>
      </x:c>
      <x:c r="F828" s="36" t="n">
        <x:v>5</x:v>
      </x:c>
      <x:c r="G828" s="36"/>
      <x:c r="H828" s="34" t="str">
        <x:v>process-run-aggregate</x:v>
      </x:c>
      <x:c r="I828" s="36"/>
      <x:c r="J828" s="34" t="str">
        <x:v>warning</x:v>
      </x:c>
      <x:c r="K828" s="34" t="str">
        <x:v>warnings</x:v>
      </x:c>
      <x:c r="L828" s="36" t="n">
        <x:v>15</x:v>
      </x:c>
      <x:c r="M828" s="34"/>
      <x:c r="N828" s="44" t="str">
        <x:v>03-Sep-2026 01:29:32.684 WARNING [http-nio-8080-exec-41] org.apache.commons.jcs3.engine.control.CompositeCacheConfigurator. Skipping empty auxiliary name</x:v>
      </x:c>
    </x:row>
    <x:row r="829">
      <x:c r="A829" s="36" t="n">
        <x:v>828</x:v>
      </x:c>
      <x:c r="B829" s="34" t="str">
        <x:v>article1-unified-v4-2-fb3f101b-20260903-000401-default-f05-p1-jcs321</x:v>
      </x:c>
      <x:c r="C829" s="34" t="str">
        <x:v>default</x:v>
      </x:c>
      <x:c r="D829" s="34" t="str">
        <x:v>jcs321</x:v>
      </x:c>
      <x:c r="E829" s="36" t="n">
        <x:v>5</x:v>
      </x:c>
      <x:c r="F829" s="36" t="n">
        <x:v>5</x:v>
      </x:c>
      <x:c r="G829" s="36"/>
      <x:c r="H829" s="34" t="str">
        <x:v>process-run-aggregate</x:v>
      </x:c>
      <x:c r="I829" s="36"/>
      <x:c r="J829" s="34" t="str">
        <x:v>warning</x:v>
      </x:c>
      <x:c r="K829" s="34" t="str">
        <x:v>warnings</x:v>
      </x:c>
      <x:c r="L829" s="36" t="n">
        <x:v>16</x:v>
      </x:c>
      <x:c r="M829" s="34"/>
      <x:c r="N829" s="44" t="str">
        <x:v>03-Sep-2026 01:29:46.024 WARNING [http-nio-8080-exec-44]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830">
      <x:c r="A830" s="36" t="n">
        <x:v>829</x:v>
      </x:c>
      <x:c r="B830" s="34" t="str">
        <x:v>article1-unified-v4-2-fb3f101b-20260903-000401-default-f05-p1-jcs321</x:v>
      </x:c>
      <x:c r="C830" s="34" t="str">
        <x:v>default</x:v>
      </x:c>
      <x:c r="D830" s="34" t="str">
        <x:v>jcs321</x:v>
      </x:c>
      <x:c r="E830" s="36" t="n">
        <x:v>5</x:v>
      </x:c>
      <x:c r="F830" s="36" t="n">
        <x:v>5</x:v>
      </x:c>
      <x:c r="G830" s="36"/>
      <x:c r="H830" s="34" t="str">
        <x:v>process-run-aggregate</x:v>
      </x:c>
      <x:c r="I830" s="36"/>
      <x:c r="J830" s="34" t="str">
        <x:v>warning</x:v>
      </x:c>
      <x:c r="K830" s="34" t="str">
        <x:v>warnings</x:v>
      </x:c>
      <x:c r="L830" s="36" t="n">
        <x:v>17</x:v>
      </x:c>
      <x:c r="M830" s="34"/>
      <x:c r="N830" s="44" t="str">
        <x:v>03-Sep-2026 01:30:19.085 WARNING [http-nio-8080-exec-50] org.apache.commons.jcs3.engine.control.CompositeCacheConfigurator. Skipping empty auxiliary name</x:v>
      </x:c>
    </x:row>
    <x:row r="831">
      <x:c r="A831" s="36" t="n">
        <x:v>830</x:v>
      </x:c>
      <x:c r="B831" s="34" t="str">
        <x:v>article1-unified-v4-2-fb3f101b-20260903-000401-default-f05-p1-jcs321</x:v>
      </x:c>
      <x:c r="C831" s="34" t="str">
        <x:v>default</x:v>
      </x:c>
      <x:c r="D831" s="34" t="str">
        <x:v>jcs321</x:v>
      </x:c>
      <x:c r="E831" s="36" t="n">
        <x:v>5</x:v>
      </x:c>
      <x:c r="F831" s="36" t="n">
        <x:v>5</x:v>
      </x:c>
      <x:c r="G831" s="36"/>
      <x:c r="H831" s="34" t="str">
        <x:v>process-run-aggregate</x:v>
      </x:c>
      <x:c r="I831" s="36"/>
      <x:c r="J831" s="34" t="str">
        <x:v>warning</x:v>
      </x:c>
      <x:c r="K831" s="34" t="str">
        <x:v>warnings</x:v>
      </x:c>
      <x:c r="L831" s="36" t="n">
        <x:v>18</x:v>
      </x:c>
      <x:c r="M831" s="34"/>
      <x:c r="N831" s="44" t="str">
        <x:v>03-Sep-2026 01:30:32.499 WARNING [http-nio-8080-exec-46]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832">
      <x:c r="A832" s="36" t="n">
        <x:v>831</x:v>
      </x:c>
      <x:c r="B832" s="34" t="str">
        <x:v>article1-unified-v4-2-fb3f101b-20260903-000401-default-f05-p1-jcs321</x:v>
      </x:c>
      <x:c r="C832" s="34" t="str">
        <x:v>default</x:v>
      </x:c>
      <x:c r="D832" s="34" t="str">
        <x:v>jcs321</x:v>
      </x:c>
      <x:c r="E832" s="36" t="n">
        <x:v>5</x:v>
      </x:c>
      <x:c r="F832" s="36" t="n">
        <x:v>5</x:v>
      </x:c>
      <x:c r="G832" s="36"/>
      <x:c r="H832" s="34" t="str">
        <x:v>process-run-aggregate</x:v>
      </x:c>
      <x:c r="I832" s="36"/>
      <x:c r="J832" s="34" t="str">
        <x:v>warning</x:v>
      </x:c>
      <x:c r="K832" s="34" t="str">
        <x:v>warnings</x:v>
      </x:c>
      <x:c r="L832" s="36" t="n">
        <x:v>19</x:v>
      </x:c>
      <x:c r="M832" s="34"/>
      <x:c r="N832" s="44" t="str">
        <x:v>03-Sep-2026 01:31:01.922 WARNING [http-nio-8080-exec-57] org.apache.commons.jcs3.engine.control.CompositeCacheConfigurator. Skipping empty auxiliary name</x:v>
      </x:c>
    </x:row>
    <x:row r="833">
      <x:c r="A833" s="36" t="n">
        <x:v>832</x:v>
      </x:c>
      <x:c r="B833" s="34" t="str">
        <x:v>article1-unified-v4-2-fb3f101b-20260903-000401-default-f05-p1-jcs321</x:v>
      </x:c>
      <x:c r="C833" s="34" t="str">
        <x:v>default</x:v>
      </x:c>
      <x:c r="D833" s="34" t="str">
        <x:v>jcs321</x:v>
      </x:c>
      <x:c r="E833" s="36" t="n">
        <x:v>5</x:v>
      </x:c>
      <x:c r="F833" s="36" t="n">
        <x:v>5</x:v>
      </x:c>
      <x:c r="G833" s="36"/>
      <x:c r="H833" s="34" t="str">
        <x:v>process-run-aggregate</x:v>
      </x:c>
      <x:c r="I833" s="36"/>
      <x:c r="J833" s="34" t="str">
        <x:v>warning</x:v>
      </x:c>
      <x:c r="K833" s="34" t="str">
        <x:v>warnings</x:v>
      </x:c>
      <x:c r="L833" s="36" t="n">
        <x:v>20</x:v>
      </x:c>
      <x:c r="M833" s="34"/>
      <x:c r="N833" s="44" t="str">
        <x:v>03-Sep-2026 01:31:15.101 WARNING [http-nio-8080-exec-58]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834">
      <x:c r="A834" s="36" t="n">
        <x:v>833</x:v>
      </x:c>
      <x:c r="B834" s="34" t="str">
        <x:v>article1-unified-v4-2-fb3f101b-20260903-000401-default-f05-p1-jcs321</x:v>
      </x:c>
      <x:c r="C834" s="34" t="str">
        <x:v>default</x:v>
      </x:c>
      <x:c r="D834" s="34" t="str">
        <x:v>jcs321</x:v>
      </x:c>
      <x:c r="E834" s="36" t="n">
        <x:v>5</x:v>
      </x:c>
      <x:c r="F834" s="36" t="n">
        <x:v>5</x:v>
      </x:c>
      <x:c r="G834" s="36"/>
      <x:c r="H834" s="34" t="str">
        <x:v>process-run-aggregate</x:v>
      </x:c>
      <x:c r="I834" s="36"/>
      <x:c r="J834" s="34" t="str">
        <x:v>leak-warning</x:v>
      </x:c>
      <x:c r="K834" s="34" t="str">
        <x:v>leakWarnings</x:v>
      </x:c>
      <x:c r="L834" s="36" t="n">
        <x:v>1</x:v>
      </x:c>
      <x:c r="M834" s="34"/>
      <x:c r="N834" s="44" t="str">
        <x:v>03-Sep-2026 01:24:37.011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835">
      <x:c r="A835" s="36" t="n">
        <x:v>834</x:v>
      </x:c>
      <x:c r="B835" s="34" t="str">
        <x:v>article1-unified-v4-2-fb3f101b-20260903-000401-default-f05-p1-jcs321</x:v>
      </x:c>
      <x:c r="C835" s="34" t="str">
        <x:v>default</x:v>
      </x:c>
      <x:c r="D835" s="34" t="str">
        <x:v>jcs321</x:v>
      </x:c>
      <x:c r="E835" s="36" t="n">
        <x:v>5</x:v>
      </x:c>
      <x:c r="F835" s="36" t="n">
        <x:v>5</x:v>
      </x:c>
      <x:c r="G835" s="36"/>
      <x:c r="H835" s="34" t="str">
        <x:v>process-run-aggregate</x:v>
      </x:c>
      <x:c r="I835" s="36"/>
      <x:c r="J835" s="34" t="str">
        <x:v>leak-warning</x:v>
      </x:c>
      <x:c r="K835" s="34" t="str">
        <x:v>leakWarnings</x:v>
      </x:c>
      <x:c r="L835" s="36" t="n">
        <x:v>2</x:v>
      </x:c>
      <x:c r="M835" s="34"/>
      <x:c r="N835" s="44" t="str">
        <x:v>03-Sep-2026 01:25:20.141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836">
      <x:c r="A836" s="36" t="n">
        <x:v>835</x:v>
      </x:c>
      <x:c r="B836" s="34" t="str">
        <x:v>article1-unified-v4-2-fb3f101b-20260903-000401-default-f05-p1-jcs321</x:v>
      </x:c>
      <x:c r="C836" s="34" t="str">
        <x:v>default</x:v>
      </x:c>
      <x:c r="D836" s="34" t="str">
        <x:v>jcs321</x:v>
      </x:c>
      <x:c r="E836" s="36" t="n">
        <x:v>5</x:v>
      </x:c>
      <x:c r="F836" s="36" t="n">
        <x:v>5</x:v>
      </x:c>
      <x:c r="G836" s="36"/>
      <x:c r="H836" s="34" t="str">
        <x:v>process-run-aggregate</x:v>
      </x:c>
      <x:c r="I836" s="36"/>
      <x:c r="J836" s="34" t="str">
        <x:v>leak-warning</x:v>
      </x:c>
      <x:c r="K836" s="34" t="str">
        <x:v>leakWarnings</x:v>
      </x:c>
      <x:c r="L836" s="36" t="n">
        <x:v>3</x:v>
      </x:c>
      <x:c r="M836" s="34"/>
      <x:c r="N836" s="44" t="str">
        <x:v>03-Sep-2026 01:26:06.189 WARNING [http-nio-8080-exec-7]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837">
      <x:c r="A837" s="36" t="n">
        <x:v>836</x:v>
      </x:c>
      <x:c r="B837" s="34" t="str">
        <x:v>article1-unified-v4-2-fb3f101b-20260903-000401-default-f05-p1-jcs321</x:v>
      </x:c>
      <x:c r="C837" s="34" t="str">
        <x:v>default</x:v>
      </x:c>
      <x:c r="D837" s="34" t="str">
        <x:v>jcs321</x:v>
      </x:c>
      <x:c r="E837" s="36" t="n">
        <x:v>5</x:v>
      </x:c>
      <x:c r="F837" s="36" t="n">
        <x:v>5</x:v>
      </x:c>
      <x:c r="G837" s="36"/>
      <x:c r="H837" s="34" t="str">
        <x:v>process-run-aggregate</x:v>
      </x:c>
      <x:c r="I837" s="36"/>
      <x:c r="J837" s="34" t="str">
        <x:v>leak-warning</x:v>
      </x:c>
      <x:c r="K837" s="34" t="str">
        <x:v>leakWarnings</x:v>
      </x:c>
      <x:c r="L837" s="36" t="n">
        <x:v>4</x:v>
      </x:c>
      <x:c r="M837" s="34"/>
      <x:c r="N837" s="44" t="str">
        <x:v>03-Sep-2026 01:26:48.981 WARNING [http-nio-8080-exec-22]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838">
      <x:c r="A838" s="36" t="n">
        <x:v>837</x:v>
      </x:c>
      <x:c r="B838" s="34" t="str">
        <x:v>article1-unified-v4-2-fb3f101b-20260903-000401-default-f05-p1-jcs321</x:v>
      </x:c>
      <x:c r="C838" s="34" t="str">
        <x:v>default</x:v>
      </x:c>
      <x:c r="D838" s="34" t="str">
        <x:v>jcs321</x:v>
      </x:c>
      <x:c r="E838" s="36" t="n">
        <x:v>5</x:v>
      </x:c>
      <x:c r="F838" s="36" t="n">
        <x:v>5</x:v>
      </x:c>
      <x:c r="G838" s="36"/>
      <x:c r="H838" s="34" t="str">
        <x:v>process-run-aggregate</x:v>
      </x:c>
      <x:c r="I838" s="36"/>
      <x:c r="J838" s="34" t="str">
        <x:v>leak-warning</x:v>
      </x:c>
      <x:c r="K838" s="34" t="str">
        <x:v>leakWarnings</x:v>
      </x:c>
      <x:c r="L838" s="36" t="n">
        <x:v>5</x:v>
      </x:c>
      <x:c r="M838" s="34"/>
      <x:c r="N838" s="44" t="str">
        <x:v>03-Sep-2026 01:27:34.159 WARNING [http-nio-8080-exec-19]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839">
      <x:c r="A839" s="36" t="n">
        <x:v>838</x:v>
      </x:c>
      <x:c r="B839" s="34" t="str">
        <x:v>article1-unified-v4-2-fb3f101b-20260903-000401-default-f05-p1-jcs321</x:v>
      </x:c>
      <x:c r="C839" s="34" t="str">
        <x:v>default</x:v>
      </x:c>
      <x:c r="D839" s="34" t="str">
        <x:v>jcs321</x:v>
      </x:c>
      <x:c r="E839" s="36" t="n">
        <x:v>5</x:v>
      </x:c>
      <x:c r="F839" s="36" t="n">
        <x:v>5</x:v>
      </x:c>
      <x:c r="G839" s="36"/>
      <x:c r="H839" s="34" t="str">
        <x:v>process-run-aggregate</x:v>
      </x:c>
      <x:c r="I839" s="36"/>
      <x:c r="J839" s="34" t="str">
        <x:v>leak-warning</x:v>
      </x:c>
      <x:c r="K839" s="34" t="str">
        <x:v>leakWarnings</x:v>
      </x:c>
      <x:c r="L839" s="36" t="n">
        <x:v>6</x:v>
      </x:c>
      <x:c r="M839" s="34"/>
      <x:c r="N839" s="44" t="str">
        <x:v>03-Sep-2026 01:28:17.485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840">
      <x:c r="A840" s="36" t="n">
        <x:v>839</x:v>
      </x:c>
      <x:c r="B840" s="34" t="str">
        <x:v>article1-unified-v4-2-fb3f101b-20260903-000401-default-f05-p1-jcs321</x:v>
      </x:c>
      <x:c r="C840" s="34" t="str">
        <x:v>default</x:v>
      </x:c>
      <x:c r="D840" s="34" t="str">
        <x:v>jcs321</x:v>
      </x:c>
      <x:c r="E840" s="36" t="n">
        <x:v>5</x:v>
      </x:c>
      <x:c r="F840" s="36" t="n">
        <x:v>5</x:v>
      </x:c>
      <x:c r="G840" s="36"/>
      <x:c r="H840" s="34" t="str">
        <x:v>process-run-aggregate</x:v>
      </x:c>
      <x:c r="I840" s="36"/>
      <x:c r="J840" s="34" t="str">
        <x:v>leak-warning</x:v>
      </x:c>
      <x:c r="K840" s="34" t="str">
        <x:v>leakWarnings</x:v>
      </x:c>
      <x:c r="L840" s="36" t="n">
        <x:v>7</x:v>
      </x:c>
      <x:c r="M840" s="34"/>
      <x:c r="N840" s="44" t="str">
        <x:v>03-Sep-2026 01:29:03.266 WARNING [http-nio-8080-exec-35]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841">
      <x:c r="A841" s="36" t="n">
        <x:v>840</x:v>
      </x:c>
      <x:c r="B841" s="34" t="str">
        <x:v>article1-unified-v4-2-fb3f101b-20260903-000401-default-f05-p1-jcs321</x:v>
      </x:c>
      <x:c r="C841" s="34" t="str">
        <x:v>default</x:v>
      </x:c>
      <x:c r="D841" s="34" t="str">
        <x:v>jcs321</x:v>
      </x:c>
      <x:c r="E841" s="36" t="n">
        <x:v>5</x:v>
      </x:c>
      <x:c r="F841" s="36" t="n">
        <x:v>5</x:v>
      </x:c>
      <x:c r="G841" s="36"/>
      <x:c r="H841" s="34" t="str">
        <x:v>process-run-aggregate</x:v>
      </x:c>
      <x:c r="I841" s="36"/>
      <x:c r="J841" s="34" t="str">
        <x:v>leak-warning</x:v>
      </x:c>
      <x:c r="K841" s="34" t="str">
        <x:v>leakWarnings</x:v>
      </x:c>
      <x:c r="L841" s="36" t="n">
        <x:v>8</x:v>
      </x:c>
      <x:c r="M841" s="34"/>
      <x:c r="N841" s="44" t="str">
        <x:v>03-Sep-2026 01:29:46.024 WARNING [http-nio-8080-exec-44]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842">
      <x:c r="A842" s="36" t="n">
        <x:v>841</x:v>
      </x:c>
      <x:c r="B842" s="34" t="str">
        <x:v>article1-unified-v4-2-fb3f101b-20260903-000401-default-f05-p1-jcs321</x:v>
      </x:c>
      <x:c r="C842" s="34" t="str">
        <x:v>default</x:v>
      </x:c>
      <x:c r="D842" s="34" t="str">
        <x:v>jcs321</x:v>
      </x:c>
      <x:c r="E842" s="36" t="n">
        <x:v>5</x:v>
      </x:c>
      <x:c r="F842" s="36" t="n">
        <x:v>5</x:v>
      </x:c>
      <x:c r="G842" s="36"/>
      <x:c r="H842" s="34" t="str">
        <x:v>process-run-aggregate</x:v>
      </x:c>
      <x:c r="I842" s="36"/>
      <x:c r="J842" s="34" t="str">
        <x:v>leak-warning</x:v>
      </x:c>
      <x:c r="K842" s="34" t="str">
        <x:v>leakWarnings</x:v>
      </x:c>
      <x:c r="L842" s="36" t="n">
        <x:v>9</x:v>
      </x:c>
      <x:c r="M842" s="34"/>
      <x:c r="N842" s="44" t="str">
        <x:v>03-Sep-2026 01:30:32.499 WARNING [http-nio-8080-exec-46]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843">
      <x:c r="A843" s="36" t="n">
        <x:v>842</x:v>
      </x:c>
      <x:c r="B843" s="34" t="str">
        <x:v>article1-unified-v4-2-fb3f101b-20260903-000401-default-f05-p1-jcs321</x:v>
      </x:c>
      <x:c r="C843" s="34" t="str">
        <x:v>default</x:v>
      </x:c>
      <x:c r="D843" s="34" t="str">
        <x:v>jcs321</x:v>
      </x:c>
      <x:c r="E843" s="36" t="n">
        <x:v>5</x:v>
      </x:c>
      <x:c r="F843" s="36" t="n">
        <x:v>5</x:v>
      </x:c>
      <x:c r="G843" s="36"/>
      <x:c r="H843" s="34" t="str">
        <x:v>process-run-aggregate</x:v>
      </x:c>
      <x:c r="I843" s="36"/>
      <x:c r="J843" s="34" t="str">
        <x:v>leak-warning</x:v>
      </x:c>
      <x:c r="K843" s="34" t="str">
        <x:v>leakWarnings</x:v>
      </x:c>
      <x:c r="L843" s="36" t="n">
        <x:v>10</x:v>
      </x:c>
      <x:c r="M843" s="34"/>
      <x:c r="N843" s="44" t="str">
        <x:v>03-Sep-2026 01:31:15.101 WARNING [http-nio-8080-exec-58]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844">
      <x:c r="A844" s="36" t="n">
        <x:v>843</x:v>
      </x:c>
      <x:c r="B844" s="34" t="str">
        <x:v>article1-unified-v4-2-fb3f101b-20260903-000401-default-f05-p1-jcs321</x:v>
      </x:c>
      <x:c r="C844" s="34" t="str">
        <x:v>default</x:v>
      </x:c>
      <x:c r="D844" s="34" t="str">
        <x:v>jcs321</x:v>
      </x:c>
      <x:c r="E844" s="36" t="n">
        <x:v>5</x:v>
      </x:c>
      <x:c r="F844" s="36" t="n">
        <x:v>5</x:v>
      </x:c>
      <x:c r="G844" s="36"/>
      <x:c r="H844" s="34" t="str">
        <x:v>process-run-aggregate</x:v>
      </x:c>
      <x:c r="I844" s="36"/>
      <x:c r="J844" s="34" t="str">
        <x:v>thread-leak-warning</x:v>
      </x:c>
      <x:c r="K844" s="34" t="str">
        <x:v>threadLeakWarnings</x:v>
      </x:c>
      <x:c r="L844" s="36" t="n">
        <x:v>1</x:v>
      </x:c>
      <x:c r="M844" s="34"/>
      <x:c r="N844" s="44" t="str">
        <x:v>03-Sep-2026 01:24:37.011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845">
      <x:c r="A845" s="36" t="n">
        <x:v>844</x:v>
      </x:c>
      <x:c r="B845" s="34" t="str">
        <x:v>article1-unified-v4-2-fb3f101b-20260903-000401-default-f05-p1-jcs321</x:v>
      </x:c>
      <x:c r="C845" s="34" t="str">
        <x:v>default</x:v>
      </x:c>
      <x:c r="D845" s="34" t="str">
        <x:v>jcs321</x:v>
      </x:c>
      <x:c r="E845" s="36" t="n">
        <x:v>5</x:v>
      </x:c>
      <x:c r="F845" s="36" t="n">
        <x:v>5</x:v>
      </x:c>
      <x:c r="G845" s="36"/>
      <x:c r="H845" s="34" t="str">
        <x:v>process-run-aggregate</x:v>
      </x:c>
      <x:c r="I845" s="36"/>
      <x:c r="J845" s="34" t="str">
        <x:v>thread-leak-warning</x:v>
      </x:c>
      <x:c r="K845" s="34" t="str">
        <x:v>threadLeakWarnings</x:v>
      </x:c>
      <x:c r="L845" s="36" t="n">
        <x:v>2</x:v>
      </x:c>
      <x:c r="M845" s="34"/>
      <x:c r="N845" s="44" t="str">
        <x:v>03-Sep-2026 01:25:20.141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846">
      <x:c r="A846" s="36" t="n">
        <x:v>845</x:v>
      </x:c>
      <x:c r="B846" s="34" t="str">
        <x:v>article1-unified-v4-2-fb3f101b-20260903-000401-default-f05-p1-jcs321</x:v>
      </x:c>
      <x:c r="C846" s="34" t="str">
        <x:v>default</x:v>
      </x:c>
      <x:c r="D846" s="34" t="str">
        <x:v>jcs321</x:v>
      </x:c>
      <x:c r="E846" s="36" t="n">
        <x:v>5</x:v>
      </x:c>
      <x:c r="F846" s="36" t="n">
        <x:v>5</x:v>
      </x:c>
      <x:c r="G846" s="36"/>
      <x:c r="H846" s="34" t="str">
        <x:v>process-run-aggregate</x:v>
      </x:c>
      <x:c r="I846" s="36"/>
      <x:c r="J846" s="34" t="str">
        <x:v>thread-leak-warning</x:v>
      </x:c>
      <x:c r="K846" s="34" t="str">
        <x:v>threadLeakWarnings</x:v>
      </x:c>
      <x:c r="L846" s="36" t="n">
        <x:v>3</x:v>
      </x:c>
      <x:c r="M846" s="34"/>
      <x:c r="N846" s="44" t="str">
        <x:v>03-Sep-2026 01:26:06.189 WARNING [http-nio-8080-exec-7]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847">
      <x:c r="A847" s="36" t="n">
        <x:v>846</x:v>
      </x:c>
      <x:c r="B847" s="34" t="str">
        <x:v>article1-unified-v4-2-fb3f101b-20260903-000401-default-f05-p1-jcs321</x:v>
      </x:c>
      <x:c r="C847" s="34" t="str">
        <x:v>default</x:v>
      </x:c>
      <x:c r="D847" s="34" t="str">
        <x:v>jcs321</x:v>
      </x:c>
      <x:c r="E847" s="36" t="n">
        <x:v>5</x:v>
      </x:c>
      <x:c r="F847" s="36" t="n">
        <x:v>5</x:v>
      </x:c>
      <x:c r="G847" s="36"/>
      <x:c r="H847" s="34" t="str">
        <x:v>process-run-aggregate</x:v>
      </x:c>
      <x:c r="I847" s="36"/>
      <x:c r="J847" s="34" t="str">
        <x:v>thread-leak-warning</x:v>
      </x:c>
      <x:c r="K847" s="34" t="str">
        <x:v>threadLeakWarnings</x:v>
      </x:c>
      <x:c r="L847" s="36" t="n">
        <x:v>4</x:v>
      </x:c>
      <x:c r="M847" s="34"/>
      <x:c r="N847" s="44" t="str">
        <x:v>03-Sep-2026 01:26:48.981 WARNING [http-nio-8080-exec-22]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848">
      <x:c r="A848" s="36" t="n">
        <x:v>847</x:v>
      </x:c>
      <x:c r="B848" s="34" t="str">
        <x:v>article1-unified-v4-2-fb3f101b-20260903-000401-default-f05-p1-jcs321</x:v>
      </x:c>
      <x:c r="C848" s="34" t="str">
        <x:v>default</x:v>
      </x:c>
      <x:c r="D848" s="34" t="str">
        <x:v>jcs321</x:v>
      </x:c>
      <x:c r="E848" s="36" t="n">
        <x:v>5</x:v>
      </x:c>
      <x:c r="F848" s="36" t="n">
        <x:v>5</x:v>
      </x:c>
      <x:c r="G848" s="36"/>
      <x:c r="H848" s="34" t="str">
        <x:v>process-run-aggregate</x:v>
      </x:c>
      <x:c r="I848" s="36"/>
      <x:c r="J848" s="34" t="str">
        <x:v>thread-leak-warning</x:v>
      </x:c>
      <x:c r="K848" s="34" t="str">
        <x:v>threadLeakWarnings</x:v>
      </x:c>
      <x:c r="L848" s="36" t="n">
        <x:v>5</x:v>
      </x:c>
      <x:c r="M848" s="34"/>
      <x:c r="N848" s="44" t="str">
        <x:v>03-Sep-2026 01:27:34.159 WARNING [http-nio-8080-exec-19]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849">
      <x:c r="A849" s="36" t="n">
        <x:v>848</x:v>
      </x:c>
      <x:c r="B849" s="34" t="str">
        <x:v>article1-unified-v4-2-fb3f101b-20260903-000401-default-f05-p1-jcs321</x:v>
      </x:c>
      <x:c r="C849" s="34" t="str">
        <x:v>default</x:v>
      </x:c>
      <x:c r="D849" s="34" t="str">
        <x:v>jcs321</x:v>
      </x:c>
      <x:c r="E849" s="36" t="n">
        <x:v>5</x:v>
      </x:c>
      <x:c r="F849" s="36" t="n">
        <x:v>5</x:v>
      </x:c>
      <x:c r="G849" s="36"/>
      <x:c r="H849" s="34" t="str">
        <x:v>process-run-aggregate</x:v>
      </x:c>
      <x:c r="I849" s="36"/>
      <x:c r="J849" s="34" t="str">
        <x:v>thread-leak-warning</x:v>
      </x:c>
      <x:c r="K849" s="34" t="str">
        <x:v>threadLeakWarnings</x:v>
      </x:c>
      <x:c r="L849" s="36" t="n">
        <x:v>6</x:v>
      </x:c>
      <x:c r="M849" s="34"/>
      <x:c r="N849" s="44" t="str">
        <x:v>03-Sep-2026 01:28:17.485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850">
      <x:c r="A850" s="36" t="n">
        <x:v>849</x:v>
      </x:c>
      <x:c r="B850" s="34" t="str">
        <x:v>article1-unified-v4-2-fb3f101b-20260903-000401-default-f05-p1-jcs321</x:v>
      </x:c>
      <x:c r="C850" s="34" t="str">
        <x:v>default</x:v>
      </x:c>
      <x:c r="D850" s="34" t="str">
        <x:v>jcs321</x:v>
      </x:c>
      <x:c r="E850" s="36" t="n">
        <x:v>5</x:v>
      </x:c>
      <x:c r="F850" s="36" t="n">
        <x:v>5</x:v>
      </x:c>
      <x:c r="G850" s="36"/>
      <x:c r="H850" s="34" t="str">
        <x:v>process-run-aggregate</x:v>
      </x:c>
      <x:c r="I850" s="36"/>
      <x:c r="J850" s="34" t="str">
        <x:v>thread-leak-warning</x:v>
      </x:c>
      <x:c r="K850" s="34" t="str">
        <x:v>threadLeakWarnings</x:v>
      </x:c>
      <x:c r="L850" s="36" t="n">
        <x:v>7</x:v>
      </x:c>
      <x:c r="M850" s="34"/>
      <x:c r="N850" s="44" t="str">
        <x:v>03-Sep-2026 01:29:03.266 WARNING [http-nio-8080-exec-35]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851">
      <x:c r="A851" s="36" t="n">
        <x:v>850</x:v>
      </x:c>
      <x:c r="B851" s="34" t="str">
        <x:v>article1-unified-v4-2-fb3f101b-20260903-000401-default-f05-p1-jcs321</x:v>
      </x:c>
      <x:c r="C851" s="34" t="str">
        <x:v>default</x:v>
      </x:c>
      <x:c r="D851" s="34" t="str">
        <x:v>jcs321</x:v>
      </x:c>
      <x:c r="E851" s="36" t="n">
        <x:v>5</x:v>
      </x:c>
      <x:c r="F851" s="36" t="n">
        <x:v>5</x:v>
      </x:c>
      <x:c r="G851" s="36"/>
      <x:c r="H851" s="34" t="str">
        <x:v>process-run-aggregate</x:v>
      </x:c>
      <x:c r="I851" s="36"/>
      <x:c r="J851" s="34" t="str">
        <x:v>thread-leak-warning</x:v>
      </x:c>
      <x:c r="K851" s="34" t="str">
        <x:v>threadLeakWarnings</x:v>
      </x:c>
      <x:c r="L851" s="36" t="n">
        <x:v>8</x:v>
      </x:c>
      <x:c r="M851" s="34"/>
      <x:c r="N851" s="44" t="str">
        <x:v>03-Sep-2026 01:29:46.024 WARNING [http-nio-8080-exec-44]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852">
      <x:c r="A852" s="36" t="n">
        <x:v>851</x:v>
      </x:c>
      <x:c r="B852" s="34" t="str">
        <x:v>article1-unified-v4-2-fb3f101b-20260903-000401-default-f05-p1-jcs321</x:v>
      </x:c>
      <x:c r="C852" s="34" t="str">
        <x:v>default</x:v>
      </x:c>
      <x:c r="D852" s="34" t="str">
        <x:v>jcs321</x:v>
      </x:c>
      <x:c r="E852" s="36" t="n">
        <x:v>5</x:v>
      </x:c>
      <x:c r="F852" s="36" t="n">
        <x:v>5</x:v>
      </x:c>
      <x:c r="G852" s="36"/>
      <x:c r="H852" s="34" t="str">
        <x:v>process-run-aggregate</x:v>
      </x:c>
      <x:c r="I852" s="36"/>
      <x:c r="J852" s="34" t="str">
        <x:v>thread-leak-warning</x:v>
      </x:c>
      <x:c r="K852" s="34" t="str">
        <x:v>threadLeakWarnings</x:v>
      </x:c>
      <x:c r="L852" s="36" t="n">
        <x:v>9</x:v>
      </x:c>
      <x:c r="M852" s="34"/>
      <x:c r="N852" s="44" t="str">
        <x:v>03-Sep-2026 01:30:32.499 WARNING [http-nio-8080-exec-46]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853">
      <x:c r="A853" s="36" t="n">
        <x:v>852</x:v>
      </x:c>
      <x:c r="B853" s="34" t="str">
        <x:v>article1-unified-v4-2-fb3f101b-20260903-000401-default-f05-p1-jcs321</x:v>
      </x:c>
      <x:c r="C853" s="34" t="str">
        <x:v>default</x:v>
      </x:c>
      <x:c r="D853" s="34" t="str">
        <x:v>jcs321</x:v>
      </x:c>
      <x:c r="E853" s="36" t="n">
        <x:v>5</x:v>
      </x:c>
      <x:c r="F853" s="36" t="n">
        <x:v>5</x:v>
      </x:c>
      <x:c r="G853" s="36"/>
      <x:c r="H853" s="34" t="str">
        <x:v>process-run-aggregate</x:v>
      </x:c>
      <x:c r="I853" s="36"/>
      <x:c r="J853" s="34" t="str">
        <x:v>thread-leak-warning</x:v>
      </x:c>
      <x:c r="K853" s="34" t="str">
        <x:v>threadLeakWarnings</x:v>
      </x:c>
      <x:c r="L853" s="36" t="n">
        <x:v>10</x:v>
      </x:c>
      <x:c r="M853" s="34"/>
      <x:c r="N853" s="44" t="str">
        <x:v>03-Sep-2026 01:31:15.101 WARNING [http-nio-8080-exec-58]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854">
      <x:c r="A854" s="36" t="n">
        <x:v>853</x:v>
      </x:c>
      <x:c r="B854" s="34" t="str">
        <x:v>article1-unified-v4-2-fb3f101b-20260903-000401-default-f05-p1-jcs321</x:v>
      </x:c>
      <x:c r="C854" s="34" t="str">
        <x:v>default</x:v>
      </x:c>
      <x:c r="D854" s="34" t="str">
        <x:v>jcs321</x:v>
      </x:c>
      <x:c r="E854" s="36" t="n">
        <x:v>5</x:v>
      </x:c>
      <x:c r="F854" s="36" t="n">
        <x:v>5</x:v>
      </x:c>
      <x:c r="G854" s="36" t="n">
        <x:v>1</x:v>
      </x:c>
      <x:c r="H854" s="34" t="str">
        <x:v>cycle-window</x:v>
      </x:c>
      <x:c r="I854" s="36" t="n">
        <x:v>1</x:v>
      </x:c>
      <x:c r="J854" s="34" t="str">
        <x:v>warning</x:v>
      </x:c>
      <x:c r="K854" s="34" t="str">
        <x:v>firstUndeployWarnings</x:v>
      </x:c>
      <x:c r="L854" s="36" t="n">
        <x:v>1</x:v>
      </x:c>
      <x:c r="M854" s="34"/>
      <x:c r="N854" s="44" t="str">
        <x:v>03-Sep-2026 01:24:37.011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855">
      <x:c r="A855" s="36" t="n">
        <x:v>854</x:v>
      </x:c>
      <x:c r="B855" s="34" t="str">
        <x:v>article1-unified-v4-2-fb3f101b-20260903-000401-default-f05-p1-jcs321</x:v>
      </x:c>
      <x:c r="C855" s="34" t="str">
        <x:v>default</x:v>
      </x:c>
      <x:c r="D855" s="34" t="str">
        <x:v>jcs321</x:v>
      </x:c>
      <x:c r="E855" s="36" t="n">
        <x:v>5</x:v>
      </x:c>
      <x:c r="F855" s="36" t="n">
        <x:v>5</x:v>
      </x:c>
      <x:c r="G855" s="36" t="n">
        <x:v>1</x:v>
      </x:c>
      <x:c r="H855" s="34" t="str">
        <x:v>cycle-window</x:v>
      </x:c>
      <x:c r="I855" s="36" t="n">
        <x:v>1</x:v>
      </x:c>
      <x:c r="J855" s="34" t="str">
        <x:v>leak-warning</x:v>
      </x:c>
      <x:c r="K855" s="34" t="str">
        <x:v>firstUndeployLeakWarnings</x:v>
      </x:c>
      <x:c r="L855" s="36" t="n">
        <x:v>1</x:v>
      </x:c>
      <x:c r="M855" s="34"/>
      <x:c r="N855" s="44" t="str">
        <x:v>03-Sep-2026 01:24:37.011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856">
      <x:c r="A856" s="36" t="n">
        <x:v>855</x:v>
      </x:c>
      <x:c r="B856" s="34" t="str">
        <x:v>article1-unified-v4-2-fb3f101b-20260903-000401-default-f05-p1-jcs321</x:v>
      </x:c>
      <x:c r="C856" s="34" t="str">
        <x:v>default</x:v>
      </x:c>
      <x:c r="D856" s="34" t="str">
        <x:v>jcs321</x:v>
      </x:c>
      <x:c r="E856" s="36" t="n">
        <x:v>5</x:v>
      </x:c>
      <x:c r="F856" s="36" t="n">
        <x:v>5</x:v>
      </x:c>
      <x:c r="G856" s="36" t="n">
        <x:v>1</x:v>
      </x:c>
      <x:c r="H856" s="34" t="str">
        <x:v>cycle-window</x:v>
      </x:c>
      <x:c r="I856" s="36" t="n">
        <x:v>1</x:v>
      </x:c>
      <x:c r="J856" s="34" t="str">
        <x:v>thread-leak-warning</x:v>
      </x:c>
      <x:c r="K856" s="34" t="str">
        <x:v>firstUndeployThreadLeakWarnings</x:v>
      </x:c>
      <x:c r="L856" s="36" t="n">
        <x:v>1</x:v>
      </x:c>
      <x:c r="M856" s="34"/>
      <x:c r="N856" s="44" t="str">
        <x:v>03-Sep-2026 01:24:37.011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857">
      <x:c r="A857" s="36" t="n">
        <x:v>856</x:v>
      </x:c>
      <x:c r="B857" s="34" t="str">
        <x:v>article1-unified-v4-2-fb3f101b-20260903-000401-default-f05-p1-jcs321</x:v>
      </x:c>
      <x:c r="C857" s="34" t="str">
        <x:v>default</x:v>
      </x:c>
      <x:c r="D857" s="34" t="str">
        <x:v>jcs321</x:v>
      </x:c>
      <x:c r="E857" s="36" t="n">
        <x:v>5</x:v>
      </x:c>
      <x:c r="F857" s="36" t="n">
        <x:v>5</x:v>
      </x:c>
      <x:c r="G857" s="36" t="n">
        <x:v>1</x:v>
      </x:c>
      <x:c r="H857" s="34" t="str">
        <x:v>cycle-window</x:v>
      </x:c>
      <x:c r="I857" s="36" t="n">
        <x:v>2</x:v>
      </x:c>
      <x:c r="J857" s="34" t="str">
        <x:v>warning</x:v>
      </x:c>
      <x:c r="K857" s="34" t="str">
        <x:v>secondUndeployWarnings</x:v>
      </x:c>
      <x:c r="L857" s="36" t="n">
        <x:v>1</x:v>
      </x:c>
      <x:c r="M857" s="34"/>
      <x:c r="N857" s="44" t="str">
        <x:v>03-Sep-2026 01:25:20.141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858">
      <x:c r="A858" s="36" t="n">
        <x:v>857</x:v>
      </x:c>
      <x:c r="B858" s="34" t="str">
        <x:v>article1-unified-v4-2-fb3f101b-20260903-000401-default-f05-p1-jcs321</x:v>
      </x:c>
      <x:c r="C858" s="34" t="str">
        <x:v>default</x:v>
      </x:c>
      <x:c r="D858" s="34" t="str">
        <x:v>jcs321</x:v>
      </x:c>
      <x:c r="E858" s="36" t="n">
        <x:v>5</x:v>
      </x:c>
      <x:c r="F858" s="36" t="n">
        <x:v>5</x:v>
      </x:c>
      <x:c r="G858" s="36" t="n">
        <x:v>1</x:v>
      </x:c>
      <x:c r="H858" s="34" t="str">
        <x:v>cycle-window</x:v>
      </x:c>
      <x:c r="I858" s="36" t="n">
        <x:v>2</x:v>
      </x:c>
      <x:c r="J858" s="34" t="str">
        <x:v>leak-warning</x:v>
      </x:c>
      <x:c r="K858" s="34" t="str">
        <x:v>secondUndeployLeakWarnings</x:v>
      </x:c>
      <x:c r="L858" s="36" t="n">
        <x:v>1</x:v>
      </x:c>
      <x:c r="M858" s="34"/>
      <x:c r="N858" s="44" t="str">
        <x:v>03-Sep-2026 01:25:20.141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859">
      <x:c r="A859" s="36" t="n">
        <x:v>858</x:v>
      </x:c>
      <x:c r="B859" s="34" t="str">
        <x:v>article1-unified-v4-2-fb3f101b-20260903-000401-default-f05-p1-jcs321</x:v>
      </x:c>
      <x:c r="C859" s="34" t="str">
        <x:v>default</x:v>
      </x:c>
      <x:c r="D859" s="34" t="str">
        <x:v>jcs321</x:v>
      </x:c>
      <x:c r="E859" s="36" t="n">
        <x:v>5</x:v>
      </x:c>
      <x:c r="F859" s="36" t="n">
        <x:v>5</x:v>
      </x:c>
      <x:c r="G859" s="36" t="n">
        <x:v>1</x:v>
      </x:c>
      <x:c r="H859" s="34" t="str">
        <x:v>cycle-window</x:v>
      </x:c>
      <x:c r="I859" s="36" t="n">
        <x:v>2</x:v>
      </x:c>
      <x:c r="J859" s="34" t="str">
        <x:v>thread-leak-warning</x:v>
      </x:c>
      <x:c r="K859" s="34" t="str">
        <x:v>secondUndeployThreadLeakWarnings</x:v>
      </x:c>
      <x:c r="L859" s="36" t="n">
        <x:v>1</x:v>
      </x:c>
      <x:c r="M859" s="34"/>
      <x:c r="N859" s="44" t="str">
        <x:v>03-Sep-2026 01:25:20.141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860">
      <x:c r="A860" s="36" t="n">
        <x:v>859</x:v>
      </x:c>
      <x:c r="B860" s="34" t="str">
        <x:v>article1-unified-v4-2-fb3f101b-20260903-000401-default-f05-p1-jcs321</x:v>
      </x:c>
      <x:c r="C860" s="34" t="str">
        <x:v>default</x:v>
      </x:c>
      <x:c r="D860" s="34" t="str">
        <x:v>jcs321</x:v>
      </x:c>
      <x:c r="E860" s="36" t="n">
        <x:v>5</x:v>
      </x:c>
      <x:c r="F860" s="36" t="n">
        <x:v>5</x:v>
      </x:c>
      <x:c r="G860" s="36" t="n">
        <x:v>1</x:v>
      </x:c>
      <x:c r="H860" s="34" t="str">
        <x:v>cycle-observation</x:v>
      </x:c>
      <x:c r="I860" s="36" t="n">
        <x:v>1</x:v>
      </x:c>
      <x:c r="J860" s="34" t="str">
        <x:v>tomcat-findleaks-occurrence</x:v>
      </x:c>
      <x:c r="K860" s="34" t="str">
        <x:v>afterUndeploy.tomcatFindLeaksOccurrences</x:v>
      </x:c>
      <x:c r="L860" s="36" t="n">
        <x:v>1</x:v>
      </x:c>
      <x:c r="M860" s="34" t="str">
        <x:v>/jcs321</x:v>
      </x:c>
      <x:c r="N860" s="44" t="str">
        <x:v>/jcs321</x:v>
      </x:c>
    </x:row>
    <x:row r="861">
      <x:c r="A861" s="36" t="n">
        <x:v>860</x:v>
      </x:c>
      <x:c r="B861" s="34" t="str">
        <x:v>article1-unified-v4-2-fb3f101b-20260903-000401-default-f05-p1-jcs321</x:v>
      </x:c>
      <x:c r="C861" s="34" t="str">
        <x:v>default</x:v>
      </x:c>
      <x:c r="D861" s="34" t="str">
        <x:v>jcs321</x:v>
      </x:c>
      <x:c r="E861" s="36" t="n">
        <x:v>5</x:v>
      </x:c>
      <x:c r="F861" s="36" t="n">
        <x:v>5</x:v>
      </x:c>
      <x:c r="G861" s="36" t="n">
        <x:v>1</x:v>
      </x:c>
      <x:c r="H861" s="34" t="str">
        <x:v>cycle-observation</x:v>
      </x:c>
      <x:c r="I861" s="36" t="n">
        <x:v>2</x:v>
      </x:c>
      <x:c r="J861" s="34" t="str">
        <x:v>tomcat-findleaks-occurrence</x:v>
      </x:c>
      <x:c r="K861" s="34" t="str">
        <x:v>afterFinalUndeploy.tomcatFindLeaksOccurrences</x:v>
      </x:c>
      <x:c r="L861" s="36" t="n">
        <x:v>1</x:v>
      </x:c>
      <x:c r="M861" s="34" t="str">
        <x:v>/jcs321</x:v>
      </x:c>
      <x:c r="N861" s="44" t="str">
        <x:v>/jcs321</x:v>
      </x:c>
    </x:row>
    <x:row r="862">
      <x:c r="A862" s="36" t="n">
        <x:v>861</x:v>
      </x:c>
      <x:c r="B862" s="34" t="str">
        <x:v>article1-unified-v4-2-fb3f101b-20260903-000401-default-f05-p1-jcs321</x:v>
      </x:c>
      <x:c r="C862" s="34" t="str">
        <x:v>default</x:v>
      </x:c>
      <x:c r="D862" s="34" t="str">
        <x:v>jcs321</x:v>
      </x:c>
      <x:c r="E862" s="36" t="n">
        <x:v>5</x:v>
      </x:c>
      <x:c r="F862" s="36" t="n">
        <x:v>5</x:v>
      </x:c>
      <x:c r="G862" s="36" t="n">
        <x:v>1</x:v>
      </x:c>
      <x:c r="H862" s="34" t="str">
        <x:v>cycle-observation</x:v>
      </x:c>
      <x:c r="I862" s="36" t="n">
        <x:v>2</x:v>
      </x:c>
      <x:c r="J862" s="34" t="str">
        <x:v>tomcat-findleaks-occurrence</x:v>
      </x:c>
      <x:c r="K862" s="34" t="str">
        <x:v>afterFinalUndeploy.tomcatFindLeaksOccurrences</x:v>
      </x:c>
      <x:c r="L862" s="36" t="n">
        <x:v>2</x:v>
      </x:c>
      <x:c r="M862" s="34" t="str">
        <x:v>/jcs321</x:v>
      </x:c>
      <x:c r="N862" s="44" t="str">
        <x:v>/jcs321</x:v>
      </x:c>
    </x:row>
    <x:row r="863">
      <x:c r="A863" s="36" t="n">
        <x:v>862</x:v>
      </x:c>
      <x:c r="B863" s="34" t="str">
        <x:v>article1-unified-v4-2-fb3f101b-20260903-000401-default-f05-p1-jcs321</x:v>
      </x:c>
      <x:c r="C863" s="34" t="str">
        <x:v>default</x:v>
      </x:c>
      <x:c r="D863" s="34" t="str">
        <x:v>jcs321</x:v>
      </x:c>
      <x:c r="E863" s="36" t="n">
        <x:v>5</x:v>
      </x:c>
      <x:c r="F863" s="36" t="n">
        <x:v>5</x:v>
      </x:c>
      <x:c r="G863" s="36" t="n">
        <x:v>2</x:v>
      </x:c>
      <x:c r="H863" s="34" t="str">
        <x:v>cycle-window</x:v>
      </x:c>
      <x:c r="I863" s="36" t="n">
        <x:v>1</x:v>
      </x:c>
      <x:c r="J863" s="34" t="str">
        <x:v>warning</x:v>
      </x:c>
      <x:c r="K863" s="34" t="str">
        <x:v>firstUndeployWarnings</x:v>
      </x:c>
      <x:c r="L863" s="36" t="n">
        <x:v>1</x:v>
      </x:c>
      <x:c r="M863" s="34"/>
      <x:c r="N863" s="44" t="str">
        <x:v>03-Sep-2026 01:26:06.189 WARNING [http-nio-8080-exec-7]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864">
      <x:c r="A864" s="36" t="n">
        <x:v>863</x:v>
      </x:c>
      <x:c r="B864" s="34" t="str">
        <x:v>article1-unified-v4-2-fb3f101b-20260903-000401-default-f05-p1-jcs321</x:v>
      </x:c>
      <x:c r="C864" s="34" t="str">
        <x:v>default</x:v>
      </x:c>
      <x:c r="D864" s="34" t="str">
        <x:v>jcs321</x:v>
      </x:c>
      <x:c r="E864" s="36" t="n">
        <x:v>5</x:v>
      </x:c>
      <x:c r="F864" s="36" t="n">
        <x:v>5</x:v>
      </x:c>
      <x:c r="G864" s="36" t="n">
        <x:v>2</x:v>
      </x:c>
      <x:c r="H864" s="34" t="str">
        <x:v>cycle-window</x:v>
      </x:c>
      <x:c r="I864" s="36" t="n">
        <x:v>1</x:v>
      </x:c>
      <x:c r="J864" s="34" t="str">
        <x:v>leak-warning</x:v>
      </x:c>
      <x:c r="K864" s="34" t="str">
        <x:v>firstUndeployLeakWarnings</x:v>
      </x:c>
      <x:c r="L864" s="36" t="n">
        <x:v>1</x:v>
      </x:c>
      <x:c r="M864" s="34"/>
      <x:c r="N864" s="44" t="str">
        <x:v>03-Sep-2026 01:26:06.189 WARNING [http-nio-8080-exec-7]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865">
      <x:c r="A865" s="36" t="n">
        <x:v>864</x:v>
      </x:c>
      <x:c r="B865" s="34" t="str">
        <x:v>article1-unified-v4-2-fb3f101b-20260903-000401-default-f05-p1-jcs321</x:v>
      </x:c>
      <x:c r="C865" s="34" t="str">
        <x:v>default</x:v>
      </x:c>
      <x:c r="D865" s="34" t="str">
        <x:v>jcs321</x:v>
      </x:c>
      <x:c r="E865" s="36" t="n">
        <x:v>5</x:v>
      </x:c>
      <x:c r="F865" s="36" t="n">
        <x:v>5</x:v>
      </x:c>
      <x:c r="G865" s="36" t="n">
        <x:v>2</x:v>
      </x:c>
      <x:c r="H865" s="34" t="str">
        <x:v>cycle-window</x:v>
      </x:c>
      <x:c r="I865" s="36" t="n">
        <x:v>1</x:v>
      </x:c>
      <x:c r="J865" s="34" t="str">
        <x:v>thread-leak-warning</x:v>
      </x:c>
      <x:c r="K865" s="34" t="str">
        <x:v>firstUndeployThreadLeakWarnings</x:v>
      </x:c>
      <x:c r="L865" s="36" t="n">
        <x:v>1</x:v>
      </x:c>
      <x:c r="M865" s="34"/>
      <x:c r="N865" s="44" t="str">
        <x:v>03-Sep-2026 01:26:06.189 WARNING [http-nio-8080-exec-7]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866">
      <x:c r="A866" s="36" t="n">
        <x:v>865</x:v>
      </x:c>
      <x:c r="B866" s="34" t="str">
        <x:v>article1-unified-v4-2-fb3f101b-20260903-000401-default-f05-p1-jcs321</x:v>
      </x:c>
      <x:c r="C866" s="34" t="str">
        <x:v>default</x:v>
      </x:c>
      <x:c r="D866" s="34" t="str">
        <x:v>jcs321</x:v>
      </x:c>
      <x:c r="E866" s="36" t="n">
        <x:v>5</x:v>
      </x:c>
      <x:c r="F866" s="36" t="n">
        <x:v>5</x:v>
      </x:c>
      <x:c r="G866" s="36" t="n">
        <x:v>2</x:v>
      </x:c>
      <x:c r="H866" s="34" t="str">
        <x:v>cycle-window</x:v>
      </x:c>
      <x:c r="I866" s="36" t="n">
        <x:v>2</x:v>
      </x:c>
      <x:c r="J866" s="34" t="str">
        <x:v>warning</x:v>
      </x:c>
      <x:c r="K866" s="34" t="str">
        <x:v>secondUndeployWarnings</x:v>
      </x:c>
      <x:c r="L866" s="36" t="n">
        <x:v>1</x:v>
      </x:c>
      <x:c r="M866" s="34"/>
      <x:c r="N866" s="44" t="str">
        <x:v>03-Sep-2026 01:26:48.981 WARNING [http-nio-8080-exec-22]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867">
      <x:c r="A867" s="36" t="n">
        <x:v>866</x:v>
      </x:c>
      <x:c r="B867" s="34" t="str">
        <x:v>article1-unified-v4-2-fb3f101b-20260903-000401-default-f05-p1-jcs321</x:v>
      </x:c>
      <x:c r="C867" s="34" t="str">
        <x:v>default</x:v>
      </x:c>
      <x:c r="D867" s="34" t="str">
        <x:v>jcs321</x:v>
      </x:c>
      <x:c r="E867" s="36" t="n">
        <x:v>5</x:v>
      </x:c>
      <x:c r="F867" s="36" t="n">
        <x:v>5</x:v>
      </x:c>
      <x:c r="G867" s="36" t="n">
        <x:v>2</x:v>
      </x:c>
      <x:c r="H867" s="34" t="str">
        <x:v>cycle-window</x:v>
      </x:c>
      <x:c r="I867" s="36" t="n">
        <x:v>2</x:v>
      </x:c>
      <x:c r="J867" s="34" t="str">
        <x:v>leak-warning</x:v>
      </x:c>
      <x:c r="K867" s="34" t="str">
        <x:v>secondUndeployLeakWarnings</x:v>
      </x:c>
      <x:c r="L867" s="36" t="n">
        <x:v>1</x:v>
      </x:c>
      <x:c r="M867" s="34"/>
      <x:c r="N867" s="44" t="str">
        <x:v>03-Sep-2026 01:26:48.981 WARNING [http-nio-8080-exec-22]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868">
      <x:c r="A868" s="36" t="n">
        <x:v>867</x:v>
      </x:c>
      <x:c r="B868" s="34" t="str">
        <x:v>article1-unified-v4-2-fb3f101b-20260903-000401-default-f05-p1-jcs321</x:v>
      </x:c>
      <x:c r="C868" s="34" t="str">
        <x:v>default</x:v>
      </x:c>
      <x:c r="D868" s="34" t="str">
        <x:v>jcs321</x:v>
      </x:c>
      <x:c r="E868" s="36" t="n">
        <x:v>5</x:v>
      </x:c>
      <x:c r="F868" s="36" t="n">
        <x:v>5</x:v>
      </x:c>
      <x:c r="G868" s="36" t="n">
        <x:v>2</x:v>
      </x:c>
      <x:c r="H868" s="34" t="str">
        <x:v>cycle-window</x:v>
      </x:c>
      <x:c r="I868" s="36" t="n">
        <x:v>2</x:v>
      </x:c>
      <x:c r="J868" s="34" t="str">
        <x:v>thread-leak-warning</x:v>
      </x:c>
      <x:c r="K868" s="34" t="str">
        <x:v>secondUndeployThreadLeakWarnings</x:v>
      </x:c>
      <x:c r="L868" s="36" t="n">
        <x:v>1</x:v>
      </x:c>
      <x:c r="M868" s="34"/>
      <x:c r="N868" s="44" t="str">
        <x:v>03-Sep-2026 01:26:48.981 WARNING [http-nio-8080-exec-22]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869">
      <x:c r="A869" s="36" t="n">
        <x:v>868</x:v>
      </x:c>
      <x:c r="B869" s="34" t="str">
        <x:v>article1-unified-v4-2-fb3f101b-20260903-000401-default-f05-p1-jcs321</x:v>
      </x:c>
      <x:c r="C869" s="34" t="str">
        <x:v>default</x:v>
      </x:c>
      <x:c r="D869" s="34" t="str">
        <x:v>jcs321</x:v>
      </x:c>
      <x:c r="E869" s="36" t="n">
        <x:v>5</x:v>
      </x:c>
      <x:c r="F869" s="36" t="n">
        <x:v>5</x:v>
      </x:c>
      <x:c r="G869" s="36" t="n">
        <x:v>2</x:v>
      </x:c>
      <x:c r="H869" s="34" t="str">
        <x:v>cycle-observation</x:v>
      </x:c>
      <x:c r="I869" s="36" t="n">
        <x:v>1</x:v>
      </x:c>
      <x:c r="J869" s="34" t="str">
        <x:v>tomcat-findleaks-occurrence</x:v>
      </x:c>
      <x:c r="K869" s="34" t="str">
        <x:v>afterUndeploy.tomcatFindLeaksOccurrences</x:v>
      </x:c>
      <x:c r="L869" s="36" t="n">
        <x:v>1</x:v>
      </x:c>
      <x:c r="M869" s="34" t="str">
        <x:v>/jcs321</x:v>
      </x:c>
      <x:c r="N869" s="44" t="str">
        <x:v>/jcs321</x:v>
      </x:c>
    </x:row>
    <x:row r="870">
      <x:c r="A870" s="36" t="n">
        <x:v>869</x:v>
      </x:c>
      <x:c r="B870" s="34" t="str">
        <x:v>article1-unified-v4-2-fb3f101b-20260903-000401-default-f05-p1-jcs321</x:v>
      </x:c>
      <x:c r="C870" s="34" t="str">
        <x:v>default</x:v>
      </x:c>
      <x:c r="D870" s="34" t="str">
        <x:v>jcs321</x:v>
      </x:c>
      <x:c r="E870" s="36" t="n">
        <x:v>5</x:v>
      </x:c>
      <x:c r="F870" s="36" t="n">
        <x:v>5</x:v>
      </x:c>
      <x:c r="G870" s="36" t="n">
        <x:v>2</x:v>
      </x:c>
      <x:c r="H870" s="34" t="str">
        <x:v>cycle-observation</x:v>
      </x:c>
      <x:c r="I870" s="36" t="n">
        <x:v>1</x:v>
      </x:c>
      <x:c r="J870" s="34" t="str">
        <x:v>tomcat-findleaks-occurrence</x:v>
      </x:c>
      <x:c r="K870" s="34" t="str">
        <x:v>afterUndeploy.tomcatFindLeaksOccurrences</x:v>
      </x:c>
      <x:c r="L870" s="36" t="n">
        <x:v>2</x:v>
      </x:c>
      <x:c r="M870" s="34" t="str">
        <x:v>/jcs321</x:v>
      </x:c>
      <x:c r="N870" s="44" t="str">
        <x:v>/jcs321</x:v>
      </x:c>
    </x:row>
    <x:row r="871">
      <x:c r="A871" s="36" t="n">
        <x:v>870</x:v>
      </x:c>
      <x:c r="B871" s="34" t="str">
        <x:v>article1-unified-v4-2-fb3f101b-20260903-000401-default-f05-p1-jcs321</x:v>
      </x:c>
      <x:c r="C871" s="34" t="str">
        <x:v>default</x:v>
      </x:c>
      <x:c r="D871" s="34" t="str">
        <x:v>jcs321</x:v>
      </x:c>
      <x:c r="E871" s="36" t="n">
        <x:v>5</x:v>
      </x:c>
      <x:c r="F871" s="36" t="n">
        <x:v>5</x:v>
      </x:c>
      <x:c r="G871" s="36" t="n">
        <x:v>2</x:v>
      </x:c>
      <x:c r="H871" s="34" t="str">
        <x:v>cycle-observation</x:v>
      </x:c>
      <x:c r="I871" s="36" t="n">
        <x:v>1</x:v>
      </x:c>
      <x:c r="J871" s="34" t="str">
        <x:v>tomcat-findleaks-occurrence</x:v>
      </x:c>
      <x:c r="K871" s="34" t="str">
        <x:v>afterUndeploy.tomcatFindLeaksOccurrences</x:v>
      </x:c>
      <x:c r="L871" s="36" t="n">
        <x:v>3</x:v>
      </x:c>
      <x:c r="M871" s="34" t="str">
        <x:v>/jcs321</x:v>
      </x:c>
      <x:c r="N871" s="44" t="str">
        <x:v>/jcs321</x:v>
      </x:c>
    </x:row>
    <x:row r="872">
      <x:c r="A872" s="36" t="n">
        <x:v>871</x:v>
      </x:c>
      <x:c r="B872" s="34" t="str">
        <x:v>article1-unified-v4-2-fb3f101b-20260903-000401-default-f05-p1-jcs321</x:v>
      </x:c>
      <x:c r="C872" s="34" t="str">
        <x:v>default</x:v>
      </x:c>
      <x:c r="D872" s="34" t="str">
        <x:v>jcs321</x:v>
      </x:c>
      <x:c r="E872" s="36" t="n">
        <x:v>5</x:v>
      </x:c>
      <x:c r="F872" s="36" t="n">
        <x:v>5</x:v>
      </x:c>
      <x:c r="G872" s="36" t="n">
        <x:v>2</x:v>
      </x:c>
      <x:c r="H872" s="34" t="str">
        <x:v>cycle-observation</x:v>
      </x:c>
      <x:c r="I872" s="36" t="n">
        <x:v>2</x:v>
      </x:c>
      <x:c r="J872" s="34" t="str">
        <x:v>tomcat-findleaks-occurrence</x:v>
      </x:c>
      <x:c r="K872" s="34" t="str">
        <x:v>afterFinalUndeploy.tomcatFindLeaksOccurrences</x:v>
      </x:c>
      <x:c r="L872" s="36" t="n">
        <x:v>1</x:v>
      </x:c>
      <x:c r="M872" s="34" t="str">
        <x:v>/jcs321</x:v>
      </x:c>
      <x:c r="N872" s="44" t="str">
        <x:v>/jcs321</x:v>
      </x:c>
    </x:row>
    <x:row r="873">
      <x:c r="A873" s="36" t="n">
        <x:v>872</x:v>
      </x:c>
      <x:c r="B873" s="34" t="str">
        <x:v>article1-unified-v4-2-fb3f101b-20260903-000401-default-f05-p1-jcs321</x:v>
      </x:c>
      <x:c r="C873" s="34" t="str">
        <x:v>default</x:v>
      </x:c>
      <x:c r="D873" s="34" t="str">
        <x:v>jcs321</x:v>
      </x:c>
      <x:c r="E873" s="36" t="n">
        <x:v>5</x:v>
      </x:c>
      <x:c r="F873" s="36" t="n">
        <x:v>5</x:v>
      </x:c>
      <x:c r="G873" s="36" t="n">
        <x:v>2</x:v>
      </x:c>
      <x:c r="H873" s="34" t="str">
        <x:v>cycle-observation</x:v>
      </x:c>
      <x:c r="I873" s="36" t="n">
        <x:v>2</x:v>
      </x:c>
      <x:c r="J873" s="34" t="str">
        <x:v>tomcat-findleaks-occurrence</x:v>
      </x:c>
      <x:c r="K873" s="34" t="str">
        <x:v>afterFinalUndeploy.tomcatFindLeaksOccurrences</x:v>
      </x:c>
      <x:c r="L873" s="36" t="n">
        <x:v>2</x:v>
      </x:c>
      <x:c r="M873" s="34" t="str">
        <x:v>/jcs321</x:v>
      </x:c>
      <x:c r="N873" s="44" t="str">
        <x:v>/jcs321</x:v>
      </x:c>
    </x:row>
    <x:row r="874">
      <x:c r="A874" s="36" t="n">
        <x:v>873</x:v>
      </x:c>
      <x:c r="B874" s="34" t="str">
        <x:v>article1-unified-v4-2-fb3f101b-20260903-000401-default-f05-p1-jcs321</x:v>
      </x:c>
      <x:c r="C874" s="34" t="str">
        <x:v>default</x:v>
      </x:c>
      <x:c r="D874" s="34" t="str">
        <x:v>jcs321</x:v>
      </x:c>
      <x:c r="E874" s="36" t="n">
        <x:v>5</x:v>
      </x:c>
      <x:c r="F874" s="36" t="n">
        <x:v>5</x:v>
      </x:c>
      <x:c r="G874" s="36" t="n">
        <x:v>2</x:v>
      </x:c>
      <x:c r="H874" s="34" t="str">
        <x:v>cycle-observation</x:v>
      </x:c>
      <x:c r="I874" s="36" t="n">
        <x:v>2</x:v>
      </x:c>
      <x:c r="J874" s="34" t="str">
        <x:v>tomcat-findleaks-occurrence</x:v>
      </x:c>
      <x:c r="K874" s="34" t="str">
        <x:v>afterFinalUndeploy.tomcatFindLeaksOccurrences</x:v>
      </x:c>
      <x:c r="L874" s="36" t="n">
        <x:v>3</x:v>
      </x:c>
      <x:c r="M874" s="34" t="str">
        <x:v>/jcs321</x:v>
      </x:c>
      <x:c r="N874" s="44" t="str">
        <x:v>/jcs321</x:v>
      </x:c>
    </x:row>
    <x:row r="875">
      <x:c r="A875" s="36" t="n">
        <x:v>874</x:v>
      </x:c>
      <x:c r="B875" s="34" t="str">
        <x:v>article1-unified-v4-2-fb3f101b-20260903-000401-default-f05-p1-jcs321</x:v>
      </x:c>
      <x:c r="C875" s="34" t="str">
        <x:v>default</x:v>
      </x:c>
      <x:c r="D875" s="34" t="str">
        <x:v>jcs321</x:v>
      </x:c>
      <x:c r="E875" s="36" t="n">
        <x:v>5</x:v>
      </x:c>
      <x:c r="F875" s="36" t="n">
        <x:v>5</x:v>
      </x:c>
      <x:c r="G875" s="36" t="n">
        <x:v>2</x:v>
      </x:c>
      <x:c r="H875" s="34" t="str">
        <x:v>cycle-observation</x:v>
      </x:c>
      <x:c r="I875" s="36" t="n">
        <x:v>2</x:v>
      </x:c>
      <x:c r="J875" s="34" t="str">
        <x:v>tomcat-findleaks-occurrence</x:v>
      </x:c>
      <x:c r="K875" s="34" t="str">
        <x:v>afterFinalUndeploy.tomcatFindLeaksOccurrences</x:v>
      </x:c>
      <x:c r="L875" s="36" t="n">
        <x:v>4</x:v>
      </x:c>
      <x:c r="M875" s="34" t="str">
        <x:v>/jcs321</x:v>
      </x:c>
      <x:c r="N875" s="44" t="str">
        <x:v>/jcs321</x:v>
      </x:c>
    </x:row>
    <x:row r="876">
      <x:c r="A876" s="36" t="n">
        <x:v>875</x:v>
      </x:c>
      <x:c r="B876" s="34" t="str">
        <x:v>article1-unified-v4-2-fb3f101b-20260903-000401-default-f05-p1-jcs321</x:v>
      </x:c>
      <x:c r="C876" s="34" t="str">
        <x:v>default</x:v>
      </x:c>
      <x:c r="D876" s="34" t="str">
        <x:v>jcs321</x:v>
      </x:c>
      <x:c r="E876" s="36" t="n">
        <x:v>5</x:v>
      </x:c>
      <x:c r="F876" s="36" t="n">
        <x:v>5</x:v>
      </x:c>
      <x:c r="G876" s="36" t="n">
        <x:v>3</x:v>
      </x:c>
      <x:c r="H876" s="34" t="str">
        <x:v>cycle-window</x:v>
      </x:c>
      <x:c r="I876" s="36" t="n">
        <x:v>1</x:v>
      </x:c>
      <x:c r="J876" s="34" t="str">
        <x:v>warning</x:v>
      </x:c>
      <x:c r="K876" s="34" t="str">
        <x:v>firstUndeployWarnings</x:v>
      </x:c>
      <x:c r="L876" s="36" t="n">
        <x:v>1</x:v>
      </x:c>
      <x:c r="M876" s="34"/>
      <x:c r="N876" s="44" t="str">
        <x:v>03-Sep-2026 01:27:34.159 WARNING [http-nio-8080-exec-19]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877">
      <x:c r="A877" s="36" t="n">
        <x:v>876</x:v>
      </x:c>
      <x:c r="B877" s="34" t="str">
        <x:v>article1-unified-v4-2-fb3f101b-20260903-000401-default-f05-p1-jcs321</x:v>
      </x:c>
      <x:c r="C877" s="34" t="str">
        <x:v>default</x:v>
      </x:c>
      <x:c r="D877" s="34" t="str">
        <x:v>jcs321</x:v>
      </x:c>
      <x:c r="E877" s="36" t="n">
        <x:v>5</x:v>
      </x:c>
      <x:c r="F877" s="36" t="n">
        <x:v>5</x:v>
      </x:c>
      <x:c r="G877" s="36" t="n">
        <x:v>3</x:v>
      </x:c>
      <x:c r="H877" s="34" t="str">
        <x:v>cycle-window</x:v>
      </x:c>
      <x:c r="I877" s="36" t="n">
        <x:v>1</x:v>
      </x:c>
      <x:c r="J877" s="34" t="str">
        <x:v>leak-warning</x:v>
      </x:c>
      <x:c r="K877" s="34" t="str">
        <x:v>firstUndeployLeakWarnings</x:v>
      </x:c>
      <x:c r="L877" s="36" t="n">
        <x:v>1</x:v>
      </x:c>
      <x:c r="M877" s="34"/>
      <x:c r="N877" s="44" t="str">
        <x:v>03-Sep-2026 01:27:34.159 WARNING [http-nio-8080-exec-19]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878">
      <x:c r="A878" s="36" t="n">
        <x:v>877</x:v>
      </x:c>
      <x:c r="B878" s="34" t="str">
        <x:v>article1-unified-v4-2-fb3f101b-20260903-000401-default-f05-p1-jcs321</x:v>
      </x:c>
      <x:c r="C878" s="34" t="str">
        <x:v>default</x:v>
      </x:c>
      <x:c r="D878" s="34" t="str">
        <x:v>jcs321</x:v>
      </x:c>
      <x:c r="E878" s="36" t="n">
        <x:v>5</x:v>
      </x:c>
      <x:c r="F878" s="36" t="n">
        <x:v>5</x:v>
      </x:c>
      <x:c r="G878" s="36" t="n">
        <x:v>3</x:v>
      </x:c>
      <x:c r="H878" s="34" t="str">
        <x:v>cycle-window</x:v>
      </x:c>
      <x:c r="I878" s="36" t="n">
        <x:v>1</x:v>
      </x:c>
      <x:c r="J878" s="34" t="str">
        <x:v>thread-leak-warning</x:v>
      </x:c>
      <x:c r="K878" s="34" t="str">
        <x:v>firstUndeployThreadLeakWarnings</x:v>
      </x:c>
      <x:c r="L878" s="36" t="n">
        <x:v>1</x:v>
      </x:c>
      <x:c r="M878" s="34"/>
      <x:c r="N878" s="44" t="str">
        <x:v>03-Sep-2026 01:27:34.159 WARNING [http-nio-8080-exec-19]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879">
      <x:c r="A879" s="36" t="n">
        <x:v>878</x:v>
      </x:c>
      <x:c r="B879" s="34" t="str">
        <x:v>article1-unified-v4-2-fb3f101b-20260903-000401-default-f05-p1-jcs321</x:v>
      </x:c>
      <x:c r="C879" s="34" t="str">
        <x:v>default</x:v>
      </x:c>
      <x:c r="D879" s="34" t="str">
        <x:v>jcs321</x:v>
      </x:c>
      <x:c r="E879" s="36" t="n">
        <x:v>5</x:v>
      </x:c>
      <x:c r="F879" s="36" t="n">
        <x:v>5</x:v>
      </x:c>
      <x:c r="G879" s="36" t="n">
        <x:v>3</x:v>
      </x:c>
      <x:c r="H879" s="34" t="str">
        <x:v>cycle-window</x:v>
      </x:c>
      <x:c r="I879" s="36" t="n">
        <x:v>2</x:v>
      </x:c>
      <x:c r="J879" s="34" t="str">
        <x:v>warning</x:v>
      </x:c>
      <x:c r="K879" s="34" t="str">
        <x:v>secondUndeployWarnings</x:v>
      </x:c>
      <x:c r="L879" s="36" t="n">
        <x:v>1</x:v>
      </x:c>
      <x:c r="M879" s="34"/>
      <x:c r="N879" s="44" t="str">
        <x:v>03-Sep-2026 01:28:17.485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880">
      <x:c r="A880" s="36" t="n">
        <x:v>879</x:v>
      </x:c>
      <x:c r="B880" s="34" t="str">
        <x:v>article1-unified-v4-2-fb3f101b-20260903-000401-default-f05-p1-jcs321</x:v>
      </x:c>
      <x:c r="C880" s="34" t="str">
        <x:v>default</x:v>
      </x:c>
      <x:c r="D880" s="34" t="str">
        <x:v>jcs321</x:v>
      </x:c>
      <x:c r="E880" s="36" t="n">
        <x:v>5</x:v>
      </x:c>
      <x:c r="F880" s="36" t="n">
        <x:v>5</x:v>
      </x:c>
      <x:c r="G880" s="36" t="n">
        <x:v>3</x:v>
      </x:c>
      <x:c r="H880" s="34" t="str">
        <x:v>cycle-window</x:v>
      </x:c>
      <x:c r="I880" s="36" t="n">
        <x:v>2</x:v>
      </x:c>
      <x:c r="J880" s="34" t="str">
        <x:v>leak-warning</x:v>
      </x:c>
      <x:c r="K880" s="34" t="str">
        <x:v>secondUndeployLeakWarnings</x:v>
      </x:c>
      <x:c r="L880" s="36" t="n">
        <x:v>1</x:v>
      </x:c>
      <x:c r="M880" s="34"/>
      <x:c r="N880" s="44" t="str">
        <x:v>03-Sep-2026 01:28:17.485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881">
      <x:c r="A881" s="36" t="n">
        <x:v>880</x:v>
      </x:c>
      <x:c r="B881" s="34" t="str">
        <x:v>article1-unified-v4-2-fb3f101b-20260903-000401-default-f05-p1-jcs321</x:v>
      </x:c>
      <x:c r="C881" s="34" t="str">
        <x:v>default</x:v>
      </x:c>
      <x:c r="D881" s="34" t="str">
        <x:v>jcs321</x:v>
      </x:c>
      <x:c r="E881" s="36" t="n">
        <x:v>5</x:v>
      </x:c>
      <x:c r="F881" s="36" t="n">
        <x:v>5</x:v>
      </x:c>
      <x:c r="G881" s="36" t="n">
        <x:v>3</x:v>
      </x:c>
      <x:c r="H881" s="34" t="str">
        <x:v>cycle-window</x:v>
      </x:c>
      <x:c r="I881" s="36" t="n">
        <x:v>2</x:v>
      </x:c>
      <x:c r="J881" s="34" t="str">
        <x:v>thread-leak-warning</x:v>
      </x:c>
      <x:c r="K881" s="34" t="str">
        <x:v>secondUndeployThreadLeakWarnings</x:v>
      </x:c>
      <x:c r="L881" s="36" t="n">
        <x:v>1</x:v>
      </x:c>
      <x:c r="M881" s="34"/>
      <x:c r="N881" s="44" t="str">
        <x:v>03-Sep-2026 01:28:17.485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882">
      <x:c r="A882" s="36" t="n">
        <x:v>881</x:v>
      </x:c>
      <x:c r="B882" s="34" t="str">
        <x:v>article1-unified-v4-2-fb3f101b-20260903-000401-default-f05-p1-jcs321</x:v>
      </x:c>
      <x:c r="C882" s="34" t="str">
        <x:v>default</x:v>
      </x:c>
      <x:c r="D882" s="34" t="str">
        <x:v>jcs321</x:v>
      </x:c>
      <x:c r="E882" s="36" t="n">
        <x:v>5</x:v>
      </x:c>
      <x:c r="F882" s="36" t="n">
        <x:v>5</x:v>
      </x:c>
      <x:c r="G882" s="36" t="n">
        <x:v>3</x:v>
      </x:c>
      <x:c r="H882" s="34" t="str">
        <x:v>cycle-observation</x:v>
      </x:c>
      <x:c r="I882" s="36" t="n">
        <x:v>1</x:v>
      </x:c>
      <x:c r="J882" s="34" t="str">
        <x:v>tomcat-findleaks-occurrence</x:v>
      </x:c>
      <x:c r="K882" s="34" t="str">
        <x:v>afterUndeploy.tomcatFindLeaksOccurrences</x:v>
      </x:c>
      <x:c r="L882" s="36" t="n">
        <x:v>1</x:v>
      </x:c>
      <x:c r="M882" s="34" t="str">
        <x:v>/jcs321</x:v>
      </x:c>
      <x:c r="N882" s="44" t="str">
        <x:v>/jcs321</x:v>
      </x:c>
    </x:row>
    <x:row r="883">
      <x:c r="A883" s="36" t="n">
        <x:v>882</x:v>
      </x:c>
      <x:c r="B883" s="34" t="str">
        <x:v>article1-unified-v4-2-fb3f101b-20260903-000401-default-f05-p1-jcs321</x:v>
      </x:c>
      <x:c r="C883" s="34" t="str">
        <x:v>default</x:v>
      </x:c>
      <x:c r="D883" s="34" t="str">
        <x:v>jcs321</x:v>
      </x:c>
      <x:c r="E883" s="36" t="n">
        <x:v>5</x:v>
      </x:c>
      <x:c r="F883" s="36" t="n">
        <x:v>5</x:v>
      </x:c>
      <x:c r="G883" s="36" t="n">
        <x:v>3</x:v>
      </x:c>
      <x:c r="H883" s="34" t="str">
        <x:v>cycle-observation</x:v>
      </x:c>
      <x:c r="I883" s="36" t="n">
        <x:v>1</x:v>
      </x:c>
      <x:c r="J883" s="34" t="str">
        <x:v>tomcat-findleaks-occurrence</x:v>
      </x:c>
      <x:c r="K883" s="34" t="str">
        <x:v>afterUndeploy.tomcatFindLeaksOccurrences</x:v>
      </x:c>
      <x:c r="L883" s="36" t="n">
        <x:v>2</x:v>
      </x:c>
      <x:c r="M883" s="34" t="str">
        <x:v>/jcs321</x:v>
      </x:c>
      <x:c r="N883" s="44" t="str">
        <x:v>/jcs321</x:v>
      </x:c>
    </x:row>
    <x:row r="884">
      <x:c r="A884" s="36" t="n">
        <x:v>883</x:v>
      </x:c>
      <x:c r="B884" s="34" t="str">
        <x:v>article1-unified-v4-2-fb3f101b-20260903-000401-default-f05-p1-jcs321</x:v>
      </x:c>
      <x:c r="C884" s="34" t="str">
        <x:v>default</x:v>
      </x:c>
      <x:c r="D884" s="34" t="str">
        <x:v>jcs321</x:v>
      </x:c>
      <x:c r="E884" s="36" t="n">
        <x:v>5</x:v>
      </x:c>
      <x:c r="F884" s="36" t="n">
        <x:v>5</x:v>
      </x:c>
      <x:c r="G884" s="36" t="n">
        <x:v>3</x:v>
      </x:c>
      <x:c r="H884" s="34" t="str">
        <x:v>cycle-observation</x:v>
      </x:c>
      <x:c r="I884" s="36" t="n">
        <x:v>1</x:v>
      </x:c>
      <x:c r="J884" s="34" t="str">
        <x:v>tomcat-findleaks-occurrence</x:v>
      </x:c>
      <x:c r="K884" s="34" t="str">
        <x:v>afterUndeploy.tomcatFindLeaksOccurrences</x:v>
      </x:c>
      <x:c r="L884" s="36" t="n">
        <x:v>3</x:v>
      </x:c>
      <x:c r="M884" s="34" t="str">
        <x:v>/jcs321</x:v>
      </x:c>
      <x:c r="N884" s="44" t="str">
        <x:v>/jcs321</x:v>
      </x:c>
    </x:row>
    <x:row r="885">
      <x:c r="A885" s="36" t="n">
        <x:v>884</x:v>
      </x:c>
      <x:c r="B885" s="34" t="str">
        <x:v>article1-unified-v4-2-fb3f101b-20260903-000401-default-f05-p1-jcs321</x:v>
      </x:c>
      <x:c r="C885" s="34" t="str">
        <x:v>default</x:v>
      </x:c>
      <x:c r="D885" s="34" t="str">
        <x:v>jcs321</x:v>
      </x:c>
      <x:c r="E885" s="36" t="n">
        <x:v>5</x:v>
      </x:c>
      <x:c r="F885" s="36" t="n">
        <x:v>5</x:v>
      </x:c>
      <x:c r="G885" s="36" t="n">
        <x:v>3</x:v>
      </x:c>
      <x:c r="H885" s="34" t="str">
        <x:v>cycle-observation</x:v>
      </x:c>
      <x:c r="I885" s="36" t="n">
        <x:v>1</x:v>
      </x:c>
      <x:c r="J885" s="34" t="str">
        <x:v>tomcat-findleaks-occurrence</x:v>
      </x:c>
      <x:c r="K885" s="34" t="str">
        <x:v>afterUndeploy.tomcatFindLeaksOccurrences</x:v>
      </x:c>
      <x:c r="L885" s="36" t="n">
        <x:v>4</x:v>
      </x:c>
      <x:c r="M885" s="34" t="str">
        <x:v>/jcs321</x:v>
      </x:c>
      <x:c r="N885" s="44" t="str">
        <x:v>/jcs321</x:v>
      </x:c>
    </x:row>
    <x:row r="886">
      <x:c r="A886" s="36" t="n">
        <x:v>885</x:v>
      </x:c>
      <x:c r="B886" s="34" t="str">
        <x:v>article1-unified-v4-2-fb3f101b-20260903-000401-default-f05-p1-jcs321</x:v>
      </x:c>
      <x:c r="C886" s="34" t="str">
        <x:v>default</x:v>
      </x:c>
      <x:c r="D886" s="34" t="str">
        <x:v>jcs321</x:v>
      </x:c>
      <x:c r="E886" s="36" t="n">
        <x:v>5</x:v>
      </x:c>
      <x:c r="F886" s="36" t="n">
        <x:v>5</x:v>
      </x:c>
      <x:c r="G886" s="36" t="n">
        <x:v>3</x:v>
      </x:c>
      <x:c r="H886" s="34" t="str">
        <x:v>cycle-observation</x:v>
      </x:c>
      <x:c r="I886" s="36" t="n">
        <x:v>1</x:v>
      </x:c>
      <x:c r="J886" s="34" t="str">
        <x:v>tomcat-findleaks-occurrence</x:v>
      </x:c>
      <x:c r="K886" s="34" t="str">
        <x:v>afterUndeploy.tomcatFindLeaksOccurrences</x:v>
      </x:c>
      <x:c r="L886" s="36" t="n">
        <x:v>5</x:v>
      </x:c>
      <x:c r="M886" s="34" t="str">
        <x:v>/jcs321</x:v>
      </x:c>
      <x:c r="N886" s="44" t="str">
        <x:v>/jcs321</x:v>
      </x:c>
    </x:row>
    <x:row r="887">
      <x:c r="A887" s="36" t="n">
        <x:v>886</x:v>
      </x:c>
      <x:c r="B887" s="34" t="str">
        <x:v>article1-unified-v4-2-fb3f101b-20260903-000401-default-f05-p1-jcs321</x:v>
      </x:c>
      <x:c r="C887" s="34" t="str">
        <x:v>default</x:v>
      </x:c>
      <x:c r="D887" s="34" t="str">
        <x:v>jcs321</x:v>
      </x:c>
      <x:c r="E887" s="36" t="n">
        <x:v>5</x:v>
      </x:c>
      <x:c r="F887" s="36" t="n">
        <x:v>5</x:v>
      </x:c>
      <x:c r="G887" s="36" t="n">
        <x:v>3</x:v>
      </x:c>
      <x:c r="H887" s="34" t="str">
        <x:v>cycle-observation</x:v>
      </x:c>
      <x:c r="I887" s="36" t="n">
        <x:v>2</x:v>
      </x:c>
      <x:c r="J887" s="34" t="str">
        <x:v>tomcat-findleaks-occurrence</x:v>
      </x:c>
      <x:c r="K887" s="34" t="str">
        <x:v>afterFinalUndeploy.tomcatFindLeaksOccurrences</x:v>
      </x:c>
      <x:c r="L887" s="36" t="n">
        <x:v>1</x:v>
      </x:c>
      <x:c r="M887" s="34" t="str">
        <x:v>/jcs321</x:v>
      </x:c>
      <x:c r="N887" s="44" t="str">
        <x:v>/jcs321</x:v>
      </x:c>
    </x:row>
    <x:row r="888">
      <x:c r="A888" s="36" t="n">
        <x:v>887</x:v>
      </x:c>
      <x:c r="B888" s="34" t="str">
        <x:v>article1-unified-v4-2-fb3f101b-20260903-000401-default-f05-p1-jcs321</x:v>
      </x:c>
      <x:c r="C888" s="34" t="str">
        <x:v>default</x:v>
      </x:c>
      <x:c r="D888" s="34" t="str">
        <x:v>jcs321</x:v>
      </x:c>
      <x:c r="E888" s="36" t="n">
        <x:v>5</x:v>
      </x:c>
      <x:c r="F888" s="36" t="n">
        <x:v>5</x:v>
      </x:c>
      <x:c r="G888" s="36" t="n">
        <x:v>3</x:v>
      </x:c>
      <x:c r="H888" s="34" t="str">
        <x:v>cycle-observation</x:v>
      </x:c>
      <x:c r="I888" s="36" t="n">
        <x:v>2</x:v>
      </x:c>
      <x:c r="J888" s="34" t="str">
        <x:v>tomcat-findleaks-occurrence</x:v>
      </x:c>
      <x:c r="K888" s="34" t="str">
        <x:v>afterFinalUndeploy.tomcatFindLeaksOccurrences</x:v>
      </x:c>
      <x:c r="L888" s="36" t="n">
        <x:v>2</x:v>
      </x:c>
      <x:c r="M888" s="34" t="str">
        <x:v>/jcs321</x:v>
      </x:c>
      <x:c r="N888" s="44" t="str">
        <x:v>/jcs321</x:v>
      </x:c>
    </x:row>
    <x:row r="889">
      <x:c r="A889" s="36" t="n">
        <x:v>888</x:v>
      </x:c>
      <x:c r="B889" s="34" t="str">
        <x:v>article1-unified-v4-2-fb3f101b-20260903-000401-default-f05-p1-jcs321</x:v>
      </x:c>
      <x:c r="C889" s="34" t="str">
        <x:v>default</x:v>
      </x:c>
      <x:c r="D889" s="34" t="str">
        <x:v>jcs321</x:v>
      </x:c>
      <x:c r="E889" s="36" t="n">
        <x:v>5</x:v>
      </x:c>
      <x:c r="F889" s="36" t="n">
        <x:v>5</x:v>
      </x:c>
      <x:c r="G889" s="36" t="n">
        <x:v>3</x:v>
      </x:c>
      <x:c r="H889" s="34" t="str">
        <x:v>cycle-observation</x:v>
      </x:c>
      <x:c r="I889" s="36" t="n">
        <x:v>2</x:v>
      </x:c>
      <x:c r="J889" s="34" t="str">
        <x:v>tomcat-findleaks-occurrence</x:v>
      </x:c>
      <x:c r="K889" s="34" t="str">
        <x:v>afterFinalUndeploy.tomcatFindLeaksOccurrences</x:v>
      </x:c>
      <x:c r="L889" s="36" t="n">
        <x:v>3</x:v>
      </x:c>
      <x:c r="M889" s="34" t="str">
        <x:v>/jcs321</x:v>
      </x:c>
      <x:c r="N889" s="44" t="str">
        <x:v>/jcs321</x:v>
      </x:c>
    </x:row>
    <x:row r="890">
      <x:c r="A890" s="36" t="n">
        <x:v>889</x:v>
      </x:c>
      <x:c r="B890" s="34" t="str">
        <x:v>article1-unified-v4-2-fb3f101b-20260903-000401-default-f05-p1-jcs321</x:v>
      </x:c>
      <x:c r="C890" s="34" t="str">
        <x:v>default</x:v>
      </x:c>
      <x:c r="D890" s="34" t="str">
        <x:v>jcs321</x:v>
      </x:c>
      <x:c r="E890" s="36" t="n">
        <x:v>5</x:v>
      </x:c>
      <x:c r="F890" s="36" t="n">
        <x:v>5</x:v>
      </x:c>
      <x:c r="G890" s="36" t="n">
        <x:v>3</x:v>
      </x:c>
      <x:c r="H890" s="34" t="str">
        <x:v>cycle-observation</x:v>
      </x:c>
      <x:c r="I890" s="36" t="n">
        <x:v>2</x:v>
      </x:c>
      <x:c r="J890" s="34" t="str">
        <x:v>tomcat-findleaks-occurrence</x:v>
      </x:c>
      <x:c r="K890" s="34" t="str">
        <x:v>afterFinalUndeploy.tomcatFindLeaksOccurrences</x:v>
      </x:c>
      <x:c r="L890" s="36" t="n">
        <x:v>4</x:v>
      </x:c>
      <x:c r="M890" s="34" t="str">
        <x:v>/jcs321</x:v>
      </x:c>
      <x:c r="N890" s="44" t="str">
        <x:v>/jcs321</x:v>
      </x:c>
    </x:row>
    <x:row r="891">
      <x:c r="A891" s="36" t="n">
        <x:v>890</x:v>
      </x:c>
      <x:c r="B891" s="34" t="str">
        <x:v>article1-unified-v4-2-fb3f101b-20260903-000401-default-f05-p1-jcs321</x:v>
      </x:c>
      <x:c r="C891" s="34" t="str">
        <x:v>default</x:v>
      </x:c>
      <x:c r="D891" s="34" t="str">
        <x:v>jcs321</x:v>
      </x:c>
      <x:c r="E891" s="36" t="n">
        <x:v>5</x:v>
      </x:c>
      <x:c r="F891" s="36" t="n">
        <x:v>5</x:v>
      </x:c>
      <x:c r="G891" s="36" t="n">
        <x:v>3</x:v>
      </x:c>
      <x:c r="H891" s="34" t="str">
        <x:v>cycle-observation</x:v>
      </x:c>
      <x:c r="I891" s="36" t="n">
        <x:v>2</x:v>
      </x:c>
      <x:c r="J891" s="34" t="str">
        <x:v>tomcat-findleaks-occurrence</x:v>
      </x:c>
      <x:c r="K891" s="34" t="str">
        <x:v>afterFinalUndeploy.tomcatFindLeaksOccurrences</x:v>
      </x:c>
      <x:c r="L891" s="36" t="n">
        <x:v>5</x:v>
      </x:c>
      <x:c r="M891" s="34" t="str">
        <x:v>/jcs321</x:v>
      </x:c>
      <x:c r="N891" s="44" t="str">
        <x:v>/jcs321</x:v>
      </x:c>
    </x:row>
    <x:row r="892">
      <x:c r="A892" s="36" t="n">
        <x:v>891</x:v>
      </x:c>
      <x:c r="B892" s="34" t="str">
        <x:v>article1-unified-v4-2-fb3f101b-20260903-000401-default-f05-p1-jcs321</x:v>
      </x:c>
      <x:c r="C892" s="34" t="str">
        <x:v>default</x:v>
      </x:c>
      <x:c r="D892" s="34" t="str">
        <x:v>jcs321</x:v>
      </x:c>
      <x:c r="E892" s="36" t="n">
        <x:v>5</x:v>
      </x:c>
      <x:c r="F892" s="36" t="n">
        <x:v>5</x:v>
      </x:c>
      <x:c r="G892" s="36" t="n">
        <x:v>3</x:v>
      </x:c>
      <x:c r="H892" s="34" t="str">
        <x:v>cycle-observation</x:v>
      </x:c>
      <x:c r="I892" s="36" t="n">
        <x:v>2</x:v>
      </x:c>
      <x:c r="J892" s="34" t="str">
        <x:v>tomcat-findleaks-occurrence</x:v>
      </x:c>
      <x:c r="K892" s="34" t="str">
        <x:v>afterFinalUndeploy.tomcatFindLeaksOccurrences</x:v>
      </x:c>
      <x:c r="L892" s="36" t="n">
        <x:v>6</x:v>
      </x:c>
      <x:c r="M892" s="34" t="str">
        <x:v>/jcs321</x:v>
      </x:c>
      <x:c r="N892" s="44" t="str">
        <x:v>/jcs321</x:v>
      </x:c>
    </x:row>
    <x:row r="893">
      <x:c r="A893" s="36" t="n">
        <x:v>892</x:v>
      </x:c>
      <x:c r="B893" s="34" t="str">
        <x:v>article1-unified-v4-2-fb3f101b-20260903-000401-default-f05-p1-jcs321</x:v>
      </x:c>
      <x:c r="C893" s="34" t="str">
        <x:v>default</x:v>
      </x:c>
      <x:c r="D893" s="34" t="str">
        <x:v>jcs321</x:v>
      </x:c>
      <x:c r="E893" s="36" t="n">
        <x:v>5</x:v>
      </x:c>
      <x:c r="F893" s="36" t="n">
        <x:v>5</x:v>
      </x:c>
      <x:c r="G893" s="36" t="n">
        <x:v>4</x:v>
      </x:c>
      <x:c r="H893" s="34" t="str">
        <x:v>cycle-window</x:v>
      </x:c>
      <x:c r="I893" s="36" t="n">
        <x:v>1</x:v>
      </x:c>
      <x:c r="J893" s="34" t="str">
        <x:v>warning</x:v>
      </x:c>
      <x:c r="K893" s="34" t="str">
        <x:v>firstUndeployWarnings</x:v>
      </x:c>
      <x:c r="L893" s="36" t="n">
        <x:v>1</x:v>
      </x:c>
      <x:c r="M893" s="34"/>
      <x:c r="N893" s="44" t="str">
        <x:v>03-Sep-2026 01:29:03.266 WARNING [http-nio-8080-exec-35]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894">
      <x:c r="A894" s="36" t="n">
        <x:v>893</x:v>
      </x:c>
      <x:c r="B894" s="34" t="str">
        <x:v>article1-unified-v4-2-fb3f101b-20260903-000401-default-f05-p1-jcs321</x:v>
      </x:c>
      <x:c r="C894" s="34" t="str">
        <x:v>default</x:v>
      </x:c>
      <x:c r="D894" s="34" t="str">
        <x:v>jcs321</x:v>
      </x:c>
      <x:c r="E894" s="36" t="n">
        <x:v>5</x:v>
      </x:c>
      <x:c r="F894" s="36" t="n">
        <x:v>5</x:v>
      </x:c>
      <x:c r="G894" s="36" t="n">
        <x:v>4</x:v>
      </x:c>
      <x:c r="H894" s="34" t="str">
        <x:v>cycle-window</x:v>
      </x:c>
      <x:c r="I894" s="36" t="n">
        <x:v>1</x:v>
      </x:c>
      <x:c r="J894" s="34" t="str">
        <x:v>leak-warning</x:v>
      </x:c>
      <x:c r="K894" s="34" t="str">
        <x:v>firstUndeployLeakWarnings</x:v>
      </x:c>
      <x:c r="L894" s="36" t="n">
        <x:v>1</x:v>
      </x:c>
      <x:c r="M894" s="34"/>
      <x:c r="N894" s="44" t="str">
        <x:v>03-Sep-2026 01:29:03.266 WARNING [http-nio-8080-exec-35]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895">
      <x:c r="A895" s="36" t="n">
        <x:v>894</x:v>
      </x:c>
      <x:c r="B895" s="34" t="str">
        <x:v>article1-unified-v4-2-fb3f101b-20260903-000401-default-f05-p1-jcs321</x:v>
      </x:c>
      <x:c r="C895" s="34" t="str">
        <x:v>default</x:v>
      </x:c>
      <x:c r="D895" s="34" t="str">
        <x:v>jcs321</x:v>
      </x:c>
      <x:c r="E895" s="36" t="n">
        <x:v>5</x:v>
      </x:c>
      <x:c r="F895" s="36" t="n">
        <x:v>5</x:v>
      </x:c>
      <x:c r="G895" s="36" t="n">
        <x:v>4</x:v>
      </x:c>
      <x:c r="H895" s="34" t="str">
        <x:v>cycle-window</x:v>
      </x:c>
      <x:c r="I895" s="36" t="n">
        <x:v>1</x:v>
      </x:c>
      <x:c r="J895" s="34" t="str">
        <x:v>thread-leak-warning</x:v>
      </x:c>
      <x:c r="K895" s="34" t="str">
        <x:v>firstUndeployThreadLeakWarnings</x:v>
      </x:c>
      <x:c r="L895" s="36" t="n">
        <x:v>1</x:v>
      </x:c>
      <x:c r="M895" s="34"/>
      <x:c r="N895" s="44" t="str">
        <x:v>03-Sep-2026 01:29:03.266 WARNING [http-nio-8080-exec-35]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896">
      <x:c r="A896" s="36" t="n">
        <x:v>895</x:v>
      </x:c>
      <x:c r="B896" s="34" t="str">
        <x:v>article1-unified-v4-2-fb3f101b-20260903-000401-default-f05-p1-jcs321</x:v>
      </x:c>
      <x:c r="C896" s="34" t="str">
        <x:v>default</x:v>
      </x:c>
      <x:c r="D896" s="34" t="str">
        <x:v>jcs321</x:v>
      </x:c>
      <x:c r="E896" s="36" t="n">
        <x:v>5</x:v>
      </x:c>
      <x:c r="F896" s="36" t="n">
        <x:v>5</x:v>
      </x:c>
      <x:c r="G896" s="36" t="n">
        <x:v>4</x:v>
      </x:c>
      <x:c r="H896" s="34" t="str">
        <x:v>cycle-window</x:v>
      </x:c>
      <x:c r="I896" s="36" t="n">
        <x:v>2</x:v>
      </x:c>
      <x:c r="J896" s="34" t="str">
        <x:v>warning</x:v>
      </x:c>
      <x:c r="K896" s="34" t="str">
        <x:v>secondUndeployWarnings</x:v>
      </x:c>
      <x:c r="L896" s="36" t="n">
        <x:v>1</x:v>
      </x:c>
      <x:c r="M896" s="34"/>
      <x:c r="N896" s="44" t="str">
        <x:v>03-Sep-2026 01:29:46.024 WARNING [http-nio-8080-exec-44]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897">
      <x:c r="A897" s="36" t="n">
        <x:v>896</x:v>
      </x:c>
      <x:c r="B897" s="34" t="str">
        <x:v>article1-unified-v4-2-fb3f101b-20260903-000401-default-f05-p1-jcs321</x:v>
      </x:c>
      <x:c r="C897" s="34" t="str">
        <x:v>default</x:v>
      </x:c>
      <x:c r="D897" s="34" t="str">
        <x:v>jcs321</x:v>
      </x:c>
      <x:c r="E897" s="36" t="n">
        <x:v>5</x:v>
      </x:c>
      <x:c r="F897" s="36" t="n">
        <x:v>5</x:v>
      </x:c>
      <x:c r="G897" s="36" t="n">
        <x:v>4</x:v>
      </x:c>
      <x:c r="H897" s="34" t="str">
        <x:v>cycle-window</x:v>
      </x:c>
      <x:c r="I897" s="36" t="n">
        <x:v>2</x:v>
      </x:c>
      <x:c r="J897" s="34" t="str">
        <x:v>leak-warning</x:v>
      </x:c>
      <x:c r="K897" s="34" t="str">
        <x:v>secondUndeployLeakWarnings</x:v>
      </x:c>
      <x:c r="L897" s="36" t="n">
        <x:v>1</x:v>
      </x:c>
      <x:c r="M897" s="34"/>
      <x:c r="N897" s="44" t="str">
        <x:v>03-Sep-2026 01:29:46.024 WARNING [http-nio-8080-exec-44]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898">
      <x:c r="A898" s="36" t="n">
        <x:v>897</x:v>
      </x:c>
      <x:c r="B898" s="34" t="str">
        <x:v>article1-unified-v4-2-fb3f101b-20260903-000401-default-f05-p1-jcs321</x:v>
      </x:c>
      <x:c r="C898" s="34" t="str">
        <x:v>default</x:v>
      </x:c>
      <x:c r="D898" s="34" t="str">
        <x:v>jcs321</x:v>
      </x:c>
      <x:c r="E898" s="36" t="n">
        <x:v>5</x:v>
      </x:c>
      <x:c r="F898" s="36" t="n">
        <x:v>5</x:v>
      </x:c>
      <x:c r="G898" s="36" t="n">
        <x:v>4</x:v>
      </x:c>
      <x:c r="H898" s="34" t="str">
        <x:v>cycle-window</x:v>
      </x:c>
      <x:c r="I898" s="36" t="n">
        <x:v>2</x:v>
      </x:c>
      <x:c r="J898" s="34" t="str">
        <x:v>thread-leak-warning</x:v>
      </x:c>
      <x:c r="K898" s="34" t="str">
        <x:v>secondUndeployThreadLeakWarnings</x:v>
      </x:c>
      <x:c r="L898" s="36" t="n">
        <x:v>1</x:v>
      </x:c>
      <x:c r="M898" s="34"/>
      <x:c r="N898" s="44" t="str">
        <x:v>03-Sep-2026 01:29:46.024 WARNING [http-nio-8080-exec-44]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899">
      <x:c r="A899" s="36" t="n">
        <x:v>898</x:v>
      </x:c>
      <x:c r="B899" s="34" t="str">
        <x:v>article1-unified-v4-2-fb3f101b-20260903-000401-default-f05-p1-jcs321</x:v>
      </x:c>
      <x:c r="C899" s="34" t="str">
        <x:v>default</x:v>
      </x:c>
      <x:c r="D899" s="34" t="str">
        <x:v>jcs321</x:v>
      </x:c>
      <x:c r="E899" s="36" t="n">
        <x:v>5</x:v>
      </x:c>
      <x:c r="F899" s="36" t="n">
        <x:v>5</x:v>
      </x:c>
      <x:c r="G899" s="36" t="n">
        <x:v>4</x:v>
      </x:c>
      <x:c r="H899" s="34" t="str">
        <x:v>cycle-observation</x:v>
      </x:c>
      <x:c r="I899" s="36" t="n">
        <x:v>1</x:v>
      </x:c>
      <x:c r="J899" s="34" t="str">
        <x:v>tomcat-findleaks-occurrence</x:v>
      </x:c>
      <x:c r="K899" s="34" t="str">
        <x:v>afterUndeploy.tomcatFindLeaksOccurrences</x:v>
      </x:c>
      <x:c r="L899" s="36" t="n">
        <x:v>1</x:v>
      </x:c>
      <x:c r="M899" s="34" t="str">
        <x:v>/jcs321</x:v>
      </x:c>
      <x:c r="N899" s="44" t="str">
        <x:v>/jcs321</x:v>
      </x:c>
    </x:row>
    <x:row r="900">
      <x:c r="A900" s="36" t="n">
        <x:v>899</x:v>
      </x:c>
      <x:c r="B900" s="34" t="str">
        <x:v>article1-unified-v4-2-fb3f101b-20260903-000401-default-f05-p1-jcs321</x:v>
      </x:c>
      <x:c r="C900" s="34" t="str">
        <x:v>default</x:v>
      </x:c>
      <x:c r="D900" s="34" t="str">
        <x:v>jcs321</x:v>
      </x:c>
      <x:c r="E900" s="36" t="n">
        <x:v>5</x:v>
      </x:c>
      <x:c r="F900" s="36" t="n">
        <x:v>5</x:v>
      </x:c>
      <x:c r="G900" s="36" t="n">
        <x:v>4</x:v>
      </x:c>
      <x:c r="H900" s="34" t="str">
        <x:v>cycle-observation</x:v>
      </x:c>
      <x:c r="I900" s="36" t="n">
        <x:v>1</x:v>
      </x:c>
      <x:c r="J900" s="34" t="str">
        <x:v>tomcat-findleaks-occurrence</x:v>
      </x:c>
      <x:c r="K900" s="34" t="str">
        <x:v>afterUndeploy.tomcatFindLeaksOccurrences</x:v>
      </x:c>
      <x:c r="L900" s="36" t="n">
        <x:v>2</x:v>
      </x:c>
      <x:c r="M900" s="34" t="str">
        <x:v>/jcs321</x:v>
      </x:c>
      <x:c r="N900" s="44" t="str">
        <x:v>/jcs321</x:v>
      </x:c>
    </x:row>
    <x:row r="901">
      <x:c r="A901" s="36" t="n">
        <x:v>900</x:v>
      </x:c>
      <x:c r="B901" s="34" t="str">
        <x:v>article1-unified-v4-2-fb3f101b-20260903-000401-default-f05-p1-jcs321</x:v>
      </x:c>
      <x:c r="C901" s="34" t="str">
        <x:v>default</x:v>
      </x:c>
      <x:c r="D901" s="34" t="str">
        <x:v>jcs321</x:v>
      </x:c>
      <x:c r="E901" s="36" t="n">
        <x:v>5</x:v>
      </x:c>
      <x:c r="F901" s="36" t="n">
        <x:v>5</x:v>
      </x:c>
      <x:c r="G901" s="36" t="n">
        <x:v>4</x:v>
      </x:c>
      <x:c r="H901" s="34" t="str">
        <x:v>cycle-observation</x:v>
      </x:c>
      <x:c r="I901" s="36" t="n">
        <x:v>1</x:v>
      </x:c>
      <x:c r="J901" s="34" t="str">
        <x:v>tomcat-findleaks-occurrence</x:v>
      </x:c>
      <x:c r="K901" s="34" t="str">
        <x:v>afterUndeploy.tomcatFindLeaksOccurrences</x:v>
      </x:c>
      <x:c r="L901" s="36" t="n">
        <x:v>3</x:v>
      </x:c>
      <x:c r="M901" s="34" t="str">
        <x:v>/jcs321</x:v>
      </x:c>
      <x:c r="N901" s="44" t="str">
        <x:v>/jcs321</x:v>
      </x:c>
    </x:row>
    <x:row r="902">
      <x:c r="A902" s="36" t="n">
        <x:v>901</x:v>
      </x:c>
      <x:c r="B902" s="34" t="str">
        <x:v>article1-unified-v4-2-fb3f101b-20260903-000401-default-f05-p1-jcs321</x:v>
      </x:c>
      <x:c r="C902" s="34" t="str">
        <x:v>default</x:v>
      </x:c>
      <x:c r="D902" s="34" t="str">
        <x:v>jcs321</x:v>
      </x:c>
      <x:c r="E902" s="36" t="n">
        <x:v>5</x:v>
      </x:c>
      <x:c r="F902" s="36" t="n">
        <x:v>5</x:v>
      </x:c>
      <x:c r="G902" s="36" t="n">
        <x:v>4</x:v>
      </x:c>
      <x:c r="H902" s="34" t="str">
        <x:v>cycle-observation</x:v>
      </x:c>
      <x:c r="I902" s="36" t="n">
        <x:v>1</x:v>
      </x:c>
      <x:c r="J902" s="34" t="str">
        <x:v>tomcat-findleaks-occurrence</x:v>
      </x:c>
      <x:c r="K902" s="34" t="str">
        <x:v>afterUndeploy.tomcatFindLeaksOccurrences</x:v>
      </x:c>
      <x:c r="L902" s="36" t="n">
        <x:v>4</x:v>
      </x:c>
      <x:c r="M902" s="34" t="str">
        <x:v>/jcs321</x:v>
      </x:c>
      <x:c r="N902" s="44" t="str">
        <x:v>/jcs321</x:v>
      </x:c>
    </x:row>
    <x:row r="903">
      <x:c r="A903" s="36" t="n">
        <x:v>902</x:v>
      </x:c>
      <x:c r="B903" s="34" t="str">
        <x:v>article1-unified-v4-2-fb3f101b-20260903-000401-default-f05-p1-jcs321</x:v>
      </x:c>
      <x:c r="C903" s="34" t="str">
        <x:v>default</x:v>
      </x:c>
      <x:c r="D903" s="34" t="str">
        <x:v>jcs321</x:v>
      </x:c>
      <x:c r="E903" s="36" t="n">
        <x:v>5</x:v>
      </x:c>
      <x:c r="F903" s="36" t="n">
        <x:v>5</x:v>
      </x:c>
      <x:c r="G903" s="36" t="n">
        <x:v>4</x:v>
      </x:c>
      <x:c r="H903" s="34" t="str">
        <x:v>cycle-observation</x:v>
      </x:c>
      <x:c r="I903" s="36" t="n">
        <x:v>1</x:v>
      </x:c>
      <x:c r="J903" s="34" t="str">
        <x:v>tomcat-findleaks-occurrence</x:v>
      </x:c>
      <x:c r="K903" s="34" t="str">
        <x:v>afterUndeploy.tomcatFindLeaksOccurrences</x:v>
      </x:c>
      <x:c r="L903" s="36" t="n">
        <x:v>5</x:v>
      </x:c>
      <x:c r="M903" s="34" t="str">
        <x:v>/jcs321</x:v>
      </x:c>
      <x:c r="N903" s="44" t="str">
        <x:v>/jcs321</x:v>
      </x:c>
    </x:row>
    <x:row r="904">
      <x:c r="A904" s="36" t="n">
        <x:v>903</x:v>
      </x:c>
      <x:c r="B904" s="34" t="str">
        <x:v>article1-unified-v4-2-fb3f101b-20260903-000401-default-f05-p1-jcs321</x:v>
      </x:c>
      <x:c r="C904" s="34" t="str">
        <x:v>default</x:v>
      </x:c>
      <x:c r="D904" s="34" t="str">
        <x:v>jcs321</x:v>
      </x:c>
      <x:c r="E904" s="36" t="n">
        <x:v>5</x:v>
      </x:c>
      <x:c r="F904" s="36" t="n">
        <x:v>5</x:v>
      </x:c>
      <x:c r="G904" s="36" t="n">
        <x:v>4</x:v>
      </x:c>
      <x:c r="H904" s="34" t="str">
        <x:v>cycle-observation</x:v>
      </x:c>
      <x:c r="I904" s="36" t="n">
        <x:v>1</x:v>
      </x:c>
      <x:c r="J904" s="34" t="str">
        <x:v>tomcat-findleaks-occurrence</x:v>
      </x:c>
      <x:c r="K904" s="34" t="str">
        <x:v>afterUndeploy.tomcatFindLeaksOccurrences</x:v>
      </x:c>
      <x:c r="L904" s="36" t="n">
        <x:v>6</x:v>
      </x:c>
      <x:c r="M904" s="34" t="str">
        <x:v>/jcs321</x:v>
      </x:c>
      <x:c r="N904" s="44" t="str">
        <x:v>/jcs321</x:v>
      </x:c>
    </x:row>
    <x:row r="905">
      <x:c r="A905" s="36" t="n">
        <x:v>904</x:v>
      </x:c>
      <x:c r="B905" s="34" t="str">
        <x:v>article1-unified-v4-2-fb3f101b-20260903-000401-default-f05-p1-jcs321</x:v>
      </x:c>
      <x:c r="C905" s="34" t="str">
        <x:v>default</x:v>
      </x:c>
      <x:c r="D905" s="34" t="str">
        <x:v>jcs321</x:v>
      </x:c>
      <x:c r="E905" s="36" t="n">
        <x:v>5</x:v>
      </x:c>
      <x:c r="F905" s="36" t="n">
        <x:v>5</x:v>
      </x:c>
      <x:c r="G905" s="36" t="n">
        <x:v>4</x:v>
      </x:c>
      <x:c r="H905" s="34" t="str">
        <x:v>cycle-observation</x:v>
      </x:c>
      <x:c r="I905" s="36" t="n">
        <x:v>1</x:v>
      </x:c>
      <x:c r="J905" s="34" t="str">
        <x:v>tomcat-findleaks-occurrence</x:v>
      </x:c>
      <x:c r="K905" s="34" t="str">
        <x:v>afterUndeploy.tomcatFindLeaksOccurrences</x:v>
      </x:c>
      <x:c r="L905" s="36" t="n">
        <x:v>7</x:v>
      </x:c>
      <x:c r="M905" s="34" t="str">
        <x:v>/jcs321</x:v>
      </x:c>
      <x:c r="N905" s="44" t="str">
        <x:v>/jcs321</x:v>
      </x:c>
    </x:row>
    <x:row r="906">
      <x:c r="A906" s="36" t="n">
        <x:v>905</x:v>
      </x:c>
      <x:c r="B906" s="34" t="str">
        <x:v>article1-unified-v4-2-fb3f101b-20260903-000401-default-f05-p1-jcs321</x:v>
      </x:c>
      <x:c r="C906" s="34" t="str">
        <x:v>default</x:v>
      </x:c>
      <x:c r="D906" s="34" t="str">
        <x:v>jcs321</x:v>
      </x:c>
      <x:c r="E906" s="36" t="n">
        <x:v>5</x:v>
      </x:c>
      <x:c r="F906" s="36" t="n">
        <x:v>5</x:v>
      </x:c>
      <x:c r="G906" s="36" t="n">
        <x:v>4</x:v>
      </x:c>
      <x:c r="H906" s="34" t="str">
        <x:v>cycle-observation</x:v>
      </x:c>
      <x:c r="I906" s="36" t="n">
        <x:v>2</x:v>
      </x:c>
      <x:c r="J906" s="34" t="str">
        <x:v>tomcat-findleaks-occurrence</x:v>
      </x:c>
      <x:c r="K906" s="34" t="str">
        <x:v>afterFinalUndeploy.tomcatFindLeaksOccurrences</x:v>
      </x:c>
      <x:c r="L906" s="36" t="n">
        <x:v>1</x:v>
      </x:c>
      <x:c r="M906" s="34" t="str">
        <x:v>/jcs321</x:v>
      </x:c>
      <x:c r="N906" s="44" t="str">
        <x:v>/jcs321</x:v>
      </x:c>
    </x:row>
    <x:row r="907">
      <x:c r="A907" s="36" t="n">
        <x:v>906</x:v>
      </x:c>
      <x:c r="B907" s="34" t="str">
        <x:v>article1-unified-v4-2-fb3f101b-20260903-000401-default-f05-p1-jcs321</x:v>
      </x:c>
      <x:c r="C907" s="34" t="str">
        <x:v>default</x:v>
      </x:c>
      <x:c r="D907" s="34" t="str">
        <x:v>jcs321</x:v>
      </x:c>
      <x:c r="E907" s="36" t="n">
        <x:v>5</x:v>
      </x:c>
      <x:c r="F907" s="36" t="n">
        <x:v>5</x:v>
      </x:c>
      <x:c r="G907" s="36" t="n">
        <x:v>4</x:v>
      </x:c>
      <x:c r="H907" s="34" t="str">
        <x:v>cycle-observation</x:v>
      </x:c>
      <x:c r="I907" s="36" t="n">
        <x:v>2</x:v>
      </x:c>
      <x:c r="J907" s="34" t="str">
        <x:v>tomcat-findleaks-occurrence</x:v>
      </x:c>
      <x:c r="K907" s="34" t="str">
        <x:v>afterFinalUndeploy.tomcatFindLeaksOccurrences</x:v>
      </x:c>
      <x:c r="L907" s="36" t="n">
        <x:v>2</x:v>
      </x:c>
      <x:c r="M907" s="34" t="str">
        <x:v>/jcs321</x:v>
      </x:c>
      <x:c r="N907" s="44" t="str">
        <x:v>/jcs321</x:v>
      </x:c>
    </x:row>
    <x:row r="908">
      <x:c r="A908" s="36" t="n">
        <x:v>907</x:v>
      </x:c>
      <x:c r="B908" s="34" t="str">
        <x:v>article1-unified-v4-2-fb3f101b-20260903-000401-default-f05-p1-jcs321</x:v>
      </x:c>
      <x:c r="C908" s="34" t="str">
        <x:v>default</x:v>
      </x:c>
      <x:c r="D908" s="34" t="str">
        <x:v>jcs321</x:v>
      </x:c>
      <x:c r="E908" s="36" t="n">
        <x:v>5</x:v>
      </x:c>
      <x:c r="F908" s="36" t="n">
        <x:v>5</x:v>
      </x:c>
      <x:c r="G908" s="36" t="n">
        <x:v>4</x:v>
      </x:c>
      <x:c r="H908" s="34" t="str">
        <x:v>cycle-observation</x:v>
      </x:c>
      <x:c r="I908" s="36" t="n">
        <x:v>2</x:v>
      </x:c>
      <x:c r="J908" s="34" t="str">
        <x:v>tomcat-findleaks-occurrence</x:v>
      </x:c>
      <x:c r="K908" s="34" t="str">
        <x:v>afterFinalUndeploy.tomcatFindLeaksOccurrences</x:v>
      </x:c>
      <x:c r="L908" s="36" t="n">
        <x:v>3</x:v>
      </x:c>
      <x:c r="M908" s="34" t="str">
        <x:v>/jcs321</x:v>
      </x:c>
      <x:c r="N908" s="44" t="str">
        <x:v>/jcs321</x:v>
      </x:c>
    </x:row>
    <x:row r="909">
      <x:c r="A909" s="36" t="n">
        <x:v>908</x:v>
      </x:c>
      <x:c r="B909" s="34" t="str">
        <x:v>article1-unified-v4-2-fb3f101b-20260903-000401-default-f05-p1-jcs321</x:v>
      </x:c>
      <x:c r="C909" s="34" t="str">
        <x:v>default</x:v>
      </x:c>
      <x:c r="D909" s="34" t="str">
        <x:v>jcs321</x:v>
      </x:c>
      <x:c r="E909" s="36" t="n">
        <x:v>5</x:v>
      </x:c>
      <x:c r="F909" s="36" t="n">
        <x:v>5</x:v>
      </x:c>
      <x:c r="G909" s="36" t="n">
        <x:v>4</x:v>
      </x:c>
      <x:c r="H909" s="34" t="str">
        <x:v>cycle-observation</x:v>
      </x:c>
      <x:c r="I909" s="36" t="n">
        <x:v>2</x:v>
      </x:c>
      <x:c r="J909" s="34" t="str">
        <x:v>tomcat-findleaks-occurrence</x:v>
      </x:c>
      <x:c r="K909" s="34" t="str">
        <x:v>afterFinalUndeploy.tomcatFindLeaksOccurrences</x:v>
      </x:c>
      <x:c r="L909" s="36" t="n">
        <x:v>4</x:v>
      </x:c>
      <x:c r="M909" s="34" t="str">
        <x:v>/jcs321</x:v>
      </x:c>
      <x:c r="N909" s="44" t="str">
        <x:v>/jcs321</x:v>
      </x:c>
    </x:row>
    <x:row r="910">
      <x:c r="A910" s="36" t="n">
        <x:v>909</x:v>
      </x:c>
      <x:c r="B910" s="34" t="str">
        <x:v>article1-unified-v4-2-fb3f101b-20260903-000401-default-f05-p1-jcs321</x:v>
      </x:c>
      <x:c r="C910" s="34" t="str">
        <x:v>default</x:v>
      </x:c>
      <x:c r="D910" s="34" t="str">
        <x:v>jcs321</x:v>
      </x:c>
      <x:c r="E910" s="36" t="n">
        <x:v>5</x:v>
      </x:c>
      <x:c r="F910" s="36" t="n">
        <x:v>5</x:v>
      </x:c>
      <x:c r="G910" s="36" t="n">
        <x:v>4</x:v>
      </x:c>
      <x:c r="H910" s="34" t="str">
        <x:v>cycle-observation</x:v>
      </x:c>
      <x:c r="I910" s="36" t="n">
        <x:v>2</x:v>
      </x:c>
      <x:c r="J910" s="34" t="str">
        <x:v>tomcat-findleaks-occurrence</x:v>
      </x:c>
      <x:c r="K910" s="34" t="str">
        <x:v>afterFinalUndeploy.tomcatFindLeaksOccurrences</x:v>
      </x:c>
      <x:c r="L910" s="36" t="n">
        <x:v>5</x:v>
      </x:c>
      <x:c r="M910" s="34" t="str">
        <x:v>/jcs321</x:v>
      </x:c>
      <x:c r="N910" s="44" t="str">
        <x:v>/jcs321</x:v>
      </x:c>
    </x:row>
    <x:row r="911">
      <x:c r="A911" s="36" t="n">
        <x:v>910</x:v>
      </x:c>
      <x:c r="B911" s="34" t="str">
        <x:v>article1-unified-v4-2-fb3f101b-20260903-000401-default-f05-p1-jcs321</x:v>
      </x:c>
      <x:c r="C911" s="34" t="str">
        <x:v>default</x:v>
      </x:c>
      <x:c r="D911" s="34" t="str">
        <x:v>jcs321</x:v>
      </x:c>
      <x:c r="E911" s="36" t="n">
        <x:v>5</x:v>
      </x:c>
      <x:c r="F911" s="36" t="n">
        <x:v>5</x:v>
      </x:c>
      <x:c r="G911" s="36" t="n">
        <x:v>4</x:v>
      </x:c>
      <x:c r="H911" s="34" t="str">
        <x:v>cycle-observation</x:v>
      </x:c>
      <x:c r="I911" s="36" t="n">
        <x:v>2</x:v>
      </x:c>
      <x:c r="J911" s="34" t="str">
        <x:v>tomcat-findleaks-occurrence</x:v>
      </x:c>
      <x:c r="K911" s="34" t="str">
        <x:v>afterFinalUndeploy.tomcatFindLeaksOccurrences</x:v>
      </x:c>
      <x:c r="L911" s="36" t="n">
        <x:v>6</x:v>
      </x:c>
      <x:c r="M911" s="34" t="str">
        <x:v>/jcs321</x:v>
      </x:c>
      <x:c r="N911" s="44" t="str">
        <x:v>/jcs321</x:v>
      </x:c>
    </x:row>
    <x:row r="912">
      <x:c r="A912" s="36" t="n">
        <x:v>911</x:v>
      </x:c>
      <x:c r="B912" s="34" t="str">
        <x:v>article1-unified-v4-2-fb3f101b-20260903-000401-default-f05-p1-jcs321</x:v>
      </x:c>
      <x:c r="C912" s="34" t="str">
        <x:v>default</x:v>
      </x:c>
      <x:c r="D912" s="34" t="str">
        <x:v>jcs321</x:v>
      </x:c>
      <x:c r="E912" s="36" t="n">
        <x:v>5</x:v>
      </x:c>
      <x:c r="F912" s="36" t="n">
        <x:v>5</x:v>
      </x:c>
      <x:c r="G912" s="36" t="n">
        <x:v>4</x:v>
      </x:c>
      <x:c r="H912" s="34" t="str">
        <x:v>cycle-observation</x:v>
      </x:c>
      <x:c r="I912" s="36" t="n">
        <x:v>2</x:v>
      </x:c>
      <x:c r="J912" s="34" t="str">
        <x:v>tomcat-findleaks-occurrence</x:v>
      </x:c>
      <x:c r="K912" s="34" t="str">
        <x:v>afterFinalUndeploy.tomcatFindLeaksOccurrences</x:v>
      </x:c>
      <x:c r="L912" s="36" t="n">
        <x:v>7</x:v>
      </x:c>
      <x:c r="M912" s="34" t="str">
        <x:v>/jcs321</x:v>
      </x:c>
      <x:c r="N912" s="44" t="str">
        <x:v>/jcs321</x:v>
      </x:c>
    </x:row>
    <x:row r="913">
      <x:c r="A913" s="36" t="n">
        <x:v>912</x:v>
      </x:c>
      <x:c r="B913" s="34" t="str">
        <x:v>article1-unified-v4-2-fb3f101b-20260903-000401-default-f05-p1-jcs321</x:v>
      </x:c>
      <x:c r="C913" s="34" t="str">
        <x:v>default</x:v>
      </x:c>
      <x:c r="D913" s="34" t="str">
        <x:v>jcs321</x:v>
      </x:c>
      <x:c r="E913" s="36" t="n">
        <x:v>5</x:v>
      </x:c>
      <x:c r="F913" s="36" t="n">
        <x:v>5</x:v>
      </x:c>
      <x:c r="G913" s="36" t="n">
        <x:v>4</x:v>
      </x:c>
      <x:c r="H913" s="34" t="str">
        <x:v>cycle-observation</x:v>
      </x:c>
      <x:c r="I913" s="36" t="n">
        <x:v>2</x:v>
      </x:c>
      <x:c r="J913" s="34" t="str">
        <x:v>tomcat-findleaks-occurrence</x:v>
      </x:c>
      <x:c r="K913" s="34" t="str">
        <x:v>afterFinalUndeploy.tomcatFindLeaksOccurrences</x:v>
      </x:c>
      <x:c r="L913" s="36" t="n">
        <x:v>8</x:v>
      </x:c>
      <x:c r="M913" s="34" t="str">
        <x:v>/jcs321</x:v>
      </x:c>
      <x:c r="N913" s="44" t="str">
        <x:v>/jcs321</x:v>
      </x:c>
    </x:row>
    <x:row r="914">
      <x:c r="A914" s="36" t="n">
        <x:v>913</x:v>
      </x:c>
      <x:c r="B914" s="34" t="str">
        <x:v>article1-unified-v4-2-fb3f101b-20260903-000401-default-f05-p1-jcs321</x:v>
      </x:c>
      <x:c r="C914" s="34" t="str">
        <x:v>default</x:v>
      </x:c>
      <x:c r="D914" s="34" t="str">
        <x:v>jcs321</x:v>
      </x:c>
      <x:c r="E914" s="36" t="n">
        <x:v>5</x:v>
      </x:c>
      <x:c r="F914" s="36" t="n">
        <x:v>5</x:v>
      </x:c>
      <x:c r="G914" s="36" t="n">
        <x:v>5</x:v>
      </x:c>
      <x:c r="H914" s="34" t="str">
        <x:v>cycle-window</x:v>
      </x:c>
      <x:c r="I914" s="36" t="n">
        <x:v>1</x:v>
      </x:c>
      <x:c r="J914" s="34" t="str">
        <x:v>warning</x:v>
      </x:c>
      <x:c r="K914" s="34" t="str">
        <x:v>firstUndeployWarnings</x:v>
      </x:c>
      <x:c r="L914" s="36" t="n">
        <x:v>1</x:v>
      </x:c>
      <x:c r="M914" s="34"/>
      <x:c r="N914" s="44" t="str">
        <x:v>03-Sep-2026 01:30:32.499 WARNING [http-nio-8080-exec-46]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915">
      <x:c r="A915" s="36" t="n">
        <x:v>914</x:v>
      </x:c>
      <x:c r="B915" s="34" t="str">
        <x:v>article1-unified-v4-2-fb3f101b-20260903-000401-default-f05-p1-jcs321</x:v>
      </x:c>
      <x:c r="C915" s="34" t="str">
        <x:v>default</x:v>
      </x:c>
      <x:c r="D915" s="34" t="str">
        <x:v>jcs321</x:v>
      </x:c>
      <x:c r="E915" s="36" t="n">
        <x:v>5</x:v>
      </x:c>
      <x:c r="F915" s="36" t="n">
        <x:v>5</x:v>
      </x:c>
      <x:c r="G915" s="36" t="n">
        <x:v>5</x:v>
      </x:c>
      <x:c r="H915" s="34" t="str">
        <x:v>cycle-window</x:v>
      </x:c>
      <x:c r="I915" s="36" t="n">
        <x:v>1</x:v>
      </x:c>
      <x:c r="J915" s="34" t="str">
        <x:v>leak-warning</x:v>
      </x:c>
      <x:c r="K915" s="34" t="str">
        <x:v>firstUndeployLeakWarnings</x:v>
      </x:c>
      <x:c r="L915" s="36" t="n">
        <x:v>1</x:v>
      </x:c>
      <x:c r="M915" s="34"/>
      <x:c r="N915" s="44" t="str">
        <x:v>03-Sep-2026 01:30:32.499 WARNING [http-nio-8080-exec-46]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916">
      <x:c r="A916" s="36" t="n">
        <x:v>915</x:v>
      </x:c>
      <x:c r="B916" s="34" t="str">
        <x:v>article1-unified-v4-2-fb3f101b-20260903-000401-default-f05-p1-jcs321</x:v>
      </x:c>
      <x:c r="C916" s="34" t="str">
        <x:v>default</x:v>
      </x:c>
      <x:c r="D916" s="34" t="str">
        <x:v>jcs321</x:v>
      </x:c>
      <x:c r="E916" s="36" t="n">
        <x:v>5</x:v>
      </x:c>
      <x:c r="F916" s="36" t="n">
        <x:v>5</x:v>
      </x:c>
      <x:c r="G916" s="36" t="n">
        <x:v>5</x:v>
      </x:c>
      <x:c r="H916" s="34" t="str">
        <x:v>cycle-window</x:v>
      </x:c>
      <x:c r="I916" s="36" t="n">
        <x:v>1</x:v>
      </x:c>
      <x:c r="J916" s="34" t="str">
        <x:v>thread-leak-warning</x:v>
      </x:c>
      <x:c r="K916" s="34" t="str">
        <x:v>firstUndeployThreadLeakWarnings</x:v>
      </x:c>
      <x:c r="L916" s="36" t="n">
        <x:v>1</x:v>
      </x:c>
      <x:c r="M916" s="34"/>
      <x:c r="N916" s="44" t="str">
        <x:v>03-Sep-2026 01:30:32.499 WARNING [http-nio-8080-exec-46]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917">
      <x:c r="A917" s="36" t="n">
        <x:v>916</x:v>
      </x:c>
      <x:c r="B917" s="34" t="str">
        <x:v>article1-unified-v4-2-fb3f101b-20260903-000401-default-f05-p1-jcs321</x:v>
      </x:c>
      <x:c r="C917" s="34" t="str">
        <x:v>default</x:v>
      </x:c>
      <x:c r="D917" s="34" t="str">
        <x:v>jcs321</x:v>
      </x:c>
      <x:c r="E917" s="36" t="n">
        <x:v>5</x:v>
      </x:c>
      <x:c r="F917" s="36" t="n">
        <x:v>5</x:v>
      </x:c>
      <x:c r="G917" s="36" t="n">
        <x:v>5</x:v>
      </x:c>
      <x:c r="H917" s="34" t="str">
        <x:v>cycle-window</x:v>
      </x:c>
      <x:c r="I917" s="36" t="n">
        <x:v>2</x:v>
      </x:c>
      <x:c r="J917" s="34" t="str">
        <x:v>warning</x:v>
      </x:c>
      <x:c r="K917" s="34" t="str">
        <x:v>secondUndeployWarnings</x:v>
      </x:c>
      <x:c r="L917" s="36" t="n">
        <x:v>1</x:v>
      </x:c>
      <x:c r="M917" s="34"/>
      <x:c r="N917" s="44" t="str">
        <x:v>03-Sep-2026 01:31:15.101 WARNING [http-nio-8080-exec-58]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918">
      <x:c r="A918" s="36" t="n">
        <x:v>917</x:v>
      </x:c>
      <x:c r="B918" s="34" t="str">
        <x:v>article1-unified-v4-2-fb3f101b-20260903-000401-default-f05-p1-jcs321</x:v>
      </x:c>
      <x:c r="C918" s="34" t="str">
        <x:v>default</x:v>
      </x:c>
      <x:c r="D918" s="34" t="str">
        <x:v>jcs321</x:v>
      </x:c>
      <x:c r="E918" s="36" t="n">
        <x:v>5</x:v>
      </x:c>
      <x:c r="F918" s="36" t="n">
        <x:v>5</x:v>
      </x:c>
      <x:c r="G918" s="36" t="n">
        <x:v>5</x:v>
      </x:c>
      <x:c r="H918" s="34" t="str">
        <x:v>cycle-window</x:v>
      </x:c>
      <x:c r="I918" s="36" t="n">
        <x:v>2</x:v>
      </x:c>
      <x:c r="J918" s="34" t="str">
        <x:v>leak-warning</x:v>
      </x:c>
      <x:c r="K918" s="34" t="str">
        <x:v>secondUndeployLeakWarnings</x:v>
      </x:c>
      <x:c r="L918" s="36" t="n">
        <x:v>1</x:v>
      </x:c>
      <x:c r="M918" s="34"/>
      <x:c r="N918" s="44" t="str">
        <x:v>03-Sep-2026 01:31:15.101 WARNING [http-nio-8080-exec-58]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919">
      <x:c r="A919" s="36" t="n">
        <x:v>918</x:v>
      </x:c>
      <x:c r="B919" s="34" t="str">
        <x:v>article1-unified-v4-2-fb3f101b-20260903-000401-default-f05-p1-jcs321</x:v>
      </x:c>
      <x:c r="C919" s="34" t="str">
        <x:v>default</x:v>
      </x:c>
      <x:c r="D919" s="34" t="str">
        <x:v>jcs321</x:v>
      </x:c>
      <x:c r="E919" s="36" t="n">
        <x:v>5</x:v>
      </x:c>
      <x:c r="F919" s="36" t="n">
        <x:v>5</x:v>
      </x:c>
      <x:c r="G919" s="36" t="n">
        <x:v>5</x:v>
      </x:c>
      <x:c r="H919" s="34" t="str">
        <x:v>cycle-window</x:v>
      </x:c>
      <x:c r="I919" s="36" t="n">
        <x:v>2</x:v>
      </x:c>
      <x:c r="J919" s="34" t="str">
        <x:v>thread-leak-warning</x:v>
      </x:c>
      <x:c r="K919" s="34" t="str">
        <x:v>secondUndeployThreadLeakWarnings</x:v>
      </x:c>
      <x:c r="L919" s="36" t="n">
        <x:v>1</x:v>
      </x:c>
      <x:c r="M919" s="34"/>
      <x:c r="N919" s="44" t="str">
        <x:v>03-Sep-2026 01:31:15.101 WARNING [http-nio-8080-exec-58]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920">
      <x:c r="A920" s="36" t="n">
        <x:v>919</x:v>
      </x:c>
      <x:c r="B920" s="34" t="str">
        <x:v>article1-unified-v4-2-fb3f101b-20260903-000401-default-f05-p1-jcs321</x:v>
      </x:c>
      <x:c r="C920" s="34" t="str">
        <x:v>default</x:v>
      </x:c>
      <x:c r="D920" s="34" t="str">
        <x:v>jcs321</x:v>
      </x:c>
      <x:c r="E920" s="36" t="n">
        <x:v>5</x:v>
      </x:c>
      <x:c r="F920" s="36" t="n">
        <x:v>5</x:v>
      </x:c>
      <x:c r="G920" s="36" t="n">
        <x:v>5</x:v>
      </x:c>
      <x:c r="H920" s="34" t="str">
        <x:v>cycle-observation</x:v>
      </x:c>
      <x:c r="I920" s="36" t="n">
        <x:v>1</x:v>
      </x:c>
      <x:c r="J920" s="34" t="str">
        <x:v>tomcat-findleaks-occurrence</x:v>
      </x:c>
      <x:c r="K920" s="34" t="str">
        <x:v>afterUndeploy.tomcatFindLeaksOccurrences</x:v>
      </x:c>
      <x:c r="L920" s="36" t="n">
        <x:v>1</x:v>
      </x:c>
      <x:c r="M920" s="34" t="str">
        <x:v>/jcs321</x:v>
      </x:c>
      <x:c r="N920" s="44" t="str">
        <x:v>/jcs321</x:v>
      </x:c>
    </x:row>
    <x:row r="921">
      <x:c r="A921" s="36" t="n">
        <x:v>920</x:v>
      </x:c>
      <x:c r="B921" s="34" t="str">
        <x:v>article1-unified-v4-2-fb3f101b-20260903-000401-default-f05-p1-jcs321</x:v>
      </x:c>
      <x:c r="C921" s="34" t="str">
        <x:v>default</x:v>
      </x:c>
      <x:c r="D921" s="34" t="str">
        <x:v>jcs321</x:v>
      </x:c>
      <x:c r="E921" s="36" t="n">
        <x:v>5</x:v>
      </x:c>
      <x:c r="F921" s="36" t="n">
        <x:v>5</x:v>
      </x:c>
      <x:c r="G921" s="36" t="n">
        <x:v>5</x:v>
      </x:c>
      <x:c r="H921" s="34" t="str">
        <x:v>cycle-observation</x:v>
      </x:c>
      <x:c r="I921" s="36" t="n">
        <x:v>1</x:v>
      </x:c>
      <x:c r="J921" s="34" t="str">
        <x:v>tomcat-findleaks-occurrence</x:v>
      </x:c>
      <x:c r="K921" s="34" t="str">
        <x:v>afterUndeploy.tomcatFindLeaksOccurrences</x:v>
      </x:c>
      <x:c r="L921" s="36" t="n">
        <x:v>2</x:v>
      </x:c>
      <x:c r="M921" s="34" t="str">
        <x:v>/jcs321</x:v>
      </x:c>
      <x:c r="N921" s="44" t="str">
        <x:v>/jcs321</x:v>
      </x:c>
    </x:row>
    <x:row r="922">
      <x:c r="A922" s="36" t="n">
        <x:v>921</x:v>
      </x:c>
      <x:c r="B922" s="34" t="str">
        <x:v>article1-unified-v4-2-fb3f101b-20260903-000401-default-f05-p1-jcs321</x:v>
      </x:c>
      <x:c r="C922" s="34" t="str">
        <x:v>default</x:v>
      </x:c>
      <x:c r="D922" s="34" t="str">
        <x:v>jcs321</x:v>
      </x:c>
      <x:c r="E922" s="36" t="n">
        <x:v>5</x:v>
      </x:c>
      <x:c r="F922" s="36" t="n">
        <x:v>5</x:v>
      </x:c>
      <x:c r="G922" s="36" t="n">
        <x:v>5</x:v>
      </x:c>
      <x:c r="H922" s="34" t="str">
        <x:v>cycle-observation</x:v>
      </x:c>
      <x:c r="I922" s="36" t="n">
        <x:v>1</x:v>
      </x:c>
      <x:c r="J922" s="34" t="str">
        <x:v>tomcat-findleaks-occurrence</x:v>
      </x:c>
      <x:c r="K922" s="34" t="str">
        <x:v>afterUndeploy.tomcatFindLeaksOccurrences</x:v>
      </x:c>
      <x:c r="L922" s="36" t="n">
        <x:v>3</x:v>
      </x:c>
      <x:c r="M922" s="34" t="str">
        <x:v>/jcs321</x:v>
      </x:c>
      <x:c r="N922" s="44" t="str">
        <x:v>/jcs321</x:v>
      </x:c>
    </x:row>
    <x:row r="923">
      <x:c r="A923" s="36" t="n">
        <x:v>922</x:v>
      </x:c>
      <x:c r="B923" s="34" t="str">
        <x:v>article1-unified-v4-2-fb3f101b-20260903-000401-default-f05-p1-jcs321</x:v>
      </x:c>
      <x:c r="C923" s="34" t="str">
        <x:v>default</x:v>
      </x:c>
      <x:c r="D923" s="34" t="str">
        <x:v>jcs321</x:v>
      </x:c>
      <x:c r="E923" s="36" t="n">
        <x:v>5</x:v>
      </x:c>
      <x:c r="F923" s="36" t="n">
        <x:v>5</x:v>
      </x:c>
      <x:c r="G923" s="36" t="n">
        <x:v>5</x:v>
      </x:c>
      <x:c r="H923" s="34" t="str">
        <x:v>cycle-observation</x:v>
      </x:c>
      <x:c r="I923" s="36" t="n">
        <x:v>1</x:v>
      </x:c>
      <x:c r="J923" s="34" t="str">
        <x:v>tomcat-findleaks-occurrence</x:v>
      </x:c>
      <x:c r="K923" s="34" t="str">
        <x:v>afterUndeploy.tomcatFindLeaksOccurrences</x:v>
      </x:c>
      <x:c r="L923" s="36" t="n">
        <x:v>4</x:v>
      </x:c>
      <x:c r="M923" s="34" t="str">
        <x:v>/jcs321</x:v>
      </x:c>
      <x:c r="N923" s="44" t="str">
        <x:v>/jcs321</x:v>
      </x:c>
    </x:row>
    <x:row r="924">
      <x:c r="A924" s="36" t="n">
        <x:v>923</x:v>
      </x:c>
      <x:c r="B924" s="34" t="str">
        <x:v>article1-unified-v4-2-fb3f101b-20260903-000401-default-f05-p1-jcs321</x:v>
      </x:c>
      <x:c r="C924" s="34" t="str">
        <x:v>default</x:v>
      </x:c>
      <x:c r="D924" s="34" t="str">
        <x:v>jcs321</x:v>
      </x:c>
      <x:c r="E924" s="36" t="n">
        <x:v>5</x:v>
      </x:c>
      <x:c r="F924" s="36" t="n">
        <x:v>5</x:v>
      </x:c>
      <x:c r="G924" s="36" t="n">
        <x:v>5</x:v>
      </x:c>
      <x:c r="H924" s="34" t="str">
        <x:v>cycle-observation</x:v>
      </x:c>
      <x:c r="I924" s="36" t="n">
        <x:v>1</x:v>
      </x:c>
      <x:c r="J924" s="34" t="str">
        <x:v>tomcat-findleaks-occurrence</x:v>
      </x:c>
      <x:c r="K924" s="34" t="str">
        <x:v>afterUndeploy.tomcatFindLeaksOccurrences</x:v>
      </x:c>
      <x:c r="L924" s="36" t="n">
        <x:v>5</x:v>
      </x:c>
      <x:c r="M924" s="34" t="str">
        <x:v>/jcs321</x:v>
      </x:c>
      <x:c r="N924" s="44" t="str">
        <x:v>/jcs321</x:v>
      </x:c>
    </x:row>
    <x:row r="925">
      <x:c r="A925" s="36" t="n">
        <x:v>924</x:v>
      </x:c>
      <x:c r="B925" s="34" t="str">
        <x:v>article1-unified-v4-2-fb3f101b-20260903-000401-default-f05-p1-jcs321</x:v>
      </x:c>
      <x:c r="C925" s="34" t="str">
        <x:v>default</x:v>
      </x:c>
      <x:c r="D925" s="34" t="str">
        <x:v>jcs321</x:v>
      </x:c>
      <x:c r="E925" s="36" t="n">
        <x:v>5</x:v>
      </x:c>
      <x:c r="F925" s="36" t="n">
        <x:v>5</x:v>
      </x:c>
      <x:c r="G925" s="36" t="n">
        <x:v>5</x:v>
      </x:c>
      <x:c r="H925" s="34" t="str">
        <x:v>cycle-observation</x:v>
      </x:c>
      <x:c r="I925" s="36" t="n">
        <x:v>1</x:v>
      </x:c>
      <x:c r="J925" s="34" t="str">
        <x:v>tomcat-findleaks-occurrence</x:v>
      </x:c>
      <x:c r="K925" s="34" t="str">
        <x:v>afterUndeploy.tomcatFindLeaksOccurrences</x:v>
      </x:c>
      <x:c r="L925" s="36" t="n">
        <x:v>6</x:v>
      </x:c>
      <x:c r="M925" s="34" t="str">
        <x:v>/jcs321</x:v>
      </x:c>
      <x:c r="N925" s="44" t="str">
        <x:v>/jcs321</x:v>
      </x:c>
    </x:row>
    <x:row r="926">
      <x:c r="A926" s="36" t="n">
        <x:v>925</x:v>
      </x:c>
      <x:c r="B926" s="34" t="str">
        <x:v>article1-unified-v4-2-fb3f101b-20260903-000401-default-f05-p1-jcs321</x:v>
      </x:c>
      <x:c r="C926" s="34" t="str">
        <x:v>default</x:v>
      </x:c>
      <x:c r="D926" s="34" t="str">
        <x:v>jcs321</x:v>
      </x:c>
      <x:c r="E926" s="36" t="n">
        <x:v>5</x:v>
      </x:c>
      <x:c r="F926" s="36" t="n">
        <x:v>5</x:v>
      </x:c>
      <x:c r="G926" s="36" t="n">
        <x:v>5</x:v>
      </x:c>
      <x:c r="H926" s="34" t="str">
        <x:v>cycle-observation</x:v>
      </x:c>
      <x:c r="I926" s="36" t="n">
        <x:v>1</x:v>
      </x:c>
      <x:c r="J926" s="34" t="str">
        <x:v>tomcat-findleaks-occurrence</x:v>
      </x:c>
      <x:c r="K926" s="34" t="str">
        <x:v>afterUndeploy.tomcatFindLeaksOccurrences</x:v>
      </x:c>
      <x:c r="L926" s="36" t="n">
        <x:v>7</x:v>
      </x:c>
      <x:c r="M926" s="34" t="str">
        <x:v>/jcs321</x:v>
      </x:c>
      <x:c r="N926" s="44" t="str">
        <x:v>/jcs321</x:v>
      </x:c>
    </x:row>
    <x:row r="927">
      <x:c r="A927" s="36" t="n">
        <x:v>926</x:v>
      </x:c>
      <x:c r="B927" s="34" t="str">
        <x:v>article1-unified-v4-2-fb3f101b-20260903-000401-default-f05-p1-jcs321</x:v>
      </x:c>
      <x:c r="C927" s="34" t="str">
        <x:v>default</x:v>
      </x:c>
      <x:c r="D927" s="34" t="str">
        <x:v>jcs321</x:v>
      </x:c>
      <x:c r="E927" s="36" t="n">
        <x:v>5</x:v>
      </x:c>
      <x:c r="F927" s="36" t="n">
        <x:v>5</x:v>
      </x:c>
      <x:c r="G927" s="36" t="n">
        <x:v>5</x:v>
      </x:c>
      <x:c r="H927" s="34" t="str">
        <x:v>cycle-observation</x:v>
      </x:c>
      <x:c r="I927" s="36" t="n">
        <x:v>1</x:v>
      </x:c>
      <x:c r="J927" s="34" t="str">
        <x:v>tomcat-findleaks-occurrence</x:v>
      </x:c>
      <x:c r="K927" s="34" t="str">
        <x:v>afterUndeploy.tomcatFindLeaksOccurrences</x:v>
      </x:c>
      <x:c r="L927" s="36" t="n">
        <x:v>8</x:v>
      </x:c>
      <x:c r="M927" s="34" t="str">
        <x:v>/jcs321</x:v>
      </x:c>
      <x:c r="N927" s="44" t="str">
        <x:v>/jcs321</x:v>
      </x:c>
    </x:row>
    <x:row r="928">
      <x:c r="A928" s="36" t="n">
        <x:v>927</x:v>
      </x:c>
      <x:c r="B928" s="34" t="str">
        <x:v>article1-unified-v4-2-fb3f101b-20260903-000401-default-f05-p1-jcs321</x:v>
      </x:c>
      <x:c r="C928" s="34" t="str">
        <x:v>default</x:v>
      </x:c>
      <x:c r="D928" s="34" t="str">
        <x:v>jcs321</x:v>
      </x:c>
      <x:c r="E928" s="36" t="n">
        <x:v>5</x:v>
      </x:c>
      <x:c r="F928" s="36" t="n">
        <x:v>5</x:v>
      </x:c>
      <x:c r="G928" s="36" t="n">
        <x:v>5</x:v>
      </x:c>
      <x:c r="H928" s="34" t="str">
        <x:v>cycle-observation</x:v>
      </x:c>
      <x:c r="I928" s="36" t="n">
        <x:v>1</x:v>
      </x:c>
      <x:c r="J928" s="34" t="str">
        <x:v>tomcat-findleaks-occurrence</x:v>
      </x:c>
      <x:c r="K928" s="34" t="str">
        <x:v>afterUndeploy.tomcatFindLeaksOccurrences</x:v>
      </x:c>
      <x:c r="L928" s="36" t="n">
        <x:v>9</x:v>
      </x:c>
      <x:c r="M928" s="34" t="str">
        <x:v>/jcs321</x:v>
      </x:c>
      <x:c r="N928" s="44" t="str">
        <x:v>/jcs321</x:v>
      </x:c>
    </x:row>
    <x:row r="929">
      <x:c r="A929" s="36" t="n">
        <x:v>928</x:v>
      </x:c>
      <x:c r="B929" s="34" t="str">
        <x:v>article1-unified-v4-2-fb3f101b-20260903-000401-default-f05-p1-jcs321</x:v>
      </x:c>
      <x:c r="C929" s="34" t="str">
        <x:v>default</x:v>
      </x:c>
      <x:c r="D929" s="34" t="str">
        <x:v>jcs321</x:v>
      </x:c>
      <x:c r="E929" s="36" t="n">
        <x:v>5</x:v>
      </x:c>
      <x:c r="F929" s="36" t="n">
        <x:v>5</x:v>
      </x:c>
      <x:c r="G929" s="36" t="n">
        <x:v>5</x:v>
      </x:c>
      <x:c r="H929" s="34" t="str">
        <x:v>cycle-observation</x:v>
      </x:c>
      <x:c r="I929" s="36" t="n">
        <x:v>2</x:v>
      </x:c>
      <x:c r="J929" s="34" t="str">
        <x:v>tomcat-findleaks-occurrence</x:v>
      </x:c>
      <x:c r="K929" s="34" t="str">
        <x:v>afterFinalUndeploy.tomcatFindLeaksOccurrences</x:v>
      </x:c>
      <x:c r="L929" s="36" t="n">
        <x:v>1</x:v>
      </x:c>
      <x:c r="M929" s="34" t="str">
        <x:v>/jcs321</x:v>
      </x:c>
      <x:c r="N929" s="44" t="str">
        <x:v>/jcs321</x:v>
      </x:c>
    </x:row>
    <x:row r="930">
      <x:c r="A930" s="36" t="n">
        <x:v>929</x:v>
      </x:c>
      <x:c r="B930" s="34" t="str">
        <x:v>article1-unified-v4-2-fb3f101b-20260903-000401-default-f05-p1-jcs321</x:v>
      </x:c>
      <x:c r="C930" s="34" t="str">
        <x:v>default</x:v>
      </x:c>
      <x:c r="D930" s="34" t="str">
        <x:v>jcs321</x:v>
      </x:c>
      <x:c r="E930" s="36" t="n">
        <x:v>5</x:v>
      </x:c>
      <x:c r="F930" s="36" t="n">
        <x:v>5</x:v>
      </x:c>
      <x:c r="G930" s="36" t="n">
        <x:v>5</x:v>
      </x:c>
      <x:c r="H930" s="34" t="str">
        <x:v>cycle-observation</x:v>
      </x:c>
      <x:c r="I930" s="36" t="n">
        <x:v>2</x:v>
      </x:c>
      <x:c r="J930" s="34" t="str">
        <x:v>tomcat-findleaks-occurrence</x:v>
      </x:c>
      <x:c r="K930" s="34" t="str">
        <x:v>afterFinalUndeploy.tomcatFindLeaksOccurrences</x:v>
      </x:c>
      <x:c r="L930" s="36" t="n">
        <x:v>2</x:v>
      </x:c>
      <x:c r="M930" s="34" t="str">
        <x:v>/jcs321</x:v>
      </x:c>
      <x:c r="N930" s="44" t="str">
        <x:v>/jcs321</x:v>
      </x:c>
    </x:row>
    <x:row r="931">
      <x:c r="A931" s="36" t="n">
        <x:v>930</x:v>
      </x:c>
      <x:c r="B931" s="34" t="str">
        <x:v>article1-unified-v4-2-fb3f101b-20260903-000401-default-f05-p1-jcs321</x:v>
      </x:c>
      <x:c r="C931" s="34" t="str">
        <x:v>default</x:v>
      </x:c>
      <x:c r="D931" s="34" t="str">
        <x:v>jcs321</x:v>
      </x:c>
      <x:c r="E931" s="36" t="n">
        <x:v>5</x:v>
      </x:c>
      <x:c r="F931" s="36" t="n">
        <x:v>5</x:v>
      </x:c>
      <x:c r="G931" s="36" t="n">
        <x:v>5</x:v>
      </x:c>
      <x:c r="H931" s="34" t="str">
        <x:v>cycle-observation</x:v>
      </x:c>
      <x:c r="I931" s="36" t="n">
        <x:v>2</x:v>
      </x:c>
      <x:c r="J931" s="34" t="str">
        <x:v>tomcat-findleaks-occurrence</x:v>
      </x:c>
      <x:c r="K931" s="34" t="str">
        <x:v>afterFinalUndeploy.tomcatFindLeaksOccurrences</x:v>
      </x:c>
      <x:c r="L931" s="36" t="n">
        <x:v>3</x:v>
      </x:c>
      <x:c r="M931" s="34" t="str">
        <x:v>/jcs321</x:v>
      </x:c>
      <x:c r="N931" s="44" t="str">
        <x:v>/jcs321</x:v>
      </x:c>
    </x:row>
    <x:row r="932">
      <x:c r="A932" s="36" t="n">
        <x:v>931</x:v>
      </x:c>
      <x:c r="B932" s="34" t="str">
        <x:v>article1-unified-v4-2-fb3f101b-20260903-000401-default-f05-p1-jcs321</x:v>
      </x:c>
      <x:c r="C932" s="34" t="str">
        <x:v>default</x:v>
      </x:c>
      <x:c r="D932" s="34" t="str">
        <x:v>jcs321</x:v>
      </x:c>
      <x:c r="E932" s="36" t="n">
        <x:v>5</x:v>
      </x:c>
      <x:c r="F932" s="36" t="n">
        <x:v>5</x:v>
      </x:c>
      <x:c r="G932" s="36" t="n">
        <x:v>5</x:v>
      </x:c>
      <x:c r="H932" s="34" t="str">
        <x:v>cycle-observation</x:v>
      </x:c>
      <x:c r="I932" s="36" t="n">
        <x:v>2</x:v>
      </x:c>
      <x:c r="J932" s="34" t="str">
        <x:v>tomcat-findleaks-occurrence</x:v>
      </x:c>
      <x:c r="K932" s="34" t="str">
        <x:v>afterFinalUndeploy.tomcatFindLeaksOccurrences</x:v>
      </x:c>
      <x:c r="L932" s="36" t="n">
        <x:v>4</x:v>
      </x:c>
      <x:c r="M932" s="34" t="str">
        <x:v>/jcs321</x:v>
      </x:c>
      <x:c r="N932" s="44" t="str">
        <x:v>/jcs321</x:v>
      </x:c>
    </x:row>
    <x:row r="933">
      <x:c r="A933" s="36" t="n">
        <x:v>932</x:v>
      </x:c>
      <x:c r="B933" s="34" t="str">
        <x:v>article1-unified-v4-2-fb3f101b-20260903-000401-default-f05-p1-jcs321</x:v>
      </x:c>
      <x:c r="C933" s="34" t="str">
        <x:v>default</x:v>
      </x:c>
      <x:c r="D933" s="34" t="str">
        <x:v>jcs321</x:v>
      </x:c>
      <x:c r="E933" s="36" t="n">
        <x:v>5</x:v>
      </x:c>
      <x:c r="F933" s="36" t="n">
        <x:v>5</x:v>
      </x:c>
      <x:c r="G933" s="36" t="n">
        <x:v>5</x:v>
      </x:c>
      <x:c r="H933" s="34" t="str">
        <x:v>cycle-observation</x:v>
      </x:c>
      <x:c r="I933" s="36" t="n">
        <x:v>2</x:v>
      </x:c>
      <x:c r="J933" s="34" t="str">
        <x:v>tomcat-findleaks-occurrence</x:v>
      </x:c>
      <x:c r="K933" s="34" t="str">
        <x:v>afterFinalUndeploy.tomcatFindLeaksOccurrences</x:v>
      </x:c>
      <x:c r="L933" s="36" t="n">
        <x:v>5</x:v>
      </x:c>
      <x:c r="M933" s="34" t="str">
        <x:v>/jcs321</x:v>
      </x:c>
      <x:c r="N933" s="44" t="str">
        <x:v>/jcs321</x:v>
      </x:c>
    </x:row>
    <x:row r="934">
      <x:c r="A934" s="36" t="n">
        <x:v>933</x:v>
      </x:c>
      <x:c r="B934" s="34" t="str">
        <x:v>article1-unified-v4-2-fb3f101b-20260903-000401-default-f05-p1-jcs321</x:v>
      </x:c>
      <x:c r="C934" s="34" t="str">
        <x:v>default</x:v>
      </x:c>
      <x:c r="D934" s="34" t="str">
        <x:v>jcs321</x:v>
      </x:c>
      <x:c r="E934" s="36" t="n">
        <x:v>5</x:v>
      </x:c>
      <x:c r="F934" s="36" t="n">
        <x:v>5</x:v>
      </x:c>
      <x:c r="G934" s="36" t="n">
        <x:v>5</x:v>
      </x:c>
      <x:c r="H934" s="34" t="str">
        <x:v>cycle-observation</x:v>
      </x:c>
      <x:c r="I934" s="36" t="n">
        <x:v>2</x:v>
      </x:c>
      <x:c r="J934" s="34" t="str">
        <x:v>tomcat-findleaks-occurrence</x:v>
      </x:c>
      <x:c r="K934" s="34" t="str">
        <x:v>afterFinalUndeploy.tomcatFindLeaksOccurrences</x:v>
      </x:c>
      <x:c r="L934" s="36" t="n">
        <x:v>6</x:v>
      </x:c>
      <x:c r="M934" s="34" t="str">
        <x:v>/jcs321</x:v>
      </x:c>
      <x:c r="N934" s="44" t="str">
        <x:v>/jcs321</x:v>
      </x:c>
    </x:row>
    <x:row r="935">
      <x:c r="A935" s="36" t="n">
        <x:v>934</x:v>
      </x:c>
      <x:c r="B935" s="34" t="str">
        <x:v>article1-unified-v4-2-fb3f101b-20260903-000401-default-f05-p1-jcs321</x:v>
      </x:c>
      <x:c r="C935" s="34" t="str">
        <x:v>default</x:v>
      </x:c>
      <x:c r="D935" s="34" t="str">
        <x:v>jcs321</x:v>
      </x:c>
      <x:c r="E935" s="36" t="n">
        <x:v>5</x:v>
      </x:c>
      <x:c r="F935" s="36" t="n">
        <x:v>5</x:v>
      </x:c>
      <x:c r="G935" s="36" t="n">
        <x:v>5</x:v>
      </x:c>
      <x:c r="H935" s="34" t="str">
        <x:v>cycle-observation</x:v>
      </x:c>
      <x:c r="I935" s="36" t="n">
        <x:v>2</x:v>
      </x:c>
      <x:c r="J935" s="34" t="str">
        <x:v>tomcat-findleaks-occurrence</x:v>
      </x:c>
      <x:c r="K935" s="34" t="str">
        <x:v>afterFinalUndeploy.tomcatFindLeaksOccurrences</x:v>
      </x:c>
      <x:c r="L935" s="36" t="n">
        <x:v>7</x:v>
      </x:c>
      <x:c r="M935" s="34" t="str">
        <x:v>/jcs321</x:v>
      </x:c>
      <x:c r="N935" s="44" t="str">
        <x:v>/jcs321</x:v>
      </x:c>
    </x:row>
    <x:row r="936">
      <x:c r="A936" s="36" t="n">
        <x:v>935</x:v>
      </x:c>
      <x:c r="B936" s="34" t="str">
        <x:v>article1-unified-v4-2-fb3f101b-20260903-000401-default-f05-p1-jcs321</x:v>
      </x:c>
      <x:c r="C936" s="34" t="str">
        <x:v>default</x:v>
      </x:c>
      <x:c r="D936" s="34" t="str">
        <x:v>jcs321</x:v>
      </x:c>
      <x:c r="E936" s="36" t="n">
        <x:v>5</x:v>
      </x:c>
      <x:c r="F936" s="36" t="n">
        <x:v>5</x:v>
      </x:c>
      <x:c r="G936" s="36" t="n">
        <x:v>5</x:v>
      </x:c>
      <x:c r="H936" s="34" t="str">
        <x:v>cycle-observation</x:v>
      </x:c>
      <x:c r="I936" s="36" t="n">
        <x:v>2</x:v>
      </x:c>
      <x:c r="J936" s="34" t="str">
        <x:v>tomcat-findleaks-occurrence</x:v>
      </x:c>
      <x:c r="K936" s="34" t="str">
        <x:v>afterFinalUndeploy.tomcatFindLeaksOccurrences</x:v>
      </x:c>
      <x:c r="L936" s="36" t="n">
        <x:v>8</x:v>
      </x:c>
      <x:c r="M936" s="34" t="str">
        <x:v>/jcs321</x:v>
      </x:c>
      <x:c r="N936" s="44" t="str">
        <x:v>/jcs321</x:v>
      </x:c>
    </x:row>
    <x:row r="937">
      <x:c r="A937" s="36" t="n">
        <x:v>936</x:v>
      </x:c>
      <x:c r="B937" s="34" t="str">
        <x:v>article1-unified-v4-2-fb3f101b-20260903-000401-default-f05-p1-jcs321</x:v>
      </x:c>
      <x:c r="C937" s="34" t="str">
        <x:v>default</x:v>
      </x:c>
      <x:c r="D937" s="34" t="str">
        <x:v>jcs321</x:v>
      </x:c>
      <x:c r="E937" s="36" t="n">
        <x:v>5</x:v>
      </x:c>
      <x:c r="F937" s="36" t="n">
        <x:v>5</x:v>
      </x:c>
      <x:c r="G937" s="36" t="n">
        <x:v>5</x:v>
      </x:c>
      <x:c r="H937" s="34" t="str">
        <x:v>cycle-observation</x:v>
      </x:c>
      <x:c r="I937" s="36" t="n">
        <x:v>2</x:v>
      </x:c>
      <x:c r="J937" s="34" t="str">
        <x:v>tomcat-findleaks-occurrence</x:v>
      </x:c>
      <x:c r="K937" s="34" t="str">
        <x:v>afterFinalUndeploy.tomcatFindLeaksOccurrences</x:v>
      </x:c>
      <x:c r="L937" s="36" t="n">
        <x:v>9</x:v>
      </x:c>
      <x:c r="M937" s="34" t="str">
        <x:v>/jcs321</x:v>
      </x:c>
      <x:c r="N937" s="44" t="str">
        <x:v>/jcs321</x:v>
      </x:c>
    </x:row>
    <x:row r="938">
      <x:c r="A938" s="36" t="n">
        <x:v>937</x:v>
      </x:c>
      <x:c r="B938" s="34" t="str">
        <x:v>article1-unified-v4-2-fb3f101b-20260903-000401-default-f05-p1-jcs321</x:v>
      </x:c>
      <x:c r="C938" s="34" t="str">
        <x:v>default</x:v>
      </x:c>
      <x:c r="D938" s="34" t="str">
        <x:v>jcs321</x:v>
      </x:c>
      <x:c r="E938" s="36" t="n">
        <x:v>5</x:v>
      </x:c>
      <x:c r="F938" s="36" t="n">
        <x:v>5</x:v>
      </x:c>
      <x:c r="G938" s="36" t="n">
        <x:v>5</x:v>
      </x:c>
      <x:c r="H938" s="34" t="str">
        <x:v>cycle-observation</x:v>
      </x:c>
      <x:c r="I938" s="36" t="n">
        <x:v>2</x:v>
      </x:c>
      <x:c r="J938" s="34" t="str">
        <x:v>tomcat-findleaks-occurrence</x:v>
      </x:c>
      <x:c r="K938" s="34" t="str">
        <x:v>afterFinalUndeploy.tomcatFindLeaksOccurrences</x:v>
      </x:c>
      <x:c r="L938" s="36" t="n">
        <x:v>10</x:v>
      </x:c>
      <x:c r="M938" s="34" t="str">
        <x:v>/jcs321</x:v>
      </x:c>
      <x:c r="N938" s="44" t="str">
        <x:v>/jcs321</x:v>
      </x:c>
    </x:row>
    <x:row r="939">
      <x:c r="A939" s="36" t="n">
        <x:v>938</x:v>
      </x:c>
      <x:c r="B939" s="34" t="str">
        <x:v>article1-unified-v4-2-fb3f101b-20260903-000401-default-f05-p2-nostore</x:v>
      </x:c>
      <x:c r="C939" s="34" t="str">
        <x:v>default</x:v>
      </x:c>
      <x:c r="D939" s="34" t="str">
        <x:v>nostore</x:v>
      </x:c>
      <x:c r="E939" s="36" t="n">
        <x:v>5</x:v>
      </x:c>
      <x:c r="F939" s="36" t="n">
        <x:v>5</x:v>
      </x:c>
      <x:c r="G939" s="36" t="n">
        <x:v>1</x:v>
      </x:c>
      <x:c r="H939" s="34" t="str">
        <x:v>cycle-observation</x:v>
      </x:c>
      <x:c r="I939" s="36" t="n">
        <x:v>1</x:v>
      </x:c>
      <x:c r="J939" s="34" t="str">
        <x:v>tomcat-findleaks-occurrence</x:v>
      </x:c>
      <x:c r="K939" s="34" t="str">
        <x:v>afterUndeploy.tomcatFindLeaksOccurrences</x:v>
      </x:c>
      <x:c r="L939" s="36" t="n">
        <x:v>1</x:v>
      </x:c>
      <x:c r="M939" s="34" t="str">
        <x:v>/nostore</x:v>
      </x:c>
      <x:c r="N939" s="44" t="str">
        <x:v>/nostore</x:v>
      </x:c>
    </x:row>
    <x:row r="940">
      <x:c r="A940" s="36" t="n">
        <x:v>939</x:v>
      </x:c>
      <x:c r="B940" s="34" t="str">
        <x:v>article1-unified-v4-2-fb3f101b-20260903-000401-default-f05-p2-nostore</x:v>
      </x:c>
      <x:c r="C940" s="34" t="str">
        <x:v>default</x:v>
      </x:c>
      <x:c r="D940" s="34" t="str">
        <x:v>nostore</x:v>
      </x:c>
      <x:c r="E940" s="36" t="n">
        <x:v>5</x:v>
      </x:c>
      <x:c r="F940" s="36" t="n">
        <x:v>5</x:v>
      </x:c>
      <x:c r="G940" s="36" t="n">
        <x:v>1</x:v>
      </x:c>
      <x:c r="H940" s="34" t="str">
        <x:v>cycle-observation</x:v>
      </x:c>
      <x:c r="I940" s="36" t="n">
        <x:v>2</x:v>
      </x:c>
      <x:c r="J940" s="34" t="str">
        <x:v>tomcat-findleaks-occurrence</x:v>
      </x:c>
      <x:c r="K940" s="34" t="str">
        <x:v>afterFinalUndeploy.tomcatFindLeaksOccurrences</x:v>
      </x:c>
      <x:c r="L940" s="36" t="n">
        <x:v>1</x:v>
      </x:c>
      <x:c r="M940" s="34" t="str">
        <x:v>/nostore</x:v>
      </x:c>
      <x:c r="N940" s="44" t="str">
        <x:v>/nostore</x:v>
      </x:c>
    </x:row>
    <x:row r="941">
      <x:c r="A941" s="36" t="n">
        <x:v>940</x:v>
      </x:c>
      <x:c r="B941" s="34" t="str">
        <x:v>article1-unified-v4-2-fb3f101b-20260903-000401-default-f05-p2-nostore</x:v>
      </x:c>
      <x:c r="C941" s="34" t="str">
        <x:v>default</x:v>
      </x:c>
      <x:c r="D941" s="34" t="str">
        <x:v>nostore</x:v>
      </x:c>
      <x:c r="E941" s="36" t="n">
        <x:v>5</x:v>
      </x:c>
      <x:c r="F941" s="36" t="n">
        <x:v>5</x:v>
      </x:c>
      <x:c r="G941" s="36" t="n">
        <x:v>2</x:v>
      </x:c>
      <x:c r="H941" s="34" t="str">
        <x:v>cycle-observation</x:v>
      </x:c>
      <x:c r="I941" s="36" t="n">
        <x:v>1</x:v>
      </x:c>
      <x:c r="J941" s="34" t="str">
        <x:v>tomcat-findleaks-occurrence</x:v>
      </x:c>
      <x:c r="K941" s="34" t="str">
        <x:v>afterUndeploy.tomcatFindLeaksOccurrences</x:v>
      </x:c>
      <x:c r="L941" s="36" t="n">
        <x:v>1</x:v>
      </x:c>
      <x:c r="M941" s="34" t="str">
        <x:v>/nostore</x:v>
      </x:c>
      <x:c r="N941" s="44" t="str">
        <x:v>/nostore</x:v>
      </x:c>
    </x:row>
    <x:row r="942">
      <x:c r="A942" s="36" t="n">
        <x:v>941</x:v>
      </x:c>
      <x:c r="B942" s="34" t="str">
        <x:v>article1-unified-v4-2-fb3f101b-20260903-000401-default-f05-p2-nostore</x:v>
      </x:c>
      <x:c r="C942" s="34" t="str">
        <x:v>default</x:v>
      </x:c>
      <x:c r="D942" s="34" t="str">
        <x:v>nostore</x:v>
      </x:c>
      <x:c r="E942" s="36" t="n">
        <x:v>5</x:v>
      </x:c>
      <x:c r="F942" s="36" t="n">
        <x:v>5</x:v>
      </x:c>
      <x:c r="G942" s="36" t="n">
        <x:v>2</x:v>
      </x:c>
      <x:c r="H942" s="34" t="str">
        <x:v>cycle-observation</x:v>
      </x:c>
      <x:c r="I942" s="36" t="n">
        <x:v>2</x:v>
      </x:c>
      <x:c r="J942" s="34" t="str">
        <x:v>tomcat-findleaks-occurrence</x:v>
      </x:c>
      <x:c r="K942" s="34" t="str">
        <x:v>afterFinalUndeploy.tomcatFindLeaksOccurrences</x:v>
      </x:c>
      <x:c r="L942" s="36" t="n">
        <x:v>1</x:v>
      </x:c>
      <x:c r="M942" s="34" t="str">
        <x:v>/nostore</x:v>
      </x:c>
      <x:c r="N942" s="44" t="str">
        <x:v>/nostore</x:v>
      </x:c>
    </x:row>
    <x:row r="943">
      <x:c r="A943" s="36" t="n">
        <x:v>942</x:v>
      </x:c>
      <x:c r="B943" s="34" t="str">
        <x:v>article1-unified-v4-2-fb3f101b-20260903-000401-default-f05-p2-nostore</x:v>
      </x:c>
      <x:c r="C943" s="34" t="str">
        <x:v>default</x:v>
      </x:c>
      <x:c r="D943" s="34" t="str">
        <x:v>nostore</x:v>
      </x:c>
      <x:c r="E943" s="36" t="n">
        <x:v>5</x:v>
      </x:c>
      <x:c r="F943" s="36" t="n">
        <x:v>5</x:v>
      </x:c>
      <x:c r="G943" s="36" t="n">
        <x:v>3</x:v>
      </x:c>
      <x:c r="H943" s="34" t="str">
        <x:v>cycle-observation</x:v>
      </x:c>
      <x:c r="I943" s="36" t="n">
        <x:v>1</x:v>
      </x:c>
      <x:c r="J943" s="34" t="str">
        <x:v>tomcat-findleaks-occurrence</x:v>
      </x:c>
      <x:c r="K943" s="34" t="str">
        <x:v>afterUndeploy.tomcatFindLeaksOccurrences</x:v>
      </x:c>
      <x:c r="L943" s="36" t="n">
        <x:v>1</x:v>
      </x:c>
      <x:c r="M943" s="34" t="str">
        <x:v>/nostore</x:v>
      </x:c>
      <x:c r="N943" s="44" t="str">
        <x:v>/nostore</x:v>
      </x:c>
    </x:row>
    <x:row r="944">
      <x:c r="A944" s="36" t="n">
        <x:v>943</x:v>
      </x:c>
      <x:c r="B944" s="34" t="str">
        <x:v>article1-unified-v4-2-fb3f101b-20260903-000401-default-f05-p2-nostore</x:v>
      </x:c>
      <x:c r="C944" s="34" t="str">
        <x:v>default</x:v>
      </x:c>
      <x:c r="D944" s="34" t="str">
        <x:v>nostore</x:v>
      </x:c>
      <x:c r="E944" s="36" t="n">
        <x:v>5</x:v>
      </x:c>
      <x:c r="F944" s="36" t="n">
        <x:v>5</x:v>
      </x:c>
      <x:c r="G944" s="36" t="n">
        <x:v>3</x:v>
      </x:c>
      <x:c r="H944" s="34" t="str">
        <x:v>cycle-observation</x:v>
      </x:c>
      <x:c r="I944" s="36" t="n">
        <x:v>2</x:v>
      </x:c>
      <x:c r="J944" s="34" t="str">
        <x:v>tomcat-findleaks-occurrence</x:v>
      </x:c>
      <x:c r="K944" s="34" t="str">
        <x:v>afterFinalUndeploy.tomcatFindLeaksOccurrences</x:v>
      </x:c>
      <x:c r="L944" s="36" t="n">
        <x:v>1</x:v>
      </x:c>
      <x:c r="M944" s="34" t="str">
        <x:v>/nostore</x:v>
      </x:c>
      <x:c r="N944" s="44" t="str">
        <x:v>/nostore</x:v>
      </x:c>
    </x:row>
    <x:row r="945">
      <x:c r="A945" s="36" t="n">
        <x:v>944</x:v>
      </x:c>
      <x:c r="B945" s="34" t="str">
        <x:v>article1-unified-v4-2-fb3f101b-20260903-000401-default-f05-p2-nostore</x:v>
      </x:c>
      <x:c r="C945" s="34" t="str">
        <x:v>default</x:v>
      </x:c>
      <x:c r="D945" s="34" t="str">
        <x:v>nostore</x:v>
      </x:c>
      <x:c r="E945" s="36" t="n">
        <x:v>5</x:v>
      </x:c>
      <x:c r="F945" s="36" t="n">
        <x:v>5</x:v>
      </x:c>
      <x:c r="G945" s="36" t="n">
        <x:v>4</x:v>
      </x:c>
      <x:c r="H945" s="34" t="str">
        <x:v>cycle-observation</x:v>
      </x:c>
      <x:c r="I945" s="36" t="n">
        <x:v>1</x:v>
      </x:c>
      <x:c r="J945" s="34" t="str">
        <x:v>tomcat-findleaks-occurrence</x:v>
      </x:c>
      <x:c r="K945" s="34" t="str">
        <x:v>afterUndeploy.tomcatFindLeaksOccurrences</x:v>
      </x:c>
      <x:c r="L945" s="36" t="n">
        <x:v>1</x:v>
      </x:c>
      <x:c r="M945" s="34" t="str">
        <x:v>/nostore</x:v>
      </x:c>
      <x:c r="N945" s="44" t="str">
        <x:v>/nostore</x:v>
      </x:c>
    </x:row>
    <x:row r="946">
      <x:c r="A946" s="36" t="n">
        <x:v>945</x:v>
      </x:c>
      <x:c r="B946" s="34" t="str">
        <x:v>article1-unified-v4-2-fb3f101b-20260903-000401-default-f05-p2-nostore</x:v>
      </x:c>
      <x:c r="C946" s="34" t="str">
        <x:v>default</x:v>
      </x:c>
      <x:c r="D946" s="34" t="str">
        <x:v>nostore</x:v>
      </x:c>
      <x:c r="E946" s="36" t="n">
        <x:v>5</x:v>
      </x:c>
      <x:c r="F946" s="36" t="n">
        <x:v>5</x:v>
      </x:c>
      <x:c r="G946" s="36" t="n">
        <x:v>4</x:v>
      </x:c>
      <x:c r="H946" s="34" t="str">
        <x:v>cycle-observation</x:v>
      </x:c>
      <x:c r="I946" s="36" t="n">
        <x:v>2</x:v>
      </x:c>
      <x:c r="J946" s="34" t="str">
        <x:v>tomcat-findleaks-occurrence</x:v>
      </x:c>
      <x:c r="K946" s="34" t="str">
        <x:v>afterFinalUndeploy.tomcatFindLeaksOccurrences</x:v>
      </x:c>
      <x:c r="L946" s="36" t="n">
        <x:v>1</x:v>
      </x:c>
      <x:c r="M946" s="34" t="str">
        <x:v>/nostore</x:v>
      </x:c>
      <x:c r="N946" s="44" t="str">
        <x:v>/nostore</x:v>
      </x:c>
    </x:row>
    <x:row r="947">
      <x:c r="A947" s="36" t="n">
        <x:v>946</x:v>
      </x:c>
      <x:c r="B947" s="34" t="str">
        <x:v>article1-unified-v4-2-fb3f101b-20260903-000401-default-f05-p2-nostore</x:v>
      </x:c>
      <x:c r="C947" s="34" t="str">
        <x:v>default</x:v>
      </x:c>
      <x:c r="D947" s="34" t="str">
        <x:v>nostore</x:v>
      </x:c>
      <x:c r="E947" s="36" t="n">
        <x:v>5</x:v>
      </x:c>
      <x:c r="F947" s="36" t="n">
        <x:v>5</x:v>
      </x:c>
      <x:c r="G947" s="36" t="n">
        <x:v>5</x:v>
      </x:c>
      <x:c r="H947" s="34" t="str">
        <x:v>cycle-observation</x:v>
      </x:c>
      <x:c r="I947" s="36" t="n">
        <x:v>1</x:v>
      </x:c>
      <x:c r="J947" s="34" t="str">
        <x:v>tomcat-findleaks-occurrence</x:v>
      </x:c>
      <x:c r="K947" s="34" t="str">
        <x:v>afterUndeploy.tomcatFindLeaksOccurrences</x:v>
      </x:c>
      <x:c r="L947" s="36" t="n">
        <x:v>1</x:v>
      </x:c>
      <x:c r="M947" s="34" t="str">
        <x:v>/nostore</x:v>
      </x:c>
      <x:c r="N947" s="44" t="str">
        <x:v>/nostore</x:v>
      </x:c>
    </x:row>
    <x:row r="948">
      <x:c r="A948" s="36" t="n">
        <x:v>947</x:v>
      </x:c>
      <x:c r="B948" s="34" t="str">
        <x:v>article1-unified-v4-2-fb3f101b-20260903-000401-default-f05-p2-nostore</x:v>
      </x:c>
      <x:c r="C948" s="34" t="str">
        <x:v>default</x:v>
      </x:c>
      <x:c r="D948" s="34" t="str">
        <x:v>nostore</x:v>
      </x:c>
      <x:c r="E948" s="36" t="n">
        <x:v>5</x:v>
      </x:c>
      <x:c r="F948" s="36" t="n">
        <x:v>5</x:v>
      </x:c>
      <x:c r="G948" s="36" t="n">
        <x:v>5</x:v>
      </x:c>
      <x:c r="H948" s="34" t="str">
        <x:v>cycle-observation</x:v>
      </x:c>
      <x:c r="I948" s="36" t="n">
        <x:v>2</x:v>
      </x:c>
      <x:c r="J948" s="34" t="str">
        <x:v>tomcat-findleaks-occurrence</x:v>
      </x:c>
      <x:c r="K948" s="34" t="str">
        <x:v>afterFinalUndeploy.tomcatFindLeaksOccurrences</x:v>
      </x:c>
      <x:c r="L948" s="36" t="n">
        <x:v>1</x:v>
      </x:c>
      <x:c r="M948" s="34" t="str">
        <x:v>/nostore</x:v>
      </x:c>
      <x:c r="N948" s="44" t="str">
        <x:v>/nostore</x:v>
      </x:c>
    </x:row>
    <x:row r="949">
      <x:c r="A949" s="36" t="n">
        <x:v>948</x:v>
      </x:c>
      <x:c r="B949" s="34" t="str">
        <x:v>article1-unified-v4-2-fb3f101b-20260903-000401-default-f05-p3-jcs4</x:v>
      </x:c>
      <x:c r="C949" s="34" t="str">
        <x:v>default</x:v>
      </x:c>
      <x:c r="D949" s="34" t="str">
        <x:v>jcs4</x:v>
      </x:c>
      <x:c r="E949" s="36" t="n">
        <x:v>5</x:v>
      </x:c>
      <x:c r="F949" s="36" t="n">
        <x:v>5</x:v>
      </x:c>
      <x:c r="G949" s="36"/>
      <x:c r="H949" s="34" t="str">
        <x:v>process-run-aggregate</x:v>
      </x:c>
      <x:c r="I949" s="36"/>
      <x:c r="J949" s="34" t="str">
        <x:v>warning</x:v>
      </x:c>
      <x:c r="K949" s="34" t="str">
        <x:v>warnings</x:v>
      </x:c>
      <x:c r="L949" s="36" t="n">
        <x:v>1</x:v>
      </x:c>
      <x:c r="M949" s="34"/>
      <x:c r="N949" s="44" t="str">
        <x:v>03-Sep-2026 01:40:28.417 WARNING [http-nio-8080-exec-1] org.apache.commons.jcs4.log.SystemLogAdapter.log Could not register JMX bean.</x:v>
      </x:c>
    </x:row>
    <x:row r="950">
      <x:c r="A950" s="36" t="n">
        <x:v>949</x:v>
      </x:c>
      <x:c r="B950" s="34" t="str">
        <x:v>article1-unified-v4-2-fb3f101b-20260903-000401-default-f05-p3-jcs4</x:v>
      </x:c>
      <x:c r="C950" s="34" t="str">
        <x:v>default</x:v>
      </x:c>
      <x:c r="D950" s="34" t="str">
        <x:v>jcs4</x:v>
      </x:c>
      <x:c r="E950" s="36" t="n">
        <x:v>5</x:v>
      </x:c>
      <x:c r="F950" s="36" t="n">
        <x:v>5</x:v>
      </x:c>
      <x:c r="G950" s="36"/>
      <x:c r="H950" s="34" t="str">
        <x:v>process-run-aggregate</x:v>
      </x:c>
      <x:c r="I950" s="36"/>
      <x:c r="J950" s="34" t="str">
        <x:v>warning</x:v>
      </x:c>
      <x:c r="K950" s="34" t="str">
        <x:v>warnings</x:v>
      </x:c>
      <x:c r="L950" s="36" t="n">
        <x:v>2</x:v>
      </x:c>
      <x:c r="M950" s="34"/>
      <x:c r="N950" s="44" t="str">
        <x:v>03-Sep-2026 01:40:28.453 WARNING [http-nio-8080-exec-1] org.apache.commons.jcs4.log.SystemLogAdapter.log Skipping empty auxiliary name</x:v>
      </x:c>
    </x:row>
    <x:row r="951">
      <x:c r="A951" s="36" t="n">
        <x:v>950</x:v>
      </x:c>
      <x:c r="B951" s="34" t="str">
        <x:v>article1-unified-v4-2-fb3f101b-20260903-000401-default-f05-p3-jcs4</x:v>
      </x:c>
      <x:c r="C951" s="34" t="str">
        <x:v>default</x:v>
      </x:c>
      <x:c r="D951" s="34" t="str">
        <x:v>jcs4</x:v>
      </x:c>
      <x:c r="E951" s="36" t="n">
        <x:v>5</x:v>
      </x:c>
      <x:c r="F951" s="36" t="n">
        <x:v>5</x:v>
      </x:c>
      <x:c r="G951" s="36"/>
      <x:c r="H951" s="34" t="str">
        <x:v>process-run-aggregate</x:v>
      </x:c>
      <x:c r="I951" s="36"/>
      <x:c r="J951" s="34" t="str">
        <x:v>warning</x:v>
      </x:c>
      <x:c r="K951" s="34" t="str">
        <x:v>warnings</x:v>
      </x:c>
      <x:c r="L951" s="36" t="n">
        <x:v>3</x:v>
      </x:c>
      <x:c r="M951" s="34"/>
      <x:c r="N951" s="44" t="str">
        <x:v>03-Sep-2026 01:41:11.257 WARNING [http-nio-8080-exec-3] org.apache.commons.jcs4.log.SystemLogAdapter.log Could not register JMX bean.</x:v>
      </x:c>
    </x:row>
    <x:row r="952">
      <x:c r="A952" s="36" t="n">
        <x:v>951</x:v>
      </x:c>
      <x:c r="B952" s="34" t="str">
        <x:v>article1-unified-v4-2-fb3f101b-20260903-000401-default-f05-p3-jcs4</x:v>
      </x:c>
      <x:c r="C952" s="34" t="str">
        <x:v>default</x:v>
      </x:c>
      <x:c r="D952" s="34" t="str">
        <x:v>jcs4</x:v>
      </x:c>
      <x:c r="E952" s="36" t="n">
        <x:v>5</x:v>
      </x:c>
      <x:c r="F952" s="36" t="n">
        <x:v>5</x:v>
      </x:c>
      <x:c r="G952" s="36"/>
      <x:c r="H952" s="34" t="str">
        <x:v>process-run-aggregate</x:v>
      </x:c>
      <x:c r="I952" s="36"/>
      <x:c r="J952" s="34" t="str">
        <x:v>warning</x:v>
      </x:c>
      <x:c r="K952" s="34" t="str">
        <x:v>warnings</x:v>
      </x:c>
      <x:c r="L952" s="36" t="n">
        <x:v>4</x:v>
      </x:c>
      <x:c r="M952" s="34"/>
      <x:c r="N952" s="44" t="str">
        <x:v>03-Sep-2026 01:41:11.279 WARNING [http-nio-8080-exec-3] org.apache.commons.jcs4.log.SystemLogAdapter.log Skipping empty auxiliary name</x:v>
      </x:c>
    </x:row>
    <x:row r="953">
      <x:c r="A953" s="36" t="n">
        <x:v>952</x:v>
      </x:c>
      <x:c r="B953" s="34" t="str">
        <x:v>article1-unified-v4-2-fb3f101b-20260903-000401-default-f05-p3-jcs4</x:v>
      </x:c>
      <x:c r="C953" s="34" t="str">
        <x:v>default</x:v>
      </x:c>
      <x:c r="D953" s="34" t="str">
        <x:v>jcs4</x:v>
      </x:c>
      <x:c r="E953" s="36" t="n">
        <x:v>5</x:v>
      </x:c>
      <x:c r="F953" s="36" t="n">
        <x:v>5</x:v>
      </x:c>
      <x:c r="G953" s="36"/>
      <x:c r="H953" s="34" t="str">
        <x:v>process-run-aggregate</x:v>
      </x:c>
      <x:c r="I953" s="36"/>
      <x:c r="J953" s="34" t="str">
        <x:v>warning</x:v>
      </x:c>
      <x:c r="K953" s="34" t="str">
        <x:v>warnings</x:v>
      </x:c>
      <x:c r="L953" s="36" t="n">
        <x:v>5</x:v>
      </x:c>
      <x:c r="M953" s="34"/>
      <x:c r="N953" s="44" t="str">
        <x:v>03-Sep-2026 01:41:57.241 WARNING [http-nio-8080-exec-12] org.apache.commons.jcs4.log.SystemLogAdapter.log Could not register JMX bean.</x:v>
      </x:c>
    </x:row>
    <x:row r="954">
      <x:c r="A954" s="36" t="n">
        <x:v>953</x:v>
      </x:c>
      <x:c r="B954" s="34" t="str">
        <x:v>article1-unified-v4-2-fb3f101b-20260903-000401-default-f05-p3-jcs4</x:v>
      </x:c>
      <x:c r="C954" s="34" t="str">
        <x:v>default</x:v>
      </x:c>
      <x:c r="D954" s="34" t="str">
        <x:v>jcs4</x:v>
      </x:c>
      <x:c r="E954" s="36" t="n">
        <x:v>5</x:v>
      </x:c>
      <x:c r="F954" s="36" t="n">
        <x:v>5</x:v>
      </x:c>
      <x:c r="G954" s="36"/>
      <x:c r="H954" s="34" t="str">
        <x:v>process-run-aggregate</x:v>
      </x:c>
      <x:c r="I954" s="36"/>
      <x:c r="J954" s="34" t="str">
        <x:v>warning</x:v>
      </x:c>
      <x:c r="K954" s="34" t="str">
        <x:v>warnings</x:v>
      </x:c>
      <x:c r="L954" s="36" t="n">
        <x:v>6</x:v>
      </x:c>
      <x:c r="M954" s="34"/>
      <x:c r="N954" s="44" t="str">
        <x:v>03-Sep-2026 01:41:57.261 WARNING [http-nio-8080-exec-12] org.apache.commons.jcs4.log.SystemLogAdapter.log Skipping empty auxiliary name</x:v>
      </x:c>
    </x:row>
    <x:row r="955">
      <x:c r="A955" s="36" t="n">
        <x:v>954</x:v>
      </x:c>
      <x:c r="B955" s="34" t="str">
        <x:v>article1-unified-v4-2-fb3f101b-20260903-000401-default-f05-p3-jcs4</x:v>
      </x:c>
      <x:c r="C955" s="34" t="str">
        <x:v>default</x:v>
      </x:c>
      <x:c r="D955" s="34" t="str">
        <x:v>jcs4</x:v>
      </x:c>
      <x:c r="E955" s="36" t="n">
        <x:v>5</x:v>
      </x:c>
      <x:c r="F955" s="36" t="n">
        <x:v>5</x:v>
      </x:c>
      <x:c r="G955" s="36"/>
      <x:c r="H955" s="34" t="str">
        <x:v>process-run-aggregate</x:v>
      </x:c>
      <x:c r="I955" s="36"/>
      <x:c r="J955" s="34" t="str">
        <x:v>warning</x:v>
      </x:c>
      <x:c r="K955" s="34" t="str">
        <x:v>warnings</x:v>
      </x:c>
      <x:c r="L955" s="36" t="n">
        <x:v>7</x:v>
      </x:c>
      <x:c r="M955" s="34"/>
      <x:c r="N955" s="44" t="str">
        <x:v>03-Sep-2026 01:42:39.184 WARNING [http-nio-8080-exec-15] org.apache.commons.jcs4.log.SystemLogAdapter.log Could not register JMX bean.</x:v>
      </x:c>
    </x:row>
    <x:row r="956">
      <x:c r="A956" s="36" t="n">
        <x:v>955</x:v>
      </x:c>
      <x:c r="B956" s="34" t="str">
        <x:v>article1-unified-v4-2-fb3f101b-20260903-000401-default-f05-p3-jcs4</x:v>
      </x:c>
      <x:c r="C956" s="34" t="str">
        <x:v>default</x:v>
      </x:c>
      <x:c r="D956" s="34" t="str">
        <x:v>jcs4</x:v>
      </x:c>
      <x:c r="E956" s="36" t="n">
        <x:v>5</x:v>
      </x:c>
      <x:c r="F956" s="36" t="n">
        <x:v>5</x:v>
      </x:c>
      <x:c r="G956" s="36"/>
      <x:c r="H956" s="34" t="str">
        <x:v>process-run-aggregate</x:v>
      </x:c>
      <x:c r="I956" s="36"/>
      <x:c r="J956" s="34" t="str">
        <x:v>warning</x:v>
      </x:c>
      <x:c r="K956" s="34" t="str">
        <x:v>warnings</x:v>
      </x:c>
      <x:c r="L956" s="36" t="n">
        <x:v>8</x:v>
      </x:c>
      <x:c r="M956" s="34"/>
      <x:c r="N956" s="44" t="str">
        <x:v>03-Sep-2026 01:42:39.197 WARNING [http-nio-8080-exec-15] org.apache.commons.jcs4.log.SystemLogAdapter.log Skipping empty auxiliary name</x:v>
      </x:c>
    </x:row>
    <x:row r="957">
      <x:c r="A957" s="36" t="n">
        <x:v>956</x:v>
      </x:c>
      <x:c r="B957" s="34" t="str">
        <x:v>article1-unified-v4-2-fb3f101b-20260903-000401-default-f05-p3-jcs4</x:v>
      </x:c>
      <x:c r="C957" s="34" t="str">
        <x:v>default</x:v>
      </x:c>
      <x:c r="D957" s="34" t="str">
        <x:v>jcs4</x:v>
      </x:c>
      <x:c r="E957" s="36" t="n">
        <x:v>5</x:v>
      </x:c>
      <x:c r="F957" s="36" t="n">
        <x:v>5</x:v>
      </x:c>
      <x:c r="G957" s="36"/>
      <x:c r="H957" s="34" t="str">
        <x:v>process-run-aggregate</x:v>
      </x:c>
      <x:c r="I957" s="36"/>
      <x:c r="J957" s="34" t="str">
        <x:v>warning</x:v>
      </x:c>
      <x:c r="K957" s="34" t="str">
        <x:v>warnings</x:v>
      </x:c>
      <x:c r="L957" s="36" t="n">
        <x:v>9</x:v>
      </x:c>
      <x:c r="M957" s="34"/>
      <x:c r="N957" s="44" t="str">
        <x:v>03-Sep-2026 01:43:25.410 WARNING [http-nio-8080-exec-29] org.apache.commons.jcs4.log.SystemLogAdapter.log Could not register JMX bean.</x:v>
      </x:c>
    </x:row>
    <x:row r="958">
      <x:c r="A958" s="36" t="n">
        <x:v>957</x:v>
      </x:c>
      <x:c r="B958" s="34" t="str">
        <x:v>article1-unified-v4-2-fb3f101b-20260903-000401-default-f05-p3-jcs4</x:v>
      </x:c>
      <x:c r="C958" s="34" t="str">
        <x:v>default</x:v>
      </x:c>
      <x:c r="D958" s="34" t="str">
        <x:v>jcs4</x:v>
      </x:c>
      <x:c r="E958" s="36" t="n">
        <x:v>5</x:v>
      </x:c>
      <x:c r="F958" s="36" t="n">
        <x:v>5</x:v>
      </x:c>
      <x:c r="G958" s="36"/>
      <x:c r="H958" s="34" t="str">
        <x:v>process-run-aggregate</x:v>
      </x:c>
      <x:c r="I958" s="36"/>
      <x:c r="J958" s="34" t="str">
        <x:v>warning</x:v>
      </x:c>
      <x:c r="K958" s="34" t="str">
        <x:v>warnings</x:v>
      </x:c>
      <x:c r="L958" s="36" t="n">
        <x:v>10</x:v>
      </x:c>
      <x:c r="M958" s="34"/>
      <x:c r="N958" s="44" t="str">
        <x:v>03-Sep-2026 01:43:25.423 WARNING [http-nio-8080-exec-29] org.apache.commons.jcs4.log.SystemLogAdapter.log Skipping empty auxiliary name</x:v>
      </x:c>
    </x:row>
    <x:row r="959">
      <x:c r="A959" s="36" t="n">
        <x:v>958</x:v>
      </x:c>
      <x:c r="B959" s="34" t="str">
        <x:v>article1-unified-v4-2-fb3f101b-20260903-000401-default-f05-p3-jcs4</x:v>
      </x:c>
      <x:c r="C959" s="34" t="str">
        <x:v>default</x:v>
      </x:c>
      <x:c r="D959" s="34" t="str">
        <x:v>jcs4</x:v>
      </x:c>
      <x:c r="E959" s="36" t="n">
        <x:v>5</x:v>
      </x:c>
      <x:c r="F959" s="36" t="n">
        <x:v>5</x:v>
      </x:c>
      <x:c r="G959" s="36"/>
      <x:c r="H959" s="34" t="str">
        <x:v>process-run-aggregate</x:v>
      </x:c>
      <x:c r="I959" s="36"/>
      <x:c r="J959" s="34" t="str">
        <x:v>warning</x:v>
      </x:c>
      <x:c r="K959" s="34" t="str">
        <x:v>warnings</x:v>
      </x:c>
      <x:c r="L959" s="36" t="n">
        <x:v>11</x:v>
      </x:c>
      <x:c r="M959" s="34"/>
      <x:c r="N959" s="44" t="str">
        <x:v>03-Sep-2026 01:44:08.776 WARNING [http-nio-8080-exec-36] org.apache.commons.jcs4.log.SystemLogAdapter.log Could not register JMX bean.</x:v>
      </x:c>
    </x:row>
    <x:row r="960">
      <x:c r="A960" s="36" t="n">
        <x:v>959</x:v>
      </x:c>
      <x:c r="B960" s="34" t="str">
        <x:v>article1-unified-v4-2-fb3f101b-20260903-000401-default-f05-p3-jcs4</x:v>
      </x:c>
      <x:c r="C960" s="34" t="str">
        <x:v>default</x:v>
      </x:c>
      <x:c r="D960" s="34" t="str">
        <x:v>jcs4</x:v>
      </x:c>
      <x:c r="E960" s="36" t="n">
        <x:v>5</x:v>
      </x:c>
      <x:c r="F960" s="36" t="n">
        <x:v>5</x:v>
      </x:c>
      <x:c r="G960" s="36"/>
      <x:c r="H960" s="34" t="str">
        <x:v>process-run-aggregate</x:v>
      </x:c>
      <x:c r="I960" s="36"/>
      <x:c r="J960" s="34" t="str">
        <x:v>warning</x:v>
      </x:c>
      <x:c r="K960" s="34" t="str">
        <x:v>warnings</x:v>
      </x:c>
      <x:c r="L960" s="36" t="n">
        <x:v>12</x:v>
      </x:c>
      <x:c r="M960" s="34"/>
      <x:c r="N960" s="44" t="str">
        <x:v>03-Sep-2026 01:44:08.811 WARNING [http-nio-8080-exec-36] org.apache.commons.jcs4.log.SystemLogAdapter.log Skipping empty auxiliary name</x:v>
      </x:c>
    </x:row>
    <x:row r="961">
      <x:c r="A961" s="36" t="n">
        <x:v>960</x:v>
      </x:c>
      <x:c r="B961" s="34" t="str">
        <x:v>article1-unified-v4-2-fb3f101b-20260903-000401-default-f05-p3-jcs4</x:v>
      </x:c>
      <x:c r="C961" s="34" t="str">
        <x:v>default</x:v>
      </x:c>
      <x:c r="D961" s="34" t="str">
        <x:v>jcs4</x:v>
      </x:c>
      <x:c r="E961" s="36" t="n">
        <x:v>5</x:v>
      </x:c>
      <x:c r="F961" s="36" t="n">
        <x:v>5</x:v>
      </x:c>
      <x:c r="G961" s="36"/>
      <x:c r="H961" s="34" t="str">
        <x:v>process-run-aggregate</x:v>
      </x:c>
      <x:c r="I961" s="36"/>
      <x:c r="J961" s="34" t="str">
        <x:v>warning</x:v>
      </x:c>
      <x:c r="K961" s="34" t="str">
        <x:v>warnings</x:v>
      </x:c>
      <x:c r="L961" s="36" t="n">
        <x:v>13</x:v>
      </x:c>
      <x:c r="M961" s="34"/>
      <x:c r="N961" s="44" t="str">
        <x:v>03-Sep-2026 01:44:54.684 WARNING [http-nio-8080-exec-39] org.apache.commons.jcs4.log.SystemLogAdapter.log Could not register JMX bean.</x:v>
      </x:c>
    </x:row>
    <x:row r="962">
      <x:c r="A962" s="36" t="n">
        <x:v>961</x:v>
      </x:c>
      <x:c r="B962" s="34" t="str">
        <x:v>article1-unified-v4-2-fb3f101b-20260903-000401-default-f05-p3-jcs4</x:v>
      </x:c>
      <x:c r="C962" s="34" t="str">
        <x:v>default</x:v>
      </x:c>
      <x:c r="D962" s="34" t="str">
        <x:v>jcs4</x:v>
      </x:c>
      <x:c r="E962" s="36" t="n">
        <x:v>5</x:v>
      </x:c>
      <x:c r="F962" s="36" t="n">
        <x:v>5</x:v>
      </x:c>
      <x:c r="G962" s="36"/>
      <x:c r="H962" s="34" t="str">
        <x:v>process-run-aggregate</x:v>
      </x:c>
      <x:c r="I962" s="36"/>
      <x:c r="J962" s="34" t="str">
        <x:v>warning</x:v>
      </x:c>
      <x:c r="K962" s="34" t="str">
        <x:v>warnings</x:v>
      </x:c>
      <x:c r="L962" s="36" t="n">
        <x:v>14</x:v>
      </x:c>
      <x:c r="M962" s="34"/>
      <x:c r="N962" s="44" t="str">
        <x:v>03-Sep-2026 01:44:54.700 WARNING [http-nio-8080-exec-39] org.apache.commons.jcs4.log.SystemLogAdapter.log Skipping empty auxiliary name</x:v>
      </x:c>
    </x:row>
    <x:row r="963">
      <x:c r="A963" s="36" t="n">
        <x:v>962</x:v>
      </x:c>
      <x:c r="B963" s="34" t="str">
        <x:v>article1-unified-v4-2-fb3f101b-20260903-000401-default-f05-p3-jcs4</x:v>
      </x:c>
      <x:c r="C963" s="34" t="str">
        <x:v>default</x:v>
      </x:c>
      <x:c r="D963" s="34" t="str">
        <x:v>jcs4</x:v>
      </x:c>
      <x:c r="E963" s="36" t="n">
        <x:v>5</x:v>
      </x:c>
      <x:c r="F963" s="36" t="n">
        <x:v>5</x:v>
      </x:c>
      <x:c r="G963" s="36"/>
      <x:c r="H963" s="34" t="str">
        <x:v>process-run-aggregate</x:v>
      </x:c>
      <x:c r="I963" s="36"/>
      <x:c r="J963" s="34" t="str">
        <x:v>warning</x:v>
      </x:c>
      <x:c r="K963" s="34" t="str">
        <x:v>warnings</x:v>
      </x:c>
      <x:c r="L963" s="36" t="n">
        <x:v>15</x:v>
      </x:c>
      <x:c r="M963" s="34"/>
      <x:c r="N963" s="44" t="str">
        <x:v>03-Sep-2026 01:45:38.042 WARNING [http-nio-8080-exec-49] org.apache.commons.jcs4.log.SystemLogAdapter.log Could not register JMX bean.</x:v>
      </x:c>
    </x:row>
    <x:row r="964">
      <x:c r="A964" s="36" t="n">
        <x:v>963</x:v>
      </x:c>
      <x:c r="B964" s="34" t="str">
        <x:v>article1-unified-v4-2-fb3f101b-20260903-000401-default-f05-p3-jcs4</x:v>
      </x:c>
      <x:c r="C964" s="34" t="str">
        <x:v>default</x:v>
      </x:c>
      <x:c r="D964" s="34" t="str">
        <x:v>jcs4</x:v>
      </x:c>
      <x:c r="E964" s="36" t="n">
        <x:v>5</x:v>
      </x:c>
      <x:c r="F964" s="36" t="n">
        <x:v>5</x:v>
      </x:c>
      <x:c r="G964" s="36"/>
      <x:c r="H964" s="34" t="str">
        <x:v>process-run-aggregate</x:v>
      </x:c>
      <x:c r="I964" s="36"/>
      <x:c r="J964" s="34" t="str">
        <x:v>warning</x:v>
      </x:c>
      <x:c r="K964" s="34" t="str">
        <x:v>warnings</x:v>
      </x:c>
      <x:c r="L964" s="36" t="n">
        <x:v>16</x:v>
      </x:c>
      <x:c r="M964" s="34"/>
      <x:c r="N964" s="44" t="str">
        <x:v>03-Sep-2026 01:45:38.054 WARNING [http-nio-8080-exec-49] org.apache.commons.jcs4.log.SystemLogAdapter.log Skipping empty auxiliary name</x:v>
      </x:c>
    </x:row>
    <x:row r="965">
      <x:c r="A965" s="36" t="n">
        <x:v>964</x:v>
      </x:c>
      <x:c r="B965" s="34" t="str">
        <x:v>article1-unified-v4-2-fb3f101b-20260903-000401-default-f05-p3-jcs4</x:v>
      </x:c>
      <x:c r="C965" s="34" t="str">
        <x:v>default</x:v>
      </x:c>
      <x:c r="D965" s="34" t="str">
        <x:v>jcs4</x:v>
      </x:c>
      <x:c r="E965" s="36" t="n">
        <x:v>5</x:v>
      </x:c>
      <x:c r="F965" s="36" t="n">
        <x:v>5</x:v>
      </x:c>
      <x:c r="G965" s="36"/>
      <x:c r="H965" s="34" t="str">
        <x:v>process-run-aggregate</x:v>
      </x:c>
      <x:c r="I965" s="36"/>
      <x:c r="J965" s="34" t="str">
        <x:v>warning</x:v>
      </x:c>
      <x:c r="K965" s="34" t="str">
        <x:v>warnings</x:v>
      </x:c>
      <x:c r="L965" s="36" t="n">
        <x:v>17</x:v>
      </x:c>
      <x:c r="M965" s="34"/>
      <x:c r="N965" s="44" t="str">
        <x:v>03-Sep-2026 01:46:23.115 WARNING [http-nio-8080-exec-51] org.apache.commons.jcs4.log.SystemLogAdapter.log Could not register JMX bean.</x:v>
      </x:c>
    </x:row>
    <x:row r="966">
      <x:c r="A966" s="36" t="n">
        <x:v>965</x:v>
      </x:c>
      <x:c r="B966" s="34" t="str">
        <x:v>article1-unified-v4-2-fb3f101b-20260903-000401-default-f05-p3-jcs4</x:v>
      </x:c>
      <x:c r="C966" s="34" t="str">
        <x:v>default</x:v>
      </x:c>
      <x:c r="D966" s="34" t="str">
        <x:v>jcs4</x:v>
      </x:c>
      <x:c r="E966" s="36" t="n">
        <x:v>5</x:v>
      </x:c>
      <x:c r="F966" s="36" t="n">
        <x:v>5</x:v>
      </x:c>
      <x:c r="G966" s="36"/>
      <x:c r="H966" s="34" t="str">
        <x:v>process-run-aggregate</x:v>
      </x:c>
      <x:c r="I966" s="36"/>
      <x:c r="J966" s="34" t="str">
        <x:v>warning</x:v>
      </x:c>
      <x:c r="K966" s="34" t="str">
        <x:v>warnings</x:v>
      </x:c>
      <x:c r="L966" s="36" t="n">
        <x:v>18</x:v>
      </x:c>
      <x:c r="M966" s="34"/>
      <x:c r="N966" s="44" t="str">
        <x:v>03-Sep-2026 01:46:23.127 WARNING [http-nio-8080-exec-51] org.apache.commons.jcs4.log.SystemLogAdapter.log Skipping empty auxiliary name</x:v>
      </x:c>
    </x:row>
    <x:row r="967">
      <x:c r="A967" s="36" t="n">
        <x:v>966</x:v>
      </x:c>
      <x:c r="B967" s="34" t="str">
        <x:v>article1-unified-v4-2-fb3f101b-20260903-000401-default-f05-p3-jcs4</x:v>
      </x:c>
      <x:c r="C967" s="34" t="str">
        <x:v>default</x:v>
      </x:c>
      <x:c r="D967" s="34" t="str">
        <x:v>jcs4</x:v>
      </x:c>
      <x:c r="E967" s="36" t="n">
        <x:v>5</x:v>
      </x:c>
      <x:c r="F967" s="36" t="n">
        <x:v>5</x:v>
      </x:c>
      <x:c r="G967" s="36"/>
      <x:c r="H967" s="34" t="str">
        <x:v>process-run-aggregate</x:v>
      </x:c>
      <x:c r="I967" s="36"/>
      <x:c r="J967" s="34" t="str">
        <x:v>warning</x:v>
      </x:c>
      <x:c r="K967" s="34" t="str">
        <x:v>warnings</x:v>
      </x:c>
      <x:c r="L967" s="36" t="n">
        <x:v>19</x:v>
      </x:c>
      <x:c r="M967" s="34"/>
      <x:c r="N967" s="44" t="str">
        <x:v>03-Sep-2026 01:47:05.961 WARNING [http-nio-8080-exec-55] org.apache.commons.jcs4.log.SystemLogAdapter.log Could not register JMX bean.</x:v>
      </x:c>
    </x:row>
    <x:row r="968">
      <x:c r="A968" s="36" t="n">
        <x:v>967</x:v>
      </x:c>
      <x:c r="B968" s="34" t="str">
        <x:v>article1-unified-v4-2-fb3f101b-20260903-000401-default-f05-p3-jcs4</x:v>
      </x:c>
      <x:c r="C968" s="34" t="str">
        <x:v>default</x:v>
      </x:c>
      <x:c r="D968" s="34" t="str">
        <x:v>jcs4</x:v>
      </x:c>
      <x:c r="E968" s="36" t="n">
        <x:v>5</x:v>
      </x:c>
      <x:c r="F968" s="36" t="n">
        <x:v>5</x:v>
      </x:c>
      <x:c r="G968" s="36"/>
      <x:c r="H968" s="34" t="str">
        <x:v>process-run-aggregate</x:v>
      </x:c>
      <x:c r="I968" s="36"/>
      <x:c r="J968" s="34" t="str">
        <x:v>warning</x:v>
      </x:c>
      <x:c r="K968" s="34" t="str">
        <x:v>warnings</x:v>
      </x:c>
      <x:c r="L968" s="36" t="n">
        <x:v>20</x:v>
      </x:c>
      <x:c r="M968" s="34"/>
      <x:c r="N968" s="44" t="str">
        <x:v>03-Sep-2026 01:47:05.976 WARNING [http-nio-8080-exec-55] org.apache.commons.jcs4.log.SystemLogAdapter.log Skipping empty auxiliary name</x:v>
      </x:c>
    </x:row>
    <x:row r="969">
      <x:c r="A969" s="36" t="n">
        <x:v>968</x:v>
      </x:c>
      <x:c r="B969" s="34" t="str">
        <x:v>article1-unified-v4-2-fb3f101b-20260903-000401-default-f05-p3-jcs4</x:v>
      </x:c>
      <x:c r="C969" s="34" t="str">
        <x:v>default</x:v>
      </x:c>
      <x:c r="D969" s="34" t="str">
        <x:v>jcs4</x:v>
      </x:c>
      <x:c r="E969" s="36" t="n">
        <x:v>5</x:v>
      </x:c>
      <x:c r="F969" s="36" t="n">
        <x:v>5</x:v>
      </x:c>
      <x:c r="G969" s="36" t="n">
        <x:v>1</x:v>
      </x:c>
      <x:c r="H969" s="34" t="str">
        <x:v>cycle-observation</x:v>
      </x:c>
      <x:c r="I969" s="36" t="n">
        <x:v>1</x:v>
      </x:c>
      <x:c r="J969" s="34" t="str">
        <x:v>tomcat-findleaks-occurrence</x:v>
      </x:c>
      <x:c r="K969" s="34" t="str">
        <x:v>afterUndeploy.tomcatFindLeaksOccurrences</x:v>
      </x:c>
      <x:c r="L969" s="36" t="n">
        <x:v>1</x:v>
      </x:c>
      <x:c r="M969" s="34" t="str">
        <x:v>/jcs4</x:v>
      </x:c>
      <x:c r="N969" s="44" t="str">
        <x:v>/jcs4</x:v>
      </x:c>
    </x:row>
    <x:row r="970">
      <x:c r="A970" s="36" t="n">
        <x:v>969</x:v>
      </x:c>
      <x:c r="B970" s="34" t="str">
        <x:v>article1-unified-v4-2-fb3f101b-20260903-000401-default-f05-p3-jcs4</x:v>
      </x:c>
      <x:c r="C970" s="34" t="str">
        <x:v>default</x:v>
      </x:c>
      <x:c r="D970" s="34" t="str">
        <x:v>jcs4</x:v>
      </x:c>
      <x:c r="E970" s="36" t="n">
        <x:v>5</x:v>
      </x:c>
      <x:c r="F970" s="36" t="n">
        <x:v>5</x:v>
      </x:c>
      <x:c r="G970" s="36" t="n">
        <x:v>1</x:v>
      </x:c>
      <x:c r="H970" s="34" t="str">
        <x:v>cycle-observation</x:v>
      </x:c>
      <x:c r="I970" s="36" t="n">
        <x:v>2</x:v>
      </x:c>
      <x:c r="J970" s="34" t="str">
        <x:v>tomcat-findleaks-occurrence</x:v>
      </x:c>
      <x:c r="K970" s="34" t="str">
        <x:v>afterFinalUndeploy.tomcatFindLeaksOccurrences</x:v>
      </x:c>
      <x:c r="L970" s="36" t="n">
        <x:v>1</x:v>
      </x:c>
      <x:c r="M970" s="34" t="str">
        <x:v>/jcs4</x:v>
      </x:c>
      <x:c r="N970" s="44" t="str">
        <x:v>/jcs4</x:v>
      </x:c>
    </x:row>
    <x:row r="971">
      <x:c r="A971" s="36" t="n">
        <x:v>970</x:v>
      </x:c>
      <x:c r="B971" s="34" t="str">
        <x:v>article1-unified-v4-2-fb3f101b-20260903-000401-default-f05-p3-jcs4</x:v>
      </x:c>
      <x:c r="C971" s="34" t="str">
        <x:v>default</x:v>
      </x:c>
      <x:c r="D971" s="34" t="str">
        <x:v>jcs4</x:v>
      </x:c>
      <x:c r="E971" s="36" t="n">
        <x:v>5</x:v>
      </x:c>
      <x:c r="F971" s="36" t="n">
        <x:v>5</x:v>
      </x:c>
      <x:c r="G971" s="36" t="n">
        <x:v>2</x:v>
      </x:c>
      <x:c r="H971" s="34" t="str">
        <x:v>cycle-observation</x:v>
      </x:c>
      <x:c r="I971" s="36" t="n">
        <x:v>1</x:v>
      </x:c>
      <x:c r="J971" s="34" t="str">
        <x:v>tomcat-findleaks-occurrence</x:v>
      </x:c>
      <x:c r="K971" s="34" t="str">
        <x:v>afterUndeploy.tomcatFindLeaksOccurrences</x:v>
      </x:c>
      <x:c r="L971" s="36" t="n">
        <x:v>1</x:v>
      </x:c>
      <x:c r="M971" s="34" t="str">
        <x:v>/jcs4</x:v>
      </x:c>
      <x:c r="N971" s="44" t="str">
        <x:v>/jcs4</x:v>
      </x:c>
    </x:row>
    <x:row r="972">
      <x:c r="A972" s="36" t="n">
        <x:v>971</x:v>
      </x:c>
      <x:c r="B972" s="34" t="str">
        <x:v>article1-unified-v4-2-fb3f101b-20260903-000401-default-f05-p3-jcs4</x:v>
      </x:c>
      <x:c r="C972" s="34" t="str">
        <x:v>default</x:v>
      </x:c>
      <x:c r="D972" s="34" t="str">
        <x:v>jcs4</x:v>
      </x:c>
      <x:c r="E972" s="36" t="n">
        <x:v>5</x:v>
      </x:c>
      <x:c r="F972" s="36" t="n">
        <x:v>5</x:v>
      </x:c>
      <x:c r="G972" s="36" t="n">
        <x:v>2</x:v>
      </x:c>
      <x:c r="H972" s="34" t="str">
        <x:v>cycle-observation</x:v>
      </x:c>
      <x:c r="I972" s="36" t="n">
        <x:v>2</x:v>
      </x:c>
      <x:c r="J972" s="34" t="str">
        <x:v>tomcat-findleaks-occurrence</x:v>
      </x:c>
      <x:c r="K972" s="34" t="str">
        <x:v>afterFinalUndeploy.tomcatFindLeaksOccurrences</x:v>
      </x:c>
      <x:c r="L972" s="36" t="n">
        <x:v>1</x:v>
      </x:c>
      <x:c r="M972" s="34" t="str">
        <x:v>/jcs4</x:v>
      </x:c>
      <x:c r="N972" s="44" t="str">
        <x:v>/jcs4</x:v>
      </x:c>
    </x:row>
    <x:row r="973">
      <x:c r="A973" s="36" t="n">
        <x:v>972</x:v>
      </x:c>
      <x:c r="B973" s="34" t="str">
        <x:v>article1-unified-v4-2-fb3f101b-20260903-000401-default-f05-p3-jcs4</x:v>
      </x:c>
      <x:c r="C973" s="34" t="str">
        <x:v>default</x:v>
      </x:c>
      <x:c r="D973" s="34" t="str">
        <x:v>jcs4</x:v>
      </x:c>
      <x:c r="E973" s="36" t="n">
        <x:v>5</x:v>
      </x:c>
      <x:c r="F973" s="36" t="n">
        <x:v>5</x:v>
      </x:c>
      <x:c r="G973" s="36" t="n">
        <x:v>3</x:v>
      </x:c>
      <x:c r="H973" s="34" t="str">
        <x:v>cycle-observation</x:v>
      </x:c>
      <x:c r="I973" s="36" t="n">
        <x:v>1</x:v>
      </x:c>
      <x:c r="J973" s="34" t="str">
        <x:v>tomcat-findleaks-occurrence</x:v>
      </x:c>
      <x:c r="K973" s="34" t="str">
        <x:v>afterUndeploy.tomcatFindLeaksOccurrences</x:v>
      </x:c>
      <x:c r="L973" s="36" t="n">
        <x:v>1</x:v>
      </x:c>
      <x:c r="M973" s="34" t="str">
        <x:v>/jcs4</x:v>
      </x:c>
      <x:c r="N973" s="44" t="str">
        <x:v>/jcs4</x:v>
      </x:c>
    </x:row>
    <x:row r="974">
      <x:c r="A974" s="36" t="n">
        <x:v>973</x:v>
      </x:c>
      <x:c r="B974" s="34" t="str">
        <x:v>article1-unified-v4-2-fb3f101b-20260903-000401-default-f05-p3-jcs4</x:v>
      </x:c>
      <x:c r="C974" s="34" t="str">
        <x:v>default</x:v>
      </x:c>
      <x:c r="D974" s="34" t="str">
        <x:v>jcs4</x:v>
      </x:c>
      <x:c r="E974" s="36" t="n">
        <x:v>5</x:v>
      </x:c>
      <x:c r="F974" s="36" t="n">
        <x:v>5</x:v>
      </x:c>
      <x:c r="G974" s="36" t="n">
        <x:v>3</x:v>
      </x:c>
      <x:c r="H974" s="34" t="str">
        <x:v>cycle-observation</x:v>
      </x:c>
      <x:c r="I974" s="36" t="n">
        <x:v>2</x:v>
      </x:c>
      <x:c r="J974" s="34" t="str">
        <x:v>tomcat-findleaks-occurrence</x:v>
      </x:c>
      <x:c r="K974" s="34" t="str">
        <x:v>afterFinalUndeploy.tomcatFindLeaksOccurrences</x:v>
      </x:c>
      <x:c r="L974" s="36" t="n">
        <x:v>1</x:v>
      </x:c>
      <x:c r="M974" s="34" t="str">
        <x:v>/jcs4</x:v>
      </x:c>
      <x:c r="N974" s="44" t="str">
        <x:v>/jcs4</x:v>
      </x:c>
    </x:row>
    <x:row r="975">
      <x:c r="A975" s="36" t="n">
        <x:v>974</x:v>
      </x:c>
      <x:c r="B975" s="34" t="str">
        <x:v>article1-unified-v4-2-fb3f101b-20260903-000401-default-f05-p3-jcs4</x:v>
      </x:c>
      <x:c r="C975" s="34" t="str">
        <x:v>default</x:v>
      </x:c>
      <x:c r="D975" s="34" t="str">
        <x:v>jcs4</x:v>
      </x:c>
      <x:c r="E975" s="36" t="n">
        <x:v>5</x:v>
      </x:c>
      <x:c r="F975" s="36" t="n">
        <x:v>5</x:v>
      </x:c>
      <x:c r="G975" s="36" t="n">
        <x:v>4</x:v>
      </x:c>
      <x:c r="H975" s="34" t="str">
        <x:v>cycle-observation</x:v>
      </x:c>
      <x:c r="I975" s="36" t="n">
        <x:v>1</x:v>
      </x:c>
      <x:c r="J975" s="34" t="str">
        <x:v>tomcat-findleaks-occurrence</x:v>
      </x:c>
      <x:c r="K975" s="34" t="str">
        <x:v>afterUndeploy.tomcatFindLeaksOccurrences</x:v>
      </x:c>
      <x:c r="L975" s="36" t="n">
        <x:v>1</x:v>
      </x:c>
      <x:c r="M975" s="34" t="str">
        <x:v>/jcs4</x:v>
      </x:c>
      <x:c r="N975" s="44" t="str">
        <x:v>/jcs4</x:v>
      </x:c>
    </x:row>
    <x:row r="976">
      <x:c r="A976" s="36" t="n">
        <x:v>975</x:v>
      </x:c>
      <x:c r="B976" s="34" t="str">
        <x:v>article1-unified-v4-2-fb3f101b-20260903-000401-default-f05-p3-jcs4</x:v>
      </x:c>
      <x:c r="C976" s="34" t="str">
        <x:v>default</x:v>
      </x:c>
      <x:c r="D976" s="34" t="str">
        <x:v>jcs4</x:v>
      </x:c>
      <x:c r="E976" s="36" t="n">
        <x:v>5</x:v>
      </x:c>
      <x:c r="F976" s="36" t="n">
        <x:v>5</x:v>
      </x:c>
      <x:c r="G976" s="36" t="n">
        <x:v>4</x:v>
      </x:c>
      <x:c r="H976" s="34" t="str">
        <x:v>cycle-observation</x:v>
      </x:c>
      <x:c r="I976" s="36" t="n">
        <x:v>2</x:v>
      </x:c>
      <x:c r="J976" s="34" t="str">
        <x:v>tomcat-findleaks-occurrence</x:v>
      </x:c>
      <x:c r="K976" s="34" t="str">
        <x:v>afterFinalUndeploy.tomcatFindLeaksOccurrences</x:v>
      </x:c>
      <x:c r="L976" s="36" t="n">
        <x:v>1</x:v>
      </x:c>
      <x:c r="M976" s="34" t="str">
        <x:v>/jcs4</x:v>
      </x:c>
      <x:c r="N976" s="44" t="str">
        <x:v>/jcs4</x:v>
      </x:c>
    </x:row>
    <x:row r="977">
      <x:c r="A977" s="36" t="n">
        <x:v>976</x:v>
      </x:c>
      <x:c r="B977" s="34" t="str">
        <x:v>article1-unified-v4-2-fb3f101b-20260903-000401-default-f05-p3-jcs4</x:v>
      </x:c>
      <x:c r="C977" s="34" t="str">
        <x:v>default</x:v>
      </x:c>
      <x:c r="D977" s="34" t="str">
        <x:v>jcs4</x:v>
      </x:c>
      <x:c r="E977" s="36" t="n">
        <x:v>5</x:v>
      </x:c>
      <x:c r="F977" s="36" t="n">
        <x:v>5</x:v>
      </x:c>
      <x:c r="G977" s="36" t="n">
        <x:v>5</x:v>
      </x:c>
      <x:c r="H977" s="34" t="str">
        <x:v>cycle-observation</x:v>
      </x:c>
      <x:c r="I977" s="36" t="n">
        <x:v>1</x:v>
      </x:c>
      <x:c r="J977" s="34" t="str">
        <x:v>tomcat-findleaks-occurrence</x:v>
      </x:c>
      <x:c r="K977" s="34" t="str">
        <x:v>afterUndeploy.tomcatFindLeaksOccurrences</x:v>
      </x:c>
      <x:c r="L977" s="36" t="n">
        <x:v>1</x:v>
      </x:c>
      <x:c r="M977" s="34" t="str">
        <x:v>/jcs4</x:v>
      </x:c>
      <x:c r="N977" s="44" t="str">
        <x:v>/jcs4</x:v>
      </x:c>
    </x:row>
    <x:row r="978">
      <x:c r="A978" s="36" t="n">
        <x:v>977</x:v>
      </x:c>
      <x:c r="B978" s="34" t="str">
        <x:v>article1-unified-v4-2-fb3f101b-20260903-000401-default-f05-p3-jcs4</x:v>
      </x:c>
      <x:c r="C978" s="34" t="str">
        <x:v>default</x:v>
      </x:c>
      <x:c r="D978" s="34" t="str">
        <x:v>jcs4</x:v>
      </x:c>
      <x:c r="E978" s="36" t="n">
        <x:v>5</x:v>
      </x:c>
      <x:c r="F978" s="36" t="n">
        <x:v>5</x:v>
      </x:c>
      <x:c r="G978" s="36" t="n">
        <x:v>5</x:v>
      </x:c>
      <x:c r="H978" s="34" t="str">
        <x:v>cycle-observation</x:v>
      </x:c>
      <x:c r="I978" s="36" t="n">
        <x:v>2</x:v>
      </x:c>
      <x:c r="J978" s="34" t="str">
        <x:v>tomcat-findleaks-occurrence</x:v>
      </x:c>
      <x:c r="K978" s="34" t="str">
        <x:v>afterFinalUndeploy.tomcatFindLeaksOccurrences</x:v>
      </x:c>
      <x:c r="L978" s="36" t="n">
        <x:v>1</x:v>
      </x:c>
      <x:c r="M978" s="34" t="str">
        <x:v>/jcs4</x:v>
      </x:c>
      <x:c r="N978" s="44" t="str">
        <x:v>/jcs4</x:v>
      </x:c>
    </x:row>
    <x:row r="979">
      <x:c r="A979" s="36" t="n">
        <x:v>978</x:v>
      </x:c>
      <x:c r="B979" s="34" t="str">
        <x:v>article1-unified-v4-2-fb3f101b-20260903-000401-default-f05-p4-caffeine</x:v>
      </x:c>
      <x:c r="C979" s="34" t="str">
        <x:v>default</x:v>
      </x:c>
      <x:c r="D979" s="34" t="str">
        <x:v>caffeine</x:v>
      </x:c>
      <x:c r="E979" s="36" t="n">
        <x:v>5</x:v>
      </x:c>
      <x:c r="F979" s="36" t="n">
        <x:v>5</x:v>
      </x:c>
      <x:c r="G979" s="36" t="n">
        <x:v>1</x:v>
      </x:c>
      <x:c r="H979" s="34" t="str">
        <x:v>cycle-observation</x:v>
      </x:c>
      <x:c r="I979" s="36" t="n">
        <x:v>1</x:v>
      </x:c>
      <x:c r="J979" s="34" t="str">
        <x:v>tomcat-findleaks-occurrence</x:v>
      </x:c>
      <x:c r="K979" s="34" t="str">
        <x:v>afterUndeploy.tomcatFindLeaksOccurrences</x:v>
      </x:c>
      <x:c r="L979" s="36" t="n">
        <x:v>1</x:v>
      </x:c>
      <x:c r="M979" s="34" t="str">
        <x:v>/caffeine</x:v>
      </x:c>
      <x:c r="N979" s="44" t="str">
        <x:v>/caffeine</x:v>
      </x:c>
    </x:row>
    <x:row r="980">
      <x:c r="A980" s="36" t="n">
        <x:v>979</x:v>
      </x:c>
      <x:c r="B980" s="34" t="str">
        <x:v>article1-unified-v4-2-fb3f101b-20260903-000401-default-f05-p4-caffeine</x:v>
      </x:c>
      <x:c r="C980" s="34" t="str">
        <x:v>default</x:v>
      </x:c>
      <x:c r="D980" s="34" t="str">
        <x:v>caffeine</x:v>
      </x:c>
      <x:c r="E980" s="36" t="n">
        <x:v>5</x:v>
      </x:c>
      <x:c r="F980" s="36" t="n">
        <x:v>5</x:v>
      </x:c>
      <x:c r="G980" s="36" t="n">
        <x:v>1</x:v>
      </x:c>
      <x:c r="H980" s="34" t="str">
        <x:v>cycle-observation</x:v>
      </x:c>
      <x:c r="I980" s="36" t="n">
        <x:v>2</x:v>
      </x:c>
      <x:c r="J980" s="34" t="str">
        <x:v>tomcat-findleaks-occurrence</x:v>
      </x:c>
      <x:c r="K980" s="34" t="str">
        <x:v>afterFinalUndeploy.tomcatFindLeaksOccurrences</x:v>
      </x:c>
      <x:c r="L980" s="36" t="n">
        <x:v>1</x:v>
      </x:c>
      <x:c r="M980" s="34" t="str">
        <x:v>/caffeine</x:v>
      </x:c>
      <x:c r="N980" s="44" t="str">
        <x:v>/caffeine</x:v>
      </x:c>
    </x:row>
    <x:row r="981">
      <x:c r="A981" s="36" t="n">
        <x:v>980</x:v>
      </x:c>
      <x:c r="B981" s="34" t="str">
        <x:v>article1-unified-v4-2-fb3f101b-20260903-000401-default-f05-p4-caffeine</x:v>
      </x:c>
      <x:c r="C981" s="34" t="str">
        <x:v>default</x:v>
      </x:c>
      <x:c r="D981" s="34" t="str">
        <x:v>caffeine</x:v>
      </x:c>
      <x:c r="E981" s="36" t="n">
        <x:v>5</x:v>
      </x:c>
      <x:c r="F981" s="36" t="n">
        <x:v>5</x:v>
      </x:c>
      <x:c r="G981" s="36" t="n">
        <x:v>1</x:v>
      </x:c>
      <x:c r="H981" s="34" t="str">
        <x:v>cycle-observation</x:v>
      </x:c>
      <x:c r="I981" s="36" t="n">
        <x:v>2</x:v>
      </x:c>
      <x:c r="J981" s="34" t="str">
        <x:v>tomcat-findleaks-occurrence</x:v>
      </x:c>
      <x:c r="K981" s="34" t="str">
        <x:v>afterFinalUndeploy.tomcatFindLeaksOccurrences</x:v>
      </x:c>
      <x:c r="L981" s="36" t="n">
        <x:v>2</x:v>
      </x:c>
      <x:c r="M981" s="34" t="str">
        <x:v>/caffeine</x:v>
      </x:c>
      <x:c r="N981" s="44" t="str">
        <x:v>/caffeine</x:v>
      </x:c>
    </x:row>
    <x:row r="982">
      <x:c r="A982" s="36" t="n">
        <x:v>981</x:v>
      </x:c>
      <x:c r="B982" s="34" t="str">
        <x:v>article1-unified-v4-2-fb3f101b-20260903-000401-default-f05-p4-caffeine</x:v>
      </x:c>
      <x:c r="C982" s="34" t="str">
        <x:v>default</x:v>
      </x:c>
      <x:c r="D982" s="34" t="str">
        <x:v>caffeine</x:v>
      </x:c>
      <x:c r="E982" s="36" t="n">
        <x:v>5</x:v>
      </x:c>
      <x:c r="F982" s="36" t="n">
        <x:v>5</x:v>
      </x:c>
      <x:c r="G982" s="36" t="n">
        <x:v>2</x:v>
      </x:c>
      <x:c r="H982" s="34" t="str">
        <x:v>cycle-observation</x:v>
      </x:c>
      <x:c r="I982" s="36" t="n">
        <x:v>1</x:v>
      </x:c>
      <x:c r="J982" s="34" t="str">
        <x:v>tomcat-findleaks-occurrence</x:v>
      </x:c>
      <x:c r="K982" s="34" t="str">
        <x:v>afterUndeploy.tomcatFindLeaksOccurrences</x:v>
      </x:c>
      <x:c r="L982" s="36" t="n">
        <x:v>1</x:v>
      </x:c>
      <x:c r="M982" s="34" t="str">
        <x:v>/caffeine</x:v>
      </x:c>
      <x:c r="N982" s="44" t="str">
        <x:v>/caffeine</x:v>
      </x:c>
    </x:row>
    <x:row r="983">
      <x:c r="A983" s="36" t="n">
        <x:v>982</x:v>
      </x:c>
      <x:c r="B983" s="34" t="str">
        <x:v>article1-unified-v4-2-fb3f101b-20260903-000401-default-f05-p4-caffeine</x:v>
      </x:c>
      <x:c r="C983" s="34" t="str">
        <x:v>default</x:v>
      </x:c>
      <x:c r="D983" s="34" t="str">
        <x:v>caffeine</x:v>
      </x:c>
      <x:c r="E983" s="36" t="n">
        <x:v>5</x:v>
      </x:c>
      <x:c r="F983" s="36" t="n">
        <x:v>5</x:v>
      </x:c>
      <x:c r="G983" s="36" t="n">
        <x:v>2</x:v>
      </x:c>
      <x:c r="H983" s="34" t="str">
        <x:v>cycle-observation</x:v>
      </x:c>
      <x:c r="I983" s="36" t="n">
        <x:v>2</x:v>
      </x:c>
      <x:c r="J983" s="34" t="str">
        <x:v>tomcat-findleaks-occurrence</x:v>
      </x:c>
      <x:c r="K983" s="34" t="str">
        <x:v>afterFinalUndeploy.tomcatFindLeaksOccurrences</x:v>
      </x:c>
      <x:c r="L983" s="36" t="n">
        <x:v>1</x:v>
      </x:c>
      <x:c r="M983" s="34" t="str">
        <x:v>/caffeine</x:v>
      </x:c>
      <x:c r="N983" s="44" t="str">
        <x:v>/caffeine</x:v>
      </x:c>
    </x:row>
    <x:row r="984">
      <x:c r="A984" s="36" t="n">
        <x:v>983</x:v>
      </x:c>
      <x:c r="B984" s="34" t="str">
        <x:v>article1-unified-v4-2-fb3f101b-20260903-000401-default-f05-p4-caffeine</x:v>
      </x:c>
      <x:c r="C984" s="34" t="str">
        <x:v>default</x:v>
      </x:c>
      <x:c r="D984" s="34" t="str">
        <x:v>caffeine</x:v>
      </x:c>
      <x:c r="E984" s="36" t="n">
        <x:v>5</x:v>
      </x:c>
      <x:c r="F984" s="36" t="n">
        <x:v>5</x:v>
      </x:c>
      <x:c r="G984" s="36" t="n">
        <x:v>3</x:v>
      </x:c>
      <x:c r="H984" s="34" t="str">
        <x:v>cycle-observation</x:v>
      </x:c>
      <x:c r="I984" s="36" t="n">
        <x:v>1</x:v>
      </x:c>
      <x:c r="J984" s="34" t="str">
        <x:v>tomcat-findleaks-occurrence</x:v>
      </x:c>
      <x:c r="K984" s="34" t="str">
        <x:v>afterUndeploy.tomcatFindLeaksOccurrences</x:v>
      </x:c>
      <x:c r="L984" s="36" t="n">
        <x:v>1</x:v>
      </x:c>
      <x:c r="M984" s="34" t="str">
        <x:v>/caffeine</x:v>
      </x:c>
      <x:c r="N984" s="44" t="str">
        <x:v>/caffeine</x:v>
      </x:c>
    </x:row>
    <x:row r="985">
      <x:c r="A985" s="36" t="n">
        <x:v>984</x:v>
      </x:c>
      <x:c r="B985" s="34" t="str">
        <x:v>article1-unified-v4-2-fb3f101b-20260903-000401-default-f05-p4-caffeine</x:v>
      </x:c>
      <x:c r="C985" s="34" t="str">
        <x:v>default</x:v>
      </x:c>
      <x:c r="D985" s="34" t="str">
        <x:v>caffeine</x:v>
      </x:c>
      <x:c r="E985" s="36" t="n">
        <x:v>5</x:v>
      </x:c>
      <x:c r="F985" s="36" t="n">
        <x:v>5</x:v>
      </x:c>
      <x:c r="G985" s="36" t="n">
        <x:v>3</x:v>
      </x:c>
      <x:c r="H985" s="34" t="str">
        <x:v>cycle-observation</x:v>
      </x:c>
      <x:c r="I985" s="36" t="n">
        <x:v>2</x:v>
      </x:c>
      <x:c r="J985" s="34" t="str">
        <x:v>tomcat-findleaks-occurrence</x:v>
      </x:c>
      <x:c r="K985" s="34" t="str">
        <x:v>afterFinalUndeploy.tomcatFindLeaksOccurrences</x:v>
      </x:c>
      <x:c r="L985" s="36" t="n">
        <x:v>1</x:v>
      </x:c>
      <x:c r="M985" s="34" t="str">
        <x:v>/caffeine</x:v>
      </x:c>
      <x:c r="N985" s="44" t="str">
        <x:v>/caffeine</x:v>
      </x:c>
    </x:row>
    <x:row r="986">
      <x:c r="A986" s="36" t="n">
        <x:v>985</x:v>
      </x:c>
      <x:c r="B986" s="34" t="str">
        <x:v>article1-unified-v4-2-fb3f101b-20260903-000401-default-f05-p4-caffeine</x:v>
      </x:c>
      <x:c r="C986" s="34" t="str">
        <x:v>default</x:v>
      </x:c>
      <x:c r="D986" s="34" t="str">
        <x:v>caffeine</x:v>
      </x:c>
      <x:c r="E986" s="36" t="n">
        <x:v>5</x:v>
      </x:c>
      <x:c r="F986" s="36" t="n">
        <x:v>5</x:v>
      </x:c>
      <x:c r="G986" s="36" t="n">
        <x:v>4</x:v>
      </x:c>
      <x:c r="H986" s="34" t="str">
        <x:v>cycle-observation</x:v>
      </x:c>
      <x:c r="I986" s="36" t="n">
        <x:v>1</x:v>
      </x:c>
      <x:c r="J986" s="34" t="str">
        <x:v>tomcat-findleaks-occurrence</x:v>
      </x:c>
      <x:c r="K986" s="34" t="str">
        <x:v>afterUndeploy.tomcatFindLeaksOccurrences</x:v>
      </x:c>
      <x:c r="L986" s="36" t="n">
        <x:v>1</x:v>
      </x:c>
      <x:c r="M986" s="34" t="str">
        <x:v>/caffeine</x:v>
      </x:c>
      <x:c r="N986" s="44" t="str">
        <x:v>/caffeine</x:v>
      </x:c>
    </x:row>
    <x:row r="987">
      <x:c r="A987" s="36" t="n">
        <x:v>986</x:v>
      </x:c>
      <x:c r="B987" s="34" t="str">
        <x:v>article1-unified-v4-2-fb3f101b-20260903-000401-default-f05-p4-caffeine</x:v>
      </x:c>
      <x:c r="C987" s="34" t="str">
        <x:v>default</x:v>
      </x:c>
      <x:c r="D987" s="34" t="str">
        <x:v>caffeine</x:v>
      </x:c>
      <x:c r="E987" s="36" t="n">
        <x:v>5</x:v>
      </x:c>
      <x:c r="F987" s="36" t="n">
        <x:v>5</x:v>
      </x:c>
      <x:c r="G987" s="36" t="n">
        <x:v>4</x:v>
      </x:c>
      <x:c r="H987" s="34" t="str">
        <x:v>cycle-observation</x:v>
      </x:c>
      <x:c r="I987" s="36" t="n">
        <x:v>2</x:v>
      </x:c>
      <x:c r="J987" s="34" t="str">
        <x:v>tomcat-findleaks-occurrence</x:v>
      </x:c>
      <x:c r="K987" s="34" t="str">
        <x:v>afterFinalUndeploy.tomcatFindLeaksOccurrences</x:v>
      </x:c>
      <x:c r="L987" s="36" t="n">
        <x:v>1</x:v>
      </x:c>
      <x:c r="M987" s="34" t="str">
        <x:v>/caffeine</x:v>
      </x:c>
      <x:c r="N987" s="44" t="str">
        <x:v>/caffeine</x:v>
      </x:c>
    </x:row>
    <x:row r="988">
      <x:c r="A988" s="36" t="n">
        <x:v>987</x:v>
      </x:c>
      <x:c r="B988" s="34" t="str">
        <x:v>article1-unified-v4-2-fb3f101b-20260903-000401-default-f05-p4-caffeine</x:v>
      </x:c>
      <x:c r="C988" s="34" t="str">
        <x:v>default</x:v>
      </x:c>
      <x:c r="D988" s="34" t="str">
        <x:v>caffeine</x:v>
      </x:c>
      <x:c r="E988" s="36" t="n">
        <x:v>5</x:v>
      </x:c>
      <x:c r="F988" s="36" t="n">
        <x:v>5</x:v>
      </x:c>
      <x:c r="G988" s="36" t="n">
        <x:v>5</x:v>
      </x:c>
      <x:c r="H988" s="34" t="str">
        <x:v>cycle-observation</x:v>
      </x:c>
      <x:c r="I988" s="36" t="n">
        <x:v>1</x:v>
      </x:c>
      <x:c r="J988" s="34" t="str">
        <x:v>tomcat-findleaks-occurrence</x:v>
      </x:c>
      <x:c r="K988" s="34" t="str">
        <x:v>afterUndeploy.tomcatFindLeaksOccurrences</x:v>
      </x:c>
      <x:c r="L988" s="36" t="n">
        <x:v>1</x:v>
      </x:c>
      <x:c r="M988" s="34" t="str">
        <x:v>/caffeine</x:v>
      </x:c>
      <x:c r="N988" s="44" t="str">
        <x:v>/caffeine</x:v>
      </x:c>
    </x:row>
    <x:row r="989">
      <x:c r="A989" s="36" t="n">
        <x:v>988</x:v>
      </x:c>
      <x:c r="B989" s="34" t="str">
        <x:v>article1-unified-v4-2-fb3f101b-20260903-000401-default-f05-p4-caffeine</x:v>
      </x:c>
      <x:c r="C989" s="34" t="str">
        <x:v>default</x:v>
      </x:c>
      <x:c r="D989" s="34" t="str">
        <x:v>caffeine</x:v>
      </x:c>
      <x:c r="E989" s="36" t="n">
        <x:v>5</x:v>
      </x:c>
      <x:c r="F989" s="36" t="n">
        <x:v>5</x:v>
      </x:c>
      <x:c r="G989" s="36" t="n">
        <x:v>5</x:v>
      </x:c>
      <x:c r="H989" s="34" t="str">
        <x:v>cycle-observation</x:v>
      </x:c>
      <x:c r="I989" s="36" t="n">
        <x:v>2</x:v>
      </x:c>
      <x:c r="J989" s="34" t="str">
        <x:v>tomcat-findleaks-occurrence</x:v>
      </x:c>
      <x:c r="K989" s="34" t="str">
        <x:v>afterFinalUndeploy.tomcatFindLeaksOccurrences</x:v>
      </x:c>
      <x:c r="L989" s="36" t="n">
        <x:v>1</x:v>
      </x:c>
      <x:c r="M989" s="34" t="str">
        <x:v>/caffeine</x:v>
      </x:c>
      <x:c r="N989" s="44" t="str">
        <x:v>/caffeine</x:v>
      </x:c>
    </x:row>
    <x:row r="990">
      <x:c r="A990" s="36" t="n">
        <x:v>989</x:v>
      </x:c>
      <x:c r="B990" s="34" t="str">
        <x:v>article1-unified-v4-2-fb3f101b-20260903-000401-default-f05-p5-cache2k</x:v>
      </x:c>
      <x:c r="C990" s="34" t="str">
        <x:v>default</x:v>
      </x:c>
      <x:c r="D990" s="34" t="str">
        <x:v>cache2k</x:v>
      </x:c>
      <x:c r="E990" s="36" t="n">
        <x:v>5</x:v>
      </x:c>
      <x:c r="F990" s="36" t="n">
        <x:v>5</x:v>
      </x:c>
      <x:c r="G990" s="36" t="n">
        <x:v>1</x:v>
      </x:c>
      <x:c r="H990" s="34" t="str">
        <x:v>cycle-observation</x:v>
      </x:c>
      <x:c r="I990" s="36" t="n">
        <x:v>1</x:v>
      </x:c>
      <x:c r="J990" s="34" t="str">
        <x:v>tomcat-findleaks-occurrence</x:v>
      </x:c>
      <x:c r="K990" s="34" t="str">
        <x:v>afterUndeploy.tomcatFindLeaksOccurrences</x:v>
      </x:c>
      <x:c r="L990" s="36" t="n">
        <x:v>1</x:v>
      </x:c>
      <x:c r="M990" s="34" t="str">
        <x:v>/cache2k</x:v>
      </x:c>
      <x:c r="N990" s="44" t="str">
        <x:v>/cache2k</x:v>
      </x:c>
    </x:row>
    <x:row r="991">
      <x:c r="A991" s="36" t="n">
        <x:v>990</x:v>
      </x:c>
      <x:c r="B991" s="34" t="str">
        <x:v>article1-unified-v4-2-fb3f101b-20260903-000401-default-f05-p5-cache2k</x:v>
      </x:c>
      <x:c r="C991" s="34" t="str">
        <x:v>default</x:v>
      </x:c>
      <x:c r="D991" s="34" t="str">
        <x:v>cache2k</x:v>
      </x:c>
      <x:c r="E991" s="36" t="n">
        <x:v>5</x:v>
      </x:c>
      <x:c r="F991" s="36" t="n">
        <x:v>5</x:v>
      </x:c>
      <x:c r="G991" s="36" t="n">
        <x:v>1</x:v>
      </x:c>
      <x:c r="H991" s="34" t="str">
        <x:v>cycle-observation</x:v>
      </x:c>
      <x:c r="I991" s="36" t="n">
        <x:v>2</x:v>
      </x:c>
      <x:c r="J991" s="34" t="str">
        <x:v>tomcat-findleaks-occurrence</x:v>
      </x:c>
      <x:c r="K991" s="34" t="str">
        <x:v>afterFinalUndeploy.tomcatFindLeaksOccurrences</x:v>
      </x:c>
      <x:c r="L991" s="36" t="n">
        <x:v>1</x:v>
      </x:c>
      <x:c r="M991" s="34" t="str">
        <x:v>/cache2k</x:v>
      </x:c>
      <x:c r="N991" s="44" t="str">
        <x:v>/cache2k</x:v>
      </x:c>
    </x:row>
    <x:row r="992">
      <x:c r="A992" s="36" t="n">
        <x:v>991</x:v>
      </x:c>
      <x:c r="B992" s="34" t="str">
        <x:v>article1-unified-v4-2-fb3f101b-20260903-000401-default-f05-p5-cache2k</x:v>
      </x:c>
      <x:c r="C992" s="34" t="str">
        <x:v>default</x:v>
      </x:c>
      <x:c r="D992" s="34" t="str">
        <x:v>cache2k</x:v>
      </x:c>
      <x:c r="E992" s="36" t="n">
        <x:v>5</x:v>
      </x:c>
      <x:c r="F992" s="36" t="n">
        <x:v>5</x:v>
      </x:c>
      <x:c r="G992" s="36" t="n">
        <x:v>2</x:v>
      </x:c>
      <x:c r="H992" s="34" t="str">
        <x:v>cycle-observation</x:v>
      </x:c>
      <x:c r="I992" s="36" t="n">
        <x:v>1</x:v>
      </x:c>
      <x:c r="J992" s="34" t="str">
        <x:v>tomcat-findleaks-occurrence</x:v>
      </x:c>
      <x:c r="K992" s="34" t="str">
        <x:v>afterUndeploy.tomcatFindLeaksOccurrences</x:v>
      </x:c>
      <x:c r="L992" s="36" t="n">
        <x:v>1</x:v>
      </x:c>
      <x:c r="M992" s="34" t="str">
        <x:v>/cache2k</x:v>
      </x:c>
      <x:c r="N992" s="44" t="str">
        <x:v>/cache2k</x:v>
      </x:c>
    </x:row>
    <x:row r="993">
      <x:c r="A993" s="36" t="n">
        <x:v>992</x:v>
      </x:c>
      <x:c r="B993" s="34" t="str">
        <x:v>article1-unified-v4-2-fb3f101b-20260903-000401-default-f05-p5-cache2k</x:v>
      </x:c>
      <x:c r="C993" s="34" t="str">
        <x:v>default</x:v>
      </x:c>
      <x:c r="D993" s="34" t="str">
        <x:v>cache2k</x:v>
      </x:c>
      <x:c r="E993" s="36" t="n">
        <x:v>5</x:v>
      </x:c>
      <x:c r="F993" s="36" t="n">
        <x:v>5</x:v>
      </x:c>
      <x:c r="G993" s="36" t="n">
        <x:v>2</x:v>
      </x:c>
      <x:c r="H993" s="34" t="str">
        <x:v>cycle-observation</x:v>
      </x:c>
      <x:c r="I993" s="36" t="n">
        <x:v>2</x:v>
      </x:c>
      <x:c r="J993" s="34" t="str">
        <x:v>tomcat-findleaks-occurrence</x:v>
      </x:c>
      <x:c r="K993" s="34" t="str">
        <x:v>afterFinalUndeploy.tomcatFindLeaksOccurrences</x:v>
      </x:c>
      <x:c r="L993" s="36" t="n">
        <x:v>1</x:v>
      </x:c>
      <x:c r="M993" s="34" t="str">
        <x:v>/cache2k</x:v>
      </x:c>
      <x:c r="N993" s="44" t="str">
        <x:v>/cache2k</x:v>
      </x:c>
    </x:row>
    <x:row r="994">
      <x:c r="A994" s="36" t="n">
        <x:v>993</x:v>
      </x:c>
      <x:c r="B994" s="34" t="str">
        <x:v>article1-unified-v4-2-fb3f101b-20260903-000401-default-f05-p5-cache2k</x:v>
      </x:c>
      <x:c r="C994" s="34" t="str">
        <x:v>default</x:v>
      </x:c>
      <x:c r="D994" s="34" t="str">
        <x:v>cache2k</x:v>
      </x:c>
      <x:c r="E994" s="36" t="n">
        <x:v>5</x:v>
      </x:c>
      <x:c r="F994" s="36" t="n">
        <x:v>5</x:v>
      </x:c>
      <x:c r="G994" s="36" t="n">
        <x:v>3</x:v>
      </x:c>
      <x:c r="H994" s="34" t="str">
        <x:v>cycle-observation</x:v>
      </x:c>
      <x:c r="I994" s="36" t="n">
        <x:v>1</x:v>
      </x:c>
      <x:c r="J994" s="34" t="str">
        <x:v>tomcat-findleaks-occurrence</x:v>
      </x:c>
      <x:c r="K994" s="34" t="str">
        <x:v>afterUndeploy.tomcatFindLeaksOccurrences</x:v>
      </x:c>
      <x:c r="L994" s="36" t="n">
        <x:v>1</x:v>
      </x:c>
      <x:c r="M994" s="34" t="str">
        <x:v>/cache2k</x:v>
      </x:c>
      <x:c r="N994" s="44" t="str">
        <x:v>/cache2k</x:v>
      </x:c>
    </x:row>
    <x:row r="995">
      <x:c r="A995" s="36" t="n">
        <x:v>994</x:v>
      </x:c>
      <x:c r="B995" s="34" t="str">
        <x:v>article1-unified-v4-2-fb3f101b-20260903-000401-default-f05-p5-cache2k</x:v>
      </x:c>
      <x:c r="C995" s="34" t="str">
        <x:v>default</x:v>
      </x:c>
      <x:c r="D995" s="34" t="str">
        <x:v>cache2k</x:v>
      </x:c>
      <x:c r="E995" s="36" t="n">
        <x:v>5</x:v>
      </x:c>
      <x:c r="F995" s="36" t="n">
        <x:v>5</x:v>
      </x:c>
      <x:c r="G995" s="36" t="n">
        <x:v>3</x:v>
      </x:c>
      <x:c r="H995" s="34" t="str">
        <x:v>cycle-observation</x:v>
      </x:c>
      <x:c r="I995" s="36" t="n">
        <x:v>2</x:v>
      </x:c>
      <x:c r="J995" s="34" t="str">
        <x:v>tomcat-findleaks-occurrence</x:v>
      </x:c>
      <x:c r="K995" s="34" t="str">
        <x:v>afterFinalUndeploy.tomcatFindLeaksOccurrences</x:v>
      </x:c>
      <x:c r="L995" s="36" t="n">
        <x:v>1</x:v>
      </x:c>
      <x:c r="M995" s="34" t="str">
        <x:v>/cache2k</x:v>
      </x:c>
      <x:c r="N995" s="44" t="str">
        <x:v>/cache2k</x:v>
      </x:c>
    </x:row>
    <x:row r="996">
      <x:c r="A996" s="36" t="n">
        <x:v>995</x:v>
      </x:c>
      <x:c r="B996" s="34" t="str">
        <x:v>article1-unified-v4-2-fb3f101b-20260903-000401-default-f05-p5-cache2k</x:v>
      </x:c>
      <x:c r="C996" s="34" t="str">
        <x:v>default</x:v>
      </x:c>
      <x:c r="D996" s="34" t="str">
        <x:v>cache2k</x:v>
      </x:c>
      <x:c r="E996" s="36" t="n">
        <x:v>5</x:v>
      </x:c>
      <x:c r="F996" s="36" t="n">
        <x:v>5</x:v>
      </x:c>
      <x:c r="G996" s="36" t="n">
        <x:v>4</x:v>
      </x:c>
      <x:c r="H996" s="34" t="str">
        <x:v>cycle-observation</x:v>
      </x:c>
      <x:c r="I996" s="36" t="n">
        <x:v>1</x:v>
      </x:c>
      <x:c r="J996" s="34" t="str">
        <x:v>tomcat-findleaks-occurrence</x:v>
      </x:c>
      <x:c r="K996" s="34" t="str">
        <x:v>afterUndeploy.tomcatFindLeaksOccurrences</x:v>
      </x:c>
      <x:c r="L996" s="36" t="n">
        <x:v>1</x:v>
      </x:c>
      <x:c r="M996" s="34" t="str">
        <x:v>/cache2k</x:v>
      </x:c>
      <x:c r="N996" s="44" t="str">
        <x:v>/cache2k</x:v>
      </x:c>
    </x:row>
    <x:row r="997">
      <x:c r="A997" s="36" t="n">
        <x:v>996</x:v>
      </x:c>
      <x:c r="B997" s="34" t="str">
        <x:v>article1-unified-v4-2-fb3f101b-20260903-000401-default-f05-p5-cache2k</x:v>
      </x:c>
      <x:c r="C997" s="34" t="str">
        <x:v>default</x:v>
      </x:c>
      <x:c r="D997" s="34" t="str">
        <x:v>cache2k</x:v>
      </x:c>
      <x:c r="E997" s="36" t="n">
        <x:v>5</x:v>
      </x:c>
      <x:c r="F997" s="36" t="n">
        <x:v>5</x:v>
      </x:c>
      <x:c r="G997" s="36" t="n">
        <x:v>4</x:v>
      </x:c>
      <x:c r="H997" s="34" t="str">
        <x:v>cycle-observation</x:v>
      </x:c>
      <x:c r="I997" s="36" t="n">
        <x:v>2</x:v>
      </x:c>
      <x:c r="J997" s="34" t="str">
        <x:v>tomcat-findleaks-occurrence</x:v>
      </x:c>
      <x:c r="K997" s="34" t="str">
        <x:v>afterFinalUndeploy.tomcatFindLeaksOccurrences</x:v>
      </x:c>
      <x:c r="L997" s="36" t="n">
        <x:v>1</x:v>
      </x:c>
      <x:c r="M997" s="34" t="str">
        <x:v>/cache2k</x:v>
      </x:c>
      <x:c r="N997" s="44" t="str">
        <x:v>/cache2k</x:v>
      </x:c>
    </x:row>
    <x:row r="998">
      <x:c r="A998" s="36" t="n">
        <x:v>997</x:v>
      </x:c>
      <x:c r="B998" s="34" t="str">
        <x:v>article1-unified-v4-2-fb3f101b-20260903-000401-default-f05-p5-cache2k</x:v>
      </x:c>
      <x:c r="C998" s="34" t="str">
        <x:v>default</x:v>
      </x:c>
      <x:c r="D998" s="34" t="str">
        <x:v>cache2k</x:v>
      </x:c>
      <x:c r="E998" s="36" t="n">
        <x:v>5</x:v>
      </x:c>
      <x:c r="F998" s="36" t="n">
        <x:v>5</x:v>
      </x:c>
      <x:c r="G998" s="36" t="n">
        <x:v>5</x:v>
      </x:c>
      <x:c r="H998" s="34" t="str">
        <x:v>cycle-observation</x:v>
      </x:c>
      <x:c r="I998" s="36" t="n">
        <x:v>1</x:v>
      </x:c>
      <x:c r="J998" s="34" t="str">
        <x:v>tomcat-findleaks-occurrence</x:v>
      </x:c>
      <x:c r="K998" s="34" t="str">
        <x:v>afterUndeploy.tomcatFindLeaksOccurrences</x:v>
      </x:c>
      <x:c r="L998" s="36" t="n">
        <x:v>1</x:v>
      </x:c>
      <x:c r="M998" s="34" t="str">
        <x:v>/cache2k</x:v>
      </x:c>
      <x:c r="N998" s="44" t="str">
        <x:v>/cache2k</x:v>
      </x:c>
    </x:row>
    <x:row r="999">
      <x:c r="A999" s="36" t="n">
        <x:v>998</x:v>
      </x:c>
      <x:c r="B999" s="34" t="str">
        <x:v>article1-unified-v4-2-fb3f101b-20260903-000401-default-f05-p5-cache2k</x:v>
      </x:c>
      <x:c r="C999" s="34" t="str">
        <x:v>default</x:v>
      </x:c>
      <x:c r="D999" s="34" t="str">
        <x:v>cache2k</x:v>
      </x:c>
      <x:c r="E999" s="36" t="n">
        <x:v>5</x:v>
      </x:c>
      <x:c r="F999" s="36" t="n">
        <x:v>5</x:v>
      </x:c>
      <x:c r="G999" s="36" t="n">
        <x:v>5</x:v>
      </x:c>
      <x:c r="H999" s="34" t="str">
        <x:v>cycle-observation</x:v>
      </x:c>
      <x:c r="I999" s="36" t="n">
        <x:v>2</x:v>
      </x:c>
      <x:c r="J999" s="34" t="str">
        <x:v>tomcat-findleaks-occurrence</x:v>
      </x:c>
      <x:c r="K999" s="34" t="str">
        <x:v>afterFinalUndeploy.tomcatFindLeaksOccurrences</x:v>
      </x:c>
      <x:c r="L999" s="36" t="n">
        <x:v>1</x:v>
      </x:c>
      <x:c r="M999" s="34" t="str">
        <x:v>/cache2k</x:v>
      </x:c>
      <x:c r="N999" s="44" t="str">
        <x:v>/cache2k</x:v>
      </x:c>
    </x:row>
    <x:row r="1000">
      <x:c r="A1000" s="36" t="n">
        <x:v>999</x:v>
      </x:c>
      <x:c r="B1000" s="34" t="str">
        <x:v>article1-unified-v4-2-fb3f101b-20260903-000401-default-f05-p6-ehcache</x:v>
      </x:c>
      <x:c r="C1000" s="34" t="str">
        <x:v>default</x:v>
      </x:c>
      <x:c r="D1000" s="34" t="str">
        <x:v>ehcache</x:v>
      </x:c>
      <x:c r="E1000" s="36" t="n">
        <x:v>5</x:v>
      </x:c>
      <x:c r="F1000" s="36" t="n">
        <x:v>5</x:v>
      </x:c>
      <x:c r="G1000" s="36"/>
      <x:c r="H1000" s="34" t="str">
        <x:v>process-run-aggregate</x:v>
      </x:c>
      <x:c r="I1000" s="36"/>
      <x:c r="J1000" s="34" t="str">
        <x:v>warning</x:v>
      </x:c>
      <x:c r="K1000" s="34" t="str">
        <x:v>warnings</x:v>
      </x:c>
      <x:c r="L1000" s="36" t="n">
        <x:v>1</x:v>
      </x:c>
      <x:c r="M1000" s="34"/>
      <x:c r="N1000" s="44" t="str">
        <x:v>WARNING: A terminally deprecated method in sun.misc.Unsafe has been called</x:v>
      </x:c>
    </x:row>
    <x:row r="1001">
      <x:c r="A1001" s="36" t="n">
        <x:v>1000</x:v>
      </x:c>
      <x:c r="B1001" s="34" t="str">
        <x:v>article1-unified-v4-2-fb3f101b-20260903-000401-default-f05-p6-ehcache</x:v>
      </x:c>
      <x:c r="C1001" s="34" t="str">
        <x:v>default</x:v>
      </x:c>
      <x:c r="D1001" s="34" t="str">
        <x:v>ehcache</x:v>
      </x:c>
      <x:c r="E1001" s="36" t="n">
        <x:v>5</x:v>
      </x:c>
      <x:c r="F1001" s="36" t="n">
        <x:v>5</x:v>
      </x:c>
      <x:c r="G1001" s="36"/>
      <x:c r="H1001" s="34" t="str">
        <x:v>process-run-aggregate</x:v>
      </x:c>
      <x:c r="I1001" s="36"/>
      <x:c r="J1001" s="34" t="str">
        <x:v>warning</x:v>
      </x:c>
      <x:c r="K1001" s="34" t="str">
        <x:v>warnings</x:v>
      </x:c>
      <x:c r="L1001" s="36" t="n">
        <x:v>2</x:v>
      </x:c>
      <x:c r="M1001" s="34"/>
      <x:c r="N1001" s="44" t="str">
        <x:v>WARNING: sun.misc.Unsafe::objectFieldOffset has been called by org.ehcache.impl.internal.concurrent.ThreadLocalRandomUtil (file:/usr/local/tomcat/webapps/ehcache/WEB-INF/lib/ehcache-3.12.0.jar)</x:v>
      </x:c>
    </x:row>
    <x:row r="1002">
      <x:c r="A1002" s="36" t="n">
        <x:v>1001</x:v>
      </x:c>
      <x:c r="B1002" s="34" t="str">
        <x:v>article1-unified-v4-2-fb3f101b-20260903-000401-default-f05-p6-ehcache</x:v>
      </x:c>
      <x:c r="C1002" s="34" t="str">
        <x:v>default</x:v>
      </x:c>
      <x:c r="D1002" s="34" t="str">
        <x:v>ehcache</x:v>
      </x:c>
      <x:c r="E1002" s="36" t="n">
        <x:v>5</x:v>
      </x:c>
      <x:c r="F1002" s="36" t="n">
        <x:v>5</x:v>
      </x:c>
      <x:c r="G1002" s="36"/>
      <x:c r="H1002" s="34" t="str">
        <x:v>process-run-aggregate</x:v>
      </x:c>
      <x:c r="I1002" s="36"/>
      <x:c r="J1002" s="34" t="str">
        <x:v>warning</x:v>
      </x:c>
      <x:c r="K1002" s="34" t="str">
        <x:v>warnings</x:v>
      </x:c>
      <x:c r="L1002" s="36" t="n">
        <x:v>3</x:v>
      </x:c>
      <x:c r="M1002" s="34"/>
      <x:c r="N1002" s="44" t="str">
        <x:v>WARNING: Please consider reporting this to the maintainers of class org.ehcache.impl.internal.concurrent.ThreadLocalRandomUtil</x:v>
      </x:c>
    </x:row>
    <x:row r="1003">
      <x:c r="A1003" s="36" t="n">
        <x:v>1002</x:v>
      </x:c>
      <x:c r="B1003" s="34" t="str">
        <x:v>article1-unified-v4-2-fb3f101b-20260903-000401-default-f05-p6-ehcache</x:v>
      </x:c>
      <x:c r="C1003" s="34" t="str">
        <x:v>default</x:v>
      </x:c>
      <x:c r="D1003" s="34" t="str">
        <x:v>ehcache</x:v>
      </x:c>
      <x:c r="E1003" s="36" t="n">
        <x:v>5</x:v>
      </x:c>
      <x:c r="F1003" s="36" t="n">
        <x:v>5</x:v>
      </x:c>
      <x:c r="G1003" s="36"/>
      <x:c r="H1003" s="34" t="str">
        <x:v>process-run-aggregate</x:v>
      </x:c>
      <x:c r="I1003" s="36"/>
      <x:c r="J1003" s="34" t="str">
        <x:v>warning</x:v>
      </x:c>
      <x:c r="K1003" s="34" t="str">
        <x:v>warnings</x:v>
      </x:c>
      <x:c r="L1003" s="36" t="n">
        <x:v>4</x:v>
      </x:c>
      <x:c r="M1003" s="34"/>
      <x:c r="N1003" s="44" t="str">
        <x:v>WARNING: sun.misc.Unsafe::objectFieldOffset will be removed in a future release</x:v>
      </x:c>
    </x:row>
    <x:row r="1004">
      <x:c r="A1004" s="36" t="n">
        <x:v>1003</x:v>
      </x:c>
      <x:c r="B1004" s="34" t="str">
        <x:v>article1-unified-v4-2-fb3f101b-20260903-000401-default-f05-p6-ehcache</x:v>
      </x:c>
      <x:c r="C1004" s="34" t="str">
        <x:v>default</x:v>
      </x:c>
      <x:c r="D1004" s="34" t="str">
        <x:v>ehcache</x:v>
      </x:c>
      <x:c r="E1004" s="36" t="n">
        <x:v>5</x:v>
      </x:c>
      <x:c r="F1004" s="36" t="n">
        <x:v>5</x:v>
      </x:c>
      <x:c r="G1004" s="36" t="n">
        <x:v>1</x:v>
      </x:c>
      <x:c r="H1004" s="34" t="str">
        <x:v>cycle-observation</x:v>
      </x:c>
      <x:c r="I1004" s="36" t="n">
        <x:v>1</x:v>
      </x:c>
      <x:c r="J1004" s="34" t="str">
        <x:v>tomcat-findleaks-occurrence</x:v>
      </x:c>
      <x:c r="K1004" s="34" t="str">
        <x:v>afterUndeploy.tomcatFindLeaksOccurrences</x:v>
      </x:c>
      <x:c r="L1004" s="36" t="n">
        <x:v>1</x:v>
      </x:c>
      <x:c r="M1004" s="34" t="str">
        <x:v>/ehcache</x:v>
      </x:c>
      <x:c r="N1004" s="44" t="str">
        <x:v>/ehcache</x:v>
      </x:c>
    </x:row>
    <x:row r="1005">
      <x:c r="A1005" s="36" t="n">
        <x:v>1004</x:v>
      </x:c>
      <x:c r="B1005" s="34" t="str">
        <x:v>article1-unified-v4-2-fb3f101b-20260903-000401-default-f05-p6-ehcache</x:v>
      </x:c>
      <x:c r="C1005" s="34" t="str">
        <x:v>default</x:v>
      </x:c>
      <x:c r="D1005" s="34" t="str">
        <x:v>ehcache</x:v>
      </x:c>
      <x:c r="E1005" s="36" t="n">
        <x:v>5</x:v>
      </x:c>
      <x:c r="F1005" s="36" t="n">
        <x:v>5</x:v>
      </x:c>
      <x:c r="G1005" s="36" t="n">
        <x:v>1</x:v>
      </x:c>
      <x:c r="H1005" s="34" t="str">
        <x:v>cycle-observation</x:v>
      </x:c>
      <x:c r="I1005" s="36" t="n">
        <x:v>2</x:v>
      </x:c>
      <x:c r="J1005" s="34" t="str">
        <x:v>tomcat-findleaks-occurrence</x:v>
      </x:c>
      <x:c r="K1005" s="34" t="str">
        <x:v>afterFinalUndeploy.tomcatFindLeaksOccurrences</x:v>
      </x:c>
      <x:c r="L1005" s="36" t="n">
        <x:v>1</x:v>
      </x:c>
      <x:c r="M1005" s="34" t="str">
        <x:v>/ehcache</x:v>
      </x:c>
      <x:c r="N1005" s="44" t="str">
        <x:v>/ehcache</x:v>
      </x:c>
    </x:row>
    <x:row r="1006">
      <x:c r="A1006" s="36" t="n">
        <x:v>1005</x:v>
      </x:c>
      <x:c r="B1006" s="34" t="str">
        <x:v>article1-unified-v4-2-fb3f101b-20260903-000401-default-f05-p6-ehcache</x:v>
      </x:c>
      <x:c r="C1006" s="34" t="str">
        <x:v>default</x:v>
      </x:c>
      <x:c r="D1006" s="34" t="str">
        <x:v>ehcache</x:v>
      </x:c>
      <x:c r="E1006" s="36" t="n">
        <x:v>5</x:v>
      </x:c>
      <x:c r="F1006" s="36" t="n">
        <x:v>5</x:v>
      </x:c>
      <x:c r="G1006" s="36" t="n">
        <x:v>1</x:v>
      </x:c>
      <x:c r="H1006" s="34" t="str">
        <x:v>cycle-observation</x:v>
      </x:c>
      <x:c r="I1006" s="36" t="n">
        <x:v>2</x:v>
      </x:c>
      <x:c r="J1006" s="34" t="str">
        <x:v>tomcat-findleaks-occurrence</x:v>
      </x:c>
      <x:c r="K1006" s="34" t="str">
        <x:v>afterFinalUndeploy.tomcatFindLeaksOccurrences</x:v>
      </x:c>
      <x:c r="L1006" s="36" t="n">
        <x:v>2</x:v>
      </x:c>
      <x:c r="M1006" s="34" t="str">
        <x:v>/ehcache</x:v>
      </x:c>
      <x:c r="N1006" s="44" t="str">
        <x:v>/ehcache</x:v>
      </x:c>
    </x:row>
    <x:row r="1007">
      <x:c r="A1007" s="36" t="n">
        <x:v>1006</x:v>
      </x:c>
      <x:c r="B1007" s="34" t="str">
        <x:v>article1-unified-v4-2-fb3f101b-20260903-000401-default-f05-p6-ehcache</x:v>
      </x:c>
      <x:c r="C1007" s="34" t="str">
        <x:v>default</x:v>
      </x:c>
      <x:c r="D1007" s="34" t="str">
        <x:v>ehcache</x:v>
      </x:c>
      <x:c r="E1007" s="36" t="n">
        <x:v>5</x:v>
      </x:c>
      <x:c r="F1007" s="36" t="n">
        <x:v>5</x:v>
      </x:c>
      <x:c r="G1007" s="36" t="n">
        <x:v>2</x:v>
      </x:c>
      <x:c r="H1007" s="34" t="str">
        <x:v>cycle-observation</x:v>
      </x:c>
      <x:c r="I1007" s="36" t="n">
        <x:v>1</x:v>
      </x:c>
      <x:c r="J1007" s="34" t="str">
        <x:v>tomcat-findleaks-occurrence</x:v>
      </x:c>
      <x:c r="K1007" s="34" t="str">
        <x:v>afterUndeploy.tomcatFindLeaksOccurrences</x:v>
      </x:c>
      <x:c r="L1007" s="36" t="n">
        <x:v>1</x:v>
      </x:c>
      <x:c r="M1007" s="34" t="str">
        <x:v>/ehcache</x:v>
      </x:c>
      <x:c r="N1007" s="44" t="str">
        <x:v>/ehcache</x:v>
      </x:c>
    </x:row>
    <x:row r="1008">
      <x:c r="A1008" s="36" t="n">
        <x:v>1007</x:v>
      </x:c>
      <x:c r="B1008" s="34" t="str">
        <x:v>article1-unified-v4-2-fb3f101b-20260903-000401-default-f05-p6-ehcache</x:v>
      </x:c>
      <x:c r="C1008" s="34" t="str">
        <x:v>default</x:v>
      </x:c>
      <x:c r="D1008" s="34" t="str">
        <x:v>ehcache</x:v>
      </x:c>
      <x:c r="E1008" s="36" t="n">
        <x:v>5</x:v>
      </x:c>
      <x:c r="F1008" s="36" t="n">
        <x:v>5</x:v>
      </x:c>
      <x:c r="G1008" s="36" t="n">
        <x:v>2</x:v>
      </x:c>
      <x:c r="H1008" s="34" t="str">
        <x:v>cycle-observation</x:v>
      </x:c>
      <x:c r="I1008" s="36" t="n">
        <x:v>2</x:v>
      </x:c>
      <x:c r="J1008" s="34" t="str">
        <x:v>tomcat-findleaks-occurrence</x:v>
      </x:c>
      <x:c r="K1008" s="34" t="str">
        <x:v>afterFinalUndeploy.tomcatFindLeaksOccurrences</x:v>
      </x:c>
      <x:c r="L1008" s="36" t="n">
        <x:v>1</x:v>
      </x:c>
      <x:c r="M1008" s="34" t="str">
        <x:v>/ehcache</x:v>
      </x:c>
      <x:c r="N1008" s="44" t="str">
        <x:v>/ehcache</x:v>
      </x:c>
    </x:row>
    <x:row r="1009">
      <x:c r="A1009" s="36" t="n">
        <x:v>1008</x:v>
      </x:c>
      <x:c r="B1009" s="34" t="str">
        <x:v>article1-unified-v4-2-fb3f101b-20260903-000401-default-f05-p6-ehcache</x:v>
      </x:c>
      <x:c r="C1009" s="34" t="str">
        <x:v>default</x:v>
      </x:c>
      <x:c r="D1009" s="34" t="str">
        <x:v>ehcache</x:v>
      </x:c>
      <x:c r="E1009" s="36" t="n">
        <x:v>5</x:v>
      </x:c>
      <x:c r="F1009" s="36" t="n">
        <x:v>5</x:v>
      </x:c>
      <x:c r="G1009" s="36" t="n">
        <x:v>3</x:v>
      </x:c>
      <x:c r="H1009" s="34" t="str">
        <x:v>cycle-observation</x:v>
      </x:c>
      <x:c r="I1009" s="36" t="n">
        <x:v>1</x:v>
      </x:c>
      <x:c r="J1009" s="34" t="str">
        <x:v>tomcat-findleaks-occurrence</x:v>
      </x:c>
      <x:c r="K1009" s="34" t="str">
        <x:v>afterUndeploy.tomcatFindLeaksOccurrences</x:v>
      </x:c>
      <x:c r="L1009" s="36" t="n">
        <x:v>1</x:v>
      </x:c>
      <x:c r="M1009" s="34" t="str">
        <x:v>/ehcache</x:v>
      </x:c>
      <x:c r="N1009" s="44" t="str">
        <x:v>/ehcache</x:v>
      </x:c>
    </x:row>
    <x:row r="1010">
      <x:c r="A1010" s="36" t="n">
        <x:v>1009</x:v>
      </x:c>
      <x:c r="B1010" s="34" t="str">
        <x:v>article1-unified-v4-2-fb3f101b-20260903-000401-default-f05-p6-ehcache</x:v>
      </x:c>
      <x:c r="C1010" s="34" t="str">
        <x:v>default</x:v>
      </x:c>
      <x:c r="D1010" s="34" t="str">
        <x:v>ehcache</x:v>
      </x:c>
      <x:c r="E1010" s="36" t="n">
        <x:v>5</x:v>
      </x:c>
      <x:c r="F1010" s="36" t="n">
        <x:v>5</x:v>
      </x:c>
      <x:c r="G1010" s="36" t="n">
        <x:v>3</x:v>
      </x:c>
      <x:c r="H1010" s="34" t="str">
        <x:v>cycle-observation</x:v>
      </x:c>
      <x:c r="I1010" s="36" t="n">
        <x:v>2</x:v>
      </x:c>
      <x:c r="J1010" s="34" t="str">
        <x:v>tomcat-findleaks-occurrence</x:v>
      </x:c>
      <x:c r="K1010" s="34" t="str">
        <x:v>afterFinalUndeploy.tomcatFindLeaksOccurrences</x:v>
      </x:c>
      <x:c r="L1010" s="36" t="n">
        <x:v>1</x:v>
      </x:c>
      <x:c r="M1010" s="34" t="str">
        <x:v>/ehcache</x:v>
      </x:c>
      <x:c r="N1010" s="44" t="str">
        <x:v>/ehcache</x:v>
      </x:c>
    </x:row>
    <x:row r="1011">
      <x:c r="A1011" s="36" t="n">
        <x:v>1010</x:v>
      </x:c>
      <x:c r="B1011" s="34" t="str">
        <x:v>article1-unified-v4-2-fb3f101b-20260903-000401-default-f05-p6-ehcache</x:v>
      </x:c>
      <x:c r="C1011" s="34" t="str">
        <x:v>default</x:v>
      </x:c>
      <x:c r="D1011" s="34" t="str">
        <x:v>ehcache</x:v>
      </x:c>
      <x:c r="E1011" s="36" t="n">
        <x:v>5</x:v>
      </x:c>
      <x:c r="F1011" s="36" t="n">
        <x:v>5</x:v>
      </x:c>
      <x:c r="G1011" s="36" t="n">
        <x:v>4</x:v>
      </x:c>
      <x:c r="H1011" s="34" t="str">
        <x:v>cycle-observation</x:v>
      </x:c>
      <x:c r="I1011" s="36" t="n">
        <x:v>1</x:v>
      </x:c>
      <x:c r="J1011" s="34" t="str">
        <x:v>tomcat-findleaks-occurrence</x:v>
      </x:c>
      <x:c r="K1011" s="34" t="str">
        <x:v>afterUndeploy.tomcatFindLeaksOccurrences</x:v>
      </x:c>
      <x:c r="L1011" s="36" t="n">
        <x:v>1</x:v>
      </x:c>
      <x:c r="M1011" s="34" t="str">
        <x:v>/ehcache</x:v>
      </x:c>
      <x:c r="N1011" s="44" t="str">
        <x:v>/ehcache</x:v>
      </x:c>
    </x:row>
    <x:row r="1012">
      <x:c r="A1012" s="36" t="n">
        <x:v>1011</x:v>
      </x:c>
      <x:c r="B1012" s="34" t="str">
        <x:v>article1-unified-v4-2-fb3f101b-20260903-000401-default-f05-p6-ehcache</x:v>
      </x:c>
      <x:c r="C1012" s="34" t="str">
        <x:v>default</x:v>
      </x:c>
      <x:c r="D1012" s="34" t="str">
        <x:v>ehcache</x:v>
      </x:c>
      <x:c r="E1012" s="36" t="n">
        <x:v>5</x:v>
      </x:c>
      <x:c r="F1012" s="36" t="n">
        <x:v>5</x:v>
      </x:c>
      <x:c r="G1012" s="36" t="n">
        <x:v>4</x:v>
      </x:c>
      <x:c r="H1012" s="34" t="str">
        <x:v>cycle-observation</x:v>
      </x:c>
      <x:c r="I1012" s="36" t="n">
        <x:v>2</x:v>
      </x:c>
      <x:c r="J1012" s="34" t="str">
        <x:v>tomcat-findleaks-occurrence</x:v>
      </x:c>
      <x:c r="K1012" s="34" t="str">
        <x:v>afterFinalUndeploy.tomcatFindLeaksOccurrences</x:v>
      </x:c>
      <x:c r="L1012" s="36" t="n">
        <x:v>1</x:v>
      </x:c>
      <x:c r="M1012" s="34" t="str">
        <x:v>/ehcache</x:v>
      </x:c>
      <x:c r="N1012" s="44" t="str">
        <x:v>/ehcache</x:v>
      </x:c>
    </x:row>
    <x:row r="1013">
      <x:c r="A1013" s="36" t="n">
        <x:v>1012</x:v>
      </x:c>
      <x:c r="B1013" s="34" t="str">
        <x:v>article1-unified-v4-2-fb3f101b-20260903-000401-default-f05-p6-ehcache</x:v>
      </x:c>
      <x:c r="C1013" s="34" t="str">
        <x:v>default</x:v>
      </x:c>
      <x:c r="D1013" s="34" t="str">
        <x:v>ehcache</x:v>
      </x:c>
      <x:c r="E1013" s="36" t="n">
        <x:v>5</x:v>
      </x:c>
      <x:c r="F1013" s="36" t="n">
        <x:v>5</x:v>
      </x:c>
      <x:c r="G1013" s="36" t="n">
        <x:v>5</x:v>
      </x:c>
      <x:c r="H1013" s="34" t="str">
        <x:v>cycle-observation</x:v>
      </x:c>
      <x:c r="I1013" s="36" t="n">
        <x:v>1</x:v>
      </x:c>
      <x:c r="J1013" s="34" t="str">
        <x:v>tomcat-findleaks-occurrence</x:v>
      </x:c>
      <x:c r="K1013" s="34" t="str">
        <x:v>afterUndeploy.tomcatFindLeaksOccurrences</x:v>
      </x:c>
      <x:c r="L1013" s="36" t="n">
        <x:v>1</x:v>
      </x:c>
      <x:c r="M1013" s="34" t="str">
        <x:v>/ehcache</x:v>
      </x:c>
      <x:c r="N1013" s="44" t="str">
        <x:v>/ehcache</x:v>
      </x:c>
    </x:row>
    <x:row r="1014">
      <x:c r="A1014" s="36" t="n">
        <x:v>1013</x:v>
      </x:c>
      <x:c r="B1014" s="34" t="str">
        <x:v>article1-unified-v4-2-fb3f101b-20260903-000401-default-f05-p6-ehcache</x:v>
      </x:c>
      <x:c r="C1014" s="34" t="str">
        <x:v>default</x:v>
      </x:c>
      <x:c r="D1014" s="34" t="str">
        <x:v>ehcache</x:v>
      </x:c>
      <x:c r="E1014" s="36" t="n">
        <x:v>5</x:v>
      </x:c>
      <x:c r="F1014" s="36" t="n">
        <x:v>5</x:v>
      </x:c>
      <x:c r="G1014" s="36" t="n">
        <x:v>5</x:v>
      </x:c>
      <x:c r="H1014" s="34" t="str">
        <x:v>cycle-observation</x:v>
      </x:c>
      <x:c r="I1014" s="36" t="n">
        <x:v>2</x:v>
      </x:c>
      <x:c r="J1014" s="34" t="str">
        <x:v>tomcat-findleaks-occurrence</x:v>
      </x:c>
      <x:c r="K1014" s="34" t="str">
        <x:v>afterFinalUndeploy.tomcatFindLeaksOccurrences</x:v>
      </x:c>
      <x:c r="L1014" s="36" t="n">
        <x:v>1</x:v>
      </x:c>
      <x:c r="M1014" s="34" t="str">
        <x:v>/ehcache</x:v>
      </x:c>
      <x:c r="N1014" s="44" t="str">
        <x:v>/ehcache</x:v>
      </x:c>
    </x:row>
    <x:row r="1015">
      <x:c r="A1015" s="36" t="n">
        <x:v>1014</x:v>
      </x:c>
      <x:c r="B1015" s="34" t="str">
        <x:v>article1-unified-v4-2-fb3f101b-20260903-000401-default-f06-p1-nostore</x:v>
      </x:c>
      <x:c r="C1015" s="34" t="str">
        <x:v>default</x:v>
      </x:c>
      <x:c r="D1015" s="34" t="str">
        <x:v>nostore</x:v>
      </x:c>
      <x:c r="E1015" s="36" t="n">
        <x:v>6</x:v>
      </x:c>
      <x:c r="F1015" s="36" t="n">
        <x:v>6</x:v>
      </x:c>
      <x:c r="G1015" s="36" t="n">
        <x:v>1</x:v>
      </x:c>
      <x:c r="H1015" s="34" t="str">
        <x:v>cycle-observation</x:v>
      </x:c>
      <x:c r="I1015" s="36" t="n">
        <x:v>1</x:v>
      </x:c>
      <x:c r="J1015" s="34" t="str">
        <x:v>tomcat-findleaks-occurrence</x:v>
      </x:c>
      <x:c r="K1015" s="34" t="str">
        <x:v>afterUndeploy.tomcatFindLeaksOccurrences</x:v>
      </x:c>
      <x:c r="L1015" s="36" t="n">
        <x:v>1</x:v>
      </x:c>
      <x:c r="M1015" s="34" t="str">
        <x:v>/nostore</x:v>
      </x:c>
      <x:c r="N1015" s="44" t="str">
        <x:v>/nostore</x:v>
      </x:c>
    </x:row>
    <x:row r="1016">
      <x:c r="A1016" s="36" t="n">
        <x:v>1015</x:v>
      </x:c>
      <x:c r="B1016" s="34" t="str">
        <x:v>article1-unified-v4-2-fb3f101b-20260903-000401-default-f06-p1-nostore</x:v>
      </x:c>
      <x:c r="C1016" s="34" t="str">
        <x:v>default</x:v>
      </x:c>
      <x:c r="D1016" s="34" t="str">
        <x:v>nostore</x:v>
      </x:c>
      <x:c r="E1016" s="36" t="n">
        <x:v>6</x:v>
      </x:c>
      <x:c r="F1016" s="36" t="n">
        <x:v>6</x:v>
      </x:c>
      <x:c r="G1016" s="36" t="n">
        <x:v>1</x:v>
      </x:c>
      <x:c r="H1016" s="34" t="str">
        <x:v>cycle-observation</x:v>
      </x:c>
      <x:c r="I1016" s="36" t="n">
        <x:v>2</x:v>
      </x:c>
      <x:c r="J1016" s="34" t="str">
        <x:v>tomcat-findleaks-occurrence</x:v>
      </x:c>
      <x:c r="K1016" s="34" t="str">
        <x:v>afterFinalUndeploy.tomcatFindLeaksOccurrences</x:v>
      </x:c>
      <x:c r="L1016" s="36" t="n">
        <x:v>1</x:v>
      </x:c>
      <x:c r="M1016" s="34" t="str">
        <x:v>/nostore</x:v>
      </x:c>
      <x:c r="N1016" s="44" t="str">
        <x:v>/nostore</x:v>
      </x:c>
    </x:row>
    <x:row r="1017">
      <x:c r="A1017" s="36" t="n">
        <x:v>1016</x:v>
      </x:c>
      <x:c r="B1017" s="34" t="str">
        <x:v>article1-unified-v4-2-fb3f101b-20260903-000401-default-f06-p1-nostore</x:v>
      </x:c>
      <x:c r="C1017" s="34" t="str">
        <x:v>default</x:v>
      </x:c>
      <x:c r="D1017" s="34" t="str">
        <x:v>nostore</x:v>
      </x:c>
      <x:c r="E1017" s="36" t="n">
        <x:v>6</x:v>
      </x:c>
      <x:c r="F1017" s="36" t="n">
        <x:v>6</x:v>
      </x:c>
      <x:c r="G1017" s="36" t="n">
        <x:v>2</x:v>
      </x:c>
      <x:c r="H1017" s="34" t="str">
        <x:v>cycle-observation</x:v>
      </x:c>
      <x:c r="I1017" s="36" t="n">
        <x:v>1</x:v>
      </x:c>
      <x:c r="J1017" s="34" t="str">
        <x:v>tomcat-findleaks-occurrence</x:v>
      </x:c>
      <x:c r="K1017" s="34" t="str">
        <x:v>afterUndeploy.tomcatFindLeaksOccurrences</x:v>
      </x:c>
      <x:c r="L1017" s="36" t="n">
        <x:v>1</x:v>
      </x:c>
      <x:c r="M1017" s="34" t="str">
        <x:v>/nostore</x:v>
      </x:c>
      <x:c r="N1017" s="44" t="str">
        <x:v>/nostore</x:v>
      </x:c>
    </x:row>
    <x:row r="1018">
      <x:c r="A1018" s="36" t="n">
        <x:v>1017</x:v>
      </x:c>
      <x:c r="B1018" s="34" t="str">
        <x:v>article1-unified-v4-2-fb3f101b-20260903-000401-default-f06-p1-nostore</x:v>
      </x:c>
      <x:c r="C1018" s="34" t="str">
        <x:v>default</x:v>
      </x:c>
      <x:c r="D1018" s="34" t="str">
        <x:v>nostore</x:v>
      </x:c>
      <x:c r="E1018" s="36" t="n">
        <x:v>6</x:v>
      </x:c>
      <x:c r="F1018" s="36" t="n">
        <x:v>6</x:v>
      </x:c>
      <x:c r="G1018" s="36" t="n">
        <x:v>2</x:v>
      </x:c>
      <x:c r="H1018" s="34" t="str">
        <x:v>cycle-observation</x:v>
      </x:c>
      <x:c r="I1018" s="36" t="n">
        <x:v>2</x:v>
      </x:c>
      <x:c r="J1018" s="34" t="str">
        <x:v>tomcat-findleaks-occurrence</x:v>
      </x:c>
      <x:c r="K1018" s="34" t="str">
        <x:v>afterFinalUndeploy.tomcatFindLeaksOccurrences</x:v>
      </x:c>
      <x:c r="L1018" s="36" t="n">
        <x:v>1</x:v>
      </x:c>
      <x:c r="M1018" s="34" t="str">
        <x:v>/nostore</x:v>
      </x:c>
      <x:c r="N1018" s="44" t="str">
        <x:v>/nostore</x:v>
      </x:c>
    </x:row>
    <x:row r="1019">
      <x:c r="A1019" s="36" t="n">
        <x:v>1018</x:v>
      </x:c>
      <x:c r="B1019" s="34" t="str">
        <x:v>article1-unified-v4-2-fb3f101b-20260903-000401-default-f06-p1-nostore</x:v>
      </x:c>
      <x:c r="C1019" s="34" t="str">
        <x:v>default</x:v>
      </x:c>
      <x:c r="D1019" s="34" t="str">
        <x:v>nostore</x:v>
      </x:c>
      <x:c r="E1019" s="36" t="n">
        <x:v>6</x:v>
      </x:c>
      <x:c r="F1019" s="36" t="n">
        <x:v>6</x:v>
      </x:c>
      <x:c r="G1019" s="36" t="n">
        <x:v>3</x:v>
      </x:c>
      <x:c r="H1019" s="34" t="str">
        <x:v>cycle-observation</x:v>
      </x:c>
      <x:c r="I1019" s="36" t="n">
        <x:v>1</x:v>
      </x:c>
      <x:c r="J1019" s="34" t="str">
        <x:v>tomcat-findleaks-occurrence</x:v>
      </x:c>
      <x:c r="K1019" s="34" t="str">
        <x:v>afterUndeploy.tomcatFindLeaksOccurrences</x:v>
      </x:c>
      <x:c r="L1019" s="36" t="n">
        <x:v>1</x:v>
      </x:c>
      <x:c r="M1019" s="34" t="str">
        <x:v>/nostore</x:v>
      </x:c>
      <x:c r="N1019" s="44" t="str">
        <x:v>/nostore</x:v>
      </x:c>
    </x:row>
    <x:row r="1020">
      <x:c r="A1020" s="36" t="n">
        <x:v>1019</x:v>
      </x:c>
      <x:c r="B1020" s="34" t="str">
        <x:v>article1-unified-v4-2-fb3f101b-20260903-000401-default-f06-p1-nostore</x:v>
      </x:c>
      <x:c r="C1020" s="34" t="str">
        <x:v>default</x:v>
      </x:c>
      <x:c r="D1020" s="34" t="str">
        <x:v>nostore</x:v>
      </x:c>
      <x:c r="E1020" s="36" t="n">
        <x:v>6</x:v>
      </x:c>
      <x:c r="F1020" s="36" t="n">
        <x:v>6</x:v>
      </x:c>
      <x:c r="G1020" s="36" t="n">
        <x:v>3</x:v>
      </x:c>
      <x:c r="H1020" s="34" t="str">
        <x:v>cycle-observation</x:v>
      </x:c>
      <x:c r="I1020" s="36" t="n">
        <x:v>2</x:v>
      </x:c>
      <x:c r="J1020" s="34" t="str">
        <x:v>tomcat-findleaks-occurrence</x:v>
      </x:c>
      <x:c r="K1020" s="34" t="str">
        <x:v>afterFinalUndeploy.tomcatFindLeaksOccurrences</x:v>
      </x:c>
      <x:c r="L1020" s="36" t="n">
        <x:v>1</x:v>
      </x:c>
      <x:c r="M1020" s="34" t="str">
        <x:v>/nostore</x:v>
      </x:c>
      <x:c r="N1020" s="44" t="str">
        <x:v>/nostore</x:v>
      </x:c>
    </x:row>
    <x:row r="1021">
      <x:c r="A1021" s="36" t="n">
        <x:v>1020</x:v>
      </x:c>
      <x:c r="B1021" s="34" t="str">
        <x:v>article1-unified-v4-2-fb3f101b-20260903-000401-default-f06-p1-nostore</x:v>
      </x:c>
      <x:c r="C1021" s="34" t="str">
        <x:v>default</x:v>
      </x:c>
      <x:c r="D1021" s="34" t="str">
        <x:v>nostore</x:v>
      </x:c>
      <x:c r="E1021" s="36" t="n">
        <x:v>6</x:v>
      </x:c>
      <x:c r="F1021" s="36" t="n">
        <x:v>6</x:v>
      </x:c>
      <x:c r="G1021" s="36" t="n">
        <x:v>4</x:v>
      </x:c>
      <x:c r="H1021" s="34" t="str">
        <x:v>cycle-observation</x:v>
      </x:c>
      <x:c r="I1021" s="36" t="n">
        <x:v>1</x:v>
      </x:c>
      <x:c r="J1021" s="34" t="str">
        <x:v>tomcat-findleaks-occurrence</x:v>
      </x:c>
      <x:c r="K1021" s="34" t="str">
        <x:v>afterUndeploy.tomcatFindLeaksOccurrences</x:v>
      </x:c>
      <x:c r="L1021" s="36" t="n">
        <x:v>1</x:v>
      </x:c>
      <x:c r="M1021" s="34" t="str">
        <x:v>/nostore</x:v>
      </x:c>
      <x:c r="N1021" s="44" t="str">
        <x:v>/nostore</x:v>
      </x:c>
    </x:row>
    <x:row r="1022">
      <x:c r="A1022" s="36" t="n">
        <x:v>1021</x:v>
      </x:c>
      <x:c r="B1022" s="34" t="str">
        <x:v>article1-unified-v4-2-fb3f101b-20260903-000401-default-f06-p1-nostore</x:v>
      </x:c>
      <x:c r="C1022" s="34" t="str">
        <x:v>default</x:v>
      </x:c>
      <x:c r="D1022" s="34" t="str">
        <x:v>nostore</x:v>
      </x:c>
      <x:c r="E1022" s="36" t="n">
        <x:v>6</x:v>
      </x:c>
      <x:c r="F1022" s="36" t="n">
        <x:v>6</x:v>
      </x:c>
      <x:c r="G1022" s="36" t="n">
        <x:v>4</x:v>
      </x:c>
      <x:c r="H1022" s="34" t="str">
        <x:v>cycle-observation</x:v>
      </x:c>
      <x:c r="I1022" s="36" t="n">
        <x:v>2</x:v>
      </x:c>
      <x:c r="J1022" s="34" t="str">
        <x:v>tomcat-findleaks-occurrence</x:v>
      </x:c>
      <x:c r="K1022" s="34" t="str">
        <x:v>afterFinalUndeploy.tomcatFindLeaksOccurrences</x:v>
      </x:c>
      <x:c r="L1022" s="36" t="n">
        <x:v>1</x:v>
      </x:c>
      <x:c r="M1022" s="34" t="str">
        <x:v>/nostore</x:v>
      </x:c>
      <x:c r="N1022" s="44" t="str">
        <x:v>/nostore</x:v>
      </x:c>
    </x:row>
    <x:row r="1023">
      <x:c r="A1023" s="36" t="n">
        <x:v>1022</x:v>
      </x:c>
      <x:c r="B1023" s="34" t="str">
        <x:v>article1-unified-v4-2-fb3f101b-20260903-000401-default-f06-p1-nostore</x:v>
      </x:c>
      <x:c r="C1023" s="34" t="str">
        <x:v>default</x:v>
      </x:c>
      <x:c r="D1023" s="34" t="str">
        <x:v>nostore</x:v>
      </x:c>
      <x:c r="E1023" s="36" t="n">
        <x:v>6</x:v>
      </x:c>
      <x:c r="F1023" s="36" t="n">
        <x:v>6</x:v>
      </x:c>
      <x:c r="G1023" s="36" t="n">
        <x:v>5</x:v>
      </x:c>
      <x:c r="H1023" s="34" t="str">
        <x:v>cycle-observation</x:v>
      </x:c>
      <x:c r="I1023" s="36" t="n">
        <x:v>1</x:v>
      </x:c>
      <x:c r="J1023" s="34" t="str">
        <x:v>tomcat-findleaks-occurrence</x:v>
      </x:c>
      <x:c r="K1023" s="34" t="str">
        <x:v>afterUndeploy.tomcatFindLeaksOccurrences</x:v>
      </x:c>
      <x:c r="L1023" s="36" t="n">
        <x:v>1</x:v>
      </x:c>
      <x:c r="M1023" s="34" t="str">
        <x:v>/nostore</x:v>
      </x:c>
      <x:c r="N1023" s="44" t="str">
        <x:v>/nostore</x:v>
      </x:c>
    </x:row>
    <x:row r="1024">
      <x:c r="A1024" s="36" t="n">
        <x:v>1023</x:v>
      </x:c>
      <x:c r="B1024" s="34" t="str">
        <x:v>article1-unified-v4-2-fb3f101b-20260903-000401-default-f06-p1-nostore</x:v>
      </x:c>
      <x:c r="C1024" s="34" t="str">
        <x:v>default</x:v>
      </x:c>
      <x:c r="D1024" s="34" t="str">
        <x:v>nostore</x:v>
      </x:c>
      <x:c r="E1024" s="36" t="n">
        <x:v>6</x:v>
      </x:c>
      <x:c r="F1024" s="36" t="n">
        <x:v>6</x:v>
      </x:c>
      <x:c r="G1024" s="36" t="n">
        <x:v>5</x:v>
      </x:c>
      <x:c r="H1024" s="34" t="str">
        <x:v>cycle-observation</x:v>
      </x:c>
      <x:c r="I1024" s="36" t="n">
        <x:v>2</x:v>
      </x:c>
      <x:c r="J1024" s="34" t="str">
        <x:v>tomcat-findleaks-occurrence</x:v>
      </x:c>
      <x:c r="K1024" s="34" t="str">
        <x:v>afterFinalUndeploy.tomcatFindLeaksOccurrences</x:v>
      </x:c>
      <x:c r="L1024" s="36" t="n">
        <x:v>1</x:v>
      </x:c>
      <x:c r="M1024" s="34" t="str">
        <x:v>/nostore</x:v>
      </x:c>
      <x:c r="N1024" s="44" t="str">
        <x:v>/nostore</x:v>
      </x:c>
    </x:row>
    <x:row r="1025">
      <x:c r="A1025" s="36" t="n">
        <x:v>1024</x:v>
      </x:c>
      <x:c r="B1025" s="34" t="str">
        <x:v>article1-unified-v4-2-fb3f101b-20260903-000401-default-f06-p2-caffeine</x:v>
      </x:c>
      <x:c r="C1025" s="34" t="str">
        <x:v>default</x:v>
      </x:c>
      <x:c r="D1025" s="34" t="str">
        <x:v>caffeine</x:v>
      </x:c>
      <x:c r="E1025" s="36" t="n">
        <x:v>6</x:v>
      </x:c>
      <x:c r="F1025" s="36" t="n">
        <x:v>6</x:v>
      </x:c>
      <x:c r="G1025" s="36" t="n">
        <x:v>1</x:v>
      </x:c>
      <x:c r="H1025" s="34" t="str">
        <x:v>cycle-observation</x:v>
      </x:c>
      <x:c r="I1025" s="36" t="n">
        <x:v>1</x:v>
      </x:c>
      <x:c r="J1025" s="34" t="str">
        <x:v>tomcat-findleaks-occurrence</x:v>
      </x:c>
      <x:c r="K1025" s="34" t="str">
        <x:v>afterUndeploy.tomcatFindLeaksOccurrences</x:v>
      </x:c>
      <x:c r="L1025" s="36" t="n">
        <x:v>1</x:v>
      </x:c>
      <x:c r="M1025" s="34" t="str">
        <x:v>/caffeine</x:v>
      </x:c>
      <x:c r="N1025" s="44" t="str">
        <x:v>/caffeine</x:v>
      </x:c>
    </x:row>
    <x:row r="1026">
      <x:c r="A1026" s="36" t="n">
        <x:v>1025</x:v>
      </x:c>
      <x:c r="B1026" s="34" t="str">
        <x:v>article1-unified-v4-2-fb3f101b-20260903-000401-default-f06-p2-caffeine</x:v>
      </x:c>
      <x:c r="C1026" s="34" t="str">
        <x:v>default</x:v>
      </x:c>
      <x:c r="D1026" s="34" t="str">
        <x:v>caffeine</x:v>
      </x:c>
      <x:c r="E1026" s="36" t="n">
        <x:v>6</x:v>
      </x:c>
      <x:c r="F1026" s="36" t="n">
        <x:v>6</x:v>
      </x:c>
      <x:c r="G1026" s="36" t="n">
        <x:v>1</x:v>
      </x:c>
      <x:c r="H1026" s="34" t="str">
        <x:v>cycle-observation</x:v>
      </x:c>
      <x:c r="I1026" s="36" t="n">
        <x:v>2</x:v>
      </x:c>
      <x:c r="J1026" s="34" t="str">
        <x:v>tomcat-findleaks-occurrence</x:v>
      </x:c>
      <x:c r="K1026" s="34" t="str">
        <x:v>afterFinalUndeploy.tomcatFindLeaksOccurrences</x:v>
      </x:c>
      <x:c r="L1026" s="36" t="n">
        <x:v>1</x:v>
      </x:c>
      <x:c r="M1026" s="34" t="str">
        <x:v>/caffeine</x:v>
      </x:c>
      <x:c r="N1026" s="44" t="str">
        <x:v>/caffeine</x:v>
      </x:c>
    </x:row>
    <x:row r="1027">
      <x:c r="A1027" s="36" t="n">
        <x:v>1026</x:v>
      </x:c>
      <x:c r="B1027" s="34" t="str">
        <x:v>article1-unified-v4-2-fb3f101b-20260903-000401-default-f06-p2-caffeine</x:v>
      </x:c>
      <x:c r="C1027" s="34" t="str">
        <x:v>default</x:v>
      </x:c>
      <x:c r="D1027" s="34" t="str">
        <x:v>caffeine</x:v>
      </x:c>
      <x:c r="E1027" s="36" t="n">
        <x:v>6</x:v>
      </x:c>
      <x:c r="F1027" s="36" t="n">
        <x:v>6</x:v>
      </x:c>
      <x:c r="G1027" s="36" t="n">
        <x:v>2</x:v>
      </x:c>
      <x:c r="H1027" s="34" t="str">
        <x:v>cycle-observation</x:v>
      </x:c>
      <x:c r="I1027" s="36" t="n">
        <x:v>1</x:v>
      </x:c>
      <x:c r="J1027" s="34" t="str">
        <x:v>tomcat-findleaks-occurrence</x:v>
      </x:c>
      <x:c r="K1027" s="34" t="str">
        <x:v>afterUndeploy.tomcatFindLeaksOccurrences</x:v>
      </x:c>
      <x:c r="L1027" s="36" t="n">
        <x:v>1</x:v>
      </x:c>
      <x:c r="M1027" s="34" t="str">
        <x:v>/caffeine</x:v>
      </x:c>
      <x:c r="N1027" s="44" t="str">
        <x:v>/caffeine</x:v>
      </x:c>
    </x:row>
    <x:row r="1028">
      <x:c r="A1028" s="36" t="n">
        <x:v>1027</x:v>
      </x:c>
      <x:c r="B1028" s="34" t="str">
        <x:v>article1-unified-v4-2-fb3f101b-20260903-000401-default-f06-p2-caffeine</x:v>
      </x:c>
      <x:c r="C1028" s="34" t="str">
        <x:v>default</x:v>
      </x:c>
      <x:c r="D1028" s="34" t="str">
        <x:v>caffeine</x:v>
      </x:c>
      <x:c r="E1028" s="36" t="n">
        <x:v>6</x:v>
      </x:c>
      <x:c r="F1028" s="36" t="n">
        <x:v>6</x:v>
      </x:c>
      <x:c r="G1028" s="36" t="n">
        <x:v>2</x:v>
      </x:c>
      <x:c r="H1028" s="34" t="str">
        <x:v>cycle-observation</x:v>
      </x:c>
      <x:c r="I1028" s="36" t="n">
        <x:v>2</x:v>
      </x:c>
      <x:c r="J1028" s="34" t="str">
        <x:v>tomcat-findleaks-occurrence</x:v>
      </x:c>
      <x:c r="K1028" s="34" t="str">
        <x:v>afterFinalUndeploy.tomcatFindLeaksOccurrences</x:v>
      </x:c>
      <x:c r="L1028" s="36" t="n">
        <x:v>1</x:v>
      </x:c>
      <x:c r="M1028" s="34" t="str">
        <x:v>/caffeine</x:v>
      </x:c>
      <x:c r="N1028" s="44" t="str">
        <x:v>/caffeine</x:v>
      </x:c>
    </x:row>
    <x:row r="1029">
      <x:c r="A1029" s="36" t="n">
        <x:v>1028</x:v>
      </x:c>
      <x:c r="B1029" s="34" t="str">
        <x:v>article1-unified-v4-2-fb3f101b-20260903-000401-default-f06-p2-caffeine</x:v>
      </x:c>
      <x:c r="C1029" s="34" t="str">
        <x:v>default</x:v>
      </x:c>
      <x:c r="D1029" s="34" t="str">
        <x:v>caffeine</x:v>
      </x:c>
      <x:c r="E1029" s="36" t="n">
        <x:v>6</x:v>
      </x:c>
      <x:c r="F1029" s="36" t="n">
        <x:v>6</x:v>
      </x:c>
      <x:c r="G1029" s="36" t="n">
        <x:v>3</x:v>
      </x:c>
      <x:c r="H1029" s="34" t="str">
        <x:v>cycle-observation</x:v>
      </x:c>
      <x:c r="I1029" s="36" t="n">
        <x:v>1</x:v>
      </x:c>
      <x:c r="J1029" s="34" t="str">
        <x:v>tomcat-findleaks-occurrence</x:v>
      </x:c>
      <x:c r="K1029" s="34" t="str">
        <x:v>afterUndeploy.tomcatFindLeaksOccurrences</x:v>
      </x:c>
      <x:c r="L1029" s="36" t="n">
        <x:v>1</x:v>
      </x:c>
      <x:c r="M1029" s="34" t="str">
        <x:v>/caffeine</x:v>
      </x:c>
      <x:c r="N1029" s="44" t="str">
        <x:v>/caffeine</x:v>
      </x:c>
    </x:row>
    <x:row r="1030">
      <x:c r="A1030" s="36" t="n">
        <x:v>1029</x:v>
      </x:c>
      <x:c r="B1030" s="34" t="str">
        <x:v>article1-unified-v4-2-fb3f101b-20260903-000401-default-f06-p2-caffeine</x:v>
      </x:c>
      <x:c r="C1030" s="34" t="str">
        <x:v>default</x:v>
      </x:c>
      <x:c r="D1030" s="34" t="str">
        <x:v>caffeine</x:v>
      </x:c>
      <x:c r="E1030" s="36" t="n">
        <x:v>6</x:v>
      </x:c>
      <x:c r="F1030" s="36" t="n">
        <x:v>6</x:v>
      </x:c>
      <x:c r="G1030" s="36" t="n">
        <x:v>3</x:v>
      </x:c>
      <x:c r="H1030" s="34" t="str">
        <x:v>cycle-observation</x:v>
      </x:c>
      <x:c r="I1030" s="36" t="n">
        <x:v>2</x:v>
      </x:c>
      <x:c r="J1030" s="34" t="str">
        <x:v>tomcat-findleaks-occurrence</x:v>
      </x:c>
      <x:c r="K1030" s="34" t="str">
        <x:v>afterFinalUndeploy.tomcatFindLeaksOccurrences</x:v>
      </x:c>
      <x:c r="L1030" s="36" t="n">
        <x:v>1</x:v>
      </x:c>
      <x:c r="M1030" s="34" t="str">
        <x:v>/caffeine</x:v>
      </x:c>
      <x:c r="N1030" s="44" t="str">
        <x:v>/caffeine</x:v>
      </x:c>
    </x:row>
    <x:row r="1031">
      <x:c r="A1031" s="36" t="n">
        <x:v>1030</x:v>
      </x:c>
      <x:c r="B1031" s="34" t="str">
        <x:v>article1-unified-v4-2-fb3f101b-20260903-000401-default-f06-p2-caffeine</x:v>
      </x:c>
      <x:c r="C1031" s="34" t="str">
        <x:v>default</x:v>
      </x:c>
      <x:c r="D1031" s="34" t="str">
        <x:v>caffeine</x:v>
      </x:c>
      <x:c r="E1031" s="36" t="n">
        <x:v>6</x:v>
      </x:c>
      <x:c r="F1031" s="36" t="n">
        <x:v>6</x:v>
      </x:c>
      <x:c r="G1031" s="36" t="n">
        <x:v>4</x:v>
      </x:c>
      <x:c r="H1031" s="34" t="str">
        <x:v>cycle-observation</x:v>
      </x:c>
      <x:c r="I1031" s="36" t="n">
        <x:v>1</x:v>
      </x:c>
      <x:c r="J1031" s="34" t="str">
        <x:v>tomcat-findleaks-occurrence</x:v>
      </x:c>
      <x:c r="K1031" s="34" t="str">
        <x:v>afterUndeploy.tomcatFindLeaksOccurrences</x:v>
      </x:c>
      <x:c r="L1031" s="36" t="n">
        <x:v>1</x:v>
      </x:c>
      <x:c r="M1031" s="34" t="str">
        <x:v>/caffeine</x:v>
      </x:c>
      <x:c r="N1031" s="44" t="str">
        <x:v>/caffeine</x:v>
      </x:c>
    </x:row>
    <x:row r="1032">
      <x:c r="A1032" s="36" t="n">
        <x:v>1031</x:v>
      </x:c>
      <x:c r="B1032" s="34" t="str">
        <x:v>article1-unified-v4-2-fb3f101b-20260903-000401-default-f06-p2-caffeine</x:v>
      </x:c>
      <x:c r="C1032" s="34" t="str">
        <x:v>default</x:v>
      </x:c>
      <x:c r="D1032" s="34" t="str">
        <x:v>caffeine</x:v>
      </x:c>
      <x:c r="E1032" s="36" t="n">
        <x:v>6</x:v>
      </x:c>
      <x:c r="F1032" s="36" t="n">
        <x:v>6</x:v>
      </x:c>
      <x:c r="G1032" s="36" t="n">
        <x:v>4</x:v>
      </x:c>
      <x:c r="H1032" s="34" t="str">
        <x:v>cycle-observation</x:v>
      </x:c>
      <x:c r="I1032" s="36" t="n">
        <x:v>2</x:v>
      </x:c>
      <x:c r="J1032" s="34" t="str">
        <x:v>tomcat-findleaks-occurrence</x:v>
      </x:c>
      <x:c r="K1032" s="34" t="str">
        <x:v>afterFinalUndeploy.tomcatFindLeaksOccurrences</x:v>
      </x:c>
      <x:c r="L1032" s="36" t="n">
        <x:v>1</x:v>
      </x:c>
      <x:c r="M1032" s="34" t="str">
        <x:v>/caffeine</x:v>
      </x:c>
      <x:c r="N1032" s="44" t="str">
        <x:v>/caffeine</x:v>
      </x:c>
    </x:row>
    <x:row r="1033">
      <x:c r="A1033" s="36" t="n">
        <x:v>1032</x:v>
      </x:c>
      <x:c r="B1033" s="34" t="str">
        <x:v>article1-unified-v4-2-fb3f101b-20260903-000401-default-f06-p2-caffeine</x:v>
      </x:c>
      <x:c r="C1033" s="34" t="str">
        <x:v>default</x:v>
      </x:c>
      <x:c r="D1033" s="34" t="str">
        <x:v>caffeine</x:v>
      </x:c>
      <x:c r="E1033" s="36" t="n">
        <x:v>6</x:v>
      </x:c>
      <x:c r="F1033" s="36" t="n">
        <x:v>6</x:v>
      </x:c>
      <x:c r="G1033" s="36" t="n">
        <x:v>5</x:v>
      </x:c>
      <x:c r="H1033" s="34" t="str">
        <x:v>cycle-observation</x:v>
      </x:c>
      <x:c r="I1033" s="36" t="n">
        <x:v>1</x:v>
      </x:c>
      <x:c r="J1033" s="34" t="str">
        <x:v>tomcat-findleaks-occurrence</x:v>
      </x:c>
      <x:c r="K1033" s="34" t="str">
        <x:v>afterUndeploy.tomcatFindLeaksOccurrences</x:v>
      </x:c>
      <x:c r="L1033" s="36" t="n">
        <x:v>1</x:v>
      </x:c>
      <x:c r="M1033" s="34" t="str">
        <x:v>/caffeine</x:v>
      </x:c>
      <x:c r="N1033" s="44" t="str">
        <x:v>/caffeine</x:v>
      </x:c>
    </x:row>
    <x:row r="1034">
      <x:c r="A1034" s="36" t="n">
        <x:v>1033</x:v>
      </x:c>
      <x:c r="B1034" s="34" t="str">
        <x:v>article1-unified-v4-2-fb3f101b-20260903-000401-default-f06-p2-caffeine</x:v>
      </x:c>
      <x:c r="C1034" s="34" t="str">
        <x:v>default</x:v>
      </x:c>
      <x:c r="D1034" s="34" t="str">
        <x:v>caffeine</x:v>
      </x:c>
      <x:c r="E1034" s="36" t="n">
        <x:v>6</x:v>
      </x:c>
      <x:c r="F1034" s="36" t="n">
        <x:v>6</x:v>
      </x:c>
      <x:c r="G1034" s="36" t="n">
        <x:v>5</x:v>
      </x:c>
      <x:c r="H1034" s="34" t="str">
        <x:v>cycle-observation</x:v>
      </x:c>
      <x:c r="I1034" s="36" t="n">
        <x:v>2</x:v>
      </x:c>
      <x:c r="J1034" s="34" t="str">
        <x:v>tomcat-findleaks-occurrence</x:v>
      </x:c>
      <x:c r="K1034" s="34" t="str">
        <x:v>afterFinalUndeploy.tomcatFindLeaksOccurrences</x:v>
      </x:c>
      <x:c r="L1034" s="36" t="n">
        <x:v>1</x:v>
      </x:c>
      <x:c r="M1034" s="34" t="str">
        <x:v>/caffeine</x:v>
      </x:c>
      <x:c r="N1034" s="44" t="str">
        <x:v>/caffeine</x:v>
      </x:c>
    </x:row>
    <x:row r="1035">
      <x:c r="A1035" s="36" t="n">
        <x:v>1034</x:v>
      </x:c>
      <x:c r="B1035" s="34" t="str">
        <x:v>article1-unified-v4-2-fb3f101b-20260903-000401-default-f06-p3-jcs321</x:v>
      </x:c>
      <x:c r="C1035" s="34" t="str">
        <x:v>default</x:v>
      </x:c>
      <x:c r="D1035" s="34" t="str">
        <x:v>jcs321</x:v>
      </x:c>
      <x:c r="E1035" s="36" t="n">
        <x:v>6</x:v>
      </x:c>
      <x:c r="F1035" s="36" t="n">
        <x:v>6</x:v>
      </x:c>
      <x:c r="G1035" s="36"/>
      <x:c r="H1035" s="34" t="str">
        <x:v>process-run-aggregate</x:v>
      </x:c>
      <x:c r="I1035" s="36"/>
      <x:c r="J1035" s="34" t="str">
        <x:v>warning</x:v>
      </x:c>
      <x:c r="K1035" s="34" t="str">
        <x:v>warnings</x:v>
      </x:c>
      <x:c r="L1035" s="36" t="n">
        <x:v>1</x:v>
      </x:c>
      <x:c r="M1035" s="34"/>
      <x:c r="N1035" s="44" t="str">
        <x:v>03-Sep-2026 02:28:43.570 WARNING [http-nio-8080-exec-1] org.apache.commons.jcs3.engine.control.CompositeCacheConfigurator. Skipping empty auxiliary name</x:v>
      </x:c>
    </x:row>
    <x:row r="1036">
      <x:c r="A1036" s="36" t="n">
        <x:v>1035</x:v>
      </x:c>
      <x:c r="B1036" s="34" t="str">
        <x:v>article1-unified-v4-2-fb3f101b-20260903-000401-default-f06-p3-jcs321</x:v>
      </x:c>
      <x:c r="C1036" s="34" t="str">
        <x:v>default</x:v>
      </x:c>
      <x:c r="D1036" s="34" t="str">
        <x:v>jcs321</x:v>
      </x:c>
      <x:c r="E1036" s="36" t="n">
        <x:v>6</x:v>
      </x:c>
      <x:c r="F1036" s="36" t="n">
        <x:v>6</x:v>
      </x:c>
      <x:c r="G1036" s="36"/>
      <x:c r="H1036" s="34" t="str">
        <x:v>process-run-aggregate</x:v>
      </x:c>
      <x:c r="I1036" s="36"/>
      <x:c r="J1036" s="34" t="str">
        <x:v>warning</x:v>
      </x:c>
      <x:c r="K1036" s="34" t="str">
        <x:v>warnings</x:v>
      </x:c>
      <x:c r="L1036" s="36" t="n">
        <x:v>2</x:v>
      </x:c>
      <x:c r="M1036" s="34"/>
      <x:c r="N1036" s="44" t="str">
        <x:v>03-Sep-2026 02:28:56.561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1037">
      <x:c r="A1037" s="36" t="n">
        <x:v>1036</x:v>
      </x:c>
      <x:c r="B1037" s="34" t="str">
        <x:v>article1-unified-v4-2-fb3f101b-20260903-000401-default-f06-p3-jcs321</x:v>
      </x:c>
      <x:c r="C1037" s="34" t="str">
        <x:v>default</x:v>
      </x:c>
      <x:c r="D1037" s="34" t="str">
        <x:v>jcs321</x:v>
      </x:c>
      <x:c r="E1037" s="36" t="n">
        <x:v>6</x:v>
      </x:c>
      <x:c r="F1037" s="36" t="n">
        <x:v>6</x:v>
      </x:c>
      <x:c r="G1037" s="36"/>
      <x:c r="H1037" s="34" t="str">
        <x:v>process-run-aggregate</x:v>
      </x:c>
      <x:c r="I1037" s="36"/>
      <x:c r="J1037" s="34" t="str">
        <x:v>warning</x:v>
      </x:c>
      <x:c r="K1037" s="34" t="str">
        <x:v>warnings</x:v>
      </x:c>
      <x:c r="L1037" s="36" t="n">
        <x:v>3</x:v>
      </x:c>
      <x:c r="M1037" s="34"/>
      <x:c r="N1037" s="44" t="str">
        <x:v>03-Sep-2026 02:29:26.755 WARNING [http-nio-8080-exec-9] org.apache.commons.jcs3.engine.control.CompositeCacheConfigurator. Skipping empty auxiliary name</x:v>
      </x:c>
    </x:row>
    <x:row r="1038">
      <x:c r="A1038" s="36" t="n">
        <x:v>1037</x:v>
      </x:c>
      <x:c r="B1038" s="34" t="str">
        <x:v>article1-unified-v4-2-fb3f101b-20260903-000401-default-f06-p3-jcs321</x:v>
      </x:c>
      <x:c r="C1038" s="34" t="str">
        <x:v>default</x:v>
      </x:c>
      <x:c r="D1038" s="34" t="str">
        <x:v>jcs321</x:v>
      </x:c>
      <x:c r="E1038" s="36" t="n">
        <x:v>6</x:v>
      </x:c>
      <x:c r="F1038" s="36" t="n">
        <x:v>6</x:v>
      </x:c>
      <x:c r="G1038" s="36"/>
      <x:c r="H1038" s="34" t="str">
        <x:v>process-run-aggregate</x:v>
      </x:c>
      <x:c r="I1038" s="36"/>
      <x:c r="J1038" s="34" t="str">
        <x:v>warning</x:v>
      </x:c>
      <x:c r="K1038" s="34" t="str">
        <x:v>warnings</x:v>
      </x:c>
      <x:c r="L1038" s="36" t="n">
        <x:v>4</x:v>
      </x:c>
      <x:c r="M1038" s="34"/>
      <x:c r="N1038" s="44" t="str">
        <x:v>03-Sep-2026 02:29:40.109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1039">
      <x:c r="A1039" s="36" t="n">
        <x:v>1038</x:v>
      </x:c>
      <x:c r="B1039" s="34" t="str">
        <x:v>article1-unified-v4-2-fb3f101b-20260903-000401-default-f06-p3-jcs321</x:v>
      </x:c>
      <x:c r="C1039" s="34" t="str">
        <x:v>default</x:v>
      </x:c>
      <x:c r="D1039" s="34" t="str">
        <x:v>jcs321</x:v>
      </x:c>
      <x:c r="E1039" s="36" t="n">
        <x:v>6</x:v>
      </x:c>
      <x:c r="F1039" s="36" t="n">
        <x:v>6</x:v>
      </x:c>
      <x:c r="G1039" s="36"/>
      <x:c r="H1039" s="34" t="str">
        <x:v>process-run-aggregate</x:v>
      </x:c>
      <x:c r="I1039" s="36"/>
      <x:c r="J1039" s="34" t="str">
        <x:v>warning</x:v>
      </x:c>
      <x:c r="K1039" s="34" t="str">
        <x:v>warnings</x:v>
      </x:c>
      <x:c r="L1039" s="36" t="n">
        <x:v>5</x:v>
      </x:c>
      <x:c r="M1039" s="34"/>
      <x:c r="N1039" s="44" t="str">
        <x:v>03-Sep-2026 02:30:12.308 WARNING [http-nio-8080-exec-14] org.apache.commons.jcs3.engine.control.CompositeCacheConfigurator. Skipping empty auxiliary name</x:v>
      </x:c>
    </x:row>
    <x:row r="1040">
      <x:c r="A1040" s="36" t="n">
        <x:v>1039</x:v>
      </x:c>
      <x:c r="B1040" s="34" t="str">
        <x:v>article1-unified-v4-2-fb3f101b-20260903-000401-default-f06-p3-jcs321</x:v>
      </x:c>
      <x:c r="C1040" s="34" t="str">
        <x:v>default</x:v>
      </x:c>
      <x:c r="D1040" s="34" t="str">
        <x:v>jcs321</x:v>
      </x:c>
      <x:c r="E1040" s="36" t="n">
        <x:v>6</x:v>
      </x:c>
      <x:c r="F1040" s="36" t="n">
        <x:v>6</x:v>
      </x:c>
      <x:c r="G1040" s="36"/>
      <x:c r="H1040" s="34" t="str">
        <x:v>process-run-aggregate</x:v>
      </x:c>
      <x:c r="I1040" s="36"/>
      <x:c r="J1040" s="34" t="str">
        <x:v>warning</x:v>
      </x:c>
      <x:c r="K1040" s="34" t="str">
        <x:v>warnings</x:v>
      </x:c>
      <x:c r="L1040" s="36" t="n">
        <x:v>6</x:v>
      </x:c>
      <x:c r="M1040" s="34"/>
      <x:c r="N1040" s="44" t="str">
        <x:v>03-Sep-2026 02:30:25.755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41">
      <x:c r="A1041" s="36" t="n">
        <x:v>1040</x:v>
      </x:c>
      <x:c r="B1041" s="34" t="str">
        <x:v>article1-unified-v4-2-fb3f101b-20260903-000401-default-f06-p3-jcs321</x:v>
      </x:c>
      <x:c r="C1041" s="34" t="str">
        <x:v>default</x:v>
      </x:c>
      <x:c r="D1041" s="34" t="str">
        <x:v>jcs321</x:v>
      </x:c>
      <x:c r="E1041" s="36" t="n">
        <x:v>6</x:v>
      </x:c>
      <x:c r="F1041" s="36" t="n">
        <x:v>6</x:v>
      </x:c>
      <x:c r="G1041" s="36"/>
      <x:c r="H1041" s="34" t="str">
        <x:v>process-run-aggregate</x:v>
      </x:c>
      <x:c r="I1041" s="36"/>
      <x:c r="J1041" s="34" t="str">
        <x:v>warning</x:v>
      </x:c>
      <x:c r="K1041" s="34" t="str">
        <x:v>warnings</x:v>
      </x:c>
      <x:c r="L1041" s="36" t="n">
        <x:v>7</x:v>
      </x:c>
      <x:c r="M1041" s="34"/>
      <x:c r="N1041" s="44" t="str">
        <x:v>03-Sep-2026 02:30:55.654 WARNING [http-nio-8080-exec-22] org.apache.commons.jcs3.engine.control.CompositeCacheConfigurator. Skipping empty auxiliary name</x:v>
      </x:c>
    </x:row>
    <x:row r="1042">
      <x:c r="A1042" s="36" t="n">
        <x:v>1041</x:v>
      </x:c>
      <x:c r="B1042" s="34" t="str">
        <x:v>article1-unified-v4-2-fb3f101b-20260903-000401-default-f06-p3-jcs321</x:v>
      </x:c>
      <x:c r="C1042" s="34" t="str">
        <x:v>default</x:v>
      </x:c>
      <x:c r="D1042" s="34" t="str">
        <x:v>jcs321</x:v>
      </x:c>
      <x:c r="E1042" s="36" t="n">
        <x:v>6</x:v>
      </x:c>
      <x:c r="F1042" s="36" t="n">
        <x:v>6</x:v>
      </x:c>
      <x:c r="G1042" s="36"/>
      <x:c r="H1042" s="34" t="str">
        <x:v>process-run-aggregate</x:v>
      </x:c>
      <x:c r="I1042" s="36"/>
      <x:c r="J1042" s="34" t="str">
        <x:v>warning</x:v>
      </x:c>
      <x:c r="K1042" s="34" t="str">
        <x:v>warnings</x:v>
      </x:c>
      <x:c r="L1042" s="36" t="n">
        <x:v>8</x:v>
      </x:c>
      <x:c r="M1042" s="34"/>
      <x:c r="N1042" s="44" t="str">
        <x:v>03-Sep-2026 02:31:09.201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43">
      <x:c r="A1043" s="36" t="n">
        <x:v>1042</x:v>
      </x:c>
      <x:c r="B1043" s="34" t="str">
        <x:v>article1-unified-v4-2-fb3f101b-20260903-000401-default-f06-p3-jcs321</x:v>
      </x:c>
      <x:c r="C1043" s="34" t="str">
        <x:v>default</x:v>
      </x:c>
      <x:c r="D1043" s="34" t="str">
        <x:v>jcs321</x:v>
      </x:c>
      <x:c r="E1043" s="36" t="n">
        <x:v>6</x:v>
      </x:c>
      <x:c r="F1043" s="36" t="n">
        <x:v>6</x:v>
      </x:c>
      <x:c r="G1043" s="36"/>
      <x:c r="H1043" s="34" t="str">
        <x:v>process-run-aggregate</x:v>
      </x:c>
      <x:c r="I1043" s="36"/>
      <x:c r="J1043" s="34" t="str">
        <x:v>warning</x:v>
      </x:c>
      <x:c r="K1043" s="34" t="str">
        <x:v>warnings</x:v>
      </x:c>
      <x:c r="L1043" s="36" t="n">
        <x:v>9</x:v>
      </x:c>
      <x:c r="M1043" s="34"/>
      <x:c r="N1043" s="44" t="str">
        <x:v>03-Sep-2026 02:31:42.124 WARNING [http-nio-8080-exec-29] org.apache.commons.jcs3.engine.control.CompositeCacheConfigurator. Skipping empty auxiliary name</x:v>
      </x:c>
    </x:row>
    <x:row r="1044">
      <x:c r="A1044" s="36" t="n">
        <x:v>1043</x:v>
      </x:c>
      <x:c r="B1044" s="34" t="str">
        <x:v>article1-unified-v4-2-fb3f101b-20260903-000401-default-f06-p3-jcs321</x:v>
      </x:c>
      <x:c r="C1044" s="34" t="str">
        <x:v>default</x:v>
      </x:c>
      <x:c r="D1044" s="34" t="str">
        <x:v>jcs321</x:v>
      </x:c>
      <x:c r="E1044" s="36" t="n">
        <x:v>6</x:v>
      </x:c>
      <x:c r="F1044" s="36" t="n">
        <x:v>6</x:v>
      </x:c>
      <x:c r="G1044" s="36"/>
      <x:c r="H1044" s="34" t="str">
        <x:v>process-run-aggregate</x:v>
      </x:c>
      <x:c r="I1044" s="36"/>
      <x:c r="J1044" s="34" t="str">
        <x:v>warning</x:v>
      </x:c>
      <x:c r="K1044" s="34" t="str">
        <x:v>warnings</x:v>
      </x:c>
      <x:c r="L1044" s="36" t="n">
        <x:v>10</x:v>
      </x:c>
      <x:c r="M1044" s="34"/>
      <x:c r="N1044" s="44" t="str">
        <x:v>03-Sep-2026 02:31:55.155 WARNING [http-nio-8080-exec-24]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045">
      <x:c r="A1045" s="36" t="n">
        <x:v>1044</x:v>
      </x:c>
      <x:c r="B1045" s="34" t="str">
        <x:v>article1-unified-v4-2-fb3f101b-20260903-000401-default-f06-p3-jcs321</x:v>
      </x:c>
      <x:c r="C1045" s="34" t="str">
        <x:v>default</x:v>
      </x:c>
      <x:c r="D1045" s="34" t="str">
        <x:v>jcs321</x:v>
      </x:c>
      <x:c r="E1045" s="36" t="n">
        <x:v>6</x:v>
      </x:c>
      <x:c r="F1045" s="36" t="n">
        <x:v>6</x:v>
      </x:c>
      <x:c r="G1045" s="36"/>
      <x:c r="H1045" s="34" t="str">
        <x:v>process-run-aggregate</x:v>
      </x:c>
      <x:c r="I1045" s="36"/>
      <x:c r="J1045" s="34" t="str">
        <x:v>warning</x:v>
      </x:c>
      <x:c r="K1045" s="34" t="str">
        <x:v>warnings</x:v>
      </x:c>
      <x:c r="L1045" s="36" t="n">
        <x:v>11</x:v>
      </x:c>
      <x:c r="M1045" s="34"/>
      <x:c r="N1045" s="44" t="str">
        <x:v>03-Sep-2026 02:32:24.458 WARNING [http-nio-8080-exec-35] org.apache.commons.jcs3.engine.control.CompositeCacheConfigurator. Skipping empty auxiliary name</x:v>
      </x:c>
    </x:row>
    <x:row r="1046">
      <x:c r="A1046" s="36" t="n">
        <x:v>1045</x:v>
      </x:c>
      <x:c r="B1046" s="34" t="str">
        <x:v>article1-unified-v4-2-fb3f101b-20260903-000401-default-f06-p3-jcs321</x:v>
      </x:c>
      <x:c r="C1046" s="34" t="str">
        <x:v>default</x:v>
      </x:c>
      <x:c r="D1046" s="34" t="str">
        <x:v>jcs321</x:v>
      </x:c>
      <x:c r="E1046" s="36" t="n">
        <x:v>6</x:v>
      </x:c>
      <x:c r="F1046" s="36" t="n">
        <x:v>6</x:v>
      </x:c>
      <x:c r="G1046" s="36"/>
      <x:c r="H1046" s="34" t="str">
        <x:v>process-run-aggregate</x:v>
      </x:c>
      <x:c r="I1046" s="36"/>
      <x:c r="J1046" s="34" t="str">
        <x:v>warning</x:v>
      </x:c>
      <x:c r="K1046" s="34" t="str">
        <x:v>warnings</x:v>
      </x:c>
      <x:c r="L1046" s="36" t="n">
        <x:v>12</x:v>
      </x:c>
      <x:c r="M1046" s="34"/>
      <x:c r="N1046" s="44" t="str">
        <x:v>03-Sep-2026 02:32:37.407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047">
      <x:c r="A1047" s="36" t="n">
        <x:v>1046</x:v>
      </x:c>
      <x:c r="B1047" s="34" t="str">
        <x:v>article1-unified-v4-2-fb3f101b-20260903-000401-default-f06-p3-jcs321</x:v>
      </x:c>
      <x:c r="C1047" s="34" t="str">
        <x:v>default</x:v>
      </x:c>
      <x:c r="D1047" s="34" t="str">
        <x:v>jcs321</x:v>
      </x:c>
      <x:c r="E1047" s="36" t="n">
        <x:v>6</x:v>
      </x:c>
      <x:c r="F1047" s="36" t="n">
        <x:v>6</x:v>
      </x:c>
      <x:c r="G1047" s="36"/>
      <x:c r="H1047" s="34" t="str">
        <x:v>process-run-aggregate</x:v>
      </x:c>
      <x:c r="I1047" s="36"/>
      <x:c r="J1047" s="34" t="str">
        <x:v>warning</x:v>
      </x:c>
      <x:c r="K1047" s="34" t="str">
        <x:v>warnings</x:v>
      </x:c>
      <x:c r="L1047" s="36" t="n">
        <x:v>13</x:v>
      </x:c>
      <x:c r="M1047" s="34"/>
      <x:c r="N1047" s="44" t="str">
        <x:v>03-Sep-2026 02:33:09.675 WARNING [http-nio-8080-exec-40] org.apache.commons.jcs3.engine.control.CompositeCacheConfigurator. Skipping empty auxiliary name</x:v>
      </x:c>
    </x:row>
    <x:row r="1048">
      <x:c r="A1048" s="36" t="n">
        <x:v>1047</x:v>
      </x:c>
      <x:c r="B1048" s="34" t="str">
        <x:v>article1-unified-v4-2-fb3f101b-20260903-000401-default-f06-p3-jcs321</x:v>
      </x:c>
      <x:c r="C1048" s="34" t="str">
        <x:v>default</x:v>
      </x:c>
      <x:c r="D1048" s="34" t="str">
        <x:v>jcs321</x:v>
      </x:c>
      <x:c r="E1048" s="36" t="n">
        <x:v>6</x:v>
      </x:c>
      <x:c r="F1048" s="36" t="n">
        <x:v>6</x:v>
      </x:c>
      <x:c r="G1048" s="36"/>
      <x:c r="H1048" s="34" t="str">
        <x:v>process-run-aggregate</x:v>
      </x:c>
      <x:c r="I1048" s="36"/>
      <x:c r="J1048" s="34" t="str">
        <x:v>warning</x:v>
      </x:c>
      <x:c r="K1048" s="34" t="str">
        <x:v>warnings</x:v>
      </x:c>
      <x:c r="L1048" s="36" t="n">
        <x:v>14</x:v>
      </x:c>
      <x:c r="M1048" s="34"/>
      <x:c r="N1048" s="44" t="str">
        <x:v>03-Sep-2026 02:33:22.917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049">
      <x:c r="A1049" s="36" t="n">
        <x:v>1048</x:v>
      </x:c>
      <x:c r="B1049" s="34" t="str">
        <x:v>article1-unified-v4-2-fb3f101b-20260903-000401-default-f06-p3-jcs321</x:v>
      </x:c>
      <x:c r="C1049" s="34" t="str">
        <x:v>default</x:v>
      </x:c>
      <x:c r="D1049" s="34" t="str">
        <x:v>jcs321</x:v>
      </x:c>
      <x:c r="E1049" s="36" t="n">
        <x:v>6</x:v>
      </x:c>
      <x:c r="F1049" s="36" t="n">
        <x:v>6</x:v>
      </x:c>
      <x:c r="G1049" s="36"/>
      <x:c r="H1049" s="34" t="str">
        <x:v>process-run-aggregate</x:v>
      </x:c>
      <x:c r="I1049" s="36"/>
      <x:c r="J1049" s="34" t="str">
        <x:v>warning</x:v>
      </x:c>
      <x:c r="K1049" s="34" t="str">
        <x:v>warnings</x:v>
      </x:c>
      <x:c r="L1049" s="36" t="n">
        <x:v>15</x:v>
      </x:c>
      <x:c r="M1049" s="34"/>
      <x:c r="N1049" s="44" t="str">
        <x:v>03-Sep-2026 02:33:52.540 WARNING [http-nio-8080-exec-45] org.apache.commons.jcs3.engine.control.CompositeCacheConfigurator. Skipping empty auxiliary name</x:v>
      </x:c>
    </x:row>
    <x:row r="1050">
      <x:c r="A1050" s="36" t="n">
        <x:v>1049</x:v>
      </x:c>
      <x:c r="B1050" s="34" t="str">
        <x:v>article1-unified-v4-2-fb3f101b-20260903-000401-default-f06-p3-jcs321</x:v>
      </x:c>
      <x:c r="C1050" s="34" t="str">
        <x:v>default</x:v>
      </x:c>
      <x:c r="D1050" s="34" t="str">
        <x:v>jcs321</x:v>
      </x:c>
      <x:c r="E1050" s="36" t="n">
        <x:v>6</x:v>
      </x:c>
      <x:c r="F1050" s="36" t="n">
        <x:v>6</x:v>
      </x:c>
      <x:c r="G1050" s="36"/>
      <x:c r="H1050" s="34" t="str">
        <x:v>process-run-aggregate</x:v>
      </x:c>
      <x:c r="I1050" s="36"/>
      <x:c r="J1050" s="34" t="str">
        <x:v>warning</x:v>
      </x:c>
      <x:c r="K1050" s="34" t="str">
        <x:v>warnings</x:v>
      </x:c>
      <x:c r="L1050" s="36" t="n">
        <x:v>16</x:v>
      </x:c>
      <x:c r="M1050" s="34"/>
      <x:c r="N1050" s="44" t="str">
        <x:v>03-Sep-2026 02:34:05.463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051">
      <x:c r="A1051" s="36" t="n">
        <x:v>1050</x:v>
      </x:c>
      <x:c r="B1051" s="34" t="str">
        <x:v>article1-unified-v4-2-fb3f101b-20260903-000401-default-f06-p3-jcs321</x:v>
      </x:c>
      <x:c r="C1051" s="34" t="str">
        <x:v>default</x:v>
      </x:c>
      <x:c r="D1051" s="34" t="str">
        <x:v>jcs321</x:v>
      </x:c>
      <x:c r="E1051" s="36" t="n">
        <x:v>6</x:v>
      </x:c>
      <x:c r="F1051" s="36" t="n">
        <x:v>6</x:v>
      </x:c>
      <x:c r="G1051" s="36"/>
      <x:c r="H1051" s="34" t="str">
        <x:v>process-run-aggregate</x:v>
      </x:c>
      <x:c r="I1051" s="36"/>
      <x:c r="J1051" s="34" t="str">
        <x:v>warning</x:v>
      </x:c>
      <x:c r="K1051" s="34" t="str">
        <x:v>warnings</x:v>
      </x:c>
      <x:c r="L1051" s="36" t="n">
        <x:v>17</x:v>
      </x:c>
      <x:c r="M1051" s="34"/>
      <x:c r="N1051" s="44" t="str">
        <x:v>03-Sep-2026 02:34:37.608 WARNING [http-nio-8080-exec-44] org.apache.commons.jcs3.engine.control.CompositeCacheConfigurator. Skipping empty auxiliary name</x:v>
      </x:c>
    </x:row>
    <x:row r="1052">
      <x:c r="A1052" s="36" t="n">
        <x:v>1051</x:v>
      </x:c>
      <x:c r="B1052" s="34" t="str">
        <x:v>article1-unified-v4-2-fb3f101b-20260903-000401-default-f06-p3-jcs321</x:v>
      </x:c>
      <x:c r="C1052" s="34" t="str">
        <x:v>default</x:v>
      </x:c>
      <x:c r="D1052" s="34" t="str">
        <x:v>jcs321</x:v>
      </x:c>
      <x:c r="E1052" s="36" t="n">
        <x:v>6</x:v>
      </x:c>
      <x:c r="F1052" s="36" t="n">
        <x:v>6</x:v>
      </x:c>
      <x:c r="G1052" s="36"/>
      <x:c r="H1052" s="34" t="str">
        <x:v>process-run-aggregate</x:v>
      </x:c>
      <x:c r="I1052" s="36"/>
      <x:c r="J1052" s="34" t="str">
        <x:v>warning</x:v>
      </x:c>
      <x:c r="K1052" s="34" t="str">
        <x:v>warnings</x:v>
      </x:c>
      <x:c r="L1052" s="36" t="n">
        <x:v>18</x:v>
      </x:c>
      <x:c r="M1052" s="34"/>
      <x:c r="N1052" s="44" t="str">
        <x:v>03-Sep-2026 02:34:50.939 WARNING [http-nio-8080-exec-32]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053">
      <x:c r="A1053" s="36" t="n">
        <x:v>1052</x:v>
      </x:c>
      <x:c r="B1053" s="34" t="str">
        <x:v>article1-unified-v4-2-fb3f101b-20260903-000401-default-f06-p3-jcs321</x:v>
      </x:c>
      <x:c r="C1053" s="34" t="str">
        <x:v>default</x:v>
      </x:c>
      <x:c r="D1053" s="34" t="str">
        <x:v>jcs321</x:v>
      </x:c>
      <x:c r="E1053" s="36" t="n">
        <x:v>6</x:v>
      </x:c>
      <x:c r="F1053" s="36" t="n">
        <x:v>6</x:v>
      </x:c>
      <x:c r="G1053" s="36"/>
      <x:c r="H1053" s="34" t="str">
        <x:v>process-run-aggregate</x:v>
      </x:c>
      <x:c r="I1053" s="36"/>
      <x:c r="J1053" s="34" t="str">
        <x:v>warning</x:v>
      </x:c>
      <x:c r="K1053" s="34" t="str">
        <x:v>warnings</x:v>
      </x:c>
      <x:c r="L1053" s="36" t="n">
        <x:v>19</x:v>
      </x:c>
      <x:c r="M1053" s="34"/>
      <x:c r="N1053" s="44" t="str">
        <x:v>03-Sep-2026 02:35:20.499 WARNING [http-nio-8080-exec-57] org.apache.commons.jcs3.engine.control.CompositeCacheConfigurator. Skipping empty auxiliary name</x:v>
      </x:c>
    </x:row>
    <x:row r="1054">
      <x:c r="A1054" s="36" t="n">
        <x:v>1053</x:v>
      </x:c>
      <x:c r="B1054" s="34" t="str">
        <x:v>article1-unified-v4-2-fb3f101b-20260903-000401-default-f06-p3-jcs321</x:v>
      </x:c>
      <x:c r="C1054" s="34" t="str">
        <x:v>default</x:v>
      </x:c>
      <x:c r="D1054" s="34" t="str">
        <x:v>jcs321</x:v>
      </x:c>
      <x:c r="E1054" s="36" t="n">
        <x:v>6</x:v>
      </x:c>
      <x:c r="F1054" s="36" t="n">
        <x:v>6</x:v>
      </x:c>
      <x:c r="G1054" s="36"/>
      <x:c r="H1054" s="34" t="str">
        <x:v>process-run-aggregate</x:v>
      </x:c>
      <x:c r="I1054" s="36"/>
      <x:c r="J1054" s="34" t="str">
        <x:v>warning</x:v>
      </x:c>
      <x:c r="K1054" s="34" t="str">
        <x:v>warnings</x:v>
      </x:c>
      <x:c r="L1054" s="36" t="n">
        <x:v>20</x:v>
      </x:c>
      <x:c r="M1054" s="34"/>
      <x:c r="N1054" s="44" t="str">
        <x:v>03-Sep-2026 02:35:33.469 WARNING [http-nio-8080-exec-59]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055">
      <x:c r="A1055" s="36" t="n">
        <x:v>1054</x:v>
      </x:c>
      <x:c r="B1055" s="34" t="str">
        <x:v>article1-unified-v4-2-fb3f101b-20260903-000401-default-f06-p3-jcs321</x:v>
      </x:c>
      <x:c r="C1055" s="34" t="str">
        <x:v>default</x:v>
      </x:c>
      <x:c r="D1055" s="34" t="str">
        <x:v>jcs321</x:v>
      </x:c>
      <x:c r="E1055" s="36" t="n">
        <x:v>6</x:v>
      </x:c>
      <x:c r="F1055" s="36" t="n">
        <x:v>6</x:v>
      </x:c>
      <x:c r="G1055" s="36"/>
      <x:c r="H1055" s="34" t="str">
        <x:v>process-run-aggregate</x:v>
      </x:c>
      <x:c r="I1055" s="36"/>
      <x:c r="J1055" s="34" t="str">
        <x:v>leak-warning</x:v>
      </x:c>
      <x:c r="K1055" s="34" t="str">
        <x:v>leakWarnings</x:v>
      </x:c>
      <x:c r="L1055" s="36" t="n">
        <x:v>1</x:v>
      </x:c>
      <x:c r="M1055" s="34"/>
      <x:c r="N1055" s="44" t="str">
        <x:v>03-Sep-2026 02:28:56.561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1056">
      <x:c r="A1056" s="36" t="n">
        <x:v>1055</x:v>
      </x:c>
      <x:c r="B1056" s="34" t="str">
        <x:v>article1-unified-v4-2-fb3f101b-20260903-000401-default-f06-p3-jcs321</x:v>
      </x:c>
      <x:c r="C1056" s="34" t="str">
        <x:v>default</x:v>
      </x:c>
      <x:c r="D1056" s="34" t="str">
        <x:v>jcs321</x:v>
      </x:c>
      <x:c r="E1056" s="36" t="n">
        <x:v>6</x:v>
      </x:c>
      <x:c r="F1056" s="36" t="n">
        <x:v>6</x:v>
      </x:c>
      <x:c r="G1056" s="36"/>
      <x:c r="H1056" s="34" t="str">
        <x:v>process-run-aggregate</x:v>
      </x:c>
      <x:c r="I1056" s="36"/>
      <x:c r="J1056" s="34" t="str">
        <x:v>leak-warning</x:v>
      </x:c>
      <x:c r="K1056" s="34" t="str">
        <x:v>leakWarnings</x:v>
      </x:c>
      <x:c r="L1056" s="36" t="n">
        <x:v>2</x:v>
      </x:c>
      <x:c r="M1056" s="34"/>
      <x:c r="N1056" s="44" t="str">
        <x:v>03-Sep-2026 02:29:40.109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1057">
      <x:c r="A1057" s="36" t="n">
        <x:v>1056</x:v>
      </x:c>
      <x:c r="B1057" s="34" t="str">
        <x:v>article1-unified-v4-2-fb3f101b-20260903-000401-default-f06-p3-jcs321</x:v>
      </x:c>
      <x:c r="C1057" s="34" t="str">
        <x:v>default</x:v>
      </x:c>
      <x:c r="D1057" s="34" t="str">
        <x:v>jcs321</x:v>
      </x:c>
      <x:c r="E1057" s="36" t="n">
        <x:v>6</x:v>
      </x:c>
      <x:c r="F1057" s="36" t="n">
        <x:v>6</x:v>
      </x:c>
      <x:c r="G1057" s="36"/>
      <x:c r="H1057" s="34" t="str">
        <x:v>process-run-aggregate</x:v>
      </x:c>
      <x:c r="I1057" s="36"/>
      <x:c r="J1057" s="34" t="str">
        <x:v>leak-warning</x:v>
      </x:c>
      <x:c r="K1057" s="34" t="str">
        <x:v>leakWarnings</x:v>
      </x:c>
      <x:c r="L1057" s="36" t="n">
        <x:v>3</x:v>
      </x:c>
      <x:c r="M1057" s="34"/>
      <x:c r="N1057" s="44" t="str">
        <x:v>03-Sep-2026 02:30:25.755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58">
      <x:c r="A1058" s="36" t="n">
        <x:v>1057</x:v>
      </x:c>
      <x:c r="B1058" s="34" t="str">
        <x:v>article1-unified-v4-2-fb3f101b-20260903-000401-default-f06-p3-jcs321</x:v>
      </x:c>
      <x:c r="C1058" s="34" t="str">
        <x:v>default</x:v>
      </x:c>
      <x:c r="D1058" s="34" t="str">
        <x:v>jcs321</x:v>
      </x:c>
      <x:c r="E1058" s="36" t="n">
        <x:v>6</x:v>
      </x:c>
      <x:c r="F1058" s="36" t="n">
        <x:v>6</x:v>
      </x:c>
      <x:c r="G1058" s="36"/>
      <x:c r="H1058" s="34" t="str">
        <x:v>process-run-aggregate</x:v>
      </x:c>
      <x:c r="I1058" s="36"/>
      <x:c r="J1058" s="34" t="str">
        <x:v>leak-warning</x:v>
      </x:c>
      <x:c r="K1058" s="34" t="str">
        <x:v>leakWarnings</x:v>
      </x:c>
      <x:c r="L1058" s="36" t="n">
        <x:v>4</x:v>
      </x:c>
      <x:c r="M1058" s="34"/>
      <x:c r="N1058" s="44" t="str">
        <x:v>03-Sep-2026 02:31:09.201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59">
      <x:c r="A1059" s="36" t="n">
        <x:v>1058</x:v>
      </x:c>
      <x:c r="B1059" s="34" t="str">
        <x:v>article1-unified-v4-2-fb3f101b-20260903-000401-default-f06-p3-jcs321</x:v>
      </x:c>
      <x:c r="C1059" s="34" t="str">
        <x:v>default</x:v>
      </x:c>
      <x:c r="D1059" s="34" t="str">
        <x:v>jcs321</x:v>
      </x:c>
      <x:c r="E1059" s="36" t="n">
        <x:v>6</x:v>
      </x:c>
      <x:c r="F1059" s="36" t="n">
        <x:v>6</x:v>
      </x:c>
      <x:c r="G1059" s="36"/>
      <x:c r="H1059" s="34" t="str">
        <x:v>process-run-aggregate</x:v>
      </x:c>
      <x:c r="I1059" s="36"/>
      <x:c r="J1059" s="34" t="str">
        <x:v>leak-warning</x:v>
      </x:c>
      <x:c r="K1059" s="34" t="str">
        <x:v>leakWarnings</x:v>
      </x:c>
      <x:c r="L1059" s="36" t="n">
        <x:v>5</x:v>
      </x:c>
      <x:c r="M1059" s="34"/>
      <x:c r="N1059" s="44" t="str">
        <x:v>03-Sep-2026 02:31:55.155 WARNING [http-nio-8080-exec-24]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060">
      <x:c r="A1060" s="36" t="n">
        <x:v>1059</x:v>
      </x:c>
      <x:c r="B1060" s="34" t="str">
        <x:v>article1-unified-v4-2-fb3f101b-20260903-000401-default-f06-p3-jcs321</x:v>
      </x:c>
      <x:c r="C1060" s="34" t="str">
        <x:v>default</x:v>
      </x:c>
      <x:c r="D1060" s="34" t="str">
        <x:v>jcs321</x:v>
      </x:c>
      <x:c r="E1060" s="36" t="n">
        <x:v>6</x:v>
      </x:c>
      <x:c r="F1060" s="36" t="n">
        <x:v>6</x:v>
      </x:c>
      <x:c r="G1060" s="36"/>
      <x:c r="H1060" s="34" t="str">
        <x:v>process-run-aggregate</x:v>
      </x:c>
      <x:c r="I1060" s="36"/>
      <x:c r="J1060" s="34" t="str">
        <x:v>leak-warning</x:v>
      </x:c>
      <x:c r="K1060" s="34" t="str">
        <x:v>leakWarnings</x:v>
      </x:c>
      <x:c r="L1060" s="36" t="n">
        <x:v>6</x:v>
      </x:c>
      <x:c r="M1060" s="34"/>
      <x:c r="N1060" s="44" t="str">
        <x:v>03-Sep-2026 02:32:37.407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061">
      <x:c r="A1061" s="36" t="n">
        <x:v>1060</x:v>
      </x:c>
      <x:c r="B1061" s="34" t="str">
        <x:v>article1-unified-v4-2-fb3f101b-20260903-000401-default-f06-p3-jcs321</x:v>
      </x:c>
      <x:c r="C1061" s="34" t="str">
        <x:v>default</x:v>
      </x:c>
      <x:c r="D1061" s="34" t="str">
        <x:v>jcs321</x:v>
      </x:c>
      <x:c r="E1061" s="36" t="n">
        <x:v>6</x:v>
      </x:c>
      <x:c r="F1061" s="36" t="n">
        <x:v>6</x:v>
      </x:c>
      <x:c r="G1061" s="36"/>
      <x:c r="H1061" s="34" t="str">
        <x:v>process-run-aggregate</x:v>
      </x:c>
      <x:c r="I1061" s="36"/>
      <x:c r="J1061" s="34" t="str">
        <x:v>leak-warning</x:v>
      </x:c>
      <x:c r="K1061" s="34" t="str">
        <x:v>leakWarnings</x:v>
      </x:c>
      <x:c r="L1061" s="36" t="n">
        <x:v>7</x:v>
      </x:c>
      <x:c r="M1061" s="34"/>
      <x:c r="N1061" s="44" t="str">
        <x:v>03-Sep-2026 02:33:22.917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062">
      <x:c r="A1062" s="36" t="n">
        <x:v>1061</x:v>
      </x:c>
      <x:c r="B1062" s="34" t="str">
        <x:v>article1-unified-v4-2-fb3f101b-20260903-000401-default-f06-p3-jcs321</x:v>
      </x:c>
      <x:c r="C1062" s="34" t="str">
        <x:v>default</x:v>
      </x:c>
      <x:c r="D1062" s="34" t="str">
        <x:v>jcs321</x:v>
      </x:c>
      <x:c r="E1062" s="36" t="n">
        <x:v>6</x:v>
      </x:c>
      <x:c r="F1062" s="36" t="n">
        <x:v>6</x:v>
      </x:c>
      <x:c r="G1062" s="36"/>
      <x:c r="H1062" s="34" t="str">
        <x:v>process-run-aggregate</x:v>
      </x:c>
      <x:c r="I1062" s="36"/>
      <x:c r="J1062" s="34" t="str">
        <x:v>leak-warning</x:v>
      </x:c>
      <x:c r="K1062" s="34" t="str">
        <x:v>leakWarnings</x:v>
      </x:c>
      <x:c r="L1062" s="36" t="n">
        <x:v>8</x:v>
      </x:c>
      <x:c r="M1062" s="34"/>
      <x:c r="N1062" s="44" t="str">
        <x:v>03-Sep-2026 02:34:05.463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063">
      <x:c r="A1063" s="36" t="n">
        <x:v>1062</x:v>
      </x:c>
      <x:c r="B1063" s="34" t="str">
        <x:v>article1-unified-v4-2-fb3f101b-20260903-000401-default-f06-p3-jcs321</x:v>
      </x:c>
      <x:c r="C1063" s="34" t="str">
        <x:v>default</x:v>
      </x:c>
      <x:c r="D1063" s="34" t="str">
        <x:v>jcs321</x:v>
      </x:c>
      <x:c r="E1063" s="36" t="n">
        <x:v>6</x:v>
      </x:c>
      <x:c r="F1063" s="36" t="n">
        <x:v>6</x:v>
      </x:c>
      <x:c r="G1063" s="36"/>
      <x:c r="H1063" s="34" t="str">
        <x:v>process-run-aggregate</x:v>
      </x:c>
      <x:c r="I1063" s="36"/>
      <x:c r="J1063" s="34" t="str">
        <x:v>leak-warning</x:v>
      </x:c>
      <x:c r="K1063" s="34" t="str">
        <x:v>leakWarnings</x:v>
      </x:c>
      <x:c r="L1063" s="36" t="n">
        <x:v>9</x:v>
      </x:c>
      <x:c r="M1063" s="34"/>
      <x:c r="N1063" s="44" t="str">
        <x:v>03-Sep-2026 02:34:50.939 WARNING [http-nio-8080-exec-32]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064">
      <x:c r="A1064" s="36" t="n">
        <x:v>1063</x:v>
      </x:c>
      <x:c r="B1064" s="34" t="str">
        <x:v>article1-unified-v4-2-fb3f101b-20260903-000401-default-f06-p3-jcs321</x:v>
      </x:c>
      <x:c r="C1064" s="34" t="str">
        <x:v>default</x:v>
      </x:c>
      <x:c r="D1064" s="34" t="str">
        <x:v>jcs321</x:v>
      </x:c>
      <x:c r="E1064" s="36" t="n">
        <x:v>6</x:v>
      </x:c>
      <x:c r="F1064" s="36" t="n">
        <x:v>6</x:v>
      </x:c>
      <x:c r="G1064" s="36"/>
      <x:c r="H1064" s="34" t="str">
        <x:v>process-run-aggregate</x:v>
      </x:c>
      <x:c r="I1064" s="36"/>
      <x:c r="J1064" s="34" t="str">
        <x:v>leak-warning</x:v>
      </x:c>
      <x:c r="K1064" s="34" t="str">
        <x:v>leakWarnings</x:v>
      </x:c>
      <x:c r="L1064" s="36" t="n">
        <x:v>10</x:v>
      </x:c>
      <x:c r="M1064" s="34"/>
      <x:c r="N1064" s="44" t="str">
        <x:v>03-Sep-2026 02:35:33.469 WARNING [http-nio-8080-exec-59]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065">
      <x:c r="A1065" s="36" t="n">
        <x:v>1064</x:v>
      </x:c>
      <x:c r="B1065" s="34" t="str">
        <x:v>article1-unified-v4-2-fb3f101b-20260903-000401-default-f06-p3-jcs321</x:v>
      </x:c>
      <x:c r="C1065" s="34" t="str">
        <x:v>default</x:v>
      </x:c>
      <x:c r="D1065" s="34" t="str">
        <x:v>jcs321</x:v>
      </x:c>
      <x:c r="E1065" s="36" t="n">
        <x:v>6</x:v>
      </x:c>
      <x:c r="F1065" s="36" t="n">
        <x:v>6</x:v>
      </x:c>
      <x:c r="G1065" s="36"/>
      <x:c r="H1065" s="34" t="str">
        <x:v>process-run-aggregate</x:v>
      </x:c>
      <x:c r="I1065" s="36"/>
      <x:c r="J1065" s="34" t="str">
        <x:v>thread-leak-warning</x:v>
      </x:c>
      <x:c r="K1065" s="34" t="str">
        <x:v>threadLeakWarnings</x:v>
      </x:c>
      <x:c r="L1065" s="36" t="n">
        <x:v>1</x:v>
      </x:c>
      <x:c r="M1065" s="34"/>
      <x:c r="N1065" s="44" t="str">
        <x:v>03-Sep-2026 02:28:56.561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1066">
      <x:c r="A1066" s="36" t="n">
        <x:v>1065</x:v>
      </x:c>
      <x:c r="B1066" s="34" t="str">
        <x:v>article1-unified-v4-2-fb3f101b-20260903-000401-default-f06-p3-jcs321</x:v>
      </x:c>
      <x:c r="C1066" s="34" t="str">
        <x:v>default</x:v>
      </x:c>
      <x:c r="D1066" s="34" t="str">
        <x:v>jcs321</x:v>
      </x:c>
      <x:c r="E1066" s="36" t="n">
        <x:v>6</x:v>
      </x:c>
      <x:c r="F1066" s="36" t="n">
        <x:v>6</x:v>
      </x:c>
      <x:c r="G1066" s="36"/>
      <x:c r="H1066" s="34" t="str">
        <x:v>process-run-aggregate</x:v>
      </x:c>
      <x:c r="I1066" s="36"/>
      <x:c r="J1066" s="34" t="str">
        <x:v>thread-leak-warning</x:v>
      </x:c>
      <x:c r="K1066" s="34" t="str">
        <x:v>threadLeakWarnings</x:v>
      </x:c>
      <x:c r="L1066" s="36" t="n">
        <x:v>2</x:v>
      </x:c>
      <x:c r="M1066" s="34"/>
      <x:c r="N1066" s="44" t="str">
        <x:v>03-Sep-2026 02:29:40.109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1067">
      <x:c r="A1067" s="36" t="n">
        <x:v>1066</x:v>
      </x:c>
      <x:c r="B1067" s="34" t="str">
        <x:v>article1-unified-v4-2-fb3f101b-20260903-000401-default-f06-p3-jcs321</x:v>
      </x:c>
      <x:c r="C1067" s="34" t="str">
        <x:v>default</x:v>
      </x:c>
      <x:c r="D1067" s="34" t="str">
        <x:v>jcs321</x:v>
      </x:c>
      <x:c r="E1067" s="36" t="n">
        <x:v>6</x:v>
      </x:c>
      <x:c r="F1067" s="36" t="n">
        <x:v>6</x:v>
      </x:c>
      <x:c r="G1067" s="36"/>
      <x:c r="H1067" s="34" t="str">
        <x:v>process-run-aggregate</x:v>
      </x:c>
      <x:c r="I1067" s="36"/>
      <x:c r="J1067" s="34" t="str">
        <x:v>thread-leak-warning</x:v>
      </x:c>
      <x:c r="K1067" s="34" t="str">
        <x:v>threadLeakWarnings</x:v>
      </x:c>
      <x:c r="L1067" s="36" t="n">
        <x:v>3</x:v>
      </x:c>
      <x:c r="M1067" s="34"/>
      <x:c r="N1067" s="44" t="str">
        <x:v>03-Sep-2026 02:30:25.755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68">
      <x:c r="A1068" s="36" t="n">
        <x:v>1067</x:v>
      </x:c>
      <x:c r="B1068" s="34" t="str">
        <x:v>article1-unified-v4-2-fb3f101b-20260903-000401-default-f06-p3-jcs321</x:v>
      </x:c>
      <x:c r="C1068" s="34" t="str">
        <x:v>default</x:v>
      </x:c>
      <x:c r="D1068" s="34" t="str">
        <x:v>jcs321</x:v>
      </x:c>
      <x:c r="E1068" s="36" t="n">
        <x:v>6</x:v>
      </x:c>
      <x:c r="F1068" s="36" t="n">
        <x:v>6</x:v>
      </x:c>
      <x:c r="G1068" s="36"/>
      <x:c r="H1068" s="34" t="str">
        <x:v>process-run-aggregate</x:v>
      </x:c>
      <x:c r="I1068" s="36"/>
      <x:c r="J1068" s="34" t="str">
        <x:v>thread-leak-warning</x:v>
      </x:c>
      <x:c r="K1068" s="34" t="str">
        <x:v>threadLeakWarnings</x:v>
      </x:c>
      <x:c r="L1068" s="36" t="n">
        <x:v>4</x:v>
      </x:c>
      <x:c r="M1068" s="34"/>
      <x:c r="N1068" s="44" t="str">
        <x:v>03-Sep-2026 02:31:09.201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69">
      <x:c r="A1069" s="36" t="n">
        <x:v>1068</x:v>
      </x:c>
      <x:c r="B1069" s="34" t="str">
        <x:v>article1-unified-v4-2-fb3f101b-20260903-000401-default-f06-p3-jcs321</x:v>
      </x:c>
      <x:c r="C1069" s="34" t="str">
        <x:v>default</x:v>
      </x:c>
      <x:c r="D1069" s="34" t="str">
        <x:v>jcs321</x:v>
      </x:c>
      <x:c r="E1069" s="36" t="n">
        <x:v>6</x:v>
      </x:c>
      <x:c r="F1069" s="36" t="n">
        <x:v>6</x:v>
      </x:c>
      <x:c r="G1069" s="36"/>
      <x:c r="H1069" s="34" t="str">
        <x:v>process-run-aggregate</x:v>
      </x:c>
      <x:c r="I1069" s="36"/>
      <x:c r="J1069" s="34" t="str">
        <x:v>thread-leak-warning</x:v>
      </x:c>
      <x:c r="K1069" s="34" t="str">
        <x:v>threadLeakWarnings</x:v>
      </x:c>
      <x:c r="L1069" s="36" t="n">
        <x:v>5</x:v>
      </x:c>
      <x:c r="M1069" s="34"/>
      <x:c r="N1069" s="44" t="str">
        <x:v>03-Sep-2026 02:31:55.155 WARNING [http-nio-8080-exec-24]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070">
      <x:c r="A1070" s="36" t="n">
        <x:v>1069</x:v>
      </x:c>
      <x:c r="B1070" s="34" t="str">
        <x:v>article1-unified-v4-2-fb3f101b-20260903-000401-default-f06-p3-jcs321</x:v>
      </x:c>
      <x:c r="C1070" s="34" t="str">
        <x:v>default</x:v>
      </x:c>
      <x:c r="D1070" s="34" t="str">
        <x:v>jcs321</x:v>
      </x:c>
      <x:c r="E1070" s="36" t="n">
        <x:v>6</x:v>
      </x:c>
      <x:c r="F1070" s="36" t="n">
        <x:v>6</x:v>
      </x:c>
      <x:c r="G1070" s="36"/>
      <x:c r="H1070" s="34" t="str">
        <x:v>process-run-aggregate</x:v>
      </x:c>
      <x:c r="I1070" s="36"/>
      <x:c r="J1070" s="34" t="str">
        <x:v>thread-leak-warning</x:v>
      </x:c>
      <x:c r="K1070" s="34" t="str">
        <x:v>threadLeakWarnings</x:v>
      </x:c>
      <x:c r="L1070" s="36" t="n">
        <x:v>6</x:v>
      </x:c>
      <x:c r="M1070" s="34"/>
      <x:c r="N1070" s="44" t="str">
        <x:v>03-Sep-2026 02:32:37.407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071">
      <x:c r="A1071" s="36" t="n">
        <x:v>1070</x:v>
      </x:c>
      <x:c r="B1071" s="34" t="str">
        <x:v>article1-unified-v4-2-fb3f101b-20260903-000401-default-f06-p3-jcs321</x:v>
      </x:c>
      <x:c r="C1071" s="34" t="str">
        <x:v>default</x:v>
      </x:c>
      <x:c r="D1071" s="34" t="str">
        <x:v>jcs321</x:v>
      </x:c>
      <x:c r="E1071" s="36" t="n">
        <x:v>6</x:v>
      </x:c>
      <x:c r="F1071" s="36" t="n">
        <x:v>6</x:v>
      </x:c>
      <x:c r="G1071" s="36"/>
      <x:c r="H1071" s="34" t="str">
        <x:v>process-run-aggregate</x:v>
      </x:c>
      <x:c r="I1071" s="36"/>
      <x:c r="J1071" s="34" t="str">
        <x:v>thread-leak-warning</x:v>
      </x:c>
      <x:c r="K1071" s="34" t="str">
        <x:v>threadLeakWarnings</x:v>
      </x:c>
      <x:c r="L1071" s="36" t="n">
        <x:v>7</x:v>
      </x:c>
      <x:c r="M1071" s="34"/>
      <x:c r="N1071" s="44" t="str">
        <x:v>03-Sep-2026 02:33:22.917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072">
      <x:c r="A1072" s="36" t="n">
        <x:v>1071</x:v>
      </x:c>
      <x:c r="B1072" s="34" t="str">
        <x:v>article1-unified-v4-2-fb3f101b-20260903-000401-default-f06-p3-jcs321</x:v>
      </x:c>
      <x:c r="C1072" s="34" t="str">
        <x:v>default</x:v>
      </x:c>
      <x:c r="D1072" s="34" t="str">
        <x:v>jcs321</x:v>
      </x:c>
      <x:c r="E1072" s="36" t="n">
        <x:v>6</x:v>
      </x:c>
      <x:c r="F1072" s="36" t="n">
        <x:v>6</x:v>
      </x:c>
      <x:c r="G1072" s="36"/>
      <x:c r="H1072" s="34" t="str">
        <x:v>process-run-aggregate</x:v>
      </x:c>
      <x:c r="I1072" s="36"/>
      <x:c r="J1072" s="34" t="str">
        <x:v>thread-leak-warning</x:v>
      </x:c>
      <x:c r="K1072" s="34" t="str">
        <x:v>threadLeakWarnings</x:v>
      </x:c>
      <x:c r="L1072" s="36" t="n">
        <x:v>8</x:v>
      </x:c>
      <x:c r="M1072" s="34"/>
      <x:c r="N1072" s="44" t="str">
        <x:v>03-Sep-2026 02:34:05.463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073">
      <x:c r="A1073" s="36" t="n">
        <x:v>1072</x:v>
      </x:c>
      <x:c r="B1073" s="34" t="str">
        <x:v>article1-unified-v4-2-fb3f101b-20260903-000401-default-f06-p3-jcs321</x:v>
      </x:c>
      <x:c r="C1073" s="34" t="str">
        <x:v>default</x:v>
      </x:c>
      <x:c r="D1073" s="34" t="str">
        <x:v>jcs321</x:v>
      </x:c>
      <x:c r="E1073" s="36" t="n">
        <x:v>6</x:v>
      </x:c>
      <x:c r="F1073" s="36" t="n">
        <x:v>6</x:v>
      </x:c>
      <x:c r="G1073" s="36"/>
      <x:c r="H1073" s="34" t="str">
        <x:v>process-run-aggregate</x:v>
      </x:c>
      <x:c r="I1073" s="36"/>
      <x:c r="J1073" s="34" t="str">
        <x:v>thread-leak-warning</x:v>
      </x:c>
      <x:c r="K1073" s="34" t="str">
        <x:v>threadLeakWarnings</x:v>
      </x:c>
      <x:c r="L1073" s="36" t="n">
        <x:v>9</x:v>
      </x:c>
      <x:c r="M1073" s="34"/>
      <x:c r="N1073" s="44" t="str">
        <x:v>03-Sep-2026 02:34:50.939 WARNING [http-nio-8080-exec-32]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074">
      <x:c r="A1074" s="36" t="n">
        <x:v>1073</x:v>
      </x:c>
      <x:c r="B1074" s="34" t="str">
        <x:v>article1-unified-v4-2-fb3f101b-20260903-000401-default-f06-p3-jcs321</x:v>
      </x:c>
      <x:c r="C1074" s="34" t="str">
        <x:v>default</x:v>
      </x:c>
      <x:c r="D1074" s="34" t="str">
        <x:v>jcs321</x:v>
      </x:c>
      <x:c r="E1074" s="36" t="n">
        <x:v>6</x:v>
      </x:c>
      <x:c r="F1074" s="36" t="n">
        <x:v>6</x:v>
      </x:c>
      <x:c r="G1074" s="36"/>
      <x:c r="H1074" s="34" t="str">
        <x:v>process-run-aggregate</x:v>
      </x:c>
      <x:c r="I1074" s="36"/>
      <x:c r="J1074" s="34" t="str">
        <x:v>thread-leak-warning</x:v>
      </x:c>
      <x:c r="K1074" s="34" t="str">
        <x:v>threadLeakWarnings</x:v>
      </x:c>
      <x:c r="L1074" s="36" t="n">
        <x:v>10</x:v>
      </x:c>
      <x:c r="M1074" s="34"/>
      <x:c r="N1074" s="44" t="str">
        <x:v>03-Sep-2026 02:35:33.469 WARNING [http-nio-8080-exec-59]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075">
      <x:c r="A1075" s="36" t="n">
        <x:v>1074</x:v>
      </x:c>
      <x:c r="B1075" s="34" t="str">
        <x:v>article1-unified-v4-2-fb3f101b-20260903-000401-default-f06-p3-jcs321</x:v>
      </x:c>
      <x:c r="C1075" s="34" t="str">
        <x:v>default</x:v>
      </x:c>
      <x:c r="D1075" s="34" t="str">
        <x:v>jcs321</x:v>
      </x:c>
      <x:c r="E1075" s="36" t="n">
        <x:v>6</x:v>
      </x:c>
      <x:c r="F1075" s="36" t="n">
        <x:v>6</x:v>
      </x:c>
      <x:c r="G1075" s="36" t="n">
        <x:v>1</x:v>
      </x:c>
      <x:c r="H1075" s="34" t="str">
        <x:v>cycle-window</x:v>
      </x:c>
      <x:c r="I1075" s="36" t="n">
        <x:v>1</x:v>
      </x:c>
      <x:c r="J1075" s="34" t="str">
        <x:v>warning</x:v>
      </x:c>
      <x:c r="K1075" s="34" t="str">
        <x:v>firstUndeployWarnings</x:v>
      </x:c>
      <x:c r="L1075" s="36" t="n">
        <x:v>1</x:v>
      </x:c>
      <x:c r="M1075" s="34"/>
      <x:c r="N1075" s="44" t="str">
        <x:v>03-Sep-2026 02:28:56.561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1076">
      <x:c r="A1076" s="36" t="n">
        <x:v>1075</x:v>
      </x:c>
      <x:c r="B1076" s="34" t="str">
        <x:v>article1-unified-v4-2-fb3f101b-20260903-000401-default-f06-p3-jcs321</x:v>
      </x:c>
      <x:c r="C1076" s="34" t="str">
        <x:v>default</x:v>
      </x:c>
      <x:c r="D1076" s="34" t="str">
        <x:v>jcs321</x:v>
      </x:c>
      <x:c r="E1076" s="36" t="n">
        <x:v>6</x:v>
      </x:c>
      <x:c r="F1076" s="36" t="n">
        <x:v>6</x:v>
      </x:c>
      <x:c r="G1076" s="36" t="n">
        <x:v>1</x:v>
      </x:c>
      <x:c r="H1076" s="34" t="str">
        <x:v>cycle-window</x:v>
      </x:c>
      <x:c r="I1076" s="36" t="n">
        <x:v>1</x:v>
      </x:c>
      <x:c r="J1076" s="34" t="str">
        <x:v>leak-warning</x:v>
      </x:c>
      <x:c r="K1076" s="34" t="str">
        <x:v>firstUndeployLeakWarnings</x:v>
      </x:c>
      <x:c r="L1076" s="36" t="n">
        <x:v>1</x:v>
      </x:c>
      <x:c r="M1076" s="34"/>
      <x:c r="N1076" s="44" t="str">
        <x:v>03-Sep-2026 02:28:56.561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1077">
      <x:c r="A1077" s="36" t="n">
        <x:v>1076</x:v>
      </x:c>
      <x:c r="B1077" s="34" t="str">
        <x:v>article1-unified-v4-2-fb3f101b-20260903-000401-default-f06-p3-jcs321</x:v>
      </x:c>
      <x:c r="C1077" s="34" t="str">
        <x:v>default</x:v>
      </x:c>
      <x:c r="D1077" s="34" t="str">
        <x:v>jcs321</x:v>
      </x:c>
      <x:c r="E1077" s="36" t="n">
        <x:v>6</x:v>
      </x:c>
      <x:c r="F1077" s="36" t="n">
        <x:v>6</x:v>
      </x:c>
      <x:c r="G1077" s="36" t="n">
        <x:v>1</x:v>
      </x:c>
      <x:c r="H1077" s="34" t="str">
        <x:v>cycle-window</x:v>
      </x:c>
      <x:c r="I1077" s="36" t="n">
        <x:v>1</x:v>
      </x:c>
      <x:c r="J1077" s="34" t="str">
        <x:v>thread-leak-warning</x:v>
      </x:c>
      <x:c r="K1077" s="34" t="str">
        <x:v>firstUndeployThreadLeakWarnings</x:v>
      </x:c>
      <x:c r="L1077" s="36" t="n">
        <x:v>1</x:v>
      </x:c>
      <x:c r="M1077" s="34"/>
      <x:c r="N1077" s="44" t="str">
        <x:v>03-Sep-2026 02:28:56.561 WARNING [http-nio-8080-exec-2] org.apache.catalina.loader.WebappClassLoaderBase.clearReferencesThreads The web application [jcs321] appears to have started a thread named [JCS-ElementEventQueue-Thread-4] but has failed to stop it. This is very likely to create a memory leak. Stack trace of thread:</x:v>
      </x:c>
    </x:row>
    <x:row r="1078">
      <x:c r="A1078" s="36" t="n">
        <x:v>1077</x:v>
      </x:c>
      <x:c r="B1078" s="34" t="str">
        <x:v>article1-unified-v4-2-fb3f101b-20260903-000401-default-f06-p3-jcs321</x:v>
      </x:c>
      <x:c r="C1078" s="34" t="str">
        <x:v>default</x:v>
      </x:c>
      <x:c r="D1078" s="34" t="str">
        <x:v>jcs321</x:v>
      </x:c>
      <x:c r="E1078" s="36" t="n">
        <x:v>6</x:v>
      </x:c>
      <x:c r="F1078" s="36" t="n">
        <x:v>6</x:v>
      </x:c>
      <x:c r="G1078" s="36" t="n">
        <x:v>1</x:v>
      </x:c>
      <x:c r="H1078" s="34" t="str">
        <x:v>cycle-window</x:v>
      </x:c>
      <x:c r="I1078" s="36" t="n">
        <x:v>2</x:v>
      </x:c>
      <x:c r="J1078" s="34" t="str">
        <x:v>warning</x:v>
      </x:c>
      <x:c r="K1078" s="34" t="str">
        <x:v>secondUndeployWarnings</x:v>
      </x:c>
      <x:c r="L1078" s="36" t="n">
        <x:v>1</x:v>
      </x:c>
      <x:c r="M1078" s="34"/>
      <x:c r="N1078" s="44" t="str">
        <x:v>03-Sep-2026 02:29:40.109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1079">
      <x:c r="A1079" s="36" t="n">
        <x:v>1078</x:v>
      </x:c>
      <x:c r="B1079" s="34" t="str">
        <x:v>article1-unified-v4-2-fb3f101b-20260903-000401-default-f06-p3-jcs321</x:v>
      </x:c>
      <x:c r="C1079" s="34" t="str">
        <x:v>default</x:v>
      </x:c>
      <x:c r="D1079" s="34" t="str">
        <x:v>jcs321</x:v>
      </x:c>
      <x:c r="E1079" s="36" t="n">
        <x:v>6</x:v>
      </x:c>
      <x:c r="F1079" s="36" t="n">
        <x:v>6</x:v>
      </x:c>
      <x:c r="G1079" s="36" t="n">
        <x:v>1</x:v>
      </x:c>
      <x:c r="H1079" s="34" t="str">
        <x:v>cycle-window</x:v>
      </x:c>
      <x:c r="I1079" s="36" t="n">
        <x:v>2</x:v>
      </x:c>
      <x:c r="J1079" s="34" t="str">
        <x:v>leak-warning</x:v>
      </x:c>
      <x:c r="K1079" s="34" t="str">
        <x:v>secondUndeployLeakWarnings</x:v>
      </x:c>
      <x:c r="L1079" s="36" t="n">
        <x:v>1</x:v>
      </x:c>
      <x:c r="M1079" s="34"/>
      <x:c r="N1079" s="44" t="str">
        <x:v>03-Sep-2026 02:29:40.109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1080">
      <x:c r="A1080" s="36" t="n">
        <x:v>1079</x:v>
      </x:c>
      <x:c r="B1080" s="34" t="str">
        <x:v>article1-unified-v4-2-fb3f101b-20260903-000401-default-f06-p3-jcs321</x:v>
      </x:c>
      <x:c r="C1080" s="34" t="str">
        <x:v>default</x:v>
      </x:c>
      <x:c r="D1080" s="34" t="str">
        <x:v>jcs321</x:v>
      </x:c>
      <x:c r="E1080" s="36" t="n">
        <x:v>6</x:v>
      </x:c>
      <x:c r="F1080" s="36" t="n">
        <x:v>6</x:v>
      </x:c>
      <x:c r="G1080" s="36" t="n">
        <x:v>1</x:v>
      </x:c>
      <x:c r="H1080" s="34" t="str">
        <x:v>cycle-window</x:v>
      </x:c>
      <x:c r="I1080" s="36" t="n">
        <x:v>2</x:v>
      </x:c>
      <x:c r="J1080" s="34" t="str">
        <x:v>thread-leak-warning</x:v>
      </x:c>
      <x:c r="K1080" s="34" t="str">
        <x:v>secondUndeployThreadLeakWarnings</x:v>
      </x:c>
      <x:c r="L1080" s="36" t="n">
        <x:v>1</x:v>
      </x:c>
      <x:c r="M1080" s="34"/>
      <x:c r="N1080" s="44" t="str">
        <x:v>03-Sep-2026 02:29:40.109 WARNING [http-nio-8080-exec-4] org.apache.catalina.loader.WebappClassLoaderBase.clearReferencesThreads The web application [jcs321] appears to have started a thread named [JCS-ElementEventQueue-Thread-7] but has failed to stop it. This is very likely to create a memory leak. Stack trace of thread:</x:v>
      </x:c>
    </x:row>
    <x:row r="1081">
      <x:c r="A1081" s="36" t="n">
        <x:v>1080</x:v>
      </x:c>
      <x:c r="B1081" s="34" t="str">
        <x:v>article1-unified-v4-2-fb3f101b-20260903-000401-default-f06-p3-jcs321</x:v>
      </x:c>
      <x:c r="C1081" s="34" t="str">
        <x:v>default</x:v>
      </x:c>
      <x:c r="D1081" s="34" t="str">
        <x:v>jcs321</x:v>
      </x:c>
      <x:c r="E1081" s="36" t="n">
        <x:v>6</x:v>
      </x:c>
      <x:c r="F1081" s="36" t="n">
        <x:v>6</x:v>
      </x:c>
      <x:c r="G1081" s="36" t="n">
        <x:v>1</x:v>
      </x:c>
      <x:c r="H1081" s="34" t="str">
        <x:v>cycle-observation</x:v>
      </x:c>
      <x:c r="I1081" s="36" t="n">
        <x:v>1</x:v>
      </x:c>
      <x:c r="J1081" s="34" t="str">
        <x:v>tomcat-findleaks-occurrence</x:v>
      </x:c>
      <x:c r="K1081" s="34" t="str">
        <x:v>afterUndeploy.tomcatFindLeaksOccurrences</x:v>
      </x:c>
      <x:c r="L1081" s="36" t="n">
        <x:v>1</x:v>
      </x:c>
      <x:c r="M1081" s="34" t="str">
        <x:v>/jcs321</x:v>
      </x:c>
      <x:c r="N1081" s="44" t="str">
        <x:v>/jcs321</x:v>
      </x:c>
    </x:row>
    <x:row r="1082">
      <x:c r="A1082" s="36" t="n">
        <x:v>1081</x:v>
      </x:c>
      <x:c r="B1082" s="34" t="str">
        <x:v>article1-unified-v4-2-fb3f101b-20260903-000401-default-f06-p3-jcs321</x:v>
      </x:c>
      <x:c r="C1082" s="34" t="str">
        <x:v>default</x:v>
      </x:c>
      <x:c r="D1082" s="34" t="str">
        <x:v>jcs321</x:v>
      </x:c>
      <x:c r="E1082" s="36" t="n">
        <x:v>6</x:v>
      </x:c>
      <x:c r="F1082" s="36" t="n">
        <x:v>6</x:v>
      </x:c>
      <x:c r="G1082" s="36" t="n">
        <x:v>1</x:v>
      </x:c>
      <x:c r="H1082" s="34" t="str">
        <x:v>cycle-observation</x:v>
      </x:c>
      <x:c r="I1082" s="36" t="n">
        <x:v>2</x:v>
      </x:c>
      <x:c r="J1082" s="34" t="str">
        <x:v>tomcat-findleaks-occurrence</x:v>
      </x:c>
      <x:c r="K1082" s="34" t="str">
        <x:v>afterFinalUndeploy.tomcatFindLeaksOccurrences</x:v>
      </x:c>
      <x:c r="L1082" s="36" t="n">
        <x:v>1</x:v>
      </x:c>
      <x:c r="M1082" s="34" t="str">
        <x:v>/jcs321</x:v>
      </x:c>
      <x:c r="N1082" s="44" t="str">
        <x:v>/jcs321</x:v>
      </x:c>
    </x:row>
    <x:row r="1083">
      <x:c r="A1083" s="36" t="n">
        <x:v>1082</x:v>
      </x:c>
      <x:c r="B1083" s="34" t="str">
        <x:v>article1-unified-v4-2-fb3f101b-20260903-000401-default-f06-p3-jcs321</x:v>
      </x:c>
      <x:c r="C1083" s="34" t="str">
        <x:v>default</x:v>
      </x:c>
      <x:c r="D1083" s="34" t="str">
        <x:v>jcs321</x:v>
      </x:c>
      <x:c r="E1083" s="36" t="n">
        <x:v>6</x:v>
      </x:c>
      <x:c r="F1083" s="36" t="n">
        <x:v>6</x:v>
      </x:c>
      <x:c r="G1083" s="36" t="n">
        <x:v>1</x:v>
      </x:c>
      <x:c r="H1083" s="34" t="str">
        <x:v>cycle-observation</x:v>
      </x:c>
      <x:c r="I1083" s="36" t="n">
        <x:v>2</x:v>
      </x:c>
      <x:c r="J1083" s="34" t="str">
        <x:v>tomcat-findleaks-occurrence</x:v>
      </x:c>
      <x:c r="K1083" s="34" t="str">
        <x:v>afterFinalUndeploy.tomcatFindLeaksOccurrences</x:v>
      </x:c>
      <x:c r="L1083" s="36" t="n">
        <x:v>2</x:v>
      </x:c>
      <x:c r="M1083" s="34" t="str">
        <x:v>/jcs321</x:v>
      </x:c>
      <x:c r="N1083" s="44" t="str">
        <x:v>/jcs321</x:v>
      </x:c>
    </x:row>
    <x:row r="1084">
      <x:c r="A1084" s="36" t="n">
        <x:v>1083</x:v>
      </x:c>
      <x:c r="B1084" s="34" t="str">
        <x:v>article1-unified-v4-2-fb3f101b-20260903-000401-default-f06-p3-jcs321</x:v>
      </x:c>
      <x:c r="C1084" s="34" t="str">
        <x:v>default</x:v>
      </x:c>
      <x:c r="D1084" s="34" t="str">
        <x:v>jcs321</x:v>
      </x:c>
      <x:c r="E1084" s="36" t="n">
        <x:v>6</x:v>
      </x:c>
      <x:c r="F1084" s="36" t="n">
        <x:v>6</x:v>
      </x:c>
      <x:c r="G1084" s="36" t="n">
        <x:v>2</x:v>
      </x:c>
      <x:c r="H1084" s="34" t="str">
        <x:v>cycle-window</x:v>
      </x:c>
      <x:c r="I1084" s="36" t="n">
        <x:v>1</x:v>
      </x:c>
      <x:c r="J1084" s="34" t="str">
        <x:v>warning</x:v>
      </x:c>
      <x:c r="K1084" s="34" t="str">
        <x:v>firstUndeployWarnings</x:v>
      </x:c>
      <x:c r="L1084" s="36" t="n">
        <x:v>1</x:v>
      </x:c>
      <x:c r="M1084" s="34"/>
      <x:c r="N1084" s="44" t="str">
        <x:v>03-Sep-2026 02:30:25.755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85">
      <x:c r="A1085" s="36" t="n">
        <x:v>1084</x:v>
      </x:c>
      <x:c r="B1085" s="34" t="str">
        <x:v>article1-unified-v4-2-fb3f101b-20260903-000401-default-f06-p3-jcs321</x:v>
      </x:c>
      <x:c r="C1085" s="34" t="str">
        <x:v>default</x:v>
      </x:c>
      <x:c r="D1085" s="34" t="str">
        <x:v>jcs321</x:v>
      </x:c>
      <x:c r="E1085" s="36" t="n">
        <x:v>6</x:v>
      </x:c>
      <x:c r="F1085" s="36" t="n">
        <x:v>6</x:v>
      </x:c>
      <x:c r="G1085" s="36" t="n">
        <x:v>2</x:v>
      </x:c>
      <x:c r="H1085" s="34" t="str">
        <x:v>cycle-window</x:v>
      </x:c>
      <x:c r="I1085" s="36" t="n">
        <x:v>1</x:v>
      </x:c>
      <x:c r="J1085" s="34" t="str">
        <x:v>leak-warning</x:v>
      </x:c>
      <x:c r="K1085" s="34" t="str">
        <x:v>firstUndeployLeakWarnings</x:v>
      </x:c>
      <x:c r="L1085" s="36" t="n">
        <x:v>1</x:v>
      </x:c>
      <x:c r="M1085" s="34"/>
      <x:c r="N1085" s="44" t="str">
        <x:v>03-Sep-2026 02:30:25.755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86">
      <x:c r="A1086" s="36" t="n">
        <x:v>1085</x:v>
      </x:c>
      <x:c r="B1086" s="34" t="str">
        <x:v>article1-unified-v4-2-fb3f101b-20260903-000401-default-f06-p3-jcs321</x:v>
      </x:c>
      <x:c r="C1086" s="34" t="str">
        <x:v>default</x:v>
      </x:c>
      <x:c r="D1086" s="34" t="str">
        <x:v>jcs321</x:v>
      </x:c>
      <x:c r="E1086" s="36" t="n">
        <x:v>6</x:v>
      </x:c>
      <x:c r="F1086" s="36" t="n">
        <x:v>6</x:v>
      </x:c>
      <x:c r="G1086" s="36" t="n">
        <x:v>2</x:v>
      </x:c>
      <x:c r="H1086" s="34" t="str">
        <x:v>cycle-window</x:v>
      </x:c>
      <x:c r="I1086" s="36" t="n">
        <x:v>1</x:v>
      </x:c>
      <x:c r="J1086" s="34" t="str">
        <x:v>thread-leak-warning</x:v>
      </x:c>
      <x:c r="K1086" s="34" t="str">
        <x:v>firstUndeployThreadLeakWarnings</x:v>
      </x:c>
      <x:c r="L1086" s="36" t="n">
        <x:v>1</x:v>
      </x:c>
      <x:c r="M1086" s="34"/>
      <x:c r="N1086" s="44" t="str">
        <x:v>03-Sep-2026 02:30:25.755 WARNING [http-nio-8080-exec-15] org.apache.catalina.loader.WebappClassLoaderBase.clearReferencesThreads The web application [jcs321] appears to have started a thread named [JCS-ElementEventQueue-Thread-10] but has failed to stop it. This is very likely to create a memory leak. Stack trace of thread:</x:v>
      </x:c>
    </x:row>
    <x:row r="1087">
      <x:c r="A1087" s="36" t="n">
        <x:v>1086</x:v>
      </x:c>
      <x:c r="B1087" s="34" t="str">
        <x:v>article1-unified-v4-2-fb3f101b-20260903-000401-default-f06-p3-jcs321</x:v>
      </x:c>
      <x:c r="C1087" s="34" t="str">
        <x:v>default</x:v>
      </x:c>
      <x:c r="D1087" s="34" t="str">
        <x:v>jcs321</x:v>
      </x:c>
      <x:c r="E1087" s="36" t="n">
        <x:v>6</x:v>
      </x:c>
      <x:c r="F1087" s="36" t="n">
        <x:v>6</x:v>
      </x:c>
      <x:c r="G1087" s="36" t="n">
        <x:v>2</x:v>
      </x:c>
      <x:c r="H1087" s="34" t="str">
        <x:v>cycle-window</x:v>
      </x:c>
      <x:c r="I1087" s="36" t="n">
        <x:v>2</x:v>
      </x:c>
      <x:c r="J1087" s="34" t="str">
        <x:v>warning</x:v>
      </x:c>
      <x:c r="K1087" s="34" t="str">
        <x:v>secondUndeployWarnings</x:v>
      </x:c>
      <x:c r="L1087" s="36" t="n">
        <x:v>1</x:v>
      </x:c>
      <x:c r="M1087" s="34"/>
      <x:c r="N1087" s="44" t="str">
        <x:v>03-Sep-2026 02:31:09.201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88">
      <x:c r="A1088" s="36" t="n">
        <x:v>1087</x:v>
      </x:c>
      <x:c r="B1088" s="34" t="str">
        <x:v>article1-unified-v4-2-fb3f101b-20260903-000401-default-f06-p3-jcs321</x:v>
      </x:c>
      <x:c r="C1088" s="34" t="str">
        <x:v>default</x:v>
      </x:c>
      <x:c r="D1088" s="34" t="str">
        <x:v>jcs321</x:v>
      </x:c>
      <x:c r="E1088" s="36" t="n">
        <x:v>6</x:v>
      </x:c>
      <x:c r="F1088" s="36" t="n">
        <x:v>6</x:v>
      </x:c>
      <x:c r="G1088" s="36" t="n">
        <x:v>2</x:v>
      </x:c>
      <x:c r="H1088" s="34" t="str">
        <x:v>cycle-window</x:v>
      </x:c>
      <x:c r="I1088" s="36" t="n">
        <x:v>2</x:v>
      </x:c>
      <x:c r="J1088" s="34" t="str">
        <x:v>leak-warning</x:v>
      </x:c>
      <x:c r="K1088" s="34" t="str">
        <x:v>secondUndeployLeakWarnings</x:v>
      </x:c>
      <x:c r="L1088" s="36" t="n">
        <x:v>1</x:v>
      </x:c>
      <x:c r="M1088" s="34"/>
      <x:c r="N1088" s="44" t="str">
        <x:v>03-Sep-2026 02:31:09.201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89">
      <x:c r="A1089" s="36" t="n">
        <x:v>1088</x:v>
      </x:c>
      <x:c r="B1089" s="34" t="str">
        <x:v>article1-unified-v4-2-fb3f101b-20260903-000401-default-f06-p3-jcs321</x:v>
      </x:c>
      <x:c r="C1089" s="34" t="str">
        <x:v>default</x:v>
      </x:c>
      <x:c r="D1089" s="34" t="str">
        <x:v>jcs321</x:v>
      </x:c>
      <x:c r="E1089" s="36" t="n">
        <x:v>6</x:v>
      </x:c>
      <x:c r="F1089" s="36" t="n">
        <x:v>6</x:v>
      </x:c>
      <x:c r="G1089" s="36" t="n">
        <x:v>2</x:v>
      </x:c>
      <x:c r="H1089" s="34" t="str">
        <x:v>cycle-window</x:v>
      </x:c>
      <x:c r="I1089" s="36" t="n">
        <x:v>2</x:v>
      </x:c>
      <x:c r="J1089" s="34" t="str">
        <x:v>thread-leak-warning</x:v>
      </x:c>
      <x:c r="K1089" s="34" t="str">
        <x:v>secondUndeployThreadLeakWarnings</x:v>
      </x:c>
      <x:c r="L1089" s="36" t="n">
        <x:v>1</x:v>
      </x:c>
      <x:c r="M1089" s="34"/>
      <x:c r="N1089" s="44" t="str">
        <x:v>03-Sep-2026 02:31:09.201 WARNING [http-nio-8080-exec-23] org.apache.catalina.loader.WebappClassLoaderBase.clearReferencesThreads The web application [jcs321] appears to have started a thread named [JCS-ElementEventQueue-Thread-13] but has failed to stop it. This is very likely to create a memory leak. Stack trace of thread:</x:v>
      </x:c>
    </x:row>
    <x:row r="1090">
      <x:c r="A1090" s="36" t="n">
        <x:v>1089</x:v>
      </x:c>
      <x:c r="B1090" s="34" t="str">
        <x:v>article1-unified-v4-2-fb3f101b-20260903-000401-default-f06-p3-jcs321</x:v>
      </x:c>
      <x:c r="C1090" s="34" t="str">
        <x:v>default</x:v>
      </x:c>
      <x:c r="D1090" s="34" t="str">
        <x:v>jcs321</x:v>
      </x:c>
      <x:c r="E1090" s="36" t="n">
        <x:v>6</x:v>
      </x:c>
      <x:c r="F1090" s="36" t="n">
        <x:v>6</x:v>
      </x:c>
      <x:c r="G1090" s="36" t="n">
        <x:v>2</x:v>
      </x:c>
      <x:c r="H1090" s="34" t="str">
        <x:v>cycle-observation</x:v>
      </x:c>
      <x:c r="I1090" s="36" t="n">
        <x:v>1</x:v>
      </x:c>
      <x:c r="J1090" s="34" t="str">
        <x:v>tomcat-findleaks-occurrence</x:v>
      </x:c>
      <x:c r="K1090" s="34" t="str">
        <x:v>afterUndeploy.tomcatFindLeaksOccurrences</x:v>
      </x:c>
      <x:c r="L1090" s="36" t="n">
        <x:v>1</x:v>
      </x:c>
      <x:c r="M1090" s="34" t="str">
        <x:v>/jcs321</x:v>
      </x:c>
      <x:c r="N1090" s="44" t="str">
        <x:v>/jcs321</x:v>
      </x:c>
    </x:row>
    <x:row r="1091">
      <x:c r="A1091" s="36" t="n">
        <x:v>1090</x:v>
      </x:c>
      <x:c r="B1091" s="34" t="str">
        <x:v>article1-unified-v4-2-fb3f101b-20260903-000401-default-f06-p3-jcs321</x:v>
      </x:c>
      <x:c r="C1091" s="34" t="str">
        <x:v>default</x:v>
      </x:c>
      <x:c r="D1091" s="34" t="str">
        <x:v>jcs321</x:v>
      </x:c>
      <x:c r="E1091" s="36" t="n">
        <x:v>6</x:v>
      </x:c>
      <x:c r="F1091" s="36" t="n">
        <x:v>6</x:v>
      </x:c>
      <x:c r="G1091" s="36" t="n">
        <x:v>2</x:v>
      </x:c>
      <x:c r="H1091" s="34" t="str">
        <x:v>cycle-observation</x:v>
      </x:c>
      <x:c r="I1091" s="36" t="n">
        <x:v>1</x:v>
      </x:c>
      <x:c r="J1091" s="34" t="str">
        <x:v>tomcat-findleaks-occurrence</x:v>
      </x:c>
      <x:c r="K1091" s="34" t="str">
        <x:v>afterUndeploy.tomcatFindLeaksOccurrences</x:v>
      </x:c>
      <x:c r="L1091" s="36" t="n">
        <x:v>2</x:v>
      </x:c>
      <x:c r="M1091" s="34" t="str">
        <x:v>/jcs321</x:v>
      </x:c>
      <x:c r="N1091" s="44" t="str">
        <x:v>/jcs321</x:v>
      </x:c>
    </x:row>
    <x:row r="1092">
      <x:c r="A1092" s="36" t="n">
        <x:v>1091</x:v>
      </x:c>
      <x:c r="B1092" s="34" t="str">
        <x:v>article1-unified-v4-2-fb3f101b-20260903-000401-default-f06-p3-jcs321</x:v>
      </x:c>
      <x:c r="C1092" s="34" t="str">
        <x:v>default</x:v>
      </x:c>
      <x:c r="D1092" s="34" t="str">
        <x:v>jcs321</x:v>
      </x:c>
      <x:c r="E1092" s="36" t="n">
        <x:v>6</x:v>
      </x:c>
      <x:c r="F1092" s="36" t="n">
        <x:v>6</x:v>
      </x:c>
      <x:c r="G1092" s="36" t="n">
        <x:v>2</x:v>
      </x:c>
      <x:c r="H1092" s="34" t="str">
        <x:v>cycle-observation</x:v>
      </x:c>
      <x:c r="I1092" s="36" t="n">
        <x:v>1</x:v>
      </x:c>
      <x:c r="J1092" s="34" t="str">
        <x:v>tomcat-findleaks-occurrence</x:v>
      </x:c>
      <x:c r="K1092" s="34" t="str">
        <x:v>afterUndeploy.tomcatFindLeaksOccurrences</x:v>
      </x:c>
      <x:c r="L1092" s="36" t="n">
        <x:v>3</x:v>
      </x:c>
      <x:c r="M1092" s="34" t="str">
        <x:v>/jcs321</x:v>
      </x:c>
      <x:c r="N1092" s="44" t="str">
        <x:v>/jcs321</x:v>
      </x:c>
    </x:row>
    <x:row r="1093">
      <x:c r="A1093" s="36" t="n">
        <x:v>1092</x:v>
      </x:c>
      <x:c r="B1093" s="34" t="str">
        <x:v>article1-unified-v4-2-fb3f101b-20260903-000401-default-f06-p3-jcs321</x:v>
      </x:c>
      <x:c r="C1093" s="34" t="str">
        <x:v>default</x:v>
      </x:c>
      <x:c r="D1093" s="34" t="str">
        <x:v>jcs321</x:v>
      </x:c>
      <x:c r="E1093" s="36" t="n">
        <x:v>6</x:v>
      </x:c>
      <x:c r="F1093" s="36" t="n">
        <x:v>6</x:v>
      </x:c>
      <x:c r="G1093" s="36" t="n">
        <x:v>2</x:v>
      </x:c>
      <x:c r="H1093" s="34" t="str">
        <x:v>cycle-observation</x:v>
      </x:c>
      <x:c r="I1093" s="36" t="n">
        <x:v>2</x:v>
      </x:c>
      <x:c r="J1093" s="34" t="str">
        <x:v>tomcat-findleaks-occurrence</x:v>
      </x:c>
      <x:c r="K1093" s="34" t="str">
        <x:v>afterFinalUndeploy.tomcatFindLeaksOccurrences</x:v>
      </x:c>
      <x:c r="L1093" s="36" t="n">
        <x:v>1</x:v>
      </x:c>
      <x:c r="M1093" s="34" t="str">
        <x:v>/jcs321</x:v>
      </x:c>
      <x:c r="N1093" s="44" t="str">
        <x:v>/jcs321</x:v>
      </x:c>
    </x:row>
    <x:row r="1094">
      <x:c r="A1094" s="36" t="n">
        <x:v>1093</x:v>
      </x:c>
      <x:c r="B1094" s="34" t="str">
        <x:v>article1-unified-v4-2-fb3f101b-20260903-000401-default-f06-p3-jcs321</x:v>
      </x:c>
      <x:c r="C1094" s="34" t="str">
        <x:v>default</x:v>
      </x:c>
      <x:c r="D1094" s="34" t="str">
        <x:v>jcs321</x:v>
      </x:c>
      <x:c r="E1094" s="36" t="n">
        <x:v>6</x:v>
      </x:c>
      <x:c r="F1094" s="36" t="n">
        <x:v>6</x:v>
      </x:c>
      <x:c r="G1094" s="36" t="n">
        <x:v>2</x:v>
      </x:c>
      <x:c r="H1094" s="34" t="str">
        <x:v>cycle-observation</x:v>
      </x:c>
      <x:c r="I1094" s="36" t="n">
        <x:v>2</x:v>
      </x:c>
      <x:c r="J1094" s="34" t="str">
        <x:v>tomcat-findleaks-occurrence</x:v>
      </x:c>
      <x:c r="K1094" s="34" t="str">
        <x:v>afterFinalUndeploy.tomcatFindLeaksOccurrences</x:v>
      </x:c>
      <x:c r="L1094" s="36" t="n">
        <x:v>2</x:v>
      </x:c>
      <x:c r="M1094" s="34" t="str">
        <x:v>/jcs321</x:v>
      </x:c>
      <x:c r="N1094" s="44" t="str">
        <x:v>/jcs321</x:v>
      </x:c>
    </x:row>
    <x:row r="1095">
      <x:c r="A1095" s="36" t="n">
        <x:v>1094</x:v>
      </x:c>
      <x:c r="B1095" s="34" t="str">
        <x:v>article1-unified-v4-2-fb3f101b-20260903-000401-default-f06-p3-jcs321</x:v>
      </x:c>
      <x:c r="C1095" s="34" t="str">
        <x:v>default</x:v>
      </x:c>
      <x:c r="D1095" s="34" t="str">
        <x:v>jcs321</x:v>
      </x:c>
      <x:c r="E1095" s="36" t="n">
        <x:v>6</x:v>
      </x:c>
      <x:c r="F1095" s="36" t="n">
        <x:v>6</x:v>
      </x:c>
      <x:c r="G1095" s="36" t="n">
        <x:v>2</x:v>
      </x:c>
      <x:c r="H1095" s="34" t="str">
        <x:v>cycle-observation</x:v>
      </x:c>
      <x:c r="I1095" s="36" t="n">
        <x:v>2</x:v>
      </x:c>
      <x:c r="J1095" s="34" t="str">
        <x:v>tomcat-findleaks-occurrence</x:v>
      </x:c>
      <x:c r="K1095" s="34" t="str">
        <x:v>afterFinalUndeploy.tomcatFindLeaksOccurrences</x:v>
      </x:c>
      <x:c r="L1095" s="36" t="n">
        <x:v>3</x:v>
      </x:c>
      <x:c r="M1095" s="34" t="str">
        <x:v>/jcs321</x:v>
      </x:c>
      <x:c r="N1095" s="44" t="str">
        <x:v>/jcs321</x:v>
      </x:c>
    </x:row>
    <x:row r="1096">
      <x:c r="A1096" s="36" t="n">
        <x:v>1095</x:v>
      </x:c>
      <x:c r="B1096" s="34" t="str">
        <x:v>article1-unified-v4-2-fb3f101b-20260903-000401-default-f06-p3-jcs321</x:v>
      </x:c>
      <x:c r="C1096" s="34" t="str">
        <x:v>default</x:v>
      </x:c>
      <x:c r="D1096" s="34" t="str">
        <x:v>jcs321</x:v>
      </x:c>
      <x:c r="E1096" s="36" t="n">
        <x:v>6</x:v>
      </x:c>
      <x:c r="F1096" s="36" t="n">
        <x:v>6</x:v>
      </x:c>
      <x:c r="G1096" s="36" t="n">
        <x:v>2</x:v>
      </x:c>
      <x:c r="H1096" s="34" t="str">
        <x:v>cycle-observation</x:v>
      </x:c>
      <x:c r="I1096" s="36" t="n">
        <x:v>2</x:v>
      </x:c>
      <x:c r="J1096" s="34" t="str">
        <x:v>tomcat-findleaks-occurrence</x:v>
      </x:c>
      <x:c r="K1096" s="34" t="str">
        <x:v>afterFinalUndeploy.tomcatFindLeaksOccurrences</x:v>
      </x:c>
      <x:c r="L1096" s="36" t="n">
        <x:v>4</x:v>
      </x:c>
      <x:c r="M1096" s="34" t="str">
        <x:v>/jcs321</x:v>
      </x:c>
      <x:c r="N1096" s="44" t="str">
        <x:v>/jcs321</x:v>
      </x:c>
    </x:row>
    <x:row r="1097">
      <x:c r="A1097" s="36" t="n">
        <x:v>1096</x:v>
      </x:c>
      <x:c r="B1097" s="34" t="str">
        <x:v>article1-unified-v4-2-fb3f101b-20260903-000401-default-f06-p3-jcs321</x:v>
      </x:c>
      <x:c r="C1097" s="34" t="str">
        <x:v>default</x:v>
      </x:c>
      <x:c r="D1097" s="34" t="str">
        <x:v>jcs321</x:v>
      </x:c>
      <x:c r="E1097" s="36" t="n">
        <x:v>6</x:v>
      </x:c>
      <x:c r="F1097" s="36" t="n">
        <x:v>6</x:v>
      </x:c>
      <x:c r="G1097" s="36" t="n">
        <x:v>3</x:v>
      </x:c>
      <x:c r="H1097" s="34" t="str">
        <x:v>cycle-window</x:v>
      </x:c>
      <x:c r="I1097" s="36" t="n">
        <x:v>1</x:v>
      </x:c>
      <x:c r="J1097" s="34" t="str">
        <x:v>warning</x:v>
      </x:c>
      <x:c r="K1097" s="34" t="str">
        <x:v>firstUndeployWarnings</x:v>
      </x:c>
      <x:c r="L1097" s="36" t="n">
        <x:v>1</x:v>
      </x:c>
      <x:c r="M1097" s="34"/>
      <x:c r="N1097" s="44" t="str">
        <x:v>03-Sep-2026 02:31:55.155 WARNING [http-nio-8080-exec-24]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098">
      <x:c r="A1098" s="36" t="n">
        <x:v>1097</x:v>
      </x:c>
      <x:c r="B1098" s="34" t="str">
        <x:v>article1-unified-v4-2-fb3f101b-20260903-000401-default-f06-p3-jcs321</x:v>
      </x:c>
      <x:c r="C1098" s="34" t="str">
        <x:v>default</x:v>
      </x:c>
      <x:c r="D1098" s="34" t="str">
        <x:v>jcs321</x:v>
      </x:c>
      <x:c r="E1098" s="36" t="n">
        <x:v>6</x:v>
      </x:c>
      <x:c r="F1098" s="36" t="n">
        <x:v>6</x:v>
      </x:c>
      <x:c r="G1098" s="36" t="n">
        <x:v>3</x:v>
      </x:c>
      <x:c r="H1098" s="34" t="str">
        <x:v>cycle-window</x:v>
      </x:c>
      <x:c r="I1098" s="36" t="n">
        <x:v>1</x:v>
      </x:c>
      <x:c r="J1098" s="34" t="str">
        <x:v>leak-warning</x:v>
      </x:c>
      <x:c r="K1098" s="34" t="str">
        <x:v>firstUndeployLeakWarnings</x:v>
      </x:c>
      <x:c r="L1098" s="36" t="n">
        <x:v>1</x:v>
      </x:c>
      <x:c r="M1098" s="34"/>
      <x:c r="N1098" s="44" t="str">
        <x:v>03-Sep-2026 02:31:55.155 WARNING [http-nio-8080-exec-24]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099">
      <x:c r="A1099" s="36" t="n">
        <x:v>1098</x:v>
      </x:c>
      <x:c r="B1099" s="34" t="str">
        <x:v>article1-unified-v4-2-fb3f101b-20260903-000401-default-f06-p3-jcs321</x:v>
      </x:c>
      <x:c r="C1099" s="34" t="str">
        <x:v>default</x:v>
      </x:c>
      <x:c r="D1099" s="34" t="str">
        <x:v>jcs321</x:v>
      </x:c>
      <x:c r="E1099" s="36" t="n">
        <x:v>6</x:v>
      </x:c>
      <x:c r="F1099" s="36" t="n">
        <x:v>6</x:v>
      </x:c>
      <x:c r="G1099" s="36" t="n">
        <x:v>3</x:v>
      </x:c>
      <x:c r="H1099" s="34" t="str">
        <x:v>cycle-window</x:v>
      </x:c>
      <x:c r="I1099" s="36" t="n">
        <x:v>1</x:v>
      </x:c>
      <x:c r="J1099" s="34" t="str">
        <x:v>thread-leak-warning</x:v>
      </x:c>
      <x:c r="K1099" s="34" t="str">
        <x:v>firstUndeployThreadLeakWarnings</x:v>
      </x:c>
      <x:c r="L1099" s="36" t="n">
        <x:v>1</x:v>
      </x:c>
      <x:c r="M1099" s="34"/>
      <x:c r="N1099" s="44" t="str">
        <x:v>03-Sep-2026 02:31:55.155 WARNING [http-nio-8080-exec-24] org.apache.catalina.loader.WebappClassLoaderBase.clearReferencesThreads The web application [jcs321] appears to have started a thread named [JCS-ElementEventQueue-Thread-16] but has failed to stop it. This is very likely to create a memory leak. Stack trace of thread:</x:v>
      </x:c>
    </x:row>
    <x:row r="1100">
      <x:c r="A1100" s="36" t="n">
        <x:v>1099</x:v>
      </x:c>
      <x:c r="B1100" s="34" t="str">
        <x:v>article1-unified-v4-2-fb3f101b-20260903-000401-default-f06-p3-jcs321</x:v>
      </x:c>
      <x:c r="C1100" s="34" t="str">
        <x:v>default</x:v>
      </x:c>
      <x:c r="D1100" s="34" t="str">
        <x:v>jcs321</x:v>
      </x:c>
      <x:c r="E1100" s="36" t="n">
        <x:v>6</x:v>
      </x:c>
      <x:c r="F1100" s="36" t="n">
        <x:v>6</x:v>
      </x:c>
      <x:c r="G1100" s="36" t="n">
        <x:v>3</x:v>
      </x:c>
      <x:c r="H1100" s="34" t="str">
        <x:v>cycle-window</x:v>
      </x:c>
      <x:c r="I1100" s="36" t="n">
        <x:v>2</x:v>
      </x:c>
      <x:c r="J1100" s="34" t="str">
        <x:v>warning</x:v>
      </x:c>
      <x:c r="K1100" s="34" t="str">
        <x:v>secondUndeployWarnings</x:v>
      </x:c>
      <x:c r="L1100" s="36" t="n">
        <x:v>1</x:v>
      </x:c>
      <x:c r="M1100" s="34"/>
      <x:c r="N1100" s="44" t="str">
        <x:v>03-Sep-2026 02:32:37.407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101">
      <x:c r="A1101" s="36" t="n">
        <x:v>1100</x:v>
      </x:c>
      <x:c r="B1101" s="34" t="str">
        <x:v>article1-unified-v4-2-fb3f101b-20260903-000401-default-f06-p3-jcs321</x:v>
      </x:c>
      <x:c r="C1101" s="34" t="str">
        <x:v>default</x:v>
      </x:c>
      <x:c r="D1101" s="34" t="str">
        <x:v>jcs321</x:v>
      </x:c>
      <x:c r="E1101" s="36" t="n">
        <x:v>6</x:v>
      </x:c>
      <x:c r="F1101" s="36" t="n">
        <x:v>6</x:v>
      </x:c>
      <x:c r="G1101" s="36" t="n">
        <x:v>3</x:v>
      </x:c>
      <x:c r="H1101" s="34" t="str">
        <x:v>cycle-window</x:v>
      </x:c>
      <x:c r="I1101" s="36" t="n">
        <x:v>2</x:v>
      </x:c>
      <x:c r="J1101" s="34" t="str">
        <x:v>leak-warning</x:v>
      </x:c>
      <x:c r="K1101" s="34" t="str">
        <x:v>secondUndeployLeakWarnings</x:v>
      </x:c>
      <x:c r="L1101" s="36" t="n">
        <x:v>1</x:v>
      </x:c>
      <x:c r="M1101" s="34"/>
      <x:c r="N1101" s="44" t="str">
        <x:v>03-Sep-2026 02:32:37.407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102">
      <x:c r="A1102" s="36" t="n">
        <x:v>1101</x:v>
      </x:c>
      <x:c r="B1102" s="34" t="str">
        <x:v>article1-unified-v4-2-fb3f101b-20260903-000401-default-f06-p3-jcs321</x:v>
      </x:c>
      <x:c r="C1102" s="34" t="str">
        <x:v>default</x:v>
      </x:c>
      <x:c r="D1102" s="34" t="str">
        <x:v>jcs321</x:v>
      </x:c>
      <x:c r="E1102" s="36" t="n">
        <x:v>6</x:v>
      </x:c>
      <x:c r="F1102" s="36" t="n">
        <x:v>6</x:v>
      </x:c>
      <x:c r="G1102" s="36" t="n">
        <x:v>3</x:v>
      </x:c>
      <x:c r="H1102" s="34" t="str">
        <x:v>cycle-window</x:v>
      </x:c>
      <x:c r="I1102" s="36" t="n">
        <x:v>2</x:v>
      </x:c>
      <x:c r="J1102" s="34" t="str">
        <x:v>thread-leak-warning</x:v>
      </x:c>
      <x:c r="K1102" s="34" t="str">
        <x:v>secondUndeployThreadLeakWarnings</x:v>
      </x:c>
      <x:c r="L1102" s="36" t="n">
        <x:v>1</x:v>
      </x:c>
      <x:c r="M1102" s="34"/>
      <x:c r="N1102" s="44" t="str">
        <x:v>03-Sep-2026 02:32:37.407 WARNING [http-nio-8080-exec-34] org.apache.catalina.loader.WebappClassLoaderBase.clearReferencesThreads The web application [jcs321] appears to have started a thread named [JCS-ElementEventQueue-Thread-19] but has failed to stop it. This is very likely to create a memory leak. Stack trace of thread:</x:v>
      </x:c>
    </x:row>
    <x:row r="1103">
      <x:c r="A1103" s="36" t="n">
        <x:v>1102</x:v>
      </x:c>
      <x:c r="B1103" s="34" t="str">
        <x:v>article1-unified-v4-2-fb3f101b-20260903-000401-default-f06-p3-jcs321</x:v>
      </x:c>
      <x:c r="C1103" s="34" t="str">
        <x:v>default</x:v>
      </x:c>
      <x:c r="D1103" s="34" t="str">
        <x:v>jcs321</x:v>
      </x:c>
      <x:c r="E1103" s="36" t="n">
        <x:v>6</x:v>
      </x:c>
      <x:c r="F1103" s="36" t="n">
        <x:v>6</x:v>
      </x:c>
      <x:c r="G1103" s="36" t="n">
        <x:v>3</x:v>
      </x:c>
      <x:c r="H1103" s="34" t="str">
        <x:v>cycle-observation</x:v>
      </x:c>
      <x:c r="I1103" s="36" t="n">
        <x:v>1</x:v>
      </x:c>
      <x:c r="J1103" s="34" t="str">
        <x:v>tomcat-findleaks-occurrence</x:v>
      </x:c>
      <x:c r="K1103" s="34" t="str">
        <x:v>afterUndeploy.tomcatFindLeaksOccurrences</x:v>
      </x:c>
      <x:c r="L1103" s="36" t="n">
        <x:v>1</x:v>
      </x:c>
      <x:c r="M1103" s="34" t="str">
        <x:v>/jcs321</x:v>
      </x:c>
      <x:c r="N1103" s="44" t="str">
        <x:v>/jcs321</x:v>
      </x:c>
    </x:row>
    <x:row r="1104">
      <x:c r="A1104" s="36" t="n">
        <x:v>1103</x:v>
      </x:c>
      <x:c r="B1104" s="34" t="str">
        <x:v>article1-unified-v4-2-fb3f101b-20260903-000401-default-f06-p3-jcs321</x:v>
      </x:c>
      <x:c r="C1104" s="34" t="str">
        <x:v>default</x:v>
      </x:c>
      <x:c r="D1104" s="34" t="str">
        <x:v>jcs321</x:v>
      </x:c>
      <x:c r="E1104" s="36" t="n">
        <x:v>6</x:v>
      </x:c>
      <x:c r="F1104" s="36" t="n">
        <x:v>6</x:v>
      </x:c>
      <x:c r="G1104" s="36" t="n">
        <x:v>3</x:v>
      </x:c>
      <x:c r="H1104" s="34" t="str">
        <x:v>cycle-observation</x:v>
      </x:c>
      <x:c r="I1104" s="36" t="n">
        <x:v>1</x:v>
      </x:c>
      <x:c r="J1104" s="34" t="str">
        <x:v>tomcat-findleaks-occurrence</x:v>
      </x:c>
      <x:c r="K1104" s="34" t="str">
        <x:v>afterUndeploy.tomcatFindLeaksOccurrences</x:v>
      </x:c>
      <x:c r="L1104" s="36" t="n">
        <x:v>2</x:v>
      </x:c>
      <x:c r="M1104" s="34" t="str">
        <x:v>/jcs321</x:v>
      </x:c>
      <x:c r="N1104" s="44" t="str">
        <x:v>/jcs321</x:v>
      </x:c>
    </x:row>
    <x:row r="1105">
      <x:c r="A1105" s="36" t="n">
        <x:v>1104</x:v>
      </x:c>
      <x:c r="B1105" s="34" t="str">
        <x:v>article1-unified-v4-2-fb3f101b-20260903-000401-default-f06-p3-jcs321</x:v>
      </x:c>
      <x:c r="C1105" s="34" t="str">
        <x:v>default</x:v>
      </x:c>
      <x:c r="D1105" s="34" t="str">
        <x:v>jcs321</x:v>
      </x:c>
      <x:c r="E1105" s="36" t="n">
        <x:v>6</x:v>
      </x:c>
      <x:c r="F1105" s="36" t="n">
        <x:v>6</x:v>
      </x:c>
      <x:c r="G1105" s="36" t="n">
        <x:v>3</x:v>
      </x:c>
      <x:c r="H1105" s="34" t="str">
        <x:v>cycle-observation</x:v>
      </x:c>
      <x:c r="I1105" s="36" t="n">
        <x:v>1</x:v>
      </x:c>
      <x:c r="J1105" s="34" t="str">
        <x:v>tomcat-findleaks-occurrence</x:v>
      </x:c>
      <x:c r="K1105" s="34" t="str">
        <x:v>afterUndeploy.tomcatFindLeaksOccurrences</x:v>
      </x:c>
      <x:c r="L1105" s="36" t="n">
        <x:v>3</x:v>
      </x:c>
      <x:c r="M1105" s="34" t="str">
        <x:v>/jcs321</x:v>
      </x:c>
      <x:c r="N1105" s="44" t="str">
        <x:v>/jcs321</x:v>
      </x:c>
    </x:row>
    <x:row r="1106">
      <x:c r="A1106" s="36" t="n">
        <x:v>1105</x:v>
      </x:c>
      <x:c r="B1106" s="34" t="str">
        <x:v>article1-unified-v4-2-fb3f101b-20260903-000401-default-f06-p3-jcs321</x:v>
      </x:c>
      <x:c r="C1106" s="34" t="str">
        <x:v>default</x:v>
      </x:c>
      <x:c r="D1106" s="34" t="str">
        <x:v>jcs321</x:v>
      </x:c>
      <x:c r="E1106" s="36" t="n">
        <x:v>6</x:v>
      </x:c>
      <x:c r="F1106" s="36" t="n">
        <x:v>6</x:v>
      </x:c>
      <x:c r="G1106" s="36" t="n">
        <x:v>3</x:v>
      </x:c>
      <x:c r="H1106" s="34" t="str">
        <x:v>cycle-observation</x:v>
      </x:c>
      <x:c r="I1106" s="36" t="n">
        <x:v>1</x:v>
      </x:c>
      <x:c r="J1106" s="34" t="str">
        <x:v>tomcat-findleaks-occurrence</x:v>
      </x:c>
      <x:c r="K1106" s="34" t="str">
        <x:v>afterUndeploy.tomcatFindLeaksOccurrences</x:v>
      </x:c>
      <x:c r="L1106" s="36" t="n">
        <x:v>4</x:v>
      </x:c>
      <x:c r="M1106" s="34" t="str">
        <x:v>/jcs321</x:v>
      </x:c>
      <x:c r="N1106" s="44" t="str">
        <x:v>/jcs321</x:v>
      </x:c>
    </x:row>
    <x:row r="1107">
      <x:c r="A1107" s="36" t="n">
        <x:v>1106</x:v>
      </x:c>
      <x:c r="B1107" s="34" t="str">
        <x:v>article1-unified-v4-2-fb3f101b-20260903-000401-default-f06-p3-jcs321</x:v>
      </x:c>
      <x:c r="C1107" s="34" t="str">
        <x:v>default</x:v>
      </x:c>
      <x:c r="D1107" s="34" t="str">
        <x:v>jcs321</x:v>
      </x:c>
      <x:c r="E1107" s="36" t="n">
        <x:v>6</x:v>
      </x:c>
      <x:c r="F1107" s="36" t="n">
        <x:v>6</x:v>
      </x:c>
      <x:c r="G1107" s="36" t="n">
        <x:v>3</x:v>
      </x:c>
      <x:c r="H1107" s="34" t="str">
        <x:v>cycle-observation</x:v>
      </x:c>
      <x:c r="I1107" s="36" t="n">
        <x:v>1</x:v>
      </x:c>
      <x:c r="J1107" s="34" t="str">
        <x:v>tomcat-findleaks-occurrence</x:v>
      </x:c>
      <x:c r="K1107" s="34" t="str">
        <x:v>afterUndeploy.tomcatFindLeaksOccurrences</x:v>
      </x:c>
      <x:c r="L1107" s="36" t="n">
        <x:v>5</x:v>
      </x:c>
      <x:c r="M1107" s="34" t="str">
        <x:v>/jcs321</x:v>
      </x:c>
      <x:c r="N1107" s="44" t="str">
        <x:v>/jcs321</x:v>
      </x:c>
    </x:row>
    <x:row r="1108">
      <x:c r="A1108" s="36" t="n">
        <x:v>1107</x:v>
      </x:c>
      <x:c r="B1108" s="34" t="str">
        <x:v>article1-unified-v4-2-fb3f101b-20260903-000401-default-f06-p3-jcs321</x:v>
      </x:c>
      <x:c r="C1108" s="34" t="str">
        <x:v>default</x:v>
      </x:c>
      <x:c r="D1108" s="34" t="str">
        <x:v>jcs321</x:v>
      </x:c>
      <x:c r="E1108" s="36" t="n">
        <x:v>6</x:v>
      </x:c>
      <x:c r="F1108" s="36" t="n">
        <x:v>6</x:v>
      </x:c>
      <x:c r="G1108" s="36" t="n">
        <x:v>3</x:v>
      </x:c>
      <x:c r="H1108" s="34" t="str">
        <x:v>cycle-observation</x:v>
      </x:c>
      <x:c r="I1108" s="36" t="n">
        <x:v>2</x:v>
      </x:c>
      <x:c r="J1108" s="34" t="str">
        <x:v>tomcat-findleaks-occurrence</x:v>
      </x:c>
      <x:c r="K1108" s="34" t="str">
        <x:v>afterFinalUndeploy.tomcatFindLeaksOccurrences</x:v>
      </x:c>
      <x:c r="L1108" s="36" t="n">
        <x:v>1</x:v>
      </x:c>
      <x:c r="M1108" s="34" t="str">
        <x:v>/jcs321</x:v>
      </x:c>
      <x:c r="N1108" s="44" t="str">
        <x:v>/jcs321</x:v>
      </x:c>
    </x:row>
    <x:row r="1109">
      <x:c r="A1109" s="36" t="n">
        <x:v>1108</x:v>
      </x:c>
      <x:c r="B1109" s="34" t="str">
        <x:v>article1-unified-v4-2-fb3f101b-20260903-000401-default-f06-p3-jcs321</x:v>
      </x:c>
      <x:c r="C1109" s="34" t="str">
        <x:v>default</x:v>
      </x:c>
      <x:c r="D1109" s="34" t="str">
        <x:v>jcs321</x:v>
      </x:c>
      <x:c r="E1109" s="36" t="n">
        <x:v>6</x:v>
      </x:c>
      <x:c r="F1109" s="36" t="n">
        <x:v>6</x:v>
      </x:c>
      <x:c r="G1109" s="36" t="n">
        <x:v>3</x:v>
      </x:c>
      <x:c r="H1109" s="34" t="str">
        <x:v>cycle-observation</x:v>
      </x:c>
      <x:c r="I1109" s="36" t="n">
        <x:v>2</x:v>
      </x:c>
      <x:c r="J1109" s="34" t="str">
        <x:v>tomcat-findleaks-occurrence</x:v>
      </x:c>
      <x:c r="K1109" s="34" t="str">
        <x:v>afterFinalUndeploy.tomcatFindLeaksOccurrences</x:v>
      </x:c>
      <x:c r="L1109" s="36" t="n">
        <x:v>2</x:v>
      </x:c>
      <x:c r="M1109" s="34" t="str">
        <x:v>/jcs321</x:v>
      </x:c>
      <x:c r="N1109" s="44" t="str">
        <x:v>/jcs321</x:v>
      </x:c>
    </x:row>
    <x:row r="1110">
      <x:c r="A1110" s="36" t="n">
        <x:v>1109</x:v>
      </x:c>
      <x:c r="B1110" s="34" t="str">
        <x:v>article1-unified-v4-2-fb3f101b-20260903-000401-default-f06-p3-jcs321</x:v>
      </x:c>
      <x:c r="C1110" s="34" t="str">
        <x:v>default</x:v>
      </x:c>
      <x:c r="D1110" s="34" t="str">
        <x:v>jcs321</x:v>
      </x:c>
      <x:c r="E1110" s="36" t="n">
        <x:v>6</x:v>
      </x:c>
      <x:c r="F1110" s="36" t="n">
        <x:v>6</x:v>
      </x:c>
      <x:c r="G1110" s="36" t="n">
        <x:v>3</x:v>
      </x:c>
      <x:c r="H1110" s="34" t="str">
        <x:v>cycle-observation</x:v>
      </x:c>
      <x:c r="I1110" s="36" t="n">
        <x:v>2</x:v>
      </x:c>
      <x:c r="J1110" s="34" t="str">
        <x:v>tomcat-findleaks-occurrence</x:v>
      </x:c>
      <x:c r="K1110" s="34" t="str">
        <x:v>afterFinalUndeploy.tomcatFindLeaksOccurrences</x:v>
      </x:c>
      <x:c r="L1110" s="36" t="n">
        <x:v>3</x:v>
      </x:c>
      <x:c r="M1110" s="34" t="str">
        <x:v>/jcs321</x:v>
      </x:c>
      <x:c r="N1110" s="44" t="str">
        <x:v>/jcs321</x:v>
      </x:c>
    </x:row>
    <x:row r="1111">
      <x:c r="A1111" s="36" t="n">
        <x:v>1110</x:v>
      </x:c>
      <x:c r="B1111" s="34" t="str">
        <x:v>article1-unified-v4-2-fb3f101b-20260903-000401-default-f06-p3-jcs321</x:v>
      </x:c>
      <x:c r="C1111" s="34" t="str">
        <x:v>default</x:v>
      </x:c>
      <x:c r="D1111" s="34" t="str">
        <x:v>jcs321</x:v>
      </x:c>
      <x:c r="E1111" s="36" t="n">
        <x:v>6</x:v>
      </x:c>
      <x:c r="F1111" s="36" t="n">
        <x:v>6</x:v>
      </x:c>
      <x:c r="G1111" s="36" t="n">
        <x:v>3</x:v>
      </x:c>
      <x:c r="H1111" s="34" t="str">
        <x:v>cycle-observation</x:v>
      </x:c>
      <x:c r="I1111" s="36" t="n">
        <x:v>2</x:v>
      </x:c>
      <x:c r="J1111" s="34" t="str">
        <x:v>tomcat-findleaks-occurrence</x:v>
      </x:c>
      <x:c r="K1111" s="34" t="str">
        <x:v>afterFinalUndeploy.tomcatFindLeaksOccurrences</x:v>
      </x:c>
      <x:c r="L1111" s="36" t="n">
        <x:v>4</x:v>
      </x:c>
      <x:c r="M1111" s="34" t="str">
        <x:v>/jcs321</x:v>
      </x:c>
      <x:c r="N1111" s="44" t="str">
        <x:v>/jcs321</x:v>
      </x:c>
    </x:row>
    <x:row r="1112">
      <x:c r="A1112" s="36" t="n">
        <x:v>1111</x:v>
      </x:c>
      <x:c r="B1112" s="34" t="str">
        <x:v>article1-unified-v4-2-fb3f101b-20260903-000401-default-f06-p3-jcs321</x:v>
      </x:c>
      <x:c r="C1112" s="34" t="str">
        <x:v>default</x:v>
      </x:c>
      <x:c r="D1112" s="34" t="str">
        <x:v>jcs321</x:v>
      </x:c>
      <x:c r="E1112" s="36" t="n">
        <x:v>6</x:v>
      </x:c>
      <x:c r="F1112" s="36" t="n">
        <x:v>6</x:v>
      </x:c>
      <x:c r="G1112" s="36" t="n">
        <x:v>3</x:v>
      </x:c>
      <x:c r="H1112" s="34" t="str">
        <x:v>cycle-observation</x:v>
      </x:c>
      <x:c r="I1112" s="36" t="n">
        <x:v>2</x:v>
      </x:c>
      <x:c r="J1112" s="34" t="str">
        <x:v>tomcat-findleaks-occurrence</x:v>
      </x:c>
      <x:c r="K1112" s="34" t="str">
        <x:v>afterFinalUndeploy.tomcatFindLeaksOccurrences</x:v>
      </x:c>
      <x:c r="L1112" s="36" t="n">
        <x:v>5</x:v>
      </x:c>
      <x:c r="M1112" s="34" t="str">
        <x:v>/jcs321</x:v>
      </x:c>
      <x:c r="N1112" s="44" t="str">
        <x:v>/jcs321</x:v>
      </x:c>
    </x:row>
    <x:row r="1113">
      <x:c r="A1113" s="36" t="n">
        <x:v>1112</x:v>
      </x:c>
      <x:c r="B1113" s="34" t="str">
        <x:v>article1-unified-v4-2-fb3f101b-20260903-000401-default-f06-p3-jcs321</x:v>
      </x:c>
      <x:c r="C1113" s="34" t="str">
        <x:v>default</x:v>
      </x:c>
      <x:c r="D1113" s="34" t="str">
        <x:v>jcs321</x:v>
      </x:c>
      <x:c r="E1113" s="36" t="n">
        <x:v>6</x:v>
      </x:c>
      <x:c r="F1113" s="36" t="n">
        <x:v>6</x:v>
      </x:c>
      <x:c r="G1113" s="36" t="n">
        <x:v>3</x:v>
      </x:c>
      <x:c r="H1113" s="34" t="str">
        <x:v>cycle-observation</x:v>
      </x:c>
      <x:c r="I1113" s="36" t="n">
        <x:v>2</x:v>
      </x:c>
      <x:c r="J1113" s="34" t="str">
        <x:v>tomcat-findleaks-occurrence</x:v>
      </x:c>
      <x:c r="K1113" s="34" t="str">
        <x:v>afterFinalUndeploy.tomcatFindLeaksOccurrences</x:v>
      </x:c>
      <x:c r="L1113" s="36" t="n">
        <x:v>6</x:v>
      </x:c>
      <x:c r="M1113" s="34" t="str">
        <x:v>/jcs321</x:v>
      </x:c>
      <x:c r="N1113" s="44" t="str">
        <x:v>/jcs321</x:v>
      </x:c>
    </x:row>
    <x:row r="1114">
      <x:c r="A1114" s="36" t="n">
        <x:v>1113</x:v>
      </x:c>
      <x:c r="B1114" s="34" t="str">
        <x:v>article1-unified-v4-2-fb3f101b-20260903-000401-default-f06-p3-jcs321</x:v>
      </x:c>
      <x:c r="C1114" s="34" t="str">
        <x:v>default</x:v>
      </x:c>
      <x:c r="D1114" s="34" t="str">
        <x:v>jcs321</x:v>
      </x:c>
      <x:c r="E1114" s="36" t="n">
        <x:v>6</x:v>
      </x:c>
      <x:c r="F1114" s="36" t="n">
        <x:v>6</x:v>
      </x:c>
      <x:c r="G1114" s="36" t="n">
        <x:v>4</x:v>
      </x:c>
      <x:c r="H1114" s="34" t="str">
        <x:v>cycle-window</x:v>
      </x:c>
      <x:c r="I1114" s="36" t="n">
        <x:v>1</x:v>
      </x:c>
      <x:c r="J1114" s="34" t="str">
        <x:v>warning</x:v>
      </x:c>
      <x:c r="K1114" s="34" t="str">
        <x:v>firstUndeployWarnings</x:v>
      </x:c>
      <x:c r="L1114" s="36" t="n">
        <x:v>1</x:v>
      </x:c>
      <x:c r="M1114" s="34"/>
      <x:c r="N1114" s="44" t="str">
        <x:v>03-Sep-2026 02:33:22.917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115">
      <x:c r="A1115" s="36" t="n">
        <x:v>1114</x:v>
      </x:c>
      <x:c r="B1115" s="34" t="str">
        <x:v>article1-unified-v4-2-fb3f101b-20260903-000401-default-f06-p3-jcs321</x:v>
      </x:c>
      <x:c r="C1115" s="34" t="str">
        <x:v>default</x:v>
      </x:c>
      <x:c r="D1115" s="34" t="str">
        <x:v>jcs321</x:v>
      </x:c>
      <x:c r="E1115" s="36" t="n">
        <x:v>6</x:v>
      </x:c>
      <x:c r="F1115" s="36" t="n">
        <x:v>6</x:v>
      </x:c>
      <x:c r="G1115" s="36" t="n">
        <x:v>4</x:v>
      </x:c>
      <x:c r="H1115" s="34" t="str">
        <x:v>cycle-window</x:v>
      </x:c>
      <x:c r="I1115" s="36" t="n">
        <x:v>1</x:v>
      </x:c>
      <x:c r="J1115" s="34" t="str">
        <x:v>leak-warning</x:v>
      </x:c>
      <x:c r="K1115" s="34" t="str">
        <x:v>firstUndeployLeakWarnings</x:v>
      </x:c>
      <x:c r="L1115" s="36" t="n">
        <x:v>1</x:v>
      </x:c>
      <x:c r="M1115" s="34"/>
      <x:c r="N1115" s="44" t="str">
        <x:v>03-Sep-2026 02:33:22.917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116">
      <x:c r="A1116" s="36" t="n">
        <x:v>1115</x:v>
      </x:c>
      <x:c r="B1116" s="34" t="str">
        <x:v>article1-unified-v4-2-fb3f101b-20260903-000401-default-f06-p3-jcs321</x:v>
      </x:c>
      <x:c r="C1116" s="34" t="str">
        <x:v>default</x:v>
      </x:c>
      <x:c r="D1116" s="34" t="str">
        <x:v>jcs321</x:v>
      </x:c>
      <x:c r="E1116" s="36" t="n">
        <x:v>6</x:v>
      </x:c>
      <x:c r="F1116" s="36" t="n">
        <x:v>6</x:v>
      </x:c>
      <x:c r="G1116" s="36" t="n">
        <x:v>4</x:v>
      </x:c>
      <x:c r="H1116" s="34" t="str">
        <x:v>cycle-window</x:v>
      </x:c>
      <x:c r="I1116" s="36" t="n">
        <x:v>1</x:v>
      </x:c>
      <x:c r="J1116" s="34" t="str">
        <x:v>thread-leak-warning</x:v>
      </x:c>
      <x:c r="K1116" s="34" t="str">
        <x:v>firstUndeployThreadLeakWarnings</x:v>
      </x:c>
      <x:c r="L1116" s="36" t="n">
        <x:v>1</x:v>
      </x:c>
      <x:c r="M1116" s="34"/>
      <x:c r="N1116" s="44" t="str">
        <x:v>03-Sep-2026 02:33:22.917 WARNING [http-nio-8080-exec-43] org.apache.catalina.loader.WebappClassLoaderBase.clearReferencesThreads The web application [jcs321] appears to have started a thread named [JCS-ElementEventQueue-Thread-22] but has failed to stop it. This is very likely to create a memory leak. Stack trace of thread:</x:v>
      </x:c>
    </x:row>
    <x:row r="1117">
      <x:c r="A1117" s="36" t="n">
        <x:v>1116</x:v>
      </x:c>
      <x:c r="B1117" s="34" t="str">
        <x:v>article1-unified-v4-2-fb3f101b-20260903-000401-default-f06-p3-jcs321</x:v>
      </x:c>
      <x:c r="C1117" s="34" t="str">
        <x:v>default</x:v>
      </x:c>
      <x:c r="D1117" s="34" t="str">
        <x:v>jcs321</x:v>
      </x:c>
      <x:c r="E1117" s="36" t="n">
        <x:v>6</x:v>
      </x:c>
      <x:c r="F1117" s="36" t="n">
        <x:v>6</x:v>
      </x:c>
      <x:c r="G1117" s="36" t="n">
        <x:v>4</x:v>
      </x:c>
      <x:c r="H1117" s="34" t="str">
        <x:v>cycle-window</x:v>
      </x:c>
      <x:c r="I1117" s="36" t="n">
        <x:v>2</x:v>
      </x:c>
      <x:c r="J1117" s="34" t="str">
        <x:v>warning</x:v>
      </x:c>
      <x:c r="K1117" s="34" t="str">
        <x:v>secondUndeployWarnings</x:v>
      </x:c>
      <x:c r="L1117" s="36" t="n">
        <x:v>1</x:v>
      </x:c>
      <x:c r="M1117" s="34"/>
      <x:c r="N1117" s="44" t="str">
        <x:v>03-Sep-2026 02:34:05.463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118">
      <x:c r="A1118" s="36" t="n">
        <x:v>1117</x:v>
      </x:c>
      <x:c r="B1118" s="34" t="str">
        <x:v>article1-unified-v4-2-fb3f101b-20260903-000401-default-f06-p3-jcs321</x:v>
      </x:c>
      <x:c r="C1118" s="34" t="str">
        <x:v>default</x:v>
      </x:c>
      <x:c r="D1118" s="34" t="str">
        <x:v>jcs321</x:v>
      </x:c>
      <x:c r="E1118" s="36" t="n">
        <x:v>6</x:v>
      </x:c>
      <x:c r="F1118" s="36" t="n">
        <x:v>6</x:v>
      </x:c>
      <x:c r="G1118" s="36" t="n">
        <x:v>4</x:v>
      </x:c>
      <x:c r="H1118" s="34" t="str">
        <x:v>cycle-window</x:v>
      </x:c>
      <x:c r="I1118" s="36" t="n">
        <x:v>2</x:v>
      </x:c>
      <x:c r="J1118" s="34" t="str">
        <x:v>leak-warning</x:v>
      </x:c>
      <x:c r="K1118" s="34" t="str">
        <x:v>secondUndeployLeakWarnings</x:v>
      </x:c>
      <x:c r="L1118" s="36" t="n">
        <x:v>1</x:v>
      </x:c>
      <x:c r="M1118" s="34"/>
      <x:c r="N1118" s="44" t="str">
        <x:v>03-Sep-2026 02:34:05.463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119">
      <x:c r="A1119" s="36" t="n">
        <x:v>1118</x:v>
      </x:c>
      <x:c r="B1119" s="34" t="str">
        <x:v>article1-unified-v4-2-fb3f101b-20260903-000401-default-f06-p3-jcs321</x:v>
      </x:c>
      <x:c r="C1119" s="34" t="str">
        <x:v>default</x:v>
      </x:c>
      <x:c r="D1119" s="34" t="str">
        <x:v>jcs321</x:v>
      </x:c>
      <x:c r="E1119" s="36" t="n">
        <x:v>6</x:v>
      </x:c>
      <x:c r="F1119" s="36" t="n">
        <x:v>6</x:v>
      </x:c>
      <x:c r="G1119" s="36" t="n">
        <x:v>4</x:v>
      </x:c>
      <x:c r="H1119" s="34" t="str">
        <x:v>cycle-window</x:v>
      </x:c>
      <x:c r="I1119" s="36" t="n">
        <x:v>2</x:v>
      </x:c>
      <x:c r="J1119" s="34" t="str">
        <x:v>thread-leak-warning</x:v>
      </x:c>
      <x:c r="K1119" s="34" t="str">
        <x:v>secondUndeployThreadLeakWarnings</x:v>
      </x:c>
      <x:c r="L1119" s="36" t="n">
        <x:v>1</x:v>
      </x:c>
      <x:c r="M1119" s="34"/>
      <x:c r="N1119" s="44" t="str">
        <x:v>03-Sep-2026 02:34:05.463 WARNING [http-nio-8080-exec-47] org.apache.catalina.loader.WebappClassLoaderBase.clearReferencesThreads The web application [jcs321] appears to have started a thread named [JCS-ElementEventQueue-Thread-25] but has failed to stop it. This is very likely to create a memory leak. Stack trace of thread:</x:v>
      </x:c>
    </x:row>
    <x:row r="1120">
      <x:c r="A1120" s="36" t="n">
        <x:v>1119</x:v>
      </x:c>
      <x:c r="B1120" s="34" t="str">
        <x:v>article1-unified-v4-2-fb3f101b-20260903-000401-default-f06-p3-jcs321</x:v>
      </x:c>
      <x:c r="C1120" s="34" t="str">
        <x:v>default</x:v>
      </x:c>
      <x:c r="D1120" s="34" t="str">
        <x:v>jcs321</x:v>
      </x:c>
      <x:c r="E1120" s="36" t="n">
        <x:v>6</x:v>
      </x:c>
      <x:c r="F1120" s="36" t="n">
        <x:v>6</x:v>
      </x:c>
      <x:c r="G1120" s="36" t="n">
        <x:v>4</x:v>
      </x:c>
      <x:c r="H1120" s="34" t="str">
        <x:v>cycle-observation</x:v>
      </x:c>
      <x:c r="I1120" s="36" t="n">
        <x:v>1</x:v>
      </x:c>
      <x:c r="J1120" s="34" t="str">
        <x:v>tomcat-findleaks-occurrence</x:v>
      </x:c>
      <x:c r="K1120" s="34" t="str">
        <x:v>afterUndeploy.tomcatFindLeaksOccurrences</x:v>
      </x:c>
      <x:c r="L1120" s="36" t="n">
        <x:v>1</x:v>
      </x:c>
      <x:c r="M1120" s="34" t="str">
        <x:v>/jcs321</x:v>
      </x:c>
      <x:c r="N1120" s="44" t="str">
        <x:v>/jcs321</x:v>
      </x:c>
    </x:row>
    <x:row r="1121">
      <x:c r="A1121" s="36" t="n">
        <x:v>1120</x:v>
      </x:c>
      <x:c r="B1121" s="34" t="str">
        <x:v>article1-unified-v4-2-fb3f101b-20260903-000401-default-f06-p3-jcs321</x:v>
      </x:c>
      <x:c r="C1121" s="34" t="str">
        <x:v>default</x:v>
      </x:c>
      <x:c r="D1121" s="34" t="str">
        <x:v>jcs321</x:v>
      </x:c>
      <x:c r="E1121" s="36" t="n">
        <x:v>6</x:v>
      </x:c>
      <x:c r="F1121" s="36" t="n">
        <x:v>6</x:v>
      </x:c>
      <x:c r="G1121" s="36" t="n">
        <x:v>4</x:v>
      </x:c>
      <x:c r="H1121" s="34" t="str">
        <x:v>cycle-observation</x:v>
      </x:c>
      <x:c r="I1121" s="36" t="n">
        <x:v>1</x:v>
      </x:c>
      <x:c r="J1121" s="34" t="str">
        <x:v>tomcat-findleaks-occurrence</x:v>
      </x:c>
      <x:c r="K1121" s="34" t="str">
        <x:v>afterUndeploy.tomcatFindLeaksOccurrences</x:v>
      </x:c>
      <x:c r="L1121" s="36" t="n">
        <x:v>2</x:v>
      </x:c>
      <x:c r="M1121" s="34" t="str">
        <x:v>/jcs321</x:v>
      </x:c>
      <x:c r="N1121" s="44" t="str">
        <x:v>/jcs321</x:v>
      </x:c>
    </x:row>
    <x:row r="1122">
      <x:c r="A1122" s="36" t="n">
        <x:v>1121</x:v>
      </x:c>
      <x:c r="B1122" s="34" t="str">
        <x:v>article1-unified-v4-2-fb3f101b-20260903-000401-default-f06-p3-jcs321</x:v>
      </x:c>
      <x:c r="C1122" s="34" t="str">
        <x:v>default</x:v>
      </x:c>
      <x:c r="D1122" s="34" t="str">
        <x:v>jcs321</x:v>
      </x:c>
      <x:c r="E1122" s="36" t="n">
        <x:v>6</x:v>
      </x:c>
      <x:c r="F1122" s="36" t="n">
        <x:v>6</x:v>
      </x:c>
      <x:c r="G1122" s="36" t="n">
        <x:v>4</x:v>
      </x:c>
      <x:c r="H1122" s="34" t="str">
        <x:v>cycle-observation</x:v>
      </x:c>
      <x:c r="I1122" s="36" t="n">
        <x:v>1</x:v>
      </x:c>
      <x:c r="J1122" s="34" t="str">
        <x:v>tomcat-findleaks-occurrence</x:v>
      </x:c>
      <x:c r="K1122" s="34" t="str">
        <x:v>afterUndeploy.tomcatFindLeaksOccurrences</x:v>
      </x:c>
      <x:c r="L1122" s="36" t="n">
        <x:v>3</x:v>
      </x:c>
      <x:c r="M1122" s="34" t="str">
        <x:v>/jcs321</x:v>
      </x:c>
      <x:c r="N1122" s="44" t="str">
        <x:v>/jcs321</x:v>
      </x:c>
    </x:row>
    <x:row r="1123">
      <x:c r="A1123" s="36" t="n">
        <x:v>1122</x:v>
      </x:c>
      <x:c r="B1123" s="34" t="str">
        <x:v>article1-unified-v4-2-fb3f101b-20260903-000401-default-f06-p3-jcs321</x:v>
      </x:c>
      <x:c r="C1123" s="34" t="str">
        <x:v>default</x:v>
      </x:c>
      <x:c r="D1123" s="34" t="str">
        <x:v>jcs321</x:v>
      </x:c>
      <x:c r="E1123" s="36" t="n">
        <x:v>6</x:v>
      </x:c>
      <x:c r="F1123" s="36" t="n">
        <x:v>6</x:v>
      </x:c>
      <x:c r="G1123" s="36" t="n">
        <x:v>4</x:v>
      </x:c>
      <x:c r="H1123" s="34" t="str">
        <x:v>cycle-observation</x:v>
      </x:c>
      <x:c r="I1123" s="36" t="n">
        <x:v>1</x:v>
      </x:c>
      <x:c r="J1123" s="34" t="str">
        <x:v>tomcat-findleaks-occurrence</x:v>
      </x:c>
      <x:c r="K1123" s="34" t="str">
        <x:v>afterUndeploy.tomcatFindLeaksOccurrences</x:v>
      </x:c>
      <x:c r="L1123" s="36" t="n">
        <x:v>4</x:v>
      </x:c>
      <x:c r="M1123" s="34" t="str">
        <x:v>/jcs321</x:v>
      </x:c>
      <x:c r="N1123" s="44" t="str">
        <x:v>/jcs321</x:v>
      </x:c>
    </x:row>
    <x:row r="1124">
      <x:c r="A1124" s="36" t="n">
        <x:v>1123</x:v>
      </x:c>
      <x:c r="B1124" s="34" t="str">
        <x:v>article1-unified-v4-2-fb3f101b-20260903-000401-default-f06-p3-jcs321</x:v>
      </x:c>
      <x:c r="C1124" s="34" t="str">
        <x:v>default</x:v>
      </x:c>
      <x:c r="D1124" s="34" t="str">
        <x:v>jcs321</x:v>
      </x:c>
      <x:c r="E1124" s="36" t="n">
        <x:v>6</x:v>
      </x:c>
      <x:c r="F1124" s="36" t="n">
        <x:v>6</x:v>
      </x:c>
      <x:c r="G1124" s="36" t="n">
        <x:v>4</x:v>
      </x:c>
      <x:c r="H1124" s="34" t="str">
        <x:v>cycle-observation</x:v>
      </x:c>
      <x:c r="I1124" s="36" t="n">
        <x:v>1</x:v>
      </x:c>
      <x:c r="J1124" s="34" t="str">
        <x:v>tomcat-findleaks-occurrence</x:v>
      </x:c>
      <x:c r="K1124" s="34" t="str">
        <x:v>afterUndeploy.tomcatFindLeaksOccurrences</x:v>
      </x:c>
      <x:c r="L1124" s="36" t="n">
        <x:v>5</x:v>
      </x:c>
      <x:c r="M1124" s="34" t="str">
        <x:v>/jcs321</x:v>
      </x:c>
      <x:c r="N1124" s="44" t="str">
        <x:v>/jcs321</x:v>
      </x:c>
    </x:row>
    <x:row r="1125">
      <x:c r="A1125" s="36" t="n">
        <x:v>1124</x:v>
      </x:c>
      <x:c r="B1125" s="34" t="str">
        <x:v>article1-unified-v4-2-fb3f101b-20260903-000401-default-f06-p3-jcs321</x:v>
      </x:c>
      <x:c r="C1125" s="34" t="str">
        <x:v>default</x:v>
      </x:c>
      <x:c r="D1125" s="34" t="str">
        <x:v>jcs321</x:v>
      </x:c>
      <x:c r="E1125" s="36" t="n">
        <x:v>6</x:v>
      </x:c>
      <x:c r="F1125" s="36" t="n">
        <x:v>6</x:v>
      </x:c>
      <x:c r="G1125" s="36" t="n">
        <x:v>4</x:v>
      </x:c>
      <x:c r="H1125" s="34" t="str">
        <x:v>cycle-observation</x:v>
      </x:c>
      <x:c r="I1125" s="36" t="n">
        <x:v>1</x:v>
      </x:c>
      <x:c r="J1125" s="34" t="str">
        <x:v>tomcat-findleaks-occurrence</x:v>
      </x:c>
      <x:c r="K1125" s="34" t="str">
        <x:v>afterUndeploy.tomcatFindLeaksOccurrences</x:v>
      </x:c>
      <x:c r="L1125" s="36" t="n">
        <x:v>6</x:v>
      </x:c>
      <x:c r="M1125" s="34" t="str">
        <x:v>/jcs321</x:v>
      </x:c>
      <x:c r="N1125" s="44" t="str">
        <x:v>/jcs321</x:v>
      </x:c>
    </x:row>
    <x:row r="1126">
      <x:c r="A1126" s="36" t="n">
        <x:v>1125</x:v>
      </x:c>
      <x:c r="B1126" s="34" t="str">
        <x:v>article1-unified-v4-2-fb3f101b-20260903-000401-default-f06-p3-jcs321</x:v>
      </x:c>
      <x:c r="C1126" s="34" t="str">
        <x:v>default</x:v>
      </x:c>
      <x:c r="D1126" s="34" t="str">
        <x:v>jcs321</x:v>
      </x:c>
      <x:c r="E1126" s="36" t="n">
        <x:v>6</x:v>
      </x:c>
      <x:c r="F1126" s="36" t="n">
        <x:v>6</x:v>
      </x:c>
      <x:c r="G1126" s="36" t="n">
        <x:v>4</x:v>
      </x:c>
      <x:c r="H1126" s="34" t="str">
        <x:v>cycle-observation</x:v>
      </x:c>
      <x:c r="I1126" s="36" t="n">
        <x:v>1</x:v>
      </x:c>
      <x:c r="J1126" s="34" t="str">
        <x:v>tomcat-findleaks-occurrence</x:v>
      </x:c>
      <x:c r="K1126" s="34" t="str">
        <x:v>afterUndeploy.tomcatFindLeaksOccurrences</x:v>
      </x:c>
      <x:c r="L1126" s="36" t="n">
        <x:v>7</x:v>
      </x:c>
      <x:c r="M1126" s="34" t="str">
        <x:v>/jcs321</x:v>
      </x:c>
      <x:c r="N1126" s="44" t="str">
        <x:v>/jcs321</x:v>
      </x:c>
    </x:row>
    <x:row r="1127">
      <x:c r="A1127" s="36" t="n">
        <x:v>1126</x:v>
      </x:c>
      <x:c r="B1127" s="34" t="str">
        <x:v>article1-unified-v4-2-fb3f101b-20260903-000401-default-f06-p3-jcs321</x:v>
      </x:c>
      <x:c r="C1127" s="34" t="str">
        <x:v>default</x:v>
      </x:c>
      <x:c r="D1127" s="34" t="str">
        <x:v>jcs321</x:v>
      </x:c>
      <x:c r="E1127" s="36" t="n">
        <x:v>6</x:v>
      </x:c>
      <x:c r="F1127" s="36" t="n">
        <x:v>6</x:v>
      </x:c>
      <x:c r="G1127" s="36" t="n">
        <x:v>4</x:v>
      </x:c>
      <x:c r="H1127" s="34" t="str">
        <x:v>cycle-observation</x:v>
      </x:c>
      <x:c r="I1127" s="36" t="n">
        <x:v>2</x:v>
      </x:c>
      <x:c r="J1127" s="34" t="str">
        <x:v>tomcat-findleaks-occurrence</x:v>
      </x:c>
      <x:c r="K1127" s="34" t="str">
        <x:v>afterFinalUndeploy.tomcatFindLeaksOccurrences</x:v>
      </x:c>
      <x:c r="L1127" s="36" t="n">
        <x:v>1</x:v>
      </x:c>
      <x:c r="M1127" s="34" t="str">
        <x:v>/jcs321</x:v>
      </x:c>
      <x:c r="N1127" s="44" t="str">
        <x:v>/jcs321</x:v>
      </x:c>
    </x:row>
    <x:row r="1128">
      <x:c r="A1128" s="36" t="n">
        <x:v>1127</x:v>
      </x:c>
      <x:c r="B1128" s="34" t="str">
        <x:v>article1-unified-v4-2-fb3f101b-20260903-000401-default-f06-p3-jcs321</x:v>
      </x:c>
      <x:c r="C1128" s="34" t="str">
        <x:v>default</x:v>
      </x:c>
      <x:c r="D1128" s="34" t="str">
        <x:v>jcs321</x:v>
      </x:c>
      <x:c r="E1128" s="36" t="n">
        <x:v>6</x:v>
      </x:c>
      <x:c r="F1128" s="36" t="n">
        <x:v>6</x:v>
      </x:c>
      <x:c r="G1128" s="36" t="n">
        <x:v>4</x:v>
      </x:c>
      <x:c r="H1128" s="34" t="str">
        <x:v>cycle-observation</x:v>
      </x:c>
      <x:c r="I1128" s="36" t="n">
        <x:v>2</x:v>
      </x:c>
      <x:c r="J1128" s="34" t="str">
        <x:v>tomcat-findleaks-occurrence</x:v>
      </x:c>
      <x:c r="K1128" s="34" t="str">
        <x:v>afterFinalUndeploy.tomcatFindLeaksOccurrences</x:v>
      </x:c>
      <x:c r="L1128" s="36" t="n">
        <x:v>2</x:v>
      </x:c>
      <x:c r="M1128" s="34" t="str">
        <x:v>/jcs321</x:v>
      </x:c>
      <x:c r="N1128" s="44" t="str">
        <x:v>/jcs321</x:v>
      </x:c>
    </x:row>
    <x:row r="1129">
      <x:c r="A1129" s="36" t="n">
        <x:v>1128</x:v>
      </x:c>
      <x:c r="B1129" s="34" t="str">
        <x:v>article1-unified-v4-2-fb3f101b-20260903-000401-default-f06-p3-jcs321</x:v>
      </x:c>
      <x:c r="C1129" s="34" t="str">
        <x:v>default</x:v>
      </x:c>
      <x:c r="D1129" s="34" t="str">
        <x:v>jcs321</x:v>
      </x:c>
      <x:c r="E1129" s="36" t="n">
        <x:v>6</x:v>
      </x:c>
      <x:c r="F1129" s="36" t="n">
        <x:v>6</x:v>
      </x:c>
      <x:c r="G1129" s="36" t="n">
        <x:v>4</x:v>
      </x:c>
      <x:c r="H1129" s="34" t="str">
        <x:v>cycle-observation</x:v>
      </x:c>
      <x:c r="I1129" s="36" t="n">
        <x:v>2</x:v>
      </x:c>
      <x:c r="J1129" s="34" t="str">
        <x:v>tomcat-findleaks-occurrence</x:v>
      </x:c>
      <x:c r="K1129" s="34" t="str">
        <x:v>afterFinalUndeploy.tomcatFindLeaksOccurrences</x:v>
      </x:c>
      <x:c r="L1129" s="36" t="n">
        <x:v>3</x:v>
      </x:c>
      <x:c r="M1129" s="34" t="str">
        <x:v>/jcs321</x:v>
      </x:c>
      <x:c r="N1129" s="44" t="str">
        <x:v>/jcs321</x:v>
      </x:c>
    </x:row>
    <x:row r="1130">
      <x:c r="A1130" s="36" t="n">
        <x:v>1129</x:v>
      </x:c>
      <x:c r="B1130" s="34" t="str">
        <x:v>article1-unified-v4-2-fb3f101b-20260903-000401-default-f06-p3-jcs321</x:v>
      </x:c>
      <x:c r="C1130" s="34" t="str">
        <x:v>default</x:v>
      </x:c>
      <x:c r="D1130" s="34" t="str">
        <x:v>jcs321</x:v>
      </x:c>
      <x:c r="E1130" s="36" t="n">
        <x:v>6</x:v>
      </x:c>
      <x:c r="F1130" s="36" t="n">
        <x:v>6</x:v>
      </x:c>
      <x:c r="G1130" s="36" t="n">
        <x:v>4</x:v>
      </x:c>
      <x:c r="H1130" s="34" t="str">
        <x:v>cycle-observation</x:v>
      </x:c>
      <x:c r="I1130" s="36" t="n">
        <x:v>2</x:v>
      </x:c>
      <x:c r="J1130" s="34" t="str">
        <x:v>tomcat-findleaks-occurrence</x:v>
      </x:c>
      <x:c r="K1130" s="34" t="str">
        <x:v>afterFinalUndeploy.tomcatFindLeaksOccurrences</x:v>
      </x:c>
      <x:c r="L1130" s="36" t="n">
        <x:v>4</x:v>
      </x:c>
      <x:c r="M1130" s="34" t="str">
        <x:v>/jcs321</x:v>
      </x:c>
      <x:c r="N1130" s="44" t="str">
        <x:v>/jcs321</x:v>
      </x:c>
    </x:row>
    <x:row r="1131">
      <x:c r="A1131" s="36" t="n">
        <x:v>1130</x:v>
      </x:c>
      <x:c r="B1131" s="34" t="str">
        <x:v>article1-unified-v4-2-fb3f101b-20260903-000401-default-f06-p3-jcs321</x:v>
      </x:c>
      <x:c r="C1131" s="34" t="str">
        <x:v>default</x:v>
      </x:c>
      <x:c r="D1131" s="34" t="str">
        <x:v>jcs321</x:v>
      </x:c>
      <x:c r="E1131" s="36" t="n">
        <x:v>6</x:v>
      </x:c>
      <x:c r="F1131" s="36" t="n">
        <x:v>6</x:v>
      </x:c>
      <x:c r="G1131" s="36" t="n">
        <x:v>4</x:v>
      </x:c>
      <x:c r="H1131" s="34" t="str">
        <x:v>cycle-observation</x:v>
      </x:c>
      <x:c r="I1131" s="36" t="n">
        <x:v>2</x:v>
      </x:c>
      <x:c r="J1131" s="34" t="str">
        <x:v>tomcat-findleaks-occurrence</x:v>
      </x:c>
      <x:c r="K1131" s="34" t="str">
        <x:v>afterFinalUndeploy.tomcatFindLeaksOccurrences</x:v>
      </x:c>
      <x:c r="L1131" s="36" t="n">
        <x:v>5</x:v>
      </x:c>
      <x:c r="M1131" s="34" t="str">
        <x:v>/jcs321</x:v>
      </x:c>
      <x:c r="N1131" s="44" t="str">
        <x:v>/jcs321</x:v>
      </x:c>
    </x:row>
    <x:row r="1132">
      <x:c r="A1132" s="36" t="n">
        <x:v>1131</x:v>
      </x:c>
      <x:c r="B1132" s="34" t="str">
        <x:v>article1-unified-v4-2-fb3f101b-20260903-000401-default-f06-p3-jcs321</x:v>
      </x:c>
      <x:c r="C1132" s="34" t="str">
        <x:v>default</x:v>
      </x:c>
      <x:c r="D1132" s="34" t="str">
        <x:v>jcs321</x:v>
      </x:c>
      <x:c r="E1132" s="36" t="n">
        <x:v>6</x:v>
      </x:c>
      <x:c r="F1132" s="36" t="n">
        <x:v>6</x:v>
      </x:c>
      <x:c r="G1132" s="36" t="n">
        <x:v>4</x:v>
      </x:c>
      <x:c r="H1132" s="34" t="str">
        <x:v>cycle-observation</x:v>
      </x:c>
      <x:c r="I1132" s="36" t="n">
        <x:v>2</x:v>
      </x:c>
      <x:c r="J1132" s="34" t="str">
        <x:v>tomcat-findleaks-occurrence</x:v>
      </x:c>
      <x:c r="K1132" s="34" t="str">
        <x:v>afterFinalUndeploy.tomcatFindLeaksOccurrences</x:v>
      </x:c>
      <x:c r="L1132" s="36" t="n">
        <x:v>6</x:v>
      </x:c>
      <x:c r="M1132" s="34" t="str">
        <x:v>/jcs321</x:v>
      </x:c>
      <x:c r="N1132" s="44" t="str">
        <x:v>/jcs321</x:v>
      </x:c>
    </x:row>
    <x:row r="1133">
      <x:c r="A1133" s="36" t="n">
        <x:v>1132</x:v>
      </x:c>
      <x:c r="B1133" s="34" t="str">
        <x:v>article1-unified-v4-2-fb3f101b-20260903-000401-default-f06-p3-jcs321</x:v>
      </x:c>
      <x:c r="C1133" s="34" t="str">
        <x:v>default</x:v>
      </x:c>
      <x:c r="D1133" s="34" t="str">
        <x:v>jcs321</x:v>
      </x:c>
      <x:c r="E1133" s="36" t="n">
        <x:v>6</x:v>
      </x:c>
      <x:c r="F1133" s="36" t="n">
        <x:v>6</x:v>
      </x:c>
      <x:c r="G1133" s="36" t="n">
        <x:v>4</x:v>
      </x:c>
      <x:c r="H1133" s="34" t="str">
        <x:v>cycle-observation</x:v>
      </x:c>
      <x:c r="I1133" s="36" t="n">
        <x:v>2</x:v>
      </x:c>
      <x:c r="J1133" s="34" t="str">
        <x:v>tomcat-findleaks-occurrence</x:v>
      </x:c>
      <x:c r="K1133" s="34" t="str">
        <x:v>afterFinalUndeploy.tomcatFindLeaksOccurrences</x:v>
      </x:c>
      <x:c r="L1133" s="36" t="n">
        <x:v>7</x:v>
      </x:c>
      <x:c r="M1133" s="34" t="str">
        <x:v>/jcs321</x:v>
      </x:c>
      <x:c r="N1133" s="44" t="str">
        <x:v>/jcs321</x:v>
      </x:c>
    </x:row>
    <x:row r="1134">
      <x:c r="A1134" s="36" t="n">
        <x:v>1133</x:v>
      </x:c>
      <x:c r="B1134" s="34" t="str">
        <x:v>article1-unified-v4-2-fb3f101b-20260903-000401-default-f06-p3-jcs321</x:v>
      </x:c>
      <x:c r="C1134" s="34" t="str">
        <x:v>default</x:v>
      </x:c>
      <x:c r="D1134" s="34" t="str">
        <x:v>jcs321</x:v>
      </x:c>
      <x:c r="E1134" s="36" t="n">
        <x:v>6</x:v>
      </x:c>
      <x:c r="F1134" s="36" t="n">
        <x:v>6</x:v>
      </x:c>
      <x:c r="G1134" s="36" t="n">
        <x:v>4</x:v>
      </x:c>
      <x:c r="H1134" s="34" t="str">
        <x:v>cycle-observation</x:v>
      </x:c>
      <x:c r="I1134" s="36" t="n">
        <x:v>2</x:v>
      </x:c>
      <x:c r="J1134" s="34" t="str">
        <x:v>tomcat-findleaks-occurrence</x:v>
      </x:c>
      <x:c r="K1134" s="34" t="str">
        <x:v>afterFinalUndeploy.tomcatFindLeaksOccurrences</x:v>
      </x:c>
      <x:c r="L1134" s="36" t="n">
        <x:v>8</x:v>
      </x:c>
      <x:c r="M1134" s="34" t="str">
        <x:v>/jcs321</x:v>
      </x:c>
      <x:c r="N1134" s="44" t="str">
        <x:v>/jcs321</x:v>
      </x:c>
    </x:row>
    <x:row r="1135">
      <x:c r="A1135" s="36" t="n">
        <x:v>1134</x:v>
      </x:c>
      <x:c r="B1135" s="34" t="str">
        <x:v>article1-unified-v4-2-fb3f101b-20260903-000401-default-f06-p3-jcs321</x:v>
      </x:c>
      <x:c r="C1135" s="34" t="str">
        <x:v>default</x:v>
      </x:c>
      <x:c r="D1135" s="34" t="str">
        <x:v>jcs321</x:v>
      </x:c>
      <x:c r="E1135" s="36" t="n">
        <x:v>6</x:v>
      </x:c>
      <x:c r="F1135" s="36" t="n">
        <x:v>6</x:v>
      </x:c>
      <x:c r="G1135" s="36" t="n">
        <x:v>5</x:v>
      </x:c>
      <x:c r="H1135" s="34" t="str">
        <x:v>cycle-window</x:v>
      </x:c>
      <x:c r="I1135" s="36" t="n">
        <x:v>1</x:v>
      </x:c>
      <x:c r="J1135" s="34" t="str">
        <x:v>warning</x:v>
      </x:c>
      <x:c r="K1135" s="34" t="str">
        <x:v>firstUndeployWarnings</x:v>
      </x:c>
      <x:c r="L1135" s="36" t="n">
        <x:v>1</x:v>
      </x:c>
      <x:c r="M1135" s="34"/>
      <x:c r="N1135" s="44" t="str">
        <x:v>03-Sep-2026 02:34:50.939 WARNING [http-nio-8080-exec-32]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136">
      <x:c r="A1136" s="36" t="n">
        <x:v>1135</x:v>
      </x:c>
      <x:c r="B1136" s="34" t="str">
        <x:v>article1-unified-v4-2-fb3f101b-20260903-000401-default-f06-p3-jcs321</x:v>
      </x:c>
      <x:c r="C1136" s="34" t="str">
        <x:v>default</x:v>
      </x:c>
      <x:c r="D1136" s="34" t="str">
        <x:v>jcs321</x:v>
      </x:c>
      <x:c r="E1136" s="36" t="n">
        <x:v>6</x:v>
      </x:c>
      <x:c r="F1136" s="36" t="n">
        <x:v>6</x:v>
      </x:c>
      <x:c r="G1136" s="36" t="n">
        <x:v>5</x:v>
      </x:c>
      <x:c r="H1136" s="34" t="str">
        <x:v>cycle-window</x:v>
      </x:c>
      <x:c r="I1136" s="36" t="n">
        <x:v>1</x:v>
      </x:c>
      <x:c r="J1136" s="34" t="str">
        <x:v>leak-warning</x:v>
      </x:c>
      <x:c r="K1136" s="34" t="str">
        <x:v>firstUndeployLeakWarnings</x:v>
      </x:c>
      <x:c r="L1136" s="36" t="n">
        <x:v>1</x:v>
      </x:c>
      <x:c r="M1136" s="34"/>
      <x:c r="N1136" s="44" t="str">
        <x:v>03-Sep-2026 02:34:50.939 WARNING [http-nio-8080-exec-32]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137">
      <x:c r="A1137" s="36" t="n">
        <x:v>1136</x:v>
      </x:c>
      <x:c r="B1137" s="34" t="str">
        <x:v>article1-unified-v4-2-fb3f101b-20260903-000401-default-f06-p3-jcs321</x:v>
      </x:c>
      <x:c r="C1137" s="34" t="str">
        <x:v>default</x:v>
      </x:c>
      <x:c r="D1137" s="34" t="str">
        <x:v>jcs321</x:v>
      </x:c>
      <x:c r="E1137" s="36" t="n">
        <x:v>6</x:v>
      </x:c>
      <x:c r="F1137" s="36" t="n">
        <x:v>6</x:v>
      </x:c>
      <x:c r="G1137" s="36" t="n">
        <x:v>5</x:v>
      </x:c>
      <x:c r="H1137" s="34" t="str">
        <x:v>cycle-window</x:v>
      </x:c>
      <x:c r="I1137" s="36" t="n">
        <x:v>1</x:v>
      </x:c>
      <x:c r="J1137" s="34" t="str">
        <x:v>thread-leak-warning</x:v>
      </x:c>
      <x:c r="K1137" s="34" t="str">
        <x:v>firstUndeployThreadLeakWarnings</x:v>
      </x:c>
      <x:c r="L1137" s="36" t="n">
        <x:v>1</x:v>
      </x:c>
      <x:c r="M1137" s="34"/>
      <x:c r="N1137" s="44" t="str">
        <x:v>03-Sep-2026 02:34:50.939 WARNING [http-nio-8080-exec-32] org.apache.catalina.loader.WebappClassLoaderBase.clearReferencesThreads The web application [jcs321] appears to have started a thread named [JCS-ElementEventQueue-Thread-28] but has failed to stop it. This is very likely to create a memory leak. Stack trace of thread:</x:v>
      </x:c>
    </x:row>
    <x:row r="1138">
      <x:c r="A1138" s="36" t="n">
        <x:v>1137</x:v>
      </x:c>
      <x:c r="B1138" s="34" t="str">
        <x:v>article1-unified-v4-2-fb3f101b-20260903-000401-default-f06-p3-jcs321</x:v>
      </x:c>
      <x:c r="C1138" s="34" t="str">
        <x:v>default</x:v>
      </x:c>
      <x:c r="D1138" s="34" t="str">
        <x:v>jcs321</x:v>
      </x:c>
      <x:c r="E1138" s="36" t="n">
        <x:v>6</x:v>
      </x:c>
      <x:c r="F1138" s="36" t="n">
        <x:v>6</x:v>
      </x:c>
      <x:c r="G1138" s="36" t="n">
        <x:v>5</x:v>
      </x:c>
      <x:c r="H1138" s="34" t="str">
        <x:v>cycle-window</x:v>
      </x:c>
      <x:c r="I1138" s="36" t="n">
        <x:v>2</x:v>
      </x:c>
      <x:c r="J1138" s="34" t="str">
        <x:v>warning</x:v>
      </x:c>
      <x:c r="K1138" s="34" t="str">
        <x:v>secondUndeployWarnings</x:v>
      </x:c>
      <x:c r="L1138" s="36" t="n">
        <x:v>1</x:v>
      </x:c>
      <x:c r="M1138" s="34"/>
      <x:c r="N1138" s="44" t="str">
        <x:v>03-Sep-2026 02:35:33.469 WARNING [http-nio-8080-exec-59]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139">
      <x:c r="A1139" s="36" t="n">
        <x:v>1138</x:v>
      </x:c>
      <x:c r="B1139" s="34" t="str">
        <x:v>article1-unified-v4-2-fb3f101b-20260903-000401-default-f06-p3-jcs321</x:v>
      </x:c>
      <x:c r="C1139" s="34" t="str">
        <x:v>default</x:v>
      </x:c>
      <x:c r="D1139" s="34" t="str">
        <x:v>jcs321</x:v>
      </x:c>
      <x:c r="E1139" s="36" t="n">
        <x:v>6</x:v>
      </x:c>
      <x:c r="F1139" s="36" t="n">
        <x:v>6</x:v>
      </x:c>
      <x:c r="G1139" s="36" t="n">
        <x:v>5</x:v>
      </x:c>
      <x:c r="H1139" s="34" t="str">
        <x:v>cycle-window</x:v>
      </x:c>
      <x:c r="I1139" s="36" t="n">
        <x:v>2</x:v>
      </x:c>
      <x:c r="J1139" s="34" t="str">
        <x:v>leak-warning</x:v>
      </x:c>
      <x:c r="K1139" s="34" t="str">
        <x:v>secondUndeployLeakWarnings</x:v>
      </x:c>
      <x:c r="L1139" s="36" t="n">
        <x:v>1</x:v>
      </x:c>
      <x:c r="M1139" s="34"/>
      <x:c r="N1139" s="44" t="str">
        <x:v>03-Sep-2026 02:35:33.469 WARNING [http-nio-8080-exec-59]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140">
      <x:c r="A1140" s="36" t="n">
        <x:v>1139</x:v>
      </x:c>
      <x:c r="B1140" s="34" t="str">
        <x:v>article1-unified-v4-2-fb3f101b-20260903-000401-default-f06-p3-jcs321</x:v>
      </x:c>
      <x:c r="C1140" s="34" t="str">
        <x:v>default</x:v>
      </x:c>
      <x:c r="D1140" s="34" t="str">
        <x:v>jcs321</x:v>
      </x:c>
      <x:c r="E1140" s="36" t="n">
        <x:v>6</x:v>
      </x:c>
      <x:c r="F1140" s="36" t="n">
        <x:v>6</x:v>
      </x:c>
      <x:c r="G1140" s="36" t="n">
        <x:v>5</x:v>
      </x:c>
      <x:c r="H1140" s="34" t="str">
        <x:v>cycle-window</x:v>
      </x:c>
      <x:c r="I1140" s="36" t="n">
        <x:v>2</x:v>
      </x:c>
      <x:c r="J1140" s="34" t="str">
        <x:v>thread-leak-warning</x:v>
      </x:c>
      <x:c r="K1140" s="34" t="str">
        <x:v>secondUndeployThreadLeakWarnings</x:v>
      </x:c>
      <x:c r="L1140" s="36" t="n">
        <x:v>1</x:v>
      </x:c>
      <x:c r="M1140" s="34"/>
      <x:c r="N1140" s="44" t="str">
        <x:v>03-Sep-2026 02:35:33.469 WARNING [http-nio-8080-exec-59] org.apache.catalina.loader.WebappClassLoaderBase.clearReferencesThreads The web application [jcs321] appears to have started a thread named [JCS-ElementEventQueue-Thread-31] but has failed to stop it. This is very likely to create a memory leak. Stack trace of thread:</x:v>
      </x:c>
    </x:row>
    <x:row r="1141">
      <x:c r="A1141" s="36" t="n">
        <x:v>1140</x:v>
      </x:c>
      <x:c r="B1141" s="34" t="str">
        <x:v>article1-unified-v4-2-fb3f101b-20260903-000401-default-f06-p3-jcs321</x:v>
      </x:c>
      <x:c r="C1141" s="34" t="str">
        <x:v>default</x:v>
      </x:c>
      <x:c r="D1141" s="34" t="str">
        <x:v>jcs321</x:v>
      </x:c>
      <x:c r="E1141" s="36" t="n">
        <x:v>6</x:v>
      </x:c>
      <x:c r="F1141" s="36" t="n">
        <x:v>6</x:v>
      </x:c>
      <x:c r="G1141" s="36" t="n">
        <x:v>5</x:v>
      </x:c>
      <x:c r="H1141" s="34" t="str">
        <x:v>cycle-observation</x:v>
      </x:c>
      <x:c r="I1141" s="36" t="n">
        <x:v>1</x:v>
      </x:c>
      <x:c r="J1141" s="34" t="str">
        <x:v>tomcat-findleaks-occurrence</x:v>
      </x:c>
      <x:c r="K1141" s="34" t="str">
        <x:v>afterUndeploy.tomcatFindLeaksOccurrences</x:v>
      </x:c>
      <x:c r="L1141" s="36" t="n">
        <x:v>1</x:v>
      </x:c>
      <x:c r="M1141" s="34" t="str">
        <x:v>/jcs321</x:v>
      </x:c>
      <x:c r="N1141" s="44" t="str">
        <x:v>/jcs321</x:v>
      </x:c>
    </x:row>
    <x:row r="1142">
      <x:c r="A1142" s="36" t="n">
        <x:v>1141</x:v>
      </x:c>
      <x:c r="B1142" s="34" t="str">
        <x:v>article1-unified-v4-2-fb3f101b-20260903-000401-default-f06-p3-jcs321</x:v>
      </x:c>
      <x:c r="C1142" s="34" t="str">
        <x:v>default</x:v>
      </x:c>
      <x:c r="D1142" s="34" t="str">
        <x:v>jcs321</x:v>
      </x:c>
      <x:c r="E1142" s="36" t="n">
        <x:v>6</x:v>
      </x:c>
      <x:c r="F1142" s="36" t="n">
        <x:v>6</x:v>
      </x:c>
      <x:c r="G1142" s="36" t="n">
        <x:v>5</x:v>
      </x:c>
      <x:c r="H1142" s="34" t="str">
        <x:v>cycle-observation</x:v>
      </x:c>
      <x:c r="I1142" s="36" t="n">
        <x:v>1</x:v>
      </x:c>
      <x:c r="J1142" s="34" t="str">
        <x:v>tomcat-findleaks-occurrence</x:v>
      </x:c>
      <x:c r="K1142" s="34" t="str">
        <x:v>afterUndeploy.tomcatFindLeaksOccurrences</x:v>
      </x:c>
      <x:c r="L1142" s="36" t="n">
        <x:v>2</x:v>
      </x:c>
      <x:c r="M1142" s="34" t="str">
        <x:v>/jcs321</x:v>
      </x:c>
      <x:c r="N1142" s="44" t="str">
        <x:v>/jcs321</x:v>
      </x:c>
    </x:row>
    <x:row r="1143">
      <x:c r="A1143" s="36" t="n">
        <x:v>1142</x:v>
      </x:c>
      <x:c r="B1143" s="34" t="str">
        <x:v>article1-unified-v4-2-fb3f101b-20260903-000401-default-f06-p3-jcs321</x:v>
      </x:c>
      <x:c r="C1143" s="34" t="str">
        <x:v>default</x:v>
      </x:c>
      <x:c r="D1143" s="34" t="str">
        <x:v>jcs321</x:v>
      </x:c>
      <x:c r="E1143" s="36" t="n">
        <x:v>6</x:v>
      </x:c>
      <x:c r="F1143" s="36" t="n">
        <x:v>6</x:v>
      </x:c>
      <x:c r="G1143" s="36" t="n">
        <x:v>5</x:v>
      </x:c>
      <x:c r="H1143" s="34" t="str">
        <x:v>cycle-observation</x:v>
      </x:c>
      <x:c r="I1143" s="36" t="n">
        <x:v>1</x:v>
      </x:c>
      <x:c r="J1143" s="34" t="str">
        <x:v>tomcat-findleaks-occurrence</x:v>
      </x:c>
      <x:c r="K1143" s="34" t="str">
        <x:v>afterUndeploy.tomcatFindLeaksOccurrences</x:v>
      </x:c>
      <x:c r="L1143" s="36" t="n">
        <x:v>3</x:v>
      </x:c>
      <x:c r="M1143" s="34" t="str">
        <x:v>/jcs321</x:v>
      </x:c>
      <x:c r="N1143" s="44" t="str">
        <x:v>/jcs321</x:v>
      </x:c>
    </x:row>
    <x:row r="1144">
      <x:c r="A1144" s="36" t="n">
        <x:v>1143</x:v>
      </x:c>
      <x:c r="B1144" s="34" t="str">
        <x:v>article1-unified-v4-2-fb3f101b-20260903-000401-default-f06-p3-jcs321</x:v>
      </x:c>
      <x:c r="C1144" s="34" t="str">
        <x:v>default</x:v>
      </x:c>
      <x:c r="D1144" s="34" t="str">
        <x:v>jcs321</x:v>
      </x:c>
      <x:c r="E1144" s="36" t="n">
        <x:v>6</x:v>
      </x:c>
      <x:c r="F1144" s="36" t="n">
        <x:v>6</x:v>
      </x:c>
      <x:c r="G1144" s="36" t="n">
        <x:v>5</x:v>
      </x:c>
      <x:c r="H1144" s="34" t="str">
        <x:v>cycle-observation</x:v>
      </x:c>
      <x:c r="I1144" s="36" t="n">
        <x:v>1</x:v>
      </x:c>
      <x:c r="J1144" s="34" t="str">
        <x:v>tomcat-findleaks-occurrence</x:v>
      </x:c>
      <x:c r="K1144" s="34" t="str">
        <x:v>afterUndeploy.tomcatFindLeaksOccurrences</x:v>
      </x:c>
      <x:c r="L1144" s="36" t="n">
        <x:v>4</x:v>
      </x:c>
      <x:c r="M1144" s="34" t="str">
        <x:v>/jcs321</x:v>
      </x:c>
      <x:c r="N1144" s="44" t="str">
        <x:v>/jcs321</x:v>
      </x:c>
    </x:row>
    <x:row r="1145">
      <x:c r="A1145" s="36" t="n">
        <x:v>1144</x:v>
      </x:c>
      <x:c r="B1145" s="34" t="str">
        <x:v>article1-unified-v4-2-fb3f101b-20260903-000401-default-f06-p3-jcs321</x:v>
      </x:c>
      <x:c r="C1145" s="34" t="str">
        <x:v>default</x:v>
      </x:c>
      <x:c r="D1145" s="34" t="str">
        <x:v>jcs321</x:v>
      </x:c>
      <x:c r="E1145" s="36" t="n">
        <x:v>6</x:v>
      </x:c>
      <x:c r="F1145" s="36" t="n">
        <x:v>6</x:v>
      </x:c>
      <x:c r="G1145" s="36" t="n">
        <x:v>5</x:v>
      </x:c>
      <x:c r="H1145" s="34" t="str">
        <x:v>cycle-observation</x:v>
      </x:c>
      <x:c r="I1145" s="36" t="n">
        <x:v>1</x:v>
      </x:c>
      <x:c r="J1145" s="34" t="str">
        <x:v>tomcat-findleaks-occurrence</x:v>
      </x:c>
      <x:c r="K1145" s="34" t="str">
        <x:v>afterUndeploy.tomcatFindLeaksOccurrences</x:v>
      </x:c>
      <x:c r="L1145" s="36" t="n">
        <x:v>5</x:v>
      </x:c>
      <x:c r="M1145" s="34" t="str">
        <x:v>/jcs321</x:v>
      </x:c>
      <x:c r="N1145" s="44" t="str">
        <x:v>/jcs321</x:v>
      </x:c>
    </x:row>
    <x:row r="1146">
      <x:c r="A1146" s="36" t="n">
        <x:v>1145</x:v>
      </x:c>
      <x:c r="B1146" s="34" t="str">
        <x:v>article1-unified-v4-2-fb3f101b-20260903-000401-default-f06-p3-jcs321</x:v>
      </x:c>
      <x:c r="C1146" s="34" t="str">
        <x:v>default</x:v>
      </x:c>
      <x:c r="D1146" s="34" t="str">
        <x:v>jcs321</x:v>
      </x:c>
      <x:c r="E1146" s="36" t="n">
        <x:v>6</x:v>
      </x:c>
      <x:c r="F1146" s="36" t="n">
        <x:v>6</x:v>
      </x:c>
      <x:c r="G1146" s="36" t="n">
        <x:v>5</x:v>
      </x:c>
      <x:c r="H1146" s="34" t="str">
        <x:v>cycle-observation</x:v>
      </x:c>
      <x:c r="I1146" s="36" t="n">
        <x:v>1</x:v>
      </x:c>
      <x:c r="J1146" s="34" t="str">
        <x:v>tomcat-findleaks-occurrence</x:v>
      </x:c>
      <x:c r="K1146" s="34" t="str">
        <x:v>afterUndeploy.tomcatFindLeaksOccurrences</x:v>
      </x:c>
      <x:c r="L1146" s="36" t="n">
        <x:v>6</x:v>
      </x:c>
      <x:c r="M1146" s="34" t="str">
        <x:v>/jcs321</x:v>
      </x:c>
      <x:c r="N1146" s="44" t="str">
        <x:v>/jcs321</x:v>
      </x:c>
    </x:row>
    <x:row r="1147">
      <x:c r="A1147" s="36" t="n">
        <x:v>1146</x:v>
      </x:c>
      <x:c r="B1147" s="34" t="str">
        <x:v>article1-unified-v4-2-fb3f101b-20260903-000401-default-f06-p3-jcs321</x:v>
      </x:c>
      <x:c r="C1147" s="34" t="str">
        <x:v>default</x:v>
      </x:c>
      <x:c r="D1147" s="34" t="str">
        <x:v>jcs321</x:v>
      </x:c>
      <x:c r="E1147" s="36" t="n">
        <x:v>6</x:v>
      </x:c>
      <x:c r="F1147" s="36" t="n">
        <x:v>6</x:v>
      </x:c>
      <x:c r="G1147" s="36" t="n">
        <x:v>5</x:v>
      </x:c>
      <x:c r="H1147" s="34" t="str">
        <x:v>cycle-observation</x:v>
      </x:c>
      <x:c r="I1147" s="36" t="n">
        <x:v>1</x:v>
      </x:c>
      <x:c r="J1147" s="34" t="str">
        <x:v>tomcat-findleaks-occurrence</x:v>
      </x:c>
      <x:c r="K1147" s="34" t="str">
        <x:v>afterUndeploy.tomcatFindLeaksOccurrences</x:v>
      </x:c>
      <x:c r="L1147" s="36" t="n">
        <x:v>7</x:v>
      </x:c>
      <x:c r="M1147" s="34" t="str">
        <x:v>/jcs321</x:v>
      </x:c>
      <x:c r="N1147" s="44" t="str">
        <x:v>/jcs321</x:v>
      </x:c>
    </x:row>
    <x:row r="1148">
      <x:c r="A1148" s="36" t="n">
        <x:v>1147</x:v>
      </x:c>
      <x:c r="B1148" s="34" t="str">
        <x:v>article1-unified-v4-2-fb3f101b-20260903-000401-default-f06-p3-jcs321</x:v>
      </x:c>
      <x:c r="C1148" s="34" t="str">
        <x:v>default</x:v>
      </x:c>
      <x:c r="D1148" s="34" t="str">
        <x:v>jcs321</x:v>
      </x:c>
      <x:c r="E1148" s="36" t="n">
        <x:v>6</x:v>
      </x:c>
      <x:c r="F1148" s="36" t="n">
        <x:v>6</x:v>
      </x:c>
      <x:c r="G1148" s="36" t="n">
        <x:v>5</x:v>
      </x:c>
      <x:c r="H1148" s="34" t="str">
        <x:v>cycle-observation</x:v>
      </x:c>
      <x:c r="I1148" s="36" t="n">
        <x:v>1</x:v>
      </x:c>
      <x:c r="J1148" s="34" t="str">
        <x:v>tomcat-findleaks-occurrence</x:v>
      </x:c>
      <x:c r="K1148" s="34" t="str">
        <x:v>afterUndeploy.tomcatFindLeaksOccurrences</x:v>
      </x:c>
      <x:c r="L1148" s="36" t="n">
        <x:v>8</x:v>
      </x:c>
      <x:c r="M1148" s="34" t="str">
        <x:v>/jcs321</x:v>
      </x:c>
      <x:c r="N1148" s="44" t="str">
        <x:v>/jcs321</x:v>
      </x:c>
    </x:row>
    <x:row r="1149">
      <x:c r="A1149" s="36" t="n">
        <x:v>1148</x:v>
      </x:c>
      <x:c r="B1149" s="34" t="str">
        <x:v>article1-unified-v4-2-fb3f101b-20260903-000401-default-f06-p3-jcs321</x:v>
      </x:c>
      <x:c r="C1149" s="34" t="str">
        <x:v>default</x:v>
      </x:c>
      <x:c r="D1149" s="34" t="str">
        <x:v>jcs321</x:v>
      </x:c>
      <x:c r="E1149" s="36" t="n">
        <x:v>6</x:v>
      </x:c>
      <x:c r="F1149" s="36" t="n">
        <x:v>6</x:v>
      </x:c>
      <x:c r="G1149" s="36" t="n">
        <x:v>5</x:v>
      </x:c>
      <x:c r="H1149" s="34" t="str">
        <x:v>cycle-observation</x:v>
      </x:c>
      <x:c r="I1149" s="36" t="n">
        <x:v>1</x:v>
      </x:c>
      <x:c r="J1149" s="34" t="str">
        <x:v>tomcat-findleaks-occurrence</x:v>
      </x:c>
      <x:c r="K1149" s="34" t="str">
        <x:v>afterUndeploy.tomcatFindLeaksOccurrences</x:v>
      </x:c>
      <x:c r="L1149" s="36" t="n">
        <x:v>9</x:v>
      </x:c>
      <x:c r="M1149" s="34" t="str">
        <x:v>/jcs321</x:v>
      </x:c>
      <x:c r="N1149" s="44" t="str">
        <x:v>/jcs321</x:v>
      </x:c>
    </x:row>
    <x:row r="1150">
      <x:c r="A1150" s="36" t="n">
        <x:v>1149</x:v>
      </x:c>
      <x:c r="B1150" s="34" t="str">
        <x:v>article1-unified-v4-2-fb3f101b-20260903-000401-default-f06-p3-jcs321</x:v>
      </x:c>
      <x:c r="C1150" s="34" t="str">
        <x:v>default</x:v>
      </x:c>
      <x:c r="D1150" s="34" t="str">
        <x:v>jcs321</x:v>
      </x:c>
      <x:c r="E1150" s="36" t="n">
        <x:v>6</x:v>
      </x:c>
      <x:c r="F1150" s="36" t="n">
        <x:v>6</x:v>
      </x:c>
      <x:c r="G1150" s="36" t="n">
        <x:v>5</x:v>
      </x:c>
      <x:c r="H1150" s="34" t="str">
        <x:v>cycle-observation</x:v>
      </x:c>
      <x:c r="I1150" s="36" t="n">
        <x:v>2</x:v>
      </x:c>
      <x:c r="J1150" s="34" t="str">
        <x:v>tomcat-findleaks-occurrence</x:v>
      </x:c>
      <x:c r="K1150" s="34" t="str">
        <x:v>afterFinalUndeploy.tomcatFindLeaksOccurrences</x:v>
      </x:c>
      <x:c r="L1150" s="36" t="n">
        <x:v>1</x:v>
      </x:c>
      <x:c r="M1150" s="34" t="str">
        <x:v>/jcs321</x:v>
      </x:c>
      <x:c r="N1150" s="44" t="str">
        <x:v>/jcs321</x:v>
      </x:c>
    </x:row>
    <x:row r="1151">
      <x:c r="A1151" s="36" t="n">
        <x:v>1150</x:v>
      </x:c>
      <x:c r="B1151" s="34" t="str">
        <x:v>article1-unified-v4-2-fb3f101b-20260903-000401-default-f06-p3-jcs321</x:v>
      </x:c>
      <x:c r="C1151" s="34" t="str">
        <x:v>default</x:v>
      </x:c>
      <x:c r="D1151" s="34" t="str">
        <x:v>jcs321</x:v>
      </x:c>
      <x:c r="E1151" s="36" t="n">
        <x:v>6</x:v>
      </x:c>
      <x:c r="F1151" s="36" t="n">
        <x:v>6</x:v>
      </x:c>
      <x:c r="G1151" s="36" t="n">
        <x:v>5</x:v>
      </x:c>
      <x:c r="H1151" s="34" t="str">
        <x:v>cycle-observation</x:v>
      </x:c>
      <x:c r="I1151" s="36" t="n">
        <x:v>2</x:v>
      </x:c>
      <x:c r="J1151" s="34" t="str">
        <x:v>tomcat-findleaks-occurrence</x:v>
      </x:c>
      <x:c r="K1151" s="34" t="str">
        <x:v>afterFinalUndeploy.tomcatFindLeaksOccurrences</x:v>
      </x:c>
      <x:c r="L1151" s="36" t="n">
        <x:v>2</x:v>
      </x:c>
      <x:c r="M1151" s="34" t="str">
        <x:v>/jcs321</x:v>
      </x:c>
      <x:c r="N1151" s="44" t="str">
        <x:v>/jcs321</x:v>
      </x:c>
    </x:row>
    <x:row r="1152">
      <x:c r="A1152" s="36" t="n">
        <x:v>1151</x:v>
      </x:c>
      <x:c r="B1152" s="34" t="str">
        <x:v>article1-unified-v4-2-fb3f101b-20260903-000401-default-f06-p3-jcs321</x:v>
      </x:c>
      <x:c r="C1152" s="34" t="str">
        <x:v>default</x:v>
      </x:c>
      <x:c r="D1152" s="34" t="str">
        <x:v>jcs321</x:v>
      </x:c>
      <x:c r="E1152" s="36" t="n">
        <x:v>6</x:v>
      </x:c>
      <x:c r="F1152" s="36" t="n">
        <x:v>6</x:v>
      </x:c>
      <x:c r="G1152" s="36" t="n">
        <x:v>5</x:v>
      </x:c>
      <x:c r="H1152" s="34" t="str">
        <x:v>cycle-observation</x:v>
      </x:c>
      <x:c r="I1152" s="36" t="n">
        <x:v>2</x:v>
      </x:c>
      <x:c r="J1152" s="34" t="str">
        <x:v>tomcat-findleaks-occurrence</x:v>
      </x:c>
      <x:c r="K1152" s="34" t="str">
        <x:v>afterFinalUndeploy.tomcatFindLeaksOccurrences</x:v>
      </x:c>
      <x:c r="L1152" s="36" t="n">
        <x:v>3</x:v>
      </x:c>
      <x:c r="M1152" s="34" t="str">
        <x:v>/jcs321</x:v>
      </x:c>
      <x:c r="N1152" s="44" t="str">
        <x:v>/jcs321</x:v>
      </x:c>
    </x:row>
    <x:row r="1153">
      <x:c r="A1153" s="36" t="n">
        <x:v>1152</x:v>
      </x:c>
      <x:c r="B1153" s="34" t="str">
        <x:v>article1-unified-v4-2-fb3f101b-20260903-000401-default-f06-p3-jcs321</x:v>
      </x:c>
      <x:c r="C1153" s="34" t="str">
        <x:v>default</x:v>
      </x:c>
      <x:c r="D1153" s="34" t="str">
        <x:v>jcs321</x:v>
      </x:c>
      <x:c r="E1153" s="36" t="n">
        <x:v>6</x:v>
      </x:c>
      <x:c r="F1153" s="36" t="n">
        <x:v>6</x:v>
      </x:c>
      <x:c r="G1153" s="36" t="n">
        <x:v>5</x:v>
      </x:c>
      <x:c r="H1153" s="34" t="str">
        <x:v>cycle-observation</x:v>
      </x:c>
      <x:c r="I1153" s="36" t="n">
        <x:v>2</x:v>
      </x:c>
      <x:c r="J1153" s="34" t="str">
        <x:v>tomcat-findleaks-occurrence</x:v>
      </x:c>
      <x:c r="K1153" s="34" t="str">
        <x:v>afterFinalUndeploy.tomcatFindLeaksOccurrences</x:v>
      </x:c>
      <x:c r="L1153" s="36" t="n">
        <x:v>4</x:v>
      </x:c>
      <x:c r="M1153" s="34" t="str">
        <x:v>/jcs321</x:v>
      </x:c>
      <x:c r="N1153" s="44" t="str">
        <x:v>/jcs321</x:v>
      </x:c>
    </x:row>
    <x:row r="1154">
      <x:c r="A1154" s="36" t="n">
        <x:v>1153</x:v>
      </x:c>
      <x:c r="B1154" s="34" t="str">
        <x:v>article1-unified-v4-2-fb3f101b-20260903-000401-default-f06-p3-jcs321</x:v>
      </x:c>
      <x:c r="C1154" s="34" t="str">
        <x:v>default</x:v>
      </x:c>
      <x:c r="D1154" s="34" t="str">
        <x:v>jcs321</x:v>
      </x:c>
      <x:c r="E1154" s="36" t="n">
        <x:v>6</x:v>
      </x:c>
      <x:c r="F1154" s="36" t="n">
        <x:v>6</x:v>
      </x:c>
      <x:c r="G1154" s="36" t="n">
        <x:v>5</x:v>
      </x:c>
      <x:c r="H1154" s="34" t="str">
        <x:v>cycle-observation</x:v>
      </x:c>
      <x:c r="I1154" s="36" t="n">
        <x:v>2</x:v>
      </x:c>
      <x:c r="J1154" s="34" t="str">
        <x:v>tomcat-findleaks-occurrence</x:v>
      </x:c>
      <x:c r="K1154" s="34" t="str">
        <x:v>afterFinalUndeploy.tomcatFindLeaksOccurrences</x:v>
      </x:c>
      <x:c r="L1154" s="36" t="n">
        <x:v>5</x:v>
      </x:c>
      <x:c r="M1154" s="34" t="str">
        <x:v>/jcs321</x:v>
      </x:c>
      <x:c r="N1154" s="44" t="str">
        <x:v>/jcs321</x:v>
      </x:c>
    </x:row>
    <x:row r="1155">
      <x:c r="A1155" s="36" t="n">
        <x:v>1154</x:v>
      </x:c>
      <x:c r="B1155" s="34" t="str">
        <x:v>article1-unified-v4-2-fb3f101b-20260903-000401-default-f06-p3-jcs321</x:v>
      </x:c>
      <x:c r="C1155" s="34" t="str">
        <x:v>default</x:v>
      </x:c>
      <x:c r="D1155" s="34" t="str">
        <x:v>jcs321</x:v>
      </x:c>
      <x:c r="E1155" s="36" t="n">
        <x:v>6</x:v>
      </x:c>
      <x:c r="F1155" s="36" t="n">
        <x:v>6</x:v>
      </x:c>
      <x:c r="G1155" s="36" t="n">
        <x:v>5</x:v>
      </x:c>
      <x:c r="H1155" s="34" t="str">
        <x:v>cycle-observation</x:v>
      </x:c>
      <x:c r="I1155" s="36" t="n">
        <x:v>2</x:v>
      </x:c>
      <x:c r="J1155" s="34" t="str">
        <x:v>tomcat-findleaks-occurrence</x:v>
      </x:c>
      <x:c r="K1155" s="34" t="str">
        <x:v>afterFinalUndeploy.tomcatFindLeaksOccurrences</x:v>
      </x:c>
      <x:c r="L1155" s="36" t="n">
        <x:v>6</x:v>
      </x:c>
      <x:c r="M1155" s="34" t="str">
        <x:v>/jcs321</x:v>
      </x:c>
      <x:c r="N1155" s="44" t="str">
        <x:v>/jcs321</x:v>
      </x:c>
    </x:row>
    <x:row r="1156">
      <x:c r="A1156" s="36" t="n">
        <x:v>1155</x:v>
      </x:c>
      <x:c r="B1156" s="34" t="str">
        <x:v>article1-unified-v4-2-fb3f101b-20260903-000401-default-f06-p3-jcs321</x:v>
      </x:c>
      <x:c r="C1156" s="34" t="str">
        <x:v>default</x:v>
      </x:c>
      <x:c r="D1156" s="34" t="str">
        <x:v>jcs321</x:v>
      </x:c>
      <x:c r="E1156" s="36" t="n">
        <x:v>6</x:v>
      </x:c>
      <x:c r="F1156" s="36" t="n">
        <x:v>6</x:v>
      </x:c>
      <x:c r="G1156" s="36" t="n">
        <x:v>5</x:v>
      </x:c>
      <x:c r="H1156" s="34" t="str">
        <x:v>cycle-observation</x:v>
      </x:c>
      <x:c r="I1156" s="36" t="n">
        <x:v>2</x:v>
      </x:c>
      <x:c r="J1156" s="34" t="str">
        <x:v>tomcat-findleaks-occurrence</x:v>
      </x:c>
      <x:c r="K1156" s="34" t="str">
        <x:v>afterFinalUndeploy.tomcatFindLeaksOccurrences</x:v>
      </x:c>
      <x:c r="L1156" s="36" t="n">
        <x:v>7</x:v>
      </x:c>
      <x:c r="M1156" s="34" t="str">
        <x:v>/jcs321</x:v>
      </x:c>
      <x:c r="N1156" s="44" t="str">
        <x:v>/jcs321</x:v>
      </x:c>
    </x:row>
    <x:row r="1157">
      <x:c r="A1157" s="36" t="n">
        <x:v>1156</x:v>
      </x:c>
      <x:c r="B1157" s="34" t="str">
        <x:v>article1-unified-v4-2-fb3f101b-20260903-000401-default-f06-p3-jcs321</x:v>
      </x:c>
      <x:c r="C1157" s="34" t="str">
        <x:v>default</x:v>
      </x:c>
      <x:c r="D1157" s="34" t="str">
        <x:v>jcs321</x:v>
      </x:c>
      <x:c r="E1157" s="36" t="n">
        <x:v>6</x:v>
      </x:c>
      <x:c r="F1157" s="36" t="n">
        <x:v>6</x:v>
      </x:c>
      <x:c r="G1157" s="36" t="n">
        <x:v>5</x:v>
      </x:c>
      <x:c r="H1157" s="34" t="str">
        <x:v>cycle-observation</x:v>
      </x:c>
      <x:c r="I1157" s="36" t="n">
        <x:v>2</x:v>
      </x:c>
      <x:c r="J1157" s="34" t="str">
        <x:v>tomcat-findleaks-occurrence</x:v>
      </x:c>
      <x:c r="K1157" s="34" t="str">
        <x:v>afterFinalUndeploy.tomcatFindLeaksOccurrences</x:v>
      </x:c>
      <x:c r="L1157" s="36" t="n">
        <x:v>8</x:v>
      </x:c>
      <x:c r="M1157" s="34" t="str">
        <x:v>/jcs321</x:v>
      </x:c>
      <x:c r="N1157" s="44" t="str">
        <x:v>/jcs321</x:v>
      </x:c>
    </x:row>
    <x:row r="1158">
      <x:c r="A1158" s="36" t="n">
        <x:v>1157</x:v>
      </x:c>
      <x:c r="B1158" s="34" t="str">
        <x:v>article1-unified-v4-2-fb3f101b-20260903-000401-default-f06-p3-jcs321</x:v>
      </x:c>
      <x:c r="C1158" s="34" t="str">
        <x:v>default</x:v>
      </x:c>
      <x:c r="D1158" s="34" t="str">
        <x:v>jcs321</x:v>
      </x:c>
      <x:c r="E1158" s="36" t="n">
        <x:v>6</x:v>
      </x:c>
      <x:c r="F1158" s="36" t="n">
        <x:v>6</x:v>
      </x:c>
      <x:c r="G1158" s="36" t="n">
        <x:v>5</x:v>
      </x:c>
      <x:c r="H1158" s="34" t="str">
        <x:v>cycle-observation</x:v>
      </x:c>
      <x:c r="I1158" s="36" t="n">
        <x:v>2</x:v>
      </x:c>
      <x:c r="J1158" s="34" t="str">
        <x:v>tomcat-findleaks-occurrence</x:v>
      </x:c>
      <x:c r="K1158" s="34" t="str">
        <x:v>afterFinalUndeploy.tomcatFindLeaksOccurrences</x:v>
      </x:c>
      <x:c r="L1158" s="36" t="n">
        <x:v>9</x:v>
      </x:c>
      <x:c r="M1158" s="34" t="str">
        <x:v>/jcs321</x:v>
      </x:c>
      <x:c r="N1158" s="44" t="str">
        <x:v>/jcs321</x:v>
      </x:c>
    </x:row>
    <x:row r="1159">
      <x:c r="A1159" s="36" t="n">
        <x:v>1158</x:v>
      </x:c>
      <x:c r="B1159" s="34" t="str">
        <x:v>article1-unified-v4-2-fb3f101b-20260903-000401-default-f06-p3-jcs321</x:v>
      </x:c>
      <x:c r="C1159" s="34" t="str">
        <x:v>default</x:v>
      </x:c>
      <x:c r="D1159" s="34" t="str">
        <x:v>jcs321</x:v>
      </x:c>
      <x:c r="E1159" s="36" t="n">
        <x:v>6</x:v>
      </x:c>
      <x:c r="F1159" s="36" t="n">
        <x:v>6</x:v>
      </x:c>
      <x:c r="G1159" s="36" t="n">
        <x:v>5</x:v>
      </x:c>
      <x:c r="H1159" s="34" t="str">
        <x:v>cycle-observation</x:v>
      </x:c>
      <x:c r="I1159" s="36" t="n">
        <x:v>2</x:v>
      </x:c>
      <x:c r="J1159" s="34" t="str">
        <x:v>tomcat-findleaks-occurrence</x:v>
      </x:c>
      <x:c r="K1159" s="34" t="str">
        <x:v>afterFinalUndeploy.tomcatFindLeaksOccurrences</x:v>
      </x:c>
      <x:c r="L1159" s="36" t="n">
        <x:v>10</x:v>
      </x:c>
      <x:c r="M1159" s="34" t="str">
        <x:v>/jcs321</x:v>
      </x:c>
      <x:c r="N1159" s="44" t="str">
        <x:v>/jcs321</x:v>
      </x:c>
    </x:row>
    <x:row r="1160">
      <x:c r="A1160" s="36" t="n">
        <x:v>1159</x:v>
      </x:c>
      <x:c r="B1160" s="34" t="str">
        <x:v>article1-unified-v4-2-fb3f101b-20260903-000401-default-f06-p4-ehcache</x:v>
      </x:c>
      <x:c r="C1160" s="34" t="str">
        <x:v>default</x:v>
      </x:c>
      <x:c r="D1160" s="34" t="str">
        <x:v>ehcache</x:v>
      </x:c>
      <x:c r="E1160" s="36" t="n">
        <x:v>6</x:v>
      </x:c>
      <x:c r="F1160" s="36" t="n">
        <x:v>6</x:v>
      </x:c>
      <x:c r="G1160" s="36"/>
      <x:c r="H1160" s="34" t="str">
        <x:v>process-run-aggregate</x:v>
      </x:c>
      <x:c r="I1160" s="36"/>
      <x:c r="J1160" s="34" t="str">
        <x:v>warning</x:v>
      </x:c>
      <x:c r="K1160" s="34" t="str">
        <x:v>warnings</x:v>
      </x:c>
      <x:c r="L1160" s="36" t="n">
        <x:v>1</x:v>
      </x:c>
      <x:c r="M1160" s="34"/>
      <x:c r="N1160" s="44" t="str">
        <x:v>WARNING: A terminally deprecated method in sun.misc.Unsafe has been called</x:v>
      </x:c>
    </x:row>
    <x:row r="1161">
      <x:c r="A1161" s="36" t="n">
        <x:v>1160</x:v>
      </x:c>
      <x:c r="B1161" s="34" t="str">
        <x:v>article1-unified-v4-2-fb3f101b-20260903-000401-default-f06-p4-ehcache</x:v>
      </x:c>
      <x:c r="C1161" s="34" t="str">
        <x:v>default</x:v>
      </x:c>
      <x:c r="D1161" s="34" t="str">
        <x:v>ehcache</x:v>
      </x:c>
      <x:c r="E1161" s="36" t="n">
        <x:v>6</x:v>
      </x:c>
      <x:c r="F1161" s="36" t="n">
        <x:v>6</x:v>
      </x:c>
      <x:c r="G1161" s="36"/>
      <x:c r="H1161" s="34" t="str">
        <x:v>process-run-aggregate</x:v>
      </x:c>
      <x:c r="I1161" s="36"/>
      <x:c r="J1161" s="34" t="str">
        <x:v>warning</x:v>
      </x:c>
      <x:c r="K1161" s="34" t="str">
        <x:v>warnings</x:v>
      </x:c>
      <x:c r="L1161" s="36" t="n">
        <x:v>2</x:v>
      </x:c>
      <x:c r="M1161" s="34"/>
      <x:c r="N1161" s="44" t="str">
        <x:v>WARNING: sun.misc.Unsafe::objectFieldOffset has been called by org.ehcache.impl.internal.concurrent.ThreadLocalRandomUtil (file:/usr/local/tomcat/webapps/ehcache/WEB-INF/lib/ehcache-3.12.0.jar)</x:v>
      </x:c>
    </x:row>
    <x:row r="1162">
      <x:c r="A1162" s="36" t="n">
        <x:v>1161</x:v>
      </x:c>
      <x:c r="B1162" s="34" t="str">
        <x:v>article1-unified-v4-2-fb3f101b-20260903-000401-default-f06-p4-ehcache</x:v>
      </x:c>
      <x:c r="C1162" s="34" t="str">
        <x:v>default</x:v>
      </x:c>
      <x:c r="D1162" s="34" t="str">
        <x:v>ehcache</x:v>
      </x:c>
      <x:c r="E1162" s="36" t="n">
        <x:v>6</x:v>
      </x:c>
      <x:c r="F1162" s="36" t="n">
        <x:v>6</x:v>
      </x:c>
      <x:c r="G1162" s="36"/>
      <x:c r="H1162" s="34" t="str">
        <x:v>process-run-aggregate</x:v>
      </x:c>
      <x:c r="I1162" s="36"/>
      <x:c r="J1162" s="34" t="str">
        <x:v>warning</x:v>
      </x:c>
      <x:c r="K1162" s="34" t="str">
        <x:v>warnings</x:v>
      </x:c>
      <x:c r="L1162" s="36" t="n">
        <x:v>3</x:v>
      </x:c>
      <x:c r="M1162" s="34"/>
      <x:c r="N1162" s="44" t="str">
        <x:v>WARNING: Please consider reporting this to the maintainers of class org.ehcache.impl.internal.concurrent.ThreadLocalRandomUtil</x:v>
      </x:c>
    </x:row>
    <x:row r="1163">
      <x:c r="A1163" s="36" t="n">
        <x:v>1162</x:v>
      </x:c>
      <x:c r="B1163" s="34" t="str">
        <x:v>article1-unified-v4-2-fb3f101b-20260903-000401-default-f06-p4-ehcache</x:v>
      </x:c>
      <x:c r="C1163" s="34" t="str">
        <x:v>default</x:v>
      </x:c>
      <x:c r="D1163" s="34" t="str">
        <x:v>ehcache</x:v>
      </x:c>
      <x:c r="E1163" s="36" t="n">
        <x:v>6</x:v>
      </x:c>
      <x:c r="F1163" s="36" t="n">
        <x:v>6</x:v>
      </x:c>
      <x:c r="G1163" s="36"/>
      <x:c r="H1163" s="34" t="str">
        <x:v>process-run-aggregate</x:v>
      </x:c>
      <x:c r="I1163" s="36"/>
      <x:c r="J1163" s="34" t="str">
        <x:v>warning</x:v>
      </x:c>
      <x:c r="K1163" s="34" t="str">
        <x:v>warnings</x:v>
      </x:c>
      <x:c r="L1163" s="36" t="n">
        <x:v>4</x:v>
      </x:c>
      <x:c r="M1163" s="34"/>
      <x:c r="N1163" s="44" t="str">
        <x:v>WARNING: sun.misc.Unsafe::objectFieldOffset will be removed in a future release</x:v>
      </x:c>
    </x:row>
    <x:row r="1164">
      <x:c r="A1164" s="36" t="n">
        <x:v>1163</x:v>
      </x:c>
      <x:c r="B1164" s="34" t="str">
        <x:v>article1-unified-v4-2-fb3f101b-20260903-000401-default-f06-p4-ehcache</x:v>
      </x:c>
      <x:c r="C1164" s="34" t="str">
        <x:v>default</x:v>
      </x:c>
      <x:c r="D1164" s="34" t="str">
        <x:v>ehcache</x:v>
      </x:c>
      <x:c r="E1164" s="36" t="n">
        <x:v>6</x:v>
      </x:c>
      <x:c r="F1164" s="36" t="n">
        <x:v>6</x:v>
      </x:c>
      <x:c r="G1164" s="36" t="n">
        <x:v>1</x:v>
      </x:c>
      <x:c r="H1164" s="34" t="str">
        <x:v>cycle-observation</x:v>
      </x:c>
      <x:c r="I1164" s="36" t="n">
        <x:v>1</x:v>
      </x:c>
      <x:c r="J1164" s="34" t="str">
        <x:v>tomcat-findleaks-occurrence</x:v>
      </x:c>
      <x:c r="K1164" s="34" t="str">
        <x:v>afterUndeploy.tomcatFindLeaksOccurrences</x:v>
      </x:c>
      <x:c r="L1164" s="36" t="n">
        <x:v>1</x:v>
      </x:c>
      <x:c r="M1164" s="34" t="str">
        <x:v>/ehcache</x:v>
      </x:c>
      <x:c r="N1164" s="44" t="str">
        <x:v>/ehcache</x:v>
      </x:c>
    </x:row>
    <x:row r="1165">
      <x:c r="A1165" s="36" t="n">
        <x:v>1164</x:v>
      </x:c>
      <x:c r="B1165" s="34" t="str">
        <x:v>article1-unified-v4-2-fb3f101b-20260903-000401-default-f06-p4-ehcache</x:v>
      </x:c>
      <x:c r="C1165" s="34" t="str">
        <x:v>default</x:v>
      </x:c>
      <x:c r="D1165" s="34" t="str">
        <x:v>ehcache</x:v>
      </x:c>
      <x:c r="E1165" s="36" t="n">
        <x:v>6</x:v>
      </x:c>
      <x:c r="F1165" s="36" t="n">
        <x:v>6</x:v>
      </x:c>
      <x:c r="G1165" s="36" t="n">
        <x:v>1</x:v>
      </x:c>
      <x:c r="H1165" s="34" t="str">
        <x:v>cycle-observation</x:v>
      </x:c>
      <x:c r="I1165" s="36" t="n">
        <x:v>2</x:v>
      </x:c>
      <x:c r="J1165" s="34" t="str">
        <x:v>tomcat-findleaks-occurrence</x:v>
      </x:c>
      <x:c r="K1165" s="34" t="str">
        <x:v>afterFinalUndeploy.tomcatFindLeaksOccurrences</x:v>
      </x:c>
      <x:c r="L1165" s="36" t="n">
        <x:v>1</x:v>
      </x:c>
      <x:c r="M1165" s="34" t="str">
        <x:v>/ehcache</x:v>
      </x:c>
      <x:c r="N1165" s="44" t="str">
        <x:v>/ehcache</x:v>
      </x:c>
    </x:row>
    <x:row r="1166">
      <x:c r="A1166" s="36" t="n">
        <x:v>1165</x:v>
      </x:c>
      <x:c r="B1166" s="34" t="str">
        <x:v>article1-unified-v4-2-fb3f101b-20260903-000401-default-f06-p4-ehcache</x:v>
      </x:c>
      <x:c r="C1166" s="34" t="str">
        <x:v>default</x:v>
      </x:c>
      <x:c r="D1166" s="34" t="str">
        <x:v>ehcache</x:v>
      </x:c>
      <x:c r="E1166" s="36" t="n">
        <x:v>6</x:v>
      </x:c>
      <x:c r="F1166" s="36" t="n">
        <x:v>6</x:v>
      </x:c>
      <x:c r="G1166" s="36" t="n">
        <x:v>2</x:v>
      </x:c>
      <x:c r="H1166" s="34" t="str">
        <x:v>cycle-observation</x:v>
      </x:c>
      <x:c r="I1166" s="36" t="n">
        <x:v>1</x:v>
      </x:c>
      <x:c r="J1166" s="34" t="str">
        <x:v>tomcat-findleaks-occurrence</x:v>
      </x:c>
      <x:c r="K1166" s="34" t="str">
        <x:v>afterUndeploy.tomcatFindLeaksOccurrences</x:v>
      </x:c>
      <x:c r="L1166" s="36" t="n">
        <x:v>1</x:v>
      </x:c>
      <x:c r="M1166" s="34" t="str">
        <x:v>/ehcache</x:v>
      </x:c>
      <x:c r="N1166" s="44" t="str">
        <x:v>/ehcache</x:v>
      </x:c>
    </x:row>
    <x:row r="1167">
      <x:c r="A1167" s="36" t="n">
        <x:v>1166</x:v>
      </x:c>
      <x:c r="B1167" s="34" t="str">
        <x:v>article1-unified-v4-2-fb3f101b-20260903-000401-default-f06-p4-ehcache</x:v>
      </x:c>
      <x:c r="C1167" s="34" t="str">
        <x:v>default</x:v>
      </x:c>
      <x:c r="D1167" s="34" t="str">
        <x:v>ehcache</x:v>
      </x:c>
      <x:c r="E1167" s="36" t="n">
        <x:v>6</x:v>
      </x:c>
      <x:c r="F1167" s="36" t="n">
        <x:v>6</x:v>
      </x:c>
      <x:c r="G1167" s="36" t="n">
        <x:v>2</x:v>
      </x:c>
      <x:c r="H1167" s="34" t="str">
        <x:v>cycle-observation</x:v>
      </x:c>
      <x:c r="I1167" s="36" t="n">
        <x:v>2</x:v>
      </x:c>
      <x:c r="J1167" s="34" t="str">
        <x:v>tomcat-findleaks-occurrence</x:v>
      </x:c>
      <x:c r="K1167" s="34" t="str">
        <x:v>afterFinalUndeploy.tomcatFindLeaksOccurrences</x:v>
      </x:c>
      <x:c r="L1167" s="36" t="n">
        <x:v>1</x:v>
      </x:c>
      <x:c r="M1167" s="34" t="str">
        <x:v>/ehcache</x:v>
      </x:c>
      <x:c r="N1167" s="44" t="str">
        <x:v>/ehcache</x:v>
      </x:c>
    </x:row>
    <x:row r="1168">
      <x:c r="A1168" s="36" t="n">
        <x:v>1167</x:v>
      </x:c>
      <x:c r="B1168" s="34" t="str">
        <x:v>article1-unified-v4-2-fb3f101b-20260903-000401-default-f06-p4-ehcache</x:v>
      </x:c>
      <x:c r="C1168" s="34" t="str">
        <x:v>default</x:v>
      </x:c>
      <x:c r="D1168" s="34" t="str">
        <x:v>ehcache</x:v>
      </x:c>
      <x:c r="E1168" s="36" t="n">
        <x:v>6</x:v>
      </x:c>
      <x:c r="F1168" s="36" t="n">
        <x:v>6</x:v>
      </x:c>
      <x:c r="G1168" s="36" t="n">
        <x:v>3</x:v>
      </x:c>
      <x:c r="H1168" s="34" t="str">
        <x:v>cycle-observation</x:v>
      </x:c>
      <x:c r="I1168" s="36" t="n">
        <x:v>1</x:v>
      </x:c>
      <x:c r="J1168" s="34" t="str">
        <x:v>tomcat-findleaks-occurrence</x:v>
      </x:c>
      <x:c r="K1168" s="34" t="str">
        <x:v>afterUndeploy.tomcatFindLeaksOccurrences</x:v>
      </x:c>
      <x:c r="L1168" s="36" t="n">
        <x:v>1</x:v>
      </x:c>
      <x:c r="M1168" s="34" t="str">
        <x:v>/ehcache</x:v>
      </x:c>
      <x:c r="N1168" s="44" t="str">
        <x:v>/ehcache</x:v>
      </x:c>
    </x:row>
    <x:row r="1169">
      <x:c r="A1169" s="36" t="n">
        <x:v>1168</x:v>
      </x:c>
      <x:c r="B1169" s="34" t="str">
        <x:v>article1-unified-v4-2-fb3f101b-20260903-000401-default-f06-p4-ehcache</x:v>
      </x:c>
      <x:c r="C1169" s="34" t="str">
        <x:v>default</x:v>
      </x:c>
      <x:c r="D1169" s="34" t="str">
        <x:v>ehcache</x:v>
      </x:c>
      <x:c r="E1169" s="36" t="n">
        <x:v>6</x:v>
      </x:c>
      <x:c r="F1169" s="36" t="n">
        <x:v>6</x:v>
      </x:c>
      <x:c r="G1169" s="36" t="n">
        <x:v>3</x:v>
      </x:c>
      <x:c r="H1169" s="34" t="str">
        <x:v>cycle-observation</x:v>
      </x:c>
      <x:c r="I1169" s="36" t="n">
        <x:v>2</x:v>
      </x:c>
      <x:c r="J1169" s="34" t="str">
        <x:v>tomcat-findleaks-occurrence</x:v>
      </x:c>
      <x:c r="K1169" s="34" t="str">
        <x:v>afterFinalUndeploy.tomcatFindLeaksOccurrences</x:v>
      </x:c>
      <x:c r="L1169" s="36" t="n">
        <x:v>1</x:v>
      </x:c>
      <x:c r="M1169" s="34" t="str">
        <x:v>/ehcache</x:v>
      </x:c>
      <x:c r="N1169" s="44" t="str">
        <x:v>/ehcache</x:v>
      </x:c>
    </x:row>
    <x:row r="1170">
      <x:c r="A1170" s="36" t="n">
        <x:v>1169</x:v>
      </x:c>
      <x:c r="B1170" s="34" t="str">
        <x:v>article1-unified-v4-2-fb3f101b-20260903-000401-default-f06-p4-ehcache</x:v>
      </x:c>
      <x:c r="C1170" s="34" t="str">
        <x:v>default</x:v>
      </x:c>
      <x:c r="D1170" s="34" t="str">
        <x:v>ehcache</x:v>
      </x:c>
      <x:c r="E1170" s="36" t="n">
        <x:v>6</x:v>
      </x:c>
      <x:c r="F1170" s="36" t="n">
        <x:v>6</x:v>
      </x:c>
      <x:c r="G1170" s="36" t="n">
        <x:v>4</x:v>
      </x:c>
      <x:c r="H1170" s="34" t="str">
        <x:v>cycle-observation</x:v>
      </x:c>
      <x:c r="I1170" s="36" t="n">
        <x:v>1</x:v>
      </x:c>
      <x:c r="J1170" s="34" t="str">
        <x:v>tomcat-findleaks-occurrence</x:v>
      </x:c>
      <x:c r="K1170" s="34" t="str">
        <x:v>afterUndeploy.tomcatFindLeaksOccurrences</x:v>
      </x:c>
      <x:c r="L1170" s="36" t="n">
        <x:v>1</x:v>
      </x:c>
      <x:c r="M1170" s="34" t="str">
        <x:v>/ehcache</x:v>
      </x:c>
      <x:c r="N1170" s="44" t="str">
        <x:v>/ehcache</x:v>
      </x:c>
    </x:row>
    <x:row r="1171">
      <x:c r="A1171" s="36" t="n">
        <x:v>1170</x:v>
      </x:c>
      <x:c r="B1171" s="34" t="str">
        <x:v>article1-unified-v4-2-fb3f101b-20260903-000401-default-f06-p4-ehcache</x:v>
      </x:c>
      <x:c r="C1171" s="34" t="str">
        <x:v>default</x:v>
      </x:c>
      <x:c r="D1171" s="34" t="str">
        <x:v>ehcache</x:v>
      </x:c>
      <x:c r="E1171" s="36" t="n">
        <x:v>6</x:v>
      </x:c>
      <x:c r="F1171" s="36" t="n">
        <x:v>6</x:v>
      </x:c>
      <x:c r="G1171" s="36" t="n">
        <x:v>4</x:v>
      </x:c>
      <x:c r="H1171" s="34" t="str">
        <x:v>cycle-observation</x:v>
      </x:c>
      <x:c r="I1171" s="36" t="n">
        <x:v>2</x:v>
      </x:c>
      <x:c r="J1171" s="34" t="str">
        <x:v>tomcat-findleaks-occurrence</x:v>
      </x:c>
      <x:c r="K1171" s="34" t="str">
        <x:v>afterFinalUndeploy.tomcatFindLeaksOccurrences</x:v>
      </x:c>
      <x:c r="L1171" s="36" t="n">
        <x:v>1</x:v>
      </x:c>
      <x:c r="M1171" s="34" t="str">
        <x:v>/ehcache</x:v>
      </x:c>
      <x:c r="N1171" s="44" t="str">
        <x:v>/ehcache</x:v>
      </x:c>
    </x:row>
    <x:row r="1172">
      <x:c r="A1172" s="36" t="n">
        <x:v>1171</x:v>
      </x:c>
      <x:c r="B1172" s="34" t="str">
        <x:v>article1-unified-v4-2-fb3f101b-20260903-000401-default-f06-p4-ehcache</x:v>
      </x:c>
      <x:c r="C1172" s="34" t="str">
        <x:v>default</x:v>
      </x:c>
      <x:c r="D1172" s="34" t="str">
        <x:v>ehcache</x:v>
      </x:c>
      <x:c r="E1172" s="36" t="n">
        <x:v>6</x:v>
      </x:c>
      <x:c r="F1172" s="36" t="n">
        <x:v>6</x:v>
      </x:c>
      <x:c r="G1172" s="36" t="n">
        <x:v>5</x:v>
      </x:c>
      <x:c r="H1172" s="34" t="str">
        <x:v>cycle-observation</x:v>
      </x:c>
      <x:c r="I1172" s="36" t="n">
        <x:v>1</x:v>
      </x:c>
      <x:c r="J1172" s="34" t="str">
        <x:v>tomcat-findleaks-occurrence</x:v>
      </x:c>
      <x:c r="K1172" s="34" t="str">
        <x:v>afterUndeploy.tomcatFindLeaksOccurrences</x:v>
      </x:c>
      <x:c r="L1172" s="36" t="n">
        <x:v>1</x:v>
      </x:c>
      <x:c r="M1172" s="34" t="str">
        <x:v>/ehcache</x:v>
      </x:c>
      <x:c r="N1172" s="44" t="str">
        <x:v>/ehcache</x:v>
      </x:c>
    </x:row>
    <x:row r="1173">
      <x:c r="A1173" s="36" t="n">
        <x:v>1172</x:v>
      </x:c>
      <x:c r="B1173" s="34" t="str">
        <x:v>article1-unified-v4-2-fb3f101b-20260903-000401-default-f06-p4-ehcache</x:v>
      </x:c>
      <x:c r="C1173" s="34" t="str">
        <x:v>default</x:v>
      </x:c>
      <x:c r="D1173" s="34" t="str">
        <x:v>ehcache</x:v>
      </x:c>
      <x:c r="E1173" s="36" t="n">
        <x:v>6</x:v>
      </x:c>
      <x:c r="F1173" s="36" t="n">
        <x:v>6</x:v>
      </x:c>
      <x:c r="G1173" s="36" t="n">
        <x:v>5</x:v>
      </x:c>
      <x:c r="H1173" s="34" t="str">
        <x:v>cycle-observation</x:v>
      </x:c>
      <x:c r="I1173" s="36" t="n">
        <x:v>2</x:v>
      </x:c>
      <x:c r="J1173" s="34" t="str">
        <x:v>tomcat-findleaks-occurrence</x:v>
      </x:c>
      <x:c r="K1173" s="34" t="str">
        <x:v>afterFinalUndeploy.tomcatFindLeaksOccurrences</x:v>
      </x:c>
      <x:c r="L1173" s="36" t="n">
        <x:v>1</x:v>
      </x:c>
      <x:c r="M1173" s="34" t="str">
        <x:v>/ehcache</x:v>
      </x:c>
      <x:c r="N1173" s="44" t="str">
        <x:v>/ehcache</x:v>
      </x:c>
    </x:row>
    <x:row r="1174">
      <x:c r="A1174" s="36" t="n">
        <x:v>1173</x:v>
      </x:c>
      <x:c r="B1174" s="34" t="str">
        <x:v>article1-unified-v4-2-fb3f101b-20260903-000401-default-f06-p5-jcs4</x:v>
      </x:c>
      <x:c r="C1174" s="34" t="str">
        <x:v>default</x:v>
      </x:c>
      <x:c r="D1174" s="34" t="str">
        <x:v>jcs4</x:v>
      </x:c>
      <x:c r="E1174" s="36" t="n">
        <x:v>6</x:v>
      </x:c>
      <x:c r="F1174" s="36" t="n">
        <x:v>6</x:v>
      </x:c>
      <x:c r="G1174" s="36"/>
      <x:c r="H1174" s="34" t="str">
        <x:v>process-run-aggregate</x:v>
      </x:c>
      <x:c r="I1174" s="36"/>
      <x:c r="J1174" s="34" t="str">
        <x:v>warning</x:v>
      </x:c>
      <x:c r="K1174" s="34" t="str">
        <x:v>warnings</x:v>
      </x:c>
      <x:c r="L1174" s="36" t="n">
        <x:v>1</x:v>
      </x:c>
      <x:c r="M1174" s="34"/>
      <x:c r="N1174" s="44" t="str">
        <x:v>03-Sep-2026 02:44:42.486 WARNING [http-nio-8080-exec-1] org.apache.commons.jcs4.log.SystemLogAdapter.log Could not register JMX bean.</x:v>
      </x:c>
    </x:row>
    <x:row r="1175">
      <x:c r="A1175" s="36" t="n">
        <x:v>1174</x:v>
      </x:c>
      <x:c r="B1175" s="34" t="str">
        <x:v>article1-unified-v4-2-fb3f101b-20260903-000401-default-f06-p5-jcs4</x:v>
      </x:c>
      <x:c r="C1175" s="34" t="str">
        <x:v>default</x:v>
      </x:c>
      <x:c r="D1175" s="34" t="str">
        <x:v>jcs4</x:v>
      </x:c>
      <x:c r="E1175" s="36" t="n">
        <x:v>6</x:v>
      </x:c>
      <x:c r="F1175" s="36" t="n">
        <x:v>6</x:v>
      </x:c>
      <x:c r="G1175" s="36"/>
      <x:c r="H1175" s="34" t="str">
        <x:v>process-run-aggregate</x:v>
      </x:c>
      <x:c r="I1175" s="36"/>
      <x:c r="J1175" s="34" t="str">
        <x:v>warning</x:v>
      </x:c>
      <x:c r="K1175" s="34" t="str">
        <x:v>warnings</x:v>
      </x:c>
      <x:c r="L1175" s="36" t="n">
        <x:v>2</x:v>
      </x:c>
      <x:c r="M1175" s="34"/>
      <x:c r="N1175" s="44" t="str">
        <x:v>03-Sep-2026 02:44:42.519 WARNING [http-nio-8080-exec-1] org.apache.commons.jcs4.log.SystemLogAdapter.log Skipping empty auxiliary name</x:v>
      </x:c>
    </x:row>
    <x:row r="1176">
      <x:c r="A1176" s="36" t="n">
        <x:v>1175</x:v>
      </x:c>
      <x:c r="B1176" s="34" t="str">
        <x:v>article1-unified-v4-2-fb3f101b-20260903-000401-default-f06-p5-jcs4</x:v>
      </x:c>
      <x:c r="C1176" s="34" t="str">
        <x:v>default</x:v>
      </x:c>
      <x:c r="D1176" s="34" t="str">
        <x:v>jcs4</x:v>
      </x:c>
      <x:c r="E1176" s="36" t="n">
        <x:v>6</x:v>
      </x:c>
      <x:c r="F1176" s="36" t="n">
        <x:v>6</x:v>
      </x:c>
      <x:c r="G1176" s="36"/>
      <x:c r="H1176" s="34" t="str">
        <x:v>process-run-aggregate</x:v>
      </x:c>
      <x:c r="I1176" s="36"/>
      <x:c r="J1176" s="34" t="str">
        <x:v>warning</x:v>
      </x:c>
      <x:c r="K1176" s="34" t="str">
        <x:v>warnings</x:v>
      </x:c>
      <x:c r="L1176" s="36" t="n">
        <x:v>3</x:v>
      </x:c>
      <x:c r="M1176" s="34"/>
      <x:c r="N1176" s="44" t="str">
        <x:v>03-Sep-2026 02:45:25.001 WARNING [http-nio-8080-exec-4] org.apache.commons.jcs4.log.SystemLogAdapter.log Could not register JMX bean.</x:v>
      </x:c>
    </x:row>
    <x:row r="1177">
      <x:c r="A1177" s="36" t="n">
        <x:v>1176</x:v>
      </x:c>
      <x:c r="B1177" s="34" t="str">
        <x:v>article1-unified-v4-2-fb3f101b-20260903-000401-default-f06-p5-jcs4</x:v>
      </x:c>
      <x:c r="C1177" s="34" t="str">
        <x:v>default</x:v>
      </x:c>
      <x:c r="D1177" s="34" t="str">
        <x:v>jcs4</x:v>
      </x:c>
      <x:c r="E1177" s="36" t="n">
        <x:v>6</x:v>
      </x:c>
      <x:c r="F1177" s="36" t="n">
        <x:v>6</x:v>
      </x:c>
      <x:c r="G1177" s="36"/>
      <x:c r="H1177" s="34" t="str">
        <x:v>process-run-aggregate</x:v>
      </x:c>
      <x:c r="I1177" s="36"/>
      <x:c r="J1177" s="34" t="str">
        <x:v>warning</x:v>
      </x:c>
      <x:c r="K1177" s="34" t="str">
        <x:v>warnings</x:v>
      </x:c>
      <x:c r="L1177" s="36" t="n">
        <x:v>4</x:v>
      </x:c>
      <x:c r="M1177" s="34"/>
      <x:c r="N1177" s="44" t="str">
        <x:v>03-Sep-2026 02:45:25.021 WARNING [http-nio-8080-exec-4] org.apache.commons.jcs4.log.SystemLogAdapter.log Skipping empty auxiliary name</x:v>
      </x:c>
    </x:row>
    <x:row r="1178">
      <x:c r="A1178" s="36" t="n">
        <x:v>1177</x:v>
      </x:c>
      <x:c r="B1178" s="34" t="str">
        <x:v>article1-unified-v4-2-fb3f101b-20260903-000401-default-f06-p5-jcs4</x:v>
      </x:c>
      <x:c r="C1178" s="34" t="str">
        <x:v>default</x:v>
      </x:c>
      <x:c r="D1178" s="34" t="str">
        <x:v>jcs4</x:v>
      </x:c>
      <x:c r="E1178" s="36" t="n">
        <x:v>6</x:v>
      </x:c>
      <x:c r="F1178" s="36" t="n">
        <x:v>6</x:v>
      </x:c>
      <x:c r="G1178" s="36"/>
      <x:c r="H1178" s="34" t="str">
        <x:v>process-run-aggregate</x:v>
      </x:c>
      <x:c r="I1178" s="36"/>
      <x:c r="J1178" s="34" t="str">
        <x:v>warning</x:v>
      </x:c>
      <x:c r="K1178" s="34" t="str">
        <x:v>warnings</x:v>
      </x:c>
      <x:c r="L1178" s="36" t="n">
        <x:v>5</x:v>
      </x:c>
      <x:c r="M1178" s="34"/>
      <x:c r="N1178" s="44" t="str">
        <x:v>03-Sep-2026 02:46:10.519 WARNING [http-nio-8080-exec-11] org.apache.commons.jcs4.log.SystemLogAdapter.log Could not register JMX bean.</x:v>
      </x:c>
    </x:row>
    <x:row r="1179">
      <x:c r="A1179" s="36" t="n">
        <x:v>1178</x:v>
      </x:c>
      <x:c r="B1179" s="34" t="str">
        <x:v>article1-unified-v4-2-fb3f101b-20260903-000401-default-f06-p5-jcs4</x:v>
      </x:c>
      <x:c r="C1179" s="34" t="str">
        <x:v>default</x:v>
      </x:c>
      <x:c r="D1179" s="34" t="str">
        <x:v>jcs4</x:v>
      </x:c>
      <x:c r="E1179" s="36" t="n">
        <x:v>6</x:v>
      </x:c>
      <x:c r="F1179" s="36" t="n">
        <x:v>6</x:v>
      </x:c>
      <x:c r="G1179" s="36"/>
      <x:c r="H1179" s="34" t="str">
        <x:v>process-run-aggregate</x:v>
      </x:c>
      <x:c r="I1179" s="36"/>
      <x:c r="J1179" s="34" t="str">
        <x:v>warning</x:v>
      </x:c>
      <x:c r="K1179" s="34" t="str">
        <x:v>warnings</x:v>
      </x:c>
      <x:c r="L1179" s="36" t="n">
        <x:v>6</x:v>
      </x:c>
      <x:c r="M1179" s="34"/>
      <x:c r="N1179" s="44" t="str">
        <x:v>03-Sep-2026 02:46:10.536 WARNING [http-nio-8080-exec-11] org.apache.commons.jcs4.log.SystemLogAdapter.log Skipping empty auxiliary name</x:v>
      </x:c>
    </x:row>
    <x:row r="1180">
      <x:c r="A1180" s="36" t="n">
        <x:v>1179</x:v>
      </x:c>
      <x:c r="B1180" s="34" t="str">
        <x:v>article1-unified-v4-2-fb3f101b-20260903-000401-default-f06-p5-jcs4</x:v>
      </x:c>
      <x:c r="C1180" s="34" t="str">
        <x:v>default</x:v>
      </x:c>
      <x:c r="D1180" s="34" t="str">
        <x:v>jcs4</x:v>
      </x:c>
      <x:c r="E1180" s="36" t="n">
        <x:v>6</x:v>
      </x:c>
      <x:c r="F1180" s="36" t="n">
        <x:v>6</x:v>
      </x:c>
      <x:c r="G1180" s="36"/>
      <x:c r="H1180" s="34" t="str">
        <x:v>process-run-aggregate</x:v>
      </x:c>
      <x:c r="I1180" s="36"/>
      <x:c r="J1180" s="34" t="str">
        <x:v>warning</x:v>
      </x:c>
      <x:c r="K1180" s="34" t="str">
        <x:v>warnings</x:v>
      </x:c>
      <x:c r="L1180" s="36" t="n">
        <x:v>7</x:v>
      </x:c>
      <x:c r="M1180" s="34"/>
      <x:c r="N1180" s="44" t="str">
        <x:v>03-Sep-2026 02:46:53.089 WARNING [http-nio-8080-exec-19] org.apache.commons.jcs4.log.SystemLogAdapter.log Could not register JMX bean.</x:v>
      </x:c>
    </x:row>
    <x:row r="1181">
      <x:c r="A1181" s="36" t="n">
        <x:v>1180</x:v>
      </x:c>
      <x:c r="B1181" s="34" t="str">
        <x:v>article1-unified-v4-2-fb3f101b-20260903-000401-default-f06-p5-jcs4</x:v>
      </x:c>
      <x:c r="C1181" s="34" t="str">
        <x:v>default</x:v>
      </x:c>
      <x:c r="D1181" s="34" t="str">
        <x:v>jcs4</x:v>
      </x:c>
      <x:c r="E1181" s="36" t="n">
        <x:v>6</x:v>
      </x:c>
      <x:c r="F1181" s="36" t="n">
        <x:v>6</x:v>
      </x:c>
      <x:c r="G1181" s="36"/>
      <x:c r="H1181" s="34" t="str">
        <x:v>process-run-aggregate</x:v>
      </x:c>
      <x:c r="I1181" s="36"/>
      <x:c r="J1181" s="34" t="str">
        <x:v>warning</x:v>
      </x:c>
      <x:c r="K1181" s="34" t="str">
        <x:v>warnings</x:v>
      </x:c>
      <x:c r="L1181" s="36" t="n">
        <x:v>8</x:v>
      </x:c>
      <x:c r="M1181" s="34"/>
      <x:c r="N1181" s="44" t="str">
        <x:v>03-Sep-2026 02:46:53.106 WARNING [http-nio-8080-exec-19] org.apache.commons.jcs4.log.SystemLogAdapter.log Skipping empty auxiliary name</x:v>
      </x:c>
    </x:row>
    <x:row r="1182">
      <x:c r="A1182" s="36" t="n">
        <x:v>1181</x:v>
      </x:c>
      <x:c r="B1182" s="34" t="str">
        <x:v>article1-unified-v4-2-fb3f101b-20260903-000401-default-f06-p5-jcs4</x:v>
      </x:c>
      <x:c r="C1182" s="34" t="str">
        <x:v>default</x:v>
      </x:c>
      <x:c r="D1182" s="34" t="str">
        <x:v>jcs4</x:v>
      </x:c>
      <x:c r="E1182" s="36" t="n">
        <x:v>6</x:v>
      </x:c>
      <x:c r="F1182" s="36" t="n">
        <x:v>6</x:v>
      </x:c>
      <x:c r="G1182" s="36"/>
      <x:c r="H1182" s="34" t="str">
        <x:v>process-run-aggregate</x:v>
      </x:c>
      <x:c r="I1182" s="36"/>
      <x:c r="J1182" s="34" t="str">
        <x:v>warning</x:v>
      </x:c>
      <x:c r="K1182" s="34" t="str">
        <x:v>warnings</x:v>
      </x:c>
      <x:c r="L1182" s="36" t="n">
        <x:v>9</x:v>
      </x:c>
      <x:c r="M1182" s="34"/>
      <x:c r="N1182" s="44" t="str">
        <x:v>03-Sep-2026 02:47:37.880 WARNING [http-nio-8080-exec-24] org.apache.commons.jcs4.log.SystemLogAdapter.log Could not register JMX bean.</x:v>
      </x:c>
    </x:row>
    <x:row r="1183">
      <x:c r="A1183" s="36" t="n">
        <x:v>1182</x:v>
      </x:c>
      <x:c r="B1183" s="34" t="str">
        <x:v>article1-unified-v4-2-fb3f101b-20260903-000401-default-f06-p5-jcs4</x:v>
      </x:c>
      <x:c r="C1183" s="34" t="str">
        <x:v>default</x:v>
      </x:c>
      <x:c r="D1183" s="34" t="str">
        <x:v>jcs4</x:v>
      </x:c>
      <x:c r="E1183" s="36" t="n">
        <x:v>6</x:v>
      </x:c>
      <x:c r="F1183" s="36" t="n">
        <x:v>6</x:v>
      </x:c>
      <x:c r="G1183" s="36"/>
      <x:c r="H1183" s="34" t="str">
        <x:v>process-run-aggregate</x:v>
      </x:c>
      <x:c r="I1183" s="36"/>
      <x:c r="J1183" s="34" t="str">
        <x:v>warning</x:v>
      </x:c>
      <x:c r="K1183" s="34" t="str">
        <x:v>warnings</x:v>
      </x:c>
      <x:c r="L1183" s="36" t="n">
        <x:v>10</x:v>
      </x:c>
      <x:c r="M1183" s="34"/>
      <x:c r="N1183" s="44" t="str">
        <x:v>03-Sep-2026 02:47:37.894 WARNING [http-nio-8080-exec-24] org.apache.commons.jcs4.log.SystemLogAdapter.log Skipping empty auxiliary name</x:v>
      </x:c>
    </x:row>
    <x:row r="1184">
      <x:c r="A1184" s="36" t="n">
        <x:v>1183</x:v>
      </x:c>
      <x:c r="B1184" s="34" t="str">
        <x:v>article1-unified-v4-2-fb3f101b-20260903-000401-default-f06-p5-jcs4</x:v>
      </x:c>
      <x:c r="C1184" s="34" t="str">
        <x:v>default</x:v>
      </x:c>
      <x:c r="D1184" s="34" t="str">
        <x:v>jcs4</x:v>
      </x:c>
      <x:c r="E1184" s="36" t="n">
        <x:v>6</x:v>
      </x:c>
      <x:c r="F1184" s="36" t="n">
        <x:v>6</x:v>
      </x:c>
      <x:c r="G1184" s="36"/>
      <x:c r="H1184" s="34" t="str">
        <x:v>process-run-aggregate</x:v>
      </x:c>
      <x:c r="I1184" s="36"/>
      <x:c r="J1184" s="34" t="str">
        <x:v>warning</x:v>
      </x:c>
      <x:c r="K1184" s="34" t="str">
        <x:v>warnings</x:v>
      </x:c>
      <x:c r="L1184" s="36" t="n">
        <x:v>11</x:v>
      </x:c>
      <x:c r="M1184" s="34"/>
      <x:c r="N1184" s="44" t="str">
        <x:v>03-Sep-2026 02:48:20.444 WARNING [http-nio-8080-exec-35] org.apache.commons.jcs4.log.SystemLogAdapter.log Could not register JMX bean.</x:v>
      </x:c>
    </x:row>
    <x:row r="1185">
      <x:c r="A1185" s="36" t="n">
        <x:v>1184</x:v>
      </x:c>
      <x:c r="B1185" s="34" t="str">
        <x:v>article1-unified-v4-2-fb3f101b-20260903-000401-default-f06-p5-jcs4</x:v>
      </x:c>
      <x:c r="C1185" s="34" t="str">
        <x:v>default</x:v>
      </x:c>
      <x:c r="D1185" s="34" t="str">
        <x:v>jcs4</x:v>
      </x:c>
      <x:c r="E1185" s="36" t="n">
        <x:v>6</x:v>
      </x:c>
      <x:c r="F1185" s="36" t="n">
        <x:v>6</x:v>
      </x:c>
      <x:c r="G1185" s="36"/>
      <x:c r="H1185" s="34" t="str">
        <x:v>process-run-aggregate</x:v>
      </x:c>
      <x:c r="I1185" s="36"/>
      <x:c r="J1185" s="34" t="str">
        <x:v>warning</x:v>
      </x:c>
      <x:c r="K1185" s="34" t="str">
        <x:v>warnings</x:v>
      </x:c>
      <x:c r="L1185" s="36" t="n">
        <x:v>12</x:v>
      </x:c>
      <x:c r="M1185" s="34"/>
      <x:c r="N1185" s="44" t="str">
        <x:v>03-Sep-2026 02:48:20.460 WARNING [http-nio-8080-exec-35] org.apache.commons.jcs4.log.SystemLogAdapter.log Skipping empty auxiliary name</x:v>
      </x:c>
    </x:row>
    <x:row r="1186">
      <x:c r="A1186" s="36" t="n">
        <x:v>1185</x:v>
      </x:c>
      <x:c r="B1186" s="34" t="str">
        <x:v>article1-unified-v4-2-fb3f101b-20260903-000401-default-f06-p5-jcs4</x:v>
      </x:c>
      <x:c r="C1186" s="34" t="str">
        <x:v>default</x:v>
      </x:c>
      <x:c r="D1186" s="34" t="str">
        <x:v>jcs4</x:v>
      </x:c>
      <x:c r="E1186" s="36" t="n">
        <x:v>6</x:v>
      </x:c>
      <x:c r="F1186" s="36" t="n">
        <x:v>6</x:v>
      </x:c>
      <x:c r="G1186" s="36"/>
      <x:c r="H1186" s="34" t="str">
        <x:v>process-run-aggregate</x:v>
      </x:c>
      <x:c r="I1186" s="36"/>
      <x:c r="J1186" s="34" t="str">
        <x:v>warning</x:v>
      </x:c>
      <x:c r="K1186" s="34" t="str">
        <x:v>warnings</x:v>
      </x:c>
      <x:c r="L1186" s="36" t="n">
        <x:v>13</x:v>
      </x:c>
      <x:c r="M1186" s="34"/>
      <x:c r="N1186" s="44" t="str">
        <x:v>03-Sep-2026 02:49:06.247 WARNING [http-nio-8080-exec-40] org.apache.commons.jcs4.log.SystemLogAdapter.log Could not register JMX bean.</x:v>
      </x:c>
    </x:row>
    <x:row r="1187">
      <x:c r="A1187" s="36" t="n">
        <x:v>1186</x:v>
      </x:c>
      <x:c r="B1187" s="34" t="str">
        <x:v>article1-unified-v4-2-fb3f101b-20260903-000401-default-f06-p5-jcs4</x:v>
      </x:c>
      <x:c r="C1187" s="34" t="str">
        <x:v>default</x:v>
      </x:c>
      <x:c r="D1187" s="34" t="str">
        <x:v>jcs4</x:v>
      </x:c>
      <x:c r="E1187" s="36" t="n">
        <x:v>6</x:v>
      </x:c>
      <x:c r="F1187" s="36" t="n">
        <x:v>6</x:v>
      </x:c>
      <x:c r="G1187" s="36"/>
      <x:c r="H1187" s="34" t="str">
        <x:v>process-run-aggregate</x:v>
      </x:c>
      <x:c r="I1187" s="36"/>
      <x:c r="J1187" s="34" t="str">
        <x:v>warning</x:v>
      </x:c>
      <x:c r="K1187" s="34" t="str">
        <x:v>warnings</x:v>
      </x:c>
      <x:c r="L1187" s="36" t="n">
        <x:v>14</x:v>
      </x:c>
      <x:c r="M1187" s="34"/>
      <x:c r="N1187" s="44" t="str">
        <x:v>03-Sep-2026 02:49:06.259 WARNING [http-nio-8080-exec-40] org.apache.commons.jcs4.log.SystemLogAdapter.log Skipping empty auxiliary name</x:v>
      </x:c>
    </x:row>
    <x:row r="1188">
      <x:c r="A1188" s="36" t="n">
        <x:v>1187</x:v>
      </x:c>
      <x:c r="B1188" s="34" t="str">
        <x:v>article1-unified-v4-2-fb3f101b-20260903-000401-default-f06-p5-jcs4</x:v>
      </x:c>
      <x:c r="C1188" s="34" t="str">
        <x:v>default</x:v>
      </x:c>
      <x:c r="D1188" s="34" t="str">
        <x:v>jcs4</x:v>
      </x:c>
      <x:c r="E1188" s="36" t="n">
        <x:v>6</x:v>
      </x:c>
      <x:c r="F1188" s="36" t="n">
        <x:v>6</x:v>
      </x:c>
      <x:c r="G1188" s="36"/>
      <x:c r="H1188" s="34" t="str">
        <x:v>process-run-aggregate</x:v>
      </x:c>
      <x:c r="I1188" s="36"/>
      <x:c r="J1188" s="34" t="str">
        <x:v>warning</x:v>
      </x:c>
      <x:c r="K1188" s="34" t="str">
        <x:v>warnings</x:v>
      </x:c>
      <x:c r="L1188" s="36" t="n">
        <x:v>15</x:v>
      </x:c>
      <x:c r="M1188" s="34"/>
      <x:c r="N1188" s="44" t="str">
        <x:v>03-Sep-2026 02:49:49.147 WARNING [http-nio-8080-exec-49] org.apache.commons.jcs4.log.SystemLogAdapter.log Could not register JMX bean.</x:v>
      </x:c>
    </x:row>
    <x:row r="1189">
      <x:c r="A1189" s="36" t="n">
        <x:v>1188</x:v>
      </x:c>
      <x:c r="B1189" s="34" t="str">
        <x:v>article1-unified-v4-2-fb3f101b-20260903-000401-default-f06-p5-jcs4</x:v>
      </x:c>
      <x:c r="C1189" s="34" t="str">
        <x:v>default</x:v>
      </x:c>
      <x:c r="D1189" s="34" t="str">
        <x:v>jcs4</x:v>
      </x:c>
      <x:c r="E1189" s="36" t="n">
        <x:v>6</x:v>
      </x:c>
      <x:c r="F1189" s="36" t="n">
        <x:v>6</x:v>
      </x:c>
      <x:c r="G1189" s="36"/>
      <x:c r="H1189" s="34" t="str">
        <x:v>process-run-aggregate</x:v>
      </x:c>
      <x:c r="I1189" s="36"/>
      <x:c r="J1189" s="34" t="str">
        <x:v>warning</x:v>
      </x:c>
      <x:c r="K1189" s="34" t="str">
        <x:v>warnings</x:v>
      </x:c>
      <x:c r="L1189" s="36" t="n">
        <x:v>16</x:v>
      </x:c>
      <x:c r="M1189" s="34"/>
      <x:c r="N1189" s="44" t="str">
        <x:v>03-Sep-2026 02:49:49.163 WARNING [http-nio-8080-exec-49] org.apache.commons.jcs4.log.SystemLogAdapter.log Skipping empty auxiliary name</x:v>
      </x:c>
    </x:row>
    <x:row r="1190">
      <x:c r="A1190" s="36" t="n">
        <x:v>1189</x:v>
      </x:c>
      <x:c r="B1190" s="34" t="str">
        <x:v>article1-unified-v4-2-fb3f101b-20260903-000401-default-f06-p5-jcs4</x:v>
      </x:c>
      <x:c r="C1190" s="34" t="str">
        <x:v>default</x:v>
      </x:c>
      <x:c r="D1190" s="34" t="str">
        <x:v>jcs4</x:v>
      </x:c>
      <x:c r="E1190" s="36" t="n">
        <x:v>6</x:v>
      </x:c>
      <x:c r="F1190" s="36" t="n">
        <x:v>6</x:v>
      </x:c>
      <x:c r="G1190" s="36"/>
      <x:c r="H1190" s="34" t="str">
        <x:v>process-run-aggregate</x:v>
      </x:c>
      <x:c r="I1190" s="36"/>
      <x:c r="J1190" s="34" t="str">
        <x:v>warning</x:v>
      </x:c>
      <x:c r="K1190" s="34" t="str">
        <x:v>warnings</x:v>
      </x:c>
      <x:c r="L1190" s="36" t="n">
        <x:v>17</x:v>
      </x:c>
      <x:c r="M1190" s="34"/>
      <x:c r="N1190" s="44" t="str">
        <x:v>03-Sep-2026 02:50:34.314 WARNING [http-nio-8080-exec-54] org.apache.commons.jcs4.log.SystemLogAdapter.log Could not register JMX bean.</x:v>
      </x:c>
    </x:row>
    <x:row r="1191">
      <x:c r="A1191" s="36" t="n">
        <x:v>1190</x:v>
      </x:c>
      <x:c r="B1191" s="34" t="str">
        <x:v>article1-unified-v4-2-fb3f101b-20260903-000401-default-f06-p5-jcs4</x:v>
      </x:c>
      <x:c r="C1191" s="34" t="str">
        <x:v>default</x:v>
      </x:c>
      <x:c r="D1191" s="34" t="str">
        <x:v>jcs4</x:v>
      </x:c>
      <x:c r="E1191" s="36" t="n">
        <x:v>6</x:v>
      </x:c>
      <x:c r="F1191" s="36" t="n">
        <x:v>6</x:v>
      </x:c>
      <x:c r="G1191" s="36"/>
      <x:c r="H1191" s="34" t="str">
        <x:v>process-run-aggregate</x:v>
      </x:c>
      <x:c r="I1191" s="36"/>
      <x:c r="J1191" s="34" t="str">
        <x:v>warning</x:v>
      </x:c>
      <x:c r="K1191" s="34" t="str">
        <x:v>warnings</x:v>
      </x:c>
      <x:c r="L1191" s="36" t="n">
        <x:v>18</x:v>
      </x:c>
      <x:c r="M1191" s="34"/>
      <x:c r="N1191" s="44" t="str">
        <x:v>03-Sep-2026 02:50:34.329 WARNING [http-nio-8080-exec-54] org.apache.commons.jcs4.log.SystemLogAdapter.log Skipping empty auxiliary name</x:v>
      </x:c>
    </x:row>
    <x:row r="1192">
      <x:c r="A1192" s="36" t="n">
        <x:v>1191</x:v>
      </x:c>
      <x:c r="B1192" s="34" t="str">
        <x:v>article1-unified-v4-2-fb3f101b-20260903-000401-default-f06-p5-jcs4</x:v>
      </x:c>
      <x:c r="C1192" s="34" t="str">
        <x:v>default</x:v>
      </x:c>
      <x:c r="D1192" s="34" t="str">
        <x:v>jcs4</x:v>
      </x:c>
      <x:c r="E1192" s="36" t="n">
        <x:v>6</x:v>
      </x:c>
      <x:c r="F1192" s="36" t="n">
        <x:v>6</x:v>
      </x:c>
      <x:c r="G1192" s="36"/>
      <x:c r="H1192" s="34" t="str">
        <x:v>process-run-aggregate</x:v>
      </x:c>
      <x:c r="I1192" s="36"/>
      <x:c r="J1192" s="34" t="str">
        <x:v>warning</x:v>
      </x:c>
      <x:c r="K1192" s="34" t="str">
        <x:v>warnings</x:v>
      </x:c>
      <x:c r="L1192" s="36" t="n">
        <x:v>19</x:v>
      </x:c>
      <x:c r="M1192" s="34"/>
      <x:c r="N1192" s="44" t="str">
        <x:v>03-Sep-2026 02:51:16.560 WARNING [http-nio-8080-exec-59] org.apache.commons.jcs4.log.SystemLogAdapter.log Could not register JMX bean.</x:v>
      </x:c>
    </x:row>
    <x:row r="1193">
      <x:c r="A1193" s="36" t="n">
        <x:v>1192</x:v>
      </x:c>
      <x:c r="B1193" s="34" t="str">
        <x:v>article1-unified-v4-2-fb3f101b-20260903-000401-default-f06-p5-jcs4</x:v>
      </x:c>
      <x:c r="C1193" s="34" t="str">
        <x:v>default</x:v>
      </x:c>
      <x:c r="D1193" s="34" t="str">
        <x:v>jcs4</x:v>
      </x:c>
      <x:c r="E1193" s="36" t="n">
        <x:v>6</x:v>
      </x:c>
      <x:c r="F1193" s="36" t="n">
        <x:v>6</x:v>
      </x:c>
      <x:c r="G1193" s="36"/>
      <x:c r="H1193" s="34" t="str">
        <x:v>process-run-aggregate</x:v>
      </x:c>
      <x:c r="I1193" s="36"/>
      <x:c r="J1193" s="34" t="str">
        <x:v>warning</x:v>
      </x:c>
      <x:c r="K1193" s="34" t="str">
        <x:v>warnings</x:v>
      </x:c>
      <x:c r="L1193" s="36" t="n">
        <x:v>20</x:v>
      </x:c>
      <x:c r="M1193" s="34"/>
      <x:c r="N1193" s="44" t="str">
        <x:v>03-Sep-2026 02:51:16.572 WARNING [http-nio-8080-exec-59] org.apache.commons.jcs4.log.SystemLogAdapter.log Skipping empty auxiliary name</x:v>
      </x:c>
    </x:row>
    <x:row r="1194">
      <x:c r="A1194" s="36" t="n">
        <x:v>1193</x:v>
      </x:c>
      <x:c r="B1194" s="34" t="str">
        <x:v>article1-unified-v4-2-fb3f101b-20260903-000401-default-f06-p5-jcs4</x:v>
      </x:c>
      <x:c r="C1194" s="34" t="str">
        <x:v>default</x:v>
      </x:c>
      <x:c r="D1194" s="34" t="str">
        <x:v>jcs4</x:v>
      </x:c>
      <x:c r="E1194" s="36" t="n">
        <x:v>6</x:v>
      </x:c>
      <x:c r="F1194" s="36" t="n">
        <x:v>6</x:v>
      </x:c>
      <x:c r="G1194" s="36" t="n">
        <x:v>1</x:v>
      </x:c>
      <x:c r="H1194" s="34" t="str">
        <x:v>cycle-observation</x:v>
      </x:c>
      <x:c r="I1194" s="36" t="n">
        <x:v>1</x:v>
      </x:c>
      <x:c r="J1194" s="34" t="str">
        <x:v>tomcat-findleaks-occurrence</x:v>
      </x:c>
      <x:c r="K1194" s="34" t="str">
        <x:v>afterUndeploy.tomcatFindLeaksOccurrences</x:v>
      </x:c>
      <x:c r="L1194" s="36" t="n">
        <x:v>1</x:v>
      </x:c>
      <x:c r="M1194" s="34" t="str">
        <x:v>/jcs4</x:v>
      </x:c>
      <x:c r="N1194" s="44" t="str">
        <x:v>/jcs4</x:v>
      </x:c>
    </x:row>
    <x:row r="1195">
      <x:c r="A1195" s="36" t="n">
        <x:v>1194</x:v>
      </x:c>
      <x:c r="B1195" s="34" t="str">
        <x:v>article1-unified-v4-2-fb3f101b-20260903-000401-default-f06-p5-jcs4</x:v>
      </x:c>
      <x:c r="C1195" s="34" t="str">
        <x:v>default</x:v>
      </x:c>
      <x:c r="D1195" s="34" t="str">
        <x:v>jcs4</x:v>
      </x:c>
      <x:c r="E1195" s="36" t="n">
        <x:v>6</x:v>
      </x:c>
      <x:c r="F1195" s="36" t="n">
        <x:v>6</x:v>
      </x:c>
      <x:c r="G1195" s="36" t="n">
        <x:v>1</x:v>
      </x:c>
      <x:c r="H1195" s="34" t="str">
        <x:v>cycle-observation</x:v>
      </x:c>
      <x:c r="I1195" s="36" t="n">
        <x:v>2</x:v>
      </x:c>
      <x:c r="J1195" s="34" t="str">
        <x:v>tomcat-findleaks-occurrence</x:v>
      </x:c>
      <x:c r="K1195" s="34" t="str">
        <x:v>afterFinalUndeploy.tomcatFindLeaksOccurrences</x:v>
      </x:c>
      <x:c r="L1195" s="36" t="n">
        <x:v>1</x:v>
      </x:c>
      <x:c r="M1195" s="34" t="str">
        <x:v>/jcs4</x:v>
      </x:c>
      <x:c r="N1195" s="44" t="str">
        <x:v>/jcs4</x:v>
      </x:c>
    </x:row>
    <x:row r="1196">
      <x:c r="A1196" s="36" t="n">
        <x:v>1195</x:v>
      </x:c>
      <x:c r="B1196" s="34" t="str">
        <x:v>article1-unified-v4-2-fb3f101b-20260903-000401-default-f06-p5-jcs4</x:v>
      </x:c>
      <x:c r="C1196" s="34" t="str">
        <x:v>default</x:v>
      </x:c>
      <x:c r="D1196" s="34" t="str">
        <x:v>jcs4</x:v>
      </x:c>
      <x:c r="E1196" s="36" t="n">
        <x:v>6</x:v>
      </x:c>
      <x:c r="F1196" s="36" t="n">
        <x:v>6</x:v>
      </x:c>
      <x:c r="G1196" s="36" t="n">
        <x:v>2</x:v>
      </x:c>
      <x:c r="H1196" s="34" t="str">
        <x:v>cycle-observation</x:v>
      </x:c>
      <x:c r="I1196" s="36" t="n">
        <x:v>1</x:v>
      </x:c>
      <x:c r="J1196" s="34" t="str">
        <x:v>tomcat-findleaks-occurrence</x:v>
      </x:c>
      <x:c r="K1196" s="34" t="str">
        <x:v>afterUndeploy.tomcatFindLeaksOccurrences</x:v>
      </x:c>
      <x:c r="L1196" s="36" t="n">
        <x:v>1</x:v>
      </x:c>
      <x:c r="M1196" s="34" t="str">
        <x:v>/jcs4</x:v>
      </x:c>
      <x:c r="N1196" s="44" t="str">
        <x:v>/jcs4</x:v>
      </x:c>
    </x:row>
    <x:row r="1197">
      <x:c r="A1197" s="36" t="n">
        <x:v>1196</x:v>
      </x:c>
      <x:c r="B1197" s="34" t="str">
        <x:v>article1-unified-v4-2-fb3f101b-20260903-000401-default-f06-p5-jcs4</x:v>
      </x:c>
      <x:c r="C1197" s="34" t="str">
        <x:v>default</x:v>
      </x:c>
      <x:c r="D1197" s="34" t="str">
        <x:v>jcs4</x:v>
      </x:c>
      <x:c r="E1197" s="36" t="n">
        <x:v>6</x:v>
      </x:c>
      <x:c r="F1197" s="36" t="n">
        <x:v>6</x:v>
      </x:c>
      <x:c r="G1197" s="36" t="n">
        <x:v>2</x:v>
      </x:c>
      <x:c r="H1197" s="34" t="str">
        <x:v>cycle-observation</x:v>
      </x:c>
      <x:c r="I1197" s="36" t="n">
        <x:v>2</x:v>
      </x:c>
      <x:c r="J1197" s="34" t="str">
        <x:v>tomcat-findleaks-occurrence</x:v>
      </x:c>
      <x:c r="K1197" s="34" t="str">
        <x:v>afterFinalUndeploy.tomcatFindLeaksOccurrences</x:v>
      </x:c>
      <x:c r="L1197" s="36" t="n">
        <x:v>1</x:v>
      </x:c>
      <x:c r="M1197" s="34" t="str">
        <x:v>/jcs4</x:v>
      </x:c>
      <x:c r="N1197" s="44" t="str">
        <x:v>/jcs4</x:v>
      </x:c>
    </x:row>
    <x:row r="1198">
      <x:c r="A1198" s="36" t="n">
        <x:v>1197</x:v>
      </x:c>
      <x:c r="B1198" s="34" t="str">
        <x:v>article1-unified-v4-2-fb3f101b-20260903-000401-default-f06-p5-jcs4</x:v>
      </x:c>
      <x:c r="C1198" s="34" t="str">
        <x:v>default</x:v>
      </x:c>
      <x:c r="D1198" s="34" t="str">
        <x:v>jcs4</x:v>
      </x:c>
      <x:c r="E1198" s="36" t="n">
        <x:v>6</x:v>
      </x:c>
      <x:c r="F1198" s="36" t="n">
        <x:v>6</x:v>
      </x:c>
      <x:c r="G1198" s="36" t="n">
        <x:v>3</x:v>
      </x:c>
      <x:c r="H1198" s="34" t="str">
        <x:v>cycle-observation</x:v>
      </x:c>
      <x:c r="I1198" s="36" t="n">
        <x:v>1</x:v>
      </x:c>
      <x:c r="J1198" s="34" t="str">
        <x:v>tomcat-findleaks-occurrence</x:v>
      </x:c>
      <x:c r="K1198" s="34" t="str">
        <x:v>afterUndeploy.tomcatFindLeaksOccurrences</x:v>
      </x:c>
      <x:c r="L1198" s="36" t="n">
        <x:v>1</x:v>
      </x:c>
      <x:c r="M1198" s="34" t="str">
        <x:v>/jcs4</x:v>
      </x:c>
      <x:c r="N1198" s="44" t="str">
        <x:v>/jcs4</x:v>
      </x:c>
    </x:row>
    <x:row r="1199">
      <x:c r="A1199" s="36" t="n">
        <x:v>1198</x:v>
      </x:c>
      <x:c r="B1199" s="34" t="str">
        <x:v>article1-unified-v4-2-fb3f101b-20260903-000401-default-f06-p5-jcs4</x:v>
      </x:c>
      <x:c r="C1199" s="34" t="str">
        <x:v>default</x:v>
      </x:c>
      <x:c r="D1199" s="34" t="str">
        <x:v>jcs4</x:v>
      </x:c>
      <x:c r="E1199" s="36" t="n">
        <x:v>6</x:v>
      </x:c>
      <x:c r="F1199" s="36" t="n">
        <x:v>6</x:v>
      </x:c>
      <x:c r="G1199" s="36" t="n">
        <x:v>3</x:v>
      </x:c>
      <x:c r="H1199" s="34" t="str">
        <x:v>cycle-observation</x:v>
      </x:c>
      <x:c r="I1199" s="36" t="n">
        <x:v>2</x:v>
      </x:c>
      <x:c r="J1199" s="34" t="str">
        <x:v>tomcat-findleaks-occurrence</x:v>
      </x:c>
      <x:c r="K1199" s="34" t="str">
        <x:v>afterFinalUndeploy.tomcatFindLeaksOccurrences</x:v>
      </x:c>
      <x:c r="L1199" s="36" t="n">
        <x:v>1</x:v>
      </x:c>
      <x:c r="M1199" s="34" t="str">
        <x:v>/jcs4</x:v>
      </x:c>
      <x:c r="N1199" s="44" t="str">
        <x:v>/jcs4</x:v>
      </x:c>
    </x:row>
    <x:row r="1200">
      <x:c r="A1200" s="36" t="n">
        <x:v>1199</x:v>
      </x:c>
      <x:c r="B1200" s="34" t="str">
        <x:v>article1-unified-v4-2-fb3f101b-20260903-000401-default-f06-p5-jcs4</x:v>
      </x:c>
      <x:c r="C1200" s="34" t="str">
        <x:v>default</x:v>
      </x:c>
      <x:c r="D1200" s="34" t="str">
        <x:v>jcs4</x:v>
      </x:c>
      <x:c r="E1200" s="36" t="n">
        <x:v>6</x:v>
      </x:c>
      <x:c r="F1200" s="36" t="n">
        <x:v>6</x:v>
      </x:c>
      <x:c r="G1200" s="36" t="n">
        <x:v>4</x:v>
      </x:c>
      <x:c r="H1200" s="34" t="str">
        <x:v>cycle-observation</x:v>
      </x:c>
      <x:c r="I1200" s="36" t="n">
        <x:v>1</x:v>
      </x:c>
      <x:c r="J1200" s="34" t="str">
        <x:v>tomcat-findleaks-occurrence</x:v>
      </x:c>
      <x:c r="K1200" s="34" t="str">
        <x:v>afterUndeploy.tomcatFindLeaksOccurrences</x:v>
      </x:c>
      <x:c r="L1200" s="36" t="n">
        <x:v>1</x:v>
      </x:c>
      <x:c r="M1200" s="34" t="str">
        <x:v>/jcs4</x:v>
      </x:c>
      <x:c r="N1200" s="44" t="str">
        <x:v>/jcs4</x:v>
      </x:c>
    </x:row>
    <x:row r="1201">
      <x:c r="A1201" s="36" t="n">
        <x:v>1200</x:v>
      </x:c>
      <x:c r="B1201" s="34" t="str">
        <x:v>article1-unified-v4-2-fb3f101b-20260903-000401-default-f06-p5-jcs4</x:v>
      </x:c>
      <x:c r="C1201" s="34" t="str">
        <x:v>default</x:v>
      </x:c>
      <x:c r="D1201" s="34" t="str">
        <x:v>jcs4</x:v>
      </x:c>
      <x:c r="E1201" s="36" t="n">
        <x:v>6</x:v>
      </x:c>
      <x:c r="F1201" s="36" t="n">
        <x:v>6</x:v>
      </x:c>
      <x:c r="G1201" s="36" t="n">
        <x:v>4</x:v>
      </x:c>
      <x:c r="H1201" s="34" t="str">
        <x:v>cycle-observation</x:v>
      </x:c>
      <x:c r="I1201" s="36" t="n">
        <x:v>2</x:v>
      </x:c>
      <x:c r="J1201" s="34" t="str">
        <x:v>tomcat-findleaks-occurrence</x:v>
      </x:c>
      <x:c r="K1201" s="34" t="str">
        <x:v>afterFinalUndeploy.tomcatFindLeaksOccurrences</x:v>
      </x:c>
      <x:c r="L1201" s="36" t="n">
        <x:v>1</x:v>
      </x:c>
      <x:c r="M1201" s="34" t="str">
        <x:v>/jcs4</x:v>
      </x:c>
      <x:c r="N1201" s="44" t="str">
        <x:v>/jcs4</x:v>
      </x:c>
    </x:row>
    <x:row r="1202">
      <x:c r="A1202" s="36" t="n">
        <x:v>1201</x:v>
      </x:c>
      <x:c r="B1202" s="34" t="str">
        <x:v>article1-unified-v4-2-fb3f101b-20260903-000401-default-f06-p5-jcs4</x:v>
      </x:c>
      <x:c r="C1202" s="34" t="str">
        <x:v>default</x:v>
      </x:c>
      <x:c r="D1202" s="34" t="str">
        <x:v>jcs4</x:v>
      </x:c>
      <x:c r="E1202" s="36" t="n">
        <x:v>6</x:v>
      </x:c>
      <x:c r="F1202" s="36" t="n">
        <x:v>6</x:v>
      </x:c>
      <x:c r="G1202" s="36" t="n">
        <x:v>5</x:v>
      </x:c>
      <x:c r="H1202" s="34" t="str">
        <x:v>cycle-observation</x:v>
      </x:c>
      <x:c r="I1202" s="36" t="n">
        <x:v>1</x:v>
      </x:c>
      <x:c r="J1202" s="34" t="str">
        <x:v>tomcat-findleaks-occurrence</x:v>
      </x:c>
      <x:c r="K1202" s="34" t="str">
        <x:v>afterUndeploy.tomcatFindLeaksOccurrences</x:v>
      </x:c>
      <x:c r="L1202" s="36" t="n">
        <x:v>1</x:v>
      </x:c>
      <x:c r="M1202" s="34" t="str">
        <x:v>/jcs4</x:v>
      </x:c>
      <x:c r="N1202" s="44" t="str">
        <x:v>/jcs4</x:v>
      </x:c>
    </x:row>
    <x:row r="1203">
      <x:c r="A1203" s="36" t="n">
        <x:v>1202</x:v>
      </x:c>
      <x:c r="B1203" s="34" t="str">
        <x:v>article1-unified-v4-2-fb3f101b-20260903-000401-default-f06-p5-jcs4</x:v>
      </x:c>
      <x:c r="C1203" s="34" t="str">
        <x:v>default</x:v>
      </x:c>
      <x:c r="D1203" s="34" t="str">
        <x:v>jcs4</x:v>
      </x:c>
      <x:c r="E1203" s="36" t="n">
        <x:v>6</x:v>
      </x:c>
      <x:c r="F1203" s="36" t="n">
        <x:v>6</x:v>
      </x:c>
      <x:c r="G1203" s="36" t="n">
        <x:v>5</x:v>
      </x:c>
      <x:c r="H1203" s="34" t="str">
        <x:v>cycle-observation</x:v>
      </x:c>
      <x:c r="I1203" s="36" t="n">
        <x:v>2</x:v>
      </x:c>
      <x:c r="J1203" s="34" t="str">
        <x:v>tomcat-findleaks-occurrence</x:v>
      </x:c>
      <x:c r="K1203" s="34" t="str">
        <x:v>afterFinalUndeploy.tomcatFindLeaksOccurrences</x:v>
      </x:c>
      <x:c r="L1203" s="36" t="n">
        <x:v>1</x:v>
      </x:c>
      <x:c r="M1203" s="34" t="str">
        <x:v>/jcs4</x:v>
      </x:c>
      <x:c r="N1203" s="44" t="str">
        <x:v>/jcs4</x:v>
      </x:c>
    </x:row>
    <x:row r="1204">
      <x:c r="A1204" s="36" t="n">
        <x:v>1203</x:v>
      </x:c>
      <x:c r="B1204" s="34" t="str">
        <x:v>article1-unified-v4-2-fb3f101b-20260903-000401-default-f06-p6-cache2k</x:v>
      </x:c>
      <x:c r="C1204" s="34" t="str">
        <x:v>default</x:v>
      </x:c>
      <x:c r="D1204" s="34" t="str">
        <x:v>cache2k</x:v>
      </x:c>
      <x:c r="E1204" s="36" t="n">
        <x:v>6</x:v>
      </x:c>
      <x:c r="F1204" s="36" t="n">
        <x:v>6</x:v>
      </x:c>
      <x:c r="G1204" s="36" t="n">
        <x:v>1</x:v>
      </x:c>
      <x:c r="H1204" s="34" t="str">
        <x:v>cycle-observation</x:v>
      </x:c>
      <x:c r="I1204" s="36" t="n">
        <x:v>1</x:v>
      </x:c>
      <x:c r="J1204" s="34" t="str">
        <x:v>tomcat-findleaks-occurrence</x:v>
      </x:c>
      <x:c r="K1204" s="34" t="str">
        <x:v>afterUndeploy.tomcatFindLeaksOccurrences</x:v>
      </x:c>
      <x:c r="L1204" s="36" t="n">
        <x:v>1</x:v>
      </x:c>
      <x:c r="M1204" s="34" t="str">
        <x:v>/cache2k</x:v>
      </x:c>
      <x:c r="N1204" s="44" t="str">
        <x:v>/cache2k</x:v>
      </x:c>
    </x:row>
    <x:row r="1205">
      <x:c r="A1205" s="36" t="n">
        <x:v>1204</x:v>
      </x:c>
      <x:c r="B1205" s="34" t="str">
        <x:v>article1-unified-v4-2-fb3f101b-20260903-000401-default-f06-p6-cache2k</x:v>
      </x:c>
      <x:c r="C1205" s="34" t="str">
        <x:v>default</x:v>
      </x:c>
      <x:c r="D1205" s="34" t="str">
        <x:v>cache2k</x:v>
      </x:c>
      <x:c r="E1205" s="36" t="n">
        <x:v>6</x:v>
      </x:c>
      <x:c r="F1205" s="36" t="n">
        <x:v>6</x:v>
      </x:c>
      <x:c r="G1205" s="36" t="n">
        <x:v>1</x:v>
      </x:c>
      <x:c r="H1205" s="34" t="str">
        <x:v>cycle-observation</x:v>
      </x:c>
      <x:c r="I1205" s="36" t="n">
        <x:v>2</x:v>
      </x:c>
      <x:c r="J1205" s="34" t="str">
        <x:v>tomcat-findleaks-occurrence</x:v>
      </x:c>
      <x:c r="K1205" s="34" t="str">
        <x:v>afterFinalUndeploy.tomcatFindLeaksOccurrences</x:v>
      </x:c>
      <x:c r="L1205" s="36" t="n">
        <x:v>1</x:v>
      </x:c>
      <x:c r="M1205" s="34" t="str">
        <x:v>/cache2k</x:v>
      </x:c>
      <x:c r="N1205" s="44" t="str">
        <x:v>/cache2k</x:v>
      </x:c>
    </x:row>
    <x:row r="1206">
      <x:c r="A1206" s="36" t="n">
        <x:v>1205</x:v>
      </x:c>
      <x:c r="B1206" s="34" t="str">
        <x:v>article1-unified-v4-2-fb3f101b-20260903-000401-default-f06-p6-cache2k</x:v>
      </x:c>
      <x:c r="C1206" s="34" t="str">
        <x:v>default</x:v>
      </x:c>
      <x:c r="D1206" s="34" t="str">
        <x:v>cache2k</x:v>
      </x:c>
      <x:c r="E1206" s="36" t="n">
        <x:v>6</x:v>
      </x:c>
      <x:c r="F1206" s="36" t="n">
        <x:v>6</x:v>
      </x:c>
      <x:c r="G1206" s="36" t="n">
        <x:v>2</x:v>
      </x:c>
      <x:c r="H1206" s="34" t="str">
        <x:v>cycle-observation</x:v>
      </x:c>
      <x:c r="I1206" s="36" t="n">
        <x:v>1</x:v>
      </x:c>
      <x:c r="J1206" s="34" t="str">
        <x:v>tomcat-findleaks-occurrence</x:v>
      </x:c>
      <x:c r="K1206" s="34" t="str">
        <x:v>afterUndeploy.tomcatFindLeaksOccurrences</x:v>
      </x:c>
      <x:c r="L1206" s="36" t="n">
        <x:v>1</x:v>
      </x:c>
      <x:c r="M1206" s="34" t="str">
        <x:v>/cache2k</x:v>
      </x:c>
      <x:c r="N1206" s="44" t="str">
        <x:v>/cache2k</x:v>
      </x:c>
    </x:row>
    <x:row r="1207">
      <x:c r="A1207" s="36" t="n">
        <x:v>1206</x:v>
      </x:c>
      <x:c r="B1207" s="34" t="str">
        <x:v>article1-unified-v4-2-fb3f101b-20260903-000401-default-f06-p6-cache2k</x:v>
      </x:c>
      <x:c r="C1207" s="34" t="str">
        <x:v>default</x:v>
      </x:c>
      <x:c r="D1207" s="34" t="str">
        <x:v>cache2k</x:v>
      </x:c>
      <x:c r="E1207" s="36" t="n">
        <x:v>6</x:v>
      </x:c>
      <x:c r="F1207" s="36" t="n">
        <x:v>6</x:v>
      </x:c>
      <x:c r="G1207" s="36" t="n">
        <x:v>2</x:v>
      </x:c>
      <x:c r="H1207" s="34" t="str">
        <x:v>cycle-observation</x:v>
      </x:c>
      <x:c r="I1207" s="36" t="n">
        <x:v>2</x:v>
      </x:c>
      <x:c r="J1207" s="34" t="str">
        <x:v>tomcat-findleaks-occurrence</x:v>
      </x:c>
      <x:c r="K1207" s="34" t="str">
        <x:v>afterFinalUndeploy.tomcatFindLeaksOccurrences</x:v>
      </x:c>
      <x:c r="L1207" s="36" t="n">
        <x:v>1</x:v>
      </x:c>
      <x:c r="M1207" s="34" t="str">
        <x:v>/cache2k</x:v>
      </x:c>
      <x:c r="N1207" s="44" t="str">
        <x:v>/cache2k</x:v>
      </x:c>
    </x:row>
    <x:row r="1208">
      <x:c r="A1208" s="36" t="n">
        <x:v>1207</x:v>
      </x:c>
      <x:c r="B1208" s="34" t="str">
        <x:v>article1-unified-v4-2-fb3f101b-20260903-000401-default-f06-p6-cache2k</x:v>
      </x:c>
      <x:c r="C1208" s="34" t="str">
        <x:v>default</x:v>
      </x:c>
      <x:c r="D1208" s="34" t="str">
        <x:v>cache2k</x:v>
      </x:c>
      <x:c r="E1208" s="36" t="n">
        <x:v>6</x:v>
      </x:c>
      <x:c r="F1208" s="36" t="n">
        <x:v>6</x:v>
      </x:c>
      <x:c r="G1208" s="36" t="n">
        <x:v>3</x:v>
      </x:c>
      <x:c r="H1208" s="34" t="str">
        <x:v>cycle-observation</x:v>
      </x:c>
      <x:c r="I1208" s="36" t="n">
        <x:v>1</x:v>
      </x:c>
      <x:c r="J1208" s="34" t="str">
        <x:v>tomcat-findleaks-occurrence</x:v>
      </x:c>
      <x:c r="K1208" s="34" t="str">
        <x:v>afterUndeploy.tomcatFindLeaksOccurrences</x:v>
      </x:c>
      <x:c r="L1208" s="36" t="n">
        <x:v>1</x:v>
      </x:c>
      <x:c r="M1208" s="34" t="str">
        <x:v>/cache2k</x:v>
      </x:c>
      <x:c r="N1208" s="44" t="str">
        <x:v>/cache2k</x:v>
      </x:c>
    </x:row>
    <x:row r="1209">
      <x:c r="A1209" s="36" t="n">
        <x:v>1208</x:v>
      </x:c>
      <x:c r="B1209" s="34" t="str">
        <x:v>article1-unified-v4-2-fb3f101b-20260903-000401-default-f06-p6-cache2k</x:v>
      </x:c>
      <x:c r="C1209" s="34" t="str">
        <x:v>default</x:v>
      </x:c>
      <x:c r="D1209" s="34" t="str">
        <x:v>cache2k</x:v>
      </x:c>
      <x:c r="E1209" s="36" t="n">
        <x:v>6</x:v>
      </x:c>
      <x:c r="F1209" s="36" t="n">
        <x:v>6</x:v>
      </x:c>
      <x:c r="G1209" s="36" t="n">
        <x:v>3</x:v>
      </x:c>
      <x:c r="H1209" s="34" t="str">
        <x:v>cycle-observation</x:v>
      </x:c>
      <x:c r="I1209" s="36" t="n">
        <x:v>2</x:v>
      </x:c>
      <x:c r="J1209" s="34" t="str">
        <x:v>tomcat-findleaks-occurrence</x:v>
      </x:c>
      <x:c r="K1209" s="34" t="str">
        <x:v>afterFinalUndeploy.tomcatFindLeaksOccurrences</x:v>
      </x:c>
      <x:c r="L1209" s="36" t="n">
        <x:v>1</x:v>
      </x:c>
      <x:c r="M1209" s="34" t="str">
        <x:v>/cache2k</x:v>
      </x:c>
      <x:c r="N1209" s="44" t="str">
        <x:v>/cache2k</x:v>
      </x:c>
    </x:row>
    <x:row r="1210">
      <x:c r="A1210" s="36" t="n">
        <x:v>1209</x:v>
      </x:c>
      <x:c r="B1210" s="34" t="str">
        <x:v>article1-unified-v4-2-fb3f101b-20260903-000401-default-f06-p6-cache2k</x:v>
      </x:c>
      <x:c r="C1210" s="34" t="str">
        <x:v>default</x:v>
      </x:c>
      <x:c r="D1210" s="34" t="str">
        <x:v>cache2k</x:v>
      </x:c>
      <x:c r="E1210" s="36" t="n">
        <x:v>6</x:v>
      </x:c>
      <x:c r="F1210" s="36" t="n">
        <x:v>6</x:v>
      </x:c>
      <x:c r="G1210" s="36" t="n">
        <x:v>4</x:v>
      </x:c>
      <x:c r="H1210" s="34" t="str">
        <x:v>cycle-observation</x:v>
      </x:c>
      <x:c r="I1210" s="36" t="n">
        <x:v>1</x:v>
      </x:c>
      <x:c r="J1210" s="34" t="str">
        <x:v>tomcat-findleaks-occurrence</x:v>
      </x:c>
      <x:c r="K1210" s="34" t="str">
        <x:v>afterUndeploy.tomcatFindLeaksOccurrences</x:v>
      </x:c>
      <x:c r="L1210" s="36" t="n">
        <x:v>1</x:v>
      </x:c>
      <x:c r="M1210" s="34" t="str">
        <x:v>/cache2k</x:v>
      </x:c>
      <x:c r="N1210" s="44" t="str">
        <x:v>/cache2k</x:v>
      </x:c>
    </x:row>
    <x:row r="1211">
      <x:c r="A1211" s="36" t="n">
        <x:v>1210</x:v>
      </x:c>
      <x:c r="B1211" s="34" t="str">
        <x:v>article1-unified-v4-2-fb3f101b-20260903-000401-default-f06-p6-cache2k</x:v>
      </x:c>
      <x:c r="C1211" s="34" t="str">
        <x:v>default</x:v>
      </x:c>
      <x:c r="D1211" s="34" t="str">
        <x:v>cache2k</x:v>
      </x:c>
      <x:c r="E1211" s="36" t="n">
        <x:v>6</x:v>
      </x:c>
      <x:c r="F1211" s="36" t="n">
        <x:v>6</x:v>
      </x:c>
      <x:c r="G1211" s="36" t="n">
        <x:v>4</x:v>
      </x:c>
      <x:c r="H1211" s="34" t="str">
        <x:v>cycle-observation</x:v>
      </x:c>
      <x:c r="I1211" s="36" t="n">
        <x:v>2</x:v>
      </x:c>
      <x:c r="J1211" s="34" t="str">
        <x:v>tomcat-findleaks-occurrence</x:v>
      </x:c>
      <x:c r="K1211" s="34" t="str">
        <x:v>afterFinalUndeploy.tomcatFindLeaksOccurrences</x:v>
      </x:c>
      <x:c r="L1211" s="36" t="n">
        <x:v>1</x:v>
      </x:c>
      <x:c r="M1211" s="34" t="str">
        <x:v>/cache2k</x:v>
      </x:c>
      <x:c r="N1211" s="44" t="str">
        <x:v>/cache2k</x:v>
      </x:c>
    </x:row>
    <x:row r="1212">
      <x:c r="A1212" s="36" t="n">
        <x:v>1211</x:v>
      </x:c>
      <x:c r="B1212" s="34" t="str">
        <x:v>article1-unified-v4-2-fb3f101b-20260903-000401-default-f06-p6-cache2k</x:v>
      </x:c>
      <x:c r="C1212" s="34" t="str">
        <x:v>default</x:v>
      </x:c>
      <x:c r="D1212" s="34" t="str">
        <x:v>cache2k</x:v>
      </x:c>
      <x:c r="E1212" s="36" t="n">
        <x:v>6</x:v>
      </x:c>
      <x:c r="F1212" s="36" t="n">
        <x:v>6</x:v>
      </x:c>
      <x:c r="G1212" s="36" t="n">
        <x:v>5</x:v>
      </x:c>
      <x:c r="H1212" s="34" t="str">
        <x:v>cycle-observation</x:v>
      </x:c>
      <x:c r="I1212" s="36" t="n">
        <x:v>1</x:v>
      </x:c>
      <x:c r="J1212" s="34" t="str">
        <x:v>tomcat-findleaks-occurrence</x:v>
      </x:c>
      <x:c r="K1212" s="34" t="str">
        <x:v>afterUndeploy.tomcatFindLeaksOccurrences</x:v>
      </x:c>
      <x:c r="L1212" s="36" t="n">
        <x:v>1</x:v>
      </x:c>
      <x:c r="M1212" s="34" t="str">
        <x:v>/cache2k</x:v>
      </x:c>
      <x:c r="N1212" s="44" t="str">
        <x:v>/cache2k</x:v>
      </x:c>
    </x:row>
    <x:row r="1213">
      <x:c r="A1213" s="36" t="n">
        <x:v>1212</x:v>
      </x:c>
      <x:c r="B1213" s="34" t="str">
        <x:v>article1-unified-v4-2-fb3f101b-20260903-000401-default-f06-p6-cache2k</x:v>
      </x:c>
      <x:c r="C1213" s="34" t="str">
        <x:v>default</x:v>
      </x:c>
      <x:c r="D1213" s="34" t="str">
        <x:v>cache2k</x:v>
      </x:c>
      <x:c r="E1213" s="36" t="n">
        <x:v>6</x:v>
      </x:c>
      <x:c r="F1213" s="36" t="n">
        <x:v>6</x:v>
      </x:c>
      <x:c r="G1213" s="36" t="n">
        <x:v>5</x:v>
      </x:c>
      <x:c r="H1213" s="34" t="str">
        <x:v>cycle-observation</x:v>
      </x:c>
      <x:c r="I1213" s="36" t="n">
        <x:v>2</x:v>
      </x:c>
      <x:c r="J1213" s="34" t="str">
        <x:v>tomcat-findleaks-occurrence</x:v>
      </x:c>
      <x:c r="K1213" s="34" t="str">
        <x:v>afterFinalUndeploy.tomcatFindLeaksOccurrences</x:v>
      </x:c>
      <x:c r="L1213" s="36" t="n">
        <x:v>1</x:v>
      </x:c>
      <x:c r="M1213" s="34" t="str">
        <x:v>/cache2k</x:v>
      </x:c>
      <x:c r="N1213" s="44" t="str">
        <x:v>/cache2k</x:v>
      </x:c>
    </x:row>
  </x:sheetData>
  <x:pageMargins left="0.7" right="0.7" top="0.75" bottom="0.75" header="0.3" footer="0.3"/>
  <x:tableParts count="1">
    <x:tablePart xmlns:r="http://schemas.openxmlformats.org/officeDocument/2006/relationships" r:id="R7989664da1be41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2" hidden="0" customWidth="1"/>
    <x:col min="3" max="3" width="13" hidden="0" customWidth="1"/>
    <x:col min="4" max="4" width="8" hidden="0" customWidth="1"/>
    <x:col min="5" max="5" width="12" hidden="0" customWidth="1"/>
    <x:col min="6" max="6" width="12" hidden="0" customWidth="1"/>
    <x:col min="7" max="7" width="8" hidden="0" customWidth="1"/>
    <x:col min="8" max="8" width="11" hidden="0" customWidth="1"/>
    <x:col min="9" max="9" width="20" hidden="0" customWidth="1"/>
    <x:col min="10" max="10" width="12" hidden="0" customWidth="1"/>
    <x:col min="11" max="11" width="16" hidden="0" customWidth="1"/>
    <x:col min="12" max="12" width="19" hidden="0" customWidth="1"/>
    <x:col min="13" max="13" width="19" hidden="0" customWidth="1"/>
    <x:col min="14" max="14" width="18" hidden="0" customWidth="1"/>
    <x:col min="15" max="15" width="17" hidden="0" customWidth="1"/>
    <x:col min="16" max="16" width="22" hidden="0" customWidth="1"/>
    <x:col min="17" max="17" width="21" hidden="0" customWidth="1"/>
    <x:col min="18" max="18" width="19" hidden="0" customWidth="1"/>
    <x:col min="19" max="19" width="19" hidden="0" customWidth="1"/>
    <x:col min="20" max="20" width="19" hidden="0" customWidth="1"/>
    <x:col min="21" max="21" width="17" hidden="0" customWidth="1"/>
    <x:col min="22" max="22" width="12" hidden="0" customWidth="1"/>
    <x:col min="23" max="23" width="15" hidden="0" customWidth="1"/>
    <x:col min="24" max="24" width="15" hidden="0" customWidth="1"/>
    <x:col min="25" max="25" width="15" hidden="0" customWidth="1"/>
    <x:col min="26" max="26" width="17" hidden="0" customWidth="1"/>
    <x:col min="27" max="27" width="16" hidden="0" customWidth="1"/>
    <x:col min="28" max="28" width="20" hidden="0" customWidth="1"/>
    <x:col min="29" max="29" width="18" hidden="0" customWidth="1"/>
    <x:col min="30" max="30" width="21" hidden="0" customWidth="1"/>
    <x:col min="31" max="31" width="21" hidden="0" customWidth="1"/>
    <x:col min="32" max="32" width="17" hidden="0" customWidth="1"/>
    <x:col min="33" max="33" width="19" hidden="0" customWidth="1"/>
    <x:col min="34" max="34" width="20" hidden="0" customWidth="1"/>
    <x:col min="35" max="35" width="19" hidden="0" customWidth="1"/>
    <x:col min="36" max="36" width="20" hidden="0" customWidth="1"/>
    <x:col min="37" max="37" width="15" hidden="0" customWidth="1"/>
    <x:col min="38" max="38" width="17" hidden="0" customWidth="1"/>
    <x:col min="39" max="39" width="18" hidden="0" customWidth="1"/>
    <x:col min="40" max="40" width="21" hidden="0" customWidth="1"/>
    <x:col min="41" max="41" width="20" hidden="0" customWidth="1"/>
    <x:col min="42" max="42" width="15" hidden="0" customWidth="1"/>
    <x:col min="43" max="43" width="19" hidden="0" customWidth="1"/>
    <x:col min="44" max="44" width="19" hidden="0" customWidth="1"/>
    <x:col min="45" max="45" width="18" hidden="0" customWidth="1"/>
    <x:col min="46" max="46" width="23" hidden="0" customWidth="1"/>
    <x:col min="47" max="47" width="24" hidden="0" customWidth="1"/>
    <x:col min="48" max="48" width="21" hidden="0" customWidth="1"/>
    <x:col min="49" max="49" width="22" hidden="0" customWidth="1"/>
    <x:col min="50" max="50" width="22" hidden="0" customWidth="1"/>
    <x:col min="51" max="51" width="22" hidden="0" customWidth="1"/>
    <x:col min="52" max="52" width="21" hidden="0" customWidth="1"/>
    <x:col min="53" max="53" width="22" hidden="0" customWidth="1"/>
    <x:col min="54" max="54" width="21" hidden="0" customWidth="1"/>
    <x:col min="55" max="55" width="22" hidden="0" customWidth="1"/>
    <x:col min="56" max="56" width="24" hidden="0" customWidth="1"/>
    <x:col min="57" max="57" width="21" hidden="0" customWidth="1"/>
    <x:col min="58" max="58" width="22" hidden="0" customWidth="1"/>
    <x:col min="59" max="59" width="21" hidden="0" customWidth="1"/>
    <x:col min="60" max="60" width="22" hidden="0" customWidth="1"/>
    <x:col min="61" max="61" width="21" hidden="0" customWidth="1"/>
  </x:cols>
  <x:sheetData>
    <x:row r="1" ht="31" customHeight="1">
      <x:c r="A1" s="23" t="str">
        <x:v>processRunId</x:v>
      </x:c>
      <x:c r="B1" s="23" t="str">
        <x:v>scenario</x:v>
      </x:c>
      <x:c r="C1" s="23" t="str">
        <x:v>provider</x:v>
      </x:c>
      <x:c r="D1" s="23" t="str">
        <x:v>fork</x:v>
      </x:c>
      <x:c r="E1" s="23" t="str">
        <x:v>Williams block</x:v>
      </x:c>
      <x:c r="F1" s="23" t="str">
        <x:v>orderPosition</x:v>
      </x:c>
      <x:c r="G1" s="23" t="str">
        <x:v>cycle</x:v>
      </x:c>
      <x:c r="H1" s="23" t="str">
        <x:v>phase</x:v>
      </x:c>
      <x:c r="I1" s="23" t="str">
        <x:v>gateType</x:v>
      </x:c>
      <x:c r="J1" s="23" t="str">
        <x:v>block valid</x:v>
      </x:c>
      <x:c r="K1" s="23" t="str">
        <x:v>performance eligible</x:v>
      </x:c>
      <x:c r="L1" s="23" t="str">
        <x:v>operations completed (runner)</x:v>
      </x:c>
      <x:c r="M1" s="23" t="str">
        <x:v>required operations (runner)</x:v>
      </x:c>
      <x:c r="N1" s="23" t="str">
        <x:v>measured operations</x:v>
      </x:c>
      <x:c r="O1" s="23" t="str">
        <x:v>throughput (ops/s)</x:v>
      </x:c>
      <x:c r="P1" s="23" t="str">
        <x:v>operation measurements valid (runner)</x:v>
      </x:c>
      <x:c r="Q1" s="23" t="str">
        <x:v>metric checkpoints valid (runner)</x:v>
      </x:c>
      <x:c r="R1" s="23" t="str">
        <x:v>legacy metrics = post-write</x:v>
      </x:c>
      <x:c r="S1" s="23" t="str">
        <x:v>requested duration (ns)</x:v>
      </x:c>
      <x:c r="T1" s="23" t="str">
        <x:v>observed duration (ns)</x:v>
      </x:c>
      <x:c r="U1" s="23" t="str">
        <x:v>duration gate (runner)</x:v>
      </x:c>
      <x:c r="V1" s="23" t="str">
        <x:v>workload</x:v>
      </x:c>
      <x:c r="W1" s="23" t="str">
        <x:v>target hit rate (%)</x:v>
      </x:c>
      <x:c r="X1" s="23" t="str">
        <x:v>expected hit rate</x:v>
      </x:c>
      <x:c r="Y1" s="23" t="str">
        <x:v>observed hit rate</x:v>
      </x:c>
      <x:c r="Z1" s="23" t="str">
        <x:v>hit-rate gate (runner)</x:v>
      </x:c>
      <x:c r="AA1" s="23" t="str">
        <x:v>configured entries</x:v>
      </x:c>
      <x:c r="AB1" s="23" t="str">
        <x:v>minimum entries after workload</x:v>
      </x:c>
      <x:c r="AC1" s="23" t="str">
        <x:v>entries after workload</x:v>
      </x:c>
      <x:c r="AD1" s="23" t="str">
        <x:v>post-workload capacity (runner)</x:v>
      </x:c>
      <x:c r="AE1" s="23" t="str">
        <x:v>minimum entries after write probe</x:v>
      </x:c>
      <x:c r="AF1" s="23" t="str">
        <x:v>expected stored entries</x:v>
      </x:c>
      <x:c r="AG1" s="23" t="str">
        <x:v>entries after write probe</x:v>
      </x:c>
      <x:c r="AH1" s="23" t="str">
        <x:v>post-write capacity (runner)</x:v>
      </x:c>
      <x:c r="AI1" s="23" t="str">
        <x:v>both capacity gates (runner)</x:v>
      </x:c>
      <x:c r="AJ1" s="23" t="str">
        <x:v>no entries retained (runner)</x:v>
      </x:c>
      <x:c r="AK1" s="23" t="str">
        <x:v>no-store hit rate</x:v>
      </x:c>
      <x:c r="AL1" s="23" t="str">
        <x:v>zero-hits gate (runner)</x:v>
      </x:c>
      <x:c r="AM1" s="23" t="str">
        <x:v>single-flight applicable</x:v>
      </x:c>
      <x:c r="AN1" s="23" t="str">
        <x:v>loader calls under contention</x:v>
      </x:c>
      <x:c r="AO1" s="23" t="str">
        <x:v>single-flight gate (runner)</x:v>
      </x:c>
      <x:c r="AP1" s="23" t="str">
        <x:v>runner gate result</x:v>
      </x:c>
      <x:c r="AQ1" s="23" t="str">
        <x:v>observed duration (s, formula)</x:v>
      </x:c>
      <x:c r="AR1" s="23" t="str">
        <x:v>observed/requested (formula)</x:v>
      </x:c>
      <x:c r="AS1" s="23" t="str">
        <x:v>|hit-rate Δ| (pp, formula)</x:v>
      </x:c>
      <x:c r="AT1" s="23" t="str">
        <x:v>operation measurements valid (formula)</x:v>
      </x:c>
      <x:c r="AU1" s="23" t="str">
        <x:v>operations completed (numeric formula)</x:v>
      </x:c>
      <x:c r="AV1" s="23" t="str">
        <x:v>duration gate (numeric formula)</x:v>
      </x:c>
      <x:c r="AW1" s="23" t="str">
        <x:v>hit-rate gate (numeric formula)</x:v>
      </x:c>
      <x:c r="AX1" s="23" t="str">
        <x:v>minimum entries (numeric formula)</x:v>
      </x:c>
      <x:c r="AY1" s="23" t="str">
        <x:v>post-workload minimum = runner</x:v>
      </x:c>
      <x:c r="AZ1" s="23" t="str">
        <x:v>post-write minimum = runner</x:v>
      </x:c>
      <x:c r="BA1" s="23" t="str">
        <x:v>post-workload capacity (formula)</x:v>
      </x:c>
      <x:c r="BB1" s="23" t="str">
        <x:v>post-write capacity (formula)</x:v>
      </x:c>
      <x:c r="BC1" s="23" t="str">
        <x:v>both capacity gates (formula)</x:v>
      </x:c>
      <x:c r="BD1" s="23" t="str">
        <x:v>no-store empty at both checkpoints (formula)</x:v>
      </x:c>
      <x:c r="BE1" s="23" t="str">
        <x:v>no-store zero hits (numeric formula)</x:v>
      </x:c>
      <x:c r="BF1" s="23" t="str">
        <x:v>single-flight (numeric formula)</x:v>
      </x:c>
      <x:c r="BG1" s="23" t="str">
        <x:v>recomputed gate (numeric formula)</x:v>
      </x:c>
      <x:c r="BH1" s="23" t="str">
        <x:v>all numeric gates = runner</x:v>
      </x:c>
      <x:c r="BI1" s="23" t="str">
        <x:v>expected performance inclusion</x:v>
      </x:c>
    </x:row>
    <x:row r="2">
      <x:c r="A2" s="34" t="str">
        <x:v>article1-unified-v4-2-fb3f101b-20260903-000401-default-f01-p1-caffeine</x:v>
      </x:c>
      <x:c r="B2" s="34" t="str">
        <x:v>default</x:v>
      </x:c>
      <x:c r="C2" s="34" t="str">
        <x:v>caffeine</x:v>
      </x:c>
      <x:c r="D2" s="36" t="n">
        <x:v>1</x:v>
      </x:c>
      <x:c r="E2" s="36" t="n">
        <x:v>1</x:v>
      </x:c>
      <x:c r="F2" s="36" t="n">
        <x:v>1</x:v>
      </x:c>
      <x:c r="G2" s="36" t="n">
        <x:v>1</x:v>
      </x:c>
      <x:c r="H2" s="34" t="str">
        <x:v>initial</x:v>
      </x:c>
      <x:c r="I2" s="34" t="str">
        <x:v>cache-semantics</x:v>
      </x:c>
      <x:c r="J2" s="45" t="b">
        <x:v>1</x:v>
      </x:c>
      <x:c r="K2" s="45" t="b">
        <x:v>1</x:v>
      </x:c>
      <x:c r="L2" s="45" t="b">
        <x:v>1</x:v>
      </x:c>
      <x:c r="M2" s="43" t="n">
        <x:v>400000</x:v>
      </x:c>
      <x:c r="N2" s="43" t="n">
        <x:v>127727872</x:v>
      </x:c>
      <x:c r="O2" s="43" t="n">
        <x:v>25497637.617392696</x:v>
      </x:c>
      <x:c r="P2" s="45" t="b">
        <x:v>1</x:v>
      </x:c>
      <x:c r="Q2" s="45" t="b">
        <x:v>1</x:v>
      </x:c>
      <x:c r="R2" s="45" t="b">
        <x:v>1</x:v>
      </x:c>
      <x:c r="S2" s="43" t="n">
        <x:v>5000000000</x:v>
      </x:c>
      <x:c r="T2" s="43" t="n">
        <x:v>5009400240</x:v>
      </x:c>
      <x:c r="U2" s="45" t="b">
        <x:v>1</x:v>
      </x:c>
      <x:c r="V2" s="34" t="str">
        <x:v>uniform</x:v>
      </x:c>
      <x:c r="W2" s="42" t="n">
        <x:v>95</x:v>
      </x:c>
      <x:c r="X2" s="48" t="n">
        <x:v>0.95</x:v>
      </x:c>
      <x:c r="Y2" s="48" t="n">
        <x:v>0.9496100976300615</x:v>
      </x:c>
      <x:c r="Z2" s="45" t="b">
        <x:v>1</x:v>
      </x:c>
      <x:c r="AA2" s="43" t="n">
        <x:v>10000</x:v>
      </x:c>
      <x:c r="AB2" s="43" t="n">
        <x:v>9900</x:v>
      </x:c>
      <x:c r="AC2" s="43" t="n">
        <x:v>10000</x:v>
      </x:c>
      <x:c r="AD2" s="45" t="b">
        <x:v>1</x:v>
      </x:c>
      <x:c r="AE2" s="43" t="n">
        <x:v>9900</x:v>
      </x:c>
      <x:c r="AF2" s="43"/>
      <x:c r="AG2" s="43" t="n">
        <x:v>10000</x:v>
      </x:c>
      <x:c r="AH2" s="45" t="b">
        <x:v>1</x:v>
      </x:c>
      <x:c r="AI2" s="45" t="b">
        <x:v>1</x:v>
      </x:c>
      <x:c r="AJ2" s="49"/>
      <x:c r="AK2" s="48" t="n">
        <x:v>0.9496100976300615</x:v>
      </x:c>
      <x:c r="AL2" s="49"/>
      <x:c r="AM2" s="49"/>
      <x:c r="AN2" s="36" t="n">
        <x:v>1</x:v>
      </x:c>
      <x:c r="AO2" s="45" t="b">
        <x:v>1</x:v>
      </x:c>
      <x:c r="AP2" s="45" t="b">
        <x:v>1</x:v>
      </x:c>
      <x:c r="AQ2" s="46" t="n">
        <x:f>IF(T2="","",T2/'Readme-Protocol'!$B$24)</x:f>
        <x:v>5.00940024</x:v>
      </x:c>
      <x:c r="AR2" s="46" t="n">
        <x:f>IF(OR(S2="",S2=0),"",T2/S2)</x:f>
        <x:v>1.001880048</x:v>
      </x:c>
      <x:c r="AS2" s="46" t="n">
        <x:f>IF(OR(X2="",Y2=""),"",ABS(Y2-X2)*'Readme-Protocol'!$B$27)</x:f>
        <x:v>0.038990236993841076</x:v>
      </x:c>
      <x:c r="AT2" s="49" t="b">
        <x:f>AND(M2&gt;0,N2&gt;=0,O2&gt;0)</x:f>
        <x:v>1</x:v>
      </x:c>
      <x:c r="AU2" s="49" t="b">
        <x:f>AND(AT2,N2&gt;=M2)</x:f>
        <x:v>1</x:v>
      </x:c>
      <x:c r="AV2" s="49" t="b">
        <x:f>OR(S2=0,T2&gt;=S2)</x:f>
        <x:v>1</x:v>
      </x:c>
      <x:c r="AW2" s="49" t="b">
        <x:f>IF(I2="cache-semantics",OR(V2&lt;&gt;"uniform",ABS(Y2-W2/'Readme-Protocol'!$B$27)&lt;='Readme-Protocol'!$B$28),TRUE)</x:f>
        <x:v>1</x:v>
      </x:c>
      <x:c r="AX2" s="43" t="n">
        <x:f>IF(I2="cache-semantics",INT(AA2*'Readme-Protocol'!$B$32),"")</x:f>
        <x:v>9900</x:v>
      </x:c>
      <x:c r="AY2" s="49" t="b">
        <x:f>IF(I2="cache-semantics",AX2=AB2,TRUE)</x:f>
        <x:v>1</x:v>
      </x:c>
      <x:c r="AZ2" s="49" t="b">
        <x:f>IF(I2="cache-semantics",AX2=AE2,TRUE)</x:f>
        <x:v>1</x:v>
      </x:c>
      <x:c r="BA2" s="49" t="b">
        <x:f>IF(I2="cache-semantics",AC2&gt;=AX2,IF(I2="no-store-control",AC2=0,FALSE))</x:f>
        <x:v>1</x:v>
      </x:c>
      <x:c r="BB2" s="49" t="b">
        <x:f>IF(I2="cache-semantics",AG2&gt;=AX2,IF(I2="no-store-control",AG2=0,FALSE))</x:f>
        <x:v>1</x:v>
      </x:c>
      <x:c r="BC2" s="49" t="b">
        <x:f>AND(BA2,BB2)</x:f>
        <x:v>1</x:v>
      </x:c>
      <x:c r="BD2" s="49" t="b">
        <x:f>IF(I2="no-store-control",AND(AC2=0,AG2=0),TRUE)</x:f>
        <x:v>1</x:v>
      </x:c>
      <x:c r="BE2" s="49" t="b">
        <x:f>IF(I2="no-store-control",AK2=0,TRUE)</x:f>
        <x:v>1</x:v>
      </x:c>
      <x:c r="BF2" s="49" t="b">
        <x:f>IF(I2="cache-semantics",AN2=1,TRUE)</x:f>
        <x:v>1</x:v>
      </x:c>
      <x:c r="BG2" s="49" t="b">
        <x:f>IF(I2="cache-semantics",AND(AU2,AV2,Q2,AW2,BC2,BF2),IF(I2="no-store-control",AND(AU2,AV2,Q2,BD2,BE2),FALSE))</x:f>
        <x:v>1</x:v>
      </x:c>
      <x:c r="BH2" s="49" t="b">
        <x:f>AND(R2,AT2=P2,AU2=L2,AV2=U2,AY2,AZ2,IF(I2="cache-semantics",AND(AW2=Z2,AND(BA2=AD2,BB2=AH2,BC2=AI2),BF2=AO2),IF(I2="no-store-control",AND(AND(BA2=AD2,BB2=AH2,BC2=AI2),BD2=AJ2,BE2=AL2),FALSE)),BG2=AP2)</x:f>
        <x:v>1</x:v>
      </x:c>
      <x:c r="BI2" s="49" t="b">
        <x:f>AND(J2,K2,BG2)</x:f>
        <x:v>1</x:v>
      </x:c>
    </x:row>
    <x:row r="3">
      <x:c r="A3" s="34" t="str">
        <x:v>article1-unified-v4-2-fb3f101b-20260903-000401-default-f01-p1-caffeine</x:v>
      </x:c>
      <x:c r="B3" s="34" t="str">
        <x:v>default</x:v>
      </x:c>
      <x:c r="C3" s="34" t="str">
        <x:v>caffeine</x:v>
      </x:c>
      <x:c r="D3" s="36" t="n">
        <x:v>1</x:v>
      </x:c>
      <x:c r="E3" s="36" t="n">
        <x:v>1</x:v>
      </x:c>
      <x:c r="F3" s="36" t="n">
        <x:v>1</x:v>
      </x:c>
      <x:c r="G3" s="36" t="n">
        <x:v>1</x:v>
      </x:c>
      <x:c r="H3" s="34" t="str">
        <x:v>redeploy</x:v>
      </x:c>
      <x:c r="I3" s="34" t="str">
        <x:v>cache-semantics</x:v>
      </x:c>
      <x:c r="J3" s="45" t="b">
        <x:v>1</x:v>
      </x:c>
      <x:c r="K3" s="45" t="b">
        <x:v>1</x:v>
      </x:c>
      <x:c r="L3" s="45" t="b">
        <x:v>1</x:v>
      </x:c>
      <x:c r="M3" s="43" t="n">
        <x:v>400000</x:v>
      </x:c>
      <x:c r="N3" s="43" t="n">
        <x:v>130263808</x:v>
      </x:c>
      <x:c r="O3" s="43" t="n">
        <x:v>26040304.053950172</x:v>
      </x:c>
      <x:c r="P3" s="45" t="b">
        <x:v>1</x:v>
      </x:c>
      <x:c r="Q3" s="45" t="b">
        <x:v>1</x:v>
      </x:c>
      <x:c r="R3" s="45" t="b">
        <x:v>1</x:v>
      </x:c>
      <x:c r="S3" s="43" t="n">
        <x:v>5000000000</x:v>
      </x:c>
      <x:c r="T3" s="43" t="n">
        <x:v>5002391974</x:v>
      </x:c>
      <x:c r="U3" s="45" t="b">
        <x:v>1</x:v>
      </x:c>
      <x:c r="V3" s="34" t="str">
        <x:v>uniform</x:v>
      </x:c>
      <x:c r="W3" s="42" t="n">
        <x:v>95</x:v>
      </x:c>
      <x:c r="X3" s="48" t="n">
        <x:v>0.95</x:v>
      </x:c>
      <x:c r="Y3" s="48" t="n">
        <x:v>0.9495616464705223</x:v>
      </x:c>
      <x:c r="Z3" s="45" t="b">
        <x:v>1</x:v>
      </x:c>
      <x:c r="AA3" s="43" t="n">
        <x:v>10000</x:v>
      </x:c>
      <x:c r="AB3" s="43" t="n">
        <x:v>9900</x:v>
      </x:c>
      <x:c r="AC3" s="43" t="n">
        <x:v>10000</x:v>
      </x:c>
      <x:c r="AD3" s="45" t="b">
        <x:v>1</x:v>
      </x:c>
      <x:c r="AE3" s="43" t="n">
        <x:v>9900</x:v>
      </x:c>
      <x:c r="AF3" s="43"/>
      <x:c r="AG3" s="43" t="n">
        <x:v>10000</x:v>
      </x:c>
      <x:c r="AH3" s="45" t="b">
        <x:v>1</x:v>
      </x:c>
      <x:c r="AI3" s="45" t="b">
        <x:v>1</x:v>
      </x:c>
      <x:c r="AJ3" s="49"/>
      <x:c r="AK3" s="48" t="n">
        <x:v>0.9495616464705223</x:v>
      </x:c>
      <x:c r="AL3" s="49"/>
      <x:c r="AM3" s="49"/>
      <x:c r="AN3" s="36" t="n">
        <x:v>1</x:v>
      </x:c>
      <x:c r="AO3" s="45" t="b">
        <x:v>1</x:v>
      </x:c>
      <x:c r="AP3" s="45" t="b">
        <x:v>1</x:v>
      </x:c>
      <x:c r="AQ3" s="46" t="n">
        <x:f>IF(T3="","",T3/'Readme-Protocol'!$B$24)</x:f>
        <x:v>5.002391974</x:v>
      </x:c>
      <x:c r="AR3" s="46" t="n">
        <x:f>IF(OR(S3="",S3=0),"",T3/S3)</x:f>
        <x:v>1.0004783948</x:v>
      </x:c>
      <x:c r="AS3" s="46" t="n">
        <x:f>IF(OR(X3="",Y3=""),"",ABS(Y3-X3)*'Readme-Protocol'!$B$27)</x:f>
        <x:v>0.043835352947763084</x:v>
      </x:c>
      <x:c r="AT3" s="49" t="b">
        <x:f>AND(M3&gt;0,N3&gt;=0,O3&gt;0)</x:f>
        <x:v>1</x:v>
      </x:c>
      <x:c r="AU3" s="49" t="b">
        <x:f>AND(AT3,N3&gt;=M3)</x:f>
        <x:v>1</x:v>
      </x:c>
      <x:c r="AV3" s="49" t="b">
        <x:f>OR(S3=0,T3&gt;=S3)</x:f>
        <x:v>1</x:v>
      </x:c>
      <x:c r="AW3" s="49" t="b">
        <x:f>IF(I3="cache-semantics",OR(V3&lt;&gt;"uniform",ABS(Y3-W3/'Readme-Protocol'!$B$27)&lt;='Readme-Protocol'!$B$28),TRUE)</x:f>
        <x:v>1</x:v>
      </x:c>
      <x:c r="AX3" s="43" t="n">
        <x:f>IF(I3="cache-semantics",INT(AA3*'Readme-Protocol'!$B$32),"")</x:f>
        <x:v>9900</x:v>
      </x:c>
      <x:c r="AY3" s="49" t="b">
        <x:f>IF(I3="cache-semantics",AX3=AB3,TRUE)</x:f>
        <x:v>1</x:v>
      </x:c>
      <x:c r="AZ3" s="49" t="b">
        <x:f>IF(I3="cache-semantics",AX3=AE3,TRUE)</x:f>
        <x:v>1</x:v>
      </x:c>
      <x:c r="BA3" s="49" t="b">
        <x:f>IF(I3="cache-semantics",AC3&gt;=AX3,IF(I3="no-store-control",AC3=0,FALSE))</x:f>
        <x:v>1</x:v>
      </x:c>
      <x:c r="BB3" s="49" t="b">
        <x:f>IF(I3="cache-semantics",AG3&gt;=AX3,IF(I3="no-store-control",AG3=0,FALSE))</x:f>
        <x:v>1</x:v>
      </x:c>
      <x:c r="BC3" s="49" t="b">
        <x:f>AND(BA3,BB3)</x:f>
        <x:v>1</x:v>
      </x:c>
      <x:c r="BD3" s="49" t="b">
        <x:f>IF(I3="no-store-control",AND(AC3=0,AG3=0),TRUE)</x:f>
        <x:v>1</x:v>
      </x:c>
      <x:c r="BE3" s="49" t="b">
        <x:f>IF(I3="no-store-control",AK3=0,TRUE)</x:f>
        <x:v>1</x:v>
      </x:c>
      <x:c r="BF3" s="49" t="b">
        <x:f>IF(I3="cache-semantics",AN3=1,TRUE)</x:f>
        <x:v>1</x:v>
      </x:c>
      <x:c r="BG3" s="49" t="b">
        <x:f>IF(I3="cache-semantics",AND(AU3,AV3,Q3,AW3,BC3,BF3),IF(I3="no-store-control",AND(AU3,AV3,Q3,BD3,BE3),FALSE))</x:f>
        <x:v>1</x:v>
      </x:c>
      <x:c r="BH3" s="49" t="b">
        <x:f>AND(R3,AT3=P3,AU3=L3,AV3=U3,AY3,AZ3,IF(I3="cache-semantics",AND(AW3=Z3,AND(BA3=AD3,BB3=AH3,BC3=AI3),BF3=AO3),IF(I3="no-store-control",AND(AND(BA3=AD3,BB3=AH3,BC3=AI3),BD3=AJ3,BE3=AL3),FALSE)),BG3=AP3)</x:f>
        <x:v>1</x:v>
      </x:c>
      <x:c r="BI3" s="49" t="b">
        <x:f>AND(J3,K3,BG3)</x:f>
        <x:v>1</x:v>
      </x:c>
    </x:row>
    <x:row r="4">
      <x:c r="A4" s="34" t="str">
        <x:v>article1-unified-v4-2-fb3f101b-20260903-000401-default-f01-p1-caffeine</x:v>
      </x:c>
      <x:c r="B4" s="34" t="str">
        <x:v>default</x:v>
      </x:c>
      <x:c r="C4" s="34" t="str">
        <x:v>caffeine</x:v>
      </x:c>
      <x:c r="D4" s="36" t="n">
        <x:v>1</x:v>
      </x:c>
      <x:c r="E4" s="36" t="n">
        <x:v>1</x:v>
      </x:c>
      <x:c r="F4" s="36" t="n">
        <x:v>1</x:v>
      </x:c>
      <x:c r="G4" s="36" t="n">
        <x:v>2</x:v>
      </x:c>
      <x:c r="H4" s="34" t="str">
        <x:v>initial</x:v>
      </x:c>
      <x:c r="I4" s="34" t="str">
        <x:v>cache-semantics</x:v>
      </x:c>
      <x:c r="J4" s="45" t="b">
        <x:v>1</x:v>
      </x:c>
      <x:c r="K4" s="45" t="b">
        <x:v>1</x:v>
      </x:c>
      <x:c r="L4" s="45" t="b">
        <x:v>1</x:v>
      </x:c>
      <x:c r="M4" s="43" t="n">
        <x:v>400000</x:v>
      </x:c>
      <x:c r="N4" s="43" t="n">
        <x:v>125983744</x:v>
      </x:c>
      <x:c r="O4" s="43" t="n">
        <x:v>25185288.95959526</x:v>
      </x:c>
      <x:c r="P4" s="45" t="b">
        <x:v>1</x:v>
      </x:c>
      <x:c r="Q4" s="45" t="b">
        <x:v>1</x:v>
      </x:c>
      <x:c r="R4" s="45" t="b">
        <x:v>1</x:v>
      </x:c>
      <x:c r="S4" s="43" t="n">
        <x:v>5000000000</x:v>
      </x:c>
      <x:c r="T4" s="43" t="n">
        <x:v>5002275106</x:v>
      </x:c>
      <x:c r="U4" s="45" t="b">
        <x:v>1</x:v>
      </x:c>
      <x:c r="V4" s="34" t="str">
        <x:v>uniform</x:v>
      </x:c>
      <x:c r="W4" s="42" t="n">
        <x:v>95</x:v>
      </x:c>
      <x:c r="X4" s="48" t="n">
        <x:v>0.95</x:v>
      </x:c>
      <x:c r="Y4" s="48" t="n">
        <x:v>0.9503731370294886</x:v>
      </x:c>
      <x:c r="Z4" s="45" t="b">
        <x:v>1</x:v>
      </x:c>
      <x:c r="AA4" s="43" t="n">
        <x:v>10000</x:v>
      </x:c>
      <x:c r="AB4" s="43" t="n">
        <x:v>9900</x:v>
      </x:c>
      <x:c r="AC4" s="43" t="n">
        <x:v>10000</x:v>
      </x:c>
      <x:c r="AD4" s="45" t="b">
        <x:v>1</x:v>
      </x:c>
      <x:c r="AE4" s="43" t="n">
        <x:v>9900</x:v>
      </x:c>
      <x:c r="AF4" s="43"/>
      <x:c r="AG4" s="43" t="n">
        <x:v>10000</x:v>
      </x:c>
      <x:c r="AH4" s="45" t="b">
        <x:v>1</x:v>
      </x:c>
      <x:c r="AI4" s="45" t="b">
        <x:v>1</x:v>
      </x:c>
      <x:c r="AJ4" s="49"/>
      <x:c r="AK4" s="48" t="n">
        <x:v>0.9503731370294886</x:v>
      </x:c>
      <x:c r="AL4" s="49"/>
      <x:c r="AM4" s="49"/>
      <x:c r="AN4" s="36" t="n">
        <x:v>1</x:v>
      </x:c>
      <x:c r="AO4" s="45" t="b">
        <x:v>1</x:v>
      </x:c>
      <x:c r="AP4" s="45" t="b">
        <x:v>1</x:v>
      </x:c>
      <x:c r="AQ4" s="46" t="n">
        <x:f>IF(T4="","",T4/'Readme-Protocol'!$B$24)</x:f>
        <x:v>5.002275106</x:v>
      </x:c>
      <x:c r="AR4" s="46" t="n">
        <x:f>IF(OR(S4="",S4=0),"",T4/S4)</x:f>
        <x:v>1.0004550212</x:v>
      </x:c>
      <x:c r="AS4" s="46" t="n">
        <x:f>IF(OR(X4="",Y4=""),"",ABS(Y4-X4)*'Readme-Protocol'!$B$27)</x:f>
        <x:v>0.03731370294886016</x:v>
      </x:c>
      <x:c r="AT4" s="49" t="b">
        <x:f>AND(M4&gt;0,N4&gt;=0,O4&gt;0)</x:f>
        <x:v>1</x:v>
      </x:c>
      <x:c r="AU4" s="49" t="b">
        <x:f>AND(AT4,N4&gt;=M4)</x:f>
        <x:v>1</x:v>
      </x:c>
      <x:c r="AV4" s="49" t="b">
        <x:f>OR(S4=0,T4&gt;=S4)</x:f>
        <x:v>1</x:v>
      </x:c>
      <x:c r="AW4" s="49" t="b">
        <x:f>IF(I4="cache-semantics",OR(V4&lt;&gt;"uniform",ABS(Y4-W4/'Readme-Protocol'!$B$27)&lt;='Readme-Protocol'!$B$28),TRUE)</x:f>
        <x:v>1</x:v>
      </x:c>
      <x:c r="AX4" s="43" t="n">
        <x:f>IF(I4="cache-semantics",INT(AA4*'Readme-Protocol'!$B$32),"")</x:f>
        <x:v>9900</x:v>
      </x:c>
      <x:c r="AY4" s="49" t="b">
        <x:f>IF(I4="cache-semantics",AX4=AB4,TRUE)</x:f>
        <x:v>1</x:v>
      </x:c>
      <x:c r="AZ4" s="49" t="b">
        <x:f>IF(I4="cache-semantics",AX4=AE4,TRUE)</x:f>
        <x:v>1</x:v>
      </x:c>
      <x:c r="BA4" s="49" t="b">
        <x:f>IF(I4="cache-semantics",AC4&gt;=AX4,IF(I4="no-store-control",AC4=0,FALSE))</x:f>
        <x:v>1</x:v>
      </x:c>
      <x:c r="BB4" s="49" t="b">
        <x:f>IF(I4="cache-semantics",AG4&gt;=AX4,IF(I4="no-store-control",AG4=0,FALSE))</x:f>
        <x:v>1</x:v>
      </x:c>
      <x:c r="BC4" s="49" t="b">
        <x:f>AND(BA4,BB4)</x:f>
        <x:v>1</x:v>
      </x:c>
      <x:c r="BD4" s="49" t="b">
        <x:f>IF(I4="no-store-control",AND(AC4=0,AG4=0),TRUE)</x:f>
        <x:v>1</x:v>
      </x:c>
      <x:c r="BE4" s="49" t="b">
        <x:f>IF(I4="no-store-control",AK4=0,TRUE)</x:f>
        <x:v>1</x:v>
      </x:c>
      <x:c r="BF4" s="49" t="b">
        <x:f>IF(I4="cache-semantics",AN4=1,TRUE)</x:f>
        <x:v>1</x:v>
      </x:c>
      <x:c r="BG4" s="49" t="b">
        <x:f>IF(I4="cache-semantics",AND(AU4,AV4,Q4,AW4,BC4,BF4),IF(I4="no-store-control",AND(AU4,AV4,Q4,BD4,BE4),FALSE))</x:f>
        <x:v>1</x:v>
      </x:c>
      <x:c r="BH4" s="49" t="b">
        <x:f>AND(R4,AT4=P4,AU4=L4,AV4=U4,AY4,AZ4,IF(I4="cache-semantics",AND(AW4=Z4,AND(BA4=AD4,BB4=AH4,BC4=AI4),BF4=AO4),IF(I4="no-store-control",AND(AND(BA4=AD4,BB4=AH4,BC4=AI4),BD4=AJ4,BE4=AL4),FALSE)),BG4=AP4)</x:f>
        <x:v>1</x:v>
      </x:c>
      <x:c r="BI4" s="49" t="b">
        <x:f>AND(J4,K4,BG4)</x:f>
        <x:v>1</x:v>
      </x:c>
    </x:row>
    <x:row r="5">
      <x:c r="A5" s="34" t="str">
        <x:v>article1-unified-v4-2-fb3f101b-20260903-000401-default-f01-p1-caffeine</x:v>
      </x:c>
      <x:c r="B5" s="34" t="str">
        <x:v>default</x:v>
      </x:c>
      <x:c r="C5" s="34" t="str">
        <x:v>caffeine</x:v>
      </x:c>
      <x:c r="D5" s="36" t="n">
        <x:v>1</x:v>
      </x:c>
      <x:c r="E5" s="36" t="n">
        <x:v>1</x:v>
      </x:c>
      <x:c r="F5" s="36" t="n">
        <x:v>1</x:v>
      </x:c>
      <x:c r="G5" s="36" t="n">
        <x:v>2</x:v>
      </x:c>
      <x:c r="H5" s="34" t="str">
        <x:v>redeploy</x:v>
      </x:c>
      <x:c r="I5" s="34" t="str">
        <x:v>cache-semantics</x:v>
      </x:c>
      <x:c r="J5" s="45" t="b">
        <x:v>1</x:v>
      </x:c>
      <x:c r="K5" s="45" t="b">
        <x:v>1</x:v>
      </x:c>
      <x:c r="L5" s="45" t="b">
        <x:v>1</x:v>
      </x:c>
      <x:c r="M5" s="43" t="n">
        <x:v>400000</x:v>
      </x:c>
      <x:c r="N5" s="43" t="n">
        <x:v>123697408</x:v>
      </x:c>
      <x:c r="O5" s="43" t="n">
        <x:v>24719726.27702385</x:v>
      </x:c>
      <x:c r="P5" s="45" t="b">
        <x:v>1</x:v>
      </x:c>
      <x:c r="Q5" s="45" t="b">
        <x:v>1</x:v>
      </x:c>
      <x:c r="R5" s="45" t="b">
        <x:v>1</x:v>
      </x:c>
      <x:c r="S5" s="43" t="n">
        <x:v>5000000000</x:v>
      </x:c>
      <x:c r="T5" s="43" t="n">
        <x:v>5003995862</x:v>
      </x:c>
      <x:c r="U5" s="45" t="b">
        <x:v>1</x:v>
      </x:c>
      <x:c r="V5" s="34" t="str">
        <x:v>uniform</x:v>
      </x:c>
      <x:c r="W5" s="42" t="n">
        <x:v>95</x:v>
      </x:c>
      <x:c r="X5" s="48" t="n">
        <x:v>0.95</x:v>
      </x:c>
      <x:c r="Y5" s="48" t="n">
        <x:v>0.9503651200193297</x:v>
      </x:c>
      <x:c r="Z5" s="45" t="b">
        <x:v>1</x:v>
      </x:c>
      <x:c r="AA5" s="43" t="n">
        <x:v>10000</x:v>
      </x:c>
      <x:c r="AB5" s="43" t="n">
        <x:v>9900</x:v>
      </x:c>
      <x:c r="AC5" s="43" t="n">
        <x:v>10000</x:v>
      </x:c>
      <x:c r="AD5" s="45" t="b">
        <x:v>1</x:v>
      </x:c>
      <x:c r="AE5" s="43" t="n">
        <x:v>9900</x:v>
      </x:c>
      <x:c r="AF5" s="43"/>
      <x:c r="AG5" s="43" t="n">
        <x:v>10000</x:v>
      </x:c>
      <x:c r="AH5" s="45" t="b">
        <x:v>1</x:v>
      </x:c>
      <x:c r="AI5" s="45" t="b">
        <x:v>1</x:v>
      </x:c>
      <x:c r="AJ5" s="49"/>
      <x:c r="AK5" s="48" t="n">
        <x:v>0.9503651200193297</x:v>
      </x:c>
      <x:c r="AL5" s="49"/>
      <x:c r="AM5" s="49"/>
      <x:c r="AN5" s="36" t="n">
        <x:v>1</x:v>
      </x:c>
      <x:c r="AO5" s="45" t="b">
        <x:v>1</x:v>
      </x:c>
      <x:c r="AP5" s="45" t="b">
        <x:v>1</x:v>
      </x:c>
      <x:c r="AQ5" s="46" t="n">
        <x:f>IF(T5="","",T5/'Readme-Protocol'!$B$24)</x:f>
        <x:v>5.003995862</x:v>
      </x:c>
      <x:c r="AR5" s="46" t="n">
        <x:f>IF(OR(S5="",S5=0),"",T5/S5)</x:f>
        <x:v>1.0007991724</x:v>
      </x:c>
      <x:c r="AS5" s="46" t="n">
        <x:f>IF(OR(X5="",Y5=""),"",ABS(Y5-X5)*'Readme-Protocol'!$B$27)</x:f>
        <x:v>0.03651200193297566</x:v>
      </x:c>
      <x:c r="AT5" s="49" t="b">
        <x:f>AND(M5&gt;0,N5&gt;=0,O5&gt;0)</x:f>
        <x:v>1</x:v>
      </x:c>
      <x:c r="AU5" s="49" t="b">
        <x:f>AND(AT5,N5&gt;=M5)</x:f>
        <x:v>1</x:v>
      </x:c>
      <x:c r="AV5" s="49" t="b">
        <x:f>OR(S5=0,T5&gt;=S5)</x:f>
        <x:v>1</x:v>
      </x:c>
      <x:c r="AW5" s="49" t="b">
        <x:f>IF(I5="cache-semantics",OR(V5&lt;&gt;"uniform",ABS(Y5-W5/'Readme-Protocol'!$B$27)&lt;='Readme-Protocol'!$B$28),TRUE)</x:f>
        <x:v>1</x:v>
      </x:c>
      <x:c r="AX5" s="43" t="n">
        <x:f>IF(I5="cache-semantics",INT(AA5*'Readme-Protocol'!$B$32),"")</x:f>
        <x:v>9900</x:v>
      </x:c>
      <x:c r="AY5" s="49" t="b">
        <x:f>IF(I5="cache-semantics",AX5=AB5,TRUE)</x:f>
        <x:v>1</x:v>
      </x:c>
      <x:c r="AZ5" s="49" t="b">
        <x:f>IF(I5="cache-semantics",AX5=AE5,TRUE)</x:f>
        <x:v>1</x:v>
      </x:c>
      <x:c r="BA5" s="49" t="b">
        <x:f>IF(I5="cache-semantics",AC5&gt;=AX5,IF(I5="no-store-control",AC5=0,FALSE))</x:f>
        <x:v>1</x:v>
      </x:c>
      <x:c r="BB5" s="49" t="b">
        <x:f>IF(I5="cache-semantics",AG5&gt;=AX5,IF(I5="no-store-control",AG5=0,FALSE))</x:f>
        <x:v>1</x:v>
      </x:c>
      <x:c r="BC5" s="49" t="b">
        <x:f>AND(BA5,BB5)</x:f>
        <x:v>1</x:v>
      </x:c>
      <x:c r="BD5" s="49" t="b">
        <x:f>IF(I5="no-store-control",AND(AC5=0,AG5=0),TRUE)</x:f>
        <x:v>1</x:v>
      </x:c>
      <x:c r="BE5" s="49" t="b">
        <x:f>IF(I5="no-store-control",AK5=0,TRUE)</x:f>
        <x:v>1</x:v>
      </x:c>
      <x:c r="BF5" s="49" t="b">
        <x:f>IF(I5="cache-semantics",AN5=1,TRUE)</x:f>
        <x:v>1</x:v>
      </x:c>
      <x:c r="BG5" s="49" t="b">
        <x:f>IF(I5="cache-semantics",AND(AU5,AV5,Q5,AW5,BC5,BF5),IF(I5="no-store-control",AND(AU5,AV5,Q5,BD5,BE5),FALSE))</x:f>
        <x:v>1</x:v>
      </x:c>
      <x:c r="BH5" s="49" t="b">
        <x:f>AND(R5,AT5=P5,AU5=L5,AV5=U5,AY5,AZ5,IF(I5="cache-semantics",AND(AW5=Z5,AND(BA5=AD5,BB5=AH5,BC5=AI5),BF5=AO5),IF(I5="no-store-control",AND(AND(BA5=AD5,BB5=AH5,BC5=AI5),BD5=AJ5,BE5=AL5),FALSE)),BG5=AP5)</x:f>
        <x:v>1</x:v>
      </x:c>
      <x:c r="BI5" s="49" t="b">
        <x:f>AND(J5,K5,BG5)</x:f>
        <x:v>1</x:v>
      </x:c>
    </x:row>
    <x:row r="6">
      <x:c r="A6" s="34" t="str">
        <x:v>article1-unified-v4-2-fb3f101b-20260903-000401-default-f01-p1-caffeine</x:v>
      </x:c>
      <x:c r="B6" s="34" t="str">
        <x:v>default</x:v>
      </x:c>
      <x:c r="C6" s="34" t="str">
        <x:v>caffeine</x:v>
      </x:c>
      <x:c r="D6" s="36" t="n">
        <x:v>1</x:v>
      </x:c>
      <x:c r="E6" s="36" t="n">
        <x:v>1</x:v>
      </x:c>
      <x:c r="F6" s="36" t="n">
        <x:v>1</x:v>
      </x:c>
      <x:c r="G6" s="36" t="n">
        <x:v>3</x:v>
      </x:c>
      <x:c r="H6" s="34" t="str">
        <x:v>initial</x:v>
      </x:c>
      <x:c r="I6" s="34" t="str">
        <x:v>cache-semantics</x:v>
      </x:c>
      <x:c r="J6" s="45" t="b">
        <x:v>1</x:v>
      </x:c>
      <x:c r="K6" s="45" t="b">
        <x:v>1</x:v>
      </x:c>
      <x:c r="L6" s="45" t="b">
        <x:v>1</x:v>
      </x:c>
      <x:c r="M6" s="43" t="n">
        <x:v>400000</x:v>
      </x:c>
      <x:c r="N6" s="43" t="n">
        <x:v>122910720</x:v>
      </x:c>
      <x:c r="O6" s="43" t="n">
        <x:v>24561463.13996571</x:v>
      </x:c>
      <x:c r="P6" s="45" t="b">
        <x:v>1</x:v>
      </x:c>
      <x:c r="Q6" s="45" t="b">
        <x:v>1</x:v>
      </x:c>
      <x:c r="R6" s="45" t="b">
        <x:v>1</x:v>
      </x:c>
      <x:c r="S6" s="43" t="n">
        <x:v>5000000000</x:v>
      </x:c>
      <x:c r="T6" s="43" t="n">
        <x:v>5004210022</x:v>
      </x:c>
      <x:c r="U6" s="45" t="b">
        <x:v>1</x:v>
      </x:c>
      <x:c r="V6" s="34" t="str">
        <x:v>uniform</x:v>
      </x:c>
      <x:c r="W6" s="42" t="n">
        <x:v>95</x:v>
      </x:c>
      <x:c r="X6" s="48" t="n">
        <x:v>0.95</x:v>
      </x:c>
      <x:c r="Y6" s="48" t="n">
        <x:v>0.9498783751327793</x:v>
      </x:c>
      <x:c r="Z6" s="45" t="b">
        <x:v>1</x:v>
      </x:c>
      <x:c r="AA6" s="43" t="n">
        <x:v>10000</x:v>
      </x:c>
      <x:c r="AB6" s="43" t="n">
        <x:v>9900</x:v>
      </x:c>
      <x:c r="AC6" s="43" t="n">
        <x:v>10000</x:v>
      </x:c>
      <x:c r="AD6" s="45" t="b">
        <x:v>1</x:v>
      </x:c>
      <x:c r="AE6" s="43" t="n">
        <x:v>9900</x:v>
      </x:c>
      <x:c r="AF6" s="43"/>
      <x:c r="AG6" s="43" t="n">
        <x:v>10000</x:v>
      </x:c>
      <x:c r="AH6" s="45" t="b">
        <x:v>1</x:v>
      </x:c>
      <x:c r="AI6" s="45" t="b">
        <x:v>1</x:v>
      </x:c>
      <x:c r="AJ6" s="49"/>
      <x:c r="AK6" s="48" t="n">
        <x:v>0.9498783751327793</x:v>
      </x:c>
      <x:c r="AL6" s="49"/>
      <x:c r="AM6" s="49"/>
      <x:c r="AN6" s="36" t="n">
        <x:v>1</x:v>
      </x:c>
      <x:c r="AO6" s="45" t="b">
        <x:v>1</x:v>
      </x:c>
      <x:c r="AP6" s="45" t="b">
        <x:v>1</x:v>
      </x:c>
      <x:c r="AQ6" s="46" t="n">
        <x:f>IF(T6="","",T6/'Readme-Protocol'!$B$24)</x:f>
        <x:v>5.004210022</x:v>
      </x:c>
      <x:c r="AR6" s="46" t="n">
        <x:f>IF(OR(S6="",S6=0),"",T6/S6)</x:f>
        <x:v>1.0008420044</x:v>
      </x:c>
      <x:c r="AS6" s="46" t="n">
        <x:f>IF(OR(X6="",Y6=""),"",ABS(Y6-X6)*'Readme-Protocol'!$B$27)</x:f>
        <x:v>0.0121624867220671</x:v>
      </x:c>
      <x:c r="AT6" s="49" t="b">
        <x:f>AND(M6&gt;0,N6&gt;=0,O6&gt;0)</x:f>
        <x:v>1</x:v>
      </x:c>
      <x:c r="AU6" s="49" t="b">
        <x:f>AND(AT6,N6&gt;=M6)</x:f>
        <x:v>1</x:v>
      </x:c>
      <x:c r="AV6" s="49" t="b">
        <x:f>OR(S6=0,T6&gt;=S6)</x:f>
        <x:v>1</x:v>
      </x:c>
      <x:c r="AW6" s="49" t="b">
        <x:f>IF(I6="cache-semantics",OR(V6&lt;&gt;"uniform",ABS(Y6-W6/'Readme-Protocol'!$B$27)&lt;='Readme-Protocol'!$B$28),TRUE)</x:f>
        <x:v>1</x:v>
      </x:c>
      <x:c r="AX6" s="43" t="n">
        <x:f>IF(I6="cache-semantics",INT(AA6*'Readme-Protocol'!$B$32),"")</x:f>
        <x:v>9900</x:v>
      </x:c>
      <x:c r="AY6" s="49" t="b">
        <x:f>IF(I6="cache-semantics",AX6=AB6,TRUE)</x:f>
        <x:v>1</x:v>
      </x:c>
      <x:c r="AZ6" s="49" t="b">
        <x:f>IF(I6="cache-semantics",AX6=AE6,TRUE)</x:f>
        <x:v>1</x:v>
      </x:c>
      <x:c r="BA6" s="49" t="b">
        <x:f>IF(I6="cache-semantics",AC6&gt;=AX6,IF(I6="no-store-control",AC6=0,FALSE))</x:f>
        <x:v>1</x:v>
      </x:c>
      <x:c r="BB6" s="49" t="b">
        <x:f>IF(I6="cache-semantics",AG6&gt;=AX6,IF(I6="no-store-control",AG6=0,FALSE))</x:f>
        <x:v>1</x:v>
      </x:c>
      <x:c r="BC6" s="49" t="b">
        <x:f>AND(BA6,BB6)</x:f>
        <x:v>1</x:v>
      </x:c>
      <x:c r="BD6" s="49" t="b">
        <x:f>IF(I6="no-store-control",AND(AC6=0,AG6=0),TRUE)</x:f>
        <x:v>1</x:v>
      </x:c>
      <x:c r="BE6" s="49" t="b">
        <x:f>IF(I6="no-store-control",AK6=0,TRUE)</x:f>
        <x:v>1</x:v>
      </x:c>
      <x:c r="BF6" s="49" t="b">
        <x:f>IF(I6="cache-semantics",AN6=1,TRUE)</x:f>
        <x:v>1</x:v>
      </x:c>
      <x:c r="BG6" s="49" t="b">
        <x:f>IF(I6="cache-semantics",AND(AU6,AV6,Q6,AW6,BC6,BF6),IF(I6="no-store-control",AND(AU6,AV6,Q6,BD6,BE6),FALSE))</x:f>
        <x:v>1</x:v>
      </x:c>
      <x:c r="BH6" s="49" t="b">
        <x:f>AND(R6,AT6=P6,AU6=L6,AV6=U6,AY6,AZ6,IF(I6="cache-semantics",AND(AW6=Z6,AND(BA6=AD6,BB6=AH6,BC6=AI6),BF6=AO6),IF(I6="no-store-control",AND(AND(BA6=AD6,BB6=AH6,BC6=AI6),BD6=AJ6,BE6=AL6),FALSE)),BG6=AP6)</x:f>
        <x:v>1</x:v>
      </x:c>
      <x:c r="BI6" s="49" t="b">
        <x:f>AND(J6,K6,BG6)</x:f>
        <x:v>1</x:v>
      </x:c>
    </x:row>
    <x:row r="7">
      <x:c r="A7" s="34" t="str">
        <x:v>article1-unified-v4-2-fb3f101b-20260903-000401-default-f01-p1-caffeine</x:v>
      </x:c>
      <x:c r="B7" s="34" t="str">
        <x:v>default</x:v>
      </x:c>
      <x:c r="C7" s="34" t="str">
        <x:v>caffeine</x:v>
      </x:c>
      <x:c r="D7" s="36" t="n">
        <x:v>1</x:v>
      </x:c>
      <x:c r="E7" s="36" t="n">
        <x:v>1</x:v>
      </x:c>
      <x:c r="F7" s="36" t="n">
        <x:v>1</x:v>
      </x:c>
      <x:c r="G7" s="36" t="n">
        <x:v>3</x:v>
      </x:c>
      <x:c r="H7" s="34" t="str">
        <x:v>redeploy</x:v>
      </x:c>
      <x:c r="I7" s="34" t="str">
        <x:v>cache-semantics</x:v>
      </x:c>
      <x:c r="J7" s="45" t="b">
        <x:v>1</x:v>
      </x:c>
      <x:c r="K7" s="45" t="b">
        <x:v>1</x:v>
      </x:c>
      <x:c r="L7" s="45" t="b">
        <x:v>1</x:v>
      </x:c>
      <x:c r="M7" s="43" t="n">
        <x:v>400000</x:v>
      </x:c>
      <x:c r="N7" s="43" t="n">
        <x:v>117862400</x:v>
      </x:c>
      <x:c r="O7" s="43" t="n">
        <x:v>23554608.6944006</x:v>
      </x:c>
      <x:c r="P7" s="45" t="b">
        <x:v>1</x:v>
      </x:c>
      <x:c r="Q7" s="45" t="b">
        <x:v>1</x:v>
      </x:c>
      <x:c r="R7" s="45" t="b">
        <x:v>1</x:v>
      </x:c>
      <x:c r="S7" s="43" t="n">
        <x:v>5000000000</x:v>
      </x:c>
      <x:c r="T7" s="43" t="n">
        <x:v>5003793590</x:v>
      </x:c>
      <x:c r="U7" s="45" t="b">
        <x:v>1</x:v>
      </x:c>
      <x:c r="V7" s="34" t="str">
        <x:v>uniform</x:v>
      </x:c>
      <x:c r="W7" s="42" t="n">
        <x:v>95</x:v>
      </x:c>
      <x:c r="X7" s="48" t="n">
        <x:v>0.95</x:v>
      </x:c>
      <x:c r="Y7" s="48" t="n">
        <x:v>0.94987956294798</x:v>
      </x:c>
      <x:c r="Z7" s="45" t="b">
        <x:v>1</x:v>
      </x:c>
      <x:c r="AA7" s="43" t="n">
        <x:v>10000</x:v>
      </x:c>
      <x:c r="AB7" s="43" t="n">
        <x:v>9900</x:v>
      </x:c>
      <x:c r="AC7" s="43" t="n">
        <x:v>10000</x:v>
      </x:c>
      <x:c r="AD7" s="45" t="b">
        <x:v>1</x:v>
      </x:c>
      <x:c r="AE7" s="43" t="n">
        <x:v>9900</x:v>
      </x:c>
      <x:c r="AF7" s="43"/>
      <x:c r="AG7" s="43" t="n">
        <x:v>10000</x:v>
      </x:c>
      <x:c r="AH7" s="45" t="b">
        <x:v>1</x:v>
      </x:c>
      <x:c r="AI7" s="45" t="b">
        <x:v>1</x:v>
      </x:c>
      <x:c r="AJ7" s="49"/>
      <x:c r="AK7" s="48" t="n">
        <x:v>0.94987956294798</x:v>
      </x:c>
      <x:c r="AL7" s="49"/>
      <x:c r="AM7" s="49"/>
      <x:c r="AN7" s="36" t="n">
        <x:v>1</x:v>
      </x:c>
      <x:c r="AO7" s="45" t="b">
        <x:v>1</x:v>
      </x:c>
      <x:c r="AP7" s="45" t="b">
        <x:v>1</x:v>
      </x:c>
      <x:c r="AQ7" s="46" t="n">
        <x:f>IF(T7="","",T7/'Readme-Protocol'!$B$24)</x:f>
        <x:v>5.00379359</x:v>
      </x:c>
      <x:c r="AR7" s="46" t="n">
        <x:f>IF(OR(S7="",S7=0),"",T7/S7)</x:f>
        <x:v>1.000758718</x:v>
      </x:c>
      <x:c r="AS7" s="46" t="n">
        <x:f>IF(OR(X7="",Y7=""),"",ABS(Y7-X7)*'Readme-Protocol'!$B$27)</x:f>
        <x:v>0.012043705201991717</x:v>
      </x:c>
      <x:c r="AT7" s="49" t="b">
        <x:f>AND(M7&gt;0,N7&gt;=0,O7&gt;0)</x:f>
        <x:v>1</x:v>
      </x:c>
      <x:c r="AU7" s="49" t="b">
        <x:f>AND(AT7,N7&gt;=M7)</x:f>
        <x:v>1</x:v>
      </x:c>
      <x:c r="AV7" s="49" t="b">
        <x:f>OR(S7=0,T7&gt;=S7)</x:f>
        <x:v>1</x:v>
      </x:c>
      <x:c r="AW7" s="49" t="b">
        <x:f>IF(I7="cache-semantics",OR(V7&lt;&gt;"uniform",ABS(Y7-W7/'Readme-Protocol'!$B$27)&lt;='Readme-Protocol'!$B$28),TRUE)</x:f>
        <x:v>1</x:v>
      </x:c>
      <x:c r="AX7" s="43" t="n">
        <x:f>IF(I7="cache-semantics",INT(AA7*'Readme-Protocol'!$B$32),"")</x:f>
        <x:v>9900</x:v>
      </x:c>
      <x:c r="AY7" s="49" t="b">
        <x:f>IF(I7="cache-semantics",AX7=AB7,TRUE)</x:f>
        <x:v>1</x:v>
      </x:c>
      <x:c r="AZ7" s="49" t="b">
        <x:f>IF(I7="cache-semantics",AX7=AE7,TRUE)</x:f>
        <x:v>1</x:v>
      </x:c>
      <x:c r="BA7" s="49" t="b">
        <x:f>IF(I7="cache-semantics",AC7&gt;=AX7,IF(I7="no-store-control",AC7=0,FALSE))</x:f>
        <x:v>1</x:v>
      </x:c>
      <x:c r="BB7" s="49" t="b">
        <x:f>IF(I7="cache-semantics",AG7&gt;=AX7,IF(I7="no-store-control",AG7=0,FALSE))</x:f>
        <x:v>1</x:v>
      </x:c>
      <x:c r="BC7" s="49" t="b">
        <x:f>AND(BA7,BB7)</x:f>
        <x:v>1</x:v>
      </x:c>
      <x:c r="BD7" s="49" t="b">
        <x:f>IF(I7="no-store-control",AND(AC7=0,AG7=0),TRUE)</x:f>
        <x:v>1</x:v>
      </x:c>
      <x:c r="BE7" s="49" t="b">
        <x:f>IF(I7="no-store-control",AK7=0,TRUE)</x:f>
        <x:v>1</x:v>
      </x:c>
      <x:c r="BF7" s="49" t="b">
        <x:f>IF(I7="cache-semantics",AN7=1,TRUE)</x:f>
        <x:v>1</x:v>
      </x:c>
      <x:c r="BG7" s="49" t="b">
        <x:f>IF(I7="cache-semantics",AND(AU7,AV7,Q7,AW7,BC7,BF7),IF(I7="no-store-control",AND(AU7,AV7,Q7,BD7,BE7),FALSE))</x:f>
        <x:v>1</x:v>
      </x:c>
      <x:c r="BH7" s="49" t="b">
        <x:f>AND(R7,AT7=P7,AU7=L7,AV7=U7,AY7,AZ7,IF(I7="cache-semantics",AND(AW7=Z7,AND(BA7=AD7,BB7=AH7,BC7=AI7),BF7=AO7),IF(I7="no-store-control",AND(AND(BA7=AD7,BB7=AH7,BC7=AI7),BD7=AJ7,BE7=AL7),FALSE)),BG7=AP7)</x:f>
        <x:v>1</x:v>
      </x:c>
      <x:c r="BI7" s="49" t="b">
        <x:f>AND(J7,K7,BG7)</x:f>
        <x:v>1</x:v>
      </x:c>
    </x:row>
    <x:row r="8">
      <x:c r="A8" s="34" t="str">
        <x:v>article1-unified-v4-2-fb3f101b-20260903-000401-default-f01-p1-caffeine</x:v>
      </x:c>
      <x:c r="B8" s="34" t="str">
        <x:v>default</x:v>
      </x:c>
      <x:c r="C8" s="34" t="str">
        <x:v>caffeine</x:v>
      </x:c>
      <x:c r="D8" s="36" t="n">
        <x:v>1</x:v>
      </x:c>
      <x:c r="E8" s="36" t="n">
        <x:v>1</x:v>
      </x:c>
      <x:c r="F8" s="36" t="n">
        <x:v>1</x:v>
      </x:c>
      <x:c r="G8" s="36" t="n">
        <x:v>4</x:v>
      </x:c>
      <x:c r="H8" s="34" t="str">
        <x:v>initial</x:v>
      </x:c>
      <x:c r="I8" s="34" t="str">
        <x:v>cache-semantics</x:v>
      </x:c>
      <x:c r="J8" s="45" t="b">
        <x:v>1</x:v>
      </x:c>
      <x:c r="K8" s="45" t="b">
        <x:v>1</x:v>
      </x:c>
      <x:c r="L8" s="45" t="b">
        <x:v>1</x:v>
      </x:c>
      <x:c r="M8" s="43" t="n">
        <x:v>400000</x:v>
      </x:c>
      <x:c r="N8" s="43" t="n">
        <x:v>135844096</x:v>
      </x:c>
      <x:c r="O8" s="43" t="n">
        <x:v>27158228.902955752</x:v>
      </x:c>
      <x:c r="P8" s="45" t="b">
        <x:v>1</x:v>
      </x:c>
      <x:c r="Q8" s="45" t="b">
        <x:v>1</x:v>
      </x:c>
      <x:c r="R8" s="45" t="b">
        <x:v>1</x:v>
      </x:c>
      <x:c r="S8" s="43" t="n">
        <x:v>5000000000</x:v>
      </x:c>
      <x:c r="T8" s="43" t="n">
        <x:v>5001949740</x:v>
      </x:c>
      <x:c r="U8" s="45" t="b">
        <x:v>1</x:v>
      </x:c>
      <x:c r="V8" s="34" t="str">
        <x:v>uniform</x:v>
      </x:c>
      <x:c r="W8" s="42" t="n">
        <x:v>95</x:v>
      </x:c>
      <x:c r="X8" s="48" t="n">
        <x:v>0.95</x:v>
      </x:c>
      <x:c r="Y8" s="48" t="n">
        <x:v>0.9499705382853002</x:v>
      </x:c>
      <x:c r="Z8" s="45" t="b">
        <x:v>1</x:v>
      </x:c>
      <x:c r="AA8" s="43" t="n">
        <x:v>10000</x:v>
      </x:c>
      <x:c r="AB8" s="43" t="n">
        <x:v>9900</x:v>
      </x:c>
      <x:c r="AC8" s="43" t="n">
        <x:v>10000</x:v>
      </x:c>
      <x:c r="AD8" s="45" t="b">
        <x:v>1</x:v>
      </x:c>
      <x:c r="AE8" s="43" t="n">
        <x:v>9900</x:v>
      </x:c>
      <x:c r="AF8" s="43"/>
      <x:c r="AG8" s="43" t="n">
        <x:v>10000</x:v>
      </x:c>
      <x:c r="AH8" s="45" t="b">
        <x:v>1</x:v>
      </x:c>
      <x:c r="AI8" s="45" t="b">
        <x:v>1</x:v>
      </x:c>
      <x:c r="AJ8" s="49"/>
      <x:c r="AK8" s="48" t="n">
        <x:v>0.9499705382853002</x:v>
      </x:c>
      <x:c r="AL8" s="49"/>
      <x:c r="AM8" s="49"/>
      <x:c r="AN8" s="36" t="n">
        <x:v>1</x:v>
      </x:c>
      <x:c r="AO8" s="45" t="b">
        <x:v>1</x:v>
      </x:c>
      <x:c r="AP8" s="45" t="b">
        <x:v>1</x:v>
      </x:c>
      <x:c r="AQ8" s="46" t="n">
        <x:f>IF(T8="","",T8/'Readme-Protocol'!$B$24)</x:f>
        <x:v>5.00194974</x:v>
      </x:c>
      <x:c r="AR8" s="46" t="n">
        <x:f>IF(OR(S8="",S8=0),"",T8/S8)</x:f>
        <x:v>1.000389948</x:v>
      </x:c>
      <x:c r="AS8" s="46" t="n">
        <x:f>IF(OR(X8="",Y8=""),"",ABS(Y8-X8)*'Readme-Protocol'!$B$27)</x:f>
        <x:v>0.002946171469975223</x:v>
      </x:c>
      <x:c r="AT8" s="49" t="b">
        <x:f>AND(M8&gt;0,N8&gt;=0,O8&gt;0)</x:f>
        <x:v>1</x:v>
      </x:c>
      <x:c r="AU8" s="49" t="b">
        <x:f>AND(AT8,N8&gt;=M8)</x:f>
        <x:v>1</x:v>
      </x:c>
      <x:c r="AV8" s="49" t="b">
        <x:f>OR(S8=0,T8&gt;=S8)</x:f>
        <x:v>1</x:v>
      </x:c>
      <x:c r="AW8" s="49" t="b">
        <x:f>IF(I8="cache-semantics",OR(V8&lt;&gt;"uniform",ABS(Y8-W8/'Readme-Protocol'!$B$27)&lt;='Readme-Protocol'!$B$28),TRUE)</x:f>
        <x:v>1</x:v>
      </x:c>
      <x:c r="AX8" s="43" t="n">
        <x:f>IF(I8="cache-semantics",INT(AA8*'Readme-Protocol'!$B$32),"")</x:f>
        <x:v>9900</x:v>
      </x:c>
      <x:c r="AY8" s="49" t="b">
        <x:f>IF(I8="cache-semantics",AX8=AB8,TRUE)</x:f>
        <x:v>1</x:v>
      </x:c>
      <x:c r="AZ8" s="49" t="b">
        <x:f>IF(I8="cache-semantics",AX8=AE8,TRUE)</x:f>
        <x:v>1</x:v>
      </x:c>
      <x:c r="BA8" s="49" t="b">
        <x:f>IF(I8="cache-semantics",AC8&gt;=AX8,IF(I8="no-store-control",AC8=0,FALSE))</x:f>
        <x:v>1</x:v>
      </x:c>
      <x:c r="BB8" s="49" t="b">
        <x:f>IF(I8="cache-semantics",AG8&gt;=AX8,IF(I8="no-store-control",AG8=0,FALSE))</x:f>
        <x:v>1</x:v>
      </x:c>
      <x:c r="BC8" s="49" t="b">
        <x:f>AND(BA8,BB8)</x:f>
        <x:v>1</x:v>
      </x:c>
      <x:c r="BD8" s="49" t="b">
        <x:f>IF(I8="no-store-control",AND(AC8=0,AG8=0),TRUE)</x:f>
        <x:v>1</x:v>
      </x:c>
      <x:c r="BE8" s="49" t="b">
        <x:f>IF(I8="no-store-control",AK8=0,TRUE)</x:f>
        <x:v>1</x:v>
      </x:c>
      <x:c r="BF8" s="49" t="b">
        <x:f>IF(I8="cache-semantics",AN8=1,TRUE)</x:f>
        <x:v>1</x:v>
      </x:c>
      <x:c r="BG8" s="49" t="b">
        <x:f>IF(I8="cache-semantics",AND(AU8,AV8,Q8,AW8,BC8,BF8),IF(I8="no-store-control",AND(AU8,AV8,Q8,BD8,BE8),FALSE))</x:f>
        <x:v>1</x:v>
      </x:c>
      <x:c r="BH8" s="49" t="b">
        <x:f>AND(R8,AT8=P8,AU8=L8,AV8=U8,AY8,AZ8,IF(I8="cache-semantics",AND(AW8=Z8,AND(BA8=AD8,BB8=AH8,BC8=AI8),BF8=AO8),IF(I8="no-store-control",AND(AND(BA8=AD8,BB8=AH8,BC8=AI8),BD8=AJ8,BE8=AL8),FALSE)),BG8=AP8)</x:f>
        <x:v>1</x:v>
      </x:c>
      <x:c r="BI8" s="49" t="b">
        <x:f>AND(J8,K8,BG8)</x:f>
        <x:v>1</x:v>
      </x:c>
    </x:row>
    <x:row r="9">
      <x:c r="A9" s="34" t="str">
        <x:v>article1-unified-v4-2-fb3f101b-20260903-000401-default-f01-p1-caffeine</x:v>
      </x:c>
      <x:c r="B9" s="34" t="str">
        <x:v>default</x:v>
      </x:c>
      <x:c r="C9" s="34" t="str">
        <x:v>caffeine</x:v>
      </x:c>
      <x:c r="D9" s="36" t="n">
        <x:v>1</x:v>
      </x:c>
      <x:c r="E9" s="36" t="n">
        <x:v>1</x:v>
      </x:c>
      <x:c r="F9" s="36" t="n">
        <x:v>1</x:v>
      </x:c>
      <x:c r="G9" s="36" t="n">
        <x:v>4</x:v>
      </x:c>
      <x:c r="H9" s="34" t="str">
        <x:v>redeploy</x:v>
      </x:c>
      <x:c r="I9" s="34" t="str">
        <x:v>cache-semantics</x:v>
      </x:c>
      <x:c r="J9" s="45" t="b">
        <x:v>1</x:v>
      </x:c>
      <x:c r="K9" s="45" t="b">
        <x:v>1</x:v>
      </x:c>
      <x:c r="L9" s="45" t="b">
        <x:v>1</x:v>
      </x:c>
      <x:c r="M9" s="43" t="n">
        <x:v>400000</x:v>
      </x:c>
      <x:c r="N9" s="43" t="n">
        <x:v>122483200</x:v>
      </x:c>
      <x:c r="O9" s="43" t="n">
        <x:v>24482085.654691976</x:v>
      </x:c>
      <x:c r="P9" s="45" t="b">
        <x:v>1</x:v>
      </x:c>
      <x:c r="Q9" s="45" t="b">
        <x:v>1</x:v>
      </x:c>
      <x:c r="R9" s="45" t="b">
        <x:v>1</x:v>
      </x:c>
      <x:c r="S9" s="43" t="n">
        <x:v>5000000000</x:v>
      </x:c>
      <x:c r="T9" s="43" t="n">
        <x:v>5002972448</x:v>
      </x:c>
      <x:c r="U9" s="45" t="b">
        <x:v>1</x:v>
      </x:c>
      <x:c r="V9" s="34" t="str">
        <x:v>uniform</x:v>
      </x:c>
      <x:c r="W9" s="42" t="n">
        <x:v>95</x:v>
      </x:c>
      <x:c r="X9" s="48" t="n">
        <x:v>0.95</x:v>
      </x:c>
      <x:c r="Y9" s="48" t="n">
        <x:v>0.9499459762645</x:v>
      </x:c>
      <x:c r="Z9" s="45" t="b">
        <x:v>1</x:v>
      </x:c>
      <x:c r="AA9" s="43" t="n">
        <x:v>10000</x:v>
      </x:c>
      <x:c r="AB9" s="43" t="n">
        <x:v>9900</x:v>
      </x:c>
      <x:c r="AC9" s="43" t="n">
        <x:v>10000</x:v>
      </x:c>
      <x:c r="AD9" s="45" t="b">
        <x:v>1</x:v>
      </x:c>
      <x:c r="AE9" s="43" t="n">
        <x:v>9900</x:v>
      </x:c>
      <x:c r="AF9" s="43"/>
      <x:c r="AG9" s="43" t="n">
        <x:v>10000</x:v>
      </x:c>
      <x:c r="AH9" s="45" t="b">
        <x:v>1</x:v>
      </x:c>
      <x:c r="AI9" s="45" t="b">
        <x:v>1</x:v>
      </x:c>
      <x:c r="AJ9" s="49"/>
      <x:c r="AK9" s="48" t="n">
        <x:v>0.9499459762645</x:v>
      </x:c>
      <x:c r="AL9" s="49"/>
      <x:c r="AM9" s="49"/>
      <x:c r="AN9" s="36" t="n">
        <x:v>1</x:v>
      </x:c>
      <x:c r="AO9" s="45" t="b">
        <x:v>1</x:v>
      </x:c>
      <x:c r="AP9" s="45" t="b">
        <x:v>1</x:v>
      </x:c>
      <x:c r="AQ9" s="46" t="n">
        <x:f>IF(T9="","",T9/'Readme-Protocol'!$B$24)</x:f>
        <x:v>5.002972448</x:v>
      </x:c>
      <x:c r="AR9" s="46" t="n">
        <x:f>IF(OR(S9="",S9=0),"",T9/S9)</x:f>
        <x:v>1.0005944896</x:v>
      </x:c>
      <x:c r="AS9" s="46" t="n">
        <x:f>IF(OR(X9="",Y9=""),"",ABS(Y9-X9)*'Readme-Protocol'!$B$27)</x:f>
        <x:v>0.0054023735500008385</x:v>
      </x:c>
      <x:c r="AT9" s="49" t="b">
        <x:f>AND(M9&gt;0,N9&gt;=0,O9&gt;0)</x:f>
        <x:v>1</x:v>
      </x:c>
      <x:c r="AU9" s="49" t="b">
        <x:f>AND(AT9,N9&gt;=M9)</x:f>
        <x:v>1</x:v>
      </x:c>
      <x:c r="AV9" s="49" t="b">
        <x:f>OR(S9=0,T9&gt;=S9)</x:f>
        <x:v>1</x:v>
      </x:c>
      <x:c r="AW9" s="49" t="b">
        <x:f>IF(I9="cache-semantics",OR(V9&lt;&gt;"uniform",ABS(Y9-W9/'Readme-Protocol'!$B$27)&lt;='Readme-Protocol'!$B$28),TRUE)</x:f>
        <x:v>1</x:v>
      </x:c>
      <x:c r="AX9" s="43" t="n">
        <x:f>IF(I9="cache-semantics",INT(AA9*'Readme-Protocol'!$B$32),"")</x:f>
        <x:v>9900</x:v>
      </x:c>
      <x:c r="AY9" s="49" t="b">
        <x:f>IF(I9="cache-semantics",AX9=AB9,TRUE)</x:f>
        <x:v>1</x:v>
      </x:c>
      <x:c r="AZ9" s="49" t="b">
        <x:f>IF(I9="cache-semantics",AX9=AE9,TRUE)</x:f>
        <x:v>1</x:v>
      </x:c>
      <x:c r="BA9" s="49" t="b">
        <x:f>IF(I9="cache-semantics",AC9&gt;=AX9,IF(I9="no-store-control",AC9=0,FALSE))</x:f>
        <x:v>1</x:v>
      </x:c>
      <x:c r="BB9" s="49" t="b">
        <x:f>IF(I9="cache-semantics",AG9&gt;=AX9,IF(I9="no-store-control",AG9=0,FALSE))</x:f>
        <x:v>1</x:v>
      </x:c>
      <x:c r="BC9" s="49" t="b">
        <x:f>AND(BA9,BB9)</x:f>
        <x:v>1</x:v>
      </x:c>
      <x:c r="BD9" s="49" t="b">
        <x:f>IF(I9="no-store-control",AND(AC9=0,AG9=0),TRUE)</x:f>
        <x:v>1</x:v>
      </x:c>
      <x:c r="BE9" s="49" t="b">
        <x:f>IF(I9="no-store-control",AK9=0,TRUE)</x:f>
        <x:v>1</x:v>
      </x:c>
      <x:c r="BF9" s="49" t="b">
        <x:f>IF(I9="cache-semantics",AN9=1,TRUE)</x:f>
        <x:v>1</x:v>
      </x:c>
      <x:c r="BG9" s="49" t="b">
        <x:f>IF(I9="cache-semantics",AND(AU9,AV9,Q9,AW9,BC9,BF9),IF(I9="no-store-control",AND(AU9,AV9,Q9,BD9,BE9),FALSE))</x:f>
        <x:v>1</x:v>
      </x:c>
      <x:c r="BH9" s="49" t="b">
        <x:f>AND(R9,AT9=P9,AU9=L9,AV9=U9,AY9,AZ9,IF(I9="cache-semantics",AND(AW9=Z9,AND(BA9=AD9,BB9=AH9,BC9=AI9),BF9=AO9),IF(I9="no-store-control",AND(AND(BA9=AD9,BB9=AH9,BC9=AI9),BD9=AJ9,BE9=AL9),FALSE)),BG9=AP9)</x:f>
        <x:v>1</x:v>
      </x:c>
      <x:c r="BI9" s="49" t="b">
        <x:f>AND(J9,K9,BG9)</x:f>
        <x:v>1</x:v>
      </x:c>
    </x:row>
    <x:row r="10">
      <x:c r="A10" s="34" t="str">
        <x:v>article1-unified-v4-2-fb3f101b-20260903-000401-default-f01-p1-caffeine</x:v>
      </x:c>
      <x:c r="B10" s="34" t="str">
        <x:v>default</x:v>
      </x:c>
      <x:c r="C10" s="34" t="str">
        <x:v>caffeine</x:v>
      </x:c>
      <x:c r="D10" s="36" t="n">
        <x:v>1</x:v>
      </x:c>
      <x:c r="E10" s="36" t="n">
        <x:v>1</x:v>
      </x:c>
      <x:c r="F10" s="36" t="n">
        <x:v>1</x:v>
      </x:c>
      <x:c r="G10" s="36" t="n">
        <x:v>5</x:v>
      </x:c>
      <x:c r="H10" s="34" t="str">
        <x:v>initial</x:v>
      </x:c>
      <x:c r="I10" s="34" t="str">
        <x:v>cache-semantics</x:v>
      </x:c>
      <x:c r="J10" s="45" t="b">
        <x:v>1</x:v>
      </x:c>
      <x:c r="K10" s="45" t="b">
        <x:v>1</x:v>
      </x:c>
      <x:c r="L10" s="45" t="b">
        <x:v>1</x:v>
      </x:c>
      <x:c r="M10" s="43" t="n">
        <x:v>400000</x:v>
      </x:c>
      <x:c r="N10" s="43" t="n">
        <x:v>123397632</x:v>
      </x:c>
      <x:c r="O10" s="43" t="n">
        <x:v>24666890.78026443</x:v>
      </x:c>
      <x:c r="P10" s="45" t="b">
        <x:v>1</x:v>
      </x:c>
      <x:c r="Q10" s="45" t="b">
        <x:v>1</x:v>
      </x:c>
      <x:c r="R10" s="45" t="b">
        <x:v>1</x:v>
      </x:c>
      <x:c r="S10" s="43" t="n">
        <x:v>5000000000</x:v>
      </x:c>
      <x:c r="T10" s="43" t="n">
        <x:v>5002561251</x:v>
      </x:c>
      <x:c r="U10" s="45" t="b">
        <x:v>1</x:v>
      </x:c>
      <x:c r="V10" s="34" t="str">
        <x:v>uniform</x:v>
      </x:c>
      <x:c r="W10" s="42" t="n">
        <x:v>95</x:v>
      </x:c>
      <x:c r="X10" s="48" t="n">
        <x:v>0.95</x:v>
      </x:c>
      <x:c r="Y10" s="48" t="n">
        <x:v>0.9504922590410811</x:v>
      </x:c>
      <x:c r="Z10" s="45" t="b">
        <x:v>1</x:v>
      </x:c>
      <x:c r="AA10" s="43" t="n">
        <x:v>10000</x:v>
      </x:c>
      <x:c r="AB10" s="43" t="n">
        <x:v>9900</x:v>
      </x:c>
      <x:c r="AC10" s="43" t="n">
        <x:v>10000</x:v>
      </x:c>
      <x:c r="AD10" s="45" t="b">
        <x:v>1</x:v>
      </x:c>
      <x:c r="AE10" s="43" t="n">
        <x:v>9900</x:v>
      </x:c>
      <x:c r="AF10" s="43"/>
      <x:c r="AG10" s="43" t="n">
        <x:v>10000</x:v>
      </x:c>
      <x:c r="AH10" s="45" t="b">
        <x:v>1</x:v>
      </x:c>
      <x:c r="AI10" s="45" t="b">
        <x:v>1</x:v>
      </x:c>
      <x:c r="AJ10" s="49"/>
      <x:c r="AK10" s="48" t="n">
        <x:v>0.9504922590410811</x:v>
      </x:c>
      <x:c r="AL10" s="49"/>
      <x:c r="AM10" s="49"/>
      <x:c r="AN10" s="36" t="n">
        <x:v>1</x:v>
      </x:c>
      <x:c r="AO10" s="45" t="b">
        <x:v>1</x:v>
      </x:c>
      <x:c r="AP10" s="45" t="b">
        <x:v>1</x:v>
      </x:c>
      <x:c r="AQ10" s="46" t="n">
        <x:f>IF(T10="","",T10/'Readme-Protocol'!$B$24)</x:f>
        <x:v>5.002561251</x:v>
      </x:c>
      <x:c r="AR10" s="46" t="n">
        <x:f>IF(OR(S10="",S10=0),"",T10/S10)</x:f>
        <x:v>1.0005122502</x:v>
      </x:c>
      <x:c r="AS10" s="46" t="n">
        <x:f>IF(OR(X10="",Y10=""),"",ABS(Y10-X10)*'Readme-Protocol'!$B$27)</x:f>
        <x:v>0.04922590410811889</x:v>
      </x:c>
      <x:c r="AT10" s="49" t="b">
        <x:f>AND(M10&gt;0,N10&gt;=0,O10&gt;0)</x:f>
        <x:v>1</x:v>
      </x:c>
      <x:c r="AU10" s="49" t="b">
        <x:f>AND(AT10,N10&gt;=M10)</x:f>
        <x:v>1</x:v>
      </x:c>
      <x:c r="AV10" s="49" t="b">
        <x:f>OR(S10=0,T10&gt;=S10)</x:f>
        <x:v>1</x:v>
      </x:c>
      <x:c r="AW10" s="49" t="b">
        <x:f>IF(I10="cache-semantics",OR(V10&lt;&gt;"uniform",ABS(Y10-W10/'Readme-Protocol'!$B$27)&lt;='Readme-Protocol'!$B$28),TRUE)</x:f>
        <x:v>1</x:v>
      </x:c>
      <x:c r="AX10" s="43" t="n">
        <x:f>IF(I10="cache-semantics",INT(AA10*'Readme-Protocol'!$B$32),"")</x:f>
        <x:v>9900</x:v>
      </x:c>
      <x:c r="AY10" s="49" t="b">
        <x:f>IF(I10="cache-semantics",AX10=AB10,TRUE)</x:f>
        <x:v>1</x:v>
      </x:c>
      <x:c r="AZ10" s="49" t="b">
        <x:f>IF(I10="cache-semantics",AX10=AE10,TRUE)</x:f>
        <x:v>1</x:v>
      </x:c>
      <x:c r="BA10" s="49" t="b">
        <x:f>IF(I10="cache-semantics",AC10&gt;=AX10,IF(I10="no-store-control",AC10=0,FALSE))</x:f>
        <x:v>1</x:v>
      </x:c>
      <x:c r="BB10" s="49" t="b">
        <x:f>IF(I10="cache-semantics",AG10&gt;=AX10,IF(I10="no-store-control",AG10=0,FALSE))</x:f>
        <x:v>1</x:v>
      </x:c>
      <x:c r="BC10" s="49" t="b">
        <x:f>AND(BA10,BB10)</x:f>
        <x:v>1</x:v>
      </x:c>
      <x:c r="BD10" s="49" t="b">
        <x:f>IF(I10="no-store-control",AND(AC10=0,AG10=0),TRUE)</x:f>
        <x:v>1</x:v>
      </x:c>
      <x:c r="BE10" s="49" t="b">
        <x:f>IF(I10="no-store-control",AK10=0,TRUE)</x:f>
        <x:v>1</x:v>
      </x:c>
      <x:c r="BF10" s="49" t="b">
        <x:f>IF(I10="cache-semantics",AN10=1,TRUE)</x:f>
        <x:v>1</x:v>
      </x:c>
      <x:c r="BG10" s="49" t="b">
        <x:f>IF(I10="cache-semantics",AND(AU10,AV10,Q10,AW10,BC10,BF10),IF(I10="no-store-control",AND(AU10,AV10,Q10,BD10,BE10),FALSE))</x:f>
        <x:v>1</x:v>
      </x:c>
      <x:c r="BH10" s="49" t="b">
        <x:f>AND(R10,AT10=P10,AU10=L10,AV10=U10,AY10,AZ10,IF(I10="cache-semantics",AND(AW10=Z10,AND(BA10=AD10,BB10=AH10,BC10=AI10),BF10=AO10),IF(I10="no-store-control",AND(AND(BA10=AD10,BB10=AH10,BC10=AI10),BD10=AJ10,BE10=AL10),FALSE)),BG10=AP10)</x:f>
        <x:v>1</x:v>
      </x:c>
      <x:c r="BI10" s="49" t="b">
        <x:f>AND(J10,K10,BG10)</x:f>
        <x:v>1</x:v>
      </x:c>
    </x:row>
    <x:row r="11">
      <x:c r="A11" s="34" t="str">
        <x:v>article1-unified-v4-2-fb3f101b-20260903-000401-default-f01-p1-caffeine</x:v>
      </x:c>
      <x:c r="B11" s="34" t="str">
        <x:v>default</x:v>
      </x:c>
      <x:c r="C11" s="34" t="str">
        <x:v>caffeine</x:v>
      </x:c>
      <x:c r="D11" s="36" t="n">
        <x:v>1</x:v>
      </x:c>
      <x:c r="E11" s="36" t="n">
        <x:v>1</x:v>
      </x:c>
      <x:c r="F11" s="36" t="n">
        <x:v>1</x:v>
      </x:c>
      <x:c r="G11" s="36" t="n">
        <x:v>5</x:v>
      </x:c>
      <x:c r="H11" s="34" t="str">
        <x:v>redeploy</x:v>
      </x:c>
      <x:c r="I11" s="34" t="str">
        <x:v>cache-semantics</x:v>
      </x:c>
      <x:c r="J11" s="45" t="b">
        <x:v>1</x:v>
      </x:c>
      <x:c r="K11" s="45" t="b">
        <x:v>1</x:v>
      </x:c>
      <x:c r="L11" s="45" t="b">
        <x:v>1</x:v>
      </x:c>
      <x:c r="M11" s="43" t="n">
        <x:v>400000</x:v>
      </x:c>
      <x:c r="N11" s="43" t="n">
        <x:v>141737984</x:v>
      </x:c>
      <x:c r="O11" s="43" t="n">
        <x:v>28086758.611704685</x:v>
      </x:c>
      <x:c r="P11" s="45" t="b">
        <x:v>1</x:v>
      </x:c>
      <x:c r="Q11" s="45" t="b">
        <x:v>1</x:v>
      </x:c>
      <x:c r="R11" s="45" t="b">
        <x:v>1</x:v>
      </x:c>
      <x:c r="S11" s="43" t="n">
        <x:v>5000000000</x:v>
      </x:c>
      <x:c r="T11" s="43" t="n">
        <x:v>5046434370</x:v>
      </x:c>
      <x:c r="U11" s="45" t="b">
        <x:v>1</x:v>
      </x:c>
      <x:c r="V11" s="34" t="str">
        <x:v>uniform</x:v>
      </x:c>
      <x:c r="W11" s="42" t="n">
        <x:v>95</x:v>
      </x:c>
      <x:c r="X11" s="48" t="n">
        <x:v>0.95</x:v>
      </x:c>
      <x:c r="Y11" s="48" t="n">
        <x:v>0.9505094766975097</x:v>
      </x:c>
      <x:c r="Z11" s="45" t="b">
        <x:v>1</x:v>
      </x:c>
      <x:c r="AA11" s="43" t="n">
        <x:v>10000</x:v>
      </x:c>
      <x:c r="AB11" s="43" t="n">
        <x:v>9900</x:v>
      </x:c>
      <x:c r="AC11" s="43" t="n">
        <x:v>10000</x:v>
      </x:c>
      <x:c r="AD11" s="45" t="b">
        <x:v>1</x:v>
      </x:c>
      <x:c r="AE11" s="43" t="n">
        <x:v>9900</x:v>
      </x:c>
      <x:c r="AF11" s="43"/>
      <x:c r="AG11" s="43" t="n">
        <x:v>10000</x:v>
      </x:c>
      <x:c r="AH11" s="45" t="b">
        <x:v>1</x:v>
      </x:c>
      <x:c r="AI11" s="45" t="b">
        <x:v>1</x:v>
      </x:c>
      <x:c r="AJ11" s="49"/>
      <x:c r="AK11" s="48" t="n">
        <x:v>0.9505094766975097</x:v>
      </x:c>
      <x:c r="AL11" s="49"/>
      <x:c r="AM11" s="49"/>
      <x:c r="AN11" s="36" t="n">
        <x:v>1</x:v>
      </x:c>
      <x:c r="AO11" s="45" t="b">
        <x:v>1</x:v>
      </x:c>
      <x:c r="AP11" s="45" t="b">
        <x:v>1</x:v>
      </x:c>
      <x:c r="AQ11" s="46" t="n">
        <x:f>IF(T11="","",T11/'Readme-Protocol'!$B$24)</x:f>
        <x:v>5.04643437</x:v>
      </x:c>
      <x:c r="AR11" s="46" t="n">
        <x:f>IF(OR(S11="",S11=0),"",T11/S11)</x:f>
        <x:v>1.009286874</x:v>
      </x:c>
      <x:c r="AS11" s="46" t="n">
        <x:f>IF(OR(X11="",Y11=""),"",ABS(Y11-X11)*'Readme-Protocol'!$B$27)</x:f>
        <x:v>0.050947669750978086</x:v>
      </x:c>
      <x:c r="AT11" s="49" t="b">
        <x:f>AND(M11&gt;0,N11&gt;=0,O11&gt;0)</x:f>
        <x:v>1</x:v>
      </x:c>
      <x:c r="AU11" s="49" t="b">
        <x:f>AND(AT11,N11&gt;=M11)</x:f>
        <x:v>1</x:v>
      </x:c>
      <x:c r="AV11" s="49" t="b">
        <x:f>OR(S11=0,T11&gt;=S11)</x:f>
        <x:v>1</x:v>
      </x:c>
      <x:c r="AW11" s="49" t="b">
        <x:f>IF(I11="cache-semantics",OR(V11&lt;&gt;"uniform",ABS(Y11-W11/'Readme-Protocol'!$B$27)&lt;='Readme-Protocol'!$B$28),TRUE)</x:f>
        <x:v>1</x:v>
      </x:c>
      <x:c r="AX11" s="43" t="n">
        <x:f>IF(I11="cache-semantics",INT(AA11*'Readme-Protocol'!$B$32),"")</x:f>
        <x:v>9900</x:v>
      </x:c>
      <x:c r="AY11" s="49" t="b">
        <x:f>IF(I11="cache-semantics",AX11=AB11,TRUE)</x:f>
        <x:v>1</x:v>
      </x:c>
      <x:c r="AZ11" s="49" t="b">
        <x:f>IF(I11="cache-semantics",AX11=AE11,TRUE)</x:f>
        <x:v>1</x:v>
      </x:c>
      <x:c r="BA11" s="49" t="b">
        <x:f>IF(I11="cache-semantics",AC11&gt;=AX11,IF(I11="no-store-control",AC11=0,FALSE))</x:f>
        <x:v>1</x:v>
      </x:c>
      <x:c r="BB11" s="49" t="b">
        <x:f>IF(I11="cache-semantics",AG11&gt;=AX11,IF(I11="no-store-control",AG11=0,FALSE))</x:f>
        <x:v>1</x:v>
      </x:c>
      <x:c r="BC11" s="49" t="b">
        <x:f>AND(BA11,BB11)</x:f>
        <x:v>1</x:v>
      </x:c>
      <x:c r="BD11" s="49" t="b">
        <x:f>IF(I11="no-store-control",AND(AC11=0,AG11=0),TRUE)</x:f>
        <x:v>1</x:v>
      </x:c>
      <x:c r="BE11" s="49" t="b">
        <x:f>IF(I11="no-store-control",AK11=0,TRUE)</x:f>
        <x:v>1</x:v>
      </x:c>
      <x:c r="BF11" s="49" t="b">
        <x:f>IF(I11="cache-semantics",AN11=1,TRUE)</x:f>
        <x:v>1</x:v>
      </x:c>
      <x:c r="BG11" s="49" t="b">
        <x:f>IF(I11="cache-semantics",AND(AU11,AV11,Q11,AW11,BC11,BF11),IF(I11="no-store-control",AND(AU11,AV11,Q11,BD11,BE11),FALSE))</x:f>
        <x:v>1</x:v>
      </x:c>
      <x:c r="BH11" s="49" t="b">
        <x:f>AND(R11,AT11=P11,AU11=L11,AV11=U11,AY11,AZ11,IF(I11="cache-semantics",AND(AW11=Z11,AND(BA11=AD11,BB11=AH11,BC11=AI11),BF11=AO11),IF(I11="no-store-control",AND(AND(BA11=AD11,BB11=AH11,BC11=AI11),BD11=AJ11,BE11=AL11),FALSE)),BG11=AP11)</x:f>
        <x:v>1</x:v>
      </x:c>
      <x:c r="BI11" s="49" t="b">
        <x:f>AND(J11,K11,BG11)</x:f>
        <x:v>1</x:v>
      </x:c>
    </x:row>
    <x:row r="12">
      <x:c r="A12" s="34" t="str">
        <x:v>article1-unified-v4-2-fb3f101b-20260903-000401-default-f01-p2-ehcache</x:v>
      </x:c>
      <x:c r="B12" s="34" t="str">
        <x:v>default</x:v>
      </x:c>
      <x:c r="C12" s="34" t="str">
        <x:v>ehcache</x:v>
      </x:c>
      <x:c r="D12" s="36" t="n">
        <x:v>1</x:v>
      </x:c>
      <x:c r="E12" s="36" t="n">
        <x:v>1</x:v>
      </x:c>
      <x:c r="F12" s="36" t="n">
        <x:v>2</x:v>
      </x:c>
      <x:c r="G12" s="36" t="n">
        <x:v>1</x:v>
      </x:c>
      <x:c r="H12" s="34" t="str">
        <x:v>initial</x:v>
      </x:c>
      <x:c r="I12" s="34" t="str">
        <x:v>cache-semantics</x:v>
      </x:c>
      <x:c r="J12" s="45" t="b">
        <x:v>1</x:v>
      </x:c>
      <x:c r="K12" s="45" t="b">
        <x:v>1</x:v>
      </x:c>
      <x:c r="L12" s="45" t="b">
        <x:v>1</x:v>
      </x:c>
      <x:c r="M12" s="43" t="n">
        <x:v>400000</x:v>
      </x:c>
      <x:c r="N12" s="43" t="n">
        <x:v>118110208</x:v>
      </x:c>
      <x:c r="O12" s="43" t="n">
        <x:v>23608772.313130178</x:v>
      </x:c>
      <x:c r="P12" s="45" t="b">
        <x:v>1</x:v>
      </x:c>
      <x:c r="Q12" s="45" t="b">
        <x:v>1</x:v>
      </x:c>
      <x:c r="R12" s="45" t="b">
        <x:v>1</x:v>
      </x:c>
      <x:c r="S12" s="43" t="n">
        <x:v>5000000000</x:v>
      </x:c>
      <x:c r="T12" s="43" t="n">
        <x:v>5002810245</x:v>
      </x:c>
      <x:c r="U12" s="45" t="b">
        <x:v>1</x:v>
      </x:c>
      <x:c r="V12" s="34" t="str">
        <x:v>uniform</x:v>
      </x:c>
      <x:c r="W12" s="42" t="n">
        <x:v>95</x:v>
      </x:c>
      <x:c r="X12" s="48" t="n">
        <x:v>0.95</x:v>
      </x:c>
      <x:c r="Y12" s="48" t="n">
        <x:v>0.9495638090824461</x:v>
      </x:c>
      <x:c r="Z12" s="45" t="b">
        <x:v>1</x:v>
      </x:c>
      <x:c r="AA12" s="43" t="n">
        <x:v>10000</x:v>
      </x:c>
      <x:c r="AB12" s="43" t="n">
        <x:v>9900</x:v>
      </x:c>
      <x:c r="AC12" s="43" t="n">
        <x:v>10000</x:v>
      </x:c>
      <x:c r="AD12" s="45" t="b">
        <x:v>1</x:v>
      </x:c>
      <x:c r="AE12" s="43" t="n">
        <x:v>9900</x:v>
      </x:c>
      <x:c r="AF12" s="43"/>
      <x:c r="AG12" s="43" t="n">
        <x:v>10000</x:v>
      </x:c>
      <x:c r="AH12" s="45" t="b">
        <x:v>1</x:v>
      </x:c>
      <x:c r="AI12" s="45" t="b">
        <x:v>1</x:v>
      </x:c>
      <x:c r="AJ12" s="49"/>
      <x:c r="AK12" s="48" t="n">
        <x:v>0.9495638090824461</x:v>
      </x:c>
      <x:c r="AL12" s="49"/>
      <x:c r="AM12" s="49"/>
      <x:c r="AN12" s="36" t="n">
        <x:v>1</x:v>
      </x:c>
      <x:c r="AO12" s="45" t="b">
        <x:v>1</x:v>
      </x:c>
      <x:c r="AP12" s="45" t="b">
        <x:v>1</x:v>
      </x:c>
      <x:c r="AQ12" s="46" t="n">
        <x:f>IF(T12="","",T12/'Readme-Protocol'!$B$24)</x:f>
        <x:v>5.002810245</x:v>
      </x:c>
      <x:c r="AR12" s="46" t="n">
        <x:f>IF(OR(S12="",S12=0),"",T12/S12)</x:f>
        <x:v>1.000562049</x:v>
      </x:c>
      <x:c r="AS12" s="46" t="n">
        <x:f>IF(OR(X12="",Y12=""),"",ABS(Y12-X12)*'Readme-Protocol'!$B$27)</x:f>
        <x:v>0.04361909175538692</x:v>
      </x:c>
      <x:c r="AT12" s="49" t="b">
        <x:f>AND(M12&gt;0,N12&gt;=0,O12&gt;0)</x:f>
        <x:v>1</x:v>
      </x:c>
      <x:c r="AU12" s="49" t="b">
        <x:f>AND(AT12,N12&gt;=M12)</x:f>
        <x:v>1</x:v>
      </x:c>
      <x:c r="AV12" s="49" t="b">
        <x:f>OR(S12=0,T12&gt;=S12)</x:f>
        <x:v>1</x:v>
      </x:c>
      <x:c r="AW12" s="49" t="b">
        <x:f>IF(I12="cache-semantics",OR(V12&lt;&gt;"uniform",ABS(Y12-W12/'Readme-Protocol'!$B$27)&lt;='Readme-Protocol'!$B$28),TRUE)</x:f>
        <x:v>1</x:v>
      </x:c>
      <x:c r="AX12" s="43" t="n">
        <x:f>IF(I12="cache-semantics",INT(AA12*'Readme-Protocol'!$B$32),"")</x:f>
        <x:v>9900</x:v>
      </x:c>
      <x:c r="AY12" s="49" t="b">
        <x:f>IF(I12="cache-semantics",AX12=AB12,TRUE)</x:f>
        <x:v>1</x:v>
      </x:c>
      <x:c r="AZ12" s="49" t="b">
        <x:f>IF(I12="cache-semantics",AX12=AE12,TRUE)</x:f>
        <x:v>1</x:v>
      </x:c>
      <x:c r="BA12" s="49" t="b">
        <x:f>IF(I12="cache-semantics",AC12&gt;=AX12,IF(I12="no-store-control",AC12=0,FALSE))</x:f>
        <x:v>1</x:v>
      </x:c>
      <x:c r="BB12" s="49" t="b">
        <x:f>IF(I12="cache-semantics",AG12&gt;=AX12,IF(I12="no-store-control",AG12=0,FALSE))</x:f>
        <x:v>1</x:v>
      </x:c>
      <x:c r="BC12" s="49" t="b">
        <x:f>AND(BA12,BB12)</x:f>
        <x:v>1</x:v>
      </x:c>
      <x:c r="BD12" s="49" t="b">
        <x:f>IF(I12="no-store-control",AND(AC12=0,AG12=0),TRUE)</x:f>
        <x:v>1</x:v>
      </x:c>
      <x:c r="BE12" s="49" t="b">
        <x:f>IF(I12="no-store-control",AK12=0,TRUE)</x:f>
        <x:v>1</x:v>
      </x:c>
      <x:c r="BF12" s="49" t="b">
        <x:f>IF(I12="cache-semantics",AN12=1,TRUE)</x:f>
        <x:v>1</x:v>
      </x:c>
      <x:c r="BG12" s="49" t="b">
        <x:f>IF(I12="cache-semantics",AND(AU12,AV12,Q12,AW12,BC12,BF12),IF(I12="no-store-control",AND(AU12,AV12,Q12,BD12,BE12),FALSE))</x:f>
        <x:v>1</x:v>
      </x:c>
      <x:c r="BH12" s="49" t="b">
        <x:f>AND(R12,AT12=P12,AU12=L12,AV12=U12,AY12,AZ12,IF(I12="cache-semantics",AND(AW12=Z12,AND(BA12=AD12,BB12=AH12,BC12=AI12),BF12=AO12),IF(I12="no-store-control",AND(AND(BA12=AD12,BB12=AH12,BC12=AI12),BD12=AJ12,BE12=AL12),FALSE)),BG12=AP12)</x:f>
        <x:v>1</x:v>
      </x:c>
      <x:c r="BI12" s="49" t="b">
        <x:f>AND(J12,K12,BG12)</x:f>
        <x:v>1</x:v>
      </x:c>
    </x:row>
    <x:row r="13">
      <x:c r="A13" s="34" t="str">
        <x:v>article1-unified-v4-2-fb3f101b-20260903-000401-default-f01-p2-ehcache</x:v>
      </x:c>
      <x:c r="B13" s="34" t="str">
        <x:v>default</x:v>
      </x:c>
      <x:c r="C13" s="34" t="str">
        <x:v>ehcache</x:v>
      </x:c>
      <x:c r="D13" s="36" t="n">
        <x:v>1</x:v>
      </x:c>
      <x:c r="E13" s="36" t="n">
        <x:v>1</x:v>
      </x:c>
      <x:c r="F13" s="36" t="n">
        <x:v>2</x:v>
      </x:c>
      <x:c r="G13" s="36" t="n">
        <x:v>1</x:v>
      </x:c>
      <x:c r="H13" s="34" t="str">
        <x:v>redeploy</x:v>
      </x:c>
      <x:c r="I13" s="34" t="str">
        <x:v>cache-semantics</x:v>
      </x:c>
      <x:c r="J13" s="45" t="b">
        <x:v>1</x:v>
      </x:c>
      <x:c r="K13" s="45" t="b">
        <x:v>1</x:v>
      </x:c>
      <x:c r="L13" s="45" t="b">
        <x:v>1</x:v>
      </x:c>
      <x:c r="M13" s="43" t="n">
        <x:v>400000</x:v>
      </x:c>
      <x:c r="N13" s="43" t="n">
        <x:v>100211456</x:v>
      </x:c>
      <x:c r="O13" s="43" t="n">
        <x:v>20035599.990813468</x:v>
      </x:c>
      <x:c r="P13" s="45" t="b">
        <x:v>1</x:v>
      </x:c>
      <x:c r="Q13" s="45" t="b">
        <x:v>1</x:v>
      </x:c>
      <x:c r="R13" s="45" t="b">
        <x:v>1</x:v>
      </x:c>
      <x:c r="S13" s="43" t="n">
        <x:v>5000000000</x:v>
      </x:c>
      <x:c r="T13" s="43" t="n">
        <x:v>5001669830</x:v>
      </x:c>
      <x:c r="U13" s="45" t="b">
        <x:v>1</x:v>
      </x:c>
      <x:c r="V13" s="34" t="str">
        <x:v>uniform</x:v>
      </x:c>
      <x:c r="W13" s="42" t="n">
        <x:v>95</x:v>
      </x:c>
      <x:c r="X13" s="48" t="n">
        <x:v>0.95</x:v>
      </x:c>
      <x:c r="Y13" s="48" t="n">
        <x:v>0.949587610023349</x:v>
      </x:c>
      <x:c r="Z13" s="45" t="b">
        <x:v>1</x:v>
      </x:c>
      <x:c r="AA13" s="43" t="n">
        <x:v>10000</x:v>
      </x:c>
      <x:c r="AB13" s="43" t="n">
        <x:v>9900</x:v>
      </x:c>
      <x:c r="AC13" s="43" t="n">
        <x:v>10000</x:v>
      </x:c>
      <x:c r="AD13" s="45" t="b">
        <x:v>1</x:v>
      </x:c>
      <x:c r="AE13" s="43" t="n">
        <x:v>9900</x:v>
      </x:c>
      <x:c r="AF13" s="43"/>
      <x:c r="AG13" s="43" t="n">
        <x:v>10000</x:v>
      </x:c>
      <x:c r="AH13" s="45" t="b">
        <x:v>1</x:v>
      </x:c>
      <x:c r="AI13" s="45" t="b">
        <x:v>1</x:v>
      </x:c>
      <x:c r="AJ13" s="49"/>
      <x:c r="AK13" s="48" t="n">
        <x:v>0.949587610023349</x:v>
      </x:c>
      <x:c r="AL13" s="49"/>
      <x:c r="AM13" s="49"/>
      <x:c r="AN13" s="36" t="n">
        <x:v>1</x:v>
      </x:c>
      <x:c r="AO13" s="45" t="b">
        <x:v>1</x:v>
      </x:c>
      <x:c r="AP13" s="45" t="b">
        <x:v>1</x:v>
      </x:c>
      <x:c r="AQ13" s="46" t="n">
        <x:f>IF(T13="","",T13/'Readme-Protocol'!$B$24)</x:f>
        <x:v>5.00166983</x:v>
      </x:c>
      <x:c r="AR13" s="46" t="n">
        <x:f>IF(OR(S13="",S13=0),"",T13/S13)</x:f>
        <x:v>1.000333966</x:v>
      </x:c>
      <x:c r="AS13" s="46" t="n">
        <x:f>IF(OR(X13="",Y13=""),"",ABS(Y13-X13)*'Readme-Protocol'!$B$27)</x:f>
        <x:v>0.04123899766509398</x:v>
      </x:c>
      <x:c r="AT13" s="49" t="b">
        <x:f>AND(M13&gt;0,N13&gt;=0,O13&gt;0)</x:f>
        <x:v>1</x:v>
      </x:c>
      <x:c r="AU13" s="49" t="b">
        <x:f>AND(AT13,N13&gt;=M13)</x:f>
        <x:v>1</x:v>
      </x:c>
      <x:c r="AV13" s="49" t="b">
        <x:f>OR(S13=0,T13&gt;=S13)</x:f>
        <x:v>1</x:v>
      </x:c>
      <x:c r="AW13" s="49" t="b">
        <x:f>IF(I13="cache-semantics",OR(V13&lt;&gt;"uniform",ABS(Y13-W13/'Readme-Protocol'!$B$27)&lt;='Readme-Protocol'!$B$28),TRUE)</x:f>
        <x:v>1</x:v>
      </x:c>
      <x:c r="AX13" s="43" t="n">
        <x:f>IF(I13="cache-semantics",INT(AA13*'Readme-Protocol'!$B$32),"")</x:f>
        <x:v>9900</x:v>
      </x:c>
      <x:c r="AY13" s="49" t="b">
        <x:f>IF(I13="cache-semantics",AX13=AB13,TRUE)</x:f>
        <x:v>1</x:v>
      </x:c>
      <x:c r="AZ13" s="49" t="b">
        <x:f>IF(I13="cache-semantics",AX13=AE13,TRUE)</x:f>
        <x:v>1</x:v>
      </x:c>
      <x:c r="BA13" s="49" t="b">
        <x:f>IF(I13="cache-semantics",AC13&gt;=AX13,IF(I13="no-store-control",AC13=0,FALSE))</x:f>
        <x:v>1</x:v>
      </x:c>
      <x:c r="BB13" s="49" t="b">
        <x:f>IF(I13="cache-semantics",AG13&gt;=AX13,IF(I13="no-store-control",AG13=0,FALSE))</x:f>
        <x:v>1</x:v>
      </x:c>
      <x:c r="BC13" s="49" t="b">
        <x:f>AND(BA13,BB13)</x:f>
        <x:v>1</x:v>
      </x:c>
      <x:c r="BD13" s="49" t="b">
        <x:f>IF(I13="no-store-control",AND(AC13=0,AG13=0),TRUE)</x:f>
        <x:v>1</x:v>
      </x:c>
      <x:c r="BE13" s="49" t="b">
        <x:f>IF(I13="no-store-control",AK13=0,TRUE)</x:f>
        <x:v>1</x:v>
      </x:c>
      <x:c r="BF13" s="49" t="b">
        <x:f>IF(I13="cache-semantics",AN13=1,TRUE)</x:f>
        <x:v>1</x:v>
      </x:c>
      <x:c r="BG13" s="49" t="b">
        <x:f>IF(I13="cache-semantics",AND(AU13,AV13,Q13,AW13,BC13,BF13),IF(I13="no-store-control",AND(AU13,AV13,Q13,BD13,BE13),FALSE))</x:f>
        <x:v>1</x:v>
      </x:c>
      <x:c r="BH13" s="49" t="b">
        <x:f>AND(R13,AT13=P13,AU13=L13,AV13=U13,AY13,AZ13,IF(I13="cache-semantics",AND(AW13=Z13,AND(BA13=AD13,BB13=AH13,BC13=AI13),BF13=AO13),IF(I13="no-store-control",AND(AND(BA13=AD13,BB13=AH13,BC13=AI13),BD13=AJ13,BE13=AL13),FALSE)),BG13=AP13)</x:f>
        <x:v>1</x:v>
      </x:c>
      <x:c r="BI13" s="49" t="b">
        <x:f>AND(J13,K13,BG13)</x:f>
        <x:v>1</x:v>
      </x:c>
    </x:row>
    <x:row r="14">
      <x:c r="A14" s="34" t="str">
        <x:v>article1-unified-v4-2-fb3f101b-20260903-000401-default-f01-p2-ehcache</x:v>
      </x:c>
      <x:c r="B14" s="34" t="str">
        <x:v>default</x:v>
      </x:c>
      <x:c r="C14" s="34" t="str">
        <x:v>ehcache</x:v>
      </x:c>
      <x:c r="D14" s="36" t="n">
        <x:v>1</x:v>
      </x:c>
      <x:c r="E14" s="36" t="n">
        <x:v>1</x:v>
      </x:c>
      <x:c r="F14" s="36" t="n">
        <x:v>2</x:v>
      </x:c>
      <x:c r="G14" s="36" t="n">
        <x:v>2</x:v>
      </x:c>
      <x:c r="H14" s="34" t="str">
        <x:v>initial</x:v>
      </x:c>
      <x:c r="I14" s="34" t="str">
        <x:v>cache-semantics</x:v>
      </x:c>
      <x:c r="J14" s="45" t="b">
        <x:v>1</x:v>
      </x:c>
      <x:c r="K14" s="45" t="b">
        <x:v>1</x:v>
      </x:c>
      <x:c r="L14" s="45" t="b">
        <x:v>1</x:v>
      </x:c>
      <x:c r="M14" s="43" t="n">
        <x:v>400000</x:v>
      </x:c>
      <x:c r="N14" s="43" t="n">
        <x:v>115061248</x:v>
      </x:c>
      <x:c r="O14" s="43" t="n">
        <x:v>22998772.95841226</x:v>
      </x:c>
      <x:c r="P14" s="45" t="b">
        <x:v>1</x:v>
      </x:c>
      <x:c r="Q14" s="45" t="b">
        <x:v>1</x:v>
      </x:c>
      <x:c r="R14" s="45" t="b">
        <x:v>1</x:v>
      </x:c>
      <x:c r="S14" s="43" t="n">
        <x:v>5000000000</x:v>
      </x:c>
      <x:c r="T14" s="43" t="n">
        <x:v>5002929861</x:v>
      </x:c>
      <x:c r="U14" s="45" t="b">
        <x:v>1</x:v>
      </x:c>
      <x:c r="V14" s="34" t="str">
        <x:v>uniform</x:v>
      </x:c>
      <x:c r="W14" s="42" t="n">
        <x:v>95</x:v>
      </x:c>
      <x:c r="X14" s="48" t="n">
        <x:v>0.95</x:v>
      </x:c>
      <x:c r="Y14" s="48" t="n">
        <x:v>0.9503748733891709</x:v>
      </x:c>
      <x:c r="Z14" s="45" t="b">
        <x:v>1</x:v>
      </x:c>
      <x:c r="AA14" s="43" t="n">
        <x:v>10000</x:v>
      </x:c>
      <x:c r="AB14" s="43" t="n">
        <x:v>9900</x:v>
      </x:c>
      <x:c r="AC14" s="43" t="n">
        <x:v>10000</x:v>
      </x:c>
      <x:c r="AD14" s="45" t="b">
        <x:v>1</x:v>
      </x:c>
      <x:c r="AE14" s="43" t="n">
        <x:v>9900</x:v>
      </x:c>
      <x:c r="AF14" s="43"/>
      <x:c r="AG14" s="43" t="n">
        <x:v>10000</x:v>
      </x:c>
      <x:c r="AH14" s="45" t="b">
        <x:v>1</x:v>
      </x:c>
      <x:c r="AI14" s="45" t="b">
        <x:v>1</x:v>
      </x:c>
      <x:c r="AJ14" s="49"/>
      <x:c r="AK14" s="48" t="n">
        <x:v>0.9503748733891709</x:v>
      </x:c>
      <x:c r="AL14" s="49"/>
      <x:c r="AM14" s="49"/>
      <x:c r="AN14" s="36" t="n">
        <x:v>1</x:v>
      </x:c>
      <x:c r="AO14" s="45" t="b">
        <x:v>1</x:v>
      </x:c>
      <x:c r="AP14" s="45" t="b">
        <x:v>1</x:v>
      </x:c>
      <x:c r="AQ14" s="46" t="n">
        <x:f>IF(T14="","",T14/'Readme-Protocol'!$B$24)</x:f>
        <x:v>5.002929861</x:v>
      </x:c>
      <x:c r="AR14" s="46" t="n">
        <x:f>IF(OR(S14="",S14=0),"",T14/S14)</x:f>
        <x:v>1.0005859722</x:v>
      </x:c>
      <x:c r="AS14" s="46" t="n">
        <x:f>IF(OR(X14="",Y14=""),"",ABS(Y14-X14)*'Readme-Protocol'!$B$27)</x:f>
        <x:v>0.0374873389170971</x:v>
      </x:c>
      <x:c r="AT14" s="49" t="b">
        <x:f>AND(M14&gt;0,N14&gt;=0,O14&gt;0)</x:f>
        <x:v>1</x:v>
      </x:c>
      <x:c r="AU14" s="49" t="b">
        <x:f>AND(AT14,N14&gt;=M14)</x:f>
        <x:v>1</x:v>
      </x:c>
      <x:c r="AV14" s="49" t="b">
        <x:f>OR(S14=0,T14&gt;=S14)</x:f>
        <x:v>1</x:v>
      </x:c>
      <x:c r="AW14" s="49" t="b">
        <x:f>IF(I14="cache-semantics",OR(V14&lt;&gt;"uniform",ABS(Y14-W14/'Readme-Protocol'!$B$27)&lt;='Readme-Protocol'!$B$28),TRUE)</x:f>
        <x:v>1</x:v>
      </x:c>
      <x:c r="AX14" s="43" t="n">
        <x:f>IF(I14="cache-semantics",INT(AA14*'Readme-Protocol'!$B$32),"")</x:f>
        <x:v>9900</x:v>
      </x:c>
      <x:c r="AY14" s="49" t="b">
        <x:f>IF(I14="cache-semantics",AX14=AB14,TRUE)</x:f>
        <x:v>1</x:v>
      </x:c>
      <x:c r="AZ14" s="49" t="b">
        <x:f>IF(I14="cache-semantics",AX14=AE14,TRUE)</x:f>
        <x:v>1</x:v>
      </x:c>
      <x:c r="BA14" s="49" t="b">
        <x:f>IF(I14="cache-semantics",AC14&gt;=AX14,IF(I14="no-store-control",AC14=0,FALSE))</x:f>
        <x:v>1</x:v>
      </x:c>
      <x:c r="BB14" s="49" t="b">
        <x:f>IF(I14="cache-semantics",AG14&gt;=AX14,IF(I14="no-store-control",AG14=0,FALSE))</x:f>
        <x:v>1</x:v>
      </x:c>
      <x:c r="BC14" s="49" t="b">
        <x:f>AND(BA14,BB14)</x:f>
        <x:v>1</x:v>
      </x:c>
      <x:c r="BD14" s="49" t="b">
        <x:f>IF(I14="no-store-control",AND(AC14=0,AG14=0),TRUE)</x:f>
        <x:v>1</x:v>
      </x:c>
      <x:c r="BE14" s="49" t="b">
        <x:f>IF(I14="no-store-control",AK14=0,TRUE)</x:f>
        <x:v>1</x:v>
      </x:c>
      <x:c r="BF14" s="49" t="b">
        <x:f>IF(I14="cache-semantics",AN14=1,TRUE)</x:f>
        <x:v>1</x:v>
      </x:c>
      <x:c r="BG14" s="49" t="b">
        <x:f>IF(I14="cache-semantics",AND(AU14,AV14,Q14,AW14,BC14,BF14),IF(I14="no-store-control",AND(AU14,AV14,Q14,BD14,BE14),FALSE))</x:f>
        <x:v>1</x:v>
      </x:c>
      <x:c r="BH14" s="49" t="b">
        <x:f>AND(R14,AT14=P14,AU14=L14,AV14=U14,AY14,AZ14,IF(I14="cache-semantics",AND(AW14=Z14,AND(BA14=AD14,BB14=AH14,BC14=AI14),BF14=AO14),IF(I14="no-store-control",AND(AND(BA14=AD14,BB14=AH14,BC14=AI14),BD14=AJ14,BE14=AL14),FALSE)),BG14=AP14)</x:f>
        <x:v>1</x:v>
      </x:c>
      <x:c r="BI14" s="49" t="b">
        <x:f>AND(J14,K14,BG14)</x:f>
        <x:v>1</x:v>
      </x:c>
    </x:row>
    <x:row r="15">
      <x:c r="A15" s="34" t="str">
        <x:v>article1-unified-v4-2-fb3f101b-20260903-000401-default-f01-p2-ehcache</x:v>
      </x:c>
      <x:c r="B15" s="34" t="str">
        <x:v>default</x:v>
      </x:c>
      <x:c r="C15" s="34" t="str">
        <x:v>ehcache</x:v>
      </x:c>
      <x:c r="D15" s="36" t="n">
        <x:v>1</x:v>
      </x:c>
      <x:c r="E15" s="36" t="n">
        <x:v>1</x:v>
      </x:c>
      <x:c r="F15" s="36" t="n">
        <x:v>2</x:v>
      </x:c>
      <x:c r="G15" s="36" t="n">
        <x:v>2</x:v>
      </x:c>
      <x:c r="H15" s="34" t="str">
        <x:v>redeploy</x:v>
      </x:c>
      <x:c r="I15" s="34" t="str">
        <x:v>cache-semantics</x:v>
      </x:c>
      <x:c r="J15" s="45" t="b">
        <x:v>1</x:v>
      </x:c>
      <x:c r="K15" s="45" t="b">
        <x:v>1</x:v>
      </x:c>
      <x:c r="L15" s="45" t="b">
        <x:v>1</x:v>
      </x:c>
      <x:c r="M15" s="43" t="n">
        <x:v>400000</x:v>
      </x:c>
      <x:c r="N15" s="43" t="n">
        <x:v>117641216</x:v>
      </x:c>
      <x:c r="O15" s="43" t="n">
        <x:v>23507840.561815243</x:v>
      </x:c>
      <x:c r="P15" s="45" t="b">
        <x:v>1</x:v>
      </x:c>
      <x:c r="Q15" s="45" t="b">
        <x:v>1</x:v>
      </x:c>
      <x:c r="R15" s="45" t="b">
        <x:v>1</x:v>
      </x:c>
      <x:c r="S15" s="43" t="n">
        <x:v>5000000000</x:v>
      </x:c>
      <x:c r="T15" s="43" t="n">
        <x:v>5004339539</x:v>
      </x:c>
      <x:c r="U15" s="45" t="b">
        <x:v>1</x:v>
      </x:c>
      <x:c r="V15" s="34" t="str">
        <x:v>uniform</x:v>
      </x:c>
      <x:c r="W15" s="42" t="n">
        <x:v>95</x:v>
      </x:c>
      <x:c r="X15" s="48" t="n">
        <x:v>0.95</x:v>
      </x:c>
      <x:c r="Y15" s="48" t="n">
        <x:v>0.9503776465554385</x:v>
      </x:c>
      <x:c r="Z15" s="45" t="b">
        <x:v>1</x:v>
      </x:c>
      <x:c r="AA15" s="43" t="n">
        <x:v>10000</x:v>
      </x:c>
      <x:c r="AB15" s="43" t="n">
        <x:v>9900</x:v>
      </x:c>
      <x:c r="AC15" s="43" t="n">
        <x:v>10000</x:v>
      </x:c>
      <x:c r="AD15" s="45" t="b">
        <x:v>1</x:v>
      </x:c>
      <x:c r="AE15" s="43" t="n">
        <x:v>9900</x:v>
      </x:c>
      <x:c r="AF15" s="43"/>
      <x:c r="AG15" s="43" t="n">
        <x:v>10000</x:v>
      </x:c>
      <x:c r="AH15" s="45" t="b">
        <x:v>1</x:v>
      </x:c>
      <x:c r="AI15" s="45" t="b">
        <x:v>1</x:v>
      </x:c>
      <x:c r="AJ15" s="49"/>
      <x:c r="AK15" s="48" t="n">
        <x:v>0.9503776465554385</x:v>
      </x:c>
      <x:c r="AL15" s="49"/>
      <x:c r="AM15" s="49"/>
      <x:c r="AN15" s="36" t="n">
        <x:v>1</x:v>
      </x:c>
      <x:c r="AO15" s="45" t="b">
        <x:v>1</x:v>
      </x:c>
      <x:c r="AP15" s="45" t="b">
        <x:v>1</x:v>
      </x:c>
      <x:c r="AQ15" s="46" t="n">
        <x:f>IF(T15="","",T15/'Readme-Protocol'!$B$24)</x:f>
        <x:v>5.004339539</x:v>
      </x:c>
      <x:c r="AR15" s="46" t="n">
        <x:f>IF(OR(S15="",S15=0),"",T15/S15)</x:f>
        <x:v>1.0008679078</x:v>
      </x:c>
      <x:c r="AS15" s="46" t="n">
        <x:f>IF(OR(X15="",Y15=""),"",ABS(Y15-X15)*'Readme-Protocol'!$B$27)</x:f>
        <x:v>0.03776465554385933</x:v>
      </x:c>
      <x:c r="AT15" s="49" t="b">
        <x:f>AND(M15&gt;0,N15&gt;=0,O15&gt;0)</x:f>
        <x:v>1</x:v>
      </x:c>
      <x:c r="AU15" s="49" t="b">
        <x:f>AND(AT15,N15&gt;=M15)</x:f>
        <x:v>1</x:v>
      </x:c>
      <x:c r="AV15" s="49" t="b">
        <x:f>OR(S15=0,T15&gt;=S15)</x:f>
        <x:v>1</x:v>
      </x:c>
      <x:c r="AW15" s="49" t="b">
        <x:f>IF(I15="cache-semantics",OR(V15&lt;&gt;"uniform",ABS(Y15-W15/'Readme-Protocol'!$B$27)&lt;='Readme-Protocol'!$B$28),TRUE)</x:f>
        <x:v>1</x:v>
      </x:c>
      <x:c r="AX15" s="43" t="n">
        <x:f>IF(I15="cache-semantics",INT(AA15*'Readme-Protocol'!$B$32),"")</x:f>
        <x:v>9900</x:v>
      </x:c>
      <x:c r="AY15" s="49" t="b">
        <x:f>IF(I15="cache-semantics",AX15=AB15,TRUE)</x:f>
        <x:v>1</x:v>
      </x:c>
      <x:c r="AZ15" s="49" t="b">
        <x:f>IF(I15="cache-semantics",AX15=AE15,TRUE)</x:f>
        <x:v>1</x:v>
      </x:c>
      <x:c r="BA15" s="49" t="b">
        <x:f>IF(I15="cache-semantics",AC15&gt;=AX15,IF(I15="no-store-control",AC15=0,FALSE))</x:f>
        <x:v>1</x:v>
      </x:c>
      <x:c r="BB15" s="49" t="b">
        <x:f>IF(I15="cache-semantics",AG15&gt;=AX15,IF(I15="no-store-control",AG15=0,FALSE))</x:f>
        <x:v>1</x:v>
      </x:c>
      <x:c r="BC15" s="49" t="b">
        <x:f>AND(BA15,BB15)</x:f>
        <x:v>1</x:v>
      </x:c>
      <x:c r="BD15" s="49" t="b">
        <x:f>IF(I15="no-store-control",AND(AC15=0,AG15=0),TRUE)</x:f>
        <x:v>1</x:v>
      </x:c>
      <x:c r="BE15" s="49" t="b">
        <x:f>IF(I15="no-store-control",AK15=0,TRUE)</x:f>
        <x:v>1</x:v>
      </x:c>
      <x:c r="BF15" s="49" t="b">
        <x:f>IF(I15="cache-semantics",AN15=1,TRUE)</x:f>
        <x:v>1</x:v>
      </x:c>
      <x:c r="BG15" s="49" t="b">
        <x:f>IF(I15="cache-semantics",AND(AU15,AV15,Q15,AW15,BC15,BF15),IF(I15="no-store-control",AND(AU15,AV15,Q15,BD15,BE15),FALSE))</x:f>
        <x:v>1</x:v>
      </x:c>
      <x:c r="BH15" s="49" t="b">
        <x:f>AND(R15,AT15=P15,AU15=L15,AV15=U15,AY15,AZ15,IF(I15="cache-semantics",AND(AW15=Z15,AND(BA15=AD15,BB15=AH15,BC15=AI15),BF15=AO15),IF(I15="no-store-control",AND(AND(BA15=AD15,BB15=AH15,BC15=AI15),BD15=AJ15,BE15=AL15),FALSE)),BG15=AP15)</x:f>
        <x:v>1</x:v>
      </x:c>
      <x:c r="BI15" s="49" t="b">
        <x:f>AND(J15,K15,BG15)</x:f>
        <x:v>1</x:v>
      </x:c>
    </x:row>
    <x:row r="16">
      <x:c r="A16" s="34" t="str">
        <x:v>article1-unified-v4-2-fb3f101b-20260903-000401-default-f01-p2-ehcache</x:v>
      </x:c>
      <x:c r="B16" s="34" t="str">
        <x:v>default</x:v>
      </x:c>
      <x:c r="C16" s="34" t="str">
        <x:v>ehcache</x:v>
      </x:c>
      <x:c r="D16" s="36" t="n">
        <x:v>1</x:v>
      </x:c>
      <x:c r="E16" s="36" t="n">
        <x:v>1</x:v>
      </x:c>
      <x:c r="F16" s="36" t="n">
        <x:v>2</x:v>
      </x:c>
      <x:c r="G16" s="36" t="n">
        <x:v>3</x:v>
      </x:c>
      <x:c r="H16" s="34" t="str">
        <x:v>initial</x:v>
      </x:c>
      <x:c r="I16" s="34" t="str">
        <x:v>cache-semantics</x:v>
      </x:c>
      <x:c r="J16" s="45" t="b">
        <x:v>1</x:v>
      </x:c>
      <x:c r="K16" s="45" t="b">
        <x:v>1</x:v>
      </x:c>
      <x:c r="L16" s="45" t="b">
        <x:v>1</x:v>
      </x:c>
      <x:c r="M16" s="43" t="n">
        <x:v>400000</x:v>
      </x:c>
      <x:c r="N16" s="43" t="n">
        <x:v>117463296</x:v>
      </x:c>
      <x:c r="O16" s="43" t="n">
        <x:v>23482757.92055727</x:v>
      </x:c>
      <x:c r="P16" s="45" t="b">
        <x:v>1</x:v>
      </x:c>
      <x:c r="Q16" s="45" t="b">
        <x:v>1</x:v>
      </x:c>
      <x:c r="R16" s="45" t="b">
        <x:v>1</x:v>
      </x:c>
      <x:c r="S16" s="43" t="n">
        <x:v>5000000000</x:v>
      </x:c>
      <x:c r="T16" s="43" t="n">
        <x:v>5002108202</x:v>
      </x:c>
      <x:c r="U16" s="45" t="b">
        <x:v>1</x:v>
      </x:c>
      <x:c r="V16" s="34" t="str">
        <x:v>uniform</x:v>
      </x:c>
      <x:c r="W16" s="42" t="n">
        <x:v>95</x:v>
      </x:c>
      <x:c r="X16" s="48" t="n">
        <x:v>0.95</x:v>
      </x:c>
      <x:c r="Y16" s="48" t="n">
        <x:v>0.9498683997425034</x:v>
      </x:c>
      <x:c r="Z16" s="45" t="b">
        <x:v>1</x:v>
      </x:c>
      <x:c r="AA16" s="43" t="n">
        <x:v>10000</x:v>
      </x:c>
      <x:c r="AB16" s="43" t="n">
        <x:v>9900</x:v>
      </x:c>
      <x:c r="AC16" s="43" t="n">
        <x:v>10000</x:v>
      </x:c>
      <x:c r="AD16" s="45" t="b">
        <x:v>1</x:v>
      </x:c>
      <x:c r="AE16" s="43" t="n">
        <x:v>9900</x:v>
      </x:c>
      <x:c r="AF16" s="43"/>
      <x:c r="AG16" s="43" t="n">
        <x:v>10000</x:v>
      </x:c>
      <x:c r="AH16" s="45" t="b">
        <x:v>1</x:v>
      </x:c>
      <x:c r="AI16" s="45" t="b">
        <x:v>1</x:v>
      </x:c>
      <x:c r="AJ16" s="49"/>
      <x:c r="AK16" s="48" t="n">
        <x:v>0.9498683997425034</x:v>
      </x:c>
      <x:c r="AL16" s="49"/>
      <x:c r="AM16" s="49"/>
      <x:c r="AN16" s="36" t="n">
        <x:v>1</x:v>
      </x:c>
      <x:c r="AO16" s="45" t="b">
        <x:v>1</x:v>
      </x:c>
      <x:c r="AP16" s="45" t="b">
        <x:v>1</x:v>
      </x:c>
      <x:c r="AQ16" s="46" t="n">
        <x:f>IF(T16="","",T16/'Readme-Protocol'!$B$24)</x:f>
        <x:v>5.002108202</x:v>
      </x:c>
      <x:c r="AR16" s="46" t="n">
        <x:f>IF(OR(S16="",S16=0),"",T16/S16)</x:f>
        <x:v>1.0004216404</x:v>
      </x:c>
      <x:c r="AS16" s="46" t="n">
        <x:f>IF(OR(X16="",Y16=""),"",ABS(Y16-X16)*'Readme-Protocol'!$B$27)</x:f>
        <x:v>0.01316002574965891</x:v>
      </x:c>
      <x:c r="AT16" s="49" t="b">
        <x:f>AND(M16&gt;0,N16&gt;=0,O16&gt;0)</x:f>
        <x:v>1</x:v>
      </x:c>
      <x:c r="AU16" s="49" t="b">
        <x:f>AND(AT16,N16&gt;=M16)</x:f>
        <x:v>1</x:v>
      </x:c>
      <x:c r="AV16" s="49" t="b">
        <x:f>OR(S16=0,T16&gt;=S16)</x:f>
        <x:v>1</x:v>
      </x:c>
      <x:c r="AW16" s="49" t="b">
        <x:f>IF(I16="cache-semantics",OR(V16&lt;&gt;"uniform",ABS(Y16-W16/'Readme-Protocol'!$B$27)&lt;='Readme-Protocol'!$B$28),TRUE)</x:f>
        <x:v>1</x:v>
      </x:c>
      <x:c r="AX16" s="43" t="n">
        <x:f>IF(I16="cache-semantics",INT(AA16*'Readme-Protocol'!$B$32),"")</x:f>
        <x:v>9900</x:v>
      </x:c>
      <x:c r="AY16" s="49" t="b">
        <x:f>IF(I16="cache-semantics",AX16=AB16,TRUE)</x:f>
        <x:v>1</x:v>
      </x:c>
      <x:c r="AZ16" s="49" t="b">
        <x:f>IF(I16="cache-semantics",AX16=AE16,TRUE)</x:f>
        <x:v>1</x:v>
      </x:c>
      <x:c r="BA16" s="49" t="b">
        <x:f>IF(I16="cache-semantics",AC16&gt;=AX16,IF(I16="no-store-control",AC16=0,FALSE))</x:f>
        <x:v>1</x:v>
      </x:c>
      <x:c r="BB16" s="49" t="b">
        <x:f>IF(I16="cache-semantics",AG16&gt;=AX16,IF(I16="no-store-control",AG16=0,FALSE))</x:f>
        <x:v>1</x:v>
      </x:c>
      <x:c r="BC16" s="49" t="b">
        <x:f>AND(BA16,BB16)</x:f>
        <x:v>1</x:v>
      </x:c>
      <x:c r="BD16" s="49" t="b">
        <x:f>IF(I16="no-store-control",AND(AC16=0,AG16=0),TRUE)</x:f>
        <x:v>1</x:v>
      </x:c>
      <x:c r="BE16" s="49" t="b">
        <x:f>IF(I16="no-store-control",AK16=0,TRUE)</x:f>
        <x:v>1</x:v>
      </x:c>
      <x:c r="BF16" s="49" t="b">
        <x:f>IF(I16="cache-semantics",AN16=1,TRUE)</x:f>
        <x:v>1</x:v>
      </x:c>
      <x:c r="BG16" s="49" t="b">
        <x:f>IF(I16="cache-semantics",AND(AU16,AV16,Q16,AW16,BC16,BF16),IF(I16="no-store-control",AND(AU16,AV16,Q16,BD16,BE16),FALSE))</x:f>
        <x:v>1</x:v>
      </x:c>
      <x:c r="BH16" s="49" t="b">
        <x:f>AND(R16,AT16=P16,AU16=L16,AV16=U16,AY16,AZ16,IF(I16="cache-semantics",AND(AW16=Z16,AND(BA16=AD16,BB16=AH16,BC16=AI16),BF16=AO16),IF(I16="no-store-control",AND(AND(BA16=AD16,BB16=AH16,BC16=AI16),BD16=AJ16,BE16=AL16),FALSE)),BG16=AP16)</x:f>
        <x:v>1</x:v>
      </x:c>
      <x:c r="BI16" s="49" t="b">
        <x:f>AND(J16,K16,BG16)</x:f>
        <x:v>1</x:v>
      </x:c>
    </x:row>
    <x:row r="17">
      <x:c r="A17" s="34" t="str">
        <x:v>article1-unified-v4-2-fb3f101b-20260903-000401-default-f01-p2-ehcache</x:v>
      </x:c>
      <x:c r="B17" s="34" t="str">
        <x:v>default</x:v>
      </x:c>
      <x:c r="C17" s="34" t="str">
        <x:v>ehcache</x:v>
      </x:c>
      <x:c r="D17" s="36" t="n">
        <x:v>1</x:v>
      </x:c>
      <x:c r="E17" s="36" t="n">
        <x:v>1</x:v>
      </x:c>
      <x:c r="F17" s="36" t="n">
        <x:v>2</x:v>
      </x:c>
      <x:c r="G17" s="36" t="n">
        <x:v>3</x:v>
      </x:c>
      <x:c r="H17" s="34" t="str">
        <x:v>redeploy</x:v>
      </x:c>
      <x:c r="I17" s="34" t="str">
        <x:v>cache-semantics</x:v>
      </x:c>
      <x:c r="J17" s="45" t="b">
        <x:v>1</x:v>
      </x:c>
      <x:c r="K17" s="45" t="b">
        <x:v>1</x:v>
      </x:c>
      <x:c r="L17" s="45" t="b">
        <x:v>1</x:v>
      </x:c>
      <x:c r="M17" s="43" t="n">
        <x:v>400000</x:v>
      </x:c>
      <x:c r="N17" s="43" t="n">
        <x:v>108933632</x:v>
      </x:c>
      <x:c r="O17" s="43" t="n">
        <x:v>21755866.48225494</x:v>
      </x:c>
      <x:c r="P17" s="45" t="b">
        <x:v>1</x:v>
      </x:c>
      <x:c r="Q17" s="45" t="b">
        <x:v>1</x:v>
      </x:c>
      <x:c r="R17" s="45" t="b">
        <x:v>1</x:v>
      </x:c>
      <x:c r="S17" s="43" t="n">
        <x:v>5000000000</x:v>
      </x:c>
      <x:c r="T17" s="43" t="n">
        <x:v>5007092321</x:v>
      </x:c>
      <x:c r="U17" s="45" t="b">
        <x:v>1</x:v>
      </x:c>
      <x:c r="V17" s="34" t="str">
        <x:v>uniform</x:v>
      </x:c>
      <x:c r="W17" s="42" t="n">
        <x:v>95</x:v>
      </x:c>
      <x:c r="X17" s="48" t="n">
        <x:v>0.95</x:v>
      </x:c>
      <x:c r="Y17" s="48" t="n">
        <x:v>0.9498747365735497</x:v>
      </x:c>
      <x:c r="Z17" s="45" t="b">
        <x:v>1</x:v>
      </x:c>
      <x:c r="AA17" s="43" t="n">
        <x:v>10000</x:v>
      </x:c>
      <x:c r="AB17" s="43" t="n">
        <x:v>9900</x:v>
      </x:c>
      <x:c r="AC17" s="43" t="n">
        <x:v>10000</x:v>
      </x:c>
      <x:c r="AD17" s="45" t="b">
        <x:v>1</x:v>
      </x:c>
      <x:c r="AE17" s="43" t="n">
        <x:v>9900</x:v>
      </x:c>
      <x:c r="AF17" s="43"/>
      <x:c r="AG17" s="43" t="n">
        <x:v>10000</x:v>
      </x:c>
      <x:c r="AH17" s="45" t="b">
        <x:v>1</x:v>
      </x:c>
      <x:c r="AI17" s="45" t="b">
        <x:v>1</x:v>
      </x:c>
      <x:c r="AJ17" s="49"/>
      <x:c r="AK17" s="48" t="n">
        <x:v>0.9498747365735497</x:v>
      </x:c>
      <x:c r="AL17" s="49"/>
      <x:c r="AM17" s="49"/>
      <x:c r="AN17" s="36" t="n">
        <x:v>1</x:v>
      </x:c>
      <x:c r="AO17" s="45" t="b">
        <x:v>1</x:v>
      </x:c>
      <x:c r="AP17" s="45" t="b">
        <x:v>1</x:v>
      </x:c>
      <x:c r="AQ17" s="46" t="n">
        <x:f>IF(T17="","",T17/'Readme-Protocol'!$B$24)</x:f>
        <x:v>5.007092321</x:v>
      </x:c>
      <x:c r="AR17" s="46" t="n">
        <x:f>IF(OR(S17="",S17=0),"",T17/S17)</x:f>
        <x:v>1.0014184642</x:v>
      </x:c>
      <x:c r="AS17" s="46" t="n">
        <x:f>IF(OR(X17="",Y17=""),"",ABS(Y17-X17)*'Readme-Protocol'!$B$27)</x:f>
        <x:v>0.012526342645025057</x:v>
      </x:c>
      <x:c r="AT17" s="49" t="b">
        <x:f>AND(M17&gt;0,N17&gt;=0,O17&gt;0)</x:f>
        <x:v>1</x:v>
      </x:c>
      <x:c r="AU17" s="49" t="b">
        <x:f>AND(AT17,N17&gt;=M17)</x:f>
        <x:v>1</x:v>
      </x:c>
      <x:c r="AV17" s="49" t="b">
        <x:f>OR(S17=0,T17&gt;=S17)</x:f>
        <x:v>1</x:v>
      </x:c>
      <x:c r="AW17" s="49" t="b">
        <x:f>IF(I17="cache-semantics",OR(V17&lt;&gt;"uniform",ABS(Y17-W17/'Readme-Protocol'!$B$27)&lt;='Readme-Protocol'!$B$28),TRUE)</x:f>
        <x:v>1</x:v>
      </x:c>
      <x:c r="AX17" s="43" t="n">
        <x:f>IF(I17="cache-semantics",INT(AA17*'Readme-Protocol'!$B$32),"")</x:f>
        <x:v>9900</x:v>
      </x:c>
      <x:c r="AY17" s="49" t="b">
        <x:f>IF(I17="cache-semantics",AX17=AB17,TRUE)</x:f>
        <x:v>1</x:v>
      </x:c>
      <x:c r="AZ17" s="49" t="b">
        <x:f>IF(I17="cache-semantics",AX17=AE17,TRUE)</x:f>
        <x:v>1</x:v>
      </x:c>
      <x:c r="BA17" s="49" t="b">
        <x:f>IF(I17="cache-semantics",AC17&gt;=AX17,IF(I17="no-store-control",AC17=0,FALSE))</x:f>
        <x:v>1</x:v>
      </x:c>
      <x:c r="BB17" s="49" t="b">
        <x:f>IF(I17="cache-semantics",AG17&gt;=AX17,IF(I17="no-store-control",AG17=0,FALSE))</x:f>
        <x:v>1</x:v>
      </x:c>
      <x:c r="BC17" s="49" t="b">
        <x:f>AND(BA17,BB17)</x:f>
        <x:v>1</x:v>
      </x:c>
      <x:c r="BD17" s="49" t="b">
        <x:f>IF(I17="no-store-control",AND(AC17=0,AG17=0),TRUE)</x:f>
        <x:v>1</x:v>
      </x:c>
      <x:c r="BE17" s="49" t="b">
        <x:f>IF(I17="no-store-control",AK17=0,TRUE)</x:f>
        <x:v>1</x:v>
      </x:c>
      <x:c r="BF17" s="49" t="b">
        <x:f>IF(I17="cache-semantics",AN17=1,TRUE)</x:f>
        <x:v>1</x:v>
      </x:c>
      <x:c r="BG17" s="49" t="b">
        <x:f>IF(I17="cache-semantics",AND(AU17,AV17,Q17,AW17,BC17,BF17),IF(I17="no-store-control",AND(AU17,AV17,Q17,BD17,BE17),FALSE))</x:f>
        <x:v>1</x:v>
      </x:c>
      <x:c r="BH17" s="49" t="b">
        <x:f>AND(R17,AT17=P17,AU17=L17,AV17=U17,AY17,AZ17,IF(I17="cache-semantics",AND(AW17=Z17,AND(BA17=AD17,BB17=AH17,BC17=AI17),BF17=AO17),IF(I17="no-store-control",AND(AND(BA17=AD17,BB17=AH17,BC17=AI17),BD17=AJ17,BE17=AL17),FALSE)),BG17=AP17)</x:f>
        <x:v>1</x:v>
      </x:c>
      <x:c r="BI17" s="49" t="b">
        <x:f>AND(J17,K17,BG17)</x:f>
        <x:v>1</x:v>
      </x:c>
    </x:row>
    <x:row r="18">
      <x:c r="A18" s="34" t="str">
        <x:v>article1-unified-v4-2-fb3f101b-20260903-000401-default-f01-p2-ehcache</x:v>
      </x:c>
      <x:c r="B18" s="34" t="str">
        <x:v>default</x:v>
      </x:c>
      <x:c r="C18" s="34" t="str">
        <x:v>ehcache</x:v>
      </x:c>
      <x:c r="D18" s="36" t="n">
        <x:v>1</x:v>
      </x:c>
      <x:c r="E18" s="36" t="n">
        <x:v>1</x:v>
      </x:c>
      <x:c r="F18" s="36" t="n">
        <x:v>2</x:v>
      </x:c>
      <x:c r="G18" s="36" t="n">
        <x:v>4</x:v>
      </x:c>
      <x:c r="H18" s="34" t="str">
        <x:v>initial</x:v>
      </x:c>
      <x:c r="I18" s="34" t="str">
        <x:v>cache-semantics</x:v>
      </x:c>
      <x:c r="J18" s="45" t="b">
        <x:v>1</x:v>
      </x:c>
      <x:c r="K18" s="45" t="b">
        <x:v>1</x:v>
      </x:c>
      <x:c r="L18" s="45" t="b">
        <x:v>1</x:v>
      </x:c>
      <x:c r="M18" s="43" t="n">
        <x:v>400000</x:v>
      </x:c>
      <x:c r="N18" s="43" t="n">
        <x:v>130341376</x:v>
      </x:c>
      <x:c r="O18" s="43" t="n">
        <x:v>26055851.999058347</x:v>
      </x:c>
      <x:c r="P18" s="45" t="b">
        <x:v>1</x:v>
      </x:c>
      <x:c r="Q18" s="45" t="b">
        <x:v>1</x:v>
      </x:c>
      <x:c r="R18" s="45" t="b">
        <x:v>1</x:v>
      </x:c>
      <x:c r="S18" s="43" t="n">
        <x:v>5000000000</x:v>
      </x:c>
      <x:c r="T18" s="43" t="n">
        <x:v>5002383956</x:v>
      </x:c>
      <x:c r="U18" s="45" t="b">
        <x:v>1</x:v>
      </x:c>
      <x:c r="V18" s="34" t="str">
        <x:v>uniform</x:v>
      </x:c>
      <x:c r="W18" s="42" t="n">
        <x:v>95</x:v>
      </x:c>
      <x:c r="X18" s="48" t="n">
        <x:v>0.95</x:v>
      </x:c>
      <x:c r="Y18" s="48" t="n">
        <x:v>0.9499694325768051</x:v>
      </x:c>
      <x:c r="Z18" s="45" t="b">
        <x:v>1</x:v>
      </x:c>
      <x:c r="AA18" s="43" t="n">
        <x:v>10000</x:v>
      </x:c>
      <x:c r="AB18" s="43" t="n">
        <x:v>9900</x:v>
      </x:c>
      <x:c r="AC18" s="43" t="n">
        <x:v>10000</x:v>
      </x:c>
      <x:c r="AD18" s="45" t="b">
        <x:v>1</x:v>
      </x:c>
      <x:c r="AE18" s="43" t="n">
        <x:v>9900</x:v>
      </x:c>
      <x:c r="AF18" s="43"/>
      <x:c r="AG18" s="43" t="n">
        <x:v>10000</x:v>
      </x:c>
      <x:c r="AH18" s="45" t="b">
        <x:v>1</x:v>
      </x:c>
      <x:c r="AI18" s="45" t="b">
        <x:v>1</x:v>
      </x:c>
      <x:c r="AJ18" s="49"/>
      <x:c r="AK18" s="48" t="n">
        <x:v>0.9499694325768051</x:v>
      </x:c>
      <x:c r="AL18" s="49"/>
      <x:c r="AM18" s="49"/>
      <x:c r="AN18" s="36" t="n">
        <x:v>1</x:v>
      </x:c>
      <x:c r="AO18" s="45" t="b">
        <x:v>1</x:v>
      </x:c>
      <x:c r="AP18" s="45" t="b">
        <x:v>1</x:v>
      </x:c>
      <x:c r="AQ18" s="46" t="n">
        <x:f>IF(T18="","",T18/'Readme-Protocol'!$B$24)</x:f>
        <x:v>5.002383956</x:v>
      </x:c>
      <x:c r="AR18" s="46" t="n">
        <x:f>IF(OR(S18="",S18=0),"",T18/S18)</x:f>
        <x:v>1.0004767912</x:v>
      </x:c>
      <x:c r="AS18" s="46" t="n">
        <x:f>IF(OR(X18="",Y18=""),"",ABS(Y18-X18)*'Readme-Protocol'!$B$27)</x:f>
        <x:v>0.0030567423194849397</x:v>
      </x:c>
      <x:c r="AT18" s="49" t="b">
        <x:f>AND(M18&gt;0,N18&gt;=0,O18&gt;0)</x:f>
        <x:v>1</x:v>
      </x:c>
      <x:c r="AU18" s="49" t="b">
        <x:f>AND(AT18,N18&gt;=M18)</x:f>
        <x:v>1</x:v>
      </x:c>
      <x:c r="AV18" s="49" t="b">
        <x:f>OR(S18=0,T18&gt;=S18)</x:f>
        <x:v>1</x:v>
      </x:c>
      <x:c r="AW18" s="49" t="b">
        <x:f>IF(I18="cache-semantics",OR(V18&lt;&gt;"uniform",ABS(Y18-W18/'Readme-Protocol'!$B$27)&lt;='Readme-Protocol'!$B$28),TRUE)</x:f>
        <x:v>1</x:v>
      </x:c>
      <x:c r="AX18" s="43" t="n">
        <x:f>IF(I18="cache-semantics",INT(AA18*'Readme-Protocol'!$B$32),"")</x:f>
        <x:v>9900</x:v>
      </x:c>
      <x:c r="AY18" s="49" t="b">
        <x:f>IF(I18="cache-semantics",AX18=AB18,TRUE)</x:f>
        <x:v>1</x:v>
      </x:c>
      <x:c r="AZ18" s="49" t="b">
        <x:f>IF(I18="cache-semantics",AX18=AE18,TRUE)</x:f>
        <x:v>1</x:v>
      </x:c>
      <x:c r="BA18" s="49" t="b">
        <x:f>IF(I18="cache-semantics",AC18&gt;=AX18,IF(I18="no-store-control",AC18=0,FALSE))</x:f>
        <x:v>1</x:v>
      </x:c>
      <x:c r="BB18" s="49" t="b">
        <x:f>IF(I18="cache-semantics",AG18&gt;=AX18,IF(I18="no-store-control",AG18=0,FALSE))</x:f>
        <x:v>1</x:v>
      </x:c>
      <x:c r="BC18" s="49" t="b">
        <x:f>AND(BA18,BB18)</x:f>
        <x:v>1</x:v>
      </x:c>
      <x:c r="BD18" s="49" t="b">
        <x:f>IF(I18="no-store-control",AND(AC18=0,AG18=0),TRUE)</x:f>
        <x:v>1</x:v>
      </x:c>
      <x:c r="BE18" s="49" t="b">
        <x:f>IF(I18="no-store-control",AK18=0,TRUE)</x:f>
        <x:v>1</x:v>
      </x:c>
      <x:c r="BF18" s="49" t="b">
        <x:f>IF(I18="cache-semantics",AN18=1,TRUE)</x:f>
        <x:v>1</x:v>
      </x:c>
      <x:c r="BG18" s="49" t="b">
        <x:f>IF(I18="cache-semantics",AND(AU18,AV18,Q18,AW18,BC18,BF18),IF(I18="no-store-control",AND(AU18,AV18,Q18,BD18,BE18),FALSE))</x:f>
        <x:v>1</x:v>
      </x:c>
      <x:c r="BH18" s="49" t="b">
        <x:f>AND(R18,AT18=P18,AU18=L18,AV18=U18,AY18,AZ18,IF(I18="cache-semantics",AND(AW18=Z18,AND(BA18=AD18,BB18=AH18,BC18=AI18),BF18=AO18),IF(I18="no-store-control",AND(AND(BA18=AD18,BB18=AH18,BC18=AI18),BD18=AJ18,BE18=AL18),FALSE)),BG18=AP18)</x:f>
        <x:v>1</x:v>
      </x:c>
      <x:c r="BI18" s="49" t="b">
        <x:f>AND(J18,K18,BG18)</x:f>
        <x:v>1</x:v>
      </x:c>
    </x:row>
    <x:row r="19">
      <x:c r="A19" s="34" t="str">
        <x:v>article1-unified-v4-2-fb3f101b-20260903-000401-default-f01-p2-ehcache</x:v>
      </x:c>
      <x:c r="B19" s="34" t="str">
        <x:v>default</x:v>
      </x:c>
      <x:c r="C19" s="34" t="str">
        <x:v>ehcache</x:v>
      </x:c>
      <x:c r="D19" s="36" t="n">
        <x:v>1</x:v>
      </x:c>
      <x:c r="E19" s="36" t="n">
        <x:v>1</x:v>
      </x:c>
      <x:c r="F19" s="36" t="n">
        <x:v>2</x:v>
      </x:c>
      <x:c r="G19" s="36" t="n">
        <x:v>4</x:v>
      </x:c>
      <x:c r="H19" s="34" t="str">
        <x:v>redeploy</x:v>
      </x:c>
      <x:c r="I19" s="34" t="str">
        <x:v>cache-semantics</x:v>
      </x:c>
      <x:c r="J19" s="45" t="b">
        <x:v>1</x:v>
      </x:c>
      <x:c r="K19" s="45" t="b">
        <x:v>1</x:v>
      </x:c>
      <x:c r="L19" s="45" t="b">
        <x:v>1</x:v>
      </x:c>
      <x:c r="M19" s="43" t="n">
        <x:v>400000</x:v>
      </x:c>
      <x:c r="N19" s="43" t="n">
        <x:v>133260288</x:v>
      </x:c>
      <x:c r="O19" s="43" t="n">
        <x:v>26636565.198330842</x:v>
      </x:c>
      <x:c r="P19" s="45" t="b">
        <x:v>1</x:v>
      </x:c>
      <x:c r="Q19" s="45" t="b">
        <x:v>1</x:v>
      </x:c>
      <x:c r="R19" s="45" t="b">
        <x:v>1</x:v>
      </x:c>
      <x:c r="S19" s="43" t="n">
        <x:v>5000000000</x:v>
      </x:c>
      <x:c r="T19" s="43" t="n">
        <x:v>5002908108</x:v>
      </x:c>
      <x:c r="U19" s="45" t="b">
        <x:v>1</x:v>
      </x:c>
      <x:c r="V19" s="34" t="str">
        <x:v>uniform</x:v>
      </x:c>
      <x:c r="W19" s="42" t="n">
        <x:v>95</x:v>
      </x:c>
      <x:c r="X19" s="48" t="n">
        <x:v>0.95</x:v>
      </x:c>
      <x:c r="Y19" s="48" t="n">
        <x:v>0.9499753820132821</x:v>
      </x:c>
      <x:c r="Z19" s="45" t="b">
        <x:v>1</x:v>
      </x:c>
      <x:c r="AA19" s="43" t="n">
        <x:v>10000</x:v>
      </x:c>
      <x:c r="AB19" s="43" t="n">
        <x:v>9900</x:v>
      </x:c>
      <x:c r="AC19" s="43" t="n">
        <x:v>10000</x:v>
      </x:c>
      <x:c r="AD19" s="45" t="b">
        <x:v>1</x:v>
      </x:c>
      <x:c r="AE19" s="43" t="n">
        <x:v>9900</x:v>
      </x:c>
      <x:c r="AF19" s="43"/>
      <x:c r="AG19" s="43" t="n">
        <x:v>10000</x:v>
      </x:c>
      <x:c r="AH19" s="45" t="b">
        <x:v>1</x:v>
      </x:c>
      <x:c r="AI19" s="45" t="b">
        <x:v>1</x:v>
      </x:c>
      <x:c r="AJ19" s="49"/>
      <x:c r="AK19" s="48" t="n">
        <x:v>0.9499753820132821</x:v>
      </x:c>
      <x:c r="AL19" s="49"/>
      <x:c r="AM19" s="49"/>
      <x:c r="AN19" s="36" t="n">
        <x:v>1</x:v>
      </x:c>
      <x:c r="AO19" s="45" t="b">
        <x:v>1</x:v>
      </x:c>
      <x:c r="AP19" s="45" t="b">
        <x:v>1</x:v>
      </x:c>
      <x:c r="AQ19" s="46" t="n">
        <x:f>IF(T19="","",T19/'Readme-Protocol'!$B$24)</x:f>
        <x:v>5.002908108</x:v>
      </x:c>
      <x:c r="AR19" s="46" t="n">
        <x:f>IF(OR(S19="",S19=0),"",T19/S19)</x:f>
        <x:v>1.0005816216</x:v>
      </x:c>
      <x:c r="AS19" s="46" t="n">
        <x:f>IF(OR(X19="",Y19=""),"",ABS(Y19-X19)*'Readme-Protocol'!$B$27)</x:f>
        <x:v>0.0024617986717823115</x:v>
      </x:c>
      <x:c r="AT19" s="49" t="b">
        <x:f>AND(M19&gt;0,N19&gt;=0,O19&gt;0)</x:f>
        <x:v>1</x:v>
      </x:c>
      <x:c r="AU19" s="49" t="b">
        <x:f>AND(AT19,N19&gt;=M19)</x:f>
        <x:v>1</x:v>
      </x:c>
      <x:c r="AV19" s="49" t="b">
        <x:f>OR(S19=0,T19&gt;=S19)</x:f>
        <x:v>1</x:v>
      </x:c>
      <x:c r="AW19" s="49" t="b">
        <x:f>IF(I19="cache-semantics",OR(V19&lt;&gt;"uniform",ABS(Y19-W19/'Readme-Protocol'!$B$27)&lt;='Readme-Protocol'!$B$28),TRUE)</x:f>
        <x:v>1</x:v>
      </x:c>
      <x:c r="AX19" s="43" t="n">
        <x:f>IF(I19="cache-semantics",INT(AA19*'Readme-Protocol'!$B$32),"")</x:f>
        <x:v>9900</x:v>
      </x:c>
      <x:c r="AY19" s="49" t="b">
        <x:f>IF(I19="cache-semantics",AX19=AB19,TRUE)</x:f>
        <x:v>1</x:v>
      </x:c>
      <x:c r="AZ19" s="49" t="b">
        <x:f>IF(I19="cache-semantics",AX19=AE19,TRUE)</x:f>
        <x:v>1</x:v>
      </x:c>
      <x:c r="BA19" s="49" t="b">
        <x:f>IF(I19="cache-semantics",AC19&gt;=AX19,IF(I19="no-store-control",AC19=0,FALSE))</x:f>
        <x:v>1</x:v>
      </x:c>
      <x:c r="BB19" s="49" t="b">
        <x:f>IF(I19="cache-semantics",AG19&gt;=AX19,IF(I19="no-store-control",AG19=0,FALSE))</x:f>
        <x:v>1</x:v>
      </x:c>
      <x:c r="BC19" s="49" t="b">
        <x:f>AND(BA19,BB19)</x:f>
        <x:v>1</x:v>
      </x:c>
      <x:c r="BD19" s="49" t="b">
        <x:f>IF(I19="no-store-control",AND(AC19=0,AG19=0),TRUE)</x:f>
        <x:v>1</x:v>
      </x:c>
      <x:c r="BE19" s="49" t="b">
        <x:f>IF(I19="no-store-control",AK19=0,TRUE)</x:f>
        <x:v>1</x:v>
      </x:c>
      <x:c r="BF19" s="49" t="b">
        <x:f>IF(I19="cache-semantics",AN19=1,TRUE)</x:f>
        <x:v>1</x:v>
      </x:c>
      <x:c r="BG19" s="49" t="b">
        <x:f>IF(I19="cache-semantics",AND(AU19,AV19,Q19,AW19,BC19,BF19),IF(I19="no-store-control",AND(AU19,AV19,Q19,BD19,BE19),FALSE))</x:f>
        <x:v>1</x:v>
      </x:c>
      <x:c r="BH19" s="49" t="b">
        <x:f>AND(R19,AT19=P19,AU19=L19,AV19=U19,AY19,AZ19,IF(I19="cache-semantics",AND(AW19=Z19,AND(BA19=AD19,BB19=AH19,BC19=AI19),BF19=AO19),IF(I19="no-store-control",AND(AND(BA19=AD19,BB19=AH19,BC19=AI19),BD19=AJ19,BE19=AL19),FALSE)),BG19=AP19)</x:f>
        <x:v>1</x:v>
      </x:c>
      <x:c r="BI19" s="49" t="b">
        <x:f>AND(J19,K19,BG19)</x:f>
        <x:v>1</x:v>
      </x:c>
    </x:row>
    <x:row r="20">
      <x:c r="A20" s="34" t="str">
        <x:v>article1-unified-v4-2-fb3f101b-20260903-000401-default-f01-p2-ehcache</x:v>
      </x:c>
      <x:c r="B20" s="34" t="str">
        <x:v>default</x:v>
      </x:c>
      <x:c r="C20" s="34" t="str">
        <x:v>ehcache</x:v>
      </x:c>
      <x:c r="D20" s="36" t="n">
        <x:v>1</x:v>
      </x:c>
      <x:c r="E20" s="36" t="n">
        <x:v>1</x:v>
      </x:c>
      <x:c r="F20" s="36" t="n">
        <x:v>2</x:v>
      </x:c>
      <x:c r="G20" s="36" t="n">
        <x:v>5</x:v>
      </x:c>
      <x:c r="H20" s="34" t="str">
        <x:v>initial</x:v>
      </x:c>
      <x:c r="I20" s="34" t="str">
        <x:v>cache-semantics</x:v>
      </x:c>
      <x:c r="J20" s="45" t="b">
        <x:v>1</x:v>
      </x:c>
      <x:c r="K20" s="45" t="b">
        <x:v>1</x:v>
      </x:c>
      <x:c r="L20" s="45" t="b">
        <x:v>1</x:v>
      </x:c>
      <x:c r="M20" s="43" t="n">
        <x:v>400000</x:v>
      </x:c>
      <x:c r="N20" s="43" t="n">
        <x:v>112688384</x:v>
      </x:c>
      <x:c r="O20" s="43" t="n">
        <x:v>22529862.983907975</x:v>
      </x:c>
      <x:c r="P20" s="45" t="b">
        <x:v>1</x:v>
      </x:c>
      <x:c r="Q20" s="45" t="b">
        <x:v>1</x:v>
      </x:c>
      <x:c r="R20" s="45" t="b">
        <x:v>1</x:v>
      </x:c>
      <x:c r="S20" s="43" t="n">
        <x:v>5000000000</x:v>
      </x:c>
      <x:c r="T20" s="43" t="n">
        <x:v>5001734102</x:v>
      </x:c>
      <x:c r="U20" s="45" t="b">
        <x:v>1</x:v>
      </x:c>
      <x:c r="V20" s="34" t="str">
        <x:v>uniform</x:v>
      </x:c>
      <x:c r="W20" s="42" t="n">
        <x:v>95</x:v>
      </x:c>
      <x:c r="X20" s="48" t="n">
        <x:v>0.95</x:v>
      </x:c>
      <x:c r="Y20" s="48" t="n">
        <x:v>0.950501588522203</x:v>
      </x:c>
      <x:c r="Z20" s="45" t="b">
        <x:v>1</x:v>
      </x:c>
      <x:c r="AA20" s="43" t="n">
        <x:v>10000</x:v>
      </x:c>
      <x:c r="AB20" s="43" t="n">
        <x:v>9900</x:v>
      </x:c>
      <x:c r="AC20" s="43" t="n">
        <x:v>10000</x:v>
      </x:c>
      <x:c r="AD20" s="45" t="b">
        <x:v>1</x:v>
      </x:c>
      <x:c r="AE20" s="43" t="n">
        <x:v>9900</x:v>
      </x:c>
      <x:c r="AF20" s="43"/>
      <x:c r="AG20" s="43" t="n">
        <x:v>10000</x:v>
      </x:c>
      <x:c r="AH20" s="45" t="b">
        <x:v>1</x:v>
      </x:c>
      <x:c r="AI20" s="45" t="b">
        <x:v>1</x:v>
      </x:c>
      <x:c r="AJ20" s="49"/>
      <x:c r="AK20" s="48" t="n">
        <x:v>0.950501588522203</x:v>
      </x:c>
      <x:c r="AL20" s="49"/>
      <x:c r="AM20" s="49"/>
      <x:c r="AN20" s="36" t="n">
        <x:v>1</x:v>
      </x:c>
      <x:c r="AO20" s="45" t="b">
        <x:v>1</x:v>
      </x:c>
      <x:c r="AP20" s="45" t="b">
        <x:v>1</x:v>
      </x:c>
      <x:c r="AQ20" s="46" t="n">
        <x:f>IF(T20="","",T20/'Readme-Protocol'!$B$24)</x:f>
        <x:v>5.001734102</x:v>
      </x:c>
      <x:c r="AR20" s="46" t="n">
        <x:f>IF(OR(S20="",S20=0),"",T20/S20)</x:f>
        <x:v>1.0003468204</x:v>
      </x:c>
      <x:c r="AS20" s="46" t="n">
        <x:f>IF(OR(X20="",Y20=""),"",ABS(Y20-X20)*'Readme-Protocol'!$B$27)</x:f>
        <x:v>0.05015885222030558</x:v>
      </x:c>
      <x:c r="AT20" s="49" t="b">
        <x:f>AND(M20&gt;0,N20&gt;=0,O20&gt;0)</x:f>
        <x:v>1</x:v>
      </x:c>
      <x:c r="AU20" s="49" t="b">
        <x:f>AND(AT20,N20&gt;=M20)</x:f>
        <x:v>1</x:v>
      </x:c>
      <x:c r="AV20" s="49" t="b">
        <x:f>OR(S20=0,T20&gt;=S20)</x:f>
        <x:v>1</x:v>
      </x:c>
      <x:c r="AW20" s="49" t="b">
        <x:f>IF(I20="cache-semantics",OR(V20&lt;&gt;"uniform",ABS(Y20-W20/'Readme-Protocol'!$B$27)&lt;='Readme-Protocol'!$B$28),TRUE)</x:f>
        <x:v>1</x:v>
      </x:c>
      <x:c r="AX20" s="43" t="n">
        <x:f>IF(I20="cache-semantics",INT(AA20*'Readme-Protocol'!$B$32),"")</x:f>
        <x:v>9900</x:v>
      </x:c>
      <x:c r="AY20" s="49" t="b">
        <x:f>IF(I20="cache-semantics",AX20=AB20,TRUE)</x:f>
        <x:v>1</x:v>
      </x:c>
      <x:c r="AZ20" s="49" t="b">
        <x:f>IF(I20="cache-semantics",AX20=AE20,TRUE)</x:f>
        <x:v>1</x:v>
      </x:c>
      <x:c r="BA20" s="49" t="b">
        <x:f>IF(I20="cache-semantics",AC20&gt;=AX20,IF(I20="no-store-control",AC20=0,FALSE))</x:f>
        <x:v>1</x:v>
      </x:c>
      <x:c r="BB20" s="49" t="b">
        <x:f>IF(I20="cache-semantics",AG20&gt;=AX20,IF(I20="no-store-control",AG20=0,FALSE))</x:f>
        <x:v>1</x:v>
      </x:c>
      <x:c r="BC20" s="49" t="b">
        <x:f>AND(BA20,BB20)</x:f>
        <x:v>1</x:v>
      </x:c>
      <x:c r="BD20" s="49" t="b">
        <x:f>IF(I20="no-store-control",AND(AC20=0,AG20=0),TRUE)</x:f>
        <x:v>1</x:v>
      </x:c>
      <x:c r="BE20" s="49" t="b">
        <x:f>IF(I20="no-store-control",AK20=0,TRUE)</x:f>
        <x:v>1</x:v>
      </x:c>
      <x:c r="BF20" s="49" t="b">
        <x:f>IF(I20="cache-semantics",AN20=1,TRUE)</x:f>
        <x:v>1</x:v>
      </x:c>
      <x:c r="BG20" s="49" t="b">
        <x:f>IF(I20="cache-semantics",AND(AU20,AV20,Q20,AW20,BC20,BF20),IF(I20="no-store-control",AND(AU20,AV20,Q20,BD20,BE20),FALSE))</x:f>
        <x:v>1</x:v>
      </x:c>
      <x:c r="BH20" s="49" t="b">
        <x:f>AND(R20,AT20=P20,AU20=L20,AV20=U20,AY20,AZ20,IF(I20="cache-semantics",AND(AW20=Z20,AND(BA20=AD20,BB20=AH20,BC20=AI20),BF20=AO20),IF(I20="no-store-control",AND(AND(BA20=AD20,BB20=AH20,BC20=AI20),BD20=AJ20,BE20=AL20),FALSE)),BG20=AP20)</x:f>
        <x:v>1</x:v>
      </x:c>
      <x:c r="BI20" s="49" t="b">
        <x:f>AND(J20,K20,BG20)</x:f>
        <x:v>1</x:v>
      </x:c>
    </x:row>
    <x:row r="21">
      <x:c r="A21" s="34" t="str">
        <x:v>article1-unified-v4-2-fb3f101b-20260903-000401-default-f01-p2-ehcache</x:v>
      </x:c>
      <x:c r="B21" s="34" t="str">
        <x:v>default</x:v>
      </x:c>
      <x:c r="C21" s="34" t="str">
        <x:v>ehcache</x:v>
      </x:c>
      <x:c r="D21" s="36" t="n">
        <x:v>1</x:v>
      </x:c>
      <x:c r="E21" s="36" t="n">
        <x:v>1</x:v>
      </x:c>
      <x:c r="F21" s="36" t="n">
        <x:v>2</x:v>
      </x:c>
      <x:c r="G21" s="36" t="n">
        <x:v>5</x:v>
      </x:c>
      <x:c r="H21" s="34" t="str">
        <x:v>redeploy</x:v>
      </x:c>
      <x:c r="I21" s="34" t="str">
        <x:v>cache-semantics</x:v>
      </x:c>
      <x:c r="J21" s="45" t="b">
        <x:v>1</x:v>
      </x:c>
      <x:c r="K21" s="45" t="b">
        <x:v>1</x:v>
      </x:c>
      <x:c r="L21" s="45" t="b">
        <x:v>1</x:v>
      </x:c>
      <x:c r="M21" s="43" t="n">
        <x:v>400000</x:v>
      </x:c>
      <x:c r="N21" s="43" t="n">
        <x:v>130064896</x:v>
      </x:c>
      <x:c r="O21" s="43" t="n">
        <x:v>26001197.267081887</x:v>
      </x:c>
      <x:c r="P21" s="45" t="b">
        <x:v>1</x:v>
      </x:c>
      <x:c r="Q21" s="45" t="b">
        <x:v>1</x:v>
      </x:c>
      <x:c r="R21" s="45" t="b">
        <x:v>1</x:v>
      </x:c>
      <x:c r="S21" s="43" t="n">
        <x:v>5000000000</x:v>
      </x:c>
      <x:c r="T21" s="43" t="n">
        <x:v>5002265652</x:v>
      </x:c>
      <x:c r="U21" s="45" t="b">
        <x:v>1</x:v>
      </x:c>
      <x:c r="V21" s="34" t="str">
        <x:v>uniform</x:v>
      </x:c>
      <x:c r="W21" s="42" t="n">
        <x:v>95</x:v>
      </x:c>
      <x:c r="X21" s="48" t="n">
        <x:v>0.95</x:v>
      </x:c>
      <x:c r="Y21" s="48" t="n">
        <x:v>0.9504923834329595</x:v>
      </x:c>
      <x:c r="Z21" s="45" t="b">
        <x:v>1</x:v>
      </x:c>
      <x:c r="AA21" s="43" t="n">
        <x:v>10000</x:v>
      </x:c>
      <x:c r="AB21" s="43" t="n">
        <x:v>9900</x:v>
      </x:c>
      <x:c r="AC21" s="43" t="n">
        <x:v>10000</x:v>
      </x:c>
      <x:c r="AD21" s="45" t="b">
        <x:v>1</x:v>
      </x:c>
      <x:c r="AE21" s="43" t="n">
        <x:v>9900</x:v>
      </x:c>
      <x:c r="AF21" s="43"/>
      <x:c r="AG21" s="43" t="n">
        <x:v>10000</x:v>
      </x:c>
      <x:c r="AH21" s="45" t="b">
        <x:v>1</x:v>
      </x:c>
      <x:c r="AI21" s="45" t="b">
        <x:v>1</x:v>
      </x:c>
      <x:c r="AJ21" s="49"/>
      <x:c r="AK21" s="48" t="n">
        <x:v>0.9504923834329595</x:v>
      </x:c>
      <x:c r="AL21" s="49"/>
      <x:c r="AM21" s="49"/>
      <x:c r="AN21" s="36" t="n">
        <x:v>1</x:v>
      </x:c>
      <x:c r="AO21" s="45" t="b">
        <x:v>1</x:v>
      </x:c>
      <x:c r="AP21" s="45" t="b">
        <x:v>1</x:v>
      </x:c>
      <x:c r="AQ21" s="46" t="n">
        <x:f>IF(T21="","",T21/'Readme-Protocol'!$B$24)</x:f>
        <x:v>5.002265652</x:v>
      </x:c>
      <x:c r="AR21" s="46" t="n">
        <x:f>IF(OR(S21="",S21=0),"",T21/S21)</x:f>
        <x:v>1.0004531304</x:v>
      </x:c>
      <x:c r="AS21" s="46" t="n">
        <x:f>IF(OR(X21="",Y21=""),"",ABS(Y21-X21)*'Readme-Protocol'!$B$27)</x:f>
        <x:v>0.04923834329595422</x:v>
      </x:c>
      <x:c r="AT21" s="49" t="b">
        <x:f>AND(M21&gt;0,N21&gt;=0,O21&gt;0)</x:f>
        <x:v>1</x:v>
      </x:c>
      <x:c r="AU21" s="49" t="b">
        <x:f>AND(AT21,N21&gt;=M21)</x:f>
        <x:v>1</x:v>
      </x:c>
      <x:c r="AV21" s="49" t="b">
        <x:f>OR(S21=0,T21&gt;=S21)</x:f>
        <x:v>1</x:v>
      </x:c>
      <x:c r="AW21" s="49" t="b">
        <x:f>IF(I21="cache-semantics",OR(V21&lt;&gt;"uniform",ABS(Y21-W21/'Readme-Protocol'!$B$27)&lt;='Readme-Protocol'!$B$28),TRUE)</x:f>
        <x:v>1</x:v>
      </x:c>
      <x:c r="AX21" s="43" t="n">
        <x:f>IF(I21="cache-semantics",INT(AA21*'Readme-Protocol'!$B$32),"")</x:f>
        <x:v>9900</x:v>
      </x:c>
      <x:c r="AY21" s="49" t="b">
        <x:f>IF(I21="cache-semantics",AX21=AB21,TRUE)</x:f>
        <x:v>1</x:v>
      </x:c>
      <x:c r="AZ21" s="49" t="b">
        <x:f>IF(I21="cache-semantics",AX21=AE21,TRUE)</x:f>
        <x:v>1</x:v>
      </x:c>
      <x:c r="BA21" s="49" t="b">
        <x:f>IF(I21="cache-semantics",AC21&gt;=AX21,IF(I21="no-store-control",AC21=0,FALSE))</x:f>
        <x:v>1</x:v>
      </x:c>
      <x:c r="BB21" s="49" t="b">
        <x:f>IF(I21="cache-semantics",AG21&gt;=AX21,IF(I21="no-store-control",AG21=0,FALSE))</x:f>
        <x:v>1</x:v>
      </x:c>
      <x:c r="BC21" s="49" t="b">
        <x:f>AND(BA21,BB21)</x:f>
        <x:v>1</x:v>
      </x:c>
      <x:c r="BD21" s="49" t="b">
        <x:f>IF(I21="no-store-control",AND(AC21=0,AG21=0),TRUE)</x:f>
        <x:v>1</x:v>
      </x:c>
      <x:c r="BE21" s="49" t="b">
        <x:f>IF(I21="no-store-control",AK21=0,TRUE)</x:f>
        <x:v>1</x:v>
      </x:c>
      <x:c r="BF21" s="49" t="b">
        <x:f>IF(I21="cache-semantics",AN21=1,TRUE)</x:f>
        <x:v>1</x:v>
      </x:c>
      <x:c r="BG21" s="49" t="b">
        <x:f>IF(I21="cache-semantics",AND(AU21,AV21,Q21,AW21,BC21,BF21),IF(I21="no-store-control",AND(AU21,AV21,Q21,BD21,BE21),FALSE))</x:f>
        <x:v>1</x:v>
      </x:c>
      <x:c r="BH21" s="49" t="b">
        <x:f>AND(R21,AT21=P21,AU21=L21,AV21=U21,AY21,AZ21,IF(I21="cache-semantics",AND(AW21=Z21,AND(BA21=AD21,BB21=AH21,BC21=AI21),BF21=AO21),IF(I21="no-store-control",AND(AND(BA21=AD21,BB21=AH21,BC21=AI21),BD21=AJ21,BE21=AL21),FALSE)),BG21=AP21)</x:f>
        <x:v>1</x:v>
      </x:c>
      <x:c r="BI21" s="49" t="b">
        <x:f>AND(J21,K21,BG21)</x:f>
        <x:v>1</x:v>
      </x:c>
    </x:row>
    <x:row r="22">
      <x:c r="A22" s="34" t="str">
        <x:v>article1-unified-v4-2-fb3f101b-20260903-000401-default-f01-p3-nostore</x:v>
      </x:c>
      <x:c r="B22" s="34" t="str">
        <x:v>default</x:v>
      </x:c>
      <x:c r="C22" s="34" t="str">
        <x:v>nostore</x:v>
      </x:c>
      <x:c r="D22" s="36" t="n">
        <x:v>1</x:v>
      </x:c>
      <x:c r="E22" s="36" t="n">
        <x:v>1</x:v>
      </x:c>
      <x:c r="F22" s="36" t="n">
        <x:v>3</x:v>
      </x:c>
      <x:c r="G22" s="36" t="n">
        <x:v>1</x:v>
      </x:c>
      <x:c r="H22" s="34" t="str">
        <x:v>initial</x:v>
      </x:c>
      <x:c r="I22" s="34" t="str">
        <x:v>no-store-control</x:v>
      </x:c>
      <x:c r="J22" s="45" t="b">
        <x:v>1</x:v>
      </x:c>
      <x:c r="K22" s="45" t="b">
        <x:v>0</x:v>
      </x:c>
      <x:c r="L22" s="45" t="b">
        <x:v>1</x:v>
      </x:c>
      <x:c r="M22" s="43" t="n">
        <x:v>400000</x:v>
      </x:c>
      <x:c r="N22" s="43" t="n">
        <x:v>516009984</x:v>
      </x:c>
      <x:c r="O22" s="43" t="n">
        <x:v>102716556.75041923</x:v>
      </x:c>
      <x:c r="P22" s="45" t="b">
        <x:v>1</x:v>
      </x:c>
      <x:c r="Q22" s="45" t="b">
        <x:v>1</x:v>
      </x:c>
      <x:c r="R22" s="45" t="b">
        <x:v>1</x:v>
      </x:c>
      <x:c r="S22" s="43" t="n">
        <x:v>5000000000</x:v>
      </x:c>
      <x:c r="T22" s="43" t="n">
        <x:v>5023630078</x:v>
      </x:c>
      <x:c r="U22" s="45" t="b">
        <x:v>1</x:v>
      </x:c>
      <x:c r="V22" s="34" t="str">
        <x:v>uniform</x:v>
      </x:c>
      <x:c r="W22" s="42" t="n">
        <x:v>95</x:v>
      </x:c>
      <x:c r="X22" s="48"/>
      <x:c r="Y22" s="48"/>
      <x:c r="Z22" s="49"/>
      <x:c r="AA22" s="43" t="n">
        <x:v>10000</x:v>
      </x:c>
      <x:c r="AB22" s="43"/>
      <x:c r="AC22" s="43" t="n">
        <x:v>0</x:v>
      </x:c>
      <x:c r="AD22" s="45" t="b">
        <x:v>1</x:v>
      </x:c>
      <x:c r="AE22" s="43"/>
      <x:c r="AF22" s="43" t="n">
        <x:v>0</x:v>
      </x:c>
      <x:c r="AG22" s="43" t="n">
        <x:v>0</x:v>
      </x:c>
      <x:c r="AH22" s="45" t="b">
        <x:v>1</x:v>
      </x:c>
      <x:c r="AI22" s="45" t="b">
        <x:v>1</x:v>
      </x:c>
      <x:c r="AJ22" s="45" t="b">
        <x:v>1</x:v>
      </x:c>
      <x:c r="AK22" s="48" t="n">
        <x:v>0</x:v>
      </x:c>
      <x:c r="AL22" s="45" t="b">
        <x:v>1</x:v>
      </x:c>
      <x:c r="AM22" s="45" t="b">
        <x:v>0</x:v>
      </x:c>
      <x:c r="AN22" s="36" t="n">
        <x:v>16</x:v>
      </x:c>
      <x:c r="AO22" s="49"/>
      <x:c r="AP22" s="45" t="b">
        <x:v>1</x:v>
      </x:c>
      <x:c r="AQ22" s="46" t="n">
        <x:f>IF(T22="","",T22/'Readme-Protocol'!$B$24)</x:f>
        <x:v>5.023630078</x:v>
      </x:c>
      <x:c r="AR22" s="46" t="n">
        <x:f>IF(OR(S22="",S22=0),"",T22/S22)</x:f>
        <x:v>1.0047260156</x:v>
      </x:c>
      <x:c r="AS22" s="46" t="str">
        <x:f>IF(OR(X22="",Y22=""),"",ABS(Y22-X22)*'Readme-Protocol'!$B$27)</x:f>
      </x:c>
      <x:c r="AT22" s="49" t="b">
        <x:f>AND(M22&gt;0,N22&gt;=0,O22&gt;0)</x:f>
        <x:v>1</x:v>
      </x:c>
      <x:c r="AU22" s="49" t="b">
        <x:f>AND(AT22,N22&gt;=M22)</x:f>
        <x:v>1</x:v>
      </x:c>
      <x:c r="AV22" s="49" t="b">
        <x:f>OR(S22=0,T22&gt;=S22)</x:f>
        <x:v>1</x:v>
      </x:c>
      <x:c r="AW22" s="49" t="b">
        <x:f>IF(I22="cache-semantics",OR(V22&lt;&gt;"uniform",ABS(Y22-W22/'Readme-Protocol'!$B$27)&lt;='Readme-Protocol'!$B$28),TRUE)</x:f>
        <x:v>1</x:v>
      </x:c>
      <x:c r="AX22" s="43" t="str">
        <x:f>IF(I22="cache-semantics",INT(AA22*'Readme-Protocol'!$B$32),"")</x:f>
      </x:c>
      <x:c r="AY22" s="49" t="b">
        <x:f>IF(I22="cache-semantics",AX22=AB22,TRUE)</x:f>
        <x:v>1</x:v>
      </x:c>
      <x:c r="AZ22" s="49" t="b">
        <x:f>IF(I22="cache-semantics",AX22=AE22,TRUE)</x:f>
        <x:v>1</x:v>
      </x:c>
      <x:c r="BA22" s="49" t="b">
        <x:f>IF(I22="cache-semantics",AC22&gt;=AX22,IF(I22="no-store-control",AC22=0,FALSE))</x:f>
        <x:v>1</x:v>
      </x:c>
      <x:c r="BB22" s="49" t="b">
        <x:f>IF(I22="cache-semantics",AG22&gt;=AX22,IF(I22="no-store-control",AG22=0,FALSE))</x:f>
        <x:v>1</x:v>
      </x:c>
      <x:c r="BC22" s="49" t="b">
        <x:f>AND(BA22,BB22)</x:f>
        <x:v>1</x:v>
      </x:c>
      <x:c r="BD22" s="49" t="b">
        <x:f>IF(I22="no-store-control",AND(AC22=0,AG22=0),TRUE)</x:f>
        <x:v>1</x:v>
      </x:c>
      <x:c r="BE22" s="49" t="b">
        <x:f>IF(I22="no-store-control",AK22=0,TRUE)</x:f>
        <x:v>1</x:v>
      </x:c>
      <x:c r="BF22" s="49" t="b">
        <x:f>IF(I22="cache-semantics",AN22=1,TRUE)</x:f>
        <x:v>1</x:v>
      </x:c>
      <x:c r="BG22" s="49" t="b">
        <x:f>IF(I22="cache-semantics",AND(AU22,AV22,Q22,AW22,BC22,BF22),IF(I22="no-store-control",AND(AU22,AV22,Q22,BD22,BE22),FALSE))</x:f>
        <x:v>1</x:v>
      </x:c>
      <x:c r="BH22" s="49" t="b">
        <x:f>AND(R22,AT22=P22,AU22=L22,AV22=U22,AY22,AZ22,IF(I22="cache-semantics",AND(AW22=Z22,AND(BA22=AD22,BB22=AH22,BC22=AI22),BF22=AO22),IF(I22="no-store-control",AND(AND(BA22=AD22,BB22=AH22,BC22=AI22),BD22=AJ22,BE22=AL22),FALSE)),BG22=AP22)</x:f>
        <x:v>1</x:v>
      </x:c>
      <x:c r="BI22" s="49" t="b">
        <x:f>AND(J22,K22,BG22)</x:f>
        <x:v>0</x:v>
      </x:c>
    </x:row>
    <x:row r="23">
      <x:c r="A23" s="34" t="str">
        <x:v>article1-unified-v4-2-fb3f101b-20260903-000401-default-f01-p3-nostore</x:v>
      </x:c>
      <x:c r="B23" s="34" t="str">
        <x:v>default</x:v>
      </x:c>
      <x:c r="C23" s="34" t="str">
        <x:v>nostore</x:v>
      </x:c>
      <x:c r="D23" s="36" t="n">
        <x:v>1</x:v>
      </x:c>
      <x:c r="E23" s="36" t="n">
        <x:v>1</x:v>
      </x:c>
      <x:c r="F23" s="36" t="n">
        <x:v>3</x:v>
      </x:c>
      <x:c r="G23" s="36" t="n">
        <x:v>1</x:v>
      </x:c>
      <x:c r="H23" s="34" t="str">
        <x:v>redeploy</x:v>
      </x:c>
      <x:c r="I23" s="34" t="str">
        <x:v>no-store-control</x:v>
      </x:c>
      <x:c r="J23" s="45" t="b">
        <x:v>1</x:v>
      </x:c>
      <x:c r="K23" s="45" t="b">
        <x:v>0</x:v>
      </x:c>
      <x:c r="L23" s="45" t="b">
        <x:v>1</x:v>
      </x:c>
      <x:c r="M23" s="43" t="n">
        <x:v>400000</x:v>
      </x:c>
      <x:c r="N23" s="43" t="n">
        <x:v>490322944</x:v>
      </x:c>
      <x:c r="O23" s="43" t="n">
        <x:v>97905760.49469715</x:v>
      </x:c>
      <x:c r="P23" s="45" t="b">
        <x:v>1</x:v>
      </x:c>
      <x:c r="Q23" s="45" t="b">
        <x:v>1</x:v>
      </x:c>
      <x:c r="R23" s="45" t="b">
        <x:v>1</x:v>
      </x:c>
      <x:c r="S23" s="43" t="n">
        <x:v>5000000000</x:v>
      </x:c>
      <x:c r="T23" s="43" t="n">
        <x:v>5008111285</x:v>
      </x:c>
      <x:c r="U23" s="45" t="b">
        <x:v>1</x:v>
      </x:c>
      <x:c r="V23" s="34" t="str">
        <x:v>uniform</x:v>
      </x:c>
      <x:c r="W23" s="42" t="n">
        <x:v>95</x:v>
      </x:c>
      <x:c r="X23" s="48"/>
      <x:c r="Y23" s="48"/>
      <x:c r="Z23" s="49"/>
      <x:c r="AA23" s="43" t="n">
        <x:v>10000</x:v>
      </x:c>
      <x:c r="AB23" s="43"/>
      <x:c r="AC23" s="43" t="n">
        <x:v>0</x:v>
      </x:c>
      <x:c r="AD23" s="45" t="b">
        <x:v>1</x:v>
      </x:c>
      <x:c r="AE23" s="43"/>
      <x:c r="AF23" s="43" t="n">
        <x:v>0</x:v>
      </x:c>
      <x:c r="AG23" s="43" t="n">
        <x:v>0</x:v>
      </x:c>
      <x:c r="AH23" s="45" t="b">
        <x:v>1</x:v>
      </x:c>
      <x:c r="AI23" s="45" t="b">
        <x:v>1</x:v>
      </x:c>
      <x:c r="AJ23" s="45" t="b">
        <x:v>1</x:v>
      </x:c>
      <x:c r="AK23" s="48" t="n">
        <x:v>0</x:v>
      </x:c>
      <x:c r="AL23" s="45" t="b">
        <x:v>1</x:v>
      </x:c>
      <x:c r="AM23" s="45" t="b">
        <x:v>0</x:v>
      </x:c>
      <x:c r="AN23" s="36" t="n">
        <x:v>16</x:v>
      </x:c>
      <x:c r="AO23" s="49"/>
      <x:c r="AP23" s="45" t="b">
        <x:v>1</x:v>
      </x:c>
      <x:c r="AQ23" s="46" t="n">
        <x:f>IF(T23="","",T23/'Readme-Protocol'!$B$24)</x:f>
        <x:v>5.008111285</x:v>
      </x:c>
      <x:c r="AR23" s="46" t="n">
        <x:f>IF(OR(S23="",S23=0),"",T23/S23)</x:f>
        <x:v>1.001622257</x:v>
      </x:c>
      <x:c r="AS23" s="46" t="str">
        <x:f>IF(OR(X23="",Y23=""),"",ABS(Y23-X23)*'Readme-Protocol'!$B$27)</x:f>
      </x:c>
      <x:c r="AT23" s="49" t="b">
        <x:f>AND(M23&gt;0,N23&gt;=0,O23&gt;0)</x:f>
        <x:v>1</x:v>
      </x:c>
      <x:c r="AU23" s="49" t="b">
        <x:f>AND(AT23,N23&gt;=M23)</x:f>
        <x:v>1</x:v>
      </x:c>
      <x:c r="AV23" s="49" t="b">
        <x:f>OR(S23=0,T23&gt;=S23)</x:f>
        <x:v>1</x:v>
      </x:c>
      <x:c r="AW23" s="49" t="b">
        <x:f>IF(I23="cache-semantics",OR(V23&lt;&gt;"uniform",ABS(Y23-W23/'Readme-Protocol'!$B$27)&lt;='Readme-Protocol'!$B$28),TRUE)</x:f>
        <x:v>1</x:v>
      </x:c>
      <x:c r="AX23" s="43" t="str">
        <x:f>IF(I23="cache-semantics",INT(AA23*'Readme-Protocol'!$B$32),"")</x:f>
      </x:c>
      <x:c r="AY23" s="49" t="b">
        <x:f>IF(I23="cache-semantics",AX23=AB23,TRUE)</x:f>
        <x:v>1</x:v>
      </x:c>
      <x:c r="AZ23" s="49" t="b">
        <x:f>IF(I23="cache-semantics",AX23=AE23,TRUE)</x:f>
        <x:v>1</x:v>
      </x:c>
      <x:c r="BA23" s="49" t="b">
        <x:f>IF(I23="cache-semantics",AC23&gt;=AX23,IF(I23="no-store-control",AC23=0,FALSE))</x:f>
        <x:v>1</x:v>
      </x:c>
      <x:c r="BB23" s="49" t="b">
        <x:f>IF(I23="cache-semantics",AG23&gt;=AX23,IF(I23="no-store-control",AG23=0,FALSE))</x:f>
        <x:v>1</x:v>
      </x:c>
      <x:c r="BC23" s="49" t="b">
        <x:f>AND(BA23,BB23)</x:f>
        <x:v>1</x:v>
      </x:c>
      <x:c r="BD23" s="49" t="b">
        <x:f>IF(I23="no-store-control",AND(AC23=0,AG23=0),TRUE)</x:f>
        <x:v>1</x:v>
      </x:c>
      <x:c r="BE23" s="49" t="b">
        <x:f>IF(I23="no-store-control",AK23=0,TRUE)</x:f>
        <x:v>1</x:v>
      </x:c>
      <x:c r="BF23" s="49" t="b">
        <x:f>IF(I23="cache-semantics",AN23=1,TRUE)</x:f>
        <x:v>1</x:v>
      </x:c>
      <x:c r="BG23" s="49" t="b">
        <x:f>IF(I23="cache-semantics",AND(AU23,AV23,Q23,AW23,BC23,BF23),IF(I23="no-store-control",AND(AU23,AV23,Q23,BD23,BE23),FALSE))</x:f>
        <x:v>1</x:v>
      </x:c>
      <x:c r="BH23" s="49" t="b">
        <x:f>AND(R23,AT23=P23,AU23=L23,AV23=U23,AY23,AZ23,IF(I23="cache-semantics",AND(AW23=Z23,AND(BA23=AD23,BB23=AH23,BC23=AI23),BF23=AO23),IF(I23="no-store-control",AND(AND(BA23=AD23,BB23=AH23,BC23=AI23),BD23=AJ23,BE23=AL23),FALSE)),BG23=AP23)</x:f>
        <x:v>1</x:v>
      </x:c>
      <x:c r="BI23" s="49" t="b">
        <x:f>AND(J23,K23,BG23)</x:f>
        <x:v>0</x:v>
      </x:c>
    </x:row>
    <x:row r="24">
      <x:c r="A24" s="34" t="str">
        <x:v>article1-unified-v4-2-fb3f101b-20260903-000401-default-f01-p3-nostore</x:v>
      </x:c>
      <x:c r="B24" s="34" t="str">
        <x:v>default</x:v>
      </x:c>
      <x:c r="C24" s="34" t="str">
        <x:v>nostore</x:v>
      </x:c>
      <x:c r="D24" s="36" t="n">
        <x:v>1</x:v>
      </x:c>
      <x:c r="E24" s="36" t="n">
        <x:v>1</x:v>
      </x:c>
      <x:c r="F24" s="36" t="n">
        <x:v>3</x:v>
      </x:c>
      <x:c r="G24" s="36" t="n">
        <x:v>2</x:v>
      </x:c>
      <x:c r="H24" s="34" t="str">
        <x:v>initial</x:v>
      </x:c>
      <x:c r="I24" s="34" t="str">
        <x:v>no-store-control</x:v>
      </x:c>
      <x:c r="J24" s="45" t="b">
        <x:v>1</x:v>
      </x:c>
      <x:c r="K24" s="45" t="b">
        <x:v>0</x:v>
      </x:c>
      <x:c r="L24" s="45" t="b">
        <x:v>1</x:v>
      </x:c>
      <x:c r="M24" s="43" t="n">
        <x:v>400000</x:v>
      </x:c>
      <x:c r="N24" s="43" t="n">
        <x:v>476399360</x:v>
      </x:c>
      <x:c r="O24" s="43" t="n">
        <x:v>95160338.11126383</x:v>
      </x:c>
      <x:c r="P24" s="45" t="b">
        <x:v>1</x:v>
      </x:c>
      <x:c r="Q24" s="45" t="b">
        <x:v>1</x:v>
      </x:c>
      <x:c r="R24" s="45" t="b">
        <x:v>1</x:v>
      </x:c>
      <x:c r="S24" s="43" t="n">
        <x:v>5000000000</x:v>
      </x:c>
      <x:c r="T24" s="43" t="n">
        <x:v>5006280657</x:v>
      </x:c>
      <x:c r="U24" s="45" t="b">
        <x:v>1</x:v>
      </x:c>
      <x:c r="V24" s="34" t="str">
        <x:v>uniform</x:v>
      </x:c>
      <x:c r="W24" s="42" t="n">
        <x:v>95</x:v>
      </x:c>
      <x:c r="X24" s="48"/>
      <x:c r="Y24" s="48"/>
      <x:c r="Z24" s="49"/>
      <x:c r="AA24" s="43" t="n">
        <x:v>10000</x:v>
      </x:c>
      <x:c r="AB24" s="43"/>
      <x:c r="AC24" s="43" t="n">
        <x:v>0</x:v>
      </x:c>
      <x:c r="AD24" s="45" t="b">
        <x:v>1</x:v>
      </x:c>
      <x:c r="AE24" s="43"/>
      <x:c r="AF24" s="43" t="n">
        <x:v>0</x:v>
      </x:c>
      <x:c r="AG24" s="43" t="n">
        <x:v>0</x:v>
      </x:c>
      <x:c r="AH24" s="45" t="b">
        <x:v>1</x:v>
      </x:c>
      <x:c r="AI24" s="45" t="b">
        <x:v>1</x:v>
      </x:c>
      <x:c r="AJ24" s="45" t="b">
        <x:v>1</x:v>
      </x:c>
      <x:c r="AK24" s="48" t="n">
        <x:v>0</x:v>
      </x:c>
      <x:c r="AL24" s="45" t="b">
        <x:v>1</x:v>
      </x:c>
      <x:c r="AM24" s="45" t="b">
        <x:v>0</x:v>
      </x:c>
      <x:c r="AN24" s="36" t="n">
        <x:v>16</x:v>
      </x:c>
      <x:c r="AO24" s="49"/>
      <x:c r="AP24" s="45" t="b">
        <x:v>1</x:v>
      </x:c>
      <x:c r="AQ24" s="46" t="n">
        <x:f>IF(T24="","",T24/'Readme-Protocol'!$B$24)</x:f>
        <x:v>5.006280657</x:v>
      </x:c>
      <x:c r="AR24" s="46" t="n">
        <x:f>IF(OR(S24="",S24=0),"",T24/S24)</x:f>
        <x:v>1.0012561314</x:v>
      </x:c>
      <x:c r="AS24" s="46" t="str">
        <x:f>IF(OR(X24="",Y24=""),"",ABS(Y24-X24)*'Readme-Protocol'!$B$27)</x:f>
      </x:c>
      <x:c r="AT24" s="49" t="b">
        <x:f>AND(M24&gt;0,N24&gt;=0,O24&gt;0)</x:f>
        <x:v>1</x:v>
      </x:c>
      <x:c r="AU24" s="49" t="b">
        <x:f>AND(AT24,N24&gt;=M24)</x:f>
        <x:v>1</x:v>
      </x:c>
      <x:c r="AV24" s="49" t="b">
        <x:f>OR(S24=0,T24&gt;=S24)</x:f>
        <x:v>1</x:v>
      </x:c>
      <x:c r="AW24" s="49" t="b">
        <x:f>IF(I24="cache-semantics",OR(V24&lt;&gt;"uniform",ABS(Y24-W24/'Readme-Protocol'!$B$27)&lt;='Readme-Protocol'!$B$28),TRUE)</x:f>
        <x:v>1</x:v>
      </x:c>
      <x:c r="AX24" s="43" t="str">
        <x:f>IF(I24="cache-semantics",INT(AA24*'Readme-Protocol'!$B$32),"")</x:f>
      </x:c>
      <x:c r="AY24" s="49" t="b">
        <x:f>IF(I24="cache-semantics",AX24=AB24,TRUE)</x:f>
        <x:v>1</x:v>
      </x:c>
      <x:c r="AZ24" s="49" t="b">
        <x:f>IF(I24="cache-semantics",AX24=AE24,TRUE)</x:f>
        <x:v>1</x:v>
      </x:c>
      <x:c r="BA24" s="49" t="b">
        <x:f>IF(I24="cache-semantics",AC24&gt;=AX24,IF(I24="no-store-control",AC24=0,FALSE))</x:f>
        <x:v>1</x:v>
      </x:c>
      <x:c r="BB24" s="49" t="b">
        <x:f>IF(I24="cache-semantics",AG24&gt;=AX24,IF(I24="no-store-control",AG24=0,FALSE))</x:f>
        <x:v>1</x:v>
      </x:c>
      <x:c r="BC24" s="49" t="b">
        <x:f>AND(BA24,BB24)</x:f>
        <x:v>1</x:v>
      </x:c>
      <x:c r="BD24" s="49" t="b">
        <x:f>IF(I24="no-store-control",AND(AC24=0,AG24=0),TRUE)</x:f>
        <x:v>1</x:v>
      </x:c>
      <x:c r="BE24" s="49" t="b">
        <x:f>IF(I24="no-store-control",AK24=0,TRUE)</x:f>
        <x:v>1</x:v>
      </x:c>
      <x:c r="BF24" s="49" t="b">
        <x:f>IF(I24="cache-semantics",AN24=1,TRUE)</x:f>
        <x:v>1</x:v>
      </x:c>
      <x:c r="BG24" s="49" t="b">
        <x:f>IF(I24="cache-semantics",AND(AU24,AV24,Q24,AW24,BC24,BF24),IF(I24="no-store-control",AND(AU24,AV24,Q24,BD24,BE24),FALSE))</x:f>
        <x:v>1</x:v>
      </x:c>
      <x:c r="BH24" s="49" t="b">
        <x:f>AND(R24,AT24=P24,AU24=L24,AV24=U24,AY24,AZ24,IF(I24="cache-semantics",AND(AW24=Z24,AND(BA24=AD24,BB24=AH24,BC24=AI24),BF24=AO24),IF(I24="no-store-control",AND(AND(BA24=AD24,BB24=AH24,BC24=AI24),BD24=AJ24,BE24=AL24),FALSE)),BG24=AP24)</x:f>
        <x:v>1</x:v>
      </x:c>
      <x:c r="BI24" s="49" t="b">
        <x:f>AND(J24,K24,BG24)</x:f>
        <x:v>0</x:v>
      </x:c>
    </x:row>
    <x:row r="25">
      <x:c r="A25" s="34" t="str">
        <x:v>article1-unified-v4-2-fb3f101b-20260903-000401-default-f01-p3-nostore</x:v>
      </x:c>
      <x:c r="B25" s="34" t="str">
        <x:v>default</x:v>
      </x:c>
      <x:c r="C25" s="34" t="str">
        <x:v>nostore</x:v>
      </x:c>
      <x:c r="D25" s="36" t="n">
        <x:v>1</x:v>
      </x:c>
      <x:c r="E25" s="36" t="n">
        <x:v>1</x:v>
      </x:c>
      <x:c r="F25" s="36" t="n">
        <x:v>3</x:v>
      </x:c>
      <x:c r="G25" s="36" t="n">
        <x:v>2</x:v>
      </x:c>
      <x:c r="H25" s="34" t="str">
        <x:v>redeploy</x:v>
      </x:c>
      <x:c r="I25" s="34" t="str">
        <x:v>no-store-control</x:v>
      </x:c>
      <x:c r="J25" s="45" t="b">
        <x:v>1</x:v>
      </x:c>
      <x:c r="K25" s="45" t="b">
        <x:v>0</x:v>
      </x:c>
      <x:c r="L25" s="45" t="b">
        <x:v>1</x:v>
      </x:c>
      <x:c r="M25" s="43" t="n">
        <x:v>400000</x:v>
      </x:c>
      <x:c r="N25" s="43" t="n">
        <x:v>514107136</x:v>
      </x:c>
      <x:c r="O25" s="43" t="n">
        <x:v>102575747.49378376</x:v>
      </x:c>
      <x:c r="P25" s="45" t="b">
        <x:v>1</x:v>
      </x:c>
      <x:c r="Q25" s="45" t="b">
        <x:v>1</x:v>
      </x:c>
      <x:c r="R25" s="45" t="b">
        <x:v>1</x:v>
      </x:c>
      <x:c r="S25" s="43" t="n">
        <x:v>5000000000</x:v>
      </x:c>
      <x:c r="T25" s="43" t="n">
        <x:v>5011975526</x:v>
      </x:c>
      <x:c r="U25" s="45" t="b">
        <x:v>1</x:v>
      </x:c>
      <x:c r="V25" s="34" t="str">
        <x:v>uniform</x:v>
      </x:c>
      <x:c r="W25" s="42" t="n">
        <x:v>95</x:v>
      </x:c>
      <x:c r="X25" s="48"/>
      <x:c r="Y25" s="48"/>
      <x:c r="Z25" s="49"/>
      <x:c r="AA25" s="43" t="n">
        <x:v>10000</x:v>
      </x:c>
      <x:c r="AB25" s="43"/>
      <x:c r="AC25" s="43" t="n">
        <x:v>0</x:v>
      </x:c>
      <x:c r="AD25" s="45" t="b">
        <x:v>1</x:v>
      </x:c>
      <x:c r="AE25" s="43"/>
      <x:c r="AF25" s="43" t="n">
        <x:v>0</x:v>
      </x:c>
      <x:c r="AG25" s="43" t="n">
        <x:v>0</x:v>
      </x:c>
      <x:c r="AH25" s="45" t="b">
        <x:v>1</x:v>
      </x:c>
      <x:c r="AI25" s="45" t="b">
        <x:v>1</x:v>
      </x:c>
      <x:c r="AJ25" s="45" t="b">
        <x:v>1</x:v>
      </x:c>
      <x:c r="AK25" s="48" t="n">
        <x:v>0</x:v>
      </x:c>
      <x:c r="AL25" s="45" t="b">
        <x:v>1</x:v>
      </x:c>
      <x:c r="AM25" s="45" t="b">
        <x:v>0</x:v>
      </x:c>
      <x:c r="AN25" s="36" t="n">
        <x:v>16</x:v>
      </x:c>
      <x:c r="AO25" s="49"/>
      <x:c r="AP25" s="45" t="b">
        <x:v>1</x:v>
      </x:c>
      <x:c r="AQ25" s="46" t="n">
        <x:f>IF(T25="","",T25/'Readme-Protocol'!$B$24)</x:f>
        <x:v>5.011975526</x:v>
      </x:c>
      <x:c r="AR25" s="46" t="n">
        <x:f>IF(OR(S25="",S25=0),"",T25/S25)</x:f>
        <x:v>1.0023951052</x:v>
      </x:c>
      <x:c r="AS25" s="46" t="str">
        <x:f>IF(OR(X25="",Y25=""),"",ABS(Y25-X25)*'Readme-Protocol'!$B$27)</x:f>
      </x:c>
      <x:c r="AT25" s="49" t="b">
        <x:f>AND(M25&gt;0,N25&gt;=0,O25&gt;0)</x:f>
        <x:v>1</x:v>
      </x:c>
      <x:c r="AU25" s="49" t="b">
        <x:f>AND(AT25,N25&gt;=M25)</x:f>
        <x:v>1</x:v>
      </x:c>
      <x:c r="AV25" s="49" t="b">
        <x:f>OR(S25=0,T25&gt;=S25)</x:f>
        <x:v>1</x:v>
      </x:c>
      <x:c r="AW25" s="49" t="b">
        <x:f>IF(I25="cache-semantics",OR(V25&lt;&gt;"uniform",ABS(Y25-W25/'Readme-Protocol'!$B$27)&lt;='Readme-Protocol'!$B$28),TRUE)</x:f>
        <x:v>1</x:v>
      </x:c>
      <x:c r="AX25" s="43" t="str">
        <x:f>IF(I25="cache-semantics",INT(AA25*'Readme-Protocol'!$B$32),"")</x:f>
      </x:c>
      <x:c r="AY25" s="49" t="b">
        <x:f>IF(I25="cache-semantics",AX25=AB25,TRUE)</x:f>
        <x:v>1</x:v>
      </x:c>
      <x:c r="AZ25" s="49" t="b">
        <x:f>IF(I25="cache-semantics",AX25=AE25,TRUE)</x:f>
        <x:v>1</x:v>
      </x:c>
      <x:c r="BA25" s="49" t="b">
        <x:f>IF(I25="cache-semantics",AC25&gt;=AX25,IF(I25="no-store-control",AC25=0,FALSE))</x:f>
        <x:v>1</x:v>
      </x:c>
      <x:c r="BB25" s="49" t="b">
        <x:f>IF(I25="cache-semantics",AG25&gt;=AX25,IF(I25="no-store-control",AG25=0,FALSE))</x:f>
        <x:v>1</x:v>
      </x:c>
      <x:c r="BC25" s="49" t="b">
        <x:f>AND(BA25,BB25)</x:f>
        <x:v>1</x:v>
      </x:c>
      <x:c r="BD25" s="49" t="b">
        <x:f>IF(I25="no-store-control",AND(AC25=0,AG25=0),TRUE)</x:f>
        <x:v>1</x:v>
      </x:c>
      <x:c r="BE25" s="49" t="b">
        <x:f>IF(I25="no-store-control",AK25=0,TRUE)</x:f>
        <x:v>1</x:v>
      </x:c>
      <x:c r="BF25" s="49" t="b">
        <x:f>IF(I25="cache-semantics",AN25=1,TRUE)</x:f>
        <x:v>1</x:v>
      </x:c>
      <x:c r="BG25" s="49" t="b">
        <x:f>IF(I25="cache-semantics",AND(AU25,AV25,Q25,AW25,BC25,BF25),IF(I25="no-store-control",AND(AU25,AV25,Q25,BD25,BE25),FALSE))</x:f>
        <x:v>1</x:v>
      </x:c>
      <x:c r="BH25" s="49" t="b">
        <x:f>AND(R25,AT25=P25,AU25=L25,AV25=U25,AY25,AZ25,IF(I25="cache-semantics",AND(AW25=Z25,AND(BA25=AD25,BB25=AH25,BC25=AI25),BF25=AO25),IF(I25="no-store-control",AND(AND(BA25=AD25,BB25=AH25,BC25=AI25),BD25=AJ25,BE25=AL25),FALSE)),BG25=AP25)</x:f>
        <x:v>1</x:v>
      </x:c>
      <x:c r="BI25" s="49" t="b">
        <x:f>AND(J25,K25,BG25)</x:f>
        <x:v>0</x:v>
      </x:c>
    </x:row>
    <x:row r="26">
      <x:c r="A26" s="34" t="str">
        <x:v>article1-unified-v4-2-fb3f101b-20260903-000401-default-f01-p3-nostore</x:v>
      </x:c>
      <x:c r="B26" s="34" t="str">
        <x:v>default</x:v>
      </x:c>
      <x:c r="C26" s="34" t="str">
        <x:v>nostore</x:v>
      </x:c>
      <x:c r="D26" s="36" t="n">
        <x:v>1</x:v>
      </x:c>
      <x:c r="E26" s="36" t="n">
        <x:v>1</x:v>
      </x:c>
      <x:c r="F26" s="36" t="n">
        <x:v>3</x:v>
      </x:c>
      <x:c r="G26" s="36" t="n">
        <x:v>3</x:v>
      </x:c>
      <x:c r="H26" s="34" t="str">
        <x:v>initial</x:v>
      </x:c>
      <x:c r="I26" s="34" t="str">
        <x:v>no-store-control</x:v>
      </x:c>
      <x:c r="J26" s="45" t="b">
        <x:v>1</x:v>
      </x:c>
      <x:c r="K26" s="45" t="b">
        <x:v>0</x:v>
      </x:c>
      <x:c r="L26" s="45" t="b">
        <x:v>1</x:v>
      </x:c>
      <x:c r="M26" s="43" t="n">
        <x:v>400000</x:v>
      </x:c>
      <x:c r="N26" s="43" t="n">
        <x:v>506749184</x:v>
      </x:c>
      <x:c r="O26" s="43" t="n">
        <x:v>101230185.53489691</x:v>
      </x:c>
      <x:c r="P26" s="45" t="b">
        <x:v>1</x:v>
      </x:c>
      <x:c r="Q26" s="45" t="b">
        <x:v>1</x:v>
      </x:c>
      <x:c r="R26" s="45" t="b">
        <x:v>1</x:v>
      </x:c>
      <x:c r="S26" s="43" t="n">
        <x:v>5000000000</x:v>
      </x:c>
      <x:c r="T26" s="43" t="n">
        <x:v>5005909861</x:v>
      </x:c>
      <x:c r="U26" s="45" t="b">
        <x:v>1</x:v>
      </x:c>
      <x:c r="V26" s="34" t="str">
        <x:v>uniform</x:v>
      </x:c>
      <x:c r="W26" s="42" t="n">
        <x:v>95</x:v>
      </x:c>
      <x:c r="X26" s="48"/>
      <x:c r="Y26" s="48"/>
      <x:c r="Z26" s="49"/>
      <x:c r="AA26" s="43" t="n">
        <x:v>10000</x:v>
      </x:c>
      <x:c r="AB26" s="43"/>
      <x:c r="AC26" s="43" t="n">
        <x:v>0</x:v>
      </x:c>
      <x:c r="AD26" s="45" t="b">
        <x:v>1</x:v>
      </x:c>
      <x:c r="AE26" s="43"/>
      <x:c r="AF26" s="43" t="n">
        <x:v>0</x:v>
      </x:c>
      <x:c r="AG26" s="43" t="n">
        <x:v>0</x:v>
      </x:c>
      <x:c r="AH26" s="45" t="b">
        <x:v>1</x:v>
      </x:c>
      <x:c r="AI26" s="45" t="b">
        <x:v>1</x:v>
      </x:c>
      <x:c r="AJ26" s="45" t="b">
        <x:v>1</x:v>
      </x:c>
      <x:c r="AK26" s="48" t="n">
        <x:v>0</x:v>
      </x:c>
      <x:c r="AL26" s="45" t="b">
        <x:v>1</x:v>
      </x:c>
      <x:c r="AM26" s="45" t="b">
        <x:v>0</x:v>
      </x:c>
      <x:c r="AN26" s="36" t="n">
        <x:v>16</x:v>
      </x:c>
      <x:c r="AO26" s="49"/>
      <x:c r="AP26" s="45" t="b">
        <x:v>1</x:v>
      </x:c>
      <x:c r="AQ26" s="46" t="n">
        <x:f>IF(T26="","",T26/'Readme-Protocol'!$B$24)</x:f>
        <x:v>5.005909861</x:v>
      </x:c>
      <x:c r="AR26" s="46" t="n">
        <x:f>IF(OR(S26="",S26=0),"",T26/S26)</x:f>
        <x:v>1.0011819722</x:v>
      </x:c>
      <x:c r="AS26" s="46" t="str">
        <x:f>IF(OR(X26="",Y26=""),"",ABS(Y26-X26)*'Readme-Protocol'!$B$27)</x:f>
      </x:c>
      <x:c r="AT26" s="49" t="b">
        <x:f>AND(M26&gt;0,N26&gt;=0,O26&gt;0)</x:f>
        <x:v>1</x:v>
      </x:c>
      <x:c r="AU26" s="49" t="b">
        <x:f>AND(AT26,N26&gt;=M26)</x:f>
        <x:v>1</x:v>
      </x:c>
      <x:c r="AV26" s="49" t="b">
        <x:f>OR(S26=0,T26&gt;=S26)</x:f>
        <x:v>1</x:v>
      </x:c>
      <x:c r="AW26" s="49" t="b">
        <x:f>IF(I26="cache-semantics",OR(V26&lt;&gt;"uniform",ABS(Y26-W26/'Readme-Protocol'!$B$27)&lt;='Readme-Protocol'!$B$28),TRUE)</x:f>
        <x:v>1</x:v>
      </x:c>
      <x:c r="AX26" s="43" t="str">
        <x:f>IF(I26="cache-semantics",INT(AA26*'Readme-Protocol'!$B$32),"")</x:f>
      </x:c>
      <x:c r="AY26" s="49" t="b">
        <x:f>IF(I26="cache-semantics",AX26=AB26,TRUE)</x:f>
        <x:v>1</x:v>
      </x:c>
      <x:c r="AZ26" s="49" t="b">
        <x:f>IF(I26="cache-semantics",AX26=AE26,TRUE)</x:f>
        <x:v>1</x:v>
      </x:c>
      <x:c r="BA26" s="49" t="b">
        <x:f>IF(I26="cache-semantics",AC26&gt;=AX26,IF(I26="no-store-control",AC26=0,FALSE))</x:f>
        <x:v>1</x:v>
      </x:c>
      <x:c r="BB26" s="49" t="b">
        <x:f>IF(I26="cache-semantics",AG26&gt;=AX26,IF(I26="no-store-control",AG26=0,FALSE))</x:f>
        <x:v>1</x:v>
      </x:c>
      <x:c r="BC26" s="49" t="b">
        <x:f>AND(BA26,BB26)</x:f>
        <x:v>1</x:v>
      </x:c>
      <x:c r="BD26" s="49" t="b">
        <x:f>IF(I26="no-store-control",AND(AC26=0,AG26=0),TRUE)</x:f>
        <x:v>1</x:v>
      </x:c>
      <x:c r="BE26" s="49" t="b">
        <x:f>IF(I26="no-store-control",AK26=0,TRUE)</x:f>
        <x:v>1</x:v>
      </x:c>
      <x:c r="BF26" s="49" t="b">
        <x:f>IF(I26="cache-semantics",AN26=1,TRUE)</x:f>
        <x:v>1</x:v>
      </x:c>
      <x:c r="BG26" s="49" t="b">
        <x:f>IF(I26="cache-semantics",AND(AU26,AV26,Q26,AW26,BC26,BF26),IF(I26="no-store-control",AND(AU26,AV26,Q26,BD26,BE26),FALSE))</x:f>
        <x:v>1</x:v>
      </x:c>
      <x:c r="BH26" s="49" t="b">
        <x:f>AND(R26,AT26=P26,AU26=L26,AV26=U26,AY26,AZ26,IF(I26="cache-semantics",AND(AW26=Z26,AND(BA26=AD26,BB26=AH26,BC26=AI26),BF26=AO26),IF(I26="no-store-control",AND(AND(BA26=AD26,BB26=AH26,BC26=AI26),BD26=AJ26,BE26=AL26),FALSE)),BG26=AP26)</x:f>
        <x:v>1</x:v>
      </x:c>
      <x:c r="BI26" s="49" t="b">
        <x:f>AND(J26,K26,BG26)</x:f>
        <x:v>0</x:v>
      </x:c>
    </x:row>
    <x:row r="27">
      <x:c r="A27" s="34" t="str">
        <x:v>article1-unified-v4-2-fb3f101b-20260903-000401-default-f01-p3-nostore</x:v>
      </x:c>
      <x:c r="B27" s="34" t="str">
        <x:v>default</x:v>
      </x:c>
      <x:c r="C27" s="34" t="str">
        <x:v>nostore</x:v>
      </x:c>
      <x:c r="D27" s="36" t="n">
        <x:v>1</x:v>
      </x:c>
      <x:c r="E27" s="36" t="n">
        <x:v>1</x:v>
      </x:c>
      <x:c r="F27" s="36" t="n">
        <x:v>3</x:v>
      </x:c>
      <x:c r="G27" s="36" t="n">
        <x:v>3</x:v>
      </x:c>
      <x:c r="H27" s="34" t="str">
        <x:v>redeploy</x:v>
      </x:c>
      <x:c r="I27" s="34" t="str">
        <x:v>no-store-control</x:v>
      </x:c>
      <x:c r="J27" s="45" t="b">
        <x:v>1</x:v>
      </x:c>
      <x:c r="K27" s="45" t="b">
        <x:v>0</x:v>
      </x:c>
      <x:c r="L27" s="45" t="b">
        <x:v>1</x:v>
      </x:c>
      <x:c r="M27" s="43" t="n">
        <x:v>400000</x:v>
      </x:c>
      <x:c r="N27" s="43" t="n">
        <x:v>490262528</x:v>
      </x:c>
      <x:c r="O27" s="43" t="n">
        <x:v>97940439.87647513</x:v>
      </x:c>
      <x:c r="P27" s="45" t="b">
        <x:v>1</x:v>
      </x:c>
      <x:c r="Q27" s="45" t="b">
        <x:v>1</x:v>
      </x:c>
      <x:c r="R27" s="45" t="b">
        <x:v>1</x:v>
      </x:c>
      <x:c r="S27" s="43" t="n">
        <x:v>5000000000</x:v>
      </x:c>
      <x:c r="T27" s="43" t="n">
        <x:v>5005721116</x:v>
      </x:c>
      <x:c r="U27" s="45" t="b">
        <x:v>1</x:v>
      </x:c>
      <x:c r="V27" s="34" t="str">
        <x:v>uniform</x:v>
      </x:c>
      <x:c r="W27" s="42" t="n">
        <x:v>95</x:v>
      </x:c>
      <x:c r="X27" s="48"/>
      <x:c r="Y27" s="48"/>
      <x:c r="Z27" s="49"/>
      <x:c r="AA27" s="43" t="n">
        <x:v>10000</x:v>
      </x:c>
      <x:c r="AB27" s="43"/>
      <x:c r="AC27" s="43" t="n">
        <x:v>0</x:v>
      </x:c>
      <x:c r="AD27" s="45" t="b">
        <x:v>1</x:v>
      </x:c>
      <x:c r="AE27" s="43"/>
      <x:c r="AF27" s="43" t="n">
        <x:v>0</x:v>
      </x:c>
      <x:c r="AG27" s="43" t="n">
        <x:v>0</x:v>
      </x:c>
      <x:c r="AH27" s="45" t="b">
        <x:v>1</x:v>
      </x:c>
      <x:c r="AI27" s="45" t="b">
        <x:v>1</x:v>
      </x:c>
      <x:c r="AJ27" s="45" t="b">
        <x:v>1</x:v>
      </x:c>
      <x:c r="AK27" s="48" t="n">
        <x:v>0</x:v>
      </x:c>
      <x:c r="AL27" s="45" t="b">
        <x:v>1</x:v>
      </x:c>
      <x:c r="AM27" s="45" t="b">
        <x:v>0</x:v>
      </x:c>
      <x:c r="AN27" s="36" t="n">
        <x:v>16</x:v>
      </x:c>
      <x:c r="AO27" s="49"/>
      <x:c r="AP27" s="45" t="b">
        <x:v>1</x:v>
      </x:c>
      <x:c r="AQ27" s="46" t="n">
        <x:f>IF(T27="","",T27/'Readme-Protocol'!$B$24)</x:f>
        <x:v>5.005721116</x:v>
      </x:c>
      <x:c r="AR27" s="46" t="n">
        <x:f>IF(OR(S27="",S27=0),"",T27/S27)</x:f>
        <x:v>1.0011442232</x:v>
      </x:c>
      <x:c r="AS27" s="46" t="str">
        <x:f>IF(OR(X27="",Y27=""),"",ABS(Y27-X27)*'Readme-Protocol'!$B$27)</x:f>
      </x:c>
      <x:c r="AT27" s="49" t="b">
        <x:f>AND(M27&gt;0,N27&gt;=0,O27&gt;0)</x:f>
        <x:v>1</x:v>
      </x:c>
      <x:c r="AU27" s="49" t="b">
        <x:f>AND(AT27,N27&gt;=M27)</x:f>
        <x:v>1</x:v>
      </x:c>
      <x:c r="AV27" s="49" t="b">
        <x:f>OR(S27=0,T27&gt;=S27)</x:f>
        <x:v>1</x:v>
      </x:c>
      <x:c r="AW27" s="49" t="b">
        <x:f>IF(I27="cache-semantics",OR(V27&lt;&gt;"uniform",ABS(Y27-W27/'Readme-Protocol'!$B$27)&lt;='Readme-Protocol'!$B$28),TRUE)</x:f>
        <x:v>1</x:v>
      </x:c>
      <x:c r="AX27" s="43" t="str">
        <x:f>IF(I27="cache-semantics",INT(AA27*'Readme-Protocol'!$B$32),"")</x:f>
      </x:c>
      <x:c r="AY27" s="49" t="b">
        <x:f>IF(I27="cache-semantics",AX27=AB27,TRUE)</x:f>
        <x:v>1</x:v>
      </x:c>
      <x:c r="AZ27" s="49" t="b">
        <x:f>IF(I27="cache-semantics",AX27=AE27,TRUE)</x:f>
        <x:v>1</x:v>
      </x:c>
      <x:c r="BA27" s="49" t="b">
        <x:f>IF(I27="cache-semantics",AC27&gt;=AX27,IF(I27="no-store-control",AC27=0,FALSE))</x:f>
        <x:v>1</x:v>
      </x:c>
      <x:c r="BB27" s="49" t="b">
        <x:f>IF(I27="cache-semantics",AG27&gt;=AX27,IF(I27="no-store-control",AG27=0,FALSE))</x:f>
        <x:v>1</x:v>
      </x:c>
      <x:c r="BC27" s="49" t="b">
        <x:f>AND(BA27,BB27)</x:f>
        <x:v>1</x:v>
      </x:c>
      <x:c r="BD27" s="49" t="b">
        <x:f>IF(I27="no-store-control",AND(AC27=0,AG27=0),TRUE)</x:f>
        <x:v>1</x:v>
      </x:c>
      <x:c r="BE27" s="49" t="b">
        <x:f>IF(I27="no-store-control",AK27=0,TRUE)</x:f>
        <x:v>1</x:v>
      </x:c>
      <x:c r="BF27" s="49" t="b">
        <x:f>IF(I27="cache-semantics",AN27=1,TRUE)</x:f>
        <x:v>1</x:v>
      </x:c>
      <x:c r="BG27" s="49" t="b">
        <x:f>IF(I27="cache-semantics",AND(AU27,AV27,Q27,AW27,BC27,BF27),IF(I27="no-store-control",AND(AU27,AV27,Q27,BD27,BE27),FALSE))</x:f>
        <x:v>1</x:v>
      </x:c>
      <x:c r="BH27" s="49" t="b">
        <x:f>AND(R27,AT27=P27,AU27=L27,AV27=U27,AY27,AZ27,IF(I27="cache-semantics",AND(AW27=Z27,AND(BA27=AD27,BB27=AH27,BC27=AI27),BF27=AO27),IF(I27="no-store-control",AND(AND(BA27=AD27,BB27=AH27,BC27=AI27),BD27=AJ27,BE27=AL27),FALSE)),BG27=AP27)</x:f>
        <x:v>1</x:v>
      </x:c>
      <x:c r="BI27" s="49" t="b">
        <x:f>AND(J27,K27,BG27)</x:f>
        <x:v>0</x:v>
      </x:c>
    </x:row>
    <x:row r="28">
      <x:c r="A28" s="34" t="str">
        <x:v>article1-unified-v4-2-fb3f101b-20260903-000401-default-f01-p3-nostore</x:v>
      </x:c>
      <x:c r="B28" s="34" t="str">
        <x:v>default</x:v>
      </x:c>
      <x:c r="C28" s="34" t="str">
        <x:v>nostore</x:v>
      </x:c>
      <x:c r="D28" s="36" t="n">
        <x:v>1</x:v>
      </x:c>
      <x:c r="E28" s="36" t="n">
        <x:v>1</x:v>
      </x:c>
      <x:c r="F28" s="36" t="n">
        <x:v>3</x:v>
      </x:c>
      <x:c r="G28" s="36" t="n">
        <x:v>4</x:v>
      </x:c>
      <x:c r="H28" s="34" t="str">
        <x:v>initial</x:v>
      </x:c>
      <x:c r="I28" s="34" t="str">
        <x:v>no-store-control</x:v>
      </x:c>
      <x:c r="J28" s="45" t="b">
        <x:v>1</x:v>
      </x:c>
      <x:c r="K28" s="45" t="b">
        <x:v>0</x:v>
      </x:c>
      <x:c r="L28" s="45" t="b">
        <x:v>1</x:v>
      </x:c>
      <x:c r="M28" s="43" t="n">
        <x:v>400000</x:v>
      </x:c>
      <x:c r="N28" s="43" t="n">
        <x:v>501791488</x:v>
      </x:c>
      <x:c r="O28" s="43" t="n">
        <x:v>100243896.25827317</x:v>
      </x:c>
      <x:c r="P28" s="45" t="b">
        <x:v>1</x:v>
      </x:c>
      <x:c r="Q28" s="45" t="b">
        <x:v>1</x:v>
      </x:c>
      <x:c r="R28" s="45" t="b">
        <x:v>1</x:v>
      </x:c>
      <x:c r="S28" s="43" t="n">
        <x:v>5000000000</x:v>
      </x:c>
      <x:c r="T28" s="43" t="n">
        <x:v>5005706150</x:v>
      </x:c>
      <x:c r="U28" s="45" t="b">
        <x:v>1</x:v>
      </x:c>
      <x:c r="V28" s="34" t="str">
        <x:v>uniform</x:v>
      </x:c>
      <x:c r="W28" s="42" t="n">
        <x:v>95</x:v>
      </x:c>
      <x:c r="X28" s="48"/>
      <x:c r="Y28" s="48"/>
      <x:c r="Z28" s="49"/>
      <x:c r="AA28" s="43" t="n">
        <x:v>10000</x:v>
      </x:c>
      <x:c r="AB28" s="43"/>
      <x:c r="AC28" s="43" t="n">
        <x:v>0</x:v>
      </x:c>
      <x:c r="AD28" s="45" t="b">
        <x:v>1</x:v>
      </x:c>
      <x:c r="AE28" s="43"/>
      <x:c r="AF28" s="43" t="n">
        <x:v>0</x:v>
      </x:c>
      <x:c r="AG28" s="43" t="n">
        <x:v>0</x:v>
      </x:c>
      <x:c r="AH28" s="45" t="b">
        <x:v>1</x:v>
      </x:c>
      <x:c r="AI28" s="45" t="b">
        <x:v>1</x:v>
      </x:c>
      <x:c r="AJ28" s="45" t="b">
        <x:v>1</x:v>
      </x:c>
      <x:c r="AK28" s="48" t="n">
        <x:v>0</x:v>
      </x:c>
      <x:c r="AL28" s="45" t="b">
        <x:v>1</x:v>
      </x:c>
      <x:c r="AM28" s="45" t="b">
        <x:v>0</x:v>
      </x:c>
      <x:c r="AN28" s="36" t="n">
        <x:v>16</x:v>
      </x:c>
      <x:c r="AO28" s="49"/>
      <x:c r="AP28" s="45" t="b">
        <x:v>1</x:v>
      </x:c>
      <x:c r="AQ28" s="46" t="n">
        <x:f>IF(T28="","",T28/'Readme-Protocol'!$B$24)</x:f>
        <x:v>5.00570615</x:v>
      </x:c>
      <x:c r="AR28" s="46" t="n">
        <x:f>IF(OR(S28="",S28=0),"",T28/S28)</x:f>
        <x:v>1.00114123</x:v>
      </x:c>
      <x:c r="AS28" s="46" t="str">
        <x:f>IF(OR(X28="",Y28=""),"",ABS(Y28-X28)*'Readme-Protocol'!$B$27)</x:f>
      </x:c>
      <x:c r="AT28" s="49" t="b">
        <x:f>AND(M28&gt;0,N28&gt;=0,O28&gt;0)</x:f>
        <x:v>1</x:v>
      </x:c>
      <x:c r="AU28" s="49" t="b">
        <x:f>AND(AT28,N28&gt;=M28)</x:f>
        <x:v>1</x:v>
      </x:c>
      <x:c r="AV28" s="49" t="b">
        <x:f>OR(S28=0,T28&gt;=S28)</x:f>
        <x:v>1</x:v>
      </x:c>
      <x:c r="AW28" s="49" t="b">
        <x:f>IF(I28="cache-semantics",OR(V28&lt;&gt;"uniform",ABS(Y28-W28/'Readme-Protocol'!$B$27)&lt;='Readme-Protocol'!$B$28),TRUE)</x:f>
        <x:v>1</x:v>
      </x:c>
      <x:c r="AX28" s="43" t="str">
        <x:f>IF(I28="cache-semantics",INT(AA28*'Readme-Protocol'!$B$32),"")</x:f>
      </x:c>
      <x:c r="AY28" s="49" t="b">
        <x:f>IF(I28="cache-semantics",AX28=AB28,TRUE)</x:f>
        <x:v>1</x:v>
      </x:c>
      <x:c r="AZ28" s="49" t="b">
        <x:f>IF(I28="cache-semantics",AX28=AE28,TRUE)</x:f>
        <x:v>1</x:v>
      </x:c>
      <x:c r="BA28" s="49" t="b">
        <x:f>IF(I28="cache-semantics",AC28&gt;=AX28,IF(I28="no-store-control",AC28=0,FALSE))</x:f>
        <x:v>1</x:v>
      </x:c>
      <x:c r="BB28" s="49" t="b">
        <x:f>IF(I28="cache-semantics",AG28&gt;=AX28,IF(I28="no-store-control",AG28=0,FALSE))</x:f>
        <x:v>1</x:v>
      </x:c>
      <x:c r="BC28" s="49" t="b">
        <x:f>AND(BA28,BB28)</x:f>
        <x:v>1</x:v>
      </x:c>
      <x:c r="BD28" s="49" t="b">
        <x:f>IF(I28="no-store-control",AND(AC28=0,AG28=0),TRUE)</x:f>
        <x:v>1</x:v>
      </x:c>
      <x:c r="BE28" s="49" t="b">
        <x:f>IF(I28="no-store-control",AK28=0,TRUE)</x:f>
        <x:v>1</x:v>
      </x:c>
      <x:c r="BF28" s="49" t="b">
        <x:f>IF(I28="cache-semantics",AN28=1,TRUE)</x:f>
        <x:v>1</x:v>
      </x:c>
      <x:c r="BG28" s="49" t="b">
        <x:f>IF(I28="cache-semantics",AND(AU28,AV28,Q28,AW28,BC28,BF28),IF(I28="no-store-control",AND(AU28,AV28,Q28,BD28,BE28),FALSE))</x:f>
        <x:v>1</x:v>
      </x:c>
      <x:c r="BH28" s="49" t="b">
        <x:f>AND(R28,AT28=P28,AU28=L28,AV28=U28,AY28,AZ28,IF(I28="cache-semantics",AND(AW28=Z28,AND(BA28=AD28,BB28=AH28,BC28=AI28),BF28=AO28),IF(I28="no-store-control",AND(AND(BA28=AD28,BB28=AH28,BC28=AI28),BD28=AJ28,BE28=AL28),FALSE)),BG28=AP28)</x:f>
        <x:v>1</x:v>
      </x:c>
      <x:c r="BI28" s="49" t="b">
        <x:f>AND(J28,K28,BG28)</x:f>
        <x:v>0</x:v>
      </x:c>
    </x:row>
    <x:row r="29">
      <x:c r="A29" s="34" t="str">
        <x:v>article1-unified-v4-2-fb3f101b-20260903-000401-default-f01-p3-nostore</x:v>
      </x:c>
      <x:c r="B29" s="34" t="str">
        <x:v>default</x:v>
      </x:c>
      <x:c r="C29" s="34" t="str">
        <x:v>nostore</x:v>
      </x:c>
      <x:c r="D29" s="36" t="n">
        <x:v>1</x:v>
      </x:c>
      <x:c r="E29" s="36" t="n">
        <x:v>1</x:v>
      </x:c>
      <x:c r="F29" s="36" t="n">
        <x:v>3</x:v>
      </x:c>
      <x:c r="G29" s="36" t="n">
        <x:v>4</x:v>
      </x:c>
      <x:c r="H29" s="34" t="str">
        <x:v>redeploy</x:v>
      </x:c>
      <x:c r="I29" s="34" t="str">
        <x:v>no-store-control</x:v>
      </x:c>
      <x:c r="J29" s="45" t="b">
        <x:v>1</x:v>
      </x:c>
      <x:c r="K29" s="45" t="b">
        <x:v>0</x:v>
      </x:c>
      <x:c r="L29" s="45" t="b">
        <x:v>1</x:v>
      </x:c>
      <x:c r="M29" s="43" t="n">
        <x:v>400000</x:v>
      </x:c>
      <x:c r="N29" s="43" t="n">
        <x:v>514722048</x:v>
      </x:c>
      <x:c r="O29" s="43" t="n">
        <x:v>102824031.67584932</x:v>
      </x:c>
      <x:c r="P29" s="45" t="b">
        <x:v>1</x:v>
      </x:c>
      <x:c r="Q29" s="45" t="b">
        <x:v>1</x:v>
      </x:c>
      <x:c r="R29" s="45" t="b">
        <x:v>1</x:v>
      </x:c>
      <x:c r="S29" s="43" t="n">
        <x:v>5000000000</x:v>
      </x:c>
      <x:c r="T29" s="43" t="n">
        <x:v>5005853589</x:v>
      </x:c>
      <x:c r="U29" s="45" t="b">
        <x:v>1</x:v>
      </x:c>
      <x:c r="V29" s="34" t="str">
        <x:v>uniform</x:v>
      </x:c>
      <x:c r="W29" s="42" t="n">
        <x:v>95</x:v>
      </x:c>
      <x:c r="X29" s="48"/>
      <x:c r="Y29" s="48"/>
      <x:c r="Z29" s="49"/>
      <x:c r="AA29" s="43" t="n">
        <x:v>10000</x:v>
      </x:c>
      <x:c r="AB29" s="43"/>
      <x:c r="AC29" s="43" t="n">
        <x:v>0</x:v>
      </x:c>
      <x:c r="AD29" s="45" t="b">
        <x:v>1</x:v>
      </x:c>
      <x:c r="AE29" s="43"/>
      <x:c r="AF29" s="43" t="n">
        <x:v>0</x:v>
      </x:c>
      <x:c r="AG29" s="43" t="n">
        <x:v>0</x:v>
      </x:c>
      <x:c r="AH29" s="45" t="b">
        <x:v>1</x:v>
      </x:c>
      <x:c r="AI29" s="45" t="b">
        <x:v>1</x:v>
      </x:c>
      <x:c r="AJ29" s="45" t="b">
        <x:v>1</x:v>
      </x:c>
      <x:c r="AK29" s="48" t="n">
        <x:v>0</x:v>
      </x:c>
      <x:c r="AL29" s="45" t="b">
        <x:v>1</x:v>
      </x:c>
      <x:c r="AM29" s="45" t="b">
        <x:v>0</x:v>
      </x:c>
      <x:c r="AN29" s="36" t="n">
        <x:v>16</x:v>
      </x:c>
      <x:c r="AO29" s="49"/>
      <x:c r="AP29" s="45" t="b">
        <x:v>1</x:v>
      </x:c>
      <x:c r="AQ29" s="46" t="n">
        <x:f>IF(T29="","",T29/'Readme-Protocol'!$B$24)</x:f>
        <x:v>5.005853589</x:v>
      </x:c>
      <x:c r="AR29" s="46" t="n">
        <x:f>IF(OR(S29="",S29=0),"",T29/S29)</x:f>
        <x:v>1.0011707178</x:v>
      </x:c>
      <x:c r="AS29" s="46" t="str">
        <x:f>IF(OR(X29="",Y29=""),"",ABS(Y29-X29)*'Readme-Protocol'!$B$27)</x:f>
      </x:c>
      <x:c r="AT29" s="49" t="b">
        <x:f>AND(M29&gt;0,N29&gt;=0,O29&gt;0)</x:f>
        <x:v>1</x:v>
      </x:c>
      <x:c r="AU29" s="49" t="b">
        <x:f>AND(AT29,N29&gt;=M29)</x:f>
        <x:v>1</x:v>
      </x:c>
      <x:c r="AV29" s="49" t="b">
        <x:f>OR(S29=0,T29&gt;=S29)</x:f>
        <x:v>1</x:v>
      </x:c>
      <x:c r="AW29" s="49" t="b">
        <x:f>IF(I29="cache-semantics",OR(V29&lt;&gt;"uniform",ABS(Y29-W29/'Readme-Protocol'!$B$27)&lt;='Readme-Protocol'!$B$28),TRUE)</x:f>
        <x:v>1</x:v>
      </x:c>
      <x:c r="AX29" s="43" t="str">
        <x:f>IF(I29="cache-semantics",INT(AA29*'Readme-Protocol'!$B$32),"")</x:f>
      </x:c>
      <x:c r="AY29" s="49" t="b">
        <x:f>IF(I29="cache-semantics",AX29=AB29,TRUE)</x:f>
        <x:v>1</x:v>
      </x:c>
      <x:c r="AZ29" s="49" t="b">
        <x:f>IF(I29="cache-semantics",AX29=AE29,TRUE)</x:f>
        <x:v>1</x:v>
      </x:c>
      <x:c r="BA29" s="49" t="b">
        <x:f>IF(I29="cache-semantics",AC29&gt;=AX29,IF(I29="no-store-control",AC29=0,FALSE))</x:f>
        <x:v>1</x:v>
      </x:c>
      <x:c r="BB29" s="49" t="b">
        <x:f>IF(I29="cache-semantics",AG29&gt;=AX29,IF(I29="no-store-control",AG29=0,FALSE))</x:f>
        <x:v>1</x:v>
      </x:c>
      <x:c r="BC29" s="49" t="b">
        <x:f>AND(BA29,BB29)</x:f>
        <x:v>1</x:v>
      </x:c>
      <x:c r="BD29" s="49" t="b">
        <x:f>IF(I29="no-store-control",AND(AC29=0,AG29=0),TRUE)</x:f>
        <x:v>1</x:v>
      </x:c>
      <x:c r="BE29" s="49" t="b">
        <x:f>IF(I29="no-store-control",AK29=0,TRUE)</x:f>
        <x:v>1</x:v>
      </x:c>
      <x:c r="BF29" s="49" t="b">
        <x:f>IF(I29="cache-semantics",AN29=1,TRUE)</x:f>
        <x:v>1</x:v>
      </x:c>
      <x:c r="BG29" s="49" t="b">
        <x:f>IF(I29="cache-semantics",AND(AU29,AV29,Q29,AW29,BC29,BF29),IF(I29="no-store-control",AND(AU29,AV29,Q29,BD29,BE29),FALSE))</x:f>
        <x:v>1</x:v>
      </x:c>
      <x:c r="BH29" s="49" t="b">
        <x:f>AND(R29,AT29=P29,AU29=L29,AV29=U29,AY29,AZ29,IF(I29="cache-semantics",AND(AW29=Z29,AND(BA29=AD29,BB29=AH29,BC29=AI29),BF29=AO29),IF(I29="no-store-control",AND(AND(BA29=AD29,BB29=AH29,BC29=AI29),BD29=AJ29,BE29=AL29),FALSE)),BG29=AP29)</x:f>
        <x:v>1</x:v>
      </x:c>
      <x:c r="BI29" s="49" t="b">
        <x:f>AND(J29,K29,BG29)</x:f>
        <x:v>0</x:v>
      </x:c>
    </x:row>
    <x:row r="30">
      <x:c r="A30" s="34" t="str">
        <x:v>article1-unified-v4-2-fb3f101b-20260903-000401-default-f01-p3-nostore</x:v>
      </x:c>
      <x:c r="B30" s="34" t="str">
        <x:v>default</x:v>
      </x:c>
      <x:c r="C30" s="34" t="str">
        <x:v>nostore</x:v>
      </x:c>
      <x:c r="D30" s="36" t="n">
        <x:v>1</x:v>
      </x:c>
      <x:c r="E30" s="36" t="n">
        <x:v>1</x:v>
      </x:c>
      <x:c r="F30" s="36" t="n">
        <x:v>3</x:v>
      </x:c>
      <x:c r="G30" s="36" t="n">
        <x:v>5</x:v>
      </x:c>
      <x:c r="H30" s="34" t="str">
        <x:v>initial</x:v>
      </x:c>
      <x:c r="I30" s="34" t="str">
        <x:v>no-store-control</x:v>
      </x:c>
      <x:c r="J30" s="45" t="b">
        <x:v>1</x:v>
      </x:c>
      <x:c r="K30" s="45" t="b">
        <x:v>0</x:v>
      </x:c>
      <x:c r="L30" s="45" t="b">
        <x:v>1</x:v>
      </x:c>
      <x:c r="M30" s="43" t="n">
        <x:v>400000</x:v>
      </x:c>
      <x:c r="N30" s="43" t="n">
        <x:v>500219904</x:v>
      </x:c>
      <x:c r="O30" s="43" t="n">
        <x:v>99861417.13306756</x:v>
      </x:c>
      <x:c r="P30" s="45" t="b">
        <x:v>1</x:v>
      </x:c>
      <x:c r="Q30" s="45" t="b">
        <x:v>1</x:v>
      </x:c>
      <x:c r="R30" s="45" t="b">
        <x:v>1</x:v>
      </x:c>
      <x:c r="S30" s="43" t="n">
        <x:v>5000000000</x:v>
      </x:c>
      <x:c r="T30" s="43" t="n">
        <x:v>5009140851</x:v>
      </x:c>
      <x:c r="U30" s="45" t="b">
        <x:v>1</x:v>
      </x:c>
      <x:c r="V30" s="34" t="str">
        <x:v>uniform</x:v>
      </x:c>
      <x:c r="W30" s="42" t="n">
        <x:v>95</x:v>
      </x:c>
      <x:c r="X30" s="48"/>
      <x:c r="Y30" s="48"/>
      <x:c r="Z30" s="49"/>
      <x:c r="AA30" s="43" t="n">
        <x:v>10000</x:v>
      </x:c>
      <x:c r="AB30" s="43"/>
      <x:c r="AC30" s="43" t="n">
        <x:v>0</x:v>
      </x:c>
      <x:c r="AD30" s="45" t="b">
        <x:v>1</x:v>
      </x:c>
      <x:c r="AE30" s="43"/>
      <x:c r="AF30" s="43" t="n">
        <x:v>0</x:v>
      </x:c>
      <x:c r="AG30" s="43" t="n">
        <x:v>0</x:v>
      </x:c>
      <x:c r="AH30" s="45" t="b">
        <x:v>1</x:v>
      </x:c>
      <x:c r="AI30" s="45" t="b">
        <x:v>1</x:v>
      </x:c>
      <x:c r="AJ30" s="45" t="b">
        <x:v>1</x:v>
      </x:c>
      <x:c r="AK30" s="48" t="n">
        <x:v>0</x:v>
      </x:c>
      <x:c r="AL30" s="45" t="b">
        <x:v>1</x:v>
      </x:c>
      <x:c r="AM30" s="45" t="b">
        <x:v>0</x:v>
      </x:c>
      <x:c r="AN30" s="36" t="n">
        <x:v>16</x:v>
      </x:c>
      <x:c r="AO30" s="49"/>
      <x:c r="AP30" s="45" t="b">
        <x:v>1</x:v>
      </x:c>
      <x:c r="AQ30" s="46" t="n">
        <x:f>IF(T30="","",T30/'Readme-Protocol'!$B$24)</x:f>
        <x:v>5.009140851</x:v>
      </x:c>
      <x:c r="AR30" s="46" t="n">
        <x:f>IF(OR(S30="",S30=0),"",T30/S30)</x:f>
        <x:v>1.0018281702</x:v>
      </x:c>
      <x:c r="AS30" s="46" t="str">
        <x:f>IF(OR(X30="",Y30=""),"",ABS(Y30-X30)*'Readme-Protocol'!$B$27)</x:f>
      </x:c>
      <x:c r="AT30" s="49" t="b">
        <x:f>AND(M30&gt;0,N30&gt;=0,O30&gt;0)</x:f>
        <x:v>1</x:v>
      </x:c>
      <x:c r="AU30" s="49" t="b">
        <x:f>AND(AT30,N30&gt;=M30)</x:f>
        <x:v>1</x:v>
      </x:c>
      <x:c r="AV30" s="49" t="b">
        <x:f>OR(S30=0,T30&gt;=S30)</x:f>
        <x:v>1</x:v>
      </x:c>
      <x:c r="AW30" s="49" t="b">
        <x:f>IF(I30="cache-semantics",OR(V30&lt;&gt;"uniform",ABS(Y30-W30/'Readme-Protocol'!$B$27)&lt;='Readme-Protocol'!$B$28),TRUE)</x:f>
        <x:v>1</x:v>
      </x:c>
      <x:c r="AX30" s="43" t="str">
        <x:f>IF(I30="cache-semantics",INT(AA30*'Readme-Protocol'!$B$32),"")</x:f>
      </x:c>
      <x:c r="AY30" s="49" t="b">
        <x:f>IF(I30="cache-semantics",AX30=AB30,TRUE)</x:f>
        <x:v>1</x:v>
      </x:c>
      <x:c r="AZ30" s="49" t="b">
        <x:f>IF(I30="cache-semantics",AX30=AE30,TRUE)</x:f>
        <x:v>1</x:v>
      </x:c>
      <x:c r="BA30" s="49" t="b">
        <x:f>IF(I30="cache-semantics",AC30&gt;=AX30,IF(I30="no-store-control",AC30=0,FALSE))</x:f>
        <x:v>1</x:v>
      </x:c>
      <x:c r="BB30" s="49" t="b">
        <x:f>IF(I30="cache-semantics",AG30&gt;=AX30,IF(I30="no-store-control",AG30=0,FALSE))</x:f>
        <x:v>1</x:v>
      </x:c>
      <x:c r="BC30" s="49" t="b">
        <x:f>AND(BA30,BB30)</x:f>
        <x:v>1</x:v>
      </x:c>
      <x:c r="BD30" s="49" t="b">
        <x:f>IF(I30="no-store-control",AND(AC30=0,AG30=0),TRUE)</x:f>
        <x:v>1</x:v>
      </x:c>
      <x:c r="BE30" s="49" t="b">
        <x:f>IF(I30="no-store-control",AK30=0,TRUE)</x:f>
        <x:v>1</x:v>
      </x:c>
      <x:c r="BF30" s="49" t="b">
        <x:f>IF(I30="cache-semantics",AN30=1,TRUE)</x:f>
        <x:v>1</x:v>
      </x:c>
      <x:c r="BG30" s="49" t="b">
        <x:f>IF(I30="cache-semantics",AND(AU30,AV30,Q30,AW30,BC30,BF30),IF(I30="no-store-control",AND(AU30,AV30,Q30,BD30,BE30),FALSE))</x:f>
        <x:v>1</x:v>
      </x:c>
      <x:c r="BH30" s="49" t="b">
        <x:f>AND(R30,AT30=P30,AU30=L30,AV30=U30,AY30,AZ30,IF(I30="cache-semantics",AND(AW30=Z30,AND(BA30=AD30,BB30=AH30,BC30=AI30),BF30=AO30),IF(I30="no-store-control",AND(AND(BA30=AD30,BB30=AH30,BC30=AI30),BD30=AJ30,BE30=AL30),FALSE)),BG30=AP30)</x:f>
        <x:v>1</x:v>
      </x:c>
      <x:c r="BI30" s="49" t="b">
        <x:f>AND(J30,K30,BG30)</x:f>
        <x:v>0</x:v>
      </x:c>
    </x:row>
    <x:row r="31">
      <x:c r="A31" s="34" t="str">
        <x:v>article1-unified-v4-2-fb3f101b-20260903-000401-default-f01-p3-nostore</x:v>
      </x:c>
      <x:c r="B31" s="34" t="str">
        <x:v>default</x:v>
      </x:c>
      <x:c r="C31" s="34" t="str">
        <x:v>nostore</x:v>
      </x:c>
      <x:c r="D31" s="36" t="n">
        <x:v>1</x:v>
      </x:c>
      <x:c r="E31" s="36" t="n">
        <x:v>1</x:v>
      </x:c>
      <x:c r="F31" s="36" t="n">
        <x:v>3</x:v>
      </x:c>
      <x:c r="G31" s="36" t="n">
        <x:v>5</x:v>
      </x:c>
      <x:c r="H31" s="34" t="str">
        <x:v>redeploy</x:v>
      </x:c>
      <x:c r="I31" s="34" t="str">
        <x:v>no-store-control</x:v>
      </x:c>
      <x:c r="J31" s="45" t="b">
        <x:v>1</x:v>
      </x:c>
      <x:c r="K31" s="45" t="b">
        <x:v>0</x:v>
      </x:c>
      <x:c r="L31" s="45" t="b">
        <x:v>1</x:v>
      </x:c>
      <x:c r="M31" s="43" t="n">
        <x:v>400000</x:v>
      </x:c>
      <x:c r="N31" s="43" t="n">
        <x:v>456135424</x:v>
      </x:c>
      <x:c r="O31" s="43" t="n">
        <x:v>91126995.06401266</x:v>
      </x:c>
      <x:c r="P31" s="45" t="b">
        <x:v>1</x:v>
      </x:c>
      <x:c r="Q31" s="45" t="b">
        <x:v>1</x:v>
      </x:c>
      <x:c r="R31" s="45" t="b">
        <x:v>1</x:v>
      </x:c>
      <x:c r="S31" s="43" t="n">
        <x:v>5000000000</x:v>
      </x:c>
      <x:c r="T31" s="43" t="n">
        <x:v>5005491772</x:v>
      </x:c>
      <x:c r="U31" s="45" t="b">
        <x:v>1</x:v>
      </x:c>
      <x:c r="V31" s="34" t="str">
        <x:v>uniform</x:v>
      </x:c>
      <x:c r="W31" s="42" t="n">
        <x:v>95</x:v>
      </x:c>
      <x:c r="X31" s="48"/>
      <x:c r="Y31" s="48"/>
      <x:c r="Z31" s="49"/>
      <x:c r="AA31" s="43" t="n">
        <x:v>10000</x:v>
      </x:c>
      <x:c r="AB31" s="43"/>
      <x:c r="AC31" s="43" t="n">
        <x:v>0</x:v>
      </x:c>
      <x:c r="AD31" s="45" t="b">
        <x:v>1</x:v>
      </x:c>
      <x:c r="AE31" s="43"/>
      <x:c r="AF31" s="43" t="n">
        <x:v>0</x:v>
      </x:c>
      <x:c r="AG31" s="43" t="n">
        <x:v>0</x:v>
      </x:c>
      <x:c r="AH31" s="45" t="b">
        <x:v>1</x:v>
      </x:c>
      <x:c r="AI31" s="45" t="b">
        <x:v>1</x:v>
      </x:c>
      <x:c r="AJ31" s="45" t="b">
        <x:v>1</x:v>
      </x:c>
      <x:c r="AK31" s="48" t="n">
        <x:v>0</x:v>
      </x:c>
      <x:c r="AL31" s="45" t="b">
        <x:v>1</x:v>
      </x:c>
      <x:c r="AM31" s="45" t="b">
        <x:v>0</x:v>
      </x:c>
      <x:c r="AN31" s="36" t="n">
        <x:v>16</x:v>
      </x:c>
      <x:c r="AO31" s="49"/>
      <x:c r="AP31" s="45" t="b">
        <x:v>1</x:v>
      </x:c>
      <x:c r="AQ31" s="46" t="n">
        <x:f>IF(T31="","",T31/'Readme-Protocol'!$B$24)</x:f>
        <x:v>5.005491772</x:v>
      </x:c>
      <x:c r="AR31" s="46" t="n">
        <x:f>IF(OR(S31="",S31=0),"",T31/S31)</x:f>
        <x:v>1.0010983544</x:v>
      </x:c>
      <x:c r="AS31" s="46" t="str">
        <x:f>IF(OR(X31="",Y31=""),"",ABS(Y31-X31)*'Readme-Protocol'!$B$27)</x:f>
      </x:c>
      <x:c r="AT31" s="49" t="b">
        <x:f>AND(M31&gt;0,N31&gt;=0,O31&gt;0)</x:f>
        <x:v>1</x:v>
      </x:c>
      <x:c r="AU31" s="49" t="b">
        <x:f>AND(AT31,N31&gt;=M31)</x:f>
        <x:v>1</x:v>
      </x:c>
      <x:c r="AV31" s="49" t="b">
        <x:f>OR(S31=0,T31&gt;=S31)</x:f>
        <x:v>1</x:v>
      </x:c>
      <x:c r="AW31" s="49" t="b">
        <x:f>IF(I31="cache-semantics",OR(V31&lt;&gt;"uniform",ABS(Y31-W31/'Readme-Protocol'!$B$27)&lt;='Readme-Protocol'!$B$28),TRUE)</x:f>
        <x:v>1</x:v>
      </x:c>
      <x:c r="AX31" s="43" t="str">
        <x:f>IF(I31="cache-semantics",INT(AA31*'Readme-Protocol'!$B$32),"")</x:f>
      </x:c>
      <x:c r="AY31" s="49" t="b">
        <x:f>IF(I31="cache-semantics",AX31=AB31,TRUE)</x:f>
        <x:v>1</x:v>
      </x:c>
      <x:c r="AZ31" s="49" t="b">
        <x:f>IF(I31="cache-semantics",AX31=AE31,TRUE)</x:f>
        <x:v>1</x:v>
      </x:c>
      <x:c r="BA31" s="49" t="b">
        <x:f>IF(I31="cache-semantics",AC31&gt;=AX31,IF(I31="no-store-control",AC31=0,FALSE))</x:f>
        <x:v>1</x:v>
      </x:c>
      <x:c r="BB31" s="49" t="b">
        <x:f>IF(I31="cache-semantics",AG31&gt;=AX31,IF(I31="no-store-control",AG31=0,FALSE))</x:f>
        <x:v>1</x:v>
      </x:c>
      <x:c r="BC31" s="49" t="b">
        <x:f>AND(BA31,BB31)</x:f>
        <x:v>1</x:v>
      </x:c>
      <x:c r="BD31" s="49" t="b">
        <x:f>IF(I31="no-store-control",AND(AC31=0,AG31=0),TRUE)</x:f>
        <x:v>1</x:v>
      </x:c>
      <x:c r="BE31" s="49" t="b">
        <x:f>IF(I31="no-store-control",AK31=0,TRUE)</x:f>
        <x:v>1</x:v>
      </x:c>
      <x:c r="BF31" s="49" t="b">
        <x:f>IF(I31="cache-semantics",AN31=1,TRUE)</x:f>
        <x:v>1</x:v>
      </x:c>
      <x:c r="BG31" s="49" t="b">
        <x:f>IF(I31="cache-semantics",AND(AU31,AV31,Q31,AW31,BC31,BF31),IF(I31="no-store-control",AND(AU31,AV31,Q31,BD31,BE31),FALSE))</x:f>
        <x:v>1</x:v>
      </x:c>
      <x:c r="BH31" s="49" t="b">
        <x:f>AND(R31,AT31=P31,AU31=L31,AV31=U31,AY31,AZ31,IF(I31="cache-semantics",AND(AW31=Z31,AND(BA31=AD31,BB31=AH31,BC31=AI31),BF31=AO31),IF(I31="no-store-control",AND(AND(BA31=AD31,BB31=AH31,BC31=AI31),BD31=AJ31,BE31=AL31),FALSE)),BG31=AP31)</x:f>
        <x:v>1</x:v>
      </x:c>
      <x:c r="BI31" s="49" t="b">
        <x:f>AND(J31,K31,BG31)</x:f>
        <x:v>0</x:v>
      </x:c>
    </x:row>
    <x:row r="32">
      <x:c r="A32" s="34" t="str">
        <x:v>article1-unified-v4-2-fb3f101b-20260903-000401-default-f01-p4-cache2k</x:v>
      </x:c>
      <x:c r="B32" s="34" t="str">
        <x:v>default</x:v>
      </x:c>
      <x:c r="C32" s="34" t="str">
        <x:v>cache2k</x:v>
      </x:c>
      <x:c r="D32" s="36" t="n">
        <x:v>1</x:v>
      </x:c>
      <x:c r="E32" s="36" t="n">
        <x:v>1</x:v>
      </x:c>
      <x:c r="F32" s="36" t="n">
        <x:v>4</x:v>
      </x:c>
      <x:c r="G32" s="36" t="n">
        <x:v>1</x:v>
      </x:c>
      <x:c r="H32" s="34" t="str">
        <x:v>initial</x:v>
      </x:c>
      <x:c r="I32" s="34" t="str">
        <x:v>cache-semantics</x:v>
      </x:c>
      <x:c r="J32" s="45" t="b">
        <x:v>1</x:v>
      </x:c>
      <x:c r="K32" s="45" t="b">
        <x:v>1</x:v>
      </x:c>
      <x:c r="L32" s="45" t="b">
        <x:v>1</x:v>
      </x:c>
      <x:c r="M32" s="43" t="n">
        <x:v>400000</x:v>
      </x:c>
      <x:c r="N32" s="43" t="n">
        <x:v>151060992</x:v>
      </x:c>
      <x:c r="O32" s="43" t="n">
        <x:v>30183092.686770067</x:v>
      </x:c>
      <x:c r="P32" s="45" t="b">
        <x:v>1</x:v>
      </x:c>
      <x:c r="Q32" s="45" t="b">
        <x:v>1</x:v>
      </x:c>
      <x:c r="R32" s="45" t="b">
        <x:v>1</x:v>
      </x:c>
      <x:c r="S32" s="43" t="n">
        <x:v>5000000000</x:v>
      </x:c>
      <x:c r="T32" s="43" t="n">
        <x:v>5004821526</x:v>
      </x:c>
      <x:c r="U32" s="45" t="b">
        <x:v>1</x:v>
      </x:c>
      <x:c r="V32" s="34" t="str">
        <x:v>uniform</x:v>
      </x:c>
      <x:c r="W32" s="42" t="n">
        <x:v>95</x:v>
      </x:c>
      <x:c r="X32" s="48" t="n">
        <x:v>0.95</x:v>
      </x:c>
      <x:c r="Y32" s="48" t="n">
        <x:v>0.947603746703848</x:v>
      </x:c>
      <x:c r="Z32" s="45" t="b">
        <x:v>1</x:v>
      </x:c>
      <x:c r="AA32" s="43" t="n">
        <x:v>10000</x:v>
      </x:c>
      <x:c r="AB32" s="43" t="n">
        <x:v>9900</x:v>
      </x:c>
      <x:c r="AC32" s="43" t="n">
        <x:v>9979</x:v>
      </x:c>
      <x:c r="AD32" s="45" t="b">
        <x:v>1</x:v>
      </x:c>
      <x:c r="AE32" s="43" t="n">
        <x:v>9900</x:v>
      </x:c>
      <x:c r="AF32" s="43"/>
      <x:c r="AG32" s="43" t="n">
        <x:v>9993</x:v>
      </x:c>
      <x:c r="AH32" s="45" t="b">
        <x:v>1</x:v>
      </x:c>
      <x:c r="AI32" s="45" t="b">
        <x:v>1</x:v>
      </x:c>
      <x:c r="AJ32" s="49"/>
      <x:c r="AK32" s="48" t="n">
        <x:v>0.947603746703848</x:v>
      </x:c>
      <x:c r="AL32" s="49"/>
      <x:c r="AM32" s="49"/>
      <x:c r="AN32" s="36" t="n">
        <x:v>1</x:v>
      </x:c>
      <x:c r="AO32" s="45" t="b">
        <x:v>1</x:v>
      </x:c>
      <x:c r="AP32" s="45" t="b">
        <x:v>1</x:v>
      </x:c>
      <x:c r="AQ32" s="46" t="n">
        <x:f>IF(T32="","",T32/'Readme-Protocol'!$B$24)</x:f>
        <x:v>5.004821526</x:v>
      </x:c>
      <x:c r="AR32" s="46" t="n">
        <x:f>IF(OR(S32="",S32=0),"",T32/S32)</x:f>
        <x:v>1.0009643052</x:v>
      </x:c>
      <x:c r="AS32" s="46" t="n">
        <x:f>IF(OR(X32="",Y32=""),"",ABS(Y32-X32)*'Readme-Protocol'!$B$27)</x:f>
        <x:v>0.23962532961520067</x:v>
      </x:c>
      <x:c r="AT32" s="49" t="b">
        <x:f>AND(M32&gt;0,N32&gt;=0,O32&gt;0)</x:f>
        <x:v>1</x:v>
      </x:c>
      <x:c r="AU32" s="49" t="b">
        <x:f>AND(AT32,N32&gt;=M32)</x:f>
        <x:v>1</x:v>
      </x:c>
      <x:c r="AV32" s="49" t="b">
        <x:f>OR(S32=0,T32&gt;=S32)</x:f>
        <x:v>1</x:v>
      </x:c>
      <x:c r="AW32" s="49" t="b">
        <x:f>IF(I32="cache-semantics",OR(V32&lt;&gt;"uniform",ABS(Y32-W32/'Readme-Protocol'!$B$27)&lt;='Readme-Protocol'!$B$28),TRUE)</x:f>
        <x:v>1</x:v>
      </x:c>
      <x:c r="AX32" s="43" t="n">
        <x:f>IF(I32="cache-semantics",INT(AA32*'Readme-Protocol'!$B$32),"")</x:f>
        <x:v>9900</x:v>
      </x:c>
      <x:c r="AY32" s="49" t="b">
        <x:f>IF(I32="cache-semantics",AX32=AB32,TRUE)</x:f>
        <x:v>1</x:v>
      </x:c>
      <x:c r="AZ32" s="49" t="b">
        <x:f>IF(I32="cache-semantics",AX32=AE32,TRUE)</x:f>
        <x:v>1</x:v>
      </x:c>
      <x:c r="BA32" s="49" t="b">
        <x:f>IF(I32="cache-semantics",AC32&gt;=AX32,IF(I32="no-store-control",AC32=0,FALSE))</x:f>
        <x:v>1</x:v>
      </x:c>
      <x:c r="BB32" s="49" t="b">
        <x:f>IF(I32="cache-semantics",AG32&gt;=AX32,IF(I32="no-store-control",AG32=0,FALSE))</x:f>
        <x:v>1</x:v>
      </x:c>
      <x:c r="BC32" s="49" t="b">
        <x:f>AND(BA32,BB32)</x:f>
        <x:v>1</x:v>
      </x:c>
      <x:c r="BD32" s="49" t="b">
        <x:f>IF(I32="no-store-control",AND(AC32=0,AG32=0),TRUE)</x:f>
        <x:v>1</x:v>
      </x:c>
      <x:c r="BE32" s="49" t="b">
        <x:f>IF(I32="no-store-control",AK32=0,TRUE)</x:f>
        <x:v>1</x:v>
      </x:c>
      <x:c r="BF32" s="49" t="b">
        <x:f>IF(I32="cache-semantics",AN32=1,TRUE)</x:f>
        <x:v>1</x:v>
      </x:c>
      <x:c r="BG32" s="49" t="b">
        <x:f>IF(I32="cache-semantics",AND(AU32,AV32,Q32,AW32,BC32,BF32),IF(I32="no-store-control",AND(AU32,AV32,Q32,BD32,BE32),FALSE))</x:f>
        <x:v>1</x:v>
      </x:c>
      <x:c r="BH32" s="49" t="b">
        <x:f>AND(R32,AT32=P32,AU32=L32,AV32=U32,AY32,AZ32,IF(I32="cache-semantics",AND(AW32=Z32,AND(BA32=AD32,BB32=AH32,BC32=AI32),BF32=AO32),IF(I32="no-store-control",AND(AND(BA32=AD32,BB32=AH32,BC32=AI32),BD32=AJ32,BE32=AL32),FALSE)),BG32=AP32)</x:f>
        <x:v>1</x:v>
      </x:c>
      <x:c r="BI32" s="49" t="b">
        <x:f>AND(J32,K32,BG32)</x:f>
        <x:v>1</x:v>
      </x:c>
    </x:row>
    <x:row r="33">
      <x:c r="A33" s="34" t="str">
        <x:v>article1-unified-v4-2-fb3f101b-20260903-000401-default-f01-p4-cache2k</x:v>
      </x:c>
      <x:c r="B33" s="34" t="str">
        <x:v>default</x:v>
      </x:c>
      <x:c r="C33" s="34" t="str">
        <x:v>cache2k</x:v>
      </x:c>
      <x:c r="D33" s="36" t="n">
        <x:v>1</x:v>
      </x:c>
      <x:c r="E33" s="36" t="n">
        <x:v>1</x:v>
      </x:c>
      <x:c r="F33" s="36" t="n">
        <x:v>4</x:v>
      </x:c>
      <x:c r="G33" s="36" t="n">
        <x:v>1</x:v>
      </x:c>
      <x:c r="H33" s="34" t="str">
        <x:v>redeploy</x:v>
      </x:c>
      <x:c r="I33" s="34" t="str">
        <x:v>cache-semantics</x:v>
      </x:c>
      <x:c r="J33" s="45" t="b">
        <x:v>1</x:v>
      </x:c>
      <x:c r="K33" s="45" t="b">
        <x:v>1</x:v>
      </x:c>
      <x:c r="L33" s="45" t="b">
        <x:v>1</x:v>
      </x:c>
      <x:c r="M33" s="43" t="n">
        <x:v>400000</x:v>
      </x:c>
      <x:c r="N33" s="43" t="n">
        <x:v>153852416</x:v>
      </x:c>
      <x:c r="O33" s="43" t="n">
        <x:v>30748390.297081206</x:v>
      </x:c>
      <x:c r="P33" s="45" t="b">
        <x:v>1</x:v>
      </x:c>
      <x:c r="Q33" s="45" t="b">
        <x:v>1</x:v>
      </x:c>
      <x:c r="R33" s="45" t="b">
        <x:v>1</x:v>
      </x:c>
      <x:c r="S33" s="43" t="n">
        <x:v>5000000000</x:v>
      </x:c>
      <x:c r="T33" s="43" t="n">
        <x:v>5003592530</x:v>
      </x:c>
      <x:c r="U33" s="45" t="b">
        <x:v>1</x:v>
      </x:c>
      <x:c r="V33" s="34" t="str">
        <x:v>uniform</x:v>
      </x:c>
      <x:c r="W33" s="42" t="n">
        <x:v>95</x:v>
      </x:c>
      <x:c r="X33" s="48" t="n">
        <x:v>0.95</x:v>
      </x:c>
      <x:c r="Y33" s="48" t="n">
        <x:v>0.947597241501882</x:v>
      </x:c>
      <x:c r="Z33" s="45" t="b">
        <x:v>1</x:v>
      </x:c>
      <x:c r="AA33" s="43" t="n">
        <x:v>10000</x:v>
      </x:c>
      <x:c r="AB33" s="43" t="n">
        <x:v>9900</x:v>
      </x:c>
      <x:c r="AC33" s="43" t="n">
        <x:v>9979</x:v>
      </x:c>
      <x:c r="AD33" s="45" t="b">
        <x:v>1</x:v>
      </x:c>
      <x:c r="AE33" s="43" t="n">
        <x:v>9900</x:v>
      </x:c>
      <x:c r="AF33" s="43"/>
      <x:c r="AG33" s="43" t="n">
        <x:v>9993</x:v>
      </x:c>
      <x:c r="AH33" s="45" t="b">
        <x:v>1</x:v>
      </x:c>
      <x:c r="AI33" s="45" t="b">
        <x:v>1</x:v>
      </x:c>
      <x:c r="AJ33" s="49"/>
      <x:c r="AK33" s="48" t="n">
        <x:v>0.947597241501882</x:v>
      </x:c>
      <x:c r="AL33" s="49"/>
      <x:c r="AM33" s="49"/>
      <x:c r="AN33" s="36" t="n">
        <x:v>1</x:v>
      </x:c>
      <x:c r="AO33" s="45" t="b">
        <x:v>1</x:v>
      </x:c>
      <x:c r="AP33" s="45" t="b">
        <x:v>1</x:v>
      </x:c>
      <x:c r="AQ33" s="46" t="n">
        <x:f>IF(T33="","",T33/'Readme-Protocol'!$B$24)</x:f>
        <x:v>5.00359253</x:v>
      </x:c>
      <x:c r="AR33" s="46" t="n">
        <x:f>IF(OR(S33="",S33=0),"",T33/S33)</x:f>
        <x:v>1.000718506</x:v>
      </x:c>
      <x:c r="AS33" s="46" t="n">
        <x:f>IF(OR(X33="",Y33=""),"",ABS(Y33-X33)*'Readme-Protocol'!$B$27)</x:f>
        <x:v>0.2402758498117996</x:v>
      </x:c>
      <x:c r="AT33" s="49" t="b">
        <x:f>AND(M33&gt;0,N33&gt;=0,O33&gt;0)</x:f>
        <x:v>1</x:v>
      </x:c>
      <x:c r="AU33" s="49" t="b">
        <x:f>AND(AT33,N33&gt;=M33)</x:f>
        <x:v>1</x:v>
      </x:c>
      <x:c r="AV33" s="49" t="b">
        <x:f>OR(S33=0,T33&gt;=S33)</x:f>
        <x:v>1</x:v>
      </x:c>
      <x:c r="AW33" s="49" t="b">
        <x:f>IF(I33="cache-semantics",OR(V33&lt;&gt;"uniform",ABS(Y33-W33/'Readme-Protocol'!$B$27)&lt;='Readme-Protocol'!$B$28),TRUE)</x:f>
        <x:v>1</x:v>
      </x:c>
      <x:c r="AX33" s="43" t="n">
        <x:f>IF(I33="cache-semantics",INT(AA33*'Readme-Protocol'!$B$32),"")</x:f>
        <x:v>9900</x:v>
      </x:c>
      <x:c r="AY33" s="49" t="b">
        <x:f>IF(I33="cache-semantics",AX33=AB33,TRUE)</x:f>
        <x:v>1</x:v>
      </x:c>
      <x:c r="AZ33" s="49" t="b">
        <x:f>IF(I33="cache-semantics",AX33=AE33,TRUE)</x:f>
        <x:v>1</x:v>
      </x:c>
      <x:c r="BA33" s="49" t="b">
        <x:f>IF(I33="cache-semantics",AC33&gt;=AX33,IF(I33="no-store-control",AC33=0,FALSE))</x:f>
        <x:v>1</x:v>
      </x:c>
      <x:c r="BB33" s="49" t="b">
        <x:f>IF(I33="cache-semantics",AG33&gt;=AX33,IF(I33="no-store-control",AG33=0,FALSE))</x:f>
        <x:v>1</x:v>
      </x:c>
      <x:c r="BC33" s="49" t="b">
        <x:f>AND(BA33,BB33)</x:f>
        <x:v>1</x:v>
      </x:c>
      <x:c r="BD33" s="49" t="b">
        <x:f>IF(I33="no-store-control",AND(AC33=0,AG33=0),TRUE)</x:f>
        <x:v>1</x:v>
      </x:c>
      <x:c r="BE33" s="49" t="b">
        <x:f>IF(I33="no-store-control",AK33=0,TRUE)</x:f>
        <x:v>1</x:v>
      </x:c>
      <x:c r="BF33" s="49" t="b">
        <x:f>IF(I33="cache-semantics",AN33=1,TRUE)</x:f>
        <x:v>1</x:v>
      </x:c>
      <x:c r="BG33" s="49" t="b">
        <x:f>IF(I33="cache-semantics",AND(AU33,AV33,Q33,AW33,BC33,BF33),IF(I33="no-store-control",AND(AU33,AV33,Q33,BD33,BE33),FALSE))</x:f>
        <x:v>1</x:v>
      </x:c>
      <x:c r="BH33" s="49" t="b">
        <x:f>AND(R33,AT33=P33,AU33=L33,AV33=U33,AY33,AZ33,IF(I33="cache-semantics",AND(AW33=Z33,AND(BA33=AD33,BB33=AH33,BC33=AI33),BF33=AO33),IF(I33="no-store-control",AND(AND(BA33=AD33,BB33=AH33,BC33=AI33),BD33=AJ33,BE33=AL33),FALSE)),BG33=AP33)</x:f>
        <x:v>1</x:v>
      </x:c>
      <x:c r="BI33" s="49" t="b">
        <x:f>AND(J33,K33,BG33)</x:f>
        <x:v>1</x:v>
      </x:c>
    </x:row>
    <x:row r="34">
      <x:c r="A34" s="34" t="str">
        <x:v>article1-unified-v4-2-fb3f101b-20260903-000401-default-f01-p4-cache2k</x:v>
      </x:c>
      <x:c r="B34" s="34" t="str">
        <x:v>default</x:v>
      </x:c>
      <x:c r="C34" s="34" t="str">
        <x:v>cache2k</x:v>
      </x:c>
      <x:c r="D34" s="36" t="n">
        <x:v>1</x:v>
      </x:c>
      <x:c r="E34" s="36" t="n">
        <x:v>1</x:v>
      </x:c>
      <x:c r="F34" s="36" t="n">
        <x:v>4</x:v>
      </x:c>
      <x:c r="G34" s="36" t="n">
        <x:v>2</x:v>
      </x:c>
      <x:c r="H34" s="34" t="str">
        <x:v>initial</x:v>
      </x:c>
      <x:c r="I34" s="34" t="str">
        <x:v>cache-semantics</x:v>
      </x:c>
      <x:c r="J34" s="45" t="b">
        <x:v>1</x:v>
      </x:c>
      <x:c r="K34" s="45" t="b">
        <x:v>1</x:v>
      </x:c>
      <x:c r="L34" s="45" t="b">
        <x:v>1</x:v>
      </x:c>
      <x:c r="M34" s="43" t="n">
        <x:v>400000</x:v>
      </x:c>
      <x:c r="N34" s="43" t="n">
        <x:v>153775616</x:v>
      </x:c>
      <x:c r="O34" s="43" t="n">
        <x:v>30409487.391101297</x:v>
      </x:c>
      <x:c r="P34" s="45" t="b">
        <x:v>1</x:v>
      </x:c>
      <x:c r="Q34" s="45" t="b">
        <x:v>1</x:v>
      </x:c>
      <x:c r="R34" s="45" t="b">
        <x:v>1</x:v>
      </x:c>
      <x:c r="S34" s="43" t="n">
        <x:v>5000000000</x:v>
      </x:c>
      <x:c r="T34" s="43" t="n">
        <x:v>5056830259</x:v>
      </x:c>
      <x:c r="U34" s="45" t="b">
        <x:v>1</x:v>
      </x:c>
      <x:c r="V34" s="34" t="str">
        <x:v>uniform</x:v>
      </x:c>
      <x:c r="W34" s="42" t="n">
        <x:v>95</x:v>
      </x:c>
      <x:c r="X34" s="48" t="n">
        <x:v>0.95</x:v>
      </x:c>
      <x:c r="Y34" s="48" t="n">
        <x:v>0.9484430288349487</x:v>
      </x:c>
      <x:c r="Z34" s="45" t="b">
        <x:v>1</x:v>
      </x:c>
      <x:c r="AA34" s="43" t="n">
        <x:v>10000</x:v>
      </x:c>
      <x:c r="AB34" s="43" t="n">
        <x:v>9900</x:v>
      </x:c>
      <x:c r="AC34" s="43" t="n">
        <x:v>9979</x:v>
      </x:c>
      <x:c r="AD34" s="45" t="b">
        <x:v>1</x:v>
      </x:c>
      <x:c r="AE34" s="43" t="n">
        <x:v>9900</x:v>
      </x:c>
      <x:c r="AF34" s="43"/>
      <x:c r="AG34" s="43" t="n">
        <x:v>9996</x:v>
      </x:c>
      <x:c r="AH34" s="45" t="b">
        <x:v>1</x:v>
      </x:c>
      <x:c r="AI34" s="45" t="b">
        <x:v>1</x:v>
      </x:c>
      <x:c r="AJ34" s="49"/>
      <x:c r="AK34" s="48" t="n">
        <x:v>0.9484430288349487</x:v>
      </x:c>
      <x:c r="AL34" s="49"/>
      <x:c r="AM34" s="49"/>
      <x:c r="AN34" s="36" t="n">
        <x:v>1</x:v>
      </x:c>
      <x:c r="AO34" s="45" t="b">
        <x:v>1</x:v>
      </x:c>
      <x:c r="AP34" s="45" t="b">
        <x:v>1</x:v>
      </x:c>
      <x:c r="AQ34" s="46" t="n">
        <x:f>IF(T34="","",T34/'Readme-Protocol'!$B$24)</x:f>
        <x:v>5.056830259</x:v>
      </x:c>
      <x:c r="AR34" s="46" t="n">
        <x:f>IF(OR(S34="",S34=0),"",T34/S34)</x:f>
        <x:v>1.0113660518</x:v>
      </x:c>
      <x:c r="AS34" s="46" t="n">
        <x:f>IF(OR(X34="",Y34=""),"",ABS(Y34-X34)*'Readme-Protocol'!$B$27)</x:f>
        <x:v>0.15569711650512685</x:v>
      </x:c>
      <x:c r="AT34" s="49" t="b">
        <x:f>AND(M34&gt;0,N34&gt;=0,O34&gt;0)</x:f>
        <x:v>1</x:v>
      </x:c>
      <x:c r="AU34" s="49" t="b">
        <x:f>AND(AT34,N34&gt;=M34)</x:f>
        <x:v>1</x:v>
      </x:c>
      <x:c r="AV34" s="49" t="b">
        <x:f>OR(S34=0,T34&gt;=S34)</x:f>
        <x:v>1</x:v>
      </x:c>
      <x:c r="AW34" s="49" t="b">
        <x:f>IF(I34="cache-semantics",OR(V34&lt;&gt;"uniform",ABS(Y34-W34/'Readme-Protocol'!$B$27)&lt;='Readme-Protocol'!$B$28),TRUE)</x:f>
        <x:v>1</x:v>
      </x:c>
      <x:c r="AX34" s="43" t="n">
        <x:f>IF(I34="cache-semantics",INT(AA34*'Readme-Protocol'!$B$32),"")</x:f>
        <x:v>9900</x:v>
      </x:c>
      <x:c r="AY34" s="49" t="b">
        <x:f>IF(I34="cache-semantics",AX34=AB34,TRUE)</x:f>
        <x:v>1</x:v>
      </x:c>
      <x:c r="AZ34" s="49" t="b">
        <x:f>IF(I34="cache-semantics",AX34=AE34,TRUE)</x:f>
        <x:v>1</x:v>
      </x:c>
      <x:c r="BA34" s="49" t="b">
        <x:f>IF(I34="cache-semantics",AC34&gt;=AX34,IF(I34="no-store-control",AC34=0,FALSE))</x:f>
        <x:v>1</x:v>
      </x:c>
      <x:c r="BB34" s="49" t="b">
        <x:f>IF(I34="cache-semantics",AG34&gt;=AX34,IF(I34="no-store-control",AG34=0,FALSE))</x:f>
        <x:v>1</x:v>
      </x:c>
      <x:c r="BC34" s="49" t="b">
        <x:f>AND(BA34,BB34)</x:f>
        <x:v>1</x:v>
      </x:c>
      <x:c r="BD34" s="49" t="b">
        <x:f>IF(I34="no-store-control",AND(AC34=0,AG34=0),TRUE)</x:f>
        <x:v>1</x:v>
      </x:c>
      <x:c r="BE34" s="49" t="b">
        <x:f>IF(I34="no-store-control",AK34=0,TRUE)</x:f>
        <x:v>1</x:v>
      </x:c>
      <x:c r="BF34" s="49" t="b">
        <x:f>IF(I34="cache-semantics",AN34=1,TRUE)</x:f>
        <x:v>1</x:v>
      </x:c>
      <x:c r="BG34" s="49" t="b">
        <x:f>IF(I34="cache-semantics",AND(AU34,AV34,Q34,AW34,BC34,BF34),IF(I34="no-store-control",AND(AU34,AV34,Q34,BD34,BE34),FALSE))</x:f>
        <x:v>1</x:v>
      </x:c>
      <x:c r="BH34" s="49" t="b">
        <x:f>AND(R34,AT34=P34,AU34=L34,AV34=U34,AY34,AZ34,IF(I34="cache-semantics",AND(AW34=Z34,AND(BA34=AD34,BB34=AH34,BC34=AI34),BF34=AO34),IF(I34="no-store-control",AND(AND(BA34=AD34,BB34=AH34,BC34=AI34),BD34=AJ34,BE34=AL34),FALSE)),BG34=AP34)</x:f>
        <x:v>1</x:v>
      </x:c>
      <x:c r="BI34" s="49" t="b">
        <x:f>AND(J34,K34,BG34)</x:f>
        <x:v>1</x:v>
      </x:c>
    </x:row>
    <x:row r="35">
      <x:c r="A35" s="34" t="str">
        <x:v>article1-unified-v4-2-fb3f101b-20260903-000401-default-f01-p4-cache2k</x:v>
      </x:c>
      <x:c r="B35" s="34" t="str">
        <x:v>default</x:v>
      </x:c>
      <x:c r="C35" s="34" t="str">
        <x:v>cache2k</x:v>
      </x:c>
      <x:c r="D35" s="36" t="n">
        <x:v>1</x:v>
      </x:c>
      <x:c r="E35" s="36" t="n">
        <x:v>1</x:v>
      </x:c>
      <x:c r="F35" s="36" t="n">
        <x:v>4</x:v>
      </x:c>
      <x:c r="G35" s="36" t="n">
        <x:v>2</x:v>
      </x:c>
      <x:c r="H35" s="34" t="str">
        <x:v>redeploy</x:v>
      </x:c>
      <x:c r="I35" s="34" t="str">
        <x:v>cache-semantics</x:v>
      </x:c>
      <x:c r="J35" s="45" t="b">
        <x:v>1</x:v>
      </x:c>
      <x:c r="K35" s="45" t="b">
        <x:v>1</x:v>
      </x:c>
      <x:c r="L35" s="45" t="b">
        <x:v>1</x:v>
      </x:c>
      <x:c r="M35" s="43" t="n">
        <x:v>400000</x:v>
      </x:c>
      <x:c r="N35" s="43" t="n">
        <x:v>140993280</x:v>
      </x:c>
      <x:c r="O35" s="43" t="n">
        <x:v>28185452.15289101</x:v>
      </x:c>
      <x:c r="P35" s="45" t="b">
        <x:v>1</x:v>
      </x:c>
      <x:c r="Q35" s="45" t="b">
        <x:v>1</x:v>
      </x:c>
      <x:c r="R35" s="45" t="b">
        <x:v>1</x:v>
      </x:c>
      <x:c r="S35" s="43" t="n">
        <x:v>5000000000</x:v>
      </x:c>
      <x:c r="T35" s="43" t="n">
        <x:v>5002342316</x:v>
      </x:c>
      <x:c r="U35" s="45" t="b">
        <x:v>1</x:v>
      </x:c>
      <x:c r="V35" s="34" t="str">
        <x:v>uniform</x:v>
      </x:c>
      <x:c r="W35" s="42" t="n">
        <x:v>95</x:v>
      </x:c>
      <x:c r="X35" s="48" t="n">
        <x:v>0.95</x:v>
      </x:c>
      <x:c r="Y35" s="48" t="n">
        <x:v>0.9484397554266416</x:v>
      </x:c>
      <x:c r="Z35" s="45" t="b">
        <x:v>1</x:v>
      </x:c>
      <x:c r="AA35" s="43" t="n">
        <x:v>10000</x:v>
      </x:c>
      <x:c r="AB35" s="43" t="n">
        <x:v>9900</x:v>
      </x:c>
      <x:c r="AC35" s="43" t="n">
        <x:v>9979</x:v>
      </x:c>
      <x:c r="AD35" s="45" t="b">
        <x:v>1</x:v>
      </x:c>
      <x:c r="AE35" s="43" t="n">
        <x:v>9900</x:v>
      </x:c>
      <x:c r="AF35" s="43"/>
      <x:c r="AG35" s="43" t="n">
        <x:v>9996</x:v>
      </x:c>
      <x:c r="AH35" s="45" t="b">
        <x:v>1</x:v>
      </x:c>
      <x:c r="AI35" s="45" t="b">
        <x:v>1</x:v>
      </x:c>
      <x:c r="AJ35" s="49"/>
      <x:c r="AK35" s="48" t="n">
        <x:v>0.9484397554266416</x:v>
      </x:c>
      <x:c r="AL35" s="49"/>
      <x:c r="AM35" s="49"/>
      <x:c r="AN35" s="36" t="n">
        <x:v>1</x:v>
      </x:c>
      <x:c r="AO35" s="45" t="b">
        <x:v>1</x:v>
      </x:c>
      <x:c r="AP35" s="45" t="b">
        <x:v>1</x:v>
      </x:c>
      <x:c r="AQ35" s="46" t="n">
        <x:f>IF(T35="","",T35/'Readme-Protocol'!$B$24)</x:f>
        <x:v>5.002342316</x:v>
      </x:c>
      <x:c r="AR35" s="46" t="n">
        <x:f>IF(OR(S35="",S35=0),"",T35/S35)</x:f>
        <x:v>1.0004684632</x:v>
      </x:c>
      <x:c r="AS35" s="46" t="n">
        <x:f>IF(OR(X35="",Y35=""),"",ABS(Y35-X35)*'Readme-Protocol'!$B$27)</x:f>
        <x:v>0.15602445733583492</x:v>
      </x:c>
      <x:c r="AT35" s="49" t="b">
        <x:f>AND(M35&gt;0,N35&gt;=0,O35&gt;0)</x:f>
        <x:v>1</x:v>
      </x:c>
      <x:c r="AU35" s="49" t="b">
        <x:f>AND(AT35,N35&gt;=M35)</x:f>
        <x:v>1</x:v>
      </x:c>
      <x:c r="AV35" s="49" t="b">
        <x:f>OR(S35=0,T35&gt;=S35)</x:f>
        <x:v>1</x:v>
      </x:c>
      <x:c r="AW35" s="49" t="b">
        <x:f>IF(I35="cache-semantics",OR(V35&lt;&gt;"uniform",ABS(Y35-W35/'Readme-Protocol'!$B$27)&lt;='Readme-Protocol'!$B$28),TRUE)</x:f>
        <x:v>1</x:v>
      </x:c>
      <x:c r="AX35" s="43" t="n">
        <x:f>IF(I35="cache-semantics",INT(AA35*'Readme-Protocol'!$B$32),"")</x:f>
        <x:v>9900</x:v>
      </x:c>
      <x:c r="AY35" s="49" t="b">
        <x:f>IF(I35="cache-semantics",AX35=AB35,TRUE)</x:f>
        <x:v>1</x:v>
      </x:c>
      <x:c r="AZ35" s="49" t="b">
        <x:f>IF(I35="cache-semantics",AX35=AE35,TRUE)</x:f>
        <x:v>1</x:v>
      </x:c>
      <x:c r="BA35" s="49" t="b">
        <x:f>IF(I35="cache-semantics",AC35&gt;=AX35,IF(I35="no-store-control",AC35=0,FALSE))</x:f>
        <x:v>1</x:v>
      </x:c>
      <x:c r="BB35" s="49" t="b">
        <x:f>IF(I35="cache-semantics",AG35&gt;=AX35,IF(I35="no-store-control",AG35=0,FALSE))</x:f>
        <x:v>1</x:v>
      </x:c>
      <x:c r="BC35" s="49" t="b">
        <x:f>AND(BA35,BB35)</x:f>
        <x:v>1</x:v>
      </x:c>
      <x:c r="BD35" s="49" t="b">
        <x:f>IF(I35="no-store-control",AND(AC35=0,AG35=0),TRUE)</x:f>
        <x:v>1</x:v>
      </x:c>
      <x:c r="BE35" s="49" t="b">
        <x:f>IF(I35="no-store-control",AK35=0,TRUE)</x:f>
        <x:v>1</x:v>
      </x:c>
      <x:c r="BF35" s="49" t="b">
        <x:f>IF(I35="cache-semantics",AN35=1,TRUE)</x:f>
        <x:v>1</x:v>
      </x:c>
      <x:c r="BG35" s="49" t="b">
        <x:f>IF(I35="cache-semantics",AND(AU35,AV35,Q35,AW35,BC35,BF35),IF(I35="no-store-control",AND(AU35,AV35,Q35,BD35,BE35),FALSE))</x:f>
        <x:v>1</x:v>
      </x:c>
      <x:c r="BH35" s="49" t="b">
        <x:f>AND(R35,AT35=P35,AU35=L35,AV35=U35,AY35,AZ35,IF(I35="cache-semantics",AND(AW35=Z35,AND(BA35=AD35,BB35=AH35,BC35=AI35),BF35=AO35),IF(I35="no-store-control",AND(AND(BA35=AD35,BB35=AH35,BC35=AI35),BD35=AJ35,BE35=AL35),FALSE)),BG35=AP35)</x:f>
        <x:v>1</x:v>
      </x:c>
      <x:c r="BI35" s="49" t="b">
        <x:f>AND(J35,K35,BG35)</x:f>
        <x:v>1</x:v>
      </x:c>
    </x:row>
    <x:row r="36">
      <x:c r="A36" s="34" t="str">
        <x:v>article1-unified-v4-2-fb3f101b-20260903-000401-default-f01-p4-cache2k</x:v>
      </x:c>
      <x:c r="B36" s="34" t="str">
        <x:v>default</x:v>
      </x:c>
      <x:c r="C36" s="34" t="str">
        <x:v>cache2k</x:v>
      </x:c>
      <x:c r="D36" s="36" t="n">
        <x:v>1</x:v>
      </x:c>
      <x:c r="E36" s="36" t="n">
        <x:v>1</x:v>
      </x:c>
      <x:c r="F36" s="36" t="n">
        <x:v>4</x:v>
      </x:c>
      <x:c r="G36" s="36" t="n">
        <x:v>3</x:v>
      </x:c>
      <x:c r="H36" s="34" t="str">
        <x:v>initial</x:v>
      </x:c>
      <x:c r="I36" s="34" t="str">
        <x:v>cache-semantics</x:v>
      </x:c>
      <x:c r="J36" s="45" t="b">
        <x:v>1</x:v>
      </x:c>
      <x:c r="K36" s="45" t="b">
        <x:v>1</x:v>
      </x:c>
      <x:c r="L36" s="45" t="b">
        <x:v>1</x:v>
      </x:c>
      <x:c r="M36" s="43" t="n">
        <x:v>400000</x:v>
      </x:c>
      <x:c r="N36" s="43" t="n">
        <x:v>144398080</x:v>
      </x:c>
      <x:c r="O36" s="43" t="n">
        <x:v>28865870.43043782</x:v>
      </x:c>
      <x:c r="P36" s="45" t="b">
        <x:v>1</x:v>
      </x:c>
      <x:c r="Q36" s="45" t="b">
        <x:v>1</x:v>
      </x:c>
      <x:c r="R36" s="45" t="b">
        <x:v>1</x:v>
      </x:c>
      <x:c r="S36" s="43" t="n">
        <x:v>5000000000</x:v>
      </x:c>
      <x:c r="T36" s="43" t="n">
        <x:v>5002380938</x:v>
      </x:c>
      <x:c r="U36" s="45" t="b">
        <x:v>1</x:v>
      </x:c>
      <x:c r="V36" s="34" t="str">
        <x:v>uniform</x:v>
      </x:c>
      <x:c r="W36" s="42" t="n">
        <x:v>95</x:v>
      </x:c>
      <x:c r="X36" s="48" t="n">
        <x:v>0.95</x:v>
      </x:c>
      <x:c r="Y36" s="48" t="n">
        <x:v>0.9479537747316308</x:v>
      </x:c>
      <x:c r="Z36" s="45" t="b">
        <x:v>1</x:v>
      </x:c>
      <x:c r="AA36" s="43" t="n">
        <x:v>10000</x:v>
      </x:c>
      <x:c r="AB36" s="43" t="n">
        <x:v>9900</x:v>
      </x:c>
      <x:c r="AC36" s="43" t="n">
        <x:v>9979</x:v>
      </x:c>
      <x:c r="AD36" s="45" t="b">
        <x:v>1</x:v>
      </x:c>
      <x:c r="AE36" s="43" t="n">
        <x:v>9900</x:v>
      </x:c>
      <x:c r="AF36" s="43"/>
      <x:c r="AG36" s="43" t="n">
        <x:v>9993</x:v>
      </x:c>
      <x:c r="AH36" s="45" t="b">
        <x:v>1</x:v>
      </x:c>
      <x:c r="AI36" s="45" t="b">
        <x:v>1</x:v>
      </x:c>
      <x:c r="AJ36" s="49"/>
      <x:c r="AK36" s="48" t="n">
        <x:v>0.9479537747316308</x:v>
      </x:c>
      <x:c r="AL36" s="49"/>
      <x:c r="AM36" s="49"/>
      <x:c r="AN36" s="36" t="n">
        <x:v>1</x:v>
      </x:c>
      <x:c r="AO36" s="45" t="b">
        <x:v>1</x:v>
      </x:c>
      <x:c r="AP36" s="45" t="b">
        <x:v>1</x:v>
      </x:c>
      <x:c r="AQ36" s="46" t="n">
        <x:f>IF(T36="","",T36/'Readme-Protocol'!$B$24)</x:f>
        <x:v>5.002380938</x:v>
      </x:c>
      <x:c r="AR36" s="46" t="n">
        <x:f>IF(OR(S36="",S36=0),"",T36/S36)</x:f>
        <x:v>1.0004761876</x:v>
      </x:c>
      <x:c r="AS36" s="46" t="n">
        <x:f>IF(OR(X36="",Y36=""),"",ABS(Y36-X36)*'Readme-Protocol'!$B$27)</x:f>
        <x:v>0.20462252683691728</x:v>
      </x:c>
      <x:c r="AT36" s="49" t="b">
        <x:f>AND(M36&gt;0,N36&gt;=0,O36&gt;0)</x:f>
        <x:v>1</x:v>
      </x:c>
      <x:c r="AU36" s="49" t="b">
        <x:f>AND(AT36,N36&gt;=M36)</x:f>
        <x:v>1</x:v>
      </x:c>
      <x:c r="AV36" s="49" t="b">
        <x:f>OR(S36=0,T36&gt;=S36)</x:f>
        <x:v>1</x:v>
      </x:c>
      <x:c r="AW36" s="49" t="b">
        <x:f>IF(I36="cache-semantics",OR(V36&lt;&gt;"uniform",ABS(Y36-W36/'Readme-Protocol'!$B$27)&lt;='Readme-Protocol'!$B$28),TRUE)</x:f>
        <x:v>1</x:v>
      </x:c>
      <x:c r="AX36" s="43" t="n">
        <x:f>IF(I36="cache-semantics",INT(AA36*'Readme-Protocol'!$B$32),"")</x:f>
        <x:v>9900</x:v>
      </x:c>
      <x:c r="AY36" s="49" t="b">
        <x:f>IF(I36="cache-semantics",AX36=AB36,TRUE)</x:f>
        <x:v>1</x:v>
      </x:c>
      <x:c r="AZ36" s="49" t="b">
        <x:f>IF(I36="cache-semantics",AX36=AE36,TRUE)</x:f>
        <x:v>1</x:v>
      </x:c>
      <x:c r="BA36" s="49" t="b">
        <x:f>IF(I36="cache-semantics",AC36&gt;=AX36,IF(I36="no-store-control",AC36=0,FALSE))</x:f>
        <x:v>1</x:v>
      </x:c>
      <x:c r="BB36" s="49" t="b">
        <x:f>IF(I36="cache-semantics",AG36&gt;=AX36,IF(I36="no-store-control",AG36=0,FALSE))</x:f>
        <x:v>1</x:v>
      </x:c>
      <x:c r="BC36" s="49" t="b">
        <x:f>AND(BA36,BB36)</x:f>
        <x:v>1</x:v>
      </x:c>
      <x:c r="BD36" s="49" t="b">
        <x:f>IF(I36="no-store-control",AND(AC36=0,AG36=0),TRUE)</x:f>
        <x:v>1</x:v>
      </x:c>
      <x:c r="BE36" s="49" t="b">
        <x:f>IF(I36="no-store-control",AK36=0,TRUE)</x:f>
        <x:v>1</x:v>
      </x:c>
      <x:c r="BF36" s="49" t="b">
        <x:f>IF(I36="cache-semantics",AN36=1,TRUE)</x:f>
        <x:v>1</x:v>
      </x:c>
      <x:c r="BG36" s="49" t="b">
        <x:f>IF(I36="cache-semantics",AND(AU36,AV36,Q36,AW36,BC36,BF36),IF(I36="no-store-control",AND(AU36,AV36,Q36,BD36,BE36),FALSE))</x:f>
        <x:v>1</x:v>
      </x:c>
      <x:c r="BH36" s="49" t="b">
        <x:f>AND(R36,AT36=P36,AU36=L36,AV36=U36,AY36,AZ36,IF(I36="cache-semantics",AND(AW36=Z36,AND(BA36=AD36,BB36=AH36,BC36=AI36),BF36=AO36),IF(I36="no-store-control",AND(AND(BA36=AD36,BB36=AH36,BC36=AI36),BD36=AJ36,BE36=AL36),FALSE)),BG36=AP36)</x:f>
        <x:v>1</x:v>
      </x:c>
      <x:c r="BI36" s="49" t="b">
        <x:f>AND(J36,K36,BG36)</x:f>
        <x:v>1</x:v>
      </x:c>
    </x:row>
    <x:row r="37">
      <x:c r="A37" s="34" t="str">
        <x:v>article1-unified-v4-2-fb3f101b-20260903-000401-default-f01-p4-cache2k</x:v>
      </x:c>
      <x:c r="B37" s="34" t="str">
        <x:v>default</x:v>
      </x:c>
      <x:c r="C37" s="34" t="str">
        <x:v>cache2k</x:v>
      </x:c>
      <x:c r="D37" s="36" t="n">
        <x:v>1</x:v>
      </x:c>
      <x:c r="E37" s="36" t="n">
        <x:v>1</x:v>
      </x:c>
      <x:c r="F37" s="36" t="n">
        <x:v>4</x:v>
      </x:c>
      <x:c r="G37" s="36" t="n">
        <x:v>3</x:v>
      </x:c>
      <x:c r="H37" s="34" t="str">
        <x:v>redeploy</x:v>
      </x:c>
      <x:c r="I37" s="34" t="str">
        <x:v>cache-semantics</x:v>
      </x:c>
      <x:c r="J37" s="45" t="b">
        <x:v>1</x:v>
      </x:c>
      <x:c r="K37" s="45" t="b">
        <x:v>1</x:v>
      </x:c>
      <x:c r="L37" s="45" t="b">
        <x:v>1</x:v>
      </x:c>
      <x:c r="M37" s="43" t="n">
        <x:v>400000</x:v>
      </x:c>
      <x:c r="N37" s="43" t="n">
        <x:v>159457792</x:v>
      </x:c>
      <x:c r="O37" s="43" t="n">
        <x:v>31872765.439801216</x:v>
      </x:c>
      <x:c r="P37" s="45" t="b">
        <x:v>1</x:v>
      </x:c>
      <x:c r="Q37" s="45" t="b">
        <x:v>1</x:v>
      </x:c>
      <x:c r="R37" s="45" t="b">
        <x:v>1</x:v>
      </x:c>
      <x:c r="S37" s="43" t="n">
        <x:v>5000000000</x:v>
      </x:c>
      <x:c r="T37" s="43" t="n">
        <x:v>5002948122</x:v>
      </x:c>
      <x:c r="U37" s="45" t="b">
        <x:v>1</x:v>
      </x:c>
      <x:c r="V37" s="34" t="str">
        <x:v>uniform</x:v>
      </x:c>
      <x:c r="W37" s="42" t="n">
        <x:v>95</x:v>
      </x:c>
      <x:c r="X37" s="48" t="n">
        <x:v>0.95</x:v>
      </x:c>
      <x:c r="Y37" s="48" t="n">
        <x:v>0.9479361221808464</x:v>
      </x:c>
      <x:c r="Z37" s="45" t="b">
        <x:v>1</x:v>
      </x:c>
      <x:c r="AA37" s="43" t="n">
        <x:v>10000</x:v>
      </x:c>
      <x:c r="AB37" s="43" t="n">
        <x:v>9900</x:v>
      </x:c>
      <x:c r="AC37" s="43" t="n">
        <x:v>9979</x:v>
      </x:c>
      <x:c r="AD37" s="45" t="b">
        <x:v>1</x:v>
      </x:c>
      <x:c r="AE37" s="43" t="n">
        <x:v>9900</x:v>
      </x:c>
      <x:c r="AF37" s="43"/>
      <x:c r="AG37" s="43" t="n">
        <x:v>9991</x:v>
      </x:c>
      <x:c r="AH37" s="45" t="b">
        <x:v>1</x:v>
      </x:c>
      <x:c r="AI37" s="45" t="b">
        <x:v>1</x:v>
      </x:c>
      <x:c r="AJ37" s="49"/>
      <x:c r="AK37" s="48" t="n">
        <x:v>0.9479361221808464</x:v>
      </x:c>
      <x:c r="AL37" s="49"/>
      <x:c r="AM37" s="49"/>
      <x:c r="AN37" s="36" t="n">
        <x:v>1</x:v>
      </x:c>
      <x:c r="AO37" s="45" t="b">
        <x:v>1</x:v>
      </x:c>
      <x:c r="AP37" s="45" t="b">
        <x:v>1</x:v>
      </x:c>
      <x:c r="AQ37" s="46" t="n">
        <x:f>IF(T37="","",T37/'Readme-Protocol'!$B$24)</x:f>
        <x:v>5.002948122</x:v>
      </x:c>
      <x:c r="AR37" s="46" t="n">
        <x:f>IF(OR(S37="",S37=0),"",T37/S37)</x:f>
        <x:v>1.0005896244</x:v>
      </x:c>
      <x:c r="AS37" s="46" t="n">
        <x:f>IF(OR(X37="",Y37=""),"",ABS(Y37-X37)*'Readme-Protocol'!$B$27)</x:f>
        <x:v>0.20638778191535145</x:v>
      </x:c>
      <x:c r="AT37" s="49" t="b">
        <x:f>AND(M37&gt;0,N37&gt;=0,O37&gt;0)</x:f>
        <x:v>1</x:v>
      </x:c>
      <x:c r="AU37" s="49" t="b">
        <x:f>AND(AT37,N37&gt;=M37)</x:f>
        <x:v>1</x:v>
      </x:c>
      <x:c r="AV37" s="49" t="b">
        <x:f>OR(S37=0,T37&gt;=S37)</x:f>
        <x:v>1</x:v>
      </x:c>
      <x:c r="AW37" s="49" t="b">
        <x:f>IF(I37="cache-semantics",OR(V37&lt;&gt;"uniform",ABS(Y37-W37/'Readme-Protocol'!$B$27)&lt;='Readme-Protocol'!$B$28),TRUE)</x:f>
        <x:v>1</x:v>
      </x:c>
      <x:c r="AX37" s="43" t="n">
        <x:f>IF(I37="cache-semantics",INT(AA37*'Readme-Protocol'!$B$32),"")</x:f>
        <x:v>9900</x:v>
      </x:c>
      <x:c r="AY37" s="49" t="b">
        <x:f>IF(I37="cache-semantics",AX37=AB37,TRUE)</x:f>
        <x:v>1</x:v>
      </x:c>
      <x:c r="AZ37" s="49" t="b">
        <x:f>IF(I37="cache-semantics",AX37=AE37,TRUE)</x:f>
        <x:v>1</x:v>
      </x:c>
      <x:c r="BA37" s="49" t="b">
        <x:f>IF(I37="cache-semantics",AC37&gt;=AX37,IF(I37="no-store-control",AC37=0,FALSE))</x:f>
        <x:v>1</x:v>
      </x:c>
      <x:c r="BB37" s="49" t="b">
        <x:f>IF(I37="cache-semantics",AG37&gt;=AX37,IF(I37="no-store-control",AG37=0,FALSE))</x:f>
        <x:v>1</x:v>
      </x:c>
      <x:c r="BC37" s="49" t="b">
        <x:f>AND(BA37,BB37)</x:f>
        <x:v>1</x:v>
      </x:c>
      <x:c r="BD37" s="49" t="b">
        <x:f>IF(I37="no-store-control",AND(AC37=0,AG37=0),TRUE)</x:f>
        <x:v>1</x:v>
      </x:c>
      <x:c r="BE37" s="49" t="b">
        <x:f>IF(I37="no-store-control",AK37=0,TRUE)</x:f>
        <x:v>1</x:v>
      </x:c>
      <x:c r="BF37" s="49" t="b">
        <x:f>IF(I37="cache-semantics",AN37=1,TRUE)</x:f>
        <x:v>1</x:v>
      </x:c>
      <x:c r="BG37" s="49" t="b">
        <x:f>IF(I37="cache-semantics",AND(AU37,AV37,Q37,AW37,BC37,BF37),IF(I37="no-store-control",AND(AU37,AV37,Q37,BD37,BE37),FALSE))</x:f>
        <x:v>1</x:v>
      </x:c>
      <x:c r="BH37" s="49" t="b">
        <x:f>AND(R37,AT37=P37,AU37=L37,AV37=U37,AY37,AZ37,IF(I37="cache-semantics",AND(AW37=Z37,AND(BA37=AD37,BB37=AH37,BC37=AI37),BF37=AO37),IF(I37="no-store-control",AND(AND(BA37=AD37,BB37=AH37,BC37=AI37),BD37=AJ37,BE37=AL37),FALSE)),BG37=AP37)</x:f>
        <x:v>1</x:v>
      </x:c>
      <x:c r="BI37" s="49" t="b">
        <x:f>AND(J37,K37,BG37)</x:f>
        <x:v>1</x:v>
      </x:c>
    </x:row>
    <x:row r="38">
      <x:c r="A38" s="34" t="str">
        <x:v>article1-unified-v4-2-fb3f101b-20260903-000401-default-f01-p4-cache2k</x:v>
      </x:c>
      <x:c r="B38" s="34" t="str">
        <x:v>default</x:v>
      </x:c>
      <x:c r="C38" s="34" t="str">
        <x:v>cache2k</x:v>
      </x:c>
      <x:c r="D38" s="36" t="n">
        <x:v>1</x:v>
      </x:c>
      <x:c r="E38" s="36" t="n">
        <x:v>1</x:v>
      </x:c>
      <x:c r="F38" s="36" t="n">
        <x:v>4</x:v>
      </x:c>
      <x:c r="G38" s="36" t="n">
        <x:v>4</x:v>
      </x:c>
      <x:c r="H38" s="34" t="str">
        <x:v>initial</x:v>
      </x:c>
      <x:c r="I38" s="34" t="str">
        <x:v>cache-semantics</x:v>
      </x:c>
      <x:c r="J38" s="45" t="b">
        <x:v>1</x:v>
      </x:c>
      <x:c r="K38" s="45" t="b">
        <x:v>1</x:v>
      </x:c>
      <x:c r="L38" s="45" t="b">
        <x:v>1</x:v>
      </x:c>
      <x:c r="M38" s="43" t="n">
        <x:v>400000</x:v>
      </x:c>
      <x:c r="N38" s="43" t="n">
        <x:v>124628992</x:v>
      </x:c>
      <x:c r="O38" s="43" t="n">
        <x:v>24887178.431712747</x:v>
      </x:c>
      <x:c r="P38" s="45" t="b">
        <x:v>1</x:v>
      </x:c>
      <x:c r="Q38" s="45" t="b">
        <x:v>1</x:v>
      </x:c>
      <x:c r="R38" s="45" t="b">
        <x:v>1</x:v>
      </x:c>
      <x:c r="S38" s="43" t="n">
        <x:v>5000000000</x:v>
      </x:c>
      <x:c r="T38" s="43" t="n">
        <x:v>5007759009</x:v>
      </x:c>
      <x:c r="U38" s="45" t="b">
        <x:v>1</x:v>
      </x:c>
      <x:c r="V38" s="34" t="str">
        <x:v>uniform</x:v>
      </x:c>
      <x:c r="W38" s="42" t="n">
        <x:v>95</x:v>
      </x:c>
      <x:c r="X38" s="48" t="n">
        <x:v>0.95</x:v>
      </x:c>
      <x:c r="Y38" s="48" t="n">
        <x:v>0.9479800815527738</x:v>
      </x:c>
      <x:c r="Z38" s="45" t="b">
        <x:v>1</x:v>
      </x:c>
      <x:c r="AA38" s="43" t="n">
        <x:v>10000</x:v>
      </x:c>
      <x:c r="AB38" s="43" t="n">
        <x:v>9900</x:v>
      </x:c>
      <x:c r="AC38" s="43" t="n">
        <x:v>9979</x:v>
      </x:c>
      <x:c r="AD38" s="45" t="b">
        <x:v>1</x:v>
      </x:c>
      <x:c r="AE38" s="43" t="n">
        <x:v>9900</x:v>
      </x:c>
      <x:c r="AF38" s="43"/>
      <x:c r="AG38" s="43" t="n">
        <x:v>9990</x:v>
      </x:c>
      <x:c r="AH38" s="45" t="b">
        <x:v>1</x:v>
      </x:c>
      <x:c r="AI38" s="45" t="b">
        <x:v>1</x:v>
      </x:c>
      <x:c r="AJ38" s="49"/>
      <x:c r="AK38" s="48" t="n">
        <x:v>0.9479800815527738</x:v>
      </x:c>
      <x:c r="AL38" s="49"/>
      <x:c r="AM38" s="49"/>
      <x:c r="AN38" s="36" t="n">
        <x:v>1</x:v>
      </x:c>
      <x:c r="AO38" s="45" t="b">
        <x:v>1</x:v>
      </x:c>
      <x:c r="AP38" s="45" t="b">
        <x:v>1</x:v>
      </x:c>
      <x:c r="AQ38" s="46" t="n">
        <x:f>IF(T38="","",T38/'Readme-Protocol'!$B$24)</x:f>
        <x:v>5.007759009</x:v>
      </x:c>
      <x:c r="AR38" s="46" t="n">
        <x:f>IF(OR(S38="",S38=0),"",T38/S38)</x:f>
        <x:v>1.0015518018</x:v>
      </x:c>
      <x:c r="AS38" s="46" t="n">
        <x:f>IF(OR(X38="",Y38=""),"",ABS(Y38-X38)*'Readme-Protocol'!$B$27)</x:f>
        <x:v>0.20199184472261544</x:v>
      </x:c>
      <x:c r="AT38" s="49" t="b">
        <x:f>AND(M38&gt;0,N38&gt;=0,O38&gt;0)</x:f>
        <x:v>1</x:v>
      </x:c>
      <x:c r="AU38" s="49" t="b">
        <x:f>AND(AT38,N38&gt;=M38)</x:f>
        <x:v>1</x:v>
      </x:c>
      <x:c r="AV38" s="49" t="b">
        <x:f>OR(S38=0,T38&gt;=S38)</x:f>
        <x:v>1</x:v>
      </x:c>
      <x:c r="AW38" s="49" t="b">
        <x:f>IF(I38="cache-semantics",OR(V38&lt;&gt;"uniform",ABS(Y38-W38/'Readme-Protocol'!$B$27)&lt;='Readme-Protocol'!$B$28),TRUE)</x:f>
        <x:v>1</x:v>
      </x:c>
      <x:c r="AX38" s="43" t="n">
        <x:f>IF(I38="cache-semantics",INT(AA38*'Readme-Protocol'!$B$32),"")</x:f>
        <x:v>9900</x:v>
      </x:c>
      <x:c r="AY38" s="49" t="b">
        <x:f>IF(I38="cache-semantics",AX38=AB38,TRUE)</x:f>
        <x:v>1</x:v>
      </x:c>
      <x:c r="AZ38" s="49" t="b">
        <x:f>IF(I38="cache-semantics",AX38=AE38,TRUE)</x:f>
        <x:v>1</x:v>
      </x:c>
      <x:c r="BA38" s="49" t="b">
        <x:f>IF(I38="cache-semantics",AC38&gt;=AX38,IF(I38="no-store-control",AC38=0,FALSE))</x:f>
        <x:v>1</x:v>
      </x:c>
      <x:c r="BB38" s="49" t="b">
        <x:f>IF(I38="cache-semantics",AG38&gt;=AX38,IF(I38="no-store-control",AG38=0,FALSE))</x:f>
        <x:v>1</x:v>
      </x:c>
      <x:c r="BC38" s="49" t="b">
        <x:f>AND(BA38,BB38)</x:f>
        <x:v>1</x:v>
      </x:c>
      <x:c r="BD38" s="49" t="b">
        <x:f>IF(I38="no-store-control",AND(AC38=0,AG38=0),TRUE)</x:f>
        <x:v>1</x:v>
      </x:c>
      <x:c r="BE38" s="49" t="b">
        <x:f>IF(I38="no-store-control",AK38=0,TRUE)</x:f>
        <x:v>1</x:v>
      </x:c>
      <x:c r="BF38" s="49" t="b">
        <x:f>IF(I38="cache-semantics",AN38=1,TRUE)</x:f>
        <x:v>1</x:v>
      </x:c>
      <x:c r="BG38" s="49" t="b">
        <x:f>IF(I38="cache-semantics",AND(AU38,AV38,Q38,AW38,BC38,BF38),IF(I38="no-store-control",AND(AU38,AV38,Q38,BD38,BE38),FALSE))</x:f>
        <x:v>1</x:v>
      </x:c>
      <x:c r="BH38" s="49" t="b">
        <x:f>AND(R38,AT38=P38,AU38=L38,AV38=U38,AY38,AZ38,IF(I38="cache-semantics",AND(AW38=Z38,AND(BA38=AD38,BB38=AH38,BC38=AI38),BF38=AO38),IF(I38="no-store-control",AND(AND(BA38=AD38,BB38=AH38,BC38=AI38),BD38=AJ38,BE38=AL38),FALSE)),BG38=AP38)</x:f>
        <x:v>1</x:v>
      </x:c>
      <x:c r="BI38" s="49" t="b">
        <x:f>AND(J38,K38,BG38)</x:f>
        <x:v>1</x:v>
      </x:c>
    </x:row>
    <x:row r="39">
      <x:c r="A39" s="34" t="str">
        <x:v>article1-unified-v4-2-fb3f101b-20260903-000401-default-f01-p4-cache2k</x:v>
      </x:c>
      <x:c r="B39" s="34" t="str">
        <x:v>default</x:v>
      </x:c>
      <x:c r="C39" s="34" t="str">
        <x:v>cache2k</x:v>
      </x:c>
      <x:c r="D39" s="36" t="n">
        <x:v>1</x:v>
      </x:c>
      <x:c r="E39" s="36" t="n">
        <x:v>1</x:v>
      </x:c>
      <x:c r="F39" s="36" t="n">
        <x:v>4</x:v>
      </x:c>
      <x:c r="G39" s="36" t="n">
        <x:v>4</x:v>
      </x:c>
      <x:c r="H39" s="34" t="str">
        <x:v>redeploy</x:v>
      </x:c>
      <x:c r="I39" s="34" t="str">
        <x:v>cache-semantics</x:v>
      </x:c>
      <x:c r="J39" s="45" t="b">
        <x:v>1</x:v>
      </x:c>
      <x:c r="K39" s="45" t="b">
        <x:v>1</x:v>
      </x:c>
      <x:c r="L39" s="45" t="b">
        <x:v>1</x:v>
      </x:c>
      <x:c r="M39" s="43" t="n">
        <x:v>400000</x:v>
      </x:c>
      <x:c r="N39" s="43" t="n">
        <x:v>149089536</x:v>
      </x:c>
      <x:c r="O39" s="43" t="n">
        <x:v>29802588.72899847</x:v>
      </x:c>
      <x:c r="P39" s="45" t="b">
        <x:v>1</x:v>
      </x:c>
      <x:c r="Q39" s="45" t="b">
        <x:v>1</x:v>
      </x:c>
      <x:c r="R39" s="45" t="b">
        <x:v>1</x:v>
      </x:c>
      <x:c r="S39" s="43" t="n">
        <x:v>5000000000</x:v>
      </x:c>
      <x:c r="T39" s="43" t="n">
        <x:v>5002569990</x:v>
      </x:c>
      <x:c r="U39" s="45" t="b">
        <x:v>1</x:v>
      </x:c>
      <x:c r="V39" s="34" t="str">
        <x:v>uniform</x:v>
      </x:c>
      <x:c r="W39" s="42" t="n">
        <x:v>95</x:v>
      </x:c>
      <x:c r="X39" s="48" t="n">
        <x:v>0.95</x:v>
      </x:c>
      <x:c r="Y39" s="48" t="n">
        <x:v>0.947995954592011</x:v>
      </x:c>
      <x:c r="Z39" s="45" t="b">
        <x:v>1</x:v>
      </x:c>
      <x:c r="AA39" s="43" t="n">
        <x:v>10000</x:v>
      </x:c>
      <x:c r="AB39" s="43" t="n">
        <x:v>9900</x:v>
      </x:c>
      <x:c r="AC39" s="43" t="n">
        <x:v>9979</x:v>
      </x:c>
      <x:c r="AD39" s="45" t="b">
        <x:v>1</x:v>
      </x:c>
      <x:c r="AE39" s="43" t="n">
        <x:v>9900</x:v>
      </x:c>
      <x:c r="AF39" s="43"/>
      <x:c r="AG39" s="43" t="n">
        <x:v>9990</x:v>
      </x:c>
      <x:c r="AH39" s="45" t="b">
        <x:v>1</x:v>
      </x:c>
      <x:c r="AI39" s="45" t="b">
        <x:v>1</x:v>
      </x:c>
      <x:c r="AJ39" s="49"/>
      <x:c r="AK39" s="48" t="n">
        <x:v>0.947995954592011</x:v>
      </x:c>
      <x:c r="AL39" s="49"/>
      <x:c r="AM39" s="49"/>
      <x:c r="AN39" s="36" t="n">
        <x:v>1</x:v>
      </x:c>
      <x:c r="AO39" s="45" t="b">
        <x:v>1</x:v>
      </x:c>
      <x:c r="AP39" s="45" t="b">
        <x:v>1</x:v>
      </x:c>
      <x:c r="AQ39" s="46" t="n">
        <x:f>IF(T39="","",T39/'Readme-Protocol'!$B$24)</x:f>
        <x:v>5.00256999</x:v>
      </x:c>
      <x:c r="AR39" s="46" t="n">
        <x:f>IF(OR(S39="",S39=0),"",T39/S39)</x:f>
        <x:v>1.000513998</x:v>
      </x:c>
      <x:c r="AS39" s="46" t="n">
        <x:f>IF(OR(X39="",Y39=""),"",ABS(Y39-X39)*'Readme-Protocol'!$B$27)</x:f>
        <x:v>0.20040454079889303</x:v>
      </x:c>
      <x:c r="AT39" s="49" t="b">
        <x:f>AND(M39&gt;0,N39&gt;=0,O39&gt;0)</x:f>
        <x:v>1</x:v>
      </x:c>
      <x:c r="AU39" s="49" t="b">
        <x:f>AND(AT39,N39&gt;=M39)</x:f>
        <x:v>1</x:v>
      </x:c>
      <x:c r="AV39" s="49" t="b">
        <x:f>OR(S39=0,T39&gt;=S39)</x:f>
        <x:v>1</x:v>
      </x:c>
      <x:c r="AW39" s="49" t="b">
        <x:f>IF(I39="cache-semantics",OR(V39&lt;&gt;"uniform",ABS(Y39-W39/'Readme-Protocol'!$B$27)&lt;='Readme-Protocol'!$B$28),TRUE)</x:f>
        <x:v>1</x:v>
      </x:c>
      <x:c r="AX39" s="43" t="n">
        <x:f>IF(I39="cache-semantics",INT(AA39*'Readme-Protocol'!$B$32),"")</x:f>
        <x:v>9900</x:v>
      </x:c>
      <x:c r="AY39" s="49" t="b">
        <x:f>IF(I39="cache-semantics",AX39=AB39,TRUE)</x:f>
        <x:v>1</x:v>
      </x:c>
      <x:c r="AZ39" s="49" t="b">
        <x:f>IF(I39="cache-semantics",AX39=AE39,TRUE)</x:f>
        <x:v>1</x:v>
      </x:c>
      <x:c r="BA39" s="49" t="b">
        <x:f>IF(I39="cache-semantics",AC39&gt;=AX39,IF(I39="no-store-control",AC39=0,FALSE))</x:f>
        <x:v>1</x:v>
      </x:c>
      <x:c r="BB39" s="49" t="b">
        <x:f>IF(I39="cache-semantics",AG39&gt;=AX39,IF(I39="no-store-control",AG39=0,FALSE))</x:f>
        <x:v>1</x:v>
      </x:c>
      <x:c r="BC39" s="49" t="b">
        <x:f>AND(BA39,BB39)</x:f>
        <x:v>1</x:v>
      </x:c>
      <x:c r="BD39" s="49" t="b">
        <x:f>IF(I39="no-store-control",AND(AC39=0,AG39=0),TRUE)</x:f>
        <x:v>1</x:v>
      </x:c>
      <x:c r="BE39" s="49" t="b">
        <x:f>IF(I39="no-store-control",AK39=0,TRUE)</x:f>
        <x:v>1</x:v>
      </x:c>
      <x:c r="BF39" s="49" t="b">
        <x:f>IF(I39="cache-semantics",AN39=1,TRUE)</x:f>
        <x:v>1</x:v>
      </x:c>
      <x:c r="BG39" s="49" t="b">
        <x:f>IF(I39="cache-semantics",AND(AU39,AV39,Q39,AW39,BC39,BF39),IF(I39="no-store-control",AND(AU39,AV39,Q39,BD39,BE39),FALSE))</x:f>
        <x:v>1</x:v>
      </x:c>
      <x:c r="BH39" s="49" t="b">
        <x:f>AND(R39,AT39=P39,AU39=L39,AV39=U39,AY39,AZ39,IF(I39="cache-semantics",AND(AW39=Z39,AND(BA39=AD39,BB39=AH39,BC39=AI39),BF39=AO39),IF(I39="no-store-control",AND(AND(BA39=AD39,BB39=AH39,BC39=AI39),BD39=AJ39,BE39=AL39),FALSE)),BG39=AP39)</x:f>
        <x:v>1</x:v>
      </x:c>
      <x:c r="BI39" s="49" t="b">
        <x:f>AND(J39,K39,BG39)</x:f>
        <x:v>1</x:v>
      </x:c>
    </x:row>
    <x:row r="40">
      <x:c r="A40" s="34" t="str">
        <x:v>article1-unified-v4-2-fb3f101b-20260903-000401-default-f01-p4-cache2k</x:v>
      </x:c>
      <x:c r="B40" s="34" t="str">
        <x:v>default</x:v>
      </x:c>
      <x:c r="C40" s="34" t="str">
        <x:v>cache2k</x:v>
      </x:c>
      <x:c r="D40" s="36" t="n">
        <x:v>1</x:v>
      </x:c>
      <x:c r="E40" s="36" t="n">
        <x:v>1</x:v>
      </x:c>
      <x:c r="F40" s="36" t="n">
        <x:v>4</x:v>
      </x:c>
      <x:c r="G40" s="36" t="n">
        <x:v>5</x:v>
      </x:c>
      <x:c r="H40" s="34" t="str">
        <x:v>initial</x:v>
      </x:c>
      <x:c r="I40" s="34" t="str">
        <x:v>cache-semantics</x:v>
      </x:c>
      <x:c r="J40" s="45" t="b">
        <x:v>1</x:v>
      </x:c>
      <x:c r="K40" s="45" t="b">
        <x:v>1</x:v>
      </x:c>
      <x:c r="L40" s="45" t="b">
        <x:v>1</x:v>
      </x:c>
      <x:c r="M40" s="43" t="n">
        <x:v>400000</x:v>
      </x:c>
      <x:c r="N40" s="43" t="n">
        <x:v>158227712</x:v>
      </x:c>
      <x:c r="O40" s="43" t="n">
        <x:v>31630481.818104453</x:v>
      </x:c>
      <x:c r="P40" s="45" t="b">
        <x:v>1</x:v>
      </x:c>
      <x:c r="Q40" s="45" t="b">
        <x:v>1</x:v>
      </x:c>
      <x:c r="R40" s="45" t="b">
        <x:v>1</x:v>
      </x:c>
      <x:c r="S40" s="43" t="n">
        <x:v>5000000000</x:v>
      </x:c>
      <x:c r="T40" s="43" t="n">
        <x:v>5002380707</x:v>
      </x:c>
      <x:c r="U40" s="45" t="b">
        <x:v>1</x:v>
      </x:c>
      <x:c r="V40" s="34" t="str">
        <x:v>uniform</x:v>
      </x:c>
      <x:c r="W40" s="42" t="n">
        <x:v>95</x:v>
      </x:c>
      <x:c r="X40" s="48" t="n">
        <x:v>0.95</x:v>
      </x:c>
      <x:c r="Y40" s="48" t="n">
        <x:v>0.9484212790740474</x:v>
      </x:c>
      <x:c r="Z40" s="45" t="b">
        <x:v>1</x:v>
      </x:c>
      <x:c r="AA40" s="43" t="n">
        <x:v>10000</x:v>
      </x:c>
      <x:c r="AB40" s="43" t="n">
        <x:v>9900</x:v>
      </x:c>
      <x:c r="AC40" s="43" t="n">
        <x:v>9979</x:v>
      </x:c>
      <x:c r="AD40" s="45" t="b">
        <x:v>1</x:v>
      </x:c>
      <x:c r="AE40" s="43" t="n">
        <x:v>9900</x:v>
      </x:c>
      <x:c r="AF40" s="43"/>
      <x:c r="AG40" s="43" t="n">
        <x:v>9992</x:v>
      </x:c>
      <x:c r="AH40" s="45" t="b">
        <x:v>1</x:v>
      </x:c>
      <x:c r="AI40" s="45" t="b">
        <x:v>1</x:v>
      </x:c>
      <x:c r="AJ40" s="49"/>
      <x:c r="AK40" s="48" t="n">
        <x:v>0.9484212790740474</x:v>
      </x:c>
      <x:c r="AL40" s="49"/>
      <x:c r="AM40" s="49"/>
      <x:c r="AN40" s="36" t="n">
        <x:v>1</x:v>
      </x:c>
      <x:c r="AO40" s="45" t="b">
        <x:v>1</x:v>
      </x:c>
      <x:c r="AP40" s="45" t="b">
        <x:v>1</x:v>
      </x:c>
      <x:c r="AQ40" s="46" t="n">
        <x:f>IF(T40="","",T40/'Readme-Protocol'!$B$24)</x:f>
        <x:v>5.002380707</x:v>
      </x:c>
      <x:c r="AR40" s="46" t="n">
        <x:f>IF(OR(S40="",S40=0),"",T40/S40)</x:f>
        <x:v>1.0004761414</x:v>
      </x:c>
      <x:c r="AS40" s="46" t="n">
        <x:f>IF(OR(X40="",Y40=""),"",ABS(Y40-X40)*'Readme-Protocol'!$B$27)</x:f>
        <x:v>0.15787209259525703</x:v>
      </x:c>
      <x:c r="AT40" s="49" t="b">
        <x:f>AND(M40&gt;0,N40&gt;=0,O40&gt;0)</x:f>
        <x:v>1</x:v>
      </x:c>
      <x:c r="AU40" s="49" t="b">
        <x:f>AND(AT40,N40&gt;=M40)</x:f>
        <x:v>1</x:v>
      </x:c>
      <x:c r="AV40" s="49" t="b">
        <x:f>OR(S40=0,T40&gt;=S40)</x:f>
        <x:v>1</x:v>
      </x:c>
      <x:c r="AW40" s="49" t="b">
        <x:f>IF(I40="cache-semantics",OR(V40&lt;&gt;"uniform",ABS(Y40-W40/'Readme-Protocol'!$B$27)&lt;='Readme-Protocol'!$B$28),TRUE)</x:f>
        <x:v>1</x:v>
      </x:c>
      <x:c r="AX40" s="43" t="n">
        <x:f>IF(I40="cache-semantics",INT(AA40*'Readme-Protocol'!$B$32),"")</x:f>
        <x:v>9900</x:v>
      </x:c>
      <x:c r="AY40" s="49" t="b">
        <x:f>IF(I40="cache-semantics",AX40=AB40,TRUE)</x:f>
        <x:v>1</x:v>
      </x:c>
      <x:c r="AZ40" s="49" t="b">
        <x:f>IF(I40="cache-semantics",AX40=AE40,TRUE)</x:f>
        <x:v>1</x:v>
      </x:c>
      <x:c r="BA40" s="49" t="b">
        <x:f>IF(I40="cache-semantics",AC40&gt;=AX40,IF(I40="no-store-control",AC40=0,FALSE))</x:f>
        <x:v>1</x:v>
      </x:c>
      <x:c r="BB40" s="49" t="b">
        <x:f>IF(I40="cache-semantics",AG40&gt;=AX40,IF(I40="no-store-control",AG40=0,FALSE))</x:f>
        <x:v>1</x:v>
      </x:c>
      <x:c r="BC40" s="49" t="b">
        <x:f>AND(BA40,BB40)</x:f>
        <x:v>1</x:v>
      </x:c>
      <x:c r="BD40" s="49" t="b">
        <x:f>IF(I40="no-store-control",AND(AC40=0,AG40=0),TRUE)</x:f>
        <x:v>1</x:v>
      </x:c>
      <x:c r="BE40" s="49" t="b">
        <x:f>IF(I40="no-store-control",AK40=0,TRUE)</x:f>
        <x:v>1</x:v>
      </x:c>
      <x:c r="BF40" s="49" t="b">
        <x:f>IF(I40="cache-semantics",AN40=1,TRUE)</x:f>
        <x:v>1</x:v>
      </x:c>
      <x:c r="BG40" s="49" t="b">
        <x:f>IF(I40="cache-semantics",AND(AU40,AV40,Q40,AW40,BC40,BF40),IF(I40="no-store-control",AND(AU40,AV40,Q40,BD40,BE40),FALSE))</x:f>
        <x:v>1</x:v>
      </x:c>
      <x:c r="BH40" s="49" t="b">
        <x:f>AND(R40,AT40=P40,AU40=L40,AV40=U40,AY40,AZ40,IF(I40="cache-semantics",AND(AW40=Z40,AND(BA40=AD40,BB40=AH40,BC40=AI40),BF40=AO40),IF(I40="no-store-control",AND(AND(BA40=AD40,BB40=AH40,BC40=AI40),BD40=AJ40,BE40=AL40),FALSE)),BG40=AP40)</x:f>
        <x:v>1</x:v>
      </x:c>
      <x:c r="BI40" s="49" t="b">
        <x:f>AND(J40,K40,BG40)</x:f>
        <x:v>1</x:v>
      </x:c>
    </x:row>
    <x:row r="41">
      <x:c r="A41" s="34" t="str">
        <x:v>article1-unified-v4-2-fb3f101b-20260903-000401-default-f01-p4-cache2k</x:v>
      </x:c>
      <x:c r="B41" s="34" t="str">
        <x:v>default</x:v>
      </x:c>
      <x:c r="C41" s="34" t="str">
        <x:v>cache2k</x:v>
      </x:c>
      <x:c r="D41" s="36" t="n">
        <x:v>1</x:v>
      </x:c>
      <x:c r="E41" s="36" t="n">
        <x:v>1</x:v>
      </x:c>
      <x:c r="F41" s="36" t="n">
        <x:v>4</x:v>
      </x:c>
      <x:c r="G41" s="36" t="n">
        <x:v>5</x:v>
      </x:c>
      <x:c r="H41" s="34" t="str">
        <x:v>redeploy</x:v>
      </x:c>
      <x:c r="I41" s="34" t="str">
        <x:v>cache-semantics</x:v>
      </x:c>
      <x:c r="J41" s="45" t="b">
        <x:v>1</x:v>
      </x:c>
      <x:c r="K41" s="45" t="b">
        <x:v>1</x:v>
      </x:c>
      <x:c r="L41" s="45" t="b">
        <x:v>1</x:v>
      </x:c>
      <x:c r="M41" s="43" t="n">
        <x:v>400000</x:v>
      </x:c>
      <x:c r="N41" s="43" t="n">
        <x:v>146758912</x:v>
      </x:c>
      <x:c r="O41" s="43" t="n">
        <x:v>29335358.27215445</x:v>
      </x:c>
      <x:c r="P41" s="45" t="b">
        <x:v>1</x:v>
      </x:c>
      <x:c r="Q41" s="45" t="b">
        <x:v>1</x:v>
      </x:c>
      <x:c r="R41" s="45" t="b">
        <x:v>1</x:v>
      </x:c>
      <x:c r="S41" s="43" t="n">
        <x:v>5000000000</x:v>
      </x:c>
      <x:c r="T41" s="43" t="n">
        <x:v>5002799374</x:v>
      </x:c>
      <x:c r="U41" s="45" t="b">
        <x:v>1</x:v>
      </x:c>
      <x:c r="V41" s="34" t="str">
        <x:v>uniform</x:v>
      </x:c>
      <x:c r="W41" s="42" t="n">
        <x:v>95</x:v>
      </x:c>
      <x:c r="X41" s="48" t="n">
        <x:v>0.95</x:v>
      </x:c>
      <x:c r="Y41" s="48" t="n">
        <x:v>0.9484189825555535</x:v>
      </x:c>
      <x:c r="Z41" s="45" t="b">
        <x:v>1</x:v>
      </x:c>
      <x:c r="AA41" s="43" t="n">
        <x:v>10000</x:v>
      </x:c>
      <x:c r="AB41" s="43" t="n">
        <x:v>9900</x:v>
      </x:c>
      <x:c r="AC41" s="43" t="n">
        <x:v>9979</x:v>
      </x:c>
      <x:c r="AD41" s="45" t="b">
        <x:v>1</x:v>
      </x:c>
      <x:c r="AE41" s="43" t="n">
        <x:v>9900</x:v>
      </x:c>
      <x:c r="AF41" s="43"/>
      <x:c r="AG41" s="43" t="n">
        <x:v>9991</x:v>
      </x:c>
      <x:c r="AH41" s="45" t="b">
        <x:v>1</x:v>
      </x:c>
      <x:c r="AI41" s="45" t="b">
        <x:v>1</x:v>
      </x:c>
      <x:c r="AJ41" s="49"/>
      <x:c r="AK41" s="48" t="n">
        <x:v>0.9484189825555535</x:v>
      </x:c>
      <x:c r="AL41" s="49"/>
      <x:c r="AM41" s="49"/>
      <x:c r="AN41" s="36" t="n">
        <x:v>1</x:v>
      </x:c>
      <x:c r="AO41" s="45" t="b">
        <x:v>1</x:v>
      </x:c>
      <x:c r="AP41" s="45" t="b">
        <x:v>1</x:v>
      </x:c>
      <x:c r="AQ41" s="46" t="n">
        <x:f>IF(T41="","",T41/'Readme-Protocol'!$B$24)</x:f>
        <x:v>5.002799374</x:v>
      </x:c>
      <x:c r="AR41" s="46" t="n">
        <x:f>IF(OR(S41="",S41=0),"",T41/S41)</x:f>
        <x:v>1.0005598748</x:v>
      </x:c>
      <x:c r="AS41" s="46" t="n">
        <x:f>IF(OR(X41="",Y41=""),"",ABS(Y41-X41)*'Readme-Protocol'!$B$27)</x:f>
        <x:v>0.15810174444464975</x:v>
      </x:c>
      <x:c r="AT41" s="49" t="b">
        <x:f>AND(M41&gt;0,N41&gt;=0,O41&gt;0)</x:f>
        <x:v>1</x:v>
      </x:c>
      <x:c r="AU41" s="49" t="b">
        <x:f>AND(AT41,N41&gt;=M41)</x:f>
        <x:v>1</x:v>
      </x:c>
      <x:c r="AV41" s="49" t="b">
        <x:f>OR(S41=0,T41&gt;=S41)</x:f>
        <x:v>1</x:v>
      </x:c>
      <x:c r="AW41" s="49" t="b">
        <x:f>IF(I41="cache-semantics",OR(V41&lt;&gt;"uniform",ABS(Y41-W41/'Readme-Protocol'!$B$27)&lt;='Readme-Protocol'!$B$28),TRUE)</x:f>
        <x:v>1</x:v>
      </x:c>
      <x:c r="AX41" s="43" t="n">
        <x:f>IF(I41="cache-semantics",INT(AA41*'Readme-Protocol'!$B$32),"")</x:f>
        <x:v>9900</x:v>
      </x:c>
      <x:c r="AY41" s="49" t="b">
        <x:f>IF(I41="cache-semantics",AX41=AB41,TRUE)</x:f>
        <x:v>1</x:v>
      </x:c>
      <x:c r="AZ41" s="49" t="b">
        <x:f>IF(I41="cache-semantics",AX41=AE41,TRUE)</x:f>
        <x:v>1</x:v>
      </x:c>
      <x:c r="BA41" s="49" t="b">
        <x:f>IF(I41="cache-semantics",AC41&gt;=AX41,IF(I41="no-store-control",AC41=0,FALSE))</x:f>
        <x:v>1</x:v>
      </x:c>
      <x:c r="BB41" s="49" t="b">
        <x:f>IF(I41="cache-semantics",AG41&gt;=AX41,IF(I41="no-store-control",AG41=0,FALSE))</x:f>
        <x:v>1</x:v>
      </x:c>
      <x:c r="BC41" s="49" t="b">
        <x:f>AND(BA41,BB41)</x:f>
        <x:v>1</x:v>
      </x:c>
      <x:c r="BD41" s="49" t="b">
        <x:f>IF(I41="no-store-control",AND(AC41=0,AG41=0),TRUE)</x:f>
        <x:v>1</x:v>
      </x:c>
      <x:c r="BE41" s="49" t="b">
        <x:f>IF(I41="no-store-control",AK41=0,TRUE)</x:f>
        <x:v>1</x:v>
      </x:c>
      <x:c r="BF41" s="49" t="b">
        <x:f>IF(I41="cache-semantics",AN41=1,TRUE)</x:f>
        <x:v>1</x:v>
      </x:c>
      <x:c r="BG41" s="49" t="b">
        <x:f>IF(I41="cache-semantics",AND(AU41,AV41,Q41,AW41,BC41,BF41),IF(I41="no-store-control",AND(AU41,AV41,Q41,BD41,BE41),FALSE))</x:f>
        <x:v>1</x:v>
      </x:c>
      <x:c r="BH41" s="49" t="b">
        <x:f>AND(R41,AT41=P41,AU41=L41,AV41=U41,AY41,AZ41,IF(I41="cache-semantics",AND(AW41=Z41,AND(BA41=AD41,BB41=AH41,BC41=AI41),BF41=AO41),IF(I41="no-store-control",AND(AND(BA41=AD41,BB41=AH41,BC41=AI41),BD41=AJ41,BE41=AL41),FALSE)),BG41=AP41)</x:f>
        <x:v>1</x:v>
      </x:c>
      <x:c r="BI41" s="49" t="b">
        <x:f>AND(J41,K41,BG41)</x:f>
        <x:v>1</x:v>
      </x:c>
    </x:row>
    <x:row r="42">
      <x:c r="A42" s="34" t="str">
        <x:v>article1-unified-v4-2-fb3f101b-20260903-000401-default-f01-p5-jcs321</x:v>
      </x:c>
      <x:c r="B42" s="34" t="str">
        <x:v>default</x:v>
      </x:c>
      <x:c r="C42" s="34" t="str">
        <x:v>jcs321</x:v>
      </x:c>
      <x:c r="D42" s="36" t="n">
        <x:v>1</x:v>
      </x:c>
      <x:c r="E42" s="36" t="n">
        <x:v>1</x:v>
      </x:c>
      <x:c r="F42" s="36" t="n">
        <x:v>5</x:v>
      </x:c>
      <x:c r="G42" s="36" t="n">
        <x:v>1</x:v>
      </x:c>
      <x:c r="H42" s="34" t="str">
        <x:v>initial</x:v>
      </x:c>
      <x:c r="I42" s="34" t="str">
        <x:v>cache-semantics</x:v>
      </x:c>
      <x:c r="J42" s="45" t="b">
        <x:v>1</x:v>
      </x:c>
      <x:c r="K42" s="45" t="b">
        <x:v>0</x:v>
      </x:c>
      <x:c r="L42" s="45" t="b">
        <x:v>1</x:v>
      </x:c>
      <x:c r="M42" s="43" t="n">
        <x:v>400000</x:v>
      </x:c>
      <x:c r="N42" s="43" t="n">
        <x:v>9653760</x:v>
      </x:c>
      <x:c r="O42" s="43" t="n">
        <x:v>1930487.552162667</x:v>
      </x:c>
      <x:c r="P42" s="45" t="b">
        <x:v>1</x:v>
      </x:c>
      <x:c r="Q42" s="45" t="b">
        <x:v>1</x:v>
      </x:c>
      <x:c r="R42" s="45" t="b">
        <x:v>1</x:v>
      </x:c>
      <x:c r="S42" s="43" t="n">
        <x:v>5000000000</x:v>
      </x:c>
      <x:c r="T42" s="43" t="n">
        <x:v>5000684925</x:v>
      </x:c>
      <x:c r="U42" s="45" t="b">
        <x:v>1</x:v>
      </x:c>
      <x:c r="V42" s="34" t="str">
        <x:v>uniform</x:v>
      </x:c>
      <x:c r="W42" s="42" t="n">
        <x:v>95</x:v>
      </x:c>
      <x:c r="X42" s="48" t="n">
        <x:v>0.95</x:v>
      </x:c>
      <x:c r="Y42" s="48" t="n">
        <x:v>0.9495555099774595</x:v>
      </x:c>
      <x:c r="Z42" s="45" t="b">
        <x:v>1</x:v>
      </x:c>
      <x:c r="AA42" s="43" t="n">
        <x:v>10000</x:v>
      </x:c>
      <x:c r="AB42" s="43" t="n">
        <x:v>9900</x:v>
      </x:c>
      <x:c r="AC42" s="43" t="n">
        <x:v>10000</x:v>
      </x:c>
      <x:c r="AD42" s="45" t="b">
        <x:v>1</x:v>
      </x:c>
      <x:c r="AE42" s="43" t="n">
        <x:v>9900</x:v>
      </x:c>
      <x:c r="AF42" s="43"/>
      <x:c r="AG42" s="43" t="n">
        <x:v>10000</x:v>
      </x:c>
      <x:c r="AH42" s="45" t="b">
        <x:v>1</x:v>
      </x:c>
      <x:c r="AI42" s="45" t="b">
        <x:v>1</x:v>
      </x:c>
      <x:c r="AJ42" s="49"/>
      <x:c r="AK42" s="48" t="n">
        <x:v>0.9495555099774595</x:v>
      </x:c>
      <x:c r="AL42" s="49"/>
      <x:c r="AM42" s="49"/>
      <x:c r="AN42" s="36" t="n">
        <x:v>1</x:v>
      </x:c>
      <x:c r="AO42" s="45" t="b">
        <x:v>1</x:v>
      </x:c>
      <x:c r="AP42" s="45" t="b">
        <x:v>1</x:v>
      </x:c>
      <x:c r="AQ42" s="46" t="n">
        <x:f>IF(T42="","",T42/'Readme-Protocol'!$B$24)</x:f>
        <x:v>5.000684925</x:v>
      </x:c>
      <x:c r="AR42" s="46" t="n">
        <x:f>IF(OR(S42="",S42=0),"",T42/S42)</x:f>
        <x:v>1.000136985</x:v>
      </x:c>
      <x:c r="AS42" s="46" t="n">
        <x:f>IF(OR(X42="",Y42=""),"",ABS(Y42-X42)*'Readme-Protocol'!$B$27)</x:f>
        <x:v>0.04444900225404336</x:v>
      </x:c>
      <x:c r="AT42" s="49" t="b">
        <x:f>AND(M42&gt;0,N42&gt;=0,O42&gt;0)</x:f>
        <x:v>1</x:v>
      </x:c>
      <x:c r="AU42" s="49" t="b">
        <x:f>AND(AT42,N42&gt;=M42)</x:f>
        <x:v>1</x:v>
      </x:c>
      <x:c r="AV42" s="49" t="b">
        <x:f>OR(S42=0,T42&gt;=S42)</x:f>
        <x:v>1</x:v>
      </x:c>
      <x:c r="AW42" s="49" t="b">
        <x:f>IF(I42="cache-semantics",OR(V42&lt;&gt;"uniform",ABS(Y42-W42/'Readme-Protocol'!$B$27)&lt;='Readme-Protocol'!$B$28),TRUE)</x:f>
        <x:v>1</x:v>
      </x:c>
      <x:c r="AX42" s="43" t="n">
        <x:f>IF(I42="cache-semantics",INT(AA42*'Readme-Protocol'!$B$32),"")</x:f>
        <x:v>9900</x:v>
      </x:c>
      <x:c r="AY42" s="49" t="b">
        <x:f>IF(I42="cache-semantics",AX42=AB42,TRUE)</x:f>
        <x:v>1</x:v>
      </x:c>
      <x:c r="AZ42" s="49" t="b">
        <x:f>IF(I42="cache-semantics",AX42=AE42,TRUE)</x:f>
        <x:v>1</x:v>
      </x:c>
      <x:c r="BA42" s="49" t="b">
        <x:f>IF(I42="cache-semantics",AC42&gt;=AX42,IF(I42="no-store-control",AC42=0,FALSE))</x:f>
        <x:v>1</x:v>
      </x:c>
      <x:c r="BB42" s="49" t="b">
        <x:f>IF(I42="cache-semantics",AG42&gt;=AX42,IF(I42="no-store-control",AG42=0,FALSE))</x:f>
        <x:v>1</x:v>
      </x:c>
      <x:c r="BC42" s="49" t="b">
        <x:f>AND(BA42,BB42)</x:f>
        <x:v>1</x:v>
      </x:c>
      <x:c r="BD42" s="49" t="b">
        <x:f>IF(I42="no-store-control",AND(AC42=0,AG42=0),TRUE)</x:f>
        <x:v>1</x:v>
      </x:c>
      <x:c r="BE42" s="49" t="b">
        <x:f>IF(I42="no-store-control",AK42=0,TRUE)</x:f>
        <x:v>1</x:v>
      </x:c>
      <x:c r="BF42" s="49" t="b">
        <x:f>IF(I42="cache-semantics",AN42=1,TRUE)</x:f>
        <x:v>1</x:v>
      </x:c>
      <x:c r="BG42" s="49" t="b">
        <x:f>IF(I42="cache-semantics",AND(AU42,AV42,Q42,AW42,BC42,BF42),IF(I42="no-store-control",AND(AU42,AV42,Q42,BD42,BE42),FALSE))</x:f>
        <x:v>1</x:v>
      </x:c>
      <x:c r="BH42" s="49" t="b">
        <x:f>AND(R42,AT42=P42,AU42=L42,AV42=U42,AY42,AZ42,IF(I42="cache-semantics",AND(AW42=Z42,AND(BA42=AD42,BB42=AH42,BC42=AI42),BF42=AO42),IF(I42="no-store-control",AND(AND(BA42=AD42,BB42=AH42,BC42=AI42),BD42=AJ42,BE42=AL42),FALSE)),BG42=AP42)</x:f>
        <x:v>1</x:v>
      </x:c>
      <x:c r="BI42" s="49" t="b">
        <x:f>AND(J42,K42,BG42)</x:f>
        <x:v>0</x:v>
      </x:c>
    </x:row>
    <x:row r="43">
      <x:c r="A43" s="34" t="str">
        <x:v>article1-unified-v4-2-fb3f101b-20260903-000401-default-f01-p5-jcs321</x:v>
      </x:c>
      <x:c r="B43" s="34" t="str">
        <x:v>default</x:v>
      </x:c>
      <x:c r="C43" s="34" t="str">
        <x:v>jcs321</x:v>
      </x:c>
      <x:c r="D43" s="36" t="n">
        <x:v>1</x:v>
      </x:c>
      <x:c r="E43" s="36" t="n">
        <x:v>1</x:v>
      </x:c>
      <x:c r="F43" s="36" t="n">
        <x:v>5</x:v>
      </x:c>
      <x:c r="G43" s="36" t="n">
        <x:v>1</x:v>
      </x:c>
      <x:c r="H43" s="34" t="str">
        <x:v>redeploy</x:v>
      </x:c>
      <x:c r="I43" s="34" t="str">
        <x:v>cache-semantics</x:v>
      </x:c>
      <x:c r="J43" s="45" t="b">
        <x:v>1</x:v>
      </x:c>
      <x:c r="K43" s="45" t="b">
        <x:v>0</x:v>
      </x:c>
      <x:c r="L43" s="45" t="b">
        <x:v>1</x:v>
      </x:c>
      <x:c r="M43" s="43" t="n">
        <x:v>400000</x:v>
      </x:c>
      <x:c r="N43" s="43" t="n">
        <x:v>11225600</x:v>
      </x:c>
      <x:c r="O43" s="43" t="n">
        <x:v>2244704.4706340367</x:v>
      </x:c>
      <x:c r="P43" s="45" t="b">
        <x:v>1</x:v>
      </x:c>
      <x:c r="Q43" s="45" t="b">
        <x:v>1</x:v>
      </x:c>
      <x:c r="R43" s="45" t="b">
        <x:v>1</x:v>
      </x:c>
      <x:c r="S43" s="43" t="n">
        <x:v>5000000000</x:v>
      </x:c>
      <x:c r="T43" s="43" t="n">
        <x:v>5000925577</x:v>
      </x:c>
      <x:c r="U43" s="45" t="b">
        <x:v>1</x:v>
      </x:c>
      <x:c r="V43" s="34" t="str">
        <x:v>uniform</x:v>
      </x:c>
      <x:c r="W43" s="42" t="n">
        <x:v>95</x:v>
      </x:c>
      <x:c r="X43" s="48" t="n">
        <x:v>0.95</x:v>
      </x:c>
      <x:c r="Y43" s="48" t="n">
        <x:v>0.9495579746294185</x:v>
      </x:c>
      <x:c r="Z43" s="45" t="b">
        <x:v>1</x:v>
      </x:c>
      <x:c r="AA43" s="43" t="n">
        <x:v>10000</x:v>
      </x:c>
      <x:c r="AB43" s="43" t="n">
        <x:v>9900</x:v>
      </x:c>
      <x:c r="AC43" s="43" t="n">
        <x:v>10000</x:v>
      </x:c>
      <x:c r="AD43" s="45" t="b">
        <x:v>1</x:v>
      </x:c>
      <x:c r="AE43" s="43" t="n">
        <x:v>9900</x:v>
      </x:c>
      <x:c r="AF43" s="43"/>
      <x:c r="AG43" s="43" t="n">
        <x:v>10000</x:v>
      </x:c>
      <x:c r="AH43" s="45" t="b">
        <x:v>1</x:v>
      </x:c>
      <x:c r="AI43" s="45" t="b">
        <x:v>1</x:v>
      </x:c>
      <x:c r="AJ43" s="49"/>
      <x:c r="AK43" s="48" t="n">
        <x:v>0.9495579746294185</x:v>
      </x:c>
      <x:c r="AL43" s="49"/>
      <x:c r="AM43" s="49"/>
      <x:c r="AN43" s="36" t="n">
        <x:v>1</x:v>
      </x:c>
      <x:c r="AO43" s="45" t="b">
        <x:v>1</x:v>
      </x:c>
      <x:c r="AP43" s="45" t="b">
        <x:v>1</x:v>
      </x:c>
      <x:c r="AQ43" s="46" t="n">
        <x:f>IF(T43="","",T43/'Readme-Protocol'!$B$24)</x:f>
        <x:v>5.000925577</x:v>
      </x:c>
      <x:c r="AR43" s="46" t="n">
        <x:f>IF(OR(S43="",S43=0),"",T43/S43)</x:f>
        <x:v>1.0001851154</x:v>
      </x:c>
      <x:c r="AS43" s="46" t="n">
        <x:f>IF(OR(X43="",Y43=""),"",ABS(Y43-X43)*'Readme-Protocol'!$B$27)</x:f>
        <x:v>0.044202537058146696</x:v>
      </x:c>
      <x:c r="AT43" s="49" t="b">
        <x:f>AND(M43&gt;0,N43&gt;=0,O43&gt;0)</x:f>
        <x:v>1</x:v>
      </x:c>
      <x:c r="AU43" s="49" t="b">
        <x:f>AND(AT43,N43&gt;=M43)</x:f>
        <x:v>1</x:v>
      </x:c>
      <x:c r="AV43" s="49" t="b">
        <x:f>OR(S43=0,T43&gt;=S43)</x:f>
        <x:v>1</x:v>
      </x:c>
      <x:c r="AW43" s="49" t="b">
        <x:f>IF(I43="cache-semantics",OR(V43&lt;&gt;"uniform",ABS(Y43-W43/'Readme-Protocol'!$B$27)&lt;='Readme-Protocol'!$B$28),TRUE)</x:f>
        <x:v>1</x:v>
      </x:c>
      <x:c r="AX43" s="43" t="n">
        <x:f>IF(I43="cache-semantics",INT(AA43*'Readme-Protocol'!$B$32),"")</x:f>
        <x:v>9900</x:v>
      </x:c>
      <x:c r="AY43" s="49" t="b">
        <x:f>IF(I43="cache-semantics",AX43=AB43,TRUE)</x:f>
        <x:v>1</x:v>
      </x:c>
      <x:c r="AZ43" s="49" t="b">
        <x:f>IF(I43="cache-semantics",AX43=AE43,TRUE)</x:f>
        <x:v>1</x:v>
      </x:c>
      <x:c r="BA43" s="49" t="b">
        <x:f>IF(I43="cache-semantics",AC43&gt;=AX43,IF(I43="no-store-control",AC43=0,FALSE))</x:f>
        <x:v>1</x:v>
      </x:c>
      <x:c r="BB43" s="49" t="b">
        <x:f>IF(I43="cache-semantics",AG43&gt;=AX43,IF(I43="no-store-control",AG43=0,FALSE))</x:f>
        <x:v>1</x:v>
      </x:c>
      <x:c r="BC43" s="49" t="b">
        <x:f>AND(BA43,BB43)</x:f>
        <x:v>1</x:v>
      </x:c>
      <x:c r="BD43" s="49" t="b">
        <x:f>IF(I43="no-store-control",AND(AC43=0,AG43=0),TRUE)</x:f>
        <x:v>1</x:v>
      </x:c>
      <x:c r="BE43" s="49" t="b">
        <x:f>IF(I43="no-store-control",AK43=0,TRUE)</x:f>
        <x:v>1</x:v>
      </x:c>
      <x:c r="BF43" s="49" t="b">
        <x:f>IF(I43="cache-semantics",AN43=1,TRUE)</x:f>
        <x:v>1</x:v>
      </x:c>
      <x:c r="BG43" s="49" t="b">
        <x:f>IF(I43="cache-semantics",AND(AU43,AV43,Q43,AW43,BC43,BF43),IF(I43="no-store-control",AND(AU43,AV43,Q43,BD43,BE43),FALSE))</x:f>
        <x:v>1</x:v>
      </x:c>
      <x:c r="BH43" s="49" t="b">
        <x:f>AND(R43,AT43=P43,AU43=L43,AV43=U43,AY43,AZ43,IF(I43="cache-semantics",AND(AW43=Z43,AND(BA43=AD43,BB43=AH43,BC43=AI43),BF43=AO43),IF(I43="no-store-control",AND(AND(BA43=AD43,BB43=AH43,BC43=AI43),BD43=AJ43,BE43=AL43),FALSE)),BG43=AP43)</x:f>
        <x:v>1</x:v>
      </x:c>
      <x:c r="BI43" s="49" t="b">
        <x:f>AND(J43,K43,BG43)</x:f>
        <x:v>0</x:v>
      </x:c>
    </x:row>
    <x:row r="44">
      <x:c r="A44" s="34" t="str">
        <x:v>article1-unified-v4-2-fb3f101b-20260903-000401-default-f01-p5-jcs321</x:v>
      </x:c>
      <x:c r="B44" s="34" t="str">
        <x:v>default</x:v>
      </x:c>
      <x:c r="C44" s="34" t="str">
        <x:v>jcs321</x:v>
      </x:c>
      <x:c r="D44" s="36" t="n">
        <x:v>1</x:v>
      </x:c>
      <x:c r="E44" s="36" t="n">
        <x:v>1</x:v>
      </x:c>
      <x:c r="F44" s="36" t="n">
        <x:v>5</x:v>
      </x:c>
      <x:c r="G44" s="36" t="n">
        <x:v>2</x:v>
      </x:c>
      <x:c r="H44" s="34" t="str">
        <x:v>initial</x:v>
      </x:c>
      <x:c r="I44" s="34" t="str">
        <x:v>cache-semantics</x:v>
      </x:c>
      <x:c r="J44" s="45" t="b">
        <x:v>1</x:v>
      </x:c>
      <x:c r="K44" s="45" t="b">
        <x:v>0</x:v>
      </x:c>
      <x:c r="L44" s="45" t="b">
        <x:v>1</x:v>
      </x:c>
      <x:c r="M44" s="43" t="n">
        <x:v>400000</x:v>
      </x:c>
      <x:c r="N44" s="43" t="n">
        <x:v>12676352</x:v>
      </x:c>
      <x:c r="O44" s="43" t="n">
        <x:v>2534929.771346905</x:v>
      </x:c>
      <x:c r="P44" s="45" t="b">
        <x:v>1</x:v>
      </x:c>
      <x:c r="Q44" s="45" t="b">
        <x:v>1</x:v>
      </x:c>
      <x:c r="R44" s="45" t="b">
        <x:v>1</x:v>
      </x:c>
      <x:c r="S44" s="43" t="n">
        <x:v>5000000000</x:v>
      </x:c>
      <x:c r="T44" s="43" t="n">
        <x:v>5000671870</x:v>
      </x:c>
      <x:c r="U44" s="45" t="b">
        <x:v>1</x:v>
      </x:c>
      <x:c r="V44" s="34" t="str">
        <x:v>uniform</x:v>
      </x:c>
      <x:c r="W44" s="42" t="n">
        <x:v>95</x:v>
      </x:c>
      <x:c r="X44" s="48" t="n">
        <x:v>0.95</x:v>
      </x:c>
      <x:c r="Y44" s="48" t="n">
        <x:v>0.9503665565613829</x:v>
      </x:c>
      <x:c r="Z44" s="45" t="b">
        <x:v>1</x:v>
      </x:c>
      <x:c r="AA44" s="43" t="n">
        <x:v>10000</x:v>
      </x:c>
      <x:c r="AB44" s="43" t="n">
        <x:v>9900</x:v>
      </x:c>
      <x:c r="AC44" s="43" t="n">
        <x:v>10000</x:v>
      </x:c>
      <x:c r="AD44" s="45" t="b">
        <x:v>1</x:v>
      </x:c>
      <x:c r="AE44" s="43" t="n">
        <x:v>9900</x:v>
      </x:c>
      <x:c r="AF44" s="43"/>
      <x:c r="AG44" s="43" t="n">
        <x:v>10000</x:v>
      </x:c>
      <x:c r="AH44" s="45" t="b">
        <x:v>1</x:v>
      </x:c>
      <x:c r="AI44" s="45" t="b">
        <x:v>1</x:v>
      </x:c>
      <x:c r="AJ44" s="49"/>
      <x:c r="AK44" s="48" t="n">
        <x:v>0.9503665565613829</x:v>
      </x:c>
      <x:c r="AL44" s="49"/>
      <x:c r="AM44" s="49"/>
      <x:c r="AN44" s="36" t="n">
        <x:v>1</x:v>
      </x:c>
      <x:c r="AO44" s="45" t="b">
        <x:v>1</x:v>
      </x:c>
      <x:c r="AP44" s="45" t="b">
        <x:v>1</x:v>
      </x:c>
      <x:c r="AQ44" s="46" t="n">
        <x:f>IF(T44="","",T44/'Readme-Protocol'!$B$24)</x:f>
        <x:v>5.00067187</x:v>
      </x:c>
      <x:c r="AR44" s="46" t="n">
        <x:f>IF(OR(S44="",S44=0),"",T44/S44)</x:f>
        <x:v>1.000134374</x:v>
      </x:c>
      <x:c r="AS44" s="46" t="n">
        <x:f>IF(OR(X44="",Y44=""),"",ABS(Y44-X44)*'Readme-Protocol'!$B$27)</x:f>
        <x:v>0.0366556561382958</x:v>
      </x:c>
      <x:c r="AT44" s="49" t="b">
        <x:f>AND(M44&gt;0,N44&gt;=0,O44&gt;0)</x:f>
        <x:v>1</x:v>
      </x:c>
      <x:c r="AU44" s="49" t="b">
        <x:f>AND(AT44,N44&gt;=M44)</x:f>
        <x:v>1</x:v>
      </x:c>
      <x:c r="AV44" s="49" t="b">
        <x:f>OR(S44=0,T44&gt;=S44)</x:f>
        <x:v>1</x:v>
      </x:c>
      <x:c r="AW44" s="49" t="b">
        <x:f>IF(I44="cache-semantics",OR(V44&lt;&gt;"uniform",ABS(Y44-W44/'Readme-Protocol'!$B$27)&lt;='Readme-Protocol'!$B$28),TRUE)</x:f>
        <x:v>1</x:v>
      </x:c>
      <x:c r="AX44" s="43" t="n">
        <x:f>IF(I44="cache-semantics",INT(AA44*'Readme-Protocol'!$B$32),"")</x:f>
        <x:v>9900</x:v>
      </x:c>
      <x:c r="AY44" s="49" t="b">
        <x:f>IF(I44="cache-semantics",AX44=AB44,TRUE)</x:f>
        <x:v>1</x:v>
      </x:c>
      <x:c r="AZ44" s="49" t="b">
        <x:f>IF(I44="cache-semantics",AX44=AE44,TRUE)</x:f>
        <x:v>1</x:v>
      </x:c>
      <x:c r="BA44" s="49" t="b">
        <x:f>IF(I44="cache-semantics",AC44&gt;=AX44,IF(I44="no-store-control",AC44=0,FALSE))</x:f>
        <x:v>1</x:v>
      </x:c>
      <x:c r="BB44" s="49" t="b">
        <x:f>IF(I44="cache-semantics",AG44&gt;=AX44,IF(I44="no-store-control",AG44=0,FALSE))</x:f>
        <x:v>1</x:v>
      </x:c>
      <x:c r="BC44" s="49" t="b">
        <x:f>AND(BA44,BB44)</x:f>
        <x:v>1</x:v>
      </x:c>
      <x:c r="BD44" s="49" t="b">
        <x:f>IF(I44="no-store-control",AND(AC44=0,AG44=0),TRUE)</x:f>
        <x:v>1</x:v>
      </x:c>
      <x:c r="BE44" s="49" t="b">
        <x:f>IF(I44="no-store-control",AK44=0,TRUE)</x:f>
        <x:v>1</x:v>
      </x:c>
      <x:c r="BF44" s="49" t="b">
        <x:f>IF(I44="cache-semantics",AN44=1,TRUE)</x:f>
        <x:v>1</x:v>
      </x:c>
      <x:c r="BG44" s="49" t="b">
        <x:f>IF(I44="cache-semantics",AND(AU44,AV44,Q44,AW44,BC44,BF44),IF(I44="no-store-control",AND(AU44,AV44,Q44,BD44,BE44),FALSE))</x:f>
        <x:v>1</x:v>
      </x:c>
      <x:c r="BH44" s="49" t="b">
        <x:f>AND(R44,AT44=P44,AU44=L44,AV44=U44,AY44,AZ44,IF(I44="cache-semantics",AND(AW44=Z44,AND(BA44=AD44,BB44=AH44,BC44=AI44),BF44=AO44),IF(I44="no-store-control",AND(AND(BA44=AD44,BB44=AH44,BC44=AI44),BD44=AJ44,BE44=AL44),FALSE)),BG44=AP44)</x:f>
        <x:v>1</x:v>
      </x:c>
      <x:c r="BI44" s="49" t="b">
        <x:f>AND(J44,K44,BG44)</x:f>
        <x:v>0</x:v>
      </x:c>
    </x:row>
    <x:row r="45">
      <x:c r="A45" s="34" t="str">
        <x:v>article1-unified-v4-2-fb3f101b-20260903-000401-default-f01-p5-jcs321</x:v>
      </x:c>
      <x:c r="B45" s="34" t="str">
        <x:v>default</x:v>
      </x:c>
      <x:c r="C45" s="34" t="str">
        <x:v>jcs321</x:v>
      </x:c>
      <x:c r="D45" s="36" t="n">
        <x:v>1</x:v>
      </x:c>
      <x:c r="E45" s="36" t="n">
        <x:v>1</x:v>
      </x:c>
      <x:c r="F45" s="36" t="n">
        <x:v>5</x:v>
      </x:c>
      <x:c r="G45" s="36" t="n">
        <x:v>2</x:v>
      </x:c>
      <x:c r="H45" s="34" t="str">
        <x:v>redeploy</x:v>
      </x:c>
      <x:c r="I45" s="34" t="str">
        <x:v>cache-semantics</x:v>
      </x:c>
      <x:c r="J45" s="45" t="b">
        <x:v>1</x:v>
      </x:c>
      <x:c r="K45" s="45" t="b">
        <x:v>0</x:v>
      </x:c>
      <x:c r="L45" s="45" t="b">
        <x:v>1</x:v>
      </x:c>
      <x:c r="M45" s="43" t="n">
        <x:v>400000</x:v>
      </x:c>
      <x:c r="N45" s="43" t="n">
        <x:v>10590720</x:v>
      </x:c>
      <x:c r="O45" s="43" t="n">
        <x:v>2117772.985232944</x:v>
      </x:c>
      <x:c r="P45" s="45" t="b">
        <x:v>1</x:v>
      </x:c>
      <x:c r="Q45" s="45" t="b">
        <x:v>1</x:v>
      </x:c>
      <x:c r="R45" s="45" t="b">
        <x:v>1</x:v>
      </x:c>
      <x:c r="S45" s="43" t="n">
        <x:v>5000000000</x:v>
      </x:c>
      <x:c r="T45" s="43" t="n">
        <x:v>5000875955</x:v>
      </x:c>
      <x:c r="U45" s="45" t="b">
        <x:v>1</x:v>
      </x:c>
      <x:c r="V45" s="34" t="str">
        <x:v>uniform</x:v>
      </x:c>
      <x:c r="W45" s="42" t="n">
        <x:v>95</x:v>
      </x:c>
      <x:c r="X45" s="48" t="n">
        <x:v>0.95</x:v>
      </x:c>
      <x:c r="Y45" s="48" t="n">
        <x:v>0.9503680580734832</x:v>
      </x:c>
      <x:c r="Z45" s="45" t="b">
        <x:v>1</x:v>
      </x:c>
      <x:c r="AA45" s="43" t="n">
        <x:v>10000</x:v>
      </x:c>
      <x:c r="AB45" s="43" t="n">
        <x:v>9900</x:v>
      </x:c>
      <x:c r="AC45" s="43" t="n">
        <x:v>10000</x:v>
      </x:c>
      <x:c r="AD45" s="45" t="b">
        <x:v>1</x:v>
      </x:c>
      <x:c r="AE45" s="43" t="n">
        <x:v>9900</x:v>
      </x:c>
      <x:c r="AF45" s="43"/>
      <x:c r="AG45" s="43" t="n">
        <x:v>10000</x:v>
      </x:c>
      <x:c r="AH45" s="45" t="b">
        <x:v>1</x:v>
      </x:c>
      <x:c r="AI45" s="45" t="b">
        <x:v>1</x:v>
      </x:c>
      <x:c r="AJ45" s="49"/>
      <x:c r="AK45" s="48" t="n">
        <x:v>0.9503680580734832</x:v>
      </x:c>
      <x:c r="AL45" s="49"/>
      <x:c r="AM45" s="49"/>
      <x:c r="AN45" s="36" t="n">
        <x:v>1</x:v>
      </x:c>
      <x:c r="AO45" s="45" t="b">
        <x:v>1</x:v>
      </x:c>
      <x:c r="AP45" s="45" t="b">
        <x:v>1</x:v>
      </x:c>
      <x:c r="AQ45" s="46" t="n">
        <x:f>IF(T45="","",T45/'Readme-Protocol'!$B$24)</x:f>
        <x:v>5.000875955</x:v>
      </x:c>
      <x:c r="AR45" s="46" t="n">
        <x:f>IF(OR(S45="",S45=0),"",T45/S45)</x:f>
        <x:v>1.000175191</x:v>
      </x:c>
      <x:c r="AS45" s="46" t="n">
        <x:f>IF(OR(X45="",Y45=""),"",ABS(Y45-X45)*'Readme-Protocol'!$B$27)</x:f>
        <x:v>0.036805807348327946</x:v>
      </x:c>
      <x:c r="AT45" s="49" t="b">
        <x:f>AND(M45&gt;0,N45&gt;=0,O45&gt;0)</x:f>
        <x:v>1</x:v>
      </x:c>
      <x:c r="AU45" s="49" t="b">
        <x:f>AND(AT45,N45&gt;=M45)</x:f>
        <x:v>1</x:v>
      </x:c>
      <x:c r="AV45" s="49" t="b">
        <x:f>OR(S45=0,T45&gt;=S45)</x:f>
        <x:v>1</x:v>
      </x:c>
      <x:c r="AW45" s="49" t="b">
        <x:f>IF(I45="cache-semantics",OR(V45&lt;&gt;"uniform",ABS(Y45-W45/'Readme-Protocol'!$B$27)&lt;='Readme-Protocol'!$B$28),TRUE)</x:f>
        <x:v>1</x:v>
      </x:c>
      <x:c r="AX45" s="43" t="n">
        <x:f>IF(I45="cache-semantics",INT(AA45*'Readme-Protocol'!$B$32),"")</x:f>
        <x:v>9900</x:v>
      </x:c>
      <x:c r="AY45" s="49" t="b">
        <x:f>IF(I45="cache-semantics",AX45=AB45,TRUE)</x:f>
        <x:v>1</x:v>
      </x:c>
      <x:c r="AZ45" s="49" t="b">
        <x:f>IF(I45="cache-semantics",AX45=AE45,TRUE)</x:f>
        <x:v>1</x:v>
      </x:c>
      <x:c r="BA45" s="49" t="b">
        <x:f>IF(I45="cache-semantics",AC45&gt;=AX45,IF(I45="no-store-control",AC45=0,FALSE))</x:f>
        <x:v>1</x:v>
      </x:c>
      <x:c r="BB45" s="49" t="b">
        <x:f>IF(I45="cache-semantics",AG45&gt;=AX45,IF(I45="no-store-control",AG45=0,FALSE))</x:f>
        <x:v>1</x:v>
      </x:c>
      <x:c r="BC45" s="49" t="b">
        <x:f>AND(BA45,BB45)</x:f>
        <x:v>1</x:v>
      </x:c>
      <x:c r="BD45" s="49" t="b">
        <x:f>IF(I45="no-store-control",AND(AC45=0,AG45=0),TRUE)</x:f>
        <x:v>1</x:v>
      </x:c>
      <x:c r="BE45" s="49" t="b">
        <x:f>IF(I45="no-store-control",AK45=0,TRUE)</x:f>
        <x:v>1</x:v>
      </x:c>
      <x:c r="BF45" s="49" t="b">
        <x:f>IF(I45="cache-semantics",AN45=1,TRUE)</x:f>
        <x:v>1</x:v>
      </x:c>
      <x:c r="BG45" s="49" t="b">
        <x:f>IF(I45="cache-semantics",AND(AU45,AV45,Q45,AW45,BC45,BF45),IF(I45="no-store-control",AND(AU45,AV45,Q45,BD45,BE45),FALSE))</x:f>
        <x:v>1</x:v>
      </x:c>
      <x:c r="BH45" s="49" t="b">
        <x:f>AND(R45,AT45=P45,AU45=L45,AV45=U45,AY45,AZ45,IF(I45="cache-semantics",AND(AW45=Z45,AND(BA45=AD45,BB45=AH45,BC45=AI45),BF45=AO45),IF(I45="no-store-control",AND(AND(BA45=AD45,BB45=AH45,BC45=AI45),BD45=AJ45,BE45=AL45),FALSE)),BG45=AP45)</x:f>
        <x:v>1</x:v>
      </x:c>
      <x:c r="BI45" s="49" t="b">
        <x:f>AND(J45,K45,BG45)</x:f>
        <x:v>0</x:v>
      </x:c>
    </x:row>
    <x:row r="46">
      <x:c r="A46" s="34" t="str">
        <x:v>article1-unified-v4-2-fb3f101b-20260903-000401-default-f01-p5-jcs321</x:v>
      </x:c>
      <x:c r="B46" s="34" t="str">
        <x:v>default</x:v>
      </x:c>
      <x:c r="C46" s="34" t="str">
        <x:v>jcs321</x:v>
      </x:c>
      <x:c r="D46" s="36" t="n">
        <x:v>1</x:v>
      </x:c>
      <x:c r="E46" s="36" t="n">
        <x:v>1</x:v>
      </x:c>
      <x:c r="F46" s="36" t="n">
        <x:v>5</x:v>
      </x:c>
      <x:c r="G46" s="36" t="n">
        <x:v>3</x:v>
      </x:c>
      <x:c r="H46" s="34" t="str">
        <x:v>initial</x:v>
      </x:c>
      <x:c r="I46" s="34" t="str">
        <x:v>cache-semantics</x:v>
      </x:c>
      <x:c r="J46" s="45" t="b">
        <x:v>1</x:v>
      </x:c>
      <x:c r="K46" s="45" t="b">
        <x:v>0</x:v>
      </x:c>
      <x:c r="L46" s="45" t="b">
        <x:v>1</x:v>
      </x:c>
      <x:c r="M46" s="43" t="n">
        <x:v>400000</x:v>
      </x:c>
      <x:c r="N46" s="43" t="n">
        <x:v>11763712</x:v>
      </x:c>
      <x:c r="O46" s="43" t="n">
        <x:v>2352356.5641239956</x:v>
      </x:c>
      <x:c r="P46" s="45" t="b">
        <x:v>1</x:v>
      </x:c>
      <x:c r="Q46" s="45" t="b">
        <x:v>1</x:v>
      </x:c>
      <x:c r="R46" s="45" t="b">
        <x:v>1</x:v>
      </x:c>
      <x:c r="S46" s="43" t="n">
        <x:v>5000000000</x:v>
      </x:c>
      <x:c r="T46" s="43" t="n">
        <x:v>5000820105</x:v>
      </x:c>
      <x:c r="U46" s="45" t="b">
        <x:v>1</x:v>
      </x:c>
      <x:c r="V46" s="34" t="str">
        <x:v>uniform</x:v>
      </x:c>
      <x:c r="W46" s="42" t="n">
        <x:v>95</x:v>
      </x:c>
      <x:c r="X46" s="48" t="n">
        <x:v>0.95</x:v>
      </x:c>
      <x:c r="Y46" s="48" t="n">
        <x:v>0.9498799358569812</x:v>
      </x:c>
      <x:c r="Z46" s="45" t="b">
        <x:v>1</x:v>
      </x:c>
      <x:c r="AA46" s="43" t="n">
        <x:v>10000</x:v>
      </x:c>
      <x:c r="AB46" s="43" t="n">
        <x:v>9900</x:v>
      </x:c>
      <x:c r="AC46" s="43" t="n">
        <x:v>10000</x:v>
      </x:c>
      <x:c r="AD46" s="45" t="b">
        <x:v>1</x:v>
      </x:c>
      <x:c r="AE46" s="43" t="n">
        <x:v>9900</x:v>
      </x:c>
      <x:c r="AF46" s="43"/>
      <x:c r="AG46" s="43" t="n">
        <x:v>10000</x:v>
      </x:c>
      <x:c r="AH46" s="45" t="b">
        <x:v>1</x:v>
      </x:c>
      <x:c r="AI46" s="45" t="b">
        <x:v>1</x:v>
      </x:c>
      <x:c r="AJ46" s="49"/>
      <x:c r="AK46" s="48" t="n">
        <x:v>0.9498799358569812</x:v>
      </x:c>
      <x:c r="AL46" s="49"/>
      <x:c r="AM46" s="49"/>
      <x:c r="AN46" s="36" t="n">
        <x:v>1</x:v>
      </x:c>
      <x:c r="AO46" s="45" t="b">
        <x:v>1</x:v>
      </x:c>
      <x:c r="AP46" s="45" t="b">
        <x:v>1</x:v>
      </x:c>
      <x:c r="AQ46" s="46" t="n">
        <x:f>IF(T46="","",T46/'Readme-Protocol'!$B$24)</x:f>
        <x:v>5.000820105</x:v>
      </x:c>
      <x:c r="AR46" s="46" t="n">
        <x:f>IF(OR(S46="",S46=0),"",T46/S46)</x:f>
        <x:v>1.000164021</x:v>
      </x:c>
      <x:c r="AS46" s="46" t="n">
        <x:f>IF(OR(X46="",Y46=""),"",ABS(Y46-X46)*'Readme-Protocol'!$B$27)</x:f>
        <x:v>0.012006414301879431</x:v>
      </x:c>
      <x:c r="AT46" s="49" t="b">
        <x:f>AND(M46&gt;0,N46&gt;=0,O46&gt;0)</x:f>
        <x:v>1</x:v>
      </x:c>
      <x:c r="AU46" s="49" t="b">
        <x:f>AND(AT46,N46&gt;=M46)</x:f>
        <x:v>1</x:v>
      </x:c>
      <x:c r="AV46" s="49" t="b">
        <x:f>OR(S46=0,T46&gt;=S46)</x:f>
        <x:v>1</x:v>
      </x:c>
      <x:c r="AW46" s="49" t="b">
        <x:f>IF(I46="cache-semantics",OR(V46&lt;&gt;"uniform",ABS(Y46-W46/'Readme-Protocol'!$B$27)&lt;='Readme-Protocol'!$B$28),TRUE)</x:f>
        <x:v>1</x:v>
      </x:c>
      <x:c r="AX46" s="43" t="n">
        <x:f>IF(I46="cache-semantics",INT(AA46*'Readme-Protocol'!$B$32),"")</x:f>
        <x:v>9900</x:v>
      </x:c>
      <x:c r="AY46" s="49" t="b">
        <x:f>IF(I46="cache-semantics",AX46=AB46,TRUE)</x:f>
        <x:v>1</x:v>
      </x:c>
      <x:c r="AZ46" s="49" t="b">
        <x:f>IF(I46="cache-semantics",AX46=AE46,TRUE)</x:f>
        <x:v>1</x:v>
      </x:c>
      <x:c r="BA46" s="49" t="b">
        <x:f>IF(I46="cache-semantics",AC46&gt;=AX46,IF(I46="no-store-control",AC46=0,FALSE))</x:f>
        <x:v>1</x:v>
      </x:c>
      <x:c r="BB46" s="49" t="b">
        <x:f>IF(I46="cache-semantics",AG46&gt;=AX46,IF(I46="no-store-control",AG46=0,FALSE))</x:f>
        <x:v>1</x:v>
      </x:c>
      <x:c r="BC46" s="49" t="b">
        <x:f>AND(BA46,BB46)</x:f>
        <x:v>1</x:v>
      </x:c>
      <x:c r="BD46" s="49" t="b">
        <x:f>IF(I46="no-store-control",AND(AC46=0,AG46=0),TRUE)</x:f>
        <x:v>1</x:v>
      </x:c>
      <x:c r="BE46" s="49" t="b">
        <x:f>IF(I46="no-store-control",AK46=0,TRUE)</x:f>
        <x:v>1</x:v>
      </x:c>
      <x:c r="BF46" s="49" t="b">
        <x:f>IF(I46="cache-semantics",AN46=1,TRUE)</x:f>
        <x:v>1</x:v>
      </x:c>
      <x:c r="BG46" s="49" t="b">
        <x:f>IF(I46="cache-semantics",AND(AU46,AV46,Q46,AW46,BC46,BF46),IF(I46="no-store-control",AND(AU46,AV46,Q46,BD46,BE46),FALSE))</x:f>
        <x:v>1</x:v>
      </x:c>
      <x:c r="BH46" s="49" t="b">
        <x:f>AND(R46,AT46=P46,AU46=L46,AV46=U46,AY46,AZ46,IF(I46="cache-semantics",AND(AW46=Z46,AND(BA46=AD46,BB46=AH46,BC46=AI46),BF46=AO46),IF(I46="no-store-control",AND(AND(BA46=AD46,BB46=AH46,BC46=AI46),BD46=AJ46,BE46=AL46),FALSE)),BG46=AP46)</x:f>
        <x:v>1</x:v>
      </x:c>
      <x:c r="BI46" s="49" t="b">
        <x:f>AND(J46,K46,BG46)</x:f>
        <x:v>0</x:v>
      </x:c>
    </x:row>
    <x:row r="47">
      <x:c r="A47" s="34" t="str">
        <x:v>article1-unified-v4-2-fb3f101b-20260903-000401-default-f01-p5-jcs321</x:v>
      </x:c>
      <x:c r="B47" s="34" t="str">
        <x:v>default</x:v>
      </x:c>
      <x:c r="C47" s="34" t="str">
        <x:v>jcs321</x:v>
      </x:c>
      <x:c r="D47" s="36" t="n">
        <x:v>1</x:v>
      </x:c>
      <x:c r="E47" s="36" t="n">
        <x:v>1</x:v>
      </x:c>
      <x:c r="F47" s="36" t="n">
        <x:v>5</x:v>
      </x:c>
      <x:c r="G47" s="36" t="n">
        <x:v>3</x:v>
      </x:c>
      <x:c r="H47" s="34" t="str">
        <x:v>redeploy</x:v>
      </x:c>
      <x:c r="I47" s="34" t="str">
        <x:v>cache-semantics</x:v>
      </x:c>
      <x:c r="J47" s="45" t="b">
        <x:v>1</x:v>
      </x:c>
      <x:c r="K47" s="45" t="b">
        <x:v>0</x:v>
      </x:c>
      <x:c r="L47" s="45" t="b">
        <x:v>1</x:v>
      </x:c>
      <x:c r="M47" s="43" t="n">
        <x:v>400000</x:v>
      </x:c>
      <x:c r="N47" s="43" t="n">
        <x:v>13006592</x:v>
      </x:c>
      <x:c r="O47" s="43" t="n">
        <x:v>2600785.1204545056</x:v>
      </x:c>
      <x:c r="P47" s="45" t="b">
        <x:v>1</x:v>
      </x:c>
      <x:c r="Q47" s="45" t="b">
        <x:v>1</x:v>
      </x:c>
      <x:c r="R47" s="45" t="b">
        <x:v>1</x:v>
      </x:c>
      <x:c r="S47" s="43" t="n">
        <x:v>5000000000</x:v>
      </x:c>
      <x:c r="T47" s="43" t="n">
        <x:v>5001025228</x:v>
      </x:c>
      <x:c r="U47" s="45" t="b">
        <x:v>1</x:v>
      </x:c>
      <x:c r="V47" s="34" t="str">
        <x:v>uniform</x:v>
      </x:c>
      <x:c r="W47" s="42" t="n">
        <x:v>95</x:v>
      </x:c>
      <x:c r="X47" s="48" t="n">
        <x:v>0.95</x:v>
      </x:c>
      <x:c r="Y47" s="48" t="n">
        <x:v>0.9498877953579231</x:v>
      </x:c>
      <x:c r="Z47" s="45" t="b">
        <x:v>1</x:v>
      </x:c>
      <x:c r="AA47" s="43" t="n">
        <x:v>10000</x:v>
      </x:c>
      <x:c r="AB47" s="43" t="n">
        <x:v>9900</x:v>
      </x:c>
      <x:c r="AC47" s="43" t="n">
        <x:v>10000</x:v>
      </x:c>
      <x:c r="AD47" s="45" t="b">
        <x:v>1</x:v>
      </x:c>
      <x:c r="AE47" s="43" t="n">
        <x:v>9900</x:v>
      </x:c>
      <x:c r="AF47" s="43"/>
      <x:c r="AG47" s="43" t="n">
        <x:v>10000</x:v>
      </x:c>
      <x:c r="AH47" s="45" t="b">
        <x:v>1</x:v>
      </x:c>
      <x:c r="AI47" s="45" t="b">
        <x:v>1</x:v>
      </x:c>
      <x:c r="AJ47" s="49"/>
      <x:c r="AK47" s="48" t="n">
        <x:v>0.9498877953579231</x:v>
      </x:c>
      <x:c r="AL47" s="49"/>
      <x:c r="AM47" s="49"/>
      <x:c r="AN47" s="36" t="n">
        <x:v>1</x:v>
      </x:c>
      <x:c r="AO47" s="45" t="b">
        <x:v>1</x:v>
      </x:c>
      <x:c r="AP47" s="45" t="b">
        <x:v>1</x:v>
      </x:c>
      <x:c r="AQ47" s="46" t="n">
        <x:f>IF(T47="","",T47/'Readme-Protocol'!$B$24)</x:f>
        <x:v>5.001025228</x:v>
      </x:c>
      <x:c r="AR47" s="46" t="n">
        <x:f>IF(OR(S47="",S47=0),"",T47/S47)</x:f>
        <x:v>1.0002050456</x:v>
      </x:c>
      <x:c r="AS47" s="46" t="n">
        <x:f>IF(OR(X47="",Y47=""),"",ABS(Y47-X47)*'Readme-Protocol'!$B$27)</x:f>
        <x:v>0.011220464207684078</x:v>
      </x:c>
      <x:c r="AT47" s="49" t="b">
        <x:f>AND(M47&gt;0,N47&gt;=0,O47&gt;0)</x:f>
        <x:v>1</x:v>
      </x:c>
      <x:c r="AU47" s="49" t="b">
        <x:f>AND(AT47,N47&gt;=M47)</x:f>
        <x:v>1</x:v>
      </x:c>
      <x:c r="AV47" s="49" t="b">
        <x:f>OR(S47=0,T47&gt;=S47)</x:f>
        <x:v>1</x:v>
      </x:c>
      <x:c r="AW47" s="49" t="b">
        <x:f>IF(I47="cache-semantics",OR(V47&lt;&gt;"uniform",ABS(Y47-W47/'Readme-Protocol'!$B$27)&lt;='Readme-Protocol'!$B$28),TRUE)</x:f>
        <x:v>1</x:v>
      </x:c>
      <x:c r="AX47" s="43" t="n">
        <x:f>IF(I47="cache-semantics",INT(AA47*'Readme-Protocol'!$B$32),"")</x:f>
        <x:v>9900</x:v>
      </x:c>
      <x:c r="AY47" s="49" t="b">
        <x:f>IF(I47="cache-semantics",AX47=AB47,TRUE)</x:f>
        <x:v>1</x:v>
      </x:c>
      <x:c r="AZ47" s="49" t="b">
        <x:f>IF(I47="cache-semantics",AX47=AE47,TRUE)</x:f>
        <x:v>1</x:v>
      </x:c>
      <x:c r="BA47" s="49" t="b">
        <x:f>IF(I47="cache-semantics",AC47&gt;=AX47,IF(I47="no-store-control",AC47=0,FALSE))</x:f>
        <x:v>1</x:v>
      </x:c>
      <x:c r="BB47" s="49" t="b">
        <x:f>IF(I47="cache-semantics",AG47&gt;=AX47,IF(I47="no-store-control",AG47=0,FALSE))</x:f>
        <x:v>1</x:v>
      </x:c>
      <x:c r="BC47" s="49" t="b">
        <x:f>AND(BA47,BB47)</x:f>
        <x:v>1</x:v>
      </x:c>
      <x:c r="BD47" s="49" t="b">
        <x:f>IF(I47="no-store-control",AND(AC47=0,AG47=0),TRUE)</x:f>
        <x:v>1</x:v>
      </x:c>
      <x:c r="BE47" s="49" t="b">
        <x:f>IF(I47="no-store-control",AK47=0,TRUE)</x:f>
        <x:v>1</x:v>
      </x:c>
      <x:c r="BF47" s="49" t="b">
        <x:f>IF(I47="cache-semantics",AN47=1,TRUE)</x:f>
        <x:v>1</x:v>
      </x:c>
      <x:c r="BG47" s="49" t="b">
        <x:f>IF(I47="cache-semantics",AND(AU47,AV47,Q47,AW47,BC47,BF47),IF(I47="no-store-control",AND(AU47,AV47,Q47,BD47,BE47),FALSE))</x:f>
        <x:v>1</x:v>
      </x:c>
      <x:c r="BH47" s="49" t="b">
        <x:f>AND(R47,AT47=P47,AU47=L47,AV47=U47,AY47,AZ47,IF(I47="cache-semantics",AND(AW47=Z47,AND(BA47=AD47,BB47=AH47,BC47=AI47),BF47=AO47),IF(I47="no-store-control",AND(AND(BA47=AD47,BB47=AH47,BC47=AI47),BD47=AJ47,BE47=AL47),FALSE)),BG47=AP47)</x:f>
        <x:v>1</x:v>
      </x:c>
      <x:c r="BI47" s="49" t="b">
        <x:f>AND(J47,K47,BG47)</x:f>
        <x:v>0</x:v>
      </x:c>
    </x:row>
    <x:row r="48">
      <x:c r="A48" s="34" t="str">
        <x:v>article1-unified-v4-2-fb3f101b-20260903-000401-default-f01-p5-jcs321</x:v>
      </x:c>
      <x:c r="B48" s="34" t="str">
        <x:v>default</x:v>
      </x:c>
      <x:c r="C48" s="34" t="str">
        <x:v>jcs321</x:v>
      </x:c>
      <x:c r="D48" s="36" t="n">
        <x:v>1</x:v>
      </x:c>
      <x:c r="E48" s="36" t="n">
        <x:v>1</x:v>
      </x:c>
      <x:c r="F48" s="36" t="n">
        <x:v>5</x:v>
      </x:c>
      <x:c r="G48" s="36" t="n">
        <x:v>4</x:v>
      </x:c>
      <x:c r="H48" s="34" t="str">
        <x:v>initial</x:v>
      </x:c>
      <x:c r="I48" s="34" t="str">
        <x:v>cache-semantics</x:v>
      </x:c>
      <x:c r="J48" s="45" t="b">
        <x:v>1</x:v>
      </x:c>
      <x:c r="K48" s="45" t="b">
        <x:v>0</x:v>
      </x:c>
      <x:c r="L48" s="45" t="b">
        <x:v>1</x:v>
      </x:c>
      <x:c r="M48" s="43" t="n">
        <x:v>400000</x:v>
      </x:c>
      <x:c r="N48" s="43" t="n">
        <x:v>12488960</x:v>
      </x:c>
      <x:c r="O48" s="43" t="n">
        <x:v>2497511.988446401</x:v>
      </x:c>
      <x:c r="P48" s="45" t="b">
        <x:v>1</x:v>
      </x:c>
      <x:c r="Q48" s="45" t="b">
        <x:v>1</x:v>
      </x:c>
      <x:c r="R48" s="45" t="b">
        <x:v>1</x:v>
      </x:c>
      <x:c r="S48" s="43" t="n">
        <x:v>5000000000</x:v>
      </x:c>
      <x:c r="T48" s="43" t="n">
        <x:v>5000560581</x:v>
      </x:c>
      <x:c r="U48" s="45" t="b">
        <x:v>1</x:v>
      </x:c>
      <x:c r="V48" s="34" t="str">
        <x:v>uniform</x:v>
      </x:c>
      <x:c r="W48" s="42" t="n">
        <x:v>95</x:v>
      </x:c>
      <x:c r="X48" s="48" t="n">
        <x:v>0.95</x:v>
      </x:c>
      <x:c r="Y48" s="48" t="n">
        <x:v>0.9499754983601517</x:v>
      </x:c>
      <x:c r="Z48" s="45" t="b">
        <x:v>1</x:v>
      </x:c>
      <x:c r="AA48" s="43" t="n">
        <x:v>10000</x:v>
      </x:c>
      <x:c r="AB48" s="43" t="n">
        <x:v>9900</x:v>
      </x:c>
      <x:c r="AC48" s="43" t="n">
        <x:v>10000</x:v>
      </x:c>
      <x:c r="AD48" s="45" t="b">
        <x:v>1</x:v>
      </x:c>
      <x:c r="AE48" s="43" t="n">
        <x:v>9900</x:v>
      </x:c>
      <x:c r="AF48" s="43"/>
      <x:c r="AG48" s="43" t="n">
        <x:v>10000</x:v>
      </x:c>
      <x:c r="AH48" s="45" t="b">
        <x:v>1</x:v>
      </x:c>
      <x:c r="AI48" s="45" t="b">
        <x:v>1</x:v>
      </x:c>
      <x:c r="AJ48" s="49"/>
      <x:c r="AK48" s="48" t="n">
        <x:v>0.9499754983601517</x:v>
      </x:c>
      <x:c r="AL48" s="49"/>
      <x:c r="AM48" s="49"/>
      <x:c r="AN48" s="36" t="n">
        <x:v>1</x:v>
      </x:c>
      <x:c r="AO48" s="45" t="b">
        <x:v>1</x:v>
      </x:c>
      <x:c r="AP48" s="45" t="b">
        <x:v>1</x:v>
      </x:c>
      <x:c r="AQ48" s="46" t="n">
        <x:f>IF(T48="","",T48/'Readme-Protocol'!$B$24)</x:f>
        <x:v>5.000560581</x:v>
      </x:c>
      <x:c r="AR48" s="46" t="n">
        <x:f>IF(OR(S48="",S48=0),"",T48/S48)</x:f>
        <x:v>1.0001121162</x:v>
      </x:c>
      <x:c r="AS48" s="46" t="n">
        <x:f>IF(OR(X48="",Y48=""),"",ABS(Y48-X48)*'Readme-Protocol'!$B$27)</x:f>
        <x:v>0.0024501639848240053</x:v>
      </x:c>
      <x:c r="AT48" s="49" t="b">
        <x:f>AND(M48&gt;0,N48&gt;=0,O48&gt;0)</x:f>
        <x:v>1</x:v>
      </x:c>
      <x:c r="AU48" s="49" t="b">
        <x:f>AND(AT48,N48&gt;=M48)</x:f>
        <x:v>1</x:v>
      </x:c>
      <x:c r="AV48" s="49" t="b">
        <x:f>OR(S48=0,T48&gt;=S48)</x:f>
        <x:v>1</x:v>
      </x:c>
      <x:c r="AW48" s="49" t="b">
        <x:f>IF(I48="cache-semantics",OR(V48&lt;&gt;"uniform",ABS(Y48-W48/'Readme-Protocol'!$B$27)&lt;='Readme-Protocol'!$B$28),TRUE)</x:f>
        <x:v>1</x:v>
      </x:c>
      <x:c r="AX48" s="43" t="n">
        <x:f>IF(I48="cache-semantics",INT(AA48*'Readme-Protocol'!$B$32),"")</x:f>
        <x:v>9900</x:v>
      </x:c>
      <x:c r="AY48" s="49" t="b">
        <x:f>IF(I48="cache-semantics",AX48=AB48,TRUE)</x:f>
        <x:v>1</x:v>
      </x:c>
      <x:c r="AZ48" s="49" t="b">
        <x:f>IF(I48="cache-semantics",AX48=AE48,TRUE)</x:f>
        <x:v>1</x:v>
      </x:c>
      <x:c r="BA48" s="49" t="b">
        <x:f>IF(I48="cache-semantics",AC48&gt;=AX48,IF(I48="no-store-control",AC48=0,FALSE))</x:f>
        <x:v>1</x:v>
      </x:c>
      <x:c r="BB48" s="49" t="b">
        <x:f>IF(I48="cache-semantics",AG48&gt;=AX48,IF(I48="no-store-control",AG48=0,FALSE))</x:f>
        <x:v>1</x:v>
      </x:c>
      <x:c r="BC48" s="49" t="b">
        <x:f>AND(BA48,BB48)</x:f>
        <x:v>1</x:v>
      </x:c>
      <x:c r="BD48" s="49" t="b">
        <x:f>IF(I48="no-store-control",AND(AC48=0,AG48=0),TRUE)</x:f>
        <x:v>1</x:v>
      </x:c>
      <x:c r="BE48" s="49" t="b">
        <x:f>IF(I48="no-store-control",AK48=0,TRUE)</x:f>
        <x:v>1</x:v>
      </x:c>
      <x:c r="BF48" s="49" t="b">
        <x:f>IF(I48="cache-semantics",AN48=1,TRUE)</x:f>
        <x:v>1</x:v>
      </x:c>
      <x:c r="BG48" s="49" t="b">
        <x:f>IF(I48="cache-semantics",AND(AU48,AV48,Q48,AW48,BC48,BF48),IF(I48="no-store-control",AND(AU48,AV48,Q48,BD48,BE48),FALSE))</x:f>
        <x:v>1</x:v>
      </x:c>
      <x:c r="BH48" s="49" t="b">
        <x:f>AND(R48,AT48=P48,AU48=L48,AV48=U48,AY48,AZ48,IF(I48="cache-semantics",AND(AW48=Z48,AND(BA48=AD48,BB48=AH48,BC48=AI48),BF48=AO48),IF(I48="no-store-control",AND(AND(BA48=AD48,BB48=AH48,BC48=AI48),BD48=AJ48,BE48=AL48),FALSE)),BG48=AP48)</x:f>
        <x:v>1</x:v>
      </x:c>
      <x:c r="BI48" s="49" t="b">
        <x:f>AND(J48,K48,BG48)</x:f>
        <x:v>0</x:v>
      </x:c>
    </x:row>
    <x:row r="49">
      <x:c r="A49" s="34" t="str">
        <x:v>article1-unified-v4-2-fb3f101b-20260903-000401-default-f01-p5-jcs321</x:v>
      </x:c>
      <x:c r="B49" s="34" t="str">
        <x:v>default</x:v>
      </x:c>
      <x:c r="C49" s="34" t="str">
        <x:v>jcs321</x:v>
      </x:c>
      <x:c r="D49" s="36" t="n">
        <x:v>1</x:v>
      </x:c>
      <x:c r="E49" s="36" t="n">
        <x:v>1</x:v>
      </x:c>
      <x:c r="F49" s="36" t="n">
        <x:v>5</x:v>
      </x:c>
      <x:c r="G49" s="36" t="n">
        <x:v>4</x:v>
      </x:c>
      <x:c r="H49" s="34" t="str">
        <x:v>redeploy</x:v>
      </x:c>
      <x:c r="I49" s="34" t="str">
        <x:v>cache-semantics</x:v>
      </x:c>
      <x:c r="J49" s="45" t="b">
        <x:v>1</x:v>
      </x:c>
      <x:c r="K49" s="45" t="b">
        <x:v>0</x:v>
      </x:c>
      <x:c r="L49" s="45" t="b">
        <x:v>1</x:v>
      </x:c>
      <x:c r="M49" s="43" t="n">
        <x:v>400000</x:v>
      </x:c>
      <x:c r="N49" s="43" t="n">
        <x:v>13937152</x:v>
      </x:c>
      <x:c r="O49" s="43" t="n">
        <x:v>2787083.5134543316</x:v>
      </x:c>
      <x:c r="P49" s="45" t="b">
        <x:v>1</x:v>
      </x:c>
      <x:c r="Q49" s="45" t="b">
        <x:v>1</x:v>
      </x:c>
      <x:c r="R49" s="45" t="b">
        <x:v>1</x:v>
      </x:c>
      <x:c r="S49" s="43" t="n">
        <x:v>5000000000</x:v>
      </x:c>
      <x:c r="T49" s="43" t="n">
        <x:v>5000622311</x:v>
      </x:c>
      <x:c r="U49" s="45" t="b">
        <x:v>1</x:v>
      </x:c>
      <x:c r="V49" s="34" t="str">
        <x:v>uniform</x:v>
      </x:c>
      <x:c r="W49" s="42" t="n">
        <x:v>95</x:v>
      </x:c>
      <x:c r="X49" s="48" t="n">
        <x:v>0.95</x:v>
      </x:c>
      <x:c r="Y49" s="48" t="n">
        <x:v>0.9499684727554094</x:v>
      </x:c>
      <x:c r="Z49" s="45" t="b">
        <x:v>1</x:v>
      </x:c>
      <x:c r="AA49" s="43" t="n">
        <x:v>10000</x:v>
      </x:c>
      <x:c r="AB49" s="43" t="n">
        <x:v>9900</x:v>
      </x:c>
      <x:c r="AC49" s="43" t="n">
        <x:v>10000</x:v>
      </x:c>
      <x:c r="AD49" s="45" t="b">
        <x:v>1</x:v>
      </x:c>
      <x:c r="AE49" s="43" t="n">
        <x:v>9900</x:v>
      </x:c>
      <x:c r="AF49" s="43"/>
      <x:c r="AG49" s="43" t="n">
        <x:v>10000</x:v>
      </x:c>
      <x:c r="AH49" s="45" t="b">
        <x:v>1</x:v>
      </x:c>
      <x:c r="AI49" s="45" t="b">
        <x:v>1</x:v>
      </x:c>
      <x:c r="AJ49" s="49"/>
      <x:c r="AK49" s="48" t="n">
        <x:v>0.9499684727554094</x:v>
      </x:c>
      <x:c r="AL49" s="49"/>
      <x:c r="AM49" s="49"/>
      <x:c r="AN49" s="36" t="n">
        <x:v>1</x:v>
      </x:c>
      <x:c r="AO49" s="45" t="b">
        <x:v>1</x:v>
      </x:c>
      <x:c r="AP49" s="45" t="b">
        <x:v>1</x:v>
      </x:c>
      <x:c r="AQ49" s="46" t="n">
        <x:f>IF(T49="","",T49/'Readme-Protocol'!$B$24)</x:f>
        <x:v>5.000622311</x:v>
      </x:c>
      <x:c r="AR49" s="46" t="n">
        <x:f>IF(OR(S49="",S49=0),"",T49/S49)</x:f>
        <x:v>1.0001244622</x:v>
      </x:c>
      <x:c r="AS49" s="46" t="n">
        <x:f>IF(OR(X49="",Y49=""),"",ABS(Y49-X49)*'Readme-Protocol'!$B$27)</x:f>
        <x:v>0.0031527244590545678</x:v>
      </x:c>
      <x:c r="AT49" s="49" t="b">
        <x:f>AND(M49&gt;0,N49&gt;=0,O49&gt;0)</x:f>
        <x:v>1</x:v>
      </x:c>
      <x:c r="AU49" s="49" t="b">
        <x:f>AND(AT49,N49&gt;=M49)</x:f>
        <x:v>1</x:v>
      </x:c>
      <x:c r="AV49" s="49" t="b">
        <x:f>OR(S49=0,T49&gt;=S49)</x:f>
        <x:v>1</x:v>
      </x:c>
      <x:c r="AW49" s="49" t="b">
        <x:f>IF(I49="cache-semantics",OR(V49&lt;&gt;"uniform",ABS(Y49-W49/'Readme-Protocol'!$B$27)&lt;='Readme-Protocol'!$B$28),TRUE)</x:f>
        <x:v>1</x:v>
      </x:c>
      <x:c r="AX49" s="43" t="n">
        <x:f>IF(I49="cache-semantics",INT(AA49*'Readme-Protocol'!$B$32),"")</x:f>
        <x:v>9900</x:v>
      </x:c>
      <x:c r="AY49" s="49" t="b">
        <x:f>IF(I49="cache-semantics",AX49=AB49,TRUE)</x:f>
        <x:v>1</x:v>
      </x:c>
      <x:c r="AZ49" s="49" t="b">
        <x:f>IF(I49="cache-semantics",AX49=AE49,TRUE)</x:f>
        <x:v>1</x:v>
      </x:c>
      <x:c r="BA49" s="49" t="b">
        <x:f>IF(I49="cache-semantics",AC49&gt;=AX49,IF(I49="no-store-control",AC49=0,FALSE))</x:f>
        <x:v>1</x:v>
      </x:c>
      <x:c r="BB49" s="49" t="b">
        <x:f>IF(I49="cache-semantics",AG49&gt;=AX49,IF(I49="no-store-control",AG49=0,FALSE))</x:f>
        <x:v>1</x:v>
      </x:c>
      <x:c r="BC49" s="49" t="b">
        <x:f>AND(BA49,BB49)</x:f>
        <x:v>1</x:v>
      </x:c>
      <x:c r="BD49" s="49" t="b">
        <x:f>IF(I49="no-store-control",AND(AC49=0,AG49=0),TRUE)</x:f>
        <x:v>1</x:v>
      </x:c>
      <x:c r="BE49" s="49" t="b">
        <x:f>IF(I49="no-store-control",AK49=0,TRUE)</x:f>
        <x:v>1</x:v>
      </x:c>
      <x:c r="BF49" s="49" t="b">
        <x:f>IF(I49="cache-semantics",AN49=1,TRUE)</x:f>
        <x:v>1</x:v>
      </x:c>
      <x:c r="BG49" s="49" t="b">
        <x:f>IF(I49="cache-semantics",AND(AU49,AV49,Q49,AW49,BC49,BF49),IF(I49="no-store-control",AND(AU49,AV49,Q49,BD49,BE49),FALSE))</x:f>
        <x:v>1</x:v>
      </x:c>
      <x:c r="BH49" s="49" t="b">
        <x:f>AND(R49,AT49=P49,AU49=L49,AV49=U49,AY49,AZ49,IF(I49="cache-semantics",AND(AW49=Z49,AND(BA49=AD49,BB49=AH49,BC49=AI49),BF49=AO49),IF(I49="no-store-control",AND(AND(BA49=AD49,BB49=AH49,BC49=AI49),BD49=AJ49,BE49=AL49),FALSE)),BG49=AP49)</x:f>
        <x:v>1</x:v>
      </x:c>
      <x:c r="BI49" s="49" t="b">
        <x:f>AND(J49,K49,BG49)</x:f>
        <x:v>0</x:v>
      </x:c>
    </x:row>
    <x:row r="50">
      <x:c r="A50" s="34" t="str">
        <x:v>article1-unified-v4-2-fb3f101b-20260903-000401-default-f01-p5-jcs321</x:v>
      </x:c>
      <x:c r="B50" s="34" t="str">
        <x:v>default</x:v>
      </x:c>
      <x:c r="C50" s="34" t="str">
        <x:v>jcs321</x:v>
      </x:c>
      <x:c r="D50" s="36" t="n">
        <x:v>1</x:v>
      </x:c>
      <x:c r="E50" s="36" t="n">
        <x:v>1</x:v>
      </x:c>
      <x:c r="F50" s="36" t="n">
        <x:v>5</x:v>
      </x:c>
      <x:c r="G50" s="36" t="n">
        <x:v>5</x:v>
      </x:c>
      <x:c r="H50" s="34" t="str">
        <x:v>initial</x:v>
      </x:c>
      <x:c r="I50" s="34" t="str">
        <x:v>cache-semantics</x:v>
      </x:c>
      <x:c r="J50" s="45" t="b">
        <x:v>1</x:v>
      </x:c>
      <x:c r="K50" s="45" t="b">
        <x:v>0</x:v>
      </x:c>
      <x:c r="L50" s="45" t="b">
        <x:v>1</x:v>
      </x:c>
      <x:c r="M50" s="43" t="n">
        <x:v>400000</x:v>
      </x:c>
      <x:c r="N50" s="43" t="n">
        <x:v>10448896</x:v>
      </x:c>
      <x:c r="O50" s="43" t="n">
        <x:v>2089336.9809634269</x:v>
      </x:c>
      <x:c r="P50" s="45" t="b">
        <x:v>1</x:v>
      </x:c>
      <x:c r="Q50" s="45" t="b">
        <x:v>1</x:v>
      </x:c>
      <x:c r="R50" s="45" t="b">
        <x:v>1</x:v>
      </x:c>
      <x:c r="S50" s="43" t="n">
        <x:v>5000000000</x:v>
      </x:c>
      <x:c r="T50" s="43" t="n">
        <x:v>5001058276</x:v>
      </x:c>
      <x:c r="U50" s="45" t="b">
        <x:v>1</x:v>
      </x:c>
      <x:c r="V50" s="34" t="str">
        <x:v>uniform</x:v>
      </x:c>
      <x:c r="W50" s="42" t="n">
        <x:v>95</x:v>
      </x:c>
      <x:c r="X50" s="48" t="n">
        <x:v>0.95</x:v>
      </x:c>
      <x:c r="Y50" s="48" t="n">
        <x:v>0.9505005122072226</x:v>
      </x:c>
      <x:c r="Z50" s="45" t="b">
        <x:v>1</x:v>
      </x:c>
      <x:c r="AA50" s="43" t="n">
        <x:v>10000</x:v>
      </x:c>
      <x:c r="AB50" s="43" t="n">
        <x:v>9900</x:v>
      </x:c>
      <x:c r="AC50" s="43" t="n">
        <x:v>10000</x:v>
      </x:c>
      <x:c r="AD50" s="45" t="b">
        <x:v>1</x:v>
      </x:c>
      <x:c r="AE50" s="43" t="n">
        <x:v>9900</x:v>
      </x:c>
      <x:c r="AF50" s="43"/>
      <x:c r="AG50" s="43" t="n">
        <x:v>10000</x:v>
      </x:c>
      <x:c r="AH50" s="45" t="b">
        <x:v>1</x:v>
      </x:c>
      <x:c r="AI50" s="45" t="b">
        <x:v>1</x:v>
      </x:c>
      <x:c r="AJ50" s="49"/>
      <x:c r="AK50" s="48" t="n">
        <x:v>0.9505005122072226</x:v>
      </x:c>
      <x:c r="AL50" s="49"/>
      <x:c r="AM50" s="49"/>
      <x:c r="AN50" s="36" t="n">
        <x:v>1</x:v>
      </x:c>
      <x:c r="AO50" s="45" t="b">
        <x:v>1</x:v>
      </x:c>
      <x:c r="AP50" s="45" t="b">
        <x:v>1</x:v>
      </x:c>
      <x:c r="AQ50" s="46" t="n">
        <x:f>IF(T50="","",T50/'Readme-Protocol'!$B$24)</x:f>
        <x:v>5.001058276</x:v>
      </x:c>
      <x:c r="AR50" s="46" t="n">
        <x:f>IF(OR(S50="",S50=0),"",T50/S50)</x:f>
        <x:v>1.0002116552</x:v>
      </x:c>
      <x:c r="AS50" s="46" t="n">
        <x:f>IF(OR(X50="",Y50=""),"",ABS(Y50-X50)*'Readme-Protocol'!$B$27)</x:f>
        <x:v>0.050051220722269196</x:v>
      </x:c>
      <x:c r="AT50" s="49" t="b">
        <x:f>AND(M50&gt;0,N50&gt;=0,O50&gt;0)</x:f>
        <x:v>1</x:v>
      </x:c>
      <x:c r="AU50" s="49" t="b">
        <x:f>AND(AT50,N50&gt;=M50)</x:f>
        <x:v>1</x:v>
      </x:c>
      <x:c r="AV50" s="49" t="b">
        <x:f>OR(S50=0,T50&gt;=S50)</x:f>
        <x:v>1</x:v>
      </x:c>
      <x:c r="AW50" s="49" t="b">
        <x:f>IF(I50="cache-semantics",OR(V50&lt;&gt;"uniform",ABS(Y50-W50/'Readme-Protocol'!$B$27)&lt;='Readme-Protocol'!$B$28),TRUE)</x:f>
        <x:v>1</x:v>
      </x:c>
      <x:c r="AX50" s="43" t="n">
        <x:f>IF(I50="cache-semantics",INT(AA50*'Readme-Protocol'!$B$32),"")</x:f>
        <x:v>9900</x:v>
      </x:c>
      <x:c r="AY50" s="49" t="b">
        <x:f>IF(I50="cache-semantics",AX50=AB50,TRUE)</x:f>
        <x:v>1</x:v>
      </x:c>
      <x:c r="AZ50" s="49" t="b">
        <x:f>IF(I50="cache-semantics",AX50=AE50,TRUE)</x:f>
        <x:v>1</x:v>
      </x:c>
      <x:c r="BA50" s="49" t="b">
        <x:f>IF(I50="cache-semantics",AC50&gt;=AX50,IF(I50="no-store-control",AC50=0,FALSE))</x:f>
        <x:v>1</x:v>
      </x:c>
      <x:c r="BB50" s="49" t="b">
        <x:f>IF(I50="cache-semantics",AG50&gt;=AX50,IF(I50="no-store-control",AG50=0,FALSE))</x:f>
        <x:v>1</x:v>
      </x:c>
      <x:c r="BC50" s="49" t="b">
        <x:f>AND(BA50,BB50)</x:f>
        <x:v>1</x:v>
      </x:c>
      <x:c r="BD50" s="49" t="b">
        <x:f>IF(I50="no-store-control",AND(AC50=0,AG50=0),TRUE)</x:f>
        <x:v>1</x:v>
      </x:c>
      <x:c r="BE50" s="49" t="b">
        <x:f>IF(I50="no-store-control",AK50=0,TRUE)</x:f>
        <x:v>1</x:v>
      </x:c>
      <x:c r="BF50" s="49" t="b">
        <x:f>IF(I50="cache-semantics",AN50=1,TRUE)</x:f>
        <x:v>1</x:v>
      </x:c>
      <x:c r="BG50" s="49" t="b">
        <x:f>IF(I50="cache-semantics",AND(AU50,AV50,Q50,AW50,BC50,BF50),IF(I50="no-store-control",AND(AU50,AV50,Q50,BD50,BE50),FALSE))</x:f>
        <x:v>1</x:v>
      </x:c>
      <x:c r="BH50" s="49" t="b">
        <x:f>AND(R50,AT50=P50,AU50=L50,AV50=U50,AY50,AZ50,IF(I50="cache-semantics",AND(AW50=Z50,AND(BA50=AD50,BB50=AH50,BC50=AI50),BF50=AO50),IF(I50="no-store-control",AND(AND(BA50=AD50,BB50=AH50,BC50=AI50),BD50=AJ50,BE50=AL50),FALSE)),BG50=AP50)</x:f>
        <x:v>1</x:v>
      </x:c>
      <x:c r="BI50" s="49" t="b">
        <x:f>AND(J50,K50,BG50)</x:f>
        <x:v>0</x:v>
      </x:c>
    </x:row>
    <x:row r="51">
      <x:c r="A51" s="34" t="str">
        <x:v>article1-unified-v4-2-fb3f101b-20260903-000401-default-f01-p5-jcs321</x:v>
      </x:c>
      <x:c r="B51" s="34" t="str">
        <x:v>default</x:v>
      </x:c>
      <x:c r="C51" s="34" t="str">
        <x:v>jcs321</x:v>
      </x:c>
      <x:c r="D51" s="36" t="n">
        <x:v>1</x:v>
      </x:c>
      <x:c r="E51" s="36" t="n">
        <x:v>1</x:v>
      </x:c>
      <x:c r="F51" s="36" t="n">
        <x:v>5</x:v>
      </x:c>
      <x:c r="G51" s="36" t="n">
        <x:v>5</x:v>
      </x:c>
      <x:c r="H51" s="34" t="str">
        <x:v>redeploy</x:v>
      </x:c>
      <x:c r="I51" s="34" t="str">
        <x:v>cache-semantics</x:v>
      </x:c>
      <x:c r="J51" s="45" t="b">
        <x:v>1</x:v>
      </x:c>
      <x:c r="K51" s="45" t="b">
        <x:v>0</x:v>
      </x:c>
      <x:c r="L51" s="45" t="b">
        <x:v>1</x:v>
      </x:c>
      <x:c r="M51" s="43" t="n">
        <x:v>400000</x:v>
      </x:c>
      <x:c r="N51" s="43" t="n">
        <x:v>10989312</x:v>
      </x:c>
      <x:c r="O51" s="43" t="n">
        <x:v>2197620.888057265</x:v>
      </x:c>
      <x:c r="P51" s="45" t="b">
        <x:v>1</x:v>
      </x:c>
      <x:c r="Q51" s="45" t="b">
        <x:v>1</x:v>
      </x:c>
      <x:c r="R51" s="45" t="b">
        <x:v>1</x:v>
      </x:c>
      <x:c r="S51" s="43" t="n">
        <x:v>5000000000</x:v>
      </x:c>
      <x:c r="T51" s="43" t="n">
        <x:v>5000549485</x:v>
      </x:c>
      <x:c r="U51" s="45" t="b">
        <x:v>1</x:v>
      </x:c>
      <x:c r="V51" s="34" t="str">
        <x:v>uniform</x:v>
      </x:c>
      <x:c r="W51" s="42" t="n">
        <x:v>95</x:v>
      </x:c>
      <x:c r="X51" s="48" t="n">
        <x:v>0.95</x:v>
      </x:c>
      <x:c r="Y51" s="48" t="n">
        <x:v>0.9505046357770168</x:v>
      </x:c>
      <x:c r="Z51" s="45" t="b">
        <x:v>1</x:v>
      </x:c>
      <x:c r="AA51" s="43" t="n">
        <x:v>10000</x:v>
      </x:c>
      <x:c r="AB51" s="43" t="n">
        <x:v>9900</x:v>
      </x:c>
      <x:c r="AC51" s="43" t="n">
        <x:v>10000</x:v>
      </x:c>
      <x:c r="AD51" s="45" t="b">
        <x:v>1</x:v>
      </x:c>
      <x:c r="AE51" s="43" t="n">
        <x:v>9900</x:v>
      </x:c>
      <x:c r="AF51" s="43"/>
      <x:c r="AG51" s="43" t="n">
        <x:v>10000</x:v>
      </x:c>
      <x:c r="AH51" s="45" t="b">
        <x:v>1</x:v>
      </x:c>
      <x:c r="AI51" s="45" t="b">
        <x:v>1</x:v>
      </x:c>
      <x:c r="AJ51" s="49"/>
      <x:c r="AK51" s="48" t="n">
        <x:v>0.9505046357770168</x:v>
      </x:c>
      <x:c r="AL51" s="49"/>
      <x:c r="AM51" s="49"/>
      <x:c r="AN51" s="36" t="n">
        <x:v>1</x:v>
      </x:c>
      <x:c r="AO51" s="45" t="b">
        <x:v>1</x:v>
      </x:c>
      <x:c r="AP51" s="45" t="b">
        <x:v>1</x:v>
      </x:c>
      <x:c r="AQ51" s="46" t="n">
        <x:f>IF(T51="","",T51/'Readme-Protocol'!$B$24)</x:f>
        <x:v>5.000549485</x:v>
      </x:c>
      <x:c r="AR51" s="46" t="n">
        <x:f>IF(OR(S51="",S51=0),"",T51/S51)</x:f>
        <x:v>1.000109897</x:v>
      </x:c>
      <x:c r="AS51" s="46" t="n">
        <x:f>IF(OR(X51="",Y51=""),"",ABS(Y51-X51)*'Readme-Protocol'!$B$27)</x:f>
        <x:v>0.05046357770168708</x:v>
      </x:c>
      <x:c r="AT51" s="49" t="b">
        <x:f>AND(M51&gt;0,N51&gt;=0,O51&gt;0)</x:f>
        <x:v>1</x:v>
      </x:c>
      <x:c r="AU51" s="49" t="b">
        <x:f>AND(AT51,N51&gt;=M51)</x:f>
        <x:v>1</x:v>
      </x:c>
      <x:c r="AV51" s="49" t="b">
        <x:f>OR(S51=0,T51&gt;=S51)</x:f>
        <x:v>1</x:v>
      </x:c>
      <x:c r="AW51" s="49" t="b">
        <x:f>IF(I51="cache-semantics",OR(V51&lt;&gt;"uniform",ABS(Y51-W51/'Readme-Protocol'!$B$27)&lt;='Readme-Protocol'!$B$28),TRUE)</x:f>
        <x:v>1</x:v>
      </x:c>
      <x:c r="AX51" s="43" t="n">
        <x:f>IF(I51="cache-semantics",INT(AA51*'Readme-Protocol'!$B$32),"")</x:f>
        <x:v>9900</x:v>
      </x:c>
      <x:c r="AY51" s="49" t="b">
        <x:f>IF(I51="cache-semantics",AX51=AB51,TRUE)</x:f>
        <x:v>1</x:v>
      </x:c>
      <x:c r="AZ51" s="49" t="b">
        <x:f>IF(I51="cache-semantics",AX51=AE51,TRUE)</x:f>
        <x:v>1</x:v>
      </x:c>
      <x:c r="BA51" s="49" t="b">
        <x:f>IF(I51="cache-semantics",AC51&gt;=AX51,IF(I51="no-store-control",AC51=0,FALSE))</x:f>
        <x:v>1</x:v>
      </x:c>
      <x:c r="BB51" s="49" t="b">
        <x:f>IF(I51="cache-semantics",AG51&gt;=AX51,IF(I51="no-store-control",AG51=0,FALSE))</x:f>
        <x:v>1</x:v>
      </x:c>
      <x:c r="BC51" s="49" t="b">
        <x:f>AND(BA51,BB51)</x:f>
        <x:v>1</x:v>
      </x:c>
      <x:c r="BD51" s="49" t="b">
        <x:f>IF(I51="no-store-control",AND(AC51=0,AG51=0),TRUE)</x:f>
        <x:v>1</x:v>
      </x:c>
      <x:c r="BE51" s="49" t="b">
        <x:f>IF(I51="no-store-control",AK51=0,TRUE)</x:f>
        <x:v>1</x:v>
      </x:c>
      <x:c r="BF51" s="49" t="b">
        <x:f>IF(I51="cache-semantics",AN51=1,TRUE)</x:f>
        <x:v>1</x:v>
      </x:c>
      <x:c r="BG51" s="49" t="b">
        <x:f>IF(I51="cache-semantics",AND(AU51,AV51,Q51,AW51,BC51,BF51),IF(I51="no-store-control",AND(AU51,AV51,Q51,BD51,BE51),FALSE))</x:f>
        <x:v>1</x:v>
      </x:c>
      <x:c r="BH51" s="49" t="b">
        <x:f>AND(R51,AT51=P51,AU51=L51,AV51=U51,AY51,AZ51,IF(I51="cache-semantics",AND(AW51=Z51,AND(BA51=AD51,BB51=AH51,BC51=AI51),BF51=AO51),IF(I51="no-store-control",AND(AND(BA51=AD51,BB51=AH51,BC51=AI51),BD51=AJ51,BE51=AL51),FALSE)),BG51=AP51)</x:f>
        <x:v>1</x:v>
      </x:c>
      <x:c r="BI51" s="49" t="b">
        <x:f>AND(J51,K51,BG51)</x:f>
        <x:v>0</x:v>
      </x:c>
    </x:row>
    <x:row r="52">
      <x:c r="A52" s="34" t="str">
        <x:v>article1-unified-v4-2-fb3f101b-20260903-000401-default-f01-p6-jcs4</x:v>
      </x:c>
      <x:c r="B52" s="34" t="str">
        <x:v>default</x:v>
      </x:c>
      <x:c r="C52" s="34" t="str">
        <x:v>jcs4</x:v>
      </x:c>
      <x:c r="D52" s="36" t="n">
        <x:v>1</x:v>
      </x:c>
      <x:c r="E52" s="36" t="n">
        <x:v>1</x:v>
      </x:c>
      <x:c r="F52" s="36" t="n">
        <x:v>6</x:v>
      </x:c>
      <x:c r="G52" s="36" t="n">
        <x:v>1</x:v>
      </x:c>
      <x:c r="H52" s="34" t="str">
        <x:v>initial</x:v>
      </x:c>
      <x:c r="I52" s="34" t="str">
        <x:v>cache-semantics</x:v>
      </x:c>
      <x:c r="J52" s="45" t="b">
        <x:v>1</x:v>
      </x:c>
      <x:c r="K52" s="45" t="b">
        <x:v>1</x:v>
      </x:c>
      <x:c r="L52" s="45" t="b">
        <x:v>1</x:v>
      </x:c>
      <x:c r="M52" s="43" t="n">
        <x:v>400000</x:v>
      </x:c>
      <x:c r="N52" s="43" t="n">
        <x:v>3304448</x:v>
      </x:c>
      <x:c r="O52" s="43" t="n">
        <x:v>660445.5172267513</x:v>
      </x:c>
      <x:c r="P52" s="45" t="b">
        <x:v>1</x:v>
      </x:c>
      <x:c r="Q52" s="45" t="b">
        <x:v>1</x:v>
      </x:c>
      <x:c r="R52" s="45" t="b">
        <x:v>1</x:v>
      </x:c>
      <x:c r="S52" s="43" t="n">
        <x:v>5000000000</x:v>
      </x:c>
      <x:c r="T52" s="43" t="n">
        <x:v>5003361994</x:v>
      </x:c>
      <x:c r="U52" s="45" t="b">
        <x:v>1</x:v>
      </x:c>
      <x:c r="V52" s="34" t="str">
        <x:v>uniform</x:v>
      </x:c>
      <x:c r="W52" s="42" t="n">
        <x:v>95</x:v>
      </x:c>
      <x:c r="X52" s="48" t="n">
        <x:v>0.95</x:v>
      </x:c>
      <x:c r="Y52" s="48" t="n">
        <x:v>0.9495489110435389</x:v>
      </x:c>
      <x:c r="Z52" s="45" t="b">
        <x:v>1</x:v>
      </x:c>
      <x:c r="AA52" s="43" t="n">
        <x:v>10000</x:v>
      </x:c>
      <x:c r="AB52" s="43" t="n">
        <x:v>9900</x:v>
      </x:c>
      <x:c r="AC52" s="43" t="n">
        <x:v>10000</x:v>
      </x:c>
      <x:c r="AD52" s="45" t="b">
        <x:v>1</x:v>
      </x:c>
      <x:c r="AE52" s="43" t="n">
        <x:v>9900</x:v>
      </x:c>
      <x:c r="AF52" s="43"/>
      <x:c r="AG52" s="43" t="n">
        <x:v>10000</x:v>
      </x:c>
      <x:c r="AH52" s="45" t="b">
        <x:v>1</x:v>
      </x:c>
      <x:c r="AI52" s="45" t="b">
        <x:v>1</x:v>
      </x:c>
      <x:c r="AJ52" s="49"/>
      <x:c r="AK52" s="48" t="n">
        <x:v>0.9495489110435389</x:v>
      </x:c>
      <x:c r="AL52" s="49"/>
      <x:c r="AM52" s="49"/>
      <x:c r="AN52" s="36" t="n">
        <x:v>1</x:v>
      </x:c>
      <x:c r="AO52" s="45" t="b">
        <x:v>1</x:v>
      </x:c>
      <x:c r="AP52" s="45" t="b">
        <x:v>1</x:v>
      </x:c>
      <x:c r="AQ52" s="46" t="n">
        <x:f>IF(T52="","",T52/'Readme-Protocol'!$B$24)</x:f>
        <x:v>5.003361994</x:v>
      </x:c>
      <x:c r="AR52" s="46" t="n">
        <x:f>IF(OR(S52="",S52=0),"",T52/S52)</x:f>
        <x:v>1.0006723988</x:v>
      </x:c>
      <x:c r="AS52" s="46" t="n">
        <x:f>IF(OR(X52="",Y52=""),"",ABS(Y52-X52)*'Readme-Protocol'!$B$27)</x:f>
        <x:v>0.04510889564610654</x:v>
      </x:c>
      <x:c r="AT52" s="49" t="b">
        <x:f>AND(M52&gt;0,N52&gt;=0,O52&gt;0)</x:f>
        <x:v>1</x:v>
      </x:c>
      <x:c r="AU52" s="49" t="b">
        <x:f>AND(AT52,N52&gt;=M52)</x:f>
        <x:v>1</x:v>
      </x:c>
      <x:c r="AV52" s="49" t="b">
        <x:f>OR(S52=0,T52&gt;=S52)</x:f>
        <x:v>1</x:v>
      </x:c>
      <x:c r="AW52" s="49" t="b">
        <x:f>IF(I52="cache-semantics",OR(V52&lt;&gt;"uniform",ABS(Y52-W52/'Readme-Protocol'!$B$27)&lt;='Readme-Protocol'!$B$28),TRUE)</x:f>
        <x:v>1</x:v>
      </x:c>
      <x:c r="AX52" s="43" t="n">
        <x:f>IF(I52="cache-semantics",INT(AA52*'Readme-Protocol'!$B$32),"")</x:f>
        <x:v>9900</x:v>
      </x:c>
      <x:c r="AY52" s="49" t="b">
        <x:f>IF(I52="cache-semantics",AX52=AB52,TRUE)</x:f>
        <x:v>1</x:v>
      </x:c>
      <x:c r="AZ52" s="49" t="b">
        <x:f>IF(I52="cache-semantics",AX52=AE52,TRUE)</x:f>
        <x:v>1</x:v>
      </x:c>
      <x:c r="BA52" s="49" t="b">
        <x:f>IF(I52="cache-semantics",AC52&gt;=AX52,IF(I52="no-store-control",AC52=0,FALSE))</x:f>
        <x:v>1</x:v>
      </x:c>
      <x:c r="BB52" s="49" t="b">
        <x:f>IF(I52="cache-semantics",AG52&gt;=AX52,IF(I52="no-store-control",AG52=0,FALSE))</x:f>
        <x:v>1</x:v>
      </x:c>
      <x:c r="BC52" s="49" t="b">
        <x:f>AND(BA52,BB52)</x:f>
        <x:v>1</x:v>
      </x:c>
      <x:c r="BD52" s="49" t="b">
        <x:f>IF(I52="no-store-control",AND(AC52=0,AG52=0),TRUE)</x:f>
        <x:v>1</x:v>
      </x:c>
      <x:c r="BE52" s="49" t="b">
        <x:f>IF(I52="no-store-control",AK52=0,TRUE)</x:f>
        <x:v>1</x:v>
      </x:c>
      <x:c r="BF52" s="49" t="b">
        <x:f>IF(I52="cache-semantics",AN52=1,TRUE)</x:f>
        <x:v>1</x:v>
      </x:c>
      <x:c r="BG52" s="49" t="b">
        <x:f>IF(I52="cache-semantics",AND(AU52,AV52,Q52,AW52,BC52,BF52),IF(I52="no-store-control",AND(AU52,AV52,Q52,BD52,BE52),FALSE))</x:f>
        <x:v>1</x:v>
      </x:c>
      <x:c r="BH52" s="49" t="b">
        <x:f>AND(R52,AT52=P52,AU52=L52,AV52=U52,AY52,AZ52,IF(I52="cache-semantics",AND(AW52=Z52,AND(BA52=AD52,BB52=AH52,BC52=AI52),BF52=AO52),IF(I52="no-store-control",AND(AND(BA52=AD52,BB52=AH52,BC52=AI52),BD52=AJ52,BE52=AL52),FALSE)),BG52=AP52)</x:f>
        <x:v>1</x:v>
      </x:c>
      <x:c r="BI52" s="49" t="b">
        <x:f>AND(J52,K52,BG52)</x:f>
        <x:v>1</x:v>
      </x:c>
    </x:row>
    <x:row r="53">
      <x:c r="A53" s="34" t="str">
        <x:v>article1-unified-v4-2-fb3f101b-20260903-000401-default-f01-p6-jcs4</x:v>
      </x:c>
      <x:c r="B53" s="34" t="str">
        <x:v>default</x:v>
      </x:c>
      <x:c r="C53" s="34" t="str">
        <x:v>jcs4</x:v>
      </x:c>
      <x:c r="D53" s="36" t="n">
        <x:v>1</x:v>
      </x:c>
      <x:c r="E53" s="36" t="n">
        <x:v>1</x:v>
      </x:c>
      <x:c r="F53" s="36" t="n">
        <x:v>6</x:v>
      </x:c>
      <x:c r="G53" s="36" t="n">
        <x:v>1</x:v>
      </x:c>
      <x:c r="H53" s="34" t="str">
        <x:v>redeploy</x:v>
      </x:c>
      <x:c r="I53" s="34" t="str">
        <x:v>cache-semantics</x:v>
      </x:c>
      <x:c r="J53" s="45" t="b">
        <x:v>1</x:v>
      </x:c>
      <x:c r="K53" s="45" t="b">
        <x:v>1</x:v>
      </x:c>
      <x:c r="L53" s="45" t="b">
        <x:v>1</x:v>
      </x:c>
      <x:c r="M53" s="43" t="n">
        <x:v>400000</x:v>
      </x:c>
      <x:c r="N53" s="43" t="n">
        <x:v>3020544</x:v>
      </x:c>
      <x:c r="O53" s="43" t="n">
        <x:v>603711.5599669034</x:v>
      </x:c>
      <x:c r="P53" s="45" t="b">
        <x:v>1</x:v>
      </x:c>
      <x:c r="Q53" s="45" t="b">
        <x:v>1</x:v>
      </x:c>
      <x:c r="R53" s="45" t="b">
        <x:v>1</x:v>
      </x:c>
      <x:c r="S53" s="43" t="n">
        <x:v>5000000000</x:v>
      </x:c>
      <x:c r="T53" s="43" t="n">
        <x:v>5003289982</x:v>
      </x:c>
      <x:c r="U53" s="45" t="b">
        <x:v>1</x:v>
      </x:c>
      <x:c r="V53" s="34" t="str">
        <x:v>uniform</x:v>
      </x:c>
      <x:c r="W53" s="42" t="n">
        <x:v>95</x:v>
      </x:c>
      <x:c r="X53" s="48" t="n">
        <x:v>0.95</x:v>
      </x:c>
      <x:c r="Y53" s="48" t="n">
        <x:v>0.9495723286931096</x:v>
      </x:c>
      <x:c r="Z53" s="45" t="b">
        <x:v>1</x:v>
      </x:c>
      <x:c r="AA53" s="43" t="n">
        <x:v>10000</x:v>
      </x:c>
      <x:c r="AB53" s="43" t="n">
        <x:v>9900</x:v>
      </x:c>
      <x:c r="AC53" s="43" t="n">
        <x:v>10000</x:v>
      </x:c>
      <x:c r="AD53" s="45" t="b">
        <x:v>1</x:v>
      </x:c>
      <x:c r="AE53" s="43" t="n">
        <x:v>9900</x:v>
      </x:c>
      <x:c r="AF53" s="43"/>
      <x:c r="AG53" s="43" t="n">
        <x:v>10000</x:v>
      </x:c>
      <x:c r="AH53" s="45" t="b">
        <x:v>1</x:v>
      </x:c>
      <x:c r="AI53" s="45" t="b">
        <x:v>1</x:v>
      </x:c>
      <x:c r="AJ53" s="49"/>
      <x:c r="AK53" s="48" t="n">
        <x:v>0.9495723286931096</x:v>
      </x:c>
      <x:c r="AL53" s="49"/>
      <x:c r="AM53" s="49"/>
      <x:c r="AN53" s="36" t="n">
        <x:v>1</x:v>
      </x:c>
      <x:c r="AO53" s="45" t="b">
        <x:v>1</x:v>
      </x:c>
      <x:c r="AP53" s="45" t="b">
        <x:v>1</x:v>
      </x:c>
      <x:c r="AQ53" s="46" t="n">
        <x:f>IF(T53="","",T53/'Readme-Protocol'!$B$24)</x:f>
        <x:v>5.003289982</x:v>
      </x:c>
      <x:c r="AR53" s="46" t="n">
        <x:f>IF(OR(S53="",S53=0),"",T53/S53)</x:f>
        <x:v>1.0006579964</x:v>
      </x:c>
      <x:c r="AS53" s="46" t="n">
        <x:f>IF(OR(X53="",Y53=""),"",ABS(Y53-X53)*'Readme-Protocol'!$B$27)</x:f>
        <x:v>0.04276713068903648</x:v>
      </x:c>
      <x:c r="AT53" s="49" t="b">
        <x:f>AND(M53&gt;0,N53&gt;=0,O53&gt;0)</x:f>
        <x:v>1</x:v>
      </x:c>
      <x:c r="AU53" s="49" t="b">
        <x:f>AND(AT53,N53&gt;=M53)</x:f>
        <x:v>1</x:v>
      </x:c>
      <x:c r="AV53" s="49" t="b">
        <x:f>OR(S53=0,T53&gt;=S53)</x:f>
        <x:v>1</x:v>
      </x:c>
      <x:c r="AW53" s="49" t="b">
        <x:f>IF(I53="cache-semantics",OR(V53&lt;&gt;"uniform",ABS(Y53-W53/'Readme-Protocol'!$B$27)&lt;='Readme-Protocol'!$B$28),TRUE)</x:f>
        <x:v>1</x:v>
      </x:c>
      <x:c r="AX53" s="43" t="n">
        <x:f>IF(I53="cache-semantics",INT(AA53*'Readme-Protocol'!$B$32),"")</x:f>
        <x:v>9900</x:v>
      </x:c>
      <x:c r="AY53" s="49" t="b">
        <x:f>IF(I53="cache-semantics",AX53=AB53,TRUE)</x:f>
        <x:v>1</x:v>
      </x:c>
      <x:c r="AZ53" s="49" t="b">
        <x:f>IF(I53="cache-semantics",AX53=AE53,TRUE)</x:f>
        <x:v>1</x:v>
      </x:c>
      <x:c r="BA53" s="49" t="b">
        <x:f>IF(I53="cache-semantics",AC53&gt;=AX53,IF(I53="no-store-control",AC53=0,FALSE))</x:f>
        <x:v>1</x:v>
      </x:c>
      <x:c r="BB53" s="49" t="b">
        <x:f>IF(I53="cache-semantics",AG53&gt;=AX53,IF(I53="no-store-control",AG53=0,FALSE))</x:f>
        <x:v>1</x:v>
      </x:c>
      <x:c r="BC53" s="49" t="b">
        <x:f>AND(BA53,BB53)</x:f>
        <x:v>1</x:v>
      </x:c>
      <x:c r="BD53" s="49" t="b">
        <x:f>IF(I53="no-store-control",AND(AC53=0,AG53=0),TRUE)</x:f>
        <x:v>1</x:v>
      </x:c>
      <x:c r="BE53" s="49" t="b">
        <x:f>IF(I53="no-store-control",AK53=0,TRUE)</x:f>
        <x:v>1</x:v>
      </x:c>
      <x:c r="BF53" s="49" t="b">
        <x:f>IF(I53="cache-semantics",AN53=1,TRUE)</x:f>
        <x:v>1</x:v>
      </x:c>
      <x:c r="BG53" s="49" t="b">
        <x:f>IF(I53="cache-semantics",AND(AU53,AV53,Q53,AW53,BC53,BF53),IF(I53="no-store-control",AND(AU53,AV53,Q53,BD53,BE53),FALSE))</x:f>
        <x:v>1</x:v>
      </x:c>
      <x:c r="BH53" s="49" t="b">
        <x:f>AND(R53,AT53=P53,AU53=L53,AV53=U53,AY53,AZ53,IF(I53="cache-semantics",AND(AW53=Z53,AND(BA53=AD53,BB53=AH53,BC53=AI53),BF53=AO53),IF(I53="no-store-control",AND(AND(BA53=AD53,BB53=AH53,BC53=AI53),BD53=AJ53,BE53=AL53),FALSE)),BG53=AP53)</x:f>
        <x:v>1</x:v>
      </x:c>
      <x:c r="BI53" s="49" t="b">
        <x:f>AND(J53,K53,BG53)</x:f>
        <x:v>1</x:v>
      </x:c>
    </x:row>
    <x:row r="54">
      <x:c r="A54" s="34" t="str">
        <x:v>article1-unified-v4-2-fb3f101b-20260903-000401-default-f01-p6-jcs4</x:v>
      </x:c>
      <x:c r="B54" s="34" t="str">
        <x:v>default</x:v>
      </x:c>
      <x:c r="C54" s="34" t="str">
        <x:v>jcs4</x:v>
      </x:c>
      <x:c r="D54" s="36" t="n">
        <x:v>1</x:v>
      </x:c>
      <x:c r="E54" s="36" t="n">
        <x:v>1</x:v>
      </x:c>
      <x:c r="F54" s="36" t="n">
        <x:v>6</x:v>
      </x:c>
      <x:c r="G54" s="36" t="n">
        <x:v>2</x:v>
      </x:c>
      <x:c r="H54" s="34" t="str">
        <x:v>initial</x:v>
      </x:c>
      <x:c r="I54" s="34" t="str">
        <x:v>cache-semantics</x:v>
      </x:c>
      <x:c r="J54" s="45" t="b">
        <x:v>1</x:v>
      </x:c>
      <x:c r="K54" s="45" t="b">
        <x:v>1</x:v>
      </x:c>
      <x:c r="L54" s="45" t="b">
        <x:v>1</x:v>
      </x:c>
      <x:c r="M54" s="43" t="n">
        <x:v>400000</x:v>
      </x:c>
      <x:c r="N54" s="43" t="n">
        <x:v>3856128</x:v>
      </x:c>
      <x:c r="O54" s="43" t="n">
        <x:v>771101.5923672374</x:v>
      </x:c>
      <x:c r="P54" s="45" t="b">
        <x:v>1</x:v>
      </x:c>
      <x:c r="Q54" s="45" t="b">
        <x:v>1</x:v>
      </x:c>
      <x:c r="R54" s="45" t="b">
        <x:v>1</x:v>
      </x:c>
      <x:c r="S54" s="43" t="n">
        <x:v>5000000000</x:v>
      </x:c>
      <x:c r="T54" s="43" t="n">
        <x:v>5000804094</x:v>
      </x:c>
      <x:c r="U54" s="45" t="b">
        <x:v>1</x:v>
      </x:c>
      <x:c r="V54" s="34" t="str">
        <x:v>uniform</x:v>
      </x:c>
      <x:c r="W54" s="42" t="n">
        <x:v>95</x:v>
      </x:c>
      <x:c r="X54" s="48" t="n">
        <x:v>0.95</x:v>
      </x:c>
      <x:c r="Y54" s="48" t="n">
        <x:v>0.9503221884750713</x:v>
      </x:c>
      <x:c r="Z54" s="45" t="b">
        <x:v>1</x:v>
      </x:c>
      <x:c r="AA54" s="43" t="n">
        <x:v>10000</x:v>
      </x:c>
      <x:c r="AB54" s="43" t="n">
        <x:v>9900</x:v>
      </x:c>
      <x:c r="AC54" s="43" t="n">
        <x:v>10000</x:v>
      </x:c>
      <x:c r="AD54" s="45" t="b">
        <x:v>1</x:v>
      </x:c>
      <x:c r="AE54" s="43" t="n">
        <x:v>9900</x:v>
      </x:c>
      <x:c r="AF54" s="43"/>
      <x:c r="AG54" s="43" t="n">
        <x:v>10000</x:v>
      </x:c>
      <x:c r="AH54" s="45" t="b">
        <x:v>1</x:v>
      </x:c>
      <x:c r="AI54" s="45" t="b">
        <x:v>1</x:v>
      </x:c>
      <x:c r="AJ54" s="49"/>
      <x:c r="AK54" s="48" t="n">
        <x:v>0.9503221884750713</x:v>
      </x:c>
      <x:c r="AL54" s="49"/>
      <x:c r="AM54" s="49"/>
      <x:c r="AN54" s="36" t="n">
        <x:v>1</x:v>
      </x:c>
      <x:c r="AO54" s="45" t="b">
        <x:v>1</x:v>
      </x:c>
      <x:c r="AP54" s="45" t="b">
        <x:v>1</x:v>
      </x:c>
      <x:c r="AQ54" s="46" t="n">
        <x:f>IF(T54="","",T54/'Readme-Protocol'!$B$24)</x:f>
        <x:v>5.000804094</x:v>
      </x:c>
      <x:c r="AR54" s="46" t="n">
        <x:f>IF(OR(S54="",S54=0),"",T54/S54)</x:f>
        <x:v>1.0001608188</x:v>
      </x:c>
      <x:c r="AS54" s="46" t="n">
        <x:f>IF(OR(X54="",Y54=""),"",ABS(Y54-X54)*'Readme-Protocol'!$B$27)</x:f>
        <x:v>0.032218847507137216</x:v>
      </x:c>
      <x:c r="AT54" s="49" t="b">
        <x:f>AND(M54&gt;0,N54&gt;=0,O54&gt;0)</x:f>
        <x:v>1</x:v>
      </x:c>
      <x:c r="AU54" s="49" t="b">
        <x:f>AND(AT54,N54&gt;=M54)</x:f>
        <x:v>1</x:v>
      </x:c>
      <x:c r="AV54" s="49" t="b">
        <x:f>OR(S54=0,T54&gt;=S54)</x:f>
        <x:v>1</x:v>
      </x:c>
      <x:c r="AW54" s="49" t="b">
        <x:f>IF(I54="cache-semantics",OR(V54&lt;&gt;"uniform",ABS(Y54-W54/'Readme-Protocol'!$B$27)&lt;='Readme-Protocol'!$B$28),TRUE)</x:f>
        <x:v>1</x:v>
      </x:c>
      <x:c r="AX54" s="43" t="n">
        <x:f>IF(I54="cache-semantics",INT(AA54*'Readme-Protocol'!$B$32),"")</x:f>
        <x:v>9900</x:v>
      </x:c>
      <x:c r="AY54" s="49" t="b">
        <x:f>IF(I54="cache-semantics",AX54=AB54,TRUE)</x:f>
        <x:v>1</x:v>
      </x:c>
      <x:c r="AZ54" s="49" t="b">
        <x:f>IF(I54="cache-semantics",AX54=AE54,TRUE)</x:f>
        <x:v>1</x:v>
      </x:c>
      <x:c r="BA54" s="49" t="b">
        <x:f>IF(I54="cache-semantics",AC54&gt;=AX54,IF(I54="no-store-control",AC54=0,FALSE))</x:f>
        <x:v>1</x:v>
      </x:c>
      <x:c r="BB54" s="49" t="b">
        <x:f>IF(I54="cache-semantics",AG54&gt;=AX54,IF(I54="no-store-control",AG54=0,FALSE))</x:f>
        <x:v>1</x:v>
      </x:c>
      <x:c r="BC54" s="49" t="b">
        <x:f>AND(BA54,BB54)</x:f>
        <x:v>1</x:v>
      </x:c>
      <x:c r="BD54" s="49" t="b">
        <x:f>IF(I54="no-store-control",AND(AC54=0,AG54=0),TRUE)</x:f>
        <x:v>1</x:v>
      </x:c>
      <x:c r="BE54" s="49" t="b">
        <x:f>IF(I54="no-store-control",AK54=0,TRUE)</x:f>
        <x:v>1</x:v>
      </x:c>
      <x:c r="BF54" s="49" t="b">
        <x:f>IF(I54="cache-semantics",AN54=1,TRUE)</x:f>
        <x:v>1</x:v>
      </x:c>
      <x:c r="BG54" s="49" t="b">
        <x:f>IF(I54="cache-semantics",AND(AU54,AV54,Q54,AW54,BC54,BF54),IF(I54="no-store-control",AND(AU54,AV54,Q54,BD54,BE54),FALSE))</x:f>
        <x:v>1</x:v>
      </x:c>
      <x:c r="BH54" s="49" t="b">
        <x:f>AND(R54,AT54=P54,AU54=L54,AV54=U54,AY54,AZ54,IF(I54="cache-semantics",AND(AW54=Z54,AND(BA54=AD54,BB54=AH54,BC54=AI54),BF54=AO54),IF(I54="no-store-control",AND(AND(BA54=AD54,BB54=AH54,BC54=AI54),BD54=AJ54,BE54=AL54),FALSE)),BG54=AP54)</x:f>
        <x:v>1</x:v>
      </x:c>
      <x:c r="BI54" s="49" t="b">
        <x:f>AND(J54,K54,BG54)</x:f>
        <x:v>1</x:v>
      </x:c>
    </x:row>
    <x:row r="55">
      <x:c r="A55" s="34" t="str">
        <x:v>article1-unified-v4-2-fb3f101b-20260903-000401-default-f01-p6-jcs4</x:v>
      </x:c>
      <x:c r="B55" s="34" t="str">
        <x:v>default</x:v>
      </x:c>
      <x:c r="C55" s="34" t="str">
        <x:v>jcs4</x:v>
      </x:c>
      <x:c r="D55" s="36" t="n">
        <x:v>1</x:v>
      </x:c>
      <x:c r="E55" s="36" t="n">
        <x:v>1</x:v>
      </x:c>
      <x:c r="F55" s="36" t="n">
        <x:v>6</x:v>
      </x:c>
      <x:c r="G55" s="36" t="n">
        <x:v>2</x:v>
      </x:c>
      <x:c r="H55" s="34" t="str">
        <x:v>redeploy</x:v>
      </x:c>
      <x:c r="I55" s="34" t="str">
        <x:v>cache-semantics</x:v>
      </x:c>
      <x:c r="J55" s="45" t="b">
        <x:v>1</x:v>
      </x:c>
      <x:c r="K55" s="45" t="b">
        <x:v>1</x:v>
      </x:c>
      <x:c r="L55" s="45" t="b">
        <x:v>1</x:v>
      </x:c>
      <x:c r="M55" s="43" t="n">
        <x:v>400000</x:v>
      </x:c>
      <x:c r="N55" s="43" t="n">
        <x:v>3821056</x:v>
      </x:c>
      <x:c r="O55" s="43" t="n">
        <x:v>763972.1149266337</x:v>
      </x:c>
      <x:c r="P55" s="45" t="b">
        <x:v>1</x:v>
      </x:c>
      <x:c r="Q55" s="45" t="b">
        <x:v>1</x:v>
      </x:c>
      <x:c r="R55" s="45" t="b">
        <x:v>1</x:v>
      </x:c>
      <x:c r="S55" s="43" t="n">
        <x:v>5000000000</x:v>
      </x:c>
      <x:c r="T55" s="43" t="n">
        <x:v>5001564750</x:v>
      </x:c>
      <x:c r="U55" s="45" t="b">
        <x:v>1</x:v>
      </x:c>
      <x:c r="V55" s="34" t="str">
        <x:v>uniform</x:v>
      </x:c>
      <x:c r="W55" s="42" t="n">
        <x:v>95</x:v>
      </x:c>
      <x:c r="X55" s="48" t="n">
        <x:v>0.95</x:v>
      </x:c>
      <x:c r="Y55" s="48" t="n">
        <x:v>0.9503367655433472</x:v>
      </x:c>
      <x:c r="Z55" s="45" t="b">
        <x:v>1</x:v>
      </x:c>
      <x:c r="AA55" s="43" t="n">
        <x:v>10000</x:v>
      </x:c>
      <x:c r="AB55" s="43" t="n">
        <x:v>9900</x:v>
      </x:c>
      <x:c r="AC55" s="43" t="n">
        <x:v>10000</x:v>
      </x:c>
      <x:c r="AD55" s="45" t="b">
        <x:v>1</x:v>
      </x:c>
      <x:c r="AE55" s="43" t="n">
        <x:v>9900</x:v>
      </x:c>
      <x:c r="AF55" s="43"/>
      <x:c r="AG55" s="43" t="n">
        <x:v>10000</x:v>
      </x:c>
      <x:c r="AH55" s="45" t="b">
        <x:v>1</x:v>
      </x:c>
      <x:c r="AI55" s="45" t="b">
        <x:v>1</x:v>
      </x:c>
      <x:c r="AJ55" s="49"/>
      <x:c r="AK55" s="48" t="n">
        <x:v>0.9503367655433472</x:v>
      </x:c>
      <x:c r="AL55" s="49"/>
      <x:c r="AM55" s="49"/>
      <x:c r="AN55" s="36" t="n">
        <x:v>1</x:v>
      </x:c>
      <x:c r="AO55" s="45" t="b">
        <x:v>1</x:v>
      </x:c>
      <x:c r="AP55" s="45" t="b">
        <x:v>1</x:v>
      </x:c>
      <x:c r="AQ55" s="46" t="n">
        <x:f>IF(T55="","",T55/'Readme-Protocol'!$B$24)</x:f>
        <x:v>5.00156475</x:v>
      </x:c>
      <x:c r="AR55" s="46" t="n">
        <x:f>IF(OR(S55="",S55=0),"",T55/S55)</x:f>
        <x:v>1.00031295</x:v>
      </x:c>
      <x:c r="AS55" s="46" t="n">
        <x:f>IF(OR(X55="",Y55=""),"",ABS(Y55-X55)*'Readme-Protocol'!$B$27)</x:f>
        <x:v>0.03367655433472727</x:v>
      </x:c>
      <x:c r="AT55" s="49" t="b">
        <x:f>AND(M55&gt;0,N55&gt;=0,O55&gt;0)</x:f>
        <x:v>1</x:v>
      </x:c>
      <x:c r="AU55" s="49" t="b">
        <x:f>AND(AT55,N55&gt;=M55)</x:f>
        <x:v>1</x:v>
      </x:c>
      <x:c r="AV55" s="49" t="b">
        <x:f>OR(S55=0,T55&gt;=S55)</x:f>
        <x:v>1</x:v>
      </x:c>
      <x:c r="AW55" s="49" t="b">
        <x:f>IF(I55="cache-semantics",OR(V55&lt;&gt;"uniform",ABS(Y55-W55/'Readme-Protocol'!$B$27)&lt;='Readme-Protocol'!$B$28),TRUE)</x:f>
        <x:v>1</x:v>
      </x:c>
      <x:c r="AX55" s="43" t="n">
        <x:f>IF(I55="cache-semantics",INT(AA55*'Readme-Protocol'!$B$32),"")</x:f>
        <x:v>9900</x:v>
      </x:c>
      <x:c r="AY55" s="49" t="b">
        <x:f>IF(I55="cache-semantics",AX55=AB55,TRUE)</x:f>
        <x:v>1</x:v>
      </x:c>
      <x:c r="AZ55" s="49" t="b">
        <x:f>IF(I55="cache-semantics",AX55=AE55,TRUE)</x:f>
        <x:v>1</x:v>
      </x:c>
      <x:c r="BA55" s="49" t="b">
        <x:f>IF(I55="cache-semantics",AC55&gt;=AX55,IF(I55="no-store-control",AC55=0,FALSE))</x:f>
        <x:v>1</x:v>
      </x:c>
      <x:c r="BB55" s="49" t="b">
        <x:f>IF(I55="cache-semantics",AG55&gt;=AX55,IF(I55="no-store-control",AG55=0,FALSE))</x:f>
        <x:v>1</x:v>
      </x:c>
      <x:c r="BC55" s="49" t="b">
        <x:f>AND(BA55,BB55)</x:f>
        <x:v>1</x:v>
      </x:c>
      <x:c r="BD55" s="49" t="b">
        <x:f>IF(I55="no-store-control",AND(AC55=0,AG55=0),TRUE)</x:f>
        <x:v>1</x:v>
      </x:c>
      <x:c r="BE55" s="49" t="b">
        <x:f>IF(I55="no-store-control",AK55=0,TRUE)</x:f>
        <x:v>1</x:v>
      </x:c>
      <x:c r="BF55" s="49" t="b">
        <x:f>IF(I55="cache-semantics",AN55=1,TRUE)</x:f>
        <x:v>1</x:v>
      </x:c>
      <x:c r="BG55" s="49" t="b">
        <x:f>IF(I55="cache-semantics",AND(AU55,AV55,Q55,AW55,BC55,BF55),IF(I55="no-store-control",AND(AU55,AV55,Q55,BD55,BE55),FALSE))</x:f>
        <x:v>1</x:v>
      </x:c>
      <x:c r="BH55" s="49" t="b">
        <x:f>AND(R55,AT55=P55,AU55=L55,AV55=U55,AY55,AZ55,IF(I55="cache-semantics",AND(AW55=Z55,AND(BA55=AD55,BB55=AH55,BC55=AI55),BF55=AO55),IF(I55="no-store-control",AND(AND(BA55=AD55,BB55=AH55,BC55=AI55),BD55=AJ55,BE55=AL55),FALSE)),BG55=AP55)</x:f>
        <x:v>1</x:v>
      </x:c>
      <x:c r="BI55" s="49" t="b">
        <x:f>AND(J55,K55,BG55)</x:f>
        <x:v>1</x:v>
      </x:c>
    </x:row>
    <x:row r="56">
      <x:c r="A56" s="34" t="str">
        <x:v>article1-unified-v4-2-fb3f101b-20260903-000401-default-f01-p6-jcs4</x:v>
      </x:c>
      <x:c r="B56" s="34" t="str">
        <x:v>default</x:v>
      </x:c>
      <x:c r="C56" s="34" t="str">
        <x:v>jcs4</x:v>
      </x:c>
      <x:c r="D56" s="36" t="n">
        <x:v>1</x:v>
      </x:c>
      <x:c r="E56" s="36" t="n">
        <x:v>1</x:v>
      </x:c>
      <x:c r="F56" s="36" t="n">
        <x:v>6</x:v>
      </x:c>
      <x:c r="G56" s="36" t="n">
        <x:v>3</x:v>
      </x:c>
      <x:c r="H56" s="34" t="str">
        <x:v>initial</x:v>
      </x:c>
      <x:c r="I56" s="34" t="str">
        <x:v>cache-semantics</x:v>
      </x:c>
      <x:c r="J56" s="45" t="b">
        <x:v>1</x:v>
      </x:c>
      <x:c r="K56" s="45" t="b">
        <x:v>1</x:v>
      </x:c>
      <x:c r="L56" s="45" t="b">
        <x:v>1</x:v>
      </x:c>
      <x:c r="M56" s="43" t="n">
        <x:v>400000</x:v>
      </x:c>
      <x:c r="N56" s="43" t="n">
        <x:v>4658432</x:v>
      </x:c>
      <x:c r="O56" s="43" t="n">
        <x:v>931353.8599180455</x:v>
      </x:c>
      <x:c r="P56" s="45" t="b">
        <x:v>1</x:v>
      </x:c>
      <x:c r="Q56" s="45" t="b">
        <x:v>1</x:v>
      </x:c>
      <x:c r="R56" s="45" t="b">
        <x:v>1</x:v>
      </x:c>
      <x:c r="S56" s="43" t="n">
        <x:v>5000000000</x:v>
      </x:c>
      <x:c r="T56" s="43" t="n">
        <x:v>5001785251</x:v>
      </x:c>
      <x:c r="U56" s="45" t="b">
        <x:v>1</x:v>
      </x:c>
      <x:c r="V56" s="34" t="str">
        <x:v>uniform</x:v>
      </x:c>
      <x:c r="W56" s="42" t="n">
        <x:v>95</x:v>
      </x:c>
      <x:c r="X56" s="48" t="n">
        <x:v>0.95</x:v>
      </x:c>
      <x:c r="Y56" s="48" t="n">
        <x:v>0.9498822779853822</x:v>
      </x:c>
      <x:c r="Z56" s="45" t="b">
        <x:v>1</x:v>
      </x:c>
      <x:c r="AA56" s="43" t="n">
        <x:v>10000</x:v>
      </x:c>
      <x:c r="AB56" s="43" t="n">
        <x:v>9900</x:v>
      </x:c>
      <x:c r="AC56" s="43" t="n">
        <x:v>10000</x:v>
      </x:c>
      <x:c r="AD56" s="45" t="b">
        <x:v>1</x:v>
      </x:c>
      <x:c r="AE56" s="43" t="n">
        <x:v>9900</x:v>
      </x:c>
      <x:c r="AF56" s="43"/>
      <x:c r="AG56" s="43" t="n">
        <x:v>10000</x:v>
      </x:c>
      <x:c r="AH56" s="45" t="b">
        <x:v>1</x:v>
      </x:c>
      <x:c r="AI56" s="45" t="b">
        <x:v>1</x:v>
      </x:c>
      <x:c r="AJ56" s="49"/>
      <x:c r="AK56" s="48" t="n">
        <x:v>0.9498822779853822</x:v>
      </x:c>
      <x:c r="AL56" s="49"/>
      <x:c r="AM56" s="49"/>
      <x:c r="AN56" s="36" t="n">
        <x:v>1</x:v>
      </x:c>
      <x:c r="AO56" s="45" t="b">
        <x:v>1</x:v>
      </x:c>
      <x:c r="AP56" s="45" t="b">
        <x:v>1</x:v>
      </x:c>
      <x:c r="AQ56" s="46" t="n">
        <x:f>IF(T56="","",T56/'Readme-Protocol'!$B$24)</x:f>
        <x:v>5.001785251</x:v>
      </x:c>
      <x:c r="AR56" s="46" t="n">
        <x:f>IF(OR(S56="",S56=0),"",T56/S56)</x:f>
        <x:v>1.0003570502</x:v>
      </x:c>
      <x:c r="AS56" s="46" t="n">
        <x:f>IF(OR(X56="",Y56=""),"",ABS(Y56-X56)*'Readme-Protocol'!$B$27)</x:f>
        <x:v>0.011772201461779375</x:v>
      </x:c>
      <x:c r="AT56" s="49" t="b">
        <x:f>AND(M56&gt;0,N56&gt;=0,O56&gt;0)</x:f>
        <x:v>1</x:v>
      </x:c>
      <x:c r="AU56" s="49" t="b">
        <x:f>AND(AT56,N56&gt;=M56)</x:f>
        <x:v>1</x:v>
      </x:c>
      <x:c r="AV56" s="49" t="b">
        <x:f>OR(S56=0,T56&gt;=S56)</x:f>
        <x:v>1</x:v>
      </x:c>
      <x:c r="AW56" s="49" t="b">
        <x:f>IF(I56="cache-semantics",OR(V56&lt;&gt;"uniform",ABS(Y56-W56/'Readme-Protocol'!$B$27)&lt;='Readme-Protocol'!$B$28),TRUE)</x:f>
        <x:v>1</x:v>
      </x:c>
      <x:c r="AX56" s="43" t="n">
        <x:f>IF(I56="cache-semantics",INT(AA56*'Readme-Protocol'!$B$32),"")</x:f>
        <x:v>9900</x:v>
      </x:c>
      <x:c r="AY56" s="49" t="b">
        <x:f>IF(I56="cache-semantics",AX56=AB56,TRUE)</x:f>
        <x:v>1</x:v>
      </x:c>
      <x:c r="AZ56" s="49" t="b">
        <x:f>IF(I56="cache-semantics",AX56=AE56,TRUE)</x:f>
        <x:v>1</x:v>
      </x:c>
      <x:c r="BA56" s="49" t="b">
        <x:f>IF(I56="cache-semantics",AC56&gt;=AX56,IF(I56="no-store-control",AC56=0,FALSE))</x:f>
        <x:v>1</x:v>
      </x:c>
      <x:c r="BB56" s="49" t="b">
        <x:f>IF(I56="cache-semantics",AG56&gt;=AX56,IF(I56="no-store-control",AG56=0,FALSE))</x:f>
        <x:v>1</x:v>
      </x:c>
      <x:c r="BC56" s="49" t="b">
        <x:f>AND(BA56,BB56)</x:f>
        <x:v>1</x:v>
      </x:c>
      <x:c r="BD56" s="49" t="b">
        <x:f>IF(I56="no-store-control",AND(AC56=0,AG56=0),TRUE)</x:f>
        <x:v>1</x:v>
      </x:c>
      <x:c r="BE56" s="49" t="b">
        <x:f>IF(I56="no-store-control",AK56=0,TRUE)</x:f>
        <x:v>1</x:v>
      </x:c>
      <x:c r="BF56" s="49" t="b">
        <x:f>IF(I56="cache-semantics",AN56=1,TRUE)</x:f>
        <x:v>1</x:v>
      </x:c>
      <x:c r="BG56" s="49" t="b">
        <x:f>IF(I56="cache-semantics",AND(AU56,AV56,Q56,AW56,BC56,BF56),IF(I56="no-store-control",AND(AU56,AV56,Q56,BD56,BE56),FALSE))</x:f>
        <x:v>1</x:v>
      </x:c>
      <x:c r="BH56" s="49" t="b">
        <x:f>AND(R56,AT56=P56,AU56=L56,AV56=U56,AY56,AZ56,IF(I56="cache-semantics",AND(AW56=Z56,AND(BA56=AD56,BB56=AH56,BC56=AI56),BF56=AO56),IF(I56="no-store-control",AND(AND(BA56=AD56,BB56=AH56,BC56=AI56),BD56=AJ56,BE56=AL56),FALSE)),BG56=AP56)</x:f>
        <x:v>1</x:v>
      </x:c>
      <x:c r="BI56" s="49" t="b">
        <x:f>AND(J56,K56,BG56)</x:f>
        <x:v>1</x:v>
      </x:c>
    </x:row>
    <x:row r="57">
      <x:c r="A57" s="34" t="str">
        <x:v>article1-unified-v4-2-fb3f101b-20260903-000401-default-f01-p6-jcs4</x:v>
      </x:c>
      <x:c r="B57" s="34" t="str">
        <x:v>default</x:v>
      </x:c>
      <x:c r="C57" s="34" t="str">
        <x:v>jcs4</x:v>
      </x:c>
      <x:c r="D57" s="36" t="n">
        <x:v>1</x:v>
      </x:c>
      <x:c r="E57" s="36" t="n">
        <x:v>1</x:v>
      </x:c>
      <x:c r="F57" s="36" t="n">
        <x:v>6</x:v>
      </x:c>
      <x:c r="G57" s="36" t="n">
        <x:v>3</x:v>
      </x:c>
      <x:c r="H57" s="34" t="str">
        <x:v>redeploy</x:v>
      </x:c>
      <x:c r="I57" s="34" t="str">
        <x:v>cache-semantics</x:v>
      </x:c>
      <x:c r="J57" s="45" t="b">
        <x:v>1</x:v>
      </x:c>
      <x:c r="K57" s="45" t="b">
        <x:v>1</x:v>
      </x:c>
      <x:c r="L57" s="45" t="b">
        <x:v>1</x:v>
      </x:c>
      <x:c r="M57" s="43" t="n">
        <x:v>400000</x:v>
      </x:c>
      <x:c r="N57" s="43" t="n">
        <x:v>4794624</x:v>
      </x:c>
      <x:c r="O57" s="43" t="n">
        <x:v>958713.071094388</x:v>
      </x:c>
      <x:c r="P57" s="45" t="b">
        <x:v>1</x:v>
      </x:c>
      <x:c r="Q57" s="45" t="b">
        <x:v>1</x:v>
      </x:c>
      <x:c r="R57" s="45" t="b">
        <x:v>1</x:v>
      </x:c>
      <x:c r="S57" s="43" t="n">
        <x:v>5000000000</x:v>
      </x:c>
      <x:c r="T57" s="43" t="n">
        <x:v>5001104235</x:v>
      </x:c>
      <x:c r="U57" s="45" t="b">
        <x:v>1</x:v>
      </x:c>
      <x:c r="V57" s="34" t="str">
        <x:v>uniform</x:v>
      </x:c>
      <x:c r="W57" s="42" t="n">
        <x:v>95</x:v>
      </x:c>
      <x:c r="X57" s="48" t="n">
        <x:v>0.95</x:v>
      </x:c>
      <x:c r="Y57" s="48" t="n">
        <x:v>0.9498811585642586</x:v>
      </x:c>
      <x:c r="Z57" s="45" t="b">
        <x:v>1</x:v>
      </x:c>
      <x:c r="AA57" s="43" t="n">
        <x:v>10000</x:v>
      </x:c>
      <x:c r="AB57" s="43" t="n">
        <x:v>9900</x:v>
      </x:c>
      <x:c r="AC57" s="43" t="n">
        <x:v>10000</x:v>
      </x:c>
      <x:c r="AD57" s="45" t="b">
        <x:v>1</x:v>
      </x:c>
      <x:c r="AE57" s="43" t="n">
        <x:v>9900</x:v>
      </x:c>
      <x:c r="AF57" s="43"/>
      <x:c r="AG57" s="43" t="n">
        <x:v>10000</x:v>
      </x:c>
      <x:c r="AH57" s="45" t="b">
        <x:v>1</x:v>
      </x:c>
      <x:c r="AI57" s="45" t="b">
        <x:v>1</x:v>
      </x:c>
      <x:c r="AJ57" s="49"/>
      <x:c r="AK57" s="48" t="n">
        <x:v>0.9498811585642586</x:v>
      </x:c>
      <x:c r="AL57" s="49"/>
      <x:c r="AM57" s="49"/>
      <x:c r="AN57" s="36" t="n">
        <x:v>1</x:v>
      </x:c>
      <x:c r="AO57" s="45" t="b">
        <x:v>1</x:v>
      </x:c>
      <x:c r="AP57" s="45" t="b">
        <x:v>1</x:v>
      </x:c>
      <x:c r="AQ57" s="46" t="n">
        <x:f>IF(T57="","",T57/'Readme-Protocol'!$B$24)</x:f>
        <x:v>5.001104235</x:v>
      </x:c>
      <x:c r="AR57" s="46" t="n">
        <x:f>IF(OR(S57="",S57=0),"",T57/S57)</x:f>
        <x:v>1.000220847</x:v>
      </x:c>
      <x:c r="AS57" s="46" t="n">
        <x:f>IF(OR(X57="",Y57=""),"",ABS(Y57-X57)*'Readme-Protocol'!$B$27)</x:f>
        <x:v>0.011884143574136807</x:v>
      </x:c>
      <x:c r="AT57" s="49" t="b">
        <x:f>AND(M57&gt;0,N57&gt;=0,O57&gt;0)</x:f>
        <x:v>1</x:v>
      </x:c>
      <x:c r="AU57" s="49" t="b">
        <x:f>AND(AT57,N57&gt;=M57)</x:f>
        <x:v>1</x:v>
      </x:c>
      <x:c r="AV57" s="49" t="b">
        <x:f>OR(S57=0,T57&gt;=S57)</x:f>
        <x:v>1</x:v>
      </x:c>
      <x:c r="AW57" s="49" t="b">
        <x:f>IF(I57="cache-semantics",OR(V57&lt;&gt;"uniform",ABS(Y57-W57/'Readme-Protocol'!$B$27)&lt;='Readme-Protocol'!$B$28),TRUE)</x:f>
        <x:v>1</x:v>
      </x:c>
      <x:c r="AX57" s="43" t="n">
        <x:f>IF(I57="cache-semantics",INT(AA57*'Readme-Protocol'!$B$32),"")</x:f>
        <x:v>9900</x:v>
      </x:c>
      <x:c r="AY57" s="49" t="b">
        <x:f>IF(I57="cache-semantics",AX57=AB57,TRUE)</x:f>
        <x:v>1</x:v>
      </x:c>
      <x:c r="AZ57" s="49" t="b">
        <x:f>IF(I57="cache-semantics",AX57=AE57,TRUE)</x:f>
        <x:v>1</x:v>
      </x:c>
      <x:c r="BA57" s="49" t="b">
        <x:f>IF(I57="cache-semantics",AC57&gt;=AX57,IF(I57="no-store-control",AC57=0,FALSE))</x:f>
        <x:v>1</x:v>
      </x:c>
      <x:c r="BB57" s="49" t="b">
        <x:f>IF(I57="cache-semantics",AG57&gt;=AX57,IF(I57="no-store-control",AG57=0,FALSE))</x:f>
        <x:v>1</x:v>
      </x:c>
      <x:c r="BC57" s="49" t="b">
        <x:f>AND(BA57,BB57)</x:f>
        <x:v>1</x:v>
      </x:c>
      <x:c r="BD57" s="49" t="b">
        <x:f>IF(I57="no-store-control",AND(AC57=0,AG57=0),TRUE)</x:f>
        <x:v>1</x:v>
      </x:c>
      <x:c r="BE57" s="49" t="b">
        <x:f>IF(I57="no-store-control",AK57=0,TRUE)</x:f>
        <x:v>1</x:v>
      </x:c>
      <x:c r="BF57" s="49" t="b">
        <x:f>IF(I57="cache-semantics",AN57=1,TRUE)</x:f>
        <x:v>1</x:v>
      </x:c>
      <x:c r="BG57" s="49" t="b">
        <x:f>IF(I57="cache-semantics",AND(AU57,AV57,Q57,AW57,BC57,BF57),IF(I57="no-store-control",AND(AU57,AV57,Q57,BD57,BE57),FALSE))</x:f>
        <x:v>1</x:v>
      </x:c>
      <x:c r="BH57" s="49" t="b">
        <x:f>AND(R57,AT57=P57,AU57=L57,AV57=U57,AY57,AZ57,IF(I57="cache-semantics",AND(AW57=Z57,AND(BA57=AD57,BB57=AH57,BC57=AI57),BF57=AO57),IF(I57="no-store-control",AND(AND(BA57=AD57,BB57=AH57,BC57=AI57),BD57=AJ57,BE57=AL57),FALSE)),BG57=AP57)</x:f>
        <x:v>1</x:v>
      </x:c>
      <x:c r="BI57" s="49" t="b">
        <x:f>AND(J57,K57,BG57)</x:f>
        <x:v>1</x:v>
      </x:c>
    </x:row>
    <x:row r="58">
      <x:c r="A58" s="34" t="str">
        <x:v>article1-unified-v4-2-fb3f101b-20260903-000401-default-f01-p6-jcs4</x:v>
      </x:c>
      <x:c r="B58" s="34" t="str">
        <x:v>default</x:v>
      </x:c>
      <x:c r="C58" s="34" t="str">
        <x:v>jcs4</x:v>
      </x:c>
      <x:c r="D58" s="36" t="n">
        <x:v>1</x:v>
      </x:c>
      <x:c r="E58" s="36" t="n">
        <x:v>1</x:v>
      </x:c>
      <x:c r="F58" s="36" t="n">
        <x:v>6</x:v>
      </x:c>
      <x:c r="G58" s="36" t="n">
        <x:v>4</x:v>
      </x:c>
      <x:c r="H58" s="34" t="str">
        <x:v>initial</x:v>
      </x:c>
      <x:c r="I58" s="34" t="str">
        <x:v>cache-semantics</x:v>
      </x:c>
      <x:c r="J58" s="45" t="b">
        <x:v>1</x:v>
      </x:c>
      <x:c r="K58" s="45" t="b">
        <x:v>1</x:v>
      </x:c>
      <x:c r="L58" s="45" t="b">
        <x:v>1</x:v>
      </x:c>
      <x:c r="M58" s="43" t="n">
        <x:v>400000</x:v>
      </x:c>
      <x:c r="N58" s="43" t="n">
        <x:v>5484288</x:v>
      </x:c>
      <x:c r="O58" s="43" t="n">
        <x:v>1096518.4724949896</x:v>
      </x:c>
      <x:c r="P58" s="45" t="b">
        <x:v>1</x:v>
      </x:c>
      <x:c r="Q58" s="45" t="b">
        <x:v>1</x:v>
      </x:c>
      <x:c r="R58" s="45" t="b">
        <x:v>1</x:v>
      </x:c>
      <x:c r="S58" s="43" t="n">
        <x:v>5000000000</x:v>
      </x:c>
      <x:c r="T58" s="43" t="n">
        <x:v>5001546383</x:v>
      </x:c>
      <x:c r="U58" s="45" t="b">
        <x:v>1</x:v>
      </x:c>
      <x:c r="V58" s="34" t="str">
        <x:v>uniform</x:v>
      </x:c>
      <x:c r="W58" s="42" t="n">
        <x:v>95</x:v>
      </x:c>
      <x:c r="X58" s="48" t="n">
        <x:v>0.95</x:v>
      </x:c>
      <x:c r="Y58" s="48" t="n">
        <x:v>0.9499796509592494</x:v>
      </x:c>
      <x:c r="Z58" s="45" t="b">
        <x:v>1</x:v>
      </x:c>
      <x:c r="AA58" s="43" t="n">
        <x:v>10000</x:v>
      </x:c>
      <x:c r="AB58" s="43" t="n">
        <x:v>9900</x:v>
      </x:c>
      <x:c r="AC58" s="43" t="n">
        <x:v>10000</x:v>
      </x:c>
      <x:c r="AD58" s="45" t="b">
        <x:v>1</x:v>
      </x:c>
      <x:c r="AE58" s="43" t="n">
        <x:v>9900</x:v>
      </x:c>
      <x:c r="AF58" s="43"/>
      <x:c r="AG58" s="43" t="n">
        <x:v>10000</x:v>
      </x:c>
      <x:c r="AH58" s="45" t="b">
        <x:v>1</x:v>
      </x:c>
      <x:c r="AI58" s="45" t="b">
        <x:v>1</x:v>
      </x:c>
      <x:c r="AJ58" s="49"/>
      <x:c r="AK58" s="48" t="n">
        <x:v>0.9499796509592494</x:v>
      </x:c>
      <x:c r="AL58" s="49"/>
      <x:c r="AM58" s="49"/>
      <x:c r="AN58" s="36" t="n">
        <x:v>1</x:v>
      </x:c>
      <x:c r="AO58" s="45" t="b">
        <x:v>1</x:v>
      </x:c>
      <x:c r="AP58" s="45" t="b">
        <x:v>1</x:v>
      </x:c>
      <x:c r="AQ58" s="46" t="n">
        <x:f>IF(T58="","",T58/'Readme-Protocol'!$B$24)</x:f>
        <x:v>5.001546383</x:v>
      </x:c>
      <x:c r="AR58" s="46" t="n">
        <x:f>IF(OR(S58="",S58=0),"",T58/S58)</x:f>
        <x:v>1.0003092766</x:v>
      </x:c>
      <x:c r="AS58" s="46" t="n">
        <x:f>IF(OR(X58="",Y58=""),"",ABS(Y58-X58)*'Readme-Protocol'!$B$27)</x:f>
        <x:v>0.0020349040750544667</x:v>
      </x:c>
      <x:c r="AT58" s="49" t="b">
        <x:f>AND(M58&gt;0,N58&gt;=0,O58&gt;0)</x:f>
        <x:v>1</x:v>
      </x:c>
      <x:c r="AU58" s="49" t="b">
        <x:f>AND(AT58,N58&gt;=M58)</x:f>
        <x:v>1</x:v>
      </x:c>
      <x:c r="AV58" s="49" t="b">
        <x:f>OR(S58=0,T58&gt;=S58)</x:f>
        <x:v>1</x:v>
      </x:c>
      <x:c r="AW58" s="49" t="b">
        <x:f>IF(I58="cache-semantics",OR(V58&lt;&gt;"uniform",ABS(Y58-W58/'Readme-Protocol'!$B$27)&lt;='Readme-Protocol'!$B$28),TRUE)</x:f>
        <x:v>1</x:v>
      </x:c>
      <x:c r="AX58" s="43" t="n">
        <x:f>IF(I58="cache-semantics",INT(AA58*'Readme-Protocol'!$B$32),"")</x:f>
        <x:v>9900</x:v>
      </x:c>
      <x:c r="AY58" s="49" t="b">
        <x:f>IF(I58="cache-semantics",AX58=AB58,TRUE)</x:f>
        <x:v>1</x:v>
      </x:c>
      <x:c r="AZ58" s="49" t="b">
        <x:f>IF(I58="cache-semantics",AX58=AE58,TRUE)</x:f>
        <x:v>1</x:v>
      </x:c>
      <x:c r="BA58" s="49" t="b">
        <x:f>IF(I58="cache-semantics",AC58&gt;=AX58,IF(I58="no-store-control",AC58=0,FALSE))</x:f>
        <x:v>1</x:v>
      </x:c>
      <x:c r="BB58" s="49" t="b">
        <x:f>IF(I58="cache-semantics",AG58&gt;=AX58,IF(I58="no-store-control",AG58=0,FALSE))</x:f>
        <x:v>1</x:v>
      </x:c>
      <x:c r="BC58" s="49" t="b">
        <x:f>AND(BA58,BB58)</x:f>
        <x:v>1</x:v>
      </x:c>
      <x:c r="BD58" s="49" t="b">
        <x:f>IF(I58="no-store-control",AND(AC58=0,AG58=0),TRUE)</x:f>
        <x:v>1</x:v>
      </x:c>
      <x:c r="BE58" s="49" t="b">
        <x:f>IF(I58="no-store-control",AK58=0,TRUE)</x:f>
        <x:v>1</x:v>
      </x:c>
      <x:c r="BF58" s="49" t="b">
        <x:f>IF(I58="cache-semantics",AN58=1,TRUE)</x:f>
        <x:v>1</x:v>
      </x:c>
      <x:c r="BG58" s="49" t="b">
        <x:f>IF(I58="cache-semantics",AND(AU58,AV58,Q58,AW58,BC58,BF58),IF(I58="no-store-control",AND(AU58,AV58,Q58,BD58,BE58),FALSE))</x:f>
        <x:v>1</x:v>
      </x:c>
      <x:c r="BH58" s="49" t="b">
        <x:f>AND(R58,AT58=P58,AU58=L58,AV58=U58,AY58,AZ58,IF(I58="cache-semantics",AND(AW58=Z58,AND(BA58=AD58,BB58=AH58,BC58=AI58),BF58=AO58),IF(I58="no-store-control",AND(AND(BA58=AD58,BB58=AH58,BC58=AI58),BD58=AJ58,BE58=AL58),FALSE)),BG58=AP58)</x:f>
        <x:v>1</x:v>
      </x:c>
      <x:c r="BI58" s="49" t="b">
        <x:f>AND(J58,K58,BG58)</x:f>
        <x:v>1</x:v>
      </x:c>
    </x:row>
    <x:row r="59">
      <x:c r="A59" s="34" t="str">
        <x:v>article1-unified-v4-2-fb3f101b-20260903-000401-default-f01-p6-jcs4</x:v>
      </x:c>
      <x:c r="B59" s="34" t="str">
        <x:v>default</x:v>
      </x:c>
      <x:c r="C59" s="34" t="str">
        <x:v>jcs4</x:v>
      </x:c>
      <x:c r="D59" s="36" t="n">
        <x:v>1</x:v>
      </x:c>
      <x:c r="E59" s="36" t="n">
        <x:v>1</x:v>
      </x:c>
      <x:c r="F59" s="36" t="n">
        <x:v>6</x:v>
      </x:c>
      <x:c r="G59" s="36" t="n">
        <x:v>4</x:v>
      </x:c>
      <x:c r="H59" s="34" t="str">
        <x:v>redeploy</x:v>
      </x:c>
      <x:c r="I59" s="34" t="str">
        <x:v>cache-semantics</x:v>
      </x:c>
      <x:c r="J59" s="45" t="b">
        <x:v>1</x:v>
      </x:c>
      <x:c r="K59" s="45" t="b">
        <x:v>1</x:v>
      </x:c>
      <x:c r="L59" s="45" t="b">
        <x:v>1</x:v>
      </x:c>
      <x:c r="M59" s="43" t="n">
        <x:v>400000</x:v>
      </x:c>
      <x:c r="N59" s="43" t="n">
        <x:v>5123328</x:v>
      </x:c>
      <x:c r="O59" s="43" t="n">
        <x:v>1024444.6910006109</x:v>
      </x:c>
      <x:c r="P59" s="45" t="b">
        <x:v>1</x:v>
      </x:c>
      <x:c r="Q59" s="45" t="b">
        <x:v>1</x:v>
      </x:c>
      <x:c r="R59" s="45" t="b">
        <x:v>1</x:v>
      </x:c>
      <x:c r="S59" s="43" t="n">
        <x:v>5000000000</x:v>
      </x:c>
      <x:c r="T59" s="43" t="n">
        <x:v>5001078189</x:v>
      </x:c>
      <x:c r="U59" s="45" t="b">
        <x:v>1</x:v>
      </x:c>
      <x:c r="V59" s="34" t="str">
        <x:v>uniform</x:v>
      </x:c>
      <x:c r="W59" s="42" t="n">
        <x:v>95</x:v>
      </x:c>
      <x:c r="X59" s="48" t="n">
        <x:v>0.95</x:v>
      </x:c>
      <x:c r="Y59" s="48" t="n">
        <x:v>0.9499760702418428</x:v>
      </x:c>
      <x:c r="Z59" s="45" t="b">
        <x:v>1</x:v>
      </x:c>
      <x:c r="AA59" s="43" t="n">
        <x:v>10000</x:v>
      </x:c>
      <x:c r="AB59" s="43" t="n">
        <x:v>9900</x:v>
      </x:c>
      <x:c r="AC59" s="43" t="n">
        <x:v>10000</x:v>
      </x:c>
      <x:c r="AD59" s="45" t="b">
        <x:v>1</x:v>
      </x:c>
      <x:c r="AE59" s="43" t="n">
        <x:v>9900</x:v>
      </x:c>
      <x:c r="AF59" s="43"/>
      <x:c r="AG59" s="43" t="n">
        <x:v>10000</x:v>
      </x:c>
      <x:c r="AH59" s="45" t="b">
        <x:v>1</x:v>
      </x:c>
      <x:c r="AI59" s="45" t="b">
        <x:v>1</x:v>
      </x:c>
      <x:c r="AJ59" s="49"/>
      <x:c r="AK59" s="48" t="n">
        <x:v>0.9499760702418428</x:v>
      </x:c>
      <x:c r="AL59" s="49"/>
      <x:c r="AM59" s="49"/>
      <x:c r="AN59" s="36" t="n">
        <x:v>1</x:v>
      </x:c>
      <x:c r="AO59" s="45" t="b">
        <x:v>1</x:v>
      </x:c>
      <x:c r="AP59" s="45" t="b">
        <x:v>1</x:v>
      </x:c>
      <x:c r="AQ59" s="46" t="n">
        <x:f>IF(T59="","",T59/'Readme-Protocol'!$B$24)</x:f>
        <x:v>5.001078189</x:v>
      </x:c>
      <x:c r="AR59" s="46" t="n">
        <x:f>IF(OR(S59="",S59=0),"",T59/S59)</x:f>
        <x:v>1.0002156378</x:v>
      </x:c>
      <x:c r="AS59" s="46" t="n">
        <x:f>IF(OR(X59="",Y59=""),"",ABS(Y59-X59)*'Readme-Protocol'!$B$27)</x:f>
        <x:v>0.002392975815712628</x:v>
      </x:c>
      <x:c r="AT59" s="49" t="b">
        <x:f>AND(M59&gt;0,N59&gt;=0,O59&gt;0)</x:f>
        <x:v>1</x:v>
      </x:c>
      <x:c r="AU59" s="49" t="b">
        <x:f>AND(AT59,N59&gt;=M59)</x:f>
        <x:v>1</x:v>
      </x:c>
      <x:c r="AV59" s="49" t="b">
        <x:f>OR(S59=0,T59&gt;=S59)</x:f>
        <x:v>1</x:v>
      </x:c>
      <x:c r="AW59" s="49" t="b">
        <x:f>IF(I59="cache-semantics",OR(V59&lt;&gt;"uniform",ABS(Y59-W59/'Readme-Protocol'!$B$27)&lt;='Readme-Protocol'!$B$28),TRUE)</x:f>
        <x:v>1</x:v>
      </x:c>
      <x:c r="AX59" s="43" t="n">
        <x:f>IF(I59="cache-semantics",INT(AA59*'Readme-Protocol'!$B$32),"")</x:f>
        <x:v>9900</x:v>
      </x:c>
      <x:c r="AY59" s="49" t="b">
        <x:f>IF(I59="cache-semantics",AX59=AB59,TRUE)</x:f>
        <x:v>1</x:v>
      </x:c>
      <x:c r="AZ59" s="49" t="b">
        <x:f>IF(I59="cache-semantics",AX59=AE59,TRUE)</x:f>
        <x:v>1</x:v>
      </x:c>
      <x:c r="BA59" s="49" t="b">
        <x:f>IF(I59="cache-semantics",AC59&gt;=AX59,IF(I59="no-store-control",AC59=0,FALSE))</x:f>
        <x:v>1</x:v>
      </x:c>
      <x:c r="BB59" s="49" t="b">
        <x:f>IF(I59="cache-semantics",AG59&gt;=AX59,IF(I59="no-store-control",AG59=0,FALSE))</x:f>
        <x:v>1</x:v>
      </x:c>
      <x:c r="BC59" s="49" t="b">
        <x:f>AND(BA59,BB59)</x:f>
        <x:v>1</x:v>
      </x:c>
      <x:c r="BD59" s="49" t="b">
        <x:f>IF(I59="no-store-control",AND(AC59=0,AG59=0),TRUE)</x:f>
        <x:v>1</x:v>
      </x:c>
      <x:c r="BE59" s="49" t="b">
        <x:f>IF(I59="no-store-control",AK59=0,TRUE)</x:f>
        <x:v>1</x:v>
      </x:c>
      <x:c r="BF59" s="49" t="b">
        <x:f>IF(I59="cache-semantics",AN59=1,TRUE)</x:f>
        <x:v>1</x:v>
      </x:c>
      <x:c r="BG59" s="49" t="b">
        <x:f>IF(I59="cache-semantics",AND(AU59,AV59,Q59,AW59,BC59,BF59),IF(I59="no-store-control",AND(AU59,AV59,Q59,BD59,BE59),FALSE))</x:f>
        <x:v>1</x:v>
      </x:c>
      <x:c r="BH59" s="49" t="b">
        <x:f>AND(R59,AT59=P59,AU59=L59,AV59=U59,AY59,AZ59,IF(I59="cache-semantics",AND(AW59=Z59,AND(BA59=AD59,BB59=AH59,BC59=AI59),BF59=AO59),IF(I59="no-store-control",AND(AND(BA59=AD59,BB59=AH59,BC59=AI59),BD59=AJ59,BE59=AL59),FALSE)),BG59=AP59)</x:f>
        <x:v>1</x:v>
      </x:c>
      <x:c r="BI59" s="49" t="b">
        <x:f>AND(J59,K59,BG59)</x:f>
        <x:v>1</x:v>
      </x:c>
    </x:row>
    <x:row r="60">
      <x:c r="A60" s="34" t="str">
        <x:v>article1-unified-v4-2-fb3f101b-20260903-000401-default-f01-p6-jcs4</x:v>
      </x:c>
      <x:c r="B60" s="34" t="str">
        <x:v>default</x:v>
      </x:c>
      <x:c r="C60" s="34" t="str">
        <x:v>jcs4</x:v>
      </x:c>
      <x:c r="D60" s="36" t="n">
        <x:v>1</x:v>
      </x:c>
      <x:c r="E60" s="36" t="n">
        <x:v>1</x:v>
      </x:c>
      <x:c r="F60" s="36" t="n">
        <x:v>6</x:v>
      </x:c>
      <x:c r="G60" s="36" t="n">
        <x:v>5</x:v>
      </x:c>
      <x:c r="H60" s="34" t="str">
        <x:v>initial</x:v>
      </x:c>
      <x:c r="I60" s="34" t="str">
        <x:v>cache-semantics</x:v>
      </x:c>
      <x:c r="J60" s="45" t="b">
        <x:v>1</x:v>
      </x:c>
      <x:c r="K60" s="45" t="b">
        <x:v>1</x:v>
      </x:c>
      <x:c r="L60" s="45" t="b">
        <x:v>1</x:v>
      </x:c>
      <x:c r="M60" s="43" t="n">
        <x:v>400000</x:v>
      </x:c>
      <x:c r="N60" s="43" t="n">
        <x:v>4945664</x:v>
      </x:c>
      <x:c r="O60" s="43" t="n">
        <x:v>988921.3850239769</x:v>
      </x:c>
      <x:c r="P60" s="45" t="b">
        <x:v>1</x:v>
      </x:c>
      <x:c r="Q60" s="45" t="b">
        <x:v>1</x:v>
      </x:c>
      <x:c r="R60" s="45" t="b">
        <x:v>1</x:v>
      </x:c>
      <x:c r="S60" s="43" t="n">
        <x:v>5000000000</x:v>
      </x:c>
      <x:c r="T60" s="43" t="n">
        <x:v>5001068917</x:v>
      </x:c>
      <x:c r="U60" s="45" t="b">
        <x:v>1</x:v>
      </x:c>
      <x:c r="V60" s="34" t="str">
        <x:v>uniform</x:v>
      </x:c>
      <x:c r="W60" s="42" t="n">
        <x:v>95</x:v>
      </x:c>
      <x:c r="X60" s="48" t="n">
        <x:v>0.95</x:v>
      </x:c>
      <x:c r="Y60" s="48" t="n">
        <x:v>0.9504994678166572</x:v>
      </x:c>
      <x:c r="Z60" s="45" t="b">
        <x:v>1</x:v>
      </x:c>
      <x:c r="AA60" s="43" t="n">
        <x:v>10000</x:v>
      </x:c>
      <x:c r="AB60" s="43" t="n">
        <x:v>9900</x:v>
      </x:c>
      <x:c r="AC60" s="43" t="n">
        <x:v>10000</x:v>
      </x:c>
      <x:c r="AD60" s="45" t="b">
        <x:v>1</x:v>
      </x:c>
      <x:c r="AE60" s="43" t="n">
        <x:v>9900</x:v>
      </x:c>
      <x:c r="AF60" s="43"/>
      <x:c r="AG60" s="43" t="n">
        <x:v>10000</x:v>
      </x:c>
      <x:c r="AH60" s="45" t="b">
        <x:v>1</x:v>
      </x:c>
      <x:c r="AI60" s="45" t="b">
        <x:v>1</x:v>
      </x:c>
      <x:c r="AJ60" s="49"/>
      <x:c r="AK60" s="48" t="n">
        <x:v>0.9504994678166572</x:v>
      </x:c>
      <x:c r="AL60" s="49"/>
      <x:c r="AM60" s="49"/>
      <x:c r="AN60" s="36" t="n">
        <x:v>1</x:v>
      </x:c>
      <x:c r="AO60" s="45" t="b">
        <x:v>1</x:v>
      </x:c>
      <x:c r="AP60" s="45" t="b">
        <x:v>1</x:v>
      </x:c>
      <x:c r="AQ60" s="46" t="n">
        <x:f>IF(T60="","",T60/'Readme-Protocol'!$B$24)</x:f>
        <x:v>5.001068917</x:v>
      </x:c>
      <x:c r="AR60" s="46" t="n">
        <x:f>IF(OR(S60="",S60=0),"",T60/S60)</x:f>
        <x:v>1.0002137834</x:v>
      </x:c>
      <x:c r="AS60" s="46" t="n">
        <x:f>IF(OR(X60="",Y60=""),"",ABS(Y60-X60)*'Readme-Protocol'!$B$27)</x:f>
        <x:v>0.04994678166572175</x:v>
      </x:c>
      <x:c r="AT60" s="49" t="b">
        <x:f>AND(M60&gt;0,N60&gt;=0,O60&gt;0)</x:f>
        <x:v>1</x:v>
      </x:c>
      <x:c r="AU60" s="49" t="b">
        <x:f>AND(AT60,N60&gt;=M60)</x:f>
        <x:v>1</x:v>
      </x:c>
      <x:c r="AV60" s="49" t="b">
        <x:f>OR(S60=0,T60&gt;=S60)</x:f>
        <x:v>1</x:v>
      </x:c>
      <x:c r="AW60" s="49" t="b">
        <x:f>IF(I60="cache-semantics",OR(V60&lt;&gt;"uniform",ABS(Y60-W60/'Readme-Protocol'!$B$27)&lt;='Readme-Protocol'!$B$28),TRUE)</x:f>
        <x:v>1</x:v>
      </x:c>
      <x:c r="AX60" s="43" t="n">
        <x:f>IF(I60="cache-semantics",INT(AA60*'Readme-Protocol'!$B$32),"")</x:f>
        <x:v>9900</x:v>
      </x:c>
      <x:c r="AY60" s="49" t="b">
        <x:f>IF(I60="cache-semantics",AX60=AB60,TRUE)</x:f>
        <x:v>1</x:v>
      </x:c>
      <x:c r="AZ60" s="49" t="b">
        <x:f>IF(I60="cache-semantics",AX60=AE60,TRUE)</x:f>
        <x:v>1</x:v>
      </x:c>
      <x:c r="BA60" s="49" t="b">
        <x:f>IF(I60="cache-semantics",AC60&gt;=AX60,IF(I60="no-store-control",AC60=0,FALSE))</x:f>
        <x:v>1</x:v>
      </x:c>
      <x:c r="BB60" s="49" t="b">
        <x:f>IF(I60="cache-semantics",AG60&gt;=AX60,IF(I60="no-store-control",AG60=0,FALSE))</x:f>
        <x:v>1</x:v>
      </x:c>
      <x:c r="BC60" s="49" t="b">
        <x:f>AND(BA60,BB60)</x:f>
        <x:v>1</x:v>
      </x:c>
      <x:c r="BD60" s="49" t="b">
        <x:f>IF(I60="no-store-control",AND(AC60=0,AG60=0),TRUE)</x:f>
        <x:v>1</x:v>
      </x:c>
      <x:c r="BE60" s="49" t="b">
        <x:f>IF(I60="no-store-control",AK60=0,TRUE)</x:f>
        <x:v>1</x:v>
      </x:c>
      <x:c r="BF60" s="49" t="b">
        <x:f>IF(I60="cache-semantics",AN60=1,TRUE)</x:f>
        <x:v>1</x:v>
      </x:c>
      <x:c r="BG60" s="49" t="b">
        <x:f>IF(I60="cache-semantics",AND(AU60,AV60,Q60,AW60,BC60,BF60),IF(I60="no-store-control",AND(AU60,AV60,Q60,BD60,BE60),FALSE))</x:f>
        <x:v>1</x:v>
      </x:c>
      <x:c r="BH60" s="49" t="b">
        <x:f>AND(R60,AT60=P60,AU60=L60,AV60=U60,AY60,AZ60,IF(I60="cache-semantics",AND(AW60=Z60,AND(BA60=AD60,BB60=AH60,BC60=AI60),BF60=AO60),IF(I60="no-store-control",AND(AND(BA60=AD60,BB60=AH60,BC60=AI60),BD60=AJ60,BE60=AL60),FALSE)),BG60=AP60)</x:f>
        <x:v>1</x:v>
      </x:c>
      <x:c r="BI60" s="49" t="b">
        <x:f>AND(J60,K60,BG60)</x:f>
        <x:v>1</x:v>
      </x:c>
    </x:row>
    <x:row r="61">
      <x:c r="A61" s="34" t="str">
        <x:v>article1-unified-v4-2-fb3f101b-20260903-000401-default-f01-p6-jcs4</x:v>
      </x:c>
      <x:c r="B61" s="34" t="str">
        <x:v>default</x:v>
      </x:c>
      <x:c r="C61" s="34" t="str">
        <x:v>jcs4</x:v>
      </x:c>
      <x:c r="D61" s="36" t="n">
        <x:v>1</x:v>
      </x:c>
      <x:c r="E61" s="36" t="n">
        <x:v>1</x:v>
      </x:c>
      <x:c r="F61" s="36" t="n">
        <x:v>6</x:v>
      </x:c>
      <x:c r="G61" s="36" t="n">
        <x:v>5</x:v>
      </x:c>
      <x:c r="H61" s="34" t="str">
        <x:v>redeploy</x:v>
      </x:c>
      <x:c r="I61" s="34" t="str">
        <x:v>cache-semantics</x:v>
      </x:c>
      <x:c r="J61" s="45" t="b">
        <x:v>1</x:v>
      </x:c>
      <x:c r="K61" s="45" t="b">
        <x:v>1</x:v>
      </x:c>
      <x:c r="L61" s="45" t="b">
        <x:v>1</x:v>
      </x:c>
      <x:c r="M61" s="43" t="n">
        <x:v>400000</x:v>
      </x:c>
      <x:c r="N61" s="43" t="n">
        <x:v>4529920</x:v>
      </x:c>
      <x:c r="O61" s="43" t="n">
        <x:v>905712.8277679406</x:v>
      </x:c>
      <x:c r="P61" s="45" t="b">
        <x:v>1</x:v>
      </x:c>
      <x:c r="Q61" s="45" t="b">
        <x:v>1</x:v>
      </x:c>
      <x:c r="R61" s="45" t="b">
        <x:v>1</x:v>
      </x:c>
      <x:c r="S61" s="43" t="n">
        <x:v>5000000000</x:v>
      </x:c>
      <x:c r="T61" s="43" t="n">
        <x:v>5001497010</x:v>
      </x:c>
      <x:c r="U61" s="45" t="b">
        <x:v>1</x:v>
      </x:c>
      <x:c r="V61" s="34" t="str">
        <x:v>uniform</x:v>
      </x:c>
      <x:c r="W61" s="42" t="n">
        <x:v>95</x:v>
      </x:c>
      <x:c r="X61" s="48" t="n">
        <x:v>0.95</x:v>
      </x:c>
      <x:c r="Y61" s="48" t="n">
        <x:v>0.9505147993783555</x:v>
      </x:c>
      <x:c r="Z61" s="45" t="b">
        <x:v>1</x:v>
      </x:c>
      <x:c r="AA61" s="43" t="n">
        <x:v>10000</x:v>
      </x:c>
      <x:c r="AB61" s="43" t="n">
        <x:v>9900</x:v>
      </x:c>
      <x:c r="AC61" s="43" t="n">
        <x:v>10000</x:v>
      </x:c>
      <x:c r="AD61" s="45" t="b">
        <x:v>1</x:v>
      </x:c>
      <x:c r="AE61" s="43" t="n">
        <x:v>9900</x:v>
      </x:c>
      <x:c r="AF61" s="43"/>
      <x:c r="AG61" s="43" t="n">
        <x:v>10000</x:v>
      </x:c>
      <x:c r="AH61" s="45" t="b">
        <x:v>1</x:v>
      </x:c>
      <x:c r="AI61" s="45" t="b">
        <x:v>1</x:v>
      </x:c>
      <x:c r="AJ61" s="49"/>
      <x:c r="AK61" s="48" t="n">
        <x:v>0.9505147993783555</x:v>
      </x:c>
      <x:c r="AL61" s="49"/>
      <x:c r="AM61" s="49"/>
      <x:c r="AN61" s="36" t="n">
        <x:v>1</x:v>
      </x:c>
      <x:c r="AO61" s="45" t="b">
        <x:v>1</x:v>
      </x:c>
      <x:c r="AP61" s="45" t="b">
        <x:v>1</x:v>
      </x:c>
      <x:c r="AQ61" s="46" t="n">
        <x:f>IF(T61="","",T61/'Readme-Protocol'!$B$24)</x:f>
        <x:v>5.00149701</x:v>
      </x:c>
      <x:c r="AR61" s="46" t="n">
        <x:f>IF(OR(S61="",S61=0),"",T61/S61)</x:f>
        <x:v>1.000299402</x:v>
      </x:c>
      <x:c r="AS61" s="46" t="n">
        <x:f>IF(OR(X61="",Y61=""),"",ABS(Y61-X61)*'Readme-Protocol'!$B$27)</x:f>
        <x:v>0.05147993783555238</x:v>
      </x:c>
      <x:c r="AT61" s="49" t="b">
        <x:f>AND(M61&gt;0,N61&gt;=0,O61&gt;0)</x:f>
        <x:v>1</x:v>
      </x:c>
      <x:c r="AU61" s="49" t="b">
        <x:f>AND(AT61,N61&gt;=M61)</x:f>
        <x:v>1</x:v>
      </x:c>
      <x:c r="AV61" s="49" t="b">
        <x:f>OR(S61=0,T61&gt;=S61)</x:f>
        <x:v>1</x:v>
      </x:c>
      <x:c r="AW61" s="49" t="b">
        <x:f>IF(I61="cache-semantics",OR(V61&lt;&gt;"uniform",ABS(Y61-W61/'Readme-Protocol'!$B$27)&lt;='Readme-Protocol'!$B$28),TRUE)</x:f>
        <x:v>1</x:v>
      </x:c>
      <x:c r="AX61" s="43" t="n">
        <x:f>IF(I61="cache-semantics",INT(AA61*'Readme-Protocol'!$B$32),"")</x:f>
        <x:v>9900</x:v>
      </x:c>
      <x:c r="AY61" s="49" t="b">
        <x:f>IF(I61="cache-semantics",AX61=AB61,TRUE)</x:f>
        <x:v>1</x:v>
      </x:c>
      <x:c r="AZ61" s="49" t="b">
        <x:f>IF(I61="cache-semantics",AX61=AE61,TRUE)</x:f>
        <x:v>1</x:v>
      </x:c>
      <x:c r="BA61" s="49" t="b">
        <x:f>IF(I61="cache-semantics",AC61&gt;=AX61,IF(I61="no-store-control",AC61=0,FALSE))</x:f>
        <x:v>1</x:v>
      </x:c>
      <x:c r="BB61" s="49" t="b">
        <x:f>IF(I61="cache-semantics",AG61&gt;=AX61,IF(I61="no-store-control",AG61=0,FALSE))</x:f>
        <x:v>1</x:v>
      </x:c>
      <x:c r="BC61" s="49" t="b">
        <x:f>AND(BA61,BB61)</x:f>
        <x:v>1</x:v>
      </x:c>
      <x:c r="BD61" s="49" t="b">
        <x:f>IF(I61="no-store-control",AND(AC61=0,AG61=0),TRUE)</x:f>
        <x:v>1</x:v>
      </x:c>
      <x:c r="BE61" s="49" t="b">
        <x:f>IF(I61="no-store-control",AK61=0,TRUE)</x:f>
        <x:v>1</x:v>
      </x:c>
      <x:c r="BF61" s="49" t="b">
        <x:f>IF(I61="cache-semantics",AN61=1,TRUE)</x:f>
        <x:v>1</x:v>
      </x:c>
      <x:c r="BG61" s="49" t="b">
        <x:f>IF(I61="cache-semantics",AND(AU61,AV61,Q61,AW61,BC61,BF61),IF(I61="no-store-control",AND(AU61,AV61,Q61,BD61,BE61),FALSE))</x:f>
        <x:v>1</x:v>
      </x:c>
      <x:c r="BH61" s="49" t="b">
        <x:f>AND(R61,AT61=P61,AU61=L61,AV61=U61,AY61,AZ61,IF(I61="cache-semantics",AND(AW61=Z61,AND(BA61=AD61,BB61=AH61,BC61=AI61),BF61=AO61),IF(I61="no-store-control",AND(AND(BA61=AD61,BB61=AH61,BC61=AI61),BD61=AJ61,BE61=AL61),FALSE)),BG61=AP61)</x:f>
        <x:v>1</x:v>
      </x:c>
      <x:c r="BI61" s="49" t="b">
        <x:f>AND(J61,K61,BG61)</x:f>
        <x:v>1</x:v>
      </x:c>
    </x:row>
    <x:row r="62">
      <x:c r="A62" s="34" t="str">
        <x:v>article1-unified-v4-2-fb3f101b-20260903-000401-default-f02-p1-ehcache</x:v>
      </x:c>
      <x:c r="B62" s="34" t="str">
        <x:v>default</x:v>
      </x:c>
      <x:c r="C62" s="34" t="str">
        <x:v>ehcache</x:v>
      </x:c>
      <x:c r="D62" s="36" t="n">
        <x:v>2</x:v>
      </x:c>
      <x:c r="E62" s="36" t="n">
        <x:v>2</x:v>
      </x:c>
      <x:c r="F62" s="36" t="n">
        <x:v>1</x:v>
      </x:c>
      <x:c r="G62" s="36" t="n">
        <x:v>1</x:v>
      </x:c>
      <x:c r="H62" s="34" t="str">
        <x:v>initial</x:v>
      </x:c>
      <x:c r="I62" s="34" t="str">
        <x:v>cache-semantics</x:v>
      </x:c>
      <x:c r="J62" s="45" t="b">
        <x:v>1</x:v>
      </x:c>
      <x:c r="K62" s="45" t="b">
        <x:v>1</x:v>
      </x:c>
      <x:c r="L62" s="45" t="b">
        <x:v>1</x:v>
      </x:c>
      <x:c r="M62" s="43" t="n">
        <x:v>400000</x:v>
      </x:c>
      <x:c r="N62" s="43" t="n">
        <x:v>113794560</x:v>
      </x:c>
      <x:c r="O62" s="43" t="n">
        <x:v>22715674.281386904</x:v>
      </x:c>
      <x:c r="P62" s="45" t="b">
        <x:v>1</x:v>
      </x:c>
      <x:c r="Q62" s="45" t="b">
        <x:v>1</x:v>
      </x:c>
      <x:c r="R62" s="45" t="b">
        <x:v>1</x:v>
      </x:c>
      <x:c r="S62" s="43" t="n">
        <x:v>5000000000</x:v>
      </x:c>
      <x:c r="T62" s="43" t="n">
        <x:v>5009517155</x:v>
      </x:c>
      <x:c r="U62" s="45" t="b">
        <x:v>1</x:v>
      </x:c>
      <x:c r="V62" s="34" t="str">
        <x:v>uniform</x:v>
      </x:c>
      <x:c r="W62" s="42" t="n">
        <x:v>95</x:v>
      </x:c>
      <x:c r="X62" s="48" t="n">
        <x:v>0.95</x:v>
      </x:c>
      <x:c r="Y62" s="48" t="n">
        <x:v>0.9498274346330792</x:v>
      </x:c>
      <x:c r="Z62" s="45" t="b">
        <x:v>1</x:v>
      </x:c>
      <x:c r="AA62" s="43" t="n">
        <x:v>10000</x:v>
      </x:c>
      <x:c r="AB62" s="43" t="n">
        <x:v>9900</x:v>
      </x:c>
      <x:c r="AC62" s="43" t="n">
        <x:v>10000</x:v>
      </x:c>
      <x:c r="AD62" s="45" t="b">
        <x:v>1</x:v>
      </x:c>
      <x:c r="AE62" s="43" t="n">
        <x:v>9900</x:v>
      </x:c>
      <x:c r="AF62" s="43"/>
      <x:c r="AG62" s="43" t="n">
        <x:v>10000</x:v>
      </x:c>
      <x:c r="AH62" s="45" t="b">
        <x:v>1</x:v>
      </x:c>
      <x:c r="AI62" s="45" t="b">
        <x:v>1</x:v>
      </x:c>
      <x:c r="AJ62" s="49"/>
      <x:c r="AK62" s="48" t="n">
        <x:v>0.9498274346330792</x:v>
      </x:c>
      <x:c r="AL62" s="49"/>
      <x:c r="AM62" s="49"/>
      <x:c r="AN62" s="36" t="n">
        <x:v>1</x:v>
      </x:c>
      <x:c r="AO62" s="45" t="b">
        <x:v>1</x:v>
      </x:c>
      <x:c r="AP62" s="45" t="b">
        <x:v>1</x:v>
      </x:c>
      <x:c r="AQ62" s="46" t="n">
        <x:f>IF(T62="","",T62/'Readme-Protocol'!$B$24)</x:f>
        <x:v>5.009517155</x:v>
      </x:c>
      <x:c r="AR62" s="46" t="n">
        <x:f>IF(OR(S62="",S62=0),"",T62/S62)</x:f>
        <x:v>1.001903431</x:v>
      </x:c>
      <x:c r="AS62" s="46" t="n">
        <x:f>IF(OR(X62="",Y62=""),"",ABS(Y62-X62)*'Readme-Protocol'!$B$27)</x:f>
        <x:v>0.017256536692078495</x:v>
      </x:c>
      <x:c r="AT62" s="49" t="b">
        <x:f>AND(M62&gt;0,N62&gt;=0,O62&gt;0)</x:f>
        <x:v>1</x:v>
      </x:c>
      <x:c r="AU62" s="49" t="b">
        <x:f>AND(AT62,N62&gt;=M62)</x:f>
        <x:v>1</x:v>
      </x:c>
      <x:c r="AV62" s="49" t="b">
        <x:f>OR(S62=0,T62&gt;=S62)</x:f>
        <x:v>1</x:v>
      </x:c>
      <x:c r="AW62" s="49" t="b">
        <x:f>IF(I62="cache-semantics",OR(V62&lt;&gt;"uniform",ABS(Y62-W62/'Readme-Protocol'!$B$27)&lt;='Readme-Protocol'!$B$28),TRUE)</x:f>
        <x:v>1</x:v>
      </x:c>
      <x:c r="AX62" s="43" t="n">
        <x:f>IF(I62="cache-semantics",INT(AA62*'Readme-Protocol'!$B$32),"")</x:f>
        <x:v>9900</x:v>
      </x:c>
      <x:c r="AY62" s="49" t="b">
        <x:f>IF(I62="cache-semantics",AX62=AB62,TRUE)</x:f>
        <x:v>1</x:v>
      </x:c>
      <x:c r="AZ62" s="49" t="b">
        <x:f>IF(I62="cache-semantics",AX62=AE62,TRUE)</x:f>
        <x:v>1</x:v>
      </x:c>
      <x:c r="BA62" s="49" t="b">
        <x:f>IF(I62="cache-semantics",AC62&gt;=AX62,IF(I62="no-store-control",AC62=0,FALSE))</x:f>
        <x:v>1</x:v>
      </x:c>
      <x:c r="BB62" s="49" t="b">
        <x:f>IF(I62="cache-semantics",AG62&gt;=AX62,IF(I62="no-store-control",AG62=0,FALSE))</x:f>
        <x:v>1</x:v>
      </x:c>
      <x:c r="BC62" s="49" t="b">
        <x:f>AND(BA62,BB62)</x:f>
        <x:v>1</x:v>
      </x:c>
      <x:c r="BD62" s="49" t="b">
        <x:f>IF(I62="no-store-control",AND(AC62=0,AG62=0),TRUE)</x:f>
        <x:v>1</x:v>
      </x:c>
      <x:c r="BE62" s="49" t="b">
        <x:f>IF(I62="no-store-control",AK62=0,TRUE)</x:f>
        <x:v>1</x:v>
      </x:c>
      <x:c r="BF62" s="49" t="b">
        <x:f>IF(I62="cache-semantics",AN62=1,TRUE)</x:f>
        <x:v>1</x:v>
      </x:c>
      <x:c r="BG62" s="49" t="b">
        <x:f>IF(I62="cache-semantics",AND(AU62,AV62,Q62,AW62,BC62,BF62),IF(I62="no-store-control",AND(AU62,AV62,Q62,BD62,BE62),FALSE))</x:f>
        <x:v>1</x:v>
      </x:c>
      <x:c r="BH62" s="49" t="b">
        <x:f>AND(R62,AT62=P62,AU62=L62,AV62=U62,AY62,AZ62,IF(I62="cache-semantics",AND(AW62=Z62,AND(BA62=AD62,BB62=AH62,BC62=AI62),BF62=AO62),IF(I62="no-store-control",AND(AND(BA62=AD62,BB62=AH62,BC62=AI62),BD62=AJ62,BE62=AL62),FALSE)),BG62=AP62)</x:f>
        <x:v>1</x:v>
      </x:c>
      <x:c r="BI62" s="49" t="b">
        <x:f>AND(J62,K62,BG62)</x:f>
        <x:v>1</x:v>
      </x:c>
    </x:row>
    <x:row r="63">
      <x:c r="A63" s="34" t="str">
        <x:v>article1-unified-v4-2-fb3f101b-20260903-000401-default-f02-p1-ehcache</x:v>
      </x:c>
      <x:c r="B63" s="34" t="str">
        <x:v>default</x:v>
      </x:c>
      <x:c r="C63" s="34" t="str">
        <x:v>ehcache</x:v>
      </x:c>
      <x:c r="D63" s="36" t="n">
        <x:v>2</x:v>
      </x:c>
      <x:c r="E63" s="36" t="n">
        <x:v>2</x:v>
      </x:c>
      <x:c r="F63" s="36" t="n">
        <x:v>1</x:v>
      </x:c>
      <x:c r="G63" s="36" t="n">
        <x:v>1</x:v>
      </x:c>
      <x:c r="H63" s="34" t="str">
        <x:v>redeploy</x:v>
      </x:c>
      <x:c r="I63" s="34" t="str">
        <x:v>cache-semantics</x:v>
      </x:c>
      <x:c r="J63" s="45" t="b">
        <x:v>1</x:v>
      </x:c>
      <x:c r="K63" s="45" t="b">
        <x:v>1</x:v>
      </x:c>
      <x:c r="L63" s="45" t="b">
        <x:v>1</x:v>
      </x:c>
      <x:c r="M63" s="43" t="n">
        <x:v>400000</x:v>
      </x:c>
      <x:c r="N63" s="43" t="n">
        <x:v>117232640</x:v>
      </x:c>
      <x:c r="O63" s="43" t="n">
        <x:v>23436041.313641008</x:v>
      </x:c>
      <x:c r="P63" s="45" t="b">
        <x:v>1</x:v>
      </x:c>
      <x:c r="Q63" s="45" t="b">
        <x:v>1</x:v>
      </x:c>
      <x:c r="R63" s="45" t="b">
        <x:v>1</x:v>
      </x:c>
      <x:c r="S63" s="43" t="n">
        <x:v>5000000000</x:v>
      </x:c>
      <x:c r="T63" s="43" t="n">
        <x:v>5002237299</x:v>
      </x:c>
      <x:c r="U63" s="45" t="b">
        <x:v>1</x:v>
      </x:c>
      <x:c r="V63" s="34" t="str">
        <x:v>uniform</x:v>
      </x:c>
      <x:c r="W63" s="42" t="n">
        <x:v>95</x:v>
      </x:c>
      <x:c r="X63" s="48" t="n">
        <x:v>0.95</x:v>
      </x:c>
      <x:c r="Y63" s="48" t="n">
        <x:v>0.9498292284469582</x:v>
      </x:c>
      <x:c r="Z63" s="45" t="b">
        <x:v>1</x:v>
      </x:c>
      <x:c r="AA63" s="43" t="n">
        <x:v>10000</x:v>
      </x:c>
      <x:c r="AB63" s="43" t="n">
        <x:v>9900</x:v>
      </x:c>
      <x:c r="AC63" s="43" t="n">
        <x:v>10000</x:v>
      </x:c>
      <x:c r="AD63" s="45" t="b">
        <x:v>1</x:v>
      </x:c>
      <x:c r="AE63" s="43" t="n">
        <x:v>9900</x:v>
      </x:c>
      <x:c r="AF63" s="43"/>
      <x:c r="AG63" s="43" t="n">
        <x:v>10000</x:v>
      </x:c>
      <x:c r="AH63" s="45" t="b">
        <x:v>1</x:v>
      </x:c>
      <x:c r="AI63" s="45" t="b">
        <x:v>1</x:v>
      </x:c>
      <x:c r="AJ63" s="49"/>
      <x:c r="AK63" s="48" t="n">
        <x:v>0.9498292284469582</x:v>
      </x:c>
      <x:c r="AL63" s="49"/>
      <x:c r="AM63" s="49"/>
      <x:c r="AN63" s="36" t="n">
        <x:v>1</x:v>
      </x:c>
      <x:c r="AO63" s="45" t="b">
        <x:v>1</x:v>
      </x:c>
      <x:c r="AP63" s="45" t="b">
        <x:v>1</x:v>
      </x:c>
      <x:c r="AQ63" s="46" t="n">
        <x:f>IF(T63="","",T63/'Readme-Protocol'!$B$24)</x:f>
        <x:v>5.002237299</x:v>
      </x:c>
      <x:c r="AR63" s="46" t="n">
        <x:f>IF(OR(S63="",S63=0),"",T63/S63)</x:f>
        <x:v>1.0004474598</x:v>
      </x:c>
      <x:c r="AS63" s="46" t="n">
        <x:f>IF(OR(X63="",Y63=""),"",ABS(Y63-X63)*'Readme-Protocol'!$B$27)</x:f>
        <x:v>0.017077155304179303</x:v>
      </x:c>
      <x:c r="AT63" s="49" t="b">
        <x:f>AND(M63&gt;0,N63&gt;=0,O63&gt;0)</x:f>
        <x:v>1</x:v>
      </x:c>
      <x:c r="AU63" s="49" t="b">
        <x:f>AND(AT63,N63&gt;=M63)</x:f>
        <x:v>1</x:v>
      </x:c>
      <x:c r="AV63" s="49" t="b">
        <x:f>OR(S63=0,T63&gt;=S63)</x:f>
        <x:v>1</x:v>
      </x:c>
      <x:c r="AW63" s="49" t="b">
        <x:f>IF(I63="cache-semantics",OR(V63&lt;&gt;"uniform",ABS(Y63-W63/'Readme-Protocol'!$B$27)&lt;='Readme-Protocol'!$B$28),TRUE)</x:f>
        <x:v>1</x:v>
      </x:c>
      <x:c r="AX63" s="43" t="n">
        <x:f>IF(I63="cache-semantics",INT(AA63*'Readme-Protocol'!$B$32),"")</x:f>
        <x:v>9900</x:v>
      </x:c>
      <x:c r="AY63" s="49" t="b">
        <x:f>IF(I63="cache-semantics",AX63=AB63,TRUE)</x:f>
        <x:v>1</x:v>
      </x:c>
      <x:c r="AZ63" s="49" t="b">
        <x:f>IF(I63="cache-semantics",AX63=AE63,TRUE)</x:f>
        <x:v>1</x:v>
      </x:c>
      <x:c r="BA63" s="49" t="b">
        <x:f>IF(I63="cache-semantics",AC63&gt;=AX63,IF(I63="no-store-control",AC63=0,FALSE))</x:f>
        <x:v>1</x:v>
      </x:c>
      <x:c r="BB63" s="49" t="b">
        <x:f>IF(I63="cache-semantics",AG63&gt;=AX63,IF(I63="no-store-control",AG63=0,FALSE))</x:f>
        <x:v>1</x:v>
      </x:c>
      <x:c r="BC63" s="49" t="b">
        <x:f>AND(BA63,BB63)</x:f>
        <x:v>1</x:v>
      </x:c>
      <x:c r="BD63" s="49" t="b">
        <x:f>IF(I63="no-store-control",AND(AC63=0,AG63=0),TRUE)</x:f>
        <x:v>1</x:v>
      </x:c>
      <x:c r="BE63" s="49" t="b">
        <x:f>IF(I63="no-store-control",AK63=0,TRUE)</x:f>
        <x:v>1</x:v>
      </x:c>
      <x:c r="BF63" s="49" t="b">
        <x:f>IF(I63="cache-semantics",AN63=1,TRUE)</x:f>
        <x:v>1</x:v>
      </x:c>
      <x:c r="BG63" s="49" t="b">
        <x:f>IF(I63="cache-semantics",AND(AU63,AV63,Q63,AW63,BC63,BF63),IF(I63="no-store-control",AND(AU63,AV63,Q63,BD63,BE63),FALSE))</x:f>
        <x:v>1</x:v>
      </x:c>
      <x:c r="BH63" s="49" t="b">
        <x:f>AND(R63,AT63=P63,AU63=L63,AV63=U63,AY63,AZ63,IF(I63="cache-semantics",AND(AW63=Z63,AND(BA63=AD63,BB63=AH63,BC63=AI63),BF63=AO63),IF(I63="no-store-control",AND(AND(BA63=AD63,BB63=AH63,BC63=AI63),BD63=AJ63,BE63=AL63),FALSE)),BG63=AP63)</x:f>
        <x:v>1</x:v>
      </x:c>
      <x:c r="BI63" s="49" t="b">
        <x:f>AND(J63,K63,BG63)</x:f>
        <x:v>1</x:v>
      </x:c>
    </x:row>
    <x:row r="64">
      <x:c r="A64" s="34" t="str">
        <x:v>article1-unified-v4-2-fb3f101b-20260903-000401-default-f02-p1-ehcache</x:v>
      </x:c>
      <x:c r="B64" s="34" t="str">
        <x:v>default</x:v>
      </x:c>
      <x:c r="C64" s="34" t="str">
        <x:v>ehcache</x:v>
      </x:c>
      <x:c r="D64" s="36" t="n">
        <x:v>2</x:v>
      </x:c>
      <x:c r="E64" s="36" t="n">
        <x:v>2</x:v>
      </x:c>
      <x:c r="F64" s="36" t="n">
        <x:v>1</x:v>
      </x:c>
      <x:c r="G64" s="36" t="n">
        <x:v>2</x:v>
      </x:c>
      <x:c r="H64" s="34" t="str">
        <x:v>initial</x:v>
      </x:c>
      <x:c r="I64" s="34" t="str">
        <x:v>cache-semantics</x:v>
      </x:c>
      <x:c r="J64" s="45" t="b">
        <x:v>1</x:v>
      </x:c>
      <x:c r="K64" s="45" t="b">
        <x:v>1</x:v>
      </x:c>
      <x:c r="L64" s="45" t="b">
        <x:v>1</x:v>
      </x:c>
      <x:c r="M64" s="43" t="n">
        <x:v>400000</x:v>
      </x:c>
      <x:c r="N64" s="43" t="n">
        <x:v>117453568</x:v>
      </x:c>
      <x:c r="O64" s="43" t="n">
        <x:v>23478631.252179865</x:v>
      </x:c>
      <x:c r="P64" s="45" t="b">
        <x:v>1</x:v>
      </x:c>
      <x:c r="Q64" s="45" t="b">
        <x:v>1</x:v>
      </x:c>
      <x:c r="R64" s="45" t="b">
        <x:v>1</x:v>
      </x:c>
      <x:c r="S64" s="43" t="n">
        <x:v>5000000000</x:v>
      </x:c>
      <x:c r="T64" s="43" t="n">
        <x:v>5002573052</x:v>
      </x:c>
      <x:c r="U64" s="45" t="b">
        <x:v>1</x:v>
      </x:c>
      <x:c r="V64" s="34" t="str">
        <x:v>uniform</x:v>
      </x:c>
      <x:c r="W64" s="42" t="n">
        <x:v>95</x:v>
      </x:c>
      <x:c r="X64" s="48" t="n">
        <x:v>0.95</x:v>
      </x:c>
      <x:c r="Y64" s="48" t="n">
        <x:v>0.9492586636448541</x:v>
      </x:c>
      <x:c r="Z64" s="45" t="b">
        <x:v>1</x:v>
      </x:c>
      <x:c r="AA64" s="43" t="n">
        <x:v>10000</x:v>
      </x:c>
      <x:c r="AB64" s="43" t="n">
        <x:v>9900</x:v>
      </x:c>
      <x:c r="AC64" s="43" t="n">
        <x:v>10000</x:v>
      </x:c>
      <x:c r="AD64" s="45" t="b">
        <x:v>1</x:v>
      </x:c>
      <x:c r="AE64" s="43" t="n">
        <x:v>9900</x:v>
      </x:c>
      <x:c r="AF64" s="43"/>
      <x:c r="AG64" s="43" t="n">
        <x:v>10000</x:v>
      </x:c>
      <x:c r="AH64" s="45" t="b">
        <x:v>1</x:v>
      </x:c>
      <x:c r="AI64" s="45" t="b">
        <x:v>1</x:v>
      </x:c>
      <x:c r="AJ64" s="49"/>
      <x:c r="AK64" s="48" t="n">
        <x:v>0.9492586636448541</x:v>
      </x:c>
      <x:c r="AL64" s="49"/>
      <x:c r="AM64" s="49"/>
      <x:c r="AN64" s="36" t="n">
        <x:v>1</x:v>
      </x:c>
      <x:c r="AO64" s="45" t="b">
        <x:v>1</x:v>
      </x:c>
      <x:c r="AP64" s="45" t="b">
        <x:v>1</x:v>
      </x:c>
      <x:c r="AQ64" s="46" t="n">
        <x:f>IF(T64="","",T64/'Readme-Protocol'!$B$24)</x:f>
        <x:v>5.002573052</x:v>
      </x:c>
      <x:c r="AR64" s="46" t="n">
        <x:f>IF(OR(S64="",S64=0),"",T64/S64)</x:f>
        <x:v>1.0005146104</x:v>
      </x:c>
      <x:c r="AS64" s="46" t="n">
        <x:f>IF(OR(X64="",Y64=""),"",ABS(Y64-X64)*'Readme-Protocol'!$B$27)</x:f>
        <x:v>0.07413363551458385</x:v>
      </x:c>
      <x:c r="AT64" s="49" t="b">
        <x:f>AND(M64&gt;0,N64&gt;=0,O64&gt;0)</x:f>
        <x:v>1</x:v>
      </x:c>
      <x:c r="AU64" s="49" t="b">
        <x:f>AND(AT64,N64&gt;=M64)</x:f>
        <x:v>1</x:v>
      </x:c>
      <x:c r="AV64" s="49" t="b">
        <x:f>OR(S64=0,T64&gt;=S64)</x:f>
        <x:v>1</x:v>
      </x:c>
      <x:c r="AW64" s="49" t="b">
        <x:f>IF(I64="cache-semantics",OR(V64&lt;&gt;"uniform",ABS(Y64-W64/'Readme-Protocol'!$B$27)&lt;='Readme-Protocol'!$B$28),TRUE)</x:f>
        <x:v>1</x:v>
      </x:c>
      <x:c r="AX64" s="43" t="n">
        <x:f>IF(I64="cache-semantics",INT(AA64*'Readme-Protocol'!$B$32),"")</x:f>
        <x:v>9900</x:v>
      </x:c>
      <x:c r="AY64" s="49" t="b">
        <x:f>IF(I64="cache-semantics",AX64=AB64,TRUE)</x:f>
        <x:v>1</x:v>
      </x:c>
      <x:c r="AZ64" s="49" t="b">
        <x:f>IF(I64="cache-semantics",AX64=AE64,TRUE)</x:f>
        <x:v>1</x:v>
      </x:c>
      <x:c r="BA64" s="49" t="b">
        <x:f>IF(I64="cache-semantics",AC64&gt;=AX64,IF(I64="no-store-control",AC64=0,FALSE))</x:f>
        <x:v>1</x:v>
      </x:c>
      <x:c r="BB64" s="49" t="b">
        <x:f>IF(I64="cache-semantics",AG64&gt;=AX64,IF(I64="no-store-control",AG64=0,FALSE))</x:f>
        <x:v>1</x:v>
      </x:c>
      <x:c r="BC64" s="49" t="b">
        <x:f>AND(BA64,BB64)</x:f>
        <x:v>1</x:v>
      </x:c>
      <x:c r="BD64" s="49" t="b">
        <x:f>IF(I64="no-store-control",AND(AC64=0,AG64=0),TRUE)</x:f>
        <x:v>1</x:v>
      </x:c>
      <x:c r="BE64" s="49" t="b">
        <x:f>IF(I64="no-store-control",AK64=0,TRUE)</x:f>
        <x:v>1</x:v>
      </x:c>
      <x:c r="BF64" s="49" t="b">
        <x:f>IF(I64="cache-semantics",AN64=1,TRUE)</x:f>
        <x:v>1</x:v>
      </x:c>
      <x:c r="BG64" s="49" t="b">
        <x:f>IF(I64="cache-semantics",AND(AU64,AV64,Q64,AW64,BC64,BF64),IF(I64="no-store-control",AND(AU64,AV64,Q64,BD64,BE64),FALSE))</x:f>
        <x:v>1</x:v>
      </x:c>
      <x:c r="BH64" s="49" t="b">
        <x:f>AND(R64,AT64=P64,AU64=L64,AV64=U64,AY64,AZ64,IF(I64="cache-semantics",AND(AW64=Z64,AND(BA64=AD64,BB64=AH64,BC64=AI64),BF64=AO64),IF(I64="no-store-control",AND(AND(BA64=AD64,BB64=AH64,BC64=AI64),BD64=AJ64,BE64=AL64),FALSE)),BG64=AP64)</x:f>
        <x:v>1</x:v>
      </x:c>
      <x:c r="BI64" s="49" t="b">
        <x:f>AND(J64,K64,BG64)</x:f>
        <x:v>1</x:v>
      </x:c>
    </x:row>
    <x:row r="65">
      <x:c r="A65" s="34" t="str">
        <x:v>article1-unified-v4-2-fb3f101b-20260903-000401-default-f02-p1-ehcache</x:v>
      </x:c>
      <x:c r="B65" s="34" t="str">
        <x:v>default</x:v>
      </x:c>
      <x:c r="C65" s="34" t="str">
        <x:v>ehcache</x:v>
      </x:c>
      <x:c r="D65" s="36" t="n">
        <x:v>2</x:v>
      </x:c>
      <x:c r="E65" s="36" t="n">
        <x:v>2</x:v>
      </x:c>
      <x:c r="F65" s="36" t="n">
        <x:v>1</x:v>
      </x:c>
      <x:c r="G65" s="36" t="n">
        <x:v>2</x:v>
      </x:c>
      <x:c r="H65" s="34" t="str">
        <x:v>redeploy</x:v>
      </x:c>
      <x:c r="I65" s="34" t="str">
        <x:v>cache-semantics</x:v>
      </x:c>
      <x:c r="J65" s="45" t="b">
        <x:v>1</x:v>
      </x:c>
      <x:c r="K65" s="45" t="b">
        <x:v>1</x:v>
      </x:c>
      <x:c r="L65" s="45" t="b">
        <x:v>1</x:v>
      </x:c>
      <x:c r="M65" s="43" t="n">
        <x:v>400000</x:v>
      </x:c>
      <x:c r="N65" s="43" t="n">
        <x:v>105981696</x:v>
      </x:c>
      <x:c r="O65" s="43" t="n">
        <x:v>21189214.585104175</x:v>
      </x:c>
      <x:c r="P65" s="45" t="b">
        <x:v>1</x:v>
      </x:c>
      <x:c r="Q65" s="45" t="b">
        <x:v>1</x:v>
      </x:c>
      <x:c r="R65" s="45" t="b">
        <x:v>1</x:v>
      </x:c>
      <x:c r="S65" s="43" t="n">
        <x:v>5000000000</x:v>
      </x:c>
      <x:c r="T65" s="43" t="n">
        <x:v>5001681189</x:v>
      </x:c>
      <x:c r="U65" s="45" t="b">
        <x:v>1</x:v>
      </x:c>
      <x:c r="V65" s="34" t="str">
        <x:v>uniform</x:v>
      </x:c>
      <x:c r="W65" s="42" t="n">
        <x:v>95</x:v>
      </x:c>
      <x:c r="X65" s="48" t="n">
        <x:v>0.95</x:v>
      </x:c>
      <x:c r="Y65" s="48" t="n">
        <x:v>0.9492668337747681</x:v>
      </x:c>
      <x:c r="Z65" s="45" t="b">
        <x:v>1</x:v>
      </x:c>
      <x:c r="AA65" s="43" t="n">
        <x:v>10000</x:v>
      </x:c>
      <x:c r="AB65" s="43" t="n">
        <x:v>9900</x:v>
      </x:c>
      <x:c r="AC65" s="43" t="n">
        <x:v>10000</x:v>
      </x:c>
      <x:c r="AD65" s="45" t="b">
        <x:v>1</x:v>
      </x:c>
      <x:c r="AE65" s="43" t="n">
        <x:v>9900</x:v>
      </x:c>
      <x:c r="AF65" s="43"/>
      <x:c r="AG65" s="43" t="n">
        <x:v>10000</x:v>
      </x:c>
      <x:c r="AH65" s="45" t="b">
        <x:v>1</x:v>
      </x:c>
      <x:c r="AI65" s="45" t="b">
        <x:v>1</x:v>
      </x:c>
      <x:c r="AJ65" s="49"/>
      <x:c r="AK65" s="48" t="n">
        <x:v>0.9492668337747681</x:v>
      </x:c>
      <x:c r="AL65" s="49"/>
      <x:c r="AM65" s="49"/>
      <x:c r="AN65" s="36" t="n">
        <x:v>1</x:v>
      </x:c>
      <x:c r="AO65" s="45" t="b">
        <x:v>1</x:v>
      </x:c>
      <x:c r="AP65" s="45" t="b">
        <x:v>1</x:v>
      </x:c>
      <x:c r="AQ65" s="46" t="n">
        <x:f>IF(T65="","",T65/'Readme-Protocol'!$B$24)</x:f>
        <x:v>5.001681189</x:v>
      </x:c>
      <x:c r="AR65" s="46" t="n">
        <x:f>IF(OR(S65="",S65=0),"",T65/S65)</x:f>
        <x:v>1.0003362378</x:v>
      </x:c>
      <x:c r="AS65" s="46" t="n">
        <x:f>IF(OR(X65="",Y65=""),"",ABS(Y65-X65)*'Readme-Protocol'!$B$27)</x:f>
        <x:v>0.0733166225231896</x:v>
      </x:c>
      <x:c r="AT65" s="49" t="b">
        <x:f>AND(M65&gt;0,N65&gt;=0,O65&gt;0)</x:f>
        <x:v>1</x:v>
      </x:c>
      <x:c r="AU65" s="49" t="b">
        <x:f>AND(AT65,N65&gt;=M65)</x:f>
        <x:v>1</x:v>
      </x:c>
      <x:c r="AV65" s="49" t="b">
        <x:f>OR(S65=0,T65&gt;=S65)</x:f>
        <x:v>1</x:v>
      </x:c>
      <x:c r="AW65" s="49" t="b">
        <x:f>IF(I65="cache-semantics",OR(V65&lt;&gt;"uniform",ABS(Y65-W65/'Readme-Protocol'!$B$27)&lt;='Readme-Protocol'!$B$28),TRUE)</x:f>
        <x:v>1</x:v>
      </x:c>
      <x:c r="AX65" s="43" t="n">
        <x:f>IF(I65="cache-semantics",INT(AA65*'Readme-Protocol'!$B$32),"")</x:f>
        <x:v>9900</x:v>
      </x:c>
      <x:c r="AY65" s="49" t="b">
        <x:f>IF(I65="cache-semantics",AX65=AB65,TRUE)</x:f>
        <x:v>1</x:v>
      </x:c>
      <x:c r="AZ65" s="49" t="b">
        <x:f>IF(I65="cache-semantics",AX65=AE65,TRUE)</x:f>
        <x:v>1</x:v>
      </x:c>
      <x:c r="BA65" s="49" t="b">
        <x:f>IF(I65="cache-semantics",AC65&gt;=AX65,IF(I65="no-store-control",AC65=0,FALSE))</x:f>
        <x:v>1</x:v>
      </x:c>
      <x:c r="BB65" s="49" t="b">
        <x:f>IF(I65="cache-semantics",AG65&gt;=AX65,IF(I65="no-store-control",AG65=0,FALSE))</x:f>
        <x:v>1</x:v>
      </x:c>
      <x:c r="BC65" s="49" t="b">
        <x:f>AND(BA65,BB65)</x:f>
        <x:v>1</x:v>
      </x:c>
      <x:c r="BD65" s="49" t="b">
        <x:f>IF(I65="no-store-control",AND(AC65=0,AG65=0),TRUE)</x:f>
        <x:v>1</x:v>
      </x:c>
      <x:c r="BE65" s="49" t="b">
        <x:f>IF(I65="no-store-control",AK65=0,TRUE)</x:f>
        <x:v>1</x:v>
      </x:c>
      <x:c r="BF65" s="49" t="b">
        <x:f>IF(I65="cache-semantics",AN65=1,TRUE)</x:f>
        <x:v>1</x:v>
      </x:c>
      <x:c r="BG65" s="49" t="b">
        <x:f>IF(I65="cache-semantics",AND(AU65,AV65,Q65,AW65,BC65,BF65),IF(I65="no-store-control",AND(AU65,AV65,Q65,BD65,BE65),FALSE))</x:f>
        <x:v>1</x:v>
      </x:c>
      <x:c r="BH65" s="49" t="b">
        <x:f>AND(R65,AT65=P65,AU65=L65,AV65=U65,AY65,AZ65,IF(I65="cache-semantics",AND(AW65=Z65,AND(BA65=AD65,BB65=AH65,BC65=AI65),BF65=AO65),IF(I65="no-store-control",AND(AND(BA65=AD65,BB65=AH65,BC65=AI65),BD65=AJ65,BE65=AL65),FALSE)),BG65=AP65)</x:f>
        <x:v>1</x:v>
      </x:c>
      <x:c r="BI65" s="49" t="b">
        <x:f>AND(J65,K65,BG65)</x:f>
        <x:v>1</x:v>
      </x:c>
    </x:row>
    <x:row r="66">
      <x:c r="A66" s="34" t="str">
        <x:v>article1-unified-v4-2-fb3f101b-20260903-000401-default-f02-p1-ehcache</x:v>
      </x:c>
      <x:c r="B66" s="34" t="str">
        <x:v>default</x:v>
      </x:c>
      <x:c r="C66" s="34" t="str">
        <x:v>ehcache</x:v>
      </x:c>
      <x:c r="D66" s="36" t="n">
        <x:v>2</x:v>
      </x:c>
      <x:c r="E66" s="36" t="n">
        <x:v>2</x:v>
      </x:c>
      <x:c r="F66" s="36" t="n">
        <x:v>1</x:v>
      </x:c>
      <x:c r="G66" s="36" t="n">
        <x:v>3</x:v>
      </x:c>
      <x:c r="H66" s="34" t="str">
        <x:v>initial</x:v>
      </x:c>
      <x:c r="I66" s="34" t="str">
        <x:v>cache-semantics</x:v>
      </x:c>
      <x:c r="J66" s="45" t="b">
        <x:v>1</x:v>
      </x:c>
      <x:c r="K66" s="45" t="b">
        <x:v>1</x:v>
      </x:c>
      <x:c r="L66" s="45" t="b">
        <x:v>1</x:v>
      </x:c>
      <x:c r="M66" s="43" t="n">
        <x:v>400000</x:v>
      </x:c>
      <x:c r="N66" s="43" t="n">
        <x:v>101268992</x:v>
      </x:c>
      <x:c r="O66" s="43" t="n">
        <x:v>20244444.543474242</x:v>
      </x:c>
      <x:c r="P66" s="45" t="b">
        <x:v>1</x:v>
      </x:c>
      <x:c r="Q66" s="45" t="b">
        <x:v>1</x:v>
      </x:c>
      <x:c r="R66" s="45" t="b">
        <x:v>1</x:v>
      </x:c>
      <x:c r="S66" s="43" t="n">
        <x:v>5000000000</x:v>
      </x:c>
      <x:c r="T66" s="43" t="n">
        <x:v>5002310228</x:v>
      </x:c>
      <x:c r="U66" s="45" t="b">
        <x:v>1</x:v>
      </x:c>
      <x:c r="V66" s="34" t="str">
        <x:v>uniform</x:v>
      </x:c>
      <x:c r="W66" s="42" t="n">
        <x:v>95</x:v>
      </x:c>
      <x:c r="X66" s="48" t="n">
        <x:v>0.95</x:v>
      </x:c>
      <x:c r="Y66" s="48" t="n">
        <x:v>0.9503947466960074</x:v>
      </x:c>
      <x:c r="Z66" s="45" t="b">
        <x:v>1</x:v>
      </x:c>
      <x:c r="AA66" s="43" t="n">
        <x:v>10000</x:v>
      </x:c>
      <x:c r="AB66" s="43" t="n">
        <x:v>9900</x:v>
      </x:c>
      <x:c r="AC66" s="43" t="n">
        <x:v>10000</x:v>
      </x:c>
      <x:c r="AD66" s="45" t="b">
        <x:v>1</x:v>
      </x:c>
      <x:c r="AE66" s="43" t="n">
        <x:v>9900</x:v>
      </x:c>
      <x:c r="AF66" s="43"/>
      <x:c r="AG66" s="43" t="n">
        <x:v>10000</x:v>
      </x:c>
      <x:c r="AH66" s="45" t="b">
        <x:v>1</x:v>
      </x:c>
      <x:c r="AI66" s="45" t="b">
        <x:v>1</x:v>
      </x:c>
      <x:c r="AJ66" s="49"/>
      <x:c r="AK66" s="48" t="n">
        <x:v>0.9503947466960074</x:v>
      </x:c>
      <x:c r="AL66" s="49"/>
      <x:c r="AM66" s="49"/>
      <x:c r="AN66" s="36" t="n">
        <x:v>1</x:v>
      </x:c>
      <x:c r="AO66" s="45" t="b">
        <x:v>1</x:v>
      </x:c>
      <x:c r="AP66" s="45" t="b">
        <x:v>1</x:v>
      </x:c>
      <x:c r="AQ66" s="46" t="n">
        <x:f>IF(T66="","",T66/'Readme-Protocol'!$B$24)</x:f>
        <x:v>5.002310228</x:v>
      </x:c>
      <x:c r="AR66" s="46" t="n">
        <x:f>IF(OR(S66="",S66=0),"",T66/S66)</x:f>
        <x:v>1.0004620456</x:v>
      </x:c>
      <x:c r="AS66" s="46" t="n">
        <x:f>IF(OR(X66="",Y66=""),"",ABS(Y66-X66)*'Readme-Protocol'!$B$27)</x:f>
        <x:v>0.039474669600747525</x:v>
      </x:c>
      <x:c r="AT66" s="49" t="b">
        <x:f>AND(M66&gt;0,N66&gt;=0,O66&gt;0)</x:f>
        <x:v>1</x:v>
      </x:c>
      <x:c r="AU66" s="49" t="b">
        <x:f>AND(AT66,N66&gt;=M66)</x:f>
        <x:v>1</x:v>
      </x:c>
      <x:c r="AV66" s="49" t="b">
        <x:f>OR(S66=0,T66&gt;=S66)</x:f>
        <x:v>1</x:v>
      </x:c>
      <x:c r="AW66" s="49" t="b">
        <x:f>IF(I66="cache-semantics",OR(V66&lt;&gt;"uniform",ABS(Y66-W66/'Readme-Protocol'!$B$27)&lt;='Readme-Protocol'!$B$28),TRUE)</x:f>
        <x:v>1</x:v>
      </x:c>
      <x:c r="AX66" s="43" t="n">
        <x:f>IF(I66="cache-semantics",INT(AA66*'Readme-Protocol'!$B$32),"")</x:f>
        <x:v>9900</x:v>
      </x:c>
      <x:c r="AY66" s="49" t="b">
        <x:f>IF(I66="cache-semantics",AX66=AB66,TRUE)</x:f>
        <x:v>1</x:v>
      </x:c>
      <x:c r="AZ66" s="49" t="b">
        <x:f>IF(I66="cache-semantics",AX66=AE66,TRUE)</x:f>
        <x:v>1</x:v>
      </x:c>
      <x:c r="BA66" s="49" t="b">
        <x:f>IF(I66="cache-semantics",AC66&gt;=AX66,IF(I66="no-store-control",AC66=0,FALSE))</x:f>
        <x:v>1</x:v>
      </x:c>
      <x:c r="BB66" s="49" t="b">
        <x:f>IF(I66="cache-semantics",AG66&gt;=AX66,IF(I66="no-store-control",AG66=0,FALSE))</x:f>
        <x:v>1</x:v>
      </x:c>
      <x:c r="BC66" s="49" t="b">
        <x:f>AND(BA66,BB66)</x:f>
        <x:v>1</x:v>
      </x:c>
      <x:c r="BD66" s="49" t="b">
        <x:f>IF(I66="no-store-control",AND(AC66=0,AG66=0),TRUE)</x:f>
        <x:v>1</x:v>
      </x:c>
      <x:c r="BE66" s="49" t="b">
        <x:f>IF(I66="no-store-control",AK66=0,TRUE)</x:f>
        <x:v>1</x:v>
      </x:c>
      <x:c r="BF66" s="49" t="b">
        <x:f>IF(I66="cache-semantics",AN66=1,TRUE)</x:f>
        <x:v>1</x:v>
      </x:c>
      <x:c r="BG66" s="49" t="b">
        <x:f>IF(I66="cache-semantics",AND(AU66,AV66,Q66,AW66,BC66,BF66),IF(I66="no-store-control",AND(AU66,AV66,Q66,BD66,BE66),FALSE))</x:f>
        <x:v>1</x:v>
      </x:c>
      <x:c r="BH66" s="49" t="b">
        <x:f>AND(R66,AT66=P66,AU66=L66,AV66=U66,AY66,AZ66,IF(I66="cache-semantics",AND(AW66=Z66,AND(BA66=AD66,BB66=AH66,BC66=AI66),BF66=AO66),IF(I66="no-store-control",AND(AND(BA66=AD66,BB66=AH66,BC66=AI66),BD66=AJ66,BE66=AL66),FALSE)),BG66=AP66)</x:f>
        <x:v>1</x:v>
      </x:c>
      <x:c r="BI66" s="49" t="b">
        <x:f>AND(J66,K66,BG66)</x:f>
        <x:v>1</x:v>
      </x:c>
    </x:row>
    <x:row r="67">
      <x:c r="A67" s="34" t="str">
        <x:v>article1-unified-v4-2-fb3f101b-20260903-000401-default-f02-p1-ehcache</x:v>
      </x:c>
      <x:c r="B67" s="34" t="str">
        <x:v>default</x:v>
      </x:c>
      <x:c r="C67" s="34" t="str">
        <x:v>ehcache</x:v>
      </x:c>
      <x:c r="D67" s="36" t="n">
        <x:v>2</x:v>
      </x:c>
      <x:c r="E67" s="36" t="n">
        <x:v>2</x:v>
      </x:c>
      <x:c r="F67" s="36" t="n">
        <x:v>1</x:v>
      </x:c>
      <x:c r="G67" s="36" t="n">
        <x:v>3</x:v>
      </x:c>
      <x:c r="H67" s="34" t="str">
        <x:v>redeploy</x:v>
      </x:c>
      <x:c r="I67" s="34" t="str">
        <x:v>cache-semantics</x:v>
      </x:c>
      <x:c r="J67" s="45" t="b">
        <x:v>1</x:v>
      </x:c>
      <x:c r="K67" s="45" t="b">
        <x:v>1</x:v>
      </x:c>
      <x:c r="L67" s="45" t="b">
        <x:v>1</x:v>
      </x:c>
      <x:c r="M67" s="43" t="n">
        <x:v>400000</x:v>
      </x:c>
      <x:c r="N67" s="43" t="n">
        <x:v>106382592</x:v>
      </x:c>
      <x:c r="O67" s="43" t="n">
        <x:v>21054382.761924557</x:v>
      </x:c>
      <x:c r="P67" s="45" t="b">
        <x:v>1</x:v>
      </x:c>
      <x:c r="Q67" s="45" t="b">
        <x:v>1</x:v>
      </x:c>
      <x:c r="R67" s="45" t="b">
        <x:v>1</x:v>
      </x:c>
      <x:c r="S67" s="43" t="n">
        <x:v>5000000000</x:v>
      </x:c>
      <x:c r="T67" s="43" t="n">
        <x:v>5052752826</x:v>
      </x:c>
      <x:c r="U67" s="45" t="b">
        <x:v>1</x:v>
      </x:c>
      <x:c r="V67" s="34" t="str">
        <x:v>uniform</x:v>
      </x:c>
      <x:c r="W67" s="42" t="n">
        <x:v>95</x:v>
      </x:c>
      <x:c r="X67" s="48" t="n">
        <x:v>0.95</x:v>
      </x:c>
      <x:c r="Y67" s="48" t="n">
        <x:v>0.950392081065293</x:v>
      </x:c>
      <x:c r="Z67" s="45" t="b">
        <x:v>1</x:v>
      </x:c>
      <x:c r="AA67" s="43" t="n">
        <x:v>10000</x:v>
      </x:c>
      <x:c r="AB67" s="43" t="n">
        <x:v>9900</x:v>
      </x:c>
      <x:c r="AC67" s="43" t="n">
        <x:v>10000</x:v>
      </x:c>
      <x:c r="AD67" s="45" t="b">
        <x:v>1</x:v>
      </x:c>
      <x:c r="AE67" s="43" t="n">
        <x:v>9900</x:v>
      </x:c>
      <x:c r="AF67" s="43"/>
      <x:c r="AG67" s="43" t="n">
        <x:v>10000</x:v>
      </x:c>
      <x:c r="AH67" s="45" t="b">
        <x:v>1</x:v>
      </x:c>
      <x:c r="AI67" s="45" t="b">
        <x:v>1</x:v>
      </x:c>
      <x:c r="AJ67" s="49"/>
      <x:c r="AK67" s="48" t="n">
        <x:v>0.950392081065293</x:v>
      </x:c>
      <x:c r="AL67" s="49"/>
      <x:c r="AM67" s="49"/>
      <x:c r="AN67" s="36" t="n">
        <x:v>1</x:v>
      </x:c>
      <x:c r="AO67" s="45" t="b">
        <x:v>1</x:v>
      </x:c>
      <x:c r="AP67" s="45" t="b">
        <x:v>1</x:v>
      </x:c>
      <x:c r="AQ67" s="46" t="n">
        <x:f>IF(T67="","",T67/'Readme-Protocol'!$B$24)</x:f>
        <x:v>5.052752826</x:v>
      </x:c>
      <x:c r="AR67" s="46" t="n">
        <x:f>IF(OR(S67="",S67=0),"",T67/S67)</x:f>
        <x:v>1.0105505652</x:v>
      </x:c>
      <x:c r="AS67" s="46" t="n">
        <x:f>IF(OR(X67="",Y67=""),"",ABS(Y67-X67)*'Readme-Protocol'!$B$27)</x:f>
        <x:v>0.03920810652930928</x:v>
      </x:c>
      <x:c r="AT67" s="49" t="b">
        <x:f>AND(M67&gt;0,N67&gt;=0,O67&gt;0)</x:f>
        <x:v>1</x:v>
      </x:c>
      <x:c r="AU67" s="49" t="b">
        <x:f>AND(AT67,N67&gt;=M67)</x:f>
        <x:v>1</x:v>
      </x:c>
      <x:c r="AV67" s="49" t="b">
        <x:f>OR(S67=0,T67&gt;=S67)</x:f>
        <x:v>1</x:v>
      </x:c>
      <x:c r="AW67" s="49" t="b">
        <x:f>IF(I67="cache-semantics",OR(V67&lt;&gt;"uniform",ABS(Y67-W67/'Readme-Protocol'!$B$27)&lt;='Readme-Protocol'!$B$28),TRUE)</x:f>
        <x:v>1</x:v>
      </x:c>
      <x:c r="AX67" s="43" t="n">
        <x:f>IF(I67="cache-semantics",INT(AA67*'Readme-Protocol'!$B$32),"")</x:f>
        <x:v>9900</x:v>
      </x:c>
      <x:c r="AY67" s="49" t="b">
        <x:f>IF(I67="cache-semantics",AX67=AB67,TRUE)</x:f>
        <x:v>1</x:v>
      </x:c>
      <x:c r="AZ67" s="49" t="b">
        <x:f>IF(I67="cache-semantics",AX67=AE67,TRUE)</x:f>
        <x:v>1</x:v>
      </x:c>
      <x:c r="BA67" s="49" t="b">
        <x:f>IF(I67="cache-semantics",AC67&gt;=AX67,IF(I67="no-store-control",AC67=0,FALSE))</x:f>
        <x:v>1</x:v>
      </x:c>
      <x:c r="BB67" s="49" t="b">
        <x:f>IF(I67="cache-semantics",AG67&gt;=AX67,IF(I67="no-store-control",AG67=0,FALSE))</x:f>
        <x:v>1</x:v>
      </x:c>
      <x:c r="BC67" s="49" t="b">
        <x:f>AND(BA67,BB67)</x:f>
        <x:v>1</x:v>
      </x:c>
      <x:c r="BD67" s="49" t="b">
        <x:f>IF(I67="no-store-control",AND(AC67=0,AG67=0),TRUE)</x:f>
        <x:v>1</x:v>
      </x:c>
      <x:c r="BE67" s="49" t="b">
        <x:f>IF(I67="no-store-control",AK67=0,TRUE)</x:f>
        <x:v>1</x:v>
      </x:c>
      <x:c r="BF67" s="49" t="b">
        <x:f>IF(I67="cache-semantics",AN67=1,TRUE)</x:f>
        <x:v>1</x:v>
      </x:c>
      <x:c r="BG67" s="49" t="b">
        <x:f>IF(I67="cache-semantics",AND(AU67,AV67,Q67,AW67,BC67,BF67),IF(I67="no-store-control",AND(AU67,AV67,Q67,BD67,BE67),FALSE))</x:f>
        <x:v>1</x:v>
      </x:c>
      <x:c r="BH67" s="49" t="b">
        <x:f>AND(R67,AT67=P67,AU67=L67,AV67=U67,AY67,AZ67,IF(I67="cache-semantics",AND(AW67=Z67,AND(BA67=AD67,BB67=AH67,BC67=AI67),BF67=AO67),IF(I67="no-store-control",AND(AND(BA67=AD67,BB67=AH67,BC67=AI67),BD67=AJ67,BE67=AL67),FALSE)),BG67=AP67)</x:f>
        <x:v>1</x:v>
      </x:c>
      <x:c r="BI67" s="49" t="b">
        <x:f>AND(J67,K67,BG67)</x:f>
        <x:v>1</x:v>
      </x:c>
    </x:row>
    <x:row r="68">
      <x:c r="A68" s="34" t="str">
        <x:v>article1-unified-v4-2-fb3f101b-20260903-000401-default-f02-p1-ehcache</x:v>
      </x:c>
      <x:c r="B68" s="34" t="str">
        <x:v>default</x:v>
      </x:c>
      <x:c r="C68" s="34" t="str">
        <x:v>ehcache</x:v>
      </x:c>
      <x:c r="D68" s="36" t="n">
        <x:v>2</x:v>
      </x:c>
      <x:c r="E68" s="36" t="n">
        <x:v>2</x:v>
      </x:c>
      <x:c r="F68" s="36" t="n">
        <x:v>1</x:v>
      </x:c>
      <x:c r="G68" s="36" t="n">
        <x:v>4</x:v>
      </x:c>
      <x:c r="H68" s="34" t="str">
        <x:v>initial</x:v>
      </x:c>
      <x:c r="I68" s="34" t="str">
        <x:v>cache-semantics</x:v>
      </x:c>
      <x:c r="J68" s="45" t="b">
        <x:v>1</x:v>
      </x:c>
      <x:c r="K68" s="45" t="b">
        <x:v>1</x:v>
      </x:c>
      <x:c r="L68" s="45" t="b">
        <x:v>1</x:v>
      </x:c>
      <x:c r="M68" s="43" t="n">
        <x:v>400000</x:v>
      </x:c>
      <x:c r="N68" s="43" t="n">
        <x:v>118219520</x:v>
      </x:c>
      <x:c r="O68" s="43" t="n">
        <x:v>23387552.309444547</x:v>
      </x:c>
      <x:c r="P68" s="45" t="b">
        <x:v>1</x:v>
      </x:c>
      <x:c r="Q68" s="45" t="b">
        <x:v>1</x:v>
      </x:c>
      <x:c r="R68" s="45" t="b">
        <x:v>1</x:v>
      </x:c>
      <x:c r="S68" s="43" t="n">
        <x:v>5000000000</x:v>
      </x:c>
      <x:c r="T68" s="43" t="n">
        <x:v>5054805156</x:v>
      </x:c>
      <x:c r="U68" s="45" t="b">
        <x:v>1</x:v>
      </x:c>
      <x:c r="V68" s="34" t="str">
        <x:v>uniform</x:v>
      </x:c>
      <x:c r="W68" s="42" t="n">
        <x:v>95</x:v>
      </x:c>
      <x:c r="X68" s="48" t="n">
        <x:v>0.95</x:v>
      </x:c>
      <x:c r="Y68" s="48" t="n">
        <x:v>0.9503766129316038</x:v>
      </x:c>
      <x:c r="Z68" s="45" t="b">
        <x:v>1</x:v>
      </x:c>
      <x:c r="AA68" s="43" t="n">
        <x:v>10000</x:v>
      </x:c>
      <x:c r="AB68" s="43" t="n">
        <x:v>9900</x:v>
      </x:c>
      <x:c r="AC68" s="43" t="n">
        <x:v>10000</x:v>
      </x:c>
      <x:c r="AD68" s="45" t="b">
        <x:v>1</x:v>
      </x:c>
      <x:c r="AE68" s="43" t="n">
        <x:v>9900</x:v>
      </x:c>
      <x:c r="AF68" s="43"/>
      <x:c r="AG68" s="43" t="n">
        <x:v>10000</x:v>
      </x:c>
      <x:c r="AH68" s="45" t="b">
        <x:v>1</x:v>
      </x:c>
      <x:c r="AI68" s="45" t="b">
        <x:v>1</x:v>
      </x:c>
      <x:c r="AJ68" s="49"/>
      <x:c r="AK68" s="48" t="n">
        <x:v>0.9503766129316038</x:v>
      </x:c>
      <x:c r="AL68" s="49"/>
      <x:c r="AM68" s="49"/>
      <x:c r="AN68" s="36" t="n">
        <x:v>1</x:v>
      </x:c>
      <x:c r="AO68" s="45" t="b">
        <x:v>1</x:v>
      </x:c>
      <x:c r="AP68" s="45" t="b">
        <x:v>1</x:v>
      </x:c>
      <x:c r="AQ68" s="46" t="n">
        <x:f>IF(T68="","",T68/'Readme-Protocol'!$B$24)</x:f>
        <x:v>5.054805156</x:v>
      </x:c>
      <x:c r="AR68" s="46" t="n">
        <x:f>IF(OR(S68="",S68=0),"",T68/S68)</x:f>
        <x:v>1.0109610312</x:v>
      </x:c>
      <x:c r="AS68" s="46" t="n">
        <x:f>IF(OR(X68="",Y68=""),"",ABS(Y68-X68)*'Readme-Protocol'!$B$27)</x:f>
        <x:v>0.0376612931603848</x:v>
      </x:c>
      <x:c r="AT68" s="49" t="b">
        <x:f>AND(M68&gt;0,N68&gt;=0,O68&gt;0)</x:f>
        <x:v>1</x:v>
      </x:c>
      <x:c r="AU68" s="49" t="b">
        <x:f>AND(AT68,N68&gt;=M68)</x:f>
        <x:v>1</x:v>
      </x:c>
      <x:c r="AV68" s="49" t="b">
        <x:f>OR(S68=0,T68&gt;=S68)</x:f>
        <x:v>1</x:v>
      </x:c>
      <x:c r="AW68" s="49" t="b">
        <x:f>IF(I68="cache-semantics",OR(V68&lt;&gt;"uniform",ABS(Y68-W68/'Readme-Protocol'!$B$27)&lt;='Readme-Protocol'!$B$28),TRUE)</x:f>
        <x:v>1</x:v>
      </x:c>
      <x:c r="AX68" s="43" t="n">
        <x:f>IF(I68="cache-semantics",INT(AA68*'Readme-Protocol'!$B$32),"")</x:f>
        <x:v>9900</x:v>
      </x:c>
      <x:c r="AY68" s="49" t="b">
        <x:f>IF(I68="cache-semantics",AX68=AB68,TRUE)</x:f>
        <x:v>1</x:v>
      </x:c>
      <x:c r="AZ68" s="49" t="b">
        <x:f>IF(I68="cache-semantics",AX68=AE68,TRUE)</x:f>
        <x:v>1</x:v>
      </x:c>
      <x:c r="BA68" s="49" t="b">
        <x:f>IF(I68="cache-semantics",AC68&gt;=AX68,IF(I68="no-store-control",AC68=0,FALSE))</x:f>
        <x:v>1</x:v>
      </x:c>
      <x:c r="BB68" s="49" t="b">
        <x:f>IF(I68="cache-semantics",AG68&gt;=AX68,IF(I68="no-store-control",AG68=0,FALSE))</x:f>
        <x:v>1</x:v>
      </x:c>
      <x:c r="BC68" s="49" t="b">
        <x:f>AND(BA68,BB68)</x:f>
        <x:v>1</x:v>
      </x:c>
      <x:c r="BD68" s="49" t="b">
        <x:f>IF(I68="no-store-control",AND(AC68=0,AG68=0),TRUE)</x:f>
        <x:v>1</x:v>
      </x:c>
      <x:c r="BE68" s="49" t="b">
        <x:f>IF(I68="no-store-control",AK68=0,TRUE)</x:f>
        <x:v>1</x:v>
      </x:c>
      <x:c r="BF68" s="49" t="b">
        <x:f>IF(I68="cache-semantics",AN68=1,TRUE)</x:f>
        <x:v>1</x:v>
      </x:c>
      <x:c r="BG68" s="49" t="b">
        <x:f>IF(I68="cache-semantics",AND(AU68,AV68,Q68,AW68,BC68,BF68),IF(I68="no-store-control",AND(AU68,AV68,Q68,BD68,BE68),FALSE))</x:f>
        <x:v>1</x:v>
      </x:c>
      <x:c r="BH68" s="49" t="b">
        <x:f>AND(R68,AT68=P68,AU68=L68,AV68=U68,AY68,AZ68,IF(I68="cache-semantics",AND(AW68=Z68,AND(BA68=AD68,BB68=AH68,BC68=AI68),BF68=AO68),IF(I68="no-store-control",AND(AND(BA68=AD68,BB68=AH68,BC68=AI68),BD68=AJ68,BE68=AL68),FALSE)),BG68=AP68)</x:f>
        <x:v>1</x:v>
      </x:c>
      <x:c r="BI68" s="49" t="b">
        <x:f>AND(J68,K68,BG68)</x:f>
        <x:v>1</x:v>
      </x:c>
    </x:row>
    <x:row r="69">
      <x:c r="A69" s="34" t="str">
        <x:v>article1-unified-v4-2-fb3f101b-20260903-000401-default-f02-p1-ehcache</x:v>
      </x:c>
      <x:c r="B69" s="34" t="str">
        <x:v>default</x:v>
      </x:c>
      <x:c r="C69" s="34" t="str">
        <x:v>ehcache</x:v>
      </x:c>
      <x:c r="D69" s="36" t="n">
        <x:v>2</x:v>
      </x:c>
      <x:c r="E69" s="36" t="n">
        <x:v>2</x:v>
      </x:c>
      <x:c r="F69" s="36" t="n">
        <x:v>1</x:v>
      </x:c>
      <x:c r="G69" s="36" t="n">
        <x:v>4</x:v>
      </x:c>
      <x:c r="H69" s="34" t="str">
        <x:v>redeploy</x:v>
      </x:c>
      <x:c r="I69" s="34" t="str">
        <x:v>cache-semantics</x:v>
      </x:c>
      <x:c r="J69" s="45" t="b">
        <x:v>1</x:v>
      </x:c>
      <x:c r="K69" s="45" t="b">
        <x:v>1</x:v>
      </x:c>
      <x:c r="L69" s="45" t="b">
        <x:v>1</x:v>
      </x:c>
      <x:c r="M69" s="43" t="n">
        <x:v>400000</x:v>
      </x:c>
      <x:c r="N69" s="43" t="n">
        <x:v>112672000</x:v>
      </x:c>
      <x:c r="O69" s="43" t="n">
        <x:v>22523030.08161541</x:v>
      </x:c>
      <x:c r="P69" s="45" t="b">
        <x:v>1</x:v>
      </x:c>
      <x:c r="Q69" s="45" t="b">
        <x:v>1</x:v>
      </x:c>
      <x:c r="R69" s="45" t="b">
        <x:v>1</x:v>
      </x:c>
      <x:c r="S69" s="43" t="n">
        <x:v>5000000000</x:v>
      </x:c>
      <x:c r="T69" s="43" t="n">
        <x:v>5002524065</x:v>
      </x:c>
      <x:c r="U69" s="45" t="b">
        <x:v>1</x:v>
      </x:c>
      <x:c r="V69" s="34" t="str">
        <x:v>uniform</x:v>
      </x:c>
      <x:c r="W69" s="42" t="n">
        <x:v>95</x:v>
      </x:c>
      <x:c r="X69" s="48" t="n">
        <x:v>0.95</x:v>
      </x:c>
      <x:c r="Y69" s="48" t="n">
        <x:v>0.9503688139023004</x:v>
      </x:c>
      <x:c r="Z69" s="45" t="b">
        <x:v>1</x:v>
      </x:c>
      <x:c r="AA69" s="43" t="n">
        <x:v>10000</x:v>
      </x:c>
      <x:c r="AB69" s="43" t="n">
        <x:v>9900</x:v>
      </x:c>
      <x:c r="AC69" s="43" t="n">
        <x:v>10000</x:v>
      </x:c>
      <x:c r="AD69" s="45" t="b">
        <x:v>1</x:v>
      </x:c>
      <x:c r="AE69" s="43" t="n">
        <x:v>9900</x:v>
      </x:c>
      <x:c r="AF69" s="43"/>
      <x:c r="AG69" s="43" t="n">
        <x:v>10000</x:v>
      </x:c>
      <x:c r="AH69" s="45" t="b">
        <x:v>1</x:v>
      </x:c>
      <x:c r="AI69" s="45" t="b">
        <x:v>1</x:v>
      </x:c>
      <x:c r="AJ69" s="49"/>
      <x:c r="AK69" s="48" t="n">
        <x:v>0.9503688139023004</x:v>
      </x:c>
      <x:c r="AL69" s="49"/>
      <x:c r="AM69" s="49"/>
      <x:c r="AN69" s="36" t="n">
        <x:v>1</x:v>
      </x:c>
      <x:c r="AO69" s="45" t="b">
        <x:v>1</x:v>
      </x:c>
      <x:c r="AP69" s="45" t="b">
        <x:v>1</x:v>
      </x:c>
      <x:c r="AQ69" s="46" t="n">
        <x:f>IF(T69="","",T69/'Readme-Protocol'!$B$24)</x:f>
        <x:v>5.002524065</x:v>
      </x:c>
      <x:c r="AR69" s="46" t="n">
        <x:f>IF(OR(S69="",S69=0),"",T69/S69)</x:f>
        <x:v>1.000504813</x:v>
      </x:c>
      <x:c r="AS69" s="46" t="n">
        <x:f>IF(OR(X69="",Y69=""),"",ABS(Y69-X69)*'Readme-Protocol'!$B$27)</x:f>
        <x:v>0.036881390230047995</x:v>
      </x:c>
      <x:c r="AT69" s="49" t="b">
        <x:f>AND(M69&gt;0,N69&gt;=0,O69&gt;0)</x:f>
        <x:v>1</x:v>
      </x:c>
      <x:c r="AU69" s="49" t="b">
        <x:f>AND(AT69,N69&gt;=M69)</x:f>
        <x:v>1</x:v>
      </x:c>
      <x:c r="AV69" s="49" t="b">
        <x:f>OR(S69=0,T69&gt;=S69)</x:f>
        <x:v>1</x:v>
      </x:c>
      <x:c r="AW69" s="49" t="b">
        <x:f>IF(I69="cache-semantics",OR(V69&lt;&gt;"uniform",ABS(Y69-W69/'Readme-Protocol'!$B$27)&lt;='Readme-Protocol'!$B$28),TRUE)</x:f>
        <x:v>1</x:v>
      </x:c>
      <x:c r="AX69" s="43" t="n">
        <x:f>IF(I69="cache-semantics",INT(AA69*'Readme-Protocol'!$B$32),"")</x:f>
        <x:v>9900</x:v>
      </x:c>
      <x:c r="AY69" s="49" t="b">
        <x:f>IF(I69="cache-semantics",AX69=AB69,TRUE)</x:f>
        <x:v>1</x:v>
      </x:c>
      <x:c r="AZ69" s="49" t="b">
        <x:f>IF(I69="cache-semantics",AX69=AE69,TRUE)</x:f>
        <x:v>1</x:v>
      </x:c>
      <x:c r="BA69" s="49" t="b">
        <x:f>IF(I69="cache-semantics",AC69&gt;=AX69,IF(I69="no-store-control",AC69=0,FALSE))</x:f>
        <x:v>1</x:v>
      </x:c>
      <x:c r="BB69" s="49" t="b">
        <x:f>IF(I69="cache-semantics",AG69&gt;=AX69,IF(I69="no-store-control",AG69=0,FALSE))</x:f>
        <x:v>1</x:v>
      </x:c>
      <x:c r="BC69" s="49" t="b">
        <x:f>AND(BA69,BB69)</x:f>
        <x:v>1</x:v>
      </x:c>
      <x:c r="BD69" s="49" t="b">
        <x:f>IF(I69="no-store-control",AND(AC69=0,AG69=0),TRUE)</x:f>
        <x:v>1</x:v>
      </x:c>
      <x:c r="BE69" s="49" t="b">
        <x:f>IF(I69="no-store-control",AK69=0,TRUE)</x:f>
        <x:v>1</x:v>
      </x:c>
      <x:c r="BF69" s="49" t="b">
        <x:f>IF(I69="cache-semantics",AN69=1,TRUE)</x:f>
        <x:v>1</x:v>
      </x:c>
      <x:c r="BG69" s="49" t="b">
        <x:f>IF(I69="cache-semantics",AND(AU69,AV69,Q69,AW69,BC69,BF69),IF(I69="no-store-control",AND(AU69,AV69,Q69,BD69,BE69),FALSE))</x:f>
        <x:v>1</x:v>
      </x:c>
      <x:c r="BH69" s="49" t="b">
        <x:f>AND(R69,AT69=P69,AU69=L69,AV69=U69,AY69,AZ69,IF(I69="cache-semantics",AND(AW69=Z69,AND(BA69=AD69,BB69=AH69,BC69=AI69),BF69=AO69),IF(I69="no-store-control",AND(AND(BA69=AD69,BB69=AH69,BC69=AI69),BD69=AJ69,BE69=AL69),FALSE)),BG69=AP69)</x:f>
        <x:v>1</x:v>
      </x:c>
      <x:c r="BI69" s="49" t="b">
        <x:f>AND(J69,K69,BG69)</x:f>
        <x:v>1</x:v>
      </x:c>
    </x:row>
    <x:row r="70">
      <x:c r="A70" s="34" t="str">
        <x:v>article1-unified-v4-2-fb3f101b-20260903-000401-default-f02-p1-ehcache</x:v>
      </x:c>
      <x:c r="B70" s="34" t="str">
        <x:v>default</x:v>
      </x:c>
      <x:c r="C70" s="34" t="str">
        <x:v>ehcache</x:v>
      </x:c>
      <x:c r="D70" s="36" t="n">
        <x:v>2</x:v>
      </x:c>
      <x:c r="E70" s="36" t="n">
        <x:v>2</x:v>
      </x:c>
      <x:c r="F70" s="36" t="n">
        <x:v>1</x:v>
      </x:c>
      <x:c r="G70" s="36" t="n">
        <x:v>5</x:v>
      </x:c>
      <x:c r="H70" s="34" t="str">
        <x:v>initial</x:v>
      </x:c>
      <x:c r="I70" s="34" t="str">
        <x:v>cache-semantics</x:v>
      </x:c>
      <x:c r="J70" s="45" t="b">
        <x:v>1</x:v>
      </x:c>
      <x:c r="K70" s="45" t="b">
        <x:v>1</x:v>
      </x:c>
      <x:c r="L70" s="45" t="b">
        <x:v>1</x:v>
      </x:c>
      <x:c r="M70" s="43" t="n">
        <x:v>400000</x:v>
      </x:c>
      <x:c r="N70" s="43" t="n">
        <x:v>112814080</x:v>
      </x:c>
      <x:c r="O70" s="43" t="n">
        <x:v>22338512.914345358</x:v>
      </x:c>
      <x:c r="P70" s="45" t="b">
        <x:v>1</x:v>
      </x:c>
      <x:c r="Q70" s="45" t="b">
        <x:v>1</x:v>
      </x:c>
      <x:c r="R70" s="45" t="b">
        <x:v>1</x:v>
      </x:c>
      <x:c r="S70" s="43" t="n">
        <x:v>5000000000</x:v>
      </x:c>
      <x:c r="T70" s="43" t="n">
        <x:v>5050205465</x:v>
      </x:c>
      <x:c r="U70" s="45" t="b">
        <x:v>1</x:v>
      </x:c>
      <x:c r="V70" s="34" t="str">
        <x:v>uniform</x:v>
      </x:c>
      <x:c r="W70" s="42" t="n">
        <x:v>95</x:v>
      </x:c>
      <x:c r="X70" s="48" t="n">
        <x:v>0.95</x:v>
      </x:c>
      <x:c r="Y70" s="48" t="n">
        <x:v>0.9499823692219979</x:v>
      </x:c>
      <x:c r="Z70" s="45" t="b">
        <x:v>1</x:v>
      </x:c>
      <x:c r="AA70" s="43" t="n">
        <x:v>10000</x:v>
      </x:c>
      <x:c r="AB70" s="43" t="n">
        <x:v>9900</x:v>
      </x:c>
      <x:c r="AC70" s="43" t="n">
        <x:v>10000</x:v>
      </x:c>
      <x:c r="AD70" s="45" t="b">
        <x:v>1</x:v>
      </x:c>
      <x:c r="AE70" s="43" t="n">
        <x:v>9900</x:v>
      </x:c>
      <x:c r="AF70" s="43"/>
      <x:c r="AG70" s="43" t="n">
        <x:v>10000</x:v>
      </x:c>
      <x:c r="AH70" s="45" t="b">
        <x:v>1</x:v>
      </x:c>
      <x:c r="AI70" s="45" t="b">
        <x:v>1</x:v>
      </x:c>
      <x:c r="AJ70" s="49"/>
      <x:c r="AK70" s="48" t="n">
        <x:v>0.9499823692219979</x:v>
      </x:c>
      <x:c r="AL70" s="49"/>
      <x:c r="AM70" s="49"/>
      <x:c r="AN70" s="36" t="n">
        <x:v>1</x:v>
      </x:c>
      <x:c r="AO70" s="45" t="b">
        <x:v>1</x:v>
      </x:c>
      <x:c r="AP70" s="45" t="b">
        <x:v>1</x:v>
      </x:c>
      <x:c r="AQ70" s="46" t="n">
        <x:f>IF(T70="","",T70/'Readme-Protocol'!$B$24)</x:f>
        <x:v>5.050205465</x:v>
      </x:c>
      <x:c r="AR70" s="46" t="n">
        <x:f>IF(OR(S70="",S70=0),"",T70/S70)</x:f>
        <x:v>1.010041093</x:v>
      </x:c>
      <x:c r="AS70" s="46" t="n">
        <x:f>IF(OR(X70="",Y70=""),"",ABS(Y70-X70)*'Readme-Protocol'!$B$27)</x:f>
        <x:v>0.001763077800209789</x:v>
      </x:c>
      <x:c r="AT70" s="49" t="b">
        <x:f>AND(M70&gt;0,N70&gt;=0,O70&gt;0)</x:f>
        <x:v>1</x:v>
      </x:c>
      <x:c r="AU70" s="49" t="b">
        <x:f>AND(AT70,N70&gt;=M70)</x:f>
        <x:v>1</x:v>
      </x:c>
      <x:c r="AV70" s="49" t="b">
        <x:f>OR(S70=0,T70&gt;=S70)</x:f>
        <x:v>1</x:v>
      </x:c>
      <x:c r="AW70" s="49" t="b">
        <x:f>IF(I70="cache-semantics",OR(V70&lt;&gt;"uniform",ABS(Y70-W70/'Readme-Protocol'!$B$27)&lt;='Readme-Protocol'!$B$28),TRUE)</x:f>
        <x:v>1</x:v>
      </x:c>
      <x:c r="AX70" s="43" t="n">
        <x:f>IF(I70="cache-semantics",INT(AA70*'Readme-Protocol'!$B$32),"")</x:f>
        <x:v>9900</x:v>
      </x:c>
      <x:c r="AY70" s="49" t="b">
        <x:f>IF(I70="cache-semantics",AX70=AB70,TRUE)</x:f>
        <x:v>1</x:v>
      </x:c>
      <x:c r="AZ70" s="49" t="b">
        <x:f>IF(I70="cache-semantics",AX70=AE70,TRUE)</x:f>
        <x:v>1</x:v>
      </x:c>
      <x:c r="BA70" s="49" t="b">
        <x:f>IF(I70="cache-semantics",AC70&gt;=AX70,IF(I70="no-store-control",AC70=0,FALSE))</x:f>
        <x:v>1</x:v>
      </x:c>
      <x:c r="BB70" s="49" t="b">
        <x:f>IF(I70="cache-semantics",AG70&gt;=AX70,IF(I70="no-store-control",AG70=0,FALSE))</x:f>
        <x:v>1</x:v>
      </x:c>
      <x:c r="BC70" s="49" t="b">
        <x:f>AND(BA70,BB70)</x:f>
        <x:v>1</x:v>
      </x:c>
      <x:c r="BD70" s="49" t="b">
        <x:f>IF(I70="no-store-control",AND(AC70=0,AG70=0),TRUE)</x:f>
        <x:v>1</x:v>
      </x:c>
      <x:c r="BE70" s="49" t="b">
        <x:f>IF(I70="no-store-control",AK70=0,TRUE)</x:f>
        <x:v>1</x:v>
      </x:c>
      <x:c r="BF70" s="49" t="b">
        <x:f>IF(I70="cache-semantics",AN70=1,TRUE)</x:f>
        <x:v>1</x:v>
      </x:c>
      <x:c r="BG70" s="49" t="b">
        <x:f>IF(I70="cache-semantics",AND(AU70,AV70,Q70,AW70,BC70,BF70),IF(I70="no-store-control",AND(AU70,AV70,Q70,BD70,BE70),FALSE))</x:f>
        <x:v>1</x:v>
      </x:c>
      <x:c r="BH70" s="49" t="b">
        <x:f>AND(R70,AT70=P70,AU70=L70,AV70=U70,AY70,AZ70,IF(I70="cache-semantics",AND(AW70=Z70,AND(BA70=AD70,BB70=AH70,BC70=AI70),BF70=AO70),IF(I70="no-store-control",AND(AND(BA70=AD70,BB70=AH70,BC70=AI70),BD70=AJ70,BE70=AL70),FALSE)),BG70=AP70)</x:f>
        <x:v>1</x:v>
      </x:c>
      <x:c r="BI70" s="49" t="b">
        <x:f>AND(J70,K70,BG70)</x:f>
        <x:v>1</x:v>
      </x:c>
    </x:row>
    <x:row r="71">
      <x:c r="A71" s="34" t="str">
        <x:v>article1-unified-v4-2-fb3f101b-20260903-000401-default-f02-p1-ehcache</x:v>
      </x:c>
      <x:c r="B71" s="34" t="str">
        <x:v>default</x:v>
      </x:c>
      <x:c r="C71" s="34" t="str">
        <x:v>ehcache</x:v>
      </x:c>
      <x:c r="D71" s="36" t="n">
        <x:v>2</x:v>
      </x:c>
      <x:c r="E71" s="36" t="n">
        <x:v>2</x:v>
      </x:c>
      <x:c r="F71" s="36" t="n">
        <x:v>1</x:v>
      </x:c>
      <x:c r="G71" s="36" t="n">
        <x:v>5</x:v>
      </x:c>
      <x:c r="H71" s="34" t="str">
        <x:v>redeploy</x:v>
      </x:c>
      <x:c r="I71" s="34" t="str">
        <x:v>cache-semantics</x:v>
      </x:c>
      <x:c r="J71" s="45" t="b">
        <x:v>1</x:v>
      </x:c>
      <x:c r="K71" s="45" t="b">
        <x:v>1</x:v>
      </x:c>
      <x:c r="L71" s="45" t="b">
        <x:v>1</x:v>
      </x:c>
      <x:c r="M71" s="43" t="n">
        <x:v>400000</x:v>
      </x:c>
      <x:c r="N71" s="43" t="n">
        <x:v>116278272</x:v>
      </x:c>
      <x:c r="O71" s="43" t="n">
        <x:v>23247753.929800004</x:v>
      </x:c>
      <x:c r="P71" s="45" t="b">
        <x:v>1</x:v>
      </x:c>
      <x:c r="Q71" s="45" t="b">
        <x:v>1</x:v>
      </x:c>
      <x:c r="R71" s="45" t="b">
        <x:v>1</x:v>
      </x:c>
      <x:c r="S71" s="43" t="n">
        <x:v>5000000000</x:v>
      </x:c>
      <x:c r="T71" s="43" t="n">
        <x:v>5001699190</x:v>
      </x:c>
      <x:c r="U71" s="45" t="b">
        <x:v>1</x:v>
      </x:c>
      <x:c r="V71" s="34" t="str">
        <x:v>uniform</x:v>
      </x:c>
      <x:c r="W71" s="42" t="n">
        <x:v>95</x:v>
      </x:c>
      <x:c r="X71" s="48" t="n">
        <x:v>0.95</x:v>
      </x:c>
      <x:c r="Y71" s="48" t="n">
        <x:v>0.9499775160057418</x:v>
      </x:c>
      <x:c r="Z71" s="45" t="b">
        <x:v>1</x:v>
      </x:c>
      <x:c r="AA71" s="43" t="n">
        <x:v>10000</x:v>
      </x:c>
      <x:c r="AB71" s="43" t="n">
        <x:v>9900</x:v>
      </x:c>
      <x:c r="AC71" s="43" t="n">
        <x:v>10000</x:v>
      </x:c>
      <x:c r="AD71" s="45" t="b">
        <x:v>1</x:v>
      </x:c>
      <x:c r="AE71" s="43" t="n">
        <x:v>9900</x:v>
      </x:c>
      <x:c r="AF71" s="43"/>
      <x:c r="AG71" s="43" t="n">
        <x:v>10000</x:v>
      </x:c>
      <x:c r="AH71" s="45" t="b">
        <x:v>1</x:v>
      </x:c>
      <x:c r="AI71" s="45" t="b">
        <x:v>1</x:v>
      </x:c>
      <x:c r="AJ71" s="49"/>
      <x:c r="AK71" s="48" t="n">
        <x:v>0.9499775160057418</x:v>
      </x:c>
      <x:c r="AL71" s="49"/>
      <x:c r="AM71" s="49"/>
      <x:c r="AN71" s="36" t="n">
        <x:v>1</x:v>
      </x:c>
      <x:c r="AO71" s="45" t="b">
        <x:v>1</x:v>
      </x:c>
      <x:c r="AP71" s="45" t="b">
        <x:v>1</x:v>
      </x:c>
      <x:c r="AQ71" s="46" t="n">
        <x:f>IF(T71="","",T71/'Readme-Protocol'!$B$24)</x:f>
        <x:v>5.00169919</x:v>
      </x:c>
      <x:c r="AR71" s="46" t="n">
        <x:f>IF(OR(S71="",S71=0),"",T71/S71)</x:f>
        <x:v>1.000339838</x:v>
      </x:c>
      <x:c r="AS71" s="46" t="n">
        <x:f>IF(OR(X71="",Y71=""),"",ABS(Y71-X71)*'Readme-Protocol'!$B$27)</x:f>
        <x:v>0.0022483994258193363</x:v>
      </x:c>
      <x:c r="AT71" s="49" t="b">
        <x:f>AND(M71&gt;0,N71&gt;=0,O71&gt;0)</x:f>
        <x:v>1</x:v>
      </x:c>
      <x:c r="AU71" s="49" t="b">
        <x:f>AND(AT71,N71&gt;=M71)</x:f>
        <x:v>1</x:v>
      </x:c>
      <x:c r="AV71" s="49" t="b">
        <x:f>OR(S71=0,T71&gt;=S71)</x:f>
        <x:v>1</x:v>
      </x:c>
      <x:c r="AW71" s="49" t="b">
        <x:f>IF(I71="cache-semantics",OR(V71&lt;&gt;"uniform",ABS(Y71-W71/'Readme-Protocol'!$B$27)&lt;='Readme-Protocol'!$B$28),TRUE)</x:f>
        <x:v>1</x:v>
      </x:c>
      <x:c r="AX71" s="43" t="n">
        <x:f>IF(I71="cache-semantics",INT(AA71*'Readme-Protocol'!$B$32),"")</x:f>
        <x:v>9900</x:v>
      </x:c>
      <x:c r="AY71" s="49" t="b">
        <x:f>IF(I71="cache-semantics",AX71=AB71,TRUE)</x:f>
        <x:v>1</x:v>
      </x:c>
      <x:c r="AZ71" s="49" t="b">
        <x:f>IF(I71="cache-semantics",AX71=AE71,TRUE)</x:f>
        <x:v>1</x:v>
      </x:c>
      <x:c r="BA71" s="49" t="b">
        <x:f>IF(I71="cache-semantics",AC71&gt;=AX71,IF(I71="no-store-control",AC71=0,FALSE))</x:f>
        <x:v>1</x:v>
      </x:c>
      <x:c r="BB71" s="49" t="b">
        <x:f>IF(I71="cache-semantics",AG71&gt;=AX71,IF(I71="no-store-control",AG71=0,FALSE))</x:f>
        <x:v>1</x:v>
      </x:c>
      <x:c r="BC71" s="49" t="b">
        <x:f>AND(BA71,BB71)</x:f>
        <x:v>1</x:v>
      </x:c>
      <x:c r="BD71" s="49" t="b">
        <x:f>IF(I71="no-store-control",AND(AC71=0,AG71=0),TRUE)</x:f>
        <x:v>1</x:v>
      </x:c>
      <x:c r="BE71" s="49" t="b">
        <x:f>IF(I71="no-store-control",AK71=0,TRUE)</x:f>
        <x:v>1</x:v>
      </x:c>
      <x:c r="BF71" s="49" t="b">
        <x:f>IF(I71="cache-semantics",AN71=1,TRUE)</x:f>
        <x:v>1</x:v>
      </x:c>
      <x:c r="BG71" s="49" t="b">
        <x:f>IF(I71="cache-semantics",AND(AU71,AV71,Q71,AW71,BC71,BF71),IF(I71="no-store-control",AND(AU71,AV71,Q71,BD71,BE71),FALSE))</x:f>
        <x:v>1</x:v>
      </x:c>
      <x:c r="BH71" s="49" t="b">
        <x:f>AND(R71,AT71=P71,AU71=L71,AV71=U71,AY71,AZ71,IF(I71="cache-semantics",AND(AW71=Z71,AND(BA71=AD71,BB71=AH71,BC71=AI71),BF71=AO71),IF(I71="no-store-control",AND(AND(BA71=AD71,BB71=AH71,BC71=AI71),BD71=AJ71,BE71=AL71),FALSE)),BG71=AP71)</x:f>
        <x:v>1</x:v>
      </x:c>
      <x:c r="BI71" s="49" t="b">
        <x:f>AND(J71,K71,BG71)</x:f>
        <x:v>1</x:v>
      </x:c>
    </x:row>
    <x:row r="72">
      <x:c r="A72" s="34" t="str">
        <x:v>article1-unified-v4-2-fb3f101b-20260903-000401-default-f02-p2-cache2k</x:v>
      </x:c>
      <x:c r="B72" s="34" t="str">
        <x:v>default</x:v>
      </x:c>
      <x:c r="C72" s="34" t="str">
        <x:v>cache2k</x:v>
      </x:c>
      <x:c r="D72" s="36" t="n">
        <x:v>2</x:v>
      </x:c>
      <x:c r="E72" s="36" t="n">
        <x:v>2</x:v>
      </x:c>
      <x:c r="F72" s="36" t="n">
        <x:v>2</x:v>
      </x:c>
      <x:c r="G72" s="36" t="n">
        <x:v>1</x:v>
      </x:c>
      <x:c r="H72" s="34" t="str">
        <x:v>initial</x:v>
      </x:c>
      <x:c r="I72" s="34" t="str">
        <x:v>cache-semantics</x:v>
      </x:c>
      <x:c r="J72" s="45" t="b">
        <x:v>1</x:v>
      </x:c>
      <x:c r="K72" s="45" t="b">
        <x:v>1</x:v>
      </x:c>
      <x:c r="L72" s="45" t="b">
        <x:v>1</x:v>
      </x:c>
      <x:c r="M72" s="43" t="n">
        <x:v>400000</x:v>
      </x:c>
      <x:c r="N72" s="43" t="n">
        <x:v>153479936</x:v>
      </x:c>
      <x:c r="O72" s="43" t="n">
        <x:v>30674988.949199714</x:v>
      </x:c>
      <x:c r="P72" s="45" t="b">
        <x:v>1</x:v>
      </x:c>
      <x:c r="Q72" s="45" t="b">
        <x:v>1</x:v>
      </x:c>
      <x:c r="R72" s="45" t="b">
        <x:v>1</x:v>
      </x:c>
      <x:c r="S72" s="43" t="n">
        <x:v>5000000000</x:v>
      </x:c>
      <x:c r="T72" s="43" t="n">
        <x:v>5003422699</x:v>
      </x:c>
      <x:c r="U72" s="45" t="b">
        <x:v>1</x:v>
      </x:c>
      <x:c r="V72" s="34" t="str">
        <x:v>uniform</x:v>
      </x:c>
      <x:c r="W72" s="42" t="n">
        <x:v>95</x:v>
      </x:c>
      <x:c r="X72" s="48" t="n">
        <x:v>0.95</x:v>
      </x:c>
      <x:c r="Y72" s="48" t="n">
        <x:v>0.947842368138595</x:v>
      </x:c>
      <x:c r="Z72" s="45" t="b">
        <x:v>1</x:v>
      </x:c>
      <x:c r="AA72" s="43" t="n">
        <x:v>10000</x:v>
      </x:c>
      <x:c r="AB72" s="43" t="n">
        <x:v>9900</x:v>
      </x:c>
      <x:c r="AC72" s="43" t="n">
        <x:v>9979</x:v>
      </x:c>
      <x:c r="AD72" s="45" t="b">
        <x:v>1</x:v>
      </x:c>
      <x:c r="AE72" s="43" t="n">
        <x:v>9900</x:v>
      </x:c>
      <x:c r="AF72" s="43"/>
      <x:c r="AG72" s="43" t="n">
        <x:v>9992</x:v>
      </x:c>
      <x:c r="AH72" s="45" t="b">
        <x:v>1</x:v>
      </x:c>
      <x:c r="AI72" s="45" t="b">
        <x:v>1</x:v>
      </x:c>
      <x:c r="AJ72" s="49"/>
      <x:c r="AK72" s="48" t="n">
        <x:v>0.947842368138595</x:v>
      </x:c>
      <x:c r="AL72" s="49"/>
      <x:c r="AM72" s="49"/>
      <x:c r="AN72" s="36" t="n">
        <x:v>1</x:v>
      </x:c>
      <x:c r="AO72" s="45" t="b">
        <x:v>1</x:v>
      </x:c>
      <x:c r="AP72" s="45" t="b">
        <x:v>1</x:v>
      </x:c>
      <x:c r="AQ72" s="46" t="n">
        <x:f>IF(T72="","",T72/'Readme-Protocol'!$B$24)</x:f>
        <x:v>5.003422699</x:v>
      </x:c>
      <x:c r="AR72" s="46" t="n">
        <x:f>IF(OR(S72="",S72=0),"",T72/S72)</x:f>
        <x:v>1.0006845398</x:v>
      </x:c>
      <x:c r="AS72" s="46" t="n">
        <x:f>IF(OR(X72="",Y72=""),"",ABS(Y72-X72)*'Readme-Protocol'!$B$27)</x:f>
        <x:v>0.21576318614049406</x:v>
      </x:c>
      <x:c r="AT72" s="49" t="b">
        <x:f>AND(M72&gt;0,N72&gt;=0,O72&gt;0)</x:f>
        <x:v>1</x:v>
      </x:c>
      <x:c r="AU72" s="49" t="b">
        <x:f>AND(AT72,N72&gt;=M72)</x:f>
        <x:v>1</x:v>
      </x:c>
      <x:c r="AV72" s="49" t="b">
        <x:f>OR(S72=0,T72&gt;=S72)</x:f>
        <x:v>1</x:v>
      </x:c>
      <x:c r="AW72" s="49" t="b">
        <x:f>IF(I72="cache-semantics",OR(V72&lt;&gt;"uniform",ABS(Y72-W72/'Readme-Protocol'!$B$27)&lt;='Readme-Protocol'!$B$28),TRUE)</x:f>
        <x:v>1</x:v>
      </x:c>
      <x:c r="AX72" s="43" t="n">
        <x:f>IF(I72="cache-semantics",INT(AA72*'Readme-Protocol'!$B$32),"")</x:f>
        <x:v>9900</x:v>
      </x:c>
      <x:c r="AY72" s="49" t="b">
        <x:f>IF(I72="cache-semantics",AX72=AB72,TRUE)</x:f>
        <x:v>1</x:v>
      </x:c>
      <x:c r="AZ72" s="49" t="b">
        <x:f>IF(I72="cache-semantics",AX72=AE72,TRUE)</x:f>
        <x:v>1</x:v>
      </x:c>
      <x:c r="BA72" s="49" t="b">
        <x:f>IF(I72="cache-semantics",AC72&gt;=AX72,IF(I72="no-store-control",AC72=0,FALSE))</x:f>
        <x:v>1</x:v>
      </x:c>
      <x:c r="BB72" s="49" t="b">
        <x:f>IF(I72="cache-semantics",AG72&gt;=AX72,IF(I72="no-store-control",AG72=0,FALSE))</x:f>
        <x:v>1</x:v>
      </x:c>
      <x:c r="BC72" s="49" t="b">
        <x:f>AND(BA72,BB72)</x:f>
        <x:v>1</x:v>
      </x:c>
      <x:c r="BD72" s="49" t="b">
        <x:f>IF(I72="no-store-control",AND(AC72=0,AG72=0),TRUE)</x:f>
        <x:v>1</x:v>
      </x:c>
      <x:c r="BE72" s="49" t="b">
        <x:f>IF(I72="no-store-control",AK72=0,TRUE)</x:f>
        <x:v>1</x:v>
      </x:c>
      <x:c r="BF72" s="49" t="b">
        <x:f>IF(I72="cache-semantics",AN72=1,TRUE)</x:f>
        <x:v>1</x:v>
      </x:c>
      <x:c r="BG72" s="49" t="b">
        <x:f>IF(I72="cache-semantics",AND(AU72,AV72,Q72,AW72,BC72,BF72),IF(I72="no-store-control",AND(AU72,AV72,Q72,BD72,BE72),FALSE))</x:f>
        <x:v>1</x:v>
      </x:c>
      <x:c r="BH72" s="49" t="b">
        <x:f>AND(R72,AT72=P72,AU72=L72,AV72=U72,AY72,AZ72,IF(I72="cache-semantics",AND(AW72=Z72,AND(BA72=AD72,BB72=AH72,BC72=AI72),BF72=AO72),IF(I72="no-store-control",AND(AND(BA72=AD72,BB72=AH72,BC72=AI72),BD72=AJ72,BE72=AL72),FALSE)),BG72=AP72)</x:f>
        <x:v>1</x:v>
      </x:c>
      <x:c r="BI72" s="49" t="b">
        <x:f>AND(J72,K72,BG72)</x:f>
        <x:v>1</x:v>
      </x:c>
    </x:row>
    <x:row r="73">
      <x:c r="A73" s="34" t="str">
        <x:v>article1-unified-v4-2-fb3f101b-20260903-000401-default-f02-p2-cache2k</x:v>
      </x:c>
      <x:c r="B73" s="34" t="str">
        <x:v>default</x:v>
      </x:c>
      <x:c r="C73" s="34" t="str">
        <x:v>cache2k</x:v>
      </x:c>
      <x:c r="D73" s="36" t="n">
        <x:v>2</x:v>
      </x:c>
      <x:c r="E73" s="36" t="n">
        <x:v>2</x:v>
      </x:c>
      <x:c r="F73" s="36" t="n">
        <x:v>2</x:v>
      </x:c>
      <x:c r="G73" s="36" t="n">
        <x:v>1</x:v>
      </x:c>
      <x:c r="H73" s="34" t="str">
        <x:v>redeploy</x:v>
      </x:c>
      <x:c r="I73" s="34" t="str">
        <x:v>cache-semantics</x:v>
      </x:c>
      <x:c r="J73" s="45" t="b">
        <x:v>1</x:v>
      </x:c>
      <x:c r="K73" s="45" t="b">
        <x:v>1</x:v>
      </x:c>
      <x:c r="L73" s="45" t="b">
        <x:v>1</x:v>
      </x:c>
      <x:c r="M73" s="43" t="n">
        <x:v>400000</x:v>
      </x:c>
      <x:c r="N73" s="43" t="n">
        <x:v>144454144</x:v>
      </x:c>
      <x:c r="O73" s="43" t="n">
        <x:v>28874586.394709427</x:v>
      </x:c>
      <x:c r="P73" s="45" t="b">
        <x:v>1</x:v>
      </x:c>
      <x:c r="Q73" s="45" t="b">
        <x:v>1</x:v>
      </x:c>
      <x:c r="R73" s="45" t="b">
        <x:v>1</x:v>
      </x:c>
      <x:c r="S73" s="43" t="n">
        <x:v>5000000000</x:v>
      </x:c>
      <x:c r="T73" s="43" t="n">
        <x:v>5002812578</x:v>
      </x:c>
      <x:c r="U73" s="45" t="b">
        <x:v>1</x:v>
      </x:c>
      <x:c r="V73" s="34" t="str">
        <x:v>uniform</x:v>
      </x:c>
      <x:c r="W73" s="42" t="n">
        <x:v>95</x:v>
      </x:c>
      <x:c r="X73" s="48" t="n">
        <x:v>0.95</x:v>
      </x:c>
      <x:c r="Y73" s="48" t="n">
        <x:v>0.9478421401327192</x:v>
      </x:c>
      <x:c r="Z73" s="45" t="b">
        <x:v>1</x:v>
      </x:c>
      <x:c r="AA73" s="43" t="n">
        <x:v>10000</x:v>
      </x:c>
      <x:c r="AB73" s="43" t="n">
        <x:v>9900</x:v>
      </x:c>
      <x:c r="AC73" s="43" t="n">
        <x:v>9979</x:v>
      </x:c>
      <x:c r="AD73" s="45" t="b">
        <x:v>1</x:v>
      </x:c>
      <x:c r="AE73" s="43" t="n">
        <x:v>9900</x:v>
      </x:c>
      <x:c r="AF73" s="43"/>
      <x:c r="AG73" s="43" t="n">
        <x:v>9991</x:v>
      </x:c>
      <x:c r="AH73" s="45" t="b">
        <x:v>1</x:v>
      </x:c>
      <x:c r="AI73" s="45" t="b">
        <x:v>1</x:v>
      </x:c>
      <x:c r="AJ73" s="49"/>
      <x:c r="AK73" s="48" t="n">
        <x:v>0.9478421401327192</x:v>
      </x:c>
      <x:c r="AL73" s="49"/>
      <x:c r="AM73" s="49"/>
      <x:c r="AN73" s="36" t="n">
        <x:v>1</x:v>
      </x:c>
      <x:c r="AO73" s="45" t="b">
        <x:v>1</x:v>
      </x:c>
      <x:c r="AP73" s="45" t="b">
        <x:v>1</x:v>
      </x:c>
      <x:c r="AQ73" s="46" t="n">
        <x:f>IF(T73="","",T73/'Readme-Protocol'!$B$24)</x:f>
        <x:v>5.002812578</x:v>
      </x:c>
      <x:c r="AR73" s="46" t="n">
        <x:f>IF(OR(S73="",S73=0),"",T73/S73)</x:f>
        <x:v>1.0005625156</x:v>
      </x:c>
      <x:c r="AS73" s="46" t="n">
        <x:f>IF(OR(X73="",Y73=""),"",ABS(Y73-X73)*'Readme-Protocol'!$B$27)</x:f>
        <x:v>0.2157859867280787</x:v>
      </x:c>
      <x:c r="AT73" s="49" t="b">
        <x:f>AND(M73&gt;0,N73&gt;=0,O73&gt;0)</x:f>
        <x:v>1</x:v>
      </x:c>
      <x:c r="AU73" s="49" t="b">
        <x:f>AND(AT73,N73&gt;=M73)</x:f>
        <x:v>1</x:v>
      </x:c>
      <x:c r="AV73" s="49" t="b">
        <x:f>OR(S73=0,T73&gt;=S73)</x:f>
        <x:v>1</x:v>
      </x:c>
      <x:c r="AW73" s="49" t="b">
        <x:f>IF(I73="cache-semantics",OR(V73&lt;&gt;"uniform",ABS(Y73-W73/'Readme-Protocol'!$B$27)&lt;='Readme-Protocol'!$B$28),TRUE)</x:f>
        <x:v>1</x:v>
      </x:c>
      <x:c r="AX73" s="43" t="n">
        <x:f>IF(I73="cache-semantics",INT(AA73*'Readme-Protocol'!$B$32),"")</x:f>
        <x:v>9900</x:v>
      </x:c>
      <x:c r="AY73" s="49" t="b">
        <x:f>IF(I73="cache-semantics",AX73=AB73,TRUE)</x:f>
        <x:v>1</x:v>
      </x:c>
      <x:c r="AZ73" s="49" t="b">
        <x:f>IF(I73="cache-semantics",AX73=AE73,TRUE)</x:f>
        <x:v>1</x:v>
      </x:c>
      <x:c r="BA73" s="49" t="b">
        <x:f>IF(I73="cache-semantics",AC73&gt;=AX73,IF(I73="no-store-control",AC73=0,FALSE))</x:f>
        <x:v>1</x:v>
      </x:c>
      <x:c r="BB73" s="49" t="b">
        <x:f>IF(I73="cache-semantics",AG73&gt;=AX73,IF(I73="no-store-control",AG73=0,FALSE))</x:f>
        <x:v>1</x:v>
      </x:c>
      <x:c r="BC73" s="49" t="b">
        <x:f>AND(BA73,BB73)</x:f>
        <x:v>1</x:v>
      </x:c>
      <x:c r="BD73" s="49" t="b">
        <x:f>IF(I73="no-store-control",AND(AC73=0,AG73=0),TRUE)</x:f>
        <x:v>1</x:v>
      </x:c>
      <x:c r="BE73" s="49" t="b">
        <x:f>IF(I73="no-store-control",AK73=0,TRUE)</x:f>
        <x:v>1</x:v>
      </x:c>
      <x:c r="BF73" s="49" t="b">
        <x:f>IF(I73="cache-semantics",AN73=1,TRUE)</x:f>
        <x:v>1</x:v>
      </x:c>
      <x:c r="BG73" s="49" t="b">
        <x:f>IF(I73="cache-semantics",AND(AU73,AV73,Q73,AW73,BC73,BF73),IF(I73="no-store-control",AND(AU73,AV73,Q73,BD73,BE73),FALSE))</x:f>
        <x:v>1</x:v>
      </x:c>
      <x:c r="BH73" s="49" t="b">
        <x:f>AND(R73,AT73=P73,AU73=L73,AV73=U73,AY73,AZ73,IF(I73="cache-semantics",AND(AW73=Z73,AND(BA73=AD73,BB73=AH73,BC73=AI73),BF73=AO73),IF(I73="no-store-control",AND(AND(BA73=AD73,BB73=AH73,BC73=AI73),BD73=AJ73,BE73=AL73),FALSE)),BG73=AP73)</x:f>
        <x:v>1</x:v>
      </x:c>
      <x:c r="BI73" s="49" t="b">
        <x:f>AND(J73,K73,BG73)</x:f>
        <x:v>1</x:v>
      </x:c>
    </x:row>
    <x:row r="74">
      <x:c r="A74" s="34" t="str">
        <x:v>article1-unified-v4-2-fb3f101b-20260903-000401-default-f02-p2-cache2k</x:v>
      </x:c>
      <x:c r="B74" s="34" t="str">
        <x:v>default</x:v>
      </x:c>
      <x:c r="C74" s="34" t="str">
        <x:v>cache2k</x:v>
      </x:c>
      <x:c r="D74" s="36" t="n">
        <x:v>2</x:v>
      </x:c>
      <x:c r="E74" s="36" t="n">
        <x:v>2</x:v>
      </x:c>
      <x:c r="F74" s="36" t="n">
        <x:v>2</x:v>
      </x:c>
      <x:c r="G74" s="36" t="n">
        <x:v>2</x:v>
      </x:c>
      <x:c r="H74" s="34" t="str">
        <x:v>initial</x:v>
      </x:c>
      <x:c r="I74" s="34" t="str">
        <x:v>cache-semantics</x:v>
      </x:c>
      <x:c r="J74" s="45" t="b">
        <x:v>1</x:v>
      </x:c>
      <x:c r="K74" s="45" t="b">
        <x:v>1</x:v>
      </x:c>
      <x:c r="L74" s="45" t="b">
        <x:v>1</x:v>
      </x:c>
      <x:c r="M74" s="43" t="n">
        <x:v>400000</x:v>
      </x:c>
      <x:c r="N74" s="43" t="n">
        <x:v>158499072</x:v>
      </x:c>
      <x:c r="O74" s="43" t="n">
        <x:v>31682755.45398091</x:v>
      </x:c>
      <x:c r="P74" s="45" t="b">
        <x:v>1</x:v>
      </x:c>
      <x:c r="Q74" s="45" t="b">
        <x:v>1</x:v>
      </x:c>
      <x:c r="R74" s="45" t="b">
        <x:v>1</x:v>
      </x:c>
      <x:c r="S74" s="43" t="n">
        <x:v>5000000000</x:v>
      </x:c>
      <x:c r="T74" s="43" t="n">
        <x:v>5002692150</x:v>
      </x:c>
      <x:c r="U74" s="45" t="b">
        <x:v>1</x:v>
      </x:c>
      <x:c r="V74" s="34" t="str">
        <x:v>uniform</x:v>
      </x:c>
      <x:c r="W74" s="42" t="n">
        <x:v>95</x:v>
      </x:c>
      <x:c r="X74" s="48" t="n">
        <x:v>0.95</x:v>
      </x:c>
      <x:c r="Y74" s="48" t="n">
        <x:v>0.9472651108014059</x:v>
      </x:c>
      <x:c r="Z74" s="45" t="b">
        <x:v>1</x:v>
      </x:c>
      <x:c r="AA74" s="43" t="n">
        <x:v>10000</x:v>
      </x:c>
      <x:c r="AB74" s="43" t="n">
        <x:v>9900</x:v>
      </x:c>
      <x:c r="AC74" s="43" t="n">
        <x:v>9979</x:v>
      </x:c>
      <x:c r="AD74" s="45" t="b">
        <x:v>1</x:v>
      </x:c>
      <x:c r="AE74" s="43" t="n">
        <x:v>9900</x:v>
      </x:c>
      <x:c r="AF74" s="43"/>
      <x:c r="AG74" s="43" t="n">
        <x:v>9992</x:v>
      </x:c>
      <x:c r="AH74" s="45" t="b">
        <x:v>1</x:v>
      </x:c>
      <x:c r="AI74" s="45" t="b">
        <x:v>1</x:v>
      </x:c>
      <x:c r="AJ74" s="49"/>
      <x:c r="AK74" s="48" t="n">
        <x:v>0.9472651108014059</x:v>
      </x:c>
      <x:c r="AL74" s="49"/>
      <x:c r="AM74" s="49"/>
      <x:c r="AN74" s="36" t="n">
        <x:v>1</x:v>
      </x:c>
      <x:c r="AO74" s="45" t="b">
        <x:v>1</x:v>
      </x:c>
      <x:c r="AP74" s="45" t="b">
        <x:v>1</x:v>
      </x:c>
      <x:c r="AQ74" s="46" t="n">
        <x:f>IF(T74="","",T74/'Readme-Protocol'!$B$24)</x:f>
        <x:v>5.00269215</x:v>
      </x:c>
      <x:c r="AR74" s="46" t="n">
        <x:f>IF(OR(S74="",S74=0),"",T74/S74)</x:f>
        <x:v>1.00053843</x:v>
      </x:c>
      <x:c r="AS74" s="46" t="n">
        <x:f>IF(OR(X74="",Y74=""),"",ABS(Y74-X74)*'Readme-Protocol'!$B$27)</x:f>
        <x:v>0.2734889198594104</x:v>
      </x:c>
      <x:c r="AT74" s="49" t="b">
        <x:f>AND(M74&gt;0,N74&gt;=0,O74&gt;0)</x:f>
        <x:v>1</x:v>
      </x:c>
      <x:c r="AU74" s="49" t="b">
        <x:f>AND(AT74,N74&gt;=M74)</x:f>
        <x:v>1</x:v>
      </x:c>
      <x:c r="AV74" s="49" t="b">
        <x:f>OR(S74=0,T74&gt;=S74)</x:f>
        <x:v>1</x:v>
      </x:c>
      <x:c r="AW74" s="49" t="b">
        <x:f>IF(I74="cache-semantics",OR(V74&lt;&gt;"uniform",ABS(Y74-W74/'Readme-Protocol'!$B$27)&lt;='Readme-Protocol'!$B$28),TRUE)</x:f>
        <x:v>1</x:v>
      </x:c>
      <x:c r="AX74" s="43" t="n">
        <x:f>IF(I74="cache-semantics",INT(AA74*'Readme-Protocol'!$B$32),"")</x:f>
        <x:v>9900</x:v>
      </x:c>
      <x:c r="AY74" s="49" t="b">
        <x:f>IF(I74="cache-semantics",AX74=AB74,TRUE)</x:f>
        <x:v>1</x:v>
      </x:c>
      <x:c r="AZ74" s="49" t="b">
        <x:f>IF(I74="cache-semantics",AX74=AE74,TRUE)</x:f>
        <x:v>1</x:v>
      </x:c>
      <x:c r="BA74" s="49" t="b">
        <x:f>IF(I74="cache-semantics",AC74&gt;=AX74,IF(I74="no-store-control",AC74=0,FALSE))</x:f>
        <x:v>1</x:v>
      </x:c>
      <x:c r="BB74" s="49" t="b">
        <x:f>IF(I74="cache-semantics",AG74&gt;=AX74,IF(I74="no-store-control",AG74=0,FALSE))</x:f>
        <x:v>1</x:v>
      </x:c>
      <x:c r="BC74" s="49" t="b">
        <x:f>AND(BA74,BB74)</x:f>
        <x:v>1</x:v>
      </x:c>
      <x:c r="BD74" s="49" t="b">
        <x:f>IF(I74="no-store-control",AND(AC74=0,AG74=0),TRUE)</x:f>
        <x:v>1</x:v>
      </x:c>
      <x:c r="BE74" s="49" t="b">
        <x:f>IF(I74="no-store-control",AK74=0,TRUE)</x:f>
        <x:v>1</x:v>
      </x:c>
      <x:c r="BF74" s="49" t="b">
        <x:f>IF(I74="cache-semantics",AN74=1,TRUE)</x:f>
        <x:v>1</x:v>
      </x:c>
      <x:c r="BG74" s="49" t="b">
        <x:f>IF(I74="cache-semantics",AND(AU74,AV74,Q74,AW74,BC74,BF74),IF(I74="no-store-control",AND(AU74,AV74,Q74,BD74,BE74),FALSE))</x:f>
        <x:v>1</x:v>
      </x:c>
      <x:c r="BH74" s="49" t="b">
        <x:f>AND(R74,AT74=P74,AU74=L74,AV74=U74,AY74,AZ74,IF(I74="cache-semantics",AND(AW74=Z74,AND(BA74=AD74,BB74=AH74,BC74=AI74),BF74=AO74),IF(I74="no-store-control",AND(AND(BA74=AD74,BB74=AH74,BC74=AI74),BD74=AJ74,BE74=AL74),FALSE)),BG74=AP74)</x:f>
        <x:v>1</x:v>
      </x:c>
      <x:c r="BI74" s="49" t="b">
        <x:f>AND(J74,K74,BG74)</x:f>
        <x:v>1</x:v>
      </x:c>
    </x:row>
    <x:row r="75">
      <x:c r="A75" s="34" t="str">
        <x:v>article1-unified-v4-2-fb3f101b-20260903-000401-default-f02-p2-cache2k</x:v>
      </x:c>
      <x:c r="B75" s="34" t="str">
        <x:v>default</x:v>
      </x:c>
      <x:c r="C75" s="34" t="str">
        <x:v>cache2k</x:v>
      </x:c>
      <x:c r="D75" s="36" t="n">
        <x:v>2</x:v>
      </x:c>
      <x:c r="E75" s="36" t="n">
        <x:v>2</x:v>
      </x:c>
      <x:c r="F75" s="36" t="n">
        <x:v>2</x:v>
      </x:c>
      <x:c r="G75" s="36" t="n">
        <x:v>2</x:v>
      </x:c>
      <x:c r="H75" s="34" t="str">
        <x:v>redeploy</x:v>
      </x:c>
      <x:c r="I75" s="34" t="str">
        <x:v>cache-semantics</x:v>
      </x:c>
      <x:c r="J75" s="45" t="b">
        <x:v>1</x:v>
      </x:c>
      <x:c r="K75" s="45" t="b">
        <x:v>1</x:v>
      </x:c>
      <x:c r="L75" s="45" t="b">
        <x:v>1</x:v>
      </x:c>
      <x:c r="M75" s="43" t="n">
        <x:v>400000</x:v>
      </x:c>
      <x:c r="N75" s="43" t="n">
        <x:v>119192320</x:v>
      </x:c>
      <x:c r="O75" s="43" t="n">
        <x:v>23827860.11139651</x:v>
      </x:c>
      <x:c r="P75" s="45" t="b">
        <x:v>1</x:v>
      </x:c>
      <x:c r="Q75" s="45" t="b">
        <x:v>1</x:v>
      </x:c>
      <x:c r="R75" s="45" t="b">
        <x:v>1</x:v>
      </x:c>
      <x:c r="S75" s="43" t="n">
        <x:v>5000000000</x:v>
      </x:c>
      <x:c r="T75" s="43" t="n">
        <x:v>5002225103</x:v>
      </x:c>
      <x:c r="U75" s="45" t="b">
        <x:v>1</x:v>
      </x:c>
      <x:c r="V75" s="34" t="str">
        <x:v>uniform</x:v>
      </x:c>
      <x:c r="W75" s="42" t="n">
        <x:v>95</x:v>
      </x:c>
      <x:c r="X75" s="48" t="n">
        <x:v>0.95</x:v>
      </x:c>
      <x:c r="Y75" s="48" t="n">
        <x:v>0.9472660990238297</x:v>
      </x:c>
      <x:c r="Z75" s="45" t="b">
        <x:v>1</x:v>
      </x:c>
      <x:c r="AA75" s="43" t="n">
        <x:v>10000</x:v>
      </x:c>
      <x:c r="AB75" s="43" t="n">
        <x:v>9900</x:v>
      </x:c>
      <x:c r="AC75" s="43" t="n">
        <x:v>9979</x:v>
      </x:c>
      <x:c r="AD75" s="45" t="b">
        <x:v>1</x:v>
      </x:c>
      <x:c r="AE75" s="43" t="n">
        <x:v>9900</x:v>
      </x:c>
      <x:c r="AF75" s="43"/>
      <x:c r="AG75" s="43" t="n">
        <x:v>9991</x:v>
      </x:c>
      <x:c r="AH75" s="45" t="b">
        <x:v>1</x:v>
      </x:c>
      <x:c r="AI75" s="45" t="b">
        <x:v>1</x:v>
      </x:c>
      <x:c r="AJ75" s="49"/>
      <x:c r="AK75" s="48" t="n">
        <x:v>0.9472660990238297</x:v>
      </x:c>
      <x:c r="AL75" s="49"/>
      <x:c r="AM75" s="49"/>
      <x:c r="AN75" s="36" t="n">
        <x:v>1</x:v>
      </x:c>
      <x:c r="AO75" s="45" t="b">
        <x:v>1</x:v>
      </x:c>
      <x:c r="AP75" s="45" t="b">
        <x:v>1</x:v>
      </x:c>
      <x:c r="AQ75" s="46" t="n">
        <x:f>IF(T75="","",T75/'Readme-Protocol'!$B$24)</x:f>
        <x:v>5.002225103</x:v>
      </x:c>
      <x:c r="AR75" s="46" t="n">
        <x:f>IF(OR(S75="",S75=0),"",T75/S75)</x:f>
        <x:v>1.0004450206</x:v>
      </x:c>
      <x:c r="AS75" s="46" t="n">
        <x:f>IF(OR(X75="",Y75=""),"",ABS(Y75-X75)*'Readme-Protocol'!$B$27)</x:f>
        <x:v>0.27339009761702115</x:v>
      </x:c>
      <x:c r="AT75" s="49" t="b">
        <x:f>AND(M75&gt;0,N75&gt;=0,O75&gt;0)</x:f>
        <x:v>1</x:v>
      </x:c>
      <x:c r="AU75" s="49" t="b">
        <x:f>AND(AT75,N75&gt;=M75)</x:f>
        <x:v>1</x:v>
      </x:c>
      <x:c r="AV75" s="49" t="b">
        <x:f>OR(S75=0,T75&gt;=S75)</x:f>
        <x:v>1</x:v>
      </x:c>
      <x:c r="AW75" s="49" t="b">
        <x:f>IF(I75="cache-semantics",OR(V75&lt;&gt;"uniform",ABS(Y75-W75/'Readme-Protocol'!$B$27)&lt;='Readme-Protocol'!$B$28),TRUE)</x:f>
        <x:v>1</x:v>
      </x:c>
      <x:c r="AX75" s="43" t="n">
        <x:f>IF(I75="cache-semantics",INT(AA75*'Readme-Protocol'!$B$32),"")</x:f>
        <x:v>9900</x:v>
      </x:c>
      <x:c r="AY75" s="49" t="b">
        <x:f>IF(I75="cache-semantics",AX75=AB75,TRUE)</x:f>
        <x:v>1</x:v>
      </x:c>
      <x:c r="AZ75" s="49" t="b">
        <x:f>IF(I75="cache-semantics",AX75=AE75,TRUE)</x:f>
        <x:v>1</x:v>
      </x:c>
      <x:c r="BA75" s="49" t="b">
        <x:f>IF(I75="cache-semantics",AC75&gt;=AX75,IF(I75="no-store-control",AC75=0,FALSE))</x:f>
        <x:v>1</x:v>
      </x:c>
      <x:c r="BB75" s="49" t="b">
        <x:f>IF(I75="cache-semantics",AG75&gt;=AX75,IF(I75="no-store-control",AG75=0,FALSE))</x:f>
        <x:v>1</x:v>
      </x:c>
      <x:c r="BC75" s="49" t="b">
        <x:f>AND(BA75,BB75)</x:f>
        <x:v>1</x:v>
      </x:c>
      <x:c r="BD75" s="49" t="b">
        <x:f>IF(I75="no-store-control",AND(AC75=0,AG75=0),TRUE)</x:f>
        <x:v>1</x:v>
      </x:c>
      <x:c r="BE75" s="49" t="b">
        <x:f>IF(I75="no-store-control",AK75=0,TRUE)</x:f>
        <x:v>1</x:v>
      </x:c>
      <x:c r="BF75" s="49" t="b">
        <x:f>IF(I75="cache-semantics",AN75=1,TRUE)</x:f>
        <x:v>1</x:v>
      </x:c>
      <x:c r="BG75" s="49" t="b">
        <x:f>IF(I75="cache-semantics",AND(AU75,AV75,Q75,AW75,BC75,BF75),IF(I75="no-store-control",AND(AU75,AV75,Q75,BD75,BE75),FALSE))</x:f>
        <x:v>1</x:v>
      </x:c>
      <x:c r="BH75" s="49" t="b">
        <x:f>AND(R75,AT75=P75,AU75=L75,AV75=U75,AY75,AZ75,IF(I75="cache-semantics",AND(AW75=Z75,AND(BA75=AD75,BB75=AH75,BC75=AI75),BF75=AO75),IF(I75="no-store-control",AND(AND(BA75=AD75,BB75=AH75,BC75=AI75),BD75=AJ75,BE75=AL75),FALSE)),BG75=AP75)</x:f>
        <x:v>1</x:v>
      </x:c>
      <x:c r="BI75" s="49" t="b">
        <x:f>AND(J75,K75,BG75)</x:f>
        <x:v>1</x:v>
      </x:c>
    </x:row>
    <x:row r="76">
      <x:c r="A76" s="34" t="str">
        <x:v>article1-unified-v4-2-fb3f101b-20260903-000401-default-f02-p2-cache2k</x:v>
      </x:c>
      <x:c r="B76" s="34" t="str">
        <x:v>default</x:v>
      </x:c>
      <x:c r="C76" s="34" t="str">
        <x:v>cache2k</x:v>
      </x:c>
      <x:c r="D76" s="36" t="n">
        <x:v>2</x:v>
      </x:c>
      <x:c r="E76" s="36" t="n">
        <x:v>2</x:v>
      </x:c>
      <x:c r="F76" s="36" t="n">
        <x:v>2</x:v>
      </x:c>
      <x:c r="G76" s="36" t="n">
        <x:v>3</x:v>
      </x:c>
      <x:c r="H76" s="34" t="str">
        <x:v>initial</x:v>
      </x:c>
      <x:c r="I76" s="34" t="str">
        <x:v>cache-semantics</x:v>
      </x:c>
      <x:c r="J76" s="45" t="b">
        <x:v>1</x:v>
      </x:c>
      <x:c r="K76" s="45" t="b">
        <x:v>1</x:v>
      </x:c>
      <x:c r="L76" s="45" t="b">
        <x:v>1</x:v>
      </x:c>
      <x:c r="M76" s="43" t="n">
        <x:v>400000</x:v>
      </x:c>
      <x:c r="N76" s="43" t="n">
        <x:v>145588224</x:v>
      </x:c>
      <x:c r="O76" s="43" t="n">
        <x:v>29102944.012429234</x:v>
      </x:c>
      <x:c r="P76" s="45" t="b">
        <x:v>1</x:v>
      </x:c>
      <x:c r="Q76" s="45" t="b">
        <x:v>1</x:v>
      </x:c>
      <x:c r="R76" s="45" t="b">
        <x:v>1</x:v>
      </x:c>
      <x:c r="S76" s="43" t="n">
        <x:v>5000000000</x:v>
      </x:c>
      <x:c r="T76" s="43" t="n">
        <x:v>5002525653</x:v>
      </x:c>
      <x:c r="U76" s="45" t="b">
        <x:v>1</x:v>
      </x:c>
      <x:c r="V76" s="34" t="str">
        <x:v>uniform</x:v>
      </x:c>
      <x:c r="W76" s="42" t="n">
        <x:v>95</x:v>
      </x:c>
      <x:c r="X76" s="48" t="n">
        <x:v>0.95</x:v>
      </x:c>
      <x:c r="Y76" s="48" t="n">
        <x:v>0.9482858380084367</x:v>
      </x:c>
      <x:c r="Z76" s="45" t="b">
        <x:v>1</x:v>
      </x:c>
      <x:c r="AA76" s="43" t="n">
        <x:v>10000</x:v>
      </x:c>
      <x:c r="AB76" s="43" t="n">
        <x:v>9900</x:v>
      </x:c>
      <x:c r="AC76" s="43" t="n">
        <x:v>9979</x:v>
      </x:c>
      <x:c r="AD76" s="45" t="b">
        <x:v>1</x:v>
      </x:c>
      <x:c r="AE76" s="43" t="n">
        <x:v>9900</x:v>
      </x:c>
      <x:c r="AF76" s="43"/>
      <x:c r="AG76" s="43" t="n">
        <x:v>9995</x:v>
      </x:c>
      <x:c r="AH76" s="45" t="b">
        <x:v>1</x:v>
      </x:c>
      <x:c r="AI76" s="45" t="b">
        <x:v>1</x:v>
      </x:c>
      <x:c r="AJ76" s="49"/>
      <x:c r="AK76" s="48" t="n">
        <x:v>0.9482858380084367</x:v>
      </x:c>
      <x:c r="AL76" s="49"/>
      <x:c r="AM76" s="49"/>
      <x:c r="AN76" s="36" t="n">
        <x:v>1</x:v>
      </x:c>
      <x:c r="AO76" s="45" t="b">
        <x:v>1</x:v>
      </x:c>
      <x:c r="AP76" s="45" t="b">
        <x:v>1</x:v>
      </x:c>
      <x:c r="AQ76" s="46" t="n">
        <x:f>IF(T76="","",T76/'Readme-Protocol'!$B$24)</x:f>
        <x:v>5.002525653</x:v>
      </x:c>
      <x:c r="AR76" s="46" t="n">
        <x:f>IF(OR(S76="",S76=0),"",T76/S76)</x:f>
        <x:v>1.0005051306</x:v>
      </x:c>
      <x:c r="AS76" s="46" t="n">
        <x:f>IF(OR(X76="",Y76=""),"",ABS(Y76-X76)*'Readme-Protocol'!$B$27)</x:f>
        <x:v>0.17141619915632678</x:v>
      </x:c>
      <x:c r="AT76" s="49" t="b">
        <x:f>AND(M76&gt;0,N76&gt;=0,O76&gt;0)</x:f>
        <x:v>1</x:v>
      </x:c>
      <x:c r="AU76" s="49" t="b">
        <x:f>AND(AT76,N76&gt;=M76)</x:f>
        <x:v>1</x:v>
      </x:c>
      <x:c r="AV76" s="49" t="b">
        <x:f>OR(S76=0,T76&gt;=S76)</x:f>
        <x:v>1</x:v>
      </x:c>
      <x:c r="AW76" s="49" t="b">
        <x:f>IF(I76="cache-semantics",OR(V76&lt;&gt;"uniform",ABS(Y76-W76/'Readme-Protocol'!$B$27)&lt;='Readme-Protocol'!$B$28),TRUE)</x:f>
        <x:v>1</x:v>
      </x:c>
      <x:c r="AX76" s="43" t="n">
        <x:f>IF(I76="cache-semantics",INT(AA76*'Readme-Protocol'!$B$32),"")</x:f>
        <x:v>9900</x:v>
      </x:c>
      <x:c r="AY76" s="49" t="b">
        <x:f>IF(I76="cache-semantics",AX76=AB76,TRUE)</x:f>
        <x:v>1</x:v>
      </x:c>
      <x:c r="AZ76" s="49" t="b">
        <x:f>IF(I76="cache-semantics",AX76=AE76,TRUE)</x:f>
        <x:v>1</x:v>
      </x:c>
      <x:c r="BA76" s="49" t="b">
        <x:f>IF(I76="cache-semantics",AC76&gt;=AX76,IF(I76="no-store-control",AC76=0,FALSE))</x:f>
        <x:v>1</x:v>
      </x:c>
      <x:c r="BB76" s="49" t="b">
        <x:f>IF(I76="cache-semantics",AG76&gt;=AX76,IF(I76="no-store-control",AG76=0,FALSE))</x:f>
        <x:v>1</x:v>
      </x:c>
      <x:c r="BC76" s="49" t="b">
        <x:f>AND(BA76,BB76)</x:f>
        <x:v>1</x:v>
      </x:c>
      <x:c r="BD76" s="49" t="b">
        <x:f>IF(I76="no-store-control",AND(AC76=0,AG76=0),TRUE)</x:f>
        <x:v>1</x:v>
      </x:c>
      <x:c r="BE76" s="49" t="b">
        <x:f>IF(I76="no-store-control",AK76=0,TRUE)</x:f>
        <x:v>1</x:v>
      </x:c>
      <x:c r="BF76" s="49" t="b">
        <x:f>IF(I76="cache-semantics",AN76=1,TRUE)</x:f>
        <x:v>1</x:v>
      </x:c>
      <x:c r="BG76" s="49" t="b">
        <x:f>IF(I76="cache-semantics",AND(AU76,AV76,Q76,AW76,BC76,BF76),IF(I76="no-store-control",AND(AU76,AV76,Q76,BD76,BE76),FALSE))</x:f>
        <x:v>1</x:v>
      </x:c>
      <x:c r="BH76" s="49" t="b">
        <x:f>AND(R76,AT76=P76,AU76=L76,AV76=U76,AY76,AZ76,IF(I76="cache-semantics",AND(AW76=Z76,AND(BA76=AD76,BB76=AH76,BC76=AI76),BF76=AO76),IF(I76="no-store-control",AND(AND(BA76=AD76,BB76=AH76,BC76=AI76),BD76=AJ76,BE76=AL76),FALSE)),BG76=AP76)</x:f>
        <x:v>1</x:v>
      </x:c>
      <x:c r="BI76" s="49" t="b">
        <x:f>AND(J76,K76,BG76)</x:f>
        <x:v>1</x:v>
      </x:c>
    </x:row>
    <x:row r="77">
      <x:c r="A77" s="34" t="str">
        <x:v>article1-unified-v4-2-fb3f101b-20260903-000401-default-f02-p2-cache2k</x:v>
      </x:c>
      <x:c r="B77" s="34" t="str">
        <x:v>default</x:v>
      </x:c>
      <x:c r="C77" s="34" t="str">
        <x:v>cache2k</x:v>
      </x:c>
      <x:c r="D77" s="36" t="n">
        <x:v>2</x:v>
      </x:c>
      <x:c r="E77" s="36" t="n">
        <x:v>2</x:v>
      </x:c>
      <x:c r="F77" s="36" t="n">
        <x:v>2</x:v>
      </x:c>
      <x:c r="G77" s="36" t="n">
        <x:v>3</x:v>
      </x:c>
      <x:c r="H77" s="34" t="str">
        <x:v>redeploy</x:v>
      </x:c>
      <x:c r="I77" s="34" t="str">
        <x:v>cache-semantics</x:v>
      </x:c>
      <x:c r="J77" s="45" t="b">
        <x:v>1</x:v>
      </x:c>
      <x:c r="K77" s="45" t="b">
        <x:v>1</x:v>
      </x:c>
      <x:c r="L77" s="45" t="b">
        <x:v>1</x:v>
      </x:c>
      <x:c r="M77" s="43" t="n">
        <x:v>400000</x:v>
      </x:c>
      <x:c r="N77" s="43" t="n">
        <x:v>147791616</x:v>
      </x:c>
      <x:c r="O77" s="43" t="n">
        <x:v>29544166.822933957</x:v>
      </x:c>
      <x:c r="P77" s="45" t="b">
        <x:v>1</x:v>
      </x:c>
      <x:c r="Q77" s="45" t="b">
        <x:v>1</x:v>
      </x:c>
      <x:c r="R77" s="45" t="b">
        <x:v>1</x:v>
      </x:c>
      <x:c r="S77" s="43" t="n">
        <x:v>5000000000</x:v>
      </x:c>
      <x:c r="T77" s="43" t="n">
        <x:v>5002395799</x:v>
      </x:c>
      <x:c r="U77" s="45" t="b">
        <x:v>1</x:v>
      </x:c>
      <x:c r="V77" s="34" t="str">
        <x:v>uniform</x:v>
      </x:c>
      <x:c r="W77" s="42" t="n">
        <x:v>95</x:v>
      </x:c>
      <x:c r="X77" s="48" t="n">
        <x:v>0.95</x:v>
      </x:c>
      <x:c r="Y77" s="48" t="n">
        <x:v>0.9482846916025331</x:v>
      </x:c>
      <x:c r="Z77" s="45" t="b">
        <x:v>1</x:v>
      </x:c>
      <x:c r="AA77" s="43" t="n">
        <x:v>10000</x:v>
      </x:c>
      <x:c r="AB77" s="43" t="n">
        <x:v>9900</x:v>
      </x:c>
      <x:c r="AC77" s="43" t="n">
        <x:v>9979</x:v>
      </x:c>
      <x:c r="AD77" s="45" t="b">
        <x:v>1</x:v>
      </x:c>
      <x:c r="AE77" s="43" t="n">
        <x:v>9900</x:v>
      </x:c>
      <x:c r="AF77" s="43"/>
      <x:c r="AG77" s="43" t="n">
        <x:v>9996</x:v>
      </x:c>
      <x:c r="AH77" s="45" t="b">
        <x:v>1</x:v>
      </x:c>
      <x:c r="AI77" s="45" t="b">
        <x:v>1</x:v>
      </x:c>
      <x:c r="AJ77" s="49"/>
      <x:c r="AK77" s="48" t="n">
        <x:v>0.9482846916025331</x:v>
      </x:c>
      <x:c r="AL77" s="49"/>
      <x:c r="AM77" s="49"/>
      <x:c r="AN77" s="36" t="n">
        <x:v>1</x:v>
      </x:c>
      <x:c r="AO77" s="45" t="b">
        <x:v>1</x:v>
      </x:c>
      <x:c r="AP77" s="45" t="b">
        <x:v>1</x:v>
      </x:c>
      <x:c r="AQ77" s="46" t="n">
        <x:f>IF(T77="","",T77/'Readme-Protocol'!$B$24)</x:f>
        <x:v>5.002395799</x:v>
      </x:c>
      <x:c r="AR77" s="46" t="n">
        <x:f>IF(OR(S77="",S77=0),"",T77/S77)</x:f>
        <x:v>1.0004791598</x:v>
      </x:c>
      <x:c r="AS77" s="46" t="n">
        <x:f>IF(OR(X77="",Y77=""),"",ABS(Y77-X77)*'Readme-Protocol'!$B$27)</x:f>
        <x:v>0.17153083974668082</x:v>
      </x:c>
      <x:c r="AT77" s="49" t="b">
        <x:f>AND(M77&gt;0,N77&gt;=0,O77&gt;0)</x:f>
        <x:v>1</x:v>
      </x:c>
      <x:c r="AU77" s="49" t="b">
        <x:f>AND(AT77,N77&gt;=M77)</x:f>
        <x:v>1</x:v>
      </x:c>
      <x:c r="AV77" s="49" t="b">
        <x:f>OR(S77=0,T77&gt;=S77)</x:f>
        <x:v>1</x:v>
      </x:c>
      <x:c r="AW77" s="49" t="b">
        <x:f>IF(I77="cache-semantics",OR(V77&lt;&gt;"uniform",ABS(Y77-W77/'Readme-Protocol'!$B$27)&lt;='Readme-Protocol'!$B$28),TRUE)</x:f>
        <x:v>1</x:v>
      </x:c>
      <x:c r="AX77" s="43" t="n">
        <x:f>IF(I77="cache-semantics",INT(AA77*'Readme-Protocol'!$B$32),"")</x:f>
        <x:v>9900</x:v>
      </x:c>
      <x:c r="AY77" s="49" t="b">
        <x:f>IF(I77="cache-semantics",AX77=AB77,TRUE)</x:f>
        <x:v>1</x:v>
      </x:c>
      <x:c r="AZ77" s="49" t="b">
        <x:f>IF(I77="cache-semantics",AX77=AE77,TRUE)</x:f>
        <x:v>1</x:v>
      </x:c>
      <x:c r="BA77" s="49" t="b">
        <x:f>IF(I77="cache-semantics",AC77&gt;=AX77,IF(I77="no-store-control",AC77=0,FALSE))</x:f>
        <x:v>1</x:v>
      </x:c>
      <x:c r="BB77" s="49" t="b">
        <x:f>IF(I77="cache-semantics",AG77&gt;=AX77,IF(I77="no-store-control",AG77=0,FALSE))</x:f>
        <x:v>1</x:v>
      </x:c>
      <x:c r="BC77" s="49" t="b">
        <x:f>AND(BA77,BB77)</x:f>
        <x:v>1</x:v>
      </x:c>
      <x:c r="BD77" s="49" t="b">
        <x:f>IF(I77="no-store-control",AND(AC77=0,AG77=0),TRUE)</x:f>
        <x:v>1</x:v>
      </x:c>
      <x:c r="BE77" s="49" t="b">
        <x:f>IF(I77="no-store-control",AK77=0,TRUE)</x:f>
        <x:v>1</x:v>
      </x:c>
      <x:c r="BF77" s="49" t="b">
        <x:f>IF(I77="cache-semantics",AN77=1,TRUE)</x:f>
        <x:v>1</x:v>
      </x:c>
      <x:c r="BG77" s="49" t="b">
        <x:f>IF(I77="cache-semantics",AND(AU77,AV77,Q77,AW77,BC77,BF77),IF(I77="no-store-control",AND(AU77,AV77,Q77,BD77,BE77),FALSE))</x:f>
        <x:v>1</x:v>
      </x:c>
      <x:c r="BH77" s="49" t="b">
        <x:f>AND(R77,AT77=P77,AU77=L77,AV77=U77,AY77,AZ77,IF(I77="cache-semantics",AND(AW77=Z77,AND(BA77=AD77,BB77=AH77,BC77=AI77),BF77=AO77),IF(I77="no-store-control",AND(AND(BA77=AD77,BB77=AH77,BC77=AI77),BD77=AJ77,BE77=AL77),FALSE)),BG77=AP77)</x:f>
        <x:v>1</x:v>
      </x:c>
      <x:c r="BI77" s="49" t="b">
        <x:f>AND(J77,K77,BG77)</x:f>
        <x:v>1</x:v>
      </x:c>
    </x:row>
    <x:row r="78">
      <x:c r="A78" s="34" t="str">
        <x:v>article1-unified-v4-2-fb3f101b-20260903-000401-default-f02-p2-cache2k</x:v>
      </x:c>
      <x:c r="B78" s="34" t="str">
        <x:v>default</x:v>
      </x:c>
      <x:c r="C78" s="34" t="str">
        <x:v>cache2k</x:v>
      </x:c>
      <x:c r="D78" s="36" t="n">
        <x:v>2</x:v>
      </x:c>
      <x:c r="E78" s="36" t="n">
        <x:v>2</x:v>
      </x:c>
      <x:c r="F78" s="36" t="n">
        <x:v>2</x:v>
      </x:c>
      <x:c r="G78" s="36" t="n">
        <x:v>4</x:v>
      </x:c>
      <x:c r="H78" s="34" t="str">
        <x:v>initial</x:v>
      </x:c>
      <x:c r="I78" s="34" t="str">
        <x:v>cache-semantics</x:v>
      </x:c>
      <x:c r="J78" s="45" t="b">
        <x:v>1</x:v>
      </x:c>
      <x:c r="K78" s="45" t="b">
        <x:v>1</x:v>
      </x:c>
      <x:c r="L78" s="45" t="b">
        <x:v>1</x:v>
      </x:c>
      <x:c r="M78" s="43" t="n">
        <x:v>400000</x:v>
      </x:c>
      <x:c r="N78" s="43" t="n">
        <x:v>138785280</x:v>
      </x:c>
      <x:c r="O78" s="43" t="n">
        <x:v>27738289.14454708</x:v>
      </x:c>
      <x:c r="P78" s="45" t="b">
        <x:v>1</x:v>
      </x:c>
      <x:c r="Q78" s="45" t="b">
        <x:v>1</x:v>
      </x:c>
      <x:c r="R78" s="45" t="b">
        <x:v>1</x:v>
      </x:c>
      <x:c r="S78" s="43" t="n">
        <x:v>5000000000</x:v>
      </x:c>
      <x:c r="T78" s="43" t="n">
        <x:v>5003382843</x:v>
      </x:c>
      <x:c r="U78" s="45" t="b">
        <x:v>1</x:v>
      </x:c>
      <x:c r="V78" s="34" t="str">
        <x:v>uniform</x:v>
      </x:c>
      <x:c r="W78" s="42" t="n">
        <x:v>95</x:v>
      </x:c>
      <x:c r="X78" s="48" t="n">
        <x:v>0.95</x:v>
      </x:c>
      <x:c r="Y78" s="48" t="n">
        <x:v>0.9482877002517847</x:v>
      </x:c>
      <x:c r="Z78" s="45" t="b">
        <x:v>1</x:v>
      </x:c>
      <x:c r="AA78" s="43" t="n">
        <x:v>10000</x:v>
      </x:c>
      <x:c r="AB78" s="43" t="n">
        <x:v>9900</x:v>
      </x:c>
      <x:c r="AC78" s="43" t="n">
        <x:v>9979</x:v>
      </x:c>
      <x:c r="AD78" s="45" t="b">
        <x:v>1</x:v>
      </x:c>
      <x:c r="AE78" s="43" t="n">
        <x:v>9900</x:v>
      </x:c>
      <x:c r="AF78" s="43"/>
      <x:c r="AG78" s="43" t="n">
        <x:v>9995</x:v>
      </x:c>
      <x:c r="AH78" s="45" t="b">
        <x:v>1</x:v>
      </x:c>
      <x:c r="AI78" s="45" t="b">
        <x:v>1</x:v>
      </x:c>
      <x:c r="AJ78" s="49"/>
      <x:c r="AK78" s="48" t="n">
        <x:v>0.9482877002517847</x:v>
      </x:c>
      <x:c r="AL78" s="49"/>
      <x:c r="AM78" s="49"/>
      <x:c r="AN78" s="36" t="n">
        <x:v>1</x:v>
      </x:c>
      <x:c r="AO78" s="45" t="b">
        <x:v>1</x:v>
      </x:c>
      <x:c r="AP78" s="45" t="b">
        <x:v>1</x:v>
      </x:c>
      <x:c r="AQ78" s="46" t="n">
        <x:f>IF(T78="","",T78/'Readme-Protocol'!$B$24)</x:f>
        <x:v>5.003382843</x:v>
      </x:c>
      <x:c r="AR78" s="46" t="n">
        <x:f>IF(OR(S78="",S78=0),"",T78/S78)</x:f>
        <x:v>1.0006765686</x:v>
      </x:c>
      <x:c r="AS78" s="46" t="n">
        <x:f>IF(OR(X78="",Y78=""),"",ABS(Y78-X78)*'Readme-Protocol'!$B$27)</x:f>
        <x:v>0.17122997482152957</x:v>
      </x:c>
      <x:c r="AT78" s="49" t="b">
        <x:f>AND(M78&gt;0,N78&gt;=0,O78&gt;0)</x:f>
        <x:v>1</x:v>
      </x:c>
      <x:c r="AU78" s="49" t="b">
        <x:f>AND(AT78,N78&gt;=M78)</x:f>
        <x:v>1</x:v>
      </x:c>
      <x:c r="AV78" s="49" t="b">
        <x:f>OR(S78=0,T78&gt;=S78)</x:f>
        <x:v>1</x:v>
      </x:c>
      <x:c r="AW78" s="49" t="b">
        <x:f>IF(I78="cache-semantics",OR(V78&lt;&gt;"uniform",ABS(Y78-W78/'Readme-Protocol'!$B$27)&lt;='Readme-Protocol'!$B$28),TRUE)</x:f>
        <x:v>1</x:v>
      </x:c>
      <x:c r="AX78" s="43" t="n">
        <x:f>IF(I78="cache-semantics",INT(AA78*'Readme-Protocol'!$B$32),"")</x:f>
        <x:v>9900</x:v>
      </x:c>
      <x:c r="AY78" s="49" t="b">
        <x:f>IF(I78="cache-semantics",AX78=AB78,TRUE)</x:f>
        <x:v>1</x:v>
      </x:c>
      <x:c r="AZ78" s="49" t="b">
        <x:f>IF(I78="cache-semantics",AX78=AE78,TRUE)</x:f>
        <x:v>1</x:v>
      </x:c>
      <x:c r="BA78" s="49" t="b">
        <x:f>IF(I78="cache-semantics",AC78&gt;=AX78,IF(I78="no-store-control",AC78=0,FALSE))</x:f>
        <x:v>1</x:v>
      </x:c>
      <x:c r="BB78" s="49" t="b">
        <x:f>IF(I78="cache-semantics",AG78&gt;=AX78,IF(I78="no-store-control",AG78=0,FALSE))</x:f>
        <x:v>1</x:v>
      </x:c>
      <x:c r="BC78" s="49" t="b">
        <x:f>AND(BA78,BB78)</x:f>
        <x:v>1</x:v>
      </x:c>
      <x:c r="BD78" s="49" t="b">
        <x:f>IF(I78="no-store-control",AND(AC78=0,AG78=0),TRUE)</x:f>
        <x:v>1</x:v>
      </x:c>
      <x:c r="BE78" s="49" t="b">
        <x:f>IF(I78="no-store-control",AK78=0,TRUE)</x:f>
        <x:v>1</x:v>
      </x:c>
      <x:c r="BF78" s="49" t="b">
        <x:f>IF(I78="cache-semantics",AN78=1,TRUE)</x:f>
        <x:v>1</x:v>
      </x:c>
      <x:c r="BG78" s="49" t="b">
        <x:f>IF(I78="cache-semantics",AND(AU78,AV78,Q78,AW78,BC78,BF78),IF(I78="no-store-control",AND(AU78,AV78,Q78,BD78,BE78),FALSE))</x:f>
        <x:v>1</x:v>
      </x:c>
      <x:c r="BH78" s="49" t="b">
        <x:f>AND(R78,AT78=P78,AU78=L78,AV78=U78,AY78,AZ78,IF(I78="cache-semantics",AND(AW78=Z78,AND(BA78=AD78,BB78=AH78,BC78=AI78),BF78=AO78),IF(I78="no-store-control",AND(AND(BA78=AD78,BB78=AH78,BC78=AI78),BD78=AJ78,BE78=AL78),FALSE)),BG78=AP78)</x:f>
        <x:v>1</x:v>
      </x:c>
      <x:c r="BI78" s="49" t="b">
        <x:f>AND(J78,K78,BG78)</x:f>
        <x:v>1</x:v>
      </x:c>
    </x:row>
    <x:row r="79">
      <x:c r="A79" s="34" t="str">
        <x:v>article1-unified-v4-2-fb3f101b-20260903-000401-default-f02-p2-cache2k</x:v>
      </x:c>
      <x:c r="B79" s="34" t="str">
        <x:v>default</x:v>
      </x:c>
      <x:c r="C79" s="34" t="str">
        <x:v>cache2k</x:v>
      </x:c>
      <x:c r="D79" s="36" t="n">
        <x:v>2</x:v>
      </x:c>
      <x:c r="E79" s="36" t="n">
        <x:v>2</x:v>
      </x:c>
      <x:c r="F79" s="36" t="n">
        <x:v>2</x:v>
      </x:c>
      <x:c r="G79" s="36" t="n">
        <x:v>4</x:v>
      </x:c>
      <x:c r="H79" s="34" t="str">
        <x:v>redeploy</x:v>
      </x:c>
      <x:c r="I79" s="34" t="str">
        <x:v>cache-semantics</x:v>
      </x:c>
      <x:c r="J79" s="45" t="b">
        <x:v>1</x:v>
      </x:c>
      <x:c r="K79" s="45" t="b">
        <x:v>1</x:v>
      </x:c>
      <x:c r="L79" s="45" t="b">
        <x:v>1</x:v>
      </x:c>
      <x:c r="M79" s="43" t="n">
        <x:v>400000</x:v>
      </x:c>
      <x:c r="N79" s="43" t="n">
        <x:v>152664320</x:v>
      </x:c>
      <x:c r="O79" s="43" t="n">
        <x:v>30515008.661436908</x:v>
      </x:c>
      <x:c r="P79" s="45" t="b">
        <x:v>1</x:v>
      </x:c>
      <x:c r="Q79" s="45" t="b">
        <x:v>1</x:v>
      </x:c>
      <x:c r="R79" s="45" t="b">
        <x:v>1</x:v>
      </x:c>
      <x:c r="S79" s="43" t="n">
        <x:v>5000000000</x:v>
      </x:c>
      <x:c r="T79" s="43" t="n">
        <x:v>5002925665</x:v>
      </x:c>
      <x:c r="U79" s="45" t="b">
        <x:v>1</x:v>
      </x:c>
      <x:c r="V79" s="34" t="str">
        <x:v>uniform</x:v>
      </x:c>
      <x:c r="W79" s="42" t="n">
        <x:v>95</x:v>
      </x:c>
      <x:c r="X79" s="48" t="n">
        <x:v>0.95</x:v>
      </x:c>
      <x:c r="Y79" s="48" t="n">
        <x:v>0.9482904453378498</x:v>
      </x:c>
      <x:c r="Z79" s="45" t="b">
        <x:v>1</x:v>
      </x:c>
      <x:c r="AA79" s="43" t="n">
        <x:v>10000</x:v>
      </x:c>
      <x:c r="AB79" s="43" t="n">
        <x:v>9900</x:v>
      </x:c>
      <x:c r="AC79" s="43" t="n">
        <x:v>9979</x:v>
      </x:c>
      <x:c r="AD79" s="45" t="b">
        <x:v>1</x:v>
      </x:c>
      <x:c r="AE79" s="43" t="n">
        <x:v>9900</x:v>
      </x:c>
      <x:c r="AF79" s="43"/>
      <x:c r="AG79" s="43" t="n">
        <x:v>9995</x:v>
      </x:c>
      <x:c r="AH79" s="45" t="b">
        <x:v>1</x:v>
      </x:c>
      <x:c r="AI79" s="45" t="b">
        <x:v>1</x:v>
      </x:c>
      <x:c r="AJ79" s="49"/>
      <x:c r="AK79" s="48" t="n">
        <x:v>0.9482904453378498</x:v>
      </x:c>
      <x:c r="AL79" s="49"/>
      <x:c r="AM79" s="49"/>
      <x:c r="AN79" s="36" t="n">
        <x:v>1</x:v>
      </x:c>
      <x:c r="AO79" s="45" t="b">
        <x:v>1</x:v>
      </x:c>
      <x:c r="AP79" s="45" t="b">
        <x:v>1</x:v>
      </x:c>
      <x:c r="AQ79" s="46" t="n">
        <x:f>IF(T79="","",T79/'Readme-Protocol'!$B$24)</x:f>
        <x:v>5.002925665</x:v>
      </x:c>
      <x:c r="AR79" s="46" t="n">
        <x:f>IF(OR(S79="",S79=0),"",T79/S79)</x:f>
        <x:v>1.000585133</x:v>
      </x:c>
      <x:c r="AS79" s="46" t="n">
        <x:f>IF(OR(X79="",Y79=""),"",ABS(Y79-X79)*'Readme-Protocol'!$B$27)</x:f>
        <x:v>0.170955466215017</x:v>
      </x:c>
      <x:c r="AT79" s="49" t="b">
        <x:f>AND(M79&gt;0,N79&gt;=0,O79&gt;0)</x:f>
        <x:v>1</x:v>
      </x:c>
      <x:c r="AU79" s="49" t="b">
        <x:f>AND(AT79,N79&gt;=M79)</x:f>
        <x:v>1</x:v>
      </x:c>
      <x:c r="AV79" s="49" t="b">
        <x:f>OR(S79=0,T79&gt;=S79)</x:f>
        <x:v>1</x:v>
      </x:c>
      <x:c r="AW79" s="49" t="b">
        <x:f>IF(I79="cache-semantics",OR(V79&lt;&gt;"uniform",ABS(Y79-W79/'Readme-Protocol'!$B$27)&lt;='Readme-Protocol'!$B$28),TRUE)</x:f>
        <x:v>1</x:v>
      </x:c>
      <x:c r="AX79" s="43" t="n">
        <x:f>IF(I79="cache-semantics",INT(AA79*'Readme-Protocol'!$B$32),"")</x:f>
        <x:v>9900</x:v>
      </x:c>
      <x:c r="AY79" s="49" t="b">
        <x:f>IF(I79="cache-semantics",AX79=AB79,TRUE)</x:f>
        <x:v>1</x:v>
      </x:c>
      <x:c r="AZ79" s="49" t="b">
        <x:f>IF(I79="cache-semantics",AX79=AE79,TRUE)</x:f>
        <x:v>1</x:v>
      </x:c>
      <x:c r="BA79" s="49" t="b">
        <x:f>IF(I79="cache-semantics",AC79&gt;=AX79,IF(I79="no-store-control",AC79=0,FALSE))</x:f>
        <x:v>1</x:v>
      </x:c>
      <x:c r="BB79" s="49" t="b">
        <x:f>IF(I79="cache-semantics",AG79&gt;=AX79,IF(I79="no-store-control",AG79=0,FALSE))</x:f>
        <x:v>1</x:v>
      </x:c>
      <x:c r="BC79" s="49" t="b">
        <x:f>AND(BA79,BB79)</x:f>
        <x:v>1</x:v>
      </x:c>
      <x:c r="BD79" s="49" t="b">
        <x:f>IF(I79="no-store-control",AND(AC79=0,AG79=0),TRUE)</x:f>
        <x:v>1</x:v>
      </x:c>
      <x:c r="BE79" s="49" t="b">
        <x:f>IF(I79="no-store-control",AK79=0,TRUE)</x:f>
        <x:v>1</x:v>
      </x:c>
      <x:c r="BF79" s="49" t="b">
        <x:f>IF(I79="cache-semantics",AN79=1,TRUE)</x:f>
        <x:v>1</x:v>
      </x:c>
      <x:c r="BG79" s="49" t="b">
        <x:f>IF(I79="cache-semantics",AND(AU79,AV79,Q79,AW79,BC79,BF79),IF(I79="no-store-control",AND(AU79,AV79,Q79,BD79,BE79),FALSE))</x:f>
        <x:v>1</x:v>
      </x:c>
      <x:c r="BH79" s="49" t="b">
        <x:f>AND(R79,AT79=P79,AU79=L79,AV79=U79,AY79,AZ79,IF(I79="cache-semantics",AND(AW79=Z79,AND(BA79=AD79,BB79=AH79,BC79=AI79),BF79=AO79),IF(I79="no-store-control",AND(AND(BA79=AD79,BB79=AH79,BC79=AI79),BD79=AJ79,BE79=AL79),FALSE)),BG79=AP79)</x:f>
        <x:v>1</x:v>
      </x:c>
      <x:c r="BI79" s="49" t="b">
        <x:f>AND(J79,K79,BG79)</x:f>
        <x:v>1</x:v>
      </x:c>
    </x:row>
    <x:row r="80">
      <x:c r="A80" s="34" t="str">
        <x:v>article1-unified-v4-2-fb3f101b-20260903-000401-default-f02-p2-cache2k</x:v>
      </x:c>
      <x:c r="B80" s="34" t="str">
        <x:v>default</x:v>
      </x:c>
      <x:c r="C80" s="34" t="str">
        <x:v>cache2k</x:v>
      </x:c>
      <x:c r="D80" s="36" t="n">
        <x:v>2</x:v>
      </x:c>
      <x:c r="E80" s="36" t="n">
        <x:v>2</x:v>
      </x:c>
      <x:c r="F80" s="36" t="n">
        <x:v>2</x:v>
      </x:c>
      <x:c r="G80" s="36" t="n">
        <x:v>5</x:v>
      </x:c>
      <x:c r="H80" s="34" t="str">
        <x:v>initial</x:v>
      </x:c>
      <x:c r="I80" s="34" t="str">
        <x:v>cache-semantics</x:v>
      </x:c>
      <x:c r="J80" s="45" t="b">
        <x:v>1</x:v>
      </x:c>
      <x:c r="K80" s="45" t="b">
        <x:v>1</x:v>
      </x:c>
      <x:c r="L80" s="45" t="b">
        <x:v>1</x:v>
      </x:c>
      <x:c r="M80" s="43" t="n">
        <x:v>400000</x:v>
      </x:c>
      <x:c r="N80" s="43" t="n">
        <x:v>144161536</x:v>
      </x:c>
      <x:c r="O80" s="43" t="n">
        <x:v>28818139.966083925</x:v>
      </x:c>
      <x:c r="P80" s="45" t="b">
        <x:v>1</x:v>
      </x:c>
      <x:c r="Q80" s="45" t="b">
        <x:v>1</x:v>
      </x:c>
      <x:c r="R80" s="45" t="b">
        <x:v>1</x:v>
      </x:c>
      <x:c r="S80" s="43" t="n">
        <x:v>5000000000</x:v>
      </x:c>
      <x:c r="T80" s="43" t="n">
        <x:v>5002458041</x:v>
      </x:c>
      <x:c r="U80" s="45" t="b">
        <x:v>1</x:v>
      </x:c>
      <x:c r="V80" s="34" t="str">
        <x:v>uniform</x:v>
      </x:c>
      <x:c r="W80" s="42" t="n">
        <x:v>95</x:v>
      </x:c>
      <x:c r="X80" s="48" t="n">
        <x:v>0.95</x:v>
      </x:c>
      <x:c r="Y80" s="48" t="n">
        <x:v>0.9479035378757341</x:v>
      </x:c>
      <x:c r="Z80" s="45" t="b">
        <x:v>1</x:v>
      </x:c>
      <x:c r="AA80" s="43" t="n">
        <x:v>10000</x:v>
      </x:c>
      <x:c r="AB80" s="43" t="n">
        <x:v>9900</x:v>
      </x:c>
      <x:c r="AC80" s="43" t="n">
        <x:v>9979</x:v>
      </x:c>
      <x:c r="AD80" s="45" t="b">
        <x:v>1</x:v>
      </x:c>
      <x:c r="AE80" s="43" t="n">
        <x:v>9900</x:v>
      </x:c>
      <x:c r="AF80" s="43"/>
      <x:c r="AG80" s="43" t="n">
        <x:v>9993</x:v>
      </x:c>
      <x:c r="AH80" s="45" t="b">
        <x:v>1</x:v>
      </x:c>
      <x:c r="AI80" s="45" t="b">
        <x:v>1</x:v>
      </x:c>
      <x:c r="AJ80" s="49"/>
      <x:c r="AK80" s="48" t="n">
        <x:v>0.9479035378757341</x:v>
      </x:c>
      <x:c r="AL80" s="49"/>
      <x:c r="AM80" s="49"/>
      <x:c r="AN80" s="36" t="n">
        <x:v>1</x:v>
      </x:c>
      <x:c r="AO80" s="45" t="b">
        <x:v>1</x:v>
      </x:c>
      <x:c r="AP80" s="45" t="b">
        <x:v>1</x:v>
      </x:c>
      <x:c r="AQ80" s="46" t="n">
        <x:f>IF(T80="","",T80/'Readme-Protocol'!$B$24)</x:f>
        <x:v>5.002458041</x:v>
      </x:c>
      <x:c r="AR80" s="46" t="n">
        <x:f>IF(OR(S80="",S80=0),"",T80/S80)</x:f>
        <x:v>1.0004916082</x:v>
      </x:c>
      <x:c r="AS80" s="46" t="n">
        <x:f>IF(OR(X80="",Y80=""),"",ABS(Y80-X80)*'Readme-Protocol'!$B$27)</x:f>
        <x:v>0.2096462124265841</x:v>
      </x:c>
      <x:c r="AT80" s="49" t="b">
        <x:f>AND(M80&gt;0,N80&gt;=0,O80&gt;0)</x:f>
        <x:v>1</x:v>
      </x:c>
      <x:c r="AU80" s="49" t="b">
        <x:f>AND(AT80,N80&gt;=M80)</x:f>
        <x:v>1</x:v>
      </x:c>
      <x:c r="AV80" s="49" t="b">
        <x:f>OR(S80=0,T80&gt;=S80)</x:f>
        <x:v>1</x:v>
      </x:c>
      <x:c r="AW80" s="49" t="b">
        <x:f>IF(I80="cache-semantics",OR(V80&lt;&gt;"uniform",ABS(Y80-W80/'Readme-Protocol'!$B$27)&lt;='Readme-Protocol'!$B$28),TRUE)</x:f>
        <x:v>1</x:v>
      </x:c>
      <x:c r="AX80" s="43" t="n">
        <x:f>IF(I80="cache-semantics",INT(AA80*'Readme-Protocol'!$B$32),"")</x:f>
        <x:v>9900</x:v>
      </x:c>
      <x:c r="AY80" s="49" t="b">
        <x:f>IF(I80="cache-semantics",AX80=AB80,TRUE)</x:f>
        <x:v>1</x:v>
      </x:c>
      <x:c r="AZ80" s="49" t="b">
        <x:f>IF(I80="cache-semantics",AX80=AE80,TRUE)</x:f>
        <x:v>1</x:v>
      </x:c>
      <x:c r="BA80" s="49" t="b">
        <x:f>IF(I80="cache-semantics",AC80&gt;=AX80,IF(I80="no-store-control",AC80=0,FALSE))</x:f>
        <x:v>1</x:v>
      </x:c>
      <x:c r="BB80" s="49" t="b">
        <x:f>IF(I80="cache-semantics",AG80&gt;=AX80,IF(I80="no-store-control",AG80=0,FALSE))</x:f>
        <x:v>1</x:v>
      </x:c>
      <x:c r="BC80" s="49" t="b">
        <x:f>AND(BA80,BB80)</x:f>
        <x:v>1</x:v>
      </x:c>
      <x:c r="BD80" s="49" t="b">
        <x:f>IF(I80="no-store-control",AND(AC80=0,AG80=0),TRUE)</x:f>
        <x:v>1</x:v>
      </x:c>
      <x:c r="BE80" s="49" t="b">
        <x:f>IF(I80="no-store-control",AK80=0,TRUE)</x:f>
        <x:v>1</x:v>
      </x:c>
      <x:c r="BF80" s="49" t="b">
        <x:f>IF(I80="cache-semantics",AN80=1,TRUE)</x:f>
        <x:v>1</x:v>
      </x:c>
      <x:c r="BG80" s="49" t="b">
        <x:f>IF(I80="cache-semantics",AND(AU80,AV80,Q80,AW80,BC80,BF80),IF(I80="no-store-control",AND(AU80,AV80,Q80,BD80,BE80),FALSE))</x:f>
        <x:v>1</x:v>
      </x:c>
      <x:c r="BH80" s="49" t="b">
        <x:f>AND(R80,AT80=P80,AU80=L80,AV80=U80,AY80,AZ80,IF(I80="cache-semantics",AND(AW80=Z80,AND(BA80=AD80,BB80=AH80,BC80=AI80),BF80=AO80),IF(I80="no-store-control",AND(AND(BA80=AD80,BB80=AH80,BC80=AI80),BD80=AJ80,BE80=AL80),FALSE)),BG80=AP80)</x:f>
        <x:v>1</x:v>
      </x:c>
      <x:c r="BI80" s="49" t="b">
        <x:f>AND(J80,K80,BG80)</x:f>
        <x:v>1</x:v>
      </x:c>
    </x:row>
    <x:row r="81">
      <x:c r="A81" s="34" t="str">
        <x:v>article1-unified-v4-2-fb3f101b-20260903-000401-default-f02-p2-cache2k</x:v>
      </x:c>
      <x:c r="B81" s="34" t="str">
        <x:v>default</x:v>
      </x:c>
      <x:c r="C81" s="34" t="str">
        <x:v>cache2k</x:v>
      </x:c>
      <x:c r="D81" s="36" t="n">
        <x:v>2</x:v>
      </x:c>
      <x:c r="E81" s="36" t="n">
        <x:v>2</x:v>
      </x:c>
      <x:c r="F81" s="36" t="n">
        <x:v>2</x:v>
      </x:c>
      <x:c r="G81" s="36" t="n">
        <x:v>5</x:v>
      </x:c>
      <x:c r="H81" s="34" t="str">
        <x:v>redeploy</x:v>
      </x:c>
      <x:c r="I81" s="34" t="str">
        <x:v>cache-semantics</x:v>
      </x:c>
      <x:c r="J81" s="45" t="b">
        <x:v>1</x:v>
      </x:c>
      <x:c r="K81" s="45" t="b">
        <x:v>1</x:v>
      </x:c>
      <x:c r="L81" s="45" t="b">
        <x:v>1</x:v>
      </x:c>
      <x:c r="M81" s="43" t="n">
        <x:v>400000</x:v>
      </x:c>
      <x:c r="N81" s="43" t="n">
        <x:v>153661184</x:v>
      </x:c>
      <x:c r="O81" s="43" t="n">
        <x:v>30708219.226162396</x:v>
      </x:c>
      <x:c r="P81" s="45" t="b">
        <x:v>1</x:v>
      </x:c>
      <x:c r="Q81" s="45" t="b">
        <x:v>1</x:v>
      </x:c>
      <x:c r="R81" s="45" t="b">
        <x:v>1</x:v>
      </x:c>
      <x:c r="S81" s="43" t="n">
        <x:v>5000000000</x:v>
      </x:c>
      <x:c r="T81" s="43" t="n">
        <x:v>5003910610</x:v>
      </x:c>
      <x:c r="U81" s="45" t="b">
        <x:v>1</x:v>
      </x:c>
      <x:c r="V81" s="34" t="str">
        <x:v>uniform</x:v>
      </x:c>
      <x:c r="W81" s="42" t="n">
        <x:v>95</x:v>
      </x:c>
      <x:c r="X81" s="48" t="n">
        <x:v>0.95</x:v>
      </x:c>
      <x:c r="Y81" s="48" t="n">
        <x:v>0.9478920714290474</x:v>
      </x:c>
      <x:c r="Z81" s="45" t="b">
        <x:v>1</x:v>
      </x:c>
      <x:c r="AA81" s="43" t="n">
        <x:v>10000</x:v>
      </x:c>
      <x:c r="AB81" s="43" t="n">
        <x:v>9900</x:v>
      </x:c>
      <x:c r="AC81" s="43" t="n">
        <x:v>9979</x:v>
      </x:c>
      <x:c r="AD81" s="45" t="b">
        <x:v>1</x:v>
      </x:c>
      <x:c r="AE81" s="43" t="n">
        <x:v>9900</x:v>
      </x:c>
      <x:c r="AF81" s="43"/>
      <x:c r="AG81" s="43" t="n">
        <x:v>9992</x:v>
      </x:c>
      <x:c r="AH81" s="45" t="b">
        <x:v>1</x:v>
      </x:c>
      <x:c r="AI81" s="45" t="b">
        <x:v>1</x:v>
      </x:c>
      <x:c r="AJ81" s="49"/>
      <x:c r="AK81" s="48" t="n">
        <x:v>0.9478920714290474</x:v>
      </x:c>
      <x:c r="AL81" s="49"/>
      <x:c r="AM81" s="49"/>
      <x:c r="AN81" s="36" t="n">
        <x:v>1</x:v>
      </x:c>
      <x:c r="AO81" s="45" t="b">
        <x:v>1</x:v>
      </x:c>
      <x:c r="AP81" s="45" t="b">
        <x:v>1</x:v>
      </x:c>
      <x:c r="AQ81" s="46" t="n">
        <x:f>IF(T81="","",T81/'Readme-Protocol'!$B$24)</x:f>
        <x:v>5.00391061</x:v>
      </x:c>
      <x:c r="AR81" s="46" t="n">
        <x:f>IF(OR(S81="",S81=0),"",T81/S81)</x:f>
        <x:v>1.000782122</x:v>
      </x:c>
      <x:c r="AS81" s="46" t="n">
        <x:f>IF(OR(X81="",Y81=""),"",ABS(Y81-X81)*'Readme-Protocol'!$B$27)</x:f>
        <x:v>0.21079285709525442</x:v>
      </x:c>
      <x:c r="AT81" s="49" t="b">
        <x:f>AND(M81&gt;0,N81&gt;=0,O81&gt;0)</x:f>
        <x:v>1</x:v>
      </x:c>
      <x:c r="AU81" s="49" t="b">
        <x:f>AND(AT81,N81&gt;=M81)</x:f>
        <x:v>1</x:v>
      </x:c>
      <x:c r="AV81" s="49" t="b">
        <x:f>OR(S81=0,T81&gt;=S81)</x:f>
        <x:v>1</x:v>
      </x:c>
      <x:c r="AW81" s="49" t="b">
        <x:f>IF(I81="cache-semantics",OR(V81&lt;&gt;"uniform",ABS(Y81-W81/'Readme-Protocol'!$B$27)&lt;='Readme-Protocol'!$B$28),TRUE)</x:f>
        <x:v>1</x:v>
      </x:c>
      <x:c r="AX81" s="43" t="n">
        <x:f>IF(I81="cache-semantics",INT(AA81*'Readme-Protocol'!$B$32),"")</x:f>
        <x:v>9900</x:v>
      </x:c>
      <x:c r="AY81" s="49" t="b">
        <x:f>IF(I81="cache-semantics",AX81=AB81,TRUE)</x:f>
        <x:v>1</x:v>
      </x:c>
      <x:c r="AZ81" s="49" t="b">
        <x:f>IF(I81="cache-semantics",AX81=AE81,TRUE)</x:f>
        <x:v>1</x:v>
      </x:c>
      <x:c r="BA81" s="49" t="b">
        <x:f>IF(I81="cache-semantics",AC81&gt;=AX81,IF(I81="no-store-control",AC81=0,FALSE))</x:f>
        <x:v>1</x:v>
      </x:c>
      <x:c r="BB81" s="49" t="b">
        <x:f>IF(I81="cache-semantics",AG81&gt;=AX81,IF(I81="no-store-control",AG81=0,FALSE))</x:f>
        <x:v>1</x:v>
      </x:c>
      <x:c r="BC81" s="49" t="b">
        <x:f>AND(BA81,BB81)</x:f>
        <x:v>1</x:v>
      </x:c>
      <x:c r="BD81" s="49" t="b">
        <x:f>IF(I81="no-store-control",AND(AC81=0,AG81=0),TRUE)</x:f>
        <x:v>1</x:v>
      </x:c>
      <x:c r="BE81" s="49" t="b">
        <x:f>IF(I81="no-store-control",AK81=0,TRUE)</x:f>
        <x:v>1</x:v>
      </x:c>
      <x:c r="BF81" s="49" t="b">
        <x:f>IF(I81="cache-semantics",AN81=1,TRUE)</x:f>
        <x:v>1</x:v>
      </x:c>
      <x:c r="BG81" s="49" t="b">
        <x:f>IF(I81="cache-semantics",AND(AU81,AV81,Q81,AW81,BC81,BF81),IF(I81="no-store-control",AND(AU81,AV81,Q81,BD81,BE81),FALSE))</x:f>
        <x:v>1</x:v>
      </x:c>
      <x:c r="BH81" s="49" t="b">
        <x:f>AND(R81,AT81=P81,AU81=L81,AV81=U81,AY81,AZ81,IF(I81="cache-semantics",AND(AW81=Z81,AND(BA81=AD81,BB81=AH81,BC81=AI81),BF81=AO81),IF(I81="no-store-control",AND(AND(BA81=AD81,BB81=AH81,BC81=AI81),BD81=AJ81,BE81=AL81),FALSE)),BG81=AP81)</x:f>
        <x:v>1</x:v>
      </x:c>
      <x:c r="BI81" s="49" t="b">
        <x:f>AND(J81,K81,BG81)</x:f>
        <x:v>1</x:v>
      </x:c>
    </x:row>
    <x:row r="82">
      <x:c r="A82" s="34" t="str">
        <x:v>article1-unified-v4-2-fb3f101b-20260903-000401-default-f02-p3-caffeine</x:v>
      </x:c>
      <x:c r="B82" s="34" t="str">
        <x:v>default</x:v>
      </x:c>
      <x:c r="C82" s="34" t="str">
        <x:v>caffeine</x:v>
      </x:c>
      <x:c r="D82" s="36" t="n">
        <x:v>2</x:v>
      </x:c>
      <x:c r="E82" s="36" t="n">
        <x:v>2</x:v>
      </x:c>
      <x:c r="F82" s="36" t="n">
        <x:v>3</x:v>
      </x:c>
      <x:c r="G82" s="36" t="n">
        <x:v>1</x:v>
      </x:c>
      <x:c r="H82" s="34" t="str">
        <x:v>initial</x:v>
      </x:c>
      <x:c r="I82" s="34" t="str">
        <x:v>cache-semantics</x:v>
      </x:c>
      <x:c r="J82" s="45" t="b">
        <x:v>1</x:v>
      </x:c>
      <x:c r="K82" s="45" t="b">
        <x:v>1</x:v>
      </x:c>
      <x:c r="L82" s="45" t="b">
        <x:v>1</x:v>
      </x:c>
      <x:c r="M82" s="43" t="n">
        <x:v>400000</x:v>
      </x:c>
      <x:c r="N82" s="43" t="n">
        <x:v>135561728</x:v>
      </x:c>
      <x:c r="O82" s="43" t="n">
        <x:v>26798814.00644159</x:v>
      </x:c>
      <x:c r="P82" s="45" t="b">
        <x:v>1</x:v>
      </x:c>
      <x:c r="Q82" s="45" t="b">
        <x:v>1</x:v>
      </x:c>
      <x:c r="R82" s="45" t="b">
        <x:v>1</x:v>
      </x:c>
      <x:c r="S82" s="43" t="n">
        <x:v>5000000000</x:v>
      </x:c>
      <x:c r="T82" s="43" t="n">
        <x:v>5058497289</x:v>
      </x:c>
      <x:c r="U82" s="45" t="b">
        <x:v>1</x:v>
      </x:c>
      <x:c r="V82" s="34" t="str">
        <x:v>uniform</x:v>
      </x:c>
      <x:c r="W82" s="42" t="n">
        <x:v>95</x:v>
      </x:c>
      <x:c r="X82" s="48" t="n">
        <x:v>0.95</x:v>
      </x:c>
      <x:c r="Y82" s="48" t="n">
        <x:v>0.9498540325481835</x:v>
      </x:c>
      <x:c r="Z82" s="45" t="b">
        <x:v>1</x:v>
      </x:c>
      <x:c r="AA82" s="43" t="n">
        <x:v>10000</x:v>
      </x:c>
      <x:c r="AB82" s="43" t="n">
        <x:v>9900</x:v>
      </x:c>
      <x:c r="AC82" s="43" t="n">
        <x:v>10000</x:v>
      </x:c>
      <x:c r="AD82" s="45" t="b">
        <x:v>1</x:v>
      </x:c>
      <x:c r="AE82" s="43" t="n">
        <x:v>9900</x:v>
      </x:c>
      <x:c r="AF82" s="43"/>
      <x:c r="AG82" s="43" t="n">
        <x:v>10000</x:v>
      </x:c>
      <x:c r="AH82" s="45" t="b">
        <x:v>1</x:v>
      </x:c>
      <x:c r="AI82" s="45" t="b">
        <x:v>1</x:v>
      </x:c>
      <x:c r="AJ82" s="49"/>
      <x:c r="AK82" s="48" t="n">
        <x:v>0.9498540325481835</x:v>
      </x:c>
      <x:c r="AL82" s="49"/>
      <x:c r="AM82" s="49"/>
      <x:c r="AN82" s="36" t="n">
        <x:v>1</x:v>
      </x:c>
      <x:c r="AO82" s="45" t="b">
        <x:v>1</x:v>
      </x:c>
      <x:c r="AP82" s="45" t="b">
        <x:v>1</x:v>
      </x:c>
      <x:c r="AQ82" s="46" t="n">
        <x:f>IF(T82="","",T82/'Readme-Protocol'!$B$24)</x:f>
        <x:v>5.058497289</x:v>
      </x:c>
      <x:c r="AR82" s="46" t="n">
        <x:f>IF(OR(S82="",S82=0),"",T82/S82)</x:f>
        <x:v>1.0116994578</x:v>
      </x:c>
      <x:c r="AS82" s="46" t="n">
        <x:f>IF(OR(X82="",Y82=""),"",ABS(Y82-X82)*'Readme-Protocol'!$B$27)</x:f>
        <x:v>0.014596745181649773</x:v>
      </x:c>
      <x:c r="AT82" s="49" t="b">
        <x:f>AND(M82&gt;0,N82&gt;=0,O82&gt;0)</x:f>
        <x:v>1</x:v>
      </x:c>
      <x:c r="AU82" s="49" t="b">
        <x:f>AND(AT82,N82&gt;=M82)</x:f>
        <x:v>1</x:v>
      </x:c>
      <x:c r="AV82" s="49" t="b">
        <x:f>OR(S82=0,T82&gt;=S82)</x:f>
        <x:v>1</x:v>
      </x:c>
      <x:c r="AW82" s="49" t="b">
        <x:f>IF(I82="cache-semantics",OR(V82&lt;&gt;"uniform",ABS(Y82-W82/'Readme-Protocol'!$B$27)&lt;='Readme-Protocol'!$B$28),TRUE)</x:f>
        <x:v>1</x:v>
      </x:c>
      <x:c r="AX82" s="43" t="n">
        <x:f>IF(I82="cache-semantics",INT(AA82*'Readme-Protocol'!$B$32),"")</x:f>
        <x:v>9900</x:v>
      </x:c>
      <x:c r="AY82" s="49" t="b">
        <x:f>IF(I82="cache-semantics",AX82=AB82,TRUE)</x:f>
        <x:v>1</x:v>
      </x:c>
      <x:c r="AZ82" s="49" t="b">
        <x:f>IF(I82="cache-semantics",AX82=AE82,TRUE)</x:f>
        <x:v>1</x:v>
      </x:c>
      <x:c r="BA82" s="49" t="b">
        <x:f>IF(I82="cache-semantics",AC82&gt;=AX82,IF(I82="no-store-control",AC82=0,FALSE))</x:f>
        <x:v>1</x:v>
      </x:c>
      <x:c r="BB82" s="49" t="b">
        <x:f>IF(I82="cache-semantics",AG82&gt;=AX82,IF(I82="no-store-control",AG82=0,FALSE))</x:f>
        <x:v>1</x:v>
      </x:c>
      <x:c r="BC82" s="49" t="b">
        <x:f>AND(BA82,BB82)</x:f>
        <x:v>1</x:v>
      </x:c>
      <x:c r="BD82" s="49" t="b">
        <x:f>IF(I82="no-store-control",AND(AC82=0,AG82=0),TRUE)</x:f>
        <x:v>1</x:v>
      </x:c>
      <x:c r="BE82" s="49" t="b">
        <x:f>IF(I82="no-store-control",AK82=0,TRUE)</x:f>
        <x:v>1</x:v>
      </x:c>
      <x:c r="BF82" s="49" t="b">
        <x:f>IF(I82="cache-semantics",AN82=1,TRUE)</x:f>
        <x:v>1</x:v>
      </x:c>
      <x:c r="BG82" s="49" t="b">
        <x:f>IF(I82="cache-semantics",AND(AU82,AV82,Q82,AW82,BC82,BF82),IF(I82="no-store-control",AND(AU82,AV82,Q82,BD82,BE82),FALSE))</x:f>
        <x:v>1</x:v>
      </x:c>
      <x:c r="BH82" s="49" t="b">
        <x:f>AND(R82,AT82=P82,AU82=L82,AV82=U82,AY82,AZ82,IF(I82="cache-semantics",AND(AW82=Z82,AND(BA82=AD82,BB82=AH82,BC82=AI82),BF82=AO82),IF(I82="no-store-control",AND(AND(BA82=AD82,BB82=AH82,BC82=AI82),BD82=AJ82,BE82=AL82),FALSE)),BG82=AP82)</x:f>
        <x:v>1</x:v>
      </x:c>
      <x:c r="BI82" s="49" t="b">
        <x:f>AND(J82,K82,BG82)</x:f>
        <x:v>1</x:v>
      </x:c>
    </x:row>
    <x:row r="83">
      <x:c r="A83" s="34" t="str">
        <x:v>article1-unified-v4-2-fb3f101b-20260903-000401-default-f02-p3-caffeine</x:v>
      </x:c>
      <x:c r="B83" s="34" t="str">
        <x:v>default</x:v>
      </x:c>
      <x:c r="C83" s="34" t="str">
        <x:v>caffeine</x:v>
      </x:c>
      <x:c r="D83" s="36" t="n">
        <x:v>2</x:v>
      </x:c>
      <x:c r="E83" s="36" t="n">
        <x:v>2</x:v>
      </x:c>
      <x:c r="F83" s="36" t="n">
        <x:v>3</x:v>
      </x:c>
      <x:c r="G83" s="36" t="n">
        <x:v>1</x:v>
      </x:c>
      <x:c r="H83" s="34" t="str">
        <x:v>redeploy</x:v>
      </x:c>
      <x:c r="I83" s="34" t="str">
        <x:v>cache-semantics</x:v>
      </x:c>
      <x:c r="J83" s="45" t="b">
        <x:v>1</x:v>
      </x:c>
      <x:c r="K83" s="45" t="b">
        <x:v>1</x:v>
      </x:c>
      <x:c r="L83" s="45" t="b">
        <x:v>1</x:v>
      </x:c>
      <x:c r="M83" s="43" t="n">
        <x:v>400000</x:v>
      </x:c>
      <x:c r="N83" s="43" t="n">
        <x:v>119919360</x:v>
      </x:c>
      <x:c r="O83" s="43" t="n">
        <x:v>23975526.77126525</x:v>
      </x:c>
      <x:c r="P83" s="45" t="b">
        <x:v>1</x:v>
      </x:c>
      <x:c r="Q83" s="45" t="b">
        <x:v>1</x:v>
      </x:c>
      <x:c r="R83" s="45" t="b">
        <x:v>1</x:v>
      </x:c>
      <x:c r="S83" s="43" t="n">
        <x:v>5000000000</x:v>
      </x:c>
      <x:c r="T83" s="43" t="n">
        <x:v>5001740364</x:v>
      </x:c>
      <x:c r="U83" s="45" t="b">
        <x:v>1</x:v>
      </x:c>
      <x:c r="V83" s="34" t="str">
        <x:v>uniform</x:v>
      </x:c>
      <x:c r="W83" s="42" t="n">
        <x:v>95</x:v>
      </x:c>
      <x:c r="X83" s="48" t="n">
        <x:v>0.95</x:v>
      </x:c>
      <x:c r="Y83" s="48" t="n">
        <x:v>0.949817002025361</x:v>
      </x:c>
      <x:c r="Z83" s="45" t="b">
        <x:v>1</x:v>
      </x:c>
      <x:c r="AA83" s="43" t="n">
        <x:v>10000</x:v>
      </x:c>
      <x:c r="AB83" s="43" t="n">
        <x:v>9900</x:v>
      </x:c>
      <x:c r="AC83" s="43" t="n">
        <x:v>10000</x:v>
      </x:c>
      <x:c r="AD83" s="45" t="b">
        <x:v>1</x:v>
      </x:c>
      <x:c r="AE83" s="43" t="n">
        <x:v>9900</x:v>
      </x:c>
      <x:c r="AF83" s="43"/>
      <x:c r="AG83" s="43" t="n">
        <x:v>10000</x:v>
      </x:c>
      <x:c r="AH83" s="45" t="b">
        <x:v>1</x:v>
      </x:c>
      <x:c r="AI83" s="45" t="b">
        <x:v>1</x:v>
      </x:c>
      <x:c r="AJ83" s="49"/>
      <x:c r="AK83" s="48" t="n">
        <x:v>0.949817002025361</x:v>
      </x:c>
      <x:c r="AL83" s="49"/>
      <x:c r="AM83" s="49"/>
      <x:c r="AN83" s="36" t="n">
        <x:v>1</x:v>
      </x:c>
      <x:c r="AO83" s="45" t="b">
        <x:v>1</x:v>
      </x:c>
      <x:c r="AP83" s="45" t="b">
        <x:v>1</x:v>
      </x:c>
      <x:c r="AQ83" s="46" t="n">
        <x:f>IF(T83="","",T83/'Readme-Protocol'!$B$24)</x:f>
        <x:v>5.001740364</x:v>
      </x:c>
      <x:c r="AR83" s="46" t="n">
        <x:f>IF(OR(S83="",S83=0),"",T83/S83)</x:f>
        <x:v>1.0003480728</x:v>
      </x:c>
      <x:c r="AS83" s="46" t="n">
        <x:f>IF(OR(X83="",Y83=""),"",ABS(Y83-X83)*'Readme-Protocol'!$B$27)</x:f>
        <x:v>0.01829979746389432</x:v>
      </x:c>
      <x:c r="AT83" s="49" t="b">
        <x:f>AND(M83&gt;0,N83&gt;=0,O83&gt;0)</x:f>
        <x:v>1</x:v>
      </x:c>
      <x:c r="AU83" s="49" t="b">
        <x:f>AND(AT83,N83&gt;=M83)</x:f>
        <x:v>1</x:v>
      </x:c>
      <x:c r="AV83" s="49" t="b">
        <x:f>OR(S83=0,T83&gt;=S83)</x:f>
        <x:v>1</x:v>
      </x:c>
      <x:c r="AW83" s="49" t="b">
        <x:f>IF(I83="cache-semantics",OR(V83&lt;&gt;"uniform",ABS(Y83-W83/'Readme-Protocol'!$B$27)&lt;='Readme-Protocol'!$B$28),TRUE)</x:f>
        <x:v>1</x:v>
      </x:c>
      <x:c r="AX83" s="43" t="n">
        <x:f>IF(I83="cache-semantics",INT(AA83*'Readme-Protocol'!$B$32),"")</x:f>
        <x:v>9900</x:v>
      </x:c>
      <x:c r="AY83" s="49" t="b">
        <x:f>IF(I83="cache-semantics",AX83=AB83,TRUE)</x:f>
        <x:v>1</x:v>
      </x:c>
      <x:c r="AZ83" s="49" t="b">
        <x:f>IF(I83="cache-semantics",AX83=AE83,TRUE)</x:f>
        <x:v>1</x:v>
      </x:c>
      <x:c r="BA83" s="49" t="b">
        <x:f>IF(I83="cache-semantics",AC83&gt;=AX83,IF(I83="no-store-control",AC83=0,FALSE))</x:f>
        <x:v>1</x:v>
      </x:c>
      <x:c r="BB83" s="49" t="b">
        <x:f>IF(I83="cache-semantics",AG83&gt;=AX83,IF(I83="no-store-control",AG83=0,FALSE))</x:f>
        <x:v>1</x:v>
      </x:c>
      <x:c r="BC83" s="49" t="b">
        <x:f>AND(BA83,BB83)</x:f>
        <x:v>1</x:v>
      </x:c>
      <x:c r="BD83" s="49" t="b">
        <x:f>IF(I83="no-store-control",AND(AC83=0,AG83=0),TRUE)</x:f>
        <x:v>1</x:v>
      </x:c>
      <x:c r="BE83" s="49" t="b">
        <x:f>IF(I83="no-store-control",AK83=0,TRUE)</x:f>
        <x:v>1</x:v>
      </x:c>
      <x:c r="BF83" s="49" t="b">
        <x:f>IF(I83="cache-semantics",AN83=1,TRUE)</x:f>
        <x:v>1</x:v>
      </x:c>
      <x:c r="BG83" s="49" t="b">
        <x:f>IF(I83="cache-semantics",AND(AU83,AV83,Q83,AW83,BC83,BF83),IF(I83="no-store-control",AND(AU83,AV83,Q83,BD83,BE83),FALSE))</x:f>
        <x:v>1</x:v>
      </x:c>
      <x:c r="BH83" s="49" t="b">
        <x:f>AND(R83,AT83=P83,AU83=L83,AV83=U83,AY83,AZ83,IF(I83="cache-semantics",AND(AW83=Z83,AND(BA83=AD83,BB83=AH83,BC83=AI83),BF83=AO83),IF(I83="no-store-control",AND(AND(BA83=AD83,BB83=AH83,BC83=AI83),BD83=AJ83,BE83=AL83),FALSE)),BG83=AP83)</x:f>
        <x:v>1</x:v>
      </x:c>
      <x:c r="BI83" s="49" t="b">
        <x:f>AND(J83,K83,BG83)</x:f>
        <x:v>1</x:v>
      </x:c>
    </x:row>
    <x:row r="84">
      <x:c r="A84" s="34" t="str">
        <x:v>article1-unified-v4-2-fb3f101b-20260903-000401-default-f02-p3-caffeine</x:v>
      </x:c>
      <x:c r="B84" s="34" t="str">
        <x:v>default</x:v>
      </x:c>
      <x:c r="C84" s="34" t="str">
        <x:v>caffeine</x:v>
      </x:c>
      <x:c r="D84" s="36" t="n">
        <x:v>2</x:v>
      </x:c>
      <x:c r="E84" s="36" t="n">
        <x:v>2</x:v>
      </x:c>
      <x:c r="F84" s="36" t="n">
        <x:v>3</x:v>
      </x:c>
      <x:c r="G84" s="36" t="n">
        <x:v>2</x:v>
      </x:c>
      <x:c r="H84" s="34" t="str">
        <x:v>initial</x:v>
      </x:c>
      <x:c r="I84" s="34" t="str">
        <x:v>cache-semantics</x:v>
      </x:c>
      <x:c r="J84" s="45" t="b">
        <x:v>1</x:v>
      </x:c>
      <x:c r="K84" s="45" t="b">
        <x:v>1</x:v>
      </x:c>
      <x:c r="L84" s="45" t="b">
        <x:v>1</x:v>
      </x:c>
      <x:c r="M84" s="43" t="n">
        <x:v>400000</x:v>
      </x:c>
      <x:c r="N84" s="43" t="n">
        <x:v>118754304</x:v>
      </x:c>
      <x:c r="O84" s="43" t="n">
        <x:v>23741247.973443802</x:v>
      </x:c>
      <x:c r="P84" s="45" t="b">
        <x:v>1</x:v>
      </x:c>
      <x:c r="Q84" s="45" t="b">
        <x:v>1</x:v>
      </x:c>
      <x:c r="R84" s="45" t="b">
        <x:v>1</x:v>
      </x:c>
      <x:c r="S84" s="43" t="n">
        <x:v>5000000000</x:v>
      </x:c>
      <x:c r="T84" s="43" t="n">
        <x:v>5002024499</x:v>
      </x:c>
      <x:c r="U84" s="45" t="b">
        <x:v>1</x:v>
      </x:c>
      <x:c r="V84" s="34" t="str">
        <x:v>uniform</x:v>
      </x:c>
      <x:c r="W84" s="42" t="n">
        <x:v>95</x:v>
      </x:c>
      <x:c r="X84" s="48" t="n">
        <x:v>0.95</x:v>
      </x:c>
      <x:c r="Y84" s="48" t="n">
        <x:v>0.9492515993357176</x:v>
      </x:c>
      <x:c r="Z84" s="45" t="b">
        <x:v>1</x:v>
      </x:c>
      <x:c r="AA84" s="43" t="n">
        <x:v>10000</x:v>
      </x:c>
      <x:c r="AB84" s="43" t="n">
        <x:v>9900</x:v>
      </x:c>
      <x:c r="AC84" s="43" t="n">
        <x:v>10000</x:v>
      </x:c>
      <x:c r="AD84" s="45" t="b">
        <x:v>1</x:v>
      </x:c>
      <x:c r="AE84" s="43" t="n">
        <x:v>9900</x:v>
      </x:c>
      <x:c r="AF84" s="43"/>
      <x:c r="AG84" s="43" t="n">
        <x:v>10000</x:v>
      </x:c>
      <x:c r="AH84" s="45" t="b">
        <x:v>1</x:v>
      </x:c>
      <x:c r="AI84" s="45" t="b">
        <x:v>1</x:v>
      </x:c>
      <x:c r="AJ84" s="49"/>
      <x:c r="AK84" s="48" t="n">
        <x:v>0.9492515993357176</x:v>
      </x:c>
      <x:c r="AL84" s="49"/>
      <x:c r="AM84" s="49"/>
      <x:c r="AN84" s="36" t="n">
        <x:v>1</x:v>
      </x:c>
      <x:c r="AO84" s="45" t="b">
        <x:v>1</x:v>
      </x:c>
      <x:c r="AP84" s="45" t="b">
        <x:v>1</x:v>
      </x:c>
      <x:c r="AQ84" s="46" t="n">
        <x:f>IF(T84="","",T84/'Readme-Protocol'!$B$24)</x:f>
        <x:v>5.002024499</x:v>
      </x:c>
      <x:c r="AR84" s="46" t="n">
        <x:f>IF(OR(S84="",S84=0),"",T84/S84)</x:f>
        <x:v>1.0004048998</x:v>
      </x:c>
      <x:c r="AS84" s="46" t="n">
        <x:f>IF(OR(X84="",Y84=""),"",ABS(Y84-X84)*'Readme-Protocol'!$B$27)</x:f>
        <x:v>0.07484006642823893</x:v>
      </x:c>
      <x:c r="AT84" s="49" t="b">
        <x:f>AND(M84&gt;0,N84&gt;=0,O84&gt;0)</x:f>
        <x:v>1</x:v>
      </x:c>
      <x:c r="AU84" s="49" t="b">
        <x:f>AND(AT84,N84&gt;=M84)</x:f>
        <x:v>1</x:v>
      </x:c>
      <x:c r="AV84" s="49" t="b">
        <x:f>OR(S84=0,T84&gt;=S84)</x:f>
        <x:v>1</x:v>
      </x:c>
      <x:c r="AW84" s="49" t="b">
        <x:f>IF(I84="cache-semantics",OR(V84&lt;&gt;"uniform",ABS(Y84-W84/'Readme-Protocol'!$B$27)&lt;='Readme-Protocol'!$B$28),TRUE)</x:f>
        <x:v>1</x:v>
      </x:c>
      <x:c r="AX84" s="43" t="n">
        <x:f>IF(I84="cache-semantics",INT(AA84*'Readme-Protocol'!$B$32),"")</x:f>
        <x:v>9900</x:v>
      </x:c>
      <x:c r="AY84" s="49" t="b">
        <x:f>IF(I84="cache-semantics",AX84=AB84,TRUE)</x:f>
        <x:v>1</x:v>
      </x:c>
      <x:c r="AZ84" s="49" t="b">
        <x:f>IF(I84="cache-semantics",AX84=AE84,TRUE)</x:f>
        <x:v>1</x:v>
      </x:c>
      <x:c r="BA84" s="49" t="b">
        <x:f>IF(I84="cache-semantics",AC84&gt;=AX84,IF(I84="no-store-control",AC84=0,FALSE))</x:f>
        <x:v>1</x:v>
      </x:c>
      <x:c r="BB84" s="49" t="b">
        <x:f>IF(I84="cache-semantics",AG84&gt;=AX84,IF(I84="no-store-control",AG84=0,FALSE))</x:f>
        <x:v>1</x:v>
      </x:c>
      <x:c r="BC84" s="49" t="b">
        <x:f>AND(BA84,BB84)</x:f>
        <x:v>1</x:v>
      </x:c>
      <x:c r="BD84" s="49" t="b">
        <x:f>IF(I84="no-store-control",AND(AC84=0,AG84=0),TRUE)</x:f>
        <x:v>1</x:v>
      </x:c>
      <x:c r="BE84" s="49" t="b">
        <x:f>IF(I84="no-store-control",AK84=0,TRUE)</x:f>
        <x:v>1</x:v>
      </x:c>
      <x:c r="BF84" s="49" t="b">
        <x:f>IF(I84="cache-semantics",AN84=1,TRUE)</x:f>
        <x:v>1</x:v>
      </x:c>
      <x:c r="BG84" s="49" t="b">
        <x:f>IF(I84="cache-semantics",AND(AU84,AV84,Q84,AW84,BC84,BF84),IF(I84="no-store-control",AND(AU84,AV84,Q84,BD84,BE84),FALSE))</x:f>
        <x:v>1</x:v>
      </x:c>
      <x:c r="BH84" s="49" t="b">
        <x:f>AND(R84,AT84=P84,AU84=L84,AV84=U84,AY84,AZ84,IF(I84="cache-semantics",AND(AW84=Z84,AND(BA84=AD84,BB84=AH84,BC84=AI84),BF84=AO84),IF(I84="no-store-control",AND(AND(BA84=AD84,BB84=AH84,BC84=AI84),BD84=AJ84,BE84=AL84),FALSE)),BG84=AP84)</x:f>
        <x:v>1</x:v>
      </x:c>
      <x:c r="BI84" s="49" t="b">
        <x:f>AND(J84,K84,BG84)</x:f>
        <x:v>1</x:v>
      </x:c>
    </x:row>
    <x:row r="85">
      <x:c r="A85" s="34" t="str">
        <x:v>article1-unified-v4-2-fb3f101b-20260903-000401-default-f02-p3-caffeine</x:v>
      </x:c>
      <x:c r="B85" s="34" t="str">
        <x:v>default</x:v>
      </x:c>
      <x:c r="C85" s="34" t="str">
        <x:v>caffeine</x:v>
      </x:c>
      <x:c r="D85" s="36" t="n">
        <x:v>2</x:v>
      </x:c>
      <x:c r="E85" s="36" t="n">
        <x:v>2</x:v>
      </x:c>
      <x:c r="F85" s="36" t="n">
        <x:v>3</x:v>
      </x:c>
      <x:c r="G85" s="36" t="n">
        <x:v>2</x:v>
      </x:c>
      <x:c r="H85" s="34" t="str">
        <x:v>redeploy</x:v>
      </x:c>
      <x:c r="I85" s="34" t="str">
        <x:v>cache-semantics</x:v>
      </x:c>
      <x:c r="J85" s="45" t="b">
        <x:v>1</x:v>
      </x:c>
      <x:c r="K85" s="45" t="b">
        <x:v>1</x:v>
      </x:c>
      <x:c r="L85" s="45" t="b">
        <x:v>1</x:v>
      </x:c>
      <x:c r="M85" s="43" t="n">
        <x:v>400000</x:v>
      </x:c>
      <x:c r="N85" s="43" t="n">
        <x:v>132580608</x:v>
      </x:c>
      <x:c r="O85" s="43" t="n">
        <x:v>26224690.272721075</x:v>
      </x:c>
      <x:c r="P85" s="45" t="b">
        <x:v>1</x:v>
      </x:c>
      <x:c r="Q85" s="45" t="b">
        <x:v>1</x:v>
      </x:c>
      <x:c r="R85" s="45" t="b">
        <x:v>1</x:v>
      </x:c>
      <x:c r="S85" s="43" t="n">
        <x:v>5000000000</x:v>
      </x:c>
      <x:c r="T85" s="43" t="n">
        <x:v>5055564303</x:v>
      </x:c>
      <x:c r="U85" s="45" t="b">
        <x:v>1</x:v>
      </x:c>
      <x:c r="V85" s="34" t="str">
        <x:v>uniform</x:v>
      </x:c>
      <x:c r="W85" s="42" t="n">
        <x:v>95</x:v>
      </x:c>
      <x:c r="X85" s="48" t="n">
        <x:v>0.95</x:v>
      </x:c>
      <x:c r="Y85" s="48" t="n">
        <x:v>0.949252850009558</x:v>
      </x:c>
      <x:c r="Z85" s="45" t="b">
        <x:v>1</x:v>
      </x:c>
      <x:c r="AA85" s="43" t="n">
        <x:v>10000</x:v>
      </x:c>
      <x:c r="AB85" s="43" t="n">
        <x:v>9900</x:v>
      </x:c>
      <x:c r="AC85" s="43" t="n">
        <x:v>10000</x:v>
      </x:c>
      <x:c r="AD85" s="45" t="b">
        <x:v>1</x:v>
      </x:c>
      <x:c r="AE85" s="43" t="n">
        <x:v>9900</x:v>
      </x:c>
      <x:c r="AF85" s="43"/>
      <x:c r="AG85" s="43" t="n">
        <x:v>10000</x:v>
      </x:c>
      <x:c r="AH85" s="45" t="b">
        <x:v>1</x:v>
      </x:c>
      <x:c r="AI85" s="45" t="b">
        <x:v>1</x:v>
      </x:c>
      <x:c r="AJ85" s="49"/>
      <x:c r="AK85" s="48" t="n">
        <x:v>0.949252850009558</x:v>
      </x:c>
      <x:c r="AL85" s="49"/>
      <x:c r="AM85" s="49"/>
      <x:c r="AN85" s="36" t="n">
        <x:v>1</x:v>
      </x:c>
      <x:c r="AO85" s="45" t="b">
        <x:v>1</x:v>
      </x:c>
      <x:c r="AP85" s="45" t="b">
        <x:v>1</x:v>
      </x:c>
      <x:c r="AQ85" s="46" t="n">
        <x:f>IF(T85="","",T85/'Readme-Protocol'!$B$24)</x:f>
        <x:v>5.055564303</x:v>
      </x:c>
      <x:c r="AR85" s="46" t="n">
        <x:f>IF(OR(S85="",S85=0),"",T85/S85)</x:f>
        <x:v>1.0111128606</x:v>
      </x:c>
      <x:c r="AS85" s="46" t="n">
        <x:f>IF(OR(X85="",Y85=""),"",ABS(Y85-X85)*'Readme-Protocol'!$B$27)</x:f>
        <x:v>0.07471499904420087</x:v>
      </x:c>
      <x:c r="AT85" s="49" t="b">
        <x:f>AND(M85&gt;0,N85&gt;=0,O85&gt;0)</x:f>
        <x:v>1</x:v>
      </x:c>
      <x:c r="AU85" s="49" t="b">
        <x:f>AND(AT85,N85&gt;=M85)</x:f>
        <x:v>1</x:v>
      </x:c>
      <x:c r="AV85" s="49" t="b">
        <x:f>OR(S85=0,T85&gt;=S85)</x:f>
        <x:v>1</x:v>
      </x:c>
      <x:c r="AW85" s="49" t="b">
        <x:f>IF(I85="cache-semantics",OR(V85&lt;&gt;"uniform",ABS(Y85-W85/'Readme-Protocol'!$B$27)&lt;='Readme-Protocol'!$B$28),TRUE)</x:f>
        <x:v>1</x:v>
      </x:c>
      <x:c r="AX85" s="43" t="n">
        <x:f>IF(I85="cache-semantics",INT(AA85*'Readme-Protocol'!$B$32),"")</x:f>
        <x:v>9900</x:v>
      </x:c>
      <x:c r="AY85" s="49" t="b">
        <x:f>IF(I85="cache-semantics",AX85=AB85,TRUE)</x:f>
        <x:v>1</x:v>
      </x:c>
      <x:c r="AZ85" s="49" t="b">
        <x:f>IF(I85="cache-semantics",AX85=AE85,TRUE)</x:f>
        <x:v>1</x:v>
      </x:c>
      <x:c r="BA85" s="49" t="b">
        <x:f>IF(I85="cache-semantics",AC85&gt;=AX85,IF(I85="no-store-control",AC85=0,FALSE))</x:f>
        <x:v>1</x:v>
      </x:c>
      <x:c r="BB85" s="49" t="b">
        <x:f>IF(I85="cache-semantics",AG85&gt;=AX85,IF(I85="no-store-control",AG85=0,FALSE))</x:f>
        <x:v>1</x:v>
      </x:c>
      <x:c r="BC85" s="49" t="b">
        <x:f>AND(BA85,BB85)</x:f>
        <x:v>1</x:v>
      </x:c>
      <x:c r="BD85" s="49" t="b">
        <x:f>IF(I85="no-store-control",AND(AC85=0,AG85=0),TRUE)</x:f>
        <x:v>1</x:v>
      </x:c>
      <x:c r="BE85" s="49" t="b">
        <x:f>IF(I85="no-store-control",AK85=0,TRUE)</x:f>
        <x:v>1</x:v>
      </x:c>
      <x:c r="BF85" s="49" t="b">
        <x:f>IF(I85="cache-semantics",AN85=1,TRUE)</x:f>
        <x:v>1</x:v>
      </x:c>
      <x:c r="BG85" s="49" t="b">
        <x:f>IF(I85="cache-semantics",AND(AU85,AV85,Q85,AW85,BC85,BF85),IF(I85="no-store-control",AND(AU85,AV85,Q85,BD85,BE85),FALSE))</x:f>
        <x:v>1</x:v>
      </x:c>
      <x:c r="BH85" s="49" t="b">
        <x:f>AND(R85,AT85=P85,AU85=L85,AV85=U85,AY85,AZ85,IF(I85="cache-semantics",AND(AW85=Z85,AND(BA85=AD85,BB85=AH85,BC85=AI85),BF85=AO85),IF(I85="no-store-control",AND(AND(BA85=AD85,BB85=AH85,BC85=AI85),BD85=AJ85,BE85=AL85),FALSE)),BG85=AP85)</x:f>
        <x:v>1</x:v>
      </x:c>
      <x:c r="BI85" s="49" t="b">
        <x:f>AND(J85,K85,BG85)</x:f>
        <x:v>1</x:v>
      </x:c>
    </x:row>
    <x:row r="86">
      <x:c r="A86" s="34" t="str">
        <x:v>article1-unified-v4-2-fb3f101b-20260903-000401-default-f02-p3-caffeine</x:v>
      </x:c>
      <x:c r="B86" s="34" t="str">
        <x:v>default</x:v>
      </x:c>
      <x:c r="C86" s="34" t="str">
        <x:v>caffeine</x:v>
      </x:c>
      <x:c r="D86" s="36" t="n">
        <x:v>2</x:v>
      </x:c>
      <x:c r="E86" s="36" t="n">
        <x:v>2</x:v>
      </x:c>
      <x:c r="F86" s="36" t="n">
        <x:v>3</x:v>
      </x:c>
      <x:c r="G86" s="36" t="n">
        <x:v>3</x:v>
      </x:c>
      <x:c r="H86" s="34" t="str">
        <x:v>initial</x:v>
      </x:c>
      <x:c r="I86" s="34" t="str">
        <x:v>cache-semantics</x:v>
      </x:c>
      <x:c r="J86" s="45" t="b">
        <x:v>1</x:v>
      </x:c>
      <x:c r="K86" s="45" t="b">
        <x:v>1</x:v>
      </x:c>
      <x:c r="L86" s="45" t="b">
        <x:v>1</x:v>
      </x:c>
      <x:c r="M86" s="43" t="n">
        <x:v>400000</x:v>
      </x:c>
      <x:c r="N86" s="43" t="n">
        <x:v>140591616</x:v>
      </x:c>
      <x:c r="O86" s="43" t="n">
        <x:v>28105999.871402387</x:v>
      </x:c>
      <x:c r="P86" s="45" t="b">
        <x:v>1</x:v>
      </x:c>
      <x:c r="Q86" s="45" t="b">
        <x:v>1</x:v>
      </x:c>
      <x:c r="R86" s="45" t="b">
        <x:v>1</x:v>
      </x:c>
      <x:c r="S86" s="43" t="n">
        <x:v>5000000000</x:v>
      </x:c>
      <x:c r="T86" s="43" t="n">
        <x:v>5002192295</x:v>
      </x:c>
      <x:c r="U86" s="45" t="b">
        <x:v>1</x:v>
      </x:c>
      <x:c r="V86" s="34" t="str">
        <x:v>uniform</x:v>
      </x:c>
      <x:c r="W86" s="42" t="n">
        <x:v>95</x:v>
      </x:c>
      <x:c r="X86" s="48" t="n">
        <x:v>0.95</x:v>
      </x:c>
      <x:c r="Y86" s="48" t="n">
        <x:v>0.9503991333309662</x:v>
      </x:c>
      <x:c r="Z86" s="45" t="b">
        <x:v>1</x:v>
      </x:c>
      <x:c r="AA86" s="43" t="n">
        <x:v>10000</x:v>
      </x:c>
      <x:c r="AB86" s="43" t="n">
        <x:v>9900</x:v>
      </x:c>
      <x:c r="AC86" s="43" t="n">
        <x:v>10000</x:v>
      </x:c>
      <x:c r="AD86" s="45" t="b">
        <x:v>1</x:v>
      </x:c>
      <x:c r="AE86" s="43" t="n">
        <x:v>9900</x:v>
      </x:c>
      <x:c r="AF86" s="43"/>
      <x:c r="AG86" s="43" t="n">
        <x:v>10000</x:v>
      </x:c>
      <x:c r="AH86" s="45" t="b">
        <x:v>1</x:v>
      </x:c>
      <x:c r="AI86" s="45" t="b">
        <x:v>1</x:v>
      </x:c>
      <x:c r="AJ86" s="49"/>
      <x:c r="AK86" s="48" t="n">
        <x:v>0.9503991333309662</x:v>
      </x:c>
      <x:c r="AL86" s="49"/>
      <x:c r="AM86" s="49"/>
      <x:c r="AN86" s="36" t="n">
        <x:v>1</x:v>
      </x:c>
      <x:c r="AO86" s="45" t="b">
        <x:v>1</x:v>
      </x:c>
      <x:c r="AP86" s="45" t="b">
        <x:v>1</x:v>
      </x:c>
      <x:c r="AQ86" s="46" t="n">
        <x:f>IF(T86="","",T86/'Readme-Protocol'!$B$24)</x:f>
        <x:v>5.002192295</x:v>
      </x:c>
      <x:c r="AR86" s="46" t="n">
        <x:f>IF(OR(S86="",S86=0),"",T86/S86)</x:f>
        <x:v>1.000438459</x:v>
      </x:c>
      <x:c r="AS86" s="46" t="n">
        <x:f>IF(OR(X86="",Y86=""),"",ABS(Y86-X86)*'Readme-Protocol'!$B$27)</x:f>
        <x:v>0.039913333096619485</x:v>
      </x:c>
      <x:c r="AT86" s="49" t="b">
        <x:f>AND(M86&gt;0,N86&gt;=0,O86&gt;0)</x:f>
        <x:v>1</x:v>
      </x:c>
      <x:c r="AU86" s="49" t="b">
        <x:f>AND(AT86,N86&gt;=M86)</x:f>
        <x:v>1</x:v>
      </x:c>
      <x:c r="AV86" s="49" t="b">
        <x:f>OR(S86=0,T86&gt;=S86)</x:f>
        <x:v>1</x:v>
      </x:c>
      <x:c r="AW86" s="49" t="b">
        <x:f>IF(I86="cache-semantics",OR(V86&lt;&gt;"uniform",ABS(Y86-W86/'Readme-Protocol'!$B$27)&lt;='Readme-Protocol'!$B$28),TRUE)</x:f>
        <x:v>1</x:v>
      </x:c>
      <x:c r="AX86" s="43" t="n">
        <x:f>IF(I86="cache-semantics",INT(AA86*'Readme-Protocol'!$B$32),"")</x:f>
        <x:v>9900</x:v>
      </x:c>
      <x:c r="AY86" s="49" t="b">
        <x:f>IF(I86="cache-semantics",AX86=AB86,TRUE)</x:f>
        <x:v>1</x:v>
      </x:c>
      <x:c r="AZ86" s="49" t="b">
        <x:f>IF(I86="cache-semantics",AX86=AE86,TRUE)</x:f>
        <x:v>1</x:v>
      </x:c>
      <x:c r="BA86" s="49" t="b">
        <x:f>IF(I86="cache-semantics",AC86&gt;=AX86,IF(I86="no-store-control",AC86=0,FALSE))</x:f>
        <x:v>1</x:v>
      </x:c>
      <x:c r="BB86" s="49" t="b">
        <x:f>IF(I86="cache-semantics",AG86&gt;=AX86,IF(I86="no-store-control",AG86=0,FALSE))</x:f>
        <x:v>1</x:v>
      </x:c>
      <x:c r="BC86" s="49" t="b">
        <x:f>AND(BA86,BB86)</x:f>
        <x:v>1</x:v>
      </x:c>
      <x:c r="BD86" s="49" t="b">
        <x:f>IF(I86="no-store-control",AND(AC86=0,AG86=0),TRUE)</x:f>
        <x:v>1</x:v>
      </x:c>
      <x:c r="BE86" s="49" t="b">
        <x:f>IF(I86="no-store-control",AK86=0,TRUE)</x:f>
        <x:v>1</x:v>
      </x:c>
      <x:c r="BF86" s="49" t="b">
        <x:f>IF(I86="cache-semantics",AN86=1,TRUE)</x:f>
        <x:v>1</x:v>
      </x:c>
      <x:c r="BG86" s="49" t="b">
        <x:f>IF(I86="cache-semantics",AND(AU86,AV86,Q86,AW86,BC86,BF86),IF(I86="no-store-control",AND(AU86,AV86,Q86,BD86,BE86),FALSE))</x:f>
        <x:v>1</x:v>
      </x:c>
      <x:c r="BH86" s="49" t="b">
        <x:f>AND(R86,AT86=P86,AU86=L86,AV86=U86,AY86,AZ86,IF(I86="cache-semantics",AND(AW86=Z86,AND(BA86=AD86,BB86=AH86,BC86=AI86),BF86=AO86),IF(I86="no-store-control",AND(AND(BA86=AD86,BB86=AH86,BC86=AI86),BD86=AJ86,BE86=AL86),FALSE)),BG86=AP86)</x:f>
        <x:v>1</x:v>
      </x:c>
      <x:c r="BI86" s="49" t="b">
        <x:f>AND(J86,K86,BG86)</x:f>
        <x:v>1</x:v>
      </x:c>
    </x:row>
    <x:row r="87">
      <x:c r="A87" s="34" t="str">
        <x:v>article1-unified-v4-2-fb3f101b-20260903-000401-default-f02-p3-caffeine</x:v>
      </x:c>
      <x:c r="B87" s="34" t="str">
        <x:v>default</x:v>
      </x:c>
      <x:c r="C87" s="34" t="str">
        <x:v>caffeine</x:v>
      </x:c>
      <x:c r="D87" s="36" t="n">
        <x:v>2</x:v>
      </x:c>
      <x:c r="E87" s="36" t="n">
        <x:v>2</x:v>
      </x:c>
      <x:c r="F87" s="36" t="n">
        <x:v>3</x:v>
      </x:c>
      <x:c r="G87" s="36" t="n">
        <x:v>3</x:v>
      </x:c>
      <x:c r="H87" s="34" t="str">
        <x:v>redeploy</x:v>
      </x:c>
      <x:c r="I87" s="34" t="str">
        <x:v>cache-semantics</x:v>
      </x:c>
      <x:c r="J87" s="45" t="b">
        <x:v>1</x:v>
      </x:c>
      <x:c r="K87" s="45" t="b">
        <x:v>1</x:v>
      </x:c>
      <x:c r="L87" s="45" t="b">
        <x:v>1</x:v>
      </x:c>
      <x:c r="M87" s="43" t="n">
        <x:v>400000</x:v>
      </x:c>
      <x:c r="N87" s="43" t="n">
        <x:v>141246464</x:v>
      </x:c>
      <x:c r="O87" s="43" t="n">
        <x:v>28235372.236309577</x:v>
      </x:c>
      <x:c r="P87" s="45" t="b">
        <x:v>1</x:v>
      </x:c>
      <x:c r="Q87" s="45" t="b">
        <x:v>1</x:v>
      </x:c>
      <x:c r="R87" s="45" t="b">
        <x:v>1</x:v>
      </x:c>
      <x:c r="S87" s="43" t="n">
        <x:v>5000000000</x:v>
      </x:c>
      <x:c r="T87" s="43" t="n">
        <x:v>5002465093</x:v>
      </x:c>
      <x:c r="U87" s="45" t="b">
        <x:v>1</x:v>
      </x:c>
      <x:c r="V87" s="34" t="str">
        <x:v>uniform</x:v>
      </x:c>
      <x:c r="W87" s="42" t="n">
        <x:v>95</x:v>
      </x:c>
      <x:c r="X87" s="48" t="n">
        <x:v>0.95</x:v>
      </x:c>
      <x:c r="Y87" s="48" t="n">
        <x:v>0.9503906943822679</x:v>
      </x:c>
      <x:c r="Z87" s="45" t="b">
        <x:v>1</x:v>
      </x:c>
      <x:c r="AA87" s="43" t="n">
        <x:v>10000</x:v>
      </x:c>
      <x:c r="AB87" s="43" t="n">
        <x:v>9900</x:v>
      </x:c>
      <x:c r="AC87" s="43" t="n">
        <x:v>10000</x:v>
      </x:c>
      <x:c r="AD87" s="45" t="b">
        <x:v>1</x:v>
      </x:c>
      <x:c r="AE87" s="43" t="n">
        <x:v>9900</x:v>
      </x:c>
      <x:c r="AF87" s="43"/>
      <x:c r="AG87" s="43" t="n">
        <x:v>10000</x:v>
      </x:c>
      <x:c r="AH87" s="45" t="b">
        <x:v>1</x:v>
      </x:c>
      <x:c r="AI87" s="45" t="b">
        <x:v>1</x:v>
      </x:c>
      <x:c r="AJ87" s="49"/>
      <x:c r="AK87" s="48" t="n">
        <x:v>0.9503906943822679</x:v>
      </x:c>
      <x:c r="AL87" s="49"/>
      <x:c r="AM87" s="49"/>
      <x:c r="AN87" s="36" t="n">
        <x:v>1</x:v>
      </x:c>
      <x:c r="AO87" s="45" t="b">
        <x:v>1</x:v>
      </x:c>
      <x:c r="AP87" s="45" t="b">
        <x:v>1</x:v>
      </x:c>
      <x:c r="AQ87" s="46" t="n">
        <x:f>IF(T87="","",T87/'Readme-Protocol'!$B$24)</x:f>
        <x:v>5.002465093</x:v>
      </x:c>
      <x:c r="AR87" s="46" t="n">
        <x:f>IF(OR(S87="",S87=0),"",T87/S87)</x:f>
        <x:v>1.0004930186</x:v>
      </x:c>
      <x:c r="AS87" s="46" t="n">
        <x:f>IF(OR(X87="",Y87=""),"",ABS(Y87-X87)*'Readme-Protocol'!$B$27)</x:f>
        <x:v>0.039069438226790876</x:v>
      </x:c>
      <x:c r="AT87" s="49" t="b">
        <x:f>AND(M87&gt;0,N87&gt;=0,O87&gt;0)</x:f>
        <x:v>1</x:v>
      </x:c>
      <x:c r="AU87" s="49" t="b">
        <x:f>AND(AT87,N87&gt;=M87)</x:f>
        <x:v>1</x:v>
      </x:c>
      <x:c r="AV87" s="49" t="b">
        <x:f>OR(S87=0,T87&gt;=S87)</x:f>
        <x:v>1</x:v>
      </x:c>
      <x:c r="AW87" s="49" t="b">
        <x:f>IF(I87="cache-semantics",OR(V87&lt;&gt;"uniform",ABS(Y87-W87/'Readme-Protocol'!$B$27)&lt;='Readme-Protocol'!$B$28),TRUE)</x:f>
        <x:v>1</x:v>
      </x:c>
      <x:c r="AX87" s="43" t="n">
        <x:f>IF(I87="cache-semantics",INT(AA87*'Readme-Protocol'!$B$32),"")</x:f>
        <x:v>9900</x:v>
      </x:c>
      <x:c r="AY87" s="49" t="b">
        <x:f>IF(I87="cache-semantics",AX87=AB87,TRUE)</x:f>
        <x:v>1</x:v>
      </x:c>
      <x:c r="AZ87" s="49" t="b">
        <x:f>IF(I87="cache-semantics",AX87=AE87,TRUE)</x:f>
        <x:v>1</x:v>
      </x:c>
      <x:c r="BA87" s="49" t="b">
        <x:f>IF(I87="cache-semantics",AC87&gt;=AX87,IF(I87="no-store-control",AC87=0,FALSE))</x:f>
        <x:v>1</x:v>
      </x:c>
      <x:c r="BB87" s="49" t="b">
        <x:f>IF(I87="cache-semantics",AG87&gt;=AX87,IF(I87="no-store-control",AG87=0,FALSE))</x:f>
        <x:v>1</x:v>
      </x:c>
      <x:c r="BC87" s="49" t="b">
        <x:f>AND(BA87,BB87)</x:f>
        <x:v>1</x:v>
      </x:c>
      <x:c r="BD87" s="49" t="b">
        <x:f>IF(I87="no-store-control",AND(AC87=0,AG87=0),TRUE)</x:f>
        <x:v>1</x:v>
      </x:c>
      <x:c r="BE87" s="49" t="b">
        <x:f>IF(I87="no-store-control",AK87=0,TRUE)</x:f>
        <x:v>1</x:v>
      </x:c>
      <x:c r="BF87" s="49" t="b">
        <x:f>IF(I87="cache-semantics",AN87=1,TRUE)</x:f>
        <x:v>1</x:v>
      </x:c>
      <x:c r="BG87" s="49" t="b">
        <x:f>IF(I87="cache-semantics",AND(AU87,AV87,Q87,AW87,BC87,BF87),IF(I87="no-store-control",AND(AU87,AV87,Q87,BD87,BE87),FALSE))</x:f>
        <x:v>1</x:v>
      </x:c>
      <x:c r="BH87" s="49" t="b">
        <x:f>AND(R87,AT87=P87,AU87=L87,AV87=U87,AY87,AZ87,IF(I87="cache-semantics",AND(AW87=Z87,AND(BA87=AD87,BB87=AH87,BC87=AI87),BF87=AO87),IF(I87="no-store-control",AND(AND(BA87=AD87,BB87=AH87,BC87=AI87),BD87=AJ87,BE87=AL87),FALSE)),BG87=AP87)</x:f>
        <x:v>1</x:v>
      </x:c>
      <x:c r="BI87" s="49" t="b">
        <x:f>AND(J87,K87,BG87)</x:f>
        <x:v>1</x:v>
      </x:c>
    </x:row>
    <x:row r="88">
      <x:c r="A88" s="34" t="str">
        <x:v>article1-unified-v4-2-fb3f101b-20260903-000401-default-f02-p3-caffeine</x:v>
      </x:c>
      <x:c r="B88" s="34" t="str">
        <x:v>default</x:v>
      </x:c>
      <x:c r="C88" s="34" t="str">
        <x:v>caffeine</x:v>
      </x:c>
      <x:c r="D88" s="36" t="n">
        <x:v>2</x:v>
      </x:c>
      <x:c r="E88" s="36" t="n">
        <x:v>2</x:v>
      </x:c>
      <x:c r="F88" s="36" t="n">
        <x:v>3</x:v>
      </x:c>
      <x:c r="G88" s="36" t="n">
        <x:v>4</x:v>
      </x:c>
      <x:c r="H88" s="34" t="str">
        <x:v>initial</x:v>
      </x:c>
      <x:c r="I88" s="34" t="str">
        <x:v>cache-semantics</x:v>
      </x:c>
      <x:c r="J88" s="45" t="b">
        <x:v>1</x:v>
      </x:c>
      <x:c r="K88" s="45" t="b">
        <x:v>1</x:v>
      </x:c>
      <x:c r="L88" s="45" t="b">
        <x:v>1</x:v>
      </x:c>
      <x:c r="M88" s="43" t="n">
        <x:v>400000</x:v>
      </x:c>
      <x:c r="N88" s="43" t="n">
        <x:v>143872256</x:v>
      </x:c>
      <x:c r="O88" s="43" t="n">
        <x:v>28761430.658744767</x:v>
      </x:c>
      <x:c r="P88" s="45" t="b">
        <x:v>1</x:v>
      </x:c>
      <x:c r="Q88" s="45" t="b">
        <x:v>1</x:v>
      </x:c>
      <x:c r="R88" s="45" t="b">
        <x:v>1</x:v>
      </x:c>
      <x:c r="S88" s="43" t="n">
        <x:v>5000000000</x:v>
      </x:c>
      <x:c r="T88" s="43" t="n">
        <x:v>5002263542</x:v>
      </x:c>
      <x:c r="U88" s="45" t="b">
        <x:v>1</x:v>
      </x:c>
      <x:c r="V88" s="34" t="str">
        <x:v>uniform</x:v>
      </x:c>
      <x:c r="W88" s="42" t="n">
        <x:v>95</x:v>
      </x:c>
      <x:c r="X88" s="48" t="n">
        <x:v>0.95</x:v>
      </x:c>
      <x:c r="Y88" s="48" t="n">
        <x:v>0.9503467993161934</x:v>
      </x:c>
      <x:c r="Z88" s="45" t="b">
        <x:v>1</x:v>
      </x:c>
      <x:c r="AA88" s="43" t="n">
        <x:v>10000</x:v>
      </x:c>
      <x:c r="AB88" s="43" t="n">
        <x:v>9900</x:v>
      </x:c>
      <x:c r="AC88" s="43" t="n">
        <x:v>10000</x:v>
      </x:c>
      <x:c r="AD88" s="45" t="b">
        <x:v>1</x:v>
      </x:c>
      <x:c r="AE88" s="43" t="n">
        <x:v>9900</x:v>
      </x:c>
      <x:c r="AF88" s="43"/>
      <x:c r="AG88" s="43" t="n">
        <x:v>10000</x:v>
      </x:c>
      <x:c r="AH88" s="45" t="b">
        <x:v>1</x:v>
      </x:c>
      <x:c r="AI88" s="45" t="b">
        <x:v>1</x:v>
      </x:c>
      <x:c r="AJ88" s="49"/>
      <x:c r="AK88" s="48" t="n">
        <x:v>0.9503467993161934</x:v>
      </x:c>
      <x:c r="AL88" s="49"/>
      <x:c r="AM88" s="49"/>
      <x:c r="AN88" s="36" t="n">
        <x:v>1</x:v>
      </x:c>
      <x:c r="AO88" s="45" t="b">
        <x:v>1</x:v>
      </x:c>
      <x:c r="AP88" s="45" t="b">
        <x:v>1</x:v>
      </x:c>
      <x:c r="AQ88" s="46" t="n">
        <x:f>IF(T88="","",T88/'Readme-Protocol'!$B$24)</x:f>
        <x:v>5.002263542</x:v>
      </x:c>
      <x:c r="AR88" s="46" t="n">
        <x:f>IF(OR(S88="",S88=0),"",T88/S88)</x:f>
        <x:v>1.0004527084</x:v>
      </x:c>
      <x:c r="AS88" s="46" t="n">
        <x:f>IF(OR(X88="",Y88=""),"",ABS(Y88-X88)*'Readme-Protocol'!$B$27)</x:f>
        <x:v>0.03467993161934135</x:v>
      </x:c>
      <x:c r="AT88" s="49" t="b">
        <x:f>AND(M88&gt;0,N88&gt;=0,O88&gt;0)</x:f>
        <x:v>1</x:v>
      </x:c>
      <x:c r="AU88" s="49" t="b">
        <x:f>AND(AT88,N88&gt;=M88)</x:f>
        <x:v>1</x:v>
      </x:c>
      <x:c r="AV88" s="49" t="b">
        <x:f>OR(S88=0,T88&gt;=S88)</x:f>
        <x:v>1</x:v>
      </x:c>
      <x:c r="AW88" s="49" t="b">
        <x:f>IF(I88="cache-semantics",OR(V88&lt;&gt;"uniform",ABS(Y88-W88/'Readme-Protocol'!$B$27)&lt;='Readme-Protocol'!$B$28),TRUE)</x:f>
        <x:v>1</x:v>
      </x:c>
      <x:c r="AX88" s="43" t="n">
        <x:f>IF(I88="cache-semantics",INT(AA88*'Readme-Protocol'!$B$32),"")</x:f>
        <x:v>9900</x:v>
      </x:c>
      <x:c r="AY88" s="49" t="b">
        <x:f>IF(I88="cache-semantics",AX88=AB88,TRUE)</x:f>
        <x:v>1</x:v>
      </x:c>
      <x:c r="AZ88" s="49" t="b">
        <x:f>IF(I88="cache-semantics",AX88=AE88,TRUE)</x:f>
        <x:v>1</x:v>
      </x:c>
      <x:c r="BA88" s="49" t="b">
        <x:f>IF(I88="cache-semantics",AC88&gt;=AX88,IF(I88="no-store-control",AC88=0,FALSE))</x:f>
        <x:v>1</x:v>
      </x:c>
      <x:c r="BB88" s="49" t="b">
        <x:f>IF(I88="cache-semantics",AG88&gt;=AX88,IF(I88="no-store-control",AG88=0,FALSE))</x:f>
        <x:v>1</x:v>
      </x:c>
      <x:c r="BC88" s="49" t="b">
        <x:f>AND(BA88,BB88)</x:f>
        <x:v>1</x:v>
      </x:c>
      <x:c r="BD88" s="49" t="b">
        <x:f>IF(I88="no-store-control",AND(AC88=0,AG88=0),TRUE)</x:f>
        <x:v>1</x:v>
      </x:c>
      <x:c r="BE88" s="49" t="b">
        <x:f>IF(I88="no-store-control",AK88=0,TRUE)</x:f>
        <x:v>1</x:v>
      </x:c>
      <x:c r="BF88" s="49" t="b">
        <x:f>IF(I88="cache-semantics",AN88=1,TRUE)</x:f>
        <x:v>1</x:v>
      </x:c>
      <x:c r="BG88" s="49" t="b">
        <x:f>IF(I88="cache-semantics",AND(AU88,AV88,Q88,AW88,BC88,BF88),IF(I88="no-store-control",AND(AU88,AV88,Q88,BD88,BE88),FALSE))</x:f>
        <x:v>1</x:v>
      </x:c>
      <x:c r="BH88" s="49" t="b">
        <x:f>AND(R88,AT88=P88,AU88=L88,AV88=U88,AY88,AZ88,IF(I88="cache-semantics",AND(AW88=Z88,AND(BA88=AD88,BB88=AH88,BC88=AI88),BF88=AO88),IF(I88="no-store-control",AND(AND(BA88=AD88,BB88=AH88,BC88=AI88),BD88=AJ88,BE88=AL88),FALSE)),BG88=AP88)</x:f>
        <x:v>1</x:v>
      </x:c>
      <x:c r="BI88" s="49" t="b">
        <x:f>AND(J88,K88,BG88)</x:f>
        <x:v>1</x:v>
      </x:c>
    </x:row>
    <x:row r="89">
      <x:c r="A89" s="34" t="str">
        <x:v>article1-unified-v4-2-fb3f101b-20260903-000401-default-f02-p3-caffeine</x:v>
      </x:c>
      <x:c r="B89" s="34" t="str">
        <x:v>default</x:v>
      </x:c>
      <x:c r="C89" s="34" t="str">
        <x:v>caffeine</x:v>
      </x:c>
      <x:c r="D89" s="36" t="n">
        <x:v>2</x:v>
      </x:c>
      <x:c r="E89" s="36" t="n">
        <x:v>2</x:v>
      </x:c>
      <x:c r="F89" s="36" t="n">
        <x:v>3</x:v>
      </x:c>
      <x:c r="G89" s="36" t="n">
        <x:v>4</x:v>
      </x:c>
      <x:c r="H89" s="34" t="str">
        <x:v>redeploy</x:v>
      </x:c>
      <x:c r="I89" s="34" t="str">
        <x:v>cache-semantics</x:v>
      </x:c>
      <x:c r="J89" s="45" t="b">
        <x:v>1</x:v>
      </x:c>
      <x:c r="K89" s="45" t="b">
        <x:v>1</x:v>
      </x:c>
      <x:c r="L89" s="45" t="b">
        <x:v>1</x:v>
      </x:c>
      <x:c r="M89" s="43" t="n">
        <x:v>400000</x:v>
      </x:c>
      <x:c r="N89" s="43" t="n">
        <x:v>129360128</x:v>
      </x:c>
      <x:c r="O89" s="43" t="n">
        <x:v>25860451.39810255</x:v>
      </x:c>
      <x:c r="P89" s="45" t="b">
        <x:v>1</x:v>
      </x:c>
      <x:c r="Q89" s="45" t="b">
        <x:v>1</x:v>
      </x:c>
      <x:c r="R89" s="45" t="b">
        <x:v>1</x:v>
      </x:c>
      <x:c r="S89" s="43" t="n">
        <x:v>5000000000</x:v>
      </x:c>
      <x:c r="T89" s="43" t="n">
        <x:v>5002237819</x:v>
      </x:c>
      <x:c r="U89" s="45" t="b">
        <x:v>1</x:v>
      </x:c>
      <x:c r="V89" s="34" t="str">
        <x:v>uniform</x:v>
      </x:c>
      <x:c r="W89" s="42" t="n">
        <x:v>95</x:v>
      </x:c>
      <x:c r="X89" s="48" t="n">
        <x:v>0.95</x:v>
      </x:c>
      <x:c r="Y89" s="48" t="n">
        <x:v>0.9503655716852722</x:v>
      </x:c>
      <x:c r="Z89" s="45" t="b">
        <x:v>1</x:v>
      </x:c>
      <x:c r="AA89" s="43" t="n">
        <x:v>10000</x:v>
      </x:c>
      <x:c r="AB89" s="43" t="n">
        <x:v>9900</x:v>
      </x:c>
      <x:c r="AC89" s="43" t="n">
        <x:v>10000</x:v>
      </x:c>
      <x:c r="AD89" s="45" t="b">
        <x:v>1</x:v>
      </x:c>
      <x:c r="AE89" s="43" t="n">
        <x:v>9900</x:v>
      </x:c>
      <x:c r="AF89" s="43"/>
      <x:c r="AG89" s="43" t="n">
        <x:v>10000</x:v>
      </x:c>
      <x:c r="AH89" s="45" t="b">
        <x:v>1</x:v>
      </x:c>
      <x:c r="AI89" s="45" t="b">
        <x:v>1</x:v>
      </x:c>
      <x:c r="AJ89" s="49"/>
      <x:c r="AK89" s="48" t="n">
        <x:v>0.9503655716852722</x:v>
      </x:c>
      <x:c r="AL89" s="49"/>
      <x:c r="AM89" s="49"/>
      <x:c r="AN89" s="36" t="n">
        <x:v>1</x:v>
      </x:c>
      <x:c r="AO89" s="45" t="b">
        <x:v>1</x:v>
      </x:c>
      <x:c r="AP89" s="45" t="b">
        <x:v>1</x:v>
      </x:c>
      <x:c r="AQ89" s="46" t="n">
        <x:f>IF(T89="","",T89/'Readme-Protocol'!$B$24)</x:f>
        <x:v>5.002237819</x:v>
      </x:c>
      <x:c r="AR89" s="46" t="n">
        <x:f>IF(OR(S89="",S89=0),"",T89/S89)</x:f>
        <x:v>1.0004475638</x:v>
      </x:c>
      <x:c r="AS89" s="46" t="n">
        <x:f>IF(OR(X89="",Y89=""),"",ABS(Y89-X89)*'Readme-Protocol'!$B$27)</x:f>
        <x:v>0.036557168527229233</x:v>
      </x:c>
      <x:c r="AT89" s="49" t="b">
        <x:f>AND(M89&gt;0,N89&gt;=0,O89&gt;0)</x:f>
        <x:v>1</x:v>
      </x:c>
      <x:c r="AU89" s="49" t="b">
        <x:f>AND(AT89,N89&gt;=M89)</x:f>
        <x:v>1</x:v>
      </x:c>
      <x:c r="AV89" s="49" t="b">
        <x:f>OR(S89=0,T89&gt;=S89)</x:f>
        <x:v>1</x:v>
      </x:c>
      <x:c r="AW89" s="49" t="b">
        <x:f>IF(I89="cache-semantics",OR(V89&lt;&gt;"uniform",ABS(Y89-W89/'Readme-Protocol'!$B$27)&lt;='Readme-Protocol'!$B$28),TRUE)</x:f>
        <x:v>1</x:v>
      </x:c>
      <x:c r="AX89" s="43" t="n">
        <x:f>IF(I89="cache-semantics",INT(AA89*'Readme-Protocol'!$B$32),"")</x:f>
        <x:v>9900</x:v>
      </x:c>
      <x:c r="AY89" s="49" t="b">
        <x:f>IF(I89="cache-semantics",AX89=AB89,TRUE)</x:f>
        <x:v>1</x:v>
      </x:c>
      <x:c r="AZ89" s="49" t="b">
        <x:f>IF(I89="cache-semantics",AX89=AE89,TRUE)</x:f>
        <x:v>1</x:v>
      </x:c>
      <x:c r="BA89" s="49" t="b">
        <x:f>IF(I89="cache-semantics",AC89&gt;=AX89,IF(I89="no-store-control",AC89=0,FALSE))</x:f>
        <x:v>1</x:v>
      </x:c>
      <x:c r="BB89" s="49" t="b">
        <x:f>IF(I89="cache-semantics",AG89&gt;=AX89,IF(I89="no-store-control",AG89=0,FALSE))</x:f>
        <x:v>1</x:v>
      </x:c>
      <x:c r="BC89" s="49" t="b">
        <x:f>AND(BA89,BB89)</x:f>
        <x:v>1</x:v>
      </x:c>
      <x:c r="BD89" s="49" t="b">
        <x:f>IF(I89="no-store-control",AND(AC89=0,AG89=0),TRUE)</x:f>
        <x:v>1</x:v>
      </x:c>
      <x:c r="BE89" s="49" t="b">
        <x:f>IF(I89="no-store-control",AK89=0,TRUE)</x:f>
        <x:v>1</x:v>
      </x:c>
      <x:c r="BF89" s="49" t="b">
        <x:f>IF(I89="cache-semantics",AN89=1,TRUE)</x:f>
        <x:v>1</x:v>
      </x:c>
      <x:c r="BG89" s="49" t="b">
        <x:f>IF(I89="cache-semantics",AND(AU89,AV89,Q89,AW89,BC89,BF89),IF(I89="no-store-control",AND(AU89,AV89,Q89,BD89,BE89),FALSE))</x:f>
        <x:v>1</x:v>
      </x:c>
      <x:c r="BH89" s="49" t="b">
        <x:f>AND(R89,AT89=P89,AU89=L89,AV89=U89,AY89,AZ89,IF(I89="cache-semantics",AND(AW89=Z89,AND(BA89=AD89,BB89=AH89,BC89=AI89),BF89=AO89),IF(I89="no-store-control",AND(AND(BA89=AD89,BB89=AH89,BC89=AI89),BD89=AJ89,BE89=AL89),FALSE)),BG89=AP89)</x:f>
        <x:v>1</x:v>
      </x:c>
      <x:c r="BI89" s="49" t="b">
        <x:f>AND(J89,K89,BG89)</x:f>
        <x:v>1</x:v>
      </x:c>
    </x:row>
    <x:row r="90">
      <x:c r="A90" s="34" t="str">
        <x:v>article1-unified-v4-2-fb3f101b-20260903-000401-default-f02-p3-caffeine</x:v>
      </x:c>
      <x:c r="B90" s="34" t="str">
        <x:v>default</x:v>
      </x:c>
      <x:c r="C90" s="34" t="str">
        <x:v>caffeine</x:v>
      </x:c>
      <x:c r="D90" s="36" t="n">
        <x:v>2</x:v>
      </x:c>
      <x:c r="E90" s="36" t="n">
        <x:v>2</x:v>
      </x:c>
      <x:c r="F90" s="36" t="n">
        <x:v>3</x:v>
      </x:c>
      <x:c r="G90" s="36" t="n">
        <x:v>5</x:v>
      </x:c>
      <x:c r="H90" s="34" t="str">
        <x:v>initial</x:v>
      </x:c>
      <x:c r="I90" s="34" t="str">
        <x:v>cache-semantics</x:v>
      </x:c>
      <x:c r="J90" s="45" t="b">
        <x:v>1</x:v>
      </x:c>
      <x:c r="K90" s="45" t="b">
        <x:v>1</x:v>
      </x:c>
      <x:c r="L90" s="45" t="b">
        <x:v>1</x:v>
      </x:c>
      <x:c r="M90" s="43" t="n">
        <x:v>400000</x:v>
      </x:c>
      <x:c r="N90" s="43" t="n">
        <x:v>135654144</x:v>
      </x:c>
      <x:c r="O90" s="43" t="n">
        <x:v>27118600.83305417</x:v>
      </x:c>
      <x:c r="P90" s="45" t="b">
        <x:v>1</x:v>
      </x:c>
      <x:c r="Q90" s="45" t="b">
        <x:v>1</x:v>
      </x:c>
      <x:c r="R90" s="45" t="b">
        <x:v>1</x:v>
      </x:c>
      <x:c r="S90" s="43" t="n">
        <x:v>5000000000</x:v>
      </x:c>
      <x:c r="T90" s="43" t="n">
        <x:v>5002254535</x:v>
      </x:c>
      <x:c r="U90" s="45" t="b">
        <x:v>1</x:v>
      </x:c>
      <x:c r="V90" s="34" t="str">
        <x:v>uniform</x:v>
      </x:c>
      <x:c r="W90" s="42" t="n">
        <x:v>95</x:v>
      </x:c>
      <x:c r="X90" s="48" t="n">
        <x:v>0.95</x:v>
      </x:c>
      <x:c r="Y90" s="48" t="n">
        <x:v>0.9499779748711547</x:v>
      </x:c>
      <x:c r="Z90" s="45" t="b">
        <x:v>1</x:v>
      </x:c>
      <x:c r="AA90" s="43" t="n">
        <x:v>10000</x:v>
      </x:c>
      <x:c r="AB90" s="43" t="n">
        <x:v>9900</x:v>
      </x:c>
      <x:c r="AC90" s="43" t="n">
        <x:v>10000</x:v>
      </x:c>
      <x:c r="AD90" s="45" t="b">
        <x:v>1</x:v>
      </x:c>
      <x:c r="AE90" s="43" t="n">
        <x:v>9900</x:v>
      </x:c>
      <x:c r="AF90" s="43"/>
      <x:c r="AG90" s="43" t="n">
        <x:v>10000</x:v>
      </x:c>
      <x:c r="AH90" s="45" t="b">
        <x:v>1</x:v>
      </x:c>
      <x:c r="AI90" s="45" t="b">
        <x:v>1</x:v>
      </x:c>
      <x:c r="AJ90" s="49"/>
      <x:c r="AK90" s="48" t="n">
        <x:v>0.9499779748711547</x:v>
      </x:c>
      <x:c r="AL90" s="49"/>
      <x:c r="AM90" s="49"/>
      <x:c r="AN90" s="36" t="n">
        <x:v>1</x:v>
      </x:c>
      <x:c r="AO90" s="45" t="b">
        <x:v>1</x:v>
      </x:c>
      <x:c r="AP90" s="45" t="b">
        <x:v>1</x:v>
      </x:c>
      <x:c r="AQ90" s="46" t="n">
        <x:f>IF(T90="","",T90/'Readme-Protocol'!$B$24)</x:f>
        <x:v>5.002254535</x:v>
      </x:c>
      <x:c r="AR90" s="46" t="n">
        <x:f>IF(OR(S90="",S90=0),"",T90/S90)</x:f>
        <x:v>1.000450907</x:v>
      </x:c>
      <x:c r="AS90" s="46" t="n">
        <x:f>IF(OR(X90="",Y90=""),"",ABS(Y90-X90)*'Readme-Protocol'!$B$27)</x:f>
        <x:v>0.0022025128845304387</x:v>
      </x:c>
      <x:c r="AT90" s="49" t="b">
        <x:f>AND(M90&gt;0,N90&gt;=0,O90&gt;0)</x:f>
        <x:v>1</x:v>
      </x:c>
      <x:c r="AU90" s="49" t="b">
        <x:f>AND(AT90,N90&gt;=M90)</x:f>
        <x:v>1</x:v>
      </x:c>
      <x:c r="AV90" s="49" t="b">
        <x:f>OR(S90=0,T90&gt;=S90)</x:f>
        <x:v>1</x:v>
      </x:c>
      <x:c r="AW90" s="49" t="b">
        <x:f>IF(I90="cache-semantics",OR(V90&lt;&gt;"uniform",ABS(Y90-W90/'Readme-Protocol'!$B$27)&lt;='Readme-Protocol'!$B$28),TRUE)</x:f>
        <x:v>1</x:v>
      </x:c>
      <x:c r="AX90" s="43" t="n">
        <x:f>IF(I90="cache-semantics",INT(AA90*'Readme-Protocol'!$B$32),"")</x:f>
        <x:v>9900</x:v>
      </x:c>
      <x:c r="AY90" s="49" t="b">
        <x:f>IF(I90="cache-semantics",AX90=AB90,TRUE)</x:f>
        <x:v>1</x:v>
      </x:c>
      <x:c r="AZ90" s="49" t="b">
        <x:f>IF(I90="cache-semantics",AX90=AE90,TRUE)</x:f>
        <x:v>1</x:v>
      </x:c>
      <x:c r="BA90" s="49" t="b">
        <x:f>IF(I90="cache-semantics",AC90&gt;=AX90,IF(I90="no-store-control",AC90=0,FALSE))</x:f>
        <x:v>1</x:v>
      </x:c>
      <x:c r="BB90" s="49" t="b">
        <x:f>IF(I90="cache-semantics",AG90&gt;=AX90,IF(I90="no-store-control",AG90=0,FALSE))</x:f>
        <x:v>1</x:v>
      </x:c>
      <x:c r="BC90" s="49" t="b">
        <x:f>AND(BA90,BB90)</x:f>
        <x:v>1</x:v>
      </x:c>
      <x:c r="BD90" s="49" t="b">
        <x:f>IF(I90="no-store-control",AND(AC90=0,AG90=0),TRUE)</x:f>
        <x:v>1</x:v>
      </x:c>
      <x:c r="BE90" s="49" t="b">
        <x:f>IF(I90="no-store-control",AK90=0,TRUE)</x:f>
        <x:v>1</x:v>
      </x:c>
      <x:c r="BF90" s="49" t="b">
        <x:f>IF(I90="cache-semantics",AN90=1,TRUE)</x:f>
        <x:v>1</x:v>
      </x:c>
      <x:c r="BG90" s="49" t="b">
        <x:f>IF(I90="cache-semantics",AND(AU90,AV90,Q90,AW90,BC90,BF90),IF(I90="no-store-control",AND(AU90,AV90,Q90,BD90,BE90),FALSE))</x:f>
        <x:v>1</x:v>
      </x:c>
      <x:c r="BH90" s="49" t="b">
        <x:f>AND(R90,AT90=P90,AU90=L90,AV90=U90,AY90,AZ90,IF(I90="cache-semantics",AND(AW90=Z90,AND(BA90=AD90,BB90=AH90,BC90=AI90),BF90=AO90),IF(I90="no-store-control",AND(AND(BA90=AD90,BB90=AH90,BC90=AI90),BD90=AJ90,BE90=AL90),FALSE)),BG90=AP90)</x:f>
        <x:v>1</x:v>
      </x:c>
      <x:c r="BI90" s="49" t="b">
        <x:f>AND(J90,K90,BG90)</x:f>
        <x:v>1</x:v>
      </x:c>
    </x:row>
    <x:row r="91">
      <x:c r="A91" s="34" t="str">
        <x:v>article1-unified-v4-2-fb3f101b-20260903-000401-default-f02-p3-caffeine</x:v>
      </x:c>
      <x:c r="B91" s="34" t="str">
        <x:v>default</x:v>
      </x:c>
      <x:c r="C91" s="34" t="str">
        <x:v>caffeine</x:v>
      </x:c>
      <x:c r="D91" s="36" t="n">
        <x:v>2</x:v>
      </x:c>
      <x:c r="E91" s="36" t="n">
        <x:v>2</x:v>
      </x:c>
      <x:c r="F91" s="36" t="n">
        <x:v>3</x:v>
      </x:c>
      <x:c r="G91" s="36" t="n">
        <x:v>5</x:v>
      </x:c>
      <x:c r="H91" s="34" t="str">
        <x:v>redeploy</x:v>
      </x:c>
      <x:c r="I91" s="34" t="str">
        <x:v>cache-semantics</x:v>
      </x:c>
      <x:c r="J91" s="45" t="b">
        <x:v>1</x:v>
      </x:c>
      <x:c r="K91" s="45" t="b">
        <x:v>1</x:v>
      </x:c>
      <x:c r="L91" s="45" t="b">
        <x:v>1</x:v>
      </x:c>
      <x:c r="M91" s="43" t="n">
        <x:v>400000</x:v>
      </x:c>
      <x:c r="N91" s="43" t="n">
        <x:v>132497920</x:v>
      </x:c>
      <x:c r="O91" s="43" t="n">
        <x:v>26487840.594682075</x:v>
      </x:c>
      <x:c r="P91" s="45" t="b">
        <x:v>1</x:v>
      </x:c>
      <x:c r="Q91" s="45" t="b">
        <x:v>1</x:v>
      </x:c>
      <x:c r="R91" s="45" t="b">
        <x:v>1</x:v>
      </x:c>
      <x:c r="S91" s="43" t="n">
        <x:v>5000000000</x:v>
      </x:c>
      <x:c r="T91" s="43" t="n">
        <x:v>5002216754</x:v>
      </x:c>
      <x:c r="U91" s="45" t="b">
        <x:v>1</x:v>
      </x:c>
      <x:c r="V91" s="34" t="str">
        <x:v>uniform</x:v>
      </x:c>
      <x:c r="W91" s="42" t="n">
        <x:v>95</x:v>
      </x:c>
      <x:c r="X91" s="48" t="n">
        <x:v>0.95</x:v>
      </x:c>
      <x:c r="Y91" s="48" t="n">
        <x:v>0.949982037453871</x:v>
      </x:c>
      <x:c r="Z91" s="45" t="b">
        <x:v>1</x:v>
      </x:c>
      <x:c r="AA91" s="43" t="n">
        <x:v>10000</x:v>
      </x:c>
      <x:c r="AB91" s="43" t="n">
        <x:v>9900</x:v>
      </x:c>
      <x:c r="AC91" s="43" t="n">
        <x:v>10000</x:v>
      </x:c>
      <x:c r="AD91" s="45" t="b">
        <x:v>1</x:v>
      </x:c>
      <x:c r="AE91" s="43" t="n">
        <x:v>9900</x:v>
      </x:c>
      <x:c r="AF91" s="43"/>
      <x:c r="AG91" s="43" t="n">
        <x:v>10000</x:v>
      </x:c>
      <x:c r="AH91" s="45" t="b">
        <x:v>1</x:v>
      </x:c>
      <x:c r="AI91" s="45" t="b">
        <x:v>1</x:v>
      </x:c>
      <x:c r="AJ91" s="49"/>
      <x:c r="AK91" s="48" t="n">
        <x:v>0.949982037453871</x:v>
      </x:c>
      <x:c r="AL91" s="49"/>
      <x:c r="AM91" s="49"/>
      <x:c r="AN91" s="36" t="n">
        <x:v>1</x:v>
      </x:c>
      <x:c r="AO91" s="45" t="b">
        <x:v>1</x:v>
      </x:c>
      <x:c r="AP91" s="45" t="b">
        <x:v>1</x:v>
      </x:c>
      <x:c r="AQ91" s="46" t="n">
        <x:f>IF(T91="","",T91/'Readme-Protocol'!$B$24)</x:f>
        <x:v>5.002216754</x:v>
      </x:c>
      <x:c r="AR91" s="46" t="n">
        <x:f>IF(OR(S91="",S91=0),"",T91/S91)</x:f>
        <x:v>1.0004433508</x:v>
      </x:c>
      <x:c r="AS91" s="46" t="n">
        <x:f>IF(OR(X91="",Y91=""),"",ABS(Y91-X91)*'Readme-Protocol'!$B$27)</x:f>
        <x:v>0.0017962546128957868</x:v>
      </x:c>
      <x:c r="AT91" s="49" t="b">
        <x:f>AND(M91&gt;0,N91&gt;=0,O91&gt;0)</x:f>
        <x:v>1</x:v>
      </x:c>
      <x:c r="AU91" s="49" t="b">
        <x:f>AND(AT91,N91&gt;=M91)</x:f>
        <x:v>1</x:v>
      </x:c>
      <x:c r="AV91" s="49" t="b">
        <x:f>OR(S91=0,T91&gt;=S91)</x:f>
        <x:v>1</x:v>
      </x:c>
      <x:c r="AW91" s="49" t="b">
        <x:f>IF(I91="cache-semantics",OR(V91&lt;&gt;"uniform",ABS(Y91-W91/'Readme-Protocol'!$B$27)&lt;='Readme-Protocol'!$B$28),TRUE)</x:f>
        <x:v>1</x:v>
      </x:c>
      <x:c r="AX91" s="43" t="n">
        <x:f>IF(I91="cache-semantics",INT(AA91*'Readme-Protocol'!$B$32),"")</x:f>
        <x:v>9900</x:v>
      </x:c>
      <x:c r="AY91" s="49" t="b">
        <x:f>IF(I91="cache-semantics",AX91=AB91,TRUE)</x:f>
        <x:v>1</x:v>
      </x:c>
      <x:c r="AZ91" s="49" t="b">
        <x:f>IF(I91="cache-semantics",AX91=AE91,TRUE)</x:f>
        <x:v>1</x:v>
      </x:c>
      <x:c r="BA91" s="49" t="b">
        <x:f>IF(I91="cache-semantics",AC91&gt;=AX91,IF(I91="no-store-control",AC91=0,FALSE))</x:f>
        <x:v>1</x:v>
      </x:c>
      <x:c r="BB91" s="49" t="b">
        <x:f>IF(I91="cache-semantics",AG91&gt;=AX91,IF(I91="no-store-control",AG91=0,FALSE))</x:f>
        <x:v>1</x:v>
      </x:c>
      <x:c r="BC91" s="49" t="b">
        <x:f>AND(BA91,BB91)</x:f>
        <x:v>1</x:v>
      </x:c>
      <x:c r="BD91" s="49" t="b">
        <x:f>IF(I91="no-store-control",AND(AC91=0,AG91=0),TRUE)</x:f>
        <x:v>1</x:v>
      </x:c>
      <x:c r="BE91" s="49" t="b">
        <x:f>IF(I91="no-store-control",AK91=0,TRUE)</x:f>
        <x:v>1</x:v>
      </x:c>
      <x:c r="BF91" s="49" t="b">
        <x:f>IF(I91="cache-semantics",AN91=1,TRUE)</x:f>
        <x:v>1</x:v>
      </x:c>
      <x:c r="BG91" s="49" t="b">
        <x:f>IF(I91="cache-semantics",AND(AU91,AV91,Q91,AW91,BC91,BF91),IF(I91="no-store-control",AND(AU91,AV91,Q91,BD91,BE91),FALSE))</x:f>
        <x:v>1</x:v>
      </x:c>
      <x:c r="BH91" s="49" t="b">
        <x:f>AND(R91,AT91=P91,AU91=L91,AV91=U91,AY91,AZ91,IF(I91="cache-semantics",AND(AW91=Z91,AND(BA91=AD91,BB91=AH91,BC91=AI91),BF91=AO91),IF(I91="no-store-control",AND(AND(BA91=AD91,BB91=AH91,BC91=AI91),BD91=AJ91,BE91=AL91),FALSE)),BG91=AP91)</x:f>
        <x:v>1</x:v>
      </x:c>
      <x:c r="BI91" s="49" t="b">
        <x:f>AND(J91,K91,BG91)</x:f>
        <x:v>1</x:v>
      </x:c>
    </x:row>
    <x:row r="92">
      <x:c r="A92" s="34" t="str">
        <x:v>article1-unified-v4-2-fb3f101b-20260903-000401-default-f02-p4-jcs4</x:v>
      </x:c>
      <x:c r="B92" s="34" t="str">
        <x:v>default</x:v>
      </x:c>
      <x:c r="C92" s="34" t="str">
        <x:v>jcs4</x:v>
      </x:c>
      <x:c r="D92" s="36" t="n">
        <x:v>2</x:v>
      </x:c>
      <x:c r="E92" s="36" t="n">
        <x:v>2</x:v>
      </x:c>
      <x:c r="F92" s="36" t="n">
        <x:v>4</x:v>
      </x:c>
      <x:c r="G92" s="36" t="n">
        <x:v>1</x:v>
      </x:c>
      <x:c r="H92" s="34" t="str">
        <x:v>initial</x:v>
      </x:c>
      <x:c r="I92" s="34" t="str">
        <x:v>cache-semantics</x:v>
      </x:c>
      <x:c r="J92" s="45" t="b">
        <x:v>1</x:v>
      </x:c>
      <x:c r="K92" s="45" t="b">
        <x:v>1</x:v>
      </x:c>
      <x:c r="L92" s="45" t="b">
        <x:v>1</x:v>
      </x:c>
      <x:c r="M92" s="43" t="n">
        <x:v>400000</x:v>
      </x:c>
      <x:c r="N92" s="43" t="n">
        <x:v>6094848</x:v>
      </x:c>
      <x:c r="O92" s="43" t="n">
        <x:v>1218743.157765036</x:v>
      </x:c>
      <x:c r="P92" s="45" t="b">
        <x:v>1</x:v>
      </x:c>
      <x:c r="Q92" s="45" t="b">
        <x:v>1</x:v>
      </x:c>
      <x:c r="R92" s="45" t="b">
        <x:v>1</x:v>
      </x:c>
      <x:c r="S92" s="43" t="n">
        <x:v>5000000000</x:v>
      </x:c>
      <x:c r="T92" s="43" t="n">
        <x:v>5000928999</x:v>
      </x:c>
      <x:c r="U92" s="45" t="b">
        <x:v>1</x:v>
      </x:c>
      <x:c r="V92" s="34" t="str">
        <x:v>uniform</x:v>
      </x:c>
      <x:c r="W92" s="42" t="n">
        <x:v>95</x:v>
      </x:c>
      <x:c r="X92" s="48" t="n">
        <x:v>0.95</x:v>
      </x:c>
      <x:c r="Y92" s="48" t="n">
        <x:v>0.9498268045404906</x:v>
      </x:c>
      <x:c r="Z92" s="45" t="b">
        <x:v>1</x:v>
      </x:c>
      <x:c r="AA92" s="43" t="n">
        <x:v>10000</x:v>
      </x:c>
      <x:c r="AB92" s="43" t="n">
        <x:v>9900</x:v>
      </x:c>
      <x:c r="AC92" s="43" t="n">
        <x:v>10000</x:v>
      </x:c>
      <x:c r="AD92" s="45" t="b">
        <x:v>1</x:v>
      </x:c>
      <x:c r="AE92" s="43" t="n">
        <x:v>9900</x:v>
      </x:c>
      <x:c r="AF92" s="43"/>
      <x:c r="AG92" s="43" t="n">
        <x:v>10000</x:v>
      </x:c>
      <x:c r="AH92" s="45" t="b">
        <x:v>1</x:v>
      </x:c>
      <x:c r="AI92" s="45" t="b">
        <x:v>1</x:v>
      </x:c>
      <x:c r="AJ92" s="49"/>
      <x:c r="AK92" s="48" t="n">
        <x:v>0.9498268045404906</x:v>
      </x:c>
      <x:c r="AL92" s="49"/>
      <x:c r="AM92" s="49"/>
      <x:c r="AN92" s="36" t="n">
        <x:v>1</x:v>
      </x:c>
      <x:c r="AO92" s="45" t="b">
        <x:v>1</x:v>
      </x:c>
      <x:c r="AP92" s="45" t="b">
        <x:v>1</x:v>
      </x:c>
      <x:c r="AQ92" s="46" t="n">
        <x:f>IF(T92="","",T92/'Readme-Protocol'!$B$24)</x:f>
        <x:v>5.000928999</x:v>
      </x:c>
      <x:c r="AR92" s="46" t="n">
        <x:f>IF(OR(S92="",S92=0),"",T92/S92)</x:f>
        <x:v>1.0001857998</x:v>
      </x:c>
      <x:c r="AS92" s="46" t="n">
        <x:f>IF(OR(X92="",Y92=""),"",ABS(Y92-X92)*'Readme-Protocol'!$B$27)</x:f>
        <x:v>0.017319545950933435</x:v>
      </x:c>
      <x:c r="AT92" s="49" t="b">
        <x:f>AND(M92&gt;0,N92&gt;=0,O92&gt;0)</x:f>
        <x:v>1</x:v>
      </x:c>
      <x:c r="AU92" s="49" t="b">
        <x:f>AND(AT92,N92&gt;=M92)</x:f>
        <x:v>1</x:v>
      </x:c>
      <x:c r="AV92" s="49" t="b">
        <x:f>OR(S92=0,T92&gt;=S92)</x:f>
        <x:v>1</x:v>
      </x:c>
      <x:c r="AW92" s="49" t="b">
        <x:f>IF(I92="cache-semantics",OR(V92&lt;&gt;"uniform",ABS(Y92-W92/'Readme-Protocol'!$B$27)&lt;='Readme-Protocol'!$B$28),TRUE)</x:f>
        <x:v>1</x:v>
      </x:c>
      <x:c r="AX92" s="43" t="n">
        <x:f>IF(I92="cache-semantics",INT(AA92*'Readme-Protocol'!$B$32),"")</x:f>
        <x:v>9900</x:v>
      </x:c>
      <x:c r="AY92" s="49" t="b">
        <x:f>IF(I92="cache-semantics",AX92=AB92,TRUE)</x:f>
        <x:v>1</x:v>
      </x:c>
      <x:c r="AZ92" s="49" t="b">
        <x:f>IF(I92="cache-semantics",AX92=AE92,TRUE)</x:f>
        <x:v>1</x:v>
      </x:c>
      <x:c r="BA92" s="49" t="b">
        <x:f>IF(I92="cache-semantics",AC92&gt;=AX92,IF(I92="no-store-control",AC92=0,FALSE))</x:f>
        <x:v>1</x:v>
      </x:c>
      <x:c r="BB92" s="49" t="b">
        <x:f>IF(I92="cache-semantics",AG92&gt;=AX92,IF(I92="no-store-control",AG92=0,FALSE))</x:f>
        <x:v>1</x:v>
      </x:c>
      <x:c r="BC92" s="49" t="b">
        <x:f>AND(BA92,BB92)</x:f>
        <x:v>1</x:v>
      </x:c>
      <x:c r="BD92" s="49" t="b">
        <x:f>IF(I92="no-store-control",AND(AC92=0,AG92=0),TRUE)</x:f>
        <x:v>1</x:v>
      </x:c>
      <x:c r="BE92" s="49" t="b">
        <x:f>IF(I92="no-store-control",AK92=0,TRUE)</x:f>
        <x:v>1</x:v>
      </x:c>
      <x:c r="BF92" s="49" t="b">
        <x:f>IF(I92="cache-semantics",AN92=1,TRUE)</x:f>
        <x:v>1</x:v>
      </x:c>
      <x:c r="BG92" s="49" t="b">
        <x:f>IF(I92="cache-semantics",AND(AU92,AV92,Q92,AW92,BC92,BF92),IF(I92="no-store-control",AND(AU92,AV92,Q92,BD92,BE92),FALSE))</x:f>
        <x:v>1</x:v>
      </x:c>
      <x:c r="BH92" s="49" t="b">
        <x:f>AND(R92,AT92=P92,AU92=L92,AV92=U92,AY92,AZ92,IF(I92="cache-semantics",AND(AW92=Z92,AND(BA92=AD92,BB92=AH92,BC92=AI92),BF92=AO92),IF(I92="no-store-control",AND(AND(BA92=AD92,BB92=AH92,BC92=AI92),BD92=AJ92,BE92=AL92),FALSE)),BG92=AP92)</x:f>
        <x:v>1</x:v>
      </x:c>
      <x:c r="BI92" s="49" t="b">
        <x:f>AND(J92,K92,BG92)</x:f>
        <x:v>1</x:v>
      </x:c>
    </x:row>
    <x:row r="93">
      <x:c r="A93" s="34" t="str">
        <x:v>article1-unified-v4-2-fb3f101b-20260903-000401-default-f02-p4-jcs4</x:v>
      </x:c>
      <x:c r="B93" s="34" t="str">
        <x:v>default</x:v>
      </x:c>
      <x:c r="C93" s="34" t="str">
        <x:v>jcs4</x:v>
      </x:c>
      <x:c r="D93" s="36" t="n">
        <x:v>2</x:v>
      </x:c>
      <x:c r="E93" s="36" t="n">
        <x:v>2</x:v>
      </x:c>
      <x:c r="F93" s="36" t="n">
        <x:v>4</x:v>
      </x:c>
      <x:c r="G93" s="36" t="n">
        <x:v>1</x:v>
      </x:c>
      <x:c r="H93" s="34" t="str">
        <x:v>redeploy</x:v>
      </x:c>
      <x:c r="I93" s="34" t="str">
        <x:v>cache-semantics</x:v>
      </x:c>
      <x:c r="J93" s="45" t="b">
        <x:v>1</x:v>
      </x:c>
      <x:c r="K93" s="45" t="b">
        <x:v>1</x:v>
      </x:c>
      <x:c r="L93" s="45" t="b">
        <x:v>1</x:v>
      </x:c>
      <x:c r="M93" s="43" t="n">
        <x:v>400000</x:v>
      </x:c>
      <x:c r="N93" s="43" t="n">
        <x:v>4042240</x:v>
      </x:c>
      <x:c r="O93" s="43" t="n">
        <x:v>808191.0432547929</x:v>
      </x:c>
      <x:c r="P93" s="45" t="b">
        <x:v>1</x:v>
      </x:c>
      <x:c r="Q93" s="45" t="b">
        <x:v>1</x:v>
      </x:c>
      <x:c r="R93" s="45" t="b">
        <x:v>1</x:v>
      </x:c>
      <x:c r="S93" s="43" t="n">
        <x:v>5000000000</x:v>
      </x:c>
      <x:c r="T93" s="43" t="n">
        <x:v>5001589703</x:v>
      </x:c>
      <x:c r="U93" s="45" t="b">
        <x:v>1</x:v>
      </x:c>
      <x:c r="V93" s="34" t="str">
        <x:v>uniform</x:v>
      </x:c>
      <x:c r="W93" s="42" t="n">
        <x:v>95</x:v>
      </x:c>
      <x:c r="X93" s="48" t="n">
        <x:v>0.95</x:v>
      </x:c>
      <x:c r="Y93" s="48" t="n">
        <x:v>0.9498206439993667</x:v>
      </x:c>
      <x:c r="Z93" s="45" t="b">
        <x:v>1</x:v>
      </x:c>
      <x:c r="AA93" s="43" t="n">
        <x:v>10000</x:v>
      </x:c>
      <x:c r="AB93" s="43" t="n">
        <x:v>9900</x:v>
      </x:c>
      <x:c r="AC93" s="43" t="n">
        <x:v>10000</x:v>
      </x:c>
      <x:c r="AD93" s="45" t="b">
        <x:v>1</x:v>
      </x:c>
      <x:c r="AE93" s="43" t="n">
        <x:v>9900</x:v>
      </x:c>
      <x:c r="AF93" s="43"/>
      <x:c r="AG93" s="43" t="n">
        <x:v>10000</x:v>
      </x:c>
      <x:c r="AH93" s="45" t="b">
        <x:v>1</x:v>
      </x:c>
      <x:c r="AI93" s="45" t="b">
        <x:v>1</x:v>
      </x:c>
      <x:c r="AJ93" s="49"/>
      <x:c r="AK93" s="48" t="n">
        <x:v>0.9498206439993667</x:v>
      </x:c>
      <x:c r="AL93" s="49"/>
      <x:c r="AM93" s="49"/>
      <x:c r="AN93" s="36" t="n">
        <x:v>1</x:v>
      </x:c>
      <x:c r="AO93" s="45" t="b">
        <x:v>1</x:v>
      </x:c>
      <x:c r="AP93" s="45" t="b">
        <x:v>1</x:v>
      </x:c>
      <x:c r="AQ93" s="46" t="n">
        <x:f>IF(T93="","",T93/'Readme-Protocol'!$B$24)</x:f>
        <x:v>5.001589703</x:v>
      </x:c>
      <x:c r="AR93" s="46" t="n">
        <x:f>IF(OR(S93="",S93=0),"",T93/S93)</x:f>
        <x:v>1.0003179406</x:v>
      </x:c>
      <x:c r="AS93" s="46" t="n">
        <x:f>IF(OR(X93="",Y93=""),"",ABS(Y93-X93)*'Readme-Protocol'!$B$27)</x:f>
        <x:v>0.01793560006332351</x:v>
      </x:c>
      <x:c r="AT93" s="49" t="b">
        <x:f>AND(M93&gt;0,N93&gt;=0,O93&gt;0)</x:f>
        <x:v>1</x:v>
      </x:c>
      <x:c r="AU93" s="49" t="b">
        <x:f>AND(AT93,N93&gt;=M93)</x:f>
        <x:v>1</x:v>
      </x:c>
      <x:c r="AV93" s="49" t="b">
        <x:f>OR(S93=0,T93&gt;=S93)</x:f>
        <x:v>1</x:v>
      </x:c>
      <x:c r="AW93" s="49" t="b">
        <x:f>IF(I93="cache-semantics",OR(V93&lt;&gt;"uniform",ABS(Y93-W93/'Readme-Protocol'!$B$27)&lt;='Readme-Protocol'!$B$28),TRUE)</x:f>
        <x:v>1</x:v>
      </x:c>
      <x:c r="AX93" s="43" t="n">
        <x:f>IF(I93="cache-semantics",INT(AA93*'Readme-Protocol'!$B$32),"")</x:f>
        <x:v>9900</x:v>
      </x:c>
      <x:c r="AY93" s="49" t="b">
        <x:f>IF(I93="cache-semantics",AX93=AB93,TRUE)</x:f>
        <x:v>1</x:v>
      </x:c>
      <x:c r="AZ93" s="49" t="b">
        <x:f>IF(I93="cache-semantics",AX93=AE93,TRUE)</x:f>
        <x:v>1</x:v>
      </x:c>
      <x:c r="BA93" s="49" t="b">
        <x:f>IF(I93="cache-semantics",AC93&gt;=AX93,IF(I93="no-store-control",AC93=0,FALSE))</x:f>
        <x:v>1</x:v>
      </x:c>
      <x:c r="BB93" s="49" t="b">
        <x:f>IF(I93="cache-semantics",AG93&gt;=AX93,IF(I93="no-store-control",AG93=0,FALSE))</x:f>
        <x:v>1</x:v>
      </x:c>
      <x:c r="BC93" s="49" t="b">
        <x:f>AND(BA93,BB93)</x:f>
        <x:v>1</x:v>
      </x:c>
      <x:c r="BD93" s="49" t="b">
        <x:f>IF(I93="no-store-control",AND(AC93=0,AG93=0),TRUE)</x:f>
        <x:v>1</x:v>
      </x:c>
      <x:c r="BE93" s="49" t="b">
        <x:f>IF(I93="no-store-control",AK93=0,TRUE)</x:f>
        <x:v>1</x:v>
      </x:c>
      <x:c r="BF93" s="49" t="b">
        <x:f>IF(I93="cache-semantics",AN93=1,TRUE)</x:f>
        <x:v>1</x:v>
      </x:c>
      <x:c r="BG93" s="49" t="b">
        <x:f>IF(I93="cache-semantics",AND(AU93,AV93,Q93,AW93,BC93,BF93),IF(I93="no-store-control",AND(AU93,AV93,Q93,BD93,BE93),FALSE))</x:f>
        <x:v>1</x:v>
      </x:c>
      <x:c r="BH93" s="49" t="b">
        <x:f>AND(R93,AT93=P93,AU93=L93,AV93=U93,AY93,AZ93,IF(I93="cache-semantics",AND(AW93=Z93,AND(BA93=AD93,BB93=AH93,BC93=AI93),BF93=AO93),IF(I93="no-store-control",AND(AND(BA93=AD93,BB93=AH93,BC93=AI93),BD93=AJ93,BE93=AL93),FALSE)),BG93=AP93)</x:f>
        <x:v>1</x:v>
      </x:c>
      <x:c r="BI93" s="49" t="b">
        <x:f>AND(J93,K93,BG93)</x:f>
        <x:v>1</x:v>
      </x:c>
    </x:row>
    <x:row r="94">
      <x:c r="A94" s="34" t="str">
        <x:v>article1-unified-v4-2-fb3f101b-20260903-000401-default-f02-p4-jcs4</x:v>
      </x:c>
      <x:c r="B94" s="34" t="str">
        <x:v>default</x:v>
      </x:c>
      <x:c r="C94" s="34" t="str">
        <x:v>jcs4</x:v>
      </x:c>
      <x:c r="D94" s="36" t="n">
        <x:v>2</x:v>
      </x:c>
      <x:c r="E94" s="36" t="n">
        <x:v>2</x:v>
      </x:c>
      <x:c r="F94" s="36" t="n">
        <x:v>4</x:v>
      </x:c>
      <x:c r="G94" s="36" t="n">
        <x:v>2</x:v>
      </x:c>
      <x:c r="H94" s="34" t="str">
        <x:v>initial</x:v>
      </x:c>
      <x:c r="I94" s="34" t="str">
        <x:v>cache-semantics</x:v>
      </x:c>
      <x:c r="J94" s="45" t="b">
        <x:v>1</x:v>
      </x:c>
      <x:c r="K94" s="45" t="b">
        <x:v>1</x:v>
      </x:c>
      <x:c r="L94" s="45" t="b">
        <x:v>1</x:v>
      </x:c>
      <x:c r="M94" s="43" t="n">
        <x:v>400000</x:v>
      </x:c>
      <x:c r="N94" s="43" t="n">
        <x:v>4281856</x:v>
      </x:c>
      <x:c r="O94" s="43" t="n">
        <x:v>856131.3993073169</x:v>
      </x:c>
      <x:c r="P94" s="45" t="b">
        <x:v>1</x:v>
      </x:c>
      <x:c r="Q94" s="45" t="b">
        <x:v>1</x:v>
      </x:c>
      <x:c r="R94" s="45" t="b">
        <x:v>1</x:v>
      </x:c>
      <x:c r="S94" s="43" t="n">
        <x:v>5000000000</x:v>
      </x:c>
      <x:c r="T94" s="43" t="n">
        <x:v>5001400490</x:v>
      </x:c>
      <x:c r="U94" s="45" t="b">
        <x:v>1</x:v>
      </x:c>
      <x:c r="V94" s="34" t="str">
        <x:v>uniform</x:v>
      </x:c>
      <x:c r="W94" s="42" t="n">
        <x:v>95</x:v>
      </x:c>
      <x:c r="X94" s="48" t="n">
        <x:v>0.95</x:v>
      </x:c>
      <x:c r="Y94" s="48" t="n">
        <x:v>0.9492575182350831</x:v>
      </x:c>
      <x:c r="Z94" s="45" t="b">
        <x:v>1</x:v>
      </x:c>
      <x:c r="AA94" s="43" t="n">
        <x:v>10000</x:v>
      </x:c>
      <x:c r="AB94" s="43" t="n">
        <x:v>9900</x:v>
      </x:c>
      <x:c r="AC94" s="43" t="n">
        <x:v>10000</x:v>
      </x:c>
      <x:c r="AD94" s="45" t="b">
        <x:v>1</x:v>
      </x:c>
      <x:c r="AE94" s="43" t="n">
        <x:v>9900</x:v>
      </x:c>
      <x:c r="AF94" s="43"/>
      <x:c r="AG94" s="43" t="n">
        <x:v>10000</x:v>
      </x:c>
      <x:c r="AH94" s="45" t="b">
        <x:v>1</x:v>
      </x:c>
      <x:c r="AI94" s="45" t="b">
        <x:v>1</x:v>
      </x:c>
      <x:c r="AJ94" s="49"/>
      <x:c r="AK94" s="48" t="n">
        <x:v>0.9492575182350831</x:v>
      </x:c>
      <x:c r="AL94" s="49"/>
      <x:c r="AM94" s="49"/>
      <x:c r="AN94" s="36" t="n">
        <x:v>1</x:v>
      </x:c>
      <x:c r="AO94" s="45" t="b">
        <x:v>1</x:v>
      </x:c>
      <x:c r="AP94" s="45" t="b">
        <x:v>1</x:v>
      </x:c>
      <x:c r="AQ94" s="46" t="n">
        <x:f>IF(T94="","",T94/'Readme-Protocol'!$B$24)</x:f>
        <x:v>5.00140049</x:v>
      </x:c>
      <x:c r="AR94" s="46" t="n">
        <x:f>IF(OR(S94="",S94=0),"",T94/S94)</x:f>
        <x:v>1.000280098</x:v>
      </x:c>
      <x:c r="AS94" s="46" t="n">
        <x:f>IF(OR(X94="",Y94=""),"",ABS(Y94-X94)*'Readme-Protocol'!$B$27)</x:f>
        <x:v>0.07424817649168691</x:v>
      </x:c>
      <x:c r="AT94" s="49" t="b">
        <x:f>AND(M94&gt;0,N94&gt;=0,O94&gt;0)</x:f>
        <x:v>1</x:v>
      </x:c>
      <x:c r="AU94" s="49" t="b">
        <x:f>AND(AT94,N94&gt;=M94)</x:f>
        <x:v>1</x:v>
      </x:c>
      <x:c r="AV94" s="49" t="b">
        <x:f>OR(S94=0,T94&gt;=S94)</x:f>
        <x:v>1</x:v>
      </x:c>
      <x:c r="AW94" s="49" t="b">
        <x:f>IF(I94="cache-semantics",OR(V94&lt;&gt;"uniform",ABS(Y94-W94/'Readme-Protocol'!$B$27)&lt;='Readme-Protocol'!$B$28),TRUE)</x:f>
        <x:v>1</x:v>
      </x:c>
      <x:c r="AX94" s="43" t="n">
        <x:f>IF(I94="cache-semantics",INT(AA94*'Readme-Protocol'!$B$32),"")</x:f>
        <x:v>9900</x:v>
      </x:c>
      <x:c r="AY94" s="49" t="b">
        <x:f>IF(I94="cache-semantics",AX94=AB94,TRUE)</x:f>
        <x:v>1</x:v>
      </x:c>
      <x:c r="AZ94" s="49" t="b">
        <x:f>IF(I94="cache-semantics",AX94=AE94,TRUE)</x:f>
        <x:v>1</x:v>
      </x:c>
      <x:c r="BA94" s="49" t="b">
        <x:f>IF(I94="cache-semantics",AC94&gt;=AX94,IF(I94="no-store-control",AC94=0,FALSE))</x:f>
        <x:v>1</x:v>
      </x:c>
      <x:c r="BB94" s="49" t="b">
        <x:f>IF(I94="cache-semantics",AG94&gt;=AX94,IF(I94="no-store-control",AG94=0,FALSE))</x:f>
        <x:v>1</x:v>
      </x:c>
      <x:c r="BC94" s="49" t="b">
        <x:f>AND(BA94,BB94)</x:f>
        <x:v>1</x:v>
      </x:c>
      <x:c r="BD94" s="49" t="b">
        <x:f>IF(I94="no-store-control",AND(AC94=0,AG94=0),TRUE)</x:f>
        <x:v>1</x:v>
      </x:c>
      <x:c r="BE94" s="49" t="b">
        <x:f>IF(I94="no-store-control",AK94=0,TRUE)</x:f>
        <x:v>1</x:v>
      </x:c>
      <x:c r="BF94" s="49" t="b">
        <x:f>IF(I94="cache-semantics",AN94=1,TRUE)</x:f>
        <x:v>1</x:v>
      </x:c>
      <x:c r="BG94" s="49" t="b">
        <x:f>IF(I94="cache-semantics",AND(AU94,AV94,Q94,AW94,BC94,BF94),IF(I94="no-store-control",AND(AU94,AV94,Q94,BD94,BE94),FALSE))</x:f>
        <x:v>1</x:v>
      </x:c>
      <x:c r="BH94" s="49" t="b">
        <x:f>AND(R94,AT94=P94,AU94=L94,AV94=U94,AY94,AZ94,IF(I94="cache-semantics",AND(AW94=Z94,AND(BA94=AD94,BB94=AH94,BC94=AI94),BF94=AO94),IF(I94="no-store-control",AND(AND(BA94=AD94,BB94=AH94,BC94=AI94),BD94=AJ94,BE94=AL94),FALSE)),BG94=AP94)</x:f>
        <x:v>1</x:v>
      </x:c>
      <x:c r="BI94" s="49" t="b">
        <x:f>AND(J94,K94,BG94)</x:f>
        <x:v>1</x:v>
      </x:c>
    </x:row>
    <x:row r="95">
      <x:c r="A95" s="34" t="str">
        <x:v>article1-unified-v4-2-fb3f101b-20260903-000401-default-f02-p4-jcs4</x:v>
      </x:c>
      <x:c r="B95" s="34" t="str">
        <x:v>default</x:v>
      </x:c>
      <x:c r="C95" s="34" t="str">
        <x:v>jcs4</x:v>
      </x:c>
      <x:c r="D95" s="36" t="n">
        <x:v>2</x:v>
      </x:c>
      <x:c r="E95" s="36" t="n">
        <x:v>2</x:v>
      </x:c>
      <x:c r="F95" s="36" t="n">
        <x:v>4</x:v>
      </x:c>
      <x:c r="G95" s="36" t="n">
        <x:v>2</x:v>
      </x:c>
      <x:c r="H95" s="34" t="str">
        <x:v>redeploy</x:v>
      </x:c>
      <x:c r="I95" s="34" t="str">
        <x:v>cache-semantics</x:v>
      </x:c>
      <x:c r="J95" s="45" t="b">
        <x:v>1</x:v>
      </x:c>
      <x:c r="K95" s="45" t="b">
        <x:v>1</x:v>
      </x:c>
      <x:c r="L95" s="45" t="b">
        <x:v>1</x:v>
      </x:c>
      <x:c r="M95" s="43" t="n">
        <x:v>400000</x:v>
      </x:c>
      <x:c r="N95" s="43" t="n">
        <x:v>4184320</x:v>
      </x:c>
      <x:c r="O95" s="43" t="n">
        <x:v>836683.7997286437</x:v>
      </x:c>
      <x:c r="P95" s="45" t="b">
        <x:v>1</x:v>
      </x:c>
      <x:c r="Q95" s="45" t="b">
        <x:v>1</x:v>
      </x:c>
      <x:c r="R95" s="45" t="b">
        <x:v>1</x:v>
      </x:c>
      <x:c r="S95" s="43" t="n">
        <x:v>5000000000</x:v>
      </x:c>
      <x:c r="T95" s="43" t="n">
        <x:v>5001076872</x:v>
      </x:c>
      <x:c r="U95" s="45" t="b">
        <x:v>1</x:v>
      </x:c>
      <x:c r="V95" s="34" t="str">
        <x:v>uniform</x:v>
      </x:c>
      <x:c r="W95" s="42" t="n">
        <x:v>95</x:v>
      </x:c>
      <x:c r="X95" s="48" t="n">
        <x:v>0.95</x:v>
      </x:c>
      <x:c r="Y95" s="48" t="n">
        <x:v>0.9492665474915877</x:v>
      </x:c>
      <x:c r="Z95" s="45" t="b">
        <x:v>1</x:v>
      </x:c>
      <x:c r="AA95" s="43" t="n">
        <x:v>10000</x:v>
      </x:c>
      <x:c r="AB95" s="43" t="n">
        <x:v>9900</x:v>
      </x:c>
      <x:c r="AC95" s="43" t="n">
        <x:v>10000</x:v>
      </x:c>
      <x:c r="AD95" s="45" t="b">
        <x:v>1</x:v>
      </x:c>
      <x:c r="AE95" s="43" t="n">
        <x:v>9900</x:v>
      </x:c>
      <x:c r="AF95" s="43"/>
      <x:c r="AG95" s="43" t="n">
        <x:v>10000</x:v>
      </x:c>
      <x:c r="AH95" s="45" t="b">
        <x:v>1</x:v>
      </x:c>
      <x:c r="AI95" s="45" t="b">
        <x:v>1</x:v>
      </x:c>
      <x:c r="AJ95" s="49"/>
      <x:c r="AK95" s="48" t="n">
        <x:v>0.9492665474915877</x:v>
      </x:c>
      <x:c r="AL95" s="49"/>
      <x:c r="AM95" s="49"/>
      <x:c r="AN95" s="36" t="n">
        <x:v>1</x:v>
      </x:c>
      <x:c r="AO95" s="45" t="b">
        <x:v>1</x:v>
      </x:c>
      <x:c r="AP95" s="45" t="b">
        <x:v>1</x:v>
      </x:c>
      <x:c r="AQ95" s="46" t="n">
        <x:f>IF(T95="","",T95/'Readme-Protocol'!$B$24)</x:f>
        <x:v>5.001076872</x:v>
      </x:c>
      <x:c r="AR95" s="46" t="n">
        <x:f>IF(OR(S95="",S95=0),"",T95/S95)</x:f>
        <x:v>1.0002153744</x:v>
      </x:c>
      <x:c r="AS95" s="46" t="n">
        <x:f>IF(OR(X95="",Y95=""),"",ABS(Y95-X95)*'Readme-Protocol'!$B$27)</x:f>
        <x:v>0.073345250841228</x:v>
      </x:c>
      <x:c r="AT95" s="49" t="b">
        <x:f>AND(M95&gt;0,N95&gt;=0,O95&gt;0)</x:f>
        <x:v>1</x:v>
      </x:c>
      <x:c r="AU95" s="49" t="b">
        <x:f>AND(AT95,N95&gt;=M95)</x:f>
        <x:v>1</x:v>
      </x:c>
      <x:c r="AV95" s="49" t="b">
        <x:f>OR(S95=0,T95&gt;=S95)</x:f>
        <x:v>1</x:v>
      </x:c>
      <x:c r="AW95" s="49" t="b">
        <x:f>IF(I95="cache-semantics",OR(V95&lt;&gt;"uniform",ABS(Y95-W95/'Readme-Protocol'!$B$27)&lt;='Readme-Protocol'!$B$28),TRUE)</x:f>
        <x:v>1</x:v>
      </x:c>
      <x:c r="AX95" s="43" t="n">
        <x:f>IF(I95="cache-semantics",INT(AA95*'Readme-Protocol'!$B$32),"")</x:f>
        <x:v>9900</x:v>
      </x:c>
      <x:c r="AY95" s="49" t="b">
        <x:f>IF(I95="cache-semantics",AX95=AB95,TRUE)</x:f>
        <x:v>1</x:v>
      </x:c>
      <x:c r="AZ95" s="49" t="b">
        <x:f>IF(I95="cache-semantics",AX95=AE95,TRUE)</x:f>
        <x:v>1</x:v>
      </x:c>
      <x:c r="BA95" s="49" t="b">
        <x:f>IF(I95="cache-semantics",AC95&gt;=AX95,IF(I95="no-store-control",AC95=0,FALSE))</x:f>
        <x:v>1</x:v>
      </x:c>
      <x:c r="BB95" s="49" t="b">
        <x:f>IF(I95="cache-semantics",AG95&gt;=AX95,IF(I95="no-store-control",AG95=0,FALSE))</x:f>
        <x:v>1</x:v>
      </x:c>
      <x:c r="BC95" s="49" t="b">
        <x:f>AND(BA95,BB95)</x:f>
        <x:v>1</x:v>
      </x:c>
      <x:c r="BD95" s="49" t="b">
        <x:f>IF(I95="no-store-control",AND(AC95=0,AG95=0),TRUE)</x:f>
        <x:v>1</x:v>
      </x:c>
      <x:c r="BE95" s="49" t="b">
        <x:f>IF(I95="no-store-control",AK95=0,TRUE)</x:f>
        <x:v>1</x:v>
      </x:c>
      <x:c r="BF95" s="49" t="b">
        <x:f>IF(I95="cache-semantics",AN95=1,TRUE)</x:f>
        <x:v>1</x:v>
      </x:c>
      <x:c r="BG95" s="49" t="b">
        <x:f>IF(I95="cache-semantics",AND(AU95,AV95,Q95,AW95,BC95,BF95),IF(I95="no-store-control",AND(AU95,AV95,Q95,BD95,BE95),FALSE))</x:f>
        <x:v>1</x:v>
      </x:c>
      <x:c r="BH95" s="49" t="b">
        <x:f>AND(R95,AT95=P95,AU95=L95,AV95=U95,AY95,AZ95,IF(I95="cache-semantics",AND(AW95=Z95,AND(BA95=AD95,BB95=AH95,BC95=AI95),BF95=AO95),IF(I95="no-store-control",AND(AND(BA95=AD95,BB95=AH95,BC95=AI95),BD95=AJ95,BE95=AL95),FALSE)),BG95=AP95)</x:f>
        <x:v>1</x:v>
      </x:c>
      <x:c r="BI95" s="49" t="b">
        <x:f>AND(J95,K95,BG95)</x:f>
        <x:v>1</x:v>
      </x:c>
    </x:row>
    <x:row r="96">
      <x:c r="A96" s="34" t="str">
        <x:v>article1-unified-v4-2-fb3f101b-20260903-000401-default-f02-p4-jcs4</x:v>
      </x:c>
      <x:c r="B96" s="34" t="str">
        <x:v>default</x:v>
      </x:c>
      <x:c r="C96" s="34" t="str">
        <x:v>jcs4</x:v>
      </x:c>
      <x:c r="D96" s="36" t="n">
        <x:v>2</x:v>
      </x:c>
      <x:c r="E96" s="36" t="n">
        <x:v>2</x:v>
      </x:c>
      <x:c r="F96" s="36" t="n">
        <x:v>4</x:v>
      </x:c>
      <x:c r="G96" s="36" t="n">
        <x:v>3</x:v>
      </x:c>
      <x:c r="H96" s="34" t="str">
        <x:v>initial</x:v>
      </x:c>
      <x:c r="I96" s="34" t="str">
        <x:v>cache-semantics</x:v>
      </x:c>
      <x:c r="J96" s="45" t="b">
        <x:v>1</x:v>
      </x:c>
      <x:c r="K96" s="45" t="b">
        <x:v>1</x:v>
      </x:c>
      <x:c r="L96" s="45" t="b">
        <x:v>1</x:v>
      </x:c>
      <x:c r="M96" s="43" t="n">
        <x:v>400000</x:v>
      </x:c>
      <x:c r="N96" s="43" t="n">
        <x:v>3651584</x:v>
      </x:c>
      <x:c r="O96" s="43" t="n">
        <x:v>730053.2894553309</x:v>
      </x:c>
      <x:c r="P96" s="45" t="b">
        <x:v>1</x:v>
      </x:c>
      <x:c r="Q96" s="45" t="b">
        <x:v>1</x:v>
      </x:c>
      <x:c r="R96" s="45" t="b">
        <x:v>1</x:v>
      </x:c>
      <x:c r="S96" s="43" t="n">
        <x:v>5000000000</x:v>
      </x:c>
      <x:c r="T96" s="43" t="n">
        <x:v>5001804735</x:v>
      </x:c>
      <x:c r="U96" s="45" t="b">
        <x:v>1</x:v>
      </x:c>
      <x:c r="V96" s="34" t="str">
        <x:v>uniform</x:v>
      </x:c>
      <x:c r="W96" s="42" t="n">
        <x:v>95</x:v>
      </x:c>
      <x:c r="X96" s="48" t="n">
        <x:v>0.95</x:v>
      </x:c>
      <x:c r="Y96" s="48" t="n">
        <x:v>0.9504053583321649</x:v>
      </x:c>
      <x:c r="Z96" s="45" t="b">
        <x:v>1</x:v>
      </x:c>
      <x:c r="AA96" s="43" t="n">
        <x:v>10000</x:v>
      </x:c>
      <x:c r="AB96" s="43" t="n">
        <x:v>9900</x:v>
      </x:c>
      <x:c r="AC96" s="43" t="n">
        <x:v>10000</x:v>
      </x:c>
      <x:c r="AD96" s="45" t="b">
        <x:v>1</x:v>
      </x:c>
      <x:c r="AE96" s="43" t="n">
        <x:v>9900</x:v>
      </x:c>
      <x:c r="AF96" s="43"/>
      <x:c r="AG96" s="43" t="n">
        <x:v>10000</x:v>
      </x:c>
      <x:c r="AH96" s="45" t="b">
        <x:v>1</x:v>
      </x:c>
      <x:c r="AI96" s="45" t="b">
        <x:v>1</x:v>
      </x:c>
      <x:c r="AJ96" s="49"/>
      <x:c r="AK96" s="48" t="n">
        <x:v>0.9504053583321649</x:v>
      </x:c>
      <x:c r="AL96" s="49"/>
      <x:c r="AM96" s="49"/>
      <x:c r="AN96" s="36" t="n">
        <x:v>1</x:v>
      </x:c>
      <x:c r="AO96" s="45" t="b">
        <x:v>1</x:v>
      </x:c>
      <x:c r="AP96" s="45" t="b">
        <x:v>1</x:v>
      </x:c>
      <x:c r="AQ96" s="46" t="n">
        <x:f>IF(T96="","",T96/'Readme-Protocol'!$B$24)</x:f>
        <x:v>5.001804735</x:v>
      </x:c>
      <x:c r="AR96" s="46" t="n">
        <x:f>IF(OR(S96="",S96=0),"",T96/S96)</x:f>
        <x:v>1.000360947</x:v>
      </x:c>
      <x:c r="AS96" s="46" t="n">
        <x:f>IF(OR(X96="",Y96=""),"",ABS(Y96-X96)*'Readme-Protocol'!$B$27)</x:f>
        <x:v>0.0405358332164929</x:v>
      </x:c>
      <x:c r="AT96" s="49" t="b">
        <x:f>AND(M96&gt;0,N96&gt;=0,O96&gt;0)</x:f>
        <x:v>1</x:v>
      </x:c>
      <x:c r="AU96" s="49" t="b">
        <x:f>AND(AT96,N96&gt;=M96)</x:f>
        <x:v>1</x:v>
      </x:c>
      <x:c r="AV96" s="49" t="b">
        <x:f>OR(S96=0,T96&gt;=S96)</x:f>
        <x:v>1</x:v>
      </x:c>
      <x:c r="AW96" s="49" t="b">
        <x:f>IF(I96="cache-semantics",OR(V96&lt;&gt;"uniform",ABS(Y96-W96/'Readme-Protocol'!$B$27)&lt;='Readme-Protocol'!$B$28),TRUE)</x:f>
        <x:v>1</x:v>
      </x:c>
      <x:c r="AX96" s="43" t="n">
        <x:f>IF(I96="cache-semantics",INT(AA96*'Readme-Protocol'!$B$32),"")</x:f>
        <x:v>9900</x:v>
      </x:c>
      <x:c r="AY96" s="49" t="b">
        <x:f>IF(I96="cache-semantics",AX96=AB96,TRUE)</x:f>
        <x:v>1</x:v>
      </x:c>
      <x:c r="AZ96" s="49" t="b">
        <x:f>IF(I96="cache-semantics",AX96=AE96,TRUE)</x:f>
        <x:v>1</x:v>
      </x:c>
      <x:c r="BA96" s="49" t="b">
        <x:f>IF(I96="cache-semantics",AC96&gt;=AX96,IF(I96="no-store-control",AC96=0,FALSE))</x:f>
        <x:v>1</x:v>
      </x:c>
      <x:c r="BB96" s="49" t="b">
        <x:f>IF(I96="cache-semantics",AG96&gt;=AX96,IF(I96="no-store-control",AG96=0,FALSE))</x:f>
        <x:v>1</x:v>
      </x:c>
      <x:c r="BC96" s="49" t="b">
        <x:f>AND(BA96,BB96)</x:f>
        <x:v>1</x:v>
      </x:c>
      <x:c r="BD96" s="49" t="b">
        <x:f>IF(I96="no-store-control",AND(AC96=0,AG96=0),TRUE)</x:f>
        <x:v>1</x:v>
      </x:c>
      <x:c r="BE96" s="49" t="b">
        <x:f>IF(I96="no-store-control",AK96=0,TRUE)</x:f>
        <x:v>1</x:v>
      </x:c>
      <x:c r="BF96" s="49" t="b">
        <x:f>IF(I96="cache-semantics",AN96=1,TRUE)</x:f>
        <x:v>1</x:v>
      </x:c>
      <x:c r="BG96" s="49" t="b">
        <x:f>IF(I96="cache-semantics",AND(AU96,AV96,Q96,AW96,BC96,BF96),IF(I96="no-store-control",AND(AU96,AV96,Q96,BD96,BE96),FALSE))</x:f>
        <x:v>1</x:v>
      </x:c>
      <x:c r="BH96" s="49" t="b">
        <x:f>AND(R96,AT96=P96,AU96=L96,AV96=U96,AY96,AZ96,IF(I96="cache-semantics",AND(AW96=Z96,AND(BA96=AD96,BB96=AH96,BC96=AI96),BF96=AO96),IF(I96="no-store-control",AND(AND(BA96=AD96,BB96=AH96,BC96=AI96),BD96=AJ96,BE96=AL96),FALSE)),BG96=AP96)</x:f>
        <x:v>1</x:v>
      </x:c>
      <x:c r="BI96" s="49" t="b">
        <x:f>AND(J96,K96,BG96)</x:f>
        <x:v>1</x:v>
      </x:c>
    </x:row>
    <x:row r="97">
      <x:c r="A97" s="34" t="str">
        <x:v>article1-unified-v4-2-fb3f101b-20260903-000401-default-f02-p4-jcs4</x:v>
      </x:c>
      <x:c r="B97" s="34" t="str">
        <x:v>default</x:v>
      </x:c>
      <x:c r="C97" s="34" t="str">
        <x:v>jcs4</x:v>
      </x:c>
      <x:c r="D97" s="36" t="n">
        <x:v>2</x:v>
      </x:c>
      <x:c r="E97" s="36" t="n">
        <x:v>2</x:v>
      </x:c>
      <x:c r="F97" s="36" t="n">
        <x:v>4</x:v>
      </x:c>
      <x:c r="G97" s="36" t="n">
        <x:v>3</x:v>
      </x:c>
      <x:c r="H97" s="34" t="str">
        <x:v>redeploy</x:v>
      </x:c>
      <x:c r="I97" s="34" t="str">
        <x:v>cache-semantics</x:v>
      </x:c>
      <x:c r="J97" s="45" t="b">
        <x:v>1</x:v>
      </x:c>
      <x:c r="K97" s="45" t="b">
        <x:v>1</x:v>
      </x:c>
      <x:c r="L97" s="45" t="b">
        <x:v>1</x:v>
      </x:c>
      <x:c r="M97" s="43" t="n">
        <x:v>400000</x:v>
      </x:c>
      <x:c r="N97" s="43" t="n">
        <x:v>4709632</x:v>
      </x:c>
      <x:c r="O97" s="43" t="n">
        <x:v>941704.9448983379</x:v>
      </x:c>
      <x:c r="P97" s="45" t="b">
        <x:v>1</x:v>
      </x:c>
      <x:c r="Q97" s="45" t="b">
        <x:v>1</x:v>
      </x:c>
      <x:c r="R97" s="45" t="b">
        <x:v>1</x:v>
      </x:c>
      <x:c r="S97" s="43" t="n">
        <x:v>5000000000</x:v>
      </x:c>
      <x:c r="T97" s="43" t="n">
        <x:v>5001175820</x:v>
      </x:c>
      <x:c r="U97" s="45" t="b">
        <x:v>1</x:v>
      </x:c>
      <x:c r="V97" s="34" t="str">
        <x:v>uniform</x:v>
      </x:c>
      <x:c r="W97" s="42" t="n">
        <x:v>95</x:v>
      </x:c>
      <x:c r="X97" s="48" t="n">
        <x:v>0.95</x:v>
      </x:c>
      <x:c r="Y97" s="48" t="n">
        <x:v>0.9503891174512149</x:v>
      </x:c>
      <x:c r="Z97" s="45" t="b">
        <x:v>1</x:v>
      </x:c>
      <x:c r="AA97" s="43" t="n">
        <x:v>10000</x:v>
      </x:c>
      <x:c r="AB97" s="43" t="n">
        <x:v>9900</x:v>
      </x:c>
      <x:c r="AC97" s="43" t="n">
        <x:v>10000</x:v>
      </x:c>
      <x:c r="AD97" s="45" t="b">
        <x:v>1</x:v>
      </x:c>
      <x:c r="AE97" s="43" t="n">
        <x:v>9900</x:v>
      </x:c>
      <x:c r="AF97" s="43"/>
      <x:c r="AG97" s="43" t="n">
        <x:v>10000</x:v>
      </x:c>
      <x:c r="AH97" s="45" t="b">
        <x:v>1</x:v>
      </x:c>
      <x:c r="AI97" s="45" t="b">
        <x:v>1</x:v>
      </x:c>
      <x:c r="AJ97" s="49"/>
      <x:c r="AK97" s="48" t="n">
        <x:v>0.9503891174512149</x:v>
      </x:c>
      <x:c r="AL97" s="49"/>
      <x:c r="AM97" s="49"/>
      <x:c r="AN97" s="36" t="n">
        <x:v>1</x:v>
      </x:c>
      <x:c r="AO97" s="45" t="b">
        <x:v>1</x:v>
      </x:c>
      <x:c r="AP97" s="45" t="b">
        <x:v>1</x:v>
      </x:c>
      <x:c r="AQ97" s="46" t="n">
        <x:f>IF(T97="","",T97/'Readme-Protocol'!$B$24)</x:f>
        <x:v>5.00117582</x:v>
      </x:c>
      <x:c r="AR97" s="46" t="n">
        <x:f>IF(OR(S97="",S97=0),"",T97/S97)</x:f>
        <x:v>1.000235164</x:v>
      </x:c>
      <x:c r="AS97" s="46" t="n">
        <x:f>IF(OR(X97="",Y97=""),"",ABS(Y97-X97)*'Readme-Protocol'!$B$27)</x:f>
        <x:v>0.03891174512149487</x:v>
      </x:c>
      <x:c r="AT97" s="49" t="b">
        <x:f>AND(M97&gt;0,N97&gt;=0,O97&gt;0)</x:f>
        <x:v>1</x:v>
      </x:c>
      <x:c r="AU97" s="49" t="b">
        <x:f>AND(AT97,N97&gt;=M97)</x:f>
        <x:v>1</x:v>
      </x:c>
      <x:c r="AV97" s="49" t="b">
        <x:f>OR(S97=0,T97&gt;=S97)</x:f>
        <x:v>1</x:v>
      </x:c>
      <x:c r="AW97" s="49" t="b">
        <x:f>IF(I97="cache-semantics",OR(V97&lt;&gt;"uniform",ABS(Y97-W97/'Readme-Protocol'!$B$27)&lt;='Readme-Protocol'!$B$28),TRUE)</x:f>
        <x:v>1</x:v>
      </x:c>
      <x:c r="AX97" s="43" t="n">
        <x:f>IF(I97="cache-semantics",INT(AA97*'Readme-Protocol'!$B$32),"")</x:f>
        <x:v>9900</x:v>
      </x:c>
      <x:c r="AY97" s="49" t="b">
        <x:f>IF(I97="cache-semantics",AX97=AB97,TRUE)</x:f>
        <x:v>1</x:v>
      </x:c>
      <x:c r="AZ97" s="49" t="b">
        <x:f>IF(I97="cache-semantics",AX97=AE97,TRUE)</x:f>
        <x:v>1</x:v>
      </x:c>
      <x:c r="BA97" s="49" t="b">
        <x:f>IF(I97="cache-semantics",AC97&gt;=AX97,IF(I97="no-store-control",AC97=0,FALSE))</x:f>
        <x:v>1</x:v>
      </x:c>
      <x:c r="BB97" s="49" t="b">
        <x:f>IF(I97="cache-semantics",AG97&gt;=AX97,IF(I97="no-store-control",AG97=0,FALSE))</x:f>
        <x:v>1</x:v>
      </x:c>
      <x:c r="BC97" s="49" t="b">
        <x:f>AND(BA97,BB97)</x:f>
        <x:v>1</x:v>
      </x:c>
      <x:c r="BD97" s="49" t="b">
        <x:f>IF(I97="no-store-control",AND(AC97=0,AG97=0),TRUE)</x:f>
        <x:v>1</x:v>
      </x:c>
      <x:c r="BE97" s="49" t="b">
        <x:f>IF(I97="no-store-control",AK97=0,TRUE)</x:f>
        <x:v>1</x:v>
      </x:c>
      <x:c r="BF97" s="49" t="b">
        <x:f>IF(I97="cache-semantics",AN97=1,TRUE)</x:f>
        <x:v>1</x:v>
      </x:c>
      <x:c r="BG97" s="49" t="b">
        <x:f>IF(I97="cache-semantics",AND(AU97,AV97,Q97,AW97,BC97,BF97),IF(I97="no-store-control",AND(AU97,AV97,Q97,BD97,BE97),FALSE))</x:f>
        <x:v>1</x:v>
      </x:c>
      <x:c r="BH97" s="49" t="b">
        <x:f>AND(R97,AT97=P97,AU97=L97,AV97=U97,AY97,AZ97,IF(I97="cache-semantics",AND(AW97=Z97,AND(BA97=AD97,BB97=AH97,BC97=AI97),BF97=AO97),IF(I97="no-store-control",AND(AND(BA97=AD97,BB97=AH97,BC97=AI97),BD97=AJ97,BE97=AL97),FALSE)),BG97=AP97)</x:f>
        <x:v>1</x:v>
      </x:c>
      <x:c r="BI97" s="49" t="b">
        <x:f>AND(J97,K97,BG97)</x:f>
        <x:v>1</x:v>
      </x:c>
    </x:row>
    <x:row r="98">
      <x:c r="A98" s="34" t="str">
        <x:v>article1-unified-v4-2-fb3f101b-20260903-000401-default-f02-p4-jcs4</x:v>
      </x:c>
      <x:c r="B98" s="34" t="str">
        <x:v>default</x:v>
      </x:c>
      <x:c r="C98" s="34" t="str">
        <x:v>jcs4</x:v>
      </x:c>
      <x:c r="D98" s="36" t="n">
        <x:v>2</x:v>
      </x:c>
      <x:c r="E98" s="36" t="n">
        <x:v>2</x:v>
      </x:c>
      <x:c r="F98" s="36" t="n">
        <x:v>4</x:v>
      </x:c>
      <x:c r="G98" s="36" t="n">
        <x:v>4</x:v>
      </x:c>
      <x:c r="H98" s="34" t="str">
        <x:v>initial</x:v>
      </x:c>
      <x:c r="I98" s="34" t="str">
        <x:v>cache-semantics</x:v>
      </x:c>
      <x:c r="J98" s="45" t="b">
        <x:v>1</x:v>
      </x:c>
      <x:c r="K98" s="45" t="b">
        <x:v>1</x:v>
      </x:c>
      <x:c r="L98" s="45" t="b">
        <x:v>1</x:v>
      </x:c>
      <x:c r="M98" s="43" t="n">
        <x:v>400000</x:v>
      </x:c>
      <x:c r="N98" s="43" t="n">
        <x:v>4657408</x:v>
      </x:c>
      <x:c r="O98" s="43" t="n">
        <x:v>931235.1296257479</x:v>
      </x:c>
      <x:c r="P98" s="45" t="b">
        <x:v>1</x:v>
      </x:c>
      <x:c r="Q98" s="45" t="b">
        <x:v>1</x:v>
      </x:c>
      <x:c r="R98" s="45" t="b">
        <x:v>1</x:v>
      </x:c>
      <x:c r="S98" s="43" t="n">
        <x:v>5000000000</x:v>
      </x:c>
      <x:c r="T98" s="43" t="n">
        <x:v>5001323352</x:v>
      </x:c>
      <x:c r="U98" s="45" t="b">
        <x:v>1</x:v>
      </x:c>
      <x:c r="V98" s="34" t="str">
        <x:v>uniform</x:v>
      </x:c>
      <x:c r="W98" s="42" t="n">
        <x:v>95</x:v>
      </x:c>
      <x:c r="X98" s="48" t="n">
        <x:v>0.95</x:v>
      </x:c>
      <x:c r="Y98" s="48" t="n">
        <x:v>0.9503936524350025</x:v>
      </x:c>
      <x:c r="Z98" s="45" t="b">
        <x:v>1</x:v>
      </x:c>
      <x:c r="AA98" s="43" t="n">
        <x:v>10000</x:v>
      </x:c>
      <x:c r="AB98" s="43" t="n">
        <x:v>9900</x:v>
      </x:c>
      <x:c r="AC98" s="43" t="n">
        <x:v>10000</x:v>
      </x:c>
      <x:c r="AD98" s="45" t="b">
        <x:v>1</x:v>
      </x:c>
      <x:c r="AE98" s="43" t="n">
        <x:v>9900</x:v>
      </x:c>
      <x:c r="AF98" s="43"/>
      <x:c r="AG98" s="43" t="n">
        <x:v>10000</x:v>
      </x:c>
      <x:c r="AH98" s="45" t="b">
        <x:v>1</x:v>
      </x:c>
      <x:c r="AI98" s="45" t="b">
        <x:v>1</x:v>
      </x:c>
      <x:c r="AJ98" s="49"/>
      <x:c r="AK98" s="48" t="n">
        <x:v>0.9503936524350025</x:v>
      </x:c>
      <x:c r="AL98" s="49"/>
      <x:c r="AM98" s="49"/>
      <x:c r="AN98" s="36" t="n">
        <x:v>1</x:v>
      </x:c>
      <x:c r="AO98" s="45" t="b">
        <x:v>1</x:v>
      </x:c>
      <x:c r="AP98" s="45" t="b">
        <x:v>1</x:v>
      </x:c>
      <x:c r="AQ98" s="46" t="n">
        <x:f>IF(T98="","",T98/'Readme-Protocol'!$B$24)</x:f>
        <x:v>5.001323352</x:v>
      </x:c>
      <x:c r="AR98" s="46" t="n">
        <x:f>IF(OR(S98="",S98=0),"",T98/S98)</x:f>
        <x:v>1.0002646704</x:v>
      </x:c>
      <x:c r="AS98" s="46" t="n">
        <x:f>IF(OR(X98="",Y98=""),"",ABS(Y98-X98)*'Readme-Protocol'!$B$27)</x:f>
        <x:v>0.03936524350025561</x:v>
      </x:c>
      <x:c r="AT98" s="49" t="b">
        <x:f>AND(M98&gt;0,N98&gt;=0,O98&gt;0)</x:f>
        <x:v>1</x:v>
      </x:c>
      <x:c r="AU98" s="49" t="b">
        <x:f>AND(AT98,N98&gt;=M98)</x:f>
        <x:v>1</x:v>
      </x:c>
      <x:c r="AV98" s="49" t="b">
        <x:f>OR(S98=0,T98&gt;=S98)</x:f>
        <x:v>1</x:v>
      </x:c>
      <x:c r="AW98" s="49" t="b">
        <x:f>IF(I98="cache-semantics",OR(V98&lt;&gt;"uniform",ABS(Y98-W98/'Readme-Protocol'!$B$27)&lt;='Readme-Protocol'!$B$28),TRUE)</x:f>
        <x:v>1</x:v>
      </x:c>
      <x:c r="AX98" s="43" t="n">
        <x:f>IF(I98="cache-semantics",INT(AA98*'Readme-Protocol'!$B$32),"")</x:f>
        <x:v>9900</x:v>
      </x:c>
      <x:c r="AY98" s="49" t="b">
        <x:f>IF(I98="cache-semantics",AX98=AB98,TRUE)</x:f>
        <x:v>1</x:v>
      </x:c>
      <x:c r="AZ98" s="49" t="b">
        <x:f>IF(I98="cache-semantics",AX98=AE98,TRUE)</x:f>
        <x:v>1</x:v>
      </x:c>
      <x:c r="BA98" s="49" t="b">
        <x:f>IF(I98="cache-semantics",AC98&gt;=AX98,IF(I98="no-store-control",AC98=0,FALSE))</x:f>
        <x:v>1</x:v>
      </x:c>
      <x:c r="BB98" s="49" t="b">
        <x:f>IF(I98="cache-semantics",AG98&gt;=AX98,IF(I98="no-store-control",AG98=0,FALSE))</x:f>
        <x:v>1</x:v>
      </x:c>
      <x:c r="BC98" s="49" t="b">
        <x:f>AND(BA98,BB98)</x:f>
        <x:v>1</x:v>
      </x:c>
      <x:c r="BD98" s="49" t="b">
        <x:f>IF(I98="no-store-control",AND(AC98=0,AG98=0),TRUE)</x:f>
        <x:v>1</x:v>
      </x:c>
      <x:c r="BE98" s="49" t="b">
        <x:f>IF(I98="no-store-control",AK98=0,TRUE)</x:f>
        <x:v>1</x:v>
      </x:c>
      <x:c r="BF98" s="49" t="b">
        <x:f>IF(I98="cache-semantics",AN98=1,TRUE)</x:f>
        <x:v>1</x:v>
      </x:c>
      <x:c r="BG98" s="49" t="b">
        <x:f>IF(I98="cache-semantics",AND(AU98,AV98,Q98,AW98,BC98,BF98),IF(I98="no-store-control",AND(AU98,AV98,Q98,BD98,BE98),FALSE))</x:f>
        <x:v>1</x:v>
      </x:c>
      <x:c r="BH98" s="49" t="b">
        <x:f>AND(R98,AT98=P98,AU98=L98,AV98=U98,AY98,AZ98,IF(I98="cache-semantics",AND(AW98=Z98,AND(BA98=AD98,BB98=AH98,BC98=AI98),BF98=AO98),IF(I98="no-store-control",AND(AND(BA98=AD98,BB98=AH98,BC98=AI98),BD98=AJ98,BE98=AL98),FALSE)),BG98=AP98)</x:f>
        <x:v>1</x:v>
      </x:c>
      <x:c r="BI98" s="49" t="b">
        <x:f>AND(J98,K98,BG98)</x:f>
        <x:v>1</x:v>
      </x:c>
    </x:row>
    <x:row r="99">
      <x:c r="A99" s="34" t="str">
        <x:v>article1-unified-v4-2-fb3f101b-20260903-000401-default-f02-p4-jcs4</x:v>
      </x:c>
      <x:c r="B99" s="34" t="str">
        <x:v>default</x:v>
      </x:c>
      <x:c r="C99" s="34" t="str">
        <x:v>jcs4</x:v>
      </x:c>
      <x:c r="D99" s="36" t="n">
        <x:v>2</x:v>
      </x:c>
      <x:c r="E99" s="36" t="n">
        <x:v>2</x:v>
      </x:c>
      <x:c r="F99" s="36" t="n">
        <x:v>4</x:v>
      </x:c>
      <x:c r="G99" s="36" t="n">
        <x:v>4</x:v>
      </x:c>
      <x:c r="H99" s="34" t="str">
        <x:v>redeploy</x:v>
      </x:c>
      <x:c r="I99" s="34" t="str">
        <x:v>cache-semantics</x:v>
      </x:c>
      <x:c r="J99" s="45" t="b">
        <x:v>1</x:v>
      </x:c>
      <x:c r="K99" s="45" t="b">
        <x:v>1</x:v>
      </x:c>
      <x:c r="L99" s="45" t="b">
        <x:v>1</x:v>
      </x:c>
      <x:c r="M99" s="43" t="n">
        <x:v>400000</x:v>
      </x:c>
      <x:c r="N99" s="43" t="n">
        <x:v>4680448</x:v>
      </x:c>
      <x:c r="O99" s="43" t="n">
        <x:v>935911.2963568326</x:v>
      </x:c>
      <x:c r="P99" s="45" t="b">
        <x:v>1</x:v>
      </x:c>
      <x:c r="Q99" s="45" t="b">
        <x:v>1</x:v>
      </x:c>
      <x:c r="R99" s="45" t="b">
        <x:v>1</x:v>
      </x:c>
      <x:c r="S99" s="43" t="n">
        <x:v>5000000000</x:v>
      </x:c>
      <x:c r="T99" s="43" t="n">
        <x:v>5000952567</x:v>
      </x:c>
      <x:c r="U99" s="45" t="b">
        <x:v>1</x:v>
      </x:c>
      <x:c r="V99" s="34" t="str">
        <x:v>uniform</x:v>
      </x:c>
      <x:c r="W99" s="42" t="n">
        <x:v>95</x:v>
      </x:c>
      <x:c r="X99" s="48" t="n">
        <x:v>0.95</x:v>
      </x:c>
      <x:c r="Y99" s="48" t="n">
        <x:v>0.9503793226631296</x:v>
      </x:c>
      <x:c r="Z99" s="45" t="b">
        <x:v>1</x:v>
      </x:c>
      <x:c r="AA99" s="43" t="n">
        <x:v>10000</x:v>
      </x:c>
      <x:c r="AB99" s="43" t="n">
        <x:v>9900</x:v>
      </x:c>
      <x:c r="AC99" s="43" t="n">
        <x:v>10000</x:v>
      </x:c>
      <x:c r="AD99" s="45" t="b">
        <x:v>1</x:v>
      </x:c>
      <x:c r="AE99" s="43" t="n">
        <x:v>9900</x:v>
      </x:c>
      <x:c r="AF99" s="43"/>
      <x:c r="AG99" s="43" t="n">
        <x:v>10000</x:v>
      </x:c>
      <x:c r="AH99" s="45" t="b">
        <x:v>1</x:v>
      </x:c>
      <x:c r="AI99" s="45" t="b">
        <x:v>1</x:v>
      </x:c>
      <x:c r="AJ99" s="49"/>
      <x:c r="AK99" s="48" t="n">
        <x:v>0.9503793226631296</x:v>
      </x:c>
      <x:c r="AL99" s="49"/>
      <x:c r="AM99" s="49"/>
      <x:c r="AN99" s="36" t="n">
        <x:v>1</x:v>
      </x:c>
      <x:c r="AO99" s="45" t="b">
        <x:v>1</x:v>
      </x:c>
      <x:c r="AP99" s="45" t="b">
        <x:v>1</x:v>
      </x:c>
      <x:c r="AQ99" s="46" t="n">
        <x:f>IF(T99="","",T99/'Readme-Protocol'!$B$24)</x:f>
        <x:v>5.000952567</x:v>
      </x:c>
      <x:c r="AR99" s="46" t="n">
        <x:f>IF(OR(S99="",S99=0),"",T99/S99)</x:f>
        <x:v>1.0001905134</x:v>
      </x:c>
      <x:c r="AS99" s="46" t="n">
        <x:f>IF(OR(X99="",Y99=""),"",ABS(Y99-X99)*'Readme-Protocol'!$B$27)</x:f>
        <x:v>0.037932266312967755</x:v>
      </x:c>
      <x:c r="AT99" s="49" t="b">
        <x:f>AND(M99&gt;0,N99&gt;=0,O99&gt;0)</x:f>
        <x:v>1</x:v>
      </x:c>
      <x:c r="AU99" s="49" t="b">
        <x:f>AND(AT99,N99&gt;=M99)</x:f>
        <x:v>1</x:v>
      </x:c>
      <x:c r="AV99" s="49" t="b">
        <x:f>OR(S99=0,T99&gt;=S99)</x:f>
        <x:v>1</x:v>
      </x:c>
      <x:c r="AW99" s="49" t="b">
        <x:f>IF(I99="cache-semantics",OR(V99&lt;&gt;"uniform",ABS(Y99-W99/'Readme-Protocol'!$B$27)&lt;='Readme-Protocol'!$B$28),TRUE)</x:f>
        <x:v>1</x:v>
      </x:c>
      <x:c r="AX99" s="43" t="n">
        <x:f>IF(I99="cache-semantics",INT(AA99*'Readme-Protocol'!$B$32),"")</x:f>
        <x:v>9900</x:v>
      </x:c>
      <x:c r="AY99" s="49" t="b">
        <x:f>IF(I99="cache-semantics",AX99=AB99,TRUE)</x:f>
        <x:v>1</x:v>
      </x:c>
      <x:c r="AZ99" s="49" t="b">
        <x:f>IF(I99="cache-semantics",AX99=AE99,TRUE)</x:f>
        <x:v>1</x:v>
      </x:c>
      <x:c r="BA99" s="49" t="b">
        <x:f>IF(I99="cache-semantics",AC99&gt;=AX99,IF(I99="no-store-control",AC99=0,FALSE))</x:f>
        <x:v>1</x:v>
      </x:c>
      <x:c r="BB99" s="49" t="b">
        <x:f>IF(I99="cache-semantics",AG99&gt;=AX99,IF(I99="no-store-control",AG99=0,FALSE))</x:f>
        <x:v>1</x:v>
      </x:c>
      <x:c r="BC99" s="49" t="b">
        <x:f>AND(BA99,BB99)</x:f>
        <x:v>1</x:v>
      </x:c>
      <x:c r="BD99" s="49" t="b">
        <x:f>IF(I99="no-store-control",AND(AC99=0,AG99=0),TRUE)</x:f>
        <x:v>1</x:v>
      </x:c>
      <x:c r="BE99" s="49" t="b">
        <x:f>IF(I99="no-store-control",AK99=0,TRUE)</x:f>
        <x:v>1</x:v>
      </x:c>
      <x:c r="BF99" s="49" t="b">
        <x:f>IF(I99="cache-semantics",AN99=1,TRUE)</x:f>
        <x:v>1</x:v>
      </x:c>
      <x:c r="BG99" s="49" t="b">
        <x:f>IF(I99="cache-semantics",AND(AU99,AV99,Q99,AW99,BC99,BF99),IF(I99="no-store-control",AND(AU99,AV99,Q99,BD99,BE99),FALSE))</x:f>
        <x:v>1</x:v>
      </x:c>
      <x:c r="BH99" s="49" t="b">
        <x:f>AND(R99,AT99=P99,AU99=L99,AV99=U99,AY99,AZ99,IF(I99="cache-semantics",AND(AW99=Z99,AND(BA99=AD99,BB99=AH99,BC99=AI99),BF99=AO99),IF(I99="no-store-control",AND(AND(BA99=AD99,BB99=AH99,BC99=AI99),BD99=AJ99,BE99=AL99),FALSE)),BG99=AP99)</x:f>
        <x:v>1</x:v>
      </x:c>
      <x:c r="BI99" s="49" t="b">
        <x:f>AND(J99,K99,BG99)</x:f>
        <x:v>1</x:v>
      </x:c>
    </x:row>
    <x:row r="100">
      <x:c r="A100" s="34" t="str">
        <x:v>article1-unified-v4-2-fb3f101b-20260903-000401-default-f02-p4-jcs4</x:v>
      </x:c>
      <x:c r="B100" s="34" t="str">
        <x:v>default</x:v>
      </x:c>
      <x:c r="C100" s="34" t="str">
        <x:v>jcs4</x:v>
      </x:c>
      <x:c r="D100" s="36" t="n">
        <x:v>2</x:v>
      </x:c>
      <x:c r="E100" s="36" t="n">
        <x:v>2</x:v>
      </x:c>
      <x:c r="F100" s="36" t="n">
        <x:v>4</x:v>
      </x:c>
      <x:c r="G100" s="36" t="n">
        <x:v>5</x:v>
      </x:c>
      <x:c r="H100" s="34" t="str">
        <x:v>initial</x:v>
      </x:c>
      <x:c r="I100" s="34" t="str">
        <x:v>cache-semantics</x:v>
      </x:c>
      <x:c r="J100" s="45" t="b">
        <x:v>1</x:v>
      </x:c>
      <x:c r="K100" s="45" t="b">
        <x:v>1</x:v>
      </x:c>
      <x:c r="L100" s="45" t="b">
        <x:v>1</x:v>
      </x:c>
      <x:c r="M100" s="43" t="n">
        <x:v>400000</x:v>
      </x:c>
      <x:c r="N100" s="43" t="n">
        <x:v>4058368</x:v>
      </x:c>
      <x:c r="O100" s="43" t="n">
        <x:v>811422.2369702936</x:v>
      </x:c>
      <x:c r="P100" s="45" t="b">
        <x:v>1</x:v>
      </x:c>
      <x:c r="Q100" s="45" t="b">
        <x:v>1</x:v>
      </x:c>
      <x:c r="R100" s="45" t="b">
        <x:v>1</x:v>
      </x:c>
      <x:c r="S100" s="43" t="n">
        <x:v>5000000000</x:v>
      </x:c>
      <x:c r="T100" s="43" t="n">
        <x:v>5001548904</x:v>
      </x:c>
      <x:c r="U100" s="45" t="b">
        <x:v>1</x:v>
      </x:c>
      <x:c r="V100" s="34" t="str">
        <x:v>uniform</x:v>
      </x:c>
      <x:c r="W100" s="42" t="n">
        <x:v>95</x:v>
      </x:c>
      <x:c r="X100" s="48" t="n">
        <x:v>0.95</x:v>
      </x:c>
      <x:c r="Y100" s="48" t="n">
        <x:v>0.9499801398000378</x:v>
      </x:c>
      <x:c r="Z100" s="45" t="b">
        <x:v>1</x:v>
      </x:c>
      <x:c r="AA100" s="43" t="n">
        <x:v>10000</x:v>
      </x:c>
      <x:c r="AB100" s="43" t="n">
        <x:v>9900</x:v>
      </x:c>
      <x:c r="AC100" s="43" t="n">
        <x:v>10000</x:v>
      </x:c>
      <x:c r="AD100" s="45" t="b">
        <x:v>1</x:v>
      </x:c>
      <x:c r="AE100" s="43" t="n">
        <x:v>9900</x:v>
      </x:c>
      <x:c r="AF100" s="43"/>
      <x:c r="AG100" s="43" t="n">
        <x:v>10000</x:v>
      </x:c>
      <x:c r="AH100" s="45" t="b">
        <x:v>1</x:v>
      </x:c>
      <x:c r="AI100" s="45" t="b">
        <x:v>1</x:v>
      </x:c>
      <x:c r="AJ100" s="49"/>
      <x:c r="AK100" s="48" t="n">
        <x:v>0.9499801398000378</x:v>
      </x:c>
      <x:c r="AL100" s="49"/>
      <x:c r="AM100" s="49"/>
      <x:c r="AN100" s="36" t="n">
        <x:v>1</x:v>
      </x:c>
      <x:c r="AO100" s="45" t="b">
        <x:v>1</x:v>
      </x:c>
      <x:c r="AP100" s="45" t="b">
        <x:v>1</x:v>
      </x:c>
      <x:c r="AQ100" s="46" t="n">
        <x:f>IF(T100="","",T100/'Readme-Protocol'!$B$24)</x:f>
        <x:v>5.001548904</x:v>
      </x:c>
      <x:c r="AR100" s="46" t="n">
        <x:f>IF(OR(S100="",S100=0),"",T100/S100)</x:f>
        <x:v>1.0003097808</x:v>
      </x:c>
      <x:c r="AS100" s="46" t="n">
        <x:f>IF(OR(X100="",Y100=""),"",ABS(Y100-X100)*'Readme-Protocol'!$B$27)</x:f>
        <x:v>0.0019860199962140612</x:v>
      </x:c>
      <x:c r="AT100" s="49" t="b">
        <x:f>AND(M100&gt;0,N100&gt;=0,O100&gt;0)</x:f>
        <x:v>1</x:v>
      </x:c>
      <x:c r="AU100" s="49" t="b">
        <x:f>AND(AT100,N100&gt;=M100)</x:f>
        <x:v>1</x:v>
      </x:c>
      <x:c r="AV100" s="49" t="b">
        <x:f>OR(S100=0,T100&gt;=S100)</x:f>
        <x:v>1</x:v>
      </x:c>
      <x:c r="AW100" s="49" t="b">
        <x:f>IF(I100="cache-semantics",OR(V100&lt;&gt;"uniform",ABS(Y100-W100/'Readme-Protocol'!$B$27)&lt;='Readme-Protocol'!$B$28),TRUE)</x:f>
        <x:v>1</x:v>
      </x:c>
      <x:c r="AX100" s="43" t="n">
        <x:f>IF(I100="cache-semantics",INT(AA100*'Readme-Protocol'!$B$32),"")</x:f>
        <x:v>9900</x:v>
      </x:c>
      <x:c r="AY100" s="49" t="b">
        <x:f>IF(I100="cache-semantics",AX100=AB100,TRUE)</x:f>
        <x:v>1</x:v>
      </x:c>
      <x:c r="AZ100" s="49" t="b">
        <x:f>IF(I100="cache-semantics",AX100=AE100,TRUE)</x:f>
        <x:v>1</x:v>
      </x:c>
      <x:c r="BA100" s="49" t="b">
        <x:f>IF(I100="cache-semantics",AC100&gt;=AX100,IF(I100="no-store-control",AC100=0,FALSE))</x:f>
        <x:v>1</x:v>
      </x:c>
      <x:c r="BB100" s="49" t="b">
        <x:f>IF(I100="cache-semantics",AG100&gt;=AX100,IF(I100="no-store-control",AG100=0,FALSE))</x:f>
        <x:v>1</x:v>
      </x:c>
      <x:c r="BC100" s="49" t="b">
        <x:f>AND(BA100,BB100)</x:f>
        <x:v>1</x:v>
      </x:c>
      <x:c r="BD100" s="49" t="b">
        <x:f>IF(I100="no-store-control",AND(AC100=0,AG100=0),TRUE)</x:f>
        <x:v>1</x:v>
      </x:c>
      <x:c r="BE100" s="49" t="b">
        <x:f>IF(I100="no-store-control",AK100=0,TRUE)</x:f>
        <x:v>1</x:v>
      </x:c>
      <x:c r="BF100" s="49" t="b">
        <x:f>IF(I100="cache-semantics",AN100=1,TRUE)</x:f>
        <x:v>1</x:v>
      </x:c>
      <x:c r="BG100" s="49" t="b">
        <x:f>IF(I100="cache-semantics",AND(AU100,AV100,Q100,AW100,BC100,BF100),IF(I100="no-store-control",AND(AU100,AV100,Q100,BD100,BE100),FALSE))</x:f>
        <x:v>1</x:v>
      </x:c>
      <x:c r="BH100" s="49" t="b">
        <x:f>AND(R100,AT100=P100,AU100=L100,AV100=U100,AY100,AZ100,IF(I100="cache-semantics",AND(AW100=Z100,AND(BA100=AD100,BB100=AH100,BC100=AI100),BF100=AO100),IF(I100="no-store-control",AND(AND(BA100=AD100,BB100=AH100,BC100=AI100),BD100=AJ100,BE100=AL100),FALSE)),BG100=AP100)</x:f>
        <x:v>1</x:v>
      </x:c>
      <x:c r="BI100" s="49" t="b">
        <x:f>AND(J100,K100,BG100)</x:f>
        <x:v>1</x:v>
      </x:c>
    </x:row>
    <x:row r="101">
      <x:c r="A101" s="34" t="str">
        <x:v>article1-unified-v4-2-fb3f101b-20260903-000401-default-f02-p4-jcs4</x:v>
      </x:c>
      <x:c r="B101" s="34" t="str">
        <x:v>default</x:v>
      </x:c>
      <x:c r="C101" s="34" t="str">
        <x:v>jcs4</x:v>
      </x:c>
      <x:c r="D101" s="36" t="n">
        <x:v>2</x:v>
      </x:c>
      <x:c r="E101" s="36" t="n">
        <x:v>2</x:v>
      </x:c>
      <x:c r="F101" s="36" t="n">
        <x:v>4</x:v>
      </x:c>
      <x:c r="G101" s="36" t="n">
        <x:v>5</x:v>
      </x:c>
      <x:c r="H101" s="34" t="str">
        <x:v>redeploy</x:v>
      </x:c>
      <x:c r="I101" s="34" t="str">
        <x:v>cache-semantics</x:v>
      </x:c>
      <x:c r="J101" s="45" t="b">
        <x:v>1</x:v>
      </x:c>
      <x:c r="K101" s="45" t="b">
        <x:v>1</x:v>
      </x:c>
      <x:c r="L101" s="45" t="b">
        <x:v>1</x:v>
      </x:c>
      <x:c r="M101" s="43" t="n">
        <x:v>400000</x:v>
      </x:c>
      <x:c r="N101" s="43" t="n">
        <x:v>5017088</x:v>
      </x:c>
      <x:c r="O101" s="43" t="n">
        <x:v>1003182.322446098</x:v>
      </x:c>
      <x:c r="P101" s="45" t="b">
        <x:v>1</x:v>
      </x:c>
      <x:c r="Q101" s="45" t="b">
        <x:v>1</x:v>
      </x:c>
      <x:c r="R101" s="45" t="b">
        <x:v>1</x:v>
      </x:c>
      <x:c r="S101" s="43" t="n">
        <x:v>5000000000</x:v>
      </x:c>
      <x:c r="T101" s="43" t="n">
        <x:v>5001172656</x:v>
      </x:c>
      <x:c r="U101" s="45" t="b">
        <x:v>1</x:v>
      </x:c>
      <x:c r="V101" s="34" t="str">
        <x:v>uniform</x:v>
      </x:c>
      <x:c r="W101" s="42" t="n">
        <x:v>95</x:v>
      </x:c>
      <x:c r="X101" s="48" t="n">
        <x:v>0.95</x:v>
      </x:c>
      <x:c r="Y101" s="48" t="n">
        <x:v>0.9499578241402183</x:v>
      </x:c>
      <x:c r="Z101" s="45" t="b">
        <x:v>1</x:v>
      </x:c>
      <x:c r="AA101" s="43" t="n">
        <x:v>10000</x:v>
      </x:c>
      <x:c r="AB101" s="43" t="n">
        <x:v>9900</x:v>
      </x:c>
      <x:c r="AC101" s="43" t="n">
        <x:v>10000</x:v>
      </x:c>
      <x:c r="AD101" s="45" t="b">
        <x:v>1</x:v>
      </x:c>
      <x:c r="AE101" s="43" t="n">
        <x:v>9900</x:v>
      </x:c>
      <x:c r="AF101" s="43"/>
      <x:c r="AG101" s="43" t="n">
        <x:v>10000</x:v>
      </x:c>
      <x:c r="AH101" s="45" t="b">
        <x:v>1</x:v>
      </x:c>
      <x:c r="AI101" s="45" t="b">
        <x:v>1</x:v>
      </x:c>
      <x:c r="AJ101" s="49"/>
      <x:c r="AK101" s="48" t="n">
        <x:v>0.9499578241402183</x:v>
      </x:c>
      <x:c r="AL101" s="49"/>
      <x:c r="AM101" s="49"/>
      <x:c r="AN101" s="36" t="n">
        <x:v>1</x:v>
      </x:c>
      <x:c r="AO101" s="45" t="b">
        <x:v>1</x:v>
      </x:c>
      <x:c r="AP101" s="45" t="b">
        <x:v>1</x:v>
      </x:c>
      <x:c r="AQ101" s="46" t="n">
        <x:f>IF(T101="","",T101/'Readme-Protocol'!$B$24)</x:f>
        <x:v>5.001172656</x:v>
      </x:c>
      <x:c r="AR101" s="46" t="n">
        <x:f>IF(OR(S101="",S101=0),"",T101/S101)</x:f>
        <x:v>1.0002345312</x:v>
      </x:c>
      <x:c r="AS101" s="46" t="n">
        <x:f>IF(OR(X101="",Y101=""),"",ABS(Y101-X101)*'Readme-Protocol'!$B$27)</x:f>
        <x:v>0.004217585978161242</x:v>
      </x:c>
      <x:c r="AT101" s="49" t="b">
        <x:f>AND(M101&gt;0,N101&gt;=0,O101&gt;0)</x:f>
        <x:v>1</x:v>
      </x:c>
      <x:c r="AU101" s="49" t="b">
        <x:f>AND(AT101,N101&gt;=M101)</x:f>
        <x:v>1</x:v>
      </x:c>
      <x:c r="AV101" s="49" t="b">
        <x:f>OR(S101=0,T101&gt;=S101)</x:f>
        <x:v>1</x:v>
      </x:c>
      <x:c r="AW101" s="49" t="b">
        <x:f>IF(I101="cache-semantics",OR(V101&lt;&gt;"uniform",ABS(Y101-W101/'Readme-Protocol'!$B$27)&lt;='Readme-Protocol'!$B$28),TRUE)</x:f>
        <x:v>1</x:v>
      </x:c>
      <x:c r="AX101" s="43" t="n">
        <x:f>IF(I101="cache-semantics",INT(AA101*'Readme-Protocol'!$B$32),"")</x:f>
        <x:v>9900</x:v>
      </x:c>
      <x:c r="AY101" s="49" t="b">
        <x:f>IF(I101="cache-semantics",AX101=AB101,TRUE)</x:f>
        <x:v>1</x:v>
      </x:c>
      <x:c r="AZ101" s="49" t="b">
        <x:f>IF(I101="cache-semantics",AX101=AE101,TRUE)</x:f>
        <x:v>1</x:v>
      </x:c>
      <x:c r="BA101" s="49" t="b">
        <x:f>IF(I101="cache-semantics",AC101&gt;=AX101,IF(I101="no-store-control",AC101=0,FALSE))</x:f>
        <x:v>1</x:v>
      </x:c>
      <x:c r="BB101" s="49" t="b">
        <x:f>IF(I101="cache-semantics",AG101&gt;=AX101,IF(I101="no-store-control",AG101=0,FALSE))</x:f>
        <x:v>1</x:v>
      </x:c>
      <x:c r="BC101" s="49" t="b">
        <x:f>AND(BA101,BB101)</x:f>
        <x:v>1</x:v>
      </x:c>
      <x:c r="BD101" s="49" t="b">
        <x:f>IF(I101="no-store-control",AND(AC101=0,AG101=0),TRUE)</x:f>
        <x:v>1</x:v>
      </x:c>
      <x:c r="BE101" s="49" t="b">
        <x:f>IF(I101="no-store-control",AK101=0,TRUE)</x:f>
        <x:v>1</x:v>
      </x:c>
      <x:c r="BF101" s="49" t="b">
        <x:f>IF(I101="cache-semantics",AN101=1,TRUE)</x:f>
        <x:v>1</x:v>
      </x:c>
      <x:c r="BG101" s="49" t="b">
        <x:f>IF(I101="cache-semantics",AND(AU101,AV101,Q101,AW101,BC101,BF101),IF(I101="no-store-control",AND(AU101,AV101,Q101,BD101,BE101),FALSE))</x:f>
        <x:v>1</x:v>
      </x:c>
      <x:c r="BH101" s="49" t="b">
        <x:f>AND(R101,AT101=P101,AU101=L101,AV101=U101,AY101,AZ101,IF(I101="cache-semantics",AND(AW101=Z101,AND(BA101=AD101,BB101=AH101,BC101=AI101),BF101=AO101),IF(I101="no-store-control",AND(AND(BA101=AD101,BB101=AH101,BC101=AI101),BD101=AJ101,BE101=AL101),FALSE)),BG101=AP101)</x:f>
        <x:v>1</x:v>
      </x:c>
      <x:c r="BI101" s="49" t="b">
        <x:f>AND(J101,K101,BG101)</x:f>
        <x:v>1</x:v>
      </x:c>
    </x:row>
    <x:row r="102">
      <x:c r="A102" s="34" t="str">
        <x:v>article1-unified-v4-2-fb3f101b-20260903-000401-default-f02-p5-nostore</x:v>
      </x:c>
      <x:c r="B102" s="34" t="str">
        <x:v>default</x:v>
      </x:c>
      <x:c r="C102" s="34" t="str">
        <x:v>nostore</x:v>
      </x:c>
      <x:c r="D102" s="36" t="n">
        <x:v>2</x:v>
      </x:c>
      <x:c r="E102" s="36" t="n">
        <x:v>2</x:v>
      </x:c>
      <x:c r="F102" s="36" t="n">
        <x:v>5</x:v>
      </x:c>
      <x:c r="G102" s="36" t="n">
        <x:v>1</x:v>
      </x:c>
      <x:c r="H102" s="34" t="str">
        <x:v>initial</x:v>
      </x:c>
      <x:c r="I102" s="34" t="str">
        <x:v>no-store-control</x:v>
      </x:c>
      <x:c r="J102" s="45" t="b">
        <x:v>1</x:v>
      </x:c>
      <x:c r="K102" s="45" t="b">
        <x:v>0</x:v>
      </x:c>
      <x:c r="L102" s="45" t="b">
        <x:v>1</x:v>
      </x:c>
      <x:c r="M102" s="43" t="n">
        <x:v>400000</x:v>
      </x:c>
      <x:c r="N102" s="43" t="n">
        <x:v>486600704</x:v>
      </x:c>
      <x:c r="O102" s="43" t="n">
        <x:v>96008146.48582323</x:v>
      </x:c>
      <x:c r="P102" s="45" t="b">
        <x:v>1</x:v>
      </x:c>
      <x:c r="Q102" s="45" t="b">
        <x:v>1</x:v>
      </x:c>
      <x:c r="R102" s="45" t="b">
        <x:v>1</x:v>
      </x:c>
      <x:c r="S102" s="43" t="n">
        <x:v>5000000000</x:v>
      </x:c>
      <x:c r="T102" s="43" t="n">
        <x:v>5068327239</x:v>
      </x:c>
      <x:c r="U102" s="45" t="b">
        <x:v>1</x:v>
      </x:c>
      <x:c r="V102" s="34" t="str">
        <x:v>uniform</x:v>
      </x:c>
      <x:c r="W102" s="42" t="n">
        <x:v>95</x:v>
      </x:c>
      <x:c r="X102" s="48"/>
      <x:c r="Y102" s="48"/>
      <x:c r="Z102" s="49"/>
      <x:c r="AA102" s="43" t="n">
        <x:v>10000</x:v>
      </x:c>
      <x:c r="AB102" s="43"/>
      <x:c r="AC102" s="43" t="n">
        <x:v>0</x:v>
      </x:c>
      <x:c r="AD102" s="45" t="b">
        <x:v>1</x:v>
      </x:c>
      <x:c r="AE102" s="43"/>
      <x:c r="AF102" s="43" t="n">
        <x:v>0</x:v>
      </x:c>
      <x:c r="AG102" s="43" t="n">
        <x:v>0</x:v>
      </x:c>
      <x:c r="AH102" s="45" t="b">
        <x:v>1</x:v>
      </x:c>
      <x:c r="AI102" s="45" t="b">
        <x:v>1</x:v>
      </x:c>
      <x:c r="AJ102" s="45" t="b">
        <x:v>1</x:v>
      </x:c>
      <x:c r="AK102" s="48" t="n">
        <x:v>0</x:v>
      </x:c>
      <x:c r="AL102" s="45" t="b">
        <x:v>1</x:v>
      </x:c>
      <x:c r="AM102" s="45" t="b">
        <x:v>0</x:v>
      </x:c>
      <x:c r="AN102" s="36" t="n">
        <x:v>16</x:v>
      </x:c>
      <x:c r="AO102" s="49"/>
      <x:c r="AP102" s="45" t="b">
        <x:v>1</x:v>
      </x:c>
      <x:c r="AQ102" s="46" t="n">
        <x:f>IF(T102="","",T102/'Readme-Protocol'!$B$24)</x:f>
        <x:v>5.068327239</x:v>
      </x:c>
      <x:c r="AR102" s="46" t="n">
        <x:f>IF(OR(S102="",S102=0),"",T102/S102)</x:f>
        <x:v>1.0136654478</x:v>
      </x:c>
      <x:c r="AS102" s="46" t="str">
        <x:f>IF(OR(X102="",Y102=""),"",ABS(Y102-X102)*'Readme-Protocol'!$B$27)</x:f>
      </x:c>
      <x:c r="AT102" s="49" t="b">
        <x:f>AND(M102&gt;0,N102&gt;=0,O102&gt;0)</x:f>
        <x:v>1</x:v>
      </x:c>
      <x:c r="AU102" s="49" t="b">
        <x:f>AND(AT102,N102&gt;=M102)</x:f>
        <x:v>1</x:v>
      </x:c>
      <x:c r="AV102" s="49" t="b">
        <x:f>OR(S102=0,T102&gt;=S102)</x:f>
        <x:v>1</x:v>
      </x:c>
      <x:c r="AW102" s="49" t="b">
        <x:f>IF(I102="cache-semantics",OR(V102&lt;&gt;"uniform",ABS(Y102-W102/'Readme-Protocol'!$B$27)&lt;='Readme-Protocol'!$B$28),TRUE)</x:f>
        <x:v>1</x:v>
      </x:c>
      <x:c r="AX102" s="43" t="str">
        <x:f>IF(I102="cache-semantics",INT(AA102*'Readme-Protocol'!$B$32),"")</x:f>
      </x:c>
      <x:c r="AY102" s="49" t="b">
        <x:f>IF(I102="cache-semantics",AX102=AB102,TRUE)</x:f>
        <x:v>1</x:v>
      </x:c>
      <x:c r="AZ102" s="49" t="b">
        <x:f>IF(I102="cache-semantics",AX102=AE102,TRUE)</x:f>
        <x:v>1</x:v>
      </x:c>
      <x:c r="BA102" s="49" t="b">
        <x:f>IF(I102="cache-semantics",AC102&gt;=AX102,IF(I102="no-store-control",AC102=0,FALSE))</x:f>
        <x:v>1</x:v>
      </x:c>
      <x:c r="BB102" s="49" t="b">
        <x:f>IF(I102="cache-semantics",AG102&gt;=AX102,IF(I102="no-store-control",AG102=0,FALSE))</x:f>
        <x:v>1</x:v>
      </x:c>
      <x:c r="BC102" s="49" t="b">
        <x:f>AND(BA102,BB102)</x:f>
        <x:v>1</x:v>
      </x:c>
      <x:c r="BD102" s="49" t="b">
        <x:f>IF(I102="no-store-control",AND(AC102=0,AG102=0),TRUE)</x:f>
        <x:v>1</x:v>
      </x:c>
      <x:c r="BE102" s="49" t="b">
        <x:f>IF(I102="no-store-control",AK102=0,TRUE)</x:f>
        <x:v>1</x:v>
      </x:c>
      <x:c r="BF102" s="49" t="b">
        <x:f>IF(I102="cache-semantics",AN102=1,TRUE)</x:f>
        <x:v>1</x:v>
      </x:c>
      <x:c r="BG102" s="49" t="b">
        <x:f>IF(I102="cache-semantics",AND(AU102,AV102,Q102,AW102,BC102,BF102),IF(I102="no-store-control",AND(AU102,AV102,Q102,BD102,BE102),FALSE))</x:f>
        <x:v>1</x:v>
      </x:c>
      <x:c r="BH102" s="49" t="b">
        <x:f>AND(R102,AT102=P102,AU102=L102,AV102=U102,AY102,AZ102,IF(I102="cache-semantics",AND(AW102=Z102,AND(BA102=AD102,BB102=AH102,BC102=AI102),BF102=AO102),IF(I102="no-store-control",AND(AND(BA102=AD102,BB102=AH102,BC102=AI102),BD102=AJ102,BE102=AL102),FALSE)),BG102=AP102)</x:f>
        <x:v>1</x:v>
      </x:c>
      <x:c r="BI102" s="49" t="b">
        <x:f>AND(J102,K102,BG102)</x:f>
        <x:v>0</x:v>
      </x:c>
    </x:row>
    <x:row r="103">
      <x:c r="A103" s="34" t="str">
        <x:v>article1-unified-v4-2-fb3f101b-20260903-000401-default-f02-p5-nostore</x:v>
      </x:c>
      <x:c r="B103" s="34" t="str">
        <x:v>default</x:v>
      </x:c>
      <x:c r="C103" s="34" t="str">
        <x:v>nostore</x:v>
      </x:c>
      <x:c r="D103" s="36" t="n">
        <x:v>2</x:v>
      </x:c>
      <x:c r="E103" s="36" t="n">
        <x:v>2</x:v>
      </x:c>
      <x:c r="F103" s="36" t="n">
        <x:v>5</x:v>
      </x:c>
      <x:c r="G103" s="36" t="n">
        <x:v>1</x:v>
      </x:c>
      <x:c r="H103" s="34" t="str">
        <x:v>redeploy</x:v>
      </x:c>
      <x:c r="I103" s="34" t="str">
        <x:v>no-store-control</x:v>
      </x:c>
      <x:c r="J103" s="45" t="b">
        <x:v>1</x:v>
      </x:c>
      <x:c r="K103" s="45" t="b">
        <x:v>0</x:v>
      </x:c>
      <x:c r="L103" s="45" t="b">
        <x:v>1</x:v>
      </x:c>
      <x:c r="M103" s="43" t="n">
        <x:v>400000</x:v>
      </x:c>
      <x:c r="N103" s="43" t="n">
        <x:v>468920576</x:v>
      </x:c>
      <x:c r="O103" s="43" t="n">
        <x:v>93654593.76265681</x:v>
      </x:c>
      <x:c r="P103" s="45" t="b">
        <x:v>1</x:v>
      </x:c>
      <x:c r="Q103" s="45" t="b">
        <x:v>1</x:v>
      </x:c>
      <x:c r="R103" s="45" t="b">
        <x:v>1</x:v>
      </x:c>
      <x:c r="S103" s="43" t="n">
        <x:v>5000000000</x:v>
      </x:c>
      <x:c r="T103" s="43" t="n">
        <x:v>5006914847</x:v>
      </x:c>
      <x:c r="U103" s="45" t="b">
        <x:v>1</x:v>
      </x:c>
      <x:c r="V103" s="34" t="str">
        <x:v>uniform</x:v>
      </x:c>
      <x:c r="W103" s="42" t="n">
        <x:v>95</x:v>
      </x:c>
      <x:c r="X103" s="48"/>
      <x:c r="Y103" s="48"/>
      <x:c r="Z103" s="49"/>
      <x:c r="AA103" s="43" t="n">
        <x:v>10000</x:v>
      </x:c>
      <x:c r="AB103" s="43"/>
      <x:c r="AC103" s="43" t="n">
        <x:v>0</x:v>
      </x:c>
      <x:c r="AD103" s="45" t="b">
        <x:v>1</x:v>
      </x:c>
      <x:c r="AE103" s="43"/>
      <x:c r="AF103" s="43" t="n">
        <x:v>0</x:v>
      </x:c>
      <x:c r="AG103" s="43" t="n">
        <x:v>0</x:v>
      </x:c>
      <x:c r="AH103" s="45" t="b">
        <x:v>1</x:v>
      </x:c>
      <x:c r="AI103" s="45" t="b">
        <x:v>1</x:v>
      </x:c>
      <x:c r="AJ103" s="45" t="b">
        <x:v>1</x:v>
      </x:c>
      <x:c r="AK103" s="48" t="n">
        <x:v>0</x:v>
      </x:c>
      <x:c r="AL103" s="45" t="b">
        <x:v>1</x:v>
      </x:c>
      <x:c r="AM103" s="45" t="b">
        <x:v>0</x:v>
      </x:c>
      <x:c r="AN103" s="36" t="n">
        <x:v>16</x:v>
      </x:c>
      <x:c r="AO103" s="49"/>
      <x:c r="AP103" s="45" t="b">
        <x:v>1</x:v>
      </x:c>
      <x:c r="AQ103" s="46" t="n">
        <x:f>IF(T103="","",T103/'Readme-Protocol'!$B$24)</x:f>
        <x:v>5.006914847</x:v>
      </x:c>
      <x:c r="AR103" s="46" t="n">
        <x:f>IF(OR(S103="",S103=0),"",T103/S103)</x:f>
        <x:v>1.0013829694</x:v>
      </x:c>
      <x:c r="AS103" s="46" t="str">
        <x:f>IF(OR(X103="",Y103=""),"",ABS(Y103-X103)*'Readme-Protocol'!$B$27)</x:f>
      </x:c>
      <x:c r="AT103" s="49" t="b">
        <x:f>AND(M103&gt;0,N103&gt;=0,O103&gt;0)</x:f>
        <x:v>1</x:v>
      </x:c>
      <x:c r="AU103" s="49" t="b">
        <x:f>AND(AT103,N103&gt;=M103)</x:f>
        <x:v>1</x:v>
      </x:c>
      <x:c r="AV103" s="49" t="b">
        <x:f>OR(S103=0,T103&gt;=S103)</x:f>
        <x:v>1</x:v>
      </x:c>
      <x:c r="AW103" s="49" t="b">
        <x:f>IF(I103="cache-semantics",OR(V103&lt;&gt;"uniform",ABS(Y103-W103/'Readme-Protocol'!$B$27)&lt;='Readme-Protocol'!$B$28),TRUE)</x:f>
        <x:v>1</x:v>
      </x:c>
      <x:c r="AX103" s="43" t="str">
        <x:f>IF(I103="cache-semantics",INT(AA103*'Readme-Protocol'!$B$32),"")</x:f>
      </x:c>
      <x:c r="AY103" s="49" t="b">
        <x:f>IF(I103="cache-semantics",AX103=AB103,TRUE)</x:f>
        <x:v>1</x:v>
      </x:c>
      <x:c r="AZ103" s="49" t="b">
        <x:f>IF(I103="cache-semantics",AX103=AE103,TRUE)</x:f>
        <x:v>1</x:v>
      </x:c>
      <x:c r="BA103" s="49" t="b">
        <x:f>IF(I103="cache-semantics",AC103&gt;=AX103,IF(I103="no-store-control",AC103=0,FALSE))</x:f>
        <x:v>1</x:v>
      </x:c>
      <x:c r="BB103" s="49" t="b">
        <x:f>IF(I103="cache-semantics",AG103&gt;=AX103,IF(I103="no-store-control",AG103=0,FALSE))</x:f>
        <x:v>1</x:v>
      </x:c>
      <x:c r="BC103" s="49" t="b">
        <x:f>AND(BA103,BB103)</x:f>
        <x:v>1</x:v>
      </x:c>
      <x:c r="BD103" s="49" t="b">
        <x:f>IF(I103="no-store-control",AND(AC103=0,AG103=0),TRUE)</x:f>
        <x:v>1</x:v>
      </x:c>
      <x:c r="BE103" s="49" t="b">
        <x:f>IF(I103="no-store-control",AK103=0,TRUE)</x:f>
        <x:v>1</x:v>
      </x:c>
      <x:c r="BF103" s="49" t="b">
        <x:f>IF(I103="cache-semantics",AN103=1,TRUE)</x:f>
        <x:v>1</x:v>
      </x:c>
      <x:c r="BG103" s="49" t="b">
        <x:f>IF(I103="cache-semantics",AND(AU103,AV103,Q103,AW103,BC103,BF103),IF(I103="no-store-control",AND(AU103,AV103,Q103,BD103,BE103),FALSE))</x:f>
        <x:v>1</x:v>
      </x:c>
      <x:c r="BH103" s="49" t="b">
        <x:f>AND(R103,AT103=P103,AU103=L103,AV103=U103,AY103,AZ103,IF(I103="cache-semantics",AND(AW103=Z103,AND(BA103=AD103,BB103=AH103,BC103=AI103),BF103=AO103),IF(I103="no-store-control",AND(AND(BA103=AD103,BB103=AH103,BC103=AI103),BD103=AJ103,BE103=AL103),FALSE)),BG103=AP103)</x:f>
        <x:v>1</x:v>
      </x:c>
      <x:c r="BI103" s="49" t="b">
        <x:f>AND(J103,K103,BG103)</x:f>
        <x:v>0</x:v>
      </x:c>
    </x:row>
    <x:row r="104">
      <x:c r="A104" s="34" t="str">
        <x:v>article1-unified-v4-2-fb3f101b-20260903-000401-default-f02-p5-nostore</x:v>
      </x:c>
      <x:c r="B104" s="34" t="str">
        <x:v>default</x:v>
      </x:c>
      <x:c r="C104" s="34" t="str">
        <x:v>nostore</x:v>
      </x:c>
      <x:c r="D104" s="36" t="n">
        <x:v>2</x:v>
      </x:c>
      <x:c r="E104" s="36" t="n">
        <x:v>2</x:v>
      </x:c>
      <x:c r="F104" s="36" t="n">
        <x:v>5</x:v>
      </x:c>
      <x:c r="G104" s="36" t="n">
        <x:v>2</x:v>
      </x:c>
      <x:c r="H104" s="34" t="str">
        <x:v>initial</x:v>
      </x:c>
      <x:c r="I104" s="34" t="str">
        <x:v>no-store-control</x:v>
      </x:c>
      <x:c r="J104" s="45" t="b">
        <x:v>1</x:v>
      </x:c>
      <x:c r="K104" s="45" t="b">
        <x:v>0</x:v>
      </x:c>
      <x:c r="L104" s="45" t="b">
        <x:v>1</x:v>
      </x:c>
      <x:c r="M104" s="43" t="n">
        <x:v>400000</x:v>
      </x:c>
      <x:c r="N104" s="43" t="n">
        <x:v>471553024</x:v>
      </x:c>
      <x:c r="O104" s="43" t="n">
        <x:v>94214353.53214449</x:v>
      </x:c>
      <x:c r="P104" s="45" t="b">
        <x:v>1</x:v>
      </x:c>
      <x:c r="Q104" s="45" t="b">
        <x:v>1</x:v>
      </x:c>
      <x:c r="R104" s="45" t="b">
        <x:v>1</x:v>
      </x:c>
      <x:c r="S104" s="43" t="n">
        <x:v>5000000000</x:v>
      </x:c>
      <x:c r="T104" s="43" t="n">
        <x:v>5005108100</x:v>
      </x:c>
      <x:c r="U104" s="45" t="b">
        <x:v>1</x:v>
      </x:c>
      <x:c r="V104" s="34" t="str">
        <x:v>uniform</x:v>
      </x:c>
      <x:c r="W104" s="42" t="n">
        <x:v>95</x:v>
      </x:c>
      <x:c r="X104" s="48"/>
      <x:c r="Y104" s="48"/>
      <x:c r="Z104" s="49"/>
      <x:c r="AA104" s="43" t="n">
        <x:v>10000</x:v>
      </x:c>
      <x:c r="AB104" s="43"/>
      <x:c r="AC104" s="43" t="n">
        <x:v>0</x:v>
      </x:c>
      <x:c r="AD104" s="45" t="b">
        <x:v>1</x:v>
      </x:c>
      <x:c r="AE104" s="43"/>
      <x:c r="AF104" s="43" t="n">
        <x:v>0</x:v>
      </x:c>
      <x:c r="AG104" s="43" t="n">
        <x:v>0</x:v>
      </x:c>
      <x:c r="AH104" s="45" t="b">
        <x:v>1</x:v>
      </x:c>
      <x:c r="AI104" s="45" t="b">
        <x:v>1</x:v>
      </x:c>
      <x:c r="AJ104" s="45" t="b">
        <x:v>1</x:v>
      </x:c>
      <x:c r="AK104" s="48" t="n">
        <x:v>0</x:v>
      </x:c>
      <x:c r="AL104" s="45" t="b">
        <x:v>1</x:v>
      </x:c>
      <x:c r="AM104" s="45" t="b">
        <x:v>0</x:v>
      </x:c>
      <x:c r="AN104" s="36" t="n">
        <x:v>16</x:v>
      </x:c>
      <x:c r="AO104" s="49"/>
      <x:c r="AP104" s="45" t="b">
        <x:v>1</x:v>
      </x:c>
      <x:c r="AQ104" s="46" t="n">
        <x:f>IF(T104="","",T104/'Readme-Protocol'!$B$24)</x:f>
        <x:v>5.0051081</x:v>
      </x:c>
      <x:c r="AR104" s="46" t="n">
        <x:f>IF(OR(S104="",S104=0),"",T104/S104)</x:f>
        <x:v>1.00102162</x:v>
      </x:c>
      <x:c r="AS104" s="46" t="str">
        <x:f>IF(OR(X104="",Y104=""),"",ABS(Y104-X104)*'Readme-Protocol'!$B$27)</x:f>
      </x:c>
      <x:c r="AT104" s="49" t="b">
        <x:f>AND(M104&gt;0,N104&gt;=0,O104&gt;0)</x:f>
        <x:v>1</x:v>
      </x:c>
      <x:c r="AU104" s="49" t="b">
        <x:f>AND(AT104,N104&gt;=M104)</x:f>
        <x:v>1</x:v>
      </x:c>
      <x:c r="AV104" s="49" t="b">
        <x:f>OR(S104=0,T104&gt;=S104)</x:f>
        <x:v>1</x:v>
      </x:c>
      <x:c r="AW104" s="49" t="b">
        <x:f>IF(I104="cache-semantics",OR(V104&lt;&gt;"uniform",ABS(Y104-W104/'Readme-Protocol'!$B$27)&lt;='Readme-Protocol'!$B$28),TRUE)</x:f>
        <x:v>1</x:v>
      </x:c>
      <x:c r="AX104" s="43" t="str">
        <x:f>IF(I104="cache-semantics",INT(AA104*'Readme-Protocol'!$B$32),"")</x:f>
      </x:c>
      <x:c r="AY104" s="49" t="b">
        <x:f>IF(I104="cache-semantics",AX104=AB104,TRUE)</x:f>
        <x:v>1</x:v>
      </x:c>
      <x:c r="AZ104" s="49" t="b">
        <x:f>IF(I104="cache-semantics",AX104=AE104,TRUE)</x:f>
        <x:v>1</x:v>
      </x:c>
      <x:c r="BA104" s="49" t="b">
        <x:f>IF(I104="cache-semantics",AC104&gt;=AX104,IF(I104="no-store-control",AC104=0,FALSE))</x:f>
        <x:v>1</x:v>
      </x:c>
      <x:c r="BB104" s="49" t="b">
        <x:f>IF(I104="cache-semantics",AG104&gt;=AX104,IF(I104="no-store-control",AG104=0,FALSE))</x:f>
        <x:v>1</x:v>
      </x:c>
      <x:c r="BC104" s="49" t="b">
        <x:f>AND(BA104,BB104)</x:f>
        <x:v>1</x:v>
      </x:c>
      <x:c r="BD104" s="49" t="b">
        <x:f>IF(I104="no-store-control",AND(AC104=0,AG104=0),TRUE)</x:f>
        <x:v>1</x:v>
      </x:c>
      <x:c r="BE104" s="49" t="b">
        <x:f>IF(I104="no-store-control",AK104=0,TRUE)</x:f>
        <x:v>1</x:v>
      </x:c>
      <x:c r="BF104" s="49" t="b">
        <x:f>IF(I104="cache-semantics",AN104=1,TRUE)</x:f>
        <x:v>1</x:v>
      </x:c>
      <x:c r="BG104" s="49" t="b">
        <x:f>IF(I104="cache-semantics",AND(AU104,AV104,Q104,AW104,BC104,BF104),IF(I104="no-store-control",AND(AU104,AV104,Q104,BD104,BE104),FALSE))</x:f>
        <x:v>1</x:v>
      </x:c>
      <x:c r="BH104" s="49" t="b">
        <x:f>AND(R104,AT104=P104,AU104=L104,AV104=U104,AY104,AZ104,IF(I104="cache-semantics",AND(AW104=Z104,AND(BA104=AD104,BB104=AH104,BC104=AI104),BF104=AO104),IF(I104="no-store-control",AND(AND(BA104=AD104,BB104=AH104,BC104=AI104),BD104=AJ104,BE104=AL104),FALSE)),BG104=AP104)</x:f>
        <x:v>1</x:v>
      </x:c>
      <x:c r="BI104" s="49" t="b">
        <x:f>AND(J104,K104,BG104)</x:f>
        <x:v>0</x:v>
      </x:c>
    </x:row>
    <x:row r="105">
      <x:c r="A105" s="34" t="str">
        <x:v>article1-unified-v4-2-fb3f101b-20260903-000401-default-f02-p5-nostore</x:v>
      </x:c>
      <x:c r="B105" s="34" t="str">
        <x:v>default</x:v>
      </x:c>
      <x:c r="C105" s="34" t="str">
        <x:v>nostore</x:v>
      </x:c>
      <x:c r="D105" s="36" t="n">
        <x:v>2</x:v>
      </x:c>
      <x:c r="E105" s="36" t="n">
        <x:v>2</x:v>
      </x:c>
      <x:c r="F105" s="36" t="n">
        <x:v>5</x:v>
      </x:c>
      <x:c r="G105" s="36" t="n">
        <x:v>2</x:v>
      </x:c>
      <x:c r="H105" s="34" t="str">
        <x:v>redeploy</x:v>
      </x:c>
      <x:c r="I105" s="34" t="str">
        <x:v>no-store-control</x:v>
      </x:c>
      <x:c r="J105" s="45" t="b">
        <x:v>1</x:v>
      </x:c>
      <x:c r="K105" s="45" t="b">
        <x:v>0</x:v>
      </x:c>
      <x:c r="L105" s="45" t="b">
        <x:v>1</x:v>
      </x:c>
      <x:c r="M105" s="43" t="n">
        <x:v>400000</x:v>
      </x:c>
      <x:c r="N105" s="43" t="n">
        <x:v>486354688</x:v>
      </x:c>
      <x:c r="O105" s="43" t="n">
        <x:v>97151438.37739208</x:v>
      </x:c>
      <x:c r="P105" s="45" t="b">
        <x:v>1</x:v>
      </x:c>
      <x:c r="Q105" s="45" t="b">
        <x:v>1</x:v>
      </x:c>
      <x:c r="R105" s="45" t="b">
        <x:v>1</x:v>
      </x:c>
      <x:c r="S105" s="43" t="n">
        <x:v>5000000000</x:v>
      </x:c>
      <x:c r="T105" s="43" t="n">
        <x:v>5006150152</x:v>
      </x:c>
      <x:c r="U105" s="45" t="b">
        <x:v>1</x:v>
      </x:c>
      <x:c r="V105" s="34" t="str">
        <x:v>uniform</x:v>
      </x:c>
      <x:c r="W105" s="42" t="n">
        <x:v>95</x:v>
      </x:c>
      <x:c r="X105" s="48"/>
      <x:c r="Y105" s="48"/>
      <x:c r="Z105" s="49"/>
      <x:c r="AA105" s="43" t="n">
        <x:v>10000</x:v>
      </x:c>
      <x:c r="AB105" s="43"/>
      <x:c r="AC105" s="43" t="n">
        <x:v>0</x:v>
      </x:c>
      <x:c r="AD105" s="45" t="b">
        <x:v>1</x:v>
      </x:c>
      <x:c r="AE105" s="43"/>
      <x:c r="AF105" s="43" t="n">
        <x:v>0</x:v>
      </x:c>
      <x:c r="AG105" s="43" t="n">
        <x:v>0</x:v>
      </x:c>
      <x:c r="AH105" s="45" t="b">
        <x:v>1</x:v>
      </x:c>
      <x:c r="AI105" s="45" t="b">
        <x:v>1</x:v>
      </x:c>
      <x:c r="AJ105" s="45" t="b">
        <x:v>1</x:v>
      </x:c>
      <x:c r="AK105" s="48" t="n">
        <x:v>0</x:v>
      </x:c>
      <x:c r="AL105" s="45" t="b">
        <x:v>1</x:v>
      </x:c>
      <x:c r="AM105" s="45" t="b">
        <x:v>0</x:v>
      </x:c>
      <x:c r="AN105" s="36" t="n">
        <x:v>16</x:v>
      </x:c>
      <x:c r="AO105" s="49"/>
      <x:c r="AP105" s="45" t="b">
        <x:v>1</x:v>
      </x:c>
      <x:c r="AQ105" s="46" t="n">
        <x:f>IF(T105="","",T105/'Readme-Protocol'!$B$24)</x:f>
        <x:v>5.006150152</x:v>
      </x:c>
      <x:c r="AR105" s="46" t="n">
        <x:f>IF(OR(S105="",S105=0),"",T105/S105)</x:f>
        <x:v>1.0012300304</x:v>
      </x:c>
      <x:c r="AS105" s="46" t="str">
        <x:f>IF(OR(X105="",Y105=""),"",ABS(Y105-X105)*'Readme-Protocol'!$B$27)</x:f>
      </x:c>
      <x:c r="AT105" s="49" t="b">
        <x:f>AND(M105&gt;0,N105&gt;=0,O105&gt;0)</x:f>
        <x:v>1</x:v>
      </x:c>
      <x:c r="AU105" s="49" t="b">
        <x:f>AND(AT105,N105&gt;=M105)</x:f>
        <x:v>1</x:v>
      </x:c>
      <x:c r="AV105" s="49" t="b">
        <x:f>OR(S105=0,T105&gt;=S105)</x:f>
        <x:v>1</x:v>
      </x:c>
      <x:c r="AW105" s="49" t="b">
        <x:f>IF(I105="cache-semantics",OR(V105&lt;&gt;"uniform",ABS(Y105-W105/'Readme-Protocol'!$B$27)&lt;='Readme-Protocol'!$B$28),TRUE)</x:f>
        <x:v>1</x:v>
      </x:c>
      <x:c r="AX105" s="43" t="str">
        <x:f>IF(I105="cache-semantics",INT(AA105*'Readme-Protocol'!$B$32),"")</x:f>
      </x:c>
      <x:c r="AY105" s="49" t="b">
        <x:f>IF(I105="cache-semantics",AX105=AB105,TRUE)</x:f>
        <x:v>1</x:v>
      </x:c>
      <x:c r="AZ105" s="49" t="b">
        <x:f>IF(I105="cache-semantics",AX105=AE105,TRUE)</x:f>
        <x:v>1</x:v>
      </x:c>
      <x:c r="BA105" s="49" t="b">
        <x:f>IF(I105="cache-semantics",AC105&gt;=AX105,IF(I105="no-store-control",AC105=0,FALSE))</x:f>
        <x:v>1</x:v>
      </x:c>
      <x:c r="BB105" s="49" t="b">
        <x:f>IF(I105="cache-semantics",AG105&gt;=AX105,IF(I105="no-store-control",AG105=0,FALSE))</x:f>
        <x:v>1</x:v>
      </x:c>
      <x:c r="BC105" s="49" t="b">
        <x:f>AND(BA105,BB105)</x:f>
        <x:v>1</x:v>
      </x:c>
      <x:c r="BD105" s="49" t="b">
        <x:f>IF(I105="no-store-control",AND(AC105=0,AG105=0),TRUE)</x:f>
        <x:v>1</x:v>
      </x:c>
      <x:c r="BE105" s="49" t="b">
        <x:f>IF(I105="no-store-control",AK105=0,TRUE)</x:f>
        <x:v>1</x:v>
      </x:c>
      <x:c r="BF105" s="49" t="b">
        <x:f>IF(I105="cache-semantics",AN105=1,TRUE)</x:f>
        <x:v>1</x:v>
      </x:c>
      <x:c r="BG105" s="49" t="b">
        <x:f>IF(I105="cache-semantics",AND(AU105,AV105,Q105,AW105,BC105,BF105),IF(I105="no-store-control",AND(AU105,AV105,Q105,BD105,BE105),FALSE))</x:f>
        <x:v>1</x:v>
      </x:c>
      <x:c r="BH105" s="49" t="b">
        <x:f>AND(R105,AT105=P105,AU105=L105,AV105=U105,AY105,AZ105,IF(I105="cache-semantics",AND(AW105=Z105,AND(BA105=AD105,BB105=AH105,BC105=AI105),BF105=AO105),IF(I105="no-store-control",AND(AND(BA105=AD105,BB105=AH105,BC105=AI105),BD105=AJ105,BE105=AL105),FALSE)),BG105=AP105)</x:f>
        <x:v>1</x:v>
      </x:c>
      <x:c r="BI105" s="49" t="b">
        <x:f>AND(J105,K105,BG105)</x:f>
        <x:v>0</x:v>
      </x:c>
    </x:row>
    <x:row r="106">
      <x:c r="A106" s="34" t="str">
        <x:v>article1-unified-v4-2-fb3f101b-20260903-000401-default-f02-p5-nostore</x:v>
      </x:c>
      <x:c r="B106" s="34" t="str">
        <x:v>default</x:v>
      </x:c>
      <x:c r="C106" s="34" t="str">
        <x:v>nostore</x:v>
      </x:c>
      <x:c r="D106" s="36" t="n">
        <x:v>2</x:v>
      </x:c>
      <x:c r="E106" s="36" t="n">
        <x:v>2</x:v>
      </x:c>
      <x:c r="F106" s="36" t="n">
        <x:v>5</x:v>
      </x:c>
      <x:c r="G106" s="36" t="n">
        <x:v>3</x:v>
      </x:c>
      <x:c r="H106" s="34" t="str">
        <x:v>initial</x:v>
      </x:c>
      <x:c r="I106" s="34" t="str">
        <x:v>no-store-control</x:v>
      </x:c>
      <x:c r="J106" s="45" t="b">
        <x:v>1</x:v>
      </x:c>
      <x:c r="K106" s="45" t="b">
        <x:v>0</x:v>
      </x:c>
      <x:c r="L106" s="45" t="b">
        <x:v>1</x:v>
      </x:c>
      <x:c r="M106" s="43" t="n">
        <x:v>400000</x:v>
      </x:c>
      <x:c r="N106" s="43" t="n">
        <x:v>462285056</x:v>
      </x:c>
      <x:c r="O106" s="43" t="n">
        <x:v>92350327.21543759</x:v>
      </x:c>
      <x:c r="P106" s="45" t="b">
        <x:v>1</x:v>
      </x:c>
      <x:c r="Q106" s="45" t="b">
        <x:v>1</x:v>
      </x:c>
      <x:c r="R106" s="45" t="b">
        <x:v>1</x:v>
      </x:c>
      <x:c r="S106" s="43" t="n">
        <x:v>5000000000</x:v>
      </x:c>
      <x:c r="T106" s="43" t="n">
        <x:v>5005776048</x:v>
      </x:c>
      <x:c r="U106" s="45" t="b">
        <x:v>1</x:v>
      </x:c>
      <x:c r="V106" s="34" t="str">
        <x:v>uniform</x:v>
      </x:c>
      <x:c r="W106" s="42" t="n">
        <x:v>95</x:v>
      </x:c>
      <x:c r="X106" s="48"/>
      <x:c r="Y106" s="48"/>
      <x:c r="Z106" s="49"/>
      <x:c r="AA106" s="43" t="n">
        <x:v>10000</x:v>
      </x:c>
      <x:c r="AB106" s="43"/>
      <x:c r="AC106" s="43" t="n">
        <x:v>0</x:v>
      </x:c>
      <x:c r="AD106" s="45" t="b">
        <x:v>1</x:v>
      </x:c>
      <x:c r="AE106" s="43"/>
      <x:c r="AF106" s="43" t="n">
        <x:v>0</x:v>
      </x:c>
      <x:c r="AG106" s="43" t="n">
        <x:v>0</x:v>
      </x:c>
      <x:c r="AH106" s="45" t="b">
        <x:v>1</x:v>
      </x:c>
      <x:c r="AI106" s="45" t="b">
        <x:v>1</x:v>
      </x:c>
      <x:c r="AJ106" s="45" t="b">
        <x:v>1</x:v>
      </x:c>
      <x:c r="AK106" s="48" t="n">
        <x:v>0</x:v>
      </x:c>
      <x:c r="AL106" s="45" t="b">
        <x:v>1</x:v>
      </x:c>
      <x:c r="AM106" s="45" t="b">
        <x:v>0</x:v>
      </x:c>
      <x:c r="AN106" s="36" t="n">
        <x:v>16</x:v>
      </x:c>
      <x:c r="AO106" s="49"/>
      <x:c r="AP106" s="45" t="b">
        <x:v>1</x:v>
      </x:c>
      <x:c r="AQ106" s="46" t="n">
        <x:f>IF(T106="","",T106/'Readme-Protocol'!$B$24)</x:f>
        <x:v>5.005776048</x:v>
      </x:c>
      <x:c r="AR106" s="46" t="n">
        <x:f>IF(OR(S106="",S106=0),"",T106/S106)</x:f>
        <x:v>1.0011552096</x:v>
      </x:c>
      <x:c r="AS106" s="46" t="str">
        <x:f>IF(OR(X106="",Y106=""),"",ABS(Y106-X106)*'Readme-Protocol'!$B$27)</x:f>
      </x:c>
      <x:c r="AT106" s="49" t="b">
        <x:f>AND(M106&gt;0,N106&gt;=0,O106&gt;0)</x:f>
        <x:v>1</x:v>
      </x:c>
      <x:c r="AU106" s="49" t="b">
        <x:f>AND(AT106,N106&gt;=M106)</x:f>
        <x:v>1</x:v>
      </x:c>
      <x:c r="AV106" s="49" t="b">
        <x:f>OR(S106=0,T106&gt;=S106)</x:f>
        <x:v>1</x:v>
      </x:c>
      <x:c r="AW106" s="49" t="b">
        <x:f>IF(I106="cache-semantics",OR(V106&lt;&gt;"uniform",ABS(Y106-W106/'Readme-Protocol'!$B$27)&lt;='Readme-Protocol'!$B$28),TRUE)</x:f>
        <x:v>1</x:v>
      </x:c>
      <x:c r="AX106" s="43" t="str">
        <x:f>IF(I106="cache-semantics",INT(AA106*'Readme-Protocol'!$B$32),"")</x:f>
      </x:c>
      <x:c r="AY106" s="49" t="b">
        <x:f>IF(I106="cache-semantics",AX106=AB106,TRUE)</x:f>
        <x:v>1</x:v>
      </x:c>
      <x:c r="AZ106" s="49" t="b">
        <x:f>IF(I106="cache-semantics",AX106=AE106,TRUE)</x:f>
        <x:v>1</x:v>
      </x:c>
      <x:c r="BA106" s="49" t="b">
        <x:f>IF(I106="cache-semantics",AC106&gt;=AX106,IF(I106="no-store-control",AC106=0,FALSE))</x:f>
        <x:v>1</x:v>
      </x:c>
      <x:c r="BB106" s="49" t="b">
        <x:f>IF(I106="cache-semantics",AG106&gt;=AX106,IF(I106="no-store-control",AG106=0,FALSE))</x:f>
        <x:v>1</x:v>
      </x:c>
      <x:c r="BC106" s="49" t="b">
        <x:f>AND(BA106,BB106)</x:f>
        <x:v>1</x:v>
      </x:c>
      <x:c r="BD106" s="49" t="b">
        <x:f>IF(I106="no-store-control",AND(AC106=0,AG106=0),TRUE)</x:f>
        <x:v>1</x:v>
      </x:c>
      <x:c r="BE106" s="49" t="b">
        <x:f>IF(I106="no-store-control",AK106=0,TRUE)</x:f>
        <x:v>1</x:v>
      </x:c>
      <x:c r="BF106" s="49" t="b">
        <x:f>IF(I106="cache-semantics",AN106=1,TRUE)</x:f>
        <x:v>1</x:v>
      </x:c>
      <x:c r="BG106" s="49" t="b">
        <x:f>IF(I106="cache-semantics",AND(AU106,AV106,Q106,AW106,BC106,BF106),IF(I106="no-store-control",AND(AU106,AV106,Q106,BD106,BE106),FALSE))</x:f>
        <x:v>1</x:v>
      </x:c>
      <x:c r="BH106" s="49" t="b">
        <x:f>AND(R106,AT106=P106,AU106=L106,AV106=U106,AY106,AZ106,IF(I106="cache-semantics",AND(AW106=Z106,AND(BA106=AD106,BB106=AH106,BC106=AI106),BF106=AO106),IF(I106="no-store-control",AND(AND(BA106=AD106,BB106=AH106,BC106=AI106),BD106=AJ106,BE106=AL106),FALSE)),BG106=AP106)</x:f>
        <x:v>1</x:v>
      </x:c>
      <x:c r="BI106" s="49" t="b">
        <x:f>AND(J106,K106,BG106)</x:f>
        <x:v>0</x:v>
      </x:c>
    </x:row>
    <x:row r="107">
      <x:c r="A107" s="34" t="str">
        <x:v>article1-unified-v4-2-fb3f101b-20260903-000401-default-f02-p5-nostore</x:v>
      </x:c>
      <x:c r="B107" s="34" t="str">
        <x:v>default</x:v>
      </x:c>
      <x:c r="C107" s="34" t="str">
        <x:v>nostore</x:v>
      </x:c>
      <x:c r="D107" s="36" t="n">
        <x:v>2</x:v>
      </x:c>
      <x:c r="E107" s="36" t="n">
        <x:v>2</x:v>
      </x:c>
      <x:c r="F107" s="36" t="n">
        <x:v>5</x:v>
      </x:c>
      <x:c r="G107" s="36" t="n">
        <x:v>3</x:v>
      </x:c>
      <x:c r="H107" s="34" t="str">
        <x:v>redeploy</x:v>
      </x:c>
      <x:c r="I107" s="34" t="str">
        <x:v>no-store-control</x:v>
      </x:c>
      <x:c r="J107" s="45" t="b">
        <x:v>1</x:v>
      </x:c>
      <x:c r="K107" s="45" t="b">
        <x:v>0</x:v>
      </x:c>
      <x:c r="L107" s="45" t="b">
        <x:v>1</x:v>
      </x:c>
      <x:c r="M107" s="43" t="n">
        <x:v>400000</x:v>
      </x:c>
      <x:c r="N107" s="43" t="n">
        <x:v>481008896</x:v>
      </x:c>
      <x:c r="O107" s="43" t="n">
        <x:v>96000061.33671767</x:v>
      </x:c>
      <x:c r="P107" s="45" t="b">
        <x:v>1</x:v>
      </x:c>
      <x:c r="Q107" s="45" t="b">
        <x:v>1</x:v>
      </x:c>
      <x:c r="R107" s="45" t="b">
        <x:v>1</x:v>
      </x:c>
      <x:c r="S107" s="43" t="n">
        <x:v>5000000000</x:v>
      </x:c>
      <x:c r="T107" s="43" t="n">
        <x:v>5010506132</x:v>
      </x:c>
      <x:c r="U107" s="45" t="b">
        <x:v>1</x:v>
      </x:c>
      <x:c r="V107" s="34" t="str">
        <x:v>uniform</x:v>
      </x:c>
      <x:c r="W107" s="42" t="n">
        <x:v>95</x:v>
      </x:c>
      <x:c r="X107" s="48"/>
      <x:c r="Y107" s="48"/>
      <x:c r="Z107" s="49"/>
      <x:c r="AA107" s="43" t="n">
        <x:v>10000</x:v>
      </x:c>
      <x:c r="AB107" s="43"/>
      <x:c r="AC107" s="43" t="n">
        <x:v>0</x:v>
      </x:c>
      <x:c r="AD107" s="45" t="b">
        <x:v>1</x:v>
      </x:c>
      <x:c r="AE107" s="43"/>
      <x:c r="AF107" s="43" t="n">
        <x:v>0</x:v>
      </x:c>
      <x:c r="AG107" s="43" t="n">
        <x:v>0</x:v>
      </x:c>
      <x:c r="AH107" s="45" t="b">
        <x:v>1</x:v>
      </x:c>
      <x:c r="AI107" s="45" t="b">
        <x:v>1</x:v>
      </x:c>
      <x:c r="AJ107" s="45" t="b">
        <x:v>1</x:v>
      </x:c>
      <x:c r="AK107" s="48" t="n">
        <x:v>0</x:v>
      </x:c>
      <x:c r="AL107" s="45" t="b">
        <x:v>1</x:v>
      </x:c>
      <x:c r="AM107" s="45" t="b">
        <x:v>0</x:v>
      </x:c>
      <x:c r="AN107" s="36" t="n">
        <x:v>16</x:v>
      </x:c>
      <x:c r="AO107" s="49"/>
      <x:c r="AP107" s="45" t="b">
        <x:v>1</x:v>
      </x:c>
      <x:c r="AQ107" s="46" t="n">
        <x:f>IF(T107="","",T107/'Readme-Protocol'!$B$24)</x:f>
        <x:v>5.010506132</x:v>
      </x:c>
      <x:c r="AR107" s="46" t="n">
        <x:f>IF(OR(S107="",S107=0),"",T107/S107)</x:f>
        <x:v>1.0021012264</x:v>
      </x:c>
      <x:c r="AS107" s="46" t="str">
        <x:f>IF(OR(X107="",Y107=""),"",ABS(Y107-X107)*'Readme-Protocol'!$B$27)</x:f>
      </x:c>
      <x:c r="AT107" s="49" t="b">
        <x:f>AND(M107&gt;0,N107&gt;=0,O107&gt;0)</x:f>
        <x:v>1</x:v>
      </x:c>
      <x:c r="AU107" s="49" t="b">
        <x:f>AND(AT107,N107&gt;=M107)</x:f>
        <x:v>1</x:v>
      </x:c>
      <x:c r="AV107" s="49" t="b">
        <x:f>OR(S107=0,T107&gt;=S107)</x:f>
        <x:v>1</x:v>
      </x:c>
      <x:c r="AW107" s="49" t="b">
        <x:f>IF(I107="cache-semantics",OR(V107&lt;&gt;"uniform",ABS(Y107-W107/'Readme-Protocol'!$B$27)&lt;='Readme-Protocol'!$B$28),TRUE)</x:f>
        <x:v>1</x:v>
      </x:c>
      <x:c r="AX107" s="43" t="str">
        <x:f>IF(I107="cache-semantics",INT(AA107*'Readme-Protocol'!$B$32),"")</x:f>
      </x:c>
      <x:c r="AY107" s="49" t="b">
        <x:f>IF(I107="cache-semantics",AX107=AB107,TRUE)</x:f>
        <x:v>1</x:v>
      </x:c>
      <x:c r="AZ107" s="49" t="b">
        <x:f>IF(I107="cache-semantics",AX107=AE107,TRUE)</x:f>
        <x:v>1</x:v>
      </x:c>
      <x:c r="BA107" s="49" t="b">
        <x:f>IF(I107="cache-semantics",AC107&gt;=AX107,IF(I107="no-store-control",AC107=0,FALSE))</x:f>
        <x:v>1</x:v>
      </x:c>
      <x:c r="BB107" s="49" t="b">
        <x:f>IF(I107="cache-semantics",AG107&gt;=AX107,IF(I107="no-store-control",AG107=0,FALSE))</x:f>
        <x:v>1</x:v>
      </x:c>
      <x:c r="BC107" s="49" t="b">
        <x:f>AND(BA107,BB107)</x:f>
        <x:v>1</x:v>
      </x:c>
      <x:c r="BD107" s="49" t="b">
        <x:f>IF(I107="no-store-control",AND(AC107=0,AG107=0),TRUE)</x:f>
        <x:v>1</x:v>
      </x:c>
      <x:c r="BE107" s="49" t="b">
        <x:f>IF(I107="no-store-control",AK107=0,TRUE)</x:f>
        <x:v>1</x:v>
      </x:c>
      <x:c r="BF107" s="49" t="b">
        <x:f>IF(I107="cache-semantics",AN107=1,TRUE)</x:f>
        <x:v>1</x:v>
      </x:c>
      <x:c r="BG107" s="49" t="b">
        <x:f>IF(I107="cache-semantics",AND(AU107,AV107,Q107,AW107,BC107,BF107),IF(I107="no-store-control",AND(AU107,AV107,Q107,BD107,BE107),FALSE))</x:f>
        <x:v>1</x:v>
      </x:c>
      <x:c r="BH107" s="49" t="b">
        <x:f>AND(R107,AT107=P107,AU107=L107,AV107=U107,AY107,AZ107,IF(I107="cache-semantics",AND(AW107=Z107,AND(BA107=AD107,BB107=AH107,BC107=AI107),BF107=AO107),IF(I107="no-store-control",AND(AND(BA107=AD107,BB107=AH107,BC107=AI107),BD107=AJ107,BE107=AL107),FALSE)),BG107=AP107)</x:f>
        <x:v>1</x:v>
      </x:c>
      <x:c r="BI107" s="49" t="b">
        <x:f>AND(J107,K107,BG107)</x:f>
        <x:v>0</x:v>
      </x:c>
    </x:row>
    <x:row r="108">
      <x:c r="A108" s="34" t="str">
        <x:v>article1-unified-v4-2-fb3f101b-20260903-000401-default-f02-p5-nostore</x:v>
      </x:c>
      <x:c r="B108" s="34" t="str">
        <x:v>default</x:v>
      </x:c>
      <x:c r="C108" s="34" t="str">
        <x:v>nostore</x:v>
      </x:c>
      <x:c r="D108" s="36" t="n">
        <x:v>2</x:v>
      </x:c>
      <x:c r="E108" s="36" t="n">
        <x:v>2</x:v>
      </x:c>
      <x:c r="F108" s="36" t="n">
        <x:v>5</x:v>
      </x:c>
      <x:c r="G108" s="36" t="n">
        <x:v>4</x:v>
      </x:c>
      <x:c r="H108" s="34" t="str">
        <x:v>initial</x:v>
      </x:c>
      <x:c r="I108" s="34" t="str">
        <x:v>no-store-control</x:v>
      </x:c>
      <x:c r="J108" s="45" t="b">
        <x:v>1</x:v>
      </x:c>
      <x:c r="K108" s="45" t="b">
        <x:v>0</x:v>
      </x:c>
      <x:c r="L108" s="45" t="b">
        <x:v>1</x:v>
      </x:c>
      <x:c r="M108" s="43" t="n">
        <x:v>400000</x:v>
      </x:c>
      <x:c r="N108" s="43" t="n">
        <x:v>489724928</x:v>
      </x:c>
      <x:c r="O108" s="43" t="n">
        <x:v>97728145.37466997</x:v>
      </x:c>
      <x:c r="P108" s="45" t="b">
        <x:v>1</x:v>
      </x:c>
      <x:c r="Q108" s="45" t="b">
        <x:v>1</x:v>
      </x:c>
      <x:c r="R108" s="45" t="b">
        <x:v>1</x:v>
      </x:c>
      <x:c r="S108" s="43" t="n">
        <x:v>5000000000</x:v>
      </x:c>
      <x:c r="T108" s="43" t="n">
        <x:v>5011094052</x:v>
      </x:c>
      <x:c r="U108" s="45" t="b">
        <x:v>1</x:v>
      </x:c>
      <x:c r="V108" s="34" t="str">
        <x:v>uniform</x:v>
      </x:c>
      <x:c r="W108" s="42" t="n">
        <x:v>95</x:v>
      </x:c>
      <x:c r="X108" s="48"/>
      <x:c r="Y108" s="48"/>
      <x:c r="Z108" s="49"/>
      <x:c r="AA108" s="43" t="n">
        <x:v>10000</x:v>
      </x:c>
      <x:c r="AB108" s="43"/>
      <x:c r="AC108" s="43" t="n">
        <x:v>0</x:v>
      </x:c>
      <x:c r="AD108" s="45" t="b">
        <x:v>1</x:v>
      </x:c>
      <x:c r="AE108" s="43"/>
      <x:c r="AF108" s="43" t="n">
        <x:v>0</x:v>
      </x:c>
      <x:c r="AG108" s="43" t="n">
        <x:v>0</x:v>
      </x:c>
      <x:c r="AH108" s="45" t="b">
        <x:v>1</x:v>
      </x:c>
      <x:c r="AI108" s="45" t="b">
        <x:v>1</x:v>
      </x:c>
      <x:c r="AJ108" s="45" t="b">
        <x:v>1</x:v>
      </x:c>
      <x:c r="AK108" s="48" t="n">
        <x:v>0</x:v>
      </x:c>
      <x:c r="AL108" s="45" t="b">
        <x:v>1</x:v>
      </x:c>
      <x:c r="AM108" s="45" t="b">
        <x:v>0</x:v>
      </x:c>
      <x:c r="AN108" s="36" t="n">
        <x:v>16</x:v>
      </x:c>
      <x:c r="AO108" s="49"/>
      <x:c r="AP108" s="45" t="b">
        <x:v>1</x:v>
      </x:c>
      <x:c r="AQ108" s="46" t="n">
        <x:f>IF(T108="","",T108/'Readme-Protocol'!$B$24)</x:f>
        <x:v>5.011094052</x:v>
      </x:c>
      <x:c r="AR108" s="46" t="n">
        <x:f>IF(OR(S108="",S108=0),"",T108/S108)</x:f>
        <x:v>1.0022188104</x:v>
      </x:c>
      <x:c r="AS108" s="46" t="str">
        <x:f>IF(OR(X108="",Y108=""),"",ABS(Y108-X108)*'Readme-Protocol'!$B$27)</x:f>
      </x:c>
      <x:c r="AT108" s="49" t="b">
        <x:f>AND(M108&gt;0,N108&gt;=0,O108&gt;0)</x:f>
        <x:v>1</x:v>
      </x:c>
      <x:c r="AU108" s="49" t="b">
        <x:f>AND(AT108,N108&gt;=M108)</x:f>
        <x:v>1</x:v>
      </x:c>
      <x:c r="AV108" s="49" t="b">
        <x:f>OR(S108=0,T108&gt;=S108)</x:f>
        <x:v>1</x:v>
      </x:c>
      <x:c r="AW108" s="49" t="b">
        <x:f>IF(I108="cache-semantics",OR(V108&lt;&gt;"uniform",ABS(Y108-W108/'Readme-Protocol'!$B$27)&lt;='Readme-Protocol'!$B$28),TRUE)</x:f>
        <x:v>1</x:v>
      </x:c>
      <x:c r="AX108" s="43" t="str">
        <x:f>IF(I108="cache-semantics",INT(AA108*'Readme-Protocol'!$B$32),"")</x:f>
      </x:c>
      <x:c r="AY108" s="49" t="b">
        <x:f>IF(I108="cache-semantics",AX108=AB108,TRUE)</x:f>
        <x:v>1</x:v>
      </x:c>
      <x:c r="AZ108" s="49" t="b">
        <x:f>IF(I108="cache-semantics",AX108=AE108,TRUE)</x:f>
        <x:v>1</x:v>
      </x:c>
      <x:c r="BA108" s="49" t="b">
        <x:f>IF(I108="cache-semantics",AC108&gt;=AX108,IF(I108="no-store-control",AC108=0,FALSE))</x:f>
        <x:v>1</x:v>
      </x:c>
      <x:c r="BB108" s="49" t="b">
        <x:f>IF(I108="cache-semantics",AG108&gt;=AX108,IF(I108="no-store-control",AG108=0,FALSE))</x:f>
        <x:v>1</x:v>
      </x:c>
      <x:c r="BC108" s="49" t="b">
        <x:f>AND(BA108,BB108)</x:f>
        <x:v>1</x:v>
      </x:c>
      <x:c r="BD108" s="49" t="b">
        <x:f>IF(I108="no-store-control",AND(AC108=0,AG108=0),TRUE)</x:f>
        <x:v>1</x:v>
      </x:c>
      <x:c r="BE108" s="49" t="b">
        <x:f>IF(I108="no-store-control",AK108=0,TRUE)</x:f>
        <x:v>1</x:v>
      </x:c>
      <x:c r="BF108" s="49" t="b">
        <x:f>IF(I108="cache-semantics",AN108=1,TRUE)</x:f>
        <x:v>1</x:v>
      </x:c>
      <x:c r="BG108" s="49" t="b">
        <x:f>IF(I108="cache-semantics",AND(AU108,AV108,Q108,AW108,BC108,BF108),IF(I108="no-store-control",AND(AU108,AV108,Q108,BD108,BE108),FALSE))</x:f>
        <x:v>1</x:v>
      </x:c>
      <x:c r="BH108" s="49" t="b">
        <x:f>AND(R108,AT108=P108,AU108=L108,AV108=U108,AY108,AZ108,IF(I108="cache-semantics",AND(AW108=Z108,AND(BA108=AD108,BB108=AH108,BC108=AI108),BF108=AO108),IF(I108="no-store-control",AND(AND(BA108=AD108,BB108=AH108,BC108=AI108),BD108=AJ108,BE108=AL108),FALSE)),BG108=AP108)</x:f>
        <x:v>1</x:v>
      </x:c>
      <x:c r="BI108" s="49" t="b">
        <x:f>AND(J108,K108,BG108)</x:f>
        <x:v>0</x:v>
      </x:c>
    </x:row>
    <x:row r="109">
      <x:c r="A109" s="34" t="str">
        <x:v>article1-unified-v4-2-fb3f101b-20260903-000401-default-f02-p5-nostore</x:v>
      </x:c>
      <x:c r="B109" s="34" t="str">
        <x:v>default</x:v>
      </x:c>
      <x:c r="C109" s="34" t="str">
        <x:v>nostore</x:v>
      </x:c>
      <x:c r="D109" s="36" t="n">
        <x:v>2</x:v>
      </x:c>
      <x:c r="E109" s="36" t="n">
        <x:v>2</x:v>
      </x:c>
      <x:c r="F109" s="36" t="n">
        <x:v>5</x:v>
      </x:c>
      <x:c r="G109" s="36" t="n">
        <x:v>4</x:v>
      </x:c>
      <x:c r="H109" s="34" t="str">
        <x:v>redeploy</x:v>
      </x:c>
      <x:c r="I109" s="34" t="str">
        <x:v>no-store-control</x:v>
      </x:c>
      <x:c r="J109" s="45" t="b">
        <x:v>1</x:v>
      </x:c>
      <x:c r="K109" s="45" t="b">
        <x:v>0</x:v>
      </x:c>
      <x:c r="L109" s="45" t="b">
        <x:v>1</x:v>
      </x:c>
      <x:c r="M109" s="43" t="n">
        <x:v>400000</x:v>
      </x:c>
      <x:c r="N109" s="43" t="n">
        <x:v>482392320</x:v>
      </x:c>
      <x:c r="O109" s="43" t="n">
        <x:v>96366502.92991355</x:v>
      </x:c>
      <x:c r="P109" s="45" t="b">
        <x:v>1</x:v>
      </x:c>
      <x:c r="Q109" s="45" t="b">
        <x:v>1</x:v>
      </x:c>
      <x:c r="R109" s="45" t="b">
        <x:v>1</x:v>
      </x:c>
      <x:c r="S109" s="43" t="n">
        <x:v>5000000000</x:v>
      </x:c>
      <x:c r="T109" s="43" t="n">
        <x:v>5005809128</x:v>
      </x:c>
      <x:c r="U109" s="45" t="b">
        <x:v>1</x:v>
      </x:c>
      <x:c r="V109" s="34" t="str">
        <x:v>uniform</x:v>
      </x:c>
      <x:c r="W109" s="42" t="n">
        <x:v>95</x:v>
      </x:c>
      <x:c r="X109" s="48"/>
      <x:c r="Y109" s="48"/>
      <x:c r="Z109" s="49"/>
      <x:c r="AA109" s="43" t="n">
        <x:v>10000</x:v>
      </x:c>
      <x:c r="AB109" s="43"/>
      <x:c r="AC109" s="43" t="n">
        <x:v>0</x:v>
      </x:c>
      <x:c r="AD109" s="45" t="b">
        <x:v>1</x:v>
      </x:c>
      <x:c r="AE109" s="43"/>
      <x:c r="AF109" s="43" t="n">
        <x:v>0</x:v>
      </x:c>
      <x:c r="AG109" s="43" t="n">
        <x:v>0</x:v>
      </x:c>
      <x:c r="AH109" s="45" t="b">
        <x:v>1</x:v>
      </x:c>
      <x:c r="AI109" s="45" t="b">
        <x:v>1</x:v>
      </x:c>
      <x:c r="AJ109" s="45" t="b">
        <x:v>1</x:v>
      </x:c>
      <x:c r="AK109" s="48" t="n">
        <x:v>0</x:v>
      </x:c>
      <x:c r="AL109" s="45" t="b">
        <x:v>1</x:v>
      </x:c>
      <x:c r="AM109" s="45" t="b">
        <x:v>0</x:v>
      </x:c>
      <x:c r="AN109" s="36" t="n">
        <x:v>16</x:v>
      </x:c>
      <x:c r="AO109" s="49"/>
      <x:c r="AP109" s="45" t="b">
        <x:v>1</x:v>
      </x:c>
      <x:c r="AQ109" s="46" t="n">
        <x:f>IF(T109="","",T109/'Readme-Protocol'!$B$24)</x:f>
        <x:v>5.005809128</x:v>
      </x:c>
      <x:c r="AR109" s="46" t="n">
        <x:f>IF(OR(S109="",S109=0),"",T109/S109)</x:f>
        <x:v>1.0011618256</x:v>
      </x:c>
      <x:c r="AS109" s="46" t="str">
        <x:f>IF(OR(X109="",Y109=""),"",ABS(Y109-X109)*'Readme-Protocol'!$B$27)</x:f>
      </x:c>
      <x:c r="AT109" s="49" t="b">
        <x:f>AND(M109&gt;0,N109&gt;=0,O109&gt;0)</x:f>
        <x:v>1</x:v>
      </x:c>
      <x:c r="AU109" s="49" t="b">
        <x:f>AND(AT109,N109&gt;=M109)</x:f>
        <x:v>1</x:v>
      </x:c>
      <x:c r="AV109" s="49" t="b">
        <x:f>OR(S109=0,T109&gt;=S109)</x:f>
        <x:v>1</x:v>
      </x:c>
      <x:c r="AW109" s="49" t="b">
        <x:f>IF(I109="cache-semantics",OR(V109&lt;&gt;"uniform",ABS(Y109-W109/'Readme-Protocol'!$B$27)&lt;='Readme-Protocol'!$B$28),TRUE)</x:f>
        <x:v>1</x:v>
      </x:c>
      <x:c r="AX109" s="43" t="str">
        <x:f>IF(I109="cache-semantics",INT(AA109*'Readme-Protocol'!$B$32),"")</x:f>
      </x:c>
      <x:c r="AY109" s="49" t="b">
        <x:f>IF(I109="cache-semantics",AX109=AB109,TRUE)</x:f>
        <x:v>1</x:v>
      </x:c>
      <x:c r="AZ109" s="49" t="b">
        <x:f>IF(I109="cache-semantics",AX109=AE109,TRUE)</x:f>
        <x:v>1</x:v>
      </x:c>
      <x:c r="BA109" s="49" t="b">
        <x:f>IF(I109="cache-semantics",AC109&gt;=AX109,IF(I109="no-store-control",AC109=0,FALSE))</x:f>
        <x:v>1</x:v>
      </x:c>
      <x:c r="BB109" s="49" t="b">
        <x:f>IF(I109="cache-semantics",AG109&gt;=AX109,IF(I109="no-store-control",AG109=0,FALSE))</x:f>
        <x:v>1</x:v>
      </x:c>
      <x:c r="BC109" s="49" t="b">
        <x:f>AND(BA109,BB109)</x:f>
        <x:v>1</x:v>
      </x:c>
      <x:c r="BD109" s="49" t="b">
        <x:f>IF(I109="no-store-control",AND(AC109=0,AG109=0),TRUE)</x:f>
        <x:v>1</x:v>
      </x:c>
      <x:c r="BE109" s="49" t="b">
        <x:f>IF(I109="no-store-control",AK109=0,TRUE)</x:f>
        <x:v>1</x:v>
      </x:c>
      <x:c r="BF109" s="49" t="b">
        <x:f>IF(I109="cache-semantics",AN109=1,TRUE)</x:f>
        <x:v>1</x:v>
      </x:c>
      <x:c r="BG109" s="49" t="b">
        <x:f>IF(I109="cache-semantics",AND(AU109,AV109,Q109,AW109,BC109,BF109),IF(I109="no-store-control",AND(AU109,AV109,Q109,BD109,BE109),FALSE))</x:f>
        <x:v>1</x:v>
      </x:c>
      <x:c r="BH109" s="49" t="b">
        <x:f>AND(R109,AT109=P109,AU109=L109,AV109=U109,AY109,AZ109,IF(I109="cache-semantics",AND(AW109=Z109,AND(BA109=AD109,BB109=AH109,BC109=AI109),BF109=AO109),IF(I109="no-store-control",AND(AND(BA109=AD109,BB109=AH109,BC109=AI109),BD109=AJ109,BE109=AL109),FALSE)),BG109=AP109)</x:f>
        <x:v>1</x:v>
      </x:c>
      <x:c r="BI109" s="49" t="b">
        <x:f>AND(J109,K109,BG109)</x:f>
        <x:v>0</x:v>
      </x:c>
    </x:row>
    <x:row r="110">
      <x:c r="A110" s="34" t="str">
        <x:v>article1-unified-v4-2-fb3f101b-20260903-000401-default-f02-p5-nostore</x:v>
      </x:c>
      <x:c r="B110" s="34" t="str">
        <x:v>default</x:v>
      </x:c>
      <x:c r="C110" s="34" t="str">
        <x:v>nostore</x:v>
      </x:c>
      <x:c r="D110" s="36" t="n">
        <x:v>2</x:v>
      </x:c>
      <x:c r="E110" s="36" t="n">
        <x:v>2</x:v>
      </x:c>
      <x:c r="F110" s="36" t="n">
        <x:v>5</x:v>
      </x:c>
      <x:c r="G110" s="36" t="n">
        <x:v>5</x:v>
      </x:c>
      <x:c r="H110" s="34" t="str">
        <x:v>initial</x:v>
      </x:c>
      <x:c r="I110" s="34" t="str">
        <x:v>no-store-control</x:v>
      </x:c>
      <x:c r="J110" s="45" t="b">
        <x:v>1</x:v>
      </x:c>
      <x:c r="K110" s="45" t="b">
        <x:v>0</x:v>
      </x:c>
      <x:c r="L110" s="45" t="b">
        <x:v>1</x:v>
      </x:c>
      <x:c r="M110" s="43" t="n">
        <x:v>400000</x:v>
      </x:c>
      <x:c r="N110" s="43" t="n">
        <x:v>477553408</x:v>
      </x:c>
      <x:c r="O110" s="43" t="n">
        <x:v>95352300.05653298</x:v>
      </x:c>
      <x:c r="P110" s="45" t="b">
        <x:v>1</x:v>
      </x:c>
      <x:c r="Q110" s="45" t="b">
        <x:v>1</x:v>
      </x:c>
      <x:c r="R110" s="45" t="b">
        <x:v>1</x:v>
      </x:c>
      <x:c r="S110" s="43" t="n">
        <x:v>5000000000</x:v>
      </x:c>
      <x:c r="T110" s="43" t="n">
        <x:v>5008305072</x:v>
      </x:c>
      <x:c r="U110" s="45" t="b">
        <x:v>1</x:v>
      </x:c>
      <x:c r="V110" s="34" t="str">
        <x:v>uniform</x:v>
      </x:c>
      <x:c r="W110" s="42" t="n">
        <x:v>95</x:v>
      </x:c>
      <x:c r="X110" s="48"/>
      <x:c r="Y110" s="48"/>
      <x:c r="Z110" s="49"/>
      <x:c r="AA110" s="43" t="n">
        <x:v>10000</x:v>
      </x:c>
      <x:c r="AB110" s="43"/>
      <x:c r="AC110" s="43" t="n">
        <x:v>0</x:v>
      </x:c>
      <x:c r="AD110" s="45" t="b">
        <x:v>1</x:v>
      </x:c>
      <x:c r="AE110" s="43"/>
      <x:c r="AF110" s="43" t="n">
        <x:v>0</x:v>
      </x:c>
      <x:c r="AG110" s="43" t="n">
        <x:v>0</x:v>
      </x:c>
      <x:c r="AH110" s="45" t="b">
        <x:v>1</x:v>
      </x:c>
      <x:c r="AI110" s="45" t="b">
        <x:v>1</x:v>
      </x:c>
      <x:c r="AJ110" s="45" t="b">
        <x:v>1</x:v>
      </x:c>
      <x:c r="AK110" s="48" t="n">
        <x:v>0</x:v>
      </x:c>
      <x:c r="AL110" s="45" t="b">
        <x:v>1</x:v>
      </x:c>
      <x:c r="AM110" s="45" t="b">
        <x:v>0</x:v>
      </x:c>
      <x:c r="AN110" s="36" t="n">
        <x:v>16</x:v>
      </x:c>
      <x:c r="AO110" s="49"/>
      <x:c r="AP110" s="45" t="b">
        <x:v>1</x:v>
      </x:c>
      <x:c r="AQ110" s="46" t="n">
        <x:f>IF(T110="","",T110/'Readme-Protocol'!$B$24)</x:f>
        <x:v>5.008305072</x:v>
      </x:c>
      <x:c r="AR110" s="46" t="n">
        <x:f>IF(OR(S110="",S110=0),"",T110/S110)</x:f>
        <x:v>1.0016610144</x:v>
      </x:c>
      <x:c r="AS110" s="46" t="str">
        <x:f>IF(OR(X110="",Y110=""),"",ABS(Y110-X110)*'Readme-Protocol'!$B$27)</x:f>
      </x:c>
      <x:c r="AT110" s="49" t="b">
        <x:f>AND(M110&gt;0,N110&gt;=0,O110&gt;0)</x:f>
        <x:v>1</x:v>
      </x:c>
      <x:c r="AU110" s="49" t="b">
        <x:f>AND(AT110,N110&gt;=M110)</x:f>
        <x:v>1</x:v>
      </x:c>
      <x:c r="AV110" s="49" t="b">
        <x:f>OR(S110=0,T110&gt;=S110)</x:f>
        <x:v>1</x:v>
      </x:c>
      <x:c r="AW110" s="49" t="b">
        <x:f>IF(I110="cache-semantics",OR(V110&lt;&gt;"uniform",ABS(Y110-W110/'Readme-Protocol'!$B$27)&lt;='Readme-Protocol'!$B$28),TRUE)</x:f>
        <x:v>1</x:v>
      </x:c>
      <x:c r="AX110" s="43" t="str">
        <x:f>IF(I110="cache-semantics",INT(AA110*'Readme-Protocol'!$B$32),"")</x:f>
      </x:c>
      <x:c r="AY110" s="49" t="b">
        <x:f>IF(I110="cache-semantics",AX110=AB110,TRUE)</x:f>
        <x:v>1</x:v>
      </x:c>
      <x:c r="AZ110" s="49" t="b">
        <x:f>IF(I110="cache-semantics",AX110=AE110,TRUE)</x:f>
        <x:v>1</x:v>
      </x:c>
      <x:c r="BA110" s="49" t="b">
        <x:f>IF(I110="cache-semantics",AC110&gt;=AX110,IF(I110="no-store-control",AC110=0,FALSE))</x:f>
        <x:v>1</x:v>
      </x:c>
      <x:c r="BB110" s="49" t="b">
        <x:f>IF(I110="cache-semantics",AG110&gt;=AX110,IF(I110="no-store-control",AG110=0,FALSE))</x:f>
        <x:v>1</x:v>
      </x:c>
      <x:c r="BC110" s="49" t="b">
        <x:f>AND(BA110,BB110)</x:f>
        <x:v>1</x:v>
      </x:c>
      <x:c r="BD110" s="49" t="b">
        <x:f>IF(I110="no-store-control",AND(AC110=0,AG110=0),TRUE)</x:f>
        <x:v>1</x:v>
      </x:c>
      <x:c r="BE110" s="49" t="b">
        <x:f>IF(I110="no-store-control",AK110=0,TRUE)</x:f>
        <x:v>1</x:v>
      </x:c>
      <x:c r="BF110" s="49" t="b">
        <x:f>IF(I110="cache-semantics",AN110=1,TRUE)</x:f>
        <x:v>1</x:v>
      </x:c>
      <x:c r="BG110" s="49" t="b">
        <x:f>IF(I110="cache-semantics",AND(AU110,AV110,Q110,AW110,BC110,BF110),IF(I110="no-store-control",AND(AU110,AV110,Q110,BD110,BE110),FALSE))</x:f>
        <x:v>1</x:v>
      </x:c>
      <x:c r="BH110" s="49" t="b">
        <x:f>AND(R110,AT110=P110,AU110=L110,AV110=U110,AY110,AZ110,IF(I110="cache-semantics",AND(AW110=Z110,AND(BA110=AD110,BB110=AH110,BC110=AI110),BF110=AO110),IF(I110="no-store-control",AND(AND(BA110=AD110,BB110=AH110,BC110=AI110),BD110=AJ110,BE110=AL110),FALSE)),BG110=AP110)</x:f>
        <x:v>1</x:v>
      </x:c>
      <x:c r="BI110" s="49" t="b">
        <x:f>AND(J110,K110,BG110)</x:f>
        <x:v>0</x:v>
      </x:c>
    </x:row>
    <x:row r="111">
      <x:c r="A111" s="34" t="str">
        <x:v>article1-unified-v4-2-fb3f101b-20260903-000401-default-f02-p5-nostore</x:v>
      </x:c>
      <x:c r="B111" s="34" t="str">
        <x:v>default</x:v>
      </x:c>
      <x:c r="C111" s="34" t="str">
        <x:v>nostore</x:v>
      </x:c>
      <x:c r="D111" s="36" t="n">
        <x:v>2</x:v>
      </x:c>
      <x:c r="E111" s="36" t="n">
        <x:v>2</x:v>
      </x:c>
      <x:c r="F111" s="36" t="n">
        <x:v>5</x:v>
      </x:c>
      <x:c r="G111" s="36" t="n">
        <x:v>5</x:v>
      </x:c>
      <x:c r="H111" s="34" t="str">
        <x:v>redeploy</x:v>
      </x:c>
      <x:c r="I111" s="34" t="str">
        <x:v>no-store-control</x:v>
      </x:c>
      <x:c r="J111" s="45" t="b">
        <x:v>1</x:v>
      </x:c>
      <x:c r="K111" s="45" t="b">
        <x:v>0</x:v>
      </x:c>
      <x:c r="L111" s="45" t="b">
        <x:v>1</x:v>
      </x:c>
      <x:c r="M111" s="43" t="n">
        <x:v>400000</x:v>
      </x:c>
      <x:c r="N111" s="43" t="n">
        <x:v>472077312</x:v>
      </x:c>
      <x:c r="O111" s="43" t="n">
        <x:v>94313696.92129673</x:v>
      </x:c>
      <x:c r="P111" s="45" t="b">
        <x:v>1</x:v>
      </x:c>
      <x:c r="Q111" s="45" t="b">
        <x:v>1</x:v>
      </x:c>
      <x:c r="R111" s="45" t="b">
        <x:v>1</x:v>
      </x:c>
      <x:c r="S111" s="43" t="n">
        <x:v>5000000000</x:v>
      </x:c>
      <x:c r="T111" s="43" t="n">
        <x:v>5005395053</x:v>
      </x:c>
      <x:c r="U111" s="45" t="b">
        <x:v>1</x:v>
      </x:c>
      <x:c r="V111" s="34" t="str">
        <x:v>uniform</x:v>
      </x:c>
      <x:c r="W111" s="42" t="n">
        <x:v>95</x:v>
      </x:c>
      <x:c r="X111" s="48"/>
      <x:c r="Y111" s="48"/>
      <x:c r="Z111" s="49"/>
      <x:c r="AA111" s="43" t="n">
        <x:v>10000</x:v>
      </x:c>
      <x:c r="AB111" s="43"/>
      <x:c r="AC111" s="43" t="n">
        <x:v>0</x:v>
      </x:c>
      <x:c r="AD111" s="45" t="b">
        <x:v>1</x:v>
      </x:c>
      <x:c r="AE111" s="43"/>
      <x:c r="AF111" s="43" t="n">
        <x:v>0</x:v>
      </x:c>
      <x:c r="AG111" s="43" t="n">
        <x:v>0</x:v>
      </x:c>
      <x:c r="AH111" s="45" t="b">
        <x:v>1</x:v>
      </x:c>
      <x:c r="AI111" s="45" t="b">
        <x:v>1</x:v>
      </x:c>
      <x:c r="AJ111" s="45" t="b">
        <x:v>1</x:v>
      </x:c>
      <x:c r="AK111" s="48" t="n">
        <x:v>0</x:v>
      </x:c>
      <x:c r="AL111" s="45" t="b">
        <x:v>1</x:v>
      </x:c>
      <x:c r="AM111" s="45" t="b">
        <x:v>0</x:v>
      </x:c>
      <x:c r="AN111" s="36" t="n">
        <x:v>16</x:v>
      </x:c>
      <x:c r="AO111" s="49"/>
      <x:c r="AP111" s="45" t="b">
        <x:v>1</x:v>
      </x:c>
      <x:c r="AQ111" s="46" t="n">
        <x:f>IF(T111="","",T111/'Readme-Protocol'!$B$24)</x:f>
        <x:v>5.005395053</x:v>
      </x:c>
      <x:c r="AR111" s="46" t="n">
        <x:f>IF(OR(S111="",S111=0),"",T111/S111)</x:f>
        <x:v>1.0010790106</x:v>
      </x:c>
      <x:c r="AS111" s="46" t="str">
        <x:f>IF(OR(X111="",Y111=""),"",ABS(Y111-X111)*'Readme-Protocol'!$B$27)</x:f>
      </x:c>
      <x:c r="AT111" s="49" t="b">
        <x:f>AND(M111&gt;0,N111&gt;=0,O111&gt;0)</x:f>
        <x:v>1</x:v>
      </x:c>
      <x:c r="AU111" s="49" t="b">
        <x:f>AND(AT111,N111&gt;=M111)</x:f>
        <x:v>1</x:v>
      </x:c>
      <x:c r="AV111" s="49" t="b">
        <x:f>OR(S111=0,T111&gt;=S111)</x:f>
        <x:v>1</x:v>
      </x:c>
      <x:c r="AW111" s="49" t="b">
        <x:f>IF(I111="cache-semantics",OR(V111&lt;&gt;"uniform",ABS(Y111-W111/'Readme-Protocol'!$B$27)&lt;='Readme-Protocol'!$B$28),TRUE)</x:f>
        <x:v>1</x:v>
      </x:c>
      <x:c r="AX111" s="43" t="str">
        <x:f>IF(I111="cache-semantics",INT(AA111*'Readme-Protocol'!$B$32),"")</x:f>
      </x:c>
      <x:c r="AY111" s="49" t="b">
        <x:f>IF(I111="cache-semantics",AX111=AB111,TRUE)</x:f>
        <x:v>1</x:v>
      </x:c>
      <x:c r="AZ111" s="49" t="b">
        <x:f>IF(I111="cache-semantics",AX111=AE111,TRUE)</x:f>
        <x:v>1</x:v>
      </x:c>
      <x:c r="BA111" s="49" t="b">
        <x:f>IF(I111="cache-semantics",AC111&gt;=AX111,IF(I111="no-store-control",AC111=0,FALSE))</x:f>
        <x:v>1</x:v>
      </x:c>
      <x:c r="BB111" s="49" t="b">
        <x:f>IF(I111="cache-semantics",AG111&gt;=AX111,IF(I111="no-store-control",AG111=0,FALSE))</x:f>
        <x:v>1</x:v>
      </x:c>
      <x:c r="BC111" s="49" t="b">
        <x:f>AND(BA111,BB111)</x:f>
        <x:v>1</x:v>
      </x:c>
      <x:c r="BD111" s="49" t="b">
        <x:f>IF(I111="no-store-control",AND(AC111=0,AG111=0),TRUE)</x:f>
        <x:v>1</x:v>
      </x:c>
      <x:c r="BE111" s="49" t="b">
        <x:f>IF(I111="no-store-control",AK111=0,TRUE)</x:f>
        <x:v>1</x:v>
      </x:c>
      <x:c r="BF111" s="49" t="b">
        <x:f>IF(I111="cache-semantics",AN111=1,TRUE)</x:f>
        <x:v>1</x:v>
      </x:c>
      <x:c r="BG111" s="49" t="b">
        <x:f>IF(I111="cache-semantics",AND(AU111,AV111,Q111,AW111,BC111,BF111),IF(I111="no-store-control",AND(AU111,AV111,Q111,BD111,BE111),FALSE))</x:f>
        <x:v>1</x:v>
      </x:c>
      <x:c r="BH111" s="49" t="b">
        <x:f>AND(R111,AT111=P111,AU111=L111,AV111=U111,AY111,AZ111,IF(I111="cache-semantics",AND(AW111=Z111,AND(BA111=AD111,BB111=AH111,BC111=AI111),BF111=AO111),IF(I111="no-store-control",AND(AND(BA111=AD111,BB111=AH111,BC111=AI111),BD111=AJ111,BE111=AL111),FALSE)),BG111=AP111)</x:f>
        <x:v>1</x:v>
      </x:c>
      <x:c r="BI111" s="49" t="b">
        <x:f>AND(J111,K111,BG111)</x:f>
        <x:v>0</x:v>
      </x:c>
    </x:row>
    <x:row r="112">
      <x:c r="A112" s="34" t="str">
        <x:v>article1-unified-v4-2-fb3f101b-20260903-000401-default-f02-p6-jcs321</x:v>
      </x:c>
      <x:c r="B112" s="34" t="str">
        <x:v>default</x:v>
      </x:c>
      <x:c r="C112" s="34" t="str">
        <x:v>jcs321</x:v>
      </x:c>
      <x:c r="D112" s="36" t="n">
        <x:v>2</x:v>
      </x:c>
      <x:c r="E112" s="36" t="n">
        <x:v>2</x:v>
      </x:c>
      <x:c r="F112" s="36" t="n">
        <x:v>6</x:v>
      </x:c>
      <x:c r="G112" s="36" t="n">
        <x:v>1</x:v>
      </x:c>
      <x:c r="H112" s="34" t="str">
        <x:v>initial</x:v>
      </x:c>
      <x:c r="I112" s="34" t="str">
        <x:v>cache-semantics</x:v>
      </x:c>
      <x:c r="J112" s="45" t="b">
        <x:v>1</x:v>
      </x:c>
      <x:c r="K112" s="45" t="b">
        <x:v>0</x:v>
      </x:c>
      <x:c r="L112" s="45" t="b">
        <x:v>1</x:v>
      </x:c>
      <x:c r="M112" s="43" t="n">
        <x:v>400000</x:v>
      </x:c>
      <x:c r="N112" s="43" t="n">
        <x:v>14980608</x:v>
      </x:c>
      <x:c r="O112" s="43" t="n">
        <x:v>2995773.889511966</x:v>
      </x:c>
      <x:c r="P112" s="45" t="b">
        <x:v>1</x:v>
      </x:c>
      <x:c r="Q112" s="45" t="b">
        <x:v>1</x:v>
      </x:c>
      <x:c r="R112" s="45" t="b">
        <x:v>1</x:v>
      </x:c>
      <x:c r="S112" s="43" t="n">
        <x:v>5000000000</x:v>
      </x:c>
      <x:c r="T112" s="43" t="n">
        <x:v>5000580335</x:v>
      </x:c>
      <x:c r="U112" s="45" t="b">
        <x:v>1</x:v>
      </x:c>
      <x:c r="V112" s="34" t="str">
        <x:v>uniform</x:v>
      </x:c>
      <x:c r="W112" s="42" t="n">
        <x:v>95</x:v>
      </x:c>
      <x:c r="X112" s="48" t="n">
        <x:v>0.95</x:v>
      </x:c>
      <x:c r="Y112" s="48" t="n">
        <x:v>0.9498322097474281</x:v>
      </x:c>
      <x:c r="Z112" s="45" t="b">
        <x:v>1</x:v>
      </x:c>
      <x:c r="AA112" s="43" t="n">
        <x:v>10000</x:v>
      </x:c>
      <x:c r="AB112" s="43" t="n">
        <x:v>9900</x:v>
      </x:c>
      <x:c r="AC112" s="43" t="n">
        <x:v>10000</x:v>
      </x:c>
      <x:c r="AD112" s="45" t="b">
        <x:v>1</x:v>
      </x:c>
      <x:c r="AE112" s="43" t="n">
        <x:v>9900</x:v>
      </x:c>
      <x:c r="AF112" s="43"/>
      <x:c r="AG112" s="43" t="n">
        <x:v>10000</x:v>
      </x:c>
      <x:c r="AH112" s="45" t="b">
        <x:v>1</x:v>
      </x:c>
      <x:c r="AI112" s="45" t="b">
        <x:v>1</x:v>
      </x:c>
      <x:c r="AJ112" s="49"/>
      <x:c r="AK112" s="48" t="n">
        <x:v>0.9498322097474281</x:v>
      </x:c>
      <x:c r="AL112" s="49"/>
      <x:c r="AM112" s="49"/>
      <x:c r="AN112" s="36" t="n">
        <x:v>1</x:v>
      </x:c>
      <x:c r="AO112" s="45" t="b">
        <x:v>1</x:v>
      </x:c>
      <x:c r="AP112" s="45" t="b">
        <x:v>1</x:v>
      </x:c>
      <x:c r="AQ112" s="46" t="n">
        <x:f>IF(T112="","",T112/'Readme-Protocol'!$B$24)</x:f>
        <x:v>5.000580335</x:v>
      </x:c>
      <x:c r="AR112" s="46" t="n">
        <x:f>IF(OR(S112="",S112=0),"",T112/S112)</x:f>
        <x:v>1.000116067</x:v>
      </x:c>
      <x:c r="AS112" s="46" t="n">
        <x:f>IF(OR(X112="",Y112=""),"",ABS(Y112-X112)*'Readme-Protocol'!$B$27)</x:f>
        <x:v>0.01677902525718533</x:v>
      </x:c>
      <x:c r="AT112" s="49" t="b">
        <x:f>AND(M112&gt;0,N112&gt;=0,O112&gt;0)</x:f>
        <x:v>1</x:v>
      </x:c>
      <x:c r="AU112" s="49" t="b">
        <x:f>AND(AT112,N112&gt;=M112)</x:f>
        <x:v>1</x:v>
      </x:c>
      <x:c r="AV112" s="49" t="b">
        <x:f>OR(S112=0,T112&gt;=S112)</x:f>
        <x:v>1</x:v>
      </x:c>
      <x:c r="AW112" s="49" t="b">
        <x:f>IF(I112="cache-semantics",OR(V112&lt;&gt;"uniform",ABS(Y112-W112/'Readme-Protocol'!$B$27)&lt;='Readme-Protocol'!$B$28),TRUE)</x:f>
        <x:v>1</x:v>
      </x:c>
      <x:c r="AX112" s="43" t="n">
        <x:f>IF(I112="cache-semantics",INT(AA112*'Readme-Protocol'!$B$32),"")</x:f>
        <x:v>9900</x:v>
      </x:c>
      <x:c r="AY112" s="49" t="b">
        <x:f>IF(I112="cache-semantics",AX112=AB112,TRUE)</x:f>
        <x:v>1</x:v>
      </x:c>
      <x:c r="AZ112" s="49" t="b">
        <x:f>IF(I112="cache-semantics",AX112=AE112,TRUE)</x:f>
        <x:v>1</x:v>
      </x:c>
      <x:c r="BA112" s="49" t="b">
        <x:f>IF(I112="cache-semantics",AC112&gt;=AX112,IF(I112="no-store-control",AC112=0,FALSE))</x:f>
        <x:v>1</x:v>
      </x:c>
      <x:c r="BB112" s="49" t="b">
        <x:f>IF(I112="cache-semantics",AG112&gt;=AX112,IF(I112="no-store-control",AG112=0,FALSE))</x:f>
        <x:v>1</x:v>
      </x:c>
      <x:c r="BC112" s="49" t="b">
        <x:f>AND(BA112,BB112)</x:f>
        <x:v>1</x:v>
      </x:c>
      <x:c r="BD112" s="49" t="b">
        <x:f>IF(I112="no-store-control",AND(AC112=0,AG112=0),TRUE)</x:f>
        <x:v>1</x:v>
      </x:c>
      <x:c r="BE112" s="49" t="b">
        <x:f>IF(I112="no-store-control",AK112=0,TRUE)</x:f>
        <x:v>1</x:v>
      </x:c>
      <x:c r="BF112" s="49" t="b">
        <x:f>IF(I112="cache-semantics",AN112=1,TRUE)</x:f>
        <x:v>1</x:v>
      </x:c>
      <x:c r="BG112" s="49" t="b">
        <x:f>IF(I112="cache-semantics",AND(AU112,AV112,Q112,AW112,BC112,BF112),IF(I112="no-store-control",AND(AU112,AV112,Q112,BD112,BE112),FALSE))</x:f>
        <x:v>1</x:v>
      </x:c>
      <x:c r="BH112" s="49" t="b">
        <x:f>AND(R112,AT112=P112,AU112=L112,AV112=U112,AY112,AZ112,IF(I112="cache-semantics",AND(AW112=Z112,AND(BA112=AD112,BB112=AH112,BC112=AI112),BF112=AO112),IF(I112="no-store-control",AND(AND(BA112=AD112,BB112=AH112,BC112=AI112),BD112=AJ112,BE112=AL112),FALSE)),BG112=AP112)</x:f>
        <x:v>1</x:v>
      </x:c>
      <x:c r="BI112" s="49" t="b">
        <x:f>AND(J112,K112,BG112)</x:f>
        <x:v>0</x:v>
      </x:c>
    </x:row>
    <x:row r="113">
      <x:c r="A113" s="34" t="str">
        <x:v>article1-unified-v4-2-fb3f101b-20260903-000401-default-f02-p6-jcs321</x:v>
      </x:c>
      <x:c r="B113" s="34" t="str">
        <x:v>default</x:v>
      </x:c>
      <x:c r="C113" s="34" t="str">
        <x:v>jcs321</x:v>
      </x:c>
      <x:c r="D113" s="36" t="n">
        <x:v>2</x:v>
      </x:c>
      <x:c r="E113" s="36" t="n">
        <x:v>2</x:v>
      </x:c>
      <x:c r="F113" s="36" t="n">
        <x:v>6</x:v>
      </x:c>
      <x:c r="G113" s="36" t="n">
        <x:v>1</x:v>
      </x:c>
      <x:c r="H113" s="34" t="str">
        <x:v>redeploy</x:v>
      </x:c>
      <x:c r="I113" s="34" t="str">
        <x:v>cache-semantics</x:v>
      </x:c>
      <x:c r="J113" s="45" t="b">
        <x:v>1</x:v>
      </x:c>
      <x:c r="K113" s="45" t="b">
        <x:v>0</x:v>
      </x:c>
      <x:c r="L113" s="45" t="b">
        <x:v>1</x:v>
      </x:c>
      <x:c r="M113" s="43" t="n">
        <x:v>400000</x:v>
      </x:c>
      <x:c r="N113" s="43" t="n">
        <x:v>14231808</x:v>
      </x:c>
      <x:c r="O113" s="43" t="n">
        <x:v>2845998.667435134</x:v>
      </x:c>
      <x:c r="P113" s="45" t="b">
        <x:v>1</x:v>
      </x:c>
      <x:c r="Q113" s="45" t="b">
        <x:v>1</x:v>
      </x:c>
      <x:c r="R113" s="45" t="b">
        <x:v>1</x:v>
      </x:c>
      <x:c r="S113" s="43" t="n">
        <x:v>5000000000</x:v>
      </x:c>
      <x:c r="T113" s="43" t="n">
        <x:v>5000637619</x:v>
      </x:c>
      <x:c r="U113" s="45" t="b">
        <x:v>1</x:v>
      </x:c>
      <x:c r="V113" s="34" t="str">
        <x:v>uniform</x:v>
      </x:c>
      <x:c r="W113" s="42" t="n">
        <x:v>95</x:v>
      </x:c>
      <x:c r="X113" s="48" t="n">
        <x:v>0.95</x:v>
      </x:c>
      <x:c r="Y113" s="48" t="n">
        <x:v>0.9498376453645243</x:v>
      </x:c>
      <x:c r="Z113" s="45" t="b">
        <x:v>1</x:v>
      </x:c>
      <x:c r="AA113" s="43" t="n">
        <x:v>10000</x:v>
      </x:c>
      <x:c r="AB113" s="43" t="n">
        <x:v>9900</x:v>
      </x:c>
      <x:c r="AC113" s="43" t="n">
        <x:v>10000</x:v>
      </x:c>
      <x:c r="AD113" s="45" t="b">
        <x:v>1</x:v>
      </x:c>
      <x:c r="AE113" s="43" t="n">
        <x:v>9900</x:v>
      </x:c>
      <x:c r="AF113" s="43"/>
      <x:c r="AG113" s="43" t="n">
        <x:v>10000</x:v>
      </x:c>
      <x:c r="AH113" s="45" t="b">
        <x:v>1</x:v>
      </x:c>
      <x:c r="AI113" s="45" t="b">
        <x:v>1</x:v>
      </x:c>
      <x:c r="AJ113" s="49"/>
      <x:c r="AK113" s="48" t="n">
        <x:v>0.9498376453645243</x:v>
      </x:c>
      <x:c r="AL113" s="49"/>
      <x:c r="AM113" s="49"/>
      <x:c r="AN113" s="36" t="n">
        <x:v>1</x:v>
      </x:c>
      <x:c r="AO113" s="45" t="b">
        <x:v>1</x:v>
      </x:c>
      <x:c r="AP113" s="45" t="b">
        <x:v>1</x:v>
      </x:c>
      <x:c r="AQ113" s="46" t="n">
        <x:f>IF(T113="","",T113/'Readme-Protocol'!$B$24)</x:f>
        <x:v>5.000637619</x:v>
      </x:c>
      <x:c r="AR113" s="46" t="n">
        <x:f>IF(OR(S113="",S113=0),"",T113/S113)</x:f>
        <x:v>1.0001275238</x:v>
      </x:c>
      <x:c r="AS113" s="46" t="n">
        <x:f>IF(OR(X113="",Y113=""),"",ABS(Y113-X113)*'Readme-Protocol'!$B$27)</x:f>
        <x:v>0.016235463547564777</x:v>
      </x:c>
      <x:c r="AT113" s="49" t="b">
        <x:f>AND(M113&gt;0,N113&gt;=0,O113&gt;0)</x:f>
        <x:v>1</x:v>
      </x:c>
      <x:c r="AU113" s="49" t="b">
        <x:f>AND(AT113,N113&gt;=M113)</x:f>
        <x:v>1</x:v>
      </x:c>
      <x:c r="AV113" s="49" t="b">
        <x:f>OR(S113=0,T113&gt;=S113)</x:f>
        <x:v>1</x:v>
      </x:c>
      <x:c r="AW113" s="49" t="b">
        <x:f>IF(I113="cache-semantics",OR(V113&lt;&gt;"uniform",ABS(Y113-W113/'Readme-Protocol'!$B$27)&lt;='Readme-Protocol'!$B$28),TRUE)</x:f>
        <x:v>1</x:v>
      </x:c>
      <x:c r="AX113" s="43" t="n">
        <x:f>IF(I113="cache-semantics",INT(AA113*'Readme-Protocol'!$B$32),"")</x:f>
        <x:v>9900</x:v>
      </x:c>
      <x:c r="AY113" s="49" t="b">
        <x:f>IF(I113="cache-semantics",AX113=AB113,TRUE)</x:f>
        <x:v>1</x:v>
      </x:c>
      <x:c r="AZ113" s="49" t="b">
        <x:f>IF(I113="cache-semantics",AX113=AE113,TRUE)</x:f>
        <x:v>1</x:v>
      </x:c>
      <x:c r="BA113" s="49" t="b">
        <x:f>IF(I113="cache-semantics",AC113&gt;=AX113,IF(I113="no-store-control",AC113=0,FALSE))</x:f>
        <x:v>1</x:v>
      </x:c>
      <x:c r="BB113" s="49" t="b">
        <x:f>IF(I113="cache-semantics",AG113&gt;=AX113,IF(I113="no-store-control",AG113=0,FALSE))</x:f>
        <x:v>1</x:v>
      </x:c>
      <x:c r="BC113" s="49" t="b">
        <x:f>AND(BA113,BB113)</x:f>
        <x:v>1</x:v>
      </x:c>
      <x:c r="BD113" s="49" t="b">
        <x:f>IF(I113="no-store-control",AND(AC113=0,AG113=0),TRUE)</x:f>
        <x:v>1</x:v>
      </x:c>
      <x:c r="BE113" s="49" t="b">
        <x:f>IF(I113="no-store-control",AK113=0,TRUE)</x:f>
        <x:v>1</x:v>
      </x:c>
      <x:c r="BF113" s="49" t="b">
        <x:f>IF(I113="cache-semantics",AN113=1,TRUE)</x:f>
        <x:v>1</x:v>
      </x:c>
      <x:c r="BG113" s="49" t="b">
        <x:f>IF(I113="cache-semantics",AND(AU113,AV113,Q113,AW113,BC113,BF113),IF(I113="no-store-control",AND(AU113,AV113,Q113,BD113,BE113),FALSE))</x:f>
        <x:v>1</x:v>
      </x:c>
      <x:c r="BH113" s="49" t="b">
        <x:f>AND(R113,AT113=P113,AU113=L113,AV113=U113,AY113,AZ113,IF(I113="cache-semantics",AND(AW113=Z113,AND(BA113=AD113,BB113=AH113,BC113=AI113),BF113=AO113),IF(I113="no-store-control",AND(AND(BA113=AD113,BB113=AH113,BC113=AI113),BD113=AJ113,BE113=AL113),FALSE)),BG113=AP113)</x:f>
        <x:v>1</x:v>
      </x:c>
      <x:c r="BI113" s="49" t="b">
        <x:f>AND(J113,K113,BG113)</x:f>
        <x:v>0</x:v>
      </x:c>
    </x:row>
    <x:row r="114">
      <x:c r="A114" s="34" t="str">
        <x:v>article1-unified-v4-2-fb3f101b-20260903-000401-default-f02-p6-jcs321</x:v>
      </x:c>
      <x:c r="B114" s="34" t="str">
        <x:v>default</x:v>
      </x:c>
      <x:c r="C114" s="34" t="str">
        <x:v>jcs321</x:v>
      </x:c>
      <x:c r="D114" s="36" t="n">
        <x:v>2</x:v>
      </x:c>
      <x:c r="E114" s="36" t="n">
        <x:v>2</x:v>
      </x:c>
      <x:c r="F114" s="36" t="n">
        <x:v>6</x:v>
      </x:c>
      <x:c r="G114" s="36" t="n">
        <x:v>2</x:v>
      </x:c>
      <x:c r="H114" s="34" t="str">
        <x:v>initial</x:v>
      </x:c>
      <x:c r="I114" s="34" t="str">
        <x:v>cache-semantics</x:v>
      </x:c>
      <x:c r="J114" s="45" t="b">
        <x:v>1</x:v>
      </x:c>
      <x:c r="K114" s="45" t="b">
        <x:v>0</x:v>
      </x:c>
      <x:c r="L114" s="45" t="b">
        <x:v>1</x:v>
      </x:c>
      <x:c r="M114" s="43" t="n">
        <x:v>400000</x:v>
      </x:c>
      <x:c r="N114" s="43" t="n">
        <x:v>12841984</x:v>
      </x:c>
      <x:c r="O114" s="43" t="n">
        <x:v>2568048.016449769</x:v>
      </x:c>
      <x:c r="P114" s="45" t="b">
        <x:v>1</x:v>
      </x:c>
      <x:c r="Q114" s="45" t="b">
        <x:v>1</x:v>
      </x:c>
      <x:c r="R114" s="45" t="b">
        <x:v>1</x:v>
      </x:c>
      <x:c r="S114" s="43" t="n">
        <x:v>5000000000</x:v>
      </x:c>
      <x:c r="T114" s="43" t="n">
        <x:v>5000679083</x:v>
      </x:c>
      <x:c r="U114" s="45" t="b">
        <x:v>1</x:v>
      </x:c>
      <x:c r="V114" s="34" t="str">
        <x:v>uniform</x:v>
      </x:c>
      <x:c r="W114" s="42" t="n">
        <x:v>95</x:v>
      </x:c>
      <x:c r="X114" s="48" t="n">
        <x:v>0.95</x:v>
      </x:c>
      <x:c r="Y114" s="48" t="n">
        <x:v>0.9492590864464556</x:v>
      </x:c>
      <x:c r="Z114" s="45" t="b">
        <x:v>1</x:v>
      </x:c>
      <x:c r="AA114" s="43" t="n">
        <x:v>10000</x:v>
      </x:c>
      <x:c r="AB114" s="43" t="n">
        <x:v>9900</x:v>
      </x:c>
      <x:c r="AC114" s="43" t="n">
        <x:v>10000</x:v>
      </x:c>
      <x:c r="AD114" s="45" t="b">
        <x:v>1</x:v>
      </x:c>
      <x:c r="AE114" s="43" t="n">
        <x:v>9900</x:v>
      </x:c>
      <x:c r="AF114" s="43"/>
      <x:c r="AG114" s="43" t="n">
        <x:v>10000</x:v>
      </x:c>
      <x:c r="AH114" s="45" t="b">
        <x:v>1</x:v>
      </x:c>
      <x:c r="AI114" s="45" t="b">
        <x:v>1</x:v>
      </x:c>
      <x:c r="AJ114" s="49"/>
      <x:c r="AK114" s="48" t="n">
        <x:v>0.9492590864464556</x:v>
      </x:c>
      <x:c r="AL114" s="49"/>
      <x:c r="AM114" s="49"/>
      <x:c r="AN114" s="36" t="n">
        <x:v>1</x:v>
      </x:c>
      <x:c r="AO114" s="45" t="b">
        <x:v>1</x:v>
      </x:c>
      <x:c r="AP114" s="45" t="b">
        <x:v>1</x:v>
      </x:c>
      <x:c r="AQ114" s="46" t="n">
        <x:f>IF(T114="","",T114/'Readme-Protocol'!$B$24)</x:f>
        <x:v>5.000679083</x:v>
      </x:c>
      <x:c r="AR114" s="46" t="n">
        <x:f>IF(OR(S114="",S114=0),"",T114/S114)</x:f>
        <x:v>1.0001358166</x:v>
      </x:c>
      <x:c r="AS114" s="46" t="n">
        <x:f>IF(OR(X114="",Y114=""),"",ABS(Y114-X114)*'Readme-Protocol'!$B$27)</x:f>
        <x:v>0.07409135535443312</x:v>
      </x:c>
      <x:c r="AT114" s="49" t="b">
        <x:f>AND(M114&gt;0,N114&gt;=0,O114&gt;0)</x:f>
        <x:v>1</x:v>
      </x:c>
      <x:c r="AU114" s="49" t="b">
        <x:f>AND(AT114,N114&gt;=M114)</x:f>
        <x:v>1</x:v>
      </x:c>
      <x:c r="AV114" s="49" t="b">
        <x:f>OR(S114=0,T114&gt;=S114)</x:f>
        <x:v>1</x:v>
      </x:c>
      <x:c r="AW114" s="49" t="b">
        <x:f>IF(I114="cache-semantics",OR(V114&lt;&gt;"uniform",ABS(Y114-W114/'Readme-Protocol'!$B$27)&lt;='Readme-Protocol'!$B$28),TRUE)</x:f>
        <x:v>1</x:v>
      </x:c>
      <x:c r="AX114" s="43" t="n">
        <x:f>IF(I114="cache-semantics",INT(AA114*'Readme-Protocol'!$B$32),"")</x:f>
        <x:v>9900</x:v>
      </x:c>
      <x:c r="AY114" s="49" t="b">
        <x:f>IF(I114="cache-semantics",AX114=AB114,TRUE)</x:f>
        <x:v>1</x:v>
      </x:c>
      <x:c r="AZ114" s="49" t="b">
        <x:f>IF(I114="cache-semantics",AX114=AE114,TRUE)</x:f>
        <x:v>1</x:v>
      </x:c>
      <x:c r="BA114" s="49" t="b">
        <x:f>IF(I114="cache-semantics",AC114&gt;=AX114,IF(I114="no-store-control",AC114=0,FALSE))</x:f>
        <x:v>1</x:v>
      </x:c>
      <x:c r="BB114" s="49" t="b">
        <x:f>IF(I114="cache-semantics",AG114&gt;=AX114,IF(I114="no-store-control",AG114=0,FALSE))</x:f>
        <x:v>1</x:v>
      </x:c>
      <x:c r="BC114" s="49" t="b">
        <x:f>AND(BA114,BB114)</x:f>
        <x:v>1</x:v>
      </x:c>
      <x:c r="BD114" s="49" t="b">
        <x:f>IF(I114="no-store-control",AND(AC114=0,AG114=0),TRUE)</x:f>
        <x:v>1</x:v>
      </x:c>
      <x:c r="BE114" s="49" t="b">
        <x:f>IF(I114="no-store-control",AK114=0,TRUE)</x:f>
        <x:v>1</x:v>
      </x:c>
      <x:c r="BF114" s="49" t="b">
        <x:f>IF(I114="cache-semantics",AN114=1,TRUE)</x:f>
        <x:v>1</x:v>
      </x:c>
      <x:c r="BG114" s="49" t="b">
        <x:f>IF(I114="cache-semantics",AND(AU114,AV114,Q114,AW114,BC114,BF114),IF(I114="no-store-control",AND(AU114,AV114,Q114,BD114,BE114),FALSE))</x:f>
        <x:v>1</x:v>
      </x:c>
      <x:c r="BH114" s="49" t="b">
        <x:f>AND(R114,AT114=P114,AU114=L114,AV114=U114,AY114,AZ114,IF(I114="cache-semantics",AND(AW114=Z114,AND(BA114=AD114,BB114=AH114,BC114=AI114),BF114=AO114),IF(I114="no-store-control",AND(AND(BA114=AD114,BB114=AH114,BC114=AI114),BD114=AJ114,BE114=AL114),FALSE)),BG114=AP114)</x:f>
        <x:v>1</x:v>
      </x:c>
      <x:c r="BI114" s="49" t="b">
        <x:f>AND(J114,K114,BG114)</x:f>
        <x:v>0</x:v>
      </x:c>
    </x:row>
    <x:row r="115">
      <x:c r="A115" s="34" t="str">
        <x:v>article1-unified-v4-2-fb3f101b-20260903-000401-default-f02-p6-jcs321</x:v>
      </x:c>
      <x:c r="B115" s="34" t="str">
        <x:v>default</x:v>
      </x:c>
      <x:c r="C115" s="34" t="str">
        <x:v>jcs321</x:v>
      </x:c>
      <x:c r="D115" s="36" t="n">
        <x:v>2</x:v>
      </x:c>
      <x:c r="E115" s="36" t="n">
        <x:v>2</x:v>
      </x:c>
      <x:c r="F115" s="36" t="n">
        <x:v>6</x:v>
      </x:c>
      <x:c r="G115" s="36" t="n">
        <x:v>2</x:v>
      </x:c>
      <x:c r="H115" s="34" t="str">
        <x:v>redeploy</x:v>
      </x:c>
      <x:c r="I115" s="34" t="str">
        <x:v>cache-semantics</x:v>
      </x:c>
      <x:c r="J115" s="45" t="b">
        <x:v>1</x:v>
      </x:c>
      <x:c r="K115" s="45" t="b">
        <x:v>0</x:v>
      </x:c>
      <x:c r="L115" s="45" t="b">
        <x:v>1</x:v>
      </x:c>
      <x:c r="M115" s="43" t="n">
        <x:v>400000</x:v>
      </x:c>
      <x:c r="N115" s="43" t="n">
        <x:v>14346752</x:v>
      </x:c>
      <x:c r="O115" s="43" t="n">
        <x:v>2868693.873588784</x:v>
      </x:c>
      <x:c r="P115" s="45" t="b">
        <x:v>1</x:v>
      </x:c>
      <x:c r="Q115" s="45" t="b">
        <x:v>1</x:v>
      </x:c>
      <x:c r="R115" s="45" t="b">
        <x:v>1</x:v>
      </x:c>
      <x:c r="S115" s="43" t="n">
        <x:v>5000000000</x:v>
      </x:c>
      <x:c r="T115" s="43" t="n">
        <x:v>5001144295</x:v>
      </x:c>
      <x:c r="U115" s="45" t="b">
        <x:v>1</x:v>
      </x:c>
      <x:c r="V115" s="34" t="str">
        <x:v>uniform</x:v>
      </x:c>
      <x:c r="W115" s="42" t="n">
        <x:v>95</x:v>
      </x:c>
      <x:c r="X115" s="48" t="n">
        <x:v>0.95</x:v>
      </x:c>
      <x:c r="Y115" s="48" t="n">
        <x:v>0.9492601530994611</x:v>
      </x:c>
      <x:c r="Z115" s="45" t="b">
        <x:v>1</x:v>
      </x:c>
      <x:c r="AA115" s="43" t="n">
        <x:v>10000</x:v>
      </x:c>
      <x:c r="AB115" s="43" t="n">
        <x:v>9900</x:v>
      </x:c>
      <x:c r="AC115" s="43" t="n">
        <x:v>10000</x:v>
      </x:c>
      <x:c r="AD115" s="45" t="b">
        <x:v>1</x:v>
      </x:c>
      <x:c r="AE115" s="43" t="n">
        <x:v>9900</x:v>
      </x:c>
      <x:c r="AF115" s="43"/>
      <x:c r="AG115" s="43" t="n">
        <x:v>10000</x:v>
      </x:c>
      <x:c r="AH115" s="45" t="b">
        <x:v>1</x:v>
      </x:c>
      <x:c r="AI115" s="45" t="b">
        <x:v>1</x:v>
      </x:c>
      <x:c r="AJ115" s="49"/>
      <x:c r="AK115" s="48" t="n">
        <x:v>0.9492601530994611</x:v>
      </x:c>
      <x:c r="AL115" s="49"/>
      <x:c r="AM115" s="49"/>
      <x:c r="AN115" s="36" t="n">
        <x:v>1</x:v>
      </x:c>
      <x:c r="AO115" s="45" t="b">
        <x:v>1</x:v>
      </x:c>
      <x:c r="AP115" s="45" t="b">
        <x:v>1</x:v>
      </x:c>
      <x:c r="AQ115" s="46" t="n">
        <x:f>IF(T115="","",T115/'Readme-Protocol'!$B$24)</x:f>
        <x:v>5.001144295</x:v>
      </x:c>
      <x:c r="AR115" s="46" t="n">
        <x:f>IF(OR(S115="",S115=0),"",T115/S115)</x:f>
        <x:v>1.000228859</x:v>
      </x:c>
      <x:c r="AS115" s="46" t="n">
        <x:f>IF(OR(X115="",Y115=""),"",ABS(Y115-X115)*'Readme-Protocol'!$B$27)</x:f>
        <x:v>0.07398469005388542</x:v>
      </x:c>
      <x:c r="AT115" s="49" t="b">
        <x:f>AND(M115&gt;0,N115&gt;=0,O115&gt;0)</x:f>
        <x:v>1</x:v>
      </x:c>
      <x:c r="AU115" s="49" t="b">
        <x:f>AND(AT115,N115&gt;=M115)</x:f>
        <x:v>1</x:v>
      </x:c>
      <x:c r="AV115" s="49" t="b">
        <x:f>OR(S115=0,T115&gt;=S115)</x:f>
        <x:v>1</x:v>
      </x:c>
      <x:c r="AW115" s="49" t="b">
        <x:f>IF(I115="cache-semantics",OR(V115&lt;&gt;"uniform",ABS(Y115-W115/'Readme-Protocol'!$B$27)&lt;='Readme-Protocol'!$B$28),TRUE)</x:f>
        <x:v>1</x:v>
      </x:c>
      <x:c r="AX115" s="43" t="n">
        <x:f>IF(I115="cache-semantics",INT(AA115*'Readme-Protocol'!$B$32),"")</x:f>
        <x:v>9900</x:v>
      </x:c>
      <x:c r="AY115" s="49" t="b">
        <x:f>IF(I115="cache-semantics",AX115=AB115,TRUE)</x:f>
        <x:v>1</x:v>
      </x:c>
      <x:c r="AZ115" s="49" t="b">
        <x:f>IF(I115="cache-semantics",AX115=AE115,TRUE)</x:f>
        <x:v>1</x:v>
      </x:c>
      <x:c r="BA115" s="49" t="b">
        <x:f>IF(I115="cache-semantics",AC115&gt;=AX115,IF(I115="no-store-control",AC115=0,FALSE))</x:f>
        <x:v>1</x:v>
      </x:c>
      <x:c r="BB115" s="49" t="b">
        <x:f>IF(I115="cache-semantics",AG115&gt;=AX115,IF(I115="no-store-control",AG115=0,FALSE))</x:f>
        <x:v>1</x:v>
      </x:c>
      <x:c r="BC115" s="49" t="b">
        <x:f>AND(BA115,BB115)</x:f>
        <x:v>1</x:v>
      </x:c>
      <x:c r="BD115" s="49" t="b">
        <x:f>IF(I115="no-store-control",AND(AC115=0,AG115=0),TRUE)</x:f>
        <x:v>1</x:v>
      </x:c>
      <x:c r="BE115" s="49" t="b">
        <x:f>IF(I115="no-store-control",AK115=0,TRUE)</x:f>
        <x:v>1</x:v>
      </x:c>
      <x:c r="BF115" s="49" t="b">
        <x:f>IF(I115="cache-semantics",AN115=1,TRUE)</x:f>
        <x:v>1</x:v>
      </x:c>
      <x:c r="BG115" s="49" t="b">
        <x:f>IF(I115="cache-semantics",AND(AU115,AV115,Q115,AW115,BC115,BF115),IF(I115="no-store-control",AND(AU115,AV115,Q115,BD115,BE115),FALSE))</x:f>
        <x:v>1</x:v>
      </x:c>
      <x:c r="BH115" s="49" t="b">
        <x:f>AND(R115,AT115=P115,AU115=L115,AV115=U115,AY115,AZ115,IF(I115="cache-semantics",AND(AW115=Z115,AND(BA115=AD115,BB115=AH115,BC115=AI115),BF115=AO115),IF(I115="no-store-control",AND(AND(BA115=AD115,BB115=AH115,BC115=AI115),BD115=AJ115,BE115=AL115),FALSE)),BG115=AP115)</x:f>
        <x:v>1</x:v>
      </x:c>
      <x:c r="BI115" s="49" t="b">
        <x:f>AND(J115,K115,BG115)</x:f>
        <x:v>0</x:v>
      </x:c>
    </x:row>
    <x:row r="116">
      <x:c r="A116" s="34" t="str">
        <x:v>article1-unified-v4-2-fb3f101b-20260903-000401-default-f02-p6-jcs321</x:v>
      </x:c>
      <x:c r="B116" s="34" t="str">
        <x:v>default</x:v>
      </x:c>
      <x:c r="C116" s="34" t="str">
        <x:v>jcs321</x:v>
      </x:c>
      <x:c r="D116" s="36" t="n">
        <x:v>2</x:v>
      </x:c>
      <x:c r="E116" s="36" t="n">
        <x:v>2</x:v>
      </x:c>
      <x:c r="F116" s="36" t="n">
        <x:v>6</x:v>
      </x:c>
      <x:c r="G116" s="36" t="n">
        <x:v>3</x:v>
      </x:c>
      <x:c r="H116" s="34" t="str">
        <x:v>initial</x:v>
      </x:c>
      <x:c r="I116" s="34" t="str">
        <x:v>cache-semantics</x:v>
      </x:c>
      <x:c r="J116" s="45" t="b">
        <x:v>1</x:v>
      </x:c>
      <x:c r="K116" s="45" t="b">
        <x:v>0</x:v>
      </x:c>
      <x:c r="L116" s="45" t="b">
        <x:v>1</x:v>
      </x:c>
      <x:c r="M116" s="43" t="n">
        <x:v>400000</x:v>
      </x:c>
      <x:c r="N116" s="43" t="n">
        <x:v>15049728</x:v>
      </x:c>
      <x:c r="O116" s="43" t="n">
        <x:v>3009505.6572212027</x:v>
      </x:c>
      <x:c r="P116" s="45" t="b">
        <x:v>1</x:v>
      </x:c>
      <x:c r="Q116" s="45" t="b">
        <x:v>1</x:v>
      </x:c>
      <x:c r="R116" s="45" t="b">
        <x:v>1</x:v>
      </x:c>
      <x:c r="S116" s="43" t="n">
        <x:v>5000000000</x:v>
      </x:c>
      <x:c r="T116" s="43" t="n">
        <x:v>5000730922</x:v>
      </x:c>
      <x:c r="U116" s="45" t="b">
        <x:v>1</x:v>
      </x:c>
      <x:c r="V116" s="34" t="str">
        <x:v>uniform</x:v>
      </x:c>
      <x:c r="W116" s="42" t="n">
        <x:v>95</x:v>
      </x:c>
      <x:c r="X116" s="48" t="n">
        <x:v>0.95</x:v>
      </x:c>
      <x:c r="Y116" s="48" t="n">
        <x:v>0.9503899339576104</x:v>
      </x:c>
      <x:c r="Z116" s="45" t="b">
        <x:v>1</x:v>
      </x:c>
      <x:c r="AA116" s="43" t="n">
        <x:v>10000</x:v>
      </x:c>
      <x:c r="AB116" s="43" t="n">
        <x:v>9900</x:v>
      </x:c>
      <x:c r="AC116" s="43" t="n">
        <x:v>10000</x:v>
      </x:c>
      <x:c r="AD116" s="45" t="b">
        <x:v>1</x:v>
      </x:c>
      <x:c r="AE116" s="43" t="n">
        <x:v>9900</x:v>
      </x:c>
      <x:c r="AF116" s="43"/>
      <x:c r="AG116" s="43" t="n">
        <x:v>10000</x:v>
      </x:c>
      <x:c r="AH116" s="45" t="b">
        <x:v>1</x:v>
      </x:c>
      <x:c r="AI116" s="45" t="b">
        <x:v>1</x:v>
      </x:c>
      <x:c r="AJ116" s="49"/>
      <x:c r="AK116" s="48" t="n">
        <x:v>0.9503899339576104</x:v>
      </x:c>
      <x:c r="AL116" s="49"/>
      <x:c r="AM116" s="49"/>
      <x:c r="AN116" s="36" t="n">
        <x:v>1</x:v>
      </x:c>
      <x:c r="AO116" s="45" t="b">
        <x:v>1</x:v>
      </x:c>
      <x:c r="AP116" s="45" t="b">
        <x:v>1</x:v>
      </x:c>
      <x:c r="AQ116" s="46" t="n">
        <x:f>IF(T116="","",T116/'Readme-Protocol'!$B$24)</x:f>
        <x:v>5.000730922</x:v>
      </x:c>
      <x:c r="AR116" s="46" t="n">
        <x:f>IF(OR(S116="",S116=0),"",T116/S116)</x:f>
        <x:v>1.0001461844</x:v>
      </x:c>
      <x:c r="AS116" s="46" t="n">
        <x:f>IF(OR(X116="",Y116=""),"",ABS(Y116-X116)*'Readme-Protocol'!$B$27)</x:f>
        <x:v>0.038993395761044436</x:v>
      </x:c>
      <x:c r="AT116" s="49" t="b">
        <x:f>AND(M116&gt;0,N116&gt;=0,O116&gt;0)</x:f>
        <x:v>1</x:v>
      </x:c>
      <x:c r="AU116" s="49" t="b">
        <x:f>AND(AT116,N116&gt;=M116)</x:f>
        <x:v>1</x:v>
      </x:c>
      <x:c r="AV116" s="49" t="b">
        <x:f>OR(S116=0,T116&gt;=S116)</x:f>
        <x:v>1</x:v>
      </x:c>
      <x:c r="AW116" s="49" t="b">
        <x:f>IF(I116="cache-semantics",OR(V116&lt;&gt;"uniform",ABS(Y116-W116/'Readme-Protocol'!$B$27)&lt;='Readme-Protocol'!$B$28),TRUE)</x:f>
        <x:v>1</x:v>
      </x:c>
      <x:c r="AX116" s="43" t="n">
        <x:f>IF(I116="cache-semantics",INT(AA116*'Readme-Protocol'!$B$32),"")</x:f>
        <x:v>9900</x:v>
      </x:c>
      <x:c r="AY116" s="49" t="b">
        <x:f>IF(I116="cache-semantics",AX116=AB116,TRUE)</x:f>
        <x:v>1</x:v>
      </x:c>
      <x:c r="AZ116" s="49" t="b">
        <x:f>IF(I116="cache-semantics",AX116=AE116,TRUE)</x:f>
        <x:v>1</x:v>
      </x:c>
      <x:c r="BA116" s="49" t="b">
        <x:f>IF(I116="cache-semantics",AC116&gt;=AX116,IF(I116="no-store-control",AC116=0,FALSE))</x:f>
        <x:v>1</x:v>
      </x:c>
      <x:c r="BB116" s="49" t="b">
        <x:f>IF(I116="cache-semantics",AG116&gt;=AX116,IF(I116="no-store-control",AG116=0,FALSE))</x:f>
        <x:v>1</x:v>
      </x:c>
      <x:c r="BC116" s="49" t="b">
        <x:f>AND(BA116,BB116)</x:f>
        <x:v>1</x:v>
      </x:c>
      <x:c r="BD116" s="49" t="b">
        <x:f>IF(I116="no-store-control",AND(AC116=0,AG116=0),TRUE)</x:f>
        <x:v>1</x:v>
      </x:c>
      <x:c r="BE116" s="49" t="b">
        <x:f>IF(I116="no-store-control",AK116=0,TRUE)</x:f>
        <x:v>1</x:v>
      </x:c>
      <x:c r="BF116" s="49" t="b">
        <x:f>IF(I116="cache-semantics",AN116=1,TRUE)</x:f>
        <x:v>1</x:v>
      </x:c>
      <x:c r="BG116" s="49" t="b">
        <x:f>IF(I116="cache-semantics",AND(AU116,AV116,Q116,AW116,BC116,BF116),IF(I116="no-store-control",AND(AU116,AV116,Q116,BD116,BE116),FALSE))</x:f>
        <x:v>1</x:v>
      </x:c>
      <x:c r="BH116" s="49" t="b">
        <x:f>AND(R116,AT116=P116,AU116=L116,AV116=U116,AY116,AZ116,IF(I116="cache-semantics",AND(AW116=Z116,AND(BA116=AD116,BB116=AH116,BC116=AI116),BF116=AO116),IF(I116="no-store-control",AND(AND(BA116=AD116,BB116=AH116,BC116=AI116),BD116=AJ116,BE116=AL116),FALSE)),BG116=AP116)</x:f>
        <x:v>1</x:v>
      </x:c>
      <x:c r="BI116" s="49" t="b">
        <x:f>AND(J116,K116,BG116)</x:f>
        <x:v>0</x:v>
      </x:c>
    </x:row>
    <x:row r="117">
      <x:c r="A117" s="34" t="str">
        <x:v>article1-unified-v4-2-fb3f101b-20260903-000401-default-f02-p6-jcs321</x:v>
      </x:c>
      <x:c r="B117" s="34" t="str">
        <x:v>default</x:v>
      </x:c>
      <x:c r="C117" s="34" t="str">
        <x:v>jcs321</x:v>
      </x:c>
      <x:c r="D117" s="36" t="n">
        <x:v>2</x:v>
      </x:c>
      <x:c r="E117" s="36" t="n">
        <x:v>2</x:v>
      </x:c>
      <x:c r="F117" s="36" t="n">
        <x:v>6</x:v>
      </x:c>
      <x:c r="G117" s="36" t="n">
        <x:v>3</x:v>
      </x:c>
      <x:c r="H117" s="34" t="str">
        <x:v>redeploy</x:v>
      </x:c>
      <x:c r="I117" s="34" t="str">
        <x:v>cache-semantics</x:v>
      </x:c>
      <x:c r="J117" s="45" t="b">
        <x:v>1</x:v>
      </x:c>
      <x:c r="K117" s="45" t="b">
        <x:v>0</x:v>
      </x:c>
      <x:c r="L117" s="45" t="b">
        <x:v>1</x:v>
      </x:c>
      <x:c r="M117" s="43" t="n">
        <x:v>400000</x:v>
      </x:c>
      <x:c r="N117" s="43" t="n">
        <x:v>14144000</x:v>
      </x:c>
      <x:c r="O117" s="43" t="n">
        <x:v>2828222.849653872</x:v>
      </x:c>
      <x:c r="P117" s="45" t="b">
        <x:v>1</x:v>
      </x:c>
      <x:c r="Q117" s="45" t="b">
        <x:v>1</x:v>
      </x:c>
      <x:c r="R117" s="45" t="b">
        <x:v>1</x:v>
      </x:c>
      <x:c r="S117" s="43" t="n">
        <x:v>5000000000</x:v>
      </x:c>
      <x:c r="T117" s="43" t="n">
        <x:v>5001020341</x:v>
      </x:c>
      <x:c r="U117" s="45" t="b">
        <x:v>1</x:v>
      </x:c>
      <x:c r="V117" s="34" t="str">
        <x:v>uniform</x:v>
      </x:c>
      <x:c r="W117" s="42" t="n">
        <x:v>95</x:v>
      </x:c>
      <x:c r="X117" s="48" t="n">
        <x:v>0.95</x:v>
      </x:c>
      <x:c r="Y117" s="48" t="n">
        <x:v>0.9503902714932126</x:v>
      </x:c>
      <x:c r="Z117" s="45" t="b">
        <x:v>1</x:v>
      </x:c>
      <x:c r="AA117" s="43" t="n">
        <x:v>10000</x:v>
      </x:c>
      <x:c r="AB117" s="43" t="n">
        <x:v>9900</x:v>
      </x:c>
      <x:c r="AC117" s="43" t="n">
        <x:v>10000</x:v>
      </x:c>
      <x:c r="AD117" s="45" t="b">
        <x:v>1</x:v>
      </x:c>
      <x:c r="AE117" s="43" t="n">
        <x:v>9900</x:v>
      </x:c>
      <x:c r="AF117" s="43"/>
      <x:c r="AG117" s="43" t="n">
        <x:v>10000</x:v>
      </x:c>
      <x:c r="AH117" s="45" t="b">
        <x:v>1</x:v>
      </x:c>
      <x:c r="AI117" s="45" t="b">
        <x:v>1</x:v>
      </x:c>
      <x:c r="AJ117" s="49"/>
      <x:c r="AK117" s="48" t="n">
        <x:v>0.9503902714932126</x:v>
      </x:c>
      <x:c r="AL117" s="49"/>
      <x:c r="AM117" s="49"/>
      <x:c r="AN117" s="36" t="n">
        <x:v>1</x:v>
      </x:c>
      <x:c r="AO117" s="45" t="b">
        <x:v>1</x:v>
      </x:c>
      <x:c r="AP117" s="45" t="b">
        <x:v>1</x:v>
      </x:c>
      <x:c r="AQ117" s="46" t="n">
        <x:f>IF(T117="","",T117/'Readme-Protocol'!$B$24)</x:f>
        <x:v>5.001020341</x:v>
      </x:c>
      <x:c r="AR117" s="46" t="n">
        <x:f>IF(OR(S117="",S117=0),"",T117/S117)</x:f>
        <x:v>1.0002040682</x:v>
      </x:c>
      <x:c r="AS117" s="46" t="n">
        <x:f>IF(OR(X117="",Y117=""),"",ABS(Y117-X117)*'Readme-Protocol'!$B$27)</x:f>
        <x:v>0.03902714932126905</x:v>
      </x:c>
      <x:c r="AT117" s="49" t="b">
        <x:f>AND(M117&gt;0,N117&gt;=0,O117&gt;0)</x:f>
        <x:v>1</x:v>
      </x:c>
      <x:c r="AU117" s="49" t="b">
        <x:f>AND(AT117,N117&gt;=M117)</x:f>
        <x:v>1</x:v>
      </x:c>
      <x:c r="AV117" s="49" t="b">
        <x:f>OR(S117=0,T117&gt;=S117)</x:f>
        <x:v>1</x:v>
      </x:c>
      <x:c r="AW117" s="49" t="b">
        <x:f>IF(I117="cache-semantics",OR(V117&lt;&gt;"uniform",ABS(Y117-W117/'Readme-Protocol'!$B$27)&lt;='Readme-Protocol'!$B$28),TRUE)</x:f>
        <x:v>1</x:v>
      </x:c>
      <x:c r="AX117" s="43" t="n">
        <x:f>IF(I117="cache-semantics",INT(AA117*'Readme-Protocol'!$B$32),"")</x:f>
        <x:v>9900</x:v>
      </x:c>
      <x:c r="AY117" s="49" t="b">
        <x:f>IF(I117="cache-semantics",AX117=AB117,TRUE)</x:f>
        <x:v>1</x:v>
      </x:c>
      <x:c r="AZ117" s="49" t="b">
        <x:f>IF(I117="cache-semantics",AX117=AE117,TRUE)</x:f>
        <x:v>1</x:v>
      </x:c>
      <x:c r="BA117" s="49" t="b">
        <x:f>IF(I117="cache-semantics",AC117&gt;=AX117,IF(I117="no-store-control",AC117=0,FALSE))</x:f>
        <x:v>1</x:v>
      </x:c>
      <x:c r="BB117" s="49" t="b">
        <x:f>IF(I117="cache-semantics",AG117&gt;=AX117,IF(I117="no-store-control",AG117=0,FALSE))</x:f>
        <x:v>1</x:v>
      </x:c>
      <x:c r="BC117" s="49" t="b">
        <x:f>AND(BA117,BB117)</x:f>
        <x:v>1</x:v>
      </x:c>
      <x:c r="BD117" s="49" t="b">
        <x:f>IF(I117="no-store-control",AND(AC117=0,AG117=0),TRUE)</x:f>
        <x:v>1</x:v>
      </x:c>
      <x:c r="BE117" s="49" t="b">
        <x:f>IF(I117="no-store-control",AK117=0,TRUE)</x:f>
        <x:v>1</x:v>
      </x:c>
      <x:c r="BF117" s="49" t="b">
        <x:f>IF(I117="cache-semantics",AN117=1,TRUE)</x:f>
        <x:v>1</x:v>
      </x:c>
      <x:c r="BG117" s="49" t="b">
        <x:f>IF(I117="cache-semantics",AND(AU117,AV117,Q117,AW117,BC117,BF117),IF(I117="no-store-control",AND(AU117,AV117,Q117,BD117,BE117),FALSE))</x:f>
        <x:v>1</x:v>
      </x:c>
      <x:c r="BH117" s="49" t="b">
        <x:f>AND(R117,AT117=P117,AU117=L117,AV117=U117,AY117,AZ117,IF(I117="cache-semantics",AND(AW117=Z117,AND(BA117=AD117,BB117=AH117,BC117=AI117),BF117=AO117),IF(I117="no-store-control",AND(AND(BA117=AD117,BB117=AH117,BC117=AI117),BD117=AJ117,BE117=AL117),FALSE)),BG117=AP117)</x:f>
        <x:v>1</x:v>
      </x:c>
      <x:c r="BI117" s="49" t="b">
        <x:f>AND(J117,K117,BG117)</x:f>
        <x:v>0</x:v>
      </x:c>
    </x:row>
    <x:row r="118">
      <x:c r="A118" s="34" t="str">
        <x:v>article1-unified-v4-2-fb3f101b-20260903-000401-default-f02-p6-jcs321</x:v>
      </x:c>
      <x:c r="B118" s="34" t="str">
        <x:v>default</x:v>
      </x:c>
      <x:c r="C118" s="34" t="str">
        <x:v>jcs321</x:v>
      </x:c>
      <x:c r="D118" s="36" t="n">
        <x:v>2</x:v>
      </x:c>
      <x:c r="E118" s="36" t="n">
        <x:v>2</x:v>
      </x:c>
      <x:c r="F118" s="36" t="n">
        <x:v>6</x:v>
      </x:c>
      <x:c r="G118" s="36" t="n">
        <x:v>4</x:v>
      </x:c>
      <x:c r="H118" s="34" t="str">
        <x:v>initial</x:v>
      </x:c>
      <x:c r="I118" s="34" t="str">
        <x:v>cache-semantics</x:v>
      </x:c>
      <x:c r="J118" s="45" t="b">
        <x:v>1</x:v>
      </x:c>
      <x:c r="K118" s="45" t="b">
        <x:v>0</x:v>
      </x:c>
      <x:c r="L118" s="45" t="b">
        <x:v>1</x:v>
      </x:c>
      <x:c r="M118" s="43" t="n">
        <x:v>400000</x:v>
      </x:c>
      <x:c r="N118" s="43" t="n">
        <x:v>12647680</x:v>
      </x:c>
      <x:c r="O118" s="43" t="n">
        <x:v>2529153.2925704136</x:v>
      </x:c>
      <x:c r="P118" s="45" t="b">
        <x:v>1</x:v>
      </x:c>
      <x:c r="Q118" s="45" t="b">
        <x:v>1</x:v>
      </x:c>
      <x:c r="R118" s="45" t="b">
        <x:v>1</x:v>
      </x:c>
      <x:c r="S118" s="43" t="n">
        <x:v>5000000000</x:v>
      </x:c>
      <x:c r="T118" s="43" t="n">
        <x:v>5000756592</x:v>
      </x:c>
      <x:c r="U118" s="45" t="b">
        <x:v>1</x:v>
      </x:c>
      <x:c r="V118" s="34" t="str">
        <x:v>uniform</x:v>
      </x:c>
      <x:c r="W118" s="42" t="n">
        <x:v>95</x:v>
      </x:c>
      <x:c r="X118" s="48" t="n">
        <x:v>0.95</x:v>
      </x:c>
      <x:c r="Y118" s="48" t="n">
        <x:v>0.9503807022315555</x:v>
      </x:c>
      <x:c r="Z118" s="45" t="b">
        <x:v>1</x:v>
      </x:c>
      <x:c r="AA118" s="43" t="n">
        <x:v>10000</x:v>
      </x:c>
      <x:c r="AB118" s="43" t="n">
        <x:v>9900</x:v>
      </x:c>
      <x:c r="AC118" s="43" t="n">
        <x:v>10000</x:v>
      </x:c>
      <x:c r="AD118" s="45" t="b">
        <x:v>1</x:v>
      </x:c>
      <x:c r="AE118" s="43" t="n">
        <x:v>9900</x:v>
      </x:c>
      <x:c r="AF118" s="43"/>
      <x:c r="AG118" s="43" t="n">
        <x:v>10000</x:v>
      </x:c>
      <x:c r="AH118" s="45" t="b">
        <x:v>1</x:v>
      </x:c>
      <x:c r="AI118" s="45" t="b">
        <x:v>1</x:v>
      </x:c>
      <x:c r="AJ118" s="49"/>
      <x:c r="AK118" s="48" t="n">
        <x:v>0.9503807022315555</x:v>
      </x:c>
      <x:c r="AL118" s="49"/>
      <x:c r="AM118" s="49"/>
      <x:c r="AN118" s="36" t="n">
        <x:v>1</x:v>
      </x:c>
      <x:c r="AO118" s="45" t="b">
        <x:v>1</x:v>
      </x:c>
      <x:c r="AP118" s="45" t="b">
        <x:v>1</x:v>
      </x:c>
      <x:c r="AQ118" s="46" t="n">
        <x:f>IF(T118="","",T118/'Readme-Protocol'!$B$24)</x:f>
        <x:v>5.000756592</x:v>
      </x:c>
      <x:c r="AR118" s="46" t="n">
        <x:f>IF(OR(S118="",S118=0),"",T118/S118)</x:f>
        <x:v>1.0001513184</x:v>
      </x:c>
      <x:c r="AS118" s="46" t="n">
        <x:f>IF(OR(X118="",Y118=""),"",ABS(Y118-X118)*'Readme-Protocol'!$B$27)</x:f>
        <x:v>0.03807022315555075</x:v>
      </x:c>
      <x:c r="AT118" s="49" t="b">
        <x:f>AND(M118&gt;0,N118&gt;=0,O118&gt;0)</x:f>
        <x:v>1</x:v>
      </x:c>
      <x:c r="AU118" s="49" t="b">
        <x:f>AND(AT118,N118&gt;=M118)</x:f>
        <x:v>1</x:v>
      </x:c>
      <x:c r="AV118" s="49" t="b">
        <x:f>OR(S118=0,T118&gt;=S118)</x:f>
        <x:v>1</x:v>
      </x:c>
      <x:c r="AW118" s="49" t="b">
        <x:f>IF(I118="cache-semantics",OR(V118&lt;&gt;"uniform",ABS(Y118-W118/'Readme-Protocol'!$B$27)&lt;='Readme-Protocol'!$B$28),TRUE)</x:f>
        <x:v>1</x:v>
      </x:c>
      <x:c r="AX118" s="43" t="n">
        <x:f>IF(I118="cache-semantics",INT(AA118*'Readme-Protocol'!$B$32),"")</x:f>
        <x:v>9900</x:v>
      </x:c>
      <x:c r="AY118" s="49" t="b">
        <x:f>IF(I118="cache-semantics",AX118=AB118,TRUE)</x:f>
        <x:v>1</x:v>
      </x:c>
      <x:c r="AZ118" s="49" t="b">
        <x:f>IF(I118="cache-semantics",AX118=AE118,TRUE)</x:f>
        <x:v>1</x:v>
      </x:c>
      <x:c r="BA118" s="49" t="b">
        <x:f>IF(I118="cache-semantics",AC118&gt;=AX118,IF(I118="no-store-control",AC118=0,FALSE))</x:f>
        <x:v>1</x:v>
      </x:c>
      <x:c r="BB118" s="49" t="b">
        <x:f>IF(I118="cache-semantics",AG118&gt;=AX118,IF(I118="no-store-control",AG118=0,FALSE))</x:f>
        <x:v>1</x:v>
      </x:c>
      <x:c r="BC118" s="49" t="b">
        <x:f>AND(BA118,BB118)</x:f>
        <x:v>1</x:v>
      </x:c>
      <x:c r="BD118" s="49" t="b">
        <x:f>IF(I118="no-store-control",AND(AC118=0,AG118=0),TRUE)</x:f>
        <x:v>1</x:v>
      </x:c>
      <x:c r="BE118" s="49" t="b">
        <x:f>IF(I118="no-store-control",AK118=0,TRUE)</x:f>
        <x:v>1</x:v>
      </x:c>
      <x:c r="BF118" s="49" t="b">
        <x:f>IF(I118="cache-semantics",AN118=1,TRUE)</x:f>
        <x:v>1</x:v>
      </x:c>
      <x:c r="BG118" s="49" t="b">
        <x:f>IF(I118="cache-semantics",AND(AU118,AV118,Q118,AW118,BC118,BF118),IF(I118="no-store-control",AND(AU118,AV118,Q118,BD118,BE118),FALSE))</x:f>
        <x:v>1</x:v>
      </x:c>
      <x:c r="BH118" s="49" t="b">
        <x:f>AND(R118,AT118=P118,AU118=L118,AV118=U118,AY118,AZ118,IF(I118="cache-semantics",AND(AW118=Z118,AND(BA118=AD118,BB118=AH118,BC118=AI118),BF118=AO118),IF(I118="no-store-control",AND(AND(BA118=AD118,BB118=AH118,BC118=AI118),BD118=AJ118,BE118=AL118),FALSE)),BG118=AP118)</x:f>
        <x:v>1</x:v>
      </x:c>
      <x:c r="BI118" s="49" t="b">
        <x:f>AND(J118,K118,BG118)</x:f>
        <x:v>0</x:v>
      </x:c>
    </x:row>
    <x:row r="119">
      <x:c r="A119" s="34" t="str">
        <x:v>article1-unified-v4-2-fb3f101b-20260903-000401-default-f02-p6-jcs321</x:v>
      </x:c>
      <x:c r="B119" s="34" t="str">
        <x:v>default</x:v>
      </x:c>
      <x:c r="C119" s="34" t="str">
        <x:v>jcs321</x:v>
      </x:c>
      <x:c r="D119" s="36" t="n">
        <x:v>2</x:v>
      </x:c>
      <x:c r="E119" s="36" t="n">
        <x:v>2</x:v>
      </x:c>
      <x:c r="F119" s="36" t="n">
        <x:v>6</x:v>
      </x:c>
      <x:c r="G119" s="36" t="n">
        <x:v>4</x:v>
      </x:c>
      <x:c r="H119" s="34" t="str">
        <x:v>redeploy</x:v>
      </x:c>
      <x:c r="I119" s="34" t="str">
        <x:v>cache-semantics</x:v>
      </x:c>
      <x:c r="J119" s="45" t="b">
        <x:v>1</x:v>
      </x:c>
      <x:c r="K119" s="45" t="b">
        <x:v>0</x:v>
      </x:c>
      <x:c r="L119" s="45" t="b">
        <x:v>1</x:v>
      </x:c>
      <x:c r="M119" s="43" t="n">
        <x:v>400000</x:v>
      </x:c>
      <x:c r="N119" s="43" t="n">
        <x:v>11939584</x:v>
      </x:c>
      <x:c r="O119" s="43" t="n">
        <x:v>2387661.3913834314</x:v>
      </x:c>
      <x:c r="P119" s="45" t="b">
        <x:v>1</x:v>
      </x:c>
      <x:c r="Q119" s="45" t="b">
        <x:v>1</x:v>
      </x:c>
      <x:c r="R119" s="45" t="b">
        <x:v>1</x:v>
      </x:c>
      <x:c r="S119" s="43" t="n">
        <x:v>5000000000</x:v>
      </x:c>
      <x:c r="T119" s="43" t="n">
        <x:v>5000534851</x:v>
      </x:c>
      <x:c r="U119" s="45" t="b">
        <x:v>1</x:v>
      </x:c>
      <x:c r="V119" s="34" t="str">
        <x:v>uniform</x:v>
      </x:c>
      <x:c r="W119" s="42" t="n">
        <x:v>95</x:v>
      </x:c>
      <x:c r="X119" s="48" t="n">
        <x:v>0.95</x:v>
      </x:c>
      <x:c r="Y119" s="48" t="n">
        <x:v>0.9503702139036</x:v>
      </x:c>
      <x:c r="Z119" s="45" t="b">
        <x:v>1</x:v>
      </x:c>
      <x:c r="AA119" s="43" t="n">
        <x:v>10000</x:v>
      </x:c>
      <x:c r="AB119" s="43" t="n">
        <x:v>9900</x:v>
      </x:c>
      <x:c r="AC119" s="43" t="n">
        <x:v>10000</x:v>
      </x:c>
      <x:c r="AD119" s="45" t="b">
        <x:v>1</x:v>
      </x:c>
      <x:c r="AE119" s="43" t="n">
        <x:v>9900</x:v>
      </x:c>
      <x:c r="AF119" s="43"/>
      <x:c r="AG119" s="43" t="n">
        <x:v>10000</x:v>
      </x:c>
      <x:c r="AH119" s="45" t="b">
        <x:v>1</x:v>
      </x:c>
      <x:c r="AI119" s="45" t="b">
        <x:v>1</x:v>
      </x:c>
      <x:c r="AJ119" s="49"/>
      <x:c r="AK119" s="48" t="n">
        <x:v>0.9503702139036</x:v>
      </x:c>
      <x:c r="AL119" s="49"/>
      <x:c r="AM119" s="49"/>
      <x:c r="AN119" s="36" t="n">
        <x:v>1</x:v>
      </x:c>
      <x:c r="AO119" s="45" t="b">
        <x:v>1</x:v>
      </x:c>
      <x:c r="AP119" s="45" t="b">
        <x:v>1</x:v>
      </x:c>
      <x:c r="AQ119" s="46" t="n">
        <x:f>IF(T119="","",T119/'Readme-Protocol'!$B$24)</x:f>
        <x:v>5.000534851</x:v>
      </x:c>
      <x:c r="AR119" s="46" t="n">
        <x:f>IF(OR(S119="",S119=0),"",T119/S119)</x:f>
        <x:v>1.0001069702</x:v>
      </x:c>
      <x:c r="AS119" s="46" t="n">
        <x:f>IF(OR(X119="",Y119=""),"",ABS(Y119-X119)*'Readme-Protocol'!$B$27)</x:f>
        <x:v>0.037021390360003625</x:v>
      </x:c>
      <x:c r="AT119" s="49" t="b">
        <x:f>AND(M119&gt;0,N119&gt;=0,O119&gt;0)</x:f>
        <x:v>1</x:v>
      </x:c>
      <x:c r="AU119" s="49" t="b">
        <x:f>AND(AT119,N119&gt;=M119)</x:f>
        <x:v>1</x:v>
      </x:c>
      <x:c r="AV119" s="49" t="b">
        <x:f>OR(S119=0,T119&gt;=S119)</x:f>
        <x:v>1</x:v>
      </x:c>
      <x:c r="AW119" s="49" t="b">
        <x:f>IF(I119="cache-semantics",OR(V119&lt;&gt;"uniform",ABS(Y119-W119/'Readme-Protocol'!$B$27)&lt;='Readme-Protocol'!$B$28),TRUE)</x:f>
        <x:v>1</x:v>
      </x:c>
      <x:c r="AX119" s="43" t="n">
        <x:f>IF(I119="cache-semantics",INT(AA119*'Readme-Protocol'!$B$32),"")</x:f>
        <x:v>9900</x:v>
      </x:c>
      <x:c r="AY119" s="49" t="b">
        <x:f>IF(I119="cache-semantics",AX119=AB119,TRUE)</x:f>
        <x:v>1</x:v>
      </x:c>
      <x:c r="AZ119" s="49" t="b">
        <x:f>IF(I119="cache-semantics",AX119=AE119,TRUE)</x:f>
        <x:v>1</x:v>
      </x:c>
      <x:c r="BA119" s="49" t="b">
        <x:f>IF(I119="cache-semantics",AC119&gt;=AX119,IF(I119="no-store-control",AC119=0,FALSE))</x:f>
        <x:v>1</x:v>
      </x:c>
      <x:c r="BB119" s="49" t="b">
        <x:f>IF(I119="cache-semantics",AG119&gt;=AX119,IF(I119="no-store-control",AG119=0,FALSE))</x:f>
        <x:v>1</x:v>
      </x:c>
      <x:c r="BC119" s="49" t="b">
        <x:f>AND(BA119,BB119)</x:f>
        <x:v>1</x:v>
      </x:c>
      <x:c r="BD119" s="49" t="b">
        <x:f>IF(I119="no-store-control",AND(AC119=0,AG119=0),TRUE)</x:f>
        <x:v>1</x:v>
      </x:c>
      <x:c r="BE119" s="49" t="b">
        <x:f>IF(I119="no-store-control",AK119=0,TRUE)</x:f>
        <x:v>1</x:v>
      </x:c>
      <x:c r="BF119" s="49" t="b">
        <x:f>IF(I119="cache-semantics",AN119=1,TRUE)</x:f>
        <x:v>1</x:v>
      </x:c>
      <x:c r="BG119" s="49" t="b">
        <x:f>IF(I119="cache-semantics",AND(AU119,AV119,Q119,AW119,BC119,BF119),IF(I119="no-store-control",AND(AU119,AV119,Q119,BD119,BE119),FALSE))</x:f>
        <x:v>1</x:v>
      </x:c>
      <x:c r="BH119" s="49" t="b">
        <x:f>AND(R119,AT119=P119,AU119=L119,AV119=U119,AY119,AZ119,IF(I119="cache-semantics",AND(AW119=Z119,AND(BA119=AD119,BB119=AH119,BC119=AI119),BF119=AO119),IF(I119="no-store-control",AND(AND(BA119=AD119,BB119=AH119,BC119=AI119),BD119=AJ119,BE119=AL119),FALSE)),BG119=AP119)</x:f>
        <x:v>1</x:v>
      </x:c>
      <x:c r="BI119" s="49" t="b">
        <x:f>AND(J119,K119,BG119)</x:f>
        <x:v>0</x:v>
      </x:c>
    </x:row>
    <x:row r="120">
      <x:c r="A120" s="34" t="str">
        <x:v>article1-unified-v4-2-fb3f101b-20260903-000401-default-f02-p6-jcs321</x:v>
      </x:c>
      <x:c r="B120" s="34" t="str">
        <x:v>default</x:v>
      </x:c>
      <x:c r="C120" s="34" t="str">
        <x:v>jcs321</x:v>
      </x:c>
      <x:c r="D120" s="36" t="n">
        <x:v>2</x:v>
      </x:c>
      <x:c r="E120" s="36" t="n">
        <x:v>2</x:v>
      </x:c>
      <x:c r="F120" s="36" t="n">
        <x:v>6</x:v>
      </x:c>
      <x:c r="G120" s="36" t="n">
        <x:v>5</x:v>
      </x:c>
      <x:c r="H120" s="34" t="str">
        <x:v>initial</x:v>
      </x:c>
      <x:c r="I120" s="34" t="str">
        <x:v>cache-semantics</x:v>
      </x:c>
      <x:c r="J120" s="45" t="b">
        <x:v>1</x:v>
      </x:c>
      <x:c r="K120" s="45" t="b">
        <x:v>0</x:v>
      </x:c>
      <x:c r="L120" s="45" t="b">
        <x:v>1</x:v>
      </x:c>
      <x:c r="M120" s="43" t="n">
        <x:v>400000</x:v>
      </x:c>
      <x:c r="N120" s="43" t="n">
        <x:v>12548864</x:v>
      </x:c>
      <x:c r="O120" s="43" t="n">
        <x:v>2509553.685346714</x:v>
      </x:c>
      <x:c r="P120" s="45" t="b">
        <x:v>1</x:v>
      </x:c>
      <x:c r="Q120" s="45" t="b">
        <x:v>1</x:v>
      </x:c>
      <x:c r="R120" s="45" t="b">
        <x:v>1</x:v>
      </x:c>
      <x:c r="S120" s="43" t="n">
        <x:v>5000000000</x:v>
      </x:c>
      <x:c r="T120" s="43" t="n">
        <x:v>5000436561</x:v>
      </x:c>
      <x:c r="U120" s="45" t="b">
        <x:v>1</x:v>
      </x:c>
      <x:c r="V120" s="34" t="str">
        <x:v>uniform</x:v>
      </x:c>
      <x:c r="W120" s="42" t="n">
        <x:v>95</x:v>
      </x:c>
      <x:c r="X120" s="48" t="n">
        <x:v>0.95</x:v>
      </x:c>
      <x:c r="Y120" s="48" t="n">
        <x:v>0.9499749937524226</x:v>
      </x:c>
      <x:c r="Z120" s="45" t="b">
        <x:v>1</x:v>
      </x:c>
      <x:c r="AA120" s="43" t="n">
        <x:v>10000</x:v>
      </x:c>
      <x:c r="AB120" s="43" t="n">
        <x:v>9900</x:v>
      </x:c>
      <x:c r="AC120" s="43" t="n">
        <x:v>10000</x:v>
      </x:c>
      <x:c r="AD120" s="45" t="b">
        <x:v>1</x:v>
      </x:c>
      <x:c r="AE120" s="43" t="n">
        <x:v>9900</x:v>
      </x:c>
      <x:c r="AF120" s="43"/>
      <x:c r="AG120" s="43" t="n">
        <x:v>10000</x:v>
      </x:c>
      <x:c r="AH120" s="45" t="b">
        <x:v>1</x:v>
      </x:c>
      <x:c r="AI120" s="45" t="b">
        <x:v>1</x:v>
      </x:c>
      <x:c r="AJ120" s="49"/>
      <x:c r="AK120" s="48" t="n">
        <x:v>0.9499749937524226</x:v>
      </x:c>
      <x:c r="AL120" s="49"/>
      <x:c r="AM120" s="49"/>
      <x:c r="AN120" s="36" t="n">
        <x:v>1</x:v>
      </x:c>
      <x:c r="AO120" s="45" t="b">
        <x:v>1</x:v>
      </x:c>
      <x:c r="AP120" s="45" t="b">
        <x:v>1</x:v>
      </x:c>
      <x:c r="AQ120" s="46" t="n">
        <x:f>IF(T120="","",T120/'Readme-Protocol'!$B$24)</x:f>
        <x:v>5.000436561</x:v>
      </x:c>
      <x:c r="AR120" s="46" t="n">
        <x:f>IF(OR(S120="",S120=0),"",T120/S120)</x:f>
        <x:v>1.0000873122</x:v>
      </x:c>
      <x:c r="AS120" s="46" t="n">
        <x:f>IF(OR(X120="",Y120=""),"",ABS(Y120-X120)*'Readme-Protocol'!$B$27)</x:f>
        <x:v>0.002500624757739711</x:v>
      </x:c>
      <x:c r="AT120" s="49" t="b">
        <x:f>AND(M120&gt;0,N120&gt;=0,O120&gt;0)</x:f>
        <x:v>1</x:v>
      </x:c>
      <x:c r="AU120" s="49" t="b">
        <x:f>AND(AT120,N120&gt;=M120)</x:f>
        <x:v>1</x:v>
      </x:c>
      <x:c r="AV120" s="49" t="b">
        <x:f>OR(S120=0,T120&gt;=S120)</x:f>
        <x:v>1</x:v>
      </x:c>
      <x:c r="AW120" s="49" t="b">
        <x:f>IF(I120="cache-semantics",OR(V120&lt;&gt;"uniform",ABS(Y120-W120/'Readme-Protocol'!$B$27)&lt;='Readme-Protocol'!$B$28),TRUE)</x:f>
        <x:v>1</x:v>
      </x:c>
      <x:c r="AX120" s="43" t="n">
        <x:f>IF(I120="cache-semantics",INT(AA120*'Readme-Protocol'!$B$32),"")</x:f>
        <x:v>9900</x:v>
      </x:c>
      <x:c r="AY120" s="49" t="b">
        <x:f>IF(I120="cache-semantics",AX120=AB120,TRUE)</x:f>
        <x:v>1</x:v>
      </x:c>
      <x:c r="AZ120" s="49" t="b">
        <x:f>IF(I120="cache-semantics",AX120=AE120,TRUE)</x:f>
        <x:v>1</x:v>
      </x:c>
      <x:c r="BA120" s="49" t="b">
        <x:f>IF(I120="cache-semantics",AC120&gt;=AX120,IF(I120="no-store-control",AC120=0,FALSE))</x:f>
        <x:v>1</x:v>
      </x:c>
      <x:c r="BB120" s="49" t="b">
        <x:f>IF(I120="cache-semantics",AG120&gt;=AX120,IF(I120="no-store-control",AG120=0,FALSE))</x:f>
        <x:v>1</x:v>
      </x:c>
      <x:c r="BC120" s="49" t="b">
        <x:f>AND(BA120,BB120)</x:f>
        <x:v>1</x:v>
      </x:c>
      <x:c r="BD120" s="49" t="b">
        <x:f>IF(I120="no-store-control",AND(AC120=0,AG120=0),TRUE)</x:f>
        <x:v>1</x:v>
      </x:c>
      <x:c r="BE120" s="49" t="b">
        <x:f>IF(I120="no-store-control",AK120=0,TRUE)</x:f>
        <x:v>1</x:v>
      </x:c>
      <x:c r="BF120" s="49" t="b">
        <x:f>IF(I120="cache-semantics",AN120=1,TRUE)</x:f>
        <x:v>1</x:v>
      </x:c>
      <x:c r="BG120" s="49" t="b">
        <x:f>IF(I120="cache-semantics",AND(AU120,AV120,Q120,AW120,BC120,BF120),IF(I120="no-store-control",AND(AU120,AV120,Q120,BD120,BE120),FALSE))</x:f>
        <x:v>1</x:v>
      </x:c>
      <x:c r="BH120" s="49" t="b">
        <x:f>AND(R120,AT120=P120,AU120=L120,AV120=U120,AY120,AZ120,IF(I120="cache-semantics",AND(AW120=Z120,AND(BA120=AD120,BB120=AH120,BC120=AI120),BF120=AO120),IF(I120="no-store-control",AND(AND(BA120=AD120,BB120=AH120,BC120=AI120),BD120=AJ120,BE120=AL120),FALSE)),BG120=AP120)</x:f>
        <x:v>1</x:v>
      </x:c>
      <x:c r="BI120" s="49" t="b">
        <x:f>AND(J120,K120,BG120)</x:f>
        <x:v>0</x:v>
      </x:c>
    </x:row>
    <x:row r="121">
      <x:c r="A121" s="34" t="str">
        <x:v>article1-unified-v4-2-fb3f101b-20260903-000401-default-f02-p6-jcs321</x:v>
      </x:c>
      <x:c r="B121" s="34" t="str">
        <x:v>default</x:v>
      </x:c>
      <x:c r="C121" s="34" t="str">
        <x:v>jcs321</x:v>
      </x:c>
      <x:c r="D121" s="36" t="n">
        <x:v>2</x:v>
      </x:c>
      <x:c r="E121" s="36" t="n">
        <x:v>2</x:v>
      </x:c>
      <x:c r="F121" s="36" t="n">
        <x:v>6</x:v>
      </x:c>
      <x:c r="G121" s="36" t="n">
        <x:v>5</x:v>
      </x:c>
      <x:c r="H121" s="34" t="str">
        <x:v>redeploy</x:v>
      </x:c>
      <x:c r="I121" s="34" t="str">
        <x:v>cache-semantics</x:v>
      </x:c>
      <x:c r="J121" s="45" t="b">
        <x:v>1</x:v>
      </x:c>
      <x:c r="K121" s="45" t="b">
        <x:v>0</x:v>
      </x:c>
      <x:c r="L121" s="45" t="b">
        <x:v>1</x:v>
      </x:c>
      <x:c r="M121" s="43" t="n">
        <x:v>400000</x:v>
      </x:c>
      <x:c r="N121" s="43" t="n">
        <x:v>12540672</x:v>
      </x:c>
      <x:c r="O121" s="43" t="n">
        <x:v>2507767.478007669</x:v>
      </x:c>
      <x:c r="P121" s="45" t="b">
        <x:v>1</x:v>
      </x:c>
      <x:c r="Q121" s="45" t="b">
        <x:v>1</x:v>
      </x:c>
      <x:c r="R121" s="45" t="b">
        <x:v>1</x:v>
      </x:c>
      <x:c r="S121" s="43" t="n">
        <x:v>5000000000</x:v>
      </x:c>
      <x:c r="T121" s="43" t="n">
        <x:v>5000731571</x:v>
      </x:c>
      <x:c r="U121" s="45" t="b">
        <x:v>1</x:v>
      </x:c>
      <x:c r="V121" s="34" t="str">
        <x:v>uniform</x:v>
      </x:c>
      <x:c r="W121" s="42" t="n">
        <x:v>95</x:v>
      </x:c>
      <x:c r="X121" s="48" t="n">
        <x:v>0.95</x:v>
      </x:c>
      <x:c r="Y121" s="48" t="n">
        <x:v>0.9499802721895605</x:v>
      </x:c>
      <x:c r="Z121" s="45" t="b">
        <x:v>1</x:v>
      </x:c>
      <x:c r="AA121" s="43" t="n">
        <x:v>10000</x:v>
      </x:c>
      <x:c r="AB121" s="43" t="n">
        <x:v>9900</x:v>
      </x:c>
      <x:c r="AC121" s="43" t="n">
        <x:v>10000</x:v>
      </x:c>
      <x:c r="AD121" s="45" t="b">
        <x:v>1</x:v>
      </x:c>
      <x:c r="AE121" s="43" t="n">
        <x:v>9900</x:v>
      </x:c>
      <x:c r="AF121" s="43"/>
      <x:c r="AG121" s="43" t="n">
        <x:v>10000</x:v>
      </x:c>
      <x:c r="AH121" s="45" t="b">
        <x:v>1</x:v>
      </x:c>
      <x:c r="AI121" s="45" t="b">
        <x:v>1</x:v>
      </x:c>
      <x:c r="AJ121" s="49"/>
      <x:c r="AK121" s="48" t="n">
        <x:v>0.9499802721895605</x:v>
      </x:c>
      <x:c r="AL121" s="49"/>
      <x:c r="AM121" s="49"/>
      <x:c r="AN121" s="36" t="n">
        <x:v>1</x:v>
      </x:c>
      <x:c r="AO121" s="45" t="b">
        <x:v>1</x:v>
      </x:c>
      <x:c r="AP121" s="45" t="b">
        <x:v>1</x:v>
      </x:c>
      <x:c r="AQ121" s="46" t="n">
        <x:f>IF(T121="","",T121/'Readme-Protocol'!$B$24)</x:f>
        <x:v>5.000731571</x:v>
      </x:c>
      <x:c r="AR121" s="46" t="n">
        <x:f>IF(OR(S121="",S121=0),"",T121/S121)</x:f>
        <x:v>1.0001463142</x:v>
      </x:c>
      <x:c r="AS121" s="46" t="n">
        <x:f>IF(OR(X121="",Y121=""),"",ABS(Y121-X121)*'Readme-Protocol'!$B$27)</x:f>
        <x:v>0.00197278104394627</x:v>
      </x:c>
      <x:c r="AT121" s="49" t="b">
        <x:f>AND(M121&gt;0,N121&gt;=0,O121&gt;0)</x:f>
        <x:v>1</x:v>
      </x:c>
      <x:c r="AU121" s="49" t="b">
        <x:f>AND(AT121,N121&gt;=M121)</x:f>
        <x:v>1</x:v>
      </x:c>
      <x:c r="AV121" s="49" t="b">
        <x:f>OR(S121=0,T121&gt;=S121)</x:f>
        <x:v>1</x:v>
      </x:c>
      <x:c r="AW121" s="49" t="b">
        <x:f>IF(I121="cache-semantics",OR(V121&lt;&gt;"uniform",ABS(Y121-W121/'Readme-Protocol'!$B$27)&lt;='Readme-Protocol'!$B$28),TRUE)</x:f>
        <x:v>1</x:v>
      </x:c>
      <x:c r="AX121" s="43" t="n">
        <x:f>IF(I121="cache-semantics",INT(AA121*'Readme-Protocol'!$B$32),"")</x:f>
        <x:v>9900</x:v>
      </x:c>
      <x:c r="AY121" s="49" t="b">
        <x:f>IF(I121="cache-semantics",AX121=AB121,TRUE)</x:f>
        <x:v>1</x:v>
      </x:c>
      <x:c r="AZ121" s="49" t="b">
        <x:f>IF(I121="cache-semantics",AX121=AE121,TRUE)</x:f>
        <x:v>1</x:v>
      </x:c>
      <x:c r="BA121" s="49" t="b">
        <x:f>IF(I121="cache-semantics",AC121&gt;=AX121,IF(I121="no-store-control",AC121=0,FALSE))</x:f>
        <x:v>1</x:v>
      </x:c>
      <x:c r="BB121" s="49" t="b">
        <x:f>IF(I121="cache-semantics",AG121&gt;=AX121,IF(I121="no-store-control",AG121=0,FALSE))</x:f>
        <x:v>1</x:v>
      </x:c>
      <x:c r="BC121" s="49" t="b">
        <x:f>AND(BA121,BB121)</x:f>
        <x:v>1</x:v>
      </x:c>
      <x:c r="BD121" s="49" t="b">
        <x:f>IF(I121="no-store-control",AND(AC121=0,AG121=0),TRUE)</x:f>
        <x:v>1</x:v>
      </x:c>
      <x:c r="BE121" s="49" t="b">
        <x:f>IF(I121="no-store-control",AK121=0,TRUE)</x:f>
        <x:v>1</x:v>
      </x:c>
      <x:c r="BF121" s="49" t="b">
        <x:f>IF(I121="cache-semantics",AN121=1,TRUE)</x:f>
        <x:v>1</x:v>
      </x:c>
      <x:c r="BG121" s="49" t="b">
        <x:f>IF(I121="cache-semantics",AND(AU121,AV121,Q121,AW121,BC121,BF121),IF(I121="no-store-control",AND(AU121,AV121,Q121,BD121,BE121),FALSE))</x:f>
        <x:v>1</x:v>
      </x:c>
      <x:c r="BH121" s="49" t="b">
        <x:f>AND(R121,AT121=P121,AU121=L121,AV121=U121,AY121,AZ121,IF(I121="cache-semantics",AND(AW121=Z121,AND(BA121=AD121,BB121=AH121,BC121=AI121),BF121=AO121),IF(I121="no-store-control",AND(AND(BA121=AD121,BB121=AH121,BC121=AI121),BD121=AJ121,BE121=AL121),FALSE)),BG121=AP121)</x:f>
        <x:v>1</x:v>
      </x:c>
      <x:c r="BI121" s="49" t="b">
        <x:f>AND(J121,K121,BG121)</x:f>
        <x:v>0</x:v>
      </x:c>
    </x:row>
    <x:row r="122">
      <x:c r="A122" s="34" t="str">
        <x:v>article1-unified-v4-2-fb3f101b-20260903-000401-default-f03-p1-cache2k</x:v>
      </x:c>
      <x:c r="B122" s="34" t="str">
        <x:v>default</x:v>
      </x:c>
      <x:c r="C122" s="34" t="str">
        <x:v>cache2k</x:v>
      </x:c>
      <x:c r="D122" s="36" t="n">
        <x:v>3</x:v>
      </x:c>
      <x:c r="E122" s="36" t="n">
        <x:v>3</x:v>
      </x:c>
      <x:c r="F122" s="36" t="n">
        <x:v>1</x:v>
      </x:c>
      <x:c r="G122" s="36" t="n">
        <x:v>1</x:v>
      </x:c>
      <x:c r="H122" s="34" t="str">
        <x:v>initial</x:v>
      </x:c>
      <x:c r="I122" s="34" t="str">
        <x:v>cache-semantics</x:v>
      </x:c>
      <x:c r="J122" s="45" t="b">
        <x:v>1</x:v>
      </x:c>
      <x:c r="K122" s="45" t="b">
        <x:v>1</x:v>
      </x:c>
      <x:c r="L122" s="45" t="b">
        <x:v>1</x:v>
      </x:c>
      <x:c r="M122" s="43" t="n">
        <x:v>400000</x:v>
      </x:c>
      <x:c r="N122" s="43" t="n">
        <x:v>143241728</x:v>
      </x:c>
      <x:c r="O122" s="43" t="n">
        <x:v>28624013.436789107</x:v>
      </x:c>
      <x:c r="P122" s="45" t="b">
        <x:v>1</x:v>
      </x:c>
      <x:c r="Q122" s="45" t="b">
        <x:v>1</x:v>
      </x:c>
      <x:c r="R122" s="45" t="b">
        <x:v>1</x:v>
      </x:c>
      <x:c r="S122" s="43" t="n">
        <x:v>5000000000</x:v>
      </x:c>
      <x:c r="T122" s="43" t="n">
        <x:v>5004250306</x:v>
      </x:c>
      <x:c r="U122" s="45" t="b">
        <x:v>1</x:v>
      </x:c>
      <x:c r="V122" s="34" t="str">
        <x:v>uniform</x:v>
      </x:c>
      <x:c r="W122" s="42" t="n">
        <x:v>95</x:v>
      </x:c>
      <x:c r="X122" s="48" t="n">
        <x:v>0.95</x:v>
      </x:c>
      <x:c r="Y122" s="48" t="n">
        <x:v>0.9470196073032573</x:v>
      </x:c>
      <x:c r="Z122" s="45" t="b">
        <x:v>1</x:v>
      </x:c>
      <x:c r="AA122" s="43" t="n">
        <x:v>10000</x:v>
      </x:c>
      <x:c r="AB122" s="43" t="n">
        <x:v>9900</x:v>
      </x:c>
      <x:c r="AC122" s="43" t="n">
        <x:v>9979</x:v>
      </x:c>
      <x:c r="AD122" s="45" t="b">
        <x:v>1</x:v>
      </x:c>
      <x:c r="AE122" s="43" t="n">
        <x:v>9900</x:v>
      </x:c>
      <x:c r="AF122" s="43"/>
      <x:c r="AG122" s="43" t="n">
        <x:v>9991</x:v>
      </x:c>
      <x:c r="AH122" s="45" t="b">
        <x:v>1</x:v>
      </x:c>
      <x:c r="AI122" s="45" t="b">
        <x:v>1</x:v>
      </x:c>
      <x:c r="AJ122" s="49"/>
      <x:c r="AK122" s="48" t="n">
        <x:v>0.9470196073032573</x:v>
      </x:c>
      <x:c r="AL122" s="49"/>
      <x:c r="AM122" s="49"/>
      <x:c r="AN122" s="36" t="n">
        <x:v>1</x:v>
      </x:c>
      <x:c r="AO122" s="45" t="b">
        <x:v>1</x:v>
      </x:c>
      <x:c r="AP122" s="45" t="b">
        <x:v>1</x:v>
      </x:c>
      <x:c r="AQ122" s="46" t="n">
        <x:f>IF(T122="","",T122/'Readme-Protocol'!$B$24)</x:f>
        <x:v>5.004250306</x:v>
      </x:c>
      <x:c r="AR122" s="46" t="n">
        <x:f>IF(OR(S122="",S122=0),"",T122/S122)</x:f>
        <x:v>1.0008500612</x:v>
      </x:c>
      <x:c r="AS122" s="46" t="n">
        <x:f>IF(OR(X122="",Y122=""),"",ABS(Y122-X122)*'Readme-Protocol'!$B$27)</x:f>
        <x:v>0.2980392696742662</x:v>
      </x:c>
      <x:c r="AT122" s="49" t="b">
        <x:f>AND(M122&gt;0,N122&gt;=0,O122&gt;0)</x:f>
        <x:v>1</x:v>
      </x:c>
      <x:c r="AU122" s="49" t="b">
        <x:f>AND(AT122,N122&gt;=M122)</x:f>
        <x:v>1</x:v>
      </x:c>
      <x:c r="AV122" s="49" t="b">
        <x:f>OR(S122=0,T122&gt;=S122)</x:f>
        <x:v>1</x:v>
      </x:c>
      <x:c r="AW122" s="49" t="b">
        <x:f>IF(I122="cache-semantics",OR(V122&lt;&gt;"uniform",ABS(Y122-W122/'Readme-Protocol'!$B$27)&lt;='Readme-Protocol'!$B$28),TRUE)</x:f>
        <x:v>1</x:v>
      </x:c>
      <x:c r="AX122" s="43" t="n">
        <x:f>IF(I122="cache-semantics",INT(AA122*'Readme-Protocol'!$B$32),"")</x:f>
        <x:v>9900</x:v>
      </x:c>
      <x:c r="AY122" s="49" t="b">
        <x:f>IF(I122="cache-semantics",AX122=AB122,TRUE)</x:f>
        <x:v>1</x:v>
      </x:c>
      <x:c r="AZ122" s="49" t="b">
        <x:f>IF(I122="cache-semantics",AX122=AE122,TRUE)</x:f>
        <x:v>1</x:v>
      </x:c>
      <x:c r="BA122" s="49" t="b">
        <x:f>IF(I122="cache-semantics",AC122&gt;=AX122,IF(I122="no-store-control",AC122=0,FALSE))</x:f>
        <x:v>1</x:v>
      </x:c>
      <x:c r="BB122" s="49" t="b">
        <x:f>IF(I122="cache-semantics",AG122&gt;=AX122,IF(I122="no-store-control",AG122=0,FALSE))</x:f>
        <x:v>1</x:v>
      </x:c>
      <x:c r="BC122" s="49" t="b">
        <x:f>AND(BA122,BB122)</x:f>
        <x:v>1</x:v>
      </x:c>
      <x:c r="BD122" s="49" t="b">
        <x:f>IF(I122="no-store-control",AND(AC122=0,AG122=0),TRUE)</x:f>
        <x:v>1</x:v>
      </x:c>
      <x:c r="BE122" s="49" t="b">
        <x:f>IF(I122="no-store-control",AK122=0,TRUE)</x:f>
        <x:v>1</x:v>
      </x:c>
      <x:c r="BF122" s="49" t="b">
        <x:f>IF(I122="cache-semantics",AN122=1,TRUE)</x:f>
        <x:v>1</x:v>
      </x:c>
      <x:c r="BG122" s="49" t="b">
        <x:f>IF(I122="cache-semantics",AND(AU122,AV122,Q122,AW122,BC122,BF122),IF(I122="no-store-control",AND(AU122,AV122,Q122,BD122,BE122),FALSE))</x:f>
        <x:v>1</x:v>
      </x:c>
      <x:c r="BH122" s="49" t="b">
        <x:f>AND(R122,AT122=P122,AU122=L122,AV122=U122,AY122,AZ122,IF(I122="cache-semantics",AND(AW122=Z122,AND(BA122=AD122,BB122=AH122,BC122=AI122),BF122=AO122),IF(I122="no-store-control",AND(AND(BA122=AD122,BB122=AH122,BC122=AI122),BD122=AJ122,BE122=AL122),FALSE)),BG122=AP122)</x:f>
        <x:v>1</x:v>
      </x:c>
      <x:c r="BI122" s="49" t="b">
        <x:f>AND(J122,K122,BG122)</x:f>
        <x:v>1</x:v>
      </x:c>
    </x:row>
    <x:row r="123">
      <x:c r="A123" s="34" t="str">
        <x:v>article1-unified-v4-2-fb3f101b-20260903-000401-default-f03-p1-cache2k</x:v>
      </x:c>
      <x:c r="B123" s="34" t="str">
        <x:v>default</x:v>
      </x:c>
      <x:c r="C123" s="34" t="str">
        <x:v>cache2k</x:v>
      </x:c>
      <x:c r="D123" s="36" t="n">
        <x:v>3</x:v>
      </x:c>
      <x:c r="E123" s="36" t="n">
        <x:v>3</x:v>
      </x:c>
      <x:c r="F123" s="36" t="n">
        <x:v>1</x:v>
      </x:c>
      <x:c r="G123" s="36" t="n">
        <x:v>1</x:v>
      </x:c>
      <x:c r="H123" s="34" t="str">
        <x:v>redeploy</x:v>
      </x:c>
      <x:c r="I123" s="34" t="str">
        <x:v>cache-semantics</x:v>
      </x:c>
      <x:c r="J123" s="45" t="b">
        <x:v>1</x:v>
      </x:c>
      <x:c r="K123" s="45" t="b">
        <x:v>1</x:v>
      </x:c>
      <x:c r="L123" s="45" t="b">
        <x:v>1</x:v>
      </x:c>
      <x:c r="M123" s="43" t="n">
        <x:v>400000</x:v>
      </x:c>
      <x:c r="N123" s="43" t="n">
        <x:v>148290048</x:v>
      </x:c>
      <x:c r="O123" s="43" t="n">
        <x:v>29641825.821150184</x:v>
      </x:c>
      <x:c r="P123" s="45" t="b">
        <x:v>1</x:v>
      </x:c>
      <x:c r="Q123" s="45" t="b">
        <x:v>1</x:v>
      </x:c>
      <x:c r="R123" s="45" t="b">
        <x:v>1</x:v>
      </x:c>
      <x:c r="S123" s="43" t="n">
        <x:v>5000000000</x:v>
      </x:c>
      <x:c r="T123" s="43" t="n">
        <x:v>5002729889</x:v>
      </x:c>
      <x:c r="U123" s="45" t="b">
        <x:v>1</x:v>
      </x:c>
      <x:c r="V123" s="34" t="str">
        <x:v>uniform</x:v>
      </x:c>
      <x:c r="W123" s="42" t="n">
        <x:v>95</x:v>
      </x:c>
      <x:c r="X123" s="48" t="n">
        <x:v>0.95</x:v>
      </x:c>
      <x:c r="Y123" s="48" t="n">
        <x:v>0.9470290480990335</x:v>
      </x:c>
      <x:c r="Z123" s="45" t="b">
        <x:v>1</x:v>
      </x:c>
      <x:c r="AA123" s="43" t="n">
        <x:v>10000</x:v>
      </x:c>
      <x:c r="AB123" s="43" t="n">
        <x:v>9900</x:v>
      </x:c>
      <x:c r="AC123" s="43" t="n">
        <x:v>9979</x:v>
      </x:c>
      <x:c r="AD123" s="45" t="b">
        <x:v>1</x:v>
      </x:c>
      <x:c r="AE123" s="43" t="n">
        <x:v>9900</x:v>
      </x:c>
      <x:c r="AF123" s="43"/>
      <x:c r="AG123" s="43" t="n">
        <x:v>9993</x:v>
      </x:c>
      <x:c r="AH123" s="45" t="b">
        <x:v>1</x:v>
      </x:c>
      <x:c r="AI123" s="45" t="b">
        <x:v>1</x:v>
      </x:c>
      <x:c r="AJ123" s="49"/>
      <x:c r="AK123" s="48" t="n">
        <x:v>0.9470290480990335</x:v>
      </x:c>
      <x:c r="AL123" s="49"/>
      <x:c r="AM123" s="49"/>
      <x:c r="AN123" s="36" t="n">
        <x:v>1</x:v>
      </x:c>
      <x:c r="AO123" s="45" t="b">
        <x:v>1</x:v>
      </x:c>
      <x:c r="AP123" s="45" t="b">
        <x:v>1</x:v>
      </x:c>
      <x:c r="AQ123" s="46" t="n">
        <x:f>IF(T123="","",T123/'Readme-Protocol'!$B$24)</x:f>
        <x:v>5.002729889</x:v>
      </x:c>
      <x:c r="AR123" s="46" t="n">
        <x:f>IF(OR(S123="",S123=0),"",T123/S123)</x:f>
        <x:v>1.0005459778</x:v>
      </x:c>
      <x:c r="AS123" s="46" t="n">
        <x:f>IF(OR(X123="",Y123=""),"",ABS(Y123-X123)*'Readme-Protocol'!$B$27)</x:f>
        <x:v>0.2970951900966412</x:v>
      </x:c>
      <x:c r="AT123" s="49" t="b">
        <x:f>AND(M123&gt;0,N123&gt;=0,O123&gt;0)</x:f>
        <x:v>1</x:v>
      </x:c>
      <x:c r="AU123" s="49" t="b">
        <x:f>AND(AT123,N123&gt;=M123)</x:f>
        <x:v>1</x:v>
      </x:c>
      <x:c r="AV123" s="49" t="b">
        <x:f>OR(S123=0,T123&gt;=S123)</x:f>
        <x:v>1</x:v>
      </x:c>
      <x:c r="AW123" s="49" t="b">
        <x:f>IF(I123="cache-semantics",OR(V123&lt;&gt;"uniform",ABS(Y123-W123/'Readme-Protocol'!$B$27)&lt;='Readme-Protocol'!$B$28),TRUE)</x:f>
        <x:v>1</x:v>
      </x:c>
      <x:c r="AX123" s="43" t="n">
        <x:f>IF(I123="cache-semantics",INT(AA123*'Readme-Protocol'!$B$32),"")</x:f>
        <x:v>9900</x:v>
      </x:c>
      <x:c r="AY123" s="49" t="b">
        <x:f>IF(I123="cache-semantics",AX123=AB123,TRUE)</x:f>
        <x:v>1</x:v>
      </x:c>
      <x:c r="AZ123" s="49" t="b">
        <x:f>IF(I123="cache-semantics",AX123=AE123,TRUE)</x:f>
        <x:v>1</x:v>
      </x:c>
      <x:c r="BA123" s="49" t="b">
        <x:f>IF(I123="cache-semantics",AC123&gt;=AX123,IF(I123="no-store-control",AC123=0,FALSE))</x:f>
        <x:v>1</x:v>
      </x:c>
      <x:c r="BB123" s="49" t="b">
        <x:f>IF(I123="cache-semantics",AG123&gt;=AX123,IF(I123="no-store-control",AG123=0,FALSE))</x:f>
        <x:v>1</x:v>
      </x:c>
      <x:c r="BC123" s="49" t="b">
        <x:f>AND(BA123,BB123)</x:f>
        <x:v>1</x:v>
      </x:c>
      <x:c r="BD123" s="49" t="b">
        <x:f>IF(I123="no-store-control",AND(AC123=0,AG123=0),TRUE)</x:f>
        <x:v>1</x:v>
      </x:c>
      <x:c r="BE123" s="49" t="b">
        <x:f>IF(I123="no-store-control",AK123=0,TRUE)</x:f>
        <x:v>1</x:v>
      </x:c>
      <x:c r="BF123" s="49" t="b">
        <x:f>IF(I123="cache-semantics",AN123=1,TRUE)</x:f>
        <x:v>1</x:v>
      </x:c>
      <x:c r="BG123" s="49" t="b">
        <x:f>IF(I123="cache-semantics",AND(AU123,AV123,Q123,AW123,BC123,BF123),IF(I123="no-store-control",AND(AU123,AV123,Q123,BD123,BE123),FALSE))</x:f>
        <x:v>1</x:v>
      </x:c>
      <x:c r="BH123" s="49" t="b">
        <x:f>AND(R123,AT123=P123,AU123=L123,AV123=U123,AY123,AZ123,IF(I123="cache-semantics",AND(AW123=Z123,AND(BA123=AD123,BB123=AH123,BC123=AI123),BF123=AO123),IF(I123="no-store-control",AND(AND(BA123=AD123,BB123=AH123,BC123=AI123),BD123=AJ123,BE123=AL123),FALSE)),BG123=AP123)</x:f>
        <x:v>1</x:v>
      </x:c>
      <x:c r="BI123" s="49" t="b">
        <x:f>AND(J123,K123,BG123)</x:f>
        <x:v>1</x:v>
      </x:c>
    </x:row>
    <x:row r="124">
      <x:c r="A124" s="34" t="str">
        <x:v>article1-unified-v4-2-fb3f101b-20260903-000401-default-f03-p1-cache2k</x:v>
      </x:c>
      <x:c r="B124" s="34" t="str">
        <x:v>default</x:v>
      </x:c>
      <x:c r="C124" s="34" t="str">
        <x:v>cache2k</x:v>
      </x:c>
      <x:c r="D124" s="36" t="n">
        <x:v>3</x:v>
      </x:c>
      <x:c r="E124" s="36" t="n">
        <x:v>3</x:v>
      </x:c>
      <x:c r="F124" s="36" t="n">
        <x:v>1</x:v>
      </x:c>
      <x:c r="G124" s="36" t="n">
        <x:v>2</x:v>
      </x:c>
      <x:c r="H124" s="34" t="str">
        <x:v>initial</x:v>
      </x:c>
      <x:c r="I124" s="34" t="str">
        <x:v>cache-semantics</x:v>
      </x:c>
      <x:c r="J124" s="45" t="b">
        <x:v>1</x:v>
      </x:c>
      <x:c r="K124" s="45" t="b">
        <x:v>1</x:v>
      </x:c>
      <x:c r="L124" s="45" t="b">
        <x:v>1</x:v>
      </x:c>
      <x:c r="M124" s="43" t="n">
        <x:v>400000</x:v>
      </x:c>
      <x:c r="N124" s="43" t="n">
        <x:v>143145216</x:v>
      </x:c>
      <x:c r="O124" s="43" t="n">
        <x:v>28613170.850362178</x:v>
      </x:c>
      <x:c r="P124" s="45" t="b">
        <x:v>1</x:v>
      </x:c>
      <x:c r="Q124" s="45" t="b">
        <x:v>1</x:v>
      </x:c>
      <x:c r="R124" s="45" t="b">
        <x:v>1</x:v>
      </x:c>
      <x:c r="S124" s="43" t="n">
        <x:v>5000000000</x:v>
      </x:c>
      <x:c r="T124" s="43" t="n">
        <x:v>5002773609</x:v>
      </x:c>
      <x:c r="U124" s="45" t="b">
        <x:v>1</x:v>
      </x:c>
      <x:c r="V124" s="34" t="str">
        <x:v>uniform</x:v>
      </x:c>
      <x:c r="W124" s="42" t="n">
        <x:v>95</x:v>
      </x:c>
      <x:c r="X124" s="48" t="n">
        <x:v>0.95</x:v>
      </x:c>
      <x:c r="Y124" s="48" t="n">
        <x:v>0.9480462553495326</x:v>
      </x:c>
      <x:c r="Z124" s="45" t="b">
        <x:v>1</x:v>
      </x:c>
      <x:c r="AA124" s="43" t="n">
        <x:v>10000</x:v>
      </x:c>
      <x:c r="AB124" s="43" t="n">
        <x:v>9900</x:v>
      </x:c>
      <x:c r="AC124" s="43" t="n">
        <x:v>9979</x:v>
      </x:c>
      <x:c r="AD124" s="45" t="b">
        <x:v>1</x:v>
      </x:c>
      <x:c r="AE124" s="43" t="n">
        <x:v>9900</x:v>
      </x:c>
      <x:c r="AF124" s="43"/>
      <x:c r="AG124" s="43" t="n">
        <x:v>9996</x:v>
      </x:c>
      <x:c r="AH124" s="45" t="b">
        <x:v>1</x:v>
      </x:c>
      <x:c r="AI124" s="45" t="b">
        <x:v>1</x:v>
      </x:c>
      <x:c r="AJ124" s="49"/>
      <x:c r="AK124" s="48" t="n">
        <x:v>0.9480462553495326</x:v>
      </x:c>
      <x:c r="AL124" s="49"/>
      <x:c r="AM124" s="49"/>
      <x:c r="AN124" s="36" t="n">
        <x:v>1</x:v>
      </x:c>
      <x:c r="AO124" s="45" t="b">
        <x:v>1</x:v>
      </x:c>
      <x:c r="AP124" s="45" t="b">
        <x:v>1</x:v>
      </x:c>
      <x:c r="AQ124" s="46" t="n">
        <x:f>IF(T124="","",T124/'Readme-Protocol'!$B$24)</x:f>
        <x:v>5.002773609</x:v>
      </x:c>
      <x:c r="AR124" s="46" t="n">
        <x:f>IF(OR(S124="",S124=0),"",T124/S124)</x:f>
        <x:v>1.0005547218</x:v>
      </x:c>
      <x:c r="AS124" s="46" t="n">
        <x:f>IF(OR(X124="",Y124=""),"",ABS(Y124-X124)*'Readme-Protocol'!$B$27)</x:f>
        <x:v>0.19537446504673817</x:v>
      </x:c>
      <x:c r="AT124" s="49" t="b">
        <x:f>AND(M124&gt;0,N124&gt;=0,O124&gt;0)</x:f>
        <x:v>1</x:v>
      </x:c>
      <x:c r="AU124" s="49" t="b">
        <x:f>AND(AT124,N124&gt;=M124)</x:f>
        <x:v>1</x:v>
      </x:c>
      <x:c r="AV124" s="49" t="b">
        <x:f>OR(S124=0,T124&gt;=S124)</x:f>
        <x:v>1</x:v>
      </x:c>
      <x:c r="AW124" s="49" t="b">
        <x:f>IF(I124="cache-semantics",OR(V124&lt;&gt;"uniform",ABS(Y124-W124/'Readme-Protocol'!$B$27)&lt;='Readme-Protocol'!$B$28),TRUE)</x:f>
        <x:v>1</x:v>
      </x:c>
      <x:c r="AX124" s="43" t="n">
        <x:f>IF(I124="cache-semantics",INT(AA124*'Readme-Protocol'!$B$32),"")</x:f>
        <x:v>9900</x:v>
      </x:c>
      <x:c r="AY124" s="49" t="b">
        <x:f>IF(I124="cache-semantics",AX124=AB124,TRUE)</x:f>
        <x:v>1</x:v>
      </x:c>
      <x:c r="AZ124" s="49" t="b">
        <x:f>IF(I124="cache-semantics",AX124=AE124,TRUE)</x:f>
        <x:v>1</x:v>
      </x:c>
      <x:c r="BA124" s="49" t="b">
        <x:f>IF(I124="cache-semantics",AC124&gt;=AX124,IF(I124="no-store-control",AC124=0,FALSE))</x:f>
        <x:v>1</x:v>
      </x:c>
      <x:c r="BB124" s="49" t="b">
        <x:f>IF(I124="cache-semantics",AG124&gt;=AX124,IF(I124="no-store-control",AG124=0,FALSE))</x:f>
        <x:v>1</x:v>
      </x:c>
      <x:c r="BC124" s="49" t="b">
        <x:f>AND(BA124,BB124)</x:f>
        <x:v>1</x:v>
      </x:c>
      <x:c r="BD124" s="49" t="b">
        <x:f>IF(I124="no-store-control",AND(AC124=0,AG124=0),TRUE)</x:f>
        <x:v>1</x:v>
      </x:c>
      <x:c r="BE124" s="49" t="b">
        <x:f>IF(I124="no-store-control",AK124=0,TRUE)</x:f>
        <x:v>1</x:v>
      </x:c>
      <x:c r="BF124" s="49" t="b">
        <x:f>IF(I124="cache-semantics",AN124=1,TRUE)</x:f>
        <x:v>1</x:v>
      </x:c>
      <x:c r="BG124" s="49" t="b">
        <x:f>IF(I124="cache-semantics",AND(AU124,AV124,Q124,AW124,BC124,BF124),IF(I124="no-store-control",AND(AU124,AV124,Q124,BD124,BE124),FALSE))</x:f>
        <x:v>1</x:v>
      </x:c>
      <x:c r="BH124" s="49" t="b">
        <x:f>AND(R124,AT124=P124,AU124=L124,AV124=U124,AY124,AZ124,IF(I124="cache-semantics",AND(AW124=Z124,AND(BA124=AD124,BB124=AH124,BC124=AI124),BF124=AO124),IF(I124="no-store-control",AND(AND(BA124=AD124,BB124=AH124,BC124=AI124),BD124=AJ124,BE124=AL124),FALSE)),BG124=AP124)</x:f>
        <x:v>1</x:v>
      </x:c>
      <x:c r="BI124" s="49" t="b">
        <x:f>AND(J124,K124,BG124)</x:f>
        <x:v>1</x:v>
      </x:c>
    </x:row>
    <x:row r="125">
      <x:c r="A125" s="34" t="str">
        <x:v>article1-unified-v4-2-fb3f101b-20260903-000401-default-f03-p1-cache2k</x:v>
      </x:c>
      <x:c r="B125" s="34" t="str">
        <x:v>default</x:v>
      </x:c>
      <x:c r="C125" s="34" t="str">
        <x:v>cache2k</x:v>
      </x:c>
      <x:c r="D125" s="36" t="n">
        <x:v>3</x:v>
      </x:c>
      <x:c r="E125" s="36" t="n">
        <x:v>3</x:v>
      </x:c>
      <x:c r="F125" s="36" t="n">
        <x:v>1</x:v>
      </x:c>
      <x:c r="G125" s="36" t="n">
        <x:v>2</x:v>
      </x:c>
      <x:c r="H125" s="34" t="str">
        <x:v>redeploy</x:v>
      </x:c>
      <x:c r="I125" s="34" t="str">
        <x:v>cache-semantics</x:v>
      </x:c>
      <x:c r="J125" s="45" t="b">
        <x:v>1</x:v>
      </x:c>
      <x:c r="K125" s="45" t="b">
        <x:v>1</x:v>
      </x:c>
      <x:c r="L125" s="45" t="b">
        <x:v>1</x:v>
      </x:c>
      <x:c r="M125" s="43" t="n">
        <x:v>400000</x:v>
      </x:c>
      <x:c r="N125" s="43" t="n">
        <x:v>155525376</x:v>
      </x:c>
      <x:c r="O125" s="43" t="n">
        <x:v>31082143.0932144</x:v>
      </x:c>
      <x:c r="P125" s="45" t="b">
        <x:v>1</x:v>
      </x:c>
      <x:c r="Q125" s="45" t="b">
        <x:v>1</x:v>
      </x:c>
      <x:c r="R125" s="45" t="b">
        <x:v>1</x:v>
      </x:c>
      <x:c r="S125" s="43" t="n">
        <x:v>5000000000</x:v>
      </x:c>
      <x:c r="T125" s="43" t="n">
        <x:v>5003688952</x:v>
      </x:c>
      <x:c r="U125" s="45" t="b">
        <x:v>1</x:v>
      </x:c>
      <x:c r="V125" s="34" t="str">
        <x:v>uniform</x:v>
      </x:c>
      <x:c r="W125" s="42" t="n">
        <x:v>95</x:v>
      </x:c>
      <x:c r="X125" s="48" t="n">
        <x:v>0.95</x:v>
      </x:c>
      <x:c r="Y125" s="48" t="n">
        <x:v>0.948033612212582</x:v>
      </x:c>
      <x:c r="Z125" s="45" t="b">
        <x:v>1</x:v>
      </x:c>
      <x:c r="AA125" s="43" t="n">
        <x:v>10000</x:v>
      </x:c>
      <x:c r="AB125" s="43" t="n">
        <x:v>9900</x:v>
      </x:c>
      <x:c r="AC125" s="43" t="n">
        <x:v>9979</x:v>
      </x:c>
      <x:c r="AD125" s="45" t="b">
        <x:v>1</x:v>
      </x:c>
      <x:c r="AE125" s="43" t="n">
        <x:v>9900</x:v>
      </x:c>
      <x:c r="AF125" s="43"/>
      <x:c r="AG125" s="43" t="n">
        <x:v>9990</x:v>
      </x:c>
      <x:c r="AH125" s="45" t="b">
        <x:v>1</x:v>
      </x:c>
      <x:c r="AI125" s="45" t="b">
        <x:v>1</x:v>
      </x:c>
      <x:c r="AJ125" s="49"/>
      <x:c r="AK125" s="48" t="n">
        <x:v>0.948033612212582</x:v>
      </x:c>
      <x:c r="AL125" s="49"/>
      <x:c r="AM125" s="49"/>
      <x:c r="AN125" s="36" t="n">
        <x:v>1</x:v>
      </x:c>
      <x:c r="AO125" s="45" t="b">
        <x:v>1</x:v>
      </x:c>
      <x:c r="AP125" s="45" t="b">
        <x:v>1</x:v>
      </x:c>
      <x:c r="AQ125" s="46" t="n">
        <x:f>IF(T125="","",T125/'Readme-Protocol'!$B$24)</x:f>
        <x:v>5.003688952</x:v>
      </x:c>
      <x:c r="AR125" s="46" t="n">
        <x:f>IF(OR(S125="",S125=0),"",T125/S125)</x:f>
        <x:v>1.0007377904</x:v>
      </x:c>
      <x:c r="AS125" s="46" t="n">
        <x:f>IF(OR(X125="",Y125=""),"",ABS(Y125-X125)*'Readme-Protocol'!$B$27)</x:f>
        <x:v>0.1966387787417978</x:v>
      </x:c>
      <x:c r="AT125" s="49" t="b">
        <x:f>AND(M125&gt;0,N125&gt;=0,O125&gt;0)</x:f>
        <x:v>1</x:v>
      </x:c>
      <x:c r="AU125" s="49" t="b">
        <x:f>AND(AT125,N125&gt;=M125)</x:f>
        <x:v>1</x:v>
      </x:c>
      <x:c r="AV125" s="49" t="b">
        <x:f>OR(S125=0,T125&gt;=S125)</x:f>
        <x:v>1</x:v>
      </x:c>
      <x:c r="AW125" s="49" t="b">
        <x:f>IF(I125="cache-semantics",OR(V125&lt;&gt;"uniform",ABS(Y125-W125/'Readme-Protocol'!$B$27)&lt;='Readme-Protocol'!$B$28),TRUE)</x:f>
        <x:v>1</x:v>
      </x:c>
      <x:c r="AX125" s="43" t="n">
        <x:f>IF(I125="cache-semantics",INT(AA125*'Readme-Protocol'!$B$32),"")</x:f>
        <x:v>9900</x:v>
      </x:c>
      <x:c r="AY125" s="49" t="b">
        <x:f>IF(I125="cache-semantics",AX125=AB125,TRUE)</x:f>
        <x:v>1</x:v>
      </x:c>
      <x:c r="AZ125" s="49" t="b">
        <x:f>IF(I125="cache-semantics",AX125=AE125,TRUE)</x:f>
        <x:v>1</x:v>
      </x:c>
      <x:c r="BA125" s="49" t="b">
        <x:f>IF(I125="cache-semantics",AC125&gt;=AX125,IF(I125="no-store-control",AC125=0,FALSE))</x:f>
        <x:v>1</x:v>
      </x:c>
      <x:c r="BB125" s="49" t="b">
        <x:f>IF(I125="cache-semantics",AG125&gt;=AX125,IF(I125="no-store-control",AG125=0,FALSE))</x:f>
        <x:v>1</x:v>
      </x:c>
      <x:c r="BC125" s="49" t="b">
        <x:f>AND(BA125,BB125)</x:f>
        <x:v>1</x:v>
      </x:c>
      <x:c r="BD125" s="49" t="b">
        <x:f>IF(I125="no-store-control",AND(AC125=0,AG125=0),TRUE)</x:f>
        <x:v>1</x:v>
      </x:c>
      <x:c r="BE125" s="49" t="b">
        <x:f>IF(I125="no-store-control",AK125=0,TRUE)</x:f>
        <x:v>1</x:v>
      </x:c>
      <x:c r="BF125" s="49" t="b">
        <x:f>IF(I125="cache-semantics",AN125=1,TRUE)</x:f>
        <x:v>1</x:v>
      </x:c>
      <x:c r="BG125" s="49" t="b">
        <x:f>IF(I125="cache-semantics",AND(AU125,AV125,Q125,AW125,BC125,BF125),IF(I125="no-store-control",AND(AU125,AV125,Q125,BD125,BE125),FALSE))</x:f>
        <x:v>1</x:v>
      </x:c>
      <x:c r="BH125" s="49" t="b">
        <x:f>AND(R125,AT125=P125,AU125=L125,AV125=U125,AY125,AZ125,IF(I125="cache-semantics",AND(AW125=Z125,AND(BA125=AD125,BB125=AH125,BC125=AI125),BF125=AO125),IF(I125="no-store-control",AND(AND(BA125=AD125,BB125=AH125,BC125=AI125),BD125=AJ125,BE125=AL125),FALSE)),BG125=AP125)</x:f>
        <x:v>1</x:v>
      </x:c>
      <x:c r="BI125" s="49" t="b">
        <x:f>AND(J125,K125,BG125)</x:f>
        <x:v>1</x:v>
      </x:c>
    </x:row>
    <x:row r="126">
      <x:c r="A126" s="34" t="str">
        <x:v>article1-unified-v4-2-fb3f101b-20260903-000401-default-f03-p1-cache2k</x:v>
      </x:c>
      <x:c r="B126" s="34" t="str">
        <x:v>default</x:v>
      </x:c>
      <x:c r="C126" s="34" t="str">
        <x:v>cache2k</x:v>
      </x:c>
      <x:c r="D126" s="36" t="n">
        <x:v>3</x:v>
      </x:c>
      <x:c r="E126" s="36" t="n">
        <x:v>3</x:v>
      </x:c>
      <x:c r="F126" s="36" t="n">
        <x:v>1</x:v>
      </x:c>
      <x:c r="G126" s="36" t="n">
        <x:v>3</x:v>
      </x:c>
      <x:c r="H126" s="34" t="str">
        <x:v>initial</x:v>
      </x:c>
      <x:c r="I126" s="34" t="str">
        <x:v>cache-semantics</x:v>
      </x:c>
      <x:c r="J126" s="45" t="b">
        <x:v>1</x:v>
      </x:c>
      <x:c r="K126" s="45" t="b">
        <x:v>1</x:v>
      </x:c>
      <x:c r="L126" s="45" t="b">
        <x:v>1</x:v>
      </x:c>
      <x:c r="M126" s="43" t="n">
        <x:v>400000</x:v>
      </x:c>
      <x:c r="N126" s="43" t="n">
        <x:v>161964032</x:v>
      </x:c>
      <x:c r="O126" s="43" t="n">
        <x:v>32373834.29713918</x:v>
      </x:c>
      <x:c r="P126" s="45" t="b">
        <x:v>1</x:v>
      </x:c>
      <x:c r="Q126" s="45" t="b">
        <x:v>1</x:v>
      </x:c>
      <x:c r="R126" s="45" t="b">
        <x:v>1</x:v>
      </x:c>
      <x:c r="S126" s="43" t="n">
        <x:v>5000000000</x:v>
      </x:c>
      <x:c r="T126" s="43" t="n">
        <x:v>5002930160</x:v>
      </x:c>
      <x:c r="U126" s="45" t="b">
        <x:v>1</x:v>
      </x:c>
      <x:c r="V126" s="34" t="str">
        <x:v>uniform</x:v>
      </x:c>
      <x:c r="W126" s="42" t="n">
        <x:v>95</x:v>
      </x:c>
      <x:c r="X126" s="48" t="n">
        <x:v>0.95</x:v>
      </x:c>
      <x:c r="Y126" s="48" t="n">
        <x:v>0.9480567450926388</x:v>
      </x:c>
      <x:c r="Z126" s="45" t="b">
        <x:v>1</x:v>
      </x:c>
      <x:c r="AA126" s="43" t="n">
        <x:v>10000</x:v>
      </x:c>
      <x:c r="AB126" s="43" t="n">
        <x:v>9900</x:v>
      </x:c>
      <x:c r="AC126" s="43" t="n">
        <x:v>9979</x:v>
      </x:c>
      <x:c r="AD126" s="45" t="b">
        <x:v>1</x:v>
      </x:c>
      <x:c r="AE126" s="43" t="n">
        <x:v>9900</x:v>
      </x:c>
      <x:c r="AF126" s="43"/>
      <x:c r="AG126" s="43" t="n">
        <x:v>9995</x:v>
      </x:c>
      <x:c r="AH126" s="45" t="b">
        <x:v>1</x:v>
      </x:c>
      <x:c r="AI126" s="45" t="b">
        <x:v>1</x:v>
      </x:c>
      <x:c r="AJ126" s="49"/>
      <x:c r="AK126" s="48" t="n">
        <x:v>0.9480567450926388</x:v>
      </x:c>
      <x:c r="AL126" s="49"/>
      <x:c r="AM126" s="49"/>
      <x:c r="AN126" s="36" t="n">
        <x:v>1</x:v>
      </x:c>
      <x:c r="AO126" s="45" t="b">
        <x:v>1</x:v>
      </x:c>
      <x:c r="AP126" s="45" t="b">
        <x:v>1</x:v>
      </x:c>
      <x:c r="AQ126" s="46" t="n">
        <x:f>IF(T126="","",T126/'Readme-Protocol'!$B$24)</x:f>
        <x:v>5.00293016</x:v>
      </x:c>
      <x:c r="AR126" s="46" t="n">
        <x:f>IF(OR(S126="",S126=0),"",T126/S126)</x:f>
        <x:v>1.000586032</x:v>
      </x:c>
      <x:c r="AS126" s="46" t="n">
        <x:f>IF(OR(X126="",Y126=""),"",ABS(Y126-X126)*'Readme-Protocol'!$B$27)</x:f>
        <x:v>0.1943254907361136</x:v>
      </x:c>
      <x:c r="AT126" s="49" t="b">
        <x:f>AND(M126&gt;0,N126&gt;=0,O126&gt;0)</x:f>
        <x:v>1</x:v>
      </x:c>
      <x:c r="AU126" s="49" t="b">
        <x:f>AND(AT126,N126&gt;=M126)</x:f>
        <x:v>1</x:v>
      </x:c>
      <x:c r="AV126" s="49" t="b">
        <x:f>OR(S126=0,T126&gt;=S126)</x:f>
        <x:v>1</x:v>
      </x:c>
      <x:c r="AW126" s="49" t="b">
        <x:f>IF(I126="cache-semantics",OR(V126&lt;&gt;"uniform",ABS(Y126-W126/'Readme-Protocol'!$B$27)&lt;='Readme-Protocol'!$B$28),TRUE)</x:f>
        <x:v>1</x:v>
      </x:c>
      <x:c r="AX126" s="43" t="n">
        <x:f>IF(I126="cache-semantics",INT(AA126*'Readme-Protocol'!$B$32),"")</x:f>
        <x:v>9900</x:v>
      </x:c>
      <x:c r="AY126" s="49" t="b">
        <x:f>IF(I126="cache-semantics",AX126=AB126,TRUE)</x:f>
        <x:v>1</x:v>
      </x:c>
      <x:c r="AZ126" s="49" t="b">
        <x:f>IF(I126="cache-semantics",AX126=AE126,TRUE)</x:f>
        <x:v>1</x:v>
      </x:c>
      <x:c r="BA126" s="49" t="b">
        <x:f>IF(I126="cache-semantics",AC126&gt;=AX126,IF(I126="no-store-control",AC126=0,FALSE))</x:f>
        <x:v>1</x:v>
      </x:c>
      <x:c r="BB126" s="49" t="b">
        <x:f>IF(I126="cache-semantics",AG126&gt;=AX126,IF(I126="no-store-control",AG126=0,FALSE))</x:f>
        <x:v>1</x:v>
      </x:c>
      <x:c r="BC126" s="49" t="b">
        <x:f>AND(BA126,BB126)</x:f>
        <x:v>1</x:v>
      </x:c>
      <x:c r="BD126" s="49" t="b">
        <x:f>IF(I126="no-store-control",AND(AC126=0,AG126=0),TRUE)</x:f>
        <x:v>1</x:v>
      </x:c>
      <x:c r="BE126" s="49" t="b">
        <x:f>IF(I126="no-store-control",AK126=0,TRUE)</x:f>
        <x:v>1</x:v>
      </x:c>
      <x:c r="BF126" s="49" t="b">
        <x:f>IF(I126="cache-semantics",AN126=1,TRUE)</x:f>
        <x:v>1</x:v>
      </x:c>
      <x:c r="BG126" s="49" t="b">
        <x:f>IF(I126="cache-semantics",AND(AU126,AV126,Q126,AW126,BC126,BF126),IF(I126="no-store-control",AND(AU126,AV126,Q126,BD126,BE126),FALSE))</x:f>
        <x:v>1</x:v>
      </x:c>
      <x:c r="BH126" s="49" t="b">
        <x:f>AND(R126,AT126=P126,AU126=L126,AV126=U126,AY126,AZ126,IF(I126="cache-semantics",AND(AW126=Z126,AND(BA126=AD126,BB126=AH126,BC126=AI126),BF126=AO126),IF(I126="no-store-control",AND(AND(BA126=AD126,BB126=AH126,BC126=AI126),BD126=AJ126,BE126=AL126),FALSE)),BG126=AP126)</x:f>
        <x:v>1</x:v>
      </x:c>
      <x:c r="BI126" s="49" t="b">
        <x:f>AND(J126,K126,BG126)</x:f>
        <x:v>1</x:v>
      </x:c>
    </x:row>
    <x:row r="127">
      <x:c r="A127" s="34" t="str">
        <x:v>article1-unified-v4-2-fb3f101b-20260903-000401-default-f03-p1-cache2k</x:v>
      </x:c>
      <x:c r="B127" s="34" t="str">
        <x:v>default</x:v>
      </x:c>
      <x:c r="C127" s="34" t="str">
        <x:v>cache2k</x:v>
      </x:c>
      <x:c r="D127" s="36" t="n">
        <x:v>3</x:v>
      </x:c>
      <x:c r="E127" s="36" t="n">
        <x:v>3</x:v>
      </x:c>
      <x:c r="F127" s="36" t="n">
        <x:v>1</x:v>
      </x:c>
      <x:c r="G127" s="36" t="n">
        <x:v>3</x:v>
      </x:c>
      <x:c r="H127" s="34" t="str">
        <x:v>redeploy</x:v>
      </x:c>
      <x:c r="I127" s="34" t="str">
        <x:v>cache-semantics</x:v>
      </x:c>
      <x:c r="J127" s="45" t="b">
        <x:v>1</x:v>
      </x:c>
      <x:c r="K127" s="45" t="b">
        <x:v>1</x:v>
      </x:c>
      <x:c r="L127" s="45" t="b">
        <x:v>1</x:v>
      </x:c>
      <x:c r="M127" s="43" t="n">
        <x:v>400000</x:v>
      </x:c>
      <x:c r="N127" s="43" t="n">
        <x:v>146592000</x:v>
      </x:c>
      <x:c r="O127" s="43" t="n">
        <x:v>29304094.42095868</x:v>
      </x:c>
      <x:c r="P127" s="45" t="b">
        <x:v>1</x:v>
      </x:c>
      <x:c r="Q127" s="45" t="b">
        <x:v>1</x:v>
      </x:c>
      <x:c r="R127" s="45" t="b">
        <x:v>1</x:v>
      </x:c>
      <x:c r="S127" s="43" t="n">
        <x:v>5000000000</x:v>
      </x:c>
      <x:c r="T127" s="43" t="n">
        <x:v>5002440884</x:v>
      </x:c>
      <x:c r="U127" s="45" t="b">
        <x:v>1</x:v>
      </x:c>
      <x:c r="V127" s="34" t="str">
        <x:v>uniform</x:v>
      </x:c>
      <x:c r="W127" s="42" t="n">
        <x:v>95</x:v>
      </x:c>
      <x:c r="X127" s="48" t="n">
        <x:v>0.95</x:v>
      </x:c>
      <x:c r="Y127" s="48" t="n">
        <x:v>0.9480361615913556</x:v>
      </x:c>
      <x:c r="Z127" s="45" t="b">
        <x:v>1</x:v>
      </x:c>
      <x:c r="AA127" s="43" t="n">
        <x:v>10000</x:v>
      </x:c>
      <x:c r="AB127" s="43" t="n">
        <x:v>9900</x:v>
      </x:c>
      <x:c r="AC127" s="43" t="n">
        <x:v>9979</x:v>
      </x:c>
      <x:c r="AD127" s="45" t="b">
        <x:v>1</x:v>
      </x:c>
      <x:c r="AE127" s="43" t="n">
        <x:v>9900</x:v>
      </x:c>
      <x:c r="AF127" s="43"/>
      <x:c r="AG127" s="43" t="n">
        <x:v>9996</x:v>
      </x:c>
      <x:c r="AH127" s="45" t="b">
        <x:v>1</x:v>
      </x:c>
      <x:c r="AI127" s="45" t="b">
        <x:v>1</x:v>
      </x:c>
      <x:c r="AJ127" s="49"/>
      <x:c r="AK127" s="48" t="n">
        <x:v>0.9480361615913556</x:v>
      </x:c>
      <x:c r="AL127" s="49"/>
      <x:c r="AM127" s="49"/>
      <x:c r="AN127" s="36" t="n">
        <x:v>1</x:v>
      </x:c>
      <x:c r="AO127" s="45" t="b">
        <x:v>1</x:v>
      </x:c>
      <x:c r="AP127" s="45" t="b">
        <x:v>1</x:v>
      </x:c>
      <x:c r="AQ127" s="46" t="n">
        <x:f>IF(T127="","",T127/'Readme-Protocol'!$B$24)</x:f>
        <x:v>5.002440884</x:v>
      </x:c>
      <x:c r="AR127" s="46" t="n">
        <x:f>IF(OR(S127="",S127=0),"",T127/S127)</x:f>
        <x:v>1.0004881768</x:v>
      </x:c>
      <x:c r="AS127" s="46" t="n">
        <x:f>IF(OR(X127="",Y127=""),"",ABS(Y127-X127)*'Readme-Protocol'!$B$27)</x:f>
        <x:v>0.1963838408644336</x:v>
      </x:c>
      <x:c r="AT127" s="49" t="b">
        <x:f>AND(M127&gt;0,N127&gt;=0,O127&gt;0)</x:f>
        <x:v>1</x:v>
      </x:c>
      <x:c r="AU127" s="49" t="b">
        <x:f>AND(AT127,N127&gt;=M127)</x:f>
        <x:v>1</x:v>
      </x:c>
      <x:c r="AV127" s="49" t="b">
        <x:f>OR(S127=0,T127&gt;=S127)</x:f>
        <x:v>1</x:v>
      </x:c>
      <x:c r="AW127" s="49" t="b">
        <x:f>IF(I127="cache-semantics",OR(V127&lt;&gt;"uniform",ABS(Y127-W127/'Readme-Protocol'!$B$27)&lt;='Readme-Protocol'!$B$28),TRUE)</x:f>
        <x:v>1</x:v>
      </x:c>
      <x:c r="AX127" s="43" t="n">
        <x:f>IF(I127="cache-semantics",INT(AA127*'Readme-Protocol'!$B$32),"")</x:f>
        <x:v>9900</x:v>
      </x:c>
      <x:c r="AY127" s="49" t="b">
        <x:f>IF(I127="cache-semantics",AX127=AB127,TRUE)</x:f>
        <x:v>1</x:v>
      </x:c>
      <x:c r="AZ127" s="49" t="b">
        <x:f>IF(I127="cache-semantics",AX127=AE127,TRUE)</x:f>
        <x:v>1</x:v>
      </x:c>
      <x:c r="BA127" s="49" t="b">
        <x:f>IF(I127="cache-semantics",AC127&gt;=AX127,IF(I127="no-store-control",AC127=0,FALSE))</x:f>
        <x:v>1</x:v>
      </x:c>
      <x:c r="BB127" s="49" t="b">
        <x:f>IF(I127="cache-semantics",AG127&gt;=AX127,IF(I127="no-store-control",AG127=0,FALSE))</x:f>
        <x:v>1</x:v>
      </x:c>
      <x:c r="BC127" s="49" t="b">
        <x:f>AND(BA127,BB127)</x:f>
        <x:v>1</x:v>
      </x:c>
      <x:c r="BD127" s="49" t="b">
        <x:f>IF(I127="no-store-control",AND(AC127=0,AG127=0),TRUE)</x:f>
        <x:v>1</x:v>
      </x:c>
      <x:c r="BE127" s="49" t="b">
        <x:f>IF(I127="no-store-control",AK127=0,TRUE)</x:f>
        <x:v>1</x:v>
      </x:c>
      <x:c r="BF127" s="49" t="b">
        <x:f>IF(I127="cache-semantics",AN127=1,TRUE)</x:f>
        <x:v>1</x:v>
      </x:c>
      <x:c r="BG127" s="49" t="b">
        <x:f>IF(I127="cache-semantics",AND(AU127,AV127,Q127,AW127,BC127,BF127),IF(I127="no-store-control",AND(AU127,AV127,Q127,BD127,BE127),FALSE))</x:f>
        <x:v>1</x:v>
      </x:c>
      <x:c r="BH127" s="49" t="b">
        <x:f>AND(R127,AT127=P127,AU127=L127,AV127=U127,AY127,AZ127,IF(I127="cache-semantics",AND(AW127=Z127,AND(BA127=AD127,BB127=AH127,BC127=AI127),BF127=AO127),IF(I127="no-store-control",AND(AND(BA127=AD127,BB127=AH127,BC127=AI127),BD127=AJ127,BE127=AL127),FALSE)),BG127=AP127)</x:f>
        <x:v>1</x:v>
      </x:c>
      <x:c r="BI127" s="49" t="b">
        <x:f>AND(J127,K127,BG127)</x:f>
        <x:v>1</x:v>
      </x:c>
    </x:row>
    <x:row r="128">
      <x:c r="A128" s="34" t="str">
        <x:v>article1-unified-v4-2-fb3f101b-20260903-000401-default-f03-p1-cache2k</x:v>
      </x:c>
      <x:c r="B128" s="34" t="str">
        <x:v>default</x:v>
      </x:c>
      <x:c r="C128" s="34" t="str">
        <x:v>cache2k</x:v>
      </x:c>
      <x:c r="D128" s="36" t="n">
        <x:v>3</x:v>
      </x:c>
      <x:c r="E128" s="36" t="n">
        <x:v>3</x:v>
      </x:c>
      <x:c r="F128" s="36" t="n">
        <x:v>1</x:v>
      </x:c>
      <x:c r="G128" s="36" t="n">
        <x:v>4</x:v>
      </x:c>
      <x:c r="H128" s="34" t="str">
        <x:v>initial</x:v>
      </x:c>
      <x:c r="I128" s="34" t="str">
        <x:v>cache-semantics</x:v>
      </x:c>
      <x:c r="J128" s="45" t="b">
        <x:v>1</x:v>
      </x:c>
      <x:c r="K128" s="45" t="b">
        <x:v>1</x:v>
      </x:c>
      <x:c r="L128" s="45" t="b">
        <x:v>1</x:v>
      </x:c>
      <x:c r="M128" s="43" t="n">
        <x:v>400000</x:v>
      </x:c>
      <x:c r="N128" s="43" t="n">
        <x:v>152432640</x:v>
      </x:c>
      <x:c r="O128" s="43" t="n">
        <x:v>30469626.02311881</x:v>
      </x:c>
      <x:c r="P128" s="45" t="b">
        <x:v>1</x:v>
      </x:c>
      <x:c r="Q128" s="45" t="b">
        <x:v>1</x:v>
      </x:c>
      <x:c r="R128" s="45" t="b">
        <x:v>1</x:v>
      </x:c>
      <x:c r="S128" s="43" t="n">
        <x:v>5000000000</x:v>
      </x:c>
      <x:c r="T128" s="43" t="n">
        <x:v>5002773578</x:v>
      </x:c>
      <x:c r="U128" s="45" t="b">
        <x:v>1</x:v>
      </x:c>
      <x:c r="V128" s="34" t="str">
        <x:v>uniform</x:v>
      </x:c>
      <x:c r="W128" s="42" t="n">
        <x:v>95</x:v>
      </x:c>
      <x:c r="X128" s="48" t="n">
        <x:v>0.95</x:v>
      </x:c>
      <x:c r="Y128" s="48" t="n">
        <x:v>0.9483862773747145</x:v>
      </x:c>
      <x:c r="Z128" s="45" t="b">
        <x:v>1</x:v>
      </x:c>
      <x:c r="AA128" s="43" t="n">
        <x:v>10000</x:v>
      </x:c>
      <x:c r="AB128" s="43" t="n">
        <x:v>9900</x:v>
      </x:c>
      <x:c r="AC128" s="43" t="n">
        <x:v>9979</x:v>
      </x:c>
      <x:c r="AD128" s="45" t="b">
        <x:v>1</x:v>
      </x:c>
      <x:c r="AE128" s="43" t="n">
        <x:v>9900</x:v>
      </x:c>
      <x:c r="AF128" s="43"/>
      <x:c r="AG128" s="43" t="n">
        <x:v>9996</x:v>
      </x:c>
      <x:c r="AH128" s="45" t="b">
        <x:v>1</x:v>
      </x:c>
      <x:c r="AI128" s="45" t="b">
        <x:v>1</x:v>
      </x:c>
      <x:c r="AJ128" s="49"/>
      <x:c r="AK128" s="48" t="n">
        <x:v>0.9483862773747145</x:v>
      </x:c>
      <x:c r="AL128" s="49"/>
      <x:c r="AM128" s="49"/>
      <x:c r="AN128" s="36" t="n">
        <x:v>1</x:v>
      </x:c>
      <x:c r="AO128" s="45" t="b">
        <x:v>1</x:v>
      </x:c>
      <x:c r="AP128" s="45" t="b">
        <x:v>1</x:v>
      </x:c>
      <x:c r="AQ128" s="46" t="n">
        <x:f>IF(T128="","",T128/'Readme-Protocol'!$B$24)</x:f>
        <x:v>5.002773578</x:v>
      </x:c>
      <x:c r="AR128" s="46" t="n">
        <x:f>IF(OR(S128="",S128=0),"",T128/S128)</x:f>
        <x:v>1.0005547156</x:v>
      </x:c>
      <x:c r="AS128" s="46" t="n">
        <x:f>IF(OR(X128="",Y128=""),"",ABS(Y128-X128)*'Readme-Protocol'!$B$27)</x:f>
        <x:v>0.16137226252854742</x:v>
      </x:c>
      <x:c r="AT128" s="49" t="b">
        <x:f>AND(M128&gt;0,N128&gt;=0,O128&gt;0)</x:f>
        <x:v>1</x:v>
      </x:c>
      <x:c r="AU128" s="49" t="b">
        <x:f>AND(AT128,N128&gt;=M128)</x:f>
        <x:v>1</x:v>
      </x:c>
      <x:c r="AV128" s="49" t="b">
        <x:f>OR(S128=0,T128&gt;=S128)</x:f>
        <x:v>1</x:v>
      </x:c>
      <x:c r="AW128" s="49" t="b">
        <x:f>IF(I128="cache-semantics",OR(V128&lt;&gt;"uniform",ABS(Y128-W128/'Readme-Protocol'!$B$27)&lt;='Readme-Protocol'!$B$28),TRUE)</x:f>
        <x:v>1</x:v>
      </x:c>
      <x:c r="AX128" s="43" t="n">
        <x:f>IF(I128="cache-semantics",INT(AA128*'Readme-Protocol'!$B$32),"")</x:f>
        <x:v>9900</x:v>
      </x:c>
      <x:c r="AY128" s="49" t="b">
        <x:f>IF(I128="cache-semantics",AX128=AB128,TRUE)</x:f>
        <x:v>1</x:v>
      </x:c>
      <x:c r="AZ128" s="49" t="b">
        <x:f>IF(I128="cache-semantics",AX128=AE128,TRUE)</x:f>
        <x:v>1</x:v>
      </x:c>
      <x:c r="BA128" s="49" t="b">
        <x:f>IF(I128="cache-semantics",AC128&gt;=AX128,IF(I128="no-store-control",AC128=0,FALSE))</x:f>
        <x:v>1</x:v>
      </x:c>
      <x:c r="BB128" s="49" t="b">
        <x:f>IF(I128="cache-semantics",AG128&gt;=AX128,IF(I128="no-store-control",AG128=0,FALSE))</x:f>
        <x:v>1</x:v>
      </x:c>
      <x:c r="BC128" s="49" t="b">
        <x:f>AND(BA128,BB128)</x:f>
        <x:v>1</x:v>
      </x:c>
      <x:c r="BD128" s="49" t="b">
        <x:f>IF(I128="no-store-control",AND(AC128=0,AG128=0),TRUE)</x:f>
        <x:v>1</x:v>
      </x:c>
      <x:c r="BE128" s="49" t="b">
        <x:f>IF(I128="no-store-control",AK128=0,TRUE)</x:f>
        <x:v>1</x:v>
      </x:c>
      <x:c r="BF128" s="49" t="b">
        <x:f>IF(I128="cache-semantics",AN128=1,TRUE)</x:f>
        <x:v>1</x:v>
      </x:c>
      <x:c r="BG128" s="49" t="b">
        <x:f>IF(I128="cache-semantics",AND(AU128,AV128,Q128,AW128,BC128,BF128),IF(I128="no-store-control",AND(AU128,AV128,Q128,BD128,BE128),FALSE))</x:f>
        <x:v>1</x:v>
      </x:c>
      <x:c r="BH128" s="49" t="b">
        <x:f>AND(R128,AT128=P128,AU128=L128,AV128=U128,AY128,AZ128,IF(I128="cache-semantics",AND(AW128=Z128,AND(BA128=AD128,BB128=AH128,BC128=AI128),BF128=AO128),IF(I128="no-store-control",AND(AND(BA128=AD128,BB128=AH128,BC128=AI128),BD128=AJ128,BE128=AL128),FALSE)),BG128=AP128)</x:f>
        <x:v>1</x:v>
      </x:c>
      <x:c r="BI128" s="49" t="b">
        <x:f>AND(J128,K128,BG128)</x:f>
        <x:v>1</x:v>
      </x:c>
    </x:row>
    <x:row r="129">
      <x:c r="A129" s="34" t="str">
        <x:v>article1-unified-v4-2-fb3f101b-20260903-000401-default-f03-p1-cache2k</x:v>
      </x:c>
      <x:c r="B129" s="34" t="str">
        <x:v>default</x:v>
      </x:c>
      <x:c r="C129" s="34" t="str">
        <x:v>cache2k</x:v>
      </x:c>
      <x:c r="D129" s="36" t="n">
        <x:v>3</x:v>
      </x:c>
      <x:c r="E129" s="36" t="n">
        <x:v>3</x:v>
      </x:c>
      <x:c r="F129" s="36" t="n">
        <x:v>1</x:v>
      </x:c>
      <x:c r="G129" s="36" t="n">
        <x:v>4</x:v>
      </x:c>
      <x:c r="H129" s="34" t="str">
        <x:v>redeploy</x:v>
      </x:c>
      <x:c r="I129" s="34" t="str">
        <x:v>cache-semantics</x:v>
      </x:c>
      <x:c r="J129" s="45" t="b">
        <x:v>1</x:v>
      </x:c>
      <x:c r="K129" s="45" t="b">
        <x:v>1</x:v>
      </x:c>
      <x:c r="L129" s="45" t="b">
        <x:v>1</x:v>
      </x:c>
      <x:c r="M129" s="43" t="n">
        <x:v>400000</x:v>
      </x:c>
      <x:c r="N129" s="43" t="n">
        <x:v>152049408</x:v>
      </x:c>
      <x:c r="O129" s="43" t="n">
        <x:v>30391416.668739725</x:v>
      </x:c>
      <x:c r="P129" s="45" t="b">
        <x:v>1</x:v>
      </x:c>
      <x:c r="Q129" s="45" t="b">
        <x:v>1</x:v>
      </x:c>
      <x:c r="R129" s="45" t="b">
        <x:v>1</x:v>
      </x:c>
      <x:c r="S129" s="43" t="n">
        <x:v>5000000000</x:v>
      </x:c>
      <x:c r="T129" s="43" t="n">
        <x:v>5003037853</x:v>
      </x:c>
      <x:c r="U129" s="45" t="b">
        <x:v>1</x:v>
      </x:c>
      <x:c r="V129" s="34" t="str">
        <x:v>uniform</x:v>
      </x:c>
      <x:c r="W129" s="42" t="n">
        <x:v>95</x:v>
      </x:c>
      <x:c r="X129" s="48" t="n">
        <x:v>0.95</x:v>
      </x:c>
      <x:c r="Y129" s="48" t="n">
        <x:v>0.9484156360543015</x:v>
      </x:c>
      <x:c r="Z129" s="45" t="b">
        <x:v>1</x:v>
      </x:c>
      <x:c r="AA129" s="43" t="n">
        <x:v>10000</x:v>
      </x:c>
      <x:c r="AB129" s="43" t="n">
        <x:v>9900</x:v>
      </x:c>
      <x:c r="AC129" s="43" t="n">
        <x:v>9979</x:v>
      </x:c>
      <x:c r="AD129" s="45" t="b">
        <x:v>1</x:v>
      </x:c>
      <x:c r="AE129" s="43" t="n">
        <x:v>9900</x:v>
      </x:c>
      <x:c r="AF129" s="43"/>
      <x:c r="AG129" s="43" t="n">
        <x:v>9993</x:v>
      </x:c>
      <x:c r="AH129" s="45" t="b">
        <x:v>1</x:v>
      </x:c>
      <x:c r="AI129" s="45" t="b">
        <x:v>1</x:v>
      </x:c>
      <x:c r="AJ129" s="49"/>
      <x:c r="AK129" s="48" t="n">
        <x:v>0.9484156360543015</x:v>
      </x:c>
      <x:c r="AL129" s="49"/>
      <x:c r="AM129" s="49"/>
      <x:c r="AN129" s="36" t="n">
        <x:v>1</x:v>
      </x:c>
      <x:c r="AO129" s="45" t="b">
        <x:v>1</x:v>
      </x:c>
      <x:c r="AP129" s="45" t="b">
        <x:v>1</x:v>
      </x:c>
      <x:c r="AQ129" s="46" t="n">
        <x:f>IF(T129="","",T129/'Readme-Protocol'!$B$24)</x:f>
        <x:v>5.003037853</x:v>
      </x:c>
      <x:c r="AR129" s="46" t="n">
        <x:f>IF(OR(S129="",S129=0),"",T129/S129)</x:f>
        <x:v>1.0006075706</x:v>
      </x:c>
      <x:c r="AS129" s="46" t="n">
        <x:f>IF(OR(X129="",Y129=""),"",ABS(Y129-X129)*'Readme-Protocol'!$B$27)</x:f>
        <x:v>0.1584363945698497</x:v>
      </x:c>
      <x:c r="AT129" s="49" t="b">
        <x:f>AND(M129&gt;0,N129&gt;=0,O129&gt;0)</x:f>
        <x:v>1</x:v>
      </x:c>
      <x:c r="AU129" s="49" t="b">
        <x:f>AND(AT129,N129&gt;=M129)</x:f>
        <x:v>1</x:v>
      </x:c>
      <x:c r="AV129" s="49" t="b">
        <x:f>OR(S129=0,T129&gt;=S129)</x:f>
        <x:v>1</x:v>
      </x:c>
      <x:c r="AW129" s="49" t="b">
        <x:f>IF(I129="cache-semantics",OR(V129&lt;&gt;"uniform",ABS(Y129-W129/'Readme-Protocol'!$B$27)&lt;='Readme-Protocol'!$B$28),TRUE)</x:f>
        <x:v>1</x:v>
      </x:c>
      <x:c r="AX129" s="43" t="n">
        <x:f>IF(I129="cache-semantics",INT(AA129*'Readme-Protocol'!$B$32),"")</x:f>
        <x:v>9900</x:v>
      </x:c>
      <x:c r="AY129" s="49" t="b">
        <x:f>IF(I129="cache-semantics",AX129=AB129,TRUE)</x:f>
        <x:v>1</x:v>
      </x:c>
      <x:c r="AZ129" s="49" t="b">
        <x:f>IF(I129="cache-semantics",AX129=AE129,TRUE)</x:f>
        <x:v>1</x:v>
      </x:c>
      <x:c r="BA129" s="49" t="b">
        <x:f>IF(I129="cache-semantics",AC129&gt;=AX129,IF(I129="no-store-control",AC129=0,FALSE))</x:f>
        <x:v>1</x:v>
      </x:c>
      <x:c r="BB129" s="49" t="b">
        <x:f>IF(I129="cache-semantics",AG129&gt;=AX129,IF(I129="no-store-control",AG129=0,FALSE))</x:f>
        <x:v>1</x:v>
      </x:c>
      <x:c r="BC129" s="49" t="b">
        <x:f>AND(BA129,BB129)</x:f>
        <x:v>1</x:v>
      </x:c>
      <x:c r="BD129" s="49" t="b">
        <x:f>IF(I129="no-store-control",AND(AC129=0,AG129=0),TRUE)</x:f>
        <x:v>1</x:v>
      </x:c>
      <x:c r="BE129" s="49" t="b">
        <x:f>IF(I129="no-store-control",AK129=0,TRUE)</x:f>
        <x:v>1</x:v>
      </x:c>
      <x:c r="BF129" s="49" t="b">
        <x:f>IF(I129="cache-semantics",AN129=1,TRUE)</x:f>
        <x:v>1</x:v>
      </x:c>
      <x:c r="BG129" s="49" t="b">
        <x:f>IF(I129="cache-semantics",AND(AU129,AV129,Q129,AW129,BC129,BF129),IF(I129="no-store-control",AND(AU129,AV129,Q129,BD129,BE129),FALSE))</x:f>
        <x:v>1</x:v>
      </x:c>
      <x:c r="BH129" s="49" t="b">
        <x:f>AND(R129,AT129=P129,AU129=L129,AV129=U129,AY129,AZ129,IF(I129="cache-semantics",AND(AW129=Z129,AND(BA129=AD129,BB129=AH129,BC129=AI129),BF129=AO129),IF(I129="no-store-control",AND(AND(BA129=AD129,BB129=AH129,BC129=AI129),BD129=AJ129,BE129=AL129),FALSE)),BG129=AP129)</x:f>
        <x:v>1</x:v>
      </x:c>
      <x:c r="BI129" s="49" t="b">
        <x:f>AND(J129,K129,BG129)</x:f>
        <x:v>1</x:v>
      </x:c>
    </x:row>
    <x:row r="130">
      <x:c r="A130" s="34" t="str">
        <x:v>article1-unified-v4-2-fb3f101b-20260903-000401-default-f03-p1-cache2k</x:v>
      </x:c>
      <x:c r="B130" s="34" t="str">
        <x:v>default</x:v>
      </x:c>
      <x:c r="C130" s="34" t="str">
        <x:v>cache2k</x:v>
      </x:c>
      <x:c r="D130" s="36" t="n">
        <x:v>3</x:v>
      </x:c>
      <x:c r="E130" s="36" t="n">
        <x:v>3</x:v>
      </x:c>
      <x:c r="F130" s="36" t="n">
        <x:v>1</x:v>
      </x:c>
      <x:c r="G130" s="36" t="n">
        <x:v>5</x:v>
      </x:c>
      <x:c r="H130" s="34" t="str">
        <x:v>initial</x:v>
      </x:c>
      <x:c r="I130" s="34" t="str">
        <x:v>cache-semantics</x:v>
      </x:c>
      <x:c r="J130" s="45" t="b">
        <x:v>1</x:v>
      </x:c>
      <x:c r="K130" s="45" t="b">
        <x:v>1</x:v>
      </x:c>
      <x:c r="L130" s="45" t="b">
        <x:v>1</x:v>
      </x:c>
      <x:c r="M130" s="43" t="n">
        <x:v>400000</x:v>
      </x:c>
      <x:c r="N130" s="43" t="n">
        <x:v>143549440</x:v>
      </x:c>
      <x:c r="O130" s="43" t="n">
        <x:v>28694693.01226229</x:v>
      </x:c>
      <x:c r="P130" s="45" t="b">
        <x:v>1</x:v>
      </x:c>
      <x:c r="Q130" s="45" t="b">
        <x:v>1</x:v>
      </x:c>
      <x:c r="R130" s="45" t="b">
        <x:v>1</x:v>
      </x:c>
      <x:c r="S130" s="43" t="n">
        <x:v>5000000000</x:v>
      </x:c>
      <x:c r="T130" s="43" t="n">
        <x:v>5002647700</x:v>
      </x:c>
      <x:c r="U130" s="45" t="b">
        <x:v>1</x:v>
      </x:c>
      <x:c r="V130" s="34" t="str">
        <x:v>uniform</x:v>
      </x:c>
      <x:c r="W130" s="42" t="n">
        <x:v>95</x:v>
      </x:c>
      <x:c r="X130" s="48" t="n">
        <x:v>0.95</x:v>
      </x:c>
      <x:c r="Y130" s="48" t="n">
        <x:v>0.9477101060094696</x:v>
      </x:c>
      <x:c r="Z130" s="45" t="b">
        <x:v>1</x:v>
      </x:c>
      <x:c r="AA130" s="43" t="n">
        <x:v>10000</x:v>
      </x:c>
      <x:c r="AB130" s="43" t="n">
        <x:v>9900</x:v>
      </x:c>
      <x:c r="AC130" s="43" t="n">
        <x:v>9979</x:v>
      </x:c>
      <x:c r="AD130" s="45" t="b">
        <x:v>1</x:v>
      </x:c>
      <x:c r="AE130" s="43" t="n">
        <x:v>9900</x:v>
      </x:c>
      <x:c r="AF130" s="43"/>
      <x:c r="AG130" s="43" t="n">
        <x:v>9996</x:v>
      </x:c>
      <x:c r="AH130" s="45" t="b">
        <x:v>1</x:v>
      </x:c>
      <x:c r="AI130" s="45" t="b">
        <x:v>1</x:v>
      </x:c>
      <x:c r="AJ130" s="49"/>
      <x:c r="AK130" s="48" t="n">
        <x:v>0.9477101060094696</x:v>
      </x:c>
      <x:c r="AL130" s="49"/>
      <x:c r="AM130" s="49"/>
      <x:c r="AN130" s="36" t="n">
        <x:v>1</x:v>
      </x:c>
      <x:c r="AO130" s="45" t="b">
        <x:v>1</x:v>
      </x:c>
      <x:c r="AP130" s="45" t="b">
        <x:v>1</x:v>
      </x:c>
      <x:c r="AQ130" s="46" t="n">
        <x:f>IF(T130="","",T130/'Readme-Protocol'!$B$24)</x:f>
        <x:v>5.0026477</x:v>
      </x:c>
      <x:c r="AR130" s="46" t="n">
        <x:f>IF(OR(S130="",S130=0),"",T130/S130)</x:f>
        <x:v>1.00052954</x:v>
      </x:c>
      <x:c r="AS130" s="46" t="n">
        <x:f>IF(OR(X130="",Y130=""),"",ABS(Y130-X130)*'Readme-Protocol'!$B$27)</x:f>
        <x:v>0.22898939905303672</x:v>
      </x:c>
      <x:c r="AT130" s="49" t="b">
        <x:f>AND(M130&gt;0,N130&gt;=0,O130&gt;0)</x:f>
        <x:v>1</x:v>
      </x:c>
      <x:c r="AU130" s="49" t="b">
        <x:f>AND(AT130,N130&gt;=M130)</x:f>
        <x:v>1</x:v>
      </x:c>
      <x:c r="AV130" s="49" t="b">
        <x:f>OR(S130=0,T130&gt;=S130)</x:f>
        <x:v>1</x:v>
      </x:c>
      <x:c r="AW130" s="49" t="b">
        <x:f>IF(I130="cache-semantics",OR(V130&lt;&gt;"uniform",ABS(Y130-W130/'Readme-Protocol'!$B$27)&lt;='Readme-Protocol'!$B$28),TRUE)</x:f>
        <x:v>1</x:v>
      </x:c>
      <x:c r="AX130" s="43" t="n">
        <x:f>IF(I130="cache-semantics",INT(AA130*'Readme-Protocol'!$B$32),"")</x:f>
        <x:v>9900</x:v>
      </x:c>
      <x:c r="AY130" s="49" t="b">
        <x:f>IF(I130="cache-semantics",AX130=AB130,TRUE)</x:f>
        <x:v>1</x:v>
      </x:c>
      <x:c r="AZ130" s="49" t="b">
        <x:f>IF(I130="cache-semantics",AX130=AE130,TRUE)</x:f>
        <x:v>1</x:v>
      </x:c>
      <x:c r="BA130" s="49" t="b">
        <x:f>IF(I130="cache-semantics",AC130&gt;=AX130,IF(I130="no-store-control",AC130=0,FALSE))</x:f>
        <x:v>1</x:v>
      </x:c>
      <x:c r="BB130" s="49" t="b">
        <x:f>IF(I130="cache-semantics",AG130&gt;=AX130,IF(I130="no-store-control",AG130=0,FALSE))</x:f>
        <x:v>1</x:v>
      </x:c>
      <x:c r="BC130" s="49" t="b">
        <x:f>AND(BA130,BB130)</x:f>
        <x:v>1</x:v>
      </x:c>
      <x:c r="BD130" s="49" t="b">
        <x:f>IF(I130="no-store-control",AND(AC130=0,AG130=0),TRUE)</x:f>
        <x:v>1</x:v>
      </x:c>
      <x:c r="BE130" s="49" t="b">
        <x:f>IF(I130="no-store-control",AK130=0,TRUE)</x:f>
        <x:v>1</x:v>
      </x:c>
      <x:c r="BF130" s="49" t="b">
        <x:f>IF(I130="cache-semantics",AN130=1,TRUE)</x:f>
        <x:v>1</x:v>
      </x:c>
      <x:c r="BG130" s="49" t="b">
        <x:f>IF(I130="cache-semantics",AND(AU130,AV130,Q130,AW130,BC130,BF130),IF(I130="no-store-control",AND(AU130,AV130,Q130,BD130,BE130),FALSE))</x:f>
        <x:v>1</x:v>
      </x:c>
      <x:c r="BH130" s="49" t="b">
        <x:f>AND(R130,AT130=P130,AU130=L130,AV130=U130,AY130,AZ130,IF(I130="cache-semantics",AND(AW130=Z130,AND(BA130=AD130,BB130=AH130,BC130=AI130),BF130=AO130),IF(I130="no-store-control",AND(AND(BA130=AD130,BB130=AH130,BC130=AI130),BD130=AJ130,BE130=AL130),FALSE)),BG130=AP130)</x:f>
        <x:v>1</x:v>
      </x:c>
      <x:c r="BI130" s="49" t="b">
        <x:f>AND(J130,K130,BG130)</x:f>
        <x:v>1</x:v>
      </x:c>
    </x:row>
    <x:row r="131">
      <x:c r="A131" s="34" t="str">
        <x:v>article1-unified-v4-2-fb3f101b-20260903-000401-default-f03-p1-cache2k</x:v>
      </x:c>
      <x:c r="B131" s="34" t="str">
        <x:v>default</x:v>
      </x:c>
      <x:c r="C131" s="34" t="str">
        <x:v>cache2k</x:v>
      </x:c>
      <x:c r="D131" s="36" t="n">
        <x:v>3</x:v>
      </x:c>
      <x:c r="E131" s="36" t="n">
        <x:v>3</x:v>
      </x:c>
      <x:c r="F131" s="36" t="n">
        <x:v>1</x:v>
      </x:c>
      <x:c r="G131" s="36" t="n">
        <x:v>5</x:v>
      </x:c>
      <x:c r="H131" s="34" t="str">
        <x:v>redeploy</x:v>
      </x:c>
      <x:c r="I131" s="34" t="str">
        <x:v>cache-semantics</x:v>
      </x:c>
      <x:c r="J131" s="45" t="b">
        <x:v>1</x:v>
      </x:c>
      <x:c r="K131" s="45" t="b">
        <x:v>1</x:v>
      </x:c>
      <x:c r="L131" s="45" t="b">
        <x:v>1</x:v>
      </x:c>
      <x:c r="M131" s="43" t="n">
        <x:v>400000</x:v>
      </x:c>
      <x:c r="N131" s="43" t="n">
        <x:v>135742720</x:v>
      </x:c>
      <x:c r="O131" s="43" t="n">
        <x:v>27135647.853910115</x:v>
      </x:c>
      <x:c r="P131" s="45" t="b">
        <x:v>1</x:v>
      </x:c>
      <x:c r="Q131" s="45" t="b">
        <x:v>1</x:v>
      </x:c>
      <x:c r="R131" s="45" t="b">
        <x:v>1</x:v>
      </x:c>
      <x:c r="S131" s="43" t="n">
        <x:v>5000000000</x:v>
      </x:c>
      <x:c r="T131" s="43" t="n">
        <x:v>5002376237</x:v>
      </x:c>
      <x:c r="U131" s="45" t="b">
        <x:v>1</x:v>
      </x:c>
      <x:c r="V131" s="34" t="str">
        <x:v>uniform</x:v>
      </x:c>
      <x:c r="W131" s="42" t="n">
        <x:v>95</x:v>
      </x:c>
      <x:c r="X131" s="48" t="n">
        <x:v>0.95</x:v>
      </x:c>
      <x:c r="Y131" s="48" t="n">
        <x:v>0.9477134169699856</x:v>
      </x:c>
      <x:c r="Z131" s="45" t="b">
        <x:v>1</x:v>
      </x:c>
      <x:c r="AA131" s="43" t="n">
        <x:v>10000</x:v>
      </x:c>
      <x:c r="AB131" s="43" t="n">
        <x:v>9900</x:v>
      </x:c>
      <x:c r="AC131" s="43" t="n">
        <x:v>9979</x:v>
      </x:c>
      <x:c r="AD131" s="45" t="b">
        <x:v>1</x:v>
      </x:c>
      <x:c r="AE131" s="43" t="n">
        <x:v>9900</x:v>
      </x:c>
      <x:c r="AF131" s="43"/>
      <x:c r="AG131" s="43" t="n">
        <x:v>9991</x:v>
      </x:c>
      <x:c r="AH131" s="45" t="b">
        <x:v>1</x:v>
      </x:c>
      <x:c r="AI131" s="45" t="b">
        <x:v>1</x:v>
      </x:c>
      <x:c r="AJ131" s="49"/>
      <x:c r="AK131" s="48" t="n">
        <x:v>0.9477134169699856</x:v>
      </x:c>
      <x:c r="AL131" s="49"/>
      <x:c r="AM131" s="49"/>
      <x:c r="AN131" s="36" t="n">
        <x:v>1</x:v>
      </x:c>
      <x:c r="AO131" s="45" t="b">
        <x:v>1</x:v>
      </x:c>
      <x:c r="AP131" s="45" t="b">
        <x:v>1</x:v>
      </x:c>
      <x:c r="AQ131" s="46" t="n">
        <x:f>IF(T131="","",T131/'Readme-Protocol'!$B$24)</x:f>
        <x:v>5.002376237</x:v>
      </x:c>
      <x:c r="AR131" s="46" t="n">
        <x:f>IF(OR(S131="",S131=0),"",T131/S131)</x:f>
        <x:v>1.0004752474</x:v>
      </x:c>
      <x:c r="AS131" s="46" t="n">
        <x:f>IF(OR(X131="",Y131=""),"",ABS(Y131-X131)*'Readme-Protocol'!$B$27)</x:f>
        <x:v>0.22865830300143886</x:v>
      </x:c>
      <x:c r="AT131" s="49" t="b">
        <x:f>AND(M131&gt;0,N131&gt;=0,O131&gt;0)</x:f>
        <x:v>1</x:v>
      </x:c>
      <x:c r="AU131" s="49" t="b">
        <x:f>AND(AT131,N131&gt;=M131)</x:f>
        <x:v>1</x:v>
      </x:c>
      <x:c r="AV131" s="49" t="b">
        <x:f>OR(S131=0,T131&gt;=S131)</x:f>
        <x:v>1</x:v>
      </x:c>
      <x:c r="AW131" s="49" t="b">
        <x:f>IF(I131="cache-semantics",OR(V131&lt;&gt;"uniform",ABS(Y131-W131/'Readme-Protocol'!$B$27)&lt;='Readme-Protocol'!$B$28),TRUE)</x:f>
        <x:v>1</x:v>
      </x:c>
      <x:c r="AX131" s="43" t="n">
        <x:f>IF(I131="cache-semantics",INT(AA131*'Readme-Protocol'!$B$32),"")</x:f>
        <x:v>9900</x:v>
      </x:c>
      <x:c r="AY131" s="49" t="b">
        <x:f>IF(I131="cache-semantics",AX131=AB131,TRUE)</x:f>
        <x:v>1</x:v>
      </x:c>
      <x:c r="AZ131" s="49" t="b">
        <x:f>IF(I131="cache-semantics",AX131=AE131,TRUE)</x:f>
        <x:v>1</x:v>
      </x:c>
      <x:c r="BA131" s="49" t="b">
        <x:f>IF(I131="cache-semantics",AC131&gt;=AX131,IF(I131="no-store-control",AC131=0,FALSE))</x:f>
        <x:v>1</x:v>
      </x:c>
      <x:c r="BB131" s="49" t="b">
        <x:f>IF(I131="cache-semantics",AG131&gt;=AX131,IF(I131="no-store-control",AG131=0,FALSE))</x:f>
        <x:v>1</x:v>
      </x:c>
      <x:c r="BC131" s="49" t="b">
        <x:f>AND(BA131,BB131)</x:f>
        <x:v>1</x:v>
      </x:c>
      <x:c r="BD131" s="49" t="b">
        <x:f>IF(I131="no-store-control",AND(AC131=0,AG131=0),TRUE)</x:f>
        <x:v>1</x:v>
      </x:c>
      <x:c r="BE131" s="49" t="b">
        <x:f>IF(I131="no-store-control",AK131=0,TRUE)</x:f>
        <x:v>1</x:v>
      </x:c>
      <x:c r="BF131" s="49" t="b">
        <x:f>IF(I131="cache-semantics",AN131=1,TRUE)</x:f>
        <x:v>1</x:v>
      </x:c>
      <x:c r="BG131" s="49" t="b">
        <x:f>IF(I131="cache-semantics",AND(AU131,AV131,Q131,AW131,BC131,BF131),IF(I131="no-store-control",AND(AU131,AV131,Q131,BD131,BE131),FALSE))</x:f>
        <x:v>1</x:v>
      </x:c>
      <x:c r="BH131" s="49" t="b">
        <x:f>AND(R131,AT131=P131,AU131=L131,AV131=U131,AY131,AZ131,IF(I131="cache-semantics",AND(AW131=Z131,AND(BA131=AD131,BB131=AH131,BC131=AI131),BF131=AO131),IF(I131="no-store-control",AND(AND(BA131=AD131,BB131=AH131,BC131=AI131),BD131=AJ131,BE131=AL131),FALSE)),BG131=AP131)</x:f>
        <x:v>1</x:v>
      </x:c>
      <x:c r="BI131" s="49" t="b">
        <x:f>AND(J131,K131,BG131)</x:f>
        <x:v>1</x:v>
      </x:c>
    </x:row>
    <x:row r="132">
      <x:c r="A132" s="34" t="str">
        <x:v>article1-unified-v4-2-fb3f101b-20260903-000401-default-f03-p2-jcs4</x:v>
      </x:c>
      <x:c r="B132" s="34" t="str">
        <x:v>default</x:v>
      </x:c>
      <x:c r="C132" s="34" t="str">
        <x:v>jcs4</x:v>
      </x:c>
      <x:c r="D132" s="36" t="n">
        <x:v>3</x:v>
      </x:c>
      <x:c r="E132" s="36" t="n">
        <x:v>3</x:v>
      </x:c>
      <x:c r="F132" s="36" t="n">
        <x:v>2</x:v>
      </x:c>
      <x:c r="G132" s="36" t="n">
        <x:v>1</x:v>
      </x:c>
      <x:c r="H132" s="34" t="str">
        <x:v>initial</x:v>
      </x:c>
      <x:c r="I132" s="34" t="str">
        <x:v>cache-semantics</x:v>
      </x:c>
      <x:c r="J132" s="45" t="b">
        <x:v>1</x:v>
      </x:c>
      <x:c r="K132" s="45" t="b">
        <x:v>1</x:v>
      </x:c>
      <x:c r="L132" s="45" t="b">
        <x:v>1</x:v>
      </x:c>
      <x:c r="M132" s="43" t="n">
        <x:v>400000</x:v>
      </x:c>
      <x:c r="N132" s="43" t="n">
        <x:v>3760896</x:v>
      </x:c>
      <x:c r="O132" s="43" t="n">
        <x:v>751961.8257328721</x:v>
      </x:c>
      <x:c r="P132" s="45" t="b">
        <x:v>1</x:v>
      </x:c>
      <x:c r="Q132" s="45" t="b">
        <x:v>1</x:v>
      </x:c>
      <x:c r="R132" s="45" t="b">
        <x:v>1</x:v>
      </x:c>
      <x:c r="S132" s="43" t="n">
        <x:v>5000000000</x:v>
      </x:c>
      <x:c r="T132" s="43" t="n">
        <x:v>5001445381</x:v>
      </x:c>
      <x:c r="U132" s="45" t="b">
        <x:v>1</x:v>
      </x:c>
      <x:c r="V132" s="34" t="str">
        <x:v>uniform</x:v>
      </x:c>
      <x:c r="W132" s="42" t="n">
        <x:v>95</x:v>
      </x:c>
      <x:c r="X132" s="48" t="n">
        <x:v>0.95</x:v>
      </x:c>
      <x:c r="Y132" s="48" t="n">
        <x:v>0.9489690754543598</x:v>
      </x:c>
      <x:c r="Z132" s="45" t="b">
        <x:v>1</x:v>
      </x:c>
      <x:c r="AA132" s="43" t="n">
        <x:v>10000</x:v>
      </x:c>
      <x:c r="AB132" s="43" t="n">
        <x:v>9900</x:v>
      </x:c>
      <x:c r="AC132" s="43" t="n">
        <x:v>10000</x:v>
      </x:c>
      <x:c r="AD132" s="45" t="b">
        <x:v>1</x:v>
      </x:c>
      <x:c r="AE132" s="43" t="n">
        <x:v>9900</x:v>
      </x:c>
      <x:c r="AF132" s="43"/>
      <x:c r="AG132" s="43" t="n">
        <x:v>10000</x:v>
      </x:c>
      <x:c r="AH132" s="45" t="b">
        <x:v>1</x:v>
      </x:c>
      <x:c r="AI132" s="45" t="b">
        <x:v>1</x:v>
      </x:c>
      <x:c r="AJ132" s="49"/>
      <x:c r="AK132" s="48" t="n">
        <x:v>0.9489690754543598</x:v>
      </x:c>
      <x:c r="AL132" s="49"/>
      <x:c r="AM132" s="49"/>
      <x:c r="AN132" s="36" t="n">
        <x:v>1</x:v>
      </x:c>
      <x:c r="AO132" s="45" t="b">
        <x:v>1</x:v>
      </x:c>
      <x:c r="AP132" s="45" t="b">
        <x:v>1</x:v>
      </x:c>
      <x:c r="AQ132" s="46" t="n">
        <x:f>IF(T132="","",T132/'Readme-Protocol'!$B$24)</x:f>
        <x:v>5.001445381</x:v>
      </x:c>
      <x:c r="AR132" s="46" t="n">
        <x:f>IF(OR(S132="",S132=0),"",T132/S132)</x:f>
        <x:v>1.0002890762</x:v>
      </x:c>
      <x:c r="AS132" s="46" t="n">
        <x:f>IF(OR(X132="",Y132=""),"",ABS(Y132-X132)*'Readme-Protocol'!$B$27)</x:f>
        <x:v>0.10309245456401328</x:v>
      </x:c>
      <x:c r="AT132" s="49" t="b">
        <x:f>AND(M132&gt;0,N132&gt;=0,O132&gt;0)</x:f>
        <x:v>1</x:v>
      </x:c>
      <x:c r="AU132" s="49" t="b">
        <x:f>AND(AT132,N132&gt;=M132)</x:f>
        <x:v>1</x:v>
      </x:c>
      <x:c r="AV132" s="49" t="b">
        <x:f>OR(S132=0,T132&gt;=S132)</x:f>
        <x:v>1</x:v>
      </x:c>
      <x:c r="AW132" s="49" t="b">
        <x:f>IF(I132="cache-semantics",OR(V132&lt;&gt;"uniform",ABS(Y132-W132/'Readme-Protocol'!$B$27)&lt;='Readme-Protocol'!$B$28),TRUE)</x:f>
        <x:v>1</x:v>
      </x:c>
      <x:c r="AX132" s="43" t="n">
        <x:f>IF(I132="cache-semantics",INT(AA132*'Readme-Protocol'!$B$32),"")</x:f>
        <x:v>9900</x:v>
      </x:c>
      <x:c r="AY132" s="49" t="b">
        <x:f>IF(I132="cache-semantics",AX132=AB132,TRUE)</x:f>
        <x:v>1</x:v>
      </x:c>
      <x:c r="AZ132" s="49" t="b">
        <x:f>IF(I132="cache-semantics",AX132=AE132,TRUE)</x:f>
        <x:v>1</x:v>
      </x:c>
      <x:c r="BA132" s="49" t="b">
        <x:f>IF(I132="cache-semantics",AC132&gt;=AX132,IF(I132="no-store-control",AC132=0,FALSE))</x:f>
        <x:v>1</x:v>
      </x:c>
      <x:c r="BB132" s="49" t="b">
        <x:f>IF(I132="cache-semantics",AG132&gt;=AX132,IF(I132="no-store-control",AG132=0,FALSE))</x:f>
        <x:v>1</x:v>
      </x:c>
      <x:c r="BC132" s="49" t="b">
        <x:f>AND(BA132,BB132)</x:f>
        <x:v>1</x:v>
      </x:c>
      <x:c r="BD132" s="49" t="b">
        <x:f>IF(I132="no-store-control",AND(AC132=0,AG132=0),TRUE)</x:f>
        <x:v>1</x:v>
      </x:c>
      <x:c r="BE132" s="49" t="b">
        <x:f>IF(I132="no-store-control",AK132=0,TRUE)</x:f>
        <x:v>1</x:v>
      </x:c>
      <x:c r="BF132" s="49" t="b">
        <x:f>IF(I132="cache-semantics",AN132=1,TRUE)</x:f>
        <x:v>1</x:v>
      </x:c>
      <x:c r="BG132" s="49" t="b">
        <x:f>IF(I132="cache-semantics",AND(AU132,AV132,Q132,AW132,BC132,BF132),IF(I132="no-store-control",AND(AU132,AV132,Q132,BD132,BE132),FALSE))</x:f>
        <x:v>1</x:v>
      </x:c>
      <x:c r="BH132" s="49" t="b">
        <x:f>AND(R132,AT132=P132,AU132=L132,AV132=U132,AY132,AZ132,IF(I132="cache-semantics",AND(AW132=Z132,AND(BA132=AD132,BB132=AH132,BC132=AI132),BF132=AO132),IF(I132="no-store-control",AND(AND(BA132=AD132,BB132=AH132,BC132=AI132),BD132=AJ132,BE132=AL132),FALSE)),BG132=AP132)</x:f>
        <x:v>1</x:v>
      </x:c>
      <x:c r="BI132" s="49" t="b">
        <x:f>AND(J132,K132,BG132)</x:f>
        <x:v>1</x:v>
      </x:c>
    </x:row>
    <x:row r="133">
      <x:c r="A133" s="34" t="str">
        <x:v>article1-unified-v4-2-fb3f101b-20260903-000401-default-f03-p2-jcs4</x:v>
      </x:c>
      <x:c r="B133" s="34" t="str">
        <x:v>default</x:v>
      </x:c>
      <x:c r="C133" s="34" t="str">
        <x:v>jcs4</x:v>
      </x:c>
      <x:c r="D133" s="36" t="n">
        <x:v>3</x:v>
      </x:c>
      <x:c r="E133" s="36" t="n">
        <x:v>3</x:v>
      </x:c>
      <x:c r="F133" s="36" t="n">
        <x:v>2</x:v>
      </x:c>
      <x:c r="G133" s="36" t="n">
        <x:v>1</x:v>
      </x:c>
      <x:c r="H133" s="34" t="str">
        <x:v>redeploy</x:v>
      </x:c>
      <x:c r="I133" s="34" t="str">
        <x:v>cache-semantics</x:v>
      </x:c>
      <x:c r="J133" s="45" t="b">
        <x:v>1</x:v>
      </x:c>
      <x:c r="K133" s="45" t="b">
        <x:v>1</x:v>
      </x:c>
      <x:c r="L133" s="45" t="b">
        <x:v>1</x:v>
      </x:c>
      <x:c r="M133" s="43" t="n">
        <x:v>400000</x:v>
      </x:c>
      <x:c r="N133" s="43" t="n">
        <x:v>4783360</x:v>
      </x:c>
      <x:c r="O133" s="43" t="n">
        <x:v>956218.105640756</x:v>
      </x:c>
      <x:c r="P133" s="45" t="b">
        <x:v>1</x:v>
      </x:c>
      <x:c r="Q133" s="45" t="b">
        <x:v>1</x:v>
      </x:c>
      <x:c r="R133" s="45" t="b">
        <x:v>1</x:v>
      </x:c>
      <x:c r="S133" s="43" t="n">
        <x:v>5000000000</x:v>
      </x:c>
      <x:c r="T133" s="43" t="n">
        <x:v>5002373383</x:v>
      </x:c>
      <x:c r="U133" s="45" t="b">
        <x:v>1</x:v>
      </x:c>
      <x:c r="V133" s="34" t="str">
        <x:v>uniform</x:v>
      </x:c>
      <x:c r="W133" s="42" t="n">
        <x:v>95</x:v>
      </x:c>
      <x:c r="X133" s="48" t="n">
        <x:v>0.95</x:v>
      </x:c>
      <x:c r="Y133" s="48" t="n">
        <x:v>0.9489687165507091</x:v>
      </x:c>
      <x:c r="Z133" s="45" t="b">
        <x:v>1</x:v>
      </x:c>
      <x:c r="AA133" s="43" t="n">
        <x:v>10000</x:v>
      </x:c>
      <x:c r="AB133" s="43" t="n">
        <x:v>9900</x:v>
      </x:c>
      <x:c r="AC133" s="43" t="n">
        <x:v>10000</x:v>
      </x:c>
      <x:c r="AD133" s="45" t="b">
        <x:v>1</x:v>
      </x:c>
      <x:c r="AE133" s="43" t="n">
        <x:v>9900</x:v>
      </x:c>
      <x:c r="AF133" s="43"/>
      <x:c r="AG133" s="43" t="n">
        <x:v>10000</x:v>
      </x:c>
      <x:c r="AH133" s="45" t="b">
        <x:v>1</x:v>
      </x:c>
      <x:c r="AI133" s="45" t="b">
        <x:v>1</x:v>
      </x:c>
      <x:c r="AJ133" s="49"/>
      <x:c r="AK133" s="48" t="n">
        <x:v>0.9489687165507091</x:v>
      </x:c>
      <x:c r="AL133" s="49"/>
      <x:c r="AM133" s="49"/>
      <x:c r="AN133" s="36" t="n">
        <x:v>1</x:v>
      </x:c>
      <x:c r="AO133" s="45" t="b">
        <x:v>1</x:v>
      </x:c>
      <x:c r="AP133" s="45" t="b">
        <x:v>1</x:v>
      </x:c>
      <x:c r="AQ133" s="46" t="n">
        <x:f>IF(T133="","",T133/'Readme-Protocol'!$B$24)</x:f>
        <x:v>5.002373383</x:v>
      </x:c>
      <x:c r="AR133" s="46" t="n">
        <x:f>IF(OR(S133="",S133=0),"",T133/S133)</x:f>
        <x:v>1.0004746766</x:v>
      </x:c>
      <x:c r="AS133" s="46" t="n">
        <x:f>IF(OR(X133="",Y133=""),"",ABS(Y133-X133)*'Readme-Protocol'!$B$27)</x:f>
        <x:v>0.10312834492908207</x:v>
      </x:c>
      <x:c r="AT133" s="49" t="b">
        <x:f>AND(M133&gt;0,N133&gt;=0,O133&gt;0)</x:f>
        <x:v>1</x:v>
      </x:c>
      <x:c r="AU133" s="49" t="b">
        <x:f>AND(AT133,N133&gt;=M133)</x:f>
        <x:v>1</x:v>
      </x:c>
      <x:c r="AV133" s="49" t="b">
        <x:f>OR(S133=0,T133&gt;=S133)</x:f>
        <x:v>1</x:v>
      </x:c>
      <x:c r="AW133" s="49" t="b">
        <x:f>IF(I133="cache-semantics",OR(V133&lt;&gt;"uniform",ABS(Y133-W133/'Readme-Protocol'!$B$27)&lt;='Readme-Protocol'!$B$28),TRUE)</x:f>
        <x:v>1</x:v>
      </x:c>
      <x:c r="AX133" s="43" t="n">
        <x:f>IF(I133="cache-semantics",INT(AA133*'Readme-Protocol'!$B$32),"")</x:f>
        <x:v>9900</x:v>
      </x:c>
      <x:c r="AY133" s="49" t="b">
        <x:f>IF(I133="cache-semantics",AX133=AB133,TRUE)</x:f>
        <x:v>1</x:v>
      </x:c>
      <x:c r="AZ133" s="49" t="b">
        <x:f>IF(I133="cache-semantics",AX133=AE133,TRUE)</x:f>
        <x:v>1</x:v>
      </x:c>
      <x:c r="BA133" s="49" t="b">
        <x:f>IF(I133="cache-semantics",AC133&gt;=AX133,IF(I133="no-store-control",AC133=0,FALSE))</x:f>
        <x:v>1</x:v>
      </x:c>
      <x:c r="BB133" s="49" t="b">
        <x:f>IF(I133="cache-semantics",AG133&gt;=AX133,IF(I133="no-store-control",AG133=0,FALSE))</x:f>
        <x:v>1</x:v>
      </x:c>
      <x:c r="BC133" s="49" t="b">
        <x:f>AND(BA133,BB133)</x:f>
        <x:v>1</x:v>
      </x:c>
      <x:c r="BD133" s="49" t="b">
        <x:f>IF(I133="no-store-control",AND(AC133=0,AG133=0),TRUE)</x:f>
        <x:v>1</x:v>
      </x:c>
      <x:c r="BE133" s="49" t="b">
        <x:f>IF(I133="no-store-control",AK133=0,TRUE)</x:f>
        <x:v>1</x:v>
      </x:c>
      <x:c r="BF133" s="49" t="b">
        <x:f>IF(I133="cache-semantics",AN133=1,TRUE)</x:f>
        <x:v>1</x:v>
      </x:c>
      <x:c r="BG133" s="49" t="b">
        <x:f>IF(I133="cache-semantics",AND(AU133,AV133,Q133,AW133,BC133,BF133),IF(I133="no-store-control",AND(AU133,AV133,Q133,BD133,BE133),FALSE))</x:f>
        <x:v>1</x:v>
      </x:c>
      <x:c r="BH133" s="49" t="b">
        <x:f>AND(R133,AT133=P133,AU133=L133,AV133=U133,AY133,AZ133,IF(I133="cache-semantics",AND(AW133=Z133,AND(BA133=AD133,BB133=AH133,BC133=AI133),BF133=AO133),IF(I133="no-store-control",AND(AND(BA133=AD133,BB133=AH133,BC133=AI133),BD133=AJ133,BE133=AL133),FALSE)),BG133=AP133)</x:f>
        <x:v>1</x:v>
      </x:c>
      <x:c r="BI133" s="49" t="b">
        <x:f>AND(J133,K133,BG133)</x:f>
        <x:v>1</x:v>
      </x:c>
    </x:row>
    <x:row r="134">
      <x:c r="A134" s="34" t="str">
        <x:v>article1-unified-v4-2-fb3f101b-20260903-000401-default-f03-p2-jcs4</x:v>
      </x:c>
      <x:c r="B134" s="34" t="str">
        <x:v>default</x:v>
      </x:c>
      <x:c r="C134" s="34" t="str">
        <x:v>jcs4</x:v>
      </x:c>
      <x:c r="D134" s="36" t="n">
        <x:v>3</x:v>
      </x:c>
      <x:c r="E134" s="36" t="n">
        <x:v>3</x:v>
      </x:c>
      <x:c r="F134" s="36" t="n">
        <x:v>2</x:v>
      </x:c>
      <x:c r="G134" s="36" t="n">
        <x:v>2</x:v>
      </x:c>
      <x:c r="H134" s="34" t="str">
        <x:v>initial</x:v>
      </x:c>
      <x:c r="I134" s="34" t="str">
        <x:v>cache-semantics</x:v>
      </x:c>
      <x:c r="J134" s="45" t="b">
        <x:v>1</x:v>
      </x:c>
      <x:c r="K134" s="45" t="b">
        <x:v>1</x:v>
      </x:c>
      <x:c r="L134" s="45" t="b">
        <x:v>1</x:v>
      </x:c>
      <x:c r="M134" s="43" t="n">
        <x:v>400000</x:v>
      </x:c>
      <x:c r="N134" s="43" t="n">
        <x:v>5260544</x:v>
      </x:c>
      <x:c r="O134" s="43" t="n">
        <x:v>1051697.396381465</x:v>
      </x:c>
      <x:c r="P134" s="45" t="b">
        <x:v>1</x:v>
      </x:c>
      <x:c r="Q134" s="45" t="b">
        <x:v>1</x:v>
      </x:c>
      <x:c r="R134" s="45" t="b">
        <x:v>1</x:v>
      </x:c>
      <x:c r="S134" s="43" t="n">
        <x:v>5000000000</x:v>
      </x:c>
      <x:c r="T134" s="43" t="n">
        <x:v>5001955903</x:v>
      </x:c>
      <x:c r="U134" s="45" t="b">
        <x:v>1</x:v>
      </x:c>
      <x:c r="V134" s="34" t="str">
        <x:v>uniform</x:v>
      </x:c>
      <x:c r="W134" s="42" t="n">
        <x:v>95</x:v>
      </x:c>
      <x:c r="X134" s="48" t="n">
        <x:v>0.95</x:v>
      </x:c>
      <x:c r="Y134" s="48" t="n">
        <x:v>0.9500568762470193</x:v>
      </x:c>
      <x:c r="Z134" s="45" t="b">
        <x:v>1</x:v>
      </x:c>
      <x:c r="AA134" s="43" t="n">
        <x:v>10000</x:v>
      </x:c>
      <x:c r="AB134" s="43" t="n">
        <x:v>9900</x:v>
      </x:c>
      <x:c r="AC134" s="43" t="n">
        <x:v>10000</x:v>
      </x:c>
      <x:c r="AD134" s="45" t="b">
        <x:v>1</x:v>
      </x:c>
      <x:c r="AE134" s="43" t="n">
        <x:v>9900</x:v>
      </x:c>
      <x:c r="AF134" s="43"/>
      <x:c r="AG134" s="43" t="n">
        <x:v>10000</x:v>
      </x:c>
      <x:c r="AH134" s="45" t="b">
        <x:v>1</x:v>
      </x:c>
      <x:c r="AI134" s="45" t="b">
        <x:v>1</x:v>
      </x:c>
      <x:c r="AJ134" s="49"/>
      <x:c r="AK134" s="48" t="n">
        <x:v>0.9500568762470193</x:v>
      </x:c>
      <x:c r="AL134" s="49"/>
      <x:c r="AM134" s="49"/>
      <x:c r="AN134" s="36" t="n">
        <x:v>1</x:v>
      </x:c>
      <x:c r="AO134" s="45" t="b">
        <x:v>1</x:v>
      </x:c>
      <x:c r="AP134" s="45" t="b">
        <x:v>1</x:v>
      </x:c>
      <x:c r="AQ134" s="46" t="n">
        <x:f>IF(T134="","",T134/'Readme-Protocol'!$B$24)</x:f>
        <x:v>5.001955903</x:v>
      </x:c>
      <x:c r="AR134" s="46" t="n">
        <x:f>IF(OR(S134="",S134=0),"",T134/S134)</x:f>
        <x:v>1.0003911806</x:v>
      </x:c>
      <x:c r="AS134" s="46" t="n">
        <x:f>IF(OR(X134="",Y134=""),"",ABS(Y134-X134)*'Readme-Protocol'!$B$27)</x:f>
        <x:v>0.0056876247019332915</x:v>
      </x:c>
      <x:c r="AT134" s="49" t="b">
        <x:f>AND(M134&gt;0,N134&gt;=0,O134&gt;0)</x:f>
        <x:v>1</x:v>
      </x:c>
      <x:c r="AU134" s="49" t="b">
        <x:f>AND(AT134,N134&gt;=M134)</x:f>
        <x:v>1</x:v>
      </x:c>
      <x:c r="AV134" s="49" t="b">
        <x:f>OR(S134=0,T134&gt;=S134)</x:f>
        <x:v>1</x:v>
      </x:c>
      <x:c r="AW134" s="49" t="b">
        <x:f>IF(I134="cache-semantics",OR(V134&lt;&gt;"uniform",ABS(Y134-W134/'Readme-Protocol'!$B$27)&lt;='Readme-Protocol'!$B$28),TRUE)</x:f>
        <x:v>1</x:v>
      </x:c>
      <x:c r="AX134" s="43" t="n">
        <x:f>IF(I134="cache-semantics",INT(AA134*'Readme-Protocol'!$B$32),"")</x:f>
        <x:v>9900</x:v>
      </x:c>
      <x:c r="AY134" s="49" t="b">
        <x:f>IF(I134="cache-semantics",AX134=AB134,TRUE)</x:f>
        <x:v>1</x:v>
      </x:c>
      <x:c r="AZ134" s="49" t="b">
        <x:f>IF(I134="cache-semantics",AX134=AE134,TRUE)</x:f>
        <x:v>1</x:v>
      </x:c>
      <x:c r="BA134" s="49" t="b">
        <x:f>IF(I134="cache-semantics",AC134&gt;=AX134,IF(I134="no-store-control",AC134=0,FALSE))</x:f>
        <x:v>1</x:v>
      </x:c>
      <x:c r="BB134" s="49" t="b">
        <x:f>IF(I134="cache-semantics",AG134&gt;=AX134,IF(I134="no-store-control",AG134=0,FALSE))</x:f>
        <x:v>1</x:v>
      </x:c>
      <x:c r="BC134" s="49" t="b">
        <x:f>AND(BA134,BB134)</x:f>
        <x:v>1</x:v>
      </x:c>
      <x:c r="BD134" s="49" t="b">
        <x:f>IF(I134="no-store-control",AND(AC134=0,AG134=0),TRUE)</x:f>
        <x:v>1</x:v>
      </x:c>
      <x:c r="BE134" s="49" t="b">
        <x:f>IF(I134="no-store-control",AK134=0,TRUE)</x:f>
        <x:v>1</x:v>
      </x:c>
      <x:c r="BF134" s="49" t="b">
        <x:f>IF(I134="cache-semantics",AN134=1,TRUE)</x:f>
        <x:v>1</x:v>
      </x:c>
      <x:c r="BG134" s="49" t="b">
        <x:f>IF(I134="cache-semantics",AND(AU134,AV134,Q134,AW134,BC134,BF134),IF(I134="no-store-control",AND(AU134,AV134,Q134,BD134,BE134),FALSE))</x:f>
        <x:v>1</x:v>
      </x:c>
      <x:c r="BH134" s="49" t="b">
        <x:f>AND(R134,AT134=P134,AU134=L134,AV134=U134,AY134,AZ134,IF(I134="cache-semantics",AND(AW134=Z134,AND(BA134=AD134,BB134=AH134,BC134=AI134),BF134=AO134),IF(I134="no-store-control",AND(AND(BA134=AD134,BB134=AH134,BC134=AI134),BD134=AJ134,BE134=AL134),FALSE)),BG134=AP134)</x:f>
        <x:v>1</x:v>
      </x:c>
      <x:c r="BI134" s="49" t="b">
        <x:f>AND(J134,K134,BG134)</x:f>
        <x:v>1</x:v>
      </x:c>
    </x:row>
    <x:row r="135">
      <x:c r="A135" s="34" t="str">
        <x:v>article1-unified-v4-2-fb3f101b-20260903-000401-default-f03-p2-jcs4</x:v>
      </x:c>
      <x:c r="B135" s="34" t="str">
        <x:v>default</x:v>
      </x:c>
      <x:c r="C135" s="34" t="str">
        <x:v>jcs4</x:v>
      </x:c>
      <x:c r="D135" s="36" t="n">
        <x:v>3</x:v>
      </x:c>
      <x:c r="E135" s="36" t="n">
        <x:v>3</x:v>
      </x:c>
      <x:c r="F135" s="36" t="n">
        <x:v>2</x:v>
      </x:c>
      <x:c r="G135" s="36" t="n">
        <x:v>2</x:v>
      </x:c>
      <x:c r="H135" s="34" t="str">
        <x:v>redeploy</x:v>
      </x:c>
      <x:c r="I135" s="34" t="str">
        <x:v>cache-semantics</x:v>
      </x:c>
      <x:c r="J135" s="45" t="b">
        <x:v>1</x:v>
      </x:c>
      <x:c r="K135" s="45" t="b">
        <x:v>1</x:v>
      </x:c>
      <x:c r="L135" s="45" t="b">
        <x:v>1</x:v>
      </x:c>
      <x:c r="M135" s="43" t="n">
        <x:v>400000</x:v>
      </x:c>
      <x:c r="N135" s="43" t="n">
        <x:v>4236544</x:v>
      </x:c>
      <x:c r="O135" s="43" t="n">
        <x:v>847153.9073961563</x:v>
      </x:c>
      <x:c r="P135" s="45" t="b">
        <x:v>1</x:v>
      </x:c>
      <x:c r="Q135" s="45" t="b">
        <x:v>1</x:v>
      </x:c>
      <x:c r="R135" s="45" t="b">
        <x:v>1</x:v>
      </x:c>
      <x:c r="S135" s="43" t="n">
        <x:v>5000000000</x:v>
      </x:c>
      <x:c r="T135" s="43" t="n">
        <x:v>5000914194</x:v>
      </x:c>
      <x:c r="U135" s="45" t="b">
        <x:v>1</x:v>
      </x:c>
      <x:c r="V135" s="34" t="str">
        <x:v>uniform</x:v>
      </x:c>
      <x:c r="W135" s="42" t="n">
        <x:v>95</x:v>
      </x:c>
      <x:c r="X135" s="48" t="n">
        <x:v>0.95</x:v>
      </x:c>
      <x:c r="Y135" s="48" t="n">
        <x:v>0.9500354534261889</x:v>
      </x:c>
      <x:c r="Z135" s="45" t="b">
        <x:v>1</x:v>
      </x:c>
      <x:c r="AA135" s="43" t="n">
        <x:v>10000</x:v>
      </x:c>
      <x:c r="AB135" s="43" t="n">
        <x:v>9900</x:v>
      </x:c>
      <x:c r="AC135" s="43" t="n">
        <x:v>10000</x:v>
      </x:c>
      <x:c r="AD135" s="45" t="b">
        <x:v>1</x:v>
      </x:c>
      <x:c r="AE135" s="43" t="n">
        <x:v>9900</x:v>
      </x:c>
      <x:c r="AF135" s="43"/>
      <x:c r="AG135" s="43" t="n">
        <x:v>10000</x:v>
      </x:c>
      <x:c r="AH135" s="45" t="b">
        <x:v>1</x:v>
      </x:c>
      <x:c r="AI135" s="45" t="b">
        <x:v>1</x:v>
      </x:c>
      <x:c r="AJ135" s="49"/>
      <x:c r="AK135" s="48" t="n">
        <x:v>0.9500354534261889</x:v>
      </x:c>
      <x:c r="AL135" s="49"/>
      <x:c r="AM135" s="49"/>
      <x:c r="AN135" s="36" t="n">
        <x:v>1</x:v>
      </x:c>
      <x:c r="AO135" s="45" t="b">
        <x:v>1</x:v>
      </x:c>
      <x:c r="AP135" s="45" t="b">
        <x:v>1</x:v>
      </x:c>
      <x:c r="AQ135" s="46" t="n">
        <x:f>IF(T135="","",T135/'Readme-Protocol'!$B$24)</x:f>
        <x:v>5.000914194</x:v>
      </x:c>
      <x:c r="AR135" s="46" t="n">
        <x:f>IF(OR(S135="",S135=0),"",T135/S135)</x:f>
        <x:v>1.0001828388</x:v>
      </x:c>
      <x:c r="AS135" s="46" t="n">
        <x:f>IF(OR(X135="",Y135=""),"",ABS(Y135-X135)*'Readme-Protocol'!$B$27)</x:f>
        <x:v>0.00354534261889361</x:v>
      </x:c>
      <x:c r="AT135" s="49" t="b">
        <x:f>AND(M135&gt;0,N135&gt;=0,O135&gt;0)</x:f>
        <x:v>1</x:v>
      </x:c>
      <x:c r="AU135" s="49" t="b">
        <x:f>AND(AT135,N135&gt;=M135)</x:f>
        <x:v>1</x:v>
      </x:c>
      <x:c r="AV135" s="49" t="b">
        <x:f>OR(S135=0,T135&gt;=S135)</x:f>
        <x:v>1</x:v>
      </x:c>
      <x:c r="AW135" s="49" t="b">
        <x:f>IF(I135="cache-semantics",OR(V135&lt;&gt;"uniform",ABS(Y135-W135/'Readme-Protocol'!$B$27)&lt;='Readme-Protocol'!$B$28),TRUE)</x:f>
        <x:v>1</x:v>
      </x:c>
      <x:c r="AX135" s="43" t="n">
        <x:f>IF(I135="cache-semantics",INT(AA135*'Readme-Protocol'!$B$32),"")</x:f>
        <x:v>9900</x:v>
      </x:c>
      <x:c r="AY135" s="49" t="b">
        <x:f>IF(I135="cache-semantics",AX135=AB135,TRUE)</x:f>
        <x:v>1</x:v>
      </x:c>
      <x:c r="AZ135" s="49" t="b">
        <x:f>IF(I135="cache-semantics",AX135=AE135,TRUE)</x:f>
        <x:v>1</x:v>
      </x:c>
      <x:c r="BA135" s="49" t="b">
        <x:f>IF(I135="cache-semantics",AC135&gt;=AX135,IF(I135="no-store-control",AC135=0,FALSE))</x:f>
        <x:v>1</x:v>
      </x:c>
      <x:c r="BB135" s="49" t="b">
        <x:f>IF(I135="cache-semantics",AG135&gt;=AX135,IF(I135="no-store-control",AG135=0,FALSE))</x:f>
        <x:v>1</x:v>
      </x:c>
      <x:c r="BC135" s="49" t="b">
        <x:f>AND(BA135,BB135)</x:f>
        <x:v>1</x:v>
      </x:c>
      <x:c r="BD135" s="49" t="b">
        <x:f>IF(I135="no-store-control",AND(AC135=0,AG135=0),TRUE)</x:f>
        <x:v>1</x:v>
      </x:c>
      <x:c r="BE135" s="49" t="b">
        <x:f>IF(I135="no-store-control",AK135=0,TRUE)</x:f>
        <x:v>1</x:v>
      </x:c>
      <x:c r="BF135" s="49" t="b">
        <x:f>IF(I135="cache-semantics",AN135=1,TRUE)</x:f>
        <x:v>1</x:v>
      </x:c>
      <x:c r="BG135" s="49" t="b">
        <x:f>IF(I135="cache-semantics",AND(AU135,AV135,Q135,AW135,BC135,BF135),IF(I135="no-store-control",AND(AU135,AV135,Q135,BD135,BE135),FALSE))</x:f>
        <x:v>1</x:v>
      </x:c>
      <x:c r="BH135" s="49" t="b">
        <x:f>AND(R135,AT135=P135,AU135=L135,AV135=U135,AY135,AZ135,IF(I135="cache-semantics",AND(AW135=Z135,AND(BA135=AD135,BB135=AH135,BC135=AI135),BF135=AO135),IF(I135="no-store-control",AND(AND(BA135=AD135,BB135=AH135,BC135=AI135),BD135=AJ135,BE135=AL135),FALSE)),BG135=AP135)</x:f>
        <x:v>1</x:v>
      </x:c>
      <x:c r="BI135" s="49" t="b">
        <x:f>AND(J135,K135,BG135)</x:f>
        <x:v>1</x:v>
      </x:c>
    </x:row>
    <x:row r="136">
      <x:c r="A136" s="34" t="str">
        <x:v>article1-unified-v4-2-fb3f101b-20260903-000401-default-f03-p2-jcs4</x:v>
      </x:c>
      <x:c r="B136" s="34" t="str">
        <x:v>default</x:v>
      </x:c>
      <x:c r="C136" s="34" t="str">
        <x:v>jcs4</x:v>
      </x:c>
      <x:c r="D136" s="36" t="n">
        <x:v>3</x:v>
      </x:c>
      <x:c r="E136" s="36" t="n">
        <x:v>3</x:v>
      </x:c>
      <x:c r="F136" s="36" t="n">
        <x:v>2</x:v>
      </x:c>
      <x:c r="G136" s="36" t="n">
        <x:v>3</x:v>
      </x:c>
      <x:c r="H136" s="34" t="str">
        <x:v>initial</x:v>
      </x:c>
      <x:c r="I136" s="34" t="str">
        <x:v>cache-semantics</x:v>
      </x:c>
      <x:c r="J136" s="45" t="b">
        <x:v>1</x:v>
      </x:c>
      <x:c r="K136" s="45" t="b">
        <x:v>1</x:v>
      </x:c>
      <x:c r="L136" s="45" t="b">
        <x:v>1</x:v>
      </x:c>
      <x:c r="M136" s="43" t="n">
        <x:v>400000</x:v>
      </x:c>
      <x:c r="N136" s="43" t="n">
        <x:v>3465984</x:v>
      </x:c>
      <x:c r="O136" s="43" t="n">
        <x:v>693011.0469821934</x:v>
      </x:c>
      <x:c r="P136" s="45" t="b">
        <x:v>1</x:v>
      </x:c>
      <x:c r="Q136" s="45" t="b">
        <x:v>1</x:v>
      </x:c>
      <x:c r="R136" s="45" t="b">
        <x:v>1</x:v>
      </x:c>
      <x:c r="S136" s="43" t="n">
        <x:v>5000000000</x:v>
      </x:c>
      <x:c r="T136" s="43" t="n">
        <x:v>5001340188</x:v>
      </x:c>
      <x:c r="U136" s="45" t="b">
        <x:v>1</x:v>
      </x:c>
      <x:c r="V136" s="34" t="str">
        <x:v>uniform</x:v>
      </x:c>
      <x:c r="W136" s="42" t="n">
        <x:v>95</x:v>
      </x:c>
      <x:c r="X136" s="48" t="n">
        <x:v>0.95</x:v>
      </x:c>
      <x:c r="Y136" s="48" t="n">
        <x:v>0.9501042128296033</x:v>
      </x:c>
      <x:c r="Z136" s="45" t="b">
        <x:v>1</x:v>
      </x:c>
      <x:c r="AA136" s="43" t="n">
        <x:v>10000</x:v>
      </x:c>
      <x:c r="AB136" s="43" t="n">
        <x:v>9900</x:v>
      </x:c>
      <x:c r="AC136" s="43" t="n">
        <x:v>10000</x:v>
      </x:c>
      <x:c r="AD136" s="45" t="b">
        <x:v>1</x:v>
      </x:c>
      <x:c r="AE136" s="43" t="n">
        <x:v>9900</x:v>
      </x:c>
      <x:c r="AF136" s="43"/>
      <x:c r="AG136" s="43" t="n">
        <x:v>10000</x:v>
      </x:c>
      <x:c r="AH136" s="45" t="b">
        <x:v>1</x:v>
      </x:c>
      <x:c r="AI136" s="45" t="b">
        <x:v>1</x:v>
      </x:c>
      <x:c r="AJ136" s="49"/>
      <x:c r="AK136" s="48" t="n">
        <x:v>0.9501042128296033</x:v>
      </x:c>
      <x:c r="AL136" s="49"/>
      <x:c r="AM136" s="49"/>
      <x:c r="AN136" s="36" t="n">
        <x:v>1</x:v>
      </x:c>
      <x:c r="AO136" s="45" t="b">
        <x:v>1</x:v>
      </x:c>
      <x:c r="AP136" s="45" t="b">
        <x:v>1</x:v>
      </x:c>
      <x:c r="AQ136" s="46" t="n">
        <x:f>IF(T136="","",T136/'Readme-Protocol'!$B$24)</x:f>
        <x:v>5.001340188</x:v>
      </x:c>
      <x:c r="AR136" s="46" t="n">
        <x:f>IF(OR(S136="",S136=0),"",T136/S136)</x:f>
        <x:v>1.0002680376</x:v>
      </x:c>
      <x:c r="AS136" s="46" t="n">
        <x:f>IF(OR(X136="",Y136=""),"",ABS(Y136-X136)*'Readme-Protocol'!$B$27)</x:f>
        <x:v>0.010421282960337841</x:v>
      </x:c>
      <x:c r="AT136" s="49" t="b">
        <x:f>AND(M136&gt;0,N136&gt;=0,O136&gt;0)</x:f>
        <x:v>1</x:v>
      </x:c>
      <x:c r="AU136" s="49" t="b">
        <x:f>AND(AT136,N136&gt;=M136)</x:f>
        <x:v>1</x:v>
      </x:c>
      <x:c r="AV136" s="49" t="b">
        <x:f>OR(S136=0,T136&gt;=S136)</x:f>
        <x:v>1</x:v>
      </x:c>
      <x:c r="AW136" s="49" t="b">
        <x:f>IF(I136="cache-semantics",OR(V136&lt;&gt;"uniform",ABS(Y136-W136/'Readme-Protocol'!$B$27)&lt;='Readme-Protocol'!$B$28),TRUE)</x:f>
        <x:v>1</x:v>
      </x:c>
      <x:c r="AX136" s="43" t="n">
        <x:f>IF(I136="cache-semantics",INT(AA136*'Readme-Protocol'!$B$32),"")</x:f>
        <x:v>9900</x:v>
      </x:c>
      <x:c r="AY136" s="49" t="b">
        <x:f>IF(I136="cache-semantics",AX136=AB136,TRUE)</x:f>
        <x:v>1</x:v>
      </x:c>
      <x:c r="AZ136" s="49" t="b">
        <x:f>IF(I136="cache-semantics",AX136=AE136,TRUE)</x:f>
        <x:v>1</x:v>
      </x:c>
      <x:c r="BA136" s="49" t="b">
        <x:f>IF(I136="cache-semantics",AC136&gt;=AX136,IF(I136="no-store-control",AC136=0,FALSE))</x:f>
        <x:v>1</x:v>
      </x:c>
      <x:c r="BB136" s="49" t="b">
        <x:f>IF(I136="cache-semantics",AG136&gt;=AX136,IF(I136="no-store-control",AG136=0,FALSE))</x:f>
        <x:v>1</x:v>
      </x:c>
      <x:c r="BC136" s="49" t="b">
        <x:f>AND(BA136,BB136)</x:f>
        <x:v>1</x:v>
      </x:c>
      <x:c r="BD136" s="49" t="b">
        <x:f>IF(I136="no-store-control",AND(AC136=0,AG136=0),TRUE)</x:f>
        <x:v>1</x:v>
      </x:c>
      <x:c r="BE136" s="49" t="b">
        <x:f>IF(I136="no-store-control",AK136=0,TRUE)</x:f>
        <x:v>1</x:v>
      </x:c>
      <x:c r="BF136" s="49" t="b">
        <x:f>IF(I136="cache-semantics",AN136=1,TRUE)</x:f>
        <x:v>1</x:v>
      </x:c>
      <x:c r="BG136" s="49" t="b">
        <x:f>IF(I136="cache-semantics",AND(AU136,AV136,Q136,AW136,BC136,BF136),IF(I136="no-store-control",AND(AU136,AV136,Q136,BD136,BE136),FALSE))</x:f>
        <x:v>1</x:v>
      </x:c>
      <x:c r="BH136" s="49" t="b">
        <x:f>AND(R136,AT136=P136,AU136=L136,AV136=U136,AY136,AZ136,IF(I136="cache-semantics",AND(AW136=Z136,AND(BA136=AD136,BB136=AH136,BC136=AI136),BF136=AO136),IF(I136="no-store-control",AND(AND(BA136=AD136,BB136=AH136,BC136=AI136),BD136=AJ136,BE136=AL136),FALSE)),BG136=AP136)</x:f>
        <x:v>1</x:v>
      </x:c>
      <x:c r="BI136" s="49" t="b">
        <x:f>AND(J136,K136,BG136)</x:f>
        <x:v>1</x:v>
      </x:c>
    </x:row>
    <x:row r="137">
      <x:c r="A137" s="34" t="str">
        <x:v>article1-unified-v4-2-fb3f101b-20260903-000401-default-f03-p2-jcs4</x:v>
      </x:c>
      <x:c r="B137" s="34" t="str">
        <x:v>default</x:v>
      </x:c>
      <x:c r="C137" s="34" t="str">
        <x:v>jcs4</x:v>
      </x:c>
      <x:c r="D137" s="36" t="n">
        <x:v>3</x:v>
      </x:c>
      <x:c r="E137" s="36" t="n">
        <x:v>3</x:v>
      </x:c>
      <x:c r="F137" s="36" t="n">
        <x:v>2</x:v>
      </x:c>
      <x:c r="G137" s="36" t="n">
        <x:v>3</x:v>
      </x:c>
      <x:c r="H137" s="34" t="str">
        <x:v>redeploy</x:v>
      </x:c>
      <x:c r="I137" s="34" t="str">
        <x:v>cache-semantics</x:v>
      </x:c>
      <x:c r="J137" s="45" t="b">
        <x:v>1</x:v>
      </x:c>
      <x:c r="K137" s="45" t="b">
        <x:v>1</x:v>
      </x:c>
      <x:c r="L137" s="45" t="b">
        <x:v>1</x:v>
      </x:c>
      <x:c r="M137" s="43" t="n">
        <x:v>400000</x:v>
      </x:c>
      <x:c r="N137" s="43" t="n">
        <x:v>5295616</x:v>
      </x:c>
      <x:c r="O137" s="43" t="n">
        <x:v>1058914.7583479588</x:v>
      </x:c>
      <x:c r="P137" s="45" t="b">
        <x:v>1</x:v>
      </x:c>
      <x:c r="Q137" s="45" t="b">
        <x:v>1</x:v>
      </x:c>
      <x:c r="R137" s="45" t="b">
        <x:v>1</x:v>
      </x:c>
      <x:c r="S137" s="43" t="n">
        <x:v>5000000000</x:v>
      </x:c>
      <x:c r="T137" s="43" t="n">
        <x:v>5000984223</x:v>
      </x:c>
      <x:c r="U137" s="45" t="b">
        <x:v>1</x:v>
      </x:c>
      <x:c r="V137" s="34" t="str">
        <x:v>uniform</x:v>
      </x:c>
      <x:c r="W137" s="42" t="n">
        <x:v>95</x:v>
      </x:c>
      <x:c r="X137" s="48" t="n">
        <x:v>0.95</x:v>
      </x:c>
      <x:c r="Y137" s="48" t="n">
        <x:v>0.9501227052716813</x:v>
      </x:c>
      <x:c r="Z137" s="45" t="b">
        <x:v>1</x:v>
      </x:c>
      <x:c r="AA137" s="43" t="n">
        <x:v>10000</x:v>
      </x:c>
      <x:c r="AB137" s="43" t="n">
        <x:v>9900</x:v>
      </x:c>
      <x:c r="AC137" s="43" t="n">
        <x:v>10000</x:v>
      </x:c>
      <x:c r="AD137" s="45" t="b">
        <x:v>1</x:v>
      </x:c>
      <x:c r="AE137" s="43" t="n">
        <x:v>9900</x:v>
      </x:c>
      <x:c r="AF137" s="43"/>
      <x:c r="AG137" s="43" t="n">
        <x:v>10000</x:v>
      </x:c>
      <x:c r="AH137" s="45" t="b">
        <x:v>1</x:v>
      </x:c>
      <x:c r="AI137" s="45" t="b">
        <x:v>1</x:v>
      </x:c>
      <x:c r="AJ137" s="49"/>
      <x:c r="AK137" s="48" t="n">
        <x:v>0.9501227052716813</x:v>
      </x:c>
      <x:c r="AL137" s="49"/>
      <x:c r="AM137" s="49"/>
      <x:c r="AN137" s="36" t="n">
        <x:v>1</x:v>
      </x:c>
      <x:c r="AO137" s="45" t="b">
        <x:v>1</x:v>
      </x:c>
      <x:c r="AP137" s="45" t="b">
        <x:v>1</x:v>
      </x:c>
      <x:c r="AQ137" s="46" t="n">
        <x:f>IF(T137="","",T137/'Readme-Protocol'!$B$24)</x:f>
        <x:v>5.000984223</x:v>
      </x:c>
      <x:c r="AR137" s="46" t="n">
        <x:f>IF(OR(S137="",S137=0),"",T137/S137)</x:f>
        <x:v>1.0001968446</x:v>
      </x:c>
      <x:c r="AS137" s="46" t="n">
        <x:f>IF(OR(X137="",Y137=""),"",ABS(Y137-X137)*'Readme-Protocol'!$B$27)</x:f>
        <x:v>0.012270527168134482</x:v>
      </x:c>
      <x:c r="AT137" s="49" t="b">
        <x:f>AND(M137&gt;0,N137&gt;=0,O137&gt;0)</x:f>
        <x:v>1</x:v>
      </x:c>
      <x:c r="AU137" s="49" t="b">
        <x:f>AND(AT137,N137&gt;=M137)</x:f>
        <x:v>1</x:v>
      </x:c>
      <x:c r="AV137" s="49" t="b">
        <x:f>OR(S137=0,T137&gt;=S137)</x:f>
        <x:v>1</x:v>
      </x:c>
      <x:c r="AW137" s="49" t="b">
        <x:f>IF(I137="cache-semantics",OR(V137&lt;&gt;"uniform",ABS(Y137-W137/'Readme-Protocol'!$B$27)&lt;='Readme-Protocol'!$B$28),TRUE)</x:f>
        <x:v>1</x:v>
      </x:c>
      <x:c r="AX137" s="43" t="n">
        <x:f>IF(I137="cache-semantics",INT(AA137*'Readme-Protocol'!$B$32),"")</x:f>
        <x:v>9900</x:v>
      </x:c>
      <x:c r="AY137" s="49" t="b">
        <x:f>IF(I137="cache-semantics",AX137=AB137,TRUE)</x:f>
        <x:v>1</x:v>
      </x:c>
      <x:c r="AZ137" s="49" t="b">
        <x:f>IF(I137="cache-semantics",AX137=AE137,TRUE)</x:f>
        <x:v>1</x:v>
      </x:c>
      <x:c r="BA137" s="49" t="b">
        <x:f>IF(I137="cache-semantics",AC137&gt;=AX137,IF(I137="no-store-control",AC137=0,FALSE))</x:f>
        <x:v>1</x:v>
      </x:c>
      <x:c r="BB137" s="49" t="b">
        <x:f>IF(I137="cache-semantics",AG137&gt;=AX137,IF(I137="no-store-control",AG137=0,FALSE))</x:f>
        <x:v>1</x:v>
      </x:c>
      <x:c r="BC137" s="49" t="b">
        <x:f>AND(BA137,BB137)</x:f>
        <x:v>1</x:v>
      </x:c>
      <x:c r="BD137" s="49" t="b">
        <x:f>IF(I137="no-store-control",AND(AC137=0,AG137=0),TRUE)</x:f>
        <x:v>1</x:v>
      </x:c>
      <x:c r="BE137" s="49" t="b">
        <x:f>IF(I137="no-store-control",AK137=0,TRUE)</x:f>
        <x:v>1</x:v>
      </x:c>
      <x:c r="BF137" s="49" t="b">
        <x:f>IF(I137="cache-semantics",AN137=1,TRUE)</x:f>
        <x:v>1</x:v>
      </x:c>
      <x:c r="BG137" s="49" t="b">
        <x:f>IF(I137="cache-semantics",AND(AU137,AV137,Q137,AW137,BC137,BF137),IF(I137="no-store-control",AND(AU137,AV137,Q137,BD137,BE137),FALSE))</x:f>
        <x:v>1</x:v>
      </x:c>
      <x:c r="BH137" s="49" t="b">
        <x:f>AND(R137,AT137=P137,AU137=L137,AV137=U137,AY137,AZ137,IF(I137="cache-semantics",AND(AW137=Z137,AND(BA137=AD137,BB137=AH137,BC137=AI137),BF137=AO137),IF(I137="no-store-control",AND(AND(BA137=AD137,BB137=AH137,BC137=AI137),BD137=AJ137,BE137=AL137),FALSE)),BG137=AP137)</x:f>
        <x:v>1</x:v>
      </x:c>
      <x:c r="BI137" s="49" t="b">
        <x:f>AND(J137,K137,BG137)</x:f>
        <x:v>1</x:v>
      </x:c>
    </x:row>
    <x:row r="138">
      <x:c r="A138" s="34" t="str">
        <x:v>article1-unified-v4-2-fb3f101b-20260903-000401-default-f03-p2-jcs4</x:v>
      </x:c>
      <x:c r="B138" s="34" t="str">
        <x:v>default</x:v>
      </x:c>
      <x:c r="C138" s="34" t="str">
        <x:v>jcs4</x:v>
      </x:c>
      <x:c r="D138" s="36" t="n">
        <x:v>3</x:v>
      </x:c>
      <x:c r="E138" s="36" t="n">
        <x:v>3</x:v>
      </x:c>
      <x:c r="F138" s="36" t="n">
        <x:v>2</x:v>
      </x:c>
      <x:c r="G138" s="36" t="n">
        <x:v>4</x:v>
      </x:c>
      <x:c r="H138" s="34" t="str">
        <x:v>initial</x:v>
      </x:c>
      <x:c r="I138" s="34" t="str">
        <x:v>cache-semantics</x:v>
      </x:c>
      <x:c r="J138" s="45" t="b">
        <x:v>1</x:v>
      </x:c>
      <x:c r="K138" s="45" t="b">
        <x:v>1</x:v>
      </x:c>
      <x:c r="L138" s="45" t="b">
        <x:v>1</x:v>
      </x:c>
      <x:c r="M138" s="43" t="n">
        <x:v>400000</x:v>
      </x:c>
      <x:c r="N138" s="43" t="n">
        <x:v>5300736</x:v>
      </x:c>
      <x:c r="O138" s="43" t="n">
        <x:v>1059845.6866203048</x:v>
      </x:c>
      <x:c r="P138" s="45" t="b">
        <x:v>1</x:v>
      </x:c>
      <x:c r="Q138" s="45" t="b">
        <x:v>1</x:v>
      </x:c>
      <x:c r="R138" s="45" t="b">
        <x:v>1</x:v>
      </x:c>
      <x:c r="S138" s="43" t="n">
        <x:v>5000000000</x:v>
      </x:c>
      <x:c r="T138" s="43" t="n">
        <x:v>5001422440</x:v>
      </x:c>
      <x:c r="U138" s="45" t="b">
        <x:v>1</x:v>
      </x:c>
      <x:c r="V138" s="34" t="str">
        <x:v>uniform</x:v>
      </x:c>
      <x:c r="W138" s="42" t="n">
        <x:v>95</x:v>
      </x:c>
      <x:c r="X138" s="48" t="n">
        <x:v>0.95</x:v>
      </x:c>
      <x:c r="Y138" s="48" t="n">
        <x:v>0.950382927955665</x:v>
      </x:c>
      <x:c r="Z138" s="45" t="b">
        <x:v>1</x:v>
      </x:c>
      <x:c r="AA138" s="43" t="n">
        <x:v>10000</x:v>
      </x:c>
      <x:c r="AB138" s="43" t="n">
        <x:v>9900</x:v>
      </x:c>
      <x:c r="AC138" s="43" t="n">
        <x:v>10000</x:v>
      </x:c>
      <x:c r="AD138" s="45" t="b">
        <x:v>1</x:v>
      </x:c>
      <x:c r="AE138" s="43" t="n">
        <x:v>9900</x:v>
      </x:c>
      <x:c r="AF138" s="43"/>
      <x:c r="AG138" s="43" t="n">
        <x:v>10000</x:v>
      </x:c>
      <x:c r="AH138" s="45" t="b">
        <x:v>1</x:v>
      </x:c>
      <x:c r="AI138" s="45" t="b">
        <x:v>1</x:v>
      </x:c>
      <x:c r="AJ138" s="49"/>
      <x:c r="AK138" s="48" t="n">
        <x:v>0.950382927955665</x:v>
      </x:c>
      <x:c r="AL138" s="49"/>
      <x:c r="AM138" s="49"/>
      <x:c r="AN138" s="36" t="n">
        <x:v>1</x:v>
      </x:c>
      <x:c r="AO138" s="45" t="b">
        <x:v>1</x:v>
      </x:c>
      <x:c r="AP138" s="45" t="b">
        <x:v>1</x:v>
      </x:c>
      <x:c r="AQ138" s="46" t="n">
        <x:f>IF(T138="","",T138/'Readme-Protocol'!$B$24)</x:f>
        <x:v>5.00142244</x:v>
      </x:c>
      <x:c r="AR138" s="46" t="n">
        <x:f>IF(OR(S138="",S138=0),"",T138/S138)</x:f>
        <x:v>1.000284488</x:v>
      </x:c>
      <x:c r="AS138" s="46" t="n">
        <x:f>IF(OR(X138="",Y138=""),"",ABS(Y138-X138)*'Readme-Protocol'!$B$27)</x:f>
        <x:v>0.038292795566508</x:v>
      </x:c>
      <x:c r="AT138" s="49" t="b">
        <x:f>AND(M138&gt;0,N138&gt;=0,O138&gt;0)</x:f>
        <x:v>1</x:v>
      </x:c>
      <x:c r="AU138" s="49" t="b">
        <x:f>AND(AT138,N138&gt;=M138)</x:f>
        <x:v>1</x:v>
      </x:c>
      <x:c r="AV138" s="49" t="b">
        <x:f>OR(S138=0,T138&gt;=S138)</x:f>
        <x:v>1</x:v>
      </x:c>
      <x:c r="AW138" s="49" t="b">
        <x:f>IF(I138="cache-semantics",OR(V138&lt;&gt;"uniform",ABS(Y138-W138/'Readme-Protocol'!$B$27)&lt;='Readme-Protocol'!$B$28),TRUE)</x:f>
        <x:v>1</x:v>
      </x:c>
      <x:c r="AX138" s="43" t="n">
        <x:f>IF(I138="cache-semantics",INT(AA138*'Readme-Protocol'!$B$32),"")</x:f>
        <x:v>9900</x:v>
      </x:c>
      <x:c r="AY138" s="49" t="b">
        <x:f>IF(I138="cache-semantics",AX138=AB138,TRUE)</x:f>
        <x:v>1</x:v>
      </x:c>
      <x:c r="AZ138" s="49" t="b">
        <x:f>IF(I138="cache-semantics",AX138=AE138,TRUE)</x:f>
        <x:v>1</x:v>
      </x:c>
      <x:c r="BA138" s="49" t="b">
        <x:f>IF(I138="cache-semantics",AC138&gt;=AX138,IF(I138="no-store-control",AC138=0,FALSE))</x:f>
        <x:v>1</x:v>
      </x:c>
      <x:c r="BB138" s="49" t="b">
        <x:f>IF(I138="cache-semantics",AG138&gt;=AX138,IF(I138="no-store-control",AG138=0,FALSE))</x:f>
        <x:v>1</x:v>
      </x:c>
      <x:c r="BC138" s="49" t="b">
        <x:f>AND(BA138,BB138)</x:f>
        <x:v>1</x:v>
      </x:c>
      <x:c r="BD138" s="49" t="b">
        <x:f>IF(I138="no-store-control",AND(AC138=0,AG138=0),TRUE)</x:f>
        <x:v>1</x:v>
      </x:c>
      <x:c r="BE138" s="49" t="b">
        <x:f>IF(I138="no-store-control",AK138=0,TRUE)</x:f>
        <x:v>1</x:v>
      </x:c>
      <x:c r="BF138" s="49" t="b">
        <x:f>IF(I138="cache-semantics",AN138=1,TRUE)</x:f>
        <x:v>1</x:v>
      </x:c>
      <x:c r="BG138" s="49" t="b">
        <x:f>IF(I138="cache-semantics",AND(AU138,AV138,Q138,AW138,BC138,BF138),IF(I138="no-store-control",AND(AU138,AV138,Q138,BD138,BE138),FALSE))</x:f>
        <x:v>1</x:v>
      </x:c>
      <x:c r="BH138" s="49" t="b">
        <x:f>AND(R138,AT138=P138,AU138=L138,AV138=U138,AY138,AZ138,IF(I138="cache-semantics",AND(AW138=Z138,AND(BA138=AD138,BB138=AH138,BC138=AI138),BF138=AO138),IF(I138="no-store-control",AND(AND(BA138=AD138,BB138=AH138,BC138=AI138),BD138=AJ138,BE138=AL138),FALSE)),BG138=AP138)</x:f>
        <x:v>1</x:v>
      </x:c>
      <x:c r="BI138" s="49" t="b">
        <x:f>AND(J138,K138,BG138)</x:f>
        <x:v>1</x:v>
      </x:c>
    </x:row>
    <x:row r="139">
      <x:c r="A139" s="34" t="str">
        <x:v>article1-unified-v4-2-fb3f101b-20260903-000401-default-f03-p2-jcs4</x:v>
      </x:c>
      <x:c r="B139" s="34" t="str">
        <x:v>default</x:v>
      </x:c>
      <x:c r="C139" s="34" t="str">
        <x:v>jcs4</x:v>
      </x:c>
      <x:c r="D139" s="36" t="n">
        <x:v>3</x:v>
      </x:c>
      <x:c r="E139" s="36" t="n">
        <x:v>3</x:v>
      </x:c>
      <x:c r="F139" s="36" t="n">
        <x:v>2</x:v>
      </x:c>
      <x:c r="G139" s="36" t="n">
        <x:v>4</x:v>
      </x:c>
      <x:c r="H139" s="34" t="str">
        <x:v>redeploy</x:v>
      </x:c>
      <x:c r="I139" s="34" t="str">
        <x:v>cache-semantics</x:v>
      </x:c>
      <x:c r="J139" s="45" t="b">
        <x:v>1</x:v>
      </x:c>
      <x:c r="K139" s="45" t="b">
        <x:v>1</x:v>
      </x:c>
      <x:c r="L139" s="45" t="b">
        <x:v>1</x:v>
      </x:c>
      <x:c r="M139" s="43" t="n">
        <x:v>400000</x:v>
      </x:c>
      <x:c r="N139" s="43" t="n">
        <x:v>3534848</x:v>
      </x:c>
      <x:c r="O139" s="43" t="n">
        <x:v>706788.6979981783</x:v>
      </x:c>
      <x:c r="P139" s="45" t="b">
        <x:v>1</x:v>
      </x:c>
      <x:c r="Q139" s="45" t="b">
        <x:v>1</x:v>
      </x:c>
      <x:c r="R139" s="45" t="b">
        <x:v>1</x:v>
      </x:c>
      <x:c r="S139" s="43" t="n">
        <x:v>5000000000</x:v>
      </x:c>
      <x:c r="T139" s="43" t="n">
        <x:v>5001279746</x:v>
      </x:c>
      <x:c r="U139" s="45" t="b">
        <x:v>1</x:v>
      </x:c>
      <x:c r="V139" s="34" t="str">
        <x:v>uniform</x:v>
      </x:c>
      <x:c r="W139" s="42" t="n">
        <x:v>95</x:v>
      </x:c>
      <x:c r="X139" s="48" t="n">
        <x:v>0.95</x:v>
      </x:c>
      <x:c r="Y139" s="48" t="n">
        <x:v>0.9504023935399768</x:v>
      </x:c>
      <x:c r="Z139" s="45" t="b">
        <x:v>1</x:v>
      </x:c>
      <x:c r="AA139" s="43" t="n">
        <x:v>10000</x:v>
      </x:c>
      <x:c r="AB139" s="43" t="n">
        <x:v>9900</x:v>
      </x:c>
      <x:c r="AC139" s="43" t="n">
        <x:v>10000</x:v>
      </x:c>
      <x:c r="AD139" s="45" t="b">
        <x:v>1</x:v>
      </x:c>
      <x:c r="AE139" s="43" t="n">
        <x:v>9900</x:v>
      </x:c>
      <x:c r="AF139" s="43"/>
      <x:c r="AG139" s="43" t="n">
        <x:v>10000</x:v>
      </x:c>
      <x:c r="AH139" s="45" t="b">
        <x:v>1</x:v>
      </x:c>
      <x:c r="AI139" s="45" t="b">
        <x:v>1</x:v>
      </x:c>
      <x:c r="AJ139" s="49"/>
      <x:c r="AK139" s="48" t="n">
        <x:v>0.9504023935399768</x:v>
      </x:c>
      <x:c r="AL139" s="49"/>
      <x:c r="AM139" s="49"/>
      <x:c r="AN139" s="36" t="n">
        <x:v>1</x:v>
      </x:c>
      <x:c r="AO139" s="45" t="b">
        <x:v>1</x:v>
      </x:c>
      <x:c r="AP139" s="45" t="b">
        <x:v>1</x:v>
      </x:c>
      <x:c r="AQ139" s="46" t="n">
        <x:f>IF(T139="","",T139/'Readme-Protocol'!$B$24)</x:f>
        <x:v>5.001279746</x:v>
      </x:c>
      <x:c r="AR139" s="46" t="n">
        <x:f>IF(OR(S139="",S139=0),"",T139/S139)</x:f>
        <x:v>1.0002559492</x:v>
      </x:c>
      <x:c r="AS139" s="46" t="n">
        <x:f>IF(OR(X139="",Y139=""),"",ABS(Y139-X139)*'Readme-Protocol'!$B$27)</x:f>
        <x:v>0.04023935399768419</x:v>
      </x:c>
      <x:c r="AT139" s="49" t="b">
        <x:f>AND(M139&gt;0,N139&gt;=0,O139&gt;0)</x:f>
        <x:v>1</x:v>
      </x:c>
      <x:c r="AU139" s="49" t="b">
        <x:f>AND(AT139,N139&gt;=M139)</x:f>
        <x:v>1</x:v>
      </x:c>
      <x:c r="AV139" s="49" t="b">
        <x:f>OR(S139=0,T139&gt;=S139)</x:f>
        <x:v>1</x:v>
      </x:c>
      <x:c r="AW139" s="49" t="b">
        <x:f>IF(I139="cache-semantics",OR(V139&lt;&gt;"uniform",ABS(Y139-W139/'Readme-Protocol'!$B$27)&lt;='Readme-Protocol'!$B$28),TRUE)</x:f>
        <x:v>1</x:v>
      </x:c>
      <x:c r="AX139" s="43" t="n">
        <x:f>IF(I139="cache-semantics",INT(AA139*'Readme-Protocol'!$B$32),"")</x:f>
        <x:v>9900</x:v>
      </x:c>
      <x:c r="AY139" s="49" t="b">
        <x:f>IF(I139="cache-semantics",AX139=AB139,TRUE)</x:f>
        <x:v>1</x:v>
      </x:c>
      <x:c r="AZ139" s="49" t="b">
        <x:f>IF(I139="cache-semantics",AX139=AE139,TRUE)</x:f>
        <x:v>1</x:v>
      </x:c>
      <x:c r="BA139" s="49" t="b">
        <x:f>IF(I139="cache-semantics",AC139&gt;=AX139,IF(I139="no-store-control",AC139=0,FALSE))</x:f>
        <x:v>1</x:v>
      </x:c>
      <x:c r="BB139" s="49" t="b">
        <x:f>IF(I139="cache-semantics",AG139&gt;=AX139,IF(I139="no-store-control",AG139=0,FALSE))</x:f>
        <x:v>1</x:v>
      </x:c>
      <x:c r="BC139" s="49" t="b">
        <x:f>AND(BA139,BB139)</x:f>
        <x:v>1</x:v>
      </x:c>
      <x:c r="BD139" s="49" t="b">
        <x:f>IF(I139="no-store-control",AND(AC139=0,AG139=0),TRUE)</x:f>
        <x:v>1</x:v>
      </x:c>
      <x:c r="BE139" s="49" t="b">
        <x:f>IF(I139="no-store-control",AK139=0,TRUE)</x:f>
        <x:v>1</x:v>
      </x:c>
      <x:c r="BF139" s="49" t="b">
        <x:f>IF(I139="cache-semantics",AN139=1,TRUE)</x:f>
        <x:v>1</x:v>
      </x:c>
      <x:c r="BG139" s="49" t="b">
        <x:f>IF(I139="cache-semantics",AND(AU139,AV139,Q139,AW139,BC139,BF139),IF(I139="no-store-control",AND(AU139,AV139,Q139,BD139,BE139),FALSE))</x:f>
        <x:v>1</x:v>
      </x:c>
      <x:c r="BH139" s="49" t="b">
        <x:f>AND(R139,AT139=P139,AU139=L139,AV139=U139,AY139,AZ139,IF(I139="cache-semantics",AND(AW139=Z139,AND(BA139=AD139,BB139=AH139,BC139=AI139),BF139=AO139),IF(I139="no-store-control",AND(AND(BA139=AD139,BB139=AH139,BC139=AI139),BD139=AJ139,BE139=AL139),FALSE)),BG139=AP139)</x:f>
        <x:v>1</x:v>
      </x:c>
      <x:c r="BI139" s="49" t="b">
        <x:f>AND(J139,K139,BG139)</x:f>
        <x:v>1</x:v>
      </x:c>
    </x:row>
    <x:row r="140">
      <x:c r="A140" s="34" t="str">
        <x:v>article1-unified-v4-2-fb3f101b-20260903-000401-default-f03-p2-jcs4</x:v>
      </x:c>
      <x:c r="B140" s="34" t="str">
        <x:v>default</x:v>
      </x:c>
      <x:c r="C140" s="34" t="str">
        <x:v>jcs4</x:v>
      </x:c>
      <x:c r="D140" s="36" t="n">
        <x:v>3</x:v>
      </x:c>
      <x:c r="E140" s="36" t="n">
        <x:v>3</x:v>
      </x:c>
      <x:c r="F140" s="36" t="n">
        <x:v>2</x:v>
      </x:c>
      <x:c r="G140" s="36" t="n">
        <x:v>5</x:v>
      </x:c>
      <x:c r="H140" s="34" t="str">
        <x:v>initial</x:v>
      </x:c>
      <x:c r="I140" s="34" t="str">
        <x:v>cache-semantics</x:v>
      </x:c>
      <x:c r="J140" s="45" t="b">
        <x:v>1</x:v>
      </x:c>
      <x:c r="K140" s="45" t="b">
        <x:v>1</x:v>
      </x:c>
      <x:c r="L140" s="45" t="b">
        <x:v>1</x:v>
      </x:c>
      <x:c r="M140" s="43" t="n">
        <x:v>400000</x:v>
      </x:c>
      <x:c r="N140" s="43" t="n">
        <x:v>3994880</x:v>
      </x:c>
      <x:c r="O140" s="43" t="n">
        <x:v>798638.0899947461</x:v>
      </x:c>
      <x:c r="P140" s="45" t="b">
        <x:v>1</x:v>
      </x:c>
      <x:c r="Q140" s="45" t="b">
        <x:v>1</x:v>
      </x:c>
      <x:c r="R140" s="45" t="b">
        <x:v>1</x:v>
      </x:c>
      <x:c r="S140" s="43" t="n">
        <x:v>5000000000</x:v>
      </x:c>
      <x:c r="T140" s="43" t="n">
        <x:v>5002115539</x:v>
      </x:c>
      <x:c r="U140" s="45" t="b">
        <x:v>1</x:v>
      </x:c>
      <x:c r="V140" s="34" t="str">
        <x:v>uniform</x:v>
      </x:c>
      <x:c r="W140" s="42" t="n">
        <x:v>95</x:v>
      </x:c>
      <x:c r="X140" s="48" t="n">
        <x:v>0.95</x:v>
      </x:c>
      <x:c r="Y140" s="48" t="n">
        <x:v>0.9498235241108619</x:v>
      </x:c>
      <x:c r="Z140" s="45" t="b">
        <x:v>1</x:v>
      </x:c>
      <x:c r="AA140" s="43" t="n">
        <x:v>10000</x:v>
      </x:c>
      <x:c r="AB140" s="43" t="n">
        <x:v>9900</x:v>
      </x:c>
      <x:c r="AC140" s="43" t="n">
        <x:v>10000</x:v>
      </x:c>
      <x:c r="AD140" s="45" t="b">
        <x:v>1</x:v>
      </x:c>
      <x:c r="AE140" s="43" t="n">
        <x:v>9900</x:v>
      </x:c>
      <x:c r="AF140" s="43"/>
      <x:c r="AG140" s="43" t="n">
        <x:v>10000</x:v>
      </x:c>
      <x:c r="AH140" s="45" t="b">
        <x:v>1</x:v>
      </x:c>
      <x:c r="AI140" s="45" t="b">
        <x:v>1</x:v>
      </x:c>
      <x:c r="AJ140" s="49"/>
      <x:c r="AK140" s="48" t="n">
        <x:v>0.9498235241108619</x:v>
      </x:c>
      <x:c r="AL140" s="49"/>
      <x:c r="AM140" s="49"/>
      <x:c r="AN140" s="36" t="n">
        <x:v>1</x:v>
      </x:c>
      <x:c r="AO140" s="45" t="b">
        <x:v>1</x:v>
      </x:c>
      <x:c r="AP140" s="45" t="b">
        <x:v>1</x:v>
      </x:c>
      <x:c r="AQ140" s="46" t="n">
        <x:f>IF(T140="","",T140/'Readme-Protocol'!$B$24)</x:f>
        <x:v>5.002115539</x:v>
      </x:c>
      <x:c r="AR140" s="46" t="n">
        <x:f>IF(OR(S140="",S140=0),"",T140/S140)</x:f>
        <x:v>1.0004231078</x:v>
      </x:c>
      <x:c r="AS140" s="46" t="n">
        <x:f>IF(OR(X140="",Y140=""),"",ABS(Y140-X140)*'Readme-Protocol'!$B$27)</x:f>
        <x:v>0.017647588913805023</x:v>
      </x:c>
      <x:c r="AT140" s="49" t="b">
        <x:f>AND(M140&gt;0,N140&gt;=0,O140&gt;0)</x:f>
        <x:v>1</x:v>
      </x:c>
      <x:c r="AU140" s="49" t="b">
        <x:f>AND(AT140,N140&gt;=M140)</x:f>
        <x:v>1</x:v>
      </x:c>
      <x:c r="AV140" s="49" t="b">
        <x:f>OR(S140=0,T140&gt;=S140)</x:f>
        <x:v>1</x:v>
      </x:c>
      <x:c r="AW140" s="49" t="b">
        <x:f>IF(I140="cache-semantics",OR(V140&lt;&gt;"uniform",ABS(Y140-W140/'Readme-Protocol'!$B$27)&lt;='Readme-Protocol'!$B$28),TRUE)</x:f>
        <x:v>1</x:v>
      </x:c>
      <x:c r="AX140" s="43" t="n">
        <x:f>IF(I140="cache-semantics",INT(AA140*'Readme-Protocol'!$B$32),"")</x:f>
        <x:v>9900</x:v>
      </x:c>
      <x:c r="AY140" s="49" t="b">
        <x:f>IF(I140="cache-semantics",AX140=AB140,TRUE)</x:f>
        <x:v>1</x:v>
      </x:c>
      <x:c r="AZ140" s="49" t="b">
        <x:f>IF(I140="cache-semantics",AX140=AE140,TRUE)</x:f>
        <x:v>1</x:v>
      </x:c>
      <x:c r="BA140" s="49" t="b">
        <x:f>IF(I140="cache-semantics",AC140&gt;=AX140,IF(I140="no-store-control",AC140=0,FALSE))</x:f>
        <x:v>1</x:v>
      </x:c>
      <x:c r="BB140" s="49" t="b">
        <x:f>IF(I140="cache-semantics",AG140&gt;=AX140,IF(I140="no-store-control",AG140=0,FALSE))</x:f>
        <x:v>1</x:v>
      </x:c>
      <x:c r="BC140" s="49" t="b">
        <x:f>AND(BA140,BB140)</x:f>
        <x:v>1</x:v>
      </x:c>
      <x:c r="BD140" s="49" t="b">
        <x:f>IF(I140="no-store-control",AND(AC140=0,AG140=0),TRUE)</x:f>
        <x:v>1</x:v>
      </x:c>
      <x:c r="BE140" s="49" t="b">
        <x:f>IF(I140="no-store-control",AK140=0,TRUE)</x:f>
        <x:v>1</x:v>
      </x:c>
      <x:c r="BF140" s="49" t="b">
        <x:f>IF(I140="cache-semantics",AN140=1,TRUE)</x:f>
        <x:v>1</x:v>
      </x:c>
      <x:c r="BG140" s="49" t="b">
        <x:f>IF(I140="cache-semantics",AND(AU140,AV140,Q140,AW140,BC140,BF140),IF(I140="no-store-control",AND(AU140,AV140,Q140,BD140,BE140),FALSE))</x:f>
        <x:v>1</x:v>
      </x:c>
      <x:c r="BH140" s="49" t="b">
        <x:f>AND(R140,AT140=P140,AU140=L140,AV140=U140,AY140,AZ140,IF(I140="cache-semantics",AND(AW140=Z140,AND(BA140=AD140,BB140=AH140,BC140=AI140),BF140=AO140),IF(I140="no-store-control",AND(AND(BA140=AD140,BB140=AH140,BC140=AI140),BD140=AJ140,BE140=AL140),FALSE)),BG140=AP140)</x:f>
        <x:v>1</x:v>
      </x:c>
      <x:c r="BI140" s="49" t="b">
        <x:f>AND(J140,K140,BG140)</x:f>
        <x:v>1</x:v>
      </x:c>
    </x:row>
    <x:row r="141">
      <x:c r="A141" s="34" t="str">
        <x:v>article1-unified-v4-2-fb3f101b-20260903-000401-default-f03-p2-jcs4</x:v>
      </x:c>
      <x:c r="B141" s="34" t="str">
        <x:v>default</x:v>
      </x:c>
      <x:c r="C141" s="34" t="str">
        <x:v>jcs4</x:v>
      </x:c>
      <x:c r="D141" s="36" t="n">
        <x:v>3</x:v>
      </x:c>
      <x:c r="E141" s="36" t="n">
        <x:v>3</x:v>
      </x:c>
      <x:c r="F141" s="36" t="n">
        <x:v>2</x:v>
      </x:c>
      <x:c r="G141" s="36" t="n">
        <x:v>5</x:v>
      </x:c>
      <x:c r="H141" s="34" t="str">
        <x:v>redeploy</x:v>
      </x:c>
      <x:c r="I141" s="34" t="str">
        <x:v>cache-semantics</x:v>
      </x:c>
      <x:c r="J141" s="45" t="b">
        <x:v>1</x:v>
      </x:c>
      <x:c r="K141" s="45" t="b">
        <x:v>1</x:v>
      </x:c>
      <x:c r="L141" s="45" t="b">
        <x:v>1</x:v>
      </x:c>
      <x:c r="M141" s="43" t="n">
        <x:v>400000</x:v>
      </x:c>
      <x:c r="N141" s="43" t="n">
        <x:v>3703808</x:v>
      </x:c>
      <x:c r="O141" s="43" t="n">
        <x:v>740436.3563703626</x:v>
      </x:c>
      <x:c r="P141" s="45" t="b">
        <x:v>1</x:v>
      </x:c>
      <x:c r="Q141" s="45" t="b">
        <x:v>1</x:v>
      </x:c>
      <x:c r="R141" s="45" t="b">
        <x:v>1</x:v>
      </x:c>
      <x:c r="S141" s="43" t="n">
        <x:v>5000000000</x:v>
      </x:c>
      <x:c r="T141" s="43" t="n">
        <x:v>5002196297</x:v>
      </x:c>
      <x:c r="U141" s="45" t="b">
        <x:v>1</x:v>
      </x:c>
      <x:c r="V141" s="34" t="str">
        <x:v>uniform</x:v>
      </x:c>
      <x:c r="W141" s="42" t="n">
        <x:v>95</x:v>
      </x:c>
      <x:c r="X141" s="48" t="n">
        <x:v>0.95</x:v>
      </x:c>
      <x:c r="Y141" s="48" t="n">
        <x:v>0.9497995036459773</x:v>
      </x:c>
      <x:c r="Z141" s="45" t="b">
        <x:v>1</x:v>
      </x:c>
      <x:c r="AA141" s="43" t="n">
        <x:v>10000</x:v>
      </x:c>
      <x:c r="AB141" s="43" t="n">
        <x:v>9900</x:v>
      </x:c>
      <x:c r="AC141" s="43" t="n">
        <x:v>10000</x:v>
      </x:c>
      <x:c r="AD141" s="45" t="b">
        <x:v>1</x:v>
      </x:c>
      <x:c r="AE141" s="43" t="n">
        <x:v>9900</x:v>
      </x:c>
      <x:c r="AF141" s="43"/>
      <x:c r="AG141" s="43" t="n">
        <x:v>10000</x:v>
      </x:c>
      <x:c r="AH141" s="45" t="b">
        <x:v>1</x:v>
      </x:c>
      <x:c r="AI141" s="45" t="b">
        <x:v>1</x:v>
      </x:c>
      <x:c r="AJ141" s="49"/>
      <x:c r="AK141" s="48" t="n">
        <x:v>0.9497995036459773</x:v>
      </x:c>
      <x:c r="AL141" s="49"/>
      <x:c r="AM141" s="49"/>
      <x:c r="AN141" s="36" t="n">
        <x:v>1</x:v>
      </x:c>
      <x:c r="AO141" s="45" t="b">
        <x:v>1</x:v>
      </x:c>
      <x:c r="AP141" s="45" t="b">
        <x:v>1</x:v>
      </x:c>
      <x:c r="AQ141" s="46" t="n">
        <x:f>IF(T141="","",T141/'Readme-Protocol'!$B$24)</x:f>
        <x:v>5.002196297</x:v>
      </x:c>
      <x:c r="AR141" s="46" t="n">
        <x:f>IF(OR(S141="",S141=0),"",T141/S141)</x:f>
        <x:v>1.0004392594</x:v>
      </x:c>
      <x:c r="AS141" s="46" t="n">
        <x:f>IF(OR(X141="",Y141=""),"",ABS(Y141-X141)*'Readme-Protocol'!$B$27)</x:f>
        <x:v>0.0200496354022639</x:v>
      </x:c>
      <x:c r="AT141" s="49" t="b">
        <x:f>AND(M141&gt;0,N141&gt;=0,O141&gt;0)</x:f>
        <x:v>1</x:v>
      </x:c>
      <x:c r="AU141" s="49" t="b">
        <x:f>AND(AT141,N141&gt;=M141)</x:f>
        <x:v>1</x:v>
      </x:c>
      <x:c r="AV141" s="49" t="b">
        <x:f>OR(S141=0,T141&gt;=S141)</x:f>
        <x:v>1</x:v>
      </x:c>
      <x:c r="AW141" s="49" t="b">
        <x:f>IF(I141="cache-semantics",OR(V141&lt;&gt;"uniform",ABS(Y141-W141/'Readme-Protocol'!$B$27)&lt;='Readme-Protocol'!$B$28),TRUE)</x:f>
        <x:v>1</x:v>
      </x:c>
      <x:c r="AX141" s="43" t="n">
        <x:f>IF(I141="cache-semantics",INT(AA141*'Readme-Protocol'!$B$32),"")</x:f>
        <x:v>9900</x:v>
      </x:c>
      <x:c r="AY141" s="49" t="b">
        <x:f>IF(I141="cache-semantics",AX141=AB141,TRUE)</x:f>
        <x:v>1</x:v>
      </x:c>
      <x:c r="AZ141" s="49" t="b">
        <x:f>IF(I141="cache-semantics",AX141=AE141,TRUE)</x:f>
        <x:v>1</x:v>
      </x:c>
      <x:c r="BA141" s="49" t="b">
        <x:f>IF(I141="cache-semantics",AC141&gt;=AX141,IF(I141="no-store-control",AC141=0,FALSE))</x:f>
        <x:v>1</x:v>
      </x:c>
      <x:c r="BB141" s="49" t="b">
        <x:f>IF(I141="cache-semantics",AG141&gt;=AX141,IF(I141="no-store-control",AG141=0,FALSE))</x:f>
        <x:v>1</x:v>
      </x:c>
      <x:c r="BC141" s="49" t="b">
        <x:f>AND(BA141,BB141)</x:f>
        <x:v>1</x:v>
      </x:c>
      <x:c r="BD141" s="49" t="b">
        <x:f>IF(I141="no-store-control",AND(AC141=0,AG141=0),TRUE)</x:f>
        <x:v>1</x:v>
      </x:c>
      <x:c r="BE141" s="49" t="b">
        <x:f>IF(I141="no-store-control",AK141=0,TRUE)</x:f>
        <x:v>1</x:v>
      </x:c>
      <x:c r="BF141" s="49" t="b">
        <x:f>IF(I141="cache-semantics",AN141=1,TRUE)</x:f>
        <x:v>1</x:v>
      </x:c>
      <x:c r="BG141" s="49" t="b">
        <x:f>IF(I141="cache-semantics",AND(AU141,AV141,Q141,AW141,BC141,BF141),IF(I141="no-store-control",AND(AU141,AV141,Q141,BD141,BE141),FALSE))</x:f>
        <x:v>1</x:v>
      </x:c>
      <x:c r="BH141" s="49" t="b">
        <x:f>AND(R141,AT141=P141,AU141=L141,AV141=U141,AY141,AZ141,IF(I141="cache-semantics",AND(AW141=Z141,AND(BA141=AD141,BB141=AH141,BC141=AI141),BF141=AO141),IF(I141="no-store-control",AND(AND(BA141=AD141,BB141=AH141,BC141=AI141),BD141=AJ141,BE141=AL141),FALSE)),BG141=AP141)</x:f>
        <x:v>1</x:v>
      </x:c>
      <x:c r="BI141" s="49" t="b">
        <x:f>AND(J141,K141,BG141)</x:f>
        <x:v>1</x:v>
      </x:c>
    </x:row>
    <x:row r="142">
      <x:c r="A142" s="34" t="str">
        <x:v>article1-unified-v4-2-fb3f101b-20260903-000401-default-f03-p3-ehcache</x:v>
      </x:c>
      <x:c r="B142" s="34" t="str">
        <x:v>default</x:v>
      </x:c>
      <x:c r="C142" s="34" t="str">
        <x:v>ehcache</x:v>
      </x:c>
      <x:c r="D142" s="36" t="n">
        <x:v>3</x:v>
      </x:c>
      <x:c r="E142" s="36" t="n">
        <x:v>3</x:v>
      </x:c>
      <x:c r="F142" s="36" t="n">
        <x:v>3</x:v>
      </x:c>
      <x:c r="G142" s="36" t="n">
        <x:v>1</x:v>
      </x:c>
      <x:c r="H142" s="34" t="str">
        <x:v>initial</x:v>
      </x:c>
      <x:c r="I142" s="34" t="str">
        <x:v>cache-semantics</x:v>
      </x:c>
      <x:c r="J142" s="45" t="b">
        <x:v>1</x:v>
      </x:c>
      <x:c r="K142" s="45" t="b">
        <x:v>1</x:v>
      </x:c>
      <x:c r="L142" s="45" t="b">
        <x:v>1</x:v>
      </x:c>
      <x:c r="M142" s="43" t="n">
        <x:v>400000</x:v>
      </x:c>
      <x:c r="N142" s="43" t="n">
        <x:v>112525824</x:v>
      </x:c>
      <x:c r="O142" s="43" t="n">
        <x:v>22494054.347726513</x:v>
      </x:c>
      <x:c r="P142" s="45" t="b">
        <x:v>1</x:v>
      </x:c>
      <x:c r="Q142" s="45" t="b">
        <x:v>1</x:v>
      </x:c>
      <x:c r="R142" s="45" t="b">
        <x:v>1</x:v>
      </x:c>
      <x:c r="S142" s="43" t="n">
        <x:v>5000000000</x:v>
      </x:c>
      <x:c r="T142" s="43" t="n">
        <x:v>5002469642</x:v>
      </x:c>
      <x:c r="U142" s="45" t="b">
        <x:v>1</x:v>
      </x:c>
      <x:c r="V142" s="34" t="str">
        <x:v>uniform</x:v>
      </x:c>
      <x:c r="W142" s="42" t="n">
        <x:v>95</x:v>
      </x:c>
      <x:c r="X142" s="48" t="n">
        <x:v>0.95</x:v>
      </x:c>
      <x:c r="Y142" s="48" t="n">
        <x:v>0.9489529532349836</x:v>
      </x:c>
      <x:c r="Z142" s="45" t="b">
        <x:v>1</x:v>
      </x:c>
      <x:c r="AA142" s="43" t="n">
        <x:v>10000</x:v>
      </x:c>
      <x:c r="AB142" s="43" t="n">
        <x:v>9900</x:v>
      </x:c>
      <x:c r="AC142" s="43" t="n">
        <x:v>10000</x:v>
      </x:c>
      <x:c r="AD142" s="45" t="b">
        <x:v>1</x:v>
      </x:c>
      <x:c r="AE142" s="43" t="n">
        <x:v>9900</x:v>
      </x:c>
      <x:c r="AF142" s="43"/>
      <x:c r="AG142" s="43" t="n">
        <x:v>10000</x:v>
      </x:c>
      <x:c r="AH142" s="45" t="b">
        <x:v>1</x:v>
      </x:c>
      <x:c r="AI142" s="45" t="b">
        <x:v>1</x:v>
      </x:c>
      <x:c r="AJ142" s="49"/>
      <x:c r="AK142" s="48" t="n">
        <x:v>0.9489529532349836</x:v>
      </x:c>
      <x:c r="AL142" s="49"/>
      <x:c r="AM142" s="49"/>
      <x:c r="AN142" s="36" t="n">
        <x:v>1</x:v>
      </x:c>
      <x:c r="AO142" s="45" t="b">
        <x:v>1</x:v>
      </x:c>
      <x:c r="AP142" s="45" t="b">
        <x:v>1</x:v>
      </x:c>
      <x:c r="AQ142" s="46" t="n">
        <x:f>IF(T142="","",T142/'Readme-Protocol'!$B$24)</x:f>
        <x:v>5.002469642</x:v>
      </x:c>
      <x:c r="AR142" s="46" t="n">
        <x:f>IF(OR(S142="",S142=0),"",T142/S142)</x:f>
        <x:v>1.0004939284</x:v>
      </x:c>
      <x:c r="AS142" s="46" t="n">
        <x:f>IF(OR(X142="",Y142=""),"",ABS(Y142-X142)*'Readme-Protocol'!$B$27)</x:f>
        <x:v>0.1047046765016324</x:v>
      </x:c>
      <x:c r="AT142" s="49" t="b">
        <x:f>AND(M142&gt;0,N142&gt;=0,O142&gt;0)</x:f>
        <x:v>1</x:v>
      </x:c>
      <x:c r="AU142" s="49" t="b">
        <x:f>AND(AT142,N142&gt;=M142)</x:f>
        <x:v>1</x:v>
      </x:c>
      <x:c r="AV142" s="49" t="b">
        <x:f>OR(S142=0,T142&gt;=S142)</x:f>
        <x:v>1</x:v>
      </x:c>
      <x:c r="AW142" s="49" t="b">
        <x:f>IF(I142="cache-semantics",OR(V142&lt;&gt;"uniform",ABS(Y142-W142/'Readme-Protocol'!$B$27)&lt;='Readme-Protocol'!$B$28),TRUE)</x:f>
        <x:v>1</x:v>
      </x:c>
      <x:c r="AX142" s="43" t="n">
        <x:f>IF(I142="cache-semantics",INT(AA142*'Readme-Protocol'!$B$32),"")</x:f>
        <x:v>9900</x:v>
      </x:c>
      <x:c r="AY142" s="49" t="b">
        <x:f>IF(I142="cache-semantics",AX142=AB142,TRUE)</x:f>
        <x:v>1</x:v>
      </x:c>
      <x:c r="AZ142" s="49" t="b">
        <x:f>IF(I142="cache-semantics",AX142=AE142,TRUE)</x:f>
        <x:v>1</x:v>
      </x:c>
      <x:c r="BA142" s="49" t="b">
        <x:f>IF(I142="cache-semantics",AC142&gt;=AX142,IF(I142="no-store-control",AC142=0,FALSE))</x:f>
        <x:v>1</x:v>
      </x:c>
      <x:c r="BB142" s="49" t="b">
        <x:f>IF(I142="cache-semantics",AG142&gt;=AX142,IF(I142="no-store-control",AG142=0,FALSE))</x:f>
        <x:v>1</x:v>
      </x:c>
      <x:c r="BC142" s="49" t="b">
        <x:f>AND(BA142,BB142)</x:f>
        <x:v>1</x:v>
      </x:c>
      <x:c r="BD142" s="49" t="b">
        <x:f>IF(I142="no-store-control",AND(AC142=0,AG142=0),TRUE)</x:f>
        <x:v>1</x:v>
      </x:c>
      <x:c r="BE142" s="49" t="b">
        <x:f>IF(I142="no-store-control",AK142=0,TRUE)</x:f>
        <x:v>1</x:v>
      </x:c>
      <x:c r="BF142" s="49" t="b">
        <x:f>IF(I142="cache-semantics",AN142=1,TRUE)</x:f>
        <x:v>1</x:v>
      </x:c>
      <x:c r="BG142" s="49" t="b">
        <x:f>IF(I142="cache-semantics",AND(AU142,AV142,Q142,AW142,BC142,BF142),IF(I142="no-store-control",AND(AU142,AV142,Q142,BD142,BE142),FALSE))</x:f>
        <x:v>1</x:v>
      </x:c>
      <x:c r="BH142" s="49" t="b">
        <x:f>AND(R142,AT142=P142,AU142=L142,AV142=U142,AY142,AZ142,IF(I142="cache-semantics",AND(AW142=Z142,AND(BA142=AD142,BB142=AH142,BC142=AI142),BF142=AO142),IF(I142="no-store-control",AND(AND(BA142=AD142,BB142=AH142,BC142=AI142),BD142=AJ142,BE142=AL142),FALSE)),BG142=AP142)</x:f>
        <x:v>1</x:v>
      </x:c>
      <x:c r="BI142" s="49" t="b">
        <x:f>AND(J142,K142,BG142)</x:f>
        <x:v>1</x:v>
      </x:c>
    </x:row>
    <x:row r="143">
      <x:c r="A143" s="34" t="str">
        <x:v>article1-unified-v4-2-fb3f101b-20260903-000401-default-f03-p3-ehcache</x:v>
      </x:c>
      <x:c r="B143" s="34" t="str">
        <x:v>default</x:v>
      </x:c>
      <x:c r="C143" s="34" t="str">
        <x:v>ehcache</x:v>
      </x:c>
      <x:c r="D143" s="36" t="n">
        <x:v>3</x:v>
      </x:c>
      <x:c r="E143" s="36" t="n">
        <x:v>3</x:v>
      </x:c>
      <x:c r="F143" s="36" t="n">
        <x:v>3</x:v>
      </x:c>
      <x:c r="G143" s="36" t="n">
        <x:v>1</x:v>
      </x:c>
      <x:c r="H143" s="34" t="str">
        <x:v>redeploy</x:v>
      </x:c>
      <x:c r="I143" s="34" t="str">
        <x:v>cache-semantics</x:v>
      </x:c>
      <x:c r="J143" s="45" t="b">
        <x:v>1</x:v>
      </x:c>
      <x:c r="K143" s="45" t="b">
        <x:v>1</x:v>
      </x:c>
      <x:c r="L143" s="45" t="b">
        <x:v>1</x:v>
      </x:c>
      <x:c r="M143" s="43" t="n">
        <x:v>400000</x:v>
      </x:c>
      <x:c r="N143" s="43" t="n">
        <x:v>101258752</x:v>
      </x:c>
      <x:c r="O143" s="43" t="n">
        <x:v>20242861.03907189</x:v>
      </x:c>
      <x:c r="P143" s="45" t="b">
        <x:v>1</x:v>
      </x:c>
      <x:c r="Q143" s="45" t="b">
        <x:v>1</x:v>
      </x:c>
      <x:c r="R143" s="45" t="b">
        <x:v>1</x:v>
      </x:c>
      <x:c r="S143" s="43" t="n">
        <x:v>5000000000</x:v>
      </x:c>
      <x:c r="T143" s="43" t="n">
        <x:v>5002195678</x:v>
      </x:c>
      <x:c r="U143" s="45" t="b">
        <x:v>1</x:v>
      </x:c>
      <x:c r="V143" s="34" t="str">
        <x:v>uniform</x:v>
      </x:c>
      <x:c r="W143" s="42" t="n">
        <x:v>95</x:v>
      </x:c>
      <x:c r="X143" s="48" t="n">
        <x:v>0.95</x:v>
      </x:c>
      <x:c r="Y143" s="48" t="n">
        <x:v>0.9489621005797109</x:v>
      </x:c>
      <x:c r="Z143" s="45" t="b">
        <x:v>1</x:v>
      </x:c>
      <x:c r="AA143" s="43" t="n">
        <x:v>10000</x:v>
      </x:c>
      <x:c r="AB143" s="43" t="n">
        <x:v>9900</x:v>
      </x:c>
      <x:c r="AC143" s="43" t="n">
        <x:v>10000</x:v>
      </x:c>
      <x:c r="AD143" s="45" t="b">
        <x:v>1</x:v>
      </x:c>
      <x:c r="AE143" s="43" t="n">
        <x:v>9900</x:v>
      </x:c>
      <x:c r="AF143" s="43"/>
      <x:c r="AG143" s="43" t="n">
        <x:v>10000</x:v>
      </x:c>
      <x:c r="AH143" s="45" t="b">
        <x:v>1</x:v>
      </x:c>
      <x:c r="AI143" s="45" t="b">
        <x:v>1</x:v>
      </x:c>
      <x:c r="AJ143" s="49"/>
      <x:c r="AK143" s="48" t="n">
        <x:v>0.9489621005797109</x:v>
      </x:c>
      <x:c r="AL143" s="49"/>
      <x:c r="AM143" s="49"/>
      <x:c r="AN143" s="36" t="n">
        <x:v>1</x:v>
      </x:c>
      <x:c r="AO143" s="45" t="b">
        <x:v>1</x:v>
      </x:c>
      <x:c r="AP143" s="45" t="b">
        <x:v>1</x:v>
      </x:c>
      <x:c r="AQ143" s="46" t="n">
        <x:f>IF(T143="","",T143/'Readme-Protocol'!$B$24)</x:f>
        <x:v>5.002195678</x:v>
      </x:c>
      <x:c r="AR143" s="46" t="n">
        <x:f>IF(OR(S143="",S143=0),"",T143/S143)</x:f>
        <x:v>1.0004391356</x:v>
      </x:c>
      <x:c r="AS143" s="46" t="n">
        <x:f>IF(OR(X143="",Y143=""),"",ABS(Y143-X143)*'Readme-Protocol'!$B$27)</x:f>
        <x:v>0.10378994202890901</x:v>
      </x:c>
      <x:c r="AT143" s="49" t="b">
        <x:f>AND(M143&gt;0,N143&gt;=0,O143&gt;0)</x:f>
        <x:v>1</x:v>
      </x:c>
      <x:c r="AU143" s="49" t="b">
        <x:f>AND(AT143,N143&gt;=M143)</x:f>
        <x:v>1</x:v>
      </x:c>
      <x:c r="AV143" s="49" t="b">
        <x:f>OR(S143=0,T143&gt;=S143)</x:f>
        <x:v>1</x:v>
      </x:c>
      <x:c r="AW143" s="49" t="b">
        <x:f>IF(I143="cache-semantics",OR(V143&lt;&gt;"uniform",ABS(Y143-W143/'Readme-Protocol'!$B$27)&lt;='Readme-Protocol'!$B$28),TRUE)</x:f>
        <x:v>1</x:v>
      </x:c>
      <x:c r="AX143" s="43" t="n">
        <x:f>IF(I143="cache-semantics",INT(AA143*'Readme-Protocol'!$B$32),"")</x:f>
        <x:v>9900</x:v>
      </x:c>
      <x:c r="AY143" s="49" t="b">
        <x:f>IF(I143="cache-semantics",AX143=AB143,TRUE)</x:f>
        <x:v>1</x:v>
      </x:c>
      <x:c r="AZ143" s="49" t="b">
        <x:f>IF(I143="cache-semantics",AX143=AE143,TRUE)</x:f>
        <x:v>1</x:v>
      </x:c>
      <x:c r="BA143" s="49" t="b">
        <x:f>IF(I143="cache-semantics",AC143&gt;=AX143,IF(I143="no-store-control",AC143=0,FALSE))</x:f>
        <x:v>1</x:v>
      </x:c>
      <x:c r="BB143" s="49" t="b">
        <x:f>IF(I143="cache-semantics",AG143&gt;=AX143,IF(I143="no-store-control",AG143=0,FALSE))</x:f>
        <x:v>1</x:v>
      </x:c>
      <x:c r="BC143" s="49" t="b">
        <x:f>AND(BA143,BB143)</x:f>
        <x:v>1</x:v>
      </x:c>
      <x:c r="BD143" s="49" t="b">
        <x:f>IF(I143="no-store-control",AND(AC143=0,AG143=0),TRUE)</x:f>
        <x:v>1</x:v>
      </x:c>
      <x:c r="BE143" s="49" t="b">
        <x:f>IF(I143="no-store-control",AK143=0,TRUE)</x:f>
        <x:v>1</x:v>
      </x:c>
      <x:c r="BF143" s="49" t="b">
        <x:f>IF(I143="cache-semantics",AN143=1,TRUE)</x:f>
        <x:v>1</x:v>
      </x:c>
      <x:c r="BG143" s="49" t="b">
        <x:f>IF(I143="cache-semantics",AND(AU143,AV143,Q143,AW143,BC143,BF143),IF(I143="no-store-control",AND(AU143,AV143,Q143,BD143,BE143),FALSE))</x:f>
        <x:v>1</x:v>
      </x:c>
      <x:c r="BH143" s="49" t="b">
        <x:f>AND(R143,AT143=P143,AU143=L143,AV143=U143,AY143,AZ143,IF(I143="cache-semantics",AND(AW143=Z143,AND(BA143=AD143,BB143=AH143,BC143=AI143),BF143=AO143),IF(I143="no-store-control",AND(AND(BA143=AD143,BB143=AH143,BC143=AI143),BD143=AJ143,BE143=AL143),FALSE)),BG143=AP143)</x:f>
        <x:v>1</x:v>
      </x:c>
      <x:c r="BI143" s="49" t="b">
        <x:f>AND(J143,K143,BG143)</x:f>
        <x:v>1</x:v>
      </x:c>
    </x:row>
    <x:row r="144">
      <x:c r="A144" s="34" t="str">
        <x:v>article1-unified-v4-2-fb3f101b-20260903-000401-default-f03-p3-ehcache</x:v>
      </x:c>
      <x:c r="B144" s="34" t="str">
        <x:v>default</x:v>
      </x:c>
      <x:c r="C144" s="34" t="str">
        <x:v>ehcache</x:v>
      </x:c>
      <x:c r="D144" s="36" t="n">
        <x:v>3</x:v>
      </x:c>
      <x:c r="E144" s="36" t="n">
        <x:v>3</x:v>
      </x:c>
      <x:c r="F144" s="36" t="n">
        <x:v>3</x:v>
      </x:c>
      <x:c r="G144" s="36" t="n">
        <x:v>2</x:v>
      </x:c>
      <x:c r="H144" s="34" t="str">
        <x:v>initial</x:v>
      </x:c>
      <x:c r="I144" s="34" t="str">
        <x:v>cache-semantics</x:v>
      </x:c>
      <x:c r="J144" s="45" t="b">
        <x:v>1</x:v>
      </x:c>
      <x:c r="K144" s="45" t="b">
        <x:v>1</x:v>
      </x:c>
      <x:c r="L144" s="45" t="b">
        <x:v>1</x:v>
      </x:c>
      <x:c r="M144" s="43" t="n">
        <x:v>400000</x:v>
      </x:c>
      <x:c r="N144" s="43" t="n">
        <x:v>120336640</x:v>
      </x:c>
      <x:c r="O144" s="43" t="n">
        <x:v>24057634.529491935</x:v>
      </x:c>
      <x:c r="P144" s="45" t="b">
        <x:v>1</x:v>
      </x:c>
      <x:c r="Q144" s="45" t="b">
        <x:v>1</x:v>
      </x:c>
      <x:c r="R144" s="45" t="b">
        <x:v>1</x:v>
      </x:c>
      <x:c r="S144" s="43" t="n">
        <x:v>5000000000</x:v>
      </x:c>
      <x:c r="T144" s="43" t="n">
        <x:v>5002014635</x:v>
      </x:c>
      <x:c r="U144" s="45" t="b">
        <x:v>1</x:v>
      </x:c>
      <x:c r="V144" s="34" t="str">
        <x:v>uniform</x:v>
      </x:c>
      <x:c r="W144" s="42" t="n">
        <x:v>95</x:v>
      </x:c>
      <x:c r="X144" s="48" t="n">
        <x:v>0.95</x:v>
      </x:c>
      <x:c r="Y144" s="48" t="n">
        <x:v>0.9500525941226213</x:v>
      </x:c>
      <x:c r="Z144" s="45" t="b">
        <x:v>1</x:v>
      </x:c>
      <x:c r="AA144" s="43" t="n">
        <x:v>10000</x:v>
      </x:c>
      <x:c r="AB144" s="43" t="n">
        <x:v>9900</x:v>
      </x:c>
      <x:c r="AC144" s="43" t="n">
        <x:v>10000</x:v>
      </x:c>
      <x:c r="AD144" s="45" t="b">
        <x:v>1</x:v>
      </x:c>
      <x:c r="AE144" s="43" t="n">
        <x:v>9900</x:v>
      </x:c>
      <x:c r="AF144" s="43"/>
      <x:c r="AG144" s="43" t="n">
        <x:v>10000</x:v>
      </x:c>
      <x:c r="AH144" s="45" t="b">
        <x:v>1</x:v>
      </x:c>
      <x:c r="AI144" s="45" t="b">
        <x:v>1</x:v>
      </x:c>
      <x:c r="AJ144" s="49"/>
      <x:c r="AK144" s="48" t="n">
        <x:v>0.9500525941226213</x:v>
      </x:c>
      <x:c r="AL144" s="49"/>
      <x:c r="AM144" s="49"/>
      <x:c r="AN144" s="36" t="n">
        <x:v>1</x:v>
      </x:c>
      <x:c r="AO144" s="45" t="b">
        <x:v>1</x:v>
      </x:c>
      <x:c r="AP144" s="45" t="b">
        <x:v>1</x:v>
      </x:c>
      <x:c r="AQ144" s="46" t="n">
        <x:f>IF(T144="","",T144/'Readme-Protocol'!$B$24)</x:f>
        <x:v>5.002014635</x:v>
      </x:c>
      <x:c r="AR144" s="46" t="n">
        <x:f>IF(OR(S144="",S144=0),"",T144/S144)</x:f>
        <x:v>1.000402927</x:v>
      </x:c>
      <x:c r="AS144" s="46" t="n">
        <x:f>IF(OR(X144="",Y144=""),"",ABS(Y144-X144)*'Readme-Protocol'!$B$27)</x:f>
        <x:v>0.005259412262137442</x:v>
      </x:c>
      <x:c r="AT144" s="49" t="b">
        <x:f>AND(M144&gt;0,N144&gt;=0,O144&gt;0)</x:f>
        <x:v>1</x:v>
      </x:c>
      <x:c r="AU144" s="49" t="b">
        <x:f>AND(AT144,N144&gt;=M144)</x:f>
        <x:v>1</x:v>
      </x:c>
      <x:c r="AV144" s="49" t="b">
        <x:f>OR(S144=0,T144&gt;=S144)</x:f>
        <x:v>1</x:v>
      </x:c>
      <x:c r="AW144" s="49" t="b">
        <x:f>IF(I144="cache-semantics",OR(V144&lt;&gt;"uniform",ABS(Y144-W144/'Readme-Protocol'!$B$27)&lt;='Readme-Protocol'!$B$28),TRUE)</x:f>
        <x:v>1</x:v>
      </x:c>
      <x:c r="AX144" s="43" t="n">
        <x:f>IF(I144="cache-semantics",INT(AA144*'Readme-Protocol'!$B$32),"")</x:f>
        <x:v>9900</x:v>
      </x:c>
      <x:c r="AY144" s="49" t="b">
        <x:f>IF(I144="cache-semantics",AX144=AB144,TRUE)</x:f>
        <x:v>1</x:v>
      </x:c>
      <x:c r="AZ144" s="49" t="b">
        <x:f>IF(I144="cache-semantics",AX144=AE144,TRUE)</x:f>
        <x:v>1</x:v>
      </x:c>
      <x:c r="BA144" s="49" t="b">
        <x:f>IF(I144="cache-semantics",AC144&gt;=AX144,IF(I144="no-store-control",AC144=0,FALSE))</x:f>
        <x:v>1</x:v>
      </x:c>
      <x:c r="BB144" s="49" t="b">
        <x:f>IF(I144="cache-semantics",AG144&gt;=AX144,IF(I144="no-store-control",AG144=0,FALSE))</x:f>
        <x:v>1</x:v>
      </x:c>
      <x:c r="BC144" s="49" t="b">
        <x:f>AND(BA144,BB144)</x:f>
        <x:v>1</x:v>
      </x:c>
      <x:c r="BD144" s="49" t="b">
        <x:f>IF(I144="no-store-control",AND(AC144=0,AG144=0),TRUE)</x:f>
        <x:v>1</x:v>
      </x:c>
      <x:c r="BE144" s="49" t="b">
        <x:f>IF(I144="no-store-control",AK144=0,TRUE)</x:f>
        <x:v>1</x:v>
      </x:c>
      <x:c r="BF144" s="49" t="b">
        <x:f>IF(I144="cache-semantics",AN144=1,TRUE)</x:f>
        <x:v>1</x:v>
      </x:c>
      <x:c r="BG144" s="49" t="b">
        <x:f>IF(I144="cache-semantics",AND(AU144,AV144,Q144,AW144,BC144,BF144),IF(I144="no-store-control",AND(AU144,AV144,Q144,BD144,BE144),FALSE))</x:f>
        <x:v>1</x:v>
      </x:c>
      <x:c r="BH144" s="49" t="b">
        <x:f>AND(R144,AT144=P144,AU144=L144,AV144=U144,AY144,AZ144,IF(I144="cache-semantics",AND(AW144=Z144,AND(BA144=AD144,BB144=AH144,BC144=AI144),BF144=AO144),IF(I144="no-store-control",AND(AND(BA144=AD144,BB144=AH144,BC144=AI144),BD144=AJ144,BE144=AL144),FALSE)),BG144=AP144)</x:f>
        <x:v>1</x:v>
      </x:c>
      <x:c r="BI144" s="49" t="b">
        <x:f>AND(J144,K144,BG144)</x:f>
        <x:v>1</x:v>
      </x:c>
    </x:row>
    <x:row r="145">
      <x:c r="A145" s="34" t="str">
        <x:v>article1-unified-v4-2-fb3f101b-20260903-000401-default-f03-p3-ehcache</x:v>
      </x:c>
      <x:c r="B145" s="34" t="str">
        <x:v>default</x:v>
      </x:c>
      <x:c r="C145" s="34" t="str">
        <x:v>ehcache</x:v>
      </x:c>
      <x:c r="D145" s="36" t="n">
        <x:v>3</x:v>
      </x:c>
      <x:c r="E145" s="36" t="n">
        <x:v>3</x:v>
      </x:c>
      <x:c r="F145" s="36" t="n">
        <x:v>3</x:v>
      </x:c>
      <x:c r="G145" s="36" t="n">
        <x:v>2</x:v>
      </x:c>
      <x:c r="H145" s="34" t="str">
        <x:v>redeploy</x:v>
      </x:c>
      <x:c r="I145" s="34" t="str">
        <x:v>cache-semantics</x:v>
      </x:c>
      <x:c r="J145" s="45" t="b">
        <x:v>1</x:v>
      </x:c>
      <x:c r="K145" s="45" t="b">
        <x:v>1</x:v>
      </x:c>
      <x:c r="L145" s="45" t="b">
        <x:v>1</x:v>
      </x:c>
      <x:c r="M145" s="43" t="n">
        <x:v>400000</x:v>
      </x:c>
      <x:c r="N145" s="43" t="n">
        <x:v>116666624</x:v>
      </x:c>
      <x:c r="O145" s="43" t="n">
        <x:v>23323853.70604944</x:v>
      </x:c>
      <x:c r="P145" s="45" t="b">
        <x:v>1</x:v>
      </x:c>
      <x:c r="Q145" s="45" t="b">
        <x:v>1</x:v>
      </x:c>
      <x:c r="R145" s="45" t="b">
        <x:v>1</x:v>
      </x:c>
      <x:c r="S145" s="43" t="n">
        <x:v>5000000000</x:v>
      </x:c>
      <x:c r="T145" s="43" t="n">
        <x:v>5002030345</x:v>
      </x:c>
      <x:c r="U145" s="45" t="b">
        <x:v>1</x:v>
      </x:c>
      <x:c r="V145" s="34" t="str">
        <x:v>uniform</x:v>
      </x:c>
      <x:c r="W145" s="42" t="n">
        <x:v>95</x:v>
      </x:c>
      <x:c r="X145" s="48" t="n">
        <x:v>0.95</x:v>
      </x:c>
      <x:c r="Y145" s="48" t="n">
        <x:v>0.9500560588776444</x:v>
      </x:c>
      <x:c r="Z145" s="45" t="b">
        <x:v>1</x:v>
      </x:c>
      <x:c r="AA145" s="43" t="n">
        <x:v>10000</x:v>
      </x:c>
      <x:c r="AB145" s="43" t="n">
        <x:v>9900</x:v>
      </x:c>
      <x:c r="AC145" s="43" t="n">
        <x:v>10000</x:v>
      </x:c>
      <x:c r="AD145" s="45" t="b">
        <x:v>1</x:v>
      </x:c>
      <x:c r="AE145" s="43" t="n">
        <x:v>9900</x:v>
      </x:c>
      <x:c r="AF145" s="43"/>
      <x:c r="AG145" s="43" t="n">
        <x:v>10000</x:v>
      </x:c>
      <x:c r="AH145" s="45" t="b">
        <x:v>1</x:v>
      </x:c>
      <x:c r="AI145" s="45" t="b">
        <x:v>1</x:v>
      </x:c>
      <x:c r="AJ145" s="49"/>
      <x:c r="AK145" s="48" t="n">
        <x:v>0.9500560588776444</x:v>
      </x:c>
      <x:c r="AL145" s="49"/>
      <x:c r="AM145" s="49"/>
      <x:c r="AN145" s="36" t="n">
        <x:v>1</x:v>
      </x:c>
      <x:c r="AO145" s="45" t="b">
        <x:v>1</x:v>
      </x:c>
      <x:c r="AP145" s="45" t="b">
        <x:v>1</x:v>
      </x:c>
      <x:c r="AQ145" s="46" t="n">
        <x:f>IF(T145="","",T145/'Readme-Protocol'!$B$24)</x:f>
        <x:v>5.002030345</x:v>
      </x:c>
      <x:c r="AR145" s="46" t="n">
        <x:f>IF(OR(S145="",S145=0),"",T145/S145)</x:f>
        <x:v>1.000406069</x:v>
      </x:c>
      <x:c r="AS145" s="46" t="n">
        <x:f>IF(OR(X145="",Y145=""),"",ABS(Y145-X145)*'Readme-Protocol'!$B$27)</x:f>
        <x:v>0.0056058877644482585</x:v>
      </x:c>
      <x:c r="AT145" s="49" t="b">
        <x:f>AND(M145&gt;0,N145&gt;=0,O145&gt;0)</x:f>
        <x:v>1</x:v>
      </x:c>
      <x:c r="AU145" s="49" t="b">
        <x:f>AND(AT145,N145&gt;=M145)</x:f>
        <x:v>1</x:v>
      </x:c>
      <x:c r="AV145" s="49" t="b">
        <x:f>OR(S145=0,T145&gt;=S145)</x:f>
        <x:v>1</x:v>
      </x:c>
      <x:c r="AW145" s="49" t="b">
        <x:f>IF(I145="cache-semantics",OR(V145&lt;&gt;"uniform",ABS(Y145-W145/'Readme-Protocol'!$B$27)&lt;='Readme-Protocol'!$B$28),TRUE)</x:f>
        <x:v>1</x:v>
      </x:c>
      <x:c r="AX145" s="43" t="n">
        <x:f>IF(I145="cache-semantics",INT(AA145*'Readme-Protocol'!$B$32),"")</x:f>
        <x:v>9900</x:v>
      </x:c>
      <x:c r="AY145" s="49" t="b">
        <x:f>IF(I145="cache-semantics",AX145=AB145,TRUE)</x:f>
        <x:v>1</x:v>
      </x:c>
      <x:c r="AZ145" s="49" t="b">
        <x:f>IF(I145="cache-semantics",AX145=AE145,TRUE)</x:f>
        <x:v>1</x:v>
      </x:c>
      <x:c r="BA145" s="49" t="b">
        <x:f>IF(I145="cache-semantics",AC145&gt;=AX145,IF(I145="no-store-control",AC145=0,FALSE))</x:f>
        <x:v>1</x:v>
      </x:c>
      <x:c r="BB145" s="49" t="b">
        <x:f>IF(I145="cache-semantics",AG145&gt;=AX145,IF(I145="no-store-control",AG145=0,FALSE))</x:f>
        <x:v>1</x:v>
      </x:c>
      <x:c r="BC145" s="49" t="b">
        <x:f>AND(BA145,BB145)</x:f>
        <x:v>1</x:v>
      </x:c>
      <x:c r="BD145" s="49" t="b">
        <x:f>IF(I145="no-store-control",AND(AC145=0,AG145=0),TRUE)</x:f>
        <x:v>1</x:v>
      </x:c>
      <x:c r="BE145" s="49" t="b">
        <x:f>IF(I145="no-store-control",AK145=0,TRUE)</x:f>
        <x:v>1</x:v>
      </x:c>
      <x:c r="BF145" s="49" t="b">
        <x:f>IF(I145="cache-semantics",AN145=1,TRUE)</x:f>
        <x:v>1</x:v>
      </x:c>
      <x:c r="BG145" s="49" t="b">
        <x:f>IF(I145="cache-semantics",AND(AU145,AV145,Q145,AW145,BC145,BF145),IF(I145="no-store-control",AND(AU145,AV145,Q145,BD145,BE145),FALSE))</x:f>
        <x:v>1</x:v>
      </x:c>
      <x:c r="BH145" s="49" t="b">
        <x:f>AND(R145,AT145=P145,AU145=L145,AV145=U145,AY145,AZ145,IF(I145="cache-semantics",AND(AW145=Z145,AND(BA145=AD145,BB145=AH145,BC145=AI145),BF145=AO145),IF(I145="no-store-control",AND(AND(BA145=AD145,BB145=AH145,BC145=AI145),BD145=AJ145,BE145=AL145),FALSE)),BG145=AP145)</x:f>
        <x:v>1</x:v>
      </x:c>
      <x:c r="BI145" s="49" t="b">
        <x:f>AND(J145,K145,BG145)</x:f>
        <x:v>1</x:v>
      </x:c>
    </x:row>
    <x:row r="146">
      <x:c r="A146" s="34" t="str">
        <x:v>article1-unified-v4-2-fb3f101b-20260903-000401-default-f03-p3-ehcache</x:v>
      </x:c>
      <x:c r="B146" s="34" t="str">
        <x:v>default</x:v>
      </x:c>
      <x:c r="C146" s="34" t="str">
        <x:v>ehcache</x:v>
      </x:c>
      <x:c r="D146" s="36" t="n">
        <x:v>3</x:v>
      </x:c>
      <x:c r="E146" s="36" t="n">
        <x:v>3</x:v>
      </x:c>
      <x:c r="F146" s="36" t="n">
        <x:v>3</x:v>
      </x:c>
      <x:c r="G146" s="36" t="n">
        <x:v>3</x:v>
      </x:c>
      <x:c r="H146" s="34" t="str">
        <x:v>initial</x:v>
      </x:c>
      <x:c r="I146" s="34" t="str">
        <x:v>cache-semantics</x:v>
      </x:c>
      <x:c r="J146" s="45" t="b">
        <x:v>1</x:v>
      </x:c>
      <x:c r="K146" s="45" t="b">
        <x:v>1</x:v>
      </x:c>
      <x:c r="L146" s="45" t="b">
        <x:v>1</x:v>
      </x:c>
      <x:c r="M146" s="43" t="n">
        <x:v>400000</x:v>
      </x:c>
      <x:c r="N146" s="43" t="n">
        <x:v>109743104</x:v>
      </x:c>
      <x:c r="O146" s="43" t="n">
        <x:v>21942060.922475196</x:v>
      </x:c>
      <x:c r="P146" s="45" t="b">
        <x:v>1</x:v>
      </x:c>
      <x:c r="Q146" s="45" t="b">
        <x:v>1</x:v>
      </x:c>
      <x:c r="R146" s="45" t="b">
        <x:v>1</x:v>
      </x:c>
      <x:c r="S146" s="43" t="n">
        <x:v>5000000000</x:v>
      </x:c>
      <x:c r="T146" s="43" t="n">
        <x:v>5001494818</x:v>
      </x:c>
      <x:c r="U146" s="45" t="b">
        <x:v>1</x:v>
      </x:c>
      <x:c r="V146" s="34" t="str">
        <x:v>uniform</x:v>
      </x:c>
      <x:c r="W146" s="42" t="n">
        <x:v>95</x:v>
      </x:c>
      <x:c r="X146" s="48" t="n">
        <x:v>0.95</x:v>
      </x:c>
      <x:c r="Y146" s="48" t="n">
        <x:v>0.9501158724287587</x:v>
      </x:c>
      <x:c r="Z146" s="45" t="b">
        <x:v>1</x:v>
      </x:c>
      <x:c r="AA146" s="43" t="n">
        <x:v>10000</x:v>
      </x:c>
      <x:c r="AB146" s="43" t="n">
        <x:v>9900</x:v>
      </x:c>
      <x:c r="AC146" s="43" t="n">
        <x:v>10000</x:v>
      </x:c>
      <x:c r="AD146" s="45" t="b">
        <x:v>1</x:v>
      </x:c>
      <x:c r="AE146" s="43" t="n">
        <x:v>9900</x:v>
      </x:c>
      <x:c r="AF146" s="43"/>
      <x:c r="AG146" s="43" t="n">
        <x:v>10000</x:v>
      </x:c>
      <x:c r="AH146" s="45" t="b">
        <x:v>1</x:v>
      </x:c>
      <x:c r="AI146" s="45" t="b">
        <x:v>1</x:v>
      </x:c>
      <x:c r="AJ146" s="49"/>
      <x:c r="AK146" s="48" t="n">
        <x:v>0.9501158724287587</x:v>
      </x:c>
      <x:c r="AL146" s="49"/>
      <x:c r="AM146" s="49"/>
      <x:c r="AN146" s="36" t="n">
        <x:v>1</x:v>
      </x:c>
      <x:c r="AO146" s="45" t="b">
        <x:v>1</x:v>
      </x:c>
      <x:c r="AP146" s="45" t="b">
        <x:v>1</x:v>
      </x:c>
      <x:c r="AQ146" s="46" t="n">
        <x:f>IF(T146="","",T146/'Readme-Protocol'!$B$24)</x:f>
        <x:v>5.001494818</x:v>
      </x:c>
      <x:c r="AR146" s="46" t="n">
        <x:f>IF(OR(S146="",S146=0),"",T146/S146)</x:f>
        <x:v>1.0002989636</x:v>
      </x:c>
      <x:c r="AS146" s="46" t="n">
        <x:f>IF(OR(X146="",Y146=""),"",ABS(Y146-X146)*'Readme-Protocol'!$B$27)</x:f>
        <x:v>0.011587242875876758</x:v>
      </x:c>
      <x:c r="AT146" s="49" t="b">
        <x:f>AND(M146&gt;0,N146&gt;=0,O146&gt;0)</x:f>
        <x:v>1</x:v>
      </x:c>
      <x:c r="AU146" s="49" t="b">
        <x:f>AND(AT146,N146&gt;=M146)</x:f>
        <x:v>1</x:v>
      </x:c>
      <x:c r="AV146" s="49" t="b">
        <x:f>OR(S146=0,T146&gt;=S146)</x:f>
        <x:v>1</x:v>
      </x:c>
      <x:c r="AW146" s="49" t="b">
        <x:f>IF(I146="cache-semantics",OR(V146&lt;&gt;"uniform",ABS(Y146-W146/'Readme-Protocol'!$B$27)&lt;='Readme-Protocol'!$B$28),TRUE)</x:f>
        <x:v>1</x:v>
      </x:c>
      <x:c r="AX146" s="43" t="n">
        <x:f>IF(I146="cache-semantics",INT(AA146*'Readme-Protocol'!$B$32),"")</x:f>
        <x:v>9900</x:v>
      </x:c>
      <x:c r="AY146" s="49" t="b">
        <x:f>IF(I146="cache-semantics",AX146=AB146,TRUE)</x:f>
        <x:v>1</x:v>
      </x:c>
      <x:c r="AZ146" s="49" t="b">
        <x:f>IF(I146="cache-semantics",AX146=AE146,TRUE)</x:f>
        <x:v>1</x:v>
      </x:c>
      <x:c r="BA146" s="49" t="b">
        <x:f>IF(I146="cache-semantics",AC146&gt;=AX146,IF(I146="no-store-control",AC146=0,FALSE))</x:f>
        <x:v>1</x:v>
      </x:c>
      <x:c r="BB146" s="49" t="b">
        <x:f>IF(I146="cache-semantics",AG146&gt;=AX146,IF(I146="no-store-control",AG146=0,FALSE))</x:f>
        <x:v>1</x:v>
      </x:c>
      <x:c r="BC146" s="49" t="b">
        <x:f>AND(BA146,BB146)</x:f>
        <x:v>1</x:v>
      </x:c>
      <x:c r="BD146" s="49" t="b">
        <x:f>IF(I146="no-store-control",AND(AC146=0,AG146=0),TRUE)</x:f>
        <x:v>1</x:v>
      </x:c>
      <x:c r="BE146" s="49" t="b">
        <x:f>IF(I146="no-store-control",AK146=0,TRUE)</x:f>
        <x:v>1</x:v>
      </x:c>
      <x:c r="BF146" s="49" t="b">
        <x:f>IF(I146="cache-semantics",AN146=1,TRUE)</x:f>
        <x:v>1</x:v>
      </x:c>
      <x:c r="BG146" s="49" t="b">
        <x:f>IF(I146="cache-semantics",AND(AU146,AV146,Q146,AW146,BC146,BF146),IF(I146="no-store-control",AND(AU146,AV146,Q146,BD146,BE146),FALSE))</x:f>
        <x:v>1</x:v>
      </x:c>
      <x:c r="BH146" s="49" t="b">
        <x:f>AND(R146,AT146=P146,AU146=L146,AV146=U146,AY146,AZ146,IF(I146="cache-semantics",AND(AW146=Z146,AND(BA146=AD146,BB146=AH146,BC146=AI146),BF146=AO146),IF(I146="no-store-control",AND(AND(BA146=AD146,BB146=AH146,BC146=AI146),BD146=AJ146,BE146=AL146),FALSE)),BG146=AP146)</x:f>
        <x:v>1</x:v>
      </x:c>
      <x:c r="BI146" s="49" t="b">
        <x:f>AND(J146,K146,BG146)</x:f>
        <x:v>1</x:v>
      </x:c>
    </x:row>
    <x:row r="147">
      <x:c r="A147" s="34" t="str">
        <x:v>article1-unified-v4-2-fb3f101b-20260903-000401-default-f03-p3-ehcache</x:v>
      </x:c>
      <x:c r="B147" s="34" t="str">
        <x:v>default</x:v>
      </x:c>
      <x:c r="C147" s="34" t="str">
        <x:v>ehcache</x:v>
      </x:c>
      <x:c r="D147" s="36" t="n">
        <x:v>3</x:v>
      </x:c>
      <x:c r="E147" s="36" t="n">
        <x:v>3</x:v>
      </x:c>
      <x:c r="F147" s="36" t="n">
        <x:v>3</x:v>
      </x:c>
      <x:c r="G147" s="36" t="n">
        <x:v>3</x:v>
      </x:c>
      <x:c r="H147" s="34" t="str">
        <x:v>redeploy</x:v>
      </x:c>
      <x:c r="I147" s="34" t="str">
        <x:v>cache-semantics</x:v>
      </x:c>
      <x:c r="J147" s="45" t="b">
        <x:v>1</x:v>
      </x:c>
      <x:c r="K147" s="45" t="b">
        <x:v>1</x:v>
      </x:c>
      <x:c r="L147" s="45" t="b">
        <x:v>1</x:v>
      </x:c>
      <x:c r="M147" s="43" t="n">
        <x:v>400000</x:v>
      </x:c>
      <x:c r="N147" s="43" t="n">
        <x:v>116085504</x:v>
      </x:c>
      <x:c r="O147" s="43" t="n">
        <x:v>23208068.19200999</x:v>
      </x:c>
      <x:c r="P147" s="45" t="b">
        <x:v>1</x:v>
      </x:c>
      <x:c r="Q147" s="45" t="b">
        <x:v>1</x:v>
      </x:c>
      <x:c r="R147" s="45" t="b">
        <x:v>1</x:v>
      </x:c>
      <x:c r="S147" s="43" t="n">
        <x:v>5000000000</x:v>
      </x:c>
      <x:c r="T147" s="43" t="n">
        <x:v>5001946006</x:v>
      </x:c>
      <x:c r="U147" s="45" t="b">
        <x:v>1</x:v>
      </x:c>
      <x:c r="V147" s="34" t="str">
        <x:v>uniform</x:v>
      </x:c>
      <x:c r="W147" s="42" t="n">
        <x:v>95</x:v>
      </x:c>
      <x:c r="X147" s="48" t="n">
        <x:v>0.95</x:v>
      </x:c>
      <x:c r="Y147" s="48" t="n">
        <x:v>0.9501108596642696</x:v>
      </x:c>
      <x:c r="Z147" s="45" t="b">
        <x:v>1</x:v>
      </x:c>
      <x:c r="AA147" s="43" t="n">
        <x:v>10000</x:v>
      </x:c>
      <x:c r="AB147" s="43" t="n">
        <x:v>9900</x:v>
      </x:c>
      <x:c r="AC147" s="43" t="n">
        <x:v>10000</x:v>
      </x:c>
      <x:c r="AD147" s="45" t="b">
        <x:v>1</x:v>
      </x:c>
      <x:c r="AE147" s="43" t="n">
        <x:v>9900</x:v>
      </x:c>
      <x:c r="AF147" s="43"/>
      <x:c r="AG147" s="43" t="n">
        <x:v>10000</x:v>
      </x:c>
      <x:c r="AH147" s="45" t="b">
        <x:v>1</x:v>
      </x:c>
      <x:c r="AI147" s="45" t="b">
        <x:v>1</x:v>
      </x:c>
      <x:c r="AJ147" s="49"/>
      <x:c r="AK147" s="48" t="n">
        <x:v>0.9501108596642696</x:v>
      </x:c>
      <x:c r="AL147" s="49"/>
      <x:c r="AM147" s="49"/>
      <x:c r="AN147" s="36" t="n">
        <x:v>1</x:v>
      </x:c>
      <x:c r="AO147" s="45" t="b">
        <x:v>1</x:v>
      </x:c>
      <x:c r="AP147" s="45" t="b">
        <x:v>1</x:v>
      </x:c>
      <x:c r="AQ147" s="46" t="n">
        <x:f>IF(T147="","",T147/'Readme-Protocol'!$B$24)</x:f>
        <x:v>5.001946006</x:v>
      </x:c>
      <x:c r="AR147" s="46" t="n">
        <x:f>IF(OR(S147="",S147=0),"",T147/S147)</x:f>
        <x:v>1.0003892012</x:v>
      </x:c>
      <x:c r="AS147" s="46" t="n">
        <x:f>IF(OR(X147="",Y147=""),"",ABS(Y147-X147)*'Readme-Protocol'!$B$27)</x:f>
        <x:v>0.011085966426960248</x:v>
      </x:c>
      <x:c r="AT147" s="49" t="b">
        <x:f>AND(M147&gt;0,N147&gt;=0,O147&gt;0)</x:f>
        <x:v>1</x:v>
      </x:c>
      <x:c r="AU147" s="49" t="b">
        <x:f>AND(AT147,N147&gt;=M147)</x:f>
        <x:v>1</x:v>
      </x:c>
      <x:c r="AV147" s="49" t="b">
        <x:f>OR(S147=0,T147&gt;=S147)</x:f>
        <x:v>1</x:v>
      </x:c>
      <x:c r="AW147" s="49" t="b">
        <x:f>IF(I147="cache-semantics",OR(V147&lt;&gt;"uniform",ABS(Y147-W147/'Readme-Protocol'!$B$27)&lt;='Readme-Protocol'!$B$28),TRUE)</x:f>
        <x:v>1</x:v>
      </x:c>
      <x:c r="AX147" s="43" t="n">
        <x:f>IF(I147="cache-semantics",INT(AA147*'Readme-Protocol'!$B$32),"")</x:f>
        <x:v>9900</x:v>
      </x:c>
      <x:c r="AY147" s="49" t="b">
        <x:f>IF(I147="cache-semantics",AX147=AB147,TRUE)</x:f>
        <x:v>1</x:v>
      </x:c>
      <x:c r="AZ147" s="49" t="b">
        <x:f>IF(I147="cache-semantics",AX147=AE147,TRUE)</x:f>
        <x:v>1</x:v>
      </x:c>
      <x:c r="BA147" s="49" t="b">
        <x:f>IF(I147="cache-semantics",AC147&gt;=AX147,IF(I147="no-store-control",AC147=0,FALSE))</x:f>
        <x:v>1</x:v>
      </x:c>
      <x:c r="BB147" s="49" t="b">
        <x:f>IF(I147="cache-semantics",AG147&gt;=AX147,IF(I147="no-store-control",AG147=0,FALSE))</x:f>
        <x:v>1</x:v>
      </x:c>
      <x:c r="BC147" s="49" t="b">
        <x:f>AND(BA147,BB147)</x:f>
        <x:v>1</x:v>
      </x:c>
      <x:c r="BD147" s="49" t="b">
        <x:f>IF(I147="no-store-control",AND(AC147=0,AG147=0),TRUE)</x:f>
        <x:v>1</x:v>
      </x:c>
      <x:c r="BE147" s="49" t="b">
        <x:f>IF(I147="no-store-control",AK147=0,TRUE)</x:f>
        <x:v>1</x:v>
      </x:c>
      <x:c r="BF147" s="49" t="b">
        <x:f>IF(I147="cache-semantics",AN147=1,TRUE)</x:f>
        <x:v>1</x:v>
      </x:c>
      <x:c r="BG147" s="49" t="b">
        <x:f>IF(I147="cache-semantics",AND(AU147,AV147,Q147,AW147,BC147,BF147),IF(I147="no-store-control",AND(AU147,AV147,Q147,BD147,BE147),FALSE))</x:f>
        <x:v>1</x:v>
      </x:c>
      <x:c r="BH147" s="49" t="b">
        <x:f>AND(R147,AT147=P147,AU147=L147,AV147=U147,AY147,AZ147,IF(I147="cache-semantics",AND(AW147=Z147,AND(BA147=AD147,BB147=AH147,BC147=AI147),BF147=AO147),IF(I147="no-store-control",AND(AND(BA147=AD147,BB147=AH147,BC147=AI147),BD147=AJ147,BE147=AL147),FALSE)),BG147=AP147)</x:f>
        <x:v>1</x:v>
      </x:c>
      <x:c r="BI147" s="49" t="b">
        <x:f>AND(J147,K147,BG147)</x:f>
        <x:v>1</x:v>
      </x:c>
    </x:row>
    <x:row r="148">
      <x:c r="A148" s="34" t="str">
        <x:v>article1-unified-v4-2-fb3f101b-20260903-000401-default-f03-p3-ehcache</x:v>
      </x:c>
      <x:c r="B148" s="34" t="str">
        <x:v>default</x:v>
      </x:c>
      <x:c r="C148" s="34" t="str">
        <x:v>ehcache</x:v>
      </x:c>
      <x:c r="D148" s="36" t="n">
        <x:v>3</x:v>
      </x:c>
      <x:c r="E148" s="36" t="n">
        <x:v>3</x:v>
      </x:c>
      <x:c r="F148" s="36" t="n">
        <x:v>3</x:v>
      </x:c>
      <x:c r="G148" s="36" t="n">
        <x:v>4</x:v>
      </x:c>
      <x:c r="H148" s="34" t="str">
        <x:v>initial</x:v>
      </x:c>
      <x:c r="I148" s="34" t="str">
        <x:v>cache-semantics</x:v>
      </x:c>
      <x:c r="J148" s="45" t="b">
        <x:v>1</x:v>
      </x:c>
      <x:c r="K148" s="45" t="b">
        <x:v>1</x:v>
      </x:c>
      <x:c r="L148" s="45" t="b">
        <x:v>1</x:v>
      </x:c>
      <x:c r="M148" s="43" t="n">
        <x:v>400000</x:v>
      </x:c>
      <x:c r="N148" s="43" t="n">
        <x:v>124020480</x:v>
      </x:c>
      <x:c r="O148" s="43" t="n">
        <x:v>24793965.914469946</x:v>
      </x:c>
      <x:c r="P148" s="45" t="b">
        <x:v>1</x:v>
      </x:c>
      <x:c r="Q148" s="45" t="b">
        <x:v>1</x:v>
      </x:c>
      <x:c r="R148" s="45" t="b">
        <x:v>1</x:v>
      </x:c>
      <x:c r="S148" s="43" t="n">
        <x:v>5000000000</x:v>
      </x:c>
      <x:c r="T148" s="43" t="n">
        <x:v>5002042853</x:v>
      </x:c>
      <x:c r="U148" s="45" t="b">
        <x:v>1</x:v>
      </x:c>
      <x:c r="V148" s="34" t="str">
        <x:v>uniform</x:v>
      </x:c>
      <x:c r="W148" s="42" t="n">
        <x:v>95</x:v>
      </x:c>
      <x:c r="X148" s="48" t="n">
        <x:v>0.95</x:v>
      </x:c>
      <x:c r="Y148" s="48" t="n">
        <x:v>0.9504006596329897</x:v>
      </x:c>
      <x:c r="Z148" s="45" t="b">
        <x:v>1</x:v>
      </x:c>
      <x:c r="AA148" s="43" t="n">
        <x:v>10000</x:v>
      </x:c>
      <x:c r="AB148" s="43" t="n">
        <x:v>9900</x:v>
      </x:c>
      <x:c r="AC148" s="43" t="n">
        <x:v>10000</x:v>
      </x:c>
      <x:c r="AD148" s="45" t="b">
        <x:v>1</x:v>
      </x:c>
      <x:c r="AE148" s="43" t="n">
        <x:v>9900</x:v>
      </x:c>
      <x:c r="AF148" s="43"/>
      <x:c r="AG148" s="43" t="n">
        <x:v>10000</x:v>
      </x:c>
      <x:c r="AH148" s="45" t="b">
        <x:v>1</x:v>
      </x:c>
      <x:c r="AI148" s="45" t="b">
        <x:v>1</x:v>
      </x:c>
      <x:c r="AJ148" s="49"/>
      <x:c r="AK148" s="48" t="n">
        <x:v>0.9504006596329897</x:v>
      </x:c>
      <x:c r="AL148" s="49"/>
      <x:c r="AM148" s="49"/>
      <x:c r="AN148" s="36" t="n">
        <x:v>1</x:v>
      </x:c>
      <x:c r="AO148" s="45" t="b">
        <x:v>1</x:v>
      </x:c>
      <x:c r="AP148" s="45" t="b">
        <x:v>1</x:v>
      </x:c>
      <x:c r="AQ148" s="46" t="n">
        <x:f>IF(T148="","",T148/'Readme-Protocol'!$B$24)</x:f>
        <x:v>5.002042853</x:v>
      </x:c>
      <x:c r="AR148" s="46" t="n">
        <x:f>IF(OR(S148="",S148=0),"",T148/S148)</x:f>
        <x:v>1.0004085706</x:v>
      </x:c>
      <x:c r="AS148" s="46" t="n">
        <x:f>IF(OR(X148="",Y148=""),"",ABS(Y148-X148)*'Readme-Protocol'!$B$27)</x:f>
        <x:v>0.04006596329897416</x:v>
      </x:c>
      <x:c r="AT148" s="49" t="b">
        <x:f>AND(M148&gt;0,N148&gt;=0,O148&gt;0)</x:f>
        <x:v>1</x:v>
      </x:c>
      <x:c r="AU148" s="49" t="b">
        <x:f>AND(AT148,N148&gt;=M148)</x:f>
        <x:v>1</x:v>
      </x:c>
      <x:c r="AV148" s="49" t="b">
        <x:f>OR(S148=0,T148&gt;=S148)</x:f>
        <x:v>1</x:v>
      </x:c>
      <x:c r="AW148" s="49" t="b">
        <x:f>IF(I148="cache-semantics",OR(V148&lt;&gt;"uniform",ABS(Y148-W148/'Readme-Protocol'!$B$27)&lt;='Readme-Protocol'!$B$28),TRUE)</x:f>
        <x:v>1</x:v>
      </x:c>
      <x:c r="AX148" s="43" t="n">
        <x:f>IF(I148="cache-semantics",INT(AA148*'Readme-Protocol'!$B$32),"")</x:f>
        <x:v>9900</x:v>
      </x:c>
      <x:c r="AY148" s="49" t="b">
        <x:f>IF(I148="cache-semantics",AX148=AB148,TRUE)</x:f>
        <x:v>1</x:v>
      </x:c>
      <x:c r="AZ148" s="49" t="b">
        <x:f>IF(I148="cache-semantics",AX148=AE148,TRUE)</x:f>
        <x:v>1</x:v>
      </x:c>
      <x:c r="BA148" s="49" t="b">
        <x:f>IF(I148="cache-semantics",AC148&gt;=AX148,IF(I148="no-store-control",AC148=0,FALSE))</x:f>
        <x:v>1</x:v>
      </x:c>
      <x:c r="BB148" s="49" t="b">
        <x:f>IF(I148="cache-semantics",AG148&gt;=AX148,IF(I148="no-store-control",AG148=0,FALSE))</x:f>
        <x:v>1</x:v>
      </x:c>
      <x:c r="BC148" s="49" t="b">
        <x:f>AND(BA148,BB148)</x:f>
        <x:v>1</x:v>
      </x:c>
      <x:c r="BD148" s="49" t="b">
        <x:f>IF(I148="no-store-control",AND(AC148=0,AG148=0),TRUE)</x:f>
        <x:v>1</x:v>
      </x:c>
      <x:c r="BE148" s="49" t="b">
        <x:f>IF(I148="no-store-control",AK148=0,TRUE)</x:f>
        <x:v>1</x:v>
      </x:c>
      <x:c r="BF148" s="49" t="b">
        <x:f>IF(I148="cache-semantics",AN148=1,TRUE)</x:f>
        <x:v>1</x:v>
      </x:c>
      <x:c r="BG148" s="49" t="b">
        <x:f>IF(I148="cache-semantics",AND(AU148,AV148,Q148,AW148,BC148,BF148),IF(I148="no-store-control",AND(AU148,AV148,Q148,BD148,BE148),FALSE))</x:f>
        <x:v>1</x:v>
      </x:c>
      <x:c r="BH148" s="49" t="b">
        <x:f>AND(R148,AT148=P148,AU148=L148,AV148=U148,AY148,AZ148,IF(I148="cache-semantics",AND(AW148=Z148,AND(BA148=AD148,BB148=AH148,BC148=AI148),BF148=AO148),IF(I148="no-store-control",AND(AND(BA148=AD148,BB148=AH148,BC148=AI148),BD148=AJ148,BE148=AL148),FALSE)),BG148=AP148)</x:f>
        <x:v>1</x:v>
      </x:c>
      <x:c r="BI148" s="49" t="b">
        <x:f>AND(J148,K148,BG148)</x:f>
        <x:v>1</x:v>
      </x:c>
    </x:row>
    <x:row r="149">
      <x:c r="A149" s="34" t="str">
        <x:v>article1-unified-v4-2-fb3f101b-20260903-000401-default-f03-p3-ehcache</x:v>
      </x:c>
      <x:c r="B149" s="34" t="str">
        <x:v>default</x:v>
      </x:c>
      <x:c r="C149" s="34" t="str">
        <x:v>ehcache</x:v>
      </x:c>
      <x:c r="D149" s="36" t="n">
        <x:v>3</x:v>
      </x:c>
      <x:c r="E149" s="36" t="n">
        <x:v>3</x:v>
      </x:c>
      <x:c r="F149" s="36" t="n">
        <x:v>3</x:v>
      </x:c>
      <x:c r="G149" s="36" t="n">
        <x:v>4</x:v>
      </x:c>
      <x:c r="H149" s="34" t="str">
        <x:v>redeploy</x:v>
      </x:c>
      <x:c r="I149" s="34" t="str">
        <x:v>cache-semantics</x:v>
      </x:c>
      <x:c r="J149" s="45" t="b">
        <x:v>1</x:v>
      </x:c>
      <x:c r="K149" s="45" t="b">
        <x:v>1</x:v>
      </x:c>
      <x:c r="L149" s="45" t="b">
        <x:v>1</x:v>
      </x:c>
      <x:c r="M149" s="43" t="n">
        <x:v>400000</x:v>
      </x:c>
      <x:c r="N149" s="43" t="n">
        <x:v>122902272</x:v>
      </x:c>
      <x:c r="O149" s="43" t="n">
        <x:v>24569621.147901695</x:v>
      </x:c>
      <x:c r="P149" s="45" t="b">
        <x:v>1</x:v>
      </x:c>
      <x:c r="Q149" s="45" t="b">
        <x:v>1</x:v>
      </x:c>
      <x:c r="R149" s="45" t="b">
        <x:v>1</x:v>
      </x:c>
      <x:c r="S149" s="43" t="n">
        <x:v>5000000000</x:v>
      </x:c>
      <x:c r="T149" s="43" t="n">
        <x:v>5002204603</x:v>
      </x:c>
      <x:c r="U149" s="45" t="b">
        <x:v>1</x:v>
      </x:c>
      <x:c r="V149" s="34" t="str">
        <x:v>uniform</x:v>
      </x:c>
      <x:c r="W149" s="42" t="n">
        <x:v>95</x:v>
      </x:c>
      <x:c r="X149" s="48" t="n">
        <x:v>0.95</x:v>
      </x:c>
      <x:c r="Y149" s="48" t="n">
        <x:v>0.9504107540013581</x:v>
      </x:c>
      <x:c r="Z149" s="45" t="b">
        <x:v>1</x:v>
      </x:c>
      <x:c r="AA149" s="43" t="n">
        <x:v>10000</x:v>
      </x:c>
      <x:c r="AB149" s="43" t="n">
        <x:v>9900</x:v>
      </x:c>
      <x:c r="AC149" s="43" t="n">
        <x:v>10000</x:v>
      </x:c>
      <x:c r="AD149" s="45" t="b">
        <x:v>1</x:v>
      </x:c>
      <x:c r="AE149" s="43" t="n">
        <x:v>9900</x:v>
      </x:c>
      <x:c r="AF149" s="43"/>
      <x:c r="AG149" s="43" t="n">
        <x:v>10000</x:v>
      </x:c>
      <x:c r="AH149" s="45" t="b">
        <x:v>1</x:v>
      </x:c>
      <x:c r="AI149" s="45" t="b">
        <x:v>1</x:v>
      </x:c>
      <x:c r="AJ149" s="49"/>
      <x:c r="AK149" s="48" t="n">
        <x:v>0.9504107540013581</x:v>
      </x:c>
      <x:c r="AL149" s="49"/>
      <x:c r="AM149" s="49"/>
      <x:c r="AN149" s="36" t="n">
        <x:v>1</x:v>
      </x:c>
      <x:c r="AO149" s="45" t="b">
        <x:v>1</x:v>
      </x:c>
      <x:c r="AP149" s="45" t="b">
        <x:v>1</x:v>
      </x:c>
      <x:c r="AQ149" s="46" t="n">
        <x:f>IF(T149="","",T149/'Readme-Protocol'!$B$24)</x:f>
        <x:v>5.002204603</x:v>
      </x:c>
      <x:c r="AR149" s="46" t="n">
        <x:f>IF(OR(S149="",S149=0),"",T149/S149)</x:f>
        <x:v>1.0004409206</x:v>
      </x:c>
      <x:c r="AS149" s="46" t="n">
        <x:f>IF(OR(X149="",Y149=""),"",ABS(Y149-X149)*'Readme-Protocol'!$B$27)</x:f>
        <x:v>0.0410754001358149</x:v>
      </x:c>
      <x:c r="AT149" s="49" t="b">
        <x:f>AND(M149&gt;0,N149&gt;=0,O149&gt;0)</x:f>
        <x:v>1</x:v>
      </x:c>
      <x:c r="AU149" s="49" t="b">
        <x:f>AND(AT149,N149&gt;=M149)</x:f>
        <x:v>1</x:v>
      </x:c>
      <x:c r="AV149" s="49" t="b">
        <x:f>OR(S149=0,T149&gt;=S149)</x:f>
        <x:v>1</x:v>
      </x:c>
      <x:c r="AW149" s="49" t="b">
        <x:f>IF(I149="cache-semantics",OR(V149&lt;&gt;"uniform",ABS(Y149-W149/'Readme-Protocol'!$B$27)&lt;='Readme-Protocol'!$B$28),TRUE)</x:f>
        <x:v>1</x:v>
      </x:c>
      <x:c r="AX149" s="43" t="n">
        <x:f>IF(I149="cache-semantics",INT(AA149*'Readme-Protocol'!$B$32),"")</x:f>
        <x:v>9900</x:v>
      </x:c>
      <x:c r="AY149" s="49" t="b">
        <x:f>IF(I149="cache-semantics",AX149=AB149,TRUE)</x:f>
        <x:v>1</x:v>
      </x:c>
      <x:c r="AZ149" s="49" t="b">
        <x:f>IF(I149="cache-semantics",AX149=AE149,TRUE)</x:f>
        <x:v>1</x:v>
      </x:c>
      <x:c r="BA149" s="49" t="b">
        <x:f>IF(I149="cache-semantics",AC149&gt;=AX149,IF(I149="no-store-control",AC149=0,FALSE))</x:f>
        <x:v>1</x:v>
      </x:c>
      <x:c r="BB149" s="49" t="b">
        <x:f>IF(I149="cache-semantics",AG149&gt;=AX149,IF(I149="no-store-control",AG149=0,FALSE))</x:f>
        <x:v>1</x:v>
      </x:c>
      <x:c r="BC149" s="49" t="b">
        <x:f>AND(BA149,BB149)</x:f>
        <x:v>1</x:v>
      </x:c>
      <x:c r="BD149" s="49" t="b">
        <x:f>IF(I149="no-store-control",AND(AC149=0,AG149=0),TRUE)</x:f>
        <x:v>1</x:v>
      </x:c>
      <x:c r="BE149" s="49" t="b">
        <x:f>IF(I149="no-store-control",AK149=0,TRUE)</x:f>
        <x:v>1</x:v>
      </x:c>
      <x:c r="BF149" s="49" t="b">
        <x:f>IF(I149="cache-semantics",AN149=1,TRUE)</x:f>
        <x:v>1</x:v>
      </x:c>
      <x:c r="BG149" s="49" t="b">
        <x:f>IF(I149="cache-semantics",AND(AU149,AV149,Q149,AW149,BC149,BF149),IF(I149="no-store-control",AND(AU149,AV149,Q149,BD149,BE149),FALSE))</x:f>
        <x:v>1</x:v>
      </x:c>
      <x:c r="BH149" s="49" t="b">
        <x:f>AND(R149,AT149=P149,AU149=L149,AV149=U149,AY149,AZ149,IF(I149="cache-semantics",AND(AW149=Z149,AND(BA149=AD149,BB149=AH149,BC149=AI149),BF149=AO149),IF(I149="no-store-control",AND(AND(BA149=AD149,BB149=AH149,BC149=AI149),BD149=AJ149,BE149=AL149),FALSE)),BG149=AP149)</x:f>
        <x:v>1</x:v>
      </x:c>
      <x:c r="BI149" s="49" t="b">
        <x:f>AND(J149,K149,BG149)</x:f>
        <x:v>1</x:v>
      </x:c>
    </x:row>
    <x:row r="150">
      <x:c r="A150" s="34" t="str">
        <x:v>article1-unified-v4-2-fb3f101b-20260903-000401-default-f03-p3-ehcache</x:v>
      </x:c>
      <x:c r="B150" s="34" t="str">
        <x:v>default</x:v>
      </x:c>
      <x:c r="C150" s="34" t="str">
        <x:v>ehcache</x:v>
      </x:c>
      <x:c r="D150" s="36" t="n">
        <x:v>3</x:v>
      </x:c>
      <x:c r="E150" s="36" t="n">
        <x:v>3</x:v>
      </x:c>
      <x:c r="F150" s="36" t="n">
        <x:v>3</x:v>
      </x:c>
      <x:c r="G150" s="36" t="n">
        <x:v>5</x:v>
      </x:c>
      <x:c r="H150" s="34" t="str">
        <x:v>initial</x:v>
      </x:c>
      <x:c r="I150" s="34" t="str">
        <x:v>cache-semantics</x:v>
      </x:c>
      <x:c r="J150" s="45" t="b">
        <x:v>1</x:v>
      </x:c>
      <x:c r="K150" s="45" t="b">
        <x:v>1</x:v>
      </x:c>
      <x:c r="L150" s="45" t="b">
        <x:v>1</x:v>
      </x:c>
      <x:c r="M150" s="43" t="n">
        <x:v>400000</x:v>
      </x:c>
      <x:c r="N150" s="43" t="n">
        <x:v>128192000</x:v>
      </x:c>
      <x:c r="O150" s="43" t="n">
        <x:v>25628516.87503748</x:v>
      </x:c>
      <x:c r="P150" s="45" t="b">
        <x:v>1</x:v>
      </x:c>
      <x:c r="Q150" s="45" t="b">
        <x:v>1</x:v>
      </x:c>
      <x:c r="R150" s="45" t="b">
        <x:v>1</x:v>
      </x:c>
      <x:c r="S150" s="43" t="n">
        <x:v>5000000000</x:v>
      </x:c>
      <x:c r="T150" s="43" t="n">
        <x:v>5001928150</x:v>
      </x:c>
      <x:c r="U150" s="45" t="b">
        <x:v>1</x:v>
      </x:c>
      <x:c r="V150" s="34" t="str">
        <x:v>uniform</x:v>
      </x:c>
      <x:c r="W150" s="42" t="n">
        <x:v>95</x:v>
      </x:c>
      <x:c r="X150" s="48" t="n">
        <x:v>0.95</x:v>
      </x:c>
      <x:c r="Y150" s="48" t="n">
        <x:v>0.949837610771343</x:v>
      </x:c>
      <x:c r="Z150" s="45" t="b">
        <x:v>1</x:v>
      </x:c>
      <x:c r="AA150" s="43" t="n">
        <x:v>10000</x:v>
      </x:c>
      <x:c r="AB150" s="43" t="n">
        <x:v>9900</x:v>
      </x:c>
      <x:c r="AC150" s="43" t="n">
        <x:v>10000</x:v>
      </x:c>
      <x:c r="AD150" s="45" t="b">
        <x:v>1</x:v>
      </x:c>
      <x:c r="AE150" s="43" t="n">
        <x:v>9900</x:v>
      </x:c>
      <x:c r="AF150" s="43"/>
      <x:c r="AG150" s="43" t="n">
        <x:v>10000</x:v>
      </x:c>
      <x:c r="AH150" s="45" t="b">
        <x:v>1</x:v>
      </x:c>
      <x:c r="AI150" s="45" t="b">
        <x:v>1</x:v>
      </x:c>
      <x:c r="AJ150" s="49"/>
      <x:c r="AK150" s="48" t="n">
        <x:v>0.949837610771343</x:v>
      </x:c>
      <x:c r="AL150" s="49"/>
      <x:c r="AM150" s="49"/>
      <x:c r="AN150" s="36" t="n">
        <x:v>1</x:v>
      </x:c>
      <x:c r="AO150" s="45" t="b">
        <x:v>1</x:v>
      </x:c>
      <x:c r="AP150" s="45" t="b">
        <x:v>1</x:v>
      </x:c>
      <x:c r="AQ150" s="46" t="n">
        <x:f>IF(T150="","",T150/'Readme-Protocol'!$B$24)</x:f>
        <x:v>5.00192815</x:v>
      </x:c>
      <x:c r="AR150" s="46" t="n">
        <x:f>IF(OR(S150="",S150=0),"",T150/S150)</x:f>
        <x:v>1.00038563</x:v>
      </x:c>
      <x:c r="AS150" s="46" t="n">
        <x:f>IF(OR(X150="",Y150=""),"",ABS(Y150-X150)*'Readme-Protocol'!$B$27)</x:f>
        <x:v>0.016238922865696725</x:v>
      </x:c>
      <x:c r="AT150" s="49" t="b">
        <x:f>AND(M150&gt;0,N150&gt;=0,O150&gt;0)</x:f>
        <x:v>1</x:v>
      </x:c>
      <x:c r="AU150" s="49" t="b">
        <x:f>AND(AT150,N150&gt;=M150)</x:f>
        <x:v>1</x:v>
      </x:c>
      <x:c r="AV150" s="49" t="b">
        <x:f>OR(S150=0,T150&gt;=S150)</x:f>
        <x:v>1</x:v>
      </x:c>
      <x:c r="AW150" s="49" t="b">
        <x:f>IF(I150="cache-semantics",OR(V150&lt;&gt;"uniform",ABS(Y150-W150/'Readme-Protocol'!$B$27)&lt;='Readme-Protocol'!$B$28),TRUE)</x:f>
        <x:v>1</x:v>
      </x:c>
      <x:c r="AX150" s="43" t="n">
        <x:f>IF(I150="cache-semantics",INT(AA150*'Readme-Protocol'!$B$32),"")</x:f>
        <x:v>9900</x:v>
      </x:c>
      <x:c r="AY150" s="49" t="b">
        <x:f>IF(I150="cache-semantics",AX150=AB150,TRUE)</x:f>
        <x:v>1</x:v>
      </x:c>
      <x:c r="AZ150" s="49" t="b">
        <x:f>IF(I150="cache-semantics",AX150=AE150,TRUE)</x:f>
        <x:v>1</x:v>
      </x:c>
      <x:c r="BA150" s="49" t="b">
        <x:f>IF(I150="cache-semantics",AC150&gt;=AX150,IF(I150="no-store-control",AC150=0,FALSE))</x:f>
        <x:v>1</x:v>
      </x:c>
      <x:c r="BB150" s="49" t="b">
        <x:f>IF(I150="cache-semantics",AG150&gt;=AX150,IF(I150="no-store-control",AG150=0,FALSE))</x:f>
        <x:v>1</x:v>
      </x:c>
      <x:c r="BC150" s="49" t="b">
        <x:f>AND(BA150,BB150)</x:f>
        <x:v>1</x:v>
      </x:c>
      <x:c r="BD150" s="49" t="b">
        <x:f>IF(I150="no-store-control",AND(AC150=0,AG150=0),TRUE)</x:f>
        <x:v>1</x:v>
      </x:c>
      <x:c r="BE150" s="49" t="b">
        <x:f>IF(I150="no-store-control",AK150=0,TRUE)</x:f>
        <x:v>1</x:v>
      </x:c>
      <x:c r="BF150" s="49" t="b">
        <x:f>IF(I150="cache-semantics",AN150=1,TRUE)</x:f>
        <x:v>1</x:v>
      </x:c>
      <x:c r="BG150" s="49" t="b">
        <x:f>IF(I150="cache-semantics",AND(AU150,AV150,Q150,AW150,BC150,BF150),IF(I150="no-store-control",AND(AU150,AV150,Q150,BD150,BE150),FALSE))</x:f>
        <x:v>1</x:v>
      </x:c>
      <x:c r="BH150" s="49" t="b">
        <x:f>AND(R150,AT150=P150,AU150=L150,AV150=U150,AY150,AZ150,IF(I150="cache-semantics",AND(AW150=Z150,AND(BA150=AD150,BB150=AH150,BC150=AI150),BF150=AO150),IF(I150="no-store-control",AND(AND(BA150=AD150,BB150=AH150,BC150=AI150),BD150=AJ150,BE150=AL150),FALSE)),BG150=AP150)</x:f>
        <x:v>1</x:v>
      </x:c>
      <x:c r="BI150" s="49" t="b">
        <x:f>AND(J150,K150,BG150)</x:f>
        <x:v>1</x:v>
      </x:c>
    </x:row>
    <x:row r="151">
      <x:c r="A151" s="34" t="str">
        <x:v>article1-unified-v4-2-fb3f101b-20260903-000401-default-f03-p3-ehcache</x:v>
      </x:c>
      <x:c r="B151" s="34" t="str">
        <x:v>default</x:v>
      </x:c>
      <x:c r="C151" s="34" t="str">
        <x:v>ehcache</x:v>
      </x:c>
      <x:c r="D151" s="36" t="n">
        <x:v>3</x:v>
      </x:c>
      <x:c r="E151" s="36" t="n">
        <x:v>3</x:v>
      </x:c>
      <x:c r="F151" s="36" t="n">
        <x:v>3</x:v>
      </x:c>
      <x:c r="G151" s="36" t="n">
        <x:v>5</x:v>
      </x:c>
      <x:c r="H151" s="34" t="str">
        <x:v>redeploy</x:v>
      </x:c>
      <x:c r="I151" s="34" t="str">
        <x:v>cache-semantics</x:v>
      </x:c>
      <x:c r="J151" s="45" t="b">
        <x:v>1</x:v>
      </x:c>
      <x:c r="K151" s="45" t="b">
        <x:v>1</x:v>
      </x:c>
      <x:c r="L151" s="45" t="b">
        <x:v>1</x:v>
      </x:c>
      <x:c r="M151" s="43" t="n">
        <x:v>400000</x:v>
      </x:c>
      <x:c r="N151" s="43" t="n">
        <x:v>122535936</x:v>
      </x:c>
      <x:c r="O151" s="43" t="n">
        <x:v>24498964.98476643</x:v>
      </x:c>
      <x:c r="P151" s="45" t="b">
        <x:v>1</x:v>
      </x:c>
      <x:c r="Q151" s="45" t="b">
        <x:v>1</x:v>
      </x:c>
      <x:c r="R151" s="45" t="b">
        <x:v>1</x:v>
      </x:c>
      <x:c r="S151" s="43" t="n">
        <x:v>5000000000</x:v>
      </x:c>
      <x:c r="T151" s="43" t="n">
        <x:v>5001678074</x:v>
      </x:c>
      <x:c r="U151" s="45" t="b">
        <x:v>1</x:v>
      </x:c>
      <x:c r="V151" s="34" t="str">
        <x:v>uniform</x:v>
      </x:c>
      <x:c r="W151" s="42" t="n">
        <x:v>95</x:v>
      </x:c>
      <x:c r="X151" s="48" t="n">
        <x:v>0.95</x:v>
      </x:c>
      <x:c r="Y151" s="48" t="n">
        <x:v>0.9498283099579865</x:v>
      </x:c>
      <x:c r="Z151" s="45" t="b">
        <x:v>1</x:v>
      </x:c>
      <x:c r="AA151" s="43" t="n">
        <x:v>10000</x:v>
      </x:c>
      <x:c r="AB151" s="43" t="n">
        <x:v>9900</x:v>
      </x:c>
      <x:c r="AC151" s="43" t="n">
        <x:v>10000</x:v>
      </x:c>
      <x:c r="AD151" s="45" t="b">
        <x:v>1</x:v>
      </x:c>
      <x:c r="AE151" s="43" t="n">
        <x:v>9900</x:v>
      </x:c>
      <x:c r="AF151" s="43"/>
      <x:c r="AG151" s="43" t="n">
        <x:v>10000</x:v>
      </x:c>
      <x:c r="AH151" s="45" t="b">
        <x:v>1</x:v>
      </x:c>
      <x:c r="AI151" s="45" t="b">
        <x:v>1</x:v>
      </x:c>
      <x:c r="AJ151" s="49"/>
      <x:c r="AK151" s="48" t="n">
        <x:v>0.9498283099579865</x:v>
      </x:c>
      <x:c r="AL151" s="49"/>
      <x:c r="AM151" s="49"/>
      <x:c r="AN151" s="36" t="n">
        <x:v>1</x:v>
      </x:c>
      <x:c r="AO151" s="45" t="b">
        <x:v>1</x:v>
      </x:c>
      <x:c r="AP151" s="45" t="b">
        <x:v>1</x:v>
      </x:c>
      <x:c r="AQ151" s="46" t="n">
        <x:f>IF(T151="","",T151/'Readme-Protocol'!$B$24)</x:f>
        <x:v>5.001678074</x:v>
      </x:c>
      <x:c r="AR151" s="46" t="n">
        <x:f>IF(OR(S151="",S151=0),"",T151/S151)</x:f>
        <x:v>1.0003356148</x:v>
      </x:c>
      <x:c r="AS151" s="46" t="n">
        <x:f>IF(OR(X151="",Y151=""),"",ABS(Y151-X151)*'Readme-Protocol'!$B$27)</x:f>
        <x:v>0.01716900420134504</x:v>
      </x:c>
      <x:c r="AT151" s="49" t="b">
        <x:f>AND(M151&gt;0,N151&gt;=0,O151&gt;0)</x:f>
        <x:v>1</x:v>
      </x:c>
      <x:c r="AU151" s="49" t="b">
        <x:f>AND(AT151,N151&gt;=M151)</x:f>
        <x:v>1</x:v>
      </x:c>
      <x:c r="AV151" s="49" t="b">
        <x:f>OR(S151=0,T151&gt;=S151)</x:f>
        <x:v>1</x:v>
      </x:c>
      <x:c r="AW151" s="49" t="b">
        <x:f>IF(I151="cache-semantics",OR(V151&lt;&gt;"uniform",ABS(Y151-W151/'Readme-Protocol'!$B$27)&lt;='Readme-Protocol'!$B$28),TRUE)</x:f>
        <x:v>1</x:v>
      </x:c>
      <x:c r="AX151" s="43" t="n">
        <x:f>IF(I151="cache-semantics",INT(AA151*'Readme-Protocol'!$B$32),"")</x:f>
        <x:v>9900</x:v>
      </x:c>
      <x:c r="AY151" s="49" t="b">
        <x:f>IF(I151="cache-semantics",AX151=AB151,TRUE)</x:f>
        <x:v>1</x:v>
      </x:c>
      <x:c r="AZ151" s="49" t="b">
        <x:f>IF(I151="cache-semantics",AX151=AE151,TRUE)</x:f>
        <x:v>1</x:v>
      </x:c>
      <x:c r="BA151" s="49" t="b">
        <x:f>IF(I151="cache-semantics",AC151&gt;=AX151,IF(I151="no-store-control",AC151=0,FALSE))</x:f>
        <x:v>1</x:v>
      </x:c>
      <x:c r="BB151" s="49" t="b">
        <x:f>IF(I151="cache-semantics",AG151&gt;=AX151,IF(I151="no-store-control",AG151=0,FALSE))</x:f>
        <x:v>1</x:v>
      </x:c>
      <x:c r="BC151" s="49" t="b">
        <x:f>AND(BA151,BB151)</x:f>
        <x:v>1</x:v>
      </x:c>
      <x:c r="BD151" s="49" t="b">
        <x:f>IF(I151="no-store-control",AND(AC151=0,AG151=0),TRUE)</x:f>
        <x:v>1</x:v>
      </x:c>
      <x:c r="BE151" s="49" t="b">
        <x:f>IF(I151="no-store-control",AK151=0,TRUE)</x:f>
        <x:v>1</x:v>
      </x:c>
      <x:c r="BF151" s="49" t="b">
        <x:f>IF(I151="cache-semantics",AN151=1,TRUE)</x:f>
        <x:v>1</x:v>
      </x:c>
      <x:c r="BG151" s="49" t="b">
        <x:f>IF(I151="cache-semantics",AND(AU151,AV151,Q151,AW151,BC151,BF151),IF(I151="no-store-control",AND(AU151,AV151,Q151,BD151,BE151),FALSE))</x:f>
        <x:v>1</x:v>
      </x:c>
      <x:c r="BH151" s="49" t="b">
        <x:f>AND(R151,AT151=P151,AU151=L151,AV151=U151,AY151,AZ151,IF(I151="cache-semantics",AND(AW151=Z151,AND(BA151=AD151,BB151=AH151,BC151=AI151),BF151=AO151),IF(I151="no-store-control",AND(AND(BA151=AD151,BB151=AH151,BC151=AI151),BD151=AJ151,BE151=AL151),FALSE)),BG151=AP151)</x:f>
        <x:v>1</x:v>
      </x:c>
      <x:c r="BI151" s="49" t="b">
        <x:f>AND(J151,K151,BG151)</x:f>
        <x:v>1</x:v>
      </x:c>
    </x:row>
    <x:row r="152">
      <x:c r="A152" s="34" t="str">
        <x:v>article1-unified-v4-2-fb3f101b-20260903-000401-default-f03-p4-jcs321</x:v>
      </x:c>
      <x:c r="B152" s="34" t="str">
        <x:v>default</x:v>
      </x:c>
      <x:c r="C152" s="34" t="str">
        <x:v>jcs321</x:v>
      </x:c>
      <x:c r="D152" s="36" t="n">
        <x:v>3</x:v>
      </x:c>
      <x:c r="E152" s="36" t="n">
        <x:v>3</x:v>
      </x:c>
      <x:c r="F152" s="36" t="n">
        <x:v>4</x:v>
      </x:c>
      <x:c r="G152" s="36" t="n">
        <x:v>1</x:v>
      </x:c>
      <x:c r="H152" s="34" t="str">
        <x:v>initial</x:v>
      </x:c>
      <x:c r="I152" s="34" t="str">
        <x:v>cache-semantics</x:v>
      </x:c>
      <x:c r="J152" s="45" t="b">
        <x:v>1</x:v>
      </x:c>
      <x:c r="K152" s="45" t="b">
        <x:v>0</x:v>
      </x:c>
      <x:c r="L152" s="45" t="b">
        <x:v>1</x:v>
      </x:c>
      <x:c r="M152" s="43" t="n">
        <x:v>400000</x:v>
      </x:c>
      <x:c r="N152" s="43" t="n">
        <x:v>11371008</x:v>
      </x:c>
      <x:c r="O152" s="43" t="n">
        <x:v>2273519.2295760657</x:v>
      </x:c>
      <x:c r="P152" s="45" t="b">
        <x:v>1</x:v>
      </x:c>
      <x:c r="Q152" s="45" t="b">
        <x:v>1</x:v>
      </x:c>
      <x:c r="R152" s="45" t="b">
        <x:v>1</x:v>
      </x:c>
      <x:c r="S152" s="43" t="n">
        <x:v>5000000000</x:v>
      </x:c>
      <x:c r="T152" s="43" t="n">
        <x:v>5001500692</x:v>
      </x:c>
      <x:c r="U152" s="45" t="b">
        <x:v>1</x:v>
      </x:c>
      <x:c r="V152" s="34" t="str">
        <x:v>uniform</x:v>
      </x:c>
      <x:c r="W152" s="42" t="n">
        <x:v>95</x:v>
      </x:c>
      <x:c r="X152" s="48" t="n">
        <x:v>0.95</x:v>
      </x:c>
      <x:c r="Y152" s="48" t="n">
        <x:v>0.9489581750360214</x:v>
      </x:c>
      <x:c r="Z152" s="45" t="b">
        <x:v>1</x:v>
      </x:c>
      <x:c r="AA152" s="43" t="n">
        <x:v>10000</x:v>
      </x:c>
      <x:c r="AB152" s="43" t="n">
        <x:v>9900</x:v>
      </x:c>
      <x:c r="AC152" s="43" t="n">
        <x:v>10000</x:v>
      </x:c>
      <x:c r="AD152" s="45" t="b">
        <x:v>1</x:v>
      </x:c>
      <x:c r="AE152" s="43" t="n">
        <x:v>9900</x:v>
      </x:c>
      <x:c r="AF152" s="43"/>
      <x:c r="AG152" s="43" t="n">
        <x:v>10000</x:v>
      </x:c>
      <x:c r="AH152" s="45" t="b">
        <x:v>1</x:v>
      </x:c>
      <x:c r="AI152" s="45" t="b">
        <x:v>1</x:v>
      </x:c>
      <x:c r="AJ152" s="49"/>
      <x:c r="AK152" s="48" t="n">
        <x:v>0.9489581750360214</x:v>
      </x:c>
      <x:c r="AL152" s="49"/>
      <x:c r="AM152" s="49"/>
      <x:c r="AN152" s="36" t="n">
        <x:v>1</x:v>
      </x:c>
      <x:c r="AO152" s="45" t="b">
        <x:v>1</x:v>
      </x:c>
      <x:c r="AP152" s="45" t="b">
        <x:v>1</x:v>
      </x:c>
      <x:c r="AQ152" s="46" t="n">
        <x:f>IF(T152="","",T152/'Readme-Protocol'!$B$24)</x:f>
        <x:v>5.001500692</x:v>
      </x:c>
      <x:c r="AR152" s="46" t="n">
        <x:f>IF(OR(S152="",S152=0),"",T152/S152)</x:f>
        <x:v>1.0003001384</x:v>
      </x:c>
      <x:c r="AS152" s="46" t="n">
        <x:f>IF(OR(X152="",Y152=""),"",ABS(Y152-X152)*'Readme-Protocol'!$B$27)</x:f>
        <x:v>0.10418249639785326</x:v>
      </x:c>
      <x:c r="AT152" s="49" t="b">
        <x:f>AND(M152&gt;0,N152&gt;=0,O152&gt;0)</x:f>
        <x:v>1</x:v>
      </x:c>
      <x:c r="AU152" s="49" t="b">
        <x:f>AND(AT152,N152&gt;=M152)</x:f>
        <x:v>1</x:v>
      </x:c>
      <x:c r="AV152" s="49" t="b">
        <x:f>OR(S152=0,T152&gt;=S152)</x:f>
        <x:v>1</x:v>
      </x:c>
      <x:c r="AW152" s="49" t="b">
        <x:f>IF(I152="cache-semantics",OR(V152&lt;&gt;"uniform",ABS(Y152-W152/'Readme-Protocol'!$B$27)&lt;='Readme-Protocol'!$B$28),TRUE)</x:f>
        <x:v>1</x:v>
      </x:c>
      <x:c r="AX152" s="43" t="n">
        <x:f>IF(I152="cache-semantics",INT(AA152*'Readme-Protocol'!$B$32),"")</x:f>
        <x:v>9900</x:v>
      </x:c>
      <x:c r="AY152" s="49" t="b">
        <x:f>IF(I152="cache-semantics",AX152=AB152,TRUE)</x:f>
        <x:v>1</x:v>
      </x:c>
      <x:c r="AZ152" s="49" t="b">
        <x:f>IF(I152="cache-semantics",AX152=AE152,TRUE)</x:f>
        <x:v>1</x:v>
      </x:c>
      <x:c r="BA152" s="49" t="b">
        <x:f>IF(I152="cache-semantics",AC152&gt;=AX152,IF(I152="no-store-control",AC152=0,FALSE))</x:f>
        <x:v>1</x:v>
      </x:c>
      <x:c r="BB152" s="49" t="b">
        <x:f>IF(I152="cache-semantics",AG152&gt;=AX152,IF(I152="no-store-control",AG152=0,FALSE))</x:f>
        <x:v>1</x:v>
      </x:c>
      <x:c r="BC152" s="49" t="b">
        <x:f>AND(BA152,BB152)</x:f>
        <x:v>1</x:v>
      </x:c>
      <x:c r="BD152" s="49" t="b">
        <x:f>IF(I152="no-store-control",AND(AC152=0,AG152=0),TRUE)</x:f>
        <x:v>1</x:v>
      </x:c>
      <x:c r="BE152" s="49" t="b">
        <x:f>IF(I152="no-store-control",AK152=0,TRUE)</x:f>
        <x:v>1</x:v>
      </x:c>
      <x:c r="BF152" s="49" t="b">
        <x:f>IF(I152="cache-semantics",AN152=1,TRUE)</x:f>
        <x:v>1</x:v>
      </x:c>
      <x:c r="BG152" s="49" t="b">
        <x:f>IF(I152="cache-semantics",AND(AU152,AV152,Q152,AW152,BC152,BF152),IF(I152="no-store-control",AND(AU152,AV152,Q152,BD152,BE152),FALSE))</x:f>
        <x:v>1</x:v>
      </x:c>
      <x:c r="BH152" s="49" t="b">
        <x:f>AND(R152,AT152=P152,AU152=L152,AV152=U152,AY152,AZ152,IF(I152="cache-semantics",AND(AW152=Z152,AND(BA152=AD152,BB152=AH152,BC152=AI152),BF152=AO152),IF(I152="no-store-control",AND(AND(BA152=AD152,BB152=AH152,BC152=AI152),BD152=AJ152,BE152=AL152),FALSE)),BG152=AP152)</x:f>
        <x:v>1</x:v>
      </x:c>
      <x:c r="BI152" s="49" t="b">
        <x:f>AND(J152,K152,BG152)</x:f>
        <x:v>0</x:v>
      </x:c>
    </x:row>
    <x:row r="153">
      <x:c r="A153" s="34" t="str">
        <x:v>article1-unified-v4-2-fb3f101b-20260903-000401-default-f03-p4-jcs321</x:v>
      </x:c>
      <x:c r="B153" s="34" t="str">
        <x:v>default</x:v>
      </x:c>
      <x:c r="C153" s="34" t="str">
        <x:v>jcs321</x:v>
      </x:c>
      <x:c r="D153" s="36" t="n">
        <x:v>3</x:v>
      </x:c>
      <x:c r="E153" s="36" t="n">
        <x:v>3</x:v>
      </x:c>
      <x:c r="F153" s="36" t="n">
        <x:v>4</x:v>
      </x:c>
      <x:c r="G153" s="36" t="n">
        <x:v>1</x:v>
      </x:c>
      <x:c r="H153" s="34" t="str">
        <x:v>redeploy</x:v>
      </x:c>
      <x:c r="I153" s="34" t="str">
        <x:v>cache-semantics</x:v>
      </x:c>
      <x:c r="J153" s="45" t="b">
        <x:v>1</x:v>
      </x:c>
      <x:c r="K153" s="45" t="b">
        <x:v>0</x:v>
      </x:c>
      <x:c r="L153" s="45" t="b">
        <x:v>1</x:v>
      </x:c>
      <x:c r="M153" s="43" t="n">
        <x:v>400000</x:v>
      </x:c>
      <x:c r="N153" s="43" t="n">
        <x:v>12978432</x:v>
      </x:c>
      <x:c r="O153" s="43" t="n">
        <x:v>2595319.919026746</x:v>
      </x:c>
      <x:c r="P153" s="45" t="b">
        <x:v>1</x:v>
      </x:c>
      <x:c r="Q153" s="45" t="b">
        <x:v>1</x:v>
      </x:c>
      <x:c r="R153" s="45" t="b">
        <x:v>1</x:v>
      </x:c>
      <x:c r="S153" s="43" t="n">
        <x:v>5000000000</x:v>
      </x:c>
      <x:c r="T153" s="43" t="n">
        <x:v>5000706042</x:v>
      </x:c>
      <x:c r="U153" s="45" t="b">
        <x:v>1</x:v>
      </x:c>
      <x:c r="V153" s="34" t="str">
        <x:v>uniform</x:v>
      </x:c>
      <x:c r="W153" s="42" t="n">
        <x:v>95</x:v>
      </x:c>
      <x:c r="X153" s="48" t="n">
        <x:v>0.95</x:v>
      </x:c>
      <x:c r="Y153" s="48" t="n">
        <x:v>0.9489634032832317</x:v>
      </x:c>
      <x:c r="Z153" s="45" t="b">
        <x:v>1</x:v>
      </x:c>
      <x:c r="AA153" s="43" t="n">
        <x:v>10000</x:v>
      </x:c>
      <x:c r="AB153" s="43" t="n">
        <x:v>9900</x:v>
      </x:c>
      <x:c r="AC153" s="43" t="n">
        <x:v>10000</x:v>
      </x:c>
      <x:c r="AD153" s="45" t="b">
        <x:v>1</x:v>
      </x:c>
      <x:c r="AE153" s="43" t="n">
        <x:v>9900</x:v>
      </x:c>
      <x:c r="AF153" s="43"/>
      <x:c r="AG153" s="43" t="n">
        <x:v>10000</x:v>
      </x:c>
      <x:c r="AH153" s="45" t="b">
        <x:v>1</x:v>
      </x:c>
      <x:c r="AI153" s="45" t="b">
        <x:v>1</x:v>
      </x:c>
      <x:c r="AJ153" s="49"/>
      <x:c r="AK153" s="48" t="n">
        <x:v>0.9489634032832317</x:v>
      </x:c>
      <x:c r="AL153" s="49"/>
      <x:c r="AM153" s="49"/>
      <x:c r="AN153" s="36" t="n">
        <x:v>1</x:v>
      </x:c>
      <x:c r="AO153" s="45" t="b">
        <x:v>1</x:v>
      </x:c>
      <x:c r="AP153" s="45" t="b">
        <x:v>1</x:v>
      </x:c>
      <x:c r="AQ153" s="46" t="n">
        <x:f>IF(T153="","",T153/'Readme-Protocol'!$B$24)</x:f>
        <x:v>5.000706042</x:v>
      </x:c>
      <x:c r="AR153" s="46" t="n">
        <x:f>IF(OR(S153="",S153=0),"",T153/S153)</x:f>
        <x:v>1.0001412084</x:v>
      </x:c>
      <x:c r="AS153" s="46" t="n">
        <x:f>IF(OR(X153="",Y153=""),"",ABS(Y153-X153)*'Readme-Protocol'!$B$27)</x:f>
        <x:v>0.10365967167682566</x:v>
      </x:c>
      <x:c r="AT153" s="49" t="b">
        <x:f>AND(M153&gt;0,N153&gt;=0,O153&gt;0)</x:f>
        <x:v>1</x:v>
      </x:c>
      <x:c r="AU153" s="49" t="b">
        <x:f>AND(AT153,N153&gt;=M153)</x:f>
        <x:v>1</x:v>
      </x:c>
      <x:c r="AV153" s="49" t="b">
        <x:f>OR(S153=0,T153&gt;=S153)</x:f>
        <x:v>1</x:v>
      </x:c>
      <x:c r="AW153" s="49" t="b">
        <x:f>IF(I153="cache-semantics",OR(V153&lt;&gt;"uniform",ABS(Y153-W153/'Readme-Protocol'!$B$27)&lt;='Readme-Protocol'!$B$28),TRUE)</x:f>
        <x:v>1</x:v>
      </x:c>
      <x:c r="AX153" s="43" t="n">
        <x:f>IF(I153="cache-semantics",INT(AA153*'Readme-Protocol'!$B$32),"")</x:f>
        <x:v>9900</x:v>
      </x:c>
      <x:c r="AY153" s="49" t="b">
        <x:f>IF(I153="cache-semantics",AX153=AB153,TRUE)</x:f>
        <x:v>1</x:v>
      </x:c>
      <x:c r="AZ153" s="49" t="b">
        <x:f>IF(I153="cache-semantics",AX153=AE153,TRUE)</x:f>
        <x:v>1</x:v>
      </x:c>
      <x:c r="BA153" s="49" t="b">
        <x:f>IF(I153="cache-semantics",AC153&gt;=AX153,IF(I153="no-store-control",AC153=0,FALSE))</x:f>
        <x:v>1</x:v>
      </x:c>
      <x:c r="BB153" s="49" t="b">
        <x:f>IF(I153="cache-semantics",AG153&gt;=AX153,IF(I153="no-store-control",AG153=0,FALSE))</x:f>
        <x:v>1</x:v>
      </x:c>
      <x:c r="BC153" s="49" t="b">
        <x:f>AND(BA153,BB153)</x:f>
        <x:v>1</x:v>
      </x:c>
      <x:c r="BD153" s="49" t="b">
        <x:f>IF(I153="no-store-control",AND(AC153=0,AG153=0),TRUE)</x:f>
        <x:v>1</x:v>
      </x:c>
      <x:c r="BE153" s="49" t="b">
        <x:f>IF(I153="no-store-control",AK153=0,TRUE)</x:f>
        <x:v>1</x:v>
      </x:c>
      <x:c r="BF153" s="49" t="b">
        <x:f>IF(I153="cache-semantics",AN153=1,TRUE)</x:f>
        <x:v>1</x:v>
      </x:c>
      <x:c r="BG153" s="49" t="b">
        <x:f>IF(I153="cache-semantics",AND(AU153,AV153,Q153,AW153,BC153,BF153),IF(I153="no-store-control",AND(AU153,AV153,Q153,BD153,BE153),FALSE))</x:f>
        <x:v>1</x:v>
      </x:c>
      <x:c r="BH153" s="49" t="b">
        <x:f>AND(R153,AT153=P153,AU153=L153,AV153=U153,AY153,AZ153,IF(I153="cache-semantics",AND(AW153=Z153,AND(BA153=AD153,BB153=AH153,BC153=AI153),BF153=AO153),IF(I153="no-store-control",AND(AND(BA153=AD153,BB153=AH153,BC153=AI153),BD153=AJ153,BE153=AL153),FALSE)),BG153=AP153)</x:f>
        <x:v>1</x:v>
      </x:c>
      <x:c r="BI153" s="49" t="b">
        <x:f>AND(J153,K153,BG153)</x:f>
        <x:v>0</x:v>
      </x:c>
    </x:row>
    <x:row r="154">
      <x:c r="A154" s="34" t="str">
        <x:v>article1-unified-v4-2-fb3f101b-20260903-000401-default-f03-p4-jcs321</x:v>
      </x:c>
      <x:c r="B154" s="34" t="str">
        <x:v>default</x:v>
      </x:c>
      <x:c r="C154" s="34" t="str">
        <x:v>jcs321</x:v>
      </x:c>
      <x:c r="D154" s="36" t="n">
        <x:v>3</x:v>
      </x:c>
      <x:c r="E154" s="36" t="n">
        <x:v>3</x:v>
      </x:c>
      <x:c r="F154" s="36" t="n">
        <x:v>4</x:v>
      </x:c>
      <x:c r="G154" s="36" t="n">
        <x:v>2</x:v>
      </x:c>
      <x:c r="H154" s="34" t="str">
        <x:v>initial</x:v>
      </x:c>
      <x:c r="I154" s="34" t="str">
        <x:v>cache-semantics</x:v>
      </x:c>
      <x:c r="J154" s="45" t="b">
        <x:v>1</x:v>
      </x:c>
      <x:c r="K154" s="45" t="b">
        <x:v>0</x:v>
      </x:c>
      <x:c r="L154" s="45" t="b">
        <x:v>1</x:v>
      </x:c>
      <x:c r="M154" s="43" t="n">
        <x:v>400000</x:v>
      </x:c>
      <x:c r="N154" s="43" t="n">
        <x:v>15845120</x:v>
      </x:c>
      <x:c r="O154" s="43" t="n">
        <x:v>3168665.8019768144</x:v>
      </x:c>
      <x:c r="P154" s="45" t="b">
        <x:v>1</x:v>
      </x:c>
      <x:c r="Q154" s="45" t="b">
        <x:v>1</x:v>
      </x:c>
      <x:c r="R154" s="45" t="b">
        <x:v>1</x:v>
      </x:c>
      <x:c r="S154" s="43" t="n">
        <x:v>5000000000</x:v>
      </x:c>
      <x:c r="T154" s="43" t="n">
        <x:v>5000565219</x:v>
      </x:c>
      <x:c r="U154" s="45" t="b">
        <x:v>1</x:v>
      </x:c>
      <x:c r="V154" s="34" t="str">
        <x:v>uniform</x:v>
      </x:c>
      <x:c r="W154" s="42" t="n">
        <x:v>95</x:v>
      </x:c>
      <x:c r="X154" s="48" t="n">
        <x:v>0.95</x:v>
      </x:c>
      <x:c r="Y154" s="48" t="n">
        <x:v>0.9500502362872607</x:v>
      </x:c>
      <x:c r="Z154" s="45" t="b">
        <x:v>1</x:v>
      </x:c>
      <x:c r="AA154" s="43" t="n">
        <x:v>10000</x:v>
      </x:c>
      <x:c r="AB154" s="43" t="n">
        <x:v>9900</x:v>
      </x:c>
      <x:c r="AC154" s="43" t="n">
        <x:v>10000</x:v>
      </x:c>
      <x:c r="AD154" s="45" t="b">
        <x:v>1</x:v>
      </x:c>
      <x:c r="AE154" s="43" t="n">
        <x:v>9900</x:v>
      </x:c>
      <x:c r="AF154" s="43"/>
      <x:c r="AG154" s="43" t="n">
        <x:v>10000</x:v>
      </x:c>
      <x:c r="AH154" s="45" t="b">
        <x:v>1</x:v>
      </x:c>
      <x:c r="AI154" s="45" t="b">
        <x:v>1</x:v>
      </x:c>
      <x:c r="AJ154" s="49"/>
      <x:c r="AK154" s="48" t="n">
        <x:v>0.9500502362872607</x:v>
      </x:c>
      <x:c r="AL154" s="49"/>
      <x:c r="AM154" s="49"/>
      <x:c r="AN154" s="36" t="n">
        <x:v>1</x:v>
      </x:c>
      <x:c r="AO154" s="45" t="b">
        <x:v>1</x:v>
      </x:c>
      <x:c r="AP154" s="45" t="b">
        <x:v>1</x:v>
      </x:c>
      <x:c r="AQ154" s="46" t="n">
        <x:f>IF(T154="","",T154/'Readme-Protocol'!$B$24)</x:f>
        <x:v>5.000565219</x:v>
      </x:c>
      <x:c r="AR154" s="46" t="n">
        <x:f>IF(OR(S154="",S154=0),"",T154/S154)</x:f>
        <x:v>1.0001130438</x:v>
      </x:c>
      <x:c r="AS154" s="46" t="n">
        <x:f>IF(OR(X154="",Y154=""),"",ABS(Y154-X154)*'Readme-Protocol'!$B$27)</x:f>
        <x:v>0.005023628726075202</x:v>
      </x:c>
      <x:c r="AT154" s="49" t="b">
        <x:f>AND(M154&gt;0,N154&gt;=0,O154&gt;0)</x:f>
        <x:v>1</x:v>
      </x:c>
      <x:c r="AU154" s="49" t="b">
        <x:f>AND(AT154,N154&gt;=M154)</x:f>
        <x:v>1</x:v>
      </x:c>
      <x:c r="AV154" s="49" t="b">
        <x:f>OR(S154=0,T154&gt;=S154)</x:f>
        <x:v>1</x:v>
      </x:c>
      <x:c r="AW154" s="49" t="b">
        <x:f>IF(I154="cache-semantics",OR(V154&lt;&gt;"uniform",ABS(Y154-W154/'Readme-Protocol'!$B$27)&lt;='Readme-Protocol'!$B$28),TRUE)</x:f>
        <x:v>1</x:v>
      </x:c>
      <x:c r="AX154" s="43" t="n">
        <x:f>IF(I154="cache-semantics",INT(AA154*'Readme-Protocol'!$B$32),"")</x:f>
        <x:v>9900</x:v>
      </x:c>
      <x:c r="AY154" s="49" t="b">
        <x:f>IF(I154="cache-semantics",AX154=AB154,TRUE)</x:f>
        <x:v>1</x:v>
      </x:c>
      <x:c r="AZ154" s="49" t="b">
        <x:f>IF(I154="cache-semantics",AX154=AE154,TRUE)</x:f>
        <x:v>1</x:v>
      </x:c>
      <x:c r="BA154" s="49" t="b">
        <x:f>IF(I154="cache-semantics",AC154&gt;=AX154,IF(I154="no-store-control",AC154=0,FALSE))</x:f>
        <x:v>1</x:v>
      </x:c>
      <x:c r="BB154" s="49" t="b">
        <x:f>IF(I154="cache-semantics",AG154&gt;=AX154,IF(I154="no-store-control",AG154=0,FALSE))</x:f>
        <x:v>1</x:v>
      </x:c>
      <x:c r="BC154" s="49" t="b">
        <x:f>AND(BA154,BB154)</x:f>
        <x:v>1</x:v>
      </x:c>
      <x:c r="BD154" s="49" t="b">
        <x:f>IF(I154="no-store-control",AND(AC154=0,AG154=0),TRUE)</x:f>
        <x:v>1</x:v>
      </x:c>
      <x:c r="BE154" s="49" t="b">
        <x:f>IF(I154="no-store-control",AK154=0,TRUE)</x:f>
        <x:v>1</x:v>
      </x:c>
      <x:c r="BF154" s="49" t="b">
        <x:f>IF(I154="cache-semantics",AN154=1,TRUE)</x:f>
        <x:v>1</x:v>
      </x:c>
      <x:c r="BG154" s="49" t="b">
        <x:f>IF(I154="cache-semantics",AND(AU154,AV154,Q154,AW154,BC154,BF154),IF(I154="no-store-control",AND(AU154,AV154,Q154,BD154,BE154),FALSE))</x:f>
        <x:v>1</x:v>
      </x:c>
      <x:c r="BH154" s="49" t="b">
        <x:f>AND(R154,AT154=P154,AU154=L154,AV154=U154,AY154,AZ154,IF(I154="cache-semantics",AND(AW154=Z154,AND(BA154=AD154,BB154=AH154,BC154=AI154),BF154=AO154),IF(I154="no-store-control",AND(AND(BA154=AD154,BB154=AH154,BC154=AI154),BD154=AJ154,BE154=AL154),FALSE)),BG154=AP154)</x:f>
        <x:v>1</x:v>
      </x:c>
      <x:c r="BI154" s="49" t="b">
        <x:f>AND(J154,K154,BG154)</x:f>
        <x:v>0</x:v>
      </x:c>
    </x:row>
    <x:row r="155">
      <x:c r="A155" s="34" t="str">
        <x:v>article1-unified-v4-2-fb3f101b-20260903-000401-default-f03-p4-jcs321</x:v>
      </x:c>
      <x:c r="B155" s="34" t="str">
        <x:v>default</x:v>
      </x:c>
      <x:c r="C155" s="34" t="str">
        <x:v>jcs321</x:v>
      </x:c>
      <x:c r="D155" s="36" t="n">
        <x:v>3</x:v>
      </x:c>
      <x:c r="E155" s="36" t="n">
        <x:v>3</x:v>
      </x:c>
      <x:c r="F155" s="36" t="n">
        <x:v>4</x:v>
      </x:c>
      <x:c r="G155" s="36" t="n">
        <x:v>2</x:v>
      </x:c>
      <x:c r="H155" s="34" t="str">
        <x:v>redeploy</x:v>
      </x:c>
      <x:c r="I155" s="34" t="str">
        <x:v>cache-semantics</x:v>
      </x:c>
      <x:c r="J155" s="45" t="b">
        <x:v>1</x:v>
      </x:c>
      <x:c r="K155" s="45" t="b">
        <x:v>0</x:v>
      </x:c>
      <x:c r="L155" s="45" t="b">
        <x:v>1</x:v>
      </x:c>
      <x:c r="M155" s="43" t="n">
        <x:v>400000</x:v>
      </x:c>
      <x:c r="N155" s="43" t="n">
        <x:v>12131072</x:v>
      </x:c>
      <x:c r="O155" s="43" t="n">
        <x:v>2425726.9622955616</x:v>
      </x:c>
      <x:c r="P155" s="45" t="b">
        <x:v>1</x:v>
      </x:c>
      <x:c r="Q155" s="45" t="b">
        <x:v>1</x:v>
      </x:c>
      <x:c r="R155" s="45" t="b">
        <x:v>1</x:v>
      </x:c>
      <x:c r="S155" s="43" t="n">
        <x:v>5000000000</x:v>
      </x:c>
      <x:c r="T155" s="43" t="n">
        <x:v>5001004725</x:v>
      </x:c>
      <x:c r="U155" s="45" t="b">
        <x:v>1</x:v>
      </x:c>
      <x:c r="V155" s="34" t="str">
        <x:v>uniform</x:v>
      </x:c>
      <x:c r="W155" s="42" t="n">
        <x:v>95</x:v>
      </x:c>
      <x:c r="X155" s="48" t="n">
        <x:v>0.95</x:v>
      </x:c>
      <x:c r="Y155" s="48" t="n">
        <x:v>0.950048272733028</x:v>
      </x:c>
      <x:c r="Z155" s="45" t="b">
        <x:v>1</x:v>
      </x:c>
      <x:c r="AA155" s="43" t="n">
        <x:v>10000</x:v>
      </x:c>
      <x:c r="AB155" s="43" t="n">
        <x:v>9900</x:v>
      </x:c>
      <x:c r="AC155" s="43" t="n">
        <x:v>10000</x:v>
      </x:c>
      <x:c r="AD155" s="45" t="b">
        <x:v>1</x:v>
      </x:c>
      <x:c r="AE155" s="43" t="n">
        <x:v>9900</x:v>
      </x:c>
      <x:c r="AF155" s="43"/>
      <x:c r="AG155" s="43" t="n">
        <x:v>10000</x:v>
      </x:c>
      <x:c r="AH155" s="45" t="b">
        <x:v>1</x:v>
      </x:c>
      <x:c r="AI155" s="45" t="b">
        <x:v>1</x:v>
      </x:c>
      <x:c r="AJ155" s="49"/>
      <x:c r="AK155" s="48" t="n">
        <x:v>0.950048272733028</x:v>
      </x:c>
      <x:c r="AL155" s="49"/>
      <x:c r="AM155" s="49"/>
      <x:c r="AN155" s="36" t="n">
        <x:v>1</x:v>
      </x:c>
      <x:c r="AO155" s="45" t="b">
        <x:v>1</x:v>
      </x:c>
      <x:c r="AP155" s="45" t="b">
        <x:v>1</x:v>
      </x:c>
      <x:c r="AQ155" s="46" t="n">
        <x:f>IF(T155="","",T155/'Readme-Protocol'!$B$24)</x:f>
        <x:v>5.001004725</x:v>
      </x:c>
      <x:c r="AR155" s="46" t="n">
        <x:f>IF(OR(S155="",S155=0),"",T155/S155)</x:f>
        <x:v>1.000200945</x:v>
      </x:c>
      <x:c r="AS155" s="46" t="n">
        <x:f>IF(OR(X155="",Y155=""),"",ABS(Y155-X155)*'Readme-Protocol'!$B$27)</x:f>
        <x:v>0.0048272733028098536</x:v>
      </x:c>
      <x:c r="AT155" s="49" t="b">
        <x:f>AND(M155&gt;0,N155&gt;=0,O155&gt;0)</x:f>
        <x:v>1</x:v>
      </x:c>
      <x:c r="AU155" s="49" t="b">
        <x:f>AND(AT155,N155&gt;=M155)</x:f>
        <x:v>1</x:v>
      </x:c>
      <x:c r="AV155" s="49" t="b">
        <x:f>OR(S155=0,T155&gt;=S155)</x:f>
        <x:v>1</x:v>
      </x:c>
      <x:c r="AW155" s="49" t="b">
        <x:f>IF(I155="cache-semantics",OR(V155&lt;&gt;"uniform",ABS(Y155-W155/'Readme-Protocol'!$B$27)&lt;='Readme-Protocol'!$B$28),TRUE)</x:f>
        <x:v>1</x:v>
      </x:c>
      <x:c r="AX155" s="43" t="n">
        <x:f>IF(I155="cache-semantics",INT(AA155*'Readme-Protocol'!$B$32),"")</x:f>
        <x:v>9900</x:v>
      </x:c>
      <x:c r="AY155" s="49" t="b">
        <x:f>IF(I155="cache-semantics",AX155=AB155,TRUE)</x:f>
        <x:v>1</x:v>
      </x:c>
      <x:c r="AZ155" s="49" t="b">
        <x:f>IF(I155="cache-semantics",AX155=AE155,TRUE)</x:f>
        <x:v>1</x:v>
      </x:c>
      <x:c r="BA155" s="49" t="b">
        <x:f>IF(I155="cache-semantics",AC155&gt;=AX155,IF(I155="no-store-control",AC155=0,FALSE))</x:f>
        <x:v>1</x:v>
      </x:c>
      <x:c r="BB155" s="49" t="b">
        <x:f>IF(I155="cache-semantics",AG155&gt;=AX155,IF(I155="no-store-control",AG155=0,FALSE))</x:f>
        <x:v>1</x:v>
      </x:c>
      <x:c r="BC155" s="49" t="b">
        <x:f>AND(BA155,BB155)</x:f>
        <x:v>1</x:v>
      </x:c>
      <x:c r="BD155" s="49" t="b">
        <x:f>IF(I155="no-store-control",AND(AC155=0,AG155=0),TRUE)</x:f>
        <x:v>1</x:v>
      </x:c>
      <x:c r="BE155" s="49" t="b">
        <x:f>IF(I155="no-store-control",AK155=0,TRUE)</x:f>
        <x:v>1</x:v>
      </x:c>
      <x:c r="BF155" s="49" t="b">
        <x:f>IF(I155="cache-semantics",AN155=1,TRUE)</x:f>
        <x:v>1</x:v>
      </x:c>
      <x:c r="BG155" s="49" t="b">
        <x:f>IF(I155="cache-semantics",AND(AU155,AV155,Q155,AW155,BC155,BF155),IF(I155="no-store-control",AND(AU155,AV155,Q155,BD155,BE155),FALSE))</x:f>
        <x:v>1</x:v>
      </x:c>
      <x:c r="BH155" s="49" t="b">
        <x:f>AND(R155,AT155=P155,AU155=L155,AV155=U155,AY155,AZ155,IF(I155="cache-semantics",AND(AW155=Z155,AND(BA155=AD155,BB155=AH155,BC155=AI155),BF155=AO155),IF(I155="no-store-control",AND(AND(BA155=AD155,BB155=AH155,BC155=AI155),BD155=AJ155,BE155=AL155),FALSE)),BG155=AP155)</x:f>
        <x:v>1</x:v>
      </x:c>
      <x:c r="BI155" s="49" t="b">
        <x:f>AND(J155,K155,BG155)</x:f>
        <x:v>0</x:v>
      </x:c>
    </x:row>
    <x:row r="156">
      <x:c r="A156" s="34" t="str">
        <x:v>article1-unified-v4-2-fb3f101b-20260903-000401-default-f03-p4-jcs321</x:v>
      </x:c>
      <x:c r="B156" s="34" t="str">
        <x:v>default</x:v>
      </x:c>
      <x:c r="C156" s="34" t="str">
        <x:v>jcs321</x:v>
      </x:c>
      <x:c r="D156" s="36" t="n">
        <x:v>3</x:v>
      </x:c>
      <x:c r="E156" s="36" t="n">
        <x:v>3</x:v>
      </x:c>
      <x:c r="F156" s="36" t="n">
        <x:v>4</x:v>
      </x:c>
      <x:c r="G156" s="36" t="n">
        <x:v>3</x:v>
      </x:c>
      <x:c r="H156" s="34" t="str">
        <x:v>initial</x:v>
      </x:c>
      <x:c r="I156" s="34" t="str">
        <x:v>cache-semantics</x:v>
      </x:c>
      <x:c r="J156" s="45" t="b">
        <x:v>1</x:v>
      </x:c>
      <x:c r="K156" s="45" t="b">
        <x:v>0</x:v>
      </x:c>
      <x:c r="L156" s="45" t="b">
        <x:v>1</x:v>
      </x:c>
      <x:c r="M156" s="43" t="n">
        <x:v>400000</x:v>
      </x:c>
      <x:c r="N156" s="43" t="n">
        <x:v>15721472</x:v>
      </x:c>
      <x:c r="O156" s="43" t="n">
        <x:v>3143914.424616292</x:v>
      </x:c>
      <x:c r="P156" s="45" t="b">
        <x:v>1</x:v>
      </x:c>
      <x:c r="Q156" s="45" t="b">
        <x:v>1</x:v>
      </x:c>
      <x:c r="R156" s="45" t="b">
        <x:v>1</x:v>
      </x:c>
      <x:c r="S156" s="43" t="n">
        <x:v>5000000000</x:v>
      </x:c>
      <x:c r="T156" s="43" t="n">
        <x:v>5000604303</x:v>
      </x:c>
      <x:c r="U156" s="45" t="b">
        <x:v>1</x:v>
      </x:c>
      <x:c r="V156" s="34" t="str">
        <x:v>uniform</x:v>
      </x:c>
      <x:c r="W156" s="42" t="n">
        <x:v>95</x:v>
      </x:c>
      <x:c r="X156" s="48" t="n">
        <x:v>0.95</x:v>
      </x:c>
      <x:c r="Y156" s="48" t="n">
        <x:v>0.9501183476967042</x:v>
      </x:c>
      <x:c r="Z156" s="45" t="b">
        <x:v>1</x:v>
      </x:c>
      <x:c r="AA156" s="43" t="n">
        <x:v>10000</x:v>
      </x:c>
      <x:c r="AB156" s="43" t="n">
        <x:v>9900</x:v>
      </x:c>
      <x:c r="AC156" s="43" t="n">
        <x:v>10000</x:v>
      </x:c>
      <x:c r="AD156" s="45" t="b">
        <x:v>1</x:v>
      </x:c>
      <x:c r="AE156" s="43" t="n">
        <x:v>9900</x:v>
      </x:c>
      <x:c r="AF156" s="43"/>
      <x:c r="AG156" s="43" t="n">
        <x:v>10000</x:v>
      </x:c>
      <x:c r="AH156" s="45" t="b">
        <x:v>1</x:v>
      </x:c>
      <x:c r="AI156" s="45" t="b">
        <x:v>1</x:v>
      </x:c>
      <x:c r="AJ156" s="49"/>
      <x:c r="AK156" s="48" t="n">
        <x:v>0.9501183476967042</x:v>
      </x:c>
      <x:c r="AL156" s="49"/>
      <x:c r="AM156" s="49"/>
      <x:c r="AN156" s="36" t="n">
        <x:v>1</x:v>
      </x:c>
      <x:c r="AO156" s="45" t="b">
        <x:v>1</x:v>
      </x:c>
      <x:c r="AP156" s="45" t="b">
        <x:v>1</x:v>
      </x:c>
      <x:c r="AQ156" s="46" t="n">
        <x:f>IF(T156="","",T156/'Readme-Protocol'!$B$24)</x:f>
        <x:v>5.000604303</x:v>
      </x:c>
      <x:c r="AR156" s="46" t="n">
        <x:f>IF(OR(S156="",S156=0),"",T156/S156)</x:f>
        <x:v>1.0001208606</x:v>
      </x:c>
      <x:c r="AS156" s="46" t="n">
        <x:f>IF(OR(X156="",Y156=""),"",ABS(Y156-X156)*'Readme-Protocol'!$B$27)</x:f>
        <x:v>0.011834769670426848</x:v>
      </x:c>
      <x:c r="AT156" s="49" t="b">
        <x:f>AND(M156&gt;0,N156&gt;=0,O156&gt;0)</x:f>
        <x:v>1</x:v>
      </x:c>
      <x:c r="AU156" s="49" t="b">
        <x:f>AND(AT156,N156&gt;=M156)</x:f>
        <x:v>1</x:v>
      </x:c>
      <x:c r="AV156" s="49" t="b">
        <x:f>OR(S156=0,T156&gt;=S156)</x:f>
        <x:v>1</x:v>
      </x:c>
      <x:c r="AW156" s="49" t="b">
        <x:f>IF(I156="cache-semantics",OR(V156&lt;&gt;"uniform",ABS(Y156-W156/'Readme-Protocol'!$B$27)&lt;='Readme-Protocol'!$B$28),TRUE)</x:f>
        <x:v>1</x:v>
      </x:c>
      <x:c r="AX156" s="43" t="n">
        <x:f>IF(I156="cache-semantics",INT(AA156*'Readme-Protocol'!$B$32),"")</x:f>
        <x:v>9900</x:v>
      </x:c>
      <x:c r="AY156" s="49" t="b">
        <x:f>IF(I156="cache-semantics",AX156=AB156,TRUE)</x:f>
        <x:v>1</x:v>
      </x:c>
      <x:c r="AZ156" s="49" t="b">
        <x:f>IF(I156="cache-semantics",AX156=AE156,TRUE)</x:f>
        <x:v>1</x:v>
      </x:c>
      <x:c r="BA156" s="49" t="b">
        <x:f>IF(I156="cache-semantics",AC156&gt;=AX156,IF(I156="no-store-control",AC156=0,FALSE))</x:f>
        <x:v>1</x:v>
      </x:c>
      <x:c r="BB156" s="49" t="b">
        <x:f>IF(I156="cache-semantics",AG156&gt;=AX156,IF(I156="no-store-control",AG156=0,FALSE))</x:f>
        <x:v>1</x:v>
      </x:c>
      <x:c r="BC156" s="49" t="b">
        <x:f>AND(BA156,BB156)</x:f>
        <x:v>1</x:v>
      </x:c>
      <x:c r="BD156" s="49" t="b">
        <x:f>IF(I156="no-store-control",AND(AC156=0,AG156=0),TRUE)</x:f>
        <x:v>1</x:v>
      </x:c>
      <x:c r="BE156" s="49" t="b">
        <x:f>IF(I156="no-store-control",AK156=0,TRUE)</x:f>
        <x:v>1</x:v>
      </x:c>
      <x:c r="BF156" s="49" t="b">
        <x:f>IF(I156="cache-semantics",AN156=1,TRUE)</x:f>
        <x:v>1</x:v>
      </x:c>
      <x:c r="BG156" s="49" t="b">
        <x:f>IF(I156="cache-semantics",AND(AU156,AV156,Q156,AW156,BC156,BF156),IF(I156="no-store-control",AND(AU156,AV156,Q156,BD156,BE156),FALSE))</x:f>
        <x:v>1</x:v>
      </x:c>
      <x:c r="BH156" s="49" t="b">
        <x:f>AND(R156,AT156=P156,AU156=L156,AV156=U156,AY156,AZ156,IF(I156="cache-semantics",AND(AW156=Z156,AND(BA156=AD156,BB156=AH156,BC156=AI156),BF156=AO156),IF(I156="no-store-control",AND(AND(BA156=AD156,BB156=AH156,BC156=AI156),BD156=AJ156,BE156=AL156),FALSE)),BG156=AP156)</x:f>
        <x:v>1</x:v>
      </x:c>
      <x:c r="BI156" s="49" t="b">
        <x:f>AND(J156,K156,BG156)</x:f>
        <x:v>0</x:v>
      </x:c>
    </x:row>
    <x:row r="157">
      <x:c r="A157" s="34" t="str">
        <x:v>article1-unified-v4-2-fb3f101b-20260903-000401-default-f03-p4-jcs321</x:v>
      </x:c>
      <x:c r="B157" s="34" t="str">
        <x:v>default</x:v>
      </x:c>
      <x:c r="C157" s="34" t="str">
        <x:v>jcs321</x:v>
      </x:c>
      <x:c r="D157" s="36" t="n">
        <x:v>3</x:v>
      </x:c>
      <x:c r="E157" s="36" t="n">
        <x:v>3</x:v>
      </x:c>
      <x:c r="F157" s="36" t="n">
        <x:v>4</x:v>
      </x:c>
      <x:c r="G157" s="36" t="n">
        <x:v>3</x:v>
      </x:c>
      <x:c r="H157" s="34" t="str">
        <x:v>redeploy</x:v>
      </x:c>
      <x:c r="I157" s="34" t="str">
        <x:v>cache-semantics</x:v>
      </x:c>
      <x:c r="J157" s="45" t="b">
        <x:v>1</x:v>
      </x:c>
      <x:c r="K157" s="45" t="b">
        <x:v>0</x:v>
      </x:c>
      <x:c r="L157" s="45" t="b">
        <x:v>1</x:v>
      </x:c>
      <x:c r="M157" s="43" t="n">
        <x:v>400000</x:v>
      </x:c>
      <x:c r="N157" s="43" t="n">
        <x:v>15719424</x:v>
      </x:c>
      <x:c r="O157" s="43" t="n">
        <x:v>3143470.9312458863</x:v>
      </x:c>
      <x:c r="P157" s="45" t="b">
        <x:v>1</x:v>
      </x:c>
      <x:c r="Q157" s="45" t="b">
        <x:v>1</x:v>
      </x:c>
      <x:c r="R157" s="45" t="b">
        <x:v>1</x:v>
      </x:c>
      <x:c r="S157" s="43" t="n">
        <x:v>5000000000</x:v>
      </x:c>
      <x:c r="T157" s="43" t="n">
        <x:v>5000658299</x:v>
      </x:c>
      <x:c r="U157" s="45" t="b">
        <x:v>1</x:v>
      </x:c>
      <x:c r="V157" s="34" t="str">
        <x:v>uniform</x:v>
      </x:c>
      <x:c r="W157" s="42" t="n">
        <x:v>95</x:v>
      </x:c>
      <x:c r="X157" s="48" t="n">
        <x:v>0.95</x:v>
      </x:c>
      <x:c r="Y157" s="48" t="n">
        <x:v>0.950124635610058</x:v>
      </x:c>
      <x:c r="Z157" s="45" t="b">
        <x:v>1</x:v>
      </x:c>
      <x:c r="AA157" s="43" t="n">
        <x:v>10000</x:v>
      </x:c>
      <x:c r="AB157" s="43" t="n">
        <x:v>9900</x:v>
      </x:c>
      <x:c r="AC157" s="43" t="n">
        <x:v>10000</x:v>
      </x:c>
      <x:c r="AD157" s="45" t="b">
        <x:v>1</x:v>
      </x:c>
      <x:c r="AE157" s="43" t="n">
        <x:v>9900</x:v>
      </x:c>
      <x:c r="AF157" s="43"/>
      <x:c r="AG157" s="43" t="n">
        <x:v>10000</x:v>
      </x:c>
      <x:c r="AH157" s="45" t="b">
        <x:v>1</x:v>
      </x:c>
      <x:c r="AI157" s="45" t="b">
        <x:v>1</x:v>
      </x:c>
      <x:c r="AJ157" s="49"/>
      <x:c r="AK157" s="48" t="n">
        <x:v>0.950124635610058</x:v>
      </x:c>
      <x:c r="AL157" s="49"/>
      <x:c r="AM157" s="49"/>
      <x:c r="AN157" s="36" t="n">
        <x:v>1</x:v>
      </x:c>
      <x:c r="AO157" s="45" t="b">
        <x:v>1</x:v>
      </x:c>
      <x:c r="AP157" s="45" t="b">
        <x:v>1</x:v>
      </x:c>
      <x:c r="AQ157" s="46" t="n">
        <x:f>IF(T157="","",T157/'Readme-Protocol'!$B$24)</x:f>
        <x:v>5.000658299</x:v>
      </x:c>
      <x:c r="AR157" s="46" t="n">
        <x:f>IF(OR(S157="",S157=0),"",T157/S157)</x:f>
        <x:v>1.0001316598</x:v>
      </x:c>
      <x:c r="AS157" s="46" t="n">
        <x:f>IF(OR(X157="",Y157=""),"",ABS(Y157-X157)*'Readme-Protocol'!$B$27)</x:f>
        <x:v>0.012463561005804369</x:v>
      </x:c>
      <x:c r="AT157" s="49" t="b">
        <x:f>AND(M157&gt;0,N157&gt;=0,O157&gt;0)</x:f>
        <x:v>1</x:v>
      </x:c>
      <x:c r="AU157" s="49" t="b">
        <x:f>AND(AT157,N157&gt;=M157)</x:f>
        <x:v>1</x:v>
      </x:c>
      <x:c r="AV157" s="49" t="b">
        <x:f>OR(S157=0,T157&gt;=S157)</x:f>
        <x:v>1</x:v>
      </x:c>
      <x:c r="AW157" s="49" t="b">
        <x:f>IF(I157="cache-semantics",OR(V157&lt;&gt;"uniform",ABS(Y157-W157/'Readme-Protocol'!$B$27)&lt;='Readme-Protocol'!$B$28),TRUE)</x:f>
        <x:v>1</x:v>
      </x:c>
      <x:c r="AX157" s="43" t="n">
        <x:f>IF(I157="cache-semantics",INT(AA157*'Readme-Protocol'!$B$32),"")</x:f>
        <x:v>9900</x:v>
      </x:c>
      <x:c r="AY157" s="49" t="b">
        <x:f>IF(I157="cache-semantics",AX157=AB157,TRUE)</x:f>
        <x:v>1</x:v>
      </x:c>
      <x:c r="AZ157" s="49" t="b">
        <x:f>IF(I157="cache-semantics",AX157=AE157,TRUE)</x:f>
        <x:v>1</x:v>
      </x:c>
      <x:c r="BA157" s="49" t="b">
        <x:f>IF(I157="cache-semantics",AC157&gt;=AX157,IF(I157="no-store-control",AC157=0,FALSE))</x:f>
        <x:v>1</x:v>
      </x:c>
      <x:c r="BB157" s="49" t="b">
        <x:f>IF(I157="cache-semantics",AG157&gt;=AX157,IF(I157="no-store-control",AG157=0,FALSE))</x:f>
        <x:v>1</x:v>
      </x:c>
      <x:c r="BC157" s="49" t="b">
        <x:f>AND(BA157,BB157)</x:f>
        <x:v>1</x:v>
      </x:c>
      <x:c r="BD157" s="49" t="b">
        <x:f>IF(I157="no-store-control",AND(AC157=0,AG157=0),TRUE)</x:f>
        <x:v>1</x:v>
      </x:c>
      <x:c r="BE157" s="49" t="b">
        <x:f>IF(I157="no-store-control",AK157=0,TRUE)</x:f>
        <x:v>1</x:v>
      </x:c>
      <x:c r="BF157" s="49" t="b">
        <x:f>IF(I157="cache-semantics",AN157=1,TRUE)</x:f>
        <x:v>1</x:v>
      </x:c>
      <x:c r="BG157" s="49" t="b">
        <x:f>IF(I157="cache-semantics",AND(AU157,AV157,Q157,AW157,BC157,BF157),IF(I157="no-store-control",AND(AU157,AV157,Q157,BD157,BE157),FALSE))</x:f>
        <x:v>1</x:v>
      </x:c>
      <x:c r="BH157" s="49" t="b">
        <x:f>AND(R157,AT157=P157,AU157=L157,AV157=U157,AY157,AZ157,IF(I157="cache-semantics",AND(AW157=Z157,AND(BA157=AD157,BB157=AH157,BC157=AI157),BF157=AO157),IF(I157="no-store-control",AND(AND(BA157=AD157,BB157=AH157,BC157=AI157),BD157=AJ157,BE157=AL157),FALSE)),BG157=AP157)</x:f>
        <x:v>1</x:v>
      </x:c>
      <x:c r="BI157" s="49" t="b">
        <x:f>AND(J157,K157,BG157)</x:f>
        <x:v>0</x:v>
      </x:c>
    </x:row>
    <x:row r="158">
      <x:c r="A158" s="34" t="str">
        <x:v>article1-unified-v4-2-fb3f101b-20260903-000401-default-f03-p4-jcs321</x:v>
      </x:c>
      <x:c r="B158" s="34" t="str">
        <x:v>default</x:v>
      </x:c>
      <x:c r="C158" s="34" t="str">
        <x:v>jcs321</x:v>
      </x:c>
      <x:c r="D158" s="36" t="n">
        <x:v>3</x:v>
      </x:c>
      <x:c r="E158" s="36" t="n">
        <x:v>3</x:v>
      </x:c>
      <x:c r="F158" s="36" t="n">
        <x:v>4</x:v>
      </x:c>
      <x:c r="G158" s="36" t="n">
        <x:v>4</x:v>
      </x:c>
      <x:c r="H158" s="34" t="str">
        <x:v>initial</x:v>
      </x:c>
      <x:c r="I158" s="34" t="str">
        <x:v>cache-semantics</x:v>
      </x:c>
      <x:c r="J158" s="45" t="b">
        <x:v>1</x:v>
      </x:c>
      <x:c r="K158" s="45" t="b">
        <x:v>0</x:v>
      </x:c>
      <x:c r="L158" s="45" t="b">
        <x:v>1</x:v>
      </x:c>
      <x:c r="M158" s="43" t="n">
        <x:v>400000</x:v>
      </x:c>
      <x:c r="N158" s="43" t="n">
        <x:v>13165824</x:v>
      </x:c>
      <x:c r="O158" s="43" t="n">
        <x:v>2632659.7194940276</x:v>
      </x:c>
      <x:c r="P158" s="45" t="b">
        <x:v>1</x:v>
      </x:c>
      <x:c r="Q158" s="45" t="b">
        <x:v>1</x:v>
      </x:c>
      <x:c r="R158" s="45" t="b">
        <x:v>1</x:v>
      </x:c>
      <x:c r="S158" s="43" t="n">
        <x:v>5000000000</x:v>
      </x:c>
      <x:c r="T158" s="43" t="n">
        <x:v>5000959259</x:v>
      </x:c>
      <x:c r="U158" s="45" t="b">
        <x:v>1</x:v>
      </x:c>
      <x:c r="V158" s="34" t="str">
        <x:v>uniform</x:v>
      </x:c>
      <x:c r="W158" s="42" t="n">
        <x:v>95</x:v>
      </x:c>
      <x:c r="X158" s="48" t="n">
        <x:v>0.95</x:v>
      </x:c>
      <x:c r="Y158" s="48" t="n">
        <x:v>0.9503980153463999</x:v>
      </x:c>
      <x:c r="Z158" s="45" t="b">
        <x:v>1</x:v>
      </x:c>
      <x:c r="AA158" s="43" t="n">
        <x:v>10000</x:v>
      </x:c>
      <x:c r="AB158" s="43" t="n">
        <x:v>9900</x:v>
      </x:c>
      <x:c r="AC158" s="43" t="n">
        <x:v>10000</x:v>
      </x:c>
      <x:c r="AD158" s="45" t="b">
        <x:v>1</x:v>
      </x:c>
      <x:c r="AE158" s="43" t="n">
        <x:v>9900</x:v>
      </x:c>
      <x:c r="AF158" s="43"/>
      <x:c r="AG158" s="43" t="n">
        <x:v>10000</x:v>
      </x:c>
      <x:c r="AH158" s="45" t="b">
        <x:v>1</x:v>
      </x:c>
      <x:c r="AI158" s="45" t="b">
        <x:v>1</x:v>
      </x:c>
      <x:c r="AJ158" s="49"/>
      <x:c r="AK158" s="48" t="n">
        <x:v>0.9503980153463999</x:v>
      </x:c>
      <x:c r="AL158" s="49"/>
      <x:c r="AM158" s="49"/>
      <x:c r="AN158" s="36" t="n">
        <x:v>1</x:v>
      </x:c>
      <x:c r="AO158" s="45" t="b">
        <x:v>1</x:v>
      </x:c>
      <x:c r="AP158" s="45" t="b">
        <x:v>1</x:v>
      </x:c>
      <x:c r="AQ158" s="46" t="n">
        <x:f>IF(T158="","",T158/'Readme-Protocol'!$B$24)</x:f>
        <x:v>5.000959259</x:v>
      </x:c>
      <x:c r="AR158" s="46" t="n">
        <x:f>IF(OR(S158="",S158=0),"",T158/S158)</x:f>
        <x:v>1.0001918518</x:v>
      </x:c>
      <x:c r="AS158" s="46" t="n">
        <x:f>IF(OR(X158="",Y158=""),"",ABS(Y158-X158)*'Readme-Protocol'!$B$27)</x:f>
        <x:v>0.03980153463999381</x:v>
      </x:c>
      <x:c r="AT158" s="49" t="b">
        <x:f>AND(M158&gt;0,N158&gt;=0,O158&gt;0)</x:f>
        <x:v>1</x:v>
      </x:c>
      <x:c r="AU158" s="49" t="b">
        <x:f>AND(AT158,N158&gt;=M158)</x:f>
        <x:v>1</x:v>
      </x:c>
      <x:c r="AV158" s="49" t="b">
        <x:f>OR(S158=0,T158&gt;=S158)</x:f>
        <x:v>1</x:v>
      </x:c>
      <x:c r="AW158" s="49" t="b">
        <x:f>IF(I158="cache-semantics",OR(V158&lt;&gt;"uniform",ABS(Y158-W158/'Readme-Protocol'!$B$27)&lt;='Readme-Protocol'!$B$28),TRUE)</x:f>
        <x:v>1</x:v>
      </x:c>
      <x:c r="AX158" s="43" t="n">
        <x:f>IF(I158="cache-semantics",INT(AA158*'Readme-Protocol'!$B$32),"")</x:f>
        <x:v>9900</x:v>
      </x:c>
      <x:c r="AY158" s="49" t="b">
        <x:f>IF(I158="cache-semantics",AX158=AB158,TRUE)</x:f>
        <x:v>1</x:v>
      </x:c>
      <x:c r="AZ158" s="49" t="b">
        <x:f>IF(I158="cache-semantics",AX158=AE158,TRUE)</x:f>
        <x:v>1</x:v>
      </x:c>
      <x:c r="BA158" s="49" t="b">
        <x:f>IF(I158="cache-semantics",AC158&gt;=AX158,IF(I158="no-store-control",AC158=0,FALSE))</x:f>
        <x:v>1</x:v>
      </x:c>
      <x:c r="BB158" s="49" t="b">
        <x:f>IF(I158="cache-semantics",AG158&gt;=AX158,IF(I158="no-store-control",AG158=0,FALSE))</x:f>
        <x:v>1</x:v>
      </x:c>
      <x:c r="BC158" s="49" t="b">
        <x:f>AND(BA158,BB158)</x:f>
        <x:v>1</x:v>
      </x:c>
      <x:c r="BD158" s="49" t="b">
        <x:f>IF(I158="no-store-control",AND(AC158=0,AG158=0),TRUE)</x:f>
        <x:v>1</x:v>
      </x:c>
      <x:c r="BE158" s="49" t="b">
        <x:f>IF(I158="no-store-control",AK158=0,TRUE)</x:f>
        <x:v>1</x:v>
      </x:c>
      <x:c r="BF158" s="49" t="b">
        <x:f>IF(I158="cache-semantics",AN158=1,TRUE)</x:f>
        <x:v>1</x:v>
      </x:c>
      <x:c r="BG158" s="49" t="b">
        <x:f>IF(I158="cache-semantics",AND(AU158,AV158,Q158,AW158,BC158,BF158),IF(I158="no-store-control",AND(AU158,AV158,Q158,BD158,BE158),FALSE))</x:f>
        <x:v>1</x:v>
      </x:c>
      <x:c r="BH158" s="49" t="b">
        <x:f>AND(R158,AT158=P158,AU158=L158,AV158=U158,AY158,AZ158,IF(I158="cache-semantics",AND(AW158=Z158,AND(BA158=AD158,BB158=AH158,BC158=AI158),BF158=AO158),IF(I158="no-store-control",AND(AND(BA158=AD158,BB158=AH158,BC158=AI158),BD158=AJ158,BE158=AL158),FALSE)),BG158=AP158)</x:f>
        <x:v>1</x:v>
      </x:c>
      <x:c r="BI158" s="49" t="b">
        <x:f>AND(J158,K158,BG158)</x:f>
        <x:v>0</x:v>
      </x:c>
    </x:row>
    <x:row r="159">
      <x:c r="A159" s="34" t="str">
        <x:v>article1-unified-v4-2-fb3f101b-20260903-000401-default-f03-p4-jcs321</x:v>
      </x:c>
      <x:c r="B159" s="34" t="str">
        <x:v>default</x:v>
      </x:c>
      <x:c r="C159" s="34" t="str">
        <x:v>jcs321</x:v>
      </x:c>
      <x:c r="D159" s="36" t="n">
        <x:v>3</x:v>
      </x:c>
      <x:c r="E159" s="36" t="n">
        <x:v>3</x:v>
      </x:c>
      <x:c r="F159" s="36" t="n">
        <x:v>4</x:v>
      </x:c>
      <x:c r="G159" s="36" t="n">
        <x:v>4</x:v>
      </x:c>
      <x:c r="H159" s="34" t="str">
        <x:v>redeploy</x:v>
      </x:c>
      <x:c r="I159" s="34" t="str">
        <x:v>cache-semantics</x:v>
      </x:c>
      <x:c r="J159" s="45" t="b">
        <x:v>1</x:v>
      </x:c>
      <x:c r="K159" s="45" t="b">
        <x:v>0</x:v>
      </x:c>
      <x:c r="L159" s="45" t="b">
        <x:v>1</x:v>
      </x:c>
      <x:c r="M159" s="43" t="n">
        <x:v>400000</x:v>
      </x:c>
      <x:c r="N159" s="43" t="n">
        <x:v>14214144</x:v>
      </x:c>
      <x:c r="O159" s="43" t="n">
        <x:v>2842008.5230164374</x:v>
      </x:c>
      <x:c r="P159" s="45" t="b">
        <x:v>1</x:v>
      </x:c>
      <x:c r="Q159" s="45" t="b">
        <x:v>1</x:v>
      </x:c>
      <x:c r="R159" s="45" t="b">
        <x:v>1</x:v>
      </x:c>
      <x:c r="S159" s="43" t="n">
        <x:v>5000000000</x:v>
      </x:c>
      <x:c r="T159" s="43" t="n">
        <x:v>5001443129</x:v>
      </x:c>
      <x:c r="U159" s="45" t="b">
        <x:v>1</x:v>
      </x:c>
      <x:c r="V159" s="34" t="str">
        <x:v>uniform</x:v>
      </x:c>
      <x:c r="W159" s="42" t="n">
        <x:v>95</x:v>
      </x:c>
      <x:c r="X159" s="48" t="n">
        <x:v>0.95</x:v>
      </x:c>
      <x:c r="Y159" s="48" t="n">
        <x:v>0.9503901184622866</x:v>
      </x:c>
      <x:c r="Z159" s="45" t="b">
        <x:v>1</x:v>
      </x:c>
      <x:c r="AA159" s="43" t="n">
        <x:v>10000</x:v>
      </x:c>
      <x:c r="AB159" s="43" t="n">
        <x:v>9900</x:v>
      </x:c>
      <x:c r="AC159" s="43" t="n">
        <x:v>10000</x:v>
      </x:c>
      <x:c r="AD159" s="45" t="b">
        <x:v>1</x:v>
      </x:c>
      <x:c r="AE159" s="43" t="n">
        <x:v>9900</x:v>
      </x:c>
      <x:c r="AF159" s="43"/>
      <x:c r="AG159" s="43" t="n">
        <x:v>10000</x:v>
      </x:c>
      <x:c r="AH159" s="45" t="b">
        <x:v>1</x:v>
      </x:c>
      <x:c r="AI159" s="45" t="b">
        <x:v>1</x:v>
      </x:c>
      <x:c r="AJ159" s="49"/>
      <x:c r="AK159" s="48" t="n">
        <x:v>0.9503901184622866</x:v>
      </x:c>
      <x:c r="AL159" s="49"/>
      <x:c r="AM159" s="49"/>
      <x:c r="AN159" s="36" t="n">
        <x:v>1</x:v>
      </x:c>
      <x:c r="AO159" s="45" t="b">
        <x:v>1</x:v>
      </x:c>
      <x:c r="AP159" s="45" t="b">
        <x:v>1</x:v>
      </x:c>
      <x:c r="AQ159" s="46" t="n">
        <x:f>IF(T159="","",T159/'Readme-Protocol'!$B$24)</x:f>
        <x:v>5.001443129</x:v>
      </x:c>
      <x:c r="AR159" s="46" t="n">
        <x:f>IF(OR(S159="",S159=0),"",T159/S159)</x:f>
        <x:v>1.0002886258</x:v>
      </x:c>
      <x:c r="AS159" s="46" t="n">
        <x:f>IF(OR(X159="",Y159=""),"",ABS(Y159-X159)*'Readme-Protocol'!$B$27)</x:f>
        <x:v>0.039011846228664826</x:v>
      </x:c>
      <x:c r="AT159" s="49" t="b">
        <x:f>AND(M159&gt;0,N159&gt;=0,O159&gt;0)</x:f>
        <x:v>1</x:v>
      </x:c>
      <x:c r="AU159" s="49" t="b">
        <x:f>AND(AT159,N159&gt;=M159)</x:f>
        <x:v>1</x:v>
      </x:c>
      <x:c r="AV159" s="49" t="b">
        <x:f>OR(S159=0,T159&gt;=S159)</x:f>
        <x:v>1</x:v>
      </x:c>
      <x:c r="AW159" s="49" t="b">
        <x:f>IF(I159="cache-semantics",OR(V159&lt;&gt;"uniform",ABS(Y159-W159/'Readme-Protocol'!$B$27)&lt;='Readme-Protocol'!$B$28),TRUE)</x:f>
        <x:v>1</x:v>
      </x:c>
      <x:c r="AX159" s="43" t="n">
        <x:f>IF(I159="cache-semantics",INT(AA159*'Readme-Protocol'!$B$32),"")</x:f>
        <x:v>9900</x:v>
      </x:c>
      <x:c r="AY159" s="49" t="b">
        <x:f>IF(I159="cache-semantics",AX159=AB159,TRUE)</x:f>
        <x:v>1</x:v>
      </x:c>
      <x:c r="AZ159" s="49" t="b">
        <x:f>IF(I159="cache-semantics",AX159=AE159,TRUE)</x:f>
        <x:v>1</x:v>
      </x:c>
      <x:c r="BA159" s="49" t="b">
        <x:f>IF(I159="cache-semantics",AC159&gt;=AX159,IF(I159="no-store-control",AC159=0,FALSE))</x:f>
        <x:v>1</x:v>
      </x:c>
      <x:c r="BB159" s="49" t="b">
        <x:f>IF(I159="cache-semantics",AG159&gt;=AX159,IF(I159="no-store-control",AG159=0,FALSE))</x:f>
        <x:v>1</x:v>
      </x:c>
      <x:c r="BC159" s="49" t="b">
        <x:f>AND(BA159,BB159)</x:f>
        <x:v>1</x:v>
      </x:c>
      <x:c r="BD159" s="49" t="b">
        <x:f>IF(I159="no-store-control",AND(AC159=0,AG159=0),TRUE)</x:f>
        <x:v>1</x:v>
      </x:c>
      <x:c r="BE159" s="49" t="b">
        <x:f>IF(I159="no-store-control",AK159=0,TRUE)</x:f>
        <x:v>1</x:v>
      </x:c>
      <x:c r="BF159" s="49" t="b">
        <x:f>IF(I159="cache-semantics",AN159=1,TRUE)</x:f>
        <x:v>1</x:v>
      </x:c>
      <x:c r="BG159" s="49" t="b">
        <x:f>IF(I159="cache-semantics",AND(AU159,AV159,Q159,AW159,BC159,BF159),IF(I159="no-store-control",AND(AU159,AV159,Q159,BD159,BE159),FALSE))</x:f>
        <x:v>1</x:v>
      </x:c>
      <x:c r="BH159" s="49" t="b">
        <x:f>AND(R159,AT159=P159,AU159=L159,AV159=U159,AY159,AZ159,IF(I159="cache-semantics",AND(AW159=Z159,AND(BA159=AD159,BB159=AH159,BC159=AI159),BF159=AO159),IF(I159="no-store-control",AND(AND(BA159=AD159,BB159=AH159,BC159=AI159),BD159=AJ159,BE159=AL159),FALSE)),BG159=AP159)</x:f>
        <x:v>1</x:v>
      </x:c>
      <x:c r="BI159" s="49" t="b">
        <x:f>AND(J159,K159,BG159)</x:f>
        <x:v>0</x:v>
      </x:c>
    </x:row>
    <x:row r="160">
      <x:c r="A160" s="34" t="str">
        <x:v>article1-unified-v4-2-fb3f101b-20260903-000401-default-f03-p4-jcs321</x:v>
      </x:c>
      <x:c r="B160" s="34" t="str">
        <x:v>default</x:v>
      </x:c>
      <x:c r="C160" s="34" t="str">
        <x:v>jcs321</x:v>
      </x:c>
      <x:c r="D160" s="36" t="n">
        <x:v>3</x:v>
      </x:c>
      <x:c r="E160" s="36" t="n">
        <x:v>3</x:v>
      </x:c>
      <x:c r="F160" s="36" t="n">
        <x:v>4</x:v>
      </x:c>
      <x:c r="G160" s="36" t="n">
        <x:v>5</x:v>
      </x:c>
      <x:c r="H160" s="34" t="str">
        <x:v>initial</x:v>
      </x:c>
      <x:c r="I160" s="34" t="str">
        <x:v>cache-semantics</x:v>
      </x:c>
      <x:c r="J160" s="45" t="b">
        <x:v>1</x:v>
      </x:c>
      <x:c r="K160" s="45" t="b">
        <x:v>0</x:v>
      </x:c>
      <x:c r="L160" s="45" t="b">
        <x:v>1</x:v>
      </x:c>
      <x:c r="M160" s="43" t="n">
        <x:v>400000</x:v>
      </x:c>
      <x:c r="N160" s="43" t="n">
        <x:v>15232512</x:v>
      </x:c>
      <x:c r="O160" s="43" t="n">
        <x:v>3046185.732543699</x:v>
      </x:c>
      <x:c r="P160" s="45" t="b">
        <x:v>1</x:v>
      </x:c>
      <x:c r="Q160" s="45" t="b">
        <x:v>1</x:v>
      </x:c>
      <x:c r="R160" s="45" t="b">
        <x:v>1</x:v>
      </x:c>
      <x:c r="S160" s="43" t="n">
        <x:v>5000000000</x:v>
      </x:c>
      <x:c r="T160" s="43" t="n">
        <x:v>5000519777</x:v>
      </x:c>
      <x:c r="U160" s="45" t="b">
        <x:v>1</x:v>
      </x:c>
      <x:c r="V160" s="34" t="str">
        <x:v>uniform</x:v>
      </x:c>
      <x:c r="W160" s="42" t="n">
        <x:v>95</x:v>
      </x:c>
      <x:c r="X160" s="48" t="n">
        <x:v>0.95</x:v>
      </x:c>
      <x:c r="Y160" s="48" t="n">
        <x:v>0.9498261350458808</x:v>
      </x:c>
      <x:c r="Z160" s="45" t="b">
        <x:v>1</x:v>
      </x:c>
      <x:c r="AA160" s="43" t="n">
        <x:v>10000</x:v>
      </x:c>
      <x:c r="AB160" s="43" t="n">
        <x:v>9900</x:v>
      </x:c>
      <x:c r="AC160" s="43" t="n">
        <x:v>10000</x:v>
      </x:c>
      <x:c r="AD160" s="45" t="b">
        <x:v>1</x:v>
      </x:c>
      <x:c r="AE160" s="43" t="n">
        <x:v>9900</x:v>
      </x:c>
      <x:c r="AF160" s="43"/>
      <x:c r="AG160" s="43" t="n">
        <x:v>10000</x:v>
      </x:c>
      <x:c r="AH160" s="45" t="b">
        <x:v>1</x:v>
      </x:c>
      <x:c r="AI160" s="45" t="b">
        <x:v>1</x:v>
      </x:c>
      <x:c r="AJ160" s="49"/>
      <x:c r="AK160" s="48" t="n">
        <x:v>0.9498261350458808</x:v>
      </x:c>
      <x:c r="AL160" s="49"/>
      <x:c r="AM160" s="49"/>
      <x:c r="AN160" s="36" t="n">
        <x:v>1</x:v>
      </x:c>
      <x:c r="AO160" s="45" t="b">
        <x:v>1</x:v>
      </x:c>
      <x:c r="AP160" s="45" t="b">
        <x:v>1</x:v>
      </x:c>
      <x:c r="AQ160" s="46" t="n">
        <x:f>IF(T160="","",T160/'Readme-Protocol'!$B$24)</x:f>
        <x:v>5.000519777</x:v>
      </x:c>
      <x:c r="AR160" s="46" t="n">
        <x:f>IF(OR(S160="",S160=0),"",T160/S160)</x:f>
        <x:v>1.0001039554</x:v>
      </x:c>
      <x:c r="AS160" s="46" t="n">
        <x:f>IF(OR(X160="",Y160=""),"",ABS(Y160-X160)*'Readme-Protocol'!$B$27)</x:f>
        <x:v>0.01738649541191961</x:v>
      </x:c>
      <x:c r="AT160" s="49" t="b">
        <x:f>AND(M160&gt;0,N160&gt;=0,O160&gt;0)</x:f>
        <x:v>1</x:v>
      </x:c>
      <x:c r="AU160" s="49" t="b">
        <x:f>AND(AT160,N160&gt;=M160)</x:f>
        <x:v>1</x:v>
      </x:c>
      <x:c r="AV160" s="49" t="b">
        <x:f>OR(S160=0,T160&gt;=S160)</x:f>
        <x:v>1</x:v>
      </x:c>
      <x:c r="AW160" s="49" t="b">
        <x:f>IF(I160="cache-semantics",OR(V160&lt;&gt;"uniform",ABS(Y160-W160/'Readme-Protocol'!$B$27)&lt;='Readme-Protocol'!$B$28),TRUE)</x:f>
        <x:v>1</x:v>
      </x:c>
      <x:c r="AX160" s="43" t="n">
        <x:f>IF(I160="cache-semantics",INT(AA160*'Readme-Protocol'!$B$32),"")</x:f>
        <x:v>9900</x:v>
      </x:c>
      <x:c r="AY160" s="49" t="b">
        <x:f>IF(I160="cache-semantics",AX160=AB160,TRUE)</x:f>
        <x:v>1</x:v>
      </x:c>
      <x:c r="AZ160" s="49" t="b">
        <x:f>IF(I160="cache-semantics",AX160=AE160,TRUE)</x:f>
        <x:v>1</x:v>
      </x:c>
      <x:c r="BA160" s="49" t="b">
        <x:f>IF(I160="cache-semantics",AC160&gt;=AX160,IF(I160="no-store-control",AC160=0,FALSE))</x:f>
        <x:v>1</x:v>
      </x:c>
      <x:c r="BB160" s="49" t="b">
        <x:f>IF(I160="cache-semantics",AG160&gt;=AX160,IF(I160="no-store-control",AG160=0,FALSE))</x:f>
        <x:v>1</x:v>
      </x:c>
      <x:c r="BC160" s="49" t="b">
        <x:f>AND(BA160,BB160)</x:f>
        <x:v>1</x:v>
      </x:c>
      <x:c r="BD160" s="49" t="b">
        <x:f>IF(I160="no-store-control",AND(AC160=0,AG160=0),TRUE)</x:f>
        <x:v>1</x:v>
      </x:c>
      <x:c r="BE160" s="49" t="b">
        <x:f>IF(I160="no-store-control",AK160=0,TRUE)</x:f>
        <x:v>1</x:v>
      </x:c>
      <x:c r="BF160" s="49" t="b">
        <x:f>IF(I160="cache-semantics",AN160=1,TRUE)</x:f>
        <x:v>1</x:v>
      </x:c>
      <x:c r="BG160" s="49" t="b">
        <x:f>IF(I160="cache-semantics",AND(AU160,AV160,Q160,AW160,BC160,BF160),IF(I160="no-store-control",AND(AU160,AV160,Q160,BD160,BE160),FALSE))</x:f>
        <x:v>1</x:v>
      </x:c>
      <x:c r="BH160" s="49" t="b">
        <x:f>AND(R160,AT160=P160,AU160=L160,AV160=U160,AY160,AZ160,IF(I160="cache-semantics",AND(AW160=Z160,AND(BA160=AD160,BB160=AH160,BC160=AI160),BF160=AO160),IF(I160="no-store-control",AND(AND(BA160=AD160,BB160=AH160,BC160=AI160),BD160=AJ160,BE160=AL160),FALSE)),BG160=AP160)</x:f>
        <x:v>1</x:v>
      </x:c>
      <x:c r="BI160" s="49" t="b">
        <x:f>AND(J160,K160,BG160)</x:f>
        <x:v>0</x:v>
      </x:c>
    </x:row>
    <x:row r="161">
      <x:c r="A161" s="34" t="str">
        <x:v>article1-unified-v4-2-fb3f101b-20260903-000401-default-f03-p4-jcs321</x:v>
      </x:c>
      <x:c r="B161" s="34" t="str">
        <x:v>default</x:v>
      </x:c>
      <x:c r="C161" s="34" t="str">
        <x:v>jcs321</x:v>
      </x:c>
      <x:c r="D161" s="36" t="n">
        <x:v>3</x:v>
      </x:c>
      <x:c r="E161" s="36" t="n">
        <x:v>3</x:v>
      </x:c>
      <x:c r="F161" s="36" t="n">
        <x:v>4</x:v>
      </x:c>
      <x:c r="G161" s="36" t="n">
        <x:v>5</x:v>
      </x:c>
      <x:c r="H161" s="34" t="str">
        <x:v>redeploy</x:v>
      </x:c>
      <x:c r="I161" s="34" t="str">
        <x:v>cache-semantics</x:v>
      </x:c>
      <x:c r="J161" s="45" t="b">
        <x:v>1</x:v>
      </x:c>
      <x:c r="K161" s="45" t="b">
        <x:v>0</x:v>
      </x:c>
      <x:c r="L161" s="45" t="b">
        <x:v>1</x:v>
      </x:c>
      <x:c r="M161" s="43" t="n">
        <x:v>400000</x:v>
      </x:c>
      <x:c r="N161" s="43" t="n">
        <x:v>15290112</x:v>
      </x:c>
      <x:c r="O161" s="43" t="n">
        <x:v>3057683.993881661</x:v>
      </x:c>
      <x:c r="P161" s="45" t="b">
        <x:v>1</x:v>
      </x:c>
      <x:c r="Q161" s="45" t="b">
        <x:v>1</x:v>
      </x:c>
      <x:c r="R161" s="45" t="b">
        <x:v>1</x:v>
      </x:c>
      <x:c r="S161" s="43" t="n">
        <x:v>5000000000</x:v>
      </x:c>
      <x:c r="T161" s="43" t="n">
        <x:v>5000553370</x:v>
      </x:c>
      <x:c r="U161" s="45" t="b">
        <x:v>1</x:v>
      </x:c>
      <x:c r="V161" s="34" t="str">
        <x:v>uniform</x:v>
      </x:c>
      <x:c r="W161" s="42" t="n">
        <x:v>95</x:v>
      </x:c>
      <x:c r="X161" s="48" t="n">
        <x:v>0.95</x:v>
      </x:c>
      <x:c r="Y161" s="48" t="n">
        <x:v>0.9498252857794632</x:v>
      </x:c>
      <x:c r="Z161" s="45" t="b">
        <x:v>1</x:v>
      </x:c>
      <x:c r="AA161" s="43" t="n">
        <x:v>10000</x:v>
      </x:c>
      <x:c r="AB161" s="43" t="n">
        <x:v>9900</x:v>
      </x:c>
      <x:c r="AC161" s="43" t="n">
        <x:v>10000</x:v>
      </x:c>
      <x:c r="AD161" s="45" t="b">
        <x:v>1</x:v>
      </x:c>
      <x:c r="AE161" s="43" t="n">
        <x:v>9900</x:v>
      </x:c>
      <x:c r="AF161" s="43"/>
      <x:c r="AG161" s="43" t="n">
        <x:v>10000</x:v>
      </x:c>
      <x:c r="AH161" s="45" t="b">
        <x:v>1</x:v>
      </x:c>
      <x:c r="AI161" s="45" t="b">
        <x:v>1</x:v>
      </x:c>
      <x:c r="AJ161" s="49"/>
      <x:c r="AK161" s="48" t="n">
        <x:v>0.9498252857794632</x:v>
      </x:c>
      <x:c r="AL161" s="49"/>
      <x:c r="AM161" s="49"/>
      <x:c r="AN161" s="36" t="n">
        <x:v>1</x:v>
      </x:c>
      <x:c r="AO161" s="45" t="b">
        <x:v>1</x:v>
      </x:c>
      <x:c r="AP161" s="45" t="b">
        <x:v>1</x:v>
      </x:c>
      <x:c r="AQ161" s="46" t="n">
        <x:f>IF(T161="","",T161/'Readme-Protocol'!$B$24)</x:f>
        <x:v>5.00055337</x:v>
      </x:c>
      <x:c r="AR161" s="46" t="n">
        <x:f>IF(OR(S161="",S161=0),"",T161/S161)</x:f>
        <x:v>1.000110674</x:v>
      </x:c>
      <x:c r="AS161" s="46" t="n">
        <x:f>IF(OR(X161="",Y161=""),"",ABS(Y161-X161)*'Readme-Protocol'!$B$27)</x:f>
        <x:v>0.017471422053672025</x:v>
      </x:c>
      <x:c r="AT161" s="49" t="b">
        <x:f>AND(M161&gt;0,N161&gt;=0,O161&gt;0)</x:f>
        <x:v>1</x:v>
      </x:c>
      <x:c r="AU161" s="49" t="b">
        <x:f>AND(AT161,N161&gt;=M161)</x:f>
        <x:v>1</x:v>
      </x:c>
      <x:c r="AV161" s="49" t="b">
        <x:f>OR(S161=0,T161&gt;=S161)</x:f>
        <x:v>1</x:v>
      </x:c>
      <x:c r="AW161" s="49" t="b">
        <x:f>IF(I161="cache-semantics",OR(V161&lt;&gt;"uniform",ABS(Y161-W161/'Readme-Protocol'!$B$27)&lt;='Readme-Protocol'!$B$28),TRUE)</x:f>
        <x:v>1</x:v>
      </x:c>
      <x:c r="AX161" s="43" t="n">
        <x:f>IF(I161="cache-semantics",INT(AA161*'Readme-Protocol'!$B$32),"")</x:f>
        <x:v>9900</x:v>
      </x:c>
      <x:c r="AY161" s="49" t="b">
        <x:f>IF(I161="cache-semantics",AX161=AB161,TRUE)</x:f>
        <x:v>1</x:v>
      </x:c>
      <x:c r="AZ161" s="49" t="b">
        <x:f>IF(I161="cache-semantics",AX161=AE161,TRUE)</x:f>
        <x:v>1</x:v>
      </x:c>
      <x:c r="BA161" s="49" t="b">
        <x:f>IF(I161="cache-semantics",AC161&gt;=AX161,IF(I161="no-store-control",AC161=0,FALSE))</x:f>
        <x:v>1</x:v>
      </x:c>
      <x:c r="BB161" s="49" t="b">
        <x:f>IF(I161="cache-semantics",AG161&gt;=AX161,IF(I161="no-store-control",AG161=0,FALSE))</x:f>
        <x:v>1</x:v>
      </x:c>
      <x:c r="BC161" s="49" t="b">
        <x:f>AND(BA161,BB161)</x:f>
        <x:v>1</x:v>
      </x:c>
      <x:c r="BD161" s="49" t="b">
        <x:f>IF(I161="no-store-control",AND(AC161=0,AG161=0),TRUE)</x:f>
        <x:v>1</x:v>
      </x:c>
      <x:c r="BE161" s="49" t="b">
        <x:f>IF(I161="no-store-control",AK161=0,TRUE)</x:f>
        <x:v>1</x:v>
      </x:c>
      <x:c r="BF161" s="49" t="b">
        <x:f>IF(I161="cache-semantics",AN161=1,TRUE)</x:f>
        <x:v>1</x:v>
      </x:c>
      <x:c r="BG161" s="49" t="b">
        <x:f>IF(I161="cache-semantics",AND(AU161,AV161,Q161,AW161,BC161,BF161),IF(I161="no-store-control",AND(AU161,AV161,Q161,BD161,BE161),FALSE))</x:f>
        <x:v>1</x:v>
      </x:c>
      <x:c r="BH161" s="49" t="b">
        <x:f>AND(R161,AT161=P161,AU161=L161,AV161=U161,AY161,AZ161,IF(I161="cache-semantics",AND(AW161=Z161,AND(BA161=AD161,BB161=AH161,BC161=AI161),BF161=AO161),IF(I161="no-store-control",AND(AND(BA161=AD161,BB161=AH161,BC161=AI161),BD161=AJ161,BE161=AL161),FALSE)),BG161=AP161)</x:f>
        <x:v>1</x:v>
      </x:c>
      <x:c r="BI161" s="49" t="b">
        <x:f>AND(J161,K161,BG161)</x:f>
        <x:v>0</x:v>
      </x:c>
    </x:row>
    <x:row r="162">
      <x:c r="A162" s="34" t="str">
        <x:v>article1-unified-v4-2-fb3f101b-20260903-000401-default-f03-p5-caffeine</x:v>
      </x:c>
      <x:c r="B162" s="34" t="str">
        <x:v>default</x:v>
      </x:c>
      <x:c r="C162" s="34" t="str">
        <x:v>caffeine</x:v>
      </x:c>
      <x:c r="D162" s="36" t="n">
        <x:v>3</x:v>
      </x:c>
      <x:c r="E162" s="36" t="n">
        <x:v>3</x:v>
      </x:c>
      <x:c r="F162" s="36" t="n">
        <x:v>5</x:v>
      </x:c>
      <x:c r="G162" s="36" t="n">
        <x:v>1</x:v>
      </x:c>
      <x:c r="H162" s="34" t="str">
        <x:v>initial</x:v>
      </x:c>
      <x:c r="I162" s="34" t="str">
        <x:v>cache-semantics</x:v>
      </x:c>
      <x:c r="J162" s="45" t="b">
        <x:v>1</x:v>
      </x:c>
      <x:c r="K162" s="45" t="b">
        <x:v>1</x:v>
      </x:c>
      <x:c r="L162" s="45" t="b">
        <x:v>1</x:v>
      </x:c>
      <x:c r="M162" s="43" t="n">
        <x:v>400000</x:v>
      </x:c>
      <x:c r="N162" s="43" t="n">
        <x:v>142026496</x:v>
      </x:c>
      <x:c r="O162" s="43" t="n">
        <x:v>28167026.687982127</x:v>
      </x:c>
      <x:c r="P162" s="45" t="b">
        <x:v>1</x:v>
      </x:c>
      <x:c r="Q162" s="45" t="b">
        <x:v>1</x:v>
      </x:c>
      <x:c r="R162" s="45" t="b">
        <x:v>1</x:v>
      </x:c>
      <x:c r="S162" s="43" t="n">
        <x:v>5000000000</x:v>
      </x:c>
      <x:c r="T162" s="43" t="n">
        <x:v>5042296355</x:v>
      </x:c>
      <x:c r="U162" s="45" t="b">
        <x:v>1</x:v>
      </x:c>
      <x:c r="V162" s="34" t="str">
        <x:v>uniform</x:v>
      </x:c>
      <x:c r="W162" s="42" t="n">
        <x:v>95</x:v>
      </x:c>
      <x:c r="X162" s="48" t="n">
        <x:v>0.95</x:v>
      </x:c>
      <x:c r="Y162" s="48" t="n">
        <x:v>0.9489482159723212</x:v>
      </x:c>
      <x:c r="Z162" s="45" t="b">
        <x:v>1</x:v>
      </x:c>
      <x:c r="AA162" s="43" t="n">
        <x:v>10000</x:v>
      </x:c>
      <x:c r="AB162" s="43" t="n">
        <x:v>9900</x:v>
      </x:c>
      <x:c r="AC162" s="43" t="n">
        <x:v>10000</x:v>
      </x:c>
      <x:c r="AD162" s="45" t="b">
        <x:v>1</x:v>
      </x:c>
      <x:c r="AE162" s="43" t="n">
        <x:v>9900</x:v>
      </x:c>
      <x:c r="AF162" s="43"/>
      <x:c r="AG162" s="43" t="n">
        <x:v>10000</x:v>
      </x:c>
      <x:c r="AH162" s="45" t="b">
        <x:v>1</x:v>
      </x:c>
      <x:c r="AI162" s="45" t="b">
        <x:v>1</x:v>
      </x:c>
      <x:c r="AJ162" s="49"/>
      <x:c r="AK162" s="48" t="n">
        <x:v>0.9489482159723212</x:v>
      </x:c>
      <x:c r="AL162" s="49"/>
      <x:c r="AM162" s="49"/>
      <x:c r="AN162" s="36" t="n">
        <x:v>1</x:v>
      </x:c>
      <x:c r="AO162" s="45" t="b">
        <x:v>1</x:v>
      </x:c>
      <x:c r="AP162" s="45" t="b">
        <x:v>1</x:v>
      </x:c>
      <x:c r="AQ162" s="46" t="n">
        <x:f>IF(T162="","",T162/'Readme-Protocol'!$B$24)</x:f>
        <x:v>5.042296355</x:v>
      </x:c>
      <x:c r="AR162" s="46" t="n">
        <x:f>IF(OR(S162="",S162=0),"",T162/S162)</x:f>
        <x:v>1.008459271</x:v>
      </x:c>
      <x:c r="AS162" s="46" t="n">
        <x:f>IF(OR(X162="",Y162=""),"",ABS(Y162-X162)*'Readme-Protocol'!$B$27)</x:f>
        <x:v>0.10517840276788037</x:v>
      </x:c>
      <x:c r="AT162" s="49" t="b">
        <x:f>AND(M162&gt;0,N162&gt;=0,O162&gt;0)</x:f>
        <x:v>1</x:v>
      </x:c>
      <x:c r="AU162" s="49" t="b">
        <x:f>AND(AT162,N162&gt;=M162)</x:f>
        <x:v>1</x:v>
      </x:c>
      <x:c r="AV162" s="49" t="b">
        <x:f>OR(S162=0,T162&gt;=S162)</x:f>
        <x:v>1</x:v>
      </x:c>
      <x:c r="AW162" s="49" t="b">
        <x:f>IF(I162="cache-semantics",OR(V162&lt;&gt;"uniform",ABS(Y162-W162/'Readme-Protocol'!$B$27)&lt;='Readme-Protocol'!$B$28),TRUE)</x:f>
        <x:v>1</x:v>
      </x:c>
      <x:c r="AX162" s="43" t="n">
        <x:f>IF(I162="cache-semantics",INT(AA162*'Readme-Protocol'!$B$32),"")</x:f>
        <x:v>9900</x:v>
      </x:c>
      <x:c r="AY162" s="49" t="b">
        <x:f>IF(I162="cache-semantics",AX162=AB162,TRUE)</x:f>
        <x:v>1</x:v>
      </x:c>
      <x:c r="AZ162" s="49" t="b">
        <x:f>IF(I162="cache-semantics",AX162=AE162,TRUE)</x:f>
        <x:v>1</x:v>
      </x:c>
      <x:c r="BA162" s="49" t="b">
        <x:f>IF(I162="cache-semantics",AC162&gt;=AX162,IF(I162="no-store-control",AC162=0,FALSE))</x:f>
        <x:v>1</x:v>
      </x:c>
      <x:c r="BB162" s="49" t="b">
        <x:f>IF(I162="cache-semantics",AG162&gt;=AX162,IF(I162="no-store-control",AG162=0,FALSE))</x:f>
        <x:v>1</x:v>
      </x:c>
      <x:c r="BC162" s="49" t="b">
        <x:f>AND(BA162,BB162)</x:f>
        <x:v>1</x:v>
      </x:c>
      <x:c r="BD162" s="49" t="b">
        <x:f>IF(I162="no-store-control",AND(AC162=0,AG162=0),TRUE)</x:f>
        <x:v>1</x:v>
      </x:c>
      <x:c r="BE162" s="49" t="b">
        <x:f>IF(I162="no-store-control",AK162=0,TRUE)</x:f>
        <x:v>1</x:v>
      </x:c>
      <x:c r="BF162" s="49" t="b">
        <x:f>IF(I162="cache-semantics",AN162=1,TRUE)</x:f>
        <x:v>1</x:v>
      </x:c>
      <x:c r="BG162" s="49" t="b">
        <x:f>IF(I162="cache-semantics",AND(AU162,AV162,Q162,AW162,BC162,BF162),IF(I162="no-store-control",AND(AU162,AV162,Q162,BD162,BE162),FALSE))</x:f>
        <x:v>1</x:v>
      </x:c>
      <x:c r="BH162" s="49" t="b">
        <x:f>AND(R162,AT162=P162,AU162=L162,AV162=U162,AY162,AZ162,IF(I162="cache-semantics",AND(AW162=Z162,AND(BA162=AD162,BB162=AH162,BC162=AI162),BF162=AO162),IF(I162="no-store-control",AND(AND(BA162=AD162,BB162=AH162,BC162=AI162),BD162=AJ162,BE162=AL162),FALSE)),BG162=AP162)</x:f>
        <x:v>1</x:v>
      </x:c>
      <x:c r="BI162" s="49" t="b">
        <x:f>AND(J162,K162,BG162)</x:f>
        <x:v>1</x:v>
      </x:c>
    </x:row>
    <x:row r="163">
      <x:c r="A163" s="34" t="str">
        <x:v>article1-unified-v4-2-fb3f101b-20260903-000401-default-f03-p5-caffeine</x:v>
      </x:c>
      <x:c r="B163" s="34" t="str">
        <x:v>default</x:v>
      </x:c>
      <x:c r="C163" s="34" t="str">
        <x:v>caffeine</x:v>
      </x:c>
      <x:c r="D163" s="36" t="n">
        <x:v>3</x:v>
      </x:c>
      <x:c r="E163" s="36" t="n">
        <x:v>3</x:v>
      </x:c>
      <x:c r="F163" s="36" t="n">
        <x:v>5</x:v>
      </x:c>
      <x:c r="G163" s="36" t="n">
        <x:v>1</x:v>
      </x:c>
      <x:c r="H163" s="34" t="str">
        <x:v>redeploy</x:v>
      </x:c>
      <x:c r="I163" s="34" t="str">
        <x:v>cache-semantics</x:v>
      </x:c>
      <x:c r="J163" s="45" t="b">
        <x:v>1</x:v>
      </x:c>
      <x:c r="K163" s="45" t="b">
        <x:v>1</x:v>
      </x:c>
      <x:c r="L163" s="45" t="b">
        <x:v>1</x:v>
      </x:c>
      <x:c r="M163" s="43" t="n">
        <x:v>400000</x:v>
      </x:c>
      <x:c r="N163" s="43" t="n">
        <x:v>143973120</x:v>
      </x:c>
      <x:c r="O163" s="43" t="n">
        <x:v>28778842.70718618</x:v>
      </x:c>
      <x:c r="P163" s="45" t="b">
        <x:v>1</x:v>
      </x:c>
      <x:c r="Q163" s="45" t="b">
        <x:v>1</x:v>
      </x:c>
      <x:c r="R163" s="45" t="b">
        <x:v>1</x:v>
      </x:c>
      <x:c r="S163" s="43" t="n">
        <x:v>5000000000</x:v>
      </x:c>
      <x:c r="T163" s="43" t="n">
        <x:v>5002741822</x:v>
      </x:c>
      <x:c r="U163" s="45" t="b">
        <x:v>1</x:v>
      </x:c>
      <x:c r="V163" s="34" t="str">
        <x:v>uniform</x:v>
      </x:c>
      <x:c r="W163" s="42" t="n">
        <x:v>95</x:v>
      </x:c>
      <x:c r="X163" s="48" t="n">
        <x:v>0.95</x:v>
      </x:c>
      <x:c r="Y163" s="48" t="n">
        <x:v>0.9489675364401355</x:v>
      </x:c>
      <x:c r="Z163" s="45" t="b">
        <x:v>1</x:v>
      </x:c>
      <x:c r="AA163" s="43" t="n">
        <x:v>10000</x:v>
      </x:c>
      <x:c r="AB163" s="43" t="n">
        <x:v>9900</x:v>
      </x:c>
      <x:c r="AC163" s="43" t="n">
        <x:v>10000</x:v>
      </x:c>
      <x:c r="AD163" s="45" t="b">
        <x:v>1</x:v>
      </x:c>
      <x:c r="AE163" s="43" t="n">
        <x:v>9900</x:v>
      </x:c>
      <x:c r="AF163" s="43"/>
      <x:c r="AG163" s="43" t="n">
        <x:v>10000</x:v>
      </x:c>
      <x:c r="AH163" s="45" t="b">
        <x:v>1</x:v>
      </x:c>
      <x:c r="AI163" s="45" t="b">
        <x:v>1</x:v>
      </x:c>
      <x:c r="AJ163" s="49"/>
      <x:c r="AK163" s="48" t="n">
        <x:v>0.9489675364401355</x:v>
      </x:c>
      <x:c r="AL163" s="49"/>
      <x:c r="AM163" s="49"/>
      <x:c r="AN163" s="36" t="n">
        <x:v>1</x:v>
      </x:c>
      <x:c r="AO163" s="45" t="b">
        <x:v>1</x:v>
      </x:c>
      <x:c r="AP163" s="45" t="b">
        <x:v>1</x:v>
      </x:c>
      <x:c r="AQ163" s="46" t="n">
        <x:f>IF(T163="","",T163/'Readme-Protocol'!$B$24)</x:f>
        <x:v>5.002741822</x:v>
      </x:c>
      <x:c r="AR163" s="46" t="n">
        <x:f>IF(OR(S163="",S163=0),"",T163/S163)</x:f>
        <x:v>1.0005483644</x:v>
      </x:c>
      <x:c r="AS163" s="46" t="n">
        <x:f>IF(OR(X163="",Y163=""),"",ABS(Y163-X163)*'Readme-Protocol'!$B$27)</x:f>
        <x:v>0.10324635598644161</x:v>
      </x:c>
      <x:c r="AT163" s="49" t="b">
        <x:f>AND(M163&gt;0,N163&gt;=0,O163&gt;0)</x:f>
        <x:v>1</x:v>
      </x:c>
      <x:c r="AU163" s="49" t="b">
        <x:f>AND(AT163,N163&gt;=M163)</x:f>
        <x:v>1</x:v>
      </x:c>
      <x:c r="AV163" s="49" t="b">
        <x:f>OR(S163=0,T163&gt;=S163)</x:f>
        <x:v>1</x:v>
      </x:c>
      <x:c r="AW163" s="49" t="b">
        <x:f>IF(I163="cache-semantics",OR(V163&lt;&gt;"uniform",ABS(Y163-W163/'Readme-Protocol'!$B$27)&lt;='Readme-Protocol'!$B$28),TRUE)</x:f>
        <x:v>1</x:v>
      </x:c>
      <x:c r="AX163" s="43" t="n">
        <x:f>IF(I163="cache-semantics",INT(AA163*'Readme-Protocol'!$B$32),"")</x:f>
        <x:v>9900</x:v>
      </x:c>
      <x:c r="AY163" s="49" t="b">
        <x:f>IF(I163="cache-semantics",AX163=AB163,TRUE)</x:f>
        <x:v>1</x:v>
      </x:c>
      <x:c r="AZ163" s="49" t="b">
        <x:f>IF(I163="cache-semantics",AX163=AE163,TRUE)</x:f>
        <x:v>1</x:v>
      </x:c>
      <x:c r="BA163" s="49" t="b">
        <x:f>IF(I163="cache-semantics",AC163&gt;=AX163,IF(I163="no-store-control",AC163=0,FALSE))</x:f>
        <x:v>1</x:v>
      </x:c>
      <x:c r="BB163" s="49" t="b">
        <x:f>IF(I163="cache-semantics",AG163&gt;=AX163,IF(I163="no-store-control",AG163=0,FALSE))</x:f>
        <x:v>1</x:v>
      </x:c>
      <x:c r="BC163" s="49" t="b">
        <x:f>AND(BA163,BB163)</x:f>
        <x:v>1</x:v>
      </x:c>
      <x:c r="BD163" s="49" t="b">
        <x:f>IF(I163="no-store-control",AND(AC163=0,AG163=0),TRUE)</x:f>
        <x:v>1</x:v>
      </x:c>
      <x:c r="BE163" s="49" t="b">
        <x:f>IF(I163="no-store-control",AK163=0,TRUE)</x:f>
        <x:v>1</x:v>
      </x:c>
      <x:c r="BF163" s="49" t="b">
        <x:f>IF(I163="cache-semantics",AN163=1,TRUE)</x:f>
        <x:v>1</x:v>
      </x:c>
      <x:c r="BG163" s="49" t="b">
        <x:f>IF(I163="cache-semantics",AND(AU163,AV163,Q163,AW163,BC163,BF163),IF(I163="no-store-control",AND(AU163,AV163,Q163,BD163,BE163),FALSE))</x:f>
        <x:v>1</x:v>
      </x:c>
      <x:c r="BH163" s="49" t="b">
        <x:f>AND(R163,AT163=P163,AU163=L163,AV163=U163,AY163,AZ163,IF(I163="cache-semantics",AND(AW163=Z163,AND(BA163=AD163,BB163=AH163,BC163=AI163),BF163=AO163),IF(I163="no-store-control",AND(AND(BA163=AD163,BB163=AH163,BC163=AI163),BD163=AJ163,BE163=AL163),FALSE)),BG163=AP163)</x:f>
        <x:v>1</x:v>
      </x:c>
      <x:c r="BI163" s="49" t="b">
        <x:f>AND(J163,K163,BG163)</x:f>
        <x:v>1</x:v>
      </x:c>
    </x:row>
    <x:row r="164">
      <x:c r="A164" s="34" t="str">
        <x:v>article1-unified-v4-2-fb3f101b-20260903-000401-default-f03-p5-caffeine</x:v>
      </x:c>
      <x:c r="B164" s="34" t="str">
        <x:v>default</x:v>
      </x:c>
      <x:c r="C164" s="34" t="str">
        <x:v>caffeine</x:v>
      </x:c>
      <x:c r="D164" s="36" t="n">
        <x:v>3</x:v>
      </x:c>
      <x:c r="E164" s="36" t="n">
        <x:v>3</x:v>
      </x:c>
      <x:c r="F164" s="36" t="n">
        <x:v>5</x:v>
      </x:c>
      <x:c r="G164" s="36" t="n">
        <x:v>2</x:v>
      </x:c>
      <x:c r="H164" s="34" t="str">
        <x:v>initial</x:v>
      </x:c>
      <x:c r="I164" s="34" t="str">
        <x:v>cache-semantics</x:v>
      </x:c>
      <x:c r="J164" s="45" t="b">
        <x:v>1</x:v>
      </x:c>
      <x:c r="K164" s="45" t="b">
        <x:v>1</x:v>
      </x:c>
      <x:c r="L164" s="45" t="b">
        <x:v>1</x:v>
      </x:c>
      <x:c r="M164" s="43" t="n">
        <x:v>400000</x:v>
      </x:c>
      <x:c r="N164" s="43" t="n">
        <x:v>132900352</x:v>
      </x:c>
      <x:c r="O164" s="43" t="n">
        <x:v>26567572.85432389</x:v>
      </x:c>
      <x:c r="P164" s="45" t="b">
        <x:v>1</x:v>
      </x:c>
      <x:c r="Q164" s="45" t="b">
        <x:v>1</x:v>
      </x:c>
      <x:c r="R164" s="45" t="b">
        <x:v>1</x:v>
      </x:c>
      <x:c r="S164" s="43" t="n">
        <x:v>5000000000</x:v>
      </x:c>
      <x:c r="T164" s="43" t="n">
        <x:v>5002352030</x:v>
      </x:c>
      <x:c r="U164" s="45" t="b">
        <x:v>1</x:v>
      </x:c>
      <x:c r="V164" s="34" t="str">
        <x:v>uniform</x:v>
      </x:c>
      <x:c r="W164" s="42" t="n">
        <x:v>95</x:v>
      </x:c>
      <x:c r="X164" s="48" t="n">
        <x:v>0.95</x:v>
      </x:c>
      <x:c r="Y164" s="48" t="n">
        <x:v>0.9500496808315452</x:v>
      </x:c>
      <x:c r="Z164" s="45" t="b">
        <x:v>1</x:v>
      </x:c>
      <x:c r="AA164" s="43" t="n">
        <x:v>10000</x:v>
      </x:c>
      <x:c r="AB164" s="43" t="n">
        <x:v>9900</x:v>
      </x:c>
      <x:c r="AC164" s="43" t="n">
        <x:v>10000</x:v>
      </x:c>
      <x:c r="AD164" s="45" t="b">
        <x:v>1</x:v>
      </x:c>
      <x:c r="AE164" s="43" t="n">
        <x:v>9900</x:v>
      </x:c>
      <x:c r="AF164" s="43"/>
      <x:c r="AG164" s="43" t="n">
        <x:v>10000</x:v>
      </x:c>
      <x:c r="AH164" s="45" t="b">
        <x:v>1</x:v>
      </x:c>
      <x:c r="AI164" s="45" t="b">
        <x:v>1</x:v>
      </x:c>
      <x:c r="AJ164" s="49"/>
      <x:c r="AK164" s="48" t="n">
        <x:v>0.9500496808315452</x:v>
      </x:c>
      <x:c r="AL164" s="49"/>
      <x:c r="AM164" s="49"/>
      <x:c r="AN164" s="36" t="n">
        <x:v>1</x:v>
      </x:c>
      <x:c r="AO164" s="45" t="b">
        <x:v>1</x:v>
      </x:c>
      <x:c r="AP164" s="45" t="b">
        <x:v>1</x:v>
      </x:c>
      <x:c r="AQ164" s="46" t="n">
        <x:f>IF(T164="","",T164/'Readme-Protocol'!$B$24)</x:f>
        <x:v>5.00235203</x:v>
      </x:c>
      <x:c r="AR164" s="46" t="n">
        <x:f>IF(OR(S164="",S164=0),"",T164/S164)</x:f>
        <x:v>1.000470406</x:v>
      </x:c>
      <x:c r="AS164" s="46" t="n">
        <x:f>IF(OR(X164="",Y164=""),"",ABS(Y164-X164)*'Readme-Protocol'!$B$27)</x:f>
        <x:v>0.004968083154521796</x:v>
      </x:c>
      <x:c r="AT164" s="49" t="b">
        <x:f>AND(M164&gt;0,N164&gt;=0,O164&gt;0)</x:f>
        <x:v>1</x:v>
      </x:c>
      <x:c r="AU164" s="49" t="b">
        <x:f>AND(AT164,N164&gt;=M164)</x:f>
        <x:v>1</x:v>
      </x:c>
      <x:c r="AV164" s="49" t="b">
        <x:f>OR(S164=0,T164&gt;=S164)</x:f>
        <x:v>1</x:v>
      </x:c>
      <x:c r="AW164" s="49" t="b">
        <x:f>IF(I164="cache-semantics",OR(V164&lt;&gt;"uniform",ABS(Y164-W164/'Readme-Protocol'!$B$27)&lt;='Readme-Protocol'!$B$28),TRUE)</x:f>
        <x:v>1</x:v>
      </x:c>
      <x:c r="AX164" s="43" t="n">
        <x:f>IF(I164="cache-semantics",INT(AA164*'Readme-Protocol'!$B$32),"")</x:f>
        <x:v>9900</x:v>
      </x:c>
      <x:c r="AY164" s="49" t="b">
        <x:f>IF(I164="cache-semantics",AX164=AB164,TRUE)</x:f>
        <x:v>1</x:v>
      </x:c>
      <x:c r="AZ164" s="49" t="b">
        <x:f>IF(I164="cache-semantics",AX164=AE164,TRUE)</x:f>
        <x:v>1</x:v>
      </x:c>
      <x:c r="BA164" s="49" t="b">
        <x:f>IF(I164="cache-semantics",AC164&gt;=AX164,IF(I164="no-store-control",AC164=0,FALSE))</x:f>
        <x:v>1</x:v>
      </x:c>
      <x:c r="BB164" s="49" t="b">
        <x:f>IF(I164="cache-semantics",AG164&gt;=AX164,IF(I164="no-store-control",AG164=0,FALSE))</x:f>
        <x:v>1</x:v>
      </x:c>
      <x:c r="BC164" s="49" t="b">
        <x:f>AND(BA164,BB164)</x:f>
        <x:v>1</x:v>
      </x:c>
      <x:c r="BD164" s="49" t="b">
        <x:f>IF(I164="no-store-control",AND(AC164=0,AG164=0),TRUE)</x:f>
        <x:v>1</x:v>
      </x:c>
      <x:c r="BE164" s="49" t="b">
        <x:f>IF(I164="no-store-control",AK164=0,TRUE)</x:f>
        <x:v>1</x:v>
      </x:c>
      <x:c r="BF164" s="49" t="b">
        <x:f>IF(I164="cache-semantics",AN164=1,TRUE)</x:f>
        <x:v>1</x:v>
      </x:c>
      <x:c r="BG164" s="49" t="b">
        <x:f>IF(I164="cache-semantics",AND(AU164,AV164,Q164,AW164,BC164,BF164),IF(I164="no-store-control",AND(AU164,AV164,Q164,BD164,BE164),FALSE))</x:f>
        <x:v>1</x:v>
      </x:c>
      <x:c r="BH164" s="49" t="b">
        <x:f>AND(R164,AT164=P164,AU164=L164,AV164=U164,AY164,AZ164,IF(I164="cache-semantics",AND(AW164=Z164,AND(BA164=AD164,BB164=AH164,BC164=AI164),BF164=AO164),IF(I164="no-store-control",AND(AND(BA164=AD164,BB164=AH164,BC164=AI164),BD164=AJ164,BE164=AL164),FALSE)),BG164=AP164)</x:f>
        <x:v>1</x:v>
      </x:c>
      <x:c r="BI164" s="49" t="b">
        <x:f>AND(J164,K164,BG164)</x:f>
        <x:v>1</x:v>
      </x:c>
    </x:row>
    <x:row r="165">
      <x:c r="A165" s="34" t="str">
        <x:v>article1-unified-v4-2-fb3f101b-20260903-000401-default-f03-p5-caffeine</x:v>
      </x:c>
      <x:c r="B165" s="34" t="str">
        <x:v>default</x:v>
      </x:c>
      <x:c r="C165" s="34" t="str">
        <x:v>caffeine</x:v>
      </x:c>
      <x:c r="D165" s="36" t="n">
        <x:v>3</x:v>
      </x:c>
      <x:c r="E165" s="36" t="n">
        <x:v>3</x:v>
      </x:c>
      <x:c r="F165" s="36" t="n">
        <x:v>5</x:v>
      </x:c>
      <x:c r="G165" s="36" t="n">
        <x:v>2</x:v>
      </x:c>
      <x:c r="H165" s="34" t="str">
        <x:v>redeploy</x:v>
      </x:c>
      <x:c r="I165" s="34" t="str">
        <x:v>cache-semantics</x:v>
      </x:c>
      <x:c r="J165" s="45" t="b">
        <x:v>1</x:v>
      </x:c>
      <x:c r="K165" s="45" t="b">
        <x:v>1</x:v>
      </x:c>
      <x:c r="L165" s="45" t="b">
        <x:v>1</x:v>
      </x:c>
      <x:c r="M165" s="43" t="n">
        <x:v>400000</x:v>
      </x:c>
      <x:c r="N165" s="43" t="n">
        <x:v>137903104</x:v>
      </x:c>
      <x:c r="O165" s="43" t="n">
        <x:v>27568816.009425186</x:v>
      </x:c>
      <x:c r="P165" s="45" t="b">
        <x:v>1</x:v>
      </x:c>
      <x:c r="Q165" s="45" t="b">
        <x:v>1</x:v>
      </x:c>
      <x:c r="R165" s="45" t="b">
        <x:v>1</x:v>
      </x:c>
      <x:c r="S165" s="43" t="n">
        <x:v>5000000000</x:v>
      </x:c>
      <x:c r="T165" s="43" t="n">
        <x:v>5002140968</x:v>
      </x:c>
      <x:c r="U165" s="45" t="b">
        <x:v>1</x:v>
      </x:c>
      <x:c r="V165" s="34" t="str">
        <x:v>uniform</x:v>
      </x:c>
      <x:c r="W165" s="42" t="n">
        <x:v>95</x:v>
      </x:c>
      <x:c r="X165" s="48" t="n">
        <x:v>0.95</x:v>
      </x:c>
      <x:c r="Y165" s="48" t="n">
        <x:v>0.9500566571728509</x:v>
      </x:c>
      <x:c r="Z165" s="45" t="b">
        <x:v>1</x:v>
      </x:c>
      <x:c r="AA165" s="43" t="n">
        <x:v>10000</x:v>
      </x:c>
      <x:c r="AB165" s="43" t="n">
        <x:v>9900</x:v>
      </x:c>
      <x:c r="AC165" s="43" t="n">
        <x:v>10000</x:v>
      </x:c>
      <x:c r="AD165" s="45" t="b">
        <x:v>1</x:v>
      </x:c>
      <x:c r="AE165" s="43" t="n">
        <x:v>9900</x:v>
      </x:c>
      <x:c r="AF165" s="43"/>
      <x:c r="AG165" s="43" t="n">
        <x:v>10000</x:v>
      </x:c>
      <x:c r="AH165" s="45" t="b">
        <x:v>1</x:v>
      </x:c>
      <x:c r="AI165" s="45" t="b">
        <x:v>1</x:v>
      </x:c>
      <x:c r="AJ165" s="49"/>
      <x:c r="AK165" s="48" t="n">
        <x:v>0.9500566571728509</x:v>
      </x:c>
      <x:c r="AL165" s="49"/>
      <x:c r="AM165" s="49"/>
      <x:c r="AN165" s="36" t="n">
        <x:v>1</x:v>
      </x:c>
      <x:c r="AO165" s="45" t="b">
        <x:v>1</x:v>
      </x:c>
      <x:c r="AP165" s="45" t="b">
        <x:v>1</x:v>
      </x:c>
      <x:c r="AQ165" s="46" t="n">
        <x:f>IF(T165="","",T165/'Readme-Protocol'!$B$24)</x:f>
        <x:v>5.002140968</x:v>
      </x:c>
      <x:c r="AR165" s="46" t="n">
        <x:f>IF(OR(S165="",S165=0),"",T165/S165)</x:f>
        <x:v>1.0004281936</x:v>
      </x:c>
      <x:c r="AS165" s="46" t="n">
        <x:f>IF(OR(X165="",Y165=""),"",ABS(Y165-X165)*'Readme-Protocol'!$B$27)</x:f>
        <x:v>0.005665717285097127</x:v>
      </x:c>
      <x:c r="AT165" s="49" t="b">
        <x:f>AND(M165&gt;0,N165&gt;=0,O165&gt;0)</x:f>
        <x:v>1</x:v>
      </x:c>
      <x:c r="AU165" s="49" t="b">
        <x:f>AND(AT165,N165&gt;=M165)</x:f>
        <x:v>1</x:v>
      </x:c>
      <x:c r="AV165" s="49" t="b">
        <x:f>OR(S165=0,T165&gt;=S165)</x:f>
        <x:v>1</x:v>
      </x:c>
      <x:c r="AW165" s="49" t="b">
        <x:f>IF(I165="cache-semantics",OR(V165&lt;&gt;"uniform",ABS(Y165-W165/'Readme-Protocol'!$B$27)&lt;='Readme-Protocol'!$B$28),TRUE)</x:f>
        <x:v>1</x:v>
      </x:c>
      <x:c r="AX165" s="43" t="n">
        <x:f>IF(I165="cache-semantics",INT(AA165*'Readme-Protocol'!$B$32),"")</x:f>
        <x:v>9900</x:v>
      </x:c>
      <x:c r="AY165" s="49" t="b">
        <x:f>IF(I165="cache-semantics",AX165=AB165,TRUE)</x:f>
        <x:v>1</x:v>
      </x:c>
      <x:c r="AZ165" s="49" t="b">
        <x:f>IF(I165="cache-semantics",AX165=AE165,TRUE)</x:f>
        <x:v>1</x:v>
      </x:c>
      <x:c r="BA165" s="49" t="b">
        <x:f>IF(I165="cache-semantics",AC165&gt;=AX165,IF(I165="no-store-control",AC165=0,FALSE))</x:f>
        <x:v>1</x:v>
      </x:c>
      <x:c r="BB165" s="49" t="b">
        <x:f>IF(I165="cache-semantics",AG165&gt;=AX165,IF(I165="no-store-control",AG165=0,FALSE))</x:f>
        <x:v>1</x:v>
      </x:c>
      <x:c r="BC165" s="49" t="b">
        <x:f>AND(BA165,BB165)</x:f>
        <x:v>1</x:v>
      </x:c>
      <x:c r="BD165" s="49" t="b">
        <x:f>IF(I165="no-store-control",AND(AC165=0,AG165=0),TRUE)</x:f>
        <x:v>1</x:v>
      </x:c>
      <x:c r="BE165" s="49" t="b">
        <x:f>IF(I165="no-store-control",AK165=0,TRUE)</x:f>
        <x:v>1</x:v>
      </x:c>
      <x:c r="BF165" s="49" t="b">
        <x:f>IF(I165="cache-semantics",AN165=1,TRUE)</x:f>
        <x:v>1</x:v>
      </x:c>
      <x:c r="BG165" s="49" t="b">
        <x:f>IF(I165="cache-semantics",AND(AU165,AV165,Q165,AW165,BC165,BF165),IF(I165="no-store-control",AND(AU165,AV165,Q165,BD165,BE165),FALSE))</x:f>
        <x:v>1</x:v>
      </x:c>
      <x:c r="BH165" s="49" t="b">
        <x:f>AND(R165,AT165=P165,AU165=L165,AV165=U165,AY165,AZ165,IF(I165="cache-semantics",AND(AW165=Z165,AND(BA165=AD165,BB165=AH165,BC165=AI165),BF165=AO165),IF(I165="no-store-control",AND(AND(BA165=AD165,BB165=AH165,BC165=AI165),BD165=AJ165,BE165=AL165),FALSE)),BG165=AP165)</x:f>
        <x:v>1</x:v>
      </x:c>
      <x:c r="BI165" s="49" t="b">
        <x:f>AND(J165,K165,BG165)</x:f>
        <x:v>1</x:v>
      </x:c>
    </x:row>
    <x:row r="166">
      <x:c r="A166" s="34" t="str">
        <x:v>article1-unified-v4-2-fb3f101b-20260903-000401-default-f03-p5-caffeine</x:v>
      </x:c>
      <x:c r="B166" s="34" t="str">
        <x:v>default</x:v>
      </x:c>
      <x:c r="C166" s="34" t="str">
        <x:v>caffeine</x:v>
      </x:c>
      <x:c r="D166" s="36" t="n">
        <x:v>3</x:v>
      </x:c>
      <x:c r="E166" s="36" t="n">
        <x:v>3</x:v>
      </x:c>
      <x:c r="F166" s="36" t="n">
        <x:v>5</x:v>
      </x:c>
      <x:c r="G166" s="36" t="n">
        <x:v>3</x:v>
      </x:c>
      <x:c r="H166" s="34" t="str">
        <x:v>initial</x:v>
      </x:c>
      <x:c r="I166" s="34" t="str">
        <x:v>cache-semantics</x:v>
      </x:c>
      <x:c r="J166" s="45" t="b">
        <x:v>1</x:v>
      </x:c>
      <x:c r="K166" s="45" t="b">
        <x:v>1</x:v>
      </x:c>
      <x:c r="L166" s="45" t="b">
        <x:v>1</x:v>
      </x:c>
      <x:c r="M166" s="43" t="n">
        <x:v>400000</x:v>
      </x:c>
      <x:c r="N166" s="43" t="n">
        <x:v>137758464</x:v>
      </x:c>
      <x:c r="O166" s="43" t="n">
        <x:v>27539688.145286653</x:v>
      </x:c>
      <x:c r="P166" s="45" t="b">
        <x:v>1</x:v>
      </x:c>
      <x:c r="Q166" s="45" t="b">
        <x:v>1</x:v>
      </x:c>
      <x:c r="R166" s="45" t="b">
        <x:v>1</x:v>
      </x:c>
      <x:c r="S166" s="43" t="n">
        <x:v>5000000000</x:v>
      </x:c>
      <x:c r="T166" s="43" t="n">
        <x:v>5002179519</x:v>
      </x:c>
      <x:c r="U166" s="45" t="b">
        <x:v>1</x:v>
      </x:c>
      <x:c r="V166" s="34" t="str">
        <x:v>uniform</x:v>
      </x:c>
      <x:c r="W166" s="42" t="n">
        <x:v>95</x:v>
      </x:c>
      <x:c r="X166" s="48" t="n">
        <x:v>0.95</x:v>
      </x:c>
      <x:c r="Y166" s="48" t="n">
        <x:v>0.9501388023606303</x:v>
      </x:c>
      <x:c r="Z166" s="45" t="b">
        <x:v>1</x:v>
      </x:c>
      <x:c r="AA166" s="43" t="n">
        <x:v>10000</x:v>
      </x:c>
      <x:c r="AB166" s="43" t="n">
        <x:v>9900</x:v>
      </x:c>
      <x:c r="AC166" s="43" t="n">
        <x:v>10000</x:v>
      </x:c>
      <x:c r="AD166" s="45" t="b">
        <x:v>1</x:v>
      </x:c>
      <x:c r="AE166" s="43" t="n">
        <x:v>9900</x:v>
      </x:c>
      <x:c r="AF166" s="43"/>
      <x:c r="AG166" s="43" t="n">
        <x:v>10000</x:v>
      </x:c>
      <x:c r="AH166" s="45" t="b">
        <x:v>1</x:v>
      </x:c>
      <x:c r="AI166" s="45" t="b">
        <x:v>1</x:v>
      </x:c>
      <x:c r="AJ166" s="49"/>
      <x:c r="AK166" s="48" t="n">
        <x:v>0.9501388023606303</x:v>
      </x:c>
      <x:c r="AL166" s="49"/>
      <x:c r="AM166" s="49"/>
      <x:c r="AN166" s="36" t="n">
        <x:v>1</x:v>
      </x:c>
      <x:c r="AO166" s="45" t="b">
        <x:v>1</x:v>
      </x:c>
      <x:c r="AP166" s="45" t="b">
        <x:v>1</x:v>
      </x:c>
      <x:c r="AQ166" s="46" t="n">
        <x:f>IF(T166="","",T166/'Readme-Protocol'!$B$24)</x:f>
        <x:v>5.002179519</x:v>
      </x:c>
      <x:c r="AR166" s="46" t="n">
        <x:f>IF(OR(S166="",S166=0),"",T166/S166)</x:f>
        <x:v>1.0004359038</x:v>
      </x:c>
      <x:c r="AS166" s="46" t="n">
        <x:f>IF(OR(X166="",Y166=""),"",ABS(Y166-X166)*'Readme-Protocol'!$B$27)</x:f>
        <x:v>0.013880236063035234</x:v>
      </x:c>
      <x:c r="AT166" s="49" t="b">
        <x:f>AND(M166&gt;0,N166&gt;=0,O166&gt;0)</x:f>
        <x:v>1</x:v>
      </x:c>
      <x:c r="AU166" s="49" t="b">
        <x:f>AND(AT166,N166&gt;=M166)</x:f>
        <x:v>1</x:v>
      </x:c>
      <x:c r="AV166" s="49" t="b">
        <x:f>OR(S166=0,T166&gt;=S166)</x:f>
        <x:v>1</x:v>
      </x:c>
      <x:c r="AW166" s="49" t="b">
        <x:f>IF(I166="cache-semantics",OR(V166&lt;&gt;"uniform",ABS(Y166-W166/'Readme-Protocol'!$B$27)&lt;='Readme-Protocol'!$B$28),TRUE)</x:f>
        <x:v>1</x:v>
      </x:c>
      <x:c r="AX166" s="43" t="n">
        <x:f>IF(I166="cache-semantics",INT(AA166*'Readme-Protocol'!$B$32),"")</x:f>
        <x:v>9900</x:v>
      </x:c>
      <x:c r="AY166" s="49" t="b">
        <x:f>IF(I166="cache-semantics",AX166=AB166,TRUE)</x:f>
        <x:v>1</x:v>
      </x:c>
      <x:c r="AZ166" s="49" t="b">
        <x:f>IF(I166="cache-semantics",AX166=AE166,TRUE)</x:f>
        <x:v>1</x:v>
      </x:c>
      <x:c r="BA166" s="49" t="b">
        <x:f>IF(I166="cache-semantics",AC166&gt;=AX166,IF(I166="no-store-control",AC166=0,FALSE))</x:f>
        <x:v>1</x:v>
      </x:c>
      <x:c r="BB166" s="49" t="b">
        <x:f>IF(I166="cache-semantics",AG166&gt;=AX166,IF(I166="no-store-control",AG166=0,FALSE))</x:f>
        <x:v>1</x:v>
      </x:c>
      <x:c r="BC166" s="49" t="b">
        <x:f>AND(BA166,BB166)</x:f>
        <x:v>1</x:v>
      </x:c>
      <x:c r="BD166" s="49" t="b">
        <x:f>IF(I166="no-store-control",AND(AC166=0,AG166=0),TRUE)</x:f>
        <x:v>1</x:v>
      </x:c>
      <x:c r="BE166" s="49" t="b">
        <x:f>IF(I166="no-store-control",AK166=0,TRUE)</x:f>
        <x:v>1</x:v>
      </x:c>
      <x:c r="BF166" s="49" t="b">
        <x:f>IF(I166="cache-semantics",AN166=1,TRUE)</x:f>
        <x:v>1</x:v>
      </x:c>
      <x:c r="BG166" s="49" t="b">
        <x:f>IF(I166="cache-semantics",AND(AU166,AV166,Q166,AW166,BC166,BF166),IF(I166="no-store-control",AND(AU166,AV166,Q166,BD166,BE166),FALSE))</x:f>
        <x:v>1</x:v>
      </x:c>
      <x:c r="BH166" s="49" t="b">
        <x:f>AND(R166,AT166=P166,AU166=L166,AV166=U166,AY166,AZ166,IF(I166="cache-semantics",AND(AW166=Z166,AND(BA166=AD166,BB166=AH166,BC166=AI166),BF166=AO166),IF(I166="no-store-control",AND(AND(BA166=AD166,BB166=AH166,BC166=AI166),BD166=AJ166,BE166=AL166),FALSE)),BG166=AP166)</x:f>
        <x:v>1</x:v>
      </x:c>
      <x:c r="BI166" s="49" t="b">
        <x:f>AND(J166,K166,BG166)</x:f>
        <x:v>1</x:v>
      </x:c>
    </x:row>
    <x:row r="167">
      <x:c r="A167" s="34" t="str">
        <x:v>article1-unified-v4-2-fb3f101b-20260903-000401-default-f03-p5-caffeine</x:v>
      </x:c>
      <x:c r="B167" s="34" t="str">
        <x:v>default</x:v>
      </x:c>
      <x:c r="C167" s="34" t="str">
        <x:v>caffeine</x:v>
      </x:c>
      <x:c r="D167" s="36" t="n">
        <x:v>3</x:v>
      </x:c>
      <x:c r="E167" s="36" t="n">
        <x:v>3</x:v>
      </x:c>
      <x:c r="F167" s="36" t="n">
        <x:v>5</x:v>
      </x:c>
      <x:c r="G167" s="36" t="n">
        <x:v>3</x:v>
      </x:c>
      <x:c r="H167" s="34" t="str">
        <x:v>redeploy</x:v>
      </x:c>
      <x:c r="I167" s="34" t="str">
        <x:v>cache-semantics</x:v>
      </x:c>
      <x:c r="J167" s="45" t="b">
        <x:v>1</x:v>
      </x:c>
      <x:c r="K167" s="45" t="b">
        <x:v>1</x:v>
      </x:c>
      <x:c r="L167" s="45" t="b">
        <x:v>1</x:v>
      </x:c>
      <x:c r="M167" s="43" t="n">
        <x:v>400000</x:v>
      </x:c>
      <x:c r="N167" s="43" t="n">
        <x:v>137422592</x:v>
      </x:c>
      <x:c r="O167" s="43" t="n">
        <x:v>27471612.5001749</x:v>
      </x:c>
      <x:c r="P167" s="45" t="b">
        <x:v>1</x:v>
      </x:c>
      <x:c r="Q167" s="45" t="b">
        <x:v>1</x:v>
      </x:c>
      <x:c r="R167" s="45" t="b">
        <x:v>1</x:v>
      </x:c>
      <x:c r="S167" s="43" t="n">
        <x:v>5000000000</x:v>
      </x:c>
      <x:c r="T167" s="43" t="n">
        <x:v>5002348952</x:v>
      </x:c>
      <x:c r="U167" s="45" t="b">
        <x:v>1</x:v>
      </x:c>
      <x:c r="V167" s="34" t="str">
        <x:v>uniform</x:v>
      </x:c>
      <x:c r="W167" s="42" t="n">
        <x:v>95</x:v>
      </x:c>
      <x:c r="X167" s="48" t="n">
        <x:v>0.95</x:v>
      </x:c>
      <x:c r="Y167" s="48" t="n">
        <x:v>0.9501152328723359</x:v>
      </x:c>
      <x:c r="Z167" s="45" t="b">
        <x:v>1</x:v>
      </x:c>
      <x:c r="AA167" s="43" t="n">
        <x:v>10000</x:v>
      </x:c>
      <x:c r="AB167" s="43" t="n">
        <x:v>9900</x:v>
      </x:c>
      <x:c r="AC167" s="43" t="n">
        <x:v>10000</x:v>
      </x:c>
      <x:c r="AD167" s="45" t="b">
        <x:v>1</x:v>
      </x:c>
      <x:c r="AE167" s="43" t="n">
        <x:v>9900</x:v>
      </x:c>
      <x:c r="AF167" s="43"/>
      <x:c r="AG167" s="43" t="n">
        <x:v>10000</x:v>
      </x:c>
      <x:c r="AH167" s="45" t="b">
        <x:v>1</x:v>
      </x:c>
      <x:c r="AI167" s="45" t="b">
        <x:v>1</x:v>
      </x:c>
      <x:c r="AJ167" s="49"/>
      <x:c r="AK167" s="48" t="n">
        <x:v>0.9501152328723359</x:v>
      </x:c>
      <x:c r="AL167" s="49"/>
      <x:c r="AM167" s="49"/>
      <x:c r="AN167" s="36" t="n">
        <x:v>1</x:v>
      </x:c>
      <x:c r="AO167" s="45" t="b">
        <x:v>1</x:v>
      </x:c>
      <x:c r="AP167" s="45" t="b">
        <x:v>1</x:v>
      </x:c>
      <x:c r="AQ167" s="46" t="n">
        <x:f>IF(T167="","",T167/'Readme-Protocol'!$B$24)</x:f>
        <x:v>5.002348952</x:v>
      </x:c>
      <x:c r="AR167" s="46" t="n">
        <x:f>IF(OR(S167="",S167=0),"",T167/S167)</x:f>
        <x:v>1.0004697904</x:v>
      </x:c>
      <x:c r="AS167" s="46" t="n">
        <x:f>IF(OR(X167="",Y167=""),"",ABS(Y167-X167)*'Readme-Protocol'!$B$27)</x:f>
        <x:v>0.011523287233594637</x:v>
      </x:c>
      <x:c r="AT167" s="49" t="b">
        <x:f>AND(M167&gt;0,N167&gt;=0,O167&gt;0)</x:f>
        <x:v>1</x:v>
      </x:c>
      <x:c r="AU167" s="49" t="b">
        <x:f>AND(AT167,N167&gt;=M167)</x:f>
        <x:v>1</x:v>
      </x:c>
      <x:c r="AV167" s="49" t="b">
        <x:f>OR(S167=0,T167&gt;=S167)</x:f>
        <x:v>1</x:v>
      </x:c>
      <x:c r="AW167" s="49" t="b">
        <x:f>IF(I167="cache-semantics",OR(V167&lt;&gt;"uniform",ABS(Y167-W167/'Readme-Protocol'!$B$27)&lt;='Readme-Protocol'!$B$28),TRUE)</x:f>
        <x:v>1</x:v>
      </x:c>
      <x:c r="AX167" s="43" t="n">
        <x:f>IF(I167="cache-semantics",INT(AA167*'Readme-Protocol'!$B$32),"")</x:f>
        <x:v>9900</x:v>
      </x:c>
      <x:c r="AY167" s="49" t="b">
        <x:f>IF(I167="cache-semantics",AX167=AB167,TRUE)</x:f>
        <x:v>1</x:v>
      </x:c>
      <x:c r="AZ167" s="49" t="b">
        <x:f>IF(I167="cache-semantics",AX167=AE167,TRUE)</x:f>
        <x:v>1</x:v>
      </x:c>
      <x:c r="BA167" s="49" t="b">
        <x:f>IF(I167="cache-semantics",AC167&gt;=AX167,IF(I167="no-store-control",AC167=0,FALSE))</x:f>
        <x:v>1</x:v>
      </x:c>
      <x:c r="BB167" s="49" t="b">
        <x:f>IF(I167="cache-semantics",AG167&gt;=AX167,IF(I167="no-store-control",AG167=0,FALSE))</x:f>
        <x:v>1</x:v>
      </x:c>
      <x:c r="BC167" s="49" t="b">
        <x:f>AND(BA167,BB167)</x:f>
        <x:v>1</x:v>
      </x:c>
      <x:c r="BD167" s="49" t="b">
        <x:f>IF(I167="no-store-control",AND(AC167=0,AG167=0),TRUE)</x:f>
        <x:v>1</x:v>
      </x:c>
      <x:c r="BE167" s="49" t="b">
        <x:f>IF(I167="no-store-control",AK167=0,TRUE)</x:f>
        <x:v>1</x:v>
      </x:c>
      <x:c r="BF167" s="49" t="b">
        <x:f>IF(I167="cache-semantics",AN167=1,TRUE)</x:f>
        <x:v>1</x:v>
      </x:c>
      <x:c r="BG167" s="49" t="b">
        <x:f>IF(I167="cache-semantics",AND(AU167,AV167,Q167,AW167,BC167,BF167),IF(I167="no-store-control",AND(AU167,AV167,Q167,BD167,BE167),FALSE))</x:f>
        <x:v>1</x:v>
      </x:c>
      <x:c r="BH167" s="49" t="b">
        <x:f>AND(R167,AT167=P167,AU167=L167,AV167=U167,AY167,AZ167,IF(I167="cache-semantics",AND(AW167=Z167,AND(BA167=AD167,BB167=AH167,BC167=AI167),BF167=AO167),IF(I167="no-store-control",AND(AND(BA167=AD167,BB167=AH167,BC167=AI167),BD167=AJ167,BE167=AL167),FALSE)),BG167=AP167)</x:f>
        <x:v>1</x:v>
      </x:c>
      <x:c r="BI167" s="49" t="b">
        <x:f>AND(J167,K167,BG167)</x:f>
        <x:v>1</x:v>
      </x:c>
    </x:row>
    <x:row r="168">
      <x:c r="A168" s="34" t="str">
        <x:v>article1-unified-v4-2-fb3f101b-20260903-000401-default-f03-p5-caffeine</x:v>
      </x:c>
      <x:c r="B168" s="34" t="str">
        <x:v>default</x:v>
      </x:c>
      <x:c r="C168" s="34" t="str">
        <x:v>caffeine</x:v>
      </x:c>
      <x:c r="D168" s="36" t="n">
        <x:v>3</x:v>
      </x:c>
      <x:c r="E168" s="36" t="n">
        <x:v>3</x:v>
      </x:c>
      <x:c r="F168" s="36" t="n">
        <x:v>5</x:v>
      </x:c>
      <x:c r="G168" s="36" t="n">
        <x:v>4</x:v>
      </x:c>
      <x:c r="H168" s="34" t="str">
        <x:v>initial</x:v>
      </x:c>
      <x:c r="I168" s="34" t="str">
        <x:v>cache-semantics</x:v>
      </x:c>
      <x:c r="J168" s="45" t="b">
        <x:v>1</x:v>
      </x:c>
      <x:c r="K168" s="45" t="b">
        <x:v>1</x:v>
      </x:c>
      <x:c r="L168" s="45" t="b">
        <x:v>1</x:v>
      </x:c>
      <x:c r="M168" s="43" t="n">
        <x:v>400000</x:v>
      </x:c>
      <x:c r="N168" s="43" t="n">
        <x:v>129915904</x:v>
      </x:c>
      <x:c r="O168" s="43" t="n">
        <x:v>25971941.250231598</x:v>
      </x:c>
      <x:c r="P168" s="45" t="b">
        <x:v>1</x:v>
      </x:c>
      <x:c r="Q168" s="45" t="b">
        <x:v>1</x:v>
      </x:c>
      <x:c r="R168" s="45" t="b">
        <x:v>1</x:v>
      </x:c>
      <x:c r="S168" s="43" t="n">
        <x:v>5000000000</x:v>
      </x:c>
      <x:c r="T168" s="43" t="n">
        <x:v>5002163787</x:v>
      </x:c>
      <x:c r="U168" s="45" t="b">
        <x:v>1</x:v>
      </x:c>
      <x:c r="V168" s="34" t="str">
        <x:v>uniform</x:v>
      </x:c>
      <x:c r="W168" s="42" t="n">
        <x:v>95</x:v>
      </x:c>
      <x:c r="X168" s="48" t="n">
        <x:v>0.95</x:v>
      </x:c>
      <x:c r="Y168" s="48" t="n">
        <x:v>0.950379585550973</x:v>
      </x:c>
      <x:c r="Z168" s="45" t="b">
        <x:v>1</x:v>
      </x:c>
      <x:c r="AA168" s="43" t="n">
        <x:v>10000</x:v>
      </x:c>
      <x:c r="AB168" s="43" t="n">
        <x:v>9900</x:v>
      </x:c>
      <x:c r="AC168" s="43" t="n">
        <x:v>10000</x:v>
      </x:c>
      <x:c r="AD168" s="45" t="b">
        <x:v>1</x:v>
      </x:c>
      <x:c r="AE168" s="43" t="n">
        <x:v>9900</x:v>
      </x:c>
      <x:c r="AF168" s="43"/>
      <x:c r="AG168" s="43" t="n">
        <x:v>10000</x:v>
      </x:c>
      <x:c r="AH168" s="45" t="b">
        <x:v>1</x:v>
      </x:c>
      <x:c r="AI168" s="45" t="b">
        <x:v>1</x:v>
      </x:c>
      <x:c r="AJ168" s="49"/>
      <x:c r="AK168" s="48" t="n">
        <x:v>0.950379585550973</x:v>
      </x:c>
      <x:c r="AL168" s="49"/>
      <x:c r="AM168" s="49"/>
      <x:c r="AN168" s="36" t="n">
        <x:v>1</x:v>
      </x:c>
      <x:c r="AO168" s="45" t="b">
        <x:v>1</x:v>
      </x:c>
      <x:c r="AP168" s="45" t="b">
        <x:v>1</x:v>
      </x:c>
      <x:c r="AQ168" s="46" t="n">
        <x:f>IF(T168="","",T168/'Readme-Protocol'!$B$24)</x:f>
        <x:v>5.002163787</x:v>
      </x:c>
      <x:c r="AR168" s="46" t="n">
        <x:f>IF(OR(S168="",S168=0),"",T168/S168)</x:f>
        <x:v>1.0004327574</x:v>
      </x:c>
      <x:c r="AS168" s="46" t="n">
        <x:f>IF(OR(X168="",Y168=""),"",ABS(Y168-X168)*'Readme-Protocol'!$B$27)</x:f>
        <x:v>0.03795855509730606</x:v>
      </x:c>
      <x:c r="AT168" s="49" t="b">
        <x:f>AND(M168&gt;0,N168&gt;=0,O168&gt;0)</x:f>
        <x:v>1</x:v>
      </x:c>
      <x:c r="AU168" s="49" t="b">
        <x:f>AND(AT168,N168&gt;=M168)</x:f>
        <x:v>1</x:v>
      </x:c>
      <x:c r="AV168" s="49" t="b">
        <x:f>OR(S168=0,T168&gt;=S168)</x:f>
        <x:v>1</x:v>
      </x:c>
      <x:c r="AW168" s="49" t="b">
        <x:f>IF(I168="cache-semantics",OR(V168&lt;&gt;"uniform",ABS(Y168-W168/'Readme-Protocol'!$B$27)&lt;='Readme-Protocol'!$B$28),TRUE)</x:f>
        <x:v>1</x:v>
      </x:c>
      <x:c r="AX168" s="43" t="n">
        <x:f>IF(I168="cache-semantics",INT(AA168*'Readme-Protocol'!$B$32),"")</x:f>
        <x:v>9900</x:v>
      </x:c>
      <x:c r="AY168" s="49" t="b">
        <x:f>IF(I168="cache-semantics",AX168=AB168,TRUE)</x:f>
        <x:v>1</x:v>
      </x:c>
      <x:c r="AZ168" s="49" t="b">
        <x:f>IF(I168="cache-semantics",AX168=AE168,TRUE)</x:f>
        <x:v>1</x:v>
      </x:c>
      <x:c r="BA168" s="49" t="b">
        <x:f>IF(I168="cache-semantics",AC168&gt;=AX168,IF(I168="no-store-control",AC168=0,FALSE))</x:f>
        <x:v>1</x:v>
      </x:c>
      <x:c r="BB168" s="49" t="b">
        <x:f>IF(I168="cache-semantics",AG168&gt;=AX168,IF(I168="no-store-control",AG168=0,FALSE))</x:f>
        <x:v>1</x:v>
      </x:c>
      <x:c r="BC168" s="49" t="b">
        <x:f>AND(BA168,BB168)</x:f>
        <x:v>1</x:v>
      </x:c>
      <x:c r="BD168" s="49" t="b">
        <x:f>IF(I168="no-store-control",AND(AC168=0,AG168=0),TRUE)</x:f>
        <x:v>1</x:v>
      </x:c>
      <x:c r="BE168" s="49" t="b">
        <x:f>IF(I168="no-store-control",AK168=0,TRUE)</x:f>
        <x:v>1</x:v>
      </x:c>
      <x:c r="BF168" s="49" t="b">
        <x:f>IF(I168="cache-semantics",AN168=1,TRUE)</x:f>
        <x:v>1</x:v>
      </x:c>
      <x:c r="BG168" s="49" t="b">
        <x:f>IF(I168="cache-semantics",AND(AU168,AV168,Q168,AW168,BC168,BF168),IF(I168="no-store-control",AND(AU168,AV168,Q168,BD168,BE168),FALSE))</x:f>
        <x:v>1</x:v>
      </x:c>
      <x:c r="BH168" s="49" t="b">
        <x:f>AND(R168,AT168=P168,AU168=L168,AV168=U168,AY168,AZ168,IF(I168="cache-semantics",AND(AW168=Z168,AND(BA168=AD168,BB168=AH168,BC168=AI168),BF168=AO168),IF(I168="no-store-control",AND(AND(BA168=AD168,BB168=AH168,BC168=AI168),BD168=AJ168,BE168=AL168),FALSE)),BG168=AP168)</x:f>
        <x:v>1</x:v>
      </x:c>
      <x:c r="BI168" s="49" t="b">
        <x:f>AND(J168,K168,BG168)</x:f>
        <x:v>1</x:v>
      </x:c>
    </x:row>
    <x:row r="169">
      <x:c r="A169" s="34" t="str">
        <x:v>article1-unified-v4-2-fb3f101b-20260903-000401-default-f03-p5-caffeine</x:v>
      </x:c>
      <x:c r="B169" s="34" t="str">
        <x:v>default</x:v>
      </x:c>
      <x:c r="C169" s="34" t="str">
        <x:v>caffeine</x:v>
      </x:c>
      <x:c r="D169" s="36" t="n">
        <x:v>3</x:v>
      </x:c>
      <x:c r="E169" s="36" t="n">
        <x:v>3</x:v>
      </x:c>
      <x:c r="F169" s="36" t="n">
        <x:v>5</x:v>
      </x:c>
      <x:c r="G169" s="36" t="n">
        <x:v>4</x:v>
      </x:c>
      <x:c r="H169" s="34" t="str">
        <x:v>redeploy</x:v>
      </x:c>
      <x:c r="I169" s="34" t="str">
        <x:v>cache-semantics</x:v>
      </x:c>
      <x:c r="J169" s="45" t="b">
        <x:v>1</x:v>
      </x:c>
      <x:c r="K169" s="45" t="b">
        <x:v>1</x:v>
      </x:c>
      <x:c r="L169" s="45" t="b">
        <x:v>1</x:v>
      </x:c>
      <x:c r="M169" s="43" t="n">
        <x:v>400000</x:v>
      </x:c>
      <x:c r="N169" s="43" t="n">
        <x:v>142580992</x:v>
      </x:c>
      <x:c r="O169" s="43" t="n">
        <x:v>28503930.63320028</x:v>
      </x:c>
      <x:c r="P169" s="45" t="b">
        <x:v>1</x:v>
      </x:c>
      <x:c r="Q169" s="45" t="b">
        <x:v>1</x:v>
      </x:c>
      <x:c r="R169" s="45" t="b">
        <x:v>1</x:v>
      </x:c>
      <x:c r="S169" s="43" t="n">
        <x:v>5000000000</x:v>
      </x:c>
      <x:c r="T169" s="43" t="n">
        <x:v>5002151943</x:v>
      </x:c>
      <x:c r="U169" s="45" t="b">
        <x:v>1</x:v>
      </x:c>
      <x:c r="V169" s="34" t="str">
        <x:v>uniform</x:v>
      </x:c>
      <x:c r="W169" s="42" t="n">
        <x:v>95</x:v>
      </x:c>
      <x:c r="X169" s="48" t="n">
        <x:v>0.95</x:v>
      </x:c>
      <x:c r="Y169" s="48" t="n">
        <x:v>0.9504001697505373</x:v>
      </x:c>
      <x:c r="Z169" s="45" t="b">
        <x:v>1</x:v>
      </x:c>
      <x:c r="AA169" s="43" t="n">
        <x:v>10000</x:v>
      </x:c>
      <x:c r="AB169" s="43" t="n">
        <x:v>9900</x:v>
      </x:c>
      <x:c r="AC169" s="43" t="n">
        <x:v>10000</x:v>
      </x:c>
      <x:c r="AD169" s="45" t="b">
        <x:v>1</x:v>
      </x:c>
      <x:c r="AE169" s="43" t="n">
        <x:v>9900</x:v>
      </x:c>
      <x:c r="AF169" s="43"/>
      <x:c r="AG169" s="43" t="n">
        <x:v>10000</x:v>
      </x:c>
      <x:c r="AH169" s="45" t="b">
        <x:v>1</x:v>
      </x:c>
      <x:c r="AI169" s="45" t="b">
        <x:v>1</x:v>
      </x:c>
      <x:c r="AJ169" s="49"/>
      <x:c r="AK169" s="48" t="n">
        <x:v>0.9504001697505373</x:v>
      </x:c>
      <x:c r="AL169" s="49"/>
      <x:c r="AM169" s="49"/>
      <x:c r="AN169" s="36" t="n">
        <x:v>1</x:v>
      </x:c>
      <x:c r="AO169" s="45" t="b">
        <x:v>1</x:v>
      </x:c>
      <x:c r="AP169" s="45" t="b">
        <x:v>1</x:v>
      </x:c>
      <x:c r="AQ169" s="46" t="n">
        <x:f>IF(T169="","",T169/'Readme-Protocol'!$B$24)</x:f>
        <x:v>5.002151943</x:v>
      </x:c>
      <x:c r="AR169" s="46" t="n">
        <x:f>IF(OR(S169="",S169=0),"",T169/S169)</x:f>
        <x:v>1.0004303886</x:v>
      </x:c>
      <x:c r="AS169" s="46" t="n">
        <x:f>IF(OR(X169="",Y169=""),"",ABS(Y169-X169)*'Readme-Protocol'!$B$27)</x:f>
        <x:v>0.040016975053736026</x:v>
      </x:c>
      <x:c r="AT169" s="49" t="b">
        <x:f>AND(M169&gt;0,N169&gt;=0,O169&gt;0)</x:f>
        <x:v>1</x:v>
      </x:c>
      <x:c r="AU169" s="49" t="b">
        <x:f>AND(AT169,N169&gt;=M169)</x:f>
        <x:v>1</x:v>
      </x:c>
      <x:c r="AV169" s="49" t="b">
        <x:f>OR(S169=0,T169&gt;=S169)</x:f>
        <x:v>1</x:v>
      </x:c>
      <x:c r="AW169" s="49" t="b">
        <x:f>IF(I169="cache-semantics",OR(V169&lt;&gt;"uniform",ABS(Y169-W169/'Readme-Protocol'!$B$27)&lt;='Readme-Protocol'!$B$28),TRUE)</x:f>
        <x:v>1</x:v>
      </x:c>
      <x:c r="AX169" s="43" t="n">
        <x:f>IF(I169="cache-semantics",INT(AA169*'Readme-Protocol'!$B$32),"")</x:f>
        <x:v>9900</x:v>
      </x:c>
      <x:c r="AY169" s="49" t="b">
        <x:f>IF(I169="cache-semantics",AX169=AB169,TRUE)</x:f>
        <x:v>1</x:v>
      </x:c>
      <x:c r="AZ169" s="49" t="b">
        <x:f>IF(I169="cache-semantics",AX169=AE169,TRUE)</x:f>
        <x:v>1</x:v>
      </x:c>
      <x:c r="BA169" s="49" t="b">
        <x:f>IF(I169="cache-semantics",AC169&gt;=AX169,IF(I169="no-store-control",AC169=0,FALSE))</x:f>
        <x:v>1</x:v>
      </x:c>
      <x:c r="BB169" s="49" t="b">
        <x:f>IF(I169="cache-semantics",AG169&gt;=AX169,IF(I169="no-store-control",AG169=0,FALSE))</x:f>
        <x:v>1</x:v>
      </x:c>
      <x:c r="BC169" s="49" t="b">
        <x:f>AND(BA169,BB169)</x:f>
        <x:v>1</x:v>
      </x:c>
      <x:c r="BD169" s="49" t="b">
        <x:f>IF(I169="no-store-control",AND(AC169=0,AG169=0),TRUE)</x:f>
        <x:v>1</x:v>
      </x:c>
      <x:c r="BE169" s="49" t="b">
        <x:f>IF(I169="no-store-control",AK169=0,TRUE)</x:f>
        <x:v>1</x:v>
      </x:c>
      <x:c r="BF169" s="49" t="b">
        <x:f>IF(I169="cache-semantics",AN169=1,TRUE)</x:f>
        <x:v>1</x:v>
      </x:c>
      <x:c r="BG169" s="49" t="b">
        <x:f>IF(I169="cache-semantics",AND(AU169,AV169,Q169,AW169,BC169,BF169),IF(I169="no-store-control",AND(AU169,AV169,Q169,BD169,BE169),FALSE))</x:f>
        <x:v>1</x:v>
      </x:c>
      <x:c r="BH169" s="49" t="b">
        <x:f>AND(R169,AT169=P169,AU169=L169,AV169=U169,AY169,AZ169,IF(I169="cache-semantics",AND(AW169=Z169,AND(BA169=AD169,BB169=AH169,BC169=AI169),BF169=AO169),IF(I169="no-store-control",AND(AND(BA169=AD169,BB169=AH169,BC169=AI169),BD169=AJ169,BE169=AL169),FALSE)),BG169=AP169)</x:f>
        <x:v>1</x:v>
      </x:c>
      <x:c r="BI169" s="49" t="b">
        <x:f>AND(J169,K169,BG169)</x:f>
        <x:v>1</x:v>
      </x:c>
    </x:row>
    <x:row r="170">
      <x:c r="A170" s="34" t="str">
        <x:v>article1-unified-v4-2-fb3f101b-20260903-000401-default-f03-p5-caffeine</x:v>
      </x:c>
      <x:c r="B170" s="34" t="str">
        <x:v>default</x:v>
      </x:c>
      <x:c r="C170" s="34" t="str">
        <x:v>caffeine</x:v>
      </x:c>
      <x:c r="D170" s="36" t="n">
        <x:v>3</x:v>
      </x:c>
      <x:c r="E170" s="36" t="n">
        <x:v>3</x:v>
      </x:c>
      <x:c r="F170" s="36" t="n">
        <x:v>5</x:v>
      </x:c>
      <x:c r="G170" s="36" t="n">
        <x:v>5</x:v>
      </x:c>
      <x:c r="H170" s="34" t="str">
        <x:v>initial</x:v>
      </x:c>
      <x:c r="I170" s="34" t="str">
        <x:v>cache-semantics</x:v>
      </x:c>
      <x:c r="J170" s="45" t="b">
        <x:v>1</x:v>
      </x:c>
      <x:c r="K170" s="45" t="b">
        <x:v>1</x:v>
      </x:c>
      <x:c r="L170" s="45" t="b">
        <x:v>1</x:v>
      </x:c>
      <x:c r="M170" s="43" t="n">
        <x:v>400000</x:v>
      </x:c>
      <x:c r="N170" s="43" t="n">
        <x:v>146047744</x:v>
      </x:c>
      <x:c r="O170" s="43" t="n">
        <x:v>29195458.015086338</x:v>
      </x:c>
      <x:c r="P170" s="45" t="b">
        <x:v>1</x:v>
      </x:c>
      <x:c r="Q170" s="45" t="b">
        <x:v>1</x:v>
      </x:c>
      <x:c r="R170" s="45" t="b">
        <x:v>1</x:v>
      </x:c>
      <x:c r="S170" s="43" t="n">
        <x:v>5000000000</x:v>
      </x:c>
      <x:c r="T170" s="43" t="n">
        <x:v>5002413181</x:v>
      </x:c>
      <x:c r="U170" s="45" t="b">
        <x:v>1</x:v>
      </x:c>
      <x:c r="V170" s="34" t="str">
        <x:v>uniform</x:v>
      </x:c>
      <x:c r="W170" s="42" t="n">
        <x:v>95</x:v>
      </x:c>
      <x:c r="X170" s="48" t="n">
        <x:v>0.95</x:v>
      </x:c>
      <x:c r="Y170" s="48" t="n">
        <x:v>0.9498878873473048</x:v>
      </x:c>
      <x:c r="Z170" s="45" t="b">
        <x:v>1</x:v>
      </x:c>
      <x:c r="AA170" s="43" t="n">
        <x:v>10000</x:v>
      </x:c>
      <x:c r="AB170" s="43" t="n">
        <x:v>9900</x:v>
      </x:c>
      <x:c r="AC170" s="43" t="n">
        <x:v>10000</x:v>
      </x:c>
      <x:c r="AD170" s="45" t="b">
        <x:v>1</x:v>
      </x:c>
      <x:c r="AE170" s="43" t="n">
        <x:v>9900</x:v>
      </x:c>
      <x:c r="AF170" s="43"/>
      <x:c r="AG170" s="43" t="n">
        <x:v>10000</x:v>
      </x:c>
      <x:c r="AH170" s="45" t="b">
        <x:v>1</x:v>
      </x:c>
      <x:c r="AI170" s="45" t="b">
        <x:v>1</x:v>
      </x:c>
      <x:c r="AJ170" s="49"/>
      <x:c r="AK170" s="48" t="n">
        <x:v>0.9498878873473048</x:v>
      </x:c>
      <x:c r="AL170" s="49"/>
      <x:c r="AM170" s="49"/>
      <x:c r="AN170" s="36" t="n">
        <x:v>1</x:v>
      </x:c>
      <x:c r="AO170" s="45" t="b">
        <x:v>1</x:v>
      </x:c>
      <x:c r="AP170" s="45" t="b">
        <x:v>1</x:v>
      </x:c>
      <x:c r="AQ170" s="46" t="n">
        <x:f>IF(T170="","",T170/'Readme-Protocol'!$B$24)</x:f>
        <x:v>5.002413181</x:v>
      </x:c>
      <x:c r="AR170" s="46" t="n">
        <x:f>IF(OR(S170="",S170=0),"",T170/S170)</x:f>
        <x:v>1.0004826362</x:v>
      </x:c>
      <x:c r="AS170" s="46" t="n">
        <x:f>IF(OR(X170="",Y170=""),"",ABS(Y170-X170)*'Readme-Protocol'!$B$27)</x:f>
        <x:v>0.011211265269517323</x:v>
      </x:c>
      <x:c r="AT170" s="49" t="b">
        <x:f>AND(M170&gt;0,N170&gt;=0,O170&gt;0)</x:f>
        <x:v>1</x:v>
      </x:c>
      <x:c r="AU170" s="49" t="b">
        <x:f>AND(AT170,N170&gt;=M170)</x:f>
        <x:v>1</x:v>
      </x:c>
      <x:c r="AV170" s="49" t="b">
        <x:f>OR(S170=0,T170&gt;=S170)</x:f>
        <x:v>1</x:v>
      </x:c>
      <x:c r="AW170" s="49" t="b">
        <x:f>IF(I170="cache-semantics",OR(V170&lt;&gt;"uniform",ABS(Y170-W170/'Readme-Protocol'!$B$27)&lt;='Readme-Protocol'!$B$28),TRUE)</x:f>
        <x:v>1</x:v>
      </x:c>
      <x:c r="AX170" s="43" t="n">
        <x:f>IF(I170="cache-semantics",INT(AA170*'Readme-Protocol'!$B$32),"")</x:f>
        <x:v>9900</x:v>
      </x:c>
      <x:c r="AY170" s="49" t="b">
        <x:f>IF(I170="cache-semantics",AX170=AB170,TRUE)</x:f>
        <x:v>1</x:v>
      </x:c>
      <x:c r="AZ170" s="49" t="b">
        <x:f>IF(I170="cache-semantics",AX170=AE170,TRUE)</x:f>
        <x:v>1</x:v>
      </x:c>
      <x:c r="BA170" s="49" t="b">
        <x:f>IF(I170="cache-semantics",AC170&gt;=AX170,IF(I170="no-store-control",AC170=0,FALSE))</x:f>
        <x:v>1</x:v>
      </x:c>
      <x:c r="BB170" s="49" t="b">
        <x:f>IF(I170="cache-semantics",AG170&gt;=AX170,IF(I170="no-store-control",AG170=0,FALSE))</x:f>
        <x:v>1</x:v>
      </x:c>
      <x:c r="BC170" s="49" t="b">
        <x:f>AND(BA170,BB170)</x:f>
        <x:v>1</x:v>
      </x:c>
      <x:c r="BD170" s="49" t="b">
        <x:f>IF(I170="no-store-control",AND(AC170=0,AG170=0),TRUE)</x:f>
        <x:v>1</x:v>
      </x:c>
      <x:c r="BE170" s="49" t="b">
        <x:f>IF(I170="no-store-control",AK170=0,TRUE)</x:f>
        <x:v>1</x:v>
      </x:c>
      <x:c r="BF170" s="49" t="b">
        <x:f>IF(I170="cache-semantics",AN170=1,TRUE)</x:f>
        <x:v>1</x:v>
      </x:c>
      <x:c r="BG170" s="49" t="b">
        <x:f>IF(I170="cache-semantics",AND(AU170,AV170,Q170,AW170,BC170,BF170),IF(I170="no-store-control",AND(AU170,AV170,Q170,BD170,BE170),FALSE))</x:f>
        <x:v>1</x:v>
      </x:c>
      <x:c r="BH170" s="49" t="b">
        <x:f>AND(R170,AT170=P170,AU170=L170,AV170=U170,AY170,AZ170,IF(I170="cache-semantics",AND(AW170=Z170,AND(BA170=AD170,BB170=AH170,BC170=AI170),BF170=AO170),IF(I170="no-store-control",AND(AND(BA170=AD170,BB170=AH170,BC170=AI170),BD170=AJ170,BE170=AL170),FALSE)),BG170=AP170)</x:f>
        <x:v>1</x:v>
      </x:c>
      <x:c r="BI170" s="49" t="b">
        <x:f>AND(J170,K170,BG170)</x:f>
        <x:v>1</x:v>
      </x:c>
    </x:row>
    <x:row r="171">
      <x:c r="A171" s="34" t="str">
        <x:v>article1-unified-v4-2-fb3f101b-20260903-000401-default-f03-p5-caffeine</x:v>
      </x:c>
      <x:c r="B171" s="34" t="str">
        <x:v>default</x:v>
      </x:c>
      <x:c r="C171" s="34" t="str">
        <x:v>caffeine</x:v>
      </x:c>
      <x:c r="D171" s="36" t="n">
        <x:v>3</x:v>
      </x:c>
      <x:c r="E171" s="36" t="n">
        <x:v>3</x:v>
      </x:c>
      <x:c r="F171" s="36" t="n">
        <x:v>5</x:v>
      </x:c>
      <x:c r="G171" s="36" t="n">
        <x:v>5</x:v>
      </x:c>
      <x:c r="H171" s="34" t="str">
        <x:v>redeploy</x:v>
      </x:c>
      <x:c r="I171" s="34" t="str">
        <x:v>cache-semantics</x:v>
      </x:c>
      <x:c r="J171" s="45" t="b">
        <x:v>1</x:v>
      </x:c>
      <x:c r="K171" s="45" t="b">
        <x:v>1</x:v>
      </x:c>
      <x:c r="L171" s="45" t="b">
        <x:v>1</x:v>
      </x:c>
      <x:c r="M171" s="43" t="n">
        <x:v>400000</x:v>
      </x:c>
      <x:c r="N171" s="43" t="n">
        <x:v>131327232</x:v>
      </x:c>
      <x:c r="O171" s="43" t="n">
        <x:v>26253185.033702303</x:v>
      </x:c>
      <x:c r="P171" s="45" t="b">
        <x:v>1</x:v>
      </x:c>
      <x:c r="Q171" s="45" t="b">
        <x:v>1</x:v>
      </x:c>
      <x:c r="R171" s="45" t="b">
        <x:v>1</x:v>
      </x:c>
      <x:c r="S171" s="43" t="n">
        <x:v>5000000000</x:v>
      </x:c>
      <x:c r="T171" s="43" t="n">
        <x:v>5002335215</x:v>
      </x:c>
      <x:c r="U171" s="45" t="b">
        <x:v>1</x:v>
      </x:c>
      <x:c r="V171" s="34" t="str">
        <x:v>uniform</x:v>
      </x:c>
      <x:c r="W171" s="42" t="n">
        <x:v>95</x:v>
      </x:c>
      <x:c r="X171" s="48" t="n">
        <x:v>0.95</x:v>
      </x:c>
      <x:c r="Y171" s="48" t="n">
        <x:v>0.9498302149549608</x:v>
      </x:c>
      <x:c r="Z171" s="45" t="b">
        <x:v>1</x:v>
      </x:c>
      <x:c r="AA171" s="43" t="n">
        <x:v>10000</x:v>
      </x:c>
      <x:c r="AB171" s="43" t="n">
        <x:v>9900</x:v>
      </x:c>
      <x:c r="AC171" s="43" t="n">
        <x:v>10000</x:v>
      </x:c>
      <x:c r="AD171" s="45" t="b">
        <x:v>1</x:v>
      </x:c>
      <x:c r="AE171" s="43" t="n">
        <x:v>9900</x:v>
      </x:c>
      <x:c r="AF171" s="43"/>
      <x:c r="AG171" s="43" t="n">
        <x:v>10000</x:v>
      </x:c>
      <x:c r="AH171" s="45" t="b">
        <x:v>1</x:v>
      </x:c>
      <x:c r="AI171" s="45" t="b">
        <x:v>1</x:v>
      </x:c>
      <x:c r="AJ171" s="49"/>
      <x:c r="AK171" s="48" t="n">
        <x:v>0.9498302149549608</x:v>
      </x:c>
      <x:c r="AL171" s="49"/>
      <x:c r="AM171" s="49"/>
      <x:c r="AN171" s="36" t="n">
        <x:v>1</x:v>
      </x:c>
      <x:c r="AO171" s="45" t="b">
        <x:v>1</x:v>
      </x:c>
      <x:c r="AP171" s="45" t="b">
        <x:v>1</x:v>
      </x:c>
      <x:c r="AQ171" s="46" t="n">
        <x:f>IF(T171="","",T171/'Readme-Protocol'!$B$24)</x:f>
        <x:v>5.002335215</x:v>
      </x:c>
      <x:c r="AR171" s="46" t="n">
        <x:f>IF(OR(S171="",S171=0),"",T171/S171)</x:f>
        <x:v>1.000467043</x:v>
      </x:c>
      <x:c r="AS171" s="46" t="n">
        <x:f>IF(OR(X171="",Y171=""),"",ABS(Y171-X171)*'Readme-Protocol'!$B$27)</x:f>
        <x:v>0.016978504503917247</x:v>
      </x:c>
      <x:c r="AT171" s="49" t="b">
        <x:f>AND(M171&gt;0,N171&gt;=0,O171&gt;0)</x:f>
        <x:v>1</x:v>
      </x:c>
      <x:c r="AU171" s="49" t="b">
        <x:f>AND(AT171,N171&gt;=M171)</x:f>
        <x:v>1</x:v>
      </x:c>
      <x:c r="AV171" s="49" t="b">
        <x:f>OR(S171=0,T171&gt;=S171)</x:f>
        <x:v>1</x:v>
      </x:c>
      <x:c r="AW171" s="49" t="b">
        <x:f>IF(I171="cache-semantics",OR(V171&lt;&gt;"uniform",ABS(Y171-W171/'Readme-Protocol'!$B$27)&lt;='Readme-Protocol'!$B$28),TRUE)</x:f>
        <x:v>1</x:v>
      </x:c>
      <x:c r="AX171" s="43" t="n">
        <x:f>IF(I171="cache-semantics",INT(AA171*'Readme-Protocol'!$B$32),"")</x:f>
        <x:v>9900</x:v>
      </x:c>
      <x:c r="AY171" s="49" t="b">
        <x:f>IF(I171="cache-semantics",AX171=AB171,TRUE)</x:f>
        <x:v>1</x:v>
      </x:c>
      <x:c r="AZ171" s="49" t="b">
        <x:f>IF(I171="cache-semantics",AX171=AE171,TRUE)</x:f>
        <x:v>1</x:v>
      </x:c>
      <x:c r="BA171" s="49" t="b">
        <x:f>IF(I171="cache-semantics",AC171&gt;=AX171,IF(I171="no-store-control",AC171=0,FALSE))</x:f>
        <x:v>1</x:v>
      </x:c>
      <x:c r="BB171" s="49" t="b">
        <x:f>IF(I171="cache-semantics",AG171&gt;=AX171,IF(I171="no-store-control",AG171=0,FALSE))</x:f>
        <x:v>1</x:v>
      </x:c>
      <x:c r="BC171" s="49" t="b">
        <x:f>AND(BA171,BB171)</x:f>
        <x:v>1</x:v>
      </x:c>
      <x:c r="BD171" s="49" t="b">
        <x:f>IF(I171="no-store-control",AND(AC171=0,AG171=0),TRUE)</x:f>
        <x:v>1</x:v>
      </x:c>
      <x:c r="BE171" s="49" t="b">
        <x:f>IF(I171="no-store-control",AK171=0,TRUE)</x:f>
        <x:v>1</x:v>
      </x:c>
      <x:c r="BF171" s="49" t="b">
        <x:f>IF(I171="cache-semantics",AN171=1,TRUE)</x:f>
        <x:v>1</x:v>
      </x:c>
      <x:c r="BG171" s="49" t="b">
        <x:f>IF(I171="cache-semantics",AND(AU171,AV171,Q171,AW171,BC171,BF171),IF(I171="no-store-control",AND(AU171,AV171,Q171,BD171,BE171),FALSE))</x:f>
        <x:v>1</x:v>
      </x:c>
      <x:c r="BH171" s="49" t="b">
        <x:f>AND(R171,AT171=P171,AU171=L171,AV171=U171,AY171,AZ171,IF(I171="cache-semantics",AND(AW171=Z171,AND(BA171=AD171,BB171=AH171,BC171=AI171),BF171=AO171),IF(I171="no-store-control",AND(AND(BA171=AD171,BB171=AH171,BC171=AI171),BD171=AJ171,BE171=AL171),FALSE)),BG171=AP171)</x:f>
        <x:v>1</x:v>
      </x:c>
      <x:c r="BI171" s="49" t="b">
        <x:f>AND(J171,K171,BG171)</x:f>
        <x:v>1</x:v>
      </x:c>
    </x:row>
    <x:row r="172">
      <x:c r="A172" s="34" t="str">
        <x:v>article1-unified-v4-2-fb3f101b-20260903-000401-default-f03-p6-nostore</x:v>
      </x:c>
      <x:c r="B172" s="34" t="str">
        <x:v>default</x:v>
      </x:c>
      <x:c r="C172" s="34" t="str">
        <x:v>nostore</x:v>
      </x:c>
      <x:c r="D172" s="36" t="n">
        <x:v>3</x:v>
      </x:c>
      <x:c r="E172" s="36" t="n">
        <x:v>3</x:v>
      </x:c>
      <x:c r="F172" s="36" t="n">
        <x:v>6</x:v>
      </x:c>
      <x:c r="G172" s="36" t="n">
        <x:v>1</x:v>
      </x:c>
      <x:c r="H172" s="34" t="str">
        <x:v>initial</x:v>
      </x:c>
      <x:c r="I172" s="34" t="str">
        <x:v>no-store-control</x:v>
      </x:c>
      <x:c r="J172" s="45" t="b">
        <x:v>1</x:v>
      </x:c>
      <x:c r="K172" s="45" t="b">
        <x:v>0</x:v>
      </x:c>
      <x:c r="L172" s="45" t="b">
        <x:v>1</x:v>
      </x:c>
      <x:c r="M172" s="43" t="n">
        <x:v>400000</x:v>
      </x:c>
      <x:c r="N172" s="43" t="n">
        <x:v>535899904</x:v>
      </x:c>
      <x:c r="O172" s="43" t="n">
        <x:v>106641240.87499478</x:v>
      </x:c>
      <x:c r="P172" s="45" t="b">
        <x:v>1</x:v>
      </x:c>
      <x:c r="Q172" s="45" t="b">
        <x:v>1</x:v>
      </x:c>
      <x:c r="R172" s="45" t="b">
        <x:v>1</x:v>
      </x:c>
      <x:c r="S172" s="43" t="n">
        <x:v>5000000000</x:v>
      </x:c>
      <x:c r="T172" s="43" t="n">
        <x:v>5025259455</x:v>
      </x:c>
      <x:c r="U172" s="45" t="b">
        <x:v>1</x:v>
      </x:c>
      <x:c r="V172" s="34" t="str">
        <x:v>uniform</x:v>
      </x:c>
      <x:c r="W172" s="42" t="n">
        <x:v>95</x:v>
      </x:c>
      <x:c r="X172" s="48"/>
      <x:c r="Y172" s="48"/>
      <x:c r="Z172" s="49"/>
      <x:c r="AA172" s="43" t="n">
        <x:v>10000</x:v>
      </x:c>
      <x:c r="AB172" s="43"/>
      <x:c r="AC172" s="43" t="n">
        <x:v>0</x:v>
      </x:c>
      <x:c r="AD172" s="45" t="b">
        <x:v>1</x:v>
      </x:c>
      <x:c r="AE172" s="43"/>
      <x:c r="AF172" s="43" t="n">
        <x:v>0</x:v>
      </x:c>
      <x:c r="AG172" s="43" t="n">
        <x:v>0</x:v>
      </x:c>
      <x:c r="AH172" s="45" t="b">
        <x:v>1</x:v>
      </x:c>
      <x:c r="AI172" s="45" t="b">
        <x:v>1</x:v>
      </x:c>
      <x:c r="AJ172" s="45" t="b">
        <x:v>1</x:v>
      </x:c>
      <x:c r="AK172" s="48" t="n">
        <x:v>0</x:v>
      </x:c>
      <x:c r="AL172" s="45" t="b">
        <x:v>1</x:v>
      </x:c>
      <x:c r="AM172" s="45" t="b">
        <x:v>0</x:v>
      </x:c>
      <x:c r="AN172" s="36" t="n">
        <x:v>16</x:v>
      </x:c>
      <x:c r="AO172" s="49"/>
      <x:c r="AP172" s="45" t="b">
        <x:v>1</x:v>
      </x:c>
      <x:c r="AQ172" s="46" t="n">
        <x:f>IF(T172="","",T172/'Readme-Protocol'!$B$24)</x:f>
        <x:v>5.025259455</x:v>
      </x:c>
      <x:c r="AR172" s="46" t="n">
        <x:f>IF(OR(S172="",S172=0),"",T172/S172)</x:f>
        <x:v>1.005051891</x:v>
      </x:c>
      <x:c r="AS172" s="46" t="str">
        <x:f>IF(OR(X172="",Y172=""),"",ABS(Y172-X172)*'Readme-Protocol'!$B$27)</x:f>
      </x:c>
      <x:c r="AT172" s="49" t="b">
        <x:f>AND(M172&gt;0,N172&gt;=0,O172&gt;0)</x:f>
        <x:v>1</x:v>
      </x:c>
      <x:c r="AU172" s="49" t="b">
        <x:f>AND(AT172,N172&gt;=M172)</x:f>
        <x:v>1</x:v>
      </x:c>
      <x:c r="AV172" s="49" t="b">
        <x:f>OR(S172=0,T172&gt;=S172)</x:f>
        <x:v>1</x:v>
      </x:c>
      <x:c r="AW172" s="49" t="b">
        <x:f>IF(I172="cache-semantics",OR(V172&lt;&gt;"uniform",ABS(Y172-W172/'Readme-Protocol'!$B$27)&lt;='Readme-Protocol'!$B$28),TRUE)</x:f>
        <x:v>1</x:v>
      </x:c>
      <x:c r="AX172" s="43" t="str">
        <x:f>IF(I172="cache-semantics",INT(AA172*'Readme-Protocol'!$B$32),"")</x:f>
      </x:c>
      <x:c r="AY172" s="49" t="b">
        <x:f>IF(I172="cache-semantics",AX172=AB172,TRUE)</x:f>
        <x:v>1</x:v>
      </x:c>
      <x:c r="AZ172" s="49" t="b">
        <x:f>IF(I172="cache-semantics",AX172=AE172,TRUE)</x:f>
        <x:v>1</x:v>
      </x:c>
      <x:c r="BA172" s="49" t="b">
        <x:f>IF(I172="cache-semantics",AC172&gt;=AX172,IF(I172="no-store-control",AC172=0,FALSE))</x:f>
        <x:v>1</x:v>
      </x:c>
      <x:c r="BB172" s="49" t="b">
        <x:f>IF(I172="cache-semantics",AG172&gt;=AX172,IF(I172="no-store-control",AG172=0,FALSE))</x:f>
        <x:v>1</x:v>
      </x:c>
      <x:c r="BC172" s="49" t="b">
        <x:f>AND(BA172,BB172)</x:f>
        <x:v>1</x:v>
      </x:c>
      <x:c r="BD172" s="49" t="b">
        <x:f>IF(I172="no-store-control",AND(AC172=0,AG172=0),TRUE)</x:f>
        <x:v>1</x:v>
      </x:c>
      <x:c r="BE172" s="49" t="b">
        <x:f>IF(I172="no-store-control",AK172=0,TRUE)</x:f>
        <x:v>1</x:v>
      </x:c>
      <x:c r="BF172" s="49" t="b">
        <x:f>IF(I172="cache-semantics",AN172=1,TRUE)</x:f>
        <x:v>1</x:v>
      </x:c>
      <x:c r="BG172" s="49" t="b">
        <x:f>IF(I172="cache-semantics",AND(AU172,AV172,Q172,AW172,BC172,BF172),IF(I172="no-store-control",AND(AU172,AV172,Q172,BD172,BE172),FALSE))</x:f>
        <x:v>1</x:v>
      </x:c>
      <x:c r="BH172" s="49" t="b">
        <x:f>AND(R172,AT172=P172,AU172=L172,AV172=U172,AY172,AZ172,IF(I172="cache-semantics",AND(AW172=Z172,AND(BA172=AD172,BB172=AH172,BC172=AI172),BF172=AO172),IF(I172="no-store-control",AND(AND(BA172=AD172,BB172=AH172,BC172=AI172),BD172=AJ172,BE172=AL172),FALSE)),BG172=AP172)</x:f>
        <x:v>1</x:v>
      </x:c>
      <x:c r="BI172" s="49" t="b">
        <x:f>AND(J172,K172,BG172)</x:f>
        <x:v>0</x:v>
      </x:c>
    </x:row>
    <x:row r="173">
      <x:c r="A173" s="34" t="str">
        <x:v>article1-unified-v4-2-fb3f101b-20260903-000401-default-f03-p6-nostore</x:v>
      </x:c>
      <x:c r="B173" s="34" t="str">
        <x:v>default</x:v>
      </x:c>
      <x:c r="C173" s="34" t="str">
        <x:v>nostore</x:v>
      </x:c>
      <x:c r="D173" s="36" t="n">
        <x:v>3</x:v>
      </x:c>
      <x:c r="E173" s="36" t="n">
        <x:v>3</x:v>
      </x:c>
      <x:c r="F173" s="36" t="n">
        <x:v>6</x:v>
      </x:c>
      <x:c r="G173" s="36" t="n">
        <x:v>1</x:v>
      </x:c>
      <x:c r="H173" s="34" t="str">
        <x:v>redeploy</x:v>
      </x:c>
      <x:c r="I173" s="34" t="str">
        <x:v>no-store-control</x:v>
      </x:c>
      <x:c r="J173" s="45" t="b">
        <x:v>1</x:v>
      </x:c>
      <x:c r="K173" s="45" t="b">
        <x:v>0</x:v>
      </x:c>
      <x:c r="L173" s="45" t="b">
        <x:v>1</x:v>
      </x:c>
      <x:c r="M173" s="43" t="n">
        <x:v>400000</x:v>
      </x:c>
      <x:c r="N173" s="43" t="n">
        <x:v>516044544</x:v>
      </x:c>
      <x:c r="O173" s="43" t="n">
        <x:v>103036905.78991011</x:v>
      </x:c>
      <x:c r="P173" s="45" t="b">
        <x:v>1</x:v>
      </x:c>
      <x:c r="Q173" s="45" t="b">
        <x:v>1</x:v>
      </x:c>
      <x:c r="R173" s="45" t="b">
        <x:v>1</x:v>
      </x:c>
      <x:c r="S173" s="43" t="n">
        <x:v>5000000000</x:v>
      </x:c>
      <x:c r="T173" s="43" t="n">
        <x:v>5008346670</x:v>
      </x:c>
      <x:c r="U173" s="45" t="b">
        <x:v>1</x:v>
      </x:c>
      <x:c r="V173" s="34" t="str">
        <x:v>uniform</x:v>
      </x:c>
      <x:c r="W173" s="42" t="n">
        <x:v>95</x:v>
      </x:c>
      <x:c r="X173" s="48"/>
      <x:c r="Y173" s="48"/>
      <x:c r="Z173" s="49"/>
      <x:c r="AA173" s="43" t="n">
        <x:v>10000</x:v>
      </x:c>
      <x:c r="AB173" s="43"/>
      <x:c r="AC173" s="43" t="n">
        <x:v>0</x:v>
      </x:c>
      <x:c r="AD173" s="45" t="b">
        <x:v>1</x:v>
      </x:c>
      <x:c r="AE173" s="43"/>
      <x:c r="AF173" s="43" t="n">
        <x:v>0</x:v>
      </x:c>
      <x:c r="AG173" s="43" t="n">
        <x:v>0</x:v>
      </x:c>
      <x:c r="AH173" s="45" t="b">
        <x:v>1</x:v>
      </x:c>
      <x:c r="AI173" s="45" t="b">
        <x:v>1</x:v>
      </x:c>
      <x:c r="AJ173" s="45" t="b">
        <x:v>1</x:v>
      </x:c>
      <x:c r="AK173" s="48" t="n">
        <x:v>0</x:v>
      </x:c>
      <x:c r="AL173" s="45" t="b">
        <x:v>1</x:v>
      </x:c>
      <x:c r="AM173" s="45" t="b">
        <x:v>0</x:v>
      </x:c>
      <x:c r="AN173" s="36" t="n">
        <x:v>16</x:v>
      </x:c>
      <x:c r="AO173" s="49"/>
      <x:c r="AP173" s="45" t="b">
        <x:v>1</x:v>
      </x:c>
      <x:c r="AQ173" s="46" t="n">
        <x:f>IF(T173="","",T173/'Readme-Protocol'!$B$24)</x:f>
        <x:v>5.00834667</x:v>
      </x:c>
      <x:c r="AR173" s="46" t="n">
        <x:f>IF(OR(S173="",S173=0),"",T173/S173)</x:f>
        <x:v>1.001669334</x:v>
      </x:c>
      <x:c r="AS173" s="46" t="str">
        <x:f>IF(OR(X173="",Y173=""),"",ABS(Y173-X173)*'Readme-Protocol'!$B$27)</x:f>
      </x:c>
      <x:c r="AT173" s="49" t="b">
        <x:f>AND(M173&gt;0,N173&gt;=0,O173&gt;0)</x:f>
        <x:v>1</x:v>
      </x:c>
      <x:c r="AU173" s="49" t="b">
        <x:f>AND(AT173,N173&gt;=M173)</x:f>
        <x:v>1</x:v>
      </x:c>
      <x:c r="AV173" s="49" t="b">
        <x:f>OR(S173=0,T173&gt;=S173)</x:f>
        <x:v>1</x:v>
      </x:c>
      <x:c r="AW173" s="49" t="b">
        <x:f>IF(I173="cache-semantics",OR(V173&lt;&gt;"uniform",ABS(Y173-W173/'Readme-Protocol'!$B$27)&lt;='Readme-Protocol'!$B$28),TRUE)</x:f>
        <x:v>1</x:v>
      </x:c>
      <x:c r="AX173" s="43" t="str">
        <x:f>IF(I173="cache-semantics",INT(AA173*'Readme-Protocol'!$B$32),"")</x:f>
      </x:c>
      <x:c r="AY173" s="49" t="b">
        <x:f>IF(I173="cache-semantics",AX173=AB173,TRUE)</x:f>
        <x:v>1</x:v>
      </x:c>
      <x:c r="AZ173" s="49" t="b">
        <x:f>IF(I173="cache-semantics",AX173=AE173,TRUE)</x:f>
        <x:v>1</x:v>
      </x:c>
      <x:c r="BA173" s="49" t="b">
        <x:f>IF(I173="cache-semantics",AC173&gt;=AX173,IF(I173="no-store-control",AC173=0,FALSE))</x:f>
        <x:v>1</x:v>
      </x:c>
      <x:c r="BB173" s="49" t="b">
        <x:f>IF(I173="cache-semantics",AG173&gt;=AX173,IF(I173="no-store-control",AG173=0,FALSE))</x:f>
        <x:v>1</x:v>
      </x:c>
      <x:c r="BC173" s="49" t="b">
        <x:f>AND(BA173,BB173)</x:f>
        <x:v>1</x:v>
      </x:c>
      <x:c r="BD173" s="49" t="b">
        <x:f>IF(I173="no-store-control",AND(AC173=0,AG173=0),TRUE)</x:f>
        <x:v>1</x:v>
      </x:c>
      <x:c r="BE173" s="49" t="b">
        <x:f>IF(I173="no-store-control",AK173=0,TRUE)</x:f>
        <x:v>1</x:v>
      </x:c>
      <x:c r="BF173" s="49" t="b">
        <x:f>IF(I173="cache-semantics",AN173=1,TRUE)</x:f>
        <x:v>1</x:v>
      </x:c>
      <x:c r="BG173" s="49" t="b">
        <x:f>IF(I173="cache-semantics",AND(AU173,AV173,Q173,AW173,BC173,BF173),IF(I173="no-store-control",AND(AU173,AV173,Q173,BD173,BE173),FALSE))</x:f>
        <x:v>1</x:v>
      </x:c>
      <x:c r="BH173" s="49" t="b">
        <x:f>AND(R173,AT173=P173,AU173=L173,AV173=U173,AY173,AZ173,IF(I173="cache-semantics",AND(AW173=Z173,AND(BA173=AD173,BB173=AH173,BC173=AI173),BF173=AO173),IF(I173="no-store-control",AND(AND(BA173=AD173,BB173=AH173,BC173=AI173),BD173=AJ173,BE173=AL173),FALSE)),BG173=AP173)</x:f>
        <x:v>1</x:v>
      </x:c>
      <x:c r="BI173" s="49" t="b">
        <x:f>AND(J173,K173,BG173)</x:f>
        <x:v>0</x:v>
      </x:c>
    </x:row>
    <x:row r="174">
      <x:c r="A174" s="34" t="str">
        <x:v>article1-unified-v4-2-fb3f101b-20260903-000401-default-f03-p6-nostore</x:v>
      </x:c>
      <x:c r="B174" s="34" t="str">
        <x:v>default</x:v>
      </x:c>
      <x:c r="C174" s="34" t="str">
        <x:v>nostore</x:v>
      </x:c>
      <x:c r="D174" s="36" t="n">
        <x:v>3</x:v>
      </x:c>
      <x:c r="E174" s="36" t="n">
        <x:v>3</x:v>
      </x:c>
      <x:c r="F174" s="36" t="n">
        <x:v>6</x:v>
      </x:c>
      <x:c r="G174" s="36" t="n">
        <x:v>2</x:v>
      </x:c>
      <x:c r="H174" s="34" t="str">
        <x:v>initial</x:v>
      </x:c>
      <x:c r="I174" s="34" t="str">
        <x:v>no-store-control</x:v>
      </x:c>
      <x:c r="J174" s="45" t="b">
        <x:v>1</x:v>
      </x:c>
      <x:c r="K174" s="45" t="b">
        <x:v>0</x:v>
      </x:c>
      <x:c r="L174" s="45" t="b">
        <x:v>1</x:v>
      </x:c>
      <x:c r="M174" s="43" t="n">
        <x:v>400000</x:v>
      </x:c>
      <x:c r="N174" s="43" t="n">
        <x:v>516846592</x:v>
      </x:c>
      <x:c r="O174" s="43" t="n">
        <x:v>103157075.19355905</x:v>
      </x:c>
      <x:c r="P174" s="45" t="b">
        <x:v>1</x:v>
      </x:c>
      <x:c r="Q174" s="45" t="b">
        <x:v>1</x:v>
      </x:c>
      <x:c r="R174" s="45" t="b">
        <x:v>1</x:v>
      </x:c>
      <x:c r="S174" s="43" t="n">
        <x:v>5000000000</x:v>
      </x:c>
      <x:c r="T174" s="43" t="n">
        <x:v>5010287380</x:v>
      </x:c>
      <x:c r="U174" s="45" t="b">
        <x:v>1</x:v>
      </x:c>
      <x:c r="V174" s="34" t="str">
        <x:v>uniform</x:v>
      </x:c>
      <x:c r="W174" s="42" t="n">
        <x:v>95</x:v>
      </x:c>
      <x:c r="X174" s="48"/>
      <x:c r="Y174" s="48"/>
      <x:c r="Z174" s="49"/>
      <x:c r="AA174" s="43" t="n">
        <x:v>10000</x:v>
      </x:c>
      <x:c r="AB174" s="43"/>
      <x:c r="AC174" s="43" t="n">
        <x:v>0</x:v>
      </x:c>
      <x:c r="AD174" s="45" t="b">
        <x:v>1</x:v>
      </x:c>
      <x:c r="AE174" s="43"/>
      <x:c r="AF174" s="43" t="n">
        <x:v>0</x:v>
      </x:c>
      <x:c r="AG174" s="43" t="n">
        <x:v>0</x:v>
      </x:c>
      <x:c r="AH174" s="45" t="b">
        <x:v>1</x:v>
      </x:c>
      <x:c r="AI174" s="45" t="b">
        <x:v>1</x:v>
      </x:c>
      <x:c r="AJ174" s="45" t="b">
        <x:v>1</x:v>
      </x:c>
      <x:c r="AK174" s="48" t="n">
        <x:v>0</x:v>
      </x:c>
      <x:c r="AL174" s="45" t="b">
        <x:v>1</x:v>
      </x:c>
      <x:c r="AM174" s="45" t="b">
        <x:v>0</x:v>
      </x:c>
      <x:c r="AN174" s="36" t="n">
        <x:v>16</x:v>
      </x:c>
      <x:c r="AO174" s="49"/>
      <x:c r="AP174" s="45" t="b">
        <x:v>1</x:v>
      </x:c>
      <x:c r="AQ174" s="46" t="n">
        <x:f>IF(T174="","",T174/'Readme-Protocol'!$B$24)</x:f>
        <x:v>5.01028738</x:v>
      </x:c>
      <x:c r="AR174" s="46" t="n">
        <x:f>IF(OR(S174="",S174=0),"",T174/S174)</x:f>
        <x:v>1.002057476</x:v>
      </x:c>
      <x:c r="AS174" s="46" t="str">
        <x:f>IF(OR(X174="",Y174=""),"",ABS(Y174-X174)*'Readme-Protocol'!$B$27)</x:f>
      </x:c>
      <x:c r="AT174" s="49" t="b">
        <x:f>AND(M174&gt;0,N174&gt;=0,O174&gt;0)</x:f>
        <x:v>1</x:v>
      </x:c>
      <x:c r="AU174" s="49" t="b">
        <x:f>AND(AT174,N174&gt;=M174)</x:f>
        <x:v>1</x:v>
      </x:c>
      <x:c r="AV174" s="49" t="b">
        <x:f>OR(S174=0,T174&gt;=S174)</x:f>
        <x:v>1</x:v>
      </x:c>
      <x:c r="AW174" s="49" t="b">
        <x:f>IF(I174="cache-semantics",OR(V174&lt;&gt;"uniform",ABS(Y174-W174/'Readme-Protocol'!$B$27)&lt;='Readme-Protocol'!$B$28),TRUE)</x:f>
        <x:v>1</x:v>
      </x:c>
      <x:c r="AX174" s="43" t="str">
        <x:f>IF(I174="cache-semantics",INT(AA174*'Readme-Protocol'!$B$32),"")</x:f>
      </x:c>
      <x:c r="AY174" s="49" t="b">
        <x:f>IF(I174="cache-semantics",AX174=AB174,TRUE)</x:f>
        <x:v>1</x:v>
      </x:c>
      <x:c r="AZ174" s="49" t="b">
        <x:f>IF(I174="cache-semantics",AX174=AE174,TRUE)</x:f>
        <x:v>1</x:v>
      </x:c>
      <x:c r="BA174" s="49" t="b">
        <x:f>IF(I174="cache-semantics",AC174&gt;=AX174,IF(I174="no-store-control",AC174=0,FALSE))</x:f>
        <x:v>1</x:v>
      </x:c>
      <x:c r="BB174" s="49" t="b">
        <x:f>IF(I174="cache-semantics",AG174&gt;=AX174,IF(I174="no-store-control",AG174=0,FALSE))</x:f>
        <x:v>1</x:v>
      </x:c>
      <x:c r="BC174" s="49" t="b">
        <x:f>AND(BA174,BB174)</x:f>
        <x:v>1</x:v>
      </x:c>
      <x:c r="BD174" s="49" t="b">
        <x:f>IF(I174="no-store-control",AND(AC174=0,AG174=0),TRUE)</x:f>
        <x:v>1</x:v>
      </x:c>
      <x:c r="BE174" s="49" t="b">
        <x:f>IF(I174="no-store-control",AK174=0,TRUE)</x:f>
        <x:v>1</x:v>
      </x:c>
      <x:c r="BF174" s="49" t="b">
        <x:f>IF(I174="cache-semantics",AN174=1,TRUE)</x:f>
        <x:v>1</x:v>
      </x:c>
      <x:c r="BG174" s="49" t="b">
        <x:f>IF(I174="cache-semantics",AND(AU174,AV174,Q174,AW174,BC174,BF174),IF(I174="no-store-control",AND(AU174,AV174,Q174,BD174,BE174),FALSE))</x:f>
        <x:v>1</x:v>
      </x:c>
      <x:c r="BH174" s="49" t="b">
        <x:f>AND(R174,AT174=P174,AU174=L174,AV174=U174,AY174,AZ174,IF(I174="cache-semantics",AND(AW174=Z174,AND(BA174=AD174,BB174=AH174,BC174=AI174),BF174=AO174),IF(I174="no-store-control",AND(AND(BA174=AD174,BB174=AH174,BC174=AI174),BD174=AJ174,BE174=AL174),FALSE)),BG174=AP174)</x:f>
        <x:v>1</x:v>
      </x:c>
      <x:c r="BI174" s="49" t="b">
        <x:f>AND(J174,K174,BG174)</x:f>
        <x:v>0</x:v>
      </x:c>
    </x:row>
    <x:row r="175">
      <x:c r="A175" s="34" t="str">
        <x:v>article1-unified-v4-2-fb3f101b-20260903-000401-default-f03-p6-nostore</x:v>
      </x:c>
      <x:c r="B175" s="34" t="str">
        <x:v>default</x:v>
      </x:c>
      <x:c r="C175" s="34" t="str">
        <x:v>nostore</x:v>
      </x:c>
      <x:c r="D175" s="36" t="n">
        <x:v>3</x:v>
      </x:c>
      <x:c r="E175" s="36" t="n">
        <x:v>3</x:v>
      </x:c>
      <x:c r="F175" s="36" t="n">
        <x:v>6</x:v>
      </x:c>
      <x:c r="G175" s="36" t="n">
        <x:v>2</x:v>
      </x:c>
      <x:c r="H175" s="34" t="str">
        <x:v>redeploy</x:v>
      </x:c>
      <x:c r="I175" s="34" t="str">
        <x:v>no-store-control</x:v>
      </x:c>
      <x:c r="J175" s="45" t="b">
        <x:v>1</x:v>
      </x:c>
      <x:c r="K175" s="45" t="b">
        <x:v>0</x:v>
      </x:c>
      <x:c r="L175" s="45" t="b">
        <x:v>1</x:v>
      </x:c>
      <x:c r="M175" s="43" t="n">
        <x:v>400000</x:v>
      </x:c>
      <x:c r="N175" s="43" t="n">
        <x:v>530800128</x:v>
      </x:c>
      <x:c r="O175" s="43" t="n">
        <x:v>106027882.09629245</x:v>
      </x:c>
      <x:c r="P175" s="45" t="b">
        <x:v>1</x:v>
      </x:c>
      <x:c r="Q175" s="45" t="b">
        <x:v>1</x:v>
      </x:c>
      <x:c r="R175" s="45" t="b">
        <x:v>1</x:v>
      </x:c>
      <x:c r="S175" s="43" t="n">
        <x:v>5000000000</x:v>
      </x:c>
      <x:c r="T175" s="43" t="n">
        <x:v>5006231545</x:v>
      </x:c>
      <x:c r="U175" s="45" t="b">
        <x:v>1</x:v>
      </x:c>
      <x:c r="V175" s="34" t="str">
        <x:v>uniform</x:v>
      </x:c>
      <x:c r="W175" s="42" t="n">
        <x:v>95</x:v>
      </x:c>
      <x:c r="X175" s="48"/>
      <x:c r="Y175" s="48"/>
      <x:c r="Z175" s="49"/>
      <x:c r="AA175" s="43" t="n">
        <x:v>10000</x:v>
      </x:c>
      <x:c r="AB175" s="43"/>
      <x:c r="AC175" s="43" t="n">
        <x:v>0</x:v>
      </x:c>
      <x:c r="AD175" s="45" t="b">
        <x:v>1</x:v>
      </x:c>
      <x:c r="AE175" s="43"/>
      <x:c r="AF175" s="43" t="n">
        <x:v>0</x:v>
      </x:c>
      <x:c r="AG175" s="43" t="n">
        <x:v>0</x:v>
      </x:c>
      <x:c r="AH175" s="45" t="b">
        <x:v>1</x:v>
      </x:c>
      <x:c r="AI175" s="45" t="b">
        <x:v>1</x:v>
      </x:c>
      <x:c r="AJ175" s="45" t="b">
        <x:v>1</x:v>
      </x:c>
      <x:c r="AK175" s="48" t="n">
        <x:v>0</x:v>
      </x:c>
      <x:c r="AL175" s="45" t="b">
        <x:v>1</x:v>
      </x:c>
      <x:c r="AM175" s="45" t="b">
        <x:v>0</x:v>
      </x:c>
      <x:c r="AN175" s="36" t="n">
        <x:v>16</x:v>
      </x:c>
      <x:c r="AO175" s="49"/>
      <x:c r="AP175" s="45" t="b">
        <x:v>1</x:v>
      </x:c>
      <x:c r="AQ175" s="46" t="n">
        <x:f>IF(T175="","",T175/'Readme-Protocol'!$B$24)</x:f>
        <x:v>5.006231545</x:v>
      </x:c>
      <x:c r="AR175" s="46" t="n">
        <x:f>IF(OR(S175="",S175=0),"",T175/S175)</x:f>
        <x:v>1.001246309</x:v>
      </x:c>
      <x:c r="AS175" s="46" t="str">
        <x:f>IF(OR(X175="",Y175=""),"",ABS(Y175-X175)*'Readme-Protocol'!$B$27)</x:f>
      </x:c>
      <x:c r="AT175" s="49" t="b">
        <x:f>AND(M175&gt;0,N175&gt;=0,O175&gt;0)</x:f>
        <x:v>1</x:v>
      </x:c>
      <x:c r="AU175" s="49" t="b">
        <x:f>AND(AT175,N175&gt;=M175)</x:f>
        <x:v>1</x:v>
      </x:c>
      <x:c r="AV175" s="49" t="b">
        <x:f>OR(S175=0,T175&gt;=S175)</x:f>
        <x:v>1</x:v>
      </x:c>
      <x:c r="AW175" s="49" t="b">
        <x:f>IF(I175="cache-semantics",OR(V175&lt;&gt;"uniform",ABS(Y175-W175/'Readme-Protocol'!$B$27)&lt;='Readme-Protocol'!$B$28),TRUE)</x:f>
        <x:v>1</x:v>
      </x:c>
      <x:c r="AX175" s="43" t="str">
        <x:f>IF(I175="cache-semantics",INT(AA175*'Readme-Protocol'!$B$32),"")</x:f>
      </x:c>
      <x:c r="AY175" s="49" t="b">
        <x:f>IF(I175="cache-semantics",AX175=AB175,TRUE)</x:f>
        <x:v>1</x:v>
      </x:c>
      <x:c r="AZ175" s="49" t="b">
        <x:f>IF(I175="cache-semantics",AX175=AE175,TRUE)</x:f>
        <x:v>1</x:v>
      </x:c>
      <x:c r="BA175" s="49" t="b">
        <x:f>IF(I175="cache-semantics",AC175&gt;=AX175,IF(I175="no-store-control",AC175=0,FALSE))</x:f>
        <x:v>1</x:v>
      </x:c>
      <x:c r="BB175" s="49" t="b">
        <x:f>IF(I175="cache-semantics",AG175&gt;=AX175,IF(I175="no-store-control",AG175=0,FALSE))</x:f>
        <x:v>1</x:v>
      </x:c>
      <x:c r="BC175" s="49" t="b">
        <x:f>AND(BA175,BB175)</x:f>
        <x:v>1</x:v>
      </x:c>
      <x:c r="BD175" s="49" t="b">
        <x:f>IF(I175="no-store-control",AND(AC175=0,AG175=0),TRUE)</x:f>
        <x:v>1</x:v>
      </x:c>
      <x:c r="BE175" s="49" t="b">
        <x:f>IF(I175="no-store-control",AK175=0,TRUE)</x:f>
        <x:v>1</x:v>
      </x:c>
      <x:c r="BF175" s="49" t="b">
        <x:f>IF(I175="cache-semantics",AN175=1,TRUE)</x:f>
        <x:v>1</x:v>
      </x:c>
      <x:c r="BG175" s="49" t="b">
        <x:f>IF(I175="cache-semantics",AND(AU175,AV175,Q175,AW175,BC175,BF175),IF(I175="no-store-control",AND(AU175,AV175,Q175,BD175,BE175),FALSE))</x:f>
        <x:v>1</x:v>
      </x:c>
      <x:c r="BH175" s="49" t="b">
        <x:f>AND(R175,AT175=P175,AU175=L175,AV175=U175,AY175,AZ175,IF(I175="cache-semantics",AND(AW175=Z175,AND(BA175=AD175,BB175=AH175,BC175=AI175),BF175=AO175),IF(I175="no-store-control",AND(AND(BA175=AD175,BB175=AH175,BC175=AI175),BD175=AJ175,BE175=AL175),FALSE)),BG175=AP175)</x:f>
        <x:v>1</x:v>
      </x:c>
      <x:c r="BI175" s="49" t="b">
        <x:f>AND(J175,K175,BG175)</x:f>
        <x:v>0</x:v>
      </x:c>
    </x:row>
    <x:row r="176">
      <x:c r="A176" s="34" t="str">
        <x:v>article1-unified-v4-2-fb3f101b-20260903-000401-default-f03-p6-nostore</x:v>
      </x:c>
      <x:c r="B176" s="34" t="str">
        <x:v>default</x:v>
      </x:c>
      <x:c r="C176" s="34" t="str">
        <x:v>nostore</x:v>
      </x:c>
      <x:c r="D176" s="36" t="n">
        <x:v>3</x:v>
      </x:c>
      <x:c r="E176" s="36" t="n">
        <x:v>3</x:v>
      </x:c>
      <x:c r="F176" s="36" t="n">
        <x:v>6</x:v>
      </x:c>
      <x:c r="G176" s="36" t="n">
        <x:v>3</x:v>
      </x:c>
      <x:c r="H176" s="34" t="str">
        <x:v>initial</x:v>
      </x:c>
      <x:c r="I176" s="34" t="str">
        <x:v>no-store-control</x:v>
      </x:c>
      <x:c r="J176" s="45" t="b">
        <x:v>1</x:v>
      </x:c>
      <x:c r="K176" s="45" t="b">
        <x:v>0</x:v>
      </x:c>
      <x:c r="L176" s="45" t="b">
        <x:v>1</x:v>
      </x:c>
      <x:c r="M176" s="43" t="n">
        <x:v>400000</x:v>
      </x:c>
      <x:c r="N176" s="43" t="n">
        <x:v>529059072</x:v>
      </x:c>
      <x:c r="O176" s="43" t="n">
        <x:v>105690651.54600726</x:v>
      </x:c>
      <x:c r="P176" s="45" t="b">
        <x:v>1</x:v>
      </x:c>
      <x:c r="Q176" s="45" t="b">
        <x:v>1</x:v>
      </x:c>
      <x:c r="R176" s="45" t="b">
        <x:v>1</x:v>
      </x:c>
      <x:c r="S176" s="43" t="n">
        <x:v>5000000000</x:v>
      </x:c>
      <x:c r="T176" s="43" t="n">
        <x:v>5005731957</x:v>
      </x:c>
      <x:c r="U176" s="45" t="b">
        <x:v>1</x:v>
      </x:c>
      <x:c r="V176" s="34" t="str">
        <x:v>uniform</x:v>
      </x:c>
      <x:c r="W176" s="42" t="n">
        <x:v>95</x:v>
      </x:c>
      <x:c r="X176" s="48"/>
      <x:c r="Y176" s="48"/>
      <x:c r="Z176" s="49"/>
      <x:c r="AA176" s="43" t="n">
        <x:v>10000</x:v>
      </x:c>
      <x:c r="AB176" s="43"/>
      <x:c r="AC176" s="43" t="n">
        <x:v>0</x:v>
      </x:c>
      <x:c r="AD176" s="45" t="b">
        <x:v>1</x:v>
      </x:c>
      <x:c r="AE176" s="43"/>
      <x:c r="AF176" s="43" t="n">
        <x:v>0</x:v>
      </x:c>
      <x:c r="AG176" s="43" t="n">
        <x:v>0</x:v>
      </x:c>
      <x:c r="AH176" s="45" t="b">
        <x:v>1</x:v>
      </x:c>
      <x:c r="AI176" s="45" t="b">
        <x:v>1</x:v>
      </x:c>
      <x:c r="AJ176" s="45" t="b">
        <x:v>1</x:v>
      </x:c>
      <x:c r="AK176" s="48" t="n">
        <x:v>0</x:v>
      </x:c>
      <x:c r="AL176" s="45" t="b">
        <x:v>1</x:v>
      </x:c>
      <x:c r="AM176" s="45" t="b">
        <x:v>0</x:v>
      </x:c>
      <x:c r="AN176" s="36" t="n">
        <x:v>16</x:v>
      </x:c>
      <x:c r="AO176" s="49"/>
      <x:c r="AP176" s="45" t="b">
        <x:v>1</x:v>
      </x:c>
      <x:c r="AQ176" s="46" t="n">
        <x:f>IF(T176="","",T176/'Readme-Protocol'!$B$24)</x:f>
        <x:v>5.005731957</x:v>
      </x:c>
      <x:c r="AR176" s="46" t="n">
        <x:f>IF(OR(S176="",S176=0),"",T176/S176)</x:f>
        <x:v>1.0011463914</x:v>
      </x:c>
      <x:c r="AS176" s="46" t="str">
        <x:f>IF(OR(X176="",Y176=""),"",ABS(Y176-X176)*'Readme-Protocol'!$B$27)</x:f>
      </x:c>
      <x:c r="AT176" s="49" t="b">
        <x:f>AND(M176&gt;0,N176&gt;=0,O176&gt;0)</x:f>
        <x:v>1</x:v>
      </x:c>
      <x:c r="AU176" s="49" t="b">
        <x:f>AND(AT176,N176&gt;=M176)</x:f>
        <x:v>1</x:v>
      </x:c>
      <x:c r="AV176" s="49" t="b">
        <x:f>OR(S176=0,T176&gt;=S176)</x:f>
        <x:v>1</x:v>
      </x:c>
      <x:c r="AW176" s="49" t="b">
        <x:f>IF(I176="cache-semantics",OR(V176&lt;&gt;"uniform",ABS(Y176-W176/'Readme-Protocol'!$B$27)&lt;='Readme-Protocol'!$B$28),TRUE)</x:f>
        <x:v>1</x:v>
      </x:c>
      <x:c r="AX176" s="43" t="str">
        <x:f>IF(I176="cache-semantics",INT(AA176*'Readme-Protocol'!$B$32),"")</x:f>
      </x:c>
      <x:c r="AY176" s="49" t="b">
        <x:f>IF(I176="cache-semantics",AX176=AB176,TRUE)</x:f>
        <x:v>1</x:v>
      </x:c>
      <x:c r="AZ176" s="49" t="b">
        <x:f>IF(I176="cache-semantics",AX176=AE176,TRUE)</x:f>
        <x:v>1</x:v>
      </x:c>
      <x:c r="BA176" s="49" t="b">
        <x:f>IF(I176="cache-semantics",AC176&gt;=AX176,IF(I176="no-store-control",AC176=0,FALSE))</x:f>
        <x:v>1</x:v>
      </x:c>
      <x:c r="BB176" s="49" t="b">
        <x:f>IF(I176="cache-semantics",AG176&gt;=AX176,IF(I176="no-store-control",AG176=0,FALSE))</x:f>
        <x:v>1</x:v>
      </x:c>
      <x:c r="BC176" s="49" t="b">
        <x:f>AND(BA176,BB176)</x:f>
        <x:v>1</x:v>
      </x:c>
      <x:c r="BD176" s="49" t="b">
        <x:f>IF(I176="no-store-control",AND(AC176=0,AG176=0),TRUE)</x:f>
        <x:v>1</x:v>
      </x:c>
      <x:c r="BE176" s="49" t="b">
        <x:f>IF(I176="no-store-control",AK176=0,TRUE)</x:f>
        <x:v>1</x:v>
      </x:c>
      <x:c r="BF176" s="49" t="b">
        <x:f>IF(I176="cache-semantics",AN176=1,TRUE)</x:f>
        <x:v>1</x:v>
      </x:c>
      <x:c r="BG176" s="49" t="b">
        <x:f>IF(I176="cache-semantics",AND(AU176,AV176,Q176,AW176,BC176,BF176),IF(I176="no-store-control",AND(AU176,AV176,Q176,BD176,BE176),FALSE))</x:f>
        <x:v>1</x:v>
      </x:c>
      <x:c r="BH176" s="49" t="b">
        <x:f>AND(R176,AT176=P176,AU176=L176,AV176=U176,AY176,AZ176,IF(I176="cache-semantics",AND(AW176=Z176,AND(BA176=AD176,BB176=AH176,BC176=AI176),BF176=AO176),IF(I176="no-store-control",AND(AND(BA176=AD176,BB176=AH176,BC176=AI176),BD176=AJ176,BE176=AL176),FALSE)),BG176=AP176)</x:f>
        <x:v>1</x:v>
      </x:c>
      <x:c r="BI176" s="49" t="b">
        <x:f>AND(J176,K176,BG176)</x:f>
        <x:v>0</x:v>
      </x:c>
    </x:row>
    <x:row r="177">
      <x:c r="A177" s="34" t="str">
        <x:v>article1-unified-v4-2-fb3f101b-20260903-000401-default-f03-p6-nostore</x:v>
      </x:c>
      <x:c r="B177" s="34" t="str">
        <x:v>default</x:v>
      </x:c>
      <x:c r="C177" s="34" t="str">
        <x:v>nostore</x:v>
      </x:c>
      <x:c r="D177" s="36" t="n">
        <x:v>3</x:v>
      </x:c>
      <x:c r="E177" s="36" t="n">
        <x:v>3</x:v>
      </x:c>
      <x:c r="F177" s="36" t="n">
        <x:v>6</x:v>
      </x:c>
      <x:c r="G177" s="36" t="n">
        <x:v>3</x:v>
      </x:c>
      <x:c r="H177" s="34" t="str">
        <x:v>redeploy</x:v>
      </x:c>
      <x:c r="I177" s="34" t="str">
        <x:v>no-store-control</x:v>
      </x:c>
      <x:c r="J177" s="45" t="b">
        <x:v>1</x:v>
      </x:c>
      <x:c r="K177" s="45" t="b">
        <x:v>0</x:v>
      </x:c>
      <x:c r="L177" s="45" t="b">
        <x:v>1</x:v>
      </x:c>
      <x:c r="M177" s="43" t="n">
        <x:v>400000</x:v>
      </x:c>
      <x:c r="N177" s="43" t="n">
        <x:v>513697280</x:v>
      </x:c>
      <x:c r="O177" s="43" t="n">
        <x:v>102604995.08843946</x:v>
      </x:c>
      <x:c r="P177" s="45" t="b">
        <x:v>1</x:v>
      </x:c>
      <x:c r="Q177" s="45" t="b">
        <x:v>1</x:v>
      </x:c>
      <x:c r="R177" s="45" t="b">
        <x:v>1</x:v>
      </x:c>
      <x:c r="S177" s="43" t="n">
        <x:v>5000000000</x:v>
      </x:c>
      <x:c r="T177" s="43" t="n">
        <x:v>5006552357</x:v>
      </x:c>
      <x:c r="U177" s="45" t="b">
        <x:v>1</x:v>
      </x:c>
      <x:c r="V177" s="34" t="str">
        <x:v>uniform</x:v>
      </x:c>
      <x:c r="W177" s="42" t="n">
        <x:v>95</x:v>
      </x:c>
      <x:c r="X177" s="48"/>
      <x:c r="Y177" s="48"/>
      <x:c r="Z177" s="49"/>
      <x:c r="AA177" s="43" t="n">
        <x:v>10000</x:v>
      </x:c>
      <x:c r="AB177" s="43"/>
      <x:c r="AC177" s="43" t="n">
        <x:v>0</x:v>
      </x:c>
      <x:c r="AD177" s="45" t="b">
        <x:v>1</x:v>
      </x:c>
      <x:c r="AE177" s="43"/>
      <x:c r="AF177" s="43" t="n">
        <x:v>0</x:v>
      </x:c>
      <x:c r="AG177" s="43" t="n">
        <x:v>0</x:v>
      </x:c>
      <x:c r="AH177" s="45" t="b">
        <x:v>1</x:v>
      </x:c>
      <x:c r="AI177" s="45" t="b">
        <x:v>1</x:v>
      </x:c>
      <x:c r="AJ177" s="45" t="b">
        <x:v>1</x:v>
      </x:c>
      <x:c r="AK177" s="48" t="n">
        <x:v>0</x:v>
      </x:c>
      <x:c r="AL177" s="45" t="b">
        <x:v>1</x:v>
      </x:c>
      <x:c r="AM177" s="45" t="b">
        <x:v>0</x:v>
      </x:c>
      <x:c r="AN177" s="36" t="n">
        <x:v>16</x:v>
      </x:c>
      <x:c r="AO177" s="49"/>
      <x:c r="AP177" s="45" t="b">
        <x:v>1</x:v>
      </x:c>
      <x:c r="AQ177" s="46" t="n">
        <x:f>IF(T177="","",T177/'Readme-Protocol'!$B$24)</x:f>
        <x:v>5.006552357</x:v>
      </x:c>
      <x:c r="AR177" s="46" t="n">
        <x:f>IF(OR(S177="",S177=0),"",T177/S177)</x:f>
        <x:v>1.0013104714</x:v>
      </x:c>
      <x:c r="AS177" s="46" t="str">
        <x:f>IF(OR(X177="",Y177=""),"",ABS(Y177-X177)*'Readme-Protocol'!$B$27)</x:f>
      </x:c>
      <x:c r="AT177" s="49" t="b">
        <x:f>AND(M177&gt;0,N177&gt;=0,O177&gt;0)</x:f>
        <x:v>1</x:v>
      </x:c>
      <x:c r="AU177" s="49" t="b">
        <x:f>AND(AT177,N177&gt;=M177)</x:f>
        <x:v>1</x:v>
      </x:c>
      <x:c r="AV177" s="49" t="b">
        <x:f>OR(S177=0,T177&gt;=S177)</x:f>
        <x:v>1</x:v>
      </x:c>
      <x:c r="AW177" s="49" t="b">
        <x:f>IF(I177="cache-semantics",OR(V177&lt;&gt;"uniform",ABS(Y177-W177/'Readme-Protocol'!$B$27)&lt;='Readme-Protocol'!$B$28),TRUE)</x:f>
        <x:v>1</x:v>
      </x:c>
      <x:c r="AX177" s="43" t="str">
        <x:f>IF(I177="cache-semantics",INT(AA177*'Readme-Protocol'!$B$32),"")</x:f>
      </x:c>
      <x:c r="AY177" s="49" t="b">
        <x:f>IF(I177="cache-semantics",AX177=AB177,TRUE)</x:f>
        <x:v>1</x:v>
      </x:c>
      <x:c r="AZ177" s="49" t="b">
        <x:f>IF(I177="cache-semantics",AX177=AE177,TRUE)</x:f>
        <x:v>1</x:v>
      </x:c>
      <x:c r="BA177" s="49" t="b">
        <x:f>IF(I177="cache-semantics",AC177&gt;=AX177,IF(I177="no-store-control",AC177=0,FALSE))</x:f>
        <x:v>1</x:v>
      </x:c>
      <x:c r="BB177" s="49" t="b">
        <x:f>IF(I177="cache-semantics",AG177&gt;=AX177,IF(I177="no-store-control",AG177=0,FALSE))</x:f>
        <x:v>1</x:v>
      </x:c>
      <x:c r="BC177" s="49" t="b">
        <x:f>AND(BA177,BB177)</x:f>
        <x:v>1</x:v>
      </x:c>
      <x:c r="BD177" s="49" t="b">
        <x:f>IF(I177="no-store-control",AND(AC177=0,AG177=0),TRUE)</x:f>
        <x:v>1</x:v>
      </x:c>
      <x:c r="BE177" s="49" t="b">
        <x:f>IF(I177="no-store-control",AK177=0,TRUE)</x:f>
        <x:v>1</x:v>
      </x:c>
      <x:c r="BF177" s="49" t="b">
        <x:f>IF(I177="cache-semantics",AN177=1,TRUE)</x:f>
        <x:v>1</x:v>
      </x:c>
      <x:c r="BG177" s="49" t="b">
        <x:f>IF(I177="cache-semantics",AND(AU177,AV177,Q177,AW177,BC177,BF177),IF(I177="no-store-control",AND(AU177,AV177,Q177,BD177,BE177),FALSE))</x:f>
        <x:v>1</x:v>
      </x:c>
      <x:c r="BH177" s="49" t="b">
        <x:f>AND(R177,AT177=P177,AU177=L177,AV177=U177,AY177,AZ177,IF(I177="cache-semantics",AND(AW177=Z177,AND(BA177=AD177,BB177=AH177,BC177=AI177),BF177=AO177),IF(I177="no-store-control",AND(AND(BA177=AD177,BB177=AH177,BC177=AI177),BD177=AJ177,BE177=AL177),FALSE)),BG177=AP177)</x:f>
        <x:v>1</x:v>
      </x:c>
      <x:c r="BI177" s="49" t="b">
        <x:f>AND(J177,K177,BG177)</x:f>
        <x:v>0</x:v>
      </x:c>
    </x:row>
    <x:row r="178">
      <x:c r="A178" s="34" t="str">
        <x:v>article1-unified-v4-2-fb3f101b-20260903-000401-default-f03-p6-nostore</x:v>
      </x:c>
      <x:c r="B178" s="34" t="str">
        <x:v>default</x:v>
      </x:c>
      <x:c r="C178" s="34" t="str">
        <x:v>nostore</x:v>
      </x:c>
      <x:c r="D178" s="36" t="n">
        <x:v>3</x:v>
      </x:c>
      <x:c r="E178" s="36" t="n">
        <x:v>3</x:v>
      </x:c>
      <x:c r="F178" s="36" t="n">
        <x:v>6</x:v>
      </x:c>
      <x:c r="G178" s="36" t="n">
        <x:v>4</x:v>
      </x:c>
      <x:c r="H178" s="34" t="str">
        <x:v>initial</x:v>
      </x:c>
      <x:c r="I178" s="34" t="str">
        <x:v>no-store-control</x:v>
      </x:c>
      <x:c r="J178" s="45" t="b">
        <x:v>1</x:v>
      </x:c>
      <x:c r="K178" s="45" t="b">
        <x:v>0</x:v>
      </x:c>
      <x:c r="L178" s="45" t="b">
        <x:v>1</x:v>
      </x:c>
      <x:c r="M178" s="43" t="n">
        <x:v>400000</x:v>
      </x:c>
      <x:c r="N178" s="43" t="n">
        <x:v>524707328</x:v>
      </x:c>
      <x:c r="O178" s="43" t="n">
        <x:v>104815694.29261571</x:v>
      </x:c>
      <x:c r="P178" s="45" t="b">
        <x:v>1</x:v>
      </x:c>
      <x:c r="Q178" s="45" t="b">
        <x:v>1</x:v>
      </x:c>
      <x:c r="R178" s="45" t="b">
        <x:v>1</x:v>
      </x:c>
      <x:c r="S178" s="43" t="n">
        <x:v>5000000000</x:v>
      </x:c>
      <x:c r="T178" s="43" t="n">
        <x:v>5005999641</x:v>
      </x:c>
      <x:c r="U178" s="45" t="b">
        <x:v>1</x:v>
      </x:c>
      <x:c r="V178" s="34" t="str">
        <x:v>uniform</x:v>
      </x:c>
      <x:c r="W178" s="42" t="n">
        <x:v>95</x:v>
      </x:c>
      <x:c r="X178" s="48"/>
      <x:c r="Y178" s="48"/>
      <x:c r="Z178" s="49"/>
      <x:c r="AA178" s="43" t="n">
        <x:v>10000</x:v>
      </x:c>
      <x:c r="AB178" s="43"/>
      <x:c r="AC178" s="43" t="n">
        <x:v>0</x:v>
      </x:c>
      <x:c r="AD178" s="45" t="b">
        <x:v>1</x:v>
      </x:c>
      <x:c r="AE178" s="43"/>
      <x:c r="AF178" s="43" t="n">
        <x:v>0</x:v>
      </x:c>
      <x:c r="AG178" s="43" t="n">
        <x:v>0</x:v>
      </x:c>
      <x:c r="AH178" s="45" t="b">
        <x:v>1</x:v>
      </x:c>
      <x:c r="AI178" s="45" t="b">
        <x:v>1</x:v>
      </x:c>
      <x:c r="AJ178" s="45" t="b">
        <x:v>1</x:v>
      </x:c>
      <x:c r="AK178" s="48" t="n">
        <x:v>0</x:v>
      </x:c>
      <x:c r="AL178" s="45" t="b">
        <x:v>1</x:v>
      </x:c>
      <x:c r="AM178" s="45" t="b">
        <x:v>0</x:v>
      </x:c>
      <x:c r="AN178" s="36" t="n">
        <x:v>16</x:v>
      </x:c>
      <x:c r="AO178" s="49"/>
      <x:c r="AP178" s="45" t="b">
        <x:v>1</x:v>
      </x:c>
      <x:c r="AQ178" s="46" t="n">
        <x:f>IF(T178="","",T178/'Readme-Protocol'!$B$24)</x:f>
        <x:v>5.005999641</x:v>
      </x:c>
      <x:c r="AR178" s="46" t="n">
        <x:f>IF(OR(S178="",S178=0),"",T178/S178)</x:f>
        <x:v>1.0011999282</x:v>
      </x:c>
      <x:c r="AS178" s="46" t="str">
        <x:f>IF(OR(X178="",Y178=""),"",ABS(Y178-X178)*'Readme-Protocol'!$B$27)</x:f>
      </x:c>
      <x:c r="AT178" s="49" t="b">
        <x:f>AND(M178&gt;0,N178&gt;=0,O178&gt;0)</x:f>
        <x:v>1</x:v>
      </x:c>
      <x:c r="AU178" s="49" t="b">
        <x:f>AND(AT178,N178&gt;=M178)</x:f>
        <x:v>1</x:v>
      </x:c>
      <x:c r="AV178" s="49" t="b">
        <x:f>OR(S178=0,T178&gt;=S178)</x:f>
        <x:v>1</x:v>
      </x:c>
      <x:c r="AW178" s="49" t="b">
        <x:f>IF(I178="cache-semantics",OR(V178&lt;&gt;"uniform",ABS(Y178-W178/'Readme-Protocol'!$B$27)&lt;='Readme-Protocol'!$B$28),TRUE)</x:f>
        <x:v>1</x:v>
      </x:c>
      <x:c r="AX178" s="43" t="str">
        <x:f>IF(I178="cache-semantics",INT(AA178*'Readme-Protocol'!$B$32),"")</x:f>
      </x:c>
      <x:c r="AY178" s="49" t="b">
        <x:f>IF(I178="cache-semantics",AX178=AB178,TRUE)</x:f>
        <x:v>1</x:v>
      </x:c>
      <x:c r="AZ178" s="49" t="b">
        <x:f>IF(I178="cache-semantics",AX178=AE178,TRUE)</x:f>
        <x:v>1</x:v>
      </x:c>
      <x:c r="BA178" s="49" t="b">
        <x:f>IF(I178="cache-semantics",AC178&gt;=AX178,IF(I178="no-store-control",AC178=0,FALSE))</x:f>
        <x:v>1</x:v>
      </x:c>
      <x:c r="BB178" s="49" t="b">
        <x:f>IF(I178="cache-semantics",AG178&gt;=AX178,IF(I178="no-store-control",AG178=0,FALSE))</x:f>
        <x:v>1</x:v>
      </x:c>
      <x:c r="BC178" s="49" t="b">
        <x:f>AND(BA178,BB178)</x:f>
        <x:v>1</x:v>
      </x:c>
      <x:c r="BD178" s="49" t="b">
        <x:f>IF(I178="no-store-control",AND(AC178=0,AG178=0),TRUE)</x:f>
        <x:v>1</x:v>
      </x:c>
      <x:c r="BE178" s="49" t="b">
        <x:f>IF(I178="no-store-control",AK178=0,TRUE)</x:f>
        <x:v>1</x:v>
      </x:c>
      <x:c r="BF178" s="49" t="b">
        <x:f>IF(I178="cache-semantics",AN178=1,TRUE)</x:f>
        <x:v>1</x:v>
      </x:c>
      <x:c r="BG178" s="49" t="b">
        <x:f>IF(I178="cache-semantics",AND(AU178,AV178,Q178,AW178,BC178,BF178),IF(I178="no-store-control",AND(AU178,AV178,Q178,BD178,BE178),FALSE))</x:f>
        <x:v>1</x:v>
      </x:c>
      <x:c r="BH178" s="49" t="b">
        <x:f>AND(R178,AT178=P178,AU178=L178,AV178=U178,AY178,AZ178,IF(I178="cache-semantics",AND(AW178=Z178,AND(BA178=AD178,BB178=AH178,BC178=AI178),BF178=AO178),IF(I178="no-store-control",AND(AND(BA178=AD178,BB178=AH178,BC178=AI178),BD178=AJ178,BE178=AL178),FALSE)),BG178=AP178)</x:f>
        <x:v>1</x:v>
      </x:c>
      <x:c r="BI178" s="49" t="b">
        <x:f>AND(J178,K178,BG178)</x:f>
        <x:v>0</x:v>
      </x:c>
    </x:row>
    <x:row r="179">
      <x:c r="A179" s="34" t="str">
        <x:v>article1-unified-v4-2-fb3f101b-20260903-000401-default-f03-p6-nostore</x:v>
      </x:c>
      <x:c r="B179" s="34" t="str">
        <x:v>default</x:v>
      </x:c>
      <x:c r="C179" s="34" t="str">
        <x:v>nostore</x:v>
      </x:c>
      <x:c r="D179" s="36" t="n">
        <x:v>3</x:v>
      </x:c>
      <x:c r="E179" s="36" t="n">
        <x:v>3</x:v>
      </x:c>
      <x:c r="F179" s="36" t="n">
        <x:v>6</x:v>
      </x:c>
      <x:c r="G179" s="36" t="n">
        <x:v>4</x:v>
      </x:c>
      <x:c r="H179" s="34" t="str">
        <x:v>redeploy</x:v>
      </x:c>
      <x:c r="I179" s="34" t="str">
        <x:v>no-store-control</x:v>
      </x:c>
      <x:c r="J179" s="45" t="b">
        <x:v>1</x:v>
      </x:c>
      <x:c r="K179" s="45" t="b">
        <x:v>0</x:v>
      </x:c>
      <x:c r="L179" s="45" t="b">
        <x:v>1</x:v>
      </x:c>
      <x:c r="M179" s="43" t="n">
        <x:v>400000</x:v>
      </x:c>
      <x:c r="N179" s="43" t="n">
        <x:v>529594112</x:v>
      </x:c>
      <x:c r="O179" s="43" t="n">
        <x:v>105784836.63764673</x:v>
      </x:c>
      <x:c r="P179" s="45" t="b">
        <x:v>1</x:v>
      </x:c>
      <x:c r="Q179" s="45" t="b">
        <x:v>1</x:v>
      </x:c>
      <x:c r="R179" s="45" t="b">
        <x:v>1</x:v>
      </x:c>
      <x:c r="S179" s="43" t="n">
        <x:v>5000000000</x:v>
      </x:c>
      <x:c r="T179" s="43" t="n">
        <x:v>5006332938</x:v>
      </x:c>
      <x:c r="U179" s="45" t="b">
        <x:v>1</x:v>
      </x:c>
      <x:c r="V179" s="34" t="str">
        <x:v>uniform</x:v>
      </x:c>
      <x:c r="W179" s="42" t="n">
        <x:v>95</x:v>
      </x:c>
      <x:c r="X179" s="48"/>
      <x:c r="Y179" s="48"/>
      <x:c r="Z179" s="49"/>
      <x:c r="AA179" s="43" t="n">
        <x:v>10000</x:v>
      </x:c>
      <x:c r="AB179" s="43"/>
      <x:c r="AC179" s="43" t="n">
        <x:v>0</x:v>
      </x:c>
      <x:c r="AD179" s="45" t="b">
        <x:v>1</x:v>
      </x:c>
      <x:c r="AE179" s="43"/>
      <x:c r="AF179" s="43" t="n">
        <x:v>0</x:v>
      </x:c>
      <x:c r="AG179" s="43" t="n">
        <x:v>0</x:v>
      </x:c>
      <x:c r="AH179" s="45" t="b">
        <x:v>1</x:v>
      </x:c>
      <x:c r="AI179" s="45" t="b">
        <x:v>1</x:v>
      </x:c>
      <x:c r="AJ179" s="45" t="b">
        <x:v>1</x:v>
      </x:c>
      <x:c r="AK179" s="48" t="n">
        <x:v>0</x:v>
      </x:c>
      <x:c r="AL179" s="45" t="b">
        <x:v>1</x:v>
      </x:c>
      <x:c r="AM179" s="45" t="b">
        <x:v>0</x:v>
      </x:c>
      <x:c r="AN179" s="36" t="n">
        <x:v>16</x:v>
      </x:c>
      <x:c r="AO179" s="49"/>
      <x:c r="AP179" s="45" t="b">
        <x:v>1</x:v>
      </x:c>
      <x:c r="AQ179" s="46" t="n">
        <x:f>IF(T179="","",T179/'Readme-Protocol'!$B$24)</x:f>
        <x:v>5.006332938</x:v>
      </x:c>
      <x:c r="AR179" s="46" t="n">
        <x:f>IF(OR(S179="",S179=0),"",T179/S179)</x:f>
        <x:v>1.0012665876</x:v>
      </x:c>
      <x:c r="AS179" s="46" t="str">
        <x:f>IF(OR(X179="",Y179=""),"",ABS(Y179-X179)*'Readme-Protocol'!$B$27)</x:f>
      </x:c>
      <x:c r="AT179" s="49" t="b">
        <x:f>AND(M179&gt;0,N179&gt;=0,O179&gt;0)</x:f>
        <x:v>1</x:v>
      </x:c>
      <x:c r="AU179" s="49" t="b">
        <x:f>AND(AT179,N179&gt;=M179)</x:f>
        <x:v>1</x:v>
      </x:c>
      <x:c r="AV179" s="49" t="b">
        <x:f>OR(S179=0,T179&gt;=S179)</x:f>
        <x:v>1</x:v>
      </x:c>
      <x:c r="AW179" s="49" t="b">
        <x:f>IF(I179="cache-semantics",OR(V179&lt;&gt;"uniform",ABS(Y179-W179/'Readme-Protocol'!$B$27)&lt;='Readme-Protocol'!$B$28),TRUE)</x:f>
        <x:v>1</x:v>
      </x:c>
      <x:c r="AX179" s="43" t="str">
        <x:f>IF(I179="cache-semantics",INT(AA179*'Readme-Protocol'!$B$32),"")</x:f>
      </x:c>
      <x:c r="AY179" s="49" t="b">
        <x:f>IF(I179="cache-semantics",AX179=AB179,TRUE)</x:f>
        <x:v>1</x:v>
      </x:c>
      <x:c r="AZ179" s="49" t="b">
        <x:f>IF(I179="cache-semantics",AX179=AE179,TRUE)</x:f>
        <x:v>1</x:v>
      </x:c>
      <x:c r="BA179" s="49" t="b">
        <x:f>IF(I179="cache-semantics",AC179&gt;=AX179,IF(I179="no-store-control",AC179=0,FALSE))</x:f>
        <x:v>1</x:v>
      </x:c>
      <x:c r="BB179" s="49" t="b">
        <x:f>IF(I179="cache-semantics",AG179&gt;=AX179,IF(I179="no-store-control",AG179=0,FALSE))</x:f>
        <x:v>1</x:v>
      </x:c>
      <x:c r="BC179" s="49" t="b">
        <x:f>AND(BA179,BB179)</x:f>
        <x:v>1</x:v>
      </x:c>
      <x:c r="BD179" s="49" t="b">
        <x:f>IF(I179="no-store-control",AND(AC179=0,AG179=0),TRUE)</x:f>
        <x:v>1</x:v>
      </x:c>
      <x:c r="BE179" s="49" t="b">
        <x:f>IF(I179="no-store-control",AK179=0,TRUE)</x:f>
        <x:v>1</x:v>
      </x:c>
      <x:c r="BF179" s="49" t="b">
        <x:f>IF(I179="cache-semantics",AN179=1,TRUE)</x:f>
        <x:v>1</x:v>
      </x:c>
      <x:c r="BG179" s="49" t="b">
        <x:f>IF(I179="cache-semantics",AND(AU179,AV179,Q179,AW179,BC179,BF179),IF(I179="no-store-control",AND(AU179,AV179,Q179,BD179,BE179),FALSE))</x:f>
        <x:v>1</x:v>
      </x:c>
      <x:c r="BH179" s="49" t="b">
        <x:f>AND(R179,AT179=P179,AU179=L179,AV179=U179,AY179,AZ179,IF(I179="cache-semantics",AND(AW179=Z179,AND(BA179=AD179,BB179=AH179,BC179=AI179),BF179=AO179),IF(I179="no-store-control",AND(AND(BA179=AD179,BB179=AH179,BC179=AI179),BD179=AJ179,BE179=AL179),FALSE)),BG179=AP179)</x:f>
        <x:v>1</x:v>
      </x:c>
      <x:c r="BI179" s="49" t="b">
        <x:f>AND(J179,K179,BG179)</x:f>
        <x:v>0</x:v>
      </x:c>
    </x:row>
    <x:row r="180">
      <x:c r="A180" s="34" t="str">
        <x:v>article1-unified-v4-2-fb3f101b-20260903-000401-default-f03-p6-nostore</x:v>
      </x:c>
      <x:c r="B180" s="34" t="str">
        <x:v>default</x:v>
      </x:c>
      <x:c r="C180" s="34" t="str">
        <x:v>nostore</x:v>
      </x:c>
      <x:c r="D180" s="36" t="n">
        <x:v>3</x:v>
      </x:c>
      <x:c r="E180" s="36" t="n">
        <x:v>3</x:v>
      </x:c>
      <x:c r="F180" s="36" t="n">
        <x:v>6</x:v>
      </x:c>
      <x:c r="G180" s="36" t="n">
        <x:v>5</x:v>
      </x:c>
      <x:c r="H180" s="34" t="str">
        <x:v>initial</x:v>
      </x:c>
      <x:c r="I180" s="34" t="str">
        <x:v>no-store-control</x:v>
      </x:c>
      <x:c r="J180" s="45" t="b">
        <x:v>1</x:v>
      </x:c>
      <x:c r="K180" s="45" t="b">
        <x:v>0</x:v>
      </x:c>
      <x:c r="L180" s="45" t="b">
        <x:v>1</x:v>
      </x:c>
      <x:c r="M180" s="43" t="n">
        <x:v>400000</x:v>
      </x:c>
      <x:c r="N180" s="43" t="n">
        <x:v>531565056</x:v>
      </x:c>
      <x:c r="O180" s="43" t="n">
        <x:v>106192411.83356084</x:v>
      </x:c>
      <x:c r="P180" s="45" t="b">
        <x:v>1</x:v>
      </x:c>
      <x:c r="Q180" s="45" t="b">
        <x:v>1</x:v>
      </x:c>
      <x:c r="R180" s="45" t="b">
        <x:v>1</x:v>
      </x:c>
      <x:c r="S180" s="43" t="n">
        <x:v>5000000000</x:v>
      </x:c>
      <x:c r="T180" s="43" t="n">
        <x:v>5005678342</x:v>
      </x:c>
      <x:c r="U180" s="45" t="b">
        <x:v>1</x:v>
      </x:c>
      <x:c r="V180" s="34" t="str">
        <x:v>uniform</x:v>
      </x:c>
      <x:c r="W180" s="42" t="n">
        <x:v>95</x:v>
      </x:c>
      <x:c r="X180" s="48"/>
      <x:c r="Y180" s="48"/>
      <x:c r="Z180" s="49"/>
      <x:c r="AA180" s="43" t="n">
        <x:v>10000</x:v>
      </x:c>
      <x:c r="AB180" s="43"/>
      <x:c r="AC180" s="43" t="n">
        <x:v>0</x:v>
      </x:c>
      <x:c r="AD180" s="45" t="b">
        <x:v>1</x:v>
      </x:c>
      <x:c r="AE180" s="43"/>
      <x:c r="AF180" s="43" t="n">
        <x:v>0</x:v>
      </x:c>
      <x:c r="AG180" s="43" t="n">
        <x:v>0</x:v>
      </x:c>
      <x:c r="AH180" s="45" t="b">
        <x:v>1</x:v>
      </x:c>
      <x:c r="AI180" s="45" t="b">
        <x:v>1</x:v>
      </x:c>
      <x:c r="AJ180" s="45" t="b">
        <x:v>1</x:v>
      </x:c>
      <x:c r="AK180" s="48" t="n">
        <x:v>0</x:v>
      </x:c>
      <x:c r="AL180" s="45" t="b">
        <x:v>1</x:v>
      </x:c>
      <x:c r="AM180" s="45" t="b">
        <x:v>0</x:v>
      </x:c>
      <x:c r="AN180" s="36" t="n">
        <x:v>16</x:v>
      </x:c>
      <x:c r="AO180" s="49"/>
      <x:c r="AP180" s="45" t="b">
        <x:v>1</x:v>
      </x:c>
      <x:c r="AQ180" s="46" t="n">
        <x:f>IF(T180="","",T180/'Readme-Protocol'!$B$24)</x:f>
        <x:v>5.005678342</x:v>
      </x:c>
      <x:c r="AR180" s="46" t="n">
        <x:f>IF(OR(S180="",S180=0),"",T180/S180)</x:f>
        <x:v>1.0011356684</x:v>
      </x:c>
      <x:c r="AS180" s="46" t="str">
        <x:f>IF(OR(X180="",Y180=""),"",ABS(Y180-X180)*'Readme-Protocol'!$B$27)</x:f>
      </x:c>
      <x:c r="AT180" s="49" t="b">
        <x:f>AND(M180&gt;0,N180&gt;=0,O180&gt;0)</x:f>
        <x:v>1</x:v>
      </x:c>
      <x:c r="AU180" s="49" t="b">
        <x:f>AND(AT180,N180&gt;=M180)</x:f>
        <x:v>1</x:v>
      </x:c>
      <x:c r="AV180" s="49" t="b">
        <x:f>OR(S180=0,T180&gt;=S180)</x:f>
        <x:v>1</x:v>
      </x:c>
      <x:c r="AW180" s="49" t="b">
        <x:f>IF(I180="cache-semantics",OR(V180&lt;&gt;"uniform",ABS(Y180-W180/'Readme-Protocol'!$B$27)&lt;='Readme-Protocol'!$B$28),TRUE)</x:f>
        <x:v>1</x:v>
      </x:c>
      <x:c r="AX180" s="43" t="str">
        <x:f>IF(I180="cache-semantics",INT(AA180*'Readme-Protocol'!$B$32),"")</x:f>
      </x:c>
      <x:c r="AY180" s="49" t="b">
        <x:f>IF(I180="cache-semantics",AX180=AB180,TRUE)</x:f>
        <x:v>1</x:v>
      </x:c>
      <x:c r="AZ180" s="49" t="b">
        <x:f>IF(I180="cache-semantics",AX180=AE180,TRUE)</x:f>
        <x:v>1</x:v>
      </x:c>
      <x:c r="BA180" s="49" t="b">
        <x:f>IF(I180="cache-semantics",AC180&gt;=AX180,IF(I180="no-store-control",AC180=0,FALSE))</x:f>
        <x:v>1</x:v>
      </x:c>
      <x:c r="BB180" s="49" t="b">
        <x:f>IF(I180="cache-semantics",AG180&gt;=AX180,IF(I180="no-store-control",AG180=0,FALSE))</x:f>
        <x:v>1</x:v>
      </x:c>
      <x:c r="BC180" s="49" t="b">
        <x:f>AND(BA180,BB180)</x:f>
        <x:v>1</x:v>
      </x:c>
      <x:c r="BD180" s="49" t="b">
        <x:f>IF(I180="no-store-control",AND(AC180=0,AG180=0),TRUE)</x:f>
        <x:v>1</x:v>
      </x:c>
      <x:c r="BE180" s="49" t="b">
        <x:f>IF(I180="no-store-control",AK180=0,TRUE)</x:f>
        <x:v>1</x:v>
      </x:c>
      <x:c r="BF180" s="49" t="b">
        <x:f>IF(I180="cache-semantics",AN180=1,TRUE)</x:f>
        <x:v>1</x:v>
      </x:c>
      <x:c r="BG180" s="49" t="b">
        <x:f>IF(I180="cache-semantics",AND(AU180,AV180,Q180,AW180,BC180,BF180),IF(I180="no-store-control",AND(AU180,AV180,Q180,BD180,BE180),FALSE))</x:f>
        <x:v>1</x:v>
      </x:c>
      <x:c r="BH180" s="49" t="b">
        <x:f>AND(R180,AT180=P180,AU180=L180,AV180=U180,AY180,AZ180,IF(I180="cache-semantics",AND(AW180=Z180,AND(BA180=AD180,BB180=AH180,BC180=AI180),BF180=AO180),IF(I180="no-store-control",AND(AND(BA180=AD180,BB180=AH180,BC180=AI180),BD180=AJ180,BE180=AL180),FALSE)),BG180=AP180)</x:f>
        <x:v>1</x:v>
      </x:c>
      <x:c r="BI180" s="49" t="b">
        <x:f>AND(J180,K180,BG180)</x:f>
        <x:v>0</x:v>
      </x:c>
    </x:row>
    <x:row r="181">
      <x:c r="A181" s="34" t="str">
        <x:v>article1-unified-v4-2-fb3f101b-20260903-000401-default-f03-p6-nostore</x:v>
      </x:c>
      <x:c r="B181" s="34" t="str">
        <x:v>default</x:v>
      </x:c>
      <x:c r="C181" s="34" t="str">
        <x:v>nostore</x:v>
      </x:c>
      <x:c r="D181" s="36" t="n">
        <x:v>3</x:v>
      </x:c>
      <x:c r="E181" s="36" t="n">
        <x:v>3</x:v>
      </x:c>
      <x:c r="F181" s="36" t="n">
        <x:v>6</x:v>
      </x:c>
      <x:c r="G181" s="36" t="n">
        <x:v>5</x:v>
      </x:c>
      <x:c r="H181" s="34" t="str">
        <x:v>redeploy</x:v>
      </x:c>
      <x:c r="I181" s="34" t="str">
        <x:v>no-store-control</x:v>
      </x:c>
      <x:c r="J181" s="45" t="b">
        <x:v>1</x:v>
      </x:c>
      <x:c r="K181" s="45" t="b">
        <x:v>0</x:v>
      </x:c>
      <x:c r="L181" s="45" t="b">
        <x:v>1</x:v>
      </x:c>
      <x:c r="M181" s="43" t="n">
        <x:v>400000</x:v>
      </x:c>
      <x:c r="N181" s="43" t="n">
        <x:v>519049216</x:v>
      </x:c>
      <x:c r="O181" s="43" t="n">
        <x:v>103578828.41805625</x:v>
      </x:c>
      <x:c r="P181" s="45" t="b">
        <x:v>1</x:v>
      </x:c>
      <x:c r="Q181" s="45" t="b">
        <x:v>1</x:v>
      </x:c>
      <x:c r="R181" s="45" t="b">
        <x:v>1</x:v>
      </x:c>
      <x:c r="S181" s="43" t="n">
        <x:v>5000000000</x:v>
      </x:c>
      <x:c r="T181" s="43" t="n">
        <x:v>5011151641</x:v>
      </x:c>
      <x:c r="U181" s="45" t="b">
        <x:v>1</x:v>
      </x:c>
      <x:c r="V181" s="34" t="str">
        <x:v>uniform</x:v>
      </x:c>
      <x:c r="W181" s="42" t="n">
        <x:v>95</x:v>
      </x:c>
      <x:c r="X181" s="48"/>
      <x:c r="Y181" s="48"/>
      <x:c r="Z181" s="49"/>
      <x:c r="AA181" s="43" t="n">
        <x:v>10000</x:v>
      </x:c>
      <x:c r="AB181" s="43"/>
      <x:c r="AC181" s="43" t="n">
        <x:v>0</x:v>
      </x:c>
      <x:c r="AD181" s="45" t="b">
        <x:v>1</x:v>
      </x:c>
      <x:c r="AE181" s="43"/>
      <x:c r="AF181" s="43" t="n">
        <x:v>0</x:v>
      </x:c>
      <x:c r="AG181" s="43" t="n">
        <x:v>0</x:v>
      </x:c>
      <x:c r="AH181" s="45" t="b">
        <x:v>1</x:v>
      </x:c>
      <x:c r="AI181" s="45" t="b">
        <x:v>1</x:v>
      </x:c>
      <x:c r="AJ181" s="45" t="b">
        <x:v>1</x:v>
      </x:c>
      <x:c r="AK181" s="48" t="n">
        <x:v>0</x:v>
      </x:c>
      <x:c r="AL181" s="45" t="b">
        <x:v>1</x:v>
      </x:c>
      <x:c r="AM181" s="45" t="b">
        <x:v>0</x:v>
      </x:c>
      <x:c r="AN181" s="36" t="n">
        <x:v>16</x:v>
      </x:c>
      <x:c r="AO181" s="49"/>
      <x:c r="AP181" s="45" t="b">
        <x:v>1</x:v>
      </x:c>
      <x:c r="AQ181" s="46" t="n">
        <x:f>IF(T181="","",T181/'Readme-Protocol'!$B$24)</x:f>
        <x:v>5.011151641</x:v>
      </x:c>
      <x:c r="AR181" s="46" t="n">
        <x:f>IF(OR(S181="",S181=0),"",T181/S181)</x:f>
        <x:v>1.0022303282</x:v>
      </x:c>
      <x:c r="AS181" s="46" t="str">
        <x:f>IF(OR(X181="",Y181=""),"",ABS(Y181-X181)*'Readme-Protocol'!$B$27)</x:f>
      </x:c>
      <x:c r="AT181" s="49" t="b">
        <x:f>AND(M181&gt;0,N181&gt;=0,O181&gt;0)</x:f>
        <x:v>1</x:v>
      </x:c>
      <x:c r="AU181" s="49" t="b">
        <x:f>AND(AT181,N181&gt;=M181)</x:f>
        <x:v>1</x:v>
      </x:c>
      <x:c r="AV181" s="49" t="b">
        <x:f>OR(S181=0,T181&gt;=S181)</x:f>
        <x:v>1</x:v>
      </x:c>
      <x:c r="AW181" s="49" t="b">
        <x:f>IF(I181="cache-semantics",OR(V181&lt;&gt;"uniform",ABS(Y181-W181/'Readme-Protocol'!$B$27)&lt;='Readme-Protocol'!$B$28),TRUE)</x:f>
        <x:v>1</x:v>
      </x:c>
      <x:c r="AX181" s="43" t="str">
        <x:f>IF(I181="cache-semantics",INT(AA181*'Readme-Protocol'!$B$32),"")</x:f>
      </x:c>
      <x:c r="AY181" s="49" t="b">
        <x:f>IF(I181="cache-semantics",AX181=AB181,TRUE)</x:f>
        <x:v>1</x:v>
      </x:c>
      <x:c r="AZ181" s="49" t="b">
        <x:f>IF(I181="cache-semantics",AX181=AE181,TRUE)</x:f>
        <x:v>1</x:v>
      </x:c>
      <x:c r="BA181" s="49" t="b">
        <x:f>IF(I181="cache-semantics",AC181&gt;=AX181,IF(I181="no-store-control",AC181=0,FALSE))</x:f>
        <x:v>1</x:v>
      </x:c>
      <x:c r="BB181" s="49" t="b">
        <x:f>IF(I181="cache-semantics",AG181&gt;=AX181,IF(I181="no-store-control",AG181=0,FALSE))</x:f>
        <x:v>1</x:v>
      </x:c>
      <x:c r="BC181" s="49" t="b">
        <x:f>AND(BA181,BB181)</x:f>
        <x:v>1</x:v>
      </x:c>
      <x:c r="BD181" s="49" t="b">
        <x:f>IF(I181="no-store-control",AND(AC181=0,AG181=0),TRUE)</x:f>
        <x:v>1</x:v>
      </x:c>
      <x:c r="BE181" s="49" t="b">
        <x:f>IF(I181="no-store-control",AK181=0,TRUE)</x:f>
        <x:v>1</x:v>
      </x:c>
      <x:c r="BF181" s="49" t="b">
        <x:f>IF(I181="cache-semantics",AN181=1,TRUE)</x:f>
        <x:v>1</x:v>
      </x:c>
      <x:c r="BG181" s="49" t="b">
        <x:f>IF(I181="cache-semantics",AND(AU181,AV181,Q181,AW181,BC181,BF181),IF(I181="no-store-control",AND(AU181,AV181,Q181,BD181,BE181),FALSE))</x:f>
        <x:v>1</x:v>
      </x:c>
      <x:c r="BH181" s="49" t="b">
        <x:f>AND(R181,AT181=P181,AU181=L181,AV181=U181,AY181,AZ181,IF(I181="cache-semantics",AND(AW181=Z181,AND(BA181=AD181,BB181=AH181,BC181=AI181),BF181=AO181),IF(I181="no-store-control",AND(AND(BA181=AD181,BB181=AH181,BC181=AI181),BD181=AJ181,BE181=AL181),FALSE)),BG181=AP181)</x:f>
        <x:v>1</x:v>
      </x:c>
      <x:c r="BI181" s="49" t="b">
        <x:f>AND(J181,K181,BG181)</x:f>
        <x:v>0</x:v>
      </x:c>
    </x:row>
    <x:row r="182">
      <x:c r="A182" s="34" t="str">
        <x:v>article1-unified-v4-2-fb3f101b-20260903-000401-default-f04-p1-jcs4</x:v>
      </x:c>
      <x:c r="B182" s="34" t="str">
        <x:v>default</x:v>
      </x:c>
      <x:c r="C182" s="34" t="str">
        <x:v>jcs4</x:v>
      </x:c>
      <x:c r="D182" s="36" t="n">
        <x:v>4</x:v>
      </x:c>
      <x:c r="E182" s="36" t="n">
        <x:v>4</x:v>
      </x:c>
      <x:c r="F182" s="36" t="n">
        <x:v>1</x:v>
      </x:c>
      <x:c r="G182" s="36" t="n">
        <x:v>1</x:v>
      </x:c>
      <x:c r="H182" s="34" t="str">
        <x:v>initial</x:v>
      </x:c>
      <x:c r="I182" s="34" t="str">
        <x:v>cache-semantics</x:v>
      </x:c>
      <x:c r="J182" s="45" t="b">
        <x:v>1</x:v>
      </x:c>
      <x:c r="K182" s="45" t="b">
        <x:v>1</x:v>
      </x:c>
      <x:c r="L182" s="45" t="b">
        <x:v>1</x:v>
      </x:c>
      <x:c r="M182" s="43" t="n">
        <x:v>400000</x:v>
      </x:c>
      <x:c r="N182" s="43" t="n">
        <x:v>5217536</x:v>
      </x:c>
      <x:c r="O182" s="43" t="n">
        <x:v>1043127.983130643</x:v>
      </x:c>
      <x:c r="P182" s="45" t="b">
        <x:v>1</x:v>
      </x:c>
      <x:c r="Q182" s="45" t="b">
        <x:v>1</x:v>
      </x:c>
      <x:c r="R182" s="45" t="b">
        <x:v>1</x:v>
      </x:c>
      <x:c r="S182" s="43" t="n">
        <x:v>5000000000</x:v>
      </x:c>
      <x:c r="T182" s="43" t="n">
        <x:v>5001817691</x:v>
      </x:c>
      <x:c r="U182" s="45" t="b">
        <x:v>1</x:v>
      </x:c>
      <x:c r="V182" s="34" t="str">
        <x:v>uniform</x:v>
      </x:c>
      <x:c r="W182" s="42" t="n">
        <x:v>95</x:v>
      </x:c>
      <x:c r="X182" s="48" t="n">
        <x:v>0.95</x:v>
      </x:c>
      <x:c r="Y182" s="48" t="n">
        <x:v>0.9497345106962367</x:v>
      </x:c>
      <x:c r="Z182" s="45" t="b">
        <x:v>1</x:v>
      </x:c>
      <x:c r="AA182" s="43" t="n">
        <x:v>10000</x:v>
      </x:c>
      <x:c r="AB182" s="43" t="n">
        <x:v>9900</x:v>
      </x:c>
      <x:c r="AC182" s="43" t="n">
        <x:v>10000</x:v>
      </x:c>
      <x:c r="AD182" s="45" t="b">
        <x:v>1</x:v>
      </x:c>
      <x:c r="AE182" s="43" t="n">
        <x:v>9900</x:v>
      </x:c>
      <x:c r="AF182" s="43"/>
      <x:c r="AG182" s="43" t="n">
        <x:v>10000</x:v>
      </x:c>
      <x:c r="AH182" s="45" t="b">
        <x:v>1</x:v>
      </x:c>
      <x:c r="AI182" s="45" t="b">
        <x:v>1</x:v>
      </x:c>
      <x:c r="AJ182" s="49"/>
      <x:c r="AK182" s="48" t="n">
        <x:v>0.9497345106962367</x:v>
      </x:c>
      <x:c r="AL182" s="49"/>
      <x:c r="AM182" s="49"/>
      <x:c r="AN182" s="36" t="n">
        <x:v>1</x:v>
      </x:c>
      <x:c r="AO182" s="45" t="b">
        <x:v>1</x:v>
      </x:c>
      <x:c r="AP182" s="45" t="b">
        <x:v>1</x:v>
      </x:c>
      <x:c r="AQ182" s="46" t="n">
        <x:f>IF(T182="","",T182/'Readme-Protocol'!$B$24)</x:f>
        <x:v>5.001817691</x:v>
      </x:c>
      <x:c r="AR182" s="46" t="n">
        <x:f>IF(OR(S182="",S182=0),"",T182/S182)</x:f>
        <x:v>1.0003635382</x:v>
      </x:c>
      <x:c r="AS182" s="46" t="n">
        <x:f>IF(OR(X182="",Y182=""),"",ABS(Y182-X182)*'Readme-Protocol'!$B$27)</x:f>
        <x:v>0.026548930376324442</x:v>
      </x:c>
      <x:c r="AT182" s="49" t="b">
        <x:f>AND(M182&gt;0,N182&gt;=0,O182&gt;0)</x:f>
        <x:v>1</x:v>
      </x:c>
      <x:c r="AU182" s="49" t="b">
        <x:f>AND(AT182,N182&gt;=M182)</x:f>
        <x:v>1</x:v>
      </x:c>
      <x:c r="AV182" s="49" t="b">
        <x:f>OR(S182=0,T182&gt;=S182)</x:f>
        <x:v>1</x:v>
      </x:c>
      <x:c r="AW182" s="49" t="b">
        <x:f>IF(I182="cache-semantics",OR(V182&lt;&gt;"uniform",ABS(Y182-W182/'Readme-Protocol'!$B$27)&lt;='Readme-Protocol'!$B$28),TRUE)</x:f>
        <x:v>1</x:v>
      </x:c>
      <x:c r="AX182" s="43" t="n">
        <x:f>IF(I182="cache-semantics",INT(AA182*'Readme-Protocol'!$B$32),"")</x:f>
        <x:v>9900</x:v>
      </x:c>
      <x:c r="AY182" s="49" t="b">
        <x:f>IF(I182="cache-semantics",AX182=AB182,TRUE)</x:f>
        <x:v>1</x:v>
      </x:c>
      <x:c r="AZ182" s="49" t="b">
        <x:f>IF(I182="cache-semantics",AX182=AE182,TRUE)</x:f>
        <x:v>1</x:v>
      </x:c>
      <x:c r="BA182" s="49" t="b">
        <x:f>IF(I182="cache-semantics",AC182&gt;=AX182,IF(I182="no-store-control",AC182=0,FALSE))</x:f>
        <x:v>1</x:v>
      </x:c>
      <x:c r="BB182" s="49" t="b">
        <x:f>IF(I182="cache-semantics",AG182&gt;=AX182,IF(I182="no-store-control",AG182=0,FALSE))</x:f>
        <x:v>1</x:v>
      </x:c>
      <x:c r="BC182" s="49" t="b">
        <x:f>AND(BA182,BB182)</x:f>
        <x:v>1</x:v>
      </x:c>
      <x:c r="BD182" s="49" t="b">
        <x:f>IF(I182="no-store-control",AND(AC182=0,AG182=0),TRUE)</x:f>
        <x:v>1</x:v>
      </x:c>
      <x:c r="BE182" s="49" t="b">
        <x:f>IF(I182="no-store-control",AK182=0,TRUE)</x:f>
        <x:v>1</x:v>
      </x:c>
      <x:c r="BF182" s="49" t="b">
        <x:f>IF(I182="cache-semantics",AN182=1,TRUE)</x:f>
        <x:v>1</x:v>
      </x:c>
      <x:c r="BG182" s="49" t="b">
        <x:f>IF(I182="cache-semantics",AND(AU182,AV182,Q182,AW182,BC182,BF182),IF(I182="no-store-control",AND(AU182,AV182,Q182,BD182,BE182),FALSE))</x:f>
        <x:v>1</x:v>
      </x:c>
      <x:c r="BH182" s="49" t="b">
        <x:f>AND(R182,AT182=P182,AU182=L182,AV182=U182,AY182,AZ182,IF(I182="cache-semantics",AND(AW182=Z182,AND(BA182=AD182,BB182=AH182,BC182=AI182),BF182=AO182),IF(I182="no-store-control",AND(AND(BA182=AD182,BB182=AH182,BC182=AI182),BD182=AJ182,BE182=AL182),FALSE)),BG182=AP182)</x:f>
        <x:v>1</x:v>
      </x:c>
      <x:c r="BI182" s="49" t="b">
        <x:f>AND(J182,K182,BG182)</x:f>
        <x:v>1</x:v>
      </x:c>
    </x:row>
    <x:row r="183">
      <x:c r="A183" s="34" t="str">
        <x:v>article1-unified-v4-2-fb3f101b-20260903-000401-default-f04-p1-jcs4</x:v>
      </x:c>
      <x:c r="B183" s="34" t="str">
        <x:v>default</x:v>
      </x:c>
      <x:c r="C183" s="34" t="str">
        <x:v>jcs4</x:v>
      </x:c>
      <x:c r="D183" s="36" t="n">
        <x:v>4</x:v>
      </x:c>
      <x:c r="E183" s="36" t="n">
        <x:v>4</x:v>
      </x:c>
      <x:c r="F183" s="36" t="n">
        <x:v>1</x:v>
      </x:c>
      <x:c r="G183" s="36" t="n">
        <x:v>1</x:v>
      </x:c>
      <x:c r="H183" s="34" t="str">
        <x:v>redeploy</x:v>
      </x:c>
      <x:c r="I183" s="34" t="str">
        <x:v>cache-semantics</x:v>
      </x:c>
      <x:c r="J183" s="45" t="b">
        <x:v>1</x:v>
      </x:c>
      <x:c r="K183" s="45" t="b">
        <x:v>1</x:v>
      </x:c>
      <x:c r="L183" s="45" t="b">
        <x:v>1</x:v>
      </x:c>
      <x:c r="M183" s="43" t="n">
        <x:v>400000</x:v>
      </x:c>
      <x:c r="N183" s="43" t="n">
        <x:v>4936704</x:v>
      </x:c>
      <x:c r="O183" s="43" t="n">
        <x:v>987124.1313862063</x:v>
      </x:c>
      <x:c r="P183" s="45" t="b">
        <x:v>1</x:v>
      </x:c>
      <x:c r="Q183" s="45" t="b">
        <x:v>1</x:v>
      </x:c>
      <x:c r="R183" s="45" t="b">
        <x:v>1</x:v>
      </x:c>
      <x:c r="S183" s="43" t="n">
        <x:v>5000000000</x:v>
      </x:c>
      <x:c r="T183" s="43" t="n">
        <x:v>5001097474</x:v>
      </x:c>
      <x:c r="U183" s="45" t="b">
        <x:v>1</x:v>
      </x:c>
      <x:c r="V183" s="34" t="str">
        <x:v>uniform</x:v>
      </x:c>
      <x:c r="W183" s="42" t="n">
        <x:v>95</x:v>
      </x:c>
      <x:c r="X183" s="48" t="n">
        <x:v>0.95</x:v>
      </x:c>
      <x:c r="Y183" s="48" t="n">
        <x:v>0.9497478479568554</x:v>
      </x:c>
      <x:c r="Z183" s="45" t="b">
        <x:v>1</x:v>
      </x:c>
      <x:c r="AA183" s="43" t="n">
        <x:v>10000</x:v>
      </x:c>
      <x:c r="AB183" s="43" t="n">
        <x:v>9900</x:v>
      </x:c>
      <x:c r="AC183" s="43" t="n">
        <x:v>10000</x:v>
      </x:c>
      <x:c r="AD183" s="45" t="b">
        <x:v>1</x:v>
      </x:c>
      <x:c r="AE183" s="43" t="n">
        <x:v>9900</x:v>
      </x:c>
      <x:c r="AF183" s="43"/>
      <x:c r="AG183" s="43" t="n">
        <x:v>10000</x:v>
      </x:c>
      <x:c r="AH183" s="45" t="b">
        <x:v>1</x:v>
      </x:c>
      <x:c r="AI183" s="45" t="b">
        <x:v>1</x:v>
      </x:c>
      <x:c r="AJ183" s="49"/>
      <x:c r="AK183" s="48" t="n">
        <x:v>0.9497478479568554</x:v>
      </x:c>
      <x:c r="AL183" s="49"/>
      <x:c r="AM183" s="49"/>
      <x:c r="AN183" s="36" t="n">
        <x:v>1</x:v>
      </x:c>
      <x:c r="AO183" s="45" t="b">
        <x:v>1</x:v>
      </x:c>
      <x:c r="AP183" s="45" t="b">
        <x:v>1</x:v>
      </x:c>
      <x:c r="AQ183" s="46" t="n">
        <x:f>IF(T183="","",T183/'Readme-Protocol'!$B$24)</x:f>
        <x:v>5.001097474</x:v>
      </x:c>
      <x:c r="AR183" s="46" t="n">
        <x:f>IF(OR(S183="",S183=0),"",T183/S183)</x:f>
        <x:v>1.0002194948</x:v>
      </x:c>
      <x:c r="AS183" s="46" t="n">
        <x:f>IF(OR(X183="",Y183=""),"",ABS(Y183-X183)*'Readme-Protocol'!$B$27)</x:f>
        <x:v>0.025215204314454898</x:v>
      </x:c>
      <x:c r="AT183" s="49" t="b">
        <x:f>AND(M183&gt;0,N183&gt;=0,O183&gt;0)</x:f>
        <x:v>1</x:v>
      </x:c>
      <x:c r="AU183" s="49" t="b">
        <x:f>AND(AT183,N183&gt;=M183)</x:f>
        <x:v>1</x:v>
      </x:c>
      <x:c r="AV183" s="49" t="b">
        <x:f>OR(S183=0,T183&gt;=S183)</x:f>
        <x:v>1</x:v>
      </x:c>
      <x:c r="AW183" s="49" t="b">
        <x:f>IF(I183="cache-semantics",OR(V183&lt;&gt;"uniform",ABS(Y183-W183/'Readme-Protocol'!$B$27)&lt;='Readme-Protocol'!$B$28),TRUE)</x:f>
        <x:v>1</x:v>
      </x:c>
      <x:c r="AX183" s="43" t="n">
        <x:f>IF(I183="cache-semantics",INT(AA183*'Readme-Protocol'!$B$32),"")</x:f>
        <x:v>9900</x:v>
      </x:c>
      <x:c r="AY183" s="49" t="b">
        <x:f>IF(I183="cache-semantics",AX183=AB183,TRUE)</x:f>
        <x:v>1</x:v>
      </x:c>
      <x:c r="AZ183" s="49" t="b">
        <x:f>IF(I183="cache-semantics",AX183=AE183,TRUE)</x:f>
        <x:v>1</x:v>
      </x:c>
      <x:c r="BA183" s="49" t="b">
        <x:f>IF(I183="cache-semantics",AC183&gt;=AX183,IF(I183="no-store-control",AC183=0,FALSE))</x:f>
        <x:v>1</x:v>
      </x:c>
      <x:c r="BB183" s="49" t="b">
        <x:f>IF(I183="cache-semantics",AG183&gt;=AX183,IF(I183="no-store-control",AG183=0,FALSE))</x:f>
        <x:v>1</x:v>
      </x:c>
      <x:c r="BC183" s="49" t="b">
        <x:f>AND(BA183,BB183)</x:f>
        <x:v>1</x:v>
      </x:c>
      <x:c r="BD183" s="49" t="b">
        <x:f>IF(I183="no-store-control",AND(AC183=0,AG183=0),TRUE)</x:f>
        <x:v>1</x:v>
      </x:c>
      <x:c r="BE183" s="49" t="b">
        <x:f>IF(I183="no-store-control",AK183=0,TRUE)</x:f>
        <x:v>1</x:v>
      </x:c>
      <x:c r="BF183" s="49" t="b">
        <x:f>IF(I183="cache-semantics",AN183=1,TRUE)</x:f>
        <x:v>1</x:v>
      </x:c>
      <x:c r="BG183" s="49" t="b">
        <x:f>IF(I183="cache-semantics",AND(AU183,AV183,Q183,AW183,BC183,BF183),IF(I183="no-store-control",AND(AU183,AV183,Q183,BD183,BE183),FALSE))</x:f>
        <x:v>1</x:v>
      </x:c>
      <x:c r="BH183" s="49" t="b">
        <x:f>AND(R183,AT183=P183,AU183=L183,AV183=U183,AY183,AZ183,IF(I183="cache-semantics",AND(AW183=Z183,AND(BA183=AD183,BB183=AH183,BC183=AI183),BF183=AO183),IF(I183="no-store-control",AND(AND(BA183=AD183,BB183=AH183,BC183=AI183),BD183=AJ183,BE183=AL183),FALSE)),BG183=AP183)</x:f>
        <x:v>1</x:v>
      </x:c>
      <x:c r="BI183" s="49" t="b">
        <x:f>AND(J183,K183,BG183)</x:f>
        <x:v>1</x:v>
      </x:c>
    </x:row>
    <x:row r="184">
      <x:c r="A184" s="34" t="str">
        <x:v>article1-unified-v4-2-fb3f101b-20260903-000401-default-f04-p1-jcs4</x:v>
      </x:c>
      <x:c r="B184" s="34" t="str">
        <x:v>default</x:v>
      </x:c>
      <x:c r="C184" s="34" t="str">
        <x:v>jcs4</x:v>
      </x:c>
      <x:c r="D184" s="36" t="n">
        <x:v>4</x:v>
      </x:c>
      <x:c r="E184" s="36" t="n">
        <x:v>4</x:v>
      </x:c>
      <x:c r="F184" s="36" t="n">
        <x:v>1</x:v>
      </x:c>
      <x:c r="G184" s="36" t="n">
        <x:v>2</x:v>
      </x:c>
      <x:c r="H184" s="34" t="str">
        <x:v>initial</x:v>
      </x:c>
      <x:c r="I184" s="34" t="str">
        <x:v>cache-semantics</x:v>
      </x:c>
      <x:c r="J184" s="45" t="b">
        <x:v>1</x:v>
      </x:c>
      <x:c r="K184" s="45" t="b">
        <x:v>1</x:v>
      </x:c>
      <x:c r="L184" s="45" t="b">
        <x:v>1</x:v>
      </x:c>
      <x:c r="M184" s="43" t="n">
        <x:v>400000</x:v>
      </x:c>
      <x:c r="N184" s="43" t="n">
        <x:v>5526272</x:v>
      </x:c>
      <x:c r="O184" s="43" t="n">
        <x:v>1104959.5671745613</x:v>
      </x:c>
      <x:c r="P184" s="45" t="b">
        <x:v>1</x:v>
      </x:c>
      <x:c r="Q184" s="45" t="b">
        <x:v>1</x:v>
      </x:c>
      <x:c r="R184" s="45" t="b">
        <x:v>1</x:v>
      </x:c>
      <x:c r="S184" s="43" t="n">
        <x:v>5000000000</x:v>
      </x:c>
      <x:c r="T184" s="43" t="n">
        <x:v>5001334134</x:v>
      </x:c>
      <x:c r="U184" s="45" t="b">
        <x:v>1</x:v>
      </x:c>
      <x:c r="V184" s="34" t="str">
        <x:v>uniform</x:v>
      </x:c>
      <x:c r="W184" s="42" t="n">
        <x:v>95</x:v>
      </x:c>
      <x:c r="X184" s="48" t="n">
        <x:v>0.95</x:v>
      </x:c>
      <x:c r="Y184" s="48" t="n">
        <x:v>0.9501685765738639</x:v>
      </x:c>
      <x:c r="Z184" s="45" t="b">
        <x:v>1</x:v>
      </x:c>
      <x:c r="AA184" s="43" t="n">
        <x:v>10000</x:v>
      </x:c>
      <x:c r="AB184" s="43" t="n">
        <x:v>9900</x:v>
      </x:c>
      <x:c r="AC184" s="43" t="n">
        <x:v>10000</x:v>
      </x:c>
      <x:c r="AD184" s="45" t="b">
        <x:v>1</x:v>
      </x:c>
      <x:c r="AE184" s="43" t="n">
        <x:v>9900</x:v>
      </x:c>
      <x:c r="AF184" s="43"/>
      <x:c r="AG184" s="43" t="n">
        <x:v>10000</x:v>
      </x:c>
      <x:c r="AH184" s="45" t="b">
        <x:v>1</x:v>
      </x:c>
      <x:c r="AI184" s="45" t="b">
        <x:v>1</x:v>
      </x:c>
      <x:c r="AJ184" s="49"/>
      <x:c r="AK184" s="48" t="n">
        <x:v>0.9501685765738639</x:v>
      </x:c>
      <x:c r="AL184" s="49"/>
      <x:c r="AM184" s="49"/>
      <x:c r="AN184" s="36" t="n">
        <x:v>1</x:v>
      </x:c>
      <x:c r="AO184" s="45" t="b">
        <x:v>1</x:v>
      </x:c>
      <x:c r="AP184" s="45" t="b">
        <x:v>1</x:v>
      </x:c>
      <x:c r="AQ184" s="46" t="n">
        <x:f>IF(T184="","",T184/'Readme-Protocol'!$B$24)</x:f>
        <x:v>5.001334134</x:v>
      </x:c>
      <x:c r="AR184" s="46" t="n">
        <x:f>IF(OR(S184="",S184=0),"",T184/S184)</x:f>
        <x:v>1.0002668268</x:v>
      </x:c>
      <x:c r="AS184" s="46" t="n">
        <x:f>IF(OR(X184="",Y184=""),"",ABS(Y184-X184)*'Readme-Protocol'!$B$27)</x:f>
        <x:v>0.01685765738639322</x:v>
      </x:c>
      <x:c r="AT184" s="49" t="b">
        <x:f>AND(M184&gt;0,N184&gt;=0,O184&gt;0)</x:f>
        <x:v>1</x:v>
      </x:c>
      <x:c r="AU184" s="49" t="b">
        <x:f>AND(AT184,N184&gt;=M184)</x:f>
        <x:v>1</x:v>
      </x:c>
      <x:c r="AV184" s="49" t="b">
        <x:f>OR(S184=0,T184&gt;=S184)</x:f>
        <x:v>1</x:v>
      </x:c>
      <x:c r="AW184" s="49" t="b">
        <x:f>IF(I184="cache-semantics",OR(V184&lt;&gt;"uniform",ABS(Y184-W184/'Readme-Protocol'!$B$27)&lt;='Readme-Protocol'!$B$28),TRUE)</x:f>
        <x:v>1</x:v>
      </x:c>
      <x:c r="AX184" s="43" t="n">
        <x:f>IF(I184="cache-semantics",INT(AA184*'Readme-Protocol'!$B$32),"")</x:f>
        <x:v>9900</x:v>
      </x:c>
      <x:c r="AY184" s="49" t="b">
        <x:f>IF(I184="cache-semantics",AX184=AB184,TRUE)</x:f>
        <x:v>1</x:v>
      </x:c>
      <x:c r="AZ184" s="49" t="b">
        <x:f>IF(I184="cache-semantics",AX184=AE184,TRUE)</x:f>
        <x:v>1</x:v>
      </x:c>
      <x:c r="BA184" s="49" t="b">
        <x:f>IF(I184="cache-semantics",AC184&gt;=AX184,IF(I184="no-store-control",AC184=0,FALSE))</x:f>
        <x:v>1</x:v>
      </x:c>
      <x:c r="BB184" s="49" t="b">
        <x:f>IF(I184="cache-semantics",AG184&gt;=AX184,IF(I184="no-store-control",AG184=0,FALSE))</x:f>
        <x:v>1</x:v>
      </x:c>
      <x:c r="BC184" s="49" t="b">
        <x:f>AND(BA184,BB184)</x:f>
        <x:v>1</x:v>
      </x:c>
      <x:c r="BD184" s="49" t="b">
        <x:f>IF(I184="no-store-control",AND(AC184=0,AG184=0),TRUE)</x:f>
        <x:v>1</x:v>
      </x:c>
      <x:c r="BE184" s="49" t="b">
        <x:f>IF(I184="no-store-control",AK184=0,TRUE)</x:f>
        <x:v>1</x:v>
      </x:c>
      <x:c r="BF184" s="49" t="b">
        <x:f>IF(I184="cache-semantics",AN184=1,TRUE)</x:f>
        <x:v>1</x:v>
      </x:c>
      <x:c r="BG184" s="49" t="b">
        <x:f>IF(I184="cache-semantics",AND(AU184,AV184,Q184,AW184,BC184,BF184),IF(I184="no-store-control",AND(AU184,AV184,Q184,BD184,BE184),FALSE))</x:f>
        <x:v>1</x:v>
      </x:c>
      <x:c r="BH184" s="49" t="b">
        <x:f>AND(R184,AT184=P184,AU184=L184,AV184=U184,AY184,AZ184,IF(I184="cache-semantics",AND(AW184=Z184,AND(BA184=AD184,BB184=AH184,BC184=AI184),BF184=AO184),IF(I184="no-store-control",AND(AND(BA184=AD184,BB184=AH184,BC184=AI184),BD184=AJ184,BE184=AL184),FALSE)),BG184=AP184)</x:f>
        <x:v>1</x:v>
      </x:c>
      <x:c r="BI184" s="49" t="b">
        <x:f>AND(J184,K184,BG184)</x:f>
        <x:v>1</x:v>
      </x:c>
    </x:row>
    <x:row r="185">
      <x:c r="A185" s="34" t="str">
        <x:v>article1-unified-v4-2-fb3f101b-20260903-000401-default-f04-p1-jcs4</x:v>
      </x:c>
      <x:c r="B185" s="34" t="str">
        <x:v>default</x:v>
      </x:c>
      <x:c r="C185" s="34" t="str">
        <x:v>jcs4</x:v>
      </x:c>
      <x:c r="D185" s="36" t="n">
        <x:v>4</x:v>
      </x:c>
      <x:c r="E185" s="36" t="n">
        <x:v>4</x:v>
      </x:c>
      <x:c r="F185" s="36" t="n">
        <x:v>1</x:v>
      </x:c>
      <x:c r="G185" s="36" t="n">
        <x:v>2</x:v>
      </x:c>
      <x:c r="H185" s="34" t="str">
        <x:v>redeploy</x:v>
      </x:c>
      <x:c r="I185" s="34" t="str">
        <x:v>cache-semantics</x:v>
      </x:c>
      <x:c r="J185" s="45" t="b">
        <x:v>1</x:v>
      </x:c>
      <x:c r="K185" s="45" t="b">
        <x:v>1</x:v>
      </x:c>
      <x:c r="L185" s="45" t="b">
        <x:v>1</x:v>
      </x:c>
      <x:c r="M185" s="43" t="n">
        <x:v>400000</x:v>
      </x:c>
      <x:c r="N185" s="43" t="n">
        <x:v>4689920</x:v>
      </x:c>
      <x:c r="O185" s="43" t="n">
        <x:v>937846.9786807208</x:v>
      </x:c>
      <x:c r="P185" s="45" t="b">
        <x:v>1</x:v>
      </x:c>
      <x:c r="Q185" s="45" t="b">
        <x:v>1</x:v>
      </x:c>
      <x:c r="R185" s="45" t="b">
        <x:v>1</x:v>
      </x:c>
      <x:c r="S185" s="43" t="n">
        <x:v>5000000000</x:v>
      </x:c>
      <x:c r="T185" s="43" t="n">
        <x:v>5000730510</x:v>
      </x:c>
      <x:c r="U185" s="45" t="b">
        <x:v>1</x:v>
      </x:c>
      <x:c r="V185" s="34" t="str">
        <x:v>uniform</x:v>
      </x:c>
      <x:c r="W185" s="42" t="n">
        <x:v>95</x:v>
      </x:c>
      <x:c r="X185" s="48" t="n">
        <x:v>0.95</x:v>
      </x:c>
      <x:c r="Y185" s="48" t="n">
        <x:v>0.9501769753002184</x:v>
      </x:c>
      <x:c r="Z185" s="45" t="b">
        <x:v>1</x:v>
      </x:c>
      <x:c r="AA185" s="43" t="n">
        <x:v>10000</x:v>
      </x:c>
      <x:c r="AB185" s="43" t="n">
        <x:v>9900</x:v>
      </x:c>
      <x:c r="AC185" s="43" t="n">
        <x:v>10000</x:v>
      </x:c>
      <x:c r="AD185" s="45" t="b">
        <x:v>1</x:v>
      </x:c>
      <x:c r="AE185" s="43" t="n">
        <x:v>9900</x:v>
      </x:c>
      <x:c r="AF185" s="43"/>
      <x:c r="AG185" s="43" t="n">
        <x:v>10000</x:v>
      </x:c>
      <x:c r="AH185" s="45" t="b">
        <x:v>1</x:v>
      </x:c>
      <x:c r="AI185" s="45" t="b">
        <x:v>1</x:v>
      </x:c>
      <x:c r="AJ185" s="49"/>
      <x:c r="AK185" s="48" t="n">
        <x:v>0.9501769753002184</x:v>
      </x:c>
      <x:c r="AL185" s="49"/>
      <x:c r="AM185" s="49"/>
      <x:c r="AN185" s="36" t="n">
        <x:v>1</x:v>
      </x:c>
      <x:c r="AO185" s="45" t="b">
        <x:v>1</x:v>
      </x:c>
      <x:c r="AP185" s="45" t="b">
        <x:v>1</x:v>
      </x:c>
      <x:c r="AQ185" s="46" t="n">
        <x:f>IF(T185="","",T185/'Readme-Protocol'!$B$24)</x:f>
        <x:v>5.00073051</x:v>
      </x:c>
      <x:c r="AR185" s="46" t="n">
        <x:f>IF(OR(S185="",S185=0),"",T185/S185)</x:f>
        <x:v>1.000146102</x:v>
      </x:c>
      <x:c r="AS185" s="46" t="n">
        <x:f>IF(OR(X185="",Y185=""),"",ABS(Y185-X185)*'Readme-Protocol'!$B$27)</x:f>
        <x:v>0.017697530021842933</x:v>
      </x:c>
      <x:c r="AT185" s="49" t="b">
        <x:f>AND(M185&gt;0,N185&gt;=0,O185&gt;0)</x:f>
        <x:v>1</x:v>
      </x:c>
      <x:c r="AU185" s="49" t="b">
        <x:f>AND(AT185,N185&gt;=M185)</x:f>
        <x:v>1</x:v>
      </x:c>
      <x:c r="AV185" s="49" t="b">
        <x:f>OR(S185=0,T185&gt;=S185)</x:f>
        <x:v>1</x:v>
      </x:c>
      <x:c r="AW185" s="49" t="b">
        <x:f>IF(I185="cache-semantics",OR(V185&lt;&gt;"uniform",ABS(Y185-W185/'Readme-Protocol'!$B$27)&lt;='Readme-Protocol'!$B$28),TRUE)</x:f>
        <x:v>1</x:v>
      </x:c>
      <x:c r="AX185" s="43" t="n">
        <x:f>IF(I185="cache-semantics",INT(AA185*'Readme-Protocol'!$B$32),"")</x:f>
        <x:v>9900</x:v>
      </x:c>
      <x:c r="AY185" s="49" t="b">
        <x:f>IF(I185="cache-semantics",AX185=AB185,TRUE)</x:f>
        <x:v>1</x:v>
      </x:c>
      <x:c r="AZ185" s="49" t="b">
        <x:f>IF(I185="cache-semantics",AX185=AE185,TRUE)</x:f>
        <x:v>1</x:v>
      </x:c>
      <x:c r="BA185" s="49" t="b">
        <x:f>IF(I185="cache-semantics",AC185&gt;=AX185,IF(I185="no-store-control",AC185=0,FALSE))</x:f>
        <x:v>1</x:v>
      </x:c>
      <x:c r="BB185" s="49" t="b">
        <x:f>IF(I185="cache-semantics",AG185&gt;=AX185,IF(I185="no-store-control",AG185=0,FALSE))</x:f>
        <x:v>1</x:v>
      </x:c>
      <x:c r="BC185" s="49" t="b">
        <x:f>AND(BA185,BB185)</x:f>
        <x:v>1</x:v>
      </x:c>
      <x:c r="BD185" s="49" t="b">
        <x:f>IF(I185="no-store-control",AND(AC185=0,AG185=0),TRUE)</x:f>
        <x:v>1</x:v>
      </x:c>
      <x:c r="BE185" s="49" t="b">
        <x:f>IF(I185="no-store-control",AK185=0,TRUE)</x:f>
        <x:v>1</x:v>
      </x:c>
      <x:c r="BF185" s="49" t="b">
        <x:f>IF(I185="cache-semantics",AN185=1,TRUE)</x:f>
        <x:v>1</x:v>
      </x:c>
      <x:c r="BG185" s="49" t="b">
        <x:f>IF(I185="cache-semantics",AND(AU185,AV185,Q185,AW185,BC185,BF185),IF(I185="no-store-control",AND(AU185,AV185,Q185,BD185,BE185),FALSE))</x:f>
        <x:v>1</x:v>
      </x:c>
      <x:c r="BH185" s="49" t="b">
        <x:f>AND(R185,AT185=P185,AU185=L185,AV185=U185,AY185,AZ185,IF(I185="cache-semantics",AND(AW185=Z185,AND(BA185=AD185,BB185=AH185,BC185=AI185),BF185=AO185),IF(I185="no-store-control",AND(AND(BA185=AD185,BB185=AH185,BC185=AI185),BD185=AJ185,BE185=AL185),FALSE)),BG185=AP185)</x:f>
        <x:v>1</x:v>
      </x:c>
      <x:c r="BI185" s="49" t="b">
        <x:f>AND(J185,K185,BG185)</x:f>
        <x:v>1</x:v>
      </x:c>
    </x:row>
    <x:row r="186">
      <x:c r="A186" s="34" t="str">
        <x:v>article1-unified-v4-2-fb3f101b-20260903-000401-default-f04-p1-jcs4</x:v>
      </x:c>
      <x:c r="B186" s="34" t="str">
        <x:v>default</x:v>
      </x:c>
      <x:c r="C186" s="34" t="str">
        <x:v>jcs4</x:v>
      </x:c>
      <x:c r="D186" s="36" t="n">
        <x:v>4</x:v>
      </x:c>
      <x:c r="E186" s="36" t="n">
        <x:v>4</x:v>
      </x:c>
      <x:c r="F186" s="36" t="n">
        <x:v>1</x:v>
      </x:c>
      <x:c r="G186" s="36" t="n">
        <x:v>3</x:v>
      </x:c>
      <x:c r="H186" s="34" t="str">
        <x:v>initial</x:v>
      </x:c>
      <x:c r="I186" s="34" t="str">
        <x:v>cache-semantics</x:v>
      </x:c>
      <x:c r="J186" s="45" t="b">
        <x:v>1</x:v>
      </x:c>
      <x:c r="K186" s="45" t="b">
        <x:v>1</x:v>
      </x:c>
      <x:c r="L186" s="45" t="b">
        <x:v>1</x:v>
      </x:c>
      <x:c r="M186" s="43" t="n">
        <x:v>400000</x:v>
      </x:c>
      <x:c r="N186" s="43" t="n">
        <x:v>5553664</x:v>
      </x:c>
      <x:c r="O186" s="43" t="n">
        <x:v>1110501.7017085701</x:v>
      </x:c>
      <x:c r="P186" s="45" t="b">
        <x:v>1</x:v>
      </x:c>
      <x:c r="Q186" s="45" t="b">
        <x:v>1</x:v>
      </x:c>
      <x:c r="R186" s="45" t="b">
        <x:v>1</x:v>
      </x:c>
      <x:c r="S186" s="43" t="n">
        <x:v>5000000000</x:v>
      </x:c>
      <x:c r="T186" s="43" t="n">
        <x:v>5001040513</x:v>
      </x:c>
      <x:c r="U186" s="45" t="b">
        <x:v>1</x:v>
      </x:c>
      <x:c r="V186" s="34" t="str">
        <x:v>uniform</x:v>
      </x:c>
      <x:c r="W186" s="42" t="n">
        <x:v>95</x:v>
      </x:c>
      <x:c r="X186" s="48" t="n">
        <x:v>0.95</x:v>
      </x:c>
      <x:c r="Y186" s="48" t="n">
        <x:v>0.9500353280284871</x:v>
      </x:c>
      <x:c r="Z186" s="45" t="b">
        <x:v>1</x:v>
      </x:c>
      <x:c r="AA186" s="43" t="n">
        <x:v>10000</x:v>
      </x:c>
      <x:c r="AB186" s="43" t="n">
        <x:v>9900</x:v>
      </x:c>
      <x:c r="AC186" s="43" t="n">
        <x:v>10000</x:v>
      </x:c>
      <x:c r="AD186" s="45" t="b">
        <x:v>1</x:v>
      </x:c>
      <x:c r="AE186" s="43" t="n">
        <x:v>9900</x:v>
      </x:c>
      <x:c r="AF186" s="43"/>
      <x:c r="AG186" s="43" t="n">
        <x:v>10000</x:v>
      </x:c>
      <x:c r="AH186" s="45" t="b">
        <x:v>1</x:v>
      </x:c>
      <x:c r="AI186" s="45" t="b">
        <x:v>1</x:v>
      </x:c>
      <x:c r="AJ186" s="49"/>
      <x:c r="AK186" s="48" t="n">
        <x:v>0.9500353280284871</x:v>
      </x:c>
      <x:c r="AL186" s="49"/>
      <x:c r="AM186" s="49"/>
      <x:c r="AN186" s="36" t="n">
        <x:v>1</x:v>
      </x:c>
      <x:c r="AO186" s="45" t="b">
        <x:v>1</x:v>
      </x:c>
      <x:c r="AP186" s="45" t="b">
        <x:v>1</x:v>
      </x:c>
      <x:c r="AQ186" s="46" t="n">
        <x:f>IF(T186="","",T186/'Readme-Protocol'!$B$24)</x:f>
        <x:v>5.001040513</x:v>
      </x:c>
      <x:c r="AR186" s="46" t="n">
        <x:f>IF(OR(S186="",S186=0),"",T186/S186)</x:f>
        <x:v>1.0002081026</x:v>
      </x:c>
      <x:c r="AS186" s="46" t="n">
        <x:f>IF(OR(X186="",Y186=""),"",ABS(Y186-X186)*'Readme-Protocol'!$B$27)</x:f>
        <x:v>0.0035328028487158214</x:v>
      </x:c>
      <x:c r="AT186" s="49" t="b">
        <x:f>AND(M186&gt;0,N186&gt;=0,O186&gt;0)</x:f>
        <x:v>1</x:v>
      </x:c>
      <x:c r="AU186" s="49" t="b">
        <x:f>AND(AT186,N186&gt;=M186)</x:f>
        <x:v>1</x:v>
      </x:c>
      <x:c r="AV186" s="49" t="b">
        <x:f>OR(S186=0,T186&gt;=S186)</x:f>
        <x:v>1</x:v>
      </x:c>
      <x:c r="AW186" s="49" t="b">
        <x:f>IF(I186="cache-semantics",OR(V186&lt;&gt;"uniform",ABS(Y186-W186/'Readme-Protocol'!$B$27)&lt;='Readme-Protocol'!$B$28),TRUE)</x:f>
        <x:v>1</x:v>
      </x:c>
      <x:c r="AX186" s="43" t="n">
        <x:f>IF(I186="cache-semantics",INT(AA186*'Readme-Protocol'!$B$32),"")</x:f>
        <x:v>9900</x:v>
      </x:c>
      <x:c r="AY186" s="49" t="b">
        <x:f>IF(I186="cache-semantics",AX186=AB186,TRUE)</x:f>
        <x:v>1</x:v>
      </x:c>
      <x:c r="AZ186" s="49" t="b">
        <x:f>IF(I186="cache-semantics",AX186=AE186,TRUE)</x:f>
        <x:v>1</x:v>
      </x:c>
      <x:c r="BA186" s="49" t="b">
        <x:f>IF(I186="cache-semantics",AC186&gt;=AX186,IF(I186="no-store-control",AC186=0,FALSE))</x:f>
        <x:v>1</x:v>
      </x:c>
      <x:c r="BB186" s="49" t="b">
        <x:f>IF(I186="cache-semantics",AG186&gt;=AX186,IF(I186="no-store-control",AG186=0,FALSE))</x:f>
        <x:v>1</x:v>
      </x:c>
      <x:c r="BC186" s="49" t="b">
        <x:f>AND(BA186,BB186)</x:f>
        <x:v>1</x:v>
      </x:c>
      <x:c r="BD186" s="49" t="b">
        <x:f>IF(I186="no-store-control",AND(AC186=0,AG186=0),TRUE)</x:f>
        <x:v>1</x:v>
      </x:c>
      <x:c r="BE186" s="49" t="b">
        <x:f>IF(I186="no-store-control",AK186=0,TRUE)</x:f>
        <x:v>1</x:v>
      </x:c>
      <x:c r="BF186" s="49" t="b">
        <x:f>IF(I186="cache-semantics",AN186=1,TRUE)</x:f>
        <x:v>1</x:v>
      </x:c>
      <x:c r="BG186" s="49" t="b">
        <x:f>IF(I186="cache-semantics",AND(AU186,AV186,Q186,AW186,BC186,BF186),IF(I186="no-store-control",AND(AU186,AV186,Q186,BD186,BE186),FALSE))</x:f>
        <x:v>1</x:v>
      </x:c>
      <x:c r="BH186" s="49" t="b">
        <x:f>AND(R186,AT186=P186,AU186=L186,AV186=U186,AY186,AZ186,IF(I186="cache-semantics",AND(AW186=Z186,AND(BA186=AD186,BB186=AH186,BC186=AI186),BF186=AO186),IF(I186="no-store-control",AND(AND(BA186=AD186,BB186=AH186,BC186=AI186),BD186=AJ186,BE186=AL186),FALSE)),BG186=AP186)</x:f>
        <x:v>1</x:v>
      </x:c>
      <x:c r="BI186" s="49" t="b">
        <x:f>AND(J186,K186,BG186)</x:f>
        <x:v>1</x:v>
      </x:c>
    </x:row>
    <x:row r="187">
      <x:c r="A187" s="34" t="str">
        <x:v>article1-unified-v4-2-fb3f101b-20260903-000401-default-f04-p1-jcs4</x:v>
      </x:c>
      <x:c r="B187" s="34" t="str">
        <x:v>default</x:v>
      </x:c>
      <x:c r="C187" s="34" t="str">
        <x:v>jcs4</x:v>
      </x:c>
      <x:c r="D187" s="36" t="n">
        <x:v>4</x:v>
      </x:c>
      <x:c r="E187" s="36" t="n">
        <x:v>4</x:v>
      </x:c>
      <x:c r="F187" s="36" t="n">
        <x:v>1</x:v>
      </x:c>
      <x:c r="G187" s="36" t="n">
        <x:v>3</x:v>
      </x:c>
      <x:c r="H187" s="34" t="str">
        <x:v>redeploy</x:v>
      </x:c>
      <x:c r="I187" s="34" t="str">
        <x:v>cache-semantics</x:v>
      </x:c>
      <x:c r="J187" s="45" t="b">
        <x:v>1</x:v>
      </x:c>
      <x:c r="K187" s="45" t="b">
        <x:v>1</x:v>
      </x:c>
      <x:c r="L187" s="45" t="b">
        <x:v>1</x:v>
      </x:c>
      <x:c r="M187" s="43" t="n">
        <x:v>400000</x:v>
      </x:c>
      <x:c r="N187" s="43" t="n">
        <x:v>5788160</x:v>
      </x:c>
      <x:c r="O187" s="43" t="n">
        <x:v>1157307.8489502028</x:v>
      </x:c>
      <x:c r="P187" s="45" t="b">
        <x:v>1</x:v>
      </x:c>
      <x:c r="Q187" s="45" t="b">
        <x:v>1</x:v>
      </x:c>
      <x:c r="R187" s="45" t="b">
        <x:v>1</x:v>
      </x:c>
      <x:c r="S187" s="43" t="n">
        <x:v>5000000000</x:v>
      </x:c>
      <x:c r="T187" s="43" t="n">
        <x:v>5001400453</x:v>
      </x:c>
      <x:c r="U187" s="45" t="b">
        <x:v>1</x:v>
      </x:c>
      <x:c r="V187" s="34" t="str">
        <x:v>uniform</x:v>
      </x:c>
      <x:c r="W187" s="42" t="n">
        <x:v>95</x:v>
      </x:c>
      <x:c r="X187" s="48" t="n">
        <x:v>0.95</x:v>
      </x:c>
      <x:c r="Y187" s="48" t="n">
        <x:v>0.9500393907563025</x:v>
      </x:c>
      <x:c r="Z187" s="45" t="b">
        <x:v>1</x:v>
      </x:c>
      <x:c r="AA187" s="43" t="n">
        <x:v>10000</x:v>
      </x:c>
      <x:c r="AB187" s="43" t="n">
        <x:v>9900</x:v>
      </x:c>
      <x:c r="AC187" s="43" t="n">
        <x:v>10000</x:v>
      </x:c>
      <x:c r="AD187" s="45" t="b">
        <x:v>1</x:v>
      </x:c>
      <x:c r="AE187" s="43" t="n">
        <x:v>9900</x:v>
      </x:c>
      <x:c r="AF187" s="43"/>
      <x:c r="AG187" s="43" t="n">
        <x:v>10000</x:v>
      </x:c>
      <x:c r="AH187" s="45" t="b">
        <x:v>1</x:v>
      </x:c>
      <x:c r="AI187" s="45" t="b">
        <x:v>1</x:v>
      </x:c>
      <x:c r="AJ187" s="49"/>
      <x:c r="AK187" s="48" t="n">
        <x:v>0.9500393907563025</x:v>
      </x:c>
      <x:c r="AL187" s="49"/>
      <x:c r="AM187" s="49"/>
      <x:c r="AN187" s="36" t="n">
        <x:v>1</x:v>
      </x:c>
      <x:c r="AO187" s="45" t="b">
        <x:v>1</x:v>
      </x:c>
      <x:c r="AP187" s="45" t="b">
        <x:v>1</x:v>
      </x:c>
      <x:c r="AQ187" s="46" t="n">
        <x:f>IF(T187="","",T187/'Readme-Protocol'!$B$24)</x:f>
        <x:v>5.001400453</x:v>
      </x:c>
      <x:c r="AR187" s="46" t="n">
        <x:f>IF(OR(S187="",S187=0),"",T187/S187)</x:f>
        <x:v>1.0002800906</x:v>
      </x:c>
      <x:c r="AS187" s="46" t="n">
        <x:f>IF(OR(X187="",Y187=""),"",ABS(Y187-X187)*'Readme-Protocol'!$B$27)</x:f>
        <x:v>0.003939075630254862</x:v>
      </x:c>
      <x:c r="AT187" s="49" t="b">
        <x:f>AND(M187&gt;0,N187&gt;=0,O187&gt;0)</x:f>
        <x:v>1</x:v>
      </x:c>
      <x:c r="AU187" s="49" t="b">
        <x:f>AND(AT187,N187&gt;=M187)</x:f>
        <x:v>1</x:v>
      </x:c>
      <x:c r="AV187" s="49" t="b">
        <x:f>OR(S187=0,T187&gt;=S187)</x:f>
        <x:v>1</x:v>
      </x:c>
      <x:c r="AW187" s="49" t="b">
        <x:f>IF(I187="cache-semantics",OR(V187&lt;&gt;"uniform",ABS(Y187-W187/'Readme-Protocol'!$B$27)&lt;='Readme-Protocol'!$B$28),TRUE)</x:f>
        <x:v>1</x:v>
      </x:c>
      <x:c r="AX187" s="43" t="n">
        <x:f>IF(I187="cache-semantics",INT(AA187*'Readme-Protocol'!$B$32),"")</x:f>
        <x:v>9900</x:v>
      </x:c>
      <x:c r="AY187" s="49" t="b">
        <x:f>IF(I187="cache-semantics",AX187=AB187,TRUE)</x:f>
        <x:v>1</x:v>
      </x:c>
      <x:c r="AZ187" s="49" t="b">
        <x:f>IF(I187="cache-semantics",AX187=AE187,TRUE)</x:f>
        <x:v>1</x:v>
      </x:c>
      <x:c r="BA187" s="49" t="b">
        <x:f>IF(I187="cache-semantics",AC187&gt;=AX187,IF(I187="no-store-control",AC187=0,FALSE))</x:f>
        <x:v>1</x:v>
      </x:c>
      <x:c r="BB187" s="49" t="b">
        <x:f>IF(I187="cache-semantics",AG187&gt;=AX187,IF(I187="no-store-control",AG187=0,FALSE))</x:f>
        <x:v>1</x:v>
      </x:c>
      <x:c r="BC187" s="49" t="b">
        <x:f>AND(BA187,BB187)</x:f>
        <x:v>1</x:v>
      </x:c>
      <x:c r="BD187" s="49" t="b">
        <x:f>IF(I187="no-store-control",AND(AC187=0,AG187=0),TRUE)</x:f>
        <x:v>1</x:v>
      </x:c>
      <x:c r="BE187" s="49" t="b">
        <x:f>IF(I187="no-store-control",AK187=0,TRUE)</x:f>
        <x:v>1</x:v>
      </x:c>
      <x:c r="BF187" s="49" t="b">
        <x:f>IF(I187="cache-semantics",AN187=1,TRUE)</x:f>
        <x:v>1</x:v>
      </x:c>
      <x:c r="BG187" s="49" t="b">
        <x:f>IF(I187="cache-semantics",AND(AU187,AV187,Q187,AW187,BC187,BF187),IF(I187="no-store-control",AND(AU187,AV187,Q187,BD187,BE187),FALSE))</x:f>
        <x:v>1</x:v>
      </x:c>
      <x:c r="BH187" s="49" t="b">
        <x:f>AND(R187,AT187=P187,AU187=L187,AV187=U187,AY187,AZ187,IF(I187="cache-semantics",AND(AW187=Z187,AND(BA187=AD187,BB187=AH187,BC187=AI187),BF187=AO187),IF(I187="no-store-control",AND(AND(BA187=AD187,BB187=AH187,BC187=AI187),BD187=AJ187,BE187=AL187),FALSE)),BG187=AP187)</x:f>
        <x:v>1</x:v>
      </x:c>
      <x:c r="BI187" s="49" t="b">
        <x:f>AND(J187,K187,BG187)</x:f>
        <x:v>1</x:v>
      </x:c>
    </x:row>
    <x:row r="188">
      <x:c r="A188" s="34" t="str">
        <x:v>article1-unified-v4-2-fb3f101b-20260903-000401-default-f04-p1-jcs4</x:v>
      </x:c>
      <x:c r="B188" s="34" t="str">
        <x:v>default</x:v>
      </x:c>
      <x:c r="C188" s="34" t="str">
        <x:v>jcs4</x:v>
      </x:c>
      <x:c r="D188" s="36" t="n">
        <x:v>4</x:v>
      </x:c>
      <x:c r="E188" s="36" t="n">
        <x:v>4</x:v>
      </x:c>
      <x:c r="F188" s="36" t="n">
        <x:v>1</x:v>
      </x:c>
      <x:c r="G188" s="36" t="n">
        <x:v>4</x:v>
      </x:c>
      <x:c r="H188" s="34" t="str">
        <x:v>initial</x:v>
      </x:c>
      <x:c r="I188" s="34" t="str">
        <x:v>cache-semantics</x:v>
      </x:c>
      <x:c r="J188" s="45" t="b">
        <x:v>1</x:v>
      </x:c>
      <x:c r="K188" s="45" t="b">
        <x:v>1</x:v>
      </x:c>
      <x:c r="L188" s="45" t="b">
        <x:v>1</x:v>
      </x:c>
      <x:c r="M188" s="43" t="n">
        <x:v>400000</x:v>
      </x:c>
      <x:c r="N188" s="43" t="n">
        <x:v>4707584</x:v>
      </x:c>
      <x:c r="O188" s="43" t="n">
        <x:v>941303.9297641075</x:v>
      </x:c>
      <x:c r="P188" s="45" t="b">
        <x:v>1</x:v>
      </x:c>
      <x:c r="Q188" s="45" t="b">
        <x:v>1</x:v>
      </x:c>
      <x:c r="R188" s="45" t="b">
        <x:v>1</x:v>
      </x:c>
      <x:c r="S188" s="43" t="n">
        <x:v>5000000000</x:v>
      </x:c>
      <x:c r="T188" s="43" t="n">
        <x:v>5001130720</x:v>
      </x:c>
      <x:c r="U188" s="45" t="b">
        <x:v>1</x:v>
      </x:c>
      <x:c r="V188" s="34" t="str">
        <x:v>uniform</x:v>
      </x:c>
      <x:c r="W188" s="42" t="n">
        <x:v>95</x:v>
      </x:c>
      <x:c r="X188" s="48" t="n">
        <x:v>0.95</x:v>
      </x:c>
      <x:c r="Y188" s="48" t="n">
        <x:v>0.9496792834710969</x:v>
      </x:c>
      <x:c r="Z188" s="45" t="b">
        <x:v>1</x:v>
      </x:c>
      <x:c r="AA188" s="43" t="n">
        <x:v>10000</x:v>
      </x:c>
      <x:c r="AB188" s="43" t="n">
        <x:v>9900</x:v>
      </x:c>
      <x:c r="AC188" s="43" t="n">
        <x:v>10000</x:v>
      </x:c>
      <x:c r="AD188" s="45" t="b">
        <x:v>1</x:v>
      </x:c>
      <x:c r="AE188" s="43" t="n">
        <x:v>9900</x:v>
      </x:c>
      <x:c r="AF188" s="43"/>
      <x:c r="AG188" s="43" t="n">
        <x:v>10000</x:v>
      </x:c>
      <x:c r="AH188" s="45" t="b">
        <x:v>1</x:v>
      </x:c>
      <x:c r="AI188" s="45" t="b">
        <x:v>1</x:v>
      </x:c>
      <x:c r="AJ188" s="49"/>
      <x:c r="AK188" s="48" t="n">
        <x:v>0.9496792834710969</x:v>
      </x:c>
      <x:c r="AL188" s="49"/>
      <x:c r="AM188" s="49"/>
      <x:c r="AN188" s="36" t="n">
        <x:v>1</x:v>
      </x:c>
      <x:c r="AO188" s="45" t="b">
        <x:v>1</x:v>
      </x:c>
      <x:c r="AP188" s="45" t="b">
        <x:v>1</x:v>
      </x:c>
      <x:c r="AQ188" s="46" t="n">
        <x:f>IF(T188="","",T188/'Readme-Protocol'!$B$24)</x:f>
        <x:v>5.00113072</x:v>
      </x:c>
      <x:c r="AR188" s="46" t="n">
        <x:f>IF(OR(S188="",S188=0),"",T188/S188)</x:f>
        <x:v>1.000226144</x:v>
      </x:c>
      <x:c r="AS188" s="46" t="n">
        <x:f>IF(OR(X188="",Y188=""),"",ABS(Y188-X188)*'Readme-Protocol'!$B$27)</x:f>
        <x:v>0.032071652890308666</x:v>
      </x:c>
      <x:c r="AT188" s="49" t="b">
        <x:f>AND(M188&gt;0,N188&gt;=0,O188&gt;0)</x:f>
        <x:v>1</x:v>
      </x:c>
      <x:c r="AU188" s="49" t="b">
        <x:f>AND(AT188,N188&gt;=M188)</x:f>
        <x:v>1</x:v>
      </x:c>
      <x:c r="AV188" s="49" t="b">
        <x:f>OR(S188=0,T188&gt;=S188)</x:f>
        <x:v>1</x:v>
      </x:c>
      <x:c r="AW188" s="49" t="b">
        <x:f>IF(I188="cache-semantics",OR(V188&lt;&gt;"uniform",ABS(Y188-W188/'Readme-Protocol'!$B$27)&lt;='Readme-Protocol'!$B$28),TRUE)</x:f>
        <x:v>1</x:v>
      </x:c>
      <x:c r="AX188" s="43" t="n">
        <x:f>IF(I188="cache-semantics",INT(AA188*'Readme-Protocol'!$B$32),"")</x:f>
        <x:v>9900</x:v>
      </x:c>
      <x:c r="AY188" s="49" t="b">
        <x:f>IF(I188="cache-semantics",AX188=AB188,TRUE)</x:f>
        <x:v>1</x:v>
      </x:c>
      <x:c r="AZ188" s="49" t="b">
        <x:f>IF(I188="cache-semantics",AX188=AE188,TRUE)</x:f>
        <x:v>1</x:v>
      </x:c>
      <x:c r="BA188" s="49" t="b">
        <x:f>IF(I188="cache-semantics",AC188&gt;=AX188,IF(I188="no-store-control",AC188=0,FALSE))</x:f>
        <x:v>1</x:v>
      </x:c>
      <x:c r="BB188" s="49" t="b">
        <x:f>IF(I188="cache-semantics",AG188&gt;=AX188,IF(I188="no-store-control",AG188=0,FALSE))</x:f>
        <x:v>1</x:v>
      </x:c>
      <x:c r="BC188" s="49" t="b">
        <x:f>AND(BA188,BB188)</x:f>
        <x:v>1</x:v>
      </x:c>
      <x:c r="BD188" s="49" t="b">
        <x:f>IF(I188="no-store-control",AND(AC188=0,AG188=0),TRUE)</x:f>
        <x:v>1</x:v>
      </x:c>
      <x:c r="BE188" s="49" t="b">
        <x:f>IF(I188="no-store-control",AK188=0,TRUE)</x:f>
        <x:v>1</x:v>
      </x:c>
      <x:c r="BF188" s="49" t="b">
        <x:f>IF(I188="cache-semantics",AN188=1,TRUE)</x:f>
        <x:v>1</x:v>
      </x:c>
      <x:c r="BG188" s="49" t="b">
        <x:f>IF(I188="cache-semantics",AND(AU188,AV188,Q188,AW188,BC188,BF188),IF(I188="no-store-control",AND(AU188,AV188,Q188,BD188,BE188),FALSE))</x:f>
        <x:v>1</x:v>
      </x:c>
      <x:c r="BH188" s="49" t="b">
        <x:f>AND(R188,AT188=P188,AU188=L188,AV188=U188,AY188,AZ188,IF(I188="cache-semantics",AND(AW188=Z188,AND(BA188=AD188,BB188=AH188,BC188=AI188),BF188=AO188),IF(I188="no-store-control",AND(AND(BA188=AD188,BB188=AH188,BC188=AI188),BD188=AJ188,BE188=AL188),FALSE)),BG188=AP188)</x:f>
        <x:v>1</x:v>
      </x:c>
      <x:c r="BI188" s="49" t="b">
        <x:f>AND(J188,K188,BG188)</x:f>
        <x:v>1</x:v>
      </x:c>
    </x:row>
    <x:row r="189">
      <x:c r="A189" s="34" t="str">
        <x:v>article1-unified-v4-2-fb3f101b-20260903-000401-default-f04-p1-jcs4</x:v>
      </x:c>
      <x:c r="B189" s="34" t="str">
        <x:v>default</x:v>
      </x:c>
      <x:c r="C189" s="34" t="str">
        <x:v>jcs4</x:v>
      </x:c>
      <x:c r="D189" s="36" t="n">
        <x:v>4</x:v>
      </x:c>
      <x:c r="E189" s="36" t="n">
        <x:v>4</x:v>
      </x:c>
      <x:c r="F189" s="36" t="n">
        <x:v>1</x:v>
      </x:c>
      <x:c r="G189" s="36" t="n">
        <x:v>4</x:v>
      </x:c>
      <x:c r="H189" s="34" t="str">
        <x:v>redeploy</x:v>
      </x:c>
      <x:c r="I189" s="34" t="str">
        <x:v>cache-semantics</x:v>
      </x:c>
      <x:c r="J189" s="45" t="b">
        <x:v>1</x:v>
      </x:c>
      <x:c r="K189" s="45" t="b">
        <x:v>1</x:v>
      </x:c>
      <x:c r="L189" s="45" t="b">
        <x:v>1</x:v>
      </x:c>
      <x:c r="M189" s="43" t="n">
        <x:v>400000</x:v>
      </x:c>
      <x:c r="N189" s="43" t="n">
        <x:v>5009408</x:v>
      </x:c>
      <x:c r="O189" s="43" t="n">
        <x:v>1001727.1188527115</x:v>
      </x:c>
      <x:c r="P189" s="45" t="b">
        <x:v>1</x:v>
      </x:c>
      <x:c r="Q189" s="45" t="b">
        <x:v>1</x:v>
      </x:c>
      <x:c r="R189" s="45" t="b">
        <x:v>1</x:v>
      </x:c>
      <x:c r="S189" s="43" t="n">
        <x:v>5000000000</x:v>
      </x:c>
      <x:c r="T189" s="43" t="n">
        <x:v>5000771074</x:v>
      </x:c>
      <x:c r="U189" s="45" t="b">
        <x:v>1</x:v>
      </x:c>
      <x:c r="V189" s="34" t="str">
        <x:v>uniform</x:v>
      </x:c>
      <x:c r="W189" s="42" t="n">
        <x:v>95</x:v>
      </x:c>
      <x:c r="X189" s="48" t="n">
        <x:v>0.95</x:v>
      </x:c>
      <x:c r="Y189" s="48" t="n">
        <x:v>0.9497038372598119</x:v>
      </x:c>
      <x:c r="Z189" s="45" t="b">
        <x:v>1</x:v>
      </x:c>
      <x:c r="AA189" s="43" t="n">
        <x:v>10000</x:v>
      </x:c>
      <x:c r="AB189" s="43" t="n">
        <x:v>9900</x:v>
      </x:c>
      <x:c r="AC189" s="43" t="n">
        <x:v>10000</x:v>
      </x:c>
      <x:c r="AD189" s="45" t="b">
        <x:v>1</x:v>
      </x:c>
      <x:c r="AE189" s="43" t="n">
        <x:v>9900</x:v>
      </x:c>
      <x:c r="AF189" s="43"/>
      <x:c r="AG189" s="43" t="n">
        <x:v>10000</x:v>
      </x:c>
      <x:c r="AH189" s="45" t="b">
        <x:v>1</x:v>
      </x:c>
      <x:c r="AI189" s="45" t="b">
        <x:v>1</x:v>
      </x:c>
      <x:c r="AJ189" s="49"/>
      <x:c r="AK189" s="48" t="n">
        <x:v>0.9497038372598119</x:v>
      </x:c>
      <x:c r="AL189" s="49"/>
      <x:c r="AM189" s="49"/>
      <x:c r="AN189" s="36" t="n">
        <x:v>1</x:v>
      </x:c>
      <x:c r="AO189" s="45" t="b">
        <x:v>1</x:v>
      </x:c>
      <x:c r="AP189" s="45" t="b">
        <x:v>1</x:v>
      </x:c>
      <x:c r="AQ189" s="46" t="n">
        <x:f>IF(T189="","",T189/'Readme-Protocol'!$B$24)</x:f>
        <x:v>5.000771074</x:v>
      </x:c>
      <x:c r="AR189" s="46" t="n">
        <x:f>IF(OR(S189="",S189=0),"",T189/S189)</x:f>
        <x:v>1.0001542148</x:v>
      </x:c>
      <x:c r="AS189" s="46" t="n">
        <x:f>IF(OR(X189="",Y189=""),"",ABS(Y189-X189)*'Readme-Protocol'!$B$27)</x:f>
        <x:v>0.02961627401880662</x:v>
      </x:c>
      <x:c r="AT189" s="49" t="b">
        <x:f>AND(M189&gt;0,N189&gt;=0,O189&gt;0)</x:f>
        <x:v>1</x:v>
      </x:c>
      <x:c r="AU189" s="49" t="b">
        <x:f>AND(AT189,N189&gt;=M189)</x:f>
        <x:v>1</x:v>
      </x:c>
      <x:c r="AV189" s="49" t="b">
        <x:f>OR(S189=0,T189&gt;=S189)</x:f>
        <x:v>1</x:v>
      </x:c>
      <x:c r="AW189" s="49" t="b">
        <x:f>IF(I189="cache-semantics",OR(V189&lt;&gt;"uniform",ABS(Y189-W189/'Readme-Protocol'!$B$27)&lt;='Readme-Protocol'!$B$28),TRUE)</x:f>
        <x:v>1</x:v>
      </x:c>
      <x:c r="AX189" s="43" t="n">
        <x:f>IF(I189="cache-semantics",INT(AA189*'Readme-Protocol'!$B$32),"")</x:f>
        <x:v>9900</x:v>
      </x:c>
      <x:c r="AY189" s="49" t="b">
        <x:f>IF(I189="cache-semantics",AX189=AB189,TRUE)</x:f>
        <x:v>1</x:v>
      </x:c>
      <x:c r="AZ189" s="49" t="b">
        <x:f>IF(I189="cache-semantics",AX189=AE189,TRUE)</x:f>
        <x:v>1</x:v>
      </x:c>
      <x:c r="BA189" s="49" t="b">
        <x:f>IF(I189="cache-semantics",AC189&gt;=AX189,IF(I189="no-store-control",AC189=0,FALSE))</x:f>
        <x:v>1</x:v>
      </x:c>
      <x:c r="BB189" s="49" t="b">
        <x:f>IF(I189="cache-semantics",AG189&gt;=AX189,IF(I189="no-store-control",AG189=0,FALSE))</x:f>
        <x:v>1</x:v>
      </x:c>
      <x:c r="BC189" s="49" t="b">
        <x:f>AND(BA189,BB189)</x:f>
        <x:v>1</x:v>
      </x:c>
      <x:c r="BD189" s="49" t="b">
        <x:f>IF(I189="no-store-control",AND(AC189=0,AG189=0),TRUE)</x:f>
        <x:v>1</x:v>
      </x:c>
      <x:c r="BE189" s="49" t="b">
        <x:f>IF(I189="no-store-control",AK189=0,TRUE)</x:f>
        <x:v>1</x:v>
      </x:c>
      <x:c r="BF189" s="49" t="b">
        <x:f>IF(I189="cache-semantics",AN189=1,TRUE)</x:f>
        <x:v>1</x:v>
      </x:c>
      <x:c r="BG189" s="49" t="b">
        <x:f>IF(I189="cache-semantics",AND(AU189,AV189,Q189,AW189,BC189,BF189),IF(I189="no-store-control",AND(AU189,AV189,Q189,BD189,BE189),FALSE))</x:f>
        <x:v>1</x:v>
      </x:c>
      <x:c r="BH189" s="49" t="b">
        <x:f>AND(R189,AT189=P189,AU189=L189,AV189=U189,AY189,AZ189,IF(I189="cache-semantics",AND(AW189=Z189,AND(BA189=AD189,BB189=AH189,BC189=AI189),BF189=AO189),IF(I189="no-store-control",AND(AND(BA189=AD189,BB189=AH189,BC189=AI189),BD189=AJ189,BE189=AL189),FALSE)),BG189=AP189)</x:f>
        <x:v>1</x:v>
      </x:c>
      <x:c r="BI189" s="49" t="b">
        <x:f>AND(J189,K189,BG189)</x:f>
        <x:v>1</x:v>
      </x:c>
    </x:row>
    <x:row r="190">
      <x:c r="A190" s="34" t="str">
        <x:v>article1-unified-v4-2-fb3f101b-20260903-000401-default-f04-p1-jcs4</x:v>
      </x:c>
      <x:c r="B190" s="34" t="str">
        <x:v>default</x:v>
      </x:c>
      <x:c r="C190" s="34" t="str">
        <x:v>jcs4</x:v>
      </x:c>
      <x:c r="D190" s="36" t="n">
        <x:v>4</x:v>
      </x:c>
      <x:c r="E190" s="36" t="n">
        <x:v>4</x:v>
      </x:c>
      <x:c r="F190" s="36" t="n">
        <x:v>1</x:v>
      </x:c>
      <x:c r="G190" s="36" t="n">
        <x:v>5</x:v>
      </x:c>
      <x:c r="H190" s="34" t="str">
        <x:v>initial</x:v>
      </x:c>
      <x:c r="I190" s="34" t="str">
        <x:v>cache-semantics</x:v>
      </x:c>
      <x:c r="J190" s="45" t="b">
        <x:v>1</x:v>
      </x:c>
      <x:c r="K190" s="45" t="b">
        <x:v>1</x:v>
      </x:c>
      <x:c r="L190" s="45" t="b">
        <x:v>1</x:v>
      </x:c>
      <x:c r="M190" s="43" t="n">
        <x:v>400000</x:v>
      </x:c>
      <x:c r="N190" s="43" t="n">
        <x:v>4143872</x:v>
      </x:c>
      <x:c r="O190" s="43" t="n">
        <x:v>828639.2888723987</x:v>
      </x:c>
      <x:c r="P190" s="45" t="b">
        <x:v>1</x:v>
      </x:c>
      <x:c r="Q190" s="45" t="b">
        <x:v>1</x:v>
      </x:c>
      <x:c r="R190" s="45" t="b">
        <x:v>1</x:v>
      </x:c>
      <x:c r="S190" s="43" t="n">
        <x:v>5000000000</x:v>
      </x:c>
      <x:c r="T190" s="43" t="n">
        <x:v>5000815259</x:v>
      </x:c>
      <x:c r="U190" s="45" t="b">
        <x:v>1</x:v>
      </x:c>
      <x:c r="V190" s="34" t="str">
        <x:v>uniform</x:v>
      </x:c>
      <x:c r="W190" s="42" t="n">
        <x:v>95</x:v>
      </x:c>
      <x:c r="X190" s="48" t="n">
        <x:v>0.95</x:v>
      </x:c>
      <x:c r="Y190" s="48" t="n">
        <x:v>0.9497704079662692</x:v>
      </x:c>
      <x:c r="Z190" s="45" t="b">
        <x:v>1</x:v>
      </x:c>
      <x:c r="AA190" s="43" t="n">
        <x:v>10000</x:v>
      </x:c>
      <x:c r="AB190" s="43" t="n">
        <x:v>9900</x:v>
      </x:c>
      <x:c r="AC190" s="43" t="n">
        <x:v>10000</x:v>
      </x:c>
      <x:c r="AD190" s="45" t="b">
        <x:v>1</x:v>
      </x:c>
      <x:c r="AE190" s="43" t="n">
        <x:v>9900</x:v>
      </x:c>
      <x:c r="AF190" s="43"/>
      <x:c r="AG190" s="43" t="n">
        <x:v>10000</x:v>
      </x:c>
      <x:c r="AH190" s="45" t="b">
        <x:v>1</x:v>
      </x:c>
      <x:c r="AI190" s="45" t="b">
        <x:v>1</x:v>
      </x:c>
      <x:c r="AJ190" s="49"/>
      <x:c r="AK190" s="48" t="n">
        <x:v>0.9497704079662692</x:v>
      </x:c>
      <x:c r="AL190" s="49"/>
      <x:c r="AM190" s="49"/>
      <x:c r="AN190" s="36" t="n">
        <x:v>1</x:v>
      </x:c>
      <x:c r="AO190" s="45" t="b">
        <x:v>1</x:v>
      </x:c>
      <x:c r="AP190" s="45" t="b">
        <x:v>1</x:v>
      </x:c>
      <x:c r="AQ190" s="46" t="n">
        <x:f>IF(T190="","",T190/'Readme-Protocol'!$B$24)</x:f>
        <x:v>5.000815259</x:v>
      </x:c>
      <x:c r="AR190" s="46" t="n">
        <x:f>IF(OR(S190="",S190=0),"",T190/S190)</x:f>
        <x:v>1.0001630518</x:v>
      </x:c>
      <x:c r="AS190" s="46" t="n">
        <x:f>IF(OR(X190="",Y190=""),"",ABS(Y190-X190)*'Readme-Protocol'!$B$27)</x:f>
        <x:v>0.02295920337307411</x:v>
      </x:c>
      <x:c r="AT190" s="49" t="b">
        <x:f>AND(M190&gt;0,N190&gt;=0,O190&gt;0)</x:f>
        <x:v>1</x:v>
      </x:c>
      <x:c r="AU190" s="49" t="b">
        <x:f>AND(AT190,N190&gt;=M190)</x:f>
        <x:v>1</x:v>
      </x:c>
      <x:c r="AV190" s="49" t="b">
        <x:f>OR(S190=0,T190&gt;=S190)</x:f>
        <x:v>1</x:v>
      </x:c>
      <x:c r="AW190" s="49" t="b">
        <x:f>IF(I190="cache-semantics",OR(V190&lt;&gt;"uniform",ABS(Y190-W190/'Readme-Protocol'!$B$27)&lt;='Readme-Protocol'!$B$28),TRUE)</x:f>
        <x:v>1</x:v>
      </x:c>
      <x:c r="AX190" s="43" t="n">
        <x:f>IF(I190="cache-semantics",INT(AA190*'Readme-Protocol'!$B$32),"")</x:f>
        <x:v>9900</x:v>
      </x:c>
      <x:c r="AY190" s="49" t="b">
        <x:f>IF(I190="cache-semantics",AX190=AB190,TRUE)</x:f>
        <x:v>1</x:v>
      </x:c>
      <x:c r="AZ190" s="49" t="b">
        <x:f>IF(I190="cache-semantics",AX190=AE190,TRUE)</x:f>
        <x:v>1</x:v>
      </x:c>
      <x:c r="BA190" s="49" t="b">
        <x:f>IF(I190="cache-semantics",AC190&gt;=AX190,IF(I190="no-store-control",AC190=0,FALSE))</x:f>
        <x:v>1</x:v>
      </x:c>
      <x:c r="BB190" s="49" t="b">
        <x:f>IF(I190="cache-semantics",AG190&gt;=AX190,IF(I190="no-store-control",AG190=0,FALSE))</x:f>
        <x:v>1</x:v>
      </x:c>
      <x:c r="BC190" s="49" t="b">
        <x:f>AND(BA190,BB190)</x:f>
        <x:v>1</x:v>
      </x:c>
      <x:c r="BD190" s="49" t="b">
        <x:f>IF(I190="no-store-control",AND(AC190=0,AG190=0),TRUE)</x:f>
        <x:v>1</x:v>
      </x:c>
      <x:c r="BE190" s="49" t="b">
        <x:f>IF(I190="no-store-control",AK190=0,TRUE)</x:f>
        <x:v>1</x:v>
      </x:c>
      <x:c r="BF190" s="49" t="b">
        <x:f>IF(I190="cache-semantics",AN190=1,TRUE)</x:f>
        <x:v>1</x:v>
      </x:c>
      <x:c r="BG190" s="49" t="b">
        <x:f>IF(I190="cache-semantics",AND(AU190,AV190,Q190,AW190,BC190,BF190),IF(I190="no-store-control",AND(AU190,AV190,Q190,BD190,BE190),FALSE))</x:f>
        <x:v>1</x:v>
      </x:c>
      <x:c r="BH190" s="49" t="b">
        <x:f>AND(R190,AT190=P190,AU190=L190,AV190=U190,AY190,AZ190,IF(I190="cache-semantics",AND(AW190=Z190,AND(BA190=AD190,BB190=AH190,BC190=AI190),BF190=AO190),IF(I190="no-store-control",AND(AND(BA190=AD190,BB190=AH190,BC190=AI190),BD190=AJ190,BE190=AL190),FALSE)),BG190=AP190)</x:f>
        <x:v>1</x:v>
      </x:c>
      <x:c r="BI190" s="49" t="b">
        <x:f>AND(J190,K190,BG190)</x:f>
        <x:v>1</x:v>
      </x:c>
    </x:row>
    <x:row r="191">
      <x:c r="A191" s="34" t="str">
        <x:v>article1-unified-v4-2-fb3f101b-20260903-000401-default-f04-p1-jcs4</x:v>
      </x:c>
      <x:c r="B191" s="34" t="str">
        <x:v>default</x:v>
      </x:c>
      <x:c r="C191" s="34" t="str">
        <x:v>jcs4</x:v>
      </x:c>
      <x:c r="D191" s="36" t="n">
        <x:v>4</x:v>
      </x:c>
      <x:c r="E191" s="36" t="n">
        <x:v>4</x:v>
      </x:c>
      <x:c r="F191" s="36" t="n">
        <x:v>1</x:v>
      </x:c>
      <x:c r="G191" s="36" t="n">
        <x:v>5</x:v>
      </x:c>
      <x:c r="H191" s="34" t="str">
        <x:v>redeploy</x:v>
      </x:c>
      <x:c r="I191" s="34" t="str">
        <x:v>cache-semantics</x:v>
      </x:c>
      <x:c r="J191" s="45" t="b">
        <x:v>1</x:v>
      </x:c>
      <x:c r="K191" s="45" t="b">
        <x:v>1</x:v>
      </x:c>
      <x:c r="L191" s="45" t="b">
        <x:v>1</x:v>
      </x:c>
      <x:c r="M191" s="43" t="n">
        <x:v>400000</x:v>
      </x:c>
      <x:c r="N191" s="43" t="n">
        <x:v>5774592</x:v>
      </x:c>
      <x:c r="O191" s="43" t="n">
        <x:v>1154624.1008649531</x:v>
      </x:c>
      <x:c r="P191" s="45" t="b">
        <x:v>1</x:v>
      </x:c>
      <x:c r="Q191" s="45" t="b">
        <x:v>1</x:v>
      </x:c>
      <x:c r="R191" s="45" t="b">
        <x:v>1</x:v>
      </x:c>
      <x:c r="S191" s="43" t="n">
        <x:v>5000000000</x:v>
      </x:c>
      <x:c r="T191" s="43" t="n">
        <x:v>5001274437</x:v>
      </x:c>
      <x:c r="U191" s="45" t="b">
        <x:v>1</x:v>
      </x:c>
      <x:c r="V191" s="34" t="str">
        <x:v>uniform</x:v>
      </x:c>
      <x:c r="W191" s="42" t="n">
        <x:v>95</x:v>
      </x:c>
      <x:c r="X191" s="48" t="n">
        <x:v>0.95</x:v>
      </x:c>
      <x:c r="Y191" s="48" t="n">
        <x:v>0.9497751529458704</x:v>
      </x:c>
      <x:c r="Z191" s="45" t="b">
        <x:v>1</x:v>
      </x:c>
      <x:c r="AA191" s="43" t="n">
        <x:v>10000</x:v>
      </x:c>
      <x:c r="AB191" s="43" t="n">
        <x:v>9900</x:v>
      </x:c>
      <x:c r="AC191" s="43" t="n">
        <x:v>10000</x:v>
      </x:c>
      <x:c r="AD191" s="45" t="b">
        <x:v>1</x:v>
      </x:c>
      <x:c r="AE191" s="43" t="n">
        <x:v>9900</x:v>
      </x:c>
      <x:c r="AF191" s="43"/>
      <x:c r="AG191" s="43" t="n">
        <x:v>10000</x:v>
      </x:c>
      <x:c r="AH191" s="45" t="b">
        <x:v>1</x:v>
      </x:c>
      <x:c r="AI191" s="45" t="b">
        <x:v>1</x:v>
      </x:c>
      <x:c r="AJ191" s="49"/>
      <x:c r="AK191" s="48" t="n">
        <x:v>0.9497751529458704</x:v>
      </x:c>
      <x:c r="AL191" s="49"/>
      <x:c r="AM191" s="49"/>
      <x:c r="AN191" s="36" t="n">
        <x:v>1</x:v>
      </x:c>
      <x:c r="AO191" s="45" t="b">
        <x:v>1</x:v>
      </x:c>
      <x:c r="AP191" s="45" t="b">
        <x:v>1</x:v>
      </x:c>
      <x:c r="AQ191" s="46" t="n">
        <x:f>IF(T191="","",T191/'Readme-Protocol'!$B$24)</x:f>
        <x:v>5.001274437</x:v>
      </x:c>
      <x:c r="AR191" s="46" t="n">
        <x:f>IF(OR(S191="",S191=0),"",T191/S191)</x:f>
        <x:v>1.0002548874</x:v>
      </x:c>
      <x:c r="AS191" s="46" t="n">
        <x:f>IF(OR(X191="",Y191=""),"",ABS(Y191-X191)*'Readme-Protocol'!$B$27)</x:f>
        <x:v>0.022484705412950667</x:v>
      </x:c>
      <x:c r="AT191" s="49" t="b">
        <x:f>AND(M191&gt;0,N191&gt;=0,O191&gt;0)</x:f>
        <x:v>1</x:v>
      </x:c>
      <x:c r="AU191" s="49" t="b">
        <x:f>AND(AT191,N191&gt;=M191)</x:f>
        <x:v>1</x:v>
      </x:c>
      <x:c r="AV191" s="49" t="b">
        <x:f>OR(S191=0,T191&gt;=S191)</x:f>
        <x:v>1</x:v>
      </x:c>
      <x:c r="AW191" s="49" t="b">
        <x:f>IF(I191="cache-semantics",OR(V191&lt;&gt;"uniform",ABS(Y191-W191/'Readme-Protocol'!$B$27)&lt;='Readme-Protocol'!$B$28),TRUE)</x:f>
        <x:v>1</x:v>
      </x:c>
      <x:c r="AX191" s="43" t="n">
        <x:f>IF(I191="cache-semantics",INT(AA191*'Readme-Protocol'!$B$32),"")</x:f>
        <x:v>9900</x:v>
      </x:c>
      <x:c r="AY191" s="49" t="b">
        <x:f>IF(I191="cache-semantics",AX191=AB191,TRUE)</x:f>
        <x:v>1</x:v>
      </x:c>
      <x:c r="AZ191" s="49" t="b">
        <x:f>IF(I191="cache-semantics",AX191=AE191,TRUE)</x:f>
        <x:v>1</x:v>
      </x:c>
      <x:c r="BA191" s="49" t="b">
        <x:f>IF(I191="cache-semantics",AC191&gt;=AX191,IF(I191="no-store-control",AC191=0,FALSE))</x:f>
        <x:v>1</x:v>
      </x:c>
      <x:c r="BB191" s="49" t="b">
        <x:f>IF(I191="cache-semantics",AG191&gt;=AX191,IF(I191="no-store-control",AG191=0,FALSE))</x:f>
        <x:v>1</x:v>
      </x:c>
      <x:c r="BC191" s="49" t="b">
        <x:f>AND(BA191,BB191)</x:f>
        <x:v>1</x:v>
      </x:c>
      <x:c r="BD191" s="49" t="b">
        <x:f>IF(I191="no-store-control",AND(AC191=0,AG191=0),TRUE)</x:f>
        <x:v>1</x:v>
      </x:c>
      <x:c r="BE191" s="49" t="b">
        <x:f>IF(I191="no-store-control",AK191=0,TRUE)</x:f>
        <x:v>1</x:v>
      </x:c>
      <x:c r="BF191" s="49" t="b">
        <x:f>IF(I191="cache-semantics",AN191=1,TRUE)</x:f>
        <x:v>1</x:v>
      </x:c>
      <x:c r="BG191" s="49" t="b">
        <x:f>IF(I191="cache-semantics",AND(AU191,AV191,Q191,AW191,BC191,BF191),IF(I191="no-store-control",AND(AU191,AV191,Q191,BD191,BE191),FALSE))</x:f>
        <x:v>1</x:v>
      </x:c>
      <x:c r="BH191" s="49" t="b">
        <x:f>AND(R191,AT191=P191,AU191=L191,AV191=U191,AY191,AZ191,IF(I191="cache-semantics",AND(AW191=Z191,AND(BA191=AD191,BB191=AH191,BC191=AI191),BF191=AO191),IF(I191="no-store-control",AND(AND(BA191=AD191,BB191=AH191,BC191=AI191),BD191=AJ191,BE191=AL191),FALSE)),BG191=AP191)</x:f>
        <x:v>1</x:v>
      </x:c>
      <x:c r="BI191" s="49" t="b">
        <x:f>AND(J191,K191,BG191)</x:f>
        <x:v>1</x:v>
      </x:c>
    </x:row>
    <x:row r="192">
      <x:c r="A192" s="34" t="str">
        <x:v>article1-unified-v4-2-fb3f101b-20260903-000401-default-f04-p2-jcs321</x:v>
      </x:c>
      <x:c r="B192" s="34" t="str">
        <x:v>default</x:v>
      </x:c>
      <x:c r="C192" s="34" t="str">
        <x:v>jcs321</x:v>
      </x:c>
      <x:c r="D192" s="36" t="n">
        <x:v>4</x:v>
      </x:c>
      <x:c r="E192" s="36" t="n">
        <x:v>4</x:v>
      </x:c>
      <x:c r="F192" s="36" t="n">
        <x:v>2</x:v>
      </x:c>
      <x:c r="G192" s="36" t="n">
        <x:v>1</x:v>
      </x:c>
      <x:c r="H192" s="34" t="str">
        <x:v>initial</x:v>
      </x:c>
      <x:c r="I192" s="34" t="str">
        <x:v>cache-semantics</x:v>
      </x:c>
      <x:c r="J192" s="45" t="b">
        <x:v>1</x:v>
      </x:c>
      <x:c r="K192" s="45" t="b">
        <x:v>0</x:v>
      </x:c>
      <x:c r="L192" s="45" t="b">
        <x:v>1</x:v>
      </x:c>
      <x:c r="M192" s="43" t="n">
        <x:v>400000</x:v>
      </x:c>
      <x:c r="N192" s="43" t="n">
        <x:v>11513088</x:v>
      </x:c>
      <x:c r="O192" s="43" t="n">
        <x:v>2302313.3934894674</x:v>
      </x:c>
      <x:c r="P192" s="45" t="b">
        <x:v>1</x:v>
      </x:c>
      <x:c r="Q192" s="45" t="b">
        <x:v>1</x:v>
      </x:c>
      <x:c r="R192" s="45" t="b">
        <x:v>1</x:v>
      </x:c>
      <x:c r="S192" s="43" t="n">
        <x:v>5000000000</x:v>
      </x:c>
      <x:c r="T192" s="43" t="n">
        <x:v>5000660654</x:v>
      </x:c>
      <x:c r="U192" s="45" t="b">
        <x:v>1</x:v>
      </x:c>
      <x:c r="V192" s="34" t="str">
        <x:v>uniform</x:v>
      </x:c>
      <x:c r="W192" s="42" t="n">
        <x:v>95</x:v>
      </x:c>
      <x:c r="X192" s="48" t="n">
        <x:v>0.95</x:v>
      </x:c>
      <x:c r="Y192" s="48" t="n">
        <x:v>0.9497332948380139</x:v>
      </x:c>
      <x:c r="Z192" s="45" t="b">
        <x:v>1</x:v>
      </x:c>
      <x:c r="AA192" s="43" t="n">
        <x:v>10000</x:v>
      </x:c>
      <x:c r="AB192" s="43" t="n">
        <x:v>9900</x:v>
      </x:c>
      <x:c r="AC192" s="43" t="n">
        <x:v>10000</x:v>
      </x:c>
      <x:c r="AD192" s="45" t="b">
        <x:v>1</x:v>
      </x:c>
      <x:c r="AE192" s="43" t="n">
        <x:v>9900</x:v>
      </x:c>
      <x:c r="AF192" s="43"/>
      <x:c r="AG192" s="43" t="n">
        <x:v>10000</x:v>
      </x:c>
      <x:c r="AH192" s="45" t="b">
        <x:v>1</x:v>
      </x:c>
      <x:c r="AI192" s="45" t="b">
        <x:v>1</x:v>
      </x:c>
      <x:c r="AJ192" s="49"/>
      <x:c r="AK192" s="48" t="n">
        <x:v>0.9497332948380139</x:v>
      </x:c>
      <x:c r="AL192" s="49"/>
      <x:c r="AM192" s="49"/>
      <x:c r="AN192" s="36" t="n">
        <x:v>1</x:v>
      </x:c>
      <x:c r="AO192" s="45" t="b">
        <x:v>1</x:v>
      </x:c>
      <x:c r="AP192" s="45" t="b">
        <x:v>1</x:v>
      </x:c>
      <x:c r="AQ192" s="46" t="n">
        <x:f>IF(T192="","",T192/'Readme-Protocol'!$B$24)</x:f>
        <x:v>5.000660654</x:v>
      </x:c>
      <x:c r="AR192" s="46" t="n">
        <x:f>IF(OR(S192="",S192=0),"",T192/S192)</x:f>
        <x:v>1.0001321308</x:v>
      </x:c>
      <x:c r="AS192" s="46" t="n">
        <x:f>IF(OR(X192="",Y192=""),"",ABS(Y192-X192)*'Readme-Protocol'!$B$27)</x:f>
        <x:v>0.02667051619860139</x:v>
      </x:c>
      <x:c r="AT192" s="49" t="b">
        <x:f>AND(M192&gt;0,N192&gt;=0,O192&gt;0)</x:f>
        <x:v>1</x:v>
      </x:c>
      <x:c r="AU192" s="49" t="b">
        <x:f>AND(AT192,N192&gt;=M192)</x:f>
        <x:v>1</x:v>
      </x:c>
      <x:c r="AV192" s="49" t="b">
        <x:f>OR(S192=0,T192&gt;=S192)</x:f>
        <x:v>1</x:v>
      </x:c>
      <x:c r="AW192" s="49" t="b">
        <x:f>IF(I192="cache-semantics",OR(V192&lt;&gt;"uniform",ABS(Y192-W192/'Readme-Protocol'!$B$27)&lt;='Readme-Protocol'!$B$28),TRUE)</x:f>
        <x:v>1</x:v>
      </x:c>
      <x:c r="AX192" s="43" t="n">
        <x:f>IF(I192="cache-semantics",INT(AA192*'Readme-Protocol'!$B$32),"")</x:f>
        <x:v>9900</x:v>
      </x:c>
      <x:c r="AY192" s="49" t="b">
        <x:f>IF(I192="cache-semantics",AX192=AB192,TRUE)</x:f>
        <x:v>1</x:v>
      </x:c>
      <x:c r="AZ192" s="49" t="b">
        <x:f>IF(I192="cache-semantics",AX192=AE192,TRUE)</x:f>
        <x:v>1</x:v>
      </x:c>
      <x:c r="BA192" s="49" t="b">
        <x:f>IF(I192="cache-semantics",AC192&gt;=AX192,IF(I192="no-store-control",AC192=0,FALSE))</x:f>
        <x:v>1</x:v>
      </x:c>
      <x:c r="BB192" s="49" t="b">
        <x:f>IF(I192="cache-semantics",AG192&gt;=AX192,IF(I192="no-store-control",AG192=0,FALSE))</x:f>
        <x:v>1</x:v>
      </x:c>
      <x:c r="BC192" s="49" t="b">
        <x:f>AND(BA192,BB192)</x:f>
        <x:v>1</x:v>
      </x:c>
      <x:c r="BD192" s="49" t="b">
        <x:f>IF(I192="no-store-control",AND(AC192=0,AG192=0),TRUE)</x:f>
        <x:v>1</x:v>
      </x:c>
      <x:c r="BE192" s="49" t="b">
        <x:f>IF(I192="no-store-control",AK192=0,TRUE)</x:f>
        <x:v>1</x:v>
      </x:c>
      <x:c r="BF192" s="49" t="b">
        <x:f>IF(I192="cache-semantics",AN192=1,TRUE)</x:f>
        <x:v>1</x:v>
      </x:c>
      <x:c r="BG192" s="49" t="b">
        <x:f>IF(I192="cache-semantics",AND(AU192,AV192,Q192,AW192,BC192,BF192),IF(I192="no-store-control",AND(AU192,AV192,Q192,BD192,BE192),FALSE))</x:f>
        <x:v>1</x:v>
      </x:c>
      <x:c r="BH192" s="49" t="b">
        <x:f>AND(R192,AT192=P192,AU192=L192,AV192=U192,AY192,AZ192,IF(I192="cache-semantics",AND(AW192=Z192,AND(BA192=AD192,BB192=AH192,BC192=AI192),BF192=AO192),IF(I192="no-store-control",AND(AND(BA192=AD192,BB192=AH192,BC192=AI192),BD192=AJ192,BE192=AL192),FALSE)),BG192=AP192)</x:f>
        <x:v>1</x:v>
      </x:c>
      <x:c r="BI192" s="49" t="b">
        <x:f>AND(J192,K192,BG192)</x:f>
        <x:v>0</x:v>
      </x:c>
    </x:row>
    <x:row r="193">
      <x:c r="A193" s="34" t="str">
        <x:v>article1-unified-v4-2-fb3f101b-20260903-000401-default-f04-p2-jcs321</x:v>
      </x:c>
      <x:c r="B193" s="34" t="str">
        <x:v>default</x:v>
      </x:c>
      <x:c r="C193" s="34" t="str">
        <x:v>jcs321</x:v>
      </x:c>
      <x:c r="D193" s="36" t="n">
        <x:v>4</x:v>
      </x:c>
      <x:c r="E193" s="36" t="n">
        <x:v>4</x:v>
      </x:c>
      <x:c r="F193" s="36" t="n">
        <x:v>2</x:v>
      </x:c>
      <x:c r="G193" s="36" t="n">
        <x:v>1</x:v>
      </x:c>
      <x:c r="H193" s="34" t="str">
        <x:v>redeploy</x:v>
      </x:c>
      <x:c r="I193" s="34" t="str">
        <x:v>cache-semantics</x:v>
      </x:c>
      <x:c r="J193" s="45" t="b">
        <x:v>1</x:v>
      </x:c>
      <x:c r="K193" s="45" t="b">
        <x:v>0</x:v>
      </x:c>
      <x:c r="L193" s="45" t="b">
        <x:v>1</x:v>
      </x:c>
      <x:c r="M193" s="43" t="n">
        <x:v>400000</x:v>
      </x:c>
      <x:c r="N193" s="43" t="n">
        <x:v>14726400</x:v>
      </x:c>
      <x:c r="O193" s="43" t="n">
        <x:v>2944629.202199689</x:v>
      </x:c>
      <x:c r="P193" s="45" t="b">
        <x:v>1</x:v>
      </x:c>
      <x:c r="Q193" s="45" t="b">
        <x:v>1</x:v>
      </x:c>
      <x:c r="R193" s="45" t="b">
        <x:v>1</x:v>
      </x:c>
      <x:c r="S193" s="43" t="n">
        <x:v>5000000000</x:v>
      </x:c>
      <x:c r="T193" s="43" t="n">
        <x:v>5001105059</x:v>
      </x:c>
      <x:c r="U193" s="45" t="b">
        <x:v>1</x:v>
      </x:c>
      <x:c r="V193" s="34" t="str">
        <x:v>uniform</x:v>
      </x:c>
      <x:c r="W193" s="42" t="n">
        <x:v>95</x:v>
      </x:c>
      <x:c r="X193" s="48" t="n">
        <x:v>0.95</x:v>
      </x:c>
      <x:c r="Y193" s="48" t="n">
        <x:v>0.9497361880704042</x:v>
      </x:c>
      <x:c r="Z193" s="45" t="b">
        <x:v>1</x:v>
      </x:c>
      <x:c r="AA193" s="43" t="n">
        <x:v>10000</x:v>
      </x:c>
      <x:c r="AB193" s="43" t="n">
        <x:v>9900</x:v>
      </x:c>
      <x:c r="AC193" s="43" t="n">
        <x:v>10000</x:v>
      </x:c>
      <x:c r="AD193" s="45" t="b">
        <x:v>1</x:v>
      </x:c>
      <x:c r="AE193" s="43" t="n">
        <x:v>9900</x:v>
      </x:c>
      <x:c r="AF193" s="43"/>
      <x:c r="AG193" s="43" t="n">
        <x:v>10000</x:v>
      </x:c>
      <x:c r="AH193" s="45" t="b">
        <x:v>1</x:v>
      </x:c>
      <x:c r="AI193" s="45" t="b">
        <x:v>1</x:v>
      </x:c>
      <x:c r="AJ193" s="49"/>
      <x:c r="AK193" s="48" t="n">
        <x:v>0.9497361880704042</x:v>
      </x:c>
      <x:c r="AL193" s="49"/>
      <x:c r="AM193" s="49"/>
      <x:c r="AN193" s="36" t="n">
        <x:v>1</x:v>
      </x:c>
      <x:c r="AO193" s="45" t="b">
        <x:v>1</x:v>
      </x:c>
      <x:c r="AP193" s="45" t="b">
        <x:v>1</x:v>
      </x:c>
      <x:c r="AQ193" s="46" t="n">
        <x:f>IF(T193="","",T193/'Readme-Protocol'!$B$24)</x:f>
        <x:v>5.001105059</x:v>
      </x:c>
      <x:c r="AR193" s="46" t="n">
        <x:f>IF(OR(S193="",S193=0),"",T193/S193)</x:f>
        <x:v>1.0002210118</x:v>
      </x:c>
      <x:c r="AS193" s="46" t="n">
        <x:f>IF(OR(X193="",Y193=""),"",ABS(Y193-X193)*'Readme-Protocol'!$B$27)</x:f>
        <x:v>0.02638119295957919</x:v>
      </x:c>
      <x:c r="AT193" s="49" t="b">
        <x:f>AND(M193&gt;0,N193&gt;=0,O193&gt;0)</x:f>
        <x:v>1</x:v>
      </x:c>
      <x:c r="AU193" s="49" t="b">
        <x:f>AND(AT193,N193&gt;=M193)</x:f>
        <x:v>1</x:v>
      </x:c>
      <x:c r="AV193" s="49" t="b">
        <x:f>OR(S193=0,T193&gt;=S193)</x:f>
        <x:v>1</x:v>
      </x:c>
      <x:c r="AW193" s="49" t="b">
        <x:f>IF(I193="cache-semantics",OR(V193&lt;&gt;"uniform",ABS(Y193-W193/'Readme-Protocol'!$B$27)&lt;='Readme-Protocol'!$B$28),TRUE)</x:f>
        <x:v>1</x:v>
      </x:c>
      <x:c r="AX193" s="43" t="n">
        <x:f>IF(I193="cache-semantics",INT(AA193*'Readme-Protocol'!$B$32),"")</x:f>
        <x:v>9900</x:v>
      </x:c>
      <x:c r="AY193" s="49" t="b">
        <x:f>IF(I193="cache-semantics",AX193=AB193,TRUE)</x:f>
        <x:v>1</x:v>
      </x:c>
      <x:c r="AZ193" s="49" t="b">
        <x:f>IF(I193="cache-semantics",AX193=AE193,TRUE)</x:f>
        <x:v>1</x:v>
      </x:c>
      <x:c r="BA193" s="49" t="b">
        <x:f>IF(I193="cache-semantics",AC193&gt;=AX193,IF(I193="no-store-control",AC193=0,FALSE))</x:f>
        <x:v>1</x:v>
      </x:c>
      <x:c r="BB193" s="49" t="b">
        <x:f>IF(I193="cache-semantics",AG193&gt;=AX193,IF(I193="no-store-control",AG193=0,FALSE))</x:f>
        <x:v>1</x:v>
      </x:c>
      <x:c r="BC193" s="49" t="b">
        <x:f>AND(BA193,BB193)</x:f>
        <x:v>1</x:v>
      </x:c>
      <x:c r="BD193" s="49" t="b">
        <x:f>IF(I193="no-store-control",AND(AC193=0,AG193=0),TRUE)</x:f>
        <x:v>1</x:v>
      </x:c>
      <x:c r="BE193" s="49" t="b">
        <x:f>IF(I193="no-store-control",AK193=0,TRUE)</x:f>
        <x:v>1</x:v>
      </x:c>
      <x:c r="BF193" s="49" t="b">
        <x:f>IF(I193="cache-semantics",AN193=1,TRUE)</x:f>
        <x:v>1</x:v>
      </x:c>
      <x:c r="BG193" s="49" t="b">
        <x:f>IF(I193="cache-semantics",AND(AU193,AV193,Q193,AW193,BC193,BF193),IF(I193="no-store-control",AND(AU193,AV193,Q193,BD193,BE193),FALSE))</x:f>
        <x:v>1</x:v>
      </x:c>
      <x:c r="BH193" s="49" t="b">
        <x:f>AND(R193,AT193=P193,AU193=L193,AV193=U193,AY193,AZ193,IF(I193="cache-semantics",AND(AW193=Z193,AND(BA193=AD193,BB193=AH193,BC193=AI193),BF193=AO193),IF(I193="no-store-control",AND(AND(BA193=AD193,BB193=AH193,BC193=AI193),BD193=AJ193,BE193=AL193),FALSE)),BG193=AP193)</x:f>
        <x:v>1</x:v>
      </x:c>
      <x:c r="BI193" s="49" t="b">
        <x:f>AND(J193,K193,BG193)</x:f>
        <x:v>0</x:v>
      </x:c>
    </x:row>
    <x:row r="194">
      <x:c r="A194" s="34" t="str">
        <x:v>article1-unified-v4-2-fb3f101b-20260903-000401-default-f04-p2-jcs321</x:v>
      </x:c>
      <x:c r="B194" s="34" t="str">
        <x:v>default</x:v>
      </x:c>
      <x:c r="C194" s="34" t="str">
        <x:v>jcs321</x:v>
      </x:c>
      <x:c r="D194" s="36" t="n">
        <x:v>4</x:v>
      </x:c>
      <x:c r="E194" s="36" t="n">
        <x:v>4</x:v>
      </x:c>
      <x:c r="F194" s="36" t="n">
        <x:v>2</x:v>
      </x:c>
      <x:c r="G194" s="36" t="n">
        <x:v>2</x:v>
      </x:c>
      <x:c r="H194" s="34" t="str">
        <x:v>initial</x:v>
      </x:c>
      <x:c r="I194" s="34" t="str">
        <x:v>cache-semantics</x:v>
      </x:c>
      <x:c r="J194" s="45" t="b">
        <x:v>1</x:v>
      </x:c>
      <x:c r="K194" s="45" t="b">
        <x:v>0</x:v>
      </x:c>
      <x:c r="L194" s="45" t="b">
        <x:v>1</x:v>
      </x:c>
      <x:c r="M194" s="43" t="n">
        <x:v>400000</x:v>
      </x:c>
      <x:c r="N194" s="43" t="n">
        <x:v>14761984</x:v>
      </x:c>
      <x:c r="O194" s="43" t="n">
        <x:v>2951159.9582373267</x:v>
      </x:c>
      <x:c r="P194" s="45" t="b">
        <x:v>1</x:v>
      </x:c>
      <x:c r="Q194" s="45" t="b">
        <x:v>1</x:v>
      </x:c>
      <x:c r="R194" s="45" t="b">
        <x:v>1</x:v>
      </x:c>
      <x:c r="S194" s="43" t="n">
        <x:v>5000000000</x:v>
      </x:c>
      <x:c r="T194" s="43" t="n">
        <x:v>5002095518</x:v>
      </x:c>
      <x:c r="U194" s="45" t="b">
        <x:v>1</x:v>
      </x:c>
      <x:c r="V194" s="34" t="str">
        <x:v>uniform</x:v>
      </x:c>
      <x:c r="W194" s="42" t="n">
        <x:v>95</x:v>
      </x:c>
      <x:c r="X194" s="48" t="n">
        <x:v>0.95</x:v>
      </x:c>
      <x:c r="Y194" s="48" t="n">
        <x:v>0.9501726190734253</x:v>
      </x:c>
      <x:c r="Z194" s="45" t="b">
        <x:v>1</x:v>
      </x:c>
      <x:c r="AA194" s="43" t="n">
        <x:v>10000</x:v>
      </x:c>
      <x:c r="AB194" s="43" t="n">
        <x:v>9900</x:v>
      </x:c>
      <x:c r="AC194" s="43" t="n">
        <x:v>10000</x:v>
      </x:c>
      <x:c r="AD194" s="45" t="b">
        <x:v>1</x:v>
      </x:c>
      <x:c r="AE194" s="43" t="n">
        <x:v>9900</x:v>
      </x:c>
      <x:c r="AF194" s="43"/>
      <x:c r="AG194" s="43" t="n">
        <x:v>10000</x:v>
      </x:c>
      <x:c r="AH194" s="45" t="b">
        <x:v>1</x:v>
      </x:c>
      <x:c r="AI194" s="45" t="b">
        <x:v>1</x:v>
      </x:c>
      <x:c r="AJ194" s="49"/>
      <x:c r="AK194" s="48" t="n">
        <x:v>0.9501726190734253</x:v>
      </x:c>
      <x:c r="AL194" s="49"/>
      <x:c r="AM194" s="49"/>
      <x:c r="AN194" s="36" t="n">
        <x:v>1</x:v>
      </x:c>
      <x:c r="AO194" s="45" t="b">
        <x:v>1</x:v>
      </x:c>
      <x:c r="AP194" s="45" t="b">
        <x:v>1</x:v>
      </x:c>
      <x:c r="AQ194" s="46" t="n">
        <x:f>IF(T194="","",T194/'Readme-Protocol'!$B$24)</x:f>
        <x:v>5.002095518</x:v>
      </x:c>
      <x:c r="AR194" s="46" t="n">
        <x:f>IF(OR(S194="",S194=0),"",T194/S194)</x:f>
        <x:v>1.0004191036</x:v>
      </x:c>
      <x:c r="AS194" s="46" t="n">
        <x:f>IF(OR(X194="",Y194=""),"",ABS(Y194-X194)*'Readme-Protocol'!$B$27)</x:f>
        <x:v>0.017261907342536187</x:v>
      </x:c>
      <x:c r="AT194" s="49" t="b">
        <x:f>AND(M194&gt;0,N194&gt;=0,O194&gt;0)</x:f>
        <x:v>1</x:v>
      </x:c>
      <x:c r="AU194" s="49" t="b">
        <x:f>AND(AT194,N194&gt;=M194)</x:f>
        <x:v>1</x:v>
      </x:c>
      <x:c r="AV194" s="49" t="b">
        <x:f>OR(S194=0,T194&gt;=S194)</x:f>
        <x:v>1</x:v>
      </x:c>
      <x:c r="AW194" s="49" t="b">
        <x:f>IF(I194="cache-semantics",OR(V194&lt;&gt;"uniform",ABS(Y194-W194/'Readme-Protocol'!$B$27)&lt;='Readme-Protocol'!$B$28),TRUE)</x:f>
        <x:v>1</x:v>
      </x:c>
      <x:c r="AX194" s="43" t="n">
        <x:f>IF(I194="cache-semantics",INT(AA194*'Readme-Protocol'!$B$32),"")</x:f>
        <x:v>9900</x:v>
      </x:c>
      <x:c r="AY194" s="49" t="b">
        <x:f>IF(I194="cache-semantics",AX194=AB194,TRUE)</x:f>
        <x:v>1</x:v>
      </x:c>
      <x:c r="AZ194" s="49" t="b">
        <x:f>IF(I194="cache-semantics",AX194=AE194,TRUE)</x:f>
        <x:v>1</x:v>
      </x:c>
      <x:c r="BA194" s="49" t="b">
        <x:f>IF(I194="cache-semantics",AC194&gt;=AX194,IF(I194="no-store-control",AC194=0,FALSE))</x:f>
        <x:v>1</x:v>
      </x:c>
      <x:c r="BB194" s="49" t="b">
        <x:f>IF(I194="cache-semantics",AG194&gt;=AX194,IF(I194="no-store-control",AG194=0,FALSE))</x:f>
        <x:v>1</x:v>
      </x:c>
      <x:c r="BC194" s="49" t="b">
        <x:f>AND(BA194,BB194)</x:f>
        <x:v>1</x:v>
      </x:c>
      <x:c r="BD194" s="49" t="b">
        <x:f>IF(I194="no-store-control",AND(AC194=0,AG194=0),TRUE)</x:f>
        <x:v>1</x:v>
      </x:c>
      <x:c r="BE194" s="49" t="b">
        <x:f>IF(I194="no-store-control",AK194=0,TRUE)</x:f>
        <x:v>1</x:v>
      </x:c>
      <x:c r="BF194" s="49" t="b">
        <x:f>IF(I194="cache-semantics",AN194=1,TRUE)</x:f>
        <x:v>1</x:v>
      </x:c>
      <x:c r="BG194" s="49" t="b">
        <x:f>IF(I194="cache-semantics",AND(AU194,AV194,Q194,AW194,BC194,BF194),IF(I194="no-store-control",AND(AU194,AV194,Q194,BD194,BE194),FALSE))</x:f>
        <x:v>1</x:v>
      </x:c>
      <x:c r="BH194" s="49" t="b">
        <x:f>AND(R194,AT194=P194,AU194=L194,AV194=U194,AY194,AZ194,IF(I194="cache-semantics",AND(AW194=Z194,AND(BA194=AD194,BB194=AH194,BC194=AI194),BF194=AO194),IF(I194="no-store-control",AND(AND(BA194=AD194,BB194=AH194,BC194=AI194),BD194=AJ194,BE194=AL194),FALSE)),BG194=AP194)</x:f>
        <x:v>1</x:v>
      </x:c>
      <x:c r="BI194" s="49" t="b">
        <x:f>AND(J194,K194,BG194)</x:f>
        <x:v>0</x:v>
      </x:c>
    </x:row>
    <x:row r="195">
      <x:c r="A195" s="34" t="str">
        <x:v>article1-unified-v4-2-fb3f101b-20260903-000401-default-f04-p2-jcs321</x:v>
      </x:c>
      <x:c r="B195" s="34" t="str">
        <x:v>default</x:v>
      </x:c>
      <x:c r="C195" s="34" t="str">
        <x:v>jcs321</x:v>
      </x:c>
      <x:c r="D195" s="36" t="n">
        <x:v>4</x:v>
      </x:c>
      <x:c r="E195" s="36" t="n">
        <x:v>4</x:v>
      </x:c>
      <x:c r="F195" s="36" t="n">
        <x:v>2</x:v>
      </x:c>
      <x:c r="G195" s="36" t="n">
        <x:v>2</x:v>
      </x:c>
      <x:c r="H195" s="34" t="str">
        <x:v>redeploy</x:v>
      </x:c>
      <x:c r="I195" s="34" t="str">
        <x:v>cache-semantics</x:v>
      </x:c>
      <x:c r="J195" s="45" t="b">
        <x:v>1</x:v>
      </x:c>
      <x:c r="K195" s="45" t="b">
        <x:v>0</x:v>
      </x:c>
      <x:c r="L195" s="45" t="b">
        <x:v>1</x:v>
      </x:c>
      <x:c r="M195" s="43" t="n">
        <x:v>400000</x:v>
      </x:c>
      <x:c r="N195" s="43" t="n">
        <x:v>14724352</x:v>
      </x:c>
      <x:c r="O195" s="43" t="n">
        <x:v>2944515.18664375</x:v>
      </x:c>
      <x:c r="P195" s="45" t="b">
        <x:v>1</x:v>
      </x:c>
      <x:c r="Q195" s="45" t="b">
        <x:v>1</x:v>
      </x:c>
      <x:c r="R195" s="45" t="b">
        <x:v>1</x:v>
      </x:c>
      <x:c r="S195" s="43" t="n">
        <x:v>5000000000</x:v>
      </x:c>
      <x:c r="T195" s="43" t="n">
        <x:v>5000603178</x:v>
      </x:c>
      <x:c r="U195" s="45" t="b">
        <x:v>1</x:v>
      </x:c>
      <x:c r="V195" s="34" t="str">
        <x:v>uniform</x:v>
      </x:c>
      <x:c r="W195" s="42" t="n">
        <x:v>95</x:v>
      </x:c>
      <x:c r="X195" s="48" t="n">
        <x:v>0.95</x:v>
      </x:c>
      <x:c r="Y195" s="48" t="n">
        <x:v>0.9501394696350645</x:v>
      </x:c>
      <x:c r="Z195" s="45" t="b">
        <x:v>1</x:v>
      </x:c>
      <x:c r="AA195" s="43" t="n">
        <x:v>10000</x:v>
      </x:c>
      <x:c r="AB195" s="43" t="n">
        <x:v>9900</x:v>
      </x:c>
      <x:c r="AC195" s="43" t="n">
        <x:v>10000</x:v>
      </x:c>
      <x:c r="AD195" s="45" t="b">
        <x:v>1</x:v>
      </x:c>
      <x:c r="AE195" s="43" t="n">
        <x:v>9900</x:v>
      </x:c>
      <x:c r="AF195" s="43"/>
      <x:c r="AG195" s="43" t="n">
        <x:v>10000</x:v>
      </x:c>
      <x:c r="AH195" s="45" t="b">
        <x:v>1</x:v>
      </x:c>
      <x:c r="AI195" s="45" t="b">
        <x:v>1</x:v>
      </x:c>
      <x:c r="AJ195" s="49"/>
      <x:c r="AK195" s="48" t="n">
        <x:v>0.9501394696350645</x:v>
      </x:c>
      <x:c r="AL195" s="49"/>
      <x:c r="AM195" s="49"/>
      <x:c r="AN195" s="36" t="n">
        <x:v>1</x:v>
      </x:c>
      <x:c r="AO195" s="45" t="b">
        <x:v>1</x:v>
      </x:c>
      <x:c r="AP195" s="45" t="b">
        <x:v>1</x:v>
      </x:c>
      <x:c r="AQ195" s="46" t="n">
        <x:f>IF(T195="","",T195/'Readme-Protocol'!$B$24)</x:f>
        <x:v>5.000603178</x:v>
      </x:c>
      <x:c r="AR195" s="46" t="n">
        <x:f>IF(OR(S195="",S195=0),"",T195/S195)</x:f>
        <x:v>1.0001206356</x:v>
      </x:c>
      <x:c r="AS195" s="46" t="n">
        <x:f>IF(OR(X195="",Y195=""),"",ABS(Y195-X195)*'Readme-Protocol'!$B$27)</x:f>
        <x:v>0.013946963506450416</x:v>
      </x:c>
      <x:c r="AT195" s="49" t="b">
        <x:f>AND(M195&gt;0,N195&gt;=0,O195&gt;0)</x:f>
        <x:v>1</x:v>
      </x:c>
      <x:c r="AU195" s="49" t="b">
        <x:f>AND(AT195,N195&gt;=M195)</x:f>
        <x:v>1</x:v>
      </x:c>
      <x:c r="AV195" s="49" t="b">
        <x:f>OR(S195=0,T195&gt;=S195)</x:f>
        <x:v>1</x:v>
      </x:c>
      <x:c r="AW195" s="49" t="b">
        <x:f>IF(I195="cache-semantics",OR(V195&lt;&gt;"uniform",ABS(Y195-W195/'Readme-Protocol'!$B$27)&lt;='Readme-Protocol'!$B$28),TRUE)</x:f>
        <x:v>1</x:v>
      </x:c>
      <x:c r="AX195" s="43" t="n">
        <x:f>IF(I195="cache-semantics",INT(AA195*'Readme-Protocol'!$B$32),"")</x:f>
        <x:v>9900</x:v>
      </x:c>
      <x:c r="AY195" s="49" t="b">
        <x:f>IF(I195="cache-semantics",AX195=AB195,TRUE)</x:f>
        <x:v>1</x:v>
      </x:c>
      <x:c r="AZ195" s="49" t="b">
        <x:f>IF(I195="cache-semantics",AX195=AE195,TRUE)</x:f>
        <x:v>1</x:v>
      </x:c>
      <x:c r="BA195" s="49" t="b">
        <x:f>IF(I195="cache-semantics",AC195&gt;=AX195,IF(I195="no-store-control",AC195=0,FALSE))</x:f>
        <x:v>1</x:v>
      </x:c>
      <x:c r="BB195" s="49" t="b">
        <x:f>IF(I195="cache-semantics",AG195&gt;=AX195,IF(I195="no-store-control",AG195=0,FALSE))</x:f>
        <x:v>1</x:v>
      </x:c>
      <x:c r="BC195" s="49" t="b">
        <x:f>AND(BA195,BB195)</x:f>
        <x:v>1</x:v>
      </x:c>
      <x:c r="BD195" s="49" t="b">
        <x:f>IF(I195="no-store-control",AND(AC195=0,AG195=0),TRUE)</x:f>
        <x:v>1</x:v>
      </x:c>
      <x:c r="BE195" s="49" t="b">
        <x:f>IF(I195="no-store-control",AK195=0,TRUE)</x:f>
        <x:v>1</x:v>
      </x:c>
      <x:c r="BF195" s="49" t="b">
        <x:f>IF(I195="cache-semantics",AN195=1,TRUE)</x:f>
        <x:v>1</x:v>
      </x:c>
      <x:c r="BG195" s="49" t="b">
        <x:f>IF(I195="cache-semantics",AND(AU195,AV195,Q195,AW195,BC195,BF195),IF(I195="no-store-control",AND(AU195,AV195,Q195,BD195,BE195),FALSE))</x:f>
        <x:v>1</x:v>
      </x:c>
      <x:c r="BH195" s="49" t="b">
        <x:f>AND(R195,AT195=P195,AU195=L195,AV195=U195,AY195,AZ195,IF(I195="cache-semantics",AND(AW195=Z195,AND(BA195=AD195,BB195=AH195,BC195=AI195),BF195=AO195),IF(I195="no-store-control",AND(AND(BA195=AD195,BB195=AH195,BC195=AI195),BD195=AJ195,BE195=AL195),FALSE)),BG195=AP195)</x:f>
        <x:v>1</x:v>
      </x:c>
      <x:c r="BI195" s="49" t="b">
        <x:f>AND(J195,K195,BG195)</x:f>
        <x:v>0</x:v>
      </x:c>
    </x:row>
    <x:row r="196">
      <x:c r="A196" s="34" t="str">
        <x:v>article1-unified-v4-2-fb3f101b-20260903-000401-default-f04-p2-jcs321</x:v>
      </x:c>
      <x:c r="B196" s="34" t="str">
        <x:v>default</x:v>
      </x:c>
      <x:c r="C196" s="34" t="str">
        <x:v>jcs321</x:v>
      </x:c>
      <x:c r="D196" s="36" t="n">
        <x:v>4</x:v>
      </x:c>
      <x:c r="E196" s="36" t="n">
        <x:v>4</x:v>
      </x:c>
      <x:c r="F196" s="36" t="n">
        <x:v>2</x:v>
      </x:c>
      <x:c r="G196" s="36" t="n">
        <x:v>3</x:v>
      </x:c>
      <x:c r="H196" s="34" t="str">
        <x:v>initial</x:v>
      </x:c>
      <x:c r="I196" s="34" t="str">
        <x:v>cache-semantics</x:v>
      </x:c>
      <x:c r="J196" s="45" t="b">
        <x:v>1</x:v>
      </x:c>
      <x:c r="K196" s="45" t="b">
        <x:v>0</x:v>
      </x:c>
      <x:c r="L196" s="45" t="b">
        <x:v>1</x:v>
      </x:c>
      <x:c r="M196" s="43" t="n">
        <x:v>400000</x:v>
      </x:c>
      <x:c r="N196" s="43" t="n">
        <x:v>11994112</x:v>
      </x:c>
      <x:c r="O196" s="43" t="n">
        <x:v>2398480.658719392</x:v>
      </x:c>
      <x:c r="P196" s="45" t="b">
        <x:v>1</x:v>
      </x:c>
      <x:c r="Q196" s="45" t="b">
        <x:v>1</x:v>
      </x:c>
      <x:c r="R196" s="45" t="b">
        <x:v>1</x:v>
      </x:c>
      <x:c r="S196" s="43" t="n">
        <x:v>5000000000</x:v>
      </x:c>
      <x:c r="T196" s="43" t="n">
        <x:v>5000712412</x:v>
      </x:c>
      <x:c r="U196" s="45" t="b">
        <x:v>1</x:v>
      </x:c>
      <x:c r="V196" s="34" t="str">
        <x:v>uniform</x:v>
      </x:c>
      <x:c r="W196" s="42" t="n">
        <x:v>95</x:v>
      </x:c>
      <x:c r="X196" s="48" t="n">
        <x:v>0.95</x:v>
      </x:c>
      <x:c r="Y196" s="48" t="n">
        <x:v>0.9500504914411337</x:v>
      </x:c>
      <x:c r="Z196" s="45" t="b">
        <x:v>1</x:v>
      </x:c>
      <x:c r="AA196" s="43" t="n">
        <x:v>10000</x:v>
      </x:c>
      <x:c r="AB196" s="43" t="n">
        <x:v>9900</x:v>
      </x:c>
      <x:c r="AC196" s="43" t="n">
        <x:v>10000</x:v>
      </x:c>
      <x:c r="AD196" s="45" t="b">
        <x:v>1</x:v>
      </x:c>
      <x:c r="AE196" s="43" t="n">
        <x:v>9900</x:v>
      </x:c>
      <x:c r="AF196" s="43"/>
      <x:c r="AG196" s="43" t="n">
        <x:v>10000</x:v>
      </x:c>
      <x:c r="AH196" s="45" t="b">
        <x:v>1</x:v>
      </x:c>
      <x:c r="AI196" s="45" t="b">
        <x:v>1</x:v>
      </x:c>
      <x:c r="AJ196" s="49"/>
      <x:c r="AK196" s="48" t="n">
        <x:v>0.9500504914411337</x:v>
      </x:c>
      <x:c r="AL196" s="49"/>
      <x:c r="AM196" s="49"/>
      <x:c r="AN196" s="36" t="n">
        <x:v>1</x:v>
      </x:c>
      <x:c r="AO196" s="45" t="b">
        <x:v>1</x:v>
      </x:c>
      <x:c r="AP196" s="45" t="b">
        <x:v>1</x:v>
      </x:c>
      <x:c r="AQ196" s="46" t="n">
        <x:f>IF(T196="","",T196/'Readme-Protocol'!$B$24)</x:f>
        <x:v>5.000712412</x:v>
      </x:c>
      <x:c r="AR196" s="46" t="n">
        <x:f>IF(OR(S196="",S196=0),"",T196/S196)</x:f>
        <x:v>1.0001424824</x:v>
      </x:c>
      <x:c r="AS196" s="46" t="n">
        <x:f>IF(OR(X196="",Y196=""),"",ABS(Y196-X196)*'Readme-Protocol'!$B$27)</x:f>
        <x:v>0.005049144113378201</x:v>
      </x:c>
      <x:c r="AT196" s="49" t="b">
        <x:f>AND(M196&gt;0,N196&gt;=0,O196&gt;0)</x:f>
        <x:v>1</x:v>
      </x:c>
      <x:c r="AU196" s="49" t="b">
        <x:f>AND(AT196,N196&gt;=M196)</x:f>
        <x:v>1</x:v>
      </x:c>
      <x:c r="AV196" s="49" t="b">
        <x:f>OR(S196=0,T196&gt;=S196)</x:f>
        <x:v>1</x:v>
      </x:c>
      <x:c r="AW196" s="49" t="b">
        <x:f>IF(I196="cache-semantics",OR(V196&lt;&gt;"uniform",ABS(Y196-W196/'Readme-Protocol'!$B$27)&lt;='Readme-Protocol'!$B$28),TRUE)</x:f>
        <x:v>1</x:v>
      </x:c>
      <x:c r="AX196" s="43" t="n">
        <x:f>IF(I196="cache-semantics",INT(AA196*'Readme-Protocol'!$B$32),"")</x:f>
        <x:v>9900</x:v>
      </x:c>
      <x:c r="AY196" s="49" t="b">
        <x:f>IF(I196="cache-semantics",AX196=AB196,TRUE)</x:f>
        <x:v>1</x:v>
      </x:c>
      <x:c r="AZ196" s="49" t="b">
        <x:f>IF(I196="cache-semantics",AX196=AE196,TRUE)</x:f>
        <x:v>1</x:v>
      </x:c>
      <x:c r="BA196" s="49" t="b">
        <x:f>IF(I196="cache-semantics",AC196&gt;=AX196,IF(I196="no-store-control",AC196=0,FALSE))</x:f>
        <x:v>1</x:v>
      </x:c>
      <x:c r="BB196" s="49" t="b">
        <x:f>IF(I196="cache-semantics",AG196&gt;=AX196,IF(I196="no-store-control",AG196=0,FALSE))</x:f>
        <x:v>1</x:v>
      </x:c>
      <x:c r="BC196" s="49" t="b">
        <x:f>AND(BA196,BB196)</x:f>
        <x:v>1</x:v>
      </x:c>
      <x:c r="BD196" s="49" t="b">
        <x:f>IF(I196="no-store-control",AND(AC196=0,AG196=0),TRUE)</x:f>
        <x:v>1</x:v>
      </x:c>
      <x:c r="BE196" s="49" t="b">
        <x:f>IF(I196="no-store-control",AK196=0,TRUE)</x:f>
        <x:v>1</x:v>
      </x:c>
      <x:c r="BF196" s="49" t="b">
        <x:f>IF(I196="cache-semantics",AN196=1,TRUE)</x:f>
        <x:v>1</x:v>
      </x:c>
      <x:c r="BG196" s="49" t="b">
        <x:f>IF(I196="cache-semantics",AND(AU196,AV196,Q196,AW196,BC196,BF196),IF(I196="no-store-control",AND(AU196,AV196,Q196,BD196,BE196),FALSE))</x:f>
        <x:v>1</x:v>
      </x:c>
      <x:c r="BH196" s="49" t="b">
        <x:f>AND(R196,AT196=P196,AU196=L196,AV196=U196,AY196,AZ196,IF(I196="cache-semantics",AND(AW196=Z196,AND(BA196=AD196,BB196=AH196,BC196=AI196),BF196=AO196),IF(I196="no-store-control",AND(AND(BA196=AD196,BB196=AH196,BC196=AI196),BD196=AJ196,BE196=AL196),FALSE)),BG196=AP196)</x:f>
        <x:v>1</x:v>
      </x:c>
      <x:c r="BI196" s="49" t="b">
        <x:f>AND(J196,K196,BG196)</x:f>
        <x:v>0</x:v>
      </x:c>
    </x:row>
    <x:row r="197">
      <x:c r="A197" s="34" t="str">
        <x:v>article1-unified-v4-2-fb3f101b-20260903-000401-default-f04-p2-jcs321</x:v>
      </x:c>
      <x:c r="B197" s="34" t="str">
        <x:v>default</x:v>
      </x:c>
      <x:c r="C197" s="34" t="str">
        <x:v>jcs321</x:v>
      </x:c>
      <x:c r="D197" s="36" t="n">
        <x:v>4</x:v>
      </x:c>
      <x:c r="E197" s="36" t="n">
        <x:v>4</x:v>
      </x:c>
      <x:c r="F197" s="36" t="n">
        <x:v>2</x:v>
      </x:c>
      <x:c r="G197" s="36" t="n">
        <x:v>3</x:v>
      </x:c>
      <x:c r="H197" s="34" t="str">
        <x:v>redeploy</x:v>
      </x:c>
      <x:c r="I197" s="34" t="str">
        <x:v>cache-semantics</x:v>
      </x:c>
      <x:c r="J197" s="45" t="b">
        <x:v>1</x:v>
      </x:c>
      <x:c r="K197" s="45" t="b">
        <x:v>0</x:v>
      </x:c>
      <x:c r="L197" s="45" t="b">
        <x:v>1</x:v>
      </x:c>
      <x:c r="M197" s="43" t="n">
        <x:v>400000</x:v>
      </x:c>
      <x:c r="N197" s="43" t="n">
        <x:v>15379712</x:v>
      </x:c>
      <x:c r="O197" s="43" t="n">
        <x:v>3075588.6888472503</x:v>
      </x:c>
      <x:c r="P197" s="45" t="b">
        <x:v>1</x:v>
      </x:c>
      <x:c r="Q197" s="45" t="b">
        <x:v>1</x:v>
      </x:c>
      <x:c r="R197" s="45" t="b">
        <x:v>1</x:v>
      </x:c>
      <x:c r="S197" s="43" t="n">
        <x:v>5000000000</x:v>
      </x:c>
      <x:c r="T197" s="43" t="n">
        <x:v>5000575030</x:v>
      </x:c>
      <x:c r="U197" s="45" t="b">
        <x:v>1</x:v>
      </x:c>
      <x:c r="V197" s="34" t="str">
        <x:v>uniform</x:v>
      </x:c>
      <x:c r="W197" s="42" t="n">
        <x:v>95</x:v>
      </x:c>
      <x:c r="X197" s="48" t="n">
        <x:v>0.95</x:v>
      </x:c>
      <x:c r="Y197" s="48" t="n">
        <x:v>0.9500323543119663</x:v>
      </x:c>
      <x:c r="Z197" s="45" t="b">
        <x:v>1</x:v>
      </x:c>
      <x:c r="AA197" s="43" t="n">
        <x:v>10000</x:v>
      </x:c>
      <x:c r="AB197" s="43" t="n">
        <x:v>9900</x:v>
      </x:c>
      <x:c r="AC197" s="43" t="n">
        <x:v>10000</x:v>
      </x:c>
      <x:c r="AD197" s="45" t="b">
        <x:v>1</x:v>
      </x:c>
      <x:c r="AE197" s="43" t="n">
        <x:v>9900</x:v>
      </x:c>
      <x:c r="AF197" s="43"/>
      <x:c r="AG197" s="43" t="n">
        <x:v>10000</x:v>
      </x:c>
      <x:c r="AH197" s="45" t="b">
        <x:v>1</x:v>
      </x:c>
      <x:c r="AI197" s="45" t="b">
        <x:v>1</x:v>
      </x:c>
      <x:c r="AJ197" s="49"/>
      <x:c r="AK197" s="48" t="n">
        <x:v>0.9500323543119663</x:v>
      </x:c>
      <x:c r="AL197" s="49"/>
      <x:c r="AM197" s="49"/>
      <x:c r="AN197" s="36" t="n">
        <x:v>1</x:v>
      </x:c>
      <x:c r="AO197" s="45" t="b">
        <x:v>1</x:v>
      </x:c>
      <x:c r="AP197" s="45" t="b">
        <x:v>1</x:v>
      </x:c>
      <x:c r="AQ197" s="46" t="n">
        <x:f>IF(T197="","",T197/'Readme-Protocol'!$B$24)</x:f>
        <x:v>5.00057503</x:v>
      </x:c>
      <x:c r="AR197" s="46" t="n">
        <x:f>IF(OR(S197="",S197=0),"",T197/S197)</x:f>
        <x:v>1.000115006</x:v>
      </x:c>
      <x:c r="AS197" s="46" t="n">
        <x:f>IF(OR(X197="",Y197=""),"",ABS(Y197-X197)*'Readme-Protocol'!$B$27)</x:f>
        <x:v>0.0032354311966353855</x:v>
      </x:c>
      <x:c r="AT197" s="49" t="b">
        <x:f>AND(M197&gt;0,N197&gt;=0,O197&gt;0)</x:f>
        <x:v>1</x:v>
      </x:c>
      <x:c r="AU197" s="49" t="b">
        <x:f>AND(AT197,N197&gt;=M197)</x:f>
        <x:v>1</x:v>
      </x:c>
      <x:c r="AV197" s="49" t="b">
        <x:f>OR(S197=0,T197&gt;=S197)</x:f>
        <x:v>1</x:v>
      </x:c>
      <x:c r="AW197" s="49" t="b">
        <x:f>IF(I197="cache-semantics",OR(V197&lt;&gt;"uniform",ABS(Y197-W197/'Readme-Protocol'!$B$27)&lt;='Readme-Protocol'!$B$28),TRUE)</x:f>
        <x:v>1</x:v>
      </x:c>
      <x:c r="AX197" s="43" t="n">
        <x:f>IF(I197="cache-semantics",INT(AA197*'Readme-Protocol'!$B$32),"")</x:f>
        <x:v>9900</x:v>
      </x:c>
      <x:c r="AY197" s="49" t="b">
        <x:f>IF(I197="cache-semantics",AX197=AB197,TRUE)</x:f>
        <x:v>1</x:v>
      </x:c>
      <x:c r="AZ197" s="49" t="b">
        <x:f>IF(I197="cache-semantics",AX197=AE197,TRUE)</x:f>
        <x:v>1</x:v>
      </x:c>
      <x:c r="BA197" s="49" t="b">
        <x:f>IF(I197="cache-semantics",AC197&gt;=AX197,IF(I197="no-store-control",AC197=0,FALSE))</x:f>
        <x:v>1</x:v>
      </x:c>
      <x:c r="BB197" s="49" t="b">
        <x:f>IF(I197="cache-semantics",AG197&gt;=AX197,IF(I197="no-store-control",AG197=0,FALSE))</x:f>
        <x:v>1</x:v>
      </x:c>
      <x:c r="BC197" s="49" t="b">
        <x:f>AND(BA197,BB197)</x:f>
        <x:v>1</x:v>
      </x:c>
      <x:c r="BD197" s="49" t="b">
        <x:f>IF(I197="no-store-control",AND(AC197=0,AG197=0),TRUE)</x:f>
        <x:v>1</x:v>
      </x:c>
      <x:c r="BE197" s="49" t="b">
        <x:f>IF(I197="no-store-control",AK197=0,TRUE)</x:f>
        <x:v>1</x:v>
      </x:c>
      <x:c r="BF197" s="49" t="b">
        <x:f>IF(I197="cache-semantics",AN197=1,TRUE)</x:f>
        <x:v>1</x:v>
      </x:c>
      <x:c r="BG197" s="49" t="b">
        <x:f>IF(I197="cache-semantics",AND(AU197,AV197,Q197,AW197,BC197,BF197),IF(I197="no-store-control",AND(AU197,AV197,Q197,BD197,BE197),FALSE))</x:f>
        <x:v>1</x:v>
      </x:c>
      <x:c r="BH197" s="49" t="b">
        <x:f>AND(R197,AT197=P197,AU197=L197,AV197=U197,AY197,AZ197,IF(I197="cache-semantics",AND(AW197=Z197,AND(BA197=AD197,BB197=AH197,BC197=AI197),BF197=AO197),IF(I197="no-store-control",AND(AND(BA197=AD197,BB197=AH197,BC197=AI197),BD197=AJ197,BE197=AL197),FALSE)),BG197=AP197)</x:f>
        <x:v>1</x:v>
      </x:c>
      <x:c r="BI197" s="49" t="b">
        <x:f>AND(J197,K197,BG197)</x:f>
        <x:v>0</x:v>
      </x:c>
    </x:row>
    <x:row r="198">
      <x:c r="A198" s="34" t="str">
        <x:v>article1-unified-v4-2-fb3f101b-20260903-000401-default-f04-p2-jcs321</x:v>
      </x:c>
      <x:c r="B198" s="34" t="str">
        <x:v>default</x:v>
      </x:c>
      <x:c r="C198" s="34" t="str">
        <x:v>jcs321</x:v>
      </x:c>
      <x:c r="D198" s="36" t="n">
        <x:v>4</x:v>
      </x:c>
      <x:c r="E198" s="36" t="n">
        <x:v>4</x:v>
      </x:c>
      <x:c r="F198" s="36" t="n">
        <x:v>2</x:v>
      </x:c>
      <x:c r="G198" s="36" t="n">
        <x:v>4</x:v>
      </x:c>
      <x:c r="H198" s="34" t="str">
        <x:v>initial</x:v>
      </x:c>
      <x:c r="I198" s="34" t="str">
        <x:v>cache-semantics</x:v>
      </x:c>
      <x:c r="J198" s="45" t="b">
        <x:v>1</x:v>
      </x:c>
      <x:c r="K198" s="45" t="b">
        <x:v>0</x:v>
      </x:c>
      <x:c r="L198" s="45" t="b">
        <x:v>1</x:v>
      </x:c>
      <x:c r="M198" s="43" t="n">
        <x:v>400000</x:v>
      </x:c>
      <x:c r="N198" s="43" t="n">
        <x:v>14689536</x:v>
      </x:c>
      <x:c r="O198" s="43" t="n">
        <x:v>2937414.6302280035</x:v>
      </x:c>
      <x:c r="P198" s="45" t="b">
        <x:v>1</x:v>
      </x:c>
      <x:c r="Q198" s="45" t="b">
        <x:v>1</x:v>
      </x:c>
      <x:c r="R198" s="45" t="b">
        <x:v>1</x:v>
      </x:c>
      <x:c r="S198" s="43" t="n">
        <x:v>5000000000</x:v>
      </x:c>
      <x:c r="T198" s="43" t="n">
        <x:v>5000838441</x:v>
      </x:c>
      <x:c r="U198" s="45" t="b">
        <x:v>1</x:v>
      </x:c>
      <x:c r="V198" s="34" t="str">
        <x:v>uniform</x:v>
      </x:c>
      <x:c r="W198" s="42" t="n">
        <x:v>95</x:v>
      </x:c>
      <x:c r="X198" s="48" t="n">
        <x:v>0.95</x:v>
      </x:c>
      <x:c r="Y198" s="48" t="n">
        <x:v>0.9496838429750266</x:v>
      </x:c>
      <x:c r="Z198" s="45" t="b">
        <x:v>1</x:v>
      </x:c>
      <x:c r="AA198" s="43" t="n">
        <x:v>10000</x:v>
      </x:c>
      <x:c r="AB198" s="43" t="n">
        <x:v>9900</x:v>
      </x:c>
      <x:c r="AC198" s="43" t="n">
        <x:v>10000</x:v>
      </x:c>
      <x:c r="AD198" s="45" t="b">
        <x:v>1</x:v>
      </x:c>
      <x:c r="AE198" s="43" t="n">
        <x:v>9900</x:v>
      </x:c>
      <x:c r="AF198" s="43"/>
      <x:c r="AG198" s="43" t="n">
        <x:v>10000</x:v>
      </x:c>
      <x:c r="AH198" s="45" t="b">
        <x:v>1</x:v>
      </x:c>
      <x:c r="AI198" s="45" t="b">
        <x:v>1</x:v>
      </x:c>
      <x:c r="AJ198" s="49"/>
      <x:c r="AK198" s="48" t="n">
        <x:v>0.9496838429750266</x:v>
      </x:c>
      <x:c r="AL198" s="49"/>
      <x:c r="AM198" s="49"/>
      <x:c r="AN198" s="36" t="n">
        <x:v>1</x:v>
      </x:c>
      <x:c r="AO198" s="45" t="b">
        <x:v>1</x:v>
      </x:c>
      <x:c r="AP198" s="45" t="b">
        <x:v>1</x:v>
      </x:c>
      <x:c r="AQ198" s="46" t="n">
        <x:f>IF(T198="","",T198/'Readme-Protocol'!$B$24)</x:f>
        <x:v>5.000838441</x:v>
      </x:c>
      <x:c r="AR198" s="46" t="n">
        <x:f>IF(OR(S198="",S198=0),"",T198/S198)</x:f>
        <x:v>1.0001676882</x:v>
      </x:c>
      <x:c r="AS198" s="46" t="n">
        <x:f>IF(OR(X198="",Y198=""),"",ABS(Y198-X198)*'Readme-Protocol'!$B$27)</x:f>
        <x:v>0.03161570249733403</x:v>
      </x:c>
      <x:c r="AT198" s="49" t="b">
        <x:f>AND(M198&gt;0,N198&gt;=0,O198&gt;0)</x:f>
        <x:v>1</x:v>
      </x:c>
      <x:c r="AU198" s="49" t="b">
        <x:f>AND(AT198,N198&gt;=M198)</x:f>
        <x:v>1</x:v>
      </x:c>
      <x:c r="AV198" s="49" t="b">
        <x:f>OR(S198=0,T198&gt;=S198)</x:f>
        <x:v>1</x:v>
      </x:c>
      <x:c r="AW198" s="49" t="b">
        <x:f>IF(I198="cache-semantics",OR(V198&lt;&gt;"uniform",ABS(Y198-W198/'Readme-Protocol'!$B$27)&lt;='Readme-Protocol'!$B$28),TRUE)</x:f>
        <x:v>1</x:v>
      </x:c>
      <x:c r="AX198" s="43" t="n">
        <x:f>IF(I198="cache-semantics",INT(AA198*'Readme-Protocol'!$B$32),"")</x:f>
        <x:v>9900</x:v>
      </x:c>
      <x:c r="AY198" s="49" t="b">
        <x:f>IF(I198="cache-semantics",AX198=AB198,TRUE)</x:f>
        <x:v>1</x:v>
      </x:c>
      <x:c r="AZ198" s="49" t="b">
        <x:f>IF(I198="cache-semantics",AX198=AE198,TRUE)</x:f>
        <x:v>1</x:v>
      </x:c>
      <x:c r="BA198" s="49" t="b">
        <x:f>IF(I198="cache-semantics",AC198&gt;=AX198,IF(I198="no-store-control",AC198=0,FALSE))</x:f>
        <x:v>1</x:v>
      </x:c>
      <x:c r="BB198" s="49" t="b">
        <x:f>IF(I198="cache-semantics",AG198&gt;=AX198,IF(I198="no-store-control",AG198=0,FALSE))</x:f>
        <x:v>1</x:v>
      </x:c>
      <x:c r="BC198" s="49" t="b">
        <x:f>AND(BA198,BB198)</x:f>
        <x:v>1</x:v>
      </x:c>
      <x:c r="BD198" s="49" t="b">
        <x:f>IF(I198="no-store-control",AND(AC198=0,AG198=0),TRUE)</x:f>
        <x:v>1</x:v>
      </x:c>
      <x:c r="BE198" s="49" t="b">
        <x:f>IF(I198="no-store-control",AK198=0,TRUE)</x:f>
        <x:v>1</x:v>
      </x:c>
      <x:c r="BF198" s="49" t="b">
        <x:f>IF(I198="cache-semantics",AN198=1,TRUE)</x:f>
        <x:v>1</x:v>
      </x:c>
      <x:c r="BG198" s="49" t="b">
        <x:f>IF(I198="cache-semantics",AND(AU198,AV198,Q198,AW198,BC198,BF198),IF(I198="no-store-control",AND(AU198,AV198,Q198,BD198,BE198),FALSE))</x:f>
        <x:v>1</x:v>
      </x:c>
      <x:c r="BH198" s="49" t="b">
        <x:f>AND(R198,AT198=P198,AU198=L198,AV198=U198,AY198,AZ198,IF(I198="cache-semantics",AND(AW198=Z198,AND(BA198=AD198,BB198=AH198,BC198=AI198),BF198=AO198),IF(I198="no-store-control",AND(AND(BA198=AD198,BB198=AH198,BC198=AI198),BD198=AJ198,BE198=AL198),FALSE)),BG198=AP198)</x:f>
        <x:v>1</x:v>
      </x:c>
      <x:c r="BI198" s="49" t="b">
        <x:f>AND(J198,K198,BG198)</x:f>
        <x:v>0</x:v>
      </x:c>
    </x:row>
    <x:row r="199">
      <x:c r="A199" s="34" t="str">
        <x:v>article1-unified-v4-2-fb3f101b-20260903-000401-default-f04-p2-jcs321</x:v>
      </x:c>
      <x:c r="B199" s="34" t="str">
        <x:v>default</x:v>
      </x:c>
      <x:c r="C199" s="34" t="str">
        <x:v>jcs321</x:v>
      </x:c>
      <x:c r="D199" s="36" t="n">
        <x:v>4</x:v>
      </x:c>
      <x:c r="E199" s="36" t="n">
        <x:v>4</x:v>
      </x:c>
      <x:c r="F199" s="36" t="n">
        <x:v>2</x:v>
      </x:c>
      <x:c r="G199" s="36" t="n">
        <x:v>4</x:v>
      </x:c>
      <x:c r="H199" s="34" t="str">
        <x:v>redeploy</x:v>
      </x:c>
      <x:c r="I199" s="34" t="str">
        <x:v>cache-semantics</x:v>
      </x:c>
      <x:c r="J199" s="45" t="b">
        <x:v>1</x:v>
      </x:c>
      <x:c r="K199" s="45" t="b">
        <x:v>0</x:v>
      </x:c>
      <x:c r="L199" s="45" t="b">
        <x:v>1</x:v>
      </x:c>
      <x:c r="M199" s="43" t="n">
        <x:v>400000</x:v>
      </x:c>
      <x:c r="N199" s="43" t="n">
        <x:v>14706688</x:v>
      </x:c>
      <x:c r="O199" s="43" t="n">
        <x:v>2940913.4191175415</x:v>
      </x:c>
      <x:c r="P199" s="45" t="b">
        <x:v>1</x:v>
      </x:c>
      <x:c r="Q199" s="45" t="b">
        <x:v>1</x:v>
      </x:c>
      <x:c r="R199" s="45" t="b">
        <x:v>1</x:v>
      </x:c>
      <x:c r="S199" s="43" t="n">
        <x:v>5000000000</x:v>
      </x:c>
      <x:c r="T199" s="43" t="n">
        <x:v>5000721172</x:v>
      </x:c>
      <x:c r="U199" s="45" t="b">
        <x:v>1</x:v>
      </x:c>
      <x:c r="V199" s="34" t="str">
        <x:v>uniform</x:v>
      </x:c>
      <x:c r="W199" s="42" t="n">
        <x:v>95</x:v>
      </x:c>
      <x:c r="X199" s="48" t="n">
        <x:v>0.95</x:v>
      </x:c>
      <x:c r="Y199" s="48" t="n">
        <x:v>0.9496890802334285</x:v>
      </x:c>
      <x:c r="Z199" s="45" t="b">
        <x:v>1</x:v>
      </x:c>
      <x:c r="AA199" s="43" t="n">
        <x:v>10000</x:v>
      </x:c>
      <x:c r="AB199" s="43" t="n">
        <x:v>9900</x:v>
      </x:c>
      <x:c r="AC199" s="43" t="n">
        <x:v>10000</x:v>
      </x:c>
      <x:c r="AD199" s="45" t="b">
        <x:v>1</x:v>
      </x:c>
      <x:c r="AE199" s="43" t="n">
        <x:v>9900</x:v>
      </x:c>
      <x:c r="AF199" s="43"/>
      <x:c r="AG199" s="43" t="n">
        <x:v>10000</x:v>
      </x:c>
      <x:c r="AH199" s="45" t="b">
        <x:v>1</x:v>
      </x:c>
      <x:c r="AI199" s="45" t="b">
        <x:v>1</x:v>
      </x:c>
      <x:c r="AJ199" s="49"/>
      <x:c r="AK199" s="48" t="n">
        <x:v>0.9496890802334285</x:v>
      </x:c>
      <x:c r="AL199" s="49"/>
      <x:c r="AM199" s="49"/>
      <x:c r="AN199" s="36" t="n">
        <x:v>1</x:v>
      </x:c>
      <x:c r="AO199" s="45" t="b">
        <x:v>1</x:v>
      </x:c>
      <x:c r="AP199" s="45" t="b">
        <x:v>1</x:v>
      </x:c>
      <x:c r="AQ199" s="46" t="n">
        <x:f>IF(T199="","",T199/'Readme-Protocol'!$B$24)</x:f>
        <x:v>5.000721172</x:v>
      </x:c>
      <x:c r="AR199" s="46" t="n">
        <x:f>IF(OR(S199="",S199=0),"",T199/S199)</x:f>
        <x:v>1.0001442344</x:v>
      </x:c>
      <x:c r="AS199" s="46" t="n">
        <x:f>IF(OR(X199="",Y199=""),"",ABS(Y199-X199)*'Readme-Protocol'!$B$27)</x:f>
        <x:v>0.031091976657149356</x:v>
      </x:c>
      <x:c r="AT199" s="49" t="b">
        <x:f>AND(M199&gt;0,N199&gt;=0,O199&gt;0)</x:f>
        <x:v>1</x:v>
      </x:c>
      <x:c r="AU199" s="49" t="b">
        <x:f>AND(AT199,N199&gt;=M199)</x:f>
        <x:v>1</x:v>
      </x:c>
      <x:c r="AV199" s="49" t="b">
        <x:f>OR(S199=0,T199&gt;=S199)</x:f>
        <x:v>1</x:v>
      </x:c>
      <x:c r="AW199" s="49" t="b">
        <x:f>IF(I199="cache-semantics",OR(V199&lt;&gt;"uniform",ABS(Y199-W199/'Readme-Protocol'!$B$27)&lt;='Readme-Protocol'!$B$28),TRUE)</x:f>
        <x:v>1</x:v>
      </x:c>
      <x:c r="AX199" s="43" t="n">
        <x:f>IF(I199="cache-semantics",INT(AA199*'Readme-Protocol'!$B$32),"")</x:f>
        <x:v>9900</x:v>
      </x:c>
      <x:c r="AY199" s="49" t="b">
        <x:f>IF(I199="cache-semantics",AX199=AB199,TRUE)</x:f>
        <x:v>1</x:v>
      </x:c>
      <x:c r="AZ199" s="49" t="b">
        <x:f>IF(I199="cache-semantics",AX199=AE199,TRUE)</x:f>
        <x:v>1</x:v>
      </x:c>
      <x:c r="BA199" s="49" t="b">
        <x:f>IF(I199="cache-semantics",AC199&gt;=AX199,IF(I199="no-store-control",AC199=0,FALSE))</x:f>
        <x:v>1</x:v>
      </x:c>
      <x:c r="BB199" s="49" t="b">
        <x:f>IF(I199="cache-semantics",AG199&gt;=AX199,IF(I199="no-store-control",AG199=0,FALSE))</x:f>
        <x:v>1</x:v>
      </x:c>
      <x:c r="BC199" s="49" t="b">
        <x:f>AND(BA199,BB199)</x:f>
        <x:v>1</x:v>
      </x:c>
      <x:c r="BD199" s="49" t="b">
        <x:f>IF(I199="no-store-control",AND(AC199=0,AG199=0),TRUE)</x:f>
        <x:v>1</x:v>
      </x:c>
      <x:c r="BE199" s="49" t="b">
        <x:f>IF(I199="no-store-control",AK199=0,TRUE)</x:f>
        <x:v>1</x:v>
      </x:c>
      <x:c r="BF199" s="49" t="b">
        <x:f>IF(I199="cache-semantics",AN199=1,TRUE)</x:f>
        <x:v>1</x:v>
      </x:c>
      <x:c r="BG199" s="49" t="b">
        <x:f>IF(I199="cache-semantics",AND(AU199,AV199,Q199,AW199,BC199,BF199),IF(I199="no-store-control",AND(AU199,AV199,Q199,BD199,BE199),FALSE))</x:f>
        <x:v>1</x:v>
      </x:c>
      <x:c r="BH199" s="49" t="b">
        <x:f>AND(R199,AT199=P199,AU199=L199,AV199=U199,AY199,AZ199,IF(I199="cache-semantics",AND(AW199=Z199,AND(BA199=AD199,BB199=AH199,BC199=AI199),BF199=AO199),IF(I199="no-store-control",AND(AND(BA199=AD199,BB199=AH199,BC199=AI199),BD199=AJ199,BE199=AL199),FALSE)),BG199=AP199)</x:f>
        <x:v>1</x:v>
      </x:c>
      <x:c r="BI199" s="49" t="b">
        <x:f>AND(J199,K199,BG199)</x:f>
        <x:v>0</x:v>
      </x:c>
    </x:row>
    <x:row r="200">
      <x:c r="A200" s="34" t="str">
        <x:v>article1-unified-v4-2-fb3f101b-20260903-000401-default-f04-p2-jcs321</x:v>
      </x:c>
      <x:c r="B200" s="34" t="str">
        <x:v>default</x:v>
      </x:c>
      <x:c r="C200" s="34" t="str">
        <x:v>jcs321</x:v>
      </x:c>
      <x:c r="D200" s="36" t="n">
        <x:v>4</x:v>
      </x:c>
      <x:c r="E200" s="36" t="n">
        <x:v>4</x:v>
      </x:c>
      <x:c r="F200" s="36" t="n">
        <x:v>2</x:v>
      </x:c>
      <x:c r="G200" s="36" t="n">
        <x:v>5</x:v>
      </x:c>
      <x:c r="H200" s="34" t="str">
        <x:v>initial</x:v>
      </x:c>
      <x:c r="I200" s="34" t="str">
        <x:v>cache-semantics</x:v>
      </x:c>
      <x:c r="J200" s="45" t="b">
        <x:v>1</x:v>
      </x:c>
      <x:c r="K200" s="45" t="b">
        <x:v>0</x:v>
      </x:c>
      <x:c r="L200" s="45" t="b">
        <x:v>1</x:v>
      </x:c>
      <x:c r="M200" s="43" t="n">
        <x:v>400000</x:v>
      </x:c>
      <x:c r="N200" s="43" t="n">
        <x:v>13213696</x:v>
      </x:c>
      <x:c r="O200" s="43" t="n">
        <x:v>2642428.681863765</x:v>
      </x:c>
      <x:c r="P200" s="45" t="b">
        <x:v>1</x:v>
      </x:c>
      <x:c r="Q200" s="45" t="b">
        <x:v>1</x:v>
      </x:c>
      <x:c r="R200" s="45" t="b">
        <x:v>1</x:v>
      </x:c>
      <x:c r="S200" s="43" t="n">
        <x:v>5000000000</x:v>
      </x:c>
      <x:c r="T200" s="43" t="n">
        <x:v>5000587562</x:v>
      </x:c>
      <x:c r="U200" s="45" t="b">
        <x:v>1</x:v>
      </x:c>
      <x:c r="V200" s="34" t="str">
        <x:v>uniform</x:v>
      </x:c>
      <x:c r="W200" s="42" t="n">
        <x:v>95</x:v>
      </x:c>
      <x:c r="X200" s="48" t="n">
        <x:v>0.95</x:v>
      </x:c>
      <x:c r="Y200" s="48" t="n">
        <x:v>0.9497703746173667</x:v>
      </x:c>
      <x:c r="Z200" s="45" t="b">
        <x:v>1</x:v>
      </x:c>
      <x:c r="AA200" s="43" t="n">
        <x:v>10000</x:v>
      </x:c>
      <x:c r="AB200" s="43" t="n">
        <x:v>9900</x:v>
      </x:c>
      <x:c r="AC200" s="43" t="n">
        <x:v>10000</x:v>
      </x:c>
      <x:c r="AD200" s="45" t="b">
        <x:v>1</x:v>
      </x:c>
      <x:c r="AE200" s="43" t="n">
        <x:v>9900</x:v>
      </x:c>
      <x:c r="AF200" s="43"/>
      <x:c r="AG200" s="43" t="n">
        <x:v>10000</x:v>
      </x:c>
      <x:c r="AH200" s="45" t="b">
        <x:v>1</x:v>
      </x:c>
      <x:c r="AI200" s="45" t="b">
        <x:v>1</x:v>
      </x:c>
      <x:c r="AJ200" s="49"/>
      <x:c r="AK200" s="48" t="n">
        <x:v>0.9497703746173667</x:v>
      </x:c>
      <x:c r="AL200" s="49"/>
      <x:c r="AM200" s="49"/>
      <x:c r="AN200" s="36" t="n">
        <x:v>1</x:v>
      </x:c>
      <x:c r="AO200" s="45" t="b">
        <x:v>1</x:v>
      </x:c>
      <x:c r="AP200" s="45" t="b">
        <x:v>1</x:v>
      </x:c>
      <x:c r="AQ200" s="46" t="n">
        <x:f>IF(T200="","",T200/'Readme-Protocol'!$B$24)</x:f>
        <x:v>5.000587562</x:v>
      </x:c>
      <x:c r="AR200" s="46" t="n">
        <x:f>IF(OR(S200="",S200=0),"",T200/S200)</x:f>
        <x:v>1.0001175124</x:v>
      </x:c>
      <x:c r="AS200" s="46" t="n">
        <x:f>IF(OR(X200="",Y200=""),"",ABS(Y200-X200)*'Readme-Protocol'!$B$27)</x:f>
        <x:v>0.022962538263326948</x:v>
      </x:c>
      <x:c r="AT200" s="49" t="b">
        <x:f>AND(M200&gt;0,N200&gt;=0,O200&gt;0)</x:f>
        <x:v>1</x:v>
      </x:c>
      <x:c r="AU200" s="49" t="b">
        <x:f>AND(AT200,N200&gt;=M200)</x:f>
        <x:v>1</x:v>
      </x:c>
      <x:c r="AV200" s="49" t="b">
        <x:f>OR(S200=0,T200&gt;=S200)</x:f>
        <x:v>1</x:v>
      </x:c>
      <x:c r="AW200" s="49" t="b">
        <x:f>IF(I200="cache-semantics",OR(V200&lt;&gt;"uniform",ABS(Y200-W200/'Readme-Protocol'!$B$27)&lt;='Readme-Protocol'!$B$28),TRUE)</x:f>
        <x:v>1</x:v>
      </x:c>
      <x:c r="AX200" s="43" t="n">
        <x:f>IF(I200="cache-semantics",INT(AA200*'Readme-Protocol'!$B$32),"")</x:f>
        <x:v>9900</x:v>
      </x:c>
      <x:c r="AY200" s="49" t="b">
        <x:f>IF(I200="cache-semantics",AX200=AB200,TRUE)</x:f>
        <x:v>1</x:v>
      </x:c>
      <x:c r="AZ200" s="49" t="b">
        <x:f>IF(I200="cache-semantics",AX200=AE200,TRUE)</x:f>
        <x:v>1</x:v>
      </x:c>
      <x:c r="BA200" s="49" t="b">
        <x:f>IF(I200="cache-semantics",AC200&gt;=AX200,IF(I200="no-store-control",AC200=0,FALSE))</x:f>
        <x:v>1</x:v>
      </x:c>
      <x:c r="BB200" s="49" t="b">
        <x:f>IF(I200="cache-semantics",AG200&gt;=AX200,IF(I200="no-store-control",AG200=0,FALSE))</x:f>
        <x:v>1</x:v>
      </x:c>
      <x:c r="BC200" s="49" t="b">
        <x:f>AND(BA200,BB200)</x:f>
        <x:v>1</x:v>
      </x:c>
      <x:c r="BD200" s="49" t="b">
        <x:f>IF(I200="no-store-control",AND(AC200=0,AG200=0),TRUE)</x:f>
        <x:v>1</x:v>
      </x:c>
      <x:c r="BE200" s="49" t="b">
        <x:f>IF(I200="no-store-control",AK200=0,TRUE)</x:f>
        <x:v>1</x:v>
      </x:c>
      <x:c r="BF200" s="49" t="b">
        <x:f>IF(I200="cache-semantics",AN200=1,TRUE)</x:f>
        <x:v>1</x:v>
      </x:c>
      <x:c r="BG200" s="49" t="b">
        <x:f>IF(I200="cache-semantics",AND(AU200,AV200,Q200,AW200,BC200,BF200),IF(I200="no-store-control",AND(AU200,AV200,Q200,BD200,BE200),FALSE))</x:f>
        <x:v>1</x:v>
      </x:c>
      <x:c r="BH200" s="49" t="b">
        <x:f>AND(R200,AT200=P200,AU200=L200,AV200=U200,AY200,AZ200,IF(I200="cache-semantics",AND(AW200=Z200,AND(BA200=AD200,BB200=AH200,BC200=AI200),BF200=AO200),IF(I200="no-store-control",AND(AND(BA200=AD200,BB200=AH200,BC200=AI200),BD200=AJ200,BE200=AL200),FALSE)),BG200=AP200)</x:f>
        <x:v>1</x:v>
      </x:c>
      <x:c r="BI200" s="49" t="b">
        <x:f>AND(J200,K200,BG200)</x:f>
        <x:v>0</x:v>
      </x:c>
    </x:row>
    <x:row r="201">
      <x:c r="A201" s="34" t="str">
        <x:v>article1-unified-v4-2-fb3f101b-20260903-000401-default-f04-p2-jcs321</x:v>
      </x:c>
      <x:c r="B201" s="34" t="str">
        <x:v>default</x:v>
      </x:c>
      <x:c r="C201" s="34" t="str">
        <x:v>jcs321</x:v>
      </x:c>
      <x:c r="D201" s="36" t="n">
        <x:v>4</x:v>
      </x:c>
      <x:c r="E201" s="36" t="n">
        <x:v>4</x:v>
      </x:c>
      <x:c r="F201" s="36" t="n">
        <x:v>2</x:v>
      </x:c>
      <x:c r="G201" s="36" t="n">
        <x:v>5</x:v>
      </x:c>
      <x:c r="H201" s="34" t="str">
        <x:v>redeploy</x:v>
      </x:c>
      <x:c r="I201" s="34" t="str">
        <x:v>cache-semantics</x:v>
      </x:c>
      <x:c r="J201" s="45" t="b">
        <x:v>1</x:v>
      </x:c>
      <x:c r="K201" s="45" t="b">
        <x:v>0</x:v>
      </x:c>
      <x:c r="L201" s="45" t="b">
        <x:v>1</x:v>
      </x:c>
      <x:c r="M201" s="43" t="n">
        <x:v>400000</x:v>
      </x:c>
      <x:c r="N201" s="43" t="n">
        <x:v>14324992</x:v>
      </x:c>
      <x:c r="O201" s="43" t="n">
        <x:v>2864544.2305226126</x:v>
      </x:c>
      <x:c r="P201" s="45" t="b">
        <x:v>1</x:v>
      </x:c>
      <x:c r="Q201" s="45" t="b">
        <x:v>1</x:v>
      </x:c>
      <x:c r="R201" s="45" t="b">
        <x:v>1</x:v>
      </x:c>
      <x:c r="S201" s="43" t="n">
        <x:v>5000000000</x:v>
      </x:c>
      <x:c r="T201" s="43" t="n">
        <x:v>5000792743</x:v>
      </x:c>
      <x:c r="U201" s="45" t="b">
        <x:v>1</x:v>
      </x:c>
      <x:c r="V201" s="34" t="str">
        <x:v>uniform</x:v>
      </x:c>
      <x:c r="W201" s="42" t="n">
        <x:v>95</x:v>
      </x:c>
      <x:c r="X201" s="48" t="n">
        <x:v>0.95</x:v>
      </x:c>
      <x:c r="Y201" s="48" t="n">
        <x:v>0.9497612284879461</x:v>
      </x:c>
      <x:c r="Z201" s="45" t="b">
        <x:v>1</x:v>
      </x:c>
      <x:c r="AA201" s="43" t="n">
        <x:v>10000</x:v>
      </x:c>
      <x:c r="AB201" s="43" t="n">
        <x:v>9900</x:v>
      </x:c>
      <x:c r="AC201" s="43" t="n">
        <x:v>10000</x:v>
      </x:c>
      <x:c r="AD201" s="45" t="b">
        <x:v>1</x:v>
      </x:c>
      <x:c r="AE201" s="43" t="n">
        <x:v>9900</x:v>
      </x:c>
      <x:c r="AF201" s="43"/>
      <x:c r="AG201" s="43" t="n">
        <x:v>10000</x:v>
      </x:c>
      <x:c r="AH201" s="45" t="b">
        <x:v>1</x:v>
      </x:c>
      <x:c r="AI201" s="45" t="b">
        <x:v>1</x:v>
      </x:c>
      <x:c r="AJ201" s="49"/>
      <x:c r="AK201" s="48" t="n">
        <x:v>0.9497612284879461</x:v>
      </x:c>
      <x:c r="AL201" s="49"/>
      <x:c r="AM201" s="49"/>
      <x:c r="AN201" s="36" t="n">
        <x:v>1</x:v>
      </x:c>
      <x:c r="AO201" s="45" t="b">
        <x:v>1</x:v>
      </x:c>
      <x:c r="AP201" s="45" t="b">
        <x:v>1</x:v>
      </x:c>
      <x:c r="AQ201" s="46" t="n">
        <x:f>IF(T201="","",T201/'Readme-Protocol'!$B$24)</x:f>
        <x:v>5.000792743</x:v>
      </x:c>
      <x:c r="AR201" s="46" t="n">
        <x:f>IF(OR(S201="",S201=0),"",T201/S201)</x:f>
        <x:v>1.0001585486</x:v>
      </x:c>
      <x:c r="AS201" s="46" t="n">
        <x:f>IF(OR(X201="",Y201=""),"",ABS(Y201-X201)*'Readme-Protocol'!$B$27)</x:f>
        <x:v>0.023877151205387026</x:v>
      </x:c>
      <x:c r="AT201" s="49" t="b">
        <x:f>AND(M201&gt;0,N201&gt;=0,O201&gt;0)</x:f>
        <x:v>1</x:v>
      </x:c>
      <x:c r="AU201" s="49" t="b">
        <x:f>AND(AT201,N201&gt;=M201)</x:f>
        <x:v>1</x:v>
      </x:c>
      <x:c r="AV201" s="49" t="b">
        <x:f>OR(S201=0,T201&gt;=S201)</x:f>
        <x:v>1</x:v>
      </x:c>
      <x:c r="AW201" s="49" t="b">
        <x:f>IF(I201="cache-semantics",OR(V201&lt;&gt;"uniform",ABS(Y201-W201/'Readme-Protocol'!$B$27)&lt;='Readme-Protocol'!$B$28),TRUE)</x:f>
        <x:v>1</x:v>
      </x:c>
      <x:c r="AX201" s="43" t="n">
        <x:f>IF(I201="cache-semantics",INT(AA201*'Readme-Protocol'!$B$32),"")</x:f>
        <x:v>9900</x:v>
      </x:c>
      <x:c r="AY201" s="49" t="b">
        <x:f>IF(I201="cache-semantics",AX201=AB201,TRUE)</x:f>
        <x:v>1</x:v>
      </x:c>
      <x:c r="AZ201" s="49" t="b">
        <x:f>IF(I201="cache-semantics",AX201=AE201,TRUE)</x:f>
        <x:v>1</x:v>
      </x:c>
      <x:c r="BA201" s="49" t="b">
        <x:f>IF(I201="cache-semantics",AC201&gt;=AX201,IF(I201="no-store-control",AC201=0,FALSE))</x:f>
        <x:v>1</x:v>
      </x:c>
      <x:c r="BB201" s="49" t="b">
        <x:f>IF(I201="cache-semantics",AG201&gt;=AX201,IF(I201="no-store-control",AG201=0,FALSE))</x:f>
        <x:v>1</x:v>
      </x:c>
      <x:c r="BC201" s="49" t="b">
        <x:f>AND(BA201,BB201)</x:f>
        <x:v>1</x:v>
      </x:c>
      <x:c r="BD201" s="49" t="b">
        <x:f>IF(I201="no-store-control",AND(AC201=0,AG201=0),TRUE)</x:f>
        <x:v>1</x:v>
      </x:c>
      <x:c r="BE201" s="49" t="b">
        <x:f>IF(I201="no-store-control",AK201=0,TRUE)</x:f>
        <x:v>1</x:v>
      </x:c>
      <x:c r="BF201" s="49" t="b">
        <x:f>IF(I201="cache-semantics",AN201=1,TRUE)</x:f>
        <x:v>1</x:v>
      </x:c>
      <x:c r="BG201" s="49" t="b">
        <x:f>IF(I201="cache-semantics",AND(AU201,AV201,Q201,AW201,BC201,BF201),IF(I201="no-store-control",AND(AU201,AV201,Q201,BD201,BE201),FALSE))</x:f>
        <x:v>1</x:v>
      </x:c>
      <x:c r="BH201" s="49" t="b">
        <x:f>AND(R201,AT201=P201,AU201=L201,AV201=U201,AY201,AZ201,IF(I201="cache-semantics",AND(AW201=Z201,AND(BA201=AD201,BB201=AH201,BC201=AI201),BF201=AO201),IF(I201="no-store-control",AND(AND(BA201=AD201,BB201=AH201,BC201=AI201),BD201=AJ201,BE201=AL201),FALSE)),BG201=AP201)</x:f>
        <x:v>1</x:v>
      </x:c>
      <x:c r="BI201" s="49" t="b">
        <x:f>AND(J201,K201,BG201)</x:f>
        <x:v>0</x:v>
      </x:c>
    </x:row>
    <x:row r="202">
      <x:c r="A202" s="34" t="str">
        <x:v>article1-unified-v4-2-fb3f101b-20260903-000401-default-f04-p3-cache2k</x:v>
      </x:c>
      <x:c r="B202" s="34" t="str">
        <x:v>default</x:v>
      </x:c>
      <x:c r="C202" s="34" t="str">
        <x:v>cache2k</x:v>
      </x:c>
      <x:c r="D202" s="36" t="n">
        <x:v>4</x:v>
      </x:c>
      <x:c r="E202" s="36" t="n">
        <x:v>4</x:v>
      </x:c>
      <x:c r="F202" s="36" t="n">
        <x:v>3</x:v>
      </x:c>
      <x:c r="G202" s="36" t="n">
        <x:v>1</x:v>
      </x:c>
      <x:c r="H202" s="34" t="str">
        <x:v>initial</x:v>
      </x:c>
      <x:c r="I202" s="34" t="str">
        <x:v>cache-semantics</x:v>
      </x:c>
      <x:c r="J202" s="45" t="b">
        <x:v>1</x:v>
      </x:c>
      <x:c r="K202" s="45" t="b">
        <x:v>1</x:v>
      </x:c>
      <x:c r="L202" s="45" t="b">
        <x:v>1</x:v>
      </x:c>
      <x:c r="M202" s="43" t="n">
        <x:v>400000</x:v>
      </x:c>
      <x:c r="N202" s="43" t="n">
        <x:v>154902272</x:v>
      </x:c>
      <x:c r="O202" s="43" t="n">
        <x:v>30957400.529081155</x:v>
      </x:c>
      <x:c r="P202" s="45" t="b">
        <x:v>1</x:v>
      </x:c>
      <x:c r="Q202" s="45" t="b">
        <x:v>1</x:v>
      </x:c>
      <x:c r="R202" s="45" t="b">
        <x:v>1</x:v>
      </x:c>
      <x:c r="S202" s="43" t="n">
        <x:v>5000000000</x:v>
      </x:c>
      <x:c r="T202" s="43" t="n">
        <x:v>5003723483</x:v>
      </x:c>
      <x:c r="U202" s="45" t="b">
        <x:v>1</x:v>
      </x:c>
      <x:c r="V202" s="34" t="str">
        <x:v>uniform</x:v>
      </x:c>
      <x:c r="W202" s="42" t="n">
        <x:v>95</x:v>
      </x:c>
      <x:c r="X202" s="48" t="n">
        <x:v>0.95</x:v>
      </x:c>
      <x:c r="Y202" s="48" t="n">
        <x:v>0.9478035674002251</x:v>
      </x:c>
      <x:c r="Z202" s="45" t="b">
        <x:v>1</x:v>
      </x:c>
      <x:c r="AA202" s="43" t="n">
        <x:v>10000</x:v>
      </x:c>
      <x:c r="AB202" s="43" t="n">
        <x:v>9900</x:v>
      </x:c>
      <x:c r="AC202" s="43" t="n">
        <x:v>9979</x:v>
      </x:c>
      <x:c r="AD202" s="45" t="b">
        <x:v>1</x:v>
      </x:c>
      <x:c r="AE202" s="43" t="n">
        <x:v>9900</x:v>
      </x:c>
      <x:c r="AF202" s="43"/>
      <x:c r="AG202" s="43" t="n">
        <x:v>9992</x:v>
      </x:c>
      <x:c r="AH202" s="45" t="b">
        <x:v>1</x:v>
      </x:c>
      <x:c r="AI202" s="45" t="b">
        <x:v>1</x:v>
      </x:c>
      <x:c r="AJ202" s="49"/>
      <x:c r="AK202" s="48" t="n">
        <x:v>0.9478035674002251</x:v>
      </x:c>
      <x:c r="AL202" s="49"/>
      <x:c r="AM202" s="49"/>
      <x:c r="AN202" s="36" t="n">
        <x:v>1</x:v>
      </x:c>
      <x:c r="AO202" s="45" t="b">
        <x:v>1</x:v>
      </x:c>
      <x:c r="AP202" s="45" t="b">
        <x:v>1</x:v>
      </x:c>
      <x:c r="AQ202" s="46" t="n">
        <x:f>IF(T202="","",T202/'Readme-Protocol'!$B$24)</x:f>
        <x:v>5.003723483</x:v>
      </x:c>
      <x:c r="AR202" s="46" t="n">
        <x:f>IF(OR(S202="",S202=0),"",T202/S202)</x:f>
        <x:v>1.0007446966</x:v>
      </x:c>
      <x:c r="AS202" s="46" t="n">
        <x:f>IF(OR(X202="",Y202=""),"",ABS(Y202-X202)*'Readme-Protocol'!$B$27)</x:f>
        <x:v>0.21964325997748668</x:v>
      </x:c>
      <x:c r="AT202" s="49" t="b">
        <x:f>AND(M202&gt;0,N202&gt;=0,O202&gt;0)</x:f>
        <x:v>1</x:v>
      </x:c>
      <x:c r="AU202" s="49" t="b">
        <x:f>AND(AT202,N202&gt;=M202)</x:f>
        <x:v>1</x:v>
      </x:c>
      <x:c r="AV202" s="49" t="b">
        <x:f>OR(S202=0,T202&gt;=S202)</x:f>
        <x:v>1</x:v>
      </x:c>
      <x:c r="AW202" s="49" t="b">
        <x:f>IF(I202="cache-semantics",OR(V202&lt;&gt;"uniform",ABS(Y202-W202/'Readme-Protocol'!$B$27)&lt;='Readme-Protocol'!$B$28),TRUE)</x:f>
        <x:v>1</x:v>
      </x:c>
      <x:c r="AX202" s="43" t="n">
        <x:f>IF(I202="cache-semantics",INT(AA202*'Readme-Protocol'!$B$32),"")</x:f>
        <x:v>9900</x:v>
      </x:c>
      <x:c r="AY202" s="49" t="b">
        <x:f>IF(I202="cache-semantics",AX202=AB202,TRUE)</x:f>
        <x:v>1</x:v>
      </x:c>
      <x:c r="AZ202" s="49" t="b">
        <x:f>IF(I202="cache-semantics",AX202=AE202,TRUE)</x:f>
        <x:v>1</x:v>
      </x:c>
      <x:c r="BA202" s="49" t="b">
        <x:f>IF(I202="cache-semantics",AC202&gt;=AX202,IF(I202="no-store-control",AC202=0,FALSE))</x:f>
        <x:v>1</x:v>
      </x:c>
      <x:c r="BB202" s="49" t="b">
        <x:f>IF(I202="cache-semantics",AG202&gt;=AX202,IF(I202="no-store-control",AG202=0,FALSE))</x:f>
        <x:v>1</x:v>
      </x:c>
      <x:c r="BC202" s="49" t="b">
        <x:f>AND(BA202,BB202)</x:f>
        <x:v>1</x:v>
      </x:c>
      <x:c r="BD202" s="49" t="b">
        <x:f>IF(I202="no-store-control",AND(AC202=0,AG202=0),TRUE)</x:f>
        <x:v>1</x:v>
      </x:c>
      <x:c r="BE202" s="49" t="b">
        <x:f>IF(I202="no-store-control",AK202=0,TRUE)</x:f>
        <x:v>1</x:v>
      </x:c>
      <x:c r="BF202" s="49" t="b">
        <x:f>IF(I202="cache-semantics",AN202=1,TRUE)</x:f>
        <x:v>1</x:v>
      </x:c>
      <x:c r="BG202" s="49" t="b">
        <x:f>IF(I202="cache-semantics",AND(AU202,AV202,Q202,AW202,BC202,BF202),IF(I202="no-store-control",AND(AU202,AV202,Q202,BD202,BE202),FALSE))</x:f>
        <x:v>1</x:v>
      </x:c>
      <x:c r="BH202" s="49" t="b">
        <x:f>AND(R202,AT202=P202,AU202=L202,AV202=U202,AY202,AZ202,IF(I202="cache-semantics",AND(AW202=Z202,AND(BA202=AD202,BB202=AH202,BC202=AI202),BF202=AO202),IF(I202="no-store-control",AND(AND(BA202=AD202,BB202=AH202,BC202=AI202),BD202=AJ202,BE202=AL202),FALSE)),BG202=AP202)</x:f>
        <x:v>1</x:v>
      </x:c>
      <x:c r="BI202" s="49" t="b">
        <x:f>AND(J202,K202,BG202)</x:f>
        <x:v>1</x:v>
      </x:c>
    </x:row>
    <x:row r="203">
      <x:c r="A203" s="34" t="str">
        <x:v>article1-unified-v4-2-fb3f101b-20260903-000401-default-f04-p3-cache2k</x:v>
      </x:c>
      <x:c r="B203" s="34" t="str">
        <x:v>default</x:v>
      </x:c>
      <x:c r="C203" s="34" t="str">
        <x:v>cache2k</x:v>
      </x:c>
      <x:c r="D203" s="36" t="n">
        <x:v>4</x:v>
      </x:c>
      <x:c r="E203" s="36" t="n">
        <x:v>4</x:v>
      </x:c>
      <x:c r="F203" s="36" t="n">
        <x:v>3</x:v>
      </x:c>
      <x:c r="G203" s="36" t="n">
        <x:v>1</x:v>
      </x:c>
      <x:c r="H203" s="34" t="str">
        <x:v>redeploy</x:v>
      </x:c>
      <x:c r="I203" s="34" t="str">
        <x:v>cache-semantics</x:v>
      </x:c>
      <x:c r="J203" s="45" t="b">
        <x:v>1</x:v>
      </x:c>
      <x:c r="K203" s="45" t="b">
        <x:v>1</x:v>
      </x:c>
      <x:c r="L203" s="45" t="b">
        <x:v>1</x:v>
      </x:c>
      <x:c r="M203" s="43" t="n">
        <x:v>400000</x:v>
      </x:c>
      <x:c r="N203" s="43" t="n">
        <x:v>159768064</x:v>
      </x:c>
      <x:c r="O203" s="43" t="n">
        <x:v>31935751.587624714</x:v>
      </x:c>
      <x:c r="P203" s="45" t="b">
        <x:v>1</x:v>
      </x:c>
      <x:c r="Q203" s="45" t="b">
        <x:v>1</x:v>
      </x:c>
      <x:c r="R203" s="45" t="b">
        <x:v>1</x:v>
      </x:c>
      <x:c r="S203" s="43" t="n">
        <x:v>5000000000</x:v>
      </x:c>
      <x:c r="T203" s="43" t="n">
        <x:v>5002796429</x:v>
      </x:c>
      <x:c r="U203" s="45" t="b">
        <x:v>1</x:v>
      </x:c>
      <x:c r="V203" s="34" t="str">
        <x:v>uniform</x:v>
      </x:c>
      <x:c r="W203" s="42" t="n">
        <x:v>95</x:v>
      </x:c>
      <x:c r="X203" s="48" t="n">
        <x:v>0.95</x:v>
      </x:c>
      <x:c r="Y203" s="48" t="n">
        <x:v>0.9477977150677622</x:v>
      </x:c>
      <x:c r="Z203" s="45" t="b">
        <x:v>1</x:v>
      </x:c>
      <x:c r="AA203" s="43" t="n">
        <x:v>10000</x:v>
      </x:c>
      <x:c r="AB203" s="43" t="n">
        <x:v>9900</x:v>
      </x:c>
      <x:c r="AC203" s="43" t="n">
        <x:v>9979</x:v>
      </x:c>
      <x:c r="AD203" s="45" t="b">
        <x:v>1</x:v>
      </x:c>
      <x:c r="AE203" s="43" t="n">
        <x:v>9900</x:v>
      </x:c>
      <x:c r="AF203" s="43"/>
      <x:c r="AG203" s="43" t="n">
        <x:v>9992</x:v>
      </x:c>
      <x:c r="AH203" s="45" t="b">
        <x:v>1</x:v>
      </x:c>
      <x:c r="AI203" s="45" t="b">
        <x:v>1</x:v>
      </x:c>
      <x:c r="AJ203" s="49"/>
      <x:c r="AK203" s="48" t="n">
        <x:v>0.9477977150677622</x:v>
      </x:c>
      <x:c r="AL203" s="49"/>
      <x:c r="AM203" s="49"/>
      <x:c r="AN203" s="36" t="n">
        <x:v>1</x:v>
      </x:c>
      <x:c r="AO203" s="45" t="b">
        <x:v>1</x:v>
      </x:c>
      <x:c r="AP203" s="45" t="b">
        <x:v>1</x:v>
      </x:c>
      <x:c r="AQ203" s="46" t="n">
        <x:f>IF(T203="","",T203/'Readme-Protocol'!$B$24)</x:f>
        <x:v>5.002796429</x:v>
      </x:c>
      <x:c r="AR203" s="46" t="n">
        <x:f>IF(OR(S203="",S203=0),"",T203/S203)</x:f>
        <x:v>1.0005592858</x:v>
      </x:c>
      <x:c r="AS203" s="46" t="n">
        <x:f>IF(OR(X203="",Y203=""),"",ABS(Y203-X203)*'Readme-Protocol'!$B$27)</x:f>
        <x:v>0.22022849322377303</x:v>
      </x:c>
      <x:c r="AT203" s="49" t="b">
        <x:f>AND(M203&gt;0,N203&gt;=0,O203&gt;0)</x:f>
        <x:v>1</x:v>
      </x:c>
      <x:c r="AU203" s="49" t="b">
        <x:f>AND(AT203,N203&gt;=M203)</x:f>
        <x:v>1</x:v>
      </x:c>
      <x:c r="AV203" s="49" t="b">
        <x:f>OR(S203=0,T203&gt;=S203)</x:f>
        <x:v>1</x:v>
      </x:c>
      <x:c r="AW203" s="49" t="b">
        <x:f>IF(I203="cache-semantics",OR(V203&lt;&gt;"uniform",ABS(Y203-W203/'Readme-Protocol'!$B$27)&lt;='Readme-Protocol'!$B$28),TRUE)</x:f>
        <x:v>1</x:v>
      </x:c>
      <x:c r="AX203" s="43" t="n">
        <x:f>IF(I203="cache-semantics",INT(AA203*'Readme-Protocol'!$B$32),"")</x:f>
        <x:v>9900</x:v>
      </x:c>
      <x:c r="AY203" s="49" t="b">
        <x:f>IF(I203="cache-semantics",AX203=AB203,TRUE)</x:f>
        <x:v>1</x:v>
      </x:c>
      <x:c r="AZ203" s="49" t="b">
        <x:f>IF(I203="cache-semantics",AX203=AE203,TRUE)</x:f>
        <x:v>1</x:v>
      </x:c>
      <x:c r="BA203" s="49" t="b">
        <x:f>IF(I203="cache-semantics",AC203&gt;=AX203,IF(I203="no-store-control",AC203=0,FALSE))</x:f>
        <x:v>1</x:v>
      </x:c>
      <x:c r="BB203" s="49" t="b">
        <x:f>IF(I203="cache-semantics",AG203&gt;=AX203,IF(I203="no-store-control",AG203=0,FALSE))</x:f>
        <x:v>1</x:v>
      </x:c>
      <x:c r="BC203" s="49" t="b">
        <x:f>AND(BA203,BB203)</x:f>
        <x:v>1</x:v>
      </x:c>
      <x:c r="BD203" s="49" t="b">
        <x:f>IF(I203="no-store-control",AND(AC203=0,AG203=0),TRUE)</x:f>
        <x:v>1</x:v>
      </x:c>
      <x:c r="BE203" s="49" t="b">
        <x:f>IF(I203="no-store-control",AK203=0,TRUE)</x:f>
        <x:v>1</x:v>
      </x:c>
      <x:c r="BF203" s="49" t="b">
        <x:f>IF(I203="cache-semantics",AN203=1,TRUE)</x:f>
        <x:v>1</x:v>
      </x:c>
      <x:c r="BG203" s="49" t="b">
        <x:f>IF(I203="cache-semantics",AND(AU203,AV203,Q203,AW203,BC203,BF203),IF(I203="no-store-control",AND(AU203,AV203,Q203,BD203,BE203),FALSE))</x:f>
        <x:v>1</x:v>
      </x:c>
      <x:c r="BH203" s="49" t="b">
        <x:f>AND(R203,AT203=P203,AU203=L203,AV203=U203,AY203,AZ203,IF(I203="cache-semantics",AND(AW203=Z203,AND(BA203=AD203,BB203=AH203,BC203=AI203),BF203=AO203),IF(I203="no-store-control",AND(AND(BA203=AD203,BB203=AH203,BC203=AI203),BD203=AJ203,BE203=AL203),FALSE)),BG203=AP203)</x:f>
        <x:v>1</x:v>
      </x:c>
      <x:c r="BI203" s="49" t="b">
        <x:f>AND(J203,K203,BG203)</x:f>
        <x:v>1</x:v>
      </x:c>
    </x:row>
    <x:row r="204">
      <x:c r="A204" s="34" t="str">
        <x:v>article1-unified-v4-2-fb3f101b-20260903-000401-default-f04-p3-cache2k</x:v>
      </x:c>
      <x:c r="B204" s="34" t="str">
        <x:v>default</x:v>
      </x:c>
      <x:c r="C204" s="34" t="str">
        <x:v>cache2k</x:v>
      </x:c>
      <x:c r="D204" s="36" t="n">
        <x:v>4</x:v>
      </x:c>
      <x:c r="E204" s="36" t="n">
        <x:v>4</x:v>
      </x:c>
      <x:c r="F204" s="36" t="n">
        <x:v>3</x:v>
      </x:c>
      <x:c r="G204" s="36" t="n">
        <x:v>2</x:v>
      </x:c>
      <x:c r="H204" s="34" t="str">
        <x:v>initial</x:v>
      </x:c>
      <x:c r="I204" s="34" t="str">
        <x:v>cache-semantics</x:v>
      </x:c>
      <x:c r="J204" s="45" t="b">
        <x:v>1</x:v>
      </x:c>
      <x:c r="K204" s="45" t="b">
        <x:v>1</x:v>
      </x:c>
      <x:c r="L204" s="45" t="b">
        <x:v>1</x:v>
      </x:c>
      <x:c r="M204" s="43" t="n">
        <x:v>400000</x:v>
      </x:c>
      <x:c r="N204" s="43" t="n">
        <x:v>158665472</x:v>
      </x:c>
      <x:c r="O204" s="43" t="n">
        <x:v>31716201.646903183</x:v>
      </x:c>
      <x:c r="P204" s="45" t="b">
        <x:v>1</x:v>
      </x:c>
      <x:c r="Q204" s="45" t="b">
        <x:v>1</x:v>
      </x:c>
      <x:c r="R204" s="45" t="b">
        <x:v>1</x:v>
      </x:c>
      <x:c r="S204" s="43" t="n">
        <x:v>5000000000</x:v>
      </x:c>
      <x:c r="T204" s="43" t="n">
        <x:v>5002663111</x:v>
      </x:c>
      <x:c r="U204" s="45" t="b">
        <x:v>1</x:v>
      </x:c>
      <x:c r="V204" s="34" t="str">
        <x:v>uniform</x:v>
      </x:c>
      <x:c r="W204" s="42" t="n">
        <x:v>95</x:v>
      </x:c>
      <x:c r="X204" s="48" t="n">
        <x:v>0.95</x:v>
      </x:c>
      <x:c r="Y204" s="48" t="n">
        <x:v>0.9480637980265801</x:v>
      </x:c>
      <x:c r="Z204" s="45" t="b">
        <x:v>1</x:v>
      </x:c>
      <x:c r="AA204" s="43" t="n">
        <x:v>10000</x:v>
      </x:c>
      <x:c r="AB204" s="43" t="n">
        <x:v>9900</x:v>
      </x:c>
      <x:c r="AC204" s="43" t="n">
        <x:v>9979</x:v>
      </x:c>
      <x:c r="AD204" s="45" t="b">
        <x:v>1</x:v>
      </x:c>
      <x:c r="AE204" s="43" t="n">
        <x:v>9900</x:v>
      </x:c>
      <x:c r="AF204" s="43"/>
      <x:c r="AG204" s="43" t="n">
        <x:v>9994</x:v>
      </x:c>
      <x:c r="AH204" s="45" t="b">
        <x:v>1</x:v>
      </x:c>
      <x:c r="AI204" s="45" t="b">
        <x:v>1</x:v>
      </x:c>
      <x:c r="AJ204" s="49"/>
      <x:c r="AK204" s="48" t="n">
        <x:v>0.9480637980265801</x:v>
      </x:c>
      <x:c r="AL204" s="49"/>
      <x:c r="AM204" s="49"/>
      <x:c r="AN204" s="36" t="n">
        <x:v>1</x:v>
      </x:c>
      <x:c r="AO204" s="45" t="b">
        <x:v>1</x:v>
      </x:c>
      <x:c r="AP204" s="45" t="b">
        <x:v>1</x:v>
      </x:c>
      <x:c r="AQ204" s="46" t="n">
        <x:f>IF(T204="","",T204/'Readme-Protocol'!$B$24)</x:f>
        <x:v>5.002663111</x:v>
      </x:c>
      <x:c r="AR204" s="46" t="n">
        <x:f>IF(OR(S204="",S204=0),"",T204/S204)</x:f>
        <x:v>1.0005326222</x:v>
      </x:c>
      <x:c r="AS204" s="46" t="n">
        <x:f>IF(OR(X204="",Y204=""),"",ABS(Y204-X204)*'Readme-Protocol'!$B$27)</x:f>
        <x:v>0.19362019734198155</x:v>
      </x:c>
      <x:c r="AT204" s="49" t="b">
        <x:f>AND(M204&gt;0,N204&gt;=0,O204&gt;0)</x:f>
        <x:v>1</x:v>
      </x:c>
      <x:c r="AU204" s="49" t="b">
        <x:f>AND(AT204,N204&gt;=M204)</x:f>
        <x:v>1</x:v>
      </x:c>
      <x:c r="AV204" s="49" t="b">
        <x:f>OR(S204=0,T204&gt;=S204)</x:f>
        <x:v>1</x:v>
      </x:c>
      <x:c r="AW204" s="49" t="b">
        <x:f>IF(I204="cache-semantics",OR(V204&lt;&gt;"uniform",ABS(Y204-W204/'Readme-Protocol'!$B$27)&lt;='Readme-Protocol'!$B$28),TRUE)</x:f>
        <x:v>1</x:v>
      </x:c>
      <x:c r="AX204" s="43" t="n">
        <x:f>IF(I204="cache-semantics",INT(AA204*'Readme-Protocol'!$B$32),"")</x:f>
        <x:v>9900</x:v>
      </x:c>
      <x:c r="AY204" s="49" t="b">
        <x:f>IF(I204="cache-semantics",AX204=AB204,TRUE)</x:f>
        <x:v>1</x:v>
      </x:c>
      <x:c r="AZ204" s="49" t="b">
        <x:f>IF(I204="cache-semantics",AX204=AE204,TRUE)</x:f>
        <x:v>1</x:v>
      </x:c>
      <x:c r="BA204" s="49" t="b">
        <x:f>IF(I204="cache-semantics",AC204&gt;=AX204,IF(I204="no-store-control",AC204=0,FALSE))</x:f>
        <x:v>1</x:v>
      </x:c>
      <x:c r="BB204" s="49" t="b">
        <x:f>IF(I204="cache-semantics",AG204&gt;=AX204,IF(I204="no-store-control",AG204=0,FALSE))</x:f>
        <x:v>1</x:v>
      </x:c>
      <x:c r="BC204" s="49" t="b">
        <x:f>AND(BA204,BB204)</x:f>
        <x:v>1</x:v>
      </x:c>
      <x:c r="BD204" s="49" t="b">
        <x:f>IF(I204="no-store-control",AND(AC204=0,AG204=0),TRUE)</x:f>
        <x:v>1</x:v>
      </x:c>
      <x:c r="BE204" s="49" t="b">
        <x:f>IF(I204="no-store-control",AK204=0,TRUE)</x:f>
        <x:v>1</x:v>
      </x:c>
      <x:c r="BF204" s="49" t="b">
        <x:f>IF(I204="cache-semantics",AN204=1,TRUE)</x:f>
        <x:v>1</x:v>
      </x:c>
      <x:c r="BG204" s="49" t="b">
        <x:f>IF(I204="cache-semantics",AND(AU204,AV204,Q204,AW204,BC204,BF204),IF(I204="no-store-control",AND(AU204,AV204,Q204,BD204,BE204),FALSE))</x:f>
        <x:v>1</x:v>
      </x:c>
      <x:c r="BH204" s="49" t="b">
        <x:f>AND(R204,AT204=P204,AU204=L204,AV204=U204,AY204,AZ204,IF(I204="cache-semantics",AND(AW204=Z204,AND(BA204=AD204,BB204=AH204,BC204=AI204),BF204=AO204),IF(I204="no-store-control",AND(AND(BA204=AD204,BB204=AH204,BC204=AI204),BD204=AJ204,BE204=AL204),FALSE)),BG204=AP204)</x:f>
        <x:v>1</x:v>
      </x:c>
      <x:c r="BI204" s="49" t="b">
        <x:f>AND(J204,K204,BG204)</x:f>
        <x:v>1</x:v>
      </x:c>
    </x:row>
    <x:row r="205">
      <x:c r="A205" s="34" t="str">
        <x:v>article1-unified-v4-2-fb3f101b-20260903-000401-default-f04-p3-cache2k</x:v>
      </x:c>
      <x:c r="B205" s="34" t="str">
        <x:v>default</x:v>
      </x:c>
      <x:c r="C205" s="34" t="str">
        <x:v>cache2k</x:v>
      </x:c>
      <x:c r="D205" s="36" t="n">
        <x:v>4</x:v>
      </x:c>
      <x:c r="E205" s="36" t="n">
        <x:v>4</x:v>
      </x:c>
      <x:c r="F205" s="36" t="n">
        <x:v>3</x:v>
      </x:c>
      <x:c r="G205" s="36" t="n">
        <x:v>2</x:v>
      </x:c>
      <x:c r="H205" s="34" t="str">
        <x:v>redeploy</x:v>
      </x:c>
      <x:c r="I205" s="34" t="str">
        <x:v>cache-semantics</x:v>
      </x:c>
      <x:c r="J205" s="45" t="b">
        <x:v>1</x:v>
      </x:c>
      <x:c r="K205" s="45" t="b">
        <x:v>1</x:v>
      </x:c>
      <x:c r="L205" s="45" t="b">
        <x:v>1</x:v>
      </x:c>
      <x:c r="M205" s="43" t="n">
        <x:v>400000</x:v>
      </x:c>
      <x:c r="N205" s="43" t="n">
        <x:v>152719872</x:v>
      </x:c>
      <x:c r="O205" s="43" t="n">
        <x:v>30525489.8910647</x:v>
      </x:c>
      <x:c r="P205" s="45" t="b">
        <x:v>1</x:v>
      </x:c>
      <x:c r="Q205" s="45" t="b">
        <x:v>1</x:v>
      </x:c>
      <x:c r="R205" s="45" t="b">
        <x:v>1</x:v>
      </x:c>
      <x:c r="S205" s="43" t="n">
        <x:v>5000000000</x:v>
      </x:c>
      <x:c r="T205" s="43" t="n">
        <x:v>5003027717</x:v>
      </x:c>
      <x:c r="U205" s="45" t="b">
        <x:v>1</x:v>
      </x:c>
      <x:c r="V205" s="34" t="str">
        <x:v>uniform</x:v>
      </x:c>
      <x:c r="W205" s="42" t="n">
        <x:v>95</x:v>
      </x:c>
      <x:c r="X205" s="48" t="n">
        <x:v>0.95</x:v>
      </x:c>
      <x:c r="Y205" s="48" t="n">
        <x:v>0.9480435984126545</x:v>
      </x:c>
      <x:c r="Z205" s="45" t="b">
        <x:v>1</x:v>
      </x:c>
      <x:c r="AA205" s="43" t="n">
        <x:v>10000</x:v>
      </x:c>
      <x:c r="AB205" s="43" t="n">
        <x:v>9900</x:v>
      </x:c>
      <x:c r="AC205" s="43" t="n">
        <x:v>9979</x:v>
      </x:c>
      <x:c r="AD205" s="45" t="b">
        <x:v>1</x:v>
      </x:c>
      <x:c r="AE205" s="43" t="n">
        <x:v>9900</x:v>
      </x:c>
      <x:c r="AF205" s="43"/>
      <x:c r="AG205" s="43" t="n">
        <x:v>9996</x:v>
      </x:c>
      <x:c r="AH205" s="45" t="b">
        <x:v>1</x:v>
      </x:c>
      <x:c r="AI205" s="45" t="b">
        <x:v>1</x:v>
      </x:c>
      <x:c r="AJ205" s="49"/>
      <x:c r="AK205" s="48" t="n">
        <x:v>0.9480435984126545</x:v>
      </x:c>
      <x:c r="AL205" s="49"/>
      <x:c r="AM205" s="49"/>
      <x:c r="AN205" s="36" t="n">
        <x:v>1</x:v>
      </x:c>
      <x:c r="AO205" s="45" t="b">
        <x:v>1</x:v>
      </x:c>
      <x:c r="AP205" s="45" t="b">
        <x:v>1</x:v>
      </x:c>
      <x:c r="AQ205" s="46" t="n">
        <x:f>IF(T205="","",T205/'Readme-Protocol'!$B$24)</x:f>
        <x:v>5.003027717</x:v>
      </x:c>
      <x:c r="AR205" s="46" t="n">
        <x:f>IF(OR(S205="",S205=0),"",T205/S205)</x:f>
        <x:v>1.0006055434</x:v>
      </x:c>
      <x:c r="AS205" s="46" t="n">
        <x:f>IF(OR(X205="",Y205=""),"",ABS(Y205-X205)*'Readme-Protocol'!$B$27)</x:f>
        <x:v>0.19564015873454466</x:v>
      </x:c>
      <x:c r="AT205" s="49" t="b">
        <x:f>AND(M205&gt;0,N205&gt;=0,O205&gt;0)</x:f>
        <x:v>1</x:v>
      </x:c>
      <x:c r="AU205" s="49" t="b">
        <x:f>AND(AT205,N205&gt;=M205)</x:f>
        <x:v>1</x:v>
      </x:c>
      <x:c r="AV205" s="49" t="b">
        <x:f>OR(S205=0,T205&gt;=S205)</x:f>
        <x:v>1</x:v>
      </x:c>
      <x:c r="AW205" s="49" t="b">
        <x:f>IF(I205="cache-semantics",OR(V205&lt;&gt;"uniform",ABS(Y205-W205/'Readme-Protocol'!$B$27)&lt;='Readme-Protocol'!$B$28),TRUE)</x:f>
        <x:v>1</x:v>
      </x:c>
      <x:c r="AX205" s="43" t="n">
        <x:f>IF(I205="cache-semantics",INT(AA205*'Readme-Protocol'!$B$32),"")</x:f>
        <x:v>9900</x:v>
      </x:c>
      <x:c r="AY205" s="49" t="b">
        <x:f>IF(I205="cache-semantics",AX205=AB205,TRUE)</x:f>
        <x:v>1</x:v>
      </x:c>
      <x:c r="AZ205" s="49" t="b">
        <x:f>IF(I205="cache-semantics",AX205=AE205,TRUE)</x:f>
        <x:v>1</x:v>
      </x:c>
      <x:c r="BA205" s="49" t="b">
        <x:f>IF(I205="cache-semantics",AC205&gt;=AX205,IF(I205="no-store-control",AC205=0,FALSE))</x:f>
        <x:v>1</x:v>
      </x:c>
      <x:c r="BB205" s="49" t="b">
        <x:f>IF(I205="cache-semantics",AG205&gt;=AX205,IF(I205="no-store-control",AG205=0,FALSE))</x:f>
        <x:v>1</x:v>
      </x:c>
      <x:c r="BC205" s="49" t="b">
        <x:f>AND(BA205,BB205)</x:f>
        <x:v>1</x:v>
      </x:c>
      <x:c r="BD205" s="49" t="b">
        <x:f>IF(I205="no-store-control",AND(AC205=0,AG205=0),TRUE)</x:f>
        <x:v>1</x:v>
      </x:c>
      <x:c r="BE205" s="49" t="b">
        <x:f>IF(I205="no-store-control",AK205=0,TRUE)</x:f>
        <x:v>1</x:v>
      </x:c>
      <x:c r="BF205" s="49" t="b">
        <x:f>IF(I205="cache-semantics",AN205=1,TRUE)</x:f>
        <x:v>1</x:v>
      </x:c>
      <x:c r="BG205" s="49" t="b">
        <x:f>IF(I205="cache-semantics",AND(AU205,AV205,Q205,AW205,BC205,BF205),IF(I205="no-store-control",AND(AU205,AV205,Q205,BD205,BE205),FALSE))</x:f>
        <x:v>1</x:v>
      </x:c>
      <x:c r="BH205" s="49" t="b">
        <x:f>AND(R205,AT205=P205,AU205=L205,AV205=U205,AY205,AZ205,IF(I205="cache-semantics",AND(AW205=Z205,AND(BA205=AD205,BB205=AH205,BC205=AI205),BF205=AO205),IF(I205="no-store-control",AND(AND(BA205=AD205,BB205=AH205,BC205=AI205),BD205=AJ205,BE205=AL205),FALSE)),BG205=AP205)</x:f>
        <x:v>1</x:v>
      </x:c>
      <x:c r="BI205" s="49" t="b">
        <x:f>AND(J205,K205,BG205)</x:f>
        <x:v>1</x:v>
      </x:c>
    </x:row>
    <x:row r="206">
      <x:c r="A206" s="34" t="str">
        <x:v>article1-unified-v4-2-fb3f101b-20260903-000401-default-f04-p3-cache2k</x:v>
      </x:c>
      <x:c r="B206" s="34" t="str">
        <x:v>default</x:v>
      </x:c>
      <x:c r="C206" s="34" t="str">
        <x:v>cache2k</x:v>
      </x:c>
      <x:c r="D206" s="36" t="n">
        <x:v>4</x:v>
      </x:c>
      <x:c r="E206" s="36" t="n">
        <x:v>4</x:v>
      </x:c>
      <x:c r="F206" s="36" t="n">
        <x:v>3</x:v>
      </x:c>
      <x:c r="G206" s="36" t="n">
        <x:v>3</x:v>
      </x:c>
      <x:c r="H206" s="34" t="str">
        <x:v>initial</x:v>
      </x:c>
      <x:c r="I206" s="34" t="str">
        <x:v>cache-semantics</x:v>
      </x:c>
      <x:c r="J206" s="45" t="b">
        <x:v>1</x:v>
      </x:c>
      <x:c r="K206" s="45" t="b">
        <x:v>1</x:v>
      </x:c>
      <x:c r="L206" s="45" t="b">
        <x:v>1</x:v>
      </x:c>
      <x:c r="M206" s="43" t="n">
        <x:v>400000</x:v>
      </x:c>
      <x:c r="N206" s="43" t="n">
        <x:v>160529408</x:v>
      </x:c>
      <x:c r="O206" s="43" t="n">
        <x:v>32089533.009796564</x:v>
      </x:c>
      <x:c r="P206" s="45" t="b">
        <x:v>1</x:v>
      </x:c>
      <x:c r="Q206" s="45" t="b">
        <x:v>1</x:v>
      </x:c>
      <x:c r="R206" s="45" t="b">
        <x:v>1</x:v>
      </x:c>
      <x:c r="S206" s="43" t="n">
        <x:v>5000000000</x:v>
      </x:c>
      <x:c r="T206" s="43" t="n">
        <x:v>5002547340</x:v>
      </x:c>
      <x:c r="U206" s="45" t="b">
        <x:v>1</x:v>
      </x:c>
      <x:c r="V206" s="34" t="str">
        <x:v>uniform</x:v>
      </x:c>
      <x:c r="W206" s="42" t="n">
        <x:v>95</x:v>
      </x:c>
      <x:c r="X206" s="48" t="n">
        <x:v>0.95</x:v>
      </x:c>
      <x:c r="Y206" s="48" t="n">
        <x:v>0.9479523714433682</x:v>
      </x:c>
      <x:c r="Z206" s="45" t="b">
        <x:v>1</x:v>
      </x:c>
      <x:c r="AA206" s="43" t="n">
        <x:v>10000</x:v>
      </x:c>
      <x:c r="AB206" s="43" t="n">
        <x:v>9900</x:v>
      </x:c>
      <x:c r="AC206" s="43" t="n">
        <x:v>9979</x:v>
      </x:c>
      <x:c r="AD206" s="45" t="b">
        <x:v>1</x:v>
      </x:c>
      <x:c r="AE206" s="43" t="n">
        <x:v>9900</x:v>
      </x:c>
      <x:c r="AF206" s="43"/>
      <x:c r="AG206" s="43" t="n">
        <x:v>9992</x:v>
      </x:c>
      <x:c r="AH206" s="45" t="b">
        <x:v>1</x:v>
      </x:c>
      <x:c r="AI206" s="45" t="b">
        <x:v>1</x:v>
      </x:c>
      <x:c r="AJ206" s="49"/>
      <x:c r="AK206" s="48" t="n">
        <x:v>0.9479523714433682</x:v>
      </x:c>
      <x:c r="AL206" s="49"/>
      <x:c r="AM206" s="49"/>
      <x:c r="AN206" s="36" t="n">
        <x:v>1</x:v>
      </x:c>
      <x:c r="AO206" s="45" t="b">
        <x:v>1</x:v>
      </x:c>
      <x:c r="AP206" s="45" t="b">
        <x:v>1</x:v>
      </x:c>
      <x:c r="AQ206" s="46" t="n">
        <x:f>IF(T206="","",T206/'Readme-Protocol'!$B$24)</x:f>
        <x:v>5.00254734</x:v>
      </x:c>
      <x:c r="AR206" s="46" t="n">
        <x:f>IF(OR(S206="",S206=0),"",T206/S206)</x:f>
        <x:v>1.000509468</x:v>
      </x:c>
      <x:c r="AS206" s="46" t="n">
        <x:f>IF(OR(X206="",Y206=""),"",ABS(Y206-X206)*'Readme-Protocol'!$B$27)</x:f>
        <x:v>0.20476285566317642</x:v>
      </x:c>
      <x:c r="AT206" s="49" t="b">
        <x:f>AND(M206&gt;0,N206&gt;=0,O206&gt;0)</x:f>
        <x:v>1</x:v>
      </x:c>
      <x:c r="AU206" s="49" t="b">
        <x:f>AND(AT206,N206&gt;=M206)</x:f>
        <x:v>1</x:v>
      </x:c>
      <x:c r="AV206" s="49" t="b">
        <x:f>OR(S206=0,T206&gt;=S206)</x:f>
        <x:v>1</x:v>
      </x:c>
      <x:c r="AW206" s="49" t="b">
        <x:f>IF(I206="cache-semantics",OR(V206&lt;&gt;"uniform",ABS(Y206-W206/'Readme-Protocol'!$B$27)&lt;='Readme-Protocol'!$B$28),TRUE)</x:f>
        <x:v>1</x:v>
      </x:c>
      <x:c r="AX206" s="43" t="n">
        <x:f>IF(I206="cache-semantics",INT(AA206*'Readme-Protocol'!$B$32),"")</x:f>
        <x:v>9900</x:v>
      </x:c>
      <x:c r="AY206" s="49" t="b">
        <x:f>IF(I206="cache-semantics",AX206=AB206,TRUE)</x:f>
        <x:v>1</x:v>
      </x:c>
      <x:c r="AZ206" s="49" t="b">
        <x:f>IF(I206="cache-semantics",AX206=AE206,TRUE)</x:f>
        <x:v>1</x:v>
      </x:c>
      <x:c r="BA206" s="49" t="b">
        <x:f>IF(I206="cache-semantics",AC206&gt;=AX206,IF(I206="no-store-control",AC206=0,FALSE))</x:f>
        <x:v>1</x:v>
      </x:c>
      <x:c r="BB206" s="49" t="b">
        <x:f>IF(I206="cache-semantics",AG206&gt;=AX206,IF(I206="no-store-control",AG206=0,FALSE))</x:f>
        <x:v>1</x:v>
      </x:c>
      <x:c r="BC206" s="49" t="b">
        <x:f>AND(BA206,BB206)</x:f>
        <x:v>1</x:v>
      </x:c>
      <x:c r="BD206" s="49" t="b">
        <x:f>IF(I206="no-store-control",AND(AC206=0,AG206=0),TRUE)</x:f>
        <x:v>1</x:v>
      </x:c>
      <x:c r="BE206" s="49" t="b">
        <x:f>IF(I206="no-store-control",AK206=0,TRUE)</x:f>
        <x:v>1</x:v>
      </x:c>
      <x:c r="BF206" s="49" t="b">
        <x:f>IF(I206="cache-semantics",AN206=1,TRUE)</x:f>
        <x:v>1</x:v>
      </x:c>
      <x:c r="BG206" s="49" t="b">
        <x:f>IF(I206="cache-semantics",AND(AU206,AV206,Q206,AW206,BC206,BF206),IF(I206="no-store-control",AND(AU206,AV206,Q206,BD206,BE206),FALSE))</x:f>
        <x:v>1</x:v>
      </x:c>
      <x:c r="BH206" s="49" t="b">
        <x:f>AND(R206,AT206=P206,AU206=L206,AV206=U206,AY206,AZ206,IF(I206="cache-semantics",AND(AW206=Z206,AND(BA206=AD206,BB206=AH206,BC206=AI206),BF206=AO206),IF(I206="no-store-control",AND(AND(BA206=AD206,BB206=AH206,BC206=AI206),BD206=AJ206,BE206=AL206),FALSE)),BG206=AP206)</x:f>
        <x:v>1</x:v>
      </x:c>
      <x:c r="BI206" s="49" t="b">
        <x:f>AND(J206,K206,BG206)</x:f>
        <x:v>1</x:v>
      </x:c>
    </x:row>
    <x:row r="207">
      <x:c r="A207" s="34" t="str">
        <x:v>article1-unified-v4-2-fb3f101b-20260903-000401-default-f04-p3-cache2k</x:v>
      </x:c>
      <x:c r="B207" s="34" t="str">
        <x:v>default</x:v>
      </x:c>
      <x:c r="C207" s="34" t="str">
        <x:v>cache2k</x:v>
      </x:c>
      <x:c r="D207" s="36" t="n">
        <x:v>4</x:v>
      </x:c>
      <x:c r="E207" s="36" t="n">
        <x:v>4</x:v>
      </x:c>
      <x:c r="F207" s="36" t="n">
        <x:v>3</x:v>
      </x:c>
      <x:c r="G207" s="36" t="n">
        <x:v>3</x:v>
      </x:c>
      <x:c r="H207" s="34" t="str">
        <x:v>redeploy</x:v>
      </x:c>
      <x:c r="I207" s="34" t="str">
        <x:v>cache-semantics</x:v>
      </x:c>
      <x:c r="J207" s="45" t="b">
        <x:v>1</x:v>
      </x:c>
      <x:c r="K207" s="45" t="b">
        <x:v>1</x:v>
      </x:c>
      <x:c r="L207" s="45" t="b">
        <x:v>1</x:v>
      </x:c>
      <x:c r="M207" s="43" t="n">
        <x:v>400000</x:v>
      </x:c>
      <x:c r="N207" s="43" t="n">
        <x:v>157970432</x:v>
      </x:c>
      <x:c r="O207" s="43" t="n">
        <x:v>31578079.23164408</x:v>
      </x:c>
      <x:c r="P207" s="45" t="b">
        <x:v>1</x:v>
      </x:c>
      <x:c r="Q207" s="45" t="b">
        <x:v>1</x:v>
      </x:c>
      <x:c r="R207" s="45" t="b">
        <x:v>1</x:v>
      </x:c>
      <x:c r="S207" s="43" t="n">
        <x:v>5000000000</x:v>
      </x:c>
      <x:c r="T207" s="43" t="n">
        <x:v>5002534538</x:v>
      </x:c>
      <x:c r="U207" s="45" t="b">
        <x:v>1</x:v>
      </x:c>
      <x:c r="V207" s="34" t="str">
        <x:v>uniform</x:v>
      </x:c>
      <x:c r="W207" s="42" t="n">
        <x:v>95</x:v>
      </x:c>
      <x:c r="X207" s="48" t="n">
        <x:v>0.95</x:v>
      </x:c>
      <x:c r="Y207" s="48" t="n">
        <x:v>0.9479622427062806</x:v>
      </x:c>
      <x:c r="Z207" s="45" t="b">
        <x:v>1</x:v>
      </x:c>
      <x:c r="AA207" s="43" t="n">
        <x:v>10000</x:v>
      </x:c>
      <x:c r="AB207" s="43" t="n">
        <x:v>9900</x:v>
      </x:c>
      <x:c r="AC207" s="43" t="n">
        <x:v>9979</x:v>
      </x:c>
      <x:c r="AD207" s="45" t="b">
        <x:v>1</x:v>
      </x:c>
      <x:c r="AE207" s="43" t="n">
        <x:v>9900</x:v>
      </x:c>
      <x:c r="AF207" s="43"/>
      <x:c r="AG207" s="43" t="n">
        <x:v>9993</x:v>
      </x:c>
      <x:c r="AH207" s="45" t="b">
        <x:v>1</x:v>
      </x:c>
      <x:c r="AI207" s="45" t="b">
        <x:v>1</x:v>
      </x:c>
      <x:c r="AJ207" s="49"/>
      <x:c r="AK207" s="48" t="n">
        <x:v>0.9479622427062806</x:v>
      </x:c>
      <x:c r="AL207" s="49"/>
      <x:c r="AM207" s="49"/>
      <x:c r="AN207" s="36" t="n">
        <x:v>1</x:v>
      </x:c>
      <x:c r="AO207" s="45" t="b">
        <x:v>1</x:v>
      </x:c>
      <x:c r="AP207" s="45" t="b">
        <x:v>1</x:v>
      </x:c>
      <x:c r="AQ207" s="46" t="n">
        <x:f>IF(T207="","",T207/'Readme-Protocol'!$B$24)</x:f>
        <x:v>5.002534538</x:v>
      </x:c>
      <x:c r="AR207" s="46" t="n">
        <x:f>IF(OR(S207="",S207=0),"",T207/S207)</x:f>
        <x:v>1.0005069076</x:v>
      </x:c>
      <x:c r="AS207" s="46" t="n">
        <x:f>IF(OR(X207="",Y207=""),"",ABS(Y207-X207)*'Readme-Protocol'!$B$27)</x:f>
        <x:v>0.20377572937193555</x:v>
      </x:c>
      <x:c r="AT207" s="49" t="b">
        <x:f>AND(M207&gt;0,N207&gt;=0,O207&gt;0)</x:f>
        <x:v>1</x:v>
      </x:c>
      <x:c r="AU207" s="49" t="b">
        <x:f>AND(AT207,N207&gt;=M207)</x:f>
        <x:v>1</x:v>
      </x:c>
      <x:c r="AV207" s="49" t="b">
        <x:f>OR(S207=0,T207&gt;=S207)</x:f>
        <x:v>1</x:v>
      </x:c>
      <x:c r="AW207" s="49" t="b">
        <x:f>IF(I207="cache-semantics",OR(V207&lt;&gt;"uniform",ABS(Y207-W207/'Readme-Protocol'!$B$27)&lt;='Readme-Protocol'!$B$28),TRUE)</x:f>
        <x:v>1</x:v>
      </x:c>
      <x:c r="AX207" s="43" t="n">
        <x:f>IF(I207="cache-semantics",INT(AA207*'Readme-Protocol'!$B$32),"")</x:f>
        <x:v>9900</x:v>
      </x:c>
      <x:c r="AY207" s="49" t="b">
        <x:f>IF(I207="cache-semantics",AX207=AB207,TRUE)</x:f>
        <x:v>1</x:v>
      </x:c>
      <x:c r="AZ207" s="49" t="b">
        <x:f>IF(I207="cache-semantics",AX207=AE207,TRUE)</x:f>
        <x:v>1</x:v>
      </x:c>
      <x:c r="BA207" s="49" t="b">
        <x:f>IF(I207="cache-semantics",AC207&gt;=AX207,IF(I207="no-store-control",AC207=0,FALSE))</x:f>
        <x:v>1</x:v>
      </x:c>
      <x:c r="BB207" s="49" t="b">
        <x:f>IF(I207="cache-semantics",AG207&gt;=AX207,IF(I207="no-store-control",AG207=0,FALSE))</x:f>
        <x:v>1</x:v>
      </x:c>
      <x:c r="BC207" s="49" t="b">
        <x:f>AND(BA207,BB207)</x:f>
        <x:v>1</x:v>
      </x:c>
      <x:c r="BD207" s="49" t="b">
        <x:f>IF(I207="no-store-control",AND(AC207=0,AG207=0),TRUE)</x:f>
        <x:v>1</x:v>
      </x:c>
      <x:c r="BE207" s="49" t="b">
        <x:f>IF(I207="no-store-control",AK207=0,TRUE)</x:f>
        <x:v>1</x:v>
      </x:c>
      <x:c r="BF207" s="49" t="b">
        <x:f>IF(I207="cache-semantics",AN207=1,TRUE)</x:f>
        <x:v>1</x:v>
      </x:c>
      <x:c r="BG207" s="49" t="b">
        <x:f>IF(I207="cache-semantics",AND(AU207,AV207,Q207,AW207,BC207,BF207),IF(I207="no-store-control",AND(AU207,AV207,Q207,BD207,BE207),FALSE))</x:f>
        <x:v>1</x:v>
      </x:c>
      <x:c r="BH207" s="49" t="b">
        <x:f>AND(R207,AT207=P207,AU207=L207,AV207=U207,AY207,AZ207,IF(I207="cache-semantics",AND(AW207=Z207,AND(BA207=AD207,BB207=AH207,BC207=AI207),BF207=AO207),IF(I207="no-store-control",AND(AND(BA207=AD207,BB207=AH207,BC207=AI207),BD207=AJ207,BE207=AL207),FALSE)),BG207=AP207)</x:f>
        <x:v>1</x:v>
      </x:c>
      <x:c r="BI207" s="49" t="b">
        <x:f>AND(J207,K207,BG207)</x:f>
        <x:v>1</x:v>
      </x:c>
    </x:row>
    <x:row r="208">
      <x:c r="A208" s="34" t="str">
        <x:v>article1-unified-v4-2-fb3f101b-20260903-000401-default-f04-p3-cache2k</x:v>
      </x:c>
      <x:c r="B208" s="34" t="str">
        <x:v>default</x:v>
      </x:c>
      <x:c r="C208" s="34" t="str">
        <x:v>cache2k</x:v>
      </x:c>
      <x:c r="D208" s="36" t="n">
        <x:v>4</x:v>
      </x:c>
      <x:c r="E208" s="36" t="n">
        <x:v>4</x:v>
      </x:c>
      <x:c r="F208" s="36" t="n">
        <x:v>3</x:v>
      </x:c>
      <x:c r="G208" s="36" t="n">
        <x:v>4</x:v>
      </x:c>
      <x:c r="H208" s="34" t="str">
        <x:v>initial</x:v>
      </x:c>
      <x:c r="I208" s="34" t="str">
        <x:v>cache-semantics</x:v>
      </x:c>
      <x:c r="J208" s="45" t="b">
        <x:v>1</x:v>
      </x:c>
      <x:c r="K208" s="45" t="b">
        <x:v>1</x:v>
      </x:c>
      <x:c r="L208" s="45" t="b">
        <x:v>1</x:v>
      </x:c>
      <x:c r="M208" s="43" t="n">
        <x:v>400000</x:v>
      </x:c>
      <x:c r="N208" s="43" t="n">
        <x:v>155086592</x:v>
      </x:c>
      <x:c r="O208" s="43" t="n">
        <x:v>31001457.019140344</x:v>
      </x:c>
      <x:c r="P208" s="45" t="b">
        <x:v>1</x:v>
      </x:c>
      <x:c r="Q208" s="45" t="b">
        <x:v>1</x:v>
      </x:c>
      <x:c r="R208" s="45" t="b">
        <x:v>1</x:v>
      </x:c>
      <x:c r="S208" s="43" t="n">
        <x:v>5000000000</x:v>
      </x:c>
      <x:c r="T208" s="43" t="n">
        <x:v>5002558167</x:v>
      </x:c>
      <x:c r="U208" s="45" t="b">
        <x:v>1</x:v>
      </x:c>
      <x:c r="V208" s="34" t="str">
        <x:v>uniform</x:v>
      </x:c>
      <x:c r="W208" s="42" t="n">
        <x:v>95</x:v>
      </x:c>
      <x:c r="X208" s="48" t="n">
        <x:v>0.95</x:v>
      </x:c>
      <x:c r="Y208" s="48" t="n">
        <x:v>0.947642585375788</x:v>
      </x:c>
      <x:c r="Z208" s="45" t="b">
        <x:v>1</x:v>
      </x:c>
      <x:c r="AA208" s="43" t="n">
        <x:v>10000</x:v>
      </x:c>
      <x:c r="AB208" s="43" t="n">
        <x:v>9900</x:v>
      </x:c>
      <x:c r="AC208" s="43" t="n">
        <x:v>9979</x:v>
      </x:c>
      <x:c r="AD208" s="45" t="b">
        <x:v>1</x:v>
      </x:c>
      <x:c r="AE208" s="43" t="n">
        <x:v>9900</x:v>
      </x:c>
      <x:c r="AF208" s="43"/>
      <x:c r="AG208" s="43" t="n">
        <x:v>9995</x:v>
      </x:c>
      <x:c r="AH208" s="45" t="b">
        <x:v>1</x:v>
      </x:c>
      <x:c r="AI208" s="45" t="b">
        <x:v>1</x:v>
      </x:c>
      <x:c r="AJ208" s="49"/>
      <x:c r="AK208" s="48" t="n">
        <x:v>0.947642585375788</x:v>
      </x:c>
      <x:c r="AL208" s="49"/>
      <x:c r="AM208" s="49"/>
      <x:c r="AN208" s="36" t="n">
        <x:v>1</x:v>
      </x:c>
      <x:c r="AO208" s="45" t="b">
        <x:v>1</x:v>
      </x:c>
      <x:c r="AP208" s="45" t="b">
        <x:v>1</x:v>
      </x:c>
      <x:c r="AQ208" s="46" t="n">
        <x:f>IF(T208="","",T208/'Readme-Protocol'!$B$24)</x:f>
        <x:v>5.002558167</x:v>
      </x:c>
      <x:c r="AR208" s="46" t="n">
        <x:f>IF(OR(S208="",S208=0),"",T208/S208)</x:f>
        <x:v>1.0005116334</x:v>
      </x:c>
      <x:c r="AS208" s="46" t="n">
        <x:f>IF(OR(X208="",Y208=""),"",ABS(Y208-X208)*'Readme-Protocol'!$B$27)</x:f>
        <x:v>0.23574146242119065</x:v>
      </x:c>
      <x:c r="AT208" s="49" t="b">
        <x:f>AND(M208&gt;0,N208&gt;=0,O208&gt;0)</x:f>
        <x:v>1</x:v>
      </x:c>
      <x:c r="AU208" s="49" t="b">
        <x:f>AND(AT208,N208&gt;=M208)</x:f>
        <x:v>1</x:v>
      </x:c>
      <x:c r="AV208" s="49" t="b">
        <x:f>OR(S208=0,T208&gt;=S208)</x:f>
        <x:v>1</x:v>
      </x:c>
      <x:c r="AW208" s="49" t="b">
        <x:f>IF(I208="cache-semantics",OR(V208&lt;&gt;"uniform",ABS(Y208-W208/'Readme-Protocol'!$B$27)&lt;='Readme-Protocol'!$B$28),TRUE)</x:f>
        <x:v>1</x:v>
      </x:c>
      <x:c r="AX208" s="43" t="n">
        <x:f>IF(I208="cache-semantics",INT(AA208*'Readme-Protocol'!$B$32),"")</x:f>
        <x:v>9900</x:v>
      </x:c>
      <x:c r="AY208" s="49" t="b">
        <x:f>IF(I208="cache-semantics",AX208=AB208,TRUE)</x:f>
        <x:v>1</x:v>
      </x:c>
      <x:c r="AZ208" s="49" t="b">
        <x:f>IF(I208="cache-semantics",AX208=AE208,TRUE)</x:f>
        <x:v>1</x:v>
      </x:c>
      <x:c r="BA208" s="49" t="b">
        <x:f>IF(I208="cache-semantics",AC208&gt;=AX208,IF(I208="no-store-control",AC208=0,FALSE))</x:f>
        <x:v>1</x:v>
      </x:c>
      <x:c r="BB208" s="49" t="b">
        <x:f>IF(I208="cache-semantics",AG208&gt;=AX208,IF(I208="no-store-control",AG208=0,FALSE))</x:f>
        <x:v>1</x:v>
      </x:c>
      <x:c r="BC208" s="49" t="b">
        <x:f>AND(BA208,BB208)</x:f>
        <x:v>1</x:v>
      </x:c>
      <x:c r="BD208" s="49" t="b">
        <x:f>IF(I208="no-store-control",AND(AC208=0,AG208=0),TRUE)</x:f>
        <x:v>1</x:v>
      </x:c>
      <x:c r="BE208" s="49" t="b">
        <x:f>IF(I208="no-store-control",AK208=0,TRUE)</x:f>
        <x:v>1</x:v>
      </x:c>
      <x:c r="BF208" s="49" t="b">
        <x:f>IF(I208="cache-semantics",AN208=1,TRUE)</x:f>
        <x:v>1</x:v>
      </x:c>
      <x:c r="BG208" s="49" t="b">
        <x:f>IF(I208="cache-semantics",AND(AU208,AV208,Q208,AW208,BC208,BF208),IF(I208="no-store-control",AND(AU208,AV208,Q208,BD208,BE208),FALSE))</x:f>
        <x:v>1</x:v>
      </x:c>
      <x:c r="BH208" s="49" t="b">
        <x:f>AND(R208,AT208=P208,AU208=L208,AV208=U208,AY208,AZ208,IF(I208="cache-semantics",AND(AW208=Z208,AND(BA208=AD208,BB208=AH208,BC208=AI208),BF208=AO208),IF(I208="no-store-control",AND(AND(BA208=AD208,BB208=AH208,BC208=AI208),BD208=AJ208,BE208=AL208),FALSE)),BG208=AP208)</x:f>
        <x:v>1</x:v>
      </x:c>
      <x:c r="BI208" s="49" t="b">
        <x:f>AND(J208,K208,BG208)</x:f>
        <x:v>1</x:v>
      </x:c>
    </x:row>
    <x:row r="209">
      <x:c r="A209" s="34" t="str">
        <x:v>article1-unified-v4-2-fb3f101b-20260903-000401-default-f04-p3-cache2k</x:v>
      </x:c>
      <x:c r="B209" s="34" t="str">
        <x:v>default</x:v>
      </x:c>
      <x:c r="C209" s="34" t="str">
        <x:v>cache2k</x:v>
      </x:c>
      <x:c r="D209" s="36" t="n">
        <x:v>4</x:v>
      </x:c>
      <x:c r="E209" s="36" t="n">
        <x:v>4</x:v>
      </x:c>
      <x:c r="F209" s="36" t="n">
        <x:v>3</x:v>
      </x:c>
      <x:c r="G209" s="36" t="n">
        <x:v>4</x:v>
      </x:c>
      <x:c r="H209" s="34" t="str">
        <x:v>redeploy</x:v>
      </x:c>
      <x:c r="I209" s="34" t="str">
        <x:v>cache-semantics</x:v>
      </x:c>
      <x:c r="J209" s="45" t="b">
        <x:v>1</x:v>
      </x:c>
      <x:c r="K209" s="45" t="b">
        <x:v>1</x:v>
      </x:c>
      <x:c r="L209" s="45" t="b">
        <x:v>1</x:v>
      </x:c>
      <x:c r="M209" s="43" t="n">
        <x:v>400000</x:v>
      </x:c>
      <x:c r="N209" s="43" t="n">
        <x:v>155733760</x:v>
      </x:c>
      <x:c r="O209" s="43" t="n">
        <x:v>31132425.7418345</x:v>
      </x:c>
      <x:c r="P209" s="45" t="b">
        <x:v>1</x:v>
      </x:c>
      <x:c r="Q209" s="45" t="b">
        <x:v>1</x:v>
      </x:c>
      <x:c r="R209" s="45" t="b">
        <x:v>1</x:v>
      </x:c>
      <x:c r="S209" s="43" t="n">
        <x:v>5000000000</x:v>
      </x:c>
      <x:c r="T209" s="43" t="n">
        <x:v>5002300858</x:v>
      </x:c>
      <x:c r="U209" s="45" t="b">
        <x:v>1</x:v>
      </x:c>
      <x:c r="V209" s="34" t="str">
        <x:v>uniform</x:v>
      </x:c>
      <x:c r="W209" s="42" t="n">
        <x:v>95</x:v>
      </x:c>
      <x:c r="X209" s="48" t="n">
        <x:v>0.95</x:v>
      </x:c>
      <x:c r="Y209" s="48" t="n">
        <x:v>0.9476418279504714</x:v>
      </x:c>
      <x:c r="Z209" s="45" t="b">
        <x:v>1</x:v>
      </x:c>
      <x:c r="AA209" s="43" t="n">
        <x:v>10000</x:v>
      </x:c>
      <x:c r="AB209" s="43" t="n">
        <x:v>9900</x:v>
      </x:c>
      <x:c r="AC209" s="43" t="n">
        <x:v>9979</x:v>
      </x:c>
      <x:c r="AD209" s="45" t="b">
        <x:v>1</x:v>
      </x:c>
      <x:c r="AE209" s="43" t="n">
        <x:v>9900</x:v>
      </x:c>
      <x:c r="AF209" s="43"/>
      <x:c r="AG209" s="43" t="n">
        <x:v>9995</x:v>
      </x:c>
      <x:c r="AH209" s="45" t="b">
        <x:v>1</x:v>
      </x:c>
      <x:c r="AI209" s="45" t="b">
        <x:v>1</x:v>
      </x:c>
      <x:c r="AJ209" s="49"/>
      <x:c r="AK209" s="48" t="n">
        <x:v>0.9476418279504714</x:v>
      </x:c>
      <x:c r="AL209" s="49"/>
      <x:c r="AM209" s="49"/>
      <x:c r="AN209" s="36" t="n">
        <x:v>1</x:v>
      </x:c>
      <x:c r="AO209" s="45" t="b">
        <x:v>1</x:v>
      </x:c>
      <x:c r="AP209" s="45" t="b">
        <x:v>1</x:v>
      </x:c>
      <x:c r="AQ209" s="46" t="n">
        <x:f>IF(T209="","",T209/'Readme-Protocol'!$B$24)</x:f>
        <x:v>5.002300858</x:v>
      </x:c>
      <x:c r="AR209" s="46" t="n">
        <x:f>IF(OR(S209="",S209=0),"",T209/S209)</x:f>
        <x:v>1.0004601716</x:v>
      </x:c>
      <x:c r="AS209" s="46" t="n">
        <x:f>IF(OR(X209="",Y209=""),"",ABS(Y209-X209)*'Readme-Protocol'!$B$27)</x:f>
        <x:v>0.23581720495285952</x:v>
      </x:c>
      <x:c r="AT209" s="49" t="b">
        <x:f>AND(M209&gt;0,N209&gt;=0,O209&gt;0)</x:f>
        <x:v>1</x:v>
      </x:c>
      <x:c r="AU209" s="49" t="b">
        <x:f>AND(AT209,N209&gt;=M209)</x:f>
        <x:v>1</x:v>
      </x:c>
      <x:c r="AV209" s="49" t="b">
        <x:f>OR(S209=0,T209&gt;=S209)</x:f>
        <x:v>1</x:v>
      </x:c>
      <x:c r="AW209" s="49" t="b">
        <x:f>IF(I209="cache-semantics",OR(V209&lt;&gt;"uniform",ABS(Y209-W209/'Readme-Protocol'!$B$27)&lt;='Readme-Protocol'!$B$28),TRUE)</x:f>
        <x:v>1</x:v>
      </x:c>
      <x:c r="AX209" s="43" t="n">
        <x:f>IF(I209="cache-semantics",INT(AA209*'Readme-Protocol'!$B$32),"")</x:f>
        <x:v>9900</x:v>
      </x:c>
      <x:c r="AY209" s="49" t="b">
        <x:f>IF(I209="cache-semantics",AX209=AB209,TRUE)</x:f>
        <x:v>1</x:v>
      </x:c>
      <x:c r="AZ209" s="49" t="b">
        <x:f>IF(I209="cache-semantics",AX209=AE209,TRUE)</x:f>
        <x:v>1</x:v>
      </x:c>
      <x:c r="BA209" s="49" t="b">
        <x:f>IF(I209="cache-semantics",AC209&gt;=AX209,IF(I209="no-store-control",AC209=0,FALSE))</x:f>
        <x:v>1</x:v>
      </x:c>
      <x:c r="BB209" s="49" t="b">
        <x:f>IF(I209="cache-semantics",AG209&gt;=AX209,IF(I209="no-store-control",AG209=0,FALSE))</x:f>
        <x:v>1</x:v>
      </x:c>
      <x:c r="BC209" s="49" t="b">
        <x:f>AND(BA209,BB209)</x:f>
        <x:v>1</x:v>
      </x:c>
      <x:c r="BD209" s="49" t="b">
        <x:f>IF(I209="no-store-control",AND(AC209=0,AG209=0),TRUE)</x:f>
        <x:v>1</x:v>
      </x:c>
      <x:c r="BE209" s="49" t="b">
        <x:f>IF(I209="no-store-control",AK209=0,TRUE)</x:f>
        <x:v>1</x:v>
      </x:c>
      <x:c r="BF209" s="49" t="b">
        <x:f>IF(I209="cache-semantics",AN209=1,TRUE)</x:f>
        <x:v>1</x:v>
      </x:c>
      <x:c r="BG209" s="49" t="b">
        <x:f>IF(I209="cache-semantics",AND(AU209,AV209,Q209,AW209,BC209,BF209),IF(I209="no-store-control",AND(AU209,AV209,Q209,BD209,BE209),FALSE))</x:f>
        <x:v>1</x:v>
      </x:c>
      <x:c r="BH209" s="49" t="b">
        <x:f>AND(R209,AT209=P209,AU209=L209,AV209=U209,AY209,AZ209,IF(I209="cache-semantics",AND(AW209=Z209,AND(BA209=AD209,BB209=AH209,BC209=AI209),BF209=AO209),IF(I209="no-store-control",AND(AND(BA209=AD209,BB209=AH209,BC209=AI209),BD209=AJ209,BE209=AL209),FALSE)),BG209=AP209)</x:f>
        <x:v>1</x:v>
      </x:c>
      <x:c r="BI209" s="49" t="b">
        <x:f>AND(J209,K209,BG209)</x:f>
        <x:v>1</x:v>
      </x:c>
    </x:row>
    <x:row r="210">
      <x:c r="A210" s="34" t="str">
        <x:v>article1-unified-v4-2-fb3f101b-20260903-000401-default-f04-p3-cache2k</x:v>
      </x:c>
      <x:c r="B210" s="34" t="str">
        <x:v>default</x:v>
      </x:c>
      <x:c r="C210" s="34" t="str">
        <x:v>cache2k</x:v>
      </x:c>
      <x:c r="D210" s="36" t="n">
        <x:v>4</x:v>
      </x:c>
      <x:c r="E210" s="36" t="n">
        <x:v>4</x:v>
      </x:c>
      <x:c r="F210" s="36" t="n">
        <x:v>3</x:v>
      </x:c>
      <x:c r="G210" s="36" t="n">
        <x:v>5</x:v>
      </x:c>
      <x:c r="H210" s="34" t="str">
        <x:v>initial</x:v>
      </x:c>
      <x:c r="I210" s="34" t="str">
        <x:v>cache-semantics</x:v>
      </x:c>
      <x:c r="J210" s="45" t="b">
        <x:v>1</x:v>
      </x:c>
      <x:c r="K210" s="45" t="b">
        <x:v>1</x:v>
      </x:c>
      <x:c r="L210" s="45" t="b">
        <x:v>1</x:v>
      </x:c>
      <x:c r="M210" s="43" t="n">
        <x:v>400000</x:v>
      </x:c>
      <x:c r="N210" s="43" t="n">
        <x:v>164146176</x:v>
      </x:c>
      <x:c r="O210" s="43" t="n">
        <x:v>32806212.757827967</x:v>
      </x:c>
      <x:c r="P210" s="45" t="b">
        <x:v>1</x:v>
      </x:c>
      <x:c r="Q210" s="45" t="b">
        <x:v>1</x:v>
      </x:c>
      <x:c r="R210" s="45" t="b">
        <x:v>1</x:v>
      </x:c>
      <x:c r="S210" s="43" t="n">
        <x:v>5000000000</x:v>
      </x:c>
      <x:c r="T210" s="43" t="n">
        <x:v>5003508854</x:v>
      </x:c>
      <x:c r="U210" s="45" t="b">
        <x:v>1</x:v>
      </x:c>
      <x:c r="V210" s="34" t="str">
        <x:v>uniform</x:v>
      </x:c>
      <x:c r="W210" s="42" t="n">
        <x:v>95</x:v>
      </x:c>
      <x:c r="X210" s="48" t="n">
        <x:v>0.95</x:v>
      </x:c>
      <x:c r="Y210" s="48" t="n">
        <x:v>0.9478423426690122</x:v>
      </x:c>
      <x:c r="Z210" s="45" t="b">
        <x:v>1</x:v>
      </x:c>
      <x:c r="AA210" s="43" t="n">
        <x:v>10000</x:v>
      </x:c>
      <x:c r="AB210" s="43" t="n">
        <x:v>9900</x:v>
      </x:c>
      <x:c r="AC210" s="43" t="n">
        <x:v>9979</x:v>
      </x:c>
      <x:c r="AD210" s="45" t="b">
        <x:v>1</x:v>
      </x:c>
      <x:c r="AE210" s="43" t="n">
        <x:v>9900</x:v>
      </x:c>
      <x:c r="AF210" s="43"/>
      <x:c r="AG210" s="43" t="n">
        <x:v>9993</x:v>
      </x:c>
      <x:c r="AH210" s="45" t="b">
        <x:v>1</x:v>
      </x:c>
      <x:c r="AI210" s="45" t="b">
        <x:v>1</x:v>
      </x:c>
      <x:c r="AJ210" s="49"/>
      <x:c r="AK210" s="48" t="n">
        <x:v>0.9478423426690122</x:v>
      </x:c>
      <x:c r="AL210" s="49"/>
      <x:c r="AM210" s="49"/>
      <x:c r="AN210" s="36" t="n">
        <x:v>1</x:v>
      </x:c>
      <x:c r="AO210" s="45" t="b">
        <x:v>1</x:v>
      </x:c>
      <x:c r="AP210" s="45" t="b">
        <x:v>1</x:v>
      </x:c>
      <x:c r="AQ210" s="46" t="n">
        <x:f>IF(T210="","",T210/'Readme-Protocol'!$B$24)</x:f>
        <x:v>5.003508854</x:v>
      </x:c>
      <x:c r="AR210" s="46" t="n">
        <x:f>IF(OR(S210="",S210=0),"",T210/S210)</x:f>
        <x:v>1.0007017708</x:v>
      </x:c>
      <x:c r="AS210" s="46" t="n">
        <x:f>IF(OR(X210="",Y210=""),"",ABS(Y210-X210)*'Readme-Protocol'!$B$27)</x:f>
        <x:v>0.21576573309877167</x:v>
      </x:c>
      <x:c r="AT210" s="49" t="b">
        <x:f>AND(M210&gt;0,N210&gt;=0,O210&gt;0)</x:f>
        <x:v>1</x:v>
      </x:c>
      <x:c r="AU210" s="49" t="b">
        <x:f>AND(AT210,N210&gt;=M210)</x:f>
        <x:v>1</x:v>
      </x:c>
      <x:c r="AV210" s="49" t="b">
        <x:f>OR(S210=0,T210&gt;=S210)</x:f>
        <x:v>1</x:v>
      </x:c>
      <x:c r="AW210" s="49" t="b">
        <x:f>IF(I210="cache-semantics",OR(V210&lt;&gt;"uniform",ABS(Y210-W210/'Readme-Protocol'!$B$27)&lt;='Readme-Protocol'!$B$28),TRUE)</x:f>
        <x:v>1</x:v>
      </x:c>
      <x:c r="AX210" s="43" t="n">
        <x:f>IF(I210="cache-semantics",INT(AA210*'Readme-Protocol'!$B$32),"")</x:f>
        <x:v>9900</x:v>
      </x:c>
      <x:c r="AY210" s="49" t="b">
        <x:f>IF(I210="cache-semantics",AX210=AB210,TRUE)</x:f>
        <x:v>1</x:v>
      </x:c>
      <x:c r="AZ210" s="49" t="b">
        <x:f>IF(I210="cache-semantics",AX210=AE210,TRUE)</x:f>
        <x:v>1</x:v>
      </x:c>
      <x:c r="BA210" s="49" t="b">
        <x:f>IF(I210="cache-semantics",AC210&gt;=AX210,IF(I210="no-store-control",AC210=0,FALSE))</x:f>
        <x:v>1</x:v>
      </x:c>
      <x:c r="BB210" s="49" t="b">
        <x:f>IF(I210="cache-semantics",AG210&gt;=AX210,IF(I210="no-store-control",AG210=0,FALSE))</x:f>
        <x:v>1</x:v>
      </x:c>
      <x:c r="BC210" s="49" t="b">
        <x:f>AND(BA210,BB210)</x:f>
        <x:v>1</x:v>
      </x:c>
      <x:c r="BD210" s="49" t="b">
        <x:f>IF(I210="no-store-control",AND(AC210=0,AG210=0),TRUE)</x:f>
        <x:v>1</x:v>
      </x:c>
      <x:c r="BE210" s="49" t="b">
        <x:f>IF(I210="no-store-control",AK210=0,TRUE)</x:f>
        <x:v>1</x:v>
      </x:c>
      <x:c r="BF210" s="49" t="b">
        <x:f>IF(I210="cache-semantics",AN210=1,TRUE)</x:f>
        <x:v>1</x:v>
      </x:c>
      <x:c r="BG210" s="49" t="b">
        <x:f>IF(I210="cache-semantics",AND(AU210,AV210,Q210,AW210,BC210,BF210),IF(I210="no-store-control",AND(AU210,AV210,Q210,BD210,BE210),FALSE))</x:f>
        <x:v>1</x:v>
      </x:c>
      <x:c r="BH210" s="49" t="b">
        <x:f>AND(R210,AT210=P210,AU210=L210,AV210=U210,AY210,AZ210,IF(I210="cache-semantics",AND(AW210=Z210,AND(BA210=AD210,BB210=AH210,BC210=AI210),BF210=AO210),IF(I210="no-store-control",AND(AND(BA210=AD210,BB210=AH210,BC210=AI210),BD210=AJ210,BE210=AL210),FALSE)),BG210=AP210)</x:f>
        <x:v>1</x:v>
      </x:c>
      <x:c r="BI210" s="49" t="b">
        <x:f>AND(J210,K210,BG210)</x:f>
        <x:v>1</x:v>
      </x:c>
    </x:row>
    <x:row r="211">
      <x:c r="A211" s="34" t="str">
        <x:v>article1-unified-v4-2-fb3f101b-20260903-000401-default-f04-p3-cache2k</x:v>
      </x:c>
      <x:c r="B211" s="34" t="str">
        <x:v>default</x:v>
      </x:c>
      <x:c r="C211" s="34" t="str">
        <x:v>cache2k</x:v>
      </x:c>
      <x:c r="D211" s="36" t="n">
        <x:v>4</x:v>
      </x:c>
      <x:c r="E211" s="36" t="n">
        <x:v>4</x:v>
      </x:c>
      <x:c r="F211" s="36" t="n">
        <x:v>3</x:v>
      </x:c>
      <x:c r="G211" s="36" t="n">
        <x:v>5</x:v>
      </x:c>
      <x:c r="H211" s="34" t="str">
        <x:v>redeploy</x:v>
      </x:c>
      <x:c r="I211" s="34" t="str">
        <x:v>cache-semantics</x:v>
      </x:c>
      <x:c r="J211" s="45" t="b">
        <x:v>1</x:v>
      </x:c>
      <x:c r="K211" s="45" t="b">
        <x:v>1</x:v>
      </x:c>
      <x:c r="L211" s="45" t="b">
        <x:v>1</x:v>
      </x:c>
      <x:c r="M211" s="43" t="n">
        <x:v>400000</x:v>
      </x:c>
      <x:c r="N211" s="43" t="n">
        <x:v>162732288</x:v>
      </x:c>
      <x:c r="O211" s="43" t="n">
        <x:v>32530512.28795048</x:v>
      </x:c>
      <x:c r="P211" s="45" t="b">
        <x:v>1</x:v>
      </x:c>
      <x:c r="Q211" s="45" t="b">
        <x:v>1</x:v>
      </x:c>
      <x:c r="R211" s="45" t="b">
        <x:v>1</x:v>
      </x:c>
      <x:c r="S211" s="43" t="n">
        <x:v>5000000000</x:v>
      </x:c>
      <x:c r="T211" s="43" t="n">
        <x:v>5002450824</x:v>
      </x:c>
      <x:c r="U211" s="45" t="b">
        <x:v>1</x:v>
      </x:c>
      <x:c r="V211" s="34" t="str">
        <x:v>uniform</x:v>
      </x:c>
      <x:c r="W211" s="42" t="n">
        <x:v>95</x:v>
      </x:c>
      <x:c r="X211" s="48" t="n">
        <x:v>0.95</x:v>
      </x:c>
      <x:c r="Y211" s="48" t="n">
        <x:v>0.9478352630302844</x:v>
      </x:c>
      <x:c r="Z211" s="45" t="b">
        <x:v>1</x:v>
      </x:c>
      <x:c r="AA211" s="43" t="n">
        <x:v>10000</x:v>
      </x:c>
      <x:c r="AB211" s="43" t="n">
        <x:v>9900</x:v>
      </x:c>
      <x:c r="AC211" s="43" t="n">
        <x:v>9979</x:v>
      </x:c>
      <x:c r="AD211" s="45" t="b">
        <x:v>1</x:v>
      </x:c>
      <x:c r="AE211" s="43" t="n">
        <x:v>9900</x:v>
      </x:c>
      <x:c r="AF211" s="43"/>
      <x:c r="AG211" s="43" t="n">
        <x:v>9991</x:v>
      </x:c>
      <x:c r="AH211" s="45" t="b">
        <x:v>1</x:v>
      </x:c>
      <x:c r="AI211" s="45" t="b">
        <x:v>1</x:v>
      </x:c>
      <x:c r="AJ211" s="49"/>
      <x:c r="AK211" s="48" t="n">
        <x:v>0.9478352630302844</x:v>
      </x:c>
      <x:c r="AL211" s="49"/>
      <x:c r="AM211" s="49"/>
      <x:c r="AN211" s="36" t="n">
        <x:v>1</x:v>
      </x:c>
      <x:c r="AO211" s="45" t="b">
        <x:v>1</x:v>
      </x:c>
      <x:c r="AP211" s="45" t="b">
        <x:v>1</x:v>
      </x:c>
      <x:c r="AQ211" s="46" t="n">
        <x:f>IF(T211="","",T211/'Readme-Protocol'!$B$24)</x:f>
        <x:v>5.002450824</x:v>
      </x:c>
      <x:c r="AR211" s="46" t="n">
        <x:f>IF(OR(S211="",S211=0),"",T211/S211)</x:f>
        <x:v>1.0004901648</x:v>
      </x:c>
      <x:c r="AS211" s="46" t="n">
        <x:f>IF(OR(X211="",Y211=""),"",ABS(Y211-X211)*'Readme-Protocol'!$B$27)</x:f>
        <x:v>0.21647369697155305</x:v>
      </x:c>
      <x:c r="AT211" s="49" t="b">
        <x:f>AND(M211&gt;0,N211&gt;=0,O211&gt;0)</x:f>
        <x:v>1</x:v>
      </x:c>
      <x:c r="AU211" s="49" t="b">
        <x:f>AND(AT211,N211&gt;=M211)</x:f>
        <x:v>1</x:v>
      </x:c>
      <x:c r="AV211" s="49" t="b">
        <x:f>OR(S211=0,T211&gt;=S211)</x:f>
        <x:v>1</x:v>
      </x:c>
      <x:c r="AW211" s="49" t="b">
        <x:f>IF(I211="cache-semantics",OR(V211&lt;&gt;"uniform",ABS(Y211-W211/'Readme-Protocol'!$B$27)&lt;='Readme-Protocol'!$B$28),TRUE)</x:f>
        <x:v>1</x:v>
      </x:c>
      <x:c r="AX211" s="43" t="n">
        <x:f>IF(I211="cache-semantics",INT(AA211*'Readme-Protocol'!$B$32),"")</x:f>
        <x:v>9900</x:v>
      </x:c>
      <x:c r="AY211" s="49" t="b">
        <x:f>IF(I211="cache-semantics",AX211=AB211,TRUE)</x:f>
        <x:v>1</x:v>
      </x:c>
      <x:c r="AZ211" s="49" t="b">
        <x:f>IF(I211="cache-semantics",AX211=AE211,TRUE)</x:f>
        <x:v>1</x:v>
      </x:c>
      <x:c r="BA211" s="49" t="b">
        <x:f>IF(I211="cache-semantics",AC211&gt;=AX211,IF(I211="no-store-control",AC211=0,FALSE))</x:f>
        <x:v>1</x:v>
      </x:c>
      <x:c r="BB211" s="49" t="b">
        <x:f>IF(I211="cache-semantics",AG211&gt;=AX211,IF(I211="no-store-control",AG211=0,FALSE))</x:f>
        <x:v>1</x:v>
      </x:c>
      <x:c r="BC211" s="49" t="b">
        <x:f>AND(BA211,BB211)</x:f>
        <x:v>1</x:v>
      </x:c>
      <x:c r="BD211" s="49" t="b">
        <x:f>IF(I211="no-store-control",AND(AC211=0,AG211=0),TRUE)</x:f>
        <x:v>1</x:v>
      </x:c>
      <x:c r="BE211" s="49" t="b">
        <x:f>IF(I211="no-store-control",AK211=0,TRUE)</x:f>
        <x:v>1</x:v>
      </x:c>
      <x:c r="BF211" s="49" t="b">
        <x:f>IF(I211="cache-semantics",AN211=1,TRUE)</x:f>
        <x:v>1</x:v>
      </x:c>
      <x:c r="BG211" s="49" t="b">
        <x:f>IF(I211="cache-semantics",AND(AU211,AV211,Q211,AW211,BC211,BF211),IF(I211="no-store-control",AND(AU211,AV211,Q211,BD211,BE211),FALSE))</x:f>
        <x:v>1</x:v>
      </x:c>
      <x:c r="BH211" s="49" t="b">
        <x:f>AND(R211,AT211=P211,AU211=L211,AV211=U211,AY211,AZ211,IF(I211="cache-semantics",AND(AW211=Z211,AND(BA211=AD211,BB211=AH211,BC211=AI211),BF211=AO211),IF(I211="no-store-control",AND(AND(BA211=AD211,BB211=AH211,BC211=AI211),BD211=AJ211,BE211=AL211),FALSE)),BG211=AP211)</x:f>
        <x:v>1</x:v>
      </x:c>
      <x:c r="BI211" s="49" t="b">
        <x:f>AND(J211,K211,BG211)</x:f>
        <x:v>1</x:v>
      </x:c>
    </x:row>
    <x:row r="212">
      <x:c r="A212" s="34" t="str">
        <x:v>article1-unified-v4-2-fb3f101b-20260903-000401-default-f04-p4-nostore</x:v>
      </x:c>
      <x:c r="B212" s="34" t="str">
        <x:v>default</x:v>
      </x:c>
      <x:c r="C212" s="34" t="str">
        <x:v>nostore</x:v>
      </x:c>
      <x:c r="D212" s="36" t="n">
        <x:v>4</x:v>
      </x:c>
      <x:c r="E212" s="36" t="n">
        <x:v>4</x:v>
      </x:c>
      <x:c r="F212" s="36" t="n">
        <x:v>4</x:v>
      </x:c>
      <x:c r="G212" s="36" t="n">
        <x:v>1</x:v>
      </x:c>
      <x:c r="H212" s="34" t="str">
        <x:v>initial</x:v>
      </x:c>
      <x:c r="I212" s="34" t="str">
        <x:v>no-store-control</x:v>
      </x:c>
      <x:c r="J212" s="45" t="b">
        <x:v>1</x:v>
      </x:c>
      <x:c r="K212" s="45" t="b">
        <x:v>0</x:v>
      </x:c>
      <x:c r="L212" s="45" t="b">
        <x:v>1</x:v>
      </x:c>
      <x:c r="M212" s="43" t="n">
        <x:v>400000</x:v>
      </x:c>
      <x:c r="N212" s="43" t="n">
        <x:v>525475328</x:v>
      </x:c>
      <x:c r="O212" s="43" t="n">
        <x:v>104743075.86509688</x:v>
      </x:c>
      <x:c r="P212" s="45" t="b">
        <x:v>1</x:v>
      </x:c>
      <x:c r="Q212" s="45" t="b">
        <x:v>1</x:v>
      </x:c>
      <x:c r="R212" s="45" t="b">
        <x:v>1</x:v>
      </x:c>
      <x:c r="S212" s="43" t="n">
        <x:v>5000000000</x:v>
      </x:c>
      <x:c r="T212" s="43" t="n">
        <x:v>5016802530</x:v>
      </x:c>
      <x:c r="U212" s="45" t="b">
        <x:v>1</x:v>
      </x:c>
      <x:c r="V212" s="34" t="str">
        <x:v>uniform</x:v>
      </x:c>
      <x:c r="W212" s="42" t="n">
        <x:v>95</x:v>
      </x:c>
      <x:c r="X212" s="48"/>
      <x:c r="Y212" s="48"/>
      <x:c r="Z212" s="49"/>
      <x:c r="AA212" s="43" t="n">
        <x:v>10000</x:v>
      </x:c>
      <x:c r="AB212" s="43"/>
      <x:c r="AC212" s="43" t="n">
        <x:v>0</x:v>
      </x:c>
      <x:c r="AD212" s="45" t="b">
        <x:v>1</x:v>
      </x:c>
      <x:c r="AE212" s="43"/>
      <x:c r="AF212" s="43" t="n">
        <x:v>0</x:v>
      </x:c>
      <x:c r="AG212" s="43" t="n">
        <x:v>0</x:v>
      </x:c>
      <x:c r="AH212" s="45" t="b">
        <x:v>1</x:v>
      </x:c>
      <x:c r="AI212" s="45" t="b">
        <x:v>1</x:v>
      </x:c>
      <x:c r="AJ212" s="45" t="b">
        <x:v>1</x:v>
      </x:c>
      <x:c r="AK212" s="48" t="n">
        <x:v>0</x:v>
      </x:c>
      <x:c r="AL212" s="45" t="b">
        <x:v>1</x:v>
      </x:c>
      <x:c r="AM212" s="45" t="b">
        <x:v>0</x:v>
      </x:c>
      <x:c r="AN212" s="36" t="n">
        <x:v>16</x:v>
      </x:c>
      <x:c r="AO212" s="49"/>
      <x:c r="AP212" s="45" t="b">
        <x:v>1</x:v>
      </x:c>
      <x:c r="AQ212" s="46" t="n">
        <x:f>IF(T212="","",T212/'Readme-Protocol'!$B$24)</x:f>
        <x:v>5.01680253</x:v>
      </x:c>
      <x:c r="AR212" s="46" t="n">
        <x:f>IF(OR(S212="",S212=0),"",T212/S212)</x:f>
        <x:v>1.003360506</x:v>
      </x:c>
      <x:c r="AS212" s="46" t="str">
        <x:f>IF(OR(X212="",Y212=""),"",ABS(Y212-X212)*'Readme-Protocol'!$B$27)</x:f>
      </x:c>
      <x:c r="AT212" s="49" t="b">
        <x:f>AND(M212&gt;0,N212&gt;=0,O212&gt;0)</x:f>
        <x:v>1</x:v>
      </x:c>
      <x:c r="AU212" s="49" t="b">
        <x:f>AND(AT212,N212&gt;=M212)</x:f>
        <x:v>1</x:v>
      </x:c>
      <x:c r="AV212" s="49" t="b">
        <x:f>OR(S212=0,T212&gt;=S212)</x:f>
        <x:v>1</x:v>
      </x:c>
      <x:c r="AW212" s="49" t="b">
        <x:f>IF(I212="cache-semantics",OR(V212&lt;&gt;"uniform",ABS(Y212-W212/'Readme-Protocol'!$B$27)&lt;='Readme-Protocol'!$B$28),TRUE)</x:f>
        <x:v>1</x:v>
      </x:c>
      <x:c r="AX212" s="43" t="str">
        <x:f>IF(I212="cache-semantics",INT(AA212*'Readme-Protocol'!$B$32),"")</x:f>
      </x:c>
      <x:c r="AY212" s="49" t="b">
        <x:f>IF(I212="cache-semantics",AX212=AB212,TRUE)</x:f>
        <x:v>1</x:v>
      </x:c>
      <x:c r="AZ212" s="49" t="b">
        <x:f>IF(I212="cache-semantics",AX212=AE212,TRUE)</x:f>
        <x:v>1</x:v>
      </x:c>
      <x:c r="BA212" s="49" t="b">
        <x:f>IF(I212="cache-semantics",AC212&gt;=AX212,IF(I212="no-store-control",AC212=0,FALSE))</x:f>
        <x:v>1</x:v>
      </x:c>
      <x:c r="BB212" s="49" t="b">
        <x:f>IF(I212="cache-semantics",AG212&gt;=AX212,IF(I212="no-store-control",AG212=0,FALSE))</x:f>
        <x:v>1</x:v>
      </x:c>
      <x:c r="BC212" s="49" t="b">
        <x:f>AND(BA212,BB212)</x:f>
        <x:v>1</x:v>
      </x:c>
      <x:c r="BD212" s="49" t="b">
        <x:f>IF(I212="no-store-control",AND(AC212=0,AG212=0),TRUE)</x:f>
        <x:v>1</x:v>
      </x:c>
      <x:c r="BE212" s="49" t="b">
        <x:f>IF(I212="no-store-control",AK212=0,TRUE)</x:f>
        <x:v>1</x:v>
      </x:c>
      <x:c r="BF212" s="49" t="b">
        <x:f>IF(I212="cache-semantics",AN212=1,TRUE)</x:f>
        <x:v>1</x:v>
      </x:c>
      <x:c r="BG212" s="49" t="b">
        <x:f>IF(I212="cache-semantics",AND(AU212,AV212,Q212,AW212,BC212,BF212),IF(I212="no-store-control",AND(AU212,AV212,Q212,BD212,BE212),FALSE))</x:f>
        <x:v>1</x:v>
      </x:c>
      <x:c r="BH212" s="49" t="b">
        <x:f>AND(R212,AT212=P212,AU212=L212,AV212=U212,AY212,AZ212,IF(I212="cache-semantics",AND(AW212=Z212,AND(BA212=AD212,BB212=AH212,BC212=AI212),BF212=AO212),IF(I212="no-store-control",AND(AND(BA212=AD212,BB212=AH212,BC212=AI212),BD212=AJ212,BE212=AL212),FALSE)),BG212=AP212)</x:f>
        <x:v>1</x:v>
      </x:c>
      <x:c r="BI212" s="49" t="b">
        <x:f>AND(J212,K212,BG212)</x:f>
        <x:v>0</x:v>
      </x:c>
    </x:row>
    <x:row r="213">
      <x:c r="A213" s="34" t="str">
        <x:v>article1-unified-v4-2-fb3f101b-20260903-000401-default-f04-p4-nostore</x:v>
      </x:c>
      <x:c r="B213" s="34" t="str">
        <x:v>default</x:v>
      </x:c>
      <x:c r="C213" s="34" t="str">
        <x:v>nostore</x:v>
      </x:c>
      <x:c r="D213" s="36" t="n">
        <x:v>4</x:v>
      </x:c>
      <x:c r="E213" s="36" t="n">
        <x:v>4</x:v>
      </x:c>
      <x:c r="F213" s="36" t="n">
        <x:v>4</x:v>
      </x:c>
      <x:c r="G213" s="36" t="n">
        <x:v>1</x:v>
      </x:c>
      <x:c r="H213" s="34" t="str">
        <x:v>redeploy</x:v>
      </x:c>
      <x:c r="I213" s="34" t="str">
        <x:v>no-store-control</x:v>
      </x:c>
      <x:c r="J213" s="45" t="b">
        <x:v>1</x:v>
      </x:c>
      <x:c r="K213" s="45" t="b">
        <x:v>0</x:v>
      </x:c>
      <x:c r="L213" s="45" t="b">
        <x:v>1</x:v>
      </x:c>
      <x:c r="M213" s="43" t="n">
        <x:v>400000</x:v>
      </x:c>
      <x:c r="N213" s="43" t="n">
        <x:v>513370624</x:v>
      </x:c>
      <x:c r="O213" s="43" t="n">
        <x:v>102533316.82134242</x:v>
      </x:c>
      <x:c r="P213" s="45" t="b">
        <x:v>1</x:v>
      </x:c>
      <x:c r="Q213" s="45" t="b">
        <x:v>1</x:v>
      </x:c>
      <x:c r="R213" s="45" t="b">
        <x:v>1</x:v>
      </x:c>
      <x:c r="S213" s="43" t="n">
        <x:v>5000000000</x:v>
      </x:c>
      <x:c r="T213" s="43" t="n">
        <x:v>5006866450</x:v>
      </x:c>
      <x:c r="U213" s="45" t="b">
        <x:v>1</x:v>
      </x:c>
      <x:c r="V213" s="34" t="str">
        <x:v>uniform</x:v>
      </x:c>
      <x:c r="W213" s="42" t="n">
        <x:v>95</x:v>
      </x:c>
      <x:c r="X213" s="48"/>
      <x:c r="Y213" s="48"/>
      <x:c r="Z213" s="49"/>
      <x:c r="AA213" s="43" t="n">
        <x:v>10000</x:v>
      </x:c>
      <x:c r="AB213" s="43"/>
      <x:c r="AC213" s="43" t="n">
        <x:v>0</x:v>
      </x:c>
      <x:c r="AD213" s="45" t="b">
        <x:v>1</x:v>
      </x:c>
      <x:c r="AE213" s="43"/>
      <x:c r="AF213" s="43" t="n">
        <x:v>0</x:v>
      </x:c>
      <x:c r="AG213" s="43" t="n">
        <x:v>0</x:v>
      </x:c>
      <x:c r="AH213" s="45" t="b">
        <x:v>1</x:v>
      </x:c>
      <x:c r="AI213" s="45" t="b">
        <x:v>1</x:v>
      </x:c>
      <x:c r="AJ213" s="45" t="b">
        <x:v>1</x:v>
      </x:c>
      <x:c r="AK213" s="48" t="n">
        <x:v>0</x:v>
      </x:c>
      <x:c r="AL213" s="45" t="b">
        <x:v>1</x:v>
      </x:c>
      <x:c r="AM213" s="45" t="b">
        <x:v>0</x:v>
      </x:c>
      <x:c r="AN213" s="36" t="n">
        <x:v>16</x:v>
      </x:c>
      <x:c r="AO213" s="49"/>
      <x:c r="AP213" s="45" t="b">
        <x:v>1</x:v>
      </x:c>
      <x:c r="AQ213" s="46" t="n">
        <x:f>IF(T213="","",T213/'Readme-Protocol'!$B$24)</x:f>
        <x:v>5.00686645</x:v>
      </x:c>
      <x:c r="AR213" s="46" t="n">
        <x:f>IF(OR(S213="",S213=0),"",T213/S213)</x:f>
        <x:v>1.00137329</x:v>
      </x:c>
      <x:c r="AS213" s="46" t="str">
        <x:f>IF(OR(X213="",Y213=""),"",ABS(Y213-X213)*'Readme-Protocol'!$B$27)</x:f>
      </x:c>
      <x:c r="AT213" s="49" t="b">
        <x:f>AND(M213&gt;0,N213&gt;=0,O213&gt;0)</x:f>
        <x:v>1</x:v>
      </x:c>
      <x:c r="AU213" s="49" t="b">
        <x:f>AND(AT213,N213&gt;=M213)</x:f>
        <x:v>1</x:v>
      </x:c>
      <x:c r="AV213" s="49" t="b">
        <x:f>OR(S213=0,T213&gt;=S213)</x:f>
        <x:v>1</x:v>
      </x:c>
      <x:c r="AW213" s="49" t="b">
        <x:f>IF(I213="cache-semantics",OR(V213&lt;&gt;"uniform",ABS(Y213-W213/'Readme-Protocol'!$B$27)&lt;='Readme-Protocol'!$B$28),TRUE)</x:f>
        <x:v>1</x:v>
      </x:c>
      <x:c r="AX213" s="43" t="str">
        <x:f>IF(I213="cache-semantics",INT(AA213*'Readme-Protocol'!$B$32),"")</x:f>
      </x:c>
      <x:c r="AY213" s="49" t="b">
        <x:f>IF(I213="cache-semantics",AX213=AB213,TRUE)</x:f>
        <x:v>1</x:v>
      </x:c>
      <x:c r="AZ213" s="49" t="b">
        <x:f>IF(I213="cache-semantics",AX213=AE213,TRUE)</x:f>
        <x:v>1</x:v>
      </x:c>
      <x:c r="BA213" s="49" t="b">
        <x:f>IF(I213="cache-semantics",AC213&gt;=AX213,IF(I213="no-store-control",AC213=0,FALSE))</x:f>
        <x:v>1</x:v>
      </x:c>
      <x:c r="BB213" s="49" t="b">
        <x:f>IF(I213="cache-semantics",AG213&gt;=AX213,IF(I213="no-store-control",AG213=0,FALSE))</x:f>
        <x:v>1</x:v>
      </x:c>
      <x:c r="BC213" s="49" t="b">
        <x:f>AND(BA213,BB213)</x:f>
        <x:v>1</x:v>
      </x:c>
      <x:c r="BD213" s="49" t="b">
        <x:f>IF(I213="no-store-control",AND(AC213=0,AG213=0),TRUE)</x:f>
        <x:v>1</x:v>
      </x:c>
      <x:c r="BE213" s="49" t="b">
        <x:f>IF(I213="no-store-control",AK213=0,TRUE)</x:f>
        <x:v>1</x:v>
      </x:c>
      <x:c r="BF213" s="49" t="b">
        <x:f>IF(I213="cache-semantics",AN213=1,TRUE)</x:f>
        <x:v>1</x:v>
      </x:c>
      <x:c r="BG213" s="49" t="b">
        <x:f>IF(I213="cache-semantics",AND(AU213,AV213,Q213,AW213,BC213,BF213),IF(I213="no-store-control",AND(AU213,AV213,Q213,BD213,BE213),FALSE))</x:f>
        <x:v>1</x:v>
      </x:c>
      <x:c r="BH213" s="49" t="b">
        <x:f>AND(R213,AT213=P213,AU213=L213,AV213=U213,AY213,AZ213,IF(I213="cache-semantics",AND(AW213=Z213,AND(BA213=AD213,BB213=AH213,BC213=AI213),BF213=AO213),IF(I213="no-store-control",AND(AND(BA213=AD213,BB213=AH213,BC213=AI213),BD213=AJ213,BE213=AL213),FALSE)),BG213=AP213)</x:f>
        <x:v>1</x:v>
      </x:c>
      <x:c r="BI213" s="49" t="b">
        <x:f>AND(J213,K213,BG213)</x:f>
        <x:v>0</x:v>
      </x:c>
    </x:row>
    <x:row r="214">
      <x:c r="A214" s="34" t="str">
        <x:v>article1-unified-v4-2-fb3f101b-20260903-000401-default-f04-p4-nostore</x:v>
      </x:c>
      <x:c r="B214" s="34" t="str">
        <x:v>default</x:v>
      </x:c>
      <x:c r="C214" s="34" t="str">
        <x:v>nostore</x:v>
      </x:c>
      <x:c r="D214" s="36" t="n">
        <x:v>4</x:v>
      </x:c>
      <x:c r="E214" s="36" t="n">
        <x:v>4</x:v>
      </x:c>
      <x:c r="F214" s="36" t="n">
        <x:v>4</x:v>
      </x:c>
      <x:c r="G214" s="36" t="n">
        <x:v>2</x:v>
      </x:c>
      <x:c r="H214" s="34" t="str">
        <x:v>initial</x:v>
      </x:c>
      <x:c r="I214" s="34" t="str">
        <x:v>no-store-control</x:v>
      </x:c>
      <x:c r="J214" s="45" t="b">
        <x:v>1</x:v>
      </x:c>
      <x:c r="K214" s="45" t="b">
        <x:v>0</x:v>
      </x:c>
      <x:c r="L214" s="45" t="b">
        <x:v>1</x:v>
      </x:c>
      <x:c r="M214" s="43" t="n">
        <x:v>400000</x:v>
      </x:c>
      <x:c r="N214" s="43" t="n">
        <x:v>490233600</x:v>
      </x:c>
      <x:c r="O214" s="43" t="n">
        <x:v>97946257.58141832</x:v>
      </x:c>
      <x:c r="P214" s="45" t="b">
        <x:v>1</x:v>
      </x:c>
      <x:c r="Q214" s="45" t="b">
        <x:v>1</x:v>
      </x:c>
      <x:c r="R214" s="45" t="b">
        <x:v>1</x:v>
      </x:c>
      <x:c r="S214" s="43" t="n">
        <x:v>5000000000</x:v>
      </x:c>
      <x:c r="T214" s="43" t="n">
        <x:v>5005128446</x:v>
      </x:c>
      <x:c r="U214" s="45" t="b">
        <x:v>1</x:v>
      </x:c>
      <x:c r="V214" s="34" t="str">
        <x:v>uniform</x:v>
      </x:c>
      <x:c r="W214" s="42" t="n">
        <x:v>95</x:v>
      </x:c>
      <x:c r="X214" s="48"/>
      <x:c r="Y214" s="48"/>
      <x:c r="Z214" s="49"/>
      <x:c r="AA214" s="43" t="n">
        <x:v>10000</x:v>
      </x:c>
      <x:c r="AB214" s="43"/>
      <x:c r="AC214" s="43" t="n">
        <x:v>0</x:v>
      </x:c>
      <x:c r="AD214" s="45" t="b">
        <x:v>1</x:v>
      </x:c>
      <x:c r="AE214" s="43"/>
      <x:c r="AF214" s="43" t="n">
        <x:v>0</x:v>
      </x:c>
      <x:c r="AG214" s="43" t="n">
        <x:v>0</x:v>
      </x:c>
      <x:c r="AH214" s="45" t="b">
        <x:v>1</x:v>
      </x:c>
      <x:c r="AI214" s="45" t="b">
        <x:v>1</x:v>
      </x:c>
      <x:c r="AJ214" s="45" t="b">
        <x:v>1</x:v>
      </x:c>
      <x:c r="AK214" s="48" t="n">
        <x:v>0</x:v>
      </x:c>
      <x:c r="AL214" s="45" t="b">
        <x:v>1</x:v>
      </x:c>
      <x:c r="AM214" s="45" t="b">
        <x:v>0</x:v>
      </x:c>
      <x:c r="AN214" s="36" t="n">
        <x:v>16</x:v>
      </x:c>
      <x:c r="AO214" s="49"/>
      <x:c r="AP214" s="45" t="b">
        <x:v>1</x:v>
      </x:c>
      <x:c r="AQ214" s="46" t="n">
        <x:f>IF(T214="","",T214/'Readme-Protocol'!$B$24)</x:f>
        <x:v>5.005128446</x:v>
      </x:c>
      <x:c r="AR214" s="46" t="n">
        <x:f>IF(OR(S214="",S214=0),"",T214/S214)</x:f>
        <x:v>1.0010256892</x:v>
      </x:c>
      <x:c r="AS214" s="46" t="str">
        <x:f>IF(OR(X214="",Y214=""),"",ABS(Y214-X214)*'Readme-Protocol'!$B$27)</x:f>
      </x:c>
      <x:c r="AT214" s="49" t="b">
        <x:f>AND(M214&gt;0,N214&gt;=0,O214&gt;0)</x:f>
        <x:v>1</x:v>
      </x:c>
      <x:c r="AU214" s="49" t="b">
        <x:f>AND(AT214,N214&gt;=M214)</x:f>
        <x:v>1</x:v>
      </x:c>
      <x:c r="AV214" s="49" t="b">
        <x:f>OR(S214=0,T214&gt;=S214)</x:f>
        <x:v>1</x:v>
      </x:c>
      <x:c r="AW214" s="49" t="b">
        <x:f>IF(I214="cache-semantics",OR(V214&lt;&gt;"uniform",ABS(Y214-W214/'Readme-Protocol'!$B$27)&lt;='Readme-Protocol'!$B$28),TRUE)</x:f>
        <x:v>1</x:v>
      </x:c>
      <x:c r="AX214" s="43" t="str">
        <x:f>IF(I214="cache-semantics",INT(AA214*'Readme-Protocol'!$B$32),"")</x:f>
      </x:c>
      <x:c r="AY214" s="49" t="b">
        <x:f>IF(I214="cache-semantics",AX214=AB214,TRUE)</x:f>
        <x:v>1</x:v>
      </x:c>
      <x:c r="AZ214" s="49" t="b">
        <x:f>IF(I214="cache-semantics",AX214=AE214,TRUE)</x:f>
        <x:v>1</x:v>
      </x:c>
      <x:c r="BA214" s="49" t="b">
        <x:f>IF(I214="cache-semantics",AC214&gt;=AX214,IF(I214="no-store-control",AC214=0,FALSE))</x:f>
        <x:v>1</x:v>
      </x:c>
      <x:c r="BB214" s="49" t="b">
        <x:f>IF(I214="cache-semantics",AG214&gt;=AX214,IF(I214="no-store-control",AG214=0,FALSE))</x:f>
        <x:v>1</x:v>
      </x:c>
      <x:c r="BC214" s="49" t="b">
        <x:f>AND(BA214,BB214)</x:f>
        <x:v>1</x:v>
      </x:c>
      <x:c r="BD214" s="49" t="b">
        <x:f>IF(I214="no-store-control",AND(AC214=0,AG214=0),TRUE)</x:f>
        <x:v>1</x:v>
      </x:c>
      <x:c r="BE214" s="49" t="b">
        <x:f>IF(I214="no-store-control",AK214=0,TRUE)</x:f>
        <x:v>1</x:v>
      </x:c>
      <x:c r="BF214" s="49" t="b">
        <x:f>IF(I214="cache-semantics",AN214=1,TRUE)</x:f>
        <x:v>1</x:v>
      </x:c>
      <x:c r="BG214" s="49" t="b">
        <x:f>IF(I214="cache-semantics",AND(AU214,AV214,Q214,AW214,BC214,BF214),IF(I214="no-store-control",AND(AU214,AV214,Q214,BD214,BE214),FALSE))</x:f>
        <x:v>1</x:v>
      </x:c>
      <x:c r="BH214" s="49" t="b">
        <x:f>AND(R214,AT214=P214,AU214=L214,AV214=U214,AY214,AZ214,IF(I214="cache-semantics",AND(AW214=Z214,AND(BA214=AD214,BB214=AH214,BC214=AI214),BF214=AO214),IF(I214="no-store-control",AND(AND(BA214=AD214,BB214=AH214,BC214=AI214),BD214=AJ214,BE214=AL214),FALSE)),BG214=AP214)</x:f>
        <x:v>1</x:v>
      </x:c>
      <x:c r="BI214" s="49" t="b">
        <x:f>AND(J214,K214,BG214)</x:f>
        <x:v>0</x:v>
      </x:c>
    </x:row>
    <x:row r="215">
      <x:c r="A215" s="34" t="str">
        <x:v>article1-unified-v4-2-fb3f101b-20260903-000401-default-f04-p4-nostore</x:v>
      </x:c>
      <x:c r="B215" s="34" t="str">
        <x:v>default</x:v>
      </x:c>
      <x:c r="C215" s="34" t="str">
        <x:v>nostore</x:v>
      </x:c>
      <x:c r="D215" s="36" t="n">
        <x:v>4</x:v>
      </x:c>
      <x:c r="E215" s="36" t="n">
        <x:v>4</x:v>
      </x:c>
      <x:c r="F215" s="36" t="n">
        <x:v>4</x:v>
      </x:c>
      <x:c r="G215" s="36" t="n">
        <x:v>2</x:v>
      </x:c>
      <x:c r="H215" s="34" t="str">
        <x:v>redeploy</x:v>
      </x:c>
      <x:c r="I215" s="34" t="str">
        <x:v>no-store-control</x:v>
      </x:c>
      <x:c r="J215" s="45" t="b">
        <x:v>1</x:v>
      </x:c>
      <x:c r="K215" s="45" t="b">
        <x:v>0</x:v>
      </x:c>
      <x:c r="L215" s="45" t="b">
        <x:v>1</x:v>
      </x:c>
      <x:c r="M215" s="43" t="n">
        <x:v>400000</x:v>
      </x:c>
      <x:c r="N215" s="43" t="n">
        <x:v>507400448</x:v>
      </x:c>
      <x:c r="O215" s="43" t="n">
        <x:v>101355864.18377408</x:v>
      </x:c>
      <x:c r="P215" s="45" t="b">
        <x:v>1</x:v>
      </x:c>
      <x:c r="Q215" s="45" t="b">
        <x:v>1</x:v>
      </x:c>
      <x:c r="R215" s="45" t="b">
        <x:v>1</x:v>
      </x:c>
      <x:c r="S215" s="43" t="n">
        <x:v>5000000000</x:v>
      </x:c>
      <x:c r="T215" s="43" t="n">
        <x:v>5006128181</x:v>
      </x:c>
      <x:c r="U215" s="45" t="b">
        <x:v>1</x:v>
      </x:c>
      <x:c r="V215" s="34" t="str">
        <x:v>uniform</x:v>
      </x:c>
      <x:c r="W215" s="42" t="n">
        <x:v>95</x:v>
      </x:c>
      <x:c r="X215" s="48"/>
      <x:c r="Y215" s="48"/>
      <x:c r="Z215" s="49"/>
      <x:c r="AA215" s="43" t="n">
        <x:v>10000</x:v>
      </x:c>
      <x:c r="AB215" s="43"/>
      <x:c r="AC215" s="43" t="n">
        <x:v>0</x:v>
      </x:c>
      <x:c r="AD215" s="45" t="b">
        <x:v>1</x:v>
      </x:c>
      <x:c r="AE215" s="43"/>
      <x:c r="AF215" s="43" t="n">
        <x:v>0</x:v>
      </x:c>
      <x:c r="AG215" s="43" t="n">
        <x:v>0</x:v>
      </x:c>
      <x:c r="AH215" s="45" t="b">
        <x:v>1</x:v>
      </x:c>
      <x:c r="AI215" s="45" t="b">
        <x:v>1</x:v>
      </x:c>
      <x:c r="AJ215" s="45" t="b">
        <x:v>1</x:v>
      </x:c>
      <x:c r="AK215" s="48" t="n">
        <x:v>0</x:v>
      </x:c>
      <x:c r="AL215" s="45" t="b">
        <x:v>1</x:v>
      </x:c>
      <x:c r="AM215" s="45" t="b">
        <x:v>0</x:v>
      </x:c>
      <x:c r="AN215" s="36" t="n">
        <x:v>16</x:v>
      </x:c>
      <x:c r="AO215" s="49"/>
      <x:c r="AP215" s="45" t="b">
        <x:v>1</x:v>
      </x:c>
      <x:c r="AQ215" s="46" t="n">
        <x:f>IF(T215="","",T215/'Readme-Protocol'!$B$24)</x:f>
        <x:v>5.006128181</x:v>
      </x:c>
      <x:c r="AR215" s="46" t="n">
        <x:f>IF(OR(S215="",S215=0),"",T215/S215)</x:f>
        <x:v>1.0012256362</x:v>
      </x:c>
      <x:c r="AS215" s="46" t="str">
        <x:f>IF(OR(X215="",Y215=""),"",ABS(Y215-X215)*'Readme-Protocol'!$B$27)</x:f>
      </x:c>
      <x:c r="AT215" s="49" t="b">
        <x:f>AND(M215&gt;0,N215&gt;=0,O215&gt;0)</x:f>
        <x:v>1</x:v>
      </x:c>
      <x:c r="AU215" s="49" t="b">
        <x:f>AND(AT215,N215&gt;=M215)</x:f>
        <x:v>1</x:v>
      </x:c>
      <x:c r="AV215" s="49" t="b">
        <x:f>OR(S215=0,T215&gt;=S215)</x:f>
        <x:v>1</x:v>
      </x:c>
      <x:c r="AW215" s="49" t="b">
        <x:f>IF(I215="cache-semantics",OR(V215&lt;&gt;"uniform",ABS(Y215-W215/'Readme-Protocol'!$B$27)&lt;='Readme-Protocol'!$B$28),TRUE)</x:f>
        <x:v>1</x:v>
      </x:c>
      <x:c r="AX215" s="43" t="str">
        <x:f>IF(I215="cache-semantics",INT(AA215*'Readme-Protocol'!$B$32),"")</x:f>
      </x:c>
      <x:c r="AY215" s="49" t="b">
        <x:f>IF(I215="cache-semantics",AX215=AB215,TRUE)</x:f>
        <x:v>1</x:v>
      </x:c>
      <x:c r="AZ215" s="49" t="b">
        <x:f>IF(I215="cache-semantics",AX215=AE215,TRUE)</x:f>
        <x:v>1</x:v>
      </x:c>
      <x:c r="BA215" s="49" t="b">
        <x:f>IF(I215="cache-semantics",AC215&gt;=AX215,IF(I215="no-store-control",AC215=0,FALSE))</x:f>
        <x:v>1</x:v>
      </x:c>
      <x:c r="BB215" s="49" t="b">
        <x:f>IF(I215="cache-semantics",AG215&gt;=AX215,IF(I215="no-store-control",AG215=0,FALSE))</x:f>
        <x:v>1</x:v>
      </x:c>
      <x:c r="BC215" s="49" t="b">
        <x:f>AND(BA215,BB215)</x:f>
        <x:v>1</x:v>
      </x:c>
      <x:c r="BD215" s="49" t="b">
        <x:f>IF(I215="no-store-control",AND(AC215=0,AG215=0),TRUE)</x:f>
        <x:v>1</x:v>
      </x:c>
      <x:c r="BE215" s="49" t="b">
        <x:f>IF(I215="no-store-control",AK215=0,TRUE)</x:f>
        <x:v>1</x:v>
      </x:c>
      <x:c r="BF215" s="49" t="b">
        <x:f>IF(I215="cache-semantics",AN215=1,TRUE)</x:f>
        <x:v>1</x:v>
      </x:c>
      <x:c r="BG215" s="49" t="b">
        <x:f>IF(I215="cache-semantics",AND(AU215,AV215,Q215,AW215,BC215,BF215),IF(I215="no-store-control",AND(AU215,AV215,Q215,BD215,BE215),FALSE))</x:f>
        <x:v>1</x:v>
      </x:c>
      <x:c r="BH215" s="49" t="b">
        <x:f>AND(R215,AT215=P215,AU215=L215,AV215=U215,AY215,AZ215,IF(I215="cache-semantics",AND(AW215=Z215,AND(BA215=AD215,BB215=AH215,BC215=AI215),BF215=AO215),IF(I215="no-store-control",AND(AND(BA215=AD215,BB215=AH215,BC215=AI215),BD215=AJ215,BE215=AL215),FALSE)),BG215=AP215)</x:f>
        <x:v>1</x:v>
      </x:c>
      <x:c r="BI215" s="49" t="b">
        <x:f>AND(J215,K215,BG215)</x:f>
        <x:v>0</x:v>
      </x:c>
    </x:row>
    <x:row r="216">
      <x:c r="A216" s="34" t="str">
        <x:v>article1-unified-v4-2-fb3f101b-20260903-000401-default-f04-p4-nostore</x:v>
      </x:c>
      <x:c r="B216" s="34" t="str">
        <x:v>default</x:v>
      </x:c>
      <x:c r="C216" s="34" t="str">
        <x:v>nostore</x:v>
      </x:c>
      <x:c r="D216" s="36" t="n">
        <x:v>4</x:v>
      </x:c>
      <x:c r="E216" s="36" t="n">
        <x:v>4</x:v>
      </x:c>
      <x:c r="F216" s="36" t="n">
        <x:v>4</x:v>
      </x:c>
      <x:c r="G216" s="36" t="n">
        <x:v>3</x:v>
      </x:c>
      <x:c r="H216" s="34" t="str">
        <x:v>initial</x:v>
      </x:c>
      <x:c r="I216" s="34" t="str">
        <x:v>no-store-control</x:v>
      </x:c>
      <x:c r="J216" s="45" t="b">
        <x:v>1</x:v>
      </x:c>
      <x:c r="K216" s="45" t="b">
        <x:v>0</x:v>
      </x:c>
      <x:c r="L216" s="45" t="b">
        <x:v>1</x:v>
      </x:c>
      <x:c r="M216" s="43" t="n">
        <x:v>400000</x:v>
      </x:c>
      <x:c r="N216" s="43" t="n">
        <x:v>508020992</x:v>
      </x:c>
      <x:c r="O216" s="43" t="n">
        <x:v>101501881.17451438</x:v>
      </x:c>
      <x:c r="P216" s="45" t="b">
        <x:v>1</x:v>
      </x:c>
      <x:c r="Q216" s="45" t="b">
        <x:v>1</x:v>
      </x:c>
      <x:c r="R216" s="45" t="b">
        <x:v>1</x:v>
      </x:c>
      <x:c r="S216" s="43" t="n">
        <x:v>5000000000</x:v>
      </x:c>
      <x:c r="T216" s="43" t="n">
        <x:v>5005040164</x:v>
      </x:c>
      <x:c r="U216" s="45" t="b">
        <x:v>1</x:v>
      </x:c>
      <x:c r="V216" s="34" t="str">
        <x:v>uniform</x:v>
      </x:c>
      <x:c r="W216" s="42" t="n">
        <x:v>95</x:v>
      </x:c>
      <x:c r="X216" s="48"/>
      <x:c r="Y216" s="48"/>
      <x:c r="Z216" s="49"/>
      <x:c r="AA216" s="43" t="n">
        <x:v>10000</x:v>
      </x:c>
      <x:c r="AB216" s="43"/>
      <x:c r="AC216" s="43" t="n">
        <x:v>0</x:v>
      </x:c>
      <x:c r="AD216" s="45" t="b">
        <x:v>1</x:v>
      </x:c>
      <x:c r="AE216" s="43"/>
      <x:c r="AF216" s="43" t="n">
        <x:v>0</x:v>
      </x:c>
      <x:c r="AG216" s="43" t="n">
        <x:v>0</x:v>
      </x:c>
      <x:c r="AH216" s="45" t="b">
        <x:v>1</x:v>
      </x:c>
      <x:c r="AI216" s="45" t="b">
        <x:v>1</x:v>
      </x:c>
      <x:c r="AJ216" s="45" t="b">
        <x:v>1</x:v>
      </x:c>
      <x:c r="AK216" s="48" t="n">
        <x:v>0</x:v>
      </x:c>
      <x:c r="AL216" s="45" t="b">
        <x:v>1</x:v>
      </x:c>
      <x:c r="AM216" s="45" t="b">
        <x:v>0</x:v>
      </x:c>
      <x:c r="AN216" s="36" t="n">
        <x:v>16</x:v>
      </x:c>
      <x:c r="AO216" s="49"/>
      <x:c r="AP216" s="45" t="b">
        <x:v>1</x:v>
      </x:c>
      <x:c r="AQ216" s="46" t="n">
        <x:f>IF(T216="","",T216/'Readme-Protocol'!$B$24)</x:f>
        <x:v>5.005040164</x:v>
      </x:c>
      <x:c r="AR216" s="46" t="n">
        <x:f>IF(OR(S216="",S216=0),"",T216/S216)</x:f>
        <x:v>1.0010080328</x:v>
      </x:c>
      <x:c r="AS216" s="46" t="str">
        <x:f>IF(OR(X216="",Y216=""),"",ABS(Y216-X216)*'Readme-Protocol'!$B$27)</x:f>
      </x:c>
      <x:c r="AT216" s="49" t="b">
        <x:f>AND(M216&gt;0,N216&gt;=0,O216&gt;0)</x:f>
        <x:v>1</x:v>
      </x:c>
      <x:c r="AU216" s="49" t="b">
        <x:f>AND(AT216,N216&gt;=M216)</x:f>
        <x:v>1</x:v>
      </x:c>
      <x:c r="AV216" s="49" t="b">
        <x:f>OR(S216=0,T216&gt;=S216)</x:f>
        <x:v>1</x:v>
      </x:c>
      <x:c r="AW216" s="49" t="b">
        <x:f>IF(I216="cache-semantics",OR(V216&lt;&gt;"uniform",ABS(Y216-W216/'Readme-Protocol'!$B$27)&lt;='Readme-Protocol'!$B$28),TRUE)</x:f>
        <x:v>1</x:v>
      </x:c>
      <x:c r="AX216" s="43" t="str">
        <x:f>IF(I216="cache-semantics",INT(AA216*'Readme-Protocol'!$B$32),"")</x:f>
      </x:c>
      <x:c r="AY216" s="49" t="b">
        <x:f>IF(I216="cache-semantics",AX216=AB216,TRUE)</x:f>
        <x:v>1</x:v>
      </x:c>
      <x:c r="AZ216" s="49" t="b">
        <x:f>IF(I216="cache-semantics",AX216=AE216,TRUE)</x:f>
        <x:v>1</x:v>
      </x:c>
      <x:c r="BA216" s="49" t="b">
        <x:f>IF(I216="cache-semantics",AC216&gt;=AX216,IF(I216="no-store-control",AC216=0,FALSE))</x:f>
        <x:v>1</x:v>
      </x:c>
      <x:c r="BB216" s="49" t="b">
        <x:f>IF(I216="cache-semantics",AG216&gt;=AX216,IF(I216="no-store-control",AG216=0,FALSE))</x:f>
        <x:v>1</x:v>
      </x:c>
      <x:c r="BC216" s="49" t="b">
        <x:f>AND(BA216,BB216)</x:f>
        <x:v>1</x:v>
      </x:c>
      <x:c r="BD216" s="49" t="b">
        <x:f>IF(I216="no-store-control",AND(AC216=0,AG216=0),TRUE)</x:f>
        <x:v>1</x:v>
      </x:c>
      <x:c r="BE216" s="49" t="b">
        <x:f>IF(I216="no-store-control",AK216=0,TRUE)</x:f>
        <x:v>1</x:v>
      </x:c>
      <x:c r="BF216" s="49" t="b">
        <x:f>IF(I216="cache-semantics",AN216=1,TRUE)</x:f>
        <x:v>1</x:v>
      </x:c>
      <x:c r="BG216" s="49" t="b">
        <x:f>IF(I216="cache-semantics",AND(AU216,AV216,Q216,AW216,BC216,BF216),IF(I216="no-store-control",AND(AU216,AV216,Q216,BD216,BE216),FALSE))</x:f>
        <x:v>1</x:v>
      </x:c>
      <x:c r="BH216" s="49" t="b">
        <x:f>AND(R216,AT216=P216,AU216=L216,AV216=U216,AY216,AZ216,IF(I216="cache-semantics",AND(AW216=Z216,AND(BA216=AD216,BB216=AH216,BC216=AI216),BF216=AO216),IF(I216="no-store-control",AND(AND(BA216=AD216,BB216=AH216,BC216=AI216),BD216=AJ216,BE216=AL216),FALSE)),BG216=AP216)</x:f>
        <x:v>1</x:v>
      </x:c>
      <x:c r="BI216" s="49" t="b">
        <x:f>AND(J216,K216,BG216)</x:f>
        <x:v>0</x:v>
      </x:c>
    </x:row>
    <x:row r="217">
      <x:c r="A217" s="34" t="str">
        <x:v>article1-unified-v4-2-fb3f101b-20260903-000401-default-f04-p4-nostore</x:v>
      </x:c>
      <x:c r="B217" s="34" t="str">
        <x:v>default</x:v>
      </x:c>
      <x:c r="C217" s="34" t="str">
        <x:v>nostore</x:v>
      </x:c>
      <x:c r="D217" s="36" t="n">
        <x:v>4</x:v>
      </x:c>
      <x:c r="E217" s="36" t="n">
        <x:v>4</x:v>
      </x:c>
      <x:c r="F217" s="36" t="n">
        <x:v>4</x:v>
      </x:c>
      <x:c r="G217" s="36" t="n">
        <x:v>3</x:v>
      </x:c>
      <x:c r="H217" s="34" t="str">
        <x:v>redeploy</x:v>
      </x:c>
      <x:c r="I217" s="34" t="str">
        <x:v>no-store-control</x:v>
      </x:c>
      <x:c r="J217" s="45" t="b">
        <x:v>1</x:v>
      </x:c>
      <x:c r="K217" s="45" t="b">
        <x:v>0</x:v>
      </x:c>
      <x:c r="L217" s="45" t="b">
        <x:v>1</x:v>
      </x:c>
      <x:c r="M217" s="43" t="n">
        <x:v>400000</x:v>
      </x:c>
      <x:c r="N217" s="43" t="n">
        <x:v>530983168</x:v>
      </x:c>
      <x:c r="O217" s="43" t="n">
        <x:v>105939656.43221824</x:v>
      </x:c>
      <x:c r="P217" s="45" t="b">
        <x:v>1</x:v>
      </x:c>
      <x:c r="Q217" s="45" t="b">
        <x:v>1</x:v>
      </x:c>
      <x:c r="R217" s="45" t="b">
        <x:v>1</x:v>
      </x:c>
      <x:c r="S217" s="43" t="n">
        <x:v>5000000000</x:v>
      </x:c>
      <x:c r="T217" s="43" t="n">
        <x:v>5012128469</x:v>
      </x:c>
      <x:c r="U217" s="45" t="b">
        <x:v>1</x:v>
      </x:c>
      <x:c r="V217" s="34" t="str">
        <x:v>uniform</x:v>
      </x:c>
      <x:c r="W217" s="42" t="n">
        <x:v>95</x:v>
      </x:c>
      <x:c r="X217" s="48"/>
      <x:c r="Y217" s="48"/>
      <x:c r="Z217" s="49"/>
      <x:c r="AA217" s="43" t="n">
        <x:v>10000</x:v>
      </x:c>
      <x:c r="AB217" s="43"/>
      <x:c r="AC217" s="43" t="n">
        <x:v>0</x:v>
      </x:c>
      <x:c r="AD217" s="45" t="b">
        <x:v>1</x:v>
      </x:c>
      <x:c r="AE217" s="43"/>
      <x:c r="AF217" s="43" t="n">
        <x:v>0</x:v>
      </x:c>
      <x:c r="AG217" s="43" t="n">
        <x:v>0</x:v>
      </x:c>
      <x:c r="AH217" s="45" t="b">
        <x:v>1</x:v>
      </x:c>
      <x:c r="AI217" s="45" t="b">
        <x:v>1</x:v>
      </x:c>
      <x:c r="AJ217" s="45" t="b">
        <x:v>1</x:v>
      </x:c>
      <x:c r="AK217" s="48" t="n">
        <x:v>0</x:v>
      </x:c>
      <x:c r="AL217" s="45" t="b">
        <x:v>1</x:v>
      </x:c>
      <x:c r="AM217" s="45" t="b">
        <x:v>0</x:v>
      </x:c>
      <x:c r="AN217" s="36" t="n">
        <x:v>16</x:v>
      </x:c>
      <x:c r="AO217" s="49"/>
      <x:c r="AP217" s="45" t="b">
        <x:v>1</x:v>
      </x:c>
      <x:c r="AQ217" s="46" t="n">
        <x:f>IF(T217="","",T217/'Readme-Protocol'!$B$24)</x:f>
        <x:v>5.012128469</x:v>
      </x:c>
      <x:c r="AR217" s="46" t="n">
        <x:f>IF(OR(S217="",S217=0),"",T217/S217)</x:f>
        <x:v>1.0024256938</x:v>
      </x:c>
      <x:c r="AS217" s="46" t="str">
        <x:f>IF(OR(X217="",Y217=""),"",ABS(Y217-X217)*'Readme-Protocol'!$B$27)</x:f>
      </x:c>
      <x:c r="AT217" s="49" t="b">
        <x:f>AND(M217&gt;0,N217&gt;=0,O217&gt;0)</x:f>
        <x:v>1</x:v>
      </x:c>
      <x:c r="AU217" s="49" t="b">
        <x:f>AND(AT217,N217&gt;=M217)</x:f>
        <x:v>1</x:v>
      </x:c>
      <x:c r="AV217" s="49" t="b">
        <x:f>OR(S217=0,T217&gt;=S217)</x:f>
        <x:v>1</x:v>
      </x:c>
      <x:c r="AW217" s="49" t="b">
        <x:f>IF(I217="cache-semantics",OR(V217&lt;&gt;"uniform",ABS(Y217-W217/'Readme-Protocol'!$B$27)&lt;='Readme-Protocol'!$B$28),TRUE)</x:f>
        <x:v>1</x:v>
      </x:c>
      <x:c r="AX217" s="43" t="str">
        <x:f>IF(I217="cache-semantics",INT(AA217*'Readme-Protocol'!$B$32),"")</x:f>
      </x:c>
      <x:c r="AY217" s="49" t="b">
        <x:f>IF(I217="cache-semantics",AX217=AB217,TRUE)</x:f>
        <x:v>1</x:v>
      </x:c>
      <x:c r="AZ217" s="49" t="b">
        <x:f>IF(I217="cache-semantics",AX217=AE217,TRUE)</x:f>
        <x:v>1</x:v>
      </x:c>
      <x:c r="BA217" s="49" t="b">
        <x:f>IF(I217="cache-semantics",AC217&gt;=AX217,IF(I217="no-store-control",AC217=0,FALSE))</x:f>
        <x:v>1</x:v>
      </x:c>
      <x:c r="BB217" s="49" t="b">
        <x:f>IF(I217="cache-semantics",AG217&gt;=AX217,IF(I217="no-store-control",AG217=0,FALSE))</x:f>
        <x:v>1</x:v>
      </x:c>
      <x:c r="BC217" s="49" t="b">
        <x:f>AND(BA217,BB217)</x:f>
        <x:v>1</x:v>
      </x:c>
      <x:c r="BD217" s="49" t="b">
        <x:f>IF(I217="no-store-control",AND(AC217=0,AG217=0),TRUE)</x:f>
        <x:v>1</x:v>
      </x:c>
      <x:c r="BE217" s="49" t="b">
        <x:f>IF(I217="no-store-control",AK217=0,TRUE)</x:f>
        <x:v>1</x:v>
      </x:c>
      <x:c r="BF217" s="49" t="b">
        <x:f>IF(I217="cache-semantics",AN217=1,TRUE)</x:f>
        <x:v>1</x:v>
      </x:c>
      <x:c r="BG217" s="49" t="b">
        <x:f>IF(I217="cache-semantics",AND(AU217,AV217,Q217,AW217,BC217,BF217),IF(I217="no-store-control",AND(AU217,AV217,Q217,BD217,BE217),FALSE))</x:f>
        <x:v>1</x:v>
      </x:c>
      <x:c r="BH217" s="49" t="b">
        <x:f>AND(R217,AT217=P217,AU217=L217,AV217=U217,AY217,AZ217,IF(I217="cache-semantics",AND(AW217=Z217,AND(BA217=AD217,BB217=AH217,BC217=AI217),BF217=AO217),IF(I217="no-store-control",AND(AND(BA217=AD217,BB217=AH217,BC217=AI217),BD217=AJ217,BE217=AL217),FALSE)),BG217=AP217)</x:f>
        <x:v>1</x:v>
      </x:c>
      <x:c r="BI217" s="49" t="b">
        <x:f>AND(J217,K217,BG217)</x:f>
        <x:v>0</x:v>
      </x:c>
    </x:row>
    <x:row r="218">
      <x:c r="A218" s="34" t="str">
        <x:v>article1-unified-v4-2-fb3f101b-20260903-000401-default-f04-p4-nostore</x:v>
      </x:c>
      <x:c r="B218" s="34" t="str">
        <x:v>default</x:v>
      </x:c>
      <x:c r="C218" s="34" t="str">
        <x:v>nostore</x:v>
      </x:c>
      <x:c r="D218" s="36" t="n">
        <x:v>4</x:v>
      </x:c>
      <x:c r="E218" s="36" t="n">
        <x:v>4</x:v>
      </x:c>
      <x:c r="F218" s="36" t="n">
        <x:v>4</x:v>
      </x:c>
      <x:c r="G218" s="36" t="n">
        <x:v>4</x:v>
      </x:c>
      <x:c r="H218" s="34" t="str">
        <x:v>initial</x:v>
      </x:c>
      <x:c r="I218" s="34" t="str">
        <x:v>no-store-control</x:v>
      </x:c>
      <x:c r="J218" s="45" t="b">
        <x:v>1</x:v>
      </x:c>
      <x:c r="K218" s="45" t="b">
        <x:v>0</x:v>
      </x:c>
      <x:c r="L218" s="45" t="b">
        <x:v>1</x:v>
      </x:c>
      <x:c r="M218" s="43" t="n">
        <x:v>400000</x:v>
      </x:c>
      <x:c r="N218" s="43" t="n">
        <x:v>515001600</x:v>
      </x:c>
      <x:c r="O218" s="43" t="n">
        <x:v>102876387.59352854</x:v>
      </x:c>
      <x:c r="P218" s="45" t="b">
        <x:v>1</x:v>
      </x:c>
      <x:c r="Q218" s="45" t="b">
        <x:v>1</x:v>
      </x:c>
      <x:c r="R218" s="45" t="b">
        <x:v>1</x:v>
      </x:c>
      <x:c r="S218" s="43" t="n">
        <x:v>5000000000</x:v>
      </x:c>
      <x:c r="T218" s="43" t="n">
        <x:v>5006023365</x:v>
      </x:c>
      <x:c r="U218" s="45" t="b">
        <x:v>1</x:v>
      </x:c>
      <x:c r="V218" s="34" t="str">
        <x:v>uniform</x:v>
      </x:c>
      <x:c r="W218" s="42" t="n">
        <x:v>95</x:v>
      </x:c>
      <x:c r="X218" s="48"/>
      <x:c r="Y218" s="48"/>
      <x:c r="Z218" s="49"/>
      <x:c r="AA218" s="43" t="n">
        <x:v>10000</x:v>
      </x:c>
      <x:c r="AB218" s="43"/>
      <x:c r="AC218" s="43" t="n">
        <x:v>0</x:v>
      </x:c>
      <x:c r="AD218" s="45" t="b">
        <x:v>1</x:v>
      </x:c>
      <x:c r="AE218" s="43"/>
      <x:c r="AF218" s="43" t="n">
        <x:v>0</x:v>
      </x:c>
      <x:c r="AG218" s="43" t="n">
        <x:v>0</x:v>
      </x:c>
      <x:c r="AH218" s="45" t="b">
        <x:v>1</x:v>
      </x:c>
      <x:c r="AI218" s="45" t="b">
        <x:v>1</x:v>
      </x:c>
      <x:c r="AJ218" s="45" t="b">
        <x:v>1</x:v>
      </x:c>
      <x:c r="AK218" s="48" t="n">
        <x:v>0</x:v>
      </x:c>
      <x:c r="AL218" s="45" t="b">
        <x:v>1</x:v>
      </x:c>
      <x:c r="AM218" s="45" t="b">
        <x:v>0</x:v>
      </x:c>
      <x:c r="AN218" s="36" t="n">
        <x:v>16</x:v>
      </x:c>
      <x:c r="AO218" s="49"/>
      <x:c r="AP218" s="45" t="b">
        <x:v>1</x:v>
      </x:c>
      <x:c r="AQ218" s="46" t="n">
        <x:f>IF(T218="","",T218/'Readme-Protocol'!$B$24)</x:f>
        <x:v>5.006023365</x:v>
      </x:c>
      <x:c r="AR218" s="46" t="n">
        <x:f>IF(OR(S218="",S218=0),"",T218/S218)</x:f>
        <x:v>1.001204673</x:v>
      </x:c>
      <x:c r="AS218" s="46" t="str">
        <x:f>IF(OR(X218="",Y218=""),"",ABS(Y218-X218)*'Readme-Protocol'!$B$27)</x:f>
      </x:c>
      <x:c r="AT218" s="49" t="b">
        <x:f>AND(M218&gt;0,N218&gt;=0,O218&gt;0)</x:f>
        <x:v>1</x:v>
      </x:c>
      <x:c r="AU218" s="49" t="b">
        <x:f>AND(AT218,N218&gt;=M218)</x:f>
        <x:v>1</x:v>
      </x:c>
      <x:c r="AV218" s="49" t="b">
        <x:f>OR(S218=0,T218&gt;=S218)</x:f>
        <x:v>1</x:v>
      </x:c>
      <x:c r="AW218" s="49" t="b">
        <x:f>IF(I218="cache-semantics",OR(V218&lt;&gt;"uniform",ABS(Y218-W218/'Readme-Protocol'!$B$27)&lt;='Readme-Protocol'!$B$28),TRUE)</x:f>
        <x:v>1</x:v>
      </x:c>
      <x:c r="AX218" s="43" t="str">
        <x:f>IF(I218="cache-semantics",INT(AA218*'Readme-Protocol'!$B$32),"")</x:f>
      </x:c>
      <x:c r="AY218" s="49" t="b">
        <x:f>IF(I218="cache-semantics",AX218=AB218,TRUE)</x:f>
        <x:v>1</x:v>
      </x:c>
      <x:c r="AZ218" s="49" t="b">
        <x:f>IF(I218="cache-semantics",AX218=AE218,TRUE)</x:f>
        <x:v>1</x:v>
      </x:c>
      <x:c r="BA218" s="49" t="b">
        <x:f>IF(I218="cache-semantics",AC218&gt;=AX218,IF(I218="no-store-control",AC218=0,FALSE))</x:f>
        <x:v>1</x:v>
      </x:c>
      <x:c r="BB218" s="49" t="b">
        <x:f>IF(I218="cache-semantics",AG218&gt;=AX218,IF(I218="no-store-control",AG218=0,FALSE))</x:f>
        <x:v>1</x:v>
      </x:c>
      <x:c r="BC218" s="49" t="b">
        <x:f>AND(BA218,BB218)</x:f>
        <x:v>1</x:v>
      </x:c>
      <x:c r="BD218" s="49" t="b">
        <x:f>IF(I218="no-store-control",AND(AC218=0,AG218=0),TRUE)</x:f>
        <x:v>1</x:v>
      </x:c>
      <x:c r="BE218" s="49" t="b">
        <x:f>IF(I218="no-store-control",AK218=0,TRUE)</x:f>
        <x:v>1</x:v>
      </x:c>
      <x:c r="BF218" s="49" t="b">
        <x:f>IF(I218="cache-semantics",AN218=1,TRUE)</x:f>
        <x:v>1</x:v>
      </x:c>
      <x:c r="BG218" s="49" t="b">
        <x:f>IF(I218="cache-semantics",AND(AU218,AV218,Q218,AW218,BC218,BF218),IF(I218="no-store-control",AND(AU218,AV218,Q218,BD218,BE218),FALSE))</x:f>
        <x:v>1</x:v>
      </x:c>
      <x:c r="BH218" s="49" t="b">
        <x:f>AND(R218,AT218=P218,AU218=L218,AV218=U218,AY218,AZ218,IF(I218="cache-semantics",AND(AW218=Z218,AND(BA218=AD218,BB218=AH218,BC218=AI218),BF218=AO218),IF(I218="no-store-control",AND(AND(BA218=AD218,BB218=AH218,BC218=AI218),BD218=AJ218,BE218=AL218),FALSE)),BG218=AP218)</x:f>
        <x:v>1</x:v>
      </x:c>
      <x:c r="BI218" s="49" t="b">
        <x:f>AND(J218,K218,BG218)</x:f>
        <x:v>0</x:v>
      </x:c>
    </x:row>
    <x:row r="219">
      <x:c r="A219" s="34" t="str">
        <x:v>article1-unified-v4-2-fb3f101b-20260903-000401-default-f04-p4-nostore</x:v>
      </x:c>
      <x:c r="B219" s="34" t="str">
        <x:v>default</x:v>
      </x:c>
      <x:c r="C219" s="34" t="str">
        <x:v>nostore</x:v>
      </x:c>
      <x:c r="D219" s="36" t="n">
        <x:v>4</x:v>
      </x:c>
      <x:c r="E219" s="36" t="n">
        <x:v>4</x:v>
      </x:c>
      <x:c r="F219" s="36" t="n">
        <x:v>4</x:v>
      </x:c>
      <x:c r="G219" s="36" t="n">
        <x:v>4</x:v>
      </x:c>
      <x:c r="H219" s="34" t="str">
        <x:v>redeploy</x:v>
      </x:c>
      <x:c r="I219" s="34" t="str">
        <x:v>no-store-control</x:v>
      </x:c>
      <x:c r="J219" s="45" t="b">
        <x:v>1</x:v>
      </x:c>
      <x:c r="K219" s="45" t="b">
        <x:v>0</x:v>
      </x:c>
      <x:c r="L219" s="45" t="b">
        <x:v>1</x:v>
      </x:c>
      <x:c r="M219" s="43" t="n">
        <x:v>400000</x:v>
      </x:c>
      <x:c r="N219" s="43" t="n">
        <x:v>516518656</x:v>
      </x:c>
      <x:c r="O219" s="43" t="n">
        <x:v>103182518.58874956</x:v>
      </x:c>
      <x:c r="P219" s="45" t="b">
        <x:v>1</x:v>
      </x:c>
      <x:c r="Q219" s="45" t="b">
        <x:v>1</x:v>
      </x:c>
      <x:c r="R219" s="45" t="b">
        <x:v>1</x:v>
      </x:c>
      <x:c r="S219" s="43" t="n">
        <x:v>5000000000</x:v>
      </x:c>
      <x:c r="T219" s="43" t="n">
        <x:v>5005873699</x:v>
      </x:c>
      <x:c r="U219" s="45" t="b">
        <x:v>1</x:v>
      </x:c>
      <x:c r="V219" s="34" t="str">
        <x:v>uniform</x:v>
      </x:c>
      <x:c r="W219" s="42" t="n">
        <x:v>95</x:v>
      </x:c>
      <x:c r="X219" s="48"/>
      <x:c r="Y219" s="48"/>
      <x:c r="Z219" s="49"/>
      <x:c r="AA219" s="43" t="n">
        <x:v>10000</x:v>
      </x:c>
      <x:c r="AB219" s="43"/>
      <x:c r="AC219" s="43" t="n">
        <x:v>0</x:v>
      </x:c>
      <x:c r="AD219" s="45" t="b">
        <x:v>1</x:v>
      </x:c>
      <x:c r="AE219" s="43"/>
      <x:c r="AF219" s="43" t="n">
        <x:v>0</x:v>
      </x:c>
      <x:c r="AG219" s="43" t="n">
        <x:v>0</x:v>
      </x:c>
      <x:c r="AH219" s="45" t="b">
        <x:v>1</x:v>
      </x:c>
      <x:c r="AI219" s="45" t="b">
        <x:v>1</x:v>
      </x:c>
      <x:c r="AJ219" s="45" t="b">
        <x:v>1</x:v>
      </x:c>
      <x:c r="AK219" s="48" t="n">
        <x:v>0</x:v>
      </x:c>
      <x:c r="AL219" s="45" t="b">
        <x:v>1</x:v>
      </x:c>
      <x:c r="AM219" s="45" t="b">
        <x:v>0</x:v>
      </x:c>
      <x:c r="AN219" s="36" t="n">
        <x:v>16</x:v>
      </x:c>
      <x:c r="AO219" s="49"/>
      <x:c r="AP219" s="45" t="b">
        <x:v>1</x:v>
      </x:c>
      <x:c r="AQ219" s="46" t="n">
        <x:f>IF(T219="","",T219/'Readme-Protocol'!$B$24)</x:f>
        <x:v>5.005873699</x:v>
      </x:c>
      <x:c r="AR219" s="46" t="n">
        <x:f>IF(OR(S219="",S219=0),"",T219/S219)</x:f>
        <x:v>1.0011747398</x:v>
      </x:c>
      <x:c r="AS219" s="46" t="str">
        <x:f>IF(OR(X219="",Y219=""),"",ABS(Y219-X219)*'Readme-Protocol'!$B$27)</x:f>
      </x:c>
      <x:c r="AT219" s="49" t="b">
        <x:f>AND(M219&gt;0,N219&gt;=0,O219&gt;0)</x:f>
        <x:v>1</x:v>
      </x:c>
      <x:c r="AU219" s="49" t="b">
        <x:f>AND(AT219,N219&gt;=M219)</x:f>
        <x:v>1</x:v>
      </x:c>
      <x:c r="AV219" s="49" t="b">
        <x:f>OR(S219=0,T219&gt;=S219)</x:f>
        <x:v>1</x:v>
      </x:c>
      <x:c r="AW219" s="49" t="b">
        <x:f>IF(I219="cache-semantics",OR(V219&lt;&gt;"uniform",ABS(Y219-W219/'Readme-Protocol'!$B$27)&lt;='Readme-Protocol'!$B$28),TRUE)</x:f>
        <x:v>1</x:v>
      </x:c>
      <x:c r="AX219" s="43" t="str">
        <x:f>IF(I219="cache-semantics",INT(AA219*'Readme-Protocol'!$B$32),"")</x:f>
      </x:c>
      <x:c r="AY219" s="49" t="b">
        <x:f>IF(I219="cache-semantics",AX219=AB219,TRUE)</x:f>
        <x:v>1</x:v>
      </x:c>
      <x:c r="AZ219" s="49" t="b">
        <x:f>IF(I219="cache-semantics",AX219=AE219,TRUE)</x:f>
        <x:v>1</x:v>
      </x:c>
      <x:c r="BA219" s="49" t="b">
        <x:f>IF(I219="cache-semantics",AC219&gt;=AX219,IF(I219="no-store-control",AC219=0,FALSE))</x:f>
        <x:v>1</x:v>
      </x:c>
      <x:c r="BB219" s="49" t="b">
        <x:f>IF(I219="cache-semantics",AG219&gt;=AX219,IF(I219="no-store-control",AG219=0,FALSE))</x:f>
        <x:v>1</x:v>
      </x:c>
      <x:c r="BC219" s="49" t="b">
        <x:f>AND(BA219,BB219)</x:f>
        <x:v>1</x:v>
      </x:c>
      <x:c r="BD219" s="49" t="b">
        <x:f>IF(I219="no-store-control",AND(AC219=0,AG219=0),TRUE)</x:f>
        <x:v>1</x:v>
      </x:c>
      <x:c r="BE219" s="49" t="b">
        <x:f>IF(I219="no-store-control",AK219=0,TRUE)</x:f>
        <x:v>1</x:v>
      </x:c>
      <x:c r="BF219" s="49" t="b">
        <x:f>IF(I219="cache-semantics",AN219=1,TRUE)</x:f>
        <x:v>1</x:v>
      </x:c>
      <x:c r="BG219" s="49" t="b">
        <x:f>IF(I219="cache-semantics",AND(AU219,AV219,Q219,AW219,BC219,BF219),IF(I219="no-store-control",AND(AU219,AV219,Q219,BD219,BE219),FALSE))</x:f>
        <x:v>1</x:v>
      </x:c>
      <x:c r="BH219" s="49" t="b">
        <x:f>AND(R219,AT219=P219,AU219=L219,AV219=U219,AY219,AZ219,IF(I219="cache-semantics",AND(AW219=Z219,AND(BA219=AD219,BB219=AH219,BC219=AI219),BF219=AO219),IF(I219="no-store-control",AND(AND(BA219=AD219,BB219=AH219,BC219=AI219),BD219=AJ219,BE219=AL219),FALSE)),BG219=AP219)</x:f>
        <x:v>1</x:v>
      </x:c>
      <x:c r="BI219" s="49" t="b">
        <x:f>AND(J219,K219,BG219)</x:f>
        <x:v>0</x:v>
      </x:c>
    </x:row>
    <x:row r="220">
      <x:c r="A220" s="34" t="str">
        <x:v>article1-unified-v4-2-fb3f101b-20260903-000401-default-f04-p4-nostore</x:v>
      </x:c>
      <x:c r="B220" s="34" t="str">
        <x:v>default</x:v>
      </x:c>
      <x:c r="C220" s="34" t="str">
        <x:v>nostore</x:v>
      </x:c>
      <x:c r="D220" s="36" t="n">
        <x:v>4</x:v>
      </x:c>
      <x:c r="E220" s="36" t="n">
        <x:v>4</x:v>
      </x:c>
      <x:c r="F220" s="36" t="n">
        <x:v>4</x:v>
      </x:c>
      <x:c r="G220" s="36" t="n">
        <x:v>5</x:v>
      </x:c>
      <x:c r="H220" s="34" t="str">
        <x:v>initial</x:v>
      </x:c>
      <x:c r="I220" s="34" t="str">
        <x:v>no-store-control</x:v>
      </x:c>
      <x:c r="J220" s="45" t="b">
        <x:v>1</x:v>
      </x:c>
      <x:c r="K220" s="45" t="b">
        <x:v>0</x:v>
      </x:c>
      <x:c r="L220" s="45" t="b">
        <x:v>1</x:v>
      </x:c>
      <x:c r="M220" s="43" t="n">
        <x:v>400000</x:v>
      </x:c>
      <x:c r="N220" s="43" t="n">
        <x:v>505893632</x:v>
      </x:c>
      <x:c r="O220" s="43" t="n">
        <x:v>100994087.21206415</x:v>
      </x:c>
      <x:c r="P220" s="45" t="b">
        <x:v>1</x:v>
      </x:c>
      <x:c r="Q220" s="45" t="b">
        <x:v>1</x:v>
      </x:c>
      <x:c r="R220" s="45" t="b">
        <x:v>1</x:v>
      </x:c>
      <x:c r="S220" s="43" t="n">
        <x:v>5000000000</x:v>
      </x:c>
      <x:c r="T220" s="43" t="n">
        <x:v>5009141089</x:v>
      </x:c>
      <x:c r="U220" s="45" t="b">
        <x:v>1</x:v>
      </x:c>
      <x:c r="V220" s="34" t="str">
        <x:v>uniform</x:v>
      </x:c>
      <x:c r="W220" s="42" t="n">
        <x:v>95</x:v>
      </x:c>
      <x:c r="X220" s="48"/>
      <x:c r="Y220" s="48"/>
      <x:c r="Z220" s="49"/>
      <x:c r="AA220" s="43" t="n">
        <x:v>10000</x:v>
      </x:c>
      <x:c r="AB220" s="43"/>
      <x:c r="AC220" s="43" t="n">
        <x:v>0</x:v>
      </x:c>
      <x:c r="AD220" s="45" t="b">
        <x:v>1</x:v>
      </x:c>
      <x:c r="AE220" s="43"/>
      <x:c r="AF220" s="43" t="n">
        <x:v>0</x:v>
      </x:c>
      <x:c r="AG220" s="43" t="n">
        <x:v>0</x:v>
      </x:c>
      <x:c r="AH220" s="45" t="b">
        <x:v>1</x:v>
      </x:c>
      <x:c r="AI220" s="45" t="b">
        <x:v>1</x:v>
      </x:c>
      <x:c r="AJ220" s="45" t="b">
        <x:v>1</x:v>
      </x:c>
      <x:c r="AK220" s="48" t="n">
        <x:v>0</x:v>
      </x:c>
      <x:c r="AL220" s="45" t="b">
        <x:v>1</x:v>
      </x:c>
      <x:c r="AM220" s="45" t="b">
        <x:v>0</x:v>
      </x:c>
      <x:c r="AN220" s="36" t="n">
        <x:v>16</x:v>
      </x:c>
      <x:c r="AO220" s="49"/>
      <x:c r="AP220" s="45" t="b">
        <x:v>1</x:v>
      </x:c>
      <x:c r="AQ220" s="46" t="n">
        <x:f>IF(T220="","",T220/'Readme-Protocol'!$B$24)</x:f>
        <x:v>5.009141089</x:v>
      </x:c>
      <x:c r="AR220" s="46" t="n">
        <x:f>IF(OR(S220="",S220=0),"",T220/S220)</x:f>
        <x:v>1.0018282178</x:v>
      </x:c>
      <x:c r="AS220" s="46" t="str">
        <x:f>IF(OR(X220="",Y220=""),"",ABS(Y220-X220)*'Readme-Protocol'!$B$27)</x:f>
      </x:c>
      <x:c r="AT220" s="49" t="b">
        <x:f>AND(M220&gt;0,N220&gt;=0,O220&gt;0)</x:f>
        <x:v>1</x:v>
      </x:c>
      <x:c r="AU220" s="49" t="b">
        <x:f>AND(AT220,N220&gt;=M220)</x:f>
        <x:v>1</x:v>
      </x:c>
      <x:c r="AV220" s="49" t="b">
        <x:f>OR(S220=0,T220&gt;=S220)</x:f>
        <x:v>1</x:v>
      </x:c>
      <x:c r="AW220" s="49" t="b">
        <x:f>IF(I220="cache-semantics",OR(V220&lt;&gt;"uniform",ABS(Y220-W220/'Readme-Protocol'!$B$27)&lt;='Readme-Protocol'!$B$28),TRUE)</x:f>
        <x:v>1</x:v>
      </x:c>
      <x:c r="AX220" s="43" t="str">
        <x:f>IF(I220="cache-semantics",INT(AA220*'Readme-Protocol'!$B$32),"")</x:f>
      </x:c>
      <x:c r="AY220" s="49" t="b">
        <x:f>IF(I220="cache-semantics",AX220=AB220,TRUE)</x:f>
        <x:v>1</x:v>
      </x:c>
      <x:c r="AZ220" s="49" t="b">
        <x:f>IF(I220="cache-semantics",AX220=AE220,TRUE)</x:f>
        <x:v>1</x:v>
      </x:c>
      <x:c r="BA220" s="49" t="b">
        <x:f>IF(I220="cache-semantics",AC220&gt;=AX220,IF(I220="no-store-control",AC220=0,FALSE))</x:f>
        <x:v>1</x:v>
      </x:c>
      <x:c r="BB220" s="49" t="b">
        <x:f>IF(I220="cache-semantics",AG220&gt;=AX220,IF(I220="no-store-control",AG220=0,FALSE))</x:f>
        <x:v>1</x:v>
      </x:c>
      <x:c r="BC220" s="49" t="b">
        <x:f>AND(BA220,BB220)</x:f>
        <x:v>1</x:v>
      </x:c>
      <x:c r="BD220" s="49" t="b">
        <x:f>IF(I220="no-store-control",AND(AC220=0,AG220=0),TRUE)</x:f>
        <x:v>1</x:v>
      </x:c>
      <x:c r="BE220" s="49" t="b">
        <x:f>IF(I220="no-store-control",AK220=0,TRUE)</x:f>
        <x:v>1</x:v>
      </x:c>
      <x:c r="BF220" s="49" t="b">
        <x:f>IF(I220="cache-semantics",AN220=1,TRUE)</x:f>
        <x:v>1</x:v>
      </x:c>
      <x:c r="BG220" s="49" t="b">
        <x:f>IF(I220="cache-semantics",AND(AU220,AV220,Q220,AW220,BC220,BF220),IF(I220="no-store-control",AND(AU220,AV220,Q220,BD220,BE220),FALSE))</x:f>
        <x:v>1</x:v>
      </x:c>
      <x:c r="BH220" s="49" t="b">
        <x:f>AND(R220,AT220=P220,AU220=L220,AV220=U220,AY220,AZ220,IF(I220="cache-semantics",AND(AW220=Z220,AND(BA220=AD220,BB220=AH220,BC220=AI220),BF220=AO220),IF(I220="no-store-control",AND(AND(BA220=AD220,BB220=AH220,BC220=AI220),BD220=AJ220,BE220=AL220),FALSE)),BG220=AP220)</x:f>
        <x:v>1</x:v>
      </x:c>
      <x:c r="BI220" s="49" t="b">
        <x:f>AND(J220,K220,BG220)</x:f>
        <x:v>0</x:v>
      </x:c>
    </x:row>
    <x:row r="221">
      <x:c r="A221" s="34" t="str">
        <x:v>article1-unified-v4-2-fb3f101b-20260903-000401-default-f04-p4-nostore</x:v>
      </x:c>
      <x:c r="B221" s="34" t="str">
        <x:v>default</x:v>
      </x:c>
      <x:c r="C221" s="34" t="str">
        <x:v>nostore</x:v>
      </x:c>
      <x:c r="D221" s="36" t="n">
        <x:v>4</x:v>
      </x:c>
      <x:c r="E221" s="36" t="n">
        <x:v>4</x:v>
      </x:c>
      <x:c r="F221" s="36" t="n">
        <x:v>4</x:v>
      </x:c>
      <x:c r="G221" s="36" t="n">
        <x:v>5</x:v>
      </x:c>
      <x:c r="H221" s="34" t="str">
        <x:v>redeploy</x:v>
      </x:c>
      <x:c r="I221" s="34" t="str">
        <x:v>no-store-control</x:v>
      </x:c>
      <x:c r="J221" s="45" t="b">
        <x:v>1</x:v>
      </x:c>
      <x:c r="K221" s="45" t="b">
        <x:v>0</x:v>
      </x:c>
      <x:c r="L221" s="45" t="b">
        <x:v>1</x:v>
      </x:c>
      <x:c r="M221" s="43" t="n">
        <x:v>400000</x:v>
      </x:c>
      <x:c r="N221" s="43" t="n">
        <x:v>522588160</x:v>
      </x:c>
      <x:c r="O221" s="43" t="n">
        <x:v>104298004.97413445</x:v>
      </x:c>
      <x:c r="P221" s="45" t="b">
        <x:v>1</x:v>
      </x:c>
      <x:c r="Q221" s="45" t="b">
        <x:v>1</x:v>
      </x:c>
      <x:c r="R221" s="45" t="b">
        <x:v>1</x:v>
      </x:c>
      <x:c r="S221" s="43" t="n">
        <x:v>5000000000</x:v>
      </x:c>
      <x:c r="T221" s="43" t="n">
        <x:v>5010528822</x:v>
      </x:c>
      <x:c r="U221" s="45" t="b">
        <x:v>1</x:v>
      </x:c>
      <x:c r="V221" s="34" t="str">
        <x:v>uniform</x:v>
      </x:c>
      <x:c r="W221" s="42" t="n">
        <x:v>95</x:v>
      </x:c>
      <x:c r="X221" s="48"/>
      <x:c r="Y221" s="48"/>
      <x:c r="Z221" s="49"/>
      <x:c r="AA221" s="43" t="n">
        <x:v>10000</x:v>
      </x:c>
      <x:c r="AB221" s="43"/>
      <x:c r="AC221" s="43" t="n">
        <x:v>0</x:v>
      </x:c>
      <x:c r="AD221" s="45" t="b">
        <x:v>1</x:v>
      </x:c>
      <x:c r="AE221" s="43"/>
      <x:c r="AF221" s="43" t="n">
        <x:v>0</x:v>
      </x:c>
      <x:c r="AG221" s="43" t="n">
        <x:v>0</x:v>
      </x:c>
      <x:c r="AH221" s="45" t="b">
        <x:v>1</x:v>
      </x:c>
      <x:c r="AI221" s="45" t="b">
        <x:v>1</x:v>
      </x:c>
      <x:c r="AJ221" s="45" t="b">
        <x:v>1</x:v>
      </x:c>
      <x:c r="AK221" s="48" t="n">
        <x:v>0</x:v>
      </x:c>
      <x:c r="AL221" s="45" t="b">
        <x:v>1</x:v>
      </x:c>
      <x:c r="AM221" s="45" t="b">
        <x:v>0</x:v>
      </x:c>
      <x:c r="AN221" s="36" t="n">
        <x:v>16</x:v>
      </x:c>
      <x:c r="AO221" s="49"/>
      <x:c r="AP221" s="45" t="b">
        <x:v>1</x:v>
      </x:c>
      <x:c r="AQ221" s="46" t="n">
        <x:f>IF(T221="","",T221/'Readme-Protocol'!$B$24)</x:f>
        <x:v>5.010528822</x:v>
      </x:c>
      <x:c r="AR221" s="46" t="n">
        <x:f>IF(OR(S221="",S221=0),"",T221/S221)</x:f>
        <x:v>1.0021057644</x:v>
      </x:c>
      <x:c r="AS221" s="46" t="str">
        <x:f>IF(OR(X221="",Y221=""),"",ABS(Y221-X221)*'Readme-Protocol'!$B$27)</x:f>
      </x:c>
      <x:c r="AT221" s="49" t="b">
        <x:f>AND(M221&gt;0,N221&gt;=0,O221&gt;0)</x:f>
        <x:v>1</x:v>
      </x:c>
      <x:c r="AU221" s="49" t="b">
        <x:f>AND(AT221,N221&gt;=M221)</x:f>
        <x:v>1</x:v>
      </x:c>
      <x:c r="AV221" s="49" t="b">
        <x:f>OR(S221=0,T221&gt;=S221)</x:f>
        <x:v>1</x:v>
      </x:c>
      <x:c r="AW221" s="49" t="b">
        <x:f>IF(I221="cache-semantics",OR(V221&lt;&gt;"uniform",ABS(Y221-W221/'Readme-Protocol'!$B$27)&lt;='Readme-Protocol'!$B$28),TRUE)</x:f>
        <x:v>1</x:v>
      </x:c>
      <x:c r="AX221" s="43" t="str">
        <x:f>IF(I221="cache-semantics",INT(AA221*'Readme-Protocol'!$B$32),"")</x:f>
      </x:c>
      <x:c r="AY221" s="49" t="b">
        <x:f>IF(I221="cache-semantics",AX221=AB221,TRUE)</x:f>
        <x:v>1</x:v>
      </x:c>
      <x:c r="AZ221" s="49" t="b">
        <x:f>IF(I221="cache-semantics",AX221=AE221,TRUE)</x:f>
        <x:v>1</x:v>
      </x:c>
      <x:c r="BA221" s="49" t="b">
        <x:f>IF(I221="cache-semantics",AC221&gt;=AX221,IF(I221="no-store-control",AC221=0,FALSE))</x:f>
        <x:v>1</x:v>
      </x:c>
      <x:c r="BB221" s="49" t="b">
        <x:f>IF(I221="cache-semantics",AG221&gt;=AX221,IF(I221="no-store-control",AG221=0,FALSE))</x:f>
        <x:v>1</x:v>
      </x:c>
      <x:c r="BC221" s="49" t="b">
        <x:f>AND(BA221,BB221)</x:f>
        <x:v>1</x:v>
      </x:c>
      <x:c r="BD221" s="49" t="b">
        <x:f>IF(I221="no-store-control",AND(AC221=0,AG221=0),TRUE)</x:f>
        <x:v>1</x:v>
      </x:c>
      <x:c r="BE221" s="49" t="b">
        <x:f>IF(I221="no-store-control",AK221=0,TRUE)</x:f>
        <x:v>1</x:v>
      </x:c>
      <x:c r="BF221" s="49" t="b">
        <x:f>IF(I221="cache-semantics",AN221=1,TRUE)</x:f>
        <x:v>1</x:v>
      </x:c>
      <x:c r="BG221" s="49" t="b">
        <x:f>IF(I221="cache-semantics",AND(AU221,AV221,Q221,AW221,BC221,BF221),IF(I221="no-store-control",AND(AU221,AV221,Q221,BD221,BE221),FALSE))</x:f>
        <x:v>1</x:v>
      </x:c>
      <x:c r="BH221" s="49" t="b">
        <x:f>AND(R221,AT221=P221,AU221=L221,AV221=U221,AY221,AZ221,IF(I221="cache-semantics",AND(AW221=Z221,AND(BA221=AD221,BB221=AH221,BC221=AI221),BF221=AO221),IF(I221="no-store-control",AND(AND(BA221=AD221,BB221=AH221,BC221=AI221),BD221=AJ221,BE221=AL221),FALSE)),BG221=AP221)</x:f>
        <x:v>1</x:v>
      </x:c>
      <x:c r="BI221" s="49" t="b">
        <x:f>AND(J221,K221,BG221)</x:f>
        <x:v>0</x:v>
      </x:c>
    </x:row>
    <x:row r="222">
      <x:c r="A222" s="34" t="str">
        <x:v>article1-unified-v4-2-fb3f101b-20260903-000401-default-f04-p5-ehcache</x:v>
      </x:c>
      <x:c r="B222" s="34" t="str">
        <x:v>default</x:v>
      </x:c>
      <x:c r="C222" s="34" t="str">
        <x:v>ehcache</x:v>
      </x:c>
      <x:c r="D222" s="36" t="n">
        <x:v>4</x:v>
      </x:c>
      <x:c r="E222" s="36" t="n">
        <x:v>4</x:v>
      </x:c>
      <x:c r="F222" s="36" t="n">
        <x:v>5</x:v>
      </x:c>
      <x:c r="G222" s="36" t="n">
        <x:v>1</x:v>
      </x:c>
      <x:c r="H222" s="34" t="str">
        <x:v>initial</x:v>
      </x:c>
      <x:c r="I222" s="34" t="str">
        <x:v>cache-semantics</x:v>
      </x:c>
      <x:c r="J222" s="45" t="b">
        <x:v>1</x:v>
      </x:c>
      <x:c r="K222" s="45" t="b">
        <x:v>1</x:v>
      </x:c>
      <x:c r="L222" s="45" t="b">
        <x:v>1</x:v>
      </x:c>
      <x:c r="M222" s="43" t="n">
        <x:v>400000</x:v>
      </x:c>
      <x:c r="N222" s="43" t="n">
        <x:v>131484672</x:v>
      </x:c>
      <x:c r="O222" s="43" t="n">
        <x:v>26281226.94114405</x:v>
      </x:c>
      <x:c r="P222" s="45" t="b">
        <x:v>1</x:v>
      </x:c>
      <x:c r="Q222" s="45" t="b">
        <x:v>1</x:v>
      </x:c>
      <x:c r="R222" s="45" t="b">
        <x:v>1</x:v>
      </x:c>
      <x:c r="S222" s="43" t="n">
        <x:v>5000000000</x:v>
      </x:c>
      <x:c r="T222" s="43" t="n">
        <x:v>5002988342</x:v>
      </x:c>
      <x:c r="U222" s="45" t="b">
        <x:v>1</x:v>
      </x:c>
      <x:c r="V222" s="34" t="str">
        <x:v>uniform</x:v>
      </x:c>
      <x:c r="W222" s="42" t="n">
        <x:v>95</x:v>
      </x:c>
      <x:c r="X222" s="48" t="n">
        <x:v>0.95</x:v>
      </x:c>
      <x:c r="Y222" s="48" t="n">
        <x:v>0.9497269461188601</x:v>
      </x:c>
      <x:c r="Z222" s="45" t="b">
        <x:v>1</x:v>
      </x:c>
      <x:c r="AA222" s="43" t="n">
        <x:v>10000</x:v>
      </x:c>
      <x:c r="AB222" s="43" t="n">
        <x:v>9900</x:v>
      </x:c>
      <x:c r="AC222" s="43" t="n">
        <x:v>10000</x:v>
      </x:c>
      <x:c r="AD222" s="45" t="b">
        <x:v>1</x:v>
      </x:c>
      <x:c r="AE222" s="43" t="n">
        <x:v>9900</x:v>
      </x:c>
      <x:c r="AF222" s="43"/>
      <x:c r="AG222" s="43" t="n">
        <x:v>10000</x:v>
      </x:c>
      <x:c r="AH222" s="45" t="b">
        <x:v>1</x:v>
      </x:c>
      <x:c r="AI222" s="45" t="b">
        <x:v>1</x:v>
      </x:c>
      <x:c r="AJ222" s="49"/>
      <x:c r="AK222" s="48" t="n">
        <x:v>0.9497269461188601</x:v>
      </x:c>
      <x:c r="AL222" s="49"/>
      <x:c r="AM222" s="49"/>
      <x:c r="AN222" s="36" t="n">
        <x:v>1</x:v>
      </x:c>
      <x:c r="AO222" s="45" t="b">
        <x:v>1</x:v>
      </x:c>
      <x:c r="AP222" s="45" t="b">
        <x:v>1</x:v>
      </x:c>
      <x:c r="AQ222" s="46" t="n">
        <x:f>IF(T222="","",T222/'Readme-Protocol'!$B$24)</x:f>
        <x:v>5.002988342</x:v>
      </x:c>
      <x:c r="AR222" s="46" t="n">
        <x:f>IF(OR(S222="",S222=0),"",T222/S222)</x:f>
        <x:v>1.0005976684</x:v>
      </x:c>
      <x:c r="AS222" s="46" t="n">
        <x:f>IF(OR(X222="",Y222=""),"",ABS(Y222-X222)*'Readme-Protocol'!$B$27)</x:f>
        <x:v>0.027305388113985085</x:v>
      </x:c>
      <x:c r="AT222" s="49" t="b">
        <x:f>AND(M222&gt;0,N222&gt;=0,O222&gt;0)</x:f>
        <x:v>1</x:v>
      </x:c>
      <x:c r="AU222" s="49" t="b">
        <x:f>AND(AT222,N222&gt;=M222)</x:f>
        <x:v>1</x:v>
      </x:c>
      <x:c r="AV222" s="49" t="b">
        <x:f>OR(S222=0,T222&gt;=S222)</x:f>
        <x:v>1</x:v>
      </x:c>
      <x:c r="AW222" s="49" t="b">
        <x:f>IF(I222="cache-semantics",OR(V222&lt;&gt;"uniform",ABS(Y222-W222/'Readme-Protocol'!$B$27)&lt;='Readme-Protocol'!$B$28),TRUE)</x:f>
        <x:v>1</x:v>
      </x:c>
      <x:c r="AX222" s="43" t="n">
        <x:f>IF(I222="cache-semantics",INT(AA222*'Readme-Protocol'!$B$32),"")</x:f>
        <x:v>9900</x:v>
      </x:c>
      <x:c r="AY222" s="49" t="b">
        <x:f>IF(I222="cache-semantics",AX222=AB222,TRUE)</x:f>
        <x:v>1</x:v>
      </x:c>
      <x:c r="AZ222" s="49" t="b">
        <x:f>IF(I222="cache-semantics",AX222=AE222,TRUE)</x:f>
        <x:v>1</x:v>
      </x:c>
      <x:c r="BA222" s="49" t="b">
        <x:f>IF(I222="cache-semantics",AC222&gt;=AX222,IF(I222="no-store-control",AC222=0,FALSE))</x:f>
        <x:v>1</x:v>
      </x:c>
      <x:c r="BB222" s="49" t="b">
        <x:f>IF(I222="cache-semantics",AG222&gt;=AX222,IF(I222="no-store-control",AG222=0,FALSE))</x:f>
        <x:v>1</x:v>
      </x:c>
      <x:c r="BC222" s="49" t="b">
        <x:f>AND(BA222,BB222)</x:f>
        <x:v>1</x:v>
      </x:c>
      <x:c r="BD222" s="49" t="b">
        <x:f>IF(I222="no-store-control",AND(AC222=0,AG222=0),TRUE)</x:f>
        <x:v>1</x:v>
      </x:c>
      <x:c r="BE222" s="49" t="b">
        <x:f>IF(I222="no-store-control",AK222=0,TRUE)</x:f>
        <x:v>1</x:v>
      </x:c>
      <x:c r="BF222" s="49" t="b">
        <x:f>IF(I222="cache-semantics",AN222=1,TRUE)</x:f>
        <x:v>1</x:v>
      </x:c>
      <x:c r="BG222" s="49" t="b">
        <x:f>IF(I222="cache-semantics",AND(AU222,AV222,Q222,AW222,BC222,BF222),IF(I222="no-store-control",AND(AU222,AV222,Q222,BD222,BE222),FALSE))</x:f>
        <x:v>1</x:v>
      </x:c>
      <x:c r="BH222" s="49" t="b">
        <x:f>AND(R222,AT222=P222,AU222=L222,AV222=U222,AY222,AZ222,IF(I222="cache-semantics",AND(AW222=Z222,AND(BA222=AD222,BB222=AH222,BC222=AI222),BF222=AO222),IF(I222="no-store-control",AND(AND(BA222=AD222,BB222=AH222,BC222=AI222),BD222=AJ222,BE222=AL222),FALSE)),BG222=AP222)</x:f>
        <x:v>1</x:v>
      </x:c>
      <x:c r="BI222" s="49" t="b">
        <x:f>AND(J222,K222,BG222)</x:f>
        <x:v>1</x:v>
      </x:c>
    </x:row>
    <x:row r="223">
      <x:c r="A223" s="34" t="str">
        <x:v>article1-unified-v4-2-fb3f101b-20260903-000401-default-f04-p5-ehcache</x:v>
      </x:c>
      <x:c r="B223" s="34" t="str">
        <x:v>default</x:v>
      </x:c>
      <x:c r="C223" s="34" t="str">
        <x:v>ehcache</x:v>
      </x:c>
      <x:c r="D223" s="36" t="n">
        <x:v>4</x:v>
      </x:c>
      <x:c r="E223" s="36" t="n">
        <x:v>4</x:v>
      </x:c>
      <x:c r="F223" s="36" t="n">
        <x:v>5</x:v>
      </x:c>
      <x:c r="G223" s="36" t="n">
        <x:v>1</x:v>
      </x:c>
      <x:c r="H223" s="34" t="str">
        <x:v>redeploy</x:v>
      </x:c>
      <x:c r="I223" s="34" t="str">
        <x:v>cache-semantics</x:v>
      </x:c>
      <x:c r="J223" s="45" t="b">
        <x:v>1</x:v>
      </x:c>
      <x:c r="K223" s="45" t="b">
        <x:v>1</x:v>
      </x:c>
      <x:c r="L223" s="45" t="b">
        <x:v>1</x:v>
      </x:c>
      <x:c r="M223" s="43" t="n">
        <x:v>400000</x:v>
      </x:c>
      <x:c r="N223" s="43" t="n">
        <x:v>125586688</x:v>
      </x:c>
      <x:c r="O223" s="43" t="n">
        <x:v>24851187.082241274</x:v>
      </x:c>
      <x:c r="P223" s="45" t="b">
        <x:v>1</x:v>
      </x:c>
      <x:c r="Q223" s="45" t="b">
        <x:v>1</x:v>
      </x:c>
      <x:c r="R223" s="45" t="b">
        <x:v>1</x:v>
      </x:c>
      <x:c r="S223" s="43" t="n">
        <x:v>5000000000</x:v>
      </x:c>
      <x:c r="T223" s="43" t="n">
        <x:v>5053548854</x:v>
      </x:c>
      <x:c r="U223" s="45" t="b">
        <x:v>1</x:v>
      </x:c>
      <x:c r="V223" s="34" t="str">
        <x:v>uniform</x:v>
      </x:c>
      <x:c r="W223" s="42" t="n">
        <x:v>95</x:v>
      </x:c>
      <x:c r="X223" s="48" t="n">
        <x:v>0.95</x:v>
      </x:c>
      <x:c r="Y223" s="48" t="n">
        <x:v>0.9497340195801645</x:v>
      </x:c>
      <x:c r="Z223" s="45" t="b">
        <x:v>1</x:v>
      </x:c>
      <x:c r="AA223" s="43" t="n">
        <x:v>10000</x:v>
      </x:c>
      <x:c r="AB223" s="43" t="n">
        <x:v>9900</x:v>
      </x:c>
      <x:c r="AC223" s="43" t="n">
        <x:v>10000</x:v>
      </x:c>
      <x:c r="AD223" s="45" t="b">
        <x:v>1</x:v>
      </x:c>
      <x:c r="AE223" s="43" t="n">
        <x:v>9900</x:v>
      </x:c>
      <x:c r="AF223" s="43"/>
      <x:c r="AG223" s="43" t="n">
        <x:v>10000</x:v>
      </x:c>
      <x:c r="AH223" s="45" t="b">
        <x:v>1</x:v>
      </x:c>
      <x:c r="AI223" s="45" t="b">
        <x:v>1</x:v>
      </x:c>
      <x:c r="AJ223" s="49"/>
      <x:c r="AK223" s="48" t="n">
        <x:v>0.9497340195801645</x:v>
      </x:c>
      <x:c r="AL223" s="49"/>
      <x:c r="AM223" s="49"/>
      <x:c r="AN223" s="36" t="n">
        <x:v>1</x:v>
      </x:c>
      <x:c r="AO223" s="45" t="b">
        <x:v>1</x:v>
      </x:c>
      <x:c r="AP223" s="45" t="b">
        <x:v>1</x:v>
      </x:c>
      <x:c r="AQ223" s="46" t="n">
        <x:f>IF(T223="","",T223/'Readme-Protocol'!$B$24)</x:f>
        <x:v>5.053548854</x:v>
      </x:c>
      <x:c r="AR223" s="46" t="n">
        <x:f>IF(OR(S223="",S223=0),"",T223/S223)</x:f>
        <x:v>1.0107097708</x:v>
      </x:c>
      <x:c r="AS223" s="46" t="n">
        <x:f>IF(OR(X223="",Y223=""),"",ABS(Y223-X223)*'Readme-Protocol'!$B$27)</x:f>
        <x:v>0.02659804198354987</x:v>
      </x:c>
      <x:c r="AT223" s="49" t="b">
        <x:f>AND(M223&gt;0,N223&gt;=0,O223&gt;0)</x:f>
        <x:v>1</x:v>
      </x:c>
      <x:c r="AU223" s="49" t="b">
        <x:f>AND(AT223,N223&gt;=M223)</x:f>
        <x:v>1</x:v>
      </x:c>
      <x:c r="AV223" s="49" t="b">
        <x:f>OR(S223=0,T223&gt;=S223)</x:f>
        <x:v>1</x:v>
      </x:c>
      <x:c r="AW223" s="49" t="b">
        <x:f>IF(I223="cache-semantics",OR(V223&lt;&gt;"uniform",ABS(Y223-W223/'Readme-Protocol'!$B$27)&lt;='Readme-Protocol'!$B$28),TRUE)</x:f>
        <x:v>1</x:v>
      </x:c>
      <x:c r="AX223" s="43" t="n">
        <x:f>IF(I223="cache-semantics",INT(AA223*'Readme-Protocol'!$B$32),"")</x:f>
        <x:v>9900</x:v>
      </x:c>
      <x:c r="AY223" s="49" t="b">
        <x:f>IF(I223="cache-semantics",AX223=AB223,TRUE)</x:f>
        <x:v>1</x:v>
      </x:c>
      <x:c r="AZ223" s="49" t="b">
        <x:f>IF(I223="cache-semantics",AX223=AE223,TRUE)</x:f>
        <x:v>1</x:v>
      </x:c>
      <x:c r="BA223" s="49" t="b">
        <x:f>IF(I223="cache-semantics",AC223&gt;=AX223,IF(I223="no-store-control",AC223=0,FALSE))</x:f>
        <x:v>1</x:v>
      </x:c>
      <x:c r="BB223" s="49" t="b">
        <x:f>IF(I223="cache-semantics",AG223&gt;=AX223,IF(I223="no-store-control",AG223=0,FALSE))</x:f>
        <x:v>1</x:v>
      </x:c>
      <x:c r="BC223" s="49" t="b">
        <x:f>AND(BA223,BB223)</x:f>
        <x:v>1</x:v>
      </x:c>
      <x:c r="BD223" s="49" t="b">
        <x:f>IF(I223="no-store-control",AND(AC223=0,AG223=0),TRUE)</x:f>
        <x:v>1</x:v>
      </x:c>
      <x:c r="BE223" s="49" t="b">
        <x:f>IF(I223="no-store-control",AK223=0,TRUE)</x:f>
        <x:v>1</x:v>
      </x:c>
      <x:c r="BF223" s="49" t="b">
        <x:f>IF(I223="cache-semantics",AN223=1,TRUE)</x:f>
        <x:v>1</x:v>
      </x:c>
      <x:c r="BG223" s="49" t="b">
        <x:f>IF(I223="cache-semantics",AND(AU223,AV223,Q223,AW223,BC223,BF223),IF(I223="no-store-control",AND(AU223,AV223,Q223,BD223,BE223),FALSE))</x:f>
        <x:v>1</x:v>
      </x:c>
      <x:c r="BH223" s="49" t="b">
        <x:f>AND(R223,AT223=P223,AU223=L223,AV223=U223,AY223,AZ223,IF(I223="cache-semantics",AND(AW223=Z223,AND(BA223=AD223,BB223=AH223,BC223=AI223),BF223=AO223),IF(I223="no-store-control",AND(AND(BA223=AD223,BB223=AH223,BC223=AI223),BD223=AJ223,BE223=AL223),FALSE)),BG223=AP223)</x:f>
        <x:v>1</x:v>
      </x:c>
      <x:c r="BI223" s="49" t="b">
        <x:f>AND(J223,K223,BG223)</x:f>
        <x:v>1</x:v>
      </x:c>
    </x:row>
    <x:row r="224">
      <x:c r="A224" s="34" t="str">
        <x:v>article1-unified-v4-2-fb3f101b-20260903-000401-default-f04-p5-ehcache</x:v>
      </x:c>
      <x:c r="B224" s="34" t="str">
        <x:v>default</x:v>
      </x:c>
      <x:c r="C224" s="34" t="str">
        <x:v>ehcache</x:v>
      </x:c>
      <x:c r="D224" s="36" t="n">
        <x:v>4</x:v>
      </x:c>
      <x:c r="E224" s="36" t="n">
        <x:v>4</x:v>
      </x:c>
      <x:c r="F224" s="36" t="n">
        <x:v>5</x:v>
      </x:c>
      <x:c r="G224" s="36" t="n">
        <x:v>2</x:v>
      </x:c>
      <x:c r="H224" s="34" t="str">
        <x:v>initial</x:v>
      </x:c>
      <x:c r="I224" s="34" t="str">
        <x:v>cache-semantics</x:v>
      </x:c>
      <x:c r="J224" s="45" t="b">
        <x:v>1</x:v>
      </x:c>
      <x:c r="K224" s="45" t="b">
        <x:v>1</x:v>
      </x:c>
      <x:c r="L224" s="45" t="b">
        <x:v>1</x:v>
      </x:c>
      <x:c r="M224" s="43" t="n">
        <x:v>400000</x:v>
      </x:c>
      <x:c r="N224" s="43" t="n">
        <x:v>121579264</x:v>
      </x:c>
      <x:c r="O224" s="43" t="n">
        <x:v>24304524.388269056</x:v>
      </x:c>
      <x:c r="P224" s="45" t="b">
        <x:v>1</x:v>
      </x:c>
      <x:c r="Q224" s="45" t="b">
        <x:v>1</x:v>
      </x:c>
      <x:c r="R224" s="45" t="b">
        <x:v>1</x:v>
      </x:c>
      <x:c r="S224" s="43" t="n">
        <x:v>5000000000</x:v>
      </x:c>
      <x:c r="T224" s="43" t="n">
        <x:v>5002330515</x:v>
      </x:c>
      <x:c r="U224" s="45" t="b">
        <x:v>1</x:v>
      </x:c>
      <x:c r="V224" s="34" t="str">
        <x:v>uniform</x:v>
      </x:c>
      <x:c r="W224" s="42" t="n">
        <x:v>95</x:v>
      </x:c>
      <x:c r="X224" s="48" t="n">
        <x:v>0.95</x:v>
      </x:c>
      <x:c r="Y224" s="48" t="n">
        <x:v>0.950166428051415</x:v>
      </x:c>
      <x:c r="Z224" s="45" t="b">
        <x:v>1</x:v>
      </x:c>
      <x:c r="AA224" s="43" t="n">
        <x:v>10000</x:v>
      </x:c>
      <x:c r="AB224" s="43" t="n">
        <x:v>9900</x:v>
      </x:c>
      <x:c r="AC224" s="43" t="n">
        <x:v>10000</x:v>
      </x:c>
      <x:c r="AD224" s="45" t="b">
        <x:v>1</x:v>
      </x:c>
      <x:c r="AE224" s="43" t="n">
        <x:v>9900</x:v>
      </x:c>
      <x:c r="AF224" s="43"/>
      <x:c r="AG224" s="43" t="n">
        <x:v>10000</x:v>
      </x:c>
      <x:c r="AH224" s="45" t="b">
        <x:v>1</x:v>
      </x:c>
      <x:c r="AI224" s="45" t="b">
        <x:v>1</x:v>
      </x:c>
      <x:c r="AJ224" s="49"/>
      <x:c r="AK224" s="48" t="n">
        <x:v>0.950166428051415</x:v>
      </x:c>
      <x:c r="AL224" s="49"/>
      <x:c r="AM224" s="49"/>
      <x:c r="AN224" s="36" t="n">
        <x:v>1</x:v>
      </x:c>
      <x:c r="AO224" s="45" t="b">
        <x:v>1</x:v>
      </x:c>
      <x:c r="AP224" s="45" t="b">
        <x:v>1</x:v>
      </x:c>
      <x:c r="AQ224" s="46" t="n">
        <x:f>IF(T224="","",T224/'Readme-Protocol'!$B$24)</x:f>
        <x:v>5.002330515</x:v>
      </x:c>
      <x:c r="AR224" s="46" t="n">
        <x:f>IF(OR(S224="",S224=0),"",T224/S224)</x:f>
        <x:v>1.000466103</x:v>
      </x:c>
      <x:c r="AS224" s="46" t="n">
        <x:f>IF(OR(X224="",Y224=""),"",ABS(Y224-X224)*'Readme-Protocol'!$B$27)</x:f>
        <x:v>0.016642805141509065</x:v>
      </x:c>
      <x:c r="AT224" s="49" t="b">
        <x:f>AND(M224&gt;0,N224&gt;=0,O224&gt;0)</x:f>
        <x:v>1</x:v>
      </x:c>
      <x:c r="AU224" s="49" t="b">
        <x:f>AND(AT224,N224&gt;=M224)</x:f>
        <x:v>1</x:v>
      </x:c>
      <x:c r="AV224" s="49" t="b">
        <x:f>OR(S224=0,T224&gt;=S224)</x:f>
        <x:v>1</x:v>
      </x:c>
      <x:c r="AW224" s="49" t="b">
        <x:f>IF(I224="cache-semantics",OR(V224&lt;&gt;"uniform",ABS(Y224-W224/'Readme-Protocol'!$B$27)&lt;='Readme-Protocol'!$B$28),TRUE)</x:f>
        <x:v>1</x:v>
      </x:c>
      <x:c r="AX224" s="43" t="n">
        <x:f>IF(I224="cache-semantics",INT(AA224*'Readme-Protocol'!$B$32),"")</x:f>
        <x:v>9900</x:v>
      </x:c>
      <x:c r="AY224" s="49" t="b">
        <x:f>IF(I224="cache-semantics",AX224=AB224,TRUE)</x:f>
        <x:v>1</x:v>
      </x:c>
      <x:c r="AZ224" s="49" t="b">
        <x:f>IF(I224="cache-semantics",AX224=AE224,TRUE)</x:f>
        <x:v>1</x:v>
      </x:c>
      <x:c r="BA224" s="49" t="b">
        <x:f>IF(I224="cache-semantics",AC224&gt;=AX224,IF(I224="no-store-control",AC224=0,FALSE))</x:f>
        <x:v>1</x:v>
      </x:c>
      <x:c r="BB224" s="49" t="b">
        <x:f>IF(I224="cache-semantics",AG224&gt;=AX224,IF(I224="no-store-control",AG224=0,FALSE))</x:f>
        <x:v>1</x:v>
      </x:c>
      <x:c r="BC224" s="49" t="b">
        <x:f>AND(BA224,BB224)</x:f>
        <x:v>1</x:v>
      </x:c>
      <x:c r="BD224" s="49" t="b">
        <x:f>IF(I224="no-store-control",AND(AC224=0,AG224=0),TRUE)</x:f>
        <x:v>1</x:v>
      </x:c>
      <x:c r="BE224" s="49" t="b">
        <x:f>IF(I224="no-store-control",AK224=0,TRUE)</x:f>
        <x:v>1</x:v>
      </x:c>
      <x:c r="BF224" s="49" t="b">
        <x:f>IF(I224="cache-semantics",AN224=1,TRUE)</x:f>
        <x:v>1</x:v>
      </x:c>
      <x:c r="BG224" s="49" t="b">
        <x:f>IF(I224="cache-semantics",AND(AU224,AV224,Q224,AW224,BC224,BF224),IF(I224="no-store-control",AND(AU224,AV224,Q224,BD224,BE224),FALSE))</x:f>
        <x:v>1</x:v>
      </x:c>
      <x:c r="BH224" s="49" t="b">
        <x:f>AND(R224,AT224=P224,AU224=L224,AV224=U224,AY224,AZ224,IF(I224="cache-semantics",AND(AW224=Z224,AND(BA224=AD224,BB224=AH224,BC224=AI224),BF224=AO224),IF(I224="no-store-control",AND(AND(BA224=AD224,BB224=AH224,BC224=AI224),BD224=AJ224,BE224=AL224),FALSE)),BG224=AP224)</x:f>
        <x:v>1</x:v>
      </x:c>
      <x:c r="BI224" s="49" t="b">
        <x:f>AND(J224,K224,BG224)</x:f>
        <x:v>1</x:v>
      </x:c>
    </x:row>
    <x:row r="225">
      <x:c r="A225" s="34" t="str">
        <x:v>article1-unified-v4-2-fb3f101b-20260903-000401-default-f04-p5-ehcache</x:v>
      </x:c>
      <x:c r="B225" s="34" t="str">
        <x:v>default</x:v>
      </x:c>
      <x:c r="C225" s="34" t="str">
        <x:v>ehcache</x:v>
      </x:c>
      <x:c r="D225" s="36" t="n">
        <x:v>4</x:v>
      </x:c>
      <x:c r="E225" s="36" t="n">
        <x:v>4</x:v>
      </x:c>
      <x:c r="F225" s="36" t="n">
        <x:v>5</x:v>
      </x:c>
      <x:c r="G225" s="36" t="n">
        <x:v>2</x:v>
      </x:c>
      <x:c r="H225" s="34" t="str">
        <x:v>redeploy</x:v>
      </x:c>
      <x:c r="I225" s="34" t="str">
        <x:v>cache-semantics</x:v>
      </x:c>
      <x:c r="J225" s="45" t="b">
        <x:v>1</x:v>
      </x:c>
      <x:c r="K225" s="45" t="b">
        <x:v>1</x:v>
      </x:c>
      <x:c r="L225" s="45" t="b">
        <x:v>1</x:v>
      </x:c>
      <x:c r="M225" s="43" t="n">
        <x:v>400000</x:v>
      </x:c>
      <x:c r="N225" s="43" t="n">
        <x:v>127416832</x:v>
      </x:c>
      <x:c r="O225" s="43" t="n">
        <x:v>25472202.061197586</x:v>
      </x:c>
      <x:c r="P225" s="45" t="b">
        <x:v>1</x:v>
      </x:c>
      <x:c r="Q225" s="45" t="b">
        <x:v>1</x:v>
      </x:c>
      <x:c r="R225" s="45" t="b">
        <x:v>1</x:v>
      </x:c>
      <x:c r="S225" s="43" t="n">
        <x:v>5000000000</x:v>
      </x:c>
      <x:c r="T225" s="43" t="n">
        <x:v>5002191475</x:v>
      </x:c>
      <x:c r="U225" s="45" t="b">
        <x:v>1</x:v>
      </x:c>
      <x:c r="V225" s="34" t="str">
        <x:v>uniform</x:v>
      </x:c>
      <x:c r="W225" s="42" t="n">
        <x:v>95</x:v>
      </x:c>
      <x:c r="X225" s="48" t="n">
        <x:v>0.95</x:v>
      </x:c>
      <x:c r="Y225" s="48" t="n">
        <x:v>0.9501614747414219</x:v>
      </x:c>
      <x:c r="Z225" s="45" t="b">
        <x:v>1</x:v>
      </x:c>
      <x:c r="AA225" s="43" t="n">
        <x:v>10000</x:v>
      </x:c>
      <x:c r="AB225" s="43" t="n">
        <x:v>9900</x:v>
      </x:c>
      <x:c r="AC225" s="43" t="n">
        <x:v>10000</x:v>
      </x:c>
      <x:c r="AD225" s="45" t="b">
        <x:v>1</x:v>
      </x:c>
      <x:c r="AE225" s="43" t="n">
        <x:v>9900</x:v>
      </x:c>
      <x:c r="AF225" s="43"/>
      <x:c r="AG225" s="43" t="n">
        <x:v>10000</x:v>
      </x:c>
      <x:c r="AH225" s="45" t="b">
        <x:v>1</x:v>
      </x:c>
      <x:c r="AI225" s="45" t="b">
        <x:v>1</x:v>
      </x:c>
      <x:c r="AJ225" s="49"/>
      <x:c r="AK225" s="48" t="n">
        <x:v>0.9501614747414219</x:v>
      </x:c>
      <x:c r="AL225" s="49"/>
      <x:c r="AM225" s="49"/>
      <x:c r="AN225" s="36" t="n">
        <x:v>1</x:v>
      </x:c>
      <x:c r="AO225" s="45" t="b">
        <x:v>1</x:v>
      </x:c>
      <x:c r="AP225" s="45" t="b">
        <x:v>1</x:v>
      </x:c>
      <x:c r="AQ225" s="46" t="n">
        <x:f>IF(T225="","",T225/'Readme-Protocol'!$B$24)</x:f>
        <x:v>5.002191475</x:v>
      </x:c>
      <x:c r="AR225" s="46" t="n">
        <x:f>IF(OR(S225="",S225=0),"",T225/S225)</x:f>
        <x:v>1.000438295</x:v>
      </x:c>
      <x:c r="AS225" s="46" t="n">
        <x:f>IF(OR(X225="",Y225=""),"",ABS(Y225-X225)*'Readme-Protocol'!$B$27)</x:f>
        <x:v>0.016147474142191864</x:v>
      </x:c>
      <x:c r="AT225" s="49" t="b">
        <x:f>AND(M225&gt;0,N225&gt;=0,O225&gt;0)</x:f>
        <x:v>1</x:v>
      </x:c>
      <x:c r="AU225" s="49" t="b">
        <x:f>AND(AT225,N225&gt;=M225)</x:f>
        <x:v>1</x:v>
      </x:c>
      <x:c r="AV225" s="49" t="b">
        <x:f>OR(S225=0,T225&gt;=S225)</x:f>
        <x:v>1</x:v>
      </x:c>
      <x:c r="AW225" s="49" t="b">
        <x:f>IF(I225="cache-semantics",OR(V225&lt;&gt;"uniform",ABS(Y225-W225/'Readme-Protocol'!$B$27)&lt;='Readme-Protocol'!$B$28),TRUE)</x:f>
        <x:v>1</x:v>
      </x:c>
      <x:c r="AX225" s="43" t="n">
        <x:f>IF(I225="cache-semantics",INT(AA225*'Readme-Protocol'!$B$32),"")</x:f>
        <x:v>9900</x:v>
      </x:c>
      <x:c r="AY225" s="49" t="b">
        <x:f>IF(I225="cache-semantics",AX225=AB225,TRUE)</x:f>
        <x:v>1</x:v>
      </x:c>
      <x:c r="AZ225" s="49" t="b">
        <x:f>IF(I225="cache-semantics",AX225=AE225,TRUE)</x:f>
        <x:v>1</x:v>
      </x:c>
      <x:c r="BA225" s="49" t="b">
        <x:f>IF(I225="cache-semantics",AC225&gt;=AX225,IF(I225="no-store-control",AC225=0,FALSE))</x:f>
        <x:v>1</x:v>
      </x:c>
      <x:c r="BB225" s="49" t="b">
        <x:f>IF(I225="cache-semantics",AG225&gt;=AX225,IF(I225="no-store-control",AG225=0,FALSE))</x:f>
        <x:v>1</x:v>
      </x:c>
      <x:c r="BC225" s="49" t="b">
        <x:f>AND(BA225,BB225)</x:f>
        <x:v>1</x:v>
      </x:c>
      <x:c r="BD225" s="49" t="b">
        <x:f>IF(I225="no-store-control",AND(AC225=0,AG225=0),TRUE)</x:f>
        <x:v>1</x:v>
      </x:c>
      <x:c r="BE225" s="49" t="b">
        <x:f>IF(I225="no-store-control",AK225=0,TRUE)</x:f>
        <x:v>1</x:v>
      </x:c>
      <x:c r="BF225" s="49" t="b">
        <x:f>IF(I225="cache-semantics",AN225=1,TRUE)</x:f>
        <x:v>1</x:v>
      </x:c>
      <x:c r="BG225" s="49" t="b">
        <x:f>IF(I225="cache-semantics",AND(AU225,AV225,Q225,AW225,BC225,BF225),IF(I225="no-store-control",AND(AU225,AV225,Q225,BD225,BE225),FALSE))</x:f>
        <x:v>1</x:v>
      </x:c>
      <x:c r="BH225" s="49" t="b">
        <x:f>AND(R225,AT225=P225,AU225=L225,AV225=U225,AY225,AZ225,IF(I225="cache-semantics",AND(AW225=Z225,AND(BA225=AD225,BB225=AH225,BC225=AI225),BF225=AO225),IF(I225="no-store-control",AND(AND(BA225=AD225,BB225=AH225,BC225=AI225),BD225=AJ225,BE225=AL225),FALSE)),BG225=AP225)</x:f>
        <x:v>1</x:v>
      </x:c>
      <x:c r="BI225" s="49" t="b">
        <x:f>AND(J225,K225,BG225)</x:f>
        <x:v>1</x:v>
      </x:c>
    </x:row>
    <x:row r="226">
      <x:c r="A226" s="34" t="str">
        <x:v>article1-unified-v4-2-fb3f101b-20260903-000401-default-f04-p5-ehcache</x:v>
      </x:c>
      <x:c r="B226" s="34" t="str">
        <x:v>default</x:v>
      </x:c>
      <x:c r="C226" s="34" t="str">
        <x:v>ehcache</x:v>
      </x:c>
      <x:c r="D226" s="36" t="n">
        <x:v>4</x:v>
      </x:c>
      <x:c r="E226" s="36" t="n">
        <x:v>4</x:v>
      </x:c>
      <x:c r="F226" s="36" t="n">
        <x:v>5</x:v>
      </x:c>
      <x:c r="G226" s="36" t="n">
        <x:v>3</x:v>
      </x:c>
      <x:c r="H226" s="34" t="str">
        <x:v>initial</x:v>
      </x:c>
      <x:c r="I226" s="34" t="str">
        <x:v>cache-semantics</x:v>
      </x:c>
      <x:c r="J226" s="45" t="b">
        <x:v>1</x:v>
      </x:c>
      <x:c r="K226" s="45" t="b">
        <x:v>1</x:v>
      </x:c>
      <x:c r="L226" s="45" t="b">
        <x:v>1</x:v>
      </x:c>
      <x:c r="M226" s="43" t="n">
        <x:v>400000</x:v>
      </x:c>
      <x:c r="N226" s="43" t="n">
        <x:v>133798656</x:v>
      </x:c>
      <x:c r="O226" s="43" t="n">
        <x:v>26749038.1810404</x:v>
      </x:c>
      <x:c r="P226" s="45" t="b">
        <x:v>1</x:v>
      </x:c>
      <x:c r="Q226" s="45" t="b">
        <x:v>1</x:v>
      </x:c>
      <x:c r="R226" s="45" t="b">
        <x:v>1</x:v>
      </x:c>
      <x:c r="S226" s="43" t="n">
        <x:v>5000000000</x:v>
      </x:c>
      <x:c r="T226" s="43" t="n">
        <x:v>5001998767</x:v>
      </x:c>
      <x:c r="U226" s="45" t="b">
        <x:v>1</x:v>
      </x:c>
      <x:c r="V226" s="34" t="str">
        <x:v>uniform</x:v>
      </x:c>
      <x:c r="W226" s="42" t="n">
        <x:v>95</x:v>
      </x:c>
      <x:c r="X226" s="48" t="n">
        <x:v>0.95</x:v>
      </x:c>
      <x:c r="Y226" s="48" t="n">
        <x:v>0.9500324128816361</x:v>
      </x:c>
      <x:c r="Z226" s="45" t="b">
        <x:v>1</x:v>
      </x:c>
      <x:c r="AA226" s="43" t="n">
        <x:v>10000</x:v>
      </x:c>
      <x:c r="AB226" s="43" t="n">
        <x:v>9900</x:v>
      </x:c>
      <x:c r="AC226" s="43" t="n">
        <x:v>10000</x:v>
      </x:c>
      <x:c r="AD226" s="45" t="b">
        <x:v>1</x:v>
      </x:c>
      <x:c r="AE226" s="43" t="n">
        <x:v>9900</x:v>
      </x:c>
      <x:c r="AF226" s="43"/>
      <x:c r="AG226" s="43" t="n">
        <x:v>10000</x:v>
      </x:c>
      <x:c r="AH226" s="45" t="b">
        <x:v>1</x:v>
      </x:c>
      <x:c r="AI226" s="45" t="b">
        <x:v>1</x:v>
      </x:c>
      <x:c r="AJ226" s="49"/>
      <x:c r="AK226" s="48" t="n">
        <x:v>0.9500324128816361</x:v>
      </x:c>
      <x:c r="AL226" s="49"/>
      <x:c r="AM226" s="49"/>
      <x:c r="AN226" s="36" t="n">
        <x:v>1</x:v>
      </x:c>
      <x:c r="AO226" s="45" t="b">
        <x:v>1</x:v>
      </x:c>
      <x:c r="AP226" s="45" t="b">
        <x:v>1</x:v>
      </x:c>
      <x:c r="AQ226" s="46" t="n">
        <x:f>IF(T226="","",T226/'Readme-Protocol'!$B$24)</x:f>
        <x:v>5.001998767</x:v>
      </x:c>
      <x:c r="AR226" s="46" t="n">
        <x:f>IF(OR(S226="",S226=0),"",T226/S226)</x:f>
        <x:v>1.0003997534</x:v>
      </x:c>
      <x:c r="AS226" s="46" t="n">
        <x:f>IF(OR(X226="",Y226=""),"",ABS(Y226-X226)*'Readme-Protocol'!$B$27)</x:f>
        <x:v>0.003241288163613465</x:v>
      </x:c>
      <x:c r="AT226" s="49" t="b">
        <x:f>AND(M226&gt;0,N226&gt;=0,O226&gt;0)</x:f>
        <x:v>1</x:v>
      </x:c>
      <x:c r="AU226" s="49" t="b">
        <x:f>AND(AT226,N226&gt;=M226)</x:f>
        <x:v>1</x:v>
      </x:c>
      <x:c r="AV226" s="49" t="b">
        <x:f>OR(S226=0,T226&gt;=S226)</x:f>
        <x:v>1</x:v>
      </x:c>
      <x:c r="AW226" s="49" t="b">
        <x:f>IF(I226="cache-semantics",OR(V226&lt;&gt;"uniform",ABS(Y226-W226/'Readme-Protocol'!$B$27)&lt;='Readme-Protocol'!$B$28),TRUE)</x:f>
        <x:v>1</x:v>
      </x:c>
      <x:c r="AX226" s="43" t="n">
        <x:f>IF(I226="cache-semantics",INT(AA226*'Readme-Protocol'!$B$32),"")</x:f>
        <x:v>9900</x:v>
      </x:c>
      <x:c r="AY226" s="49" t="b">
        <x:f>IF(I226="cache-semantics",AX226=AB226,TRUE)</x:f>
        <x:v>1</x:v>
      </x:c>
      <x:c r="AZ226" s="49" t="b">
        <x:f>IF(I226="cache-semantics",AX226=AE226,TRUE)</x:f>
        <x:v>1</x:v>
      </x:c>
      <x:c r="BA226" s="49" t="b">
        <x:f>IF(I226="cache-semantics",AC226&gt;=AX226,IF(I226="no-store-control",AC226=0,FALSE))</x:f>
        <x:v>1</x:v>
      </x:c>
      <x:c r="BB226" s="49" t="b">
        <x:f>IF(I226="cache-semantics",AG226&gt;=AX226,IF(I226="no-store-control",AG226=0,FALSE))</x:f>
        <x:v>1</x:v>
      </x:c>
      <x:c r="BC226" s="49" t="b">
        <x:f>AND(BA226,BB226)</x:f>
        <x:v>1</x:v>
      </x:c>
      <x:c r="BD226" s="49" t="b">
        <x:f>IF(I226="no-store-control",AND(AC226=0,AG226=0),TRUE)</x:f>
        <x:v>1</x:v>
      </x:c>
      <x:c r="BE226" s="49" t="b">
        <x:f>IF(I226="no-store-control",AK226=0,TRUE)</x:f>
        <x:v>1</x:v>
      </x:c>
      <x:c r="BF226" s="49" t="b">
        <x:f>IF(I226="cache-semantics",AN226=1,TRUE)</x:f>
        <x:v>1</x:v>
      </x:c>
      <x:c r="BG226" s="49" t="b">
        <x:f>IF(I226="cache-semantics",AND(AU226,AV226,Q226,AW226,BC226,BF226),IF(I226="no-store-control",AND(AU226,AV226,Q226,BD226,BE226),FALSE))</x:f>
        <x:v>1</x:v>
      </x:c>
      <x:c r="BH226" s="49" t="b">
        <x:f>AND(R226,AT226=P226,AU226=L226,AV226=U226,AY226,AZ226,IF(I226="cache-semantics",AND(AW226=Z226,AND(BA226=AD226,BB226=AH226,BC226=AI226),BF226=AO226),IF(I226="no-store-control",AND(AND(BA226=AD226,BB226=AH226,BC226=AI226),BD226=AJ226,BE226=AL226),FALSE)),BG226=AP226)</x:f>
        <x:v>1</x:v>
      </x:c>
      <x:c r="BI226" s="49" t="b">
        <x:f>AND(J226,K226,BG226)</x:f>
        <x:v>1</x:v>
      </x:c>
    </x:row>
    <x:row r="227">
      <x:c r="A227" s="34" t="str">
        <x:v>article1-unified-v4-2-fb3f101b-20260903-000401-default-f04-p5-ehcache</x:v>
      </x:c>
      <x:c r="B227" s="34" t="str">
        <x:v>default</x:v>
      </x:c>
      <x:c r="C227" s="34" t="str">
        <x:v>ehcache</x:v>
      </x:c>
      <x:c r="D227" s="36" t="n">
        <x:v>4</x:v>
      </x:c>
      <x:c r="E227" s="36" t="n">
        <x:v>4</x:v>
      </x:c>
      <x:c r="F227" s="36" t="n">
        <x:v>5</x:v>
      </x:c>
      <x:c r="G227" s="36" t="n">
        <x:v>3</x:v>
      </x:c>
      <x:c r="H227" s="34" t="str">
        <x:v>redeploy</x:v>
      </x:c>
      <x:c r="I227" s="34" t="str">
        <x:v>cache-semantics</x:v>
      </x:c>
      <x:c r="J227" s="45" t="b">
        <x:v>1</x:v>
      </x:c>
      <x:c r="K227" s="45" t="b">
        <x:v>1</x:v>
      </x:c>
      <x:c r="L227" s="45" t="b">
        <x:v>1</x:v>
      </x:c>
      <x:c r="M227" s="43" t="n">
        <x:v>400000</x:v>
      </x:c>
      <x:c r="N227" s="43" t="n">
        <x:v>128785920</x:v>
      </x:c>
      <x:c r="O227" s="43" t="n">
        <x:v>25744678.53784705</x:v>
      </x:c>
      <x:c r="P227" s="45" t="b">
        <x:v>1</x:v>
      </x:c>
      <x:c r="Q227" s="45" t="b">
        <x:v>1</x:v>
      </x:c>
      <x:c r="R227" s="45" t="b">
        <x:v>1</x:v>
      </x:c>
      <x:c r="S227" s="43" t="n">
        <x:v>5000000000</x:v>
      </x:c>
      <x:c r="T227" s="43" t="n">
        <x:v>5002428747</x:v>
      </x:c>
      <x:c r="U227" s="45" t="b">
        <x:v>1</x:v>
      </x:c>
      <x:c r="V227" s="34" t="str">
        <x:v>uniform</x:v>
      </x:c>
      <x:c r="W227" s="42" t="n">
        <x:v>95</x:v>
      </x:c>
      <x:c r="X227" s="48" t="n">
        <x:v>0.95</x:v>
      </x:c>
      <x:c r="Y227" s="48" t="n">
        <x:v>0.9500418291067844</x:v>
      </x:c>
      <x:c r="Z227" s="45" t="b">
        <x:v>1</x:v>
      </x:c>
      <x:c r="AA227" s="43" t="n">
        <x:v>10000</x:v>
      </x:c>
      <x:c r="AB227" s="43" t="n">
        <x:v>9900</x:v>
      </x:c>
      <x:c r="AC227" s="43" t="n">
        <x:v>10000</x:v>
      </x:c>
      <x:c r="AD227" s="45" t="b">
        <x:v>1</x:v>
      </x:c>
      <x:c r="AE227" s="43" t="n">
        <x:v>9900</x:v>
      </x:c>
      <x:c r="AF227" s="43"/>
      <x:c r="AG227" s="43" t="n">
        <x:v>10000</x:v>
      </x:c>
      <x:c r="AH227" s="45" t="b">
        <x:v>1</x:v>
      </x:c>
      <x:c r="AI227" s="45" t="b">
        <x:v>1</x:v>
      </x:c>
      <x:c r="AJ227" s="49"/>
      <x:c r="AK227" s="48" t="n">
        <x:v>0.9500418291067844</x:v>
      </x:c>
      <x:c r="AL227" s="49"/>
      <x:c r="AM227" s="49"/>
      <x:c r="AN227" s="36" t="n">
        <x:v>1</x:v>
      </x:c>
      <x:c r="AO227" s="45" t="b">
        <x:v>1</x:v>
      </x:c>
      <x:c r="AP227" s="45" t="b">
        <x:v>1</x:v>
      </x:c>
      <x:c r="AQ227" s="46" t="n">
        <x:f>IF(T227="","",T227/'Readme-Protocol'!$B$24)</x:f>
        <x:v>5.002428747</x:v>
      </x:c>
      <x:c r="AR227" s="46" t="n">
        <x:f>IF(OR(S227="",S227=0),"",T227/S227)</x:f>
        <x:v>1.0004857494</x:v>
      </x:c>
      <x:c r="AS227" s="46" t="n">
        <x:f>IF(OR(X227="",Y227=""),"",ABS(Y227-X227)*'Readme-Protocol'!$B$27)</x:f>
        <x:v>0.004182910678440788</x:v>
      </x:c>
      <x:c r="AT227" s="49" t="b">
        <x:f>AND(M227&gt;0,N227&gt;=0,O227&gt;0)</x:f>
        <x:v>1</x:v>
      </x:c>
      <x:c r="AU227" s="49" t="b">
        <x:f>AND(AT227,N227&gt;=M227)</x:f>
        <x:v>1</x:v>
      </x:c>
      <x:c r="AV227" s="49" t="b">
        <x:f>OR(S227=0,T227&gt;=S227)</x:f>
        <x:v>1</x:v>
      </x:c>
      <x:c r="AW227" s="49" t="b">
        <x:f>IF(I227="cache-semantics",OR(V227&lt;&gt;"uniform",ABS(Y227-W227/'Readme-Protocol'!$B$27)&lt;='Readme-Protocol'!$B$28),TRUE)</x:f>
        <x:v>1</x:v>
      </x:c>
      <x:c r="AX227" s="43" t="n">
        <x:f>IF(I227="cache-semantics",INT(AA227*'Readme-Protocol'!$B$32),"")</x:f>
        <x:v>9900</x:v>
      </x:c>
      <x:c r="AY227" s="49" t="b">
        <x:f>IF(I227="cache-semantics",AX227=AB227,TRUE)</x:f>
        <x:v>1</x:v>
      </x:c>
      <x:c r="AZ227" s="49" t="b">
        <x:f>IF(I227="cache-semantics",AX227=AE227,TRUE)</x:f>
        <x:v>1</x:v>
      </x:c>
      <x:c r="BA227" s="49" t="b">
        <x:f>IF(I227="cache-semantics",AC227&gt;=AX227,IF(I227="no-store-control",AC227=0,FALSE))</x:f>
        <x:v>1</x:v>
      </x:c>
      <x:c r="BB227" s="49" t="b">
        <x:f>IF(I227="cache-semantics",AG227&gt;=AX227,IF(I227="no-store-control",AG227=0,FALSE))</x:f>
        <x:v>1</x:v>
      </x:c>
      <x:c r="BC227" s="49" t="b">
        <x:f>AND(BA227,BB227)</x:f>
        <x:v>1</x:v>
      </x:c>
      <x:c r="BD227" s="49" t="b">
        <x:f>IF(I227="no-store-control",AND(AC227=0,AG227=0),TRUE)</x:f>
        <x:v>1</x:v>
      </x:c>
      <x:c r="BE227" s="49" t="b">
        <x:f>IF(I227="no-store-control",AK227=0,TRUE)</x:f>
        <x:v>1</x:v>
      </x:c>
      <x:c r="BF227" s="49" t="b">
        <x:f>IF(I227="cache-semantics",AN227=1,TRUE)</x:f>
        <x:v>1</x:v>
      </x:c>
      <x:c r="BG227" s="49" t="b">
        <x:f>IF(I227="cache-semantics",AND(AU227,AV227,Q227,AW227,BC227,BF227),IF(I227="no-store-control",AND(AU227,AV227,Q227,BD227,BE227),FALSE))</x:f>
        <x:v>1</x:v>
      </x:c>
      <x:c r="BH227" s="49" t="b">
        <x:f>AND(R227,AT227=P227,AU227=L227,AV227=U227,AY227,AZ227,IF(I227="cache-semantics",AND(AW227=Z227,AND(BA227=AD227,BB227=AH227,BC227=AI227),BF227=AO227),IF(I227="no-store-control",AND(AND(BA227=AD227,BB227=AH227,BC227=AI227),BD227=AJ227,BE227=AL227),FALSE)),BG227=AP227)</x:f>
        <x:v>1</x:v>
      </x:c>
      <x:c r="BI227" s="49" t="b">
        <x:f>AND(J227,K227,BG227)</x:f>
        <x:v>1</x:v>
      </x:c>
    </x:row>
    <x:row r="228">
      <x:c r="A228" s="34" t="str">
        <x:v>article1-unified-v4-2-fb3f101b-20260903-000401-default-f04-p5-ehcache</x:v>
      </x:c>
      <x:c r="B228" s="34" t="str">
        <x:v>default</x:v>
      </x:c>
      <x:c r="C228" s="34" t="str">
        <x:v>ehcache</x:v>
      </x:c>
      <x:c r="D228" s="36" t="n">
        <x:v>4</x:v>
      </x:c>
      <x:c r="E228" s="36" t="n">
        <x:v>4</x:v>
      </x:c>
      <x:c r="F228" s="36" t="n">
        <x:v>5</x:v>
      </x:c>
      <x:c r="G228" s="36" t="n">
        <x:v>4</x:v>
      </x:c>
      <x:c r="H228" s="34" t="str">
        <x:v>initial</x:v>
      </x:c>
      <x:c r="I228" s="34" t="str">
        <x:v>cache-semantics</x:v>
      </x:c>
      <x:c r="J228" s="45" t="b">
        <x:v>1</x:v>
      </x:c>
      <x:c r="K228" s="45" t="b">
        <x:v>1</x:v>
      </x:c>
      <x:c r="L228" s="45" t="b">
        <x:v>1</x:v>
      </x:c>
      <x:c r="M228" s="43" t="n">
        <x:v>400000</x:v>
      </x:c>
      <x:c r="N228" s="43" t="n">
        <x:v>122583808</x:v>
      </x:c>
      <x:c r="O228" s="43" t="n">
        <x:v>24506123.668159742</x:v>
      </x:c>
      <x:c r="P228" s="45" t="b">
        <x:v>1</x:v>
      </x:c>
      <x:c r="Q228" s="45" t="b">
        <x:v>1</x:v>
      </x:c>
      <x:c r="R228" s="45" t="b">
        <x:v>1</x:v>
      </x:c>
      <x:c r="S228" s="43" t="n">
        <x:v>5000000000</x:v>
      </x:c>
      <x:c r="T228" s="43" t="n">
        <x:v>5002170464</x:v>
      </x:c>
      <x:c r="U228" s="45" t="b">
        <x:v>1</x:v>
      </x:c>
      <x:c r="V228" s="34" t="str">
        <x:v>uniform</x:v>
      </x:c>
      <x:c r="W228" s="42" t="n">
        <x:v>95</x:v>
      </x:c>
      <x:c r="X228" s="48" t="n">
        <x:v>0.95</x:v>
      </x:c>
      <x:c r="Y228" s="48" t="n">
        <x:v>0.9496980221074548</x:v>
      </x:c>
      <x:c r="Z228" s="45" t="b">
        <x:v>1</x:v>
      </x:c>
      <x:c r="AA228" s="43" t="n">
        <x:v>10000</x:v>
      </x:c>
      <x:c r="AB228" s="43" t="n">
        <x:v>9900</x:v>
      </x:c>
      <x:c r="AC228" s="43" t="n">
        <x:v>10000</x:v>
      </x:c>
      <x:c r="AD228" s="45" t="b">
        <x:v>1</x:v>
      </x:c>
      <x:c r="AE228" s="43" t="n">
        <x:v>9900</x:v>
      </x:c>
      <x:c r="AF228" s="43"/>
      <x:c r="AG228" s="43" t="n">
        <x:v>10000</x:v>
      </x:c>
      <x:c r="AH228" s="45" t="b">
        <x:v>1</x:v>
      </x:c>
      <x:c r="AI228" s="45" t="b">
        <x:v>1</x:v>
      </x:c>
      <x:c r="AJ228" s="49"/>
      <x:c r="AK228" s="48" t="n">
        <x:v>0.9496980221074548</x:v>
      </x:c>
      <x:c r="AL228" s="49"/>
      <x:c r="AM228" s="49"/>
      <x:c r="AN228" s="36" t="n">
        <x:v>1</x:v>
      </x:c>
      <x:c r="AO228" s="45" t="b">
        <x:v>1</x:v>
      </x:c>
      <x:c r="AP228" s="45" t="b">
        <x:v>1</x:v>
      </x:c>
      <x:c r="AQ228" s="46" t="n">
        <x:f>IF(T228="","",T228/'Readme-Protocol'!$B$24)</x:f>
        <x:v>5.002170464</x:v>
      </x:c>
      <x:c r="AR228" s="46" t="n">
        <x:f>IF(OR(S228="",S228=0),"",T228/S228)</x:f>
        <x:v>1.0004340928</x:v>
      </x:c>
      <x:c r="AS228" s="46" t="n">
        <x:f>IF(OR(X228="",Y228=""),"",ABS(Y228-X228)*'Readme-Protocol'!$B$27)</x:f>
        <x:v>0.030197789254515772</x:v>
      </x:c>
      <x:c r="AT228" s="49" t="b">
        <x:f>AND(M228&gt;0,N228&gt;=0,O228&gt;0)</x:f>
        <x:v>1</x:v>
      </x:c>
      <x:c r="AU228" s="49" t="b">
        <x:f>AND(AT228,N228&gt;=M228)</x:f>
        <x:v>1</x:v>
      </x:c>
      <x:c r="AV228" s="49" t="b">
        <x:f>OR(S228=0,T228&gt;=S228)</x:f>
        <x:v>1</x:v>
      </x:c>
      <x:c r="AW228" s="49" t="b">
        <x:f>IF(I228="cache-semantics",OR(V228&lt;&gt;"uniform",ABS(Y228-W228/'Readme-Protocol'!$B$27)&lt;='Readme-Protocol'!$B$28),TRUE)</x:f>
        <x:v>1</x:v>
      </x:c>
      <x:c r="AX228" s="43" t="n">
        <x:f>IF(I228="cache-semantics",INT(AA228*'Readme-Protocol'!$B$32),"")</x:f>
        <x:v>9900</x:v>
      </x:c>
      <x:c r="AY228" s="49" t="b">
        <x:f>IF(I228="cache-semantics",AX228=AB228,TRUE)</x:f>
        <x:v>1</x:v>
      </x:c>
      <x:c r="AZ228" s="49" t="b">
        <x:f>IF(I228="cache-semantics",AX228=AE228,TRUE)</x:f>
        <x:v>1</x:v>
      </x:c>
      <x:c r="BA228" s="49" t="b">
        <x:f>IF(I228="cache-semantics",AC228&gt;=AX228,IF(I228="no-store-control",AC228=0,FALSE))</x:f>
        <x:v>1</x:v>
      </x:c>
      <x:c r="BB228" s="49" t="b">
        <x:f>IF(I228="cache-semantics",AG228&gt;=AX228,IF(I228="no-store-control",AG228=0,FALSE))</x:f>
        <x:v>1</x:v>
      </x:c>
      <x:c r="BC228" s="49" t="b">
        <x:f>AND(BA228,BB228)</x:f>
        <x:v>1</x:v>
      </x:c>
      <x:c r="BD228" s="49" t="b">
        <x:f>IF(I228="no-store-control",AND(AC228=0,AG228=0),TRUE)</x:f>
        <x:v>1</x:v>
      </x:c>
      <x:c r="BE228" s="49" t="b">
        <x:f>IF(I228="no-store-control",AK228=0,TRUE)</x:f>
        <x:v>1</x:v>
      </x:c>
      <x:c r="BF228" s="49" t="b">
        <x:f>IF(I228="cache-semantics",AN228=1,TRUE)</x:f>
        <x:v>1</x:v>
      </x:c>
      <x:c r="BG228" s="49" t="b">
        <x:f>IF(I228="cache-semantics",AND(AU228,AV228,Q228,AW228,BC228,BF228),IF(I228="no-store-control",AND(AU228,AV228,Q228,BD228,BE228),FALSE))</x:f>
        <x:v>1</x:v>
      </x:c>
      <x:c r="BH228" s="49" t="b">
        <x:f>AND(R228,AT228=P228,AU228=L228,AV228=U228,AY228,AZ228,IF(I228="cache-semantics",AND(AW228=Z228,AND(BA228=AD228,BB228=AH228,BC228=AI228),BF228=AO228),IF(I228="no-store-control",AND(AND(BA228=AD228,BB228=AH228,BC228=AI228),BD228=AJ228,BE228=AL228),FALSE)),BG228=AP228)</x:f>
        <x:v>1</x:v>
      </x:c>
      <x:c r="BI228" s="49" t="b">
        <x:f>AND(J228,K228,BG228)</x:f>
        <x:v>1</x:v>
      </x:c>
    </x:row>
    <x:row r="229">
      <x:c r="A229" s="34" t="str">
        <x:v>article1-unified-v4-2-fb3f101b-20260903-000401-default-f04-p5-ehcache</x:v>
      </x:c>
      <x:c r="B229" s="34" t="str">
        <x:v>default</x:v>
      </x:c>
      <x:c r="C229" s="34" t="str">
        <x:v>ehcache</x:v>
      </x:c>
      <x:c r="D229" s="36" t="n">
        <x:v>4</x:v>
      </x:c>
      <x:c r="E229" s="36" t="n">
        <x:v>4</x:v>
      </x:c>
      <x:c r="F229" s="36" t="n">
        <x:v>5</x:v>
      </x:c>
      <x:c r="G229" s="36" t="n">
        <x:v>4</x:v>
      </x:c>
      <x:c r="H229" s="34" t="str">
        <x:v>redeploy</x:v>
      </x:c>
      <x:c r="I229" s="34" t="str">
        <x:v>cache-semantics</x:v>
      </x:c>
      <x:c r="J229" s="45" t="b">
        <x:v>1</x:v>
      </x:c>
      <x:c r="K229" s="45" t="b">
        <x:v>1</x:v>
      </x:c>
      <x:c r="L229" s="45" t="b">
        <x:v>1</x:v>
      </x:c>
      <x:c r="M229" s="43" t="n">
        <x:v>400000</x:v>
      </x:c>
      <x:c r="N229" s="43" t="n">
        <x:v>129524224</x:v>
      </x:c>
      <x:c r="O229" s="43" t="n">
        <x:v>25893302.49272897</x:v>
      </x:c>
      <x:c r="P229" s="45" t="b">
        <x:v>1</x:v>
      </x:c>
      <x:c r="Q229" s="45" t="b">
        <x:v>1</x:v>
      </x:c>
      <x:c r="R229" s="45" t="b">
        <x:v>1</x:v>
      </x:c>
      <x:c r="S229" s="43" t="n">
        <x:v>5000000000</x:v>
      </x:c>
      <x:c r="T229" s="43" t="n">
        <x:v>5002228821</x:v>
      </x:c>
      <x:c r="U229" s="45" t="b">
        <x:v>1</x:v>
      </x:c>
      <x:c r="V229" s="34" t="str">
        <x:v>uniform</x:v>
      </x:c>
      <x:c r="W229" s="42" t="n">
        <x:v>95</x:v>
      </x:c>
      <x:c r="X229" s="48" t="n">
        <x:v>0.95</x:v>
      </x:c>
      <x:c r="Y229" s="48" t="n">
        <x:v>0.949693641862699</x:v>
      </x:c>
      <x:c r="Z229" s="45" t="b">
        <x:v>1</x:v>
      </x:c>
      <x:c r="AA229" s="43" t="n">
        <x:v>10000</x:v>
      </x:c>
      <x:c r="AB229" s="43" t="n">
        <x:v>9900</x:v>
      </x:c>
      <x:c r="AC229" s="43" t="n">
        <x:v>10000</x:v>
      </x:c>
      <x:c r="AD229" s="45" t="b">
        <x:v>1</x:v>
      </x:c>
      <x:c r="AE229" s="43" t="n">
        <x:v>9900</x:v>
      </x:c>
      <x:c r="AF229" s="43"/>
      <x:c r="AG229" s="43" t="n">
        <x:v>10000</x:v>
      </x:c>
      <x:c r="AH229" s="45" t="b">
        <x:v>1</x:v>
      </x:c>
      <x:c r="AI229" s="45" t="b">
        <x:v>1</x:v>
      </x:c>
      <x:c r="AJ229" s="49"/>
      <x:c r="AK229" s="48" t="n">
        <x:v>0.949693641862699</x:v>
      </x:c>
      <x:c r="AL229" s="49"/>
      <x:c r="AM229" s="49"/>
      <x:c r="AN229" s="36" t="n">
        <x:v>1</x:v>
      </x:c>
      <x:c r="AO229" s="45" t="b">
        <x:v>1</x:v>
      </x:c>
      <x:c r="AP229" s="45" t="b">
        <x:v>1</x:v>
      </x:c>
      <x:c r="AQ229" s="46" t="n">
        <x:f>IF(T229="","",T229/'Readme-Protocol'!$B$24)</x:f>
        <x:v>5.002228821</x:v>
      </x:c>
      <x:c r="AR229" s="46" t="n">
        <x:f>IF(OR(S229="",S229=0),"",T229/S229)</x:f>
        <x:v>1.0004457642</x:v>
      </x:c>
      <x:c r="AS229" s="46" t="n">
        <x:f>IF(OR(X229="",Y229=""),"",ABS(Y229-X229)*'Readme-Protocol'!$B$27)</x:f>
        <x:v>0.030635813730095496</x:v>
      </x:c>
      <x:c r="AT229" s="49" t="b">
        <x:f>AND(M229&gt;0,N229&gt;=0,O229&gt;0)</x:f>
        <x:v>1</x:v>
      </x:c>
      <x:c r="AU229" s="49" t="b">
        <x:f>AND(AT229,N229&gt;=M229)</x:f>
        <x:v>1</x:v>
      </x:c>
      <x:c r="AV229" s="49" t="b">
        <x:f>OR(S229=0,T229&gt;=S229)</x:f>
        <x:v>1</x:v>
      </x:c>
      <x:c r="AW229" s="49" t="b">
        <x:f>IF(I229="cache-semantics",OR(V229&lt;&gt;"uniform",ABS(Y229-W229/'Readme-Protocol'!$B$27)&lt;='Readme-Protocol'!$B$28),TRUE)</x:f>
        <x:v>1</x:v>
      </x:c>
      <x:c r="AX229" s="43" t="n">
        <x:f>IF(I229="cache-semantics",INT(AA229*'Readme-Protocol'!$B$32),"")</x:f>
        <x:v>9900</x:v>
      </x:c>
      <x:c r="AY229" s="49" t="b">
        <x:f>IF(I229="cache-semantics",AX229=AB229,TRUE)</x:f>
        <x:v>1</x:v>
      </x:c>
      <x:c r="AZ229" s="49" t="b">
        <x:f>IF(I229="cache-semantics",AX229=AE229,TRUE)</x:f>
        <x:v>1</x:v>
      </x:c>
      <x:c r="BA229" s="49" t="b">
        <x:f>IF(I229="cache-semantics",AC229&gt;=AX229,IF(I229="no-store-control",AC229=0,FALSE))</x:f>
        <x:v>1</x:v>
      </x:c>
      <x:c r="BB229" s="49" t="b">
        <x:f>IF(I229="cache-semantics",AG229&gt;=AX229,IF(I229="no-store-control",AG229=0,FALSE))</x:f>
        <x:v>1</x:v>
      </x:c>
      <x:c r="BC229" s="49" t="b">
        <x:f>AND(BA229,BB229)</x:f>
        <x:v>1</x:v>
      </x:c>
      <x:c r="BD229" s="49" t="b">
        <x:f>IF(I229="no-store-control",AND(AC229=0,AG229=0),TRUE)</x:f>
        <x:v>1</x:v>
      </x:c>
      <x:c r="BE229" s="49" t="b">
        <x:f>IF(I229="no-store-control",AK229=0,TRUE)</x:f>
        <x:v>1</x:v>
      </x:c>
      <x:c r="BF229" s="49" t="b">
        <x:f>IF(I229="cache-semantics",AN229=1,TRUE)</x:f>
        <x:v>1</x:v>
      </x:c>
      <x:c r="BG229" s="49" t="b">
        <x:f>IF(I229="cache-semantics",AND(AU229,AV229,Q229,AW229,BC229,BF229),IF(I229="no-store-control",AND(AU229,AV229,Q229,BD229,BE229),FALSE))</x:f>
        <x:v>1</x:v>
      </x:c>
      <x:c r="BH229" s="49" t="b">
        <x:f>AND(R229,AT229=P229,AU229=L229,AV229=U229,AY229,AZ229,IF(I229="cache-semantics",AND(AW229=Z229,AND(BA229=AD229,BB229=AH229,BC229=AI229),BF229=AO229),IF(I229="no-store-control",AND(AND(BA229=AD229,BB229=AH229,BC229=AI229),BD229=AJ229,BE229=AL229),FALSE)),BG229=AP229)</x:f>
        <x:v>1</x:v>
      </x:c>
      <x:c r="BI229" s="49" t="b">
        <x:f>AND(J229,K229,BG229)</x:f>
        <x:v>1</x:v>
      </x:c>
    </x:row>
    <x:row r="230">
      <x:c r="A230" s="34" t="str">
        <x:v>article1-unified-v4-2-fb3f101b-20260903-000401-default-f04-p5-ehcache</x:v>
      </x:c>
      <x:c r="B230" s="34" t="str">
        <x:v>default</x:v>
      </x:c>
      <x:c r="C230" s="34" t="str">
        <x:v>ehcache</x:v>
      </x:c>
      <x:c r="D230" s="36" t="n">
        <x:v>4</x:v>
      </x:c>
      <x:c r="E230" s="36" t="n">
        <x:v>4</x:v>
      </x:c>
      <x:c r="F230" s="36" t="n">
        <x:v>5</x:v>
      </x:c>
      <x:c r="G230" s="36" t="n">
        <x:v>5</x:v>
      </x:c>
      <x:c r="H230" s="34" t="str">
        <x:v>initial</x:v>
      </x:c>
      <x:c r="I230" s="34" t="str">
        <x:v>cache-semantics</x:v>
      </x:c>
      <x:c r="J230" s="45" t="b">
        <x:v>1</x:v>
      </x:c>
      <x:c r="K230" s="45" t="b">
        <x:v>1</x:v>
      </x:c>
      <x:c r="L230" s="45" t="b">
        <x:v>1</x:v>
      </x:c>
      <x:c r="M230" s="43" t="n">
        <x:v>400000</x:v>
      </x:c>
      <x:c r="N230" s="43" t="n">
        <x:v>136108544</x:v>
      </x:c>
      <x:c r="O230" s="43" t="n">
        <x:v>27208156.455361005</x:v>
      </x:c>
      <x:c r="P230" s="45" t="b">
        <x:v>1</x:v>
      </x:c>
      <x:c r="Q230" s="45" t="b">
        <x:v>1</x:v>
      </x:c>
      <x:c r="R230" s="45" t="b">
        <x:v>1</x:v>
      </x:c>
      <x:c r="S230" s="43" t="n">
        <x:v>5000000000</x:v>
      </x:c>
      <x:c r="T230" s="43" t="n">
        <x:v>5002490493</x:v>
      </x:c>
      <x:c r="U230" s="45" t="b">
        <x:v>1</x:v>
      </x:c>
      <x:c r="V230" s="34" t="str">
        <x:v>uniform</x:v>
      </x:c>
      <x:c r="W230" s="42" t="n">
        <x:v>95</x:v>
      </x:c>
      <x:c r="X230" s="48" t="n">
        <x:v>0.95</x:v>
      </x:c>
      <x:c r="Y230" s="48" t="n">
        <x:v>0.9497731163739435</x:v>
      </x:c>
      <x:c r="Z230" s="45" t="b">
        <x:v>1</x:v>
      </x:c>
      <x:c r="AA230" s="43" t="n">
        <x:v>10000</x:v>
      </x:c>
      <x:c r="AB230" s="43" t="n">
        <x:v>9900</x:v>
      </x:c>
      <x:c r="AC230" s="43" t="n">
        <x:v>10000</x:v>
      </x:c>
      <x:c r="AD230" s="45" t="b">
        <x:v>1</x:v>
      </x:c>
      <x:c r="AE230" s="43" t="n">
        <x:v>9900</x:v>
      </x:c>
      <x:c r="AF230" s="43"/>
      <x:c r="AG230" s="43" t="n">
        <x:v>10000</x:v>
      </x:c>
      <x:c r="AH230" s="45" t="b">
        <x:v>1</x:v>
      </x:c>
      <x:c r="AI230" s="45" t="b">
        <x:v>1</x:v>
      </x:c>
      <x:c r="AJ230" s="49"/>
      <x:c r="AK230" s="48" t="n">
        <x:v>0.9497731163739435</x:v>
      </x:c>
      <x:c r="AL230" s="49"/>
      <x:c r="AM230" s="49"/>
      <x:c r="AN230" s="36" t="n">
        <x:v>1</x:v>
      </x:c>
      <x:c r="AO230" s="45" t="b">
        <x:v>1</x:v>
      </x:c>
      <x:c r="AP230" s="45" t="b">
        <x:v>1</x:v>
      </x:c>
      <x:c r="AQ230" s="46" t="n">
        <x:f>IF(T230="","",T230/'Readme-Protocol'!$B$24)</x:f>
        <x:v>5.002490493</x:v>
      </x:c>
      <x:c r="AR230" s="46" t="n">
        <x:f>IF(OR(S230="",S230=0),"",T230/S230)</x:f>
        <x:v>1.0004980986</x:v>
      </x:c>
      <x:c r="AS230" s="46" t="n">
        <x:f>IF(OR(X230="",Y230=""),"",ABS(Y230-X230)*'Readme-Protocol'!$B$27)</x:f>
        <x:v>0.022688362605649548</x:v>
      </x:c>
      <x:c r="AT230" s="49" t="b">
        <x:f>AND(M230&gt;0,N230&gt;=0,O230&gt;0)</x:f>
        <x:v>1</x:v>
      </x:c>
      <x:c r="AU230" s="49" t="b">
        <x:f>AND(AT230,N230&gt;=M230)</x:f>
        <x:v>1</x:v>
      </x:c>
      <x:c r="AV230" s="49" t="b">
        <x:f>OR(S230=0,T230&gt;=S230)</x:f>
        <x:v>1</x:v>
      </x:c>
      <x:c r="AW230" s="49" t="b">
        <x:f>IF(I230="cache-semantics",OR(V230&lt;&gt;"uniform",ABS(Y230-W230/'Readme-Protocol'!$B$27)&lt;='Readme-Protocol'!$B$28),TRUE)</x:f>
        <x:v>1</x:v>
      </x:c>
      <x:c r="AX230" s="43" t="n">
        <x:f>IF(I230="cache-semantics",INT(AA230*'Readme-Protocol'!$B$32),"")</x:f>
        <x:v>9900</x:v>
      </x:c>
      <x:c r="AY230" s="49" t="b">
        <x:f>IF(I230="cache-semantics",AX230=AB230,TRUE)</x:f>
        <x:v>1</x:v>
      </x:c>
      <x:c r="AZ230" s="49" t="b">
        <x:f>IF(I230="cache-semantics",AX230=AE230,TRUE)</x:f>
        <x:v>1</x:v>
      </x:c>
      <x:c r="BA230" s="49" t="b">
        <x:f>IF(I230="cache-semantics",AC230&gt;=AX230,IF(I230="no-store-control",AC230=0,FALSE))</x:f>
        <x:v>1</x:v>
      </x:c>
      <x:c r="BB230" s="49" t="b">
        <x:f>IF(I230="cache-semantics",AG230&gt;=AX230,IF(I230="no-store-control",AG230=0,FALSE))</x:f>
        <x:v>1</x:v>
      </x:c>
      <x:c r="BC230" s="49" t="b">
        <x:f>AND(BA230,BB230)</x:f>
        <x:v>1</x:v>
      </x:c>
      <x:c r="BD230" s="49" t="b">
        <x:f>IF(I230="no-store-control",AND(AC230=0,AG230=0),TRUE)</x:f>
        <x:v>1</x:v>
      </x:c>
      <x:c r="BE230" s="49" t="b">
        <x:f>IF(I230="no-store-control",AK230=0,TRUE)</x:f>
        <x:v>1</x:v>
      </x:c>
      <x:c r="BF230" s="49" t="b">
        <x:f>IF(I230="cache-semantics",AN230=1,TRUE)</x:f>
        <x:v>1</x:v>
      </x:c>
      <x:c r="BG230" s="49" t="b">
        <x:f>IF(I230="cache-semantics",AND(AU230,AV230,Q230,AW230,BC230,BF230),IF(I230="no-store-control",AND(AU230,AV230,Q230,BD230,BE230),FALSE))</x:f>
        <x:v>1</x:v>
      </x:c>
      <x:c r="BH230" s="49" t="b">
        <x:f>AND(R230,AT230=P230,AU230=L230,AV230=U230,AY230,AZ230,IF(I230="cache-semantics",AND(AW230=Z230,AND(BA230=AD230,BB230=AH230,BC230=AI230),BF230=AO230),IF(I230="no-store-control",AND(AND(BA230=AD230,BB230=AH230,BC230=AI230),BD230=AJ230,BE230=AL230),FALSE)),BG230=AP230)</x:f>
        <x:v>1</x:v>
      </x:c>
      <x:c r="BI230" s="49" t="b">
        <x:f>AND(J230,K230,BG230)</x:f>
        <x:v>1</x:v>
      </x:c>
    </x:row>
    <x:row r="231">
      <x:c r="A231" s="34" t="str">
        <x:v>article1-unified-v4-2-fb3f101b-20260903-000401-default-f04-p5-ehcache</x:v>
      </x:c>
      <x:c r="B231" s="34" t="str">
        <x:v>default</x:v>
      </x:c>
      <x:c r="C231" s="34" t="str">
        <x:v>ehcache</x:v>
      </x:c>
      <x:c r="D231" s="36" t="n">
        <x:v>4</x:v>
      </x:c>
      <x:c r="E231" s="36" t="n">
        <x:v>4</x:v>
      </x:c>
      <x:c r="F231" s="36" t="n">
        <x:v>5</x:v>
      </x:c>
      <x:c r="G231" s="36" t="n">
        <x:v>5</x:v>
      </x:c>
      <x:c r="H231" s="34" t="str">
        <x:v>redeploy</x:v>
      </x:c>
      <x:c r="I231" s="34" t="str">
        <x:v>cache-semantics</x:v>
      </x:c>
      <x:c r="J231" s="45" t="b">
        <x:v>1</x:v>
      </x:c>
      <x:c r="K231" s="45" t="b">
        <x:v>1</x:v>
      </x:c>
      <x:c r="L231" s="45" t="b">
        <x:v>1</x:v>
      </x:c>
      <x:c r="M231" s="43" t="n">
        <x:v>400000</x:v>
      </x:c>
      <x:c r="N231" s="43" t="n">
        <x:v>129395456</x:v>
      </x:c>
      <x:c r="O231" s="43" t="n">
        <x:v>25867636.9379345</x:v>
      </x:c>
      <x:c r="P231" s="45" t="b">
        <x:v>1</x:v>
      </x:c>
      <x:c r="Q231" s="45" t="b">
        <x:v>1</x:v>
      </x:c>
      <x:c r="R231" s="45" t="b">
        <x:v>1</x:v>
      </x:c>
      <x:c r="S231" s="43" t="n">
        <x:v>5000000000</x:v>
      </x:c>
      <x:c r="T231" s="43" t="n">
        <x:v>5002214014</x:v>
      </x:c>
      <x:c r="U231" s="45" t="b">
        <x:v>1</x:v>
      </x:c>
      <x:c r="V231" s="34" t="str">
        <x:v>uniform</x:v>
      </x:c>
      <x:c r="W231" s="42" t="n">
        <x:v>95</x:v>
      </x:c>
      <x:c r="X231" s="48" t="n">
        <x:v>0.95</x:v>
      </x:c>
      <x:c r="Y231" s="48" t="n">
        <x:v>0.9497641169099478</x:v>
      </x:c>
      <x:c r="Z231" s="45" t="b">
        <x:v>1</x:v>
      </x:c>
      <x:c r="AA231" s="43" t="n">
        <x:v>10000</x:v>
      </x:c>
      <x:c r="AB231" s="43" t="n">
        <x:v>9900</x:v>
      </x:c>
      <x:c r="AC231" s="43" t="n">
        <x:v>10000</x:v>
      </x:c>
      <x:c r="AD231" s="45" t="b">
        <x:v>1</x:v>
      </x:c>
      <x:c r="AE231" s="43" t="n">
        <x:v>9900</x:v>
      </x:c>
      <x:c r="AF231" s="43"/>
      <x:c r="AG231" s="43" t="n">
        <x:v>10000</x:v>
      </x:c>
      <x:c r="AH231" s="45" t="b">
        <x:v>1</x:v>
      </x:c>
      <x:c r="AI231" s="45" t="b">
        <x:v>1</x:v>
      </x:c>
      <x:c r="AJ231" s="49"/>
      <x:c r="AK231" s="48" t="n">
        <x:v>0.9497641169099478</x:v>
      </x:c>
      <x:c r="AL231" s="49"/>
      <x:c r="AM231" s="49"/>
      <x:c r="AN231" s="36" t="n">
        <x:v>1</x:v>
      </x:c>
      <x:c r="AO231" s="45" t="b">
        <x:v>1</x:v>
      </x:c>
      <x:c r="AP231" s="45" t="b">
        <x:v>1</x:v>
      </x:c>
      <x:c r="AQ231" s="46" t="n">
        <x:f>IF(T231="","",T231/'Readme-Protocol'!$B$24)</x:f>
        <x:v>5.002214014</x:v>
      </x:c>
      <x:c r="AR231" s="46" t="n">
        <x:f>IF(OR(S231="",S231=0),"",T231/S231)</x:f>
        <x:v>1.0004428028</x:v>
      </x:c>
      <x:c r="AS231" s="46" t="n">
        <x:f>IF(OR(X231="",Y231=""),"",ABS(Y231-X231)*'Readme-Protocol'!$B$27)</x:f>
        <x:v>0.023588309005218022</x:v>
      </x:c>
      <x:c r="AT231" s="49" t="b">
        <x:f>AND(M231&gt;0,N231&gt;=0,O231&gt;0)</x:f>
        <x:v>1</x:v>
      </x:c>
      <x:c r="AU231" s="49" t="b">
        <x:f>AND(AT231,N231&gt;=M231)</x:f>
        <x:v>1</x:v>
      </x:c>
      <x:c r="AV231" s="49" t="b">
        <x:f>OR(S231=0,T231&gt;=S231)</x:f>
        <x:v>1</x:v>
      </x:c>
      <x:c r="AW231" s="49" t="b">
        <x:f>IF(I231="cache-semantics",OR(V231&lt;&gt;"uniform",ABS(Y231-W231/'Readme-Protocol'!$B$27)&lt;='Readme-Protocol'!$B$28),TRUE)</x:f>
        <x:v>1</x:v>
      </x:c>
      <x:c r="AX231" s="43" t="n">
        <x:f>IF(I231="cache-semantics",INT(AA231*'Readme-Protocol'!$B$32),"")</x:f>
        <x:v>9900</x:v>
      </x:c>
      <x:c r="AY231" s="49" t="b">
        <x:f>IF(I231="cache-semantics",AX231=AB231,TRUE)</x:f>
        <x:v>1</x:v>
      </x:c>
      <x:c r="AZ231" s="49" t="b">
        <x:f>IF(I231="cache-semantics",AX231=AE231,TRUE)</x:f>
        <x:v>1</x:v>
      </x:c>
      <x:c r="BA231" s="49" t="b">
        <x:f>IF(I231="cache-semantics",AC231&gt;=AX231,IF(I231="no-store-control",AC231=0,FALSE))</x:f>
        <x:v>1</x:v>
      </x:c>
      <x:c r="BB231" s="49" t="b">
        <x:f>IF(I231="cache-semantics",AG231&gt;=AX231,IF(I231="no-store-control",AG231=0,FALSE))</x:f>
        <x:v>1</x:v>
      </x:c>
      <x:c r="BC231" s="49" t="b">
        <x:f>AND(BA231,BB231)</x:f>
        <x:v>1</x:v>
      </x:c>
      <x:c r="BD231" s="49" t="b">
        <x:f>IF(I231="no-store-control",AND(AC231=0,AG231=0),TRUE)</x:f>
        <x:v>1</x:v>
      </x:c>
      <x:c r="BE231" s="49" t="b">
        <x:f>IF(I231="no-store-control",AK231=0,TRUE)</x:f>
        <x:v>1</x:v>
      </x:c>
      <x:c r="BF231" s="49" t="b">
        <x:f>IF(I231="cache-semantics",AN231=1,TRUE)</x:f>
        <x:v>1</x:v>
      </x:c>
      <x:c r="BG231" s="49" t="b">
        <x:f>IF(I231="cache-semantics",AND(AU231,AV231,Q231,AW231,BC231,BF231),IF(I231="no-store-control",AND(AU231,AV231,Q231,BD231,BE231),FALSE))</x:f>
        <x:v>1</x:v>
      </x:c>
      <x:c r="BH231" s="49" t="b">
        <x:f>AND(R231,AT231=P231,AU231=L231,AV231=U231,AY231,AZ231,IF(I231="cache-semantics",AND(AW231=Z231,AND(BA231=AD231,BB231=AH231,BC231=AI231),BF231=AO231),IF(I231="no-store-control",AND(AND(BA231=AD231,BB231=AH231,BC231=AI231),BD231=AJ231,BE231=AL231),FALSE)),BG231=AP231)</x:f>
        <x:v>1</x:v>
      </x:c>
      <x:c r="BI231" s="49" t="b">
        <x:f>AND(J231,K231,BG231)</x:f>
        <x:v>1</x:v>
      </x:c>
    </x:row>
    <x:row r="232">
      <x:c r="A232" s="34" t="str">
        <x:v>article1-unified-v4-2-fb3f101b-20260903-000401-default-f04-p6-caffeine</x:v>
      </x:c>
      <x:c r="B232" s="34" t="str">
        <x:v>default</x:v>
      </x:c>
      <x:c r="C232" s="34" t="str">
        <x:v>caffeine</x:v>
      </x:c>
      <x:c r="D232" s="36" t="n">
        <x:v>4</x:v>
      </x:c>
      <x:c r="E232" s="36" t="n">
        <x:v>4</x:v>
      </x:c>
      <x:c r="F232" s="36" t="n">
        <x:v>6</x:v>
      </x:c>
      <x:c r="G232" s="36" t="n">
        <x:v>1</x:v>
      </x:c>
      <x:c r="H232" s="34" t="str">
        <x:v>initial</x:v>
      </x:c>
      <x:c r="I232" s="34" t="str">
        <x:v>cache-semantics</x:v>
      </x:c>
      <x:c r="J232" s="45" t="b">
        <x:v>1</x:v>
      </x:c>
      <x:c r="K232" s="45" t="b">
        <x:v>1</x:v>
      </x:c>
      <x:c r="L232" s="45" t="b">
        <x:v>1</x:v>
      </x:c>
      <x:c r="M232" s="43" t="n">
        <x:v>400000</x:v>
      </x:c>
      <x:c r="N232" s="43" t="n">
        <x:v>141689088</x:v>
      </x:c>
      <x:c r="O232" s="43" t="n">
        <x:v>28318347.541031275</x:v>
      </x:c>
      <x:c r="P232" s="45" t="b">
        <x:v>1</x:v>
      </x:c>
      <x:c r="Q232" s="45" t="b">
        <x:v>1</x:v>
      </x:c>
      <x:c r="R232" s="45" t="b">
        <x:v>1</x:v>
      </x:c>
      <x:c r="S232" s="43" t="n">
        <x:v>5000000000</x:v>
      </x:c>
      <x:c r="T232" s="43" t="n">
        <x:v>5003437711</x:v>
      </x:c>
      <x:c r="U232" s="45" t="b">
        <x:v>1</x:v>
      </x:c>
      <x:c r="V232" s="34" t="str">
        <x:v>uniform</x:v>
      </x:c>
      <x:c r="W232" s="42" t="n">
        <x:v>95</x:v>
      </x:c>
      <x:c r="X232" s="48" t="n">
        <x:v>0.95</x:v>
      </x:c>
      <x:c r="Y232" s="48" t="n">
        <x:v>0.9497196636624551</x:v>
      </x:c>
      <x:c r="Z232" s="45" t="b">
        <x:v>1</x:v>
      </x:c>
      <x:c r="AA232" s="43" t="n">
        <x:v>10000</x:v>
      </x:c>
      <x:c r="AB232" s="43" t="n">
        <x:v>9900</x:v>
      </x:c>
      <x:c r="AC232" s="43" t="n">
        <x:v>10000</x:v>
      </x:c>
      <x:c r="AD232" s="45" t="b">
        <x:v>1</x:v>
      </x:c>
      <x:c r="AE232" s="43" t="n">
        <x:v>9900</x:v>
      </x:c>
      <x:c r="AF232" s="43"/>
      <x:c r="AG232" s="43" t="n">
        <x:v>10000</x:v>
      </x:c>
      <x:c r="AH232" s="45" t="b">
        <x:v>1</x:v>
      </x:c>
      <x:c r="AI232" s="45" t="b">
        <x:v>1</x:v>
      </x:c>
      <x:c r="AJ232" s="49"/>
      <x:c r="AK232" s="48" t="n">
        <x:v>0.9497196636624551</x:v>
      </x:c>
      <x:c r="AL232" s="49"/>
      <x:c r="AM232" s="49"/>
      <x:c r="AN232" s="36" t="n">
        <x:v>1</x:v>
      </x:c>
      <x:c r="AO232" s="45" t="b">
        <x:v>1</x:v>
      </x:c>
      <x:c r="AP232" s="45" t="b">
        <x:v>1</x:v>
      </x:c>
      <x:c r="AQ232" s="46" t="n">
        <x:f>IF(T232="","",T232/'Readme-Protocol'!$B$24)</x:f>
        <x:v>5.003437711</x:v>
      </x:c>
      <x:c r="AR232" s="46" t="n">
        <x:f>IF(OR(S232="",S232=0),"",T232/S232)</x:f>
        <x:v>1.0006875422</x:v>
      </x:c>
      <x:c r="AS232" s="46" t="n">
        <x:f>IF(OR(X232="",Y232=""),"",ABS(Y232-X232)*'Readme-Protocol'!$B$27)</x:f>
        <x:v>0.028033633754487308</x:v>
      </x:c>
      <x:c r="AT232" s="49" t="b">
        <x:f>AND(M232&gt;0,N232&gt;=0,O232&gt;0)</x:f>
        <x:v>1</x:v>
      </x:c>
      <x:c r="AU232" s="49" t="b">
        <x:f>AND(AT232,N232&gt;=M232)</x:f>
        <x:v>1</x:v>
      </x:c>
      <x:c r="AV232" s="49" t="b">
        <x:f>OR(S232=0,T232&gt;=S232)</x:f>
        <x:v>1</x:v>
      </x:c>
      <x:c r="AW232" s="49" t="b">
        <x:f>IF(I232="cache-semantics",OR(V232&lt;&gt;"uniform",ABS(Y232-W232/'Readme-Protocol'!$B$27)&lt;='Readme-Protocol'!$B$28),TRUE)</x:f>
        <x:v>1</x:v>
      </x:c>
      <x:c r="AX232" s="43" t="n">
        <x:f>IF(I232="cache-semantics",INT(AA232*'Readme-Protocol'!$B$32),"")</x:f>
        <x:v>9900</x:v>
      </x:c>
      <x:c r="AY232" s="49" t="b">
        <x:f>IF(I232="cache-semantics",AX232=AB232,TRUE)</x:f>
        <x:v>1</x:v>
      </x:c>
      <x:c r="AZ232" s="49" t="b">
        <x:f>IF(I232="cache-semantics",AX232=AE232,TRUE)</x:f>
        <x:v>1</x:v>
      </x:c>
      <x:c r="BA232" s="49" t="b">
        <x:f>IF(I232="cache-semantics",AC232&gt;=AX232,IF(I232="no-store-control",AC232=0,FALSE))</x:f>
        <x:v>1</x:v>
      </x:c>
      <x:c r="BB232" s="49" t="b">
        <x:f>IF(I232="cache-semantics",AG232&gt;=AX232,IF(I232="no-store-control",AG232=0,FALSE))</x:f>
        <x:v>1</x:v>
      </x:c>
      <x:c r="BC232" s="49" t="b">
        <x:f>AND(BA232,BB232)</x:f>
        <x:v>1</x:v>
      </x:c>
      <x:c r="BD232" s="49" t="b">
        <x:f>IF(I232="no-store-control",AND(AC232=0,AG232=0),TRUE)</x:f>
        <x:v>1</x:v>
      </x:c>
      <x:c r="BE232" s="49" t="b">
        <x:f>IF(I232="no-store-control",AK232=0,TRUE)</x:f>
        <x:v>1</x:v>
      </x:c>
      <x:c r="BF232" s="49" t="b">
        <x:f>IF(I232="cache-semantics",AN232=1,TRUE)</x:f>
        <x:v>1</x:v>
      </x:c>
      <x:c r="BG232" s="49" t="b">
        <x:f>IF(I232="cache-semantics",AND(AU232,AV232,Q232,AW232,BC232,BF232),IF(I232="no-store-control",AND(AU232,AV232,Q232,BD232,BE232),FALSE))</x:f>
        <x:v>1</x:v>
      </x:c>
      <x:c r="BH232" s="49" t="b">
        <x:f>AND(R232,AT232=P232,AU232=L232,AV232=U232,AY232,AZ232,IF(I232="cache-semantics",AND(AW232=Z232,AND(BA232=AD232,BB232=AH232,BC232=AI232),BF232=AO232),IF(I232="no-store-control",AND(AND(BA232=AD232,BB232=AH232,BC232=AI232),BD232=AJ232,BE232=AL232),FALSE)),BG232=AP232)</x:f>
        <x:v>1</x:v>
      </x:c>
      <x:c r="BI232" s="49" t="b">
        <x:f>AND(J232,K232,BG232)</x:f>
        <x:v>1</x:v>
      </x:c>
    </x:row>
    <x:row r="233">
      <x:c r="A233" s="34" t="str">
        <x:v>article1-unified-v4-2-fb3f101b-20260903-000401-default-f04-p6-caffeine</x:v>
      </x:c>
      <x:c r="B233" s="34" t="str">
        <x:v>default</x:v>
      </x:c>
      <x:c r="C233" s="34" t="str">
        <x:v>caffeine</x:v>
      </x:c>
      <x:c r="D233" s="36" t="n">
        <x:v>4</x:v>
      </x:c>
      <x:c r="E233" s="36" t="n">
        <x:v>4</x:v>
      </x:c>
      <x:c r="F233" s="36" t="n">
        <x:v>6</x:v>
      </x:c>
      <x:c r="G233" s="36" t="n">
        <x:v>1</x:v>
      </x:c>
      <x:c r="H233" s="34" t="str">
        <x:v>redeploy</x:v>
      </x:c>
      <x:c r="I233" s="34" t="str">
        <x:v>cache-semantics</x:v>
      </x:c>
      <x:c r="J233" s="45" t="b">
        <x:v>1</x:v>
      </x:c>
      <x:c r="K233" s="45" t="b">
        <x:v>1</x:v>
      </x:c>
      <x:c r="L233" s="45" t="b">
        <x:v>1</x:v>
      </x:c>
      <x:c r="M233" s="43" t="n">
        <x:v>400000</x:v>
      </x:c>
      <x:c r="N233" s="43" t="n">
        <x:v>130906880</x:v>
      </x:c>
      <x:c r="O233" s="43" t="n">
        <x:v>26167001.691427648</x:v>
      </x:c>
      <x:c r="P233" s="45" t="b">
        <x:v>1</x:v>
      </x:c>
      <x:c r="Q233" s="45" t="b">
        <x:v>1</x:v>
      </x:c>
      <x:c r="R233" s="45" t="b">
        <x:v>1</x:v>
      </x:c>
      <x:c r="S233" s="43" t="n">
        <x:v>5000000000</x:v>
      </x:c>
      <x:c r="T233" s="43" t="n">
        <x:v>5002746648</x:v>
      </x:c>
      <x:c r="U233" s="45" t="b">
        <x:v>1</x:v>
      </x:c>
      <x:c r="V233" s="34" t="str">
        <x:v>uniform</x:v>
      </x:c>
      <x:c r="W233" s="42" t="n">
        <x:v>95</x:v>
      </x:c>
      <x:c r="X233" s="48" t="n">
        <x:v>0.95</x:v>
      </x:c>
      <x:c r="Y233" s="48" t="n">
        <x:v>0.949720022354822</x:v>
      </x:c>
      <x:c r="Z233" s="45" t="b">
        <x:v>1</x:v>
      </x:c>
      <x:c r="AA233" s="43" t="n">
        <x:v>10000</x:v>
      </x:c>
      <x:c r="AB233" s="43" t="n">
        <x:v>9900</x:v>
      </x:c>
      <x:c r="AC233" s="43" t="n">
        <x:v>10000</x:v>
      </x:c>
      <x:c r="AD233" s="45" t="b">
        <x:v>1</x:v>
      </x:c>
      <x:c r="AE233" s="43" t="n">
        <x:v>9900</x:v>
      </x:c>
      <x:c r="AF233" s="43"/>
      <x:c r="AG233" s="43" t="n">
        <x:v>10000</x:v>
      </x:c>
      <x:c r="AH233" s="45" t="b">
        <x:v>1</x:v>
      </x:c>
      <x:c r="AI233" s="45" t="b">
        <x:v>1</x:v>
      </x:c>
      <x:c r="AJ233" s="49"/>
      <x:c r="AK233" s="48" t="n">
        <x:v>0.949720022354822</x:v>
      </x:c>
      <x:c r="AL233" s="49"/>
      <x:c r="AM233" s="49"/>
      <x:c r="AN233" s="36" t="n">
        <x:v>1</x:v>
      </x:c>
      <x:c r="AO233" s="45" t="b">
        <x:v>1</x:v>
      </x:c>
      <x:c r="AP233" s="45" t="b">
        <x:v>1</x:v>
      </x:c>
      <x:c r="AQ233" s="46" t="n">
        <x:f>IF(T233="","",T233/'Readme-Protocol'!$B$24)</x:f>
        <x:v>5.002746648</x:v>
      </x:c>
      <x:c r="AR233" s="46" t="n">
        <x:f>IF(OR(S233="",S233=0),"",T233/S233)</x:f>
        <x:v>1.0005493296</x:v>
      </x:c>
      <x:c r="AS233" s="46" t="n">
        <x:f>IF(OR(X233="",Y233=""),"",ABS(Y233-X233)*'Readme-Protocol'!$B$27)</x:f>
        <x:v>0.027997764517795343</x:v>
      </x:c>
      <x:c r="AT233" s="49" t="b">
        <x:f>AND(M233&gt;0,N233&gt;=0,O233&gt;0)</x:f>
        <x:v>1</x:v>
      </x:c>
      <x:c r="AU233" s="49" t="b">
        <x:f>AND(AT233,N233&gt;=M233)</x:f>
        <x:v>1</x:v>
      </x:c>
      <x:c r="AV233" s="49" t="b">
        <x:f>OR(S233=0,T233&gt;=S233)</x:f>
        <x:v>1</x:v>
      </x:c>
      <x:c r="AW233" s="49" t="b">
        <x:f>IF(I233="cache-semantics",OR(V233&lt;&gt;"uniform",ABS(Y233-W233/'Readme-Protocol'!$B$27)&lt;='Readme-Protocol'!$B$28),TRUE)</x:f>
        <x:v>1</x:v>
      </x:c>
      <x:c r="AX233" s="43" t="n">
        <x:f>IF(I233="cache-semantics",INT(AA233*'Readme-Protocol'!$B$32),"")</x:f>
        <x:v>9900</x:v>
      </x:c>
      <x:c r="AY233" s="49" t="b">
        <x:f>IF(I233="cache-semantics",AX233=AB233,TRUE)</x:f>
        <x:v>1</x:v>
      </x:c>
      <x:c r="AZ233" s="49" t="b">
        <x:f>IF(I233="cache-semantics",AX233=AE233,TRUE)</x:f>
        <x:v>1</x:v>
      </x:c>
      <x:c r="BA233" s="49" t="b">
        <x:f>IF(I233="cache-semantics",AC233&gt;=AX233,IF(I233="no-store-control",AC233=0,FALSE))</x:f>
        <x:v>1</x:v>
      </x:c>
      <x:c r="BB233" s="49" t="b">
        <x:f>IF(I233="cache-semantics",AG233&gt;=AX233,IF(I233="no-store-control",AG233=0,FALSE))</x:f>
        <x:v>1</x:v>
      </x:c>
      <x:c r="BC233" s="49" t="b">
        <x:f>AND(BA233,BB233)</x:f>
        <x:v>1</x:v>
      </x:c>
      <x:c r="BD233" s="49" t="b">
        <x:f>IF(I233="no-store-control",AND(AC233=0,AG233=0),TRUE)</x:f>
        <x:v>1</x:v>
      </x:c>
      <x:c r="BE233" s="49" t="b">
        <x:f>IF(I233="no-store-control",AK233=0,TRUE)</x:f>
        <x:v>1</x:v>
      </x:c>
      <x:c r="BF233" s="49" t="b">
        <x:f>IF(I233="cache-semantics",AN233=1,TRUE)</x:f>
        <x:v>1</x:v>
      </x:c>
      <x:c r="BG233" s="49" t="b">
        <x:f>IF(I233="cache-semantics",AND(AU233,AV233,Q233,AW233,BC233,BF233),IF(I233="no-store-control",AND(AU233,AV233,Q233,BD233,BE233),FALSE))</x:f>
        <x:v>1</x:v>
      </x:c>
      <x:c r="BH233" s="49" t="b">
        <x:f>AND(R233,AT233=P233,AU233=L233,AV233=U233,AY233,AZ233,IF(I233="cache-semantics",AND(AW233=Z233,AND(BA233=AD233,BB233=AH233,BC233=AI233),BF233=AO233),IF(I233="no-store-control",AND(AND(BA233=AD233,BB233=AH233,BC233=AI233),BD233=AJ233,BE233=AL233),FALSE)),BG233=AP233)</x:f>
        <x:v>1</x:v>
      </x:c>
      <x:c r="BI233" s="49" t="b">
        <x:f>AND(J233,K233,BG233)</x:f>
        <x:v>1</x:v>
      </x:c>
    </x:row>
    <x:row r="234">
      <x:c r="A234" s="34" t="str">
        <x:v>article1-unified-v4-2-fb3f101b-20260903-000401-default-f04-p6-caffeine</x:v>
      </x:c>
      <x:c r="B234" s="34" t="str">
        <x:v>default</x:v>
      </x:c>
      <x:c r="C234" s="34" t="str">
        <x:v>caffeine</x:v>
      </x:c>
      <x:c r="D234" s="36" t="n">
        <x:v>4</x:v>
      </x:c>
      <x:c r="E234" s="36" t="n">
        <x:v>4</x:v>
      </x:c>
      <x:c r="F234" s="36" t="n">
        <x:v>6</x:v>
      </x:c>
      <x:c r="G234" s="36" t="n">
        <x:v>2</x:v>
      </x:c>
      <x:c r="H234" s="34" t="str">
        <x:v>initial</x:v>
      </x:c>
      <x:c r="I234" s="34" t="str">
        <x:v>cache-semantics</x:v>
      </x:c>
      <x:c r="J234" s="45" t="b">
        <x:v>1</x:v>
      </x:c>
      <x:c r="K234" s="45" t="b">
        <x:v>1</x:v>
      </x:c>
      <x:c r="L234" s="45" t="b">
        <x:v>1</x:v>
      </x:c>
      <x:c r="M234" s="43" t="n">
        <x:v>400000</x:v>
      </x:c>
      <x:c r="N234" s="43" t="n">
        <x:v>144940288</x:v>
      </x:c>
      <x:c r="O234" s="43" t="n">
        <x:v>28726970.09623332</x:v>
      </x:c>
      <x:c r="P234" s="45" t="b">
        <x:v>1</x:v>
      </x:c>
      <x:c r="Q234" s="45" t="b">
        <x:v>1</x:v>
      </x:c>
      <x:c r="R234" s="45" t="b">
        <x:v>1</x:v>
      </x:c>
      <x:c r="S234" s="43" t="n">
        <x:v>5000000000</x:v>
      </x:c>
      <x:c r="T234" s="43" t="n">
        <x:v>5045442924</x:v>
      </x:c>
      <x:c r="U234" s="45" t="b">
        <x:v>1</x:v>
      </x:c>
      <x:c r="V234" s="34" t="str">
        <x:v>uniform</x:v>
      </x:c>
      <x:c r="W234" s="42" t="n">
        <x:v>95</x:v>
      </x:c>
      <x:c r="X234" s="48" t="n">
        <x:v>0.95</x:v>
      </x:c>
      <x:c r="Y234" s="48" t="n">
        <x:v>0.9501585715077371</x:v>
      </x:c>
      <x:c r="Z234" s="45" t="b">
        <x:v>1</x:v>
      </x:c>
      <x:c r="AA234" s="43" t="n">
        <x:v>10000</x:v>
      </x:c>
      <x:c r="AB234" s="43" t="n">
        <x:v>9900</x:v>
      </x:c>
      <x:c r="AC234" s="43" t="n">
        <x:v>10000</x:v>
      </x:c>
      <x:c r="AD234" s="45" t="b">
        <x:v>1</x:v>
      </x:c>
      <x:c r="AE234" s="43" t="n">
        <x:v>9900</x:v>
      </x:c>
      <x:c r="AF234" s="43"/>
      <x:c r="AG234" s="43" t="n">
        <x:v>10000</x:v>
      </x:c>
      <x:c r="AH234" s="45" t="b">
        <x:v>1</x:v>
      </x:c>
      <x:c r="AI234" s="45" t="b">
        <x:v>1</x:v>
      </x:c>
      <x:c r="AJ234" s="49"/>
      <x:c r="AK234" s="48" t="n">
        <x:v>0.9501585715077371</x:v>
      </x:c>
      <x:c r="AL234" s="49"/>
      <x:c r="AM234" s="49"/>
      <x:c r="AN234" s="36" t="n">
        <x:v>1</x:v>
      </x:c>
      <x:c r="AO234" s="45" t="b">
        <x:v>1</x:v>
      </x:c>
      <x:c r="AP234" s="45" t="b">
        <x:v>1</x:v>
      </x:c>
      <x:c r="AQ234" s="46" t="n">
        <x:f>IF(T234="","",T234/'Readme-Protocol'!$B$24)</x:f>
        <x:v>5.045442924</x:v>
      </x:c>
      <x:c r="AR234" s="46" t="n">
        <x:f>IF(OR(S234="",S234=0),"",T234/S234)</x:f>
        <x:v>1.0090885848</x:v>
      </x:c>
      <x:c r="AS234" s="46" t="n">
        <x:f>IF(OR(X234="",Y234=""),"",ABS(Y234-X234)*'Readme-Protocol'!$B$27)</x:f>
        <x:v>0.015857150773712636</x:v>
      </x:c>
      <x:c r="AT234" s="49" t="b">
        <x:f>AND(M234&gt;0,N234&gt;=0,O234&gt;0)</x:f>
        <x:v>1</x:v>
      </x:c>
      <x:c r="AU234" s="49" t="b">
        <x:f>AND(AT234,N234&gt;=M234)</x:f>
        <x:v>1</x:v>
      </x:c>
      <x:c r="AV234" s="49" t="b">
        <x:f>OR(S234=0,T234&gt;=S234)</x:f>
        <x:v>1</x:v>
      </x:c>
      <x:c r="AW234" s="49" t="b">
        <x:f>IF(I234="cache-semantics",OR(V234&lt;&gt;"uniform",ABS(Y234-W234/'Readme-Protocol'!$B$27)&lt;='Readme-Protocol'!$B$28),TRUE)</x:f>
        <x:v>1</x:v>
      </x:c>
      <x:c r="AX234" s="43" t="n">
        <x:f>IF(I234="cache-semantics",INT(AA234*'Readme-Protocol'!$B$32),"")</x:f>
        <x:v>9900</x:v>
      </x:c>
      <x:c r="AY234" s="49" t="b">
        <x:f>IF(I234="cache-semantics",AX234=AB234,TRUE)</x:f>
        <x:v>1</x:v>
      </x:c>
      <x:c r="AZ234" s="49" t="b">
        <x:f>IF(I234="cache-semantics",AX234=AE234,TRUE)</x:f>
        <x:v>1</x:v>
      </x:c>
      <x:c r="BA234" s="49" t="b">
        <x:f>IF(I234="cache-semantics",AC234&gt;=AX234,IF(I234="no-store-control",AC234=0,FALSE))</x:f>
        <x:v>1</x:v>
      </x:c>
      <x:c r="BB234" s="49" t="b">
        <x:f>IF(I234="cache-semantics",AG234&gt;=AX234,IF(I234="no-store-control",AG234=0,FALSE))</x:f>
        <x:v>1</x:v>
      </x:c>
      <x:c r="BC234" s="49" t="b">
        <x:f>AND(BA234,BB234)</x:f>
        <x:v>1</x:v>
      </x:c>
      <x:c r="BD234" s="49" t="b">
        <x:f>IF(I234="no-store-control",AND(AC234=0,AG234=0),TRUE)</x:f>
        <x:v>1</x:v>
      </x:c>
      <x:c r="BE234" s="49" t="b">
        <x:f>IF(I234="no-store-control",AK234=0,TRUE)</x:f>
        <x:v>1</x:v>
      </x:c>
      <x:c r="BF234" s="49" t="b">
        <x:f>IF(I234="cache-semantics",AN234=1,TRUE)</x:f>
        <x:v>1</x:v>
      </x:c>
      <x:c r="BG234" s="49" t="b">
        <x:f>IF(I234="cache-semantics",AND(AU234,AV234,Q234,AW234,BC234,BF234),IF(I234="no-store-control",AND(AU234,AV234,Q234,BD234,BE234),FALSE))</x:f>
        <x:v>1</x:v>
      </x:c>
      <x:c r="BH234" s="49" t="b">
        <x:f>AND(R234,AT234=P234,AU234=L234,AV234=U234,AY234,AZ234,IF(I234="cache-semantics",AND(AW234=Z234,AND(BA234=AD234,BB234=AH234,BC234=AI234),BF234=AO234),IF(I234="no-store-control",AND(AND(BA234=AD234,BB234=AH234,BC234=AI234),BD234=AJ234,BE234=AL234),FALSE)),BG234=AP234)</x:f>
        <x:v>1</x:v>
      </x:c>
      <x:c r="BI234" s="49" t="b">
        <x:f>AND(J234,K234,BG234)</x:f>
        <x:v>1</x:v>
      </x:c>
    </x:row>
    <x:row r="235">
      <x:c r="A235" s="34" t="str">
        <x:v>article1-unified-v4-2-fb3f101b-20260903-000401-default-f04-p6-caffeine</x:v>
      </x:c>
      <x:c r="B235" s="34" t="str">
        <x:v>default</x:v>
      </x:c>
      <x:c r="C235" s="34" t="str">
        <x:v>caffeine</x:v>
      </x:c>
      <x:c r="D235" s="36" t="n">
        <x:v>4</x:v>
      </x:c>
      <x:c r="E235" s="36" t="n">
        <x:v>4</x:v>
      </x:c>
      <x:c r="F235" s="36" t="n">
        <x:v>6</x:v>
      </x:c>
      <x:c r="G235" s="36" t="n">
        <x:v>2</x:v>
      </x:c>
      <x:c r="H235" s="34" t="str">
        <x:v>redeploy</x:v>
      </x:c>
      <x:c r="I235" s="34" t="str">
        <x:v>cache-semantics</x:v>
      </x:c>
      <x:c r="J235" s="45" t="b">
        <x:v>1</x:v>
      </x:c>
      <x:c r="K235" s="45" t="b">
        <x:v>1</x:v>
      </x:c>
      <x:c r="L235" s="45" t="b">
        <x:v>1</x:v>
      </x:c>
      <x:c r="M235" s="43" t="n">
        <x:v>400000</x:v>
      </x:c>
      <x:c r="N235" s="43" t="n">
        <x:v>134767360</x:v>
      </x:c>
      <x:c r="O235" s="43" t="n">
        <x:v>26936891.992798835</x:v>
      </x:c>
      <x:c r="P235" s="45" t="b">
        <x:v>1</x:v>
      </x:c>
      <x:c r="Q235" s="45" t="b">
        <x:v>1</x:v>
      </x:c>
      <x:c r="R235" s="45" t="b">
        <x:v>1</x:v>
      </x:c>
      <x:c r="S235" s="43" t="n">
        <x:v>5000000000</x:v>
      </x:c>
      <x:c r="T235" s="43" t="n">
        <x:v>5003077565</x:v>
      </x:c>
      <x:c r="U235" s="45" t="b">
        <x:v>1</x:v>
      </x:c>
      <x:c r="V235" s="34" t="str">
        <x:v>uniform</x:v>
      </x:c>
      <x:c r="W235" s="42" t="n">
        <x:v>95</x:v>
      </x:c>
      <x:c r="X235" s="48" t="n">
        <x:v>0.95</x:v>
      </x:c>
      <x:c r="Y235" s="48" t="n">
        <x:v>0.9501540061332359</x:v>
      </x:c>
      <x:c r="Z235" s="45" t="b">
        <x:v>1</x:v>
      </x:c>
      <x:c r="AA235" s="43" t="n">
        <x:v>10000</x:v>
      </x:c>
      <x:c r="AB235" s="43" t="n">
        <x:v>9900</x:v>
      </x:c>
      <x:c r="AC235" s="43" t="n">
        <x:v>10000</x:v>
      </x:c>
      <x:c r="AD235" s="45" t="b">
        <x:v>1</x:v>
      </x:c>
      <x:c r="AE235" s="43" t="n">
        <x:v>9900</x:v>
      </x:c>
      <x:c r="AF235" s="43"/>
      <x:c r="AG235" s="43" t="n">
        <x:v>10000</x:v>
      </x:c>
      <x:c r="AH235" s="45" t="b">
        <x:v>1</x:v>
      </x:c>
      <x:c r="AI235" s="45" t="b">
        <x:v>1</x:v>
      </x:c>
      <x:c r="AJ235" s="49"/>
      <x:c r="AK235" s="48" t="n">
        <x:v>0.9501540061332359</x:v>
      </x:c>
      <x:c r="AL235" s="49"/>
      <x:c r="AM235" s="49"/>
      <x:c r="AN235" s="36" t="n">
        <x:v>1</x:v>
      </x:c>
      <x:c r="AO235" s="45" t="b">
        <x:v>1</x:v>
      </x:c>
      <x:c r="AP235" s="45" t="b">
        <x:v>1</x:v>
      </x:c>
      <x:c r="AQ235" s="46" t="n">
        <x:f>IF(T235="","",T235/'Readme-Protocol'!$B$24)</x:f>
        <x:v>5.003077565</x:v>
      </x:c>
      <x:c r="AR235" s="46" t="n">
        <x:f>IF(OR(S235="",S235=0),"",T235/S235)</x:f>
        <x:v>1.000615513</x:v>
      </x:c>
      <x:c r="AS235" s="46" t="n">
        <x:f>IF(OR(X235="",Y235=""),"",ABS(Y235-X235)*'Readme-Protocol'!$B$27)</x:f>
        <x:v>0.015400613323590662</x:v>
      </x:c>
      <x:c r="AT235" s="49" t="b">
        <x:f>AND(M235&gt;0,N235&gt;=0,O235&gt;0)</x:f>
        <x:v>1</x:v>
      </x:c>
      <x:c r="AU235" s="49" t="b">
        <x:f>AND(AT235,N235&gt;=M235)</x:f>
        <x:v>1</x:v>
      </x:c>
      <x:c r="AV235" s="49" t="b">
        <x:f>OR(S235=0,T235&gt;=S235)</x:f>
        <x:v>1</x:v>
      </x:c>
      <x:c r="AW235" s="49" t="b">
        <x:f>IF(I235="cache-semantics",OR(V235&lt;&gt;"uniform",ABS(Y235-W235/'Readme-Protocol'!$B$27)&lt;='Readme-Protocol'!$B$28),TRUE)</x:f>
        <x:v>1</x:v>
      </x:c>
      <x:c r="AX235" s="43" t="n">
        <x:f>IF(I235="cache-semantics",INT(AA235*'Readme-Protocol'!$B$32),"")</x:f>
        <x:v>9900</x:v>
      </x:c>
      <x:c r="AY235" s="49" t="b">
        <x:f>IF(I235="cache-semantics",AX235=AB235,TRUE)</x:f>
        <x:v>1</x:v>
      </x:c>
      <x:c r="AZ235" s="49" t="b">
        <x:f>IF(I235="cache-semantics",AX235=AE235,TRUE)</x:f>
        <x:v>1</x:v>
      </x:c>
      <x:c r="BA235" s="49" t="b">
        <x:f>IF(I235="cache-semantics",AC235&gt;=AX235,IF(I235="no-store-control",AC235=0,FALSE))</x:f>
        <x:v>1</x:v>
      </x:c>
      <x:c r="BB235" s="49" t="b">
        <x:f>IF(I235="cache-semantics",AG235&gt;=AX235,IF(I235="no-store-control",AG235=0,FALSE))</x:f>
        <x:v>1</x:v>
      </x:c>
      <x:c r="BC235" s="49" t="b">
        <x:f>AND(BA235,BB235)</x:f>
        <x:v>1</x:v>
      </x:c>
      <x:c r="BD235" s="49" t="b">
        <x:f>IF(I235="no-store-control",AND(AC235=0,AG235=0),TRUE)</x:f>
        <x:v>1</x:v>
      </x:c>
      <x:c r="BE235" s="49" t="b">
        <x:f>IF(I235="no-store-control",AK235=0,TRUE)</x:f>
        <x:v>1</x:v>
      </x:c>
      <x:c r="BF235" s="49" t="b">
        <x:f>IF(I235="cache-semantics",AN235=1,TRUE)</x:f>
        <x:v>1</x:v>
      </x:c>
      <x:c r="BG235" s="49" t="b">
        <x:f>IF(I235="cache-semantics",AND(AU235,AV235,Q235,AW235,BC235,BF235),IF(I235="no-store-control",AND(AU235,AV235,Q235,BD235,BE235),FALSE))</x:f>
        <x:v>1</x:v>
      </x:c>
      <x:c r="BH235" s="49" t="b">
        <x:f>AND(R235,AT235=P235,AU235=L235,AV235=U235,AY235,AZ235,IF(I235="cache-semantics",AND(AW235=Z235,AND(BA235=AD235,BB235=AH235,BC235=AI235),BF235=AO235),IF(I235="no-store-control",AND(AND(BA235=AD235,BB235=AH235,BC235=AI235),BD235=AJ235,BE235=AL235),FALSE)),BG235=AP235)</x:f>
        <x:v>1</x:v>
      </x:c>
      <x:c r="BI235" s="49" t="b">
        <x:f>AND(J235,K235,BG235)</x:f>
        <x:v>1</x:v>
      </x:c>
    </x:row>
    <x:row r="236">
      <x:c r="A236" s="34" t="str">
        <x:v>article1-unified-v4-2-fb3f101b-20260903-000401-default-f04-p6-caffeine</x:v>
      </x:c>
      <x:c r="B236" s="34" t="str">
        <x:v>default</x:v>
      </x:c>
      <x:c r="C236" s="34" t="str">
        <x:v>caffeine</x:v>
      </x:c>
      <x:c r="D236" s="36" t="n">
        <x:v>4</x:v>
      </x:c>
      <x:c r="E236" s="36" t="n">
        <x:v>4</x:v>
      </x:c>
      <x:c r="F236" s="36" t="n">
        <x:v>6</x:v>
      </x:c>
      <x:c r="G236" s="36" t="n">
        <x:v>3</x:v>
      </x:c>
      <x:c r="H236" s="34" t="str">
        <x:v>initial</x:v>
      </x:c>
      <x:c r="I236" s="34" t="str">
        <x:v>cache-semantics</x:v>
      </x:c>
      <x:c r="J236" s="45" t="b">
        <x:v>1</x:v>
      </x:c>
      <x:c r="K236" s="45" t="b">
        <x:v>1</x:v>
      </x:c>
      <x:c r="L236" s="45" t="b">
        <x:v>1</x:v>
      </x:c>
      <x:c r="M236" s="43" t="n">
        <x:v>400000</x:v>
      </x:c>
      <x:c r="N236" s="43" t="n">
        <x:v>131272448</x:v>
      </x:c>
      <x:c r="O236" s="43" t="n">
        <x:v>26243989.663170855</x:v>
      </x:c>
      <x:c r="P236" s="45" t="b">
        <x:v>1</x:v>
      </x:c>
      <x:c r="Q236" s="45" t="b">
        <x:v>1</x:v>
      </x:c>
      <x:c r="R236" s="45" t="b">
        <x:v>1</x:v>
      </x:c>
      <x:c r="S236" s="43" t="n">
        <x:v>5000000000</x:v>
      </x:c>
      <x:c r="T236" s="43" t="n">
        <x:v>5002000446</x:v>
      </x:c>
      <x:c r="U236" s="45" t="b">
        <x:v>1</x:v>
      </x:c>
      <x:c r="V236" s="34" t="str">
        <x:v>uniform</x:v>
      </x:c>
      <x:c r="W236" s="42" t="n">
        <x:v>95</x:v>
      </x:c>
      <x:c r="X236" s="48" t="n">
        <x:v>0.95</x:v>
      </x:c>
      <x:c r="Y236" s="48" t="n">
        <x:v>0.9499987461192161</x:v>
      </x:c>
      <x:c r="Z236" s="45" t="b">
        <x:v>1</x:v>
      </x:c>
      <x:c r="AA236" s="43" t="n">
        <x:v>10000</x:v>
      </x:c>
      <x:c r="AB236" s="43" t="n">
        <x:v>9900</x:v>
      </x:c>
      <x:c r="AC236" s="43" t="n">
        <x:v>10000</x:v>
      </x:c>
      <x:c r="AD236" s="45" t="b">
        <x:v>1</x:v>
      </x:c>
      <x:c r="AE236" s="43" t="n">
        <x:v>9900</x:v>
      </x:c>
      <x:c r="AF236" s="43"/>
      <x:c r="AG236" s="43" t="n">
        <x:v>10000</x:v>
      </x:c>
      <x:c r="AH236" s="45" t="b">
        <x:v>1</x:v>
      </x:c>
      <x:c r="AI236" s="45" t="b">
        <x:v>1</x:v>
      </x:c>
      <x:c r="AJ236" s="49"/>
      <x:c r="AK236" s="48" t="n">
        <x:v>0.9499987461192161</x:v>
      </x:c>
      <x:c r="AL236" s="49"/>
      <x:c r="AM236" s="49"/>
      <x:c r="AN236" s="36" t="n">
        <x:v>1</x:v>
      </x:c>
      <x:c r="AO236" s="45" t="b">
        <x:v>1</x:v>
      </x:c>
      <x:c r="AP236" s="45" t="b">
        <x:v>1</x:v>
      </x:c>
      <x:c r="AQ236" s="46" t="n">
        <x:f>IF(T236="","",T236/'Readme-Protocol'!$B$24)</x:f>
        <x:v>5.002000446</x:v>
      </x:c>
      <x:c r="AR236" s="46" t="n">
        <x:f>IF(OR(S236="",S236=0),"",T236/S236)</x:f>
        <x:v>1.0004000892</x:v>
      </x:c>
      <x:c r="AS236" s="46" t="n">
        <x:f>IF(OR(X236="",Y236=""),"",ABS(Y236-X236)*'Readme-Protocol'!$B$27)</x:f>
        <x:v>0.00012538807838691213</x:v>
      </x:c>
      <x:c r="AT236" s="49" t="b">
        <x:f>AND(M236&gt;0,N236&gt;=0,O236&gt;0)</x:f>
        <x:v>1</x:v>
      </x:c>
      <x:c r="AU236" s="49" t="b">
        <x:f>AND(AT236,N236&gt;=M236)</x:f>
        <x:v>1</x:v>
      </x:c>
      <x:c r="AV236" s="49" t="b">
        <x:f>OR(S236=0,T236&gt;=S236)</x:f>
        <x:v>1</x:v>
      </x:c>
      <x:c r="AW236" s="49" t="b">
        <x:f>IF(I236="cache-semantics",OR(V236&lt;&gt;"uniform",ABS(Y236-W236/'Readme-Protocol'!$B$27)&lt;='Readme-Protocol'!$B$28),TRUE)</x:f>
        <x:v>1</x:v>
      </x:c>
      <x:c r="AX236" s="43" t="n">
        <x:f>IF(I236="cache-semantics",INT(AA236*'Readme-Protocol'!$B$32),"")</x:f>
        <x:v>9900</x:v>
      </x:c>
      <x:c r="AY236" s="49" t="b">
        <x:f>IF(I236="cache-semantics",AX236=AB236,TRUE)</x:f>
        <x:v>1</x:v>
      </x:c>
      <x:c r="AZ236" s="49" t="b">
        <x:f>IF(I236="cache-semantics",AX236=AE236,TRUE)</x:f>
        <x:v>1</x:v>
      </x:c>
      <x:c r="BA236" s="49" t="b">
        <x:f>IF(I236="cache-semantics",AC236&gt;=AX236,IF(I236="no-store-control",AC236=0,FALSE))</x:f>
        <x:v>1</x:v>
      </x:c>
      <x:c r="BB236" s="49" t="b">
        <x:f>IF(I236="cache-semantics",AG236&gt;=AX236,IF(I236="no-store-control",AG236=0,FALSE))</x:f>
        <x:v>1</x:v>
      </x:c>
      <x:c r="BC236" s="49" t="b">
        <x:f>AND(BA236,BB236)</x:f>
        <x:v>1</x:v>
      </x:c>
      <x:c r="BD236" s="49" t="b">
        <x:f>IF(I236="no-store-control",AND(AC236=0,AG236=0),TRUE)</x:f>
        <x:v>1</x:v>
      </x:c>
      <x:c r="BE236" s="49" t="b">
        <x:f>IF(I236="no-store-control",AK236=0,TRUE)</x:f>
        <x:v>1</x:v>
      </x:c>
      <x:c r="BF236" s="49" t="b">
        <x:f>IF(I236="cache-semantics",AN236=1,TRUE)</x:f>
        <x:v>1</x:v>
      </x:c>
      <x:c r="BG236" s="49" t="b">
        <x:f>IF(I236="cache-semantics",AND(AU236,AV236,Q236,AW236,BC236,BF236),IF(I236="no-store-control",AND(AU236,AV236,Q236,BD236,BE236),FALSE))</x:f>
        <x:v>1</x:v>
      </x:c>
      <x:c r="BH236" s="49" t="b">
        <x:f>AND(R236,AT236=P236,AU236=L236,AV236=U236,AY236,AZ236,IF(I236="cache-semantics",AND(AW236=Z236,AND(BA236=AD236,BB236=AH236,BC236=AI236),BF236=AO236),IF(I236="no-store-control",AND(AND(BA236=AD236,BB236=AH236,BC236=AI236),BD236=AJ236,BE236=AL236),FALSE)),BG236=AP236)</x:f>
        <x:v>1</x:v>
      </x:c>
      <x:c r="BI236" s="49" t="b">
        <x:f>AND(J236,K236,BG236)</x:f>
        <x:v>1</x:v>
      </x:c>
    </x:row>
    <x:row r="237">
      <x:c r="A237" s="34" t="str">
        <x:v>article1-unified-v4-2-fb3f101b-20260903-000401-default-f04-p6-caffeine</x:v>
      </x:c>
      <x:c r="B237" s="34" t="str">
        <x:v>default</x:v>
      </x:c>
      <x:c r="C237" s="34" t="str">
        <x:v>caffeine</x:v>
      </x:c>
      <x:c r="D237" s="36" t="n">
        <x:v>4</x:v>
      </x:c>
      <x:c r="E237" s="36" t="n">
        <x:v>4</x:v>
      </x:c>
      <x:c r="F237" s="36" t="n">
        <x:v>6</x:v>
      </x:c>
      <x:c r="G237" s="36" t="n">
        <x:v>3</x:v>
      </x:c>
      <x:c r="H237" s="34" t="str">
        <x:v>redeploy</x:v>
      </x:c>
      <x:c r="I237" s="34" t="str">
        <x:v>cache-semantics</x:v>
      </x:c>
      <x:c r="J237" s="45" t="b">
        <x:v>1</x:v>
      </x:c>
      <x:c r="K237" s="45" t="b">
        <x:v>1</x:v>
      </x:c>
      <x:c r="L237" s="45" t="b">
        <x:v>1</x:v>
      </x:c>
      <x:c r="M237" s="43" t="n">
        <x:v>400000</x:v>
      </x:c>
      <x:c r="N237" s="43" t="n">
        <x:v>132825088</x:v>
      </x:c>
      <x:c r="O237" s="43" t="n">
        <x:v>26553133.325640604</x:v>
      </x:c>
      <x:c r="P237" s="45" t="b">
        <x:v>1</x:v>
      </x:c>
      <x:c r="Q237" s="45" t="b">
        <x:v>1</x:v>
      </x:c>
      <x:c r="R237" s="45" t="b">
        <x:v>1</x:v>
      </x:c>
      <x:c r="S237" s="43" t="n">
        <x:v>5000000000</x:v>
      </x:c>
      <x:c r="T237" s="43" t="n">
        <x:v>5002237829</x:v>
      </x:c>
      <x:c r="U237" s="45" t="b">
        <x:v>1</x:v>
      </x:c>
      <x:c r="V237" s="34" t="str">
        <x:v>uniform</x:v>
      </x:c>
      <x:c r="W237" s="42" t="n">
        <x:v>95</x:v>
      </x:c>
      <x:c r="X237" s="48" t="n">
        <x:v>0.95</x:v>
      </x:c>
      <x:c r="Y237" s="48" t="n">
        <x:v>0.9500308330305793</x:v>
      </x:c>
      <x:c r="Z237" s="45" t="b">
        <x:v>1</x:v>
      </x:c>
      <x:c r="AA237" s="43" t="n">
        <x:v>10000</x:v>
      </x:c>
      <x:c r="AB237" s="43" t="n">
        <x:v>9900</x:v>
      </x:c>
      <x:c r="AC237" s="43" t="n">
        <x:v>10000</x:v>
      </x:c>
      <x:c r="AD237" s="45" t="b">
        <x:v>1</x:v>
      </x:c>
      <x:c r="AE237" s="43" t="n">
        <x:v>9900</x:v>
      </x:c>
      <x:c r="AF237" s="43"/>
      <x:c r="AG237" s="43" t="n">
        <x:v>10000</x:v>
      </x:c>
      <x:c r="AH237" s="45" t="b">
        <x:v>1</x:v>
      </x:c>
      <x:c r="AI237" s="45" t="b">
        <x:v>1</x:v>
      </x:c>
      <x:c r="AJ237" s="49"/>
      <x:c r="AK237" s="48" t="n">
        <x:v>0.9500308330305793</x:v>
      </x:c>
      <x:c r="AL237" s="49"/>
      <x:c r="AM237" s="49"/>
      <x:c r="AN237" s="36" t="n">
        <x:v>1</x:v>
      </x:c>
      <x:c r="AO237" s="45" t="b">
        <x:v>1</x:v>
      </x:c>
      <x:c r="AP237" s="45" t="b">
        <x:v>1</x:v>
      </x:c>
      <x:c r="AQ237" s="46" t="n">
        <x:f>IF(T237="","",T237/'Readme-Protocol'!$B$24)</x:f>
        <x:v>5.002237829</x:v>
      </x:c>
      <x:c r="AR237" s="46" t="n">
        <x:f>IF(OR(S237="",S237=0),"",T237/S237)</x:f>
        <x:v>1.0004475658</x:v>
      </x:c>
      <x:c r="AS237" s="46" t="n">
        <x:f>IF(OR(X237="",Y237=""),"",ABS(Y237-X237)*'Readme-Protocol'!$B$27)</x:f>
        <x:v>0.003083303057938025</x:v>
      </x:c>
      <x:c r="AT237" s="49" t="b">
        <x:f>AND(M237&gt;0,N237&gt;=0,O237&gt;0)</x:f>
        <x:v>1</x:v>
      </x:c>
      <x:c r="AU237" s="49" t="b">
        <x:f>AND(AT237,N237&gt;=M237)</x:f>
        <x:v>1</x:v>
      </x:c>
      <x:c r="AV237" s="49" t="b">
        <x:f>OR(S237=0,T237&gt;=S237)</x:f>
        <x:v>1</x:v>
      </x:c>
      <x:c r="AW237" s="49" t="b">
        <x:f>IF(I237="cache-semantics",OR(V237&lt;&gt;"uniform",ABS(Y237-W237/'Readme-Protocol'!$B$27)&lt;='Readme-Protocol'!$B$28),TRUE)</x:f>
        <x:v>1</x:v>
      </x:c>
      <x:c r="AX237" s="43" t="n">
        <x:f>IF(I237="cache-semantics",INT(AA237*'Readme-Protocol'!$B$32),"")</x:f>
        <x:v>9900</x:v>
      </x:c>
      <x:c r="AY237" s="49" t="b">
        <x:f>IF(I237="cache-semantics",AX237=AB237,TRUE)</x:f>
        <x:v>1</x:v>
      </x:c>
      <x:c r="AZ237" s="49" t="b">
        <x:f>IF(I237="cache-semantics",AX237=AE237,TRUE)</x:f>
        <x:v>1</x:v>
      </x:c>
      <x:c r="BA237" s="49" t="b">
        <x:f>IF(I237="cache-semantics",AC237&gt;=AX237,IF(I237="no-store-control",AC237=0,FALSE))</x:f>
        <x:v>1</x:v>
      </x:c>
      <x:c r="BB237" s="49" t="b">
        <x:f>IF(I237="cache-semantics",AG237&gt;=AX237,IF(I237="no-store-control",AG237=0,FALSE))</x:f>
        <x:v>1</x:v>
      </x:c>
      <x:c r="BC237" s="49" t="b">
        <x:f>AND(BA237,BB237)</x:f>
        <x:v>1</x:v>
      </x:c>
      <x:c r="BD237" s="49" t="b">
        <x:f>IF(I237="no-store-control",AND(AC237=0,AG237=0),TRUE)</x:f>
        <x:v>1</x:v>
      </x:c>
      <x:c r="BE237" s="49" t="b">
        <x:f>IF(I237="no-store-control",AK237=0,TRUE)</x:f>
        <x:v>1</x:v>
      </x:c>
      <x:c r="BF237" s="49" t="b">
        <x:f>IF(I237="cache-semantics",AN237=1,TRUE)</x:f>
        <x:v>1</x:v>
      </x:c>
      <x:c r="BG237" s="49" t="b">
        <x:f>IF(I237="cache-semantics",AND(AU237,AV237,Q237,AW237,BC237,BF237),IF(I237="no-store-control",AND(AU237,AV237,Q237,BD237,BE237),FALSE))</x:f>
        <x:v>1</x:v>
      </x:c>
      <x:c r="BH237" s="49" t="b">
        <x:f>AND(R237,AT237=P237,AU237=L237,AV237=U237,AY237,AZ237,IF(I237="cache-semantics",AND(AW237=Z237,AND(BA237=AD237,BB237=AH237,BC237=AI237),BF237=AO237),IF(I237="no-store-control",AND(AND(BA237=AD237,BB237=AH237,BC237=AI237),BD237=AJ237,BE237=AL237),FALSE)),BG237=AP237)</x:f>
        <x:v>1</x:v>
      </x:c>
      <x:c r="BI237" s="49" t="b">
        <x:f>AND(J237,K237,BG237)</x:f>
        <x:v>1</x:v>
      </x:c>
    </x:row>
    <x:row r="238">
      <x:c r="A238" s="34" t="str">
        <x:v>article1-unified-v4-2-fb3f101b-20260903-000401-default-f04-p6-caffeine</x:v>
      </x:c>
      <x:c r="B238" s="34" t="str">
        <x:v>default</x:v>
      </x:c>
      <x:c r="C238" s="34" t="str">
        <x:v>caffeine</x:v>
      </x:c>
      <x:c r="D238" s="36" t="n">
        <x:v>4</x:v>
      </x:c>
      <x:c r="E238" s="36" t="n">
        <x:v>4</x:v>
      </x:c>
      <x:c r="F238" s="36" t="n">
        <x:v>6</x:v>
      </x:c>
      <x:c r="G238" s="36" t="n">
        <x:v>4</x:v>
      </x:c>
      <x:c r="H238" s="34" t="str">
        <x:v>initial</x:v>
      </x:c>
      <x:c r="I238" s="34" t="str">
        <x:v>cache-semantics</x:v>
      </x:c>
      <x:c r="J238" s="45" t="b">
        <x:v>1</x:v>
      </x:c>
      <x:c r="K238" s="45" t="b">
        <x:v>1</x:v>
      </x:c>
      <x:c r="L238" s="45" t="b">
        <x:v>1</x:v>
      </x:c>
      <x:c r="M238" s="43" t="n">
        <x:v>400000</x:v>
      </x:c>
      <x:c r="N238" s="43" t="n">
        <x:v>136208384</x:v>
      </x:c>
      <x:c r="O238" s="43" t="n">
        <x:v>27230591.66726784</x:v>
      </x:c>
      <x:c r="P238" s="45" t="b">
        <x:v>1</x:v>
      </x:c>
      <x:c r="Q238" s="45" t="b">
        <x:v>1</x:v>
      </x:c>
      <x:c r="R238" s="45" t="b">
        <x:v>1</x:v>
      </x:c>
      <x:c r="S238" s="43" t="n">
        <x:v>5000000000</x:v>
      </x:c>
      <x:c r="T238" s="43" t="n">
        <x:v>5002035419</x:v>
      </x:c>
      <x:c r="U238" s="45" t="b">
        <x:v>1</x:v>
      </x:c>
      <x:c r="V238" s="34" t="str">
        <x:v>uniform</x:v>
      </x:c>
      <x:c r="W238" s="42" t="n">
        <x:v>95</x:v>
      </x:c>
      <x:c r="X238" s="48" t="n">
        <x:v>0.95</x:v>
      </x:c>
      <x:c r="Y238" s="48" t="n">
        <x:v>0.9496921790071308</x:v>
      </x:c>
      <x:c r="Z238" s="45" t="b">
        <x:v>1</x:v>
      </x:c>
      <x:c r="AA238" s="43" t="n">
        <x:v>10000</x:v>
      </x:c>
      <x:c r="AB238" s="43" t="n">
        <x:v>9900</x:v>
      </x:c>
      <x:c r="AC238" s="43" t="n">
        <x:v>10000</x:v>
      </x:c>
      <x:c r="AD238" s="45" t="b">
        <x:v>1</x:v>
      </x:c>
      <x:c r="AE238" s="43" t="n">
        <x:v>9900</x:v>
      </x:c>
      <x:c r="AF238" s="43"/>
      <x:c r="AG238" s="43" t="n">
        <x:v>10000</x:v>
      </x:c>
      <x:c r="AH238" s="45" t="b">
        <x:v>1</x:v>
      </x:c>
      <x:c r="AI238" s="45" t="b">
        <x:v>1</x:v>
      </x:c>
      <x:c r="AJ238" s="49"/>
      <x:c r="AK238" s="48" t="n">
        <x:v>0.9496921790071308</x:v>
      </x:c>
      <x:c r="AL238" s="49"/>
      <x:c r="AM238" s="49"/>
      <x:c r="AN238" s="36" t="n">
        <x:v>1</x:v>
      </x:c>
      <x:c r="AO238" s="45" t="b">
        <x:v>1</x:v>
      </x:c>
      <x:c r="AP238" s="45" t="b">
        <x:v>1</x:v>
      </x:c>
      <x:c r="AQ238" s="46" t="n">
        <x:f>IF(T238="","",T238/'Readme-Protocol'!$B$24)</x:f>
        <x:v>5.002035419</x:v>
      </x:c>
      <x:c r="AR238" s="46" t="n">
        <x:f>IF(OR(S238="",S238=0),"",T238/S238)</x:f>
        <x:v>1.0004070838</x:v>
      </x:c>
      <x:c r="AS238" s="46" t="n">
        <x:f>IF(OR(X238="",Y238=""),"",ABS(Y238-X238)*'Readme-Protocol'!$B$27)</x:f>
        <x:v>0.030782099286918996</x:v>
      </x:c>
      <x:c r="AT238" s="49" t="b">
        <x:f>AND(M238&gt;0,N238&gt;=0,O238&gt;0)</x:f>
        <x:v>1</x:v>
      </x:c>
      <x:c r="AU238" s="49" t="b">
        <x:f>AND(AT238,N238&gt;=M238)</x:f>
        <x:v>1</x:v>
      </x:c>
      <x:c r="AV238" s="49" t="b">
        <x:f>OR(S238=0,T238&gt;=S238)</x:f>
        <x:v>1</x:v>
      </x:c>
      <x:c r="AW238" s="49" t="b">
        <x:f>IF(I238="cache-semantics",OR(V238&lt;&gt;"uniform",ABS(Y238-W238/'Readme-Protocol'!$B$27)&lt;='Readme-Protocol'!$B$28),TRUE)</x:f>
        <x:v>1</x:v>
      </x:c>
      <x:c r="AX238" s="43" t="n">
        <x:f>IF(I238="cache-semantics",INT(AA238*'Readme-Protocol'!$B$32),"")</x:f>
        <x:v>9900</x:v>
      </x:c>
      <x:c r="AY238" s="49" t="b">
        <x:f>IF(I238="cache-semantics",AX238=AB238,TRUE)</x:f>
        <x:v>1</x:v>
      </x:c>
      <x:c r="AZ238" s="49" t="b">
        <x:f>IF(I238="cache-semantics",AX238=AE238,TRUE)</x:f>
        <x:v>1</x:v>
      </x:c>
      <x:c r="BA238" s="49" t="b">
        <x:f>IF(I238="cache-semantics",AC238&gt;=AX238,IF(I238="no-store-control",AC238=0,FALSE))</x:f>
        <x:v>1</x:v>
      </x:c>
      <x:c r="BB238" s="49" t="b">
        <x:f>IF(I238="cache-semantics",AG238&gt;=AX238,IF(I238="no-store-control",AG238=0,FALSE))</x:f>
        <x:v>1</x:v>
      </x:c>
      <x:c r="BC238" s="49" t="b">
        <x:f>AND(BA238,BB238)</x:f>
        <x:v>1</x:v>
      </x:c>
      <x:c r="BD238" s="49" t="b">
        <x:f>IF(I238="no-store-control",AND(AC238=0,AG238=0),TRUE)</x:f>
        <x:v>1</x:v>
      </x:c>
      <x:c r="BE238" s="49" t="b">
        <x:f>IF(I238="no-store-control",AK238=0,TRUE)</x:f>
        <x:v>1</x:v>
      </x:c>
      <x:c r="BF238" s="49" t="b">
        <x:f>IF(I238="cache-semantics",AN238=1,TRUE)</x:f>
        <x:v>1</x:v>
      </x:c>
      <x:c r="BG238" s="49" t="b">
        <x:f>IF(I238="cache-semantics",AND(AU238,AV238,Q238,AW238,BC238,BF238),IF(I238="no-store-control",AND(AU238,AV238,Q238,BD238,BE238),FALSE))</x:f>
        <x:v>1</x:v>
      </x:c>
      <x:c r="BH238" s="49" t="b">
        <x:f>AND(R238,AT238=P238,AU238=L238,AV238=U238,AY238,AZ238,IF(I238="cache-semantics",AND(AW238=Z238,AND(BA238=AD238,BB238=AH238,BC238=AI238),BF238=AO238),IF(I238="no-store-control",AND(AND(BA238=AD238,BB238=AH238,BC238=AI238),BD238=AJ238,BE238=AL238),FALSE)),BG238=AP238)</x:f>
        <x:v>1</x:v>
      </x:c>
      <x:c r="BI238" s="49" t="b">
        <x:f>AND(J238,K238,BG238)</x:f>
        <x:v>1</x:v>
      </x:c>
    </x:row>
    <x:row r="239">
      <x:c r="A239" s="34" t="str">
        <x:v>article1-unified-v4-2-fb3f101b-20260903-000401-default-f04-p6-caffeine</x:v>
      </x:c>
      <x:c r="B239" s="34" t="str">
        <x:v>default</x:v>
      </x:c>
      <x:c r="C239" s="34" t="str">
        <x:v>caffeine</x:v>
      </x:c>
      <x:c r="D239" s="36" t="n">
        <x:v>4</x:v>
      </x:c>
      <x:c r="E239" s="36" t="n">
        <x:v>4</x:v>
      </x:c>
      <x:c r="F239" s="36" t="n">
        <x:v>6</x:v>
      </x:c>
      <x:c r="G239" s="36" t="n">
        <x:v>4</x:v>
      </x:c>
      <x:c r="H239" s="34" t="str">
        <x:v>redeploy</x:v>
      </x:c>
      <x:c r="I239" s="34" t="str">
        <x:v>cache-semantics</x:v>
      </x:c>
      <x:c r="J239" s="45" t="b">
        <x:v>1</x:v>
      </x:c>
      <x:c r="K239" s="45" t="b">
        <x:v>1</x:v>
      </x:c>
      <x:c r="L239" s="45" t="b">
        <x:v>1</x:v>
      </x:c>
      <x:c r="M239" s="43" t="n">
        <x:v>400000</x:v>
      </x:c>
      <x:c r="N239" s="43" t="n">
        <x:v>144951040</x:v>
      </x:c>
      <x:c r="O239" s="43" t="n">
        <x:v>28977417.57651913</x:v>
      </x:c>
      <x:c r="P239" s="45" t="b">
        <x:v>1</x:v>
      </x:c>
      <x:c r="Q239" s="45" t="b">
        <x:v>1</x:v>
      </x:c>
      <x:c r="R239" s="45" t="b">
        <x:v>1</x:v>
      </x:c>
      <x:c r="S239" s="43" t="n">
        <x:v>5000000000</x:v>
      </x:c>
      <x:c r="T239" s="43" t="n">
        <x:v>5002206964</x:v>
      </x:c>
      <x:c r="U239" s="45" t="b">
        <x:v>1</x:v>
      </x:c>
      <x:c r="V239" s="34" t="str">
        <x:v>uniform</x:v>
      </x:c>
      <x:c r="W239" s="42" t="n">
        <x:v>95</x:v>
      </x:c>
      <x:c r="X239" s="48" t="n">
        <x:v>0.95</x:v>
      </x:c>
      <x:c r="Y239" s="48" t="n">
        <x:v>0.9496792848123062</x:v>
      </x:c>
      <x:c r="Z239" s="45" t="b">
        <x:v>1</x:v>
      </x:c>
      <x:c r="AA239" s="43" t="n">
        <x:v>10000</x:v>
      </x:c>
      <x:c r="AB239" s="43" t="n">
        <x:v>9900</x:v>
      </x:c>
      <x:c r="AC239" s="43" t="n">
        <x:v>10000</x:v>
      </x:c>
      <x:c r="AD239" s="45" t="b">
        <x:v>1</x:v>
      </x:c>
      <x:c r="AE239" s="43" t="n">
        <x:v>9900</x:v>
      </x:c>
      <x:c r="AF239" s="43"/>
      <x:c r="AG239" s="43" t="n">
        <x:v>10000</x:v>
      </x:c>
      <x:c r="AH239" s="45" t="b">
        <x:v>1</x:v>
      </x:c>
      <x:c r="AI239" s="45" t="b">
        <x:v>1</x:v>
      </x:c>
      <x:c r="AJ239" s="49"/>
      <x:c r="AK239" s="48" t="n">
        <x:v>0.9496792848123062</x:v>
      </x:c>
      <x:c r="AL239" s="49"/>
      <x:c r="AM239" s="49"/>
      <x:c r="AN239" s="36" t="n">
        <x:v>1</x:v>
      </x:c>
      <x:c r="AO239" s="45" t="b">
        <x:v>1</x:v>
      </x:c>
      <x:c r="AP239" s="45" t="b">
        <x:v>1</x:v>
      </x:c>
      <x:c r="AQ239" s="46" t="n">
        <x:f>IF(T239="","",T239/'Readme-Protocol'!$B$24)</x:f>
        <x:v>5.002206964</x:v>
      </x:c>
      <x:c r="AR239" s="46" t="n">
        <x:f>IF(OR(S239="",S239=0),"",T239/S239)</x:f>
        <x:v>1.0004413928</x:v>
      </x:c>
      <x:c r="AS239" s="46" t="n">
        <x:f>IF(OR(X239="",Y239=""),"",ABS(Y239-X239)*'Readme-Protocol'!$B$27)</x:f>
        <x:v>0.03207151876937209</x:v>
      </x:c>
      <x:c r="AT239" s="49" t="b">
        <x:f>AND(M239&gt;0,N239&gt;=0,O239&gt;0)</x:f>
        <x:v>1</x:v>
      </x:c>
      <x:c r="AU239" s="49" t="b">
        <x:f>AND(AT239,N239&gt;=M239)</x:f>
        <x:v>1</x:v>
      </x:c>
      <x:c r="AV239" s="49" t="b">
        <x:f>OR(S239=0,T239&gt;=S239)</x:f>
        <x:v>1</x:v>
      </x:c>
      <x:c r="AW239" s="49" t="b">
        <x:f>IF(I239="cache-semantics",OR(V239&lt;&gt;"uniform",ABS(Y239-W239/'Readme-Protocol'!$B$27)&lt;='Readme-Protocol'!$B$28),TRUE)</x:f>
        <x:v>1</x:v>
      </x:c>
      <x:c r="AX239" s="43" t="n">
        <x:f>IF(I239="cache-semantics",INT(AA239*'Readme-Protocol'!$B$32),"")</x:f>
        <x:v>9900</x:v>
      </x:c>
      <x:c r="AY239" s="49" t="b">
        <x:f>IF(I239="cache-semantics",AX239=AB239,TRUE)</x:f>
        <x:v>1</x:v>
      </x:c>
      <x:c r="AZ239" s="49" t="b">
        <x:f>IF(I239="cache-semantics",AX239=AE239,TRUE)</x:f>
        <x:v>1</x:v>
      </x:c>
      <x:c r="BA239" s="49" t="b">
        <x:f>IF(I239="cache-semantics",AC239&gt;=AX239,IF(I239="no-store-control",AC239=0,FALSE))</x:f>
        <x:v>1</x:v>
      </x:c>
      <x:c r="BB239" s="49" t="b">
        <x:f>IF(I239="cache-semantics",AG239&gt;=AX239,IF(I239="no-store-control",AG239=0,FALSE))</x:f>
        <x:v>1</x:v>
      </x:c>
      <x:c r="BC239" s="49" t="b">
        <x:f>AND(BA239,BB239)</x:f>
        <x:v>1</x:v>
      </x:c>
      <x:c r="BD239" s="49" t="b">
        <x:f>IF(I239="no-store-control",AND(AC239=0,AG239=0),TRUE)</x:f>
        <x:v>1</x:v>
      </x:c>
      <x:c r="BE239" s="49" t="b">
        <x:f>IF(I239="no-store-control",AK239=0,TRUE)</x:f>
        <x:v>1</x:v>
      </x:c>
      <x:c r="BF239" s="49" t="b">
        <x:f>IF(I239="cache-semantics",AN239=1,TRUE)</x:f>
        <x:v>1</x:v>
      </x:c>
      <x:c r="BG239" s="49" t="b">
        <x:f>IF(I239="cache-semantics",AND(AU239,AV239,Q239,AW239,BC239,BF239),IF(I239="no-store-control",AND(AU239,AV239,Q239,BD239,BE239),FALSE))</x:f>
        <x:v>1</x:v>
      </x:c>
      <x:c r="BH239" s="49" t="b">
        <x:f>AND(R239,AT239=P239,AU239=L239,AV239=U239,AY239,AZ239,IF(I239="cache-semantics",AND(AW239=Z239,AND(BA239=AD239,BB239=AH239,BC239=AI239),BF239=AO239),IF(I239="no-store-control",AND(AND(BA239=AD239,BB239=AH239,BC239=AI239),BD239=AJ239,BE239=AL239),FALSE)),BG239=AP239)</x:f>
        <x:v>1</x:v>
      </x:c>
      <x:c r="BI239" s="49" t="b">
        <x:f>AND(J239,K239,BG239)</x:f>
        <x:v>1</x:v>
      </x:c>
    </x:row>
    <x:row r="240">
      <x:c r="A240" s="34" t="str">
        <x:v>article1-unified-v4-2-fb3f101b-20260903-000401-default-f04-p6-caffeine</x:v>
      </x:c>
      <x:c r="B240" s="34" t="str">
        <x:v>default</x:v>
      </x:c>
      <x:c r="C240" s="34" t="str">
        <x:v>caffeine</x:v>
      </x:c>
      <x:c r="D240" s="36" t="n">
        <x:v>4</x:v>
      </x:c>
      <x:c r="E240" s="36" t="n">
        <x:v>4</x:v>
      </x:c>
      <x:c r="F240" s="36" t="n">
        <x:v>6</x:v>
      </x:c>
      <x:c r="G240" s="36" t="n">
        <x:v>5</x:v>
      </x:c>
      <x:c r="H240" s="34" t="str">
        <x:v>initial</x:v>
      </x:c>
      <x:c r="I240" s="34" t="str">
        <x:v>cache-semantics</x:v>
      </x:c>
      <x:c r="J240" s="45" t="b">
        <x:v>1</x:v>
      </x:c>
      <x:c r="K240" s="45" t="b">
        <x:v>1</x:v>
      </x:c>
      <x:c r="L240" s="45" t="b">
        <x:v>1</x:v>
      </x:c>
      <x:c r="M240" s="43" t="n">
        <x:v>400000</x:v>
      </x:c>
      <x:c r="N240" s="43" t="n">
        <x:v>141385216</x:v>
      </x:c>
      <x:c r="O240" s="43" t="n">
        <x:v>28262514.45876727</x:v>
      </x:c>
      <x:c r="P240" s="45" t="b">
        <x:v>1</x:v>
      </x:c>
      <x:c r="Q240" s="45" t="b">
        <x:v>1</x:v>
      </x:c>
      <x:c r="R240" s="45" t="b">
        <x:v>1</x:v>
      </x:c>
      <x:c r="S240" s="43" t="n">
        <x:v>5000000000</x:v>
      </x:c>
      <x:c r="T240" s="43" t="n">
        <x:v>5002570320</x:v>
      </x:c>
      <x:c r="U240" s="45" t="b">
        <x:v>1</x:v>
      </x:c>
      <x:c r="V240" s="34" t="str">
        <x:v>uniform</x:v>
      </x:c>
      <x:c r="W240" s="42" t="n">
        <x:v>95</x:v>
      </x:c>
      <x:c r="X240" s="48" t="n">
        <x:v>0.95</x:v>
      </x:c>
      <x:c r="Y240" s="48" t="n">
        <x:v>0.9497596976475956</x:v>
      </x:c>
      <x:c r="Z240" s="45" t="b">
        <x:v>1</x:v>
      </x:c>
      <x:c r="AA240" s="43" t="n">
        <x:v>10000</x:v>
      </x:c>
      <x:c r="AB240" s="43" t="n">
        <x:v>9900</x:v>
      </x:c>
      <x:c r="AC240" s="43" t="n">
        <x:v>10000</x:v>
      </x:c>
      <x:c r="AD240" s="45" t="b">
        <x:v>1</x:v>
      </x:c>
      <x:c r="AE240" s="43" t="n">
        <x:v>9900</x:v>
      </x:c>
      <x:c r="AF240" s="43"/>
      <x:c r="AG240" s="43" t="n">
        <x:v>10000</x:v>
      </x:c>
      <x:c r="AH240" s="45" t="b">
        <x:v>1</x:v>
      </x:c>
      <x:c r="AI240" s="45" t="b">
        <x:v>1</x:v>
      </x:c>
      <x:c r="AJ240" s="49"/>
      <x:c r="AK240" s="48" t="n">
        <x:v>0.9497596976475956</x:v>
      </x:c>
      <x:c r="AL240" s="49"/>
      <x:c r="AM240" s="49"/>
      <x:c r="AN240" s="36" t="n">
        <x:v>1</x:v>
      </x:c>
      <x:c r="AO240" s="45" t="b">
        <x:v>1</x:v>
      </x:c>
      <x:c r="AP240" s="45" t="b">
        <x:v>1</x:v>
      </x:c>
      <x:c r="AQ240" s="46" t="n">
        <x:f>IF(T240="","",T240/'Readme-Protocol'!$B$24)</x:f>
        <x:v>5.00257032</x:v>
      </x:c>
      <x:c r="AR240" s="46" t="n">
        <x:f>IF(OR(S240="",S240=0),"",T240/S240)</x:f>
        <x:v>1.000514064</x:v>
      </x:c>
      <x:c r="AS240" s="46" t="n">
        <x:f>IF(OR(X240="",Y240=""),"",ABS(Y240-X240)*'Readme-Protocol'!$B$27)</x:f>
        <x:v>0.02403023524043535</x:v>
      </x:c>
      <x:c r="AT240" s="49" t="b">
        <x:f>AND(M240&gt;0,N240&gt;=0,O240&gt;0)</x:f>
        <x:v>1</x:v>
      </x:c>
      <x:c r="AU240" s="49" t="b">
        <x:f>AND(AT240,N240&gt;=M240)</x:f>
        <x:v>1</x:v>
      </x:c>
      <x:c r="AV240" s="49" t="b">
        <x:f>OR(S240=0,T240&gt;=S240)</x:f>
        <x:v>1</x:v>
      </x:c>
      <x:c r="AW240" s="49" t="b">
        <x:f>IF(I240="cache-semantics",OR(V240&lt;&gt;"uniform",ABS(Y240-W240/'Readme-Protocol'!$B$27)&lt;='Readme-Protocol'!$B$28),TRUE)</x:f>
        <x:v>1</x:v>
      </x:c>
      <x:c r="AX240" s="43" t="n">
        <x:f>IF(I240="cache-semantics",INT(AA240*'Readme-Protocol'!$B$32),"")</x:f>
        <x:v>9900</x:v>
      </x:c>
      <x:c r="AY240" s="49" t="b">
        <x:f>IF(I240="cache-semantics",AX240=AB240,TRUE)</x:f>
        <x:v>1</x:v>
      </x:c>
      <x:c r="AZ240" s="49" t="b">
        <x:f>IF(I240="cache-semantics",AX240=AE240,TRUE)</x:f>
        <x:v>1</x:v>
      </x:c>
      <x:c r="BA240" s="49" t="b">
        <x:f>IF(I240="cache-semantics",AC240&gt;=AX240,IF(I240="no-store-control",AC240=0,FALSE))</x:f>
        <x:v>1</x:v>
      </x:c>
      <x:c r="BB240" s="49" t="b">
        <x:f>IF(I240="cache-semantics",AG240&gt;=AX240,IF(I240="no-store-control",AG240=0,FALSE))</x:f>
        <x:v>1</x:v>
      </x:c>
      <x:c r="BC240" s="49" t="b">
        <x:f>AND(BA240,BB240)</x:f>
        <x:v>1</x:v>
      </x:c>
      <x:c r="BD240" s="49" t="b">
        <x:f>IF(I240="no-store-control",AND(AC240=0,AG240=0),TRUE)</x:f>
        <x:v>1</x:v>
      </x:c>
      <x:c r="BE240" s="49" t="b">
        <x:f>IF(I240="no-store-control",AK240=0,TRUE)</x:f>
        <x:v>1</x:v>
      </x:c>
      <x:c r="BF240" s="49" t="b">
        <x:f>IF(I240="cache-semantics",AN240=1,TRUE)</x:f>
        <x:v>1</x:v>
      </x:c>
      <x:c r="BG240" s="49" t="b">
        <x:f>IF(I240="cache-semantics",AND(AU240,AV240,Q240,AW240,BC240,BF240),IF(I240="no-store-control",AND(AU240,AV240,Q240,BD240,BE240),FALSE))</x:f>
        <x:v>1</x:v>
      </x:c>
      <x:c r="BH240" s="49" t="b">
        <x:f>AND(R240,AT240=P240,AU240=L240,AV240=U240,AY240,AZ240,IF(I240="cache-semantics",AND(AW240=Z240,AND(BA240=AD240,BB240=AH240,BC240=AI240),BF240=AO240),IF(I240="no-store-control",AND(AND(BA240=AD240,BB240=AH240,BC240=AI240),BD240=AJ240,BE240=AL240),FALSE)),BG240=AP240)</x:f>
        <x:v>1</x:v>
      </x:c>
      <x:c r="BI240" s="49" t="b">
        <x:f>AND(J240,K240,BG240)</x:f>
        <x:v>1</x:v>
      </x:c>
    </x:row>
    <x:row r="241">
      <x:c r="A241" s="34" t="str">
        <x:v>article1-unified-v4-2-fb3f101b-20260903-000401-default-f04-p6-caffeine</x:v>
      </x:c>
      <x:c r="B241" s="34" t="str">
        <x:v>default</x:v>
      </x:c>
      <x:c r="C241" s="34" t="str">
        <x:v>caffeine</x:v>
      </x:c>
      <x:c r="D241" s="36" t="n">
        <x:v>4</x:v>
      </x:c>
      <x:c r="E241" s="36" t="n">
        <x:v>4</x:v>
      </x:c>
      <x:c r="F241" s="36" t="n">
        <x:v>6</x:v>
      </x:c>
      <x:c r="G241" s="36" t="n">
        <x:v>5</x:v>
      </x:c>
      <x:c r="H241" s="34" t="str">
        <x:v>redeploy</x:v>
      </x:c>
      <x:c r="I241" s="34" t="str">
        <x:v>cache-semantics</x:v>
      </x:c>
      <x:c r="J241" s="45" t="b">
        <x:v>1</x:v>
      </x:c>
      <x:c r="K241" s="45" t="b">
        <x:v>1</x:v>
      </x:c>
      <x:c r="L241" s="45" t="b">
        <x:v>1</x:v>
      </x:c>
      <x:c r="M241" s="43" t="n">
        <x:v>400000</x:v>
      </x:c>
      <x:c r="N241" s="43" t="n">
        <x:v>136412416</x:v>
      </x:c>
      <x:c r="O241" s="43" t="n">
        <x:v>27269294.98359024</x:v>
      </x:c>
      <x:c r="P241" s="45" t="b">
        <x:v>1</x:v>
      </x:c>
      <x:c r="Q241" s="45" t="b">
        <x:v>1</x:v>
      </x:c>
      <x:c r="R241" s="45" t="b">
        <x:v>1</x:v>
      </x:c>
      <x:c r="S241" s="43" t="n">
        <x:v>5000000000</x:v>
      </x:c>
      <x:c r="T241" s="43" t="n">
        <x:v>5002418144</x:v>
      </x:c>
      <x:c r="U241" s="45" t="b">
        <x:v>1</x:v>
      </x:c>
      <x:c r="V241" s="34" t="str">
        <x:v>uniform</x:v>
      </x:c>
      <x:c r="W241" s="42" t="n">
        <x:v>95</x:v>
      </x:c>
      <x:c r="X241" s="48" t="n">
        <x:v>0.95</x:v>
      </x:c>
      <x:c r="Y241" s="48" t="n">
        <x:v>0.9497833540313515</x:v>
      </x:c>
      <x:c r="Z241" s="45" t="b">
        <x:v>1</x:v>
      </x:c>
      <x:c r="AA241" s="43" t="n">
        <x:v>10000</x:v>
      </x:c>
      <x:c r="AB241" s="43" t="n">
        <x:v>9900</x:v>
      </x:c>
      <x:c r="AC241" s="43" t="n">
        <x:v>10000</x:v>
      </x:c>
      <x:c r="AD241" s="45" t="b">
        <x:v>1</x:v>
      </x:c>
      <x:c r="AE241" s="43" t="n">
        <x:v>9900</x:v>
      </x:c>
      <x:c r="AF241" s="43"/>
      <x:c r="AG241" s="43" t="n">
        <x:v>10000</x:v>
      </x:c>
      <x:c r="AH241" s="45" t="b">
        <x:v>1</x:v>
      </x:c>
      <x:c r="AI241" s="45" t="b">
        <x:v>1</x:v>
      </x:c>
      <x:c r="AJ241" s="49"/>
      <x:c r="AK241" s="48" t="n">
        <x:v>0.9497833540313515</x:v>
      </x:c>
      <x:c r="AL241" s="49"/>
      <x:c r="AM241" s="49"/>
      <x:c r="AN241" s="36" t="n">
        <x:v>1</x:v>
      </x:c>
      <x:c r="AO241" s="45" t="b">
        <x:v>1</x:v>
      </x:c>
      <x:c r="AP241" s="45" t="b">
        <x:v>1</x:v>
      </x:c>
      <x:c r="AQ241" s="46" t="n">
        <x:f>IF(T241="","",T241/'Readme-Protocol'!$B$24)</x:f>
        <x:v>5.002418144</x:v>
      </x:c>
      <x:c r="AR241" s="46" t="n">
        <x:f>IF(OR(S241="",S241=0),"",T241/S241)</x:f>
        <x:v>1.0004836288</x:v>
      </x:c>
      <x:c r="AS241" s="46" t="n">
        <x:f>IF(OR(X241="",Y241=""),"",ABS(Y241-X241)*'Readme-Protocol'!$B$27)</x:f>
        <x:v>0.021664596864845453</x:v>
      </x:c>
      <x:c r="AT241" s="49" t="b">
        <x:f>AND(M241&gt;0,N241&gt;=0,O241&gt;0)</x:f>
        <x:v>1</x:v>
      </x:c>
      <x:c r="AU241" s="49" t="b">
        <x:f>AND(AT241,N241&gt;=M241)</x:f>
        <x:v>1</x:v>
      </x:c>
      <x:c r="AV241" s="49" t="b">
        <x:f>OR(S241=0,T241&gt;=S241)</x:f>
        <x:v>1</x:v>
      </x:c>
      <x:c r="AW241" s="49" t="b">
        <x:f>IF(I241="cache-semantics",OR(V241&lt;&gt;"uniform",ABS(Y241-W241/'Readme-Protocol'!$B$27)&lt;='Readme-Protocol'!$B$28),TRUE)</x:f>
        <x:v>1</x:v>
      </x:c>
      <x:c r="AX241" s="43" t="n">
        <x:f>IF(I241="cache-semantics",INT(AA241*'Readme-Protocol'!$B$32),"")</x:f>
        <x:v>9900</x:v>
      </x:c>
      <x:c r="AY241" s="49" t="b">
        <x:f>IF(I241="cache-semantics",AX241=AB241,TRUE)</x:f>
        <x:v>1</x:v>
      </x:c>
      <x:c r="AZ241" s="49" t="b">
        <x:f>IF(I241="cache-semantics",AX241=AE241,TRUE)</x:f>
        <x:v>1</x:v>
      </x:c>
      <x:c r="BA241" s="49" t="b">
        <x:f>IF(I241="cache-semantics",AC241&gt;=AX241,IF(I241="no-store-control",AC241=0,FALSE))</x:f>
        <x:v>1</x:v>
      </x:c>
      <x:c r="BB241" s="49" t="b">
        <x:f>IF(I241="cache-semantics",AG241&gt;=AX241,IF(I241="no-store-control",AG241=0,FALSE))</x:f>
        <x:v>1</x:v>
      </x:c>
      <x:c r="BC241" s="49" t="b">
        <x:f>AND(BA241,BB241)</x:f>
        <x:v>1</x:v>
      </x:c>
      <x:c r="BD241" s="49" t="b">
        <x:f>IF(I241="no-store-control",AND(AC241=0,AG241=0),TRUE)</x:f>
        <x:v>1</x:v>
      </x:c>
      <x:c r="BE241" s="49" t="b">
        <x:f>IF(I241="no-store-control",AK241=0,TRUE)</x:f>
        <x:v>1</x:v>
      </x:c>
      <x:c r="BF241" s="49" t="b">
        <x:f>IF(I241="cache-semantics",AN241=1,TRUE)</x:f>
        <x:v>1</x:v>
      </x:c>
      <x:c r="BG241" s="49" t="b">
        <x:f>IF(I241="cache-semantics",AND(AU241,AV241,Q241,AW241,BC241,BF241),IF(I241="no-store-control",AND(AU241,AV241,Q241,BD241,BE241),FALSE))</x:f>
        <x:v>1</x:v>
      </x:c>
      <x:c r="BH241" s="49" t="b">
        <x:f>AND(R241,AT241=P241,AU241=L241,AV241=U241,AY241,AZ241,IF(I241="cache-semantics",AND(AW241=Z241,AND(BA241=AD241,BB241=AH241,BC241=AI241),BF241=AO241),IF(I241="no-store-control",AND(AND(BA241=AD241,BB241=AH241,BC241=AI241),BD241=AJ241,BE241=AL241),FALSE)),BG241=AP241)</x:f>
        <x:v>1</x:v>
      </x:c>
      <x:c r="BI241" s="49" t="b">
        <x:f>AND(J241,K241,BG241)</x:f>
        <x:v>1</x:v>
      </x:c>
    </x:row>
    <x:row r="242">
      <x:c r="A242" s="34" t="str">
        <x:v>article1-unified-v4-2-fb3f101b-20260903-000401-default-f05-p1-jcs321</x:v>
      </x:c>
      <x:c r="B242" s="34" t="str">
        <x:v>default</x:v>
      </x:c>
      <x:c r="C242" s="34" t="str">
        <x:v>jcs321</x:v>
      </x:c>
      <x:c r="D242" s="36" t="n">
        <x:v>5</x:v>
      </x:c>
      <x:c r="E242" s="36" t="n">
        <x:v>5</x:v>
      </x:c>
      <x:c r="F242" s="36" t="n">
        <x:v>1</x:v>
      </x:c>
      <x:c r="G242" s="36" t="n">
        <x:v>1</x:v>
      </x:c>
      <x:c r="H242" s="34" t="str">
        <x:v>initial</x:v>
      </x:c>
      <x:c r="I242" s="34" t="str">
        <x:v>cache-semantics</x:v>
      </x:c>
      <x:c r="J242" s="45" t="b">
        <x:v>1</x:v>
      </x:c>
      <x:c r="K242" s="45" t="b">
        <x:v>0</x:v>
      </x:c>
      <x:c r="L242" s="45" t="b">
        <x:v>1</x:v>
      </x:c>
      <x:c r="M242" s="43" t="n">
        <x:v>400000</x:v>
      </x:c>
      <x:c r="N242" s="43" t="n">
        <x:v>15475200</x:v>
      </x:c>
      <x:c r="O242" s="43" t="n">
        <x:v>3094517.2834240356</x:v>
      </x:c>
      <x:c r="P242" s="45" t="b">
        <x:v>1</x:v>
      </x:c>
      <x:c r="Q242" s="45" t="b">
        <x:v>1</x:v>
      </x:c>
      <x:c r="R242" s="45" t="b">
        <x:v>1</x:v>
      </x:c>
      <x:c r="S242" s="43" t="n">
        <x:v>5000000000</x:v>
      </x:c>
      <x:c r="T242" s="43" t="n">
        <x:v>5000844585</x:v>
      </x:c>
      <x:c r="U242" s="45" t="b">
        <x:v>1</x:v>
      </x:c>
      <x:c r="V242" s="34" t="str">
        <x:v>uniform</x:v>
      </x:c>
      <x:c r="W242" s="42" t="n">
        <x:v>95</x:v>
      </x:c>
      <x:c r="X242" s="48" t="n">
        <x:v>0.95</x:v>
      </x:c>
      <x:c r="Y242" s="48" t="n">
        <x:v>0.9502992529983457</x:v>
      </x:c>
      <x:c r="Z242" s="45" t="b">
        <x:v>1</x:v>
      </x:c>
      <x:c r="AA242" s="43" t="n">
        <x:v>10000</x:v>
      </x:c>
      <x:c r="AB242" s="43" t="n">
        <x:v>9900</x:v>
      </x:c>
      <x:c r="AC242" s="43" t="n">
        <x:v>10000</x:v>
      </x:c>
      <x:c r="AD242" s="45" t="b">
        <x:v>1</x:v>
      </x:c>
      <x:c r="AE242" s="43" t="n">
        <x:v>9900</x:v>
      </x:c>
      <x:c r="AF242" s="43"/>
      <x:c r="AG242" s="43" t="n">
        <x:v>10000</x:v>
      </x:c>
      <x:c r="AH242" s="45" t="b">
        <x:v>1</x:v>
      </x:c>
      <x:c r="AI242" s="45" t="b">
        <x:v>1</x:v>
      </x:c>
      <x:c r="AJ242" s="49"/>
      <x:c r="AK242" s="48" t="n">
        <x:v>0.9502992529983457</x:v>
      </x:c>
      <x:c r="AL242" s="49"/>
      <x:c r="AM242" s="49"/>
      <x:c r="AN242" s="36" t="n">
        <x:v>1</x:v>
      </x:c>
      <x:c r="AO242" s="45" t="b">
        <x:v>1</x:v>
      </x:c>
      <x:c r="AP242" s="45" t="b">
        <x:v>1</x:v>
      </x:c>
      <x:c r="AQ242" s="46" t="n">
        <x:f>IF(T242="","",T242/'Readme-Protocol'!$B$24)</x:f>
        <x:v>5.000844585</x:v>
      </x:c>
      <x:c r="AR242" s="46" t="n">
        <x:f>IF(OR(S242="",S242=0),"",T242/S242)</x:f>
        <x:v>1.000168917</x:v>
      </x:c>
      <x:c r="AS242" s="46" t="n">
        <x:f>IF(OR(X242="",Y242=""),"",ABS(Y242-X242)*'Readme-Protocol'!$B$27)</x:f>
        <x:v>0.029925299834576702</x:v>
      </x:c>
      <x:c r="AT242" s="49" t="b">
        <x:f>AND(M242&gt;0,N242&gt;=0,O242&gt;0)</x:f>
        <x:v>1</x:v>
      </x:c>
      <x:c r="AU242" s="49" t="b">
        <x:f>AND(AT242,N242&gt;=M242)</x:f>
        <x:v>1</x:v>
      </x:c>
      <x:c r="AV242" s="49" t="b">
        <x:f>OR(S242=0,T242&gt;=S242)</x:f>
        <x:v>1</x:v>
      </x:c>
      <x:c r="AW242" s="49" t="b">
        <x:f>IF(I242="cache-semantics",OR(V242&lt;&gt;"uniform",ABS(Y242-W242/'Readme-Protocol'!$B$27)&lt;='Readme-Protocol'!$B$28),TRUE)</x:f>
        <x:v>1</x:v>
      </x:c>
      <x:c r="AX242" s="43" t="n">
        <x:f>IF(I242="cache-semantics",INT(AA242*'Readme-Protocol'!$B$32),"")</x:f>
        <x:v>9900</x:v>
      </x:c>
      <x:c r="AY242" s="49" t="b">
        <x:f>IF(I242="cache-semantics",AX242=AB242,TRUE)</x:f>
        <x:v>1</x:v>
      </x:c>
      <x:c r="AZ242" s="49" t="b">
        <x:f>IF(I242="cache-semantics",AX242=AE242,TRUE)</x:f>
        <x:v>1</x:v>
      </x:c>
      <x:c r="BA242" s="49" t="b">
        <x:f>IF(I242="cache-semantics",AC242&gt;=AX242,IF(I242="no-store-control",AC242=0,FALSE))</x:f>
        <x:v>1</x:v>
      </x:c>
      <x:c r="BB242" s="49" t="b">
        <x:f>IF(I242="cache-semantics",AG242&gt;=AX242,IF(I242="no-store-control",AG242=0,FALSE))</x:f>
        <x:v>1</x:v>
      </x:c>
      <x:c r="BC242" s="49" t="b">
        <x:f>AND(BA242,BB242)</x:f>
        <x:v>1</x:v>
      </x:c>
      <x:c r="BD242" s="49" t="b">
        <x:f>IF(I242="no-store-control",AND(AC242=0,AG242=0),TRUE)</x:f>
        <x:v>1</x:v>
      </x:c>
      <x:c r="BE242" s="49" t="b">
        <x:f>IF(I242="no-store-control",AK242=0,TRUE)</x:f>
        <x:v>1</x:v>
      </x:c>
      <x:c r="BF242" s="49" t="b">
        <x:f>IF(I242="cache-semantics",AN242=1,TRUE)</x:f>
        <x:v>1</x:v>
      </x:c>
      <x:c r="BG242" s="49" t="b">
        <x:f>IF(I242="cache-semantics",AND(AU242,AV242,Q242,AW242,BC242,BF242),IF(I242="no-store-control",AND(AU242,AV242,Q242,BD242,BE242),FALSE))</x:f>
        <x:v>1</x:v>
      </x:c>
      <x:c r="BH242" s="49" t="b">
        <x:f>AND(R242,AT242=P242,AU242=L242,AV242=U242,AY242,AZ242,IF(I242="cache-semantics",AND(AW242=Z242,AND(BA242=AD242,BB242=AH242,BC242=AI242),BF242=AO242),IF(I242="no-store-control",AND(AND(BA242=AD242,BB242=AH242,BC242=AI242),BD242=AJ242,BE242=AL242),FALSE)),BG242=AP242)</x:f>
        <x:v>1</x:v>
      </x:c>
      <x:c r="BI242" s="49" t="b">
        <x:f>AND(J242,K242,BG242)</x:f>
        <x:v>0</x:v>
      </x:c>
    </x:row>
    <x:row r="243">
      <x:c r="A243" s="34" t="str">
        <x:v>article1-unified-v4-2-fb3f101b-20260903-000401-default-f05-p1-jcs321</x:v>
      </x:c>
      <x:c r="B243" s="34" t="str">
        <x:v>default</x:v>
      </x:c>
      <x:c r="C243" s="34" t="str">
        <x:v>jcs321</x:v>
      </x:c>
      <x:c r="D243" s="36" t="n">
        <x:v>5</x:v>
      </x:c>
      <x:c r="E243" s="36" t="n">
        <x:v>5</x:v>
      </x:c>
      <x:c r="F243" s="36" t="n">
        <x:v>1</x:v>
      </x:c>
      <x:c r="G243" s="36" t="n">
        <x:v>1</x:v>
      </x:c>
      <x:c r="H243" s="34" t="str">
        <x:v>redeploy</x:v>
      </x:c>
      <x:c r="I243" s="34" t="str">
        <x:v>cache-semantics</x:v>
      </x:c>
      <x:c r="J243" s="45" t="b">
        <x:v>1</x:v>
      </x:c>
      <x:c r="K243" s="45" t="b">
        <x:v>0</x:v>
      </x:c>
      <x:c r="L243" s="45" t="b">
        <x:v>1</x:v>
      </x:c>
      <x:c r="M243" s="43" t="n">
        <x:v>400000</x:v>
      </x:c>
      <x:c r="N243" s="43" t="n">
        <x:v>10842880</x:v>
      </x:c>
      <x:c r="O243" s="43" t="n">
        <x:v>2168123.3626200845</x:v>
      </x:c>
      <x:c r="P243" s="45" t="b">
        <x:v>1</x:v>
      </x:c>
      <x:c r="Q243" s="45" t="b">
        <x:v>1</x:v>
      </x:c>
      <x:c r="R243" s="45" t="b">
        <x:v>1</x:v>
      </x:c>
      <x:c r="S243" s="43" t="n">
        <x:v>5000000000</x:v>
      </x:c>
      <x:c r="T243" s="43" t="n">
        <x:v>5001043846</x:v>
      </x:c>
      <x:c r="U243" s="45" t="b">
        <x:v>1</x:v>
      </x:c>
      <x:c r="V243" s="34" t="str">
        <x:v>uniform</x:v>
      </x:c>
      <x:c r="W243" s="42" t="n">
        <x:v>95</x:v>
      </x:c>
      <x:c r="X243" s="48" t="n">
        <x:v>0.95</x:v>
      </x:c>
      <x:c r="Y243" s="48" t="n">
        <x:v>0.9503189189588006</x:v>
      </x:c>
      <x:c r="Z243" s="45" t="b">
        <x:v>1</x:v>
      </x:c>
      <x:c r="AA243" s="43" t="n">
        <x:v>10000</x:v>
      </x:c>
      <x:c r="AB243" s="43" t="n">
        <x:v>9900</x:v>
      </x:c>
      <x:c r="AC243" s="43" t="n">
        <x:v>10000</x:v>
      </x:c>
      <x:c r="AD243" s="45" t="b">
        <x:v>1</x:v>
      </x:c>
      <x:c r="AE243" s="43" t="n">
        <x:v>9900</x:v>
      </x:c>
      <x:c r="AF243" s="43"/>
      <x:c r="AG243" s="43" t="n">
        <x:v>10000</x:v>
      </x:c>
      <x:c r="AH243" s="45" t="b">
        <x:v>1</x:v>
      </x:c>
      <x:c r="AI243" s="45" t="b">
        <x:v>1</x:v>
      </x:c>
      <x:c r="AJ243" s="49"/>
      <x:c r="AK243" s="48" t="n">
        <x:v>0.9503189189588006</x:v>
      </x:c>
      <x:c r="AL243" s="49"/>
      <x:c r="AM243" s="49"/>
      <x:c r="AN243" s="36" t="n">
        <x:v>1</x:v>
      </x:c>
      <x:c r="AO243" s="45" t="b">
        <x:v>1</x:v>
      </x:c>
      <x:c r="AP243" s="45" t="b">
        <x:v>1</x:v>
      </x:c>
      <x:c r="AQ243" s="46" t="n">
        <x:f>IF(T243="","",T243/'Readme-Protocol'!$B$24)</x:f>
        <x:v>5.001043846</x:v>
      </x:c>
      <x:c r="AR243" s="46" t="n">
        <x:f>IF(OR(S243="",S243=0),"",T243/S243)</x:f>
        <x:v>1.0002087692</x:v>
      </x:c>
      <x:c r="AS243" s="46" t="n">
        <x:f>IF(OR(X243="",Y243=""),"",ABS(Y243-X243)*'Readme-Protocol'!$B$27)</x:f>
        <x:v>0.031891895880065135</x:v>
      </x:c>
      <x:c r="AT243" s="49" t="b">
        <x:f>AND(M243&gt;0,N243&gt;=0,O243&gt;0)</x:f>
        <x:v>1</x:v>
      </x:c>
      <x:c r="AU243" s="49" t="b">
        <x:f>AND(AT243,N243&gt;=M243)</x:f>
        <x:v>1</x:v>
      </x:c>
      <x:c r="AV243" s="49" t="b">
        <x:f>OR(S243=0,T243&gt;=S243)</x:f>
        <x:v>1</x:v>
      </x:c>
      <x:c r="AW243" s="49" t="b">
        <x:f>IF(I243="cache-semantics",OR(V243&lt;&gt;"uniform",ABS(Y243-W243/'Readme-Protocol'!$B$27)&lt;='Readme-Protocol'!$B$28),TRUE)</x:f>
        <x:v>1</x:v>
      </x:c>
      <x:c r="AX243" s="43" t="n">
        <x:f>IF(I243="cache-semantics",INT(AA243*'Readme-Protocol'!$B$32),"")</x:f>
        <x:v>9900</x:v>
      </x:c>
      <x:c r="AY243" s="49" t="b">
        <x:f>IF(I243="cache-semantics",AX243=AB243,TRUE)</x:f>
        <x:v>1</x:v>
      </x:c>
      <x:c r="AZ243" s="49" t="b">
        <x:f>IF(I243="cache-semantics",AX243=AE243,TRUE)</x:f>
        <x:v>1</x:v>
      </x:c>
      <x:c r="BA243" s="49" t="b">
        <x:f>IF(I243="cache-semantics",AC243&gt;=AX243,IF(I243="no-store-control",AC243=0,FALSE))</x:f>
        <x:v>1</x:v>
      </x:c>
      <x:c r="BB243" s="49" t="b">
        <x:f>IF(I243="cache-semantics",AG243&gt;=AX243,IF(I243="no-store-control",AG243=0,FALSE))</x:f>
        <x:v>1</x:v>
      </x:c>
      <x:c r="BC243" s="49" t="b">
        <x:f>AND(BA243,BB243)</x:f>
        <x:v>1</x:v>
      </x:c>
      <x:c r="BD243" s="49" t="b">
        <x:f>IF(I243="no-store-control",AND(AC243=0,AG243=0),TRUE)</x:f>
        <x:v>1</x:v>
      </x:c>
      <x:c r="BE243" s="49" t="b">
        <x:f>IF(I243="no-store-control",AK243=0,TRUE)</x:f>
        <x:v>1</x:v>
      </x:c>
      <x:c r="BF243" s="49" t="b">
        <x:f>IF(I243="cache-semantics",AN243=1,TRUE)</x:f>
        <x:v>1</x:v>
      </x:c>
      <x:c r="BG243" s="49" t="b">
        <x:f>IF(I243="cache-semantics",AND(AU243,AV243,Q243,AW243,BC243,BF243),IF(I243="no-store-control",AND(AU243,AV243,Q243,BD243,BE243),FALSE))</x:f>
        <x:v>1</x:v>
      </x:c>
      <x:c r="BH243" s="49" t="b">
        <x:f>AND(R243,AT243=P243,AU243=L243,AV243=U243,AY243,AZ243,IF(I243="cache-semantics",AND(AW243=Z243,AND(BA243=AD243,BB243=AH243,BC243=AI243),BF243=AO243),IF(I243="no-store-control",AND(AND(BA243=AD243,BB243=AH243,BC243=AI243),BD243=AJ243,BE243=AL243),FALSE)),BG243=AP243)</x:f>
        <x:v>1</x:v>
      </x:c>
      <x:c r="BI243" s="49" t="b">
        <x:f>AND(J243,K243,BG243)</x:f>
        <x:v>0</x:v>
      </x:c>
    </x:row>
    <x:row r="244">
      <x:c r="A244" s="34" t="str">
        <x:v>article1-unified-v4-2-fb3f101b-20260903-000401-default-f05-p1-jcs321</x:v>
      </x:c>
      <x:c r="B244" s="34" t="str">
        <x:v>default</x:v>
      </x:c>
      <x:c r="C244" s="34" t="str">
        <x:v>jcs321</x:v>
      </x:c>
      <x:c r="D244" s="36" t="n">
        <x:v>5</x:v>
      </x:c>
      <x:c r="E244" s="36" t="n">
        <x:v>5</x:v>
      </x:c>
      <x:c r="F244" s="36" t="n">
        <x:v>1</x:v>
      </x:c>
      <x:c r="G244" s="36" t="n">
        <x:v>2</x:v>
      </x:c>
      <x:c r="H244" s="34" t="str">
        <x:v>initial</x:v>
      </x:c>
      <x:c r="I244" s="34" t="str">
        <x:v>cache-semantics</x:v>
      </x:c>
      <x:c r="J244" s="45" t="b">
        <x:v>1</x:v>
      </x:c>
      <x:c r="K244" s="45" t="b">
        <x:v>0</x:v>
      </x:c>
      <x:c r="L244" s="45" t="b">
        <x:v>1</x:v>
      </x:c>
      <x:c r="M244" s="43" t="n">
        <x:v>400000</x:v>
      </x:c>
      <x:c r="N244" s="43" t="n">
        <x:v>14799616</x:v>
      </x:c>
      <x:c r="O244" s="43" t="n">
        <x:v>2959560.9822909385</x:v>
      </x:c>
      <x:c r="P244" s="45" t="b">
        <x:v>1</x:v>
      </x:c>
      <x:c r="Q244" s="45" t="b">
        <x:v>1</x:v>
      </x:c>
      <x:c r="R244" s="45" t="b">
        <x:v>1</x:v>
      </x:c>
      <x:c r="S244" s="43" t="n">
        <x:v>5000000000</x:v>
      </x:c>
      <x:c r="T244" s="43" t="n">
        <x:v>5000611945</x:v>
      </x:c>
      <x:c r="U244" s="45" t="b">
        <x:v>1</x:v>
      </x:c>
      <x:c r="V244" s="34" t="str">
        <x:v>uniform</x:v>
      </x:c>
      <x:c r="W244" s="42" t="n">
        <x:v>95</x:v>
      </x:c>
      <x:c r="X244" s="48" t="n">
        <x:v>0.95</x:v>
      </x:c>
      <x:c r="Y244" s="48" t="n">
        <x:v>0.9504098619856083</x:v>
      </x:c>
      <x:c r="Z244" s="45" t="b">
        <x:v>1</x:v>
      </x:c>
      <x:c r="AA244" s="43" t="n">
        <x:v>10000</x:v>
      </x:c>
      <x:c r="AB244" s="43" t="n">
        <x:v>9900</x:v>
      </x:c>
      <x:c r="AC244" s="43" t="n">
        <x:v>10000</x:v>
      </x:c>
      <x:c r="AD244" s="45" t="b">
        <x:v>1</x:v>
      </x:c>
      <x:c r="AE244" s="43" t="n">
        <x:v>9900</x:v>
      </x:c>
      <x:c r="AF244" s="43"/>
      <x:c r="AG244" s="43" t="n">
        <x:v>10000</x:v>
      </x:c>
      <x:c r="AH244" s="45" t="b">
        <x:v>1</x:v>
      </x:c>
      <x:c r="AI244" s="45" t="b">
        <x:v>1</x:v>
      </x:c>
      <x:c r="AJ244" s="49"/>
      <x:c r="AK244" s="48" t="n">
        <x:v>0.9504098619856083</x:v>
      </x:c>
      <x:c r="AL244" s="49"/>
      <x:c r="AM244" s="49"/>
      <x:c r="AN244" s="36" t="n">
        <x:v>1</x:v>
      </x:c>
      <x:c r="AO244" s="45" t="b">
        <x:v>1</x:v>
      </x:c>
      <x:c r="AP244" s="45" t="b">
        <x:v>1</x:v>
      </x:c>
      <x:c r="AQ244" s="46" t="n">
        <x:f>IF(T244="","",T244/'Readme-Protocol'!$B$24)</x:f>
        <x:v>5.000611945</x:v>
      </x:c>
      <x:c r="AR244" s="46" t="n">
        <x:f>IF(OR(S244="",S244=0),"",T244/S244)</x:f>
        <x:v>1.000122389</x:v>
      </x:c>
      <x:c r="AS244" s="46" t="n">
        <x:f>IF(OR(X244="",Y244=""),"",ABS(Y244-X244)*'Readme-Protocol'!$B$27)</x:f>
        <x:v>0.040986198560832854</x:v>
      </x:c>
      <x:c r="AT244" s="49" t="b">
        <x:f>AND(M244&gt;0,N244&gt;=0,O244&gt;0)</x:f>
        <x:v>1</x:v>
      </x:c>
      <x:c r="AU244" s="49" t="b">
        <x:f>AND(AT244,N244&gt;=M244)</x:f>
        <x:v>1</x:v>
      </x:c>
      <x:c r="AV244" s="49" t="b">
        <x:f>OR(S244=0,T244&gt;=S244)</x:f>
        <x:v>1</x:v>
      </x:c>
      <x:c r="AW244" s="49" t="b">
        <x:f>IF(I244="cache-semantics",OR(V244&lt;&gt;"uniform",ABS(Y244-W244/'Readme-Protocol'!$B$27)&lt;='Readme-Protocol'!$B$28),TRUE)</x:f>
        <x:v>1</x:v>
      </x:c>
      <x:c r="AX244" s="43" t="n">
        <x:f>IF(I244="cache-semantics",INT(AA244*'Readme-Protocol'!$B$32),"")</x:f>
        <x:v>9900</x:v>
      </x:c>
      <x:c r="AY244" s="49" t="b">
        <x:f>IF(I244="cache-semantics",AX244=AB244,TRUE)</x:f>
        <x:v>1</x:v>
      </x:c>
      <x:c r="AZ244" s="49" t="b">
        <x:f>IF(I244="cache-semantics",AX244=AE244,TRUE)</x:f>
        <x:v>1</x:v>
      </x:c>
      <x:c r="BA244" s="49" t="b">
        <x:f>IF(I244="cache-semantics",AC244&gt;=AX244,IF(I244="no-store-control",AC244=0,FALSE))</x:f>
        <x:v>1</x:v>
      </x:c>
      <x:c r="BB244" s="49" t="b">
        <x:f>IF(I244="cache-semantics",AG244&gt;=AX244,IF(I244="no-store-control",AG244=0,FALSE))</x:f>
        <x:v>1</x:v>
      </x:c>
      <x:c r="BC244" s="49" t="b">
        <x:f>AND(BA244,BB244)</x:f>
        <x:v>1</x:v>
      </x:c>
      <x:c r="BD244" s="49" t="b">
        <x:f>IF(I244="no-store-control",AND(AC244=0,AG244=0),TRUE)</x:f>
        <x:v>1</x:v>
      </x:c>
      <x:c r="BE244" s="49" t="b">
        <x:f>IF(I244="no-store-control",AK244=0,TRUE)</x:f>
        <x:v>1</x:v>
      </x:c>
      <x:c r="BF244" s="49" t="b">
        <x:f>IF(I244="cache-semantics",AN244=1,TRUE)</x:f>
        <x:v>1</x:v>
      </x:c>
      <x:c r="BG244" s="49" t="b">
        <x:f>IF(I244="cache-semantics",AND(AU244,AV244,Q244,AW244,BC244,BF244),IF(I244="no-store-control",AND(AU244,AV244,Q244,BD244,BE244),FALSE))</x:f>
        <x:v>1</x:v>
      </x:c>
      <x:c r="BH244" s="49" t="b">
        <x:f>AND(R244,AT244=P244,AU244=L244,AV244=U244,AY244,AZ244,IF(I244="cache-semantics",AND(AW244=Z244,AND(BA244=AD244,BB244=AH244,BC244=AI244),BF244=AO244),IF(I244="no-store-control",AND(AND(BA244=AD244,BB244=AH244,BC244=AI244),BD244=AJ244,BE244=AL244),FALSE)),BG244=AP244)</x:f>
        <x:v>1</x:v>
      </x:c>
      <x:c r="BI244" s="49" t="b">
        <x:f>AND(J244,K244,BG244)</x:f>
        <x:v>0</x:v>
      </x:c>
    </x:row>
    <x:row r="245">
      <x:c r="A245" s="34" t="str">
        <x:v>article1-unified-v4-2-fb3f101b-20260903-000401-default-f05-p1-jcs321</x:v>
      </x:c>
      <x:c r="B245" s="34" t="str">
        <x:v>default</x:v>
      </x:c>
      <x:c r="C245" s="34" t="str">
        <x:v>jcs321</x:v>
      </x:c>
      <x:c r="D245" s="36" t="n">
        <x:v>5</x:v>
      </x:c>
      <x:c r="E245" s="36" t="n">
        <x:v>5</x:v>
      </x:c>
      <x:c r="F245" s="36" t="n">
        <x:v>1</x:v>
      </x:c>
      <x:c r="G245" s="36" t="n">
        <x:v>2</x:v>
      </x:c>
      <x:c r="H245" s="34" t="str">
        <x:v>redeploy</x:v>
      </x:c>
      <x:c r="I245" s="34" t="str">
        <x:v>cache-semantics</x:v>
      </x:c>
      <x:c r="J245" s="45" t="b">
        <x:v>1</x:v>
      </x:c>
      <x:c r="K245" s="45" t="b">
        <x:v>0</x:v>
      </x:c>
      <x:c r="L245" s="45" t="b">
        <x:v>1</x:v>
      </x:c>
      <x:c r="M245" s="43" t="n">
        <x:v>400000</x:v>
      </x:c>
      <x:c r="N245" s="43" t="n">
        <x:v>15182080</x:v>
      </x:c>
      <x:c r="O245" s="43" t="n">
        <x:v>3036131.3651134255</x:v>
      </x:c>
      <x:c r="P245" s="45" t="b">
        <x:v>1</x:v>
      </x:c>
      <x:c r="Q245" s="45" t="b">
        <x:v>1</x:v>
      </x:c>
      <x:c r="R245" s="45" t="b">
        <x:v>1</x:v>
      </x:c>
      <x:c r="S245" s="43" t="n">
        <x:v>5000000000</x:v>
      </x:c>
      <x:c r="T245" s="43" t="n">
        <x:v>5000468746</x:v>
      </x:c>
      <x:c r="U245" s="45" t="b">
        <x:v>1</x:v>
      </x:c>
      <x:c r="V245" s="34" t="str">
        <x:v>uniform</x:v>
      </x:c>
      <x:c r="W245" s="42" t="n">
        <x:v>95</x:v>
      </x:c>
      <x:c r="X245" s="48" t="n">
        <x:v>0.95</x:v>
      </x:c>
      <x:c r="Y245" s="48" t="n">
        <x:v>0.9504042924289688</x:v>
      </x:c>
      <x:c r="Z245" s="45" t="b">
        <x:v>1</x:v>
      </x:c>
      <x:c r="AA245" s="43" t="n">
        <x:v>10000</x:v>
      </x:c>
      <x:c r="AB245" s="43" t="n">
        <x:v>9900</x:v>
      </x:c>
      <x:c r="AC245" s="43" t="n">
        <x:v>10000</x:v>
      </x:c>
      <x:c r="AD245" s="45" t="b">
        <x:v>1</x:v>
      </x:c>
      <x:c r="AE245" s="43" t="n">
        <x:v>9900</x:v>
      </x:c>
      <x:c r="AF245" s="43"/>
      <x:c r="AG245" s="43" t="n">
        <x:v>10000</x:v>
      </x:c>
      <x:c r="AH245" s="45" t="b">
        <x:v>1</x:v>
      </x:c>
      <x:c r="AI245" s="45" t="b">
        <x:v>1</x:v>
      </x:c>
      <x:c r="AJ245" s="49"/>
      <x:c r="AK245" s="48" t="n">
        <x:v>0.9504042924289688</x:v>
      </x:c>
      <x:c r="AL245" s="49"/>
      <x:c r="AM245" s="49"/>
      <x:c r="AN245" s="36" t="n">
        <x:v>1</x:v>
      </x:c>
      <x:c r="AO245" s="45" t="b">
        <x:v>1</x:v>
      </x:c>
      <x:c r="AP245" s="45" t="b">
        <x:v>1</x:v>
      </x:c>
      <x:c r="AQ245" s="46" t="n">
        <x:f>IF(T245="","",T245/'Readme-Protocol'!$B$24)</x:f>
        <x:v>5.000468746</x:v>
      </x:c>
      <x:c r="AR245" s="46" t="n">
        <x:f>IF(OR(S245="",S245=0),"",T245/S245)</x:f>
        <x:v>1.0000937492</x:v>
      </x:c>
      <x:c r="AS245" s="46" t="n">
        <x:f>IF(OR(X245="",Y245=""),"",ABS(Y245-X245)*'Readme-Protocol'!$B$27)</x:f>
        <x:v>0.04042924289688887</x:v>
      </x:c>
      <x:c r="AT245" s="49" t="b">
        <x:f>AND(M245&gt;0,N245&gt;=0,O245&gt;0)</x:f>
        <x:v>1</x:v>
      </x:c>
      <x:c r="AU245" s="49" t="b">
        <x:f>AND(AT245,N245&gt;=M245)</x:f>
        <x:v>1</x:v>
      </x:c>
      <x:c r="AV245" s="49" t="b">
        <x:f>OR(S245=0,T245&gt;=S245)</x:f>
        <x:v>1</x:v>
      </x:c>
      <x:c r="AW245" s="49" t="b">
        <x:f>IF(I245="cache-semantics",OR(V245&lt;&gt;"uniform",ABS(Y245-W245/'Readme-Protocol'!$B$27)&lt;='Readme-Protocol'!$B$28),TRUE)</x:f>
        <x:v>1</x:v>
      </x:c>
      <x:c r="AX245" s="43" t="n">
        <x:f>IF(I245="cache-semantics",INT(AA245*'Readme-Protocol'!$B$32),"")</x:f>
        <x:v>9900</x:v>
      </x:c>
      <x:c r="AY245" s="49" t="b">
        <x:f>IF(I245="cache-semantics",AX245=AB245,TRUE)</x:f>
        <x:v>1</x:v>
      </x:c>
      <x:c r="AZ245" s="49" t="b">
        <x:f>IF(I245="cache-semantics",AX245=AE245,TRUE)</x:f>
        <x:v>1</x:v>
      </x:c>
      <x:c r="BA245" s="49" t="b">
        <x:f>IF(I245="cache-semantics",AC245&gt;=AX245,IF(I245="no-store-control",AC245=0,FALSE))</x:f>
        <x:v>1</x:v>
      </x:c>
      <x:c r="BB245" s="49" t="b">
        <x:f>IF(I245="cache-semantics",AG245&gt;=AX245,IF(I245="no-store-control",AG245=0,FALSE))</x:f>
        <x:v>1</x:v>
      </x:c>
      <x:c r="BC245" s="49" t="b">
        <x:f>AND(BA245,BB245)</x:f>
        <x:v>1</x:v>
      </x:c>
      <x:c r="BD245" s="49" t="b">
        <x:f>IF(I245="no-store-control",AND(AC245=0,AG245=0),TRUE)</x:f>
        <x:v>1</x:v>
      </x:c>
      <x:c r="BE245" s="49" t="b">
        <x:f>IF(I245="no-store-control",AK245=0,TRUE)</x:f>
        <x:v>1</x:v>
      </x:c>
      <x:c r="BF245" s="49" t="b">
        <x:f>IF(I245="cache-semantics",AN245=1,TRUE)</x:f>
        <x:v>1</x:v>
      </x:c>
      <x:c r="BG245" s="49" t="b">
        <x:f>IF(I245="cache-semantics",AND(AU245,AV245,Q245,AW245,BC245,BF245),IF(I245="no-store-control",AND(AU245,AV245,Q245,BD245,BE245),FALSE))</x:f>
        <x:v>1</x:v>
      </x:c>
      <x:c r="BH245" s="49" t="b">
        <x:f>AND(R245,AT245=P245,AU245=L245,AV245=U245,AY245,AZ245,IF(I245="cache-semantics",AND(AW245=Z245,AND(BA245=AD245,BB245=AH245,BC245=AI245),BF245=AO245),IF(I245="no-store-control",AND(AND(BA245=AD245,BB245=AH245,BC245=AI245),BD245=AJ245,BE245=AL245),FALSE)),BG245=AP245)</x:f>
        <x:v>1</x:v>
      </x:c>
      <x:c r="BI245" s="49" t="b">
        <x:f>AND(J245,K245,BG245)</x:f>
        <x:v>0</x:v>
      </x:c>
    </x:row>
    <x:row r="246">
      <x:c r="A246" s="34" t="str">
        <x:v>article1-unified-v4-2-fb3f101b-20260903-000401-default-f05-p1-jcs321</x:v>
      </x:c>
      <x:c r="B246" s="34" t="str">
        <x:v>default</x:v>
      </x:c>
      <x:c r="C246" s="34" t="str">
        <x:v>jcs321</x:v>
      </x:c>
      <x:c r="D246" s="36" t="n">
        <x:v>5</x:v>
      </x:c>
      <x:c r="E246" s="36" t="n">
        <x:v>5</x:v>
      </x:c>
      <x:c r="F246" s="36" t="n">
        <x:v>1</x:v>
      </x:c>
      <x:c r="G246" s="36" t="n">
        <x:v>3</x:v>
      </x:c>
      <x:c r="H246" s="34" t="str">
        <x:v>initial</x:v>
      </x:c>
      <x:c r="I246" s="34" t="str">
        <x:v>cache-semantics</x:v>
      </x:c>
      <x:c r="J246" s="45" t="b">
        <x:v>1</x:v>
      </x:c>
      <x:c r="K246" s="45" t="b">
        <x:v>0</x:v>
      </x:c>
      <x:c r="L246" s="45" t="b">
        <x:v>1</x:v>
      </x:c>
      <x:c r="M246" s="43" t="n">
        <x:v>400000</x:v>
      </x:c>
      <x:c r="N246" s="43" t="n">
        <x:v>11664896</x:v>
      </x:c>
      <x:c r="O246" s="43" t="n">
        <x:v>2332690.1983459466</x:v>
      </x:c>
      <x:c r="P246" s="45" t="b">
        <x:v>1</x:v>
      </x:c>
      <x:c r="Q246" s="45" t="b">
        <x:v>1</x:v>
      </x:c>
      <x:c r="R246" s="45" t="b">
        <x:v>1</x:v>
      </x:c>
      <x:c r="S246" s="43" t="n">
        <x:v>5000000000</x:v>
      </x:c>
      <x:c r="T246" s="43" t="n">
        <x:v>5000619460</x:v>
      </x:c>
      <x:c r="U246" s="45" t="b">
        <x:v>1</x:v>
      </x:c>
      <x:c r="V246" s="34" t="str">
        <x:v>uniform</x:v>
      </x:c>
      <x:c r="W246" s="42" t="n">
        <x:v>95</x:v>
      </x:c>
      <x:c r="X246" s="48" t="n">
        <x:v>0.95</x:v>
      </x:c>
      <x:c r="Y246" s="48" t="n">
        <x:v>0.9501793243591713</x:v>
      </x:c>
      <x:c r="Z246" s="45" t="b">
        <x:v>1</x:v>
      </x:c>
      <x:c r="AA246" s="43" t="n">
        <x:v>10000</x:v>
      </x:c>
      <x:c r="AB246" s="43" t="n">
        <x:v>9900</x:v>
      </x:c>
      <x:c r="AC246" s="43" t="n">
        <x:v>10000</x:v>
      </x:c>
      <x:c r="AD246" s="45" t="b">
        <x:v>1</x:v>
      </x:c>
      <x:c r="AE246" s="43" t="n">
        <x:v>9900</x:v>
      </x:c>
      <x:c r="AF246" s="43"/>
      <x:c r="AG246" s="43" t="n">
        <x:v>10000</x:v>
      </x:c>
      <x:c r="AH246" s="45" t="b">
        <x:v>1</x:v>
      </x:c>
      <x:c r="AI246" s="45" t="b">
        <x:v>1</x:v>
      </x:c>
      <x:c r="AJ246" s="49"/>
      <x:c r="AK246" s="48" t="n">
        <x:v>0.9501793243591713</x:v>
      </x:c>
      <x:c r="AL246" s="49"/>
      <x:c r="AM246" s="49"/>
      <x:c r="AN246" s="36" t="n">
        <x:v>1</x:v>
      </x:c>
      <x:c r="AO246" s="45" t="b">
        <x:v>1</x:v>
      </x:c>
      <x:c r="AP246" s="45" t="b">
        <x:v>1</x:v>
      </x:c>
      <x:c r="AQ246" s="46" t="n">
        <x:f>IF(T246="","",T246/'Readme-Protocol'!$B$24)</x:f>
        <x:v>5.00061946</x:v>
      </x:c>
      <x:c r="AR246" s="46" t="n">
        <x:f>IF(OR(S246="",S246=0),"",T246/S246)</x:f>
        <x:v>1.000123892</x:v>
      </x:c>
      <x:c r="AS246" s="46" t="n">
        <x:f>IF(OR(X246="",Y246=""),"",ABS(Y246-X246)*'Readme-Protocol'!$B$27)</x:f>
        <x:v>0.017932435917134004</x:v>
      </x:c>
      <x:c r="AT246" s="49" t="b">
        <x:f>AND(M246&gt;0,N246&gt;=0,O246&gt;0)</x:f>
        <x:v>1</x:v>
      </x:c>
      <x:c r="AU246" s="49" t="b">
        <x:f>AND(AT246,N246&gt;=M246)</x:f>
        <x:v>1</x:v>
      </x:c>
      <x:c r="AV246" s="49" t="b">
        <x:f>OR(S246=0,T246&gt;=S246)</x:f>
        <x:v>1</x:v>
      </x:c>
      <x:c r="AW246" s="49" t="b">
        <x:f>IF(I246="cache-semantics",OR(V246&lt;&gt;"uniform",ABS(Y246-W246/'Readme-Protocol'!$B$27)&lt;='Readme-Protocol'!$B$28),TRUE)</x:f>
        <x:v>1</x:v>
      </x:c>
      <x:c r="AX246" s="43" t="n">
        <x:f>IF(I246="cache-semantics",INT(AA246*'Readme-Protocol'!$B$32),"")</x:f>
        <x:v>9900</x:v>
      </x:c>
      <x:c r="AY246" s="49" t="b">
        <x:f>IF(I246="cache-semantics",AX246=AB246,TRUE)</x:f>
        <x:v>1</x:v>
      </x:c>
      <x:c r="AZ246" s="49" t="b">
        <x:f>IF(I246="cache-semantics",AX246=AE246,TRUE)</x:f>
        <x:v>1</x:v>
      </x:c>
      <x:c r="BA246" s="49" t="b">
        <x:f>IF(I246="cache-semantics",AC246&gt;=AX246,IF(I246="no-store-control",AC246=0,FALSE))</x:f>
        <x:v>1</x:v>
      </x:c>
      <x:c r="BB246" s="49" t="b">
        <x:f>IF(I246="cache-semantics",AG246&gt;=AX246,IF(I246="no-store-control",AG246=0,FALSE))</x:f>
        <x:v>1</x:v>
      </x:c>
      <x:c r="BC246" s="49" t="b">
        <x:f>AND(BA246,BB246)</x:f>
        <x:v>1</x:v>
      </x:c>
      <x:c r="BD246" s="49" t="b">
        <x:f>IF(I246="no-store-control",AND(AC246=0,AG246=0),TRUE)</x:f>
        <x:v>1</x:v>
      </x:c>
      <x:c r="BE246" s="49" t="b">
        <x:f>IF(I246="no-store-control",AK246=0,TRUE)</x:f>
        <x:v>1</x:v>
      </x:c>
      <x:c r="BF246" s="49" t="b">
        <x:f>IF(I246="cache-semantics",AN246=1,TRUE)</x:f>
        <x:v>1</x:v>
      </x:c>
      <x:c r="BG246" s="49" t="b">
        <x:f>IF(I246="cache-semantics",AND(AU246,AV246,Q246,AW246,BC246,BF246),IF(I246="no-store-control",AND(AU246,AV246,Q246,BD246,BE246),FALSE))</x:f>
        <x:v>1</x:v>
      </x:c>
      <x:c r="BH246" s="49" t="b">
        <x:f>AND(R246,AT246=P246,AU246=L246,AV246=U246,AY246,AZ246,IF(I246="cache-semantics",AND(AW246=Z246,AND(BA246=AD246,BB246=AH246,BC246=AI246),BF246=AO246),IF(I246="no-store-control",AND(AND(BA246=AD246,BB246=AH246,BC246=AI246),BD246=AJ246,BE246=AL246),FALSE)),BG246=AP246)</x:f>
        <x:v>1</x:v>
      </x:c>
      <x:c r="BI246" s="49" t="b">
        <x:f>AND(J246,K246,BG246)</x:f>
        <x:v>0</x:v>
      </x:c>
    </x:row>
    <x:row r="247">
      <x:c r="A247" s="34" t="str">
        <x:v>article1-unified-v4-2-fb3f101b-20260903-000401-default-f05-p1-jcs321</x:v>
      </x:c>
      <x:c r="B247" s="34" t="str">
        <x:v>default</x:v>
      </x:c>
      <x:c r="C247" s="34" t="str">
        <x:v>jcs321</x:v>
      </x:c>
      <x:c r="D247" s="36" t="n">
        <x:v>5</x:v>
      </x:c>
      <x:c r="E247" s="36" t="n">
        <x:v>5</x:v>
      </x:c>
      <x:c r="F247" s="36" t="n">
        <x:v>1</x:v>
      </x:c>
      <x:c r="G247" s="36" t="n">
        <x:v>3</x:v>
      </x:c>
      <x:c r="H247" s="34" t="str">
        <x:v>redeploy</x:v>
      </x:c>
      <x:c r="I247" s="34" t="str">
        <x:v>cache-semantics</x:v>
      </x:c>
      <x:c r="J247" s="45" t="b">
        <x:v>1</x:v>
      </x:c>
      <x:c r="K247" s="45" t="b">
        <x:v>0</x:v>
      </x:c>
      <x:c r="L247" s="45" t="b">
        <x:v>1</x:v>
      </x:c>
      <x:c r="M247" s="43" t="n">
        <x:v>400000</x:v>
      </x:c>
      <x:c r="N247" s="43" t="n">
        <x:v>14804224</x:v>
      </x:c>
      <x:c r="O247" s="43" t="n">
        <x:v>2960416.1850238997</x:v>
      </x:c>
      <x:c r="P247" s="45" t="b">
        <x:v>1</x:v>
      </x:c>
      <x:c r="Q247" s="45" t="b">
        <x:v>1</x:v>
      </x:c>
      <x:c r="R247" s="45" t="b">
        <x:v>1</x:v>
      </x:c>
      <x:c r="S247" s="43" t="n">
        <x:v>5000000000</x:v>
      </x:c>
      <x:c r="T247" s="43" t="n">
        <x:v>5000723910</x:v>
      </x:c>
      <x:c r="U247" s="45" t="b">
        <x:v>1</x:v>
      </x:c>
      <x:c r="V247" s="34" t="str">
        <x:v>uniform</x:v>
      </x:c>
      <x:c r="W247" s="42" t="n">
        <x:v>95</x:v>
      </x:c>
      <x:c r="X247" s="48" t="n">
        <x:v>0.95</x:v>
      </x:c>
      <x:c r="Y247" s="48" t="n">
        <x:v>0.9501931340676824</x:v>
      </x:c>
      <x:c r="Z247" s="45" t="b">
        <x:v>1</x:v>
      </x:c>
      <x:c r="AA247" s="43" t="n">
        <x:v>10000</x:v>
      </x:c>
      <x:c r="AB247" s="43" t="n">
        <x:v>9900</x:v>
      </x:c>
      <x:c r="AC247" s="43" t="n">
        <x:v>10000</x:v>
      </x:c>
      <x:c r="AD247" s="45" t="b">
        <x:v>1</x:v>
      </x:c>
      <x:c r="AE247" s="43" t="n">
        <x:v>9900</x:v>
      </x:c>
      <x:c r="AF247" s="43"/>
      <x:c r="AG247" s="43" t="n">
        <x:v>10000</x:v>
      </x:c>
      <x:c r="AH247" s="45" t="b">
        <x:v>1</x:v>
      </x:c>
      <x:c r="AI247" s="45" t="b">
        <x:v>1</x:v>
      </x:c>
      <x:c r="AJ247" s="49"/>
      <x:c r="AK247" s="48" t="n">
        <x:v>0.9501931340676824</x:v>
      </x:c>
      <x:c r="AL247" s="49"/>
      <x:c r="AM247" s="49"/>
      <x:c r="AN247" s="36" t="n">
        <x:v>1</x:v>
      </x:c>
      <x:c r="AO247" s="45" t="b">
        <x:v>1</x:v>
      </x:c>
      <x:c r="AP247" s="45" t="b">
        <x:v>1</x:v>
      </x:c>
      <x:c r="AQ247" s="46" t="n">
        <x:f>IF(T247="","",T247/'Readme-Protocol'!$B$24)</x:f>
        <x:v>5.00072391</x:v>
      </x:c>
      <x:c r="AR247" s="46" t="n">
        <x:f>IF(OR(S247="",S247=0),"",T247/S247)</x:f>
        <x:v>1.000144782</x:v>
      </x:c>
      <x:c r="AS247" s="46" t="n">
        <x:f>IF(OR(X247="",Y247=""),"",ABS(Y247-X247)*'Readme-Protocol'!$B$27)</x:f>
        <x:v>0.019313406768239894</x:v>
      </x:c>
      <x:c r="AT247" s="49" t="b">
        <x:f>AND(M247&gt;0,N247&gt;=0,O247&gt;0)</x:f>
        <x:v>1</x:v>
      </x:c>
      <x:c r="AU247" s="49" t="b">
        <x:f>AND(AT247,N247&gt;=M247)</x:f>
        <x:v>1</x:v>
      </x:c>
      <x:c r="AV247" s="49" t="b">
        <x:f>OR(S247=0,T247&gt;=S247)</x:f>
        <x:v>1</x:v>
      </x:c>
      <x:c r="AW247" s="49" t="b">
        <x:f>IF(I247="cache-semantics",OR(V247&lt;&gt;"uniform",ABS(Y247-W247/'Readme-Protocol'!$B$27)&lt;='Readme-Protocol'!$B$28),TRUE)</x:f>
        <x:v>1</x:v>
      </x:c>
      <x:c r="AX247" s="43" t="n">
        <x:f>IF(I247="cache-semantics",INT(AA247*'Readme-Protocol'!$B$32),"")</x:f>
        <x:v>9900</x:v>
      </x:c>
      <x:c r="AY247" s="49" t="b">
        <x:f>IF(I247="cache-semantics",AX247=AB247,TRUE)</x:f>
        <x:v>1</x:v>
      </x:c>
      <x:c r="AZ247" s="49" t="b">
        <x:f>IF(I247="cache-semantics",AX247=AE247,TRUE)</x:f>
        <x:v>1</x:v>
      </x:c>
      <x:c r="BA247" s="49" t="b">
        <x:f>IF(I247="cache-semantics",AC247&gt;=AX247,IF(I247="no-store-control",AC247=0,FALSE))</x:f>
        <x:v>1</x:v>
      </x:c>
      <x:c r="BB247" s="49" t="b">
        <x:f>IF(I247="cache-semantics",AG247&gt;=AX247,IF(I247="no-store-control",AG247=0,FALSE))</x:f>
        <x:v>1</x:v>
      </x:c>
      <x:c r="BC247" s="49" t="b">
        <x:f>AND(BA247,BB247)</x:f>
        <x:v>1</x:v>
      </x:c>
      <x:c r="BD247" s="49" t="b">
        <x:f>IF(I247="no-store-control",AND(AC247=0,AG247=0),TRUE)</x:f>
        <x:v>1</x:v>
      </x:c>
      <x:c r="BE247" s="49" t="b">
        <x:f>IF(I247="no-store-control",AK247=0,TRUE)</x:f>
        <x:v>1</x:v>
      </x:c>
      <x:c r="BF247" s="49" t="b">
        <x:f>IF(I247="cache-semantics",AN247=1,TRUE)</x:f>
        <x:v>1</x:v>
      </x:c>
      <x:c r="BG247" s="49" t="b">
        <x:f>IF(I247="cache-semantics",AND(AU247,AV247,Q247,AW247,BC247,BF247),IF(I247="no-store-control",AND(AU247,AV247,Q247,BD247,BE247),FALSE))</x:f>
        <x:v>1</x:v>
      </x:c>
      <x:c r="BH247" s="49" t="b">
        <x:f>AND(R247,AT247=P247,AU247=L247,AV247=U247,AY247,AZ247,IF(I247="cache-semantics",AND(AW247=Z247,AND(BA247=AD247,BB247=AH247,BC247=AI247),BF247=AO247),IF(I247="no-store-control",AND(AND(BA247=AD247,BB247=AH247,BC247=AI247),BD247=AJ247,BE247=AL247),FALSE)),BG247=AP247)</x:f>
        <x:v>1</x:v>
      </x:c>
      <x:c r="BI247" s="49" t="b">
        <x:f>AND(J247,K247,BG247)</x:f>
        <x:v>0</x:v>
      </x:c>
    </x:row>
    <x:row r="248">
      <x:c r="A248" s="34" t="str">
        <x:v>article1-unified-v4-2-fb3f101b-20260903-000401-default-f05-p1-jcs321</x:v>
      </x:c>
      <x:c r="B248" s="34" t="str">
        <x:v>default</x:v>
      </x:c>
      <x:c r="C248" s="34" t="str">
        <x:v>jcs321</x:v>
      </x:c>
      <x:c r="D248" s="36" t="n">
        <x:v>5</x:v>
      </x:c>
      <x:c r="E248" s="36" t="n">
        <x:v>5</x:v>
      </x:c>
      <x:c r="F248" s="36" t="n">
        <x:v>1</x:v>
      </x:c>
      <x:c r="G248" s="36" t="n">
        <x:v>4</x:v>
      </x:c>
      <x:c r="H248" s="34" t="str">
        <x:v>initial</x:v>
      </x:c>
      <x:c r="I248" s="34" t="str">
        <x:v>cache-semantics</x:v>
      </x:c>
      <x:c r="J248" s="45" t="b">
        <x:v>1</x:v>
      </x:c>
      <x:c r="K248" s="45" t="b">
        <x:v>0</x:v>
      </x:c>
      <x:c r="L248" s="45" t="b">
        <x:v>1</x:v>
      </x:c>
      <x:c r="M248" s="43" t="n">
        <x:v>400000</x:v>
      </x:c>
      <x:c r="N248" s="43" t="n">
        <x:v>13550336</x:v>
      </x:c>
      <x:c r="O248" s="43" t="n">
        <x:v>2709606.2244476173</x:v>
      </x:c>
      <x:c r="P248" s="45" t="b">
        <x:v>1</x:v>
      </x:c>
      <x:c r="Q248" s="45" t="b">
        <x:v>1</x:v>
      </x:c>
      <x:c r="R248" s="45" t="b">
        <x:v>1</x:v>
      </x:c>
      <x:c r="S248" s="43" t="n">
        <x:v>5000000000</x:v>
      </x:c>
      <x:c r="T248" s="43" t="n">
        <x:v>5000850632</x:v>
      </x:c>
      <x:c r="U248" s="45" t="b">
        <x:v>1</x:v>
      </x:c>
      <x:c r="V248" s="34" t="str">
        <x:v>uniform</x:v>
      </x:c>
      <x:c r="W248" s="42" t="n">
        <x:v>95</x:v>
      </x:c>
      <x:c r="X248" s="48" t="n">
        <x:v>0.95</x:v>
      </x:c>
      <x:c r="Y248" s="48" t="n">
        <x:v>0.9505493443114621</x:v>
      </x:c>
      <x:c r="Z248" s="45" t="b">
        <x:v>1</x:v>
      </x:c>
      <x:c r="AA248" s="43" t="n">
        <x:v>10000</x:v>
      </x:c>
      <x:c r="AB248" s="43" t="n">
        <x:v>9900</x:v>
      </x:c>
      <x:c r="AC248" s="43" t="n">
        <x:v>10000</x:v>
      </x:c>
      <x:c r="AD248" s="45" t="b">
        <x:v>1</x:v>
      </x:c>
      <x:c r="AE248" s="43" t="n">
        <x:v>9900</x:v>
      </x:c>
      <x:c r="AF248" s="43"/>
      <x:c r="AG248" s="43" t="n">
        <x:v>10000</x:v>
      </x:c>
      <x:c r="AH248" s="45" t="b">
        <x:v>1</x:v>
      </x:c>
      <x:c r="AI248" s="45" t="b">
        <x:v>1</x:v>
      </x:c>
      <x:c r="AJ248" s="49"/>
      <x:c r="AK248" s="48" t="n">
        <x:v>0.9505493443114621</x:v>
      </x:c>
      <x:c r="AL248" s="49"/>
      <x:c r="AM248" s="49"/>
      <x:c r="AN248" s="36" t="n">
        <x:v>1</x:v>
      </x:c>
      <x:c r="AO248" s="45" t="b">
        <x:v>1</x:v>
      </x:c>
      <x:c r="AP248" s="45" t="b">
        <x:v>1</x:v>
      </x:c>
      <x:c r="AQ248" s="46" t="n">
        <x:f>IF(T248="","",T248/'Readme-Protocol'!$B$24)</x:f>
        <x:v>5.000850632</x:v>
      </x:c>
      <x:c r="AR248" s="46" t="n">
        <x:f>IF(OR(S248="",S248=0),"",T248/S248)</x:f>
        <x:v>1.0001701264</x:v>
      </x:c>
      <x:c r="AS248" s="46" t="n">
        <x:f>IF(OR(X248="",Y248=""),"",ABS(Y248-X248)*'Readme-Protocol'!$B$27)</x:f>
        <x:v>0.0549344311462141</x:v>
      </x:c>
      <x:c r="AT248" s="49" t="b">
        <x:f>AND(M248&gt;0,N248&gt;=0,O248&gt;0)</x:f>
        <x:v>1</x:v>
      </x:c>
      <x:c r="AU248" s="49" t="b">
        <x:f>AND(AT248,N248&gt;=M248)</x:f>
        <x:v>1</x:v>
      </x:c>
      <x:c r="AV248" s="49" t="b">
        <x:f>OR(S248=0,T248&gt;=S248)</x:f>
        <x:v>1</x:v>
      </x:c>
      <x:c r="AW248" s="49" t="b">
        <x:f>IF(I248="cache-semantics",OR(V248&lt;&gt;"uniform",ABS(Y248-W248/'Readme-Protocol'!$B$27)&lt;='Readme-Protocol'!$B$28),TRUE)</x:f>
        <x:v>1</x:v>
      </x:c>
      <x:c r="AX248" s="43" t="n">
        <x:f>IF(I248="cache-semantics",INT(AA248*'Readme-Protocol'!$B$32),"")</x:f>
        <x:v>9900</x:v>
      </x:c>
      <x:c r="AY248" s="49" t="b">
        <x:f>IF(I248="cache-semantics",AX248=AB248,TRUE)</x:f>
        <x:v>1</x:v>
      </x:c>
      <x:c r="AZ248" s="49" t="b">
        <x:f>IF(I248="cache-semantics",AX248=AE248,TRUE)</x:f>
        <x:v>1</x:v>
      </x:c>
      <x:c r="BA248" s="49" t="b">
        <x:f>IF(I248="cache-semantics",AC248&gt;=AX248,IF(I248="no-store-control",AC248=0,FALSE))</x:f>
        <x:v>1</x:v>
      </x:c>
      <x:c r="BB248" s="49" t="b">
        <x:f>IF(I248="cache-semantics",AG248&gt;=AX248,IF(I248="no-store-control",AG248=0,FALSE))</x:f>
        <x:v>1</x:v>
      </x:c>
      <x:c r="BC248" s="49" t="b">
        <x:f>AND(BA248,BB248)</x:f>
        <x:v>1</x:v>
      </x:c>
      <x:c r="BD248" s="49" t="b">
        <x:f>IF(I248="no-store-control",AND(AC248=0,AG248=0),TRUE)</x:f>
        <x:v>1</x:v>
      </x:c>
      <x:c r="BE248" s="49" t="b">
        <x:f>IF(I248="no-store-control",AK248=0,TRUE)</x:f>
        <x:v>1</x:v>
      </x:c>
      <x:c r="BF248" s="49" t="b">
        <x:f>IF(I248="cache-semantics",AN248=1,TRUE)</x:f>
        <x:v>1</x:v>
      </x:c>
      <x:c r="BG248" s="49" t="b">
        <x:f>IF(I248="cache-semantics",AND(AU248,AV248,Q248,AW248,BC248,BF248),IF(I248="no-store-control",AND(AU248,AV248,Q248,BD248,BE248),FALSE))</x:f>
        <x:v>1</x:v>
      </x:c>
      <x:c r="BH248" s="49" t="b">
        <x:f>AND(R248,AT248=P248,AU248=L248,AV248=U248,AY248,AZ248,IF(I248="cache-semantics",AND(AW248=Z248,AND(BA248=AD248,BB248=AH248,BC248=AI248),BF248=AO248),IF(I248="no-store-control",AND(AND(BA248=AD248,BB248=AH248,BC248=AI248),BD248=AJ248,BE248=AL248),FALSE)),BG248=AP248)</x:f>
        <x:v>1</x:v>
      </x:c>
      <x:c r="BI248" s="49" t="b">
        <x:f>AND(J248,K248,BG248)</x:f>
        <x:v>0</x:v>
      </x:c>
    </x:row>
    <x:row r="249">
      <x:c r="A249" s="34" t="str">
        <x:v>article1-unified-v4-2-fb3f101b-20260903-000401-default-f05-p1-jcs321</x:v>
      </x:c>
      <x:c r="B249" s="34" t="str">
        <x:v>default</x:v>
      </x:c>
      <x:c r="C249" s="34" t="str">
        <x:v>jcs321</x:v>
      </x:c>
      <x:c r="D249" s="36" t="n">
        <x:v>5</x:v>
      </x:c>
      <x:c r="E249" s="36" t="n">
        <x:v>5</x:v>
      </x:c>
      <x:c r="F249" s="36" t="n">
        <x:v>1</x:v>
      </x:c>
      <x:c r="G249" s="36" t="n">
        <x:v>4</x:v>
      </x:c>
      <x:c r="H249" s="34" t="str">
        <x:v>redeploy</x:v>
      </x:c>
      <x:c r="I249" s="34" t="str">
        <x:v>cache-semantics</x:v>
      </x:c>
      <x:c r="J249" s="45" t="b">
        <x:v>1</x:v>
      </x:c>
      <x:c r="K249" s="45" t="b">
        <x:v>0</x:v>
      </x:c>
      <x:c r="L249" s="45" t="b">
        <x:v>1</x:v>
      </x:c>
      <x:c r="M249" s="43" t="n">
        <x:v>400000</x:v>
      </x:c>
      <x:c r="N249" s="43" t="n">
        <x:v>15270912</x:v>
      </x:c>
      <x:c r="O249" s="43" t="n">
        <x:v>3053694.83669981</x:v>
      </x:c>
      <x:c r="P249" s="45" t="b">
        <x:v>1</x:v>
      </x:c>
      <x:c r="Q249" s="45" t="b">
        <x:v>1</x:v>
      </x:c>
      <x:c r="R249" s="45" t="b">
        <x:v>1</x:v>
      </x:c>
      <x:c r="S249" s="43" t="n">
        <x:v>5000000000</x:v>
      </x:c>
      <x:c r="T249" s="43" t="n">
        <x:v>5000798317</x:v>
      </x:c>
      <x:c r="U249" s="45" t="b">
        <x:v>1</x:v>
      </x:c>
      <x:c r="V249" s="34" t="str">
        <x:v>uniform</x:v>
      </x:c>
      <x:c r="W249" s="42" t="n">
        <x:v>95</x:v>
      </x:c>
      <x:c r="X249" s="48" t="n">
        <x:v>0.95</x:v>
      </x:c>
      <x:c r="Y249" s="48" t="n">
        <x:v>0.9505523311246898</x:v>
      </x:c>
      <x:c r="Z249" s="45" t="b">
        <x:v>1</x:v>
      </x:c>
      <x:c r="AA249" s="43" t="n">
        <x:v>10000</x:v>
      </x:c>
      <x:c r="AB249" s="43" t="n">
        <x:v>9900</x:v>
      </x:c>
      <x:c r="AC249" s="43" t="n">
        <x:v>10000</x:v>
      </x:c>
      <x:c r="AD249" s="45" t="b">
        <x:v>1</x:v>
      </x:c>
      <x:c r="AE249" s="43" t="n">
        <x:v>9900</x:v>
      </x:c>
      <x:c r="AF249" s="43"/>
      <x:c r="AG249" s="43" t="n">
        <x:v>10000</x:v>
      </x:c>
      <x:c r="AH249" s="45" t="b">
        <x:v>1</x:v>
      </x:c>
      <x:c r="AI249" s="45" t="b">
        <x:v>1</x:v>
      </x:c>
      <x:c r="AJ249" s="49"/>
      <x:c r="AK249" s="48" t="n">
        <x:v>0.9505523311246898</x:v>
      </x:c>
      <x:c r="AL249" s="49"/>
      <x:c r="AM249" s="49"/>
      <x:c r="AN249" s="36" t="n">
        <x:v>1</x:v>
      </x:c>
      <x:c r="AO249" s="45" t="b">
        <x:v>1</x:v>
      </x:c>
      <x:c r="AP249" s="45" t="b">
        <x:v>1</x:v>
      </x:c>
      <x:c r="AQ249" s="46" t="n">
        <x:f>IF(T249="","",T249/'Readme-Protocol'!$B$24)</x:f>
        <x:v>5.000798317</x:v>
      </x:c>
      <x:c r="AR249" s="46" t="n">
        <x:f>IF(OR(S249="",S249=0),"",T249/S249)</x:f>
        <x:v>1.0001596634</x:v>
      </x:c>
      <x:c r="AS249" s="46" t="n">
        <x:f>IF(OR(X249="",Y249=""),"",ABS(Y249-X249)*'Readme-Protocol'!$B$27)</x:f>
        <x:v>0.055233112468988654</x:v>
      </x:c>
      <x:c r="AT249" s="49" t="b">
        <x:f>AND(M249&gt;0,N249&gt;=0,O249&gt;0)</x:f>
        <x:v>1</x:v>
      </x:c>
      <x:c r="AU249" s="49" t="b">
        <x:f>AND(AT249,N249&gt;=M249)</x:f>
        <x:v>1</x:v>
      </x:c>
      <x:c r="AV249" s="49" t="b">
        <x:f>OR(S249=0,T249&gt;=S249)</x:f>
        <x:v>1</x:v>
      </x:c>
      <x:c r="AW249" s="49" t="b">
        <x:f>IF(I249="cache-semantics",OR(V249&lt;&gt;"uniform",ABS(Y249-W249/'Readme-Protocol'!$B$27)&lt;='Readme-Protocol'!$B$28),TRUE)</x:f>
        <x:v>1</x:v>
      </x:c>
      <x:c r="AX249" s="43" t="n">
        <x:f>IF(I249="cache-semantics",INT(AA249*'Readme-Protocol'!$B$32),"")</x:f>
        <x:v>9900</x:v>
      </x:c>
      <x:c r="AY249" s="49" t="b">
        <x:f>IF(I249="cache-semantics",AX249=AB249,TRUE)</x:f>
        <x:v>1</x:v>
      </x:c>
      <x:c r="AZ249" s="49" t="b">
        <x:f>IF(I249="cache-semantics",AX249=AE249,TRUE)</x:f>
        <x:v>1</x:v>
      </x:c>
      <x:c r="BA249" s="49" t="b">
        <x:f>IF(I249="cache-semantics",AC249&gt;=AX249,IF(I249="no-store-control",AC249=0,FALSE))</x:f>
        <x:v>1</x:v>
      </x:c>
      <x:c r="BB249" s="49" t="b">
        <x:f>IF(I249="cache-semantics",AG249&gt;=AX249,IF(I249="no-store-control",AG249=0,FALSE))</x:f>
        <x:v>1</x:v>
      </x:c>
      <x:c r="BC249" s="49" t="b">
        <x:f>AND(BA249,BB249)</x:f>
        <x:v>1</x:v>
      </x:c>
      <x:c r="BD249" s="49" t="b">
        <x:f>IF(I249="no-store-control",AND(AC249=0,AG249=0),TRUE)</x:f>
        <x:v>1</x:v>
      </x:c>
      <x:c r="BE249" s="49" t="b">
        <x:f>IF(I249="no-store-control",AK249=0,TRUE)</x:f>
        <x:v>1</x:v>
      </x:c>
      <x:c r="BF249" s="49" t="b">
        <x:f>IF(I249="cache-semantics",AN249=1,TRUE)</x:f>
        <x:v>1</x:v>
      </x:c>
      <x:c r="BG249" s="49" t="b">
        <x:f>IF(I249="cache-semantics",AND(AU249,AV249,Q249,AW249,BC249,BF249),IF(I249="no-store-control",AND(AU249,AV249,Q249,BD249,BE249),FALSE))</x:f>
        <x:v>1</x:v>
      </x:c>
      <x:c r="BH249" s="49" t="b">
        <x:f>AND(R249,AT249=P249,AU249=L249,AV249=U249,AY249,AZ249,IF(I249="cache-semantics",AND(AW249=Z249,AND(BA249=AD249,BB249=AH249,BC249=AI249),BF249=AO249),IF(I249="no-store-control",AND(AND(BA249=AD249,BB249=AH249,BC249=AI249),BD249=AJ249,BE249=AL249),FALSE)),BG249=AP249)</x:f>
        <x:v>1</x:v>
      </x:c>
      <x:c r="BI249" s="49" t="b">
        <x:f>AND(J249,K249,BG249)</x:f>
        <x:v>0</x:v>
      </x:c>
    </x:row>
    <x:row r="250">
      <x:c r="A250" s="34" t="str">
        <x:v>article1-unified-v4-2-fb3f101b-20260903-000401-default-f05-p1-jcs321</x:v>
      </x:c>
      <x:c r="B250" s="34" t="str">
        <x:v>default</x:v>
      </x:c>
      <x:c r="C250" s="34" t="str">
        <x:v>jcs321</x:v>
      </x:c>
      <x:c r="D250" s="36" t="n">
        <x:v>5</x:v>
      </x:c>
      <x:c r="E250" s="36" t="n">
        <x:v>5</x:v>
      </x:c>
      <x:c r="F250" s="36" t="n">
        <x:v>1</x:v>
      </x:c>
      <x:c r="G250" s="36" t="n">
        <x:v>5</x:v>
      </x:c>
      <x:c r="H250" s="34" t="str">
        <x:v>initial</x:v>
      </x:c>
      <x:c r="I250" s="34" t="str">
        <x:v>cache-semantics</x:v>
      </x:c>
      <x:c r="J250" s="45" t="b">
        <x:v>1</x:v>
      </x:c>
      <x:c r="K250" s="45" t="b">
        <x:v>0</x:v>
      </x:c>
      <x:c r="L250" s="45" t="b">
        <x:v>1</x:v>
      </x:c>
      <x:c r="M250" s="43" t="n">
        <x:v>400000</x:v>
      </x:c>
      <x:c r="N250" s="43" t="n">
        <x:v>11307008</x:v>
      </x:c>
      <x:c r="O250" s="43" t="n">
        <x:v>2261056.330367395</x:v>
      </x:c>
      <x:c r="P250" s="45" t="b">
        <x:v>1</x:v>
      </x:c>
      <x:c r="Q250" s="45" t="b">
        <x:v>1</x:v>
      </x:c>
      <x:c r="R250" s="45" t="b">
        <x:v>1</x:v>
      </x:c>
      <x:c r="S250" s="43" t="n">
        <x:v>5000000000</x:v>
      </x:c>
      <x:c r="T250" s="43" t="n">
        <x:v>5000763514</x:v>
      </x:c>
      <x:c r="U250" s="45" t="b">
        <x:v>1</x:v>
      </x:c>
      <x:c r="V250" s="34" t="str">
        <x:v>uniform</x:v>
      </x:c>
      <x:c r="W250" s="42" t="n">
        <x:v>95</x:v>
      </x:c>
      <x:c r="X250" s="48" t="n">
        <x:v>0.95</x:v>
      </x:c>
      <x:c r="Y250" s="48" t="n">
        <x:v>0.9507599180968122</x:v>
      </x:c>
      <x:c r="Z250" s="45" t="b">
        <x:v>1</x:v>
      </x:c>
      <x:c r="AA250" s="43" t="n">
        <x:v>10000</x:v>
      </x:c>
      <x:c r="AB250" s="43" t="n">
        <x:v>9900</x:v>
      </x:c>
      <x:c r="AC250" s="43" t="n">
        <x:v>10000</x:v>
      </x:c>
      <x:c r="AD250" s="45" t="b">
        <x:v>1</x:v>
      </x:c>
      <x:c r="AE250" s="43" t="n">
        <x:v>9900</x:v>
      </x:c>
      <x:c r="AF250" s="43"/>
      <x:c r="AG250" s="43" t="n">
        <x:v>10000</x:v>
      </x:c>
      <x:c r="AH250" s="45" t="b">
        <x:v>1</x:v>
      </x:c>
      <x:c r="AI250" s="45" t="b">
        <x:v>1</x:v>
      </x:c>
      <x:c r="AJ250" s="49"/>
      <x:c r="AK250" s="48" t="n">
        <x:v>0.9507599180968122</x:v>
      </x:c>
      <x:c r="AL250" s="49"/>
      <x:c r="AM250" s="49"/>
      <x:c r="AN250" s="36" t="n">
        <x:v>1</x:v>
      </x:c>
      <x:c r="AO250" s="45" t="b">
        <x:v>1</x:v>
      </x:c>
      <x:c r="AP250" s="45" t="b">
        <x:v>1</x:v>
      </x:c>
      <x:c r="AQ250" s="46" t="n">
        <x:f>IF(T250="","",T250/'Readme-Protocol'!$B$24)</x:f>
        <x:v>5.000763514</x:v>
      </x:c>
      <x:c r="AR250" s="46" t="n">
        <x:f>IF(OR(S250="",S250=0),"",T250/S250)</x:f>
        <x:v>1.0001527028</x:v>
      </x:c>
      <x:c r="AS250" s="46" t="n">
        <x:f>IF(OR(X250="",Y250=""),"",ABS(Y250-X250)*'Readme-Protocol'!$B$27)</x:f>
        <x:v>0.07599180968121955</x:v>
      </x:c>
      <x:c r="AT250" s="49" t="b">
        <x:f>AND(M250&gt;0,N250&gt;=0,O250&gt;0)</x:f>
        <x:v>1</x:v>
      </x:c>
      <x:c r="AU250" s="49" t="b">
        <x:f>AND(AT250,N250&gt;=M250)</x:f>
        <x:v>1</x:v>
      </x:c>
      <x:c r="AV250" s="49" t="b">
        <x:f>OR(S250=0,T250&gt;=S250)</x:f>
        <x:v>1</x:v>
      </x:c>
      <x:c r="AW250" s="49" t="b">
        <x:f>IF(I250="cache-semantics",OR(V250&lt;&gt;"uniform",ABS(Y250-W250/'Readme-Protocol'!$B$27)&lt;='Readme-Protocol'!$B$28),TRUE)</x:f>
        <x:v>1</x:v>
      </x:c>
      <x:c r="AX250" s="43" t="n">
        <x:f>IF(I250="cache-semantics",INT(AA250*'Readme-Protocol'!$B$32),"")</x:f>
        <x:v>9900</x:v>
      </x:c>
      <x:c r="AY250" s="49" t="b">
        <x:f>IF(I250="cache-semantics",AX250=AB250,TRUE)</x:f>
        <x:v>1</x:v>
      </x:c>
      <x:c r="AZ250" s="49" t="b">
        <x:f>IF(I250="cache-semantics",AX250=AE250,TRUE)</x:f>
        <x:v>1</x:v>
      </x:c>
      <x:c r="BA250" s="49" t="b">
        <x:f>IF(I250="cache-semantics",AC250&gt;=AX250,IF(I250="no-store-control",AC250=0,FALSE))</x:f>
        <x:v>1</x:v>
      </x:c>
      <x:c r="BB250" s="49" t="b">
        <x:f>IF(I250="cache-semantics",AG250&gt;=AX250,IF(I250="no-store-control",AG250=0,FALSE))</x:f>
        <x:v>1</x:v>
      </x:c>
      <x:c r="BC250" s="49" t="b">
        <x:f>AND(BA250,BB250)</x:f>
        <x:v>1</x:v>
      </x:c>
      <x:c r="BD250" s="49" t="b">
        <x:f>IF(I250="no-store-control",AND(AC250=0,AG250=0),TRUE)</x:f>
        <x:v>1</x:v>
      </x:c>
      <x:c r="BE250" s="49" t="b">
        <x:f>IF(I250="no-store-control",AK250=0,TRUE)</x:f>
        <x:v>1</x:v>
      </x:c>
      <x:c r="BF250" s="49" t="b">
        <x:f>IF(I250="cache-semantics",AN250=1,TRUE)</x:f>
        <x:v>1</x:v>
      </x:c>
      <x:c r="BG250" s="49" t="b">
        <x:f>IF(I250="cache-semantics",AND(AU250,AV250,Q250,AW250,BC250,BF250),IF(I250="no-store-control",AND(AU250,AV250,Q250,BD250,BE250),FALSE))</x:f>
        <x:v>1</x:v>
      </x:c>
      <x:c r="BH250" s="49" t="b">
        <x:f>AND(R250,AT250=P250,AU250=L250,AV250=U250,AY250,AZ250,IF(I250="cache-semantics",AND(AW250=Z250,AND(BA250=AD250,BB250=AH250,BC250=AI250),BF250=AO250),IF(I250="no-store-control",AND(AND(BA250=AD250,BB250=AH250,BC250=AI250),BD250=AJ250,BE250=AL250),FALSE)),BG250=AP250)</x:f>
        <x:v>1</x:v>
      </x:c>
      <x:c r="BI250" s="49" t="b">
        <x:f>AND(J250,K250,BG250)</x:f>
        <x:v>0</x:v>
      </x:c>
    </x:row>
    <x:row r="251">
      <x:c r="A251" s="34" t="str">
        <x:v>article1-unified-v4-2-fb3f101b-20260903-000401-default-f05-p1-jcs321</x:v>
      </x:c>
      <x:c r="B251" s="34" t="str">
        <x:v>default</x:v>
      </x:c>
      <x:c r="C251" s="34" t="str">
        <x:v>jcs321</x:v>
      </x:c>
      <x:c r="D251" s="36" t="n">
        <x:v>5</x:v>
      </x:c>
      <x:c r="E251" s="36" t="n">
        <x:v>5</x:v>
      </x:c>
      <x:c r="F251" s="36" t="n">
        <x:v>1</x:v>
      </x:c>
      <x:c r="G251" s="36" t="n">
        <x:v>5</x:v>
      </x:c>
      <x:c r="H251" s="34" t="str">
        <x:v>redeploy</x:v>
      </x:c>
      <x:c r="I251" s="34" t="str">
        <x:v>cache-semantics</x:v>
      </x:c>
      <x:c r="J251" s="45" t="b">
        <x:v>1</x:v>
      </x:c>
      <x:c r="K251" s="45" t="b">
        <x:v>0</x:v>
      </x:c>
      <x:c r="L251" s="45" t="b">
        <x:v>1</x:v>
      </x:c>
      <x:c r="M251" s="43" t="n">
        <x:v>400000</x:v>
      </x:c>
      <x:c r="N251" s="43" t="n">
        <x:v>15148032</x:v>
      </x:c>
      <x:c r="O251" s="43" t="n">
        <x:v>3028973.666180772</x:v>
      </x:c>
      <x:c r="P251" s="45" t="b">
        <x:v>1</x:v>
      </x:c>
      <x:c r="Q251" s="45" t="b">
        <x:v>1</x:v>
      </x:c>
      <x:c r="R251" s="45" t="b">
        <x:v>1</x:v>
      </x:c>
      <x:c r="S251" s="43" t="n">
        <x:v>5000000000</x:v>
      </x:c>
      <x:c r="T251" s="43" t="n">
        <x:v>5001044469</x:v>
      </x:c>
      <x:c r="U251" s="45" t="b">
        <x:v>1</x:v>
      </x:c>
      <x:c r="V251" s="34" t="str">
        <x:v>uniform</x:v>
      </x:c>
      <x:c r="W251" s="42" t="n">
        <x:v>95</x:v>
      </x:c>
      <x:c r="X251" s="48" t="n">
        <x:v>0.95</x:v>
      </x:c>
      <x:c r="Y251" s="48" t="n">
        <x:v>0.9507574977396404</x:v>
      </x:c>
      <x:c r="Z251" s="45" t="b">
        <x:v>1</x:v>
      </x:c>
      <x:c r="AA251" s="43" t="n">
        <x:v>10000</x:v>
      </x:c>
      <x:c r="AB251" s="43" t="n">
        <x:v>9900</x:v>
      </x:c>
      <x:c r="AC251" s="43" t="n">
        <x:v>10000</x:v>
      </x:c>
      <x:c r="AD251" s="45" t="b">
        <x:v>1</x:v>
      </x:c>
      <x:c r="AE251" s="43" t="n">
        <x:v>9900</x:v>
      </x:c>
      <x:c r="AF251" s="43"/>
      <x:c r="AG251" s="43" t="n">
        <x:v>10000</x:v>
      </x:c>
      <x:c r="AH251" s="45" t="b">
        <x:v>1</x:v>
      </x:c>
      <x:c r="AI251" s="45" t="b">
        <x:v>1</x:v>
      </x:c>
      <x:c r="AJ251" s="49"/>
      <x:c r="AK251" s="48" t="n">
        <x:v>0.9507574977396404</x:v>
      </x:c>
      <x:c r="AL251" s="49"/>
      <x:c r="AM251" s="49"/>
      <x:c r="AN251" s="36" t="n">
        <x:v>1</x:v>
      </x:c>
      <x:c r="AO251" s="45" t="b">
        <x:v>1</x:v>
      </x:c>
      <x:c r="AP251" s="45" t="b">
        <x:v>1</x:v>
      </x:c>
      <x:c r="AQ251" s="46" t="n">
        <x:f>IF(T251="","",T251/'Readme-Protocol'!$B$24)</x:f>
        <x:v>5.001044469</x:v>
      </x:c>
      <x:c r="AR251" s="46" t="n">
        <x:f>IF(OR(S251="",S251=0),"",T251/S251)</x:f>
        <x:v>1.0002088938</x:v>
      </x:c>
      <x:c r="AS251" s="46" t="n">
        <x:f>IF(OR(X251="",Y251=""),"",ABS(Y251-X251)*'Readme-Protocol'!$B$27)</x:f>
        <x:v>0.07574977396404003</x:v>
      </x:c>
      <x:c r="AT251" s="49" t="b">
        <x:f>AND(M251&gt;0,N251&gt;=0,O251&gt;0)</x:f>
        <x:v>1</x:v>
      </x:c>
      <x:c r="AU251" s="49" t="b">
        <x:f>AND(AT251,N251&gt;=M251)</x:f>
        <x:v>1</x:v>
      </x:c>
      <x:c r="AV251" s="49" t="b">
        <x:f>OR(S251=0,T251&gt;=S251)</x:f>
        <x:v>1</x:v>
      </x:c>
      <x:c r="AW251" s="49" t="b">
        <x:f>IF(I251="cache-semantics",OR(V251&lt;&gt;"uniform",ABS(Y251-W251/'Readme-Protocol'!$B$27)&lt;='Readme-Protocol'!$B$28),TRUE)</x:f>
        <x:v>1</x:v>
      </x:c>
      <x:c r="AX251" s="43" t="n">
        <x:f>IF(I251="cache-semantics",INT(AA251*'Readme-Protocol'!$B$32),"")</x:f>
        <x:v>9900</x:v>
      </x:c>
      <x:c r="AY251" s="49" t="b">
        <x:f>IF(I251="cache-semantics",AX251=AB251,TRUE)</x:f>
        <x:v>1</x:v>
      </x:c>
      <x:c r="AZ251" s="49" t="b">
        <x:f>IF(I251="cache-semantics",AX251=AE251,TRUE)</x:f>
        <x:v>1</x:v>
      </x:c>
      <x:c r="BA251" s="49" t="b">
        <x:f>IF(I251="cache-semantics",AC251&gt;=AX251,IF(I251="no-store-control",AC251=0,FALSE))</x:f>
        <x:v>1</x:v>
      </x:c>
      <x:c r="BB251" s="49" t="b">
        <x:f>IF(I251="cache-semantics",AG251&gt;=AX251,IF(I251="no-store-control",AG251=0,FALSE))</x:f>
        <x:v>1</x:v>
      </x:c>
      <x:c r="BC251" s="49" t="b">
        <x:f>AND(BA251,BB251)</x:f>
        <x:v>1</x:v>
      </x:c>
      <x:c r="BD251" s="49" t="b">
        <x:f>IF(I251="no-store-control",AND(AC251=0,AG251=0),TRUE)</x:f>
        <x:v>1</x:v>
      </x:c>
      <x:c r="BE251" s="49" t="b">
        <x:f>IF(I251="no-store-control",AK251=0,TRUE)</x:f>
        <x:v>1</x:v>
      </x:c>
      <x:c r="BF251" s="49" t="b">
        <x:f>IF(I251="cache-semantics",AN251=1,TRUE)</x:f>
        <x:v>1</x:v>
      </x:c>
      <x:c r="BG251" s="49" t="b">
        <x:f>IF(I251="cache-semantics",AND(AU251,AV251,Q251,AW251,BC251,BF251),IF(I251="no-store-control",AND(AU251,AV251,Q251,BD251,BE251),FALSE))</x:f>
        <x:v>1</x:v>
      </x:c>
      <x:c r="BH251" s="49" t="b">
        <x:f>AND(R251,AT251=P251,AU251=L251,AV251=U251,AY251,AZ251,IF(I251="cache-semantics",AND(AW251=Z251,AND(BA251=AD251,BB251=AH251,BC251=AI251),BF251=AO251),IF(I251="no-store-control",AND(AND(BA251=AD251,BB251=AH251,BC251=AI251),BD251=AJ251,BE251=AL251),FALSE)),BG251=AP251)</x:f>
        <x:v>1</x:v>
      </x:c>
      <x:c r="BI251" s="49" t="b">
        <x:f>AND(J251,K251,BG251)</x:f>
        <x:v>0</x:v>
      </x:c>
    </x:row>
    <x:row r="252">
      <x:c r="A252" s="34" t="str">
        <x:v>article1-unified-v4-2-fb3f101b-20260903-000401-default-f05-p2-nostore</x:v>
      </x:c>
      <x:c r="B252" s="34" t="str">
        <x:v>default</x:v>
      </x:c>
      <x:c r="C252" s="34" t="str">
        <x:v>nostore</x:v>
      </x:c>
      <x:c r="D252" s="36" t="n">
        <x:v>5</x:v>
      </x:c>
      <x:c r="E252" s="36" t="n">
        <x:v>5</x:v>
      </x:c>
      <x:c r="F252" s="36" t="n">
        <x:v>2</x:v>
      </x:c>
      <x:c r="G252" s="36" t="n">
        <x:v>1</x:v>
      </x:c>
      <x:c r="H252" s="34" t="str">
        <x:v>initial</x:v>
      </x:c>
      <x:c r="I252" s="34" t="str">
        <x:v>no-store-control</x:v>
      </x:c>
      <x:c r="J252" s="45" t="b">
        <x:v>1</x:v>
      </x:c>
      <x:c r="K252" s="45" t="b">
        <x:v>0</x:v>
      </x:c>
      <x:c r="L252" s="45" t="b">
        <x:v>1</x:v>
      </x:c>
      <x:c r="M252" s="43" t="n">
        <x:v>400000</x:v>
      </x:c>
      <x:c r="N252" s="43" t="n">
        <x:v>521897984</x:v>
      </x:c>
      <x:c r="O252" s="43" t="n">
        <x:v>103960708.39587975</x:v>
      </x:c>
      <x:c r="P252" s="45" t="b">
        <x:v>1</x:v>
      </x:c>
      <x:c r="Q252" s="45" t="b">
        <x:v>1</x:v>
      </x:c>
      <x:c r="R252" s="45" t="b">
        <x:v>1</x:v>
      </x:c>
      <x:c r="S252" s="43" t="n">
        <x:v>5000000000</x:v>
      </x:c>
      <x:c r="T252" s="43" t="n">
        <x:v>5020146477</x:v>
      </x:c>
      <x:c r="U252" s="45" t="b">
        <x:v>1</x:v>
      </x:c>
      <x:c r="V252" s="34" t="str">
        <x:v>uniform</x:v>
      </x:c>
      <x:c r="W252" s="42" t="n">
        <x:v>95</x:v>
      </x:c>
      <x:c r="X252" s="48"/>
      <x:c r="Y252" s="48"/>
      <x:c r="Z252" s="49"/>
      <x:c r="AA252" s="43" t="n">
        <x:v>10000</x:v>
      </x:c>
      <x:c r="AB252" s="43"/>
      <x:c r="AC252" s="43" t="n">
        <x:v>0</x:v>
      </x:c>
      <x:c r="AD252" s="45" t="b">
        <x:v>1</x:v>
      </x:c>
      <x:c r="AE252" s="43"/>
      <x:c r="AF252" s="43" t="n">
        <x:v>0</x:v>
      </x:c>
      <x:c r="AG252" s="43" t="n">
        <x:v>0</x:v>
      </x:c>
      <x:c r="AH252" s="45" t="b">
        <x:v>1</x:v>
      </x:c>
      <x:c r="AI252" s="45" t="b">
        <x:v>1</x:v>
      </x:c>
      <x:c r="AJ252" s="45" t="b">
        <x:v>1</x:v>
      </x:c>
      <x:c r="AK252" s="48" t="n">
        <x:v>0</x:v>
      </x:c>
      <x:c r="AL252" s="45" t="b">
        <x:v>1</x:v>
      </x:c>
      <x:c r="AM252" s="45" t="b">
        <x:v>0</x:v>
      </x:c>
      <x:c r="AN252" s="36" t="n">
        <x:v>16</x:v>
      </x:c>
      <x:c r="AO252" s="49"/>
      <x:c r="AP252" s="45" t="b">
        <x:v>1</x:v>
      </x:c>
      <x:c r="AQ252" s="46" t="n">
        <x:f>IF(T252="","",T252/'Readme-Protocol'!$B$24)</x:f>
        <x:v>5.020146477</x:v>
      </x:c>
      <x:c r="AR252" s="46" t="n">
        <x:f>IF(OR(S252="",S252=0),"",T252/S252)</x:f>
        <x:v>1.0040292954</x:v>
      </x:c>
      <x:c r="AS252" s="46" t="str">
        <x:f>IF(OR(X252="",Y252=""),"",ABS(Y252-X252)*'Readme-Protocol'!$B$27)</x:f>
      </x:c>
      <x:c r="AT252" s="49" t="b">
        <x:f>AND(M252&gt;0,N252&gt;=0,O252&gt;0)</x:f>
        <x:v>1</x:v>
      </x:c>
      <x:c r="AU252" s="49" t="b">
        <x:f>AND(AT252,N252&gt;=M252)</x:f>
        <x:v>1</x:v>
      </x:c>
      <x:c r="AV252" s="49" t="b">
        <x:f>OR(S252=0,T252&gt;=S252)</x:f>
        <x:v>1</x:v>
      </x:c>
      <x:c r="AW252" s="49" t="b">
        <x:f>IF(I252="cache-semantics",OR(V252&lt;&gt;"uniform",ABS(Y252-W252/'Readme-Protocol'!$B$27)&lt;='Readme-Protocol'!$B$28),TRUE)</x:f>
        <x:v>1</x:v>
      </x:c>
      <x:c r="AX252" s="43" t="str">
        <x:f>IF(I252="cache-semantics",INT(AA252*'Readme-Protocol'!$B$32),"")</x:f>
      </x:c>
      <x:c r="AY252" s="49" t="b">
        <x:f>IF(I252="cache-semantics",AX252=AB252,TRUE)</x:f>
        <x:v>1</x:v>
      </x:c>
      <x:c r="AZ252" s="49" t="b">
        <x:f>IF(I252="cache-semantics",AX252=AE252,TRUE)</x:f>
        <x:v>1</x:v>
      </x:c>
      <x:c r="BA252" s="49" t="b">
        <x:f>IF(I252="cache-semantics",AC252&gt;=AX252,IF(I252="no-store-control",AC252=0,FALSE))</x:f>
        <x:v>1</x:v>
      </x:c>
      <x:c r="BB252" s="49" t="b">
        <x:f>IF(I252="cache-semantics",AG252&gt;=AX252,IF(I252="no-store-control",AG252=0,FALSE))</x:f>
        <x:v>1</x:v>
      </x:c>
      <x:c r="BC252" s="49" t="b">
        <x:f>AND(BA252,BB252)</x:f>
        <x:v>1</x:v>
      </x:c>
      <x:c r="BD252" s="49" t="b">
        <x:f>IF(I252="no-store-control",AND(AC252=0,AG252=0),TRUE)</x:f>
        <x:v>1</x:v>
      </x:c>
      <x:c r="BE252" s="49" t="b">
        <x:f>IF(I252="no-store-control",AK252=0,TRUE)</x:f>
        <x:v>1</x:v>
      </x:c>
      <x:c r="BF252" s="49" t="b">
        <x:f>IF(I252="cache-semantics",AN252=1,TRUE)</x:f>
        <x:v>1</x:v>
      </x:c>
      <x:c r="BG252" s="49" t="b">
        <x:f>IF(I252="cache-semantics",AND(AU252,AV252,Q252,AW252,BC252,BF252),IF(I252="no-store-control",AND(AU252,AV252,Q252,BD252,BE252),FALSE))</x:f>
        <x:v>1</x:v>
      </x:c>
      <x:c r="BH252" s="49" t="b">
        <x:f>AND(R252,AT252=P252,AU252=L252,AV252=U252,AY252,AZ252,IF(I252="cache-semantics",AND(AW252=Z252,AND(BA252=AD252,BB252=AH252,BC252=AI252),BF252=AO252),IF(I252="no-store-control",AND(AND(BA252=AD252,BB252=AH252,BC252=AI252),BD252=AJ252,BE252=AL252),FALSE)),BG252=AP252)</x:f>
        <x:v>1</x:v>
      </x:c>
      <x:c r="BI252" s="49" t="b">
        <x:f>AND(J252,K252,BG252)</x:f>
        <x:v>0</x:v>
      </x:c>
    </x:row>
    <x:row r="253">
      <x:c r="A253" s="34" t="str">
        <x:v>article1-unified-v4-2-fb3f101b-20260903-000401-default-f05-p2-nostore</x:v>
      </x:c>
      <x:c r="B253" s="34" t="str">
        <x:v>default</x:v>
      </x:c>
      <x:c r="C253" s="34" t="str">
        <x:v>nostore</x:v>
      </x:c>
      <x:c r="D253" s="36" t="n">
        <x:v>5</x:v>
      </x:c>
      <x:c r="E253" s="36" t="n">
        <x:v>5</x:v>
      </x:c>
      <x:c r="F253" s="36" t="n">
        <x:v>2</x:v>
      </x:c>
      <x:c r="G253" s="36" t="n">
        <x:v>1</x:v>
      </x:c>
      <x:c r="H253" s="34" t="str">
        <x:v>redeploy</x:v>
      </x:c>
      <x:c r="I253" s="34" t="str">
        <x:v>no-store-control</x:v>
      </x:c>
      <x:c r="J253" s="45" t="b">
        <x:v>1</x:v>
      </x:c>
      <x:c r="K253" s="45" t="b">
        <x:v>0</x:v>
      </x:c>
      <x:c r="L253" s="45" t="b">
        <x:v>1</x:v>
      </x:c>
      <x:c r="M253" s="43" t="n">
        <x:v>400000</x:v>
      </x:c>
      <x:c r="N253" s="43" t="n">
        <x:v>516153856</x:v>
      </x:c>
      <x:c r="O253" s="43" t="n">
        <x:v>103077742.51945987</x:v>
      </x:c>
      <x:c r="P253" s="45" t="b">
        <x:v>1</x:v>
      </x:c>
      <x:c r="Q253" s="45" t="b">
        <x:v>1</x:v>
      </x:c>
      <x:c r="R253" s="45" t="b">
        <x:v>1</x:v>
      </x:c>
      <x:c r="S253" s="43" t="n">
        <x:v>5000000000</x:v>
      </x:c>
      <x:c r="T253" s="43" t="n">
        <x:v>5007422974</x:v>
      </x:c>
      <x:c r="U253" s="45" t="b">
        <x:v>1</x:v>
      </x:c>
      <x:c r="V253" s="34" t="str">
        <x:v>uniform</x:v>
      </x:c>
      <x:c r="W253" s="42" t="n">
        <x:v>95</x:v>
      </x:c>
      <x:c r="X253" s="48"/>
      <x:c r="Y253" s="48"/>
      <x:c r="Z253" s="49"/>
      <x:c r="AA253" s="43" t="n">
        <x:v>10000</x:v>
      </x:c>
      <x:c r="AB253" s="43"/>
      <x:c r="AC253" s="43" t="n">
        <x:v>0</x:v>
      </x:c>
      <x:c r="AD253" s="45" t="b">
        <x:v>1</x:v>
      </x:c>
      <x:c r="AE253" s="43"/>
      <x:c r="AF253" s="43" t="n">
        <x:v>0</x:v>
      </x:c>
      <x:c r="AG253" s="43" t="n">
        <x:v>0</x:v>
      </x:c>
      <x:c r="AH253" s="45" t="b">
        <x:v>1</x:v>
      </x:c>
      <x:c r="AI253" s="45" t="b">
        <x:v>1</x:v>
      </x:c>
      <x:c r="AJ253" s="45" t="b">
        <x:v>1</x:v>
      </x:c>
      <x:c r="AK253" s="48" t="n">
        <x:v>0</x:v>
      </x:c>
      <x:c r="AL253" s="45" t="b">
        <x:v>1</x:v>
      </x:c>
      <x:c r="AM253" s="45" t="b">
        <x:v>0</x:v>
      </x:c>
      <x:c r="AN253" s="36" t="n">
        <x:v>16</x:v>
      </x:c>
      <x:c r="AO253" s="49"/>
      <x:c r="AP253" s="45" t="b">
        <x:v>1</x:v>
      </x:c>
      <x:c r="AQ253" s="46" t="n">
        <x:f>IF(T253="","",T253/'Readme-Protocol'!$B$24)</x:f>
        <x:v>5.007422974</x:v>
      </x:c>
      <x:c r="AR253" s="46" t="n">
        <x:f>IF(OR(S253="",S253=0),"",T253/S253)</x:f>
        <x:v>1.0014845948</x:v>
      </x:c>
      <x:c r="AS253" s="46" t="str">
        <x:f>IF(OR(X253="",Y253=""),"",ABS(Y253-X253)*'Readme-Protocol'!$B$27)</x:f>
      </x:c>
      <x:c r="AT253" s="49" t="b">
        <x:f>AND(M253&gt;0,N253&gt;=0,O253&gt;0)</x:f>
        <x:v>1</x:v>
      </x:c>
      <x:c r="AU253" s="49" t="b">
        <x:f>AND(AT253,N253&gt;=M253)</x:f>
        <x:v>1</x:v>
      </x:c>
      <x:c r="AV253" s="49" t="b">
        <x:f>OR(S253=0,T253&gt;=S253)</x:f>
        <x:v>1</x:v>
      </x:c>
      <x:c r="AW253" s="49" t="b">
        <x:f>IF(I253="cache-semantics",OR(V253&lt;&gt;"uniform",ABS(Y253-W253/'Readme-Protocol'!$B$27)&lt;='Readme-Protocol'!$B$28),TRUE)</x:f>
        <x:v>1</x:v>
      </x:c>
      <x:c r="AX253" s="43" t="str">
        <x:f>IF(I253="cache-semantics",INT(AA253*'Readme-Protocol'!$B$32),"")</x:f>
      </x:c>
      <x:c r="AY253" s="49" t="b">
        <x:f>IF(I253="cache-semantics",AX253=AB253,TRUE)</x:f>
        <x:v>1</x:v>
      </x:c>
      <x:c r="AZ253" s="49" t="b">
        <x:f>IF(I253="cache-semantics",AX253=AE253,TRUE)</x:f>
        <x:v>1</x:v>
      </x:c>
      <x:c r="BA253" s="49" t="b">
        <x:f>IF(I253="cache-semantics",AC253&gt;=AX253,IF(I253="no-store-control",AC253=0,FALSE))</x:f>
        <x:v>1</x:v>
      </x:c>
      <x:c r="BB253" s="49" t="b">
        <x:f>IF(I253="cache-semantics",AG253&gt;=AX253,IF(I253="no-store-control",AG253=0,FALSE))</x:f>
        <x:v>1</x:v>
      </x:c>
      <x:c r="BC253" s="49" t="b">
        <x:f>AND(BA253,BB253)</x:f>
        <x:v>1</x:v>
      </x:c>
      <x:c r="BD253" s="49" t="b">
        <x:f>IF(I253="no-store-control",AND(AC253=0,AG253=0),TRUE)</x:f>
        <x:v>1</x:v>
      </x:c>
      <x:c r="BE253" s="49" t="b">
        <x:f>IF(I253="no-store-control",AK253=0,TRUE)</x:f>
        <x:v>1</x:v>
      </x:c>
      <x:c r="BF253" s="49" t="b">
        <x:f>IF(I253="cache-semantics",AN253=1,TRUE)</x:f>
        <x:v>1</x:v>
      </x:c>
      <x:c r="BG253" s="49" t="b">
        <x:f>IF(I253="cache-semantics",AND(AU253,AV253,Q253,AW253,BC253,BF253),IF(I253="no-store-control",AND(AU253,AV253,Q253,BD253,BE253),FALSE))</x:f>
        <x:v>1</x:v>
      </x:c>
      <x:c r="BH253" s="49" t="b">
        <x:f>AND(R253,AT253=P253,AU253=L253,AV253=U253,AY253,AZ253,IF(I253="cache-semantics",AND(AW253=Z253,AND(BA253=AD253,BB253=AH253,BC253=AI253),BF253=AO253),IF(I253="no-store-control",AND(AND(BA253=AD253,BB253=AH253,BC253=AI253),BD253=AJ253,BE253=AL253),FALSE)),BG253=AP253)</x:f>
        <x:v>1</x:v>
      </x:c>
      <x:c r="BI253" s="49" t="b">
        <x:f>AND(J253,K253,BG253)</x:f>
        <x:v>0</x:v>
      </x:c>
    </x:row>
    <x:row r="254">
      <x:c r="A254" s="34" t="str">
        <x:v>article1-unified-v4-2-fb3f101b-20260903-000401-default-f05-p2-nostore</x:v>
      </x:c>
      <x:c r="B254" s="34" t="str">
        <x:v>default</x:v>
      </x:c>
      <x:c r="C254" s="34" t="str">
        <x:v>nostore</x:v>
      </x:c>
      <x:c r="D254" s="36" t="n">
        <x:v>5</x:v>
      </x:c>
      <x:c r="E254" s="36" t="n">
        <x:v>5</x:v>
      </x:c>
      <x:c r="F254" s="36" t="n">
        <x:v>2</x:v>
      </x:c>
      <x:c r="G254" s="36" t="n">
        <x:v>2</x:v>
      </x:c>
      <x:c r="H254" s="34" t="str">
        <x:v>initial</x:v>
      </x:c>
      <x:c r="I254" s="34" t="str">
        <x:v>no-store-control</x:v>
      </x:c>
      <x:c r="J254" s="45" t="b">
        <x:v>1</x:v>
      </x:c>
      <x:c r="K254" s="45" t="b">
        <x:v>0</x:v>
      </x:c>
      <x:c r="L254" s="45" t="b">
        <x:v>1</x:v>
      </x:c>
      <x:c r="M254" s="43" t="n">
        <x:v>400000</x:v>
      </x:c>
      <x:c r="N254" s="43" t="n">
        <x:v>518086400</x:v>
      </x:c>
      <x:c r="O254" s="43" t="n">
        <x:v>103354677.75769313</x:v>
      </x:c>
      <x:c r="P254" s="45" t="b">
        <x:v>1</x:v>
      </x:c>
      <x:c r="Q254" s="45" t="b">
        <x:v>1</x:v>
      </x:c>
      <x:c r="R254" s="45" t="b">
        <x:v>1</x:v>
      </x:c>
      <x:c r="S254" s="43" t="n">
        <x:v>5000000000</x:v>
      </x:c>
      <x:c r="T254" s="43" t="n">
        <x:v>5012703936</x:v>
      </x:c>
      <x:c r="U254" s="45" t="b">
        <x:v>1</x:v>
      </x:c>
      <x:c r="V254" s="34" t="str">
        <x:v>uniform</x:v>
      </x:c>
      <x:c r="W254" s="42" t="n">
        <x:v>95</x:v>
      </x:c>
      <x:c r="X254" s="48"/>
      <x:c r="Y254" s="48"/>
      <x:c r="Z254" s="49"/>
      <x:c r="AA254" s="43" t="n">
        <x:v>10000</x:v>
      </x:c>
      <x:c r="AB254" s="43"/>
      <x:c r="AC254" s="43" t="n">
        <x:v>0</x:v>
      </x:c>
      <x:c r="AD254" s="45" t="b">
        <x:v>1</x:v>
      </x:c>
      <x:c r="AE254" s="43"/>
      <x:c r="AF254" s="43" t="n">
        <x:v>0</x:v>
      </x:c>
      <x:c r="AG254" s="43" t="n">
        <x:v>0</x:v>
      </x:c>
      <x:c r="AH254" s="45" t="b">
        <x:v>1</x:v>
      </x:c>
      <x:c r="AI254" s="45" t="b">
        <x:v>1</x:v>
      </x:c>
      <x:c r="AJ254" s="45" t="b">
        <x:v>1</x:v>
      </x:c>
      <x:c r="AK254" s="48" t="n">
        <x:v>0</x:v>
      </x:c>
      <x:c r="AL254" s="45" t="b">
        <x:v>1</x:v>
      </x:c>
      <x:c r="AM254" s="45" t="b">
        <x:v>0</x:v>
      </x:c>
      <x:c r="AN254" s="36" t="n">
        <x:v>16</x:v>
      </x:c>
      <x:c r="AO254" s="49"/>
      <x:c r="AP254" s="45" t="b">
        <x:v>1</x:v>
      </x:c>
      <x:c r="AQ254" s="46" t="n">
        <x:f>IF(T254="","",T254/'Readme-Protocol'!$B$24)</x:f>
        <x:v>5.012703936</x:v>
      </x:c>
      <x:c r="AR254" s="46" t="n">
        <x:f>IF(OR(S254="",S254=0),"",T254/S254)</x:f>
        <x:v>1.0025407872</x:v>
      </x:c>
      <x:c r="AS254" s="46" t="str">
        <x:f>IF(OR(X254="",Y254=""),"",ABS(Y254-X254)*'Readme-Protocol'!$B$27)</x:f>
      </x:c>
      <x:c r="AT254" s="49" t="b">
        <x:f>AND(M254&gt;0,N254&gt;=0,O254&gt;0)</x:f>
        <x:v>1</x:v>
      </x:c>
      <x:c r="AU254" s="49" t="b">
        <x:f>AND(AT254,N254&gt;=M254)</x:f>
        <x:v>1</x:v>
      </x:c>
      <x:c r="AV254" s="49" t="b">
        <x:f>OR(S254=0,T254&gt;=S254)</x:f>
        <x:v>1</x:v>
      </x:c>
      <x:c r="AW254" s="49" t="b">
        <x:f>IF(I254="cache-semantics",OR(V254&lt;&gt;"uniform",ABS(Y254-W254/'Readme-Protocol'!$B$27)&lt;='Readme-Protocol'!$B$28),TRUE)</x:f>
        <x:v>1</x:v>
      </x:c>
      <x:c r="AX254" s="43" t="str">
        <x:f>IF(I254="cache-semantics",INT(AA254*'Readme-Protocol'!$B$32),"")</x:f>
      </x:c>
      <x:c r="AY254" s="49" t="b">
        <x:f>IF(I254="cache-semantics",AX254=AB254,TRUE)</x:f>
        <x:v>1</x:v>
      </x:c>
      <x:c r="AZ254" s="49" t="b">
        <x:f>IF(I254="cache-semantics",AX254=AE254,TRUE)</x:f>
        <x:v>1</x:v>
      </x:c>
      <x:c r="BA254" s="49" t="b">
        <x:f>IF(I254="cache-semantics",AC254&gt;=AX254,IF(I254="no-store-control",AC254=0,FALSE))</x:f>
        <x:v>1</x:v>
      </x:c>
      <x:c r="BB254" s="49" t="b">
        <x:f>IF(I254="cache-semantics",AG254&gt;=AX254,IF(I254="no-store-control",AG254=0,FALSE))</x:f>
        <x:v>1</x:v>
      </x:c>
      <x:c r="BC254" s="49" t="b">
        <x:f>AND(BA254,BB254)</x:f>
        <x:v>1</x:v>
      </x:c>
      <x:c r="BD254" s="49" t="b">
        <x:f>IF(I254="no-store-control",AND(AC254=0,AG254=0),TRUE)</x:f>
        <x:v>1</x:v>
      </x:c>
      <x:c r="BE254" s="49" t="b">
        <x:f>IF(I254="no-store-control",AK254=0,TRUE)</x:f>
        <x:v>1</x:v>
      </x:c>
      <x:c r="BF254" s="49" t="b">
        <x:f>IF(I254="cache-semantics",AN254=1,TRUE)</x:f>
        <x:v>1</x:v>
      </x:c>
      <x:c r="BG254" s="49" t="b">
        <x:f>IF(I254="cache-semantics",AND(AU254,AV254,Q254,AW254,BC254,BF254),IF(I254="no-store-control",AND(AU254,AV254,Q254,BD254,BE254),FALSE))</x:f>
        <x:v>1</x:v>
      </x:c>
      <x:c r="BH254" s="49" t="b">
        <x:f>AND(R254,AT254=P254,AU254=L254,AV254=U254,AY254,AZ254,IF(I254="cache-semantics",AND(AW254=Z254,AND(BA254=AD254,BB254=AH254,BC254=AI254),BF254=AO254),IF(I254="no-store-control",AND(AND(BA254=AD254,BB254=AH254,BC254=AI254),BD254=AJ254,BE254=AL254),FALSE)),BG254=AP254)</x:f>
        <x:v>1</x:v>
      </x:c>
      <x:c r="BI254" s="49" t="b">
        <x:f>AND(J254,K254,BG254)</x:f>
        <x:v>0</x:v>
      </x:c>
    </x:row>
    <x:row r="255">
      <x:c r="A255" s="34" t="str">
        <x:v>article1-unified-v4-2-fb3f101b-20260903-000401-default-f05-p2-nostore</x:v>
      </x:c>
      <x:c r="B255" s="34" t="str">
        <x:v>default</x:v>
      </x:c>
      <x:c r="C255" s="34" t="str">
        <x:v>nostore</x:v>
      </x:c>
      <x:c r="D255" s="36" t="n">
        <x:v>5</x:v>
      </x:c>
      <x:c r="E255" s="36" t="n">
        <x:v>5</x:v>
      </x:c>
      <x:c r="F255" s="36" t="n">
        <x:v>2</x:v>
      </x:c>
      <x:c r="G255" s="36" t="n">
        <x:v>2</x:v>
      </x:c>
      <x:c r="H255" s="34" t="str">
        <x:v>redeploy</x:v>
      </x:c>
      <x:c r="I255" s="34" t="str">
        <x:v>no-store-control</x:v>
      </x:c>
      <x:c r="J255" s="45" t="b">
        <x:v>1</x:v>
      </x:c>
      <x:c r="K255" s="45" t="b">
        <x:v>0</x:v>
      </x:c>
      <x:c r="L255" s="45" t="b">
        <x:v>1</x:v>
      </x:c>
      <x:c r="M255" s="43" t="n">
        <x:v>400000</x:v>
      </x:c>
      <x:c r="N255" s="43" t="n">
        <x:v>520441600</x:v>
      </x:c>
      <x:c r="O255" s="43" t="n">
        <x:v>103953317.36524685</x:v>
      </x:c>
      <x:c r="P255" s="45" t="b">
        <x:v>1</x:v>
      </x:c>
      <x:c r="Q255" s="45" t="b">
        <x:v>1</x:v>
      </x:c>
      <x:c r="R255" s="45" t="b">
        <x:v>1</x:v>
      </x:c>
      <x:c r="S255" s="43" t="n">
        <x:v>5000000000</x:v>
      </x:c>
      <x:c r="T255" s="43" t="n">
        <x:v>5006493426</x:v>
      </x:c>
      <x:c r="U255" s="45" t="b">
        <x:v>1</x:v>
      </x:c>
      <x:c r="V255" s="34" t="str">
        <x:v>uniform</x:v>
      </x:c>
      <x:c r="W255" s="42" t="n">
        <x:v>95</x:v>
      </x:c>
      <x:c r="X255" s="48"/>
      <x:c r="Y255" s="48"/>
      <x:c r="Z255" s="49"/>
      <x:c r="AA255" s="43" t="n">
        <x:v>10000</x:v>
      </x:c>
      <x:c r="AB255" s="43"/>
      <x:c r="AC255" s="43" t="n">
        <x:v>0</x:v>
      </x:c>
      <x:c r="AD255" s="45" t="b">
        <x:v>1</x:v>
      </x:c>
      <x:c r="AE255" s="43"/>
      <x:c r="AF255" s="43" t="n">
        <x:v>0</x:v>
      </x:c>
      <x:c r="AG255" s="43" t="n">
        <x:v>0</x:v>
      </x:c>
      <x:c r="AH255" s="45" t="b">
        <x:v>1</x:v>
      </x:c>
      <x:c r="AI255" s="45" t="b">
        <x:v>1</x:v>
      </x:c>
      <x:c r="AJ255" s="45" t="b">
        <x:v>1</x:v>
      </x:c>
      <x:c r="AK255" s="48" t="n">
        <x:v>0</x:v>
      </x:c>
      <x:c r="AL255" s="45" t="b">
        <x:v>1</x:v>
      </x:c>
      <x:c r="AM255" s="45" t="b">
        <x:v>0</x:v>
      </x:c>
      <x:c r="AN255" s="36" t="n">
        <x:v>16</x:v>
      </x:c>
      <x:c r="AO255" s="49"/>
      <x:c r="AP255" s="45" t="b">
        <x:v>1</x:v>
      </x:c>
      <x:c r="AQ255" s="46" t="n">
        <x:f>IF(T255="","",T255/'Readme-Protocol'!$B$24)</x:f>
        <x:v>5.006493426</x:v>
      </x:c>
      <x:c r="AR255" s="46" t="n">
        <x:f>IF(OR(S255="",S255=0),"",T255/S255)</x:f>
        <x:v>1.0012986852</x:v>
      </x:c>
      <x:c r="AS255" s="46" t="str">
        <x:f>IF(OR(X255="",Y255=""),"",ABS(Y255-X255)*'Readme-Protocol'!$B$27)</x:f>
      </x:c>
      <x:c r="AT255" s="49" t="b">
        <x:f>AND(M255&gt;0,N255&gt;=0,O255&gt;0)</x:f>
        <x:v>1</x:v>
      </x:c>
      <x:c r="AU255" s="49" t="b">
        <x:f>AND(AT255,N255&gt;=M255)</x:f>
        <x:v>1</x:v>
      </x:c>
      <x:c r="AV255" s="49" t="b">
        <x:f>OR(S255=0,T255&gt;=S255)</x:f>
        <x:v>1</x:v>
      </x:c>
      <x:c r="AW255" s="49" t="b">
        <x:f>IF(I255="cache-semantics",OR(V255&lt;&gt;"uniform",ABS(Y255-W255/'Readme-Protocol'!$B$27)&lt;='Readme-Protocol'!$B$28),TRUE)</x:f>
        <x:v>1</x:v>
      </x:c>
      <x:c r="AX255" s="43" t="str">
        <x:f>IF(I255="cache-semantics",INT(AA255*'Readme-Protocol'!$B$32),"")</x:f>
      </x:c>
      <x:c r="AY255" s="49" t="b">
        <x:f>IF(I255="cache-semantics",AX255=AB255,TRUE)</x:f>
        <x:v>1</x:v>
      </x:c>
      <x:c r="AZ255" s="49" t="b">
        <x:f>IF(I255="cache-semantics",AX255=AE255,TRUE)</x:f>
        <x:v>1</x:v>
      </x:c>
      <x:c r="BA255" s="49" t="b">
        <x:f>IF(I255="cache-semantics",AC255&gt;=AX255,IF(I255="no-store-control",AC255=0,FALSE))</x:f>
        <x:v>1</x:v>
      </x:c>
      <x:c r="BB255" s="49" t="b">
        <x:f>IF(I255="cache-semantics",AG255&gt;=AX255,IF(I255="no-store-control",AG255=0,FALSE))</x:f>
        <x:v>1</x:v>
      </x:c>
      <x:c r="BC255" s="49" t="b">
        <x:f>AND(BA255,BB255)</x:f>
        <x:v>1</x:v>
      </x:c>
      <x:c r="BD255" s="49" t="b">
        <x:f>IF(I255="no-store-control",AND(AC255=0,AG255=0),TRUE)</x:f>
        <x:v>1</x:v>
      </x:c>
      <x:c r="BE255" s="49" t="b">
        <x:f>IF(I255="no-store-control",AK255=0,TRUE)</x:f>
        <x:v>1</x:v>
      </x:c>
      <x:c r="BF255" s="49" t="b">
        <x:f>IF(I255="cache-semantics",AN255=1,TRUE)</x:f>
        <x:v>1</x:v>
      </x:c>
      <x:c r="BG255" s="49" t="b">
        <x:f>IF(I255="cache-semantics",AND(AU255,AV255,Q255,AW255,BC255,BF255),IF(I255="no-store-control",AND(AU255,AV255,Q255,BD255,BE255),FALSE))</x:f>
        <x:v>1</x:v>
      </x:c>
      <x:c r="BH255" s="49" t="b">
        <x:f>AND(R255,AT255=P255,AU255=L255,AV255=U255,AY255,AZ255,IF(I255="cache-semantics",AND(AW255=Z255,AND(BA255=AD255,BB255=AH255,BC255=AI255),BF255=AO255),IF(I255="no-store-control",AND(AND(BA255=AD255,BB255=AH255,BC255=AI255),BD255=AJ255,BE255=AL255),FALSE)),BG255=AP255)</x:f>
        <x:v>1</x:v>
      </x:c>
      <x:c r="BI255" s="49" t="b">
        <x:f>AND(J255,K255,BG255)</x:f>
        <x:v>0</x:v>
      </x:c>
    </x:row>
    <x:row r="256">
      <x:c r="A256" s="34" t="str">
        <x:v>article1-unified-v4-2-fb3f101b-20260903-000401-default-f05-p2-nostore</x:v>
      </x:c>
      <x:c r="B256" s="34" t="str">
        <x:v>default</x:v>
      </x:c>
      <x:c r="C256" s="34" t="str">
        <x:v>nostore</x:v>
      </x:c>
      <x:c r="D256" s="36" t="n">
        <x:v>5</x:v>
      </x:c>
      <x:c r="E256" s="36" t="n">
        <x:v>5</x:v>
      </x:c>
      <x:c r="F256" s="36" t="n">
        <x:v>2</x:v>
      </x:c>
      <x:c r="G256" s="36" t="n">
        <x:v>3</x:v>
      </x:c>
      <x:c r="H256" s="34" t="str">
        <x:v>initial</x:v>
      </x:c>
      <x:c r="I256" s="34" t="str">
        <x:v>no-store-control</x:v>
      </x:c>
      <x:c r="J256" s="45" t="b">
        <x:v>1</x:v>
      </x:c>
      <x:c r="K256" s="45" t="b">
        <x:v>0</x:v>
      </x:c>
      <x:c r="L256" s="45" t="b">
        <x:v>1</x:v>
      </x:c>
      <x:c r="M256" s="43" t="n">
        <x:v>400000</x:v>
      </x:c>
      <x:c r="N256" s="43" t="n">
        <x:v>518220288</x:v>
      </x:c>
      <x:c r="O256" s="43" t="n">
        <x:v>103490565.13366164</x:v>
      </x:c>
      <x:c r="P256" s="45" t="b">
        <x:v>1</x:v>
      </x:c>
      <x:c r="Q256" s="45" t="b">
        <x:v>1</x:v>
      </x:c>
      <x:c r="R256" s="45" t="b">
        <x:v>1</x:v>
      </x:c>
      <x:c r="S256" s="43" t="n">
        <x:v>5000000000</x:v>
      </x:c>
      <x:c r="T256" s="43" t="n">
        <x:v>5007415771</x:v>
      </x:c>
      <x:c r="U256" s="45" t="b">
        <x:v>1</x:v>
      </x:c>
      <x:c r="V256" s="34" t="str">
        <x:v>uniform</x:v>
      </x:c>
      <x:c r="W256" s="42" t="n">
        <x:v>95</x:v>
      </x:c>
      <x:c r="X256" s="48"/>
      <x:c r="Y256" s="48"/>
      <x:c r="Z256" s="49"/>
      <x:c r="AA256" s="43" t="n">
        <x:v>10000</x:v>
      </x:c>
      <x:c r="AB256" s="43"/>
      <x:c r="AC256" s="43" t="n">
        <x:v>0</x:v>
      </x:c>
      <x:c r="AD256" s="45" t="b">
        <x:v>1</x:v>
      </x:c>
      <x:c r="AE256" s="43"/>
      <x:c r="AF256" s="43" t="n">
        <x:v>0</x:v>
      </x:c>
      <x:c r="AG256" s="43" t="n">
        <x:v>0</x:v>
      </x:c>
      <x:c r="AH256" s="45" t="b">
        <x:v>1</x:v>
      </x:c>
      <x:c r="AI256" s="45" t="b">
        <x:v>1</x:v>
      </x:c>
      <x:c r="AJ256" s="45" t="b">
        <x:v>1</x:v>
      </x:c>
      <x:c r="AK256" s="48" t="n">
        <x:v>0</x:v>
      </x:c>
      <x:c r="AL256" s="45" t="b">
        <x:v>1</x:v>
      </x:c>
      <x:c r="AM256" s="45" t="b">
        <x:v>0</x:v>
      </x:c>
      <x:c r="AN256" s="36" t="n">
        <x:v>16</x:v>
      </x:c>
      <x:c r="AO256" s="49"/>
      <x:c r="AP256" s="45" t="b">
        <x:v>1</x:v>
      </x:c>
      <x:c r="AQ256" s="46" t="n">
        <x:f>IF(T256="","",T256/'Readme-Protocol'!$B$24)</x:f>
        <x:v>5.007415771</x:v>
      </x:c>
      <x:c r="AR256" s="46" t="n">
        <x:f>IF(OR(S256="",S256=0),"",T256/S256)</x:f>
        <x:v>1.0014831542</x:v>
      </x:c>
      <x:c r="AS256" s="46" t="str">
        <x:f>IF(OR(X256="",Y256=""),"",ABS(Y256-X256)*'Readme-Protocol'!$B$27)</x:f>
      </x:c>
      <x:c r="AT256" s="49" t="b">
        <x:f>AND(M256&gt;0,N256&gt;=0,O256&gt;0)</x:f>
        <x:v>1</x:v>
      </x:c>
      <x:c r="AU256" s="49" t="b">
        <x:f>AND(AT256,N256&gt;=M256)</x:f>
        <x:v>1</x:v>
      </x:c>
      <x:c r="AV256" s="49" t="b">
        <x:f>OR(S256=0,T256&gt;=S256)</x:f>
        <x:v>1</x:v>
      </x:c>
      <x:c r="AW256" s="49" t="b">
        <x:f>IF(I256="cache-semantics",OR(V256&lt;&gt;"uniform",ABS(Y256-W256/'Readme-Protocol'!$B$27)&lt;='Readme-Protocol'!$B$28),TRUE)</x:f>
        <x:v>1</x:v>
      </x:c>
      <x:c r="AX256" s="43" t="str">
        <x:f>IF(I256="cache-semantics",INT(AA256*'Readme-Protocol'!$B$32),"")</x:f>
      </x:c>
      <x:c r="AY256" s="49" t="b">
        <x:f>IF(I256="cache-semantics",AX256=AB256,TRUE)</x:f>
        <x:v>1</x:v>
      </x:c>
      <x:c r="AZ256" s="49" t="b">
        <x:f>IF(I256="cache-semantics",AX256=AE256,TRUE)</x:f>
        <x:v>1</x:v>
      </x:c>
      <x:c r="BA256" s="49" t="b">
        <x:f>IF(I256="cache-semantics",AC256&gt;=AX256,IF(I256="no-store-control",AC256=0,FALSE))</x:f>
        <x:v>1</x:v>
      </x:c>
      <x:c r="BB256" s="49" t="b">
        <x:f>IF(I256="cache-semantics",AG256&gt;=AX256,IF(I256="no-store-control",AG256=0,FALSE))</x:f>
        <x:v>1</x:v>
      </x:c>
      <x:c r="BC256" s="49" t="b">
        <x:f>AND(BA256,BB256)</x:f>
        <x:v>1</x:v>
      </x:c>
      <x:c r="BD256" s="49" t="b">
        <x:f>IF(I256="no-store-control",AND(AC256=0,AG256=0),TRUE)</x:f>
        <x:v>1</x:v>
      </x:c>
      <x:c r="BE256" s="49" t="b">
        <x:f>IF(I256="no-store-control",AK256=0,TRUE)</x:f>
        <x:v>1</x:v>
      </x:c>
      <x:c r="BF256" s="49" t="b">
        <x:f>IF(I256="cache-semantics",AN256=1,TRUE)</x:f>
        <x:v>1</x:v>
      </x:c>
      <x:c r="BG256" s="49" t="b">
        <x:f>IF(I256="cache-semantics",AND(AU256,AV256,Q256,AW256,BC256,BF256),IF(I256="no-store-control",AND(AU256,AV256,Q256,BD256,BE256),FALSE))</x:f>
        <x:v>1</x:v>
      </x:c>
      <x:c r="BH256" s="49" t="b">
        <x:f>AND(R256,AT256=P256,AU256=L256,AV256=U256,AY256,AZ256,IF(I256="cache-semantics",AND(AW256=Z256,AND(BA256=AD256,BB256=AH256,BC256=AI256),BF256=AO256),IF(I256="no-store-control",AND(AND(BA256=AD256,BB256=AH256,BC256=AI256),BD256=AJ256,BE256=AL256),FALSE)),BG256=AP256)</x:f>
        <x:v>1</x:v>
      </x:c>
      <x:c r="BI256" s="49" t="b">
        <x:f>AND(J256,K256,BG256)</x:f>
        <x:v>0</x:v>
      </x:c>
    </x:row>
    <x:row r="257">
      <x:c r="A257" s="34" t="str">
        <x:v>article1-unified-v4-2-fb3f101b-20260903-000401-default-f05-p2-nostore</x:v>
      </x:c>
      <x:c r="B257" s="34" t="str">
        <x:v>default</x:v>
      </x:c>
      <x:c r="C257" s="34" t="str">
        <x:v>nostore</x:v>
      </x:c>
      <x:c r="D257" s="36" t="n">
        <x:v>5</x:v>
      </x:c>
      <x:c r="E257" s="36" t="n">
        <x:v>5</x:v>
      </x:c>
      <x:c r="F257" s="36" t="n">
        <x:v>2</x:v>
      </x:c>
      <x:c r="G257" s="36" t="n">
        <x:v>3</x:v>
      </x:c>
      <x:c r="H257" s="34" t="str">
        <x:v>redeploy</x:v>
      </x:c>
      <x:c r="I257" s="34" t="str">
        <x:v>no-store-control</x:v>
      </x:c>
      <x:c r="J257" s="45" t="b">
        <x:v>1</x:v>
      </x:c>
      <x:c r="K257" s="45" t="b">
        <x:v>0</x:v>
      </x:c>
      <x:c r="L257" s="45" t="b">
        <x:v>1</x:v>
      </x:c>
      <x:c r="M257" s="43" t="n">
        <x:v>400000</x:v>
      </x:c>
      <x:c r="N257" s="43" t="n">
        <x:v>523792640</x:v>
      </x:c>
      <x:c r="O257" s="43" t="n">
        <x:v>104553462.31761166</x:v>
      </x:c>
      <x:c r="P257" s="45" t="b">
        <x:v>1</x:v>
      </x:c>
      <x:c r="Q257" s="45" t="b">
        <x:v>1</x:v>
      </x:c>
      <x:c r="R257" s="45" t="b">
        <x:v>1</x:v>
      </x:c>
      <x:c r="S257" s="43" t="n">
        <x:v>5000000000</x:v>
      </x:c>
      <x:c r="T257" s="43" t="n">
        <x:v>5009806738</x:v>
      </x:c>
      <x:c r="U257" s="45" t="b">
        <x:v>1</x:v>
      </x:c>
      <x:c r="V257" s="34" t="str">
        <x:v>uniform</x:v>
      </x:c>
      <x:c r="W257" s="42" t="n">
        <x:v>95</x:v>
      </x:c>
      <x:c r="X257" s="48"/>
      <x:c r="Y257" s="48"/>
      <x:c r="Z257" s="49"/>
      <x:c r="AA257" s="43" t="n">
        <x:v>10000</x:v>
      </x:c>
      <x:c r="AB257" s="43"/>
      <x:c r="AC257" s="43" t="n">
        <x:v>0</x:v>
      </x:c>
      <x:c r="AD257" s="45" t="b">
        <x:v>1</x:v>
      </x:c>
      <x:c r="AE257" s="43"/>
      <x:c r="AF257" s="43" t="n">
        <x:v>0</x:v>
      </x:c>
      <x:c r="AG257" s="43" t="n">
        <x:v>0</x:v>
      </x:c>
      <x:c r="AH257" s="45" t="b">
        <x:v>1</x:v>
      </x:c>
      <x:c r="AI257" s="45" t="b">
        <x:v>1</x:v>
      </x:c>
      <x:c r="AJ257" s="45" t="b">
        <x:v>1</x:v>
      </x:c>
      <x:c r="AK257" s="48" t="n">
        <x:v>0</x:v>
      </x:c>
      <x:c r="AL257" s="45" t="b">
        <x:v>1</x:v>
      </x:c>
      <x:c r="AM257" s="45" t="b">
        <x:v>0</x:v>
      </x:c>
      <x:c r="AN257" s="36" t="n">
        <x:v>16</x:v>
      </x:c>
      <x:c r="AO257" s="49"/>
      <x:c r="AP257" s="45" t="b">
        <x:v>1</x:v>
      </x:c>
      <x:c r="AQ257" s="46" t="n">
        <x:f>IF(T257="","",T257/'Readme-Protocol'!$B$24)</x:f>
        <x:v>5.009806738</x:v>
      </x:c>
      <x:c r="AR257" s="46" t="n">
        <x:f>IF(OR(S257="",S257=0),"",T257/S257)</x:f>
        <x:v>1.0019613476</x:v>
      </x:c>
      <x:c r="AS257" s="46" t="str">
        <x:f>IF(OR(X257="",Y257=""),"",ABS(Y257-X257)*'Readme-Protocol'!$B$27)</x:f>
      </x:c>
      <x:c r="AT257" s="49" t="b">
        <x:f>AND(M257&gt;0,N257&gt;=0,O257&gt;0)</x:f>
        <x:v>1</x:v>
      </x:c>
      <x:c r="AU257" s="49" t="b">
        <x:f>AND(AT257,N257&gt;=M257)</x:f>
        <x:v>1</x:v>
      </x:c>
      <x:c r="AV257" s="49" t="b">
        <x:f>OR(S257=0,T257&gt;=S257)</x:f>
        <x:v>1</x:v>
      </x:c>
      <x:c r="AW257" s="49" t="b">
        <x:f>IF(I257="cache-semantics",OR(V257&lt;&gt;"uniform",ABS(Y257-W257/'Readme-Protocol'!$B$27)&lt;='Readme-Protocol'!$B$28),TRUE)</x:f>
        <x:v>1</x:v>
      </x:c>
      <x:c r="AX257" s="43" t="str">
        <x:f>IF(I257="cache-semantics",INT(AA257*'Readme-Protocol'!$B$32),"")</x:f>
      </x:c>
      <x:c r="AY257" s="49" t="b">
        <x:f>IF(I257="cache-semantics",AX257=AB257,TRUE)</x:f>
        <x:v>1</x:v>
      </x:c>
      <x:c r="AZ257" s="49" t="b">
        <x:f>IF(I257="cache-semantics",AX257=AE257,TRUE)</x:f>
        <x:v>1</x:v>
      </x:c>
      <x:c r="BA257" s="49" t="b">
        <x:f>IF(I257="cache-semantics",AC257&gt;=AX257,IF(I257="no-store-control",AC257=0,FALSE))</x:f>
        <x:v>1</x:v>
      </x:c>
      <x:c r="BB257" s="49" t="b">
        <x:f>IF(I257="cache-semantics",AG257&gt;=AX257,IF(I257="no-store-control",AG257=0,FALSE))</x:f>
        <x:v>1</x:v>
      </x:c>
      <x:c r="BC257" s="49" t="b">
        <x:f>AND(BA257,BB257)</x:f>
        <x:v>1</x:v>
      </x:c>
      <x:c r="BD257" s="49" t="b">
        <x:f>IF(I257="no-store-control",AND(AC257=0,AG257=0),TRUE)</x:f>
        <x:v>1</x:v>
      </x:c>
      <x:c r="BE257" s="49" t="b">
        <x:f>IF(I257="no-store-control",AK257=0,TRUE)</x:f>
        <x:v>1</x:v>
      </x:c>
      <x:c r="BF257" s="49" t="b">
        <x:f>IF(I257="cache-semantics",AN257=1,TRUE)</x:f>
        <x:v>1</x:v>
      </x:c>
      <x:c r="BG257" s="49" t="b">
        <x:f>IF(I257="cache-semantics",AND(AU257,AV257,Q257,AW257,BC257,BF257),IF(I257="no-store-control",AND(AU257,AV257,Q257,BD257,BE257),FALSE))</x:f>
        <x:v>1</x:v>
      </x:c>
      <x:c r="BH257" s="49" t="b">
        <x:f>AND(R257,AT257=P257,AU257=L257,AV257=U257,AY257,AZ257,IF(I257="cache-semantics",AND(AW257=Z257,AND(BA257=AD257,BB257=AH257,BC257=AI257),BF257=AO257),IF(I257="no-store-control",AND(AND(BA257=AD257,BB257=AH257,BC257=AI257),BD257=AJ257,BE257=AL257),FALSE)),BG257=AP257)</x:f>
        <x:v>1</x:v>
      </x:c>
      <x:c r="BI257" s="49" t="b">
        <x:f>AND(J257,K257,BG257)</x:f>
        <x:v>0</x:v>
      </x:c>
    </x:row>
    <x:row r="258">
      <x:c r="A258" s="34" t="str">
        <x:v>article1-unified-v4-2-fb3f101b-20260903-000401-default-f05-p2-nostore</x:v>
      </x:c>
      <x:c r="B258" s="34" t="str">
        <x:v>default</x:v>
      </x:c>
      <x:c r="C258" s="34" t="str">
        <x:v>nostore</x:v>
      </x:c>
      <x:c r="D258" s="36" t="n">
        <x:v>5</x:v>
      </x:c>
      <x:c r="E258" s="36" t="n">
        <x:v>5</x:v>
      </x:c>
      <x:c r="F258" s="36" t="n">
        <x:v>2</x:v>
      </x:c>
      <x:c r="G258" s="36" t="n">
        <x:v>4</x:v>
      </x:c>
      <x:c r="H258" s="34" t="str">
        <x:v>initial</x:v>
      </x:c>
      <x:c r="I258" s="34" t="str">
        <x:v>no-store-control</x:v>
      </x:c>
      <x:c r="J258" s="45" t="b">
        <x:v>1</x:v>
      </x:c>
      <x:c r="K258" s="45" t="b">
        <x:v>0</x:v>
      </x:c>
      <x:c r="L258" s="45" t="b">
        <x:v>1</x:v>
      </x:c>
      <x:c r="M258" s="43" t="n">
        <x:v>400000</x:v>
      </x:c>
      <x:c r="N258" s="43" t="n">
        <x:v>511760640</x:v>
      </x:c>
      <x:c r="O258" s="43" t="n">
        <x:v>101087510.78608476</x:v>
      </x:c>
      <x:c r="P258" s="45" t="b">
        <x:v>1</x:v>
      </x:c>
      <x:c r="Q258" s="45" t="b">
        <x:v>1</x:v>
      </x:c>
      <x:c r="R258" s="45" t="b">
        <x:v>1</x:v>
      </x:c>
      <x:c r="S258" s="43" t="n">
        <x:v>5000000000</x:v>
      </x:c>
      <x:c r="T258" s="43" t="n">
        <x:v>5062550616</x:v>
      </x:c>
      <x:c r="U258" s="45" t="b">
        <x:v>1</x:v>
      </x:c>
      <x:c r="V258" s="34" t="str">
        <x:v>uniform</x:v>
      </x:c>
      <x:c r="W258" s="42" t="n">
        <x:v>95</x:v>
      </x:c>
      <x:c r="X258" s="48"/>
      <x:c r="Y258" s="48"/>
      <x:c r="Z258" s="49"/>
      <x:c r="AA258" s="43" t="n">
        <x:v>10000</x:v>
      </x:c>
      <x:c r="AB258" s="43"/>
      <x:c r="AC258" s="43" t="n">
        <x:v>0</x:v>
      </x:c>
      <x:c r="AD258" s="45" t="b">
        <x:v>1</x:v>
      </x:c>
      <x:c r="AE258" s="43"/>
      <x:c r="AF258" s="43" t="n">
        <x:v>0</x:v>
      </x:c>
      <x:c r="AG258" s="43" t="n">
        <x:v>0</x:v>
      </x:c>
      <x:c r="AH258" s="45" t="b">
        <x:v>1</x:v>
      </x:c>
      <x:c r="AI258" s="45" t="b">
        <x:v>1</x:v>
      </x:c>
      <x:c r="AJ258" s="45" t="b">
        <x:v>1</x:v>
      </x:c>
      <x:c r="AK258" s="48" t="n">
        <x:v>0</x:v>
      </x:c>
      <x:c r="AL258" s="45" t="b">
        <x:v>1</x:v>
      </x:c>
      <x:c r="AM258" s="45" t="b">
        <x:v>0</x:v>
      </x:c>
      <x:c r="AN258" s="36" t="n">
        <x:v>16</x:v>
      </x:c>
      <x:c r="AO258" s="49"/>
      <x:c r="AP258" s="45" t="b">
        <x:v>1</x:v>
      </x:c>
      <x:c r="AQ258" s="46" t="n">
        <x:f>IF(T258="","",T258/'Readme-Protocol'!$B$24)</x:f>
        <x:v>5.062550616</x:v>
      </x:c>
      <x:c r="AR258" s="46" t="n">
        <x:f>IF(OR(S258="",S258=0),"",T258/S258)</x:f>
        <x:v>1.0125101232</x:v>
      </x:c>
      <x:c r="AS258" s="46" t="str">
        <x:f>IF(OR(X258="",Y258=""),"",ABS(Y258-X258)*'Readme-Protocol'!$B$27)</x:f>
      </x:c>
      <x:c r="AT258" s="49" t="b">
        <x:f>AND(M258&gt;0,N258&gt;=0,O258&gt;0)</x:f>
        <x:v>1</x:v>
      </x:c>
      <x:c r="AU258" s="49" t="b">
        <x:f>AND(AT258,N258&gt;=M258)</x:f>
        <x:v>1</x:v>
      </x:c>
      <x:c r="AV258" s="49" t="b">
        <x:f>OR(S258=0,T258&gt;=S258)</x:f>
        <x:v>1</x:v>
      </x:c>
      <x:c r="AW258" s="49" t="b">
        <x:f>IF(I258="cache-semantics",OR(V258&lt;&gt;"uniform",ABS(Y258-W258/'Readme-Protocol'!$B$27)&lt;='Readme-Protocol'!$B$28),TRUE)</x:f>
        <x:v>1</x:v>
      </x:c>
      <x:c r="AX258" s="43" t="str">
        <x:f>IF(I258="cache-semantics",INT(AA258*'Readme-Protocol'!$B$32),"")</x:f>
      </x:c>
      <x:c r="AY258" s="49" t="b">
        <x:f>IF(I258="cache-semantics",AX258=AB258,TRUE)</x:f>
        <x:v>1</x:v>
      </x:c>
      <x:c r="AZ258" s="49" t="b">
        <x:f>IF(I258="cache-semantics",AX258=AE258,TRUE)</x:f>
        <x:v>1</x:v>
      </x:c>
      <x:c r="BA258" s="49" t="b">
        <x:f>IF(I258="cache-semantics",AC258&gt;=AX258,IF(I258="no-store-control",AC258=0,FALSE))</x:f>
        <x:v>1</x:v>
      </x:c>
      <x:c r="BB258" s="49" t="b">
        <x:f>IF(I258="cache-semantics",AG258&gt;=AX258,IF(I258="no-store-control",AG258=0,FALSE))</x:f>
        <x:v>1</x:v>
      </x:c>
      <x:c r="BC258" s="49" t="b">
        <x:f>AND(BA258,BB258)</x:f>
        <x:v>1</x:v>
      </x:c>
      <x:c r="BD258" s="49" t="b">
        <x:f>IF(I258="no-store-control",AND(AC258=0,AG258=0),TRUE)</x:f>
        <x:v>1</x:v>
      </x:c>
      <x:c r="BE258" s="49" t="b">
        <x:f>IF(I258="no-store-control",AK258=0,TRUE)</x:f>
        <x:v>1</x:v>
      </x:c>
      <x:c r="BF258" s="49" t="b">
        <x:f>IF(I258="cache-semantics",AN258=1,TRUE)</x:f>
        <x:v>1</x:v>
      </x:c>
      <x:c r="BG258" s="49" t="b">
        <x:f>IF(I258="cache-semantics",AND(AU258,AV258,Q258,AW258,BC258,BF258),IF(I258="no-store-control",AND(AU258,AV258,Q258,BD258,BE258),FALSE))</x:f>
        <x:v>1</x:v>
      </x:c>
      <x:c r="BH258" s="49" t="b">
        <x:f>AND(R258,AT258=P258,AU258=L258,AV258=U258,AY258,AZ258,IF(I258="cache-semantics",AND(AW258=Z258,AND(BA258=AD258,BB258=AH258,BC258=AI258),BF258=AO258),IF(I258="no-store-control",AND(AND(BA258=AD258,BB258=AH258,BC258=AI258),BD258=AJ258,BE258=AL258),FALSE)),BG258=AP258)</x:f>
        <x:v>1</x:v>
      </x:c>
      <x:c r="BI258" s="49" t="b">
        <x:f>AND(J258,K258,BG258)</x:f>
        <x:v>0</x:v>
      </x:c>
    </x:row>
    <x:row r="259">
      <x:c r="A259" s="34" t="str">
        <x:v>article1-unified-v4-2-fb3f101b-20260903-000401-default-f05-p2-nostore</x:v>
      </x:c>
      <x:c r="B259" s="34" t="str">
        <x:v>default</x:v>
      </x:c>
      <x:c r="C259" s="34" t="str">
        <x:v>nostore</x:v>
      </x:c>
      <x:c r="D259" s="36" t="n">
        <x:v>5</x:v>
      </x:c>
      <x:c r="E259" s="36" t="n">
        <x:v>5</x:v>
      </x:c>
      <x:c r="F259" s="36" t="n">
        <x:v>2</x:v>
      </x:c>
      <x:c r="G259" s="36" t="n">
        <x:v>4</x:v>
      </x:c>
      <x:c r="H259" s="34" t="str">
        <x:v>redeploy</x:v>
      </x:c>
      <x:c r="I259" s="34" t="str">
        <x:v>no-store-control</x:v>
      </x:c>
      <x:c r="J259" s="45" t="b">
        <x:v>1</x:v>
      </x:c>
      <x:c r="K259" s="45" t="b">
        <x:v>0</x:v>
      </x:c>
      <x:c r="L259" s="45" t="b">
        <x:v>1</x:v>
      </x:c>
      <x:c r="M259" s="43" t="n">
        <x:v>400000</x:v>
      </x:c>
      <x:c r="N259" s="43" t="n">
        <x:v>527837184</x:v>
      </x:c>
      <x:c r="O259" s="43" t="n">
        <x:v>105373185.18976125</x:v>
      </x:c>
      <x:c r="P259" s="45" t="b">
        <x:v>1</x:v>
      </x:c>
      <x:c r="Q259" s="45" t="b">
        <x:v>1</x:v>
      </x:c>
      <x:c r="R259" s="45" t="b">
        <x:v>1</x:v>
      </x:c>
      <x:c r="S259" s="43" t="n">
        <x:v>5000000000</x:v>
      </x:c>
      <x:c r="T259" s="43" t="n">
        <x:v>5009217317</x:v>
      </x:c>
      <x:c r="U259" s="45" t="b">
        <x:v>1</x:v>
      </x:c>
      <x:c r="V259" s="34" t="str">
        <x:v>uniform</x:v>
      </x:c>
      <x:c r="W259" s="42" t="n">
        <x:v>95</x:v>
      </x:c>
      <x:c r="X259" s="48"/>
      <x:c r="Y259" s="48"/>
      <x:c r="Z259" s="49"/>
      <x:c r="AA259" s="43" t="n">
        <x:v>10000</x:v>
      </x:c>
      <x:c r="AB259" s="43"/>
      <x:c r="AC259" s="43" t="n">
        <x:v>0</x:v>
      </x:c>
      <x:c r="AD259" s="45" t="b">
        <x:v>1</x:v>
      </x:c>
      <x:c r="AE259" s="43"/>
      <x:c r="AF259" s="43" t="n">
        <x:v>0</x:v>
      </x:c>
      <x:c r="AG259" s="43" t="n">
        <x:v>0</x:v>
      </x:c>
      <x:c r="AH259" s="45" t="b">
        <x:v>1</x:v>
      </x:c>
      <x:c r="AI259" s="45" t="b">
        <x:v>1</x:v>
      </x:c>
      <x:c r="AJ259" s="45" t="b">
        <x:v>1</x:v>
      </x:c>
      <x:c r="AK259" s="48" t="n">
        <x:v>0</x:v>
      </x:c>
      <x:c r="AL259" s="45" t="b">
        <x:v>1</x:v>
      </x:c>
      <x:c r="AM259" s="45" t="b">
        <x:v>0</x:v>
      </x:c>
      <x:c r="AN259" s="36" t="n">
        <x:v>16</x:v>
      </x:c>
      <x:c r="AO259" s="49"/>
      <x:c r="AP259" s="45" t="b">
        <x:v>1</x:v>
      </x:c>
      <x:c r="AQ259" s="46" t="n">
        <x:f>IF(T259="","",T259/'Readme-Protocol'!$B$24)</x:f>
        <x:v>5.009217317</x:v>
      </x:c>
      <x:c r="AR259" s="46" t="n">
        <x:f>IF(OR(S259="",S259=0),"",T259/S259)</x:f>
        <x:v>1.0018434634</x:v>
      </x:c>
      <x:c r="AS259" s="46" t="str">
        <x:f>IF(OR(X259="",Y259=""),"",ABS(Y259-X259)*'Readme-Protocol'!$B$27)</x:f>
      </x:c>
      <x:c r="AT259" s="49" t="b">
        <x:f>AND(M259&gt;0,N259&gt;=0,O259&gt;0)</x:f>
        <x:v>1</x:v>
      </x:c>
      <x:c r="AU259" s="49" t="b">
        <x:f>AND(AT259,N259&gt;=M259)</x:f>
        <x:v>1</x:v>
      </x:c>
      <x:c r="AV259" s="49" t="b">
        <x:f>OR(S259=0,T259&gt;=S259)</x:f>
        <x:v>1</x:v>
      </x:c>
      <x:c r="AW259" s="49" t="b">
        <x:f>IF(I259="cache-semantics",OR(V259&lt;&gt;"uniform",ABS(Y259-W259/'Readme-Protocol'!$B$27)&lt;='Readme-Protocol'!$B$28),TRUE)</x:f>
        <x:v>1</x:v>
      </x:c>
      <x:c r="AX259" s="43" t="str">
        <x:f>IF(I259="cache-semantics",INT(AA259*'Readme-Protocol'!$B$32),"")</x:f>
      </x:c>
      <x:c r="AY259" s="49" t="b">
        <x:f>IF(I259="cache-semantics",AX259=AB259,TRUE)</x:f>
        <x:v>1</x:v>
      </x:c>
      <x:c r="AZ259" s="49" t="b">
        <x:f>IF(I259="cache-semantics",AX259=AE259,TRUE)</x:f>
        <x:v>1</x:v>
      </x:c>
      <x:c r="BA259" s="49" t="b">
        <x:f>IF(I259="cache-semantics",AC259&gt;=AX259,IF(I259="no-store-control",AC259=0,FALSE))</x:f>
        <x:v>1</x:v>
      </x:c>
      <x:c r="BB259" s="49" t="b">
        <x:f>IF(I259="cache-semantics",AG259&gt;=AX259,IF(I259="no-store-control",AG259=0,FALSE))</x:f>
        <x:v>1</x:v>
      </x:c>
      <x:c r="BC259" s="49" t="b">
        <x:f>AND(BA259,BB259)</x:f>
        <x:v>1</x:v>
      </x:c>
      <x:c r="BD259" s="49" t="b">
        <x:f>IF(I259="no-store-control",AND(AC259=0,AG259=0),TRUE)</x:f>
        <x:v>1</x:v>
      </x:c>
      <x:c r="BE259" s="49" t="b">
        <x:f>IF(I259="no-store-control",AK259=0,TRUE)</x:f>
        <x:v>1</x:v>
      </x:c>
      <x:c r="BF259" s="49" t="b">
        <x:f>IF(I259="cache-semantics",AN259=1,TRUE)</x:f>
        <x:v>1</x:v>
      </x:c>
      <x:c r="BG259" s="49" t="b">
        <x:f>IF(I259="cache-semantics",AND(AU259,AV259,Q259,AW259,BC259,BF259),IF(I259="no-store-control",AND(AU259,AV259,Q259,BD259,BE259),FALSE))</x:f>
        <x:v>1</x:v>
      </x:c>
      <x:c r="BH259" s="49" t="b">
        <x:f>AND(R259,AT259=P259,AU259=L259,AV259=U259,AY259,AZ259,IF(I259="cache-semantics",AND(AW259=Z259,AND(BA259=AD259,BB259=AH259,BC259=AI259),BF259=AO259),IF(I259="no-store-control",AND(AND(BA259=AD259,BB259=AH259,BC259=AI259),BD259=AJ259,BE259=AL259),FALSE)),BG259=AP259)</x:f>
        <x:v>1</x:v>
      </x:c>
      <x:c r="BI259" s="49" t="b">
        <x:f>AND(J259,K259,BG259)</x:f>
        <x:v>0</x:v>
      </x:c>
    </x:row>
    <x:row r="260">
      <x:c r="A260" s="34" t="str">
        <x:v>article1-unified-v4-2-fb3f101b-20260903-000401-default-f05-p2-nostore</x:v>
      </x:c>
      <x:c r="B260" s="34" t="str">
        <x:v>default</x:v>
      </x:c>
      <x:c r="C260" s="34" t="str">
        <x:v>nostore</x:v>
      </x:c>
      <x:c r="D260" s="36" t="n">
        <x:v>5</x:v>
      </x:c>
      <x:c r="E260" s="36" t="n">
        <x:v>5</x:v>
      </x:c>
      <x:c r="F260" s="36" t="n">
        <x:v>2</x:v>
      </x:c>
      <x:c r="G260" s="36" t="n">
        <x:v>5</x:v>
      </x:c>
      <x:c r="H260" s="34" t="str">
        <x:v>initial</x:v>
      </x:c>
      <x:c r="I260" s="34" t="str">
        <x:v>no-store-control</x:v>
      </x:c>
      <x:c r="J260" s="45" t="b">
        <x:v>1</x:v>
      </x:c>
      <x:c r="K260" s="45" t="b">
        <x:v>0</x:v>
      </x:c>
      <x:c r="L260" s="45" t="b">
        <x:v>1</x:v>
      </x:c>
      <x:c r="M260" s="43" t="n">
        <x:v>400000</x:v>
      </x:c>
      <x:c r="N260" s="43" t="n">
        <x:v>525642752</x:v>
      </x:c>
      <x:c r="O260" s="43" t="n">
        <x:v>105004762.74231453</x:v>
      </x:c>
      <x:c r="P260" s="45" t="b">
        <x:v>1</x:v>
      </x:c>
      <x:c r="Q260" s="45" t="b">
        <x:v>1</x:v>
      </x:c>
      <x:c r="R260" s="45" t="b">
        <x:v>1</x:v>
      </x:c>
      <x:c r="S260" s="43" t="n">
        <x:v>5000000000</x:v>
      </x:c>
      <x:c r="T260" s="43" t="n">
        <x:v>5005894383</x:v>
      </x:c>
      <x:c r="U260" s="45" t="b">
        <x:v>1</x:v>
      </x:c>
      <x:c r="V260" s="34" t="str">
        <x:v>uniform</x:v>
      </x:c>
      <x:c r="W260" s="42" t="n">
        <x:v>95</x:v>
      </x:c>
      <x:c r="X260" s="48"/>
      <x:c r="Y260" s="48"/>
      <x:c r="Z260" s="49"/>
      <x:c r="AA260" s="43" t="n">
        <x:v>10000</x:v>
      </x:c>
      <x:c r="AB260" s="43"/>
      <x:c r="AC260" s="43" t="n">
        <x:v>0</x:v>
      </x:c>
      <x:c r="AD260" s="45" t="b">
        <x:v>1</x:v>
      </x:c>
      <x:c r="AE260" s="43"/>
      <x:c r="AF260" s="43" t="n">
        <x:v>0</x:v>
      </x:c>
      <x:c r="AG260" s="43" t="n">
        <x:v>0</x:v>
      </x:c>
      <x:c r="AH260" s="45" t="b">
        <x:v>1</x:v>
      </x:c>
      <x:c r="AI260" s="45" t="b">
        <x:v>1</x:v>
      </x:c>
      <x:c r="AJ260" s="45" t="b">
        <x:v>1</x:v>
      </x:c>
      <x:c r="AK260" s="48" t="n">
        <x:v>0</x:v>
      </x:c>
      <x:c r="AL260" s="45" t="b">
        <x:v>1</x:v>
      </x:c>
      <x:c r="AM260" s="45" t="b">
        <x:v>0</x:v>
      </x:c>
      <x:c r="AN260" s="36" t="n">
        <x:v>16</x:v>
      </x:c>
      <x:c r="AO260" s="49"/>
      <x:c r="AP260" s="45" t="b">
        <x:v>1</x:v>
      </x:c>
      <x:c r="AQ260" s="46" t="n">
        <x:f>IF(T260="","",T260/'Readme-Protocol'!$B$24)</x:f>
        <x:v>5.005894383</x:v>
      </x:c>
      <x:c r="AR260" s="46" t="n">
        <x:f>IF(OR(S260="",S260=0),"",T260/S260)</x:f>
        <x:v>1.0011788766</x:v>
      </x:c>
      <x:c r="AS260" s="46" t="str">
        <x:f>IF(OR(X260="",Y260=""),"",ABS(Y260-X260)*'Readme-Protocol'!$B$27)</x:f>
      </x:c>
      <x:c r="AT260" s="49" t="b">
        <x:f>AND(M260&gt;0,N260&gt;=0,O260&gt;0)</x:f>
        <x:v>1</x:v>
      </x:c>
      <x:c r="AU260" s="49" t="b">
        <x:f>AND(AT260,N260&gt;=M260)</x:f>
        <x:v>1</x:v>
      </x:c>
      <x:c r="AV260" s="49" t="b">
        <x:f>OR(S260=0,T260&gt;=S260)</x:f>
        <x:v>1</x:v>
      </x:c>
      <x:c r="AW260" s="49" t="b">
        <x:f>IF(I260="cache-semantics",OR(V260&lt;&gt;"uniform",ABS(Y260-W260/'Readme-Protocol'!$B$27)&lt;='Readme-Protocol'!$B$28),TRUE)</x:f>
        <x:v>1</x:v>
      </x:c>
      <x:c r="AX260" s="43" t="str">
        <x:f>IF(I260="cache-semantics",INT(AA260*'Readme-Protocol'!$B$32),"")</x:f>
      </x:c>
      <x:c r="AY260" s="49" t="b">
        <x:f>IF(I260="cache-semantics",AX260=AB260,TRUE)</x:f>
        <x:v>1</x:v>
      </x:c>
      <x:c r="AZ260" s="49" t="b">
        <x:f>IF(I260="cache-semantics",AX260=AE260,TRUE)</x:f>
        <x:v>1</x:v>
      </x:c>
      <x:c r="BA260" s="49" t="b">
        <x:f>IF(I260="cache-semantics",AC260&gt;=AX260,IF(I260="no-store-control",AC260=0,FALSE))</x:f>
        <x:v>1</x:v>
      </x:c>
      <x:c r="BB260" s="49" t="b">
        <x:f>IF(I260="cache-semantics",AG260&gt;=AX260,IF(I260="no-store-control",AG260=0,FALSE))</x:f>
        <x:v>1</x:v>
      </x:c>
      <x:c r="BC260" s="49" t="b">
        <x:f>AND(BA260,BB260)</x:f>
        <x:v>1</x:v>
      </x:c>
      <x:c r="BD260" s="49" t="b">
        <x:f>IF(I260="no-store-control",AND(AC260=0,AG260=0),TRUE)</x:f>
        <x:v>1</x:v>
      </x:c>
      <x:c r="BE260" s="49" t="b">
        <x:f>IF(I260="no-store-control",AK260=0,TRUE)</x:f>
        <x:v>1</x:v>
      </x:c>
      <x:c r="BF260" s="49" t="b">
        <x:f>IF(I260="cache-semantics",AN260=1,TRUE)</x:f>
        <x:v>1</x:v>
      </x:c>
      <x:c r="BG260" s="49" t="b">
        <x:f>IF(I260="cache-semantics",AND(AU260,AV260,Q260,AW260,BC260,BF260),IF(I260="no-store-control",AND(AU260,AV260,Q260,BD260,BE260),FALSE))</x:f>
        <x:v>1</x:v>
      </x:c>
      <x:c r="BH260" s="49" t="b">
        <x:f>AND(R260,AT260=P260,AU260=L260,AV260=U260,AY260,AZ260,IF(I260="cache-semantics",AND(AW260=Z260,AND(BA260=AD260,BB260=AH260,BC260=AI260),BF260=AO260),IF(I260="no-store-control",AND(AND(BA260=AD260,BB260=AH260,BC260=AI260),BD260=AJ260,BE260=AL260),FALSE)),BG260=AP260)</x:f>
        <x:v>1</x:v>
      </x:c>
      <x:c r="BI260" s="49" t="b">
        <x:f>AND(J260,K260,BG260)</x:f>
        <x:v>0</x:v>
      </x:c>
    </x:row>
    <x:row r="261">
      <x:c r="A261" s="34" t="str">
        <x:v>article1-unified-v4-2-fb3f101b-20260903-000401-default-f05-p2-nostore</x:v>
      </x:c>
      <x:c r="B261" s="34" t="str">
        <x:v>default</x:v>
      </x:c>
      <x:c r="C261" s="34" t="str">
        <x:v>nostore</x:v>
      </x:c>
      <x:c r="D261" s="36" t="n">
        <x:v>5</x:v>
      </x:c>
      <x:c r="E261" s="36" t="n">
        <x:v>5</x:v>
      </x:c>
      <x:c r="F261" s="36" t="n">
        <x:v>2</x:v>
      </x:c>
      <x:c r="G261" s="36" t="n">
        <x:v>5</x:v>
      </x:c>
      <x:c r="H261" s="34" t="str">
        <x:v>redeploy</x:v>
      </x:c>
      <x:c r="I261" s="34" t="str">
        <x:v>no-store-control</x:v>
      </x:c>
      <x:c r="J261" s="45" t="b">
        <x:v>1</x:v>
      </x:c>
      <x:c r="K261" s="45" t="b">
        <x:v>0</x:v>
      </x:c>
      <x:c r="L261" s="45" t="b">
        <x:v>1</x:v>
      </x:c>
      <x:c r="M261" s="43" t="n">
        <x:v>400000</x:v>
      </x:c>
      <x:c r="N261" s="43" t="n">
        <x:v>523080960</x:v>
      </x:c>
      <x:c r="O261" s="43" t="n">
        <x:v>104503219.98537152</x:v>
      </x:c>
      <x:c r="P261" s="45" t="b">
        <x:v>1</x:v>
      </x:c>
      <x:c r="Q261" s="45" t="b">
        <x:v>1</x:v>
      </x:c>
      <x:c r="R261" s="45" t="b">
        <x:v>1</x:v>
      </x:c>
      <x:c r="S261" s="43" t="n">
        <x:v>5000000000</x:v>
      </x:c>
      <x:c r="T261" s="43" t="n">
        <x:v>5005405193</x:v>
      </x:c>
      <x:c r="U261" s="45" t="b">
        <x:v>1</x:v>
      </x:c>
      <x:c r="V261" s="34" t="str">
        <x:v>uniform</x:v>
      </x:c>
      <x:c r="W261" s="42" t="n">
        <x:v>95</x:v>
      </x:c>
      <x:c r="X261" s="48"/>
      <x:c r="Y261" s="48"/>
      <x:c r="Z261" s="49"/>
      <x:c r="AA261" s="43" t="n">
        <x:v>10000</x:v>
      </x:c>
      <x:c r="AB261" s="43"/>
      <x:c r="AC261" s="43" t="n">
        <x:v>0</x:v>
      </x:c>
      <x:c r="AD261" s="45" t="b">
        <x:v>1</x:v>
      </x:c>
      <x:c r="AE261" s="43"/>
      <x:c r="AF261" s="43" t="n">
        <x:v>0</x:v>
      </x:c>
      <x:c r="AG261" s="43" t="n">
        <x:v>0</x:v>
      </x:c>
      <x:c r="AH261" s="45" t="b">
        <x:v>1</x:v>
      </x:c>
      <x:c r="AI261" s="45" t="b">
        <x:v>1</x:v>
      </x:c>
      <x:c r="AJ261" s="45" t="b">
        <x:v>1</x:v>
      </x:c>
      <x:c r="AK261" s="48" t="n">
        <x:v>0</x:v>
      </x:c>
      <x:c r="AL261" s="45" t="b">
        <x:v>1</x:v>
      </x:c>
      <x:c r="AM261" s="45" t="b">
        <x:v>0</x:v>
      </x:c>
      <x:c r="AN261" s="36" t="n">
        <x:v>16</x:v>
      </x:c>
      <x:c r="AO261" s="49"/>
      <x:c r="AP261" s="45" t="b">
        <x:v>1</x:v>
      </x:c>
      <x:c r="AQ261" s="46" t="n">
        <x:f>IF(T261="","",T261/'Readme-Protocol'!$B$24)</x:f>
        <x:v>5.005405193</x:v>
      </x:c>
      <x:c r="AR261" s="46" t="n">
        <x:f>IF(OR(S261="",S261=0),"",T261/S261)</x:f>
        <x:v>1.0010810386</x:v>
      </x:c>
      <x:c r="AS261" s="46" t="str">
        <x:f>IF(OR(X261="",Y261=""),"",ABS(Y261-X261)*'Readme-Protocol'!$B$27)</x:f>
      </x:c>
      <x:c r="AT261" s="49" t="b">
        <x:f>AND(M261&gt;0,N261&gt;=0,O261&gt;0)</x:f>
        <x:v>1</x:v>
      </x:c>
      <x:c r="AU261" s="49" t="b">
        <x:f>AND(AT261,N261&gt;=M261)</x:f>
        <x:v>1</x:v>
      </x:c>
      <x:c r="AV261" s="49" t="b">
        <x:f>OR(S261=0,T261&gt;=S261)</x:f>
        <x:v>1</x:v>
      </x:c>
      <x:c r="AW261" s="49" t="b">
        <x:f>IF(I261="cache-semantics",OR(V261&lt;&gt;"uniform",ABS(Y261-W261/'Readme-Protocol'!$B$27)&lt;='Readme-Protocol'!$B$28),TRUE)</x:f>
        <x:v>1</x:v>
      </x:c>
      <x:c r="AX261" s="43" t="str">
        <x:f>IF(I261="cache-semantics",INT(AA261*'Readme-Protocol'!$B$32),"")</x:f>
      </x:c>
      <x:c r="AY261" s="49" t="b">
        <x:f>IF(I261="cache-semantics",AX261=AB261,TRUE)</x:f>
        <x:v>1</x:v>
      </x:c>
      <x:c r="AZ261" s="49" t="b">
        <x:f>IF(I261="cache-semantics",AX261=AE261,TRUE)</x:f>
        <x:v>1</x:v>
      </x:c>
      <x:c r="BA261" s="49" t="b">
        <x:f>IF(I261="cache-semantics",AC261&gt;=AX261,IF(I261="no-store-control",AC261=0,FALSE))</x:f>
        <x:v>1</x:v>
      </x:c>
      <x:c r="BB261" s="49" t="b">
        <x:f>IF(I261="cache-semantics",AG261&gt;=AX261,IF(I261="no-store-control",AG261=0,FALSE))</x:f>
        <x:v>1</x:v>
      </x:c>
      <x:c r="BC261" s="49" t="b">
        <x:f>AND(BA261,BB261)</x:f>
        <x:v>1</x:v>
      </x:c>
      <x:c r="BD261" s="49" t="b">
        <x:f>IF(I261="no-store-control",AND(AC261=0,AG261=0),TRUE)</x:f>
        <x:v>1</x:v>
      </x:c>
      <x:c r="BE261" s="49" t="b">
        <x:f>IF(I261="no-store-control",AK261=0,TRUE)</x:f>
        <x:v>1</x:v>
      </x:c>
      <x:c r="BF261" s="49" t="b">
        <x:f>IF(I261="cache-semantics",AN261=1,TRUE)</x:f>
        <x:v>1</x:v>
      </x:c>
      <x:c r="BG261" s="49" t="b">
        <x:f>IF(I261="cache-semantics",AND(AU261,AV261,Q261,AW261,BC261,BF261),IF(I261="no-store-control",AND(AU261,AV261,Q261,BD261,BE261),FALSE))</x:f>
        <x:v>1</x:v>
      </x:c>
      <x:c r="BH261" s="49" t="b">
        <x:f>AND(R261,AT261=P261,AU261=L261,AV261=U261,AY261,AZ261,IF(I261="cache-semantics",AND(AW261=Z261,AND(BA261=AD261,BB261=AH261,BC261=AI261),BF261=AO261),IF(I261="no-store-control",AND(AND(BA261=AD261,BB261=AH261,BC261=AI261),BD261=AJ261,BE261=AL261),FALSE)),BG261=AP261)</x:f>
        <x:v>1</x:v>
      </x:c>
      <x:c r="BI261" s="49" t="b">
        <x:f>AND(J261,K261,BG261)</x:f>
        <x:v>0</x:v>
      </x:c>
    </x:row>
    <x:row r="262">
      <x:c r="A262" s="34" t="str">
        <x:v>article1-unified-v4-2-fb3f101b-20260903-000401-default-f05-p3-jcs4</x:v>
      </x:c>
      <x:c r="B262" s="34" t="str">
        <x:v>default</x:v>
      </x:c>
      <x:c r="C262" s="34" t="str">
        <x:v>jcs4</x:v>
      </x:c>
      <x:c r="D262" s="36" t="n">
        <x:v>5</x:v>
      </x:c>
      <x:c r="E262" s="36" t="n">
        <x:v>5</x:v>
      </x:c>
      <x:c r="F262" s="36" t="n">
        <x:v>3</x:v>
      </x:c>
      <x:c r="G262" s="36" t="n">
        <x:v>1</x:v>
      </x:c>
      <x:c r="H262" s="34" t="str">
        <x:v>initial</x:v>
      </x:c>
      <x:c r="I262" s="34" t="str">
        <x:v>cache-semantics</x:v>
      </x:c>
      <x:c r="J262" s="45" t="b">
        <x:v>1</x:v>
      </x:c>
      <x:c r="K262" s="45" t="b">
        <x:v>1</x:v>
      </x:c>
      <x:c r="L262" s="45" t="b">
        <x:v>1</x:v>
      </x:c>
      <x:c r="M262" s="43" t="n">
        <x:v>400000</x:v>
      </x:c>
      <x:c r="N262" s="43" t="n">
        <x:v>5417728</x:v>
      </x:c>
      <x:c r="O262" s="43" t="n">
        <x:v>1083291.7864676975</x:v>
      </x:c>
      <x:c r="P262" s="45" t="b">
        <x:v>1</x:v>
      </x:c>
      <x:c r="Q262" s="45" t="b">
        <x:v>1</x:v>
      </x:c>
      <x:c r="R262" s="45" t="b">
        <x:v>1</x:v>
      </x:c>
      <x:c r="S262" s="43" t="n">
        <x:v>5000000000</x:v>
      </x:c>
      <x:c r="T262" s="43" t="n">
        <x:v>5001171492</x:v>
      </x:c>
      <x:c r="U262" s="45" t="b">
        <x:v>1</x:v>
      </x:c>
      <x:c r="V262" s="34" t="str">
        <x:v>uniform</x:v>
      </x:c>
      <x:c r="W262" s="42" t="n">
        <x:v>95</x:v>
      </x:c>
      <x:c r="X262" s="48" t="n">
        <x:v>0.95</x:v>
      </x:c>
      <x:c r="Y262" s="48" t="n">
        <x:v>0.9503151505575769</x:v>
      </x:c>
      <x:c r="Z262" s="45" t="b">
        <x:v>1</x:v>
      </x:c>
      <x:c r="AA262" s="43" t="n">
        <x:v>10000</x:v>
      </x:c>
      <x:c r="AB262" s="43" t="n">
        <x:v>9900</x:v>
      </x:c>
      <x:c r="AC262" s="43" t="n">
        <x:v>10000</x:v>
      </x:c>
      <x:c r="AD262" s="45" t="b">
        <x:v>1</x:v>
      </x:c>
      <x:c r="AE262" s="43" t="n">
        <x:v>9900</x:v>
      </x:c>
      <x:c r="AF262" s="43"/>
      <x:c r="AG262" s="43" t="n">
        <x:v>10000</x:v>
      </x:c>
      <x:c r="AH262" s="45" t="b">
        <x:v>1</x:v>
      </x:c>
      <x:c r="AI262" s="45" t="b">
        <x:v>1</x:v>
      </x:c>
      <x:c r="AJ262" s="49"/>
      <x:c r="AK262" s="48" t="n">
        <x:v>0.9503151505575769</x:v>
      </x:c>
      <x:c r="AL262" s="49"/>
      <x:c r="AM262" s="49"/>
      <x:c r="AN262" s="36" t="n">
        <x:v>1</x:v>
      </x:c>
      <x:c r="AO262" s="45" t="b">
        <x:v>1</x:v>
      </x:c>
      <x:c r="AP262" s="45" t="b">
        <x:v>1</x:v>
      </x:c>
      <x:c r="AQ262" s="46" t="n">
        <x:f>IF(T262="","",T262/'Readme-Protocol'!$B$24)</x:f>
        <x:v>5.001171492</x:v>
      </x:c>
      <x:c r="AR262" s="46" t="n">
        <x:f>IF(OR(S262="",S262=0),"",T262/S262)</x:f>
        <x:v>1.0002342984</x:v>
      </x:c>
      <x:c r="AS262" s="46" t="n">
        <x:f>IF(OR(X262="",Y262=""),"",ABS(Y262-X262)*'Readme-Protocol'!$B$27)</x:f>
        <x:v>0.031515055757691535</x:v>
      </x:c>
      <x:c r="AT262" s="49" t="b">
        <x:f>AND(M262&gt;0,N262&gt;=0,O262&gt;0)</x:f>
        <x:v>1</x:v>
      </x:c>
      <x:c r="AU262" s="49" t="b">
        <x:f>AND(AT262,N262&gt;=M262)</x:f>
        <x:v>1</x:v>
      </x:c>
      <x:c r="AV262" s="49" t="b">
        <x:f>OR(S262=0,T262&gt;=S262)</x:f>
        <x:v>1</x:v>
      </x:c>
      <x:c r="AW262" s="49" t="b">
        <x:f>IF(I262="cache-semantics",OR(V262&lt;&gt;"uniform",ABS(Y262-W262/'Readme-Protocol'!$B$27)&lt;='Readme-Protocol'!$B$28),TRUE)</x:f>
        <x:v>1</x:v>
      </x:c>
      <x:c r="AX262" s="43" t="n">
        <x:f>IF(I262="cache-semantics",INT(AA262*'Readme-Protocol'!$B$32),"")</x:f>
        <x:v>9900</x:v>
      </x:c>
      <x:c r="AY262" s="49" t="b">
        <x:f>IF(I262="cache-semantics",AX262=AB262,TRUE)</x:f>
        <x:v>1</x:v>
      </x:c>
      <x:c r="AZ262" s="49" t="b">
        <x:f>IF(I262="cache-semantics",AX262=AE262,TRUE)</x:f>
        <x:v>1</x:v>
      </x:c>
      <x:c r="BA262" s="49" t="b">
        <x:f>IF(I262="cache-semantics",AC262&gt;=AX262,IF(I262="no-store-control",AC262=0,FALSE))</x:f>
        <x:v>1</x:v>
      </x:c>
      <x:c r="BB262" s="49" t="b">
        <x:f>IF(I262="cache-semantics",AG262&gt;=AX262,IF(I262="no-store-control",AG262=0,FALSE))</x:f>
        <x:v>1</x:v>
      </x:c>
      <x:c r="BC262" s="49" t="b">
        <x:f>AND(BA262,BB262)</x:f>
        <x:v>1</x:v>
      </x:c>
      <x:c r="BD262" s="49" t="b">
        <x:f>IF(I262="no-store-control",AND(AC262=0,AG262=0),TRUE)</x:f>
        <x:v>1</x:v>
      </x:c>
      <x:c r="BE262" s="49" t="b">
        <x:f>IF(I262="no-store-control",AK262=0,TRUE)</x:f>
        <x:v>1</x:v>
      </x:c>
      <x:c r="BF262" s="49" t="b">
        <x:f>IF(I262="cache-semantics",AN262=1,TRUE)</x:f>
        <x:v>1</x:v>
      </x:c>
      <x:c r="BG262" s="49" t="b">
        <x:f>IF(I262="cache-semantics",AND(AU262,AV262,Q262,AW262,BC262,BF262),IF(I262="no-store-control",AND(AU262,AV262,Q262,BD262,BE262),FALSE))</x:f>
        <x:v>1</x:v>
      </x:c>
      <x:c r="BH262" s="49" t="b">
        <x:f>AND(R262,AT262=P262,AU262=L262,AV262=U262,AY262,AZ262,IF(I262="cache-semantics",AND(AW262=Z262,AND(BA262=AD262,BB262=AH262,BC262=AI262),BF262=AO262),IF(I262="no-store-control",AND(AND(BA262=AD262,BB262=AH262,BC262=AI262),BD262=AJ262,BE262=AL262),FALSE)),BG262=AP262)</x:f>
        <x:v>1</x:v>
      </x:c>
      <x:c r="BI262" s="49" t="b">
        <x:f>AND(J262,K262,BG262)</x:f>
        <x:v>1</x:v>
      </x:c>
    </x:row>
    <x:row r="263">
      <x:c r="A263" s="34" t="str">
        <x:v>article1-unified-v4-2-fb3f101b-20260903-000401-default-f05-p3-jcs4</x:v>
      </x:c>
      <x:c r="B263" s="34" t="str">
        <x:v>default</x:v>
      </x:c>
      <x:c r="C263" s="34" t="str">
        <x:v>jcs4</x:v>
      </x:c>
      <x:c r="D263" s="36" t="n">
        <x:v>5</x:v>
      </x:c>
      <x:c r="E263" s="36" t="n">
        <x:v>5</x:v>
      </x:c>
      <x:c r="F263" s="36" t="n">
        <x:v>3</x:v>
      </x:c>
      <x:c r="G263" s="36" t="n">
        <x:v>1</x:v>
      </x:c>
      <x:c r="H263" s="34" t="str">
        <x:v>redeploy</x:v>
      </x:c>
      <x:c r="I263" s="34" t="str">
        <x:v>cache-semantics</x:v>
      </x:c>
      <x:c r="J263" s="45" t="b">
        <x:v>1</x:v>
      </x:c>
      <x:c r="K263" s="45" t="b">
        <x:v>1</x:v>
      </x:c>
      <x:c r="L263" s="45" t="b">
        <x:v>1</x:v>
      </x:c>
      <x:c r="M263" s="43" t="n">
        <x:v>400000</x:v>
      </x:c>
      <x:c r="N263" s="43" t="n">
        <x:v>5299456</x:v>
      </x:c>
      <x:c r="O263" s="43" t="n">
        <x:v>1059556.8155241455</x:v>
      </x:c>
      <x:c r="P263" s="45" t="b">
        <x:v>1</x:v>
      </x:c>
      <x:c r="Q263" s="45" t="b">
        <x:v>1</x:v>
      </x:c>
      <x:c r="R263" s="45" t="b">
        <x:v>1</x:v>
      </x:c>
      <x:c r="S263" s="43" t="n">
        <x:v>5000000000</x:v>
      </x:c>
      <x:c r="T263" s="43" t="n">
        <x:v>5001577945</x:v>
      </x:c>
      <x:c r="U263" s="45" t="b">
        <x:v>1</x:v>
      </x:c>
      <x:c r="V263" s="34" t="str">
        <x:v>uniform</x:v>
      </x:c>
      <x:c r="W263" s="42" t="n">
        <x:v>95</x:v>
      </x:c>
      <x:c r="X263" s="48" t="n">
        <x:v>0.95</x:v>
      </x:c>
      <x:c r="Y263" s="48" t="n">
        <x:v>0.9503094279865707</x:v>
      </x:c>
      <x:c r="Z263" s="45" t="b">
        <x:v>1</x:v>
      </x:c>
      <x:c r="AA263" s="43" t="n">
        <x:v>10000</x:v>
      </x:c>
      <x:c r="AB263" s="43" t="n">
        <x:v>9900</x:v>
      </x:c>
      <x:c r="AC263" s="43" t="n">
        <x:v>10000</x:v>
      </x:c>
      <x:c r="AD263" s="45" t="b">
        <x:v>1</x:v>
      </x:c>
      <x:c r="AE263" s="43" t="n">
        <x:v>9900</x:v>
      </x:c>
      <x:c r="AF263" s="43"/>
      <x:c r="AG263" s="43" t="n">
        <x:v>10000</x:v>
      </x:c>
      <x:c r="AH263" s="45" t="b">
        <x:v>1</x:v>
      </x:c>
      <x:c r="AI263" s="45" t="b">
        <x:v>1</x:v>
      </x:c>
      <x:c r="AJ263" s="49"/>
      <x:c r="AK263" s="48" t="n">
        <x:v>0.9503094279865707</x:v>
      </x:c>
      <x:c r="AL263" s="49"/>
      <x:c r="AM263" s="49"/>
      <x:c r="AN263" s="36" t="n">
        <x:v>1</x:v>
      </x:c>
      <x:c r="AO263" s="45" t="b">
        <x:v>1</x:v>
      </x:c>
      <x:c r="AP263" s="45" t="b">
        <x:v>1</x:v>
      </x:c>
      <x:c r="AQ263" s="46" t="n">
        <x:f>IF(T263="","",T263/'Readme-Protocol'!$B$24)</x:f>
        <x:v>5.001577945</x:v>
      </x:c>
      <x:c r="AR263" s="46" t="n">
        <x:f>IF(OR(S263="",S263=0),"",T263/S263)</x:f>
        <x:v>1.000315589</x:v>
      </x:c>
      <x:c r="AS263" s="46" t="n">
        <x:f>IF(OR(X263="",Y263=""),"",ABS(Y263-X263)*'Readme-Protocol'!$B$27)</x:f>
        <x:v>0.030942798657074277</x:v>
      </x:c>
      <x:c r="AT263" s="49" t="b">
        <x:f>AND(M263&gt;0,N263&gt;=0,O263&gt;0)</x:f>
        <x:v>1</x:v>
      </x:c>
      <x:c r="AU263" s="49" t="b">
        <x:f>AND(AT263,N263&gt;=M263)</x:f>
        <x:v>1</x:v>
      </x:c>
      <x:c r="AV263" s="49" t="b">
        <x:f>OR(S263=0,T263&gt;=S263)</x:f>
        <x:v>1</x:v>
      </x:c>
      <x:c r="AW263" s="49" t="b">
        <x:f>IF(I263="cache-semantics",OR(V263&lt;&gt;"uniform",ABS(Y263-W263/'Readme-Protocol'!$B$27)&lt;='Readme-Protocol'!$B$28),TRUE)</x:f>
        <x:v>1</x:v>
      </x:c>
      <x:c r="AX263" s="43" t="n">
        <x:f>IF(I263="cache-semantics",INT(AA263*'Readme-Protocol'!$B$32),"")</x:f>
        <x:v>9900</x:v>
      </x:c>
      <x:c r="AY263" s="49" t="b">
        <x:f>IF(I263="cache-semantics",AX263=AB263,TRUE)</x:f>
        <x:v>1</x:v>
      </x:c>
      <x:c r="AZ263" s="49" t="b">
        <x:f>IF(I263="cache-semantics",AX263=AE263,TRUE)</x:f>
        <x:v>1</x:v>
      </x:c>
      <x:c r="BA263" s="49" t="b">
        <x:f>IF(I263="cache-semantics",AC263&gt;=AX263,IF(I263="no-store-control",AC263=0,FALSE))</x:f>
        <x:v>1</x:v>
      </x:c>
      <x:c r="BB263" s="49" t="b">
        <x:f>IF(I263="cache-semantics",AG263&gt;=AX263,IF(I263="no-store-control",AG263=0,FALSE))</x:f>
        <x:v>1</x:v>
      </x:c>
      <x:c r="BC263" s="49" t="b">
        <x:f>AND(BA263,BB263)</x:f>
        <x:v>1</x:v>
      </x:c>
      <x:c r="BD263" s="49" t="b">
        <x:f>IF(I263="no-store-control",AND(AC263=0,AG263=0),TRUE)</x:f>
        <x:v>1</x:v>
      </x:c>
      <x:c r="BE263" s="49" t="b">
        <x:f>IF(I263="no-store-control",AK263=0,TRUE)</x:f>
        <x:v>1</x:v>
      </x:c>
      <x:c r="BF263" s="49" t="b">
        <x:f>IF(I263="cache-semantics",AN263=1,TRUE)</x:f>
        <x:v>1</x:v>
      </x:c>
      <x:c r="BG263" s="49" t="b">
        <x:f>IF(I263="cache-semantics",AND(AU263,AV263,Q263,AW263,BC263,BF263),IF(I263="no-store-control",AND(AU263,AV263,Q263,BD263,BE263),FALSE))</x:f>
        <x:v>1</x:v>
      </x:c>
      <x:c r="BH263" s="49" t="b">
        <x:f>AND(R263,AT263=P263,AU263=L263,AV263=U263,AY263,AZ263,IF(I263="cache-semantics",AND(AW263=Z263,AND(BA263=AD263,BB263=AH263,BC263=AI263),BF263=AO263),IF(I263="no-store-control",AND(AND(BA263=AD263,BB263=AH263,BC263=AI263),BD263=AJ263,BE263=AL263),FALSE)),BG263=AP263)</x:f>
        <x:v>1</x:v>
      </x:c>
      <x:c r="BI263" s="49" t="b">
        <x:f>AND(J263,K263,BG263)</x:f>
        <x:v>1</x:v>
      </x:c>
    </x:row>
    <x:row r="264">
      <x:c r="A264" s="34" t="str">
        <x:v>article1-unified-v4-2-fb3f101b-20260903-000401-default-f05-p3-jcs4</x:v>
      </x:c>
      <x:c r="B264" s="34" t="str">
        <x:v>default</x:v>
      </x:c>
      <x:c r="C264" s="34" t="str">
        <x:v>jcs4</x:v>
      </x:c>
      <x:c r="D264" s="36" t="n">
        <x:v>5</x:v>
      </x:c>
      <x:c r="E264" s="36" t="n">
        <x:v>5</x:v>
      </x:c>
      <x:c r="F264" s="36" t="n">
        <x:v>3</x:v>
      </x:c>
      <x:c r="G264" s="36" t="n">
        <x:v>2</x:v>
      </x:c>
      <x:c r="H264" s="34" t="str">
        <x:v>initial</x:v>
      </x:c>
      <x:c r="I264" s="34" t="str">
        <x:v>cache-semantics</x:v>
      </x:c>
      <x:c r="J264" s="45" t="b">
        <x:v>1</x:v>
      </x:c>
      <x:c r="K264" s="45" t="b">
        <x:v>1</x:v>
      </x:c>
      <x:c r="L264" s="45" t="b">
        <x:v>1</x:v>
      </x:c>
      <x:c r="M264" s="43" t="n">
        <x:v>400000</x:v>
      </x:c>
      <x:c r="N264" s="43" t="n">
        <x:v>4769536</x:v>
      </x:c>
      <x:c r="O264" s="43" t="n">
        <x:v>953717.7382489904</x:v>
      </x:c>
      <x:c r="P264" s="45" t="b">
        <x:v>1</x:v>
      </x:c>
      <x:c r="Q264" s="45" t="b">
        <x:v>1</x:v>
      </x:c>
      <x:c r="R264" s="45" t="b">
        <x:v>1</x:v>
      </x:c>
      <x:c r="S264" s="43" t="n">
        <x:v>5000000000</x:v>
      </x:c>
      <x:c r="T264" s="43" t="n">
        <x:v>5000993280</x:v>
      </x:c>
      <x:c r="U264" s="45" t="b">
        <x:v>1</x:v>
      </x:c>
      <x:c r="V264" s="34" t="str">
        <x:v>uniform</x:v>
      </x:c>
      <x:c r="W264" s="42" t="n">
        <x:v>95</x:v>
      </x:c>
      <x:c r="X264" s="48" t="n">
        <x:v>0.95</x:v>
      </x:c>
      <x:c r="Y264" s="48" t="n">
        <x:v>0.9504010453008427</x:v>
      </x:c>
      <x:c r="Z264" s="45" t="b">
        <x:v>1</x:v>
      </x:c>
      <x:c r="AA264" s="43" t="n">
        <x:v>10000</x:v>
      </x:c>
      <x:c r="AB264" s="43" t="n">
        <x:v>9900</x:v>
      </x:c>
      <x:c r="AC264" s="43" t="n">
        <x:v>10000</x:v>
      </x:c>
      <x:c r="AD264" s="45" t="b">
        <x:v>1</x:v>
      </x:c>
      <x:c r="AE264" s="43" t="n">
        <x:v>9900</x:v>
      </x:c>
      <x:c r="AF264" s="43"/>
      <x:c r="AG264" s="43" t="n">
        <x:v>10000</x:v>
      </x:c>
      <x:c r="AH264" s="45" t="b">
        <x:v>1</x:v>
      </x:c>
      <x:c r="AI264" s="45" t="b">
        <x:v>1</x:v>
      </x:c>
      <x:c r="AJ264" s="49"/>
      <x:c r="AK264" s="48" t="n">
        <x:v>0.9504010453008427</x:v>
      </x:c>
      <x:c r="AL264" s="49"/>
      <x:c r="AM264" s="49"/>
      <x:c r="AN264" s="36" t="n">
        <x:v>1</x:v>
      </x:c>
      <x:c r="AO264" s="45" t="b">
        <x:v>1</x:v>
      </x:c>
      <x:c r="AP264" s="45" t="b">
        <x:v>1</x:v>
      </x:c>
      <x:c r="AQ264" s="46" t="n">
        <x:f>IF(T264="","",T264/'Readme-Protocol'!$B$24)</x:f>
        <x:v>5.00099328</x:v>
      </x:c>
      <x:c r="AR264" s="46" t="n">
        <x:f>IF(OR(S264="",S264=0),"",T264/S264)</x:f>
        <x:v>1.000198656</x:v>
      </x:c>
      <x:c r="AS264" s="46" t="n">
        <x:f>IF(OR(X264="",Y264=""),"",ABS(Y264-X264)*'Readme-Protocol'!$B$27)</x:f>
        <x:v>0.04010453008427284</x:v>
      </x:c>
      <x:c r="AT264" s="49" t="b">
        <x:f>AND(M264&gt;0,N264&gt;=0,O264&gt;0)</x:f>
        <x:v>1</x:v>
      </x:c>
      <x:c r="AU264" s="49" t="b">
        <x:f>AND(AT264,N264&gt;=M264)</x:f>
        <x:v>1</x:v>
      </x:c>
      <x:c r="AV264" s="49" t="b">
        <x:f>OR(S264=0,T264&gt;=S264)</x:f>
        <x:v>1</x:v>
      </x:c>
      <x:c r="AW264" s="49" t="b">
        <x:f>IF(I264="cache-semantics",OR(V264&lt;&gt;"uniform",ABS(Y264-W264/'Readme-Protocol'!$B$27)&lt;='Readme-Protocol'!$B$28),TRUE)</x:f>
        <x:v>1</x:v>
      </x:c>
      <x:c r="AX264" s="43" t="n">
        <x:f>IF(I264="cache-semantics",INT(AA264*'Readme-Protocol'!$B$32),"")</x:f>
        <x:v>9900</x:v>
      </x:c>
      <x:c r="AY264" s="49" t="b">
        <x:f>IF(I264="cache-semantics",AX264=AB264,TRUE)</x:f>
        <x:v>1</x:v>
      </x:c>
      <x:c r="AZ264" s="49" t="b">
        <x:f>IF(I264="cache-semantics",AX264=AE264,TRUE)</x:f>
        <x:v>1</x:v>
      </x:c>
      <x:c r="BA264" s="49" t="b">
        <x:f>IF(I264="cache-semantics",AC264&gt;=AX264,IF(I264="no-store-control",AC264=0,FALSE))</x:f>
        <x:v>1</x:v>
      </x:c>
      <x:c r="BB264" s="49" t="b">
        <x:f>IF(I264="cache-semantics",AG264&gt;=AX264,IF(I264="no-store-control",AG264=0,FALSE))</x:f>
        <x:v>1</x:v>
      </x:c>
      <x:c r="BC264" s="49" t="b">
        <x:f>AND(BA264,BB264)</x:f>
        <x:v>1</x:v>
      </x:c>
      <x:c r="BD264" s="49" t="b">
        <x:f>IF(I264="no-store-control",AND(AC264=0,AG264=0),TRUE)</x:f>
        <x:v>1</x:v>
      </x:c>
      <x:c r="BE264" s="49" t="b">
        <x:f>IF(I264="no-store-control",AK264=0,TRUE)</x:f>
        <x:v>1</x:v>
      </x:c>
      <x:c r="BF264" s="49" t="b">
        <x:f>IF(I264="cache-semantics",AN264=1,TRUE)</x:f>
        <x:v>1</x:v>
      </x:c>
      <x:c r="BG264" s="49" t="b">
        <x:f>IF(I264="cache-semantics",AND(AU264,AV264,Q264,AW264,BC264,BF264),IF(I264="no-store-control",AND(AU264,AV264,Q264,BD264,BE264),FALSE))</x:f>
        <x:v>1</x:v>
      </x:c>
      <x:c r="BH264" s="49" t="b">
        <x:f>AND(R264,AT264=P264,AU264=L264,AV264=U264,AY264,AZ264,IF(I264="cache-semantics",AND(AW264=Z264,AND(BA264=AD264,BB264=AH264,BC264=AI264),BF264=AO264),IF(I264="no-store-control",AND(AND(BA264=AD264,BB264=AH264,BC264=AI264),BD264=AJ264,BE264=AL264),FALSE)),BG264=AP264)</x:f>
        <x:v>1</x:v>
      </x:c>
      <x:c r="BI264" s="49" t="b">
        <x:f>AND(J264,K264,BG264)</x:f>
        <x:v>1</x:v>
      </x:c>
    </x:row>
    <x:row r="265">
      <x:c r="A265" s="34" t="str">
        <x:v>article1-unified-v4-2-fb3f101b-20260903-000401-default-f05-p3-jcs4</x:v>
      </x:c>
      <x:c r="B265" s="34" t="str">
        <x:v>default</x:v>
      </x:c>
      <x:c r="C265" s="34" t="str">
        <x:v>jcs4</x:v>
      </x:c>
      <x:c r="D265" s="36" t="n">
        <x:v>5</x:v>
      </x:c>
      <x:c r="E265" s="36" t="n">
        <x:v>5</x:v>
      </x:c>
      <x:c r="F265" s="36" t="n">
        <x:v>3</x:v>
      </x:c>
      <x:c r="G265" s="36" t="n">
        <x:v>2</x:v>
      </x:c>
      <x:c r="H265" s="34" t="str">
        <x:v>redeploy</x:v>
      </x:c>
      <x:c r="I265" s="34" t="str">
        <x:v>cache-semantics</x:v>
      </x:c>
      <x:c r="J265" s="45" t="b">
        <x:v>1</x:v>
      </x:c>
      <x:c r="K265" s="45" t="b">
        <x:v>1</x:v>
      </x:c>
      <x:c r="L265" s="45" t="b">
        <x:v>1</x:v>
      </x:c>
      <x:c r="M265" s="43" t="n">
        <x:v>400000</x:v>
      </x:c>
      <x:c r="N265" s="43" t="n">
        <x:v>5380864</x:v>
      </x:c>
      <x:c r="O265" s="43" t="n">
        <x:v>1075756.8820530542</x:v>
      </x:c>
      <x:c r="P265" s="45" t="b">
        <x:v>1</x:v>
      </x:c>
      <x:c r="Q265" s="45" t="b">
        <x:v>1</x:v>
      </x:c>
      <x:c r="R265" s="45" t="b">
        <x:v>1</x:v>
      </x:c>
      <x:c r="S265" s="43" t="n">
        <x:v>5000000000</x:v>
      </x:c>
      <x:c r="T265" s="43" t="n">
        <x:v>5001933141</x:v>
      </x:c>
      <x:c r="U265" s="45" t="b">
        <x:v>1</x:v>
      </x:c>
      <x:c r="V265" s="34" t="str">
        <x:v>uniform</x:v>
      </x:c>
      <x:c r="W265" s="42" t="n">
        <x:v>95</x:v>
      </x:c>
      <x:c r="X265" s="48" t="n">
        <x:v>0.95</x:v>
      </x:c>
      <x:c r="Y265" s="48" t="n">
        <x:v>0.9503949551596175</x:v>
      </x:c>
      <x:c r="Z265" s="45" t="b">
        <x:v>1</x:v>
      </x:c>
      <x:c r="AA265" s="43" t="n">
        <x:v>10000</x:v>
      </x:c>
      <x:c r="AB265" s="43" t="n">
        <x:v>9900</x:v>
      </x:c>
      <x:c r="AC265" s="43" t="n">
        <x:v>10000</x:v>
      </x:c>
      <x:c r="AD265" s="45" t="b">
        <x:v>1</x:v>
      </x:c>
      <x:c r="AE265" s="43" t="n">
        <x:v>9900</x:v>
      </x:c>
      <x:c r="AF265" s="43"/>
      <x:c r="AG265" s="43" t="n">
        <x:v>10000</x:v>
      </x:c>
      <x:c r="AH265" s="45" t="b">
        <x:v>1</x:v>
      </x:c>
      <x:c r="AI265" s="45" t="b">
        <x:v>1</x:v>
      </x:c>
      <x:c r="AJ265" s="49"/>
      <x:c r="AK265" s="48" t="n">
        <x:v>0.9503949551596175</x:v>
      </x:c>
      <x:c r="AL265" s="49"/>
      <x:c r="AM265" s="49"/>
      <x:c r="AN265" s="36" t="n">
        <x:v>1</x:v>
      </x:c>
      <x:c r="AO265" s="45" t="b">
        <x:v>1</x:v>
      </x:c>
      <x:c r="AP265" s="45" t="b">
        <x:v>1</x:v>
      </x:c>
      <x:c r="AQ265" s="46" t="n">
        <x:f>IF(T265="","",T265/'Readme-Protocol'!$B$24)</x:f>
        <x:v>5.001933141</x:v>
      </x:c>
      <x:c r="AR265" s="46" t="n">
        <x:f>IF(OR(S265="",S265=0),"",T265/S265)</x:f>
        <x:v>1.0003866282</x:v>
      </x:c>
      <x:c r="AS265" s="46" t="n">
        <x:f>IF(OR(X265="",Y265=""),"",ABS(Y265-X265)*'Readme-Protocol'!$B$27)</x:f>
        <x:v>0.039495515961751604</x:v>
      </x:c>
      <x:c r="AT265" s="49" t="b">
        <x:f>AND(M265&gt;0,N265&gt;=0,O265&gt;0)</x:f>
        <x:v>1</x:v>
      </x:c>
      <x:c r="AU265" s="49" t="b">
        <x:f>AND(AT265,N265&gt;=M265)</x:f>
        <x:v>1</x:v>
      </x:c>
      <x:c r="AV265" s="49" t="b">
        <x:f>OR(S265=0,T265&gt;=S265)</x:f>
        <x:v>1</x:v>
      </x:c>
      <x:c r="AW265" s="49" t="b">
        <x:f>IF(I265="cache-semantics",OR(V265&lt;&gt;"uniform",ABS(Y265-W265/'Readme-Protocol'!$B$27)&lt;='Readme-Protocol'!$B$28),TRUE)</x:f>
        <x:v>1</x:v>
      </x:c>
      <x:c r="AX265" s="43" t="n">
        <x:f>IF(I265="cache-semantics",INT(AA265*'Readme-Protocol'!$B$32),"")</x:f>
        <x:v>9900</x:v>
      </x:c>
      <x:c r="AY265" s="49" t="b">
        <x:f>IF(I265="cache-semantics",AX265=AB265,TRUE)</x:f>
        <x:v>1</x:v>
      </x:c>
      <x:c r="AZ265" s="49" t="b">
        <x:f>IF(I265="cache-semantics",AX265=AE265,TRUE)</x:f>
        <x:v>1</x:v>
      </x:c>
      <x:c r="BA265" s="49" t="b">
        <x:f>IF(I265="cache-semantics",AC265&gt;=AX265,IF(I265="no-store-control",AC265=0,FALSE))</x:f>
        <x:v>1</x:v>
      </x:c>
      <x:c r="BB265" s="49" t="b">
        <x:f>IF(I265="cache-semantics",AG265&gt;=AX265,IF(I265="no-store-control",AG265=0,FALSE))</x:f>
        <x:v>1</x:v>
      </x:c>
      <x:c r="BC265" s="49" t="b">
        <x:f>AND(BA265,BB265)</x:f>
        <x:v>1</x:v>
      </x:c>
      <x:c r="BD265" s="49" t="b">
        <x:f>IF(I265="no-store-control",AND(AC265=0,AG265=0),TRUE)</x:f>
        <x:v>1</x:v>
      </x:c>
      <x:c r="BE265" s="49" t="b">
        <x:f>IF(I265="no-store-control",AK265=0,TRUE)</x:f>
        <x:v>1</x:v>
      </x:c>
      <x:c r="BF265" s="49" t="b">
        <x:f>IF(I265="cache-semantics",AN265=1,TRUE)</x:f>
        <x:v>1</x:v>
      </x:c>
      <x:c r="BG265" s="49" t="b">
        <x:f>IF(I265="cache-semantics",AND(AU265,AV265,Q265,AW265,BC265,BF265),IF(I265="no-store-control",AND(AU265,AV265,Q265,BD265,BE265),FALSE))</x:f>
        <x:v>1</x:v>
      </x:c>
      <x:c r="BH265" s="49" t="b">
        <x:f>AND(R265,AT265=P265,AU265=L265,AV265=U265,AY265,AZ265,IF(I265="cache-semantics",AND(AW265=Z265,AND(BA265=AD265,BB265=AH265,BC265=AI265),BF265=AO265),IF(I265="no-store-control",AND(AND(BA265=AD265,BB265=AH265,BC265=AI265),BD265=AJ265,BE265=AL265),FALSE)),BG265=AP265)</x:f>
        <x:v>1</x:v>
      </x:c>
      <x:c r="BI265" s="49" t="b">
        <x:f>AND(J265,K265,BG265)</x:f>
        <x:v>1</x:v>
      </x:c>
    </x:row>
    <x:row r="266">
      <x:c r="A266" s="34" t="str">
        <x:v>article1-unified-v4-2-fb3f101b-20260903-000401-default-f05-p3-jcs4</x:v>
      </x:c>
      <x:c r="B266" s="34" t="str">
        <x:v>default</x:v>
      </x:c>
      <x:c r="C266" s="34" t="str">
        <x:v>jcs4</x:v>
      </x:c>
      <x:c r="D266" s="36" t="n">
        <x:v>5</x:v>
      </x:c>
      <x:c r="E266" s="36" t="n">
        <x:v>5</x:v>
      </x:c>
      <x:c r="F266" s="36" t="n">
        <x:v>3</x:v>
      </x:c>
      <x:c r="G266" s="36" t="n">
        <x:v>3</x:v>
      </x:c>
      <x:c r="H266" s="34" t="str">
        <x:v>initial</x:v>
      </x:c>
      <x:c r="I266" s="34" t="str">
        <x:v>cache-semantics</x:v>
      </x:c>
      <x:c r="J266" s="45" t="b">
        <x:v>1</x:v>
      </x:c>
      <x:c r="K266" s="45" t="b">
        <x:v>1</x:v>
      </x:c>
      <x:c r="L266" s="45" t="b">
        <x:v>1</x:v>
      </x:c>
      <x:c r="M266" s="43" t="n">
        <x:v>400000</x:v>
      </x:c>
      <x:c r="N266" s="43" t="n">
        <x:v>5257728</x:v>
      </x:c>
      <x:c r="O266" s="43" t="n">
        <x:v>1051297.5959534813</x:v>
      </x:c>
      <x:c r="P266" s="45" t="b">
        <x:v>1</x:v>
      </x:c>
      <x:c r="Q266" s="45" t="b">
        <x:v>1</x:v>
      </x:c>
      <x:c r="R266" s="45" t="b">
        <x:v>1</x:v>
      </x:c>
      <x:c r="S266" s="43" t="n">
        <x:v>5000000000</x:v>
      </x:c>
      <x:c r="T266" s="43" t="n">
        <x:v>5001179514</x:v>
      </x:c>
      <x:c r="U266" s="45" t="b">
        <x:v>1</x:v>
      </x:c>
      <x:c r="V266" s="34" t="str">
        <x:v>uniform</x:v>
      </x:c>
      <x:c r="W266" s="42" t="n">
        <x:v>95</x:v>
      </x:c>
      <x:c r="X266" s="48" t="n">
        <x:v>0.95</x:v>
      </x:c>
      <x:c r="Y266" s="48" t="n">
        <x:v>0.950180572292823</x:v>
      </x:c>
      <x:c r="Z266" s="45" t="b">
        <x:v>1</x:v>
      </x:c>
      <x:c r="AA266" s="43" t="n">
        <x:v>10000</x:v>
      </x:c>
      <x:c r="AB266" s="43" t="n">
        <x:v>9900</x:v>
      </x:c>
      <x:c r="AC266" s="43" t="n">
        <x:v>10000</x:v>
      </x:c>
      <x:c r="AD266" s="45" t="b">
        <x:v>1</x:v>
      </x:c>
      <x:c r="AE266" s="43" t="n">
        <x:v>9900</x:v>
      </x:c>
      <x:c r="AF266" s="43"/>
      <x:c r="AG266" s="43" t="n">
        <x:v>10000</x:v>
      </x:c>
      <x:c r="AH266" s="45" t="b">
        <x:v>1</x:v>
      </x:c>
      <x:c r="AI266" s="45" t="b">
        <x:v>1</x:v>
      </x:c>
      <x:c r="AJ266" s="49"/>
      <x:c r="AK266" s="48" t="n">
        <x:v>0.950180572292823</x:v>
      </x:c>
      <x:c r="AL266" s="49"/>
      <x:c r="AM266" s="49"/>
      <x:c r="AN266" s="36" t="n">
        <x:v>1</x:v>
      </x:c>
      <x:c r="AO266" s="45" t="b">
        <x:v>1</x:v>
      </x:c>
      <x:c r="AP266" s="45" t="b">
        <x:v>1</x:v>
      </x:c>
      <x:c r="AQ266" s="46" t="n">
        <x:f>IF(T266="","",T266/'Readme-Protocol'!$B$24)</x:f>
        <x:v>5.001179514</x:v>
      </x:c>
      <x:c r="AR266" s="46" t="n">
        <x:f>IF(OR(S266="",S266=0),"",T266/S266)</x:f>
        <x:v>1.0002359028</x:v>
      </x:c>
      <x:c r="AS266" s="46" t="n">
        <x:f>IF(OR(X266="",Y266=""),"",ABS(Y266-X266)*'Readme-Protocol'!$B$27)</x:f>
        <x:v>0.018057229282308906</x:v>
      </x:c>
      <x:c r="AT266" s="49" t="b">
        <x:f>AND(M266&gt;0,N266&gt;=0,O266&gt;0)</x:f>
        <x:v>1</x:v>
      </x:c>
      <x:c r="AU266" s="49" t="b">
        <x:f>AND(AT266,N266&gt;=M266)</x:f>
        <x:v>1</x:v>
      </x:c>
      <x:c r="AV266" s="49" t="b">
        <x:f>OR(S266=0,T266&gt;=S266)</x:f>
        <x:v>1</x:v>
      </x:c>
      <x:c r="AW266" s="49" t="b">
        <x:f>IF(I266="cache-semantics",OR(V266&lt;&gt;"uniform",ABS(Y266-W266/'Readme-Protocol'!$B$27)&lt;='Readme-Protocol'!$B$28),TRUE)</x:f>
        <x:v>1</x:v>
      </x:c>
      <x:c r="AX266" s="43" t="n">
        <x:f>IF(I266="cache-semantics",INT(AA266*'Readme-Protocol'!$B$32),"")</x:f>
        <x:v>9900</x:v>
      </x:c>
      <x:c r="AY266" s="49" t="b">
        <x:f>IF(I266="cache-semantics",AX266=AB266,TRUE)</x:f>
        <x:v>1</x:v>
      </x:c>
      <x:c r="AZ266" s="49" t="b">
        <x:f>IF(I266="cache-semantics",AX266=AE266,TRUE)</x:f>
        <x:v>1</x:v>
      </x:c>
      <x:c r="BA266" s="49" t="b">
        <x:f>IF(I266="cache-semantics",AC266&gt;=AX266,IF(I266="no-store-control",AC266=0,FALSE))</x:f>
        <x:v>1</x:v>
      </x:c>
      <x:c r="BB266" s="49" t="b">
        <x:f>IF(I266="cache-semantics",AG266&gt;=AX266,IF(I266="no-store-control",AG266=0,FALSE))</x:f>
        <x:v>1</x:v>
      </x:c>
      <x:c r="BC266" s="49" t="b">
        <x:f>AND(BA266,BB266)</x:f>
        <x:v>1</x:v>
      </x:c>
      <x:c r="BD266" s="49" t="b">
        <x:f>IF(I266="no-store-control",AND(AC266=0,AG266=0),TRUE)</x:f>
        <x:v>1</x:v>
      </x:c>
      <x:c r="BE266" s="49" t="b">
        <x:f>IF(I266="no-store-control",AK266=0,TRUE)</x:f>
        <x:v>1</x:v>
      </x:c>
      <x:c r="BF266" s="49" t="b">
        <x:f>IF(I266="cache-semantics",AN266=1,TRUE)</x:f>
        <x:v>1</x:v>
      </x:c>
      <x:c r="BG266" s="49" t="b">
        <x:f>IF(I266="cache-semantics",AND(AU266,AV266,Q266,AW266,BC266,BF266),IF(I266="no-store-control",AND(AU266,AV266,Q266,BD266,BE266),FALSE))</x:f>
        <x:v>1</x:v>
      </x:c>
      <x:c r="BH266" s="49" t="b">
        <x:f>AND(R266,AT266=P266,AU266=L266,AV266=U266,AY266,AZ266,IF(I266="cache-semantics",AND(AW266=Z266,AND(BA266=AD266,BB266=AH266,BC266=AI266),BF266=AO266),IF(I266="no-store-control",AND(AND(BA266=AD266,BB266=AH266,BC266=AI266),BD266=AJ266,BE266=AL266),FALSE)),BG266=AP266)</x:f>
        <x:v>1</x:v>
      </x:c>
      <x:c r="BI266" s="49" t="b">
        <x:f>AND(J266,K266,BG266)</x:f>
        <x:v>1</x:v>
      </x:c>
    </x:row>
    <x:row r="267">
      <x:c r="A267" s="34" t="str">
        <x:v>article1-unified-v4-2-fb3f101b-20260903-000401-default-f05-p3-jcs4</x:v>
      </x:c>
      <x:c r="B267" s="34" t="str">
        <x:v>default</x:v>
      </x:c>
      <x:c r="C267" s="34" t="str">
        <x:v>jcs4</x:v>
      </x:c>
      <x:c r="D267" s="36" t="n">
        <x:v>5</x:v>
      </x:c>
      <x:c r="E267" s="36" t="n">
        <x:v>5</x:v>
      </x:c>
      <x:c r="F267" s="36" t="n">
        <x:v>3</x:v>
      </x:c>
      <x:c r="G267" s="36" t="n">
        <x:v>3</x:v>
      </x:c>
      <x:c r="H267" s="34" t="str">
        <x:v>redeploy</x:v>
      </x:c>
      <x:c r="I267" s="34" t="str">
        <x:v>cache-semantics</x:v>
      </x:c>
      <x:c r="J267" s="45" t="b">
        <x:v>1</x:v>
      </x:c>
      <x:c r="K267" s="45" t="b">
        <x:v>1</x:v>
      </x:c>
      <x:c r="L267" s="45" t="b">
        <x:v>1</x:v>
      </x:c>
      <x:c r="M267" s="43" t="n">
        <x:v>400000</x:v>
      </x:c>
      <x:c r="N267" s="43" t="n">
        <x:v>4727808</x:v>
      </x:c>
      <x:c r="O267" s="43" t="n">
        <x:v>945399.7802684504</x:v>
      </x:c>
      <x:c r="P267" s="45" t="b">
        <x:v>1</x:v>
      </x:c>
      <x:c r="Q267" s="45" t="b">
        <x:v>1</x:v>
      </x:c>
      <x:c r="R267" s="45" t="b">
        <x:v>1</x:v>
      </x:c>
      <x:c r="S267" s="43" t="n">
        <x:v>5000000000</x:v>
      </x:c>
      <x:c r="T267" s="43" t="n">
        <x:v>5000855827</x:v>
      </x:c>
      <x:c r="U267" s="45" t="b">
        <x:v>1</x:v>
      </x:c>
      <x:c r="V267" s="34" t="str">
        <x:v>uniform</x:v>
      </x:c>
      <x:c r="W267" s="42" t="n">
        <x:v>95</x:v>
      </x:c>
      <x:c r="X267" s="48" t="n">
        <x:v>0.95</x:v>
      </x:c>
      <x:c r="Y267" s="48" t="n">
        <x:v>0.9501927743258609</x:v>
      </x:c>
      <x:c r="Z267" s="45" t="b">
        <x:v>1</x:v>
      </x:c>
      <x:c r="AA267" s="43" t="n">
        <x:v>10000</x:v>
      </x:c>
      <x:c r="AB267" s="43" t="n">
        <x:v>9900</x:v>
      </x:c>
      <x:c r="AC267" s="43" t="n">
        <x:v>10000</x:v>
      </x:c>
      <x:c r="AD267" s="45" t="b">
        <x:v>1</x:v>
      </x:c>
      <x:c r="AE267" s="43" t="n">
        <x:v>9900</x:v>
      </x:c>
      <x:c r="AF267" s="43"/>
      <x:c r="AG267" s="43" t="n">
        <x:v>10000</x:v>
      </x:c>
      <x:c r="AH267" s="45" t="b">
        <x:v>1</x:v>
      </x:c>
      <x:c r="AI267" s="45" t="b">
        <x:v>1</x:v>
      </x:c>
      <x:c r="AJ267" s="49"/>
      <x:c r="AK267" s="48" t="n">
        <x:v>0.9501927743258609</x:v>
      </x:c>
      <x:c r="AL267" s="49"/>
      <x:c r="AM267" s="49"/>
      <x:c r="AN267" s="36" t="n">
        <x:v>1</x:v>
      </x:c>
      <x:c r="AO267" s="45" t="b">
        <x:v>1</x:v>
      </x:c>
      <x:c r="AP267" s="45" t="b">
        <x:v>1</x:v>
      </x:c>
      <x:c r="AQ267" s="46" t="n">
        <x:f>IF(T267="","",T267/'Readme-Protocol'!$B$24)</x:f>
        <x:v>5.000855827</x:v>
      </x:c>
      <x:c r="AR267" s="46" t="n">
        <x:f>IF(OR(S267="",S267=0),"",T267/S267)</x:f>
        <x:v>1.0001711654</x:v>
      </x:c>
      <x:c r="AS267" s="46" t="n">
        <x:f>IF(OR(X267="",Y267=""),"",ABS(Y267-X267)*'Readme-Protocol'!$B$27)</x:f>
        <x:v>0.0192774325860956</x:v>
      </x:c>
      <x:c r="AT267" s="49" t="b">
        <x:f>AND(M267&gt;0,N267&gt;=0,O267&gt;0)</x:f>
        <x:v>1</x:v>
      </x:c>
      <x:c r="AU267" s="49" t="b">
        <x:f>AND(AT267,N267&gt;=M267)</x:f>
        <x:v>1</x:v>
      </x:c>
      <x:c r="AV267" s="49" t="b">
        <x:f>OR(S267=0,T267&gt;=S267)</x:f>
        <x:v>1</x:v>
      </x:c>
      <x:c r="AW267" s="49" t="b">
        <x:f>IF(I267="cache-semantics",OR(V267&lt;&gt;"uniform",ABS(Y267-W267/'Readme-Protocol'!$B$27)&lt;='Readme-Protocol'!$B$28),TRUE)</x:f>
        <x:v>1</x:v>
      </x:c>
      <x:c r="AX267" s="43" t="n">
        <x:f>IF(I267="cache-semantics",INT(AA267*'Readme-Protocol'!$B$32),"")</x:f>
        <x:v>9900</x:v>
      </x:c>
      <x:c r="AY267" s="49" t="b">
        <x:f>IF(I267="cache-semantics",AX267=AB267,TRUE)</x:f>
        <x:v>1</x:v>
      </x:c>
      <x:c r="AZ267" s="49" t="b">
        <x:f>IF(I267="cache-semantics",AX267=AE267,TRUE)</x:f>
        <x:v>1</x:v>
      </x:c>
      <x:c r="BA267" s="49" t="b">
        <x:f>IF(I267="cache-semantics",AC267&gt;=AX267,IF(I267="no-store-control",AC267=0,FALSE))</x:f>
        <x:v>1</x:v>
      </x:c>
      <x:c r="BB267" s="49" t="b">
        <x:f>IF(I267="cache-semantics",AG267&gt;=AX267,IF(I267="no-store-control",AG267=0,FALSE))</x:f>
        <x:v>1</x:v>
      </x:c>
      <x:c r="BC267" s="49" t="b">
        <x:f>AND(BA267,BB267)</x:f>
        <x:v>1</x:v>
      </x:c>
      <x:c r="BD267" s="49" t="b">
        <x:f>IF(I267="no-store-control",AND(AC267=0,AG267=0),TRUE)</x:f>
        <x:v>1</x:v>
      </x:c>
      <x:c r="BE267" s="49" t="b">
        <x:f>IF(I267="no-store-control",AK267=0,TRUE)</x:f>
        <x:v>1</x:v>
      </x:c>
      <x:c r="BF267" s="49" t="b">
        <x:f>IF(I267="cache-semantics",AN267=1,TRUE)</x:f>
        <x:v>1</x:v>
      </x:c>
      <x:c r="BG267" s="49" t="b">
        <x:f>IF(I267="cache-semantics",AND(AU267,AV267,Q267,AW267,BC267,BF267),IF(I267="no-store-control",AND(AU267,AV267,Q267,BD267,BE267),FALSE))</x:f>
        <x:v>1</x:v>
      </x:c>
      <x:c r="BH267" s="49" t="b">
        <x:f>AND(R267,AT267=P267,AU267=L267,AV267=U267,AY267,AZ267,IF(I267="cache-semantics",AND(AW267=Z267,AND(BA267=AD267,BB267=AH267,BC267=AI267),BF267=AO267),IF(I267="no-store-control",AND(AND(BA267=AD267,BB267=AH267,BC267=AI267),BD267=AJ267,BE267=AL267),FALSE)),BG267=AP267)</x:f>
        <x:v>1</x:v>
      </x:c>
      <x:c r="BI267" s="49" t="b">
        <x:f>AND(J267,K267,BG267)</x:f>
        <x:v>1</x:v>
      </x:c>
    </x:row>
    <x:row r="268">
      <x:c r="A268" s="34" t="str">
        <x:v>article1-unified-v4-2-fb3f101b-20260903-000401-default-f05-p3-jcs4</x:v>
      </x:c>
      <x:c r="B268" s="34" t="str">
        <x:v>default</x:v>
      </x:c>
      <x:c r="C268" s="34" t="str">
        <x:v>jcs4</x:v>
      </x:c>
      <x:c r="D268" s="36" t="n">
        <x:v>5</x:v>
      </x:c>
      <x:c r="E268" s="36" t="n">
        <x:v>5</x:v>
      </x:c>
      <x:c r="F268" s="36" t="n">
        <x:v>3</x:v>
      </x:c>
      <x:c r="G268" s="36" t="n">
        <x:v>4</x:v>
      </x:c>
      <x:c r="H268" s="34" t="str">
        <x:v>initial</x:v>
      </x:c>
      <x:c r="I268" s="34" t="str">
        <x:v>cache-semantics</x:v>
      </x:c>
      <x:c r="J268" s="45" t="b">
        <x:v>1</x:v>
      </x:c>
      <x:c r="K268" s="45" t="b">
        <x:v>1</x:v>
      </x:c>
      <x:c r="L268" s="45" t="b">
        <x:v>1</x:v>
      </x:c>
      <x:c r="M268" s="43" t="n">
        <x:v>400000</x:v>
      </x:c>
      <x:c r="N268" s="43" t="n">
        <x:v>3660800</x:v>
      </x:c>
      <x:c r="O268" s="43" t="n">
        <x:v>731904.4324392338</x:v>
      </x:c>
      <x:c r="P268" s="45" t="b">
        <x:v>1</x:v>
      </x:c>
      <x:c r="Q268" s="45" t="b">
        <x:v>1</x:v>
      </x:c>
      <x:c r="R268" s="45" t="b">
        <x:v>1</x:v>
      </x:c>
      <x:c r="S268" s="43" t="n">
        <x:v>5000000000</x:v>
      </x:c>
      <x:c r="T268" s="43" t="n">
        <x:v>5001745908</x:v>
      </x:c>
      <x:c r="U268" s="45" t="b">
        <x:v>1</x:v>
      </x:c>
      <x:c r="V268" s="34" t="str">
        <x:v>uniform</x:v>
      </x:c>
      <x:c r="W268" s="42" t="n">
        <x:v>95</x:v>
      </x:c>
      <x:c r="X268" s="48" t="n">
        <x:v>0.95</x:v>
      </x:c>
      <x:c r="Y268" s="48" t="n">
        <x:v>0.9505427775349651</x:v>
      </x:c>
      <x:c r="Z268" s="45" t="b">
        <x:v>1</x:v>
      </x:c>
      <x:c r="AA268" s="43" t="n">
        <x:v>10000</x:v>
      </x:c>
      <x:c r="AB268" s="43" t="n">
        <x:v>9900</x:v>
      </x:c>
      <x:c r="AC268" s="43" t="n">
        <x:v>10000</x:v>
      </x:c>
      <x:c r="AD268" s="45" t="b">
        <x:v>1</x:v>
      </x:c>
      <x:c r="AE268" s="43" t="n">
        <x:v>9900</x:v>
      </x:c>
      <x:c r="AF268" s="43"/>
      <x:c r="AG268" s="43" t="n">
        <x:v>10000</x:v>
      </x:c>
      <x:c r="AH268" s="45" t="b">
        <x:v>1</x:v>
      </x:c>
      <x:c r="AI268" s="45" t="b">
        <x:v>1</x:v>
      </x:c>
      <x:c r="AJ268" s="49"/>
      <x:c r="AK268" s="48" t="n">
        <x:v>0.9505427775349651</x:v>
      </x:c>
      <x:c r="AL268" s="49"/>
      <x:c r="AM268" s="49"/>
      <x:c r="AN268" s="36" t="n">
        <x:v>1</x:v>
      </x:c>
      <x:c r="AO268" s="45" t="b">
        <x:v>1</x:v>
      </x:c>
      <x:c r="AP268" s="45" t="b">
        <x:v>1</x:v>
      </x:c>
      <x:c r="AQ268" s="46" t="n">
        <x:f>IF(T268="","",T268/'Readme-Protocol'!$B$24)</x:f>
        <x:v>5.001745908</x:v>
      </x:c>
      <x:c r="AR268" s="46" t="n">
        <x:f>IF(OR(S268="",S268=0),"",T268/S268)</x:f>
        <x:v>1.0003491816</x:v>
      </x:c>
      <x:c r="AS268" s="46" t="n">
        <x:f>IF(OR(X268="",Y268=""),"",ABS(Y268-X268)*'Readme-Protocol'!$B$27)</x:f>
        <x:v>0.054277753496512204</x:v>
      </x:c>
      <x:c r="AT268" s="49" t="b">
        <x:f>AND(M268&gt;0,N268&gt;=0,O268&gt;0)</x:f>
        <x:v>1</x:v>
      </x:c>
      <x:c r="AU268" s="49" t="b">
        <x:f>AND(AT268,N268&gt;=M268)</x:f>
        <x:v>1</x:v>
      </x:c>
      <x:c r="AV268" s="49" t="b">
        <x:f>OR(S268=0,T268&gt;=S268)</x:f>
        <x:v>1</x:v>
      </x:c>
      <x:c r="AW268" s="49" t="b">
        <x:f>IF(I268="cache-semantics",OR(V268&lt;&gt;"uniform",ABS(Y268-W268/'Readme-Protocol'!$B$27)&lt;='Readme-Protocol'!$B$28),TRUE)</x:f>
        <x:v>1</x:v>
      </x:c>
      <x:c r="AX268" s="43" t="n">
        <x:f>IF(I268="cache-semantics",INT(AA268*'Readme-Protocol'!$B$32),"")</x:f>
        <x:v>9900</x:v>
      </x:c>
      <x:c r="AY268" s="49" t="b">
        <x:f>IF(I268="cache-semantics",AX268=AB268,TRUE)</x:f>
        <x:v>1</x:v>
      </x:c>
      <x:c r="AZ268" s="49" t="b">
        <x:f>IF(I268="cache-semantics",AX268=AE268,TRUE)</x:f>
        <x:v>1</x:v>
      </x:c>
      <x:c r="BA268" s="49" t="b">
        <x:f>IF(I268="cache-semantics",AC268&gt;=AX268,IF(I268="no-store-control",AC268=0,FALSE))</x:f>
        <x:v>1</x:v>
      </x:c>
      <x:c r="BB268" s="49" t="b">
        <x:f>IF(I268="cache-semantics",AG268&gt;=AX268,IF(I268="no-store-control",AG268=0,FALSE))</x:f>
        <x:v>1</x:v>
      </x:c>
      <x:c r="BC268" s="49" t="b">
        <x:f>AND(BA268,BB268)</x:f>
        <x:v>1</x:v>
      </x:c>
      <x:c r="BD268" s="49" t="b">
        <x:f>IF(I268="no-store-control",AND(AC268=0,AG268=0),TRUE)</x:f>
        <x:v>1</x:v>
      </x:c>
      <x:c r="BE268" s="49" t="b">
        <x:f>IF(I268="no-store-control",AK268=0,TRUE)</x:f>
        <x:v>1</x:v>
      </x:c>
      <x:c r="BF268" s="49" t="b">
        <x:f>IF(I268="cache-semantics",AN268=1,TRUE)</x:f>
        <x:v>1</x:v>
      </x:c>
      <x:c r="BG268" s="49" t="b">
        <x:f>IF(I268="cache-semantics",AND(AU268,AV268,Q268,AW268,BC268,BF268),IF(I268="no-store-control",AND(AU268,AV268,Q268,BD268,BE268),FALSE))</x:f>
        <x:v>1</x:v>
      </x:c>
      <x:c r="BH268" s="49" t="b">
        <x:f>AND(R268,AT268=P268,AU268=L268,AV268=U268,AY268,AZ268,IF(I268="cache-semantics",AND(AW268=Z268,AND(BA268=AD268,BB268=AH268,BC268=AI268),BF268=AO268),IF(I268="no-store-control",AND(AND(BA268=AD268,BB268=AH268,BC268=AI268),BD268=AJ268,BE268=AL268),FALSE)),BG268=AP268)</x:f>
        <x:v>1</x:v>
      </x:c>
      <x:c r="BI268" s="49" t="b">
        <x:f>AND(J268,K268,BG268)</x:f>
        <x:v>1</x:v>
      </x:c>
    </x:row>
    <x:row r="269">
      <x:c r="A269" s="34" t="str">
        <x:v>article1-unified-v4-2-fb3f101b-20260903-000401-default-f05-p3-jcs4</x:v>
      </x:c>
      <x:c r="B269" s="34" t="str">
        <x:v>default</x:v>
      </x:c>
      <x:c r="C269" s="34" t="str">
        <x:v>jcs4</x:v>
      </x:c>
      <x:c r="D269" s="36" t="n">
        <x:v>5</x:v>
      </x:c>
      <x:c r="E269" s="36" t="n">
        <x:v>5</x:v>
      </x:c>
      <x:c r="F269" s="36" t="n">
        <x:v>3</x:v>
      </x:c>
      <x:c r="G269" s="36" t="n">
        <x:v>4</x:v>
      </x:c>
      <x:c r="H269" s="34" t="str">
        <x:v>redeploy</x:v>
      </x:c>
      <x:c r="I269" s="34" t="str">
        <x:v>cache-semantics</x:v>
      </x:c>
      <x:c r="J269" s="45" t="b">
        <x:v>1</x:v>
      </x:c>
      <x:c r="K269" s="45" t="b">
        <x:v>1</x:v>
      </x:c>
      <x:c r="L269" s="45" t="b">
        <x:v>1</x:v>
      </x:c>
      <x:c r="M269" s="43" t="n">
        <x:v>400000</x:v>
      </x:c>
      <x:c r="N269" s="43" t="n">
        <x:v>5780224</x:v>
      </x:c>
      <x:c r="O269" s="43" t="n">
        <x:v>1155875.7117967992</x:v>
      </x:c>
      <x:c r="P269" s="45" t="b">
        <x:v>1</x:v>
      </x:c>
      <x:c r="Q269" s="45" t="b">
        <x:v>1</x:v>
      </x:c>
      <x:c r="R269" s="45" t="b">
        <x:v>1</x:v>
      </x:c>
      <x:c r="S269" s="43" t="n">
        <x:v>5000000000</x:v>
      </x:c>
      <x:c r="T269" s="43" t="n">
        <x:v>5000731429</x:v>
      </x:c>
      <x:c r="U269" s="45" t="b">
        <x:v>1</x:v>
      </x:c>
      <x:c r="V269" s="34" t="str">
        <x:v>uniform</x:v>
      </x:c>
      <x:c r="W269" s="42" t="n">
        <x:v>95</x:v>
      </x:c>
      <x:c r="X269" s="48" t="n">
        <x:v>0.95</x:v>
      </x:c>
      <x:c r="Y269" s="48" t="n">
        <x:v>0.950543785154347</x:v>
      </x:c>
      <x:c r="Z269" s="45" t="b">
        <x:v>1</x:v>
      </x:c>
      <x:c r="AA269" s="43" t="n">
        <x:v>10000</x:v>
      </x:c>
      <x:c r="AB269" s="43" t="n">
        <x:v>9900</x:v>
      </x:c>
      <x:c r="AC269" s="43" t="n">
        <x:v>10000</x:v>
      </x:c>
      <x:c r="AD269" s="45" t="b">
        <x:v>1</x:v>
      </x:c>
      <x:c r="AE269" s="43" t="n">
        <x:v>9900</x:v>
      </x:c>
      <x:c r="AF269" s="43"/>
      <x:c r="AG269" s="43" t="n">
        <x:v>10000</x:v>
      </x:c>
      <x:c r="AH269" s="45" t="b">
        <x:v>1</x:v>
      </x:c>
      <x:c r="AI269" s="45" t="b">
        <x:v>1</x:v>
      </x:c>
      <x:c r="AJ269" s="49"/>
      <x:c r="AK269" s="48" t="n">
        <x:v>0.950543785154347</x:v>
      </x:c>
      <x:c r="AL269" s="49"/>
      <x:c r="AM269" s="49"/>
      <x:c r="AN269" s="36" t="n">
        <x:v>1</x:v>
      </x:c>
      <x:c r="AO269" s="45" t="b">
        <x:v>1</x:v>
      </x:c>
      <x:c r="AP269" s="45" t="b">
        <x:v>1</x:v>
      </x:c>
      <x:c r="AQ269" s="46" t="n">
        <x:f>IF(T269="","",T269/'Readme-Protocol'!$B$24)</x:f>
        <x:v>5.000731429</x:v>
      </x:c>
      <x:c r="AR269" s="46" t="n">
        <x:f>IF(OR(S269="",S269=0),"",T269/S269)</x:f>
        <x:v>1.0001462858</x:v>
      </x:c>
      <x:c r="AS269" s="46" t="n">
        <x:f>IF(OR(X269="",Y269=""),"",ABS(Y269-X269)*'Readme-Protocol'!$B$27)</x:f>
        <x:v>0.0543785154347054</x:v>
      </x:c>
      <x:c r="AT269" s="49" t="b">
        <x:f>AND(M269&gt;0,N269&gt;=0,O269&gt;0)</x:f>
        <x:v>1</x:v>
      </x:c>
      <x:c r="AU269" s="49" t="b">
        <x:f>AND(AT269,N269&gt;=M269)</x:f>
        <x:v>1</x:v>
      </x:c>
      <x:c r="AV269" s="49" t="b">
        <x:f>OR(S269=0,T269&gt;=S269)</x:f>
        <x:v>1</x:v>
      </x:c>
      <x:c r="AW269" s="49" t="b">
        <x:f>IF(I269="cache-semantics",OR(V269&lt;&gt;"uniform",ABS(Y269-W269/'Readme-Protocol'!$B$27)&lt;='Readme-Protocol'!$B$28),TRUE)</x:f>
        <x:v>1</x:v>
      </x:c>
      <x:c r="AX269" s="43" t="n">
        <x:f>IF(I269="cache-semantics",INT(AA269*'Readme-Protocol'!$B$32),"")</x:f>
        <x:v>9900</x:v>
      </x:c>
      <x:c r="AY269" s="49" t="b">
        <x:f>IF(I269="cache-semantics",AX269=AB269,TRUE)</x:f>
        <x:v>1</x:v>
      </x:c>
      <x:c r="AZ269" s="49" t="b">
        <x:f>IF(I269="cache-semantics",AX269=AE269,TRUE)</x:f>
        <x:v>1</x:v>
      </x:c>
      <x:c r="BA269" s="49" t="b">
        <x:f>IF(I269="cache-semantics",AC269&gt;=AX269,IF(I269="no-store-control",AC269=0,FALSE))</x:f>
        <x:v>1</x:v>
      </x:c>
      <x:c r="BB269" s="49" t="b">
        <x:f>IF(I269="cache-semantics",AG269&gt;=AX269,IF(I269="no-store-control",AG269=0,FALSE))</x:f>
        <x:v>1</x:v>
      </x:c>
      <x:c r="BC269" s="49" t="b">
        <x:f>AND(BA269,BB269)</x:f>
        <x:v>1</x:v>
      </x:c>
      <x:c r="BD269" s="49" t="b">
        <x:f>IF(I269="no-store-control",AND(AC269=0,AG269=0),TRUE)</x:f>
        <x:v>1</x:v>
      </x:c>
      <x:c r="BE269" s="49" t="b">
        <x:f>IF(I269="no-store-control",AK269=0,TRUE)</x:f>
        <x:v>1</x:v>
      </x:c>
      <x:c r="BF269" s="49" t="b">
        <x:f>IF(I269="cache-semantics",AN269=1,TRUE)</x:f>
        <x:v>1</x:v>
      </x:c>
      <x:c r="BG269" s="49" t="b">
        <x:f>IF(I269="cache-semantics",AND(AU269,AV269,Q269,AW269,BC269,BF269),IF(I269="no-store-control",AND(AU269,AV269,Q269,BD269,BE269),FALSE))</x:f>
        <x:v>1</x:v>
      </x:c>
      <x:c r="BH269" s="49" t="b">
        <x:f>AND(R269,AT269=P269,AU269=L269,AV269=U269,AY269,AZ269,IF(I269="cache-semantics",AND(AW269=Z269,AND(BA269=AD269,BB269=AH269,BC269=AI269),BF269=AO269),IF(I269="no-store-control",AND(AND(BA269=AD269,BB269=AH269,BC269=AI269),BD269=AJ269,BE269=AL269),FALSE)),BG269=AP269)</x:f>
        <x:v>1</x:v>
      </x:c>
      <x:c r="BI269" s="49" t="b">
        <x:f>AND(J269,K269,BG269)</x:f>
        <x:v>1</x:v>
      </x:c>
    </x:row>
    <x:row r="270">
      <x:c r="A270" s="34" t="str">
        <x:v>article1-unified-v4-2-fb3f101b-20260903-000401-default-f05-p3-jcs4</x:v>
      </x:c>
      <x:c r="B270" s="34" t="str">
        <x:v>default</x:v>
      </x:c>
      <x:c r="C270" s="34" t="str">
        <x:v>jcs4</x:v>
      </x:c>
      <x:c r="D270" s="36" t="n">
        <x:v>5</x:v>
      </x:c>
      <x:c r="E270" s="36" t="n">
        <x:v>5</x:v>
      </x:c>
      <x:c r="F270" s="36" t="n">
        <x:v>3</x:v>
      </x:c>
      <x:c r="G270" s="36" t="n">
        <x:v>5</x:v>
      </x:c>
      <x:c r="H270" s="34" t="str">
        <x:v>initial</x:v>
      </x:c>
      <x:c r="I270" s="34" t="str">
        <x:v>cache-semantics</x:v>
      </x:c>
      <x:c r="J270" s="45" t="b">
        <x:v>1</x:v>
      </x:c>
      <x:c r="K270" s="45" t="b">
        <x:v>1</x:v>
      </x:c>
      <x:c r="L270" s="45" t="b">
        <x:v>1</x:v>
      </x:c>
      <x:c r="M270" s="43" t="n">
        <x:v>400000</x:v>
      </x:c>
      <x:c r="N270" s="43" t="n">
        <x:v>4989952</x:v>
      </x:c>
      <x:c r="O270" s="43" t="n">
        <x:v>997745.7327914049</x:v>
      </x:c>
      <x:c r="P270" s="45" t="b">
        <x:v>1</x:v>
      </x:c>
      <x:c r="Q270" s="45" t="b">
        <x:v>1</x:v>
      </x:c>
      <x:c r="R270" s="45" t="b">
        <x:v>1</x:v>
      </x:c>
      <x:c r="S270" s="43" t="n">
        <x:v>5000000000</x:v>
      </x:c>
      <x:c r="T270" s="43" t="n">
        <x:v>5001226100</x:v>
      </x:c>
      <x:c r="U270" s="45" t="b">
        <x:v>1</x:v>
      </x:c>
      <x:c r="V270" s="34" t="str">
        <x:v>uniform</x:v>
      </x:c>
      <x:c r="W270" s="42" t="n">
        <x:v>95</x:v>
      </x:c>
      <x:c r="X270" s="48" t="n">
        <x:v>0.95</x:v>
      </x:c>
      <x:c r="Y270" s="48" t="n">
        <x:v>0.9507620514185307</x:v>
      </x:c>
      <x:c r="Z270" s="45" t="b">
        <x:v>1</x:v>
      </x:c>
      <x:c r="AA270" s="43" t="n">
        <x:v>10000</x:v>
      </x:c>
      <x:c r="AB270" s="43" t="n">
        <x:v>9900</x:v>
      </x:c>
      <x:c r="AC270" s="43" t="n">
        <x:v>10000</x:v>
      </x:c>
      <x:c r="AD270" s="45" t="b">
        <x:v>1</x:v>
      </x:c>
      <x:c r="AE270" s="43" t="n">
        <x:v>9900</x:v>
      </x:c>
      <x:c r="AF270" s="43"/>
      <x:c r="AG270" s="43" t="n">
        <x:v>10000</x:v>
      </x:c>
      <x:c r="AH270" s="45" t="b">
        <x:v>1</x:v>
      </x:c>
      <x:c r="AI270" s="45" t="b">
        <x:v>1</x:v>
      </x:c>
      <x:c r="AJ270" s="49"/>
      <x:c r="AK270" s="48" t="n">
        <x:v>0.9507620514185307</x:v>
      </x:c>
      <x:c r="AL270" s="49"/>
      <x:c r="AM270" s="49"/>
      <x:c r="AN270" s="36" t="n">
        <x:v>1</x:v>
      </x:c>
      <x:c r="AO270" s="45" t="b">
        <x:v>1</x:v>
      </x:c>
      <x:c r="AP270" s="45" t="b">
        <x:v>1</x:v>
      </x:c>
      <x:c r="AQ270" s="46" t="n">
        <x:f>IF(T270="","",T270/'Readme-Protocol'!$B$24)</x:f>
        <x:v>5.0012261</x:v>
      </x:c>
      <x:c r="AR270" s="46" t="n">
        <x:f>IF(OR(S270="",S270=0),"",T270/S270)</x:f>
        <x:v>1.00024522</x:v>
      </x:c>
      <x:c r="AS270" s="46" t="n">
        <x:f>IF(OR(X270="",Y270=""),"",ABS(Y270-X270)*'Readme-Protocol'!$B$27)</x:f>
        <x:v>0.07620514185306959</x:v>
      </x:c>
      <x:c r="AT270" s="49" t="b">
        <x:f>AND(M270&gt;0,N270&gt;=0,O270&gt;0)</x:f>
        <x:v>1</x:v>
      </x:c>
      <x:c r="AU270" s="49" t="b">
        <x:f>AND(AT270,N270&gt;=M270)</x:f>
        <x:v>1</x:v>
      </x:c>
      <x:c r="AV270" s="49" t="b">
        <x:f>OR(S270=0,T270&gt;=S270)</x:f>
        <x:v>1</x:v>
      </x:c>
      <x:c r="AW270" s="49" t="b">
        <x:f>IF(I270="cache-semantics",OR(V270&lt;&gt;"uniform",ABS(Y270-W270/'Readme-Protocol'!$B$27)&lt;='Readme-Protocol'!$B$28),TRUE)</x:f>
        <x:v>1</x:v>
      </x:c>
      <x:c r="AX270" s="43" t="n">
        <x:f>IF(I270="cache-semantics",INT(AA270*'Readme-Protocol'!$B$32),"")</x:f>
        <x:v>9900</x:v>
      </x:c>
      <x:c r="AY270" s="49" t="b">
        <x:f>IF(I270="cache-semantics",AX270=AB270,TRUE)</x:f>
        <x:v>1</x:v>
      </x:c>
      <x:c r="AZ270" s="49" t="b">
        <x:f>IF(I270="cache-semantics",AX270=AE270,TRUE)</x:f>
        <x:v>1</x:v>
      </x:c>
      <x:c r="BA270" s="49" t="b">
        <x:f>IF(I270="cache-semantics",AC270&gt;=AX270,IF(I270="no-store-control",AC270=0,FALSE))</x:f>
        <x:v>1</x:v>
      </x:c>
      <x:c r="BB270" s="49" t="b">
        <x:f>IF(I270="cache-semantics",AG270&gt;=AX270,IF(I270="no-store-control",AG270=0,FALSE))</x:f>
        <x:v>1</x:v>
      </x:c>
      <x:c r="BC270" s="49" t="b">
        <x:f>AND(BA270,BB270)</x:f>
        <x:v>1</x:v>
      </x:c>
      <x:c r="BD270" s="49" t="b">
        <x:f>IF(I270="no-store-control",AND(AC270=0,AG270=0),TRUE)</x:f>
        <x:v>1</x:v>
      </x:c>
      <x:c r="BE270" s="49" t="b">
        <x:f>IF(I270="no-store-control",AK270=0,TRUE)</x:f>
        <x:v>1</x:v>
      </x:c>
      <x:c r="BF270" s="49" t="b">
        <x:f>IF(I270="cache-semantics",AN270=1,TRUE)</x:f>
        <x:v>1</x:v>
      </x:c>
      <x:c r="BG270" s="49" t="b">
        <x:f>IF(I270="cache-semantics",AND(AU270,AV270,Q270,AW270,BC270,BF270),IF(I270="no-store-control",AND(AU270,AV270,Q270,BD270,BE270),FALSE))</x:f>
        <x:v>1</x:v>
      </x:c>
      <x:c r="BH270" s="49" t="b">
        <x:f>AND(R270,AT270=P270,AU270=L270,AV270=U270,AY270,AZ270,IF(I270="cache-semantics",AND(AW270=Z270,AND(BA270=AD270,BB270=AH270,BC270=AI270),BF270=AO270),IF(I270="no-store-control",AND(AND(BA270=AD270,BB270=AH270,BC270=AI270),BD270=AJ270,BE270=AL270),FALSE)),BG270=AP270)</x:f>
        <x:v>1</x:v>
      </x:c>
      <x:c r="BI270" s="49" t="b">
        <x:f>AND(J270,K270,BG270)</x:f>
        <x:v>1</x:v>
      </x:c>
    </x:row>
    <x:row r="271">
      <x:c r="A271" s="34" t="str">
        <x:v>article1-unified-v4-2-fb3f101b-20260903-000401-default-f05-p3-jcs4</x:v>
      </x:c>
      <x:c r="B271" s="34" t="str">
        <x:v>default</x:v>
      </x:c>
      <x:c r="C271" s="34" t="str">
        <x:v>jcs4</x:v>
      </x:c>
      <x:c r="D271" s="36" t="n">
        <x:v>5</x:v>
      </x:c>
      <x:c r="E271" s="36" t="n">
        <x:v>5</x:v>
      </x:c>
      <x:c r="F271" s="36" t="n">
        <x:v>3</x:v>
      </x:c>
      <x:c r="G271" s="36" t="n">
        <x:v>5</x:v>
      </x:c>
      <x:c r="H271" s="34" t="str">
        <x:v>redeploy</x:v>
      </x:c>
      <x:c r="I271" s="34" t="str">
        <x:v>cache-semantics</x:v>
      </x:c>
      <x:c r="J271" s="45" t="b">
        <x:v>1</x:v>
      </x:c>
      <x:c r="K271" s="45" t="b">
        <x:v>1</x:v>
      </x:c>
      <x:c r="L271" s="45" t="b">
        <x:v>1</x:v>
      </x:c>
      <x:c r="M271" s="43" t="n">
        <x:v>400000</x:v>
      </x:c>
      <x:c r="N271" s="43" t="n">
        <x:v>4190720</x:v>
      </x:c>
      <x:c r="O271" s="43" t="n">
        <x:v>837960.6950923956</x:v>
      </x:c>
      <x:c r="P271" s="45" t="b">
        <x:v>1</x:v>
      </x:c>
      <x:c r="Q271" s="45" t="b">
        <x:v>1</x:v>
      </x:c>
      <x:c r="R271" s="45" t="b">
        <x:v>1</x:v>
      </x:c>
      <x:c r="S271" s="43" t="n">
        <x:v>5000000000</x:v>
      </x:c>
      <x:c r="T271" s="43" t="n">
        <x:v>5001093756</x:v>
      </x:c>
      <x:c r="U271" s="45" t="b">
        <x:v>1</x:v>
      </x:c>
      <x:c r="V271" s="34" t="str">
        <x:v>uniform</x:v>
      </x:c>
      <x:c r="W271" s="42" t="n">
        <x:v>95</x:v>
      </x:c>
      <x:c r="X271" s="48" t="n">
        <x:v>0.95</x:v>
      </x:c>
      <x:c r="Y271" s="48" t="n">
        <x:v>0.9507635919364692</x:v>
      </x:c>
      <x:c r="Z271" s="45" t="b">
        <x:v>1</x:v>
      </x:c>
      <x:c r="AA271" s="43" t="n">
        <x:v>10000</x:v>
      </x:c>
      <x:c r="AB271" s="43" t="n">
        <x:v>9900</x:v>
      </x:c>
      <x:c r="AC271" s="43" t="n">
        <x:v>10000</x:v>
      </x:c>
      <x:c r="AD271" s="45" t="b">
        <x:v>1</x:v>
      </x:c>
      <x:c r="AE271" s="43" t="n">
        <x:v>9900</x:v>
      </x:c>
      <x:c r="AF271" s="43"/>
      <x:c r="AG271" s="43" t="n">
        <x:v>10000</x:v>
      </x:c>
      <x:c r="AH271" s="45" t="b">
        <x:v>1</x:v>
      </x:c>
      <x:c r="AI271" s="45" t="b">
        <x:v>1</x:v>
      </x:c>
      <x:c r="AJ271" s="49"/>
      <x:c r="AK271" s="48" t="n">
        <x:v>0.9507635919364692</x:v>
      </x:c>
      <x:c r="AL271" s="49"/>
      <x:c r="AM271" s="49"/>
      <x:c r="AN271" s="36" t="n">
        <x:v>1</x:v>
      </x:c>
      <x:c r="AO271" s="45" t="b">
        <x:v>1</x:v>
      </x:c>
      <x:c r="AP271" s="45" t="b">
        <x:v>1</x:v>
      </x:c>
      <x:c r="AQ271" s="46" t="n">
        <x:f>IF(T271="","",T271/'Readme-Protocol'!$B$24)</x:f>
        <x:v>5.001093756</x:v>
      </x:c>
      <x:c r="AR271" s="46" t="n">
        <x:f>IF(OR(S271="",S271=0),"",T271/S271)</x:f>
        <x:v>1.0002187512</x:v>
      </x:c>
      <x:c r="AS271" s="46" t="n">
        <x:f>IF(OR(X271="",Y271=""),"",ABS(Y271-X271)*'Readme-Protocol'!$B$27)</x:f>
        <x:v>0.07635919364692434</x:v>
      </x:c>
      <x:c r="AT271" s="49" t="b">
        <x:f>AND(M271&gt;0,N271&gt;=0,O271&gt;0)</x:f>
        <x:v>1</x:v>
      </x:c>
      <x:c r="AU271" s="49" t="b">
        <x:f>AND(AT271,N271&gt;=M271)</x:f>
        <x:v>1</x:v>
      </x:c>
      <x:c r="AV271" s="49" t="b">
        <x:f>OR(S271=0,T271&gt;=S271)</x:f>
        <x:v>1</x:v>
      </x:c>
      <x:c r="AW271" s="49" t="b">
        <x:f>IF(I271="cache-semantics",OR(V271&lt;&gt;"uniform",ABS(Y271-W271/'Readme-Protocol'!$B$27)&lt;='Readme-Protocol'!$B$28),TRUE)</x:f>
        <x:v>1</x:v>
      </x:c>
      <x:c r="AX271" s="43" t="n">
        <x:f>IF(I271="cache-semantics",INT(AA271*'Readme-Protocol'!$B$32),"")</x:f>
        <x:v>9900</x:v>
      </x:c>
      <x:c r="AY271" s="49" t="b">
        <x:f>IF(I271="cache-semantics",AX271=AB271,TRUE)</x:f>
        <x:v>1</x:v>
      </x:c>
      <x:c r="AZ271" s="49" t="b">
        <x:f>IF(I271="cache-semantics",AX271=AE271,TRUE)</x:f>
        <x:v>1</x:v>
      </x:c>
      <x:c r="BA271" s="49" t="b">
        <x:f>IF(I271="cache-semantics",AC271&gt;=AX271,IF(I271="no-store-control",AC271=0,FALSE))</x:f>
        <x:v>1</x:v>
      </x:c>
      <x:c r="BB271" s="49" t="b">
        <x:f>IF(I271="cache-semantics",AG271&gt;=AX271,IF(I271="no-store-control",AG271=0,FALSE))</x:f>
        <x:v>1</x:v>
      </x:c>
      <x:c r="BC271" s="49" t="b">
        <x:f>AND(BA271,BB271)</x:f>
        <x:v>1</x:v>
      </x:c>
      <x:c r="BD271" s="49" t="b">
        <x:f>IF(I271="no-store-control",AND(AC271=0,AG271=0),TRUE)</x:f>
        <x:v>1</x:v>
      </x:c>
      <x:c r="BE271" s="49" t="b">
        <x:f>IF(I271="no-store-control",AK271=0,TRUE)</x:f>
        <x:v>1</x:v>
      </x:c>
      <x:c r="BF271" s="49" t="b">
        <x:f>IF(I271="cache-semantics",AN271=1,TRUE)</x:f>
        <x:v>1</x:v>
      </x:c>
      <x:c r="BG271" s="49" t="b">
        <x:f>IF(I271="cache-semantics",AND(AU271,AV271,Q271,AW271,BC271,BF271),IF(I271="no-store-control",AND(AU271,AV271,Q271,BD271,BE271),FALSE))</x:f>
        <x:v>1</x:v>
      </x:c>
      <x:c r="BH271" s="49" t="b">
        <x:f>AND(R271,AT271=P271,AU271=L271,AV271=U271,AY271,AZ271,IF(I271="cache-semantics",AND(AW271=Z271,AND(BA271=AD271,BB271=AH271,BC271=AI271),BF271=AO271),IF(I271="no-store-control",AND(AND(BA271=AD271,BB271=AH271,BC271=AI271),BD271=AJ271,BE271=AL271),FALSE)),BG271=AP271)</x:f>
        <x:v>1</x:v>
      </x:c>
      <x:c r="BI271" s="49" t="b">
        <x:f>AND(J271,K271,BG271)</x:f>
        <x:v>1</x:v>
      </x:c>
    </x:row>
    <x:row r="272">
      <x:c r="A272" s="34" t="str">
        <x:v>article1-unified-v4-2-fb3f101b-20260903-000401-default-f05-p4-caffeine</x:v>
      </x:c>
      <x:c r="B272" s="34" t="str">
        <x:v>default</x:v>
      </x:c>
      <x:c r="C272" s="34" t="str">
        <x:v>caffeine</x:v>
      </x:c>
      <x:c r="D272" s="36" t="n">
        <x:v>5</x:v>
      </x:c>
      <x:c r="E272" s="36" t="n">
        <x:v>5</x:v>
      </x:c>
      <x:c r="F272" s="36" t="n">
        <x:v>4</x:v>
      </x:c>
      <x:c r="G272" s="36" t="n">
        <x:v>1</x:v>
      </x:c>
      <x:c r="H272" s="34" t="str">
        <x:v>initial</x:v>
      </x:c>
      <x:c r="I272" s="34" t="str">
        <x:v>cache-semantics</x:v>
      </x:c>
      <x:c r="J272" s="45" t="b">
        <x:v>1</x:v>
      </x:c>
      <x:c r="K272" s="45" t="b">
        <x:v>1</x:v>
      </x:c>
      <x:c r="L272" s="45" t="b">
        <x:v>1</x:v>
      </x:c>
      <x:c r="M272" s="43" t="n">
        <x:v>400000</x:v>
      </x:c>
      <x:c r="N272" s="43" t="n">
        <x:v>139879936</x:v>
      </x:c>
      <x:c r="O272" s="43" t="n">
        <x:v>27956597.71155229</x:v>
      </x:c>
      <x:c r="P272" s="45" t="b">
        <x:v>1</x:v>
      </x:c>
      <x:c r="Q272" s="45" t="b">
        <x:v>1</x:v>
      </x:c>
      <x:c r="R272" s="45" t="b">
        <x:v>1</x:v>
      </x:c>
      <x:c r="S272" s="43" t="n">
        <x:v>5000000000</x:v>
      </x:c>
      <x:c r="T272" s="43" t="n">
        <x:v>5003467784</x:v>
      </x:c>
      <x:c r="U272" s="45" t="b">
        <x:v>1</x:v>
      </x:c>
      <x:c r="V272" s="34" t="str">
        <x:v>uniform</x:v>
      </x:c>
      <x:c r="W272" s="42" t="n">
        <x:v>95</x:v>
      </x:c>
      <x:c r="X272" s="48" t="n">
        <x:v>0.95</x:v>
      </x:c>
      <x:c r="Y272" s="48" t="n">
        <x:v>0.950316348443282</x:v>
      </x:c>
      <x:c r="Z272" s="45" t="b">
        <x:v>1</x:v>
      </x:c>
      <x:c r="AA272" s="43" t="n">
        <x:v>10000</x:v>
      </x:c>
      <x:c r="AB272" s="43" t="n">
        <x:v>9900</x:v>
      </x:c>
      <x:c r="AC272" s="43" t="n">
        <x:v>10000</x:v>
      </x:c>
      <x:c r="AD272" s="45" t="b">
        <x:v>1</x:v>
      </x:c>
      <x:c r="AE272" s="43" t="n">
        <x:v>9900</x:v>
      </x:c>
      <x:c r="AF272" s="43"/>
      <x:c r="AG272" s="43" t="n">
        <x:v>10000</x:v>
      </x:c>
      <x:c r="AH272" s="45" t="b">
        <x:v>1</x:v>
      </x:c>
      <x:c r="AI272" s="45" t="b">
        <x:v>1</x:v>
      </x:c>
      <x:c r="AJ272" s="49"/>
      <x:c r="AK272" s="48" t="n">
        <x:v>0.950316348443282</x:v>
      </x:c>
      <x:c r="AL272" s="49"/>
      <x:c r="AM272" s="49"/>
      <x:c r="AN272" s="36" t="n">
        <x:v>1</x:v>
      </x:c>
      <x:c r="AO272" s="45" t="b">
        <x:v>1</x:v>
      </x:c>
      <x:c r="AP272" s="45" t="b">
        <x:v>1</x:v>
      </x:c>
      <x:c r="AQ272" s="46" t="n">
        <x:f>IF(T272="","",T272/'Readme-Protocol'!$B$24)</x:f>
        <x:v>5.003467784</x:v>
      </x:c>
      <x:c r="AR272" s="46" t="n">
        <x:f>IF(OR(S272="",S272=0),"",T272/S272)</x:f>
        <x:v>1.0006935568</x:v>
      </x:c>
      <x:c r="AS272" s="46" t="n">
        <x:f>IF(OR(X272="",Y272=""),"",ABS(Y272-X272)*'Readme-Protocol'!$B$27)</x:f>
        <x:v>0.031634844328209955</x:v>
      </x:c>
      <x:c r="AT272" s="49" t="b">
        <x:f>AND(M272&gt;0,N272&gt;=0,O272&gt;0)</x:f>
        <x:v>1</x:v>
      </x:c>
      <x:c r="AU272" s="49" t="b">
        <x:f>AND(AT272,N272&gt;=M272)</x:f>
        <x:v>1</x:v>
      </x:c>
      <x:c r="AV272" s="49" t="b">
        <x:f>OR(S272=0,T272&gt;=S272)</x:f>
        <x:v>1</x:v>
      </x:c>
      <x:c r="AW272" s="49" t="b">
        <x:f>IF(I272="cache-semantics",OR(V272&lt;&gt;"uniform",ABS(Y272-W272/'Readme-Protocol'!$B$27)&lt;='Readme-Protocol'!$B$28),TRUE)</x:f>
        <x:v>1</x:v>
      </x:c>
      <x:c r="AX272" s="43" t="n">
        <x:f>IF(I272="cache-semantics",INT(AA272*'Readme-Protocol'!$B$32),"")</x:f>
        <x:v>9900</x:v>
      </x:c>
      <x:c r="AY272" s="49" t="b">
        <x:f>IF(I272="cache-semantics",AX272=AB272,TRUE)</x:f>
        <x:v>1</x:v>
      </x:c>
      <x:c r="AZ272" s="49" t="b">
        <x:f>IF(I272="cache-semantics",AX272=AE272,TRUE)</x:f>
        <x:v>1</x:v>
      </x:c>
      <x:c r="BA272" s="49" t="b">
        <x:f>IF(I272="cache-semantics",AC272&gt;=AX272,IF(I272="no-store-control",AC272=0,FALSE))</x:f>
        <x:v>1</x:v>
      </x:c>
      <x:c r="BB272" s="49" t="b">
        <x:f>IF(I272="cache-semantics",AG272&gt;=AX272,IF(I272="no-store-control",AG272=0,FALSE))</x:f>
        <x:v>1</x:v>
      </x:c>
      <x:c r="BC272" s="49" t="b">
        <x:f>AND(BA272,BB272)</x:f>
        <x:v>1</x:v>
      </x:c>
      <x:c r="BD272" s="49" t="b">
        <x:f>IF(I272="no-store-control",AND(AC272=0,AG272=0),TRUE)</x:f>
        <x:v>1</x:v>
      </x:c>
      <x:c r="BE272" s="49" t="b">
        <x:f>IF(I272="no-store-control",AK272=0,TRUE)</x:f>
        <x:v>1</x:v>
      </x:c>
      <x:c r="BF272" s="49" t="b">
        <x:f>IF(I272="cache-semantics",AN272=1,TRUE)</x:f>
        <x:v>1</x:v>
      </x:c>
      <x:c r="BG272" s="49" t="b">
        <x:f>IF(I272="cache-semantics",AND(AU272,AV272,Q272,AW272,BC272,BF272),IF(I272="no-store-control",AND(AU272,AV272,Q272,BD272,BE272),FALSE))</x:f>
        <x:v>1</x:v>
      </x:c>
      <x:c r="BH272" s="49" t="b">
        <x:f>AND(R272,AT272=P272,AU272=L272,AV272=U272,AY272,AZ272,IF(I272="cache-semantics",AND(AW272=Z272,AND(BA272=AD272,BB272=AH272,BC272=AI272),BF272=AO272),IF(I272="no-store-control",AND(AND(BA272=AD272,BB272=AH272,BC272=AI272),BD272=AJ272,BE272=AL272),FALSE)),BG272=AP272)</x:f>
        <x:v>1</x:v>
      </x:c>
      <x:c r="BI272" s="49" t="b">
        <x:f>AND(J272,K272,BG272)</x:f>
        <x:v>1</x:v>
      </x:c>
    </x:row>
    <x:row r="273">
      <x:c r="A273" s="34" t="str">
        <x:v>article1-unified-v4-2-fb3f101b-20260903-000401-default-f05-p4-caffeine</x:v>
      </x:c>
      <x:c r="B273" s="34" t="str">
        <x:v>default</x:v>
      </x:c>
      <x:c r="C273" s="34" t="str">
        <x:v>caffeine</x:v>
      </x:c>
      <x:c r="D273" s="36" t="n">
        <x:v>5</x:v>
      </x:c>
      <x:c r="E273" s="36" t="n">
        <x:v>5</x:v>
      </x:c>
      <x:c r="F273" s="36" t="n">
        <x:v>4</x:v>
      </x:c>
      <x:c r="G273" s="36" t="n">
        <x:v>1</x:v>
      </x:c>
      <x:c r="H273" s="34" t="str">
        <x:v>redeploy</x:v>
      </x:c>
      <x:c r="I273" s="34" t="str">
        <x:v>cache-semantics</x:v>
      </x:c>
      <x:c r="J273" s="45" t="b">
        <x:v>1</x:v>
      </x:c>
      <x:c r="K273" s="45" t="b">
        <x:v>1</x:v>
      </x:c>
      <x:c r="L273" s="45" t="b">
        <x:v>1</x:v>
      </x:c>
      <x:c r="M273" s="43" t="n">
        <x:v>400000</x:v>
      </x:c>
      <x:c r="N273" s="43" t="n">
        <x:v>134494720</x:v>
      </x:c>
      <x:c r="O273" s="43" t="n">
        <x:v>26877531.00970146</x:v>
      </x:c>
      <x:c r="P273" s="45" t="b">
        <x:v>1</x:v>
      </x:c>
      <x:c r="Q273" s="45" t="b">
        <x:v>1</x:v>
      </x:c>
      <x:c r="R273" s="45" t="b">
        <x:v>1</x:v>
      </x:c>
      <x:c r="S273" s="43" t="n">
        <x:v>5000000000</x:v>
      </x:c>
      <x:c r="T273" s="43" t="n">
        <x:v>5003983437</x:v>
      </x:c>
      <x:c r="U273" s="45" t="b">
        <x:v>1</x:v>
      </x:c>
      <x:c r="V273" s="34" t="str">
        <x:v>uniform</x:v>
      </x:c>
      <x:c r="W273" s="42" t="n">
        <x:v>95</x:v>
      </x:c>
      <x:c r="X273" s="48" t="n">
        <x:v>0.95</x:v>
      </x:c>
      <x:c r="Y273" s="48" t="n">
        <x:v>0.9503512777304566</x:v>
      </x:c>
      <x:c r="Z273" s="45" t="b">
        <x:v>1</x:v>
      </x:c>
      <x:c r="AA273" s="43" t="n">
        <x:v>10000</x:v>
      </x:c>
      <x:c r="AB273" s="43" t="n">
        <x:v>9900</x:v>
      </x:c>
      <x:c r="AC273" s="43" t="n">
        <x:v>10000</x:v>
      </x:c>
      <x:c r="AD273" s="45" t="b">
        <x:v>1</x:v>
      </x:c>
      <x:c r="AE273" s="43" t="n">
        <x:v>9900</x:v>
      </x:c>
      <x:c r="AF273" s="43"/>
      <x:c r="AG273" s="43" t="n">
        <x:v>10000</x:v>
      </x:c>
      <x:c r="AH273" s="45" t="b">
        <x:v>1</x:v>
      </x:c>
      <x:c r="AI273" s="45" t="b">
        <x:v>1</x:v>
      </x:c>
      <x:c r="AJ273" s="49"/>
      <x:c r="AK273" s="48" t="n">
        <x:v>0.9503512777304566</x:v>
      </x:c>
      <x:c r="AL273" s="49"/>
      <x:c r="AM273" s="49"/>
      <x:c r="AN273" s="36" t="n">
        <x:v>1</x:v>
      </x:c>
      <x:c r="AO273" s="45" t="b">
        <x:v>1</x:v>
      </x:c>
      <x:c r="AP273" s="45" t="b">
        <x:v>1</x:v>
      </x:c>
      <x:c r="AQ273" s="46" t="n">
        <x:f>IF(T273="","",T273/'Readme-Protocol'!$B$24)</x:f>
        <x:v>5.003983437</x:v>
      </x:c>
      <x:c r="AR273" s="46" t="n">
        <x:f>IF(OR(S273="",S273=0),"",T273/S273)</x:f>
        <x:v>1.0007966874</x:v>
      </x:c>
      <x:c r="AS273" s="46" t="n">
        <x:f>IF(OR(X273="",Y273=""),"",ABS(Y273-X273)*'Readme-Protocol'!$B$27)</x:f>
        <x:v>0.03512777304566228</x:v>
      </x:c>
      <x:c r="AT273" s="49" t="b">
        <x:f>AND(M273&gt;0,N273&gt;=0,O273&gt;0)</x:f>
        <x:v>1</x:v>
      </x:c>
      <x:c r="AU273" s="49" t="b">
        <x:f>AND(AT273,N273&gt;=M273)</x:f>
        <x:v>1</x:v>
      </x:c>
      <x:c r="AV273" s="49" t="b">
        <x:f>OR(S273=0,T273&gt;=S273)</x:f>
        <x:v>1</x:v>
      </x:c>
      <x:c r="AW273" s="49" t="b">
        <x:f>IF(I273="cache-semantics",OR(V273&lt;&gt;"uniform",ABS(Y273-W273/'Readme-Protocol'!$B$27)&lt;='Readme-Protocol'!$B$28),TRUE)</x:f>
        <x:v>1</x:v>
      </x:c>
      <x:c r="AX273" s="43" t="n">
        <x:f>IF(I273="cache-semantics",INT(AA273*'Readme-Protocol'!$B$32),"")</x:f>
        <x:v>9900</x:v>
      </x:c>
      <x:c r="AY273" s="49" t="b">
        <x:f>IF(I273="cache-semantics",AX273=AB273,TRUE)</x:f>
        <x:v>1</x:v>
      </x:c>
      <x:c r="AZ273" s="49" t="b">
        <x:f>IF(I273="cache-semantics",AX273=AE273,TRUE)</x:f>
        <x:v>1</x:v>
      </x:c>
      <x:c r="BA273" s="49" t="b">
        <x:f>IF(I273="cache-semantics",AC273&gt;=AX273,IF(I273="no-store-control",AC273=0,FALSE))</x:f>
        <x:v>1</x:v>
      </x:c>
      <x:c r="BB273" s="49" t="b">
        <x:f>IF(I273="cache-semantics",AG273&gt;=AX273,IF(I273="no-store-control",AG273=0,FALSE))</x:f>
        <x:v>1</x:v>
      </x:c>
      <x:c r="BC273" s="49" t="b">
        <x:f>AND(BA273,BB273)</x:f>
        <x:v>1</x:v>
      </x:c>
      <x:c r="BD273" s="49" t="b">
        <x:f>IF(I273="no-store-control",AND(AC273=0,AG273=0),TRUE)</x:f>
        <x:v>1</x:v>
      </x:c>
      <x:c r="BE273" s="49" t="b">
        <x:f>IF(I273="no-store-control",AK273=0,TRUE)</x:f>
        <x:v>1</x:v>
      </x:c>
      <x:c r="BF273" s="49" t="b">
        <x:f>IF(I273="cache-semantics",AN273=1,TRUE)</x:f>
        <x:v>1</x:v>
      </x:c>
      <x:c r="BG273" s="49" t="b">
        <x:f>IF(I273="cache-semantics",AND(AU273,AV273,Q273,AW273,BC273,BF273),IF(I273="no-store-control",AND(AU273,AV273,Q273,BD273,BE273),FALSE))</x:f>
        <x:v>1</x:v>
      </x:c>
      <x:c r="BH273" s="49" t="b">
        <x:f>AND(R273,AT273=P273,AU273=L273,AV273=U273,AY273,AZ273,IF(I273="cache-semantics",AND(AW273=Z273,AND(BA273=AD273,BB273=AH273,BC273=AI273),BF273=AO273),IF(I273="no-store-control",AND(AND(BA273=AD273,BB273=AH273,BC273=AI273),BD273=AJ273,BE273=AL273),FALSE)),BG273=AP273)</x:f>
        <x:v>1</x:v>
      </x:c>
      <x:c r="BI273" s="49" t="b">
        <x:f>AND(J273,K273,BG273)</x:f>
        <x:v>1</x:v>
      </x:c>
    </x:row>
    <x:row r="274">
      <x:c r="A274" s="34" t="str">
        <x:v>article1-unified-v4-2-fb3f101b-20260903-000401-default-f05-p4-caffeine</x:v>
      </x:c>
      <x:c r="B274" s="34" t="str">
        <x:v>default</x:v>
      </x:c>
      <x:c r="C274" s="34" t="str">
        <x:v>caffeine</x:v>
      </x:c>
      <x:c r="D274" s="36" t="n">
        <x:v>5</x:v>
      </x:c>
      <x:c r="E274" s="36" t="n">
        <x:v>5</x:v>
      </x:c>
      <x:c r="F274" s="36" t="n">
        <x:v>4</x:v>
      </x:c>
      <x:c r="G274" s="36" t="n">
        <x:v>2</x:v>
      </x:c>
      <x:c r="H274" s="34" t="str">
        <x:v>initial</x:v>
      </x:c>
      <x:c r="I274" s="34" t="str">
        <x:v>cache-semantics</x:v>
      </x:c>
      <x:c r="J274" s="45" t="b">
        <x:v>1</x:v>
      </x:c>
      <x:c r="K274" s="45" t="b">
        <x:v>1</x:v>
      </x:c>
      <x:c r="L274" s="45" t="b">
        <x:v>1</x:v>
      </x:c>
      <x:c r="M274" s="43" t="n">
        <x:v>400000</x:v>
      </x:c>
      <x:c r="N274" s="43" t="n">
        <x:v>132525312</x:v>
      </x:c>
      <x:c r="O274" s="43" t="n">
        <x:v>26265803.43003956</x:v>
      </x:c>
      <x:c r="P274" s="45" t="b">
        <x:v>1</x:v>
      </x:c>
      <x:c r="Q274" s="45" t="b">
        <x:v>1</x:v>
      </x:c>
      <x:c r="R274" s="45" t="b">
        <x:v>1</x:v>
      </x:c>
      <x:c r="S274" s="43" t="n">
        <x:v>5000000000</x:v>
      </x:c>
      <x:c r="T274" s="43" t="n">
        <x:v>5045545717</x:v>
      </x:c>
      <x:c r="U274" s="45" t="b">
        <x:v>1</x:v>
      </x:c>
      <x:c r="V274" s="34" t="str">
        <x:v>uniform</x:v>
      </x:c>
      <x:c r="W274" s="42" t="n">
        <x:v>95</x:v>
      </x:c>
      <x:c r="X274" s="48" t="n">
        <x:v>0.95</x:v>
      </x:c>
      <x:c r="Y274" s="48" t="n">
        <x:v>0.9504009090731286</x:v>
      </x:c>
      <x:c r="Z274" s="45" t="b">
        <x:v>1</x:v>
      </x:c>
      <x:c r="AA274" s="43" t="n">
        <x:v>10000</x:v>
      </x:c>
      <x:c r="AB274" s="43" t="n">
        <x:v>9900</x:v>
      </x:c>
      <x:c r="AC274" s="43" t="n">
        <x:v>10000</x:v>
      </x:c>
      <x:c r="AD274" s="45" t="b">
        <x:v>1</x:v>
      </x:c>
      <x:c r="AE274" s="43" t="n">
        <x:v>9900</x:v>
      </x:c>
      <x:c r="AF274" s="43"/>
      <x:c r="AG274" s="43" t="n">
        <x:v>10000</x:v>
      </x:c>
      <x:c r="AH274" s="45" t="b">
        <x:v>1</x:v>
      </x:c>
      <x:c r="AI274" s="45" t="b">
        <x:v>1</x:v>
      </x:c>
      <x:c r="AJ274" s="49"/>
      <x:c r="AK274" s="48" t="n">
        <x:v>0.9504009090731286</x:v>
      </x:c>
      <x:c r="AL274" s="49"/>
      <x:c r="AM274" s="49"/>
      <x:c r="AN274" s="36" t="n">
        <x:v>1</x:v>
      </x:c>
      <x:c r="AO274" s="45" t="b">
        <x:v>1</x:v>
      </x:c>
      <x:c r="AP274" s="45" t="b">
        <x:v>1</x:v>
      </x:c>
      <x:c r="AQ274" s="46" t="n">
        <x:f>IF(T274="","",T274/'Readme-Protocol'!$B$24)</x:f>
        <x:v>5.045545717</x:v>
      </x:c>
      <x:c r="AR274" s="46" t="n">
        <x:f>IF(OR(S274="",S274=0),"",T274/S274)</x:f>
        <x:v>1.0091091434</x:v>
      </x:c>
      <x:c r="AS274" s="46" t="n">
        <x:f>IF(OR(X274="",Y274=""),"",ABS(Y274-X274)*'Readme-Protocol'!$B$27)</x:f>
        <x:v>0.04009090731286191</x:v>
      </x:c>
      <x:c r="AT274" s="49" t="b">
        <x:f>AND(M274&gt;0,N274&gt;=0,O274&gt;0)</x:f>
        <x:v>1</x:v>
      </x:c>
      <x:c r="AU274" s="49" t="b">
        <x:f>AND(AT274,N274&gt;=M274)</x:f>
        <x:v>1</x:v>
      </x:c>
      <x:c r="AV274" s="49" t="b">
        <x:f>OR(S274=0,T274&gt;=S274)</x:f>
        <x:v>1</x:v>
      </x:c>
      <x:c r="AW274" s="49" t="b">
        <x:f>IF(I274="cache-semantics",OR(V274&lt;&gt;"uniform",ABS(Y274-W274/'Readme-Protocol'!$B$27)&lt;='Readme-Protocol'!$B$28),TRUE)</x:f>
        <x:v>1</x:v>
      </x:c>
      <x:c r="AX274" s="43" t="n">
        <x:f>IF(I274="cache-semantics",INT(AA274*'Readme-Protocol'!$B$32),"")</x:f>
        <x:v>9900</x:v>
      </x:c>
      <x:c r="AY274" s="49" t="b">
        <x:f>IF(I274="cache-semantics",AX274=AB274,TRUE)</x:f>
        <x:v>1</x:v>
      </x:c>
      <x:c r="AZ274" s="49" t="b">
        <x:f>IF(I274="cache-semantics",AX274=AE274,TRUE)</x:f>
        <x:v>1</x:v>
      </x:c>
      <x:c r="BA274" s="49" t="b">
        <x:f>IF(I274="cache-semantics",AC274&gt;=AX274,IF(I274="no-store-control",AC274=0,FALSE))</x:f>
        <x:v>1</x:v>
      </x:c>
      <x:c r="BB274" s="49" t="b">
        <x:f>IF(I274="cache-semantics",AG274&gt;=AX274,IF(I274="no-store-control",AG274=0,FALSE))</x:f>
        <x:v>1</x:v>
      </x:c>
      <x:c r="BC274" s="49" t="b">
        <x:f>AND(BA274,BB274)</x:f>
        <x:v>1</x:v>
      </x:c>
      <x:c r="BD274" s="49" t="b">
        <x:f>IF(I274="no-store-control",AND(AC274=0,AG274=0),TRUE)</x:f>
        <x:v>1</x:v>
      </x:c>
      <x:c r="BE274" s="49" t="b">
        <x:f>IF(I274="no-store-control",AK274=0,TRUE)</x:f>
        <x:v>1</x:v>
      </x:c>
      <x:c r="BF274" s="49" t="b">
        <x:f>IF(I274="cache-semantics",AN274=1,TRUE)</x:f>
        <x:v>1</x:v>
      </x:c>
      <x:c r="BG274" s="49" t="b">
        <x:f>IF(I274="cache-semantics",AND(AU274,AV274,Q274,AW274,BC274,BF274),IF(I274="no-store-control",AND(AU274,AV274,Q274,BD274,BE274),FALSE))</x:f>
        <x:v>1</x:v>
      </x:c>
      <x:c r="BH274" s="49" t="b">
        <x:f>AND(R274,AT274=P274,AU274=L274,AV274=U274,AY274,AZ274,IF(I274="cache-semantics",AND(AW274=Z274,AND(BA274=AD274,BB274=AH274,BC274=AI274),BF274=AO274),IF(I274="no-store-control",AND(AND(BA274=AD274,BB274=AH274,BC274=AI274),BD274=AJ274,BE274=AL274),FALSE)),BG274=AP274)</x:f>
        <x:v>1</x:v>
      </x:c>
      <x:c r="BI274" s="49" t="b">
        <x:f>AND(J274,K274,BG274)</x:f>
        <x:v>1</x:v>
      </x:c>
    </x:row>
    <x:row r="275">
      <x:c r="A275" s="34" t="str">
        <x:v>article1-unified-v4-2-fb3f101b-20260903-000401-default-f05-p4-caffeine</x:v>
      </x:c>
      <x:c r="B275" s="34" t="str">
        <x:v>default</x:v>
      </x:c>
      <x:c r="C275" s="34" t="str">
        <x:v>caffeine</x:v>
      </x:c>
      <x:c r="D275" s="36" t="n">
        <x:v>5</x:v>
      </x:c>
      <x:c r="E275" s="36" t="n">
        <x:v>5</x:v>
      </x:c>
      <x:c r="F275" s="36" t="n">
        <x:v>4</x:v>
      </x:c>
      <x:c r="G275" s="36" t="n">
        <x:v>2</x:v>
      </x:c>
      <x:c r="H275" s="34" t="str">
        <x:v>redeploy</x:v>
      </x:c>
      <x:c r="I275" s="34" t="str">
        <x:v>cache-semantics</x:v>
      </x:c>
      <x:c r="J275" s="45" t="b">
        <x:v>1</x:v>
      </x:c>
      <x:c r="K275" s="45" t="b">
        <x:v>1</x:v>
      </x:c>
      <x:c r="L275" s="45" t="b">
        <x:v>1</x:v>
      </x:c>
      <x:c r="M275" s="43" t="n">
        <x:v>400000</x:v>
      </x:c>
      <x:c r="N275" s="43" t="n">
        <x:v>131446528</x:v>
      </x:c>
      <x:c r="O275" s="43" t="n">
        <x:v>26278978.718198337</x:v>
      </x:c>
      <x:c r="P275" s="45" t="b">
        <x:v>1</x:v>
      </x:c>
      <x:c r="Q275" s="45" t="b">
        <x:v>1</x:v>
      </x:c>
      <x:c r="R275" s="45" t="b">
        <x:v>1</x:v>
      </x:c>
      <x:c r="S275" s="43" t="n">
        <x:v>5000000000</x:v>
      </x:c>
      <x:c r="T275" s="43" t="n">
        <x:v>5001964856</x:v>
      </x:c>
      <x:c r="U275" s="45" t="b">
        <x:v>1</x:v>
      </x:c>
      <x:c r="V275" s="34" t="str">
        <x:v>uniform</x:v>
      </x:c>
      <x:c r="W275" s="42" t="n">
        <x:v>95</x:v>
      </x:c>
      <x:c r="X275" s="48" t="n">
        <x:v>0.95</x:v>
      </x:c>
      <x:c r="Y275" s="48" t="n">
        <x:v>0.9504018470537312</x:v>
      </x:c>
      <x:c r="Z275" s="45" t="b">
        <x:v>1</x:v>
      </x:c>
      <x:c r="AA275" s="43" t="n">
        <x:v>10000</x:v>
      </x:c>
      <x:c r="AB275" s="43" t="n">
        <x:v>9900</x:v>
      </x:c>
      <x:c r="AC275" s="43" t="n">
        <x:v>10000</x:v>
      </x:c>
      <x:c r="AD275" s="45" t="b">
        <x:v>1</x:v>
      </x:c>
      <x:c r="AE275" s="43" t="n">
        <x:v>9900</x:v>
      </x:c>
      <x:c r="AF275" s="43"/>
      <x:c r="AG275" s="43" t="n">
        <x:v>10000</x:v>
      </x:c>
      <x:c r="AH275" s="45" t="b">
        <x:v>1</x:v>
      </x:c>
      <x:c r="AI275" s="45" t="b">
        <x:v>1</x:v>
      </x:c>
      <x:c r="AJ275" s="49"/>
      <x:c r="AK275" s="48" t="n">
        <x:v>0.9504018470537312</x:v>
      </x:c>
      <x:c r="AL275" s="49"/>
      <x:c r="AM275" s="49"/>
      <x:c r="AN275" s="36" t="n">
        <x:v>1</x:v>
      </x:c>
      <x:c r="AO275" s="45" t="b">
        <x:v>1</x:v>
      </x:c>
      <x:c r="AP275" s="45" t="b">
        <x:v>1</x:v>
      </x:c>
      <x:c r="AQ275" s="46" t="n">
        <x:f>IF(T275="","",T275/'Readme-Protocol'!$B$24)</x:f>
        <x:v>5.001964856</x:v>
      </x:c>
      <x:c r="AR275" s="46" t="n">
        <x:f>IF(OR(S275="",S275=0),"",T275/S275)</x:f>
        <x:v>1.0003929712</x:v>
      </x:c>
      <x:c r="AS275" s="46" t="n">
        <x:f>IF(OR(X275="",Y275=""),"",ABS(Y275-X275)*'Readme-Protocol'!$B$27)</x:f>
        <x:v>0.04018470537312524</x:v>
      </x:c>
      <x:c r="AT275" s="49" t="b">
        <x:f>AND(M275&gt;0,N275&gt;=0,O275&gt;0)</x:f>
        <x:v>1</x:v>
      </x:c>
      <x:c r="AU275" s="49" t="b">
        <x:f>AND(AT275,N275&gt;=M275)</x:f>
        <x:v>1</x:v>
      </x:c>
      <x:c r="AV275" s="49" t="b">
        <x:f>OR(S275=0,T275&gt;=S275)</x:f>
        <x:v>1</x:v>
      </x:c>
      <x:c r="AW275" s="49" t="b">
        <x:f>IF(I275="cache-semantics",OR(V275&lt;&gt;"uniform",ABS(Y275-W275/'Readme-Protocol'!$B$27)&lt;='Readme-Protocol'!$B$28),TRUE)</x:f>
        <x:v>1</x:v>
      </x:c>
      <x:c r="AX275" s="43" t="n">
        <x:f>IF(I275="cache-semantics",INT(AA275*'Readme-Protocol'!$B$32),"")</x:f>
        <x:v>9900</x:v>
      </x:c>
      <x:c r="AY275" s="49" t="b">
        <x:f>IF(I275="cache-semantics",AX275=AB275,TRUE)</x:f>
        <x:v>1</x:v>
      </x:c>
      <x:c r="AZ275" s="49" t="b">
        <x:f>IF(I275="cache-semantics",AX275=AE275,TRUE)</x:f>
        <x:v>1</x:v>
      </x:c>
      <x:c r="BA275" s="49" t="b">
        <x:f>IF(I275="cache-semantics",AC275&gt;=AX275,IF(I275="no-store-control",AC275=0,FALSE))</x:f>
        <x:v>1</x:v>
      </x:c>
      <x:c r="BB275" s="49" t="b">
        <x:f>IF(I275="cache-semantics",AG275&gt;=AX275,IF(I275="no-store-control",AG275=0,FALSE))</x:f>
        <x:v>1</x:v>
      </x:c>
      <x:c r="BC275" s="49" t="b">
        <x:f>AND(BA275,BB275)</x:f>
        <x:v>1</x:v>
      </x:c>
      <x:c r="BD275" s="49" t="b">
        <x:f>IF(I275="no-store-control",AND(AC275=0,AG275=0),TRUE)</x:f>
        <x:v>1</x:v>
      </x:c>
      <x:c r="BE275" s="49" t="b">
        <x:f>IF(I275="no-store-control",AK275=0,TRUE)</x:f>
        <x:v>1</x:v>
      </x:c>
      <x:c r="BF275" s="49" t="b">
        <x:f>IF(I275="cache-semantics",AN275=1,TRUE)</x:f>
        <x:v>1</x:v>
      </x:c>
      <x:c r="BG275" s="49" t="b">
        <x:f>IF(I275="cache-semantics",AND(AU275,AV275,Q275,AW275,BC275,BF275),IF(I275="no-store-control",AND(AU275,AV275,Q275,BD275,BE275),FALSE))</x:f>
        <x:v>1</x:v>
      </x:c>
      <x:c r="BH275" s="49" t="b">
        <x:f>AND(R275,AT275=P275,AU275=L275,AV275=U275,AY275,AZ275,IF(I275="cache-semantics",AND(AW275=Z275,AND(BA275=AD275,BB275=AH275,BC275=AI275),BF275=AO275),IF(I275="no-store-control",AND(AND(BA275=AD275,BB275=AH275,BC275=AI275),BD275=AJ275,BE275=AL275),FALSE)),BG275=AP275)</x:f>
        <x:v>1</x:v>
      </x:c>
      <x:c r="BI275" s="49" t="b">
        <x:f>AND(J275,K275,BG275)</x:f>
        <x:v>1</x:v>
      </x:c>
    </x:row>
    <x:row r="276">
      <x:c r="A276" s="34" t="str">
        <x:v>article1-unified-v4-2-fb3f101b-20260903-000401-default-f05-p4-caffeine</x:v>
      </x:c>
      <x:c r="B276" s="34" t="str">
        <x:v>default</x:v>
      </x:c>
      <x:c r="C276" s="34" t="str">
        <x:v>caffeine</x:v>
      </x:c>
      <x:c r="D276" s="36" t="n">
        <x:v>5</x:v>
      </x:c>
      <x:c r="E276" s="36" t="n">
        <x:v>5</x:v>
      </x:c>
      <x:c r="F276" s="36" t="n">
        <x:v>4</x:v>
      </x:c>
      <x:c r="G276" s="36" t="n">
        <x:v>3</x:v>
      </x:c>
      <x:c r="H276" s="34" t="str">
        <x:v>initial</x:v>
      </x:c>
      <x:c r="I276" s="34" t="str">
        <x:v>cache-semantics</x:v>
      </x:c>
      <x:c r="J276" s="45" t="b">
        <x:v>1</x:v>
      </x:c>
      <x:c r="K276" s="45" t="b">
        <x:v>1</x:v>
      </x:c>
      <x:c r="L276" s="45" t="b">
        <x:v>1</x:v>
      </x:c>
      <x:c r="M276" s="43" t="n">
        <x:v>400000</x:v>
      </x:c>
      <x:c r="N276" s="43" t="n">
        <x:v>139001856</x:v>
      </x:c>
      <x:c r="O276" s="43" t="n">
        <x:v>27765601.337007314</x:v>
      </x:c>
      <x:c r="P276" s="45" t="b">
        <x:v>1</x:v>
      </x:c>
      <x:c r="Q276" s="45" t="b">
        <x:v>1</x:v>
      </x:c>
      <x:c r="R276" s="45" t="b">
        <x:v>1</x:v>
      </x:c>
      <x:c r="S276" s="43" t="n">
        <x:v>5000000000</x:v>
      </x:c>
      <x:c r="T276" s="43" t="n">
        <x:v>5006261320</x:v>
      </x:c>
      <x:c r="U276" s="45" t="b">
        <x:v>1</x:v>
      </x:c>
      <x:c r="V276" s="34" t="str">
        <x:v>uniform</x:v>
      </x:c>
      <x:c r="W276" s="42" t="n">
        <x:v>95</x:v>
      </x:c>
      <x:c r="X276" s="48" t="n">
        <x:v>0.95</x:v>
      </x:c>
      <x:c r="Y276" s="48" t="n">
        <x:v>0.9501658380734139</x:v>
      </x:c>
      <x:c r="Z276" s="45" t="b">
        <x:v>1</x:v>
      </x:c>
      <x:c r="AA276" s="43" t="n">
        <x:v>10000</x:v>
      </x:c>
      <x:c r="AB276" s="43" t="n">
        <x:v>9900</x:v>
      </x:c>
      <x:c r="AC276" s="43" t="n">
        <x:v>10000</x:v>
      </x:c>
      <x:c r="AD276" s="45" t="b">
        <x:v>1</x:v>
      </x:c>
      <x:c r="AE276" s="43" t="n">
        <x:v>9900</x:v>
      </x:c>
      <x:c r="AF276" s="43"/>
      <x:c r="AG276" s="43" t="n">
        <x:v>10000</x:v>
      </x:c>
      <x:c r="AH276" s="45" t="b">
        <x:v>1</x:v>
      </x:c>
      <x:c r="AI276" s="45" t="b">
        <x:v>1</x:v>
      </x:c>
      <x:c r="AJ276" s="49"/>
      <x:c r="AK276" s="48" t="n">
        <x:v>0.9501658380734139</x:v>
      </x:c>
      <x:c r="AL276" s="49"/>
      <x:c r="AM276" s="49"/>
      <x:c r="AN276" s="36" t="n">
        <x:v>1</x:v>
      </x:c>
      <x:c r="AO276" s="45" t="b">
        <x:v>1</x:v>
      </x:c>
      <x:c r="AP276" s="45" t="b">
        <x:v>1</x:v>
      </x:c>
      <x:c r="AQ276" s="46" t="n">
        <x:f>IF(T276="","",T276/'Readme-Protocol'!$B$24)</x:f>
        <x:v>5.00626132</x:v>
      </x:c>
      <x:c r="AR276" s="46" t="n">
        <x:f>IF(OR(S276="",S276=0),"",T276/S276)</x:f>
        <x:v>1.001252264</x:v>
      </x:c>
      <x:c r="AS276" s="46" t="n">
        <x:f>IF(OR(X276="",Y276=""),"",ABS(Y276-X276)*'Readme-Protocol'!$B$27)</x:f>
        <x:v>0.016583807341397083</x:v>
      </x:c>
      <x:c r="AT276" s="49" t="b">
        <x:f>AND(M276&gt;0,N276&gt;=0,O276&gt;0)</x:f>
        <x:v>1</x:v>
      </x:c>
      <x:c r="AU276" s="49" t="b">
        <x:f>AND(AT276,N276&gt;=M276)</x:f>
        <x:v>1</x:v>
      </x:c>
      <x:c r="AV276" s="49" t="b">
        <x:f>OR(S276=0,T276&gt;=S276)</x:f>
        <x:v>1</x:v>
      </x:c>
      <x:c r="AW276" s="49" t="b">
        <x:f>IF(I276="cache-semantics",OR(V276&lt;&gt;"uniform",ABS(Y276-W276/'Readme-Protocol'!$B$27)&lt;='Readme-Protocol'!$B$28),TRUE)</x:f>
        <x:v>1</x:v>
      </x:c>
      <x:c r="AX276" s="43" t="n">
        <x:f>IF(I276="cache-semantics",INT(AA276*'Readme-Protocol'!$B$32),"")</x:f>
        <x:v>9900</x:v>
      </x:c>
      <x:c r="AY276" s="49" t="b">
        <x:f>IF(I276="cache-semantics",AX276=AB276,TRUE)</x:f>
        <x:v>1</x:v>
      </x:c>
      <x:c r="AZ276" s="49" t="b">
        <x:f>IF(I276="cache-semantics",AX276=AE276,TRUE)</x:f>
        <x:v>1</x:v>
      </x:c>
      <x:c r="BA276" s="49" t="b">
        <x:f>IF(I276="cache-semantics",AC276&gt;=AX276,IF(I276="no-store-control",AC276=0,FALSE))</x:f>
        <x:v>1</x:v>
      </x:c>
      <x:c r="BB276" s="49" t="b">
        <x:f>IF(I276="cache-semantics",AG276&gt;=AX276,IF(I276="no-store-control",AG276=0,FALSE))</x:f>
        <x:v>1</x:v>
      </x:c>
      <x:c r="BC276" s="49" t="b">
        <x:f>AND(BA276,BB276)</x:f>
        <x:v>1</x:v>
      </x:c>
      <x:c r="BD276" s="49" t="b">
        <x:f>IF(I276="no-store-control",AND(AC276=0,AG276=0),TRUE)</x:f>
        <x:v>1</x:v>
      </x:c>
      <x:c r="BE276" s="49" t="b">
        <x:f>IF(I276="no-store-control",AK276=0,TRUE)</x:f>
        <x:v>1</x:v>
      </x:c>
      <x:c r="BF276" s="49" t="b">
        <x:f>IF(I276="cache-semantics",AN276=1,TRUE)</x:f>
        <x:v>1</x:v>
      </x:c>
      <x:c r="BG276" s="49" t="b">
        <x:f>IF(I276="cache-semantics",AND(AU276,AV276,Q276,AW276,BC276,BF276),IF(I276="no-store-control",AND(AU276,AV276,Q276,BD276,BE276),FALSE))</x:f>
        <x:v>1</x:v>
      </x:c>
      <x:c r="BH276" s="49" t="b">
        <x:f>AND(R276,AT276=P276,AU276=L276,AV276=U276,AY276,AZ276,IF(I276="cache-semantics",AND(AW276=Z276,AND(BA276=AD276,BB276=AH276,BC276=AI276),BF276=AO276),IF(I276="no-store-control",AND(AND(BA276=AD276,BB276=AH276,BC276=AI276),BD276=AJ276,BE276=AL276),FALSE)),BG276=AP276)</x:f>
        <x:v>1</x:v>
      </x:c>
      <x:c r="BI276" s="49" t="b">
        <x:f>AND(J276,K276,BG276)</x:f>
        <x:v>1</x:v>
      </x:c>
    </x:row>
    <x:row r="277">
      <x:c r="A277" s="34" t="str">
        <x:v>article1-unified-v4-2-fb3f101b-20260903-000401-default-f05-p4-caffeine</x:v>
      </x:c>
      <x:c r="B277" s="34" t="str">
        <x:v>default</x:v>
      </x:c>
      <x:c r="C277" s="34" t="str">
        <x:v>caffeine</x:v>
      </x:c>
      <x:c r="D277" s="36" t="n">
        <x:v>5</x:v>
      </x:c>
      <x:c r="E277" s="36" t="n">
        <x:v>5</x:v>
      </x:c>
      <x:c r="F277" s="36" t="n">
        <x:v>4</x:v>
      </x:c>
      <x:c r="G277" s="36" t="n">
        <x:v>3</x:v>
      </x:c>
      <x:c r="H277" s="34" t="str">
        <x:v>redeploy</x:v>
      </x:c>
      <x:c r="I277" s="34" t="str">
        <x:v>cache-semantics</x:v>
      </x:c>
      <x:c r="J277" s="45" t="b">
        <x:v>1</x:v>
      </x:c>
      <x:c r="K277" s="45" t="b">
        <x:v>1</x:v>
      </x:c>
      <x:c r="L277" s="45" t="b">
        <x:v>1</x:v>
      </x:c>
      <x:c r="M277" s="43" t="n">
        <x:v>400000</x:v>
      </x:c>
      <x:c r="N277" s="43" t="n">
        <x:v>131169792</x:v>
      </x:c>
      <x:c r="O277" s="43" t="n">
        <x:v>25957575.99218084</x:v>
      </x:c>
      <x:c r="P277" s="45" t="b">
        <x:v>1</x:v>
      </x:c>
      <x:c r="Q277" s="45" t="b">
        <x:v>1</x:v>
      </x:c>
      <x:c r="R277" s="45" t="b">
        <x:v>1</x:v>
      </x:c>
      <x:c r="S277" s="43" t="n">
        <x:v>5000000000</x:v>
      </x:c>
      <x:c r="T277" s="43" t="n">
        <x:v>5053237330</x:v>
      </x:c>
      <x:c r="U277" s="45" t="b">
        <x:v>1</x:v>
      </x:c>
      <x:c r="V277" s="34" t="str">
        <x:v>uniform</x:v>
      </x:c>
      <x:c r="W277" s="42" t="n">
        <x:v>95</x:v>
      </x:c>
      <x:c r="X277" s="48" t="n">
        <x:v>0.95</x:v>
      </x:c>
      <x:c r="Y277" s="48" t="n">
        <x:v>0.9501804043418778</x:v>
      </x:c>
      <x:c r="Z277" s="45" t="b">
        <x:v>1</x:v>
      </x:c>
      <x:c r="AA277" s="43" t="n">
        <x:v>10000</x:v>
      </x:c>
      <x:c r="AB277" s="43" t="n">
        <x:v>9900</x:v>
      </x:c>
      <x:c r="AC277" s="43" t="n">
        <x:v>10000</x:v>
      </x:c>
      <x:c r="AD277" s="45" t="b">
        <x:v>1</x:v>
      </x:c>
      <x:c r="AE277" s="43" t="n">
        <x:v>9900</x:v>
      </x:c>
      <x:c r="AF277" s="43"/>
      <x:c r="AG277" s="43" t="n">
        <x:v>10000</x:v>
      </x:c>
      <x:c r="AH277" s="45" t="b">
        <x:v>1</x:v>
      </x:c>
      <x:c r="AI277" s="45" t="b">
        <x:v>1</x:v>
      </x:c>
      <x:c r="AJ277" s="49"/>
      <x:c r="AK277" s="48" t="n">
        <x:v>0.9501804043418778</x:v>
      </x:c>
      <x:c r="AL277" s="49"/>
      <x:c r="AM277" s="49"/>
      <x:c r="AN277" s="36" t="n">
        <x:v>1</x:v>
      </x:c>
      <x:c r="AO277" s="45" t="b">
        <x:v>1</x:v>
      </x:c>
      <x:c r="AP277" s="45" t="b">
        <x:v>1</x:v>
      </x:c>
      <x:c r="AQ277" s="46" t="n">
        <x:f>IF(T277="","",T277/'Readme-Protocol'!$B$24)</x:f>
        <x:v>5.05323733</x:v>
      </x:c>
      <x:c r="AR277" s="46" t="n">
        <x:f>IF(OR(S277="",S277=0),"",T277/S277)</x:f>
        <x:v>1.010647466</x:v>
      </x:c>
      <x:c r="AS277" s="46" t="n">
        <x:f>IF(OR(X277="",Y277=""),"",ABS(Y277-X277)*'Readme-Protocol'!$B$27)</x:f>
        <x:v>0.018040434187782672</x:v>
      </x:c>
      <x:c r="AT277" s="49" t="b">
        <x:f>AND(M277&gt;0,N277&gt;=0,O277&gt;0)</x:f>
        <x:v>1</x:v>
      </x:c>
      <x:c r="AU277" s="49" t="b">
        <x:f>AND(AT277,N277&gt;=M277)</x:f>
        <x:v>1</x:v>
      </x:c>
      <x:c r="AV277" s="49" t="b">
        <x:f>OR(S277=0,T277&gt;=S277)</x:f>
        <x:v>1</x:v>
      </x:c>
      <x:c r="AW277" s="49" t="b">
        <x:f>IF(I277="cache-semantics",OR(V277&lt;&gt;"uniform",ABS(Y277-W277/'Readme-Protocol'!$B$27)&lt;='Readme-Protocol'!$B$28),TRUE)</x:f>
        <x:v>1</x:v>
      </x:c>
      <x:c r="AX277" s="43" t="n">
        <x:f>IF(I277="cache-semantics",INT(AA277*'Readme-Protocol'!$B$32),"")</x:f>
        <x:v>9900</x:v>
      </x:c>
      <x:c r="AY277" s="49" t="b">
        <x:f>IF(I277="cache-semantics",AX277=AB277,TRUE)</x:f>
        <x:v>1</x:v>
      </x:c>
      <x:c r="AZ277" s="49" t="b">
        <x:f>IF(I277="cache-semantics",AX277=AE277,TRUE)</x:f>
        <x:v>1</x:v>
      </x:c>
      <x:c r="BA277" s="49" t="b">
        <x:f>IF(I277="cache-semantics",AC277&gt;=AX277,IF(I277="no-store-control",AC277=0,FALSE))</x:f>
        <x:v>1</x:v>
      </x:c>
      <x:c r="BB277" s="49" t="b">
        <x:f>IF(I277="cache-semantics",AG277&gt;=AX277,IF(I277="no-store-control",AG277=0,FALSE))</x:f>
        <x:v>1</x:v>
      </x:c>
      <x:c r="BC277" s="49" t="b">
        <x:f>AND(BA277,BB277)</x:f>
        <x:v>1</x:v>
      </x:c>
      <x:c r="BD277" s="49" t="b">
        <x:f>IF(I277="no-store-control",AND(AC277=0,AG277=0),TRUE)</x:f>
        <x:v>1</x:v>
      </x:c>
      <x:c r="BE277" s="49" t="b">
        <x:f>IF(I277="no-store-control",AK277=0,TRUE)</x:f>
        <x:v>1</x:v>
      </x:c>
      <x:c r="BF277" s="49" t="b">
        <x:f>IF(I277="cache-semantics",AN277=1,TRUE)</x:f>
        <x:v>1</x:v>
      </x:c>
      <x:c r="BG277" s="49" t="b">
        <x:f>IF(I277="cache-semantics",AND(AU277,AV277,Q277,AW277,BC277,BF277),IF(I277="no-store-control",AND(AU277,AV277,Q277,BD277,BE277),FALSE))</x:f>
        <x:v>1</x:v>
      </x:c>
      <x:c r="BH277" s="49" t="b">
        <x:f>AND(R277,AT277=P277,AU277=L277,AV277=U277,AY277,AZ277,IF(I277="cache-semantics",AND(AW277=Z277,AND(BA277=AD277,BB277=AH277,BC277=AI277),BF277=AO277),IF(I277="no-store-control",AND(AND(BA277=AD277,BB277=AH277,BC277=AI277),BD277=AJ277,BE277=AL277),FALSE)),BG277=AP277)</x:f>
        <x:v>1</x:v>
      </x:c>
      <x:c r="BI277" s="49" t="b">
        <x:f>AND(J277,K277,BG277)</x:f>
        <x:v>1</x:v>
      </x:c>
    </x:row>
    <x:row r="278">
      <x:c r="A278" s="34" t="str">
        <x:v>article1-unified-v4-2-fb3f101b-20260903-000401-default-f05-p4-caffeine</x:v>
      </x:c>
      <x:c r="B278" s="34" t="str">
        <x:v>default</x:v>
      </x:c>
      <x:c r="C278" s="34" t="str">
        <x:v>caffeine</x:v>
      </x:c>
      <x:c r="D278" s="36" t="n">
        <x:v>5</x:v>
      </x:c>
      <x:c r="E278" s="36" t="n">
        <x:v>5</x:v>
      </x:c>
      <x:c r="F278" s="36" t="n">
        <x:v>4</x:v>
      </x:c>
      <x:c r="G278" s="36" t="n">
        <x:v>4</x:v>
      </x:c>
      <x:c r="H278" s="34" t="str">
        <x:v>initial</x:v>
      </x:c>
      <x:c r="I278" s="34" t="str">
        <x:v>cache-semantics</x:v>
      </x:c>
      <x:c r="J278" s="45" t="b">
        <x:v>1</x:v>
      </x:c>
      <x:c r="K278" s="45" t="b">
        <x:v>1</x:v>
      </x:c>
      <x:c r="L278" s="45" t="b">
        <x:v>1</x:v>
      </x:c>
      <x:c r="M278" s="43" t="n">
        <x:v>400000</x:v>
      </x:c>
      <x:c r="N278" s="43" t="n">
        <x:v>134814208</x:v>
      </x:c>
      <x:c r="O278" s="43" t="n">
        <x:v>26950513.023136336</x:v>
      </x:c>
      <x:c r="P278" s="45" t="b">
        <x:v>1</x:v>
      </x:c>
      <x:c r="Q278" s="45" t="b">
        <x:v>1</x:v>
      </x:c>
      <x:c r="R278" s="45" t="b">
        <x:v>1</x:v>
      </x:c>
      <x:c r="S278" s="43" t="n">
        <x:v>5000000000</x:v>
      </x:c>
      <x:c r="T278" s="43" t="n">
        <x:v>5002287262</x:v>
      </x:c>
      <x:c r="U278" s="45" t="b">
        <x:v>1</x:v>
      </x:c>
      <x:c r="V278" s="34" t="str">
        <x:v>uniform</x:v>
      </x:c>
      <x:c r="W278" s="42" t="n">
        <x:v>95</x:v>
      </x:c>
      <x:c r="X278" s="48" t="n">
        <x:v>0.95</x:v>
      </x:c>
      <x:c r="Y278" s="48" t="n">
        <x:v>0.9505413628213429</x:v>
      </x:c>
      <x:c r="Z278" s="45" t="b">
        <x:v>1</x:v>
      </x:c>
      <x:c r="AA278" s="43" t="n">
        <x:v>10000</x:v>
      </x:c>
      <x:c r="AB278" s="43" t="n">
        <x:v>9900</x:v>
      </x:c>
      <x:c r="AC278" s="43" t="n">
        <x:v>10000</x:v>
      </x:c>
      <x:c r="AD278" s="45" t="b">
        <x:v>1</x:v>
      </x:c>
      <x:c r="AE278" s="43" t="n">
        <x:v>9900</x:v>
      </x:c>
      <x:c r="AF278" s="43"/>
      <x:c r="AG278" s="43" t="n">
        <x:v>10000</x:v>
      </x:c>
      <x:c r="AH278" s="45" t="b">
        <x:v>1</x:v>
      </x:c>
      <x:c r="AI278" s="45" t="b">
        <x:v>1</x:v>
      </x:c>
      <x:c r="AJ278" s="49"/>
      <x:c r="AK278" s="48" t="n">
        <x:v>0.9505413628213429</x:v>
      </x:c>
      <x:c r="AL278" s="49"/>
      <x:c r="AM278" s="49"/>
      <x:c r="AN278" s="36" t="n">
        <x:v>1</x:v>
      </x:c>
      <x:c r="AO278" s="45" t="b">
        <x:v>1</x:v>
      </x:c>
      <x:c r="AP278" s="45" t="b">
        <x:v>1</x:v>
      </x:c>
      <x:c r="AQ278" s="46" t="n">
        <x:f>IF(T278="","",T278/'Readme-Protocol'!$B$24)</x:f>
        <x:v>5.002287262</x:v>
      </x:c>
      <x:c r="AR278" s="46" t="n">
        <x:f>IF(OR(S278="",S278=0),"",T278/S278)</x:f>
        <x:v>1.0004574524</x:v>
      </x:c>
      <x:c r="AS278" s="46" t="n">
        <x:f>IF(OR(X278="",Y278=""),"",ABS(Y278-X278)*'Readme-Protocol'!$B$27)</x:f>
        <x:v>0.05413628213429833</x:v>
      </x:c>
      <x:c r="AT278" s="49" t="b">
        <x:f>AND(M278&gt;0,N278&gt;=0,O278&gt;0)</x:f>
        <x:v>1</x:v>
      </x:c>
      <x:c r="AU278" s="49" t="b">
        <x:f>AND(AT278,N278&gt;=M278)</x:f>
        <x:v>1</x:v>
      </x:c>
      <x:c r="AV278" s="49" t="b">
        <x:f>OR(S278=0,T278&gt;=S278)</x:f>
        <x:v>1</x:v>
      </x:c>
      <x:c r="AW278" s="49" t="b">
        <x:f>IF(I278="cache-semantics",OR(V278&lt;&gt;"uniform",ABS(Y278-W278/'Readme-Protocol'!$B$27)&lt;='Readme-Protocol'!$B$28),TRUE)</x:f>
        <x:v>1</x:v>
      </x:c>
      <x:c r="AX278" s="43" t="n">
        <x:f>IF(I278="cache-semantics",INT(AA278*'Readme-Protocol'!$B$32),"")</x:f>
        <x:v>9900</x:v>
      </x:c>
      <x:c r="AY278" s="49" t="b">
        <x:f>IF(I278="cache-semantics",AX278=AB278,TRUE)</x:f>
        <x:v>1</x:v>
      </x:c>
      <x:c r="AZ278" s="49" t="b">
        <x:f>IF(I278="cache-semantics",AX278=AE278,TRUE)</x:f>
        <x:v>1</x:v>
      </x:c>
      <x:c r="BA278" s="49" t="b">
        <x:f>IF(I278="cache-semantics",AC278&gt;=AX278,IF(I278="no-store-control",AC278=0,FALSE))</x:f>
        <x:v>1</x:v>
      </x:c>
      <x:c r="BB278" s="49" t="b">
        <x:f>IF(I278="cache-semantics",AG278&gt;=AX278,IF(I278="no-store-control",AG278=0,FALSE))</x:f>
        <x:v>1</x:v>
      </x:c>
      <x:c r="BC278" s="49" t="b">
        <x:f>AND(BA278,BB278)</x:f>
        <x:v>1</x:v>
      </x:c>
      <x:c r="BD278" s="49" t="b">
        <x:f>IF(I278="no-store-control",AND(AC278=0,AG278=0),TRUE)</x:f>
        <x:v>1</x:v>
      </x:c>
      <x:c r="BE278" s="49" t="b">
        <x:f>IF(I278="no-store-control",AK278=0,TRUE)</x:f>
        <x:v>1</x:v>
      </x:c>
      <x:c r="BF278" s="49" t="b">
        <x:f>IF(I278="cache-semantics",AN278=1,TRUE)</x:f>
        <x:v>1</x:v>
      </x:c>
      <x:c r="BG278" s="49" t="b">
        <x:f>IF(I278="cache-semantics",AND(AU278,AV278,Q278,AW278,BC278,BF278),IF(I278="no-store-control",AND(AU278,AV278,Q278,BD278,BE278),FALSE))</x:f>
        <x:v>1</x:v>
      </x:c>
      <x:c r="BH278" s="49" t="b">
        <x:f>AND(R278,AT278=P278,AU278=L278,AV278=U278,AY278,AZ278,IF(I278="cache-semantics",AND(AW278=Z278,AND(BA278=AD278,BB278=AH278,BC278=AI278),BF278=AO278),IF(I278="no-store-control",AND(AND(BA278=AD278,BB278=AH278,BC278=AI278),BD278=AJ278,BE278=AL278),FALSE)),BG278=AP278)</x:f>
        <x:v>1</x:v>
      </x:c>
      <x:c r="BI278" s="49" t="b">
        <x:f>AND(J278,K278,BG278)</x:f>
        <x:v>1</x:v>
      </x:c>
    </x:row>
    <x:row r="279">
      <x:c r="A279" s="34" t="str">
        <x:v>article1-unified-v4-2-fb3f101b-20260903-000401-default-f05-p4-caffeine</x:v>
      </x:c>
      <x:c r="B279" s="34" t="str">
        <x:v>default</x:v>
      </x:c>
      <x:c r="C279" s="34" t="str">
        <x:v>caffeine</x:v>
      </x:c>
      <x:c r="D279" s="36" t="n">
        <x:v>5</x:v>
      </x:c>
      <x:c r="E279" s="36" t="n">
        <x:v>5</x:v>
      </x:c>
      <x:c r="F279" s="36" t="n">
        <x:v>4</x:v>
      </x:c>
      <x:c r="G279" s="36" t="n">
        <x:v>4</x:v>
      </x:c>
      <x:c r="H279" s="34" t="str">
        <x:v>redeploy</x:v>
      </x:c>
      <x:c r="I279" s="34" t="str">
        <x:v>cache-semantics</x:v>
      </x:c>
      <x:c r="J279" s="45" t="b">
        <x:v>1</x:v>
      </x:c>
      <x:c r="K279" s="45" t="b">
        <x:v>1</x:v>
      </x:c>
      <x:c r="L279" s="45" t="b">
        <x:v>1</x:v>
      </x:c>
      <x:c r="M279" s="43" t="n">
        <x:v>400000</x:v>
      </x:c>
      <x:c r="N279" s="43" t="n">
        <x:v>127905792</x:v>
      </x:c>
      <x:c r="O279" s="43" t="n">
        <x:v>25561074.000816878</x:v>
      </x:c>
      <x:c r="P279" s="45" t="b">
        <x:v>1</x:v>
      </x:c>
      <x:c r="Q279" s="45" t="b">
        <x:v>1</x:v>
      </x:c>
      <x:c r="R279" s="45" t="b">
        <x:v>1</x:v>
      </x:c>
      <x:c r="S279" s="43" t="n">
        <x:v>5000000000</x:v>
      </x:c>
      <x:c r="T279" s="43" t="n">
        <x:v>5003928708</x:v>
      </x:c>
      <x:c r="U279" s="45" t="b">
        <x:v>1</x:v>
      </x:c>
      <x:c r="V279" s="34" t="str">
        <x:v>uniform</x:v>
      </x:c>
      <x:c r="W279" s="42" t="n">
        <x:v>95</x:v>
      </x:c>
      <x:c r="X279" s="48" t="n">
        <x:v>0.95</x:v>
      </x:c>
      <x:c r="Y279" s="48" t="n">
        <x:v>0.9505534119987311</x:v>
      </x:c>
      <x:c r="Z279" s="45" t="b">
        <x:v>1</x:v>
      </x:c>
      <x:c r="AA279" s="43" t="n">
        <x:v>10000</x:v>
      </x:c>
      <x:c r="AB279" s="43" t="n">
        <x:v>9900</x:v>
      </x:c>
      <x:c r="AC279" s="43" t="n">
        <x:v>10000</x:v>
      </x:c>
      <x:c r="AD279" s="45" t="b">
        <x:v>1</x:v>
      </x:c>
      <x:c r="AE279" s="43" t="n">
        <x:v>9900</x:v>
      </x:c>
      <x:c r="AF279" s="43"/>
      <x:c r="AG279" s="43" t="n">
        <x:v>10000</x:v>
      </x:c>
      <x:c r="AH279" s="45" t="b">
        <x:v>1</x:v>
      </x:c>
      <x:c r="AI279" s="45" t="b">
        <x:v>1</x:v>
      </x:c>
      <x:c r="AJ279" s="49"/>
      <x:c r="AK279" s="48" t="n">
        <x:v>0.9505534119987311</x:v>
      </x:c>
      <x:c r="AL279" s="49"/>
      <x:c r="AM279" s="49"/>
      <x:c r="AN279" s="36" t="n">
        <x:v>1</x:v>
      </x:c>
      <x:c r="AO279" s="45" t="b">
        <x:v>1</x:v>
      </x:c>
      <x:c r="AP279" s="45" t="b">
        <x:v>1</x:v>
      </x:c>
      <x:c r="AQ279" s="46" t="n">
        <x:f>IF(T279="","",T279/'Readme-Protocol'!$B$24)</x:f>
        <x:v>5.003928708</x:v>
      </x:c>
      <x:c r="AR279" s="46" t="n">
        <x:f>IF(OR(S279="",S279=0),"",T279/S279)</x:f>
        <x:v>1.0007857416</x:v>
      </x:c>
      <x:c r="AS279" s="46" t="n">
        <x:f>IF(OR(X279="",Y279=""),"",ABS(Y279-X279)*'Readme-Protocol'!$B$27)</x:f>
        <x:v>0.0553411998731157</x:v>
      </x:c>
      <x:c r="AT279" s="49" t="b">
        <x:f>AND(M279&gt;0,N279&gt;=0,O279&gt;0)</x:f>
        <x:v>1</x:v>
      </x:c>
      <x:c r="AU279" s="49" t="b">
        <x:f>AND(AT279,N279&gt;=M279)</x:f>
        <x:v>1</x:v>
      </x:c>
      <x:c r="AV279" s="49" t="b">
        <x:f>OR(S279=0,T279&gt;=S279)</x:f>
        <x:v>1</x:v>
      </x:c>
      <x:c r="AW279" s="49" t="b">
        <x:f>IF(I279="cache-semantics",OR(V279&lt;&gt;"uniform",ABS(Y279-W279/'Readme-Protocol'!$B$27)&lt;='Readme-Protocol'!$B$28),TRUE)</x:f>
        <x:v>1</x:v>
      </x:c>
      <x:c r="AX279" s="43" t="n">
        <x:f>IF(I279="cache-semantics",INT(AA279*'Readme-Protocol'!$B$32),"")</x:f>
        <x:v>9900</x:v>
      </x:c>
      <x:c r="AY279" s="49" t="b">
        <x:f>IF(I279="cache-semantics",AX279=AB279,TRUE)</x:f>
        <x:v>1</x:v>
      </x:c>
      <x:c r="AZ279" s="49" t="b">
        <x:f>IF(I279="cache-semantics",AX279=AE279,TRUE)</x:f>
        <x:v>1</x:v>
      </x:c>
      <x:c r="BA279" s="49" t="b">
        <x:f>IF(I279="cache-semantics",AC279&gt;=AX279,IF(I279="no-store-control",AC279=0,FALSE))</x:f>
        <x:v>1</x:v>
      </x:c>
      <x:c r="BB279" s="49" t="b">
        <x:f>IF(I279="cache-semantics",AG279&gt;=AX279,IF(I279="no-store-control",AG279=0,FALSE))</x:f>
        <x:v>1</x:v>
      </x:c>
      <x:c r="BC279" s="49" t="b">
        <x:f>AND(BA279,BB279)</x:f>
        <x:v>1</x:v>
      </x:c>
      <x:c r="BD279" s="49" t="b">
        <x:f>IF(I279="no-store-control",AND(AC279=0,AG279=0),TRUE)</x:f>
        <x:v>1</x:v>
      </x:c>
      <x:c r="BE279" s="49" t="b">
        <x:f>IF(I279="no-store-control",AK279=0,TRUE)</x:f>
        <x:v>1</x:v>
      </x:c>
      <x:c r="BF279" s="49" t="b">
        <x:f>IF(I279="cache-semantics",AN279=1,TRUE)</x:f>
        <x:v>1</x:v>
      </x:c>
      <x:c r="BG279" s="49" t="b">
        <x:f>IF(I279="cache-semantics",AND(AU279,AV279,Q279,AW279,BC279,BF279),IF(I279="no-store-control",AND(AU279,AV279,Q279,BD279,BE279),FALSE))</x:f>
        <x:v>1</x:v>
      </x:c>
      <x:c r="BH279" s="49" t="b">
        <x:f>AND(R279,AT279=P279,AU279=L279,AV279=U279,AY279,AZ279,IF(I279="cache-semantics",AND(AW279=Z279,AND(BA279=AD279,BB279=AH279,BC279=AI279),BF279=AO279),IF(I279="no-store-control",AND(AND(BA279=AD279,BB279=AH279,BC279=AI279),BD279=AJ279,BE279=AL279),FALSE)),BG279=AP279)</x:f>
        <x:v>1</x:v>
      </x:c>
      <x:c r="BI279" s="49" t="b">
        <x:f>AND(J279,K279,BG279)</x:f>
        <x:v>1</x:v>
      </x:c>
    </x:row>
    <x:row r="280">
      <x:c r="A280" s="34" t="str">
        <x:v>article1-unified-v4-2-fb3f101b-20260903-000401-default-f05-p4-caffeine</x:v>
      </x:c>
      <x:c r="B280" s="34" t="str">
        <x:v>default</x:v>
      </x:c>
      <x:c r="C280" s="34" t="str">
        <x:v>caffeine</x:v>
      </x:c>
      <x:c r="D280" s="36" t="n">
        <x:v>5</x:v>
      </x:c>
      <x:c r="E280" s="36" t="n">
        <x:v>5</x:v>
      </x:c>
      <x:c r="F280" s="36" t="n">
        <x:v>4</x:v>
      </x:c>
      <x:c r="G280" s="36" t="n">
        <x:v>5</x:v>
      </x:c>
      <x:c r="H280" s="34" t="str">
        <x:v>initial</x:v>
      </x:c>
      <x:c r="I280" s="34" t="str">
        <x:v>cache-semantics</x:v>
      </x:c>
      <x:c r="J280" s="45" t="b">
        <x:v>1</x:v>
      </x:c>
      <x:c r="K280" s="45" t="b">
        <x:v>1</x:v>
      </x:c>
      <x:c r="L280" s="45" t="b">
        <x:v>1</x:v>
      </x:c>
      <x:c r="M280" s="43" t="n">
        <x:v>400000</x:v>
      </x:c>
      <x:c r="N280" s="43" t="n">
        <x:v>136665088</x:v>
      </x:c>
      <x:c r="O280" s="43" t="n">
        <x:v>27317948.658922818</x:v>
      </x:c>
      <x:c r="P280" s="45" t="b">
        <x:v>1</x:v>
      </x:c>
      <x:c r="Q280" s="45" t="b">
        <x:v>1</x:v>
      </x:c>
      <x:c r="R280" s="45" t="b">
        <x:v>1</x:v>
      </x:c>
      <x:c r="S280" s="43" t="n">
        <x:v>5000000000</x:v>
      </x:c>
      <x:c r="T280" s="43" t="n">
        <x:v>5002758066</x:v>
      </x:c>
      <x:c r="U280" s="45" t="b">
        <x:v>1</x:v>
      </x:c>
      <x:c r="V280" s="34" t="str">
        <x:v>uniform</x:v>
      </x:c>
      <x:c r="W280" s="42" t="n">
        <x:v>95</x:v>
      </x:c>
      <x:c r="X280" s="48" t="n">
        <x:v>0.95</x:v>
      </x:c>
      <x:c r="Y280" s="48" t="n">
        <x:v>0.9507677191119944</x:v>
      </x:c>
      <x:c r="Z280" s="45" t="b">
        <x:v>1</x:v>
      </x:c>
      <x:c r="AA280" s="43" t="n">
        <x:v>10000</x:v>
      </x:c>
      <x:c r="AB280" s="43" t="n">
        <x:v>9900</x:v>
      </x:c>
      <x:c r="AC280" s="43" t="n">
        <x:v>10000</x:v>
      </x:c>
      <x:c r="AD280" s="45" t="b">
        <x:v>1</x:v>
      </x:c>
      <x:c r="AE280" s="43" t="n">
        <x:v>9900</x:v>
      </x:c>
      <x:c r="AF280" s="43"/>
      <x:c r="AG280" s="43" t="n">
        <x:v>10000</x:v>
      </x:c>
      <x:c r="AH280" s="45" t="b">
        <x:v>1</x:v>
      </x:c>
      <x:c r="AI280" s="45" t="b">
        <x:v>1</x:v>
      </x:c>
      <x:c r="AJ280" s="49"/>
      <x:c r="AK280" s="48" t="n">
        <x:v>0.9507677191119944</x:v>
      </x:c>
      <x:c r="AL280" s="49"/>
      <x:c r="AM280" s="49"/>
      <x:c r="AN280" s="36" t="n">
        <x:v>1</x:v>
      </x:c>
      <x:c r="AO280" s="45" t="b">
        <x:v>1</x:v>
      </x:c>
      <x:c r="AP280" s="45" t="b">
        <x:v>1</x:v>
      </x:c>
      <x:c r="AQ280" s="46" t="n">
        <x:f>IF(T280="","",T280/'Readme-Protocol'!$B$24)</x:f>
        <x:v>5.002758066</x:v>
      </x:c>
      <x:c r="AR280" s="46" t="n">
        <x:f>IF(OR(S280="",S280=0),"",T280/S280)</x:f>
        <x:v>1.0005516132</x:v>
      </x:c>
      <x:c r="AS280" s="46" t="n">
        <x:f>IF(OR(X280="",Y280=""),"",ABS(Y280-X280)*'Readme-Protocol'!$B$27)</x:f>
        <x:v>0.07677191119944693</x:v>
      </x:c>
      <x:c r="AT280" s="49" t="b">
        <x:f>AND(M280&gt;0,N280&gt;=0,O280&gt;0)</x:f>
        <x:v>1</x:v>
      </x:c>
      <x:c r="AU280" s="49" t="b">
        <x:f>AND(AT280,N280&gt;=M280)</x:f>
        <x:v>1</x:v>
      </x:c>
      <x:c r="AV280" s="49" t="b">
        <x:f>OR(S280=0,T280&gt;=S280)</x:f>
        <x:v>1</x:v>
      </x:c>
      <x:c r="AW280" s="49" t="b">
        <x:f>IF(I280="cache-semantics",OR(V280&lt;&gt;"uniform",ABS(Y280-W280/'Readme-Protocol'!$B$27)&lt;='Readme-Protocol'!$B$28),TRUE)</x:f>
        <x:v>1</x:v>
      </x:c>
      <x:c r="AX280" s="43" t="n">
        <x:f>IF(I280="cache-semantics",INT(AA280*'Readme-Protocol'!$B$32),"")</x:f>
        <x:v>9900</x:v>
      </x:c>
      <x:c r="AY280" s="49" t="b">
        <x:f>IF(I280="cache-semantics",AX280=AB280,TRUE)</x:f>
        <x:v>1</x:v>
      </x:c>
      <x:c r="AZ280" s="49" t="b">
        <x:f>IF(I280="cache-semantics",AX280=AE280,TRUE)</x:f>
        <x:v>1</x:v>
      </x:c>
      <x:c r="BA280" s="49" t="b">
        <x:f>IF(I280="cache-semantics",AC280&gt;=AX280,IF(I280="no-store-control",AC280=0,FALSE))</x:f>
        <x:v>1</x:v>
      </x:c>
      <x:c r="BB280" s="49" t="b">
        <x:f>IF(I280="cache-semantics",AG280&gt;=AX280,IF(I280="no-store-control",AG280=0,FALSE))</x:f>
        <x:v>1</x:v>
      </x:c>
      <x:c r="BC280" s="49" t="b">
        <x:f>AND(BA280,BB280)</x:f>
        <x:v>1</x:v>
      </x:c>
      <x:c r="BD280" s="49" t="b">
        <x:f>IF(I280="no-store-control",AND(AC280=0,AG280=0),TRUE)</x:f>
        <x:v>1</x:v>
      </x:c>
      <x:c r="BE280" s="49" t="b">
        <x:f>IF(I280="no-store-control",AK280=0,TRUE)</x:f>
        <x:v>1</x:v>
      </x:c>
      <x:c r="BF280" s="49" t="b">
        <x:f>IF(I280="cache-semantics",AN280=1,TRUE)</x:f>
        <x:v>1</x:v>
      </x:c>
      <x:c r="BG280" s="49" t="b">
        <x:f>IF(I280="cache-semantics",AND(AU280,AV280,Q280,AW280,BC280,BF280),IF(I280="no-store-control",AND(AU280,AV280,Q280,BD280,BE280),FALSE))</x:f>
        <x:v>1</x:v>
      </x:c>
      <x:c r="BH280" s="49" t="b">
        <x:f>AND(R280,AT280=P280,AU280=L280,AV280=U280,AY280,AZ280,IF(I280="cache-semantics",AND(AW280=Z280,AND(BA280=AD280,BB280=AH280,BC280=AI280),BF280=AO280),IF(I280="no-store-control",AND(AND(BA280=AD280,BB280=AH280,BC280=AI280),BD280=AJ280,BE280=AL280),FALSE)),BG280=AP280)</x:f>
        <x:v>1</x:v>
      </x:c>
      <x:c r="BI280" s="49" t="b">
        <x:f>AND(J280,K280,BG280)</x:f>
        <x:v>1</x:v>
      </x:c>
    </x:row>
    <x:row r="281">
      <x:c r="A281" s="34" t="str">
        <x:v>article1-unified-v4-2-fb3f101b-20260903-000401-default-f05-p4-caffeine</x:v>
      </x:c>
      <x:c r="B281" s="34" t="str">
        <x:v>default</x:v>
      </x:c>
      <x:c r="C281" s="34" t="str">
        <x:v>caffeine</x:v>
      </x:c>
      <x:c r="D281" s="36" t="n">
        <x:v>5</x:v>
      </x:c>
      <x:c r="E281" s="36" t="n">
        <x:v>5</x:v>
      </x:c>
      <x:c r="F281" s="36" t="n">
        <x:v>4</x:v>
      </x:c>
      <x:c r="G281" s="36" t="n">
        <x:v>5</x:v>
      </x:c>
      <x:c r="H281" s="34" t="str">
        <x:v>redeploy</x:v>
      </x:c>
      <x:c r="I281" s="34" t="str">
        <x:v>cache-semantics</x:v>
      </x:c>
      <x:c r="J281" s="45" t="b">
        <x:v>1</x:v>
      </x:c>
      <x:c r="K281" s="45" t="b">
        <x:v>1</x:v>
      </x:c>
      <x:c r="L281" s="45" t="b">
        <x:v>1</x:v>
      </x:c>
      <x:c r="M281" s="43" t="n">
        <x:v>400000</x:v>
      </x:c>
      <x:c r="N281" s="43" t="n">
        <x:v>123202304</x:v>
      </x:c>
      <x:c r="O281" s="43" t="n">
        <x:v>24626893.455290563</x:v>
      </x:c>
      <x:c r="P281" s="45" t="b">
        <x:v>1</x:v>
      </x:c>
      <x:c r="Q281" s="45" t="b">
        <x:v>1</x:v>
      </x:c>
      <x:c r="R281" s="45" t="b">
        <x:v>1</x:v>
      </x:c>
      <x:c r="S281" s="43" t="n">
        <x:v>5000000000</x:v>
      </x:c>
      <x:c r="T281" s="43" t="n">
        <x:v>5002754579</x:v>
      </x:c>
      <x:c r="U281" s="45" t="b">
        <x:v>1</x:v>
      </x:c>
      <x:c r="V281" s="34" t="str">
        <x:v>uniform</x:v>
      </x:c>
      <x:c r="W281" s="42" t="n">
        <x:v>95</x:v>
      </x:c>
      <x:c r="X281" s="48" t="n">
        <x:v>0.95</x:v>
      </x:c>
      <x:c r="Y281" s="48" t="n">
        <x:v>0.9507575523912281</x:v>
      </x:c>
      <x:c r="Z281" s="45" t="b">
        <x:v>1</x:v>
      </x:c>
      <x:c r="AA281" s="43" t="n">
        <x:v>10000</x:v>
      </x:c>
      <x:c r="AB281" s="43" t="n">
        <x:v>9900</x:v>
      </x:c>
      <x:c r="AC281" s="43" t="n">
        <x:v>10000</x:v>
      </x:c>
      <x:c r="AD281" s="45" t="b">
        <x:v>1</x:v>
      </x:c>
      <x:c r="AE281" s="43" t="n">
        <x:v>9900</x:v>
      </x:c>
      <x:c r="AF281" s="43"/>
      <x:c r="AG281" s="43" t="n">
        <x:v>10000</x:v>
      </x:c>
      <x:c r="AH281" s="45" t="b">
        <x:v>1</x:v>
      </x:c>
      <x:c r="AI281" s="45" t="b">
        <x:v>1</x:v>
      </x:c>
      <x:c r="AJ281" s="49"/>
      <x:c r="AK281" s="48" t="n">
        <x:v>0.9507575523912281</x:v>
      </x:c>
      <x:c r="AL281" s="49"/>
      <x:c r="AM281" s="49"/>
      <x:c r="AN281" s="36" t="n">
        <x:v>1</x:v>
      </x:c>
      <x:c r="AO281" s="45" t="b">
        <x:v>1</x:v>
      </x:c>
      <x:c r="AP281" s="45" t="b">
        <x:v>1</x:v>
      </x:c>
      <x:c r="AQ281" s="46" t="n">
        <x:f>IF(T281="","",T281/'Readme-Protocol'!$B$24)</x:f>
        <x:v>5.002754579</x:v>
      </x:c>
      <x:c r="AR281" s="46" t="n">
        <x:f>IF(OR(S281="",S281=0),"",T281/S281)</x:f>
        <x:v>1.0005509158</x:v>
      </x:c>
      <x:c r="AS281" s="46" t="n">
        <x:f>IF(OR(X281="",Y281=""),"",ABS(Y281-X281)*'Readme-Protocol'!$B$27)</x:f>
        <x:v>0.07575523912281001</x:v>
      </x:c>
      <x:c r="AT281" s="49" t="b">
        <x:f>AND(M281&gt;0,N281&gt;=0,O281&gt;0)</x:f>
        <x:v>1</x:v>
      </x:c>
      <x:c r="AU281" s="49" t="b">
        <x:f>AND(AT281,N281&gt;=M281)</x:f>
        <x:v>1</x:v>
      </x:c>
      <x:c r="AV281" s="49" t="b">
        <x:f>OR(S281=0,T281&gt;=S281)</x:f>
        <x:v>1</x:v>
      </x:c>
      <x:c r="AW281" s="49" t="b">
        <x:f>IF(I281="cache-semantics",OR(V281&lt;&gt;"uniform",ABS(Y281-W281/'Readme-Protocol'!$B$27)&lt;='Readme-Protocol'!$B$28),TRUE)</x:f>
        <x:v>1</x:v>
      </x:c>
      <x:c r="AX281" s="43" t="n">
        <x:f>IF(I281="cache-semantics",INT(AA281*'Readme-Protocol'!$B$32),"")</x:f>
        <x:v>9900</x:v>
      </x:c>
      <x:c r="AY281" s="49" t="b">
        <x:f>IF(I281="cache-semantics",AX281=AB281,TRUE)</x:f>
        <x:v>1</x:v>
      </x:c>
      <x:c r="AZ281" s="49" t="b">
        <x:f>IF(I281="cache-semantics",AX281=AE281,TRUE)</x:f>
        <x:v>1</x:v>
      </x:c>
      <x:c r="BA281" s="49" t="b">
        <x:f>IF(I281="cache-semantics",AC281&gt;=AX281,IF(I281="no-store-control",AC281=0,FALSE))</x:f>
        <x:v>1</x:v>
      </x:c>
      <x:c r="BB281" s="49" t="b">
        <x:f>IF(I281="cache-semantics",AG281&gt;=AX281,IF(I281="no-store-control",AG281=0,FALSE))</x:f>
        <x:v>1</x:v>
      </x:c>
      <x:c r="BC281" s="49" t="b">
        <x:f>AND(BA281,BB281)</x:f>
        <x:v>1</x:v>
      </x:c>
      <x:c r="BD281" s="49" t="b">
        <x:f>IF(I281="no-store-control",AND(AC281=0,AG281=0),TRUE)</x:f>
        <x:v>1</x:v>
      </x:c>
      <x:c r="BE281" s="49" t="b">
        <x:f>IF(I281="no-store-control",AK281=0,TRUE)</x:f>
        <x:v>1</x:v>
      </x:c>
      <x:c r="BF281" s="49" t="b">
        <x:f>IF(I281="cache-semantics",AN281=1,TRUE)</x:f>
        <x:v>1</x:v>
      </x:c>
      <x:c r="BG281" s="49" t="b">
        <x:f>IF(I281="cache-semantics",AND(AU281,AV281,Q281,AW281,BC281,BF281),IF(I281="no-store-control",AND(AU281,AV281,Q281,BD281,BE281),FALSE))</x:f>
        <x:v>1</x:v>
      </x:c>
      <x:c r="BH281" s="49" t="b">
        <x:f>AND(R281,AT281=P281,AU281=L281,AV281=U281,AY281,AZ281,IF(I281="cache-semantics",AND(AW281=Z281,AND(BA281=AD281,BB281=AH281,BC281=AI281),BF281=AO281),IF(I281="no-store-control",AND(AND(BA281=AD281,BB281=AH281,BC281=AI281),BD281=AJ281,BE281=AL281),FALSE)),BG281=AP281)</x:f>
        <x:v>1</x:v>
      </x:c>
      <x:c r="BI281" s="49" t="b">
        <x:f>AND(J281,K281,BG281)</x:f>
        <x:v>1</x:v>
      </x:c>
    </x:row>
    <x:row r="282">
      <x:c r="A282" s="34" t="str">
        <x:v>article1-unified-v4-2-fb3f101b-20260903-000401-default-f05-p5-cache2k</x:v>
      </x:c>
      <x:c r="B282" s="34" t="str">
        <x:v>default</x:v>
      </x:c>
      <x:c r="C282" s="34" t="str">
        <x:v>cache2k</x:v>
      </x:c>
      <x:c r="D282" s="36" t="n">
        <x:v>5</x:v>
      </x:c>
      <x:c r="E282" s="36" t="n">
        <x:v>5</x:v>
      </x:c>
      <x:c r="F282" s="36" t="n">
        <x:v>5</x:v>
      </x:c>
      <x:c r="G282" s="36" t="n">
        <x:v>1</x:v>
      </x:c>
      <x:c r="H282" s="34" t="str">
        <x:v>initial</x:v>
      </x:c>
      <x:c r="I282" s="34" t="str">
        <x:v>cache-semantics</x:v>
      </x:c>
      <x:c r="J282" s="45" t="b">
        <x:v>1</x:v>
      </x:c>
      <x:c r="K282" s="45" t="b">
        <x:v>1</x:v>
      </x:c>
      <x:c r="L282" s="45" t="b">
        <x:v>1</x:v>
      </x:c>
      <x:c r="M282" s="43" t="n">
        <x:v>400000</x:v>
      </x:c>
      <x:c r="N282" s="43" t="n">
        <x:v>157736704</x:v>
      </x:c>
      <x:c r="O282" s="43" t="n">
        <x:v>31522505.359142225</x:v>
      </x:c>
      <x:c r="P282" s="45" t="b">
        <x:v>1</x:v>
      </x:c>
      <x:c r="Q282" s="45" t="b">
        <x:v>1</x:v>
      </x:c>
      <x:c r="R282" s="45" t="b">
        <x:v>1</x:v>
      </x:c>
      <x:c r="S282" s="43" t="n">
        <x:v>5000000000</x:v>
      </x:c>
      <x:c r="T282" s="43" t="n">
        <x:v>5003939319</x:v>
      </x:c>
      <x:c r="U282" s="45" t="b">
        <x:v>1</x:v>
      </x:c>
      <x:c r="V282" s="34" t="str">
        <x:v>uniform</x:v>
      </x:c>
      <x:c r="W282" s="42" t="n">
        <x:v>95</x:v>
      </x:c>
      <x:c r="X282" s="48" t="n">
        <x:v>0.95</x:v>
      </x:c>
      <x:c r="Y282" s="48" t="n">
        <x:v>0.9483738800577448</x:v>
      </x:c>
      <x:c r="Z282" s="45" t="b">
        <x:v>1</x:v>
      </x:c>
      <x:c r="AA282" s="43" t="n">
        <x:v>10000</x:v>
      </x:c>
      <x:c r="AB282" s="43" t="n">
        <x:v>9900</x:v>
      </x:c>
      <x:c r="AC282" s="43" t="n">
        <x:v>9979</x:v>
      </x:c>
      <x:c r="AD282" s="45" t="b">
        <x:v>1</x:v>
      </x:c>
      <x:c r="AE282" s="43" t="n">
        <x:v>9900</x:v>
      </x:c>
      <x:c r="AF282" s="43"/>
      <x:c r="AG282" s="43" t="n">
        <x:v>9996</x:v>
      </x:c>
      <x:c r="AH282" s="45" t="b">
        <x:v>1</x:v>
      </x:c>
      <x:c r="AI282" s="45" t="b">
        <x:v>1</x:v>
      </x:c>
      <x:c r="AJ282" s="49"/>
      <x:c r="AK282" s="48" t="n">
        <x:v>0.9483738800577448</x:v>
      </x:c>
      <x:c r="AL282" s="49"/>
      <x:c r="AM282" s="49"/>
      <x:c r="AN282" s="36" t="n">
        <x:v>1</x:v>
      </x:c>
      <x:c r="AO282" s="45" t="b">
        <x:v>1</x:v>
      </x:c>
      <x:c r="AP282" s="45" t="b">
        <x:v>1</x:v>
      </x:c>
      <x:c r="AQ282" s="46" t="n">
        <x:f>IF(T282="","",T282/'Readme-Protocol'!$B$24)</x:f>
        <x:v>5.003939319</x:v>
      </x:c>
      <x:c r="AR282" s="46" t="n">
        <x:f>IF(OR(S282="",S282=0),"",T282/S282)</x:f>
        <x:v>1.0007878638</x:v>
      </x:c>
      <x:c r="AS282" s="46" t="n">
        <x:f>IF(OR(X282="",Y282=""),"",ABS(Y282-X282)*'Readme-Protocol'!$B$27)</x:f>
        <x:v>0.16261199422551442</x:v>
      </x:c>
      <x:c r="AT282" s="49" t="b">
        <x:f>AND(M282&gt;0,N282&gt;=0,O282&gt;0)</x:f>
        <x:v>1</x:v>
      </x:c>
      <x:c r="AU282" s="49" t="b">
        <x:f>AND(AT282,N282&gt;=M282)</x:f>
        <x:v>1</x:v>
      </x:c>
      <x:c r="AV282" s="49" t="b">
        <x:f>OR(S282=0,T282&gt;=S282)</x:f>
        <x:v>1</x:v>
      </x:c>
      <x:c r="AW282" s="49" t="b">
        <x:f>IF(I282="cache-semantics",OR(V282&lt;&gt;"uniform",ABS(Y282-W282/'Readme-Protocol'!$B$27)&lt;='Readme-Protocol'!$B$28),TRUE)</x:f>
        <x:v>1</x:v>
      </x:c>
      <x:c r="AX282" s="43" t="n">
        <x:f>IF(I282="cache-semantics",INT(AA282*'Readme-Protocol'!$B$32),"")</x:f>
        <x:v>9900</x:v>
      </x:c>
      <x:c r="AY282" s="49" t="b">
        <x:f>IF(I282="cache-semantics",AX282=AB282,TRUE)</x:f>
        <x:v>1</x:v>
      </x:c>
      <x:c r="AZ282" s="49" t="b">
        <x:f>IF(I282="cache-semantics",AX282=AE282,TRUE)</x:f>
        <x:v>1</x:v>
      </x:c>
      <x:c r="BA282" s="49" t="b">
        <x:f>IF(I282="cache-semantics",AC282&gt;=AX282,IF(I282="no-store-control",AC282=0,FALSE))</x:f>
        <x:v>1</x:v>
      </x:c>
      <x:c r="BB282" s="49" t="b">
        <x:f>IF(I282="cache-semantics",AG282&gt;=AX282,IF(I282="no-store-control",AG282=0,FALSE))</x:f>
        <x:v>1</x:v>
      </x:c>
      <x:c r="BC282" s="49" t="b">
        <x:f>AND(BA282,BB282)</x:f>
        <x:v>1</x:v>
      </x:c>
      <x:c r="BD282" s="49" t="b">
        <x:f>IF(I282="no-store-control",AND(AC282=0,AG282=0),TRUE)</x:f>
        <x:v>1</x:v>
      </x:c>
      <x:c r="BE282" s="49" t="b">
        <x:f>IF(I282="no-store-control",AK282=0,TRUE)</x:f>
        <x:v>1</x:v>
      </x:c>
      <x:c r="BF282" s="49" t="b">
        <x:f>IF(I282="cache-semantics",AN282=1,TRUE)</x:f>
        <x:v>1</x:v>
      </x:c>
      <x:c r="BG282" s="49" t="b">
        <x:f>IF(I282="cache-semantics",AND(AU282,AV282,Q282,AW282,BC282,BF282),IF(I282="no-store-control",AND(AU282,AV282,Q282,BD282,BE282),FALSE))</x:f>
        <x:v>1</x:v>
      </x:c>
      <x:c r="BH282" s="49" t="b">
        <x:f>AND(R282,AT282=P282,AU282=L282,AV282=U282,AY282,AZ282,IF(I282="cache-semantics",AND(AW282=Z282,AND(BA282=AD282,BB282=AH282,BC282=AI282),BF282=AO282),IF(I282="no-store-control",AND(AND(BA282=AD282,BB282=AH282,BC282=AI282),BD282=AJ282,BE282=AL282),FALSE)),BG282=AP282)</x:f>
        <x:v>1</x:v>
      </x:c>
      <x:c r="BI282" s="49" t="b">
        <x:f>AND(J282,K282,BG282)</x:f>
        <x:v>1</x:v>
      </x:c>
    </x:row>
    <x:row r="283">
      <x:c r="A283" s="34" t="str">
        <x:v>article1-unified-v4-2-fb3f101b-20260903-000401-default-f05-p5-cache2k</x:v>
      </x:c>
      <x:c r="B283" s="34" t="str">
        <x:v>default</x:v>
      </x:c>
      <x:c r="C283" s="34" t="str">
        <x:v>cache2k</x:v>
      </x:c>
      <x:c r="D283" s="36" t="n">
        <x:v>5</x:v>
      </x:c>
      <x:c r="E283" s="36" t="n">
        <x:v>5</x:v>
      </x:c>
      <x:c r="F283" s="36" t="n">
        <x:v>5</x:v>
      </x:c>
      <x:c r="G283" s="36" t="n">
        <x:v>1</x:v>
      </x:c>
      <x:c r="H283" s="34" t="str">
        <x:v>redeploy</x:v>
      </x:c>
      <x:c r="I283" s="34" t="str">
        <x:v>cache-semantics</x:v>
      </x:c>
      <x:c r="J283" s="45" t="b">
        <x:v>1</x:v>
      </x:c>
      <x:c r="K283" s="45" t="b">
        <x:v>1</x:v>
      </x:c>
      <x:c r="L283" s="45" t="b">
        <x:v>1</x:v>
      </x:c>
      <x:c r="M283" s="43" t="n">
        <x:v>400000</x:v>
      </x:c>
      <x:c r="N283" s="43" t="n">
        <x:v>155260416</x:v>
      </x:c>
      <x:c r="O283" s="43" t="n">
        <x:v>31036368.567917556</x:v>
      </x:c>
      <x:c r="P283" s="45" t="b">
        <x:v>1</x:v>
      </x:c>
      <x:c r="Q283" s="45" t="b">
        <x:v>1</x:v>
      </x:c>
      <x:c r="R283" s="45" t="b">
        <x:v>1</x:v>
      </x:c>
      <x:c r="S283" s="43" t="n">
        <x:v>5000000000</x:v>
      </x:c>
      <x:c r="T283" s="43" t="n">
        <x:v>5002531648</x:v>
      </x:c>
      <x:c r="U283" s="45" t="b">
        <x:v>1</x:v>
      </x:c>
      <x:c r="V283" s="34" t="str">
        <x:v>uniform</x:v>
      </x:c>
      <x:c r="W283" s="42" t="n">
        <x:v>95</x:v>
      </x:c>
      <x:c r="X283" s="48" t="n">
        <x:v>0.95</x:v>
      </x:c>
      <x:c r="Y283" s="48" t="n">
        <x:v>0.9483589944780259</x:v>
      </x:c>
      <x:c r="Z283" s="45" t="b">
        <x:v>1</x:v>
      </x:c>
      <x:c r="AA283" s="43" t="n">
        <x:v>10000</x:v>
      </x:c>
      <x:c r="AB283" s="43" t="n">
        <x:v>9900</x:v>
      </x:c>
      <x:c r="AC283" s="43" t="n">
        <x:v>9979</x:v>
      </x:c>
      <x:c r="AD283" s="45" t="b">
        <x:v>1</x:v>
      </x:c>
      <x:c r="AE283" s="43" t="n">
        <x:v>9900</x:v>
      </x:c>
      <x:c r="AF283" s="43"/>
      <x:c r="AG283" s="43" t="n">
        <x:v>9996</x:v>
      </x:c>
      <x:c r="AH283" s="45" t="b">
        <x:v>1</x:v>
      </x:c>
      <x:c r="AI283" s="45" t="b">
        <x:v>1</x:v>
      </x:c>
      <x:c r="AJ283" s="49"/>
      <x:c r="AK283" s="48" t="n">
        <x:v>0.9483589944780259</x:v>
      </x:c>
      <x:c r="AL283" s="49"/>
      <x:c r="AM283" s="49"/>
      <x:c r="AN283" s="36" t="n">
        <x:v>1</x:v>
      </x:c>
      <x:c r="AO283" s="45" t="b">
        <x:v>1</x:v>
      </x:c>
      <x:c r="AP283" s="45" t="b">
        <x:v>1</x:v>
      </x:c>
      <x:c r="AQ283" s="46" t="n">
        <x:f>IF(T283="","",T283/'Readme-Protocol'!$B$24)</x:f>
        <x:v>5.002531648</x:v>
      </x:c>
      <x:c r="AR283" s="46" t="n">
        <x:f>IF(OR(S283="",S283=0),"",T283/S283)</x:f>
        <x:v>1.0005063296</x:v>
      </x:c>
      <x:c r="AS283" s="46" t="n">
        <x:f>IF(OR(X283="",Y283=""),"",ABS(Y283-X283)*'Readme-Protocol'!$B$27)</x:f>
        <x:v>0.16410055219741038</x:v>
      </x:c>
      <x:c r="AT283" s="49" t="b">
        <x:f>AND(M283&gt;0,N283&gt;=0,O283&gt;0)</x:f>
        <x:v>1</x:v>
      </x:c>
      <x:c r="AU283" s="49" t="b">
        <x:f>AND(AT283,N283&gt;=M283)</x:f>
        <x:v>1</x:v>
      </x:c>
      <x:c r="AV283" s="49" t="b">
        <x:f>OR(S283=0,T283&gt;=S283)</x:f>
        <x:v>1</x:v>
      </x:c>
      <x:c r="AW283" s="49" t="b">
        <x:f>IF(I283="cache-semantics",OR(V283&lt;&gt;"uniform",ABS(Y283-W283/'Readme-Protocol'!$B$27)&lt;='Readme-Protocol'!$B$28),TRUE)</x:f>
        <x:v>1</x:v>
      </x:c>
      <x:c r="AX283" s="43" t="n">
        <x:f>IF(I283="cache-semantics",INT(AA283*'Readme-Protocol'!$B$32),"")</x:f>
        <x:v>9900</x:v>
      </x:c>
      <x:c r="AY283" s="49" t="b">
        <x:f>IF(I283="cache-semantics",AX283=AB283,TRUE)</x:f>
        <x:v>1</x:v>
      </x:c>
      <x:c r="AZ283" s="49" t="b">
        <x:f>IF(I283="cache-semantics",AX283=AE283,TRUE)</x:f>
        <x:v>1</x:v>
      </x:c>
      <x:c r="BA283" s="49" t="b">
        <x:f>IF(I283="cache-semantics",AC283&gt;=AX283,IF(I283="no-store-control",AC283=0,FALSE))</x:f>
        <x:v>1</x:v>
      </x:c>
      <x:c r="BB283" s="49" t="b">
        <x:f>IF(I283="cache-semantics",AG283&gt;=AX283,IF(I283="no-store-control",AG283=0,FALSE))</x:f>
        <x:v>1</x:v>
      </x:c>
      <x:c r="BC283" s="49" t="b">
        <x:f>AND(BA283,BB283)</x:f>
        <x:v>1</x:v>
      </x:c>
      <x:c r="BD283" s="49" t="b">
        <x:f>IF(I283="no-store-control",AND(AC283=0,AG283=0),TRUE)</x:f>
        <x:v>1</x:v>
      </x:c>
      <x:c r="BE283" s="49" t="b">
        <x:f>IF(I283="no-store-control",AK283=0,TRUE)</x:f>
        <x:v>1</x:v>
      </x:c>
      <x:c r="BF283" s="49" t="b">
        <x:f>IF(I283="cache-semantics",AN283=1,TRUE)</x:f>
        <x:v>1</x:v>
      </x:c>
      <x:c r="BG283" s="49" t="b">
        <x:f>IF(I283="cache-semantics",AND(AU283,AV283,Q283,AW283,BC283,BF283),IF(I283="no-store-control",AND(AU283,AV283,Q283,BD283,BE283),FALSE))</x:f>
        <x:v>1</x:v>
      </x:c>
      <x:c r="BH283" s="49" t="b">
        <x:f>AND(R283,AT283=P283,AU283=L283,AV283=U283,AY283,AZ283,IF(I283="cache-semantics",AND(AW283=Z283,AND(BA283=AD283,BB283=AH283,BC283=AI283),BF283=AO283),IF(I283="no-store-control",AND(AND(BA283=AD283,BB283=AH283,BC283=AI283),BD283=AJ283,BE283=AL283),FALSE)),BG283=AP283)</x:f>
        <x:v>1</x:v>
      </x:c>
      <x:c r="BI283" s="49" t="b">
        <x:f>AND(J283,K283,BG283)</x:f>
        <x:v>1</x:v>
      </x:c>
    </x:row>
    <x:row r="284">
      <x:c r="A284" s="34" t="str">
        <x:v>article1-unified-v4-2-fb3f101b-20260903-000401-default-f05-p5-cache2k</x:v>
      </x:c>
      <x:c r="B284" s="34" t="str">
        <x:v>default</x:v>
      </x:c>
      <x:c r="C284" s="34" t="str">
        <x:v>cache2k</x:v>
      </x:c>
      <x:c r="D284" s="36" t="n">
        <x:v>5</x:v>
      </x:c>
      <x:c r="E284" s="36" t="n">
        <x:v>5</x:v>
      </x:c>
      <x:c r="F284" s="36" t="n">
        <x:v>5</x:v>
      </x:c>
      <x:c r="G284" s="36" t="n">
        <x:v>2</x:v>
      </x:c>
      <x:c r="H284" s="34" t="str">
        <x:v>initial</x:v>
      </x:c>
      <x:c r="I284" s="34" t="str">
        <x:v>cache-semantics</x:v>
      </x:c>
      <x:c r="J284" s="45" t="b">
        <x:v>1</x:v>
      </x:c>
      <x:c r="K284" s="45" t="b">
        <x:v>1</x:v>
      </x:c>
      <x:c r="L284" s="45" t="b">
        <x:v>1</x:v>
      </x:c>
      <x:c r="M284" s="43" t="n">
        <x:v>400000</x:v>
      </x:c>
      <x:c r="N284" s="43" t="n">
        <x:v>163131392</x:v>
      </x:c>
      <x:c r="O284" s="43" t="n">
        <x:v>32607994.706072368</x:v>
      </x:c>
      <x:c r="P284" s="45" t="b">
        <x:v>1</x:v>
      </x:c>
      <x:c r="Q284" s="45" t="b">
        <x:v>1</x:v>
      </x:c>
      <x:c r="R284" s="45" t="b">
        <x:v>1</x:v>
      </x:c>
      <x:c r="S284" s="43" t="n">
        <x:v>5000000000</x:v>
      </x:c>
      <x:c r="T284" s="43" t="n">
        <x:v>5002803560</x:v>
      </x:c>
      <x:c r="U284" s="45" t="b">
        <x:v>1</x:v>
      </x:c>
      <x:c r="V284" s="34" t="str">
        <x:v>uniform</x:v>
      </x:c>
      <x:c r="W284" s="42" t="n">
        <x:v>95</x:v>
      </x:c>
      <x:c r="X284" s="48" t="n">
        <x:v>0.95</x:v>
      </x:c>
      <x:c r="Y284" s="48" t="n">
        <x:v>0.948437772173243</x:v>
      </x:c>
      <x:c r="Z284" s="45" t="b">
        <x:v>1</x:v>
      </x:c>
      <x:c r="AA284" s="43" t="n">
        <x:v>10000</x:v>
      </x:c>
      <x:c r="AB284" s="43" t="n">
        <x:v>9900</x:v>
      </x:c>
      <x:c r="AC284" s="43" t="n">
        <x:v>9979</x:v>
      </x:c>
      <x:c r="AD284" s="45" t="b">
        <x:v>1</x:v>
      </x:c>
      <x:c r="AE284" s="43" t="n">
        <x:v>9900</x:v>
      </x:c>
      <x:c r="AF284" s="43"/>
      <x:c r="AG284" s="43" t="n">
        <x:v>9992</x:v>
      </x:c>
      <x:c r="AH284" s="45" t="b">
        <x:v>1</x:v>
      </x:c>
      <x:c r="AI284" s="45" t="b">
        <x:v>1</x:v>
      </x:c>
      <x:c r="AJ284" s="49"/>
      <x:c r="AK284" s="48" t="n">
        <x:v>0.948437772173243</x:v>
      </x:c>
      <x:c r="AL284" s="49"/>
      <x:c r="AM284" s="49"/>
      <x:c r="AN284" s="36" t="n">
        <x:v>1</x:v>
      </x:c>
      <x:c r="AO284" s="45" t="b">
        <x:v>1</x:v>
      </x:c>
      <x:c r="AP284" s="45" t="b">
        <x:v>1</x:v>
      </x:c>
      <x:c r="AQ284" s="46" t="n">
        <x:f>IF(T284="","",T284/'Readme-Protocol'!$B$24)</x:f>
        <x:v>5.00280356</x:v>
      </x:c>
      <x:c r="AR284" s="46" t="n">
        <x:f>IF(OR(S284="",S284=0),"",T284/S284)</x:f>
        <x:v>1.000560712</x:v>
      </x:c>
      <x:c r="AS284" s="46" t="n">
        <x:f>IF(OR(X284="",Y284=""),"",ABS(Y284-X284)*'Readme-Protocol'!$B$27)</x:f>
        <x:v>0.15622278267569678</x:v>
      </x:c>
      <x:c r="AT284" s="49" t="b">
        <x:f>AND(M284&gt;0,N284&gt;=0,O284&gt;0)</x:f>
        <x:v>1</x:v>
      </x:c>
      <x:c r="AU284" s="49" t="b">
        <x:f>AND(AT284,N284&gt;=M284)</x:f>
        <x:v>1</x:v>
      </x:c>
      <x:c r="AV284" s="49" t="b">
        <x:f>OR(S284=0,T284&gt;=S284)</x:f>
        <x:v>1</x:v>
      </x:c>
      <x:c r="AW284" s="49" t="b">
        <x:f>IF(I284="cache-semantics",OR(V284&lt;&gt;"uniform",ABS(Y284-W284/'Readme-Protocol'!$B$27)&lt;='Readme-Protocol'!$B$28),TRUE)</x:f>
        <x:v>1</x:v>
      </x:c>
      <x:c r="AX284" s="43" t="n">
        <x:f>IF(I284="cache-semantics",INT(AA284*'Readme-Protocol'!$B$32),"")</x:f>
        <x:v>9900</x:v>
      </x:c>
      <x:c r="AY284" s="49" t="b">
        <x:f>IF(I284="cache-semantics",AX284=AB284,TRUE)</x:f>
        <x:v>1</x:v>
      </x:c>
      <x:c r="AZ284" s="49" t="b">
        <x:f>IF(I284="cache-semantics",AX284=AE284,TRUE)</x:f>
        <x:v>1</x:v>
      </x:c>
      <x:c r="BA284" s="49" t="b">
        <x:f>IF(I284="cache-semantics",AC284&gt;=AX284,IF(I284="no-store-control",AC284=0,FALSE))</x:f>
        <x:v>1</x:v>
      </x:c>
      <x:c r="BB284" s="49" t="b">
        <x:f>IF(I284="cache-semantics",AG284&gt;=AX284,IF(I284="no-store-control",AG284=0,FALSE))</x:f>
        <x:v>1</x:v>
      </x:c>
      <x:c r="BC284" s="49" t="b">
        <x:f>AND(BA284,BB284)</x:f>
        <x:v>1</x:v>
      </x:c>
      <x:c r="BD284" s="49" t="b">
        <x:f>IF(I284="no-store-control",AND(AC284=0,AG284=0),TRUE)</x:f>
        <x:v>1</x:v>
      </x:c>
      <x:c r="BE284" s="49" t="b">
        <x:f>IF(I284="no-store-control",AK284=0,TRUE)</x:f>
        <x:v>1</x:v>
      </x:c>
      <x:c r="BF284" s="49" t="b">
        <x:f>IF(I284="cache-semantics",AN284=1,TRUE)</x:f>
        <x:v>1</x:v>
      </x:c>
      <x:c r="BG284" s="49" t="b">
        <x:f>IF(I284="cache-semantics",AND(AU284,AV284,Q284,AW284,BC284,BF284),IF(I284="no-store-control",AND(AU284,AV284,Q284,BD284,BE284),FALSE))</x:f>
        <x:v>1</x:v>
      </x:c>
      <x:c r="BH284" s="49" t="b">
        <x:f>AND(R284,AT284=P284,AU284=L284,AV284=U284,AY284,AZ284,IF(I284="cache-semantics",AND(AW284=Z284,AND(BA284=AD284,BB284=AH284,BC284=AI284),BF284=AO284),IF(I284="no-store-control",AND(AND(BA284=AD284,BB284=AH284,BC284=AI284),BD284=AJ284,BE284=AL284),FALSE)),BG284=AP284)</x:f>
        <x:v>1</x:v>
      </x:c>
      <x:c r="BI284" s="49" t="b">
        <x:f>AND(J284,K284,BG284)</x:f>
        <x:v>1</x:v>
      </x:c>
    </x:row>
    <x:row r="285">
      <x:c r="A285" s="34" t="str">
        <x:v>article1-unified-v4-2-fb3f101b-20260903-000401-default-f05-p5-cache2k</x:v>
      </x:c>
      <x:c r="B285" s="34" t="str">
        <x:v>default</x:v>
      </x:c>
      <x:c r="C285" s="34" t="str">
        <x:v>cache2k</x:v>
      </x:c>
      <x:c r="D285" s="36" t="n">
        <x:v>5</x:v>
      </x:c>
      <x:c r="E285" s="36" t="n">
        <x:v>5</x:v>
      </x:c>
      <x:c r="F285" s="36" t="n">
        <x:v>5</x:v>
      </x:c>
      <x:c r="G285" s="36" t="n">
        <x:v>2</x:v>
      </x:c>
      <x:c r="H285" s="34" t="str">
        <x:v>redeploy</x:v>
      </x:c>
      <x:c r="I285" s="34" t="str">
        <x:v>cache-semantics</x:v>
      </x:c>
      <x:c r="J285" s="45" t="b">
        <x:v>1</x:v>
      </x:c>
      <x:c r="K285" s="45" t="b">
        <x:v>1</x:v>
      </x:c>
      <x:c r="L285" s="45" t="b">
        <x:v>1</x:v>
      </x:c>
      <x:c r="M285" s="43" t="n">
        <x:v>400000</x:v>
      </x:c>
      <x:c r="N285" s="43" t="n">
        <x:v>161618688</x:v>
      </x:c>
      <x:c r="O285" s="43" t="n">
        <x:v>32306614.11885726</x:v>
      </x:c>
      <x:c r="P285" s="45" t="b">
        <x:v>1</x:v>
      </x:c>
      <x:c r="Q285" s="45" t="b">
        <x:v>1</x:v>
      </x:c>
      <x:c r="R285" s="45" t="b">
        <x:v>1</x:v>
      </x:c>
      <x:c r="S285" s="43" t="n">
        <x:v>5000000000</x:v>
      </x:c>
      <x:c r="T285" s="43" t="n">
        <x:v>5002650151</x:v>
      </x:c>
      <x:c r="U285" s="45" t="b">
        <x:v>1</x:v>
      </x:c>
      <x:c r="V285" s="34" t="str">
        <x:v>uniform</x:v>
      </x:c>
      <x:c r="W285" s="42" t="n">
        <x:v>95</x:v>
      </x:c>
      <x:c r="X285" s="48" t="n">
        <x:v>0.95</x:v>
      </x:c>
      <x:c r="Y285" s="48" t="n">
        <x:v>0.9484232231856752</x:v>
      </x:c>
      <x:c r="Z285" s="45" t="b">
        <x:v>1</x:v>
      </x:c>
      <x:c r="AA285" s="43" t="n">
        <x:v>10000</x:v>
      </x:c>
      <x:c r="AB285" s="43" t="n">
        <x:v>9900</x:v>
      </x:c>
      <x:c r="AC285" s="43" t="n">
        <x:v>9979</x:v>
      </x:c>
      <x:c r="AD285" s="45" t="b">
        <x:v>1</x:v>
      </x:c>
      <x:c r="AE285" s="43" t="n">
        <x:v>9900</x:v>
      </x:c>
      <x:c r="AF285" s="43"/>
      <x:c r="AG285" s="43" t="n">
        <x:v>9990</x:v>
      </x:c>
      <x:c r="AH285" s="45" t="b">
        <x:v>1</x:v>
      </x:c>
      <x:c r="AI285" s="45" t="b">
        <x:v>1</x:v>
      </x:c>
      <x:c r="AJ285" s="49"/>
      <x:c r="AK285" s="48" t="n">
        <x:v>0.9484232231856752</x:v>
      </x:c>
      <x:c r="AL285" s="49"/>
      <x:c r="AM285" s="49"/>
      <x:c r="AN285" s="36" t="n">
        <x:v>1</x:v>
      </x:c>
      <x:c r="AO285" s="45" t="b">
        <x:v>1</x:v>
      </x:c>
      <x:c r="AP285" s="45" t="b">
        <x:v>1</x:v>
      </x:c>
      <x:c r="AQ285" s="46" t="n">
        <x:f>IF(T285="","",T285/'Readme-Protocol'!$B$24)</x:f>
        <x:v>5.002650151</x:v>
      </x:c>
      <x:c r="AR285" s="46" t="n">
        <x:f>IF(OR(S285="",S285=0),"",T285/S285)</x:f>
        <x:v>1.0005300302</x:v>
      </x:c>
      <x:c r="AS285" s="46" t="n">
        <x:f>IF(OR(X285="",Y285=""),"",ABS(Y285-X285)*'Readme-Protocol'!$B$27)</x:f>
        <x:v>0.15767768143247762</x:v>
      </x:c>
      <x:c r="AT285" s="49" t="b">
        <x:f>AND(M285&gt;0,N285&gt;=0,O285&gt;0)</x:f>
        <x:v>1</x:v>
      </x:c>
      <x:c r="AU285" s="49" t="b">
        <x:f>AND(AT285,N285&gt;=M285)</x:f>
        <x:v>1</x:v>
      </x:c>
      <x:c r="AV285" s="49" t="b">
        <x:f>OR(S285=0,T285&gt;=S285)</x:f>
        <x:v>1</x:v>
      </x:c>
      <x:c r="AW285" s="49" t="b">
        <x:f>IF(I285="cache-semantics",OR(V285&lt;&gt;"uniform",ABS(Y285-W285/'Readme-Protocol'!$B$27)&lt;='Readme-Protocol'!$B$28),TRUE)</x:f>
        <x:v>1</x:v>
      </x:c>
      <x:c r="AX285" s="43" t="n">
        <x:f>IF(I285="cache-semantics",INT(AA285*'Readme-Protocol'!$B$32),"")</x:f>
        <x:v>9900</x:v>
      </x:c>
      <x:c r="AY285" s="49" t="b">
        <x:f>IF(I285="cache-semantics",AX285=AB285,TRUE)</x:f>
        <x:v>1</x:v>
      </x:c>
      <x:c r="AZ285" s="49" t="b">
        <x:f>IF(I285="cache-semantics",AX285=AE285,TRUE)</x:f>
        <x:v>1</x:v>
      </x:c>
      <x:c r="BA285" s="49" t="b">
        <x:f>IF(I285="cache-semantics",AC285&gt;=AX285,IF(I285="no-store-control",AC285=0,FALSE))</x:f>
        <x:v>1</x:v>
      </x:c>
      <x:c r="BB285" s="49" t="b">
        <x:f>IF(I285="cache-semantics",AG285&gt;=AX285,IF(I285="no-store-control",AG285=0,FALSE))</x:f>
        <x:v>1</x:v>
      </x:c>
      <x:c r="BC285" s="49" t="b">
        <x:f>AND(BA285,BB285)</x:f>
        <x:v>1</x:v>
      </x:c>
      <x:c r="BD285" s="49" t="b">
        <x:f>IF(I285="no-store-control",AND(AC285=0,AG285=0),TRUE)</x:f>
        <x:v>1</x:v>
      </x:c>
      <x:c r="BE285" s="49" t="b">
        <x:f>IF(I285="no-store-control",AK285=0,TRUE)</x:f>
        <x:v>1</x:v>
      </x:c>
      <x:c r="BF285" s="49" t="b">
        <x:f>IF(I285="cache-semantics",AN285=1,TRUE)</x:f>
        <x:v>1</x:v>
      </x:c>
      <x:c r="BG285" s="49" t="b">
        <x:f>IF(I285="cache-semantics",AND(AU285,AV285,Q285,AW285,BC285,BF285),IF(I285="no-store-control",AND(AU285,AV285,Q285,BD285,BE285),FALSE))</x:f>
        <x:v>1</x:v>
      </x:c>
      <x:c r="BH285" s="49" t="b">
        <x:f>AND(R285,AT285=P285,AU285=L285,AV285=U285,AY285,AZ285,IF(I285="cache-semantics",AND(AW285=Z285,AND(BA285=AD285,BB285=AH285,BC285=AI285),BF285=AO285),IF(I285="no-store-control",AND(AND(BA285=AD285,BB285=AH285,BC285=AI285),BD285=AJ285,BE285=AL285),FALSE)),BG285=AP285)</x:f>
        <x:v>1</x:v>
      </x:c>
      <x:c r="BI285" s="49" t="b">
        <x:f>AND(J285,K285,BG285)</x:f>
        <x:v>1</x:v>
      </x:c>
    </x:row>
    <x:row r="286">
      <x:c r="A286" s="34" t="str">
        <x:v>article1-unified-v4-2-fb3f101b-20260903-000401-default-f05-p5-cache2k</x:v>
      </x:c>
      <x:c r="B286" s="34" t="str">
        <x:v>default</x:v>
      </x:c>
      <x:c r="C286" s="34" t="str">
        <x:v>cache2k</x:v>
      </x:c>
      <x:c r="D286" s="36" t="n">
        <x:v>5</x:v>
      </x:c>
      <x:c r="E286" s="36" t="n">
        <x:v>5</x:v>
      </x:c>
      <x:c r="F286" s="36" t="n">
        <x:v>5</x:v>
      </x:c>
      <x:c r="G286" s="36" t="n">
        <x:v>3</x:v>
      </x:c>
      <x:c r="H286" s="34" t="str">
        <x:v>initial</x:v>
      </x:c>
      <x:c r="I286" s="34" t="str">
        <x:v>cache-semantics</x:v>
      </x:c>
      <x:c r="J286" s="45" t="b">
        <x:v>1</x:v>
      </x:c>
      <x:c r="K286" s="45" t="b">
        <x:v>1</x:v>
      </x:c>
      <x:c r="L286" s="45" t="b">
        <x:v>1</x:v>
      </x:c>
      <x:c r="M286" s="43" t="n">
        <x:v>400000</x:v>
      </x:c>
      <x:c r="N286" s="43" t="n">
        <x:v>153006336</x:v>
      </x:c>
      <x:c r="O286" s="43" t="n">
        <x:v>30289090.022188574</x:v>
      </x:c>
      <x:c r="P286" s="45" t="b">
        <x:v>1</x:v>
      </x:c>
      <x:c r="Q286" s="45" t="b">
        <x:v>1</x:v>
      </x:c>
      <x:c r="R286" s="45" t="b">
        <x:v>1</x:v>
      </x:c>
      <x:c r="S286" s="43" t="n">
        <x:v>5000000000</x:v>
      </x:c>
      <x:c r="T286" s="43" t="n">
        <x:v>5051532941</x:v>
      </x:c>
      <x:c r="U286" s="45" t="b">
        <x:v>1</x:v>
      </x:c>
      <x:c r="V286" s="34" t="str">
        <x:v>uniform</x:v>
      </x:c>
      <x:c r="W286" s="42" t="n">
        <x:v>95</x:v>
      </x:c>
      <x:c r="X286" s="48" t="n">
        <x:v>0.95</x:v>
      </x:c>
      <x:c r="Y286" s="48" t="n">
        <x:v>0.948135683740574</x:v>
      </x:c>
      <x:c r="Z286" s="45" t="b">
        <x:v>1</x:v>
      </x:c>
      <x:c r="AA286" s="43" t="n">
        <x:v>10000</x:v>
      </x:c>
      <x:c r="AB286" s="43" t="n">
        <x:v>9900</x:v>
      </x:c>
      <x:c r="AC286" s="43" t="n">
        <x:v>9979</x:v>
      </x:c>
      <x:c r="AD286" s="45" t="b">
        <x:v>1</x:v>
      </x:c>
      <x:c r="AE286" s="43" t="n">
        <x:v>9900</x:v>
      </x:c>
      <x:c r="AF286" s="43"/>
      <x:c r="AG286" s="43" t="n">
        <x:v>9990</x:v>
      </x:c>
      <x:c r="AH286" s="45" t="b">
        <x:v>1</x:v>
      </x:c>
      <x:c r="AI286" s="45" t="b">
        <x:v>1</x:v>
      </x:c>
      <x:c r="AJ286" s="49"/>
      <x:c r="AK286" s="48" t="n">
        <x:v>0.948135683740574</x:v>
      </x:c>
      <x:c r="AL286" s="49"/>
      <x:c r="AM286" s="49"/>
      <x:c r="AN286" s="36" t="n">
        <x:v>1</x:v>
      </x:c>
      <x:c r="AO286" s="45" t="b">
        <x:v>1</x:v>
      </x:c>
      <x:c r="AP286" s="45" t="b">
        <x:v>1</x:v>
      </x:c>
      <x:c r="AQ286" s="46" t="n">
        <x:f>IF(T286="","",T286/'Readme-Protocol'!$B$24)</x:f>
        <x:v>5.051532941</x:v>
      </x:c>
      <x:c r="AR286" s="46" t="n">
        <x:f>IF(OR(S286="",S286=0),"",T286/S286)</x:f>
        <x:v>1.0103065882</x:v>
      </x:c>
      <x:c r="AS286" s="46" t="n">
        <x:f>IF(OR(X286="",Y286=""),"",ABS(Y286-X286)*'Readme-Protocol'!$B$27)</x:f>
        <x:v>0.18643162594259577</x:v>
      </x:c>
      <x:c r="AT286" s="49" t="b">
        <x:f>AND(M286&gt;0,N286&gt;=0,O286&gt;0)</x:f>
        <x:v>1</x:v>
      </x:c>
      <x:c r="AU286" s="49" t="b">
        <x:f>AND(AT286,N286&gt;=M286)</x:f>
        <x:v>1</x:v>
      </x:c>
      <x:c r="AV286" s="49" t="b">
        <x:f>OR(S286=0,T286&gt;=S286)</x:f>
        <x:v>1</x:v>
      </x:c>
      <x:c r="AW286" s="49" t="b">
        <x:f>IF(I286="cache-semantics",OR(V286&lt;&gt;"uniform",ABS(Y286-W286/'Readme-Protocol'!$B$27)&lt;='Readme-Protocol'!$B$28),TRUE)</x:f>
        <x:v>1</x:v>
      </x:c>
      <x:c r="AX286" s="43" t="n">
        <x:f>IF(I286="cache-semantics",INT(AA286*'Readme-Protocol'!$B$32),"")</x:f>
        <x:v>9900</x:v>
      </x:c>
      <x:c r="AY286" s="49" t="b">
        <x:f>IF(I286="cache-semantics",AX286=AB286,TRUE)</x:f>
        <x:v>1</x:v>
      </x:c>
      <x:c r="AZ286" s="49" t="b">
        <x:f>IF(I286="cache-semantics",AX286=AE286,TRUE)</x:f>
        <x:v>1</x:v>
      </x:c>
      <x:c r="BA286" s="49" t="b">
        <x:f>IF(I286="cache-semantics",AC286&gt;=AX286,IF(I286="no-store-control",AC286=0,FALSE))</x:f>
        <x:v>1</x:v>
      </x:c>
      <x:c r="BB286" s="49" t="b">
        <x:f>IF(I286="cache-semantics",AG286&gt;=AX286,IF(I286="no-store-control",AG286=0,FALSE))</x:f>
        <x:v>1</x:v>
      </x:c>
      <x:c r="BC286" s="49" t="b">
        <x:f>AND(BA286,BB286)</x:f>
        <x:v>1</x:v>
      </x:c>
      <x:c r="BD286" s="49" t="b">
        <x:f>IF(I286="no-store-control",AND(AC286=0,AG286=0),TRUE)</x:f>
        <x:v>1</x:v>
      </x:c>
      <x:c r="BE286" s="49" t="b">
        <x:f>IF(I286="no-store-control",AK286=0,TRUE)</x:f>
        <x:v>1</x:v>
      </x:c>
      <x:c r="BF286" s="49" t="b">
        <x:f>IF(I286="cache-semantics",AN286=1,TRUE)</x:f>
        <x:v>1</x:v>
      </x:c>
      <x:c r="BG286" s="49" t="b">
        <x:f>IF(I286="cache-semantics",AND(AU286,AV286,Q286,AW286,BC286,BF286),IF(I286="no-store-control",AND(AU286,AV286,Q286,BD286,BE286),FALSE))</x:f>
        <x:v>1</x:v>
      </x:c>
      <x:c r="BH286" s="49" t="b">
        <x:f>AND(R286,AT286=P286,AU286=L286,AV286=U286,AY286,AZ286,IF(I286="cache-semantics",AND(AW286=Z286,AND(BA286=AD286,BB286=AH286,BC286=AI286),BF286=AO286),IF(I286="no-store-control",AND(AND(BA286=AD286,BB286=AH286,BC286=AI286),BD286=AJ286,BE286=AL286),FALSE)),BG286=AP286)</x:f>
        <x:v>1</x:v>
      </x:c>
      <x:c r="BI286" s="49" t="b">
        <x:f>AND(J286,K286,BG286)</x:f>
        <x:v>1</x:v>
      </x:c>
    </x:row>
    <x:row r="287">
      <x:c r="A287" s="34" t="str">
        <x:v>article1-unified-v4-2-fb3f101b-20260903-000401-default-f05-p5-cache2k</x:v>
      </x:c>
      <x:c r="B287" s="34" t="str">
        <x:v>default</x:v>
      </x:c>
      <x:c r="C287" s="34" t="str">
        <x:v>cache2k</x:v>
      </x:c>
      <x:c r="D287" s="36" t="n">
        <x:v>5</x:v>
      </x:c>
      <x:c r="E287" s="36" t="n">
        <x:v>5</x:v>
      </x:c>
      <x:c r="F287" s="36" t="n">
        <x:v>5</x:v>
      </x:c>
      <x:c r="G287" s="36" t="n">
        <x:v>3</x:v>
      </x:c>
      <x:c r="H287" s="34" t="str">
        <x:v>redeploy</x:v>
      </x:c>
      <x:c r="I287" s="34" t="str">
        <x:v>cache-semantics</x:v>
      </x:c>
      <x:c r="J287" s="45" t="b">
        <x:v>1</x:v>
      </x:c>
      <x:c r="K287" s="45" t="b">
        <x:v>1</x:v>
      </x:c>
      <x:c r="L287" s="45" t="b">
        <x:v>1</x:v>
      </x:c>
      <x:c r="M287" s="43" t="n">
        <x:v>400000</x:v>
      </x:c>
      <x:c r="N287" s="43" t="n">
        <x:v>156958464</x:v>
      </x:c>
      <x:c r="O287" s="43" t="n">
        <x:v>31375857.034719463</x:v>
      </x:c>
      <x:c r="P287" s="45" t="b">
        <x:v>1</x:v>
      </x:c>
      <x:c r="Q287" s="45" t="b">
        <x:v>1</x:v>
      </x:c>
      <x:c r="R287" s="45" t="b">
        <x:v>1</x:v>
      </x:c>
      <x:c r="S287" s="43" t="n">
        <x:v>5000000000</x:v>
      </x:c>
      <x:c r="T287" s="43" t="n">
        <x:v>5002523559</x:v>
      </x:c>
      <x:c r="U287" s="45" t="b">
        <x:v>1</x:v>
      </x:c>
      <x:c r="V287" s="34" t="str">
        <x:v>uniform</x:v>
      </x:c>
      <x:c r="W287" s="42" t="n">
        <x:v>95</x:v>
      </x:c>
      <x:c r="X287" s="48" t="n">
        <x:v>0.95</x:v>
      </x:c>
      <x:c r="Y287" s="48" t="n">
        <x:v>0.9481458419470772</x:v>
      </x:c>
      <x:c r="Z287" s="45" t="b">
        <x:v>1</x:v>
      </x:c>
      <x:c r="AA287" s="43" t="n">
        <x:v>10000</x:v>
      </x:c>
      <x:c r="AB287" s="43" t="n">
        <x:v>9900</x:v>
      </x:c>
      <x:c r="AC287" s="43" t="n">
        <x:v>9979</x:v>
      </x:c>
      <x:c r="AD287" s="45" t="b">
        <x:v>1</x:v>
      </x:c>
      <x:c r="AE287" s="43" t="n">
        <x:v>9900</x:v>
      </x:c>
      <x:c r="AF287" s="43"/>
      <x:c r="AG287" s="43" t="n">
        <x:v>9990</x:v>
      </x:c>
      <x:c r="AH287" s="45" t="b">
        <x:v>1</x:v>
      </x:c>
      <x:c r="AI287" s="45" t="b">
        <x:v>1</x:v>
      </x:c>
      <x:c r="AJ287" s="49"/>
      <x:c r="AK287" s="48" t="n">
        <x:v>0.9481458419470772</x:v>
      </x:c>
      <x:c r="AL287" s="49"/>
      <x:c r="AM287" s="49"/>
      <x:c r="AN287" s="36" t="n">
        <x:v>1</x:v>
      </x:c>
      <x:c r="AO287" s="45" t="b">
        <x:v>1</x:v>
      </x:c>
      <x:c r="AP287" s="45" t="b">
        <x:v>1</x:v>
      </x:c>
      <x:c r="AQ287" s="46" t="n">
        <x:f>IF(T287="","",T287/'Readme-Protocol'!$B$24)</x:f>
        <x:v>5.002523559</x:v>
      </x:c>
      <x:c r="AR287" s="46" t="n">
        <x:f>IF(OR(S287="",S287=0),"",T287/S287)</x:f>
        <x:v>1.0005047118</x:v>
      </x:c>
      <x:c r="AS287" s="46" t="n">
        <x:f>IF(OR(X287="",Y287=""),"",ABS(Y287-X287)*'Readme-Protocol'!$B$27)</x:f>
        <x:v>0.1854158052922772</x:v>
      </x:c>
      <x:c r="AT287" s="49" t="b">
        <x:f>AND(M287&gt;0,N287&gt;=0,O287&gt;0)</x:f>
        <x:v>1</x:v>
      </x:c>
      <x:c r="AU287" s="49" t="b">
        <x:f>AND(AT287,N287&gt;=M287)</x:f>
        <x:v>1</x:v>
      </x:c>
      <x:c r="AV287" s="49" t="b">
        <x:f>OR(S287=0,T287&gt;=S287)</x:f>
        <x:v>1</x:v>
      </x:c>
      <x:c r="AW287" s="49" t="b">
        <x:f>IF(I287="cache-semantics",OR(V287&lt;&gt;"uniform",ABS(Y287-W287/'Readme-Protocol'!$B$27)&lt;='Readme-Protocol'!$B$28),TRUE)</x:f>
        <x:v>1</x:v>
      </x:c>
      <x:c r="AX287" s="43" t="n">
        <x:f>IF(I287="cache-semantics",INT(AA287*'Readme-Protocol'!$B$32),"")</x:f>
        <x:v>9900</x:v>
      </x:c>
      <x:c r="AY287" s="49" t="b">
        <x:f>IF(I287="cache-semantics",AX287=AB287,TRUE)</x:f>
        <x:v>1</x:v>
      </x:c>
      <x:c r="AZ287" s="49" t="b">
        <x:f>IF(I287="cache-semantics",AX287=AE287,TRUE)</x:f>
        <x:v>1</x:v>
      </x:c>
      <x:c r="BA287" s="49" t="b">
        <x:f>IF(I287="cache-semantics",AC287&gt;=AX287,IF(I287="no-store-control",AC287=0,FALSE))</x:f>
        <x:v>1</x:v>
      </x:c>
      <x:c r="BB287" s="49" t="b">
        <x:f>IF(I287="cache-semantics",AG287&gt;=AX287,IF(I287="no-store-control",AG287=0,FALSE))</x:f>
        <x:v>1</x:v>
      </x:c>
      <x:c r="BC287" s="49" t="b">
        <x:f>AND(BA287,BB287)</x:f>
        <x:v>1</x:v>
      </x:c>
      <x:c r="BD287" s="49" t="b">
        <x:f>IF(I287="no-store-control",AND(AC287=0,AG287=0),TRUE)</x:f>
        <x:v>1</x:v>
      </x:c>
      <x:c r="BE287" s="49" t="b">
        <x:f>IF(I287="no-store-control",AK287=0,TRUE)</x:f>
        <x:v>1</x:v>
      </x:c>
      <x:c r="BF287" s="49" t="b">
        <x:f>IF(I287="cache-semantics",AN287=1,TRUE)</x:f>
        <x:v>1</x:v>
      </x:c>
      <x:c r="BG287" s="49" t="b">
        <x:f>IF(I287="cache-semantics",AND(AU287,AV287,Q287,AW287,BC287,BF287),IF(I287="no-store-control",AND(AU287,AV287,Q287,BD287,BE287),FALSE))</x:f>
        <x:v>1</x:v>
      </x:c>
      <x:c r="BH287" s="49" t="b">
        <x:f>AND(R287,AT287=P287,AU287=L287,AV287=U287,AY287,AZ287,IF(I287="cache-semantics",AND(AW287=Z287,AND(BA287=AD287,BB287=AH287,BC287=AI287),BF287=AO287),IF(I287="no-store-control",AND(AND(BA287=AD287,BB287=AH287,BC287=AI287),BD287=AJ287,BE287=AL287),FALSE)),BG287=AP287)</x:f>
        <x:v>1</x:v>
      </x:c>
      <x:c r="BI287" s="49" t="b">
        <x:f>AND(J287,K287,BG287)</x:f>
        <x:v>1</x:v>
      </x:c>
    </x:row>
    <x:row r="288">
      <x:c r="A288" s="34" t="str">
        <x:v>article1-unified-v4-2-fb3f101b-20260903-000401-default-f05-p5-cache2k</x:v>
      </x:c>
      <x:c r="B288" s="34" t="str">
        <x:v>default</x:v>
      </x:c>
      <x:c r="C288" s="34" t="str">
        <x:v>cache2k</x:v>
      </x:c>
      <x:c r="D288" s="36" t="n">
        <x:v>5</x:v>
      </x:c>
      <x:c r="E288" s="36" t="n">
        <x:v>5</x:v>
      </x:c>
      <x:c r="F288" s="36" t="n">
        <x:v>5</x:v>
      </x:c>
      <x:c r="G288" s="36" t="n">
        <x:v>4</x:v>
      </x:c>
      <x:c r="H288" s="34" t="str">
        <x:v>initial</x:v>
      </x:c>
      <x:c r="I288" s="34" t="str">
        <x:v>cache-semantics</x:v>
      </x:c>
      <x:c r="J288" s="45" t="b">
        <x:v>1</x:v>
      </x:c>
      <x:c r="K288" s="45" t="b">
        <x:v>1</x:v>
      </x:c>
      <x:c r="L288" s="45" t="b">
        <x:v>1</x:v>
      </x:c>
      <x:c r="M288" s="43" t="n">
        <x:v>400000</x:v>
      </x:c>
      <x:c r="N288" s="43" t="n">
        <x:v>163689984</x:v>
      </x:c>
      <x:c r="O288" s="43" t="n">
        <x:v>32721125.95106526</x:v>
      </x:c>
      <x:c r="P288" s="45" t="b">
        <x:v>1</x:v>
      </x:c>
      <x:c r="Q288" s="45" t="b">
        <x:v>1</x:v>
      </x:c>
      <x:c r="R288" s="45" t="b">
        <x:v>1</x:v>
      </x:c>
      <x:c r="S288" s="43" t="n">
        <x:v>5000000000</x:v>
      </x:c>
      <x:c r="T288" s="43" t="n">
        <x:v>5002577975</x:v>
      </x:c>
      <x:c r="U288" s="45" t="b">
        <x:v>1</x:v>
      </x:c>
      <x:c r="V288" s="34" t="str">
        <x:v>uniform</x:v>
      </x:c>
      <x:c r="W288" s="42" t="n">
        <x:v>95</x:v>
      </x:c>
      <x:c r="X288" s="48" t="n">
        <x:v>0.95</x:v>
      </x:c>
      <x:c r="Y288" s="48" t="n">
        <x:v>0.9484905502831499</x:v>
      </x:c>
      <x:c r="Z288" s="45" t="b">
        <x:v>1</x:v>
      </x:c>
      <x:c r="AA288" s="43" t="n">
        <x:v>10000</x:v>
      </x:c>
      <x:c r="AB288" s="43" t="n">
        <x:v>9900</x:v>
      </x:c>
      <x:c r="AC288" s="43" t="n">
        <x:v>9979</x:v>
      </x:c>
      <x:c r="AD288" s="45" t="b">
        <x:v>1</x:v>
      </x:c>
      <x:c r="AE288" s="43" t="n">
        <x:v>9900</x:v>
      </x:c>
      <x:c r="AF288" s="43"/>
      <x:c r="AG288" s="43" t="n">
        <x:v>9991</x:v>
      </x:c>
      <x:c r="AH288" s="45" t="b">
        <x:v>1</x:v>
      </x:c>
      <x:c r="AI288" s="45" t="b">
        <x:v>1</x:v>
      </x:c>
      <x:c r="AJ288" s="49"/>
      <x:c r="AK288" s="48" t="n">
        <x:v>0.9484905502831499</x:v>
      </x:c>
      <x:c r="AL288" s="49"/>
      <x:c r="AM288" s="49"/>
      <x:c r="AN288" s="36" t="n">
        <x:v>1</x:v>
      </x:c>
      <x:c r="AO288" s="45" t="b">
        <x:v>1</x:v>
      </x:c>
      <x:c r="AP288" s="45" t="b">
        <x:v>1</x:v>
      </x:c>
      <x:c r="AQ288" s="46" t="n">
        <x:f>IF(T288="","",T288/'Readme-Protocol'!$B$24)</x:f>
        <x:v>5.002577975</x:v>
      </x:c>
      <x:c r="AR288" s="46" t="n">
        <x:f>IF(OR(S288="",S288=0),"",T288/S288)</x:f>
        <x:v>1.000515595</x:v>
      </x:c>
      <x:c r="AS288" s="46" t="n">
        <x:f>IF(OR(X288="",Y288=""),"",ABS(Y288-X288)*'Readme-Protocol'!$B$27)</x:f>
        <x:v>0.15094497168500753</x:v>
      </x:c>
      <x:c r="AT288" s="49" t="b">
        <x:f>AND(M288&gt;0,N288&gt;=0,O288&gt;0)</x:f>
        <x:v>1</x:v>
      </x:c>
      <x:c r="AU288" s="49" t="b">
        <x:f>AND(AT288,N288&gt;=M288)</x:f>
        <x:v>1</x:v>
      </x:c>
      <x:c r="AV288" s="49" t="b">
        <x:f>OR(S288=0,T288&gt;=S288)</x:f>
        <x:v>1</x:v>
      </x:c>
      <x:c r="AW288" s="49" t="b">
        <x:f>IF(I288="cache-semantics",OR(V288&lt;&gt;"uniform",ABS(Y288-W288/'Readme-Protocol'!$B$27)&lt;='Readme-Protocol'!$B$28),TRUE)</x:f>
        <x:v>1</x:v>
      </x:c>
      <x:c r="AX288" s="43" t="n">
        <x:f>IF(I288="cache-semantics",INT(AA288*'Readme-Protocol'!$B$32),"")</x:f>
        <x:v>9900</x:v>
      </x:c>
      <x:c r="AY288" s="49" t="b">
        <x:f>IF(I288="cache-semantics",AX288=AB288,TRUE)</x:f>
        <x:v>1</x:v>
      </x:c>
      <x:c r="AZ288" s="49" t="b">
        <x:f>IF(I288="cache-semantics",AX288=AE288,TRUE)</x:f>
        <x:v>1</x:v>
      </x:c>
      <x:c r="BA288" s="49" t="b">
        <x:f>IF(I288="cache-semantics",AC288&gt;=AX288,IF(I288="no-store-control",AC288=0,FALSE))</x:f>
        <x:v>1</x:v>
      </x:c>
      <x:c r="BB288" s="49" t="b">
        <x:f>IF(I288="cache-semantics",AG288&gt;=AX288,IF(I288="no-store-control",AG288=0,FALSE))</x:f>
        <x:v>1</x:v>
      </x:c>
      <x:c r="BC288" s="49" t="b">
        <x:f>AND(BA288,BB288)</x:f>
        <x:v>1</x:v>
      </x:c>
      <x:c r="BD288" s="49" t="b">
        <x:f>IF(I288="no-store-control",AND(AC288=0,AG288=0),TRUE)</x:f>
        <x:v>1</x:v>
      </x:c>
      <x:c r="BE288" s="49" t="b">
        <x:f>IF(I288="no-store-control",AK288=0,TRUE)</x:f>
        <x:v>1</x:v>
      </x:c>
      <x:c r="BF288" s="49" t="b">
        <x:f>IF(I288="cache-semantics",AN288=1,TRUE)</x:f>
        <x:v>1</x:v>
      </x:c>
      <x:c r="BG288" s="49" t="b">
        <x:f>IF(I288="cache-semantics",AND(AU288,AV288,Q288,AW288,BC288,BF288),IF(I288="no-store-control",AND(AU288,AV288,Q288,BD288,BE288),FALSE))</x:f>
        <x:v>1</x:v>
      </x:c>
      <x:c r="BH288" s="49" t="b">
        <x:f>AND(R288,AT288=P288,AU288=L288,AV288=U288,AY288,AZ288,IF(I288="cache-semantics",AND(AW288=Z288,AND(BA288=AD288,BB288=AH288,BC288=AI288),BF288=AO288),IF(I288="no-store-control",AND(AND(BA288=AD288,BB288=AH288,BC288=AI288),BD288=AJ288,BE288=AL288),FALSE)),BG288=AP288)</x:f>
        <x:v>1</x:v>
      </x:c>
      <x:c r="BI288" s="49" t="b">
        <x:f>AND(J288,K288,BG288)</x:f>
        <x:v>1</x:v>
      </x:c>
    </x:row>
    <x:row r="289">
      <x:c r="A289" s="34" t="str">
        <x:v>article1-unified-v4-2-fb3f101b-20260903-000401-default-f05-p5-cache2k</x:v>
      </x:c>
      <x:c r="B289" s="34" t="str">
        <x:v>default</x:v>
      </x:c>
      <x:c r="C289" s="34" t="str">
        <x:v>cache2k</x:v>
      </x:c>
      <x:c r="D289" s="36" t="n">
        <x:v>5</x:v>
      </x:c>
      <x:c r="E289" s="36" t="n">
        <x:v>5</x:v>
      </x:c>
      <x:c r="F289" s="36" t="n">
        <x:v>5</x:v>
      </x:c>
      <x:c r="G289" s="36" t="n">
        <x:v>4</x:v>
      </x:c>
      <x:c r="H289" s="34" t="str">
        <x:v>redeploy</x:v>
      </x:c>
      <x:c r="I289" s="34" t="str">
        <x:v>cache-semantics</x:v>
      </x:c>
      <x:c r="J289" s="45" t="b">
        <x:v>1</x:v>
      </x:c>
      <x:c r="K289" s="45" t="b">
        <x:v>1</x:v>
      </x:c>
      <x:c r="L289" s="45" t="b">
        <x:v>1</x:v>
      </x:c>
      <x:c r="M289" s="43" t="n">
        <x:v>400000</x:v>
      </x:c>
      <x:c r="N289" s="43" t="n">
        <x:v>157116928</x:v>
      </x:c>
      <x:c r="O289" s="43" t="n">
        <x:v>31405867.97842843</x:v>
      </x:c>
      <x:c r="P289" s="45" t="b">
        <x:v>1</x:v>
      </x:c>
      <x:c r="Q289" s="45" t="b">
        <x:v>1</x:v>
      </x:c>
      <x:c r="R289" s="45" t="b">
        <x:v>1</x:v>
      </x:c>
      <x:c r="S289" s="43" t="n">
        <x:v>5000000000</x:v>
      </x:c>
      <x:c r="T289" s="43" t="n">
        <x:v>5002788909</x:v>
      </x:c>
      <x:c r="U289" s="45" t="b">
        <x:v>1</x:v>
      </x:c>
      <x:c r="V289" s="34" t="str">
        <x:v>uniform</x:v>
      </x:c>
      <x:c r="W289" s="42" t="n">
        <x:v>95</x:v>
      </x:c>
      <x:c r="X289" s="48" t="n">
        <x:v>0.95</x:v>
      </x:c>
      <x:c r="Y289" s="48" t="n">
        <x:v>0.9484849907452365</x:v>
      </x:c>
      <x:c r="Z289" s="45" t="b">
        <x:v>1</x:v>
      </x:c>
      <x:c r="AA289" s="43" t="n">
        <x:v>10000</x:v>
      </x:c>
      <x:c r="AB289" s="43" t="n">
        <x:v>9900</x:v>
      </x:c>
      <x:c r="AC289" s="43" t="n">
        <x:v>9979</x:v>
      </x:c>
      <x:c r="AD289" s="45" t="b">
        <x:v>1</x:v>
      </x:c>
      <x:c r="AE289" s="43" t="n">
        <x:v>9900</x:v>
      </x:c>
      <x:c r="AF289" s="43"/>
      <x:c r="AG289" s="43" t="n">
        <x:v>9991</x:v>
      </x:c>
      <x:c r="AH289" s="45" t="b">
        <x:v>1</x:v>
      </x:c>
      <x:c r="AI289" s="45" t="b">
        <x:v>1</x:v>
      </x:c>
      <x:c r="AJ289" s="49"/>
      <x:c r="AK289" s="48" t="n">
        <x:v>0.9484849907452365</x:v>
      </x:c>
      <x:c r="AL289" s="49"/>
      <x:c r="AM289" s="49"/>
      <x:c r="AN289" s="36" t="n">
        <x:v>1</x:v>
      </x:c>
      <x:c r="AO289" s="45" t="b">
        <x:v>1</x:v>
      </x:c>
      <x:c r="AP289" s="45" t="b">
        <x:v>1</x:v>
      </x:c>
      <x:c r="AQ289" s="46" t="n">
        <x:f>IF(T289="","",T289/'Readme-Protocol'!$B$24)</x:f>
        <x:v>5.002788909</x:v>
      </x:c>
      <x:c r="AR289" s="46" t="n">
        <x:f>IF(OR(S289="",S289=0),"",T289/S289)</x:f>
        <x:v>1.0005577818</x:v>
      </x:c>
      <x:c r="AS289" s="46" t="n">
        <x:f>IF(OR(X289="",Y289=""),"",ABS(Y289-X289)*'Readme-Protocol'!$B$27)</x:f>
        <x:v>0.15150092547634442</x:v>
      </x:c>
      <x:c r="AT289" s="49" t="b">
        <x:f>AND(M289&gt;0,N289&gt;=0,O289&gt;0)</x:f>
        <x:v>1</x:v>
      </x:c>
      <x:c r="AU289" s="49" t="b">
        <x:f>AND(AT289,N289&gt;=M289)</x:f>
        <x:v>1</x:v>
      </x:c>
      <x:c r="AV289" s="49" t="b">
        <x:f>OR(S289=0,T289&gt;=S289)</x:f>
        <x:v>1</x:v>
      </x:c>
      <x:c r="AW289" s="49" t="b">
        <x:f>IF(I289="cache-semantics",OR(V289&lt;&gt;"uniform",ABS(Y289-W289/'Readme-Protocol'!$B$27)&lt;='Readme-Protocol'!$B$28),TRUE)</x:f>
        <x:v>1</x:v>
      </x:c>
      <x:c r="AX289" s="43" t="n">
        <x:f>IF(I289="cache-semantics",INT(AA289*'Readme-Protocol'!$B$32),"")</x:f>
        <x:v>9900</x:v>
      </x:c>
      <x:c r="AY289" s="49" t="b">
        <x:f>IF(I289="cache-semantics",AX289=AB289,TRUE)</x:f>
        <x:v>1</x:v>
      </x:c>
      <x:c r="AZ289" s="49" t="b">
        <x:f>IF(I289="cache-semantics",AX289=AE289,TRUE)</x:f>
        <x:v>1</x:v>
      </x:c>
      <x:c r="BA289" s="49" t="b">
        <x:f>IF(I289="cache-semantics",AC289&gt;=AX289,IF(I289="no-store-control",AC289=0,FALSE))</x:f>
        <x:v>1</x:v>
      </x:c>
      <x:c r="BB289" s="49" t="b">
        <x:f>IF(I289="cache-semantics",AG289&gt;=AX289,IF(I289="no-store-control",AG289=0,FALSE))</x:f>
        <x:v>1</x:v>
      </x:c>
      <x:c r="BC289" s="49" t="b">
        <x:f>AND(BA289,BB289)</x:f>
        <x:v>1</x:v>
      </x:c>
      <x:c r="BD289" s="49" t="b">
        <x:f>IF(I289="no-store-control",AND(AC289=0,AG289=0),TRUE)</x:f>
        <x:v>1</x:v>
      </x:c>
      <x:c r="BE289" s="49" t="b">
        <x:f>IF(I289="no-store-control",AK289=0,TRUE)</x:f>
        <x:v>1</x:v>
      </x:c>
      <x:c r="BF289" s="49" t="b">
        <x:f>IF(I289="cache-semantics",AN289=1,TRUE)</x:f>
        <x:v>1</x:v>
      </x:c>
      <x:c r="BG289" s="49" t="b">
        <x:f>IF(I289="cache-semantics",AND(AU289,AV289,Q289,AW289,BC289,BF289),IF(I289="no-store-control",AND(AU289,AV289,Q289,BD289,BE289),FALSE))</x:f>
        <x:v>1</x:v>
      </x:c>
      <x:c r="BH289" s="49" t="b">
        <x:f>AND(R289,AT289=P289,AU289=L289,AV289=U289,AY289,AZ289,IF(I289="cache-semantics",AND(AW289=Z289,AND(BA289=AD289,BB289=AH289,BC289=AI289),BF289=AO289),IF(I289="no-store-control",AND(AND(BA289=AD289,BB289=AH289,BC289=AI289),BD289=AJ289,BE289=AL289),FALSE)),BG289=AP289)</x:f>
        <x:v>1</x:v>
      </x:c>
      <x:c r="BI289" s="49" t="b">
        <x:f>AND(J289,K289,BG289)</x:f>
        <x:v>1</x:v>
      </x:c>
    </x:row>
    <x:row r="290">
      <x:c r="A290" s="34" t="str">
        <x:v>article1-unified-v4-2-fb3f101b-20260903-000401-default-f05-p5-cache2k</x:v>
      </x:c>
      <x:c r="B290" s="34" t="str">
        <x:v>default</x:v>
      </x:c>
      <x:c r="C290" s="34" t="str">
        <x:v>cache2k</x:v>
      </x:c>
      <x:c r="D290" s="36" t="n">
        <x:v>5</x:v>
      </x:c>
      <x:c r="E290" s="36" t="n">
        <x:v>5</x:v>
      </x:c>
      <x:c r="F290" s="36" t="n">
        <x:v>5</x:v>
      </x:c>
      <x:c r="G290" s="36" t="n">
        <x:v>5</x:v>
      </x:c>
      <x:c r="H290" s="34" t="str">
        <x:v>initial</x:v>
      </x:c>
      <x:c r="I290" s="34" t="str">
        <x:v>cache-semantics</x:v>
      </x:c>
      <x:c r="J290" s="45" t="b">
        <x:v>1</x:v>
      </x:c>
      <x:c r="K290" s="45" t="b">
        <x:v>1</x:v>
      </x:c>
      <x:c r="L290" s="45" t="b">
        <x:v>1</x:v>
      </x:c>
      <x:c r="M290" s="43" t="n">
        <x:v>400000</x:v>
      </x:c>
      <x:c r="N290" s="43" t="n">
        <x:v>157204736</x:v>
      </x:c>
      <x:c r="O290" s="43" t="n">
        <x:v>31425757.59149391</x:v>
      </x:c>
      <x:c r="P290" s="45" t="b">
        <x:v>1</x:v>
      </x:c>
      <x:c r="Q290" s="45" t="b">
        <x:v>1</x:v>
      </x:c>
      <x:c r="R290" s="45" t="b">
        <x:v>1</x:v>
      </x:c>
      <x:c r="S290" s="43" t="n">
        <x:v>5000000000</x:v>
      </x:c>
      <x:c r="T290" s="43" t="n">
        <x:v>5002416745</x:v>
      </x:c>
      <x:c r="U290" s="45" t="b">
        <x:v>1</x:v>
      </x:c>
      <x:c r="V290" s="34" t="str">
        <x:v>uniform</x:v>
      </x:c>
      <x:c r="W290" s="42" t="n">
        <x:v>95</x:v>
      </x:c>
      <x:c r="X290" s="48" t="n">
        <x:v>0.95</x:v>
      </x:c>
      <x:c r="Y290" s="48" t="n">
        <x:v>0.9487109090657422</x:v>
      </x:c>
      <x:c r="Z290" s="45" t="b">
        <x:v>1</x:v>
      </x:c>
      <x:c r="AA290" s="43" t="n">
        <x:v>10000</x:v>
      </x:c>
      <x:c r="AB290" s="43" t="n">
        <x:v>9900</x:v>
      </x:c>
      <x:c r="AC290" s="43" t="n">
        <x:v>9979</x:v>
      </x:c>
      <x:c r="AD290" s="45" t="b">
        <x:v>1</x:v>
      </x:c>
      <x:c r="AE290" s="43" t="n">
        <x:v>9900</x:v>
      </x:c>
      <x:c r="AF290" s="43"/>
      <x:c r="AG290" s="43" t="n">
        <x:v>9991</x:v>
      </x:c>
      <x:c r="AH290" s="45" t="b">
        <x:v>1</x:v>
      </x:c>
      <x:c r="AI290" s="45" t="b">
        <x:v>1</x:v>
      </x:c>
      <x:c r="AJ290" s="49"/>
      <x:c r="AK290" s="48" t="n">
        <x:v>0.9487109090657422</x:v>
      </x:c>
      <x:c r="AL290" s="49"/>
      <x:c r="AM290" s="49"/>
      <x:c r="AN290" s="36" t="n">
        <x:v>1</x:v>
      </x:c>
      <x:c r="AO290" s="45" t="b">
        <x:v>1</x:v>
      </x:c>
      <x:c r="AP290" s="45" t="b">
        <x:v>1</x:v>
      </x:c>
      <x:c r="AQ290" s="46" t="n">
        <x:f>IF(T290="","",T290/'Readme-Protocol'!$B$24)</x:f>
        <x:v>5.002416745</x:v>
      </x:c>
      <x:c r="AR290" s="46" t="n">
        <x:f>IF(OR(S290="",S290=0),"",T290/S290)</x:f>
        <x:v>1.000483349</x:v>
      </x:c>
      <x:c r="AS290" s="46" t="n">
        <x:f>IF(OR(X290="",Y290=""),"",ABS(Y290-X290)*'Readme-Protocol'!$B$27)</x:f>
        <x:v>0.1289090934257775</x:v>
      </x:c>
      <x:c r="AT290" s="49" t="b">
        <x:f>AND(M290&gt;0,N290&gt;=0,O290&gt;0)</x:f>
        <x:v>1</x:v>
      </x:c>
      <x:c r="AU290" s="49" t="b">
        <x:f>AND(AT290,N290&gt;=M290)</x:f>
        <x:v>1</x:v>
      </x:c>
      <x:c r="AV290" s="49" t="b">
        <x:f>OR(S290=0,T290&gt;=S290)</x:f>
        <x:v>1</x:v>
      </x:c>
      <x:c r="AW290" s="49" t="b">
        <x:f>IF(I290="cache-semantics",OR(V290&lt;&gt;"uniform",ABS(Y290-W290/'Readme-Protocol'!$B$27)&lt;='Readme-Protocol'!$B$28),TRUE)</x:f>
        <x:v>1</x:v>
      </x:c>
      <x:c r="AX290" s="43" t="n">
        <x:f>IF(I290="cache-semantics",INT(AA290*'Readme-Protocol'!$B$32),"")</x:f>
        <x:v>9900</x:v>
      </x:c>
      <x:c r="AY290" s="49" t="b">
        <x:f>IF(I290="cache-semantics",AX290=AB290,TRUE)</x:f>
        <x:v>1</x:v>
      </x:c>
      <x:c r="AZ290" s="49" t="b">
        <x:f>IF(I290="cache-semantics",AX290=AE290,TRUE)</x:f>
        <x:v>1</x:v>
      </x:c>
      <x:c r="BA290" s="49" t="b">
        <x:f>IF(I290="cache-semantics",AC290&gt;=AX290,IF(I290="no-store-control",AC290=0,FALSE))</x:f>
        <x:v>1</x:v>
      </x:c>
      <x:c r="BB290" s="49" t="b">
        <x:f>IF(I290="cache-semantics",AG290&gt;=AX290,IF(I290="no-store-control",AG290=0,FALSE))</x:f>
        <x:v>1</x:v>
      </x:c>
      <x:c r="BC290" s="49" t="b">
        <x:f>AND(BA290,BB290)</x:f>
        <x:v>1</x:v>
      </x:c>
      <x:c r="BD290" s="49" t="b">
        <x:f>IF(I290="no-store-control",AND(AC290=0,AG290=0),TRUE)</x:f>
        <x:v>1</x:v>
      </x:c>
      <x:c r="BE290" s="49" t="b">
        <x:f>IF(I290="no-store-control",AK290=0,TRUE)</x:f>
        <x:v>1</x:v>
      </x:c>
      <x:c r="BF290" s="49" t="b">
        <x:f>IF(I290="cache-semantics",AN290=1,TRUE)</x:f>
        <x:v>1</x:v>
      </x:c>
      <x:c r="BG290" s="49" t="b">
        <x:f>IF(I290="cache-semantics",AND(AU290,AV290,Q290,AW290,BC290,BF290),IF(I290="no-store-control",AND(AU290,AV290,Q290,BD290,BE290),FALSE))</x:f>
        <x:v>1</x:v>
      </x:c>
      <x:c r="BH290" s="49" t="b">
        <x:f>AND(R290,AT290=P290,AU290=L290,AV290=U290,AY290,AZ290,IF(I290="cache-semantics",AND(AW290=Z290,AND(BA290=AD290,BB290=AH290,BC290=AI290),BF290=AO290),IF(I290="no-store-control",AND(AND(BA290=AD290,BB290=AH290,BC290=AI290),BD290=AJ290,BE290=AL290),FALSE)),BG290=AP290)</x:f>
        <x:v>1</x:v>
      </x:c>
      <x:c r="BI290" s="49" t="b">
        <x:f>AND(J290,K290,BG290)</x:f>
        <x:v>1</x:v>
      </x:c>
    </x:row>
    <x:row r="291">
      <x:c r="A291" s="34" t="str">
        <x:v>article1-unified-v4-2-fb3f101b-20260903-000401-default-f05-p5-cache2k</x:v>
      </x:c>
      <x:c r="B291" s="34" t="str">
        <x:v>default</x:v>
      </x:c>
      <x:c r="C291" s="34" t="str">
        <x:v>cache2k</x:v>
      </x:c>
      <x:c r="D291" s="36" t="n">
        <x:v>5</x:v>
      </x:c>
      <x:c r="E291" s="36" t="n">
        <x:v>5</x:v>
      </x:c>
      <x:c r="F291" s="36" t="n">
        <x:v>5</x:v>
      </x:c>
      <x:c r="G291" s="36" t="n">
        <x:v>5</x:v>
      </x:c>
      <x:c r="H291" s="34" t="str">
        <x:v>redeploy</x:v>
      </x:c>
      <x:c r="I291" s="34" t="str">
        <x:v>cache-semantics</x:v>
      </x:c>
      <x:c r="J291" s="45" t="b">
        <x:v>1</x:v>
      </x:c>
      <x:c r="K291" s="45" t="b">
        <x:v>1</x:v>
      </x:c>
      <x:c r="L291" s="45" t="b">
        <x:v>1</x:v>
      </x:c>
      <x:c r="M291" s="43" t="n">
        <x:v>400000</x:v>
      </x:c>
      <x:c r="N291" s="43" t="n">
        <x:v>158102272</x:v>
      </x:c>
      <x:c r="O291" s="43" t="n">
        <x:v>31284244.365211062</x:v>
      </x:c>
      <x:c r="P291" s="45" t="b">
        <x:v>1</x:v>
      </x:c>
      <x:c r="Q291" s="45" t="b">
        <x:v>1</x:v>
      </x:c>
      <x:c r="R291" s="45" t="b">
        <x:v>1</x:v>
      </x:c>
      <x:c r="S291" s="43" t="n">
        <x:v>5000000000</x:v>
      </x:c>
      <x:c r="T291" s="43" t="n">
        <x:v>5053734722</x:v>
      </x:c>
      <x:c r="U291" s="45" t="b">
        <x:v>1</x:v>
      </x:c>
      <x:c r="V291" s="34" t="str">
        <x:v>uniform</x:v>
      </x:c>
      <x:c r="W291" s="42" t="n">
        <x:v>95</x:v>
      </x:c>
      <x:c r="X291" s="48" t="n">
        <x:v>0.95</x:v>
      </x:c>
      <x:c r="Y291" s="48" t="n">
        <x:v>0.9487035202125369</x:v>
      </x:c>
      <x:c r="Z291" s="45" t="b">
        <x:v>1</x:v>
      </x:c>
      <x:c r="AA291" s="43" t="n">
        <x:v>10000</x:v>
      </x:c>
      <x:c r="AB291" s="43" t="n">
        <x:v>9900</x:v>
      </x:c>
      <x:c r="AC291" s="43" t="n">
        <x:v>9979</x:v>
      </x:c>
      <x:c r="AD291" s="45" t="b">
        <x:v>1</x:v>
      </x:c>
      <x:c r="AE291" s="43" t="n">
        <x:v>9900</x:v>
      </x:c>
      <x:c r="AF291" s="43"/>
      <x:c r="AG291" s="43" t="n">
        <x:v>9993</x:v>
      </x:c>
      <x:c r="AH291" s="45" t="b">
        <x:v>1</x:v>
      </x:c>
      <x:c r="AI291" s="45" t="b">
        <x:v>1</x:v>
      </x:c>
      <x:c r="AJ291" s="49"/>
      <x:c r="AK291" s="48" t="n">
        <x:v>0.9487035202125369</x:v>
      </x:c>
      <x:c r="AL291" s="49"/>
      <x:c r="AM291" s="49"/>
      <x:c r="AN291" s="36" t="n">
        <x:v>1</x:v>
      </x:c>
      <x:c r="AO291" s="45" t="b">
        <x:v>1</x:v>
      </x:c>
      <x:c r="AP291" s="45" t="b">
        <x:v>1</x:v>
      </x:c>
      <x:c r="AQ291" s="46" t="n">
        <x:f>IF(T291="","",T291/'Readme-Protocol'!$B$24)</x:f>
        <x:v>5.053734722</x:v>
      </x:c>
      <x:c r="AR291" s="46" t="n">
        <x:f>IF(OR(S291="",S291=0),"",T291/S291)</x:f>
        <x:v>1.0107469444</x:v>
      </x:c>
      <x:c r="AS291" s="46" t="n">
        <x:f>IF(OR(X291="",Y291=""),"",ABS(Y291-X291)*'Readme-Protocol'!$B$27)</x:f>
        <x:v>0.12964797874630563</x:v>
      </x:c>
      <x:c r="AT291" s="49" t="b">
        <x:f>AND(M291&gt;0,N291&gt;=0,O291&gt;0)</x:f>
        <x:v>1</x:v>
      </x:c>
      <x:c r="AU291" s="49" t="b">
        <x:f>AND(AT291,N291&gt;=M291)</x:f>
        <x:v>1</x:v>
      </x:c>
      <x:c r="AV291" s="49" t="b">
        <x:f>OR(S291=0,T291&gt;=S291)</x:f>
        <x:v>1</x:v>
      </x:c>
      <x:c r="AW291" s="49" t="b">
        <x:f>IF(I291="cache-semantics",OR(V291&lt;&gt;"uniform",ABS(Y291-W291/'Readme-Protocol'!$B$27)&lt;='Readme-Protocol'!$B$28),TRUE)</x:f>
        <x:v>1</x:v>
      </x:c>
      <x:c r="AX291" s="43" t="n">
        <x:f>IF(I291="cache-semantics",INT(AA291*'Readme-Protocol'!$B$32),"")</x:f>
        <x:v>9900</x:v>
      </x:c>
      <x:c r="AY291" s="49" t="b">
        <x:f>IF(I291="cache-semantics",AX291=AB291,TRUE)</x:f>
        <x:v>1</x:v>
      </x:c>
      <x:c r="AZ291" s="49" t="b">
        <x:f>IF(I291="cache-semantics",AX291=AE291,TRUE)</x:f>
        <x:v>1</x:v>
      </x:c>
      <x:c r="BA291" s="49" t="b">
        <x:f>IF(I291="cache-semantics",AC291&gt;=AX291,IF(I291="no-store-control",AC291=0,FALSE))</x:f>
        <x:v>1</x:v>
      </x:c>
      <x:c r="BB291" s="49" t="b">
        <x:f>IF(I291="cache-semantics",AG291&gt;=AX291,IF(I291="no-store-control",AG291=0,FALSE))</x:f>
        <x:v>1</x:v>
      </x:c>
      <x:c r="BC291" s="49" t="b">
        <x:f>AND(BA291,BB291)</x:f>
        <x:v>1</x:v>
      </x:c>
      <x:c r="BD291" s="49" t="b">
        <x:f>IF(I291="no-store-control",AND(AC291=0,AG291=0),TRUE)</x:f>
        <x:v>1</x:v>
      </x:c>
      <x:c r="BE291" s="49" t="b">
        <x:f>IF(I291="no-store-control",AK291=0,TRUE)</x:f>
        <x:v>1</x:v>
      </x:c>
      <x:c r="BF291" s="49" t="b">
        <x:f>IF(I291="cache-semantics",AN291=1,TRUE)</x:f>
        <x:v>1</x:v>
      </x:c>
      <x:c r="BG291" s="49" t="b">
        <x:f>IF(I291="cache-semantics",AND(AU291,AV291,Q291,AW291,BC291,BF291),IF(I291="no-store-control",AND(AU291,AV291,Q291,BD291,BE291),FALSE))</x:f>
        <x:v>1</x:v>
      </x:c>
      <x:c r="BH291" s="49" t="b">
        <x:f>AND(R291,AT291=P291,AU291=L291,AV291=U291,AY291,AZ291,IF(I291="cache-semantics",AND(AW291=Z291,AND(BA291=AD291,BB291=AH291,BC291=AI291),BF291=AO291),IF(I291="no-store-control",AND(AND(BA291=AD291,BB291=AH291,BC291=AI291),BD291=AJ291,BE291=AL291),FALSE)),BG291=AP291)</x:f>
        <x:v>1</x:v>
      </x:c>
      <x:c r="BI291" s="49" t="b">
        <x:f>AND(J291,K291,BG291)</x:f>
        <x:v>1</x:v>
      </x:c>
    </x:row>
    <x:row r="292">
      <x:c r="A292" s="34" t="str">
        <x:v>article1-unified-v4-2-fb3f101b-20260903-000401-default-f05-p6-ehcache</x:v>
      </x:c>
      <x:c r="B292" s="34" t="str">
        <x:v>default</x:v>
      </x:c>
      <x:c r="C292" s="34" t="str">
        <x:v>ehcache</x:v>
      </x:c>
      <x:c r="D292" s="36" t="n">
        <x:v>5</x:v>
      </x:c>
      <x:c r="E292" s="36" t="n">
        <x:v>5</x:v>
      </x:c>
      <x:c r="F292" s="36" t="n">
        <x:v>6</x:v>
      </x:c>
      <x:c r="G292" s="36" t="n">
        <x:v>1</x:v>
      </x:c>
      <x:c r="H292" s="34" t="str">
        <x:v>initial</x:v>
      </x:c>
      <x:c r="I292" s="34" t="str">
        <x:v>cache-semantics</x:v>
      </x:c>
      <x:c r="J292" s="45" t="b">
        <x:v>1</x:v>
      </x:c>
      <x:c r="K292" s="45" t="b">
        <x:v>1</x:v>
      </x:c>
      <x:c r="L292" s="45" t="b">
        <x:v>1</x:v>
      </x:c>
      <x:c r="M292" s="43" t="n">
        <x:v>400000</x:v>
      </x:c>
      <x:c r="N292" s="43" t="n">
        <x:v>122371584</x:v>
      </x:c>
      <x:c r="O292" s="43" t="n">
        <x:v>24461862.375452865</x:v>
      </x:c>
      <x:c r="P292" s="45" t="b">
        <x:v>1</x:v>
      </x:c>
      <x:c r="Q292" s="45" t="b">
        <x:v>1</x:v>
      </x:c>
      <x:c r="R292" s="45" t="b">
        <x:v>1</x:v>
      </x:c>
      <x:c r="S292" s="43" t="n">
        <x:v>5000000000</x:v>
      </x:c>
      <x:c r="T292" s="43" t="n">
        <x:v>5002545682</x:v>
      </x:c>
      <x:c r="U292" s="45" t="b">
        <x:v>1</x:v>
      </x:c>
      <x:c r="V292" s="34" t="str">
        <x:v>uniform</x:v>
      </x:c>
      <x:c r="W292" s="42" t="n">
        <x:v>95</x:v>
      </x:c>
      <x:c r="X292" s="48" t="n">
        <x:v>0.95</x:v>
      </x:c>
      <x:c r="Y292" s="48" t="n">
        <x:v>0.9503128765580088</x:v>
      </x:c>
      <x:c r="Z292" s="45" t="b">
        <x:v>1</x:v>
      </x:c>
      <x:c r="AA292" s="43" t="n">
        <x:v>10000</x:v>
      </x:c>
      <x:c r="AB292" s="43" t="n">
        <x:v>9900</x:v>
      </x:c>
      <x:c r="AC292" s="43" t="n">
        <x:v>10000</x:v>
      </x:c>
      <x:c r="AD292" s="45" t="b">
        <x:v>1</x:v>
      </x:c>
      <x:c r="AE292" s="43" t="n">
        <x:v>9900</x:v>
      </x:c>
      <x:c r="AF292" s="43"/>
      <x:c r="AG292" s="43" t="n">
        <x:v>10000</x:v>
      </x:c>
      <x:c r="AH292" s="45" t="b">
        <x:v>1</x:v>
      </x:c>
      <x:c r="AI292" s="45" t="b">
        <x:v>1</x:v>
      </x:c>
      <x:c r="AJ292" s="49"/>
      <x:c r="AK292" s="48" t="n">
        <x:v>0.9503128765580088</x:v>
      </x:c>
      <x:c r="AL292" s="49"/>
      <x:c r="AM292" s="49"/>
      <x:c r="AN292" s="36" t="n">
        <x:v>1</x:v>
      </x:c>
      <x:c r="AO292" s="45" t="b">
        <x:v>1</x:v>
      </x:c>
      <x:c r="AP292" s="45" t="b">
        <x:v>1</x:v>
      </x:c>
      <x:c r="AQ292" s="46" t="n">
        <x:f>IF(T292="","",T292/'Readme-Protocol'!$B$24)</x:f>
        <x:v>5.002545682</x:v>
      </x:c>
      <x:c r="AR292" s="46" t="n">
        <x:f>IF(OR(S292="",S292=0),"",T292/S292)</x:f>
        <x:v>1.0005091364</x:v>
      </x:c>
      <x:c r="AS292" s="46" t="n">
        <x:f>IF(OR(X292="",Y292=""),"",ABS(Y292-X292)*'Readme-Protocol'!$B$27)</x:f>
        <x:v>0.03128765580088233</x:v>
      </x:c>
      <x:c r="AT292" s="49" t="b">
        <x:f>AND(M292&gt;0,N292&gt;=0,O292&gt;0)</x:f>
        <x:v>1</x:v>
      </x:c>
      <x:c r="AU292" s="49" t="b">
        <x:f>AND(AT292,N292&gt;=M292)</x:f>
        <x:v>1</x:v>
      </x:c>
      <x:c r="AV292" s="49" t="b">
        <x:f>OR(S292=0,T292&gt;=S292)</x:f>
        <x:v>1</x:v>
      </x:c>
      <x:c r="AW292" s="49" t="b">
        <x:f>IF(I292="cache-semantics",OR(V292&lt;&gt;"uniform",ABS(Y292-W292/'Readme-Protocol'!$B$27)&lt;='Readme-Protocol'!$B$28),TRUE)</x:f>
        <x:v>1</x:v>
      </x:c>
      <x:c r="AX292" s="43" t="n">
        <x:f>IF(I292="cache-semantics",INT(AA292*'Readme-Protocol'!$B$32),"")</x:f>
        <x:v>9900</x:v>
      </x:c>
      <x:c r="AY292" s="49" t="b">
        <x:f>IF(I292="cache-semantics",AX292=AB292,TRUE)</x:f>
        <x:v>1</x:v>
      </x:c>
      <x:c r="AZ292" s="49" t="b">
        <x:f>IF(I292="cache-semantics",AX292=AE292,TRUE)</x:f>
        <x:v>1</x:v>
      </x:c>
      <x:c r="BA292" s="49" t="b">
        <x:f>IF(I292="cache-semantics",AC292&gt;=AX292,IF(I292="no-store-control",AC292=0,FALSE))</x:f>
        <x:v>1</x:v>
      </x:c>
      <x:c r="BB292" s="49" t="b">
        <x:f>IF(I292="cache-semantics",AG292&gt;=AX292,IF(I292="no-store-control",AG292=0,FALSE))</x:f>
        <x:v>1</x:v>
      </x:c>
      <x:c r="BC292" s="49" t="b">
        <x:f>AND(BA292,BB292)</x:f>
        <x:v>1</x:v>
      </x:c>
      <x:c r="BD292" s="49" t="b">
        <x:f>IF(I292="no-store-control",AND(AC292=0,AG292=0),TRUE)</x:f>
        <x:v>1</x:v>
      </x:c>
      <x:c r="BE292" s="49" t="b">
        <x:f>IF(I292="no-store-control",AK292=0,TRUE)</x:f>
        <x:v>1</x:v>
      </x:c>
      <x:c r="BF292" s="49" t="b">
        <x:f>IF(I292="cache-semantics",AN292=1,TRUE)</x:f>
        <x:v>1</x:v>
      </x:c>
      <x:c r="BG292" s="49" t="b">
        <x:f>IF(I292="cache-semantics",AND(AU292,AV292,Q292,AW292,BC292,BF292),IF(I292="no-store-control",AND(AU292,AV292,Q292,BD292,BE292),FALSE))</x:f>
        <x:v>1</x:v>
      </x:c>
      <x:c r="BH292" s="49" t="b">
        <x:f>AND(R292,AT292=P292,AU292=L292,AV292=U292,AY292,AZ292,IF(I292="cache-semantics",AND(AW292=Z292,AND(BA292=AD292,BB292=AH292,BC292=AI292),BF292=AO292),IF(I292="no-store-control",AND(AND(BA292=AD292,BB292=AH292,BC292=AI292),BD292=AJ292,BE292=AL292),FALSE)),BG292=AP292)</x:f>
        <x:v>1</x:v>
      </x:c>
      <x:c r="BI292" s="49" t="b">
        <x:f>AND(J292,K292,BG292)</x:f>
        <x:v>1</x:v>
      </x:c>
    </x:row>
    <x:row r="293">
      <x:c r="A293" s="34" t="str">
        <x:v>article1-unified-v4-2-fb3f101b-20260903-000401-default-f05-p6-ehcache</x:v>
      </x:c>
      <x:c r="B293" s="34" t="str">
        <x:v>default</x:v>
      </x:c>
      <x:c r="C293" s="34" t="str">
        <x:v>ehcache</x:v>
      </x:c>
      <x:c r="D293" s="36" t="n">
        <x:v>5</x:v>
      </x:c>
      <x:c r="E293" s="36" t="n">
        <x:v>5</x:v>
      </x:c>
      <x:c r="F293" s="36" t="n">
        <x:v>6</x:v>
      </x:c>
      <x:c r="G293" s="36" t="n">
        <x:v>1</x:v>
      </x:c>
      <x:c r="H293" s="34" t="str">
        <x:v>redeploy</x:v>
      </x:c>
      <x:c r="I293" s="34" t="str">
        <x:v>cache-semantics</x:v>
      </x:c>
      <x:c r="J293" s="45" t="b">
        <x:v>1</x:v>
      </x:c>
      <x:c r="K293" s="45" t="b">
        <x:v>1</x:v>
      </x:c>
      <x:c r="L293" s="45" t="b">
        <x:v>1</x:v>
      </x:c>
      <x:c r="M293" s="43" t="n">
        <x:v>400000</x:v>
      </x:c>
      <x:c r="N293" s="43" t="n">
        <x:v>134179584</x:v>
      </x:c>
      <x:c r="O293" s="43" t="n">
        <x:v>26815501.809870623</x:v>
      </x:c>
      <x:c r="P293" s="45" t="b">
        <x:v>1</x:v>
      </x:c>
      <x:c r="Q293" s="45" t="b">
        <x:v>1</x:v>
      </x:c>
      <x:c r="R293" s="45" t="b">
        <x:v>1</x:v>
      </x:c>
      <x:c r="S293" s="43" t="n">
        <x:v>5000000000</x:v>
      </x:c>
      <x:c r="T293" s="43" t="n">
        <x:v>5003806565</x:v>
      </x:c>
      <x:c r="U293" s="45" t="b">
        <x:v>1</x:v>
      </x:c>
      <x:c r="V293" s="34" t="str">
        <x:v>uniform</x:v>
      </x:c>
      <x:c r="W293" s="42" t="n">
        <x:v>95</x:v>
      </x:c>
      <x:c r="X293" s="48" t="n">
        <x:v>0.95</x:v>
      </x:c>
      <x:c r="Y293" s="48" t="n">
        <x:v>0.9503263477102448</x:v>
      </x:c>
      <x:c r="Z293" s="45" t="b">
        <x:v>1</x:v>
      </x:c>
      <x:c r="AA293" s="43" t="n">
        <x:v>10000</x:v>
      </x:c>
      <x:c r="AB293" s="43" t="n">
        <x:v>9900</x:v>
      </x:c>
      <x:c r="AC293" s="43" t="n">
        <x:v>10000</x:v>
      </x:c>
      <x:c r="AD293" s="45" t="b">
        <x:v>1</x:v>
      </x:c>
      <x:c r="AE293" s="43" t="n">
        <x:v>9900</x:v>
      </x:c>
      <x:c r="AF293" s="43"/>
      <x:c r="AG293" s="43" t="n">
        <x:v>10000</x:v>
      </x:c>
      <x:c r="AH293" s="45" t="b">
        <x:v>1</x:v>
      </x:c>
      <x:c r="AI293" s="45" t="b">
        <x:v>1</x:v>
      </x:c>
      <x:c r="AJ293" s="49"/>
      <x:c r="AK293" s="48" t="n">
        <x:v>0.9503263477102448</x:v>
      </x:c>
      <x:c r="AL293" s="49"/>
      <x:c r="AM293" s="49"/>
      <x:c r="AN293" s="36" t="n">
        <x:v>1</x:v>
      </x:c>
      <x:c r="AO293" s="45" t="b">
        <x:v>1</x:v>
      </x:c>
      <x:c r="AP293" s="45" t="b">
        <x:v>1</x:v>
      </x:c>
      <x:c r="AQ293" s="46" t="n">
        <x:f>IF(T293="","",T293/'Readme-Protocol'!$B$24)</x:f>
        <x:v>5.003806565</x:v>
      </x:c>
      <x:c r="AR293" s="46" t="n">
        <x:f>IF(OR(S293="",S293=0),"",T293/S293)</x:f>
        <x:v>1.000761313</x:v>
      </x:c>
      <x:c r="AS293" s="46" t="n">
        <x:f>IF(OR(X293="",Y293=""),"",ABS(Y293-X293)*'Readme-Protocol'!$B$27)</x:f>
        <x:v>0.03263477102448675</x:v>
      </x:c>
      <x:c r="AT293" s="49" t="b">
        <x:f>AND(M293&gt;0,N293&gt;=0,O293&gt;0)</x:f>
        <x:v>1</x:v>
      </x:c>
      <x:c r="AU293" s="49" t="b">
        <x:f>AND(AT293,N293&gt;=M293)</x:f>
        <x:v>1</x:v>
      </x:c>
      <x:c r="AV293" s="49" t="b">
        <x:f>OR(S293=0,T293&gt;=S293)</x:f>
        <x:v>1</x:v>
      </x:c>
      <x:c r="AW293" s="49" t="b">
        <x:f>IF(I293="cache-semantics",OR(V293&lt;&gt;"uniform",ABS(Y293-W293/'Readme-Protocol'!$B$27)&lt;='Readme-Protocol'!$B$28),TRUE)</x:f>
        <x:v>1</x:v>
      </x:c>
      <x:c r="AX293" s="43" t="n">
        <x:f>IF(I293="cache-semantics",INT(AA293*'Readme-Protocol'!$B$32),"")</x:f>
        <x:v>9900</x:v>
      </x:c>
      <x:c r="AY293" s="49" t="b">
        <x:f>IF(I293="cache-semantics",AX293=AB293,TRUE)</x:f>
        <x:v>1</x:v>
      </x:c>
      <x:c r="AZ293" s="49" t="b">
        <x:f>IF(I293="cache-semantics",AX293=AE293,TRUE)</x:f>
        <x:v>1</x:v>
      </x:c>
      <x:c r="BA293" s="49" t="b">
        <x:f>IF(I293="cache-semantics",AC293&gt;=AX293,IF(I293="no-store-control",AC293=0,FALSE))</x:f>
        <x:v>1</x:v>
      </x:c>
      <x:c r="BB293" s="49" t="b">
        <x:f>IF(I293="cache-semantics",AG293&gt;=AX293,IF(I293="no-store-control",AG293=0,FALSE))</x:f>
        <x:v>1</x:v>
      </x:c>
      <x:c r="BC293" s="49" t="b">
        <x:f>AND(BA293,BB293)</x:f>
        <x:v>1</x:v>
      </x:c>
      <x:c r="BD293" s="49" t="b">
        <x:f>IF(I293="no-store-control",AND(AC293=0,AG293=0),TRUE)</x:f>
        <x:v>1</x:v>
      </x:c>
      <x:c r="BE293" s="49" t="b">
        <x:f>IF(I293="no-store-control",AK293=0,TRUE)</x:f>
        <x:v>1</x:v>
      </x:c>
      <x:c r="BF293" s="49" t="b">
        <x:f>IF(I293="cache-semantics",AN293=1,TRUE)</x:f>
        <x:v>1</x:v>
      </x:c>
      <x:c r="BG293" s="49" t="b">
        <x:f>IF(I293="cache-semantics",AND(AU293,AV293,Q293,AW293,BC293,BF293),IF(I293="no-store-control",AND(AU293,AV293,Q293,BD293,BE293),FALSE))</x:f>
        <x:v>1</x:v>
      </x:c>
      <x:c r="BH293" s="49" t="b">
        <x:f>AND(R293,AT293=P293,AU293=L293,AV293=U293,AY293,AZ293,IF(I293="cache-semantics",AND(AW293=Z293,AND(BA293=AD293,BB293=AH293,BC293=AI293),BF293=AO293),IF(I293="no-store-control",AND(AND(BA293=AD293,BB293=AH293,BC293=AI293),BD293=AJ293,BE293=AL293),FALSE)),BG293=AP293)</x:f>
        <x:v>1</x:v>
      </x:c>
      <x:c r="BI293" s="49" t="b">
        <x:f>AND(J293,K293,BG293)</x:f>
        <x:v>1</x:v>
      </x:c>
    </x:row>
    <x:row r="294">
      <x:c r="A294" s="34" t="str">
        <x:v>article1-unified-v4-2-fb3f101b-20260903-000401-default-f05-p6-ehcache</x:v>
      </x:c>
      <x:c r="B294" s="34" t="str">
        <x:v>default</x:v>
      </x:c>
      <x:c r="C294" s="34" t="str">
        <x:v>ehcache</x:v>
      </x:c>
      <x:c r="D294" s="36" t="n">
        <x:v>5</x:v>
      </x:c>
      <x:c r="E294" s="36" t="n">
        <x:v>5</x:v>
      </x:c>
      <x:c r="F294" s="36" t="n">
        <x:v>6</x:v>
      </x:c>
      <x:c r="G294" s="36" t="n">
        <x:v>2</x:v>
      </x:c>
      <x:c r="H294" s="34" t="str">
        <x:v>initial</x:v>
      </x:c>
      <x:c r="I294" s="34" t="str">
        <x:v>cache-semantics</x:v>
      </x:c>
      <x:c r="J294" s="45" t="b">
        <x:v>1</x:v>
      </x:c>
      <x:c r="K294" s="45" t="b">
        <x:v>1</x:v>
      </x:c>
      <x:c r="L294" s="45" t="b">
        <x:v>1</x:v>
      </x:c>
      <x:c r="M294" s="43" t="n">
        <x:v>400000</x:v>
      </x:c>
      <x:c r="N294" s="43" t="n">
        <x:v>126231040</x:v>
      </x:c>
      <x:c r="O294" s="43" t="n">
        <x:v>25235587.305302635</x:v>
      </x:c>
      <x:c r="P294" s="45" t="b">
        <x:v>1</x:v>
      </x:c>
      <x:c r="Q294" s="45" t="b">
        <x:v>1</x:v>
      </x:c>
      <x:c r="R294" s="45" t="b">
        <x:v>1</x:v>
      </x:c>
      <x:c r="S294" s="43" t="n">
        <x:v>5000000000</x:v>
      </x:c>
      <x:c r="T294" s="43" t="n">
        <x:v>5002104309</x:v>
      </x:c>
      <x:c r="U294" s="45" t="b">
        <x:v>1</x:v>
      </x:c>
      <x:c r="V294" s="34" t="str">
        <x:v>uniform</x:v>
      </x:c>
      <x:c r="W294" s="42" t="n">
        <x:v>95</x:v>
      </x:c>
      <x:c r="X294" s="48" t="n">
        <x:v>0.95</x:v>
      </x:c>
      <x:c r="Y294" s="48" t="n">
        <x:v>0.9504055024817984</x:v>
      </x:c>
      <x:c r="Z294" s="45" t="b">
        <x:v>1</x:v>
      </x:c>
      <x:c r="AA294" s="43" t="n">
        <x:v>10000</x:v>
      </x:c>
      <x:c r="AB294" s="43" t="n">
        <x:v>9900</x:v>
      </x:c>
      <x:c r="AC294" s="43" t="n">
        <x:v>10000</x:v>
      </x:c>
      <x:c r="AD294" s="45" t="b">
        <x:v>1</x:v>
      </x:c>
      <x:c r="AE294" s="43" t="n">
        <x:v>9900</x:v>
      </x:c>
      <x:c r="AF294" s="43"/>
      <x:c r="AG294" s="43" t="n">
        <x:v>10000</x:v>
      </x:c>
      <x:c r="AH294" s="45" t="b">
        <x:v>1</x:v>
      </x:c>
      <x:c r="AI294" s="45" t="b">
        <x:v>1</x:v>
      </x:c>
      <x:c r="AJ294" s="49"/>
      <x:c r="AK294" s="48" t="n">
        <x:v>0.9504055024817984</x:v>
      </x:c>
      <x:c r="AL294" s="49"/>
      <x:c r="AM294" s="49"/>
      <x:c r="AN294" s="36" t="n">
        <x:v>1</x:v>
      </x:c>
      <x:c r="AO294" s="45" t="b">
        <x:v>1</x:v>
      </x:c>
      <x:c r="AP294" s="45" t="b">
        <x:v>1</x:v>
      </x:c>
      <x:c r="AQ294" s="46" t="n">
        <x:f>IF(T294="","",T294/'Readme-Protocol'!$B$24)</x:f>
        <x:v>5.002104309</x:v>
      </x:c>
      <x:c r="AR294" s="46" t="n">
        <x:f>IF(OR(S294="",S294=0),"",T294/S294)</x:f>
        <x:v>1.0004208618</x:v>
      </x:c>
      <x:c r="AS294" s="46" t="n">
        <x:f>IF(OR(X294="",Y294=""),"",ABS(Y294-X294)*'Readme-Protocol'!$B$27)</x:f>
        <x:v>0.0405502481798492</x:v>
      </x:c>
      <x:c r="AT294" s="49" t="b">
        <x:f>AND(M294&gt;0,N294&gt;=0,O294&gt;0)</x:f>
        <x:v>1</x:v>
      </x:c>
      <x:c r="AU294" s="49" t="b">
        <x:f>AND(AT294,N294&gt;=M294)</x:f>
        <x:v>1</x:v>
      </x:c>
      <x:c r="AV294" s="49" t="b">
        <x:f>OR(S294=0,T294&gt;=S294)</x:f>
        <x:v>1</x:v>
      </x:c>
      <x:c r="AW294" s="49" t="b">
        <x:f>IF(I294="cache-semantics",OR(V294&lt;&gt;"uniform",ABS(Y294-W294/'Readme-Protocol'!$B$27)&lt;='Readme-Protocol'!$B$28),TRUE)</x:f>
        <x:v>1</x:v>
      </x:c>
      <x:c r="AX294" s="43" t="n">
        <x:f>IF(I294="cache-semantics",INT(AA294*'Readme-Protocol'!$B$32),"")</x:f>
        <x:v>9900</x:v>
      </x:c>
      <x:c r="AY294" s="49" t="b">
        <x:f>IF(I294="cache-semantics",AX294=AB294,TRUE)</x:f>
        <x:v>1</x:v>
      </x:c>
      <x:c r="AZ294" s="49" t="b">
        <x:f>IF(I294="cache-semantics",AX294=AE294,TRUE)</x:f>
        <x:v>1</x:v>
      </x:c>
      <x:c r="BA294" s="49" t="b">
        <x:f>IF(I294="cache-semantics",AC294&gt;=AX294,IF(I294="no-store-control",AC294=0,FALSE))</x:f>
        <x:v>1</x:v>
      </x:c>
      <x:c r="BB294" s="49" t="b">
        <x:f>IF(I294="cache-semantics",AG294&gt;=AX294,IF(I294="no-store-control",AG294=0,FALSE))</x:f>
        <x:v>1</x:v>
      </x:c>
      <x:c r="BC294" s="49" t="b">
        <x:f>AND(BA294,BB294)</x:f>
        <x:v>1</x:v>
      </x:c>
      <x:c r="BD294" s="49" t="b">
        <x:f>IF(I294="no-store-control",AND(AC294=0,AG294=0),TRUE)</x:f>
        <x:v>1</x:v>
      </x:c>
      <x:c r="BE294" s="49" t="b">
        <x:f>IF(I294="no-store-control",AK294=0,TRUE)</x:f>
        <x:v>1</x:v>
      </x:c>
      <x:c r="BF294" s="49" t="b">
        <x:f>IF(I294="cache-semantics",AN294=1,TRUE)</x:f>
        <x:v>1</x:v>
      </x:c>
      <x:c r="BG294" s="49" t="b">
        <x:f>IF(I294="cache-semantics",AND(AU294,AV294,Q294,AW294,BC294,BF294),IF(I294="no-store-control",AND(AU294,AV294,Q294,BD294,BE294),FALSE))</x:f>
        <x:v>1</x:v>
      </x:c>
      <x:c r="BH294" s="49" t="b">
        <x:f>AND(R294,AT294=P294,AU294=L294,AV294=U294,AY294,AZ294,IF(I294="cache-semantics",AND(AW294=Z294,AND(BA294=AD294,BB294=AH294,BC294=AI294),BF294=AO294),IF(I294="no-store-control",AND(AND(BA294=AD294,BB294=AH294,BC294=AI294),BD294=AJ294,BE294=AL294),FALSE)),BG294=AP294)</x:f>
        <x:v>1</x:v>
      </x:c>
      <x:c r="BI294" s="49" t="b">
        <x:f>AND(J294,K294,BG294)</x:f>
        <x:v>1</x:v>
      </x:c>
    </x:row>
    <x:row r="295">
      <x:c r="A295" s="34" t="str">
        <x:v>article1-unified-v4-2-fb3f101b-20260903-000401-default-f05-p6-ehcache</x:v>
      </x:c>
      <x:c r="B295" s="34" t="str">
        <x:v>default</x:v>
      </x:c>
      <x:c r="C295" s="34" t="str">
        <x:v>ehcache</x:v>
      </x:c>
      <x:c r="D295" s="36" t="n">
        <x:v>5</x:v>
      </x:c>
      <x:c r="E295" s="36" t="n">
        <x:v>5</x:v>
      </x:c>
      <x:c r="F295" s="36" t="n">
        <x:v>6</x:v>
      </x:c>
      <x:c r="G295" s="36" t="n">
        <x:v>2</x:v>
      </x:c>
      <x:c r="H295" s="34" t="str">
        <x:v>redeploy</x:v>
      </x:c>
      <x:c r="I295" s="34" t="str">
        <x:v>cache-semantics</x:v>
      </x:c>
      <x:c r="J295" s="45" t="b">
        <x:v>1</x:v>
      </x:c>
      <x:c r="K295" s="45" t="b">
        <x:v>1</x:v>
      </x:c>
      <x:c r="L295" s="45" t="b">
        <x:v>1</x:v>
      </x:c>
      <x:c r="M295" s="43" t="n">
        <x:v>400000</x:v>
      </x:c>
      <x:c r="N295" s="43" t="n">
        <x:v>128271872</x:v>
      </x:c>
      <x:c r="O295" s="43" t="n">
        <x:v>25644715.143657077</x:v>
      </x:c>
      <x:c r="P295" s="45" t="b">
        <x:v>1</x:v>
      </x:c>
      <x:c r="Q295" s="45" t="b">
        <x:v>1</x:v>
      </x:c>
      <x:c r="R295" s="45" t="b">
        <x:v>1</x:v>
      </x:c>
      <x:c r="S295" s="43" t="n">
        <x:v>5000000000</x:v>
      </x:c>
      <x:c r="T295" s="43" t="n">
        <x:v>5001883284</x:v>
      </x:c>
      <x:c r="U295" s="45" t="b">
        <x:v>1</x:v>
      </x:c>
      <x:c r="V295" s="34" t="str">
        <x:v>uniform</x:v>
      </x:c>
      <x:c r="W295" s="42" t="n">
        <x:v>95</x:v>
      </x:c>
      <x:c r="X295" s="48" t="n">
        <x:v>0.95</x:v>
      </x:c>
      <x:c r="Y295" s="48" t="n">
        <x:v>0.9504082391500454</x:v>
      </x:c>
      <x:c r="Z295" s="45" t="b">
        <x:v>1</x:v>
      </x:c>
      <x:c r="AA295" s="43" t="n">
        <x:v>10000</x:v>
      </x:c>
      <x:c r="AB295" s="43" t="n">
        <x:v>9900</x:v>
      </x:c>
      <x:c r="AC295" s="43" t="n">
        <x:v>10000</x:v>
      </x:c>
      <x:c r="AD295" s="45" t="b">
        <x:v>1</x:v>
      </x:c>
      <x:c r="AE295" s="43" t="n">
        <x:v>9900</x:v>
      </x:c>
      <x:c r="AF295" s="43"/>
      <x:c r="AG295" s="43" t="n">
        <x:v>10000</x:v>
      </x:c>
      <x:c r="AH295" s="45" t="b">
        <x:v>1</x:v>
      </x:c>
      <x:c r="AI295" s="45" t="b">
        <x:v>1</x:v>
      </x:c>
      <x:c r="AJ295" s="49"/>
      <x:c r="AK295" s="48" t="n">
        <x:v>0.9504082391500454</x:v>
      </x:c>
      <x:c r="AL295" s="49"/>
      <x:c r="AM295" s="49"/>
      <x:c r="AN295" s="36" t="n">
        <x:v>1</x:v>
      </x:c>
      <x:c r="AO295" s="45" t="b">
        <x:v>1</x:v>
      </x:c>
      <x:c r="AP295" s="45" t="b">
        <x:v>1</x:v>
      </x:c>
      <x:c r="AQ295" s="46" t="n">
        <x:f>IF(T295="","",T295/'Readme-Protocol'!$B$24)</x:f>
        <x:v>5.001883284</x:v>
      </x:c>
      <x:c r="AR295" s="46" t="n">
        <x:f>IF(OR(S295="",S295=0),"",T295/S295)</x:f>
        <x:v>1.0003766568</x:v>
      </x:c>
      <x:c r="AS295" s="46" t="n">
        <x:f>IF(OR(X295="",Y295=""),"",ABS(Y295-X295)*'Readme-Protocol'!$B$27)</x:f>
        <x:v>0.040823915004539746</x:v>
      </x:c>
      <x:c r="AT295" s="49" t="b">
        <x:f>AND(M295&gt;0,N295&gt;=0,O295&gt;0)</x:f>
        <x:v>1</x:v>
      </x:c>
      <x:c r="AU295" s="49" t="b">
        <x:f>AND(AT295,N295&gt;=M295)</x:f>
        <x:v>1</x:v>
      </x:c>
      <x:c r="AV295" s="49" t="b">
        <x:f>OR(S295=0,T295&gt;=S295)</x:f>
        <x:v>1</x:v>
      </x:c>
      <x:c r="AW295" s="49" t="b">
        <x:f>IF(I295="cache-semantics",OR(V295&lt;&gt;"uniform",ABS(Y295-W295/'Readme-Protocol'!$B$27)&lt;='Readme-Protocol'!$B$28),TRUE)</x:f>
        <x:v>1</x:v>
      </x:c>
      <x:c r="AX295" s="43" t="n">
        <x:f>IF(I295="cache-semantics",INT(AA295*'Readme-Protocol'!$B$32),"")</x:f>
        <x:v>9900</x:v>
      </x:c>
      <x:c r="AY295" s="49" t="b">
        <x:f>IF(I295="cache-semantics",AX295=AB295,TRUE)</x:f>
        <x:v>1</x:v>
      </x:c>
      <x:c r="AZ295" s="49" t="b">
        <x:f>IF(I295="cache-semantics",AX295=AE295,TRUE)</x:f>
        <x:v>1</x:v>
      </x:c>
      <x:c r="BA295" s="49" t="b">
        <x:f>IF(I295="cache-semantics",AC295&gt;=AX295,IF(I295="no-store-control",AC295=0,FALSE))</x:f>
        <x:v>1</x:v>
      </x:c>
      <x:c r="BB295" s="49" t="b">
        <x:f>IF(I295="cache-semantics",AG295&gt;=AX295,IF(I295="no-store-control",AG295=0,FALSE))</x:f>
        <x:v>1</x:v>
      </x:c>
      <x:c r="BC295" s="49" t="b">
        <x:f>AND(BA295,BB295)</x:f>
        <x:v>1</x:v>
      </x:c>
      <x:c r="BD295" s="49" t="b">
        <x:f>IF(I295="no-store-control",AND(AC295=0,AG295=0),TRUE)</x:f>
        <x:v>1</x:v>
      </x:c>
      <x:c r="BE295" s="49" t="b">
        <x:f>IF(I295="no-store-control",AK295=0,TRUE)</x:f>
        <x:v>1</x:v>
      </x:c>
      <x:c r="BF295" s="49" t="b">
        <x:f>IF(I295="cache-semantics",AN295=1,TRUE)</x:f>
        <x:v>1</x:v>
      </x:c>
      <x:c r="BG295" s="49" t="b">
        <x:f>IF(I295="cache-semantics",AND(AU295,AV295,Q295,AW295,BC295,BF295),IF(I295="no-store-control",AND(AU295,AV295,Q295,BD295,BE295),FALSE))</x:f>
        <x:v>1</x:v>
      </x:c>
      <x:c r="BH295" s="49" t="b">
        <x:f>AND(R295,AT295=P295,AU295=L295,AV295=U295,AY295,AZ295,IF(I295="cache-semantics",AND(AW295=Z295,AND(BA295=AD295,BB295=AH295,BC295=AI295),BF295=AO295),IF(I295="no-store-control",AND(AND(BA295=AD295,BB295=AH295,BC295=AI295),BD295=AJ295,BE295=AL295),FALSE)),BG295=AP295)</x:f>
        <x:v>1</x:v>
      </x:c>
      <x:c r="BI295" s="49" t="b">
        <x:f>AND(J295,K295,BG295)</x:f>
        <x:v>1</x:v>
      </x:c>
    </x:row>
    <x:row r="296">
      <x:c r="A296" s="34" t="str">
        <x:v>article1-unified-v4-2-fb3f101b-20260903-000401-default-f05-p6-ehcache</x:v>
      </x:c>
      <x:c r="B296" s="34" t="str">
        <x:v>default</x:v>
      </x:c>
      <x:c r="C296" s="34" t="str">
        <x:v>ehcache</x:v>
      </x:c>
      <x:c r="D296" s="36" t="n">
        <x:v>5</x:v>
      </x:c>
      <x:c r="E296" s="36" t="n">
        <x:v>5</x:v>
      </x:c>
      <x:c r="F296" s="36" t="n">
        <x:v>6</x:v>
      </x:c>
      <x:c r="G296" s="36" t="n">
        <x:v>3</x:v>
      </x:c>
      <x:c r="H296" s="34" t="str">
        <x:v>initial</x:v>
      </x:c>
      <x:c r="I296" s="34" t="str">
        <x:v>cache-semantics</x:v>
      </x:c>
      <x:c r="J296" s="45" t="b">
        <x:v>1</x:v>
      </x:c>
      <x:c r="K296" s="45" t="b">
        <x:v>1</x:v>
      </x:c>
      <x:c r="L296" s="45" t="b">
        <x:v>1</x:v>
      </x:c>
      <x:c r="M296" s="43" t="n">
        <x:v>400000</x:v>
      </x:c>
      <x:c r="N296" s="43" t="n">
        <x:v>130913792</x:v>
      </x:c>
      <x:c r="O296" s="43" t="n">
        <x:v>26171170.224563286</x:v>
      </x:c>
      <x:c r="P296" s="45" t="b">
        <x:v>1</x:v>
      </x:c>
      <x:c r="Q296" s="45" t="b">
        <x:v>1</x:v>
      </x:c>
      <x:c r="R296" s="45" t="b">
        <x:v>1</x:v>
      </x:c>
      <x:c r="S296" s="43" t="n">
        <x:v>5000000000</x:v>
      </x:c>
      <x:c r="T296" s="43" t="n">
        <x:v>5002213920</x:v>
      </x:c>
      <x:c r="U296" s="45" t="b">
        <x:v>1</x:v>
      </x:c>
      <x:c r="V296" s="34" t="str">
        <x:v>uniform</x:v>
      </x:c>
      <x:c r="W296" s="42" t="n">
        <x:v>95</x:v>
      </x:c>
      <x:c r="X296" s="48" t="n">
        <x:v>0.95</x:v>
      </x:c>
      <x:c r="Y296" s="48" t="n">
        <x:v>0.9501773502978205</x:v>
      </x:c>
      <x:c r="Z296" s="45" t="b">
        <x:v>1</x:v>
      </x:c>
      <x:c r="AA296" s="43" t="n">
        <x:v>10000</x:v>
      </x:c>
      <x:c r="AB296" s="43" t="n">
        <x:v>9900</x:v>
      </x:c>
      <x:c r="AC296" s="43" t="n">
        <x:v>10000</x:v>
      </x:c>
      <x:c r="AD296" s="45" t="b">
        <x:v>1</x:v>
      </x:c>
      <x:c r="AE296" s="43" t="n">
        <x:v>9900</x:v>
      </x:c>
      <x:c r="AF296" s="43"/>
      <x:c r="AG296" s="43" t="n">
        <x:v>10000</x:v>
      </x:c>
      <x:c r="AH296" s="45" t="b">
        <x:v>1</x:v>
      </x:c>
      <x:c r="AI296" s="45" t="b">
        <x:v>1</x:v>
      </x:c>
      <x:c r="AJ296" s="49"/>
      <x:c r="AK296" s="48" t="n">
        <x:v>0.9501773502978205</x:v>
      </x:c>
      <x:c r="AL296" s="49"/>
      <x:c r="AM296" s="49"/>
      <x:c r="AN296" s="36" t="n">
        <x:v>1</x:v>
      </x:c>
      <x:c r="AO296" s="45" t="b">
        <x:v>1</x:v>
      </x:c>
      <x:c r="AP296" s="45" t="b">
        <x:v>1</x:v>
      </x:c>
      <x:c r="AQ296" s="46" t="n">
        <x:f>IF(T296="","",T296/'Readme-Protocol'!$B$24)</x:f>
        <x:v>5.00221392</x:v>
      </x:c>
      <x:c r="AR296" s="46" t="n">
        <x:f>IF(OR(S296="",S296=0),"",T296/S296)</x:f>
        <x:v>1.000442784</x:v>
      </x:c>
      <x:c r="AS296" s="46" t="n">
        <x:f>IF(OR(X296="",Y296=""),"",ABS(Y296-X296)*'Readme-Protocol'!$B$27)</x:f>
        <x:v>0.017735029782051104</x:v>
      </x:c>
      <x:c r="AT296" s="49" t="b">
        <x:f>AND(M296&gt;0,N296&gt;=0,O296&gt;0)</x:f>
        <x:v>1</x:v>
      </x:c>
      <x:c r="AU296" s="49" t="b">
        <x:f>AND(AT296,N296&gt;=M296)</x:f>
        <x:v>1</x:v>
      </x:c>
      <x:c r="AV296" s="49" t="b">
        <x:f>OR(S296=0,T296&gt;=S296)</x:f>
        <x:v>1</x:v>
      </x:c>
      <x:c r="AW296" s="49" t="b">
        <x:f>IF(I296="cache-semantics",OR(V296&lt;&gt;"uniform",ABS(Y296-W296/'Readme-Protocol'!$B$27)&lt;='Readme-Protocol'!$B$28),TRUE)</x:f>
        <x:v>1</x:v>
      </x:c>
      <x:c r="AX296" s="43" t="n">
        <x:f>IF(I296="cache-semantics",INT(AA296*'Readme-Protocol'!$B$32),"")</x:f>
        <x:v>9900</x:v>
      </x:c>
      <x:c r="AY296" s="49" t="b">
        <x:f>IF(I296="cache-semantics",AX296=AB296,TRUE)</x:f>
        <x:v>1</x:v>
      </x:c>
      <x:c r="AZ296" s="49" t="b">
        <x:f>IF(I296="cache-semantics",AX296=AE296,TRUE)</x:f>
        <x:v>1</x:v>
      </x:c>
      <x:c r="BA296" s="49" t="b">
        <x:f>IF(I296="cache-semantics",AC296&gt;=AX296,IF(I296="no-store-control",AC296=0,FALSE))</x:f>
        <x:v>1</x:v>
      </x:c>
      <x:c r="BB296" s="49" t="b">
        <x:f>IF(I296="cache-semantics",AG296&gt;=AX296,IF(I296="no-store-control",AG296=0,FALSE))</x:f>
        <x:v>1</x:v>
      </x:c>
      <x:c r="BC296" s="49" t="b">
        <x:f>AND(BA296,BB296)</x:f>
        <x:v>1</x:v>
      </x:c>
      <x:c r="BD296" s="49" t="b">
        <x:f>IF(I296="no-store-control",AND(AC296=0,AG296=0),TRUE)</x:f>
        <x:v>1</x:v>
      </x:c>
      <x:c r="BE296" s="49" t="b">
        <x:f>IF(I296="no-store-control",AK296=0,TRUE)</x:f>
        <x:v>1</x:v>
      </x:c>
      <x:c r="BF296" s="49" t="b">
        <x:f>IF(I296="cache-semantics",AN296=1,TRUE)</x:f>
        <x:v>1</x:v>
      </x:c>
      <x:c r="BG296" s="49" t="b">
        <x:f>IF(I296="cache-semantics",AND(AU296,AV296,Q296,AW296,BC296,BF296),IF(I296="no-store-control",AND(AU296,AV296,Q296,BD296,BE296),FALSE))</x:f>
        <x:v>1</x:v>
      </x:c>
      <x:c r="BH296" s="49" t="b">
        <x:f>AND(R296,AT296=P296,AU296=L296,AV296=U296,AY296,AZ296,IF(I296="cache-semantics",AND(AW296=Z296,AND(BA296=AD296,BB296=AH296,BC296=AI296),BF296=AO296),IF(I296="no-store-control",AND(AND(BA296=AD296,BB296=AH296,BC296=AI296),BD296=AJ296,BE296=AL296),FALSE)),BG296=AP296)</x:f>
        <x:v>1</x:v>
      </x:c>
      <x:c r="BI296" s="49" t="b">
        <x:f>AND(J296,K296,BG296)</x:f>
        <x:v>1</x:v>
      </x:c>
    </x:row>
    <x:row r="297">
      <x:c r="A297" s="34" t="str">
        <x:v>article1-unified-v4-2-fb3f101b-20260903-000401-default-f05-p6-ehcache</x:v>
      </x:c>
      <x:c r="B297" s="34" t="str">
        <x:v>default</x:v>
      </x:c>
      <x:c r="C297" s="34" t="str">
        <x:v>ehcache</x:v>
      </x:c>
      <x:c r="D297" s="36" t="n">
        <x:v>5</x:v>
      </x:c>
      <x:c r="E297" s="36" t="n">
        <x:v>5</x:v>
      </x:c>
      <x:c r="F297" s="36" t="n">
        <x:v>6</x:v>
      </x:c>
      <x:c r="G297" s="36" t="n">
        <x:v>3</x:v>
      </x:c>
      <x:c r="H297" s="34" t="str">
        <x:v>redeploy</x:v>
      </x:c>
      <x:c r="I297" s="34" t="str">
        <x:v>cache-semantics</x:v>
      </x:c>
      <x:c r="J297" s="45" t="b">
        <x:v>1</x:v>
      </x:c>
      <x:c r="K297" s="45" t="b">
        <x:v>1</x:v>
      </x:c>
      <x:c r="L297" s="45" t="b">
        <x:v>1</x:v>
      </x:c>
      <x:c r="M297" s="43" t="n">
        <x:v>400000</x:v>
      </x:c>
      <x:c r="N297" s="43" t="n">
        <x:v>134138624</x:v>
      </x:c>
      <x:c r="O297" s="43" t="n">
        <x:v>26544921.408210564</x:v>
      </x:c>
      <x:c r="P297" s="45" t="b">
        <x:v>1</x:v>
      </x:c>
      <x:c r="Q297" s="45" t="b">
        <x:v>1</x:v>
      </x:c>
      <x:c r="R297" s="45" t="b">
        <x:v>1</x:v>
      </x:c>
      <x:c r="S297" s="43" t="n">
        <x:v>5000000000</x:v>
      </x:c>
      <x:c r="T297" s="43" t="n">
        <x:v>5053268832</x:v>
      </x:c>
      <x:c r="U297" s="45" t="b">
        <x:v>1</x:v>
      </x:c>
      <x:c r="V297" s="34" t="str">
        <x:v>uniform</x:v>
      </x:c>
      <x:c r="W297" s="42" t="n">
        <x:v>95</x:v>
      </x:c>
      <x:c r="X297" s="48" t="n">
        <x:v>0.95</x:v>
      </x:c>
      <x:c r="Y297" s="48" t="n">
        <x:v>0.9501790923395785</x:v>
      </x:c>
      <x:c r="Z297" s="45" t="b">
        <x:v>1</x:v>
      </x:c>
      <x:c r="AA297" s="43" t="n">
        <x:v>10000</x:v>
      </x:c>
      <x:c r="AB297" s="43" t="n">
        <x:v>9900</x:v>
      </x:c>
      <x:c r="AC297" s="43" t="n">
        <x:v>10000</x:v>
      </x:c>
      <x:c r="AD297" s="45" t="b">
        <x:v>1</x:v>
      </x:c>
      <x:c r="AE297" s="43" t="n">
        <x:v>9900</x:v>
      </x:c>
      <x:c r="AF297" s="43"/>
      <x:c r="AG297" s="43" t="n">
        <x:v>10000</x:v>
      </x:c>
      <x:c r="AH297" s="45" t="b">
        <x:v>1</x:v>
      </x:c>
      <x:c r="AI297" s="45" t="b">
        <x:v>1</x:v>
      </x:c>
      <x:c r="AJ297" s="49"/>
      <x:c r="AK297" s="48" t="n">
        <x:v>0.9501790923395785</x:v>
      </x:c>
      <x:c r="AL297" s="49"/>
      <x:c r="AM297" s="49"/>
      <x:c r="AN297" s="36" t="n">
        <x:v>1</x:v>
      </x:c>
      <x:c r="AO297" s="45" t="b">
        <x:v>1</x:v>
      </x:c>
      <x:c r="AP297" s="45" t="b">
        <x:v>1</x:v>
      </x:c>
      <x:c r="AQ297" s="46" t="n">
        <x:f>IF(T297="","",T297/'Readme-Protocol'!$B$24)</x:f>
        <x:v>5.053268832</x:v>
      </x:c>
      <x:c r="AR297" s="46" t="n">
        <x:f>IF(OR(S297="",S297=0),"",T297/S297)</x:f>
        <x:v>1.0106537664</x:v>
      </x:c>
      <x:c r="AS297" s="46" t="n">
        <x:f>IF(OR(X297="",Y297=""),"",ABS(Y297-X297)*'Readme-Protocol'!$B$27)</x:f>
        <x:v>0.01790923395785793</x:v>
      </x:c>
      <x:c r="AT297" s="49" t="b">
        <x:f>AND(M297&gt;0,N297&gt;=0,O297&gt;0)</x:f>
        <x:v>1</x:v>
      </x:c>
      <x:c r="AU297" s="49" t="b">
        <x:f>AND(AT297,N297&gt;=M297)</x:f>
        <x:v>1</x:v>
      </x:c>
      <x:c r="AV297" s="49" t="b">
        <x:f>OR(S297=0,T297&gt;=S297)</x:f>
        <x:v>1</x:v>
      </x:c>
      <x:c r="AW297" s="49" t="b">
        <x:f>IF(I297="cache-semantics",OR(V297&lt;&gt;"uniform",ABS(Y297-W297/'Readme-Protocol'!$B$27)&lt;='Readme-Protocol'!$B$28),TRUE)</x:f>
        <x:v>1</x:v>
      </x:c>
      <x:c r="AX297" s="43" t="n">
        <x:f>IF(I297="cache-semantics",INT(AA297*'Readme-Protocol'!$B$32),"")</x:f>
        <x:v>9900</x:v>
      </x:c>
      <x:c r="AY297" s="49" t="b">
        <x:f>IF(I297="cache-semantics",AX297=AB297,TRUE)</x:f>
        <x:v>1</x:v>
      </x:c>
      <x:c r="AZ297" s="49" t="b">
        <x:f>IF(I297="cache-semantics",AX297=AE297,TRUE)</x:f>
        <x:v>1</x:v>
      </x:c>
      <x:c r="BA297" s="49" t="b">
        <x:f>IF(I297="cache-semantics",AC297&gt;=AX297,IF(I297="no-store-control",AC297=0,FALSE))</x:f>
        <x:v>1</x:v>
      </x:c>
      <x:c r="BB297" s="49" t="b">
        <x:f>IF(I297="cache-semantics",AG297&gt;=AX297,IF(I297="no-store-control",AG297=0,FALSE))</x:f>
        <x:v>1</x:v>
      </x:c>
      <x:c r="BC297" s="49" t="b">
        <x:f>AND(BA297,BB297)</x:f>
        <x:v>1</x:v>
      </x:c>
      <x:c r="BD297" s="49" t="b">
        <x:f>IF(I297="no-store-control",AND(AC297=0,AG297=0),TRUE)</x:f>
        <x:v>1</x:v>
      </x:c>
      <x:c r="BE297" s="49" t="b">
        <x:f>IF(I297="no-store-control",AK297=0,TRUE)</x:f>
        <x:v>1</x:v>
      </x:c>
      <x:c r="BF297" s="49" t="b">
        <x:f>IF(I297="cache-semantics",AN297=1,TRUE)</x:f>
        <x:v>1</x:v>
      </x:c>
      <x:c r="BG297" s="49" t="b">
        <x:f>IF(I297="cache-semantics",AND(AU297,AV297,Q297,AW297,BC297,BF297),IF(I297="no-store-control",AND(AU297,AV297,Q297,BD297,BE297),FALSE))</x:f>
        <x:v>1</x:v>
      </x:c>
      <x:c r="BH297" s="49" t="b">
        <x:f>AND(R297,AT297=P297,AU297=L297,AV297=U297,AY297,AZ297,IF(I297="cache-semantics",AND(AW297=Z297,AND(BA297=AD297,BB297=AH297,BC297=AI297),BF297=AO297),IF(I297="no-store-control",AND(AND(BA297=AD297,BB297=AH297,BC297=AI297),BD297=AJ297,BE297=AL297),FALSE)),BG297=AP297)</x:f>
        <x:v>1</x:v>
      </x:c>
      <x:c r="BI297" s="49" t="b">
        <x:f>AND(J297,K297,BG297)</x:f>
        <x:v>1</x:v>
      </x:c>
    </x:row>
    <x:row r="298">
      <x:c r="A298" s="34" t="str">
        <x:v>article1-unified-v4-2-fb3f101b-20260903-000401-default-f05-p6-ehcache</x:v>
      </x:c>
      <x:c r="B298" s="34" t="str">
        <x:v>default</x:v>
      </x:c>
      <x:c r="C298" s="34" t="str">
        <x:v>ehcache</x:v>
      </x:c>
      <x:c r="D298" s="36" t="n">
        <x:v>5</x:v>
      </x:c>
      <x:c r="E298" s="36" t="n">
        <x:v>5</x:v>
      </x:c>
      <x:c r="F298" s="36" t="n">
        <x:v>6</x:v>
      </x:c>
      <x:c r="G298" s="36" t="n">
        <x:v>4</x:v>
      </x:c>
      <x:c r="H298" s="34" t="str">
        <x:v>initial</x:v>
      </x:c>
      <x:c r="I298" s="34" t="str">
        <x:v>cache-semantics</x:v>
      </x:c>
      <x:c r="J298" s="45" t="b">
        <x:v>1</x:v>
      </x:c>
      <x:c r="K298" s="45" t="b">
        <x:v>1</x:v>
      </x:c>
      <x:c r="L298" s="45" t="b">
        <x:v>1</x:v>
      </x:c>
      <x:c r="M298" s="43" t="n">
        <x:v>400000</x:v>
      </x:c>
      <x:c r="N298" s="43" t="n">
        <x:v>127897344</x:v>
      </x:c>
      <x:c r="O298" s="43" t="n">
        <x:v>25568981.431689773</x:v>
      </x:c>
      <x:c r="P298" s="45" t="b">
        <x:v>1</x:v>
      </x:c>
      <x:c r="Q298" s="45" t="b">
        <x:v>1</x:v>
      </x:c>
      <x:c r="R298" s="45" t="b">
        <x:v>1</x:v>
      </x:c>
      <x:c r="S298" s="43" t="n">
        <x:v>5000000000</x:v>
      </x:c>
      <x:c r="T298" s="43" t="n">
        <x:v>5002050799</x:v>
      </x:c>
      <x:c r="U298" s="45" t="b">
        <x:v>1</x:v>
      </x:c>
      <x:c r="V298" s="34" t="str">
        <x:v>uniform</x:v>
      </x:c>
      <x:c r="W298" s="42" t="n">
        <x:v>95</x:v>
      </x:c>
      <x:c r="X298" s="48" t="n">
        <x:v>0.95</x:v>
      </x:c>
      <x:c r="Y298" s="48" t="n">
        <x:v>0.9505434139429823</x:v>
      </x:c>
      <x:c r="Z298" s="45" t="b">
        <x:v>1</x:v>
      </x:c>
      <x:c r="AA298" s="43" t="n">
        <x:v>10000</x:v>
      </x:c>
      <x:c r="AB298" s="43" t="n">
        <x:v>9900</x:v>
      </x:c>
      <x:c r="AC298" s="43" t="n">
        <x:v>10000</x:v>
      </x:c>
      <x:c r="AD298" s="45" t="b">
        <x:v>1</x:v>
      </x:c>
      <x:c r="AE298" s="43" t="n">
        <x:v>9900</x:v>
      </x:c>
      <x:c r="AF298" s="43"/>
      <x:c r="AG298" s="43" t="n">
        <x:v>10000</x:v>
      </x:c>
      <x:c r="AH298" s="45" t="b">
        <x:v>1</x:v>
      </x:c>
      <x:c r="AI298" s="45" t="b">
        <x:v>1</x:v>
      </x:c>
      <x:c r="AJ298" s="49"/>
      <x:c r="AK298" s="48" t="n">
        <x:v>0.9505434139429823</x:v>
      </x:c>
      <x:c r="AL298" s="49"/>
      <x:c r="AM298" s="49"/>
      <x:c r="AN298" s="36" t="n">
        <x:v>1</x:v>
      </x:c>
      <x:c r="AO298" s="45" t="b">
        <x:v>1</x:v>
      </x:c>
      <x:c r="AP298" s="45" t="b">
        <x:v>1</x:v>
      </x:c>
      <x:c r="AQ298" s="46" t="n">
        <x:f>IF(T298="","",T298/'Readme-Protocol'!$B$24)</x:f>
        <x:v>5.002050799</x:v>
      </x:c>
      <x:c r="AR298" s="46" t="n">
        <x:f>IF(OR(S298="",S298=0),"",T298/S298)</x:f>
        <x:v>1.0004101598</x:v>
      </x:c>
      <x:c r="AS298" s="46" t="n">
        <x:f>IF(OR(X298="",Y298=""),"",ABS(Y298-X298)*'Readme-Protocol'!$B$27)</x:f>
        <x:v>0.054341394298229595</x:v>
      </x:c>
      <x:c r="AT298" s="49" t="b">
        <x:f>AND(M298&gt;0,N298&gt;=0,O298&gt;0)</x:f>
        <x:v>1</x:v>
      </x:c>
      <x:c r="AU298" s="49" t="b">
        <x:f>AND(AT298,N298&gt;=M298)</x:f>
        <x:v>1</x:v>
      </x:c>
      <x:c r="AV298" s="49" t="b">
        <x:f>OR(S298=0,T298&gt;=S298)</x:f>
        <x:v>1</x:v>
      </x:c>
      <x:c r="AW298" s="49" t="b">
        <x:f>IF(I298="cache-semantics",OR(V298&lt;&gt;"uniform",ABS(Y298-W298/'Readme-Protocol'!$B$27)&lt;='Readme-Protocol'!$B$28),TRUE)</x:f>
        <x:v>1</x:v>
      </x:c>
      <x:c r="AX298" s="43" t="n">
        <x:f>IF(I298="cache-semantics",INT(AA298*'Readme-Protocol'!$B$32),"")</x:f>
        <x:v>9900</x:v>
      </x:c>
      <x:c r="AY298" s="49" t="b">
        <x:f>IF(I298="cache-semantics",AX298=AB298,TRUE)</x:f>
        <x:v>1</x:v>
      </x:c>
      <x:c r="AZ298" s="49" t="b">
        <x:f>IF(I298="cache-semantics",AX298=AE298,TRUE)</x:f>
        <x:v>1</x:v>
      </x:c>
      <x:c r="BA298" s="49" t="b">
        <x:f>IF(I298="cache-semantics",AC298&gt;=AX298,IF(I298="no-store-control",AC298=0,FALSE))</x:f>
        <x:v>1</x:v>
      </x:c>
      <x:c r="BB298" s="49" t="b">
        <x:f>IF(I298="cache-semantics",AG298&gt;=AX298,IF(I298="no-store-control",AG298=0,FALSE))</x:f>
        <x:v>1</x:v>
      </x:c>
      <x:c r="BC298" s="49" t="b">
        <x:f>AND(BA298,BB298)</x:f>
        <x:v>1</x:v>
      </x:c>
      <x:c r="BD298" s="49" t="b">
        <x:f>IF(I298="no-store-control",AND(AC298=0,AG298=0),TRUE)</x:f>
        <x:v>1</x:v>
      </x:c>
      <x:c r="BE298" s="49" t="b">
        <x:f>IF(I298="no-store-control",AK298=0,TRUE)</x:f>
        <x:v>1</x:v>
      </x:c>
      <x:c r="BF298" s="49" t="b">
        <x:f>IF(I298="cache-semantics",AN298=1,TRUE)</x:f>
        <x:v>1</x:v>
      </x:c>
      <x:c r="BG298" s="49" t="b">
        <x:f>IF(I298="cache-semantics",AND(AU298,AV298,Q298,AW298,BC298,BF298),IF(I298="no-store-control",AND(AU298,AV298,Q298,BD298,BE298),FALSE))</x:f>
        <x:v>1</x:v>
      </x:c>
      <x:c r="BH298" s="49" t="b">
        <x:f>AND(R298,AT298=P298,AU298=L298,AV298=U298,AY298,AZ298,IF(I298="cache-semantics",AND(AW298=Z298,AND(BA298=AD298,BB298=AH298,BC298=AI298),BF298=AO298),IF(I298="no-store-control",AND(AND(BA298=AD298,BB298=AH298,BC298=AI298),BD298=AJ298,BE298=AL298),FALSE)),BG298=AP298)</x:f>
        <x:v>1</x:v>
      </x:c>
      <x:c r="BI298" s="49" t="b">
        <x:f>AND(J298,K298,BG298)</x:f>
        <x:v>1</x:v>
      </x:c>
    </x:row>
    <x:row r="299">
      <x:c r="A299" s="34" t="str">
        <x:v>article1-unified-v4-2-fb3f101b-20260903-000401-default-f05-p6-ehcache</x:v>
      </x:c>
      <x:c r="B299" s="34" t="str">
        <x:v>default</x:v>
      </x:c>
      <x:c r="C299" s="34" t="str">
        <x:v>ehcache</x:v>
      </x:c>
      <x:c r="D299" s="36" t="n">
        <x:v>5</x:v>
      </x:c>
      <x:c r="E299" s="36" t="n">
        <x:v>5</x:v>
      </x:c>
      <x:c r="F299" s="36" t="n">
        <x:v>6</x:v>
      </x:c>
      <x:c r="G299" s="36" t="n">
        <x:v>4</x:v>
      </x:c>
      <x:c r="H299" s="34" t="str">
        <x:v>redeploy</x:v>
      </x:c>
      <x:c r="I299" s="34" t="str">
        <x:v>cache-semantics</x:v>
      </x:c>
      <x:c r="J299" s="45" t="b">
        <x:v>1</x:v>
      </x:c>
      <x:c r="K299" s="45" t="b">
        <x:v>1</x:v>
      </x:c>
      <x:c r="L299" s="45" t="b">
        <x:v>1</x:v>
      </x:c>
      <x:c r="M299" s="43" t="n">
        <x:v>400000</x:v>
      </x:c>
      <x:c r="N299" s="43" t="n">
        <x:v>113113600</x:v>
      </x:c>
      <x:c r="O299" s="43" t="n">
        <x:v>22614838.470983703</x:v>
      </x:c>
      <x:c r="P299" s="45" t="b">
        <x:v>1</x:v>
      </x:c>
      <x:c r="Q299" s="45" t="b">
        <x:v>1</x:v>
      </x:c>
      <x:c r="R299" s="45" t="b">
        <x:v>1</x:v>
      </x:c>
      <x:c r="S299" s="43" t="n">
        <x:v>5000000000</x:v>
      </x:c>
      <x:c r="T299" s="43" t="n">
        <x:v>5001742557</x:v>
      </x:c>
      <x:c r="U299" s="45" t="b">
        <x:v>1</x:v>
      </x:c>
      <x:c r="V299" s="34" t="str">
        <x:v>uniform</x:v>
      </x:c>
      <x:c r="W299" s="42" t="n">
        <x:v>95</x:v>
      </x:c>
      <x:c r="X299" s="48" t="n">
        <x:v>0.95</x:v>
      </x:c>
      <x:c r="Y299" s="48" t="n">
        <x:v>0.9505483779138848</x:v>
      </x:c>
      <x:c r="Z299" s="45" t="b">
        <x:v>1</x:v>
      </x:c>
      <x:c r="AA299" s="43" t="n">
        <x:v>10000</x:v>
      </x:c>
      <x:c r="AB299" s="43" t="n">
        <x:v>9900</x:v>
      </x:c>
      <x:c r="AC299" s="43" t="n">
        <x:v>10000</x:v>
      </x:c>
      <x:c r="AD299" s="45" t="b">
        <x:v>1</x:v>
      </x:c>
      <x:c r="AE299" s="43" t="n">
        <x:v>9900</x:v>
      </x:c>
      <x:c r="AF299" s="43"/>
      <x:c r="AG299" s="43" t="n">
        <x:v>10000</x:v>
      </x:c>
      <x:c r="AH299" s="45" t="b">
        <x:v>1</x:v>
      </x:c>
      <x:c r="AI299" s="45" t="b">
        <x:v>1</x:v>
      </x:c>
      <x:c r="AJ299" s="49"/>
      <x:c r="AK299" s="48" t="n">
        <x:v>0.9505483779138848</x:v>
      </x:c>
      <x:c r="AL299" s="49"/>
      <x:c r="AM299" s="49"/>
      <x:c r="AN299" s="36" t="n">
        <x:v>1</x:v>
      </x:c>
      <x:c r="AO299" s="45" t="b">
        <x:v>1</x:v>
      </x:c>
      <x:c r="AP299" s="45" t="b">
        <x:v>1</x:v>
      </x:c>
      <x:c r="AQ299" s="46" t="n">
        <x:f>IF(T299="","",T299/'Readme-Protocol'!$B$24)</x:f>
        <x:v>5.001742557</x:v>
      </x:c>
      <x:c r="AR299" s="46" t="n">
        <x:f>IF(OR(S299="",S299=0),"",T299/S299)</x:f>
        <x:v>1.0003485114</x:v>
      </x:c>
      <x:c r="AS299" s="46" t="n">
        <x:f>IF(OR(X299="",Y299=""),"",ABS(Y299-X299)*'Readme-Protocol'!$B$27)</x:f>
        <x:v>0.05483779138848455</x:v>
      </x:c>
      <x:c r="AT299" s="49" t="b">
        <x:f>AND(M299&gt;0,N299&gt;=0,O299&gt;0)</x:f>
        <x:v>1</x:v>
      </x:c>
      <x:c r="AU299" s="49" t="b">
        <x:f>AND(AT299,N299&gt;=M299)</x:f>
        <x:v>1</x:v>
      </x:c>
      <x:c r="AV299" s="49" t="b">
        <x:f>OR(S299=0,T299&gt;=S299)</x:f>
        <x:v>1</x:v>
      </x:c>
      <x:c r="AW299" s="49" t="b">
        <x:f>IF(I299="cache-semantics",OR(V299&lt;&gt;"uniform",ABS(Y299-W299/'Readme-Protocol'!$B$27)&lt;='Readme-Protocol'!$B$28),TRUE)</x:f>
        <x:v>1</x:v>
      </x:c>
      <x:c r="AX299" s="43" t="n">
        <x:f>IF(I299="cache-semantics",INT(AA299*'Readme-Protocol'!$B$32),"")</x:f>
        <x:v>9900</x:v>
      </x:c>
      <x:c r="AY299" s="49" t="b">
        <x:f>IF(I299="cache-semantics",AX299=AB299,TRUE)</x:f>
        <x:v>1</x:v>
      </x:c>
      <x:c r="AZ299" s="49" t="b">
        <x:f>IF(I299="cache-semantics",AX299=AE299,TRUE)</x:f>
        <x:v>1</x:v>
      </x:c>
      <x:c r="BA299" s="49" t="b">
        <x:f>IF(I299="cache-semantics",AC299&gt;=AX299,IF(I299="no-store-control",AC299=0,FALSE))</x:f>
        <x:v>1</x:v>
      </x:c>
      <x:c r="BB299" s="49" t="b">
        <x:f>IF(I299="cache-semantics",AG299&gt;=AX299,IF(I299="no-store-control",AG299=0,FALSE))</x:f>
        <x:v>1</x:v>
      </x:c>
      <x:c r="BC299" s="49" t="b">
        <x:f>AND(BA299,BB299)</x:f>
        <x:v>1</x:v>
      </x:c>
      <x:c r="BD299" s="49" t="b">
        <x:f>IF(I299="no-store-control",AND(AC299=0,AG299=0),TRUE)</x:f>
        <x:v>1</x:v>
      </x:c>
      <x:c r="BE299" s="49" t="b">
        <x:f>IF(I299="no-store-control",AK299=0,TRUE)</x:f>
        <x:v>1</x:v>
      </x:c>
      <x:c r="BF299" s="49" t="b">
        <x:f>IF(I299="cache-semantics",AN299=1,TRUE)</x:f>
        <x:v>1</x:v>
      </x:c>
      <x:c r="BG299" s="49" t="b">
        <x:f>IF(I299="cache-semantics",AND(AU299,AV299,Q299,AW299,BC299,BF299),IF(I299="no-store-control",AND(AU299,AV299,Q299,BD299,BE299),FALSE))</x:f>
        <x:v>1</x:v>
      </x:c>
      <x:c r="BH299" s="49" t="b">
        <x:f>AND(R299,AT299=P299,AU299=L299,AV299=U299,AY299,AZ299,IF(I299="cache-semantics",AND(AW299=Z299,AND(BA299=AD299,BB299=AH299,BC299=AI299),BF299=AO299),IF(I299="no-store-control",AND(AND(BA299=AD299,BB299=AH299,BC299=AI299),BD299=AJ299,BE299=AL299),FALSE)),BG299=AP299)</x:f>
        <x:v>1</x:v>
      </x:c>
      <x:c r="BI299" s="49" t="b">
        <x:f>AND(J299,K299,BG299)</x:f>
        <x:v>1</x:v>
      </x:c>
    </x:row>
    <x:row r="300">
      <x:c r="A300" s="34" t="str">
        <x:v>article1-unified-v4-2-fb3f101b-20260903-000401-default-f05-p6-ehcache</x:v>
      </x:c>
      <x:c r="B300" s="34" t="str">
        <x:v>default</x:v>
      </x:c>
      <x:c r="C300" s="34" t="str">
        <x:v>ehcache</x:v>
      </x:c>
      <x:c r="D300" s="36" t="n">
        <x:v>5</x:v>
      </x:c>
      <x:c r="E300" s="36" t="n">
        <x:v>5</x:v>
      </x:c>
      <x:c r="F300" s="36" t="n">
        <x:v>6</x:v>
      </x:c>
      <x:c r="G300" s="36" t="n">
        <x:v>5</x:v>
      </x:c>
      <x:c r="H300" s="34" t="str">
        <x:v>initial</x:v>
      </x:c>
      <x:c r="I300" s="34" t="str">
        <x:v>cache-semantics</x:v>
      </x:c>
      <x:c r="J300" s="45" t="b">
        <x:v>1</x:v>
      </x:c>
      <x:c r="K300" s="45" t="b">
        <x:v>1</x:v>
      </x:c>
      <x:c r="L300" s="45" t="b">
        <x:v>1</x:v>
      </x:c>
      <x:c r="M300" s="43" t="n">
        <x:v>400000</x:v>
      </x:c>
      <x:c r="N300" s="43" t="n">
        <x:v>131516416</x:v>
      </x:c>
      <x:c r="O300" s="43" t="n">
        <x:v>26287548.451393798</x:v>
      </x:c>
      <x:c r="P300" s="45" t="b">
        <x:v>1</x:v>
      </x:c>
      <x:c r="Q300" s="45" t="b">
        <x:v>1</x:v>
      </x:c>
      <x:c r="R300" s="45" t="b">
        <x:v>1</x:v>
      </x:c>
      <x:c r="S300" s="43" t="n">
        <x:v>5000000000</x:v>
      </x:c>
      <x:c r="T300" s="43" t="n">
        <x:v>5002992814</x:v>
      </x:c>
      <x:c r="U300" s="45" t="b">
        <x:v>1</x:v>
      </x:c>
      <x:c r="V300" s="34" t="str">
        <x:v>uniform</x:v>
      </x:c>
      <x:c r="W300" s="42" t="n">
        <x:v>95</x:v>
      </x:c>
      <x:c r="X300" s="48" t="n">
        <x:v>0.95</x:v>
      </x:c>
      <x:c r="Y300" s="48" t="n">
        <x:v>0.950756550421812</x:v>
      </x:c>
      <x:c r="Z300" s="45" t="b">
        <x:v>1</x:v>
      </x:c>
      <x:c r="AA300" s="43" t="n">
        <x:v>10000</x:v>
      </x:c>
      <x:c r="AB300" s="43" t="n">
        <x:v>9900</x:v>
      </x:c>
      <x:c r="AC300" s="43" t="n">
        <x:v>10000</x:v>
      </x:c>
      <x:c r="AD300" s="45" t="b">
        <x:v>1</x:v>
      </x:c>
      <x:c r="AE300" s="43" t="n">
        <x:v>9900</x:v>
      </x:c>
      <x:c r="AF300" s="43"/>
      <x:c r="AG300" s="43" t="n">
        <x:v>10000</x:v>
      </x:c>
      <x:c r="AH300" s="45" t="b">
        <x:v>1</x:v>
      </x:c>
      <x:c r="AI300" s="45" t="b">
        <x:v>1</x:v>
      </x:c>
      <x:c r="AJ300" s="49"/>
      <x:c r="AK300" s="48" t="n">
        <x:v>0.950756550421812</x:v>
      </x:c>
      <x:c r="AL300" s="49"/>
      <x:c r="AM300" s="49"/>
      <x:c r="AN300" s="36" t="n">
        <x:v>1</x:v>
      </x:c>
      <x:c r="AO300" s="45" t="b">
        <x:v>1</x:v>
      </x:c>
      <x:c r="AP300" s="45" t="b">
        <x:v>1</x:v>
      </x:c>
      <x:c r="AQ300" s="46" t="n">
        <x:f>IF(T300="","",T300/'Readme-Protocol'!$B$24)</x:f>
        <x:v>5.002992814</x:v>
      </x:c>
      <x:c r="AR300" s="46" t="n">
        <x:f>IF(OR(S300="",S300=0),"",T300/S300)</x:f>
        <x:v>1.0005985628</x:v>
      </x:c>
      <x:c r="AS300" s="46" t="n">
        <x:f>IF(OR(X300="",Y300=""),"",ABS(Y300-X300)*'Readme-Protocol'!$B$27)</x:f>
        <x:v>0.07565504218119967</x:v>
      </x:c>
      <x:c r="AT300" s="49" t="b">
        <x:f>AND(M300&gt;0,N300&gt;=0,O300&gt;0)</x:f>
        <x:v>1</x:v>
      </x:c>
      <x:c r="AU300" s="49" t="b">
        <x:f>AND(AT300,N300&gt;=M300)</x:f>
        <x:v>1</x:v>
      </x:c>
      <x:c r="AV300" s="49" t="b">
        <x:f>OR(S300=0,T300&gt;=S300)</x:f>
        <x:v>1</x:v>
      </x:c>
      <x:c r="AW300" s="49" t="b">
        <x:f>IF(I300="cache-semantics",OR(V300&lt;&gt;"uniform",ABS(Y300-W300/'Readme-Protocol'!$B$27)&lt;='Readme-Protocol'!$B$28),TRUE)</x:f>
        <x:v>1</x:v>
      </x:c>
      <x:c r="AX300" s="43" t="n">
        <x:f>IF(I300="cache-semantics",INT(AA300*'Readme-Protocol'!$B$32),"")</x:f>
        <x:v>9900</x:v>
      </x:c>
      <x:c r="AY300" s="49" t="b">
        <x:f>IF(I300="cache-semantics",AX300=AB300,TRUE)</x:f>
        <x:v>1</x:v>
      </x:c>
      <x:c r="AZ300" s="49" t="b">
        <x:f>IF(I300="cache-semantics",AX300=AE300,TRUE)</x:f>
        <x:v>1</x:v>
      </x:c>
      <x:c r="BA300" s="49" t="b">
        <x:f>IF(I300="cache-semantics",AC300&gt;=AX300,IF(I300="no-store-control",AC300=0,FALSE))</x:f>
        <x:v>1</x:v>
      </x:c>
      <x:c r="BB300" s="49" t="b">
        <x:f>IF(I300="cache-semantics",AG300&gt;=AX300,IF(I300="no-store-control",AG300=0,FALSE))</x:f>
        <x:v>1</x:v>
      </x:c>
      <x:c r="BC300" s="49" t="b">
        <x:f>AND(BA300,BB300)</x:f>
        <x:v>1</x:v>
      </x:c>
      <x:c r="BD300" s="49" t="b">
        <x:f>IF(I300="no-store-control",AND(AC300=0,AG300=0),TRUE)</x:f>
        <x:v>1</x:v>
      </x:c>
      <x:c r="BE300" s="49" t="b">
        <x:f>IF(I300="no-store-control",AK300=0,TRUE)</x:f>
        <x:v>1</x:v>
      </x:c>
      <x:c r="BF300" s="49" t="b">
        <x:f>IF(I300="cache-semantics",AN300=1,TRUE)</x:f>
        <x:v>1</x:v>
      </x:c>
      <x:c r="BG300" s="49" t="b">
        <x:f>IF(I300="cache-semantics",AND(AU300,AV300,Q300,AW300,BC300,BF300),IF(I300="no-store-control",AND(AU300,AV300,Q300,BD300,BE300),FALSE))</x:f>
        <x:v>1</x:v>
      </x:c>
      <x:c r="BH300" s="49" t="b">
        <x:f>AND(R300,AT300=P300,AU300=L300,AV300=U300,AY300,AZ300,IF(I300="cache-semantics",AND(AW300=Z300,AND(BA300=AD300,BB300=AH300,BC300=AI300),BF300=AO300),IF(I300="no-store-control",AND(AND(BA300=AD300,BB300=AH300,BC300=AI300),BD300=AJ300,BE300=AL300),FALSE)),BG300=AP300)</x:f>
        <x:v>1</x:v>
      </x:c>
      <x:c r="BI300" s="49" t="b">
        <x:f>AND(J300,K300,BG300)</x:f>
        <x:v>1</x:v>
      </x:c>
    </x:row>
    <x:row r="301">
      <x:c r="A301" s="34" t="str">
        <x:v>article1-unified-v4-2-fb3f101b-20260903-000401-default-f05-p6-ehcache</x:v>
      </x:c>
      <x:c r="B301" s="34" t="str">
        <x:v>default</x:v>
      </x:c>
      <x:c r="C301" s="34" t="str">
        <x:v>ehcache</x:v>
      </x:c>
      <x:c r="D301" s="36" t="n">
        <x:v>5</x:v>
      </x:c>
      <x:c r="E301" s="36" t="n">
        <x:v>5</x:v>
      </x:c>
      <x:c r="F301" s="36" t="n">
        <x:v>6</x:v>
      </x:c>
      <x:c r="G301" s="36" t="n">
        <x:v>5</x:v>
      </x:c>
      <x:c r="H301" s="34" t="str">
        <x:v>redeploy</x:v>
      </x:c>
      <x:c r="I301" s="34" t="str">
        <x:v>cache-semantics</x:v>
      </x:c>
      <x:c r="J301" s="45" t="b">
        <x:v>1</x:v>
      </x:c>
      <x:c r="K301" s="45" t="b">
        <x:v>1</x:v>
      </x:c>
      <x:c r="L301" s="45" t="b">
        <x:v>1</x:v>
      </x:c>
      <x:c r="M301" s="43" t="n">
        <x:v>400000</x:v>
      </x:c>
      <x:c r="N301" s="43" t="n">
        <x:v>129245440</x:v>
      </x:c>
      <x:c r="O301" s="43" t="n">
        <x:v>25838327.287535187</x:v>
      </x:c>
      <x:c r="P301" s="45" t="b">
        <x:v>1</x:v>
      </x:c>
      <x:c r="Q301" s="45" t="b">
        <x:v>1</x:v>
      </x:c>
      <x:c r="R301" s="45" t="b">
        <x:v>1</x:v>
      </x:c>
      <x:c r="S301" s="43" t="n">
        <x:v>5000000000</x:v>
      </x:c>
      <x:c r="T301" s="43" t="n">
        <x:v>5002082316</x:v>
      </x:c>
      <x:c r="U301" s="45" t="b">
        <x:v>1</x:v>
      </x:c>
      <x:c r="V301" s="34" t="str">
        <x:v>uniform</x:v>
      </x:c>
      <x:c r="W301" s="42" t="n">
        <x:v>95</x:v>
      </x:c>
      <x:c r="X301" s="48" t="n">
        <x:v>0.95</x:v>
      </x:c>
      <x:c r="Y301" s="48" t="n">
        <x:v>0.9507601738212196</x:v>
      </x:c>
      <x:c r="Z301" s="45" t="b">
        <x:v>1</x:v>
      </x:c>
      <x:c r="AA301" s="43" t="n">
        <x:v>10000</x:v>
      </x:c>
      <x:c r="AB301" s="43" t="n">
        <x:v>9900</x:v>
      </x:c>
      <x:c r="AC301" s="43" t="n">
        <x:v>10000</x:v>
      </x:c>
      <x:c r="AD301" s="45" t="b">
        <x:v>1</x:v>
      </x:c>
      <x:c r="AE301" s="43" t="n">
        <x:v>9900</x:v>
      </x:c>
      <x:c r="AF301" s="43"/>
      <x:c r="AG301" s="43" t="n">
        <x:v>10000</x:v>
      </x:c>
      <x:c r="AH301" s="45" t="b">
        <x:v>1</x:v>
      </x:c>
      <x:c r="AI301" s="45" t="b">
        <x:v>1</x:v>
      </x:c>
      <x:c r="AJ301" s="49"/>
      <x:c r="AK301" s="48" t="n">
        <x:v>0.9507601738212196</x:v>
      </x:c>
      <x:c r="AL301" s="49"/>
      <x:c r="AM301" s="49"/>
      <x:c r="AN301" s="36" t="n">
        <x:v>1</x:v>
      </x:c>
      <x:c r="AO301" s="45" t="b">
        <x:v>1</x:v>
      </x:c>
      <x:c r="AP301" s="45" t="b">
        <x:v>1</x:v>
      </x:c>
      <x:c r="AQ301" s="46" t="n">
        <x:f>IF(T301="","",T301/'Readme-Protocol'!$B$24)</x:f>
        <x:v>5.002082316</x:v>
      </x:c>
      <x:c r="AR301" s="46" t="n">
        <x:f>IF(OR(S301="",S301=0),"",T301/S301)</x:f>
        <x:v>1.0004164632</x:v>
      </x:c>
      <x:c r="AS301" s="46" t="n">
        <x:f>IF(OR(X301="",Y301=""),"",ABS(Y301-X301)*'Readme-Protocol'!$B$27)</x:f>
        <x:v>0.0760173821219623</x:v>
      </x:c>
      <x:c r="AT301" s="49" t="b">
        <x:f>AND(M301&gt;0,N301&gt;=0,O301&gt;0)</x:f>
        <x:v>1</x:v>
      </x:c>
      <x:c r="AU301" s="49" t="b">
        <x:f>AND(AT301,N301&gt;=M301)</x:f>
        <x:v>1</x:v>
      </x:c>
      <x:c r="AV301" s="49" t="b">
        <x:f>OR(S301=0,T301&gt;=S301)</x:f>
        <x:v>1</x:v>
      </x:c>
      <x:c r="AW301" s="49" t="b">
        <x:f>IF(I301="cache-semantics",OR(V301&lt;&gt;"uniform",ABS(Y301-W301/'Readme-Protocol'!$B$27)&lt;='Readme-Protocol'!$B$28),TRUE)</x:f>
        <x:v>1</x:v>
      </x:c>
      <x:c r="AX301" s="43" t="n">
        <x:f>IF(I301="cache-semantics",INT(AA301*'Readme-Protocol'!$B$32),"")</x:f>
        <x:v>9900</x:v>
      </x:c>
      <x:c r="AY301" s="49" t="b">
        <x:f>IF(I301="cache-semantics",AX301=AB301,TRUE)</x:f>
        <x:v>1</x:v>
      </x:c>
      <x:c r="AZ301" s="49" t="b">
        <x:f>IF(I301="cache-semantics",AX301=AE301,TRUE)</x:f>
        <x:v>1</x:v>
      </x:c>
      <x:c r="BA301" s="49" t="b">
        <x:f>IF(I301="cache-semantics",AC301&gt;=AX301,IF(I301="no-store-control",AC301=0,FALSE))</x:f>
        <x:v>1</x:v>
      </x:c>
      <x:c r="BB301" s="49" t="b">
        <x:f>IF(I301="cache-semantics",AG301&gt;=AX301,IF(I301="no-store-control",AG301=0,FALSE))</x:f>
        <x:v>1</x:v>
      </x:c>
      <x:c r="BC301" s="49" t="b">
        <x:f>AND(BA301,BB301)</x:f>
        <x:v>1</x:v>
      </x:c>
      <x:c r="BD301" s="49" t="b">
        <x:f>IF(I301="no-store-control",AND(AC301=0,AG301=0),TRUE)</x:f>
        <x:v>1</x:v>
      </x:c>
      <x:c r="BE301" s="49" t="b">
        <x:f>IF(I301="no-store-control",AK301=0,TRUE)</x:f>
        <x:v>1</x:v>
      </x:c>
      <x:c r="BF301" s="49" t="b">
        <x:f>IF(I301="cache-semantics",AN301=1,TRUE)</x:f>
        <x:v>1</x:v>
      </x:c>
      <x:c r="BG301" s="49" t="b">
        <x:f>IF(I301="cache-semantics",AND(AU301,AV301,Q301,AW301,BC301,BF301),IF(I301="no-store-control",AND(AU301,AV301,Q301,BD301,BE301),FALSE))</x:f>
        <x:v>1</x:v>
      </x:c>
      <x:c r="BH301" s="49" t="b">
        <x:f>AND(R301,AT301=P301,AU301=L301,AV301=U301,AY301,AZ301,IF(I301="cache-semantics",AND(AW301=Z301,AND(BA301=AD301,BB301=AH301,BC301=AI301),BF301=AO301),IF(I301="no-store-control",AND(AND(BA301=AD301,BB301=AH301,BC301=AI301),BD301=AJ301,BE301=AL301),FALSE)),BG301=AP301)</x:f>
        <x:v>1</x:v>
      </x:c>
      <x:c r="BI301" s="49" t="b">
        <x:f>AND(J301,K301,BG301)</x:f>
        <x:v>1</x:v>
      </x:c>
    </x:row>
    <x:row r="302">
      <x:c r="A302" s="34" t="str">
        <x:v>article1-unified-v4-2-fb3f101b-20260903-000401-default-f06-p1-nostore</x:v>
      </x:c>
      <x:c r="B302" s="34" t="str">
        <x:v>default</x:v>
      </x:c>
      <x:c r="C302" s="34" t="str">
        <x:v>nostore</x:v>
      </x:c>
      <x:c r="D302" s="36" t="n">
        <x:v>6</x:v>
      </x:c>
      <x:c r="E302" s="36" t="n">
        <x:v>6</x:v>
      </x:c>
      <x:c r="F302" s="36" t="n">
        <x:v>1</x:v>
      </x:c>
      <x:c r="G302" s="36" t="n">
        <x:v>1</x:v>
      </x:c>
      <x:c r="H302" s="34" t="str">
        <x:v>initial</x:v>
      </x:c>
      <x:c r="I302" s="34" t="str">
        <x:v>no-store-control</x:v>
      </x:c>
      <x:c r="J302" s="45" t="b">
        <x:v>1</x:v>
      </x:c>
      <x:c r="K302" s="45" t="b">
        <x:v>0</x:v>
      </x:c>
      <x:c r="L302" s="45" t="b">
        <x:v>1</x:v>
      </x:c>
      <x:c r="M302" s="43" t="n">
        <x:v>400000</x:v>
      </x:c>
      <x:c r="N302" s="43" t="n">
        <x:v>522422272</x:v>
      </x:c>
      <x:c r="O302" s="43" t="n">
        <x:v>104103723.20285307</x:v>
      </x:c>
      <x:c r="P302" s="45" t="b">
        <x:v>1</x:v>
      </x:c>
      <x:c r="Q302" s="45" t="b">
        <x:v>1</x:v>
      </x:c>
      <x:c r="R302" s="45" t="b">
        <x:v>1</x:v>
      </x:c>
      <x:c r="S302" s="43" t="n">
        <x:v>5000000000</x:v>
      </x:c>
      <x:c r="T302" s="43" t="n">
        <x:v>5018286147</x:v>
      </x:c>
      <x:c r="U302" s="45" t="b">
        <x:v>1</x:v>
      </x:c>
      <x:c r="V302" s="34" t="str">
        <x:v>uniform</x:v>
      </x:c>
      <x:c r="W302" s="42" t="n">
        <x:v>95</x:v>
      </x:c>
      <x:c r="X302" s="48"/>
      <x:c r="Y302" s="48"/>
      <x:c r="Z302" s="49"/>
      <x:c r="AA302" s="43" t="n">
        <x:v>10000</x:v>
      </x:c>
      <x:c r="AB302" s="43"/>
      <x:c r="AC302" s="43" t="n">
        <x:v>0</x:v>
      </x:c>
      <x:c r="AD302" s="45" t="b">
        <x:v>1</x:v>
      </x:c>
      <x:c r="AE302" s="43"/>
      <x:c r="AF302" s="43" t="n">
        <x:v>0</x:v>
      </x:c>
      <x:c r="AG302" s="43" t="n">
        <x:v>0</x:v>
      </x:c>
      <x:c r="AH302" s="45" t="b">
        <x:v>1</x:v>
      </x:c>
      <x:c r="AI302" s="45" t="b">
        <x:v>1</x:v>
      </x:c>
      <x:c r="AJ302" s="45" t="b">
        <x:v>1</x:v>
      </x:c>
      <x:c r="AK302" s="48" t="n">
        <x:v>0</x:v>
      </x:c>
      <x:c r="AL302" s="45" t="b">
        <x:v>1</x:v>
      </x:c>
      <x:c r="AM302" s="45" t="b">
        <x:v>0</x:v>
      </x:c>
      <x:c r="AN302" s="36" t="n">
        <x:v>16</x:v>
      </x:c>
      <x:c r="AO302" s="49"/>
      <x:c r="AP302" s="45" t="b">
        <x:v>1</x:v>
      </x:c>
      <x:c r="AQ302" s="46" t="n">
        <x:f>IF(T302="","",T302/'Readme-Protocol'!$B$24)</x:f>
        <x:v>5.018286147</x:v>
      </x:c>
      <x:c r="AR302" s="46" t="n">
        <x:f>IF(OR(S302="",S302=0),"",T302/S302)</x:f>
        <x:v>1.0036572294</x:v>
      </x:c>
      <x:c r="AS302" s="46" t="str">
        <x:f>IF(OR(X302="",Y302=""),"",ABS(Y302-X302)*'Readme-Protocol'!$B$27)</x:f>
      </x:c>
      <x:c r="AT302" s="49" t="b">
        <x:f>AND(M302&gt;0,N302&gt;=0,O302&gt;0)</x:f>
        <x:v>1</x:v>
      </x:c>
      <x:c r="AU302" s="49" t="b">
        <x:f>AND(AT302,N302&gt;=M302)</x:f>
        <x:v>1</x:v>
      </x:c>
      <x:c r="AV302" s="49" t="b">
        <x:f>OR(S302=0,T302&gt;=S302)</x:f>
        <x:v>1</x:v>
      </x:c>
      <x:c r="AW302" s="49" t="b">
        <x:f>IF(I302="cache-semantics",OR(V302&lt;&gt;"uniform",ABS(Y302-W302/'Readme-Protocol'!$B$27)&lt;='Readme-Protocol'!$B$28),TRUE)</x:f>
        <x:v>1</x:v>
      </x:c>
      <x:c r="AX302" s="43" t="str">
        <x:f>IF(I302="cache-semantics",INT(AA302*'Readme-Protocol'!$B$32),"")</x:f>
      </x:c>
      <x:c r="AY302" s="49" t="b">
        <x:f>IF(I302="cache-semantics",AX302=AB302,TRUE)</x:f>
        <x:v>1</x:v>
      </x:c>
      <x:c r="AZ302" s="49" t="b">
        <x:f>IF(I302="cache-semantics",AX302=AE302,TRUE)</x:f>
        <x:v>1</x:v>
      </x:c>
      <x:c r="BA302" s="49" t="b">
        <x:f>IF(I302="cache-semantics",AC302&gt;=AX302,IF(I302="no-store-control",AC302=0,FALSE))</x:f>
        <x:v>1</x:v>
      </x:c>
      <x:c r="BB302" s="49" t="b">
        <x:f>IF(I302="cache-semantics",AG302&gt;=AX302,IF(I302="no-store-control",AG302=0,FALSE))</x:f>
        <x:v>1</x:v>
      </x:c>
      <x:c r="BC302" s="49" t="b">
        <x:f>AND(BA302,BB302)</x:f>
        <x:v>1</x:v>
      </x:c>
      <x:c r="BD302" s="49" t="b">
        <x:f>IF(I302="no-store-control",AND(AC302=0,AG302=0),TRUE)</x:f>
        <x:v>1</x:v>
      </x:c>
      <x:c r="BE302" s="49" t="b">
        <x:f>IF(I302="no-store-control",AK302=0,TRUE)</x:f>
        <x:v>1</x:v>
      </x:c>
      <x:c r="BF302" s="49" t="b">
        <x:f>IF(I302="cache-semantics",AN302=1,TRUE)</x:f>
        <x:v>1</x:v>
      </x:c>
      <x:c r="BG302" s="49" t="b">
        <x:f>IF(I302="cache-semantics",AND(AU302,AV302,Q302,AW302,BC302,BF302),IF(I302="no-store-control",AND(AU302,AV302,Q302,BD302,BE302),FALSE))</x:f>
        <x:v>1</x:v>
      </x:c>
      <x:c r="BH302" s="49" t="b">
        <x:f>AND(R302,AT302=P302,AU302=L302,AV302=U302,AY302,AZ302,IF(I302="cache-semantics",AND(AW302=Z302,AND(BA302=AD302,BB302=AH302,BC302=AI302),BF302=AO302),IF(I302="no-store-control",AND(AND(BA302=AD302,BB302=AH302,BC302=AI302),BD302=AJ302,BE302=AL302),FALSE)),BG302=AP302)</x:f>
        <x:v>1</x:v>
      </x:c>
      <x:c r="BI302" s="49" t="b">
        <x:f>AND(J302,K302,BG302)</x:f>
        <x:v>0</x:v>
      </x:c>
    </x:row>
    <x:row r="303">
      <x:c r="A303" s="34" t="str">
        <x:v>article1-unified-v4-2-fb3f101b-20260903-000401-default-f06-p1-nostore</x:v>
      </x:c>
      <x:c r="B303" s="34" t="str">
        <x:v>default</x:v>
      </x:c>
      <x:c r="C303" s="34" t="str">
        <x:v>nostore</x:v>
      </x:c>
      <x:c r="D303" s="36" t="n">
        <x:v>6</x:v>
      </x:c>
      <x:c r="E303" s="36" t="n">
        <x:v>6</x:v>
      </x:c>
      <x:c r="F303" s="36" t="n">
        <x:v>1</x:v>
      </x:c>
      <x:c r="G303" s="36" t="n">
        <x:v>1</x:v>
      </x:c>
      <x:c r="H303" s="34" t="str">
        <x:v>redeploy</x:v>
      </x:c>
      <x:c r="I303" s="34" t="str">
        <x:v>no-store-control</x:v>
      </x:c>
      <x:c r="J303" s="45" t="b">
        <x:v>1</x:v>
      </x:c>
      <x:c r="K303" s="45" t="b">
        <x:v>0</x:v>
      </x:c>
      <x:c r="L303" s="45" t="b">
        <x:v>1</x:v>
      </x:c>
      <x:c r="M303" s="43" t="n">
        <x:v>400000</x:v>
      </x:c>
      <x:c r="N303" s="43" t="n">
        <x:v>494982656</x:v>
      </x:c>
      <x:c r="O303" s="43" t="n">
        <x:v>98855183.82716206</x:v>
      </x:c>
      <x:c r="P303" s="45" t="b">
        <x:v>1</x:v>
      </x:c>
      <x:c r="Q303" s="45" t="b">
        <x:v>1</x:v>
      </x:c>
      <x:c r="R303" s="45" t="b">
        <x:v>1</x:v>
      </x:c>
      <x:c r="S303" s="43" t="n">
        <x:v>5000000000</x:v>
      </x:c>
      <x:c r="T303" s="43" t="n">
        <x:v>5007149214</x:v>
      </x:c>
      <x:c r="U303" s="45" t="b">
        <x:v>1</x:v>
      </x:c>
      <x:c r="V303" s="34" t="str">
        <x:v>uniform</x:v>
      </x:c>
      <x:c r="W303" s="42" t="n">
        <x:v>95</x:v>
      </x:c>
      <x:c r="X303" s="48"/>
      <x:c r="Y303" s="48"/>
      <x:c r="Z303" s="49"/>
      <x:c r="AA303" s="43" t="n">
        <x:v>10000</x:v>
      </x:c>
      <x:c r="AB303" s="43"/>
      <x:c r="AC303" s="43" t="n">
        <x:v>0</x:v>
      </x:c>
      <x:c r="AD303" s="45" t="b">
        <x:v>1</x:v>
      </x:c>
      <x:c r="AE303" s="43"/>
      <x:c r="AF303" s="43" t="n">
        <x:v>0</x:v>
      </x:c>
      <x:c r="AG303" s="43" t="n">
        <x:v>0</x:v>
      </x:c>
      <x:c r="AH303" s="45" t="b">
        <x:v>1</x:v>
      </x:c>
      <x:c r="AI303" s="45" t="b">
        <x:v>1</x:v>
      </x:c>
      <x:c r="AJ303" s="45" t="b">
        <x:v>1</x:v>
      </x:c>
      <x:c r="AK303" s="48" t="n">
        <x:v>0</x:v>
      </x:c>
      <x:c r="AL303" s="45" t="b">
        <x:v>1</x:v>
      </x:c>
      <x:c r="AM303" s="45" t="b">
        <x:v>0</x:v>
      </x:c>
      <x:c r="AN303" s="36" t="n">
        <x:v>16</x:v>
      </x:c>
      <x:c r="AO303" s="49"/>
      <x:c r="AP303" s="45" t="b">
        <x:v>1</x:v>
      </x:c>
      <x:c r="AQ303" s="46" t="n">
        <x:f>IF(T303="","",T303/'Readme-Protocol'!$B$24)</x:f>
        <x:v>5.007149214</x:v>
      </x:c>
      <x:c r="AR303" s="46" t="n">
        <x:f>IF(OR(S303="",S303=0),"",T303/S303)</x:f>
        <x:v>1.0014298428</x:v>
      </x:c>
      <x:c r="AS303" s="46" t="str">
        <x:f>IF(OR(X303="",Y303=""),"",ABS(Y303-X303)*'Readme-Protocol'!$B$27)</x:f>
      </x:c>
      <x:c r="AT303" s="49" t="b">
        <x:f>AND(M303&gt;0,N303&gt;=0,O303&gt;0)</x:f>
        <x:v>1</x:v>
      </x:c>
      <x:c r="AU303" s="49" t="b">
        <x:f>AND(AT303,N303&gt;=M303)</x:f>
        <x:v>1</x:v>
      </x:c>
      <x:c r="AV303" s="49" t="b">
        <x:f>OR(S303=0,T303&gt;=S303)</x:f>
        <x:v>1</x:v>
      </x:c>
      <x:c r="AW303" s="49" t="b">
        <x:f>IF(I303="cache-semantics",OR(V303&lt;&gt;"uniform",ABS(Y303-W303/'Readme-Protocol'!$B$27)&lt;='Readme-Protocol'!$B$28),TRUE)</x:f>
        <x:v>1</x:v>
      </x:c>
      <x:c r="AX303" s="43" t="str">
        <x:f>IF(I303="cache-semantics",INT(AA303*'Readme-Protocol'!$B$32),"")</x:f>
      </x:c>
      <x:c r="AY303" s="49" t="b">
        <x:f>IF(I303="cache-semantics",AX303=AB303,TRUE)</x:f>
        <x:v>1</x:v>
      </x:c>
      <x:c r="AZ303" s="49" t="b">
        <x:f>IF(I303="cache-semantics",AX303=AE303,TRUE)</x:f>
        <x:v>1</x:v>
      </x:c>
      <x:c r="BA303" s="49" t="b">
        <x:f>IF(I303="cache-semantics",AC303&gt;=AX303,IF(I303="no-store-control",AC303=0,FALSE))</x:f>
        <x:v>1</x:v>
      </x:c>
      <x:c r="BB303" s="49" t="b">
        <x:f>IF(I303="cache-semantics",AG303&gt;=AX303,IF(I303="no-store-control",AG303=0,FALSE))</x:f>
        <x:v>1</x:v>
      </x:c>
      <x:c r="BC303" s="49" t="b">
        <x:f>AND(BA303,BB303)</x:f>
        <x:v>1</x:v>
      </x:c>
      <x:c r="BD303" s="49" t="b">
        <x:f>IF(I303="no-store-control",AND(AC303=0,AG303=0),TRUE)</x:f>
        <x:v>1</x:v>
      </x:c>
      <x:c r="BE303" s="49" t="b">
        <x:f>IF(I303="no-store-control",AK303=0,TRUE)</x:f>
        <x:v>1</x:v>
      </x:c>
      <x:c r="BF303" s="49" t="b">
        <x:f>IF(I303="cache-semantics",AN303=1,TRUE)</x:f>
        <x:v>1</x:v>
      </x:c>
      <x:c r="BG303" s="49" t="b">
        <x:f>IF(I303="cache-semantics",AND(AU303,AV303,Q303,AW303,BC303,BF303),IF(I303="no-store-control",AND(AU303,AV303,Q303,BD303,BE303),FALSE))</x:f>
        <x:v>1</x:v>
      </x:c>
      <x:c r="BH303" s="49" t="b">
        <x:f>AND(R303,AT303=P303,AU303=L303,AV303=U303,AY303,AZ303,IF(I303="cache-semantics",AND(AW303=Z303,AND(BA303=AD303,BB303=AH303,BC303=AI303),BF303=AO303),IF(I303="no-store-control",AND(AND(BA303=AD303,BB303=AH303,BC303=AI303),BD303=AJ303,BE303=AL303),FALSE)),BG303=AP303)</x:f>
        <x:v>1</x:v>
      </x:c>
      <x:c r="BI303" s="49" t="b">
        <x:f>AND(J303,K303,BG303)</x:f>
        <x:v>0</x:v>
      </x:c>
    </x:row>
    <x:row r="304">
      <x:c r="A304" s="34" t="str">
        <x:v>article1-unified-v4-2-fb3f101b-20260903-000401-default-f06-p1-nostore</x:v>
      </x:c>
      <x:c r="B304" s="34" t="str">
        <x:v>default</x:v>
      </x:c>
      <x:c r="C304" s="34" t="str">
        <x:v>nostore</x:v>
      </x:c>
      <x:c r="D304" s="36" t="n">
        <x:v>6</x:v>
      </x:c>
      <x:c r="E304" s="36" t="n">
        <x:v>6</x:v>
      </x:c>
      <x:c r="F304" s="36" t="n">
        <x:v>1</x:v>
      </x:c>
      <x:c r="G304" s="36" t="n">
        <x:v>2</x:v>
      </x:c>
      <x:c r="H304" s="34" t="str">
        <x:v>initial</x:v>
      </x:c>
      <x:c r="I304" s="34" t="str">
        <x:v>no-store-control</x:v>
      </x:c>
      <x:c r="J304" s="45" t="b">
        <x:v>1</x:v>
      </x:c>
      <x:c r="K304" s="45" t="b">
        <x:v>0</x:v>
      </x:c>
      <x:c r="L304" s="45" t="b">
        <x:v>1</x:v>
      </x:c>
      <x:c r="M304" s="43" t="n">
        <x:v>400000</x:v>
      </x:c>
      <x:c r="N304" s="43" t="n">
        <x:v>521945088</x:v>
      </x:c>
      <x:c r="O304" s="43" t="n">
        <x:v>104267786.1957183</x:v>
      </x:c>
      <x:c r="P304" s="45" t="b">
        <x:v>1</x:v>
      </x:c>
      <x:c r="Q304" s="45" t="b">
        <x:v>1</x:v>
      </x:c>
      <x:c r="R304" s="45" t="b">
        <x:v>1</x:v>
      </x:c>
      <x:c r="S304" s="43" t="n">
        <x:v>5000000000</x:v>
      </x:c>
      <x:c r="T304" s="43" t="n">
        <x:v>5005813464</x:v>
      </x:c>
      <x:c r="U304" s="45" t="b">
        <x:v>1</x:v>
      </x:c>
      <x:c r="V304" s="34" t="str">
        <x:v>uniform</x:v>
      </x:c>
      <x:c r="W304" s="42" t="n">
        <x:v>95</x:v>
      </x:c>
      <x:c r="X304" s="48"/>
      <x:c r="Y304" s="48"/>
      <x:c r="Z304" s="49"/>
      <x:c r="AA304" s="43" t="n">
        <x:v>10000</x:v>
      </x:c>
      <x:c r="AB304" s="43"/>
      <x:c r="AC304" s="43" t="n">
        <x:v>0</x:v>
      </x:c>
      <x:c r="AD304" s="45" t="b">
        <x:v>1</x:v>
      </x:c>
      <x:c r="AE304" s="43"/>
      <x:c r="AF304" s="43" t="n">
        <x:v>0</x:v>
      </x:c>
      <x:c r="AG304" s="43" t="n">
        <x:v>0</x:v>
      </x:c>
      <x:c r="AH304" s="45" t="b">
        <x:v>1</x:v>
      </x:c>
      <x:c r="AI304" s="45" t="b">
        <x:v>1</x:v>
      </x:c>
      <x:c r="AJ304" s="45" t="b">
        <x:v>1</x:v>
      </x:c>
      <x:c r="AK304" s="48" t="n">
        <x:v>0</x:v>
      </x:c>
      <x:c r="AL304" s="45" t="b">
        <x:v>1</x:v>
      </x:c>
      <x:c r="AM304" s="45" t="b">
        <x:v>0</x:v>
      </x:c>
      <x:c r="AN304" s="36" t="n">
        <x:v>16</x:v>
      </x:c>
      <x:c r="AO304" s="49"/>
      <x:c r="AP304" s="45" t="b">
        <x:v>1</x:v>
      </x:c>
      <x:c r="AQ304" s="46" t="n">
        <x:f>IF(T304="","",T304/'Readme-Protocol'!$B$24)</x:f>
        <x:v>5.005813464</x:v>
      </x:c>
      <x:c r="AR304" s="46" t="n">
        <x:f>IF(OR(S304="",S304=0),"",T304/S304)</x:f>
        <x:v>1.0011626928</x:v>
      </x:c>
      <x:c r="AS304" s="46" t="str">
        <x:f>IF(OR(X304="",Y304=""),"",ABS(Y304-X304)*'Readme-Protocol'!$B$27)</x:f>
      </x:c>
      <x:c r="AT304" s="49" t="b">
        <x:f>AND(M304&gt;0,N304&gt;=0,O304&gt;0)</x:f>
        <x:v>1</x:v>
      </x:c>
      <x:c r="AU304" s="49" t="b">
        <x:f>AND(AT304,N304&gt;=M304)</x:f>
        <x:v>1</x:v>
      </x:c>
      <x:c r="AV304" s="49" t="b">
        <x:f>OR(S304=0,T304&gt;=S304)</x:f>
        <x:v>1</x:v>
      </x:c>
      <x:c r="AW304" s="49" t="b">
        <x:f>IF(I304="cache-semantics",OR(V304&lt;&gt;"uniform",ABS(Y304-W304/'Readme-Protocol'!$B$27)&lt;='Readme-Protocol'!$B$28),TRUE)</x:f>
        <x:v>1</x:v>
      </x:c>
      <x:c r="AX304" s="43" t="str">
        <x:f>IF(I304="cache-semantics",INT(AA304*'Readme-Protocol'!$B$32),"")</x:f>
      </x:c>
      <x:c r="AY304" s="49" t="b">
        <x:f>IF(I304="cache-semantics",AX304=AB304,TRUE)</x:f>
        <x:v>1</x:v>
      </x:c>
      <x:c r="AZ304" s="49" t="b">
        <x:f>IF(I304="cache-semantics",AX304=AE304,TRUE)</x:f>
        <x:v>1</x:v>
      </x:c>
      <x:c r="BA304" s="49" t="b">
        <x:f>IF(I304="cache-semantics",AC304&gt;=AX304,IF(I304="no-store-control",AC304=0,FALSE))</x:f>
        <x:v>1</x:v>
      </x:c>
      <x:c r="BB304" s="49" t="b">
        <x:f>IF(I304="cache-semantics",AG304&gt;=AX304,IF(I304="no-store-control",AG304=0,FALSE))</x:f>
        <x:v>1</x:v>
      </x:c>
      <x:c r="BC304" s="49" t="b">
        <x:f>AND(BA304,BB304)</x:f>
        <x:v>1</x:v>
      </x:c>
      <x:c r="BD304" s="49" t="b">
        <x:f>IF(I304="no-store-control",AND(AC304=0,AG304=0),TRUE)</x:f>
        <x:v>1</x:v>
      </x:c>
      <x:c r="BE304" s="49" t="b">
        <x:f>IF(I304="no-store-control",AK304=0,TRUE)</x:f>
        <x:v>1</x:v>
      </x:c>
      <x:c r="BF304" s="49" t="b">
        <x:f>IF(I304="cache-semantics",AN304=1,TRUE)</x:f>
        <x:v>1</x:v>
      </x:c>
      <x:c r="BG304" s="49" t="b">
        <x:f>IF(I304="cache-semantics",AND(AU304,AV304,Q304,AW304,BC304,BF304),IF(I304="no-store-control",AND(AU304,AV304,Q304,BD304,BE304),FALSE))</x:f>
        <x:v>1</x:v>
      </x:c>
      <x:c r="BH304" s="49" t="b">
        <x:f>AND(R304,AT304=P304,AU304=L304,AV304=U304,AY304,AZ304,IF(I304="cache-semantics",AND(AW304=Z304,AND(BA304=AD304,BB304=AH304,BC304=AI304),BF304=AO304),IF(I304="no-store-control",AND(AND(BA304=AD304,BB304=AH304,BC304=AI304),BD304=AJ304,BE304=AL304),FALSE)),BG304=AP304)</x:f>
        <x:v>1</x:v>
      </x:c>
      <x:c r="BI304" s="49" t="b">
        <x:f>AND(J304,K304,BG304)</x:f>
        <x:v>0</x:v>
      </x:c>
    </x:row>
    <x:row r="305">
      <x:c r="A305" s="34" t="str">
        <x:v>article1-unified-v4-2-fb3f101b-20260903-000401-default-f06-p1-nostore</x:v>
      </x:c>
      <x:c r="B305" s="34" t="str">
        <x:v>default</x:v>
      </x:c>
      <x:c r="C305" s="34" t="str">
        <x:v>nostore</x:v>
      </x:c>
      <x:c r="D305" s="36" t="n">
        <x:v>6</x:v>
      </x:c>
      <x:c r="E305" s="36" t="n">
        <x:v>6</x:v>
      </x:c>
      <x:c r="F305" s="36" t="n">
        <x:v>1</x:v>
      </x:c>
      <x:c r="G305" s="36" t="n">
        <x:v>2</x:v>
      </x:c>
      <x:c r="H305" s="34" t="str">
        <x:v>redeploy</x:v>
      </x:c>
      <x:c r="I305" s="34" t="str">
        <x:v>no-store-control</x:v>
      </x:c>
      <x:c r="J305" s="45" t="b">
        <x:v>1</x:v>
      </x:c>
      <x:c r="K305" s="45" t="b">
        <x:v>0</x:v>
      </x:c>
      <x:c r="L305" s="45" t="b">
        <x:v>1</x:v>
      </x:c>
      <x:c r="M305" s="43" t="n">
        <x:v>400000</x:v>
      </x:c>
      <x:c r="N305" s="43" t="n">
        <x:v>528489984</x:v>
      </x:c>
      <x:c r="O305" s="43" t="n">
        <x:v>104505465.2059036</x:v>
      </x:c>
      <x:c r="P305" s="45" t="b">
        <x:v>1</x:v>
      </x:c>
      <x:c r="Q305" s="45" t="b">
        <x:v>1</x:v>
      </x:c>
      <x:c r="R305" s="45" t="b">
        <x:v>1</x:v>
      </x:c>
      <x:c r="S305" s="43" t="n">
        <x:v>5000000000</x:v>
      </x:c>
      <x:c r="T305" s="43" t="n">
        <x:v>5057055944</x:v>
      </x:c>
      <x:c r="U305" s="45" t="b">
        <x:v>1</x:v>
      </x:c>
      <x:c r="V305" s="34" t="str">
        <x:v>uniform</x:v>
      </x:c>
      <x:c r="W305" s="42" t="n">
        <x:v>95</x:v>
      </x:c>
      <x:c r="X305" s="48"/>
      <x:c r="Y305" s="48"/>
      <x:c r="Z305" s="49"/>
      <x:c r="AA305" s="43" t="n">
        <x:v>10000</x:v>
      </x:c>
      <x:c r="AB305" s="43"/>
      <x:c r="AC305" s="43" t="n">
        <x:v>0</x:v>
      </x:c>
      <x:c r="AD305" s="45" t="b">
        <x:v>1</x:v>
      </x:c>
      <x:c r="AE305" s="43"/>
      <x:c r="AF305" s="43" t="n">
        <x:v>0</x:v>
      </x:c>
      <x:c r="AG305" s="43" t="n">
        <x:v>0</x:v>
      </x:c>
      <x:c r="AH305" s="45" t="b">
        <x:v>1</x:v>
      </x:c>
      <x:c r="AI305" s="45" t="b">
        <x:v>1</x:v>
      </x:c>
      <x:c r="AJ305" s="45" t="b">
        <x:v>1</x:v>
      </x:c>
      <x:c r="AK305" s="48" t="n">
        <x:v>0</x:v>
      </x:c>
      <x:c r="AL305" s="45" t="b">
        <x:v>1</x:v>
      </x:c>
      <x:c r="AM305" s="45" t="b">
        <x:v>0</x:v>
      </x:c>
      <x:c r="AN305" s="36" t="n">
        <x:v>16</x:v>
      </x:c>
      <x:c r="AO305" s="49"/>
      <x:c r="AP305" s="45" t="b">
        <x:v>1</x:v>
      </x:c>
      <x:c r="AQ305" s="46" t="n">
        <x:f>IF(T305="","",T305/'Readme-Protocol'!$B$24)</x:f>
        <x:v>5.057055944</x:v>
      </x:c>
      <x:c r="AR305" s="46" t="n">
        <x:f>IF(OR(S305="",S305=0),"",T305/S305)</x:f>
        <x:v>1.0114111888</x:v>
      </x:c>
      <x:c r="AS305" s="46" t="str">
        <x:f>IF(OR(X305="",Y305=""),"",ABS(Y305-X305)*'Readme-Protocol'!$B$27)</x:f>
      </x:c>
      <x:c r="AT305" s="49" t="b">
        <x:f>AND(M305&gt;0,N305&gt;=0,O305&gt;0)</x:f>
        <x:v>1</x:v>
      </x:c>
      <x:c r="AU305" s="49" t="b">
        <x:f>AND(AT305,N305&gt;=M305)</x:f>
        <x:v>1</x:v>
      </x:c>
      <x:c r="AV305" s="49" t="b">
        <x:f>OR(S305=0,T305&gt;=S305)</x:f>
        <x:v>1</x:v>
      </x:c>
      <x:c r="AW305" s="49" t="b">
        <x:f>IF(I305="cache-semantics",OR(V305&lt;&gt;"uniform",ABS(Y305-W305/'Readme-Protocol'!$B$27)&lt;='Readme-Protocol'!$B$28),TRUE)</x:f>
        <x:v>1</x:v>
      </x:c>
      <x:c r="AX305" s="43" t="str">
        <x:f>IF(I305="cache-semantics",INT(AA305*'Readme-Protocol'!$B$32),"")</x:f>
      </x:c>
      <x:c r="AY305" s="49" t="b">
        <x:f>IF(I305="cache-semantics",AX305=AB305,TRUE)</x:f>
        <x:v>1</x:v>
      </x:c>
      <x:c r="AZ305" s="49" t="b">
        <x:f>IF(I305="cache-semantics",AX305=AE305,TRUE)</x:f>
        <x:v>1</x:v>
      </x:c>
      <x:c r="BA305" s="49" t="b">
        <x:f>IF(I305="cache-semantics",AC305&gt;=AX305,IF(I305="no-store-control",AC305=0,FALSE))</x:f>
        <x:v>1</x:v>
      </x:c>
      <x:c r="BB305" s="49" t="b">
        <x:f>IF(I305="cache-semantics",AG305&gt;=AX305,IF(I305="no-store-control",AG305=0,FALSE))</x:f>
        <x:v>1</x:v>
      </x:c>
      <x:c r="BC305" s="49" t="b">
        <x:f>AND(BA305,BB305)</x:f>
        <x:v>1</x:v>
      </x:c>
      <x:c r="BD305" s="49" t="b">
        <x:f>IF(I305="no-store-control",AND(AC305=0,AG305=0),TRUE)</x:f>
        <x:v>1</x:v>
      </x:c>
      <x:c r="BE305" s="49" t="b">
        <x:f>IF(I305="no-store-control",AK305=0,TRUE)</x:f>
        <x:v>1</x:v>
      </x:c>
      <x:c r="BF305" s="49" t="b">
        <x:f>IF(I305="cache-semantics",AN305=1,TRUE)</x:f>
        <x:v>1</x:v>
      </x:c>
      <x:c r="BG305" s="49" t="b">
        <x:f>IF(I305="cache-semantics",AND(AU305,AV305,Q305,AW305,BC305,BF305),IF(I305="no-store-control",AND(AU305,AV305,Q305,BD305,BE305),FALSE))</x:f>
        <x:v>1</x:v>
      </x:c>
      <x:c r="BH305" s="49" t="b">
        <x:f>AND(R305,AT305=P305,AU305=L305,AV305=U305,AY305,AZ305,IF(I305="cache-semantics",AND(AW305=Z305,AND(BA305=AD305,BB305=AH305,BC305=AI305),BF305=AO305),IF(I305="no-store-control",AND(AND(BA305=AD305,BB305=AH305,BC305=AI305),BD305=AJ305,BE305=AL305),FALSE)),BG305=AP305)</x:f>
        <x:v>1</x:v>
      </x:c>
      <x:c r="BI305" s="49" t="b">
        <x:f>AND(J305,K305,BG305)</x:f>
        <x:v>0</x:v>
      </x:c>
    </x:row>
    <x:row r="306">
      <x:c r="A306" s="34" t="str">
        <x:v>article1-unified-v4-2-fb3f101b-20260903-000401-default-f06-p1-nostore</x:v>
      </x:c>
      <x:c r="B306" s="34" t="str">
        <x:v>default</x:v>
      </x:c>
      <x:c r="C306" s="34" t="str">
        <x:v>nostore</x:v>
      </x:c>
      <x:c r="D306" s="36" t="n">
        <x:v>6</x:v>
      </x:c>
      <x:c r="E306" s="36" t="n">
        <x:v>6</x:v>
      </x:c>
      <x:c r="F306" s="36" t="n">
        <x:v>1</x:v>
      </x:c>
      <x:c r="G306" s="36" t="n">
        <x:v>3</x:v>
      </x:c>
      <x:c r="H306" s="34" t="str">
        <x:v>initial</x:v>
      </x:c>
      <x:c r="I306" s="34" t="str">
        <x:v>no-store-control</x:v>
      </x:c>
      <x:c r="J306" s="45" t="b">
        <x:v>1</x:v>
      </x:c>
      <x:c r="K306" s="45" t="b">
        <x:v>0</x:v>
      </x:c>
      <x:c r="L306" s="45" t="b">
        <x:v>1</x:v>
      </x:c>
      <x:c r="M306" s="43" t="n">
        <x:v>400000</x:v>
      </x:c>
      <x:c r="N306" s="43" t="n">
        <x:v>513903360</x:v>
      </x:c>
      <x:c r="O306" s="43" t="n">
        <x:v>102637791.75704771</x:v>
      </x:c>
      <x:c r="P306" s="45" t="b">
        <x:v>1</x:v>
      </x:c>
      <x:c r="Q306" s="45" t="b">
        <x:v>1</x:v>
      </x:c>
      <x:c r="R306" s="45" t="b">
        <x:v>1</x:v>
      </x:c>
      <x:c r="S306" s="43" t="n">
        <x:v>5000000000</x:v>
      </x:c>
      <x:c r="T306" s="43" t="n">
        <x:v>5006960411</x:v>
      </x:c>
      <x:c r="U306" s="45" t="b">
        <x:v>1</x:v>
      </x:c>
      <x:c r="V306" s="34" t="str">
        <x:v>uniform</x:v>
      </x:c>
      <x:c r="W306" s="42" t="n">
        <x:v>95</x:v>
      </x:c>
      <x:c r="X306" s="48"/>
      <x:c r="Y306" s="48"/>
      <x:c r="Z306" s="49"/>
      <x:c r="AA306" s="43" t="n">
        <x:v>10000</x:v>
      </x:c>
      <x:c r="AB306" s="43"/>
      <x:c r="AC306" s="43" t="n">
        <x:v>0</x:v>
      </x:c>
      <x:c r="AD306" s="45" t="b">
        <x:v>1</x:v>
      </x:c>
      <x:c r="AE306" s="43"/>
      <x:c r="AF306" s="43" t="n">
        <x:v>0</x:v>
      </x:c>
      <x:c r="AG306" s="43" t="n">
        <x:v>0</x:v>
      </x:c>
      <x:c r="AH306" s="45" t="b">
        <x:v>1</x:v>
      </x:c>
      <x:c r="AI306" s="45" t="b">
        <x:v>1</x:v>
      </x:c>
      <x:c r="AJ306" s="45" t="b">
        <x:v>1</x:v>
      </x:c>
      <x:c r="AK306" s="48" t="n">
        <x:v>0</x:v>
      </x:c>
      <x:c r="AL306" s="45" t="b">
        <x:v>1</x:v>
      </x:c>
      <x:c r="AM306" s="45" t="b">
        <x:v>0</x:v>
      </x:c>
      <x:c r="AN306" s="36" t="n">
        <x:v>16</x:v>
      </x:c>
      <x:c r="AO306" s="49"/>
      <x:c r="AP306" s="45" t="b">
        <x:v>1</x:v>
      </x:c>
      <x:c r="AQ306" s="46" t="n">
        <x:f>IF(T306="","",T306/'Readme-Protocol'!$B$24)</x:f>
        <x:v>5.006960411</x:v>
      </x:c>
      <x:c r="AR306" s="46" t="n">
        <x:f>IF(OR(S306="",S306=0),"",T306/S306)</x:f>
        <x:v>1.0013920822</x:v>
      </x:c>
      <x:c r="AS306" s="46" t="str">
        <x:f>IF(OR(X306="",Y306=""),"",ABS(Y306-X306)*'Readme-Protocol'!$B$27)</x:f>
      </x:c>
      <x:c r="AT306" s="49" t="b">
        <x:f>AND(M306&gt;0,N306&gt;=0,O306&gt;0)</x:f>
        <x:v>1</x:v>
      </x:c>
      <x:c r="AU306" s="49" t="b">
        <x:f>AND(AT306,N306&gt;=M306)</x:f>
        <x:v>1</x:v>
      </x:c>
      <x:c r="AV306" s="49" t="b">
        <x:f>OR(S306=0,T306&gt;=S306)</x:f>
        <x:v>1</x:v>
      </x:c>
      <x:c r="AW306" s="49" t="b">
        <x:f>IF(I306="cache-semantics",OR(V306&lt;&gt;"uniform",ABS(Y306-W306/'Readme-Protocol'!$B$27)&lt;='Readme-Protocol'!$B$28),TRUE)</x:f>
        <x:v>1</x:v>
      </x:c>
      <x:c r="AX306" s="43" t="str">
        <x:f>IF(I306="cache-semantics",INT(AA306*'Readme-Protocol'!$B$32),"")</x:f>
      </x:c>
      <x:c r="AY306" s="49" t="b">
        <x:f>IF(I306="cache-semantics",AX306=AB306,TRUE)</x:f>
        <x:v>1</x:v>
      </x:c>
      <x:c r="AZ306" s="49" t="b">
        <x:f>IF(I306="cache-semantics",AX306=AE306,TRUE)</x:f>
        <x:v>1</x:v>
      </x:c>
      <x:c r="BA306" s="49" t="b">
        <x:f>IF(I306="cache-semantics",AC306&gt;=AX306,IF(I306="no-store-control",AC306=0,FALSE))</x:f>
        <x:v>1</x:v>
      </x:c>
      <x:c r="BB306" s="49" t="b">
        <x:f>IF(I306="cache-semantics",AG306&gt;=AX306,IF(I306="no-store-control",AG306=0,FALSE))</x:f>
        <x:v>1</x:v>
      </x:c>
      <x:c r="BC306" s="49" t="b">
        <x:f>AND(BA306,BB306)</x:f>
        <x:v>1</x:v>
      </x:c>
      <x:c r="BD306" s="49" t="b">
        <x:f>IF(I306="no-store-control",AND(AC306=0,AG306=0),TRUE)</x:f>
        <x:v>1</x:v>
      </x:c>
      <x:c r="BE306" s="49" t="b">
        <x:f>IF(I306="no-store-control",AK306=0,TRUE)</x:f>
        <x:v>1</x:v>
      </x:c>
      <x:c r="BF306" s="49" t="b">
        <x:f>IF(I306="cache-semantics",AN306=1,TRUE)</x:f>
        <x:v>1</x:v>
      </x:c>
      <x:c r="BG306" s="49" t="b">
        <x:f>IF(I306="cache-semantics",AND(AU306,AV306,Q306,AW306,BC306,BF306),IF(I306="no-store-control",AND(AU306,AV306,Q306,BD306,BE306),FALSE))</x:f>
        <x:v>1</x:v>
      </x:c>
      <x:c r="BH306" s="49" t="b">
        <x:f>AND(R306,AT306=P306,AU306=L306,AV306=U306,AY306,AZ306,IF(I306="cache-semantics",AND(AW306=Z306,AND(BA306=AD306,BB306=AH306,BC306=AI306),BF306=AO306),IF(I306="no-store-control",AND(AND(BA306=AD306,BB306=AH306,BC306=AI306),BD306=AJ306,BE306=AL306),FALSE)),BG306=AP306)</x:f>
        <x:v>1</x:v>
      </x:c>
      <x:c r="BI306" s="49" t="b">
        <x:f>AND(J306,K306,BG306)</x:f>
        <x:v>0</x:v>
      </x:c>
    </x:row>
    <x:row r="307">
      <x:c r="A307" s="34" t="str">
        <x:v>article1-unified-v4-2-fb3f101b-20260903-000401-default-f06-p1-nostore</x:v>
      </x:c>
      <x:c r="B307" s="34" t="str">
        <x:v>default</x:v>
      </x:c>
      <x:c r="C307" s="34" t="str">
        <x:v>nostore</x:v>
      </x:c>
      <x:c r="D307" s="36" t="n">
        <x:v>6</x:v>
      </x:c>
      <x:c r="E307" s="36" t="n">
        <x:v>6</x:v>
      </x:c>
      <x:c r="F307" s="36" t="n">
        <x:v>1</x:v>
      </x:c>
      <x:c r="G307" s="36" t="n">
        <x:v>3</x:v>
      </x:c>
      <x:c r="H307" s="34" t="str">
        <x:v>redeploy</x:v>
      </x:c>
      <x:c r="I307" s="34" t="str">
        <x:v>no-store-control</x:v>
      </x:c>
      <x:c r="J307" s="45" t="b">
        <x:v>1</x:v>
      </x:c>
      <x:c r="K307" s="45" t="b">
        <x:v>0</x:v>
      </x:c>
      <x:c r="L307" s="45" t="b">
        <x:v>1</x:v>
      </x:c>
      <x:c r="M307" s="43" t="n">
        <x:v>400000</x:v>
      </x:c>
      <x:c r="N307" s="43" t="n">
        <x:v>529783552</x:v>
      </x:c>
      <x:c r="O307" s="43" t="n">
        <x:v>105739130.04046357</x:v>
      </x:c>
      <x:c r="P307" s="45" t="b">
        <x:v>1</x:v>
      </x:c>
      <x:c r="Q307" s="45" t="b">
        <x:v>1</x:v>
      </x:c>
      <x:c r="R307" s="45" t="b">
        <x:v>1</x:v>
      </x:c>
      <x:c r="S307" s="43" t="n">
        <x:v>5000000000</x:v>
      </x:c>
      <x:c r="T307" s="43" t="n">
        <x:v>5010288545</x:v>
      </x:c>
      <x:c r="U307" s="45" t="b">
        <x:v>1</x:v>
      </x:c>
      <x:c r="V307" s="34" t="str">
        <x:v>uniform</x:v>
      </x:c>
      <x:c r="W307" s="42" t="n">
        <x:v>95</x:v>
      </x:c>
      <x:c r="X307" s="48"/>
      <x:c r="Y307" s="48"/>
      <x:c r="Z307" s="49"/>
      <x:c r="AA307" s="43" t="n">
        <x:v>10000</x:v>
      </x:c>
      <x:c r="AB307" s="43"/>
      <x:c r="AC307" s="43" t="n">
        <x:v>0</x:v>
      </x:c>
      <x:c r="AD307" s="45" t="b">
        <x:v>1</x:v>
      </x:c>
      <x:c r="AE307" s="43"/>
      <x:c r="AF307" s="43" t="n">
        <x:v>0</x:v>
      </x:c>
      <x:c r="AG307" s="43" t="n">
        <x:v>0</x:v>
      </x:c>
      <x:c r="AH307" s="45" t="b">
        <x:v>1</x:v>
      </x:c>
      <x:c r="AI307" s="45" t="b">
        <x:v>1</x:v>
      </x:c>
      <x:c r="AJ307" s="45" t="b">
        <x:v>1</x:v>
      </x:c>
      <x:c r="AK307" s="48" t="n">
        <x:v>0</x:v>
      </x:c>
      <x:c r="AL307" s="45" t="b">
        <x:v>1</x:v>
      </x:c>
      <x:c r="AM307" s="45" t="b">
        <x:v>0</x:v>
      </x:c>
      <x:c r="AN307" s="36" t="n">
        <x:v>16</x:v>
      </x:c>
      <x:c r="AO307" s="49"/>
      <x:c r="AP307" s="45" t="b">
        <x:v>1</x:v>
      </x:c>
      <x:c r="AQ307" s="46" t="n">
        <x:f>IF(T307="","",T307/'Readme-Protocol'!$B$24)</x:f>
        <x:v>5.010288545</x:v>
      </x:c>
      <x:c r="AR307" s="46" t="n">
        <x:f>IF(OR(S307="",S307=0),"",T307/S307)</x:f>
        <x:v>1.002057709</x:v>
      </x:c>
      <x:c r="AS307" s="46" t="str">
        <x:f>IF(OR(X307="",Y307=""),"",ABS(Y307-X307)*'Readme-Protocol'!$B$27)</x:f>
      </x:c>
      <x:c r="AT307" s="49" t="b">
        <x:f>AND(M307&gt;0,N307&gt;=0,O307&gt;0)</x:f>
        <x:v>1</x:v>
      </x:c>
      <x:c r="AU307" s="49" t="b">
        <x:f>AND(AT307,N307&gt;=M307)</x:f>
        <x:v>1</x:v>
      </x:c>
      <x:c r="AV307" s="49" t="b">
        <x:f>OR(S307=0,T307&gt;=S307)</x:f>
        <x:v>1</x:v>
      </x:c>
      <x:c r="AW307" s="49" t="b">
        <x:f>IF(I307="cache-semantics",OR(V307&lt;&gt;"uniform",ABS(Y307-W307/'Readme-Protocol'!$B$27)&lt;='Readme-Protocol'!$B$28),TRUE)</x:f>
        <x:v>1</x:v>
      </x:c>
      <x:c r="AX307" s="43" t="str">
        <x:f>IF(I307="cache-semantics",INT(AA307*'Readme-Protocol'!$B$32),"")</x:f>
      </x:c>
      <x:c r="AY307" s="49" t="b">
        <x:f>IF(I307="cache-semantics",AX307=AB307,TRUE)</x:f>
        <x:v>1</x:v>
      </x:c>
      <x:c r="AZ307" s="49" t="b">
        <x:f>IF(I307="cache-semantics",AX307=AE307,TRUE)</x:f>
        <x:v>1</x:v>
      </x:c>
      <x:c r="BA307" s="49" t="b">
        <x:f>IF(I307="cache-semantics",AC307&gt;=AX307,IF(I307="no-store-control",AC307=0,FALSE))</x:f>
        <x:v>1</x:v>
      </x:c>
      <x:c r="BB307" s="49" t="b">
        <x:f>IF(I307="cache-semantics",AG307&gt;=AX307,IF(I307="no-store-control",AG307=0,FALSE))</x:f>
        <x:v>1</x:v>
      </x:c>
      <x:c r="BC307" s="49" t="b">
        <x:f>AND(BA307,BB307)</x:f>
        <x:v>1</x:v>
      </x:c>
      <x:c r="BD307" s="49" t="b">
        <x:f>IF(I307="no-store-control",AND(AC307=0,AG307=0),TRUE)</x:f>
        <x:v>1</x:v>
      </x:c>
      <x:c r="BE307" s="49" t="b">
        <x:f>IF(I307="no-store-control",AK307=0,TRUE)</x:f>
        <x:v>1</x:v>
      </x:c>
      <x:c r="BF307" s="49" t="b">
        <x:f>IF(I307="cache-semantics",AN307=1,TRUE)</x:f>
        <x:v>1</x:v>
      </x:c>
      <x:c r="BG307" s="49" t="b">
        <x:f>IF(I307="cache-semantics",AND(AU307,AV307,Q307,AW307,BC307,BF307),IF(I307="no-store-control",AND(AU307,AV307,Q307,BD307,BE307),FALSE))</x:f>
        <x:v>1</x:v>
      </x:c>
      <x:c r="BH307" s="49" t="b">
        <x:f>AND(R307,AT307=P307,AU307=L307,AV307=U307,AY307,AZ307,IF(I307="cache-semantics",AND(AW307=Z307,AND(BA307=AD307,BB307=AH307,BC307=AI307),BF307=AO307),IF(I307="no-store-control",AND(AND(BA307=AD307,BB307=AH307,BC307=AI307),BD307=AJ307,BE307=AL307),FALSE)),BG307=AP307)</x:f>
        <x:v>1</x:v>
      </x:c>
      <x:c r="BI307" s="49" t="b">
        <x:f>AND(J307,K307,BG307)</x:f>
        <x:v>0</x:v>
      </x:c>
    </x:row>
    <x:row r="308">
      <x:c r="A308" s="34" t="str">
        <x:v>article1-unified-v4-2-fb3f101b-20260903-000401-default-f06-p1-nostore</x:v>
      </x:c>
      <x:c r="B308" s="34" t="str">
        <x:v>default</x:v>
      </x:c>
      <x:c r="C308" s="34" t="str">
        <x:v>nostore</x:v>
      </x:c>
      <x:c r="D308" s="36" t="n">
        <x:v>6</x:v>
      </x:c>
      <x:c r="E308" s="36" t="n">
        <x:v>6</x:v>
      </x:c>
      <x:c r="F308" s="36" t="n">
        <x:v>1</x:v>
      </x:c>
      <x:c r="G308" s="36" t="n">
        <x:v>4</x:v>
      </x:c>
      <x:c r="H308" s="34" t="str">
        <x:v>initial</x:v>
      </x:c>
      <x:c r="I308" s="34" t="str">
        <x:v>no-store-control</x:v>
      </x:c>
      <x:c r="J308" s="45" t="b">
        <x:v>1</x:v>
      </x:c>
      <x:c r="K308" s="45" t="b">
        <x:v>0</x:v>
      </x:c>
      <x:c r="L308" s="45" t="b">
        <x:v>1</x:v>
      </x:c>
      <x:c r="M308" s="43" t="n">
        <x:v>400000</x:v>
      </x:c>
      <x:c r="N308" s="43" t="n">
        <x:v>525758208</x:v>
      </x:c>
      <x:c r="O308" s="43" t="n">
        <x:v>105027686.91563638</x:v>
      </x:c>
      <x:c r="P308" s="45" t="b">
        <x:v>1</x:v>
      </x:c>
      <x:c r="Q308" s="45" t="b">
        <x:v>1</x:v>
      </x:c>
      <x:c r="R308" s="45" t="b">
        <x:v>1</x:v>
      </x:c>
      <x:c r="S308" s="43" t="n">
        <x:v>5000000000</x:v>
      </x:c>
      <x:c r="T308" s="43" t="n">
        <x:v>5005901048</x:v>
      </x:c>
      <x:c r="U308" s="45" t="b">
        <x:v>1</x:v>
      </x:c>
      <x:c r="V308" s="34" t="str">
        <x:v>uniform</x:v>
      </x:c>
      <x:c r="W308" s="42" t="n">
        <x:v>95</x:v>
      </x:c>
      <x:c r="X308" s="48"/>
      <x:c r="Y308" s="48"/>
      <x:c r="Z308" s="49"/>
      <x:c r="AA308" s="43" t="n">
        <x:v>10000</x:v>
      </x:c>
      <x:c r="AB308" s="43"/>
      <x:c r="AC308" s="43" t="n">
        <x:v>0</x:v>
      </x:c>
      <x:c r="AD308" s="45" t="b">
        <x:v>1</x:v>
      </x:c>
      <x:c r="AE308" s="43"/>
      <x:c r="AF308" s="43" t="n">
        <x:v>0</x:v>
      </x:c>
      <x:c r="AG308" s="43" t="n">
        <x:v>0</x:v>
      </x:c>
      <x:c r="AH308" s="45" t="b">
        <x:v>1</x:v>
      </x:c>
      <x:c r="AI308" s="45" t="b">
        <x:v>1</x:v>
      </x:c>
      <x:c r="AJ308" s="45" t="b">
        <x:v>1</x:v>
      </x:c>
      <x:c r="AK308" s="48" t="n">
        <x:v>0</x:v>
      </x:c>
      <x:c r="AL308" s="45" t="b">
        <x:v>1</x:v>
      </x:c>
      <x:c r="AM308" s="45" t="b">
        <x:v>0</x:v>
      </x:c>
      <x:c r="AN308" s="36" t="n">
        <x:v>16</x:v>
      </x:c>
      <x:c r="AO308" s="49"/>
      <x:c r="AP308" s="45" t="b">
        <x:v>1</x:v>
      </x:c>
      <x:c r="AQ308" s="46" t="n">
        <x:f>IF(T308="","",T308/'Readme-Protocol'!$B$24)</x:f>
        <x:v>5.005901048</x:v>
      </x:c>
      <x:c r="AR308" s="46" t="n">
        <x:f>IF(OR(S308="",S308=0),"",T308/S308)</x:f>
        <x:v>1.0011802096</x:v>
      </x:c>
      <x:c r="AS308" s="46" t="str">
        <x:f>IF(OR(X308="",Y308=""),"",ABS(Y308-X308)*'Readme-Protocol'!$B$27)</x:f>
      </x:c>
      <x:c r="AT308" s="49" t="b">
        <x:f>AND(M308&gt;0,N308&gt;=0,O308&gt;0)</x:f>
        <x:v>1</x:v>
      </x:c>
      <x:c r="AU308" s="49" t="b">
        <x:f>AND(AT308,N308&gt;=M308)</x:f>
        <x:v>1</x:v>
      </x:c>
      <x:c r="AV308" s="49" t="b">
        <x:f>OR(S308=0,T308&gt;=S308)</x:f>
        <x:v>1</x:v>
      </x:c>
      <x:c r="AW308" s="49" t="b">
        <x:f>IF(I308="cache-semantics",OR(V308&lt;&gt;"uniform",ABS(Y308-W308/'Readme-Protocol'!$B$27)&lt;='Readme-Protocol'!$B$28),TRUE)</x:f>
        <x:v>1</x:v>
      </x:c>
      <x:c r="AX308" s="43" t="str">
        <x:f>IF(I308="cache-semantics",INT(AA308*'Readme-Protocol'!$B$32),"")</x:f>
      </x:c>
      <x:c r="AY308" s="49" t="b">
        <x:f>IF(I308="cache-semantics",AX308=AB308,TRUE)</x:f>
        <x:v>1</x:v>
      </x:c>
      <x:c r="AZ308" s="49" t="b">
        <x:f>IF(I308="cache-semantics",AX308=AE308,TRUE)</x:f>
        <x:v>1</x:v>
      </x:c>
      <x:c r="BA308" s="49" t="b">
        <x:f>IF(I308="cache-semantics",AC308&gt;=AX308,IF(I308="no-store-control",AC308=0,FALSE))</x:f>
        <x:v>1</x:v>
      </x:c>
      <x:c r="BB308" s="49" t="b">
        <x:f>IF(I308="cache-semantics",AG308&gt;=AX308,IF(I308="no-store-control",AG308=0,FALSE))</x:f>
        <x:v>1</x:v>
      </x:c>
      <x:c r="BC308" s="49" t="b">
        <x:f>AND(BA308,BB308)</x:f>
        <x:v>1</x:v>
      </x:c>
      <x:c r="BD308" s="49" t="b">
        <x:f>IF(I308="no-store-control",AND(AC308=0,AG308=0),TRUE)</x:f>
        <x:v>1</x:v>
      </x:c>
      <x:c r="BE308" s="49" t="b">
        <x:f>IF(I308="no-store-control",AK308=0,TRUE)</x:f>
        <x:v>1</x:v>
      </x:c>
      <x:c r="BF308" s="49" t="b">
        <x:f>IF(I308="cache-semantics",AN308=1,TRUE)</x:f>
        <x:v>1</x:v>
      </x:c>
      <x:c r="BG308" s="49" t="b">
        <x:f>IF(I308="cache-semantics",AND(AU308,AV308,Q308,AW308,BC308,BF308),IF(I308="no-store-control",AND(AU308,AV308,Q308,BD308,BE308),FALSE))</x:f>
        <x:v>1</x:v>
      </x:c>
      <x:c r="BH308" s="49" t="b">
        <x:f>AND(R308,AT308=P308,AU308=L308,AV308=U308,AY308,AZ308,IF(I308="cache-semantics",AND(AW308=Z308,AND(BA308=AD308,BB308=AH308,BC308=AI308),BF308=AO308),IF(I308="no-store-control",AND(AND(BA308=AD308,BB308=AH308,BC308=AI308),BD308=AJ308,BE308=AL308),FALSE)),BG308=AP308)</x:f>
        <x:v>1</x:v>
      </x:c>
      <x:c r="BI308" s="49" t="b">
        <x:f>AND(J308,K308,BG308)</x:f>
        <x:v>0</x:v>
      </x:c>
    </x:row>
    <x:row r="309">
      <x:c r="A309" s="34" t="str">
        <x:v>article1-unified-v4-2-fb3f101b-20260903-000401-default-f06-p1-nostore</x:v>
      </x:c>
      <x:c r="B309" s="34" t="str">
        <x:v>default</x:v>
      </x:c>
      <x:c r="C309" s="34" t="str">
        <x:v>nostore</x:v>
      </x:c>
      <x:c r="D309" s="36" t="n">
        <x:v>6</x:v>
      </x:c>
      <x:c r="E309" s="36" t="n">
        <x:v>6</x:v>
      </x:c>
      <x:c r="F309" s="36" t="n">
        <x:v>1</x:v>
      </x:c>
      <x:c r="G309" s="36" t="n">
        <x:v>4</x:v>
      </x:c>
      <x:c r="H309" s="34" t="str">
        <x:v>redeploy</x:v>
      </x:c>
      <x:c r="I309" s="34" t="str">
        <x:v>no-store-control</x:v>
      </x:c>
      <x:c r="J309" s="45" t="b">
        <x:v>1</x:v>
      </x:c>
      <x:c r="K309" s="45" t="b">
        <x:v>0</x:v>
      </x:c>
      <x:c r="L309" s="45" t="b">
        <x:v>1</x:v>
      </x:c>
      <x:c r="M309" s="43" t="n">
        <x:v>400000</x:v>
      </x:c>
      <x:c r="N309" s="43" t="n">
        <x:v>529419008</x:v>
      </x:c>
      <x:c r="O309" s="43" t="n">
        <x:v>105758927.59231679</x:v>
      </x:c>
      <x:c r="P309" s="45" t="b">
        <x:v>1</x:v>
      </x:c>
      <x:c r="Q309" s="45" t="b">
        <x:v>1</x:v>
      </x:c>
      <x:c r="R309" s="45" t="b">
        <x:v>1</x:v>
      </x:c>
      <x:c r="S309" s="43" t="n">
        <x:v>5000000000</x:v>
      </x:c>
      <x:c r="T309" s="43" t="n">
        <x:v>5005903710</x:v>
      </x:c>
      <x:c r="U309" s="45" t="b">
        <x:v>1</x:v>
      </x:c>
      <x:c r="V309" s="34" t="str">
        <x:v>uniform</x:v>
      </x:c>
      <x:c r="W309" s="42" t="n">
        <x:v>95</x:v>
      </x:c>
      <x:c r="X309" s="48"/>
      <x:c r="Y309" s="48"/>
      <x:c r="Z309" s="49"/>
      <x:c r="AA309" s="43" t="n">
        <x:v>10000</x:v>
      </x:c>
      <x:c r="AB309" s="43"/>
      <x:c r="AC309" s="43" t="n">
        <x:v>0</x:v>
      </x:c>
      <x:c r="AD309" s="45" t="b">
        <x:v>1</x:v>
      </x:c>
      <x:c r="AE309" s="43"/>
      <x:c r="AF309" s="43" t="n">
        <x:v>0</x:v>
      </x:c>
      <x:c r="AG309" s="43" t="n">
        <x:v>0</x:v>
      </x:c>
      <x:c r="AH309" s="45" t="b">
        <x:v>1</x:v>
      </x:c>
      <x:c r="AI309" s="45" t="b">
        <x:v>1</x:v>
      </x:c>
      <x:c r="AJ309" s="45" t="b">
        <x:v>1</x:v>
      </x:c>
      <x:c r="AK309" s="48" t="n">
        <x:v>0</x:v>
      </x:c>
      <x:c r="AL309" s="45" t="b">
        <x:v>1</x:v>
      </x:c>
      <x:c r="AM309" s="45" t="b">
        <x:v>0</x:v>
      </x:c>
      <x:c r="AN309" s="36" t="n">
        <x:v>16</x:v>
      </x:c>
      <x:c r="AO309" s="49"/>
      <x:c r="AP309" s="45" t="b">
        <x:v>1</x:v>
      </x:c>
      <x:c r="AQ309" s="46" t="n">
        <x:f>IF(T309="","",T309/'Readme-Protocol'!$B$24)</x:f>
        <x:v>5.00590371</x:v>
      </x:c>
      <x:c r="AR309" s="46" t="n">
        <x:f>IF(OR(S309="",S309=0),"",T309/S309)</x:f>
        <x:v>1.001180742</x:v>
      </x:c>
      <x:c r="AS309" s="46" t="str">
        <x:f>IF(OR(X309="",Y309=""),"",ABS(Y309-X309)*'Readme-Protocol'!$B$27)</x:f>
      </x:c>
      <x:c r="AT309" s="49" t="b">
        <x:f>AND(M309&gt;0,N309&gt;=0,O309&gt;0)</x:f>
        <x:v>1</x:v>
      </x:c>
      <x:c r="AU309" s="49" t="b">
        <x:f>AND(AT309,N309&gt;=M309)</x:f>
        <x:v>1</x:v>
      </x:c>
      <x:c r="AV309" s="49" t="b">
        <x:f>OR(S309=0,T309&gt;=S309)</x:f>
        <x:v>1</x:v>
      </x:c>
      <x:c r="AW309" s="49" t="b">
        <x:f>IF(I309="cache-semantics",OR(V309&lt;&gt;"uniform",ABS(Y309-W309/'Readme-Protocol'!$B$27)&lt;='Readme-Protocol'!$B$28),TRUE)</x:f>
        <x:v>1</x:v>
      </x:c>
      <x:c r="AX309" s="43" t="str">
        <x:f>IF(I309="cache-semantics",INT(AA309*'Readme-Protocol'!$B$32),"")</x:f>
      </x:c>
      <x:c r="AY309" s="49" t="b">
        <x:f>IF(I309="cache-semantics",AX309=AB309,TRUE)</x:f>
        <x:v>1</x:v>
      </x:c>
      <x:c r="AZ309" s="49" t="b">
        <x:f>IF(I309="cache-semantics",AX309=AE309,TRUE)</x:f>
        <x:v>1</x:v>
      </x:c>
      <x:c r="BA309" s="49" t="b">
        <x:f>IF(I309="cache-semantics",AC309&gt;=AX309,IF(I309="no-store-control",AC309=0,FALSE))</x:f>
        <x:v>1</x:v>
      </x:c>
      <x:c r="BB309" s="49" t="b">
        <x:f>IF(I309="cache-semantics",AG309&gt;=AX309,IF(I309="no-store-control",AG309=0,FALSE))</x:f>
        <x:v>1</x:v>
      </x:c>
      <x:c r="BC309" s="49" t="b">
        <x:f>AND(BA309,BB309)</x:f>
        <x:v>1</x:v>
      </x:c>
      <x:c r="BD309" s="49" t="b">
        <x:f>IF(I309="no-store-control",AND(AC309=0,AG309=0),TRUE)</x:f>
        <x:v>1</x:v>
      </x:c>
      <x:c r="BE309" s="49" t="b">
        <x:f>IF(I309="no-store-control",AK309=0,TRUE)</x:f>
        <x:v>1</x:v>
      </x:c>
      <x:c r="BF309" s="49" t="b">
        <x:f>IF(I309="cache-semantics",AN309=1,TRUE)</x:f>
        <x:v>1</x:v>
      </x:c>
      <x:c r="BG309" s="49" t="b">
        <x:f>IF(I309="cache-semantics",AND(AU309,AV309,Q309,AW309,BC309,BF309),IF(I309="no-store-control",AND(AU309,AV309,Q309,BD309,BE309),FALSE))</x:f>
        <x:v>1</x:v>
      </x:c>
      <x:c r="BH309" s="49" t="b">
        <x:f>AND(R309,AT309=P309,AU309=L309,AV309=U309,AY309,AZ309,IF(I309="cache-semantics",AND(AW309=Z309,AND(BA309=AD309,BB309=AH309,BC309=AI309),BF309=AO309),IF(I309="no-store-control",AND(AND(BA309=AD309,BB309=AH309,BC309=AI309),BD309=AJ309,BE309=AL309),FALSE)),BG309=AP309)</x:f>
        <x:v>1</x:v>
      </x:c>
      <x:c r="BI309" s="49" t="b">
        <x:f>AND(J309,K309,BG309)</x:f>
        <x:v>0</x:v>
      </x:c>
    </x:row>
    <x:row r="310">
      <x:c r="A310" s="34" t="str">
        <x:v>article1-unified-v4-2-fb3f101b-20260903-000401-default-f06-p1-nostore</x:v>
      </x:c>
      <x:c r="B310" s="34" t="str">
        <x:v>default</x:v>
      </x:c>
      <x:c r="C310" s="34" t="str">
        <x:v>nostore</x:v>
      </x:c>
      <x:c r="D310" s="36" t="n">
        <x:v>6</x:v>
      </x:c>
      <x:c r="E310" s="36" t="n">
        <x:v>6</x:v>
      </x:c>
      <x:c r="F310" s="36" t="n">
        <x:v>1</x:v>
      </x:c>
      <x:c r="G310" s="36" t="n">
        <x:v>5</x:v>
      </x:c>
      <x:c r="H310" s="34" t="str">
        <x:v>initial</x:v>
      </x:c>
      <x:c r="I310" s="34" t="str">
        <x:v>no-store-control</x:v>
      </x:c>
      <x:c r="J310" s="45" t="b">
        <x:v>1</x:v>
      </x:c>
      <x:c r="K310" s="45" t="b">
        <x:v>0</x:v>
      </x:c>
      <x:c r="L310" s="45" t="b">
        <x:v>1</x:v>
      </x:c>
      <x:c r="M310" s="43" t="n">
        <x:v>400000</x:v>
      </x:c>
      <x:c r="N310" s="43" t="n">
        <x:v>511897600</x:v>
      </x:c>
      <x:c r="O310" s="43" t="n">
        <x:v>101988653.38137126</x:v>
      </x:c>
      <x:c r="P310" s="45" t="b">
        <x:v>1</x:v>
      </x:c>
      <x:c r="Q310" s="45" t="b">
        <x:v>1</x:v>
      </x:c>
      <x:c r="R310" s="45" t="b">
        <x:v>1</x:v>
      </x:c>
      <x:c r="S310" s="43" t="n">
        <x:v>5000000000</x:v>
      </x:c>
      <x:c r="T310" s="43" t="n">
        <x:v>5019162260</x:v>
      </x:c>
      <x:c r="U310" s="45" t="b">
        <x:v>1</x:v>
      </x:c>
      <x:c r="V310" s="34" t="str">
        <x:v>uniform</x:v>
      </x:c>
      <x:c r="W310" s="42" t="n">
        <x:v>95</x:v>
      </x:c>
      <x:c r="X310" s="48"/>
      <x:c r="Y310" s="48"/>
      <x:c r="Z310" s="49"/>
      <x:c r="AA310" s="43" t="n">
        <x:v>10000</x:v>
      </x:c>
      <x:c r="AB310" s="43"/>
      <x:c r="AC310" s="43" t="n">
        <x:v>0</x:v>
      </x:c>
      <x:c r="AD310" s="45" t="b">
        <x:v>1</x:v>
      </x:c>
      <x:c r="AE310" s="43"/>
      <x:c r="AF310" s="43" t="n">
        <x:v>0</x:v>
      </x:c>
      <x:c r="AG310" s="43" t="n">
        <x:v>0</x:v>
      </x:c>
      <x:c r="AH310" s="45" t="b">
        <x:v>1</x:v>
      </x:c>
      <x:c r="AI310" s="45" t="b">
        <x:v>1</x:v>
      </x:c>
      <x:c r="AJ310" s="45" t="b">
        <x:v>1</x:v>
      </x:c>
      <x:c r="AK310" s="48" t="n">
        <x:v>0</x:v>
      </x:c>
      <x:c r="AL310" s="45" t="b">
        <x:v>1</x:v>
      </x:c>
      <x:c r="AM310" s="45" t="b">
        <x:v>0</x:v>
      </x:c>
      <x:c r="AN310" s="36" t="n">
        <x:v>16</x:v>
      </x:c>
      <x:c r="AO310" s="49"/>
      <x:c r="AP310" s="45" t="b">
        <x:v>1</x:v>
      </x:c>
      <x:c r="AQ310" s="46" t="n">
        <x:f>IF(T310="","",T310/'Readme-Protocol'!$B$24)</x:f>
        <x:v>5.01916226</x:v>
      </x:c>
      <x:c r="AR310" s="46" t="n">
        <x:f>IF(OR(S310="",S310=0),"",T310/S310)</x:f>
        <x:v>1.003832452</x:v>
      </x:c>
      <x:c r="AS310" s="46" t="str">
        <x:f>IF(OR(X310="",Y310=""),"",ABS(Y310-X310)*'Readme-Protocol'!$B$27)</x:f>
      </x:c>
      <x:c r="AT310" s="49" t="b">
        <x:f>AND(M310&gt;0,N310&gt;=0,O310&gt;0)</x:f>
        <x:v>1</x:v>
      </x:c>
      <x:c r="AU310" s="49" t="b">
        <x:f>AND(AT310,N310&gt;=M310)</x:f>
        <x:v>1</x:v>
      </x:c>
      <x:c r="AV310" s="49" t="b">
        <x:f>OR(S310=0,T310&gt;=S310)</x:f>
        <x:v>1</x:v>
      </x:c>
      <x:c r="AW310" s="49" t="b">
        <x:f>IF(I310="cache-semantics",OR(V310&lt;&gt;"uniform",ABS(Y310-W310/'Readme-Protocol'!$B$27)&lt;='Readme-Protocol'!$B$28),TRUE)</x:f>
        <x:v>1</x:v>
      </x:c>
      <x:c r="AX310" s="43" t="str">
        <x:f>IF(I310="cache-semantics",INT(AA310*'Readme-Protocol'!$B$32),"")</x:f>
      </x:c>
      <x:c r="AY310" s="49" t="b">
        <x:f>IF(I310="cache-semantics",AX310=AB310,TRUE)</x:f>
        <x:v>1</x:v>
      </x:c>
      <x:c r="AZ310" s="49" t="b">
        <x:f>IF(I310="cache-semantics",AX310=AE310,TRUE)</x:f>
        <x:v>1</x:v>
      </x:c>
      <x:c r="BA310" s="49" t="b">
        <x:f>IF(I310="cache-semantics",AC310&gt;=AX310,IF(I310="no-store-control",AC310=0,FALSE))</x:f>
        <x:v>1</x:v>
      </x:c>
      <x:c r="BB310" s="49" t="b">
        <x:f>IF(I310="cache-semantics",AG310&gt;=AX310,IF(I310="no-store-control",AG310=0,FALSE))</x:f>
        <x:v>1</x:v>
      </x:c>
      <x:c r="BC310" s="49" t="b">
        <x:f>AND(BA310,BB310)</x:f>
        <x:v>1</x:v>
      </x:c>
      <x:c r="BD310" s="49" t="b">
        <x:f>IF(I310="no-store-control",AND(AC310=0,AG310=0),TRUE)</x:f>
        <x:v>1</x:v>
      </x:c>
      <x:c r="BE310" s="49" t="b">
        <x:f>IF(I310="no-store-control",AK310=0,TRUE)</x:f>
        <x:v>1</x:v>
      </x:c>
      <x:c r="BF310" s="49" t="b">
        <x:f>IF(I310="cache-semantics",AN310=1,TRUE)</x:f>
        <x:v>1</x:v>
      </x:c>
      <x:c r="BG310" s="49" t="b">
        <x:f>IF(I310="cache-semantics",AND(AU310,AV310,Q310,AW310,BC310,BF310),IF(I310="no-store-control",AND(AU310,AV310,Q310,BD310,BE310),FALSE))</x:f>
        <x:v>1</x:v>
      </x:c>
      <x:c r="BH310" s="49" t="b">
        <x:f>AND(R310,AT310=P310,AU310=L310,AV310=U310,AY310,AZ310,IF(I310="cache-semantics",AND(AW310=Z310,AND(BA310=AD310,BB310=AH310,BC310=AI310),BF310=AO310),IF(I310="no-store-control",AND(AND(BA310=AD310,BB310=AH310,BC310=AI310),BD310=AJ310,BE310=AL310),FALSE)),BG310=AP310)</x:f>
        <x:v>1</x:v>
      </x:c>
      <x:c r="BI310" s="49" t="b">
        <x:f>AND(J310,K310,BG310)</x:f>
        <x:v>0</x:v>
      </x:c>
    </x:row>
    <x:row r="311">
      <x:c r="A311" s="34" t="str">
        <x:v>article1-unified-v4-2-fb3f101b-20260903-000401-default-f06-p1-nostore</x:v>
      </x:c>
      <x:c r="B311" s="34" t="str">
        <x:v>default</x:v>
      </x:c>
      <x:c r="C311" s="34" t="str">
        <x:v>nostore</x:v>
      </x:c>
      <x:c r="D311" s="36" t="n">
        <x:v>6</x:v>
      </x:c>
      <x:c r="E311" s="36" t="n">
        <x:v>6</x:v>
      </x:c>
      <x:c r="F311" s="36" t="n">
        <x:v>1</x:v>
      </x:c>
      <x:c r="G311" s="36" t="n">
        <x:v>5</x:v>
      </x:c>
      <x:c r="H311" s="34" t="str">
        <x:v>redeploy</x:v>
      </x:c>
      <x:c r="I311" s="34" t="str">
        <x:v>no-store-control</x:v>
      </x:c>
      <x:c r="J311" s="45" t="b">
        <x:v>1</x:v>
      </x:c>
      <x:c r="K311" s="45" t="b">
        <x:v>0</x:v>
      </x:c>
      <x:c r="L311" s="45" t="b">
        <x:v>1</x:v>
      </x:c>
      <x:c r="M311" s="43" t="n">
        <x:v>400000</x:v>
      </x:c>
      <x:c r="N311" s="43" t="n">
        <x:v>528889088</x:v>
      </x:c>
      <x:c r="O311" s="43" t="n">
        <x:v>105590103.96906619</x:v>
      </x:c>
      <x:c r="P311" s="45" t="b">
        <x:v>1</x:v>
      </x:c>
      <x:c r="Q311" s="45" t="b">
        <x:v>1</x:v>
      </x:c>
      <x:c r="R311" s="45" t="b">
        <x:v>1</x:v>
      </x:c>
      <x:c r="S311" s="43" t="n">
        <x:v>5000000000</x:v>
      </x:c>
      <x:c r="T311" s="43" t="n">
        <x:v>5008888789</x:v>
      </x:c>
      <x:c r="U311" s="45" t="b">
        <x:v>1</x:v>
      </x:c>
      <x:c r="V311" s="34" t="str">
        <x:v>uniform</x:v>
      </x:c>
      <x:c r="W311" s="42" t="n">
        <x:v>95</x:v>
      </x:c>
      <x:c r="X311" s="48"/>
      <x:c r="Y311" s="48"/>
      <x:c r="Z311" s="49"/>
      <x:c r="AA311" s="43" t="n">
        <x:v>10000</x:v>
      </x:c>
      <x:c r="AB311" s="43"/>
      <x:c r="AC311" s="43" t="n">
        <x:v>0</x:v>
      </x:c>
      <x:c r="AD311" s="45" t="b">
        <x:v>1</x:v>
      </x:c>
      <x:c r="AE311" s="43"/>
      <x:c r="AF311" s="43" t="n">
        <x:v>0</x:v>
      </x:c>
      <x:c r="AG311" s="43" t="n">
        <x:v>0</x:v>
      </x:c>
      <x:c r="AH311" s="45" t="b">
        <x:v>1</x:v>
      </x:c>
      <x:c r="AI311" s="45" t="b">
        <x:v>1</x:v>
      </x:c>
      <x:c r="AJ311" s="45" t="b">
        <x:v>1</x:v>
      </x:c>
      <x:c r="AK311" s="48" t="n">
        <x:v>0</x:v>
      </x:c>
      <x:c r="AL311" s="45" t="b">
        <x:v>1</x:v>
      </x:c>
      <x:c r="AM311" s="45" t="b">
        <x:v>0</x:v>
      </x:c>
      <x:c r="AN311" s="36" t="n">
        <x:v>16</x:v>
      </x:c>
      <x:c r="AO311" s="49"/>
      <x:c r="AP311" s="45" t="b">
        <x:v>1</x:v>
      </x:c>
      <x:c r="AQ311" s="46" t="n">
        <x:f>IF(T311="","",T311/'Readme-Protocol'!$B$24)</x:f>
        <x:v>5.008888789</x:v>
      </x:c>
      <x:c r="AR311" s="46" t="n">
        <x:f>IF(OR(S311="",S311=0),"",T311/S311)</x:f>
        <x:v>1.0017777578</x:v>
      </x:c>
      <x:c r="AS311" s="46" t="str">
        <x:f>IF(OR(X311="",Y311=""),"",ABS(Y311-X311)*'Readme-Protocol'!$B$27)</x:f>
      </x:c>
      <x:c r="AT311" s="49" t="b">
        <x:f>AND(M311&gt;0,N311&gt;=0,O311&gt;0)</x:f>
        <x:v>1</x:v>
      </x:c>
      <x:c r="AU311" s="49" t="b">
        <x:f>AND(AT311,N311&gt;=M311)</x:f>
        <x:v>1</x:v>
      </x:c>
      <x:c r="AV311" s="49" t="b">
        <x:f>OR(S311=0,T311&gt;=S311)</x:f>
        <x:v>1</x:v>
      </x:c>
      <x:c r="AW311" s="49" t="b">
        <x:f>IF(I311="cache-semantics",OR(V311&lt;&gt;"uniform",ABS(Y311-W311/'Readme-Protocol'!$B$27)&lt;='Readme-Protocol'!$B$28),TRUE)</x:f>
        <x:v>1</x:v>
      </x:c>
      <x:c r="AX311" s="43" t="str">
        <x:f>IF(I311="cache-semantics",INT(AA311*'Readme-Protocol'!$B$32),"")</x:f>
      </x:c>
      <x:c r="AY311" s="49" t="b">
        <x:f>IF(I311="cache-semantics",AX311=AB311,TRUE)</x:f>
        <x:v>1</x:v>
      </x:c>
      <x:c r="AZ311" s="49" t="b">
        <x:f>IF(I311="cache-semantics",AX311=AE311,TRUE)</x:f>
        <x:v>1</x:v>
      </x:c>
      <x:c r="BA311" s="49" t="b">
        <x:f>IF(I311="cache-semantics",AC311&gt;=AX311,IF(I311="no-store-control",AC311=0,FALSE))</x:f>
        <x:v>1</x:v>
      </x:c>
      <x:c r="BB311" s="49" t="b">
        <x:f>IF(I311="cache-semantics",AG311&gt;=AX311,IF(I311="no-store-control",AG311=0,FALSE))</x:f>
        <x:v>1</x:v>
      </x:c>
      <x:c r="BC311" s="49" t="b">
        <x:f>AND(BA311,BB311)</x:f>
        <x:v>1</x:v>
      </x:c>
      <x:c r="BD311" s="49" t="b">
        <x:f>IF(I311="no-store-control",AND(AC311=0,AG311=0),TRUE)</x:f>
        <x:v>1</x:v>
      </x:c>
      <x:c r="BE311" s="49" t="b">
        <x:f>IF(I311="no-store-control",AK311=0,TRUE)</x:f>
        <x:v>1</x:v>
      </x:c>
      <x:c r="BF311" s="49" t="b">
        <x:f>IF(I311="cache-semantics",AN311=1,TRUE)</x:f>
        <x:v>1</x:v>
      </x:c>
      <x:c r="BG311" s="49" t="b">
        <x:f>IF(I311="cache-semantics",AND(AU311,AV311,Q311,AW311,BC311,BF311),IF(I311="no-store-control",AND(AU311,AV311,Q311,BD311,BE311),FALSE))</x:f>
        <x:v>1</x:v>
      </x:c>
      <x:c r="BH311" s="49" t="b">
        <x:f>AND(R311,AT311=P311,AU311=L311,AV311=U311,AY311,AZ311,IF(I311="cache-semantics",AND(AW311=Z311,AND(BA311=AD311,BB311=AH311,BC311=AI311),BF311=AO311),IF(I311="no-store-control",AND(AND(BA311=AD311,BB311=AH311,BC311=AI311),BD311=AJ311,BE311=AL311),FALSE)),BG311=AP311)</x:f>
        <x:v>1</x:v>
      </x:c>
      <x:c r="BI311" s="49" t="b">
        <x:f>AND(J311,K311,BG311)</x:f>
        <x:v>0</x:v>
      </x:c>
    </x:row>
    <x:row r="312">
      <x:c r="A312" s="34" t="str">
        <x:v>article1-unified-v4-2-fb3f101b-20260903-000401-default-f06-p2-caffeine</x:v>
      </x:c>
      <x:c r="B312" s="34" t="str">
        <x:v>default</x:v>
      </x:c>
      <x:c r="C312" s="34" t="str">
        <x:v>caffeine</x:v>
      </x:c>
      <x:c r="D312" s="36" t="n">
        <x:v>6</x:v>
      </x:c>
      <x:c r="E312" s="36" t="n">
        <x:v>6</x:v>
      </x:c>
      <x:c r="F312" s="36" t="n">
        <x:v>2</x:v>
      </x:c>
      <x:c r="G312" s="36" t="n">
        <x:v>1</x:v>
      </x:c>
      <x:c r="H312" s="34" t="str">
        <x:v>initial</x:v>
      </x:c>
      <x:c r="I312" s="34" t="str">
        <x:v>cache-semantics</x:v>
      </x:c>
      <x:c r="J312" s="45" t="b">
        <x:v>1</x:v>
      </x:c>
      <x:c r="K312" s="45" t="b">
        <x:v>1</x:v>
      </x:c>
      <x:c r="L312" s="45" t="b">
        <x:v>1</x:v>
      </x:c>
      <x:c r="M312" s="43" t="n">
        <x:v>400000</x:v>
      </x:c>
      <x:c r="N312" s="43" t="n">
        <x:v>132767232</x:v>
      </x:c>
      <x:c r="O312" s="43" t="n">
        <x:v>26534190.262171164</x:v>
      </x:c>
      <x:c r="P312" s="45" t="b">
        <x:v>1</x:v>
      </x:c>
      <x:c r="Q312" s="45" t="b">
        <x:v>1</x:v>
      </x:c>
      <x:c r="R312" s="45" t="b">
        <x:v>1</x:v>
      </x:c>
      <x:c r="S312" s="43" t="n">
        <x:v>5000000000</x:v>
      </x:c>
      <x:c r="T312" s="43" t="n">
        <x:v>5003628552</x:v>
      </x:c>
      <x:c r="U312" s="45" t="b">
        <x:v>1</x:v>
      </x:c>
      <x:c r="V312" s="34" t="str">
        <x:v>uniform</x:v>
      </x:c>
      <x:c r="W312" s="42" t="n">
        <x:v>95</x:v>
      </x:c>
      <x:c r="X312" s="48" t="n">
        <x:v>0.95</x:v>
      </x:c>
      <x:c r="Y312" s="48" t="n">
        <x:v>0.9502776332642079</x:v>
      </x:c>
      <x:c r="Z312" s="45" t="b">
        <x:v>1</x:v>
      </x:c>
      <x:c r="AA312" s="43" t="n">
        <x:v>10000</x:v>
      </x:c>
      <x:c r="AB312" s="43" t="n">
        <x:v>9900</x:v>
      </x:c>
      <x:c r="AC312" s="43" t="n">
        <x:v>10000</x:v>
      </x:c>
      <x:c r="AD312" s="45" t="b">
        <x:v>1</x:v>
      </x:c>
      <x:c r="AE312" s="43" t="n">
        <x:v>9900</x:v>
      </x:c>
      <x:c r="AF312" s="43"/>
      <x:c r="AG312" s="43" t="n">
        <x:v>10000</x:v>
      </x:c>
      <x:c r="AH312" s="45" t="b">
        <x:v>1</x:v>
      </x:c>
      <x:c r="AI312" s="45" t="b">
        <x:v>1</x:v>
      </x:c>
      <x:c r="AJ312" s="49"/>
      <x:c r="AK312" s="48" t="n">
        <x:v>0.9502776332642079</x:v>
      </x:c>
      <x:c r="AL312" s="49"/>
      <x:c r="AM312" s="49"/>
      <x:c r="AN312" s="36" t="n">
        <x:v>1</x:v>
      </x:c>
      <x:c r="AO312" s="45" t="b">
        <x:v>1</x:v>
      </x:c>
      <x:c r="AP312" s="45" t="b">
        <x:v>1</x:v>
      </x:c>
      <x:c r="AQ312" s="46" t="n">
        <x:f>IF(T312="","",T312/'Readme-Protocol'!$B$24)</x:f>
        <x:v>5.003628552</x:v>
      </x:c>
      <x:c r="AR312" s="46" t="n">
        <x:f>IF(OR(S312="",S312=0),"",T312/S312)</x:f>
        <x:v>1.0007257104</x:v>
      </x:c>
      <x:c r="AS312" s="46" t="n">
        <x:f>IF(OR(X312="",Y312=""),"",ABS(Y312-X312)*'Readme-Protocol'!$B$27)</x:f>
        <x:v>0.027763326420793266</x:v>
      </x:c>
      <x:c r="AT312" s="49" t="b">
        <x:f>AND(M312&gt;0,N312&gt;=0,O312&gt;0)</x:f>
        <x:v>1</x:v>
      </x:c>
      <x:c r="AU312" s="49" t="b">
        <x:f>AND(AT312,N312&gt;=M312)</x:f>
        <x:v>1</x:v>
      </x:c>
      <x:c r="AV312" s="49" t="b">
        <x:f>OR(S312=0,T312&gt;=S312)</x:f>
        <x:v>1</x:v>
      </x:c>
      <x:c r="AW312" s="49" t="b">
        <x:f>IF(I312="cache-semantics",OR(V312&lt;&gt;"uniform",ABS(Y312-W312/'Readme-Protocol'!$B$27)&lt;='Readme-Protocol'!$B$28),TRUE)</x:f>
        <x:v>1</x:v>
      </x:c>
      <x:c r="AX312" s="43" t="n">
        <x:f>IF(I312="cache-semantics",INT(AA312*'Readme-Protocol'!$B$32),"")</x:f>
        <x:v>9900</x:v>
      </x:c>
      <x:c r="AY312" s="49" t="b">
        <x:f>IF(I312="cache-semantics",AX312=AB312,TRUE)</x:f>
        <x:v>1</x:v>
      </x:c>
      <x:c r="AZ312" s="49" t="b">
        <x:f>IF(I312="cache-semantics",AX312=AE312,TRUE)</x:f>
        <x:v>1</x:v>
      </x:c>
      <x:c r="BA312" s="49" t="b">
        <x:f>IF(I312="cache-semantics",AC312&gt;=AX312,IF(I312="no-store-control",AC312=0,FALSE))</x:f>
        <x:v>1</x:v>
      </x:c>
      <x:c r="BB312" s="49" t="b">
        <x:f>IF(I312="cache-semantics",AG312&gt;=AX312,IF(I312="no-store-control",AG312=0,FALSE))</x:f>
        <x:v>1</x:v>
      </x:c>
      <x:c r="BC312" s="49" t="b">
        <x:f>AND(BA312,BB312)</x:f>
        <x:v>1</x:v>
      </x:c>
      <x:c r="BD312" s="49" t="b">
        <x:f>IF(I312="no-store-control",AND(AC312=0,AG312=0),TRUE)</x:f>
        <x:v>1</x:v>
      </x:c>
      <x:c r="BE312" s="49" t="b">
        <x:f>IF(I312="no-store-control",AK312=0,TRUE)</x:f>
        <x:v>1</x:v>
      </x:c>
      <x:c r="BF312" s="49" t="b">
        <x:f>IF(I312="cache-semantics",AN312=1,TRUE)</x:f>
        <x:v>1</x:v>
      </x:c>
      <x:c r="BG312" s="49" t="b">
        <x:f>IF(I312="cache-semantics",AND(AU312,AV312,Q312,AW312,BC312,BF312),IF(I312="no-store-control",AND(AU312,AV312,Q312,BD312,BE312),FALSE))</x:f>
        <x:v>1</x:v>
      </x:c>
      <x:c r="BH312" s="49" t="b">
        <x:f>AND(R312,AT312=P312,AU312=L312,AV312=U312,AY312,AZ312,IF(I312="cache-semantics",AND(AW312=Z312,AND(BA312=AD312,BB312=AH312,BC312=AI312),BF312=AO312),IF(I312="no-store-control",AND(AND(BA312=AD312,BB312=AH312,BC312=AI312),BD312=AJ312,BE312=AL312),FALSE)),BG312=AP312)</x:f>
        <x:v>1</x:v>
      </x:c>
      <x:c r="BI312" s="49" t="b">
        <x:f>AND(J312,K312,BG312)</x:f>
        <x:v>1</x:v>
      </x:c>
    </x:row>
    <x:row r="313">
      <x:c r="A313" s="34" t="str">
        <x:v>article1-unified-v4-2-fb3f101b-20260903-000401-default-f06-p2-caffeine</x:v>
      </x:c>
      <x:c r="B313" s="34" t="str">
        <x:v>default</x:v>
      </x:c>
      <x:c r="C313" s="34" t="str">
        <x:v>caffeine</x:v>
      </x:c>
      <x:c r="D313" s="36" t="n">
        <x:v>6</x:v>
      </x:c>
      <x:c r="E313" s="36" t="n">
        <x:v>6</x:v>
      </x:c>
      <x:c r="F313" s="36" t="n">
        <x:v>2</x:v>
      </x:c>
      <x:c r="G313" s="36" t="n">
        <x:v>1</x:v>
      </x:c>
      <x:c r="H313" s="34" t="str">
        <x:v>redeploy</x:v>
      </x:c>
      <x:c r="I313" s="34" t="str">
        <x:v>cache-semantics</x:v>
      </x:c>
      <x:c r="J313" s="45" t="b">
        <x:v>1</x:v>
      </x:c>
      <x:c r="K313" s="45" t="b">
        <x:v>1</x:v>
      </x:c>
      <x:c r="L313" s="45" t="b">
        <x:v>1</x:v>
      </x:c>
      <x:c r="M313" s="43" t="n">
        <x:v>400000</x:v>
      </x:c>
      <x:c r="N313" s="43" t="n">
        <x:v>135718144</x:v>
      </x:c>
      <x:c r="O313" s="43" t="n">
        <x:v>27131270.89679681</x:v>
      </x:c>
      <x:c r="P313" s="45" t="b">
        <x:v>1</x:v>
      </x:c>
      <x:c r="Q313" s="45" t="b">
        <x:v>1</x:v>
      </x:c>
      <x:c r="R313" s="45" t="b">
        <x:v>1</x:v>
      </x:c>
      <x:c r="S313" s="43" t="n">
        <x:v>5000000000</x:v>
      </x:c>
      <x:c r="T313" s="43" t="n">
        <x:v>5002277428</x:v>
      </x:c>
      <x:c r="U313" s="45" t="b">
        <x:v>1</x:v>
      </x:c>
      <x:c r="V313" s="34" t="str">
        <x:v>uniform</x:v>
      </x:c>
      <x:c r="W313" s="42" t="n">
        <x:v>95</x:v>
      </x:c>
      <x:c r="X313" s="48" t="n">
        <x:v>0.95</x:v>
      </x:c>
      <x:c r="Y313" s="48" t="n">
        <x:v>0.9502367789527095</x:v>
      </x:c>
      <x:c r="Z313" s="45" t="b">
        <x:v>1</x:v>
      </x:c>
      <x:c r="AA313" s="43" t="n">
        <x:v>10000</x:v>
      </x:c>
      <x:c r="AB313" s="43" t="n">
        <x:v>9900</x:v>
      </x:c>
      <x:c r="AC313" s="43" t="n">
        <x:v>10000</x:v>
      </x:c>
      <x:c r="AD313" s="45" t="b">
        <x:v>1</x:v>
      </x:c>
      <x:c r="AE313" s="43" t="n">
        <x:v>9900</x:v>
      </x:c>
      <x:c r="AF313" s="43"/>
      <x:c r="AG313" s="43" t="n">
        <x:v>10000</x:v>
      </x:c>
      <x:c r="AH313" s="45" t="b">
        <x:v>1</x:v>
      </x:c>
      <x:c r="AI313" s="45" t="b">
        <x:v>1</x:v>
      </x:c>
      <x:c r="AJ313" s="49"/>
      <x:c r="AK313" s="48" t="n">
        <x:v>0.9502367789527095</x:v>
      </x:c>
      <x:c r="AL313" s="49"/>
      <x:c r="AM313" s="49"/>
      <x:c r="AN313" s="36" t="n">
        <x:v>1</x:v>
      </x:c>
      <x:c r="AO313" s="45" t="b">
        <x:v>1</x:v>
      </x:c>
      <x:c r="AP313" s="45" t="b">
        <x:v>1</x:v>
      </x:c>
      <x:c r="AQ313" s="46" t="n">
        <x:f>IF(T313="","",T313/'Readme-Protocol'!$B$24)</x:f>
        <x:v>5.002277428</x:v>
      </x:c>
      <x:c r="AR313" s="46" t="n">
        <x:f>IF(OR(S313="",S313=0),"",T313/S313)</x:f>
        <x:v>1.0004554856</x:v>
      </x:c>
      <x:c r="AS313" s="46" t="n">
        <x:f>IF(OR(X313="",Y313=""),"",ABS(Y313-X313)*'Readme-Protocol'!$B$27)</x:f>
        <x:v>0.023677895270957094</x:v>
      </x:c>
      <x:c r="AT313" s="49" t="b">
        <x:f>AND(M313&gt;0,N313&gt;=0,O313&gt;0)</x:f>
        <x:v>1</x:v>
      </x:c>
      <x:c r="AU313" s="49" t="b">
        <x:f>AND(AT313,N313&gt;=M313)</x:f>
        <x:v>1</x:v>
      </x:c>
      <x:c r="AV313" s="49" t="b">
        <x:f>OR(S313=0,T313&gt;=S313)</x:f>
        <x:v>1</x:v>
      </x:c>
      <x:c r="AW313" s="49" t="b">
        <x:f>IF(I313="cache-semantics",OR(V313&lt;&gt;"uniform",ABS(Y313-W313/'Readme-Protocol'!$B$27)&lt;='Readme-Protocol'!$B$28),TRUE)</x:f>
        <x:v>1</x:v>
      </x:c>
      <x:c r="AX313" s="43" t="n">
        <x:f>IF(I313="cache-semantics",INT(AA313*'Readme-Protocol'!$B$32),"")</x:f>
        <x:v>9900</x:v>
      </x:c>
      <x:c r="AY313" s="49" t="b">
        <x:f>IF(I313="cache-semantics",AX313=AB313,TRUE)</x:f>
        <x:v>1</x:v>
      </x:c>
      <x:c r="AZ313" s="49" t="b">
        <x:f>IF(I313="cache-semantics",AX313=AE313,TRUE)</x:f>
        <x:v>1</x:v>
      </x:c>
      <x:c r="BA313" s="49" t="b">
        <x:f>IF(I313="cache-semantics",AC313&gt;=AX313,IF(I313="no-store-control",AC313=0,FALSE))</x:f>
        <x:v>1</x:v>
      </x:c>
      <x:c r="BB313" s="49" t="b">
        <x:f>IF(I313="cache-semantics",AG313&gt;=AX313,IF(I313="no-store-control",AG313=0,FALSE))</x:f>
        <x:v>1</x:v>
      </x:c>
      <x:c r="BC313" s="49" t="b">
        <x:f>AND(BA313,BB313)</x:f>
        <x:v>1</x:v>
      </x:c>
      <x:c r="BD313" s="49" t="b">
        <x:f>IF(I313="no-store-control",AND(AC313=0,AG313=0),TRUE)</x:f>
        <x:v>1</x:v>
      </x:c>
      <x:c r="BE313" s="49" t="b">
        <x:f>IF(I313="no-store-control",AK313=0,TRUE)</x:f>
        <x:v>1</x:v>
      </x:c>
      <x:c r="BF313" s="49" t="b">
        <x:f>IF(I313="cache-semantics",AN313=1,TRUE)</x:f>
        <x:v>1</x:v>
      </x:c>
      <x:c r="BG313" s="49" t="b">
        <x:f>IF(I313="cache-semantics",AND(AU313,AV313,Q313,AW313,BC313,BF313),IF(I313="no-store-control",AND(AU313,AV313,Q313,BD313,BE313),FALSE))</x:f>
        <x:v>1</x:v>
      </x:c>
      <x:c r="BH313" s="49" t="b">
        <x:f>AND(R313,AT313=P313,AU313=L313,AV313=U313,AY313,AZ313,IF(I313="cache-semantics",AND(AW313=Z313,AND(BA313=AD313,BB313=AH313,BC313=AI313),BF313=AO313),IF(I313="no-store-control",AND(AND(BA313=AD313,BB313=AH313,BC313=AI313),BD313=AJ313,BE313=AL313),FALSE)),BG313=AP313)</x:f>
        <x:v>1</x:v>
      </x:c>
      <x:c r="BI313" s="49" t="b">
        <x:f>AND(J313,K313,BG313)</x:f>
        <x:v>1</x:v>
      </x:c>
    </x:row>
    <x:row r="314">
      <x:c r="A314" s="34" t="str">
        <x:v>article1-unified-v4-2-fb3f101b-20260903-000401-default-f06-p2-caffeine</x:v>
      </x:c>
      <x:c r="B314" s="34" t="str">
        <x:v>default</x:v>
      </x:c>
      <x:c r="C314" s="34" t="str">
        <x:v>caffeine</x:v>
      </x:c>
      <x:c r="D314" s="36" t="n">
        <x:v>6</x:v>
      </x:c>
      <x:c r="E314" s="36" t="n">
        <x:v>6</x:v>
      </x:c>
      <x:c r="F314" s="36" t="n">
        <x:v>2</x:v>
      </x:c>
      <x:c r="G314" s="36" t="n">
        <x:v>2</x:v>
      </x:c>
      <x:c r="H314" s="34" t="str">
        <x:v>initial</x:v>
      </x:c>
      <x:c r="I314" s="34" t="str">
        <x:v>cache-semantics</x:v>
      </x:c>
      <x:c r="J314" s="45" t="b">
        <x:v>1</x:v>
      </x:c>
      <x:c r="K314" s="45" t="b">
        <x:v>1</x:v>
      </x:c>
      <x:c r="L314" s="45" t="b">
        <x:v>1</x:v>
      </x:c>
      <x:c r="M314" s="43" t="n">
        <x:v>400000</x:v>
      </x:c>
      <x:c r="N314" s="43" t="n">
        <x:v>133620480</x:v>
      </x:c>
      <x:c r="O314" s="43" t="n">
        <x:v>26446793.143646836</x:v>
      </x:c>
      <x:c r="P314" s="45" t="b">
        <x:v>1</x:v>
      </x:c>
      <x:c r="Q314" s="45" t="b">
        <x:v>1</x:v>
      </x:c>
      <x:c r="R314" s="45" t="b">
        <x:v>1</x:v>
      </x:c>
      <x:c r="S314" s="43" t="n">
        <x:v>5000000000</x:v>
      </x:c>
      <x:c r="T314" s="43" t="n">
        <x:v>5052426556</x:v>
      </x:c>
      <x:c r="U314" s="45" t="b">
        <x:v>1</x:v>
      </x:c>
      <x:c r="V314" s="34" t="str">
        <x:v>uniform</x:v>
      </x:c>
      <x:c r="W314" s="42" t="n">
        <x:v>95</x:v>
      </x:c>
      <x:c r="X314" s="48" t="n">
        <x:v>0.95</x:v>
      </x:c>
      <x:c r="Y314" s="48" t="n">
        <x:v>0.9497624391111302</x:v>
      </x:c>
      <x:c r="Z314" s="45" t="b">
        <x:v>1</x:v>
      </x:c>
      <x:c r="AA314" s="43" t="n">
        <x:v>10000</x:v>
      </x:c>
      <x:c r="AB314" s="43" t="n">
        <x:v>9900</x:v>
      </x:c>
      <x:c r="AC314" s="43" t="n">
        <x:v>10000</x:v>
      </x:c>
      <x:c r="AD314" s="45" t="b">
        <x:v>1</x:v>
      </x:c>
      <x:c r="AE314" s="43" t="n">
        <x:v>9900</x:v>
      </x:c>
      <x:c r="AF314" s="43"/>
      <x:c r="AG314" s="43" t="n">
        <x:v>10000</x:v>
      </x:c>
      <x:c r="AH314" s="45" t="b">
        <x:v>1</x:v>
      </x:c>
      <x:c r="AI314" s="45" t="b">
        <x:v>1</x:v>
      </x:c>
      <x:c r="AJ314" s="49"/>
      <x:c r="AK314" s="48" t="n">
        <x:v>0.9497624391111302</x:v>
      </x:c>
      <x:c r="AL314" s="49"/>
      <x:c r="AM314" s="49"/>
      <x:c r="AN314" s="36" t="n">
        <x:v>1</x:v>
      </x:c>
      <x:c r="AO314" s="45" t="b">
        <x:v>1</x:v>
      </x:c>
      <x:c r="AP314" s="45" t="b">
        <x:v>1</x:v>
      </x:c>
      <x:c r="AQ314" s="46" t="n">
        <x:f>IF(T314="","",T314/'Readme-Protocol'!$B$24)</x:f>
        <x:v>5.052426556</x:v>
      </x:c>
      <x:c r="AR314" s="46" t="n">
        <x:f>IF(OR(S314="",S314=0),"",T314/S314)</x:f>
        <x:v>1.0104853112</x:v>
      </x:c>
      <x:c r="AS314" s="46" t="n">
        <x:f>IF(OR(X314="",Y314=""),"",ABS(Y314-X314)*'Readme-Protocol'!$B$27)</x:f>
        <x:v>0.02375608888697256</x:v>
      </x:c>
      <x:c r="AT314" s="49" t="b">
        <x:f>AND(M314&gt;0,N314&gt;=0,O314&gt;0)</x:f>
        <x:v>1</x:v>
      </x:c>
      <x:c r="AU314" s="49" t="b">
        <x:f>AND(AT314,N314&gt;=M314)</x:f>
        <x:v>1</x:v>
      </x:c>
      <x:c r="AV314" s="49" t="b">
        <x:f>OR(S314=0,T314&gt;=S314)</x:f>
        <x:v>1</x:v>
      </x:c>
      <x:c r="AW314" s="49" t="b">
        <x:f>IF(I314="cache-semantics",OR(V314&lt;&gt;"uniform",ABS(Y314-W314/'Readme-Protocol'!$B$27)&lt;='Readme-Protocol'!$B$28),TRUE)</x:f>
        <x:v>1</x:v>
      </x:c>
      <x:c r="AX314" s="43" t="n">
        <x:f>IF(I314="cache-semantics",INT(AA314*'Readme-Protocol'!$B$32),"")</x:f>
        <x:v>9900</x:v>
      </x:c>
      <x:c r="AY314" s="49" t="b">
        <x:f>IF(I314="cache-semantics",AX314=AB314,TRUE)</x:f>
        <x:v>1</x:v>
      </x:c>
      <x:c r="AZ314" s="49" t="b">
        <x:f>IF(I314="cache-semantics",AX314=AE314,TRUE)</x:f>
        <x:v>1</x:v>
      </x:c>
      <x:c r="BA314" s="49" t="b">
        <x:f>IF(I314="cache-semantics",AC314&gt;=AX314,IF(I314="no-store-control",AC314=0,FALSE))</x:f>
        <x:v>1</x:v>
      </x:c>
      <x:c r="BB314" s="49" t="b">
        <x:f>IF(I314="cache-semantics",AG314&gt;=AX314,IF(I314="no-store-control",AG314=0,FALSE))</x:f>
        <x:v>1</x:v>
      </x:c>
      <x:c r="BC314" s="49" t="b">
        <x:f>AND(BA314,BB314)</x:f>
        <x:v>1</x:v>
      </x:c>
      <x:c r="BD314" s="49" t="b">
        <x:f>IF(I314="no-store-control",AND(AC314=0,AG314=0),TRUE)</x:f>
        <x:v>1</x:v>
      </x:c>
      <x:c r="BE314" s="49" t="b">
        <x:f>IF(I314="no-store-control",AK314=0,TRUE)</x:f>
        <x:v>1</x:v>
      </x:c>
      <x:c r="BF314" s="49" t="b">
        <x:f>IF(I314="cache-semantics",AN314=1,TRUE)</x:f>
        <x:v>1</x:v>
      </x:c>
      <x:c r="BG314" s="49" t="b">
        <x:f>IF(I314="cache-semantics",AND(AU314,AV314,Q314,AW314,BC314,BF314),IF(I314="no-store-control",AND(AU314,AV314,Q314,BD314,BE314),FALSE))</x:f>
        <x:v>1</x:v>
      </x:c>
      <x:c r="BH314" s="49" t="b">
        <x:f>AND(R314,AT314=P314,AU314=L314,AV314=U314,AY314,AZ314,IF(I314="cache-semantics",AND(AW314=Z314,AND(BA314=AD314,BB314=AH314,BC314=AI314),BF314=AO314),IF(I314="no-store-control",AND(AND(BA314=AD314,BB314=AH314,BC314=AI314),BD314=AJ314,BE314=AL314),FALSE)),BG314=AP314)</x:f>
        <x:v>1</x:v>
      </x:c>
      <x:c r="BI314" s="49" t="b">
        <x:f>AND(J314,K314,BG314)</x:f>
        <x:v>1</x:v>
      </x:c>
    </x:row>
    <x:row r="315">
      <x:c r="A315" s="34" t="str">
        <x:v>article1-unified-v4-2-fb3f101b-20260903-000401-default-f06-p2-caffeine</x:v>
      </x:c>
      <x:c r="B315" s="34" t="str">
        <x:v>default</x:v>
      </x:c>
      <x:c r="C315" s="34" t="str">
        <x:v>caffeine</x:v>
      </x:c>
      <x:c r="D315" s="36" t="n">
        <x:v>6</x:v>
      </x:c>
      <x:c r="E315" s="36" t="n">
        <x:v>6</x:v>
      </x:c>
      <x:c r="F315" s="36" t="n">
        <x:v>2</x:v>
      </x:c>
      <x:c r="G315" s="36" t="n">
        <x:v>2</x:v>
      </x:c>
      <x:c r="H315" s="34" t="str">
        <x:v>redeploy</x:v>
      </x:c>
      <x:c r="I315" s="34" t="str">
        <x:v>cache-semantics</x:v>
      </x:c>
      <x:c r="J315" s="45" t="b">
        <x:v>1</x:v>
      </x:c>
      <x:c r="K315" s="45" t="b">
        <x:v>1</x:v>
      </x:c>
      <x:c r="L315" s="45" t="b">
        <x:v>1</x:v>
      </x:c>
      <x:c r="M315" s="43" t="n">
        <x:v>400000</x:v>
      </x:c>
      <x:c r="N315" s="43" t="n">
        <x:v>135179264</x:v>
      </x:c>
      <x:c r="O315" s="43" t="n">
        <x:v>27022928.073991105</x:v>
      </x:c>
      <x:c r="P315" s="45" t="b">
        <x:v>1</x:v>
      </x:c>
      <x:c r="Q315" s="45" t="b">
        <x:v>1</x:v>
      </x:c>
      <x:c r="R315" s="45" t="b">
        <x:v>1</x:v>
      </x:c>
      <x:c r="S315" s="43" t="n">
        <x:v>5000000000</x:v>
      </x:c>
      <x:c r="T315" s="43" t="n">
        <x:v>5002391437</x:v>
      </x:c>
      <x:c r="U315" s="45" t="b">
        <x:v>1</x:v>
      </x:c>
      <x:c r="V315" s="34" t="str">
        <x:v>uniform</x:v>
      </x:c>
      <x:c r="W315" s="42" t="n">
        <x:v>95</x:v>
      </x:c>
      <x:c r="X315" s="48" t="n">
        <x:v>0.95</x:v>
      </x:c>
      <x:c r="Y315" s="48" t="n">
        <x:v>0.9497733099064661</x:v>
      </x:c>
      <x:c r="Z315" s="45" t="b">
        <x:v>1</x:v>
      </x:c>
      <x:c r="AA315" s="43" t="n">
        <x:v>10000</x:v>
      </x:c>
      <x:c r="AB315" s="43" t="n">
        <x:v>9900</x:v>
      </x:c>
      <x:c r="AC315" s="43" t="n">
        <x:v>10000</x:v>
      </x:c>
      <x:c r="AD315" s="45" t="b">
        <x:v>1</x:v>
      </x:c>
      <x:c r="AE315" s="43" t="n">
        <x:v>9900</x:v>
      </x:c>
      <x:c r="AF315" s="43"/>
      <x:c r="AG315" s="43" t="n">
        <x:v>10000</x:v>
      </x:c>
      <x:c r="AH315" s="45" t="b">
        <x:v>1</x:v>
      </x:c>
      <x:c r="AI315" s="45" t="b">
        <x:v>1</x:v>
      </x:c>
      <x:c r="AJ315" s="49"/>
      <x:c r="AK315" s="48" t="n">
        <x:v>0.9497733099064661</x:v>
      </x:c>
      <x:c r="AL315" s="49"/>
      <x:c r="AM315" s="49"/>
      <x:c r="AN315" s="36" t="n">
        <x:v>1</x:v>
      </x:c>
      <x:c r="AO315" s="45" t="b">
        <x:v>1</x:v>
      </x:c>
      <x:c r="AP315" s="45" t="b">
        <x:v>1</x:v>
      </x:c>
      <x:c r="AQ315" s="46" t="n">
        <x:f>IF(T315="","",T315/'Readme-Protocol'!$B$24)</x:f>
        <x:v>5.002391437</x:v>
      </x:c>
      <x:c r="AR315" s="46" t="n">
        <x:f>IF(OR(S315="",S315=0),"",T315/S315)</x:f>
        <x:v>1.0004782874</x:v>
      </x:c>
      <x:c r="AS315" s="46" t="n">
        <x:f>IF(OR(X315="",Y315=""),"",ABS(Y315-X315)*'Readme-Protocol'!$B$27)</x:f>
        <x:v>0.02266900935338212</x:v>
      </x:c>
      <x:c r="AT315" s="49" t="b">
        <x:f>AND(M315&gt;0,N315&gt;=0,O315&gt;0)</x:f>
        <x:v>1</x:v>
      </x:c>
      <x:c r="AU315" s="49" t="b">
        <x:f>AND(AT315,N315&gt;=M315)</x:f>
        <x:v>1</x:v>
      </x:c>
      <x:c r="AV315" s="49" t="b">
        <x:f>OR(S315=0,T315&gt;=S315)</x:f>
        <x:v>1</x:v>
      </x:c>
      <x:c r="AW315" s="49" t="b">
        <x:f>IF(I315="cache-semantics",OR(V315&lt;&gt;"uniform",ABS(Y315-W315/'Readme-Protocol'!$B$27)&lt;='Readme-Protocol'!$B$28),TRUE)</x:f>
        <x:v>1</x:v>
      </x:c>
      <x:c r="AX315" s="43" t="n">
        <x:f>IF(I315="cache-semantics",INT(AA315*'Readme-Protocol'!$B$32),"")</x:f>
        <x:v>9900</x:v>
      </x:c>
      <x:c r="AY315" s="49" t="b">
        <x:f>IF(I315="cache-semantics",AX315=AB315,TRUE)</x:f>
        <x:v>1</x:v>
      </x:c>
      <x:c r="AZ315" s="49" t="b">
        <x:f>IF(I315="cache-semantics",AX315=AE315,TRUE)</x:f>
        <x:v>1</x:v>
      </x:c>
      <x:c r="BA315" s="49" t="b">
        <x:f>IF(I315="cache-semantics",AC315&gt;=AX315,IF(I315="no-store-control",AC315=0,FALSE))</x:f>
        <x:v>1</x:v>
      </x:c>
      <x:c r="BB315" s="49" t="b">
        <x:f>IF(I315="cache-semantics",AG315&gt;=AX315,IF(I315="no-store-control",AG315=0,FALSE))</x:f>
        <x:v>1</x:v>
      </x:c>
      <x:c r="BC315" s="49" t="b">
        <x:f>AND(BA315,BB315)</x:f>
        <x:v>1</x:v>
      </x:c>
      <x:c r="BD315" s="49" t="b">
        <x:f>IF(I315="no-store-control",AND(AC315=0,AG315=0),TRUE)</x:f>
        <x:v>1</x:v>
      </x:c>
      <x:c r="BE315" s="49" t="b">
        <x:f>IF(I315="no-store-control",AK315=0,TRUE)</x:f>
        <x:v>1</x:v>
      </x:c>
      <x:c r="BF315" s="49" t="b">
        <x:f>IF(I315="cache-semantics",AN315=1,TRUE)</x:f>
        <x:v>1</x:v>
      </x:c>
      <x:c r="BG315" s="49" t="b">
        <x:f>IF(I315="cache-semantics",AND(AU315,AV315,Q315,AW315,BC315,BF315),IF(I315="no-store-control",AND(AU315,AV315,Q315,BD315,BE315),FALSE))</x:f>
        <x:v>1</x:v>
      </x:c>
      <x:c r="BH315" s="49" t="b">
        <x:f>AND(R315,AT315=P315,AU315=L315,AV315=U315,AY315,AZ315,IF(I315="cache-semantics",AND(AW315=Z315,AND(BA315=AD315,BB315=AH315,BC315=AI315),BF315=AO315),IF(I315="no-store-control",AND(AND(BA315=AD315,BB315=AH315,BC315=AI315),BD315=AJ315,BE315=AL315),FALSE)),BG315=AP315)</x:f>
        <x:v>1</x:v>
      </x:c>
      <x:c r="BI315" s="49" t="b">
        <x:f>AND(J315,K315,BG315)</x:f>
        <x:v>1</x:v>
      </x:c>
    </x:row>
    <x:row r="316">
      <x:c r="A316" s="34" t="str">
        <x:v>article1-unified-v4-2-fb3f101b-20260903-000401-default-f06-p2-caffeine</x:v>
      </x:c>
      <x:c r="B316" s="34" t="str">
        <x:v>default</x:v>
      </x:c>
      <x:c r="C316" s="34" t="str">
        <x:v>caffeine</x:v>
      </x:c>
      <x:c r="D316" s="36" t="n">
        <x:v>6</x:v>
      </x:c>
      <x:c r="E316" s="36" t="n">
        <x:v>6</x:v>
      </x:c>
      <x:c r="F316" s="36" t="n">
        <x:v>2</x:v>
      </x:c>
      <x:c r="G316" s="36" t="n">
        <x:v>3</x:v>
      </x:c>
      <x:c r="H316" s="34" t="str">
        <x:v>initial</x:v>
      </x:c>
      <x:c r="I316" s="34" t="str">
        <x:v>cache-semantics</x:v>
      </x:c>
      <x:c r="J316" s="45" t="b">
        <x:v>1</x:v>
      </x:c>
      <x:c r="K316" s="45" t="b">
        <x:v>1</x:v>
      </x:c>
      <x:c r="L316" s="45" t="b">
        <x:v>1</x:v>
      </x:c>
      <x:c r="M316" s="43" t="n">
        <x:v>400000</x:v>
      </x:c>
      <x:c r="N316" s="43" t="n">
        <x:v>125909248</x:v>
      </x:c>
      <x:c r="O316" s="43" t="n">
        <x:v>25170989.501066796</x:v>
      </x:c>
      <x:c r="P316" s="45" t="b">
        <x:v>1</x:v>
      </x:c>
      <x:c r="Q316" s="45" t="b">
        <x:v>1</x:v>
      </x:c>
      <x:c r="R316" s="45" t="b">
        <x:v>1</x:v>
      </x:c>
      <x:c r="S316" s="43" t="n">
        <x:v>5000000000</x:v>
      </x:c>
      <x:c r="T316" s="43" t="n">
        <x:v>5002157265</x:v>
      </x:c>
      <x:c r="U316" s="45" t="b">
        <x:v>1</x:v>
      </x:c>
      <x:c r="V316" s="34" t="str">
        <x:v>uniform</x:v>
      </x:c>
      <x:c r="W316" s="42" t="n">
        <x:v>95</x:v>
      </x:c>
      <x:c r="X316" s="48" t="n">
        <x:v>0.95</x:v>
      </x:c>
      <x:c r="Y316" s="48" t="n">
        <x:v>0.9499303180652783</x:v>
      </x:c>
      <x:c r="Z316" s="45" t="b">
        <x:v>1</x:v>
      </x:c>
      <x:c r="AA316" s="43" t="n">
        <x:v>10000</x:v>
      </x:c>
      <x:c r="AB316" s="43" t="n">
        <x:v>9900</x:v>
      </x:c>
      <x:c r="AC316" s="43" t="n">
        <x:v>10000</x:v>
      </x:c>
      <x:c r="AD316" s="45" t="b">
        <x:v>1</x:v>
      </x:c>
      <x:c r="AE316" s="43" t="n">
        <x:v>9900</x:v>
      </x:c>
      <x:c r="AF316" s="43"/>
      <x:c r="AG316" s="43" t="n">
        <x:v>10000</x:v>
      </x:c>
      <x:c r="AH316" s="45" t="b">
        <x:v>1</x:v>
      </x:c>
      <x:c r="AI316" s="45" t="b">
        <x:v>1</x:v>
      </x:c>
      <x:c r="AJ316" s="49"/>
      <x:c r="AK316" s="48" t="n">
        <x:v>0.9499303180652783</x:v>
      </x:c>
      <x:c r="AL316" s="49"/>
      <x:c r="AM316" s="49"/>
      <x:c r="AN316" s="36" t="n">
        <x:v>1</x:v>
      </x:c>
      <x:c r="AO316" s="45" t="b">
        <x:v>1</x:v>
      </x:c>
      <x:c r="AP316" s="45" t="b">
        <x:v>1</x:v>
      </x:c>
      <x:c r="AQ316" s="46" t="n">
        <x:f>IF(T316="","",T316/'Readme-Protocol'!$B$24)</x:f>
        <x:v>5.002157265</x:v>
      </x:c>
      <x:c r="AR316" s="46" t="n">
        <x:f>IF(OR(S316="",S316=0),"",T316/S316)</x:f>
        <x:v>1.000431453</x:v>
      </x:c>
      <x:c r="AS316" s="46" t="n">
        <x:f>IF(OR(X316="",Y316=""),"",ABS(Y316-X316)*'Readme-Protocol'!$B$27)</x:f>
        <x:v>0.006968193472167705</x:v>
      </x:c>
      <x:c r="AT316" s="49" t="b">
        <x:f>AND(M316&gt;0,N316&gt;=0,O316&gt;0)</x:f>
        <x:v>1</x:v>
      </x:c>
      <x:c r="AU316" s="49" t="b">
        <x:f>AND(AT316,N316&gt;=M316)</x:f>
        <x:v>1</x:v>
      </x:c>
      <x:c r="AV316" s="49" t="b">
        <x:f>OR(S316=0,T316&gt;=S316)</x:f>
        <x:v>1</x:v>
      </x:c>
      <x:c r="AW316" s="49" t="b">
        <x:f>IF(I316="cache-semantics",OR(V316&lt;&gt;"uniform",ABS(Y316-W316/'Readme-Protocol'!$B$27)&lt;='Readme-Protocol'!$B$28),TRUE)</x:f>
        <x:v>1</x:v>
      </x:c>
      <x:c r="AX316" s="43" t="n">
        <x:f>IF(I316="cache-semantics",INT(AA316*'Readme-Protocol'!$B$32),"")</x:f>
        <x:v>9900</x:v>
      </x:c>
      <x:c r="AY316" s="49" t="b">
        <x:f>IF(I316="cache-semantics",AX316=AB316,TRUE)</x:f>
        <x:v>1</x:v>
      </x:c>
      <x:c r="AZ316" s="49" t="b">
        <x:f>IF(I316="cache-semantics",AX316=AE316,TRUE)</x:f>
        <x:v>1</x:v>
      </x:c>
      <x:c r="BA316" s="49" t="b">
        <x:f>IF(I316="cache-semantics",AC316&gt;=AX316,IF(I316="no-store-control",AC316=0,FALSE))</x:f>
        <x:v>1</x:v>
      </x:c>
      <x:c r="BB316" s="49" t="b">
        <x:f>IF(I316="cache-semantics",AG316&gt;=AX316,IF(I316="no-store-control",AG316=0,FALSE))</x:f>
        <x:v>1</x:v>
      </x:c>
      <x:c r="BC316" s="49" t="b">
        <x:f>AND(BA316,BB316)</x:f>
        <x:v>1</x:v>
      </x:c>
      <x:c r="BD316" s="49" t="b">
        <x:f>IF(I316="no-store-control",AND(AC316=0,AG316=0),TRUE)</x:f>
        <x:v>1</x:v>
      </x:c>
      <x:c r="BE316" s="49" t="b">
        <x:f>IF(I316="no-store-control",AK316=0,TRUE)</x:f>
        <x:v>1</x:v>
      </x:c>
      <x:c r="BF316" s="49" t="b">
        <x:f>IF(I316="cache-semantics",AN316=1,TRUE)</x:f>
        <x:v>1</x:v>
      </x:c>
      <x:c r="BG316" s="49" t="b">
        <x:f>IF(I316="cache-semantics",AND(AU316,AV316,Q316,AW316,BC316,BF316),IF(I316="no-store-control",AND(AU316,AV316,Q316,BD316,BE316),FALSE))</x:f>
        <x:v>1</x:v>
      </x:c>
      <x:c r="BH316" s="49" t="b">
        <x:f>AND(R316,AT316=P316,AU316=L316,AV316=U316,AY316,AZ316,IF(I316="cache-semantics",AND(AW316=Z316,AND(BA316=AD316,BB316=AH316,BC316=AI316),BF316=AO316),IF(I316="no-store-control",AND(AND(BA316=AD316,BB316=AH316,BC316=AI316),BD316=AJ316,BE316=AL316),FALSE)),BG316=AP316)</x:f>
        <x:v>1</x:v>
      </x:c>
      <x:c r="BI316" s="49" t="b">
        <x:f>AND(J316,K316,BG316)</x:f>
        <x:v>1</x:v>
      </x:c>
    </x:row>
    <x:row r="317">
      <x:c r="A317" s="34" t="str">
        <x:v>article1-unified-v4-2-fb3f101b-20260903-000401-default-f06-p2-caffeine</x:v>
      </x:c>
      <x:c r="B317" s="34" t="str">
        <x:v>default</x:v>
      </x:c>
      <x:c r="C317" s="34" t="str">
        <x:v>caffeine</x:v>
      </x:c>
      <x:c r="D317" s="36" t="n">
        <x:v>6</x:v>
      </x:c>
      <x:c r="E317" s="36" t="n">
        <x:v>6</x:v>
      </x:c>
      <x:c r="F317" s="36" t="n">
        <x:v>2</x:v>
      </x:c>
      <x:c r="G317" s="36" t="n">
        <x:v>3</x:v>
      </x:c>
      <x:c r="H317" s="34" t="str">
        <x:v>redeploy</x:v>
      </x:c>
      <x:c r="I317" s="34" t="str">
        <x:v>cache-semantics</x:v>
      </x:c>
      <x:c r="J317" s="45" t="b">
        <x:v>1</x:v>
      </x:c>
      <x:c r="K317" s="45" t="b">
        <x:v>1</x:v>
      </x:c>
      <x:c r="L317" s="45" t="b">
        <x:v>1</x:v>
      </x:c>
      <x:c r="M317" s="43" t="n">
        <x:v>400000</x:v>
      </x:c>
      <x:c r="N317" s="43" t="n">
        <x:v>136335104</x:v>
      </x:c>
      <x:c r="O317" s="43" t="n">
        <x:v>26966690.72669498</x:v>
      </x:c>
      <x:c r="P317" s="45" t="b">
        <x:v>1</x:v>
      </x:c>
      <x:c r="Q317" s="45" t="b">
        <x:v>1</x:v>
      </x:c>
      <x:c r="R317" s="45" t="b">
        <x:v>1</x:v>
      </x:c>
      <x:c r="S317" s="43" t="n">
        <x:v>5000000000</x:v>
      </x:c>
      <x:c r="T317" s="43" t="n">
        <x:v>5055685378</x:v>
      </x:c>
      <x:c r="U317" s="45" t="b">
        <x:v>1</x:v>
      </x:c>
      <x:c r="V317" s="34" t="str">
        <x:v>uniform</x:v>
      </x:c>
      <x:c r="W317" s="42" t="n">
        <x:v>95</x:v>
      </x:c>
      <x:c r="X317" s="48" t="n">
        <x:v>0.95</x:v>
      </x:c>
      <x:c r="Y317" s="48" t="n">
        <x:v>0.9499043621223189</x:v>
      </x:c>
      <x:c r="Z317" s="45" t="b">
        <x:v>1</x:v>
      </x:c>
      <x:c r="AA317" s="43" t="n">
        <x:v>10000</x:v>
      </x:c>
      <x:c r="AB317" s="43" t="n">
        <x:v>9900</x:v>
      </x:c>
      <x:c r="AC317" s="43" t="n">
        <x:v>10000</x:v>
      </x:c>
      <x:c r="AD317" s="45" t="b">
        <x:v>1</x:v>
      </x:c>
      <x:c r="AE317" s="43" t="n">
        <x:v>9900</x:v>
      </x:c>
      <x:c r="AF317" s="43"/>
      <x:c r="AG317" s="43" t="n">
        <x:v>10000</x:v>
      </x:c>
      <x:c r="AH317" s="45" t="b">
        <x:v>1</x:v>
      </x:c>
      <x:c r="AI317" s="45" t="b">
        <x:v>1</x:v>
      </x:c>
      <x:c r="AJ317" s="49"/>
      <x:c r="AK317" s="48" t="n">
        <x:v>0.9499043621223189</x:v>
      </x:c>
      <x:c r="AL317" s="49"/>
      <x:c r="AM317" s="49"/>
      <x:c r="AN317" s="36" t="n">
        <x:v>1</x:v>
      </x:c>
      <x:c r="AO317" s="45" t="b">
        <x:v>1</x:v>
      </x:c>
      <x:c r="AP317" s="45" t="b">
        <x:v>1</x:v>
      </x:c>
      <x:c r="AQ317" s="46" t="n">
        <x:f>IF(T317="","",T317/'Readme-Protocol'!$B$24)</x:f>
        <x:v>5.055685378</x:v>
      </x:c>
      <x:c r="AR317" s="46" t="n">
        <x:f>IF(OR(S317="",S317=0),"",T317/S317)</x:f>
        <x:v>1.0111370756</x:v>
      </x:c>
      <x:c r="AS317" s="46" t="n">
        <x:f>IF(OR(X317="",Y317=""),"",ABS(Y317-X317)*'Readme-Protocol'!$B$27)</x:f>
        <x:v>0.009563787768107623</x:v>
      </x:c>
      <x:c r="AT317" s="49" t="b">
        <x:f>AND(M317&gt;0,N317&gt;=0,O317&gt;0)</x:f>
        <x:v>1</x:v>
      </x:c>
      <x:c r="AU317" s="49" t="b">
        <x:f>AND(AT317,N317&gt;=M317)</x:f>
        <x:v>1</x:v>
      </x:c>
      <x:c r="AV317" s="49" t="b">
        <x:f>OR(S317=0,T317&gt;=S317)</x:f>
        <x:v>1</x:v>
      </x:c>
      <x:c r="AW317" s="49" t="b">
        <x:f>IF(I317="cache-semantics",OR(V317&lt;&gt;"uniform",ABS(Y317-W317/'Readme-Protocol'!$B$27)&lt;='Readme-Protocol'!$B$28),TRUE)</x:f>
        <x:v>1</x:v>
      </x:c>
      <x:c r="AX317" s="43" t="n">
        <x:f>IF(I317="cache-semantics",INT(AA317*'Readme-Protocol'!$B$32),"")</x:f>
        <x:v>9900</x:v>
      </x:c>
      <x:c r="AY317" s="49" t="b">
        <x:f>IF(I317="cache-semantics",AX317=AB317,TRUE)</x:f>
        <x:v>1</x:v>
      </x:c>
      <x:c r="AZ317" s="49" t="b">
        <x:f>IF(I317="cache-semantics",AX317=AE317,TRUE)</x:f>
        <x:v>1</x:v>
      </x:c>
      <x:c r="BA317" s="49" t="b">
        <x:f>IF(I317="cache-semantics",AC317&gt;=AX317,IF(I317="no-store-control",AC317=0,FALSE))</x:f>
        <x:v>1</x:v>
      </x:c>
      <x:c r="BB317" s="49" t="b">
        <x:f>IF(I317="cache-semantics",AG317&gt;=AX317,IF(I317="no-store-control",AG317=0,FALSE))</x:f>
        <x:v>1</x:v>
      </x:c>
      <x:c r="BC317" s="49" t="b">
        <x:f>AND(BA317,BB317)</x:f>
        <x:v>1</x:v>
      </x:c>
      <x:c r="BD317" s="49" t="b">
        <x:f>IF(I317="no-store-control",AND(AC317=0,AG317=0),TRUE)</x:f>
        <x:v>1</x:v>
      </x:c>
      <x:c r="BE317" s="49" t="b">
        <x:f>IF(I317="no-store-control",AK317=0,TRUE)</x:f>
        <x:v>1</x:v>
      </x:c>
      <x:c r="BF317" s="49" t="b">
        <x:f>IF(I317="cache-semantics",AN317=1,TRUE)</x:f>
        <x:v>1</x:v>
      </x:c>
      <x:c r="BG317" s="49" t="b">
        <x:f>IF(I317="cache-semantics",AND(AU317,AV317,Q317,AW317,BC317,BF317),IF(I317="no-store-control",AND(AU317,AV317,Q317,BD317,BE317),FALSE))</x:f>
        <x:v>1</x:v>
      </x:c>
      <x:c r="BH317" s="49" t="b">
        <x:f>AND(R317,AT317=P317,AU317=L317,AV317=U317,AY317,AZ317,IF(I317="cache-semantics",AND(AW317=Z317,AND(BA317=AD317,BB317=AH317,BC317=AI317),BF317=AO317),IF(I317="no-store-control",AND(AND(BA317=AD317,BB317=AH317,BC317=AI317),BD317=AJ317,BE317=AL317),FALSE)),BG317=AP317)</x:f>
        <x:v>1</x:v>
      </x:c>
      <x:c r="BI317" s="49" t="b">
        <x:f>AND(J317,K317,BG317)</x:f>
        <x:v>1</x:v>
      </x:c>
    </x:row>
    <x:row r="318">
      <x:c r="A318" s="34" t="str">
        <x:v>article1-unified-v4-2-fb3f101b-20260903-000401-default-f06-p2-caffeine</x:v>
      </x:c>
      <x:c r="B318" s="34" t="str">
        <x:v>default</x:v>
      </x:c>
      <x:c r="C318" s="34" t="str">
        <x:v>caffeine</x:v>
      </x:c>
      <x:c r="D318" s="36" t="n">
        <x:v>6</x:v>
      </x:c>
      <x:c r="E318" s="36" t="n">
        <x:v>6</x:v>
      </x:c>
      <x:c r="F318" s="36" t="n">
        <x:v>2</x:v>
      </x:c>
      <x:c r="G318" s="36" t="n">
        <x:v>4</x:v>
      </x:c>
      <x:c r="H318" s="34" t="str">
        <x:v>initial</x:v>
      </x:c>
      <x:c r="I318" s="34" t="str">
        <x:v>cache-semantics</x:v>
      </x:c>
      <x:c r="J318" s="45" t="b">
        <x:v>1</x:v>
      </x:c>
      <x:c r="K318" s="45" t="b">
        <x:v>1</x:v>
      </x:c>
      <x:c r="L318" s="45" t="b">
        <x:v>1</x:v>
      </x:c>
      <x:c r="M318" s="43" t="n">
        <x:v>400000</x:v>
      </x:c>
      <x:c r="N318" s="43" t="n">
        <x:v>143664384</x:v>
      </x:c>
      <x:c r="O318" s="43" t="n">
        <x:v>28413108.14577121</x:v>
      </x:c>
      <x:c r="P318" s="45" t="b">
        <x:v>1</x:v>
      </x:c>
      <x:c r="Q318" s="45" t="b">
        <x:v>1</x:v>
      </x:c>
      <x:c r="R318" s="45" t="b">
        <x:v>1</x:v>
      </x:c>
      <x:c r="S318" s="43" t="n">
        <x:v>5000000000</x:v>
      </x:c>
      <x:c r="T318" s="43" t="n">
        <x:v>5056271326</x:v>
      </x:c>
      <x:c r="U318" s="45" t="b">
        <x:v>1</x:v>
      </x:c>
      <x:c r="V318" s="34" t="str">
        <x:v>uniform</x:v>
      </x:c>
      <x:c r="W318" s="42" t="n">
        <x:v>95</x:v>
      </x:c>
      <x:c r="X318" s="48" t="n">
        <x:v>0.95</x:v>
      </x:c>
      <x:c r="Y318" s="48" t="n">
        <x:v>0.9500558259450025</x:v>
      </x:c>
      <x:c r="Z318" s="45" t="b">
        <x:v>1</x:v>
      </x:c>
      <x:c r="AA318" s="43" t="n">
        <x:v>10000</x:v>
      </x:c>
      <x:c r="AB318" s="43" t="n">
        <x:v>9900</x:v>
      </x:c>
      <x:c r="AC318" s="43" t="n">
        <x:v>10000</x:v>
      </x:c>
      <x:c r="AD318" s="45" t="b">
        <x:v>1</x:v>
      </x:c>
      <x:c r="AE318" s="43" t="n">
        <x:v>9900</x:v>
      </x:c>
      <x:c r="AF318" s="43"/>
      <x:c r="AG318" s="43" t="n">
        <x:v>10000</x:v>
      </x:c>
      <x:c r="AH318" s="45" t="b">
        <x:v>1</x:v>
      </x:c>
      <x:c r="AI318" s="45" t="b">
        <x:v>1</x:v>
      </x:c>
      <x:c r="AJ318" s="49"/>
      <x:c r="AK318" s="48" t="n">
        <x:v>0.9500558259450025</x:v>
      </x:c>
      <x:c r="AL318" s="49"/>
      <x:c r="AM318" s="49"/>
      <x:c r="AN318" s="36" t="n">
        <x:v>1</x:v>
      </x:c>
      <x:c r="AO318" s="45" t="b">
        <x:v>1</x:v>
      </x:c>
      <x:c r="AP318" s="45" t="b">
        <x:v>1</x:v>
      </x:c>
      <x:c r="AQ318" s="46" t="n">
        <x:f>IF(T318="","",T318/'Readme-Protocol'!$B$24)</x:f>
        <x:v>5.056271326</x:v>
      </x:c>
      <x:c r="AR318" s="46" t="n">
        <x:f>IF(OR(S318="",S318=0),"",T318/S318)</x:f>
        <x:v>1.0112542652</x:v>
      </x:c>
      <x:c r="AS318" s="46" t="n">
        <x:f>IF(OR(X318="",Y318=""),"",ABS(Y318-X318)*'Readme-Protocol'!$B$27)</x:f>
        <x:v>0.005582594500253002</x:v>
      </x:c>
      <x:c r="AT318" s="49" t="b">
        <x:f>AND(M318&gt;0,N318&gt;=0,O318&gt;0)</x:f>
        <x:v>1</x:v>
      </x:c>
      <x:c r="AU318" s="49" t="b">
        <x:f>AND(AT318,N318&gt;=M318)</x:f>
        <x:v>1</x:v>
      </x:c>
      <x:c r="AV318" s="49" t="b">
        <x:f>OR(S318=0,T318&gt;=S318)</x:f>
        <x:v>1</x:v>
      </x:c>
      <x:c r="AW318" s="49" t="b">
        <x:f>IF(I318="cache-semantics",OR(V318&lt;&gt;"uniform",ABS(Y318-W318/'Readme-Protocol'!$B$27)&lt;='Readme-Protocol'!$B$28),TRUE)</x:f>
        <x:v>1</x:v>
      </x:c>
      <x:c r="AX318" s="43" t="n">
        <x:f>IF(I318="cache-semantics",INT(AA318*'Readme-Protocol'!$B$32),"")</x:f>
        <x:v>9900</x:v>
      </x:c>
      <x:c r="AY318" s="49" t="b">
        <x:f>IF(I318="cache-semantics",AX318=AB318,TRUE)</x:f>
        <x:v>1</x:v>
      </x:c>
      <x:c r="AZ318" s="49" t="b">
        <x:f>IF(I318="cache-semantics",AX318=AE318,TRUE)</x:f>
        <x:v>1</x:v>
      </x:c>
      <x:c r="BA318" s="49" t="b">
        <x:f>IF(I318="cache-semantics",AC318&gt;=AX318,IF(I318="no-store-control",AC318=0,FALSE))</x:f>
        <x:v>1</x:v>
      </x:c>
      <x:c r="BB318" s="49" t="b">
        <x:f>IF(I318="cache-semantics",AG318&gt;=AX318,IF(I318="no-store-control",AG318=0,FALSE))</x:f>
        <x:v>1</x:v>
      </x:c>
      <x:c r="BC318" s="49" t="b">
        <x:f>AND(BA318,BB318)</x:f>
        <x:v>1</x:v>
      </x:c>
      <x:c r="BD318" s="49" t="b">
        <x:f>IF(I318="no-store-control",AND(AC318=0,AG318=0),TRUE)</x:f>
        <x:v>1</x:v>
      </x:c>
      <x:c r="BE318" s="49" t="b">
        <x:f>IF(I318="no-store-control",AK318=0,TRUE)</x:f>
        <x:v>1</x:v>
      </x:c>
      <x:c r="BF318" s="49" t="b">
        <x:f>IF(I318="cache-semantics",AN318=1,TRUE)</x:f>
        <x:v>1</x:v>
      </x:c>
      <x:c r="BG318" s="49" t="b">
        <x:f>IF(I318="cache-semantics",AND(AU318,AV318,Q318,AW318,BC318,BF318),IF(I318="no-store-control",AND(AU318,AV318,Q318,BD318,BE318),FALSE))</x:f>
        <x:v>1</x:v>
      </x:c>
      <x:c r="BH318" s="49" t="b">
        <x:f>AND(R318,AT318=P318,AU318=L318,AV318=U318,AY318,AZ318,IF(I318="cache-semantics",AND(AW318=Z318,AND(BA318=AD318,BB318=AH318,BC318=AI318),BF318=AO318),IF(I318="no-store-control",AND(AND(BA318=AD318,BB318=AH318,BC318=AI318),BD318=AJ318,BE318=AL318),FALSE)),BG318=AP318)</x:f>
        <x:v>1</x:v>
      </x:c>
      <x:c r="BI318" s="49" t="b">
        <x:f>AND(J318,K318,BG318)</x:f>
        <x:v>1</x:v>
      </x:c>
    </x:row>
    <x:row r="319">
      <x:c r="A319" s="34" t="str">
        <x:v>article1-unified-v4-2-fb3f101b-20260903-000401-default-f06-p2-caffeine</x:v>
      </x:c>
      <x:c r="B319" s="34" t="str">
        <x:v>default</x:v>
      </x:c>
      <x:c r="C319" s="34" t="str">
        <x:v>caffeine</x:v>
      </x:c>
      <x:c r="D319" s="36" t="n">
        <x:v>6</x:v>
      </x:c>
      <x:c r="E319" s="36" t="n">
        <x:v>6</x:v>
      </x:c>
      <x:c r="F319" s="36" t="n">
        <x:v>2</x:v>
      </x:c>
      <x:c r="G319" s="36" t="n">
        <x:v>4</x:v>
      </x:c>
      <x:c r="H319" s="34" t="str">
        <x:v>redeploy</x:v>
      </x:c>
      <x:c r="I319" s="34" t="str">
        <x:v>cache-semantics</x:v>
      </x:c>
      <x:c r="J319" s="45" t="b">
        <x:v>1</x:v>
      </x:c>
      <x:c r="K319" s="45" t="b">
        <x:v>1</x:v>
      </x:c>
      <x:c r="L319" s="45" t="b">
        <x:v>1</x:v>
      </x:c>
      <x:c r="M319" s="43" t="n">
        <x:v>400000</x:v>
      </x:c>
      <x:c r="N319" s="43" t="n">
        <x:v>138323712</x:v>
      </x:c>
      <x:c r="O319" s="43" t="n">
        <x:v>27653119.240920655</x:v>
      </x:c>
      <x:c r="P319" s="45" t="b">
        <x:v>1</x:v>
      </x:c>
      <x:c r="Q319" s="45" t="b">
        <x:v>1</x:v>
      </x:c>
      <x:c r="R319" s="45" t="b">
        <x:v>1</x:v>
      </x:c>
      <x:c r="S319" s="43" t="n">
        <x:v>5000000000</x:v>
      </x:c>
      <x:c r="T319" s="43" t="n">
        <x:v>5002101600</x:v>
      </x:c>
      <x:c r="U319" s="45" t="b">
        <x:v>1</x:v>
      </x:c>
      <x:c r="V319" s="34" t="str">
        <x:v>uniform</x:v>
      </x:c>
      <x:c r="W319" s="42" t="n">
        <x:v>95</x:v>
      </x:c>
      <x:c r="X319" s="48" t="n">
        <x:v>0.95</x:v>
      </x:c>
      <x:c r="Y319" s="48" t="n">
        <x:v>0.9500593144868755</x:v>
      </x:c>
      <x:c r="Z319" s="45" t="b">
        <x:v>1</x:v>
      </x:c>
      <x:c r="AA319" s="43" t="n">
        <x:v>10000</x:v>
      </x:c>
      <x:c r="AB319" s="43" t="n">
        <x:v>9900</x:v>
      </x:c>
      <x:c r="AC319" s="43" t="n">
        <x:v>10000</x:v>
      </x:c>
      <x:c r="AD319" s="45" t="b">
        <x:v>1</x:v>
      </x:c>
      <x:c r="AE319" s="43" t="n">
        <x:v>9900</x:v>
      </x:c>
      <x:c r="AF319" s="43"/>
      <x:c r="AG319" s="43" t="n">
        <x:v>10000</x:v>
      </x:c>
      <x:c r="AH319" s="45" t="b">
        <x:v>1</x:v>
      </x:c>
      <x:c r="AI319" s="45" t="b">
        <x:v>1</x:v>
      </x:c>
      <x:c r="AJ319" s="49"/>
      <x:c r="AK319" s="48" t="n">
        <x:v>0.9500593144868755</x:v>
      </x:c>
      <x:c r="AL319" s="49"/>
      <x:c r="AM319" s="49"/>
      <x:c r="AN319" s="36" t="n">
        <x:v>1</x:v>
      </x:c>
      <x:c r="AO319" s="45" t="b">
        <x:v>1</x:v>
      </x:c>
      <x:c r="AP319" s="45" t="b">
        <x:v>1</x:v>
      </x:c>
      <x:c r="AQ319" s="46" t="n">
        <x:f>IF(T319="","",T319/'Readme-Protocol'!$B$24)</x:f>
        <x:v>5.0021016</x:v>
      </x:c>
      <x:c r="AR319" s="46" t="n">
        <x:f>IF(OR(S319="",S319=0),"",T319/S319)</x:f>
        <x:v>1.00042032</x:v>
      </x:c>
      <x:c r="AS319" s="46" t="n">
        <x:f>IF(OR(X319="",Y319=""),"",ABS(Y319-X319)*'Readme-Protocol'!$B$27)</x:f>
        <x:v>0.005931448687557239</x:v>
      </x:c>
      <x:c r="AT319" s="49" t="b">
        <x:f>AND(M319&gt;0,N319&gt;=0,O319&gt;0)</x:f>
        <x:v>1</x:v>
      </x:c>
      <x:c r="AU319" s="49" t="b">
        <x:f>AND(AT319,N319&gt;=M319)</x:f>
        <x:v>1</x:v>
      </x:c>
      <x:c r="AV319" s="49" t="b">
        <x:f>OR(S319=0,T319&gt;=S319)</x:f>
        <x:v>1</x:v>
      </x:c>
      <x:c r="AW319" s="49" t="b">
        <x:f>IF(I319="cache-semantics",OR(V319&lt;&gt;"uniform",ABS(Y319-W319/'Readme-Protocol'!$B$27)&lt;='Readme-Protocol'!$B$28),TRUE)</x:f>
        <x:v>1</x:v>
      </x:c>
      <x:c r="AX319" s="43" t="n">
        <x:f>IF(I319="cache-semantics",INT(AA319*'Readme-Protocol'!$B$32),"")</x:f>
        <x:v>9900</x:v>
      </x:c>
      <x:c r="AY319" s="49" t="b">
        <x:f>IF(I319="cache-semantics",AX319=AB319,TRUE)</x:f>
        <x:v>1</x:v>
      </x:c>
      <x:c r="AZ319" s="49" t="b">
        <x:f>IF(I319="cache-semantics",AX319=AE319,TRUE)</x:f>
        <x:v>1</x:v>
      </x:c>
      <x:c r="BA319" s="49" t="b">
        <x:f>IF(I319="cache-semantics",AC319&gt;=AX319,IF(I319="no-store-control",AC319=0,FALSE))</x:f>
        <x:v>1</x:v>
      </x:c>
      <x:c r="BB319" s="49" t="b">
        <x:f>IF(I319="cache-semantics",AG319&gt;=AX319,IF(I319="no-store-control",AG319=0,FALSE))</x:f>
        <x:v>1</x:v>
      </x:c>
      <x:c r="BC319" s="49" t="b">
        <x:f>AND(BA319,BB319)</x:f>
        <x:v>1</x:v>
      </x:c>
      <x:c r="BD319" s="49" t="b">
        <x:f>IF(I319="no-store-control",AND(AC319=0,AG319=0),TRUE)</x:f>
        <x:v>1</x:v>
      </x:c>
      <x:c r="BE319" s="49" t="b">
        <x:f>IF(I319="no-store-control",AK319=0,TRUE)</x:f>
        <x:v>1</x:v>
      </x:c>
      <x:c r="BF319" s="49" t="b">
        <x:f>IF(I319="cache-semantics",AN319=1,TRUE)</x:f>
        <x:v>1</x:v>
      </x:c>
      <x:c r="BG319" s="49" t="b">
        <x:f>IF(I319="cache-semantics",AND(AU319,AV319,Q319,AW319,BC319,BF319),IF(I319="no-store-control",AND(AU319,AV319,Q319,BD319,BE319),FALSE))</x:f>
        <x:v>1</x:v>
      </x:c>
      <x:c r="BH319" s="49" t="b">
        <x:f>AND(R319,AT319=P319,AU319=L319,AV319=U319,AY319,AZ319,IF(I319="cache-semantics",AND(AW319=Z319,AND(BA319=AD319,BB319=AH319,BC319=AI319),BF319=AO319),IF(I319="no-store-control",AND(AND(BA319=AD319,BB319=AH319,BC319=AI319),BD319=AJ319,BE319=AL319),FALSE)),BG319=AP319)</x:f>
        <x:v>1</x:v>
      </x:c>
      <x:c r="BI319" s="49" t="b">
        <x:f>AND(J319,K319,BG319)</x:f>
        <x:v>1</x:v>
      </x:c>
    </x:row>
    <x:row r="320">
      <x:c r="A320" s="34" t="str">
        <x:v>article1-unified-v4-2-fb3f101b-20260903-000401-default-f06-p2-caffeine</x:v>
      </x:c>
      <x:c r="B320" s="34" t="str">
        <x:v>default</x:v>
      </x:c>
      <x:c r="C320" s="34" t="str">
        <x:v>caffeine</x:v>
      </x:c>
      <x:c r="D320" s="36" t="n">
        <x:v>6</x:v>
      </x:c>
      <x:c r="E320" s="36" t="n">
        <x:v>6</x:v>
      </x:c>
      <x:c r="F320" s="36" t="n">
        <x:v>2</x:v>
      </x:c>
      <x:c r="G320" s="36" t="n">
        <x:v>5</x:v>
      </x:c>
      <x:c r="H320" s="34" t="str">
        <x:v>initial</x:v>
      </x:c>
      <x:c r="I320" s="34" t="str">
        <x:v>cache-semantics</x:v>
      </x:c>
      <x:c r="J320" s="45" t="b">
        <x:v>1</x:v>
      </x:c>
      <x:c r="K320" s="45" t="b">
        <x:v>1</x:v>
      </x:c>
      <x:c r="L320" s="45" t="b">
        <x:v>1</x:v>
      </x:c>
      <x:c r="M320" s="43" t="n">
        <x:v>400000</x:v>
      </x:c>
      <x:c r="N320" s="43" t="n">
        <x:v>132667136</x:v>
      </x:c>
      <x:c r="O320" s="43" t="n">
        <x:v>26509572.65647953</x:v>
      </x:c>
      <x:c r="P320" s="45" t="b">
        <x:v>1</x:v>
      </x:c>
      <x:c r="Q320" s="45" t="b">
        <x:v>1</x:v>
      </x:c>
      <x:c r="R320" s="45" t="b">
        <x:v>1</x:v>
      </x:c>
      <x:c r="S320" s="43" t="n">
        <x:v>5000000000</x:v>
      </x:c>
      <x:c r="T320" s="43" t="n">
        <x:v>5004499232</x:v>
      </x:c>
      <x:c r="U320" s="45" t="b">
        <x:v>1</x:v>
      </x:c>
      <x:c r="V320" s="34" t="str">
        <x:v>uniform</x:v>
      </x:c>
      <x:c r="W320" s="42" t="n">
        <x:v>95</x:v>
      </x:c>
      <x:c r="X320" s="48" t="n">
        <x:v>0.95</x:v>
      </x:c>
      <x:c r="Y320" s="48" t="n">
        <x:v>0.9502154399413582</x:v>
      </x:c>
      <x:c r="Z320" s="45" t="b">
        <x:v>1</x:v>
      </x:c>
      <x:c r="AA320" s="43" t="n">
        <x:v>10000</x:v>
      </x:c>
      <x:c r="AB320" s="43" t="n">
        <x:v>9900</x:v>
      </x:c>
      <x:c r="AC320" s="43" t="n">
        <x:v>10000</x:v>
      </x:c>
      <x:c r="AD320" s="45" t="b">
        <x:v>1</x:v>
      </x:c>
      <x:c r="AE320" s="43" t="n">
        <x:v>9900</x:v>
      </x:c>
      <x:c r="AF320" s="43"/>
      <x:c r="AG320" s="43" t="n">
        <x:v>10000</x:v>
      </x:c>
      <x:c r="AH320" s="45" t="b">
        <x:v>1</x:v>
      </x:c>
      <x:c r="AI320" s="45" t="b">
        <x:v>1</x:v>
      </x:c>
      <x:c r="AJ320" s="49"/>
      <x:c r="AK320" s="48" t="n">
        <x:v>0.9502154399413582</x:v>
      </x:c>
      <x:c r="AL320" s="49"/>
      <x:c r="AM320" s="49"/>
      <x:c r="AN320" s="36" t="n">
        <x:v>1</x:v>
      </x:c>
      <x:c r="AO320" s="45" t="b">
        <x:v>1</x:v>
      </x:c>
      <x:c r="AP320" s="45" t="b">
        <x:v>1</x:v>
      </x:c>
      <x:c r="AQ320" s="46" t="n">
        <x:f>IF(T320="","",T320/'Readme-Protocol'!$B$24)</x:f>
        <x:v>5.004499232</x:v>
      </x:c>
      <x:c r="AR320" s="46" t="n">
        <x:f>IF(OR(S320="",S320=0),"",T320/S320)</x:f>
        <x:v>1.0008998464</x:v>
      </x:c>
      <x:c r="AS320" s="46" t="n">
        <x:f>IF(OR(X320="",Y320=""),"",ABS(Y320-X320)*'Readme-Protocol'!$B$27)</x:f>
        <x:v>0.021543994135819755</x:v>
      </x:c>
      <x:c r="AT320" s="49" t="b">
        <x:f>AND(M320&gt;0,N320&gt;=0,O320&gt;0)</x:f>
        <x:v>1</x:v>
      </x:c>
      <x:c r="AU320" s="49" t="b">
        <x:f>AND(AT320,N320&gt;=M320)</x:f>
        <x:v>1</x:v>
      </x:c>
      <x:c r="AV320" s="49" t="b">
        <x:f>OR(S320=0,T320&gt;=S320)</x:f>
        <x:v>1</x:v>
      </x:c>
      <x:c r="AW320" s="49" t="b">
        <x:f>IF(I320="cache-semantics",OR(V320&lt;&gt;"uniform",ABS(Y320-W320/'Readme-Protocol'!$B$27)&lt;='Readme-Protocol'!$B$28),TRUE)</x:f>
        <x:v>1</x:v>
      </x:c>
      <x:c r="AX320" s="43" t="n">
        <x:f>IF(I320="cache-semantics",INT(AA320*'Readme-Protocol'!$B$32),"")</x:f>
        <x:v>9900</x:v>
      </x:c>
      <x:c r="AY320" s="49" t="b">
        <x:f>IF(I320="cache-semantics",AX320=AB320,TRUE)</x:f>
        <x:v>1</x:v>
      </x:c>
      <x:c r="AZ320" s="49" t="b">
        <x:f>IF(I320="cache-semantics",AX320=AE320,TRUE)</x:f>
        <x:v>1</x:v>
      </x:c>
      <x:c r="BA320" s="49" t="b">
        <x:f>IF(I320="cache-semantics",AC320&gt;=AX320,IF(I320="no-store-control",AC320=0,FALSE))</x:f>
        <x:v>1</x:v>
      </x:c>
      <x:c r="BB320" s="49" t="b">
        <x:f>IF(I320="cache-semantics",AG320&gt;=AX320,IF(I320="no-store-control",AG320=0,FALSE))</x:f>
        <x:v>1</x:v>
      </x:c>
      <x:c r="BC320" s="49" t="b">
        <x:f>AND(BA320,BB320)</x:f>
        <x:v>1</x:v>
      </x:c>
      <x:c r="BD320" s="49" t="b">
        <x:f>IF(I320="no-store-control",AND(AC320=0,AG320=0),TRUE)</x:f>
        <x:v>1</x:v>
      </x:c>
      <x:c r="BE320" s="49" t="b">
        <x:f>IF(I320="no-store-control",AK320=0,TRUE)</x:f>
        <x:v>1</x:v>
      </x:c>
      <x:c r="BF320" s="49" t="b">
        <x:f>IF(I320="cache-semantics",AN320=1,TRUE)</x:f>
        <x:v>1</x:v>
      </x:c>
      <x:c r="BG320" s="49" t="b">
        <x:f>IF(I320="cache-semantics",AND(AU320,AV320,Q320,AW320,BC320,BF320),IF(I320="no-store-control",AND(AU320,AV320,Q320,BD320,BE320),FALSE))</x:f>
        <x:v>1</x:v>
      </x:c>
      <x:c r="BH320" s="49" t="b">
        <x:f>AND(R320,AT320=P320,AU320=L320,AV320=U320,AY320,AZ320,IF(I320="cache-semantics",AND(AW320=Z320,AND(BA320=AD320,BB320=AH320,BC320=AI320),BF320=AO320),IF(I320="no-store-control",AND(AND(BA320=AD320,BB320=AH320,BC320=AI320),BD320=AJ320,BE320=AL320),FALSE)),BG320=AP320)</x:f>
        <x:v>1</x:v>
      </x:c>
      <x:c r="BI320" s="49" t="b">
        <x:f>AND(J320,K320,BG320)</x:f>
        <x:v>1</x:v>
      </x:c>
    </x:row>
    <x:row r="321">
      <x:c r="A321" s="34" t="str">
        <x:v>article1-unified-v4-2-fb3f101b-20260903-000401-default-f06-p2-caffeine</x:v>
      </x:c>
      <x:c r="B321" s="34" t="str">
        <x:v>default</x:v>
      </x:c>
      <x:c r="C321" s="34" t="str">
        <x:v>caffeine</x:v>
      </x:c>
      <x:c r="D321" s="36" t="n">
        <x:v>6</x:v>
      </x:c>
      <x:c r="E321" s="36" t="n">
        <x:v>6</x:v>
      </x:c>
      <x:c r="F321" s="36" t="n">
        <x:v>2</x:v>
      </x:c>
      <x:c r="G321" s="36" t="n">
        <x:v>5</x:v>
      </x:c>
      <x:c r="H321" s="34" t="str">
        <x:v>redeploy</x:v>
      </x:c>
      <x:c r="I321" s="34" t="str">
        <x:v>cache-semantics</x:v>
      </x:c>
      <x:c r="J321" s="45" t="b">
        <x:v>1</x:v>
      </x:c>
      <x:c r="K321" s="45" t="b">
        <x:v>1</x:v>
      </x:c>
      <x:c r="L321" s="45" t="b">
        <x:v>1</x:v>
      </x:c>
      <x:c r="M321" s="43" t="n">
        <x:v>400000</x:v>
      </x:c>
      <x:c r="N321" s="43" t="n">
        <x:v>137194496</x:v>
      </x:c>
      <x:c r="O321" s="43" t="n">
        <x:v>27425789.89183802</x:v>
      </x:c>
      <x:c r="P321" s="45" t="b">
        <x:v>1</x:v>
      </x:c>
      <x:c r="Q321" s="45" t="b">
        <x:v>1</x:v>
      </x:c>
      <x:c r="R321" s="45" t="b">
        <x:v>1</x:v>
      </x:c>
      <x:c r="S321" s="43" t="n">
        <x:v>5000000000</x:v>
      </x:c>
      <x:c r="T321" s="43" t="n">
        <x:v>5002389960</x:v>
      </x:c>
      <x:c r="U321" s="45" t="b">
        <x:v>1</x:v>
      </x:c>
      <x:c r="V321" s="34" t="str">
        <x:v>uniform</x:v>
      </x:c>
      <x:c r="W321" s="42" t="n">
        <x:v>95</x:v>
      </x:c>
      <x:c r="X321" s="48" t="n">
        <x:v>0.95</x:v>
      </x:c>
      <x:c r="Y321" s="48" t="n">
        <x:v>0.9502170699326014</x:v>
      </x:c>
      <x:c r="Z321" s="45" t="b">
        <x:v>1</x:v>
      </x:c>
      <x:c r="AA321" s="43" t="n">
        <x:v>10000</x:v>
      </x:c>
      <x:c r="AB321" s="43" t="n">
        <x:v>9900</x:v>
      </x:c>
      <x:c r="AC321" s="43" t="n">
        <x:v>10000</x:v>
      </x:c>
      <x:c r="AD321" s="45" t="b">
        <x:v>1</x:v>
      </x:c>
      <x:c r="AE321" s="43" t="n">
        <x:v>9900</x:v>
      </x:c>
      <x:c r="AF321" s="43"/>
      <x:c r="AG321" s="43" t="n">
        <x:v>10000</x:v>
      </x:c>
      <x:c r="AH321" s="45" t="b">
        <x:v>1</x:v>
      </x:c>
      <x:c r="AI321" s="45" t="b">
        <x:v>1</x:v>
      </x:c>
      <x:c r="AJ321" s="49"/>
      <x:c r="AK321" s="48" t="n">
        <x:v>0.9502170699326014</x:v>
      </x:c>
      <x:c r="AL321" s="49"/>
      <x:c r="AM321" s="49"/>
      <x:c r="AN321" s="36" t="n">
        <x:v>1</x:v>
      </x:c>
      <x:c r="AO321" s="45" t="b">
        <x:v>1</x:v>
      </x:c>
      <x:c r="AP321" s="45" t="b">
        <x:v>1</x:v>
      </x:c>
      <x:c r="AQ321" s="46" t="n">
        <x:f>IF(T321="","",T321/'Readme-Protocol'!$B$24)</x:f>
        <x:v>5.00238996</x:v>
      </x:c>
      <x:c r="AR321" s="46" t="n">
        <x:f>IF(OR(S321="",S321=0),"",T321/S321)</x:f>
        <x:v>1.000477992</x:v>
      </x:c>
      <x:c r="AS321" s="46" t="n">
        <x:f>IF(OR(X321="",Y321=""),"",ABS(Y321-X321)*'Readme-Protocol'!$B$27)</x:f>
        <x:v>0.021706993260139917</x:v>
      </x:c>
      <x:c r="AT321" s="49" t="b">
        <x:f>AND(M321&gt;0,N321&gt;=0,O321&gt;0)</x:f>
        <x:v>1</x:v>
      </x:c>
      <x:c r="AU321" s="49" t="b">
        <x:f>AND(AT321,N321&gt;=M321)</x:f>
        <x:v>1</x:v>
      </x:c>
      <x:c r="AV321" s="49" t="b">
        <x:f>OR(S321=0,T321&gt;=S321)</x:f>
        <x:v>1</x:v>
      </x:c>
      <x:c r="AW321" s="49" t="b">
        <x:f>IF(I321="cache-semantics",OR(V321&lt;&gt;"uniform",ABS(Y321-W321/'Readme-Protocol'!$B$27)&lt;='Readme-Protocol'!$B$28),TRUE)</x:f>
        <x:v>1</x:v>
      </x:c>
      <x:c r="AX321" s="43" t="n">
        <x:f>IF(I321="cache-semantics",INT(AA321*'Readme-Protocol'!$B$32),"")</x:f>
        <x:v>9900</x:v>
      </x:c>
      <x:c r="AY321" s="49" t="b">
        <x:f>IF(I321="cache-semantics",AX321=AB321,TRUE)</x:f>
        <x:v>1</x:v>
      </x:c>
      <x:c r="AZ321" s="49" t="b">
        <x:f>IF(I321="cache-semantics",AX321=AE321,TRUE)</x:f>
        <x:v>1</x:v>
      </x:c>
      <x:c r="BA321" s="49" t="b">
        <x:f>IF(I321="cache-semantics",AC321&gt;=AX321,IF(I321="no-store-control",AC321=0,FALSE))</x:f>
        <x:v>1</x:v>
      </x:c>
      <x:c r="BB321" s="49" t="b">
        <x:f>IF(I321="cache-semantics",AG321&gt;=AX321,IF(I321="no-store-control",AG321=0,FALSE))</x:f>
        <x:v>1</x:v>
      </x:c>
      <x:c r="BC321" s="49" t="b">
        <x:f>AND(BA321,BB321)</x:f>
        <x:v>1</x:v>
      </x:c>
      <x:c r="BD321" s="49" t="b">
        <x:f>IF(I321="no-store-control",AND(AC321=0,AG321=0),TRUE)</x:f>
        <x:v>1</x:v>
      </x:c>
      <x:c r="BE321" s="49" t="b">
        <x:f>IF(I321="no-store-control",AK321=0,TRUE)</x:f>
        <x:v>1</x:v>
      </x:c>
      <x:c r="BF321" s="49" t="b">
        <x:f>IF(I321="cache-semantics",AN321=1,TRUE)</x:f>
        <x:v>1</x:v>
      </x:c>
      <x:c r="BG321" s="49" t="b">
        <x:f>IF(I321="cache-semantics",AND(AU321,AV321,Q321,AW321,BC321,BF321),IF(I321="no-store-control",AND(AU321,AV321,Q321,BD321,BE321),FALSE))</x:f>
        <x:v>1</x:v>
      </x:c>
      <x:c r="BH321" s="49" t="b">
        <x:f>AND(R321,AT321=P321,AU321=L321,AV321=U321,AY321,AZ321,IF(I321="cache-semantics",AND(AW321=Z321,AND(BA321=AD321,BB321=AH321,BC321=AI321),BF321=AO321),IF(I321="no-store-control",AND(AND(BA321=AD321,BB321=AH321,BC321=AI321),BD321=AJ321,BE321=AL321),FALSE)),BG321=AP321)</x:f>
        <x:v>1</x:v>
      </x:c>
      <x:c r="BI321" s="49" t="b">
        <x:f>AND(J321,K321,BG321)</x:f>
        <x:v>1</x:v>
      </x:c>
    </x:row>
    <x:row r="322">
      <x:c r="A322" s="34" t="str">
        <x:v>article1-unified-v4-2-fb3f101b-20260903-000401-default-f06-p3-jcs321</x:v>
      </x:c>
      <x:c r="B322" s="34" t="str">
        <x:v>default</x:v>
      </x:c>
      <x:c r="C322" s="34" t="str">
        <x:v>jcs321</x:v>
      </x:c>
      <x:c r="D322" s="36" t="n">
        <x:v>6</x:v>
      </x:c>
      <x:c r="E322" s="36" t="n">
        <x:v>6</x:v>
      </x:c>
      <x:c r="F322" s="36" t="n">
        <x:v>3</x:v>
      </x:c>
      <x:c r="G322" s="36" t="n">
        <x:v>1</x:v>
      </x:c>
      <x:c r="H322" s="34" t="str">
        <x:v>initial</x:v>
      </x:c>
      <x:c r="I322" s="34" t="str">
        <x:v>cache-semantics</x:v>
      </x:c>
      <x:c r="J322" s="45" t="b">
        <x:v>1</x:v>
      </x:c>
      <x:c r="K322" s="45" t="b">
        <x:v>0</x:v>
      </x:c>
      <x:c r="L322" s="45" t="b">
        <x:v>1</x:v>
      </x:c>
      <x:c r="M322" s="43" t="n">
        <x:v>400000</x:v>
      </x:c>
      <x:c r="N322" s="43" t="n">
        <x:v>15097344</x:v>
      </x:c>
      <x:c r="O322" s="43" t="n">
        <x:v>3019064.5080145383</x:v>
      </x:c>
      <x:c r="P322" s="45" t="b">
        <x:v>1</x:v>
      </x:c>
      <x:c r="Q322" s="45" t="b">
        <x:v>1</x:v>
      </x:c>
      <x:c r="R322" s="45" t="b">
        <x:v>1</x:v>
      </x:c>
      <x:c r="S322" s="43" t="n">
        <x:v>5000000000</x:v>
      </x:c>
      <x:c r="T322" s="43" t="n">
        <x:v>5000669565</x:v>
      </x:c>
      <x:c r="U322" s="45" t="b">
        <x:v>1</x:v>
      </x:c>
      <x:c r="V322" s="34" t="str">
        <x:v>uniform</x:v>
      </x:c>
      <x:c r="W322" s="42" t="n">
        <x:v>95</x:v>
      </x:c>
      <x:c r="X322" s="48" t="n">
        <x:v>0.95</x:v>
      </x:c>
      <x:c r="Y322" s="48" t="n">
        <x:v>0.9502425724683758</x:v>
      </x:c>
      <x:c r="Z322" s="45" t="b">
        <x:v>1</x:v>
      </x:c>
      <x:c r="AA322" s="43" t="n">
        <x:v>10000</x:v>
      </x:c>
      <x:c r="AB322" s="43" t="n">
        <x:v>9900</x:v>
      </x:c>
      <x:c r="AC322" s="43" t="n">
        <x:v>10000</x:v>
      </x:c>
      <x:c r="AD322" s="45" t="b">
        <x:v>1</x:v>
      </x:c>
      <x:c r="AE322" s="43" t="n">
        <x:v>9900</x:v>
      </x:c>
      <x:c r="AF322" s="43"/>
      <x:c r="AG322" s="43" t="n">
        <x:v>10000</x:v>
      </x:c>
      <x:c r="AH322" s="45" t="b">
        <x:v>1</x:v>
      </x:c>
      <x:c r="AI322" s="45" t="b">
        <x:v>1</x:v>
      </x:c>
      <x:c r="AJ322" s="49"/>
      <x:c r="AK322" s="48" t="n">
        <x:v>0.9502425724683758</x:v>
      </x:c>
      <x:c r="AL322" s="49"/>
      <x:c r="AM322" s="49"/>
      <x:c r="AN322" s="36" t="n">
        <x:v>1</x:v>
      </x:c>
      <x:c r="AO322" s="45" t="b">
        <x:v>1</x:v>
      </x:c>
      <x:c r="AP322" s="45" t="b">
        <x:v>1</x:v>
      </x:c>
      <x:c r="AQ322" s="46" t="n">
        <x:f>IF(T322="","",T322/'Readme-Protocol'!$B$24)</x:f>
        <x:v>5.000669565</x:v>
      </x:c>
      <x:c r="AR322" s="46" t="n">
        <x:f>IF(OR(S322="",S322=0),"",T322/S322)</x:f>
        <x:v>1.000133913</x:v>
      </x:c>
      <x:c r="AS322" s="46" t="n">
        <x:f>IF(OR(X322="",Y322=""),"",ABS(Y322-X322)*'Readme-Protocol'!$B$27)</x:f>
        <x:v>0.024257246837589008</x:v>
      </x:c>
      <x:c r="AT322" s="49" t="b">
        <x:f>AND(M322&gt;0,N322&gt;=0,O322&gt;0)</x:f>
        <x:v>1</x:v>
      </x:c>
      <x:c r="AU322" s="49" t="b">
        <x:f>AND(AT322,N322&gt;=M322)</x:f>
        <x:v>1</x:v>
      </x:c>
      <x:c r="AV322" s="49" t="b">
        <x:f>OR(S322=0,T322&gt;=S322)</x:f>
        <x:v>1</x:v>
      </x:c>
      <x:c r="AW322" s="49" t="b">
        <x:f>IF(I322="cache-semantics",OR(V322&lt;&gt;"uniform",ABS(Y322-W322/'Readme-Protocol'!$B$27)&lt;='Readme-Protocol'!$B$28),TRUE)</x:f>
        <x:v>1</x:v>
      </x:c>
      <x:c r="AX322" s="43" t="n">
        <x:f>IF(I322="cache-semantics",INT(AA322*'Readme-Protocol'!$B$32),"")</x:f>
        <x:v>9900</x:v>
      </x:c>
      <x:c r="AY322" s="49" t="b">
        <x:f>IF(I322="cache-semantics",AX322=AB322,TRUE)</x:f>
        <x:v>1</x:v>
      </x:c>
      <x:c r="AZ322" s="49" t="b">
        <x:f>IF(I322="cache-semantics",AX322=AE322,TRUE)</x:f>
        <x:v>1</x:v>
      </x:c>
      <x:c r="BA322" s="49" t="b">
        <x:f>IF(I322="cache-semantics",AC322&gt;=AX322,IF(I322="no-store-control",AC322=0,FALSE))</x:f>
        <x:v>1</x:v>
      </x:c>
      <x:c r="BB322" s="49" t="b">
        <x:f>IF(I322="cache-semantics",AG322&gt;=AX322,IF(I322="no-store-control",AG322=0,FALSE))</x:f>
        <x:v>1</x:v>
      </x:c>
      <x:c r="BC322" s="49" t="b">
        <x:f>AND(BA322,BB322)</x:f>
        <x:v>1</x:v>
      </x:c>
      <x:c r="BD322" s="49" t="b">
        <x:f>IF(I322="no-store-control",AND(AC322=0,AG322=0),TRUE)</x:f>
        <x:v>1</x:v>
      </x:c>
      <x:c r="BE322" s="49" t="b">
        <x:f>IF(I322="no-store-control",AK322=0,TRUE)</x:f>
        <x:v>1</x:v>
      </x:c>
      <x:c r="BF322" s="49" t="b">
        <x:f>IF(I322="cache-semantics",AN322=1,TRUE)</x:f>
        <x:v>1</x:v>
      </x:c>
      <x:c r="BG322" s="49" t="b">
        <x:f>IF(I322="cache-semantics",AND(AU322,AV322,Q322,AW322,BC322,BF322),IF(I322="no-store-control",AND(AU322,AV322,Q322,BD322,BE322),FALSE))</x:f>
        <x:v>1</x:v>
      </x:c>
      <x:c r="BH322" s="49" t="b">
        <x:f>AND(R322,AT322=P322,AU322=L322,AV322=U322,AY322,AZ322,IF(I322="cache-semantics",AND(AW322=Z322,AND(BA322=AD322,BB322=AH322,BC322=AI322),BF322=AO322),IF(I322="no-store-control",AND(AND(BA322=AD322,BB322=AH322,BC322=AI322),BD322=AJ322,BE322=AL322),FALSE)),BG322=AP322)</x:f>
        <x:v>1</x:v>
      </x:c>
      <x:c r="BI322" s="49" t="b">
        <x:f>AND(J322,K322,BG322)</x:f>
        <x:v>0</x:v>
      </x:c>
    </x:row>
    <x:row r="323">
      <x:c r="A323" s="34" t="str">
        <x:v>article1-unified-v4-2-fb3f101b-20260903-000401-default-f06-p3-jcs321</x:v>
      </x:c>
      <x:c r="B323" s="34" t="str">
        <x:v>default</x:v>
      </x:c>
      <x:c r="C323" s="34" t="str">
        <x:v>jcs321</x:v>
      </x:c>
      <x:c r="D323" s="36" t="n">
        <x:v>6</x:v>
      </x:c>
      <x:c r="E323" s="36" t="n">
        <x:v>6</x:v>
      </x:c>
      <x:c r="F323" s="36" t="n">
        <x:v>3</x:v>
      </x:c>
      <x:c r="G323" s="36" t="n">
        <x:v>1</x:v>
      </x:c>
      <x:c r="H323" s="34" t="str">
        <x:v>redeploy</x:v>
      </x:c>
      <x:c r="I323" s="34" t="str">
        <x:v>cache-semantics</x:v>
      </x:c>
      <x:c r="J323" s="45" t="b">
        <x:v>1</x:v>
      </x:c>
      <x:c r="K323" s="45" t="b">
        <x:v>0</x:v>
      </x:c>
      <x:c r="L323" s="45" t="b">
        <x:v>1</x:v>
      </x:c>
      <x:c r="M323" s="43" t="n">
        <x:v>400000</x:v>
      </x:c>
      <x:c r="N323" s="43" t="n">
        <x:v>14513408</x:v>
      </x:c>
      <x:c r="O323" s="43" t="n">
        <x:v>2902193.5166400746</x:v>
      </x:c>
      <x:c r="P323" s="45" t="b">
        <x:v>1</x:v>
      </x:c>
      <x:c r="Q323" s="45" t="b">
        <x:v>1</x:v>
      </x:c>
      <x:c r="R323" s="45" t="b">
        <x:v>1</x:v>
      </x:c>
      <x:c r="S323" s="43" t="n">
        <x:v>5000000000</x:v>
      </x:c>
      <x:c r="T323" s="43" t="n">
        <x:v>5000840887</x:v>
      </x:c>
      <x:c r="U323" s="45" t="b">
        <x:v>1</x:v>
      </x:c>
      <x:c r="V323" s="34" t="str">
        <x:v>uniform</x:v>
      </x:c>
      <x:c r="W323" s="42" t="n">
        <x:v>95</x:v>
      </x:c>
      <x:c r="X323" s="48" t="n">
        <x:v>0.95</x:v>
      </x:c>
      <x:c r="Y323" s="48" t="n">
        <x:v>0.9502395302330093</x:v>
      </x:c>
      <x:c r="Z323" s="45" t="b">
        <x:v>1</x:v>
      </x:c>
      <x:c r="AA323" s="43" t="n">
        <x:v>10000</x:v>
      </x:c>
      <x:c r="AB323" s="43" t="n">
        <x:v>9900</x:v>
      </x:c>
      <x:c r="AC323" s="43" t="n">
        <x:v>10000</x:v>
      </x:c>
      <x:c r="AD323" s="45" t="b">
        <x:v>1</x:v>
      </x:c>
      <x:c r="AE323" s="43" t="n">
        <x:v>9900</x:v>
      </x:c>
      <x:c r="AF323" s="43"/>
      <x:c r="AG323" s="43" t="n">
        <x:v>10000</x:v>
      </x:c>
      <x:c r="AH323" s="45" t="b">
        <x:v>1</x:v>
      </x:c>
      <x:c r="AI323" s="45" t="b">
        <x:v>1</x:v>
      </x:c>
      <x:c r="AJ323" s="49"/>
      <x:c r="AK323" s="48" t="n">
        <x:v>0.9502395302330093</x:v>
      </x:c>
      <x:c r="AL323" s="49"/>
      <x:c r="AM323" s="49"/>
      <x:c r="AN323" s="36" t="n">
        <x:v>1</x:v>
      </x:c>
      <x:c r="AO323" s="45" t="b">
        <x:v>1</x:v>
      </x:c>
      <x:c r="AP323" s="45" t="b">
        <x:v>1</x:v>
      </x:c>
      <x:c r="AQ323" s="46" t="n">
        <x:f>IF(T323="","",T323/'Readme-Protocol'!$B$24)</x:f>
        <x:v>5.000840887</x:v>
      </x:c>
      <x:c r="AR323" s="46" t="n">
        <x:f>IF(OR(S323="",S323=0),"",T323/S323)</x:f>
        <x:v>1.0001681774</x:v>
      </x:c>
      <x:c r="AS323" s="46" t="n">
        <x:f>IF(OR(X323="",Y323=""),"",ABS(Y323-X323)*'Readme-Protocol'!$B$27)</x:f>
        <x:v>0.023953023300937737</x:v>
      </x:c>
      <x:c r="AT323" s="49" t="b">
        <x:f>AND(M323&gt;0,N323&gt;=0,O323&gt;0)</x:f>
        <x:v>1</x:v>
      </x:c>
      <x:c r="AU323" s="49" t="b">
        <x:f>AND(AT323,N323&gt;=M323)</x:f>
        <x:v>1</x:v>
      </x:c>
      <x:c r="AV323" s="49" t="b">
        <x:f>OR(S323=0,T323&gt;=S323)</x:f>
        <x:v>1</x:v>
      </x:c>
      <x:c r="AW323" s="49" t="b">
        <x:f>IF(I323="cache-semantics",OR(V323&lt;&gt;"uniform",ABS(Y323-W323/'Readme-Protocol'!$B$27)&lt;='Readme-Protocol'!$B$28),TRUE)</x:f>
        <x:v>1</x:v>
      </x:c>
      <x:c r="AX323" s="43" t="n">
        <x:f>IF(I323="cache-semantics",INT(AA323*'Readme-Protocol'!$B$32),"")</x:f>
        <x:v>9900</x:v>
      </x:c>
      <x:c r="AY323" s="49" t="b">
        <x:f>IF(I323="cache-semantics",AX323=AB323,TRUE)</x:f>
        <x:v>1</x:v>
      </x:c>
      <x:c r="AZ323" s="49" t="b">
        <x:f>IF(I323="cache-semantics",AX323=AE323,TRUE)</x:f>
        <x:v>1</x:v>
      </x:c>
      <x:c r="BA323" s="49" t="b">
        <x:f>IF(I323="cache-semantics",AC323&gt;=AX323,IF(I323="no-store-control",AC323=0,FALSE))</x:f>
        <x:v>1</x:v>
      </x:c>
      <x:c r="BB323" s="49" t="b">
        <x:f>IF(I323="cache-semantics",AG323&gt;=AX323,IF(I323="no-store-control",AG323=0,FALSE))</x:f>
        <x:v>1</x:v>
      </x:c>
      <x:c r="BC323" s="49" t="b">
        <x:f>AND(BA323,BB323)</x:f>
        <x:v>1</x:v>
      </x:c>
      <x:c r="BD323" s="49" t="b">
        <x:f>IF(I323="no-store-control",AND(AC323=0,AG323=0),TRUE)</x:f>
        <x:v>1</x:v>
      </x:c>
      <x:c r="BE323" s="49" t="b">
        <x:f>IF(I323="no-store-control",AK323=0,TRUE)</x:f>
        <x:v>1</x:v>
      </x:c>
      <x:c r="BF323" s="49" t="b">
        <x:f>IF(I323="cache-semantics",AN323=1,TRUE)</x:f>
        <x:v>1</x:v>
      </x:c>
      <x:c r="BG323" s="49" t="b">
        <x:f>IF(I323="cache-semantics",AND(AU323,AV323,Q323,AW323,BC323,BF323),IF(I323="no-store-control",AND(AU323,AV323,Q323,BD323,BE323),FALSE))</x:f>
        <x:v>1</x:v>
      </x:c>
      <x:c r="BH323" s="49" t="b">
        <x:f>AND(R323,AT323=P323,AU323=L323,AV323=U323,AY323,AZ323,IF(I323="cache-semantics",AND(AW323=Z323,AND(BA323=AD323,BB323=AH323,BC323=AI323),BF323=AO323),IF(I323="no-store-control",AND(AND(BA323=AD323,BB323=AH323,BC323=AI323),BD323=AJ323,BE323=AL323),FALSE)),BG323=AP323)</x:f>
        <x:v>1</x:v>
      </x:c>
      <x:c r="BI323" s="49" t="b">
        <x:f>AND(J323,K323,BG323)</x:f>
        <x:v>0</x:v>
      </x:c>
    </x:row>
    <x:row r="324">
      <x:c r="A324" s="34" t="str">
        <x:v>article1-unified-v4-2-fb3f101b-20260903-000401-default-f06-p3-jcs321</x:v>
      </x:c>
      <x:c r="B324" s="34" t="str">
        <x:v>default</x:v>
      </x:c>
      <x:c r="C324" s="34" t="str">
        <x:v>jcs321</x:v>
      </x:c>
      <x:c r="D324" s="36" t="n">
        <x:v>6</x:v>
      </x:c>
      <x:c r="E324" s="36" t="n">
        <x:v>6</x:v>
      </x:c>
      <x:c r="F324" s="36" t="n">
        <x:v>3</x:v>
      </x:c>
      <x:c r="G324" s="36" t="n">
        <x:v>2</x:v>
      </x:c>
      <x:c r="H324" s="34" t="str">
        <x:v>initial</x:v>
      </x:c>
      <x:c r="I324" s="34" t="str">
        <x:v>cache-semantics</x:v>
      </x:c>
      <x:c r="J324" s="45" t="b">
        <x:v>1</x:v>
      </x:c>
      <x:c r="K324" s="45" t="b">
        <x:v>0</x:v>
      </x:c>
      <x:c r="L324" s="45" t="b">
        <x:v>1</x:v>
      </x:c>
      <x:c r="M324" s="43" t="n">
        <x:v>400000</x:v>
      </x:c>
      <x:c r="N324" s="43" t="n">
        <x:v>11892736</x:v>
      </x:c>
      <x:c r="O324" s="43" t="n">
        <x:v>2378081.955375565</x:v>
      </x:c>
      <x:c r="P324" s="45" t="b">
        <x:v>1</x:v>
      </x:c>
      <x:c r="Q324" s="45" t="b">
        <x:v>1</x:v>
      </x:c>
      <x:c r="R324" s="45" t="b">
        <x:v>1</x:v>
      </x:c>
      <x:c r="S324" s="43" t="n">
        <x:v>5000000000</x:v>
      </x:c>
      <x:c r="T324" s="43" t="n">
        <x:v>5000978193</x:v>
      </x:c>
      <x:c r="U324" s="45" t="b">
        <x:v>1</x:v>
      </x:c>
      <x:c r="V324" s="34" t="str">
        <x:v>uniform</x:v>
      </x:c>
      <x:c r="W324" s="42" t="n">
        <x:v>95</x:v>
      </x:c>
      <x:c r="X324" s="48" t="n">
        <x:v>0.95</x:v>
      </x:c>
      <x:c r="Y324" s="48" t="n">
        <x:v>0.9497612660366799</x:v>
      </x:c>
      <x:c r="Z324" s="45" t="b">
        <x:v>1</x:v>
      </x:c>
      <x:c r="AA324" s="43" t="n">
        <x:v>10000</x:v>
      </x:c>
      <x:c r="AB324" s="43" t="n">
        <x:v>9900</x:v>
      </x:c>
      <x:c r="AC324" s="43" t="n">
        <x:v>10000</x:v>
      </x:c>
      <x:c r="AD324" s="45" t="b">
        <x:v>1</x:v>
      </x:c>
      <x:c r="AE324" s="43" t="n">
        <x:v>9900</x:v>
      </x:c>
      <x:c r="AF324" s="43"/>
      <x:c r="AG324" s="43" t="n">
        <x:v>10000</x:v>
      </x:c>
      <x:c r="AH324" s="45" t="b">
        <x:v>1</x:v>
      </x:c>
      <x:c r="AI324" s="45" t="b">
        <x:v>1</x:v>
      </x:c>
      <x:c r="AJ324" s="49"/>
      <x:c r="AK324" s="48" t="n">
        <x:v>0.9497612660366799</x:v>
      </x:c>
      <x:c r="AL324" s="49"/>
      <x:c r="AM324" s="49"/>
      <x:c r="AN324" s="36" t="n">
        <x:v>1</x:v>
      </x:c>
      <x:c r="AO324" s="45" t="b">
        <x:v>1</x:v>
      </x:c>
      <x:c r="AP324" s="45" t="b">
        <x:v>1</x:v>
      </x:c>
      <x:c r="AQ324" s="46" t="n">
        <x:f>IF(T324="","",T324/'Readme-Protocol'!$B$24)</x:f>
        <x:v>5.000978193</x:v>
      </x:c>
      <x:c r="AR324" s="46" t="n">
        <x:f>IF(OR(S324="",S324=0),"",T324/S324)</x:f>
        <x:v>1.0001956386</x:v>
      </x:c>
      <x:c r="AS324" s="46" t="n">
        <x:f>IF(OR(X324="",Y324=""),"",ABS(Y324-X324)*'Readme-Protocol'!$B$27)</x:f>
        <x:v>0.023873396332008134</x:v>
      </x:c>
      <x:c r="AT324" s="49" t="b">
        <x:f>AND(M324&gt;0,N324&gt;=0,O324&gt;0)</x:f>
        <x:v>1</x:v>
      </x:c>
      <x:c r="AU324" s="49" t="b">
        <x:f>AND(AT324,N324&gt;=M324)</x:f>
        <x:v>1</x:v>
      </x:c>
      <x:c r="AV324" s="49" t="b">
        <x:f>OR(S324=0,T324&gt;=S324)</x:f>
        <x:v>1</x:v>
      </x:c>
      <x:c r="AW324" s="49" t="b">
        <x:f>IF(I324="cache-semantics",OR(V324&lt;&gt;"uniform",ABS(Y324-W324/'Readme-Protocol'!$B$27)&lt;='Readme-Protocol'!$B$28),TRUE)</x:f>
        <x:v>1</x:v>
      </x:c>
      <x:c r="AX324" s="43" t="n">
        <x:f>IF(I324="cache-semantics",INT(AA324*'Readme-Protocol'!$B$32),"")</x:f>
        <x:v>9900</x:v>
      </x:c>
      <x:c r="AY324" s="49" t="b">
        <x:f>IF(I324="cache-semantics",AX324=AB324,TRUE)</x:f>
        <x:v>1</x:v>
      </x:c>
      <x:c r="AZ324" s="49" t="b">
        <x:f>IF(I324="cache-semantics",AX324=AE324,TRUE)</x:f>
        <x:v>1</x:v>
      </x:c>
      <x:c r="BA324" s="49" t="b">
        <x:f>IF(I324="cache-semantics",AC324&gt;=AX324,IF(I324="no-store-control",AC324=0,FALSE))</x:f>
        <x:v>1</x:v>
      </x:c>
      <x:c r="BB324" s="49" t="b">
        <x:f>IF(I324="cache-semantics",AG324&gt;=AX324,IF(I324="no-store-control",AG324=0,FALSE))</x:f>
        <x:v>1</x:v>
      </x:c>
      <x:c r="BC324" s="49" t="b">
        <x:f>AND(BA324,BB324)</x:f>
        <x:v>1</x:v>
      </x:c>
      <x:c r="BD324" s="49" t="b">
        <x:f>IF(I324="no-store-control",AND(AC324=0,AG324=0),TRUE)</x:f>
        <x:v>1</x:v>
      </x:c>
      <x:c r="BE324" s="49" t="b">
        <x:f>IF(I324="no-store-control",AK324=0,TRUE)</x:f>
        <x:v>1</x:v>
      </x:c>
      <x:c r="BF324" s="49" t="b">
        <x:f>IF(I324="cache-semantics",AN324=1,TRUE)</x:f>
        <x:v>1</x:v>
      </x:c>
      <x:c r="BG324" s="49" t="b">
        <x:f>IF(I324="cache-semantics",AND(AU324,AV324,Q324,AW324,BC324,BF324),IF(I324="no-store-control",AND(AU324,AV324,Q324,BD324,BE324),FALSE))</x:f>
        <x:v>1</x:v>
      </x:c>
      <x:c r="BH324" s="49" t="b">
        <x:f>AND(R324,AT324=P324,AU324=L324,AV324=U324,AY324,AZ324,IF(I324="cache-semantics",AND(AW324=Z324,AND(BA324=AD324,BB324=AH324,BC324=AI324),BF324=AO324),IF(I324="no-store-control",AND(AND(BA324=AD324,BB324=AH324,BC324=AI324),BD324=AJ324,BE324=AL324),FALSE)),BG324=AP324)</x:f>
        <x:v>1</x:v>
      </x:c>
      <x:c r="BI324" s="49" t="b">
        <x:f>AND(J324,K324,BG324)</x:f>
        <x:v>0</x:v>
      </x:c>
    </x:row>
    <x:row r="325">
      <x:c r="A325" s="34" t="str">
        <x:v>article1-unified-v4-2-fb3f101b-20260903-000401-default-f06-p3-jcs321</x:v>
      </x:c>
      <x:c r="B325" s="34" t="str">
        <x:v>default</x:v>
      </x:c>
      <x:c r="C325" s="34" t="str">
        <x:v>jcs321</x:v>
      </x:c>
      <x:c r="D325" s="36" t="n">
        <x:v>6</x:v>
      </x:c>
      <x:c r="E325" s="36" t="n">
        <x:v>6</x:v>
      </x:c>
      <x:c r="F325" s="36" t="n">
        <x:v>3</x:v>
      </x:c>
      <x:c r="G325" s="36" t="n">
        <x:v>2</x:v>
      </x:c>
      <x:c r="H325" s="34" t="str">
        <x:v>redeploy</x:v>
      </x:c>
      <x:c r="I325" s="34" t="str">
        <x:v>cache-semantics</x:v>
      </x:c>
      <x:c r="J325" s="45" t="b">
        <x:v>1</x:v>
      </x:c>
      <x:c r="K325" s="45" t="b">
        <x:v>0</x:v>
      </x:c>
      <x:c r="L325" s="45" t="b">
        <x:v>1</x:v>
      </x:c>
      <x:c r="M325" s="43" t="n">
        <x:v>400000</x:v>
      </x:c>
      <x:c r="N325" s="43" t="n">
        <x:v>15425792</x:v>
      </x:c>
      <x:c r="O325" s="43" t="n">
        <x:v>3084737.2858555266</x:v>
      </x:c>
      <x:c r="P325" s="45" t="b">
        <x:v>1</x:v>
      </x:c>
      <x:c r="Q325" s="45" t="b">
        <x:v>1</x:v>
      </x:c>
      <x:c r="R325" s="45" t="b">
        <x:v>1</x:v>
      </x:c>
      <x:c r="S325" s="43" t="n">
        <x:v>5000000000</x:v>
      </x:c>
      <x:c r="T325" s="43" t="n">
        <x:v>5000682577</x:v>
      </x:c>
      <x:c r="U325" s="45" t="b">
        <x:v>1</x:v>
      </x:c>
      <x:c r="V325" s="34" t="str">
        <x:v>uniform</x:v>
      </x:c>
      <x:c r="W325" s="42" t="n">
        <x:v>95</x:v>
      </x:c>
      <x:c r="X325" s="48" t="n">
        <x:v>0.95</x:v>
      </x:c>
      <x:c r="Y325" s="48" t="n">
        <x:v>0.949752531344906</x:v>
      </x:c>
      <x:c r="Z325" s="45" t="b">
        <x:v>1</x:v>
      </x:c>
      <x:c r="AA325" s="43" t="n">
        <x:v>10000</x:v>
      </x:c>
      <x:c r="AB325" s="43" t="n">
        <x:v>9900</x:v>
      </x:c>
      <x:c r="AC325" s="43" t="n">
        <x:v>10000</x:v>
      </x:c>
      <x:c r="AD325" s="45" t="b">
        <x:v>1</x:v>
      </x:c>
      <x:c r="AE325" s="43" t="n">
        <x:v>9900</x:v>
      </x:c>
      <x:c r="AF325" s="43"/>
      <x:c r="AG325" s="43" t="n">
        <x:v>10000</x:v>
      </x:c>
      <x:c r="AH325" s="45" t="b">
        <x:v>1</x:v>
      </x:c>
      <x:c r="AI325" s="45" t="b">
        <x:v>1</x:v>
      </x:c>
      <x:c r="AJ325" s="49"/>
      <x:c r="AK325" s="48" t="n">
        <x:v>0.949752531344906</x:v>
      </x:c>
      <x:c r="AL325" s="49"/>
      <x:c r="AM325" s="49"/>
      <x:c r="AN325" s="36" t="n">
        <x:v>1</x:v>
      </x:c>
      <x:c r="AO325" s="45" t="b">
        <x:v>1</x:v>
      </x:c>
      <x:c r="AP325" s="45" t="b">
        <x:v>1</x:v>
      </x:c>
      <x:c r="AQ325" s="46" t="n">
        <x:f>IF(T325="","",T325/'Readme-Protocol'!$B$24)</x:f>
        <x:v>5.000682577</x:v>
      </x:c>
      <x:c r="AR325" s="46" t="n">
        <x:f>IF(OR(S325="",S325=0),"",T325/S325)</x:f>
        <x:v>1.0001365154</x:v>
      </x:c>
      <x:c r="AS325" s="46" t="n">
        <x:f>IF(OR(X325="",Y325=""),"",ABS(Y325-X325)*'Readme-Protocol'!$B$27)</x:f>
        <x:v>0.0247468655093952</x:v>
      </x:c>
      <x:c r="AT325" s="49" t="b">
        <x:f>AND(M325&gt;0,N325&gt;=0,O325&gt;0)</x:f>
        <x:v>1</x:v>
      </x:c>
      <x:c r="AU325" s="49" t="b">
        <x:f>AND(AT325,N325&gt;=M325)</x:f>
        <x:v>1</x:v>
      </x:c>
      <x:c r="AV325" s="49" t="b">
        <x:f>OR(S325=0,T325&gt;=S325)</x:f>
        <x:v>1</x:v>
      </x:c>
      <x:c r="AW325" s="49" t="b">
        <x:f>IF(I325="cache-semantics",OR(V325&lt;&gt;"uniform",ABS(Y325-W325/'Readme-Protocol'!$B$27)&lt;='Readme-Protocol'!$B$28),TRUE)</x:f>
        <x:v>1</x:v>
      </x:c>
      <x:c r="AX325" s="43" t="n">
        <x:f>IF(I325="cache-semantics",INT(AA325*'Readme-Protocol'!$B$32),"")</x:f>
        <x:v>9900</x:v>
      </x:c>
      <x:c r="AY325" s="49" t="b">
        <x:f>IF(I325="cache-semantics",AX325=AB325,TRUE)</x:f>
        <x:v>1</x:v>
      </x:c>
      <x:c r="AZ325" s="49" t="b">
        <x:f>IF(I325="cache-semantics",AX325=AE325,TRUE)</x:f>
        <x:v>1</x:v>
      </x:c>
      <x:c r="BA325" s="49" t="b">
        <x:f>IF(I325="cache-semantics",AC325&gt;=AX325,IF(I325="no-store-control",AC325=0,FALSE))</x:f>
        <x:v>1</x:v>
      </x:c>
      <x:c r="BB325" s="49" t="b">
        <x:f>IF(I325="cache-semantics",AG325&gt;=AX325,IF(I325="no-store-control",AG325=0,FALSE))</x:f>
        <x:v>1</x:v>
      </x:c>
      <x:c r="BC325" s="49" t="b">
        <x:f>AND(BA325,BB325)</x:f>
        <x:v>1</x:v>
      </x:c>
      <x:c r="BD325" s="49" t="b">
        <x:f>IF(I325="no-store-control",AND(AC325=0,AG325=0),TRUE)</x:f>
        <x:v>1</x:v>
      </x:c>
      <x:c r="BE325" s="49" t="b">
        <x:f>IF(I325="no-store-control",AK325=0,TRUE)</x:f>
        <x:v>1</x:v>
      </x:c>
      <x:c r="BF325" s="49" t="b">
        <x:f>IF(I325="cache-semantics",AN325=1,TRUE)</x:f>
        <x:v>1</x:v>
      </x:c>
      <x:c r="BG325" s="49" t="b">
        <x:f>IF(I325="cache-semantics",AND(AU325,AV325,Q325,AW325,BC325,BF325),IF(I325="no-store-control",AND(AU325,AV325,Q325,BD325,BE325),FALSE))</x:f>
        <x:v>1</x:v>
      </x:c>
      <x:c r="BH325" s="49" t="b">
        <x:f>AND(R325,AT325=P325,AU325=L325,AV325=U325,AY325,AZ325,IF(I325="cache-semantics",AND(AW325=Z325,AND(BA325=AD325,BB325=AH325,BC325=AI325),BF325=AO325),IF(I325="no-store-control",AND(AND(BA325=AD325,BB325=AH325,BC325=AI325),BD325=AJ325,BE325=AL325),FALSE)),BG325=AP325)</x:f>
        <x:v>1</x:v>
      </x:c>
      <x:c r="BI325" s="49" t="b">
        <x:f>AND(J325,K325,BG325)</x:f>
        <x:v>0</x:v>
      </x:c>
    </x:row>
    <x:row r="326">
      <x:c r="A326" s="34" t="str">
        <x:v>article1-unified-v4-2-fb3f101b-20260903-000401-default-f06-p3-jcs321</x:v>
      </x:c>
      <x:c r="B326" s="34" t="str">
        <x:v>default</x:v>
      </x:c>
      <x:c r="C326" s="34" t="str">
        <x:v>jcs321</x:v>
      </x:c>
      <x:c r="D326" s="36" t="n">
        <x:v>6</x:v>
      </x:c>
      <x:c r="E326" s="36" t="n">
        <x:v>6</x:v>
      </x:c>
      <x:c r="F326" s="36" t="n">
        <x:v>3</x:v>
      </x:c>
      <x:c r="G326" s="36" t="n">
        <x:v>3</x:v>
      </x:c>
      <x:c r="H326" s="34" t="str">
        <x:v>initial</x:v>
      </x:c>
      <x:c r="I326" s="34" t="str">
        <x:v>cache-semantics</x:v>
      </x:c>
      <x:c r="J326" s="45" t="b">
        <x:v>1</x:v>
      </x:c>
      <x:c r="K326" s="45" t="b">
        <x:v>0</x:v>
      </x:c>
      <x:c r="L326" s="45" t="b">
        <x:v>1</x:v>
      </x:c>
      <x:c r="M326" s="43" t="n">
        <x:v>400000</x:v>
      </x:c>
      <x:c r="N326" s="43" t="n">
        <x:v>15530496</x:v>
      </x:c>
      <x:c r="O326" s="43" t="n">
        <x:v>3105784.9336976</x:v>
      </x:c>
      <x:c r="P326" s="45" t="b">
        <x:v>1</x:v>
      </x:c>
      <x:c r="Q326" s="45" t="b">
        <x:v>1</x:v>
      </x:c>
      <x:c r="R326" s="45" t="b">
        <x:v>1</x:v>
      </x:c>
      <x:c r="S326" s="43" t="n">
        <x:v>5000000000</x:v>
      </x:c>
      <x:c r="T326" s="43" t="n">
        <x:v>5000505937</x:v>
      </x:c>
      <x:c r="U326" s="45" t="b">
        <x:v>1</x:v>
      </x:c>
      <x:c r="V326" s="34" t="str">
        <x:v>uniform</x:v>
      </x:c>
      <x:c r="W326" s="42" t="n">
        <x:v>95</x:v>
      </x:c>
      <x:c r="X326" s="48" t="n">
        <x:v>0.95</x:v>
      </x:c>
      <x:c r="Y326" s="48" t="n">
        <x:v>0.9499120311418258</x:v>
      </x:c>
      <x:c r="Z326" s="45" t="b">
        <x:v>1</x:v>
      </x:c>
      <x:c r="AA326" s="43" t="n">
        <x:v>10000</x:v>
      </x:c>
      <x:c r="AB326" s="43" t="n">
        <x:v>9900</x:v>
      </x:c>
      <x:c r="AC326" s="43" t="n">
        <x:v>10000</x:v>
      </x:c>
      <x:c r="AD326" s="45" t="b">
        <x:v>1</x:v>
      </x:c>
      <x:c r="AE326" s="43" t="n">
        <x:v>9900</x:v>
      </x:c>
      <x:c r="AF326" s="43"/>
      <x:c r="AG326" s="43" t="n">
        <x:v>10000</x:v>
      </x:c>
      <x:c r="AH326" s="45" t="b">
        <x:v>1</x:v>
      </x:c>
      <x:c r="AI326" s="45" t="b">
        <x:v>1</x:v>
      </x:c>
      <x:c r="AJ326" s="49"/>
      <x:c r="AK326" s="48" t="n">
        <x:v>0.9499120311418258</x:v>
      </x:c>
      <x:c r="AL326" s="49"/>
      <x:c r="AM326" s="49"/>
      <x:c r="AN326" s="36" t="n">
        <x:v>1</x:v>
      </x:c>
      <x:c r="AO326" s="45" t="b">
        <x:v>1</x:v>
      </x:c>
      <x:c r="AP326" s="45" t="b">
        <x:v>1</x:v>
      </x:c>
      <x:c r="AQ326" s="46" t="n">
        <x:f>IF(T326="","",T326/'Readme-Protocol'!$B$24)</x:f>
        <x:v>5.000505937</x:v>
      </x:c>
      <x:c r="AR326" s="46" t="n">
        <x:f>IF(OR(S326="",S326=0),"",T326/S326)</x:f>
        <x:v>1.0001011874</x:v>
      </x:c>
      <x:c r="AS326" s="46" t="n">
        <x:f>IF(OR(X326="",Y326=""),"",ABS(Y326-X326)*'Readme-Protocol'!$B$27)</x:f>
        <x:v>0.00879688581741922</x:v>
      </x:c>
      <x:c r="AT326" s="49" t="b">
        <x:f>AND(M326&gt;0,N326&gt;=0,O326&gt;0)</x:f>
        <x:v>1</x:v>
      </x:c>
      <x:c r="AU326" s="49" t="b">
        <x:f>AND(AT326,N326&gt;=M326)</x:f>
        <x:v>1</x:v>
      </x:c>
      <x:c r="AV326" s="49" t="b">
        <x:f>OR(S326=0,T326&gt;=S326)</x:f>
        <x:v>1</x:v>
      </x:c>
      <x:c r="AW326" s="49" t="b">
        <x:f>IF(I326="cache-semantics",OR(V326&lt;&gt;"uniform",ABS(Y326-W326/'Readme-Protocol'!$B$27)&lt;='Readme-Protocol'!$B$28),TRUE)</x:f>
        <x:v>1</x:v>
      </x:c>
      <x:c r="AX326" s="43" t="n">
        <x:f>IF(I326="cache-semantics",INT(AA326*'Readme-Protocol'!$B$32),"")</x:f>
        <x:v>9900</x:v>
      </x:c>
      <x:c r="AY326" s="49" t="b">
        <x:f>IF(I326="cache-semantics",AX326=AB326,TRUE)</x:f>
        <x:v>1</x:v>
      </x:c>
      <x:c r="AZ326" s="49" t="b">
        <x:f>IF(I326="cache-semantics",AX326=AE326,TRUE)</x:f>
        <x:v>1</x:v>
      </x:c>
      <x:c r="BA326" s="49" t="b">
        <x:f>IF(I326="cache-semantics",AC326&gt;=AX326,IF(I326="no-store-control",AC326=0,FALSE))</x:f>
        <x:v>1</x:v>
      </x:c>
      <x:c r="BB326" s="49" t="b">
        <x:f>IF(I326="cache-semantics",AG326&gt;=AX326,IF(I326="no-store-control",AG326=0,FALSE))</x:f>
        <x:v>1</x:v>
      </x:c>
      <x:c r="BC326" s="49" t="b">
        <x:f>AND(BA326,BB326)</x:f>
        <x:v>1</x:v>
      </x:c>
      <x:c r="BD326" s="49" t="b">
        <x:f>IF(I326="no-store-control",AND(AC326=0,AG326=0),TRUE)</x:f>
        <x:v>1</x:v>
      </x:c>
      <x:c r="BE326" s="49" t="b">
        <x:f>IF(I326="no-store-control",AK326=0,TRUE)</x:f>
        <x:v>1</x:v>
      </x:c>
      <x:c r="BF326" s="49" t="b">
        <x:f>IF(I326="cache-semantics",AN326=1,TRUE)</x:f>
        <x:v>1</x:v>
      </x:c>
      <x:c r="BG326" s="49" t="b">
        <x:f>IF(I326="cache-semantics",AND(AU326,AV326,Q326,AW326,BC326,BF326),IF(I326="no-store-control",AND(AU326,AV326,Q326,BD326,BE326),FALSE))</x:f>
        <x:v>1</x:v>
      </x:c>
      <x:c r="BH326" s="49" t="b">
        <x:f>AND(R326,AT326=P326,AU326=L326,AV326=U326,AY326,AZ326,IF(I326="cache-semantics",AND(AW326=Z326,AND(BA326=AD326,BB326=AH326,BC326=AI326),BF326=AO326),IF(I326="no-store-control",AND(AND(BA326=AD326,BB326=AH326,BC326=AI326),BD326=AJ326,BE326=AL326),FALSE)),BG326=AP326)</x:f>
        <x:v>1</x:v>
      </x:c>
      <x:c r="BI326" s="49" t="b">
        <x:f>AND(J326,K326,BG326)</x:f>
        <x:v>0</x:v>
      </x:c>
    </x:row>
    <x:row r="327">
      <x:c r="A327" s="34" t="str">
        <x:v>article1-unified-v4-2-fb3f101b-20260903-000401-default-f06-p3-jcs321</x:v>
      </x:c>
      <x:c r="B327" s="34" t="str">
        <x:v>default</x:v>
      </x:c>
      <x:c r="C327" s="34" t="str">
        <x:v>jcs321</x:v>
      </x:c>
      <x:c r="D327" s="36" t="n">
        <x:v>6</x:v>
      </x:c>
      <x:c r="E327" s="36" t="n">
        <x:v>6</x:v>
      </x:c>
      <x:c r="F327" s="36" t="n">
        <x:v>3</x:v>
      </x:c>
      <x:c r="G327" s="36" t="n">
        <x:v>3</x:v>
      </x:c>
      <x:c r="H327" s="34" t="str">
        <x:v>redeploy</x:v>
      </x:c>
      <x:c r="I327" s="34" t="str">
        <x:v>cache-semantics</x:v>
      </x:c>
      <x:c r="J327" s="45" t="b">
        <x:v>1</x:v>
      </x:c>
      <x:c r="K327" s="45" t="b">
        <x:v>0</x:v>
      </x:c>
      <x:c r="L327" s="45" t="b">
        <x:v>1</x:v>
      </x:c>
      <x:c r="M327" s="43" t="n">
        <x:v>400000</x:v>
      </x:c>
      <x:c r="N327" s="43" t="n">
        <x:v>15922432</x:v>
      </x:c>
      <x:c r="O327" s="43" t="n">
        <x:v>3184118.7107077623</x:v>
      </x:c>
      <x:c r="P327" s="45" t="b">
        <x:v>1</x:v>
      </x:c>
      <x:c r="Q327" s="45" t="b">
        <x:v>1</x:v>
      </x:c>
      <x:c r="R327" s="45" t="b">
        <x:v>1</x:v>
      </x:c>
      <x:c r="S327" s="43" t="n">
        <x:v>5000000000</x:v>
      </x:c>
      <x:c r="T327" s="43" t="n">
        <x:v>5000577380</x:v>
      </x:c>
      <x:c r="U327" s="45" t="b">
        <x:v>1</x:v>
      </x:c>
      <x:c r="V327" s="34" t="str">
        <x:v>uniform</x:v>
      </x:c>
      <x:c r="W327" s="42" t="n">
        <x:v>95</x:v>
      </x:c>
      <x:c r="X327" s="48" t="n">
        <x:v>0.95</x:v>
      </x:c>
      <x:c r="Y327" s="48" t="n">
        <x:v>0.9499050773148222</x:v>
      </x:c>
      <x:c r="Z327" s="45" t="b">
        <x:v>1</x:v>
      </x:c>
      <x:c r="AA327" s="43" t="n">
        <x:v>10000</x:v>
      </x:c>
      <x:c r="AB327" s="43" t="n">
        <x:v>9900</x:v>
      </x:c>
      <x:c r="AC327" s="43" t="n">
        <x:v>10000</x:v>
      </x:c>
      <x:c r="AD327" s="45" t="b">
        <x:v>1</x:v>
      </x:c>
      <x:c r="AE327" s="43" t="n">
        <x:v>9900</x:v>
      </x:c>
      <x:c r="AF327" s="43"/>
      <x:c r="AG327" s="43" t="n">
        <x:v>10000</x:v>
      </x:c>
      <x:c r="AH327" s="45" t="b">
        <x:v>1</x:v>
      </x:c>
      <x:c r="AI327" s="45" t="b">
        <x:v>1</x:v>
      </x:c>
      <x:c r="AJ327" s="49"/>
      <x:c r="AK327" s="48" t="n">
        <x:v>0.9499050773148222</x:v>
      </x:c>
      <x:c r="AL327" s="49"/>
      <x:c r="AM327" s="49"/>
      <x:c r="AN327" s="36" t="n">
        <x:v>1</x:v>
      </x:c>
      <x:c r="AO327" s="45" t="b">
        <x:v>1</x:v>
      </x:c>
      <x:c r="AP327" s="45" t="b">
        <x:v>1</x:v>
      </x:c>
      <x:c r="AQ327" s="46" t="n">
        <x:f>IF(T327="","",T327/'Readme-Protocol'!$B$24)</x:f>
        <x:v>5.00057738</x:v>
      </x:c>
      <x:c r="AR327" s="46" t="n">
        <x:f>IF(OR(S327="",S327=0),"",T327/S327)</x:f>
        <x:v>1.000115476</x:v>
      </x:c>
      <x:c r="AS327" s="46" t="n">
        <x:f>IF(OR(X327="",Y327=""),"",ABS(Y327-X327)*'Readme-Protocol'!$B$27)</x:f>
        <x:v>0.009492268517774516</x:v>
      </x:c>
      <x:c r="AT327" s="49" t="b">
        <x:f>AND(M327&gt;0,N327&gt;=0,O327&gt;0)</x:f>
        <x:v>1</x:v>
      </x:c>
      <x:c r="AU327" s="49" t="b">
        <x:f>AND(AT327,N327&gt;=M327)</x:f>
        <x:v>1</x:v>
      </x:c>
      <x:c r="AV327" s="49" t="b">
        <x:f>OR(S327=0,T327&gt;=S327)</x:f>
        <x:v>1</x:v>
      </x:c>
      <x:c r="AW327" s="49" t="b">
        <x:f>IF(I327="cache-semantics",OR(V327&lt;&gt;"uniform",ABS(Y327-W327/'Readme-Protocol'!$B$27)&lt;='Readme-Protocol'!$B$28),TRUE)</x:f>
        <x:v>1</x:v>
      </x:c>
      <x:c r="AX327" s="43" t="n">
        <x:f>IF(I327="cache-semantics",INT(AA327*'Readme-Protocol'!$B$32),"")</x:f>
        <x:v>9900</x:v>
      </x:c>
      <x:c r="AY327" s="49" t="b">
        <x:f>IF(I327="cache-semantics",AX327=AB327,TRUE)</x:f>
        <x:v>1</x:v>
      </x:c>
      <x:c r="AZ327" s="49" t="b">
        <x:f>IF(I327="cache-semantics",AX327=AE327,TRUE)</x:f>
        <x:v>1</x:v>
      </x:c>
      <x:c r="BA327" s="49" t="b">
        <x:f>IF(I327="cache-semantics",AC327&gt;=AX327,IF(I327="no-store-control",AC327=0,FALSE))</x:f>
        <x:v>1</x:v>
      </x:c>
      <x:c r="BB327" s="49" t="b">
        <x:f>IF(I327="cache-semantics",AG327&gt;=AX327,IF(I327="no-store-control",AG327=0,FALSE))</x:f>
        <x:v>1</x:v>
      </x:c>
      <x:c r="BC327" s="49" t="b">
        <x:f>AND(BA327,BB327)</x:f>
        <x:v>1</x:v>
      </x:c>
      <x:c r="BD327" s="49" t="b">
        <x:f>IF(I327="no-store-control",AND(AC327=0,AG327=0),TRUE)</x:f>
        <x:v>1</x:v>
      </x:c>
      <x:c r="BE327" s="49" t="b">
        <x:f>IF(I327="no-store-control",AK327=0,TRUE)</x:f>
        <x:v>1</x:v>
      </x:c>
      <x:c r="BF327" s="49" t="b">
        <x:f>IF(I327="cache-semantics",AN327=1,TRUE)</x:f>
        <x:v>1</x:v>
      </x:c>
      <x:c r="BG327" s="49" t="b">
        <x:f>IF(I327="cache-semantics",AND(AU327,AV327,Q327,AW327,BC327,BF327),IF(I327="no-store-control",AND(AU327,AV327,Q327,BD327,BE327),FALSE))</x:f>
        <x:v>1</x:v>
      </x:c>
      <x:c r="BH327" s="49" t="b">
        <x:f>AND(R327,AT327=P327,AU327=L327,AV327=U327,AY327,AZ327,IF(I327="cache-semantics",AND(AW327=Z327,AND(BA327=AD327,BB327=AH327,BC327=AI327),BF327=AO327),IF(I327="no-store-control",AND(AND(BA327=AD327,BB327=AH327,BC327=AI327),BD327=AJ327,BE327=AL327),FALSE)),BG327=AP327)</x:f>
        <x:v>1</x:v>
      </x:c>
      <x:c r="BI327" s="49" t="b">
        <x:f>AND(J327,K327,BG327)</x:f>
        <x:v>0</x:v>
      </x:c>
    </x:row>
    <x:row r="328">
      <x:c r="A328" s="34" t="str">
        <x:v>article1-unified-v4-2-fb3f101b-20260903-000401-default-f06-p3-jcs321</x:v>
      </x:c>
      <x:c r="B328" s="34" t="str">
        <x:v>default</x:v>
      </x:c>
      <x:c r="C328" s="34" t="str">
        <x:v>jcs321</x:v>
      </x:c>
      <x:c r="D328" s="36" t="n">
        <x:v>6</x:v>
      </x:c>
      <x:c r="E328" s="36" t="n">
        <x:v>6</x:v>
      </x:c>
      <x:c r="F328" s="36" t="n">
        <x:v>3</x:v>
      </x:c>
      <x:c r="G328" s="36" t="n">
        <x:v>4</x:v>
      </x:c>
      <x:c r="H328" s="34" t="str">
        <x:v>initial</x:v>
      </x:c>
      <x:c r="I328" s="34" t="str">
        <x:v>cache-semantics</x:v>
      </x:c>
      <x:c r="J328" s="45" t="b">
        <x:v>1</x:v>
      </x:c>
      <x:c r="K328" s="45" t="b">
        <x:v>0</x:v>
      </x:c>
      <x:c r="L328" s="45" t="b">
        <x:v>1</x:v>
      </x:c>
      <x:c r="M328" s="43" t="n">
        <x:v>400000</x:v>
      </x:c>
      <x:c r="N328" s="43" t="n">
        <x:v>15308800</x:v>
      </x:c>
      <x:c r="O328" s="43" t="n">
        <x:v>3061370.5630506743</x:v>
      </x:c>
      <x:c r="P328" s="45" t="b">
        <x:v>1</x:v>
      </x:c>
      <x:c r="Q328" s="45" t="b">
        <x:v>1</x:v>
      </x:c>
      <x:c r="R328" s="45" t="b">
        <x:v>1</x:v>
      </x:c>
      <x:c r="S328" s="43" t="n">
        <x:v>5000000000</x:v>
      </x:c>
      <x:c r="T328" s="43" t="n">
        <x:v>5000636050</x:v>
      </x:c>
      <x:c r="U328" s="45" t="b">
        <x:v>1</x:v>
      </x:c>
      <x:c r="V328" s="34" t="str">
        <x:v>uniform</x:v>
      </x:c>
      <x:c r="W328" s="42" t="n">
        <x:v>95</x:v>
      </x:c>
      <x:c r="X328" s="48" t="n">
        <x:v>0.95</x:v>
      </x:c>
      <x:c r="Y328" s="48" t="n">
        <x:v>0.950060618729097</x:v>
      </x:c>
      <x:c r="Z328" s="45" t="b">
        <x:v>1</x:v>
      </x:c>
      <x:c r="AA328" s="43" t="n">
        <x:v>10000</x:v>
      </x:c>
      <x:c r="AB328" s="43" t="n">
        <x:v>9900</x:v>
      </x:c>
      <x:c r="AC328" s="43" t="n">
        <x:v>10000</x:v>
      </x:c>
      <x:c r="AD328" s="45" t="b">
        <x:v>1</x:v>
      </x:c>
      <x:c r="AE328" s="43" t="n">
        <x:v>9900</x:v>
      </x:c>
      <x:c r="AF328" s="43"/>
      <x:c r="AG328" s="43" t="n">
        <x:v>10000</x:v>
      </x:c>
      <x:c r="AH328" s="45" t="b">
        <x:v>1</x:v>
      </x:c>
      <x:c r="AI328" s="45" t="b">
        <x:v>1</x:v>
      </x:c>
      <x:c r="AJ328" s="49"/>
      <x:c r="AK328" s="48" t="n">
        <x:v>0.950060618729097</x:v>
      </x:c>
      <x:c r="AL328" s="49"/>
      <x:c r="AM328" s="49"/>
      <x:c r="AN328" s="36" t="n">
        <x:v>1</x:v>
      </x:c>
      <x:c r="AO328" s="45" t="b">
        <x:v>1</x:v>
      </x:c>
      <x:c r="AP328" s="45" t="b">
        <x:v>1</x:v>
      </x:c>
      <x:c r="AQ328" s="46" t="n">
        <x:f>IF(T328="","",T328/'Readme-Protocol'!$B$24)</x:f>
        <x:v>5.00063605</x:v>
      </x:c>
      <x:c r="AR328" s="46" t="n">
        <x:f>IF(OR(S328="",S328=0),"",T328/S328)</x:f>
        <x:v>1.00012721</x:v>
      </x:c>
      <x:c r="AS328" s="46" t="n">
        <x:f>IF(OR(X328="",Y328=""),"",ABS(Y328-X328)*'Readme-Protocol'!$B$27)</x:f>
        <x:v>0.0060618729097017265</x:v>
      </x:c>
      <x:c r="AT328" s="49" t="b">
        <x:f>AND(M328&gt;0,N328&gt;=0,O328&gt;0)</x:f>
        <x:v>1</x:v>
      </x:c>
      <x:c r="AU328" s="49" t="b">
        <x:f>AND(AT328,N328&gt;=M328)</x:f>
        <x:v>1</x:v>
      </x:c>
      <x:c r="AV328" s="49" t="b">
        <x:f>OR(S328=0,T328&gt;=S328)</x:f>
        <x:v>1</x:v>
      </x:c>
      <x:c r="AW328" s="49" t="b">
        <x:f>IF(I328="cache-semantics",OR(V328&lt;&gt;"uniform",ABS(Y328-W328/'Readme-Protocol'!$B$27)&lt;='Readme-Protocol'!$B$28),TRUE)</x:f>
        <x:v>1</x:v>
      </x:c>
      <x:c r="AX328" s="43" t="n">
        <x:f>IF(I328="cache-semantics",INT(AA328*'Readme-Protocol'!$B$32),"")</x:f>
        <x:v>9900</x:v>
      </x:c>
      <x:c r="AY328" s="49" t="b">
        <x:f>IF(I328="cache-semantics",AX328=AB328,TRUE)</x:f>
        <x:v>1</x:v>
      </x:c>
      <x:c r="AZ328" s="49" t="b">
        <x:f>IF(I328="cache-semantics",AX328=AE328,TRUE)</x:f>
        <x:v>1</x:v>
      </x:c>
      <x:c r="BA328" s="49" t="b">
        <x:f>IF(I328="cache-semantics",AC328&gt;=AX328,IF(I328="no-store-control",AC328=0,FALSE))</x:f>
        <x:v>1</x:v>
      </x:c>
      <x:c r="BB328" s="49" t="b">
        <x:f>IF(I328="cache-semantics",AG328&gt;=AX328,IF(I328="no-store-control",AG328=0,FALSE))</x:f>
        <x:v>1</x:v>
      </x:c>
      <x:c r="BC328" s="49" t="b">
        <x:f>AND(BA328,BB328)</x:f>
        <x:v>1</x:v>
      </x:c>
      <x:c r="BD328" s="49" t="b">
        <x:f>IF(I328="no-store-control",AND(AC328=0,AG328=0),TRUE)</x:f>
        <x:v>1</x:v>
      </x:c>
      <x:c r="BE328" s="49" t="b">
        <x:f>IF(I328="no-store-control",AK328=0,TRUE)</x:f>
        <x:v>1</x:v>
      </x:c>
      <x:c r="BF328" s="49" t="b">
        <x:f>IF(I328="cache-semantics",AN328=1,TRUE)</x:f>
        <x:v>1</x:v>
      </x:c>
      <x:c r="BG328" s="49" t="b">
        <x:f>IF(I328="cache-semantics",AND(AU328,AV328,Q328,AW328,BC328,BF328),IF(I328="no-store-control",AND(AU328,AV328,Q328,BD328,BE328),FALSE))</x:f>
        <x:v>1</x:v>
      </x:c>
      <x:c r="BH328" s="49" t="b">
        <x:f>AND(R328,AT328=P328,AU328=L328,AV328=U328,AY328,AZ328,IF(I328="cache-semantics",AND(AW328=Z328,AND(BA328=AD328,BB328=AH328,BC328=AI328),BF328=AO328),IF(I328="no-store-control",AND(AND(BA328=AD328,BB328=AH328,BC328=AI328),BD328=AJ328,BE328=AL328),FALSE)),BG328=AP328)</x:f>
        <x:v>1</x:v>
      </x:c>
      <x:c r="BI328" s="49" t="b">
        <x:f>AND(J328,K328,BG328)</x:f>
        <x:v>0</x:v>
      </x:c>
    </x:row>
    <x:row r="329">
      <x:c r="A329" s="34" t="str">
        <x:v>article1-unified-v4-2-fb3f101b-20260903-000401-default-f06-p3-jcs321</x:v>
      </x:c>
      <x:c r="B329" s="34" t="str">
        <x:v>default</x:v>
      </x:c>
      <x:c r="C329" s="34" t="str">
        <x:v>jcs321</x:v>
      </x:c>
      <x:c r="D329" s="36" t="n">
        <x:v>6</x:v>
      </x:c>
      <x:c r="E329" s="36" t="n">
        <x:v>6</x:v>
      </x:c>
      <x:c r="F329" s="36" t="n">
        <x:v>3</x:v>
      </x:c>
      <x:c r="G329" s="36" t="n">
        <x:v>4</x:v>
      </x:c>
      <x:c r="H329" s="34" t="str">
        <x:v>redeploy</x:v>
      </x:c>
      <x:c r="I329" s="34" t="str">
        <x:v>cache-semantics</x:v>
      </x:c>
      <x:c r="J329" s="45" t="b">
        <x:v>1</x:v>
      </x:c>
      <x:c r="K329" s="45" t="b">
        <x:v>0</x:v>
      </x:c>
      <x:c r="L329" s="45" t="b">
        <x:v>1</x:v>
      </x:c>
      <x:c r="M329" s="43" t="n">
        <x:v>400000</x:v>
      </x:c>
      <x:c r="N329" s="43" t="n">
        <x:v>16205056</x:v>
      </x:c>
      <x:c r="O329" s="43" t="n">
        <x:v>3240634.1055566873</x:v>
      </x:c>
      <x:c r="P329" s="45" t="b">
        <x:v>1</x:v>
      </x:c>
      <x:c r="Q329" s="45" t="b">
        <x:v>1</x:v>
      </x:c>
      <x:c r="R329" s="45" t="b">
        <x:v>1</x:v>
      </x:c>
      <x:c r="S329" s="43" t="n">
        <x:v>5000000000</x:v>
      </x:c>
      <x:c r="T329" s="43" t="n">
        <x:v>5000581822</x:v>
      </x:c>
      <x:c r="U329" s="45" t="b">
        <x:v>1</x:v>
      </x:c>
      <x:c r="V329" s="34" t="str">
        <x:v>uniform</x:v>
      </x:c>
      <x:c r="W329" s="42" t="n">
        <x:v>95</x:v>
      </x:c>
      <x:c r="X329" s="48" t="n">
        <x:v>0.95</x:v>
      </x:c>
      <x:c r="Y329" s="48" t="n">
        <x:v>0.9500649673780825</x:v>
      </x:c>
      <x:c r="Z329" s="45" t="b">
        <x:v>1</x:v>
      </x:c>
      <x:c r="AA329" s="43" t="n">
        <x:v>10000</x:v>
      </x:c>
      <x:c r="AB329" s="43" t="n">
        <x:v>9900</x:v>
      </x:c>
      <x:c r="AC329" s="43" t="n">
        <x:v>10000</x:v>
      </x:c>
      <x:c r="AD329" s="45" t="b">
        <x:v>1</x:v>
      </x:c>
      <x:c r="AE329" s="43" t="n">
        <x:v>9900</x:v>
      </x:c>
      <x:c r="AF329" s="43"/>
      <x:c r="AG329" s="43" t="n">
        <x:v>10000</x:v>
      </x:c>
      <x:c r="AH329" s="45" t="b">
        <x:v>1</x:v>
      </x:c>
      <x:c r="AI329" s="45" t="b">
        <x:v>1</x:v>
      </x:c>
      <x:c r="AJ329" s="49"/>
      <x:c r="AK329" s="48" t="n">
        <x:v>0.9500649673780825</x:v>
      </x:c>
      <x:c r="AL329" s="49"/>
      <x:c r="AM329" s="49"/>
      <x:c r="AN329" s="36" t="n">
        <x:v>1</x:v>
      </x:c>
      <x:c r="AO329" s="45" t="b">
        <x:v>1</x:v>
      </x:c>
      <x:c r="AP329" s="45" t="b">
        <x:v>1</x:v>
      </x:c>
      <x:c r="AQ329" s="46" t="n">
        <x:f>IF(T329="","",T329/'Readme-Protocol'!$B$24)</x:f>
        <x:v>5.000581822</x:v>
      </x:c>
      <x:c r="AR329" s="46" t="n">
        <x:f>IF(OR(S329="",S329=0),"",T329/S329)</x:f>
        <x:v>1.0001163644</x:v>
      </x:c>
      <x:c r="AS329" s="46" t="n">
        <x:f>IF(OR(X329="",Y329=""),"",ABS(Y329-X329)*'Readme-Protocol'!$B$27)</x:f>
        <x:v>0.006496737808259212</x:v>
      </x:c>
      <x:c r="AT329" s="49" t="b">
        <x:f>AND(M329&gt;0,N329&gt;=0,O329&gt;0)</x:f>
        <x:v>1</x:v>
      </x:c>
      <x:c r="AU329" s="49" t="b">
        <x:f>AND(AT329,N329&gt;=M329)</x:f>
        <x:v>1</x:v>
      </x:c>
      <x:c r="AV329" s="49" t="b">
        <x:f>OR(S329=0,T329&gt;=S329)</x:f>
        <x:v>1</x:v>
      </x:c>
      <x:c r="AW329" s="49" t="b">
        <x:f>IF(I329="cache-semantics",OR(V329&lt;&gt;"uniform",ABS(Y329-W329/'Readme-Protocol'!$B$27)&lt;='Readme-Protocol'!$B$28),TRUE)</x:f>
        <x:v>1</x:v>
      </x:c>
      <x:c r="AX329" s="43" t="n">
        <x:f>IF(I329="cache-semantics",INT(AA329*'Readme-Protocol'!$B$32),"")</x:f>
        <x:v>9900</x:v>
      </x:c>
      <x:c r="AY329" s="49" t="b">
        <x:f>IF(I329="cache-semantics",AX329=AB329,TRUE)</x:f>
        <x:v>1</x:v>
      </x:c>
      <x:c r="AZ329" s="49" t="b">
        <x:f>IF(I329="cache-semantics",AX329=AE329,TRUE)</x:f>
        <x:v>1</x:v>
      </x:c>
      <x:c r="BA329" s="49" t="b">
        <x:f>IF(I329="cache-semantics",AC329&gt;=AX329,IF(I329="no-store-control",AC329=0,FALSE))</x:f>
        <x:v>1</x:v>
      </x:c>
      <x:c r="BB329" s="49" t="b">
        <x:f>IF(I329="cache-semantics",AG329&gt;=AX329,IF(I329="no-store-control",AG329=0,FALSE))</x:f>
        <x:v>1</x:v>
      </x:c>
      <x:c r="BC329" s="49" t="b">
        <x:f>AND(BA329,BB329)</x:f>
        <x:v>1</x:v>
      </x:c>
      <x:c r="BD329" s="49" t="b">
        <x:f>IF(I329="no-store-control",AND(AC329=0,AG329=0),TRUE)</x:f>
        <x:v>1</x:v>
      </x:c>
      <x:c r="BE329" s="49" t="b">
        <x:f>IF(I329="no-store-control",AK329=0,TRUE)</x:f>
        <x:v>1</x:v>
      </x:c>
      <x:c r="BF329" s="49" t="b">
        <x:f>IF(I329="cache-semantics",AN329=1,TRUE)</x:f>
        <x:v>1</x:v>
      </x:c>
      <x:c r="BG329" s="49" t="b">
        <x:f>IF(I329="cache-semantics",AND(AU329,AV329,Q329,AW329,BC329,BF329),IF(I329="no-store-control",AND(AU329,AV329,Q329,BD329,BE329),FALSE))</x:f>
        <x:v>1</x:v>
      </x:c>
      <x:c r="BH329" s="49" t="b">
        <x:f>AND(R329,AT329=P329,AU329=L329,AV329=U329,AY329,AZ329,IF(I329="cache-semantics",AND(AW329=Z329,AND(BA329=AD329,BB329=AH329,BC329=AI329),BF329=AO329),IF(I329="no-store-control",AND(AND(BA329=AD329,BB329=AH329,BC329=AI329),BD329=AJ329,BE329=AL329),FALSE)),BG329=AP329)</x:f>
        <x:v>1</x:v>
      </x:c>
      <x:c r="BI329" s="49" t="b">
        <x:f>AND(J329,K329,BG329)</x:f>
        <x:v>0</x:v>
      </x:c>
    </x:row>
    <x:row r="330">
      <x:c r="A330" s="34" t="str">
        <x:v>article1-unified-v4-2-fb3f101b-20260903-000401-default-f06-p3-jcs321</x:v>
      </x:c>
      <x:c r="B330" s="34" t="str">
        <x:v>default</x:v>
      </x:c>
      <x:c r="C330" s="34" t="str">
        <x:v>jcs321</x:v>
      </x:c>
      <x:c r="D330" s="36" t="n">
        <x:v>6</x:v>
      </x:c>
      <x:c r="E330" s="36" t="n">
        <x:v>6</x:v>
      </x:c>
      <x:c r="F330" s="36" t="n">
        <x:v>3</x:v>
      </x:c>
      <x:c r="G330" s="36" t="n">
        <x:v>5</x:v>
      </x:c>
      <x:c r="H330" s="34" t="str">
        <x:v>initial</x:v>
      </x:c>
      <x:c r="I330" s="34" t="str">
        <x:v>cache-semantics</x:v>
      </x:c>
      <x:c r="J330" s="45" t="b">
        <x:v>1</x:v>
      </x:c>
      <x:c r="K330" s="45" t="b">
        <x:v>0</x:v>
      </x:c>
      <x:c r="L330" s="45" t="b">
        <x:v>1</x:v>
      </x:c>
      <x:c r="M330" s="43" t="n">
        <x:v>400000</x:v>
      </x:c>
      <x:c r="N330" s="43" t="n">
        <x:v>15067136</x:v>
      </x:c>
      <x:c r="O330" s="43" t="n">
        <x:v>3013040.55940412</x:v>
      </x:c>
      <x:c r="P330" s="45" t="b">
        <x:v>1</x:v>
      </x:c>
      <x:c r="Q330" s="45" t="b">
        <x:v>1</x:v>
      </x:c>
      <x:c r="R330" s="45" t="b">
        <x:v>1</x:v>
      </x:c>
      <x:c r="S330" s="43" t="n">
        <x:v>5000000000</x:v>
      </x:c>
      <x:c r="T330" s="43" t="n">
        <x:v>5000641612</x:v>
      </x:c>
      <x:c r="U330" s="45" t="b">
        <x:v>1</x:v>
      </x:c>
      <x:c r="V330" s="34" t="str">
        <x:v>uniform</x:v>
      </x:c>
      <x:c r="W330" s="42" t="n">
        <x:v>95</x:v>
      </x:c>
      <x:c r="X330" s="48" t="n">
        <x:v>0.95</x:v>
      </x:c>
      <x:c r="Y330" s="48" t="n">
        <x:v>0.9502141614703683</x:v>
      </x:c>
      <x:c r="Z330" s="45" t="b">
        <x:v>1</x:v>
      </x:c>
      <x:c r="AA330" s="43" t="n">
        <x:v>10000</x:v>
      </x:c>
      <x:c r="AB330" s="43" t="n">
        <x:v>9900</x:v>
      </x:c>
      <x:c r="AC330" s="43" t="n">
        <x:v>10000</x:v>
      </x:c>
      <x:c r="AD330" s="45" t="b">
        <x:v>1</x:v>
      </x:c>
      <x:c r="AE330" s="43" t="n">
        <x:v>9900</x:v>
      </x:c>
      <x:c r="AF330" s="43"/>
      <x:c r="AG330" s="43" t="n">
        <x:v>10000</x:v>
      </x:c>
      <x:c r="AH330" s="45" t="b">
        <x:v>1</x:v>
      </x:c>
      <x:c r="AI330" s="45" t="b">
        <x:v>1</x:v>
      </x:c>
      <x:c r="AJ330" s="49"/>
      <x:c r="AK330" s="48" t="n">
        <x:v>0.9502141614703683</x:v>
      </x:c>
      <x:c r="AL330" s="49"/>
      <x:c r="AM330" s="49"/>
      <x:c r="AN330" s="36" t="n">
        <x:v>1</x:v>
      </x:c>
      <x:c r="AO330" s="45" t="b">
        <x:v>1</x:v>
      </x:c>
      <x:c r="AP330" s="45" t="b">
        <x:v>1</x:v>
      </x:c>
      <x:c r="AQ330" s="46" t="n">
        <x:f>IF(T330="","",T330/'Readme-Protocol'!$B$24)</x:f>
        <x:v>5.000641612</x:v>
      </x:c>
      <x:c r="AR330" s="46" t="n">
        <x:f>IF(OR(S330="",S330=0),"",T330/S330)</x:f>
        <x:v>1.0001283224</x:v>
      </x:c>
      <x:c r="AS330" s="46" t="n">
        <x:f>IF(OR(X330="",Y330=""),"",ABS(Y330-X330)*'Readme-Protocol'!$B$27)</x:f>
        <x:v>0.021416147036834587</x:v>
      </x:c>
      <x:c r="AT330" s="49" t="b">
        <x:f>AND(M330&gt;0,N330&gt;=0,O330&gt;0)</x:f>
        <x:v>1</x:v>
      </x:c>
      <x:c r="AU330" s="49" t="b">
        <x:f>AND(AT330,N330&gt;=M330)</x:f>
        <x:v>1</x:v>
      </x:c>
      <x:c r="AV330" s="49" t="b">
        <x:f>OR(S330=0,T330&gt;=S330)</x:f>
        <x:v>1</x:v>
      </x:c>
      <x:c r="AW330" s="49" t="b">
        <x:f>IF(I330="cache-semantics",OR(V330&lt;&gt;"uniform",ABS(Y330-W330/'Readme-Protocol'!$B$27)&lt;='Readme-Protocol'!$B$28),TRUE)</x:f>
        <x:v>1</x:v>
      </x:c>
      <x:c r="AX330" s="43" t="n">
        <x:f>IF(I330="cache-semantics",INT(AA330*'Readme-Protocol'!$B$32),"")</x:f>
        <x:v>9900</x:v>
      </x:c>
      <x:c r="AY330" s="49" t="b">
        <x:f>IF(I330="cache-semantics",AX330=AB330,TRUE)</x:f>
        <x:v>1</x:v>
      </x:c>
      <x:c r="AZ330" s="49" t="b">
        <x:f>IF(I330="cache-semantics",AX330=AE330,TRUE)</x:f>
        <x:v>1</x:v>
      </x:c>
      <x:c r="BA330" s="49" t="b">
        <x:f>IF(I330="cache-semantics",AC330&gt;=AX330,IF(I330="no-store-control",AC330=0,FALSE))</x:f>
        <x:v>1</x:v>
      </x:c>
      <x:c r="BB330" s="49" t="b">
        <x:f>IF(I330="cache-semantics",AG330&gt;=AX330,IF(I330="no-store-control",AG330=0,FALSE))</x:f>
        <x:v>1</x:v>
      </x:c>
      <x:c r="BC330" s="49" t="b">
        <x:f>AND(BA330,BB330)</x:f>
        <x:v>1</x:v>
      </x:c>
      <x:c r="BD330" s="49" t="b">
        <x:f>IF(I330="no-store-control",AND(AC330=0,AG330=0),TRUE)</x:f>
        <x:v>1</x:v>
      </x:c>
      <x:c r="BE330" s="49" t="b">
        <x:f>IF(I330="no-store-control",AK330=0,TRUE)</x:f>
        <x:v>1</x:v>
      </x:c>
      <x:c r="BF330" s="49" t="b">
        <x:f>IF(I330="cache-semantics",AN330=1,TRUE)</x:f>
        <x:v>1</x:v>
      </x:c>
      <x:c r="BG330" s="49" t="b">
        <x:f>IF(I330="cache-semantics",AND(AU330,AV330,Q330,AW330,BC330,BF330),IF(I330="no-store-control",AND(AU330,AV330,Q330,BD330,BE330),FALSE))</x:f>
        <x:v>1</x:v>
      </x:c>
      <x:c r="BH330" s="49" t="b">
        <x:f>AND(R330,AT330=P330,AU330=L330,AV330=U330,AY330,AZ330,IF(I330="cache-semantics",AND(AW330=Z330,AND(BA330=AD330,BB330=AH330,BC330=AI330),BF330=AO330),IF(I330="no-store-control",AND(AND(BA330=AD330,BB330=AH330,BC330=AI330),BD330=AJ330,BE330=AL330),FALSE)),BG330=AP330)</x:f>
        <x:v>1</x:v>
      </x:c>
      <x:c r="BI330" s="49" t="b">
        <x:f>AND(J330,K330,BG330)</x:f>
        <x:v>0</x:v>
      </x:c>
    </x:row>
    <x:row r="331">
      <x:c r="A331" s="34" t="str">
        <x:v>article1-unified-v4-2-fb3f101b-20260903-000401-default-f06-p3-jcs321</x:v>
      </x:c>
      <x:c r="B331" s="34" t="str">
        <x:v>default</x:v>
      </x:c>
      <x:c r="C331" s="34" t="str">
        <x:v>jcs321</x:v>
      </x:c>
      <x:c r="D331" s="36" t="n">
        <x:v>6</x:v>
      </x:c>
      <x:c r="E331" s="36" t="n">
        <x:v>6</x:v>
      </x:c>
      <x:c r="F331" s="36" t="n">
        <x:v>3</x:v>
      </x:c>
      <x:c r="G331" s="36" t="n">
        <x:v>5</x:v>
      </x:c>
      <x:c r="H331" s="34" t="str">
        <x:v>redeploy</x:v>
      </x:c>
      <x:c r="I331" s="34" t="str">
        <x:v>cache-semantics</x:v>
      </x:c>
      <x:c r="J331" s="45" t="b">
        <x:v>1</x:v>
      </x:c>
      <x:c r="K331" s="45" t="b">
        <x:v>0</x:v>
      </x:c>
      <x:c r="L331" s="45" t="b">
        <x:v>1</x:v>
      </x:c>
      <x:c r="M331" s="43" t="n">
        <x:v>400000</x:v>
      </x:c>
      <x:c r="N331" s="43" t="n">
        <x:v>16060160</x:v>
      </x:c>
      <x:c r="O331" s="43" t="n">
        <x:v>3210839.3972805003</x:v>
      </x:c>
      <x:c r="P331" s="45" t="b">
        <x:v>1</x:v>
      </x:c>
      <x:c r="Q331" s="45" t="b">
        <x:v>1</x:v>
      </x:c>
      <x:c r="R331" s="45" t="b">
        <x:v>1</x:v>
      </x:c>
      <x:c r="S331" s="43" t="n">
        <x:v>5000000000</x:v>
      </x:c>
      <x:c r="T331" s="43" t="n">
        <x:v>5001857151</x:v>
      </x:c>
      <x:c r="U331" s="45" t="b">
        <x:v>1</x:v>
      </x:c>
      <x:c r="V331" s="34" t="str">
        <x:v>uniform</x:v>
      </x:c>
      <x:c r="W331" s="42" t="n">
        <x:v>95</x:v>
      </x:c>
      <x:c r="X331" s="48" t="n">
        <x:v>0.95</x:v>
      </x:c>
      <x:c r="Y331" s="48" t="n">
        <x:v>0.9502048547461545</x:v>
      </x:c>
      <x:c r="Z331" s="45" t="b">
        <x:v>1</x:v>
      </x:c>
      <x:c r="AA331" s="43" t="n">
        <x:v>10000</x:v>
      </x:c>
      <x:c r="AB331" s="43" t="n">
        <x:v>9900</x:v>
      </x:c>
      <x:c r="AC331" s="43" t="n">
        <x:v>10000</x:v>
      </x:c>
      <x:c r="AD331" s="45" t="b">
        <x:v>1</x:v>
      </x:c>
      <x:c r="AE331" s="43" t="n">
        <x:v>9900</x:v>
      </x:c>
      <x:c r="AF331" s="43"/>
      <x:c r="AG331" s="43" t="n">
        <x:v>10000</x:v>
      </x:c>
      <x:c r="AH331" s="45" t="b">
        <x:v>1</x:v>
      </x:c>
      <x:c r="AI331" s="45" t="b">
        <x:v>1</x:v>
      </x:c>
      <x:c r="AJ331" s="49"/>
      <x:c r="AK331" s="48" t="n">
        <x:v>0.9502048547461545</x:v>
      </x:c>
      <x:c r="AL331" s="49"/>
      <x:c r="AM331" s="49"/>
      <x:c r="AN331" s="36" t="n">
        <x:v>1</x:v>
      </x:c>
      <x:c r="AO331" s="45" t="b">
        <x:v>1</x:v>
      </x:c>
      <x:c r="AP331" s="45" t="b">
        <x:v>1</x:v>
      </x:c>
      <x:c r="AQ331" s="46" t="n">
        <x:f>IF(T331="","",T331/'Readme-Protocol'!$B$24)</x:f>
        <x:v>5.001857151</x:v>
      </x:c>
      <x:c r="AR331" s="46" t="n">
        <x:f>IF(OR(S331="",S331=0),"",T331/S331)</x:f>
        <x:v>1.0003714302</x:v>
      </x:c>
      <x:c r="AS331" s="46" t="n">
        <x:f>IF(OR(X331="",Y331=""),"",ABS(Y331-X331)*'Readme-Protocol'!$B$27)</x:f>
        <x:v>0.02048547461545036</x:v>
      </x:c>
      <x:c r="AT331" s="49" t="b">
        <x:f>AND(M331&gt;0,N331&gt;=0,O331&gt;0)</x:f>
        <x:v>1</x:v>
      </x:c>
      <x:c r="AU331" s="49" t="b">
        <x:f>AND(AT331,N331&gt;=M331)</x:f>
        <x:v>1</x:v>
      </x:c>
      <x:c r="AV331" s="49" t="b">
        <x:f>OR(S331=0,T331&gt;=S331)</x:f>
        <x:v>1</x:v>
      </x:c>
      <x:c r="AW331" s="49" t="b">
        <x:f>IF(I331="cache-semantics",OR(V331&lt;&gt;"uniform",ABS(Y331-W331/'Readme-Protocol'!$B$27)&lt;='Readme-Protocol'!$B$28),TRUE)</x:f>
        <x:v>1</x:v>
      </x:c>
      <x:c r="AX331" s="43" t="n">
        <x:f>IF(I331="cache-semantics",INT(AA331*'Readme-Protocol'!$B$32),"")</x:f>
        <x:v>9900</x:v>
      </x:c>
      <x:c r="AY331" s="49" t="b">
        <x:f>IF(I331="cache-semantics",AX331=AB331,TRUE)</x:f>
        <x:v>1</x:v>
      </x:c>
      <x:c r="AZ331" s="49" t="b">
        <x:f>IF(I331="cache-semantics",AX331=AE331,TRUE)</x:f>
        <x:v>1</x:v>
      </x:c>
      <x:c r="BA331" s="49" t="b">
        <x:f>IF(I331="cache-semantics",AC331&gt;=AX331,IF(I331="no-store-control",AC331=0,FALSE))</x:f>
        <x:v>1</x:v>
      </x:c>
      <x:c r="BB331" s="49" t="b">
        <x:f>IF(I331="cache-semantics",AG331&gt;=AX331,IF(I331="no-store-control",AG331=0,FALSE))</x:f>
        <x:v>1</x:v>
      </x:c>
      <x:c r="BC331" s="49" t="b">
        <x:f>AND(BA331,BB331)</x:f>
        <x:v>1</x:v>
      </x:c>
      <x:c r="BD331" s="49" t="b">
        <x:f>IF(I331="no-store-control",AND(AC331=0,AG331=0),TRUE)</x:f>
        <x:v>1</x:v>
      </x:c>
      <x:c r="BE331" s="49" t="b">
        <x:f>IF(I331="no-store-control",AK331=0,TRUE)</x:f>
        <x:v>1</x:v>
      </x:c>
      <x:c r="BF331" s="49" t="b">
        <x:f>IF(I331="cache-semantics",AN331=1,TRUE)</x:f>
        <x:v>1</x:v>
      </x:c>
      <x:c r="BG331" s="49" t="b">
        <x:f>IF(I331="cache-semantics",AND(AU331,AV331,Q331,AW331,BC331,BF331),IF(I331="no-store-control",AND(AU331,AV331,Q331,BD331,BE331),FALSE))</x:f>
        <x:v>1</x:v>
      </x:c>
      <x:c r="BH331" s="49" t="b">
        <x:f>AND(R331,AT331=P331,AU331=L331,AV331=U331,AY331,AZ331,IF(I331="cache-semantics",AND(AW331=Z331,AND(BA331=AD331,BB331=AH331,BC331=AI331),BF331=AO331),IF(I331="no-store-control",AND(AND(BA331=AD331,BB331=AH331,BC331=AI331),BD331=AJ331,BE331=AL331),FALSE)),BG331=AP331)</x:f>
        <x:v>1</x:v>
      </x:c>
      <x:c r="BI331" s="49" t="b">
        <x:f>AND(J331,K331,BG331)</x:f>
        <x:v>0</x:v>
      </x:c>
    </x:row>
    <x:row r="332">
      <x:c r="A332" s="34" t="str">
        <x:v>article1-unified-v4-2-fb3f101b-20260903-000401-default-f06-p4-ehcache</x:v>
      </x:c>
      <x:c r="B332" s="34" t="str">
        <x:v>default</x:v>
      </x:c>
      <x:c r="C332" s="34" t="str">
        <x:v>ehcache</x:v>
      </x:c>
      <x:c r="D332" s="36" t="n">
        <x:v>6</x:v>
      </x:c>
      <x:c r="E332" s="36" t="n">
        <x:v>6</x:v>
      </x:c>
      <x:c r="F332" s="36" t="n">
        <x:v>4</x:v>
      </x:c>
      <x:c r="G332" s="36" t="n">
        <x:v>1</x:v>
      </x:c>
      <x:c r="H332" s="34" t="str">
        <x:v>initial</x:v>
      </x:c>
      <x:c r="I332" s="34" t="str">
        <x:v>cache-semantics</x:v>
      </x:c>
      <x:c r="J332" s="45" t="b">
        <x:v>1</x:v>
      </x:c>
      <x:c r="K332" s="45" t="b">
        <x:v>1</x:v>
      </x:c>
      <x:c r="L332" s="45" t="b">
        <x:v>1</x:v>
      </x:c>
      <x:c r="M332" s="43" t="n">
        <x:v>400000</x:v>
      </x:c>
      <x:c r="N332" s="43" t="n">
        <x:v>127875072</x:v>
      </x:c>
      <x:c r="O332" s="43" t="n">
        <x:v>25560018.275933467</x:v>
      </x:c>
      <x:c r="P332" s="45" t="b">
        <x:v>1</x:v>
      </x:c>
      <x:c r="Q332" s="45" t="b">
        <x:v>1</x:v>
      </x:c>
      <x:c r="R332" s="45" t="b">
        <x:v>1</x:v>
      </x:c>
      <x:c r="S332" s="43" t="n">
        <x:v>5000000000</x:v>
      </x:c>
      <x:c r="T332" s="43" t="n">
        <x:v>5002933512</x:v>
      </x:c>
      <x:c r="U332" s="45" t="b">
        <x:v>1</x:v>
      </x:c>
      <x:c r="V332" s="34" t="str">
        <x:v>uniform</x:v>
      </x:c>
      <x:c r="W332" s="42" t="n">
        <x:v>95</x:v>
      </x:c>
      <x:c r="X332" s="48" t="n">
        <x:v>0.95</x:v>
      </x:c>
      <x:c r="Y332" s="48" t="n">
        <x:v>0.9502294942989358</x:v>
      </x:c>
      <x:c r="Z332" s="45" t="b">
        <x:v>1</x:v>
      </x:c>
      <x:c r="AA332" s="43" t="n">
        <x:v>10000</x:v>
      </x:c>
      <x:c r="AB332" s="43" t="n">
        <x:v>9900</x:v>
      </x:c>
      <x:c r="AC332" s="43" t="n">
        <x:v>10000</x:v>
      </x:c>
      <x:c r="AD332" s="45" t="b">
        <x:v>1</x:v>
      </x:c>
      <x:c r="AE332" s="43" t="n">
        <x:v>9900</x:v>
      </x:c>
      <x:c r="AF332" s="43"/>
      <x:c r="AG332" s="43" t="n">
        <x:v>10000</x:v>
      </x:c>
      <x:c r="AH332" s="45" t="b">
        <x:v>1</x:v>
      </x:c>
      <x:c r="AI332" s="45" t="b">
        <x:v>1</x:v>
      </x:c>
      <x:c r="AJ332" s="49"/>
      <x:c r="AK332" s="48" t="n">
        <x:v>0.9502294942989358</x:v>
      </x:c>
      <x:c r="AL332" s="49"/>
      <x:c r="AM332" s="49"/>
      <x:c r="AN332" s="36" t="n">
        <x:v>1</x:v>
      </x:c>
      <x:c r="AO332" s="45" t="b">
        <x:v>1</x:v>
      </x:c>
      <x:c r="AP332" s="45" t="b">
        <x:v>1</x:v>
      </x:c>
      <x:c r="AQ332" s="46" t="n">
        <x:f>IF(T332="","",T332/'Readme-Protocol'!$B$24)</x:f>
        <x:v>5.002933512</x:v>
      </x:c>
      <x:c r="AR332" s="46" t="n">
        <x:f>IF(OR(S332="",S332=0),"",T332/S332)</x:f>
        <x:v>1.0005867024</x:v>
      </x:c>
      <x:c r="AS332" s="46" t="n">
        <x:f>IF(OR(X332="",Y332=""),"",ABS(Y332-X332)*'Readme-Protocol'!$B$27)</x:f>
        <x:v>0.02294942989358173</x:v>
      </x:c>
      <x:c r="AT332" s="49" t="b">
        <x:f>AND(M332&gt;0,N332&gt;=0,O332&gt;0)</x:f>
        <x:v>1</x:v>
      </x:c>
      <x:c r="AU332" s="49" t="b">
        <x:f>AND(AT332,N332&gt;=M332)</x:f>
        <x:v>1</x:v>
      </x:c>
      <x:c r="AV332" s="49" t="b">
        <x:f>OR(S332=0,T332&gt;=S332)</x:f>
        <x:v>1</x:v>
      </x:c>
      <x:c r="AW332" s="49" t="b">
        <x:f>IF(I332="cache-semantics",OR(V332&lt;&gt;"uniform",ABS(Y332-W332/'Readme-Protocol'!$B$27)&lt;='Readme-Protocol'!$B$28),TRUE)</x:f>
        <x:v>1</x:v>
      </x:c>
      <x:c r="AX332" s="43" t="n">
        <x:f>IF(I332="cache-semantics",INT(AA332*'Readme-Protocol'!$B$32),"")</x:f>
        <x:v>9900</x:v>
      </x:c>
      <x:c r="AY332" s="49" t="b">
        <x:f>IF(I332="cache-semantics",AX332=AB332,TRUE)</x:f>
        <x:v>1</x:v>
      </x:c>
      <x:c r="AZ332" s="49" t="b">
        <x:f>IF(I332="cache-semantics",AX332=AE332,TRUE)</x:f>
        <x:v>1</x:v>
      </x:c>
      <x:c r="BA332" s="49" t="b">
        <x:f>IF(I332="cache-semantics",AC332&gt;=AX332,IF(I332="no-store-control",AC332=0,FALSE))</x:f>
        <x:v>1</x:v>
      </x:c>
      <x:c r="BB332" s="49" t="b">
        <x:f>IF(I332="cache-semantics",AG332&gt;=AX332,IF(I332="no-store-control",AG332=0,FALSE))</x:f>
        <x:v>1</x:v>
      </x:c>
      <x:c r="BC332" s="49" t="b">
        <x:f>AND(BA332,BB332)</x:f>
        <x:v>1</x:v>
      </x:c>
      <x:c r="BD332" s="49" t="b">
        <x:f>IF(I332="no-store-control",AND(AC332=0,AG332=0),TRUE)</x:f>
        <x:v>1</x:v>
      </x:c>
      <x:c r="BE332" s="49" t="b">
        <x:f>IF(I332="no-store-control",AK332=0,TRUE)</x:f>
        <x:v>1</x:v>
      </x:c>
      <x:c r="BF332" s="49" t="b">
        <x:f>IF(I332="cache-semantics",AN332=1,TRUE)</x:f>
        <x:v>1</x:v>
      </x:c>
      <x:c r="BG332" s="49" t="b">
        <x:f>IF(I332="cache-semantics",AND(AU332,AV332,Q332,AW332,BC332,BF332),IF(I332="no-store-control",AND(AU332,AV332,Q332,BD332,BE332),FALSE))</x:f>
        <x:v>1</x:v>
      </x:c>
      <x:c r="BH332" s="49" t="b">
        <x:f>AND(R332,AT332=P332,AU332=L332,AV332=U332,AY332,AZ332,IF(I332="cache-semantics",AND(AW332=Z332,AND(BA332=AD332,BB332=AH332,BC332=AI332),BF332=AO332),IF(I332="no-store-control",AND(AND(BA332=AD332,BB332=AH332,BC332=AI332),BD332=AJ332,BE332=AL332),FALSE)),BG332=AP332)</x:f>
        <x:v>1</x:v>
      </x:c>
      <x:c r="BI332" s="49" t="b">
        <x:f>AND(J332,K332,BG332)</x:f>
        <x:v>1</x:v>
      </x:c>
    </x:row>
    <x:row r="333">
      <x:c r="A333" s="34" t="str">
        <x:v>article1-unified-v4-2-fb3f101b-20260903-000401-default-f06-p4-ehcache</x:v>
      </x:c>
      <x:c r="B333" s="34" t="str">
        <x:v>default</x:v>
      </x:c>
      <x:c r="C333" s="34" t="str">
        <x:v>ehcache</x:v>
      </x:c>
      <x:c r="D333" s="36" t="n">
        <x:v>6</x:v>
      </x:c>
      <x:c r="E333" s="36" t="n">
        <x:v>6</x:v>
      </x:c>
      <x:c r="F333" s="36" t="n">
        <x:v>4</x:v>
      </x:c>
      <x:c r="G333" s="36" t="n">
        <x:v>1</x:v>
      </x:c>
      <x:c r="H333" s="34" t="str">
        <x:v>redeploy</x:v>
      </x:c>
      <x:c r="I333" s="34" t="str">
        <x:v>cache-semantics</x:v>
      </x:c>
      <x:c r="J333" s="45" t="b">
        <x:v>1</x:v>
      </x:c>
      <x:c r="K333" s="45" t="b">
        <x:v>1</x:v>
      </x:c>
      <x:c r="L333" s="45" t="b">
        <x:v>1</x:v>
      </x:c>
      <x:c r="M333" s="43" t="n">
        <x:v>400000</x:v>
      </x:c>
      <x:c r="N333" s="43" t="n">
        <x:v>134058752</x:v>
      </x:c>
      <x:c r="O333" s="43" t="n">
        <x:v>26800058.89574678</x:v>
      </x:c>
      <x:c r="P333" s="45" t="b">
        <x:v>1</x:v>
      </x:c>
      <x:c r="Q333" s="45" t="b">
        <x:v>1</x:v>
      </x:c>
      <x:c r="R333" s="45" t="b">
        <x:v>1</x:v>
      </x:c>
      <x:c r="S333" s="43" t="n">
        <x:v>5000000000</x:v>
      </x:c>
      <x:c r="T333" s="43" t="n">
        <x:v>5002181246</x:v>
      </x:c>
      <x:c r="U333" s="45" t="b">
        <x:v>1</x:v>
      </x:c>
      <x:c r="V333" s="34" t="str">
        <x:v>uniform</x:v>
      </x:c>
      <x:c r="W333" s="42" t="n">
        <x:v>95</x:v>
      </x:c>
      <x:c r="X333" s="48" t="n">
        <x:v>0.95</x:v>
      </x:c>
      <x:c r="Y333" s="48" t="n">
        <x:v>0.9502423907392484</x:v>
      </x:c>
      <x:c r="Z333" s="45" t="b">
        <x:v>1</x:v>
      </x:c>
      <x:c r="AA333" s="43" t="n">
        <x:v>10000</x:v>
      </x:c>
      <x:c r="AB333" s="43" t="n">
        <x:v>9900</x:v>
      </x:c>
      <x:c r="AC333" s="43" t="n">
        <x:v>10000</x:v>
      </x:c>
      <x:c r="AD333" s="45" t="b">
        <x:v>1</x:v>
      </x:c>
      <x:c r="AE333" s="43" t="n">
        <x:v>9900</x:v>
      </x:c>
      <x:c r="AF333" s="43"/>
      <x:c r="AG333" s="43" t="n">
        <x:v>10000</x:v>
      </x:c>
      <x:c r="AH333" s="45" t="b">
        <x:v>1</x:v>
      </x:c>
      <x:c r="AI333" s="45" t="b">
        <x:v>1</x:v>
      </x:c>
      <x:c r="AJ333" s="49"/>
      <x:c r="AK333" s="48" t="n">
        <x:v>0.9502423907392484</x:v>
      </x:c>
      <x:c r="AL333" s="49"/>
      <x:c r="AM333" s="49"/>
      <x:c r="AN333" s="36" t="n">
        <x:v>1</x:v>
      </x:c>
      <x:c r="AO333" s="45" t="b">
        <x:v>1</x:v>
      </x:c>
      <x:c r="AP333" s="45" t="b">
        <x:v>1</x:v>
      </x:c>
      <x:c r="AQ333" s="46" t="n">
        <x:f>IF(T333="","",T333/'Readme-Protocol'!$B$24)</x:f>
        <x:v>5.002181246</x:v>
      </x:c>
      <x:c r="AR333" s="46" t="n">
        <x:f>IF(OR(S333="",S333=0),"",T333/S333)</x:f>
        <x:v>1.0004362492</x:v>
      </x:c>
      <x:c r="AS333" s="46" t="n">
        <x:f>IF(OR(X333="",Y333=""),"",ABS(Y333-X333)*'Readme-Protocol'!$B$27)</x:f>
        <x:v>0.0242390739248477</x:v>
      </x:c>
      <x:c r="AT333" s="49" t="b">
        <x:f>AND(M333&gt;0,N333&gt;=0,O333&gt;0)</x:f>
        <x:v>1</x:v>
      </x:c>
      <x:c r="AU333" s="49" t="b">
        <x:f>AND(AT333,N333&gt;=M333)</x:f>
        <x:v>1</x:v>
      </x:c>
      <x:c r="AV333" s="49" t="b">
        <x:f>OR(S333=0,T333&gt;=S333)</x:f>
        <x:v>1</x:v>
      </x:c>
      <x:c r="AW333" s="49" t="b">
        <x:f>IF(I333="cache-semantics",OR(V333&lt;&gt;"uniform",ABS(Y333-W333/'Readme-Protocol'!$B$27)&lt;='Readme-Protocol'!$B$28),TRUE)</x:f>
        <x:v>1</x:v>
      </x:c>
      <x:c r="AX333" s="43" t="n">
        <x:f>IF(I333="cache-semantics",INT(AA333*'Readme-Protocol'!$B$32),"")</x:f>
        <x:v>9900</x:v>
      </x:c>
      <x:c r="AY333" s="49" t="b">
        <x:f>IF(I333="cache-semantics",AX333=AB333,TRUE)</x:f>
        <x:v>1</x:v>
      </x:c>
      <x:c r="AZ333" s="49" t="b">
        <x:f>IF(I333="cache-semantics",AX333=AE333,TRUE)</x:f>
        <x:v>1</x:v>
      </x:c>
      <x:c r="BA333" s="49" t="b">
        <x:f>IF(I333="cache-semantics",AC333&gt;=AX333,IF(I333="no-store-control",AC333=0,FALSE))</x:f>
        <x:v>1</x:v>
      </x:c>
      <x:c r="BB333" s="49" t="b">
        <x:f>IF(I333="cache-semantics",AG333&gt;=AX333,IF(I333="no-store-control",AG333=0,FALSE))</x:f>
        <x:v>1</x:v>
      </x:c>
      <x:c r="BC333" s="49" t="b">
        <x:f>AND(BA333,BB333)</x:f>
        <x:v>1</x:v>
      </x:c>
      <x:c r="BD333" s="49" t="b">
        <x:f>IF(I333="no-store-control",AND(AC333=0,AG333=0),TRUE)</x:f>
        <x:v>1</x:v>
      </x:c>
      <x:c r="BE333" s="49" t="b">
        <x:f>IF(I333="no-store-control",AK333=0,TRUE)</x:f>
        <x:v>1</x:v>
      </x:c>
      <x:c r="BF333" s="49" t="b">
        <x:f>IF(I333="cache-semantics",AN333=1,TRUE)</x:f>
        <x:v>1</x:v>
      </x:c>
      <x:c r="BG333" s="49" t="b">
        <x:f>IF(I333="cache-semantics",AND(AU333,AV333,Q333,AW333,BC333,BF333),IF(I333="no-store-control",AND(AU333,AV333,Q333,BD333,BE333),FALSE))</x:f>
        <x:v>1</x:v>
      </x:c>
      <x:c r="BH333" s="49" t="b">
        <x:f>AND(R333,AT333=P333,AU333=L333,AV333=U333,AY333,AZ333,IF(I333="cache-semantics",AND(AW333=Z333,AND(BA333=AD333,BB333=AH333,BC333=AI333),BF333=AO333),IF(I333="no-store-control",AND(AND(BA333=AD333,BB333=AH333,BC333=AI333),BD333=AJ333,BE333=AL333),FALSE)),BG333=AP333)</x:f>
        <x:v>1</x:v>
      </x:c>
      <x:c r="BI333" s="49" t="b">
        <x:f>AND(J333,K333,BG333)</x:f>
        <x:v>1</x:v>
      </x:c>
    </x:row>
    <x:row r="334">
      <x:c r="A334" s="34" t="str">
        <x:v>article1-unified-v4-2-fb3f101b-20260903-000401-default-f06-p4-ehcache</x:v>
      </x:c>
      <x:c r="B334" s="34" t="str">
        <x:v>default</x:v>
      </x:c>
      <x:c r="C334" s="34" t="str">
        <x:v>ehcache</x:v>
      </x:c>
      <x:c r="D334" s="36" t="n">
        <x:v>6</x:v>
      </x:c>
      <x:c r="E334" s="36" t="n">
        <x:v>6</x:v>
      </x:c>
      <x:c r="F334" s="36" t="n">
        <x:v>4</x:v>
      </x:c>
      <x:c r="G334" s="36" t="n">
        <x:v>2</x:v>
      </x:c>
      <x:c r="H334" s="34" t="str">
        <x:v>initial</x:v>
      </x:c>
      <x:c r="I334" s="34" t="str">
        <x:v>cache-semantics</x:v>
      </x:c>
      <x:c r="J334" s="45" t="b">
        <x:v>1</x:v>
      </x:c>
      <x:c r="K334" s="45" t="b">
        <x:v>1</x:v>
      </x:c>
      <x:c r="L334" s="45" t="b">
        <x:v>1</x:v>
      </x:c>
      <x:c r="M334" s="43" t="n">
        <x:v>400000</x:v>
      </x:c>
      <x:c r="N334" s="43" t="n">
        <x:v>131872768</x:v>
      </x:c>
      <x:c r="O334" s="43" t="n">
        <x:v>26362276.29776644</x:v>
      </x:c>
      <x:c r="P334" s="45" t="b">
        <x:v>1</x:v>
      </x:c>
      <x:c r="Q334" s="45" t="b">
        <x:v>1</x:v>
      </x:c>
      <x:c r="R334" s="45" t="b">
        <x:v>1</x:v>
      </x:c>
      <x:c r="S334" s="43" t="n">
        <x:v>5000000000</x:v>
      </x:c>
      <x:c r="T334" s="43" t="n">
        <x:v>5002328574</x:v>
      </x:c>
      <x:c r="U334" s="45" t="b">
        <x:v>1</x:v>
      </x:c>
      <x:c r="V334" s="34" t="str">
        <x:v>uniform</x:v>
      </x:c>
      <x:c r="W334" s="42" t="n">
        <x:v>95</x:v>
      </x:c>
      <x:c r="X334" s="48" t="n">
        <x:v>0.95</x:v>
      </x:c>
      <x:c r="Y334" s="48" t="n">
        <x:v>0.9497361805585214</x:v>
      </x:c>
      <x:c r="Z334" s="45" t="b">
        <x:v>1</x:v>
      </x:c>
      <x:c r="AA334" s="43" t="n">
        <x:v>10000</x:v>
      </x:c>
      <x:c r="AB334" s="43" t="n">
        <x:v>9900</x:v>
      </x:c>
      <x:c r="AC334" s="43" t="n">
        <x:v>10000</x:v>
      </x:c>
      <x:c r="AD334" s="45" t="b">
        <x:v>1</x:v>
      </x:c>
      <x:c r="AE334" s="43" t="n">
        <x:v>9900</x:v>
      </x:c>
      <x:c r="AF334" s="43"/>
      <x:c r="AG334" s="43" t="n">
        <x:v>10000</x:v>
      </x:c>
      <x:c r="AH334" s="45" t="b">
        <x:v>1</x:v>
      </x:c>
      <x:c r="AI334" s="45" t="b">
        <x:v>1</x:v>
      </x:c>
      <x:c r="AJ334" s="49"/>
      <x:c r="AK334" s="48" t="n">
        <x:v>0.9497361805585214</x:v>
      </x:c>
      <x:c r="AL334" s="49"/>
      <x:c r="AM334" s="49"/>
      <x:c r="AN334" s="36" t="n">
        <x:v>1</x:v>
      </x:c>
      <x:c r="AO334" s="45" t="b">
        <x:v>1</x:v>
      </x:c>
      <x:c r="AP334" s="45" t="b">
        <x:v>1</x:v>
      </x:c>
      <x:c r="AQ334" s="46" t="n">
        <x:f>IF(T334="","",T334/'Readme-Protocol'!$B$24)</x:f>
        <x:v>5.002328574</x:v>
      </x:c>
      <x:c r="AR334" s="46" t="n">
        <x:f>IF(OR(S334="",S334=0),"",T334/S334)</x:f>
        <x:v>1.0004657148</x:v>
      </x:c>
      <x:c r="AS334" s="46" t="n">
        <x:f>IF(OR(X334="",Y334=""),"",ABS(Y334-X334)*'Readme-Protocol'!$B$27)</x:f>
        <x:v>0.02638194414785744</x:v>
      </x:c>
      <x:c r="AT334" s="49" t="b">
        <x:f>AND(M334&gt;0,N334&gt;=0,O334&gt;0)</x:f>
        <x:v>1</x:v>
      </x:c>
      <x:c r="AU334" s="49" t="b">
        <x:f>AND(AT334,N334&gt;=M334)</x:f>
        <x:v>1</x:v>
      </x:c>
      <x:c r="AV334" s="49" t="b">
        <x:f>OR(S334=0,T334&gt;=S334)</x:f>
        <x:v>1</x:v>
      </x:c>
      <x:c r="AW334" s="49" t="b">
        <x:f>IF(I334="cache-semantics",OR(V334&lt;&gt;"uniform",ABS(Y334-W334/'Readme-Protocol'!$B$27)&lt;='Readme-Protocol'!$B$28),TRUE)</x:f>
        <x:v>1</x:v>
      </x:c>
      <x:c r="AX334" s="43" t="n">
        <x:f>IF(I334="cache-semantics",INT(AA334*'Readme-Protocol'!$B$32),"")</x:f>
        <x:v>9900</x:v>
      </x:c>
      <x:c r="AY334" s="49" t="b">
        <x:f>IF(I334="cache-semantics",AX334=AB334,TRUE)</x:f>
        <x:v>1</x:v>
      </x:c>
      <x:c r="AZ334" s="49" t="b">
        <x:f>IF(I334="cache-semantics",AX334=AE334,TRUE)</x:f>
        <x:v>1</x:v>
      </x:c>
      <x:c r="BA334" s="49" t="b">
        <x:f>IF(I334="cache-semantics",AC334&gt;=AX334,IF(I334="no-store-control",AC334=0,FALSE))</x:f>
        <x:v>1</x:v>
      </x:c>
      <x:c r="BB334" s="49" t="b">
        <x:f>IF(I334="cache-semantics",AG334&gt;=AX334,IF(I334="no-store-control",AG334=0,FALSE))</x:f>
        <x:v>1</x:v>
      </x:c>
      <x:c r="BC334" s="49" t="b">
        <x:f>AND(BA334,BB334)</x:f>
        <x:v>1</x:v>
      </x:c>
      <x:c r="BD334" s="49" t="b">
        <x:f>IF(I334="no-store-control",AND(AC334=0,AG334=0),TRUE)</x:f>
        <x:v>1</x:v>
      </x:c>
      <x:c r="BE334" s="49" t="b">
        <x:f>IF(I334="no-store-control",AK334=0,TRUE)</x:f>
        <x:v>1</x:v>
      </x:c>
      <x:c r="BF334" s="49" t="b">
        <x:f>IF(I334="cache-semantics",AN334=1,TRUE)</x:f>
        <x:v>1</x:v>
      </x:c>
      <x:c r="BG334" s="49" t="b">
        <x:f>IF(I334="cache-semantics",AND(AU334,AV334,Q334,AW334,BC334,BF334),IF(I334="no-store-control",AND(AU334,AV334,Q334,BD334,BE334),FALSE))</x:f>
        <x:v>1</x:v>
      </x:c>
      <x:c r="BH334" s="49" t="b">
        <x:f>AND(R334,AT334=P334,AU334=L334,AV334=U334,AY334,AZ334,IF(I334="cache-semantics",AND(AW334=Z334,AND(BA334=AD334,BB334=AH334,BC334=AI334),BF334=AO334),IF(I334="no-store-control",AND(AND(BA334=AD334,BB334=AH334,BC334=AI334),BD334=AJ334,BE334=AL334),FALSE)),BG334=AP334)</x:f>
        <x:v>1</x:v>
      </x:c>
      <x:c r="BI334" s="49" t="b">
        <x:f>AND(J334,K334,BG334)</x:f>
        <x:v>1</x:v>
      </x:c>
    </x:row>
    <x:row r="335">
      <x:c r="A335" s="34" t="str">
        <x:v>article1-unified-v4-2-fb3f101b-20260903-000401-default-f06-p4-ehcache</x:v>
      </x:c>
      <x:c r="B335" s="34" t="str">
        <x:v>default</x:v>
      </x:c>
      <x:c r="C335" s="34" t="str">
        <x:v>ehcache</x:v>
      </x:c>
      <x:c r="D335" s="36" t="n">
        <x:v>6</x:v>
      </x:c>
      <x:c r="E335" s="36" t="n">
        <x:v>6</x:v>
      </x:c>
      <x:c r="F335" s="36" t="n">
        <x:v>4</x:v>
      </x:c>
      <x:c r="G335" s="36" t="n">
        <x:v>2</x:v>
      </x:c>
      <x:c r="H335" s="34" t="str">
        <x:v>redeploy</x:v>
      </x:c>
      <x:c r="I335" s="34" t="str">
        <x:v>cache-semantics</x:v>
      </x:c>
      <x:c r="J335" s="45" t="b">
        <x:v>1</x:v>
      </x:c>
      <x:c r="K335" s="45" t="b">
        <x:v>1</x:v>
      </x:c>
      <x:c r="L335" s="45" t="b">
        <x:v>1</x:v>
      </x:c>
      <x:c r="M335" s="43" t="n">
        <x:v>400000</x:v>
      </x:c>
      <x:c r="N335" s="43" t="n">
        <x:v>119567872</x:v>
      </x:c>
      <x:c r="O335" s="43" t="n">
        <x:v>23903567.788057577</x:v>
      </x:c>
      <x:c r="P335" s="45" t="b">
        <x:v>1</x:v>
      </x:c>
      <x:c r="Q335" s="45" t="b">
        <x:v>1</x:v>
      </x:c>
      <x:c r="R335" s="45" t="b">
        <x:v>1</x:v>
      </x:c>
      <x:c r="S335" s="43" t="n">
        <x:v>5000000000</x:v>
      </x:c>
      <x:c r="T335" s="43" t="n">
        <x:v>5002093121</x:v>
      </x:c>
      <x:c r="U335" s="45" t="b">
        <x:v>1</x:v>
      </x:c>
      <x:c r="V335" s="34" t="str">
        <x:v>uniform</x:v>
      </x:c>
      <x:c r="W335" s="42" t="n">
        <x:v>95</x:v>
      </x:c>
      <x:c r="X335" s="48" t="n">
        <x:v>0.95</x:v>
      </x:c>
      <x:c r="Y335" s="48" t="n">
        <x:v>0.9497550813650008</x:v>
      </x:c>
      <x:c r="Z335" s="45" t="b">
        <x:v>1</x:v>
      </x:c>
      <x:c r="AA335" s="43" t="n">
        <x:v>10000</x:v>
      </x:c>
      <x:c r="AB335" s="43" t="n">
        <x:v>9900</x:v>
      </x:c>
      <x:c r="AC335" s="43" t="n">
        <x:v>10000</x:v>
      </x:c>
      <x:c r="AD335" s="45" t="b">
        <x:v>1</x:v>
      </x:c>
      <x:c r="AE335" s="43" t="n">
        <x:v>9900</x:v>
      </x:c>
      <x:c r="AF335" s="43"/>
      <x:c r="AG335" s="43" t="n">
        <x:v>10000</x:v>
      </x:c>
      <x:c r="AH335" s="45" t="b">
        <x:v>1</x:v>
      </x:c>
      <x:c r="AI335" s="45" t="b">
        <x:v>1</x:v>
      </x:c>
      <x:c r="AJ335" s="49"/>
      <x:c r="AK335" s="48" t="n">
        <x:v>0.9497550813650008</x:v>
      </x:c>
      <x:c r="AL335" s="49"/>
      <x:c r="AM335" s="49"/>
      <x:c r="AN335" s="36" t="n">
        <x:v>1</x:v>
      </x:c>
      <x:c r="AO335" s="45" t="b">
        <x:v>1</x:v>
      </x:c>
      <x:c r="AP335" s="45" t="b">
        <x:v>1</x:v>
      </x:c>
      <x:c r="AQ335" s="46" t="n">
        <x:f>IF(T335="","",T335/'Readme-Protocol'!$B$24)</x:f>
        <x:v>5.002093121</x:v>
      </x:c>
      <x:c r="AR335" s="46" t="n">
        <x:f>IF(OR(S335="",S335=0),"",T335/S335)</x:f>
        <x:v>1.0004186242</x:v>
      </x:c>
      <x:c r="AS335" s="46" t="n">
        <x:f>IF(OR(X335="",Y335=""),"",ABS(Y335-X335)*'Readme-Protocol'!$B$27)</x:f>
        <x:v>0.024491863499920274</x:v>
      </x:c>
      <x:c r="AT335" s="49" t="b">
        <x:f>AND(M335&gt;0,N335&gt;=0,O335&gt;0)</x:f>
        <x:v>1</x:v>
      </x:c>
      <x:c r="AU335" s="49" t="b">
        <x:f>AND(AT335,N335&gt;=M335)</x:f>
        <x:v>1</x:v>
      </x:c>
      <x:c r="AV335" s="49" t="b">
        <x:f>OR(S335=0,T335&gt;=S335)</x:f>
        <x:v>1</x:v>
      </x:c>
      <x:c r="AW335" s="49" t="b">
        <x:f>IF(I335="cache-semantics",OR(V335&lt;&gt;"uniform",ABS(Y335-W335/'Readme-Protocol'!$B$27)&lt;='Readme-Protocol'!$B$28),TRUE)</x:f>
        <x:v>1</x:v>
      </x:c>
      <x:c r="AX335" s="43" t="n">
        <x:f>IF(I335="cache-semantics",INT(AA335*'Readme-Protocol'!$B$32),"")</x:f>
        <x:v>9900</x:v>
      </x:c>
      <x:c r="AY335" s="49" t="b">
        <x:f>IF(I335="cache-semantics",AX335=AB335,TRUE)</x:f>
        <x:v>1</x:v>
      </x:c>
      <x:c r="AZ335" s="49" t="b">
        <x:f>IF(I335="cache-semantics",AX335=AE335,TRUE)</x:f>
        <x:v>1</x:v>
      </x:c>
      <x:c r="BA335" s="49" t="b">
        <x:f>IF(I335="cache-semantics",AC335&gt;=AX335,IF(I335="no-store-control",AC335=0,FALSE))</x:f>
        <x:v>1</x:v>
      </x:c>
      <x:c r="BB335" s="49" t="b">
        <x:f>IF(I335="cache-semantics",AG335&gt;=AX335,IF(I335="no-store-control",AG335=0,FALSE))</x:f>
        <x:v>1</x:v>
      </x:c>
      <x:c r="BC335" s="49" t="b">
        <x:f>AND(BA335,BB335)</x:f>
        <x:v>1</x:v>
      </x:c>
      <x:c r="BD335" s="49" t="b">
        <x:f>IF(I335="no-store-control",AND(AC335=0,AG335=0),TRUE)</x:f>
        <x:v>1</x:v>
      </x:c>
      <x:c r="BE335" s="49" t="b">
        <x:f>IF(I335="no-store-control",AK335=0,TRUE)</x:f>
        <x:v>1</x:v>
      </x:c>
      <x:c r="BF335" s="49" t="b">
        <x:f>IF(I335="cache-semantics",AN335=1,TRUE)</x:f>
        <x:v>1</x:v>
      </x:c>
      <x:c r="BG335" s="49" t="b">
        <x:f>IF(I335="cache-semantics",AND(AU335,AV335,Q335,AW335,BC335,BF335),IF(I335="no-store-control",AND(AU335,AV335,Q335,BD335,BE335),FALSE))</x:f>
        <x:v>1</x:v>
      </x:c>
      <x:c r="BH335" s="49" t="b">
        <x:f>AND(R335,AT335=P335,AU335=L335,AV335=U335,AY335,AZ335,IF(I335="cache-semantics",AND(AW335=Z335,AND(BA335=AD335,BB335=AH335,BC335=AI335),BF335=AO335),IF(I335="no-store-control",AND(AND(BA335=AD335,BB335=AH335,BC335=AI335),BD335=AJ335,BE335=AL335),FALSE)),BG335=AP335)</x:f>
        <x:v>1</x:v>
      </x:c>
      <x:c r="BI335" s="49" t="b">
        <x:f>AND(J335,K335,BG335)</x:f>
        <x:v>1</x:v>
      </x:c>
    </x:row>
    <x:row r="336">
      <x:c r="A336" s="34" t="str">
        <x:v>article1-unified-v4-2-fb3f101b-20260903-000401-default-f06-p4-ehcache</x:v>
      </x:c>
      <x:c r="B336" s="34" t="str">
        <x:v>default</x:v>
      </x:c>
      <x:c r="C336" s="34" t="str">
        <x:v>ehcache</x:v>
      </x:c>
      <x:c r="D336" s="36" t="n">
        <x:v>6</x:v>
      </x:c>
      <x:c r="E336" s="36" t="n">
        <x:v>6</x:v>
      </x:c>
      <x:c r="F336" s="36" t="n">
        <x:v>4</x:v>
      </x:c>
      <x:c r="G336" s="36" t="n">
        <x:v>3</x:v>
      </x:c>
      <x:c r="H336" s="34" t="str">
        <x:v>initial</x:v>
      </x:c>
      <x:c r="I336" s="34" t="str">
        <x:v>cache-semantics</x:v>
      </x:c>
      <x:c r="J336" s="45" t="b">
        <x:v>1</x:v>
      </x:c>
      <x:c r="K336" s="45" t="b">
        <x:v>1</x:v>
      </x:c>
      <x:c r="L336" s="45" t="b">
        <x:v>1</x:v>
      </x:c>
      <x:c r="M336" s="43" t="n">
        <x:v>400000</x:v>
      </x:c>
      <x:c r="N336" s="43" t="n">
        <x:v>111331584</x:v>
      </x:c>
      <x:c r="O336" s="43" t="n">
        <x:v>22257640.767177425</x:v>
      </x:c>
      <x:c r="P336" s="45" t="b">
        <x:v>1</x:v>
      </x:c>
      <x:c r="Q336" s="45" t="b">
        <x:v>1</x:v>
      </x:c>
      <x:c r="R336" s="45" t="b">
        <x:v>1</x:v>
      </x:c>
      <x:c r="S336" s="43" t="n">
        <x:v>5000000000</x:v>
      </x:c>
      <x:c r="T336" s="43" t="n">
        <x:v>5001949001</x:v>
      </x:c>
      <x:c r="U336" s="45" t="b">
        <x:v>1</x:v>
      </x:c>
      <x:c r="V336" s="34" t="str">
        <x:v>uniform</x:v>
      </x:c>
      <x:c r="W336" s="42" t="n">
        <x:v>95</x:v>
      </x:c>
      <x:c r="X336" s="48" t="n">
        <x:v>0.95</x:v>
      </x:c>
      <x:c r="Y336" s="48" t="n">
        <x:v>0.9499107818316858</x:v>
      </x:c>
      <x:c r="Z336" s="45" t="b">
        <x:v>1</x:v>
      </x:c>
      <x:c r="AA336" s="43" t="n">
        <x:v>10000</x:v>
      </x:c>
      <x:c r="AB336" s="43" t="n">
        <x:v>9900</x:v>
      </x:c>
      <x:c r="AC336" s="43" t="n">
        <x:v>10000</x:v>
      </x:c>
      <x:c r="AD336" s="45" t="b">
        <x:v>1</x:v>
      </x:c>
      <x:c r="AE336" s="43" t="n">
        <x:v>9900</x:v>
      </x:c>
      <x:c r="AF336" s="43"/>
      <x:c r="AG336" s="43" t="n">
        <x:v>10000</x:v>
      </x:c>
      <x:c r="AH336" s="45" t="b">
        <x:v>1</x:v>
      </x:c>
      <x:c r="AI336" s="45" t="b">
        <x:v>1</x:v>
      </x:c>
      <x:c r="AJ336" s="49"/>
      <x:c r="AK336" s="48" t="n">
        <x:v>0.9499107818316858</x:v>
      </x:c>
      <x:c r="AL336" s="49"/>
      <x:c r="AM336" s="49"/>
      <x:c r="AN336" s="36" t="n">
        <x:v>1</x:v>
      </x:c>
      <x:c r="AO336" s="45" t="b">
        <x:v>1</x:v>
      </x:c>
      <x:c r="AP336" s="45" t="b">
        <x:v>1</x:v>
      </x:c>
      <x:c r="AQ336" s="46" t="n">
        <x:f>IF(T336="","",T336/'Readme-Protocol'!$B$24)</x:f>
        <x:v>5.001949001</x:v>
      </x:c>
      <x:c r="AR336" s="46" t="n">
        <x:f>IF(OR(S336="",S336=0),"",T336/S336)</x:f>
        <x:v>1.0003898002</x:v>
      </x:c>
      <x:c r="AS336" s="46" t="n">
        <x:f>IF(OR(X336="",Y336=""),"",ABS(Y336-X336)*'Readme-Protocol'!$B$27)</x:f>
        <x:v>0.008921816831419793</x:v>
      </x:c>
      <x:c r="AT336" s="49" t="b">
        <x:f>AND(M336&gt;0,N336&gt;=0,O336&gt;0)</x:f>
        <x:v>1</x:v>
      </x:c>
      <x:c r="AU336" s="49" t="b">
        <x:f>AND(AT336,N336&gt;=M336)</x:f>
        <x:v>1</x:v>
      </x:c>
      <x:c r="AV336" s="49" t="b">
        <x:f>OR(S336=0,T336&gt;=S336)</x:f>
        <x:v>1</x:v>
      </x:c>
      <x:c r="AW336" s="49" t="b">
        <x:f>IF(I336="cache-semantics",OR(V336&lt;&gt;"uniform",ABS(Y336-W336/'Readme-Protocol'!$B$27)&lt;='Readme-Protocol'!$B$28),TRUE)</x:f>
        <x:v>1</x:v>
      </x:c>
      <x:c r="AX336" s="43" t="n">
        <x:f>IF(I336="cache-semantics",INT(AA336*'Readme-Protocol'!$B$32),"")</x:f>
        <x:v>9900</x:v>
      </x:c>
      <x:c r="AY336" s="49" t="b">
        <x:f>IF(I336="cache-semantics",AX336=AB336,TRUE)</x:f>
        <x:v>1</x:v>
      </x:c>
      <x:c r="AZ336" s="49" t="b">
        <x:f>IF(I336="cache-semantics",AX336=AE336,TRUE)</x:f>
        <x:v>1</x:v>
      </x:c>
      <x:c r="BA336" s="49" t="b">
        <x:f>IF(I336="cache-semantics",AC336&gt;=AX336,IF(I336="no-store-control",AC336=0,FALSE))</x:f>
        <x:v>1</x:v>
      </x:c>
      <x:c r="BB336" s="49" t="b">
        <x:f>IF(I336="cache-semantics",AG336&gt;=AX336,IF(I336="no-store-control",AG336=0,FALSE))</x:f>
        <x:v>1</x:v>
      </x:c>
      <x:c r="BC336" s="49" t="b">
        <x:f>AND(BA336,BB336)</x:f>
        <x:v>1</x:v>
      </x:c>
      <x:c r="BD336" s="49" t="b">
        <x:f>IF(I336="no-store-control",AND(AC336=0,AG336=0),TRUE)</x:f>
        <x:v>1</x:v>
      </x:c>
      <x:c r="BE336" s="49" t="b">
        <x:f>IF(I336="no-store-control",AK336=0,TRUE)</x:f>
        <x:v>1</x:v>
      </x:c>
      <x:c r="BF336" s="49" t="b">
        <x:f>IF(I336="cache-semantics",AN336=1,TRUE)</x:f>
        <x:v>1</x:v>
      </x:c>
      <x:c r="BG336" s="49" t="b">
        <x:f>IF(I336="cache-semantics",AND(AU336,AV336,Q336,AW336,BC336,BF336),IF(I336="no-store-control",AND(AU336,AV336,Q336,BD336,BE336),FALSE))</x:f>
        <x:v>1</x:v>
      </x:c>
      <x:c r="BH336" s="49" t="b">
        <x:f>AND(R336,AT336=P336,AU336=L336,AV336=U336,AY336,AZ336,IF(I336="cache-semantics",AND(AW336=Z336,AND(BA336=AD336,BB336=AH336,BC336=AI336),BF336=AO336),IF(I336="no-store-control",AND(AND(BA336=AD336,BB336=AH336,BC336=AI336),BD336=AJ336,BE336=AL336),FALSE)),BG336=AP336)</x:f>
        <x:v>1</x:v>
      </x:c>
      <x:c r="BI336" s="49" t="b">
        <x:f>AND(J336,K336,BG336)</x:f>
        <x:v>1</x:v>
      </x:c>
    </x:row>
    <x:row r="337">
      <x:c r="A337" s="34" t="str">
        <x:v>article1-unified-v4-2-fb3f101b-20260903-000401-default-f06-p4-ehcache</x:v>
      </x:c>
      <x:c r="B337" s="34" t="str">
        <x:v>default</x:v>
      </x:c>
      <x:c r="C337" s="34" t="str">
        <x:v>ehcache</x:v>
      </x:c>
      <x:c r="D337" s="36" t="n">
        <x:v>6</x:v>
      </x:c>
      <x:c r="E337" s="36" t="n">
        <x:v>6</x:v>
      </x:c>
      <x:c r="F337" s="36" t="n">
        <x:v>4</x:v>
      </x:c>
      <x:c r="G337" s="36" t="n">
        <x:v>3</x:v>
      </x:c>
      <x:c r="H337" s="34" t="str">
        <x:v>redeploy</x:v>
      </x:c>
      <x:c r="I337" s="34" t="str">
        <x:v>cache-semantics</x:v>
      </x:c>
      <x:c r="J337" s="45" t="b">
        <x:v>1</x:v>
      </x:c>
      <x:c r="K337" s="45" t="b">
        <x:v>1</x:v>
      </x:c>
      <x:c r="L337" s="45" t="b">
        <x:v>1</x:v>
      </x:c>
      <x:c r="M337" s="43" t="n">
        <x:v>400000</x:v>
      </x:c>
      <x:c r="N337" s="43" t="n">
        <x:v>135504384</x:v>
      </x:c>
      <x:c r="O337" s="43" t="n">
        <x:v>26856128.138434224</x:v>
      </x:c>
      <x:c r="P337" s="45" t="b">
        <x:v>1</x:v>
      </x:c>
      <x:c r="Q337" s="45" t="b">
        <x:v>1</x:v>
      </x:c>
      <x:c r="R337" s="45" t="b">
        <x:v>1</x:v>
      </x:c>
      <x:c r="S337" s="43" t="n">
        <x:v>5000000000</x:v>
      </x:c>
      <x:c r="T337" s="43" t="n">
        <x:v>5045566632</x:v>
      </x:c>
      <x:c r="U337" s="45" t="b">
        <x:v>1</x:v>
      </x:c>
      <x:c r="V337" s="34" t="str">
        <x:v>uniform</x:v>
      </x:c>
      <x:c r="W337" s="42" t="n">
        <x:v>95</x:v>
      </x:c>
      <x:c r="X337" s="48" t="n">
        <x:v>0.95</x:v>
      </x:c>
      <x:c r="Y337" s="48" t="n">
        <x:v>0.9499115910522865</x:v>
      </x:c>
      <x:c r="Z337" s="45" t="b">
        <x:v>1</x:v>
      </x:c>
      <x:c r="AA337" s="43" t="n">
        <x:v>10000</x:v>
      </x:c>
      <x:c r="AB337" s="43" t="n">
        <x:v>9900</x:v>
      </x:c>
      <x:c r="AC337" s="43" t="n">
        <x:v>10000</x:v>
      </x:c>
      <x:c r="AD337" s="45" t="b">
        <x:v>1</x:v>
      </x:c>
      <x:c r="AE337" s="43" t="n">
        <x:v>9900</x:v>
      </x:c>
      <x:c r="AF337" s="43"/>
      <x:c r="AG337" s="43" t="n">
        <x:v>10000</x:v>
      </x:c>
      <x:c r="AH337" s="45" t="b">
        <x:v>1</x:v>
      </x:c>
      <x:c r="AI337" s="45" t="b">
        <x:v>1</x:v>
      </x:c>
      <x:c r="AJ337" s="49"/>
      <x:c r="AK337" s="48" t="n">
        <x:v>0.9499115910522865</x:v>
      </x:c>
      <x:c r="AL337" s="49"/>
      <x:c r="AM337" s="49"/>
      <x:c r="AN337" s="36" t="n">
        <x:v>1</x:v>
      </x:c>
      <x:c r="AO337" s="45" t="b">
        <x:v>1</x:v>
      </x:c>
      <x:c r="AP337" s="45" t="b">
        <x:v>1</x:v>
      </x:c>
      <x:c r="AQ337" s="46" t="n">
        <x:f>IF(T337="","",T337/'Readme-Protocol'!$B$24)</x:f>
        <x:v>5.045566632</x:v>
      </x:c>
      <x:c r="AR337" s="46" t="n">
        <x:f>IF(OR(S337="",S337=0),"",T337/S337)</x:f>
        <x:v>1.0091133264</x:v>
      </x:c>
      <x:c r="AS337" s="46" t="n">
        <x:f>IF(OR(X337="",Y337=""),"",ABS(Y337-X337)*'Readme-Protocol'!$B$27)</x:f>
        <x:v>0.008840894771344754</x:v>
      </x:c>
      <x:c r="AT337" s="49" t="b">
        <x:f>AND(M337&gt;0,N337&gt;=0,O337&gt;0)</x:f>
        <x:v>1</x:v>
      </x:c>
      <x:c r="AU337" s="49" t="b">
        <x:f>AND(AT337,N337&gt;=M337)</x:f>
        <x:v>1</x:v>
      </x:c>
      <x:c r="AV337" s="49" t="b">
        <x:f>OR(S337=0,T337&gt;=S337)</x:f>
        <x:v>1</x:v>
      </x:c>
      <x:c r="AW337" s="49" t="b">
        <x:f>IF(I337="cache-semantics",OR(V337&lt;&gt;"uniform",ABS(Y337-W337/'Readme-Protocol'!$B$27)&lt;='Readme-Protocol'!$B$28),TRUE)</x:f>
        <x:v>1</x:v>
      </x:c>
      <x:c r="AX337" s="43" t="n">
        <x:f>IF(I337="cache-semantics",INT(AA337*'Readme-Protocol'!$B$32),"")</x:f>
        <x:v>9900</x:v>
      </x:c>
      <x:c r="AY337" s="49" t="b">
        <x:f>IF(I337="cache-semantics",AX337=AB337,TRUE)</x:f>
        <x:v>1</x:v>
      </x:c>
      <x:c r="AZ337" s="49" t="b">
        <x:f>IF(I337="cache-semantics",AX337=AE337,TRUE)</x:f>
        <x:v>1</x:v>
      </x:c>
      <x:c r="BA337" s="49" t="b">
        <x:f>IF(I337="cache-semantics",AC337&gt;=AX337,IF(I337="no-store-control",AC337=0,FALSE))</x:f>
        <x:v>1</x:v>
      </x:c>
      <x:c r="BB337" s="49" t="b">
        <x:f>IF(I337="cache-semantics",AG337&gt;=AX337,IF(I337="no-store-control",AG337=0,FALSE))</x:f>
        <x:v>1</x:v>
      </x:c>
      <x:c r="BC337" s="49" t="b">
        <x:f>AND(BA337,BB337)</x:f>
        <x:v>1</x:v>
      </x:c>
      <x:c r="BD337" s="49" t="b">
        <x:f>IF(I337="no-store-control",AND(AC337=0,AG337=0),TRUE)</x:f>
        <x:v>1</x:v>
      </x:c>
      <x:c r="BE337" s="49" t="b">
        <x:f>IF(I337="no-store-control",AK337=0,TRUE)</x:f>
        <x:v>1</x:v>
      </x:c>
      <x:c r="BF337" s="49" t="b">
        <x:f>IF(I337="cache-semantics",AN337=1,TRUE)</x:f>
        <x:v>1</x:v>
      </x:c>
      <x:c r="BG337" s="49" t="b">
        <x:f>IF(I337="cache-semantics",AND(AU337,AV337,Q337,AW337,BC337,BF337),IF(I337="no-store-control",AND(AU337,AV337,Q337,BD337,BE337),FALSE))</x:f>
        <x:v>1</x:v>
      </x:c>
      <x:c r="BH337" s="49" t="b">
        <x:f>AND(R337,AT337=P337,AU337=L337,AV337=U337,AY337,AZ337,IF(I337="cache-semantics",AND(AW337=Z337,AND(BA337=AD337,BB337=AH337,BC337=AI337),BF337=AO337),IF(I337="no-store-control",AND(AND(BA337=AD337,BB337=AH337,BC337=AI337),BD337=AJ337,BE337=AL337),FALSE)),BG337=AP337)</x:f>
        <x:v>1</x:v>
      </x:c>
      <x:c r="BI337" s="49" t="b">
        <x:f>AND(J337,K337,BG337)</x:f>
        <x:v>1</x:v>
      </x:c>
    </x:row>
    <x:row r="338">
      <x:c r="A338" s="34" t="str">
        <x:v>article1-unified-v4-2-fb3f101b-20260903-000401-default-f06-p4-ehcache</x:v>
      </x:c>
      <x:c r="B338" s="34" t="str">
        <x:v>default</x:v>
      </x:c>
      <x:c r="C338" s="34" t="str">
        <x:v>ehcache</x:v>
      </x:c>
      <x:c r="D338" s="36" t="n">
        <x:v>6</x:v>
      </x:c>
      <x:c r="E338" s="36" t="n">
        <x:v>6</x:v>
      </x:c>
      <x:c r="F338" s="36" t="n">
        <x:v>4</x:v>
      </x:c>
      <x:c r="G338" s="36" t="n">
        <x:v>4</x:v>
      </x:c>
      <x:c r="H338" s="34" t="str">
        <x:v>initial</x:v>
      </x:c>
      <x:c r="I338" s="34" t="str">
        <x:v>cache-semantics</x:v>
      </x:c>
      <x:c r="J338" s="45" t="b">
        <x:v>1</x:v>
      </x:c>
      <x:c r="K338" s="45" t="b">
        <x:v>1</x:v>
      </x:c>
      <x:c r="L338" s="45" t="b">
        <x:v>1</x:v>
      </x:c>
      <x:c r="M338" s="43" t="n">
        <x:v>400000</x:v>
      </x:c>
      <x:c r="N338" s="43" t="n">
        <x:v>130343424</x:v>
      </x:c>
      <x:c r="O338" s="43" t="n">
        <x:v>26056675.205439124</x:v>
      </x:c>
      <x:c r="P338" s="45" t="b">
        <x:v>1</x:v>
      </x:c>
      <x:c r="Q338" s="45" t="b">
        <x:v>1</x:v>
      </x:c>
      <x:c r="R338" s="45" t="b">
        <x:v>1</x:v>
      </x:c>
      <x:c r="S338" s="43" t="n">
        <x:v>5000000000</x:v>
      </x:c>
      <x:c r="T338" s="43" t="n">
        <x:v>5002304514</x:v>
      </x:c>
      <x:c r="U338" s="45" t="b">
        <x:v>1</x:v>
      </x:c>
      <x:c r="V338" s="34" t="str">
        <x:v>uniform</x:v>
      </x:c>
      <x:c r="W338" s="42" t="n">
        <x:v>95</x:v>
      </x:c>
      <x:c r="X338" s="48" t="n">
        <x:v>0.95</x:v>
      </x:c>
      <x:c r="Y338" s="48" t="n">
        <x:v>0.9500621527327685</x:v>
      </x:c>
      <x:c r="Z338" s="45" t="b">
        <x:v>1</x:v>
      </x:c>
      <x:c r="AA338" s="43" t="n">
        <x:v>10000</x:v>
      </x:c>
      <x:c r="AB338" s="43" t="n">
        <x:v>9900</x:v>
      </x:c>
      <x:c r="AC338" s="43" t="n">
        <x:v>10000</x:v>
      </x:c>
      <x:c r="AD338" s="45" t="b">
        <x:v>1</x:v>
      </x:c>
      <x:c r="AE338" s="43" t="n">
        <x:v>9900</x:v>
      </x:c>
      <x:c r="AF338" s="43"/>
      <x:c r="AG338" s="43" t="n">
        <x:v>10000</x:v>
      </x:c>
      <x:c r="AH338" s="45" t="b">
        <x:v>1</x:v>
      </x:c>
      <x:c r="AI338" s="45" t="b">
        <x:v>1</x:v>
      </x:c>
      <x:c r="AJ338" s="49"/>
      <x:c r="AK338" s="48" t="n">
        <x:v>0.9500621527327685</x:v>
      </x:c>
      <x:c r="AL338" s="49"/>
      <x:c r="AM338" s="49"/>
      <x:c r="AN338" s="36" t="n">
        <x:v>1</x:v>
      </x:c>
      <x:c r="AO338" s="45" t="b">
        <x:v>1</x:v>
      </x:c>
      <x:c r="AP338" s="45" t="b">
        <x:v>1</x:v>
      </x:c>
      <x:c r="AQ338" s="46" t="n">
        <x:f>IF(T338="","",T338/'Readme-Protocol'!$B$24)</x:f>
        <x:v>5.002304514</x:v>
      </x:c>
      <x:c r="AR338" s="46" t="n">
        <x:f>IF(OR(S338="",S338=0),"",T338/S338)</x:f>
        <x:v>1.0004609028</x:v>
      </x:c>
      <x:c r="AS338" s="46" t="n">
        <x:f>IF(OR(X338="",Y338=""),"",ABS(Y338-X338)*'Readme-Protocol'!$B$27)</x:f>
        <x:v>0.0062152732768550045</x:v>
      </x:c>
      <x:c r="AT338" s="49" t="b">
        <x:f>AND(M338&gt;0,N338&gt;=0,O338&gt;0)</x:f>
        <x:v>1</x:v>
      </x:c>
      <x:c r="AU338" s="49" t="b">
        <x:f>AND(AT338,N338&gt;=M338)</x:f>
        <x:v>1</x:v>
      </x:c>
      <x:c r="AV338" s="49" t="b">
        <x:f>OR(S338=0,T338&gt;=S338)</x:f>
        <x:v>1</x:v>
      </x:c>
      <x:c r="AW338" s="49" t="b">
        <x:f>IF(I338="cache-semantics",OR(V338&lt;&gt;"uniform",ABS(Y338-W338/'Readme-Protocol'!$B$27)&lt;='Readme-Protocol'!$B$28),TRUE)</x:f>
        <x:v>1</x:v>
      </x:c>
      <x:c r="AX338" s="43" t="n">
        <x:f>IF(I338="cache-semantics",INT(AA338*'Readme-Protocol'!$B$32),"")</x:f>
        <x:v>9900</x:v>
      </x:c>
      <x:c r="AY338" s="49" t="b">
        <x:f>IF(I338="cache-semantics",AX338=AB338,TRUE)</x:f>
        <x:v>1</x:v>
      </x:c>
      <x:c r="AZ338" s="49" t="b">
        <x:f>IF(I338="cache-semantics",AX338=AE338,TRUE)</x:f>
        <x:v>1</x:v>
      </x:c>
      <x:c r="BA338" s="49" t="b">
        <x:f>IF(I338="cache-semantics",AC338&gt;=AX338,IF(I338="no-store-control",AC338=0,FALSE))</x:f>
        <x:v>1</x:v>
      </x:c>
      <x:c r="BB338" s="49" t="b">
        <x:f>IF(I338="cache-semantics",AG338&gt;=AX338,IF(I338="no-store-control",AG338=0,FALSE))</x:f>
        <x:v>1</x:v>
      </x:c>
      <x:c r="BC338" s="49" t="b">
        <x:f>AND(BA338,BB338)</x:f>
        <x:v>1</x:v>
      </x:c>
      <x:c r="BD338" s="49" t="b">
        <x:f>IF(I338="no-store-control",AND(AC338=0,AG338=0),TRUE)</x:f>
        <x:v>1</x:v>
      </x:c>
      <x:c r="BE338" s="49" t="b">
        <x:f>IF(I338="no-store-control",AK338=0,TRUE)</x:f>
        <x:v>1</x:v>
      </x:c>
      <x:c r="BF338" s="49" t="b">
        <x:f>IF(I338="cache-semantics",AN338=1,TRUE)</x:f>
        <x:v>1</x:v>
      </x:c>
      <x:c r="BG338" s="49" t="b">
        <x:f>IF(I338="cache-semantics",AND(AU338,AV338,Q338,AW338,BC338,BF338),IF(I338="no-store-control",AND(AU338,AV338,Q338,BD338,BE338),FALSE))</x:f>
        <x:v>1</x:v>
      </x:c>
      <x:c r="BH338" s="49" t="b">
        <x:f>AND(R338,AT338=P338,AU338=L338,AV338=U338,AY338,AZ338,IF(I338="cache-semantics",AND(AW338=Z338,AND(BA338=AD338,BB338=AH338,BC338=AI338),BF338=AO338),IF(I338="no-store-control",AND(AND(BA338=AD338,BB338=AH338,BC338=AI338),BD338=AJ338,BE338=AL338),FALSE)),BG338=AP338)</x:f>
        <x:v>1</x:v>
      </x:c>
      <x:c r="BI338" s="49" t="b">
        <x:f>AND(J338,K338,BG338)</x:f>
        <x:v>1</x:v>
      </x:c>
    </x:row>
    <x:row r="339">
      <x:c r="A339" s="34" t="str">
        <x:v>article1-unified-v4-2-fb3f101b-20260903-000401-default-f06-p4-ehcache</x:v>
      </x:c>
      <x:c r="B339" s="34" t="str">
        <x:v>default</x:v>
      </x:c>
      <x:c r="C339" s="34" t="str">
        <x:v>ehcache</x:v>
      </x:c>
      <x:c r="D339" s="36" t="n">
        <x:v>6</x:v>
      </x:c>
      <x:c r="E339" s="36" t="n">
        <x:v>6</x:v>
      </x:c>
      <x:c r="F339" s="36" t="n">
        <x:v>4</x:v>
      </x:c>
      <x:c r="G339" s="36" t="n">
        <x:v>4</x:v>
      </x:c>
      <x:c r="H339" s="34" t="str">
        <x:v>redeploy</x:v>
      </x:c>
      <x:c r="I339" s="34" t="str">
        <x:v>cache-semantics</x:v>
      </x:c>
      <x:c r="J339" s="45" t="b">
        <x:v>1</x:v>
      </x:c>
      <x:c r="K339" s="45" t="b">
        <x:v>1</x:v>
      </x:c>
      <x:c r="L339" s="45" t="b">
        <x:v>1</x:v>
      </x:c>
      <x:c r="M339" s="43" t="n">
        <x:v>400000</x:v>
      </x:c>
      <x:c r="N339" s="43" t="n">
        <x:v>136797440</x:v>
      </x:c>
      <x:c r="O339" s="43" t="n">
        <x:v>27347382.003141236</x:v>
      </x:c>
      <x:c r="P339" s="45" t="b">
        <x:v>1</x:v>
      </x:c>
      <x:c r="Q339" s="45" t="b">
        <x:v>1</x:v>
      </x:c>
      <x:c r="R339" s="45" t="b">
        <x:v>1</x:v>
      </x:c>
      <x:c r="S339" s="43" t="n">
        <x:v>5000000000</x:v>
      </x:c>
      <x:c r="T339" s="43" t="n">
        <x:v>5002213374</x:v>
      </x:c>
      <x:c r="U339" s="45" t="b">
        <x:v>1</x:v>
      </x:c>
      <x:c r="V339" s="34" t="str">
        <x:v>uniform</x:v>
      </x:c>
      <x:c r="W339" s="42" t="n">
        <x:v>95</x:v>
      </x:c>
      <x:c r="X339" s="48" t="n">
        <x:v>0.95</x:v>
      </x:c>
      <x:c r="Y339" s="48" t="n">
        <x:v>0.9500631956270527</x:v>
      </x:c>
      <x:c r="Z339" s="45" t="b">
        <x:v>1</x:v>
      </x:c>
      <x:c r="AA339" s="43" t="n">
        <x:v>10000</x:v>
      </x:c>
      <x:c r="AB339" s="43" t="n">
        <x:v>9900</x:v>
      </x:c>
      <x:c r="AC339" s="43" t="n">
        <x:v>10000</x:v>
      </x:c>
      <x:c r="AD339" s="45" t="b">
        <x:v>1</x:v>
      </x:c>
      <x:c r="AE339" s="43" t="n">
        <x:v>9900</x:v>
      </x:c>
      <x:c r="AF339" s="43"/>
      <x:c r="AG339" s="43" t="n">
        <x:v>10000</x:v>
      </x:c>
      <x:c r="AH339" s="45" t="b">
        <x:v>1</x:v>
      </x:c>
      <x:c r="AI339" s="45" t="b">
        <x:v>1</x:v>
      </x:c>
      <x:c r="AJ339" s="49"/>
      <x:c r="AK339" s="48" t="n">
        <x:v>0.9500631956270527</x:v>
      </x:c>
      <x:c r="AL339" s="49"/>
      <x:c r="AM339" s="49"/>
      <x:c r="AN339" s="36" t="n">
        <x:v>1</x:v>
      </x:c>
      <x:c r="AO339" s="45" t="b">
        <x:v>1</x:v>
      </x:c>
      <x:c r="AP339" s="45" t="b">
        <x:v>1</x:v>
      </x:c>
      <x:c r="AQ339" s="46" t="n">
        <x:f>IF(T339="","",T339/'Readme-Protocol'!$B$24)</x:f>
        <x:v>5.002213374</x:v>
      </x:c>
      <x:c r="AR339" s="46" t="n">
        <x:f>IF(OR(S339="",S339=0),"",T339/S339)</x:f>
        <x:v>1.0004426748</x:v>
      </x:c>
      <x:c r="AS339" s="46" t="n">
        <x:f>IF(OR(X339="",Y339=""),"",ABS(Y339-X339)*'Readme-Protocol'!$B$27)</x:f>
        <x:v>0.006319562705270343</x:v>
      </x:c>
      <x:c r="AT339" s="49" t="b">
        <x:f>AND(M339&gt;0,N339&gt;=0,O339&gt;0)</x:f>
        <x:v>1</x:v>
      </x:c>
      <x:c r="AU339" s="49" t="b">
        <x:f>AND(AT339,N339&gt;=M339)</x:f>
        <x:v>1</x:v>
      </x:c>
      <x:c r="AV339" s="49" t="b">
        <x:f>OR(S339=0,T339&gt;=S339)</x:f>
        <x:v>1</x:v>
      </x:c>
      <x:c r="AW339" s="49" t="b">
        <x:f>IF(I339="cache-semantics",OR(V339&lt;&gt;"uniform",ABS(Y339-W339/'Readme-Protocol'!$B$27)&lt;='Readme-Protocol'!$B$28),TRUE)</x:f>
        <x:v>1</x:v>
      </x:c>
      <x:c r="AX339" s="43" t="n">
        <x:f>IF(I339="cache-semantics",INT(AA339*'Readme-Protocol'!$B$32),"")</x:f>
        <x:v>9900</x:v>
      </x:c>
      <x:c r="AY339" s="49" t="b">
        <x:f>IF(I339="cache-semantics",AX339=AB339,TRUE)</x:f>
        <x:v>1</x:v>
      </x:c>
      <x:c r="AZ339" s="49" t="b">
        <x:f>IF(I339="cache-semantics",AX339=AE339,TRUE)</x:f>
        <x:v>1</x:v>
      </x:c>
      <x:c r="BA339" s="49" t="b">
        <x:f>IF(I339="cache-semantics",AC339&gt;=AX339,IF(I339="no-store-control",AC339=0,FALSE))</x:f>
        <x:v>1</x:v>
      </x:c>
      <x:c r="BB339" s="49" t="b">
        <x:f>IF(I339="cache-semantics",AG339&gt;=AX339,IF(I339="no-store-control",AG339=0,FALSE))</x:f>
        <x:v>1</x:v>
      </x:c>
      <x:c r="BC339" s="49" t="b">
        <x:f>AND(BA339,BB339)</x:f>
        <x:v>1</x:v>
      </x:c>
      <x:c r="BD339" s="49" t="b">
        <x:f>IF(I339="no-store-control",AND(AC339=0,AG339=0),TRUE)</x:f>
        <x:v>1</x:v>
      </x:c>
      <x:c r="BE339" s="49" t="b">
        <x:f>IF(I339="no-store-control",AK339=0,TRUE)</x:f>
        <x:v>1</x:v>
      </x:c>
      <x:c r="BF339" s="49" t="b">
        <x:f>IF(I339="cache-semantics",AN339=1,TRUE)</x:f>
        <x:v>1</x:v>
      </x:c>
      <x:c r="BG339" s="49" t="b">
        <x:f>IF(I339="cache-semantics",AND(AU339,AV339,Q339,AW339,BC339,BF339),IF(I339="no-store-control",AND(AU339,AV339,Q339,BD339,BE339),FALSE))</x:f>
        <x:v>1</x:v>
      </x:c>
      <x:c r="BH339" s="49" t="b">
        <x:f>AND(R339,AT339=P339,AU339=L339,AV339=U339,AY339,AZ339,IF(I339="cache-semantics",AND(AW339=Z339,AND(BA339=AD339,BB339=AH339,BC339=AI339),BF339=AO339),IF(I339="no-store-control",AND(AND(BA339=AD339,BB339=AH339,BC339=AI339),BD339=AJ339,BE339=AL339),FALSE)),BG339=AP339)</x:f>
        <x:v>1</x:v>
      </x:c>
      <x:c r="BI339" s="49" t="b">
        <x:f>AND(J339,K339,BG339)</x:f>
        <x:v>1</x:v>
      </x:c>
    </x:row>
    <x:row r="340">
      <x:c r="A340" s="34" t="str">
        <x:v>article1-unified-v4-2-fb3f101b-20260903-000401-default-f06-p4-ehcache</x:v>
      </x:c>
      <x:c r="B340" s="34" t="str">
        <x:v>default</x:v>
      </x:c>
      <x:c r="C340" s="34" t="str">
        <x:v>ehcache</x:v>
      </x:c>
      <x:c r="D340" s="36" t="n">
        <x:v>6</x:v>
      </x:c>
      <x:c r="E340" s="36" t="n">
        <x:v>6</x:v>
      </x:c>
      <x:c r="F340" s="36" t="n">
        <x:v>4</x:v>
      </x:c>
      <x:c r="G340" s="36" t="n">
        <x:v>5</x:v>
      </x:c>
      <x:c r="H340" s="34" t="str">
        <x:v>initial</x:v>
      </x:c>
      <x:c r="I340" s="34" t="str">
        <x:v>cache-semantics</x:v>
      </x:c>
      <x:c r="J340" s="45" t="b">
        <x:v>1</x:v>
      </x:c>
      <x:c r="K340" s="45" t="b">
        <x:v>1</x:v>
      </x:c>
      <x:c r="L340" s="45" t="b">
        <x:v>1</x:v>
      </x:c>
      <x:c r="M340" s="43" t="n">
        <x:v>400000</x:v>
      </x:c>
      <x:c r="N340" s="43" t="n">
        <x:v>133522432</x:v>
      </x:c>
      <x:c r="O340" s="43" t="n">
        <x:v>26695000.102136705</x:v>
      </x:c>
      <x:c r="P340" s="45" t="b">
        <x:v>1</x:v>
      </x:c>
      <x:c r="Q340" s="45" t="b">
        <x:v>1</x:v>
      </x:c>
      <x:c r="R340" s="45" t="b">
        <x:v>1</x:v>
      </x:c>
      <x:c r="S340" s="43" t="n">
        <x:v>5000000000</x:v>
      </x:c>
      <x:c r="T340" s="43" t="n">
        <x:v>5001776793</x:v>
      </x:c>
      <x:c r="U340" s="45" t="b">
        <x:v>1</x:v>
      </x:c>
      <x:c r="V340" s="34" t="str">
        <x:v>uniform</x:v>
      </x:c>
      <x:c r="W340" s="42" t="n">
        <x:v>95</x:v>
      </x:c>
      <x:c r="X340" s="48" t="n">
        <x:v>0.95</x:v>
      </x:c>
      <x:c r="Y340" s="48" t="n">
        <x:v>0.9502176682941186</x:v>
      </x:c>
      <x:c r="Z340" s="45" t="b">
        <x:v>1</x:v>
      </x:c>
      <x:c r="AA340" s="43" t="n">
        <x:v>10000</x:v>
      </x:c>
      <x:c r="AB340" s="43" t="n">
        <x:v>9900</x:v>
      </x:c>
      <x:c r="AC340" s="43" t="n">
        <x:v>10000</x:v>
      </x:c>
      <x:c r="AD340" s="45" t="b">
        <x:v>1</x:v>
      </x:c>
      <x:c r="AE340" s="43" t="n">
        <x:v>9900</x:v>
      </x:c>
      <x:c r="AF340" s="43"/>
      <x:c r="AG340" s="43" t="n">
        <x:v>10000</x:v>
      </x:c>
      <x:c r="AH340" s="45" t="b">
        <x:v>1</x:v>
      </x:c>
      <x:c r="AI340" s="45" t="b">
        <x:v>1</x:v>
      </x:c>
      <x:c r="AJ340" s="49"/>
      <x:c r="AK340" s="48" t="n">
        <x:v>0.9502176682941186</x:v>
      </x:c>
      <x:c r="AL340" s="49"/>
      <x:c r="AM340" s="49"/>
      <x:c r="AN340" s="36" t="n">
        <x:v>1</x:v>
      </x:c>
      <x:c r="AO340" s="45" t="b">
        <x:v>1</x:v>
      </x:c>
      <x:c r="AP340" s="45" t="b">
        <x:v>1</x:v>
      </x:c>
      <x:c r="AQ340" s="46" t="n">
        <x:f>IF(T340="","",T340/'Readme-Protocol'!$B$24)</x:f>
        <x:v>5.001776793</x:v>
      </x:c>
      <x:c r="AR340" s="46" t="n">
        <x:f>IF(OR(S340="",S340=0),"",T340/S340)</x:f>
        <x:v>1.0003553586</x:v>
      </x:c>
      <x:c r="AS340" s="46" t="n">
        <x:f>IF(OR(X340="",Y340=""),"",ABS(Y340-X340)*'Readme-Protocol'!$B$27)</x:f>
        <x:v>0.021766829411862254</x:v>
      </x:c>
      <x:c r="AT340" s="49" t="b">
        <x:f>AND(M340&gt;0,N340&gt;=0,O340&gt;0)</x:f>
        <x:v>1</x:v>
      </x:c>
      <x:c r="AU340" s="49" t="b">
        <x:f>AND(AT340,N340&gt;=M340)</x:f>
        <x:v>1</x:v>
      </x:c>
      <x:c r="AV340" s="49" t="b">
        <x:f>OR(S340=0,T340&gt;=S340)</x:f>
        <x:v>1</x:v>
      </x:c>
      <x:c r="AW340" s="49" t="b">
        <x:f>IF(I340="cache-semantics",OR(V340&lt;&gt;"uniform",ABS(Y340-W340/'Readme-Protocol'!$B$27)&lt;='Readme-Protocol'!$B$28),TRUE)</x:f>
        <x:v>1</x:v>
      </x:c>
      <x:c r="AX340" s="43" t="n">
        <x:f>IF(I340="cache-semantics",INT(AA340*'Readme-Protocol'!$B$32),"")</x:f>
        <x:v>9900</x:v>
      </x:c>
      <x:c r="AY340" s="49" t="b">
        <x:f>IF(I340="cache-semantics",AX340=AB340,TRUE)</x:f>
        <x:v>1</x:v>
      </x:c>
      <x:c r="AZ340" s="49" t="b">
        <x:f>IF(I340="cache-semantics",AX340=AE340,TRUE)</x:f>
        <x:v>1</x:v>
      </x:c>
      <x:c r="BA340" s="49" t="b">
        <x:f>IF(I340="cache-semantics",AC340&gt;=AX340,IF(I340="no-store-control",AC340=0,FALSE))</x:f>
        <x:v>1</x:v>
      </x:c>
      <x:c r="BB340" s="49" t="b">
        <x:f>IF(I340="cache-semantics",AG340&gt;=AX340,IF(I340="no-store-control",AG340=0,FALSE))</x:f>
        <x:v>1</x:v>
      </x:c>
      <x:c r="BC340" s="49" t="b">
        <x:f>AND(BA340,BB340)</x:f>
        <x:v>1</x:v>
      </x:c>
      <x:c r="BD340" s="49" t="b">
        <x:f>IF(I340="no-store-control",AND(AC340=0,AG340=0),TRUE)</x:f>
        <x:v>1</x:v>
      </x:c>
      <x:c r="BE340" s="49" t="b">
        <x:f>IF(I340="no-store-control",AK340=0,TRUE)</x:f>
        <x:v>1</x:v>
      </x:c>
      <x:c r="BF340" s="49" t="b">
        <x:f>IF(I340="cache-semantics",AN340=1,TRUE)</x:f>
        <x:v>1</x:v>
      </x:c>
      <x:c r="BG340" s="49" t="b">
        <x:f>IF(I340="cache-semantics",AND(AU340,AV340,Q340,AW340,BC340,BF340),IF(I340="no-store-control",AND(AU340,AV340,Q340,BD340,BE340),FALSE))</x:f>
        <x:v>1</x:v>
      </x:c>
      <x:c r="BH340" s="49" t="b">
        <x:f>AND(R340,AT340=P340,AU340=L340,AV340=U340,AY340,AZ340,IF(I340="cache-semantics",AND(AW340=Z340,AND(BA340=AD340,BB340=AH340,BC340=AI340),BF340=AO340),IF(I340="no-store-control",AND(AND(BA340=AD340,BB340=AH340,BC340=AI340),BD340=AJ340,BE340=AL340),FALSE)),BG340=AP340)</x:f>
        <x:v>1</x:v>
      </x:c>
      <x:c r="BI340" s="49" t="b">
        <x:f>AND(J340,K340,BG340)</x:f>
        <x:v>1</x:v>
      </x:c>
    </x:row>
    <x:row r="341">
      <x:c r="A341" s="34" t="str">
        <x:v>article1-unified-v4-2-fb3f101b-20260903-000401-default-f06-p4-ehcache</x:v>
      </x:c>
      <x:c r="B341" s="34" t="str">
        <x:v>default</x:v>
      </x:c>
      <x:c r="C341" s="34" t="str">
        <x:v>ehcache</x:v>
      </x:c>
      <x:c r="D341" s="36" t="n">
        <x:v>6</x:v>
      </x:c>
      <x:c r="E341" s="36" t="n">
        <x:v>6</x:v>
      </x:c>
      <x:c r="F341" s="36" t="n">
        <x:v>4</x:v>
      </x:c>
      <x:c r="G341" s="36" t="n">
        <x:v>5</x:v>
      </x:c>
      <x:c r="H341" s="34" t="str">
        <x:v>redeploy</x:v>
      </x:c>
      <x:c r="I341" s="34" t="str">
        <x:v>cache-semantics</x:v>
      </x:c>
      <x:c r="J341" s="45" t="b">
        <x:v>1</x:v>
      </x:c>
      <x:c r="K341" s="45" t="b">
        <x:v>1</x:v>
      </x:c>
      <x:c r="L341" s="45" t="b">
        <x:v>1</x:v>
      </x:c>
      <x:c r="M341" s="43" t="n">
        <x:v>400000</x:v>
      </x:c>
      <x:c r="N341" s="43" t="n">
        <x:v>127926528</x:v>
      </x:c>
      <x:c r="O341" s="43" t="n">
        <x:v>25574634.338305853</x:v>
      </x:c>
      <x:c r="P341" s="45" t="b">
        <x:v>1</x:v>
      </x:c>
      <x:c r="Q341" s="45" t="b">
        <x:v>1</x:v>
      </x:c>
      <x:c r="R341" s="45" t="b">
        <x:v>1</x:v>
      </x:c>
      <x:c r="S341" s="43" t="n">
        <x:v>5000000000</x:v>
      </x:c>
      <x:c r="T341" s="43" t="n">
        <x:v>5002086298</x:v>
      </x:c>
      <x:c r="U341" s="45" t="b">
        <x:v>1</x:v>
      </x:c>
      <x:c r="V341" s="34" t="str">
        <x:v>uniform</x:v>
      </x:c>
      <x:c r="W341" s="42" t="n">
        <x:v>95</x:v>
      </x:c>
      <x:c r="X341" s="48" t="n">
        <x:v>0.95</x:v>
      </x:c>
      <x:c r="Y341" s="48" t="n">
        <x:v>0.9502145012487168</x:v>
      </x:c>
      <x:c r="Z341" s="45" t="b">
        <x:v>1</x:v>
      </x:c>
      <x:c r="AA341" s="43" t="n">
        <x:v>10000</x:v>
      </x:c>
      <x:c r="AB341" s="43" t="n">
        <x:v>9900</x:v>
      </x:c>
      <x:c r="AC341" s="43" t="n">
        <x:v>10000</x:v>
      </x:c>
      <x:c r="AD341" s="45" t="b">
        <x:v>1</x:v>
      </x:c>
      <x:c r="AE341" s="43" t="n">
        <x:v>9900</x:v>
      </x:c>
      <x:c r="AF341" s="43"/>
      <x:c r="AG341" s="43" t="n">
        <x:v>10000</x:v>
      </x:c>
      <x:c r="AH341" s="45" t="b">
        <x:v>1</x:v>
      </x:c>
      <x:c r="AI341" s="45" t="b">
        <x:v>1</x:v>
      </x:c>
      <x:c r="AJ341" s="49"/>
      <x:c r="AK341" s="48" t="n">
        <x:v>0.9502145012487168</x:v>
      </x:c>
      <x:c r="AL341" s="49"/>
      <x:c r="AM341" s="49"/>
      <x:c r="AN341" s="36" t="n">
        <x:v>1</x:v>
      </x:c>
      <x:c r="AO341" s="45" t="b">
        <x:v>1</x:v>
      </x:c>
      <x:c r="AP341" s="45" t="b">
        <x:v>1</x:v>
      </x:c>
      <x:c r="AQ341" s="46" t="n">
        <x:f>IF(T341="","",T341/'Readme-Protocol'!$B$24)</x:f>
        <x:v>5.002086298</x:v>
      </x:c>
      <x:c r="AR341" s="46" t="n">
        <x:f>IF(OR(S341="",S341=0),"",T341/S341)</x:f>
        <x:v>1.0004172596</x:v>
      </x:c>
      <x:c r="AS341" s="46" t="n">
        <x:f>IF(OR(X341="",Y341=""),"",ABS(Y341-X341)*'Readme-Protocol'!$B$27)</x:f>
        <x:v>0.0214501248716803</x:v>
      </x:c>
      <x:c r="AT341" s="49" t="b">
        <x:f>AND(M341&gt;0,N341&gt;=0,O341&gt;0)</x:f>
        <x:v>1</x:v>
      </x:c>
      <x:c r="AU341" s="49" t="b">
        <x:f>AND(AT341,N341&gt;=M341)</x:f>
        <x:v>1</x:v>
      </x:c>
      <x:c r="AV341" s="49" t="b">
        <x:f>OR(S341=0,T341&gt;=S341)</x:f>
        <x:v>1</x:v>
      </x:c>
      <x:c r="AW341" s="49" t="b">
        <x:f>IF(I341="cache-semantics",OR(V341&lt;&gt;"uniform",ABS(Y341-W341/'Readme-Protocol'!$B$27)&lt;='Readme-Protocol'!$B$28),TRUE)</x:f>
        <x:v>1</x:v>
      </x:c>
      <x:c r="AX341" s="43" t="n">
        <x:f>IF(I341="cache-semantics",INT(AA341*'Readme-Protocol'!$B$32),"")</x:f>
        <x:v>9900</x:v>
      </x:c>
      <x:c r="AY341" s="49" t="b">
        <x:f>IF(I341="cache-semantics",AX341=AB341,TRUE)</x:f>
        <x:v>1</x:v>
      </x:c>
      <x:c r="AZ341" s="49" t="b">
        <x:f>IF(I341="cache-semantics",AX341=AE341,TRUE)</x:f>
        <x:v>1</x:v>
      </x:c>
      <x:c r="BA341" s="49" t="b">
        <x:f>IF(I341="cache-semantics",AC341&gt;=AX341,IF(I341="no-store-control",AC341=0,FALSE))</x:f>
        <x:v>1</x:v>
      </x:c>
      <x:c r="BB341" s="49" t="b">
        <x:f>IF(I341="cache-semantics",AG341&gt;=AX341,IF(I341="no-store-control",AG341=0,FALSE))</x:f>
        <x:v>1</x:v>
      </x:c>
      <x:c r="BC341" s="49" t="b">
        <x:f>AND(BA341,BB341)</x:f>
        <x:v>1</x:v>
      </x:c>
      <x:c r="BD341" s="49" t="b">
        <x:f>IF(I341="no-store-control",AND(AC341=0,AG341=0),TRUE)</x:f>
        <x:v>1</x:v>
      </x:c>
      <x:c r="BE341" s="49" t="b">
        <x:f>IF(I341="no-store-control",AK341=0,TRUE)</x:f>
        <x:v>1</x:v>
      </x:c>
      <x:c r="BF341" s="49" t="b">
        <x:f>IF(I341="cache-semantics",AN341=1,TRUE)</x:f>
        <x:v>1</x:v>
      </x:c>
      <x:c r="BG341" s="49" t="b">
        <x:f>IF(I341="cache-semantics",AND(AU341,AV341,Q341,AW341,BC341,BF341),IF(I341="no-store-control",AND(AU341,AV341,Q341,BD341,BE341),FALSE))</x:f>
        <x:v>1</x:v>
      </x:c>
      <x:c r="BH341" s="49" t="b">
        <x:f>AND(R341,AT341=P341,AU341=L341,AV341=U341,AY341,AZ341,IF(I341="cache-semantics",AND(AW341=Z341,AND(BA341=AD341,BB341=AH341,BC341=AI341),BF341=AO341),IF(I341="no-store-control",AND(AND(BA341=AD341,BB341=AH341,BC341=AI341),BD341=AJ341,BE341=AL341),FALSE)),BG341=AP341)</x:f>
        <x:v>1</x:v>
      </x:c>
      <x:c r="BI341" s="49" t="b">
        <x:f>AND(J341,K341,BG341)</x:f>
        <x:v>1</x:v>
      </x:c>
    </x:row>
    <x:row r="342">
      <x:c r="A342" s="34" t="str">
        <x:v>article1-unified-v4-2-fb3f101b-20260903-000401-default-f06-p5-jcs4</x:v>
      </x:c>
      <x:c r="B342" s="34" t="str">
        <x:v>default</x:v>
      </x:c>
      <x:c r="C342" s="34" t="str">
        <x:v>jcs4</x:v>
      </x:c>
      <x:c r="D342" s="36" t="n">
        <x:v>6</x:v>
      </x:c>
      <x:c r="E342" s="36" t="n">
        <x:v>6</x:v>
      </x:c>
      <x:c r="F342" s="36" t="n">
        <x:v>5</x:v>
      </x:c>
      <x:c r="G342" s="36" t="n">
        <x:v>1</x:v>
      </x:c>
      <x:c r="H342" s="34" t="str">
        <x:v>initial</x:v>
      </x:c>
      <x:c r="I342" s="34" t="str">
        <x:v>cache-semantics</x:v>
      </x:c>
      <x:c r="J342" s="45" t="b">
        <x:v>1</x:v>
      </x:c>
      <x:c r="K342" s="45" t="b">
        <x:v>1</x:v>
      </x:c>
      <x:c r="L342" s="45" t="b">
        <x:v>1</x:v>
      </x:c>
      <x:c r="M342" s="43" t="n">
        <x:v>400000</x:v>
      </x:c>
      <x:c r="N342" s="43" t="n">
        <x:v>5835008</x:v>
      </x:c>
      <x:c r="O342" s="43" t="n">
        <x:v>1166833.5036317997</x:v>
      </x:c>
      <x:c r="P342" s="45" t="b">
        <x:v>1</x:v>
      </x:c>
      <x:c r="Q342" s="45" t="b">
        <x:v>1</x:v>
      </x:c>
      <x:c r="R342" s="45" t="b">
        <x:v>1</x:v>
      </x:c>
      <x:c r="S342" s="43" t="n">
        <x:v>5000000000</x:v>
      </x:c>
      <x:c r="T342" s="43" t="n">
        <x:v>5000720310</x:v>
      </x:c>
      <x:c r="U342" s="45" t="b">
        <x:v>1</x:v>
      </x:c>
      <x:c r="V342" s="34" t="str">
        <x:v>uniform</x:v>
      </x:c>
      <x:c r="W342" s="42" t="n">
        <x:v>95</x:v>
      </x:c>
      <x:c r="X342" s="48" t="n">
        <x:v>0.95</x:v>
      </x:c>
      <x:c r="Y342" s="48" t="n">
        <x:v>0.9502305738055543</x:v>
      </x:c>
      <x:c r="Z342" s="45" t="b">
        <x:v>1</x:v>
      </x:c>
      <x:c r="AA342" s="43" t="n">
        <x:v>10000</x:v>
      </x:c>
      <x:c r="AB342" s="43" t="n">
        <x:v>9900</x:v>
      </x:c>
      <x:c r="AC342" s="43" t="n">
        <x:v>10000</x:v>
      </x:c>
      <x:c r="AD342" s="45" t="b">
        <x:v>1</x:v>
      </x:c>
      <x:c r="AE342" s="43" t="n">
        <x:v>9900</x:v>
      </x:c>
      <x:c r="AF342" s="43"/>
      <x:c r="AG342" s="43" t="n">
        <x:v>10000</x:v>
      </x:c>
      <x:c r="AH342" s="45" t="b">
        <x:v>1</x:v>
      </x:c>
      <x:c r="AI342" s="45" t="b">
        <x:v>1</x:v>
      </x:c>
      <x:c r="AJ342" s="49"/>
      <x:c r="AK342" s="48" t="n">
        <x:v>0.9502305738055543</x:v>
      </x:c>
      <x:c r="AL342" s="49"/>
      <x:c r="AM342" s="49"/>
      <x:c r="AN342" s="36" t="n">
        <x:v>1</x:v>
      </x:c>
      <x:c r="AO342" s="45" t="b">
        <x:v>1</x:v>
      </x:c>
      <x:c r="AP342" s="45" t="b">
        <x:v>1</x:v>
      </x:c>
      <x:c r="AQ342" s="46" t="n">
        <x:f>IF(T342="","",T342/'Readme-Protocol'!$B$24)</x:f>
        <x:v>5.00072031</x:v>
      </x:c>
      <x:c r="AR342" s="46" t="n">
        <x:f>IF(OR(S342="",S342=0),"",T342/S342)</x:f>
        <x:v>1.000144062</x:v>
      </x:c>
      <x:c r="AS342" s="46" t="n">
        <x:f>IF(OR(X342="",Y342=""),"",ABS(Y342-X342)*'Readme-Protocol'!$B$27)</x:f>
        <x:v>0.023057380555435714</x:v>
      </x:c>
      <x:c r="AT342" s="49" t="b">
        <x:f>AND(M342&gt;0,N342&gt;=0,O342&gt;0)</x:f>
        <x:v>1</x:v>
      </x:c>
      <x:c r="AU342" s="49" t="b">
        <x:f>AND(AT342,N342&gt;=M342)</x:f>
        <x:v>1</x:v>
      </x:c>
      <x:c r="AV342" s="49" t="b">
        <x:f>OR(S342=0,T342&gt;=S342)</x:f>
        <x:v>1</x:v>
      </x:c>
      <x:c r="AW342" s="49" t="b">
        <x:f>IF(I342="cache-semantics",OR(V342&lt;&gt;"uniform",ABS(Y342-W342/'Readme-Protocol'!$B$27)&lt;='Readme-Protocol'!$B$28),TRUE)</x:f>
        <x:v>1</x:v>
      </x:c>
      <x:c r="AX342" s="43" t="n">
        <x:f>IF(I342="cache-semantics",INT(AA342*'Readme-Protocol'!$B$32),"")</x:f>
        <x:v>9900</x:v>
      </x:c>
      <x:c r="AY342" s="49" t="b">
        <x:f>IF(I342="cache-semantics",AX342=AB342,TRUE)</x:f>
        <x:v>1</x:v>
      </x:c>
      <x:c r="AZ342" s="49" t="b">
        <x:f>IF(I342="cache-semantics",AX342=AE342,TRUE)</x:f>
        <x:v>1</x:v>
      </x:c>
      <x:c r="BA342" s="49" t="b">
        <x:f>IF(I342="cache-semantics",AC342&gt;=AX342,IF(I342="no-store-control",AC342=0,FALSE))</x:f>
        <x:v>1</x:v>
      </x:c>
      <x:c r="BB342" s="49" t="b">
        <x:f>IF(I342="cache-semantics",AG342&gt;=AX342,IF(I342="no-store-control",AG342=0,FALSE))</x:f>
        <x:v>1</x:v>
      </x:c>
      <x:c r="BC342" s="49" t="b">
        <x:f>AND(BA342,BB342)</x:f>
        <x:v>1</x:v>
      </x:c>
      <x:c r="BD342" s="49" t="b">
        <x:f>IF(I342="no-store-control",AND(AC342=0,AG342=0),TRUE)</x:f>
        <x:v>1</x:v>
      </x:c>
      <x:c r="BE342" s="49" t="b">
        <x:f>IF(I342="no-store-control",AK342=0,TRUE)</x:f>
        <x:v>1</x:v>
      </x:c>
      <x:c r="BF342" s="49" t="b">
        <x:f>IF(I342="cache-semantics",AN342=1,TRUE)</x:f>
        <x:v>1</x:v>
      </x:c>
      <x:c r="BG342" s="49" t="b">
        <x:f>IF(I342="cache-semantics",AND(AU342,AV342,Q342,AW342,BC342,BF342),IF(I342="no-store-control",AND(AU342,AV342,Q342,BD342,BE342),FALSE))</x:f>
        <x:v>1</x:v>
      </x:c>
      <x:c r="BH342" s="49" t="b">
        <x:f>AND(R342,AT342=P342,AU342=L342,AV342=U342,AY342,AZ342,IF(I342="cache-semantics",AND(AW342=Z342,AND(BA342=AD342,BB342=AH342,BC342=AI342),BF342=AO342),IF(I342="no-store-control",AND(AND(BA342=AD342,BB342=AH342,BC342=AI342),BD342=AJ342,BE342=AL342),FALSE)),BG342=AP342)</x:f>
        <x:v>1</x:v>
      </x:c>
      <x:c r="BI342" s="49" t="b">
        <x:f>AND(J342,K342,BG342)</x:f>
        <x:v>1</x:v>
      </x:c>
    </x:row>
    <x:row r="343">
      <x:c r="A343" s="34" t="str">
        <x:v>article1-unified-v4-2-fb3f101b-20260903-000401-default-f06-p5-jcs4</x:v>
      </x:c>
      <x:c r="B343" s="34" t="str">
        <x:v>default</x:v>
      </x:c>
      <x:c r="C343" s="34" t="str">
        <x:v>jcs4</x:v>
      </x:c>
      <x:c r="D343" s="36" t="n">
        <x:v>6</x:v>
      </x:c>
      <x:c r="E343" s="36" t="n">
        <x:v>6</x:v>
      </x:c>
      <x:c r="F343" s="36" t="n">
        <x:v>5</x:v>
      </x:c>
      <x:c r="G343" s="36" t="n">
        <x:v>1</x:v>
      </x:c>
      <x:c r="H343" s="34" t="str">
        <x:v>redeploy</x:v>
      </x:c>
      <x:c r="I343" s="34" t="str">
        <x:v>cache-semantics</x:v>
      </x:c>
      <x:c r="J343" s="45" t="b">
        <x:v>1</x:v>
      </x:c>
      <x:c r="K343" s="45" t="b">
        <x:v>1</x:v>
      </x:c>
      <x:c r="L343" s="45" t="b">
        <x:v>1</x:v>
      </x:c>
      <x:c r="M343" s="43" t="n">
        <x:v>400000</x:v>
      </x:c>
      <x:c r="N343" s="43" t="n">
        <x:v>6105088</x:v>
      </x:c>
      <x:c r="O343" s="43" t="n">
        <x:v>1220578.9000199863</x:v>
      </x:c>
      <x:c r="P343" s="45" t="b">
        <x:v>1</x:v>
      </x:c>
      <x:c r="Q343" s="45" t="b">
        <x:v>1</x:v>
      </x:c>
      <x:c r="R343" s="45" t="b">
        <x:v>1</x:v>
      </x:c>
      <x:c r="S343" s="43" t="n">
        <x:v>5000000000</x:v>
      </x:c>
      <x:c r="T343" s="43" t="n">
        <x:v>5001797098</x:v>
      </x:c>
      <x:c r="U343" s="45" t="b">
        <x:v>1</x:v>
      </x:c>
      <x:c r="V343" s="34" t="str">
        <x:v>uniform</x:v>
      </x:c>
      <x:c r="W343" s="42" t="n">
        <x:v>95</x:v>
      </x:c>
      <x:c r="X343" s="48" t="n">
        <x:v>0.95</x:v>
      </x:c>
      <x:c r="Y343" s="48" t="n">
        <x:v>0.9502324946012244</x:v>
      </x:c>
      <x:c r="Z343" s="45" t="b">
        <x:v>1</x:v>
      </x:c>
      <x:c r="AA343" s="43" t="n">
        <x:v>10000</x:v>
      </x:c>
      <x:c r="AB343" s="43" t="n">
        <x:v>9900</x:v>
      </x:c>
      <x:c r="AC343" s="43" t="n">
        <x:v>10000</x:v>
      </x:c>
      <x:c r="AD343" s="45" t="b">
        <x:v>1</x:v>
      </x:c>
      <x:c r="AE343" s="43" t="n">
        <x:v>9900</x:v>
      </x:c>
      <x:c r="AF343" s="43"/>
      <x:c r="AG343" s="43" t="n">
        <x:v>10000</x:v>
      </x:c>
      <x:c r="AH343" s="45" t="b">
        <x:v>1</x:v>
      </x:c>
      <x:c r="AI343" s="45" t="b">
        <x:v>1</x:v>
      </x:c>
      <x:c r="AJ343" s="49"/>
      <x:c r="AK343" s="48" t="n">
        <x:v>0.9502324946012244</x:v>
      </x:c>
      <x:c r="AL343" s="49"/>
      <x:c r="AM343" s="49"/>
      <x:c r="AN343" s="36" t="n">
        <x:v>1</x:v>
      </x:c>
      <x:c r="AO343" s="45" t="b">
        <x:v>1</x:v>
      </x:c>
      <x:c r="AP343" s="45" t="b">
        <x:v>1</x:v>
      </x:c>
      <x:c r="AQ343" s="46" t="n">
        <x:f>IF(T343="","",T343/'Readme-Protocol'!$B$24)</x:f>
        <x:v>5.001797098</x:v>
      </x:c>
      <x:c r="AR343" s="46" t="n">
        <x:f>IF(OR(S343="",S343=0),"",T343/S343)</x:f>
        <x:v>1.0003594196</x:v>
      </x:c>
      <x:c r="AS343" s="46" t="n">
        <x:f>IF(OR(X343="",Y343=""),"",ABS(Y343-X343)*'Readme-Protocol'!$B$27)</x:f>
        <x:v>0.02324946012244311</x:v>
      </x:c>
      <x:c r="AT343" s="49" t="b">
        <x:f>AND(M343&gt;0,N343&gt;=0,O343&gt;0)</x:f>
        <x:v>1</x:v>
      </x:c>
      <x:c r="AU343" s="49" t="b">
        <x:f>AND(AT343,N343&gt;=M343)</x:f>
        <x:v>1</x:v>
      </x:c>
      <x:c r="AV343" s="49" t="b">
        <x:f>OR(S343=0,T343&gt;=S343)</x:f>
        <x:v>1</x:v>
      </x:c>
      <x:c r="AW343" s="49" t="b">
        <x:f>IF(I343="cache-semantics",OR(V343&lt;&gt;"uniform",ABS(Y343-W343/'Readme-Protocol'!$B$27)&lt;='Readme-Protocol'!$B$28),TRUE)</x:f>
        <x:v>1</x:v>
      </x:c>
      <x:c r="AX343" s="43" t="n">
        <x:f>IF(I343="cache-semantics",INT(AA343*'Readme-Protocol'!$B$32),"")</x:f>
        <x:v>9900</x:v>
      </x:c>
      <x:c r="AY343" s="49" t="b">
        <x:f>IF(I343="cache-semantics",AX343=AB343,TRUE)</x:f>
        <x:v>1</x:v>
      </x:c>
      <x:c r="AZ343" s="49" t="b">
        <x:f>IF(I343="cache-semantics",AX343=AE343,TRUE)</x:f>
        <x:v>1</x:v>
      </x:c>
      <x:c r="BA343" s="49" t="b">
        <x:f>IF(I343="cache-semantics",AC343&gt;=AX343,IF(I343="no-store-control",AC343=0,FALSE))</x:f>
        <x:v>1</x:v>
      </x:c>
      <x:c r="BB343" s="49" t="b">
        <x:f>IF(I343="cache-semantics",AG343&gt;=AX343,IF(I343="no-store-control",AG343=0,FALSE))</x:f>
        <x:v>1</x:v>
      </x:c>
      <x:c r="BC343" s="49" t="b">
        <x:f>AND(BA343,BB343)</x:f>
        <x:v>1</x:v>
      </x:c>
      <x:c r="BD343" s="49" t="b">
        <x:f>IF(I343="no-store-control",AND(AC343=0,AG343=0),TRUE)</x:f>
        <x:v>1</x:v>
      </x:c>
      <x:c r="BE343" s="49" t="b">
        <x:f>IF(I343="no-store-control",AK343=0,TRUE)</x:f>
        <x:v>1</x:v>
      </x:c>
      <x:c r="BF343" s="49" t="b">
        <x:f>IF(I343="cache-semantics",AN343=1,TRUE)</x:f>
        <x:v>1</x:v>
      </x:c>
      <x:c r="BG343" s="49" t="b">
        <x:f>IF(I343="cache-semantics",AND(AU343,AV343,Q343,AW343,BC343,BF343),IF(I343="no-store-control",AND(AU343,AV343,Q343,BD343,BE343),FALSE))</x:f>
        <x:v>1</x:v>
      </x:c>
      <x:c r="BH343" s="49" t="b">
        <x:f>AND(R343,AT343=P343,AU343=L343,AV343=U343,AY343,AZ343,IF(I343="cache-semantics",AND(AW343=Z343,AND(BA343=AD343,BB343=AH343,BC343=AI343),BF343=AO343),IF(I343="no-store-control",AND(AND(BA343=AD343,BB343=AH343,BC343=AI343),BD343=AJ343,BE343=AL343),FALSE)),BG343=AP343)</x:f>
        <x:v>1</x:v>
      </x:c>
      <x:c r="BI343" s="49" t="b">
        <x:f>AND(J343,K343,BG343)</x:f>
        <x:v>1</x:v>
      </x:c>
    </x:row>
    <x:row r="344">
      <x:c r="A344" s="34" t="str">
        <x:v>article1-unified-v4-2-fb3f101b-20260903-000401-default-f06-p5-jcs4</x:v>
      </x:c>
      <x:c r="B344" s="34" t="str">
        <x:v>default</x:v>
      </x:c>
      <x:c r="C344" s="34" t="str">
        <x:v>jcs4</x:v>
      </x:c>
      <x:c r="D344" s="36" t="n">
        <x:v>6</x:v>
      </x:c>
      <x:c r="E344" s="36" t="n">
        <x:v>6</x:v>
      </x:c>
      <x:c r="F344" s="36" t="n">
        <x:v>5</x:v>
      </x:c>
      <x:c r="G344" s="36" t="n">
        <x:v>2</x:v>
      </x:c>
      <x:c r="H344" s="34" t="str">
        <x:v>initial</x:v>
      </x:c>
      <x:c r="I344" s="34" t="str">
        <x:v>cache-semantics</x:v>
      </x:c>
      <x:c r="J344" s="45" t="b">
        <x:v>1</x:v>
      </x:c>
      <x:c r="K344" s="45" t="b">
        <x:v>1</x:v>
      </x:c>
      <x:c r="L344" s="45" t="b">
        <x:v>1</x:v>
      </x:c>
      <x:c r="M344" s="43" t="n">
        <x:v>400000</x:v>
      </x:c>
      <x:c r="N344" s="43" t="n">
        <x:v>5755648</x:v>
      </x:c>
      <x:c r="O344" s="43" t="n">
        <x:v>1150914.1863841114</x:v>
      </x:c>
      <x:c r="P344" s="45" t="b">
        <x:v>1</x:v>
      </x:c>
      <x:c r="Q344" s="45" t="b">
        <x:v>1</x:v>
      </x:c>
      <x:c r="R344" s="45" t="b">
        <x:v>1</x:v>
      </x:c>
      <x:c r="S344" s="43" t="n">
        <x:v>5000000000</x:v>
      </x:c>
      <x:c r="T344" s="43" t="n">
        <x:v>5000935837</x:v>
      </x:c>
      <x:c r="U344" s="45" t="b">
        <x:v>1</x:v>
      </x:c>
      <x:c r="V344" s="34" t="str">
        <x:v>uniform</x:v>
      </x:c>
      <x:c r="W344" s="42" t="n">
        <x:v>95</x:v>
      </x:c>
      <x:c r="X344" s="48" t="n">
        <x:v>0.95</x:v>
      </x:c>
      <x:c r="Y344" s="48" t="n">
        <x:v>0.9497653435373393</x:v>
      </x:c>
      <x:c r="Z344" s="45" t="b">
        <x:v>1</x:v>
      </x:c>
      <x:c r="AA344" s="43" t="n">
        <x:v>10000</x:v>
      </x:c>
      <x:c r="AB344" s="43" t="n">
        <x:v>9900</x:v>
      </x:c>
      <x:c r="AC344" s="43" t="n">
        <x:v>10000</x:v>
      </x:c>
      <x:c r="AD344" s="45" t="b">
        <x:v>1</x:v>
      </x:c>
      <x:c r="AE344" s="43" t="n">
        <x:v>9900</x:v>
      </x:c>
      <x:c r="AF344" s="43"/>
      <x:c r="AG344" s="43" t="n">
        <x:v>10000</x:v>
      </x:c>
      <x:c r="AH344" s="45" t="b">
        <x:v>1</x:v>
      </x:c>
      <x:c r="AI344" s="45" t="b">
        <x:v>1</x:v>
      </x:c>
      <x:c r="AJ344" s="49"/>
      <x:c r="AK344" s="48" t="n">
        <x:v>0.9497653435373393</x:v>
      </x:c>
      <x:c r="AL344" s="49"/>
      <x:c r="AM344" s="49"/>
      <x:c r="AN344" s="36" t="n">
        <x:v>1</x:v>
      </x:c>
      <x:c r="AO344" s="45" t="b">
        <x:v>1</x:v>
      </x:c>
      <x:c r="AP344" s="45" t="b">
        <x:v>1</x:v>
      </x:c>
      <x:c r="AQ344" s="46" t="n">
        <x:f>IF(T344="","",T344/'Readme-Protocol'!$B$24)</x:f>
        <x:v>5.000935837</x:v>
      </x:c>
      <x:c r="AR344" s="46" t="n">
        <x:f>IF(OR(S344="",S344=0),"",T344/S344)</x:f>
        <x:v>1.0001871674</x:v>
      </x:c>
      <x:c r="AS344" s="46" t="n">
        <x:f>IF(OR(X344="",Y344=""),"",ABS(Y344-X344)*'Readme-Protocol'!$B$27)</x:f>
        <x:v>0.023465646266063178</x:v>
      </x:c>
      <x:c r="AT344" s="49" t="b">
        <x:f>AND(M344&gt;0,N344&gt;=0,O344&gt;0)</x:f>
        <x:v>1</x:v>
      </x:c>
      <x:c r="AU344" s="49" t="b">
        <x:f>AND(AT344,N344&gt;=M344)</x:f>
        <x:v>1</x:v>
      </x:c>
      <x:c r="AV344" s="49" t="b">
        <x:f>OR(S344=0,T344&gt;=S344)</x:f>
        <x:v>1</x:v>
      </x:c>
      <x:c r="AW344" s="49" t="b">
        <x:f>IF(I344="cache-semantics",OR(V344&lt;&gt;"uniform",ABS(Y344-W344/'Readme-Protocol'!$B$27)&lt;='Readme-Protocol'!$B$28),TRUE)</x:f>
        <x:v>1</x:v>
      </x:c>
      <x:c r="AX344" s="43" t="n">
        <x:f>IF(I344="cache-semantics",INT(AA344*'Readme-Protocol'!$B$32),"")</x:f>
        <x:v>9900</x:v>
      </x:c>
      <x:c r="AY344" s="49" t="b">
        <x:f>IF(I344="cache-semantics",AX344=AB344,TRUE)</x:f>
        <x:v>1</x:v>
      </x:c>
      <x:c r="AZ344" s="49" t="b">
        <x:f>IF(I344="cache-semantics",AX344=AE344,TRUE)</x:f>
        <x:v>1</x:v>
      </x:c>
      <x:c r="BA344" s="49" t="b">
        <x:f>IF(I344="cache-semantics",AC344&gt;=AX344,IF(I344="no-store-control",AC344=0,FALSE))</x:f>
        <x:v>1</x:v>
      </x:c>
      <x:c r="BB344" s="49" t="b">
        <x:f>IF(I344="cache-semantics",AG344&gt;=AX344,IF(I344="no-store-control",AG344=0,FALSE))</x:f>
        <x:v>1</x:v>
      </x:c>
      <x:c r="BC344" s="49" t="b">
        <x:f>AND(BA344,BB344)</x:f>
        <x:v>1</x:v>
      </x:c>
      <x:c r="BD344" s="49" t="b">
        <x:f>IF(I344="no-store-control",AND(AC344=0,AG344=0),TRUE)</x:f>
        <x:v>1</x:v>
      </x:c>
      <x:c r="BE344" s="49" t="b">
        <x:f>IF(I344="no-store-control",AK344=0,TRUE)</x:f>
        <x:v>1</x:v>
      </x:c>
      <x:c r="BF344" s="49" t="b">
        <x:f>IF(I344="cache-semantics",AN344=1,TRUE)</x:f>
        <x:v>1</x:v>
      </x:c>
      <x:c r="BG344" s="49" t="b">
        <x:f>IF(I344="cache-semantics",AND(AU344,AV344,Q344,AW344,BC344,BF344),IF(I344="no-store-control",AND(AU344,AV344,Q344,BD344,BE344),FALSE))</x:f>
        <x:v>1</x:v>
      </x:c>
      <x:c r="BH344" s="49" t="b">
        <x:f>AND(R344,AT344=P344,AU344=L344,AV344=U344,AY344,AZ344,IF(I344="cache-semantics",AND(AW344=Z344,AND(BA344=AD344,BB344=AH344,BC344=AI344),BF344=AO344),IF(I344="no-store-control",AND(AND(BA344=AD344,BB344=AH344,BC344=AI344),BD344=AJ344,BE344=AL344),FALSE)),BG344=AP344)</x:f>
        <x:v>1</x:v>
      </x:c>
      <x:c r="BI344" s="49" t="b">
        <x:f>AND(J344,K344,BG344)</x:f>
        <x:v>1</x:v>
      </x:c>
    </x:row>
    <x:row r="345">
      <x:c r="A345" s="34" t="str">
        <x:v>article1-unified-v4-2-fb3f101b-20260903-000401-default-f06-p5-jcs4</x:v>
      </x:c>
      <x:c r="B345" s="34" t="str">
        <x:v>default</x:v>
      </x:c>
      <x:c r="C345" s="34" t="str">
        <x:v>jcs4</x:v>
      </x:c>
      <x:c r="D345" s="36" t="n">
        <x:v>6</x:v>
      </x:c>
      <x:c r="E345" s="36" t="n">
        <x:v>6</x:v>
      </x:c>
      <x:c r="F345" s="36" t="n">
        <x:v>5</x:v>
      </x:c>
      <x:c r="G345" s="36" t="n">
        <x:v>2</x:v>
      </x:c>
      <x:c r="H345" s="34" t="str">
        <x:v>redeploy</x:v>
      </x:c>
      <x:c r="I345" s="34" t="str">
        <x:v>cache-semantics</x:v>
      </x:c>
      <x:c r="J345" s="45" t="b">
        <x:v>1</x:v>
      </x:c>
      <x:c r="K345" s="45" t="b">
        <x:v>1</x:v>
      </x:c>
      <x:c r="L345" s="45" t="b">
        <x:v>1</x:v>
      </x:c>
      <x:c r="M345" s="43" t="n">
        <x:v>400000</x:v>
      </x:c>
      <x:c r="N345" s="43" t="n">
        <x:v>5192704</x:v>
      </x:c>
      <x:c r="O345" s="43" t="n">
        <x:v>1038357.9908455637</x:v>
      </x:c>
      <x:c r="P345" s="45" t="b">
        <x:v>1</x:v>
      </x:c>
      <x:c r="Q345" s="45" t="b">
        <x:v>1</x:v>
      </x:c>
      <x:c r="R345" s="45" t="b">
        <x:v>1</x:v>
      </x:c>
      <x:c r="S345" s="43" t="n">
        <x:v>5000000000</x:v>
      </x:c>
      <x:c r="T345" s="43" t="n">
        <x:v>5000880280</x:v>
      </x:c>
      <x:c r="U345" s="45" t="b">
        <x:v>1</x:v>
      </x:c>
      <x:c r="V345" s="34" t="str">
        <x:v>uniform</x:v>
      </x:c>
      <x:c r="W345" s="42" t="n">
        <x:v>95</x:v>
      </x:c>
      <x:c r="X345" s="48" t="n">
        <x:v>0.95</x:v>
      </x:c>
      <x:c r="Y345" s="48" t="n">
        <x:v>0.9497539239671663</x:v>
      </x:c>
      <x:c r="Z345" s="45" t="b">
        <x:v>1</x:v>
      </x:c>
      <x:c r="AA345" s="43" t="n">
        <x:v>10000</x:v>
      </x:c>
      <x:c r="AB345" s="43" t="n">
        <x:v>9900</x:v>
      </x:c>
      <x:c r="AC345" s="43" t="n">
        <x:v>10000</x:v>
      </x:c>
      <x:c r="AD345" s="45" t="b">
        <x:v>1</x:v>
      </x:c>
      <x:c r="AE345" s="43" t="n">
        <x:v>9900</x:v>
      </x:c>
      <x:c r="AF345" s="43"/>
      <x:c r="AG345" s="43" t="n">
        <x:v>10000</x:v>
      </x:c>
      <x:c r="AH345" s="45" t="b">
        <x:v>1</x:v>
      </x:c>
      <x:c r="AI345" s="45" t="b">
        <x:v>1</x:v>
      </x:c>
      <x:c r="AJ345" s="49"/>
      <x:c r="AK345" s="48" t="n">
        <x:v>0.9497539239671663</x:v>
      </x:c>
      <x:c r="AL345" s="49"/>
      <x:c r="AM345" s="49"/>
      <x:c r="AN345" s="36" t="n">
        <x:v>1</x:v>
      </x:c>
      <x:c r="AO345" s="45" t="b">
        <x:v>1</x:v>
      </x:c>
      <x:c r="AP345" s="45" t="b">
        <x:v>1</x:v>
      </x:c>
      <x:c r="AQ345" s="46" t="n">
        <x:f>IF(T345="","",T345/'Readme-Protocol'!$B$24)</x:f>
        <x:v>5.00088028</x:v>
      </x:c>
      <x:c r="AR345" s="46" t="n">
        <x:f>IF(OR(S345="",S345=0),"",T345/S345)</x:f>
        <x:v>1.000176056</x:v>
      </x:c>
      <x:c r="AS345" s="46" t="n">
        <x:f>IF(OR(X345="",Y345=""),"",ABS(Y345-X345)*'Readme-Protocol'!$B$27)</x:f>
        <x:v>0.02460760328336642</x:v>
      </x:c>
      <x:c r="AT345" s="49" t="b">
        <x:f>AND(M345&gt;0,N345&gt;=0,O345&gt;0)</x:f>
        <x:v>1</x:v>
      </x:c>
      <x:c r="AU345" s="49" t="b">
        <x:f>AND(AT345,N345&gt;=M345)</x:f>
        <x:v>1</x:v>
      </x:c>
      <x:c r="AV345" s="49" t="b">
        <x:f>OR(S345=0,T345&gt;=S345)</x:f>
        <x:v>1</x:v>
      </x:c>
      <x:c r="AW345" s="49" t="b">
        <x:f>IF(I345="cache-semantics",OR(V345&lt;&gt;"uniform",ABS(Y345-W345/'Readme-Protocol'!$B$27)&lt;='Readme-Protocol'!$B$28),TRUE)</x:f>
        <x:v>1</x:v>
      </x:c>
      <x:c r="AX345" s="43" t="n">
        <x:f>IF(I345="cache-semantics",INT(AA345*'Readme-Protocol'!$B$32),"")</x:f>
        <x:v>9900</x:v>
      </x:c>
      <x:c r="AY345" s="49" t="b">
        <x:f>IF(I345="cache-semantics",AX345=AB345,TRUE)</x:f>
        <x:v>1</x:v>
      </x:c>
      <x:c r="AZ345" s="49" t="b">
        <x:f>IF(I345="cache-semantics",AX345=AE345,TRUE)</x:f>
        <x:v>1</x:v>
      </x:c>
      <x:c r="BA345" s="49" t="b">
        <x:f>IF(I345="cache-semantics",AC345&gt;=AX345,IF(I345="no-store-control",AC345=0,FALSE))</x:f>
        <x:v>1</x:v>
      </x:c>
      <x:c r="BB345" s="49" t="b">
        <x:f>IF(I345="cache-semantics",AG345&gt;=AX345,IF(I345="no-store-control",AG345=0,FALSE))</x:f>
        <x:v>1</x:v>
      </x:c>
      <x:c r="BC345" s="49" t="b">
        <x:f>AND(BA345,BB345)</x:f>
        <x:v>1</x:v>
      </x:c>
      <x:c r="BD345" s="49" t="b">
        <x:f>IF(I345="no-store-control",AND(AC345=0,AG345=0),TRUE)</x:f>
        <x:v>1</x:v>
      </x:c>
      <x:c r="BE345" s="49" t="b">
        <x:f>IF(I345="no-store-control",AK345=0,TRUE)</x:f>
        <x:v>1</x:v>
      </x:c>
      <x:c r="BF345" s="49" t="b">
        <x:f>IF(I345="cache-semantics",AN345=1,TRUE)</x:f>
        <x:v>1</x:v>
      </x:c>
      <x:c r="BG345" s="49" t="b">
        <x:f>IF(I345="cache-semantics",AND(AU345,AV345,Q345,AW345,BC345,BF345),IF(I345="no-store-control",AND(AU345,AV345,Q345,BD345,BE345),FALSE))</x:f>
        <x:v>1</x:v>
      </x:c>
      <x:c r="BH345" s="49" t="b">
        <x:f>AND(R345,AT345=P345,AU345=L345,AV345=U345,AY345,AZ345,IF(I345="cache-semantics",AND(AW345=Z345,AND(BA345=AD345,BB345=AH345,BC345=AI345),BF345=AO345),IF(I345="no-store-control",AND(AND(BA345=AD345,BB345=AH345,BC345=AI345),BD345=AJ345,BE345=AL345),FALSE)),BG345=AP345)</x:f>
        <x:v>1</x:v>
      </x:c>
      <x:c r="BI345" s="49" t="b">
        <x:f>AND(J345,K345,BG345)</x:f>
        <x:v>1</x:v>
      </x:c>
    </x:row>
    <x:row r="346">
      <x:c r="A346" s="34" t="str">
        <x:v>article1-unified-v4-2-fb3f101b-20260903-000401-default-f06-p5-jcs4</x:v>
      </x:c>
      <x:c r="B346" s="34" t="str">
        <x:v>default</x:v>
      </x:c>
      <x:c r="C346" s="34" t="str">
        <x:v>jcs4</x:v>
      </x:c>
      <x:c r="D346" s="36" t="n">
        <x:v>6</x:v>
      </x:c>
      <x:c r="E346" s="36" t="n">
        <x:v>6</x:v>
      </x:c>
      <x:c r="F346" s="36" t="n">
        <x:v>5</x:v>
      </x:c>
      <x:c r="G346" s="36" t="n">
        <x:v>3</x:v>
      </x:c>
      <x:c r="H346" s="34" t="str">
        <x:v>initial</x:v>
      </x:c>
      <x:c r="I346" s="34" t="str">
        <x:v>cache-semantics</x:v>
      </x:c>
      <x:c r="J346" s="45" t="b">
        <x:v>1</x:v>
      </x:c>
      <x:c r="K346" s="45" t="b">
        <x:v>1</x:v>
      </x:c>
      <x:c r="L346" s="45" t="b">
        <x:v>1</x:v>
      </x:c>
      <x:c r="M346" s="43" t="n">
        <x:v>400000</x:v>
      </x:c>
      <x:c r="N346" s="43" t="n">
        <x:v>5009408</x:v>
      </x:c>
      <x:c r="O346" s="43" t="n">
        <x:v>1001678.9723640385</x:v>
      </x:c>
      <x:c r="P346" s="45" t="b">
        <x:v>1</x:v>
      </x:c>
      <x:c r="Q346" s="45" t="b">
        <x:v>1</x:v>
      </x:c>
      <x:c r="R346" s="45" t="b">
        <x:v>1</x:v>
      </x:c>
      <x:c r="S346" s="43" t="n">
        <x:v>5000000000</x:v>
      </x:c>
      <x:c r="T346" s="43" t="n">
        <x:v>5001011440</x:v>
      </x:c>
      <x:c r="U346" s="45" t="b">
        <x:v>1</x:v>
      </x:c>
      <x:c r="V346" s="34" t="str">
        <x:v>uniform</x:v>
      </x:c>
      <x:c r="W346" s="42" t="n">
        <x:v>95</x:v>
      </x:c>
      <x:c r="X346" s="48" t="n">
        <x:v>0.95</x:v>
      </x:c>
      <x:c r="Y346" s="48" t="n">
        <x:v>0.9499132432415167</x:v>
      </x:c>
      <x:c r="Z346" s="45" t="b">
        <x:v>1</x:v>
      </x:c>
      <x:c r="AA346" s="43" t="n">
        <x:v>10000</x:v>
      </x:c>
      <x:c r="AB346" s="43" t="n">
        <x:v>9900</x:v>
      </x:c>
      <x:c r="AC346" s="43" t="n">
        <x:v>10000</x:v>
      </x:c>
      <x:c r="AD346" s="45" t="b">
        <x:v>1</x:v>
      </x:c>
      <x:c r="AE346" s="43" t="n">
        <x:v>9900</x:v>
      </x:c>
      <x:c r="AF346" s="43"/>
      <x:c r="AG346" s="43" t="n">
        <x:v>10000</x:v>
      </x:c>
      <x:c r="AH346" s="45" t="b">
        <x:v>1</x:v>
      </x:c>
      <x:c r="AI346" s="45" t="b">
        <x:v>1</x:v>
      </x:c>
      <x:c r="AJ346" s="49"/>
      <x:c r="AK346" s="48" t="n">
        <x:v>0.9499132432415167</x:v>
      </x:c>
      <x:c r="AL346" s="49"/>
      <x:c r="AM346" s="49"/>
      <x:c r="AN346" s="36" t="n">
        <x:v>1</x:v>
      </x:c>
      <x:c r="AO346" s="45" t="b">
        <x:v>1</x:v>
      </x:c>
      <x:c r="AP346" s="45" t="b">
        <x:v>1</x:v>
      </x:c>
      <x:c r="AQ346" s="46" t="n">
        <x:f>IF(T346="","",T346/'Readme-Protocol'!$B$24)</x:f>
        <x:v>5.00101144</x:v>
      </x:c>
      <x:c r="AR346" s="46" t="n">
        <x:f>IF(OR(S346="",S346=0),"",T346/S346)</x:f>
        <x:v>1.000202288</x:v>
      </x:c>
      <x:c r="AS346" s="46" t="n">
        <x:f>IF(OR(X346="",Y346=""),"",ABS(Y346-X346)*'Readme-Protocol'!$B$27)</x:f>
        <x:v>0.008675675848324182</x:v>
      </x:c>
      <x:c r="AT346" s="49" t="b">
        <x:f>AND(M346&gt;0,N346&gt;=0,O346&gt;0)</x:f>
        <x:v>1</x:v>
      </x:c>
      <x:c r="AU346" s="49" t="b">
        <x:f>AND(AT346,N346&gt;=M346)</x:f>
        <x:v>1</x:v>
      </x:c>
      <x:c r="AV346" s="49" t="b">
        <x:f>OR(S346=0,T346&gt;=S346)</x:f>
        <x:v>1</x:v>
      </x:c>
      <x:c r="AW346" s="49" t="b">
        <x:f>IF(I346="cache-semantics",OR(V346&lt;&gt;"uniform",ABS(Y346-W346/'Readme-Protocol'!$B$27)&lt;='Readme-Protocol'!$B$28),TRUE)</x:f>
        <x:v>1</x:v>
      </x:c>
      <x:c r="AX346" s="43" t="n">
        <x:f>IF(I346="cache-semantics",INT(AA346*'Readme-Protocol'!$B$32),"")</x:f>
        <x:v>9900</x:v>
      </x:c>
      <x:c r="AY346" s="49" t="b">
        <x:f>IF(I346="cache-semantics",AX346=AB346,TRUE)</x:f>
        <x:v>1</x:v>
      </x:c>
      <x:c r="AZ346" s="49" t="b">
        <x:f>IF(I346="cache-semantics",AX346=AE346,TRUE)</x:f>
        <x:v>1</x:v>
      </x:c>
      <x:c r="BA346" s="49" t="b">
        <x:f>IF(I346="cache-semantics",AC346&gt;=AX346,IF(I346="no-store-control",AC346=0,FALSE))</x:f>
        <x:v>1</x:v>
      </x:c>
      <x:c r="BB346" s="49" t="b">
        <x:f>IF(I346="cache-semantics",AG346&gt;=AX346,IF(I346="no-store-control",AG346=0,FALSE))</x:f>
        <x:v>1</x:v>
      </x:c>
      <x:c r="BC346" s="49" t="b">
        <x:f>AND(BA346,BB346)</x:f>
        <x:v>1</x:v>
      </x:c>
      <x:c r="BD346" s="49" t="b">
        <x:f>IF(I346="no-store-control",AND(AC346=0,AG346=0),TRUE)</x:f>
        <x:v>1</x:v>
      </x:c>
      <x:c r="BE346" s="49" t="b">
        <x:f>IF(I346="no-store-control",AK346=0,TRUE)</x:f>
        <x:v>1</x:v>
      </x:c>
      <x:c r="BF346" s="49" t="b">
        <x:f>IF(I346="cache-semantics",AN346=1,TRUE)</x:f>
        <x:v>1</x:v>
      </x:c>
      <x:c r="BG346" s="49" t="b">
        <x:f>IF(I346="cache-semantics",AND(AU346,AV346,Q346,AW346,BC346,BF346),IF(I346="no-store-control",AND(AU346,AV346,Q346,BD346,BE346),FALSE))</x:f>
        <x:v>1</x:v>
      </x:c>
      <x:c r="BH346" s="49" t="b">
        <x:f>AND(R346,AT346=P346,AU346=L346,AV346=U346,AY346,AZ346,IF(I346="cache-semantics",AND(AW346=Z346,AND(BA346=AD346,BB346=AH346,BC346=AI346),BF346=AO346),IF(I346="no-store-control",AND(AND(BA346=AD346,BB346=AH346,BC346=AI346),BD346=AJ346,BE346=AL346),FALSE)),BG346=AP346)</x:f>
        <x:v>1</x:v>
      </x:c>
      <x:c r="BI346" s="49" t="b">
        <x:f>AND(J346,K346,BG346)</x:f>
        <x:v>1</x:v>
      </x:c>
    </x:row>
    <x:row r="347">
      <x:c r="A347" s="34" t="str">
        <x:v>article1-unified-v4-2-fb3f101b-20260903-000401-default-f06-p5-jcs4</x:v>
      </x:c>
      <x:c r="B347" s="34" t="str">
        <x:v>default</x:v>
      </x:c>
      <x:c r="C347" s="34" t="str">
        <x:v>jcs4</x:v>
      </x:c>
      <x:c r="D347" s="36" t="n">
        <x:v>6</x:v>
      </x:c>
      <x:c r="E347" s="36" t="n">
        <x:v>6</x:v>
      </x:c>
      <x:c r="F347" s="36" t="n">
        <x:v>5</x:v>
      </x:c>
      <x:c r="G347" s="36" t="n">
        <x:v>3</x:v>
      </x:c>
      <x:c r="H347" s="34" t="str">
        <x:v>redeploy</x:v>
      </x:c>
      <x:c r="I347" s="34" t="str">
        <x:v>cache-semantics</x:v>
      </x:c>
      <x:c r="J347" s="45" t="b">
        <x:v>1</x:v>
      </x:c>
      <x:c r="K347" s="45" t="b">
        <x:v>1</x:v>
      </x:c>
      <x:c r="L347" s="45" t="b">
        <x:v>1</x:v>
      </x:c>
      <x:c r="M347" s="43" t="n">
        <x:v>400000</x:v>
      </x:c>
      <x:c r="N347" s="43" t="n">
        <x:v>5624576</x:v>
      </x:c>
      <x:c r="O347" s="43" t="n">
        <x:v>1124269.4677364654</x:v>
      </x:c>
      <x:c r="P347" s="45" t="b">
        <x:v>1</x:v>
      </x:c>
      <x:c r="Q347" s="45" t="b">
        <x:v>1</x:v>
      </x:c>
      <x:c r="R347" s="45" t="b">
        <x:v>1</x:v>
      </x:c>
      <x:c r="S347" s="43" t="n">
        <x:v>5000000000</x:v>
      </x:c>
      <x:c r="T347" s="43" t="n">
        <x:v>5002871786</x:v>
      </x:c>
      <x:c r="U347" s="45" t="b">
        <x:v>1</x:v>
      </x:c>
      <x:c r="V347" s="34" t="str">
        <x:v>uniform</x:v>
      </x:c>
      <x:c r="W347" s="42" t="n">
        <x:v>95</x:v>
      </x:c>
      <x:c r="X347" s="48" t="n">
        <x:v>0.95</x:v>
      </x:c>
      <x:c r="Y347" s="48" t="n">
        <x:v>0.949923514234673</x:v>
      </x:c>
      <x:c r="Z347" s="45" t="b">
        <x:v>1</x:v>
      </x:c>
      <x:c r="AA347" s="43" t="n">
        <x:v>10000</x:v>
      </x:c>
      <x:c r="AB347" s="43" t="n">
        <x:v>9900</x:v>
      </x:c>
      <x:c r="AC347" s="43" t="n">
        <x:v>10000</x:v>
      </x:c>
      <x:c r="AD347" s="45" t="b">
        <x:v>1</x:v>
      </x:c>
      <x:c r="AE347" s="43" t="n">
        <x:v>9900</x:v>
      </x:c>
      <x:c r="AF347" s="43"/>
      <x:c r="AG347" s="43" t="n">
        <x:v>10000</x:v>
      </x:c>
      <x:c r="AH347" s="45" t="b">
        <x:v>1</x:v>
      </x:c>
      <x:c r="AI347" s="45" t="b">
        <x:v>1</x:v>
      </x:c>
      <x:c r="AJ347" s="49"/>
      <x:c r="AK347" s="48" t="n">
        <x:v>0.949923514234673</x:v>
      </x:c>
      <x:c r="AL347" s="49"/>
      <x:c r="AM347" s="49"/>
      <x:c r="AN347" s="36" t="n">
        <x:v>1</x:v>
      </x:c>
      <x:c r="AO347" s="45" t="b">
        <x:v>1</x:v>
      </x:c>
      <x:c r="AP347" s="45" t="b">
        <x:v>1</x:v>
      </x:c>
      <x:c r="AQ347" s="46" t="n">
        <x:f>IF(T347="","",T347/'Readme-Protocol'!$B$24)</x:f>
        <x:v>5.002871786</x:v>
      </x:c>
      <x:c r="AR347" s="46" t="n">
        <x:f>IF(OR(S347="",S347=0),"",T347/S347)</x:f>
        <x:v>1.0005743572</x:v>
      </x:c>
      <x:c r="AS347" s="46" t="n">
        <x:f>IF(OR(X347="",Y347=""),"",ABS(Y347-X347)*'Readme-Protocol'!$B$27)</x:f>
        <x:v>0.007648576532692797</x:v>
      </x:c>
      <x:c r="AT347" s="49" t="b">
        <x:f>AND(M347&gt;0,N347&gt;=0,O347&gt;0)</x:f>
        <x:v>1</x:v>
      </x:c>
      <x:c r="AU347" s="49" t="b">
        <x:f>AND(AT347,N347&gt;=M347)</x:f>
        <x:v>1</x:v>
      </x:c>
      <x:c r="AV347" s="49" t="b">
        <x:f>OR(S347=0,T347&gt;=S347)</x:f>
        <x:v>1</x:v>
      </x:c>
      <x:c r="AW347" s="49" t="b">
        <x:f>IF(I347="cache-semantics",OR(V347&lt;&gt;"uniform",ABS(Y347-W347/'Readme-Protocol'!$B$27)&lt;='Readme-Protocol'!$B$28),TRUE)</x:f>
        <x:v>1</x:v>
      </x:c>
      <x:c r="AX347" s="43" t="n">
        <x:f>IF(I347="cache-semantics",INT(AA347*'Readme-Protocol'!$B$32),"")</x:f>
        <x:v>9900</x:v>
      </x:c>
      <x:c r="AY347" s="49" t="b">
        <x:f>IF(I347="cache-semantics",AX347=AB347,TRUE)</x:f>
        <x:v>1</x:v>
      </x:c>
      <x:c r="AZ347" s="49" t="b">
        <x:f>IF(I347="cache-semantics",AX347=AE347,TRUE)</x:f>
        <x:v>1</x:v>
      </x:c>
      <x:c r="BA347" s="49" t="b">
        <x:f>IF(I347="cache-semantics",AC347&gt;=AX347,IF(I347="no-store-control",AC347=0,FALSE))</x:f>
        <x:v>1</x:v>
      </x:c>
      <x:c r="BB347" s="49" t="b">
        <x:f>IF(I347="cache-semantics",AG347&gt;=AX347,IF(I347="no-store-control",AG347=0,FALSE))</x:f>
        <x:v>1</x:v>
      </x:c>
      <x:c r="BC347" s="49" t="b">
        <x:f>AND(BA347,BB347)</x:f>
        <x:v>1</x:v>
      </x:c>
      <x:c r="BD347" s="49" t="b">
        <x:f>IF(I347="no-store-control",AND(AC347=0,AG347=0),TRUE)</x:f>
        <x:v>1</x:v>
      </x:c>
      <x:c r="BE347" s="49" t="b">
        <x:f>IF(I347="no-store-control",AK347=0,TRUE)</x:f>
        <x:v>1</x:v>
      </x:c>
      <x:c r="BF347" s="49" t="b">
        <x:f>IF(I347="cache-semantics",AN347=1,TRUE)</x:f>
        <x:v>1</x:v>
      </x:c>
      <x:c r="BG347" s="49" t="b">
        <x:f>IF(I347="cache-semantics",AND(AU347,AV347,Q347,AW347,BC347,BF347),IF(I347="no-store-control",AND(AU347,AV347,Q347,BD347,BE347),FALSE))</x:f>
        <x:v>1</x:v>
      </x:c>
      <x:c r="BH347" s="49" t="b">
        <x:f>AND(R347,AT347=P347,AU347=L347,AV347=U347,AY347,AZ347,IF(I347="cache-semantics",AND(AW347=Z347,AND(BA347=AD347,BB347=AH347,BC347=AI347),BF347=AO347),IF(I347="no-store-control",AND(AND(BA347=AD347,BB347=AH347,BC347=AI347),BD347=AJ347,BE347=AL347),FALSE)),BG347=AP347)</x:f>
        <x:v>1</x:v>
      </x:c>
      <x:c r="BI347" s="49" t="b">
        <x:f>AND(J347,K347,BG347)</x:f>
        <x:v>1</x:v>
      </x:c>
    </x:row>
    <x:row r="348">
      <x:c r="A348" s="34" t="str">
        <x:v>article1-unified-v4-2-fb3f101b-20260903-000401-default-f06-p5-jcs4</x:v>
      </x:c>
      <x:c r="B348" s="34" t="str">
        <x:v>default</x:v>
      </x:c>
      <x:c r="C348" s="34" t="str">
        <x:v>jcs4</x:v>
      </x:c>
      <x:c r="D348" s="36" t="n">
        <x:v>6</x:v>
      </x:c>
      <x:c r="E348" s="36" t="n">
        <x:v>6</x:v>
      </x:c>
      <x:c r="F348" s="36" t="n">
        <x:v>5</x:v>
      </x:c>
      <x:c r="G348" s="36" t="n">
        <x:v>4</x:v>
      </x:c>
      <x:c r="H348" s="34" t="str">
        <x:v>initial</x:v>
      </x:c>
      <x:c r="I348" s="34" t="str">
        <x:v>cache-semantics</x:v>
      </x:c>
      <x:c r="J348" s="45" t="b">
        <x:v>1</x:v>
      </x:c>
      <x:c r="K348" s="45" t="b">
        <x:v>1</x:v>
      </x:c>
      <x:c r="L348" s="45" t="b">
        <x:v>1</x:v>
      </x:c>
      <x:c r="M348" s="43" t="n">
        <x:v>400000</x:v>
      </x:c>
      <x:c r="N348" s="43" t="n">
        <x:v>6275840</x:v>
      </x:c>
      <x:c r="O348" s="43" t="n">
        <x:v>1255004.6242510178</x:v>
      </x:c>
      <x:c r="P348" s="45" t="b">
        <x:v>1</x:v>
      </x:c>
      <x:c r="Q348" s="45" t="b">
        <x:v>1</x:v>
      </x:c>
      <x:c r="R348" s="45" t="b">
        <x:v>1</x:v>
      </x:c>
      <x:c r="S348" s="43" t="n">
        <x:v>5000000000</x:v>
      </x:c>
      <x:c r="T348" s="43" t="n">
        <x:v>5000650897</x:v>
      </x:c>
      <x:c r="U348" s="45" t="b">
        <x:v>1</x:v>
      </x:c>
      <x:c r="V348" s="34" t="str">
        <x:v>uniform</x:v>
      </x:c>
      <x:c r="W348" s="42" t="n">
        <x:v>95</x:v>
      </x:c>
      <x:c r="X348" s="48" t="n">
        <x:v>0.95</x:v>
      </x:c>
      <x:c r="Y348" s="48" t="n">
        <x:v>0.9500637364878646</x:v>
      </x:c>
      <x:c r="Z348" s="45" t="b">
        <x:v>1</x:v>
      </x:c>
      <x:c r="AA348" s="43" t="n">
        <x:v>10000</x:v>
      </x:c>
      <x:c r="AB348" s="43" t="n">
        <x:v>9900</x:v>
      </x:c>
      <x:c r="AC348" s="43" t="n">
        <x:v>10000</x:v>
      </x:c>
      <x:c r="AD348" s="45" t="b">
        <x:v>1</x:v>
      </x:c>
      <x:c r="AE348" s="43" t="n">
        <x:v>9900</x:v>
      </x:c>
      <x:c r="AF348" s="43"/>
      <x:c r="AG348" s="43" t="n">
        <x:v>10000</x:v>
      </x:c>
      <x:c r="AH348" s="45" t="b">
        <x:v>1</x:v>
      </x:c>
      <x:c r="AI348" s="45" t="b">
        <x:v>1</x:v>
      </x:c>
      <x:c r="AJ348" s="49"/>
      <x:c r="AK348" s="48" t="n">
        <x:v>0.9500637364878646</x:v>
      </x:c>
      <x:c r="AL348" s="49"/>
      <x:c r="AM348" s="49"/>
      <x:c r="AN348" s="36" t="n">
        <x:v>1</x:v>
      </x:c>
      <x:c r="AO348" s="45" t="b">
        <x:v>1</x:v>
      </x:c>
      <x:c r="AP348" s="45" t="b">
        <x:v>1</x:v>
      </x:c>
      <x:c r="AQ348" s="46" t="n">
        <x:f>IF(T348="","",T348/'Readme-Protocol'!$B$24)</x:f>
        <x:v>5.000650897</x:v>
      </x:c>
      <x:c r="AR348" s="46" t="n">
        <x:f>IF(OR(S348="",S348=0),"",T348/S348)</x:f>
        <x:v>1.0001301794</x:v>
      </x:c>
      <x:c r="AS348" s="46" t="n">
        <x:f>IF(OR(X348="",Y348=""),"",ABS(Y348-X348)*'Readme-Protocol'!$B$27)</x:f>
        <x:v>0.00637364878646185</x:v>
      </x:c>
      <x:c r="AT348" s="49" t="b">
        <x:f>AND(M348&gt;0,N348&gt;=0,O348&gt;0)</x:f>
        <x:v>1</x:v>
      </x:c>
      <x:c r="AU348" s="49" t="b">
        <x:f>AND(AT348,N348&gt;=M348)</x:f>
        <x:v>1</x:v>
      </x:c>
      <x:c r="AV348" s="49" t="b">
        <x:f>OR(S348=0,T348&gt;=S348)</x:f>
        <x:v>1</x:v>
      </x:c>
      <x:c r="AW348" s="49" t="b">
        <x:f>IF(I348="cache-semantics",OR(V348&lt;&gt;"uniform",ABS(Y348-W348/'Readme-Protocol'!$B$27)&lt;='Readme-Protocol'!$B$28),TRUE)</x:f>
        <x:v>1</x:v>
      </x:c>
      <x:c r="AX348" s="43" t="n">
        <x:f>IF(I348="cache-semantics",INT(AA348*'Readme-Protocol'!$B$32),"")</x:f>
        <x:v>9900</x:v>
      </x:c>
      <x:c r="AY348" s="49" t="b">
        <x:f>IF(I348="cache-semantics",AX348=AB348,TRUE)</x:f>
        <x:v>1</x:v>
      </x:c>
      <x:c r="AZ348" s="49" t="b">
        <x:f>IF(I348="cache-semantics",AX348=AE348,TRUE)</x:f>
        <x:v>1</x:v>
      </x:c>
      <x:c r="BA348" s="49" t="b">
        <x:f>IF(I348="cache-semantics",AC348&gt;=AX348,IF(I348="no-store-control",AC348=0,FALSE))</x:f>
        <x:v>1</x:v>
      </x:c>
      <x:c r="BB348" s="49" t="b">
        <x:f>IF(I348="cache-semantics",AG348&gt;=AX348,IF(I348="no-store-control",AG348=0,FALSE))</x:f>
        <x:v>1</x:v>
      </x:c>
      <x:c r="BC348" s="49" t="b">
        <x:f>AND(BA348,BB348)</x:f>
        <x:v>1</x:v>
      </x:c>
      <x:c r="BD348" s="49" t="b">
        <x:f>IF(I348="no-store-control",AND(AC348=0,AG348=0),TRUE)</x:f>
        <x:v>1</x:v>
      </x:c>
      <x:c r="BE348" s="49" t="b">
        <x:f>IF(I348="no-store-control",AK348=0,TRUE)</x:f>
        <x:v>1</x:v>
      </x:c>
      <x:c r="BF348" s="49" t="b">
        <x:f>IF(I348="cache-semantics",AN348=1,TRUE)</x:f>
        <x:v>1</x:v>
      </x:c>
      <x:c r="BG348" s="49" t="b">
        <x:f>IF(I348="cache-semantics",AND(AU348,AV348,Q348,AW348,BC348,BF348),IF(I348="no-store-control",AND(AU348,AV348,Q348,BD348,BE348),FALSE))</x:f>
        <x:v>1</x:v>
      </x:c>
      <x:c r="BH348" s="49" t="b">
        <x:f>AND(R348,AT348=P348,AU348=L348,AV348=U348,AY348,AZ348,IF(I348="cache-semantics",AND(AW348=Z348,AND(BA348=AD348,BB348=AH348,BC348=AI348),BF348=AO348),IF(I348="no-store-control",AND(AND(BA348=AD348,BB348=AH348,BC348=AI348),BD348=AJ348,BE348=AL348),FALSE)),BG348=AP348)</x:f>
        <x:v>1</x:v>
      </x:c>
      <x:c r="BI348" s="49" t="b">
        <x:f>AND(J348,K348,BG348)</x:f>
        <x:v>1</x:v>
      </x:c>
    </x:row>
    <x:row r="349">
      <x:c r="A349" s="34" t="str">
        <x:v>article1-unified-v4-2-fb3f101b-20260903-000401-default-f06-p5-jcs4</x:v>
      </x:c>
      <x:c r="B349" s="34" t="str">
        <x:v>default</x:v>
      </x:c>
      <x:c r="C349" s="34" t="str">
        <x:v>jcs4</x:v>
      </x:c>
      <x:c r="D349" s="36" t="n">
        <x:v>6</x:v>
      </x:c>
      <x:c r="E349" s="36" t="n">
        <x:v>6</x:v>
      </x:c>
      <x:c r="F349" s="36" t="n">
        <x:v>5</x:v>
      </x:c>
      <x:c r="G349" s="36" t="n">
        <x:v>4</x:v>
      </x:c>
      <x:c r="H349" s="34" t="str">
        <x:v>redeploy</x:v>
      </x:c>
      <x:c r="I349" s="34" t="str">
        <x:v>cache-semantics</x:v>
      </x:c>
      <x:c r="J349" s="45" t="b">
        <x:v>1</x:v>
      </x:c>
      <x:c r="K349" s="45" t="b">
        <x:v>1</x:v>
      </x:c>
      <x:c r="L349" s="45" t="b">
        <x:v>1</x:v>
      </x:c>
      <x:c r="M349" s="43" t="n">
        <x:v>400000</x:v>
      </x:c>
      <x:c r="N349" s="43" t="n">
        <x:v>3918336</x:v>
      </x:c>
      <x:c r="O349" s="43" t="n">
        <x:v>783539.08117422</x:v>
      </x:c>
      <x:c r="P349" s="45" t="b">
        <x:v>1</x:v>
      </x:c>
      <x:c r="Q349" s="45" t="b">
        <x:v>1</x:v>
      </x:c>
      <x:c r="R349" s="45" t="b">
        <x:v>1</x:v>
      </x:c>
      <x:c r="S349" s="43" t="n">
        <x:v>5000000000</x:v>
      </x:c>
      <x:c r="T349" s="43" t="n">
        <x:v>5000817565</x:v>
      </x:c>
      <x:c r="U349" s="45" t="b">
        <x:v>1</x:v>
      </x:c>
      <x:c r="V349" s="34" t="str">
        <x:v>uniform</x:v>
      </x:c>
      <x:c r="W349" s="42" t="n">
        <x:v>95</x:v>
      </x:c>
      <x:c r="X349" s="48" t="n">
        <x:v>0.95</x:v>
      </x:c>
      <x:c r="Y349" s="48" t="n">
        <x:v>0.9500571160819287</x:v>
      </x:c>
      <x:c r="Z349" s="45" t="b">
        <x:v>1</x:v>
      </x:c>
      <x:c r="AA349" s="43" t="n">
        <x:v>10000</x:v>
      </x:c>
      <x:c r="AB349" s="43" t="n">
        <x:v>9900</x:v>
      </x:c>
      <x:c r="AC349" s="43" t="n">
        <x:v>10000</x:v>
      </x:c>
      <x:c r="AD349" s="45" t="b">
        <x:v>1</x:v>
      </x:c>
      <x:c r="AE349" s="43" t="n">
        <x:v>9900</x:v>
      </x:c>
      <x:c r="AF349" s="43"/>
      <x:c r="AG349" s="43" t="n">
        <x:v>10000</x:v>
      </x:c>
      <x:c r="AH349" s="45" t="b">
        <x:v>1</x:v>
      </x:c>
      <x:c r="AI349" s="45" t="b">
        <x:v>1</x:v>
      </x:c>
      <x:c r="AJ349" s="49"/>
      <x:c r="AK349" s="48" t="n">
        <x:v>0.9500571160819287</x:v>
      </x:c>
      <x:c r="AL349" s="49"/>
      <x:c r="AM349" s="49"/>
      <x:c r="AN349" s="36" t="n">
        <x:v>1</x:v>
      </x:c>
      <x:c r="AO349" s="45" t="b">
        <x:v>1</x:v>
      </x:c>
      <x:c r="AP349" s="45" t="b">
        <x:v>1</x:v>
      </x:c>
      <x:c r="AQ349" s="46" t="n">
        <x:f>IF(T349="","",T349/'Readme-Protocol'!$B$24)</x:f>
        <x:v>5.000817565</x:v>
      </x:c>
      <x:c r="AR349" s="46" t="n">
        <x:f>IF(OR(S349="",S349=0),"",T349/S349)</x:f>
        <x:v>1.000163513</x:v>
      </x:c>
      <x:c r="AS349" s="46" t="n">
        <x:f>IF(OR(X349="",Y349=""),"",ABS(Y349-X349)*'Readme-Protocol'!$B$27)</x:f>
        <x:v>0.005711608192870976</x:v>
      </x:c>
      <x:c r="AT349" s="49" t="b">
        <x:f>AND(M349&gt;0,N349&gt;=0,O349&gt;0)</x:f>
        <x:v>1</x:v>
      </x:c>
      <x:c r="AU349" s="49" t="b">
        <x:f>AND(AT349,N349&gt;=M349)</x:f>
        <x:v>1</x:v>
      </x:c>
      <x:c r="AV349" s="49" t="b">
        <x:f>OR(S349=0,T349&gt;=S349)</x:f>
        <x:v>1</x:v>
      </x:c>
      <x:c r="AW349" s="49" t="b">
        <x:f>IF(I349="cache-semantics",OR(V349&lt;&gt;"uniform",ABS(Y349-W349/'Readme-Protocol'!$B$27)&lt;='Readme-Protocol'!$B$28),TRUE)</x:f>
        <x:v>1</x:v>
      </x:c>
      <x:c r="AX349" s="43" t="n">
        <x:f>IF(I349="cache-semantics",INT(AA349*'Readme-Protocol'!$B$32),"")</x:f>
        <x:v>9900</x:v>
      </x:c>
      <x:c r="AY349" s="49" t="b">
        <x:f>IF(I349="cache-semantics",AX349=AB349,TRUE)</x:f>
        <x:v>1</x:v>
      </x:c>
      <x:c r="AZ349" s="49" t="b">
        <x:f>IF(I349="cache-semantics",AX349=AE349,TRUE)</x:f>
        <x:v>1</x:v>
      </x:c>
      <x:c r="BA349" s="49" t="b">
        <x:f>IF(I349="cache-semantics",AC349&gt;=AX349,IF(I349="no-store-control",AC349=0,FALSE))</x:f>
        <x:v>1</x:v>
      </x:c>
      <x:c r="BB349" s="49" t="b">
        <x:f>IF(I349="cache-semantics",AG349&gt;=AX349,IF(I349="no-store-control",AG349=0,FALSE))</x:f>
        <x:v>1</x:v>
      </x:c>
      <x:c r="BC349" s="49" t="b">
        <x:f>AND(BA349,BB349)</x:f>
        <x:v>1</x:v>
      </x:c>
      <x:c r="BD349" s="49" t="b">
        <x:f>IF(I349="no-store-control",AND(AC349=0,AG349=0),TRUE)</x:f>
        <x:v>1</x:v>
      </x:c>
      <x:c r="BE349" s="49" t="b">
        <x:f>IF(I349="no-store-control",AK349=0,TRUE)</x:f>
        <x:v>1</x:v>
      </x:c>
      <x:c r="BF349" s="49" t="b">
        <x:f>IF(I349="cache-semantics",AN349=1,TRUE)</x:f>
        <x:v>1</x:v>
      </x:c>
      <x:c r="BG349" s="49" t="b">
        <x:f>IF(I349="cache-semantics",AND(AU349,AV349,Q349,AW349,BC349,BF349),IF(I349="no-store-control",AND(AU349,AV349,Q349,BD349,BE349),FALSE))</x:f>
        <x:v>1</x:v>
      </x:c>
      <x:c r="BH349" s="49" t="b">
        <x:f>AND(R349,AT349=P349,AU349=L349,AV349=U349,AY349,AZ349,IF(I349="cache-semantics",AND(AW349=Z349,AND(BA349=AD349,BB349=AH349,BC349=AI349),BF349=AO349),IF(I349="no-store-control",AND(AND(BA349=AD349,BB349=AH349,BC349=AI349),BD349=AJ349,BE349=AL349),FALSE)),BG349=AP349)</x:f>
        <x:v>1</x:v>
      </x:c>
      <x:c r="BI349" s="49" t="b">
        <x:f>AND(J349,K349,BG349)</x:f>
        <x:v>1</x:v>
      </x:c>
    </x:row>
    <x:row r="350">
      <x:c r="A350" s="34" t="str">
        <x:v>article1-unified-v4-2-fb3f101b-20260903-000401-default-f06-p5-jcs4</x:v>
      </x:c>
      <x:c r="B350" s="34" t="str">
        <x:v>default</x:v>
      </x:c>
      <x:c r="C350" s="34" t="str">
        <x:v>jcs4</x:v>
      </x:c>
      <x:c r="D350" s="36" t="n">
        <x:v>6</x:v>
      </x:c>
      <x:c r="E350" s="36" t="n">
        <x:v>6</x:v>
      </x:c>
      <x:c r="F350" s="36" t="n">
        <x:v>5</x:v>
      </x:c>
      <x:c r="G350" s="36" t="n">
        <x:v>5</x:v>
      </x:c>
      <x:c r="H350" s="34" t="str">
        <x:v>initial</x:v>
      </x:c>
      <x:c r="I350" s="34" t="str">
        <x:v>cache-semantics</x:v>
      </x:c>
      <x:c r="J350" s="45" t="b">
        <x:v>1</x:v>
      </x:c>
      <x:c r="K350" s="45" t="b">
        <x:v>1</x:v>
      </x:c>
      <x:c r="L350" s="45" t="b">
        <x:v>1</x:v>
      </x:c>
      <x:c r="M350" s="43" t="n">
        <x:v>400000</x:v>
      </x:c>
      <x:c r="N350" s="43" t="n">
        <x:v>6257408</x:v>
      </x:c>
      <x:c r="O350" s="43" t="n">
        <x:v>1251043.290477756</x:v>
      </x:c>
      <x:c r="P350" s="45" t="b">
        <x:v>1</x:v>
      </x:c>
      <x:c r="Q350" s="45" t="b">
        <x:v>1</x:v>
      </x:c>
      <x:c r="R350" s="45" t="b">
        <x:v>1</x:v>
      </x:c>
      <x:c r="S350" s="43" t="n">
        <x:v>5000000000</x:v>
      </x:c>
      <x:c r="T350" s="43" t="n">
        <x:v>5001751776</x:v>
      </x:c>
      <x:c r="U350" s="45" t="b">
        <x:v>1</x:v>
      </x:c>
      <x:c r="V350" s="34" t="str">
        <x:v>uniform</x:v>
      </x:c>
      <x:c r="W350" s="42" t="n">
        <x:v>95</x:v>
      </x:c>
      <x:c r="X350" s="48" t="n">
        <x:v>0.95</x:v>
      </x:c>
      <x:c r="Y350" s="48" t="n">
        <x:v>0.9502169268809066</x:v>
      </x:c>
      <x:c r="Z350" s="45" t="b">
        <x:v>1</x:v>
      </x:c>
      <x:c r="AA350" s="43" t="n">
        <x:v>10000</x:v>
      </x:c>
      <x:c r="AB350" s="43" t="n">
        <x:v>9900</x:v>
      </x:c>
      <x:c r="AC350" s="43" t="n">
        <x:v>10000</x:v>
      </x:c>
      <x:c r="AD350" s="45" t="b">
        <x:v>1</x:v>
      </x:c>
      <x:c r="AE350" s="43" t="n">
        <x:v>9900</x:v>
      </x:c>
      <x:c r="AF350" s="43"/>
      <x:c r="AG350" s="43" t="n">
        <x:v>10000</x:v>
      </x:c>
      <x:c r="AH350" s="45" t="b">
        <x:v>1</x:v>
      </x:c>
      <x:c r="AI350" s="45" t="b">
        <x:v>1</x:v>
      </x:c>
      <x:c r="AJ350" s="49"/>
      <x:c r="AK350" s="48" t="n">
        <x:v>0.9502169268809066</x:v>
      </x:c>
      <x:c r="AL350" s="49"/>
      <x:c r="AM350" s="49"/>
      <x:c r="AN350" s="36" t="n">
        <x:v>1</x:v>
      </x:c>
      <x:c r="AO350" s="45" t="b">
        <x:v>1</x:v>
      </x:c>
      <x:c r="AP350" s="45" t="b">
        <x:v>1</x:v>
      </x:c>
      <x:c r="AQ350" s="46" t="n">
        <x:f>IF(T350="","",T350/'Readme-Protocol'!$B$24)</x:f>
        <x:v>5.001751776</x:v>
      </x:c>
      <x:c r="AR350" s="46" t="n">
        <x:f>IF(OR(S350="",S350=0),"",T350/S350)</x:f>
        <x:v>1.0003503552</x:v>
      </x:c>
      <x:c r="AS350" s="46" t="n">
        <x:f>IF(OR(X350="",Y350=""),"",ABS(Y350-X350)*'Readme-Protocol'!$B$27)</x:f>
        <x:v>0.02169268809066871</x:v>
      </x:c>
      <x:c r="AT350" s="49" t="b">
        <x:f>AND(M350&gt;0,N350&gt;=0,O350&gt;0)</x:f>
        <x:v>1</x:v>
      </x:c>
      <x:c r="AU350" s="49" t="b">
        <x:f>AND(AT350,N350&gt;=M350)</x:f>
        <x:v>1</x:v>
      </x:c>
      <x:c r="AV350" s="49" t="b">
        <x:f>OR(S350=0,T350&gt;=S350)</x:f>
        <x:v>1</x:v>
      </x:c>
      <x:c r="AW350" s="49" t="b">
        <x:f>IF(I350="cache-semantics",OR(V350&lt;&gt;"uniform",ABS(Y350-W350/'Readme-Protocol'!$B$27)&lt;='Readme-Protocol'!$B$28),TRUE)</x:f>
        <x:v>1</x:v>
      </x:c>
      <x:c r="AX350" s="43" t="n">
        <x:f>IF(I350="cache-semantics",INT(AA350*'Readme-Protocol'!$B$32),"")</x:f>
        <x:v>9900</x:v>
      </x:c>
      <x:c r="AY350" s="49" t="b">
        <x:f>IF(I350="cache-semantics",AX350=AB350,TRUE)</x:f>
        <x:v>1</x:v>
      </x:c>
      <x:c r="AZ350" s="49" t="b">
        <x:f>IF(I350="cache-semantics",AX350=AE350,TRUE)</x:f>
        <x:v>1</x:v>
      </x:c>
      <x:c r="BA350" s="49" t="b">
        <x:f>IF(I350="cache-semantics",AC350&gt;=AX350,IF(I350="no-store-control",AC350=0,FALSE))</x:f>
        <x:v>1</x:v>
      </x:c>
      <x:c r="BB350" s="49" t="b">
        <x:f>IF(I350="cache-semantics",AG350&gt;=AX350,IF(I350="no-store-control",AG350=0,FALSE))</x:f>
        <x:v>1</x:v>
      </x:c>
      <x:c r="BC350" s="49" t="b">
        <x:f>AND(BA350,BB350)</x:f>
        <x:v>1</x:v>
      </x:c>
      <x:c r="BD350" s="49" t="b">
        <x:f>IF(I350="no-store-control",AND(AC350=0,AG350=0),TRUE)</x:f>
        <x:v>1</x:v>
      </x:c>
      <x:c r="BE350" s="49" t="b">
        <x:f>IF(I350="no-store-control",AK350=0,TRUE)</x:f>
        <x:v>1</x:v>
      </x:c>
      <x:c r="BF350" s="49" t="b">
        <x:f>IF(I350="cache-semantics",AN350=1,TRUE)</x:f>
        <x:v>1</x:v>
      </x:c>
      <x:c r="BG350" s="49" t="b">
        <x:f>IF(I350="cache-semantics",AND(AU350,AV350,Q350,AW350,BC350,BF350),IF(I350="no-store-control",AND(AU350,AV350,Q350,BD350,BE350),FALSE))</x:f>
        <x:v>1</x:v>
      </x:c>
      <x:c r="BH350" s="49" t="b">
        <x:f>AND(R350,AT350=P350,AU350=L350,AV350=U350,AY350,AZ350,IF(I350="cache-semantics",AND(AW350=Z350,AND(BA350=AD350,BB350=AH350,BC350=AI350),BF350=AO350),IF(I350="no-store-control",AND(AND(BA350=AD350,BB350=AH350,BC350=AI350),BD350=AJ350,BE350=AL350),FALSE)),BG350=AP350)</x:f>
        <x:v>1</x:v>
      </x:c>
      <x:c r="BI350" s="49" t="b">
        <x:f>AND(J350,K350,BG350)</x:f>
        <x:v>1</x:v>
      </x:c>
    </x:row>
    <x:row r="351">
      <x:c r="A351" s="34" t="str">
        <x:v>article1-unified-v4-2-fb3f101b-20260903-000401-default-f06-p5-jcs4</x:v>
      </x:c>
      <x:c r="B351" s="34" t="str">
        <x:v>default</x:v>
      </x:c>
      <x:c r="C351" s="34" t="str">
        <x:v>jcs4</x:v>
      </x:c>
      <x:c r="D351" s="36" t="n">
        <x:v>6</x:v>
      </x:c>
      <x:c r="E351" s="36" t="n">
        <x:v>6</x:v>
      </x:c>
      <x:c r="F351" s="36" t="n">
        <x:v>5</x:v>
      </x:c>
      <x:c r="G351" s="36" t="n">
        <x:v>5</x:v>
      </x:c>
      <x:c r="H351" s="34" t="str">
        <x:v>redeploy</x:v>
      </x:c>
      <x:c r="I351" s="34" t="str">
        <x:v>cache-semantics</x:v>
      </x:c>
      <x:c r="J351" s="45" t="b">
        <x:v>1</x:v>
      </x:c>
      <x:c r="K351" s="45" t="b">
        <x:v>1</x:v>
      </x:c>
      <x:c r="L351" s="45" t="b">
        <x:v>1</x:v>
      </x:c>
      <x:c r="M351" s="43" t="n">
        <x:v>400000</x:v>
      </x:c>
      <x:c r="N351" s="43" t="n">
        <x:v>6127616</x:v>
      </x:c>
      <x:c r="O351" s="43" t="n">
        <x:v>1225278.61796912</x:v>
      </x:c>
      <x:c r="P351" s="45" t="b">
        <x:v>1</x:v>
      </x:c>
      <x:c r="Q351" s="45" t="b">
        <x:v>1</x:v>
      </x:c>
      <x:c r="R351" s="45" t="b">
        <x:v>1</x:v>
      </x:c>
      <x:c r="S351" s="43" t="n">
        <x:v>5000000000</x:v>
      </x:c>
      <x:c r="T351" s="43" t="n">
        <x:v>5000998067</x:v>
      </x:c>
      <x:c r="U351" s="45" t="b">
        <x:v>1</x:v>
      </x:c>
      <x:c r="V351" s="34" t="str">
        <x:v>uniform</x:v>
      </x:c>
      <x:c r="W351" s="42" t="n">
        <x:v>95</x:v>
      </x:c>
      <x:c r="X351" s="48" t="n">
        <x:v>0.95</x:v>
      </x:c>
      <x:c r="Y351" s="48" t="n">
        <x:v>0.9502113056692848</x:v>
      </x:c>
      <x:c r="Z351" s="45" t="b">
        <x:v>1</x:v>
      </x:c>
      <x:c r="AA351" s="43" t="n">
        <x:v>10000</x:v>
      </x:c>
      <x:c r="AB351" s="43" t="n">
        <x:v>9900</x:v>
      </x:c>
      <x:c r="AC351" s="43" t="n">
        <x:v>10000</x:v>
      </x:c>
      <x:c r="AD351" s="45" t="b">
        <x:v>1</x:v>
      </x:c>
      <x:c r="AE351" s="43" t="n">
        <x:v>9900</x:v>
      </x:c>
      <x:c r="AF351" s="43"/>
      <x:c r="AG351" s="43" t="n">
        <x:v>10000</x:v>
      </x:c>
      <x:c r="AH351" s="45" t="b">
        <x:v>1</x:v>
      </x:c>
      <x:c r="AI351" s="45" t="b">
        <x:v>1</x:v>
      </x:c>
      <x:c r="AJ351" s="49"/>
      <x:c r="AK351" s="48" t="n">
        <x:v>0.9502113056692848</x:v>
      </x:c>
      <x:c r="AL351" s="49"/>
      <x:c r="AM351" s="49"/>
      <x:c r="AN351" s="36" t="n">
        <x:v>1</x:v>
      </x:c>
      <x:c r="AO351" s="45" t="b">
        <x:v>1</x:v>
      </x:c>
      <x:c r="AP351" s="45" t="b">
        <x:v>1</x:v>
      </x:c>
      <x:c r="AQ351" s="46" t="n">
        <x:f>IF(T351="","",T351/'Readme-Protocol'!$B$24)</x:f>
        <x:v>5.000998067</x:v>
      </x:c>
      <x:c r="AR351" s="46" t="n">
        <x:f>IF(OR(S351="",S351=0),"",T351/S351)</x:f>
        <x:v>1.0001996134</x:v>
      </x:c>
      <x:c r="AS351" s="46" t="n">
        <x:f>IF(OR(X351="",Y351=""),"",ABS(Y351-X351)*'Readme-Protocol'!$B$27)</x:f>
        <x:v>0.021130566928484473</x:v>
      </x:c>
      <x:c r="AT351" s="49" t="b">
        <x:f>AND(M351&gt;0,N351&gt;=0,O351&gt;0)</x:f>
        <x:v>1</x:v>
      </x:c>
      <x:c r="AU351" s="49" t="b">
        <x:f>AND(AT351,N351&gt;=M351)</x:f>
        <x:v>1</x:v>
      </x:c>
      <x:c r="AV351" s="49" t="b">
        <x:f>OR(S351=0,T351&gt;=S351)</x:f>
        <x:v>1</x:v>
      </x:c>
      <x:c r="AW351" s="49" t="b">
        <x:f>IF(I351="cache-semantics",OR(V351&lt;&gt;"uniform",ABS(Y351-W351/'Readme-Protocol'!$B$27)&lt;='Readme-Protocol'!$B$28),TRUE)</x:f>
        <x:v>1</x:v>
      </x:c>
      <x:c r="AX351" s="43" t="n">
        <x:f>IF(I351="cache-semantics",INT(AA351*'Readme-Protocol'!$B$32),"")</x:f>
        <x:v>9900</x:v>
      </x:c>
      <x:c r="AY351" s="49" t="b">
        <x:f>IF(I351="cache-semantics",AX351=AB351,TRUE)</x:f>
        <x:v>1</x:v>
      </x:c>
      <x:c r="AZ351" s="49" t="b">
        <x:f>IF(I351="cache-semantics",AX351=AE351,TRUE)</x:f>
        <x:v>1</x:v>
      </x:c>
      <x:c r="BA351" s="49" t="b">
        <x:f>IF(I351="cache-semantics",AC351&gt;=AX351,IF(I351="no-store-control",AC351=0,FALSE))</x:f>
        <x:v>1</x:v>
      </x:c>
      <x:c r="BB351" s="49" t="b">
        <x:f>IF(I351="cache-semantics",AG351&gt;=AX351,IF(I351="no-store-control",AG351=0,FALSE))</x:f>
        <x:v>1</x:v>
      </x:c>
      <x:c r="BC351" s="49" t="b">
        <x:f>AND(BA351,BB351)</x:f>
        <x:v>1</x:v>
      </x:c>
      <x:c r="BD351" s="49" t="b">
        <x:f>IF(I351="no-store-control",AND(AC351=0,AG351=0),TRUE)</x:f>
        <x:v>1</x:v>
      </x:c>
      <x:c r="BE351" s="49" t="b">
        <x:f>IF(I351="no-store-control",AK351=0,TRUE)</x:f>
        <x:v>1</x:v>
      </x:c>
      <x:c r="BF351" s="49" t="b">
        <x:f>IF(I351="cache-semantics",AN351=1,TRUE)</x:f>
        <x:v>1</x:v>
      </x:c>
      <x:c r="BG351" s="49" t="b">
        <x:f>IF(I351="cache-semantics",AND(AU351,AV351,Q351,AW351,BC351,BF351),IF(I351="no-store-control",AND(AU351,AV351,Q351,BD351,BE351),FALSE))</x:f>
        <x:v>1</x:v>
      </x:c>
      <x:c r="BH351" s="49" t="b">
        <x:f>AND(R351,AT351=P351,AU351=L351,AV351=U351,AY351,AZ351,IF(I351="cache-semantics",AND(AW351=Z351,AND(BA351=AD351,BB351=AH351,BC351=AI351),BF351=AO351),IF(I351="no-store-control",AND(AND(BA351=AD351,BB351=AH351,BC351=AI351),BD351=AJ351,BE351=AL351),FALSE)),BG351=AP351)</x:f>
        <x:v>1</x:v>
      </x:c>
      <x:c r="BI351" s="49" t="b">
        <x:f>AND(J351,K351,BG351)</x:f>
        <x:v>1</x:v>
      </x:c>
    </x:row>
    <x:row r="352">
      <x:c r="A352" s="34" t="str">
        <x:v>article1-unified-v4-2-fb3f101b-20260903-000401-default-f06-p6-cache2k</x:v>
      </x:c>
      <x:c r="B352" s="34" t="str">
        <x:v>default</x:v>
      </x:c>
      <x:c r="C352" s="34" t="str">
        <x:v>cache2k</x:v>
      </x:c>
      <x:c r="D352" s="36" t="n">
        <x:v>6</x:v>
      </x:c>
      <x:c r="E352" s="36" t="n">
        <x:v>6</x:v>
      </x:c>
      <x:c r="F352" s="36" t="n">
        <x:v>6</x:v>
      </x:c>
      <x:c r="G352" s="36" t="n">
        <x:v>1</x:v>
      </x:c>
      <x:c r="H352" s="34" t="str">
        <x:v>initial</x:v>
      </x:c>
      <x:c r="I352" s="34" t="str">
        <x:v>cache-semantics</x:v>
      </x:c>
      <x:c r="J352" s="45" t="b">
        <x:v>1</x:v>
      </x:c>
      <x:c r="K352" s="45" t="b">
        <x:v>1</x:v>
      </x:c>
      <x:c r="L352" s="45" t="b">
        <x:v>1</x:v>
      </x:c>
      <x:c r="M352" s="43" t="n">
        <x:v>400000</x:v>
      </x:c>
      <x:c r="N352" s="43" t="n">
        <x:v>158683648</x:v>
      </x:c>
      <x:c r="O352" s="43" t="n">
        <x:v>31712956.787453387</x:v>
      </x:c>
      <x:c r="P352" s="45" t="b">
        <x:v>1</x:v>
      </x:c>
      <x:c r="Q352" s="45" t="b">
        <x:v>1</x:v>
      </x:c>
      <x:c r="R352" s="45" t="b">
        <x:v>1</x:v>
      </x:c>
      <x:c r="S352" s="43" t="n">
        <x:v>5000000000</x:v>
      </x:c>
      <x:c r="T352" s="43" t="n">
        <x:v>5003748123</x:v>
      </x:c>
      <x:c r="U352" s="45" t="b">
        <x:v>1</x:v>
      </x:c>
      <x:c r="V352" s="34" t="str">
        <x:v>uniform</x:v>
      </x:c>
      <x:c r="W352" s="42" t="n">
        <x:v>95</x:v>
      </x:c>
      <x:c r="X352" s="48" t="n">
        <x:v>0.95</x:v>
      </x:c>
      <x:c r="Y352" s="48" t="n">
        <x:v>0.9482282761737366</x:v>
      </x:c>
      <x:c r="Z352" s="45" t="b">
        <x:v>1</x:v>
      </x:c>
      <x:c r="AA352" s="43" t="n">
        <x:v>10000</x:v>
      </x:c>
      <x:c r="AB352" s="43" t="n">
        <x:v>9900</x:v>
      </x:c>
      <x:c r="AC352" s="43" t="n">
        <x:v>9979</x:v>
      </x:c>
      <x:c r="AD352" s="45" t="b">
        <x:v>1</x:v>
      </x:c>
      <x:c r="AE352" s="43" t="n">
        <x:v>9900</x:v>
      </x:c>
      <x:c r="AF352" s="43"/>
      <x:c r="AG352" s="43" t="n">
        <x:v>9995</x:v>
      </x:c>
      <x:c r="AH352" s="45" t="b">
        <x:v>1</x:v>
      </x:c>
      <x:c r="AI352" s="45" t="b">
        <x:v>1</x:v>
      </x:c>
      <x:c r="AJ352" s="49"/>
      <x:c r="AK352" s="48" t="n">
        <x:v>0.9482282761737366</x:v>
      </x:c>
      <x:c r="AL352" s="49"/>
      <x:c r="AM352" s="49"/>
      <x:c r="AN352" s="36" t="n">
        <x:v>1</x:v>
      </x:c>
      <x:c r="AO352" s="45" t="b">
        <x:v>1</x:v>
      </x:c>
      <x:c r="AP352" s="45" t="b">
        <x:v>1</x:v>
      </x:c>
      <x:c r="AQ352" s="46" t="n">
        <x:f>IF(T352="","",T352/'Readme-Protocol'!$B$24)</x:f>
        <x:v>5.003748123</x:v>
      </x:c>
      <x:c r="AR352" s="46" t="n">
        <x:f>IF(OR(S352="",S352=0),"",T352/S352)</x:f>
        <x:v>1.0007496246</x:v>
      </x:c>
      <x:c r="AS352" s="46" t="n">
        <x:f>IF(OR(X352="",Y352=""),"",ABS(Y352-X352)*'Readme-Protocol'!$B$27)</x:f>
        <x:v>0.17717238262633384</x:v>
      </x:c>
      <x:c r="AT352" s="49" t="b">
        <x:f>AND(M352&gt;0,N352&gt;=0,O352&gt;0)</x:f>
        <x:v>1</x:v>
      </x:c>
      <x:c r="AU352" s="49" t="b">
        <x:f>AND(AT352,N352&gt;=M352)</x:f>
        <x:v>1</x:v>
      </x:c>
      <x:c r="AV352" s="49" t="b">
        <x:f>OR(S352=0,T352&gt;=S352)</x:f>
        <x:v>1</x:v>
      </x:c>
      <x:c r="AW352" s="49" t="b">
        <x:f>IF(I352="cache-semantics",OR(V352&lt;&gt;"uniform",ABS(Y352-W352/'Readme-Protocol'!$B$27)&lt;='Readme-Protocol'!$B$28),TRUE)</x:f>
        <x:v>1</x:v>
      </x:c>
      <x:c r="AX352" s="43" t="n">
        <x:f>IF(I352="cache-semantics",INT(AA352*'Readme-Protocol'!$B$32),"")</x:f>
        <x:v>9900</x:v>
      </x:c>
      <x:c r="AY352" s="49" t="b">
        <x:f>IF(I352="cache-semantics",AX352=AB352,TRUE)</x:f>
        <x:v>1</x:v>
      </x:c>
      <x:c r="AZ352" s="49" t="b">
        <x:f>IF(I352="cache-semantics",AX352=AE352,TRUE)</x:f>
        <x:v>1</x:v>
      </x:c>
      <x:c r="BA352" s="49" t="b">
        <x:f>IF(I352="cache-semantics",AC352&gt;=AX352,IF(I352="no-store-control",AC352=0,FALSE))</x:f>
        <x:v>1</x:v>
      </x:c>
      <x:c r="BB352" s="49" t="b">
        <x:f>IF(I352="cache-semantics",AG352&gt;=AX352,IF(I352="no-store-control",AG352=0,FALSE))</x:f>
        <x:v>1</x:v>
      </x:c>
      <x:c r="BC352" s="49" t="b">
        <x:f>AND(BA352,BB352)</x:f>
        <x:v>1</x:v>
      </x:c>
      <x:c r="BD352" s="49" t="b">
        <x:f>IF(I352="no-store-control",AND(AC352=0,AG352=0),TRUE)</x:f>
        <x:v>1</x:v>
      </x:c>
      <x:c r="BE352" s="49" t="b">
        <x:f>IF(I352="no-store-control",AK352=0,TRUE)</x:f>
        <x:v>1</x:v>
      </x:c>
      <x:c r="BF352" s="49" t="b">
        <x:f>IF(I352="cache-semantics",AN352=1,TRUE)</x:f>
        <x:v>1</x:v>
      </x:c>
      <x:c r="BG352" s="49" t="b">
        <x:f>IF(I352="cache-semantics",AND(AU352,AV352,Q352,AW352,BC352,BF352),IF(I352="no-store-control",AND(AU352,AV352,Q352,BD352,BE352),FALSE))</x:f>
        <x:v>1</x:v>
      </x:c>
      <x:c r="BH352" s="49" t="b">
        <x:f>AND(R352,AT352=P352,AU352=L352,AV352=U352,AY352,AZ352,IF(I352="cache-semantics",AND(AW352=Z352,AND(BA352=AD352,BB352=AH352,BC352=AI352),BF352=AO352),IF(I352="no-store-control",AND(AND(BA352=AD352,BB352=AH352,BC352=AI352),BD352=AJ352,BE352=AL352),FALSE)),BG352=AP352)</x:f>
        <x:v>1</x:v>
      </x:c>
      <x:c r="BI352" s="49" t="b">
        <x:f>AND(J352,K352,BG352)</x:f>
        <x:v>1</x:v>
      </x:c>
    </x:row>
    <x:row r="353">
      <x:c r="A353" s="34" t="str">
        <x:v>article1-unified-v4-2-fb3f101b-20260903-000401-default-f06-p6-cache2k</x:v>
      </x:c>
      <x:c r="B353" s="34" t="str">
        <x:v>default</x:v>
      </x:c>
      <x:c r="C353" s="34" t="str">
        <x:v>cache2k</x:v>
      </x:c>
      <x:c r="D353" s="36" t="n">
        <x:v>6</x:v>
      </x:c>
      <x:c r="E353" s="36" t="n">
        <x:v>6</x:v>
      </x:c>
      <x:c r="F353" s="36" t="n">
        <x:v>6</x:v>
      </x:c>
      <x:c r="G353" s="36" t="n">
        <x:v>1</x:v>
      </x:c>
      <x:c r="H353" s="34" t="str">
        <x:v>redeploy</x:v>
      </x:c>
      <x:c r="I353" s="34" t="str">
        <x:v>cache-semantics</x:v>
      </x:c>
      <x:c r="J353" s="45" t="b">
        <x:v>1</x:v>
      </x:c>
      <x:c r="K353" s="45" t="b">
        <x:v>1</x:v>
      </x:c>
      <x:c r="L353" s="45" t="b">
        <x:v>1</x:v>
      </x:c>
      <x:c r="M353" s="43" t="n">
        <x:v>400000</x:v>
      </x:c>
      <x:c r="N353" s="43" t="n">
        <x:v>157430272</x:v>
      </x:c>
      <x:c r="O353" s="43" t="n">
        <x:v>31469206.09545471</x:v>
      </x:c>
      <x:c r="P353" s="45" t="b">
        <x:v>1</x:v>
      </x:c>
      <x:c r="Q353" s="45" t="b">
        <x:v>1</x:v>
      </x:c>
      <x:c r="R353" s="45" t="b">
        <x:v>1</x:v>
      </x:c>
      <x:c r="S353" s="43" t="n">
        <x:v>5000000000</x:v>
      </x:c>
      <x:c r="T353" s="43" t="n">
        <x:v>5002676951</x:v>
      </x:c>
      <x:c r="U353" s="45" t="b">
        <x:v>1</x:v>
      </x:c>
      <x:c r="V353" s="34" t="str">
        <x:v>uniform</x:v>
      </x:c>
      <x:c r="W353" s="42" t="n">
        <x:v>95</x:v>
      </x:c>
      <x:c r="X353" s="48" t="n">
        <x:v>0.95</x:v>
      </x:c>
      <x:c r="Y353" s="48" t="n">
        <x:v>0.9482261518293</x:v>
      </x:c>
      <x:c r="Z353" s="45" t="b">
        <x:v>1</x:v>
      </x:c>
      <x:c r="AA353" s="43" t="n">
        <x:v>10000</x:v>
      </x:c>
      <x:c r="AB353" s="43" t="n">
        <x:v>9900</x:v>
      </x:c>
      <x:c r="AC353" s="43" t="n">
        <x:v>9979</x:v>
      </x:c>
      <x:c r="AD353" s="45" t="b">
        <x:v>1</x:v>
      </x:c>
      <x:c r="AE353" s="43" t="n">
        <x:v>9900</x:v>
      </x:c>
      <x:c r="AF353" s="43"/>
      <x:c r="AG353" s="43" t="n">
        <x:v>9994</x:v>
      </x:c>
      <x:c r="AH353" s="45" t="b">
        <x:v>1</x:v>
      </x:c>
      <x:c r="AI353" s="45" t="b">
        <x:v>1</x:v>
      </x:c>
      <x:c r="AJ353" s="49"/>
      <x:c r="AK353" s="48" t="n">
        <x:v>0.9482261518293</x:v>
      </x:c>
      <x:c r="AL353" s="49"/>
      <x:c r="AM353" s="49"/>
      <x:c r="AN353" s="36" t="n">
        <x:v>1</x:v>
      </x:c>
      <x:c r="AO353" s="45" t="b">
        <x:v>1</x:v>
      </x:c>
      <x:c r="AP353" s="45" t="b">
        <x:v>1</x:v>
      </x:c>
      <x:c r="AQ353" s="46" t="n">
        <x:f>IF(T353="","",T353/'Readme-Protocol'!$B$24)</x:f>
        <x:v>5.002676951</x:v>
      </x:c>
      <x:c r="AR353" s="46" t="n">
        <x:f>IF(OR(S353="",S353=0),"",T353/S353)</x:f>
        <x:v>1.0005353902</x:v>
      </x:c>
      <x:c r="AS353" s="46" t="n">
        <x:f>IF(OR(X353="",Y353=""),"",ABS(Y353-X353)*'Readme-Protocol'!$B$27)</x:f>
        <x:v>0.1773848170699921</x:v>
      </x:c>
      <x:c r="AT353" s="49" t="b">
        <x:f>AND(M353&gt;0,N353&gt;=0,O353&gt;0)</x:f>
        <x:v>1</x:v>
      </x:c>
      <x:c r="AU353" s="49" t="b">
        <x:f>AND(AT353,N353&gt;=M353)</x:f>
        <x:v>1</x:v>
      </x:c>
      <x:c r="AV353" s="49" t="b">
        <x:f>OR(S353=0,T353&gt;=S353)</x:f>
        <x:v>1</x:v>
      </x:c>
      <x:c r="AW353" s="49" t="b">
        <x:f>IF(I353="cache-semantics",OR(V353&lt;&gt;"uniform",ABS(Y353-W353/'Readme-Protocol'!$B$27)&lt;='Readme-Protocol'!$B$28),TRUE)</x:f>
        <x:v>1</x:v>
      </x:c>
      <x:c r="AX353" s="43" t="n">
        <x:f>IF(I353="cache-semantics",INT(AA353*'Readme-Protocol'!$B$32),"")</x:f>
        <x:v>9900</x:v>
      </x:c>
      <x:c r="AY353" s="49" t="b">
        <x:f>IF(I353="cache-semantics",AX353=AB353,TRUE)</x:f>
        <x:v>1</x:v>
      </x:c>
      <x:c r="AZ353" s="49" t="b">
        <x:f>IF(I353="cache-semantics",AX353=AE353,TRUE)</x:f>
        <x:v>1</x:v>
      </x:c>
      <x:c r="BA353" s="49" t="b">
        <x:f>IF(I353="cache-semantics",AC353&gt;=AX353,IF(I353="no-store-control",AC353=0,FALSE))</x:f>
        <x:v>1</x:v>
      </x:c>
      <x:c r="BB353" s="49" t="b">
        <x:f>IF(I353="cache-semantics",AG353&gt;=AX353,IF(I353="no-store-control",AG353=0,FALSE))</x:f>
        <x:v>1</x:v>
      </x:c>
      <x:c r="BC353" s="49" t="b">
        <x:f>AND(BA353,BB353)</x:f>
        <x:v>1</x:v>
      </x:c>
      <x:c r="BD353" s="49" t="b">
        <x:f>IF(I353="no-store-control",AND(AC353=0,AG353=0),TRUE)</x:f>
        <x:v>1</x:v>
      </x:c>
      <x:c r="BE353" s="49" t="b">
        <x:f>IF(I353="no-store-control",AK353=0,TRUE)</x:f>
        <x:v>1</x:v>
      </x:c>
      <x:c r="BF353" s="49" t="b">
        <x:f>IF(I353="cache-semantics",AN353=1,TRUE)</x:f>
        <x:v>1</x:v>
      </x:c>
      <x:c r="BG353" s="49" t="b">
        <x:f>IF(I353="cache-semantics",AND(AU353,AV353,Q353,AW353,BC353,BF353),IF(I353="no-store-control",AND(AU353,AV353,Q353,BD353,BE353),FALSE))</x:f>
        <x:v>1</x:v>
      </x:c>
      <x:c r="BH353" s="49" t="b">
        <x:f>AND(R353,AT353=P353,AU353=L353,AV353=U353,AY353,AZ353,IF(I353="cache-semantics",AND(AW353=Z353,AND(BA353=AD353,BB353=AH353,BC353=AI353),BF353=AO353),IF(I353="no-store-control",AND(AND(BA353=AD353,BB353=AH353,BC353=AI353),BD353=AJ353,BE353=AL353),FALSE)),BG353=AP353)</x:f>
        <x:v>1</x:v>
      </x:c>
      <x:c r="BI353" s="49" t="b">
        <x:f>AND(J353,K353,BG353)</x:f>
        <x:v>1</x:v>
      </x:c>
    </x:row>
    <x:row r="354">
      <x:c r="A354" s="34" t="str">
        <x:v>article1-unified-v4-2-fb3f101b-20260903-000401-default-f06-p6-cache2k</x:v>
      </x:c>
      <x:c r="B354" s="34" t="str">
        <x:v>default</x:v>
      </x:c>
      <x:c r="C354" s="34" t="str">
        <x:v>cache2k</x:v>
      </x:c>
      <x:c r="D354" s="36" t="n">
        <x:v>6</x:v>
      </x:c>
      <x:c r="E354" s="36" t="n">
        <x:v>6</x:v>
      </x:c>
      <x:c r="F354" s="36" t="n">
        <x:v>6</x:v>
      </x:c>
      <x:c r="G354" s="36" t="n">
        <x:v>2</x:v>
      </x:c>
      <x:c r="H354" s="34" t="str">
        <x:v>initial</x:v>
      </x:c>
      <x:c r="I354" s="34" t="str">
        <x:v>cache-semantics</x:v>
      </x:c>
      <x:c r="J354" s="45" t="b">
        <x:v>1</x:v>
      </x:c>
      <x:c r="K354" s="45" t="b">
        <x:v>1</x:v>
      </x:c>
      <x:c r="L354" s="45" t="b">
        <x:v>1</x:v>
      </x:c>
      <x:c r="M354" s="43" t="n">
        <x:v>400000</x:v>
      </x:c>
      <x:c r="N354" s="43" t="n">
        <x:v>155133696</x:v>
      </x:c>
      <x:c r="O354" s="43" t="n">
        <x:v>31011321.580351792</x:v>
      </x:c>
      <x:c r="P354" s="45" t="b">
        <x:v>1</x:v>
      </x:c>
      <x:c r="Q354" s="45" t="b">
        <x:v>1</x:v>
      </x:c>
      <x:c r="R354" s="45" t="b">
        <x:v>1</x:v>
      </x:c>
      <x:c r="S354" s="43" t="n">
        <x:v>5000000000</x:v>
      </x:c>
      <x:c r="T354" s="43" t="n">
        <x:v>5002485805</x:v>
      </x:c>
      <x:c r="U354" s="45" t="b">
        <x:v>1</x:v>
      </x:c>
      <x:c r="V354" s="34" t="str">
        <x:v>uniform</x:v>
      </x:c>
      <x:c r="W354" s="42" t="n">
        <x:v>95</x:v>
      </x:c>
      <x:c r="X354" s="48" t="n">
        <x:v>0.95</x:v>
      </x:c>
      <x:c r="Y354" s="48" t="n">
        <x:v>0.9478730075508547</x:v>
      </x:c>
      <x:c r="Z354" s="45" t="b">
        <x:v>1</x:v>
      </x:c>
      <x:c r="AA354" s="43" t="n">
        <x:v>10000</x:v>
      </x:c>
      <x:c r="AB354" s="43" t="n">
        <x:v>9900</x:v>
      </x:c>
      <x:c r="AC354" s="43" t="n">
        <x:v>9979</x:v>
      </x:c>
      <x:c r="AD354" s="45" t="b">
        <x:v>1</x:v>
      </x:c>
      <x:c r="AE354" s="43" t="n">
        <x:v>9900</x:v>
      </x:c>
      <x:c r="AF354" s="43"/>
      <x:c r="AG354" s="43" t="n">
        <x:v>9992</x:v>
      </x:c>
      <x:c r="AH354" s="45" t="b">
        <x:v>1</x:v>
      </x:c>
      <x:c r="AI354" s="45" t="b">
        <x:v>1</x:v>
      </x:c>
      <x:c r="AJ354" s="49"/>
      <x:c r="AK354" s="48" t="n">
        <x:v>0.9478730075508547</x:v>
      </x:c>
      <x:c r="AL354" s="49"/>
      <x:c r="AM354" s="49"/>
      <x:c r="AN354" s="36" t="n">
        <x:v>1</x:v>
      </x:c>
      <x:c r="AO354" s="45" t="b">
        <x:v>1</x:v>
      </x:c>
      <x:c r="AP354" s="45" t="b">
        <x:v>1</x:v>
      </x:c>
      <x:c r="AQ354" s="46" t="n">
        <x:f>IF(T354="","",T354/'Readme-Protocol'!$B$24)</x:f>
        <x:v>5.002485805</x:v>
      </x:c>
      <x:c r="AR354" s="46" t="n">
        <x:f>IF(OR(S354="",S354=0),"",T354/S354)</x:f>
        <x:v>1.000497161</x:v>
      </x:c>
      <x:c r="AS354" s="46" t="n">
        <x:f>IF(OR(X354="",Y354=""),"",ABS(Y354-X354)*'Readme-Protocol'!$B$27)</x:f>
        <x:v>0.21269924491452707</x:v>
      </x:c>
      <x:c r="AT354" s="49" t="b">
        <x:f>AND(M354&gt;0,N354&gt;=0,O354&gt;0)</x:f>
        <x:v>1</x:v>
      </x:c>
      <x:c r="AU354" s="49" t="b">
        <x:f>AND(AT354,N354&gt;=M354)</x:f>
        <x:v>1</x:v>
      </x:c>
      <x:c r="AV354" s="49" t="b">
        <x:f>OR(S354=0,T354&gt;=S354)</x:f>
        <x:v>1</x:v>
      </x:c>
      <x:c r="AW354" s="49" t="b">
        <x:f>IF(I354="cache-semantics",OR(V354&lt;&gt;"uniform",ABS(Y354-W354/'Readme-Protocol'!$B$27)&lt;='Readme-Protocol'!$B$28),TRUE)</x:f>
        <x:v>1</x:v>
      </x:c>
      <x:c r="AX354" s="43" t="n">
        <x:f>IF(I354="cache-semantics",INT(AA354*'Readme-Protocol'!$B$32),"")</x:f>
        <x:v>9900</x:v>
      </x:c>
      <x:c r="AY354" s="49" t="b">
        <x:f>IF(I354="cache-semantics",AX354=AB354,TRUE)</x:f>
        <x:v>1</x:v>
      </x:c>
      <x:c r="AZ354" s="49" t="b">
        <x:f>IF(I354="cache-semantics",AX354=AE354,TRUE)</x:f>
        <x:v>1</x:v>
      </x:c>
      <x:c r="BA354" s="49" t="b">
        <x:f>IF(I354="cache-semantics",AC354&gt;=AX354,IF(I354="no-store-control",AC354=0,FALSE))</x:f>
        <x:v>1</x:v>
      </x:c>
      <x:c r="BB354" s="49" t="b">
        <x:f>IF(I354="cache-semantics",AG354&gt;=AX354,IF(I354="no-store-control",AG354=0,FALSE))</x:f>
        <x:v>1</x:v>
      </x:c>
      <x:c r="BC354" s="49" t="b">
        <x:f>AND(BA354,BB354)</x:f>
        <x:v>1</x:v>
      </x:c>
      <x:c r="BD354" s="49" t="b">
        <x:f>IF(I354="no-store-control",AND(AC354=0,AG354=0),TRUE)</x:f>
        <x:v>1</x:v>
      </x:c>
      <x:c r="BE354" s="49" t="b">
        <x:f>IF(I354="no-store-control",AK354=0,TRUE)</x:f>
        <x:v>1</x:v>
      </x:c>
      <x:c r="BF354" s="49" t="b">
        <x:f>IF(I354="cache-semantics",AN354=1,TRUE)</x:f>
        <x:v>1</x:v>
      </x:c>
      <x:c r="BG354" s="49" t="b">
        <x:f>IF(I354="cache-semantics",AND(AU354,AV354,Q354,AW354,BC354,BF354),IF(I354="no-store-control",AND(AU354,AV354,Q354,BD354,BE354),FALSE))</x:f>
        <x:v>1</x:v>
      </x:c>
      <x:c r="BH354" s="49" t="b">
        <x:f>AND(R354,AT354=P354,AU354=L354,AV354=U354,AY354,AZ354,IF(I354="cache-semantics",AND(AW354=Z354,AND(BA354=AD354,BB354=AH354,BC354=AI354),BF354=AO354),IF(I354="no-store-control",AND(AND(BA354=AD354,BB354=AH354,BC354=AI354),BD354=AJ354,BE354=AL354),FALSE)),BG354=AP354)</x:f>
        <x:v>1</x:v>
      </x:c>
      <x:c r="BI354" s="49" t="b">
        <x:f>AND(J354,K354,BG354)</x:f>
        <x:v>1</x:v>
      </x:c>
    </x:row>
    <x:row r="355">
      <x:c r="A355" s="34" t="str">
        <x:v>article1-unified-v4-2-fb3f101b-20260903-000401-default-f06-p6-cache2k</x:v>
      </x:c>
      <x:c r="B355" s="34" t="str">
        <x:v>default</x:v>
      </x:c>
      <x:c r="C355" s="34" t="str">
        <x:v>cache2k</x:v>
      </x:c>
      <x:c r="D355" s="36" t="n">
        <x:v>6</x:v>
      </x:c>
      <x:c r="E355" s="36" t="n">
        <x:v>6</x:v>
      </x:c>
      <x:c r="F355" s="36" t="n">
        <x:v>6</x:v>
      </x:c>
      <x:c r="G355" s="36" t="n">
        <x:v>2</x:v>
      </x:c>
      <x:c r="H355" s="34" t="str">
        <x:v>redeploy</x:v>
      </x:c>
      <x:c r="I355" s="34" t="str">
        <x:v>cache-semantics</x:v>
      </x:c>
      <x:c r="J355" s="45" t="b">
        <x:v>1</x:v>
      </x:c>
      <x:c r="K355" s="45" t="b">
        <x:v>1</x:v>
      </x:c>
      <x:c r="L355" s="45" t="b">
        <x:v>1</x:v>
      </x:c>
      <x:c r="M355" s="43" t="n">
        <x:v>400000</x:v>
      </x:c>
      <x:c r="N355" s="43" t="n">
        <x:v>159677952</x:v>
      </x:c>
      <x:c r="O355" s="43" t="n">
        <x:v>31917187.568841245</x:v>
      </x:c>
      <x:c r="P355" s="45" t="b">
        <x:v>1</x:v>
      </x:c>
      <x:c r="Q355" s="45" t="b">
        <x:v>1</x:v>
      </x:c>
      <x:c r="R355" s="45" t="b">
        <x:v>1</x:v>
      </x:c>
      <x:c r="S355" s="43" t="n">
        <x:v>5000000000</x:v>
      </x:c>
      <x:c r="T355" s="43" t="n">
        <x:v>5002882903</x:v>
      </x:c>
      <x:c r="U355" s="45" t="b">
        <x:v>1</x:v>
      </x:c>
      <x:c r="V355" s="34" t="str">
        <x:v>uniform</x:v>
      </x:c>
      <x:c r="W355" s="42" t="n">
        <x:v>95</x:v>
      </x:c>
      <x:c r="X355" s="48" t="n">
        <x:v>0.95</x:v>
      </x:c>
      <x:c r="Y355" s="48" t="n">
        <x:v>0.947878583763399</x:v>
      </x:c>
      <x:c r="Z355" s="45" t="b">
        <x:v>1</x:v>
      </x:c>
      <x:c r="AA355" s="43" t="n">
        <x:v>10000</x:v>
      </x:c>
      <x:c r="AB355" s="43" t="n">
        <x:v>9900</x:v>
      </x:c>
      <x:c r="AC355" s="43" t="n">
        <x:v>9979</x:v>
      </x:c>
      <x:c r="AD355" s="45" t="b">
        <x:v>1</x:v>
      </x:c>
      <x:c r="AE355" s="43" t="n">
        <x:v>9900</x:v>
      </x:c>
      <x:c r="AF355" s="43"/>
      <x:c r="AG355" s="43" t="n">
        <x:v>9990</x:v>
      </x:c>
      <x:c r="AH355" s="45" t="b">
        <x:v>1</x:v>
      </x:c>
      <x:c r="AI355" s="45" t="b">
        <x:v>1</x:v>
      </x:c>
      <x:c r="AJ355" s="49"/>
      <x:c r="AK355" s="48" t="n">
        <x:v>0.947878583763399</x:v>
      </x:c>
      <x:c r="AL355" s="49"/>
      <x:c r="AM355" s="49"/>
      <x:c r="AN355" s="36" t="n">
        <x:v>1</x:v>
      </x:c>
      <x:c r="AO355" s="45" t="b">
        <x:v>1</x:v>
      </x:c>
      <x:c r="AP355" s="45" t="b">
        <x:v>1</x:v>
      </x:c>
      <x:c r="AQ355" s="46" t="n">
        <x:f>IF(T355="","",T355/'Readme-Protocol'!$B$24)</x:f>
        <x:v>5.002882903</x:v>
      </x:c>
      <x:c r="AR355" s="46" t="n">
        <x:f>IF(OR(S355="",S355=0),"",T355/S355)</x:f>
        <x:v>1.0005765806</x:v>
      </x:c>
      <x:c r="AS355" s="46" t="n">
        <x:f>IF(OR(X355="",Y355=""),"",ABS(Y355-X355)*'Readme-Protocol'!$B$27)</x:f>
        <x:v>0.21214162366010036</x:v>
      </x:c>
      <x:c r="AT355" s="49" t="b">
        <x:f>AND(M355&gt;0,N355&gt;=0,O355&gt;0)</x:f>
        <x:v>1</x:v>
      </x:c>
      <x:c r="AU355" s="49" t="b">
        <x:f>AND(AT355,N355&gt;=M355)</x:f>
        <x:v>1</x:v>
      </x:c>
      <x:c r="AV355" s="49" t="b">
        <x:f>OR(S355=0,T355&gt;=S355)</x:f>
        <x:v>1</x:v>
      </x:c>
      <x:c r="AW355" s="49" t="b">
        <x:f>IF(I355="cache-semantics",OR(V355&lt;&gt;"uniform",ABS(Y355-W355/'Readme-Protocol'!$B$27)&lt;='Readme-Protocol'!$B$28),TRUE)</x:f>
        <x:v>1</x:v>
      </x:c>
      <x:c r="AX355" s="43" t="n">
        <x:f>IF(I355="cache-semantics",INT(AA355*'Readme-Protocol'!$B$32),"")</x:f>
        <x:v>9900</x:v>
      </x:c>
      <x:c r="AY355" s="49" t="b">
        <x:f>IF(I355="cache-semantics",AX355=AB355,TRUE)</x:f>
        <x:v>1</x:v>
      </x:c>
      <x:c r="AZ355" s="49" t="b">
        <x:f>IF(I355="cache-semantics",AX355=AE355,TRUE)</x:f>
        <x:v>1</x:v>
      </x:c>
      <x:c r="BA355" s="49" t="b">
        <x:f>IF(I355="cache-semantics",AC355&gt;=AX355,IF(I355="no-store-control",AC355=0,FALSE))</x:f>
        <x:v>1</x:v>
      </x:c>
      <x:c r="BB355" s="49" t="b">
        <x:f>IF(I355="cache-semantics",AG355&gt;=AX355,IF(I355="no-store-control",AG355=0,FALSE))</x:f>
        <x:v>1</x:v>
      </x:c>
      <x:c r="BC355" s="49" t="b">
        <x:f>AND(BA355,BB355)</x:f>
        <x:v>1</x:v>
      </x:c>
      <x:c r="BD355" s="49" t="b">
        <x:f>IF(I355="no-store-control",AND(AC355=0,AG355=0),TRUE)</x:f>
        <x:v>1</x:v>
      </x:c>
      <x:c r="BE355" s="49" t="b">
        <x:f>IF(I355="no-store-control",AK355=0,TRUE)</x:f>
        <x:v>1</x:v>
      </x:c>
      <x:c r="BF355" s="49" t="b">
        <x:f>IF(I355="cache-semantics",AN355=1,TRUE)</x:f>
        <x:v>1</x:v>
      </x:c>
      <x:c r="BG355" s="49" t="b">
        <x:f>IF(I355="cache-semantics",AND(AU355,AV355,Q355,AW355,BC355,BF355),IF(I355="no-store-control",AND(AU355,AV355,Q355,BD355,BE355),FALSE))</x:f>
        <x:v>1</x:v>
      </x:c>
      <x:c r="BH355" s="49" t="b">
        <x:f>AND(R355,AT355=P355,AU355=L355,AV355=U355,AY355,AZ355,IF(I355="cache-semantics",AND(AW355=Z355,AND(BA355=AD355,BB355=AH355,BC355=AI355),BF355=AO355),IF(I355="no-store-control",AND(AND(BA355=AD355,BB355=AH355,BC355=AI355),BD355=AJ355,BE355=AL355),FALSE)),BG355=AP355)</x:f>
        <x:v>1</x:v>
      </x:c>
      <x:c r="BI355" s="49" t="b">
        <x:f>AND(J355,K355,BG355)</x:f>
        <x:v>1</x:v>
      </x:c>
    </x:row>
    <x:row r="356">
      <x:c r="A356" s="34" t="str">
        <x:v>article1-unified-v4-2-fb3f101b-20260903-000401-default-f06-p6-cache2k</x:v>
      </x:c>
      <x:c r="B356" s="34" t="str">
        <x:v>default</x:v>
      </x:c>
      <x:c r="C356" s="34" t="str">
        <x:v>cache2k</x:v>
      </x:c>
      <x:c r="D356" s="36" t="n">
        <x:v>6</x:v>
      </x:c>
      <x:c r="E356" s="36" t="n">
        <x:v>6</x:v>
      </x:c>
      <x:c r="F356" s="36" t="n">
        <x:v>6</x:v>
      </x:c>
      <x:c r="G356" s="36" t="n">
        <x:v>3</x:v>
      </x:c>
      <x:c r="H356" s="34" t="str">
        <x:v>initial</x:v>
      </x:c>
      <x:c r="I356" s="34" t="str">
        <x:v>cache-semantics</x:v>
      </x:c>
      <x:c r="J356" s="45" t="b">
        <x:v>1</x:v>
      </x:c>
      <x:c r="K356" s="45" t="b">
        <x:v>1</x:v>
      </x:c>
      <x:c r="L356" s="45" t="b">
        <x:v>1</x:v>
      </x:c>
      <x:c r="M356" s="43" t="n">
        <x:v>400000</x:v>
      </x:c>
      <x:c r="N356" s="43" t="n">
        <x:v>158564608</x:v>
      </x:c>
      <x:c r="O356" s="43" t="n">
        <x:v>31370951.0847551</x:v>
      </x:c>
      <x:c r="P356" s="45" t="b">
        <x:v>1</x:v>
      </x:c>
      <x:c r="Q356" s="45" t="b">
        <x:v>1</x:v>
      </x:c>
      <x:c r="R356" s="45" t="b">
        <x:v>1</x:v>
      </x:c>
      <x:c r="S356" s="43" t="n">
        <x:v>5000000000</x:v>
      </x:c>
      <x:c r="T356" s="43" t="n">
        <x:v>5054504327</x:v>
      </x:c>
      <x:c r="U356" s="45" t="b">
        <x:v>1</x:v>
      </x:c>
      <x:c r="V356" s="34" t="str">
        <x:v>uniform</x:v>
      </x:c>
      <x:c r="W356" s="42" t="n">
        <x:v>95</x:v>
      </x:c>
      <x:c r="X356" s="48" t="n">
        <x:v>0.95</x:v>
      </x:c>
      <x:c r="Y356" s="48" t="n">
        <x:v>0.9479895475792429</x:v>
      </x:c>
      <x:c r="Z356" s="45" t="b">
        <x:v>1</x:v>
      </x:c>
      <x:c r="AA356" s="43" t="n">
        <x:v>10000</x:v>
      </x:c>
      <x:c r="AB356" s="43" t="n">
        <x:v>9900</x:v>
      </x:c>
      <x:c r="AC356" s="43" t="n">
        <x:v>9979</x:v>
      </x:c>
      <x:c r="AD356" s="45" t="b">
        <x:v>1</x:v>
      </x:c>
      <x:c r="AE356" s="43" t="n">
        <x:v>9900</x:v>
      </x:c>
      <x:c r="AF356" s="43"/>
      <x:c r="AG356" s="43" t="n">
        <x:v>9991</x:v>
      </x:c>
      <x:c r="AH356" s="45" t="b">
        <x:v>1</x:v>
      </x:c>
      <x:c r="AI356" s="45" t="b">
        <x:v>1</x:v>
      </x:c>
      <x:c r="AJ356" s="49"/>
      <x:c r="AK356" s="48" t="n">
        <x:v>0.9479895475792429</x:v>
      </x:c>
      <x:c r="AL356" s="49"/>
      <x:c r="AM356" s="49"/>
      <x:c r="AN356" s="36" t="n">
        <x:v>1</x:v>
      </x:c>
      <x:c r="AO356" s="45" t="b">
        <x:v>1</x:v>
      </x:c>
      <x:c r="AP356" s="45" t="b">
        <x:v>1</x:v>
      </x:c>
      <x:c r="AQ356" s="46" t="n">
        <x:f>IF(T356="","",T356/'Readme-Protocol'!$B$24)</x:f>
        <x:v>5.054504327</x:v>
      </x:c>
      <x:c r="AR356" s="46" t="n">
        <x:f>IF(OR(S356="",S356=0),"",T356/S356)</x:f>
        <x:v>1.0109008654</x:v>
      </x:c>
      <x:c r="AS356" s="46" t="n">
        <x:f>IF(OR(X356="",Y356=""),"",ABS(Y356-X356)*'Readme-Protocol'!$B$27)</x:f>
        <x:v>0.20104524207570362</x:v>
      </x:c>
      <x:c r="AT356" s="49" t="b">
        <x:f>AND(M356&gt;0,N356&gt;=0,O356&gt;0)</x:f>
        <x:v>1</x:v>
      </x:c>
      <x:c r="AU356" s="49" t="b">
        <x:f>AND(AT356,N356&gt;=M356)</x:f>
        <x:v>1</x:v>
      </x:c>
      <x:c r="AV356" s="49" t="b">
        <x:f>OR(S356=0,T356&gt;=S356)</x:f>
        <x:v>1</x:v>
      </x:c>
      <x:c r="AW356" s="49" t="b">
        <x:f>IF(I356="cache-semantics",OR(V356&lt;&gt;"uniform",ABS(Y356-W356/'Readme-Protocol'!$B$27)&lt;='Readme-Protocol'!$B$28),TRUE)</x:f>
        <x:v>1</x:v>
      </x:c>
      <x:c r="AX356" s="43" t="n">
        <x:f>IF(I356="cache-semantics",INT(AA356*'Readme-Protocol'!$B$32),"")</x:f>
        <x:v>9900</x:v>
      </x:c>
      <x:c r="AY356" s="49" t="b">
        <x:f>IF(I356="cache-semantics",AX356=AB356,TRUE)</x:f>
        <x:v>1</x:v>
      </x:c>
      <x:c r="AZ356" s="49" t="b">
        <x:f>IF(I356="cache-semantics",AX356=AE356,TRUE)</x:f>
        <x:v>1</x:v>
      </x:c>
      <x:c r="BA356" s="49" t="b">
        <x:f>IF(I356="cache-semantics",AC356&gt;=AX356,IF(I356="no-store-control",AC356=0,FALSE))</x:f>
        <x:v>1</x:v>
      </x:c>
      <x:c r="BB356" s="49" t="b">
        <x:f>IF(I356="cache-semantics",AG356&gt;=AX356,IF(I356="no-store-control",AG356=0,FALSE))</x:f>
        <x:v>1</x:v>
      </x:c>
      <x:c r="BC356" s="49" t="b">
        <x:f>AND(BA356,BB356)</x:f>
        <x:v>1</x:v>
      </x:c>
      <x:c r="BD356" s="49" t="b">
        <x:f>IF(I356="no-store-control",AND(AC356=0,AG356=0),TRUE)</x:f>
        <x:v>1</x:v>
      </x:c>
      <x:c r="BE356" s="49" t="b">
        <x:f>IF(I356="no-store-control",AK356=0,TRUE)</x:f>
        <x:v>1</x:v>
      </x:c>
      <x:c r="BF356" s="49" t="b">
        <x:f>IF(I356="cache-semantics",AN356=1,TRUE)</x:f>
        <x:v>1</x:v>
      </x:c>
      <x:c r="BG356" s="49" t="b">
        <x:f>IF(I356="cache-semantics",AND(AU356,AV356,Q356,AW356,BC356,BF356),IF(I356="no-store-control",AND(AU356,AV356,Q356,BD356,BE356),FALSE))</x:f>
        <x:v>1</x:v>
      </x:c>
      <x:c r="BH356" s="49" t="b">
        <x:f>AND(R356,AT356=P356,AU356=L356,AV356=U356,AY356,AZ356,IF(I356="cache-semantics",AND(AW356=Z356,AND(BA356=AD356,BB356=AH356,BC356=AI356),BF356=AO356),IF(I356="no-store-control",AND(AND(BA356=AD356,BB356=AH356,BC356=AI356),BD356=AJ356,BE356=AL356),FALSE)),BG356=AP356)</x:f>
        <x:v>1</x:v>
      </x:c>
      <x:c r="BI356" s="49" t="b">
        <x:f>AND(J356,K356,BG356)</x:f>
        <x:v>1</x:v>
      </x:c>
    </x:row>
    <x:row r="357">
      <x:c r="A357" s="34" t="str">
        <x:v>article1-unified-v4-2-fb3f101b-20260903-000401-default-f06-p6-cache2k</x:v>
      </x:c>
      <x:c r="B357" s="34" t="str">
        <x:v>default</x:v>
      </x:c>
      <x:c r="C357" s="34" t="str">
        <x:v>cache2k</x:v>
      </x:c>
      <x:c r="D357" s="36" t="n">
        <x:v>6</x:v>
      </x:c>
      <x:c r="E357" s="36" t="n">
        <x:v>6</x:v>
      </x:c>
      <x:c r="F357" s="36" t="n">
        <x:v>6</x:v>
      </x:c>
      <x:c r="G357" s="36" t="n">
        <x:v>3</x:v>
      </x:c>
      <x:c r="H357" s="34" t="str">
        <x:v>redeploy</x:v>
      </x:c>
      <x:c r="I357" s="34" t="str">
        <x:v>cache-semantics</x:v>
      </x:c>
      <x:c r="J357" s="45" t="b">
        <x:v>1</x:v>
      </x:c>
      <x:c r="K357" s="45" t="b">
        <x:v>1</x:v>
      </x:c>
      <x:c r="L357" s="45" t="b">
        <x:v>1</x:v>
      </x:c>
      <x:c r="M357" s="43" t="n">
        <x:v>400000</x:v>
      </x:c>
      <x:c r="N357" s="43" t="n">
        <x:v>154393856</x:v>
      </x:c>
      <x:c r="O357" s="43" t="n">
        <x:v>30864493.069454618</x:v>
      </x:c>
      <x:c r="P357" s="45" t="b">
        <x:v>1</x:v>
      </x:c>
      <x:c r="Q357" s="45" t="b">
        <x:v>1</x:v>
      </x:c>
      <x:c r="R357" s="45" t="b">
        <x:v>1</x:v>
      </x:c>
      <x:c r="S357" s="43" t="n">
        <x:v>5000000000</x:v>
      </x:c>
      <x:c r="T357" s="43" t="n">
        <x:v>5002313035</x:v>
      </x:c>
      <x:c r="U357" s="45" t="b">
        <x:v>1</x:v>
      </x:c>
      <x:c r="V357" s="34" t="str">
        <x:v>uniform</x:v>
      </x:c>
      <x:c r="W357" s="42" t="n">
        <x:v>95</x:v>
      </x:c>
      <x:c r="X357" s="48" t="n">
        <x:v>0.95</x:v>
      </x:c>
      <x:c r="Y357" s="48" t="n">
        <x:v>0.9479854301974296</x:v>
      </x:c>
      <x:c r="Z357" s="45" t="b">
        <x:v>1</x:v>
      </x:c>
      <x:c r="AA357" s="43" t="n">
        <x:v>10000</x:v>
      </x:c>
      <x:c r="AB357" s="43" t="n">
        <x:v>9900</x:v>
      </x:c>
      <x:c r="AC357" s="43" t="n">
        <x:v>9979</x:v>
      </x:c>
      <x:c r="AD357" s="45" t="b">
        <x:v>1</x:v>
      </x:c>
      <x:c r="AE357" s="43" t="n">
        <x:v>9900</x:v>
      </x:c>
      <x:c r="AF357" s="43"/>
      <x:c r="AG357" s="43" t="n">
        <x:v>9992</x:v>
      </x:c>
      <x:c r="AH357" s="45" t="b">
        <x:v>1</x:v>
      </x:c>
      <x:c r="AI357" s="45" t="b">
        <x:v>1</x:v>
      </x:c>
      <x:c r="AJ357" s="49"/>
      <x:c r="AK357" s="48" t="n">
        <x:v>0.9479854301974296</x:v>
      </x:c>
      <x:c r="AL357" s="49"/>
      <x:c r="AM357" s="49"/>
      <x:c r="AN357" s="36" t="n">
        <x:v>1</x:v>
      </x:c>
      <x:c r="AO357" s="45" t="b">
        <x:v>1</x:v>
      </x:c>
      <x:c r="AP357" s="45" t="b">
        <x:v>1</x:v>
      </x:c>
      <x:c r="AQ357" s="46" t="n">
        <x:f>IF(T357="","",T357/'Readme-Protocol'!$B$24)</x:f>
        <x:v>5.002313035</x:v>
      </x:c>
      <x:c r="AR357" s="46" t="n">
        <x:f>IF(OR(S357="",S357=0),"",T357/S357)</x:f>
        <x:v>1.000462607</x:v>
      </x:c>
      <x:c r="AS357" s="46" t="n">
        <x:f>IF(OR(X357="",Y357=""),"",ABS(Y357-X357)*'Readme-Protocol'!$B$27)</x:f>
        <x:v>0.20145698025703096</x:v>
      </x:c>
      <x:c r="AT357" s="49" t="b">
        <x:f>AND(M357&gt;0,N357&gt;=0,O357&gt;0)</x:f>
        <x:v>1</x:v>
      </x:c>
      <x:c r="AU357" s="49" t="b">
        <x:f>AND(AT357,N357&gt;=M357)</x:f>
        <x:v>1</x:v>
      </x:c>
      <x:c r="AV357" s="49" t="b">
        <x:f>OR(S357=0,T357&gt;=S357)</x:f>
        <x:v>1</x:v>
      </x:c>
      <x:c r="AW357" s="49" t="b">
        <x:f>IF(I357="cache-semantics",OR(V357&lt;&gt;"uniform",ABS(Y357-W357/'Readme-Protocol'!$B$27)&lt;='Readme-Protocol'!$B$28),TRUE)</x:f>
        <x:v>1</x:v>
      </x:c>
      <x:c r="AX357" s="43" t="n">
        <x:f>IF(I357="cache-semantics",INT(AA357*'Readme-Protocol'!$B$32),"")</x:f>
        <x:v>9900</x:v>
      </x:c>
      <x:c r="AY357" s="49" t="b">
        <x:f>IF(I357="cache-semantics",AX357=AB357,TRUE)</x:f>
        <x:v>1</x:v>
      </x:c>
      <x:c r="AZ357" s="49" t="b">
        <x:f>IF(I357="cache-semantics",AX357=AE357,TRUE)</x:f>
        <x:v>1</x:v>
      </x:c>
      <x:c r="BA357" s="49" t="b">
        <x:f>IF(I357="cache-semantics",AC357&gt;=AX357,IF(I357="no-store-control",AC357=0,FALSE))</x:f>
        <x:v>1</x:v>
      </x:c>
      <x:c r="BB357" s="49" t="b">
        <x:f>IF(I357="cache-semantics",AG357&gt;=AX357,IF(I357="no-store-control",AG357=0,FALSE))</x:f>
        <x:v>1</x:v>
      </x:c>
      <x:c r="BC357" s="49" t="b">
        <x:f>AND(BA357,BB357)</x:f>
        <x:v>1</x:v>
      </x:c>
      <x:c r="BD357" s="49" t="b">
        <x:f>IF(I357="no-store-control",AND(AC357=0,AG357=0),TRUE)</x:f>
        <x:v>1</x:v>
      </x:c>
      <x:c r="BE357" s="49" t="b">
        <x:f>IF(I357="no-store-control",AK357=0,TRUE)</x:f>
        <x:v>1</x:v>
      </x:c>
      <x:c r="BF357" s="49" t="b">
        <x:f>IF(I357="cache-semantics",AN357=1,TRUE)</x:f>
        <x:v>1</x:v>
      </x:c>
      <x:c r="BG357" s="49" t="b">
        <x:f>IF(I357="cache-semantics",AND(AU357,AV357,Q357,AW357,BC357,BF357),IF(I357="no-store-control",AND(AU357,AV357,Q357,BD357,BE357),FALSE))</x:f>
        <x:v>1</x:v>
      </x:c>
      <x:c r="BH357" s="49" t="b">
        <x:f>AND(R357,AT357=P357,AU357=L357,AV357=U357,AY357,AZ357,IF(I357="cache-semantics",AND(AW357=Z357,AND(BA357=AD357,BB357=AH357,BC357=AI357),BF357=AO357),IF(I357="no-store-control",AND(AND(BA357=AD357,BB357=AH357,BC357=AI357),BD357=AJ357,BE357=AL357),FALSE)),BG357=AP357)</x:f>
        <x:v>1</x:v>
      </x:c>
      <x:c r="BI357" s="49" t="b">
        <x:f>AND(J357,K357,BG357)</x:f>
        <x:v>1</x:v>
      </x:c>
    </x:row>
    <x:row r="358">
      <x:c r="A358" s="34" t="str">
        <x:v>article1-unified-v4-2-fb3f101b-20260903-000401-default-f06-p6-cache2k</x:v>
      </x:c>
      <x:c r="B358" s="34" t="str">
        <x:v>default</x:v>
      </x:c>
      <x:c r="C358" s="34" t="str">
        <x:v>cache2k</x:v>
      </x:c>
      <x:c r="D358" s="36" t="n">
        <x:v>6</x:v>
      </x:c>
      <x:c r="E358" s="36" t="n">
        <x:v>6</x:v>
      </x:c>
      <x:c r="F358" s="36" t="n">
        <x:v>6</x:v>
      </x:c>
      <x:c r="G358" s="36" t="n">
        <x:v>4</x:v>
      </x:c>
      <x:c r="H358" s="34" t="str">
        <x:v>initial</x:v>
      </x:c>
      <x:c r="I358" s="34" t="str">
        <x:v>cache-semantics</x:v>
      </x:c>
      <x:c r="J358" s="45" t="b">
        <x:v>1</x:v>
      </x:c>
      <x:c r="K358" s="45" t="b">
        <x:v>1</x:v>
      </x:c>
      <x:c r="L358" s="45" t="b">
        <x:v>1</x:v>
      </x:c>
      <x:c r="M358" s="43" t="n">
        <x:v>400000</x:v>
      </x:c>
      <x:c r="N358" s="43" t="n">
        <x:v>158974720</x:v>
      </x:c>
      <x:c r="O358" s="43" t="n">
        <x:v>31779079.965906627</x:v>
      </x:c>
      <x:c r="P358" s="45" t="b">
        <x:v>1</x:v>
      </x:c>
      <x:c r="Q358" s="45" t="b">
        <x:v>1</x:v>
      </x:c>
      <x:c r="R358" s="45" t="b">
        <x:v>1</x:v>
      </x:c>
      <x:c r="S358" s="43" t="n">
        <x:v>5000000000</x:v>
      </x:c>
      <x:c r="T358" s="43" t="n">
        <x:v>5002495987</x:v>
      </x:c>
      <x:c r="U358" s="45" t="b">
        <x:v>1</x:v>
      </x:c>
      <x:c r="V358" s="34" t="str">
        <x:v>uniform</x:v>
      </x:c>
      <x:c r="W358" s="42" t="n">
        <x:v>95</x:v>
      </x:c>
      <x:c r="X358" s="48" t="n">
        <x:v>0.95</x:v>
      </x:c>
      <x:c r="Y358" s="48" t="n">
        <x:v>0.9480751845324842</x:v>
      </x:c>
      <x:c r="Z358" s="45" t="b">
        <x:v>1</x:v>
      </x:c>
      <x:c r="AA358" s="43" t="n">
        <x:v>10000</x:v>
      </x:c>
      <x:c r="AB358" s="43" t="n">
        <x:v>9900</x:v>
      </x:c>
      <x:c r="AC358" s="43" t="n">
        <x:v>9979</x:v>
      </x:c>
      <x:c r="AD358" s="45" t="b">
        <x:v>1</x:v>
      </x:c>
      <x:c r="AE358" s="43" t="n">
        <x:v>9900</x:v>
      </x:c>
      <x:c r="AF358" s="43"/>
      <x:c r="AG358" s="43" t="n">
        <x:v>9995</x:v>
      </x:c>
      <x:c r="AH358" s="45" t="b">
        <x:v>1</x:v>
      </x:c>
      <x:c r="AI358" s="45" t="b">
        <x:v>1</x:v>
      </x:c>
      <x:c r="AJ358" s="49"/>
      <x:c r="AK358" s="48" t="n">
        <x:v>0.9480751845324842</x:v>
      </x:c>
      <x:c r="AL358" s="49"/>
      <x:c r="AM358" s="49"/>
      <x:c r="AN358" s="36" t="n">
        <x:v>1</x:v>
      </x:c>
      <x:c r="AO358" s="45" t="b">
        <x:v>1</x:v>
      </x:c>
      <x:c r="AP358" s="45" t="b">
        <x:v>1</x:v>
      </x:c>
      <x:c r="AQ358" s="46" t="n">
        <x:f>IF(T358="","",T358/'Readme-Protocol'!$B$24)</x:f>
        <x:v>5.002495987</x:v>
      </x:c>
      <x:c r="AR358" s="46" t="n">
        <x:f>IF(OR(S358="",S358=0),"",T358/S358)</x:f>
        <x:v>1.0004991974</x:v>
      </x:c>
      <x:c r="AS358" s="46" t="n">
        <x:f>IF(OR(X358="",Y358=""),"",ABS(Y358-X358)*'Readme-Protocol'!$B$27)</x:f>
        <x:v>0.19248154675157725</x:v>
      </x:c>
      <x:c r="AT358" s="49" t="b">
        <x:f>AND(M358&gt;0,N358&gt;=0,O358&gt;0)</x:f>
        <x:v>1</x:v>
      </x:c>
      <x:c r="AU358" s="49" t="b">
        <x:f>AND(AT358,N358&gt;=M358)</x:f>
        <x:v>1</x:v>
      </x:c>
      <x:c r="AV358" s="49" t="b">
        <x:f>OR(S358=0,T358&gt;=S358)</x:f>
        <x:v>1</x:v>
      </x:c>
      <x:c r="AW358" s="49" t="b">
        <x:f>IF(I358="cache-semantics",OR(V358&lt;&gt;"uniform",ABS(Y358-W358/'Readme-Protocol'!$B$27)&lt;='Readme-Protocol'!$B$28),TRUE)</x:f>
        <x:v>1</x:v>
      </x:c>
      <x:c r="AX358" s="43" t="n">
        <x:f>IF(I358="cache-semantics",INT(AA358*'Readme-Protocol'!$B$32),"")</x:f>
        <x:v>9900</x:v>
      </x:c>
      <x:c r="AY358" s="49" t="b">
        <x:f>IF(I358="cache-semantics",AX358=AB358,TRUE)</x:f>
        <x:v>1</x:v>
      </x:c>
      <x:c r="AZ358" s="49" t="b">
        <x:f>IF(I358="cache-semantics",AX358=AE358,TRUE)</x:f>
        <x:v>1</x:v>
      </x:c>
      <x:c r="BA358" s="49" t="b">
        <x:f>IF(I358="cache-semantics",AC358&gt;=AX358,IF(I358="no-store-control",AC358=0,FALSE))</x:f>
        <x:v>1</x:v>
      </x:c>
      <x:c r="BB358" s="49" t="b">
        <x:f>IF(I358="cache-semantics",AG358&gt;=AX358,IF(I358="no-store-control",AG358=0,FALSE))</x:f>
        <x:v>1</x:v>
      </x:c>
      <x:c r="BC358" s="49" t="b">
        <x:f>AND(BA358,BB358)</x:f>
        <x:v>1</x:v>
      </x:c>
      <x:c r="BD358" s="49" t="b">
        <x:f>IF(I358="no-store-control",AND(AC358=0,AG358=0),TRUE)</x:f>
        <x:v>1</x:v>
      </x:c>
      <x:c r="BE358" s="49" t="b">
        <x:f>IF(I358="no-store-control",AK358=0,TRUE)</x:f>
        <x:v>1</x:v>
      </x:c>
      <x:c r="BF358" s="49" t="b">
        <x:f>IF(I358="cache-semantics",AN358=1,TRUE)</x:f>
        <x:v>1</x:v>
      </x:c>
      <x:c r="BG358" s="49" t="b">
        <x:f>IF(I358="cache-semantics",AND(AU358,AV358,Q358,AW358,BC358,BF358),IF(I358="no-store-control",AND(AU358,AV358,Q358,BD358,BE358),FALSE))</x:f>
        <x:v>1</x:v>
      </x:c>
      <x:c r="BH358" s="49" t="b">
        <x:f>AND(R358,AT358=P358,AU358=L358,AV358=U358,AY358,AZ358,IF(I358="cache-semantics",AND(AW358=Z358,AND(BA358=AD358,BB358=AH358,BC358=AI358),BF358=AO358),IF(I358="no-store-control",AND(AND(BA358=AD358,BB358=AH358,BC358=AI358),BD358=AJ358,BE358=AL358),FALSE)),BG358=AP358)</x:f>
        <x:v>1</x:v>
      </x:c>
      <x:c r="BI358" s="49" t="b">
        <x:f>AND(J358,K358,BG358)</x:f>
        <x:v>1</x:v>
      </x:c>
    </x:row>
    <x:row r="359">
      <x:c r="A359" s="34" t="str">
        <x:v>article1-unified-v4-2-fb3f101b-20260903-000401-default-f06-p6-cache2k</x:v>
      </x:c>
      <x:c r="B359" s="34" t="str">
        <x:v>default</x:v>
      </x:c>
      <x:c r="C359" s="34" t="str">
        <x:v>cache2k</x:v>
      </x:c>
      <x:c r="D359" s="36" t="n">
        <x:v>6</x:v>
      </x:c>
      <x:c r="E359" s="36" t="n">
        <x:v>6</x:v>
      </x:c>
      <x:c r="F359" s="36" t="n">
        <x:v>6</x:v>
      </x:c>
      <x:c r="G359" s="36" t="n">
        <x:v>4</x:v>
      </x:c>
      <x:c r="H359" s="34" t="str">
        <x:v>redeploy</x:v>
      </x:c>
      <x:c r="I359" s="34" t="str">
        <x:v>cache-semantics</x:v>
      </x:c>
      <x:c r="J359" s="45" t="b">
        <x:v>1</x:v>
      </x:c>
      <x:c r="K359" s="45" t="b">
        <x:v>1</x:v>
      </x:c>
      <x:c r="L359" s="45" t="b">
        <x:v>1</x:v>
      </x:c>
      <x:c r="M359" s="43" t="n">
        <x:v>400000</x:v>
      </x:c>
      <x:c r="N359" s="43" t="n">
        <x:v>160299008</x:v>
      </x:c>
      <x:c r="O359" s="43" t="n">
        <x:v>31710813.5185015</x:v>
      </x:c>
      <x:c r="P359" s="45" t="b">
        <x:v>1</x:v>
      </x:c>
      <x:c r="Q359" s="45" t="b">
        <x:v>1</x:v>
      </x:c>
      <x:c r="R359" s="45" t="b">
        <x:v>1</x:v>
      </x:c>
      <x:c r="S359" s="43" t="n">
        <x:v>5000000000</x:v>
      </x:c>
      <x:c r="T359" s="43" t="n">
        <x:v>5055026668</x:v>
      </x:c>
      <x:c r="U359" s="45" t="b">
        <x:v>1</x:v>
      </x:c>
      <x:c r="V359" s="34" t="str">
        <x:v>uniform</x:v>
      </x:c>
      <x:c r="W359" s="42" t="n">
        <x:v>95</x:v>
      </x:c>
      <x:c r="X359" s="48" t="n">
        <x:v>0.95</x:v>
      </x:c>
      <x:c r="Y359" s="48" t="n">
        <x:v>0.9480744384893511</x:v>
      </x:c>
      <x:c r="Z359" s="45" t="b">
        <x:v>1</x:v>
      </x:c>
      <x:c r="AA359" s="43" t="n">
        <x:v>10000</x:v>
      </x:c>
      <x:c r="AB359" s="43" t="n">
        <x:v>9900</x:v>
      </x:c>
      <x:c r="AC359" s="43" t="n">
        <x:v>9979</x:v>
      </x:c>
      <x:c r="AD359" s="45" t="b">
        <x:v>1</x:v>
      </x:c>
      <x:c r="AE359" s="43" t="n">
        <x:v>9900</x:v>
      </x:c>
      <x:c r="AF359" s="43"/>
      <x:c r="AG359" s="43" t="n">
        <x:v>9995</x:v>
      </x:c>
      <x:c r="AH359" s="45" t="b">
        <x:v>1</x:v>
      </x:c>
      <x:c r="AI359" s="45" t="b">
        <x:v>1</x:v>
      </x:c>
      <x:c r="AJ359" s="49"/>
      <x:c r="AK359" s="48" t="n">
        <x:v>0.9480744384893511</x:v>
      </x:c>
      <x:c r="AL359" s="49"/>
      <x:c r="AM359" s="49"/>
      <x:c r="AN359" s="36" t="n">
        <x:v>1</x:v>
      </x:c>
      <x:c r="AO359" s="45" t="b">
        <x:v>1</x:v>
      </x:c>
      <x:c r="AP359" s="45" t="b">
        <x:v>1</x:v>
      </x:c>
      <x:c r="AQ359" s="46" t="n">
        <x:f>IF(T359="","",T359/'Readme-Protocol'!$B$24)</x:f>
        <x:v>5.055026668</x:v>
      </x:c>
      <x:c r="AR359" s="46" t="n">
        <x:f>IF(OR(S359="",S359=0),"",T359/S359)</x:f>
        <x:v>1.0110053336</x:v>
      </x:c>
      <x:c r="AS359" s="46" t="n">
        <x:f>IF(OR(X359="",Y359=""),"",ABS(Y359-X359)*'Readme-Protocol'!$B$27)</x:f>
        <x:v>0.1925561510648821</x:v>
      </x:c>
      <x:c r="AT359" s="49" t="b">
        <x:f>AND(M359&gt;0,N359&gt;=0,O359&gt;0)</x:f>
        <x:v>1</x:v>
      </x:c>
      <x:c r="AU359" s="49" t="b">
        <x:f>AND(AT359,N359&gt;=M359)</x:f>
        <x:v>1</x:v>
      </x:c>
      <x:c r="AV359" s="49" t="b">
        <x:f>OR(S359=0,T359&gt;=S359)</x:f>
        <x:v>1</x:v>
      </x:c>
      <x:c r="AW359" s="49" t="b">
        <x:f>IF(I359="cache-semantics",OR(V359&lt;&gt;"uniform",ABS(Y359-W359/'Readme-Protocol'!$B$27)&lt;='Readme-Protocol'!$B$28),TRUE)</x:f>
        <x:v>1</x:v>
      </x:c>
      <x:c r="AX359" s="43" t="n">
        <x:f>IF(I359="cache-semantics",INT(AA359*'Readme-Protocol'!$B$32),"")</x:f>
        <x:v>9900</x:v>
      </x:c>
      <x:c r="AY359" s="49" t="b">
        <x:f>IF(I359="cache-semantics",AX359=AB359,TRUE)</x:f>
        <x:v>1</x:v>
      </x:c>
      <x:c r="AZ359" s="49" t="b">
        <x:f>IF(I359="cache-semantics",AX359=AE359,TRUE)</x:f>
        <x:v>1</x:v>
      </x:c>
      <x:c r="BA359" s="49" t="b">
        <x:f>IF(I359="cache-semantics",AC359&gt;=AX359,IF(I359="no-store-control",AC359=0,FALSE))</x:f>
        <x:v>1</x:v>
      </x:c>
      <x:c r="BB359" s="49" t="b">
        <x:f>IF(I359="cache-semantics",AG359&gt;=AX359,IF(I359="no-store-control",AG359=0,FALSE))</x:f>
        <x:v>1</x:v>
      </x:c>
      <x:c r="BC359" s="49" t="b">
        <x:f>AND(BA359,BB359)</x:f>
        <x:v>1</x:v>
      </x:c>
      <x:c r="BD359" s="49" t="b">
        <x:f>IF(I359="no-store-control",AND(AC359=0,AG359=0),TRUE)</x:f>
        <x:v>1</x:v>
      </x:c>
      <x:c r="BE359" s="49" t="b">
        <x:f>IF(I359="no-store-control",AK359=0,TRUE)</x:f>
        <x:v>1</x:v>
      </x:c>
      <x:c r="BF359" s="49" t="b">
        <x:f>IF(I359="cache-semantics",AN359=1,TRUE)</x:f>
        <x:v>1</x:v>
      </x:c>
      <x:c r="BG359" s="49" t="b">
        <x:f>IF(I359="cache-semantics",AND(AU359,AV359,Q359,AW359,BC359,BF359),IF(I359="no-store-control",AND(AU359,AV359,Q359,BD359,BE359),FALSE))</x:f>
        <x:v>1</x:v>
      </x:c>
      <x:c r="BH359" s="49" t="b">
        <x:f>AND(R359,AT359=P359,AU359=L359,AV359=U359,AY359,AZ359,IF(I359="cache-semantics",AND(AW359=Z359,AND(BA359=AD359,BB359=AH359,BC359=AI359),BF359=AO359),IF(I359="no-store-control",AND(AND(BA359=AD359,BB359=AH359,BC359=AI359),BD359=AJ359,BE359=AL359),FALSE)),BG359=AP359)</x:f>
        <x:v>1</x:v>
      </x:c>
      <x:c r="BI359" s="49" t="b">
        <x:f>AND(J359,K359,BG359)</x:f>
        <x:v>1</x:v>
      </x:c>
    </x:row>
    <x:row r="360">
      <x:c r="A360" s="34" t="str">
        <x:v>article1-unified-v4-2-fb3f101b-20260903-000401-default-f06-p6-cache2k</x:v>
      </x:c>
      <x:c r="B360" s="34" t="str">
        <x:v>default</x:v>
      </x:c>
      <x:c r="C360" s="34" t="str">
        <x:v>cache2k</x:v>
      </x:c>
      <x:c r="D360" s="36" t="n">
        <x:v>6</x:v>
      </x:c>
      <x:c r="E360" s="36" t="n">
        <x:v>6</x:v>
      </x:c>
      <x:c r="F360" s="36" t="n">
        <x:v>6</x:v>
      </x:c>
      <x:c r="G360" s="36" t="n">
        <x:v>5</x:v>
      </x:c>
      <x:c r="H360" s="34" t="str">
        <x:v>initial</x:v>
      </x:c>
      <x:c r="I360" s="34" t="str">
        <x:v>cache-semantics</x:v>
      </x:c>
      <x:c r="J360" s="45" t="b">
        <x:v>1</x:v>
      </x:c>
      <x:c r="K360" s="45" t="b">
        <x:v>1</x:v>
      </x:c>
      <x:c r="L360" s="45" t="b">
        <x:v>1</x:v>
      </x:c>
      <x:c r="M360" s="43" t="n">
        <x:v>400000</x:v>
      </x:c>
      <x:c r="N360" s="43" t="n">
        <x:v>150853632</x:v>
      </x:c>
      <x:c r="O360" s="43" t="n">
        <x:v>30156395.58022411</x:v>
      </x:c>
      <x:c r="P360" s="45" t="b">
        <x:v>1</x:v>
      </x:c>
      <x:c r="Q360" s="45" t="b">
        <x:v>1</x:v>
      </x:c>
      <x:c r="R360" s="45" t="b">
        <x:v>1</x:v>
      </x:c>
      <x:c r="S360" s="43" t="n">
        <x:v>5000000000</x:v>
      </x:c>
      <x:c r="T360" s="43" t="n">
        <x:v>5002376083</x:v>
      </x:c>
      <x:c r="U360" s="45" t="b">
        <x:v>1</x:v>
      </x:c>
      <x:c r="V360" s="34" t="str">
        <x:v>uniform</x:v>
      </x:c>
      <x:c r="W360" s="42" t="n">
        <x:v>95</x:v>
      </x:c>
      <x:c r="X360" s="48" t="n">
        <x:v>0.95</x:v>
      </x:c>
      <x:c r="Y360" s="48" t="n">
        <x:v>0.9481960102889667</x:v>
      </x:c>
      <x:c r="Z360" s="45" t="b">
        <x:v>1</x:v>
      </x:c>
      <x:c r="AA360" s="43" t="n">
        <x:v>10000</x:v>
      </x:c>
      <x:c r="AB360" s="43" t="n">
        <x:v>9900</x:v>
      </x:c>
      <x:c r="AC360" s="43" t="n">
        <x:v>9979</x:v>
      </x:c>
      <x:c r="AD360" s="45" t="b">
        <x:v>1</x:v>
      </x:c>
      <x:c r="AE360" s="43" t="n">
        <x:v>9900</x:v>
      </x:c>
      <x:c r="AF360" s="43"/>
      <x:c r="AG360" s="43" t="n">
        <x:v>9993</x:v>
      </x:c>
      <x:c r="AH360" s="45" t="b">
        <x:v>1</x:v>
      </x:c>
      <x:c r="AI360" s="45" t="b">
        <x:v>1</x:v>
      </x:c>
      <x:c r="AJ360" s="49"/>
      <x:c r="AK360" s="48" t="n">
        <x:v>0.9481960102889667</x:v>
      </x:c>
      <x:c r="AL360" s="49"/>
      <x:c r="AM360" s="49"/>
      <x:c r="AN360" s="36" t="n">
        <x:v>1</x:v>
      </x:c>
      <x:c r="AO360" s="45" t="b">
        <x:v>1</x:v>
      </x:c>
      <x:c r="AP360" s="45" t="b">
        <x:v>1</x:v>
      </x:c>
      <x:c r="AQ360" s="46" t="n">
        <x:f>IF(T360="","",T360/'Readme-Protocol'!$B$24)</x:f>
        <x:v>5.002376083</x:v>
      </x:c>
      <x:c r="AR360" s="46" t="n">
        <x:f>IF(OR(S360="",S360=0),"",T360/S360)</x:f>
        <x:v>1.0004752166</x:v>
      </x:c>
      <x:c r="AS360" s="46" t="n">
        <x:f>IF(OR(X360="",Y360=""),"",ABS(Y360-X360)*'Readme-Protocol'!$B$27)</x:f>
        <x:v>0.1803989711033238</x:v>
      </x:c>
      <x:c r="AT360" s="49" t="b">
        <x:f>AND(M360&gt;0,N360&gt;=0,O360&gt;0)</x:f>
        <x:v>1</x:v>
      </x:c>
      <x:c r="AU360" s="49" t="b">
        <x:f>AND(AT360,N360&gt;=M360)</x:f>
        <x:v>1</x:v>
      </x:c>
      <x:c r="AV360" s="49" t="b">
        <x:f>OR(S360=0,T360&gt;=S360)</x:f>
        <x:v>1</x:v>
      </x:c>
      <x:c r="AW360" s="49" t="b">
        <x:f>IF(I360="cache-semantics",OR(V360&lt;&gt;"uniform",ABS(Y360-W360/'Readme-Protocol'!$B$27)&lt;='Readme-Protocol'!$B$28),TRUE)</x:f>
        <x:v>1</x:v>
      </x:c>
      <x:c r="AX360" s="43" t="n">
        <x:f>IF(I360="cache-semantics",INT(AA360*'Readme-Protocol'!$B$32),"")</x:f>
        <x:v>9900</x:v>
      </x:c>
      <x:c r="AY360" s="49" t="b">
        <x:f>IF(I360="cache-semantics",AX360=AB360,TRUE)</x:f>
        <x:v>1</x:v>
      </x:c>
      <x:c r="AZ360" s="49" t="b">
        <x:f>IF(I360="cache-semantics",AX360=AE360,TRUE)</x:f>
        <x:v>1</x:v>
      </x:c>
      <x:c r="BA360" s="49" t="b">
        <x:f>IF(I360="cache-semantics",AC360&gt;=AX360,IF(I360="no-store-control",AC360=0,FALSE))</x:f>
        <x:v>1</x:v>
      </x:c>
      <x:c r="BB360" s="49" t="b">
        <x:f>IF(I360="cache-semantics",AG360&gt;=AX360,IF(I360="no-store-control",AG360=0,FALSE))</x:f>
        <x:v>1</x:v>
      </x:c>
      <x:c r="BC360" s="49" t="b">
        <x:f>AND(BA360,BB360)</x:f>
        <x:v>1</x:v>
      </x:c>
      <x:c r="BD360" s="49" t="b">
        <x:f>IF(I360="no-store-control",AND(AC360=0,AG360=0),TRUE)</x:f>
        <x:v>1</x:v>
      </x:c>
      <x:c r="BE360" s="49" t="b">
        <x:f>IF(I360="no-store-control",AK360=0,TRUE)</x:f>
        <x:v>1</x:v>
      </x:c>
      <x:c r="BF360" s="49" t="b">
        <x:f>IF(I360="cache-semantics",AN360=1,TRUE)</x:f>
        <x:v>1</x:v>
      </x:c>
      <x:c r="BG360" s="49" t="b">
        <x:f>IF(I360="cache-semantics",AND(AU360,AV360,Q360,AW360,BC360,BF360),IF(I360="no-store-control",AND(AU360,AV360,Q360,BD360,BE360),FALSE))</x:f>
        <x:v>1</x:v>
      </x:c>
      <x:c r="BH360" s="49" t="b">
        <x:f>AND(R360,AT360=P360,AU360=L360,AV360=U360,AY360,AZ360,IF(I360="cache-semantics",AND(AW360=Z360,AND(BA360=AD360,BB360=AH360,BC360=AI360),BF360=AO360),IF(I360="no-store-control",AND(AND(BA360=AD360,BB360=AH360,BC360=AI360),BD360=AJ360,BE360=AL360),FALSE)),BG360=AP360)</x:f>
        <x:v>1</x:v>
      </x:c>
      <x:c r="BI360" s="49" t="b">
        <x:f>AND(J360,K360,BG360)</x:f>
        <x:v>1</x:v>
      </x:c>
    </x:row>
    <x:row r="361">
      <x:c r="A361" s="34" t="str">
        <x:v>article1-unified-v4-2-fb3f101b-20260903-000401-default-f06-p6-cache2k</x:v>
      </x:c>
      <x:c r="B361" s="34" t="str">
        <x:v>default</x:v>
      </x:c>
      <x:c r="C361" s="34" t="str">
        <x:v>cache2k</x:v>
      </x:c>
      <x:c r="D361" s="36" t="n">
        <x:v>6</x:v>
      </x:c>
      <x:c r="E361" s="36" t="n">
        <x:v>6</x:v>
      </x:c>
      <x:c r="F361" s="36" t="n">
        <x:v>6</x:v>
      </x:c>
      <x:c r="G361" s="36" t="n">
        <x:v>5</x:v>
      </x:c>
      <x:c r="H361" s="34" t="str">
        <x:v>redeploy</x:v>
      </x:c>
      <x:c r="I361" s="34" t="str">
        <x:v>cache-semantics</x:v>
      </x:c>
      <x:c r="J361" s="45" t="b">
        <x:v>1</x:v>
      </x:c>
      <x:c r="K361" s="45" t="b">
        <x:v>1</x:v>
      </x:c>
      <x:c r="L361" s="45" t="b">
        <x:v>1</x:v>
      </x:c>
      <x:c r="M361" s="43" t="n">
        <x:v>400000</x:v>
      </x:c>
      <x:c r="N361" s="43" t="n">
        <x:v>157086976</x:v>
      </x:c>
      <x:c r="O361" s="43" t="n">
        <x:v>31395220.90617103</x:v>
      </x:c>
      <x:c r="P361" s="45" t="b">
        <x:v>1</x:v>
      </x:c>
      <x:c r="Q361" s="45" t="b">
        <x:v>1</x:v>
      </x:c>
      <x:c r="R361" s="45" t="b">
        <x:v>1</x:v>
      </x:c>
      <x:c r="S361" s="43" t="n">
        <x:v>5000000000</x:v>
      </x:c>
      <x:c r="T361" s="43" t="n">
        <x:v>5003531476</x:v>
      </x:c>
      <x:c r="U361" s="45" t="b">
        <x:v>1</x:v>
      </x:c>
      <x:c r="V361" s="34" t="str">
        <x:v>uniform</x:v>
      </x:c>
      <x:c r="W361" s="42" t="n">
        <x:v>95</x:v>
      </x:c>
      <x:c r="X361" s="48" t="n">
        <x:v>0.95</x:v>
      </x:c>
      <x:c r="Y361" s="48" t="n">
        <x:v>0.9481841193505437</x:v>
      </x:c>
      <x:c r="Z361" s="45" t="b">
        <x:v>1</x:v>
      </x:c>
      <x:c r="AA361" s="43" t="n">
        <x:v>10000</x:v>
      </x:c>
      <x:c r="AB361" s="43" t="n">
        <x:v>9900</x:v>
      </x:c>
      <x:c r="AC361" s="43" t="n">
        <x:v>9979</x:v>
      </x:c>
      <x:c r="AD361" s="45" t="b">
        <x:v>1</x:v>
      </x:c>
      <x:c r="AE361" s="43" t="n">
        <x:v>9900</x:v>
      </x:c>
      <x:c r="AF361" s="43"/>
      <x:c r="AG361" s="43" t="n">
        <x:v>9992</x:v>
      </x:c>
      <x:c r="AH361" s="45" t="b">
        <x:v>1</x:v>
      </x:c>
      <x:c r="AI361" s="45" t="b">
        <x:v>1</x:v>
      </x:c>
      <x:c r="AJ361" s="49"/>
      <x:c r="AK361" s="48" t="n">
        <x:v>0.9481841193505437</x:v>
      </x:c>
      <x:c r="AL361" s="49"/>
      <x:c r="AM361" s="49"/>
      <x:c r="AN361" s="36" t="n">
        <x:v>1</x:v>
      </x:c>
      <x:c r="AO361" s="45" t="b">
        <x:v>1</x:v>
      </x:c>
      <x:c r="AP361" s="45" t="b">
        <x:v>1</x:v>
      </x:c>
      <x:c r="AQ361" s="46" t="n">
        <x:f>IF(T361="","",T361/'Readme-Protocol'!$B$24)</x:f>
        <x:v>5.003531476</x:v>
      </x:c>
      <x:c r="AR361" s="46" t="n">
        <x:f>IF(OR(S361="",S361=0),"",T361/S361)</x:f>
        <x:v>1.0007062952</x:v>
      </x:c>
      <x:c r="AS361" s="46" t="n">
        <x:f>IF(OR(X361="",Y361=""),"",ABS(Y361-X361)*'Readme-Protocol'!$B$27)</x:f>
        <x:v>0.18158806494562585</x:v>
      </x:c>
      <x:c r="AT361" s="49" t="b">
        <x:f>AND(M361&gt;0,N361&gt;=0,O361&gt;0)</x:f>
        <x:v>1</x:v>
      </x:c>
      <x:c r="AU361" s="49" t="b">
        <x:f>AND(AT361,N361&gt;=M361)</x:f>
        <x:v>1</x:v>
      </x:c>
      <x:c r="AV361" s="49" t="b">
        <x:f>OR(S361=0,T361&gt;=S361)</x:f>
        <x:v>1</x:v>
      </x:c>
      <x:c r="AW361" s="49" t="b">
        <x:f>IF(I361="cache-semantics",OR(V361&lt;&gt;"uniform",ABS(Y361-W361/'Readme-Protocol'!$B$27)&lt;='Readme-Protocol'!$B$28),TRUE)</x:f>
        <x:v>1</x:v>
      </x:c>
      <x:c r="AX361" s="43" t="n">
        <x:f>IF(I361="cache-semantics",INT(AA361*'Readme-Protocol'!$B$32),"")</x:f>
        <x:v>9900</x:v>
      </x:c>
      <x:c r="AY361" s="49" t="b">
        <x:f>IF(I361="cache-semantics",AX361=AB361,TRUE)</x:f>
        <x:v>1</x:v>
      </x:c>
      <x:c r="AZ361" s="49" t="b">
        <x:f>IF(I361="cache-semantics",AX361=AE361,TRUE)</x:f>
        <x:v>1</x:v>
      </x:c>
      <x:c r="BA361" s="49" t="b">
        <x:f>IF(I361="cache-semantics",AC361&gt;=AX361,IF(I361="no-store-control",AC361=0,FALSE))</x:f>
        <x:v>1</x:v>
      </x:c>
      <x:c r="BB361" s="49" t="b">
        <x:f>IF(I361="cache-semantics",AG361&gt;=AX361,IF(I361="no-store-control",AG361=0,FALSE))</x:f>
        <x:v>1</x:v>
      </x:c>
      <x:c r="BC361" s="49" t="b">
        <x:f>AND(BA361,BB361)</x:f>
        <x:v>1</x:v>
      </x:c>
      <x:c r="BD361" s="49" t="b">
        <x:f>IF(I361="no-store-control",AND(AC361=0,AG361=0),TRUE)</x:f>
        <x:v>1</x:v>
      </x:c>
      <x:c r="BE361" s="49" t="b">
        <x:f>IF(I361="no-store-control",AK361=0,TRUE)</x:f>
        <x:v>1</x:v>
      </x:c>
      <x:c r="BF361" s="49" t="b">
        <x:f>IF(I361="cache-semantics",AN361=1,TRUE)</x:f>
        <x:v>1</x:v>
      </x:c>
      <x:c r="BG361" s="49" t="b">
        <x:f>IF(I361="cache-semantics",AND(AU361,AV361,Q361,AW361,BC361,BF361),IF(I361="no-store-control",AND(AU361,AV361,Q361,BD361,BE361),FALSE))</x:f>
        <x:v>1</x:v>
      </x:c>
      <x:c r="BH361" s="49" t="b">
        <x:f>AND(R361,AT361=P361,AU361=L361,AV361=U361,AY361,AZ361,IF(I361="cache-semantics",AND(AW361=Z361,AND(BA361=AD361,BB361=AH361,BC361=AI361),BF361=AO361),IF(I361="no-store-control",AND(AND(BA361=AD361,BB361=AH361,BC361=AI361),BD361=AJ361,BE361=AL361),FALSE)),BG361=AP361)</x:f>
        <x:v>1</x:v>
      </x:c>
      <x:c r="BI361" s="49" t="b">
        <x:f>AND(J361,K361,BG361)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50948020ae44f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1" hidden="0" customWidth="1"/>
    <x:col min="5" max="5" width="28" hidden="0" customWidth="1"/>
    <x:col min="6" max="6" width="18" hidden="0" customWidth="1"/>
    <x:col min="7" max="7" width="24" hidden="0" customWidth="1"/>
    <x:col min="8" max="8" width="10" hidden="0" customWidth="1"/>
    <x:col min="9" max="9" width="18" hidden="0" customWidth="1"/>
    <x:col min="10" max="10" width="18" hidden="0" customWidth="1"/>
    <x:col min="11" max="11" width="19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58" hidden="0" customWidth="1"/>
    <x:col min="17" max="17" width="21" hidden="0" customWidth="1"/>
    <x:col min="18" max="18" width="22" hidden="0" customWidth="1"/>
    <x:col min="19" max="19" width="19" hidden="0" customWidth="1"/>
    <x:col min="20" max="20" width="20" hidden="0" customWidth="1"/>
    <x:col min="21" max="21" width="19" hidden="0" customWidth="1"/>
    <x:col min="22" max="22" width="20" hidden="0" customWidth="1"/>
    <x:col min="23" max="23" width="19" hidden="0" customWidth="1"/>
    <x:col min="24" max="24" width="23" hidden="0" customWidth="1"/>
    <x:col min="25" max="25" width="24" hidden="0" customWidth="1"/>
    <x:col min="26" max="26" width="22" hidden="0" customWidth="1"/>
    <x:col min="27" max="27" width="23" hidden="0" customWidth="1"/>
    <x:col min="28" max="28" width="17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8" hidden="0" customWidth="1"/>
  </x:cols>
  <x:sheetData>
    <x:row r="1" ht="30" customHeight="1">
      <x:c r="A1" s="3" t="str">
        <x:v>Prestazioni — statistiche per JVM indipendente</x:v>
      </x:c>
      <x:c r="B1" s="3" t="str">
        <x:v>Prestazioni — statistiche per JVM indipendente</x:v>
      </x:c>
      <x:c r="C1" s="3" t="str">
        <x:v>Prestazioni — statistiche per JVM indipendente</x:v>
      </x:c>
      <x:c r="D1" s="3" t="str">
        <x:v>Prestazioni — statistiche per JVM indipendente</x:v>
      </x:c>
      <x:c r="E1" s="3" t="str">
        <x:v>Prestazioni — statistiche per JVM indipendente</x:v>
      </x:c>
      <x:c r="F1" s="3" t="str">
        <x:v>Prestazioni — statistiche per JVM indipendente</x:v>
      </x:c>
      <x:c r="G1" s="3" t="str">
        <x:v>Prestazioni — statistiche per JVM indipendente</x:v>
      </x:c>
      <x:c r="H1" s="3" t="str">
        <x:v>Prestazioni — statistiche per JVM indipendente</x:v>
      </x:c>
      <x:c r="I1" s="3" t="str">
        <x:v>Prestazioni — statistiche per JVM indipendente</x:v>
      </x:c>
      <x:c r="J1" s="3" t="str">
        <x:v>Prestazioni — statistiche per JVM indipendente</x:v>
      </x:c>
      <x:c r="K1" s="3" t="str">
        <x:v>Prestazioni — statistiche per JVM indipendente</x:v>
      </x:c>
      <x:c r="L1" s="3" t="str">
        <x:v>Prestazioni — statistiche per JVM indipendente</x:v>
      </x:c>
      <x:c r="M1" s="3" t="str">
        <x:v>Prestazioni — statistiche per JVM indipendente</x:v>
      </x:c>
      <x:c r="N1" s="3" t="str">
        <x:v>Prestazioni — statistiche per JVM indipendente</x:v>
      </x:c>
      <x:c r="O1" s="3" t="str">
        <x:v>Prestazioni — statistiche per JVM indipendente</x:v>
      </x:c>
      <x:c r="P1" s="3" t="str">
        <x:v>Prestazioni — statistiche per JVM indipendente</x:v>
      </x:c>
      <x:c r="Q1" s="3" t="str">
        <x:v>Prestazioni — statistiche per JVM indipendente</x:v>
      </x:c>
      <x:c r="R1" s="3" t="str">
        <x:v>Prestazioni — statistiche per JVM indipendente</x:v>
      </x:c>
      <x:c r="S1" s="3" t="str">
        <x:v>Prestazioni — statistiche per JVM indipendente</x:v>
      </x:c>
      <x:c r="T1" s="3" t="str">
        <x:v>Prestazioni — statistiche per JVM indipendente</x:v>
      </x:c>
      <x:c r="U1" s="3" t="str">
        <x:v>Prestazioni — statistiche per JVM indipendente</x:v>
      </x:c>
      <x:c r="V1" s="3" t="str">
        <x:v>Prestazioni — statistiche per JVM indipendente</x:v>
      </x:c>
      <x:c r="W1" s="3" t="str">
        <x:v>Prestazioni — statistiche per JVM indipendente</x:v>
      </x:c>
      <x:c r="X1" s="3" t="str">
        <x:v>Prestazioni — statistiche per JVM indipendente</x:v>
      </x:c>
      <x:c r="Y1" s="3" t="str">
        <x:v>Prestazioni — statistiche per JVM indipendente</x:v>
      </x:c>
      <x:c r="Z1" s="3" t="str">
        <x:v>Prestazioni — statistiche per JVM indipendente</x:v>
      </x:c>
      <x:c r="AA1" s="3" t="str">
        <x:v>Prestazioni — statistiche per JVM indipendente</x:v>
      </x:c>
      <x:c r="AB1" s="3" t="str">
        <x:v>Prestazioni — statistiche per JVM indipendente</x:v>
      </x:c>
      <x:c r="AC1" s="3" t="str">
        <x:v>Prestazioni — statistiche per JVM indipendente</x:v>
      </x:c>
      <x:c r="AD1" s="3" t="str">
        <x:v>Prestazioni — statistiche per JVM indipendente</x:v>
      </x:c>
      <x:c r="AE1" s="3" t="str">
        <x:v>Prestazioni — statistiche per JVM indipendente</x:v>
      </x:c>
      <x:c r="AF1" s="3" t="str">
        <x:v>Prestazioni — statistiche per JVM indipendente</x:v>
      </x:c>
      <x:c r="AG1" s="3" t="str">
        <x:v>Prestazioni — statistiche per JVM indipendente</x:v>
      </x:c>
    </x:row>
    <x:row r="2" ht="28" customHeight="1">
      <x:c r="A2" s="7" t="str">
        <x:v>Valori emessi dall'analisi v4.2 (JSON schemaVersion 4). Il confronto primario riguarda solo i provider eleggibili con gate semantico superato e blocco valido.</x:v>
      </x:c>
      <x:c r="B2" s="7" t="str">
        <x:v>Valori emessi dall'analisi v4.2 (JSON schemaVersion 4). Il confronto primario riguarda solo i provider eleggibili con gate semantico superato e blocco valido.</x:v>
      </x:c>
      <x:c r="C2" s="7" t="str">
        <x:v>Valori emessi dall'analisi v4.2 (JSON schemaVersion 4). Il confronto primario riguarda solo i provider eleggibili con gate semantico superato e blocco valido.</x:v>
      </x:c>
      <x:c r="D2" s="7" t="str">
        <x:v>Valori emessi dall'analisi v4.2 (JSON schemaVersion 4). Il confronto primario riguarda solo i provider eleggibili con gate semantico superato e blocco valido.</x:v>
      </x:c>
      <x:c r="E2" s="7" t="str">
        <x:v>Valori emessi dall'analisi v4.2 (JSON schemaVersion 4). Il confronto primario riguarda solo i provider eleggibili con gate semantico superato e blocco valido.</x:v>
      </x:c>
      <x:c r="F2" s="7" t="str">
        <x:v>Valori emessi dall'analisi v4.2 (JSON schemaVersion 4). Il confronto primario riguarda solo i provider eleggibili con gate semantico superato e blocco valido.</x:v>
      </x:c>
      <x:c r="G2" s="7" t="str">
        <x:v>Valori emessi dall'analisi v4.2 (JSON schemaVersion 4). Il confronto primario riguarda solo i provider eleggibili con gate semantico superato e blocco valido.</x:v>
      </x:c>
      <x:c r="H2" s="7" t="str">
        <x:v>Valori emessi dall'analisi v4.2 (JSON schemaVersion 4). Il confronto primario riguarda solo i provider eleggibili con gate semantico superato e blocco valido.</x:v>
      </x:c>
      <x:c r="I2" s="7" t="str">
        <x:v>Valori emessi dall'analisi v4.2 (JSON schemaVersion 4). Il confronto primario riguarda solo i provider eleggibili con gate semantico superato e blocco valido.</x:v>
      </x:c>
      <x:c r="J2" s="7" t="str">
        <x:v>Valori emessi dall'analisi v4.2 (JSON schemaVersion 4). Il confronto primario riguarda solo i provider eleggibili con gate semantico superato e blocco valido.</x:v>
      </x:c>
      <x:c r="K2" s="7" t="str">
        <x:v>Valori emessi dall'analisi v4.2 (JSON schemaVersion 4). Il confronto primario riguarda solo i provider eleggibili con gate semantico superato e blocco valido.</x:v>
      </x:c>
      <x:c r="L2" s="7" t="str">
        <x:v>Valori emessi dall'analisi v4.2 (JSON schemaVersion 4). Il confronto primario riguarda solo i provider eleggibili con gate semantico superato e blocco valido.</x:v>
      </x:c>
      <x:c r="M2" s="7" t="str">
        <x:v>Valori emessi dall'analisi v4.2 (JSON schemaVersion 4). Il confronto primario riguarda solo i provider eleggibili con gate semantico superato e blocco valido.</x:v>
      </x:c>
      <x:c r="N2" s="7" t="str">
        <x:v>Valori emessi dall'analisi v4.2 (JSON schemaVersion 4). Il confronto primario riguarda solo i provider eleggibili con gate semantico superato e blocco valido.</x:v>
      </x:c>
      <x:c r="O2" s="7" t="str">
        <x:v>Valori emessi dall'analisi v4.2 (JSON schemaVersion 4). Il confronto primario riguarda solo i provider eleggibili con gate semantico superato e blocco valido.</x:v>
      </x:c>
      <x:c r="P2" s="7" t="str">
        <x:v>Valori emessi dall'analisi v4.2 (JSON schemaVersion 4). Il confronto primario riguarda solo i provider eleggibili con gate semantico superato e blocco valido.</x:v>
      </x:c>
      <x:c r="Q2" s="7" t="str">
        <x:v>Valori emessi dall'analisi v4.2 (JSON schemaVersion 4). Il confronto primario riguarda solo i provider eleggibili con gate semantico superato e blocco valido.</x:v>
      </x:c>
      <x:c r="R2" s="7" t="str">
        <x:v>Valori emessi dall'analisi v4.2 (JSON schemaVersion 4). Il confronto primario riguarda solo i provider eleggibili con gate semantico superato e blocco valido.</x:v>
      </x:c>
      <x:c r="S2" s="7" t="str">
        <x:v>Valori emessi dall'analisi v4.2 (JSON schemaVersion 4). Il confronto primario riguarda solo i provider eleggibili con gate semantico superato e blocco valido.</x:v>
      </x:c>
      <x:c r="T2" s="7" t="str">
        <x:v>Valori emessi dall'analisi v4.2 (JSON schemaVersion 4). Il confronto primario riguarda solo i provider eleggibili con gate semantico superato e blocco valido.</x:v>
      </x:c>
      <x:c r="U2" s="7" t="str">
        <x:v>Valori emessi dall'analisi v4.2 (JSON schemaVersion 4). Il confronto primario riguarda solo i provider eleggibili con gate semantico superato e blocco valido.</x:v>
      </x:c>
      <x:c r="V2" s="7" t="str">
        <x:v>Valori emessi dall'analisi v4.2 (JSON schemaVersion 4). Il confronto primario riguarda solo i provider eleggibili con gate semantico superato e blocco valido.</x:v>
      </x:c>
      <x:c r="W2" s="7" t="str">
        <x:v>Valori emessi dall'analisi v4.2 (JSON schemaVersion 4). Il confronto primario riguarda solo i provider eleggibili con gate semantico superato e blocco valido.</x:v>
      </x:c>
      <x:c r="X2" s="7" t="str">
        <x:v>Valori emessi dall'analisi v4.2 (JSON schemaVersion 4). Il confronto primario riguarda solo i provider eleggibili con gate semantico superato e blocco valido.</x:v>
      </x:c>
      <x:c r="Y2" s="7" t="str">
        <x:v>Valori emessi dall'analisi v4.2 (JSON schemaVersion 4). Il confronto primario riguarda solo i provider eleggibili con gate semantico superato e blocco valido.</x:v>
      </x:c>
      <x:c r="Z2" s="7" t="str">
        <x:v>Valori emessi dall'analisi v4.2 (JSON schemaVersion 4). Il confronto primario riguarda solo i provider eleggibili con gate semantico superato e blocco valido.</x:v>
      </x:c>
      <x:c r="AA2" s="7" t="str">
        <x:v>Valori emessi dall'analisi v4.2 (JSON schemaVersion 4). Il confronto primario riguarda solo i provider eleggibili con gate semantico superato e blocco valido.</x:v>
      </x:c>
      <x:c r="AB2" s="7" t="str">
        <x:v>Valori emessi dall'analisi v4.2 (JSON schemaVersion 4). Il confronto primario riguarda solo i provider eleggibili con gate semantico superato e blocco valido.</x:v>
      </x:c>
      <x:c r="AC2" s="7" t="str">
        <x:v>Valori emessi dall'analisi v4.2 (JSON schemaVersion 4). Il confronto primario riguarda solo i provider eleggibili con gate semantico superato e blocco valido.</x:v>
      </x:c>
      <x:c r="AD2" s="7" t="str">
        <x:v>Valori emessi dall'analisi v4.2 (JSON schemaVersion 4). Il confronto primario riguarda solo i provider eleggibili con gate semantico superato e blocco valido.</x:v>
      </x:c>
      <x:c r="AE2" s="7" t="str">
        <x:v>Valori emessi dall'analisi v4.2 (JSON schemaVersion 4). Il confronto primario riguarda solo i provider eleggibili con gate semantico superato e blocco valido.</x:v>
      </x:c>
      <x:c r="AF2" s="7" t="str">
        <x:v>Valori emessi dall'analisi v4.2 (JSON schemaVersion 4). Il confronto primario riguarda solo i provider eleggibili con gate semantico superato e blocco valido.</x:v>
      </x:c>
      <x:c r="AG2" s="7" t="str">
        <x:v>Valori emessi dall'analisi v4.2 (JSON schemaVersion 4). Il confronto primario riguarda solo i provider eleggibili con gate semantico superato e blocco valido.</x:v>
      </x:c>
    </x:row>
    <x:row r="4" ht="23" customHeight="1">
      <x:c r="A4" s="10" t="str">
        <x:v>Sintesi descrittive — primary e sensitivity</x:v>
      </x:c>
      <x:c r="B4" s="10" t="str">
        <x:v>Sintesi descrittive — primary e sensitivity</x:v>
      </x:c>
      <x:c r="C4" s="10" t="str">
        <x:v>Sintesi descrittive — primary e sensitivity</x:v>
      </x:c>
      <x:c r="D4" s="10" t="str">
        <x:v>Sintesi descrittive — primary e sensitivity</x:v>
      </x:c>
      <x:c r="E4" s="10" t="str">
        <x:v>Sintesi descrittive — primary e sensitivity</x:v>
      </x:c>
      <x:c r="F4" s="10" t="str">
        <x:v>Sintesi descrittive — primary e sensitivity</x:v>
      </x:c>
      <x:c r="G4" s="10" t="str">
        <x:v>Sintesi descrittive — primary e sensitivity</x:v>
      </x:c>
      <x:c r="H4" s="10" t="str">
        <x:v>Sintesi descrittive — primary e sensitivity</x:v>
      </x:c>
      <x:c r="I4" s="10" t="str">
        <x:v>Sintesi descrittive — primary e sensitivity</x:v>
      </x:c>
      <x:c r="J4" s="10" t="str">
        <x:v>Sintesi descrittive — primary e sensitivity</x:v>
      </x:c>
      <x:c r="K4" s="10" t="str">
        <x:v>Sintesi descrittive — primary e sensitivity</x:v>
      </x:c>
      <x:c r="L4" s="10" t="str">
        <x:v>Sintesi descrittive — primary e sensitivity</x:v>
      </x:c>
      <x:c r="M4" s="10" t="str">
        <x:v>Sintesi descrittive — primary e sensitivity</x:v>
      </x:c>
      <x:c r="N4" s="10" t="str">
        <x:v>Sintesi descrittive — primary e sensitivity</x:v>
      </x:c>
      <x:c r="O4" s="10" t="str">
        <x:v>Sintesi descrittive — primary e sensitivity</x:v>
      </x:c>
      <x:c r="P4" s="10" t="str">
        <x:v>Sintesi descrittive — primary e sensitivity</x:v>
      </x:c>
      <x:c r="Q4" s="10" t="str">
        <x:v>Sintesi descrittive — primary e sensitivity</x:v>
      </x:c>
      <x:c r="R4" s="10" t="str">
        <x:v>Sintesi descrittive — primary e sensitivity</x:v>
      </x:c>
      <x:c r="S4" s="10" t="str">
        <x:v>Sintesi descrittive — primary e sensitivity</x:v>
      </x:c>
      <x:c r="T4" s="10" t="str">
        <x:v>Sintesi descrittive — primary e sensitivity</x:v>
      </x:c>
      <x:c r="U4" s="10" t="str">
        <x:v>Sintesi descrittive — primary e sensitivity</x:v>
      </x:c>
      <x:c r="V4" s="10" t="str">
        <x:v>Sintesi descrittive — primary e sensitivity</x:v>
      </x:c>
      <x:c r="W4" s="10" t="str">
        <x:v>Sintesi descrittive — primary e sensitivity</x:v>
      </x:c>
      <x:c r="X4" s="10" t="str">
        <x:v>Sintesi descrittive — primary e sensitivity</x:v>
      </x:c>
      <x:c r="Y4" s="10" t="str">
        <x:v>Sintesi descrittive — primary e sensitivity</x:v>
      </x:c>
      <x:c r="Z4" s="10" t="str">
        <x:v>Sintesi descrittive — primary e sensitivity</x:v>
      </x:c>
      <x:c r="AA4" s="10" t="str">
        <x:v>Sintesi descrittive — primary e sensitivity</x:v>
      </x:c>
      <x:c r="AB4" s="10" t="str">
        <x:v>Sintesi descrittive — primary e sensitivity</x:v>
      </x:c>
      <x:c r="AC4" s="10" t="str">
        <x:v>Sintesi descrittive — primary e sensitivity</x:v>
      </x:c>
      <x:c r="AD4" s="10" t="str">
        <x:v>Sintesi descrittive — primary e sensitivity</x:v>
      </x:c>
      <x:c r="AE4" s="10" t="str">
        <x:v>Sintesi descrittive — primary e sensitivity</x:v>
      </x:c>
      <x:c r="AF4" s="10" t="str">
        <x:v>Sintesi descrittive — primary e sensitivity</x:v>
      </x:c>
      <x:c r="AG4" s="10" t="str">
        <x:v>Sintesi descrittive — primary e sensitivity</x:v>
      </x:c>
    </x:row>
    <x:row r="5" ht="31" customHeight="1">
      <x:c r="A5" s="23" t="str">
        <x:v>scenario</x:v>
      </x:c>
      <x:c r="B5" s="23" t="str">
        <x:v>provider</x:v>
      </x:c>
      <x:c r="C5" s="23" t="str">
        <x:v>phase</x:v>
      </x:c>
      <x:c r="D5" s="23" t="str">
        <x:v>analysis set</x:v>
      </x:c>
      <x:c r="E5" s="23" t="str">
        <x:v>statistical unit</x:v>
      </x:c>
      <x:c r="F5" s="23" t="str">
        <x:v>study role</x:v>
      </x:c>
      <x:c r="G5" s="23" t="str">
        <x:v>valid forks</x:v>
      </x:c>
      <x:c r="H5" s="23" t="str">
        <x:v>observed forks</x:v>
      </x:c>
      <x:c r="I5" s="23" t="str">
        <x:v>invalid-block forks</x:v>
      </x:c>
      <x:c r="J5" s="23" t="str">
        <x:v>semantic-gate forks</x:v>
      </x:c>
      <x:c r="K5" s="23" t="str">
        <x:v>performance eligible</x:v>
      </x:c>
      <x:c r="L5" s="23" t="str">
        <x:v>included forks</x:v>
      </x:c>
      <x:c r="M5" s="23" t="str">
        <x:v>throughput N</x:v>
      </x:c>
      <x:c r="N5" s="23" t="str">
        <x:v>throughput median (ops/s)</x:v>
      </x:c>
      <x:c r="O5" s="23" t="str">
        <x:v>throughput mean (ops/s)</x:v>
      </x:c>
      <x:c r="P5" s="23" t="str">
        <x:v>throughput sample SD</x:v>
      </x:c>
      <x:c r="Q5" s="23" t="str">
        <x:v>throughput Q1 (ops/s)</x:v>
      </x:c>
      <x:c r="R5" s="23" t="str">
        <x:v>throughput Q3 (ops/s)</x:v>
      </x:c>
      <x:c r="S5" s="23" t="str">
        <x:v>throughput min (ops/s)</x:v>
      </x:c>
      <x:c r="T5" s="23" t="str">
        <x:v>throughput max (ops/s)</x:v>
      </x:c>
      <x:c r="U5" s="23" t="str">
        <x:v>fill median (ops/s)</x:v>
      </x:c>
      <x:c r="V5" s="23" t="str">
        <x:v>p50 median (ns)</x:v>
      </x:c>
      <x:c r="W5" s="23" t="str">
        <x:v>p95 median (ns)</x:v>
      </x:c>
      <x:c r="X5" s="23" t="str">
        <x:v>p99 N</x:v>
      </x:c>
      <x:c r="Y5" s="23" t="str">
        <x:v>p99 median (raw ns)</x:v>
      </x:c>
      <x:c r="Z5" s="23" t="str">
        <x:v>p99 median (µs, formula)</x:v>
      </x:c>
      <x:c r="AA5" s="23" t="str">
        <x:v>p99 mean (ns)</x:v>
      </x:c>
      <x:c r="AB5" s="23" t="str">
        <x:v>p99 sample SD (ns)</x:v>
      </x:c>
      <x:c r="AC5" s="23" t="str">
        <x:v>p99 Q1 (ns)</x:v>
      </x:c>
      <x:c r="AD5" s="23" t="str">
        <x:v>p99 Q3 (ns)</x:v>
      </x:c>
      <x:c r="AE5" s="23" t="str">
        <x:v>p99 min (ns)</x:v>
      </x:c>
      <x:c r="AF5" s="23" t="str">
        <x:v>p99 max (ns)</x:v>
      </x:c>
      <x:c r="AG5" s="23" t="str">
        <x:v>latency samples median</x:v>
      </x:c>
    </x:row>
    <x:row r="6">
      <x:c r="A6" s="24" t="str">
        <x:v>default</x:v>
      </x:c>
      <x:c r="B6" s="24" t="str">
        <x:v>caffeine</x:v>
      </x:c>
      <x:c r="C6" s="24" t="str">
        <x:v>initial</x:v>
      </x:c>
      <x:c r="D6" s="24" t="str">
        <x:v>primary-all-cycles</x:v>
      </x:c>
      <x:c r="E6" s="24" t="str">
        <x:v>independent-process-run-fork</x:v>
      </x:c>
      <x:c r="F6" s="24" t="str">
        <x:v>current-provider-primary-comparison</x:v>
      </x:c>
      <x:c r="G6" s="36" t="n">
        <x:v>6</x:v>
      </x:c>
      <x:c r="H6" s="36" t="n">
        <x:v>6</x:v>
      </x:c>
      <x:c r="I6" s="36" t="n">
        <x:v>0</x:v>
      </x:c>
      <x:c r="J6" s="36" t="n">
        <x:v>6</x:v>
      </x:c>
      <x:c r="K6" s="45" t="b">
        <x:v>1</x:v>
      </x:c>
      <x:c r="L6" s="36" t="n">
        <x:v>6</x:v>
      </x:c>
      <x:c r="M6" s="36" t="n">
        <x:v>6</x:v>
      </x:c>
      <x:c r="N6" s="43" t="n">
        <x:v>27218274.745988496</x:v>
      </x:c>
      <x:c r="O6" s="43" t="n">
        <x:v>26988935.618684284</x:v>
      </x:c>
      <x:c r="P6" s="43" t="n">
        <x:v>1051981.3854158563</x:v>
      </x:c>
      <x:c r="Q6" s="43" t="n">
        <x:v>26661829.700623192</x:v>
      </x:c>
      <x:c r="R6" s="43" t="n">
        <x:v>27484253.273695692</x:v>
      </x:c>
      <x:c r="S6" s="43" t="n">
        <x:v>25185288.95959526</x:v>
      </x:c>
      <x:c r="T6" s="43" t="n">
        <x:v>28262514.45876727</x:v>
      </x:c>
      <x:c r="U6" s="43" t="n">
        <x:v>1556778.497239822</x:v>
      </x:c>
      <x:c r="V6" s="43" t="n">
        <x:v>140</x:v>
      </x:c>
      <x:c r="W6" s="43" t="n">
        <x:v>285.5</x:v>
      </x:c>
      <x:c r="X6" s="36" t="n">
        <x:v>6</x:v>
      </x:c>
      <x:c r="Y6" s="43" t="n">
        <x:v>481</x:v>
      </x:c>
      <x:c r="Z6" s="53" t="n">
        <x:f>IF(Y6="","",Y6/'Readme-Protocol'!$B$25)</x:f>
        <x:v>0.481</x:v>
      </x:c>
      <x:c r="AA6" s="43" t="n">
        <x:v>484.3333333333333</x:v>
      </x:c>
      <x:c r="AB6" s="43" t="n">
        <x:v>20.65591117977289</x:v>
      </x:c>
      <x:c r="AC6" s="43" t="n">
        <x:v>473.5</x:v>
      </x:c>
      <x:c r="AD6" s="43" t="n">
        <x:v>488.5</x:v>
      </x:c>
      <x:c r="AE6" s="43" t="n">
        <x:v>461</x:v>
      </x:c>
      <x:c r="AF6" s="43" t="n">
        <x:v>521</x:v>
      </x:c>
      <x:c r="AG6" s="43" t="n">
        <x:v>2127494</x:v>
      </x:c>
    </x:row>
    <x:row r="7">
      <x:c r="A7" s="24" t="str">
        <x:v>default</x:v>
      </x:c>
      <x:c r="B7" s="24" t="str">
        <x:v>caffeine</x:v>
      </x:c>
      <x:c r="C7" s="24" t="str">
        <x:v>initial</x:v>
      </x:c>
      <x:c r="D7" s="24" t="str">
        <x:v>sensitivity-without-cycle-1</x:v>
      </x:c>
      <x:c r="E7" s="24" t="str">
        <x:v>independent-process-run-fork</x:v>
      </x:c>
      <x:c r="F7" s="24" t="str">
        <x:v>current-provider-primary-comparison</x:v>
      </x:c>
      <x:c r="G7" s="36" t="n">
        <x:v>6</x:v>
      </x:c>
      <x:c r="H7" s="36" t="n">
        <x:v>6</x:v>
      </x:c>
      <x:c r="I7" s="36" t="n">
        <x:v>0</x:v>
      </x:c>
      <x:c r="J7" s="36" t="n">
        <x:v>6</x:v>
      </x:c>
      <x:c r="K7" s="45" t="b">
        <x:v>1</x:v>
      </x:c>
      <x:c r="L7" s="36" t="n">
        <x:v>6</x:v>
      </x:c>
      <x:c r="M7" s="36" t="n">
        <x:v>6</x:v>
      </x:c>
      <x:c r="N7" s="43" t="n">
        <x:v>27093930.670417424</x:v>
      </x:c>
      <x:c r="O7" s="43" t="n">
        <x:v>26825164.58767895</x:v>
      </x:c>
      <x:c r="P7" s="43" t="n">
        <x:v>1033744.565298207</x:v>
      </x:c>
      <x:c r="Q7" s="43" t="n">
        <x:v>26622044.799998704</x:v>
      </x:c>
      <x:c r="R7" s="43" t="n">
        <x:v>27492782.9744286</x:v>
      </x:c>
      <x:c r="S7" s="43" t="n">
        <x:v>24926089.869929843</x:v>
      </x:c>
      <x:c r="T7" s="43" t="n">
        <x:v>27746553.063017555</x:v>
      </x:c>
      <x:c r="U7" s="43" t="n">
        <x:v>1640874.8253025054</x:v>
      </x:c>
      <x:c r="V7" s="43" t="n">
        <x:v>140</x:v>
      </x:c>
      <x:c r="W7" s="43" t="n">
        <x:v>288</x:v>
      </x:c>
      <x:c r="X7" s="36" t="n">
        <x:v>6</x:v>
      </x:c>
      <x:c r="Y7" s="43" t="n">
        <x:v>481</x:v>
      </x:c>
      <x:c r="Z7" s="53" t="n">
        <x:f>IF(Y7="","",Y7/'Readme-Protocol'!$B$25)</x:f>
        <x:v>0.481</x:v>
      </x:c>
      <x:c r="AA7" s="43" t="n">
        <x:v>484.25</x:v>
      </x:c>
      <x:c r="AB7" s="43" t="n">
        <x:v>18.691575642518742</x:v>
      </x:c>
      <x:c r="AC7" s="43" t="n">
        <x:v>473.5</x:v>
      </x:c>
      <x:c r="AD7" s="43" t="n">
        <x:v>481</x:v>
      </x:c>
      <x:c r="AE7" s="43" t="n">
        <x:v>470.5</x:v>
      </x:c>
      <x:c r="AF7" s="43" t="n">
        <x:v>521</x:v>
      </x:c>
      <x:c r="AG7" s="43" t="n">
        <x:v>2117727</x:v>
      </x:c>
    </x:row>
    <x:row r="8">
      <x:c r="A8" s="24" t="str">
        <x:v>default</x:v>
      </x:c>
      <x:c r="B8" s="24" t="str">
        <x:v>caffeine</x:v>
      </x:c>
      <x:c r="C8" s="24" t="str">
        <x:v>redeploy</x:v>
      </x:c>
      <x:c r="D8" s="24" t="str">
        <x:v>primary-all-cycles</x:v>
      </x:c>
      <x:c r="E8" s="24" t="str">
        <x:v>independent-process-run-fork</x:v>
      </x:c>
      <x:c r="F8" s="24" t="str">
        <x:v>current-provider-primary-comparison</x:v>
      </x:c>
      <x:c r="G8" s="36" t="n">
        <x:v>6</x:v>
      </x:c>
      <x:c r="H8" s="36" t="n">
        <x:v>6</x:v>
      </x:c>
      <x:c r="I8" s="36" t="n">
        <x:v>0</x:v>
      </x:c>
      <x:c r="J8" s="36" t="n">
        <x:v>6</x:v>
      </x:c>
      <x:c r="K8" s="45" t="b">
        <x:v>1</x:v>
      </x:c>
      <x:c r="L8" s="36" t="n">
        <x:v>6</x:v>
      </x:c>
      <x:c r="M8" s="36" t="n">
        <x:v>6</x:v>
      </x:c>
      <x:c r="N8" s="43" t="n">
        <x:v>26580791.132759955</x:v>
      </x:c>
      <x:c r="O8" s="43" t="n">
        <x:v>26423161.906824432</x:v>
      </x:c>
      <x:c r="P8" s="43" t="n">
        <x:v>1023299.9994188595</x:v>
      </x:c>
      <x:c r="Q8" s="43" t="n">
        <x:v>26024354.562315896</x:v>
      </x:c>
      <x:c r="R8" s="43" t="n">
        <x:v>27082676.17079732</x:v>
      </x:c>
      <x:c r="S8" s="43" t="n">
        <x:v>24719726.27702385</x:v>
      </x:c>
      <x:c r="T8" s="43" t="n">
        <x:v>27568816.009425186</x:v>
      </x:c>
      <x:c r="U8" s="43" t="n">
        <x:v>1683931.112372728</x:v>
      </x:c>
      <x:c r="V8" s="43" t="n">
        <x:v>140</x:v>
      </x:c>
      <x:c r="W8" s="43" t="n">
        <x:v>296</x:v>
      </x:c>
      <x:c r="X8" s="36" t="n">
        <x:v>6</x:v>
      </x:c>
      <x:c r="Y8" s="43" t="n">
        <x:v>476</x:v>
      </x:c>
      <x:c r="Z8" s="53" t="n">
        <x:f>IF(Y8="","",Y8/'Readme-Protocol'!$B$25)</x:f>
        <x:v>0.476</x:v>
      </x:c>
      <x:c r="AA8" s="43" t="n">
        <x:v>479.3333333333333</x:v>
      </x:c>
      <x:c r="AB8" s="43" t="n">
        <x:v>18.34847859269718</x:v>
      </x:c>
      <x:c r="AC8" s="43" t="n">
        <x:v>463.5</x:v>
      </x:c>
      <x:c r="AD8" s="43" t="n">
        <x:v>496</x:v>
      </x:c>
      <x:c r="AE8" s="43" t="n">
        <x:v>461</x:v>
      </x:c>
      <x:c r="AF8" s="43" t="n">
        <x:v>501</x:v>
      </x:c>
      <x:c r="AG8" s="43" t="n">
        <x:v>2088010</x:v>
      </x:c>
    </x:row>
    <x:row r="9">
      <x:c r="A9" s="24" t="str">
        <x:v>default</x:v>
      </x:c>
      <x:c r="B9" s="24" t="str">
        <x:v>caffeine</x:v>
      </x:c>
      <x:c r="C9" s="24" t="str">
        <x:v>redeploy</x:v>
      </x:c>
      <x:c r="D9" s="24" t="str">
        <x:v>sensitivity-without-cycle-1</x:v>
      </x:c>
      <x:c r="E9" s="24" t="str">
        <x:v>independent-process-run-fork</x:v>
      </x:c>
      <x:c r="F9" s="24" t="str">
        <x:v>current-provider-primary-comparison</x:v>
      </x:c>
      <x:c r="G9" s="36" t="n">
        <x:v>6</x:v>
      </x:c>
      <x:c r="H9" s="36" t="n">
        <x:v>6</x:v>
      </x:c>
      <x:c r="I9" s="36" t="n">
        <x:v>0</x:v>
      </x:c>
      <x:c r="J9" s="36" t="n">
        <x:v>6</x:v>
      </x:c>
      <x:c r="K9" s="45" t="b">
        <x:v>1</x:v>
      </x:c>
      <x:c r="L9" s="36" t="n">
        <x:v>6</x:v>
      </x:c>
      <x:c r="M9" s="36" t="n">
        <x:v>6</x:v>
      </x:c>
      <x:c r="N9" s="43" t="n">
        <x:v>26729679.460948057</x:v>
      </x:c>
      <x:c r="O9" s="43" t="n">
        <x:v>26427360.520327915</x:v>
      </x:c>
      <x:c r="P9" s="43" t="n">
        <x:v>1102126.40746524</x:v>
      </x:c>
      <x:c r="Q9" s="43" t="n">
        <x:v>25908560.10579954</x:v>
      </x:c>
      <x:c r="R9" s="43" t="n">
        <x:v>27194042.609234557</x:v>
      </x:c>
      <x:c r="S9" s="43" t="n">
        <x:v>24600905.96585791</x:v>
      </x:c>
      <x:c r="T9" s="43" t="n">
        <x:v>27520214.254800044</x:v>
      </x:c>
      <x:c r="U9" s="43" t="n">
        <x:v>1700832.0724542849</x:v>
      </x:c>
      <x:c r="V9" s="43" t="n">
        <x:v>140</x:v>
      </x:c>
      <x:c r="W9" s="43" t="n">
        <x:v>293.25</x:v>
      </x:c>
      <x:c r="X9" s="36" t="n">
        <x:v>6</x:v>
      </x:c>
      <x:c r="Y9" s="43" t="n">
        <x:v>478.5</x:v>
      </x:c>
      <x:c r="Z9" s="53" t="n">
        <x:f>IF(Y9="","",Y9/'Readme-Protocol'!$B$25)</x:f>
        <x:v>0.4785</x:v>
      </x:c>
      <x:c r="AA9" s="43" t="n">
        <x:v>480.1666666666667</x:v>
      </x:c>
      <x:c r="AB9" s="43" t="n">
        <x:v>19.08315138195646</x:v>
      </x:c>
      <x:c r="AC9" s="43" t="n">
        <x:v>467.25</x:v>
      </x:c>
      <x:c r="AD9" s="43" t="n">
        <x:v>493.5</x:v>
      </x:c>
      <x:c r="AE9" s="43" t="n">
        <x:v>456</x:v>
      </x:c>
      <x:c r="AF9" s="43" t="n">
        <x:v>506</x:v>
      </x:c>
      <x:c r="AG9" s="43" t="n">
        <x:v>2094759</x:v>
      </x:c>
    </x:row>
    <x:row r="10">
      <x:c r="A10" s="24" t="str">
        <x:v>default</x:v>
      </x:c>
      <x:c r="B10" s="24" t="str">
        <x:v>ehcache</x:v>
      </x:c>
      <x:c r="C10" s="24" t="str">
        <x:v>initial</x:v>
      </x:c>
      <x:c r="D10" s="24" t="str">
        <x:v>primary-all-cycles</x:v>
      </x:c>
      <x:c r="E10" s="24" t="str">
        <x:v>independent-process-run-fork</x:v>
      </x:c>
      <x:c r="F10" s="24" t="str">
        <x:v>current-provider-primary-comparison</x:v>
      </x:c>
      <x:c r="G10" s="36" t="n">
        <x:v>6</x:v>
      </x:c>
      <x:c r="H10" s="36" t="n">
        <x:v>6</x:v>
      </x:c>
      <x:c r="I10" s="36" t="n">
        <x:v>0</x:v>
      </x:c>
      <x:c r="J10" s="36" t="n">
        <x:v>6</x:v>
      </x:c>
      <x:c r="K10" s="45" t="b">
        <x:v>1</x:v>
      </x:c>
      <x:c r="L10" s="36" t="n">
        <x:v>6</x:v>
      </x:c>
      <x:c r="M10" s="36" t="n">
        <x:v>6</x:v>
      </x:c>
      <x:c r="N10" s="43" t="n">
        <x:v>24813307.980590854</x:v>
      </x:c>
      <x:c r="O10" s="43" t="n">
        <x:v>24693825.051618177</x:v>
      </x:c>
      <x:c r="P10" s="43" t="n">
        <x:v>1478350.867444264</x:v>
      </x:c>
      <x:c r="Q10" s="43" t="n">
        <x:v>23626477.072790936</x:v>
      </x:c>
      <x:c r="R10" s="43" t="n">
        <x:v>25934751.762001786</x:v>
      </x:c>
      <x:c r="S10" s="43" t="n">
        <x:v>22715674.281386904</x:v>
      </x:c>
      <x:c r="T10" s="43" t="n">
        <x:v>26281226.94114405</x:v>
      </x:c>
      <x:c r="U10" s="43" t="n">
        <x:v>1582046.434001853</x:v>
      </x:c>
      <x:c r="V10" s="43" t="n">
        <x:v>170.5</x:v>
      </x:c>
      <x:c r="W10" s="43" t="n">
        <x:v>296</x:v>
      </x:c>
      <x:c r="X10" s="36" t="n">
        <x:v>6</x:v>
      </x:c>
      <x:c r="Y10" s="43" t="n">
        <x:v>531</x:v>
      </x:c>
      <x:c r="Z10" s="53" t="n">
        <x:f>IF(Y10="","",Y10/'Readme-Protocol'!$B$25)</x:f>
        <x:v>0.531</x:v>
      </x:c>
      <x:c r="AA10" s="43" t="n">
        <x:v>522.6666666666666</x:v>
      </x:c>
      <x:c r="AB10" s="43" t="n">
        <x:v>40.20779360604939</x:v>
      </x:c>
      <x:c r="AC10" s="43" t="n">
        <x:v>498.5</x:v>
      </x:c>
      <x:c r="AD10" s="43" t="n">
        <x:v>556</x:v>
      </x:c>
      <x:c r="AE10" s="43" t="n">
        <x:v>461</x:v>
      </x:c>
      <x:c r="AF10" s="43" t="n">
        <x:v>561</x:v>
      </x:c>
      <x:c r="AG10" s="43" t="n">
        <x:v>1939328</x:v>
      </x:c>
    </x:row>
    <x:row r="11">
      <x:c r="A11" s="24" t="str">
        <x:v>default</x:v>
      </x:c>
      <x:c r="B11" s="24" t="str">
        <x:v>ehcache</x:v>
      </x:c>
      <x:c r="C11" s="24" t="str">
        <x:v>initial</x:v>
      </x:c>
      <x:c r="D11" s="24" t="str">
        <x:v>sensitivity-without-cycle-1</x:v>
      </x:c>
      <x:c r="E11" s="24" t="str">
        <x:v>independent-process-run-fork</x:v>
      </x:c>
      <x:c r="F11" s="24" t="str">
        <x:v>current-provider-primary-comparison</x:v>
      </x:c>
      <x:c r="G11" s="36" t="n">
        <x:v>6</x:v>
      </x:c>
      <x:c r="H11" s="36" t="n">
        <x:v>6</x:v>
      </x:c>
      <x:c r="I11" s="36" t="n">
        <x:v>0</x:v>
      </x:c>
      <x:c r="J11" s="36" t="n">
        <x:v>6</x:v>
      </x:c>
      <x:c r="K11" s="45" t="b">
        <x:v>1</x:v>
      </x:c>
      <x:c r="L11" s="36" t="n">
        <x:v>6</x:v>
      </x:c>
      <x:c r="M11" s="36" t="n">
        <x:v>6</x:v>
      </x:c>
      <x:c r="N11" s="43" t="n">
        <x:v>25026690.573290505</x:v>
      </x:c>
      <x:c r="O11" s="43" t="n">
        <x:v>24706121.796281673</x:v>
      </x:c>
      <x:c r="P11" s="43" t="n">
        <x:v>1420336.3128087432</x:v>
      </x:c>
      <x:c r="Q11" s="43" t="n">
        <x:v>23537024.13510881</x:v>
      </x:c>
      <x:c r="R11" s="43" t="n">
        <x:v>25809452.102244914</x:v>
      </x:c>
      <x:c r="S11" s="43" t="n">
        <x:v>22863032.61189495</x:v>
      </x:c>
      <x:c r="T11" s="43" t="n">
        <x:v>26209475.751602784</x:v>
      </x:c>
      <x:c r="U11" s="43" t="n">
        <x:v>1541692.450150197</x:v>
      </x:c>
      <x:c r="V11" s="43" t="n">
        <x:v>168</x:v>
      </x:c>
      <x:c r="W11" s="43" t="n">
        <x:v>293.25</x:v>
      </x:c>
      <x:c r="X11" s="36" t="n">
        <x:v>6</x:v>
      </x:c>
      <x:c r="Y11" s="43" t="n">
        <x:v>521</x:v>
      </x:c>
      <x:c r="Z11" s="53" t="n">
        <x:f>IF(Y11="","",Y11/'Readme-Protocol'!$B$25)</x:f>
        <x:v>0.521</x:v>
      </x:c>
      <x:c r="AA11" s="43" t="n">
        <x:v>525.1666666666666</x:v>
      </x:c>
      <x:c r="AB11" s="43" t="n">
        <x:v>33.07819019636151</x:v>
      </x:c>
      <x:c r="AC11" s="43" t="n">
        <x:v>497.25</x:v>
      </x:c>
      <x:c r="AD11" s="43" t="n">
        <x:v>552.25</x:v>
      </x:c>
      <x:c r="AE11" s="43" t="n">
        <x:v>491</x:v>
      </x:c>
      <x:c r="AF11" s="43" t="n">
        <x:v>566</x:v>
      </x:c>
      <x:c r="AG11" s="43" t="n">
        <x:v>1956014</x:v>
      </x:c>
    </x:row>
    <x:row r="12">
      <x:c r="A12" s="24" t="str">
        <x:v>default</x:v>
      </x:c>
      <x:c r="B12" s="24" t="str">
        <x:v>ehcache</x:v>
      </x:c>
      <x:c r="C12" s="24" t="str">
        <x:v>redeploy</x:v>
      </x:c>
      <x:c r="D12" s="24" t="str">
        <x:v>primary-all-cycles</x:v>
      </x:c>
      <x:c r="E12" s="24" t="str">
        <x:v>independent-process-run-fork</x:v>
      </x:c>
      <x:c r="F12" s="24" t="str">
        <x:v>current-provider-primary-comparison</x:v>
      </x:c>
      <x:c r="G12" s="36" t="n">
        <x:v>6</x:v>
      </x:c>
      <x:c r="H12" s="36" t="n">
        <x:v>6</x:v>
      </x:c>
      <x:c r="I12" s="36" t="n">
        <x:v>0</x:v>
      </x:c>
      <x:c r="J12" s="36" t="n">
        <x:v>6</x:v>
      </x:c>
      <x:c r="K12" s="45" t="b">
        <x:v>1</x:v>
      </x:c>
      <x:c r="L12" s="36" t="n">
        <x:v>6</x:v>
      </x:c>
      <x:c r="M12" s="36" t="n">
        <x:v>6</x:v>
      </x:c>
      <x:c r="N12" s="43" t="n">
        <x:v>24626259.549831145</x:v>
      </x:c>
      <x:c r="O12" s="43" t="n">
        <x:v>24622964.845101517</x:v>
      </x:c>
      <x:c r="P12" s="43" t="n">
        <x:v>1721395.0104498102</x:v>
      </x:c>
      <x:c r="Q12" s="43" t="n">
        <x:v>23369850.41999089</x:v>
      </x:c>
      <x:c r="R12" s="43" t="n">
        <x:v>25814915.100113153</x:v>
      </x:c>
      <x:c r="S12" s="43" t="n">
        <x:v>22523030.08161541</x:v>
      </x:c>
      <x:c r="T12" s="43" t="n">
        <x:v>26800058.89574678</x:v>
      </x:c>
      <x:c r="U12" s="43" t="n">
        <x:v>1729123.5829954734</x:v>
      </x:c>
      <x:c r="V12" s="43" t="n">
        <x:v>170.5</x:v>
      </x:c>
      <x:c r="W12" s="43" t="n">
        <x:v>305.5</x:v>
      </x:c>
      <x:c r="X12" s="36" t="n">
        <x:v>6</x:v>
      </x:c>
      <x:c r="Y12" s="43" t="n">
        <x:v>536</x:v>
      </x:c>
      <x:c r="Z12" s="53" t="n">
        <x:f>IF(Y12="","",Y12/'Readme-Protocol'!$B$25)</x:f>
        <x:v>0.536</x:v>
      </x:c>
      <x:c r="AA12" s="43" t="n">
        <x:v>531</x:v>
      </x:c>
      <x:c r="AB12" s="43" t="n">
        <x:v>44.27188724235731</x:v>
      </x:c>
      <x:c r="AC12" s="43" t="n">
        <x:v>501</x:v>
      </x:c>
      <x:c r="AD12" s="43" t="n">
        <x:v>556</x:v>
      </x:c>
      <x:c r="AE12" s="43" t="n">
        <x:v>471</x:v>
      </x:c>
      <x:c r="AF12" s="43" t="n">
        <x:v>591</x:v>
      </x:c>
      <x:c r="AG12" s="43" t="n">
        <x:v>1925212</x:v>
      </x:c>
    </x:row>
    <x:row r="13">
      <x:c r="A13" s="24" t="str">
        <x:v>default</x:v>
      </x:c>
      <x:c r="B13" s="24" t="str">
        <x:v>ehcache</x:v>
      </x:c>
      <x:c r="C13" s="24" t="str">
        <x:v>redeploy</x:v>
      </x:c>
      <x:c r="D13" s="24" t="str">
        <x:v>sensitivity-without-cycle-1</x:v>
      </x:c>
      <x:c r="E13" s="24" t="str">
        <x:v>independent-process-run-fork</x:v>
      </x:c>
      <x:c r="F13" s="24" t="str">
        <x:v>current-provider-primary-comparison</x:v>
      </x:c>
      <x:c r="G13" s="36" t="n">
        <x:v>6</x:v>
      </x:c>
      <x:c r="H13" s="36" t="n">
        <x:v>6</x:v>
      </x:c>
      <x:c r="I13" s="36" t="n">
        <x:v>0</x:v>
      </x:c>
      <x:c r="J13" s="36" t="n">
        <x:v>6</x:v>
      </x:c>
      <x:c r="K13" s="45" t="b">
        <x:v>1</x:v>
      </x:c>
      <x:c r="L13" s="36" t="n">
        <x:v>6</x:v>
      </x:c>
      <x:c r="M13" s="36" t="n">
        <x:v>6</x:v>
      </x:c>
      <x:c r="N13" s="43" t="n">
        <x:v>25248020.06502235</x:v>
      </x:c>
      <x:c r="O13" s="43" t="n">
        <x:v>24714185.13084554</x:v>
      </x:c>
      <x:c r="P13" s="43" t="n">
        <x:v>1631932.1118828014</x:v>
      </x:c>
      <x:c r="Q13" s="43" t="n">
        <x:v>24122186.73766809</x:v>
      </x:c>
      <x:c r="R13" s="43" t="n">
        <x:v>25789998.607317112</x:v>
      </x:c>
      <x:c r="S13" s="43" t="n">
        <x:v>21856122.333359793</x:v>
      </x:c>
      <x:c r="T13" s="43" t="n">
        <x:v>26215381.23837004</x:v>
      </x:c>
      <x:c r="U13" s="43" t="n">
        <x:v>1684515.7376301917</x:v>
      </x:c>
      <x:c r="V13" s="43" t="n">
        <x:v>165.75</x:v>
      </x:c>
      <x:c r="W13" s="43" t="n">
        <x:v>293.25</x:v>
      </x:c>
      <x:c r="X13" s="36" t="n">
        <x:v>6</x:v>
      </x:c>
      <x:c r="Y13" s="43" t="n">
        <x:v>521</x:v>
      </x:c>
      <x:c r="Z13" s="53" t="n">
        <x:f>IF(Y13="","",Y13/'Readme-Protocol'!$B$25)</x:f>
        <x:v>0.521</x:v>
      </x:c>
      <x:c r="AA13" s="43" t="n">
        <x:v>528.5</x:v>
      </x:c>
      <x:c r="AB13" s="43" t="n">
        <x:v>39.08324449172561</x:v>
      </x:c>
      <x:c r="AC13" s="43" t="n">
        <x:v>502.25</x:v>
      </x:c>
      <x:c r="AD13" s="43" t="n">
        <x:v>547.25</x:v>
      </x:c>
      <x:c r="AE13" s="43" t="n">
        <x:v>486</x:v>
      </x:c>
      <x:c r="AF13" s="43" t="n">
        <x:v>591</x:v>
      </x:c>
      <x:c r="AG13" s="43" t="n">
        <x:v>1973529</x:v>
      </x:c>
    </x:row>
    <x:row r="14">
      <x:c r="A14" s="24" t="str">
        <x:v>default</x:v>
      </x:c>
      <x:c r="B14" s="24" t="str">
        <x:v>cache2k</x:v>
      </x:c>
      <x:c r="C14" s="24" t="str">
        <x:v>initial</x:v>
      </x:c>
      <x:c r="D14" s="24" t="str">
        <x:v>primary-all-cycles</x:v>
      </x:c>
      <x:c r="E14" s="24" t="str">
        <x:v>independent-process-run-fork</x:v>
      </x:c>
      <x:c r="F14" s="24" t="str">
        <x:v>current-provider-primary-comparison</x:v>
      </x:c>
      <x:c r="G14" s="36" t="n">
        <x:v>6</x:v>
      </x:c>
      <x:c r="H14" s="36" t="n">
        <x:v>6</x:v>
      </x:c>
      <x:c r="I14" s="36" t="n">
        <x:v>0</x:v>
      </x:c>
      <x:c r="J14" s="36" t="n">
        <x:v>6</x:v>
      </x:c>
      <x:c r="K14" s="45" t="b">
        <x:v>1</x:v>
      </x:c>
      <x:c r="L14" s="36" t="n">
        <x:v>6</x:v>
      </x:c>
      <x:c r="M14" s="36" t="n">
        <x:v>6</x:v>
      </x:c>
      <x:c r="N14" s="43" t="n">
        <x:v>30777021.885762583</x:v>
      </x:c>
      <x:c r="O14" s="43" t="n">
        <x:v>30431731.300377015</x:v>
      </x:c>
      <x:c r="P14" s="43" t="n">
        <x:v>1308937.3363848971</x:v>
      </x:c>
      <x:c r="Q14" s="43" t="n">
        <x:v>29372981.18101444</x:v>
      </x:c>
      <x:c r="R14" s="43" t="n">
        <x:v>31484616.790545445</x:v>
      </x:c>
      <x:c r="S14" s="43" t="n">
        <x:v>28694693.01226229</x:v>
      </x:c>
      <x:c r="T14" s="43" t="n">
        <x:v>31716201.646903183</x:v>
      </x:c>
      <x:c r="U14" s="43" t="n">
        <x:v>1625796.7990371776</x:v>
      </x:c>
      <x:c r="V14" s="43" t="n">
        <x:v>150</x:v>
      </x:c>
      <x:c r="W14" s="43" t="n">
        <x:v>325.5</x:v>
      </x:c>
      <x:c r="X14" s="36" t="n">
        <x:v>6</x:v>
      </x:c>
      <x:c r="Y14" s="43" t="n">
        <x:v>506</x:v>
      </x:c>
      <x:c r="Z14" s="53" t="n">
        <x:f>IF(Y14="","",Y14/'Readme-Protocol'!$B$25)</x:f>
        <x:v>0.506</x:v>
      </x:c>
      <x:c r="AA14" s="43" t="n">
        <x:v>512.8333333333334</x:v>
      </x:c>
      <x:c r="AB14" s="43" t="n">
        <x:v>14.972196454317137</x:v>
      </x:c>
      <x:c r="AC14" s="43" t="n">
        <x:v>501</x:v>
      </x:c>
      <x:c r="AD14" s="43" t="n">
        <x:v>526</x:v>
      </x:c>
      <x:c r="AE14" s="43" t="n">
        <x:v>501</x:v>
      </x:c>
      <x:c r="AF14" s="43" t="n">
        <x:v>532</x:v>
      </x:c>
      <x:c r="AG14" s="43" t="n">
        <x:v>2412482</x:v>
      </x:c>
    </x:row>
    <x:row r="15">
      <x:c r="A15" s="24" t="str">
        <x:v>default</x:v>
      </x:c>
      <x:c r="B15" s="24" t="str">
        <x:v>cache2k</x:v>
      </x:c>
      <x:c r="C15" s="24" t="str">
        <x:v>initial</x:v>
      </x:c>
      <x:c r="D15" s="24" t="str">
        <x:v>sensitivity-without-cycle-1</x:v>
      </x:c>
      <x:c r="E15" s="24" t="str">
        <x:v>independent-process-run-fork</x:v>
      </x:c>
      <x:c r="F15" s="24" t="str">
        <x:v>current-provider-primary-comparison</x:v>
      </x:c>
      <x:c r="G15" s="36" t="n">
        <x:v>6</x:v>
      </x:c>
      <x:c r="H15" s="36" t="n">
        <x:v>6</x:v>
      </x:c>
      <x:c r="I15" s="36" t="n">
        <x:v>0</x:v>
      </x:c>
      <x:c r="J15" s="36" t="n">
        <x:v>6</x:v>
      </x:c>
      <x:c r="K15" s="45" t="b">
        <x:v>1</x:v>
      </x:c>
      <x:c r="L15" s="36" t="n">
        <x:v>6</x:v>
      </x:c>
      <x:c r="M15" s="36" t="n">
        <x:v>6</x:v>
      </x:c>
      <x:c r="N15" s="43" t="n">
        <x:v>30414407.621661503</x:v>
      </x:c>
      <x:c r="O15" s="43" t="n">
        <x:v>30548543.37123386</x:v>
      </x:c>
      <x:c r="P15" s="43" t="n">
        <x:v>1318213.9771121633</x:v>
      </x:c>
      <x:c r="Q15" s="43" t="n">
        <x:v>29596039.3659603</x:v>
      </x:c>
      <x:c r="R15" s="43" t="n">
        <x:v>31724934.579400767</x:v>
      </x:c>
      <x:c r="S15" s="43" t="n">
        <x:v>28960541.98925658</x:v>
      </x:c>
      <x:c r="T15" s="43" t="n">
        <x:v>32016876.14878314</x:v>
      </x:c>
      <x:c r="U15" s="43" t="n">
        <x:v>1667159.245844709</x:v>
      </x:c>
      <x:c r="V15" s="43" t="n">
        <x:v>147.5</x:v>
      </x:c>
      <x:c r="W15" s="43" t="n">
        <x:v>325.75</x:v>
      </x:c>
      <x:c r="X15" s="36" t="n">
        <x:v>6</x:v>
      </x:c>
      <x:c r="Y15" s="43" t="n">
        <x:v>508.5</x:v>
      </x:c>
      <x:c r="Z15" s="53" t="n">
        <x:f>IF(Y15="","",Y15/'Readme-Protocol'!$B$25)</x:f>
        <x:v>0.5085</x:v>
      </x:c>
      <x:c r="AA15" s="43" t="n">
        <x:v>510.25</x:v>
      </x:c>
      <x:c r="AB15" s="43" t="n">
        <x:v>15.980456814496888</x:v>
      </x:c>
      <x:c r="AC15" s="43" t="n">
        <x:v>501</x:v>
      </x:c>
      <x:c r="AD15" s="43" t="n">
        <x:v>516.375</x:v>
      </x:c>
      <x:c r="AE15" s="43" t="n">
        <x:v>491</x:v>
      </x:c>
      <x:c r="AF15" s="43" t="n">
        <x:v>536</x:v>
      </x:c>
      <x:c r="AG15" s="43" t="n">
        <x:v>2390125</x:v>
      </x:c>
    </x:row>
    <x:row r="16">
      <x:c r="A16" s="24" t="str">
        <x:v>default</x:v>
      </x:c>
      <x:c r="B16" s="24" t="str">
        <x:v>cache2k</x:v>
      </x:c>
      <x:c r="C16" s="24" t="str">
        <x:v>redeploy</x:v>
      </x:c>
      <x:c r="D16" s="24" t="str">
        <x:v>primary-all-cycles</x:v>
      </x:c>
      <x:c r="E16" s="24" t="str">
        <x:v>independent-process-run-fork</x:v>
      </x:c>
      <x:c r="F16" s="24" t="str">
        <x:v>current-provider-primary-comparison</x:v>
      </x:c>
      <x:c r="G16" s="36" t="n">
        <x:v>6</x:v>
      </x:c>
      <x:c r="H16" s="36" t="n">
        <x:v>6</x:v>
      </x:c>
      <x:c r="I16" s="36" t="n">
        <x:v>0</x:v>
      </x:c>
      <x:c r="J16" s="36" t="n">
        <x:v>6</x:v>
      </x:c>
      <x:c r="K16" s="45" t="b">
        <x:v>1</x:v>
      </x:c>
      <x:c r="L16" s="36" t="n">
        <x:v>6</x:v>
      </x:c>
      <x:c r="M16" s="36" t="n">
        <x:v>6</x:v>
      </x:c>
      <x:c r="N16" s="43" t="n">
        <x:v>30589222.881858967</x:v>
      </x:c>
      <x:c r="O16" s="43" t="n">
        <x:v>30568620.622483477</x:v>
      </x:c>
      <x:c r="P16" s="43" t="n">
        <x:v>997692.3930752401</x:v>
      </x:c>
      <x:c r="Q16" s="43" t="n">
        <x:v>29682016.548112255</x:v>
      </x:c>
      <x:c r="R16" s="43" t="n">
        <x:v>31445868.8302709</x:v>
      </x:c>
      <x:c r="S16" s="43" t="n">
        <x:v>29544166.822933957</x:v>
      </x:c>
      <x:c r="T16" s="43" t="n">
        <x:v>31578079.23164408</x:v>
      </x:c>
      <x:c r="U16" s="43" t="n">
        <x:v>2075504.426628029</x:v>
      </x:c>
      <x:c r="V16" s="43" t="n">
        <x:v>141</x:v>
      </x:c>
      <x:c r="W16" s="43" t="n">
        <x:v>325</x:v>
      </x:c>
      <x:c r="X16" s="36" t="n">
        <x:v>6</x:v>
      </x:c>
      <x:c r="Y16" s="43" t="n">
        <x:v>506</x:v>
      </x:c>
      <x:c r="Z16" s="53" t="n">
        <x:f>IF(Y16="","",Y16/'Readme-Protocol'!$B$25)</x:f>
        <x:v>0.506</x:v>
      </x:c>
      <x:c r="AA16" s="43" t="n">
        <x:v>507.6666666666667</x:v>
      </x:c>
      <x:c r="AB16" s="43" t="n">
        <x:v>17.511900715418264</x:v>
      </x:c>
      <x:c r="AC16" s="43" t="n">
        <x:v>501</x:v>
      </x:c>
      <x:c r="AD16" s="43" t="n">
        <x:v>518.5</x:v>
      </x:c>
      <x:c r="AE16" s="43" t="n">
        <x:v>481</x:v>
      </x:c>
      <x:c r="AF16" s="43" t="n">
        <x:v>531</x:v>
      </x:c>
      <x:c r="AG16" s="43" t="n">
        <x:v>2392238</x:v>
      </x:c>
    </x:row>
    <x:row r="17">
      <x:c r="A17" s="24" t="str">
        <x:v>default</x:v>
      </x:c>
      <x:c r="B17" s="24" t="str">
        <x:v>cache2k</x:v>
      </x:c>
      <x:c r="C17" s="24" t="str">
        <x:v>redeploy</x:v>
      </x:c>
      <x:c r="D17" s="24" t="str">
        <x:v>sensitivity-without-cycle-1</x:v>
      </x:c>
      <x:c r="E17" s="24" t="str">
        <x:v>independent-process-run-fork</x:v>
      </x:c>
      <x:c r="F17" s="24" t="str">
        <x:v>current-provider-primary-comparison</x:v>
      </x:c>
      <x:c r="G17" s="36" t="n">
        <x:v>6</x:v>
      </x:c>
      <x:c r="H17" s="36" t="n">
        <x:v>6</x:v>
      </x:c>
      <x:c r="I17" s="36" t="n">
        <x:v>0</x:v>
      </x:c>
      <x:c r="J17" s="36" t="n">
        <x:v>6</x:v>
      </x:c>
      <x:c r="K17" s="45" t="b">
        <x:v>1</x:v>
      </x:c>
      <x:c r="L17" s="36" t="n">
        <x:v>6</x:v>
      </x:c>
      <x:c r="M17" s="36" t="n">
        <x:v>6</x:v>
      </x:c>
      <x:c r="N17" s="43" t="n">
        <x:v>30692420.11446236</x:v>
      </x:c>
      <x:c r="O17" s="43" t="n">
        <x:v>30624241.498876765</x:v>
      </x:c>
      <x:c r="P17" s="43" t="n">
        <x:v>900537.976447027</x:v>
      </x:c>
      <x:c r="Q17" s="43" t="n">
        <x:v>29893213.59418326</x:v>
      </x:c>
      <x:c r="R17" s="43" t="n">
        <x:v>31381960.001615282</x:v>
      </x:c>
      <x:c r="S17" s="43" t="n">
        <x:v>29568973.50057646</x:v>
      </x:c>
      <x:c r="T17" s="43" t="n">
        <x:v>31553017.212336265</x:v>
      </x:c>
      <x:c r="U17" s="43" t="n">
        <x:v>2177638.307455929</x:v>
      </x:c>
      <x:c r="V17" s="43" t="n">
        <x:v>143.25</x:v>
      </x:c>
      <x:c r="W17" s="43" t="n">
        <x:v>325.25</x:v>
      </x:c>
      <x:c r="X17" s="36" t="n">
        <x:v>6</x:v>
      </x:c>
      <x:c r="Y17" s="43" t="n">
        <x:v>513.5</x:v>
      </x:c>
      <x:c r="Z17" s="53" t="n">
        <x:f>IF(Y17="","",Y17/'Readme-Protocol'!$B$25)</x:f>
        <x:v>0.5135</x:v>
      </x:c>
      <x:c r="AA17" s="43" t="n">
        <x:v>511</x:v>
      </x:c>
      <x:c r="AB17" s="43" t="n">
        <x:v>20.73644135332772</x:v>
      </x:c>
      <x:c r="AC17" s="43" t="n">
        <x:v>499.75</x:v>
      </x:c>
      <x:c r="AD17" s="43" t="n">
        <x:v>519.75</x:v>
      </x:c>
      <x:c r="AE17" s="43" t="n">
        <x:v>481</x:v>
      </x:c>
      <x:c r="AF17" s="43" t="n">
        <x:v>541</x:v>
      </x:c>
      <x:c r="AG17" s="43" t="n">
        <x:v>2399063</x:v>
      </x:c>
    </x:row>
    <x:row r="18">
      <x:c r="A18" s="24" t="str">
        <x:v>default</x:v>
      </x:c>
      <x:c r="B18" s="24" t="str">
        <x:v>jcs4</x:v>
      </x:c>
      <x:c r="C18" s="24" t="str">
        <x:v>initial</x:v>
      </x:c>
      <x:c r="D18" s="24" t="str">
        <x:v>primary-all-cycles</x:v>
      </x:c>
      <x:c r="E18" s="24" t="str">
        <x:v>independent-process-run-fork</x:v>
      </x:c>
      <x:c r="F18" s="24" t="str">
        <x:v>current-provider-primary-comparison</x:v>
      </x:c>
      <x:c r="G18" s="36" t="n">
        <x:v>6</x:v>
      </x:c>
      <x:c r="H18" s="36" t="n">
        <x:v>6</x:v>
      </x:c>
      <x:c r="I18" s="36" t="n">
        <x:v>0</x:v>
      </x:c>
      <x:c r="J18" s="36" t="n">
        <x:v>6</x:v>
      </x:c>
      <x:c r="K18" s="45" t="b">
        <x:v>1</x:v>
      </x:c>
      <x:c r="L18" s="36" t="n">
        <x:v>6</x:v>
      </x:c>
      <x:c r="M18" s="36" t="n">
        <x:v>6</x:v>
      </x:c>
      <x:c r="N18" s="43" t="n">
        <x:v>964549.7963547253</x:v>
      </x:c>
      <x:c r="O18" s="43" t="n">
        <x:v>965638.4281289927</x:v>
      </x:c>
      <x:c r="P18" s="43" t="n">
        <x:v>133094.93038379343</x:v>
      </x:c>
      <x:c r="Q18" s="43" t="n">
        <x:v>874937.014459999</x:v>
      </x:c>
      <x:c r="R18" s="43" t="n">
        <x:v>1031782.4205458335</x:v>
      </x:c>
      <x:c r="S18" s="43" t="n">
        <x:v>798638.0899947461</x:v>
      </x:c>
      <x:c r="T18" s="43" t="n">
        <x:v>1166833.5036317997</x:v>
      </x:c>
      <x:c r="U18" s="43" t="n">
        <x:v>3300630.7345386585</x:v>
      </x:c>
      <x:c r="V18" s="43" t="n">
        <x:v>446</x:v>
      </x:c>
      <x:c r="W18" s="43" t="n">
        <x:v>1904</x:v>
      </x:c>
      <x:c r="X18" s="36" t="n">
        <x:v>6</x:v>
      </x:c>
      <x:c r="Y18" s="43" t="n">
        <x:v>281699</x:v>
      </x:c>
      <x:c r="Z18" s="53" t="n">
        <x:f>IF(Y18="","",Y18/'Readme-Protocol'!$B$25)</x:f>
        <x:v>281.699</x:v>
      </x:c>
      <x:c r="AA18" s="43" t="n">
        <x:v>283071.5</x:v>
      </x:c>
      <x:c r="AB18" s="43" t="n">
        <x:v>12792.533818599035</x:v>
      </x:c>
      <x:c r="AC18" s="43" t="n">
        <x:v>273566</x:v>
      </x:c>
      <x:c r="AD18" s="43" t="n">
        <x:v>287165</x:v>
      </x:c>
      <x:c r="AE18" s="43" t="n">
        <x:v>270272</x:v>
      </x:c>
      <x:c r="AF18" s="43" t="n">
        <x:v>304917</x:v>
      </x:c>
      <x:c r="AG18" s="43" t="n">
        <x:v>75378</x:v>
      </x:c>
    </x:row>
    <x:row r="19">
      <x:c r="A19" s="24" t="str">
        <x:v>default</x:v>
      </x:c>
      <x:c r="B19" s="24" t="str">
        <x:v>jcs4</x:v>
      </x:c>
      <x:c r="C19" s="24" t="str">
        <x:v>initial</x:v>
      </x:c>
      <x:c r="D19" s="24" t="str">
        <x:v>sensitivity-without-cycle-1</x:v>
      </x:c>
      <x:c r="E19" s="24" t="str">
        <x:v>independent-process-run-fork</x:v>
      </x:c>
      <x:c r="F19" s="24" t="str">
        <x:v>current-provider-primary-comparison</x:v>
      </x:c>
      <x:c r="G19" s="36" t="n">
        <x:v>6</x:v>
      </x:c>
      <x:c r="H19" s="36" t="n">
        <x:v>6</x:v>
      </x:c>
      <x:c r="I19" s="36" t="n">
        <x:v>0</x:v>
      </x:c>
      <x:c r="J19" s="36" t="n">
        <x:v>6</x:v>
      </x:c>
      <x:c r="K19" s="45" t="b">
        <x:v>1</x:v>
      </x:c>
      <x:c r="L19" s="36" t="n">
        <x:v>6</x:v>
      </x:c>
      <x:c r="M19" s="36" t="n">
        <x:v>6</x:v>
      </x:c>
      <x:c r="N19" s="43" t="n">
        <x:v>967934.6789956044</x:v>
      </x:c>
      <x:c r="O19" s="43" t="n">
        <x:v>986487.4010363979</x:v>
      </x:c>
      <x:c r="P19" s="43" t="n">
        <x:v>122670.25699392478</x:v>
      </x:c>
      <x:c r="Q19" s="43" t="n">
        <x:v>933910.213008832</x:v>
      </x:c>
      <x:c r="R19" s="43" t="n">
        <x:v>1011281.7452320502</x:v>
      </x:c>
      <x:c r="S19" s="43" t="n">
        <x:v>833776.8181388052</x:v>
      </x:c>
      <x:c r="T19" s="43" t="n">
        <x:v>1200978.7384309336</x:v>
      </x:c>
      <x:c r="U19" s="43" t="n">
        <x:v>3466071.428063727</x:v>
      </x:c>
      <x:c r="V19" s="43" t="n">
        <x:v>448.5</x:v>
      </x:c>
      <x:c r="W19" s="43" t="n">
        <x:v>1941.25</x:v>
      </x:c>
      <x:c r="X19" s="36" t="n">
        <x:v>6</x:v>
      </x:c>
      <x:c r="Y19" s="43" t="n">
        <x:v>280662</x:v>
      </x:c>
      <x:c r="Z19" s="53" t="n">
        <x:f>IF(Y19="","",Y19/'Readme-Protocol'!$B$25)</x:f>
        <x:v>280.662</x:v>
      </x:c>
      <x:c r="AA19" s="43" t="n">
        <x:v>279883.5</x:v>
      </x:c>
      <x:c r="AB19" s="43" t="n">
        <x:v>10720.328889544387</x:v>
      </x:c>
      <x:c r="AC19" s="43" t="n">
        <x:v>274068.125</x:v>
      </x:c>
      <x:c r="AD19" s="43" t="n">
        <x:v>286143.625</x:v>
      </x:c>
      <x:c r="AE19" s="43" t="n">
        <x:v>264120.5</x:v>
      </x:c>
      <x:c r="AF19" s="43" t="n">
        <x:v>294015.5</x:v>
      </x:c>
      <x:c r="AG19" s="43" t="n">
        <x:v>75639</x:v>
      </x:c>
    </x:row>
    <x:row r="20">
      <x:c r="A20" s="24" t="str">
        <x:v>default</x:v>
      </x:c>
      <x:c r="B20" s="24" t="str">
        <x:v>jcs4</x:v>
      </x:c>
      <x:c r="C20" s="24" t="str">
        <x:v>redeploy</x:v>
      </x:c>
      <x:c r="D20" s="24" t="str">
        <x:v>primary-all-cycles</x:v>
      </x:c>
      <x:c r="E20" s="24" t="str">
        <x:v>independent-process-run-fork</x:v>
      </x:c>
      <x:c r="F20" s="24" t="str">
        <x:v>current-provider-primary-comparison</x:v>
      </x:c>
      <x:c r="G20" s="36" t="n">
        <x:v>6</x:v>
      </x:c>
      <x:c r="H20" s="36" t="n">
        <x:v>6</x:v>
      </x:c>
      <x:c r="I20" s="36" t="n">
        <x:v>0</x:v>
      </x:c>
      <x:c r="J20" s="36" t="n">
        <x:v>6</x:v>
      </x:c>
      <x:c r="K20" s="45" t="b">
        <x:v>1</x:v>
      </x:c>
      <x:c r="L20" s="36" t="n">
        <x:v>6</x:v>
      </x:c>
      <x:c r="M20" s="36" t="n">
        <x:v>6</x:v>
      </x:c>
      <x:c r="N20" s="43" t="n">
        <x:v>968819.2076047721</x:v>
      </x:c>
      <x:c r="O20" s="43" t="n">
        <x:v>979055.238939042</x:v>
      </x:c>
      <x:c r="P20" s="43" t="n">
        <x:v>102684.13756510953</x:v>
      </x:c>
      <x:c r="Q20" s="43" t="n">
        <x:v>913262.4449151636</x:v>
      </x:c>
      <x:c r="R20" s="43" t="n">
        <x:v>1045099.3913562871</x:v>
      </x:c>
      <x:c r="S20" s="43" t="n">
        <x:v>847153.9073961563</x:v>
      </x:c>
      <x:c r="T20" s="43" t="n">
        <x:v>1124269.4677364654</x:v>
      </x:c>
      <x:c r="U20" s="43" t="n">
        <x:v>3727364.2676800806</x:v>
      </x:c>
      <x:c r="V20" s="43" t="n">
        <x:v>471</x:v>
      </x:c>
      <x:c r="W20" s="43" t="n">
        <x:v>1918</x:v>
      </x:c>
      <x:c r="X20" s="36" t="n">
        <x:v>6</x:v>
      </x:c>
      <x:c r="Y20" s="43" t="n">
        <x:v>273976</x:v>
      </x:c>
      <x:c r="Z20" s="53" t="n">
        <x:f>IF(Y20="","",Y20/'Readme-Protocol'!$B$25)</x:f>
        <x:v>273.976</x:v>
      </x:c>
      <x:c r="AA20" s="43" t="n">
        <x:v>277447.5</x:v>
      </x:c>
      <x:c r="AB20" s="43" t="n">
        <x:v>10300.27597203104</x:v>
      </x:c>
      <x:c r="AC20" s="43" t="n">
        <x:v>269977.75</x:v>
      </x:c>
      <x:c r="AD20" s="43" t="n">
        <x:v>283977.25</x:v>
      </x:c>
      <x:c r="AE20" s="43" t="n">
        <x:v>267513</x:v>
      </x:c>
      <x:c r="AF20" s="43" t="n">
        <x:v>293264</x:v>
      </x:c>
      <x:c r="AG20" s="43" t="n">
        <x:v>75702</x:v>
      </x:c>
    </x:row>
    <x:row r="21">
      <x:c r="A21" s="24" t="str">
        <x:v>default</x:v>
      </x:c>
      <x:c r="B21" s="24" t="str">
        <x:v>jcs4</x:v>
      </x:c>
      <x:c r="C21" s="24" t="str">
        <x:v>redeploy</x:v>
      </x:c>
      <x:c r="D21" s="24" t="str">
        <x:v>sensitivity-without-cycle-1</x:v>
      </x:c>
      <x:c r="E21" s="24" t="str">
        <x:v>independent-process-run-fork</x:v>
      </x:c>
      <x:c r="F21" s="24" t="str">
        <x:v>current-provider-primary-comparison</x:v>
      </x:c>
      <x:c r="G21" s="36" t="n">
        <x:v>6</x:v>
      </x:c>
      <x:c r="H21" s="36" t="n">
        <x:v>6</x:v>
      </x:c>
      <x:c r="I21" s="36" t="n">
        <x:v>0</x:v>
      </x:c>
      <x:c r="J21" s="36" t="n">
        <x:v>6</x:v>
      </x:c>
      <x:c r="K21" s="45" t="b">
        <x:v>1</x:v>
      </x:c>
      <x:c r="L21" s="36" t="n">
        <x:v>6</x:v>
      </x:c>
      <x:c r="M21" s="36" t="n">
        <x:v>6</x:v>
      </x:c>
      <x:c r="N21" s="43" t="n">
        <x:v>974693.2258941688</x:v>
      </x:c>
      <x:c r="O21" s="43" t="n">
        <x:v>972480.6453754348</x:v>
      </x:c>
      <x:c r="P21" s="43" t="n">
        <x:v>108767.03390773901</x:v>
      </x:c>
      <x:c r="Q21" s="43" t="n">
        <x:v>933861.7422302696</x:v>
      </x:c>
      <x:c r="R21" s="43" t="n">
        <x:v>1061276.2901843123</x:v>
      </x:c>
      <x:c r="S21" s="43" t="n">
        <x:v>793795.1318832594</x:v>
      </x:c>
      <x:c r="T21" s="43" t="n">
        <x:v>1081313.7292910146</x:v>
      </x:c>
      <x:c r="U21" s="43" t="n">
        <x:v>3729544.0990229985</x:v>
      </x:c>
      <x:c r="V21" s="43" t="n">
        <x:v>453.25</x:v>
      </x:c>
      <x:c r="W21" s="43" t="n">
        <x:v>1911</x:v>
      </x:c>
      <x:c r="X21" s="36" t="n">
        <x:v>6</x:v>
      </x:c>
      <x:c r="Y21" s="43" t="n">
        <x:v>277711.25</x:v>
      </x:c>
      <x:c r="Z21" s="53" t="n">
        <x:f>IF(Y21="","",Y21/'Readme-Protocol'!$B$25)</x:f>
        <x:v>277.71125</x:v>
      </x:c>
      <x:c r="AA21" s="43" t="n">
        <x:v>279029.6666666667</x:v>
      </x:c>
      <x:c r="AB21" s="43" t="n">
        <x:v>9210.035660444897</x:v>
      </x:c>
      <x:c r="AC21" s="43" t="n">
        <x:v>272722.125</x:v>
      </x:c>
      <x:c r="AD21" s="43" t="n">
        <x:v>281618.125</x:v>
      </x:c>
      <x:c r="AE21" s="43" t="n">
        <x:v>269614.5</x:v>
      </x:c>
      <x:c r="AF21" s="43" t="n">
        <x:v>295161.5</x:v>
      </x:c>
      <x:c r="AG21" s="43" t="n">
        <x:v>76167</x:v>
      </x:c>
    </x:row>
    <x:row r="22">
      <x:c r="A22" s="24" t="str">
        <x:v>default</x:v>
      </x:c>
      <x:c r="B22" s="24" t="str">
        <x:v>jcs321</x:v>
      </x:c>
      <x:c r="C22" s="24" t="str">
        <x:v>initial</x:v>
      </x:c>
      <x:c r="D22" s="24" t="str">
        <x:v>primary-all-cycles</x:v>
      </x:c>
      <x:c r="E22" s="24" t="str">
        <x:v>independent-process-run-fork</x:v>
      </x:c>
      <x:c r="F22" s="24" t="str">
        <x:v>JCS-248-positive-control</x:v>
      </x:c>
      <x:c r="G22" s="36" t="n">
        <x:v>6</x:v>
      </x:c>
      <x:c r="H22" s="36" t="n">
        <x:v>6</x:v>
      </x:c>
      <x:c r="I22" s="36" t="n">
        <x:v>0</x:v>
      </x:c>
      <x:c r="J22" s="36" t="n">
        <x:v>6</x:v>
      </x:c>
      <x:c r="K22" s="45" t="b">
        <x:v>0</x:v>
      </x:c>
      <x:c r="L22" s="36" t="n">
        <x:v>0</x:v>
      </x:c>
      <x:c r="M22" s="36" t="n">
        <x:v>0</x:v>
      </x:c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36" t="n">
        <x:v>0</x:v>
      </x:c>
      <x:c r="Y22" s="43"/>
      <x:c r="Z22" s="53" t="str">
        <x:f>IF(Y22="","",Y22/'Readme-Protocol'!$B$25)</x:f>
      </x:c>
      <x:c r="AA22" s="43"/>
      <x:c r="AB22" s="43"/>
      <x:c r="AC22" s="43"/>
      <x:c r="AD22" s="43"/>
      <x:c r="AE22" s="43"/>
      <x:c r="AF22" s="43"/>
      <x:c r="AG22" s="43"/>
    </x:row>
    <x:row r="23">
      <x:c r="A23" s="24" t="str">
        <x:v>default</x:v>
      </x:c>
      <x:c r="B23" s="24" t="str">
        <x:v>jcs321</x:v>
      </x:c>
      <x:c r="C23" s="24" t="str">
        <x:v>initial</x:v>
      </x:c>
      <x:c r="D23" s="24" t="str">
        <x:v>sensitivity-without-cycle-1</x:v>
      </x:c>
      <x:c r="E23" s="24" t="str">
        <x:v>independent-process-run-fork</x:v>
      </x:c>
      <x:c r="F23" s="24" t="str">
        <x:v>JCS-248-positive-control</x:v>
      </x:c>
      <x:c r="G23" s="36" t="n">
        <x:v>6</x:v>
      </x:c>
      <x:c r="H23" s="36" t="n">
        <x:v>6</x:v>
      </x:c>
      <x:c r="I23" s="36" t="n">
        <x:v>0</x:v>
      </x:c>
      <x:c r="J23" s="36" t="n">
        <x:v>6</x:v>
      </x:c>
      <x:c r="K23" s="45" t="b">
        <x:v>0</x:v>
      </x:c>
      <x:c r="L23" s="36" t="n">
        <x:v>0</x:v>
      </x:c>
      <x:c r="M23" s="36" t="n">
        <x:v>0</x:v>
      </x:c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36" t="n">
        <x:v>0</x:v>
      </x:c>
      <x:c r="Y23" s="43"/>
      <x:c r="Z23" s="53" t="str">
        <x:f>IF(Y23="","",Y23/'Readme-Protocol'!$B$25)</x:f>
      </x:c>
      <x:c r="AA23" s="43"/>
      <x:c r="AB23" s="43"/>
      <x:c r="AC23" s="43"/>
      <x:c r="AD23" s="43"/>
      <x:c r="AE23" s="43"/>
      <x:c r="AF23" s="43"/>
      <x:c r="AG23" s="43"/>
    </x:row>
    <x:row r="24">
      <x:c r="A24" s="24" t="str">
        <x:v>default</x:v>
      </x:c>
      <x:c r="B24" s="24" t="str">
        <x:v>jcs321</x:v>
      </x:c>
      <x:c r="C24" s="24" t="str">
        <x:v>redeploy</x:v>
      </x:c>
      <x:c r="D24" s="24" t="str">
        <x:v>primary-all-cycles</x:v>
      </x:c>
      <x:c r="E24" s="24" t="str">
        <x:v>independent-process-run-fork</x:v>
      </x:c>
      <x:c r="F24" s="24" t="str">
        <x:v>JCS-248-positive-control</x:v>
      </x:c>
      <x:c r="G24" s="36" t="n">
        <x:v>6</x:v>
      </x:c>
      <x:c r="H24" s="36" t="n">
        <x:v>6</x:v>
      </x:c>
      <x:c r="I24" s="36" t="n">
        <x:v>0</x:v>
      </x:c>
      <x:c r="J24" s="36" t="n">
        <x:v>6</x:v>
      </x:c>
      <x:c r="K24" s="45" t="b">
        <x:v>0</x:v>
      </x:c>
      <x:c r="L24" s="36" t="n">
        <x:v>0</x:v>
      </x:c>
      <x:c r="M24" s="36" t="n">
        <x:v>0</x:v>
      </x:c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36" t="n">
        <x:v>0</x:v>
      </x:c>
      <x:c r="Y24" s="43"/>
      <x:c r="Z24" s="53" t="str">
        <x:f>IF(Y24="","",Y24/'Readme-Protocol'!$B$25)</x:f>
      </x:c>
      <x:c r="AA24" s="43"/>
      <x:c r="AB24" s="43"/>
      <x:c r="AC24" s="43"/>
      <x:c r="AD24" s="43"/>
      <x:c r="AE24" s="43"/>
      <x:c r="AF24" s="43"/>
      <x:c r="AG24" s="43"/>
    </x:row>
    <x:row r="25">
      <x:c r="A25" s="24" t="str">
        <x:v>default</x:v>
      </x:c>
      <x:c r="B25" s="24" t="str">
        <x:v>jcs321</x:v>
      </x:c>
      <x:c r="C25" s="24" t="str">
        <x:v>redeploy</x:v>
      </x:c>
      <x:c r="D25" s="24" t="str">
        <x:v>sensitivity-without-cycle-1</x:v>
      </x:c>
      <x:c r="E25" s="24" t="str">
        <x:v>independent-process-run-fork</x:v>
      </x:c>
      <x:c r="F25" s="24" t="str">
        <x:v>JCS-248-positive-control</x:v>
      </x:c>
      <x:c r="G25" s="36" t="n">
        <x:v>6</x:v>
      </x:c>
      <x:c r="H25" s="36" t="n">
        <x:v>6</x:v>
      </x:c>
      <x:c r="I25" s="36" t="n">
        <x:v>0</x:v>
      </x:c>
      <x:c r="J25" s="36" t="n">
        <x:v>6</x:v>
      </x:c>
      <x:c r="K25" s="45" t="b">
        <x:v>0</x:v>
      </x:c>
      <x:c r="L25" s="36" t="n">
        <x:v>0</x:v>
      </x:c>
      <x:c r="M25" s="36" t="n">
        <x:v>0</x:v>
      </x:c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36" t="n">
        <x:v>0</x:v>
      </x:c>
      <x:c r="Y25" s="43"/>
      <x:c r="Z25" s="53" t="str">
        <x:f>IF(Y25="","",Y25/'Readme-Protocol'!$B$25)</x:f>
      </x:c>
      <x:c r="AA25" s="43"/>
      <x:c r="AB25" s="43"/>
      <x:c r="AC25" s="43"/>
      <x:c r="AD25" s="43"/>
      <x:c r="AE25" s="43"/>
      <x:c r="AF25" s="43"/>
      <x:c r="AG25" s="43"/>
    </x:row>
    <x:row r="26">
      <x:c r="A26" s="24" t="str">
        <x:v>default</x:v>
      </x:c>
      <x:c r="B26" s="24" t="str">
        <x:v>nostore</x:v>
      </x:c>
      <x:c r="C26" s="24" t="str">
        <x:v>initial</x:v>
      </x:c>
      <x:c r="D26" s="24" t="str">
        <x:v>primary-all-cycles</x:v>
      </x:c>
      <x:c r="E26" s="24" t="str">
        <x:v>independent-process-run-fork</x:v>
      </x:c>
      <x:c r="F26" s="24" t="str">
        <x:v>lifecycle-negative-control</x:v>
      </x:c>
      <x:c r="G26" s="36" t="n">
        <x:v>6</x:v>
      </x:c>
      <x:c r="H26" s="36" t="n">
        <x:v>6</x:v>
      </x:c>
      <x:c r="I26" s="36" t="n">
        <x:v>0</x:v>
      </x:c>
      <x:c r="J26" s="36" t="n">
        <x:v>6</x:v>
      </x:c>
      <x:c r="K26" s="45" t="b">
        <x:v>0</x:v>
      </x:c>
      <x:c r="L26" s="36" t="n">
        <x:v>0</x:v>
      </x:c>
      <x:c r="M26" s="36" t="n">
        <x:v>0</x:v>
      </x:c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36" t="n">
        <x:v>0</x:v>
      </x:c>
      <x:c r="Y26" s="43"/>
      <x:c r="Z26" s="53" t="str">
        <x:f>IF(Y26="","",Y26/'Readme-Protocol'!$B$25)</x:f>
      </x:c>
      <x:c r="AA26" s="43"/>
      <x:c r="AB26" s="43"/>
      <x:c r="AC26" s="43"/>
      <x:c r="AD26" s="43"/>
      <x:c r="AE26" s="43"/>
      <x:c r="AF26" s="43"/>
      <x:c r="AG26" s="43"/>
    </x:row>
    <x:row r="27">
      <x:c r="A27" s="24" t="str">
        <x:v>default</x:v>
      </x:c>
      <x:c r="B27" s="24" t="str">
        <x:v>nostore</x:v>
      </x:c>
      <x:c r="C27" s="24" t="str">
        <x:v>initial</x:v>
      </x:c>
      <x:c r="D27" s="24" t="str">
        <x:v>sensitivity-without-cycle-1</x:v>
      </x:c>
      <x:c r="E27" s="24" t="str">
        <x:v>independent-process-run-fork</x:v>
      </x:c>
      <x:c r="F27" s="24" t="str">
        <x:v>lifecycle-negative-control</x:v>
      </x:c>
      <x:c r="G27" s="36" t="n">
        <x:v>6</x:v>
      </x:c>
      <x:c r="H27" s="36" t="n">
        <x:v>6</x:v>
      </x:c>
      <x:c r="I27" s="36" t="n">
        <x:v>0</x:v>
      </x:c>
      <x:c r="J27" s="36" t="n">
        <x:v>6</x:v>
      </x:c>
      <x:c r="K27" s="45" t="b">
        <x:v>0</x:v>
      </x:c>
      <x:c r="L27" s="36" t="n">
        <x:v>0</x:v>
      </x:c>
      <x:c r="M27" s="36" t="n">
        <x:v>0</x:v>
      </x:c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36" t="n">
        <x:v>0</x:v>
      </x:c>
      <x:c r="Y27" s="43"/>
      <x:c r="Z27" s="53" t="str">
        <x:f>IF(Y27="","",Y27/'Readme-Protocol'!$B$25)</x:f>
      </x:c>
      <x:c r="AA27" s="43"/>
      <x:c r="AB27" s="43"/>
      <x:c r="AC27" s="43"/>
      <x:c r="AD27" s="43"/>
      <x:c r="AE27" s="43"/>
      <x:c r="AF27" s="43"/>
      <x:c r="AG27" s="43"/>
    </x:row>
    <x:row r="28">
      <x:c r="A28" s="24" t="str">
        <x:v>default</x:v>
      </x:c>
      <x:c r="B28" s="24" t="str">
        <x:v>nostore</x:v>
      </x:c>
      <x:c r="C28" s="24" t="str">
        <x:v>redeploy</x:v>
      </x:c>
      <x:c r="D28" s="24" t="str">
        <x:v>primary-all-cycles</x:v>
      </x:c>
      <x:c r="E28" s="24" t="str">
        <x:v>independent-process-run-fork</x:v>
      </x:c>
      <x:c r="F28" s="24" t="str">
        <x:v>lifecycle-negative-control</x:v>
      </x:c>
      <x:c r="G28" s="36" t="n">
        <x:v>6</x:v>
      </x:c>
      <x:c r="H28" s="36" t="n">
        <x:v>6</x:v>
      </x:c>
      <x:c r="I28" s="36" t="n">
        <x:v>0</x:v>
      </x:c>
      <x:c r="J28" s="36" t="n">
        <x:v>6</x:v>
      </x:c>
      <x:c r="K28" s="45" t="b">
        <x:v>0</x:v>
      </x:c>
      <x:c r="L28" s="36" t="n">
        <x:v>0</x:v>
      </x:c>
      <x:c r="M28" s="36" t="n">
        <x:v>0</x:v>
      </x:c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36" t="n">
        <x:v>0</x:v>
      </x:c>
      <x:c r="Y28" s="43"/>
      <x:c r="Z28" s="53" t="str">
        <x:f>IF(Y28="","",Y28/'Readme-Protocol'!$B$25)</x:f>
      </x:c>
      <x:c r="AA28" s="43"/>
      <x:c r="AB28" s="43"/>
      <x:c r="AC28" s="43"/>
      <x:c r="AD28" s="43"/>
      <x:c r="AE28" s="43"/>
      <x:c r="AF28" s="43"/>
      <x:c r="AG28" s="43"/>
    </x:row>
    <x:row r="29">
      <x:c r="A29" s="24" t="str">
        <x:v>default</x:v>
      </x:c>
      <x:c r="B29" s="24" t="str">
        <x:v>nostore</x:v>
      </x:c>
      <x:c r="C29" s="24" t="str">
        <x:v>redeploy</x:v>
      </x:c>
      <x:c r="D29" s="24" t="str">
        <x:v>sensitivity-without-cycle-1</x:v>
      </x:c>
      <x:c r="E29" s="24" t="str">
        <x:v>independent-process-run-fork</x:v>
      </x:c>
      <x:c r="F29" s="24" t="str">
        <x:v>lifecycle-negative-control</x:v>
      </x:c>
      <x:c r="G29" s="36" t="n">
        <x:v>6</x:v>
      </x:c>
      <x:c r="H29" s="36" t="n">
        <x:v>6</x:v>
      </x:c>
      <x:c r="I29" s="36" t="n">
        <x:v>0</x:v>
      </x:c>
      <x:c r="J29" s="36" t="n">
        <x:v>6</x:v>
      </x:c>
      <x:c r="K29" s="45" t="b">
        <x:v>0</x:v>
      </x:c>
      <x:c r="L29" s="36" t="n">
        <x:v>0</x:v>
      </x:c>
      <x:c r="M29" s="36" t="n">
        <x:v>0</x:v>
      </x:c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36" t="n">
        <x:v>0</x:v>
      </x:c>
      <x:c r="Y29" s="43"/>
      <x:c r="Z29" s="53" t="str">
        <x:f>IF(Y29="","",Y29/'Readme-Protocol'!$B$25)</x:f>
      </x:c>
      <x:c r="AA29" s="43"/>
      <x:c r="AB29" s="43"/>
      <x:c r="AC29" s="43"/>
      <x:c r="AD29" s="43"/>
      <x:c r="AE29" s="43"/>
      <x:c r="AF29" s="43"/>
      <x:c r="AG29" s="43"/>
    </x:row>
    <x:row r="32" ht="23" customHeight="1">
      <x:c r="A32" s="10" t="str">
        <x:v>Mediane interne a ciascuna process run (unità statistica = fork/JVM)</x:v>
      </x:c>
      <x:c r="B32" s="10" t="str">
        <x:v>Mediane interne a ciascuna process run (unità statistica = fork/JVM)</x:v>
      </x:c>
      <x:c r="C32" s="10" t="str">
        <x:v>Mediane interne a ciascuna process run (unità statistica = fork/JVM)</x:v>
      </x:c>
      <x:c r="D32" s="10" t="str">
        <x:v>Mediane interne a ciascuna process run (unità statistica = fork/JVM)</x:v>
      </x:c>
      <x:c r="E32" s="10" t="str">
        <x:v>Mediane interne a ciascuna process run (unità statistica = fork/JVM)</x:v>
      </x:c>
      <x:c r="F32" s="10" t="str">
        <x:v>Mediane interne a ciascuna process run (unità statistica = fork/JVM)</x:v>
      </x:c>
      <x:c r="G32" s="10" t="str">
        <x:v>Mediane interne a ciascuna process run (unità statistica = fork/JVM)</x:v>
      </x:c>
      <x:c r="H32" s="10" t="str">
        <x:v>Mediane interne a ciascuna process run (unità statistica = fork/JVM)</x:v>
      </x:c>
      <x:c r="I32" s="10" t="str">
        <x:v>Mediane interne a ciascuna process run (unità statistica = fork/JVM)</x:v>
      </x:c>
      <x:c r="J32" s="10" t="str">
        <x:v>Mediane interne a ciascuna process run (unità statistica = fork/JVM)</x:v>
      </x:c>
      <x:c r="K32" s="10" t="str">
        <x:v>Mediane interne a ciascuna process run (unità statistica = fork/JVM)</x:v>
      </x:c>
      <x:c r="L32" s="10" t="str">
        <x:v>Mediane interne a ciascuna process run (unità statistica = fork/JVM)</x:v>
      </x:c>
      <x:c r="M32" s="10" t="str">
        <x:v>Mediane interne a ciascuna process run (unità statistica = fork/JVM)</x:v>
      </x:c>
      <x:c r="N32" s="10" t="str">
        <x:v>Mediane interne a ciascuna process run (unità statistica = fork/JVM)</x:v>
      </x:c>
      <x:c r="O32" s="10" t="str">
        <x:v>Mediane interne a ciascuna process run (unità statistica = fork/JVM)</x:v>
      </x:c>
      <x:c r="P32" s="10" t="str">
        <x:v>Mediane interne a ciascuna process run (unità statistica = fork/JVM)</x:v>
      </x:c>
      <x:c r="Q32" s="10" t="str">
        <x:v>Mediane interne a ciascuna process run (unità statistica = fork/JVM)</x:v>
      </x:c>
      <x:c r="R32" s="10" t="str">
        <x:v>Mediane interne a ciascuna process run (unità statistica = fork/JVM)</x:v>
      </x:c>
      <x:c r="S32" s="10" t="str">
        <x:v>Mediane interne a ciascuna process run (unità statistica = fork/JVM)</x:v>
      </x:c>
      <x:c r="T32" s="10" t="str">
        <x:v>Mediane interne a ciascuna process run (unità statistica = fork/JVM)</x:v>
      </x:c>
      <x:c r="U32" s="10" t="str">
        <x:v>Mediane interne a ciascuna process run (unità statistica = fork/JVM)</x:v>
      </x:c>
      <x:c r="V32" s="10" t="str">
        <x:v>Mediane interne a ciascuna process run (unità statistica = fork/JVM)</x:v>
      </x:c>
      <x:c r="W32" s="10" t="str">
        <x:v>Mediane interne a ciascuna process run (unità statistica = fork/JVM)</x:v>
      </x:c>
      <x:c r="X32" s="10" t="str">
        <x:v>Mediane interne a ciascuna process run (unità statistica = fork/JVM)</x:v>
      </x:c>
      <x:c r="Y32" s="10" t="str">
        <x:v>Mediane interne a ciascuna process run (unità statistica = fork/JVM)</x:v>
      </x:c>
      <x:c r="Z32" s="10" t="str">
        <x:v>Mediane interne a ciascuna process run (unità statistica = fork/JVM)</x:v>
      </x:c>
      <x:c r="AA32" s="10" t="str">
        <x:v>Mediane interne a ciascuna process run (unità statistica = fork/JVM)</x:v>
      </x:c>
    </x:row>
    <x:row r="33" ht="31" customHeight="1">
      <x:c r="A33" s="23" t="str">
        <x:v>processRunId</x:v>
      </x:c>
      <x:c r="B33" s="23" t="str">
        <x:v>scenario</x:v>
      </x:c>
      <x:c r="C33" s="23" t="str">
        <x:v>provider</x:v>
      </x:c>
      <x:c r="D33" s="23" t="str">
        <x:v>fork</x:v>
      </x:c>
      <x:c r="E33" s="23" t="str">
        <x:v>Williams block</x:v>
      </x:c>
      <x:c r="F33" s="23" t="str">
        <x:v>orderPosition</x:v>
      </x:c>
      <x:c r="G33" s="23" t="str">
        <x:v>phase</x:v>
      </x:c>
      <x:c r="H33" s="23" t="str">
        <x:v>analysis set</x:v>
      </x:c>
      <x:c r="I33" s="23" t="str">
        <x:v>cycle observations</x:v>
      </x:c>
      <x:c r="J33" s="23" t="str">
        <x:v>block valid</x:v>
      </x:c>
      <x:c r="K33" s="23" t="str">
        <x:v>semantic gate</x:v>
      </x:c>
      <x:c r="L33" s="23" t="str">
        <x:v>performance eligible</x:v>
      </x:c>
      <x:c r="M33" s="23" t="str">
        <x:v>included in summary</x:v>
      </x:c>
      <x:c r="N33" s="23" t="str">
        <x:v>redeploy ready all cycles</x:v>
      </x:c>
      <x:c r="O33" s="23" t="str">
        <x:v>observed median throughput (ops/s)</x:v>
      </x:c>
      <x:c r="P33" s="23" t="str">
        <x:v>comparison median throughput (ops/s)</x:v>
      </x:c>
      <x:c r="Q33" s="23" t="str">
        <x:v>observed fill median (ops/s)</x:v>
      </x:c>
      <x:c r="R33" s="23" t="str">
        <x:v>comparison fill median (ops/s)</x:v>
      </x:c>
      <x:c r="S33" s="23" t="str">
        <x:v>observed p50 median (ns)</x:v>
      </x:c>
      <x:c r="T33" s="23" t="str">
        <x:v>comparison p50 median (ns)</x:v>
      </x:c>
      <x:c r="U33" s="23" t="str">
        <x:v>observed p95 median (ns)</x:v>
      </x:c>
      <x:c r="V33" s="23" t="str">
        <x:v>comparison p95 median (ns)</x:v>
      </x:c>
      <x:c r="W33" s="23" t="str">
        <x:v>observed p99 median (ns)</x:v>
      </x:c>
      <x:c r="X33" s="23" t="str">
        <x:v>comparison p99 median (raw ns)</x:v>
      </x:c>
      <x:c r="Y33" s="23" t="str">
        <x:v>comparison p99 median (µs, formula)</x:v>
      </x:c>
      <x:c r="Z33" s="23" t="str">
        <x:v>observed latency samples median</x:v>
      </x:c>
      <x:c r="AA33" s="23" t="str">
        <x:v>comparison latency samples median</x:v>
      </x:c>
    </x:row>
    <x:row r="34">
      <x:c r="A34" s="24" t="str">
        <x:v>article1-unified-v4-2-fb3f101b-20260903-000401-default-f01-p1-caffeine</x:v>
      </x:c>
      <x:c r="B34" s="24" t="str">
        <x:v>default</x:v>
      </x:c>
      <x:c r="C34" s="24" t="str">
        <x:v>caffeine</x:v>
      </x:c>
      <x:c r="D34" s="36" t="n">
        <x:v>1</x:v>
      </x:c>
      <x:c r="E34" s="36" t="n">
        <x:v>1</x:v>
      </x:c>
      <x:c r="F34" s="36" t="n">
        <x:v>1</x:v>
      </x:c>
      <x:c r="G34" s="24" t="str">
        <x:v>initial</x:v>
      </x:c>
      <x:c r="H34" s="24" t="str">
        <x:v>primary-all-cycles</x:v>
      </x:c>
      <x:c r="I34" s="36" t="n">
        <x:v>5</x:v>
      </x:c>
      <x:c r="J34" s="45" t="b">
        <x:v>1</x:v>
      </x:c>
      <x:c r="K34" s="45" t="b">
        <x:v>1</x:v>
      </x:c>
      <x:c r="L34" s="45" t="b">
        <x:v>1</x:v>
      </x:c>
      <x:c r="M34" s="45" t="b">
        <x:v>1</x:v>
      </x:c>
      <x:c r="N34" s="45" t="b">
        <x:v>1</x:v>
      </x:c>
      <x:c r="O34" s="43" t="n">
        <x:v>25185288.95959526</x:v>
      </x:c>
      <x:c r="P34" s="43" t="n">
        <x:v>25185288.95959526</x:v>
      </x:c>
      <x:c r="Q34" s="43" t="n">
        <x:v>1384144.9244028488</x:v>
      </x:c>
      <x:c r="R34" s="43" t="n">
        <x:v>1384144.9244028488</x:v>
      </x:c>
      <x:c r="S34" s="43" t="n">
        <x:v>150</x:v>
      </x:c>
      <x:c r="T34" s="43" t="n">
        <x:v>150</x:v>
      </x:c>
      <x:c r="U34" s="43" t="n">
        <x:v>320</x:v>
      </x:c>
      <x:c r="V34" s="43" t="n">
        <x:v>320</x:v>
      </x:c>
      <x:c r="W34" s="43" t="n">
        <x:v>521</x:v>
      </x:c>
      <x:c r="X34" s="43" t="n">
        <x:v>521</x:v>
      </x:c>
      <x:c r="Y34" s="53" t="n">
        <x:f>IF(X34="","",X34/'Readme-Protocol'!$B$25)</x:f>
        <x:v>0.521</x:v>
      </x:c>
      <x:c r="Z34" s="43" t="n">
        <x:v>1968496</x:v>
      </x:c>
      <x:c r="AA34" s="43" t="n">
        <x:v>1968496</x:v>
      </x:c>
    </x:row>
    <x:row r="35">
      <x:c r="A35" s="24" t="str">
        <x:v>article1-unified-v4-2-fb3f101b-20260903-000401-default-f01-p1-caffeine</x:v>
      </x:c>
      <x:c r="B35" s="24" t="str">
        <x:v>default</x:v>
      </x:c>
      <x:c r="C35" s="24" t="str">
        <x:v>caffeine</x:v>
      </x:c>
      <x:c r="D35" s="36" t="n">
        <x:v>1</x:v>
      </x:c>
      <x:c r="E35" s="36" t="n">
        <x:v>1</x:v>
      </x:c>
      <x:c r="F35" s="36" t="n">
        <x:v>1</x:v>
      </x:c>
      <x:c r="G35" s="24" t="str">
        <x:v>initial</x:v>
      </x:c>
      <x:c r="H35" s="24" t="str">
        <x:v>sensitivity-without-cycle-1</x:v>
      </x:c>
      <x:c r="I35" s="36" t="n">
        <x:v>4</x:v>
      </x:c>
      <x:c r="J35" s="45" t="b">
        <x:v>1</x:v>
      </x:c>
      <x:c r="K35" s="45" t="b">
        <x:v>1</x:v>
      </x:c>
      <x:c r="L35" s="45" t="b">
        <x:v>1</x:v>
      </x:c>
      <x:c r="M35" s="45" t="b">
        <x:v>1</x:v>
      </x:c>
      <x:c r="N35" s="45" t="b">
        <x:v>1</x:v>
      </x:c>
      <x:c r="O35" s="43" t="n">
        <x:v>24926089.869929843</x:v>
      </x:c>
      <x:c r="P35" s="43" t="n">
        <x:v>24926089.869929843</x:v>
      </x:c>
      <x:c r="Q35" s="43" t="n">
        <x:v>1496836.6491078646</x:v>
      </x:c>
      <x:c r="R35" s="43" t="n">
        <x:v>1496836.6491078646</x:v>
      </x:c>
      <x:c r="S35" s="43" t="n">
        <x:v>145.5</x:v>
      </x:c>
      <x:c r="T35" s="43" t="n">
        <x:v>145.5</x:v>
      </x:c>
      <x:c r="U35" s="43" t="n">
        <x:v>315.5</x:v>
      </x:c>
      <x:c r="V35" s="43" t="n">
        <x:v>315.5</x:v>
      </x:c>
      <x:c r="W35" s="43" t="n">
        <x:v>521</x:v>
      </x:c>
      <x:c r="X35" s="43" t="n">
        <x:v>521</x:v>
      </x:c>
      <x:c r="Y35" s="53" t="n">
        <x:f>IF(X35="","",X35/'Readme-Protocol'!$B$25)</x:f>
        <x:v>0.521</x:v>
      </x:c>
      <x:c r="Z35" s="43" t="n">
        <x:v>1948292</x:v>
      </x:c>
      <x:c r="AA35" s="43" t="n">
        <x:v>1948292</x:v>
      </x:c>
    </x:row>
    <x:row r="36">
      <x:c r="A36" s="24" t="str">
        <x:v>article1-unified-v4-2-fb3f101b-20260903-000401-default-f01-p1-caffeine</x:v>
      </x:c>
      <x:c r="B36" s="24" t="str">
        <x:v>default</x:v>
      </x:c>
      <x:c r="C36" s="24" t="str">
        <x:v>caffeine</x:v>
      </x:c>
      <x:c r="D36" s="36" t="n">
        <x:v>1</x:v>
      </x:c>
      <x:c r="E36" s="36" t="n">
        <x:v>1</x:v>
      </x:c>
      <x:c r="F36" s="36" t="n">
        <x:v>1</x:v>
      </x:c>
      <x:c r="G36" s="24" t="str">
        <x:v>redeploy</x:v>
      </x:c>
      <x:c r="H36" s="24" t="str">
        <x:v>primary-all-cycles</x:v>
      </x:c>
      <x:c r="I36" s="36" t="n">
        <x:v>5</x:v>
      </x:c>
      <x:c r="J36" s="45" t="b">
        <x:v>1</x:v>
      </x:c>
      <x:c r="K36" s="45" t="b">
        <x:v>1</x:v>
      </x:c>
      <x:c r="L36" s="45" t="b">
        <x:v>1</x:v>
      </x:c>
      <x:c r="M36" s="45" t="b">
        <x:v>1</x:v>
      </x:c>
      <x:c r="N36" s="45" t="b">
        <x:v>1</x:v>
      </x:c>
      <x:c r="O36" s="43" t="n">
        <x:v>24719726.27702385</x:v>
      </x:c>
      <x:c r="P36" s="43" t="n">
        <x:v>24719726.27702385</x:v>
      </x:c>
      <x:c r="Q36" s="43" t="n">
        <x:v>1254486.5142072479</x:v>
      </x:c>
      <x:c r="R36" s="43" t="n">
        <x:v>1254486.5142072479</x:v>
      </x:c>
      <x:c r="S36" s="43" t="n">
        <x:v>141</x:v>
      </x:c>
      <x:c r="T36" s="43" t="n">
        <x:v>141</x:v>
      </x:c>
      <x:c r="U36" s="43" t="n">
        <x:v>301</x:v>
      </x:c>
      <x:c r="V36" s="43" t="n">
        <x:v>301</x:v>
      </x:c>
      <x:c r="W36" s="43" t="n">
        <x:v>501</x:v>
      </x:c>
      <x:c r="X36" s="43" t="n">
        <x:v>501</x:v>
      </x:c>
      <x:c r="Y36" s="53" t="n">
        <x:f>IF(X36="","",X36/'Readme-Protocol'!$B$25)</x:f>
        <x:v>0.501</x:v>
      </x:c>
      <x:c r="Z36" s="43" t="n">
        <x:v>1932772</x:v>
      </x:c>
      <x:c r="AA36" s="43" t="n">
        <x:v>1932772</x:v>
      </x:c>
    </x:row>
    <x:row r="37">
      <x:c r="A37" s="24" t="str">
        <x:v>article1-unified-v4-2-fb3f101b-20260903-000401-default-f01-p1-caffeine</x:v>
      </x:c>
      <x:c r="B37" s="24" t="str">
        <x:v>default</x:v>
      </x:c>
      <x:c r="C37" s="24" t="str">
        <x:v>caffeine</x:v>
      </x:c>
      <x:c r="D37" s="36" t="n">
        <x:v>1</x:v>
      </x:c>
      <x:c r="E37" s="36" t="n">
        <x:v>1</x:v>
      </x:c>
      <x:c r="F37" s="36" t="n">
        <x:v>1</x:v>
      </x:c>
      <x:c r="G37" s="24" t="str">
        <x:v>redeploy</x:v>
      </x:c>
      <x:c r="H37" s="24" t="str">
        <x:v>sensitivity-without-cycle-1</x:v>
      </x:c>
      <x:c r="I37" s="36" t="n">
        <x:v>4</x:v>
      </x:c>
      <x:c r="J37" s="45" t="b">
        <x:v>1</x:v>
      </x:c>
      <x:c r="K37" s="45" t="b">
        <x:v>1</x:v>
      </x:c>
      <x:c r="L37" s="45" t="b">
        <x:v>1</x:v>
      </x:c>
      <x:c r="M37" s="45" t="b">
        <x:v>1</x:v>
      </x:c>
      <x:c r="N37" s="45" t="b">
        <x:v>1</x:v>
      </x:c>
      <x:c r="O37" s="43" t="n">
        <x:v>24600905.96585791</x:v>
      </x:c>
      <x:c r="P37" s="43" t="n">
        <x:v>24600905.96585791</x:v>
      </x:c>
      <x:c r="Q37" s="43" t="n">
        <x:v>1322855.1702088967</x:v>
      </x:c>
      <x:c r="R37" s="43" t="n">
        <x:v>1322855.1702088967</x:v>
      </x:c>
      <x:c r="S37" s="43" t="n">
        <x:v>145.5</x:v>
      </x:c>
      <x:c r="T37" s="43" t="n">
        <x:v>145.5</x:v>
      </x:c>
      <x:c r="U37" s="43" t="n">
        <x:v>306</x:v>
      </x:c>
      <x:c r="V37" s="43" t="n">
        <x:v>306</x:v>
      </x:c>
      <x:c r="W37" s="43" t="n">
        <x:v>506</x:v>
      </x:c>
      <x:c r="X37" s="43" t="n">
        <x:v>506</x:v>
      </x:c>
      <x:c r="Y37" s="53" t="n">
        <x:f>IF(X37="","",X37/'Readme-Protocol'!$B$25)</x:f>
        <x:v>0.506</x:v>
      </x:c>
      <x:c r="Z37" s="43" t="n">
        <x:v>1923286</x:v>
      </x:c>
      <x:c r="AA37" s="43" t="n">
        <x:v>1923286</x:v>
      </x:c>
    </x:row>
    <x:row r="38">
      <x:c r="A38" s="24" t="str">
        <x:v>article1-unified-v4-2-fb3f101b-20260903-000401-default-f02-p3-caffeine</x:v>
      </x:c>
      <x:c r="B38" s="24" t="str">
        <x:v>default</x:v>
      </x:c>
      <x:c r="C38" s="24" t="str">
        <x:v>caffeine</x:v>
      </x:c>
      <x:c r="D38" s="36" t="n">
        <x:v>2</x:v>
      </x:c>
      <x:c r="E38" s="36" t="n">
        <x:v>2</x:v>
      </x:c>
      <x:c r="F38" s="36" t="n">
        <x:v>3</x:v>
      </x:c>
      <x:c r="G38" s="24" t="str">
        <x:v>initial</x:v>
      </x:c>
      <x:c r="H38" s="24" t="str">
        <x:v>primary-all-cycles</x:v>
      </x:c>
      <x:c r="I38" s="36" t="n">
        <x:v>5</x:v>
      </x:c>
      <x:c r="J38" s="45" t="b">
        <x:v>1</x:v>
      </x:c>
      <x:c r="K38" s="45" t="b">
        <x:v>1</x:v>
      </x:c>
      <x:c r="L38" s="45" t="b">
        <x:v>1</x:v>
      </x:c>
      <x:c r="M38" s="45" t="b">
        <x:v>1</x:v>
      </x:c>
      <x:c r="N38" s="45" t="b">
        <x:v>1</x:v>
      </x:c>
      <x:c r="O38" s="43" t="n">
        <x:v>27118600.83305417</x:v>
      </x:c>
      <x:c r="P38" s="43" t="n">
        <x:v>27118600.83305417</x:v>
      </x:c>
      <x:c r="Q38" s="43" t="n">
        <x:v>1506356.2207089034</x:v>
      </x:c>
      <x:c r="R38" s="43" t="n">
        <x:v>1506356.2207089034</x:v>
      </x:c>
      <x:c r="S38" s="43" t="n">
        <x:v>140</x:v>
      </x:c>
      <x:c r="T38" s="43" t="n">
        <x:v>140</x:v>
      </x:c>
      <x:c r="U38" s="43" t="n">
        <x:v>280</x:v>
      </x:c>
      <x:c r="V38" s="43" t="n">
        <x:v>280</x:v>
      </x:c>
      <x:c r="W38" s="43" t="n">
        <x:v>481</x:v>
      </x:c>
      <x:c r="X38" s="43" t="n">
        <x:v>481</x:v>
      </x:c>
      <x:c r="Y38" s="53" t="n">
        <x:f>IF(X38="","",X38/'Readme-Protocol'!$B$25)</x:f>
        <x:v>0.481</x:v>
      </x:c>
      <x:c r="Z38" s="43" t="n">
        <x:v>2119596</x:v>
      </x:c>
      <x:c r="AA38" s="43" t="n">
        <x:v>2119596</x:v>
      </x:c>
    </x:row>
    <x:row r="39">
      <x:c r="A39" s="24" t="str">
        <x:v>article1-unified-v4-2-fb3f101b-20260903-000401-default-f02-p3-caffeine</x:v>
      </x:c>
      <x:c r="B39" s="24" t="str">
        <x:v>default</x:v>
      </x:c>
      <x:c r="C39" s="24" t="str">
        <x:v>caffeine</x:v>
      </x:c>
      <x:c r="D39" s="36" t="n">
        <x:v>2</x:v>
      </x:c>
      <x:c r="E39" s="36" t="n">
        <x:v>2</x:v>
      </x:c>
      <x:c r="F39" s="36" t="n">
        <x:v>3</x:v>
      </x:c>
      <x:c r="G39" s="24" t="str">
        <x:v>initial</x:v>
      </x:c>
      <x:c r="H39" s="24" t="str">
        <x:v>sensitivity-without-cycle-1</x:v>
      </x:c>
      <x:c r="I39" s="36" t="n">
        <x:v>4</x:v>
      </x:c>
      <x:c r="J39" s="45" t="b">
        <x:v>1</x:v>
      </x:c>
      <x:c r="K39" s="45" t="b">
        <x:v>1</x:v>
      </x:c>
      <x:c r="L39" s="45" t="b">
        <x:v>1</x:v>
      </x:c>
      <x:c r="M39" s="45" t="b">
        <x:v>1</x:v>
      </x:c>
      <x:c r="N39" s="45" t="b">
        <x:v>1</x:v>
      </x:c>
      <x:c r="O39" s="43" t="n">
        <x:v>27612300.352228276</x:v>
      </x:c>
      <x:c r="P39" s="43" t="n">
        <x:v>27612300.352228276</x:v>
      </x:c>
      <x:c r="Q39" s="43" t="n">
        <x:v>1814909.4091668772</x:v>
      </x:c>
      <x:c r="R39" s="43" t="n">
        <x:v>1814909.4091668772</x:v>
      </x:c>
      <x:c r="S39" s="43" t="n">
        <x:v>140</x:v>
      </x:c>
      <x:c r="T39" s="43" t="n">
        <x:v>140</x:v>
      </x:c>
      <x:c r="U39" s="43" t="n">
        <x:v>285</x:v>
      </x:c>
      <x:c r="V39" s="43" t="n">
        <x:v>285</x:v>
      </x:c>
      <x:c r="W39" s="43" t="n">
        <x:v>481</x:v>
      </x:c>
      <x:c r="X39" s="43" t="n">
        <x:v>481</x:v>
      </x:c>
      <x:c r="Y39" s="53" t="n">
        <x:f>IF(X39="","",X39/'Readme-Protocol'!$B$25)</x:f>
        <x:v>0.481</x:v>
      </x:c>
      <x:c r="Z39" s="43" t="n">
        <x:v>2158170</x:v>
      </x:c>
      <x:c r="AA39" s="43" t="n">
        <x:v>2158170</x:v>
      </x:c>
    </x:row>
    <x:row r="40">
      <x:c r="A40" s="24" t="str">
        <x:v>article1-unified-v4-2-fb3f101b-20260903-000401-default-f02-p3-caffeine</x:v>
      </x:c>
      <x:c r="B40" s="24" t="str">
        <x:v>default</x:v>
      </x:c>
      <x:c r="C40" s="24" t="str">
        <x:v>caffeine</x:v>
      </x:c>
      <x:c r="D40" s="36" t="n">
        <x:v>2</x:v>
      </x:c>
      <x:c r="E40" s="36" t="n">
        <x:v>2</x:v>
      </x:c>
      <x:c r="F40" s="36" t="n">
        <x:v>3</x:v>
      </x:c>
      <x:c r="G40" s="24" t="str">
        <x:v>redeploy</x:v>
      </x:c>
      <x:c r="H40" s="24" t="str">
        <x:v>primary-all-cycles</x:v>
      </x:c>
      <x:c r="I40" s="36" t="n">
        <x:v>5</x:v>
      </x:c>
      <x:c r="J40" s="45" t="b">
        <x:v>1</x:v>
      </x:c>
      <x:c r="K40" s="45" t="b">
        <x:v>1</x:v>
      </x:c>
      <x:c r="L40" s="45" t="b">
        <x:v>1</x:v>
      </x:c>
      <x:c r="M40" s="45" t="b">
        <x:v>1</x:v>
      </x:c>
      <x:c r="N40" s="45" t="b">
        <x:v>1</x:v>
      </x:c>
      <x:c r="O40" s="43" t="n">
        <x:v>26224690.272721075</x:v>
      </x:c>
      <x:c r="P40" s="43" t="n">
        <x:v>26224690.272721075</x:v>
      </x:c>
      <x:c r="Q40" s="43" t="n">
        <x:v>1497083.5315721442</x:v>
      </x:c>
      <x:c r="R40" s="43" t="n">
        <x:v>1497083.5315721442</x:v>
      </x:c>
      <x:c r="S40" s="43" t="n">
        <x:v>140</x:v>
      </x:c>
      <x:c r="T40" s="43" t="n">
        <x:v>140</x:v>
      </x:c>
      <x:c r="U40" s="43" t="n">
        <x:v>301</x:v>
      </x:c>
      <x:c r="V40" s="43" t="n">
        <x:v>301</x:v>
      </x:c>
      <x:c r="W40" s="43" t="n">
        <x:v>501</x:v>
      </x:c>
      <x:c r="X40" s="43" t="n">
        <x:v>501</x:v>
      </x:c>
      <x:c r="Y40" s="53" t="n">
        <x:f>IF(X40="","",X40/'Readme-Protocol'!$B$25)</x:f>
        <x:v>0.501</x:v>
      </x:c>
      <x:c r="Z40" s="43" t="n">
        <x:v>2070280</x:v>
      </x:c>
      <x:c r="AA40" s="43" t="n">
        <x:v>2070280</x:v>
      </x:c>
    </x:row>
    <x:row r="41">
      <x:c r="A41" s="24" t="str">
        <x:v>article1-unified-v4-2-fb3f101b-20260903-000401-default-f02-p3-caffeine</x:v>
      </x:c>
      <x:c r="B41" s="24" t="str">
        <x:v>default</x:v>
      </x:c>
      <x:c r="C41" s="24" t="str">
        <x:v>caffeine</x:v>
      </x:c>
      <x:c r="D41" s="36" t="n">
        <x:v>2</x:v>
      </x:c>
      <x:c r="E41" s="36" t="n">
        <x:v>2</x:v>
      </x:c>
      <x:c r="F41" s="36" t="n">
        <x:v>3</x:v>
      </x:c>
      <x:c r="G41" s="24" t="str">
        <x:v>redeploy</x:v>
      </x:c>
      <x:c r="H41" s="24" t="str">
        <x:v>sensitivity-without-cycle-1</x:v>
      </x:c>
      <x:c r="I41" s="36" t="n">
        <x:v>4</x:v>
      </x:c>
      <x:c r="J41" s="45" t="b">
        <x:v>1</x:v>
      </x:c>
      <x:c r="K41" s="45" t="b">
        <x:v>1</x:v>
      </x:c>
      <x:c r="L41" s="45" t="b">
        <x:v>1</x:v>
      </x:c>
      <x:c r="M41" s="45" t="b">
        <x:v>1</x:v>
      </x:c>
      <x:c r="N41" s="45" t="b">
        <x:v>1</x:v>
      </x:c>
      <x:c r="O41" s="43" t="n">
        <x:v>26356265.433701575</x:v>
      </x:c>
      <x:c r="P41" s="43" t="n">
        <x:v>26356265.433701575</x:v>
      </x:c>
      <x:c r="Q41" s="43" t="n">
        <x:v>1422254.2977688904</x:v>
      </x:c>
      <x:c r="R41" s="43" t="n">
        <x:v>1422254.2977688904</x:v>
      </x:c>
      <x:c r="S41" s="43" t="n">
        <x:v>140</x:v>
      </x:c>
      <x:c r="T41" s="43" t="n">
        <x:v>140</x:v>
      </x:c>
      <x:c r="U41" s="43" t="n">
        <x:v>296</x:v>
      </x:c>
      <x:c r="V41" s="43" t="n">
        <x:v>296</x:v>
      </x:c>
      <x:c r="W41" s="43" t="n">
        <x:v>486</x:v>
      </x:c>
      <x:c r="X41" s="43" t="n">
        <x:v>486</x:v>
      </x:c>
      <x:c r="Y41" s="53" t="n">
        <x:f>IF(X41="","",X41/'Readme-Protocol'!$B$25)</x:f>
        <x:v>0.486</x:v>
      </x:c>
      <x:c r="Z41" s="43" t="n">
        <x:v>2070926</x:v>
      </x:c>
      <x:c r="AA41" s="43" t="n">
        <x:v>2070926</x:v>
      </x:c>
    </x:row>
    <x:row r="42">
      <x:c r="A42" s="24" t="str">
        <x:v>article1-unified-v4-2-fb3f101b-20260903-000401-default-f03-p5-caffeine</x:v>
      </x:c>
      <x:c r="B42" s="24" t="str">
        <x:v>default</x:v>
      </x:c>
      <x:c r="C42" s="24" t="str">
        <x:v>caffeine</x:v>
      </x:c>
      <x:c r="D42" s="36" t="n">
        <x:v>3</x:v>
      </x:c>
      <x:c r="E42" s="36" t="n">
        <x:v>3</x:v>
      </x:c>
      <x:c r="F42" s="36" t="n">
        <x:v>5</x:v>
      </x:c>
      <x:c r="G42" s="24" t="str">
        <x:v>initial</x:v>
      </x:c>
      <x:c r="H42" s="24" t="str">
        <x:v>primary-all-cycles</x:v>
      </x:c>
      <x:c r="I42" s="36" t="n">
        <x:v>5</x:v>
      </x:c>
      <x:c r="J42" s="45" t="b">
        <x:v>1</x:v>
      </x:c>
      <x:c r="K42" s="45" t="b">
        <x:v>1</x:v>
      </x:c>
      <x:c r="L42" s="45" t="b">
        <x:v>1</x:v>
      </x:c>
      <x:c r="M42" s="45" t="b">
        <x:v>1</x:v>
      </x:c>
      <x:c r="N42" s="45" t="b">
        <x:v>1</x:v>
      </x:c>
      <x:c r="O42" s="43" t="n">
        <x:v>27539688.145286653</x:v>
      </x:c>
      <x:c r="P42" s="43" t="n">
        <x:v>27539688.145286653</x:v>
      </x:c>
      <x:c r="Q42" s="43" t="n">
        <x:v>1329624.2136269994</x:v>
      </x:c>
      <x:c r="R42" s="43" t="n">
        <x:v>1329624.2136269994</x:v>
      </x:c>
      <x:c r="S42" s="43" t="n">
        <x:v>140</x:v>
      </x:c>
      <x:c r="T42" s="43" t="n">
        <x:v>140</x:v>
      </x:c>
      <x:c r="U42" s="43" t="n">
        <x:v>290</x:v>
      </x:c>
      <x:c r="V42" s="43" t="n">
        <x:v>290</x:v>
      </x:c>
      <x:c r="W42" s="43" t="n">
        <x:v>461</x:v>
      </x:c>
      <x:c r="X42" s="43" t="n">
        <x:v>461</x:v>
      </x:c>
      <x:c r="Y42" s="53" t="n">
        <x:f>IF(X42="","",X42/'Readme-Protocol'!$B$25)</x:f>
        <x:v>0.461</x:v>
      </x:c>
      <x:c r="Z42" s="43" t="n">
        <x:v>2152476</x:v>
      </x:c>
      <x:c r="AA42" s="43" t="n">
        <x:v>2152476</x:v>
      </x:c>
    </x:row>
    <x:row r="43">
      <x:c r="A43" s="24" t="str">
        <x:v>article1-unified-v4-2-fb3f101b-20260903-000401-default-f03-p5-caffeine</x:v>
      </x:c>
      <x:c r="B43" s="24" t="str">
        <x:v>default</x:v>
      </x:c>
      <x:c r="C43" s="24" t="str">
        <x:v>caffeine</x:v>
      </x:c>
      <x:c r="D43" s="36" t="n">
        <x:v>3</x:v>
      </x:c>
      <x:c r="E43" s="36" t="n">
        <x:v>3</x:v>
      </x:c>
      <x:c r="F43" s="36" t="n">
        <x:v>5</x:v>
      </x:c>
      <x:c r="G43" s="24" t="str">
        <x:v>initial</x:v>
      </x:c>
      <x:c r="H43" s="24" t="str">
        <x:v>sensitivity-without-cycle-1</x:v>
      </x:c>
      <x:c r="I43" s="36" t="n">
        <x:v>4</x:v>
      </x:c>
      <x:c r="J43" s="45" t="b">
        <x:v>1</x:v>
      </x:c>
      <x:c r="K43" s="45" t="b">
        <x:v>1</x:v>
      </x:c>
      <x:c r="L43" s="45" t="b">
        <x:v>1</x:v>
      </x:c>
      <x:c r="M43" s="45" t="b">
        <x:v>1</x:v>
      </x:c>
      <x:c r="N43" s="45" t="b">
        <x:v>1</x:v>
      </x:c>
      <x:c r="O43" s="43" t="n">
        <x:v>27053630.49980527</x:v>
      </x:c>
      <x:c r="P43" s="43" t="n">
        <x:v>27053630.49980527</x:v>
      </x:c>
      <x:c r="Q43" s="43" t="n">
        <x:v>1283473.695540411</x:v>
      </x:c>
      <x:c r="R43" s="43" t="n">
        <x:v>1283473.695540411</x:v>
      </x:c>
      <x:c r="S43" s="43" t="n">
        <x:v>140</x:v>
      </x:c>
      <x:c r="T43" s="43" t="n">
        <x:v>140</x:v>
      </x:c>
      <x:c r="U43" s="43" t="n">
        <x:v>295.5</x:v>
      </x:c>
      <x:c r="V43" s="43" t="n">
        <x:v>295.5</x:v>
      </x:c>
      <x:c r="W43" s="43" t="n">
        <x:v>481</x:v>
      </x:c>
      <x:c r="X43" s="43" t="n">
        <x:v>481</x:v>
      </x:c>
      <x:c r="Y43" s="53" t="n">
        <x:f>IF(X43="","",X43/'Readme-Protocol'!$B$25)</x:f>
        <x:v>0.481</x:v>
      </x:c>
      <x:c r="Z43" s="43" t="n">
        <x:v>2114522</x:v>
      </x:c>
      <x:c r="AA43" s="43" t="n">
        <x:v>2114522</x:v>
      </x:c>
    </x:row>
    <x:row r="44">
      <x:c r="A44" s="24" t="str">
        <x:v>article1-unified-v4-2-fb3f101b-20260903-000401-default-f03-p5-caffeine</x:v>
      </x:c>
      <x:c r="B44" s="24" t="str">
        <x:v>default</x:v>
      </x:c>
      <x:c r="C44" s="24" t="str">
        <x:v>caffeine</x:v>
      </x:c>
      <x:c r="D44" s="36" t="n">
        <x:v>3</x:v>
      </x:c>
      <x:c r="E44" s="36" t="n">
        <x:v>3</x:v>
      </x:c>
      <x:c r="F44" s="36" t="n">
        <x:v>5</x:v>
      </x:c>
      <x:c r="G44" s="24" t="str">
        <x:v>redeploy</x:v>
      </x:c>
      <x:c r="H44" s="24" t="str">
        <x:v>primary-all-cycles</x:v>
      </x:c>
      <x:c r="I44" s="36" t="n">
        <x:v>5</x:v>
      </x:c>
      <x:c r="J44" s="45" t="b">
        <x:v>1</x:v>
      </x:c>
      <x:c r="K44" s="45" t="b">
        <x:v>1</x:v>
      </x:c>
      <x:c r="L44" s="45" t="b">
        <x:v>1</x:v>
      </x:c>
      <x:c r="M44" s="45" t="b">
        <x:v>1</x:v>
      </x:c>
      <x:c r="N44" s="45" t="b">
        <x:v>1</x:v>
      </x:c>
      <x:c r="O44" s="43" t="n">
        <x:v>27568816.009425186</x:v>
      </x:c>
      <x:c r="P44" s="43" t="n">
        <x:v>27568816.009425186</x:v>
      </x:c>
      <x:c r="Q44" s="43" t="n">
        <x:v>1554267.4822840707</x:v>
      </x:c>
      <x:c r="R44" s="43" t="n">
        <x:v>1554267.4822840707</x:v>
      </x:c>
      <x:c r="S44" s="43" t="n">
        <x:v>140</x:v>
      </x:c>
      <x:c r="T44" s="43" t="n">
        <x:v>140</x:v>
      </x:c>
      <x:c r="U44" s="43" t="n">
        <x:v>270</x:v>
      </x:c>
      <x:c r="V44" s="43" t="n">
        <x:v>270</x:v>
      </x:c>
      <x:c r="W44" s="43" t="n">
        <x:v>461</x:v>
      </x:c>
      <x:c r="X44" s="43" t="n">
        <x:v>461</x:v>
      </x:c>
      <x:c r="Y44" s="53" t="n">
        <x:f>IF(X44="","",X44/'Readme-Protocol'!$B$25)</x:f>
        <x:v>0.461</x:v>
      </x:c>
      <x:c r="Z44" s="43" t="n">
        <x:v>2154736</x:v>
      </x:c>
      <x:c r="AA44" s="43" t="n">
        <x:v>2154736</x:v>
      </x:c>
    </x:row>
    <x:row r="45">
      <x:c r="A45" s="24" t="str">
        <x:v>article1-unified-v4-2-fb3f101b-20260903-000401-default-f03-p5-caffeine</x:v>
      </x:c>
      <x:c r="B45" s="24" t="str">
        <x:v>default</x:v>
      </x:c>
      <x:c r="C45" s="24" t="str">
        <x:v>caffeine</x:v>
      </x:c>
      <x:c r="D45" s="36" t="n">
        <x:v>3</x:v>
      </x:c>
      <x:c r="E45" s="36" t="n">
        <x:v>3</x:v>
      </x:c>
      <x:c r="F45" s="36" t="n">
        <x:v>5</x:v>
      </x:c>
      <x:c r="G45" s="24" t="str">
        <x:v>redeploy</x:v>
      </x:c>
      <x:c r="H45" s="24" t="str">
        <x:v>sensitivity-without-cycle-1</x:v>
      </x:c>
      <x:c r="I45" s="36" t="n">
        <x:v>4</x:v>
      </x:c>
      <x:c r="J45" s="45" t="b">
        <x:v>1</x:v>
      </x:c>
      <x:c r="K45" s="45" t="b">
        <x:v>1</x:v>
      </x:c>
      <x:c r="L45" s="45" t="b">
        <x:v>1</x:v>
      </x:c>
      <x:c r="M45" s="45" t="b">
        <x:v>1</x:v>
      </x:c>
      <x:c r="N45" s="45" t="b">
        <x:v>1</x:v>
      </x:c>
      <x:c r="O45" s="43" t="n">
        <x:v>27520214.254800044</x:v>
      </x:c>
      <x:c r="P45" s="43" t="n">
        <x:v>27520214.254800044</x:v>
      </x:c>
      <x:c r="Q45" s="43" t="n">
        <x:v>1548196.3178049321</x:v>
      </x:c>
      <x:c r="R45" s="43" t="n">
        <x:v>1548196.3178049321</x:v>
      </x:c>
      <x:c r="S45" s="43" t="n">
        <x:v>140</x:v>
      </x:c>
      <x:c r="T45" s="43" t="n">
        <x:v>140</x:v>
      </x:c>
      <x:c r="U45" s="43" t="n">
        <x:v>285.5</x:v>
      </x:c>
      <x:c r="V45" s="43" t="n">
        <x:v>285.5</x:v>
      </x:c>
      <x:c r="W45" s="43" t="n">
        <x:v>466</x:v>
      </x:c>
      <x:c r="X45" s="43" t="n">
        <x:v>466</x:v>
      </x:c>
      <x:c r="Y45" s="53" t="n">
        <x:f>IF(X45="","",X45/'Readme-Protocol'!$B$25)</x:f>
        <x:v>0.466</x:v>
      </x:c>
      <x:c r="Z45" s="43" t="n">
        <x:v>2150982</x:v>
      </x:c>
      <x:c r="AA45" s="43" t="n">
        <x:v>2150982</x:v>
      </x:c>
    </x:row>
    <x:row r="46">
      <x:c r="A46" s="24" t="str">
        <x:v>article1-unified-v4-2-fb3f101b-20260903-000401-default-f04-p6-caffeine</x:v>
      </x:c>
      <x:c r="B46" s="24" t="str">
        <x:v>default</x:v>
      </x:c>
      <x:c r="C46" s="24" t="str">
        <x:v>caffeine</x:v>
      </x:c>
      <x:c r="D46" s="36" t="n">
        <x:v>4</x:v>
      </x:c>
      <x:c r="E46" s="36" t="n">
        <x:v>4</x:v>
      </x:c>
      <x:c r="F46" s="36" t="n">
        <x:v>6</x:v>
      </x:c>
      <x:c r="G46" s="24" t="str">
        <x:v>initial</x:v>
      </x:c>
      <x:c r="H46" s="24" t="str">
        <x:v>primary-all-cycles</x:v>
      </x:c>
      <x:c r="I46" s="36" t="n">
        <x:v>5</x:v>
      </x:c>
      <x:c r="J46" s="45" t="b">
        <x:v>1</x:v>
      </x:c>
      <x:c r="K46" s="45" t="b">
        <x:v>1</x:v>
      </x:c>
      <x:c r="L46" s="45" t="b">
        <x:v>1</x:v>
      </x:c>
      <x:c r="M46" s="45" t="b">
        <x:v>1</x:v>
      </x:c>
      <x:c r="N46" s="45" t="b">
        <x:v>1</x:v>
      </x:c>
      <x:c r="O46" s="43" t="n">
        <x:v>28262514.45876727</x:v>
      </x:c>
      <x:c r="P46" s="43" t="n">
        <x:v>28262514.45876727</x:v>
      </x:c>
      <x:c r="Q46" s="43" t="n">
        <x:v>1607200.7737707405</x:v>
      </x:c>
      <x:c r="R46" s="43" t="n">
        <x:v>1607200.7737707405</x:v>
      </x:c>
      <x:c r="S46" s="43" t="n">
        <x:v>140</x:v>
      </x:c>
      <x:c r="T46" s="43" t="n">
        <x:v>140</x:v>
      </x:c>
      <x:c r="U46" s="43" t="n">
        <x:v>271</x:v>
      </x:c>
      <x:c r="V46" s="43" t="n">
        <x:v>271</x:v>
      </x:c>
      <x:c r="W46" s="43" t="n">
        <x:v>471</x:v>
      </x:c>
      <x:c r="X46" s="43" t="n">
        <x:v>471</x:v>
      </x:c>
      <x:c r="Y46" s="53" t="n">
        <x:f>IF(X46="","",X46/'Readme-Protocol'!$B$25)</x:f>
        <x:v>0.471</x:v>
      </x:c>
      <x:c r="Z46" s="43" t="n">
        <x:v>2209144</x:v>
      </x:c>
      <x:c r="AA46" s="43" t="n">
        <x:v>2209144</x:v>
      </x:c>
    </x:row>
    <x:row r="47">
      <x:c r="A47" s="24" t="str">
        <x:v>article1-unified-v4-2-fb3f101b-20260903-000401-default-f04-p6-caffeine</x:v>
      </x:c>
      <x:c r="B47" s="24" t="str">
        <x:v>default</x:v>
      </x:c>
      <x:c r="C47" s="24" t="str">
        <x:v>caffeine</x:v>
      </x:c>
      <x:c r="D47" s="36" t="n">
        <x:v>4</x:v>
      </x:c>
      <x:c r="E47" s="36" t="n">
        <x:v>4</x:v>
      </x:c>
      <x:c r="F47" s="36" t="n">
        <x:v>6</x:v>
      </x:c>
      <x:c r="G47" s="24" t="str">
        <x:v>initial</x:v>
      </x:c>
      <x:c r="H47" s="24" t="str">
        <x:v>sensitivity-without-cycle-1</x:v>
      </x:c>
      <x:c r="I47" s="36" t="n">
        <x:v>4</x:v>
      </x:c>
      <x:c r="J47" s="45" t="b">
        <x:v>1</x:v>
      </x:c>
      <x:c r="K47" s="45" t="b">
        <x:v>1</x:v>
      </x:c>
      <x:c r="L47" s="45" t="b">
        <x:v>1</x:v>
      </x:c>
      <x:c r="M47" s="45" t="b">
        <x:v>1</x:v>
      </x:c>
      <x:c r="N47" s="45" t="b">
        <x:v>1</x:v>
      </x:c>
      <x:c r="O47" s="43" t="n">
        <x:v>27746553.063017555</x:v>
      </x:c>
      <x:c r="P47" s="43" t="n">
        <x:v>27746553.063017555</x:v>
      </x:c>
      <x:c r="Q47" s="43" t="n">
        <x:v>1615256.153285646</x:v>
      </x:c>
      <x:c r="R47" s="43" t="n">
        <x:v>1615256.153285646</x:v>
      </x:c>
      <x:c r="S47" s="43" t="n">
        <x:v>140</x:v>
      </x:c>
      <x:c r="T47" s="43" t="n">
        <x:v>140</x:v>
      </x:c>
      <x:c r="U47" s="43" t="n">
        <x:v>280.5</x:v>
      </x:c>
      <x:c r="V47" s="43" t="n">
        <x:v>280.5</x:v>
      </x:c>
      <x:c r="W47" s="43" t="n">
        <x:v>471</x:v>
      </x:c>
      <x:c r="X47" s="43" t="n">
        <x:v>471</x:v>
      </x:c>
      <x:c r="Y47" s="53" t="n">
        <x:f>IF(X47="","",X47/'Readme-Protocol'!$B$25)</x:f>
        <x:v>0.471</x:v>
      </x:c>
      <x:c r="Z47" s="43" t="n">
        <x:v>2168700</x:v>
      </x:c>
      <x:c r="AA47" s="43" t="n">
        <x:v>2168700</x:v>
      </x:c>
    </x:row>
    <x:row r="48">
      <x:c r="A48" s="24" t="str">
        <x:v>article1-unified-v4-2-fb3f101b-20260903-000401-default-f04-p6-caffeine</x:v>
      </x:c>
      <x:c r="B48" s="24" t="str">
        <x:v>default</x:v>
      </x:c>
      <x:c r="C48" s="24" t="str">
        <x:v>caffeine</x:v>
      </x:c>
      <x:c r="D48" s="36" t="n">
        <x:v>4</x:v>
      </x:c>
      <x:c r="E48" s="36" t="n">
        <x:v>4</x:v>
      </x:c>
      <x:c r="F48" s="36" t="n">
        <x:v>6</x:v>
      </x:c>
      <x:c r="G48" s="24" t="str">
        <x:v>redeploy</x:v>
      </x:c>
      <x:c r="H48" s="24" t="str">
        <x:v>primary-all-cycles</x:v>
      </x:c>
      <x:c r="I48" s="36" t="n">
        <x:v>5</x:v>
      </x:c>
      <x:c r="J48" s="45" t="b">
        <x:v>1</x:v>
      </x:c>
      <x:c r="K48" s="45" t="b">
        <x:v>1</x:v>
      </x:c>
      <x:c r="L48" s="45" t="b">
        <x:v>1</x:v>
      </x:c>
      <x:c r="M48" s="45" t="b">
        <x:v>1</x:v>
      </x:c>
      <x:c r="N48" s="45" t="b">
        <x:v>1</x:v>
      </x:c>
      <x:c r="O48" s="43" t="n">
        <x:v>26936891.992798835</x:v>
      </x:c>
      <x:c r="P48" s="43" t="n">
        <x:v>26936891.992798835</x:v>
      </x:c>
      <x:c r="Q48" s="43" t="n">
        <x:v>1813594.7424613854</x:v>
      </x:c>
      <x:c r="R48" s="43" t="n">
        <x:v>1813594.7424613854</x:v>
      </x:c>
      <x:c r="S48" s="43" t="n">
        <x:v>140</x:v>
      </x:c>
      <x:c r="T48" s="43" t="n">
        <x:v>140</x:v>
      </x:c>
      <x:c r="U48" s="43" t="n">
        <x:v>291</x:v>
      </x:c>
      <x:c r="V48" s="43" t="n">
        <x:v>291</x:v>
      </x:c>
      <x:c r="W48" s="43" t="n">
        <x:v>461</x:v>
      </x:c>
      <x:c r="X48" s="43" t="n">
        <x:v>461</x:v>
      </x:c>
      <x:c r="Y48" s="53" t="n">
        <x:f>IF(X48="","",X48/'Readme-Protocol'!$B$25)</x:f>
        <x:v>0.461</x:v>
      </x:c>
      <x:c r="Z48" s="43" t="n">
        <x:v>2105740</x:v>
      </x:c>
      <x:c r="AA48" s="43" t="n">
        <x:v>2105740</x:v>
      </x:c>
    </x:row>
    <x:row r="49">
      <x:c r="A49" s="24" t="str">
        <x:v>article1-unified-v4-2-fb3f101b-20260903-000401-default-f04-p6-caffeine</x:v>
      </x:c>
      <x:c r="B49" s="24" t="str">
        <x:v>default</x:v>
      </x:c>
      <x:c r="C49" s="24" t="str">
        <x:v>caffeine</x:v>
      </x:c>
      <x:c r="D49" s="36" t="n">
        <x:v>4</x:v>
      </x:c>
      <x:c r="E49" s="36" t="n">
        <x:v>4</x:v>
      </x:c>
      <x:c r="F49" s="36" t="n">
        <x:v>6</x:v>
      </x:c>
      <x:c r="G49" s="24" t="str">
        <x:v>redeploy</x:v>
      </x:c>
      <x:c r="H49" s="24" t="str">
        <x:v>sensitivity-without-cycle-1</x:v>
      </x:c>
      <x:c r="I49" s="36" t="n">
        <x:v>4</x:v>
      </x:c>
      <x:c r="J49" s="45" t="b">
        <x:v>1</x:v>
      </x:c>
      <x:c r="K49" s="45" t="b">
        <x:v>1</x:v>
      </x:c>
      <x:c r="L49" s="45" t="b">
        <x:v>1</x:v>
      </x:c>
      <x:c r="M49" s="45" t="b">
        <x:v>1</x:v>
      </x:c>
      <x:c r="N49" s="45" t="b">
        <x:v>1</x:v>
      </x:c>
      <x:c r="O49" s="43" t="n">
        <x:v>27103093.48819454</x:v>
      </x:c>
      <x:c r="P49" s="43" t="n">
        <x:v>27103093.48819454</x:v>
      </x:c>
      <x:c r="Q49" s="43" t="n">
        <x:v>1853467.8271036374</x:v>
      </x:c>
      <x:c r="R49" s="43" t="n">
        <x:v>1853467.8271036374</x:v>
      </x:c>
      <x:c r="S49" s="43" t="n">
        <x:v>140</x:v>
      </x:c>
      <x:c r="T49" s="43" t="n">
        <x:v>140</x:v>
      </x:c>
      <x:c r="U49" s="43" t="n">
        <x:v>280.5</x:v>
      </x:c>
      <x:c r="V49" s="43" t="n">
        <x:v>280.5</x:v>
      </x:c>
      <x:c r="W49" s="43" t="n">
        <x:v>456</x:v>
      </x:c>
      <x:c r="X49" s="43" t="n">
        <x:v>456</x:v>
      </x:c>
      <x:c r="Y49" s="53" t="n">
        <x:f>IF(X49="","",X49/'Readme-Protocol'!$B$25)</x:f>
        <x:v>0.456</x:v>
      </x:c>
      <x:c r="Z49" s="43" t="n">
        <x:v>2118592</x:v>
      </x:c>
      <x:c r="AA49" s="43" t="n">
        <x:v>2118592</x:v>
      </x:c>
    </x:row>
    <x:row r="50">
      <x:c r="A50" s="24" t="str">
        <x:v>article1-unified-v4-2-fb3f101b-20260903-000401-default-f05-p4-caffeine</x:v>
      </x:c>
      <x:c r="B50" s="24" t="str">
        <x:v>default</x:v>
      </x:c>
      <x:c r="C50" s="24" t="str">
        <x:v>caffeine</x:v>
      </x:c>
      <x:c r="D50" s="36" t="n">
        <x:v>5</x:v>
      </x:c>
      <x:c r="E50" s="36" t="n">
        <x:v>5</x:v>
      </x:c>
      <x:c r="F50" s="36" t="n">
        <x:v>4</x:v>
      </x:c>
      <x:c r="G50" s="24" t="str">
        <x:v>initial</x:v>
      </x:c>
      <x:c r="H50" s="24" t="str">
        <x:v>primary-all-cycles</x:v>
      </x:c>
      <x:c r="I50" s="36" t="n">
        <x:v>5</x:v>
      </x:c>
      <x:c r="J50" s="45" t="b">
        <x:v>1</x:v>
      </x:c>
      <x:c r="K50" s="45" t="b">
        <x:v>1</x:v>
      </x:c>
      <x:c r="L50" s="45" t="b">
        <x:v>1</x:v>
      </x:c>
      <x:c r="M50" s="45" t="b">
        <x:v>1</x:v>
      </x:c>
      <x:c r="N50" s="45" t="b">
        <x:v>1</x:v>
      </x:c>
      <x:c r="O50" s="43" t="n">
        <x:v>27317948.658922818</x:v>
      </x:c>
      <x:c r="P50" s="43" t="n">
        <x:v>27317948.658922818</x:v>
      </x:c>
      <x:c r="Q50" s="43" t="n">
        <x:v>1753363.784586635</x:v>
      </x:c>
      <x:c r="R50" s="43" t="n">
        <x:v>1753363.784586635</x:v>
      </x:c>
      <x:c r="S50" s="43" t="n">
        <x:v>140</x:v>
      </x:c>
      <x:c r="T50" s="43" t="n">
        <x:v>140</x:v>
      </x:c>
      <x:c r="U50" s="43" t="n">
        <x:v>281</x:v>
      </x:c>
      <x:c r="V50" s="43" t="n">
        <x:v>281</x:v>
      </x:c>
      <x:c r="W50" s="43" t="n">
        <x:v>481</x:v>
      </x:c>
      <x:c r="X50" s="43" t="n">
        <x:v>481</x:v>
      </x:c>
      <x:c r="Y50" s="53" t="n">
        <x:f>IF(X50="","",X50/'Readme-Protocol'!$B$25)</x:f>
        <x:v>0.481</x:v>
      </x:c>
      <x:c r="Z50" s="43" t="n">
        <x:v>2135392</x:v>
      </x:c>
      <x:c r="AA50" s="43" t="n">
        <x:v>2135392</x:v>
      </x:c>
    </x:row>
    <x:row r="51">
      <x:c r="A51" s="24" t="str">
        <x:v>article1-unified-v4-2-fb3f101b-20260903-000401-default-f05-p4-caffeine</x:v>
      </x:c>
      <x:c r="B51" s="24" t="str">
        <x:v>default</x:v>
      </x:c>
      <x:c r="C51" s="24" t="str">
        <x:v>caffeine</x:v>
      </x:c>
      <x:c r="D51" s="36" t="n">
        <x:v>5</x:v>
      </x:c>
      <x:c r="E51" s="36" t="n">
        <x:v>5</x:v>
      </x:c>
      <x:c r="F51" s="36" t="n">
        <x:v>4</x:v>
      </x:c>
      <x:c r="G51" s="24" t="str">
        <x:v>initial</x:v>
      </x:c>
      <x:c r="H51" s="24" t="str">
        <x:v>sensitivity-without-cycle-1</x:v>
      </x:c>
      <x:c r="I51" s="36" t="n">
        <x:v>4</x:v>
      </x:c>
      <x:c r="J51" s="45" t="b">
        <x:v>1</x:v>
      </x:c>
      <x:c r="K51" s="45" t="b">
        <x:v>1</x:v>
      </x:c>
      <x:c r="L51" s="45" t="b">
        <x:v>1</x:v>
      </x:c>
      <x:c r="M51" s="45" t="b">
        <x:v>1</x:v>
      </x:c>
      <x:c r="N51" s="45" t="b">
        <x:v>1</x:v>
      </x:c>
      <x:c r="O51" s="43" t="n">
        <x:v>27134230.841029577</x:v>
      </x:c>
      <x:c r="P51" s="43" t="n">
        <x:v>27134230.841029577</x:v>
      </x:c>
      <x:c r="Q51" s="43" t="n">
        <x:v>1801172.6319469255</x:v>
      </x:c>
      <x:c r="R51" s="43" t="n">
        <x:v>1801172.6319469255</x:v>
      </x:c>
      <x:c r="S51" s="43" t="n">
        <x:v>140</x:v>
      </x:c>
      <x:c r="T51" s="43" t="n">
        <x:v>140</x:v>
      </x:c>
      <x:c r="U51" s="43" t="n">
        <x:v>285.5</x:v>
      </x:c>
      <x:c r="V51" s="43" t="n">
        <x:v>285.5</x:v>
      </x:c>
      <x:c r="W51" s="43" t="n">
        <x:v>481</x:v>
      </x:c>
      <x:c r="X51" s="43" t="n">
        <x:v>481</x:v>
      </x:c>
      <x:c r="Y51" s="53" t="n">
        <x:f>IF(X51="","",X51/'Readme-Protocol'!$B$25)</x:f>
        <x:v>0.481</x:v>
      </x:c>
      <x:c r="Z51" s="43" t="n">
        <x:v>2120932</x:v>
      </x:c>
      <x:c r="AA51" s="43" t="n">
        <x:v>2120932</x:v>
      </x:c>
    </x:row>
    <x:row r="52">
      <x:c r="A52" s="24" t="str">
        <x:v>article1-unified-v4-2-fb3f101b-20260903-000401-default-f05-p4-caffeine</x:v>
      </x:c>
      <x:c r="B52" s="24" t="str">
        <x:v>default</x:v>
      </x:c>
      <x:c r="C52" s="24" t="str">
        <x:v>caffeine</x:v>
      </x:c>
      <x:c r="D52" s="36" t="n">
        <x:v>5</x:v>
      </x:c>
      <x:c r="E52" s="36" t="n">
        <x:v>5</x:v>
      </x:c>
      <x:c r="F52" s="36" t="n">
        <x:v>4</x:v>
      </x:c>
      <x:c r="G52" s="24" t="str">
        <x:v>redeploy</x:v>
      </x:c>
      <x:c r="H52" s="24" t="str">
        <x:v>primary-all-cycles</x:v>
      </x:c>
      <x:c r="I52" s="36" t="n">
        <x:v>5</x:v>
      </x:c>
      <x:c r="J52" s="45" t="b">
        <x:v>1</x:v>
      </x:c>
      <x:c r="K52" s="45" t="b">
        <x:v>1</x:v>
      </x:c>
      <x:c r="L52" s="45" t="b">
        <x:v>1</x:v>
      </x:c>
      <x:c r="M52" s="45" t="b">
        <x:v>1</x:v>
      </x:c>
      <x:c r="N52" s="45" t="b">
        <x:v>1</x:v>
      </x:c>
      <x:c r="O52" s="43" t="n">
        <x:v>25957575.99218084</x:v>
      </x:c>
      <x:c r="P52" s="43" t="n">
        <x:v>25957575.99218084</x:v>
      </x:c>
      <x:c r="Q52" s="43" t="n">
        <x:v>1815041.1369998495</x:v>
      </x:c>
      <x:c r="R52" s="43" t="n">
        <x:v>1815041.1369998495</x:v>
      </x:c>
      <x:c r="S52" s="43" t="n">
        <x:v>140</x:v>
      </x:c>
      <x:c r="T52" s="43" t="n">
        <x:v>140</x:v>
      </x:c>
      <x:c r="U52" s="43" t="n">
        <x:v>301</x:v>
      </x:c>
      <x:c r="V52" s="43" t="n">
        <x:v>301</x:v>
      </x:c>
      <x:c r="W52" s="43" t="n">
        <x:v>481</x:v>
      </x:c>
      <x:c r="X52" s="43" t="n">
        <x:v>481</x:v>
      </x:c>
      <x:c r="Y52" s="53" t="n">
        <x:f>IF(X52="","",X52/'Readme-Protocol'!$B$25)</x:f>
        <x:v>0.481</x:v>
      </x:c>
      <x:c r="Z52" s="43" t="n">
        <x:v>2049528</x:v>
      </x:c>
      <x:c r="AA52" s="43" t="n">
        <x:v>2049528</x:v>
      </x:c>
    </x:row>
    <x:row r="53">
      <x:c r="A53" s="24" t="str">
        <x:v>article1-unified-v4-2-fb3f101b-20260903-000401-default-f05-p4-caffeine</x:v>
      </x:c>
      <x:c r="B53" s="24" t="str">
        <x:v>default</x:v>
      </x:c>
      <x:c r="C53" s="24" t="str">
        <x:v>caffeine</x:v>
      </x:c>
      <x:c r="D53" s="36" t="n">
        <x:v>5</x:v>
      </x:c>
      <x:c r="E53" s="36" t="n">
        <x:v>5</x:v>
      </x:c>
      <x:c r="F53" s="36" t="n">
        <x:v>4</x:v>
      </x:c>
      <x:c r="G53" s="24" t="str">
        <x:v>redeploy</x:v>
      </x:c>
      <x:c r="H53" s="24" t="str">
        <x:v>sensitivity-without-cycle-1</x:v>
      </x:c>
      <x:c r="I53" s="36" t="n">
        <x:v>4</x:v>
      </x:c>
      <x:c r="J53" s="45" t="b">
        <x:v>1</x:v>
      </x:c>
      <x:c r="K53" s="45" t="b">
        <x:v>1</x:v>
      </x:c>
      <x:c r="L53" s="45" t="b">
        <x:v>1</x:v>
      </x:c>
      <x:c r="M53" s="45" t="b">
        <x:v>1</x:v>
      </x:c>
      <x:c r="N53" s="45" t="b">
        <x:v>1</x:v>
      </x:c>
      <x:c r="O53" s="43" t="n">
        <x:v>25759324.99649886</x:v>
      </x:c>
      <x:c r="P53" s="43" t="n">
        <x:v>25759324.99649886</x:v>
      </x:c>
      <x:c r="Q53" s="43" t="n">
        <x:v>1940877.9652825044</x:v>
      </x:c>
      <x:c r="R53" s="43" t="n">
        <x:v>1940877.9652825044</x:v>
      </x:c>
      <x:c r="S53" s="43" t="n">
        <x:v>140</x:v>
      </x:c>
      <x:c r="T53" s="43" t="n">
        <x:v>140</x:v>
      </x:c>
      <x:c r="U53" s="43" t="n">
        <x:v>306</x:v>
      </x:c>
      <x:c r="V53" s="43" t="n">
        <x:v>306</x:v>
      </x:c>
      <x:c r="W53" s="43" t="n">
        <x:v>496</x:v>
      </x:c>
      <x:c r="X53" s="43" t="n">
        <x:v>496</x:v>
      </x:c>
      <x:c r="Y53" s="53" t="n">
        <x:f>IF(X53="","",X53/'Readme-Protocol'!$B$25)</x:f>
        <x:v>0.496</x:v>
      </x:c>
      <x:c r="Z53" s="43" t="n">
        <x:v>2024028</x:v>
      </x:c>
      <x:c r="AA53" s="43" t="n">
        <x:v>2024028</x:v>
      </x:c>
    </x:row>
    <x:row r="54">
      <x:c r="A54" s="24" t="str">
        <x:v>article1-unified-v4-2-fb3f101b-20260903-000401-default-f06-p2-caffeine</x:v>
      </x:c>
      <x:c r="B54" s="24" t="str">
        <x:v>default</x:v>
      </x:c>
      <x:c r="C54" s="24" t="str">
        <x:v>caffeine</x:v>
      </x:c>
      <x:c r="D54" s="36" t="n">
        <x:v>6</x:v>
      </x:c>
      <x:c r="E54" s="36" t="n">
        <x:v>6</x:v>
      </x:c>
      <x:c r="F54" s="36" t="n">
        <x:v>2</x:v>
      </x:c>
      <x:c r="G54" s="24" t="str">
        <x:v>initial</x:v>
      </x:c>
      <x:c r="H54" s="24" t="str">
        <x:v>primary-all-cycles</x:v>
      </x:c>
      <x:c r="I54" s="36" t="n">
        <x:v>5</x:v>
      </x:c>
      <x:c r="J54" s="45" t="b">
        <x:v>1</x:v>
      </x:c>
      <x:c r="K54" s="45" t="b">
        <x:v>1</x:v>
      </x:c>
      <x:c r="L54" s="45" t="b">
        <x:v>1</x:v>
      </x:c>
      <x:c r="M54" s="45" t="b">
        <x:v>1</x:v>
      </x:c>
      <x:c r="N54" s="45" t="b">
        <x:v>1</x:v>
      </x:c>
      <x:c r="O54" s="43" t="n">
        <x:v>26509572.65647953</x:v>
      </x:c>
      <x:c r="P54" s="43" t="n">
        <x:v>26509572.65647953</x:v>
      </x:c>
      <x:c r="Q54" s="43" t="n">
        <x:v>1695483.6723226872</x:v>
      </x:c>
      <x:c r="R54" s="43" t="n">
        <x:v>1695483.6723226872</x:v>
      </x:c>
      <x:c r="S54" s="43" t="n">
        <x:v>140</x:v>
      </x:c>
      <x:c r="T54" s="43" t="n">
        <x:v>140</x:v>
      </x:c>
      <x:c r="U54" s="43" t="n">
        <x:v>291</x:v>
      </x:c>
      <x:c r="V54" s="43" t="n">
        <x:v>291</x:v>
      </x:c>
      <x:c r="W54" s="43" t="n">
        <x:v>491</x:v>
      </x:c>
      <x:c r="X54" s="43" t="n">
        <x:v>491</x:v>
      </x:c>
      <x:c r="Y54" s="53" t="n">
        <x:f>IF(X54="","",X54/'Readme-Protocol'!$B$25)</x:f>
        <x:v>0.491</x:v>
      </x:c>
      <x:c r="Z54" s="43" t="n">
        <x:v>2074488</x:v>
      </x:c>
      <x:c r="AA54" s="43" t="n">
        <x:v>2074488</x:v>
      </x:c>
    </x:row>
    <x:row r="55">
      <x:c r="A55" s="24" t="str">
        <x:v>article1-unified-v4-2-fb3f101b-20260903-000401-default-f06-p2-caffeine</x:v>
      </x:c>
      <x:c r="B55" s="24" t="str">
        <x:v>default</x:v>
      </x:c>
      <x:c r="C55" s="24" t="str">
        <x:v>caffeine</x:v>
      </x:c>
      <x:c r="D55" s="36" t="n">
        <x:v>6</x:v>
      </x:c>
      <x:c r="E55" s="36" t="n">
        <x:v>6</x:v>
      </x:c>
      <x:c r="F55" s="36" t="n">
        <x:v>2</x:v>
      </x:c>
      <x:c r="G55" s="24" t="str">
        <x:v>initial</x:v>
      </x:c>
      <x:c r="H55" s="24" t="str">
        <x:v>sensitivity-without-cycle-1</x:v>
      </x:c>
      <x:c r="I55" s="36" t="n">
        <x:v>4</x:v>
      </x:c>
      <x:c r="J55" s="45" t="b">
        <x:v>1</x:v>
      </x:c>
      <x:c r="K55" s="45" t="b">
        <x:v>1</x:v>
      </x:c>
      <x:c r="L55" s="45" t="b">
        <x:v>1</x:v>
      </x:c>
      <x:c r="M55" s="45" t="b">
        <x:v>1</x:v>
      </x:c>
      <x:c r="N55" s="45" t="b">
        <x:v>1</x:v>
      </x:c>
      <x:c r="O55" s="43" t="n">
        <x:v>26478182.900063183</x:v>
      </x:c>
      <x:c r="P55" s="43" t="n">
        <x:v>26478182.900063183</x:v>
      </x:c>
      <x:c r="Q55" s="43" t="n">
        <x:v>1666493.497319365</x:v>
      </x:c>
      <x:c r="R55" s="43" t="n">
        <x:v>1666493.497319365</x:v>
      </x:c>
      <x:c r="S55" s="43" t="n">
        <x:v>140</x:v>
      </x:c>
      <x:c r="T55" s="43" t="n">
        <x:v>140</x:v>
      </x:c>
      <x:c r="U55" s="43" t="n">
        <x:v>290.5</x:v>
      </x:c>
      <x:c r="V55" s="43" t="n">
        <x:v>290.5</x:v>
      </x:c>
      <x:c r="W55" s="43" t="n">
        <x:v>470.5</x:v>
      </x:c>
      <x:c r="X55" s="43" t="n">
        <x:v>470.5</x:v>
      </x:c>
      <x:c r="Y55" s="53" t="n">
        <x:f>IF(X55="","",X55/'Readme-Protocol'!$B$25)</x:f>
        <x:v>0.4705</x:v>
      </x:c>
      <x:c r="Z55" s="43" t="n">
        <x:v>2080372</x:v>
      </x:c>
      <x:c r="AA55" s="43" t="n">
        <x:v>2080372</x:v>
      </x:c>
    </x:row>
    <x:row r="56">
      <x:c r="A56" s="24" t="str">
        <x:v>article1-unified-v4-2-fb3f101b-20260903-000401-default-f06-p2-caffeine</x:v>
      </x:c>
      <x:c r="B56" s="24" t="str">
        <x:v>default</x:v>
      </x:c>
      <x:c r="C56" s="24" t="str">
        <x:v>caffeine</x:v>
      </x:c>
      <x:c r="D56" s="36" t="n">
        <x:v>6</x:v>
      </x:c>
      <x:c r="E56" s="36" t="n">
        <x:v>6</x:v>
      </x:c>
      <x:c r="F56" s="36" t="n">
        <x:v>2</x:v>
      </x:c>
      <x:c r="G56" s="24" t="str">
        <x:v>redeploy</x:v>
      </x:c>
      <x:c r="H56" s="24" t="str">
        <x:v>primary-all-cycles</x:v>
      </x:c>
      <x:c r="I56" s="36" t="n">
        <x:v>5</x:v>
      </x:c>
      <x:c r="J56" s="45" t="b">
        <x:v>1</x:v>
      </x:c>
      <x:c r="K56" s="45" t="b">
        <x:v>1</x:v>
      </x:c>
      <x:c r="L56" s="45" t="b">
        <x:v>1</x:v>
      </x:c>
      <x:c r="M56" s="45" t="b">
        <x:v>1</x:v>
      </x:c>
      <x:c r="N56" s="45" t="b">
        <x:v>1</x:v>
      </x:c>
      <x:c r="O56" s="43" t="n">
        <x:v>27131270.89679681</x:v>
      </x:c>
      <x:c r="P56" s="43" t="n">
        <x:v>27131270.89679681</x:v>
      </x:c>
      <x:c r="Q56" s="43" t="n">
        <x:v>1835544.0626023316</x:v>
      </x:c>
      <x:c r="R56" s="43" t="n">
        <x:v>1835544.0626023316</x:v>
      </x:c>
      <x:c r="S56" s="43" t="n">
        <x:v>140</x:v>
      </x:c>
      <x:c r="T56" s="43" t="n">
        <x:v>140</x:v>
      </x:c>
      <x:c r="U56" s="43" t="n">
        <x:v>290</x:v>
      </x:c>
      <x:c r="V56" s="43" t="n">
        <x:v>290</x:v>
      </x:c>
      <x:c r="W56" s="43" t="n">
        <x:v>471</x:v>
      </x:c>
      <x:c r="X56" s="43" t="n">
        <x:v>471</x:v>
      </x:c>
      <x:c r="Y56" s="53" t="n">
        <x:f>IF(X56="","",X56/'Readme-Protocol'!$B$25)</x:f>
        <x:v>0.471</x:v>
      </x:c>
      <x:c r="Z56" s="43" t="n">
        <x:v>2130236</x:v>
      </x:c>
      <x:c r="AA56" s="43" t="n">
        <x:v>2130236</x:v>
      </x:c>
    </x:row>
    <x:row r="57">
      <x:c r="A57" s="24" t="str">
        <x:v>article1-unified-v4-2-fb3f101b-20260903-000401-default-f06-p2-caffeine</x:v>
      </x:c>
      <x:c r="B57" s="24" t="str">
        <x:v>default</x:v>
      </x:c>
      <x:c r="C57" s="24" t="str">
        <x:v>caffeine</x:v>
      </x:c>
      <x:c r="D57" s="36" t="n">
        <x:v>6</x:v>
      </x:c>
      <x:c r="E57" s="36" t="n">
        <x:v>6</x:v>
      </x:c>
      <x:c r="F57" s="36" t="n">
        <x:v>2</x:v>
      </x:c>
      <x:c r="G57" s="24" t="str">
        <x:v>redeploy</x:v>
      </x:c>
      <x:c r="H57" s="24" t="str">
        <x:v>sensitivity-without-cycle-1</x:v>
      </x:c>
      <x:c r="I57" s="36" t="n">
        <x:v>4</x:v>
      </x:c>
      <x:c r="J57" s="45" t="b">
        <x:v>1</x:v>
      </x:c>
      <x:c r="K57" s="45" t="b">
        <x:v>1</x:v>
      </x:c>
      <x:c r="L57" s="45" t="b">
        <x:v>1</x:v>
      </x:c>
      <x:c r="M57" s="45" t="b">
        <x:v>1</x:v>
      </x:c>
      <x:c r="N57" s="45" t="b">
        <x:v>1</x:v>
      </x:c>
      <x:c r="O57" s="43" t="n">
        <x:v>27224358.982914563</x:v>
      </x:c>
      <x:c r="P57" s="43" t="n">
        <x:v>27224358.982914563</x:v>
      </x:c>
      <x:c r="Q57" s="43" t="n">
        <x:v>1911725.6128737435</x:v>
      </x:c>
      <x:c r="R57" s="43" t="n">
        <x:v>1911725.6128737435</x:v>
      </x:c>
      <x:c r="S57" s="43" t="n">
        <x:v>140</x:v>
      </x:c>
      <x:c r="T57" s="43" t="n">
        <x:v>140</x:v>
      </x:c>
      <x:c r="U57" s="43" t="n">
        <x:v>290.5</x:v>
      </x:c>
      <x:c r="V57" s="43" t="n">
        <x:v>290.5</x:v>
      </x:c>
      <x:c r="W57" s="43" t="n">
        <x:v>471</x:v>
      </x:c>
      <x:c r="X57" s="43" t="n">
        <x:v>471</x:v>
      </x:c>
      <x:c r="Y57" s="53" t="n">
        <x:f>IF(X57="","",X57/'Readme-Protocol'!$B$25)</x:f>
        <x:v>0.471</x:v>
      </x:c>
      <x:c r="Z57" s="43" t="n">
        <x:v>2136950</x:v>
      </x:c>
      <x:c r="AA57" s="43" t="n">
        <x:v>2136950</x:v>
      </x:c>
    </x:row>
    <x:row r="58">
      <x:c r="A58" s="24" t="str">
        <x:v>article1-unified-v4-2-fb3f101b-20260903-000401-default-f01-p2-ehcache</x:v>
      </x:c>
      <x:c r="B58" s="24" t="str">
        <x:v>default</x:v>
      </x:c>
      <x:c r="C58" s="24" t="str">
        <x:v>ehcache</x:v>
      </x:c>
      <x:c r="D58" s="36" t="n">
        <x:v>1</x:v>
      </x:c>
      <x:c r="E58" s="36" t="n">
        <x:v>1</x:v>
      </x:c>
      <x:c r="F58" s="36" t="n">
        <x:v>2</x:v>
      </x:c>
      <x:c r="G58" s="24" t="str">
        <x:v>initial</x:v>
      </x:c>
      <x:c r="H58" s="24" t="str">
        <x:v>primary-all-cycles</x:v>
      </x:c>
      <x:c r="I58" s="36" t="n">
        <x:v>5</x:v>
      </x:c>
      <x:c r="J58" s="45" t="b">
        <x:v>1</x:v>
      </x:c>
      <x:c r="K58" s="45" t="b">
        <x:v>1</x:v>
      </x:c>
      <x:c r="L58" s="45" t="b">
        <x:v>1</x:v>
      </x:c>
      <x:c r="M58" s="45" t="b">
        <x:v>1</x:v>
      </x:c>
      <x:c r="N58" s="45" t="b">
        <x:v>1</x:v>
      </x:c>
      <x:c r="O58" s="43" t="n">
        <x:v>23482757.92055727</x:v>
      </x:c>
      <x:c r="P58" s="43" t="n">
        <x:v>23482757.92055727</x:v>
      </x:c>
      <x:c r="Q58" s="43" t="n">
        <x:v>1521626.0339258697</x:v>
      </x:c>
      <x:c r="R58" s="43" t="n">
        <x:v>1521626.0339258697</x:v>
      </x:c>
      <x:c r="S58" s="43" t="n">
        <x:v>180</x:v>
      </x:c>
      <x:c r="T58" s="43" t="n">
        <x:v>180</x:v>
      </x:c>
      <x:c r="U58" s="43" t="n">
        <x:v>311</x:v>
      </x:c>
      <x:c r="V58" s="43" t="n">
        <x:v>311</x:v>
      </x:c>
      <x:c r="W58" s="43" t="n">
        <x:v>561</x:v>
      </x:c>
      <x:c r="X58" s="43" t="n">
        <x:v>561</x:v>
      </x:c>
      <x:c r="Y58" s="53" t="n">
        <x:f>IF(X58="","",X58/'Readme-Protocol'!$B$25)</x:f>
        <x:v>0.561</x:v>
      </x:c>
      <x:c r="Z58" s="43" t="n">
        <x:v>1835364</x:v>
      </x:c>
      <x:c r="AA58" s="43" t="n">
        <x:v>1835364</x:v>
      </x:c>
    </x:row>
    <x:row r="59">
      <x:c r="A59" s="24" t="str">
        <x:v>article1-unified-v4-2-fb3f101b-20260903-000401-default-f01-p2-ehcache</x:v>
      </x:c>
      <x:c r="B59" s="24" t="str">
        <x:v>default</x:v>
      </x:c>
      <x:c r="C59" s="24" t="str">
        <x:v>ehcache</x:v>
      </x:c>
      <x:c r="D59" s="36" t="n">
        <x:v>1</x:v>
      </x:c>
      <x:c r="E59" s="36" t="n">
        <x:v>1</x:v>
      </x:c>
      <x:c r="F59" s="36" t="n">
        <x:v>2</x:v>
      </x:c>
      <x:c r="G59" s="24" t="str">
        <x:v>initial</x:v>
      </x:c>
      <x:c r="H59" s="24" t="str">
        <x:v>sensitivity-without-cycle-1</x:v>
      </x:c>
      <x:c r="I59" s="36" t="n">
        <x:v>4</x:v>
      </x:c>
      <x:c r="J59" s="45" t="b">
        <x:v>1</x:v>
      </x:c>
      <x:c r="K59" s="45" t="b">
        <x:v>1</x:v>
      </x:c>
      <x:c r="L59" s="45" t="b">
        <x:v>1</x:v>
      </x:c>
      <x:c r="M59" s="45" t="b">
        <x:v>1</x:v>
      </x:c>
      <x:c r="N59" s="45" t="b">
        <x:v>1</x:v>
      </x:c>
      <x:c r="O59" s="43" t="n">
        <x:v>23240765.439484768</x:v>
      </x:c>
      <x:c r="P59" s="43" t="n">
        <x:v>23240765.439484768</x:v>
      </x:c>
      <x:c r="Q59" s="43" t="n">
        <x:v>1703693.505540975</x:v>
      </x:c>
      <x:c r="R59" s="43" t="n">
        <x:v>1703693.505540975</x:v>
      </x:c>
      <x:c r="S59" s="43" t="n">
        <x:v>180</x:v>
      </x:c>
      <x:c r="T59" s="43" t="n">
        <x:v>180</x:v>
      </x:c>
      <x:c r="U59" s="43" t="n">
        <x:v>320.5</x:v>
      </x:c>
      <x:c r="V59" s="43" t="n">
        <x:v>320.5</x:v>
      </x:c>
      <x:c r="W59" s="43" t="n">
        <x:v>566</x:v>
      </x:c>
      <x:c r="X59" s="43" t="n">
        <x:v>566</x:v>
      </x:c>
      <x:c r="Y59" s="53" t="n">
        <x:f>IF(X59="","",X59/'Readme-Protocol'!$B$25)</x:f>
        <x:v>0.566</x:v>
      </x:c>
      <x:c r="Z59" s="43" t="n">
        <x:v>1816598</x:v>
      </x:c>
      <x:c r="AA59" s="43" t="n">
        <x:v>1816598</x:v>
      </x:c>
    </x:row>
    <x:row r="60">
      <x:c r="A60" s="24" t="str">
        <x:v>article1-unified-v4-2-fb3f101b-20260903-000401-default-f01-p2-ehcache</x:v>
      </x:c>
      <x:c r="B60" s="24" t="str">
        <x:v>default</x:v>
      </x:c>
      <x:c r="C60" s="24" t="str">
        <x:v>ehcache</x:v>
      </x:c>
      <x:c r="D60" s="36" t="n">
        <x:v>1</x:v>
      </x:c>
      <x:c r="E60" s="36" t="n">
        <x:v>1</x:v>
      </x:c>
      <x:c r="F60" s="36" t="n">
        <x:v>2</x:v>
      </x:c>
      <x:c r="G60" s="24" t="str">
        <x:v>redeploy</x:v>
      </x:c>
      <x:c r="H60" s="24" t="str">
        <x:v>primary-all-cycles</x:v>
      </x:c>
      <x:c r="I60" s="36" t="n">
        <x:v>5</x:v>
      </x:c>
      <x:c r="J60" s="45" t="b">
        <x:v>1</x:v>
      </x:c>
      <x:c r="K60" s="45" t="b">
        <x:v>1</x:v>
      </x:c>
      <x:c r="L60" s="45" t="b">
        <x:v>1</x:v>
      </x:c>
      <x:c r="M60" s="45" t="b">
        <x:v>1</x:v>
      </x:c>
      <x:c r="N60" s="45" t="b">
        <x:v>1</x:v>
      </x:c>
      <x:c r="O60" s="43" t="n">
        <x:v>23507840.561815243</x:v>
      </x:c>
      <x:c r="P60" s="43" t="n">
        <x:v>23507840.561815243</x:v>
      </x:c>
      <x:c r="Q60" s="43" t="n">
        <x:v>1705701.0670183594</x:v>
      </x:c>
      <x:c r="R60" s="43" t="n">
        <x:v>1705701.0670183594</x:v>
      </x:c>
      <x:c r="S60" s="43" t="n">
        <x:v>171</x:v>
      </x:c>
      <x:c r="T60" s="43" t="n">
        <x:v>171</x:v>
      </x:c>
      <x:c r="U60" s="43" t="n">
        <x:v>310</x:v>
      </x:c>
      <x:c r="V60" s="43" t="n">
        <x:v>310</x:v>
      </x:c>
      <x:c r="W60" s="43" t="n">
        <x:v>541</x:v>
      </x:c>
      <x:c r="X60" s="43" t="n">
        <x:v>541</x:v>
      </x:c>
      <x:c r="Y60" s="53" t="n">
        <x:f>IF(X60="","",X60/'Readme-Protocol'!$B$25)</x:f>
        <x:v>0.541</x:v>
      </x:c>
      <x:c r="Z60" s="43" t="n">
        <x:v>1838144</x:v>
      </x:c>
      <x:c r="AA60" s="43" t="n">
        <x:v>1838144</x:v>
      </x:c>
    </x:row>
    <x:row r="61">
      <x:c r="A61" s="24" t="str">
        <x:v>article1-unified-v4-2-fb3f101b-20260903-000401-default-f01-p2-ehcache</x:v>
      </x:c>
      <x:c r="B61" s="24" t="str">
        <x:v>default</x:v>
      </x:c>
      <x:c r="C61" s="24" t="str">
        <x:v>ehcache</x:v>
      </x:c>
      <x:c r="D61" s="36" t="n">
        <x:v>1</x:v>
      </x:c>
      <x:c r="E61" s="36" t="n">
        <x:v>1</x:v>
      </x:c>
      <x:c r="F61" s="36" t="n">
        <x:v>2</x:v>
      </x:c>
      <x:c r="G61" s="24" t="str">
        <x:v>redeploy</x:v>
      </x:c>
      <x:c r="H61" s="24" t="str">
        <x:v>sensitivity-without-cycle-1</x:v>
      </x:c>
      <x:c r="I61" s="36" t="n">
        <x:v>4</x:v>
      </x:c>
      <x:c r="J61" s="45" t="b">
        <x:v>1</x:v>
      </x:c>
      <x:c r="K61" s="45" t="b">
        <x:v>1</x:v>
      </x:c>
      <x:c r="L61" s="45" t="b">
        <x:v>1</x:v>
      </x:c>
      <x:c r="M61" s="45" t="b">
        <x:v>1</x:v>
      </x:c>
      <x:c r="N61" s="45" t="b">
        <x:v>1</x:v>
      </x:c>
      <x:c r="O61" s="43" t="n">
        <x:v>24754518.914448567</x:v>
      </x:c>
      <x:c r="P61" s="43" t="n">
        <x:v>24754518.914448567</x:v>
      </x:c>
      <x:c r="Q61" s="43" t="n">
        <x:v>1638695.5451916049</x:v>
      </x:c>
      <x:c r="R61" s="43" t="n">
        <x:v>1638695.5451916049</x:v>
      </x:c>
      <x:c r="S61" s="43" t="n">
        <x:v>166</x:v>
      </x:c>
      <x:c r="T61" s="43" t="n">
        <x:v>166</x:v>
      </x:c>
      <x:c r="U61" s="43" t="n">
        <x:v>295.5</x:v>
      </x:c>
      <x:c r="V61" s="43" t="n">
        <x:v>295.5</x:v>
      </x:c>
      <x:c r="W61" s="43" t="n">
        <x:v>521</x:v>
      </x:c>
      <x:c r="X61" s="43" t="n">
        <x:v>521</x:v>
      </x:c>
      <x:c r="Y61" s="53" t="n">
        <x:f>IF(X61="","",X61/'Readme-Protocol'!$B$25)</x:f>
        <x:v>0.521</x:v>
      </x:c>
      <x:c r="Z61" s="43" t="n">
        <x:v>1935204</x:v>
      </x:c>
      <x:c r="AA61" s="43" t="n">
        <x:v>1935204</x:v>
      </x:c>
    </x:row>
    <x:row r="62">
      <x:c r="A62" s="24" t="str">
        <x:v>article1-unified-v4-2-fb3f101b-20260903-000401-default-f02-p1-ehcache</x:v>
      </x:c>
      <x:c r="B62" s="24" t="str">
        <x:v>default</x:v>
      </x:c>
      <x:c r="C62" s="24" t="str">
        <x:v>ehcache</x:v>
      </x:c>
      <x:c r="D62" s="36" t="n">
        <x:v>2</x:v>
      </x:c>
      <x:c r="E62" s="36" t="n">
        <x:v>2</x:v>
      </x:c>
      <x:c r="F62" s="36" t="n">
        <x:v>1</x:v>
      </x:c>
      <x:c r="G62" s="24" t="str">
        <x:v>initial</x:v>
      </x:c>
      <x:c r="H62" s="24" t="str">
        <x:v>primary-all-cycles</x:v>
      </x:c>
      <x:c r="I62" s="36" t="n">
        <x:v>5</x:v>
      </x:c>
      <x:c r="J62" s="45" t="b">
        <x:v>1</x:v>
      </x:c>
      <x:c r="K62" s="45" t="b">
        <x:v>1</x:v>
      </x:c>
      <x:c r="L62" s="45" t="b">
        <x:v>1</x:v>
      </x:c>
      <x:c r="M62" s="45" t="b">
        <x:v>1</x:v>
      </x:c>
      <x:c r="N62" s="45" t="b">
        <x:v>1</x:v>
      </x:c>
      <x:c r="O62" s="43" t="n">
        <x:v>22715674.281386904</x:v>
      </x:c>
      <x:c r="P62" s="43" t="n">
        <x:v>22715674.281386904</x:v>
      </x:c>
      <x:c r="Q62" s="43" t="n">
        <x:v>1347854.5794302835</x:v>
      </x:c>
      <x:c r="R62" s="43" t="n">
        <x:v>1347854.5794302835</x:v>
      </x:c>
      <x:c r="S62" s="43" t="n">
        <x:v>180</x:v>
      </x:c>
      <x:c r="T62" s="43" t="n">
        <x:v>180</x:v>
      </x:c>
      <x:c r="U62" s="43" t="n">
        <x:v>321</x:v>
      </x:c>
      <x:c r="V62" s="43" t="n">
        <x:v>321</x:v>
      </x:c>
      <x:c r="W62" s="43" t="n">
        <x:v>561</x:v>
      </x:c>
      <x:c r="X62" s="43" t="n">
        <x:v>561</x:v>
      </x:c>
      <x:c r="Y62" s="53" t="n">
        <x:f>IF(X62="","",X62/'Readme-Protocol'!$B$25)</x:f>
        <x:v>0.561</x:v>
      </x:c>
      <x:c r="Z62" s="43" t="n">
        <x:v>1778040</x:v>
      </x:c>
      <x:c r="AA62" s="43" t="n">
        <x:v>1778040</x:v>
      </x:c>
    </x:row>
    <x:row r="63">
      <x:c r="A63" s="24" t="str">
        <x:v>article1-unified-v4-2-fb3f101b-20260903-000401-default-f02-p1-ehcache</x:v>
      </x:c>
      <x:c r="B63" s="24" t="str">
        <x:v>default</x:v>
      </x:c>
      <x:c r="C63" s="24" t="str">
        <x:v>ehcache</x:v>
      </x:c>
      <x:c r="D63" s="36" t="n">
        <x:v>2</x:v>
      </x:c>
      <x:c r="E63" s="36" t="n">
        <x:v>2</x:v>
      </x:c>
      <x:c r="F63" s="36" t="n">
        <x:v>1</x:v>
      </x:c>
      <x:c r="G63" s="24" t="str">
        <x:v>initial</x:v>
      </x:c>
      <x:c r="H63" s="24" t="str">
        <x:v>sensitivity-without-cycle-1</x:v>
      </x:c>
      <x:c r="I63" s="36" t="n">
        <x:v>4</x:v>
      </x:c>
      <x:c r="J63" s="45" t="b">
        <x:v>1</x:v>
      </x:c>
      <x:c r="K63" s="45" t="b">
        <x:v>1</x:v>
      </x:c>
      <x:c r="L63" s="45" t="b">
        <x:v>1</x:v>
      </x:c>
      <x:c r="M63" s="45" t="b">
        <x:v>1</x:v>
      </x:c>
      <x:c r="N63" s="45" t="b">
        <x:v>1</x:v>
      </x:c>
      <x:c r="O63" s="43" t="n">
        <x:v>22863032.61189495</x:v>
      </x:c>
      <x:c r="P63" s="43" t="n">
        <x:v>22863032.61189495</x:v>
      </x:c>
      <x:c r="Q63" s="43" t="n">
        <x:v>1478954.5237864703</x:v>
      </x:c>
      <x:c r="R63" s="43" t="n">
        <x:v>1478954.5237864703</x:v>
      </x:c>
      <x:c r="S63" s="43" t="n">
        <x:v>180</x:v>
      </x:c>
      <x:c r="T63" s="43" t="n">
        <x:v>180</x:v>
      </x:c>
      <x:c r="U63" s="43" t="n">
        <x:v>320.5</x:v>
      </x:c>
      <x:c r="V63" s="43" t="n">
        <x:v>320.5</x:v>
      </x:c>
      <x:c r="W63" s="43" t="n">
        <x:v>556</x:v>
      </x:c>
      <x:c r="X63" s="43" t="n">
        <x:v>556</x:v>
      </x:c>
      <x:c r="Y63" s="53" t="n">
        <x:f>IF(X63="","",X63/'Readme-Protocol'!$B$25)</x:f>
        <x:v>0.556</x:v>
      </x:c>
      <x:c r="Z63" s="43" t="n">
        <x:v>1798966</x:v>
      </x:c>
      <x:c r="AA63" s="43" t="n">
        <x:v>1798966</x:v>
      </x:c>
    </x:row>
    <x:row r="64">
      <x:c r="A64" s="24" t="str">
        <x:v>article1-unified-v4-2-fb3f101b-20260903-000401-default-f02-p1-ehcache</x:v>
      </x:c>
      <x:c r="B64" s="24" t="str">
        <x:v>default</x:v>
      </x:c>
      <x:c r="C64" s="24" t="str">
        <x:v>ehcache</x:v>
      </x:c>
      <x:c r="D64" s="36" t="n">
        <x:v>2</x:v>
      </x:c>
      <x:c r="E64" s="36" t="n">
        <x:v>2</x:v>
      </x:c>
      <x:c r="F64" s="36" t="n">
        <x:v>1</x:v>
      </x:c>
      <x:c r="G64" s="24" t="str">
        <x:v>redeploy</x:v>
      </x:c>
      <x:c r="H64" s="24" t="str">
        <x:v>primary-all-cycles</x:v>
      </x:c>
      <x:c r="I64" s="36" t="n">
        <x:v>5</x:v>
      </x:c>
      <x:c r="J64" s="45" t="b">
        <x:v>1</x:v>
      </x:c>
      <x:c r="K64" s="45" t="b">
        <x:v>1</x:v>
      </x:c>
      <x:c r="L64" s="45" t="b">
        <x:v>1</x:v>
      </x:c>
      <x:c r="M64" s="45" t="b">
        <x:v>1</x:v>
      </x:c>
      <x:c r="N64" s="45" t="b">
        <x:v>1</x:v>
      </x:c>
      <x:c r="O64" s="43" t="n">
        <x:v>22523030.08161541</x:v>
      </x:c>
      <x:c r="P64" s="43" t="n">
        <x:v>22523030.08161541</x:v>
      </x:c>
      <x:c r="Q64" s="43" t="n">
        <x:v>1438267.198691292</x:v>
      </x:c>
      <x:c r="R64" s="43" t="n">
        <x:v>1438267.198691292</x:v>
      </x:c>
      <x:c r="S64" s="43" t="n">
        <x:v>181</x:v>
      </x:c>
      <x:c r="T64" s="43" t="n">
        <x:v>181</x:v>
      </x:c>
      <x:c r="U64" s="43" t="n">
        <x:v>331</x:v>
      </x:c>
      <x:c r="V64" s="43" t="n">
        <x:v>331</x:v>
      </x:c>
      <x:c r="W64" s="43" t="n">
        <x:v>591</x:v>
      </x:c>
      <x:c r="X64" s="43" t="n">
        <x:v>591</x:v>
      </x:c>
      <x:c r="Y64" s="53" t="n">
        <x:f>IF(X64="","",X64/'Readme-Protocol'!$B$25)</x:f>
        <x:v>0.591</x:v>
      </x:c>
      <x:c r="Z64" s="43" t="n">
        <x:v>1760500</x:v>
      </x:c>
      <x:c r="AA64" s="43" t="n">
        <x:v>1760500</x:v>
      </x:c>
    </x:row>
    <x:row r="65">
      <x:c r="A65" s="24" t="str">
        <x:v>article1-unified-v4-2-fb3f101b-20260903-000401-default-f02-p1-ehcache</x:v>
      </x:c>
      <x:c r="B65" s="24" t="str">
        <x:v>default</x:v>
      </x:c>
      <x:c r="C65" s="24" t="str">
        <x:v>ehcache</x:v>
      </x:c>
      <x:c r="D65" s="36" t="n">
        <x:v>2</x:v>
      </x:c>
      <x:c r="E65" s="36" t="n">
        <x:v>2</x:v>
      </x:c>
      <x:c r="F65" s="36" t="n">
        <x:v>1</x:v>
      </x:c>
      <x:c r="G65" s="24" t="str">
        <x:v>redeploy</x:v>
      </x:c>
      <x:c r="H65" s="24" t="str">
        <x:v>sensitivity-without-cycle-1</x:v>
      </x:c>
      <x:c r="I65" s="36" t="n">
        <x:v>4</x:v>
      </x:c>
      <x:c r="J65" s="45" t="b">
        <x:v>1</x:v>
      </x:c>
      <x:c r="K65" s="45" t="b">
        <x:v>1</x:v>
      </x:c>
      <x:c r="L65" s="45" t="b">
        <x:v>1</x:v>
      </x:c>
      <x:c r="M65" s="45" t="b">
        <x:v>1</x:v>
      </x:c>
      <x:c r="N65" s="45" t="b">
        <x:v>1</x:v>
      </x:c>
      <x:c r="O65" s="43" t="n">
        <x:v>21856122.333359793</x:v>
      </x:c>
      <x:c r="P65" s="43" t="n">
        <x:v>21856122.333359793</x:v>
      </x:c>
      <x:c r="Q65" s="43" t="n">
        <x:v>1415595.1706158817</x:v>
      </x:c>
      <x:c r="R65" s="43" t="n">
        <x:v>1415595.1706158817</x:v>
      </x:c>
      <x:c r="S65" s="43" t="n">
        <x:v>181</x:v>
      </x:c>
      <x:c r="T65" s="43" t="n">
        <x:v>181</x:v>
      </x:c>
      <x:c r="U65" s="43" t="n">
        <x:v>331</x:v>
      </x:c>
      <x:c r="V65" s="43" t="n">
        <x:v>331</x:v>
      </x:c>
      <x:c r="W65" s="43" t="n">
        <x:v>591</x:v>
      </x:c>
      <x:c r="X65" s="43" t="n">
        <x:v>591</x:v>
      </x:c>
      <x:c r="Y65" s="53" t="n">
        <x:f>IF(X65="","",X65/'Readme-Protocol'!$B$25)</x:f>
        <x:v>0.591</x:v>
      </x:c>
      <x:c r="Z65" s="43" t="n">
        <x:v>1711364</x:v>
      </x:c>
      <x:c r="AA65" s="43" t="n">
        <x:v>1711364</x:v>
      </x:c>
    </x:row>
    <x:row r="66">
      <x:c r="A66" s="24" t="str">
        <x:v>article1-unified-v4-2-fb3f101b-20260903-000401-default-f03-p3-ehcache</x:v>
      </x:c>
      <x:c r="B66" s="24" t="str">
        <x:v>default</x:v>
      </x:c>
      <x:c r="C66" s="24" t="str">
        <x:v>ehcache</x:v>
      </x:c>
      <x:c r="D66" s="36" t="n">
        <x:v>3</x:v>
      </x:c>
      <x:c r="E66" s="36" t="n">
        <x:v>3</x:v>
      </x:c>
      <x:c r="F66" s="36" t="n">
        <x:v>3</x:v>
      </x:c>
      <x:c r="G66" s="24" t="str">
        <x:v>initial</x:v>
      </x:c>
      <x:c r="H66" s="24" t="str">
        <x:v>primary-all-cycles</x:v>
      </x:c>
      <x:c r="I66" s="36" t="n">
        <x:v>5</x:v>
      </x:c>
      <x:c r="J66" s="45" t="b">
        <x:v>1</x:v>
      </x:c>
      <x:c r="K66" s="45" t="b">
        <x:v>1</x:v>
      </x:c>
      <x:c r="L66" s="45" t="b">
        <x:v>1</x:v>
      </x:c>
      <x:c r="M66" s="45" t="b">
        <x:v>1</x:v>
      </x:c>
      <x:c r="N66" s="45" t="b">
        <x:v>1</x:v>
      </x:c>
      <x:c r="O66" s="43" t="n">
        <x:v>24057634.529491935</x:v>
      </x:c>
      <x:c r="P66" s="43" t="n">
        <x:v>24057634.529491935</x:v>
      </x:c>
      <x:c r="Q66" s="43" t="n">
        <x:v>1642466.8340778362</x:v>
      </x:c>
      <x:c r="R66" s="43" t="n">
        <x:v>1642466.8340778362</x:v>
      </x:c>
      <x:c r="S66" s="43" t="n">
        <x:v>171</x:v>
      </x:c>
      <x:c r="T66" s="43" t="n">
        <x:v>171</x:v>
      </x:c>
      <x:c r="U66" s="43" t="n">
        <x:v>311</x:v>
      </x:c>
      <x:c r="V66" s="43" t="n">
        <x:v>311</x:v>
      </x:c>
      <x:c r="W66" s="43" t="n">
        <x:v>541</x:v>
      </x:c>
      <x:c r="X66" s="43" t="n">
        <x:v>541</x:v>
      </x:c>
      <x:c r="Y66" s="53" t="n">
        <x:f>IF(X66="","",X66/'Readme-Protocol'!$B$25)</x:f>
        <x:v>0.541</x:v>
      </x:c>
      <x:c r="Z66" s="43" t="n">
        <x:v>1880260</x:v>
      </x:c>
      <x:c r="AA66" s="43" t="n">
        <x:v>1880260</x:v>
      </x:c>
    </x:row>
    <x:row r="67">
      <x:c r="A67" s="24" t="str">
        <x:v>article1-unified-v4-2-fb3f101b-20260903-000401-default-f03-p3-ehcache</x:v>
      </x:c>
      <x:c r="B67" s="24" t="str">
        <x:v>default</x:v>
      </x:c>
      <x:c r="C67" s="24" t="str">
        <x:v>ehcache</x:v>
      </x:c>
      <x:c r="D67" s="36" t="n">
        <x:v>3</x:v>
      </x:c>
      <x:c r="E67" s="36" t="n">
        <x:v>3</x:v>
      </x:c>
      <x:c r="F67" s="36" t="n">
        <x:v>3</x:v>
      </x:c>
      <x:c r="G67" s="24" t="str">
        <x:v>initial</x:v>
      </x:c>
      <x:c r="H67" s="24" t="str">
        <x:v>sensitivity-without-cycle-1</x:v>
      </x:c>
      <x:c r="I67" s="36" t="n">
        <x:v>4</x:v>
      </x:c>
      <x:c r="J67" s="45" t="b">
        <x:v>1</x:v>
      </x:c>
      <x:c r="K67" s="45" t="b">
        <x:v>1</x:v>
      </x:c>
      <x:c r="L67" s="45" t="b">
        <x:v>1</x:v>
      </x:c>
      <x:c r="M67" s="45" t="b">
        <x:v>1</x:v>
      </x:c>
      <x:c r="N67" s="45" t="b">
        <x:v>1</x:v>
      </x:c>
      <x:c r="O67" s="43" t="n">
        <x:v>24425800.22198094</x:v>
      </x:c>
      <x:c r="P67" s="43" t="n">
        <x:v>24425800.22198094</x:v>
      </x:c>
      <x:c r="Q67" s="43" t="n">
        <x:v>1785062.956998933</x:v>
      </x:c>
      <x:c r="R67" s="43" t="n">
        <x:v>1785062.956998933</x:v>
      </x:c>
      <x:c r="S67" s="43" t="n">
        <x:v>170.5</x:v>
      </x:c>
      <x:c r="T67" s="43" t="n">
        <x:v>170.5</x:v>
      </x:c>
      <x:c r="U67" s="43" t="n">
        <x:v>306</x:v>
      </x:c>
      <x:c r="V67" s="43" t="n">
        <x:v>306</x:v>
      </x:c>
      <x:c r="W67" s="43" t="n">
        <x:v>541</x:v>
      </x:c>
      <x:c r="X67" s="43" t="n">
        <x:v>541</x:v>
      </x:c>
      <x:c r="Y67" s="53" t="n">
        <x:f>IF(X67="","",X67/'Readme-Protocol'!$B$25)</x:f>
        <x:v>0.541</x:v>
      </x:c>
      <x:c r="Z67" s="43" t="n">
        <x:v>1909040</x:v>
      </x:c>
      <x:c r="AA67" s="43" t="n">
        <x:v>1909040</x:v>
      </x:c>
    </x:row>
    <x:row r="68">
      <x:c r="A68" s="24" t="str">
        <x:v>article1-unified-v4-2-fb3f101b-20260903-000401-default-f03-p3-ehcache</x:v>
      </x:c>
      <x:c r="B68" s="24" t="str">
        <x:v>default</x:v>
      </x:c>
      <x:c r="C68" s="24" t="str">
        <x:v>ehcache</x:v>
      </x:c>
      <x:c r="D68" s="36" t="n">
        <x:v>3</x:v>
      </x:c>
      <x:c r="E68" s="36" t="n">
        <x:v>3</x:v>
      </x:c>
      <x:c r="F68" s="36" t="n">
        <x:v>3</x:v>
      </x:c>
      <x:c r="G68" s="24" t="str">
        <x:v>redeploy</x:v>
      </x:c>
      <x:c r="H68" s="24" t="str">
        <x:v>primary-all-cycles</x:v>
      </x:c>
      <x:c r="I68" s="36" t="n">
        <x:v>5</x:v>
      </x:c>
      <x:c r="J68" s="45" t="b">
        <x:v>1</x:v>
      </x:c>
      <x:c r="K68" s="45" t="b">
        <x:v>1</x:v>
      </x:c>
      <x:c r="L68" s="45" t="b">
        <x:v>1</x:v>
      </x:c>
      <x:c r="M68" s="45" t="b">
        <x:v>1</x:v>
      </x:c>
      <x:c r="N68" s="45" t="b">
        <x:v>1</x:v>
      </x:c>
      <x:c r="O68" s="43" t="n">
        <x:v>23323853.70604944</x:v>
      </x:c>
      <x:c r="P68" s="43" t="n">
        <x:v>23323853.70604944</x:v>
      </x:c>
      <x:c r="Q68" s="43" t="n">
        <x:v>1479531.3495678364</x:v>
      </x:c>
      <x:c r="R68" s="43" t="n">
        <x:v>1479531.3495678364</x:v>
      </x:c>
      <x:c r="S68" s="43" t="n">
        <x:v>171</x:v>
      </x:c>
      <x:c r="T68" s="43" t="n">
        <x:v>171</x:v>
      </x:c>
      <x:c r="U68" s="43" t="n">
        <x:v>331</x:v>
      </x:c>
      <x:c r="V68" s="43" t="n">
        <x:v>331</x:v>
      </x:c>
      <x:c r="W68" s="43" t="n">
        <x:v>561</x:v>
      </x:c>
      <x:c r="X68" s="43" t="n">
        <x:v>561</x:v>
      </x:c>
      <x:c r="Y68" s="53" t="n">
        <x:f>IF(X68="","",X68/'Readme-Protocol'!$B$25)</x:f>
        <x:v>0.561</x:v>
      </x:c>
      <x:c r="Z68" s="43" t="n">
        <x:v>1822916</x:v>
      </x:c>
      <x:c r="AA68" s="43" t="n">
        <x:v>1822916</x:v>
      </x:c>
    </x:row>
    <x:row r="69">
      <x:c r="A69" s="24" t="str">
        <x:v>article1-unified-v4-2-fb3f101b-20260903-000401-default-f03-p3-ehcache</x:v>
      </x:c>
      <x:c r="B69" s="24" t="str">
        <x:v>default</x:v>
      </x:c>
      <x:c r="C69" s="24" t="str">
        <x:v>ehcache</x:v>
      </x:c>
      <x:c r="D69" s="36" t="n">
        <x:v>3</x:v>
      </x:c>
      <x:c r="E69" s="36" t="n">
        <x:v>3</x:v>
      </x:c>
      <x:c r="F69" s="36" t="n">
        <x:v>3</x:v>
      </x:c>
      <x:c r="G69" s="24" t="str">
        <x:v>redeploy</x:v>
      </x:c>
      <x:c r="H69" s="24" t="str">
        <x:v>sensitivity-without-cycle-1</x:v>
      </x:c>
      <x:c r="I69" s="36" t="n">
        <x:v>4</x:v>
      </x:c>
      <x:c r="J69" s="45" t="b">
        <x:v>1</x:v>
      </x:c>
      <x:c r="K69" s="45" t="b">
        <x:v>1</x:v>
      </x:c>
      <x:c r="L69" s="45" t="b">
        <x:v>1</x:v>
      </x:c>
      <x:c r="M69" s="45" t="b">
        <x:v>1</x:v>
      </x:c>
      <x:c r="N69" s="45" t="b">
        <x:v>1</x:v>
      </x:c>
      <x:c r="O69" s="43" t="n">
        <x:v>23911409.345407933</x:v>
      </x:c>
      <x:c r="P69" s="43" t="n">
        <x:v>23911409.345407933</x:v>
      </x:c>
      <x:c r="Q69" s="43" t="n">
        <x:v>1586942.8968880796</x:v>
      </x:c>
      <x:c r="R69" s="43" t="n">
        <x:v>1586942.8968880796</x:v>
      </x:c>
      <x:c r="S69" s="43" t="n">
        <x:v>170.5</x:v>
      </x:c>
      <x:c r="T69" s="43" t="n">
        <x:v>170.5</x:v>
      </x:c>
      <x:c r="U69" s="43" t="n">
        <x:v>326</x:v>
      </x:c>
      <x:c r="V69" s="43" t="n">
        <x:v>326</x:v>
      </x:c>
      <x:c r="W69" s="43" t="n">
        <x:v>556</x:v>
      </x:c>
      <x:c r="X69" s="43" t="n">
        <x:v>556</x:v>
      </x:c>
      <x:c r="Y69" s="53" t="n">
        <x:f>IF(X69="","",X69/'Readme-Protocol'!$B$25)</x:f>
        <x:v>0.556</x:v>
      </x:c>
      <x:c r="Z69" s="43" t="n">
        <x:v>1868770</x:v>
      </x:c>
      <x:c r="AA69" s="43" t="n">
        <x:v>1868770</x:v>
      </x:c>
    </x:row>
    <x:row r="70">
      <x:c r="A70" s="24" t="str">
        <x:v>article1-unified-v4-2-fb3f101b-20260903-000401-default-f04-p5-ehcache</x:v>
      </x:c>
      <x:c r="B70" s="24" t="str">
        <x:v>default</x:v>
      </x:c>
      <x:c r="C70" s="24" t="str">
        <x:v>ehcache</x:v>
      </x:c>
      <x:c r="D70" s="36" t="n">
        <x:v>4</x:v>
      </x:c>
      <x:c r="E70" s="36" t="n">
        <x:v>4</x:v>
      </x:c>
      <x:c r="F70" s="36" t="n">
        <x:v>5</x:v>
      </x:c>
      <x:c r="G70" s="24" t="str">
        <x:v>initial</x:v>
      </x:c>
      <x:c r="H70" s="24" t="str">
        <x:v>primary-all-cycles</x:v>
      </x:c>
      <x:c r="I70" s="36" t="n">
        <x:v>5</x:v>
      </x:c>
      <x:c r="J70" s="45" t="b">
        <x:v>1</x:v>
      </x:c>
      <x:c r="K70" s="45" t="b">
        <x:v>1</x:v>
      </x:c>
      <x:c r="L70" s="45" t="b">
        <x:v>1</x:v>
      </x:c>
      <x:c r="M70" s="45" t="b">
        <x:v>1</x:v>
      </x:c>
      <x:c r="N70" s="45" t="b">
        <x:v>1</x:v>
      </x:c>
      <x:c r="O70" s="43" t="n">
        <x:v>26281226.94114405</x:v>
      </x:c>
      <x:c r="P70" s="43" t="n">
        <x:v>26281226.94114405</x:v>
      </x:c>
      <x:c r="Q70" s="43" t="n">
        <x:v>1685852.7953799542</x:v>
      </x:c>
      <x:c r="R70" s="43" t="n">
        <x:v>1685852.7953799542</x:v>
      </x:c>
      <x:c r="S70" s="43" t="n">
        <x:v>161</x:v>
      </x:c>
      <x:c r="T70" s="43" t="n">
        <x:v>161</x:v>
      </x:c>
      <x:c r="U70" s="43" t="n">
        <x:v>271</x:v>
      </x:c>
      <x:c r="V70" s="43" t="n">
        <x:v>271</x:v>
      </x:c>
      <x:c r="W70" s="43" t="n">
        <x:v>461</x:v>
      </x:c>
      <x:c r="X70" s="43" t="n">
        <x:v>461</x:v>
      </x:c>
      <x:c r="Y70" s="53" t="n">
        <x:f>IF(X70="","",X70/'Readme-Protocol'!$B$25)</x:f>
        <x:v>0.461</x:v>
      </x:c>
      <x:c r="Z70" s="43" t="n">
        <x:v>2054448</x:v>
      </x:c>
      <x:c r="AA70" s="43" t="n">
        <x:v>2054448</x:v>
      </x:c>
    </x:row>
    <x:row r="71">
      <x:c r="A71" s="24" t="str">
        <x:v>article1-unified-v4-2-fb3f101b-20260903-000401-default-f04-p5-ehcache</x:v>
      </x:c>
      <x:c r="B71" s="24" t="str">
        <x:v>default</x:v>
      </x:c>
      <x:c r="C71" s="24" t="str">
        <x:v>ehcache</x:v>
      </x:c>
      <x:c r="D71" s="36" t="n">
        <x:v>4</x:v>
      </x:c>
      <x:c r="E71" s="36" t="n">
        <x:v>4</x:v>
      </x:c>
      <x:c r="F71" s="36" t="n">
        <x:v>5</x:v>
      </x:c>
      <x:c r="G71" s="24" t="str">
        <x:v>initial</x:v>
      </x:c>
      <x:c r="H71" s="24" t="str">
        <x:v>sensitivity-without-cycle-1</x:v>
      </x:c>
      <x:c r="I71" s="36" t="n">
        <x:v>4</x:v>
      </x:c>
      <x:c r="J71" s="45" t="b">
        <x:v>1</x:v>
      </x:c>
      <x:c r="K71" s="45" t="b">
        <x:v>1</x:v>
      </x:c>
      <x:c r="L71" s="45" t="b">
        <x:v>1</x:v>
      </x:c>
      <x:c r="M71" s="45" t="b">
        <x:v>1</x:v>
      </x:c>
      <x:c r="N71" s="45" t="b">
        <x:v>1</x:v>
      </x:c>
      <x:c r="O71" s="43" t="n">
        <x:v>25627580.924600072</x:v>
      </x:c>
      <x:c r="P71" s="43" t="n">
        <x:v>25627580.924600072</x:v>
      </x:c>
      <x:c r="Q71" s="43" t="n">
        <x:v>1541646.7193696336</x:v>
      </x:c>
      <x:c r="R71" s="43" t="n">
        <x:v>1541646.7193696336</x:v>
      </x:c>
      <x:c r="S71" s="43" t="n">
        <x:v>165</x:v>
      </x:c>
      <x:c r="T71" s="43" t="n">
        <x:v>165</x:v>
      </x:c>
      <x:c r="U71" s="43" t="n">
        <x:v>280.5</x:v>
      </x:c>
      <x:c r="V71" s="43" t="n">
        <x:v>280.5</x:v>
      </x:c>
      <x:c r="W71" s="43" t="n">
        <x:v>496</x:v>
      </x:c>
      <x:c r="X71" s="43" t="n">
        <x:v>496</x:v>
      </x:c>
      <x:c r="Y71" s="53" t="n">
        <x:f>IF(X71="","",X71/'Readme-Protocol'!$B$25)</x:f>
        <x:v>0.496</x:v>
      </x:c>
      <x:c r="Z71" s="43" t="n">
        <x:v>2002988</x:v>
      </x:c>
      <x:c r="AA71" s="43" t="n">
        <x:v>2002988</x:v>
      </x:c>
    </x:row>
    <x:row r="72">
      <x:c r="A72" s="24" t="str">
        <x:v>article1-unified-v4-2-fb3f101b-20260903-000401-default-f04-p5-ehcache</x:v>
      </x:c>
      <x:c r="B72" s="24" t="str">
        <x:v>default</x:v>
      </x:c>
      <x:c r="C72" s="24" t="str">
        <x:v>ehcache</x:v>
      </x:c>
      <x:c r="D72" s="36" t="n">
        <x:v>4</x:v>
      </x:c>
      <x:c r="E72" s="36" t="n">
        <x:v>4</x:v>
      </x:c>
      <x:c r="F72" s="36" t="n">
        <x:v>5</x:v>
      </x:c>
      <x:c r="G72" s="24" t="str">
        <x:v>redeploy</x:v>
      </x:c>
      <x:c r="H72" s="24" t="str">
        <x:v>primary-all-cycles</x:v>
      </x:c>
      <x:c r="I72" s="36" t="n">
        <x:v>5</x:v>
      </x:c>
      <x:c r="J72" s="45" t="b">
        <x:v>1</x:v>
      </x:c>
      <x:c r="K72" s="45" t="b">
        <x:v>1</x:v>
      </x:c>
      <x:c r="L72" s="45" t="b">
        <x:v>1</x:v>
      </x:c>
      <x:c r="M72" s="45" t="b">
        <x:v>1</x:v>
      </x:c>
      <x:c r="N72" s="45" t="b">
        <x:v>1</x:v>
      </x:c>
      <x:c r="O72" s="43" t="n">
        <x:v>25744678.53784705</x:v>
      </x:c>
      <x:c r="P72" s="43" t="n">
        <x:v>25744678.53784705</x:v>
      </x:c>
      <x:c r="Q72" s="43" t="n">
        <x:v>1832105.1511102007</x:v>
      </x:c>
      <x:c r="R72" s="43" t="n">
        <x:v>1832105.1511102007</x:v>
      </x:c>
      <x:c r="S72" s="43" t="n">
        <x:v>170</x:v>
      </x:c>
      <x:c r="T72" s="43" t="n">
        <x:v>170</x:v>
      </x:c>
      <x:c r="U72" s="43" t="n">
        <x:v>301</x:v>
      </x:c>
      <x:c r="V72" s="43" t="n">
        <x:v>301</x:v>
      </x:c>
      <x:c r="W72" s="43" t="n">
        <x:v>531</x:v>
      </x:c>
      <x:c r="X72" s="43" t="n">
        <x:v>531</x:v>
      </x:c>
      <x:c r="Y72" s="53" t="n">
        <x:f>IF(X72="","",X72/'Readme-Protocol'!$B$25)</x:f>
        <x:v>0.531</x:v>
      </x:c>
      <x:c r="Z72" s="43" t="n">
        <x:v>2012280</x:v>
      </x:c>
      <x:c r="AA72" s="43" t="n">
        <x:v>2012280</x:v>
      </x:c>
    </x:row>
    <x:row r="73">
      <x:c r="A73" s="24" t="str">
        <x:v>article1-unified-v4-2-fb3f101b-20260903-000401-default-f04-p5-ehcache</x:v>
      </x:c>
      <x:c r="B73" s="24" t="str">
        <x:v>default</x:v>
      </x:c>
      <x:c r="C73" s="24" t="str">
        <x:v>ehcache</x:v>
      </x:c>
      <x:c r="D73" s="36" t="n">
        <x:v>4</x:v>
      </x:c>
      <x:c r="E73" s="36" t="n">
        <x:v>4</x:v>
      </x:c>
      <x:c r="F73" s="36" t="n">
        <x:v>5</x:v>
      </x:c>
      <x:c r="G73" s="24" t="str">
        <x:v>redeploy</x:v>
      </x:c>
      <x:c r="H73" s="24" t="str">
        <x:v>sensitivity-without-cycle-1</x:v>
      </x:c>
      <x:c r="I73" s="36" t="n">
        <x:v>4</x:v>
      </x:c>
      <x:c r="J73" s="45" t="b">
        <x:v>1</x:v>
      </x:c>
      <x:c r="K73" s="45" t="b">
        <x:v>1</x:v>
      </x:c>
      <x:c r="L73" s="45" t="b">
        <x:v>1</x:v>
      </x:c>
      <x:c r="M73" s="45" t="b">
        <x:v>1</x:v>
      </x:c>
      <x:c r="N73" s="45" t="b">
        <x:v>1</x:v>
      </x:c>
      <x:c r="O73" s="43" t="n">
        <x:v>25806157.737890773</x:v>
      </x:c>
      <x:c r="P73" s="43" t="n">
        <x:v>25806157.737890773</x:v>
      </x:c>
      <x:c r="Q73" s="43" t="n">
        <x:v>1955842.854015096</x:v>
      </x:c>
      <x:c r="R73" s="43" t="n">
        <x:v>1955842.854015096</x:v>
      </x:c>
      <x:c r="S73" s="43" t="n">
        <x:v>165.5</x:v>
      </x:c>
      <x:c r="T73" s="43" t="n">
        <x:v>165.5</x:v>
      </x:c>
      <x:c r="U73" s="43" t="n">
        <x:v>291</x:v>
      </x:c>
      <x:c r="V73" s="43" t="n">
        <x:v>291</x:v>
      </x:c>
      <x:c r="W73" s="43" t="n">
        <x:v>521</x:v>
      </x:c>
      <x:c r="X73" s="43" t="n">
        <x:v>521</x:v>
      </x:c>
      <x:c r="Y73" s="53" t="n">
        <x:f>IF(X73="","",X73/'Readme-Protocol'!$B$25)</x:f>
        <x:v>0.521</x:v>
      </x:c>
      <x:c r="Z73" s="43" t="n">
        <x:v>2017042</x:v>
      </x:c>
      <x:c r="AA73" s="43" t="n">
        <x:v>2017042</x:v>
      </x:c>
    </x:row>
    <x:row r="74">
      <x:c r="A74" s="24" t="str">
        <x:v>article1-unified-v4-2-fb3f101b-20260903-000401-default-f05-p6-ehcache</x:v>
      </x:c>
      <x:c r="B74" s="24" t="str">
        <x:v>default</x:v>
      </x:c>
      <x:c r="C74" s="24" t="str">
        <x:v>ehcache</x:v>
      </x:c>
      <x:c r="D74" s="36" t="n">
        <x:v>5</x:v>
      </x:c>
      <x:c r="E74" s="36" t="n">
        <x:v>5</x:v>
      </x:c>
      <x:c r="F74" s="36" t="n">
        <x:v>6</x:v>
      </x:c>
      <x:c r="G74" s="24" t="str">
        <x:v>initial</x:v>
      </x:c>
      <x:c r="H74" s="24" t="str">
        <x:v>primary-all-cycles</x:v>
      </x:c>
      <x:c r="I74" s="36" t="n">
        <x:v>5</x:v>
      </x:c>
      <x:c r="J74" s="45" t="b">
        <x:v>1</x:v>
      </x:c>
      <x:c r="K74" s="45" t="b">
        <x:v>1</x:v>
      </x:c>
      <x:c r="L74" s="45" t="b">
        <x:v>1</x:v>
      </x:c>
      <x:c r="M74" s="45" t="b">
        <x:v>1</x:v>
      </x:c>
      <x:c r="N74" s="45" t="b">
        <x:v>1</x:v>
      </x:c>
      <x:c r="O74" s="43" t="n">
        <x:v>25568981.431689773</x:v>
      </x:c>
      <x:c r="P74" s="43" t="n">
        <x:v>25568981.431689773</x:v>
      </x:c>
      <x:c r="Q74" s="43" t="n">
        <x:v>1650255.1542006668</x:v>
      </x:c>
      <x:c r="R74" s="43" t="n">
        <x:v>1650255.1542006668</x:v>
      </x:c>
      <x:c r="S74" s="43" t="n">
        <x:v>170</x:v>
      </x:c>
      <x:c r="T74" s="43" t="n">
        <x:v>170</x:v>
      </x:c>
      <x:c r="U74" s="43" t="n">
        <x:v>281</x:v>
      </x:c>
      <x:c r="V74" s="43" t="n">
        <x:v>281</x:v>
      </x:c>
      <x:c r="W74" s="43" t="n">
        <x:v>521</x:v>
      </x:c>
      <x:c r="X74" s="43" t="n">
        <x:v>521</x:v>
      </x:c>
      <x:c r="Y74" s="53" t="n">
        <x:f>IF(X74="","",X74/'Readme-Protocol'!$B$25)</x:f>
        <x:v>0.521</x:v>
      </x:c>
      <x:c r="Z74" s="43" t="n">
        <x:v>1998396</x:v>
      </x:c>
      <x:c r="AA74" s="43" t="n">
        <x:v>1998396</x:v>
      </x:c>
    </x:row>
    <x:row r="75">
      <x:c r="A75" s="24" t="str">
        <x:v>article1-unified-v4-2-fb3f101b-20260903-000401-default-f05-p6-ehcache</x:v>
      </x:c>
      <x:c r="B75" s="24" t="str">
        <x:v>default</x:v>
      </x:c>
      <x:c r="C75" s="24" t="str">
        <x:v>ehcache</x:v>
      </x:c>
      <x:c r="D75" s="36" t="n">
        <x:v>5</x:v>
      </x:c>
      <x:c r="E75" s="36" t="n">
        <x:v>5</x:v>
      </x:c>
      <x:c r="F75" s="36" t="n">
        <x:v>6</x:v>
      </x:c>
      <x:c r="G75" s="24" t="str">
        <x:v>initial</x:v>
      </x:c>
      <x:c r="H75" s="24" t="str">
        <x:v>sensitivity-without-cycle-1</x:v>
      </x:c>
      <x:c r="I75" s="36" t="n">
        <x:v>4</x:v>
      </x:c>
      <x:c r="J75" s="45" t="b">
        <x:v>1</x:v>
      </x:c>
      <x:c r="K75" s="45" t="b">
        <x:v>1</x:v>
      </x:c>
      <x:c r="L75" s="45" t="b">
        <x:v>1</x:v>
      </x:c>
      <x:c r="M75" s="45" t="b">
        <x:v>1</x:v>
      </x:c>
      <x:c r="N75" s="45" t="b">
        <x:v>1</x:v>
      </x:c>
      <x:c r="O75" s="43" t="n">
        <x:v>25870075.828126527</x:v>
      </x:c>
      <x:c r="P75" s="43" t="n">
        <x:v>25870075.828126527</x:v>
      </x:c>
      <x:c r="Q75" s="43" t="n">
        <x:v>1541738.1809307605</x:v>
      </x:c>
      <x:c r="R75" s="43" t="n">
        <x:v>1541738.1809307605</x:v>
      </x:c>
      <x:c r="S75" s="43" t="n">
        <x:v>165.5</x:v>
      </x:c>
      <x:c r="T75" s="43" t="n">
        <x:v>165.5</x:v>
      </x:c>
      <x:c r="U75" s="43" t="n">
        <x:v>275.5</x:v>
      </x:c>
      <x:c r="V75" s="43" t="n">
        <x:v>275.5</x:v>
      </x:c>
      <x:c r="W75" s="43" t="n">
        <x:v>501</x:v>
      </x:c>
      <x:c r="X75" s="43" t="n">
        <x:v>501</x:v>
      </x:c>
      <x:c r="Y75" s="53" t="n">
        <x:f>IF(X75="","",X75/'Readme-Protocol'!$B$25)</x:f>
        <x:v>0.501</x:v>
      </x:c>
      <x:c r="Z75" s="43" t="n">
        <x:v>2021962</x:v>
      </x:c>
      <x:c r="AA75" s="43" t="n">
        <x:v>2021962</x:v>
      </x:c>
    </x:row>
    <x:row r="76">
      <x:c r="A76" s="24" t="str">
        <x:v>article1-unified-v4-2-fb3f101b-20260903-000401-default-f05-p6-ehcache</x:v>
      </x:c>
      <x:c r="B76" s="24" t="str">
        <x:v>default</x:v>
      </x:c>
      <x:c r="C76" s="24" t="str">
        <x:v>ehcache</x:v>
      </x:c>
      <x:c r="D76" s="36" t="n">
        <x:v>5</x:v>
      </x:c>
      <x:c r="E76" s="36" t="n">
        <x:v>5</x:v>
      </x:c>
      <x:c r="F76" s="36" t="n">
        <x:v>6</x:v>
      </x:c>
      <x:c r="G76" s="24" t="str">
        <x:v>redeploy</x:v>
      </x:c>
      <x:c r="H76" s="24" t="str">
        <x:v>primary-all-cycles</x:v>
      </x:c>
      <x:c r="I76" s="36" t="n">
        <x:v>5</x:v>
      </x:c>
      <x:c r="J76" s="45" t="b">
        <x:v>1</x:v>
      </x:c>
      <x:c r="K76" s="45" t="b">
        <x:v>1</x:v>
      </x:c>
      <x:c r="L76" s="45" t="b">
        <x:v>1</x:v>
      </x:c>
      <x:c r="M76" s="45" t="b">
        <x:v>1</x:v>
      </x:c>
      <x:c r="N76" s="45" t="b">
        <x:v>1</x:v>
      </x:c>
      <x:c r="O76" s="43" t="n">
        <x:v>25838327.287535187</x:v>
      </x:c>
      <x:c r="P76" s="43" t="n">
        <x:v>25838327.287535187</x:v>
      </x:c>
      <x:c r="Q76" s="43" t="n">
        <x:v>1753594.6937627443</x:v>
      </x:c>
      <x:c r="R76" s="43" t="n">
        <x:v>1753594.6937627443</x:v>
      </x:c>
      <x:c r="S76" s="43" t="n">
        <x:v>161</x:v>
      </x:c>
      <x:c r="T76" s="43" t="n">
        <x:v>161</x:v>
      </x:c>
      <x:c r="U76" s="43" t="n">
        <x:v>280</x:v>
      </x:c>
      <x:c r="V76" s="43" t="n">
        <x:v>280</x:v>
      </x:c>
      <x:c r="W76" s="43" t="n">
        <x:v>491</x:v>
      </x:c>
      <x:c r="X76" s="43" t="n">
        <x:v>491</x:v>
      </x:c>
      <x:c r="Y76" s="53" t="n">
        <x:f>IF(X76="","",X76/'Readme-Protocol'!$B$25)</x:f>
        <x:v>0.491</x:v>
      </x:c>
      <x:c r="Z76" s="43" t="n">
        <x:v>2019460</x:v>
      </x:c>
      <x:c r="AA76" s="43" t="n">
        <x:v>2019460</x:v>
      </x:c>
    </x:row>
    <x:row r="77">
      <x:c r="A77" s="24" t="str">
        <x:v>article1-unified-v4-2-fb3f101b-20260903-000401-default-f05-p6-ehcache</x:v>
      </x:c>
      <x:c r="B77" s="24" t="str">
        <x:v>default</x:v>
      </x:c>
      <x:c r="C77" s="24" t="str">
        <x:v>ehcache</x:v>
      </x:c>
      <x:c r="D77" s="36" t="n">
        <x:v>5</x:v>
      </x:c>
      <x:c r="E77" s="36" t="n">
        <x:v>5</x:v>
      </x:c>
      <x:c r="F77" s="36" t="n">
        <x:v>6</x:v>
      </x:c>
      <x:c r="G77" s="24" t="str">
        <x:v>redeploy</x:v>
      </x:c>
      <x:c r="H77" s="24" t="str">
        <x:v>sensitivity-without-cycle-1</x:v>
      </x:c>
      <x:c r="I77" s="36" t="n">
        <x:v>4</x:v>
      </x:c>
      <x:c r="J77" s="45" t="b">
        <x:v>1</x:v>
      </x:c>
      <x:c r="K77" s="45" t="b">
        <x:v>1</x:v>
      </x:c>
      <x:c r="L77" s="45" t="b">
        <x:v>1</x:v>
      </x:c>
      <x:c r="M77" s="45" t="b">
        <x:v>1</x:v>
      </x:c>
      <x:c r="N77" s="45" t="b">
        <x:v>1</x:v>
      </x:c>
      <x:c r="O77" s="43" t="n">
        <x:v>25741521.215596132</x:v>
      </x:c>
      <x:c r="P77" s="43" t="n">
        <x:v>25741521.215596132</x:v>
      </x:c>
      <x:c r="Q77" s="43" t="n">
        <x:v>1730335.9300687788</x:v>
      </x:c>
      <x:c r="R77" s="43" t="n">
        <x:v>1730335.9300687788</x:v>
      </x:c>
      <x:c r="S77" s="43" t="n">
        <x:v>165.5</x:v>
      </x:c>
      <x:c r="T77" s="43" t="n">
        <x:v>165.5</x:v>
      </x:c>
      <x:c r="U77" s="43" t="n">
        <x:v>280.5</x:v>
      </x:c>
      <x:c r="V77" s="43" t="n">
        <x:v>280.5</x:v>
      </x:c>
      <x:c r="W77" s="43" t="n">
        <x:v>496</x:v>
      </x:c>
      <x:c r="X77" s="43" t="n">
        <x:v>496</x:v>
      </x:c>
      <x:c r="Y77" s="53" t="n">
        <x:f>IF(X77="","",X77/'Readme-Protocol'!$B$25)</x:f>
        <x:v>0.496</x:v>
      </x:c>
      <x:c r="Z77" s="43" t="n">
        <x:v>2011854</x:v>
      </x:c>
      <x:c r="AA77" s="43" t="n">
        <x:v>2011854</x:v>
      </x:c>
    </x:row>
    <x:row r="78">
      <x:c r="A78" s="24" t="str">
        <x:v>article1-unified-v4-2-fb3f101b-20260903-000401-default-f06-p4-ehcache</x:v>
      </x:c>
      <x:c r="B78" s="24" t="str">
        <x:v>default</x:v>
      </x:c>
      <x:c r="C78" s="24" t="str">
        <x:v>ehcache</x:v>
      </x:c>
      <x:c r="D78" s="36" t="n">
        <x:v>6</x:v>
      </x:c>
      <x:c r="E78" s="36" t="n">
        <x:v>6</x:v>
      </x:c>
      <x:c r="F78" s="36" t="n">
        <x:v>4</x:v>
      </x:c>
      <x:c r="G78" s="24" t="str">
        <x:v>initial</x:v>
      </x:c>
      <x:c r="H78" s="24" t="str">
        <x:v>primary-all-cycles</x:v>
      </x:c>
      <x:c r="I78" s="36" t="n">
        <x:v>5</x:v>
      </x:c>
      <x:c r="J78" s="45" t="b">
        <x:v>1</x:v>
      </x:c>
      <x:c r="K78" s="45" t="b">
        <x:v>1</x:v>
      </x:c>
      <x:c r="L78" s="45" t="b">
        <x:v>1</x:v>
      </x:c>
      <x:c r="M78" s="45" t="b">
        <x:v>1</x:v>
      </x:c>
      <x:c r="N78" s="45" t="b">
        <x:v>1</x:v>
      </x:c>
      <x:c r="O78" s="43" t="n">
        <x:v>26056675.205439124</x:v>
      </x:c>
      <x:c r="P78" s="43" t="n">
        <x:v>26056675.205439124</x:v>
      </x:c>
      <x:c r="Q78" s="43" t="n">
        <x:v>1504808.9178588013</x:v>
      </x:c>
      <x:c r="R78" s="43" t="n">
        <x:v>1504808.9178588013</x:v>
      </x:c>
      <x:c r="S78" s="43" t="n">
        <x:v>170</x:v>
      </x:c>
      <x:c r="T78" s="43" t="n">
        <x:v>170</x:v>
      </x:c>
      <x:c r="U78" s="43" t="n">
        <x:v>280</x:v>
      </x:c>
      <x:c r="V78" s="43" t="n">
        <x:v>280</x:v>
      </x:c>
      <x:c r="W78" s="43" t="n">
        <x:v>491</x:v>
      </x:c>
      <x:c r="X78" s="43" t="n">
        <x:v>491</x:v>
      </x:c>
      <x:c r="Y78" s="53" t="n">
        <x:f>IF(X78="","",X78/'Readme-Protocol'!$B$25)</x:f>
        <x:v>0.491</x:v>
      </x:c>
      <x:c r="Z78" s="43" t="n">
        <x:v>2036616</x:v>
      </x:c>
      <x:c r="AA78" s="43" t="n">
        <x:v>2036616</x:v>
      </x:c>
    </x:row>
    <x:row r="79">
      <x:c r="A79" s="24" t="str">
        <x:v>article1-unified-v4-2-fb3f101b-20260903-000401-default-f06-p4-ehcache</x:v>
      </x:c>
      <x:c r="B79" s="24" t="str">
        <x:v>default</x:v>
      </x:c>
      <x:c r="C79" s="24" t="str">
        <x:v>ehcache</x:v>
      </x:c>
      <x:c r="D79" s="36" t="n">
        <x:v>6</x:v>
      </x:c>
      <x:c r="E79" s="36" t="n">
        <x:v>6</x:v>
      </x:c>
      <x:c r="F79" s="36" t="n">
        <x:v>4</x:v>
      </x:c>
      <x:c r="G79" s="24" t="str">
        <x:v>initial</x:v>
      </x:c>
      <x:c r="H79" s="24" t="str">
        <x:v>sensitivity-without-cycle-1</x:v>
      </x:c>
      <x:c r="I79" s="36" t="n">
        <x:v>4</x:v>
      </x:c>
      <x:c r="J79" s="45" t="b">
        <x:v>1</x:v>
      </x:c>
      <x:c r="K79" s="45" t="b">
        <x:v>1</x:v>
      </x:c>
      <x:c r="L79" s="45" t="b">
        <x:v>1</x:v>
      </x:c>
      <x:c r="M79" s="45" t="b">
        <x:v>1</x:v>
      </x:c>
      <x:c r="N79" s="45" t="b">
        <x:v>1</x:v>
      </x:c>
      <x:c r="O79" s="43" t="n">
        <x:v>26209475.751602784</x:v>
      </x:c>
      <x:c r="P79" s="43" t="n">
        <x:v>26209475.751602784</x:v>
      </x:c>
      <x:c r="Q79" s="43" t="n">
        <x:v>1432731.4567402443</x:v>
      </x:c>
      <x:c r="R79" s="43" t="n">
        <x:v>1432731.4567402443</x:v>
      </x:c>
      <x:c r="S79" s="43" t="n">
        <x:v>165.5</x:v>
      </x:c>
      <x:c r="T79" s="43" t="n">
        <x:v>165.5</x:v>
      </x:c>
      <x:c r="U79" s="43" t="n">
        <x:v>276</x:v>
      </x:c>
      <x:c r="V79" s="43" t="n">
        <x:v>276</x:v>
      </x:c>
      <x:c r="W79" s="43" t="n">
        <x:v>491</x:v>
      </x:c>
      <x:c r="X79" s="43" t="n">
        <x:v>491</x:v>
      </x:c>
      <x:c r="Y79" s="53" t="n">
        <x:f>IF(X79="","",X79/'Readme-Protocol'!$B$25)</x:f>
        <x:v>0.491</x:v>
      </x:c>
      <x:c r="Z79" s="43" t="n">
        <x:v>2048564</x:v>
      </x:c>
      <x:c r="AA79" s="43" t="n">
        <x:v>2048564</x:v>
      </x:c>
    </x:row>
    <x:row r="80">
      <x:c r="A80" s="24" t="str">
        <x:v>article1-unified-v4-2-fb3f101b-20260903-000401-default-f06-p4-ehcache</x:v>
      </x:c>
      <x:c r="B80" s="24" t="str">
        <x:v>default</x:v>
      </x:c>
      <x:c r="C80" s="24" t="str">
        <x:v>ehcache</x:v>
      </x:c>
      <x:c r="D80" s="36" t="n">
        <x:v>6</x:v>
      </x:c>
      <x:c r="E80" s="36" t="n">
        <x:v>6</x:v>
      </x:c>
      <x:c r="F80" s="36" t="n">
        <x:v>4</x:v>
      </x:c>
      <x:c r="G80" s="24" t="str">
        <x:v>redeploy</x:v>
      </x:c>
      <x:c r="H80" s="24" t="str">
        <x:v>primary-all-cycles</x:v>
      </x:c>
      <x:c r="I80" s="36" t="n">
        <x:v>5</x:v>
      </x:c>
      <x:c r="J80" s="45" t="b">
        <x:v>1</x:v>
      </x:c>
      <x:c r="K80" s="45" t="b">
        <x:v>1</x:v>
      </x:c>
      <x:c r="L80" s="45" t="b">
        <x:v>1</x:v>
      </x:c>
      <x:c r="M80" s="45" t="b">
        <x:v>1</x:v>
      </x:c>
      <x:c r="N80" s="45" t="b">
        <x:v>1</x:v>
      </x:c>
      <x:c r="O80" s="43" t="n">
        <x:v>26800058.89574678</x:v>
      </x:c>
      <x:c r="P80" s="43" t="n">
        <x:v>26800058.89574678</x:v>
      </x:c>
      <x:c r="Q80" s="43" t="n">
        <x:v>1752546.0989725874</x:v>
      </x:c>
      <x:c r="R80" s="43" t="n">
        <x:v>1752546.0989725874</x:v>
      </x:c>
      <x:c r="S80" s="43" t="n">
        <x:v>160</x:v>
      </x:c>
      <x:c r="T80" s="43" t="n">
        <x:v>160</x:v>
      </x:c>
      <x:c r="U80" s="43" t="n">
        <x:v>281</x:v>
      </x:c>
      <x:c r="V80" s="43" t="n">
        <x:v>281</x:v>
      </x:c>
      <x:c r="W80" s="43" t="n">
        <x:v>471</x:v>
      </x:c>
      <x:c r="X80" s="43" t="n">
        <x:v>471</x:v>
      </x:c>
      <x:c r="Y80" s="53" t="n">
        <x:f>IF(X80="","",X80/'Readme-Protocol'!$B$25)</x:f>
        <x:v>0.471</x:v>
      </x:c>
      <x:c r="Z80" s="43" t="n">
        <x:v>2094668</x:v>
      </x:c>
      <x:c r="AA80" s="43" t="n">
        <x:v>2094668</x:v>
      </x:c>
    </x:row>
    <x:row r="81">
      <x:c r="A81" s="24" t="str">
        <x:v>article1-unified-v4-2-fb3f101b-20260903-000401-default-f06-p4-ehcache</x:v>
      </x:c>
      <x:c r="B81" s="24" t="str">
        <x:v>default</x:v>
      </x:c>
      <x:c r="C81" s="24" t="str">
        <x:v>ehcache</x:v>
      </x:c>
      <x:c r="D81" s="36" t="n">
        <x:v>6</x:v>
      </x:c>
      <x:c r="E81" s="36" t="n">
        <x:v>6</x:v>
      </x:c>
      <x:c r="F81" s="36" t="n">
        <x:v>4</x:v>
      </x:c>
      <x:c r="G81" s="24" t="str">
        <x:v>redeploy</x:v>
      </x:c>
      <x:c r="H81" s="24" t="str">
        <x:v>sensitivity-without-cycle-1</x:v>
      </x:c>
      <x:c r="I81" s="36" t="n">
        <x:v>4</x:v>
      </x:c>
      <x:c r="J81" s="45" t="b">
        <x:v>1</x:v>
      </x:c>
      <x:c r="K81" s="45" t="b">
        <x:v>1</x:v>
      </x:c>
      <x:c r="L81" s="45" t="b">
        <x:v>1</x:v>
      </x:c>
      <x:c r="M81" s="45" t="b">
        <x:v>1</x:v>
      </x:c>
      <x:c r="N81" s="45" t="b">
        <x:v>1</x:v>
      </x:c>
      <x:c r="O81" s="43" t="n">
        <x:v>26215381.23837004</x:v>
      </x:c>
      <x:c r="P81" s="43" t="n">
        <x:v>26215381.23837004</x:v>
      </x:c>
      <x:c r="Q81" s="43" t="n">
        <x:v>1897625.2339849863</x:v>
      </x:c>
      <x:c r="R81" s="43" t="n">
        <x:v>1897625.2339849863</x:v>
      </x:c>
      <x:c r="S81" s="43" t="n">
        <x:v>165</x:v>
      </x:c>
      <x:c r="T81" s="43" t="n">
        <x:v>165</x:v>
      </x:c>
      <x:c r="U81" s="43" t="n">
        <x:v>285.5</x:v>
      </x:c>
      <x:c r="V81" s="43" t="n">
        <x:v>285.5</x:v>
      </x:c>
      <x:c r="W81" s="43" t="n">
        <x:v>486</x:v>
      </x:c>
      <x:c r="X81" s="43" t="n">
        <x:v>486</x:v>
      </x:c>
      <x:c r="Y81" s="53" t="n">
        <x:f>IF(X81="","",X81/'Readme-Protocol'!$B$25)</x:f>
        <x:v>0.486</x:v>
      </x:c>
      <x:c r="Z81" s="43" t="n">
        <x:v>2058054</x:v>
      </x:c>
      <x:c r="AA81" s="43" t="n">
        <x:v>2058054</x:v>
      </x:c>
    </x:row>
    <x:row r="82">
      <x:c r="A82" s="24" t="str">
        <x:v>article1-unified-v4-2-fb3f101b-20260903-000401-default-f01-p4-cache2k</x:v>
      </x:c>
      <x:c r="B82" s="24" t="str">
        <x:v>default</x:v>
      </x:c>
      <x:c r="C82" s="24" t="str">
        <x:v>cache2k</x:v>
      </x:c>
      <x:c r="D82" s="36" t="n">
        <x:v>1</x:v>
      </x:c>
      <x:c r="E82" s="36" t="n">
        <x:v>1</x:v>
      </x:c>
      <x:c r="F82" s="36" t="n">
        <x:v>4</x:v>
      </x:c>
      <x:c r="G82" s="24" t="str">
        <x:v>initial</x:v>
      </x:c>
      <x:c r="H82" s="24" t="str">
        <x:v>primary-all-cycles</x:v>
      </x:c>
      <x:c r="I82" s="36" t="n">
        <x:v>5</x:v>
      </x:c>
      <x:c r="J82" s="45" t="b">
        <x:v>1</x:v>
      </x:c>
      <x:c r="K82" s="45" t="b">
        <x:v>1</x:v>
      </x:c>
      <x:c r="L82" s="45" t="b">
        <x:v>1</x:v>
      </x:c>
      <x:c r="M82" s="45" t="b">
        <x:v>1</x:v>
      </x:c>
      <x:c r="N82" s="45" t="b">
        <x:v>1</x:v>
      </x:c>
      <x:c r="O82" s="43" t="n">
        <x:v>30183092.686770067</x:v>
      </x:c>
      <x:c r="P82" s="43" t="n">
        <x:v>30183092.686770067</x:v>
      </x:c>
      <x:c r="Q82" s="43" t="n">
        <x:v>1652070.895648759</x:v>
      </x:c>
      <x:c r="R82" s="43" t="n">
        <x:v>1652070.895648759</x:v>
      </x:c>
      <x:c r="S82" s="43" t="n">
        <x:v>150</x:v>
      </x:c>
      <x:c r="T82" s="43" t="n">
        <x:v>150</x:v>
      </x:c>
      <x:c r="U82" s="43" t="n">
        <x:v>330</x:v>
      </x:c>
      <x:c r="V82" s="43" t="n">
        <x:v>330</x:v>
      </x:c>
      <x:c r="W82" s="43" t="n">
        <x:v>511</x:v>
      </x:c>
      <x:c r="X82" s="43" t="n">
        <x:v>511</x:v>
      </x:c>
      <x:c r="Y82" s="53" t="n">
        <x:f>IF(X82="","",X82/'Readme-Protocol'!$B$25)</x:f>
        <x:v>0.511</x:v>
      </x:c>
      <x:c r="Z82" s="43" t="n">
        <x:v>2360328</x:v>
      </x:c>
      <x:c r="AA82" s="43" t="n">
        <x:v>2360328</x:v>
      </x:c>
    </x:row>
    <x:row r="83">
      <x:c r="A83" s="24" t="str">
        <x:v>article1-unified-v4-2-fb3f101b-20260903-000401-default-f01-p4-cache2k</x:v>
      </x:c>
      <x:c r="B83" s="24" t="str">
        <x:v>default</x:v>
      </x:c>
      <x:c r="C83" s="24" t="str">
        <x:v>cache2k</x:v>
      </x:c>
      <x:c r="D83" s="36" t="n">
        <x:v>1</x:v>
      </x:c>
      <x:c r="E83" s="36" t="n">
        <x:v>1</x:v>
      </x:c>
      <x:c r="F83" s="36" t="n">
        <x:v>4</x:v>
      </x:c>
      <x:c r="G83" s="24" t="str">
        <x:v>initial</x:v>
      </x:c>
      <x:c r="H83" s="24" t="str">
        <x:v>sensitivity-without-cycle-1</x:v>
      </x:c>
      <x:c r="I83" s="36" t="n">
        <x:v>4</x:v>
      </x:c>
      <x:c r="J83" s="45" t="b">
        <x:v>1</x:v>
      </x:c>
      <x:c r="K83" s="45" t="b">
        <x:v>1</x:v>
      </x:c>
      <x:c r="L83" s="45" t="b">
        <x:v>1</x:v>
      </x:c>
      <x:c r="M83" s="45" t="b">
        <x:v>1</x:v>
      </x:c>
      <x:c r="N83" s="45" t="b">
        <x:v>1</x:v>
      </x:c>
      <x:c r="O83" s="43" t="n">
        <x:v>29637678.91076956</x:v>
      </x:c>
      <x:c r="P83" s="43" t="n">
        <x:v>29637678.91076956</x:v>
      </x:c>
      <x:c r="Q83" s="43" t="n">
        <x:v>1580766.9084749399</x:v>
      </x:c>
      <x:c r="R83" s="43" t="n">
        <x:v>1580766.9084749399</x:v>
      </x:c>
      <x:c r="S83" s="43" t="n">
        <x:v>150</x:v>
      </x:c>
      <x:c r="T83" s="43" t="n">
        <x:v>150</x:v>
      </x:c>
      <x:c r="U83" s="43" t="n">
        <x:v>335.5</x:v>
      </x:c>
      <x:c r="V83" s="43" t="n">
        <x:v>335.5</x:v>
      </x:c>
      <x:c r="W83" s="43" t="n">
        <x:v>516</x:v>
      </x:c>
      <x:c r="X83" s="43" t="n">
        <x:v>516</x:v>
      </x:c>
      <x:c r="Y83" s="53" t="n">
        <x:f>IF(X83="","",X83/'Readme-Protocol'!$B$25)</x:f>
        <x:v>0.516</x:v>
      </x:c>
      <x:c r="Z83" s="43" t="n">
        <x:v>2329482</x:v>
      </x:c>
      <x:c r="AA83" s="43" t="n">
        <x:v>2329482</x:v>
      </x:c>
    </x:row>
    <x:row r="84">
      <x:c r="A84" s="24" t="str">
        <x:v>article1-unified-v4-2-fb3f101b-20260903-000401-default-f01-p4-cache2k</x:v>
      </x:c>
      <x:c r="B84" s="24" t="str">
        <x:v>default</x:v>
      </x:c>
      <x:c r="C84" s="24" t="str">
        <x:v>cache2k</x:v>
      </x:c>
      <x:c r="D84" s="36" t="n">
        <x:v>1</x:v>
      </x:c>
      <x:c r="E84" s="36" t="n">
        <x:v>1</x:v>
      </x:c>
      <x:c r="F84" s="36" t="n">
        <x:v>4</x:v>
      </x:c>
      <x:c r="G84" s="24" t="str">
        <x:v>redeploy</x:v>
      </x:c>
      <x:c r="H84" s="24" t="str">
        <x:v>primary-all-cycles</x:v>
      </x:c>
      <x:c r="I84" s="36" t="n">
        <x:v>5</x:v>
      </x:c>
      <x:c r="J84" s="45" t="b">
        <x:v>1</x:v>
      </x:c>
      <x:c r="K84" s="45" t="b">
        <x:v>1</x:v>
      </x:c>
      <x:c r="L84" s="45" t="b">
        <x:v>1</x:v>
      </x:c>
      <x:c r="M84" s="45" t="b">
        <x:v>1</x:v>
      </x:c>
      <x:c r="N84" s="45" t="b">
        <x:v>1</x:v>
      </x:c>
      <x:c r="O84" s="43" t="n">
        <x:v>29802588.72899847</x:v>
      </x:c>
      <x:c r="P84" s="43" t="n">
        <x:v>29802588.72899847</x:v>
      </x:c>
      <x:c r="Q84" s="43" t="n">
        <x:v>1488542.4653627332</x:v>
      </x:c>
      <x:c r="R84" s="43" t="n">
        <x:v>1488542.4653627332</x:v>
      </x:c>
      <x:c r="S84" s="43" t="n">
        <x:v>150</x:v>
      </x:c>
      <x:c r="T84" s="43" t="n">
        <x:v>150</x:v>
      </x:c>
      <x:c r="U84" s="43" t="n">
        <x:v>341</x:v>
      </x:c>
      <x:c r="V84" s="43" t="n">
        <x:v>341</x:v>
      </x:c>
      <x:c r="W84" s="43" t="n">
        <x:v>531</x:v>
      </x:c>
      <x:c r="X84" s="43" t="n">
        <x:v>531</x:v>
      </x:c>
      <x:c r="Y84" s="53" t="n">
        <x:f>IF(X84="","",X84/'Readme-Protocol'!$B$25)</x:f>
        <x:v>0.531</x:v>
      </x:c>
      <x:c r="Z84" s="43" t="n">
        <x:v>2329524</x:v>
      </x:c>
      <x:c r="AA84" s="43" t="n">
        <x:v>2329524</x:v>
      </x:c>
    </x:row>
    <x:row r="85">
      <x:c r="A85" s="24" t="str">
        <x:v>article1-unified-v4-2-fb3f101b-20260903-000401-default-f01-p4-cache2k</x:v>
      </x:c>
      <x:c r="B85" s="24" t="str">
        <x:v>default</x:v>
      </x:c>
      <x:c r="C85" s="24" t="str">
        <x:v>cache2k</x:v>
      </x:c>
      <x:c r="D85" s="36" t="n">
        <x:v>1</x:v>
      </x:c>
      <x:c r="E85" s="36" t="n">
        <x:v>1</x:v>
      </x:c>
      <x:c r="F85" s="36" t="n">
        <x:v>4</x:v>
      </x:c>
      <x:c r="G85" s="24" t="str">
        <x:v>redeploy</x:v>
      </x:c>
      <x:c r="H85" s="24" t="str">
        <x:v>sensitivity-without-cycle-1</x:v>
      </x:c>
      <x:c r="I85" s="36" t="n">
        <x:v>4</x:v>
      </x:c>
      <x:c r="J85" s="45" t="b">
        <x:v>1</x:v>
      </x:c>
      <x:c r="K85" s="45" t="b">
        <x:v>1</x:v>
      </x:c>
      <x:c r="L85" s="45" t="b">
        <x:v>1</x:v>
      </x:c>
      <x:c r="M85" s="45" t="b">
        <x:v>1</x:v>
      </x:c>
      <x:c r="N85" s="45" t="b">
        <x:v>1</x:v>
      </x:c>
      <x:c r="O85" s="43" t="n">
        <x:v>29568973.50057646</x:v>
      </x:c>
      <x:c r="P85" s="43" t="n">
        <x:v>29568973.50057646</x:v>
      </x:c>
      <x:c r="Q85" s="43" t="n">
        <x:v>1599940.090202576</x:v>
      </x:c>
      <x:c r="R85" s="43" t="n">
        <x:v>1599940.090202576</x:v>
      </x:c>
      <x:c r="S85" s="43" t="n">
        <x:v>150</x:v>
      </x:c>
      <x:c r="T85" s="43" t="n">
        <x:v>150</x:v>
      </x:c>
      <x:c r="U85" s="43" t="n">
        <x:v>341</x:v>
      </x:c>
      <x:c r="V85" s="43" t="n">
        <x:v>341</x:v>
      </x:c>
      <x:c r="W85" s="43" t="n">
        <x:v>541</x:v>
      </x:c>
      <x:c r="X85" s="43" t="n">
        <x:v>541</x:v>
      </x:c>
      <x:c r="Y85" s="53" t="n">
        <x:f>IF(X85="","",X85/'Readme-Protocol'!$B$25)</x:f>
        <x:v>0.541</x:v>
      </x:c>
      <x:c r="Z85" s="43" t="n">
        <x:v>2311316</x:v>
      </x:c>
      <x:c r="AA85" s="43" t="n">
        <x:v>2311316</x:v>
      </x:c>
    </x:row>
    <x:row r="86">
      <x:c r="A86" s="24" t="str">
        <x:v>article1-unified-v4-2-fb3f101b-20260903-000401-default-f02-p2-cache2k</x:v>
      </x:c>
      <x:c r="B86" s="24" t="str">
        <x:v>default</x:v>
      </x:c>
      <x:c r="C86" s="24" t="str">
        <x:v>cache2k</x:v>
      </x:c>
      <x:c r="D86" s="36" t="n">
        <x:v>2</x:v>
      </x:c>
      <x:c r="E86" s="36" t="n">
        <x:v>2</x:v>
      </x:c>
      <x:c r="F86" s="36" t="n">
        <x:v>2</x:v>
      </x:c>
      <x:c r="G86" s="24" t="str">
        <x:v>initial</x:v>
      </x:c>
      <x:c r="H86" s="24" t="str">
        <x:v>primary-all-cycles</x:v>
      </x:c>
      <x:c r="I86" s="36" t="n">
        <x:v>5</x:v>
      </x:c>
      <x:c r="J86" s="45" t="b">
        <x:v>1</x:v>
      </x:c>
      <x:c r="K86" s="45" t="b">
        <x:v>1</x:v>
      </x:c>
      <x:c r="L86" s="45" t="b">
        <x:v>1</x:v>
      </x:c>
      <x:c r="M86" s="45" t="b">
        <x:v>1</x:v>
      </x:c>
      <x:c r="N86" s="45" t="b">
        <x:v>1</x:v>
      </x:c>
      <x:c r="O86" s="43" t="n">
        <x:v>29102944.012429234</x:v>
      </x:c>
      <x:c r="P86" s="43" t="n">
        <x:v>29102944.012429234</x:v>
      </x:c>
      <x:c r="Q86" s="43" t="n">
        <x:v>1473344.4727997773</x:v>
      </x:c>
      <x:c r="R86" s="43" t="n">
        <x:v>1473344.4727997773</x:v>
      </x:c>
      <x:c r="S86" s="43" t="n">
        <x:v>150</x:v>
      </x:c>
      <x:c r="T86" s="43" t="n">
        <x:v>150</x:v>
      </x:c>
      <x:c r="U86" s="43" t="n">
        <x:v>340</x:v>
      </x:c>
      <x:c r="V86" s="43" t="n">
        <x:v>340</x:v>
      </x:c>
      <x:c r="W86" s="43" t="n">
        <x:v>531</x:v>
      </x:c>
      <x:c r="X86" s="43" t="n">
        <x:v>531</x:v>
      </x:c>
      <x:c r="Y86" s="53" t="n">
        <x:f>IF(X86="","",X86/'Readme-Protocol'!$B$25)</x:f>
        <x:v>0.531</x:v>
      </x:c>
      <x:c r="Z86" s="43" t="n">
        <x:v>2274816</x:v>
      </x:c>
      <x:c r="AA86" s="43" t="n">
        <x:v>2274816</x:v>
      </x:c>
    </x:row>
    <x:row r="87">
      <x:c r="A87" s="24" t="str">
        <x:v>article1-unified-v4-2-fb3f101b-20260903-000401-default-f02-p2-cache2k</x:v>
      </x:c>
      <x:c r="B87" s="24" t="str">
        <x:v>default</x:v>
      </x:c>
      <x:c r="C87" s="24" t="str">
        <x:v>cache2k</x:v>
      </x:c>
      <x:c r="D87" s="36" t="n">
        <x:v>2</x:v>
      </x:c>
      <x:c r="E87" s="36" t="n">
        <x:v>2</x:v>
      </x:c>
      <x:c r="F87" s="36" t="n">
        <x:v>2</x:v>
      </x:c>
      <x:c r="G87" s="24" t="str">
        <x:v>initial</x:v>
      </x:c>
      <x:c r="H87" s="24" t="str">
        <x:v>sensitivity-without-cycle-1</x:v>
      </x:c>
      <x:c r="I87" s="36" t="n">
        <x:v>4</x:v>
      </x:c>
      <x:c r="J87" s="45" t="b">
        <x:v>1</x:v>
      </x:c>
      <x:c r="K87" s="45" t="b">
        <x:v>1</x:v>
      </x:c>
      <x:c r="L87" s="45" t="b">
        <x:v>1</x:v>
      </x:c>
      <x:c r="M87" s="45" t="b">
        <x:v>1</x:v>
      </x:c>
      <x:c r="N87" s="45" t="b">
        <x:v>1</x:v>
      </x:c>
      <x:c r="O87" s="43" t="n">
        <x:v>28960541.98925658</x:v>
      </x:c>
      <x:c r="P87" s="43" t="n">
        <x:v>28960541.98925658</x:v>
      </x:c>
      <x:c r="Q87" s="43" t="n">
        <x:v>1627956.58070517</x:v>
      </x:c>
      <x:c r="R87" s="43" t="n">
        <x:v>1627956.58070517</x:v>
      </x:c>
      <x:c r="S87" s="43" t="n">
        <x:v>150.5</x:v>
      </x:c>
      <x:c r="T87" s="43" t="n">
        <x:v>150.5</x:v>
      </x:c>
      <x:c r="U87" s="43" t="n">
        <x:v>340.5</x:v>
      </x:c>
      <x:c r="V87" s="43" t="n">
        <x:v>340.5</x:v>
      </x:c>
      <x:c r="W87" s="43" t="n">
        <x:v>536</x:v>
      </x:c>
      <x:c r="X87" s="43" t="n">
        <x:v>536</x:v>
      </x:c>
      <x:c r="Y87" s="53" t="n">
        <x:f>IF(X87="","",X87/'Readme-Protocol'!$B$25)</x:f>
        <x:v>0.536</x:v>
      </x:c>
      <x:c r="Z87" s="43" t="n">
        <x:v>2263670</x:v>
      </x:c>
      <x:c r="AA87" s="43" t="n">
        <x:v>2263670</x:v>
      </x:c>
    </x:row>
    <x:row r="88">
      <x:c r="A88" s="24" t="str">
        <x:v>article1-unified-v4-2-fb3f101b-20260903-000401-default-f02-p2-cache2k</x:v>
      </x:c>
      <x:c r="B88" s="24" t="str">
        <x:v>default</x:v>
      </x:c>
      <x:c r="C88" s="24" t="str">
        <x:v>cache2k</x:v>
      </x:c>
      <x:c r="D88" s="36" t="n">
        <x:v>2</x:v>
      </x:c>
      <x:c r="E88" s="36" t="n">
        <x:v>2</x:v>
      </x:c>
      <x:c r="F88" s="36" t="n">
        <x:v>2</x:v>
      </x:c>
      <x:c r="G88" s="24" t="str">
        <x:v>redeploy</x:v>
      </x:c>
      <x:c r="H88" s="24" t="str">
        <x:v>primary-all-cycles</x:v>
      </x:c>
      <x:c r="I88" s="36" t="n">
        <x:v>5</x:v>
      </x:c>
      <x:c r="J88" s="45" t="b">
        <x:v>1</x:v>
      </x:c>
      <x:c r="K88" s="45" t="b">
        <x:v>1</x:v>
      </x:c>
      <x:c r="L88" s="45" t="b">
        <x:v>1</x:v>
      </x:c>
      <x:c r="M88" s="45" t="b">
        <x:v>1</x:v>
      </x:c>
      <x:c r="N88" s="45" t="b">
        <x:v>1</x:v>
      </x:c>
      <x:c r="O88" s="43" t="n">
        <x:v>29544166.822933957</x:v>
      </x:c>
      <x:c r="P88" s="43" t="n">
        <x:v>29544166.822933957</x:v>
      </x:c>
      <x:c r="Q88" s="43" t="n">
        <x:v>2326946.7178067504</x:v>
      </x:c>
      <x:c r="R88" s="43" t="n">
        <x:v>2326946.7178067504</x:v>
      </x:c>
      <x:c r="S88" s="43" t="n">
        <x:v>150</x:v>
      </x:c>
      <x:c r="T88" s="43" t="n">
        <x:v>150</x:v>
      </x:c>
      <x:c r="U88" s="43" t="n">
        <x:v>330</x:v>
      </x:c>
      <x:c r="V88" s="43" t="n">
        <x:v>330</x:v>
      </x:c>
      <x:c r="W88" s="43" t="n">
        <x:v>521</x:v>
      </x:c>
      <x:c r="X88" s="43" t="n">
        <x:v>521</x:v>
      </x:c>
      <x:c r="Y88" s="53" t="n">
        <x:f>IF(X88="","",X88/'Readme-Protocol'!$B$25)</x:f>
        <x:v>0.521</x:v>
      </x:c>
      <x:c r="Z88" s="43" t="n">
        <x:v>2309244</x:v>
      </x:c>
      <x:c r="AA88" s="43" t="n">
        <x:v>2309244</x:v>
      </x:c>
    </x:row>
    <x:row r="89">
      <x:c r="A89" s="24" t="str">
        <x:v>article1-unified-v4-2-fb3f101b-20260903-000401-default-f02-p2-cache2k</x:v>
      </x:c>
      <x:c r="B89" s="24" t="str">
        <x:v>default</x:v>
      </x:c>
      <x:c r="C89" s="24" t="str">
        <x:v>cache2k</x:v>
      </x:c>
      <x:c r="D89" s="36" t="n">
        <x:v>2</x:v>
      </x:c>
      <x:c r="E89" s="36" t="n">
        <x:v>2</x:v>
      </x:c>
      <x:c r="F89" s="36" t="n">
        <x:v>2</x:v>
      </x:c>
      <x:c r="G89" s="24" t="str">
        <x:v>redeploy</x:v>
      </x:c>
      <x:c r="H89" s="24" t="str">
        <x:v>sensitivity-without-cycle-1</x:v>
      </x:c>
      <x:c r="I89" s="36" t="n">
        <x:v>4</x:v>
      </x:c>
      <x:c r="J89" s="45" t="b">
        <x:v>1</x:v>
      </x:c>
      <x:c r="K89" s="45" t="b">
        <x:v>1</x:v>
      </x:c>
      <x:c r="L89" s="45" t="b">
        <x:v>1</x:v>
      </x:c>
      <x:c r="M89" s="45" t="b">
        <x:v>1</x:v>
      </x:c>
      <x:c r="N89" s="45" t="b">
        <x:v>1</x:v>
      </x:c>
      <x:c r="O89" s="43" t="n">
        <x:v>30029587.742185432</x:v>
      </x:c>
      <x:c r="P89" s="43" t="n">
        <x:v>30029587.742185432</x:v>
      </x:c>
      <x:c r="Q89" s="43" t="n">
        <x:v>2339733.604130111</x:v>
      </x:c>
      <x:c r="R89" s="43" t="n">
        <x:v>2339733.604130111</x:v>
      </x:c>
      <x:c r="S89" s="43" t="n">
        <x:v>145.5</x:v>
      </x:c>
      <x:c r="T89" s="43" t="n">
        <x:v>145.5</x:v>
      </x:c>
      <x:c r="U89" s="43" t="n">
        <x:v>325.5</x:v>
      </x:c>
      <x:c r="V89" s="43" t="n">
        <x:v>325.5</x:v>
      </x:c>
      <x:c r="W89" s="43" t="n">
        <x:v>511</x:v>
      </x:c>
      <x:c r="X89" s="43" t="n">
        <x:v>511</x:v>
      </x:c>
      <x:c r="Y89" s="53" t="n">
        <x:f>IF(X89="","",X89/'Readme-Protocol'!$B$25)</x:f>
        <x:v>0.511</x:v>
      </x:c>
      <x:c r="Z89" s="43" t="n">
        <x:v>2347312</x:v>
      </x:c>
      <x:c r="AA89" s="43" t="n">
        <x:v>2347312</x:v>
      </x:c>
    </x:row>
    <x:row r="90">
      <x:c r="A90" s="24" t="str">
        <x:v>article1-unified-v4-2-fb3f101b-20260903-000401-default-f03-p1-cache2k</x:v>
      </x:c>
      <x:c r="B90" s="24" t="str">
        <x:v>default</x:v>
      </x:c>
      <x:c r="C90" s="24" t="str">
        <x:v>cache2k</x:v>
      </x:c>
      <x:c r="D90" s="36" t="n">
        <x:v>3</x:v>
      </x:c>
      <x:c r="E90" s="36" t="n">
        <x:v>3</x:v>
      </x:c>
      <x:c r="F90" s="36" t="n">
        <x:v>1</x:v>
      </x:c>
      <x:c r="G90" s="24" t="str">
        <x:v>initial</x:v>
      </x:c>
      <x:c r="H90" s="24" t="str">
        <x:v>primary-all-cycles</x:v>
      </x:c>
      <x:c r="I90" s="36" t="n">
        <x:v>5</x:v>
      </x:c>
      <x:c r="J90" s="45" t="b">
        <x:v>1</x:v>
      </x:c>
      <x:c r="K90" s="45" t="b">
        <x:v>1</x:v>
      </x:c>
      <x:c r="L90" s="45" t="b">
        <x:v>1</x:v>
      </x:c>
      <x:c r="M90" s="45" t="b">
        <x:v>1</x:v>
      </x:c>
      <x:c r="N90" s="45" t="b">
        <x:v>1</x:v>
      </x:c>
      <x:c r="O90" s="43" t="n">
        <x:v>28694693.01226229</x:v>
      </x:c>
      <x:c r="P90" s="43" t="n">
        <x:v>28694693.01226229</x:v>
      </x:c>
      <x:c r="Q90" s="43" t="n">
        <x:v>1483292.1966964116</x:v>
      </x:c>
      <x:c r="R90" s="43" t="n">
        <x:v>1483292.1966964116</x:v>
      </x:c>
      <x:c r="S90" s="43" t="n">
        <x:v>151</x:v>
      </x:c>
      <x:c r="T90" s="43" t="n">
        <x:v>151</x:v>
      </x:c>
      <x:c r="U90" s="43" t="n">
        <x:v>351</x:v>
      </x:c>
      <x:c r="V90" s="43" t="n">
        <x:v>351</x:v>
      </x:c>
      <x:c r="W90" s="43" t="n">
        <x:v>532</x:v>
      </x:c>
      <x:c r="X90" s="43" t="n">
        <x:v>532</x:v>
      </x:c>
      <x:c r="Y90" s="53" t="n">
        <x:f>IF(X90="","",X90/'Readme-Protocol'!$B$25)</x:f>
        <x:v>0.532</x:v>
      </x:c>
      <x:c r="Z90" s="43" t="n">
        <x:v>2242960</x:v>
      </x:c>
      <x:c r="AA90" s="43" t="n">
        <x:v>2242960</x:v>
      </x:c>
    </x:row>
    <x:row r="91">
      <x:c r="A91" s="24" t="str">
        <x:v>article1-unified-v4-2-fb3f101b-20260903-000401-default-f03-p1-cache2k</x:v>
      </x:c>
      <x:c r="B91" s="24" t="str">
        <x:v>default</x:v>
      </x:c>
      <x:c r="C91" s="24" t="str">
        <x:v>cache2k</x:v>
      </x:c>
      <x:c r="D91" s="36" t="n">
        <x:v>3</x:v>
      </x:c>
      <x:c r="E91" s="36" t="n">
        <x:v>3</x:v>
      </x:c>
      <x:c r="F91" s="36" t="n">
        <x:v>1</x:v>
      </x:c>
      <x:c r="G91" s="24" t="str">
        <x:v>initial</x:v>
      </x:c>
      <x:c r="H91" s="24" t="str">
        <x:v>sensitivity-without-cycle-1</x:v>
      </x:c>
      <x:c r="I91" s="36" t="n">
        <x:v>4</x:v>
      </x:c>
      <x:c r="J91" s="45" t="b">
        <x:v>1</x:v>
      </x:c>
      <x:c r="K91" s="45" t="b">
        <x:v>1</x:v>
      </x:c>
      <x:c r="L91" s="45" t="b">
        <x:v>1</x:v>
      </x:c>
      <x:c r="M91" s="45" t="b">
        <x:v>1</x:v>
      </x:c>
      <x:c r="N91" s="45" t="b">
        <x:v>1</x:v>
      </x:c>
      <x:c r="O91" s="43" t="n">
        <x:v>29582159.517690547</x:v>
      </x:c>
      <x:c r="P91" s="43" t="n">
        <x:v>29582159.517690547</x:v>
      </x:c>
      <x:c r="Q91" s="43" t="n">
        <x:v>1541395.2969995087</x:v>
      </x:c>
      <x:c r="R91" s="43" t="n">
        <x:v>1541395.2969995087</x:v>
      </x:c>
      <x:c r="S91" s="43" t="n">
        <x:v>150.5</x:v>
      </x:c>
      <x:c r="T91" s="43" t="n">
        <x:v>150.5</x:v>
      </x:c>
      <x:c r="U91" s="43" t="n">
        <x:v>336</x:v>
      </x:c>
      <x:c r="V91" s="43" t="n">
        <x:v>336</x:v>
      </x:c>
      <x:c r="W91" s="43" t="n">
        <x:v>516.5</x:v>
      </x:c>
      <x:c r="X91" s="43" t="n">
        <x:v>516.5</x:v>
      </x:c>
      <x:c r="Y91" s="53" t="n">
        <x:f>IF(X91="","",X91/'Readme-Protocol'!$B$25)</x:f>
        <x:v>0.5165</x:v>
      </x:c>
      <x:c r="Z91" s="43" t="n">
        <x:v>2312360</x:v>
      </x:c>
      <x:c r="AA91" s="43" t="n">
        <x:v>2312360</x:v>
      </x:c>
    </x:row>
    <x:row r="92">
      <x:c r="A92" s="24" t="str">
        <x:v>article1-unified-v4-2-fb3f101b-20260903-000401-default-f03-p1-cache2k</x:v>
      </x:c>
      <x:c r="B92" s="24" t="str">
        <x:v>default</x:v>
      </x:c>
      <x:c r="C92" s="24" t="str">
        <x:v>cache2k</x:v>
      </x:c>
      <x:c r="D92" s="36" t="n">
        <x:v>3</x:v>
      </x:c>
      <x:c r="E92" s="36" t="n">
        <x:v>3</x:v>
      </x:c>
      <x:c r="F92" s="36" t="n">
        <x:v>1</x:v>
      </x:c>
      <x:c r="G92" s="24" t="str">
        <x:v>redeploy</x:v>
      </x:c>
      <x:c r="H92" s="24" t="str">
        <x:v>primary-all-cycles</x:v>
      </x:c>
      <x:c r="I92" s="36" t="n">
        <x:v>5</x:v>
      </x:c>
      <x:c r="J92" s="45" t="b">
        <x:v>1</x:v>
      </x:c>
      <x:c r="K92" s="45" t="b">
        <x:v>1</x:v>
      </x:c>
      <x:c r="L92" s="45" t="b">
        <x:v>1</x:v>
      </x:c>
      <x:c r="M92" s="45" t="b">
        <x:v>1</x:v>
      </x:c>
      <x:c r="N92" s="45" t="b">
        <x:v>1</x:v>
      </x:c>
      <x:c r="O92" s="43" t="n">
        <x:v>29641825.821150184</x:v>
      </x:c>
      <x:c r="P92" s="43" t="n">
        <x:v>29641825.821150184</x:v>
      </x:c>
      <x:c r="Q92" s="43" t="n">
        <x:v>2159439.1677348693</x:v>
      </x:c>
      <x:c r="R92" s="43" t="n">
        <x:v>2159439.1677348693</x:v>
      </x:c>
      <x:c r="S92" s="43" t="n">
        <x:v>141</x:v>
      </x:c>
      <x:c r="T92" s="43" t="n">
        <x:v>141</x:v>
      </x:c>
      <x:c r="U92" s="43" t="n">
        <x:v>330</x:v>
      </x:c>
      <x:c r="V92" s="43" t="n">
        <x:v>330</x:v>
      </x:c>
      <x:c r="W92" s="43" t="n">
        <x:v>501</x:v>
      </x:c>
      <x:c r="X92" s="43" t="n">
        <x:v>501</x:v>
      </x:c>
      <x:c r="Y92" s="53" t="n">
        <x:f>IF(X92="","",X92/'Readme-Protocol'!$B$25)</x:f>
        <x:v>0.501</x:v>
      </x:c>
      <x:c r="Z92" s="43" t="n">
        <x:v>2317032</x:v>
      </x:c>
      <x:c r="AA92" s="43" t="n">
        <x:v>2317032</x:v>
      </x:c>
    </x:row>
    <x:row r="93">
      <x:c r="A93" s="24" t="str">
        <x:v>article1-unified-v4-2-fb3f101b-20260903-000401-default-f03-p1-cache2k</x:v>
      </x:c>
      <x:c r="B93" s="24" t="str">
        <x:v>default</x:v>
      </x:c>
      <x:c r="C93" s="24" t="str">
        <x:v>cache2k</x:v>
      </x:c>
      <x:c r="D93" s="36" t="n">
        <x:v>3</x:v>
      </x:c>
      <x:c r="E93" s="36" t="n">
        <x:v>3</x:v>
      </x:c>
      <x:c r="F93" s="36" t="n">
        <x:v>1</x:v>
      </x:c>
      <x:c r="G93" s="24" t="str">
        <x:v>redeploy</x:v>
      </x:c>
      <x:c r="H93" s="24" t="str">
        <x:v>sensitivity-without-cycle-1</x:v>
      </x:c>
      <x:c r="I93" s="36" t="n">
        <x:v>4</x:v>
      </x:c>
      <x:c r="J93" s="45" t="b">
        <x:v>1</x:v>
      </x:c>
      <x:c r="K93" s="45" t="b">
        <x:v>1</x:v>
      </x:c>
      <x:c r="L93" s="45" t="b">
        <x:v>1</x:v>
      </x:c>
      <x:c r="M93" s="45" t="b">
        <x:v>1</x:v>
      </x:c>
      <x:c r="N93" s="45" t="b">
        <x:v>1</x:v>
      </x:c>
      <x:c r="O93" s="43" t="n">
        <x:v>29847755.544849202</x:v>
      </x:c>
      <x:c r="P93" s="43" t="n">
        <x:v>29847755.544849202</x:v>
      </x:c>
      <x:c r="Q93" s="43" t="n">
        <x:v>2195214.5903540384</x:v>
      </x:c>
      <x:c r="R93" s="43" t="n">
        <x:v>2195214.5903540384</x:v>
      </x:c>
      <x:c r="S93" s="43" t="n">
        <x:v>145.5</x:v>
      </x:c>
      <x:c r="T93" s="43" t="n">
        <x:v>145.5</x:v>
      </x:c>
      <x:c r="U93" s="43" t="n">
        <x:v>330.5</x:v>
      </x:c>
      <x:c r="V93" s="43" t="n">
        <x:v>330.5</x:v>
      </x:c>
      <x:c r="W93" s="43" t="n">
        <x:v>521</x:v>
      </x:c>
      <x:c r="X93" s="43" t="n">
        <x:v>521</x:v>
      </x:c>
      <x:c r="Y93" s="53" t="n">
        <x:f>IF(X93="","",X93/'Readme-Protocol'!$B$25)</x:f>
        <x:v>0.521</x:v>
      </x:c>
      <x:c r="Z93" s="43" t="n">
        <x:v>2333136</x:v>
      </x:c>
      <x:c r="AA93" s="43" t="n">
        <x:v>2333136</x:v>
      </x:c>
    </x:row>
    <x:row r="94">
      <x:c r="A94" s="24" t="str">
        <x:v>article1-unified-v4-2-fb3f101b-20260903-000401-default-f04-p3-cache2k</x:v>
      </x:c>
      <x:c r="B94" s="24" t="str">
        <x:v>default</x:v>
      </x:c>
      <x:c r="C94" s="24" t="str">
        <x:v>cache2k</x:v>
      </x:c>
      <x:c r="D94" s="36" t="n">
        <x:v>4</x:v>
      </x:c>
      <x:c r="E94" s="36" t="n">
        <x:v>4</x:v>
      </x:c>
      <x:c r="F94" s="36" t="n">
        <x:v>3</x:v>
      </x:c>
      <x:c r="G94" s="24" t="str">
        <x:v>initial</x:v>
      </x:c>
      <x:c r="H94" s="24" t="str">
        <x:v>primary-all-cycles</x:v>
      </x:c>
      <x:c r="I94" s="36" t="n">
        <x:v>5</x:v>
      </x:c>
      <x:c r="J94" s="45" t="b">
        <x:v>1</x:v>
      </x:c>
      <x:c r="K94" s="45" t="b">
        <x:v>1</x:v>
      </x:c>
      <x:c r="L94" s="45" t="b">
        <x:v>1</x:v>
      </x:c>
      <x:c r="M94" s="45" t="b">
        <x:v>1</x:v>
      </x:c>
      <x:c r="N94" s="45" t="b">
        <x:v>1</x:v>
      </x:c>
      <x:c r="O94" s="43" t="n">
        <x:v>31716201.646903183</x:v>
      </x:c>
      <x:c r="P94" s="43" t="n">
        <x:v>31716201.646903183</x:v>
      </x:c>
      <x:c r="Q94" s="43" t="n">
        <x:v>1893480.0098688179</x:v>
      </x:c>
      <x:c r="R94" s="43" t="n">
        <x:v>1893480.0098688179</x:v>
      </x:c>
      <x:c r="S94" s="43" t="n">
        <x:v>140</x:v>
      </x:c>
      <x:c r="T94" s="43" t="n">
        <x:v>140</x:v>
      </x:c>
      <x:c r="U94" s="43" t="n">
        <x:v>310</x:v>
      </x:c>
      <x:c r="V94" s="43" t="n">
        <x:v>310</x:v>
      </x:c>
      <x:c r="W94" s="43" t="n">
        <x:v>501</x:v>
      </x:c>
      <x:c r="X94" s="43" t="n">
        <x:v>501</x:v>
      </x:c>
      <x:c r="Y94" s="53" t="n">
        <x:f>IF(X94="","",X94/'Readme-Protocol'!$B$25)</x:f>
        <x:v>0.501</x:v>
      </x:c>
      <x:c r="Z94" s="43" t="n">
        <x:v>2479148</x:v>
      </x:c>
      <x:c r="AA94" s="43" t="n">
        <x:v>2479148</x:v>
      </x:c>
    </x:row>
    <x:row r="95">
      <x:c r="A95" s="24" t="str">
        <x:v>article1-unified-v4-2-fb3f101b-20260903-000401-default-f04-p3-cache2k</x:v>
      </x:c>
      <x:c r="B95" s="24" t="str">
        <x:v>default</x:v>
      </x:c>
      <x:c r="C95" s="24" t="str">
        <x:v>cache2k</x:v>
      </x:c>
      <x:c r="D95" s="36" t="n">
        <x:v>4</x:v>
      </x:c>
      <x:c r="E95" s="36" t="n">
        <x:v>4</x:v>
      </x:c>
      <x:c r="F95" s="36" t="n">
        <x:v>3</x:v>
      </x:c>
      <x:c r="G95" s="24" t="str">
        <x:v>initial</x:v>
      </x:c>
      <x:c r="H95" s="24" t="str">
        <x:v>sensitivity-without-cycle-1</x:v>
      </x:c>
      <x:c r="I95" s="36" t="n">
        <x:v>4</x:v>
      </x:c>
      <x:c r="J95" s="45" t="b">
        <x:v>1</x:v>
      </x:c>
      <x:c r="K95" s="45" t="b">
        <x:v>1</x:v>
      </x:c>
      <x:c r="L95" s="45" t="b">
        <x:v>1</x:v>
      </x:c>
      <x:c r="M95" s="45" t="b">
        <x:v>1</x:v>
      </x:c>
      <x:c r="N95" s="45" t="b">
        <x:v>1</x:v>
      </x:c>
      <x:c r="O95" s="43" t="n">
        <x:v>31902867.328349873</x:v>
      </x:c>
      <x:c r="P95" s="43" t="n">
        <x:v>31902867.328349873</x:v>
      </x:c>
      <x:c r="Q95" s="43" t="n">
        <x:v>1955282.9689655309</x:v>
      </x:c>
      <x:c r="R95" s="43" t="n">
        <x:v>1955282.9689655309</x:v>
      </x:c>
      <x:c r="S95" s="43" t="n">
        <x:v>140</x:v>
      </x:c>
      <x:c r="T95" s="43" t="n">
        <x:v>140</x:v>
      </x:c>
      <x:c r="U95" s="43" t="n">
        <x:v>310</x:v>
      </x:c>
      <x:c r="V95" s="43" t="n">
        <x:v>310</x:v>
      </x:c>
      <x:c r="W95" s="43" t="n">
        <x:v>491</x:v>
      </x:c>
      <x:c r="X95" s="43" t="n">
        <x:v>491</x:v>
      </x:c>
      <x:c r="Y95" s="53" t="n">
        <x:f>IF(X95="","",X95/'Readme-Protocol'!$B$25)</x:f>
        <x:v>0.491</x:v>
      </x:c>
      <x:c r="Z95" s="43" t="n">
        <x:v>2493710</x:v>
      </x:c>
      <x:c r="AA95" s="43" t="n">
        <x:v>2493710</x:v>
      </x:c>
    </x:row>
    <x:row r="96">
      <x:c r="A96" s="24" t="str">
        <x:v>article1-unified-v4-2-fb3f101b-20260903-000401-default-f04-p3-cache2k</x:v>
      </x:c>
      <x:c r="B96" s="24" t="str">
        <x:v>default</x:v>
      </x:c>
      <x:c r="C96" s="24" t="str">
        <x:v>cache2k</x:v>
      </x:c>
      <x:c r="D96" s="36" t="n">
        <x:v>4</x:v>
      </x:c>
      <x:c r="E96" s="36" t="n">
        <x:v>4</x:v>
      </x:c>
      <x:c r="F96" s="36" t="n">
        <x:v>3</x:v>
      </x:c>
      <x:c r="G96" s="24" t="str">
        <x:v>redeploy</x:v>
      </x:c>
      <x:c r="H96" s="24" t="str">
        <x:v>primary-all-cycles</x:v>
      </x:c>
      <x:c r="I96" s="36" t="n">
        <x:v>5</x:v>
      </x:c>
      <x:c r="J96" s="45" t="b">
        <x:v>1</x:v>
      </x:c>
      <x:c r="K96" s="45" t="b">
        <x:v>1</x:v>
      </x:c>
      <x:c r="L96" s="45" t="b">
        <x:v>1</x:v>
      </x:c>
      <x:c r="M96" s="45" t="b">
        <x:v>1</x:v>
      </x:c>
      <x:c r="N96" s="45" t="b">
        <x:v>1</x:v>
      </x:c>
      <x:c r="O96" s="43" t="n">
        <x:v>31578079.23164408</x:v>
      </x:c>
      <x:c r="P96" s="43" t="n">
        <x:v>31578079.23164408</x:v>
      </x:c>
      <x:c r="Q96" s="43" t="n">
        <x:v>1830349.314845341</x:v>
      </x:c>
      <x:c r="R96" s="43" t="n">
        <x:v>1830349.314845341</x:v>
      </x:c>
      <x:c r="S96" s="43" t="n">
        <x:v>140</x:v>
      </x:c>
      <x:c r="T96" s="43" t="n">
        <x:v>140</x:v>
      </x:c>
      <x:c r="U96" s="43" t="n">
        <x:v>320</x:v>
      </x:c>
      <x:c r="V96" s="43" t="n">
        <x:v>320</x:v>
      </x:c>
      <x:c r="W96" s="43" t="n">
        <x:v>511</x:v>
      </x:c>
      <x:c r="X96" s="43" t="n">
        <x:v>511</x:v>
      </x:c>
      <x:c r="Y96" s="53" t="n">
        <x:f>IF(X96="","",X96/'Readme-Protocol'!$B$25)</x:f>
        <x:v>0.511</x:v>
      </x:c>
      <x:c r="Z96" s="43" t="n">
        <x:v>2468288</x:v>
      </x:c>
      <x:c r="AA96" s="43" t="n">
        <x:v>2468288</x:v>
      </x:c>
    </x:row>
    <x:row r="97">
      <x:c r="A97" s="24" t="str">
        <x:v>article1-unified-v4-2-fb3f101b-20260903-000401-default-f04-p3-cache2k</x:v>
      </x:c>
      <x:c r="B97" s="24" t="str">
        <x:v>default</x:v>
      </x:c>
      <x:c r="C97" s="24" t="str">
        <x:v>cache2k</x:v>
      </x:c>
      <x:c r="D97" s="36" t="n">
        <x:v>4</x:v>
      </x:c>
      <x:c r="E97" s="36" t="n">
        <x:v>4</x:v>
      </x:c>
      <x:c r="F97" s="36" t="n">
        <x:v>3</x:v>
      </x:c>
      <x:c r="G97" s="24" t="str">
        <x:v>redeploy</x:v>
      </x:c>
      <x:c r="H97" s="24" t="str">
        <x:v>sensitivity-without-cycle-1</x:v>
      </x:c>
      <x:c r="I97" s="36" t="n">
        <x:v>4</x:v>
      </x:c>
      <x:c r="J97" s="45" t="b">
        <x:v>1</x:v>
      </x:c>
      <x:c r="K97" s="45" t="b">
        <x:v>1</x:v>
      </x:c>
      <x:c r="L97" s="45" t="b">
        <x:v>1</x:v>
      </x:c>
      <x:c r="M97" s="45" t="b">
        <x:v>1</x:v>
      </x:c>
      <x:c r="N97" s="45" t="b">
        <x:v>1</x:v>
      </x:c>
      <x:c r="O97" s="43" t="n">
        <x:v>31355252.48673929</x:v>
      </x:c>
      <x:c r="P97" s="43" t="n">
        <x:v>31355252.48673929</x:v>
      </x:c>
      <x:c r="Q97" s="43" t="n">
        <x:v>1787182.710591443</x:v>
      </x:c>
      <x:c r="R97" s="43" t="n">
        <x:v>1787182.710591443</x:v>
      </x:c>
      <x:c r="S97" s="43" t="n">
        <x:v>140.5</x:v>
      </x:c>
      <x:c r="T97" s="43" t="n">
        <x:v>140.5</x:v>
      </x:c>
      <x:c r="U97" s="43" t="n">
        <x:v>325</x:v>
      </x:c>
      <x:c r="V97" s="43" t="n">
        <x:v>325</x:v>
      </x:c>
      <x:c r="W97" s="43" t="n">
        <x:v>516</x:v>
      </x:c>
      <x:c r="X97" s="43" t="n">
        <x:v>516</x:v>
      </x:c>
      <x:c r="Y97" s="53" t="n">
        <x:f>IF(X97="","",X97/'Readme-Protocol'!$B$25)</x:f>
        <x:v>0.516</x:v>
      </x:c>
      <x:c r="Z97" s="43" t="n">
        <x:v>2450814</x:v>
      </x:c>
      <x:c r="AA97" s="43" t="n">
        <x:v>2450814</x:v>
      </x:c>
    </x:row>
    <x:row r="98">
      <x:c r="A98" s="24" t="str">
        <x:v>article1-unified-v4-2-fb3f101b-20260903-000401-default-f05-p5-cache2k</x:v>
      </x:c>
      <x:c r="B98" s="24" t="str">
        <x:v>default</x:v>
      </x:c>
      <x:c r="C98" s="24" t="str">
        <x:v>cache2k</x:v>
      </x:c>
      <x:c r="D98" s="36" t="n">
        <x:v>5</x:v>
      </x:c>
      <x:c r="E98" s="36" t="n">
        <x:v>5</x:v>
      </x:c>
      <x:c r="F98" s="36" t="n">
        <x:v>5</x:v>
      </x:c>
      <x:c r="G98" s="24" t="str">
        <x:v>initial</x:v>
      </x:c>
      <x:c r="H98" s="24" t="str">
        <x:v>primary-all-cycles</x:v>
      </x:c>
      <x:c r="I98" s="36" t="n">
        <x:v>5</x:v>
      </x:c>
      <x:c r="J98" s="45" t="b">
        <x:v>1</x:v>
      </x:c>
      <x:c r="K98" s="45" t="b">
        <x:v>1</x:v>
      </x:c>
      <x:c r="L98" s="45" t="b">
        <x:v>1</x:v>
      </x:c>
      <x:c r="M98" s="45" t="b">
        <x:v>1</x:v>
      </x:c>
      <x:c r="N98" s="45" t="b">
        <x:v>1</x:v>
      </x:c>
      <x:c r="O98" s="43" t="n">
        <x:v>31522505.359142225</x:v>
      </x:c>
      <x:c r="P98" s="43" t="n">
        <x:v>31522505.359142225</x:v>
      </x:c>
      <x:c r="Q98" s="43" t="n">
        <x:v>1599522.7024255963</x:v>
      </x:c>
      <x:c r="R98" s="43" t="n">
        <x:v>1599522.7024255963</x:v>
      </x:c>
      <x:c r="S98" s="43" t="n">
        <x:v>150</x:v>
      </x:c>
      <x:c r="T98" s="43" t="n">
        <x:v>150</x:v>
      </x:c>
      <x:c r="U98" s="43" t="n">
        <x:v>321</x:v>
      </x:c>
      <x:c r="V98" s="43" t="n">
        <x:v>321</x:v>
      </x:c>
      <x:c r="W98" s="43" t="n">
        <x:v>501</x:v>
      </x:c>
      <x:c r="X98" s="43" t="n">
        <x:v>501</x:v>
      </x:c>
      <x:c r="Y98" s="53" t="n">
        <x:f>IF(X98="","",X98/'Readme-Protocol'!$B$25)</x:f>
        <x:v>0.501</x:v>
      </x:c>
      <x:c r="Z98" s="43" t="n">
        <x:v>2464636</x:v>
      </x:c>
      <x:c r="AA98" s="43" t="n">
        <x:v>2464636</x:v>
      </x:c>
    </x:row>
    <x:row r="99">
      <x:c r="A99" s="24" t="str">
        <x:v>article1-unified-v4-2-fb3f101b-20260903-000401-default-f05-p5-cache2k</x:v>
      </x:c>
      <x:c r="B99" s="24" t="str">
        <x:v>default</x:v>
      </x:c>
      <x:c r="C99" s="24" t="str">
        <x:v>cache2k</x:v>
      </x:c>
      <x:c r="D99" s="36" t="n">
        <x:v>5</x:v>
      </x:c>
      <x:c r="E99" s="36" t="n">
        <x:v>5</x:v>
      </x:c>
      <x:c r="F99" s="36" t="n">
        <x:v>5</x:v>
      </x:c>
      <x:c r="G99" s="24" t="str">
        <x:v>initial</x:v>
      </x:c>
      <x:c r="H99" s="24" t="str">
        <x:v>sensitivity-without-cycle-1</x:v>
      </x:c>
      <x:c r="I99" s="36" t="n">
        <x:v>4</x:v>
      </x:c>
      <x:c r="J99" s="45" t="b">
        <x:v>1</x:v>
      </x:c>
      <x:c r="K99" s="45" t="b">
        <x:v>1</x:v>
      </x:c>
      <x:c r="L99" s="45" t="b">
        <x:v>1</x:v>
      </x:c>
      <x:c r="M99" s="45" t="b">
        <x:v>1</x:v>
      </x:c>
      <x:c r="N99" s="45" t="b">
        <x:v>1</x:v>
      </x:c>
      <x:c r="O99" s="43" t="n">
        <x:v>32016876.14878314</x:v>
      </x:c>
      <x:c r="P99" s="43" t="n">
        <x:v>32016876.14878314</x:v>
      </x:c>
      <x:c r="Q99" s="43" t="n">
        <x:v>1706361.910984248</x:v>
      </x:c>
      <x:c r="R99" s="43" t="n">
        <x:v>1706361.910984248</x:v>
      </x:c>
      <x:c r="S99" s="43" t="n">
        <x:v>145</x:v>
      </x:c>
      <x:c r="T99" s="43" t="n">
        <x:v>145</x:v>
      </x:c>
      <x:c r="U99" s="43" t="n">
        <x:v>316</x:v>
      </x:c>
      <x:c r="V99" s="43" t="n">
        <x:v>316</x:v>
      </x:c>
      <x:c r="W99" s="43" t="n">
        <x:v>501</x:v>
      </x:c>
      <x:c r="X99" s="43" t="n">
        <x:v>501</x:v>
      </x:c>
      <x:c r="Y99" s="53" t="n">
        <x:f>IF(X99="","",X99/'Readme-Protocol'!$B$25)</x:f>
        <x:v>0.501</x:v>
      </x:c>
      <x:c r="Z99" s="43" t="n">
        <x:v>2502626</x:v>
      </x:c>
      <x:c r="AA99" s="43" t="n">
        <x:v>2502626</x:v>
      </x:c>
    </x:row>
    <x:row r="100">
      <x:c r="A100" s="24" t="str">
        <x:v>article1-unified-v4-2-fb3f101b-20260903-000401-default-f05-p5-cache2k</x:v>
      </x:c>
      <x:c r="B100" s="24" t="str">
        <x:v>default</x:v>
      </x:c>
      <x:c r="C100" s="24" t="str">
        <x:v>cache2k</x:v>
      </x:c>
      <x:c r="D100" s="36" t="n">
        <x:v>5</x:v>
      </x:c>
      <x:c r="E100" s="36" t="n">
        <x:v>5</x:v>
      </x:c>
      <x:c r="F100" s="36" t="n">
        <x:v>5</x:v>
      </x:c>
      <x:c r="G100" s="24" t="str">
        <x:v>redeploy</x:v>
      </x:c>
      <x:c r="H100" s="24" t="str">
        <x:v>primary-all-cycles</x:v>
      </x:c>
      <x:c r="I100" s="36" t="n">
        <x:v>5</x:v>
      </x:c>
      <x:c r="J100" s="45" t="b">
        <x:v>1</x:v>
      </x:c>
      <x:c r="K100" s="45" t="b">
        <x:v>1</x:v>
      </x:c>
      <x:c r="L100" s="45" t="b">
        <x:v>1</x:v>
      </x:c>
      <x:c r="M100" s="45" t="b">
        <x:v>1</x:v>
      </x:c>
      <x:c r="N100" s="45" t="b">
        <x:v>1</x:v>
      </x:c>
      <x:c r="O100" s="43" t="n">
        <x:v>31375857.034719463</x:v>
      </x:c>
      <x:c r="P100" s="43" t="n">
        <x:v>31375857.034719463</x:v>
      </x:c>
      <x:c r="Q100" s="43" t="n">
        <x:v>1991569.685521189</x:v>
      </x:c>
      <x:c r="R100" s="43" t="n">
        <x:v>1991569.685521189</x:v>
      </x:c>
      <x:c r="S100" s="43" t="n">
        <x:v>141</x:v>
      </x:c>
      <x:c r="T100" s="43" t="n">
        <x:v>141</x:v>
      </x:c>
      <x:c r="U100" s="43" t="n">
        <x:v>320</x:v>
      </x:c>
      <x:c r="V100" s="43" t="n">
        <x:v>320</x:v>
      </x:c>
      <x:c r="W100" s="43" t="n">
        <x:v>501</x:v>
      </x:c>
      <x:c r="X100" s="43" t="n">
        <x:v>501</x:v>
      </x:c>
      <x:c r="Y100" s="53" t="n">
        <x:f>IF(X100="","",X100/'Readme-Protocol'!$B$25)</x:f>
        <x:v>0.501</x:v>
      </x:c>
      <x:c r="Z100" s="43" t="n">
        <x:v>2454952</x:v>
      </x:c>
      <x:c r="AA100" s="43" t="n">
        <x:v>2454952</x:v>
      </x:c>
    </x:row>
    <x:row r="101">
      <x:c r="A101" s="24" t="str">
        <x:v>article1-unified-v4-2-fb3f101b-20260903-000401-default-f05-p5-cache2k</x:v>
      </x:c>
      <x:c r="B101" s="24" t="str">
        <x:v>default</x:v>
      </x:c>
      <x:c r="C101" s="24" t="str">
        <x:v>cache2k</x:v>
      </x:c>
      <x:c r="D101" s="36" t="n">
        <x:v>5</x:v>
      </x:c>
      <x:c r="E101" s="36" t="n">
        <x:v>5</x:v>
      </x:c>
      <x:c r="F101" s="36" t="n">
        <x:v>5</x:v>
      </x:c>
      <x:c r="G101" s="24" t="str">
        <x:v>redeploy</x:v>
      </x:c>
      <x:c r="H101" s="24" t="str">
        <x:v>sensitivity-without-cycle-1</x:v>
      </x:c>
      <x:c r="I101" s="36" t="n">
        <x:v>4</x:v>
      </x:c>
      <x:c r="J101" s="45" t="b">
        <x:v>1</x:v>
      </x:c>
      <x:c r="K101" s="45" t="b">
        <x:v>1</x:v>
      </x:c>
      <x:c r="L101" s="45" t="b">
        <x:v>1</x:v>
      </x:c>
      <x:c r="M101" s="45" t="b">
        <x:v>1</x:v>
      </x:c>
      <x:c r="N101" s="45" t="b">
        <x:v>1</x:v>
      </x:c>
      <x:c r="O101" s="43" t="n">
        <x:v>31390862.506573945</x:v>
      </x:c>
      <x:c r="P101" s="43" t="n">
        <x:v>31390862.506573945</x:v>
      </x:c>
      <x:c r="Q101" s="43" t="n">
        <x:v>2160062.024557819</x:v>
      </x:c>
      <x:c r="R101" s="43" t="n">
        <x:v>2160062.024557819</x:v>
      </x:c>
      <x:c r="S101" s="43" t="n">
        <x:v>140.5</x:v>
      </x:c>
      <x:c r="T101" s="43" t="n">
        <x:v>140.5</x:v>
      </x:c>
      <x:c r="U101" s="43" t="n">
        <x:v>315.5</x:v>
      </x:c>
      <x:c r="V101" s="43" t="n">
        <x:v>315.5</x:v>
      </x:c>
      <x:c r="W101" s="43" t="n">
        <x:v>496</x:v>
      </x:c>
      <x:c r="X101" s="43" t="n">
        <x:v>496</x:v>
      </x:c>
      <x:c r="Y101" s="53" t="n">
        <x:f>IF(X101="","",X101/'Readme-Protocol'!$B$25)</x:f>
        <x:v>0.496</x:v>
      </x:c>
      <x:c r="Z101" s="43" t="n">
        <x:v>2462650</x:v>
      </x:c>
      <x:c r="AA101" s="43" t="n">
        <x:v>2462650</x:v>
      </x:c>
    </x:row>
    <x:row r="102">
      <x:c r="A102" s="24" t="str">
        <x:v>article1-unified-v4-2-fb3f101b-20260903-000401-default-f06-p6-cache2k</x:v>
      </x:c>
      <x:c r="B102" s="24" t="str">
        <x:v>default</x:v>
      </x:c>
      <x:c r="C102" s="24" t="str">
        <x:v>cache2k</x:v>
      </x:c>
      <x:c r="D102" s="36" t="n">
        <x:v>6</x:v>
      </x:c>
      <x:c r="E102" s="36" t="n">
        <x:v>6</x:v>
      </x:c>
      <x:c r="F102" s="36" t="n">
        <x:v>6</x:v>
      </x:c>
      <x:c r="G102" s="24" t="str">
        <x:v>initial</x:v>
      </x:c>
      <x:c r="H102" s="24" t="str">
        <x:v>primary-all-cycles</x:v>
      </x:c>
      <x:c r="I102" s="36" t="n">
        <x:v>5</x:v>
      </x:c>
      <x:c r="J102" s="45" t="b">
        <x:v>1</x:v>
      </x:c>
      <x:c r="K102" s="45" t="b">
        <x:v>1</x:v>
      </x:c>
      <x:c r="L102" s="45" t="b">
        <x:v>1</x:v>
      </x:c>
      <x:c r="M102" s="45" t="b">
        <x:v>1</x:v>
      </x:c>
      <x:c r="N102" s="45" t="b">
        <x:v>1</x:v>
      </x:c>
      <x:c r="O102" s="43" t="n">
        <x:v>31370951.0847551</x:v>
      </x:c>
      <x:c r="P102" s="43" t="n">
        <x:v>31370951.0847551</x:v>
      </x:c>
      <x:c r="Q102" s="43" t="n">
        <x:v>2177691.8121836632</x:v>
      </x:c>
      <x:c r="R102" s="43" t="n">
        <x:v>2177691.8121836632</x:v>
      </x:c>
      <x:c r="S102" s="43" t="n">
        <x:v>140</x:v>
      </x:c>
      <x:c r="T102" s="43" t="n">
        <x:v>140</x:v>
      </x:c>
      <x:c r="U102" s="43" t="n">
        <x:v>311</x:v>
      </x:c>
      <x:c r="V102" s="43" t="n">
        <x:v>311</x:v>
      </x:c>
      <x:c r="W102" s="43" t="n">
        <x:v>501</x:v>
      </x:c>
      <x:c r="X102" s="43" t="n">
        <x:v>501</x:v>
      </x:c>
      <x:c r="Y102" s="53" t="n">
        <x:f>IF(X102="","",X102/'Readme-Protocol'!$B$25)</x:f>
        <x:v>0.501</x:v>
      </x:c>
      <x:c r="Z102" s="43" t="n">
        <x:v>2477572</x:v>
      </x:c>
      <x:c r="AA102" s="43" t="n">
        <x:v>2477572</x:v>
      </x:c>
    </x:row>
    <x:row r="103">
      <x:c r="A103" s="24" t="str">
        <x:v>article1-unified-v4-2-fb3f101b-20260903-000401-default-f06-p6-cache2k</x:v>
      </x:c>
      <x:c r="B103" s="24" t="str">
        <x:v>default</x:v>
      </x:c>
      <x:c r="C103" s="24" t="str">
        <x:v>cache2k</x:v>
      </x:c>
      <x:c r="D103" s="36" t="n">
        <x:v>6</x:v>
      </x:c>
      <x:c r="E103" s="36" t="n">
        <x:v>6</x:v>
      </x:c>
      <x:c r="F103" s="36" t="n">
        <x:v>6</x:v>
      </x:c>
      <x:c r="G103" s="24" t="str">
        <x:v>initial</x:v>
      </x:c>
      <x:c r="H103" s="24" t="str">
        <x:v>sensitivity-without-cycle-1</x:v>
      </x:c>
      <x:c r="I103" s="36" t="n">
        <x:v>4</x:v>
      </x:c>
      <x:c r="J103" s="45" t="b">
        <x:v>1</x:v>
      </x:c>
      <x:c r="K103" s="45" t="b">
        <x:v>1</x:v>
      </x:c>
      <x:c r="L103" s="45" t="b">
        <x:v>1</x:v>
      </x:c>
      <x:c r="M103" s="45" t="b">
        <x:v>1</x:v>
      </x:c>
      <x:c r="N103" s="45" t="b">
        <x:v>1</x:v>
      </x:c>
      <x:c r="O103" s="43" t="n">
        <x:v>31191136.332553446</x:v>
      </x:c>
      <x:c r="P103" s="43" t="n">
        <x:v>31191136.332553446</x:v>
      </x:c>
      <x:c r="Q103" s="43" t="n">
        <x:v>2244547.049172718</x:v>
      </x:c>
      <x:c r="R103" s="43" t="n">
        <x:v>2244547.049172718</x:v>
      </x:c>
      <x:c r="S103" s="43" t="n">
        <x:v>140</x:v>
      </x:c>
      <x:c r="T103" s="43" t="n">
        <x:v>140</x:v>
      </x:c>
      <x:c r="U103" s="43" t="n">
        <x:v>316</x:v>
      </x:c>
      <x:c r="V103" s="43" t="n">
        <x:v>316</x:v>
      </x:c>
      <x:c r="W103" s="43" t="n">
        <x:v>501</x:v>
      </x:c>
      <x:c r="X103" s="43" t="n">
        <x:v>501</x:v>
      </x:c>
      <x:c r="Y103" s="53" t="n">
        <x:f>IF(X103="","",X103/'Readme-Protocol'!$B$25)</x:f>
        <x:v>0.501</x:v>
      </x:c>
      <x:c r="Z103" s="43" t="n">
        <x:v>2450768</x:v>
      </x:c>
      <x:c r="AA103" s="43" t="n">
        <x:v>2450768</x:v>
      </x:c>
    </x:row>
    <x:row r="104">
      <x:c r="A104" s="24" t="str">
        <x:v>article1-unified-v4-2-fb3f101b-20260903-000401-default-f06-p6-cache2k</x:v>
      </x:c>
      <x:c r="B104" s="24" t="str">
        <x:v>default</x:v>
      </x:c>
      <x:c r="C104" s="24" t="str">
        <x:v>cache2k</x:v>
      </x:c>
      <x:c r="D104" s="36" t="n">
        <x:v>6</x:v>
      </x:c>
      <x:c r="E104" s="36" t="n">
        <x:v>6</x:v>
      </x:c>
      <x:c r="F104" s="36" t="n">
        <x:v>6</x:v>
      </x:c>
      <x:c r="G104" s="24" t="str">
        <x:v>redeploy</x:v>
      </x:c>
      <x:c r="H104" s="24" t="str">
        <x:v>primary-all-cycles</x:v>
      </x:c>
      <x:c r="I104" s="36" t="n">
        <x:v>5</x:v>
      </x:c>
      <x:c r="J104" s="45" t="b">
        <x:v>1</x:v>
      </x:c>
      <x:c r="K104" s="45" t="b">
        <x:v>1</x:v>
      </x:c>
      <x:c r="L104" s="45" t="b">
        <x:v>1</x:v>
      </x:c>
      <x:c r="M104" s="45" t="b">
        <x:v>1</x:v>
      </x:c>
      <x:c r="N104" s="45" t="b">
        <x:v>1</x:v>
      </x:c>
      <x:c r="O104" s="43" t="n">
        <x:v>31469206.09545471</x:v>
      </x:c>
      <x:c r="P104" s="43" t="n">
        <x:v>31469206.09545471</x:v>
      </x:c>
      <x:c r="Q104" s="43" t="n">
        <x:v>2249989.0875529256</x:v>
      </x:c>
      <x:c r="R104" s="43" t="n">
        <x:v>2249989.0875529256</x:v>
      </x:c>
      <x:c r="S104" s="43" t="n">
        <x:v>141</x:v>
      </x:c>
      <x:c r="T104" s="43" t="n">
        <x:v>141</x:v>
      </x:c>
      <x:c r="U104" s="43" t="n">
        <x:v>311</x:v>
      </x:c>
      <x:c r="V104" s="43" t="n">
        <x:v>311</x:v>
      </x:c>
      <x:c r="W104" s="43" t="n">
        <x:v>481</x:v>
      </x:c>
      <x:c r="X104" s="43" t="n">
        <x:v>481</x:v>
      </x:c>
      <x:c r="Y104" s="53" t="n">
        <x:f>IF(X104="","",X104/'Readme-Protocol'!$B$25)</x:f>
        <x:v>0.481</x:v>
      </x:c>
      <x:c r="Z104" s="43" t="n">
        <x:v>2459848</x:v>
      </x:c>
      <x:c r="AA104" s="43" t="n">
        <x:v>2459848</x:v>
      </x:c>
    </x:row>
    <x:row r="105">
      <x:c r="A105" s="24" t="str">
        <x:v>article1-unified-v4-2-fb3f101b-20260903-000401-default-f06-p6-cache2k</x:v>
      </x:c>
      <x:c r="B105" s="24" t="str">
        <x:v>default</x:v>
      </x:c>
      <x:c r="C105" s="24" t="str">
        <x:v>cache2k</x:v>
      </x:c>
      <x:c r="D105" s="36" t="n">
        <x:v>6</x:v>
      </x:c>
      <x:c r="E105" s="36" t="n">
        <x:v>6</x:v>
      </x:c>
      <x:c r="F105" s="36" t="n">
        <x:v>6</x:v>
      </x:c>
      <x:c r="G105" s="24" t="str">
        <x:v>redeploy</x:v>
      </x:c>
      <x:c r="H105" s="24" t="str">
        <x:v>sensitivity-without-cycle-1</x:v>
      </x:c>
      <x:c r="I105" s="36" t="n">
        <x:v>4</x:v>
      </x:c>
      <x:c r="J105" s="45" t="b">
        <x:v>1</x:v>
      </x:c>
      <x:c r="K105" s="45" t="b">
        <x:v>1</x:v>
      </x:c>
      <x:c r="L105" s="45" t="b">
        <x:v>1</x:v>
      </x:c>
      <x:c r="M105" s="45" t="b">
        <x:v>1</x:v>
      </x:c>
      <x:c r="N105" s="45" t="b">
        <x:v>1</x:v>
      </x:c>
      <x:c r="O105" s="43" t="n">
        <x:v>31553017.212336265</x:v>
      </x:c>
      <x:c r="P105" s="43" t="n">
        <x:v>31553017.212336265</x:v>
      </x:c>
      <x:c r="Q105" s="43" t="n">
        <x:v>2251583.7386594946</x:v>
      </x:c>
      <x:c r="R105" s="43" t="n">
        <x:v>2251583.7386594946</x:v>
      </x:c>
      <x:c r="S105" s="43" t="n">
        <x:v>141</x:v>
      </x:c>
      <x:c r="T105" s="43" t="n">
        <x:v>141</x:v>
      </x:c>
      <x:c r="U105" s="43" t="n">
        <x:v>311</x:v>
      </x:c>
      <x:c r="V105" s="43" t="n">
        <x:v>311</x:v>
      </x:c>
      <x:c r="W105" s="43" t="n">
        <x:v>481</x:v>
      </x:c>
      <x:c r="X105" s="43" t="n">
        <x:v>481</x:v>
      </x:c>
      <x:c r="Y105" s="53" t="n">
        <x:f>IF(X105="","",X105/'Readme-Protocol'!$B$25)</x:f>
        <x:v>0.481</x:v>
      </x:c>
      <x:c r="Z105" s="43" t="n">
        <x:v>2474726</x:v>
      </x:c>
      <x:c r="AA105" s="43" t="n">
        <x:v>2474726</x:v>
      </x:c>
    </x:row>
    <x:row r="106">
      <x:c r="A106" s="24" t="str">
        <x:v>article1-unified-v4-2-fb3f101b-20260903-000401-default-f01-p6-jcs4</x:v>
      </x:c>
      <x:c r="B106" s="24" t="str">
        <x:v>default</x:v>
      </x:c>
      <x:c r="C106" s="24" t="str">
        <x:v>jcs4</x:v>
      </x:c>
      <x:c r="D106" s="36" t="n">
        <x:v>1</x:v>
      </x:c>
      <x:c r="E106" s="36" t="n">
        <x:v>1</x:v>
      </x:c>
      <x:c r="F106" s="36" t="n">
        <x:v>6</x:v>
      </x:c>
      <x:c r="G106" s="24" t="str">
        <x:v>initial</x:v>
      </x:c>
      <x:c r="H106" s="24" t="str">
        <x:v>primary-all-cycles</x:v>
      </x:c>
      <x:c r="I106" s="36" t="n">
        <x:v>5</x:v>
      </x:c>
      <x:c r="J106" s="45" t="b">
        <x:v>1</x:v>
      </x:c>
      <x:c r="K106" s="45" t="b">
        <x:v>1</x:v>
      </x:c>
      <x:c r="L106" s="45" t="b">
        <x:v>1</x:v>
      </x:c>
      <x:c r="M106" s="45" t="b">
        <x:v>1</x:v>
      </x:c>
      <x:c r="N106" s="45" t="b">
        <x:v>1</x:v>
      </x:c>
      <x:c r="O106" s="43" t="n">
        <x:v>931353.8599180455</x:v>
      </x:c>
      <x:c r="P106" s="43" t="n">
        <x:v>931353.8599180455</x:v>
      </x:c>
      <x:c r="Q106" s="43" t="n">
        <x:v>3301037.086821567</x:v>
      </x:c>
      <x:c r="R106" s="43" t="n">
        <x:v>3301037.086821567</x:v>
      </x:c>
      <x:c r="S106" s="43" t="n">
        <x:v>471</x:v>
      </x:c>
      <x:c r="T106" s="43" t="n">
        <x:v>471</x:v>
      </x:c>
      <x:c r="U106" s="43" t="n">
        <x:v>1984</x:v>
      </x:c>
      <x:c r="V106" s="43" t="n">
        <x:v>1984</x:v>
      </x:c>
      <x:c r="W106" s="43" t="n">
        <x:v>287550</x:v>
      </x:c>
      <x:c r="X106" s="43" t="n">
        <x:v>287550</x:v>
      </x:c>
      <x:c r="Y106" s="53" t="n">
        <x:f>IF(X106="","",X106/'Readme-Protocol'!$B$25)</x:f>
        <x:v>287.55</x:v>
      </x:c>
      <x:c r="Z106" s="43" t="n">
        <x:v>72788</x:v>
      </x:c>
      <x:c r="AA106" s="43" t="n">
        <x:v>72788</x:v>
      </x:c>
    </x:row>
    <x:row r="107">
      <x:c r="A107" s="24" t="str">
        <x:v>article1-unified-v4-2-fb3f101b-20260903-000401-default-f01-p6-jcs4</x:v>
      </x:c>
      <x:c r="B107" s="24" t="str">
        <x:v>default</x:v>
      </x:c>
      <x:c r="C107" s="24" t="str">
        <x:v>jcs4</x:v>
      </x:c>
      <x:c r="D107" s="36" t="n">
        <x:v>1</x:v>
      </x:c>
      <x:c r="E107" s="36" t="n">
        <x:v>1</x:v>
      </x:c>
      <x:c r="F107" s="36" t="n">
        <x:v>6</x:v>
      </x:c>
      <x:c r="G107" s="24" t="str">
        <x:v>initial</x:v>
      </x:c>
      <x:c r="H107" s="24" t="str">
        <x:v>sensitivity-without-cycle-1</x:v>
      </x:c>
      <x:c r="I107" s="36" t="n">
        <x:v>4</x:v>
      </x:c>
      <x:c r="J107" s="45" t="b">
        <x:v>1</x:v>
      </x:c>
      <x:c r="K107" s="45" t="b">
        <x:v>1</x:v>
      </x:c>
      <x:c r="L107" s="45" t="b">
        <x:v>1</x:v>
      </x:c>
      <x:c r="M107" s="45" t="b">
        <x:v>1</x:v>
      </x:c>
      <x:c r="N107" s="45" t="b">
        <x:v>1</x:v>
      </x:c>
      <x:c r="O107" s="43" t="n">
        <x:v>960137.6224710112</x:v>
      </x:c>
      <x:c r="P107" s="43" t="n">
        <x:v>960137.6224710112</x:v>
      </x:c>
      <x:c r="Q107" s="43" t="n">
        <x:v>3485974.336641549</x:v>
      </x:c>
      <x:c r="R107" s="43" t="n">
        <x:v>3485974.336641549</x:v>
      </x:c>
      <x:c r="S107" s="43" t="n">
        <x:v>446</x:v>
      </x:c>
      <x:c r="T107" s="43" t="n">
        <x:v>446</x:v>
      </x:c>
      <x:c r="U107" s="43" t="n">
        <x:v>1973.5</x:v>
      </x:c>
      <x:c r="V107" s="43" t="n">
        <x:v>1973.5</x:v>
      </x:c>
      <x:c r="W107" s="43" t="n">
        <x:v>280211</x:v>
      </x:c>
      <x:c r="X107" s="43" t="n">
        <x:v>280211</x:v>
      </x:c>
      <x:c r="Y107" s="53" t="n">
        <x:f>IF(X107="","",X107/'Readme-Protocol'!$B$25)</x:f>
        <x:v>280.211</x:v>
      </x:c>
      <x:c r="Z107" s="43" t="n">
        <x:v>75032</x:v>
      </x:c>
      <x:c r="AA107" s="43" t="n">
        <x:v>75032</x:v>
      </x:c>
    </x:row>
    <x:row r="108">
      <x:c r="A108" s="24" t="str">
        <x:v>article1-unified-v4-2-fb3f101b-20260903-000401-default-f01-p6-jcs4</x:v>
      </x:c>
      <x:c r="B108" s="24" t="str">
        <x:v>default</x:v>
      </x:c>
      <x:c r="C108" s="24" t="str">
        <x:v>jcs4</x:v>
      </x:c>
      <x:c r="D108" s="36" t="n">
        <x:v>1</x:v>
      </x:c>
      <x:c r="E108" s="36" t="n">
        <x:v>1</x:v>
      </x:c>
      <x:c r="F108" s="36" t="n">
        <x:v>6</x:v>
      </x:c>
      <x:c r="G108" s="24" t="str">
        <x:v>redeploy</x:v>
      </x:c>
      <x:c r="H108" s="24" t="str">
        <x:v>primary-all-cycles</x:v>
      </x:c>
      <x:c r="I108" s="36" t="n">
        <x:v>5</x:v>
      </x:c>
      <x:c r="J108" s="45" t="b">
        <x:v>1</x:v>
      </x:c>
      <x:c r="K108" s="45" t="b">
        <x:v>1</x:v>
      </x:c>
      <x:c r="L108" s="45" t="b">
        <x:v>1</x:v>
      </x:c>
      <x:c r="M108" s="45" t="b">
        <x:v>1</x:v>
      </x:c>
      <x:c r="N108" s="45" t="b">
        <x:v>1</x:v>
      </x:c>
      <x:c r="O108" s="43" t="n">
        <x:v>905712.8277679406</x:v>
      </x:c>
      <x:c r="P108" s="43" t="n">
        <x:v>905712.8277679406</x:v>
      </x:c>
      <x:c r="Q108" s="43" t="n">
        <x:v>3741586.574888042</x:v>
      </x:c>
      <x:c r="R108" s="43" t="n">
        <x:v>3741586.574888042</x:v>
      </x:c>
      <x:c r="S108" s="43" t="n">
        <x:v>491</x:v>
      </x:c>
      <x:c r="T108" s="43" t="n">
        <x:v>491</x:v>
      </x:c>
      <x:c r="U108" s="43" t="n">
        <x:v>2315</x:v>
      </x:c>
      <x:c r="V108" s="43" t="n">
        <x:v>2315</x:v>
      </x:c>
      <x:c r="W108" s="43" t="n">
        <x:v>277051</x:v>
      </x:c>
      <x:c r="X108" s="43" t="n">
        <x:v>277051</x:v>
      </x:c>
      <x:c r="Y108" s="53" t="n">
        <x:f>IF(X108="","",X108/'Readme-Protocol'!$B$25)</x:f>
        <x:v>277.051</x:v>
      </x:c>
      <x:c r="Z108" s="43" t="n">
        <x:v>70780</x:v>
      </x:c>
      <x:c r="AA108" s="43" t="n">
        <x:v>70780</x:v>
      </x:c>
    </x:row>
    <x:row r="109">
      <x:c r="A109" s="24" t="str">
        <x:v>article1-unified-v4-2-fb3f101b-20260903-000401-default-f01-p6-jcs4</x:v>
      </x:c>
      <x:c r="B109" s="24" t="str">
        <x:v>default</x:v>
      </x:c>
      <x:c r="C109" s="24" t="str">
        <x:v>jcs4</x:v>
      </x:c>
      <x:c r="D109" s="36" t="n">
        <x:v>1</x:v>
      </x:c>
      <x:c r="E109" s="36" t="n">
        <x:v>1</x:v>
      </x:c>
      <x:c r="F109" s="36" t="n">
        <x:v>6</x:v>
      </x:c>
      <x:c r="G109" s="24" t="str">
        <x:v>redeploy</x:v>
      </x:c>
      <x:c r="H109" s="24" t="str">
        <x:v>sensitivity-without-cycle-1</x:v>
      </x:c>
      <x:c r="I109" s="36" t="n">
        <x:v>4</x:v>
      </x:c>
      <x:c r="J109" s="45" t="b">
        <x:v>1</x:v>
      </x:c>
      <x:c r="K109" s="45" t="b">
        <x:v>1</x:v>
      </x:c>
      <x:c r="L109" s="45" t="b">
        <x:v>1</x:v>
      </x:c>
      <x:c r="M109" s="45" t="b">
        <x:v>1</x:v>
      </x:c>
      <x:c r="N109" s="45" t="b">
        <x:v>1</x:v>
      </x:c>
      <x:c r="O109" s="43" t="n">
        <x:v>932212.9494311643</x:v>
      </x:c>
      <x:c r="P109" s="43" t="n">
        <x:v>932212.9494311643</x:v>
      </x:c>
      <x:c r="Q109" s="43" t="n">
        <x:v>3730929.122906945</x:v>
      </x:c>
      <x:c r="R109" s="43" t="n">
        <x:v>3730929.122906945</x:v>
      </x:c>
      <x:c r="S109" s="43" t="n">
        <x:v>481</x:v>
      </x:c>
      <x:c r="T109" s="43" t="n">
        <x:v>481</x:v>
      </x:c>
      <x:c r="U109" s="43" t="n">
        <x:v>2149.5</x:v>
      </x:c>
      <x:c r="V109" s="43" t="n">
        <x:v>2149.5</x:v>
      </x:c>
      <x:c r="W109" s="43" t="n">
        <x:v>275688</x:v>
      </x:c>
      <x:c r="X109" s="43" t="n">
        <x:v>275688</x:v>
      </x:c>
      <x:c r="Y109" s="53" t="n">
        <x:f>IF(X109="","",X109/'Readme-Protocol'!$B$25)</x:f>
        <x:v>275.688</x:v>
      </x:c>
      <x:c r="Z109" s="43" t="n">
        <x:v>72848</x:v>
      </x:c>
      <x:c r="AA109" s="43" t="n">
        <x:v>72848</x:v>
      </x:c>
    </x:row>
    <x:row r="110">
      <x:c r="A110" s="24" t="str">
        <x:v>article1-unified-v4-2-fb3f101b-20260903-000401-default-f02-p4-jcs4</x:v>
      </x:c>
      <x:c r="B110" s="24" t="str">
        <x:v>default</x:v>
      </x:c>
      <x:c r="C110" s="24" t="str">
        <x:v>jcs4</x:v>
      </x:c>
      <x:c r="D110" s="36" t="n">
        <x:v>2</x:v>
      </x:c>
      <x:c r="E110" s="36" t="n">
        <x:v>2</x:v>
      </x:c>
      <x:c r="F110" s="36" t="n">
        <x:v>4</x:v>
      </x:c>
      <x:c r="G110" s="24" t="str">
        <x:v>initial</x:v>
      </x:c>
      <x:c r="H110" s="24" t="str">
        <x:v>primary-all-cycles</x:v>
      </x:c>
      <x:c r="I110" s="36" t="n">
        <x:v>5</x:v>
      </x:c>
      <x:c r="J110" s="45" t="b">
        <x:v>1</x:v>
      </x:c>
      <x:c r="K110" s="45" t="b">
        <x:v>1</x:v>
      </x:c>
      <x:c r="L110" s="45" t="b">
        <x:v>1</x:v>
      </x:c>
      <x:c r="M110" s="45" t="b">
        <x:v>1</x:v>
      </x:c>
      <x:c r="N110" s="45" t="b">
        <x:v>1</x:v>
      </x:c>
      <x:c r="O110" s="43" t="n">
        <x:v>856131.3993073169</x:v>
      </x:c>
      <x:c r="P110" s="43" t="n">
        <x:v>856131.3993073169</x:v>
      </x:c>
      <x:c r="Q110" s="43" t="n">
        <x:v>3300224.38225575</x:v>
      </x:c>
      <x:c r="R110" s="43" t="n">
        <x:v>3300224.38225575</x:v>
      </x:c>
      <x:c r="S110" s="43" t="n">
        <x:v>541</x:v>
      </x:c>
      <x:c r="T110" s="43" t="n">
        <x:v>541</x:v>
      </x:c>
      <x:c r="U110" s="43" t="n">
        <x:v>2525</x:v>
      </x:c>
      <x:c r="V110" s="43" t="n">
        <x:v>2525</x:v>
      </x:c>
      <x:c r="W110" s="43" t="n">
        <x:v>286010</x:v>
      </x:c>
      <x:c r="X110" s="43" t="n">
        <x:v>286010</x:v>
      </x:c>
      <x:c r="Y110" s="53" t="n">
        <x:f>IF(X110="","",X110/'Readme-Protocol'!$B$25)</x:f>
        <x:v>286.01</x:v>
      </x:c>
      <x:c r="Z110" s="43" t="n">
        <x:v>66904</x:v>
      </x:c>
      <x:c r="AA110" s="43" t="n">
        <x:v>66904</x:v>
      </x:c>
    </x:row>
    <x:row r="111">
      <x:c r="A111" s="24" t="str">
        <x:v>article1-unified-v4-2-fb3f101b-20260903-000401-default-f02-p4-jcs4</x:v>
      </x:c>
      <x:c r="B111" s="24" t="str">
        <x:v>default</x:v>
      </x:c>
      <x:c r="C111" s="24" t="str">
        <x:v>jcs4</x:v>
      </x:c>
      <x:c r="D111" s="36" t="n">
        <x:v>2</x:v>
      </x:c>
      <x:c r="E111" s="36" t="n">
        <x:v>2</x:v>
      </x:c>
      <x:c r="F111" s="36" t="n">
        <x:v>4</x:v>
      </x:c>
      <x:c r="G111" s="24" t="str">
        <x:v>initial</x:v>
      </x:c>
      <x:c r="H111" s="24" t="str">
        <x:v>sensitivity-without-cycle-1</x:v>
      </x:c>
      <x:c r="I111" s="36" t="n">
        <x:v>4</x:v>
      </x:c>
      <x:c r="J111" s="45" t="b">
        <x:v>1</x:v>
      </x:c>
      <x:c r="K111" s="45" t="b">
        <x:v>1</x:v>
      </x:c>
      <x:c r="L111" s="45" t="b">
        <x:v>1</x:v>
      </x:c>
      <x:c r="M111" s="45" t="b">
        <x:v>1</x:v>
      </x:c>
      <x:c r="N111" s="45" t="b">
        <x:v>1</x:v>
      </x:c>
      <x:c r="O111" s="43" t="n">
        <x:v>833776.8181388052</x:v>
      </x:c>
      <x:c r="P111" s="43" t="n">
        <x:v>833776.8181388052</x:v>
      </x:c>
      <x:c r="Q111" s="43" t="n">
        <x:v>3411539.5391193368</x:v>
      </x:c>
      <x:c r="R111" s="43" t="n">
        <x:v>3411539.5391193368</x:v>
      </x:c>
      <x:c r="S111" s="43" t="n">
        <x:v>586</x:v>
      </x:c>
      <x:c r="T111" s="43" t="n">
        <x:v>586</x:v>
      </x:c>
      <x:c r="U111" s="43" t="n">
        <x:v>2545</x:v>
      </x:c>
      <x:c r="V111" s="43" t="n">
        <x:v>2545</x:v>
      </x:c>
      <x:c r="W111" s="43" t="n">
        <x:v>294015.5</x:v>
      </x:c>
      <x:c r="X111" s="43" t="n">
        <x:v>294015.5</x:v>
      </x:c>
      <x:c r="Y111" s="53" t="n">
        <x:f>IF(X111="","",X111/'Readme-Protocol'!$B$25)</x:f>
        <x:v>294.0155</x:v>
      </x:c>
      <x:c r="Z111" s="43" t="n">
        <x:v>65158</x:v>
      </x:c>
      <x:c r="AA111" s="43" t="n">
        <x:v>65158</x:v>
      </x:c>
    </x:row>
    <x:row r="112">
      <x:c r="A112" s="24" t="str">
        <x:v>article1-unified-v4-2-fb3f101b-20260903-000401-default-f02-p4-jcs4</x:v>
      </x:c>
      <x:c r="B112" s="24" t="str">
        <x:v>default</x:v>
      </x:c>
      <x:c r="C112" s="24" t="str">
        <x:v>jcs4</x:v>
      </x:c>
      <x:c r="D112" s="36" t="n">
        <x:v>2</x:v>
      </x:c>
      <x:c r="E112" s="36" t="n">
        <x:v>2</x:v>
      </x:c>
      <x:c r="F112" s="36" t="n">
        <x:v>4</x:v>
      </x:c>
      <x:c r="G112" s="24" t="str">
        <x:v>redeploy</x:v>
      </x:c>
      <x:c r="H112" s="24" t="str">
        <x:v>primary-all-cycles</x:v>
      </x:c>
      <x:c r="I112" s="36" t="n">
        <x:v>5</x:v>
      </x:c>
      <x:c r="J112" s="45" t="b">
        <x:v>1</x:v>
      </x:c>
      <x:c r="K112" s="45" t="b">
        <x:v>1</x:v>
      </x:c>
      <x:c r="L112" s="45" t="b">
        <x:v>1</x:v>
      </x:c>
      <x:c r="M112" s="45" t="b">
        <x:v>1</x:v>
      </x:c>
      <x:c r="N112" s="45" t="b">
        <x:v>1</x:v>
      </x:c>
      <x:c r="O112" s="43" t="n">
        <x:v>935911.2963568326</x:v>
      </x:c>
      <x:c r="P112" s="43" t="n">
        <x:v>935911.2963568326</x:v>
      </x:c>
      <x:c r="Q112" s="43" t="n">
        <x:v>3801080.343055103</x:v>
      </x:c>
      <x:c r="R112" s="43" t="n">
        <x:v>3801080.343055103</x:v>
      </x:c>
      <x:c r="S112" s="43" t="n">
        <x:v>491</x:v>
      </x:c>
      <x:c r="T112" s="43" t="n">
        <x:v>491</x:v>
      </x:c>
      <x:c r="U112" s="43" t="n">
        <x:v>2073</x:v>
      </x:c>
      <x:c r="V112" s="43" t="n">
        <x:v>2073</x:v>
      </x:c>
      <x:c r="W112" s="43" t="n">
        <x:v>293264</x:v>
      </x:c>
      <x:c r="X112" s="43" t="n">
        <x:v>293264</x:v>
      </x:c>
      <x:c r="Y112" s="53" t="n">
        <x:f>IF(X112="","",X112/'Readme-Protocol'!$B$25)</x:f>
        <x:v>293.264</x:v>
      </x:c>
      <x:c r="Z112" s="43" t="n">
        <x:v>73132</x:v>
      </x:c>
      <x:c r="AA112" s="43" t="n">
        <x:v>73132</x:v>
      </x:c>
    </x:row>
    <x:row r="113">
      <x:c r="A113" s="24" t="str">
        <x:v>article1-unified-v4-2-fb3f101b-20260903-000401-default-f02-p4-jcs4</x:v>
      </x:c>
      <x:c r="B113" s="24" t="str">
        <x:v>default</x:v>
      </x:c>
      <x:c r="C113" s="24" t="str">
        <x:v>jcs4</x:v>
      </x:c>
      <x:c r="D113" s="36" t="n">
        <x:v>2</x:v>
      </x:c>
      <x:c r="E113" s="36" t="n">
        <x:v>2</x:v>
      </x:c>
      <x:c r="F113" s="36" t="n">
        <x:v>4</x:v>
      </x:c>
      <x:c r="G113" s="24" t="str">
        <x:v>redeploy</x:v>
      </x:c>
      <x:c r="H113" s="24" t="str">
        <x:v>sensitivity-without-cycle-1</x:v>
      </x:c>
      <x:c r="I113" s="36" t="n">
        <x:v>4</x:v>
      </x:c>
      <x:c r="J113" s="45" t="b">
        <x:v>1</x:v>
      </x:c>
      <x:c r="K113" s="45" t="b">
        <x:v>1</x:v>
      </x:c>
      <x:c r="L113" s="45" t="b">
        <x:v>1</x:v>
      </x:c>
      <x:c r="M113" s="45" t="b">
        <x:v>1</x:v>
      </x:c>
      <x:c r="N113" s="45" t="b">
        <x:v>1</x:v>
      </x:c>
      <x:c r="O113" s="43" t="n">
        <x:v>938808.1206275853</x:v>
      </x:c>
      <x:c r="P113" s="43" t="n">
        <x:v>938808.1206275853</x:v>
      </x:c>
      <x:c r="Q113" s="43" t="n">
        <x:v>3742727.868323114</x:v>
      </x:c>
      <x:c r="R113" s="43" t="n">
        <x:v>3742727.868323114</x:v>
      </x:c>
      <x:c r="S113" s="43" t="n">
        <x:v>481</x:v>
      </x:c>
      <x:c r="T113" s="43" t="n">
        <x:v>481</x:v>
      </x:c>
      <x:c r="U113" s="43" t="n">
        <x:v>2033.5</x:v>
      </x:c>
      <x:c r="V113" s="43" t="n">
        <x:v>2033.5</x:v>
      </x:c>
      <x:c r="W113" s="43" t="n">
        <x:v>282246</x:v>
      </x:c>
      <x:c r="X113" s="43" t="n">
        <x:v>282246</x:v>
      </x:c>
      <x:c r="Y113" s="53" t="n">
        <x:f>IF(X113="","",X113/'Readme-Protocol'!$B$25)</x:f>
        <x:v>282.246</x:v>
      </x:c>
      <x:c r="Z113" s="43" t="n">
        <x:v>73360</x:v>
      </x:c>
      <x:c r="AA113" s="43" t="n">
        <x:v>73360</x:v>
      </x:c>
    </x:row>
    <x:row r="114">
      <x:c r="A114" s="24" t="str">
        <x:v>article1-unified-v4-2-fb3f101b-20260903-000401-default-f03-p2-jcs4</x:v>
      </x:c>
      <x:c r="B114" s="24" t="str">
        <x:v>default</x:v>
      </x:c>
      <x:c r="C114" s="24" t="str">
        <x:v>jcs4</x:v>
      </x:c>
      <x:c r="D114" s="36" t="n">
        <x:v>3</x:v>
      </x:c>
      <x:c r="E114" s="36" t="n">
        <x:v>3</x:v>
      </x:c>
      <x:c r="F114" s="36" t="n">
        <x:v>2</x:v>
      </x:c>
      <x:c r="G114" s="24" t="str">
        <x:v>initial</x:v>
      </x:c>
      <x:c r="H114" s="24" t="str">
        <x:v>primary-all-cycles</x:v>
      </x:c>
      <x:c r="I114" s="36" t="n">
        <x:v>5</x:v>
      </x:c>
      <x:c r="J114" s="45" t="b">
        <x:v>1</x:v>
      </x:c>
      <x:c r="K114" s="45" t="b">
        <x:v>1</x:v>
      </x:c>
      <x:c r="L114" s="45" t="b">
        <x:v>1</x:v>
      </x:c>
      <x:c r="M114" s="45" t="b">
        <x:v>1</x:v>
      </x:c>
      <x:c r="N114" s="45" t="b">
        <x:v>1</x:v>
      </x:c>
      <x:c r="O114" s="43" t="n">
        <x:v>798638.0899947461</x:v>
      </x:c>
      <x:c r="P114" s="43" t="n">
        <x:v>798638.0899947461</x:v>
      </x:c>
      <x:c r="Q114" s="43" t="n">
        <x:v>3276663.439153179</x:v>
      </x:c>
      <x:c r="R114" s="43" t="n">
        <x:v>3276663.439153179</x:v>
      </x:c>
      <x:c r="S114" s="43" t="n">
        <x:v>612</x:v>
      </x:c>
      <x:c r="T114" s="43" t="n">
        <x:v>612</x:v>
      </x:c>
      <x:c r="U114" s="43" t="n">
        <x:v>2936</x:v>
      </x:c>
      <x:c r="V114" s="43" t="n">
        <x:v>2936</x:v>
      </x:c>
      <x:c r="W114" s="43" t="n">
        <x:v>304917</x:v>
      </x:c>
      <x:c r="X114" s="43" t="n">
        <x:v>304917</x:v>
      </x:c>
      <x:c r="Y114" s="53" t="n">
        <x:f>IF(X114="","",X114/'Readme-Protocol'!$B$25)</x:f>
        <x:v>304.917</x:v>
      </x:c>
      <x:c r="Z114" s="43" t="n">
        <x:v>62420</x:v>
      </x:c>
      <x:c r="AA114" s="43" t="n">
        <x:v>62420</x:v>
      </x:c>
    </x:row>
    <x:row r="115">
      <x:c r="A115" s="24" t="str">
        <x:v>article1-unified-v4-2-fb3f101b-20260903-000401-default-f03-p2-jcs4</x:v>
      </x:c>
      <x:c r="B115" s="24" t="str">
        <x:v>default</x:v>
      </x:c>
      <x:c r="C115" s="24" t="str">
        <x:v>jcs4</x:v>
      </x:c>
      <x:c r="D115" s="36" t="n">
        <x:v>3</x:v>
      </x:c>
      <x:c r="E115" s="36" t="n">
        <x:v>3</x:v>
      </x:c>
      <x:c r="F115" s="36" t="n">
        <x:v>2</x:v>
      </x:c>
      <x:c r="G115" s="24" t="str">
        <x:v>initial</x:v>
      </x:c>
      <x:c r="H115" s="24" t="str">
        <x:v>sensitivity-without-cycle-1</x:v>
      </x:c>
      <x:c r="I115" s="36" t="n">
        <x:v>4</x:v>
      </x:c>
      <x:c r="J115" s="45" t="b">
        <x:v>1</x:v>
      </x:c>
      <x:c r="K115" s="45" t="b">
        <x:v>1</x:v>
      </x:c>
      <x:c r="L115" s="45" t="b">
        <x:v>1</x:v>
      </x:c>
      <x:c r="M115" s="45" t="b">
        <x:v>1</x:v>
      </x:c>
      <x:c r="N115" s="45" t="b">
        <x:v>1</x:v>
      </x:c>
      <x:c r="O115" s="43" t="n">
        <x:v>925167.7431881055</x:v>
      </x:c>
      <x:c r="P115" s="43" t="n">
        <x:v>925167.7431881055</x:v>
      </x:c>
      <x:c r="Q115" s="43" t="n">
        <x:v>3519061.1266239835</x:v>
      </x:c>
      <x:c r="R115" s="43" t="n">
        <x:v>3519061.1266239835</x:v>
      </x:c>
      <x:c r="S115" s="43" t="n">
        <x:v>536.5</x:v>
      </x:c>
      <x:c r="T115" s="43" t="n">
        <x:v>536.5</x:v>
      </x:c>
      <x:c r="U115" s="43" t="n">
        <x:v>2325</x:v>
      </x:c>
      <x:c r="V115" s="43" t="n">
        <x:v>2325</x:v>
      </x:c>
      <x:c r="W115" s="43" t="n">
        <x:v>287820.5</x:v>
      </x:c>
      <x:c r="X115" s="43" t="n">
        <x:v>287820.5</x:v>
      </x:c>
      <x:c r="Y115" s="53" t="n">
        <x:f>IF(X115="","",X115/'Readme-Protocol'!$B$25)</x:f>
        <x:v>287.8205</x:v>
      </x:c>
      <x:c r="Z115" s="43" t="n">
        <x:v>72308</x:v>
      </x:c>
      <x:c r="AA115" s="43" t="n">
        <x:v>72308</x:v>
      </x:c>
    </x:row>
    <x:row r="116">
      <x:c r="A116" s="24" t="str">
        <x:v>article1-unified-v4-2-fb3f101b-20260903-000401-default-f03-p2-jcs4</x:v>
      </x:c>
      <x:c r="B116" s="24" t="str">
        <x:v>default</x:v>
      </x:c>
      <x:c r="C116" s="24" t="str">
        <x:v>jcs4</x:v>
      </x:c>
      <x:c r="D116" s="36" t="n">
        <x:v>3</x:v>
      </x:c>
      <x:c r="E116" s="36" t="n">
        <x:v>3</x:v>
      </x:c>
      <x:c r="F116" s="36" t="n">
        <x:v>2</x:v>
      </x:c>
      <x:c r="G116" s="24" t="str">
        <x:v>redeploy</x:v>
      </x:c>
      <x:c r="H116" s="24" t="str">
        <x:v>primary-all-cycles</x:v>
      </x:c>
      <x:c r="I116" s="36" t="n">
        <x:v>5</x:v>
      </x:c>
      <x:c r="J116" s="45" t="b">
        <x:v>1</x:v>
      </x:c>
      <x:c r="K116" s="45" t="b">
        <x:v>1</x:v>
      </x:c>
      <x:c r="L116" s="45" t="b">
        <x:v>1</x:v>
      </x:c>
      <x:c r="M116" s="45" t="b">
        <x:v>1</x:v>
      </x:c>
      <x:c r="N116" s="45" t="b">
        <x:v>1</x:v>
      </x:c>
      <x:c r="O116" s="43" t="n">
        <x:v>847153.9073961563</x:v>
      </x:c>
      <x:c r="P116" s="43" t="n">
        <x:v>847153.9073961563</x:v>
      </x:c>
      <x:c r="Q116" s="43" t="n">
        <x:v>3713141.9604721186</x:v>
      </x:c>
      <x:c r="R116" s="43" t="n">
        <x:v>3713141.9604721186</x:v>
      </x:c>
      <x:c r="S116" s="43" t="n">
        <x:v>541</x:v>
      </x:c>
      <x:c r="T116" s="43" t="n">
        <x:v>541</x:v>
      </x:c>
      <x:c r="U116" s="43" t="n">
        <x:v>2685</x:v>
      </x:c>
      <x:c r="V116" s="43" t="n">
        <x:v>2685</x:v>
      </x:c>
      <x:c r="W116" s="43" t="n">
        <x:v>286286</x:v>
      </x:c>
      <x:c r="X116" s="43" t="n">
        <x:v>286286</x:v>
      </x:c>
      <x:c r="Y116" s="53" t="n">
        <x:f>IF(X116="","",X116/'Readme-Protocol'!$B$25)</x:f>
        <x:v>286.286</x:v>
      </x:c>
      <x:c r="Z116" s="43" t="n">
        <x:v>66196</x:v>
      </x:c>
      <x:c r="AA116" s="43" t="n">
        <x:v>66196</x:v>
      </x:c>
    </x:row>
    <x:row r="117">
      <x:c r="A117" s="24" t="str">
        <x:v>article1-unified-v4-2-fb3f101b-20260903-000401-default-f03-p2-jcs4</x:v>
      </x:c>
      <x:c r="B117" s="24" t="str">
        <x:v>default</x:v>
      </x:c>
      <x:c r="C117" s="24" t="str">
        <x:v>jcs4</x:v>
      </x:c>
      <x:c r="D117" s="36" t="n">
        <x:v>3</x:v>
      </x:c>
      <x:c r="E117" s="36" t="n">
        <x:v>3</x:v>
      </x:c>
      <x:c r="F117" s="36" t="n">
        <x:v>2</x:v>
      </x:c>
      <x:c r="G117" s="24" t="str">
        <x:v>redeploy</x:v>
      </x:c>
      <x:c r="H117" s="24" t="str">
        <x:v>sensitivity-without-cycle-1</x:v>
      </x:c>
      <x:c r="I117" s="36" t="n">
        <x:v>4</x:v>
      </x:c>
      <x:c r="J117" s="45" t="b">
        <x:v>1</x:v>
      </x:c>
      <x:c r="K117" s="45" t="b">
        <x:v>1</x:v>
      </x:c>
      <x:c r="L117" s="45" t="b">
        <x:v>1</x:v>
      </x:c>
      <x:c r="M117" s="45" t="b">
        <x:v>1</x:v>
      </x:c>
      <x:c r="N117" s="45" t="b">
        <x:v>1</x:v>
      </x:c>
      <x:c r="O117" s="43" t="n">
        <x:v>793795.1318832594</x:v>
      </x:c>
      <x:c r="P117" s="43" t="n">
        <x:v>793795.1318832594</x:v>
      </x:c>
      <x:c r="Q117" s="43" t="n">
        <x:v>3728159.0751390513</x:v>
      </x:c>
      <x:c r="R117" s="43" t="n">
        <x:v>3728159.0751390513</x:v>
      </x:c>
      <x:c r="S117" s="43" t="n">
        <x:v>636.5</x:v>
      </x:c>
      <x:c r="T117" s="43" t="n">
        <x:v>636.5</x:v>
      </x:c>
      <x:c r="U117" s="43" t="n">
        <x:v>2765.5</x:v>
      </x:c>
      <x:c r="V117" s="43" t="n">
        <x:v>2765.5</x:v>
      </x:c>
      <x:c r="W117" s="43" t="n">
        <x:v>295161.5</x:v>
      </x:c>
      <x:c r="X117" s="43" t="n">
        <x:v>295161.5</x:v>
      </x:c>
      <x:c r="Y117" s="53" t="n">
        <x:f>IF(X117="","",X117/'Readme-Protocol'!$B$25)</x:f>
        <x:v>295.1615</x:v>
      </x:c>
      <x:c r="Z117" s="43" t="n">
        <x:v>62034</x:v>
      </x:c>
      <x:c r="AA117" s="43" t="n">
        <x:v>62034</x:v>
      </x:c>
    </x:row>
    <x:row r="118">
      <x:c r="A118" s="24" t="str">
        <x:v>article1-unified-v4-2-fb3f101b-20260903-000401-default-f04-p1-jcs4</x:v>
      </x:c>
      <x:c r="B118" s="24" t="str">
        <x:v>default</x:v>
      </x:c>
      <x:c r="C118" s="24" t="str">
        <x:v>jcs4</x:v>
      </x:c>
      <x:c r="D118" s="36" t="n">
        <x:v>4</x:v>
      </x:c>
      <x:c r="E118" s="36" t="n">
        <x:v>4</x:v>
      </x:c>
      <x:c r="F118" s="36" t="n">
        <x:v>1</x:v>
      </x:c>
      <x:c r="G118" s="24" t="str">
        <x:v>initial</x:v>
      </x:c>
      <x:c r="H118" s="24" t="str">
        <x:v>primary-all-cycles</x:v>
      </x:c>
      <x:c r="I118" s="36" t="n">
        <x:v>5</x:v>
      </x:c>
      <x:c r="J118" s="45" t="b">
        <x:v>1</x:v>
      </x:c>
      <x:c r="K118" s="45" t="b">
        <x:v>1</x:v>
      </x:c>
      <x:c r="L118" s="45" t="b">
        <x:v>1</x:v>
      </x:c>
      <x:c r="M118" s="45" t="b">
        <x:v>1</x:v>
      </x:c>
      <x:c r="N118" s="45" t="b">
        <x:v>1</x:v>
      </x:c>
      <x:c r="O118" s="43" t="n">
        <x:v>1043127.983130643</x:v>
      </x:c>
      <x:c r="P118" s="43" t="n">
        <x:v>1043127.983130643</x:v>
      </x:c>
      <x:c r="Q118" s="43" t="n">
        <x:v>3787147.1799008525</x:v>
      </x:c>
      <x:c r="R118" s="43" t="n">
        <x:v>3787147.1799008525</x:v>
      </x:c>
      <x:c r="S118" s="43" t="n">
        <x:v>411</x:v>
      </x:c>
      <x:c r="T118" s="43" t="n">
        <x:v>411</x:v>
      </x:c>
      <x:c r="U118" s="43" t="n">
        <x:v>1654</x:v>
      </x:c>
      <x:c r="V118" s="43" t="n">
        <x:v>1654</x:v>
      </x:c>
      <x:c r="W118" s="43" t="n">
        <x:v>277388</x:v>
      </x:c>
      <x:c r="X118" s="43" t="n">
        <x:v>277388</x:v>
      </x:c>
      <x:c r="Y118" s="53" t="n">
        <x:f>IF(X118="","",X118/'Readme-Protocol'!$B$25)</x:f>
        <x:v>277.388</x:v>
      </x:c>
      <x:c r="Z118" s="43" t="n">
        <x:v>81524</x:v>
      </x:c>
      <x:c r="AA118" s="43" t="n">
        <x:v>81524</x:v>
      </x:c>
    </x:row>
    <x:row r="119">
      <x:c r="A119" s="24" t="str">
        <x:v>article1-unified-v4-2-fb3f101b-20260903-000401-default-f04-p1-jcs4</x:v>
      </x:c>
      <x:c r="B119" s="24" t="str">
        <x:v>default</x:v>
      </x:c>
      <x:c r="C119" s="24" t="str">
        <x:v>jcs4</x:v>
      </x:c>
      <x:c r="D119" s="36" t="n">
        <x:v>4</x:v>
      </x:c>
      <x:c r="E119" s="36" t="n">
        <x:v>4</x:v>
      </x:c>
      <x:c r="F119" s="36" t="n">
        <x:v>1</x:v>
      </x:c>
      <x:c r="G119" s="24" t="str">
        <x:v>initial</x:v>
      </x:c>
      <x:c r="H119" s="24" t="str">
        <x:v>sensitivity-without-cycle-1</x:v>
      </x:c>
      <x:c r="I119" s="36" t="n">
        <x:v>4</x:v>
      </x:c>
      <x:c r="J119" s="45" t="b">
        <x:v>1</x:v>
      </x:c>
      <x:c r="K119" s="45" t="b">
        <x:v>1</x:v>
      </x:c>
      <x:c r="L119" s="45" t="b">
        <x:v>1</x:v>
      </x:c>
      <x:c r="M119" s="45" t="b">
        <x:v>1</x:v>
      </x:c>
      <x:c r="N119" s="45" t="b">
        <x:v>1</x:v>
      </x:c>
      <x:c r="O119" s="43" t="n">
        <x:v>1023131.7484693343</x:v>
      </x:c>
      <x:c r="P119" s="43" t="n">
        <x:v>1023131.7484693343</x:v>
      </x:c>
      <x:c r="Q119" s="43" t="n">
        <x:v>3446168.5194859053</x:v>
      </x:c>
      <x:c r="R119" s="43" t="n">
        <x:v>3446168.5194859053</x:v>
      </x:c>
      <x:c r="S119" s="43" t="n">
        <x:v>441</x:v>
      </x:c>
      <x:c r="T119" s="43" t="n">
        <x:v>441</x:v>
      </x:c>
      <x:c r="U119" s="43" t="n">
        <x:v>1808.5</x:v>
      </x:c>
      <x:c r="V119" s="43" t="n">
        <x:v>1808.5</x:v>
      </x:c>
      <x:c r="W119" s="43" t="n">
        <x:v>281113</x:v>
      </x:c>
      <x:c r="X119" s="43" t="n">
        <x:v>281113</x:v>
      </x:c>
      <x:c r="Y119" s="53" t="n">
        <x:f>IF(X119="","",X119/'Readme-Protocol'!$B$25)</x:f>
        <x:v>281.113</x:v>
      </x:c>
      <x:c r="Z119" s="43" t="n">
        <x:v>79952</x:v>
      </x:c>
      <x:c r="AA119" s="43" t="n">
        <x:v>79952</x:v>
      </x:c>
    </x:row>
    <x:row r="120">
      <x:c r="A120" s="24" t="str">
        <x:v>article1-unified-v4-2-fb3f101b-20260903-000401-default-f04-p1-jcs4</x:v>
      </x:c>
      <x:c r="B120" s="24" t="str">
        <x:v>default</x:v>
      </x:c>
      <x:c r="C120" s="24" t="str">
        <x:v>jcs4</x:v>
      </x:c>
      <x:c r="D120" s="36" t="n">
        <x:v>4</x:v>
      </x:c>
      <x:c r="E120" s="36" t="n">
        <x:v>4</x:v>
      </x:c>
      <x:c r="F120" s="36" t="n">
        <x:v>1</x:v>
      </x:c>
      <x:c r="G120" s="24" t="str">
        <x:v>redeploy</x:v>
      </x:c>
      <x:c r="H120" s="24" t="str">
        <x:v>primary-all-cycles</x:v>
      </x:c>
      <x:c r="I120" s="36" t="n">
        <x:v>5</x:v>
      </x:c>
      <x:c r="J120" s="45" t="b">
        <x:v>1</x:v>
      </x:c>
      <x:c r="K120" s="45" t="b">
        <x:v>1</x:v>
      </x:c>
      <x:c r="L120" s="45" t="b">
        <x:v>1</x:v>
      </x:c>
      <x:c r="M120" s="45" t="b">
        <x:v>1</x:v>
      </x:c>
      <x:c r="N120" s="45" t="b">
        <x:v>1</x:v>
      </x:c>
      <x:c r="O120" s="43" t="n">
        <x:v>1001727.1188527115</x:v>
      </x:c>
      <x:c r="P120" s="43" t="n">
        <x:v>1001727.1188527115</x:v>
      </x:c>
      <x:c r="Q120" s="43" t="n">
        <x:v>3400716.258858441</x:v>
      </x:c>
      <x:c r="R120" s="43" t="n">
        <x:v>3400716.258858441</x:v>
      </x:c>
      <x:c r="S120" s="43" t="n">
        <x:v>451</x:v>
      </x:c>
      <x:c r="T120" s="43" t="n">
        <x:v>451</x:v>
      </x:c>
      <x:c r="U120" s="43" t="n">
        <x:v>1763</x:v>
      </x:c>
      <x:c r="V120" s="43" t="n">
        <x:v>1763</x:v>
      </x:c>
      <x:c r="W120" s="43" t="n">
        <x:v>269670</x:v>
      </x:c>
      <x:c r="X120" s="43" t="n">
        <x:v>269670</x:v>
      </x:c>
      <x:c r="Y120" s="53" t="n">
        <x:f>IF(X120="","",X120/'Readme-Protocol'!$B$25)</x:f>
        <x:v>269.67</x:v>
      </x:c>
      <x:c r="Z120" s="43" t="n">
        <x:v>78272</x:v>
      </x:c>
      <x:c r="AA120" s="43" t="n">
        <x:v>78272</x:v>
      </x:c>
    </x:row>
    <x:row r="121">
      <x:c r="A121" s="24" t="str">
        <x:v>article1-unified-v4-2-fb3f101b-20260903-000401-default-f04-p1-jcs4</x:v>
      </x:c>
      <x:c r="B121" s="24" t="str">
        <x:v>default</x:v>
      </x:c>
      <x:c r="C121" s="24" t="str">
        <x:v>jcs4</x:v>
      </x:c>
      <x:c r="D121" s="36" t="n">
        <x:v>4</x:v>
      </x:c>
      <x:c r="E121" s="36" t="n">
        <x:v>4</x:v>
      </x:c>
      <x:c r="F121" s="36" t="n">
        <x:v>1</x:v>
      </x:c>
      <x:c r="G121" s="24" t="str">
        <x:v>redeploy</x:v>
      </x:c>
      <x:c r="H121" s="24" t="str">
        <x:v>sensitivity-without-cycle-1</x:v>
      </x:c>
      <x:c r="I121" s="36" t="n">
        <x:v>4</x:v>
      </x:c>
      <x:c r="J121" s="45" t="b">
        <x:v>1</x:v>
      </x:c>
      <x:c r="K121" s="45" t="b">
        <x:v>1</x:v>
      </x:c>
      <x:c r="L121" s="45" t="b">
        <x:v>1</x:v>
      </x:c>
      <x:c r="M121" s="45" t="b">
        <x:v>1</x:v>
      </x:c>
      <x:c r="N121" s="45" t="b">
        <x:v>1</x:v>
      </x:c>
      <x:c r="O121" s="43" t="n">
        <x:v>1078175.6098588323</x:v>
      </x:c>
      <x:c r="P121" s="43" t="n">
        <x:v>1078175.6098588323</x:v>
      </x:c>
      <x:c r="Q121" s="43" t="n">
        <x:v>3583473.9091631044</x:v>
      </x:c>
      <x:c r="R121" s="43" t="n">
        <x:v>3583473.9091631044</x:v>
      </x:c>
      <x:c r="S121" s="43" t="n">
        <x:v>425.5</x:v>
      </x:c>
      <x:c r="T121" s="43" t="n">
        <x:v>425.5</x:v>
      </x:c>
      <x:c r="U121" s="43" t="n">
        <x:v>1593</x:v>
      </x:c>
      <x:c r="V121" s="43" t="n">
        <x:v>1593</x:v>
      </x:c>
      <x:c r="W121" s="43" t="n">
        <x:v>269614.5</x:v>
      </x:c>
      <x:c r="X121" s="43" t="n">
        <x:v>269614.5</x:v>
      </x:c>
      <x:c r="Y121" s="53" t="n">
        <x:f>IF(X121="","",X121/'Readme-Protocol'!$B$25)</x:f>
        <x:v>269.6145</x:v>
      </x:c>
      <x:c r="Z121" s="43" t="n">
        <x:v>84250</x:v>
      </x:c>
      <x:c r="AA121" s="43" t="n">
        <x:v>84250</x:v>
      </x:c>
    </x:row>
    <x:row r="122">
      <x:c r="A122" s="24" t="str">
        <x:v>article1-unified-v4-2-fb3f101b-20260903-000401-default-f05-p3-jcs4</x:v>
      </x:c>
      <x:c r="B122" s="24" t="str">
        <x:v>default</x:v>
      </x:c>
      <x:c r="C122" s="24" t="str">
        <x:v>jcs4</x:v>
      </x:c>
      <x:c r="D122" s="36" t="n">
        <x:v>5</x:v>
      </x:c>
      <x:c r="E122" s="36" t="n">
        <x:v>5</x:v>
      </x:c>
      <x:c r="F122" s="36" t="n">
        <x:v>3</x:v>
      </x:c>
      <x:c r="G122" s="24" t="str">
        <x:v>initial</x:v>
      </x:c>
      <x:c r="H122" s="24" t="str">
        <x:v>primary-all-cycles</x:v>
      </x:c>
      <x:c r="I122" s="36" t="n">
        <x:v>5</x:v>
      </x:c>
      <x:c r="J122" s="45" t="b">
        <x:v>1</x:v>
      </x:c>
      <x:c r="K122" s="45" t="b">
        <x:v>1</x:v>
      </x:c>
      <x:c r="L122" s="45" t="b">
        <x:v>1</x:v>
      </x:c>
      <x:c r="M122" s="45" t="b">
        <x:v>1</x:v>
      </x:c>
      <x:c r="N122" s="45" t="b">
        <x:v>1</x:v>
      </x:c>
      <x:c r="O122" s="43" t="n">
        <x:v>997745.7327914049</x:v>
      </x:c>
      <x:c r="P122" s="43" t="n">
        <x:v>997745.7327914049</x:v>
      </x:c>
      <x:c r="Q122" s="43" t="n">
        <x:v>2809555.410332758</x:v>
      </x:c>
      <x:c r="R122" s="43" t="n">
        <x:v>2809555.410332758</x:v>
      </x:c>
      <x:c r="S122" s="43" t="n">
        <x:v>421</x:v>
      </x:c>
      <x:c r="T122" s="43" t="n">
        <x:v>421</x:v>
      </x:c>
      <x:c r="U122" s="43" t="n">
        <x:v>1824</x:v>
      </x:c>
      <x:c r="V122" s="43" t="n">
        <x:v>1824</x:v>
      </x:c>
      <x:c r="W122" s="43" t="n">
        <x:v>270272</x:v>
      </x:c>
      <x:c r="X122" s="43" t="n">
        <x:v>270272</x:v>
      </x:c>
      <x:c r="Y122" s="53" t="n">
        <x:f>IF(X122="","",X122/'Readme-Protocol'!$B$25)</x:f>
        <x:v>270.272</x:v>
      </x:c>
      <x:c r="Z122" s="43" t="n">
        <x:v>77968</x:v>
      </x:c>
      <x:c r="AA122" s="43" t="n">
        <x:v>77968</x:v>
      </x:c>
    </x:row>
    <x:row r="123">
      <x:c r="A123" s="24" t="str">
        <x:v>article1-unified-v4-2-fb3f101b-20260903-000401-default-f05-p3-jcs4</x:v>
      </x:c>
      <x:c r="B123" s="24" t="str">
        <x:v>default</x:v>
      </x:c>
      <x:c r="C123" s="24" t="str">
        <x:v>jcs4</x:v>
      </x:c>
      <x:c r="D123" s="36" t="n">
        <x:v>5</x:v>
      </x:c>
      <x:c r="E123" s="36" t="n">
        <x:v>5</x:v>
      </x:c>
      <x:c r="F123" s="36" t="n">
        <x:v>3</x:v>
      </x:c>
      <x:c r="G123" s="24" t="str">
        <x:v>initial</x:v>
      </x:c>
      <x:c r="H123" s="24" t="str">
        <x:v>sensitivity-without-cycle-1</x:v>
      </x:c>
      <x:c r="I123" s="36" t="n">
        <x:v>4</x:v>
      </x:c>
      <x:c r="J123" s="45" t="b">
        <x:v>1</x:v>
      </x:c>
      <x:c r="K123" s="45" t="b">
        <x:v>1</x:v>
      </x:c>
      <x:c r="L123" s="45" t="b">
        <x:v>1</x:v>
      </x:c>
      <x:c r="M123" s="45" t="b">
        <x:v>1</x:v>
      </x:c>
      <x:c r="N123" s="45" t="b">
        <x:v>1</x:v>
      </x:c>
      <x:c r="O123" s="43" t="n">
        <x:v>975731.7355201977</x:v>
      </x:c>
      <x:c r="P123" s="43" t="n">
        <x:v>975731.7355201977</x:v>
      </x:c>
      <x:c r="Q123" s="43" t="n">
        <x:v>3363750.545183336</x:v>
      </x:c>
      <x:c r="R123" s="43" t="n">
        <x:v>3363750.545183336</x:v>
      </x:c>
      <x:c r="S123" s="43" t="n">
        <x:v>451</x:v>
      </x:c>
      <x:c r="T123" s="43" t="n">
        <x:v>451</x:v>
      </x:c>
      <x:c r="U123" s="43" t="n">
        <x:v>1909</x:v>
      </x:c>
      <x:c r="V123" s="43" t="n">
        <x:v>1909</x:v>
      </x:c>
      <x:c r="W123" s="43" t="n">
        <x:v>272020.5</x:v>
      </x:c>
      <x:c r="X123" s="43" t="n">
        <x:v>272020.5</x:v>
      </x:c>
      <x:c r="Y123" s="53" t="n">
        <x:f>IF(X123="","",X123/'Readme-Protocol'!$B$25)</x:f>
        <x:v>272.0205</x:v>
      </x:c>
      <x:c r="Z123" s="43" t="n">
        <x:v>76246</x:v>
      </x:c>
      <x:c r="AA123" s="43" t="n">
        <x:v>76246</x:v>
      </x:c>
    </x:row>
    <x:row r="124">
      <x:c r="A124" s="24" t="str">
        <x:v>article1-unified-v4-2-fb3f101b-20260903-000401-default-f05-p3-jcs4</x:v>
      </x:c>
      <x:c r="B124" s="24" t="str">
        <x:v>default</x:v>
      </x:c>
      <x:c r="C124" s="24" t="str">
        <x:v>jcs4</x:v>
      </x:c>
      <x:c r="D124" s="36" t="n">
        <x:v>5</x:v>
      </x:c>
      <x:c r="E124" s="36" t="n">
        <x:v>5</x:v>
      </x:c>
      <x:c r="F124" s="36" t="n">
        <x:v>3</x:v>
      </x:c>
      <x:c r="G124" s="24" t="str">
        <x:v>redeploy</x:v>
      </x:c>
      <x:c r="H124" s="24" t="str">
        <x:v>primary-all-cycles</x:v>
      </x:c>
      <x:c r="I124" s="36" t="n">
        <x:v>5</x:v>
      </x:c>
      <x:c r="J124" s="45" t="b">
        <x:v>1</x:v>
      </x:c>
      <x:c r="K124" s="45" t="b">
        <x:v>1</x:v>
      </x:c>
      <x:c r="L124" s="45" t="b">
        <x:v>1</x:v>
      </x:c>
      <x:c r="M124" s="45" t="b">
        <x:v>1</x:v>
      </x:c>
      <x:c r="N124" s="45" t="b">
        <x:v>1</x:v>
      </x:c>
      <x:c r="O124" s="43" t="n">
        <x:v>1059556.8155241455</x:v>
      </x:c>
      <x:c r="P124" s="43" t="n">
        <x:v>1059556.8155241455</x:v>
      </x:c>
      <x:c r="Q124" s="43" t="n">
        <x:v>3099424.9017094877</x:v>
      </x:c>
      <x:c r="R124" s="43" t="n">
        <x:v>3099424.9017094877</x:v>
      </x:c>
      <x:c r="S124" s="43" t="n">
        <x:v>431</x:v>
      </x:c>
      <x:c r="T124" s="43" t="n">
        <x:v>431</x:v>
      </x:c>
      <x:c r="U124" s="43" t="n">
        <x:v>1703</x:v>
      </x:c>
      <x:c r="V124" s="43" t="n">
        <x:v>1703</x:v>
      </x:c>
      <x:c r="W124" s="43" t="n">
        <x:v>270901</x:v>
      </x:c>
      <x:c r="X124" s="43" t="n">
        <x:v>270901</x:v>
      </x:c>
      <x:c r="Y124" s="53" t="n">
        <x:f>IF(X124="","",X124/'Readme-Protocol'!$B$25)</x:f>
        <x:v>270.901</x:v>
      </x:c>
      <x:c r="Z124" s="43" t="n">
        <x:v>82804</x:v>
      </x:c>
      <x:c r="AA124" s="43" t="n">
        <x:v>82804</x:v>
      </x:c>
    </x:row>
    <x:row r="125">
      <x:c r="A125" s="24" t="str">
        <x:v>article1-unified-v4-2-fb3f101b-20260903-000401-default-f05-p3-jcs4</x:v>
      </x:c>
      <x:c r="B125" s="24" t="str">
        <x:v>default</x:v>
      </x:c>
      <x:c r="C125" s="24" t="str">
        <x:v>jcs4</x:v>
      </x:c>
      <x:c r="D125" s="36" t="n">
        <x:v>5</x:v>
      </x:c>
      <x:c r="E125" s="36" t="n">
        <x:v>5</x:v>
      </x:c>
      <x:c r="F125" s="36" t="n">
        <x:v>3</x:v>
      </x:c>
      <x:c r="G125" s="24" t="str">
        <x:v>redeploy</x:v>
      </x:c>
      <x:c r="H125" s="24" t="str">
        <x:v>sensitivity-without-cycle-1</x:v>
      </x:c>
      <x:c r="I125" s="36" t="n">
        <x:v>4</x:v>
      </x:c>
      <x:c r="J125" s="45" t="b">
        <x:v>1</x:v>
      </x:c>
      <x:c r="K125" s="45" t="b">
        <x:v>1</x:v>
      </x:c>
      <x:c r="L125" s="45" t="b">
        <x:v>1</x:v>
      </x:c>
      <x:c r="M125" s="45" t="b">
        <x:v>1</x:v>
      </x:c>
      <x:c r="N125" s="45" t="b">
        <x:v>1</x:v>
      </x:c>
      <x:c r="O125" s="43" t="n">
        <x:v>1010578.3311607523</x:v>
      </x:c>
      <x:c r="P125" s="43" t="n">
        <x:v>1010578.3311607523</x:v>
      </x:c>
      <x:c r="Q125" s="43" t="n">
        <x:v>3112990.087978543</x:v>
      </x:c>
      <x:c r="R125" s="43" t="n">
        <x:v>3112990.087978543</x:v>
      </x:c>
      <x:c r="S125" s="43" t="n">
        <x:v>415.5</x:v>
      </x:c>
      <x:c r="T125" s="43" t="n">
        <x:v>415.5</x:v>
      </x:c>
      <x:c r="U125" s="43" t="n">
        <x:v>1788.5</x:v>
      </x:c>
      <x:c r="V125" s="43" t="n">
        <x:v>1788.5</x:v>
      </x:c>
      <x:c r="W125" s="43" t="n">
        <x:v>279734.5</x:v>
      </x:c>
      <x:c r="X125" s="43" t="n">
        <x:v>279734.5</x:v>
      </x:c>
      <x:c r="Y125" s="53" t="n">
        <x:f>IF(X125="","",X125/'Readme-Protocol'!$B$25)</x:f>
        <x:v>279.7345</x:v>
      </x:c>
      <x:c r="Z125" s="43" t="n">
        <x:v>78974</x:v>
      </x:c>
      <x:c r="AA125" s="43" t="n">
        <x:v>78974</x:v>
      </x:c>
    </x:row>
    <x:row r="126">
      <x:c r="A126" s="24" t="str">
        <x:v>article1-unified-v4-2-fb3f101b-20260903-000401-default-f06-p5-jcs4</x:v>
      </x:c>
      <x:c r="B126" s="24" t="str">
        <x:v>default</x:v>
      </x:c>
      <x:c r="C126" s="24" t="str">
        <x:v>jcs4</x:v>
      </x:c>
      <x:c r="D126" s="36" t="n">
        <x:v>6</x:v>
      </x:c>
      <x:c r="E126" s="36" t="n">
        <x:v>6</x:v>
      </x:c>
      <x:c r="F126" s="36" t="n">
        <x:v>5</x:v>
      </x:c>
      <x:c r="G126" s="24" t="str">
        <x:v>initial</x:v>
      </x:c>
      <x:c r="H126" s="24" t="str">
        <x:v>primary-all-cycles</x:v>
      </x:c>
      <x:c r="I126" s="36" t="n">
        <x:v>5</x:v>
      </x:c>
      <x:c r="J126" s="45" t="b">
        <x:v>1</x:v>
      </x:c>
      <x:c r="K126" s="45" t="b">
        <x:v>1</x:v>
      </x:c>
      <x:c r="L126" s="45" t="b">
        <x:v>1</x:v>
      </x:c>
      <x:c r="M126" s="45" t="b">
        <x:v>1</x:v>
      </x:c>
      <x:c r="N126" s="45" t="b">
        <x:v>1</x:v>
      </x:c>
      <x:c r="O126" s="43" t="n">
        <x:v>1166833.5036317997</x:v>
      </x:c>
      <x:c r="P126" s="43" t="n">
        <x:v>1166833.5036317997</x:v>
      </x:c>
      <x:c r="Q126" s="43" t="n">
        <x:v>3825273.7365885903</x:v>
      </x:c>
      <x:c r="R126" s="43" t="n">
        <x:v>3825273.7365885903</x:v>
      </x:c>
      <x:c r="S126" s="43" t="n">
        <x:v>371</x:v>
      </x:c>
      <x:c r="T126" s="43" t="n">
        <x:v>371</x:v>
      </x:c>
      <x:c r="U126" s="43" t="n">
        <x:v>1423</x:v>
      </x:c>
      <x:c r="V126" s="43" t="n">
        <x:v>1423</x:v>
      </x:c>
      <x:c r="W126" s="43" t="n">
        <x:v>272292</x:v>
      </x:c>
      <x:c r="X126" s="43" t="n">
        <x:v>272292</x:v>
      </x:c>
      <x:c r="Y126" s="53" t="n">
        <x:f>IF(X126="","",X126/'Readme-Protocol'!$B$25)</x:f>
        <x:v>272.292</x:v>
      </x:c>
      <x:c r="Z126" s="43" t="n">
        <x:v>91172</x:v>
      </x:c>
      <x:c r="AA126" s="43" t="n">
        <x:v>91172</x:v>
      </x:c>
    </x:row>
    <x:row r="127">
      <x:c r="A127" s="24" t="str">
        <x:v>article1-unified-v4-2-fb3f101b-20260903-000401-default-f06-p5-jcs4</x:v>
      </x:c>
      <x:c r="B127" s="24" t="str">
        <x:v>default</x:v>
      </x:c>
      <x:c r="C127" s="24" t="str">
        <x:v>jcs4</x:v>
      </x:c>
      <x:c r="D127" s="36" t="n">
        <x:v>6</x:v>
      </x:c>
      <x:c r="E127" s="36" t="n">
        <x:v>6</x:v>
      </x:c>
      <x:c r="F127" s="36" t="n">
        <x:v>5</x:v>
      </x:c>
      <x:c r="G127" s="24" t="str">
        <x:v>initial</x:v>
      </x:c>
      <x:c r="H127" s="24" t="str">
        <x:v>sensitivity-without-cycle-1</x:v>
      </x:c>
      <x:c r="I127" s="36" t="n">
        <x:v>4</x:v>
      </x:c>
      <x:c r="J127" s="45" t="b">
        <x:v>1</x:v>
      </x:c>
      <x:c r="K127" s="45" t="b">
        <x:v>1</x:v>
      </x:c>
      <x:c r="L127" s="45" t="b">
        <x:v>1</x:v>
      </x:c>
      <x:c r="M127" s="45" t="b">
        <x:v>1</x:v>
      </x:c>
      <x:c r="N127" s="45" t="b">
        <x:v>1</x:v>
      </x:c>
      <x:c r="O127" s="43" t="n">
        <x:v>1200978.7384309336</x:v>
      </x:c>
      <x:c r="P127" s="43" t="n">
        <x:v>1200978.7384309336</x:v>
      </x:c>
      <x:c r="Q127" s="43" t="n">
        <x:v>3992347.1729676956</x:v>
      </x:c>
      <x:c r="R127" s="43" t="n">
        <x:v>3992347.1729676956</x:v>
      </x:c>
      <x:c r="S127" s="43" t="n">
        <x:v>371</x:v>
      </x:c>
      <x:c r="T127" s="43" t="n">
        <x:v>371</x:v>
      </x:c>
      <x:c r="U127" s="43" t="n">
        <x:v>1378</x:v>
      </x:c>
      <x:c r="V127" s="43" t="n">
        <x:v>1378</x:v>
      </x:c>
      <x:c r="W127" s="43" t="n">
        <x:v>264120.5</x:v>
      </x:c>
      <x:c r="X127" s="43" t="n">
        <x:v>264120.5</x:v>
      </x:c>
      <x:c r="Y127" s="53" t="n">
        <x:f>IF(X127="","",X127/'Readme-Protocol'!$B$25)</x:f>
        <x:v>264.1205</x:v>
      </x:c>
      <x:c r="Z127" s="43" t="n">
        <x:v>93852</x:v>
      </x:c>
      <x:c r="AA127" s="43" t="n">
        <x:v>93852</x:v>
      </x:c>
    </x:row>
    <x:row r="128">
      <x:c r="A128" s="24" t="str">
        <x:v>article1-unified-v4-2-fb3f101b-20260903-000401-default-f06-p5-jcs4</x:v>
      </x:c>
      <x:c r="B128" s="24" t="str">
        <x:v>default</x:v>
      </x:c>
      <x:c r="C128" s="24" t="str">
        <x:v>jcs4</x:v>
      </x:c>
      <x:c r="D128" s="36" t="n">
        <x:v>6</x:v>
      </x:c>
      <x:c r="E128" s="36" t="n">
        <x:v>6</x:v>
      </x:c>
      <x:c r="F128" s="36" t="n">
        <x:v>5</x:v>
      </x:c>
      <x:c r="G128" s="24" t="str">
        <x:v>redeploy</x:v>
      </x:c>
      <x:c r="H128" s="24" t="str">
        <x:v>primary-all-cycles</x:v>
      </x:c>
      <x:c r="I128" s="36" t="n">
        <x:v>5</x:v>
      </x:c>
      <x:c r="J128" s="45" t="b">
        <x:v>1</x:v>
      </x:c>
      <x:c r="K128" s="45" t="b">
        <x:v>1</x:v>
      </x:c>
      <x:c r="L128" s="45" t="b">
        <x:v>1</x:v>
      </x:c>
      <x:c r="M128" s="45" t="b">
        <x:v>1</x:v>
      </x:c>
      <x:c r="N128" s="45" t="b">
        <x:v>1</x:v>
      </x:c>
      <x:c r="O128" s="43" t="n">
        <x:v>1124269.4677364654</x:v>
      </x:c>
      <x:c r="P128" s="43" t="n">
        <x:v>1124269.4677364654</x:v>
      </x:c>
      <x:c r="Q128" s="43" t="n">
        <x:v>3814743.832322172</x:v>
      </x:c>
      <x:c r="R128" s="43" t="n">
        <x:v>3814743.832322172</x:v>
      </x:c>
      <x:c r="S128" s="43" t="n">
        <x:v>371</x:v>
      </x:c>
      <x:c r="T128" s="43" t="n">
        <x:v>371</x:v>
      </x:c>
      <x:c r="U128" s="43" t="n">
        <x:v>1533</x:v>
      </x:c>
      <x:c r="V128" s="43" t="n">
        <x:v>1533</x:v>
      </x:c>
      <x:c r="W128" s="43" t="n">
        <x:v>267513</x:v>
      </x:c>
      <x:c r="X128" s="43" t="n">
        <x:v>267513</x:v>
      </x:c>
      <x:c r="Y128" s="53" t="n">
        <x:f>IF(X128="","",X128/'Readme-Protocol'!$B$25)</x:f>
        <x:v>267.513</x:v>
      </x:c>
      <x:c r="Z128" s="43" t="n">
        <x:v>87884</x:v>
      </x:c>
      <x:c r="AA128" s="43" t="n">
        <x:v>87884</x:v>
      </x:c>
    </x:row>
    <x:row r="129">
      <x:c r="A129" s="24" t="str">
        <x:v>article1-unified-v4-2-fb3f101b-20260903-000401-default-f06-p5-jcs4</x:v>
      </x:c>
      <x:c r="B129" s="24" t="str">
        <x:v>default</x:v>
      </x:c>
      <x:c r="C129" s="24" t="str">
        <x:v>jcs4</x:v>
      </x:c>
      <x:c r="D129" s="36" t="n">
        <x:v>6</x:v>
      </x:c>
      <x:c r="E129" s="36" t="n">
        <x:v>6</x:v>
      </x:c>
      <x:c r="F129" s="36" t="n">
        <x:v>5</x:v>
      </x:c>
      <x:c r="G129" s="24" t="str">
        <x:v>redeploy</x:v>
      </x:c>
      <x:c r="H129" s="24" t="str">
        <x:v>sensitivity-without-cycle-1</x:v>
      </x:c>
      <x:c r="I129" s="36" t="n">
        <x:v>4</x:v>
      </x:c>
      <x:c r="J129" s="45" t="b">
        <x:v>1</x:v>
      </x:c>
      <x:c r="K129" s="45" t="b">
        <x:v>1</x:v>
      </x:c>
      <x:c r="L129" s="45" t="b">
        <x:v>1</x:v>
      </x:c>
      <x:c r="M129" s="45" t="b">
        <x:v>1</x:v>
      </x:c>
      <x:c r="N129" s="45" t="b">
        <x:v>1</x:v>
      </x:c>
      <x:c r="O129" s="43" t="n">
        <x:v>1081313.7292910146</x:v>
      </x:c>
      <x:c r="P129" s="43" t="n">
        <x:v>1081313.7292910146</x:v>
      </x:c>
      <x:c r="Q129" s="43" t="n">
        <x:v>3865571.4065592503</x:v>
      </x:c>
      <x:c r="R129" s="43" t="n">
        <x:v>3865571.4065592503</x:v>
      </x:c>
      <x:c r="S129" s="43" t="n">
        <x:v>411</x:v>
      </x:c>
      <x:c r="T129" s="43" t="n">
        <x:v>411</x:v>
      </x:c>
      <x:c r="U129" s="43" t="n">
        <x:v>1643.5</x:v>
      </x:c>
      <x:c r="V129" s="43" t="n">
        <x:v>1643.5</x:v>
      </x:c>
      <x:c r="W129" s="43" t="n">
        <x:v>271733.5</x:v>
      </x:c>
      <x:c r="X129" s="43" t="n">
        <x:v>271733.5</x:v>
      </x:c>
      <x:c r="Y129" s="53" t="n">
        <x:f>IF(X129="","",X129/'Readme-Protocol'!$B$25)</x:f>
        <x:v>271.7335</x:v>
      </x:c>
      <x:c r="Z129" s="43" t="n">
        <x:v>84510</x:v>
      </x:c>
      <x:c r="AA129" s="43" t="n">
        <x:v>84510</x:v>
      </x:c>
    </x:row>
    <x:row r="130">
      <x:c r="A130" s="24" t="str">
        <x:v>article1-unified-v4-2-fb3f101b-20260903-000401-default-f01-p5-jcs321</x:v>
      </x:c>
      <x:c r="B130" s="24" t="str">
        <x:v>default</x:v>
      </x:c>
      <x:c r="C130" s="24" t="str">
        <x:v>jcs321</x:v>
      </x:c>
      <x:c r="D130" s="36" t="n">
        <x:v>1</x:v>
      </x:c>
      <x:c r="E130" s="36" t="n">
        <x:v>1</x:v>
      </x:c>
      <x:c r="F130" s="36" t="n">
        <x:v>5</x:v>
      </x:c>
      <x:c r="G130" s="24" t="str">
        <x:v>initial</x:v>
      </x:c>
      <x:c r="H130" s="24" t="str">
        <x:v>primary-all-cycles</x:v>
      </x:c>
      <x:c r="I130" s="36" t="n">
        <x:v>5</x:v>
      </x:c>
      <x:c r="J130" s="45" t="b">
        <x:v>1</x:v>
      </x:c>
      <x:c r="K130" s="45" t="b">
        <x:v>1</x:v>
      </x:c>
      <x:c r="L130" s="45" t="b">
        <x:v>0</x:v>
      </x:c>
      <x:c r="M130" s="45" t="b">
        <x:v>0</x:v>
      </x:c>
      <x:c r="N130" s="45" t="b">
        <x:v>1</x:v>
      </x:c>
      <x:c r="O130" s="43" t="n">
        <x:v>2352356.5641239956</x:v>
      </x:c>
      <x:c r="P130" s="43"/>
      <x:c r="Q130" s="43" t="n">
        <x:v>3402952.060912842</x:v>
      </x:c>
      <x:c r="R130" s="43"/>
      <x:c r="S130" s="43" t="n">
        <x:v>411</x:v>
      </x:c>
      <x:c r="T130" s="43"/>
      <x:c r="U130" s="43" t="n">
        <x:v>1072</x:v>
      </x:c>
      <x:c r="V130" s="43"/>
      <x:c r="W130" s="43" t="n">
        <x:v>212126</x:v>
      </x:c>
      <x:c r="X130" s="43"/>
      <x:c r="Y130" s="53" t="str">
        <x:f>IF(X130="","",X130/'Readme-Protocol'!$B$25)</x:f>
      </x:c>
      <x:c r="Z130" s="43" t="n">
        <x:v>183808</x:v>
      </x:c>
      <x:c r="AA130" s="43"/>
    </x:row>
    <x:row r="131">
      <x:c r="A131" s="24" t="str">
        <x:v>article1-unified-v4-2-fb3f101b-20260903-000401-default-f01-p5-jcs321</x:v>
      </x:c>
      <x:c r="B131" s="24" t="str">
        <x:v>default</x:v>
      </x:c>
      <x:c r="C131" s="24" t="str">
        <x:v>jcs321</x:v>
      </x:c>
      <x:c r="D131" s="36" t="n">
        <x:v>1</x:v>
      </x:c>
      <x:c r="E131" s="36" t="n">
        <x:v>1</x:v>
      </x:c>
      <x:c r="F131" s="36" t="n">
        <x:v>5</x:v>
      </x:c>
      <x:c r="G131" s="24" t="str">
        <x:v>initial</x:v>
      </x:c>
      <x:c r="H131" s="24" t="str">
        <x:v>sensitivity-without-cycle-1</x:v>
      </x:c>
      <x:c r="I131" s="36" t="n">
        <x:v>4</x:v>
      </x:c>
      <x:c r="J131" s="45" t="b">
        <x:v>1</x:v>
      </x:c>
      <x:c r="K131" s="45" t="b">
        <x:v>1</x:v>
      </x:c>
      <x:c r="L131" s="45" t="b">
        <x:v>0</x:v>
      </x:c>
      <x:c r="M131" s="45" t="b">
        <x:v>0</x:v>
      </x:c>
      <x:c r="N131" s="45" t="b">
        <x:v>1</x:v>
      </x:c>
      <x:c r="O131" s="43" t="n">
        <x:v>2424934.2762851985</x:v>
      </x:c>
      <x:c r="P131" s="43"/>
      <x:c r="Q131" s="43" t="n">
        <x:v>3421628.5460590646</x:v>
      </x:c>
      <x:c r="R131" s="43"/>
      <x:c r="S131" s="43" t="n">
        <x:v>386</x:v>
      </x:c>
      <x:c r="T131" s="43"/>
      <x:c r="U131" s="43" t="n">
        <x:v>1052</x:v>
      </x:c>
      <x:c r="V131" s="43"/>
      <x:c r="W131" s="43" t="n">
        <x:v>209991.5</x:v>
      </x:c>
      <x:c r="X131" s="43"/>
      <x:c r="Y131" s="53" t="str">
        <x:f>IF(X131="","",X131/'Readme-Protocol'!$B$25)</x:f>
      </x:c>
      <x:c r="Z131" s="43" t="n">
        <x:v>189474</x:v>
      </x:c>
      <x:c r="AA131" s="43"/>
    </x:row>
    <x:row r="132">
      <x:c r="A132" s="24" t="str">
        <x:v>article1-unified-v4-2-fb3f101b-20260903-000401-default-f01-p5-jcs321</x:v>
      </x:c>
      <x:c r="B132" s="24" t="str">
        <x:v>default</x:v>
      </x:c>
      <x:c r="C132" s="24" t="str">
        <x:v>jcs321</x:v>
      </x:c>
      <x:c r="D132" s="36" t="n">
        <x:v>1</x:v>
      </x:c>
      <x:c r="E132" s="36" t="n">
        <x:v>1</x:v>
      </x:c>
      <x:c r="F132" s="36" t="n">
        <x:v>5</x:v>
      </x:c>
      <x:c r="G132" s="24" t="str">
        <x:v>redeploy</x:v>
      </x:c>
      <x:c r="H132" s="24" t="str">
        <x:v>primary-all-cycles</x:v>
      </x:c>
      <x:c r="I132" s="36" t="n">
        <x:v>5</x:v>
      </x:c>
      <x:c r="J132" s="45" t="b">
        <x:v>1</x:v>
      </x:c>
      <x:c r="K132" s="45" t="b">
        <x:v>1</x:v>
      </x:c>
      <x:c r="L132" s="45" t="b">
        <x:v>0</x:v>
      </x:c>
      <x:c r="M132" s="45" t="b">
        <x:v>0</x:v>
      </x:c>
      <x:c r="N132" s="45" t="b">
        <x:v>1</x:v>
      </x:c>
      <x:c r="O132" s="43" t="n">
        <x:v>2244704.4706340367</x:v>
      </x:c>
      <x:c r="P132" s="43"/>
      <x:c r="Q132" s="43" t="n">
        <x:v>3536868.315318884</x:v>
      </x:c>
      <x:c r="R132" s="43"/>
      <x:c r="S132" s="43" t="n">
        <x:v>441</x:v>
      </x:c>
      <x:c r="T132" s="43"/>
      <x:c r="U132" s="43" t="n">
        <x:v>1092</x:v>
      </x:c>
      <x:c r="V132" s="43"/>
      <x:c r="W132" s="43" t="n">
        <x:v>216315</x:v>
      </x:c>
      <x:c r="X132" s="43"/>
      <x:c r="Y132" s="53" t="str">
        <x:f>IF(X132="","",X132/'Readme-Protocol'!$B$25)</x:f>
      </x:c>
      <x:c r="Z132" s="43" t="n">
        <x:v>175400</x:v>
      </x:c>
      <x:c r="AA132" s="43"/>
    </x:row>
    <x:row r="133">
      <x:c r="A133" s="24" t="str">
        <x:v>article1-unified-v4-2-fb3f101b-20260903-000401-default-f01-p5-jcs321</x:v>
      </x:c>
      <x:c r="B133" s="24" t="str">
        <x:v>default</x:v>
      </x:c>
      <x:c r="C133" s="24" t="str">
        <x:v>jcs321</x:v>
      </x:c>
      <x:c r="D133" s="36" t="n">
        <x:v>1</x:v>
      </x:c>
      <x:c r="E133" s="36" t="n">
        <x:v>1</x:v>
      </x:c>
      <x:c r="F133" s="36" t="n">
        <x:v>5</x:v>
      </x:c>
      <x:c r="G133" s="24" t="str">
        <x:v>redeploy</x:v>
      </x:c>
      <x:c r="H133" s="24" t="str">
        <x:v>sensitivity-without-cycle-1</x:v>
      </x:c>
      <x:c r="I133" s="36" t="n">
        <x:v>4</x:v>
      </x:c>
      <x:c r="J133" s="45" t="b">
        <x:v>1</x:v>
      </x:c>
      <x:c r="K133" s="45" t="b">
        <x:v>1</x:v>
      </x:c>
      <x:c r="L133" s="45" t="b">
        <x:v>0</x:v>
      </x:c>
      <x:c r="M133" s="45" t="b">
        <x:v>0</x:v>
      </x:c>
      <x:c r="N133" s="45" t="b">
        <x:v>1</x:v>
      </x:c>
      <x:c r="O133" s="43" t="n">
        <x:v>2399203.0042558853</x:v>
      </x:c>
      <x:c r="P133" s="43"/>
      <x:c r="Q133" s="43" t="n">
        <x:v>3513249.9609447205</x:v>
      </x:c>
      <x:c r="R133" s="43"/>
      <x:c r="S133" s="43" t="n">
        <x:v>395.5</x:v>
      </x:c>
      <x:c r="T133" s="43"/>
      <x:c r="U133" s="43" t="n">
        <x:v>1032</x:v>
      </x:c>
      <x:c r="V133" s="43"/>
      <x:c r="W133" s="43" t="n">
        <x:v>211269.5</x:v>
      </x:c>
      <x:c r="X133" s="43"/>
      <x:c r="Y133" s="53" t="str">
        <x:f>IF(X133="","",X133/'Readme-Protocol'!$B$25)</x:f>
      </x:c>
      <x:c r="Z133" s="43" t="n">
        <x:v>187468</x:v>
      </x:c>
      <x:c r="AA133" s="43"/>
    </x:row>
    <x:row r="134">
      <x:c r="A134" s="24" t="str">
        <x:v>article1-unified-v4-2-fb3f101b-20260903-000401-default-f02-p6-jcs321</x:v>
      </x:c>
      <x:c r="B134" s="24" t="str">
        <x:v>default</x:v>
      </x:c>
      <x:c r="C134" s="24" t="str">
        <x:v>jcs321</x:v>
      </x:c>
      <x:c r="D134" s="36" t="n">
        <x:v>2</x:v>
      </x:c>
      <x:c r="E134" s="36" t="n">
        <x:v>2</x:v>
      </x:c>
      <x:c r="F134" s="36" t="n">
        <x:v>6</x:v>
      </x:c>
      <x:c r="G134" s="24" t="str">
        <x:v>initial</x:v>
      </x:c>
      <x:c r="H134" s="24" t="str">
        <x:v>primary-all-cycles</x:v>
      </x:c>
      <x:c r="I134" s="36" t="n">
        <x:v>5</x:v>
      </x:c>
      <x:c r="J134" s="45" t="b">
        <x:v>1</x:v>
      </x:c>
      <x:c r="K134" s="45" t="b">
        <x:v>1</x:v>
      </x:c>
      <x:c r="L134" s="45" t="b">
        <x:v>0</x:v>
      </x:c>
      <x:c r="M134" s="45" t="b">
        <x:v>0</x:v>
      </x:c>
      <x:c r="N134" s="45" t="b">
        <x:v>1</x:v>
      </x:c>
      <x:c r="O134" s="43" t="n">
        <x:v>2568048.016449769</x:v>
      </x:c>
      <x:c r="P134" s="43"/>
      <x:c r="Q134" s="43" t="n">
        <x:v>3369985.2933841795</x:v>
      </x:c>
      <x:c r="R134" s="43"/>
      <x:c r="S134" s="43" t="n">
        <x:v>341</x:v>
      </x:c>
      <x:c r="T134" s="43"/>
      <x:c r="U134" s="43" t="n">
        <x:v>992</x:v>
      </x:c>
      <x:c r="V134" s="43"/>
      <x:c r="W134" s="43" t="n">
        <x:v>204764</x:v>
      </x:c>
      <x:c r="X134" s="43"/>
      <x:c r="Y134" s="53" t="str">
        <x:f>IF(X134="","",X134/'Readme-Protocol'!$B$25)</x:f>
      </x:c>
      <x:c r="Z134" s="43" t="n">
        <x:v>200656</x:v>
      </x:c>
      <x:c r="AA134" s="43"/>
    </x:row>
    <x:row r="135">
      <x:c r="A135" s="24" t="str">
        <x:v>article1-unified-v4-2-fb3f101b-20260903-000401-default-f02-p6-jcs321</x:v>
      </x:c>
      <x:c r="B135" s="24" t="str">
        <x:v>default</x:v>
      </x:c>
      <x:c r="C135" s="24" t="str">
        <x:v>jcs321</x:v>
      </x:c>
      <x:c r="D135" s="36" t="n">
        <x:v>2</x:v>
      </x:c>
      <x:c r="E135" s="36" t="n">
        <x:v>2</x:v>
      </x:c>
      <x:c r="F135" s="36" t="n">
        <x:v>6</x:v>
      </x:c>
      <x:c r="G135" s="24" t="str">
        <x:v>initial</x:v>
      </x:c>
      <x:c r="H135" s="24" t="str">
        <x:v>sensitivity-without-cycle-1</x:v>
      </x:c>
      <x:c r="I135" s="36" t="n">
        <x:v>4</x:v>
      </x:c>
      <x:c r="J135" s="45" t="b">
        <x:v>1</x:v>
      </x:c>
      <x:c r="K135" s="45" t="b">
        <x:v>1</x:v>
      </x:c>
      <x:c r="L135" s="45" t="b">
        <x:v>0</x:v>
      </x:c>
      <x:c r="M135" s="45" t="b">
        <x:v>0</x:v>
      </x:c>
      <x:c r="N135" s="45" t="b">
        <x:v>1</x:v>
      </x:c>
      <x:c r="O135" s="43" t="n">
        <x:v>2548600.654510091</x:v>
      </x:c>
      <x:c r="P135" s="43"/>
      <x:c r="Q135" s="43" t="n">
        <x:v>3147567.6914176345</x:v>
      </x:c>
      <x:c r="R135" s="43"/>
      <x:c r="S135" s="43" t="n">
        <x:v>341</x:v>
      </x:c>
      <x:c r="T135" s="43"/>
      <x:c r="U135" s="43" t="n">
        <x:v>992</x:v>
      </x:c>
      <x:c r="V135" s="43"/>
      <x:c r="W135" s="43" t="n">
        <x:v>206439.5</x:v>
      </x:c>
      <x:c r="X135" s="43"/>
      <x:c r="Y135" s="53" t="str">
        <x:f>IF(X135="","",X135/'Readme-Protocol'!$B$25)</x:f>
      </x:c>
      <x:c r="Z135" s="43" t="n">
        <x:v>199138</x:v>
      </x:c>
      <x:c r="AA135" s="43"/>
    </x:row>
    <x:row r="136">
      <x:c r="A136" s="24" t="str">
        <x:v>article1-unified-v4-2-fb3f101b-20260903-000401-default-f02-p6-jcs321</x:v>
      </x:c>
      <x:c r="B136" s="24" t="str">
        <x:v>default</x:v>
      </x:c>
      <x:c r="C136" s="24" t="str">
        <x:v>jcs321</x:v>
      </x:c>
      <x:c r="D136" s="36" t="n">
        <x:v>2</x:v>
      </x:c>
      <x:c r="E136" s="36" t="n">
        <x:v>2</x:v>
      </x:c>
      <x:c r="F136" s="36" t="n">
        <x:v>6</x:v>
      </x:c>
      <x:c r="G136" s="24" t="str">
        <x:v>redeploy</x:v>
      </x:c>
      <x:c r="H136" s="24" t="str">
        <x:v>primary-all-cycles</x:v>
      </x:c>
      <x:c r="I136" s="36" t="n">
        <x:v>5</x:v>
      </x:c>
      <x:c r="J136" s="45" t="b">
        <x:v>1</x:v>
      </x:c>
      <x:c r="K136" s="45" t="b">
        <x:v>1</x:v>
      </x:c>
      <x:c r="L136" s="45" t="b">
        <x:v>0</x:v>
      </x:c>
      <x:c r="M136" s="45" t="b">
        <x:v>0</x:v>
      </x:c>
      <x:c r="N136" s="45" t="b">
        <x:v>1</x:v>
      </x:c>
      <x:c r="O136" s="43" t="n">
        <x:v>2828222.849653872</x:v>
      </x:c>
      <x:c r="P136" s="43"/>
      <x:c r="Q136" s="43" t="n">
        <x:v>3151658.1030863244</x:v>
      </x:c>
      <x:c r="R136" s="43"/>
      <x:c r="S136" s="43" t="n">
        <x:v>301</x:v>
      </x:c>
      <x:c r="T136" s="43"/>
      <x:c r="U136" s="43" t="n">
        <x:v>862</x:v>
      </x:c>
      <x:c r="V136" s="43"/>
      <x:c r="W136" s="43" t="n">
        <x:v>200132</x:v>
      </x:c>
      <x:c r="X136" s="43"/>
      <x:c r="Y136" s="53" t="str">
        <x:f>IF(X136="","",X136/'Readme-Protocol'!$B$25)</x:f>
      </x:c>
      <x:c r="Z136" s="43" t="n">
        <x:v>221000</x:v>
      </x:c>
      <x:c r="AA136" s="43"/>
    </x:row>
    <x:row r="137">
      <x:c r="A137" s="24" t="str">
        <x:v>article1-unified-v4-2-fb3f101b-20260903-000401-default-f02-p6-jcs321</x:v>
      </x:c>
      <x:c r="B137" s="24" t="str">
        <x:v>default</x:v>
      </x:c>
      <x:c r="C137" s="24" t="str">
        <x:v>jcs321</x:v>
      </x:c>
      <x:c r="D137" s="36" t="n">
        <x:v>2</x:v>
      </x:c>
      <x:c r="E137" s="36" t="n">
        <x:v>2</x:v>
      </x:c>
      <x:c r="F137" s="36" t="n">
        <x:v>6</x:v>
      </x:c>
      <x:c r="G137" s="24" t="str">
        <x:v>redeploy</x:v>
      </x:c>
      <x:c r="H137" s="24" t="str">
        <x:v>sensitivity-without-cycle-1</x:v>
      </x:c>
      <x:c r="I137" s="36" t="n">
        <x:v>4</x:v>
      </x:c>
      <x:c r="J137" s="45" t="b">
        <x:v>1</x:v>
      </x:c>
      <x:c r="K137" s="45" t="b">
        <x:v>1</x:v>
      </x:c>
      <x:c r="L137" s="45" t="b">
        <x:v>0</x:v>
      </x:c>
      <x:c r="M137" s="45" t="b">
        <x:v>0</x:v>
      </x:c>
      <x:c r="N137" s="45" t="b">
        <x:v>1</x:v>
      </x:c>
      <x:c r="O137" s="43" t="n">
        <x:v>2667995.1638307706</x:v>
      </x:c>
      <x:c r="P137" s="43"/>
      <x:c r="Q137" s="43" t="n">
        <x:v>3469448.5385540687</x:v>
      </x:c>
      <x:c r="R137" s="43"/>
      <x:c r="S137" s="43" t="n">
        <x:v>316</x:v>
      </x:c>
      <x:c r="T137" s="43"/>
      <x:c r="U137" s="43" t="n">
        <x:v>907</x:v>
      </x:c>
      <x:c r="V137" s="43"/>
      <x:c r="W137" s="43" t="n">
        <x:v>202670.5</x:v>
      </x:c>
      <x:c r="X137" s="43"/>
      <x:c r="Y137" s="53" t="str">
        <x:f>IF(X137="","",X137/'Readme-Protocol'!$B$25)</x:f>
      </x:c>
      <x:c r="Z137" s="43" t="n">
        <x:v>208474</x:v>
      </x:c>
      <x:c r="AA137" s="43"/>
    </x:row>
    <x:row r="138">
      <x:c r="A138" s="24" t="str">
        <x:v>article1-unified-v4-2-fb3f101b-20260903-000401-default-f03-p4-jcs321</x:v>
      </x:c>
      <x:c r="B138" s="24" t="str">
        <x:v>default</x:v>
      </x:c>
      <x:c r="C138" s="24" t="str">
        <x:v>jcs321</x:v>
      </x:c>
      <x:c r="D138" s="36" t="n">
        <x:v>3</x:v>
      </x:c>
      <x:c r="E138" s="36" t="n">
        <x:v>3</x:v>
      </x:c>
      <x:c r="F138" s="36" t="n">
        <x:v>4</x:v>
      </x:c>
      <x:c r="G138" s="24" t="str">
        <x:v>initial</x:v>
      </x:c>
      <x:c r="H138" s="24" t="str">
        <x:v>primary-all-cycles</x:v>
      </x:c>
      <x:c r="I138" s="36" t="n">
        <x:v>5</x:v>
      </x:c>
      <x:c r="J138" s="45" t="b">
        <x:v>1</x:v>
      </x:c>
      <x:c r="K138" s="45" t="b">
        <x:v>1</x:v>
      </x:c>
      <x:c r="L138" s="45" t="b">
        <x:v>0</x:v>
      </x:c>
      <x:c r="M138" s="45" t="b">
        <x:v>0</x:v>
      </x:c>
      <x:c r="N138" s="45" t="b">
        <x:v>1</x:v>
      </x:c>
      <x:c r="O138" s="43" t="n">
        <x:v>3046185.732543699</x:v>
      </x:c>
      <x:c r="P138" s="43"/>
      <x:c r="Q138" s="43" t="n">
        <x:v>3568792.763059283</x:v>
      </x:c>
      <x:c r="R138" s="43"/>
      <x:c r="S138" s="43" t="n">
        <x:v>291</x:v>
      </x:c>
      <x:c r="T138" s="43"/>
      <x:c r="U138" s="43" t="n">
        <x:v>812</x:v>
      </x:c>
      <x:c r="V138" s="43"/>
      <x:c r="W138" s="43" t="n">
        <x:v>192433</x:v>
      </x:c>
      <x:c r="X138" s="43"/>
      <x:c r="Y138" s="53" t="str">
        <x:f>IF(X138="","",X138/'Readme-Protocol'!$B$25)</x:f>
      </x:c>
      <x:c r="Z138" s="43" t="n">
        <x:v>238008</x:v>
      </x:c>
      <x:c r="AA138" s="43"/>
    </x:row>
    <x:row r="139">
      <x:c r="A139" s="24" t="str">
        <x:v>article1-unified-v4-2-fb3f101b-20260903-000401-default-f03-p4-jcs321</x:v>
      </x:c>
      <x:c r="B139" s="24" t="str">
        <x:v>default</x:v>
      </x:c>
      <x:c r="C139" s="24" t="str">
        <x:v>jcs321</x:v>
      </x:c>
      <x:c r="D139" s="36" t="n">
        <x:v>3</x:v>
      </x:c>
      <x:c r="E139" s="36" t="n">
        <x:v>3</x:v>
      </x:c>
      <x:c r="F139" s="36" t="n">
        <x:v>4</x:v>
      </x:c>
      <x:c r="G139" s="24" t="str">
        <x:v>initial</x:v>
      </x:c>
      <x:c r="H139" s="24" t="str">
        <x:v>sensitivity-without-cycle-1</x:v>
      </x:c>
      <x:c r="I139" s="36" t="n">
        <x:v>4</x:v>
      </x:c>
      <x:c r="J139" s="45" t="b">
        <x:v>1</x:v>
      </x:c>
      <x:c r="K139" s="45" t="b">
        <x:v>1</x:v>
      </x:c>
      <x:c r="L139" s="45" t="b">
        <x:v>0</x:v>
      </x:c>
      <x:c r="M139" s="45" t="b">
        <x:v>0</x:v>
      </x:c>
      <x:c r="N139" s="45" t="b">
        <x:v>1</x:v>
      </x:c>
      <x:c r="O139" s="43" t="n">
        <x:v>3095050.078579996</x:v>
      </x:c>
      <x:c r="P139" s="43"/>
      <x:c r="Q139" s="43" t="n">
        <x:v>3578657.1156047704</x:v>
      </x:c>
      <x:c r="R139" s="43"/>
      <x:c r="S139" s="43" t="n">
        <x:v>280.5</x:v>
      </x:c>
      <x:c r="T139" s="43"/>
      <x:c r="U139" s="43" t="n">
        <x:v>797</x:v>
      </x:c>
      <x:c r="V139" s="43"/>
      <x:c r="W139" s="43" t="n">
        <x:v>192244</x:v>
      </x:c>
      <x:c r="X139" s="43"/>
      <x:c r="Y139" s="53" t="str">
        <x:f>IF(X139="","",X139/'Readme-Protocol'!$B$25)</x:f>
      </x:c>
      <x:c r="Z139" s="43" t="n">
        <x:v>241828</x:v>
      </x:c>
      <x:c r="AA139" s="43"/>
    </x:row>
    <x:row r="140">
      <x:c r="A140" s="24" t="str">
        <x:v>article1-unified-v4-2-fb3f101b-20260903-000401-default-f03-p4-jcs321</x:v>
      </x:c>
      <x:c r="B140" s="24" t="str">
        <x:v>default</x:v>
      </x:c>
      <x:c r="C140" s="24" t="str">
        <x:v>jcs321</x:v>
      </x:c>
      <x:c r="D140" s="36" t="n">
        <x:v>3</x:v>
      </x:c>
      <x:c r="E140" s="36" t="n">
        <x:v>3</x:v>
      </x:c>
      <x:c r="F140" s="36" t="n">
        <x:v>4</x:v>
      </x:c>
      <x:c r="G140" s="24" t="str">
        <x:v>redeploy</x:v>
      </x:c>
      <x:c r="H140" s="24" t="str">
        <x:v>primary-all-cycles</x:v>
      </x:c>
      <x:c r="I140" s="36" t="n">
        <x:v>5</x:v>
      </x:c>
      <x:c r="J140" s="45" t="b">
        <x:v>1</x:v>
      </x:c>
      <x:c r="K140" s="45" t="b">
        <x:v>1</x:v>
      </x:c>
      <x:c r="L140" s="45" t="b">
        <x:v>0</x:v>
      </x:c>
      <x:c r="M140" s="45" t="b">
        <x:v>0</x:v>
      </x:c>
      <x:c r="N140" s="45" t="b">
        <x:v>1</x:v>
      </x:c>
      <x:c r="O140" s="43" t="n">
        <x:v>2842008.5230164374</x:v>
      </x:c>
      <x:c r="P140" s="43"/>
      <x:c r="Q140" s="43" t="n">
        <x:v>3886684.4910017424</x:v>
      </x:c>
      <x:c r="R140" s="43"/>
      <x:c r="S140" s="43" t="n">
        <x:v>291</x:v>
      </x:c>
      <x:c r="T140" s="43"/>
      <x:c r="U140" s="43" t="n">
        <x:v>872</x:v>
      </x:c>
      <x:c r="V140" s="43"/>
      <x:c r="W140" s="43" t="n">
        <x:v>194496</x:v>
      </x:c>
      <x:c r="X140" s="43"/>
      <x:c r="Y140" s="53" t="str">
        <x:f>IF(X140="","",X140/'Readme-Protocol'!$B$25)</x:f>
      </x:c>
      <x:c r="Z140" s="43" t="n">
        <x:v>222096</x:v>
      </x:c>
      <x:c r="AA140" s="43"/>
    </x:row>
    <x:row r="141">
      <x:c r="A141" s="24" t="str">
        <x:v>article1-unified-v4-2-fb3f101b-20260903-000401-default-f03-p4-jcs321</x:v>
      </x:c>
      <x:c r="B141" s="24" t="str">
        <x:v>default</x:v>
      </x:c>
      <x:c r="C141" s="24" t="str">
        <x:v>jcs321</x:v>
      </x:c>
      <x:c r="D141" s="36" t="n">
        <x:v>3</x:v>
      </x:c>
      <x:c r="E141" s="36" t="n">
        <x:v>3</x:v>
      </x:c>
      <x:c r="F141" s="36" t="n">
        <x:v>4</x:v>
      </x:c>
      <x:c r="G141" s="24" t="str">
        <x:v>redeploy</x:v>
      </x:c>
      <x:c r="H141" s="24" t="str">
        <x:v>sensitivity-without-cycle-1</x:v>
      </x:c>
      <x:c r="I141" s="36" t="n">
        <x:v>4</x:v>
      </x:c>
      <x:c r="J141" s="45" t="b">
        <x:v>1</x:v>
      </x:c>
      <x:c r="K141" s="45" t="b">
        <x:v>1</x:v>
      </x:c>
      <x:c r="L141" s="45" t="b">
        <x:v>0</x:v>
      </x:c>
      <x:c r="M141" s="45" t="b">
        <x:v>0</x:v>
      </x:c>
      <x:c r="N141" s="45" t="b">
        <x:v>1</x:v>
      </x:c>
      <x:c r="O141" s="43" t="n">
        <x:v>2949846.258449049</x:v>
      </x:c>
      <x:c r="P141" s="43"/>
      <x:c r="Q141" s="43" t="n">
        <x:v>3770879.0584886633</x:v>
      </x:c>
      <x:c r="R141" s="43"/>
      <x:c r="S141" s="43" t="n">
        <x:v>286</x:v>
      </x:c>
      <x:c r="T141" s="43"/>
      <x:c r="U141" s="43" t="n">
        <x:v>852</x:v>
      </x:c>
      <x:c r="V141" s="43"/>
      <x:c r="W141" s="43" t="n">
        <x:v>193540</x:v>
      </x:c>
      <x:c r="X141" s="43"/>
      <x:c r="Y141" s="53" t="str">
        <x:f>IF(X141="","",X141/'Readme-Protocol'!$B$25)</x:f>
      </x:c>
      <x:c r="Z141" s="43" t="n">
        <x:v>230502</x:v>
      </x:c>
      <x:c r="AA141" s="43"/>
    </x:row>
    <x:row r="142">
      <x:c r="A142" s="24" t="str">
        <x:v>article1-unified-v4-2-fb3f101b-20260903-000401-default-f04-p2-jcs321</x:v>
      </x:c>
      <x:c r="B142" s="24" t="str">
        <x:v>default</x:v>
      </x:c>
      <x:c r="C142" s="24" t="str">
        <x:v>jcs321</x:v>
      </x:c>
      <x:c r="D142" s="36" t="n">
        <x:v>4</x:v>
      </x:c>
      <x:c r="E142" s="36" t="n">
        <x:v>4</x:v>
      </x:c>
      <x:c r="F142" s="36" t="n">
        <x:v>2</x:v>
      </x:c>
      <x:c r="G142" s="24" t="str">
        <x:v>initial</x:v>
      </x:c>
      <x:c r="H142" s="24" t="str">
        <x:v>primary-all-cycles</x:v>
      </x:c>
      <x:c r="I142" s="36" t="n">
        <x:v>5</x:v>
      </x:c>
      <x:c r="J142" s="45" t="b">
        <x:v>1</x:v>
      </x:c>
      <x:c r="K142" s="45" t="b">
        <x:v>1</x:v>
      </x:c>
      <x:c r="L142" s="45" t="b">
        <x:v>0</x:v>
      </x:c>
      <x:c r="M142" s="45" t="b">
        <x:v>0</x:v>
      </x:c>
      <x:c r="N142" s="45" t="b">
        <x:v>1</x:v>
      </x:c>
      <x:c r="O142" s="43" t="n">
        <x:v>2642428.681863765</x:v>
      </x:c>
      <x:c r="P142" s="43"/>
      <x:c r="Q142" s="43" t="n">
        <x:v>3356404.136566714</x:v>
      </x:c>
      <x:c r="R142" s="43"/>
      <x:c r="S142" s="43" t="n">
        <x:v>330</x:v>
      </x:c>
      <x:c r="T142" s="43"/>
      <x:c r="U142" s="43" t="n">
        <x:v>902</x:v>
      </x:c>
      <x:c r="V142" s="43"/>
      <x:c r="W142" s="43" t="n">
        <x:v>200654</x:v>
      </x:c>
      <x:c r="X142" s="43"/>
      <x:c r="Y142" s="53" t="str">
        <x:f>IF(X142="","",X142/'Readme-Protocol'!$B$25)</x:f>
      </x:c>
      <x:c r="Z142" s="43" t="n">
        <x:v>206464</x:v>
      </x:c>
      <x:c r="AA142" s="43"/>
    </x:row>
    <x:row r="143">
      <x:c r="A143" s="24" t="str">
        <x:v>article1-unified-v4-2-fb3f101b-20260903-000401-default-f04-p2-jcs321</x:v>
      </x:c>
      <x:c r="B143" s="24" t="str">
        <x:v>default</x:v>
      </x:c>
      <x:c r="C143" s="24" t="str">
        <x:v>jcs321</x:v>
      </x:c>
      <x:c r="D143" s="36" t="n">
        <x:v>4</x:v>
      </x:c>
      <x:c r="E143" s="36" t="n">
        <x:v>4</x:v>
      </x:c>
      <x:c r="F143" s="36" t="n">
        <x:v>2</x:v>
      </x:c>
      <x:c r="G143" s="24" t="str">
        <x:v>initial</x:v>
      </x:c>
      <x:c r="H143" s="24" t="str">
        <x:v>sensitivity-without-cycle-1</x:v>
      </x:c>
      <x:c r="I143" s="36" t="n">
        <x:v>4</x:v>
      </x:c>
      <x:c r="J143" s="45" t="b">
        <x:v>1</x:v>
      </x:c>
      <x:c r="K143" s="45" t="b">
        <x:v>1</x:v>
      </x:c>
      <x:c r="L143" s="45" t="b">
        <x:v>0</x:v>
      </x:c>
      <x:c r="M143" s="45" t="b">
        <x:v>0</x:v>
      </x:c>
      <x:c r="N143" s="45" t="b">
        <x:v>1</x:v>
      </x:c>
      <x:c r="O143" s="43" t="n">
        <x:v>2789921.6560458844</x:v>
      </x:c>
      <x:c r="P143" s="43"/>
      <x:c r="Q143" s="43" t="n">
        <x:v>3438727.6344595766</x:v>
      </x:c>
      <x:c r="R143" s="43"/>
      <x:c r="S143" s="43" t="n">
        <x:v>305</x:v>
      </x:c>
      <x:c r="T143" s="43"/>
      <x:c r="U143" s="43" t="n">
        <x:v>872</x:v>
      </x:c>
      <x:c r="V143" s="43"/>
      <x:c r="W143" s="43" t="n">
        <x:v>198138.5</x:v>
      </x:c>
      <x:c r="X143" s="43"/>
      <x:c r="Y143" s="53" t="str">
        <x:f>IF(X143="","",X143/'Readme-Protocol'!$B$25)</x:f>
      </x:c>
      <x:c r="Z143" s="43" t="n">
        <x:v>217994</x:v>
      </x:c>
      <x:c r="AA143" s="43"/>
    </x:row>
    <x:row r="144">
      <x:c r="A144" s="24" t="str">
        <x:v>article1-unified-v4-2-fb3f101b-20260903-000401-default-f04-p2-jcs321</x:v>
      </x:c>
      <x:c r="B144" s="24" t="str">
        <x:v>default</x:v>
      </x:c>
      <x:c r="C144" s="24" t="str">
        <x:v>jcs321</x:v>
      </x:c>
      <x:c r="D144" s="36" t="n">
        <x:v>4</x:v>
      </x:c>
      <x:c r="E144" s="36" t="n">
        <x:v>4</x:v>
      </x:c>
      <x:c r="F144" s="36" t="n">
        <x:v>2</x:v>
      </x:c>
      <x:c r="G144" s="24" t="str">
        <x:v>redeploy</x:v>
      </x:c>
      <x:c r="H144" s="24" t="str">
        <x:v>primary-all-cycles</x:v>
      </x:c>
      <x:c r="I144" s="36" t="n">
        <x:v>5</x:v>
      </x:c>
      <x:c r="J144" s="45" t="b">
        <x:v>1</x:v>
      </x:c>
      <x:c r="K144" s="45" t="b">
        <x:v>1</x:v>
      </x:c>
      <x:c r="L144" s="45" t="b">
        <x:v>0</x:v>
      </x:c>
      <x:c r="M144" s="45" t="b">
        <x:v>0</x:v>
      </x:c>
      <x:c r="N144" s="45" t="b">
        <x:v>1</x:v>
      </x:c>
      <x:c r="O144" s="43" t="n">
        <x:v>2944515.18664375</x:v>
      </x:c>
      <x:c r="P144" s="43"/>
      <x:c r="Q144" s="43" t="n">
        <x:v>3575078.9824324194</x:v>
      </x:c>
      <x:c r="R144" s="43"/>
      <x:c r="S144" s="43" t="n">
        <x:v>291</x:v>
      </x:c>
      <x:c r="T144" s="43"/>
      <x:c r="U144" s="43" t="n">
        <x:v>812</x:v>
      </x:c>
      <x:c r="V144" s="43"/>
      <x:c r="W144" s="43" t="n">
        <x:v>191886</x:v>
      </x:c>
      <x:c r="X144" s="43"/>
      <x:c r="Y144" s="53" t="str">
        <x:f>IF(X144="","",X144/'Readme-Protocol'!$B$25)</x:f>
      </x:c>
      <x:c r="Z144" s="43" t="n">
        <x:v>230068</x:v>
      </x:c>
      <x:c r="AA144" s="43"/>
    </x:row>
    <x:row r="145">
      <x:c r="A145" s="24" t="str">
        <x:v>article1-unified-v4-2-fb3f101b-20260903-000401-default-f04-p2-jcs321</x:v>
      </x:c>
      <x:c r="B145" s="24" t="str">
        <x:v>default</x:v>
      </x:c>
      <x:c r="C145" s="24" t="str">
        <x:v>jcs321</x:v>
      </x:c>
      <x:c r="D145" s="36" t="n">
        <x:v>4</x:v>
      </x:c>
      <x:c r="E145" s="36" t="n">
        <x:v>4</x:v>
      </x:c>
      <x:c r="F145" s="36" t="n">
        <x:v>2</x:v>
      </x:c>
      <x:c r="G145" s="24" t="str">
        <x:v>redeploy</x:v>
      </x:c>
      <x:c r="H145" s="24" t="str">
        <x:v>sensitivity-without-cycle-1</x:v>
      </x:c>
      <x:c r="I145" s="36" t="n">
        <x:v>4</x:v>
      </x:c>
      <x:c r="J145" s="45" t="b">
        <x:v>1</x:v>
      </x:c>
      <x:c r="K145" s="45" t="b">
        <x:v>1</x:v>
      </x:c>
      <x:c r="L145" s="45" t="b">
        <x:v>0</x:v>
      </x:c>
      <x:c r="M145" s="45" t="b">
        <x:v>0</x:v>
      </x:c>
      <x:c r="N145" s="45" t="b">
        <x:v>1</x:v>
      </x:c>
      <x:c r="O145" s="43" t="n">
        <x:v>2942714.3028806457</x:v>
      </x:c>
      <x:c r="P145" s="43"/>
      <x:c r="Q145" s="43" t="n">
        <x:v>3591652.5080720377</x:v>
      </x:c>
      <x:c r="R145" s="43"/>
      <x:c r="S145" s="43" t="n">
        <x:v>291</x:v>
      </x:c>
      <x:c r="T145" s="43"/>
      <x:c r="U145" s="43" t="n">
        <x:v>837</x:v>
      </x:c>
      <x:c r="V145" s="43"/>
      <x:c r="W145" s="43" t="n">
        <x:v>194331.5</x:v>
      </x:c>
      <x:c r="X145" s="43"/>
      <x:c r="Y145" s="53" t="str">
        <x:f>IF(X145="","",X145/'Readme-Protocol'!$B$25)</x:f>
      </x:c>
      <x:c r="Z145" s="43" t="n">
        <x:v>229930</x:v>
      </x:c>
      <x:c r="AA145" s="43"/>
    </x:row>
    <x:row r="146">
      <x:c r="A146" s="24" t="str">
        <x:v>article1-unified-v4-2-fb3f101b-20260903-000401-default-f05-p1-jcs321</x:v>
      </x:c>
      <x:c r="B146" s="24" t="str">
        <x:v>default</x:v>
      </x:c>
      <x:c r="C146" s="24" t="str">
        <x:v>jcs321</x:v>
      </x:c>
      <x:c r="D146" s="36" t="n">
        <x:v>5</x:v>
      </x:c>
      <x:c r="E146" s="36" t="n">
        <x:v>5</x:v>
      </x:c>
      <x:c r="F146" s="36" t="n">
        <x:v>1</x:v>
      </x:c>
      <x:c r="G146" s="24" t="str">
        <x:v>initial</x:v>
      </x:c>
      <x:c r="H146" s="24" t="str">
        <x:v>primary-all-cycles</x:v>
      </x:c>
      <x:c r="I146" s="36" t="n">
        <x:v>5</x:v>
      </x:c>
      <x:c r="J146" s="45" t="b">
        <x:v>1</x:v>
      </x:c>
      <x:c r="K146" s="45" t="b">
        <x:v>1</x:v>
      </x:c>
      <x:c r="L146" s="45" t="b">
        <x:v>0</x:v>
      </x:c>
      <x:c r="M146" s="45" t="b">
        <x:v>0</x:v>
      </x:c>
      <x:c r="N146" s="45" t="b">
        <x:v>1</x:v>
      </x:c>
      <x:c r="O146" s="43" t="n">
        <x:v>2709606.2244476173</x:v>
      </x:c>
      <x:c r="P146" s="43"/>
      <x:c r="Q146" s="43" t="n">
        <x:v>3676488.1596860574</x:v>
      </x:c>
      <x:c r="R146" s="43"/>
      <x:c r="S146" s="43" t="n">
        <x:v>330</x:v>
      </x:c>
      <x:c r="T146" s="43"/>
      <x:c r="U146" s="43" t="n">
        <x:v>941</x:v>
      </x:c>
      <x:c r="V146" s="43"/>
      <x:c r="W146" s="43" t="n">
        <x:v>199897</x:v>
      </x:c>
      <x:c r="X146" s="43"/>
      <x:c r="Y146" s="53" t="str">
        <x:f>IF(X146="","",X146/'Readme-Protocol'!$B$25)</x:f>
      </x:c>
      <x:c r="Z146" s="43" t="n">
        <x:v>211724</x:v>
      </x:c>
      <x:c r="AA146" s="43"/>
    </x:row>
    <x:row r="147">
      <x:c r="A147" s="24" t="str">
        <x:v>article1-unified-v4-2-fb3f101b-20260903-000401-default-f05-p1-jcs321</x:v>
      </x:c>
      <x:c r="B147" s="24" t="str">
        <x:v>default</x:v>
      </x:c>
      <x:c r="C147" s="24" t="str">
        <x:v>jcs321</x:v>
      </x:c>
      <x:c r="D147" s="36" t="n">
        <x:v>5</x:v>
      </x:c>
      <x:c r="E147" s="36" t="n">
        <x:v>5</x:v>
      </x:c>
      <x:c r="F147" s="36" t="n">
        <x:v>1</x:v>
      </x:c>
      <x:c r="G147" s="24" t="str">
        <x:v>initial</x:v>
      </x:c>
      <x:c r="H147" s="24" t="str">
        <x:v>sensitivity-without-cycle-1</x:v>
      </x:c>
      <x:c r="I147" s="36" t="n">
        <x:v>4</x:v>
      </x:c>
      <x:c r="J147" s="45" t="b">
        <x:v>1</x:v>
      </x:c>
      <x:c r="K147" s="45" t="b">
        <x:v>1</x:v>
      </x:c>
      <x:c r="L147" s="45" t="b">
        <x:v>0</x:v>
      </x:c>
      <x:c r="M147" s="45" t="b">
        <x:v>0</x:v>
      </x:c>
      <x:c r="N147" s="45" t="b">
        <x:v>1</x:v>
      </x:c>
      <x:c r="O147" s="43" t="n">
        <x:v>2521148.2113967817</x:v>
      </x:c>
      <x:c r="P147" s="43"/>
      <x:c r="Q147" s="43" t="n">
        <x:v>3773016.7034295322</x:v>
      </x:c>
      <x:c r="R147" s="43"/>
      <x:c r="S147" s="43" t="n">
        <x:v>370.5</x:v>
      </x:c>
      <x:c r="T147" s="43"/>
      <x:c r="U147" s="43" t="n">
        <x:v>991.5</x:v>
      </x:c>
      <x:c r="V147" s="43"/>
      <x:c r="W147" s="43" t="n">
        <x:v>204827</x:v>
      </x:c>
      <x:c r="X147" s="43"/>
      <x:c r="Y147" s="53" t="str">
        <x:f>IF(X147="","",X147/'Readme-Protocol'!$B$25)</x:f>
      </x:c>
      <x:c r="Z147" s="43" t="n">
        <x:v>196994</x:v>
      </x:c>
      <x:c r="AA147" s="43"/>
    </x:row>
    <x:row r="148">
      <x:c r="A148" s="24" t="str">
        <x:v>article1-unified-v4-2-fb3f101b-20260903-000401-default-f05-p1-jcs321</x:v>
      </x:c>
      <x:c r="B148" s="24" t="str">
        <x:v>default</x:v>
      </x:c>
      <x:c r="C148" s="24" t="str">
        <x:v>jcs321</x:v>
      </x:c>
      <x:c r="D148" s="36" t="n">
        <x:v>5</x:v>
      </x:c>
      <x:c r="E148" s="36" t="n">
        <x:v>5</x:v>
      </x:c>
      <x:c r="F148" s="36" t="n">
        <x:v>1</x:v>
      </x:c>
      <x:c r="G148" s="24" t="str">
        <x:v>redeploy</x:v>
      </x:c>
      <x:c r="H148" s="24" t="str">
        <x:v>primary-all-cycles</x:v>
      </x:c>
      <x:c r="I148" s="36" t="n">
        <x:v>5</x:v>
      </x:c>
      <x:c r="J148" s="45" t="b">
        <x:v>1</x:v>
      </x:c>
      <x:c r="K148" s="45" t="b">
        <x:v>1</x:v>
      </x:c>
      <x:c r="L148" s="45" t="b">
        <x:v>0</x:v>
      </x:c>
      <x:c r="M148" s="45" t="b">
        <x:v>0</x:v>
      </x:c>
      <x:c r="N148" s="45" t="b">
        <x:v>1</x:v>
      </x:c>
      <x:c r="O148" s="43" t="n">
        <x:v>3028973.666180772</x:v>
      </x:c>
      <x:c r="P148" s="43"/>
      <x:c r="Q148" s="43" t="n">
        <x:v>3356009.892174758</x:v>
      </x:c>
      <x:c r="R148" s="43"/>
      <x:c r="S148" s="43" t="n">
        <x:v>290</x:v>
      </x:c>
      <x:c r="T148" s="43"/>
      <x:c r="U148" s="43" t="n">
        <x:v>822</x:v>
      </x:c>
      <x:c r="V148" s="43"/>
      <x:c r="W148" s="43" t="n">
        <x:v>193384</x:v>
      </x:c>
      <x:c r="X148" s="43"/>
      <x:c r="Y148" s="53" t="str">
        <x:f>IF(X148="","",X148/'Readme-Protocol'!$B$25)</x:f>
      </x:c>
      <x:c r="Z148" s="43" t="n">
        <x:v>236688</x:v>
      </x:c>
      <x:c r="AA148" s="43"/>
    </x:row>
    <x:row r="149">
      <x:c r="A149" s="24" t="str">
        <x:v>article1-unified-v4-2-fb3f101b-20260903-000401-default-f05-p1-jcs321</x:v>
      </x:c>
      <x:c r="B149" s="24" t="str">
        <x:v>default</x:v>
      </x:c>
      <x:c r="C149" s="24" t="str">
        <x:v>jcs321</x:v>
      </x:c>
      <x:c r="D149" s="36" t="n">
        <x:v>5</x:v>
      </x:c>
      <x:c r="E149" s="36" t="n">
        <x:v>5</x:v>
      </x:c>
      <x:c r="F149" s="36" t="n">
        <x:v>1</x:v>
      </x:c>
      <x:c r="G149" s="24" t="str">
        <x:v>redeploy</x:v>
      </x:c>
      <x:c r="H149" s="24" t="str">
        <x:v>sensitivity-without-cycle-1</x:v>
      </x:c>
      <x:c r="I149" s="36" t="n">
        <x:v>4</x:v>
      </x:c>
      <x:c r="J149" s="45" t="b">
        <x:v>1</x:v>
      </x:c>
      <x:c r="K149" s="45" t="b">
        <x:v>1</x:v>
      </x:c>
      <x:c r="L149" s="45" t="b">
        <x:v>0</x:v>
      </x:c>
      <x:c r="M149" s="45" t="b">
        <x:v>0</x:v>
      </x:c>
      <x:c r="N149" s="45" t="b">
        <x:v>1</x:v>
      </x:c>
      <x:c r="O149" s="43" t="n">
        <x:v>3032552.5156470984</x:v>
      </x:c>
      <x:c r="P149" s="43"/>
      <x:c r="Q149" s="43" t="n">
        <x:v>3393961.315494348</x:v>
      </x:c>
      <x:c r="R149" s="43"/>
      <x:c r="S149" s="43" t="n">
        <x:v>285.5</x:v>
      </x:c>
      <x:c r="T149" s="43"/>
      <x:c r="U149" s="43" t="n">
        <x:v>816.5</x:v>
      </x:c>
      <x:c r="V149" s="43"/>
      <x:c r="W149" s="43" t="n">
        <x:v>192532.5</x:v>
      </x:c>
      <x:c r="X149" s="43"/>
      <x:c r="Y149" s="53" t="str">
        <x:f>IF(X149="","",X149/'Readme-Protocol'!$B$25)</x:f>
      </x:c>
      <x:c r="Z149" s="43" t="n">
        <x:v>236954</x:v>
      </x:c>
      <x:c r="AA149" s="43"/>
    </x:row>
    <x:row r="150">
      <x:c r="A150" s="24" t="str">
        <x:v>article1-unified-v4-2-fb3f101b-20260903-000401-default-f06-p3-jcs321</x:v>
      </x:c>
      <x:c r="B150" s="24" t="str">
        <x:v>default</x:v>
      </x:c>
      <x:c r="C150" s="24" t="str">
        <x:v>jcs321</x:v>
      </x:c>
      <x:c r="D150" s="36" t="n">
        <x:v>6</x:v>
      </x:c>
      <x:c r="E150" s="36" t="n">
        <x:v>6</x:v>
      </x:c>
      <x:c r="F150" s="36" t="n">
        <x:v>3</x:v>
      </x:c>
      <x:c r="G150" s="24" t="str">
        <x:v>initial</x:v>
      </x:c>
      <x:c r="H150" s="24" t="str">
        <x:v>primary-all-cycles</x:v>
      </x:c>
      <x:c r="I150" s="36" t="n">
        <x:v>5</x:v>
      </x:c>
      <x:c r="J150" s="45" t="b">
        <x:v>1</x:v>
      </x:c>
      <x:c r="K150" s="45" t="b">
        <x:v>1</x:v>
      </x:c>
      <x:c r="L150" s="45" t="b">
        <x:v>0</x:v>
      </x:c>
      <x:c r="M150" s="45" t="b">
        <x:v>0</x:v>
      </x:c>
      <x:c r="N150" s="45" t="b">
        <x:v>1</x:v>
      </x:c>
      <x:c r="O150" s="43" t="n">
        <x:v>3019064.5080145383</x:v>
      </x:c>
      <x:c r="P150" s="43"/>
      <x:c r="Q150" s="43" t="n">
        <x:v>3481828.684279613</x:v>
      </x:c>
      <x:c r="R150" s="43"/>
      <x:c r="S150" s="43" t="n">
        <x:v>291</x:v>
      </x:c>
      <x:c r="T150" s="43"/>
      <x:c r="U150" s="43" t="n">
        <x:v>812</x:v>
      </x:c>
      <x:c r="V150" s="43"/>
      <x:c r="W150" s="43" t="n">
        <x:v>189242</x:v>
      </x:c>
      <x:c r="X150" s="43"/>
      <x:c r="Y150" s="53" t="str">
        <x:f>IF(X150="","",X150/'Readme-Protocol'!$B$25)</x:f>
      </x:c>
      <x:c r="Z150" s="43" t="n">
        <x:v>235896</x:v>
      </x:c>
      <x:c r="AA150" s="43"/>
    </x:row>
    <x:row r="151">
      <x:c r="A151" s="24" t="str">
        <x:v>article1-unified-v4-2-fb3f101b-20260903-000401-default-f06-p3-jcs321</x:v>
      </x:c>
      <x:c r="B151" s="24" t="str">
        <x:v>default</x:v>
      </x:c>
      <x:c r="C151" s="24" t="str">
        <x:v>jcs321</x:v>
      </x:c>
      <x:c r="D151" s="36" t="n">
        <x:v>6</x:v>
      </x:c>
      <x:c r="E151" s="36" t="n">
        <x:v>6</x:v>
      </x:c>
      <x:c r="F151" s="36" t="n">
        <x:v>3</x:v>
      </x:c>
      <x:c r="G151" s="24" t="str">
        <x:v>initial</x:v>
      </x:c>
      <x:c r="H151" s="24" t="str">
        <x:v>sensitivity-without-cycle-1</x:v>
      </x:c>
      <x:c r="I151" s="36" t="n">
        <x:v>4</x:v>
      </x:c>
      <x:c r="J151" s="45" t="b">
        <x:v>1</x:v>
      </x:c>
      <x:c r="K151" s="45" t="b">
        <x:v>1</x:v>
      </x:c>
      <x:c r="L151" s="45" t="b">
        <x:v>0</x:v>
      </x:c>
      <x:c r="M151" s="45" t="b">
        <x:v>0</x:v>
      </x:c>
      <x:c r="N151" s="45" t="b">
        <x:v>1</x:v>
      </x:c>
      <x:c r="O151" s="43" t="n">
        <x:v>3037205.561227397</x:v>
      </x:c>
      <x:c r="P151" s="43"/>
      <x:c r="Q151" s="43" t="n">
        <x:v>3207204.617001259</x:v>
      </x:c>
      <x:c r="R151" s="43"/>
      <x:c r="S151" s="43" t="n">
        <x:v>280.5</x:v>
      </x:c>
      <x:c r="T151" s="43"/>
      <x:c r="U151" s="43" t="n">
        <x:v>821</x:v>
      </x:c>
      <x:c r="V151" s="43"/>
      <x:c r="W151" s="43" t="n">
        <x:v>184398.5</x:v>
      </x:c>
      <x:c r="X151" s="43"/>
      <x:c r="Y151" s="53" t="str">
        <x:f>IF(X151="","",X151/'Readme-Protocol'!$B$25)</x:f>
      </x:c>
      <x:c r="Z151" s="43" t="n">
        <x:v>237312</x:v>
      </x:c>
      <x:c r="AA151" s="43"/>
    </x:row>
    <x:row r="152">
      <x:c r="A152" s="24" t="str">
        <x:v>article1-unified-v4-2-fb3f101b-20260903-000401-default-f06-p3-jcs321</x:v>
      </x:c>
      <x:c r="B152" s="24" t="str">
        <x:v>default</x:v>
      </x:c>
      <x:c r="C152" s="24" t="str">
        <x:v>jcs321</x:v>
      </x:c>
      <x:c r="D152" s="36" t="n">
        <x:v>6</x:v>
      </x:c>
      <x:c r="E152" s="36" t="n">
        <x:v>6</x:v>
      </x:c>
      <x:c r="F152" s="36" t="n">
        <x:v>3</x:v>
      </x:c>
      <x:c r="G152" s="24" t="str">
        <x:v>redeploy</x:v>
      </x:c>
      <x:c r="H152" s="24" t="str">
        <x:v>primary-all-cycles</x:v>
      </x:c>
      <x:c r="I152" s="36" t="n">
        <x:v>5</x:v>
      </x:c>
      <x:c r="J152" s="45" t="b">
        <x:v>1</x:v>
      </x:c>
      <x:c r="K152" s="45" t="b">
        <x:v>1</x:v>
      </x:c>
      <x:c r="L152" s="45" t="b">
        <x:v>0</x:v>
      </x:c>
      <x:c r="M152" s="45" t="b">
        <x:v>0</x:v>
      </x:c>
      <x:c r="N152" s="45" t="b">
        <x:v>1</x:v>
      </x:c>
      <x:c r="O152" s="43" t="n">
        <x:v>3184118.7107077623</x:v>
      </x:c>
      <x:c r="P152" s="43"/>
      <x:c r="Q152" s="43" t="n">
        <x:v>3498788.719345363</x:v>
      </x:c>
      <x:c r="R152" s="43"/>
      <x:c r="S152" s="43" t="n">
        <x:v>271</x:v>
      </x:c>
      <x:c r="T152" s="43"/>
      <x:c r="U152" s="43" t="n">
        <x:v>791</x:v>
      </x:c>
      <x:c r="V152" s="43"/>
      <x:c r="W152" s="43" t="n">
        <x:v>184463</x:v>
      </x:c>
      <x:c r="X152" s="43"/>
      <x:c r="Y152" s="53" t="str">
        <x:f>IF(X152="","",X152/'Readme-Protocol'!$B$25)</x:f>
      </x:c>
      <x:c r="Z152" s="43" t="n">
        <x:v>248788</x:v>
      </x:c>
      <x:c r="AA152" s="43"/>
    </x:row>
    <x:row r="153">
      <x:c r="A153" s="24" t="str">
        <x:v>article1-unified-v4-2-fb3f101b-20260903-000401-default-f06-p3-jcs321</x:v>
      </x:c>
      <x:c r="B153" s="24" t="str">
        <x:v>default</x:v>
      </x:c>
      <x:c r="C153" s="24" t="str">
        <x:v>jcs321</x:v>
      </x:c>
      <x:c r="D153" s="36" t="n">
        <x:v>6</x:v>
      </x:c>
      <x:c r="E153" s="36" t="n">
        <x:v>6</x:v>
      </x:c>
      <x:c r="F153" s="36" t="n">
        <x:v>3</x:v>
      </x:c>
      <x:c r="G153" s="24" t="str">
        <x:v>redeploy</x:v>
      </x:c>
      <x:c r="H153" s="24" t="str">
        <x:v>sensitivity-without-cycle-1</x:v>
      </x:c>
      <x:c r="I153" s="36" t="n">
        <x:v>4</x:v>
      </x:c>
      <x:c r="J153" s="45" t="b">
        <x:v>1</x:v>
      </x:c>
      <x:c r="K153" s="45" t="b">
        <x:v>1</x:v>
      </x:c>
      <x:c r="L153" s="45" t="b">
        <x:v>0</x:v>
      </x:c>
      <x:c r="M153" s="45" t="b">
        <x:v>0</x:v>
      </x:c>
      <x:c r="N153" s="45" t="b">
        <x:v>1</x:v>
      </x:c>
      <x:c r="O153" s="43" t="n">
        <x:v>3197479.0539941313</x:v>
      </x:c>
      <x:c r="P153" s="43"/>
      <x:c r="Q153" s="43" t="n">
        <x:v>3571173.363305309</x:v>
      </x:c>
      <x:c r="R153" s="43"/>
      <x:c r="S153" s="43" t="n">
        <x:v>266</x:v>
      </x:c>
      <x:c r="T153" s="43"/>
      <x:c r="U153" s="43" t="n">
        <x:v>791</x:v>
      </x:c>
      <x:c r="V153" s="43"/>
      <x:c r="W153" s="43" t="n">
        <x:v>103774</x:v>
      </x:c>
      <x:c r="X153" s="43"/>
      <x:c r="Y153" s="53" t="str">
        <x:f>IF(X153="","",X153/'Readme-Protocol'!$B$25)</x:f>
      </x:c>
      <x:c r="Z153" s="43" t="n">
        <x:v>249864</x:v>
      </x:c>
      <x:c r="AA153" s="43"/>
    </x:row>
    <x:row r="154">
      <x:c r="A154" s="24" t="str">
        <x:v>article1-unified-v4-2-fb3f101b-20260903-000401-default-f01-p3-nostore</x:v>
      </x:c>
      <x:c r="B154" s="24" t="str">
        <x:v>default</x:v>
      </x:c>
      <x:c r="C154" s="24" t="str">
        <x:v>nostore</x:v>
      </x:c>
      <x:c r="D154" s="36" t="n">
        <x:v>1</x:v>
      </x:c>
      <x:c r="E154" s="36" t="n">
        <x:v>1</x:v>
      </x:c>
      <x:c r="F154" s="36" t="n">
        <x:v>3</x:v>
      </x:c>
      <x:c r="G154" s="24" t="str">
        <x:v>initial</x:v>
      </x:c>
      <x:c r="H154" s="24" t="str">
        <x:v>primary-all-cycles</x:v>
      </x:c>
      <x:c r="I154" s="36" t="n">
        <x:v>5</x:v>
      </x:c>
      <x:c r="J154" s="45" t="b">
        <x:v>1</x:v>
      </x:c>
      <x:c r="K154" s="45" t="b">
        <x:v>1</x:v>
      </x:c>
      <x:c r="L154" s="45" t="b">
        <x:v>0</x:v>
      </x:c>
      <x:c r="M154" s="45" t="b">
        <x:v>0</x:v>
      </x:c>
      <x:c r="N154" s="45" t="b">
        <x:v>1</x:v>
      </x:c>
      <x:c r="O154" s="43" t="n">
        <x:v>100243896.25827317</x:v>
      </x:c>
      <x:c r="P154" s="43"/>
      <x:c r="Q154" s="43" t="n">
        <x:v>12799819.778537517</x:v>
      </x:c>
      <x:c r="R154" s="43"/>
      <x:c r="S154" s="43" t="n">
        <x:v>40</x:v>
      </x:c>
      <x:c r="T154" s="43"/>
      <x:c r="U154" s="43" t="n">
        <x:v>170</x:v>
      </x:c>
      <x:c r="V154" s="43"/>
      <x:c r="W154" s="43" t="n">
        <x:v>291</x:v>
      </x:c>
      <x:c r="X154" s="43"/>
      <x:c r="Y154" s="53" t="str">
        <x:f>IF(X154="","",X154/'Readme-Protocol'!$B$25)</x:f>
      </x:c>
      <x:c r="Z154" s="43" t="n">
        <x:v>7840492</x:v>
      </x:c>
      <x:c r="AA154" s="43"/>
    </x:row>
    <x:row r="155">
      <x:c r="A155" s="24" t="str">
        <x:v>article1-unified-v4-2-fb3f101b-20260903-000401-default-f01-p3-nostore</x:v>
      </x:c>
      <x:c r="B155" s="24" t="str">
        <x:v>default</x:v>
      </x:c>
      <x:c r="C155" s="24" t="str">
        <x:v>nostore</x:v>
      </x:c>
      <x:c r="D155" s="36" t="n">
        <x:v>1</x:v>
      </x:c>
      <x:c r="E155" s="36" t="n">
        <x:v>1</x:v>
      </x:c>
      <x:c r="F155" s="36" t="n">
        <x:v>3</x:v>
      </x:c>
      <x:c r="G155" s="24" t="str">
        <x:v>initial</x:v>
      </x:c>
      <x:c r="H155" s="24" t="str">
        <x:v>sensitivity-without-cycle-1</x:v>
      </x:c>
      <x:c r="I155" s="36" t="n">
        <x:v>4</x:v>
      </x:c>
      <x:c r="J155" s="45" t="b">
        <x:v>1</x:v>
      </x:c>
      <x:c r="K155" s="45" t="b">
        <x:v>1</x:v>
      </x:c>
      <x:c r="L155" s="45" t="b">
        <x:v>0</x:v>
      </x:c>
      <x:c r="M155" s="45" t="b">
        <x:v>0</x:v>
      </x:c>
      <x:c r="N155" s="45" t="b">
        <x:v>1</x:v>
      </x:c>
      <x:c r="O155" s="43" t="n">
        <x:v>100052656.69567037</x:v>
      </x:c>
      <x:c r="P155" s="43"/>
      <x:c r="Q155" s="43" t="n">
        <x:v>14454967.821245406</x:v>
      </x:c>
      <x:c r="R155" s="43"/>
      <x:c r="S155" s="43" t="n">
        <x:v>40</x:v>
      </x:c>
      <x:c r="T155" s="43"/>
      <x:c r="U155" s="43" t="n">
        <x:v>170</x:v>
      </x:c>
      <x:c r="V155" s="43"/>
      <x:c r="W155" s="43" t="n">
        <x:v>291</x:v>
      </x:c>
      <x:c r="X155" s="43"/>
      <x:c r="Y155" s="53" t="str">
        <x:f>IF(X155="","",X155/'Readme-Protocol'!$B$25)</x:f>
      </x:c>
      <x:c r="Z155" s="43" t="n">
        <x:v>7828214</x:v>
      </x:c>
      <x:c r="AA155" s="43"/>
    </x:row>
    <x:row r="156">
      <x:c r="A156" s="24" t="str">
        <x:v>article1-unified-v4-2-fb3f101b-20260903-000401-default-f01-p3-nostore</x:v>
      </x:c>
      <x:c r="B156" s="24" t="str">
        <x:v>default</x:v>
      </x:c>
      <x:c r="C156" s="24" t="str">
        <x:v>nostore</x:v>
      </x:c>
      <x:c r="D156" s="36" t="n">
        <x:v>1</x:v>
      </x:c>
      <x:c r="E156" s="36" t="n">
        <x:v>1</x:v>
      </x:c>
      <x:c r="F156" s="36" t="n">
        <x:v>3</x:v>
      </x:c>
      <x:c r="G156" s="24" t="str">
        <x:v>redeploy</x:v>
      </x:c>
      <x:c r="H156" s="24" t="str">
        <x:v>primary-all-cycles</x:v>
      </x:c>
      <x:c r="I156" s="36" t="n">
        <x:v>5</x:v>
      </x:c>
      <x:c r="J156" s="45" t="b">
        <x:v>1</x:v>
      </x:c>
      <x:c r="K156" s="45" t="b">
        <x:v>1</x:v>
      </x:c>
      <x:c r="L156" s="45" t="b">
        <x:v>0</x:v>
      </x:c>
      <x:c r="M156" s="45" t="b">
        <x:v>0</x:v>
      </x:c>
      <x:c r="N156" s="45" t="b">
        <x:v>1</x:v>
      </x:c>
      <x:c r="O156" s="43" t="n">
        <x:v>97940439.87647513</x:v>
      </x:c>
      <x:c r="P156" s="43"/>
      <x:c r="Q156" s="43" t="n">
        <x:v>13112432.552925056</x:v>
      </x:c>
      <x:c r="R156" s="43"/>
      <x:c r="S156" s="43" t="n">
        <x:v>40</x:v>
      </x:c>
      <x:c r="T156" s="43"/>
      <x:c r="U156" s="43" t="n">
        <x:v>170</x:v>
      </x:c>
      <x:c r="V156" s="43"/>
      <x:c r="W156" s="43" t="n">
        <x:v>301</x:v>
      </x:c>
      <x:c r="X156" s="43"/>
      <x:c r="Y156" s="53" t="str">
        <x:f>IF(X156="","",X156/'Readme-Protocol'!$B$25)</x:f>
      </x:c>
      <x:c r="Z156" s="43" t="n">
        <x:v>7661296</x:v>
      </x:c>
      <x:c r="AA156" s="43"/>
    </x:row>
    <x:row r="157">
      <x:c r="A157" s="24" t="str">
        <x:v>article1-unified-v4-2-fb3f101b-20260903-000401-default-f01-p3-nostore</x:v>
      </x:c>
      <x:c r="B157" s="24" t="str">
        <x:v>default</x:v>
      </x:c>
      <x:c r="C157" s="24" t="str">
        <x:v>nostore</x:v>
      </x:c>
      <x:c r="D157" s="36" t="n">
        <x:v>1</x:v>
      </x:c>
      <x:c r="E157" s="36" t="n">
        <x:v>1</x:v>
      </x:c>
      <x:c r="F157" s="36" t="n">
        <x:v>3</x:v>
      </x:c>
      <x:c r="G157" s="24" t="str">
        <x:v>redeploy</x:v>
      </x:c>
      <x:c r="H157" s="24" t="str">
        <x:v>sensitivity-without-cycle-1</x:v>
      </x:c>
      <x:c r="I157" s="36" t="n">
        <x:v>4</x:v>
      </x:c>
      <x:c r="J157" s="45" t="b">
        <x:v>1</x:v>
      </x:c>
      <x:c r="K157" s="45" t="b">
        <x:v>1</x:v>
      </x:c>
      <x:c r="L157" s="45" t="b">
        <x:v>0</x:v>
      </x:c>
      <x:c r="M157" s="45" t="b">
        <x:v>0</x:v>
      </x:c>
      <x:c r="N157" s="45" t="b">
        <x:v>1</x:v>
      </x:c>
      <x:c r="O157" s="43" t="n">
        <x:v>100258093.68512943</x:v>
      </x:c>
      <x:c r="P157" s="43"/>
      <x:c r="Q157" s="43" t="n">
        <x:v>13155682.775590738</x:v>
      </x:c>
      <x:c r="R157" s="43"/>
      <x:c r="S157" s="43" t="n">
        <x:v>40</x:v>
      </x:c>
      <x:c r="T157" s="43"/>
      <x:c r="U157" s="43" t="n">
        <x:v>170.5</x:v>
      </x:c>
      <x:c r="V157" s="43"/>
      <x:c r="W157" s="43" t="n">
        <x:v>296</x:v>
      </x:c>
      <x:c r="X157" s="43"/>
      <x:c r="Y157" s="53" t="str">
        <x:f>IF(X157="","",X157/'Readme-Protocol'!$B$25)</x:f>
      </x:c>
      <x:c r="Z157" s="43" t="n">
        <x:v>7846638</x:v>
      </x:c>
      <x:c r="AA157" s="43"/>
    </x:row>
    <x:row r="158">
      <x:c r="A158" s="24" t="str">
        <x:v>article1-unified-v4-2-fb3f101b-20260903-000401-default-f02-p5-nostore</x:v>
      </x:c>
      <x:c r="B158" s="24" t="str">
        <x:v>default</x:v>
      </x:c>
      <x:c r="C158" s="24" t="str">
        <x:v>nostore</x:v>
      </x:c>
      <x:c r="D158" s="36" t="n">
        <x:v>2</x:v>
      </x:c>
      <x:c r="E158" s="36" t="n">
        <x:v>2</x:v>
      </x:c>
      <x:c r="F158" s="36" t="n">
        <x:v>5</x:v>
      </x:c>
      <x:c r="G158" s="24" t="str">
        <x:v>initial</x:v>
      </x:c>
      <x:c r="H158" s="24" t="str">
        <x:v>primary-all-cycles</x:v>
      </x:c>
      <x:c r="I158" s="36" t="n">
        <x:v>5</x:v>
      </x:c>
      <x:c r="J158" s="45" t="b">
        <x:v>1</x:v>
      </x:c>
      <x:c r="K158" s="45" t="b">
        <x:v>1</x:v>
      </x:c>
      <x:c r="L158" s="45" t="b">
        <x:v>0</x:v>
      </x:c>
      <x:c r="M158" s="45" t="b">
        <x:v>0</x:v>
      </x:c>
      <x:c r="N158" s="45" t="b">
        <x:v>1</x:v>
      </x:c>
      <x:c r="O158" s="43" t="n">
        <x:v>95352300.05653298</x:v>
      </x:c>
      <x:c r="P158" s="43"/>
      <x:c r="Q158" s="43" t="n">
        <x:v>15651264.778706767</x:v>
      </x:c>
      <x:c r="R158" s="43"/>
      <x:c r="S158" s="43" t="n">
        <x:v>40</x:v>
      </x:c>
      <x:c r="T158" s="43"/>
      <x:c r="U158" s="43" t="n">
        <x:v>171</x:v>
      </x:c>
      <x:c r="V158" s="43"/>
      <x:c r="W158" s="43" t="n">
        <x:v>291</x:v>
      </x:c>
      <x:c r="X158" s="43"/>
      <x:c r="Y158" s="53" t="str">
        <x:f>IF(X158="","",X158/'Readme-Protocol'!$B$25)</x:f>
      </x:c>
      <x:c r="Z158" s="43" t="n">
        <x:v>7461772</x:v>
      </x:c>
      <x:c r="AA158" s="43"/>
    </x:row>
    <x:row r="159">
      <x:c r="A159" s="24" t="str">
        <x:v>article1-unified-v4-2-fb3f101b-20260903-000401-default-f02-p5-nostore</x:v>
      </x:c>
      <x:c r="B159" s="24" t="str">
        <x:v>default</x:v>
      </x:c>
      <x:c r="C159" s="24" t="str">
        <x:v>nostore</x:v>
      </x:c>
      <x:c r="D159" s="36" t="n">
        <x:v>2</x:v>
      </x:c>
      <x:c r="E159" s="36" t="n">
        <x:v>2</x:v>
      </x:c>
      <x:c r="F159" s="36" t="n">
        <x:v>5</x:v>
      </x:c>
      <x:c r="G159" s="24" t="str">
        <x:v>initial</x:v>
      </x:c>
      <x:c r="H159" s="24" t="str">
        <x:v>sensitivity-without-cycle-1</x:v>
      </x:c>
      <x:c r="I159" s="36" t="n">
        <x:v>4</x:v>
      </x:c>
      <x:c r="J159" s="45" t="b">
        <x:v>1</x:v>
      </x:c>
      <x:c r="K159" s="45" t="b">
        <x:v>1</x:v>
      </x:c>
      <x:c r="L159" s="45" t="b">
        <x:v>0</x:v>
      </x:c>
      <x:c r="M159" s="45" t="b">
        <x:v>0</x:v>
      </x:c>
      <x:c r="N159" s="45" t="b">
        <x:v>1</x:v>
      </x:c>
      <x:c r="O159" s="43" t="n">
        <x:v>94783326.79433873</x:v>
      </x:c>
      <x:c r="P159" s="43"/>
      <x:c r="Q159" s="43" t="n">
        <x:v>15972165.7135626</x:v>
      </x:c>
      <x:c r="R159" s="43"/>
      <x:c r="S159" s="43" t="n">
        <x:v>40</x:v>
      </x:c>
      <x:c r="T159" s="43"/>
      <x:c r="U159" s="43" t="n">
        <x:v>171</x:v>
      </x:c>
      <x:c r="V159" s="43"/>
      <x:c r="W159" s="43" t="n">
        <x:v>291</x:v>
      </x:c>
      <x:c r="X159" s="43"/>
      <x:c r="Y159" s="53" t="str">
        <x:f>IF(X159="","",X159/'Readme-Protocol'!$B$25)</x:f>
      </x:c>
      <x:c r="Z159" s="43" t="n">
        <x:v>7414894</x:v>
      </x:c>
      <x:c r="AA159" s="43"/>
    </x:row>
    <x:row r="160">
      <x:c r="A160" s="24" t="str">
        <x:v>article1-unified-v4-2-fb3f101b-20260903-000401-default-f02-p5-nostore</x:v>
      </x:c>
      <x:c r="B160" s="24" t="str">
        <x:v>default</x:v>
      </x:c>
      <x:c r="C160" s="24" t="str">
        <x:v>nostore</x:v>
      </x:c>
      <x:c r="D160" s="36" t="n">
        <x:v>2</x:v>
      </x:c>
      <x:c r="E160" s="36" t="n">
        <x:v>2</x:v>
      </x:c>
      <x:c r="F160" s="36" t="n">
        <x:v>5</x:v>
      </x:c>
      <x:c r="G160" s="24" t="str">
        <x:v>redeploy</x:v>
      </x:c>
      <x:c r="H160" s="24" t="str">
        <x:v>primary-all-cycles</x:v>
      </x:c>
      <x:c r="I160" s="36" t="n">
        <x:v>5</x:v>
      </x:c>
      <x:c r="J160" s="45" t="b">
        <x:v>1</x:v>
      </x:c>
      <x:c r="K160" s="45" t="b">
        <x:v>1</x:v>
      </x:c>
      <x:c r="L160" s="45" t="b">
        <x:v>0</x:v>
      </x:c>
      <x:c r="M160" s="45" t="b">
        <x:v>0</x:v>
      </x:c>
      <x:c r="N160" s="45" t="b">
        <x:v>1</x:v>
      </x:c>
      <x:c r="O160" s="43" t="n">
        <x:v>96000061.33671767</x:v>
      </x:c>
      <x:c r="P160" s="43"/>
      <x:c r="Q160" s="43" t="n">
        <x:v>10707922.149122806</x:v>
      </x:c>
      <x:c r="R160" s="43"/>
      <x:c r="S160" s="43" t="n">
        <x:v>40</x:v>
      </x:c>
      <x:c r="T160" s="43"/>
      <x:c r="U160" s="43" t="n">
        <x:v>171</x:v>
      </x:c>
      <x:c r="V160" s="43"/>
      <x:c r="W160" s="43" t="n">
        <x:v>291</x:v>
      </x:c>
      <x:c r="X160" s="43"/>
      <x:c r="Y160" s="53" t="str">
        <x:f>IF(X160="","",X160/'Readme-Protocol'!$B$25)</x:f>
      </x:c>
      <x:c r="Z160" s="43" t="n">
        <x:v>7515764</x:v>
      </x:c>
      <x:c r="AA160" s="43"/>
    </x:row>
    <x:row r="161">
      <x:c r="A161" s="24" t="str">
        <x:v>article1-unified-v4-2-fb3f101b-20260903-000401-default-f02-p5-nostore</x:v>
      </x:c>
      <x:c r="B161" s="24" t="str">
        <x:v>default</x:v>
      </x:c>
      <x:c r="C161" s="24" t="str">
        <x:v>nostore</x:v>
      </x:c>
      <x:c r="D161" s="36" t="n">
        <x:v>2</x:v>
      </x:c>
      <x:c r="E161" s="36" t="n">
        <x:v>2</x:v>
      </x:c>
      <x:c r="F161" s="36" t="n">
        <x:v>5</x:v>
      </x:c>
      <x:c r="G161" s="24" t="str">
        <x:v>redeploy</x:v>
      </x:c>
      <x:c r="H161" s="24" t="str">
        <x:v>sensitivity-without-cycle-1</x:v>
      </x:c>
      <x:c r="I161" s="36" t="n">
        <x:v>4</x:v>
      </x:c>
      <x:c r="J161" s="45" t="b">
        <x:v>1</x:v>
      </x:c>
      <x:c r="K161" s="45" t="b">
        <x:v>1</x:v>
      </x:c>
      <x:c r="L161" s="45" t="b">
        <x:v>0</x:v>
      </x:c>
      <x:c r="M161" s="45" t="b">
        <x:v>0</x:v>
      </x:c>
      <x:c r="N161" s="45" t="b">
        <x:v>1</x:v>
      </x:c>
      <x:c r="O161" s="43" t="n">
        <x:v>96183282.13331561</x:v>
      </x:c>
      <x:c r="P161" s="43"/>
      <x:c r="Q161" s="43" t="n">
        <x:v>12219310.967118677</x:v>
      </x:c>
      <x:c r="R161" s="43"/>
      <x:c r="S161" s="43" t="n">
        <x:v>40</x:v>
      </x:c>
      <x:c r="T161" s="43"/>
      <x:c r="U161" s="43" t="n">
        <x:v>171</x:v>
      </x:c>
      <x:c r="V161" s="43"/>
      <x:c r="W161" s="43" t="n">
        <x:v>291</x:v>
      </x:c>
      <x:c r="X161" s="43"/>
      <x:c r="Y161" s="53" t="str">
        <x:f>IF(X161="","",X161/'Readme-Protocol'!$B$25)</x:f>
      </x:c>
      <x:c r="Z161" s="43" t="n">
        <x:v>7526572</x:v>
      </x:c>
      <x:c r="AA161" s="43"/>
    </x:row>
    <x:row r="162">
      <x:c r="A162" s="24" t="str">
        <x:v>article1-unified-v4-2-fb3f101b-20260903-000401-default-f03-p6-nostore</x:v>
      </x:c>
      <x:c r="B162" s="24" t="str">
        <x:v>default</x:v>
      </x:c>
      <x:c r="C162" s="24" t="str">
        <x:v>nostore</x:v>
      </x:c>
      <x:c r="D162" s="36" t="n">
        <x:v>3</x:v>
      </x:c>
      <x:c r="E162" s="36" t="n">
        <x:v>3</x:v>
      </x:c>
      <x:c r="F162" s="36" t="n">
        <x:v>6</x:v>
      </x:c>
      <x:c r="G162" s="24" t="str">
        <x:v>initial</x:v>
      </x:c>
      <x:c r="H162" s="24" t="str">
        <x:v>primary-all-cycles</x:v>
      </x:c>
      <x:c r="I162" s="36" t="n">
        <x:v>5</x:v>
      </x:c>
      <x:c r="J162" s="45" t="b">
        <x:v>1</x:v>
      </x:c>
      <x:c r="K162" s="45" t="b">
        <x:v>1</x:v>
      </x:c>
      <x:c r="L162" s="45" t="b">
        <x:v>0</x:v>
      </x:c>
      <x:c r="M162" s="45" t="b">
        <x:v>0</x:v>
      </x:c>
      <x:c r="N162" s="45" t="b">
        <x:v>1</x:v>
      </x:c>
      <x:c r="O162" s="43" t="n">
        <x:v>105690651.54600726</x:v>
      </x:c>
      <x:c r="P162" s="43"/>
      <x:c r="Q162" s="43" t="n">
        <x:v>13687043.02385104</x:v>
      </x:c>
      <x:c r="R162" s="43"/>
      <x:c r="S162" s="43" t="n">
        <x:v>30</x:v>
      </x:c>
      <x:c r="T162" s="43"/>
      <x:c r="U162" s="43" t="n">
        <x:v>161</x:v>
      </x:c>
      <x:c r="V162" s="43"/>
      <x:c r="W162" s="43" t="n">
        <x:v>281</x:v>
      </x:c>
      <x:c r="X162" s="43"/>
      <x:c r="Y162" s="53" t="str">
        <x:f>IF(X162="","",X162/'Readme-Protocol'!$B$25)</x:f>
      </x:c>
      <x:c r="Z162" s="43" t="n">
        <x:v>8266548</x:v>
      </x:c>
      <x:c r="AA162" s="43"/>
    </x:row>
    <x:row r="163">
      <x:c r="A163" s="24" t="str">
        <x:v>article1-unified-v4-2-fb3f101b-20260903-000401-default-f03-p6-nostore</x:v>
      </x:c>
      <x:c r="B163" s="24" t="str">
        <x:v>default</x:v>
      </x:c>
      <x:c r="C163" s="24" t="str">
        <x:v>nostore</x:v>
      </x:c>
      <x:c r="D163" s="36" t="n">
        <x:v>3</x:v>
      </x:c>
      <x:c r="E163" s="36" t="n">
        <x:v>3</x:v>
      </x:c>
      <x:c r="F163" s="36" t="n">
        <x:v>6</x:v>
      </x:c>
      <x:c r="G163" s="24" t="str">
        <x:v>initial</x:v>
      </x:c>
      <x:c r="H163" s="24" t="str">
        <x:v>sensitivity-without-cycle-1</x:v>
      </x:c>
      <x:c r="I163" s="36" t="n">
        <x:v>4</x:v>
      </x:c>
      <x:c r="J163" s="45" t="b">
        <x:v>1</x:v>
      </x:c>
      <x:c r="K163" s="45" t="b">
        <x:v>1</x:v>
      </x:c>
      <x:c r="L163" s="45" t="b">
        <x:v>0</x:v>
      </x:c>
      <x:c r="M163" s="45" t="b">
        <x:v>0</x:v>
      </x:c>
      <x:c r="N163" s="45" t="b">
        <x:v>1</x:v>
      </x:c>
      <x:c r="O163" s="43" t="n">
        <x:v>105253172.9193115</x:v>
      </x:c>
      <x:c r="P163" s="43"/>
      <x:c r="Q163" s="43" t="n">
        <x:v>14268919.430200744</x:v>
      </x:c>
      <x:c r="R163" s="43"/>
      <x:c r="S163" s="43" t="n">
        <x:v>30.5</x:v>
      </x:c>
      <x:c r="T163" s="43"/>
      <x:c r="U163" s="43" t="n">
        <x:v>161</x:v>
      </x:c>
      <x:c r="V163" s="43"/>
      <x:c r="W163" s="43" t="n">
        <x:v>281</x:v>
      </x:c>
      <x:c r="X163" s="43"/>
      <x:c r="Y163" s="53" t="str">
        <x:f>IF(X163="","",X163/'Readme-Protocol'!$B$25)</x:f>
      </x:c>
      <x:c r="Z163" s="43" t="n">
        <x:v>8232550</x:v>
      </x:c>
      <x:c r="AA163" s="43"/>
    </x:row>
    <x:row r="164">
      <x:c r="A164" s="24" t="str">
        <x:v>article1-unified-v4-2-fb3f101b-20260903-000401-default-f03-p6-nostore</x:v>
      </x:c>
      <x:c r="B164" s="24" t="str">
        <x:v>default</x:v>
      </x:c>
      <x:c r="C164" s="24" t="str">
        <x:v>nostore</x:v>
      </x:c>
      <x:c r="D164" s="36" t="n">
        <x:v>3</x:v>
      </x:c>
      <x:c r="E164" s="36" t="n">
        <x:v>3</x:v>
      </x:c>
      <x:c r="F164" s="36" t="n">
        <x:v>6</x:v>
      </x:c>
      <x:c r="G164" s="24" t="str">
        <x:v>redeploy</x:v>
      </x:c>
      <x:c r="H164" s="24" t="str">
        <x:v>primary-all-cycles</x:v>
      </x:c>
      <x:c r="I164" s="36" t="n">
        <x:v>5</x:v>
      </x:c>
      <x:c r="J164" s="45" t="b">
        <x:v>1</x:v>
      </x:c>
      <x:c r="K164" s="45" t="b">
        <x:v>1</x:v>
      </x:c>
      <x:c r="L164" s="45" t="b">
        <x:v>0</x:v>
      </x:c>
      <x:c r="M164" s="45" t="b">
        <x:v>0</x:v>
      </x:c>
      <x:c r="N164" s="45" t="b">
        <x:v>1</x:v>
      </x:c>
      <x:c r="O164" s="43" t="n">
        <x:v>103578828.41805625</x:v>
      </x:c>
      <x:c r="P164" s="43"/>
      <x:c r="Q164" s="43" t="n">
        <x:v>14981026.529899882</x:v>
      </x:c>
      <x:c r="R164" s="43"/>
      <x:c r="S164" s="43" t="n">
        <x:v>31</x:v>
      </x:c>
      <x:c r="T164" s="43"/>
      <x:c r="U164" s="43" t="n">
        <x:v>161</x:v>
      </x:c>
      <x:c r="V164" s="43"/>
      <x:c r="W164" s="43" t="n">
        <x:v>290</x:v>
      </x:c>
      <x:c r="X164" s="43"/>
      <x:c r="Y164" s="53" t="str">
        <x:f>IF(X164="","",X164/'Readme-Protocol'!$B$25)</x:f>
      </x:c>
      <x:c r="Z164" s="43" t="n">
        <x:v>8110144</x:v>
      </x:c>
      <x:c r="AA164" s="43"/>
    </x:row>
    <x:row r="165">
      <x:c r="A165" s="24" t="str">
        <x:v>article1-unified-v4-2-fb3f101b-20260903-000401-default-f03-p6-nostore</x:v>
      </x:c>
      <x:c r="B165" s="24" t="str">
        <x:v>default</x:v>
      </x:c>
      <x:c r="C165" s="24" t="str">
        <x:v>nostore</x:v>
      </x:c>
      <x:c r="D165" s="36" t="n">
        <x:v>3</x:v>
      </x:c>
      <x:c r="E165" s="36" t="n">
        <x:v>3</x:v>
      </x:c>
      <x:c r="F165" s="36" t="n">
        <x:v>6</x:v>
      </x:c>
      <x:c r="G165" s="24" t="str">
        <x:v>redeploy</x:v>
      </x:c>
      <x:c r="H165" s="24" t="str">
        <x:v>sensitivity-without-cycle-1</x:v>
      </x:c>
      <x:c r="I165" s="36" t="n">
        <x:v>4</x:v>
      </x:c>
      <x:c r="J165" s="45" t="b">
        <x:v>1</x:v>
      </x:c>
      <x:c r="K165" s="45" t="b">
        <x:v>1</x:v>
      </x:c>
      <x:c r="L165" s="45" t="b">
        <x:v>0</x:v>
      </x:c>
      <x:c r="M165" s="45" t="b">
        <x:v>0</x:v>
      </x:c>
      <x:c r="N165" s="45" t="b">
        <x:v>1</x:v>
      </x:c>
      <x:c r="O165" s="43" t="n">
        <x:v>104681832.52785149</x:v>
      </x:c>
      <x:c r="P165" s="43"/>
      <x:c r="Q165" s="43" t="n">
        <x:v>14532836.217429753</x:v>
      </x:c>
      <x:c r="R165" s="43"/>
      <x:c r="S165" s="43" t="n">
        <x:v>30.5</x:v>
      </x:c>
      <x:c r="T165" s="43"/>
      <x:c r="U165" s="43" t="n">
        <x:v>161</x:v>
      </x:c>
      <x:c r="V165" s="43"/>
      <x:c r="W165" s="43" t="n">
        <x:v>285.5</x:v>
      </x:c>
      <x:c r="X165" s="43"/>
      <x:c r="Y165" s="53" t="str">
        <x:f>IF(X165="","",X165/'Readme-Protocol'!$B$25)</x:f>
      </x:c>
      <x:c r="Z165" s="43" t="n">
        <x:v>8192526</x:v>
      </x:c>
      <x:c r="AA165" s="43"/>
    </x:row>
    <x:row r="166">
      <x:c r="A166" s="24" t="str">
        <x:v>article1-unified-v4-2-fb3f101b-20260903-000401-default-f04-p4-nostore</x:v>
      </x:c>
      <x:c r="B166" s="24" t="str">
        <x:v>default</x:v>
      </x:c>
      <x:c r="C166" s="24" t="str">
        <x:v>nostore</x:v>
      </x:c>
      <x:c r="D166" s="36" t="n">
        <x:v>4</x:v>
      </x:c>
      <x:c r="E166" s="36" t="n">
        <x:v>4</x:v>
      </x:c>
      <x:c r="F166" s="36" t="n">
        <x:v>4</x:v>
      </x:c>
      <x:c r="G166" s="24" t="str">
        <x:v>initial</x:v>
      </x:c>
      <x:c r="H166" s="24" t="str">
        <x:v>primary-all-cycles</x:v>
      </x:c>
      <x:c r="I166" s="36" t="n">
        <x:v>5</x:v>
      </x:c>
      <x:c r="J166" s="45" t="b">
        <x:v>1</x:v>
      </x:c>
      <x:c r="K166" s="45" t="b">
        <x:v>1</x:v>
      </x:c>
      <x:c r="L166" s="45" t="b">
        <x:v>0</x:v>
      </x:c>
      <x:c r="M166" s="45" t="b">
        <x:v>0</x:v>
      </x:c>
      <x:c r="N166" s="45" t="b">
        <x:v>1</x:v>
      </x:c>
      <x:c r="O166" s="43" t="n">
        <x:v>101501881.17451438</x:v>
      </x:c>
      <x:c r="P166" s="43"/>
      <x:c r="Q166" s="43" t="n">
        <x:v>11882115.159083698</x:v>
      </x:c>
      <x:c r="R166" s="43"/>
      <x:c r="S166" s="43" t="n">
        <x:v>40</x:v>
      </x:c>
      <x:c r="T166" s="43"/>
      <x:c r="U166" s="43" t="n">
        <x:v>161</x:v>
      </x:c>
      <x:c r="V166" s="43"/>
      <x:c r="W166" s="43" t="n">
        <x:v>281</x:v>
      </x:c>
      <x:c r="X166" s="43"/>
      <x:c r="Y166" s="53" t="str">
        <x:f>IF(X166="","",X166/'Readme-Protocol'!$B$25)</x:f>
      </x:c>
      <x:c r="Z166" s="43" t="n">
        <x:v>7937828</x:v>
      </x:c>
      <x:c r="AA166" s="43"/>
    </x:row>
    <x:row r="167">
      <x:c r="A167" s="24" t="str">
        <x:v>article1-unified-v4-2-fb3f101b-20260903-000401-default-f04-p4-nostore</x:v>
      </x:c>
      <x:c r="B167" s="24" t="str">
        <x:v>default</x:v>
      </x:c>
      <x:c r="C167" s="24" t="str">
        <x:v>nostore</x:v>
      </x:c>
      <x:c r="D167" s="36" t="n">
        <x:v>4</x:v>
      </x:c>
      <x:c r="E167" s="36" t="n">
        <x:v>4</x:v>
      </x:c>
      <x:c r="F167" s="36" t="n">
        <x:v>4</x:v>
      </x:c>
      <x:c r="G167" s="24" t="str">
        <x:v>initial</x:v>
      </x:c>
      <x:c r="H167" s="24" t="str">
        <x:v>sensitivity-without-cycle-1</x:v>
      </x:c>
      <x:c r="I167" s="36" t="n">
        <x:v>4</x:v>
      </x:c>
      <x:c r="J167" s="45" t="b">
        <x:v>1</x:v>
      </x:c>
      <x:c r="K167" s="45" t="b">
        <x:v>1</x:v>
      </x:c>
      <x:c r="L167" s="45" t="b">
        <x:v>0</x:v>
      </x:c>
      <x:c r="M167" s="45" t="b">
        <x:v>0</x:v>
      </x:c>
      <x:c r="N167" s="45" t="b">
        <x:v>1</x:v>
      </x:c>
      <x:c r="O167" s="43" t="n">
        <x:v>101247984.19328927</x:v>
      </x:c>
      <x:c r="P167" s="43"/>
      <x:c r="Q167" s="43" t="n">
        <x:v>11402637.54908808</x:v>
      </x:c>
      <x:c r="R167" s="43"/>
      <x:c r="S167" s="43" t="n">
        <x:v>40</x:v>
      </x:c>
      <x:c r="T167" s="43"/>
      <x:c r="U167" s="43" t="n">
        <x:v>161</x:v>
      </x:c>
      <x:c r="V167" s="43"/>
      <x:c r="W167" s="43" t="n">
        <x:v>285.5</x:v>
      </x:c>
      <x:c r="X167" s="43"/>
      <x:c r="Y167" s="53" t="str">
        <x:f>IF(X167="","",X167/'Readme-Protocol'!$B$25)</x:f>
      </x:c>
      <x:c r="Z167" s="43" t="n">
        <x:v>7921208</x:v>
      </x:c>
      <x:c r="AA167" s="43"/>
    </x:row>
    <x:row r="168">
      <x:c r="A168" s="24" t="str">
        <x:v>article1-unified-v4-2-fb3f101b-20260903-000401-default-f04-p4-nostore</x:v>
      </x:c>
      <x:c r="B168" s="24" t="str">
        <x:v>default</x:v>
      </x:c>
      <x:c r="C168" s="24" t="str">
        <x:v>nostore</x:v>
      </x:c>
      <x:c r="D168" s="36" t="n">
        <x:v>4</x:v>
      </x:c>
      <x:c r="E168" s="36" t="n">
        <x:v>4</x:v>
      </x:c>
      <x:c r="F168" s="36" t="n">
        <x:v>4</x:v>
      </x:c>
      <x:c r="G168" s="24" t="str">
        <x:v>redeploy</x:v>
      </x:c>
      <x:c r="H168" s="24" t="str">
        <x:v>primary-all-cycles</x:v>
      </x:c>
      <x:c r="I168" s="36" t="n">
        <x:v>5</x:v>
      </x:c>
      <x:c r="J168" s="45" t="b">
        <x:v>1</x:v>
      </x:c>
      <x:c r="K168" s="45" t="b">
        <x:v>1</x:v>
      </x:c>
      <x:c r="L168" s="45" t="b">
        <x:v>0</x:v>
      </x:c>
      <x:c r="M168" s="45" t="b">
        <x:v>0</x:v>
      </x:c>
      <x:c r="N168" s="45" t="b">
        <x:v>1</x:v>
      </x:c>
      <x:c r="O168" s="43" t="n">
        <x:v>103182518.58874956</x:v>
      </x:c>
      <x:c r="P168" s="43"/>
      <x:c r="Q168" s="43" t="n">
        <x:v>12811593.98008822</x:v>
      </x:c>
      <x:c r="R168" s="43"/>
      <x:c r="S168" s="43" t="n">
        <x:v>40</x:v>
      </x:c>
      <x:c r="T168" s="43"/>
      <x:c r="U168" s="43" t="n">
        <x:v>160</x:v>
      </x:c>
      <x:c r="V168" s="43"/>
      <x:c r="W168" s="43" t="n">
        <x:v>280</x:v>
      </x:c>
      <x:c r="X168" s="43"/>
      <x:c r="Y168" s="53" t="str">
        <x:f>IF(X168="","",X168/'Readme-Protocol'!$B$25)</x:f>
      </x:c>
      <x:c r="Z168" s="43" t="n">
        <x:v>8070604</x:v>
      </x:c>
      <x:c r="AA168" s="43"/>
    </x:row>
    <x:row r="169">
      <x:c r="A169" s="24" t="str">
        <x:v>article1-unified-v4-2-fb3f101b-20260903-000401-default-f04-p4-nostore</x:v>
      </x:c>
      <x:c r="B169" s="24" t="str">
        <x:v>default</x:v>
      </x:c>
      <x:c r="C169" s="24" t="str">
        <x:v>nostore</x:v>
      </x:c>
      <x:c r="D169" s="36" t="n">
        <x:v>4</x:v>
      </x:c>
      <x:c r="E169" s="36" t="n">
        <x:v>4</x:v>
      </x:c>
      <x:c r="F169" s="36" t="n">
        <x:v>4</x:v>
      </x:c>
      <x:c r="G169" s="24" t="str">
        <x:v>redeploy</x:v>
      </x:c>
      <x:c r="H169" s="24" t="str">
        <x:v>sensitivity-without-cycle-1</x:v>
      </x:c>
      <x:c r="I169" s="36" t="n">
        <x:v>4</x:v>
      </x:c>
      <x:c r="J169" s="45" t="b">
        <x:v>1</x:v>
      </x:c>
      <x:c r="K169" s="45" t="b">
        <x:v>1</x:v>
      </x:c>
      <x:c r="L169" s="45" t="b">
        <x:v>0</x:v>
      </x:c>
      <x:c r="M169" s="45" t="b">
        <x:v>0</x:v>
      </x:c>
      <x:c r="N169" s="45" t="b">
        <x:v>1</x:v>
      </x:c>
      <x:c r="O169" s="43" t="n">
        <x:v>103740261.781442</x:v>
      </x:c>
      <x:c r="P169" s="43"/>
      <x:c r="Q169" s="43" t="n">
        <x:v>13061448.500008198</x:v>
      </x:c>
      <x:c r="R169" s="43"/>
      <x:c r="S169" s="43" t="n">
        <x:v>40</x:v>
      </x:c>
      <x:c r="T169" s="43"/>
      <x:c r="U169" s="43" t="n">
        <x:v>160</x:v>
      </x:c>
      <x:c r="V169" s="43"/>
      <x:c r="W169" s="43" t="n">
        <x:v>280</x:v>
      </x:c>
      <x:c r="X169" s="43"/>
      <x:c r="Y169" s="53" t="str">
        <x:f>IF(X169="","",X169/'Readme-Protocol'!$B$25)</x:f>
      </x:c>
      <x:c r="Z169" s="43" t="n">
        <x:v>8118022</x:v>
      </x:c>
      <x:c r="AA169" s="43"/>
    </x:row>
    <x:row r="170">
      <x:c r="A170" s="24" t="str">
        <x:v>article1-unified-v4-2-fb3f101b-20260903-000401-default-f05-p2-nostore</x:v>
      </x:c>
      <x:c r="B170" s="24" t="str">
        <x:v>default</x:v>
      </x:c>
      <x:c r="C170" s="24" t="str">
        <x:v>nostore</x:v>
      </x:c>
      <x:c r="D170" s="36" t="n">
        <x:v>5</x:v>
      </x:c>
      <x:c r="E170" s="36" t="n">
        <x:v>5</x:v>
      </x:c>
      <x:c r="F170" s="36" t="n">
        <x:v>2</x:v>
      </x:c>
      <x:c r="G170" s="24" t="str">
        <x:v>initial</x:v>
      </x:c>
      <x:c r="H170" s="24" t="str">
        <x:v>primary-all-cycles</x:v>
      </x:c>
      <x:c r="I170" s="36" t="n">
        <x:v>5</x:v>
      </x:c>
      <x:c r="J170" s="45" t="b">
        <x:v>1</x:v>
      </x:c>
      <x:c r="K170" s="45" t="b">
        <x:v>1</x:v>
      </x:c>
      <x:c r="L170" s="45" t="b">
        <x:v>0</x:v>
      </x:c>
      <x:c r="M170" s="45" t="b">
        <x:v>0</x:v>
      </x:c>
      <x:c r="N170" s="45" t="b">
        <x:v>1</x:v>
      </x:c>
      <x:c r="O170" s="43" t="n">
        <x:v>103490565.13366164</x:v>
      </x:c>
      <x:c r="P170" s="43"/>
      <x:c r="Q170" s="43" t="n">
        <x:v>14390684.046775479</x:v>
      </x:c>
      <x:c r="R170" s="43"/>
      <x:c r="S170" s="43" t="n">
        <x:v>40</x:v>
      </x:c>
      <x:c r="T170" s="43"/>
      <x:c r="U170" s="43" t="n">
        <x:v>161</x:v>
      </x:c>
      <x:c r="V170" s="43"/>
      <x:c r="W170" s="43" t="n">
        <x:v>281</x:v>
      </x:c>
      <x:c r="X170" s="43"/>
      <x:c r="Y170" s="53" t="str">
        <x:f>IF(X170="","",X170/'Readme-Protocol'!$B$25)</x:f>
      </x:c>
      <x:c r="Z170" s="43" t="n">
        <x:v>8097192</x:v>
      </x:c>
      <x:c r="AA170" s="43"/>
    </x:row>
    <x:row r="171">
      <x:c r="A171" s="24" t="str">
        <x:v>article1-unified-v4-2-fb3f101b-20260903-000401-default-f05-p2-nostore</x:v>
      </x:c>
      <x:c r="B171" s="24" t="str">
        <x:v>default</x:v>
      </x:c>
      <x:c r="C171" s="24" t="str">
        <x:v>nostore</x:v>
      </x:c>
      <x:c r="D171" s="36" t="n">
        <x:v>5</x:v>
      </x:c>
      <x:c r="E171" s="36" t="n">
        <x:v>5</x:v>
      </x:c>
      <x:c r="F171" s="36" t="n">
        <x:v>2</x:v>
      </x:c>
      <x:c r="G171" s="24" t="str">
        <x:v>initial</x:v>
      </x:c>
      <x:c r="H171" s="24" t="str">
        <x:v>sensitivity-without-cycle-1</x:v>
      </x:c>
      <x:c r="I171" s="36" t="n">
        <x:v>4</x:v>
      </x:c>
      <x:c r="J171" s="45" t="b">
        <x:v>1</x:v>
      </x:c>
      <x:c r="K171" s="45" t="b">
        <x:v>1</x:v>
      </x:c>
      <x:c r="L171" s="45" t="b">
        <x:v>0</x:v>
      </x:c>
      <x:c r="M171" s="45" t="b">
        <x:v>0</x:v>
      </x:c>
      <x:c r="N171" s="45" t="b">
        <x:v>1</x:v>
      </x:c>
      <x:c r="O171" s="43" t="n">
        <x:v>103422621.44567738</x:v>
      </x:c>
      <x:c r="P171" s="43"/>
      <x:c r="Q171" s="43" t="n">
        <x:v>13534004.058605347</x:v>
      </x:c>
      <x:c r="R171" s="43"/>
      <x:c r="S171" s="43" t="n">
        <x:v>40</x:v>
      </x:c>
      <x:c r="T171" s="43"/>
      <x:c r="U171" s="43" t="n">
        <x:v>161</x:v>
      </x:c>
      <x:c r="V171" s="43"/>
      <x:c r="W171" s="43" t="n">
        <x:v>281</x:v>
      </x:c>
      <x:c r="X171" s="43"/>
      <x:c r="Y171" s="53" t="str">
        <x:f>IF(X171="","",X171/'Readme-Protocol'!$B$25)</x:f>
      </x:c>
      <x:c r="Z171" s="43" t="n">
        <x:v>8096146</x:v>
      </x:c>
      <x:c r="AA171" s="43"/>
    </x:row>
    <x:row r="172">
      <x:c r="A172" s="24" t="str">
        <x:v>article1-unified-v4-2-fb3f101b-20260903-000401-default-f05-p2-nostore</x:v>
      </x:c>
      <x:c r="B172" s="24" t="str">
        <x:v>default</x:v>
      </x:c>
      <x:c r="C172" s="24" t="str">
        <x:v>nostore</x:v>
      </x:c>
      <x:c r="D172" s="36" t="n">
        <x:v>5</x:v>
      </x:c>
      <x:c r="E172" s="36" t="n">
        <x:v>5</x:v>
      </x:c>
      <x:c r="F172" s="36" t="n">
        <x:v>2</x:v>
      </x:c>
      <x:c r="G172" s="24" t="str">
        <x:v>redeploy</x:v>
      </x:c>
      <x:c r="H172" s="24" t="str">
        <x:v>primary-all-cycles</x:v>
      </x:c>
      <x:c r="I172" s="36" t="n">
        <x:v>5</x:v>
      </x:c>
      <x:c r="J172" s="45" t="b">
        <x:v>1</x:v>
      </x:c>
      <x:c r="K172" s="45" t="b">
        <x:v>1</x:v>
      </x:c>
      <x:c r="L172" s="45" t="b">
        <x:v>0</x:v>
      </x:c>
      <x:c r="M172" s="45" t="b">
        <x:v>0</x:v>
      </x:c>
      <x:c r="N172" s="45" t="b">
        <x:v>1</x:v>
      </x:c>
      <x:c r="O172" s="43" t="n">
        <x:v>104503219.98537152</x:v>
      </x:c>
      <x:c r="P172" s="43"/>
      <x:c r="Q172" s="43" t="n">
        <x:v>12531705.214191906</x:v>
      </x:c>
      <x:c r="R172" s="43"/>
      <x:c r="S172" s="43" t="n">
        <x:v>31</x:v>
      </x:c>
      <x:c r="T172" s="43"/>
      <x:c r="U172" s="43" t="n">
        <x:v>160</x:v>
      </x:c>
      <x:c r="V172" s="43"/>
      <x:c r="W172" s="43" t="n">
        <x:v>281</x:v>
      </x:c>
      <x:c r="X172" s="43"/>
      <x:c r="Y172" s="53" t="str">
        <x:f>IF(X172="","",X172/'Readme-Protocol'!$B$25)</x:f>
      </x:c>
      <x:c r="Z172" s="43" t="n">
        <x:v>8173140</x:v>
      </x:c>
      <x:c r="AA172" s="43"/>
    </x:row>
    <x:row r="173">
      <x:c r="A173" s="24" t="str">
        <x:v>article1-unified-v4-2-fb3f101b-20260903-000401-default-f05-p2-nostore</x:v>
      </x:c>
      <x:c r="B173" s="24" t="str">
        <x:v>default</x:v>
      </x:c>
      <x:c r="C173" s="24" t="str">
        <x:v>nostore</x:v>
      </x:c>
      <x:c r="D173" s="36" t="n">
        <x:v>5</x:v>
      </x:c>
      <x:c r="E173" s="36" t="n">
        <x:v>5</x:v>
      </x:c>
      <x:c r="F173" s="36" t="n">
        <x:v>2</x:v>
      </x:c>
      <x:c r="G173" s="24" t="str">
        <x:v>redeploy</x:v>
      </x:c>
      <x:c r="H173" s="24" t="str">
        <x:v>sensitivity-without-cycle-1</x:v>
      </x:c>
      <x:c r="I173" s="36" t="n">
        <x:v>4</x:v>
      </x:c>
      <x:c r="J173" s="45" t="b">
        <x:v>1</x:v>
      </x:c>
      <x:c r="K173" s="45" t="b">
        <x:v>1</x:v>
      </x:c>
      <x:c r="L173" s="45" t="b">
        <x:v>0</x:v>
      </x:c>
      <x:c r="M173" s="45" t="b">
        <x:v>0</x:v>
      </x:c>
      <x:c r="N173" s="45" t="b">
        <x:v>1</x:v>
      </x:c>
      <x:c r="O173" s="43" t="n">
        <x:v>104528341.15149158</x:v>
      </x:c>
      <x:c r="P173" s="43"/>
      <x:c r="Q173" s="43" t="n">
        <x:v>12069137.49847587</x:v>
      </x:c>
      <x:c r="R173" s="43"/>
      <x:c r="S173" s="43" t="n">
        <x:v>35.5</x:v>
      </x:c>
      <x:c r="T173" s="43"/>
      <x:c r="U173" s="43" t="n">
        <x:v>160</x:v>
      </x:c>
      <x:c r="V173" s="43"/>
      <x:c r="W173" s="43" t="n">
        <x:v>281</x:v>
      </x:c>
      <x:c r="X173" s="43"/>
      <x:c r="Y173" s="53" t="str">
        <x:f>IF(X173="","",X173/'Readme-Protocol'!$B$25)</x:f>
      </x:c>
      <x:c r="Z173" s="43" t="n">
        <x:v>8178700</x:v>
      </x:c>
      <x:c r="AA173" s="43"/>
    </x:row>
    <x:row r="174">
      <x:c r="A174" s="24" t="str">
        <x:v>article1-unified-v4-2-fb3f101b-20260903-000401-default-f06-p1-nostore</x:v>
      </x:c>
      <x:c r="B174" s="24" t="str">
        <x:v>default</x:v>
      </x:c>
      <x:c r="C174" s="24" t="str">
        <x:v>nostore</x:v>
      </x:c>
      <x:c r="D174" s="36" t="n">
        <x:v>6</x:v>
      </x:c>
      <x:c r="E174" s="36" t="n">
        <x:v>6</x:v>
      </x:c>
      <x:c r="F174" s="36" t="n">
        <x:v>1</x:v>
      </x:c>
      <x:c r="G174" s="24" t="str">
        <x:v>initial</x:v>
      </x:c>
      <x:c r="H174" s="24" t="str">
        <x:v>primary-all-cycles</x:v>
      </x:c>
      <x:c r="I174" s="36" t="n">
        <x:v>5</x:v>
      </x:c>
      <x:c r="J174" s="45" t="b">
        <x:v>1</x:v>
      </x:c>
      <x:c r="K174" s="45" t="b">
        <x:v>1</x:v>
      </x:c>
      <x:c r="L174" s="45" t="b">
        <x:v>0</x:v>
      </x:c>
      <x:c r="M174" s="45" t="b">
        <x:v>0</x:v>
      </x:c>
      <x:c r="N174" s="45" t="b">
        <x:v>1</x:v>
      </x:c>
      <x:c r="O174" s="43" t="n">
        <x:v>104103723.20285307</x:v>
      </x:c>
      <x:c r="P174" s="43"/>
      <x:c r="Q174" s="43" t="n">
        <x:v>12503063.25049637</x:v>
      </x:c>
      <x:c r="R174" s="43"/>
      <x:c r="S174" s="43" t="n">
        <x:v>40</x:v>
      </x:c>
      <x:c r="T174" s="43"/>
      <x:c r="U174" s="43" t="n">
        <x:v>161</x:v>
      </x:c>
      <x:c r="V174" s="43"/>
      <x:c r="W174" s="43" t="n">
        <x:v>280</x:v>
      </x:c>
      <x:c r="X174" s="43"/>
      <x:c r="Y174" s="53" t="str">
        <x:f>IF(X174="","",X174/'Readme-Protocol'!$B$25)</x:f>
      </x:c>
      <x:c r="Z174" s="43" t="n">
        <x:v>8155392</x:v>
      </x:c>
      <x:c r="AA174" s="43"/>
    </x:row>
    <x:row r="175">
      <x:c r="A175" s="24" t="str">
        <x:v>article1-unified-v4-2-fb3f101b-20260903-000401-default-f06-p1-nostore</x:v>
      </x:c>
      <x:c r="B175" s="24" t="str">
        <x:v>default</x:v>
      </x:c>
      <x:c r="C175" s="24" t="str">
        <x:v>nostore</x:v>
      </x:c>
      <x:c r="D175" s="36" t="n">
        <x:v>6</x:v>
      </x:c>
      <x:c r="E175" s="36" t="n">
        <x:v>6</x:v>
      </x:c>
      <x:c r="F175" s="36" t="n">
        <x:v>1</x:v>
      </x:c>
      <x:c r="G175" s="24" t="str">
        <x:v>initial</x:v>
      </x:c>
      <x:c r="H175" s="24" t="str">
        <x:v>sensitivity-without-cycle-1</x:v>
      </x:c>
      <x:c r="I175" s="36" t="n">
        <x:v>4</x:v>
      </x:c>
      <x:c r="J175" s="45" t="b">
        <x:v>1</x:v>
      </x:c>
      <x:c r="K175" s="45" t="b">
        <x:v>1</x:v>
      </x:c>
      <x:c r="L175" s="45" t="b">
        <x:v>0</x:v>
      </x:c>
      <x:c r="M175" s="45" t="b">
        <x:v>0</x:v>
      </x:c>
      <x:c r="N175" s="45" t="b">
        <x:v>1</x:v>
      </x:c>
      <x:c r="O175" s="43" t="n">
        <x:v>103452788.976383</x:v>
      </x:c>
      <x:c r="P175" s="43"/>
      <x:c r="Q175" s="43" t="n">
        <x:v>12187447.477705061</x:v>
      </x:c>
      <x:c r="R175" s="43"/>
      <x:c r="S175" s="43" t="n">
        <x:v>40</x:v>
      </x:c>
      <x:c r="T175" s="43"/>
      <x:c r="U175" s="43" t="n">
        <x:v>161</x:v>
      </x:c>
      <x:c r="V175" s="43"/>
      <x:c r="W175" s="43" t="n">
        <x:v>280.5</x:v>
      </x:c>
      <x:c r="X175" s="43"/>
      <x:c r="Y175" s="53" t="str">
        <x:f>IF(X175="","",X175/'Readme-Protocol'!$B$25)</x:f>
      </x:c>
      <x:c r="Z175" s="43" t="n">
        <x:v>8092566</x:v>
      </x:c>
      <x:c r="AA175" s="43"/>
    </x:row>
    <x:row r="176">
      <x:c r="A176" s="24" t="str">
        <x:v>article1-unified-v4-2-fb3f101b-20260903-000401-default-f06-p1-nostore</x:v>
      </x:c>
      <x:c r="B176" s="24" t="str">
        <x:v>default</x:v>
      </x:c>
      <x:c r="C176" s="24" t="str">
        <x:v>nostore</x:v>
      </x:c>
      <x:c r="D176" s="36" t="n">
        <x:v>6</x:v>
      </x:c>
      <x:c r="E176" s="36" t="n">
        <x:v>6</x:v>
      </x:c>
      <x:c r="F176" s="36" t="n">
        <x:v>1</x:v>
      </x:c>
      <x:c r="G176" s="24" t="str">
        <x:v>redeploy</x:v>
      </x:c>
      <x:c r="H176" s="24" t="str">
        <x:v>primary-all-cycles</x:v>
      </x:c>
      <x:c r="I176" s="36" t="n">
        <x:v>5</x:v>
      </x:c>
      <x:c r="J176" s="45" t="b">
        <x:v>1</x:v>
      </x:c>
      <x:c r="K176" s="45" t="b">
        <x:v>1</x:v>
      </x:c>
      <x:c r="L176" s="45" t="b">
        <x:v>0</x:v>
      </x:c>
      <x:c r="M176" s="45" t="b">
        <x:v>0</x:v>
      </x:c>
      <x:c r="N176" s="45" t="b">
        <x:v>1</x:v>
      </x:c>
      <x:c r="O176" s="43" t="n">
        <x:v>105590103.96906619</x:v>
      </x:c>
      <x:c r="P176" s="43"/>
      <x:c r="Q176" s="43" t="n">
        <x:v>11997226.241293013</x:v>
      </x:c>
      <x:c r="R176" s="43"/>
      <x:c r="S176" s="43" t="n">
        <x:v>40</x:v>
      </x:c>
      <x:c r="T176" s="43"/>
      <x:c r="U176" s="43" t="n">
        <x:v>160</x:v>
      </x:c>
      <x:c r="V176" s="43"/>
      <x:c r="W176" s="43" t="n">
        <x:v>271</x:v>
      </x:c>
      <x:c r="X176" s="43"/>
      <x:c r="Y176" s="53" t="str">
        <x:f>IF(X176="","",X176/'Readme-Protocol'!$B$25)</x:f>
      </x:c>
      <x:c r="Z176" s="43" t="n">
        <x:v>8263892</x:v>
      </x:c>
      <x:c r="AA176" s="43"/>
    </x:row>
    <x:row r="177">
      <x:c r="A177" s="24" t="str">
        <x:v>article1-unified-v4-2-fb3f101b-20260903-000401-default-f06-p1-nostore</x:v>
      </x:c>
      <x:c r="B177" s="24" t="str">
        <x:v>default</x:v>
      </x:c>
      <x:c r="C177" s="24" t="str">
        <x:v>nostore</x:v>
      </x:c>
      <x:c r="D177" s="36" t="n">
        <x:v>6</x:v>
      </x:c>
      <x:c r="E177" s="36" t="n">
        <x:v>6</x:v>
      </x:c>
      <x:c r="F177" s="36" t="n">
        <x:v>1</x:v>
      </x:c>
      <x:c r="G177" s="24" t="str">
        <x:v>redeploy</x:v>
      </x:c>
      <x:c r="H177" s="24" t="str">
        <x:v>sensitivity-without-cycle-1</x:v>
      </x:c>
      <x:c r="I177" s="36" t="n">
        <x:v>4</x:v>
      </x:c>
      <x:c r="J177" s="45" t="b">
        <x:v>1</x:v>
      </x:c>
      <x:c r="K177" s="45" t="b">
        <x:v>1</x:v>
      </x:c>
      <x:c r="L177" s="45" t="b">
        <x:v>0</x:v>
      </x:c>
      <x:c r="M177" s="45" t="b">
        <x:v>0</x:v>
      </x:c>
      <x:c r="N177" s="45" t="b">
        <x:v>1</x:v>
      </x:c>
      <x:c r="O177" s="43" t="n">
        <x:v>105664617.00476488</x:v>
      </x:c>
      <x:c r="P177" s="43"/>
      <x:c r="Q177" s="43" t="n">
        <x:v>13058705.805543274</x:v>
      </x:c>
      <x:c r="R177" s="43"/>
      <x:c r="S177" s="43" t="n">
        <x:v>40</x:v>
      </x:c>
      <x:c r="T177" s="43"/>
      <x:c r="U177" s="43" t="n">
        <x:v>160</x:v>
      </x:c>
      <x:c r="V177" s="43"/>
      <x:c r="W177" s="43" t="n">
        <x:v>271</x:v>
      </x:c>
      <x:c r="X177" s="43"/>
      <x:c r="Y177" s="53" t="str">
        <x:f>IF(X177="","",X177/'Readme-Protocol'!$B$25)</x:f>
      </x:c>
      <x:c r="Z177" s="43" t="n">
        <x:v>8268032</x:v>
      </x:c>
      <x:c r="AA177" s="43"/>
    </x:row>
    <x:row r="180" ht="23" customHeight="1">
      <x:c r="A180" s="10" t="str">
        <x:v>Rapporti appaiati provider ÷ JCS4 per Williams block</x:v>
      </x:c>
      <x:c r="B180" s="10" t="str">
        <x:v>Rapporti appaiati provider ÷ JCS4 per Williams block</x:v>
      </x:c>
      <x:c r="C180" s="10" t="str">
        <x:v>Rapporti appaiati provider ÷ JCS4 per Williams block</x:v>
      </x:c>
      <x:c r="D180" s="10" t="str">
        <x:v>Rapporti appaiati provider ÷ JCS4 per Williams block</x:v>
      </x:c>
      <x:c r="E180" s="10" t="str">
        <x:v>Rapporti appaiati provider ÷ JCS4 per Williams block</x:v>
      </x:c>
      <x:c r="F180" s="10" t="str">
        <x:v>Rapporti appaiati provider ÷ JCS4 per Williams block</x:v>
      </x:c>
      <x:c r="G180" s="10" t="str">
        <x:v>Rapporti appaiati provider ÷ JCS4 per Williams block</x:v>
      </x:c>
      <x:c r="H180" s="10" t="str">
        <x:v>Rapporti appaiati provider ÷ JCS4 per Williams block</x:v>
      </x:c>
      <x:c r="I180" s="10" t="str">
        <x:v>Rapporti appaiati provider ÷ JCS4 per Williams block</x:v>
      </x:c>
      <x:c r="J180" s="10" t="str">
        <x:v>Rapporti appaiati provider ÷ JCS4 per Williams block</x:v>
      </x:c>
      <x:c r="K180" s="10" t="str">
        <x:v>Rapporti appaiati provider ÷ JCS4 per Williams block</x:v>
      </x:c>
      <x:c r="L180" s="10" t="str">
        <x:v>Rapporti appaiati provider ÷ JCS4 per Williams block</x:v>
      </x:c>
      <x:c r="M180" s="10" t="str">
        <x:v>Rapporti appaiati provider ÷ JCS4 per Williams block</x:v>
      </x:c>
      <x:c r="N180" s="10" t="str">
        <x:v>Rapporti appaiati provider ÷ JCS4 per Williams block</x:v>
      </x:c>
      <x:c r="O180" s="10" t="str">
        <x:v>Rapporti appaiati provider ÷ JCS4 per Williams block</x:v>
      </x:c>
      <x:c r="P180" s="10" t="str">
        <x:v>Rapporti appaiati provider ÷ JCS4 per Williams block</x:v>
      </x:c>
    </x:row>
    <x:row r="181" ht="31" customHeight="1">
      <x:c r="A181" s="23" t="str">
        <x:v>scenario</x:v>
      </x:c>
      <x:c r="B181" s="23" t="str">
        <x:v>provider</x:v>
      </x:c>
      <x:c r="C181" s="23" t="str">
        <x:v>reference provider</x:v>
      </x:c>
      <x:c r="D181" s="23" t="str">
        <x:v>phase</x:v>
      </x:c>
      <x:c r="E181" s="23" t="str">
        <x:v>analysis set</x:v>
      </x:c>
      <x:c r="F181" s="23" t="str">
        <x:v>pairing unit</x:v>
      </x:c>
      <x:c r="G181" s="23" t="str">
        <x:v>provider/JCS4 ratio metric</x:v>
      </x:c>
      <x:c r="H181" s="23" t="str">
        <x:v>paired N</x:v>
      </x:c>
      <x:c r="I181" s="23" t="str">
        <x:v>provider/JCS4 median</x:v>
      </x:c>
      <x:c r="J181" s="23" t="str">
        <x:v>provider/JCS4 mean</x:v>
      </x:c>
      <x:c r="K181" s="23" t="str">
        <x:v>provider/JCS4 sample SD</x:v>
      </x:c>
      <x:c r="L181" s="23" t="str">
        <x:v>provider/JCS4 Q1</x:v>
      </x:c>
      <x:c r="M181" s="23" t="str">
        <x:v>provider/JCS4 Q3</x:v>
      </x:c>
      <x:c r="N181" s="23" t="str">
        <x:v>provider/JCS4 min</x:v>
      </x:c>
      <x:c r="O181" s="23" t="str">
        <x:v>provider/JCS4 max</x:v>
      </x:c>
      <x:c r="P181" s="23" t="str">
        <x:v>values by Williams block (JSON)</x:v>
      </x:c>
    </x:row>
    <x:row r="182">
      <x:c r="A182" s="24" t="str">
        <x:v>default</x:v>
      </x:c>
      <x:c r="B182" s="24" t="str">
        <x:v>caffeine</x:v>
      </x:c>
      <x:c r="C182" s="24" t="str">
        <x:v>jcs4</x:v>
      </x:c>
      <x:c r="D182" s="24" t="str">
        <x:v>initial</x:v>
      </x:c>
      <x:c r="E182" s="24" t="str">
        <x:v>primary-all-cycles</x:v>
      </x:c>
      <x:c r="F182" s="24" t="str">
        <x:v>Williams block</x:v>
      </x:c>
      <x:c r="G182" s="24" t="str">
        <x:v>operationsPerSecond</x:v>
      </x:c>
      <x:c r="H182" s="36" t="n">
        <x:v>6</x:v>
      </x:c>
      <x:c r="I182" s="55" t="n">
        <x:v>27.23683721626417</x:v>
      </x:c>
      <x:c r="J182" s="55" t="n">
        <x:v>28.398927719842735</x:v>
      </x:c>
      <x:c r="K182" s="56" t="n">
        <x:v>4.113397743585705</x:v>
      </x:c>
      <x:c r="L182" s="55" t="n">
        <x:v>27.05469345689515</x:v>
      </x:c>
      <x:c r="M182" s="55" t="n">
        <x:v>30.60172701296947</x:v>
      </x:c>
      <x:c r="N182" s="55" t="n">
        <x:v>22.71924192609125</x:v>
      </x:c>
      <x:c r="O182" s="55" t="n">
        <x:v>34.48331414479345</x:v>
      </x:c>
      <x:c r="P182" s="29" t="str">
        <x:v>[{"block":1,"ratioToJcs4":27.04158971522536},{"block":2,"ratioToJcs4":31.675746100418024},{"block":3,"ratioToJcs4":34.48331414479345},{"block":4,"ratioToJcs4":27.094004681904526},{"block":5,"ratioToJcs4":27.379669750623812},{"block":6,"ratioToJcs4":22.71924192609125}]</x:v>
      </x:c>
    </x:row>
    <x:row r="183">
      <x:c r="A183" s="24" t="str">
        <x:v>default</x:v>
      </x:c>
      <x:c r="B183" s="24" t="str">
        <x:v>caffeine</x:v>
      </x:c>
      <x:c r="C183" s="24" t="str">
        <x:v>jcs4</x:v>
      </x:c>
      <x:c r="D183" s="24" t="str">
        <x:v>initial</x:v>
      </x:c>
      <x:c r="E183" s="24" t="str">
        <x:v>sensitivity-without-cycle-1</x:v>
      </x:c>
      <x:c r="F183" s="24" t="str">
        <x:v>Williams block</x:v>
      </x:c>
      <x:c r="G183" s="24" t="str">
        <x:v>operationsPerSecond</x:v>
      </x:c>
      <x:c r="H183" s="36" t="n">
        <x:v>6</x:v>
      </x:c>
      <x:c r="I183" s="55" t="n">
        <x:v>27.46417367389843</x:v>
      </x:c>
      <x:c r="J183" s="55" t="n">
        <x:v>27.54924573029433</x:v>
      </x:c>
      <x:c r="K183" s="56" t="n">
        <x:v>3.6582591374932627</x:v>
      </x:c>
      <x:c r="L183" s="55" t="n">
        <x:v>26.250525872024607</x:v>
      </x:c>
      <x:c r="M183" s="55" t="n">
        <x:v>28.88367637095218</x:v>
      </x:c>
      <x:c r="N183" s="55" t="n">
        <x:v>22.047170405911313</x:v>
      </x:c>
      <x:c r="O183" s="55" t="n">
        <x:v>33.1171360866877</x:v>
      </x:c>
      <x:c r="P183" s="29" t="str">
        <x:v>[{"block":1,"ratioToJcs4":25.960955269912276},{"block":2,"ratioToJcs4":33.1171360866877},{"block":3,"ratioToJcs4":29.241865271457822},{"block":4,"ratioToJcs4":27.1192376783616},{"block":5,"ratioToJcs4":27.809109669435262},{"block":6,"ratioToJcs4":22.047170405911313}]</x:v>
      </x:c>
    </x:row>
    <x:row r="184">
      <x:c r="A184" s="24" t="str">
        <x:v>default</x:v>
      </x:c>
      <x:c r="B184" s="24" t="str">
        <x:v>caffeine</x:v>
      </x:c>
      <x:c r="C184" s="24" t="str">
        <x:v>jcs4</x:v>
      </x:c>
      <x:c r="D184" s="24" t="str">
        <x:v>redeploy</x:v>
      </x:c>
      <x:c r="E184" s="24" t="str">
        <x:v>primary-all-cycles</x:v>
      </x:c>
      <x:c r="F184" s="24" t="str">
        <x:v>Williams block</x:v>
      </x:c>
      <x:c r="G184" s="24" t="str">
        <x:v>operationsPerSecond</x:v>
      </x:c>
      <x:c r="H184" s="36" t="n">
        <x:v>6</x:v>
      </x:c>
      <x:c r="I184" s="55" t="n">
        <x:v>27.091783051093753</x:v>
      </x:c>
      <x:c r="J184" s="55" t="n">
        <x:v>27.22963281268621</x:v>
      </x:c>
      <x:c r="K184" s="56" t="n">
        <x:v>3.0340422736960915</x:v>
      </x:c>
      <x:c r="L184" s="55" t="n">
        <x:v>25.096503773904544</x:v>
      </x:c>
      <x:c r="M184" s="55" t="n">
        <x:v>27.838644495646616</x:v>
      </x:c>
      <x:c r="N184" s="55" t="n">
        <x:v>24.132355876764343</x:v>
      </x:c>
      <x:c r="O184" s="55" t="n">
        <x:v>32.54286590515969</x:v>
      </x:c>
      <x:c r="P184" s="29" t="str">
        <x:v>[{"block":1,"ratioToJcs4":27.293117110799574},{"block":2,"ratioToJcs4":28.020486957262296},{"block":3,"ratioToJcs4":32.54286590515969},{"block":4,"ratioToJcs4":26.89044899138793},{"block":5,"ratioToJcs4":24.498522034743413},{"block":6,"ratioToJcs4":24.132355876764343}]</x:v>
      </x:c>
    </x:row>
    <x:row r="185">
      <x:c r="A185" s="24" t="str">
        <x:v>default</x:v>
      </x:c>
      <x:c r="B185" s="24" t="str">
        <x:v>caffeine</x:v>
      </x:c>
      <x:c r="C185" s="24" t="str">
        <x:v>jcs4</x:v>
      </x:c>
      <x:c r="D185" s="24" t="str">
        <x:v>redeploy</x:v>
      </x:c>
      <x:c r="E185" s="24" t="str">
        <x:v>sensitivity-without-cycle-1</x:v>
      </x:c>
      <x:c r="F185" s="24" t="str">
        <x:v>Williams block</x:v>
      </x:c>
      <x:c r="G185" s="24" t="str">
        <x:v>operationsPerSecond</x:v>
      </x:c>
      <x:c r="H185" s="36" t="n">
        <x:v>6</x:v>
      </x:c>
      <x:c r="I185" s="55" t="n">
        <x:v>25.939739395048182</x:v>
      </x:c>
      <x:c r="J185" s="55" t="n">
        <x:v>27.4896426365383</x:v>
      </x:c>
      <x:c r="K185" s="56" t="n">
        <x:v>3.6871424445307963</x:v>
      </x:c>
      <x:c r="L185" s="55" t="n">
        <x:v>25.255257128350614</x:v>
      </x:c>
      <x:c r="M185" s="55" t="n">
        <x:v>27.65308085387734</x:v>
      </x:c>
      <x:c r="N185" s="55" t="n">
        <x:v>25.137921170135915</x:v>
      </x:c>
      <x:c r="O185" s="55" t="n">
        <x:v>34.66916481272569</x:v>
      </x:c>
      <x:c r="P185" s="29" t="str">
        <x:v>[{"block":1,"ratioToJcs4":26.389792140164293},{"block":2,"ratioToJcs4":28.07417709178169},{"block":3,"ratioToJcs4":34.66916481272569},{"block":4,"ratioToJcs4":25.137921170135915},{"block":5,"ratioToJcs4":25.48968664993207},{"block":6,"ratioToJcs4":25.177113954490128}]</x:v>
      </x:c>
    </x:row>
    <x:row r="186">
      <x:c r="A186" s="24" t="str">
        <x:v>default</x:v>
      </x:c>
      <x:c r="B186" s="24" t="str">
        <x:v>ehcache</x:v>
      </x:c>
      <x:c r="C186" s="24" t="str">
        <x:v>jcs4</x:v>
      </x:c>
      <x:c r="D186" s="24" t="str">
        <x:v>initial</x:v>
      </x:c>
      <x:c r="E186" s="24" t="str">
        <x:v>primary-all-cycles</x:v>
      </x:c>
      <x:c r="F186" s="24" t="str">
        <x:v>Williams block</x:v>
      </x:c>
      <x:c r="G186" s="24" t="str">
        <x:v>operationsPerSecond</x:v>
      </x:c>
      <x:c r="H186" s="36" t="n">
        <x:v>6</x:v>
      </x:c>
      <x:c r="I186" s="55" t="n">
        <x:v>25.420161657703673</x:v>
      </x:c>
      <x:c r="J186" s="55" t="n">
        <x:v>25.837051774637164</x:v>
      </x:c>
      <x:c r="K186" s="56" t="n">
        <x:v>2.5295745573915562</x:v>
      </x:c>
      <x:c r="L186" s="55" t="n">
        <x:v>25.199368003175042</x:v>
      </x:c>
      <x:c r="M186" s="55" t="n">
        <x:v>26.306385062473602</x:v>
      </x:c>
      <x:c r="N186" s="55" t="n">
        <x:v>22.33109961647231</x:v>
      </x:c>
      <x:c r="O186" s="55" t="n">
        <x:v>30.12332473354758</x:v>
      </x:c>
      <x:c r="P186" s="29" t="str">
        <x:v>[{"block":1,"ratioToJcs4":25.21357233932937},{"block":2,"ratioToJcs4":26.532929757938813},{"block":3,"ratioToJcs4":30.12332473354758},{"block":4,"ratioToJcs4":25.194633224456933},{"block":5,"ratioToJcs4":25.626750976077975},{"block":6,"ratioToJcs4":22.33109961647231}]</x:v>
      </x:c>
    </x:row>
    <x:row r="187">
      <x:c r="A187" s="24" t="str">
        <x:v>default</x:v>
      </x:c>
      <x:c r="B187" s="24" t="str">
        <x:v>ehcache</x:v>
      </x:c>
      <x:c r="C187" s="24" t="str">
        <x:v>jcs4</x:v>
      </x:c>
      <x:c r="D187" s="24" t="str">
        <x:v>initial</x:v>
      </x:c>
      <x:c r="E187" s="24" t="str">
        <x:v>sensitivity-without-cycle-1</x:v>
      </x:c>
      <x:c r="F187" s="24" t="str">
        <x:v>Williams block</x:v>
      </x:c>
      <x:c r="G187" s="24" t="str">
        <x:v>operationsPerSecond</x:v>
      </x:c>
      <x:c r="H187" s="36" t="n">
        <x:v>6</x:v>
      </x:c>
      <x:c r="I187" s="55" t="n">
        <x:v>25.724827824899332</x:v>
      </x:c>
      <x:c r="J187" s="55" t="n">
        <x:v>25.235550910195112</x:v>
      </x:c>
      <x:c r="K187" s="56" t="n">
        <x:v>2.025207389546734</x:v>
      </x:c>
      <x:c r="L187" s="55" t="n">
        <x:v>24.41628868856352</x:v>
      </x:c>
      <x:c r="M187" s="55" t="n">
        <x:v>26.48550526623162</x:v>
      </x:c>
      <x:c r="N187" s="55" t="n">
        <x:v>21.823430268087172</x:v>
      </x:c>
      <x:c r="O187" s="55" t="n">
        <x:v>27.42104615349088</x:v>
      </x:c>
      <x:c r="P187" s="29" t="str">
        <x:v>[{"block":1,"ratioToJcs4":24.205660621518305},{"block":2,"ratioToJcs4":27.42104615349088},{"block":3,"ratioToJcs4":26.401482760099512},{"block":4,"ratioToJcs4":25.048172889699153},{"block":5,"ratioToJcs4":26.513512768275657},{"block":6,"ratioToJcs4":21.823430268087172}]</x:v>
      </x:c>
    </x:row>
    <x:row r="188">
      <x:c r="A188" s="24" t="str">
        <x:v>default</x:v>
      </x:c>
      <x:c r="B188" s="24" t="str">
        <x:v>ehcache</x:v>
      </x:c>
      <x:c r="C188" s="24" t="str">
        <x:v>jcs4</x:v>
      </x:c>
      <x:c r="D188" s="24" t="str">
        <x:v>redeploy</x:v>
      </x:c>
      <x:c r="E188" s="24" t="str">
        <x:v>primary-all-cycles</x:v>
      </x:c>
      <x:c r="F188" s="24" t="str">
        <x:v>Williams block</x:v>
      </x:c>
      <x:c r="G188" s="24" t="str">
        <x:v>operationsPerSecond</x:v>
      </x:c>
      <x:c r="H188" s="36" t="n">
        <x:v>6</x:v>
      </x:c>
      <x:c r="I188" s="55" t="n">
        <x:v>25.04313364106317</x:v>
      </x:c>
      <x:c r="J188" s="55" t="n">
        <x:v>25.24607558389807</x:v>
      </x:c>
      <x:c r="K188" s="56" t="n">
        <x:v>1.417869094052237</x:v>
      </x:c>
      <x:c r="L188" s="55" t="n">
        <x:v>24.14550427920002</x:v>
      </x:c>
      <x:c r="M188" s="55" t="n">
        <x:v>25.89137586404758</x:v>
      </x:c>
      <x:c r="N188" s="55" t="n">
        <x:v>23.837753905835726</x:v>
      </x:c>
      <x:c r="O188" s="55" t="n">
        <x:v>27.532014551804995</x:v>
      </x:c>
      <x:c r="P188" s="29" t="str">
        <x:v>[{"block":1,"ratioToJcs4":25.955070791862916},{"block":2,"ratioToJcs4":24.065346971758434},{"block":3,"ratioToJcs4":27.532014551804995},{"block":4,"ratioToJcs4":25.70029108060157},{"block":5,"ratioToJcs4":24.385976201524773},{"block":6,"ratioToJcs4":23.837753905835726}]</x:v>
      </x:c>
    </x:row>
    <x:row r="189">
      <x:c r="A189" s="24" t="str">
        <x:v>default</x:v>
      </x:c>
      <x:c r="B189" s="24" t="str">
        <x:v>ehcache</x:v>
      </x:c>
      <x:c r="C189" s="24" t="str">
        <x:v>jcs4</x:v>
      </x:c>
      <x:c r="D189" s="24" t="str">
        <x:v>redeploy</x:v>
      </x:c>
      <x:c r="E189" s="24" t="str">
        <x:v>sensitivity-without-cycle-1</x:v>
      </x:c>
      <x:c r="F189" s="24" t="str">
        <x:v>Williams block</x:v>
      </x:c>
      <x:c r="G189" s="24" t="str">
        <x:v>operationsPerSecond</x:v>
      </x:c>
      <x:c r="H189" s="36" t="n">
        <x:v>6</x:v>
      </x:c>
      <x:c r="I189" s="55" t="n">
        <x:v>24.858039788108027</x:v>
      </x:c>
      <x:c r="J189" s="55" t="n">
        <x:v>25.601547985474213</x:v>
      </x:c>
      <x:c r="K189" s="56" t="n">
        <x:v>2.5049597558848475</x:v>
      </x:c>
      <x:c r="L189" s="55" t="n">
        <x:v>24.012269639828407</x:v>
      </x:c>
      <x:c r="M189" s="55" t="n">
        <x:v>26.283948745280142</x:v>
      </x:c>
      <x:c r="N189" s="55" t="n">
        <x:v>23.280712909416632</x:v>
      </x:c>
      <x:c r="O189" s="55" t="n">
        <x:v>30.122897439139873</x:v>
      </x:c>
      <x:c r="P189" s="29" t="str">
        <x:v>[{"block":1,"ratioToJcs4":26.554575249736402},{"block":2,"ratioToJcs4":23.280712909416632},{"block":3,"ratioToJcs4":30.122897439139873},{"block":4,"ratioToJcs4":23.93502273833631},{"block":5,"ratioToJcs4":25.472069231911362},{"block":6,"ratioToJcs4":24.24401034430469}]</x:v>
      </x:c>
    </x:row>
    <x:row r="190">
      <x:c r="A190" s="24" t="str">
        <x:v>default</x:v>
      </x:c>
      <x:c r="B190" s="24" t="str">
        <x:v>cache2k</x:v>
      </x:c>
      <x:c r="C190" s="24" t="str">
        <x:v>jcs4</x:v>
      </x:c>
      <x:c r="D190" s="24" t="str">
        <x:v>initial</x:v>
      </x:c>
      <x:c r="E190" s="24" t="str">
        <x:v>primary-all-cycles</x:v>
      </x:c>
      <x:c r="F190" s="24" t="str">
        <x:v>Williams block</x:v>
      </x:c>
      <x:c r="G190" s="24" t="str">
        <x:v>operationsPerSecond</x:v>
      </x:c>
      <x:c r="H190" s="36" t="n">
        <x:v>6</x:v>
      </x:c>
      <x:c r="I190" s="55" t="n">
        <x:v>32.00074320140777</x:v>
      </x:c>
      <x:c r="J190" s="55" t="n">
        <x:v>31.869168076553837</x:v>
      </x:c>
      <x:c r="K190" s="56" t="n">
        <x:v>3.1095372589622383</x:v>
      </x:c>
      <x:c r="L190" s="55" t="n">
        <x:v>30.702106250801894</x:v>
      </x:c>
      <x:c r="M190" s="55" t="n">
        <x:v>33.59710125725492</x:v>
      </x:c>
      <x:c r="N190" s="55" t="n">
        <x:v>26.885541927886194</x:v>
      </x:c>
      <x:c r="O190" s="55" t="n">
        <x:v>35.92953225215073</x:v>
      </x:c>
      <x:c r="P190" s="29" t="str">
        <x:v>[{"block":1,"ratioToJcs4":32.40776034301938},{"block":2,"ratioToJcs4":33.99354822866676},{"block":3,"ratioToJcs4":35.92953225215073},{"block":4,"ratioToJcs4":30.404899647803806},{"block":5,"ratioToJcs4":31.593726059796158},{"block":6,"ratioToJcs4":26.885541927886194}]</x:v>
      </x:c>
    </x:row>
    <x:row r="191">
      <x:c r="A191" s="24" t="str">
        <x:v>default</x:v>
      </x:c>
      <x:c r="B191" s="24" t="str">
        <x:v>cache2k</x:v>
      </x:c>
      <x:c r="C191" s="24" t="str">
        <x:v>jcs4</x:v>
      </x:c>
      <x:c r="D191" s="24" t="str">
        <x:v>initial</x:v>
      </x:c>
      <x:c r="E191" s="24" t="str">
        <x:v>sensitivity-without-cycle-1</x:v>
      </x:c>
      <x:c r="F191" s="24" t="str">
        <x:v>Williams block</x:v>
      </x:c>
      <x:c r="G191" s="24" t="str">
        <x:v>operationsPerSecond</x:v>
      </x:c>
      <x:c r="H191" s="36" t="n">
        <x:v>6</x:v>
      </x:c>
      <x:c r="I191" s="55" t="n">
        <x:v>31.578248665897185</x:v>
      </x:c>
      <x:c r="J191" s="55" t="n">
        <x:v>31.25724103944906</x:v>
      </x:c>
      <x:c r="K191" s="56" t="n">
        <x:v>2.9367312542750024</x:v>
      </x:c>
      <x:c r="L191" s="55" t="n">
        <x:v>30.94651347979827</x:v>
      </x:c>
      <x:c r="M191" s="55" t="n">
        <x:v>32.603625224277266</x:v>
      </x:c>
      <x:c r="N191" s="55" t="n">
        <x:v>25.971430912510865</x:v>
      </x:c>
      <x:c r="O191" s="55" t="n">
        <x:v>34.7341654975532</x:v>
      </x:c>
      <x:c r="P191" s="29" t="str">
        <x:v>[{"block":1,"ratioToJcs4":30.868157040335525},{"block":2,"ratioToJcs4":34.7341654975532},{"block":3,"ratioToJcs4":31.97491453360787},{"block":4,"ratioToJcs4":31.1815827981865},{"block":5,"ratioToJcs4":32.8131954545004},{"block":6,"ratioToJcs4":25.971430912510865}]</x:v>
      </x:c>
    </x:row>
    <x:row r="192">
      <x:c r="A192" s="24" t="str">
        <x:v>default</x:v>
      </x:c>
      <x:c r="B192" s="24" t="str">
        <x:v>cache2k</x:v>
      </x:c>
      <x:c r="C192" s="24" t="str">
        <x:v>jcs4</x:v>
      </x:c>
      <x:c r="D192" s="24" t="str">
        <x:v>redeploy</x:v>
      </x:c>
      <x:c r="E192" s="24" t="str">
        <x:v>primary-all-cycles</x:v>
      </x:c>
      <x:c r="F192" s="24" t="str">
        <x:v>Williams block</x:v>
      </x:c>
      <x:c r="G192" s="24" t="str">
        <x:v>operationsPerSecond</x:v>
      </x:c>
      <x:c r="H192" s="36" t="n">
        <x:v>6</x:v>
      </x:c>
      <x:c r="I192" s="55" t="n">
        <x:v>31.545453278292662</x:v>
      </x:c>
      <x:c r="J192" s="55" t="n">
        <x:v>31.4314950310099</x:v>
      </x:c>
      <x:c r="K192" s="56" t="n">
        <x:v>2.449845861073325</x:v>
      </x:c>
      <x:c r="L192" s="55" t="n">
        <x:v>30.090093015606026</x:v>
      </x:c>
      <x:c r="M192" s="55" t="n">
        <x:v>32.57065763799751</x:v>
      </x:c>
      <x:c r="N192" s="55" t="n">
        <x:v>27.990803805081413</x:v>
      </x:c>
      <x:c r="O192" s="55" t="n">
        <x:v>34.98989447178305</x:v>
      </x:c>
      <x:c r="P192" s="29" t="str">
        <x:v>[{"block":1,"ratioToJcs4":32.90511938805665},{"block":2,"ratioToJcs4":31.5672723878201},{"block":3,"ratioToJcs4":34.98989447178305},{"block":4,"ratioToJcs4":31.523634168765224},{"block":5,"ratioToJcs4":29.61224596455296},{"block":6,"ratioToJcs4":27.990803805081413}]</x:v>
      </x:c>
    </x:row>
    <x:row r="193">
      <x:c r="A193" s="24" t="str">
        <x:v>default</x:v>
      </x:c>
      <x:c r="B193" s="24" t="str">
        <x:v>cache2k</x:v>
      </x:c>
      <x:c r="C193" s="24" t="str">
        <x:v>jcs4</x:v>
      </x:c>
      <x:c r="D193" s="24" t="str">
        <x:v>redeploy</x:v>
      </x:c>
      <x:c r="E193" s="24" t="str">
        <x:v>sensitivity-without-cycle-1</x:v>
      </x:c>
      <x:c r="F193" s="24" t="str">
        <x:v>Williams block</x:v>
      </x:c>
      <x:c r="G193" s="24" t="str">
        <x:v>operationsPerSecond</x:v>
      </x:c>
      <x:c r="H193" s="36" t="n">
        <x:v>6</x:v>
      </x:c>
      <x:c r="I193" s="55" t="n">
        <x:v>31.390697248017734</x:v>
      </x:c>
      <x:c r="J193" s="55" t="n">
        <x:v>31.77194749411548</x:v>
      </x:c>
      <x:c r="K193" s="56" t="n">
        <x:v>3.114106262253252</x:v>
      </x:c>
      <x:c r="L193" s="55" t="n">
        <x:v>29.650764873270433</x:v>
      </x:c>
      <x:c r="M193" s="55" t="n">
        <x:v>31.919975742002205</x:v>
      </x:c>
      <x:c r="N193" s="55" t="n">
        <x:v>29.081767571096044</x:v>
      </x:c>
      <x:c r="O193" s="55" t="n">
        <x:v>37.60133357587635</x:v>
      </x:c>
      <x:c r="P193" s="29" t="str">
        <x:v>[{"block":1,"ratioToJcs4":31.719119025990175},{"block":2,"ratioToJcs4":31.98692798067288},{"block":3,"ratioToJcs4":37.60133357587635},{"block":4,"ratioToJcs4":29.081767571096044},{"block":5,"ratioToJcs4":31.062275470045293},{"block":6,"ratioToJcs4":29.180261341012145}]</x:v>
      </x:c>
    </x:row>
  </x:sheetData>
  <x:mergeCells>
    <x:mergeCell ref="A1:AG1"/>
    <x:mergeCell ref="A2:AG2"/>
    <x:mergeCell ref="A4:AG4"/>
    <x:mergeCell ref="A32:AA32"/>
    <x:mergeCell ref="A180:P180"/>
  </x:mergeCells>
  <x:pageMargins left="0.7" right="0.7" top="0.75" bottom="0.75" header="0.3" footer="0.3"/>
  <x:tableParts count="3">
    <x:tablePart xmlns:r="http://schemas.openxmlformats.org/officeDocument/2006/relationships" r:id="R159007ba1eeb4c18"/>
    <x:tablePart xmlns:r="http://schemas.openxmlformats.org/officeDocument/2006/relationships" r:id="Ra259127611a844af"/>
    <x:tablePart xmlns:r="http://schemas.openxmlformats.org/officeDocument/2006/relationships" r:id="R801ada9d54074e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2" hidden="0" customWidth="1"/>
    <x:col min="3" max="3" width="13" hidden="0" customWidth="1"/>
    <x:col min="4" max="4" width="8" hidden="0" customWidth="1"/>
    <x:col min="5" max="5" width="12" hidden="0" customWidth="1"/>
    <x:col min="6" max="6" width="12" hidden="0" customWidth="1"/>
    <x:col min="7" max="7" width="8" hidden="0" customWidth="1"/>
    <x:col min="8" max="8" width="13" hidden="0" customWidth="1"/>
    <x:col min="9" max="9" width="13" hidden="0" customWidth="1"/>
    <x:col min="10" max="10" width="13" hidden="0" customWidth="1"/>
    <x:col min="11" max="11" width="17" hidden="0" customWidth="1"/>
    <x:col min="12" max="12" width="14" hidden="0" customWidth="1"/>
    <x:col min="13" max="13" width="18" hidden="0" customWidth="1"/>
    <x:col min="14" max="14" width="14" hidden="0" customWidth="1"/>
    <x:col min="15" max="15" width="20" hidden="0" customWidth="1"/>
    <x:col min="16" max="16" width="20" hidden="0" customWidth="1"/>
    <x:col min="17" max="17" width="21" hidden="0" customWidth="1"/>
    <x:col min="18" max="18" width="20" hidden="0" customWidth="1"/>
    <x:col min="19" max="19" width="20" hidden="0" customWidth="1"/>
    <x:col min="20" max="20" width="23" hidden="0" customWidth="1"/>
    <x:col min="21" max="21" width="23" hidden="0" customWidth="1"/>
    <x:col min="22" max="22" width="20" hidden="0" customWidth="1"/>
    <x:col min="23" max="23" width="20" hidden="0" customWidth="1"/>
    <x:col min="24" max="24" width="21" hidden="0" customWidth="1"/>
    <x:col min="25" max="25" width="20" hidden="0" customWidth="1"/>
    <x:col min="26" max="26" width="20" hidden="0" customWidth="1"/>
    <x:col min="27" max="27" width="23" hidden="0" customWidth="1"/>
    <x:col min="28" max="28" width="23" hidden="0" customWidth="1"/>
    <x:col min="29" max="29" width="20" hidden="0" customWidth="1"/>
    <x:col min="30" max="30" width="22" hidden="0" customWidth="1"/>
    <x:col min="31" max="31" width="23" hidden="0" customWidth="1"/>
    <x:col min="32" max="32" width="25" hidden="0" customWidth="1"/>
    <x:col min="33" max="33" width="25" hidden="0" customWidth="1"/>
    <x:col min="34" max="34" width="18" hidden="0" customWidth="1"/>
    <x:col min="35" max="35" width="19" hidden="0" customWidth="1"/>
    <x:col min="36" max="36" width="56" hidden="0" customWidth="1"/>
    <x:col min="37" max="37" width="20" hidden="0" customWidth="1"/>
  </x:cols>
  <x:sheetData>
    <x:row r="1" ht="30" customHeight="1">
      <x:c r="A1" s="3" t="str">
        <x:v>Lifecycle Tomcat — sintesi e traiettorie</x:v>
      </x:c>
      <x:c r="B1" s="3" t="str">
        <x:v>Lifecycle Tomcat — sintesi e traiettorie</x:v>
      </x:c>
      <x:c r="C1" s="3" t="str">
        <x:v>Lifecycle Tomcat — sintesi e traiettorie</x:v>
      </x:c>
      <x:c r="D1" s="3" t="str">
        <x:v>Lifecycle Tomcat — sintesi e traiettorie</x:v>
      </x:c>
      <x:c r="E1" s="3" t="str">
        <x:v>Lifecycle Tomcat — sintesi e traiettorie</x:v>
      </x:c>
      <x:c r="F1" s="3" t="str">
        <x:v>Lifecycle Tomcat — sintesi e traiettorie</x:v>
      </x:c>
      <x:c r="G1" s="3" t="str">
        <x:v>Lifecycle Tomcat — sintesi e traiettorie</x:v>
      </x:c>
      <x:c r="H1" s="3" t="str">
        <x:v>Lifecycle Tomcat — sintesi e traiettorie</x:v>
      </x:c>
      <x:c r="I1" s="3" t="str">
        <x:v>Lifecycle Tomcat — sintesi e traiettorie</x:v>
      </x:c>
      <x:c r="J1" s="3" t="str">
        <x:v>Lifecycle Tomcat — sintesi e traiettorie</x:v>
      </x:c>
      <x:c r="K1" s="3" t="str">
        <x:v>Lifecycle Tomcat — sintesi e traiettorie</x:v>
      </x:c>
      <x:c r="L1" s="3" t="str">
        <x:v>Lifecycle Tomcat — sintesi e traiettorie</x:v>
      </x:c>
      <x:c r="M1" s="3" t="str">
        <x:v>Lifecycle Tomcat — sintesi e traiettorie</x:v>
      </x:c>
      <x:c r="N1" s="3" t="str">
        <x:v>Lifecycle Tomcat — sintesi e traiettorie</x:v>
      </x:c>
      <x:c r="O1" s="3" t="str">
        <x:v>Lifecycle Tomcat — sintesi e traiettorie</x:v>
      </x:c>
      <x:c r="P1" s="3" t="str">
        <x:v>Lifecycle Tomcat — sintesi e traiettorie</x:v>
      </x:c>
      <x:c r="Q1" s="3" t="str">
        <x:v>Lifecycle Tomcat — sintesi e traiettorie</x:v>
      </x:c>
      <x:c r="R1" s="3" t="str">
        <x:v>Lifecycle Tomcat — sintesi e traiettorie</x:v>
      </x:c>
      <x:c r="S1" s="3" t="str">
        <x:v>Lifecycle Tomcat — sintesi e traiettorie</x:v>
      </x:c>
      <x:c r="T1" s="3" t="str">
        <x:v>Lifecycle Tomcat — sintesi e traiettorie</x:v>
      </x:c>
      <x:c r="U1" s="3" t="str">
        <x:v>Lifecycle Tomcat — sintesi e traiettorie</x:v>
      </x:c>
      <x:c r="V1" s="3" t="str">
        <x:v>Lifecycle Tomcat — sintesi e traiettorie</x:v>
      </x:c>
      <x:c r="W1" s="3" t="str">
        <x:v>Lifecycle Tomcat — sintesi e traiettorie</x:v>
      </x:c>
      <x:c r="X1" s="3" t="str">
        <x:v>Lifecycle Tomcat — sintesi e traiettorie</x:v>
      </x:c>
      <x:c r="Y1" s="3" t="str">
        <x:v>Lifecycle Tomcat — sintesi e traiettorie</x:v>
      </x:c>
      <x:c r="Z1" s="3" t="str">
        <x:v>Lifecycle Tomcat — sintesi e traiettorie</x:v>
      </x:c>
      <x:c r="AA1" s="3" t="str">
        <x:v>Lifecycle Tomcat — sintesi e traiettorie</x:v>
      </x:c>
      <x:c r="AB1" s="3" t="str">
        <x:v>Lifecycle Tomcat — sintesi e traiettorie</x:v>
      </x:c>
      <x:c r="AC1" s="3" t="str">
        <x:v>Lifecycle Tomcat — sintesi e traiettorie</x:v>
      </x:c>
      <x:c r="AD1" s="3" t="str">
        <x:v>Lifecycle Tomcat — sintesi e traiettorie</x:v>
      </x:c>
      <x:c r="AE1" s="3" t="str">
        <x:v>Lifecycle Tomcat — sintesi e traiettorie</x:v>
      </x:c>
      <x:c r="AF1" s="3" t="str">
        <x:v>Lifecycle Tomcat — sintesi e traiettorie</x:v>
      </x:c>
      <x:c r="AG1" s="3" t="str">
        <x:v>Lifecycle Tomcat — sintesi e traiettorie</x:v>
      </x:c>
      <x:c r="AH1" s="3" t="str">
        <x:v>Lifecycle Tomcat — sintesi e traiettorie</x:v>
      </x:c>
      <x:c r="AI1" s="3" t="str">
        <x:v>Lifecycle Tomcat — sintesi e traiettorie</x:v>
      </x:c>
      <x:c r="AJ1" s="3" t="str">
        <x:v>Lifecycle Tomcat — sintesi e traiettorie</x:v>
      </x:c>
      <x:c r="AK1" s="3" t="str">
        <x:v>Lifecycle Tomcat — sintesi e traiettorie</x:v>
      </x:c>
    </x:row>
    <x:row r="2" ht="28" customHeight="1">
      <x:c r="A2" s="7" t="str">
        <x:v>Redeploy, warning, firme thread e pendenze diagnostiche sono riportati separatamente. Una singola metrica non viene trattata come prova autonoma di leak.</x:v>
      </x:c>
      <x:c r="B2" s="7" t="str">
        <x:v>Redeploy, warning, firme thread e pendenze diagnostiche sono riportati separatamente. Una singola metrica non viene trattata come prova autonoma di leak.</x:v>
      </x:c>
      <x:c r="C2" s="7" t="str">
        <x:v>Redeploy, warning, firme thread e pendenze diagnostiche sono riportati separatamente. Una singola metrica non viene trattata come prova autonoma di leak.</x:v>
      </x:c>
      <x:c r="D2" s="7" t="str">
        <x:v>Redeploy, warning, firme thread e pendenze diagnostiche sono riportati separatamente. Una singola metrica non viene trattata come prova autonoma di leak.</x:v>
      </x:c>
      <x:c r="E2" s="7" t="str">
        <x:v>Redeploy, warning, firme thread e pendenze diagnostiche sono riportati separatamente. Una singola metrica non viene trattata come prova autonoma di leak.</x:v>
      </x:c>
      <x:c r="F2" s="7" t="str">
        <x:v>Redeploy, warning, firme thread e pendenze diagnostiche sono riportati separatamente. Una singola metrica non viene trattata come prova autonoma di leak.</x:v>
      </x:c>
      <x:c r="G2" s="7" t="str">
        <x:v>Redeploy, warning, firme thread e pendenze diagnostiche sono riportati separatamente. Una singola metrica non viene trattata come prova autonoma di leak.</x:v>
      </x:c>
      <x:c r="H2" s="7" t="str">
        <x:v>Redeploy, warning, firme thread e pendenze diagnostiche sono riportati separatamente. Una singola metrica non viene trattata come prova autonoma di leak.</x:v>
      </x:c>
      <x:c r="I2" s="7" t="str">
        <x:v>Redeploy, warning, firme thread e pendenze diagnostiche sono riportati separatamente. Una singola metrica non viene trattata come prova autonoma di leak.</x:v>
      </x:c>
      <x:c r="J2" s="7" t="str">
        <x:v>Redeploy, warning, firme thread e pendenze diagnostiche sono riportati separatamente. Una singola metrica non viene trattata come prova autonoma di leak.</x:v>
      </x:c>
      <x:c r="K2" s="7" t="str">
        <x:v>Redeploy, warning, firme thread e pendenze diagnostiche sono riportati separatamente. Una singola metrica non viene trattata come prova autonoma di leak.</x:v>
      </x:c>
      <x:c r="L2" s="7" t="str">
        <x:v>Redeploy, warning, firme thread e pendenze diagnostiche sono riportati separatamente. Una singola metrica non viene trattata come prova autonoma di leak.</x:v>
      </x:c>
      <x:c r="M2" s="7" t="str">
        <x:v>Redeploy, warning, firme thread e pendenze diagnostiche sono riportati separatamente. Una singola metrica non viene trattata come prova autonoma di leak.</x:v>
      </x:c>
      <x:c r="N2" s="7" t="str">
        <x:v>Redeploy, warning, firme thread e pendenze diagnostiche sono riportati separatamente. Una singola metrica non viene trattata come prova autonoma di leak.</x:v>
      </x:c>
      <x:c r="O2" s="7" t="str">
        <x:v>Redeploy, warning, firme thread e pendenze diagnostiche sono riportati separatamente. Una singola metrica non viene trattata come prova autonoma di leak.</x:v>
      </x:c>
      <x:c r="P2" s="7" t="str">
        <x:v>Redeploy, warning, firme thread e pendenze diagnostiche sono riportati separatamente. Una singola metrica non viene trattata come prova autonoma di leak.</x:v>
      </x:c>
      <x:c r="Q2" s="7" t="str">
        <x:v>Redeploy, warning, firme thread e pendenze diagnostiche sono riportati separatamente. Una singola metrica non viene trattata come prova autonoma di leak.</x:v>
      </x:c>
      <x:c r="R2" s="7" t="str">
        <x:v>Redeploy, warning, firme thread e pendenze diagnostiche sono riportati separatamente. Una singola metrica non viene trattata come prova autonoma di leak.</x:v>
      </x:c>
      <x:c r="S2" s="7" t="str">
        <x:v>Redeploy, warning, firme thread e pendenze diagnostiche sono riportati separatamente. Una singola metrica non viene trattata come prova autonoma di leak.</x:v>
      </x:c>
      <x:c r="T2" s="7" t="str">
        <x:v>Redeploy, warning, firme thread e pendenze diagnostiche sono riportati separatamente. Una singola metrica non viene trattata come prova autonoma di leak.</x:v>
      </x:c>
      <x:c r="U2" s="7" t="str">
        <x:v>Redeploy, warning, firme thread e pendenze diagnostiche sono riportati separatamente. Una singola metrica non viene trattata come prova autonoma di leak.</x:v>
      </x:c>
      <x:c r="V2" s="7" t="str">
        <x:v>Redeploy, warning, firme thread e pendenze diagnostiche sono riportati separatamente. Una singola metrica non viene trattata come prova autonoma di leak.</x:v>
      </x:c>
      <x:c r="W2" s="7" t="str">
        <x:v>Redeploy, warning, firme thread e pendenze diagnostiche sono riportati separatamente. Una singola metrica non viene trattata come prova autonoma di leak.</x:v>
      </x:c>
      <x:c r="X2" s="7" t="str">
        <x:v>Redeploy, warning, firme thread e pendenze diagnostiche sono riportati separatamente. Una singola metrica non viene trattata come prova autonoma di leak.</x:v>
      </x:c>
      <x:c r="Y2" s="7" t="str">
        <x:v>Redeploy, warning, firme thread e pendenze diagnostiche sono riportati separatamente. Una singola metrica non viene trattata come prova autonoma di leak.</x:v>
      </x:c>
      <x:c r="Z2" s="7" t="str">
        <x:v>Redeploy, warning, firme thread e pendenze diagnostiche sono riportati separatamente. Una singola metrica non viene trattata come prova autonoma di leak.</x:v>
      </x:c>
      <x:c r="AA2" s="7" t="str">
        <x:v>Redeploy, warning, firme thread e pendenze diagnostiche sono riportati separatamente. Una singola metrica non viene trattata come prova autonoma di leak.</x:v>
      </x:c>
      <x:c r="AB2" s="7" t="str">
        <x:v>Redeploy, warning, firme thread e pendenze diagnostiche sono riportati separatamente. Una singola metrica non viene trattata come prova autonoma di leak.</x:v>
      </x:c>
      <x:c r="AC2" s="7" t="str">
        <x:v>Redeploy, warning, firme thread e pendenze diagnostiche sono riportati separatamente. Una singola metrica non viene trattata come prova autonoma di leak.</x:v>
      </x:c>
      <x:c r="AD2" s="7" t="str">
        <x:v>Redeploy, warning, firme thread e pendenze diagnostiche sono riportati separatamente. Una singola metrica non viene trattata come prova autonoma di leak.</x:v>
      </x:c>
      <x:c r="AE2" s="7" t="str">
        <x:v>Redeploy, warning, firme thread e pendenze diagnostiche sono riportati separatamente. Una singola metrica non viene trattata come prova autonoma di leak.</x:v>
      </x:c>
      <x:c r="AF2" s="7" t="str">
        <x:v>Redeploy, warning, firme thread e pendenze diagnostiche sono riportati separatamente. Una singola metrica non viene trattata come prova autonoma di leak.</x:v>
      </x:c>
      <x:c r="AG2" s="7" t="str">
        <x:v>Redeploy, warning, firme thread e pendenze diagnostiche sono riportati separatamente. Una singola metrica non viene trattata come prova autonoma di leak.</x:v>
      </x:c>
      <x:c r="AH2" s="7" t="str">
        <x:v>Redeploy, warning, firme thread e pendenze diagnostiche sono riportati separatamente. Una singola metrica non viene trattata come prova autonoma di leak.</x:v>
      </x:c>
      <x:c r="AI2" s="7" t="str">
        <x:v>Redeploy, warning, firme thread e pendenze diagnostiche sono riportati separatamente. Una singola metrica non viene trattata come prova autonoma di leak.</x:v>
      </x:c>
      <x:c r="AJ2" s="7" t="str">
        <x:v>Redeploy, warning, firme thread e pendenze diagnostiche sono riportati separatamente. Una singola metrica non viene trattata come prova autonoma di leak.</x:v>
      </x:c>
      <x:c r="AK2" s="7" t="str">
        <x:v>Redeploy, warning, firme thread e pendenze diagnostiche sono riportati separatamente. Una singola metrica non viene trattata come prova autonoma di leak.</x:v>
      </x:c>
    </x:row>
    <x:row r="4" ht="23" customHeight="1">
      <x:c r="A4" s="10" t="str">
        <x:v>Sintesi per provider</x:v>
      </x:c>
      <x:c r="B4" s="10" t="str">
        <x:v>Sintesi per provider</x:v>
      </x:c>
      <x:c r="C4" s="10" t="str">
        <x:v>Sintesi per provider</x:v>
      </x:c>
      <x:c r="D4" s="10" t="str">
        <x:v>Sintesi per provider</x:v>
      </x:c>
      <x:c r="E4" s="10" t="str">
        <x:v>Sintesi per provider</x:v>
      </x:c>
      <x:c r="F4" s="10" t="str">
        <x:v>Sintesi per provider</x:v>
      </x:c>
      <x:c r="G4" s="10" t="str">
        <x:v>Sintesi per provider</x:v>
      </x:c>
      <x:c r="H4" s="10" t="str">
        <x:v>Sintesi per provider</x:v>
      </x:c>
      <x:c r="I4" s="10" t="str">
        <x:v>Sintesi per provider</x:v>
      </x:c>
      <x:c r="J4" s="10" t="str">
        <x:v>Sintesi per provider</x:v>
      </x:c>
      <x:c r="K4" s="10" t="str">
        <x:v>Sintesi per provider</x:v>
      </x:c>
      <x:c r="L4" s="10" t="str">
        <x:v>Sintesi per provider</x:v>
      </x:c>
      <x:c r="M4" s="10" t="str">
        <x:v>Sintesi per provider</x:v>
      </x:c>
      <x:c r="N4" s="10" t="str">
        <x:v>Sintesi per provider</x:v>
      </x:c>
      <x:c r="O4" s="10" t="str">
        <x:v>Sintesi per provider</x:v>
      </x:c>
      <x:c r="P4" s="10" t="str">
        <x:v>Sintesi per provider</x:v>
      </x:c>
      <x:c r="Q4" s="10" t="str">
        <x:v>Sintesi per provider</x:v>
      </x:c>
      <x:c r="R4" s="10" t="str">
        <x:v>Sintesi per provider</x:v>
      </x:c>
      <x:c r="S4" s="10" t="str">
        <x:v>Sintesi per provider</x:v>
      </x:c>
      <x:c r="T4" s="10" t="str">
        <x:v>Sintesi per provider</x:v>
      </x:c>
      <x:c r="U4" s="10" t="str">
        <x:v>Sintesi per provider</x:v>
      </x:c>
      <x:c r="V4" s="10" t="str">
        <x:v>Sintesi per provider</x:v>
      </x:c>
      <x:c r="W4" s="10" t="str">
        <x:v>Sintesi per provider</x:v>
      </x:c>
      <x:c r="X4" s="10" t="str">
        <x:v>Sintesi per provider</x:v>
      </x:c>
      <x:c r="Y4" s="10" t="str">
        <x:v>Sintesi per provider</x:v>
      </x:c>
      <x:c r="Z4" s="10" t="str">
        <x:v>Sintesi per provider</x:v>
      </x:c>
      <x:c r="AA4" s="10" t="str">
        <x:v>Sintesi per provider</x:v>
      </x:c>
      <x:c r="AB4" s="10" t="str">
        <x:v>Sintesi per provider</x:v>
      </x:c>
      <x:c r="AC4" s="10" t="str">
        <x:v>Sintesi per provider</x:v>
      </x:c>
      <x:c r="AD4" s="10" t="str">
        <x:v>Sintesi per provider</x:v>
      </x:c>
      <x:c r="AE4" s="10" t="str">
        <x:v>Sintesi per provider</x:v>
      </x:c>
      <x:c r="AF4" s="10" t="str">
        <x:v>Sintesi per provider</x:v>
      </x:c>
      <x:c r="AG4" s="10" t="str">
        <x:v>Sintesi per provider</x:v>
      </x:c>
      <x:c r="AH4" s="10" t="str">
        <x:v>Sintesi per provider</x:v>
      </x:c>
      <x:c r="AI4" s="10" t="str">
        <x:v>Sintesi per provider</x:v>
      </x:c>
      <x:c r="AJ4" s="10" t="str">
        <x:v>Sintesi per provider</x:v>
      </x:c>
      <x:c r="AK4" s="10" t="str">
        <x:v>Sintesi per provider</x:v>
      </x:c>
    </x:row>
    <x:row r="5" ht="31" customHeight="1">
      <x:c r="A5" s="23" t="str">
        <x:v>scenario</x:v>
      </x:c>
      <x:c r="B5" s="23" t="str">
        <x:v>provider</x:v>
      </x:c>
      <x:c r="C5" s="23" t="str">
        <x:v>statistical unit</x:v>
      </x:c>
      <x:c r="D5" s="23" t="str">
        <x:v>study role</x:v>
      </x:c>
      <x:c r="E5" s="23" t="str">
        <x:v>valid forks</x:v>
      </x:c>
      <x:c r="F5" s="23" t="str">
        <x:v>observed forks</x:v>
      </x:c>
      <x:c r="G5" s="23" t="str">
        <x:v>invalid-block forks</x:v>
      </x:c>
      <x:c r="H5" s="23" t="str">
        <x:v>redeploy-ready forks</x:v>
      </x:c>
      <x:c r="I5" s="23" t="str">
        <x:v>forks with positive findleaks checkpoint</x:v>
      </x:c>
      <x:c r="J5" s="23" t="str">
        <x:v>forks with thread-leak warning</x:v>
      </x:c>
      <x:c r="K5" s="23" t="str">
        <x:v>forks with JCS signature</x:v>
      </x:c>
      <x:c r="L5" s="23" t="str">
        <x:v>forks with corroborated JCS-248 signal</x:v>
      </x:c>
      <x:c r="M5" s="23" t="str">
        <x:v>JCS-248 positive-control criterion</x:v>
      </x:c>
      <x:c r="N5" s="23" t="str">
        <x:v>positive findleaks checkpoints median</x:v>
      </x:c>
      <x:c r="O5" s="23" t="str">
        <x:v>thread-leak warning median</x:v>
      </x:c>
      <x:c r="P5" s="23" t="str">
        <x:v>JCS signature median</x:v>
      </x:c>
      <x:c r="Q5" s="23" t="str">
        <x:v>heap slope median (bytes/cycle)</x:v>
      </x:c>
      <x:c r="R5" s="23" t="str">
        <x:v>NMT slope median (bytes/cycle)</x:v>
      </x:c>
      <x:c r="S5" s="23" t="str">
        <x:v>classloader-row slope median</x:v>
      </x:c>
      <x:c r="T5" s="23" t="str">
        <x:v>thread slope median</x:v>
      </x:c>
      <x:c r="U5" s="23" t="str">
        <x:v>redeploy-ready rate (formula)</x:v>
      </x:c>
      <x:c r="V5" s="23" t="str">
        <x:v>JCS-signature fork rate (formula)</x:v>
      </x:c>
    </x:row>
    <x:row r="6">
      <x:c r="A6" s="24" t="str">
        <x:v>default</x:v>
      </x:c>
      <x:c r="B6" s="24" t="str">
        <x:v>caffeine</x:v>
      </x:c>
      <x:c r="C6" s="24" t="str">
        <x:v>independent-process-run-fork</x:v>
      </x:c>
      <x:c r="D6" s="24" t="str">
        <x:v>current-provider-primary-comparison</x:v>
      </x:c>
      <x:c r="E6" s="36" t="n">
        <x:v>6</x:v>
      </x:c>
      <x:c r="F6" s="36" t="n">
        <x:v>6</x:v>
      </x:c>
      <x:c r="G6" s="36" t="n">
        <x:v>0</x:v>
      </x:c>
      <x:c r="H6" s="36" t="n">
        <x:v>6</x:v>
      </x:c>
      <x:c r="I6" s="36" t="n">
        <x:v>6</x:v>
      </x:c>
      <x:c r="J6" s="36" t="n">
        <x:v>0</x:v>
      </x:c>
      <x:c r="K6" s="36" t="n">
        <x:v>0</x:v>
      </x:c>
      <x:c r="L6" s="36" t="n">
        <x:v>0</x:v>
      </x:c>
      <x:c r="M6" s="45" t="b">
        <x:v>0</x:v>
      </x:c>
      <x:c r="N6" s="42" t="n">
        <x:v>10</x:v>
      </x:c>
      <x:c r="O6" s="42" t="n">
        <x:v>0</x:v>
      </x:c>
      <x:c r="P6" s="42" t="n">
        <x:v>0</x:v>
      </x:c>
      <x:c r="Q6" s="43" t="n">
        <x:v>-776140.8</x:v>
      </x:c>
      <x:c r="R6" s="43" t="n">
        <x:v>-1068953.6</x:v>
      </x:c>
      <x:c r="S6" s="46" t="n">
        <x:v>-0.2</x:v>
      </x:c>
      <x:c r="T6" s="46" t="n">
        <x:v>0</x:v>
      </x:c>
      <x:c r="U6" s="58" t="n">
        <x:f>IFERROR(H6/E6,"")</x:f>
        <x:v>1</x:v>
      </x:c>
      <x:c r="V6" s="58" t="n">
        <x:f>IFERROR(K6/E6,"")</x:f>
        <x:v>0</x:v>
      </x:c>
    </x:row>
    <x:row r="7">
      <x:c r="A7" s="24" t="str">
        <x:v>default</x:v>
      </x:c>
      <x:c r="B7" s="24" t="str">
        <x:v>ehcache</x:v>
      </x:c>
      <x:c r="C7" s="24" t="str">
        <x:v>independent-process-run-fork</x:v>
      </x:c>
      <x:c r="D7" s="24" t="str">
        <x:v>current-provider-primary-comparison</x:v>
      </x:c>
      <x:c r="E7" s="36" t="n">
        <x:v>6</x:v>
      </x:c>
      <x:c r="F7" s="36" t="n">
        <x:v>6</x:v>
      </x:c>
      <x:c r="G7" s="36" t="n">
        <x:v>0</x:v>
      </x:c>
      <x:c r="H7" s="36" t="n">
        <x:v>6</x:v>
      </x:c>
      <x:c r="I7" s="36" t="n">
        <x:v>6</x:v>
      </x:c>
      <x:c r="J7" s="36" t="n">
        <x:v>1</x:v>
      </x:c>
      <x:c r="K7" s="36" t="n">
        <x:v>0</x:v>
      </x:c>
      <x:c r="L7" s="36" t="n">
        <x:v>0</x:v>
      </x:c>
      <x:c r="M7" s="45" t="b">
        <x:v>0</x:v>
      </x:c>
      <x:c r="N7" s="42" t="n">
        <x:v>10</x:v>
      </x:c>
      <x:c r="O7" s="42" t="n">
        <x:v>0</x:v>
      </x:c>
      <x:c r="P7" s="42" t="n">
        <x:v>0</x:v>
      </x:c>
      <x:c r="Q7" s="43" t="n">
        <x:v>23552</x:v>
      </x:c>
      <x:c r="R7" s="43" t="n">
        <x:v>2810265.6</x:v>
      </x:c>
      <x:c r="S7" s="46" t="n">
        <x:v>0</x:v>
      </x:c>
      <x:c r="T7" s="46" t="n">
        <x:v>0</x:v>
      </x:c>
      <x:c r="U7" s="58" t="n">
        <x:f>IFERROR(H7/E7,"")</x:f>
        <x:v>1</x:v>
      </x:c>
      <x:c r="V7" s="58" t="n">
        <x:f>IFERROR(K7/E7,"")</x:f>
        <x:v>0</x:v>
      </x:c>
    </x:row>
    <x:row r="8">
      <x:c r="A8" s="24" t="str">
        <x:v>default</x:v>
      </x:c>
      <x:c r="B8" s="24" t="str">
        <x:v>cache2k</x:v>
      </x:c>
      <x:c r="C8" s="24" t="str">
        <x:v>independent-process-run-fork</x:v>
      </x:c>
      <x:c r="D8" s="24" t="str">
        <x:v>current-provider-primary-comparison</x:v>
      </x:c>
      <x:c r="E8" s="36" t="n">
        <x:v>6</x:v>
      </x:c>
      <x:c r="F8" s="36" t="n">
        <x:v>6</x:v>
      </x:c>
      <x:c r="G8" s="36" t="n">
        <x:v>0</x:v>
      </x:c>
      <x:c r="H8" s="36" t="n">
        <x:v>6</x:v>
      </x:c>
      <x:c r="I8" s="36" t="n">
        <x:v>6</x:v>
      </x:c>
      <x:c r="J8" s="36" t="n">
        <x:v>0</x:v>
      </x:c>
      <x:c r="K8" s="36" t="n">
        <x:v>0</x:v>
      </x:c>
      <x:c r="L8" s="36" t="n">
        <x:v>0</x:v>
      </x:c>
      <x:c r="M8" s="45" t="b">
        <x:v>0</x:v>
      </x:c>
      <x:c r="N8" s="42" t="n">
        <x:v>10</x:v>
      </x:c>
      <x:c r="O8" s="42" t="n">
        <x:v>0</x:v>
      </x:c>
      <x:c r="P8" s="42" t="n">
        <x:v>0</x:v>
      </x:c>
      <x:c r="Q8" s="43" t="n">
        <x:v>18380.800000000003</x:v>
      </x:c>
      <x:c r="R8" s="43" t="n">
        <x:v>2675456</x:v>
      </x:c>
      <x:c r="S8" s="46" t="n">
        <x:v>0</x:v>
      </x:c>
      <x:c r="T8" s="46" t="n">
        <x:v>0</x:v>
      </x:c>
      <x:c r="U8" s="58" t="n">
        <x:f>IFERROR(H8/E8,"")</x:f>
        <x:v>1</x:v>
      </x:c>
      <x:c r="V8" s="58" t="n">
        <x:f>IFERROR(K8/E8,"")</x:f>
        <x:v>0</x:v>
      </x:c>
    </x:row>
    <x:row r="9">
      <x:c r="A9" s="24" t="str">
        <x:v>default</x:v>
      </x:c>
      <x:c r="B9" s="24" t="str">
        <x:v>jcs4</x:v>
      </x:c>
      <x:c r="C9" s="24" t="str">
        <x:v>independent-process-run-fork</x:v>
      </x:c>
      <x:c r="D9" s="24" t="str">
        <x:v>current-provider-primary-comparison</x:v>
      </x:c>
      <x:c r="E9" s="36" t="n">
        <x:v>6</x:v>
      </x:c>
      <x:c r="F9" s="36" t="n">
        <x:v>6</x:v>
      </x:c>
      <x:c r="G9" s="36" t="n">
        <x:v>0</x:v>
      </x:c>
      <x:c r="H9" s="36" t="n">
        <x:v>6</x:v>
      </x:c>
      <x:c r="I9" s="36" t="n">
        <x:v>6</x:v>
      </x:c>
      <x:c r="J9" s="36" t="n">
        <x:v>0</x:v>
      </x:c>
      <x:c r="K9" s="36" t="n">
        <x:v>0</x:v>
      </x:c>
      <x:c r="L9" s="36" t="n">
        <x:v>0</x:v>
      </x:c>
      <x:c r="M9" s="45" t="b">
        <x:v>0</x:v>
      </x:c>
      <x:c r="N9" s="42" t="n">
        <x:v>10</x:v>
      </x:c>
      <x:c r="O9" s="42" t="n">
        <x:v>0</x:v>
      </x:c>
      <x:c r="P9" s="42" t="n">
        <x:v>0</x:v>
      </x:c>
      <x:c r="Q9" s="43" t="n">
        <x:v>43468.8</x:v>
      </x:c>
      <x:c r="R9" s="43" t="n">
        <x:v>2889728</x:v>
      </x:c>
      <x:c r="S9" s="46" t="n">
        <x:v>0</x:v>
      </x:c>
      <x:c r="T9" s="46" t="n">
        <x:v>0</x:v>
      </x:c>
      <x:c r="U9" s="58" t="n">
        <x:f>IFERROR(H9/E9,"")</x:f>
        <x:v>1</x:v>
      </x:c>
      <x:c r="V9" s="58" t="n">
        <x:f>IFERROR(K9/E9,"")</x:f>
        <x:v>0</x:v>
      </x:c>
    </x:row>
    <x:row r="10">
      <x:c r="A10" s="24" t="str">
        <x:v>default</x:v>
      </x:c>
      <x:c r="B10" s="24" t="str">
        <x:v>jcs321</x:v>
      </x:c>
      <x:c r="C10" s="24" t="str">
        <x:v>independent-process-run-fork</x:v>
      </x:c>
      <x:c r="D10" s="24" t="str">
        <x:v>JCS-248-positive-control</x:v>
      </x:c>
      <x:c r="E10" s="36" t="n">
        <x:v>6</x:v>
      </x:c>
      <x:c r="F10" s="36" t="n">
        <x:v>6</x:v>
      </x:c>
      <x:c r="G10" s="36" t="n">
        <x:v>0</x:v>
      </x:c>
      <x:c r="H10" s="36" t="n">
        <x:v>6</x:v>
      </x:c>
      <x:c r="I10" s="36" t="n">
        <x:v>6</x:v>
      </x:c>
      <x:c r="J10" s="36" t="n">
        <x:v>6</x:v>
      </x:c>
      <x:c r="K10" s="36" t="n">
        <x:v>6</x:v>
      </x:c>
      <x:c r="L10" s="36" t="n">
        <x:v>6</x:v>
      </x:c>
      <x:c r="M10" s="45" t="b">
        <x:v>1</x:v>
      </x:c>
      <x:c r="N10" s="42" t="n">
        <x:v>10</x:v>
      </x:c>
      <x:c r="O10" s="42" t="n">
        <x:v>10</x:v>
      </x:c>
      <x:c r="P10" s="42" t="n">
        <x:v>110</x:v>
      </x:c>
      <x:c r="Q10" s="43" t="n">
        <x:v>8498688</x:v>
      </x:c>
      <x:c r="R10" s="43" t="n">
        <x:v>49736806.4</x:v>
      </x:c>
      <x:c r="S10" s="46" t="n">
        <x:v>2</x:v>
      </x:c>
      <x:c r="T10" s="46" t="n">
        <x:v>2</x:v>
      </x:c>
      <x:c r="U10" s="58" t="n">
        <x:f>IFERROR(H10/E10,"")</x:f>
        <x:v>1</x:v>
      </x:c>
      <x:c r="V10" s="58" t="n">
        <x:f>IFERROR(K10/E10,"")</x:f>
        <x:v>1</x:v>
      </x:c>
    </x:row>
    <x:row r="11">
      <x:c r="A11" s="24" t="str">
        <x:v>default</x:v>
      </x:c>
      <x:c r="B11" s="24" t="str">
        <x:v>nostore</x:v>
      </x:c>
      <x:c r="C11" s="24" t="str">
        <x:v>independent-process-run-fork</x:v>
      </x:c>
      <x:c r="D11" s="24" t="str">
        <x:v>lifecycle-negative-control</x:v>
      </x:c>
      <x:c r="E11" s="36" t="n">
        <x:v>6</x:v>
      </x:c>
      <x:c r="F11" s="36" t="n">
        <x:v>6</x:v>
      </x:c>
      <x:c r="G11" s="36" t="n">
        <x:v>0</x:v>
      </x:c>
      <x:c r="H11" s="36" t="n">
        <x:v>6</x:v>
      </x:c>
      <x:c r="I11" s="36" t="n">
        <x:v>6</x:v>
      </x:c>
      <x:c r="J11" s="36" t="n">
        <x:v>0</x:v>
      </x:c>
      <x:c r="K11" s="36" t="n">
        <x:v>0</x:v>
      </x:c>
      <x:c r="L11" s="36" t="n">
        <x:v>0</x:v>
      </x:c>
      <x:c r="M11" s="45" t="b">
        <x:v>0</x:v>
      </x:c>
      <x:c r="N11" s="42" t="n">
        <x:v>10</x:v>
      </x:c>
      <x:c r="O11" s="42" t="n">
        <x:v>0</x:v>
      </x:c>
      <x:c r="P11" s="42" t="n">
        <x:v>0</x:v>
      </x:c>
      <x:c r="Q11" s="43" t="n">
        <x:v>14489.6</x:v>
      </x:c>
      <x:c r="R11" s="43" t="n">
        <x:v>2823526.4</x:v>
      </x:c>
      <x:c r="S11" s="46" t="n">
        <x:v>0</x:v>
      </x:c>
      <x:c r="T11" s="46" t="n">
        <x:v>0</x:v>
      </x:c>
      <x:c r="U11" s="58" t="n">
        <x:f>IFERROR(H11/E11,"")</x:f>
        <x:v>1</x:v>
      </x:c>
      <x:c r="V11" s="58" t="n">
        <x:f>IFERROR(K11/E11,"")</x:f>
        <x:v>0</x:v>
      </x:c>
    </x:row>
    <x:row r="14" ht="23" customHeight="1">
      <x:c r="A14" s="10" t="str">
        <x:v>Risultati lifecycle per process run</x:v>
      </x:c>
      <x:c r="B14" s="10" t="str">
        <x:v>Risultati lifecycle per process run</x:v>
      </x:c>
      <x:c r="C14" s="10" t="str">
        <x:v>Risultati lifecycle per process run</x:v>
      </x:c>
      <x:c r="D14" s="10" t="str">
        <x:v>Risultati lifecycle per process run</x:v>
      </x:c>
      <x:c r="E14" s="10" t="str">
        <x:v>Risultati lifecycle per process run</x:v>
      </x:c>
      <x:c r="F14" s="10" t="str">
        <x:v>Risultati lifecycle per process run</x:v>
      </x:c>
      <x:c r="G14" s="10" t="str">
        <x:v>Risultati lifecycle per process run</x:v>
      </x:c>
      <x:c r="H14" s="10" t="str">
        <x:v>Risultati lifecycle per process run</x:v>
      </x:c>
      <x:c r="I14" s="10" t="str">
        <x:v>Risultati lifecycle per process run</x:v>
      </x:c>
      <x:c r="J14" s="10" t="str">
        <x:v>Risultati lifecycle per process run</x:v>
      </x:c>
      <x:c r="K14" s="10" t="str">
        <x:v>Risultati lifecycle per process run</x:v>
      </x:c>
      <x:c r="L14" s="10" t="str">
        <x:v>Risultati lifecycle per process run</x:v>
      </x:c>
      <x:c r="M14" s="10" t="str">
        <x:v>Risultati lifecycle per process run</x:v>
      </x:c>
      <x:c r="N14" s="10" t="str">
        <x:v>Risultati lifecycle per process run</x:v>
      </x:c>
      <x:c r="O14" s="10" t="str">
        <x:v>Risultati lifecycle per process run</x:v>
      </x:c>
      <x:c r="P14" s="10" t="str">
        <x:v>Risultati lifecycle per process run</x:v>
      </x:c>
      <x:c r="Q14" s="10" t="str">
        <x:v>Risultati lifecycle per process run</x:v>
      </x:c>
      <x:c r="R14" s="10" t="str">
        <x:v>Risultati lifecycle per process run</x:v>
      </x:c>
      <x:c r="S14" s="10" t="str">
        <x:v>Risultati lifecycle per process run</x:v>
      </x:c>
      <x:c r="T14" s="10" t="str">
        <x:v>Risultati lifecycle per process run</x:v>
      </x:c>
      <x:c r="U14" s="10" t="str">
        <x:v>Risultati lifecycle per process run</x:v>
      </x:c>
      <x:c r="V14" s="10" t="str">
        <x:v>Risultati lifecycle per process run</x:v>
      </x:c>
      <x:c r="W14" s="10" t="str">
        <x:v>Risultati lifecycle per process run</x:v>
      </x:c>
      <x:c r="X14" s="10" t="str">
        <x:v>Risultati lifecycle per process run</x:v>
      </x:c>
      <x:c r="Y14" s="10" t="str">
        <x:v>Risultati lifecycle per process run</x:v>
      </x:c>
      <x:c r="Z14" s="10" t="str">
        <x:v>Risultati lifecycle per process run</x:v>
      </x:c>
      <x:c r="AA14" s="10" t="str">
        <x:v>Risultati lifecycle per process run</x:v>
      </x:c>
      <x:c r="AB14" s="10" t="str">
        <x:v>Risultati lifecycle per process run</x:v>
      </x:c>
      <x:c r="AC14" s="10" t="str">
        <x:v>Risultati lifecycle per process run</x:v>
      </x:c>
      <x:c r="AD14" s="10" t="str">
        <x:v>Risultati lifecycle per process run</x:v>
      </x:c>
      <x:c r="AE14" s="10" t="str">
        <x:v>Risultati lifecycle per process run</x:v>
      </x:c>
      <x:c r="AF14" s="10" t="str">
        <x:v>Risultati lifecycle per process run</x:v>
      </x:c>
      <x:c r="AG14" s="10" t="str">
        <x:v>Risultati lifecycle per process run</x:v>
      </x:c>
      <x:c r="AH14" s="10" t="str">
        <x:v>Risultati lifecycle per process run</x:v>
      </x:c>
      <x:c r="AI14" s="10" t="str">
        <x:v>Risultati lifecycle per process run</x:v>
      </x:c>
      <x:c r="AJ14" s="10" t="str">
        <x:v>Risultati lifecycle per process run</x:v>
      </x:c>
      <x:c r="AK14" s="10" t="str">
        <x:v>Risultati lifecycle per process run</x:v>
      </x:c>
    </x:row>
    <x:row r="15" ht="31" customHeight="1">
      <x:c r="A15" s="23" t="str">
        <x:v>processRunId</x:v>
      </x:c>
      <x:c r="B15" s="23" t="str">
        <x:v>scenario</x:v>
      </x:c>
      <x:c r="C15" s="23" t="str">
        <x:v>provider</x:v>
      </x:c>
      <x:c r="D15" s="23" t="str">
        <x:v>fork</x:v>
      </x:c>
      <x:c r="E15" s="23" t="str">
        <x:v>Williams block</x:v>
      </x:c>
      <x:c r="F15" s="23" t="str">
        <x:v>orderPosition</x:v>
      </x:c>
      <x:c r="G15" s="23" t="str">
        <x:v>block valid</x:v>
      </x:c>
      <x:c r="H15" s="23" t="str">
        <x:v>cycles</x:v>
      </x:c>
      <x:c r="I15" s="23" t="str">
        <x:v>redeploy ready all cycles</x:v>
      </x:c>
      <x:c r="J15" s="23" t="str">
        <x:v>positive findleaks checkpoints: first undeploy</x:v>
      </x:c>
      <x:c r="K15" s="23" t="str">
        <x:v>positive findleaks checkpoints: final undeploy</x:v>
      </x:c>
      <x:c r="L15" s="23" t="str">
        <x:v>positive findleaks checkpoints: total</x:v>
      </x:c>
      <x:c r="M15" s="23" t="str">
        <x:v>thread warnings first</x:v>
      </x:c>
      <x:c r="N15" s="23" t="str">
        <x:v>thread warnings final</x:v>
      </x:c>
      <x:c r="O15" s="23" t="str">
        <x:v>thread warnings total</x:v>
      </x:c>
      <x:c r="P15" s="23" t="str">
        <x:v>JCS signature observations</x:v>
      </x:c>
      <x:c r="Q15" s="23" t="str">
        <x:v>JCS signature observed</x:v>
      </x:c>
      <x:c r="R15" s="23" t="str">
        <x:v>corroborated undeploy intervals</x:v>
      </x:c>
      <x:c r="S15" s="23" t="str">
        <x:v>corroborated interval details (JSON)</x:v>
      </x:c>
      <x:c r="T15" s="23" t="str">
        <x:v>JCS-248 signal corroborated</x:v>
      </x:c>
      <x:c r="U15" s="23" t="str">
        <x:v>heap slope (bytes/cycle)</x:v>
      </x:c>
      <x:c r="V15" s="23" t="str">
        <x:v>NMT slope (bytes/cycle)</x:v>
      </x:c>
      <x:c r="W15" s="23" t="str">
        <x:v>classloader-row slope</x:v>
      </x:c>
      <x:c r="X15" s="23" t="str">
        <x:v>thread slope</x:v>
      </x:c>
      <x:c r="Y15" s="23" t="str">
        <x:v>heap first (bytes)</x:v>
      </x:c>
      <x:c r="Z15" s="23" t="str">
        <x:v>heap last (bytes)</x:v>
      </x:c>
      <x:c r="AA15" s="23" t="str">
        <x:v>NMT first (bytes)</x:v>
      </x:c>
      <x:c r="AB15" s="23" t="str">
        <x:v>NMT last (bytes)</x:v>
      </x:c>
      <x:c r="AC15" s="23" t="str">
        <x:v>classloader rows first</x:v>
      </x:c>
      <x:c r="AD15" s="23" t="str">
        <x:v>classloader rows last</x:v>
      </x:c>
      <x:c r="AE15" s="23" t="str">
        <x:v>threads first</x:v>
      </x:c>
      <x:c r="AF15" s="23" t="str">
        <x:v>threads last</x:v>
      </x:c>
    </x:row>
    <x:row r="16" ht="22" customHeight="1">
      <x:c r="A16" s="24" t="str">
        <x:v>article1-unified-v4-2-fb3f101b-20260903-000401-default-f01-p1-caffeine</x:v>
      </x:c>
      <x:c r="B16" s="24" t="str">
        <x:v>default</x:v>
      </x:c>
      <x:c r="C16" s="24" t="str">
        <x:v>caffeine</x:v>
      </x:c>
      <x:c r="D16" s="36" t="n">
        <x:v>1</x:v>
      </x:c>
      <x:c r="E16" s="36" t="n">
        <x:v>1</x:v>
      </x:c>
      <x:c r="F16" s="36" t="n">
        <x:v>1</x:v>
      </x:c>
      <x:c r="G16" s="45" t="b">
        <x:v>1</x:v>
      </x:c>
      <x:c r="H16" s="36" t="n">
        <x:v>5</x:v>
      </x:c>
      <x:c r="I16" s="45" t="b">
        <x:v>1</x:v>
      </x:c>
      <x:c r="J16" s="36" t="n">
        <x:v>5</x:v>
      </x:c>
      <x:c r="K16" s="36" t="n">
        <x:v>5</x:v>
      </x:c>
      <x:c r="L16" s="36" t="n">
        <x:v>10</x:v>
      </x:c>
      <x:c r="M16" s="36" t="n">
        <x:v>0</x:v>
      </x:c>
      <x:c r="N16" s="36" t="n">
        <x:v>0</x:v>
      </x:c>
      <x:c r="O16" s="36" t="n">
        <x:v>0</x:v>
      </x:c>
      <x:c r="P16" s="36" t="n">
        <x:v>0</x:v>
      </x:c>
      <x:c r="Q16" s="45" t="b">
        <x:v>0</x:v>
      </x:c>
      <x:c r="R16" s="36" t="n">
        <x:v>0</x:v>
      </x:c>
      <x:c r="S16" s="59" t="str">
        <x:v>[]</x:v>
      </x:c>
      <x:c r="T16" s="45" t="b">
        <x:v>0</x:v>
      </x:c>
      <x:c r="U16" s="43" t="n">
        <x:v>-767078.4</x:v>
      </x:c>
      <x:c r="V16" s="43" t="n">
        <x:v>-1594060.8</x:v>
      </x:c>
      <x:c r="W16" s="46" t="n">
        <x:v>-0.2</x:v>
      </x:c>
      <x:c r="X16" s="46" t="n">
        <x:v>0</x:v>
      </x:c>
      <x:c r="Y16" s="43" t="n">
        <x:v>19576832</x:v>
      </x:c>
      <x:c r="Z16" s="43" t="n">
        <x:v>15710208</x:v>
      </x:c>
      <x:c r="AA16" s="43" t="n">
        <x:v>437657600</x:v>
      </x:c>
      <x:c r="AB16" s="43" t="n">
        <x:v>427345920</x:v>
      </x:c>
      <x:c r="AC16" s="36" t="n">
        <x:v>3</x:v>
      </x:c>
      <x:c r="AD16" s="36" t="n">
        <x:v>2</x:v>
      </x:c>
      <x:c r="AE16" s="36" t="n">
        <x:v>30</x:v>
      </x:c>
      <x:c r="AF16" s="36" t="n">
        <x:v>30</x:v>
      </x:c>
    </x:row>
    <x:row r="17" ht="22" customHeight="1">
      <x:c r="A17" s="24" t="str">
        <x:v>article1-unified-v4-2-fb3f101b-20260903-000401-default-f02-p3-caffeine</x:v>
      </x:c>
      <x:c r="B17" s="24" t="str">
        <x:v>default</x:v>
      </x:c>
      <x:c r="C17" s="24" t="str">
        <x:v>caffeine</x:v>
      </x:c>
      <x:c r="D17" s="36" t="n">
        <x:v>2</x:v>
      </x:c>
      <x:c r="E17" s="36" t="n">
        <x:v>2</x:v>
      </x:c>
      <x:c r="F17" s="36" t="n">
        <x:v>3</x:v>
      </x:c>
      <x:c r="G17" s="45" t="b">
        <x:v>1</x:v>
      </x:c>
      <x:c r="H17" s="36" t="n">
        <x:v>5</x:v>
      </x:c>
      <x:c r="I17" s="45" t="b">
        <x:v>1</x:v>
      </x:c>
      <x:c r="J17" s="36" t="n">
        <x:v>5</x:v>
      </x:c>
      <x:c r="K17" s="36" t="n">
        <x:v>5</x:v>
      </x:c>
      <x:c r="L17" s="36" t="n">
        <x:v>10</x:v>
      </x:c>
      <x:c r="M17" s="36" t="n">
        <x:v>0</x:v>
      </x:c>
      <x:c r="N17" s="36" t="n">
        <x:v>0</x:v>
      </x:c>
      <x:c r="O17" s="36" t="n">
        <x:v>0</x:v>
      </x:c>
      <x:c r="P17" s="36" t="n">
        <x:v>0</x:v>
      </x:c>
      <x:c r="Q17" s="45" t="b">
        <x:v>0</x:v>
      </x:c>
      <x:c r="R17" s="36" t="n">
        <x:v>0</x:v>
      </x:c>
      <x:c r="S17" s="59" t="str">
        <x:v>[]</x:v>
      </x:c>
      <x:c r="T17" s="45" t="b">
        <x:v>0</x:v>
      </x:c>
      <x:c r="U17" s="43" t="n">
        <x:v>-795648</x:v>
      </x:c>
      <x:c r="V17" s="43" t="n">
        <x:v>-550912</x:v>
      </x:c>
      <x:c r="W17" s="46" t="n">
        <x:v>-0.2</x:v>
      </x:c>
      <x:c r="X17" s="46" t="n">
        <x:v>0</x:v>
      </x:c>
      <x:c r="Y17" s="43" t="n">
        <x:v>19744768</x:v>
      </x:c>
      <x:c r="Z17" s="43" t="n">
        <x:v>15763456</x:v>
      </x:c>
      <x:c r="AA17" s="43" t="n">
        <x:v>437431296</x:v>
      </x:c>
      <x:c r="AB17" s="43" t="n">
        <x:v>432234496</x:v>
      </x:c>
      <x:c r="AC17" s="36" t="n">
        <x:v>3</x:v>
      </x:c>
      <x:c r="AD17" s="36" t="n">
        <x:v>2</x:v>
      </x:c>
      <x:c r="AE17" s="36" t="n">
        <x:v>30</x:v>
      </x:c>
      <x:c r="AF17" s="36" t="n">
        <x:v>30</x:v>
      </x:c>
    </x:row>
    <x:row r="18" ht="22" customHeight="1">
      <x:c r="A18" s="24" t="str">
        <x:v>article1-unified-v4-2-fb3f101b-20260903-000401-default-f03-p5-caffeine</x:v>
      </x:c>
      <x:c r="B18" s="24" t="str">
        <x:v>default</x:v>
      </x:c>
      <x:c r="C18" s="24" t="str">
        <x:v>caffeine</x:v>
      </x:c>
      <x:c r="D18" s="36" t="n">
        <x:v>3</x:v>
      </x:c>
      <x:c r="E18" s="36" t="n">
        <x:v>3</x:v>
      </x:c>
      <x:c r="F18" s="36" t="n">
        <x:v>5</x:v>
      </x:c>
      <x:c r="G18" s="45" t="b">
        <x:v>1</x:v>
      </x:c>
      <x:c r="H18" s="36" t="n">
        <x:v>5</x:v>
      </x:c>
      <x:c r="I18" s="45" t="b">
        <x:v>1</x:v>
      </x:c>
      <x:c r="J18" s="36" t="n">
        <x:v>5</x:v>
      </x:c>
      <x:c r="K18" s="36" t="n">
        <x:v>5</x:v>
      </x:c>
      <x:c r="L18" s="36" t="n">
        <x:v>10</x:v>
      </x:c>
      <x:c r="M18" s="36" t="n">
        <x:v>0</x:v>
      </x:c>
      <x:c r="N18" s="36" t="n">
        <x:v>0</x:v>
      </x:c>
      <x:c r="O18" s="36" t="n">
        <x:v>0</x:v>
      </x:c>
      <x:c r="P18" s="36" t="n">
        <x:v>0</x:v>
      </x:c>
      <x:c r="Q18" s="45" t="b">
        <x:v>0</x:v>
      </x:c>
      <x:c r="R18" s="36" t="n">
        <x:v>0</x:v>
      </x:c>
      <x:c r="S18" s="59" t="str">
        <x:v>[]</x:v>
      </x:c>
      <x:c r="T18" s="45" t="b">
        <x:v>0</x:v>
      </x:c>
      <x:c r="U18" s="43" t="n">
        <x:v>33177.6</x:v>
      </x:c>
      <x:c r="V18" s="43" t="n">
        <x:v>2864332.8</x:v>
      </x:c>
      <x:c r="W18" s="46" t="n">
        <x:v>0</x:v>
      </x:c>
      <x:c r="X18" s="46" t="n">
        <x:v>0</x:v>
      </x:c>
      <x:c r="Y18" s="43" t="n">
        <x:v>15467520</x:v>
      </x:c>
      <x:c r="Z18" s="43" t="n">
        <x:v>15604736</x:v>
      </x:c>
      <x:c r="AA18" s="43" t="n">
        <x:v>419258368</x:v>
      </x:c>
      <x:c r="AB18" s="43" t="n">
        <x:v>430448640</x:v>
      </x:c>
      <x:c r="AC18" s="36" t="n">
        <x:v>2</x:v>
      </x:c>
      <x:c r="AD18" s="36" t="n">
        <x:v>2</x:v>
      </x:c>
      <x:c r="AE18" s="36" t="n">
        <x:v>30</x:v>
      </x:c>
      <x:c r="AF18" s="36" t="n">
        <x:v>30</x:v>
      </x:c>
    </x:row>
    <x:row r="19" ht="22" customHeight="1">
      <x:c r="A19" s="24" t="str">
        <x:v>article1-unified-v4-2-fb3f101b-20260903-000401-default-f04-p6-caffeine</x:v>
      </x:c>
      <x:c r="B19" s="24" t="str">
        <x:v>default</x:v>
      </x:c>
      <x:c r="C19" s="24" t="str">
        <x:v>caffeine</x:v>
      </x:c>
      <x:c r="D19" s="36" t="n">
        <x:v>4</x:v>
      </x:c>
      <x:c r="E19" s="36" t="n">
        <x:v>4</x:v>
      </x:c>
      <x:c r="F19" s="36" t="n">
        <x:v>6</x:v>
      </x:c>
      <x:c r="G19" s="45" t="b">
        <x:v>1</x:v>
      </x:c>
      <x:c r="H19" s="36" t="n">
        <x:v>5</x:v>
      </x:c>
      <x:c r="I19" s="45" t="b">
        <x:v>1</x:v>
      </x:c>
      <x:c r="J19" s="36" t="n">
        <x:v>5</x:v>
      </x:c>
      <x:c r="K19" s="36" t="n">
        <x:v>5</x:v>
      </x:c>
      <x:c r="L19" s="36" t="n">
        <x:v>10</x:v>
      </x:c>
      <x:c r="M19" s="36" t="n">
        <x:v>0</x:v>
      </x:c>
      <x:c r="N19" s="36" t="n">
        <x:v>0</x:v>
      </x:c>
      <x:c r="O19" s="36" t="n">
        <x:v>0</x:v>
      </x:c>
      <x:c r="P19" s="36" t="n">
        <x:v>0</x:v>
      </x:c>
      <x:c r="Q19" s="45" t="b">
        <x:v>0</x:v>
      </x:c>
      <x:c r="R19" s="36" t="n">
        <x:v>0</x:v>
      </x:c>
      <x:c r="S19" s="59" t="str">
        <x:v>[]</x:v>
      </x:c>
      <x:c r="T19" s="45" t="b">
        <x:v>0</x:v>
      </x:c>
      <x:c r="U19" s="43" t="n">
        <x:v>-785203.2</x:v>
      </x:c>
      <x:c r="V19" s="43" t="n">
        <x:v>-1586995.2</x:v>
      </x:c>
      <x:c r="W19" s="46" t="n">
        <x:v>-0.2</x:v>
      </x:c>
      <x:c r="X19" s="46" t="n">
        <x:v>0</x:v>
      </x:c>
      <x:c r="Y19" s="43" t="n">
        <x:v>19658752</x:v>
      </x:c>
      <x:c r="Z19" s="43" t="n">
        <x:v>15706112</x:v>
      </x:c>
      <x:c r="AA19" s="43" t="n">
        <x:v>437687296</x:v>
      </x:c>
      <x:c r="AB19" s="43" t="n">
        <x:v>427461632</x:v>
      </x:c>
      <x:c r="AC19" s="36" t="n">
        <x:v>3</x:v>
      </x:c>
      <x:c r="AD19" s="36" t="n">
        <x:v>2</x:v>
      </x:c>
      <x:c r="AE19" s="36" t="n">
        <x:v>30</x:v>
      </x:c>
      <x:c r="AF19" s="36" t="n">
        <x:v>30</x:v>
      </x:c>
    </x:row>
    <x:row r="20" ht="22" customHeight="1">
      <x:c r="A20" s="24" t="str">
        <x:v>article1-unified-v4-2-fb3f101b-20260903-000401-default-f05-p4-caffeine</x:v>
      </x:c>
      <x:c r="B20" s="24" t="str">
        <x:v>default</x:v>
      </x:c>
      <x:c r="C20" s="24" t="str">
        <x:v>caffeine</x:v>
      </x:c>
      <x:c r="D20" s="36" t="n">
        <x:v>5</x:v>
      </x:c>
      <x:c r="E20" s="36" t="n">
        <x:v>5</x:v>
      </x:c>
      <x:c r="F20" s="36" t="n">
        <x:v>4</x:v>
      </x:c>
      <x:c r="G20" s="45" t="b">
        <x:v>1</x:v>
      </x:c>
      <x:c r="H20" s="36" t="n">
        <x:v>5</x:v>
      </x:c>
      <x:c r="I20" s="45" t="b">
        <x:v>1</x:v>
      </x:c>
      <x:c r="J20" s="36" t="n">
        <x:v>5</x:v>
      </x:c>
      <x:c r="K20" s="36" t="n">
        <x:v>5</x:v>
      </x:c>
      <x:c r="L20" s="36" t="n">
        <x:v>10</x:v>
      </x:c>
      <x:c r="M20" s="36" t="n">
        <x:v>0</x:v>
      </x:c>
      <x:c r="N20" s="36" t="n">
        <x:v>0</x:v>
      </x:c>
      <x:c r="O20" s="36" t="n">
        <x:v>0</x:v>
      </x:c>
      <x:c r="P20" s="36" t="n">
        <x:v>0</x:v>
      </x:c>
      <x:c r="Q20" s="45" t="b">
        <x:v>0</x:v>
      </x:c>
      <x:c r="R20" s="36" t="n">
        <x:v>0</x:v>
      </x:c>
      <x:c r="S20" s="59" t="str">
        <x:v>[]</x:v>
      </x:c>
      <x:c r="T20" s="45" t="b">
        <x:v>0</x:v>
      </x:c>
      <x:c r="U20" s="43" t="n">
        <x:v>-809369.6</x:v>
      </x:c>
      <x:c r="V20" s="43" t="n">
        <x:v>-2164428.8</x:v>
      </x:c>
      <x:c r="W20" s="46" t="n">
        <x:v>-0.2</x:v>
      </x:c>
      <x:c r="X20" s="46" t="n">
        <x:v>0</x:v>
      </x:c>
      <x:c r="Y20" s="43" t="n">
        <x:v>19705856</x:v>
      </x:c>
      <x:c r="Z20" s="43" t="n">
        <x:v>15657984</x:v>
      </x:c>
      <x:c r="AA20" s="43" t="n">
        <x:v>439244800</x:v>
      </x:c>
      <x:c r="AB20" s="43" t="n">
        <x:v>426302464</x:v>
      </x:c>
      <x:c r="AC20" s="36" t="n">
        <x:v>3</x:v>
      </x:c>
      <x:c r="AD20" s="36" t="n">
        <x:v>2</x:v>
      </x:c>
      <x:c r="AE20" s="36" t="n">
        <x:v>30</x:v>
      </x:c>
      <x:c r="AF20" s="36" t="n">
        <x:v>30</x:v>
      </x:c>
    </x:row>
    <x:row r="21" ht="22" customHeight="1">
      <x:c r="A21" s="24" t="str">
        <x:v>article1-unified-v4-2-fb3f101b-20260903-000401-default-f06-p2-caffeine</x:v>
      </x:c>
      <x:c r="B21" s="24" t="str">
        <x:v>default</x:v>
      </x:c>
      <x:c r="C21" s="24" t="str">
        <x:v>caffeine</x:v>
      </x:c>
      <x:c r="D21" s="36" t="n">
        <x:v>6</x:v>
      </x:c>
      <x:c r="E21" s="36" t="n">
        <x:v>6</x:v>
      </x:c>
      <x:c r="F21" s="36" t="n">
        <x:v>2</x:v>
      </x:c>
      <x:c r="G21" s="45" t="b">
        <x:v>1</x:v>
      </x:c>
      <x:c r="H21" s="36" t="n">
        <x:v>5</x:v>
      </x:c>
      <x:c r="I21" s="45" t="b">
        <x:v>1</x:v>
      </x:c>
      <x:c r="J21" s="36" t="n">
        <x:v>5</x:v>
      </x:c>
      <x:c r="K21" s="36" t="n">
        <x:v>5</x:v>
      </x:c>
      <x:c r="L21" s="36" t="n">
        <x:v>10</x:v>
      </x:c>
      <x:c r="M21" s="36" t="n">
        <x:v>0</x:v>
      </x:c>
      <x:c r="N21" s="36" t="n">
        <x:v>0</x:v>
      </x:c>
      <x:c r="O21" s="36" t="n">
        <x:v>0</x:v>
      </x:c>
      <x:c r="P21" s="36" t="n">
        <x:v>0</x:v>
      </x:c>
      <x:c r="Q21" s="45" t="b">
        <x:v>0</x:v>
      </x:c>
      <x:c r="R21" s="36" t="n">
        <x:v>0</x:v>
      </x:c>
      <x:c r="S21" s="59" t="str">
        <x:v>[]</x:v>
      </x:c>
      <x:c r="T21" s="45" t="b">
        <x:v>0</x:v>
      </x:c>
      <x:c r="U21" s="43" t="n">
        <x:v>31334.4</x:v>
      </x:c>
      <x:c r="V21" s="43" t="n">
        <x:v>2895667.2</x:v>
      </x:c>
      <x:c r="W21" s="46" t="n">
        <x:v>0</x:v>
      </x:c>
      <x:c r="X21" s="46" t="n">
        <x:v>0</x:v>
      </x:c>
      <x:c r="Y21" s="43" t="n">
        <x:v>15543296</x:v>
      </x:c>
      <x:c r="Z21" s="43" t="n">
        <x:v>15668224</x:v>
      </x:c>
      <x:c r="AA21" s="43" t="n">
        <x:v>419102720</x:v>
      </x:c>
      <x:c r="AB21" s="43" t="n">
        <x:v>430590976</x:v>
      </x:c>
      <x:c r="AC21" s="36" t="n">
        <x:v>2</x:v>
      </x:c>
      <x:c r="AD21" s="36" t="n">
        <x:v>2</x:v>
      </x:c>
      <x:c r="AE21" s="36" t="n">
        <x:v>30</x:v>
      </x:c>
      <x:c r="AF21" s="36" t="n">
        <x:v>30</x:v>
      </x:c>
    </x:row>
    <x:row r="22" ht="22" customHeight="1">
      <x:c r="A22" s="24" t="str">
        <x:v>article1-unified-v4-2-fb3f101b-20260903-000401-default-f01-p2-ehcache</x:v>
      </x:c>
      <x:c r="B22" s="24" t="str">
        <x:v>default</x:v>
      </x:c>
      <x:c r="C22" s="24" t="str">
        <x:v>ehcache</x:v>
      </x:c>
      <x:c r="D22" s="36" t="n">
        <x:v>1</x:v>
      </x:c>
      <x:c r="E22" s="36" t="n">
        <x:v>1</x:v>
      </x:c>
      <x:c r="F22" s="36" t="n">
        <x:v>2</x:v>
      </x:c>
      <x:c r="G22" s="45" t="b">
        <x:v>1</x:v>
      </x:c>
      <x:c r="H22" s="36" t="n">
        <x:v>5</x:v>
      </x:c>
      <x:c r="I22" s="45" t="b">
        <x:v>1</x:v>
      </x:c>
      <x:c r="J22" s="36" t="n">
        <x:v>5</x:v>
      </x:c>
      <x:c r="K22" s="36" t="n">
        <x:v>5</x:v>
      </x:c>
      <x:c r="L22" s="36" t="n">
        <x:v>10</x:v>
      </x:c>
      <x:c r="M22" s="36" t="n">
        <x:v>0</x:v>
      </x:c>
      <x:c r="N22" s="36" t="n">
        <x:v>0</x:v>
      </x:c>
      <x:c r="O22" s="36" t="n">
        <x:v>0</x:v>
      </x:c>
      <x:c r="P22" s="36" t="n">
        <x:v>0</x:v>
      </x:c>
      <x:c r="Q22" s="45" t="b">
        <x:v>0</x:v>
      </x:c>
      <x:c r="R22" s="36" t="n">
        <x:v>0</x:v>
      </x:c>
      <x:c r="S22" s="59" t="str">
        <x:v>[]</x:v>
      </x:c>
      <x:c r="T22" s="45" t="b">
        <x:v>0</x:v>
      </x:c>
      <x:c r="U22" s="43" t="n">
        <x:v>-851046.4</x:v>
      </x:c>
      <x:c r="V22" s="43" t="n">
        <x:v>-1183232</x:v>
      </x:c>
      <x:c r="W22" s="46" t="n">
        <x:v>-0.2</x:v>
      </x:c>
      <x:c r="X22" s="46" t="n">
        <x:v>0</x:v>
      </x:c>
      <x:c r="Y22" s="43" t="n">
        <x:v>20383744</x:v>
      </x:c>
      <x:c r="Z22" s="43" t="n">
        <x:v>16139264</x:v>
      </x:c>
      <x:c r="AA22" s="43" t="n">
        <x:v>439962624</x:v>
      </x:c>
      <x:c r="AB22" s="43" t="n">
        <x:v>431777792</x:v>
      </x:c>
      <x:c r="AC22" s="36" t="n">
        <x:v>3</x:v>
      </x:c>
      <x:c r="AD22" s="36" t="n">
        <x:v>2</x:v>
      </x:c>
      <x:c r="AE22" s="36" t="n">
        <x:v>27</x:v>
      </x:c>
      <x:c r="AF22" s="36" t="n">
        <x:v>27</x:v>
      </x:c>
    </x:row>
    <x:row r="23" ht="22" customHeight="1">
      <x:c r="A23" s="24" t="str">
        <x:v>article1-unified-v4-2-fb3f101b-20260903-000401-default-f02-p1-ehcache</x:v>
      </x:c>
      <x:c r="B23" s="24" t="str">
        <x:v>default</x:v>
      </x:c>
      <x:c r="C23" s="24" t="str">
        <x:v>ehcache</x:v>
      </x:c>
      <x:c r="D23" s="36" t="n">
        <x:v>2</x:v>
      </x:c>
      <x:c r="E23" s="36" t="n">
        <x:v>2</x:v>
      </x:c>
      <x:c r="F23" s="36" t="n">
        <x:v>1</x:v>
      </x:c>
      <x:c r="G23" s="45" t="b">
        <x:v>1</x:v>
      </x:c>
      <x:c r="H23" s="36" t="n">
        <x:v>5</x:v>
      </x:c>
      <x:c r="I23" s="45" t="b">
        <x:v>1</x:v>
      </x:c>
      <x:c r="J23" s="36" t="n">
        <x:v>5</x:v>
      </x:c>
      <x:c r="K23" s="36" t="n">
        <x:v>5</x:v>
      </x:c>
      <x:c r="L23" s="36" t="n">
        <x:v>10</x:v>
      </x:c>
      <x:c r="M23" s="36" t="n">
        <x:v>1</x:v>
      </x:c>
      <x:c r="N23" s="36" t="n">
        <x:v>0</x:v>
      </x:c>
      <x:c r="O23" s="36" t="n">
        <x:v>1</x:v>
      </x:c>
      <x:c r="P23" s="36" t="n">
        <x:v>0</x:v>
      </x:c>
      <x:c r="Q23" s="45" t="b">
        <x:v>0</x:v>
      </x:c>
      <x:c r="R23" s="36" t="n">
        <x:v>0</x:v>
      </x:c>
      <x:c r="S23" s="59" t="str">
        <x:v>[]</x:v>
      </x:c>
      <x:c r="T23" s="45" t="b">
        <x:v>0</x:v>
      </x:c>
      <x:c r="U23" s="43" t="n">
        <x:v>28467.2</x:v>
      </x:c>
      <x:c r="V23" s="43" t="n">
        <x:v>2863104</x:v>
      </x:c>
      <x:c r="W23" s="46" t="n">
        <x:v>0</x:v>
      </x:c>
      <x:c r="X23" s="46" t="n">
        <x:v>0</x:v>
      </x:c>
      <x:c r="Y23" s="43" t="n">
        <x:v>15987712</x:v>
      </x:c>
      <x:c r="Z23" s="43" t="n">
        <x:v>16103424</x:v>
      </x:c>
      <x:c r="AA23" s="43" t="n">
        <x:v>419812352</x:v>
      </x:c>
      <x:c r="AB23" s="43" t="n">
        <x:v>431344640</x:v>
      </x:c>
      <x:c r="AC23" s="36" t="n">
        <x:v>2</x:v>
      </x:c>
      <x:c r="AD23" s="36" t="n">
        <x:v>2</x:v>
      </x:c>
      <x:c r="AE23" s="36" t="n">
        <x:v>27</x:v>
      </x:c>
      <x:c r="AF23" s="36" t="n">
        <x:v>27</x:v>
      </x:c>
    </x:row>
    <x:row r="24" ht="22" customHeight="1">
      <x:c r="A24" s="24" t="str">
        <x:v>article1-unified-v4-2-fb3f101b-20260903-000401-default-f03-p3-ehcache</x:v>
      </x:c>
      <x:c r="B24" s="24" t="str">
        <x:v>default</x:v>
      </x:c>
      <x:c r="C24" s="24" t="str">
        <x:v>ehcache</x:v>
      </x:c>
      <x:c r="D24" s="36" t="n">
        <x:v>3</x:v>
      </x:c>
      <x:c r="E24" s="36" t="n">
        <x:v>3</x:v>
      </x:c>
      <x:c r="F24" s="36" t="n">
        <x:v>3</x:v>
      </x:c>
      <x:c r="G24" s="45" t="b">
        <x:v>1</x:v>
      </x:c>
      <x:c r="H24" s="36" t="n">
        <x:v>5</x:v>
      </x:c>
      <x:c r="I24" s="45" t="b">
        <x:v>1</x:v>
      </x:c>
      <x:c r="J24" s="36" t="n">
        <x:v>5</x:v>
      </x:c>
      <x:c r="K24" s="36" t="n">
        <x:v>5</x:v>
      </x:c>
      <x:c r="L24" s="36" t="n">
        <x:v>10</x:v>
      </x:c>
      <x:c r="M24" s="36" t="n">
        <x:v>0</x:v>
      </x:c>
      <x:c r="N24" s="36" t="n">
        <x:v>0</x:v>
      </x:c>
      <x:c r="O24" s="36" t="n">
        <x:v>0</x:v>
      </x:c>
      <x:c r="P24" s="36" t="n">
        <x:v>0</x:v>
      </x:c>
      <x:c r="Q24" s="45" t="b">
        <x:v>0</x:v>
      </x:c>
      <x:c r="R24" s="36" t="n">
        <x:v>0</x:v>
      </x:c>
      <x:c r="S24" s="59" t="str">
        <x:v>[]</x:v>
      </x:c>
      <x:c r="T24" s="45" t="b">
        <x:v>0</x:v>
      </x:c>
      <x:c r="U24" s="43" t="n">
        <x:v>20480</x:v>
      </x:c>
      <x:c r="V24" s="43" t="n">
        <x:v>2974208</x:v>
      </x:c>
      <x:c r="W24" s="46" t="n">
        <x:v>0</x:v>
      </x:c>
      <x:c r="X24" s="46" t="n">
        <x:v>0</x:v>
      </x:c>
      <x:c r="Y24" s="43" t="n">
        <x:v>15958016</x:v>
      </x:c>
      <x:c r="Z24" s="43" t="n">
        <x:v>16030720</x:v>
      </x:c>
      <x:c r="AA24" s="43" t="n">
        <x:v>420202496</x:v>
      </x:c>
      <x:c r="AB24" s="43" t="n">
        <x:v>431920128</x:v>
      </x:c>
      <x:c r="AC24" s="36" t="n">
        <x:v>2</x:v>
      </x:c>
      <x:c r="AD24" s="36" t="n">
        <x:v>2</x:v>
      </x:c>
      <x:c r="AE24" s="36" t="n">
        <x:v>27</x:v>
      </x:c>
      <x:c r="AF24" s="36" t="n">
        <x:v>27</x:v>
      </x:c>
    </x:row>
    <x:row r="25" ht="22" customHeight="1">
      <x:c r="A25" s="24" t="str">
        <x:v>article1-unified-v4-2-fb3f101b-20260903-000401-default-f04-p5-ehcache</x:v>
      </x:c>
      <x:c r="B25" s="24" t="str">
        <x:v>default</x:v>
      </x:c>
      <x:c r="C25" s="24" t="str">
        <x:v>ehcache</x:v>
      </x:c>
      <x:c r="D25" s="36" t="n">
        <x:v>4</x:v>
      </x:c>
      <x:c r="E25" s="36" t="n">
        <x:v>4</x:v>
      </x:c>
      <x:c r="F25" s="36" t="n">
        <x:v>5</x:v>
      </x:c>
      <x:c r="G25" s="45" t="b">
        <x:v>1</x:v>
      </x:c>
      <x:c r="H25" s="36" t="n">
        <x:v>5</x:v>
      </x:c>
      <x:c r="I25" s="45" t="b">
        <x:v>1</x:v>
      </x:c>
      <x:c r="J25" s="36" t="n">
        <x:v>5</x:v>
      </x:c>
      <x:c r="K25" s="36" t="n">
        <x:v>5</x:v>
      </x:c>
      <x:c r="L25" s="36" t="n">
        <x:v>10</x:v>
      </x:c>
      <x:c r="M25" s="36" t="n">
        <x:v>0</x:v>
      </x:c>
      <x:c r="N25" s="36" t="n">
        <x:v>0</x:v>
      </x:c>
      <x:c r="O25" s="36" t="n">
        <x:v>0</x:v>
      </x:c>
      <x:c r="P25" s="36" t="n">
        <x:v>0</x:v>
      </x:c>
      <x:c r="Q25" s="45" t="b">
        <x:v>0</x:v>
      </x:c>
      <x:c r="R25" s="36" t="n">
        <x:v>0</x:v>
      </x:c>
      <x:c r="S25" s="59" t="str">
        <x:v>[]</x:v>
      </x:c>
      <x:c r="T25" s="45" t="b">
        <x:v>0</x:v>
      </x:c>
      <x:c r="U25" s="43" t="n">
        <x:v>26624</x:v>
      </x:c>
      <x:c r="V25" s="43" t="n">
        <x:v>2757427.2</x:v>
      </x:c>
      <x:c r="W25" s="46" t="n">
        <x:v>0</x:v>
      </x:c>
      <x:c r="X25" s="46" t="n">
        <x:v>0</x:v>
      </x:c>
      <x:c r="Y25" s="43" t="n">
        <x:v>16008192</x:v>
      </x:c>
      <x:c r="Z25" s="43" t="n">
        <x:v>16119808</x:v>
      </x:c>
      <x:c r="AA25" s="43" t="n">
        <x:v>421413888</x:v>
      </x:c>
      <x:c r="AB25" s="43" t="n">
        <x:v>431958016</x:v>
      </x:c>
      <x:c r="AC25" s="36" t="n">
        <x:v>2</x:v>
      </x:c>
      <x:c r="AD25" s="36" t="n">
        <x:v>2</x:v>
      </x:c>
      <x:c r="AE25" s="36" t="n">
        <x:v>27</x:v>
      </x:c>
      <x:c r="AF25" s="36" t="n">
        <x:v>27</x:v>
      </x:c>
    </x:row>
    <x:row r="26" ht="22" customHeight="1">
      <x:c r="A26" s="24" t="str">
        <x:v>article1-unified-v4-2-fb3f101b-20260903-000401-default-f05-p6-ehcache</x:v>
      </x:c>
      <x:c r="B26" s="24" t="str">
        <x:v>default</x:v>
      </x:c>
      <x:c r="C26" s="24" t="str">
        <x:v>ehcache</x:v>
      </x:c>
      <x:c r="D26" s="36" t="n">
        <x:v>5</x:v>
      </x:c>
      <x:c r="E26" s="36" t="n">
        <x:v>5</x:v>
      </x:c>
      <x:c r="F26" s="36" t="n">
        <x:v>6</x:v>
      </x:c>
      <x:c r="G26" s="45" t="b">
        <x:v>1</x:v>
      </x:c>
      <x:c r="H26" s="36" t="n">
        <x:v>5</x:v>
      </x:c>
      <x:c r="I26" s="45" t="b">
        <x:v>1</x:v>
      </x:c>
      <x:c r="J26" s="36" t="n">
        <x:v>5</x:v>
      </x:c>
      <x:c r="K26" s="36" t="n">
        <x:v>5</x:v>
      </x:c>
      <x:c r="L26" s="36" t="n">
        <x:v>10</x:v>
      </x:c>
      <x:c r="M26" s="36" t="n">
        <x:v>0</x:v>
      </x:c>
      <x:c r="N26" s="36" t="n">
        <x:v>0</x:v>
      </x:c>
      <x:c r="O26" s="36" t="n">
        <x:v>0</x:v>
      </x:c>
      <x:c r="P26" s="36" t="n">
        <x:v>0</x:v>
      </x:c>
      <x:c r="Q26" s="45" t="b">
        <x:v>0</x:v>
      </x:c>
      <x:c r="R26" s="36" t="n">
        <x:v>0</x:v>
      </x:c>
      <x:c r="S26" s="59" t="str">
        <x:v>[]</x:v>
      </x:c>
      <x:c r="T26" s="45" t="b">
        <x:v>0</x:v>
      </x:c>
      <x:c r="U26" s="43" t="n">
        <x:v>-849203.2</x:v>
      </x:c>
      <x:c r="V26" s="43" t="n">
        <x:v>-1858048</x:v>
      </x:c>
      <x:c r="W26" s="46" t="n">
        <x:v>-0.2</x:v>
      </x:c>
      <x:c r="X26" s="46" t="n">
        <x:v>0</x:v>
      </x:c>
      <x:c r="Y26" s="43" t="n">
        <x:v>20366336</x:v>
      </x:c>
      <x:c r="Z26" s="43" t="n">
        <x:v>16093184</x:v>
      </x:c>
      <x:c r="AA26" s="43" t="n">
        <x:v>439960576</x:v>
      </x:c>
      <x:c r="AB26" s="43" t="n">
        <x:v>428237824</x:v>
      </x:c>
      <x:c r="AC26" s="36" t="n">
        <x:v>3</x:v>
      </x:c>
      <x:c r="AD26" s="36" t="n">
        <x:v>2</x:v>
      </x:c>
      <x:c r="AE26" s="36" t="n">
        <x:v>27</x:v>
      </x:c>
      <x:c r="AF26" s="36" t="n">
        <x:v>27</x:v>
      </x:c>
    </x:row>
    <x:row r="27" ht="22" customHeight="1">
      <x:c r="A27" s="24" t="str">
        <x:v>article1-unified-v4-2-fb3f101b-20260903-000401-default-f06-p4-ehcache</x:v>
      </x:c>
      <x:c r="B27" s="24" t="str">
        <x:v>default</x:v>
      </x:c>
      <x:c r="C27" s="24" t="str">
        <x:v>ehcache</x:v>
      </x:c>
      <x:c r="D27" s="36" t="n">
        <x:v>6</x:v>
      </x:c>
      <x:c r="E27" s="36" t="n">
        <x:v>6</x:v>
      </x:c>
      <x:c r="F27" s="36" t="n">
        <x:v>4</x:v>
      </x:c>
      <x:c r="G27" s="45" t="b">
        <x:v>1</x:v>
      </x:c>
      <x:c r="H27" s="36" t="n">
        <x:v>5</x:v>
      </x:c>
      <x:c r="I27" s="45" t="b">
        <x:v>1</x:v>
      </x:c>
      <x:c r="J27" s="36" t="n">
        <x:v>5</x:v>
      </x:c>
      <x:c r="K27" s="36" t="n">
        <x:v>5</x:v>
      </x:c>
      <x:c r="L27" s="36" t="n">
        <x:v>10</x:v>
      </x:c>
      <x:c r="M27" s="36" t="n">
        <x:v>0</x:v>
      </x:c>
      <x:c r="N27" s="36" t="n">
        <x:v>0</x:v>
      </x:c>
      <x:c r="O27" s="36" t="n">
        <x:v>0</x:v>
      </x:c>
      <x:c r="P27" s="36" t="n">
        <x:v>0</x:v>
      </x:c>
      <x:c r="Q27" s="45" t="b">
        <x:v>0</x:v>
      </x:c>
      <x:c r="R27" s="36" t="n">
        <x:v>0</x:v>
      </x:c>
      <x:c r="S27" s="59" t="str">
        <x:v>[]</x:v>
      </x:c>
      <x:c r="T27" s="45" t="b">
        <x:v>0</x:v>
      </x:c>
      <x:c r="U27" s="43" t="n">
        <x:v>29081.6</x:v>
      </x:c>
      <x:c r="V27" s="43" t="n">
        <x:v>2938777.6</x:v>
      </x:c>
      <x:c r="W27" s="46" t="n">
        <x:v>0</x:v>
      </x:c>
      <x:c r="X27" s="46" t="n">
        <x:v>0</x:v>
      </x:c>
      <x:c r="Y27" s="43" t="n">
        <x:v>16024576</x:v>
      </x:c>
      <x:c r="Z27" s="43" t="n">
        <x:v>16140288</x:v>
      </x:c>
      <x:c r="AA27" s="43" t="n">
        <x:v>420042752</x:v>
      </x:c>
      <x:c r="AB27" s="43" t="n">
        <x:v>431528960</x:v>
      </x:c>
      <x:c r="AC27" s="36" t="n">
        <x:v>2</x:v>
      </x:c>
      <x:c r="AD27" s="36" t="n">
        <x:v>2</x:v>
      </x:c>
      <x:c r="AE27" s="36" t="n">
        <x:v>27</x:v>
      </x:c>
      <x:c r="AF27" s="36" t="n">
        <x:v>27</x:v>
      </x:c>
    </x:row>
    <x:row r="28" ht="22" customHeight="1">
      <x:c r="A28" s="24" t="str">
        <x:v>article1-unified-v4-2-fb3f101b-20260903-000401-default-f01-p4-cache2k</x:v>
      </x:c>
      <x:c r="B28" s="24" t="str">
        <x:v>default</x:v>
      </x:c>
      <x:c r="C28" s="24" t="str">
        <x:v>cache2k</x:v>
      </x:c>
      <x:c r="D28" s="36" t="n">
        <x:v>1</x:v>
      </x:c>
      <x:c r="E28" s="36" t="n">
        <x:v>1</x:v>
      </x:c>
      <x:c r="F28" s="36" t="n">
        <x:v>4</x:v>
      </x:c>
      <x:c r="G28" s="45" t="b">
        <x:v>1</x:v>
      </x:c>
      <x:c r="H28" s="36" t="n">
        <x:v>5</x:v>
      </x:c>
      <x:c r="I28" s="45" t="b">
        <x:v>1</x:v>
      </x:c>
      <x:c r="J28" s="36" t="n">
        <x:v>5</x:v>
      </x:c>
      <x:c r="K28" s="36" t="n">
        <x:v>5</x:v>
      </x:c>
      <x:c r="L28" s="36" t="n">
        <x:v>10</x:v>
      </x:c>
      <x:c r="M28" s="36" t="n">
        <x:v>0</x:v>
      </x:c>
      <x:c r="N28" s="36" t="n">
        <x:v>0</x:v>
      </x:c>
      <x:c r="O28" s="36" t="n">
        <x:v>0</x:v>
      </x:c>
      <x:c r="P28" s="36" t="n">
        <x:v>0</x:v>
      </x:c>
      <x:c r="Q28" s="45" t="b">
        <x:v>0</x:v>
      </x:c>
      <x:c r="R28" s="36" t="n">
        <x:v>0</x:v>
      </x:c>
      <x:c r="S28" s="59" t="str">
        <x:v>[]</x:v>
      </x:c>
      <x:c r="T28" s="45" t="b">
        <x:v>0</x:v>
      </x:c>
      <x:c r="U28" s="43" t="n">
        <x:v>27750.4</x:v>
      </x:c>
      <x:c r="V28" s="43" t="n">
        <x:v>2947379.2</x:v>
      </x:c>
      <x:c r="W28" s="46" t="n">
        <x:v>0</x:v>
      </x:c>
      <x:c r="X28" s="46" t="n">
        <x:v>0</x:v>
      </x:c>
      <x:c r="Y28" s="43" t="n">
        <x:v>15536128</x:v>
      </x:c>
      <x:c r="Z28" s="43" t="n">
        <x:v>15643648</x:v>
      </x:c>
      <x:c r="AA28" s="43" t="n">
        <x:v>418359296</x:v>
      </x:c>
      <x:c r="AB28" s="43" t="n">
        <x:v>429906944</x:v>
      </x:c>
      <x:c r="AC28" s="36" t="n">
        <x:v>2</x:v>
      </x:c>
      <x:c r="AD28" s="36" t="n">
        <x:v>2</x:v>
      </x:c>
      <x:c r="AE28" s="36" t="n">
        <x:v>27</x:v>
      </x:c>
      <x:c r="AF28" s="36" t="n">
        <x:v>27</x:v>
      </x:c>
    </x:row>
    <x:row r="29" ht="22" customHeight="1">
      <x:c r="A29" s="24" t="str">
        <x:v>article1-unified-v4-2-fb3f101b-20260903-000401-default-f02-p2-cache2k</x:v>
      </x:c>
      <x:c r="B29" s="24" t="str">
        <x:v>default</x:v>
      </x:c>
      <x:c r="C29" s="24" t="str">
        <x:v>cache2k</x:v>
      </x:c>
      <x:c r="D29" s="36" t="n">
        <x:v>2</x:v>
      </x:c>
      <x:c r="E29" s="36" t="n">
        <x:v>2</x:v>
      </x:c>
      <x:c r="F29" s="36" t="n">
        <x:v>2</x:v>
      </x:c>
      <x:c r="G29" s="45" t="b">
        <x:v>1</x:v>
      </x:c>
      <x:c r="H29" s="36" t="n">
        <x:v>5</x:v>
      </x:c>
      <x:c r="I29" s="45" t="b">
        <x:v>1</x:v>
      </x:c>
      <x:c r="J29" s="36" t="n">
        <x:v>5</x:v>
      </x:c>
      <x:c r="K29" s="36" t="n">
        <x:v>5</x:v>
      </x:c>
      <x:c r="L29" s="36" t="n">
        <x:v>10</x:v>
      </x:c>
      <x:c r="M29" s="36" t="n">
        <x:v>0</x:v>
      </x:c>
      <x:c r="N29" s="36" t="n">
        <x:v>0</x:v>
      </x:c>
      <x:c r="O29" s="36" t="n">
        <x:v>0</x:v>
      </x:c>
      <x:c r="P29" s="36" t="n">
        <x:v>0</x:v>
      </x:c>
      <x:c r="Q29" s="45" t="b">
        <x:v>0</x:v>
      </x:c>
      <x:c r="R29" s="36" t="n">
        <x:v>0</x:v>
      </x:c>
      <x:c r="S29" s="59" t="str">
        <x:v>[]</x:v>
      </x:c>
      <x:c r="T29" s="45" t="b">
        <x:v>0</x:v>
      </x:c>
      <x:c r="U29" s="43" t="n">
        <x:v>12697.6</x:v>
      </x:c>
      <x:c r="V29" s="43" t="n">
        <x:v>2817843.2</x:v>
      </x:c>
      <x:c r="W29" s="46" t="n">
        <x:v>0</x:v>
      </x:c>
      <x:c r="X29" s="46" t="n">
        <x:v>0</x:v>
      </x:c>
      <x:c r="Y29" s="43" t="n">
        <x:v>15639552</x:v>
      </x:c>
      <x:c r="Z29" s="43" t="n">
        <x:v>15677440</x:v>
      </x:c>
      <x:c r="AA29" s="43" t="n">
        <x:v>418244608</x:v>
      </x:c>
      <x:c r="AB29" s="43" t="n">
        <x:v>429356032</x:v>
      </x:c>
      <x:c r="AC29" s="36" t="n">
        <x:v>2</x:v>
      </x:c>
      <x:c r="AD29" s="36" t="n">
        <x:v>2</x:v>
      </x:c>
      <x:c r="AE29" s="36" t="n">
        <x:v>27</x:v>
      </x:c>
      <x:c r="AF29" s="36" t="n">
        <x:v>27</x:v>
      </x:c>
    </x:row>
    <x:row r="30" ht="22" customHeight="1">
      <x:c r="A30" s="24" t="str">
        <x:v>article1-unified-v4-2-fb3f101b-20260903-000401-default-f03-p1-cache2k</x:v>
      </x:c>
      <x:c r="B30" s="24" t="str">
        <x:v>default</x:v>
      </x:c>
      <x:c r="C30" s="24" t="str">
        <x:v>cache2k</x:v>
      </x:c>
      <x:c r="D30" s="36" t="n">
        <x:v>3</x:v>
      </x:c>
      <x:c r="E30" s="36" t="n">
        <x:v>3</x:v>
      </x:c>
      <x:c r="F30" s="36" t="n">
        <x:v>1</x:v>
      </x:c>
      <x:c r="G30" s="45" t="b">
        <x:v>1</x:v>
      </x:c>
      <x:c r="H30" s="36" t="n">
        <x:v>5</x:v>
      </x:c>
      <x:c r="I30" s="45" t="b">
        <x:v>1</x:v>
      </x:c>
      <x:c r="J30" s="36" t="n">
        <x:v>5</x:v>
      </x:c>
      <x:c r="K30" s="36" t="n">
        <x:v>5</x:v>
      </x:c>
      <x:c r="L30" s="36" t="n">
        <x:v>10</x:v>
      </x:c>
      <x:c r="M30" s="36" t="n">
        <x:v>0</x:v>
      </x:c>
      <x:c r="N30" s="36" t="n">
        <x:v>0</x:v>
      </x:c>
      <x:c r="O30" s="36" t="n">
        <x:v>0</x:v>
      </x:c>
      <x:c r="P30" s="36" t="n">
        <x:v>0</x:v>
      </x:c>
      <x:c r="Q30" s="45" t="b">
        <x:v>0</x:v>
      </x:c>
      <x:c r="R30" s="36" t="n">
        <x:v>0</x:v>
      </x:c>
      <x:c r="S30" s="59" t="str">
        <x:v>[]</x:v>
      </x:c>
      <x:c r="T30" s="45" t="b">
        <x:v>0</x:v>
      </x:c>
      <x:c r="U30" s="43" t="n">
        <x:v>-792883.2</x:v>
      </x:c>
      <x:c r="V30" s="43" t="n">
        <x:v>-684236.8</x:v>
      </x:c>
      <x:c r="W30" s="46" t="n">
        <x:v>-0.2</x:v>
      </x:c>
      <x:c r="X30" s="46" t="n">
        <x:v>0</x:v>
      </x:c>
      <x:c r="Y30" s="43" t="n">
        <x:v>19661824</x:v>
      </x:c>
      <x:c r="Z30" s="43" t="n">
        <x:v>15693824</x:v>
      </x:c>
      <x:c r="AA30" s="43" t="n">
        <x:v>436306944</x:v>
      </x:c>
      <x:c r="AB30" s="43" t="n">
        <x:v>430736384</x:v>
      </x:c>
      <x:c r="AC30" s="36" t="n">
        <x:v>3</x:v>
      </x:c>
      <x:c r="AD30" s="36" t="n">
        <x:v>2</x:v>
      </x:c>
      <x:c r="AE30" s="36" t="n">
        <x:v>27</x:v>
      </x:c>
      <x:c r="AF30" s="36" t="n">
        <x:v>27</x:v>
      </x:c>
    </x:row>
    <x:row r="31" ht="22" customHeight="1">
      <x:c r="A31" s="24" t="str">
        <x:v>article1-unified-v4-2-fb3f101b-20260903-000401-default-f04-p3-cache2k</x:v>
      </x:c>
      <x:c r="B31" s="24" t="str">
        <x:v>default</x:v>
      </x:c>
      <x:c r="C31" s="24" t="str">
        <x:v>cache2k</x:v>
      </x:c>
      <x:c r="D31" s="36" t="n">
        <x:v>4</x:v>
      </x:c>
      <x:c r="E31" s="36" t="n">
        <x:v>4</x:v>
      </x:c>
      <x:c r="F31" s="36" t="n">
        <x:v>3</x:v>
      </x:c>
      <x:c r="G31" s="45" t="b">
        <x:v>1</x:v>
      </x:c>
      <x:c r="H31" s="36" t="n">
        <x:v>5</x:v>
      </x:c>
      <x:c r="I31" s="45" t="b">
        <x:v>1</x:v>
      </x:c>
      <x:c r="J31" s="36" t="n">
        <x:v>5</x:v>
      </x:c>
      <x:c r="K31" s="36" t="n">
        <x:v>5</x:v>
      </x:c>
      <x:c r="L31" s="36" t="n">
        <x:v>10</x:v>
      </x:c>
      <x:c r="M31" s="36" t="n">
        <x:v>0</x:v>
      </x:c>
      <x:c r="N31" s="36" t="n">
        <x:v>0</x:v>
      </x:c>
      <x:c r="O31" s="36" t="n">
        <x:v>0</x:v>
      </x:c>
      <x:c r="P31" s="36" t="n">
        <x:v>0</x:v>
      </x:c>
      <x:c r="Q31" s="45" t="b">
        <x:v>0</x:v>
      </x:c>
      <x:c r="R31" s="36" t="n">
        <x:v>0</x:v>
      </x:c>
      <x:c r="S31" s="59" t="str">
        <x:v>[]</x:v>
      </x:c>
      <x:c r="T31" s="45" t="b">
        <x:v>0</x:v>
      </x:c>
      <x:c r="U31" s="43" t="n">
        <x:v>15155.2</x:v>
      </x:c>
      <x:c r="V31" s="43" t="n">
        <x:v>2903552</x:v>
      </x:c>
      <x:c r="W31" s="46" t="n">
        <x:v>0</x:v>
      </x:c>
      <x:c r="X31" s="46" t="n">
        <x:v>0</x:v>
      </x:c>
      <x:c r="Y31" s="43" t="n">
        <x:v>15543296</x:v>
      </x:c>
      <x:c r="Z31" s="43" t="n">
        <x:v>15594496</x:v>
      </x:c>
      <x:c r="AA31" s="43" t="n">
        <x:v>418092032</x:v>
      </x:c>
      <x:c r="AB31" s="43" t="n">
        <x:v>429622272</x:v>
      </x:c>
      <x:c r="AC31" s="36" t="n">
        <x:v>2</x:v>
      </x:c>
      <x:c r="AD31" s="36" t="n">
        <x:v>2</x:v>
      </x:c>
      <x:c r="AE31" s="36" t="n">
        <x:v>27</x:v>
      </x:c>
      <x:c r="AF31" s="36" t="n">
        <x:v>27</x:v>
      </x:c>
    </x:row>
    <x:row r="32" ht="22" customHeight="1">
      <x:c r="A32" s="24" t="str">
        <x:v>article1-unified-v4-2-fb3f101b-20260903-000401-default-f05-p5-cache2k</x:v>
      </x:c>
      <x:c r="B32" s="24" t="str">
        <x:v>default</x:v>
      </x:c>
      <x:c r="C32" s="24" t="str">
        <x:v>cache2k</x:v>
      </x:c>
      <x:c r="D32" s="36" t="n">
        <x:v>5</x:v>
      </x:c>
      <x:c r="E32" s="36" t="n">
        <x:v>5</x:v>
      </x:c>
      <x:c r="F32" s="36" t="n">
        <x:v>5</x:v>
      </x:c>
      <x:c r="G32" s="45" t="b">
        <x:v>1</x:v>
      </x:c>
      <x:c r="H32" s="36" t="n">
        <x:v>5</x:v>
      </x:c>
      <x:c r="I32" s="45" t="b">
        <x:v>1</x:v>
      </x:c>
      <x:c r="J32" s="36" t="n">
        <x:v>5</x:v>
      </x:c>
      <x:c r="K32" s="36" t="n">
        <x:v>5</x:v>
      </x:c>
      <x:c r="L32" s="36" t="n">
        <x:v>10</x:v>
      </x:c>
      <x:c r="M32" s="36" t="n">
        <x:v>0</x:v>
      </x:c>
      <x:c r="N32" s="36" t="n">
        <x:v>0</x:v>
      </x:c>
      <x:c r="O32" s="36" t="n">
        <x:v>0</x:v>
      </x:c>
      <x:c r="P32" s="36" t="n">
        <x:v>0</x:v>
      </x:c>
      <x:c r="Q32" s="45" t="b">
        <x:v>0</x:v>
      </x:c>
      <x:c r="R32" s="36" t="n">
        <x:v>0</x:v>
      </x:c>
      <x:c r="S32" s="59" t="str">
        <x:v>[]</x:v>
      </x:c>
      <x:c r="T32" s="45" t="b">
        <x:v>0</x:v>
      </x:c>
      <x:c r="U32" s="43" t="n">
        <x:v>21606.4</x:v>
      </x:c>
      <x:c r="V32" s="43" t="n">
        <x:v>2294067.2</x:v>
      </x:c>
      <x:c r="W32" s="46" t="n">
        <x:v>0</x:v>
      </x:c>
      <x:c r="X32" s="46" t="n">
        <x:v>0</x:v>
      </x:c>
      <x:c r="Y32" s="43" t="n">
        <x:v>15560704</x:v>
      </x:c>
      <x:c r="Z32" s="43" t="n">
        <x:v>15646720</x:v>
      </x:c>
      <x:c r="AA32" s="43" t="n">
        <x:v>418319360</x:v>
      </x:c>
      <x:c r="AB32" s="43" t="n">
        <x:v>427610112</x:v>
      </x:c>
      <x:c r="AC32" s="36" t="n">
        <x:v>2</x:v>
      </x:c>
      <x:c r="AD32" s="36" t="n">
        <x:v>2</x:v>
      </x:c>
      <x:c r="AE32" s="36" t="n">
        <x:v>27</x:v>
      </x:c>
      <x:c r="AF32" s="36" t="n">
        <x:v>27</x:v>
      </x:c>
    </x:row>
    <x:row r="33" ht="22" customHeight="1">
      <x:c r="A33" s="24" t="str">
        <x:v>article1-unified-v4-2-fb3f101b-20260903-000401-default-f06-p6-cache2k</x:v>
      </x:c>
      <x:c r="B33" s="24" t="str">
        <x:v>default</x:v>
      </x:c>
      <x:c r="C33" s="24" t="str">
        <x:v>cache2k</x:v>
      </x:c>
      <x:c r="D33" s="36" t="n">
        <x:v>6</x:v>
      </x:c>
      <x:c r="E33" s="36" t="n">
        <x:v>6</x:v>
      </x:c>
      <x:c r="F33" s="36" t="n">
        <x:v>6</x:v>
      </x:c>
      <x:c r="G33" s="45" t="b">
        <x:v>1</x:v>
      </x:c>
      <x:c r="H33" s="36" t="n">
        <x:v>5</x:v>
      </x:c>
      <x:c r="I33" s="45" t="b">
        <x:v>1</x:v>
      </x:c>
      <x:c r="J33" s="36" t="n">
        <x:v>5</x:v>
      </x:c>
      <x:c r="K33" s="36" t="n">
        <x:v>5</x:v>
      </x:c>
      <x:c r="L33" s="36" t="n">
        <x:v>10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45" t="b">
        <x:v>0</x:v>
      </x:c>
      <x:c r="R33" s="36" t="n">
        <x:v>0</x:v>
      </x:c>
      <x:c r="S33" s="59" t="str">
        <x:v>[]</x:v>
      </x:c>
      <x:c r="T33" s="45" t="b">
        <x:v>0</x:v>
      </x:c>
      <x:c r="U33" s="43" t="n">
        <x:v>28160</x:v>
      </x:c>
      <x:c r="V33" s="43" t="n">
        <x:v>2533068.8</x:v>
      </x:c>
      <x:c r="W33" s="46" t="n">
        <x:v>0</x:v>
      </x:c>
      <x:c r="X33" s="46" t="n">
        <x:v>0</x:v>
      </x:c>
      <x:c r="Y33" s="43" t="n">
        <x:v>15594496</x:v>
      </x:c>
      <x:c r="Z33" s="43" t="n">
        <x:v>15706112</x:v>
      </x:c>
      <x:c r="AA33" s="43" t="n">
        <x:v>417683456</x:v>
      </x:c>
      <x:c r="AB33" s="43" t="n">
        <x:v>428059648</x:v>
      </x:c>
      <x:c r="AC33" s="36" t="n">
        <x:v>2</x:v>
      </x:c>
      <x:c r="AD33" s="36" t="n">
        <x:v>2</x:v>
      </x:c>
      <x:c r="AE33" s="36" t="n">
        <x:v>27</x:v>
      </x:c>
      <x:c r="AF33" s="36" t="n">
        <x:v>27</x:v>
      </x:c>
    </x:row>
    <x:row r="34" ht="22" customHeight="1">
      <x:c r="A34" s="24" t="str">
        <x:v>article1-unified-v4-2-fb3f101b-20260903-000401-default-f01-p6-jcs4</x:v>
      </x:c>
      <x:c r="B34" s="24" t="str">
        <x:v>default</x:v>
      </x:c>
      <x:c r="C34" s="24" t="str">
        <x:v>jcs4</x:v>
      </x:c>
      <x:c r="D34" s="36" t="n">
        <x:v>1</x:v>
      </x:c>
      <x:c r="E34" s="36" t="n">
        <x:v>1</x:v>
      </x:c>
      <x:c r="F34" s="36" t="n">
        <x:v>6</x:v>
      </x:c>
      <x:c r="G34" s="45" t="b">
        <x:v>1</x:v>
      </x:c>
      <x:c r="H34" s="36" t="n">
        <x:v>5</x:v>
      </x:c>
      <x:c r="I34" s="45" t="b">
        <x:v>1</x:v>
      </x:c>
      <x:c r="J34" s="36" t="n">
        <x:v>5</x:v>
      </x:c>
      <x:c r="K34" s="36" t="n">
        <x:v>5</x:v>
      </x:c>
      <x:c r="L34" s="36" t="n">
        <x:v>10</x:v>
      </x:c>
      <x:c r="M34" s="36" t="n">
        <x:v>0</x:v>
      </x:c>
      <x:c r="N34" s="36" t="n">
        <x:v>0</x:v>
      </x:c>
      <x:c r="O34" s="36" t="n">
        <x:v>0</x:v>
      </x:c>
      <x:c r="P34" s="36" t="n">
        <x:v>0</x:v>
      </x:c>
      <x:c r="Q34" s="45" t="b">
        <x:v>0</x:v>
      </x:c>
      <x:c r="R34" s="36" t="n">
        <x:v>0</x:v>
      </x:c>
      <x:c r="S34" s="59" t="str">
        <x:v>[]</x:v>
      </x:c>
      <x:c r="T34" s="45" t="b">
        <x:v>0</x:v>
      </x:c>
      <x:c r="U34" s="43" t="n">
        <x:v>36966.4</x:v>
      </x:c>
      <x:c r="V34" s="43" t="n">
        <x:v>2929971.2</x:v>
      </x:c>
      <x:c r="W34" s="46" t="n">
        <x:v>0</x:v>
      </x:c>
      <x:c r="X34" s="46" t="n">
        <x:v>0</x:v>
      </x:c>
      <x:c r="Y34" s="43" t="n">
        <x:v>15631360</x:v>
      </x:c>
      <x:c r="Z34" s="43" t="n">
        <x:v>15776768</x:v>
      </x:c>
      <x:c r="AA34" s="43" t="n">
        <x:v>417545216</x:v>
      </x:c>
      <x:c r="AB34" s="43" t="n">
        <x:v>429184000</x:v>
      </x:c>
      <x:c r="AC34" s="36" t="n">
        <x:v>2</x:v>
      </x:c>
      <x:c r="AD34" s="36" t="n">
        <x:v>2</x:v>
      </x:c>
      <x:c r="AE34" s="36" t="n">
        <x:v>27</x:v>
      </x:c>
      <x:c r="AF34" s="36" t="n">
        <x:v>27</x:v>
      </x:c>
    </x:row>
    <x:row r="35" ht="22" customHeight="1">
      <x:c r="A35" s="24" t="str">
        <x:v>article1-unified-v4-2-fb3f101b-20260903-000401-default-f02-p4-jcs4</x:v>
      </x:c>
      <x:c r="B35" s="24" t="str">
        <x:v>default</x:v>
      </x:c>
      <x:c r="C35" s="24" t="str">
        <x:v>jcs4</x:v>
      </x:c>
      <x:c r="D35" s="36" t="n">
        <x:v>2</x:v>
      </x:c>
      <x:c r="E35" s="36" t="n">
        <x:v>2</x:v>
      </x:c>
      <x:c r="F35" s="36" t="n">
        <x:v>4</x:v>
      </x:c>
      <x:c r="G35" s="45" t="b">
        <x:v>1</x:v>
      </x:c>
      <x:c r="H35" s="36" t="n">
        <x:v>5</x:v>
      </x:c>
      <x:c r="I35" s="45" t="b">
        <x:v>1</x:v>
      </x:c>
      <x:c r="J35" s="36" t="n">
        <x:v>5</x:v>
      </x:c>
      <x:c r="K35" s="36" t="n">
        <x:v>5</x:v>
      </x:c>
      <x:c r="L35" s="36" t="n">
        <x:v>10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45" t="b">
        <x:v>0</x:v>
      </x:c>
      <x:c r="R35" s="36" t="n">
        <x:v>0</x:v>
      </x:c>
      <x:c r="S35" s="59" t="str">
        <x:v>[]</x:v>
      </x:c>
      <x:c r="T35" s="45" t="b">
        <x:v>0</x:v>
      </x:c>
      <x:c r="U35" s="43" t="n">
        <x:v>-763289.6</x:v>
      </x:c>
      <x:c r="V35" s="43" t="n">
        <x:v>-1837772.8</x:v>
      </x:c>
      <x:c r="W35" s="46" t="n">
        <x:v>-0.2</x:v>
      </x:c>
      <x:c r="X35" s="46" t="n">
        <x:v>0</x:v>
      </x:c>
      <x:c r="Y35" s="43" t="n">
        <x:v>19775488</x:v>
      </x:c>
      <x:c r="Z35" s="43" t="n">
        <x:v>15899648</x:v>
      </x:c>
      <x:c r="AA35" s="43" t="n">
        <x:v>436261888</x:v>
      </x:c>
      <x:c r="AB35" s="43" t="n">
        <x:v>425084928</x:v>
      </x:c>
      <x:c r="AC35" s="36" t="n">
        <x:v>3</x:v>
      </x:c>
      <x:c r="AD35" s="36" t="n">
        <x:v>2</x:v>
      </x:c>
      <x:c r="AE35" s="36" t="n">
        <x:v>27</x:v>
      </x:c>
      <x:c r="AF35" s="36" t="n">
        <x:v>27</x:v>
      </x:c>
    </x:row>
    <x:row r="36" ht="22" customHeight="1">
      <x:c r="A36" s="24" t="str">
        <x:v>article1-unified-v4-2-fb3f101b-20260903-000401-default-f03-p2-jcs4</x:v>
      </x:c>
      <x:c r="B36" s="24" t="str">
        <x:v>default</x:v>
      </x:c>
      <x:c r="C36" s="24" t="str">
        <x:v>jcs4</x:v>
      </x:c>
      <x:c r="D36" s="36" t="n">
        <x:v>3</x:v>
      </x:c>
      <x:c r="E36" s="36" t="n">
        <x:v>3</x:v>
      </x:c>
      <x:c r="F36" s="36" t="n">
        <x:v>2</x:v>
      </x:c>
      <x:c r="G36" s="45" t="b">
        <x:v>1</x:v>
      </x:c>
      <x:c r="H36" s="36" t="n">
        <x:v>5</x:v>
      </x:c>
      <x:c r="I36" s="45" t="b">
        <x:v>1</x:v>
      </x:c>
      <x:c r="J36" s="36" t="n">
        <x:v>5</x:v>
      </x:c>
      <x:c r="K36" s="36" t="n">
        <x:v>5</x:v>
      </x:c>
      <x:c r="L36" s="36" t="n">
        <x:v>10</x:v>
      </x:c>
      <x:c r="M36" s="36" t="n">
        <x:v>0</x:v>
      </x:c>
      <x:c r="N36" s="36" t="n">
        <x:v>0</x:v>
      </x:c>
      <x:c r="O36" s="36" t="n">
        <x:v>0</x:v>
      </x:c>
      <x:c r="P36" s="36" t="n">
        <x:v>0</x:v>
      </x:c>
      <x:c r="Q36" s="45" t="b">
        <x:v>0</x:v>
      </x:c>
      <x:c r="R36" s="36" t="n">
        <x:v>0</x:v>
      </x:c>
      <x:c r="S36" s="59" t="str">
        <x:v>[]</x:v>
      </x:c>
      <x:c r="T36" s="45" t="b">
        <x:v>0</x:v>
      </x:c>
      <x:c r="U36" s="43" t="n">
        <x:v>36556.8</x:v>
      </x:c>
      <x:c r="V36" s="43" t="n">
        <x:v>2997350.4</x:v>
      </x:c>
      <x:c r="W36" s="46" t="n">
        <x:v>0</x:v>
      </x:c>
      <x:c r="X36" s="46" t="n">
        <x:v>0</x:v>
      </x:c>
      <x:c r="Y36" s="43" t="n">
        <x:v>15626240</x:v>
      </x:c>
      <x:c r="Z36" s="43" t="n">
        <x:v>15782912</x:v>
      </x:c>
      <x:c r="AA36" s="43" t="n">
        <x:v>417876992</x:v>
      </x:c>
      <x:c r="AB36" s="43" t="n">
        <x:v>430020608</x:v>
      </x:c>
      <x:c r="AC36" s="36" t="n">
        <x:v>2</x:v>
      </x:c>
      <x:c r="AD36" s="36" t="n">
        <x:v>2</x:v>
      </x:c>
      <x:c r="AE36" s="36" t="n">
        <x:v>27</x:v>
      </x:c>
      <x:c r="AF36" s="36" t="n">
        <x:v>27</x:v>
      </x:c>
    </x:row>
    <x:row r="37" ht="22" customHeight="1">
      <x:c r="A37" s="24" t="str">
        <x:v>article1-unified-v4-2-fb3f101b-20260903-000401-default-f04-p1-jcs4</x:v>
      </x:c>
      <x:c r="B37" s="24" t="str">
        <x:v>default</x:v>
      </x:c>
      <x:c r="C37" s="24" t="str">
        <x:v>jcs4</x:v>
      </x:c>
      <x:c r="D37" s="36" t="n">
        <x:v>4</x:v>
      </x:c>
      <x:c r="E37" s="36" t="n">
        <x:v>4</x:v>
      </x:c>
      <x:c r="F37" s="36" t="n">
        <x:v>1</x:v>
      </x:c>
      <x:c r="G37" s="45" t="b">
        <x:v>1</x:v>
      </x:c>
      <x:c r="H37" s="36" t="n">
        <x:v>5</x:v>
      </x:c>
      <x:c r="I37" s="45" t="b">
        <x:v>1</x:v>
      </x:c>
      <x:c r="J37" s="36" t="n">
        <x:v>5</x:v>
      </x:c>
      <x:c r="K37" s="36" t="n">
        <x:v>5</x:v>
      </x:c>
      <x:c r="L37" s="36" t="n">
        <x:v>10</x:v>
      </x:c>
      <x:c r="M37" s="36" t="n">
        <x:v>0</x:v>
      </x:c>
      <x:c r="N37" s="36" t="n">
        <x:v>0</x:v>
      </x:c>
      <x:c r="O37" s="36" t="n">
        <x:v>0</x:v>
      </x:c>
      <x:c r="P37" s="36" t="n">
        <x:v>0</x:v>
      </x:c>
      <x:c r="Q37" s="45" t="b">
        <x:v>0</x:v>
      </x:c>
      <x:c r="R37" s="36" t="n">
        <x:v>0</x:v>
      </x:c>
      <x:c r="S37" s="59" t="str">
        <x:v>[]</x:v>
      </x:c>
      <x:c r="T37" s="45" t="b">
        <x:v>0</x:v>
      </x:c>
      <x:c r="U37" s="43" t="n">
        <x:v>51507.2</x:v>
      </x:c>
      <x:c r="V37" s="43" t="n">
        <x:v>2849484.8</x:v>
      </x:c>
      <x:c r="W37" s="46" t="n">
        <x:v>0</x:v>
      </x:c>
      <x:c r="X37" s="46" t="n">
        <x:v>0</x:v>
      </x:c>
      <x:c r="Y37" s="43" t="n">
        <x:v>15689728</x:v>
      </x:c>
      <x:c r="Z37" s="43" t="n">
        <x:v>15890432</x:v>
      </x:c>
      <x:c r="AA37" s="43" t="n">
        <x:v>418949120</x:v>
      </x:c>
      <x:c r="AB37" s="43" t="n">
        <x:v>429869056</x:v>
      </x:c>
      <x:c r="AC37" s="36" t="n">
        <x:v>2</x:v>
      </x:c>
      <x:c r="AD37" s="36" t="n">
        <x:v>2</x:v>
      </x:c>
      <x:c r="AE37" s="36" t="n">
        <x:v>27</x:v>
      </x:c>
      <x:c r="AF37" s="36" t="n">
        <x:v>27</x:v>
      </x:c>
    </x:row>
    <x:row r="38" ht="22" customHeight="1">
      <x:c r="A38" s="24" t="str">
        <x:v>article1-unified-v4-2-fb3f101b-20260903-000401-default-f05-p3-jcs4</x:v>
      </x:c>
      <x:c r="B38" s="24" t="str">
        <x:v>default</x:v>
      </x:c>
      <x:c r="C38" s="24" t="str">
        <x:v>jcs4</x:v>
      </x:c>
      <x:c r="D38" s="36" t="n">
        <x:v>5</x:v>
      </x:c>
      <x:c r="E38" s="36" t="n">
        <x:v>5</x:v>
      </x:c>
      <x:c r="F38" s="36" t="n">
        <x:v>3</x:v>
      </x:c>
      <x:c r="G38" s="45" t="b">
        <x:v>1</x:v>
      </x:c>
      <x:c r="H38" s="36" t="n">
        <x:v>5</x:v>
      </x:c>
      <x:c r="I38" s="45" t="b">
        <x:v>1</x:v>
      </x:c>
      <x:c r="J38" s="36" t="n">
        <x:v>5</x:v>
      </x:c>
      <x:c r="K38" s="36" t="n">
        <x:v>5</x:v>
      </x:c>
      <x:c r="L38" s="36" t="n">
        <x:v>10</x:v>
      </x:c>
      <x:c r="M38" s="36" t="n">
        <x:v>0</x:v>
      </x:c>
      <x:c r="N38" s="36" t="n">
        <x:v>0</x:v>
      </x:c>
      <x:c r="O38" s="36" t="n">
        <x:v>0</x:v>
      </x:c>
      <x:c r="P38" s="36" t="n">
        <x:v>0</x:v>
      </x:c>
      <x:c r="Q38" s="45" t="b">
        <x:v>0</x:v>
      </x:c>
      <x:c r="R38" s="36" t="n">
        <x:v>0</x:v>
      </x:c>
      <x:c r="S38" s="59" t="str">
        <x:v>[]</x:v>
      </x:c>
      <x:c r="T38" s="45" t="b">
        <x:v>0</x:v>
      </x:c>
      <x:c r="U38" s="43" t="n">
        <x:v>49971.2</x:v>
      </x:c>
      <x:c r="V38" s="43" t="n">
        <x:v>2766336</x:v>
      </x:c>
      <x:c r="W38" s="46" t="n">
        <x:v>0</x:v>
      </x:c>
      <x:c r="X38" s="46" t="n">
        <x:v>0</x:v>
      </x:c>
      <x:c r="Y38" s="43" t="n">
        <x:v>15693824</x:v>
      </x:c>
      <x:c r="Z38" s="43" t="n">
        <x:v>15903744</x:v>
      </x:c>
      <x:c r="AA38" s="43" t="n">
        <x:v>417806336</x:v>
      </x:c>
      <x:c r="AB38" s="43" t="n">
        <x:v>429024256</x:v>
      </x:c>
      <x:c r="AC38" s="36" t="n">
        <x:v>2</x:v>
      </x:c>
      <x:c r="AD38" s="36" t="n">
        <x:v>2</x:v>
      </x:c>
      <x:c r="AE38" s="36" t="n">
        <x:v>27</x:v>
      </x:c>
      <x:c r="AF38" s="36" t="n">
        <x:v>27</x:v>
      </x:c>
    </x:row>
    <x:row r="39" ht="22" customHeight="1">
      <x:c r="A39" s="24" t="str">
        <x:v>article1-unified-v4-2-fb3f101b-20260903-000401-default-f06-p5-jcs4</x:v>
      </x:c>
      <x:c r="B39" s="24" t="str">
        <x:v>default</x:v>
      </x:c>
      <x:c r="C39" s="24" t="str">
        <x:v>jcs4</x:v>
      </x:c>
      <x:c r="D39" s="36" t="n">
        <x:v>6</x:v>
      </x:c>
      <x:c r="E39" s="36" t="n">
        <x:v>6</x:v>
      </x:c>
      <x:c r="F39" s="36" t="n">
        <x:v>5</x:v>
      </x:c>
      <x:c r="G39" s="45" t="b">
        <x:v>1</x:v>
      </x:c>
      <x:c r="H39" s="36" t="n">
        <x:v>5</x:v>
      </x:c>
      <x:c r="I39" s="45" t="b">
        <x:v>1</x:v>
      </x:c>
      <x:c r="J39" s="36" t="n">
        <x:v>5</x:v>
      </x:c>
      <x:c r="K39" s="36" t="n">
        <x:v>5</x:v>
      </x:c>
      <x:c r="L39" s="36" t="n">
        <x:v>10</x:v>
      </x:c>
      <x:c r="M39" s="36" t="n">
        <x:v>0</x:v>
      </x:c>
      <x:c r="N39" s="36" t="n">
        <x:v>0</x:v>
      </x:c>
      <x:c r="O39" s="36" t="n">
        <x:v>0</x:v>
      </x:c>
      <x:c r="P39" s="36" t="n">
        <x:v>0</x:v>
      </x:c>
      <x:c r="Q39" s="45" t="b">
        <x:v>0</x:v>
      </x:c>
      <x:c r="R39" s="36" t="n">
        <x:v>0</x:v>
      </x:c>
      <x:c r="S39" s="59" t="str">
        <x:v>[]</x:v>
      </x:c>
      <x:c r="T39" s="45" t="b">
        <x:v>0</x:v>
      </x:c>
      <x:c r="U39" s="43" t="n">
        <x:v>53862.4</x:v>
      </x:c>
      <x:c r="V39" s="43" t="n">
        <x:v>3236761.6</x:v>
      </x:c>
      <x:c r="W39" s="46" t="n">
        <x:v>0</x:v>
      </x:c>
      <x:c r="X39" s="46" t="n">
        <x:v>0</x:v>
      </x:c>
      <x:c r="Y39" s="43" t="n">
        <x:v>15638528</x:v>
      </x:c>
      <x:c r="Z39" s="43" t="n">
        <x:v>15872000</x:v>
      </x:c>
      <x:c r="AA39" s="43" t="n">
        <x:v>417788928</x:v>
      </x:c>
      <x:c r="AB39" s="43" t="n">
        <x:v>429965312</x:v>
      </x:c>
      <x:c r="AC39" s="36" t="n">
        <x:v>2</x:v>
      </x:c>
      <x:c r="AD39" s="36" t="n">
        <x:v>2</x:v>
      </x:c>
      <x:c r="AE39" s="36" t="n">
        <x:v>27</x:v>
      </x:c>
      <x:c r="AF39" s="36" t="n">
        <x:v>27</x:v>
      </x:c>
    </x:row>
    <x:row r="40" ht="22" customHeight="1">
      <x:c r="A40" s="24" t="str">
        <x:v>article1-unified-v4-2-fb3f101b-20260903-000401-default-f01-p5-jcs321</x:v>
      </x:c>
      <x:c r="B40" s="24" t="str">
        <x:v>default</x:v>
      </x:c>
      <x:c r="C40" s="24" t="str">
        <x:v>jcs321</x:v>
      </x:c>
      <x:c r="D40" s="36" t="n">
        <x:v>1</x:v>
      </x:c>
      <x:c r="E40" s="36" t="n">
        <x:v>1</x:v>
      </x:c>
      <x:c r="F40" s="36" t="n">
        <x:v>5</x:v>
      </x:c>
      <x:c r="G40" s="45" t="b">
        <x:v>1</x:v>
      </x:c>
      <x:c r="H40" s="36" t="n">
        <x:v>5</x:v>
      </x:c>
      <x:c r="I40" s="45" t="b">
        <x:v>1</x:v>
      </x:c>
      <x:c r="J40" s="36" t="n">
        <x:v>5</x:v>
      </x:c>
      <x:c r="K40" s="36" t="n">
        <x:v>5</x:v>
      </x:c>
      <x:c r="L40" s="36" t="n">
        <x:v>10</x:v>
      </x:c>
      <x:c r="M40" s="36" t="n">
        <x:v>5</x:v>
      </x:c>
      <x:c r="N40" s="36" t="n">
        <x:v>5</x:v>
      </x:c>
      <x:c r="O40" s="36" t="n">
        <x:v>10</x:v>
      </x:c>
      <x:c r="P40" s="36" t="n">
        <x:v>110</x:v>
      </x:c>
      <x:c r="Q40" s="45" t="b">
        <x:v>1</x:v>
      </x:c>
      <x:c r="R40" s="36" t="n">
        <x:v>10</x:v>
      </x:c>
      <x:c r="S40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  <x:c r="T40" s="45" t="b">
        <x:v>1</x:v>
      </x:c>
      <x:c r="U40" s="43" t="n">
        <x:v>8505856</x:v>
      </x:c>
      <x:c r="V40" s="43" t="n">
        <x:v>51805696</x:v>
      </x:c>
      <x:c r="W40" s="46" t="n">
        <x:v>2</x:v>
      </x:c>
      <x:c r="X40" s="46" t="n">
        <x:v>2</x:v>
      </x:c>
      <x:c r="Y40" s="43" t="n">
        <x:v>19697664</x:v>
      </x:c>
      <x:c r="Z40" s="43" t="n">
        <x:v>53723136</x:v>
      </x:c>
      <x:c r="AA40" s="43" t="n">
        <x:v>435820544</x:v>
      </x:c>
      <x:c r="AB40" s="43" t="n">
        <x:v>641851392</x:v>
      </x:c>
      <x:c r="AC40" s="36" t="n">
        <x:v>3</x:v>
      </x:c>
      <x:c r="AD40" s="36" t="n">
        <x:v>11</x:v>
      </x:c>
      <x:c r="AE40" s="36" t="n">
        <x:v>29</x:v>
      </x:c>
      <x:c r="AF40" s="36" t="n">
        <x:v>37</x:v>
      </x:c>
    </x:row>
    <x:row r="41" ht="22" customHeight="1">
      <x:c r="A41" s="24" t="str">
        <x:v>article1-unified-v4-2-fb3f101b-20260903-000401-default-f02-p6-jcs321</x:v>
      </x:c>
      <x:c r="B41" s="24" t="str">
        <x:v>default</x:v>
      </x:c>
      <x:c r="C41" s="24" t="str">
        <x:v>jcs321</x:v>
      </x:c>
      <x:c r="D41" s="36" t="n">
        <x:v>2</x:v>
      </x:c>
      <x:c r="E41" s="36" t="n">
        <x:v>2</x:v>
      </x:c>
      <x:c r="F41" s="36" t="n">
        <x:v>6</x:v>
      </x:c>
      <x:c r="G41" s="45" t="b">
        <x:v>1</x:v>
      </x:c>
      <x:c r="H41" s="36" t="n">
        <x:v>5</x:v>
      </x:c>
      <x:c r="I41" s="45" t="b">
        <x:v>1</x:v>
      </x:c>
      <x:c r="J41" s="36" t="n">
        <x:v>5</x:v>
      </x:c>
      <x:c r="K41" s="36" t="n">
        <x:v>5</x:v>
      </x:c>
      <x:c r="L41" s="36" t="n">
        <x:v>10</x:v>
      </x:c>
      <x:c r="M41" s="36" t="n">
        <x:v>5</x:v>
      </x:c>
      <x:c r="N41" s="36" t="n">
        <x:v>5</x:v>
      </x:c>
      <x:c r="O41" s="36" t="n">
        <x:v>10</x:v>
      </x:c>
      <x:c r="P41" s="36" t="n">
        <x:v>110</x:v>
      </x:c>
      <x:c r="Q41" s="45" t="b">
        <x:v>1</x:v>
      </x:c>
      <x:c r="R41" s="36" t="n">
        <x:v>10</x:v>
      </x:c>
      <x:c r="S41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  <x:c r="T41" s="45" t="b">
        <x:v>1</x:v>
      </x:c>
      <x:c r="U41" s="43" t="n">
        <x:v>8491520</x:v>
      </x:c>
      <x:c r="V41" s="43" t="n">
        <x:v>49710694.4</x:v>
      </x:c>
      <x:c r="W41" s="46" t="n">
        <x:v>2</x:v>
      </x:c>
      <x:c r="X41" s="46" t="n">
        <x:v>2</x:v>
      </x:c>
      <x:c r="Y41" s="43" t="n">
        <x:v>19823616</x:v>
      </x:c>
      <x:c r="Z41" s="43" t="n">
        <x:v>53784576</x:v>
      </x:c>
      <x:c r="AA41" s="43" t="n">
        <x:v>435720192</x:v>
      </x:c>
      <x:c r="AB41" s="43" t="n">
        <x:v>636153856</x:v>
      </x:c>
      <x:c r="AC41" s="36" t="n">
        <x:v>3</x:v>
      </x:c>
      <x:c r="AD41" s="36" t="n">
        <x:v>11</x:v>
      </x:c>
      <x:c r="AE41" s="36" t="n">
        <x:v>29</x:v>
      </x:c>
      <x:c r="AF41" s="36" t="n">
        <x:v>37</x:v>
      </x:c>
    </x:row>
    <x:row r="42" ht="22" customHeight="1">
      <x:c r="A42" s="24" t="str">
        <x:v>article1-unified-v4-2-fb3f101b-20260903-000401-default-f03-p4-jcs321</x:v>
      </x:c>
      <x:c r="B42" s="24" t="str">
        <x:v>default</x:v>
      </x:c>
      <x:c r="C42" s="24" t="str">
        <x:v>jcs321</x:v>
      </x:c>
      <x:c r="D42" s="36" t="n">
        <x:v>3</x:v>
      </x:c>
      <x:c r="E42" s="36" t="n">
        <x:v>3</x:v>
      </x:c>
      <x:c r="F42" s="36" t="n">
        <x:v>4</x:v>
      </x:c>
      <x:c r="G42" s="45" t="b">
        <x:v>1</x:v>
      </x:c>
      <x:c r="H42" s="36" t="n">
        <x:v>5</x:v>
      </x:c>
      <x:c r="I42" s="45" t="b">
        <x:v>1</x:v>
      </x:c>
      <x:c r="J42" s="36" t="n">
        <x:v>5</x:v>
      </x:c>
      <x:c r="K42" s="36" t="n">
        <x:v>5</x:v>
      </x:c>
      <x:c r="L42" s="36" t="n">
        <x:v>10</x:v>
      </x:c>
      <x:c r="M42" s="36" t="n">
        <x:v>5</x:v>
      </x:c>
      <x:c r="N42" s="36" t="n">
        <x:v>5</x:v>
      </x:c>
      <x:c r="O42" s="36" t="n">
        <x:v>10</x:v>
      </x:c>
      <x:c r="P42" s="36" t="n">
        <x:v>110</x:v>
      </x:c>
      <x:c r="Q42" s="45" t="b">
        <x:v>1</x:v>
      </x:c>
      <x:c r="R42" s="36" t="n">
        <x:v>10</x:v>
      </x:c>
      <x:c r="S42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  <x:c r="T42" s="45" t="b">
        <x:v>1</x:v>
      </x:c>
      <x:c r="U42" s="43" t="n">
        <x:v>8466432</x:v>
      </x:c>
      <x:c r="V42" s="43" t="n">
        <x:v>48239820.8</x:v>
      </x:c>
      <x:c r="W42" s="46" t="n">
        <x:v>2</x:v>
      </x:c>
      <x:c r="X42" s="46" t="n">
        <x:v>2</x:v>
      </x:c>
      <x:c r="Y42" s="43" t="n">
        <x:v>19836928</x:v>
      </x:c>
      <x:c r="Z42" s="43" t="n">
        <x:v>53680128</x:v>
      </x:c>
      <x:c r="AA42" s="43" t="n">
        <x:v>435744768</x:v>
      </x:c>
      <x:c r="AB42" s="43" t="n">
        <x:v>629208064</x:v>
      </x:c>
      <x:c r="AC42" s="36" t="n">
        <x:v>3</x:v>
      </x:c>
      <x:c r="AD42" s="36" t="n">
        <x:v>11</x:v>
      </x:c>
      <x:c r="AE42" s="36" t="n">
        <x:v>29</x:v>
      </x:c>
      <x:c r="AF42" s="36" t="n">
        <x:v>37</x:v>
      </x:c>
    </x:row>
    <x:row r="43" ht="22" customHeight="1">
      <x:c r="A43" s="24" t="str">
        <x:v>article1-unified-v4-2-fb3f101b-20260903-000401-default-f04-p2-jcs321</x:v>
      </x:c>
      <x:c r="B43" s="24" t="str">
        <x:v>default</x:v>
      </x:c>
      <x:c r="C43" s="24" t="str">
        <x:v>jcs321</x:v>
      </x:c>
      <x:c r="D43" s="36" t="n">
        <x:v>4</x:v>
      </x:c>
      <x:c r="E43" s="36" t="n">
        <x:v>4</x:v>
      </x:c>
      <x:c r="F43" s="36" t="n">
        <x:v>2</x:v>
      </x:c>
      <x:c r="G43" s="45" t="b">
        <x:v>1</x:v>
      </x:c>
      <x:c r="H43" s="36" t="n">
        <x:v>5</x:v>
      </x:c>
      <x:c r="I43" s="45" t="b">
        <x:v>1</x:v>
      </x:c>
      <x:c r="J43" s="36" t="n">
        <x:v>5</x:v>
      </x:c>
      <x:c r="K43" s="36" t="n">
        <x:v>5</x:v>
      </x:c>
      <x:c r="L43" s="36" t="n">
        <x:v>10</x:v>
      </x:c>
      <x:c r="M43" s="36" t="n">
        <x:v>5</x:v>
      </x:c>
      <x:c r="N43" s="36" t="n">
        <x:v>5</x:v>
      </x:c>
      <x:c r="O43" s="36" t="n">
        <x:v>10</x:v>
      </x:c>
      <x:c r="P43" s="36" t="n">
        <x:v>110</x:v>
      </x:c>
      <x:c r="Q43" s="45" t="b">
        <x:v>1</x:v>
      </x:c>
      <x:c r="R43" s="36" t="n">
        <x:v>10</x:v>
      </x:c>
      <x:c r="S43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  <x:c r="T43" s="45" t="b">
        <x:v>1</x:v>
      </x:c>
      <x:c r="U43" s="43" t="n">
        <x:v>8518348.8</x:v>
      </x:c>
      <x:c r="V43" s="43" t="n">
        <x:v>49658163.2</x:v>
      </x:c>
      <x:c r="W43" s="46" t="n">
        <x:v>2</x:v>
      </x:c>
      <x:c r="X43" s="46" t="n">
        <x:v>2</x:v>
      </x:c>
      <x:c r="Y43" s="43" t="n">
        <x:v>19722240</x:v>
      </x:c>
      <x:c r="Z43" s="43" t="n">
        <x:v>53794816</x:v>
      </x:c>
      <x:c r="AA43" s="43" t="n">
        <x:v>436035584</x:v>
      </x:c>
      <x:c r="AB43" s="43" t="n">
        <x:v>635888640</x:v>
      </x:c>
      <x:c r="AC43" s="36" t="n">
        <x:v>3</x:v>
      </x:c>
      <x:c r="AD43" s="36" t="n">
        <x:v>11</x:v>
      </x:c>
      <x:c r="AE43" s="36" t="n">
        <x:v>29</x:v>
      </x:c>
      <x:c r="AF43" s="36" t="n">
        <x:v>37</x:v>
      </x:c>
    </x:row>
    <x:row r="44" ht="22" customHeight="1">
      <x:c r="A44" s="24" t="str">
        <x:v>article1-unified-v4-2-fb3f101b-20260903-000401-default-f05-p1-jcs321</x:v>
      </x:c>
      <x:c r="B44" s="24" t="str">
        <x:v>default</x:v>
      </x:c>
      <x:c r="C44" s="24" t="str">
        <x:v>jcs321</x:v>
      </x:c>
      <x:c r="D44" s="36" t="n">
        <x:v>5</x:v>
      </x:c>
      <x:c r="E44" s="36" t="n">
        <x:v>5</x:v>
      </x:c>
      <x:c r="F44" s="36" t="n">
        <x:v>1</x:v>
      </x:c>
      <x:c r="G44" s="45" t="b">
        <x:v>1</x:v>
      </x:c>
      <x:c r="H44" s="36" t="n">
        <x:v>5</x:v>
      </x:c>
      <x:c r="I44" s="45" t="b">
        <x:v>1</x:v>
      </x:c>
      <x:c r="J44" s="36" t="n">
        <x:v>5</x:v>
      </x:c>
      <x:c r="K44" s="36" t="n">
        <x:v>5</x:v>
      </x:c>
      <x:c r="L44" s="36" t="n">
        <x:v>10</x:v>
      </x:c>
      <x:c r="M44" s="36" t="n">
        <x:v>5</x:v>
      </x:c>
      <x:c r="N44" s="36" t="n">
        <x:v>5</x:v>
      </x:c>
      <x:c r="O44" s="36" t="n">
        <x:v>10</x:v>
      </x:c>
      <x:c r="P44" s="36" t="n">
        <x:v>110</x:v>
      </x:c>
      <x:c r="Q44" s="45" t="b">
        <x:v>1</x:v>
      </x:c>
      <x:c r="R44" s="36" t="n">
        <x:v>10</x:v>
      </x:c>
      <x:c r="S44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  <x:c r="T44" s="45" t="b">
        <x:v>1</x:v>
      </x:c>
      <x:c r="U44" s="43" t="n">
        <x:v>8484659.2</x:v>
      </x:c>
      <x:c r="V44" s="43" t="n">
        <x:v>49762918.4</x:v>
      </x:c>
      <x:c r="W44" s="46" t="n">
        <x:v>2</x:v>
      </x:c>
      <x:c r="X44" s="46" t="n">
        <x:v>2</x:v>
      </x:c>
      <x:c r="Y44" s="43" t="n">
        <x:v>19838976</x:v>
      </x:c>
      <x:c r="Z44" s="43" t="n">
        <x:v>53766144</x:v>
      </x:c>
      <x:c r="AA44" s="43" t="n">
        <x:v>435896320</x:v>
      </x:c>
      <x:c r="AB44" s="43" t="n">
        <x:v>636059648</x:v>
      </x:c>
      <x:c r="AC44" s="36" t="n">
        <x:v>3</x:v>
      </x:c>
      <x:c r="AD44" s="36" t="n">
        <x:v>11</x:v>
      </x:c>
      <x:c r="AE44" s="36" t="n">
        <x:v>29</x:v>
      </x:c>
      <x:c r="AF44" s="36" t="n">
        <x:v>37</x:v>
      </x:c>
    </x:row>
    <x:row r="45" ht="22" customHeight="1">
      <x:c r="A45" s="24" t="str">
        <x:v>article1-unified-v4-2-fb3f101b-20260903-000401-default-f06-p3-jcs321</x:v>
      </x:c>
      <x:c r="B45" s="24" t="str">
        <x:v>default</x:v>
      </x:c>
      <x:c r="C45" s="24" t="str">
        <x:v>jcs321</x:v>
      </x:c>
      <x:c r="D45" s="36" t="n">
        <x:v>6</x:v>
      </x:c>
      <x:c r="E45" s="36" t="n">
        <x:v>6</x:v>
      </x:c>
      <x:c r="F45" s="36" t="n">
        <x:v>3</x:v>
      </x:c>
      <x:c r="G45" s="45" t="b">
        <x:v>1</x:v>
      </x:c>
      <x:c r="H45" s="36" t="n">
        <x:v>5</x:v>
      </x:c>
      <x:c r="I45" s="45" t="b">
        <x:v>1</x:v>
      </x:c>
      <x:c r="J45" s="36" t="n">
        <x:v>5</x:v>
      </x:c>
      <x:c r="K45" s="36" t="n">
        <x:v>5</x:v>
      </x:c>
      <x:c r="L45" s="36" t="n">
        <x:v>10</x:v>
      </x:c>
      <x:c r="M45" s="36" t="n">
        <x:v>5</x:v>
      </x:c>
      <x:c r="N45" s="36" t="n">
        <x:v>5</x:v>
      </x:c>
      <x:c r="O45" s="36" t="n">
        <x:v>10</x:v>
      </x:c>
      <x:c r="P45" s="36" t="n">
        <x:v>110</x:v>
      </x:c>
      <x:c r="Q45" s="45" t="b">
        <x:v>1</x:v>
      </x:c>
      <x:c r="R45" s="36" t="n">
        <x:v>10</x:v>
      </x:c>
      <x:c r="S45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  <x:c r="T45" s="45" t="b">
        <x:v>1</x:v>
      </x:c>
      <x:c r="U45" s="43" t="n">
        <x:v>8506265.6</x:v>
      </x:c>
      <x:c r="V45" s="43" t="n">
        <x:v>50281062.4</x:v>
      </x:c>
      <x:c r="W45" s="46" t="n">
        <x:v>2</x:v>
      </x:c>
      <x:c r="X45" s="46" t="n">
        <x:v>2</x:v>
      </x:c>
      <x:c r="Y45" s="43" t="n">
        <x:v>19740672</x:v>
      </x:c>
      <x:c r="Z45" s="43" t="n">
        <x:v>53752832</x:v>
      </x:c>
      <x:c r="AA45" s="43" t="n">
        <x:v>435710976</x:v>
      </x:c>
      <x:c r="AB45" s="43" t="n">
        <x:v>636213248</x:v>
      </x:c>
      <x:c r="AC45" s="36" t="n">
        <x:v>3</x:v>
      </x:c>
      <x:c r="AD45" s="36" t="n">
        <x:v>11</x:v>
      </x:c>
      <x:c r="AE45" s="36" t="n">
        <x:v>29</x:v>
      </x:c>
      <x:c r="AF45" s="36" t="n">
        <x:v>37</x:v>
      </x:c>
    </x:row>
    <x:row r="46" ht="22" customHeight="1">
      <x:c r="A46" s="24" t="str">
        <x:v>article1-unified-v4-2-fb3f101b-20260903-000401-default-f01-p3-nostore</x:v>
      </x:c>
      <x:c r="B46" s="24" t="str">
        <x:v>default</x:v>
      </x:c>
      <x:c r="C46" s="24" t="str">
        <x:v>nostore</x:v>
      </x:c>
      <x:c r="D46" s="36" t="n">
        <x:v>1</x:v>
      </x:c>
      <x:c r="E46" s="36" t="n">
        <x:v>1</x:v>
      </x:c>
      <x:c r="F46" s="36" t="n">
        <x:v>3</x:v>
      </x:c>
      <x:c r="G46" s="45" t="b">
        <x:v>1</x:v>
      </x:c>
      <x:c r="H46" s="36" t="n">
        <x:v>5</x:v>
      </x:c>
      <x:c r="I46" s="45" t="b">
        <x:v>1</x:v>
      </x:c>
      <x:c r="J46" s="36" t="n">
        <x:v>5</x:v>
      </x:c>
      <x:c r="K46" s="36" t="n">
        <x:v>5</x:v>
      </x:c>
      <x:c r="L46" s="36" t="n">
        <x:v>10</x:v>
      </x:c>
      <x:c r="M46" s="36" t="n">
        <x:v>0</x:v>
      </x:c>
      <x:c r="N46" s="36" t="n">
        <x:v>0</x:v>
      </x:c>
      <x:c r="O46" s="36" t="n">
        <x:v>0</x:v>
      </x:c>
      <x:c r="P46" s="36" t="n">
        <x:v>0</x:v>
      </x:c>
      <x:c r="Q46" s="45" t="b">
        <x:v>0</x:v>
      </x:c>
      <x:c r="R46" s="36" t="n">
        <x:v>0</x:v>
      </x:c>
      <x:c r="S46" s="59" t="str">
        <x:v>[]</x:v>
      </x:c>
      <x:c r="T46" s="45" t="b">
        <x:v>0</x:v>
      </x:c>
      <x:c r="U46" s="43" t="n">
        <x:v>-2764.8</x:v>
      </x:c>
      <x:c r="V46" s="43" t="n">
        <x:v>2756710.4</x:v>
      </x:c>
      <x:c r="W46" s="46" t="n">
        <x:v>0</x:v>
      </x:c>
      <x:c r="X46" s="46" t="n">
        <x:v>0</x:v>
      </x:c>
      <x:c r="Y46" s="43" t="n">
        <x:v>15370240</x:v>
      </x:c>
      <x:c r="Z46" s="43" t="n">
        <x:v>15384576</x:v>
      </x:c>
      <x:c r="AA46" s="43" t="n">
        <x:v>415788032</x:v>
      </x:c>
      <x:c r="AB46" s="43" t="n">
        <x:v>426703872</x:v>
      </x:c>
      <x:c r="AC46" s="36" t="n">
        <x:v>2</x:v>
      </x:c>
      <x:c r="AD46" s="36" t="n">
        <x:v>2</x:v>
      </x:c>
      <x:c r="AE46" s="36" t="n">
        <x:v>27</x:v>
      </x:c>
      <x:c r="AF46" s="36" t="n">
        <x:v>27</x:v>
      </x:c>
    </x:row>
    <x:row r="47" ht="22" customHeight="1">
      <x:c r="A47" s="24" t="str">
        <x:v>article1-unified-v4-2-fb3f101b-20260903-000401-default-f02-p5-nostore</x:v>
      </x:c>
      <x:c r="B47" s="24" t="str">
        <x:v>default</x:v>
      </x:c>
      <x:c r="C47" s="24" t="str">
        <x:v>nostore</x:v>
      </x:c>
      <x:c r="D47" s="36" t="n">
        <x:v>2</x:v>
      </x:c>
      <x:c r="E47" s="36" t="n">
        <x:v>2</x:v>
      </x:c>
      <x:c r="F47" s="36" t="n">
        <x:v>5</x:v>
      </x:c>
      <x:c r="G47" s="45" t="b">
        <x:v>1</x:v>
      </x:c>
      <x:c r="H47" s="36" t="n">
        <x:v>5</x:v>
      </x:c>
      <x:c r="I47" s="45" t="b">
        <x:v>1</x:v>
      </x:c>
      <x:c r="J47" s="36" t="n">
        <x:v>5</x:v>
      </x:c>
      <x:c r="K47" s="36" t="n">
        <x:v>5</x:v>
      </x:c>
      <x:c r="L47" s="36" t="n">
        <x:v>10</x:v>
      </x:c>
      <x:c r="M47" s="36" t="n">
        <x:v>0</x:v>
      </x:c>
      <x:c r="N47" s="36" t="n">
        <x:v>0</x:v>
      </x:c>
      <x:c r="O47" s="36" t="n">
        <x:v>0</x:v>
      </x:c>
      <x:c r="P47" s="36" t="n">
        <x:v>0</x:v>
      </x:c>
      <x:c r="Q47" s="45" t="b">
        <x:v>0</x:v>
      </x:c>
      <x:c r="R47" s="36" t="n">
        <x:v>0</x:v>
      </x:c>
      <x:c r="S47" s="59" t="str">
        <x:v>[]</x:v>
      </x:c>
      <x:c r="T47" s="45" t="b">
        <x:v>0</x:v>
      </x:c>
      <x:c r="U47" s="43" t="n">
        <x:v>26931.2</x:v>
      </x:c>
      <x:c r="V47" s="43" t="n">
        <x:v>2742169.6</x:v>
      </x:c>
      <x:c r="W47" s="46" t="n">
        <x:v>0</x:v>
      </x:c>
      <x:c r="X47" s="46" t="n">
        <x:v>0</x:v>
      </x:c>
      <x:c r="Y47" s="43" t="n">
        <x:v>15385600</x:v>
      </x:c>
      <x:c r="Z47" s="43" t="n">
        <x:v>15496192</x:v>
      </x:c>
      <x:c r="AA47" s="43" t="n">
        <x:v>415606784</x:v>
      </x:c>
      <x:c r="AB47" s="43" t="n">
        <x:v>426499072</x:v>
      </x:c>
      <x:c r="AC47" s="36" t="n">
        <x:v>2</x:v>
      </x:c>
      <x:c r="AD47" s="36" t="n">
        <x:v>2</x:v>
      </x:c>
      <x:c r="AE47" s="36" t="n">
        <x:v>27</x:v>
      </x:c>
      <x:c r="AF47" s="36" t="n">
        <x:v>27</x:v>
      </x:c>
    </x:row>
    <x:row r="48" ht="22" customHeight="1">
      <x:c r="A48" s="24" t="str">
        <x:v>article1-unified-v4-2-fb3f101b-20260903-000401-default-f03-p6-nostore</x:v>
      </x:c>
      <x:c r="B48" s="24" t="str">
        <x:v>default</x:v>
      </x:c>
      <x:c r="C48" s="24" t="str">
        <x:v>nostore</x:v>
      </x:c>
      <x:c r="D48" s="36" t="n">
        <x:v>3</x:v>
      </x:c>
      <x:c r="E48" s="36" t="n">
        <x:v>3</x:v>
      </x:c>
      <x:c r="F48" s="36" t="n">
        <x:v>6</x:v>
      </x:c>
      <x:c r="G48" s="45" t="b">
        <x:v>1</x:v>
      </x:c>
      <x:c r="H48" s="36" t="n">
        <x:v>5</x:v>
      </x:c>
      <x:c r="I48" s="45" t="b">
        <x:v>1</x:v>
      </x:c>
      <x:c r="J48" s="36" t="n">
        <x:v>5</x:v>
      </x:c>
      <x:c r="K48" s="36" t="n">
        <x:v>5</x:v>
      </x:c>
      <x:c r="L48" s="36" t="n">
        <x:v>10</x:v>
      </x:c>
      <x:c r="M48" s="36" t="n">
        <x:v>0</x:v>
      </x:c>
      <x:c r="N48" s="36" t="n">
        <x:v>0</x:v>
      </x:c>
      <x:c r="O48" s="36" t="n">
        <x:v>0</x:v>
      </x:c>
      <x:c r="P48" s="36" t="n">
        <x:v>0</x:v>
      </x:c>
      <x:c r="Q48" s="45" t="b">
        <x:v>0</x:v>
      </x:c>
      <x:c r="R48" s="36" t="n">
        <x:v>0</x:v>
      </x:c>
      <x:c r="S48" s="59" t="str">
        <x:v>[]</x:v>
      </x:c>
      <x:c r="T48" s="45" t="b">
        <x:v>0</x:v>
      </x:c>
      <x:c r="U48" s="43" t="n">
        <x:v>30310.4</x:v>
      </x:c>
      <x:c r="V48" s="43" t="n">
        <x:v>2817536</x:v>
      </x:c>
      <x:c r="W48" s="46" t="n">
        <x:v>0</x:v>
      </x:c>
      <x:c r="X48" s="46" t="n">
        <x:v>0</x:v>
      </x:c>
      <x:c r="Y48" s="43" t="n">
        <x:v>15353856</x:v>
      </x:c>
      <x:c r="Z48" s="43" t="n">
        <x:v>15480832</x:v>
      </x:c>
      <x:c r="AA48" s="43" t="n">
        <x:v>415418368</x:v>
      </x:c>
      <x:c r="AB48" s="43" t="n">
        <x:v>426430464</x:v>
      </x:c>
      <x:c r="AC48" s="36" t="n">
        <x:v>2</x:v>
      </x:c>
      <x:c r="AD48" s="36" t="n">
        <x:v>2</x:v>
      </x:c>
      <x:c r="AE48" s="36" t="n">
        <x:v>27</x:v>
      </x:c>
      <x:c r="AF48" s="36" t="n">
        <x:v>27</x:v>
      </x:c>
    </x:row>
    <x:row r="49" ht="22" customHeight="1">
      <x:c r="A49" s="24" t="str">
        <x:v>article1-unified-v4-2-fb3f101b-20260903-000401-default-f04-p4-nostore</x:v>
      </x:c>
      <x:c r="B49" s="24" t="str">
        <x:v>default</x:v>
      </x:c>
      <x:c r="C49" s="24" t="str">
        <x:v>nostore</x:v>
      </x:c>
      <x:c r="D49" s="36" t="n">
        <x:v>4</x:v>
      </x:c>
      <x:c r="E49" s="36" t="n">
        <x:v>4</x:v>
      </x:c>
      <x:c r="F49" s="36" t="n">
        <x:v>4</x:v>
      </x:c>
      <x:c r="G49" s="45" t="b">
        <x:v>1</x:v>
      </x:c>
      <x:c r="H49" s="36" t="n">
        <x:v>5</x:v>
      </x:c>
      <x:c r="I49" s="45" t="b">
        <x:v>1</x:v>
      </x:c>
      <x:c r="J49" s="36" t="n">
        <x:v>5</x:v>
      </x:c>
      <x:c r="K49" s="36" t="n">
        <x:v>5</x:v>
      </x:c>
      <x:c r="L49" s="36" t="n">
        <x:v>10</x:v>
      </x:c>
      <x:c r="M49" s="36" t="n">
        <x:v>0</x:v>
      </x:c>
      <x:c r="N49" s="36" t="n">
        <x:v>0</x:v>
      </x:c>
      <x:c r="O49" s="36" t="n">
        <x:v>0</x:v>
      </x:c>
      <x:c r="P49" s="36" t="n">
        <x:v>0</x:v>
      </x:c>
      <x:c r="Q49" s="45" t="b">
        <x:v>0</x:v>
      </x:c>
      <x:c r="R49" s="36" t="n">
        <x:v>0</x:v>
      </x:c>
      <x:c r="S49" s="59" t="str">
        <x:v>[]</x:v>
      </x:c>
      <x:c r="T49" s="45" t="b">
        <x:v>0</x:v>
      </x:c>
      <x:c r="U49" s="43" t="n">
        <x:v>-102.4</x:v>
      </x:c>
      <x:c r="V49" s="43" t="n">
        <x:v>2844262.4</x:v>
      </x:c>
      <x:c r="W49" s="46" t="n">
        <x:v>0</x:v>
      </x:c>
      <x:c r="X49" s="46" t="n">
        <x:v>0</x:v>
      </x:c>
      <x:c r="Y49" s="43" t="n">
        <x:v>15502336</x:v>
      </x:c>
      <x:c r="Z49" s="43" t="n">
        <x:v>15471616</x:v>
      </x:c>
      <x:c r="AA49" s="43" t="n">
        <x:v>416185344</x:v>
      </x:c>
      <x:c r="AB49" s="43" t="n">
        <x:v>427492352</x:v>
      </x:c>
      <x:c r="AC49" s="36" t="n">
        <x:v>2</x:v>
      </x:c>
      <x:c r="AD49" s="36" t="n">
        <x:v>2</x:v>
      </x:c>
      <x:c r="AE49" s="36" t="n">
        <x:v>27</x:v>
      </x:c>
      <x:c r="AF49" s="36" t="n">
        <x:v>27</x:v>
      </x:c>
    </x:row>
    <x:row r="50" ht="22" customHeight="1">
      <x:c r="A50" s="24" t="str">
        <x:v>article1-unified-v4-2-fb3f101b-20260903-000401-default-f05-p2-nostore</x:v>
      </x:c>
      <x:c r="B50" s="24" t="str">
        <x:v>default</x:v>
      </x:c>
      <x:c r="C50" s="24" t="str">
        <x:v>nostore</x:v>
      </x:c>
      <x:c r="D50" s="36" t="n">
        <x:v>5</x:v>
      </x:c>
      <x:c r="E50" s="36" t="n">
        <x:v>5</x:v>
      </x:c>
      <x:c r="F50" s="36" t="n">
        <x:v>2</x:v>
      </x:c>
      <x:c r="G50" s="45" t="b">
        <x:v>1</x:v>
      </x:c>
      <x:c r="H50" s="36" t="n">
        <x:v>5</x:v>
      </x:c>
      <x:c r="I50" s="45" t="b">
        <x:v>1</x:v>
      </x:c>
      <x:c r="J50" s="36" t="n">
        <x:v>5</x:v>
      </x:c>
      <x:c r="K50" s="36" t="n">
        <x:v>5</x:v>
      </x:c>
      <x:c r="L50" s="36" t="n">
        <x:v>10</x:v>
      </x:c>
      <x:c r="M50" s="36" t="n">
        <x:v>0</x:v>
      </x:c>
      <x:c r="N50" s="36" t="n">
        <x:v>0</x:v>
      </x:c>
      <x:c r="O50" s="36" t="n">
        <x:v>0</x:v>
      </x:c>
      <x:c r="P50" s="36" t="n">
        <x:v>0</x:v>
      </x:c>
      <x:c r="Q50" s="45" t="b">
        <x:v>0</x:v>
      </x:c>
      <x:c r="R50" s="36" t="n">
        <x:v>0</x:v>
      </x:c>
      <x:c r="S50" s="59" t="str">
        <x:v>[]</x:v>
      </x:c>
      <x:c r="T50" s="45" t="b">
        <x:v>0</x:v>
      </x:c>
      <x:c r="U50" s="43" t="n">
        <x:v>2048</x:v>
      </x:c>
      <x:c r="V50" s="43" t="n">
        <x:v>2829516.8</x:v>
      </x:c>
      <x:c r="W50" s="46" t="n">
        <x:v>0</x:v>
      </x:c>
      <x:c r="X50" s="46" t="n">
        <x:v>0</x:v>
      </x:c>
      <x:c r="Y50" s="43" t="n">
        <x:v>15566848</x:v>
      </x:c>
      <x:c r="Z50" s="43" t="n">
        <x:v>15472640</x:v>
      </x:c>
      <x:c r="AA50" s="43" t="n">
        <x:v>415979520</x:v>
      </x:c>
      <x:c r="AB50" s="43" t="n">
        <x:v>427206656</x:v>
      </x:c>
      <x:c r="AC50" s="36" t="n">
        <x:v>2</x:v>
      </x:c>
      <x:c r="AD50" s="36" t="n">
        <x:v>2</x:v>
      </x:c>
      <x:c r="AE50" s="36" t="n">
        <x:v>27</x:v>
      </x:c>
      <x:c r="AF50" s="36" t="n">
        <x:v>27</x:v>
      </x:c>
    </x:row>
    <x:row r="51" ht="22" customHeight="1">
      <x:c r="A51" s="24" t="str">
        <x:v>article1-unified-v4-2-fb3f101b-20260903-000401-default-f06-p1-nostore</x:v>
      </x:c>
      <x:c r="B51" s="24" t="str">
        <x:v>default</x:v>
      </x:c>
      <x:c r="C51" s="24" t="str">
        <x:v>nostore</x:v>
      </x:c>
      <x:c r="D51" s="36" t="n">
        <x:v>6</x:v>
      </x:c>
      <x:c r="E51" s="36" t="n">
        <x:v>6</x:v>
      </x:c>
      <x:c r="F51" s="36" t="n">
        <x:v>1</x:v>
      </x:c>
      <x:c r="G51" s="45" t="b">
        <x:v>1</x:v>
      </x:c>
      <x:c r="H51" s="36" t="n">
        <x:v>5</x:v>
      </x:c>
      <x:c r="I51" s="45" t="b">
        <x:v>1</x:v>
      </x:c>
      <x:c r="J51" s="36" t="n">
        <x:v>5</x:v>
      </x:c>
      <x:c r="K51" s="36" t="n">
        <x:v>5</x:v>
      </x:c>
      <x:c r="L51" s="36" t="n">
        <x:v>10</x:v>
      </x:c>
      <x:c r="M51" s="36" t="n">
        <x:v>0</x:v>
      </x:c>
      <x:c r="N51" s="36" t="n">
        <x:v>0</x:v>
      </x:c>
      <x:c r="O51" s="36" t="n">
        <x:v>0</x:v>
      </x:c>
      <x:c r="P51" s="36" t="n">
        <x:v>0</x:v>
      </x:c>
      <x:c r="Q51" s="45" t="b">
        <x:v>0</x:v>
      </x:c>
      <x:c r="R51" s="36" t="n">
        <x:v>0</x:v>
      </x:c>
      <x:c r="S51" s="59" t="str">
        <x:v>[]</x:v>
      </x:c>
      <x:c r="T51" s="45" t="b">
        <x:v>0</x:v>
      </x:c>
      <x:c r="U51" s="43" t="n">
        <x:v>31232</x:v>
      </x:c>
      <x:c r="V51" s="43" t="n">
        <x:v>3038617.6</x:v>
      </x:c>
      <x:c r="W51" s="46" t="n">
        <x:v>0</x:v>
      </x:c>
      <x:c r="X51" s="46" t="n">
        <x:v>0</x:v>
      </x:c>
      <x:c r="Y51" s="43" t="n">
        <x:v>15344640</x:v>
      </x:c>
      <x:c r="Z51" s="43" t="n">
        <x:v>15458304</x:v>
      </x:c>
      <x:c r="AA51" s="43" t="n">
        <x:v>415036416</x:v>
      </x:c>
      <x:c r="AB51" s="43" t="n">
        <x:v>426825728</x:v>
      </x:c>
      <x:c r="AC51" s="36" t="n">
        <x:v>2</x:v>
      </x:c>
      <x:c r="AD51" s="36" t="n">
        <x:v>2</x:v>
      </x:c>
      <x:c r="AE51" s="36" t="n">
        <x:v>27</x:v>
      </x:c>
      <x:c r="AF51" s="36" t="n">
        <x:v>27</x:v>
      </x:c>
    </x:row>
    <x:row r="54" ht="23" customHeight="1">
      <x:c r="A54" s="10" t="str">
        <x:v>Osservazioni di deploy/undeploy per ciclo</x:v>
      </x:c>
      <x:c r="B54" s="10" t="str">
        <x:v>Osservazioni di deploy/undeploy per ciclo</x:v>
      </x:c>
      <x:c r="C54" s="10" t="str">
        <x:v>Osservazioni di deploy/undeploy per ciclo</x:v>
      </x:c>
      <x:c r="D54" s="10" t="str">
        <x:v>Osservazioni di deploy/undeploy per ciclo</x:v>
      </x:c>
      <x:c r="E54" s="10" t="str">
        <x:v>Osservazioni di deploy/undeploy per ciclo</x:v>
      </x:c>
      <x:c r="F54" s="10" t="str">
        <x:v>Osservazioni di deploy/undeploy per ciclo</x:v>
      </x:c>
      <x:c r="G54" s="10" t="str">
        <x:v>Osservazioni di deploy/undeploy per ciclo</x:v>
      </x:c>
      <x:c r="H54" s="10" t="str">
        <x:v>Osservazioni di deploy/undeploy per ciclo</x:v>
      </x:c>
      <x:c r="I54" s="10" t="str">
        <x:v>Osservazioni di deploy/undeploy per ciclo</x:v>
      </x:c>
      <x:c r="J54" s="10" t="str">
        <x:v>Osservazioni di deploy/undeploy per ciclo</x:v>
      </x:c>
      <x:c r="K54" s="10" t="str">
        <x:v>Osservazioni di deploy/undeploy per ciclo</x:v>
      </x:c>
      <x:c r="L54" s="10" t="str">
        <x:v>Osservazioni di deploy/undeploy per ciclo</x:v>
      </x:c>
      <x:c r="M54" s="10" t="str">
        <x:v>Osservazioni di deploy/undeploy per ciclo</x:v>
      </x:c>
      <x:c r="N54" s="10" t="str">
        <x:v>Osservazioni di deploy/undeploy per ciclo</x:v>
      </x:c>
      <x:c r="O54" s="10" t="str">
        <x:v>Osservazioni di deploy/undeploy per ciclo</x:v>
      </x:c>
      <x:c r="P54" s="10" t="str">
        <x:v>Osservazioni di deploy/undeploy per ciclo</x:v>
      </x:c>
      <x:c r="Q54" s="10" t="str">
        <x:v>Osservazioni di deploy/undeploy per ciclo</x:v>
      </x:c>
      <x:c r="R54" s="10" t="str">
        <x:v>Osservazioni di deploy/undeploy per ciclo</x:v>
      </x:c>
      <x:c r="S54" s="10" t="str">
        <x:v>Osservazioni di deploy/undeploy per ciclo</x:v>
      </x:c>
      <x:c r="T54" s="10" t="str">
        <x:v>Osservazioni di deploy/undeploy per ciclo</x:v>
      </x:c>
      <x:c r="U54" s="10" t="str">
        <x:v>Osservazioni di deploy/undeploy per ciclo</x:v>
      </x:c>
      <x:c r="V54" s="10" t="str">
        <x:v>Osservazioni di deploy/undeploy per ciclo</x:v>
      </x:c>
      <x:c r="W54" s="10" t="str">
        <x:v>Osservazioni di deploy/undeploy per ciclo</x:v>
      </x:c>
      <x:c r="X54" s="10" t="str">
        <x:v>Osservazioni di deploy/undeploy per ciclo</x:v>
      </x:c>
      <x:c r="Y54" s="10" t="str">
        <x:v>Osservazioni di deploy/undeploy per ciclo</x:v>
      </x:c>
      <x:c r="Z54" s="10" t="str">
        <x:v>Osservazioni di deploy/undeploy per ciclo</x:v>
      </x:c>
      <x:c r="AA54" s="10" t="str">
        <x:v>Osservazioni di deploy/undeploy per ciclo</x:v>
      </x:c>
      <x:c r="AB54" s="10" t="str">
        <x:v>Osservazioni di deploy/undeploy per ciclo</x:v>
      </x:c>
      <x:c r="AC54" s="10" t="str">
        <x:v>Osservazioni di deploy/undeploy per ciclo</x:v>
      </x:c>
      <x:c r="AD54" s="10" t="str">
        <x:v>Osservazioni di deploy/undeploy per ciclo</x:v>
      </x:c>
      <x:c r="AE54" s="10" t="str">
        <x:v>Osservazioni di deploy/undeploy per ciclo</x:v>
      </x:c>
      <x:c r="AF54" s="10" t="str">
        <x:v>Osservazioni di deploy/undeploy per ciclo</x:v>
      </x:c>
      <x:c r="AG54" s="10" t="str">
        <x:v>Osservazioni di deploy/undeploy per ciclo</x:v>
      </x:c>
      <x:c r="AH54" s="10" t="str">
        <x:v>Osservazioni di deploy/undeploy per ciclo</x:v>
      </x:c>
      <x:c r="AI54" s="10" t="str">
        <x:v>Osservazioni di deploy/undeploy per ciclo</x:v>
      </x:c>
      <x:c r="AJ54" s="10" t="str">
        <x:v>Osservazioni di deploy/undeploy per ciclo</x:v>
      </x:c>
      <x:c r="AK54" s="10" t="str">
        <x:v>Osservazioni di deploy/undeploy per ciclo</x:v>
      </x:c>
    </x:row>
    <x:row r="55" ht="31" customHeight="1">
      <x:c r="A55" s="23" t="str">
        <x:v>processRunId</x:v>
      </x:c>
      <x:c r="B55" s="23" t="str">
        <x:v>scenario</x:v>
      </x:c>
      <x:c r="C55" s="23" t="str">
        <x:v>provider</x:v>
      </x:c>
      <x:c r="D55" s="23" t="str">
        <x:v>fork</x:v>
      </x:c>
      <x:c r="E55" s="23" t="str">
        <x:v>Williams block</x:v>
      </x:c>
      <x:c r="F55" s="23" t="str">
        <x:v>orderPosition</x:v>
      </x:c>
      <x:c r="G55" s="23" t="str">
        <x:v>cycle</x:v>
      </x:c>
      <x:c r="H55" s="23" t="str">
        <x:v>deploy (ms)</x:v>
      </x:c>
      <x:c r="I55" s="23" t="str">
        <x:v>undeploy (ms)</x:v>
      </x:c>
      <x:c r="J55" s="23" t="str">
        <x:v>redeploy (ms)</x:v>
      </x:c>
      <x:c r="K55" s="23" t="str">
        <x:v>second undeploy (ms)</x:v>
      </x:c>
      <x:c r="L55" s="23" t="str">
        <x:v>redeploy ready</x:v>
      </x:c>
      <x:c r="M55" s="23" t="str">
        <x:v>redeploy workload gate</x:v>
      </x:c>
      <x:c r="N55" s="23" t="str">
        <x:v>redeploy passed</x:v>
      </x:c>
      <x:c r="O55" s="23" t="str">
        <x:v>first undeploy: early target (s)</x:v>
      </x:c>
      <x:c r="P55" s="23" t="str">
        <x:v>first undeploy: early start (s)</x:v>
      </x:c>
      <x:c r="Q55" s="23" t="str">
        <x:v>first undeploy: early complete (s)</x:v>
      </x:c>
      <x:c r="R55" s="23" t="str">
        <x:v>first undeploy: final target (s)</x:v>
      </x:c>
      <x:c r="S55" s="23" t="str">
        <x:v>first undeploy: final start (s)</x:v>
      </x:c>
      <x:c r="T55" s="23" t="str">
        <x:v>first undeploy: findleaks complete (s)</x:v>
      </x:c>
      <x:c r="U55" s="23" t="str">
        <x:v>first undeploy: snapshot complete (s)</x:v>
      </x:c>
      <x:c r="V55" s="23" t="str">
        <x:v>final undeploy: early target (s)</x:v>
      </x:c>
      <x:c r="W55" s="23" t="str">
        <x:v>final undeploy: early start (s)</x:v>
      </x:c>
      <x:c r="X55" s="23" t="str">
        <x:v>final undeploy: early complete (s)</x:v>
      </x:c>
      <x:c r="Y55" s="23" t="str">
        <x:v>final undeploy: final target (s)</x:v>
      </x:c>
      <x:c r="Z55" s="23" t="str">
        <x:v>final undeploy: final start (s)</x:v>
      </x:c>
      <x:c r="AA55" s="23" t="str">
        <x:v>final undeploy: findleaks complete (s)</x:v>
      </x:c>
      <x:c r="AB55" s="23" t="str">
        <x:v>final undeploy: snapshot complete (s)</x:v>
      </x:c>
      <x:c r="AC55" s="23" t="str">
        <x:v>loaded-idle heap Δ (bytes)</x:v>
      </x:c>
      <x:c r="AD55" s="23" t="str">
        <x:v>final-baseline heap Δ (bytes)</x:v>
      </x:c>
      <x:c r="AE55" s="23" t="str">
        <x:v>final classloader rows ≤ baseline</x:v>
      </x:c>
      <x:c r="AF55" s="23" t="str">
        <x:v>findleaks checkpoint positive after first</x:v>
      </x:c>
      <x:c r="AG55" s="23" t="str">
        <x:v>findleaks checkpoint positive after final</x:v>
      </x:c>
      <x:c r="AH55" s="23" t="str">
        <x:v>final threads ≤ baseline</x:v>
      </x:c>
      <x:c r="AI55" s="23" t="str">
        <x:v>candidate app thread count</x:v>
      </x:c>
      <x:c r="AJ55" s="23" t="str">
        <x:v>candidate app thread names</x:v>
      </x:c>
      <x:c r="AK55" s="23" t="str">
        <x:v>no candidate-thread signal</x:v>
      </x:c>
    </x:row>
    <x:row r="56" ht="22" customHeight="1">
      <x:c r="A56" s="24" t="str">
        <x:v>article1-unified-v4-2-fb3f101b-20260903-000401-default-f01-p1-caffeine</x:v>
      </x:c>
      <x:c r="B56" s="24" t="str">
        <x:v>default</x:v>
      </x:c>
      <x:c r="C56" s="24" t="str">
        <x:v>caffeine</x:v>
      </x:c>
      <x:c r="D56" s="36" t="n">
        <x:v>1</x:v>
      </x:c>
      <x:c r="E56" s="36" t="n">
        <x:v>1</x:v>
      </x:c>
      <x:c r="F56" s="36" t="n">
        <x:v>1</x:v>
      </x:c>
      <x:c r="G56" s="36" t="n">
        <x:v>1</x:v>
      </x:c>
      <x:c r="H56" s="43" t="n">
        <x:v>7404.692200012505</x:v>
      </x:c>
      <x:c r="I56" s="43" t="n">
        <x:v>4122.310999780893</x:v>
      </x:c>
      <x:c r="J56" s="43" t="n">
        <x:v>6248.833700083196</x:v>
      </x:c>
      <x:c r="K56" s="43" t="n">
        <x:v>4116.837999783456</x:v>
      </x:c>
      <x:c r="L56" s="45" t="b">
        <x:v>1</x:v>
      </x:c>
      <x:c r="M56" s="45" t="b">
        <x:v>1</x:v>
      </x:c>
      <x:c r="N56" s="45" t="b">
        <x:v>1</x:v>
      </x:c>
      <x:c r="O56" s="46" t="n">
        <x:v>2</x:v>
      </x:c>
      <x:c r="P56" s="46" t="n">
        <x:v>2</x:v>
      </x:c>
      <x:c r="Q56" s="46" t="n">
        <x:v>3.1719999997876585</x:v>
      </x:c>
      <x:c r="R56" s="46" t="n">
        <x:v>10</x:v>
      </x:c>
      <x:c r="S56" s="46" t="n">
        <x:v>10</x:v>
      </x:c>
      <x:c r="T56" s="46" t="n">
        <x:v>12.092999999877065</x:v>
      </x:c>
      <x:c r="U56" s="46" t="n">
        <x:v>17.32799999974668</x:v>
      </x:c>
      <x:c r="V56" s="46" t="n">
        <x:v>2</x:v>
      </x:c>
      <x:c r="W56" s="46" t="n">
        <x:v>2</x:v>
      </x:c>
      <x:c r="X56" s="46" t="n">
        <x:v>3.0470000002533197</x:v>
      </x:c>
      <x:c r="Y56" s="46" t="n">
        <x:v>10</x:v>
      </x:c>
      <x:c r="Z56" s="46" t="n">
        <x:v>10</x:v>
      </x:c>
      <x:c r="AA56" s="46" t="n">
        <x:v>12.061999999918044</x:v>
      </x:c>
      <x:c r="AB56" s="46" t="n">
        <x:v>17.07800000021234</x:v>
      </x:c>
      <x:c r="AC56" s="61" t="n">
        <x:v>190040064</x:v>
      </x:c>
      <x:c r="AD56" s="61" t="n">
        <x:v>-13133824</x:v>
      </x:c>
      <x:c r="AE56" s="45" t="b">
        <x:v>0</x:v>
      </x:c>
      <x:c r="AF56" s="45" t="b">
        <x:v>1</x:v>
      </x:c>
      <x:c r="AG56" s="45" t="b">
        <x:v>1</x:v>
      </x:c>
      <x:c r="AH56" s="45" t="b">
        <x:v>0</x:v>
      </x:c>
      <x:c r="AI56" s="36" t="n">
        <x:v>3</x:v>
      </x:c>
      <x:c r="AJ56" s="59" t="str">
        <x:v>ForkJoinPool.commonPool-worker-1#48 | ForkJoinPool.commonPool-worker-2#49 | ForkJoinPool.commonPool-worker-3#58</x:v>
      </x:c>
      <x:c r="AK56" s="45" t="b">
        <x:v>0</x:v>
      </x:c>
    </x:row>
    <x:row r="57" ht="22" customHeight="1">
      <x:c r="A57" s="24" t="str">
        <x:v>article1-unified-v4-2-fb3f101b-20260903-000401-default-f01-p1-caffeine</x:v>
      </x:c>
      <x:c r="B57" s="24" t="str">
        <x:v>default</x:v>
      </x:c>
      <x:c r="C57" s="24" t="str">
        <x:v>caffeine</x:v>
      </x:c>
      <x:c r="D57" s="36" t="n">
        <x:v>1</x:v>
      </x:c>
      <x:c r="E57" s="36" t="n">
        <x:v>1</x:v>
      </x:c>
      <x:c r="F57" s="36" t="n">
        <x:v>1</x:v>
      </x:c>
      <x:c r="G57" s="36" t="n">
        <x:v>2</x:v>
      </x:c>
      <x:c r="H57" s="43" t="n">
        <x:v>6342.524600215256</x:v>
      </x:c>
      <x:c r="I57" s="43" t="n">
        <x:v>4106.989199761301</x:v>
      </x:c>
      <x:c r="J57" s="43" t="n">
        <x:v>6223.590299952775</x:v>
      </x:c>
      <x:c r="K57" s="43" t="n">
        <x:v>4096.373700071126</x:v>
      </x:c>
      <x:c r="L57" s="45" t="b">
        <x:v>1</x:v>
      </x:c>
      <x:c r="M57" s="45" t="b">
        <x:v>1</x:v>
      </x:c>
      <x:c r="N57" s="45" t="b">
        <x:v>1</x:v>
      </x:c>
      <x:c r="O57" s="46" t="n">
        <x:v>2</x:v>
      </x:c>
      <x:c r="P57" s="46" t="n">
        <x:v>2</x:v>
      </x:c>
      <x:c r="Q57" s="46" t="n">
        <x:v>3.219000000040978</x:v>
      </x:c>
      <x:c r="R57" s="46" t="n">
        <x:v>10</x:v>
      </x:c>
      <x:c r="S57" s="46" t="n">
        <x:v>10</x:v>
      </x:c>
      <x:c r="T57" s="46" t="n">
        <x:v>12.155999999959022</x:v>
      </x:c>
      <x:c r="U57" s="46" t="n">
        <x:v>17.109999999869615</x:v>
      </x:c>
      <x:c r="V57" s="46" t="n">
        <x:v>2</x:v>
      </x:c>
      <x:c r="W57" s="46" t="n">
        <x:v>2</x:v>
      </x:c>
      <x:c r="X57" s="46" t="n">
        <x:v>3.3279999997466803</x:v>
      </x:c>
      <x:c r="Y57" s="46" t="n">
        <x:v>10</x:v>
      </x:c>
      <x:c r="Z57" s="46" t="n">
        <x:v>10</x:v>
      </x:c>
      <x:c r="AA57" s="46" t="n">
        <x:v>12.094000000040978</x:v>
      </x:c>
      <x:c r="AB57" s="46" t="n">
        <x:v>17.04699999978766</x:v>
      </x:c>
      <x:c r="AC57" s="61" t="n">
        <x:v>33381376</x:v>
      </x:c>
      <x:c r="AD57" s="61" t="n">
        <x:v>-4004864</x:v>
      </x:c>
      <x:c r="AE57" s="45" t="b">
        <x:v>1</x:v>
      </x:c>
      <x:c r="AF57" s="45" t="b">
        <x:v>1</x:v>
      </x:c>
      <x:c r="AG57" s="45" t="b">
        <x:v>1</x:v>
      </x:c>
      <x:c r="AH57" s="45" t="b">
        <x:v>1</x:v>
      </x:c>
      <x:c r="AI57" s="36" t="n">
        <x:v>0</x:v>
      </x:c>
      <x:c r="AJ57" s="59"/>
      <x:c r="AK57" s="45" t="b">
        <x:v>1</x:v>
      </x:c>
    </x:row>
    <x:row r="58" ht="22" customHeight="1">
      <x:c r="A58" s="24" t="str">
        <x:v>article1-unified-v4-2-fb3f101b-20260903-000401-default-f01-p1-caffeine</x:v>
      </x:c>
      <x:c r="B58" s="24" t="str">
        <x:v>default</x:v>
      </x:c>
      <x:c r="C58" s="24" t="str">
        <x:v>caffeine</x:v>
      </x:c>
      <x:c r="D58" s="36" t="n">
        <x:v>1</x:v>
      </x:c>
      <x:c r="E58" s="36" t="n">
        <x:v>1</x:v>
      </x:c>
      <x:c r="F58" s="36" t="n">
        <x:v>1</x:v>
      </x:c>
      <x:c r="G58" s="36" t="n">
        <x:v>3</x:v>
      </x:c>
      <x:c r="H58" s="43" t="n">
        <x:v>6374.840499833226</x:v>
      </x:c>
      <x:c r="I58" s="43" t="n">
        <x:v>4116.584199946374</x:v>
      </x:c>
      <x:c r="J58" s="43" t="n">
        <x:v>6302.847400307655</x:v>
      </x:c>
      <x:c r="K58" s="43" t="n">
        <x:v>4147.966899909079</x:v>
      </x:c>
      <x:c r="L58" s="45" t="b">
        <x:v>1</x:v>
      </x:c>
      <x:c r="M58" s="45" t="b">
        <x:v>1</x:v>
      </x:c>
      <x:c r="N58" s="45" t="b">
        <x:v>1</x:v>
      </x:c>
      <x:c r="O58" s="46" t="n">
        <x:v>2</x:v>
      </x:c>
      <x:c r="P58" s="46" t="n">
        <x:v>2</x:v>
      </x:c>
      <x:c r="Q58" s="46" t="n">
        <x:v>3.1409999998286366</x:v>
      </x:c>
      <x:c r="R58" s="46" t="n">
        <x:v>10</x:v>
      </x:c>
      <x:c r="S58" s="46" t="n">
        <x:v>10</x:v>
      </x:c>
      <x:c r="T58" s="46" t="n">
        <x:v>12.108999999705702</x:v>
      </x:c>
      <x:c r="U58" s="46" t="n">
        <x:v>16.561999999918044</x:v>
      </x:c>
      <x:c r="V58" s="46" t="n">
        <x:v>2</x:v>
      </x:c>
      <x:c r="W58" s="46" t="n">
        <x:v>2</x:v>
      </x:c>
      <x:c r="X58" s="46" t="n">
        <x:v>3.0619999999180436</x:v>
      </x:c>
      <x:c r="Y58" s="46" t="n">
        <x:v>10</x:v>
      </x:c>
      <x:c r="Z58" s="46" t="n">
        <x:v>10.015000000130385</x:v>
      </x:c>
      <x:c r="AA58" s="46" t="n">
        <x:v>12.109000000171363</x:v>
      </x:c>
      <x:c r="AB58" s="46" t="n">
        <x:v>16.936999999918044</x:v>
      </x:c>
      <x:c r="AC58" s="61" t="n">
        <x:v>34118656</x:v>
      </x:c>
      <x:c r="AD58" s="61" t="n">
        <x:v>38912</x:v>
      </x:c>
      <x:c r="AE58" s="45" t="b">
        <x:v>1</x:v>
      </x:c>
      <x:c r="AF58" s="45" t="b">
        <x:v>1</x:v>
      </x:c>
      <x:c r="AG58" s="45" t="b">
        <x:v>1</x:v>
      </x:c>
      <x:c r="AH58" s="45" t="b">
        <x:v>1</x:v>
      </x:c>
      <x:c r="AI58" s="36" t="n">
        <x:v>0</x:v>
      </x:c>
      <x:c r="AJ58" s="59"/>
      <x:c r="AK58" s="45" t="b">
        <x:v>1</x:v>
      </x:c>
    </x:row>
    <x:row r="59" ht="22" customHeight="1">
      <x:c r="A59" s="24" t="str">
        <x:v>article1-unified-v4-2-fb3f101b-20260903-000401-default-f01-p1-caffeine</x:v>
      </x:c>
      <x:c r="B59" s="24" t="str">
        <x:v>default</x:v>
      </x:c>
      <x:c r="C59" s="24" t="str">
        <x:v>caffeine</x:v>
      </x:c>
      <x:c r="D59" s="36" t="n">
        <x:v>1</x:v>
      </x:c>
      <x:c r="E59" s="36" t="n">
        <x:v>1</x:v>
      </x:c>
      <x:c r="F59" s="36" t="n">
        <x:v>1</x:v>
      </x:c>
      <x:c r="G59" s="36" t="n">
        <x:v>4</x:v>
      </x:c>
      <x:c r="H59" s="43" t="n">
        <x:v>6177.546299993992</x:v>
      </x:c>
      <x:c r="I59" s="43" t="n">
        <x:v>4101.936700288206</x:v>
      </x:c>
      <x:c r="J59" s="43" t="n">
        <x:v>6148.871300276369</x:v>
      </x:c>
      <x:c r="K59" s="43" t="n">
        <x:v>4119.768499862403</x:v>
      </x:c>
      <x:c r="L59" s="45" t="b">
        <x:v>1</x:v>
      </x:c>
      <x:c r="M59" s="45" t="b">
        <x:v>1</x:v>
      </x:c>
      <x:c r="N59" s="45" t="b">
        <x:v>1</x:v>
      </x:c>
      <x:c r="O59" s="46" t="n">
        <x:v>2</x:v>
      </x:c>
      <x:c r="P59" s="46" t="n">
        <x:v>2</x:v>
      </x:c>
      <x:c r="Q59" s="46" t="n">
        <x:v>3.1090000001713634</x:v>
      </x:c>
      <x:c r="R59" s="46" t="n">
        <x:v>10</x:v>
      </x:c>
      <x:c r="S59" s="46" t="n">
        <x:v>10.015000000130385</x:v>
      </x:c>
      <x:c r="T59" s="46" t="n">
        <x:v>12.125</x:v>
      </x:c>
      <x:c r="U59" s="46" t="n">
        <x:v>16.905999999959022</x:v>
      </x:c>
      <x:c r="V59" s="46" t="n">
        <x:v>2</x:v>
      </x:c>
      <x:c r="W59" s="46" t="n">
        <x:v>2</x:v>
      </x:c>
      <x:c r="X59" s="46" t="n">
        <x:v>3.483999999705702</x:v>
      </x:c>
      <x:c r="Y59" s="46" t="n">
        <x:v>10</x:v>
      </x:c>
      <x:c r="Z59" s="46" t="n">
        <x:v>10</x:v>
      </x:c>
      <x:c r="AA59" s="46" t="n">
        <x:v>12.125</x:v>
      </x:c>
      <x:c r="AB59" s="46" t="n">
        <x:v>17.094000000040978</x:v>
      </x:c>
      <x:c r="AC59" s="61" t="n">
        <x:v>40714240</x:v>
      </x:c>
      <x:c r="AD59" s="61" t="n">
        <x:v>20480</x:v>
      </x:c>
      <x:c r="AE59" s="45" t="b">
        <x:v>1</x:v>
      </x:c>
      <x:c r="AF59" s="45" t="b">
        <x:v>1</x:v>
      </x:c>
      <x:c r="AG59" s="45" t="b">
        <x:v>1</x:v>
      </x:c>
      <x:c r="AH59" s="45" t="b">
        <x:v>1</x:v>
      </x:c>
      <x:c r="AI59" s="36" t="n">
        <x:v>0</x:v>
      </x:c>
      <x:c r="AJ59" s="59"/>
      <x:c r="AK59" s="45" t="b">
        <x:v>1</x:v>
      </x:c>
    </x:row>
    <x:row r="60" ht="22" customHeight="1">
      <x:c r="A60" s="24" t="str">
        <x:v>article1-unified-v4-2-fb3f101b-20260903-000401-default-f01-p1-caffeine</x:v>
      </x:c>
      <x:c r="B60" s="24" t="str">
        <x:v>default</x:v>
      </x:c>
      <x:c r="C60" s="24" t="str">
        <x:v>caffeine</x:v>
      </x:c>
      <x:c r="D60" s="36" t="n">
        <x:v>1</x:v>
      </x:c>
      <x:c r="E60" s="36" t="n">
        <x:v>1</x:v>
      </x:c>
      <x:c r="F60" s="36" t="n">
        <x:v>1</x:v>
      </x:c>
      <x:c r="G60" s="36" t="n">
        <x:v>5</x:v>
      </x:c>
      <x:c r="H60" s="43" t="n">
        <x:v>6372.977999970317</x:v>
      </x:c>
      <x:c r="I60" s="43" t="n">
        <x:v>4127.570299897343</x:v>
      </x:c>
      <x:c r="J60" s="43" t="n">
        <x:v>6191.20639981702</x:v>
      </x:c>
      <x:c r="K60" s="43" t="n">
        <x:v>4113.384800031781</x:v>
      </x:c>
      <x:c r="L60" s="45" t="b">
        <x:v>1</x:v>
      </x:c>
      <x:c r="M60" s="45" t="b">
        <x:v>1</x:v>
      </x:c>
      <x:c r="N60" s="45" t="b">
        <x:v>1</x:v>
      </x:c>
      <x:c r="O60" s="46" t="n">
        <x:v>2</x:v>
      </x:c>
      <x:c r="P60" s="46" t="n">
        <x:v>2</x:v>
      </x:c>
      <x:c r="Q60" s="46" t="n">
        <x:v>3.1090000001713634</x:v>
      </x:c>
      <x:c r="R60" s="46" t="n">
        <x:v>10</x:v>
      </x:c>
      <x:c r="S60" s="46" t="n">
        <x:v>10</x:v>
      </x:c>
      <x:c r="T60" s="46" t="n">
        <x:v>12.109000000171363</x:v>
      </x:c>
      <x:c r="U60" s="46" t="n">
        <x:v>17.32800000021234</x:v>
      </x:c>
      <x:c r="V60" s="46" t="n">
        <x:v>2</x:v>
      </x:c>
      <x:c r="W60" s="46" t="n">
        <x:v>2</x:v>
      </x:c>
      <x:c r="X60" s="46" t="n">
        <x:v>2.9840000001713634</x:v>
      </x:c>
      <x:c r="Y60" s="46" t="n">
        <x:v>10</x:v>
      </x:c>
      <x:c r="Z60" s="46" t="n">
        <x:v>10</x:v>
      </x:c>
      <x:c r="AA60" s="46" t="n">
        <x:v>12.109000000171363</x:v>
      </x:c>
      <x:c r="AB60" s="46" t="n">
        <x:v>17.07800000021234</x:v>
      </x:c>
      <x:c r="AC60" s="61" t="n">
        <x:v>37848064</x:v>
      </x:c>
      <x:c r="AD60" s="61" t="n">
        <x:v>10240</x:v>
      </x:c>
      <x:c r="AE60" s="45" t="b">
        <x:v>1</x:v>
      </x:c>
      <x:c r="AF60" s="45" t="b">
        <x:v>1</x:v>
      </x:c>
      <x:c r="AG60" s="45" t="b">
        <x:v>1</x:v>
      </x:c>
      <x:c r="AH60" s="45" t="b">
        <x:v>1</x:v>
      </x:c>
      <x:c r="AI60" s="36" t="n">
        <x:v>0</x:v>
      </x:c>
      <x:c r="AJ60" s="59"/>
      <x:c r="AK60" s="45" t="b">
        <x:v>1</x:v>
      </x:c>
    </x:row>
    <x:row r="61" ht="22" customHeight="1">
      <x:c r="A61" s="24" t="str">
        <x:v>article1-unified-v4-2-fb3f101b-20260903-000401-default-f02-p3-caffeine</x:v>
      </x:c>
      <x:c r="B61" s="24" t="str">
        <x:v>default</x:v>
      </x:c>
      <x:c r="C61" s="24" t="str">
        <x:v>caffeine</x:v>
      </x:c>
      <x:c r="D61" s="36" t="n">
        <x:v>2</x:v>
      </x:c>
      <x:c r="E61" s="36" t="n">
        <x:v>2</x:v>
      </x:c>
      <x:c r="F61" s="36" t="n">
        <x:v>3</x:v>
      </x:c>
      <x:c r="G61" s="36" t="n">
        <x:v>1</x:v>
      </x:c>
      <x:c r="H61" s="43" t="n">
        <x:v>7170.5972999334335</x:v>
      </x:c>
      <x:c r="I61" s="43" t="n">
        <x:v>4137.418800033629</x:v>
      </x:c>
      <x:c r="J61" s="43" t="n">
        <x:v>6461.289600003511</x:v>
      </x:c>
      <x:c r="K61" s="43" t="n">
        <x:v>4096.009899862111</x:v>
      </x:c>
      <x:c r="L61" s="45" t="b">
        <x:v>1</x:v>
      </x:c>
      <x:c r="M61" s="45" t="b">
        <x:v>1</x:v>
      </x:c>
      <x:c r="N61" s="45" t="b">
        <x:v>1</x:v>
      </x:c>
      <x:c r="O61" s="46" t="n">
        <x:v>2</x:v>
      </x:c>
      <x:c r="P61" s="46" t="n">
        <x:v>2.015000000130385</x:v>
      </x:c>
      <x:c r="Q61" s="46" t="n">
        <x:v>3.375</x:v>
      </x:c>
      <x:c r="R61" s="46" t="n">
        <x:v>10</x:v>
      </x:c>
      <x:c r="S61" s="46" t="n">
        <x:v>10.015000000130385</x:v>
      </x:c>
      <x:c r="T61" s="46" t="n">
        <x:v>12.094000000040978</x:v>
      </x:c>
      <x:c r="U61" s="46" t="n">
        <x:v>17.344000000040978</x:v>
      </x:c>
      <x:c r="V61" s="46" t="n">
        <x:v>2</x:v>
      </x:c>
      <x:c r="W61" s="46" t="n">
        <x:v>2</x:v>
      </x:c>
      <x:c r="X61" s="46" t="n">
        <x:v>3.375</x:v>
      </x:c>
      <x:c r="Y61" s="46" t="n">
        <x:v>10</x:v>
      </x:c>
      <x:c r="Z61" s="46" t="n">
        <x:v>10.016000000294298</x:v>
      </x:c>
      <x:c r="AA61" s="46" t="n">
        <x:v>12.094000000040978</x:v>
      </x:c>
      <x:c r="AB61" s="46" t="n">
        <x:v>17.360000000335276</x:v>
      </x:c>
      <x:c r="AC61" s="61" t="n">
        <x:v>192932864</x:v>
      </x:c>
      <x:c r="AD61" s="61" t="n">
        <x:v>-12976128</x:v>
      </x:c>
      <x:c r="AE61" s="45" t="b">
        <x:v>0</x:v>
      </x:c>
      <x:c r="AF61" s="45" t="b">
        <x:v>1</x:v>
      </x:c>
      <x:c r="AG61" s="45" t="b">
        <x:v>1</x:v>
      </x:c>
      <x:c r="AH61" s="45" t="b">
        <x:v>0</x:v>
      </x:c>
      <x:c r="AI61" s="36" t="n">
        <x:v>3</x:v>
      </x:c>
      <x:c r="AJ61" s="59" t="str">
        <x:v>ForkJoinPool.commonPool-worker-1#48 | ForkJoinPool.commonPool-worker-2#49 | ForkJoinPool.commonPool-worker-3#50</x:v>
      </x:c>
      <x:c r="AK61" s="45" t="b">
        <x:v>0</x:v>
      </x:c>
    </x:row>
    <x:row r="62" ht="22" customHeight="1">
      <x:c r="A62" s="24" t="str">
        <x:v>article1-unified-v4-2-fb3f101b-20260903-000401-default-f02-p3-caffeine</x:v>
      </x:c>
      <x:c r="B62" s="24" t="str">
        <x:v>default</x:v>
      </x:c>
      <x:c r="C62" s="24" t="str">
        <x:v>caffeine</x:v>
      </x:c>
      <x:c r="D62" s="36" t="n">
        <x:v>2</x:v>
      </x:c>
      <x:c r="E62" s="36" t="n">
        <x:v>2</x:v>
      </x:c>
      <x:c r="F62" s="36" t="n">
        <x:v>3</x:v>
      </x:c>
      <x:c r="G62" s="36" t="n">
        <x:v>2</x:v>
      </x:c>
      <x:c r="H62" s="43" t="n">
        <x:v>6287.428699899465</x:v>
      </x:c>
      <x:c r="I62" s="43" t="n">
        <x:v>4137.118300423026</x:v>
      </x:c>
      <x:c r="J62" s="43" t="n">
        <x:v>6089.596000034362</x:v>
      </x:c>
      <x:c r="K62" s="43" t="n">
        <x:v>4125.800600275397</x:v>
      </x:c>
      <x:c r="L62" s="45" t="b">
        <x:v>1</x:v>
      </x:c>
      <x:c r="M62" s="45" t="b">
        <x:v>1</x:v>
      </x:c>
      <x:c r="N62" s="45" t="b">
        <x:v>1</x:v>
      </x:c>
      <x:c r="O62" s="46" t="n">
        <x:v>2</x:v>
      </x:c>
      <x:c r="P62" s="46" t="n">
        <x:v>2.016000000294298</x:v>
      </x:c>
      <x:c r="Q62" s="46" t="n">
        <x:v>3.110000000335276</x:v>
      </x:c>
      <x:c r="R62" s="46" t="n">
        <x:v>10</x:v>
      </x:c>
      <x:c r="S62" s="46" t="n">
        <x:v>10</x:v>
      </x:c>
      <x:c r="T62" s="46" t="n">
        <x:v>12.094000000040978</x:v>
      </x:c>
      <x:c r="U62" s="46" t="n">
        <x:v>17.485000000335276</x:v>
      </x:c>
      <x:c r="V62" s="46" t="n">
        <x:v>2</x:v>
      </x:c>
      <x:c r="W62" s="46" t="n">
        <x:v>2</x:v>
      </x:c>
      <x:c r="X62" s="46" t="n">
        <x:v>3.0929999998770654</x:v>
      </x:c>
      <x:c r="Y62" s="46" t="n">
        <x:v>10</x:v>
      </x:c>
      <x:c r="Z62" s="46" t="n">
        <x:v>10</x:v>
      </x:c>
      <x:c r="AA62" s="46" t="n">
        <x:v>12.108999999705702</x:v>
      </x:c>
      <x:c r="AB62" s="46" t="n">
        <x:v>17.655999999959022</x:v>
      </x:c>
      <x:c r="AC62" s="61" t="n">
        <x:v>28729344</x:v>
      </x:c>
      <x:c r="AD62" s="61" t="n">
        <x:v>-4021248</x:v>
      </x:c>
      <x:c r="AE62" s="45" t="b">
        <x:v>1</x:v>
      </x:c>
      <x:c r="AF62" s="45" t="b">
        <x:v>1</x:v>
      </x:c>
      <x:c r="AG62" s="45" t="b">
        <x:v>1</x:v>
      </x:c>
      <x:c r="AH62" s="45" t="b">
        <x:v>1</x:v>
      </x:c>
      <x:c r="AI62" s="36" t="n">
        <x:v>0</x:v>
      </x:c>
      <x:c r="AJ62" s="59"/>
      <x:c r="AK62" s="45" t="b">
        <x:v>1</x:v>
      </x:c>
    </x:row>
    <x:row r="63" ht="22" customHeight="1">
      <x:c r="A63" s="24" t="str">
        <x:v>article1-unified-v4-2-fb3f101b-20260903-000401-default-f02-p3-caffeine</x:v>
      </x:c>
      <x:c r="B63" s="24" t="str">
        <x:v>default</x:v>
      </x:c>
      <x:c r="C63" s="24" t="str">
        <x:v>caffeine</x:v>
      </x:c>
      <x:c r="D63" s="36" t="n">
        <x:v>2</x:v>
      </x:c>
      <x:c r="E63" s="36" t="n">
        <x:v>2</x:v>
      </x:c>
      <x:c r="F63" s="36" t="n">
        <x:v>3</x:v>
      </x:c>
      <x:c r="G63" s="36" t="n">
        <x:v>3</x:v>
      </x:c>
      <x:c r="H63" s="43" t="n">
        <x:v>6020.768499933183</x:v>
      </x:c>
      <x:c r="I63" s="43" t="n">
        <x:v>4132.304599974304</x:v>
      </x:c>
      <x:c r="J63" s="43" t="n">
        <x:v>5904.276799876243</x:v>
      </x:c>
      <x:c r="K63" s="43" t="n">
        <x:v>4096.349400002509</x:v>
      </x:c>
      <x:c r="L63" s="45" t="b">
        <x:v>1</x:v>
      </x:c>
      <x:c r="M63" s="45" t="b">
        <x:v>1</x:v>
      </x:c>
      <x:c r="N63" s="45" t="b">
        <x:v>1</x:v>
      </x:c>
      <x:c r="O63" s="46" t="n">
        <x:v>2</x:v>
      </x:c>
      <x:c r="P63" s="46" t="n">
        <x:v>2</x:v>
      </x:c>
      <x:c r="Q63" s="46" t="n">
        <x:v>3.030999999959022</x:v>
      </x:c>
      <x:c r="R63" s="46" t="n">
        <x:v>10</x:v>
      </x:c>
      <x:c r="S63" s="46" t="n">
        <x:v>10</x:v>
      </x:c>
      <x:c r="T63" s="46" t="n">
        <x:v>12.094000000040978</x:v>
      </x:c>
      <x:c r="U63" s="46" t="n">
        <x:v>17.359000000171363</x:v>
      </x:c>
      <x:c r="V63" s="46" t="n">
        <x:v>2</x:v>
      </x:c>
      <x:c r="W63" s="46" t="n">
        <x:v>2</x:v>
      </x:c>
      <x:c r="X63" s="46" t="n">
        <x:v>3.0320000001229346</x:v>
      </x:c>
      <x:c r="Y63" s="46" t="n">
        <x:v>10</x:v>
      </x:c>
      <x:c r="Z63" s="46" t="n">
        <x:v>10</x:v>
      </x:c>
      <x:c r="AA63" s="46" t="n">
        <x:v>12.094000000040978</x:v>
      </x:c>
      <x:c r="AB63" s="46" t="n">
        <x:v>17.234999999869615</x:v>
      </x:c>
      <x:c r="AC63" s="61" t="n">
        <x:v>41717760</x:v>
      </x:c>
      <x:c r="AD63" s="61" t="n">
        <x:v>-17408</x:v>
      </x:c>
      <x:c r="AE63" s="45" t="b">
        <x:v>1</x:v>
      </x:c>
      <x:c r="AF63" s="45" t="b">
        <x:v>1</x:v>
      </x:c>
      <x:c r="AG63" s="45" t="b">
        <x:v>1</x:v>
      </x:c>
      <x:c r="AH63" s="45" t="b">
        <x:v>1</x:v>
      </x:c>
      <x:c r="AI63" s="36" t="n">
        <x:v>0</x:v>
      </x:c>
      <x:c r="AJ63" s="59"/>
      <x:c r="AK63" s="45" t="b">
        <x:v>1</x:v>
      </x:c>
    </x:row>
    <x:row r="64" ht="22" customHeight="1">
      <x:c r="A64" s="24" t="str">
        <x:v>article1-unified-v4-2-fb3f101b-20260903-000401-default-f02-p3-caffeine</x:v>
      </x:c>
      <x:c r="B64" s="24" t="str">
        <x:v>default</x:v>
      </x:c>
      <x:c r="C64" s="24" t="str">
        <x:v>caffeine</x:v>
      </x:c>
      <x:c r="D64" s="36" t="n">
        <x:v>2</x:v>
      </x:c>
      <x:c r="E64" s="36" t="n">
        <x:v>2</x:v>
      </x:c>
      <x:c r="F64" s="36" t="n">
        <x:v>3</x:v>
      </x:c>
      <x:c r="G64" s="36" t="n">
        <x:v>4</x:v>
      </x:c>
      <x:c r="H64" s="43" t="n">
        <x:v>6023.441299796104</x:v>
      </x:c>
      <x:c r="I64" s="43" t="n">
        <x:v>4107.926400378346</x:v>
      </x:c>
      <x:c r="J64" s="43" t="n">
        <x:v>6049.936200026423</x:v>
      </x:c>
      <x:c r="K64" s="43" t="n">
        <x:v>4126.40850013122</x:v>
      </x:c>
      <x:c r="L64" s="45" t="b">
        <x:v>1</x:v>
      </x:c>
      <x:c r="M64" s="45" t="b">
        <x:v>1</x:v>
      </x:c>
      <x:c r="N64" s="45" t="b">
        <x:v>1</x:v>
      </x:c>
      <x:c r="O64" s="46" t="n">
        <x:v>2</x:v>
      </x:c>
      <x:c r="P64" s="46" t="n">
        <x:v>2</x:v>
      </x:c>
      <x:c r="Q64" s="46" t="n">
        <x:v>3.3279999997466803</x:v>
      </x:c>
      <x:c r="R64" s="46" t="n">
        <x:v>10</x:v>
      </x:c>
      <x:c r="S64" s="46" t="n">
        <x:v>10.015999999828637</x:v>
      </x:c>
      <x:c r="T64" s="46" t="n">
        <x:v>12.108999999705702</x:v>
      </x:c>
      <x:c r="U64" s="46" t="n">
        <x:v>16.608999999705702</x:v>
      </x:c>
      <x:c r="V64" s="46" t="n">
        <x:v>2</x:v>
      </x:c>
      <x:c r="W64" s="46" t="n">
        <x:v>2</x:v>
      </x:c>
      <x:c r="X64" s="46" t="n">
        <x:v>3.1869999999180436</x:v>
      </x:c>
      <x:c r="Y64" s="46" t="n">
        <x:v>10</x:v>
      </x:c>
      <x:c r="Z64" s="46" t="n">
        <x:v>10</x:v>
      </x:c>
      <x:c r="AA64" s="46" t="n">
        <x:v>12.092999999877065</x:v>
      </x:c>
      <x:c r="AB64" s="46" t="n">
        <x:v>16.655999999959022</x:v>
      </x:c>
      <x:c r="AC64" s="61" t="n">
        <x:v>42555392</x:v>
      </x:c>
      <x:c r="AD64" s="61" t="n">
        <x:v>23552</x:v>
      </x:c>
      <x:c r="AE64" s="45" t="b">
        <x:v>1</x:v>
      </x:c>
      <x:c r="AF64" s="45" t="b">
        <x:v>1</x:v>
      </x:c>
      <x:c r="AG64" s="45" t="b">
        <x:v>1</x:v>
      </x:c>
      <x:c r="AH64" s="45" t="b">
        <x:v>1</x:v>
      </x:c>
      <x:c r="AI64" s="36" t="n">
        <x:v>0</x:v>
      </x:c>
      <x:c r="AJ64" s="59"/>
      <x:c r="AK64" s="45" t="b">
        <x:v>1</x:v>
      </x:c>
    </x:row>
    <x:row r="65" ht="22" customHeight="1">
      <x:c r="A65" s="24" t="str">
        <x:v>article1-unified-v4-2-fb3f101b-20260903-000401-default-f02-p3-caffeine</x:v>
      </x:c>
      <x:c r="B65" s="24" t="str">
        <x:v>default</x:v>
      </x:c>
      <x:c r="C65" s="24" t="str">
        <x:v>caffeine</x:v>
      </x:c>
      <x:c r="D65" s="36" t="n">
        <x:v>2</x:v>
      </x:c>
      <x:c r="E65" s="36" t="n">
        <x:v>2</x:v>
      </x:c>
      <x:c r="F65" s="36" t="n">
        <x:v>3</x:v>
      </x:c>
      <x:c r="G65" s="36" t="n">
        <x:v>5</x:v>
      </x:c>
      <x:c r="H65" s="43" t="n">
        <x:v>6071.142999920994</x:v>
      </x:c>
      <x:c r="I65" s="43" t="n">
        <x:v>4102.4480001069605</x:v>
      </x:c>
      <x:c r="J65" s="43" t="n">
        <x:v>5940.55990036577</x:v>
      </x:c>
      <x:c r="K65" s="43" t="n">
        <x:v>4117.395299952477</x:v>
      </x:c>
      <x:c r="L65" s="45" t="b">
        <x:v>1</x:v>
      </x:c>
      <x:c r="M65" s="45" t="b">
        <x:v>1</x:v>
      </x:c>
      <x:c r="N65" s="45" t="b">
        <x:v>1</x:v>
      </x:c>
      <x:c r="O65" s="46" t="n">
        <x:v>2</x:v>
      </x:c>
      <x:c r="P65" s="46" t="n">
        <x:v>2.015000000130385</x:v>
      </x:c>
      <x:c r="Q65" s="46" t="n">
        <x:v>3.015000000130385</x:v>
      </x:c>
      <x:c r="R65" s="46" t="n">
        <x:v>10</x:v>
      </x:c>
      <x:c r="S65" s="46" t="n">
        <x:v>10</x:v>
      </x:c>
      <x:c r="T65" s="46" t="n">
        <x:v>12.109000000171363</x:v>
      </x:c>
      <x:c r="U65" s="46" t="n">
        <x:v>17.015000000130385</x:v>
      </x:c>
      <x:c r="V65" s="46" t="n">
        <x:v>2</x:v>
      </x:c>
      <x:c r="W65" s="46" t="n">
        <x:v>2</x:v>
      </x:c>
      <x:c r="X65" s="46" t="n">
        <x:v>3.3130000000819564</x:v>
      </x:c>
      <x:c r="Y65" s="46" t="n">
        <x:v>10</x:v>
      </x:c>
      <x:c r="Z65" s="46" t="n">
        <x:v>10.016000000294298</x:v>
      </x:c>
      <x:c r="AA65" s="46" t="n">
        <x:v>12.125</x:v>
      </x:c>
      <x:c r="AB65" s="46" t="n">
        <x:v>17.07800000021234</x:v>
      </x:c>
      <x:c r="AC65" s="61" t="n">
        <x:v>35639296</x:v>
      </x:c>
      <x:c r="AD65" s="61" t="n">
        <x:v>28672</x:v>
      </x:c>
      <x:c r="AE65" s="45" t="b">
        <x:v>1</x:v>
      </x:c>
      <x:c r="AF65" s="45" t="b">
        <x:v>1</x:v>
      </x:c>
      <x:c r="AG65" s="45" t="b">
        <x:v>1</x:v>
      </x:c>
      <x:c r="AH65" s="45" t="b">
        <x:v>1</x:v>
      </x:c>
      <x:c r="AI65" s="36" t="n">
        <x:v>0</x:v>
      </x:c>
      <x:c r="AJ65" s="59"/>
      <x:c r="AK65" s="45" t="b">
        <x:v>1</x:v>
      </x:c>
    </x:row>
    <x:row r="66" ht="22" customHeight="1">
      <x:c r="A66" s="24" t="str">
        <x:v>article1-unified-v4-2-fb3f101b-20260903-000401-default-f03-p5-caffeine</x:v>
      </x:c>
      <x:c r="B66" s="24" t="str">
        <x:v>default</x:v>
      </x:c>
      <x:c r="C66" s="24" t="str">
        <x:v>caffeine</x:v>
      </x:c>
      <x:c r="D66" s="36" t="n">
        <x:v>3</x:v>
      </x:c>
      <x:c r="E66" s="36" t="n">
        <x:v>3</x:v>
      </x:c>
      <x:c r="F66" s="36" t="n">
        <x:v>5</x:v>
      </x:c>
      <x:c r="G66" s="36" t="n">
        <x:v>1</x:v>
      </x:c>
      <x:c r="H66" s="43" t="n">
        <x:v>6951.557599939406</x:v>
      </x:c>
      <x:c r="I66" s="43" t="n">
        <x:v>4104.132700245827</x:v>
      </x:c>
      <x:c r="J66" s="43" t="n">
        <x:v>6369.62560005486</x:v>
      </x:c>
      <x:c r="K66" s="43" t="n">
        <x:v>4114.895700011402</x:v>
      </x:c>
      <x:c r="L66" s="45" t="b">
        <x:v>1</x:v>
      </x:c>
      <x:c r="M66" s="45" t="b">
        <x:v>1</x:v>
      </x:c>
      <x:c r="N66" s="45" t="b">
        <x:v>1</x:v>
      </x:c>
      <x:c r="O66" s="46" t="n">
        <x:v>2</x:v>
      </x:c>
      <x:c r="P66" s="46" t="n">
        <x:v>2</x:v>
      </x:c>
      <x:c r="Q66" s="46" t="n">
        <x:v>3.0159999998286366</x:v>
      </x:c>
      <x:c r="R66" s="46" t="n">
        <x:v>10</x:v>
      </x:c>
      <x:c r="S66" s="46" t="n">
        <x:v>10</x:v>
      </x:c>
      <x:c r="T66" s="46" t="n">
        <x:v>12.094000000040978</x:v>
      </x:c>
      <x:c r="U66" s="46" t="n">
        <x:v>16.657000000122935</x:v>
      </x:c>
      <x:c r="V66" s="46" t="n">
        <x:v>2</x:v>
      </x:c>
      <x:c r="W66" s="46" t="n">
        <x:v>2</x:v>
      </x:c>
      <x:c r="X66" s="46" t="n">
        <x:v>2.875</x:v>
      </x:c>
      <x:c r="Y66" s="46" t="n">
        <x:v>10</x:v>
      </x:c>
      <x:c r="Z66" s="46" t="n">
        <x:v>10</x:v>
      </x:c>
      <x:c r="AA66" s="46" t="n">
        <x:v>12.109000000171363</x:v>
      </x:c>
      <x:c r="AB66" s="46" t="n">
        <x:v>16.75</x:v>
      </x:c>
      <x:c r="AC66" s="61" t="n">
        <x:v>195432448</x:v>
      </x:c>
      <x:c r="AD66" s="61" t="n">
        <x:v>-17802240</x:v>
      </x:c>
      <x:c r="AE66" s="45" t="b">
        <x:v>0</x:v>
      </x:c>
      <x:c r="AF66" s="45" t="b">
        <x:v>1</x:v>
      </x:c>
      <x:c r="AG66" s="45" t="b">
        <x:v>1</x:v>
      </x:c>
      <x:c r="AH66" s="45" t="b">
        <x:v>0</x:v>
      </x:c>
      <x:c r="AI66" s="36" t="n">
        <x:v>3</x:v>
      </x:c>
      <x:c r="AJ66" s="59" t="str">
        <x:v>ForkJoinPool.commonPool-worker-1#48 | ForkJoinPool.commonPool-worker-2#49 | ForkJoinPool.commonPool-worker-3#50</x:v>
      </x:c>
      <x:c r="AK66" s="45" t="b">
        <x:v>0</x:v>
      </x:c>
    </x:row>
    <x:row r="67" ht="22" customHeight="1">
      <x:c r="A67" s="24" t="str">
        <x:v>article1-unified-v4-2-fb3f101b-20260903-000401-default-f03-p5-caffeine</x:v>
      </x:c>
      <x:c r="B67" s="24" t="str">
        <x:v>default</x:v>
      </x:c>
      <x:c r="C67" s="24" t="str">
        <x:v>caffeine</x:v>
      </x:c>
      <x:c r="D67" s="36" t="n">
        <x:v>3</x:v>
      </x:c>
      <x:c r="E67" s="36" t="n">
        <x:v>3</x:v>
      </x:c>
      <x:c r="F67" s="36" t="n">
        <x:v>5</x:v>
      </x:c>
      <x:c r="G67" s="36" t="n">
        <x:v>2</x:v>
      </x:c>
      <x:c r="H67" s="43" t="n">
        <x:v>6189.671500120312</x:v>
      </x:c>
      <x:c r="I67" s="43" t="n">
        <x:v>4115.134499967098</x:v>
      </x:c>
      <x:c r="J67" s="43" t="n">
        <x:v>6043.34030020982</x:v>
      </x:c>
      <x:c r="K67" s="43" t="n">
        <x:v>4139.737099874765</x:v>
      </x:c>
      <x:c r="L67" s="45" t="b">
        <x:v>1</x:v>
      </x:c>
      <x:c r="M67" s="45" t="b">
        <x:v>1</x:v>
      </x:c>
      <x:c r="N67" s="45" t="b">
        <x:v>1</x:v>
      </x:c>
      <x:c r="O67" s="46" t="n">
        <x:v>2</x:v>
      </x:c>
      <x:c r="P67" s="46" t="n">
        <x:v>2</x:v>
      </x:c>
      <x:c r="Q67" s="46" t="n">
        <x:v>3.203999999910593</x:v>
      </x:c>
      <x:c r="R67" s="46" t="n">
        <x:v>10</x:v>
      </x:c>
      <x:c r="S67" s="46" t="n">
        <x:v>10</x:v>
      </x:c>
      <x:c r="T67" s="46" t="n">
        <x:v>12.094000000040978</x:v>
      </x:c>
      <x:c r="U67" s="46" t="n">
        <x:v>16.859999999869615</x:v>
      </x:c>
      <x:c r="V67" s="46" t="n">
        <x:v>2</x:v>
      </x:c>
      <x:c r="W67" s="46" t="n">
        <x:v>2</x:v>
      </x:c>
      <x:c r="X67" s="46" t="n">
        <x:v>3.203999999910593</x:v>
      </x:c>
      <x:c r="Y67" s="46" t="n">
        <x:v>10</x:v>
      </x:c>
      <x:c r="Z67" s="46" t="n">
        <x:v>10</x:v>
      </x:c>
      <x:c r="AA67" s="46" t="n">
        <x:v>12.094000000040978</x:v>
      </x:c>
      <x:c r="AB67" s="46" t="n">
        <x:v>16.813000000081956</x:v>
      </x:c>
      <x:c r="AC67" s="61" t="n">
        <x:v>33048576</x:v>
      </x:c>
      <x:c r="AD67" s="61" t="n">
        <x:v>-11264</x:v>
      </x:c>
      <x:c r="AE67" s="45" t="b">
        <x:v>1</x:v>
      </x:c>
      <x:c r="AF67" s="45" t="b">
        <x:v>1</x:v>
      </x:c>
      <x:c r="AG67" s="45" t="b">
        <x:v>1</x:v>
      </x:c>
      <x:c r="AH67" s="45" t="b">
        <x:v>1</x:v>
      </x:c>
      <x:c r="AI67" s="36" t="n">
        <x:v>0</x:v>
      </x:c>
      <x:c r="AJ67" s="59"/>
      <x:c r="AK67" s="45" t="b">
        <x:v>1</x:v>
      </x:c>
    </x:row>
    <x:row r="68" ht="22" customHeight="1">
      <x:c r="A68" s="24" t="str">
        <x:v>article1-unified-v4-2-fb3f101b-20260903-000401-default-f03-p5-caffeine</x:v>
      </x:c>
      <x:c r="B68" s="24" t="str">
        <x:v>default</x:v>
      </x:c>
      <x:c r="C68" s="24" t="str">
        <x:v>caffeine</x:v>
      </x:c>
      <x:c r="D68" s="36" t="n">
        <x:v>3</x:v>
      </x:c>
      <x:c r="E68" s="36" t="n">
        <x:v>3</x:v>
      </x:c>
      <x:c r="F68" s="36" t="n">
        <x:v>5</x:v>
      </x:c>
      <x:c r="G68" s="36" t="n">
        <x:v>3</x:v>
      </x:c>
      <x:c r="H68" s="43" t="n">
        <x:v>6042.436799965799</x:v>
      </x:c>
      <x:c r="I68" s="43" t="n">
        <x:v>4125.631100032479</x:v>
      </x:c>
      <x:c r="J68" s="43" t="n">
        <x:v>6287.494599819183</x:v>
      </x:c>
      <x:c r="K68" s="43" t="n">
        <x:v>4125.29020011425</x:v>
      </x:c>
      <x:c r="L68" s="45" t="b">
        <x:v>1</x:v>
      </x:c>
      <x:c r="M68" s="45" t="b">
        <x:v>1</x:v>
      </x:c>
      <x:c r="N68" s="45" t="b">
        <x:v>1</x:v>
      </x:c>
      <x:c r="O68" s="46" t="n">
        <x:v>2</x:v>
      </x:c>
      <x:c r="P68" s="46" t="n">
        <x:v>2.015000000130385</x:v>
      </x:c>
      <x:c r="Q68" s="46" t="n">
        <x:v>3</x:v>
      </x:c>
      <x:c r="R68" s="46" t="n">
        <x:v>10</x:v>
      </x:c>
      <x:c r="S68" s="46" t="n">
        <x:v>10</x:v>
      </x:c>
      <x:c r="T68" s="46" t="n">
        <x:v>12.078000000212342</x:v>
      </x:c>
      <x:c r="U68" s="46" t="n">
        <x:v>16.734000000171363</x:v>
      </x:c>
      <x:c r="V68" s="46" t="n">
        <x:v>2</x:v>
      </x:c>
      <x:c r="W68" s="46" t="n">
        <x:v>2</x:v>
      </x:c>
      <x:c r="X68" s="46" t="n">
        <x:v>3.110000000335276</x:v>
      </x:c>
      <x:c r="Y68" s="46" t="n">
        <x:v>10</x:v>
      </x:c>
      <x:c r="Z68" s="46" t="n">
        <x:v>10</x:v>
      </x:c>
      <x:c r="AA68" s="46" t="n">
        <x:v>12.110000000335276</x:v>
      </x:c>
      <x:c r="AB68" s="46" t="n">
        <x:v>16.875</x:v>
      </x:c>
      <x:c r="AC68" s="61" t="n">
        <x:v>40370176</x:v>
      </x:c>
      <x:c r="AD68" s="61" t="n">
        <x:v>32768</x:v>
      </x:c>
      <x:c r="AE68" s="45" t="b">
        <x:v>1</x:v>
      </x:c>
      <x:c r="AF68" s="45" t="b">
        <x:v>1</x:v>
      </x:c>
      <x:c r="AG68" s="45" t="b">
        <x:v>1</x:v>
      </x:c>
      <x:c r="AH68" s="45" t="b">
        <x:v>1</x:v>
      </x:c>
      <x:c r="AI68" s="36" t="n">
        <x:v>0</x:v>
      </x:c>
      <x:c r="AJ68" s="59"/>
      <x:c r="AK68" s="45" t="b">
        <x:v>1</x:v>
      </x:c>
    </x:row>
    <x:row r="69" ht="22" customHeight="1">
      <x:c r="A69" s="24" t="str">
        <x:v>article1-unified-v4-2-fb3f101b-20260903-000401-default-f03-p5-caffeine</x:v>
      </x:c>
      <x:c r="B69" s="24" t="str">
        <x:v>default</x:v>
      </x:c>
      <x:c r="C69" s="24" t="str">
        <x:v>caffeine</x:v>
      </x:c>
      <x:c r="D69" s="36" t="n">
        <x:v>3</x:v>
      </x:c>
      <x:c r="E69" s="36" t="n">
        <x:v>3</x:v>
      </x:c>
      <x:c r="F69" s="36" t="n">
        <x:v>5</x:v>
      </x:c>
      <x:c r="G69" s="36" t="n">
        <x:v>4</x:v>
      </x:c>
      <x:c r="H69" s="43" t="n">
        <x:v>5991.405899636447</x:v>
      </x:c>
      <x:c r="I69" s="43" t="n">
        <x:v>4109.407399781048</x:v>
      </x:c>
      <x:c r="J69" s="43" t="n">
        <x:v>6047.241899650544</x:v>
      </x:c>
      <x:c r="K69" s="43" t="n">
        <x:v>4119.418099988252</x:v>
      </x:c>
      <x:c r="L69" s="45" t="b">
        <x:v>1</x:v>
      </x:c>
      <x:c r="M69" s="45" t="b">
        <x:v>1</x:v>
      </x:c>
      <x:c r="N69" s="45" t="b">
        <x:v>1</x:v>
      </x:c>
      <x:c r="O69" s="46" t="n">
        <x:v>2</x:v>
      </x:c>
      <x:c r="P69" s="46" t="n">
        <x:v>2</x:v>
      </x:c>
      <x:c r="Q69" s="46" t="n">
        <x:v>3.3909999998286366</x:v>
      </x:c>
      <x:c r="R69" s="46" t="n">
        <x:v>10</x:v>
      </x:c>
      <x:c r="S69" s="46" t="n">
        <x:v>10</x:v>
      </x:c>
      <x:c r="T69" s="46" t="n">
        <x:v>12.094000000040978</x:v>
      </x:c>
      <x:c r="U69" s="46" t="n">
        <x:v>16.983999999705702</x:v>
      </x:c>
      <x:c r="V69" s="46" t="n">
        <x:v>2</x:v>
      </x:c>
      <x:c r="W69" s="46" t="n">
        <x:v>2</x:v>
      </x:c>
      <x:c r="X69" s="46" t="n">
        <x:v>2.985000000335276</x:v>
      </x:c>
      <x:c r="Y69" s="46" t="n">
        <x:v>10</x:v>
      </x:c>
      <x:c r="Z69" s="46" t="n">
        <x:v>10</x:v>
      </x:c>
      <x:c r="AA69" s="46" t="n">
        <x:v>12.110000000335276</x:v>
      </x:c>
      <x:c r="AB69" s="46" t="n">
        <x:v>16.438000000081956</x:v>
      </x:c>
      <x:c r="AC69" s="61" t="n">
        <x:v>35862528</x:v>
      </x:c>
      <x:c r="AD69" s="61" t="n">
        <x:v>18432</x:v>
      </x:c>
      <x:c r="AE69" s="45" t="b">
        <x:v>1</x:v>
      </x:c>
      <x:c r="AF69" s="45" t="b">
        <x:v>1</x:v>
      </x:c>
      <x:c r="AG69" s="45" t="b">
        <x:v>1</x:v>
      </x:c>
      <x:c r="AH69" s="45" t="b">
        <x:v>1</x:v>
      </x:c>
      <x:c r="AI69" s="36" t="n">
        <x:v>0</x:v>
      </x:c>
      <x:c r="AJ69" s="59"/>
      <x:c r="AK69" s="45" t="b">
        <x:v>1</x:v>
      </x:c>
    </x:row>
    <x:row r="70" ht="22" customHeight="1">
      <x:c r="A70" s="24" t="str">
        <x:v>article1-unified-v4-2-fb3f101b-20260903-000401-default-f03-p5-caffeine</x:v>
      </x:c>
      <x:c r="B70" s="24" t="str">
        <x:v>default</x:v>
      </x:c>
      <x:c r="C70" s="24" t="str">
        <x:v>caffeine</x:v>
      </x:c>
      <x:c r="D70" s="36" t="n">
        <x:v>3</x:v>
      </x:c>
      <x:c r="E70" s="36" t="n">
        <x:v>3</x:v>
      </x:c>
      <x:c r="F70" s="36" t="n">
        <x:v>5</x:v>
      </x:c>
      <x:c r="G70" s="36" t="n">
        <x:v>5</x:v>
      </x:c>
      <x:c r="H70" s="43" t="n">
        <x:v>5904.780299868435</x:v>
      </x:c>
      <x:c r="I70" s="43" t="n">
        <x:v>4140.576499979943</x:v>
      </x:c>
      <x:c r="J70" s="43" t="n">
        <x:v>6122.610399965197</x:v>
      </x:c>
      <x:c r="K70" s="43" t="n">
        <x:v>4120.389000046998</x:v>
      </x:c>
      <x:c r="L70" s="45" t="b">
        <x:v>1</x:v>
      </x:c>
      <x:c r="M70" s="45" t="b">
        <x:v>1</x:v>
      </x:c>
      <x:c r="N70" s="45" t="b">
        <x:v>1</x:v>
      </x:c>
      <x:c r="O70" s="46" t="n">
        <x:v>2</x:v>
      </x:c>
      <x:c r="P70" s="46" t="n">
        <x:v>2</x:v>
      </x:c>
      <x:c r="Q70" s="46" t="n">
        <x:v>2.905999999959022</x:v>
      </x:c>
      <x:c r="R70" s="46" t="n">
        <x:v>10</x:v>
      </x:c>
      <x:c r="S70" s="46" t="n">
        <x:v>10</x:v>
      </x:c>
      <x:c r="T70" s="46" t="n">
        <x:v>12.094000000040978</x:v>
      </x:c>
      <x:c r="U70" s="46" t="n">
        <x:v>16.686999999918044</x:v>
      </x:c>
      <x:c r="V70" s="46" t="n">
        <x:v>2</x:v>
      </x:c>
      <x:c r="W70" s="46" t="n">
        <x:v>2</x:v>
      </x:c>
      <x:c r="X70" s="46" t="n">
        <x:v>3.2659999998286366</x:v>
      </x:c>
      <x:c r="Y70" s="46" t="n">
        <x:v>10</x:v>
      </x:c>
      <x:c r="Z70" s="46" t="n">
        <x:v>10</x:v>
      </x:c>
      <x:c r="AA70" s="46" t="n">
        <x:v>12.094000000040978</x:v>
      </x:c>
      <x:c r="AB70" s="46" t="n">
        <x:v>16.67199999978766</x:v>
      </x:c>
      <x:c r="AC70" s="61" t="n">
        <x:v>0</x:v>
      </x:c>
      <x:c r="AD70" s="61" t="n">
        <x:v>38912</x:v>
      </x:c>
      <x:c r="AE70" s="45" t="b">
        <x:v>1</x:v>
      </x:c>
      <x:c r="AF70" s="45" t="b">
        <x:v>1</x:v>
      </x:c>
      <x:c r="AG70" s="45" t="b">
        <x:v>1</x:v>
      </x:c>
      <x:c r="AH70" s="45" t="b">
        <x:v>1</x:v>
      </x:c>
      <x:c r="AI70" s="36" t="n">
        <x:v>0</x:v>
      </x:c>
      <x:c r="AJ70" s="59"/>
      <x:c r="AK70" s="45" t="b">
        <x:v>1</x:v>
      </x:c>
    </x:row>
    <x:row r="71" ht="22" customHeight="1">
      <x:c r="A71" s="24" t="str">
        <x:v>article1-unified-v4-2-fb3f101b-20260903-000401-default-f04-p6-caffeine</x:v>
      </x:c>
      <x:c r="B71" s="24" t="str">
        <x:v>default</x:v>
      </x:c>
      <x:c r="C71" s="24" t="str">
        <x:v>caffeine</x:v>
      </x:c>
      <x:c r="D71" s="36" t="n">
        <x:v>4</x:v>
      </x:c>
      <x:c r="E71" s="36" t="n">
        <x:v>4</x:v>
      </x:c>
      <x:c r="F71" s="36" t="n">
        <x:v>6</x:v>
      </x:c>
      <x:c r="G71" s="36" t="n">
        <x:v>1</x:v>
      </x:c>
      <x:c r="H71" s="43" t="n">
        <x:v>6971.187199931592</x:v>
      </x:c>
      <x:c r="I71" s="43" t="n">
        <x:v>4129.878799896687</x:v>
      </x:c>
      <x:c r="J71" s="43" t="n">
        <x:v>6258.760700002313</x:v>
      </x:c>
      <x:c r="K71" s="43" t="n">
        <x:v>4115.600700024515</x:v>
      </x:c>
      <x:c r="L71" s="45" t="b">
        <x:v>1</x:v>
      </x:c>
      <x:c r="M71" s="45" t="b">
        <x:v>1</x:v>
      </x:c>
      <x:c r="N71" s="45" t="b">
        <x:v>1</x:v>
      </x:c>
      <x:c r="O71" s="46" t="n">
        <x:v>2</x:v>
      </x:c>
      <x:c r="P71" s="46" t="n">
        <x:v>2</x:v>
      </x:c>
      <x:c r="Q71" s="46" t="n">
        <x:v>3.0630000000819564</x:v>
      </x:c>
      <x:c r="R71" s="46" t="n">
        <x:v>10</x:v>
      </x:c>
      <x:c r="S71" s="46" t="n">
        <x:v>10</x:v>
      </x:c>
      <x:c r="T71" s="46" t="n">
        <x:v>12.07799999974668</x:v>
      </x:c>
      <x:c r="U71" s="46" t="n">
        <x:v>16.905999999959022</x:v>
      </x:c>
      <x:c r="V71" s="46" t="n">
        <x:v>2</x:v>
      </x:c>
      <x:c r="W71" s="46" t="n">
        <x:v>2</x:v>
      </x:c>
      <x:c r="X71" s="46" t="n">
        <x:v>3.358999999705702</x:v>
      </x:c>
      <x:c r="Y71" s="46" t="n">
        <x:v>10</x:v>
      </x:c>
      <x:c r="Z71" s="46" t="n">
        <x:v>10.014999999664724</x:v>
      </x:c>
      <x:c r="AA71" s="46" t="n">
        <x:v>12.092999999877065</x:v>
      </x:c>
      <x:c r="AB71" s="46" t="n">
        <x:v>16.967999999877065</x:v>
      </x:c>
      <x:c r="AC71" s="61" t="n">
        <x:v>194050048</x:v>
      </x:c>
      <x:c r="AD71" s="61" t="n">
        <x:v>-13635584</x:v>
      </x:c>
      <x:c r="AE71" s="45" t="b">
        <x:v>0</x:v>
      </x:c>
      <x:c r="AF71" s="45" t="b">
        <x:v>1</x:v>
      </x:c>
      <x:c r="AG71" s="45" t="b">
        <x:v>1</x:v>
      </x:c>
      <x:c r="AH71" s="45" t="b">
        <x:v>0</x:v>
      </x:c>
      <x:c r="AI71" s="36" t="n">
        <x:v>3</x:v>
      </x:c>
      <x:c r="AJ71" s="59" t="str">
        <x:v>ForkJoinPool.commonPool-worker-1#48 | ForkJoinPool.commonPool-worker-2#49 | ForkJoinPool.commonPool-worker-3#50</x:v>
      </x:c>
      <x:c r="AK71" s="45" t="b">
        <x:v>0</x:v>
      </x:c>
    </x:row>
    <x:row r="72" ht="22" customHeight="1">
      <x:c r="A72" s="24" t="str">
        <x:v>article1-unified-v4-2-fb3f101b-20260903-000401-default-f04-p6-caffeine</x:v>
      </x:c>
      <x:c r="B72" s="24" t="str">
        <x:v>default</x:v>
      </x:c>
      <x:c r="C72" s="24" t="str">
        <x:v>caffeine</x:v>
      </x:c>
      <x:c r="D72" s="36" t="n">
        <x:v>4</x:v>
      </x:c>
      <x:c r="E72" s="36" t="n">
        <x:v>4</x:v>
      </x:c>
      <x:c r="F72" s="36" t="n">
        <x:v>6</x:v>
      </x:c>
      <x:c r="G72" s="36" t="n">
        <x:v>2</x:v>
      </x:c>
      <x:c r="H72" s="43" t="n">
        <x:v>6190.713599789888</x:v>
      </x:c>
      <x:c r="I72" s="43" t="n">
        <x:v>4128.315899986774</x:v>
      </x:c>
      <x:c r="J72" s="43" t="n">
        <x:v>6079.496300313622</x:v>
      </x:c>
      <x:c r="K72" s="43" t="n">
        <x:v>4111.032600048929</x:v>
      </x:c>
      <x:c r="L72" s="45" t="b">
        <x:v>1</x:v>
      </x:c>
      <x:c r="M72" s="45" t="b">
        <x:v>1</x:v>
      </x:c>
      <x:c r="N72" s="45" t="b">
        <x:v>1</x:v>
      </x:c>
      <x:c r="O72" s="46" t="n">
        <x:v>2</x:v>
      </x:c>
      <x:c r="P72" s="46" t="n">
        <x:v>2</x:v>
      </x:c>
      <x:c r="Q72" s="46" t="n">
        <x:v>3.4219999997876585</x:v>
      </x:c>
      <x:c r="R72" s="46" t="n">
        <x:v>10</x:v>
      </x:c>
      <x:c r="S72" s="46" t="n">
        <x:v>10</x:v>
      </x:c>
      <x:c r="T72" s="46" t="n">
        <x:v>12.171999999787658</x:v>
      </x:c>
      <x:c r="U72" s="46" t="n">
        <x:v>16.67199999978766</x:v>
      </x:c>
      <x:c r="V72" s="46" t="n">
        <x:v>2</x:v>
      </x:c>
      <x:c r="W72" s="46" t="n">
        <x:v>2</x:v>
      </x:c>
      <x:c r="X72" s="46" t="n">
        <x:v>3.2340000001713634</x:v>
      </x:c>
      <x:c r="Y72" s="46" t="n">
        <x:v>10</x:v>
      </x:c>
      <x:c r="Z72" s="46" t="n">
        <x:v>10</x:v>
      </x:c>
      <x:c r="AA72" s="46" t="n">
        <x:v>12.078000000212342</x:v>
      </x:c>
      <x:c r="AB72" s="46" t="n">
        <x:v>16.765000000130385</x:v>
      </x:c>
      <x:c r="AC72" s="61" t="n">
        <x:v>0</x:v>
      </x:c>
      <x:c r="AD72" s="61" t="n">
        <x:v>-4040704</x:v>
      </x:c>
      <x:c r="AE72" s="45" t="b">
        <x:v>1</x:v>
      </x:c>
      <x:c r="AF72" s="45" t="b">
        <x:v>1</x:v>
      </x:c>
      <x:c r="AG72" s="45" t="b">
        <x:v>1</x:v>
      </x:c>
      <x:c r="AH72" s="45" t="b">
        <x:v>1</x:v>
      </x:c>
      <x:c r="AI72" s="36" t="n">
        <x:v>0</x:v>
      </x:c>
      <x:c r="AJ72" s="59"/>
      <x:c r="AK72" s="45" t="b">
        <x:v>1</x:v>
      </x:c>
    </x:row>
    <x:row r="73" ht="22" customHeight="1">
      <x:c r="A73" s="24" t="str">
        <x:v>article1-unified-v4-2-fb3f101b-20260903-000401-default-f04-p6-caffeine</x:v>
      </x:c>
      <x:c r="B73" s="24" t="str">
        <x:v>default</x:v>
      </x:c>
      <x:c r="C73" s="24" t="str">
        <x:v>caffeine</x:v>
      </x:c>
      <x:c r="D73" s="36" t="n">
        <x:v>4</x:v>
      </x:c>
      <x:c r="E73" s="36" t="n">
        <x:v>4</x:v>
      </x:c>
      <x:c r="F73" s="36" t="n">
        <x:v>6</x:v>
      </x:c>
      <x:c r="G73" s="36" t="n">
        <x:v>3</x:v>
      </x:c>
      <x:c r="H73" s="43" t="n">
        <x:v>6065.418099984527</x:v>
      </x:c>
      <x:c r="I73" s="43" t="n">
        <x:v>4124.646800104529</x:v>
      </x:c>
      <x:c r="J73" s="43" t="n">
        <x:v>5932.784100063145</x:v>
      </x:c>
      <x:c r="K73" s="43" t="n">
        <x:v>4124.8576999641955</x:v>
      </x:c>
      <x:c r="L73" s="45" t="b">
        <x:v>1</x:v>
      </x:c>
      <x:c r="M73" s="45" t="b">
        <x:v>1</x:v>
      </x:c>
      <x:c r="N73" s="45" t="b">
        <x:v>1</x:v>
      </x:c>
      <x:c r="O73" s="46" t="n">
        <x:v>2</x:v>
      </x:c>
      <x:c r="P73" s="46" t="n">
        <x:v>2</x:v>
      </x:c>
      <x:c r="Q73" s="46" t="n">
        <x:v>3.155999999959022</x:v>
      </x:c>
      <x:c r="R73" s="46" t="n">
        <x:v>10</x:v>
      </x:c>
      <x:c r="S73" s="46" t="n">
        <x:v>10</x:v>
      </x:c>
      <x:c r="T73" s="46" t="n">
        <x:v>12.094000000040978</x:v>
      </x:c>
      <x:c r="U73" s="46" t="n">
        <x:v>17.186999999918044</x:v>
      </x:c>
      <x:c r="V73" s="46" t="n">
        <x:v>2</x:v>
      </x:c>
      <x:c r="W73" s="46" t="n">
        <x:v>2</x:v>
      </x:c>
      <x:c r="X73" s="46" t="n">
        <x:v>3.0929999998770654</x:v>
      </x:c>
      <x:c r="Y73" s="46" t="n">
        <x:v>10</x:v>
      </x:c>
      <x:c r="Z73" s="46" t="n">
        <x:v>10</x:v>
      </x:c>
      <x:c r="AA73" s="46" t="n">
        <x:v>12.109000000171363</x:v>
      </x:c>
      <x:c r="AB73" s="46" t="n">
        <x:v>17.155999999959022</x:v>
      </x:c>
      <x:c r="AC73" s="61" t="n">
        <x:v>34634752</x:v>
      </x:c>
      <x:c r="AD73" s="61" t="n">
        <x:v>27648</x:v>
      </x:c>
      <x:c r="AE73" s="45" t="b">
        <x:v>1</x:v>
      </x:c>
      <x:c r="AF73" s="45" t="b">
        <x:v>1</x:v>
      </x:c>
      <x:c r="AG73" s="45" t="b">
        <x:v>1</x:v>
      </x:c>
      <x:c r="AH73" s="45" t="b">
        <x:v>1</x:v>
      </x:c>
      <x:c r="AI73" s="36" t="n">
        <x:v>0</x:v>
      </x:c>
      <x:c r="AJ73" s="59"/>
      <x:c r="AK73" s="45" t="b">
        <x:v>1</x:v>
      </x:c>
    </x:row>
    <x:row r="74" ht="22" customHeight="1">
      <x:c r="A74" s="24" t="str">
        <x:v>article1-unified-v4-2-fb3f101b-20260903-000401-default-f04-p6-caffeine</x:v>
      </x:c>
      <x:c r="B74" s="24" t="str">
        <x:v>default</x:v>
      </x:c>
      <x:c r="C74" s="24" t="str">
        <x:v>caffeine</x:v>
      </x:c>
      <x:c r="D74" s="36" t="n">
        <x:v>4</x:v>
      </x:c>
      <x:c r="E74" s="36" t="n">
        <x:v>4</x:v>
      </x:c>
      <x:c r="F74" s="36" t="n">
        <x:v>6</x:v>
      </x:c>
      <x:c r="G74" s="36" t="n">
        <x:v>4</x:v>
      </x:c>
      <x:c r="H74" s="43" t="n">
        <x:v>6127.9951999895275</x:v>
      </x:c>
      <x:c r="I74" s="43" t="n">
        <x:v>4106.2500001862645</x:v>
      </x:c>
      <x:c r="J74" s="43" t="n">
        <x:v>6006.119600031525</x:v>
      </x:c>
      <x:c r="K74" s="43" t="n">
        <x:v>4148.447100073099</x:v>
      </x:c>
      <x:c r="L74" s="45" t="b">
        <x:v>1</x:v>
      </x:c>
      <x:c r="M74" s="45" t="b">
        <x:v>1</x:v>
      </x:c>
      <x:c r="N74" s="45" t="b">
        <x:v>1</x:v>
      </x:c>
      <x:c r="O74" s="46" t="n">
        <x:v>2</x:v>
      </x:c>
      <x:c r="P74" s="46" t="n">
        <x:v>2</x:v>
      </x:c>
      <x:c r="Q74" s="46" t="n">
        <x:v>3.0619999999180436</x:v>
      </x:c>
      <x:c r="R74" s="46" t="n">
        <x:v>10</x:v>
      </x:c>
      <x:c r="S74" s="46" t="n">
        <x:v>10</x:v>
      </x:c>
      <x:c r="T74" s="46" t="n">
        <x:v>12.092999999877065</x:v>
      </x:c>
      <x:c r="U74" s="46" t="n">
        <x:v>17.109000000171363</x:v>
      </x:c>
      <x:c r="V74" s="46" t="n">
        <x:v>2</x:v>
      </x:c>
      <x:c r="W74" s="46" t="n">
        <x:v>2</x:v>
      </x:c>
      <x:c r="X74" s="46" t="n">
        <x:v>3.014999999664724</x:v>
      </x:c>
      <x:c r="Y74" s="46" t="n">
        <x:v>10</x:v>
      </x:c>
      <x:c r="Z74" s="46" t="n">
        <x:v>10</x:v>
      </x:c>
      <x:c r="AA74" s="46" t="n">
        <x:v>12.07799999974668</x:v>
      </x:c>
      <x:c r="AB74" s="46" t="n">
        <x:v>17.04699999978766</x:v>
      </x:c>
      <x:c r="AC74" s="61" t="n">
        <x:v>38365184</x:v>
      </x:c>
      <x:c r="AD74" s="61" t="n">
        <x:v>19456</x:v>
      </x:c>
      <x:c r="AE74" s="45" t="b">
        <x:v>1</x:v>
      </x:c>
      <x:c r="AF74" s="45" t="b">
        <x:v>1</x:v>
      </x:c>
      <x:c r="AG74" s="45" t="b">
        <x:v>1</x:v>
      </x:c>
      <x:c r="AH74" s="45" t="b">
        <x:v>1</x:v>
      </x:c>
      <x:c r="AI74" s="36" t="n">
        <x:v>0</x:v>
      </x:c>
      <x:c r="AJ74" s="59"/>
      <x:c r="AK74" s="45" t="b">
        <x:v>1</x:v>
      </x:c>
    </x:row>
    <x:row r="75" ht="22" customHeight="1">
      <x:c r="A75" s="24" t="str">
        <x:v>article1-unified-v4-2-fb3f101b-20260903-000401-default-f04-p6-caffeine</x:v>
      </x:c>
      <x:c r="B75" s="24" t="str">
        <x:v>default</x:v>
      </x:c>
      <x:c r="C75" s="24" t="str">
        <x:v>caffeine</x:v>
      </x:c>
      <x:c r="D75" s="36" t="n">
        <x:v>4</x:v>
      </x:c>
      <x:c r="E75" s="36" t="n">
        <x:v>4</x:v>
      </x:c>
      <x:c r="F75" s="36" t="n">
        <x:v>6</x:v>
      </x:c>
      <x:c r="G75" s="36" t="n">
        <x:v>5</x:v>
      </x:c>
      <x:c r="H75" s="43" t="n">
        <x:v>6118.831799831241</x:v>
      </x:c>
      <x:c r="I75" s="43" t="n">
        <x:v>4119.889899622649</x:v>
      </x:c>
      <x:c r="J75" s="43" t="n">
        <x:v>5971.678399946541</x:v>
      </x:c>
      <x:c r="K75" s="43" t="n">
        <x:v>4110.510299913585</x:v>
      </x:c>
      <x:c r="L75" s="45" t="b">
        <x:v>1</x:v>
      </x:c>
      <x:c r="M75" s="45" t="b">
        <x:v>1</x:v>
      </x:c>
      <x:c r="N75" s="45" t="b">
        <x:v>1</x:v>
      </x:c>
      <x:c r="O75" s="46" t="n">
        <x:v>2</x:v>
      </x:c>
      <x:c r="P75" s="46" t="n">
        <x:v>2</x:v>
      </x:c>
      <x:c r="Q75" s="46" t="n">
        <x:v>3.0469999997876585</x:v>
      </x:c>
      <x:c r="R75" s="46" t="n">
        <x:v>10</x:v>
      </x:c>
      <x:c r="S75" s="46" t="n">
        <x:v>10</x:v>
      </x:c>
      <x:c r="T75" s="46" t="n">
        <x:v>12.109999999869615</x:v>
      </x:c>
      <x:c r="U75" s="46" t="n">
        <x:v>16.938000000081956</x:v>
      </x:c>
      <x:c r="V75" s="46" t="n">
        <x:v>2</x:v>
      </x:c>
      <x:c r="W75" s="46" t="n">
        <x:v>2</x:v>
      </x:c>
      <x:c r="X75" s="46" t="n">
        <x:v>3.2029999997466803</x:v>
      </x:c>
      <x:c r="Y75" s="46" t="n">
        <x:v>10</x:v>
      </x:c>
      <x:c r="Z75" s="46" t="n">
        <x:v>10</x:v>
      </x:c>
      <x:c r="AA75" s="46" t="n">
        <x:v>12.094000000040978</x:v>
      </x:c>
      <x:c r="AB75" s="46" t="n">
        <x:v>17.125</x:v>
      </x:c>
      <x:c r="AC75" s="61" t="n">
        <x:v>44839936</x:v>
      </x:c>
      <x:c r="AD75" s="61" t="n">
        <x:v>34816</x:v>
      </x:c>
      <x:c r="AE75" s="45" t="b">
        <x:v>1</x:v>
      </x:c>
      <x:c r="AF75" s="45" t="b">
        <x:v>1</x:v>
      </x:c>
      <x:c r="AG75" s="45" t="b">
        <x:v>1</x:v>
      </x:c>
      <x:c r="AH75" s="45" t="b">
        <x:v>1</x:v>
      </x:c>
      <x:c r="AI75" s="36" t="n">
        <x:v>0</x:v>
      </x:c>
      <x:c r="AJ75" s="59"/>
      <x:c r="AK75" s="45" t="b">
        <x:v>1</x:v>
      </x:c>
    </x:row>
    <x:row r="76" ht="22" customHeight="1">
      <x:c r="A76" s="24" t="str">
        <x:v>article1-unified-v4-2-fb3f101b-20260903-000401-default-f05-p4-caffeine</x:v>
      </x:c>
      <x:c r="B76" s="24" t="str">
        <x:v>default</x:v>
      </x:c>
      <x:c r="C76" s="24" t="str">
        <x:v>caffeine</x:v>
      </x:c>
      <x:c r="D76" s="36" t="n">
        <x:v>5</x:v>
      </x:c>
      <x:c r="E76" s="36" t="n">
        <x:v>5</x:v>
      </x:c>
      <x:c r="F76" s="36" t="n">
        <x:v>4</x:v>
      </x:c>
      <x:c r="G76" s="36" t="n">
        <x:v>1</x:v>
      </x:c>
      <x:c r="H76" s="43" t="n">
        <x:v>7001.727600116283</x:v>
      </x:c>
      <x:c r="I76" s="43" t="n">
        <x:v>4133.377599995583</x:v>
      </x:c>
      <x:c r="J76" s="43" t="n">
        <x:v>6380.221600178629</x:v>
      </x:c>
      <x:c r="K76" s="43" t="n">
        <x:v>4117.910500150174</x:v>
      </x:c>
      <x:c r="L76" s="45" t="b">
        <x:v>1</x:v>
      </x:c>
      <x:c r="M76" s="45" t="b">
        <x:v>1</x:v>
      </x:c>
      <x:c r="N76" s="45" t="b">
        <x:v>1</x:v>
      </x:c>
      <x:c r="O76" s="46" t="n">
        <x:v>2</x:v>
      </x:c>
      <x:c r="P76" s="46" t="n">
        <x:v>2</x:v>
      </x:c>
      <x:c r="Q76" s="46" t="n">
        <x:v>3.2659999998286366</x:v>
      </x:c>
      <x:c r="R76" s="46" t="n">
        <x:v>10</x:v>
      </x:c>
      <x:c r="S76" s="46" t="n">
        <x:v>10</x:v>
      </x:c>
      <x:c r="T76" s="46" t="n">
        <x:v>12.061999999918044</x:v>
      </x:c>
      <x:c r="U76" s="46" t="n">
        <x:v>16.436999999918044</x:v>
      </x:c>
      <x:c r="V76" s="46" t="n">
        <x:v>2</x:v>
      </x:c>
      <x:c r="W76" s="46" t="n">
        <x:v>2</x:v>
      </x:c>
      <x:c r="X76" s="46" t="n">
        <x:v>3.155999999959022</x:v>
      </x:c>
      <x:c r="Y76" s="46" t="n">
        <x:v>10</x:v>
      </x:c>
      <x:c r="Z76" s="46" t="n">
        <x:v>10.014999999664724</x:v>
      </x:c>
      <x:c r="AA76" s="46" t="n">
        <x:v>12.092999999877065</x:v>
      </x:c>
      <x:c r="AB76" s="46" t="n">
        <x:v>16.483999999705702</x:v>
      </x:c>
      <x:c r="AC76" s="61" t="n">
        <x:v>192912384</x:v>
      </x:c>
      <x:c r="AD76" s="61" t="n">
        <x:v>-13522944</x:v>
      </x:c>
      <x:c r="AE76" s="45" t="b">
        <x:v>0</x:v>
      </x:c>
      <x:c r="AF76" s="45" t="b">
        <x:v>1</x:v>
      </x:c>
      <x:c r="AG76" s="45" t="b">
        <x:v>1</x:v>
      </x:c>
      <x:c r="AH76" s="45" t="b">
        <x:v>0</x:v>
      </x:c>
      <x:c r="AI76" s="36" t="n">
        <x:v>3</x:v>
      </x:c>
      <x:c r="AJ76" s="59" t="str">
        <x:v>ForkJoinPool.commonPool-worker-1#48 | ForkJoinPool.commonPool-worker-2#49 | ForkJoinPool.commonPool-worker-3#58</x:v>
      </x:c>
      <x:c r="AK76" s="45" t="b">
        <x:v>0</x:v>
      </x:c>
    </x:row>
    <x:row r="77" ht="22" customHeight="1">
      <x:c r="A77" s="24" t="str">
        <x:v>article1-unified-v4-2-fb3f101b-20260903-000401-default-f05-p4-caffeine</x:v>
      </x:c>
      <x:c r="B77" s="24" t="str">
        <x:v>default</x:v>
      </x:c>
      <x:c r="C77" s="24" t="str">
        <x:v>caffeine</x:v>
      </x:c>
      <x:c r="D77" s="36" t="n">
        <x:v>5</x:v>
      </x:c>
      <x:c r="E77" s="36" t="n">
        <x:v>5</x:v>
      </x:c>
      <x:c r="F77" s="36" t="n">
        <x:v>4</x:v>
      </x:c>
      <x:c r="G77" s="36" t="n">
        <x:v>2</x:v>
      </x:c>
      <x:c r="H77" s="43" t="n">
        <x:v>6083.206300158054</x:v>
      </x:c>
      <x:c r="I77" s="43" t="n">
        <x:v>4116.242399904877</x:v>
      </x:c>
      <x:c r="J77" s="43" t="n">
        <x:v>6058.484299574047</x:v>
      </x:c>
      <x:c r="K77" s="43" t="n">
        <x:v>4105.406699702144</x:v>
      </x:c>
      <x:c r="L77" s="45" t="b">
        <x:v>1</x:v>
      </x:c>
      <x:c r="M77" s="45" t="b">
        <x:v>1</x:v>
      </x:c>
      <x:c r="N77" s="45" t="b">
        <x:v>1</x:v>
      </x:c>
      <x:c r="O77" s="46" t="n">
        <x:v>2</x:v>
      </x:c>
      <x:c r="P77" s="46" t="n">
        <x:v>2</x:v>
      </x:c>
      <x:c r="Q77" s="46" t="n">
        <x:v>3.375</x:v>
      </x:c>
      <x:c r="R77" s="46" t="n">
        <x:v>10</x:v>
      </x:c>
      <x:c r="S77" s="46" t="n">
        <x:v>10</x:v>
      </x:c>
      <x:c r="T77" s="46" t="n">
        <x:v>12.108999999705702</x:v>
      </x:c>
      <x:c r="U77" s="46" t="n">
        <x:v>17.436999999918044</x:v>
      </x:c>
      <x:c r="V77" s="46" t="n">
        <x:v>2</x:v>
      </x:c>
      <x:c r="W77" s="46" t="n">
        <x:v>2</x:v>
      </x:c>
      <x:c r="X77" s="46" t="n">
        <x:v>2.9380000000819564</x:v>
      </x:c>
      <x:c r="Y77" s="46" t="n">
        <x:v>10</x:v>
      </x:c>
      <x:c r="Z77" s="46" t="n">
        <x:v>10</x:v>
      </x:c>
      <x:c r="AA77" s="46" t="n">
        <x:v>12.094000000040978</x:v>
      </x:c>
      <x:c r="AB77" s="46" t="n">
        <x:v>16.82800000021234</x:v>
      </x:c>
      <x:c r="AC77" s="61" t="n">
        <x:v>33691648</x:v>
      </x:c>
      <x:c r="AD77" s="61" t="n">
        <x:v>-4112384</x:v>
      </x:c>
      <x:c r="AE77" s="45" t="b">
        <x:v>1</x:v>
      </x:c>
      <x:c r="AF77" s="45" t="b">
        <x:v>1</x:v>
      </x:c>
      <x:c r="AG77" s="45" t="b">
        <x:v>1</x:v>
      </x:c>
      <x:c r="AH77" s="45" t="b">
        <x:v>1</x:v>
      </x:c>
      <x:c r="AI77" s="36" t="n">
        <x:v>0</x:v>
      </x:c>
      <x:c r="AJ77" s="59"/>
      <x:c r="AK77" s="45" t="b">
        <x:v>1</x:v>
      </x:c>
    </x:row>
    <x:row r="78" ht="22" customHeight="1">
      <x:c r="A78" s="24" t="str">
        <x:v>article1-unified-v4-2-fb3f101b-20260903-000401-default-f05-p4-caffeine</x:v>
      </x:c>
      <x:c r="B78" s="24" t="str">
        <x:v>default</x:v>
      </x:c>
      <x:c r="C78" s="24" t="str">
        <x:v>caffeine</x:v>
      </x:c>
      <x:c r="D78" s="36" t="n">
        <x:v>5</x:v>
      </x:c>
      <x:c r="E78" s="36" t="n">
        <x:v>5</x:v>
      </x:c>
      <x:c r="F78" s="36" t="n">
        <x:v>4</x:v>
      </x:c>
      <x:c r="G78" s="36" t="n">
        <x:v>3</x:v>
      </x:c>
      <x:c r="H78" s="43" t="n">
        <x:v>6016.621899791062</x:v>
      </x:c>
      <x:c r="I78" s="43" t="n">
        <x:v>4127.513399813324</x:v>
      </x:c>
      <x:c r="J78" s="43" t="n">
        <x:v>6127.258399967104</x:v>
      </x:c>
      <x:c r="K78" s="43" t="n">
        <x:v>4141.955400351435</x:v>
      </x:c>
      <x:c r="L78" s="45" t="b">
        <x:v>1</x:v>
      </x:c>
      <x:c r="M78" s="45" t="b">
        <x:v>1</x:v>
      </x:c>
      <x:c r="N78" s="45" t="b">
        <x:v>1</x:v>
      </x:c>
      <x:c r="O78" s="46" t="n">
        <x:v>2</x:v>
      </x:c>
      <x:c r="P78" s="46" t="n">
        <x:v>2</x:v>
      </x:c>
      <x:c r="Q78" s="46" t="n">
        <x:v>3.483999999705702</x:v>
      </x:c>
      <x:c r="R78" s="46" t="n">
        <x:v>10</x:v>
      </x:c>
      <x:c r="S78" s="46" t="n">
        <x:v>10</x:v>
      </x:c>
      <x:c r="T78" s="46" t="n">
        <x:v>12.108999999705702</x:v>
      </x:c>
      <x:c r="U78" s="46" t="n">
        <x:v>16.765999999828637</x:v>
      </x:c>
      <x:c r="V78" s="46" t="n">
        <x:v>2</x:v>
      </x:c>
      <x:c r="W78" s="46" t="n">
        <x:v>2</x:v>
      </x:c>
      <x:c r="X78" s="46" t="n">
        <x:v>2.984999999869615</x:v>
      </x:c>
      <x:c r="Y78" s="46" t="n">
        <x:v>10</x:v>
      </x:c>
      <x:c r="Z78" s="46" t="n">
        <x:v>10</x:v>
      </x:c>
      <x:c r="AA78" s="46" t="n">
        <x:v>12.094000000040978</x:v>
      </x:c>
      <x:c r="AB78" s="46" t="n">
        <x:v>16.54699999978766</x:v>
      </x:c>
      <x:c r="AC78" s="61" t="n">
        <x:v>37761024</x:v>
      </x:c>
      <x:c r="AD78" s="61" t="n">
        <x:v>11264</x:v>
      </x:c>
      <x:c r="AE78" s="45" t="b">
        <x:v>1</x:v>
      </x:c>
      <x:c r="AF78" s="45" t="b">
        <x:v>1</x:v>
      </x:c>
      <x:c r="AG78" s="45" t="b">
        <x:v>1</x:v>
      </x:c>
      <x:c r="AH78" s="45" t="b">
        <x:v>1</x:v>
      </x:c>
      <x:c r="AI78" s="36" t="n">
        <x:v>0</x:v>
      </x:c>
      <x:c r="AJ78" s="59"/>
      <x:c r="AK78" s="45" t="b">
        <x:v>1</x:v>
      </x:c>
    </x:row>
    <x:row r="79" ht="22" customHeight="1">
      <x:c r="A79" s="24" t="str">
        <x:v>article1-unified-v4-2-fb3f101b-20260903-000401-default-f05-p4-caffeine</x:v>
      </x:c>
      <x:c r="B79" s="24" t="str">
        <x:v>default</x:v>
      </x:c>
      <x:c r="C79" s="24" t="str">
        <x:v>caffeine</x:v>
      </x:c>
      <x:c r="D79" s="36" t="n">
        <x:v>5</x:v>
      </x:c>
      <x:c r="E79" s="36" t="n">
        <x:v>5</x:v>
      </x:c>
      <x:c r="F79" s="36" t="n">
        <x:v>4</x:v>
      </x:c>
      <x:c r="G79" s="36" t="n">
        <x:v>4</x:v>
      </x:c>
      <x:c r="H79" s="43" t="n">
        <x:v>6104.809500277042</x:v>
      </x:c>
      <x:c r="I79" s="43" t="n">
        <x:v>4116.722600068897</x:v>
      </x:c>
      <x:c r="J79" s="43" t="n">
        <x:v>6023.834299761802</x:v>
      </x:c>
      <x:c r="K79" s="43" t="n">
        <x:v>4108.4004999138415</x:v>
      </x:c>
      <x:c r="L79" s="45" t="b">
        <x:v>1</x:v>
      </x:c>
      <x:c r="M79" s="45" t="b">
        <x:v>1</x:v>
      </x:c>
      <x:c r="N79" s="45" t="b">
        <x:v>1</x:v>
      </x:c>
      <x:c r="O79" s="46" t="n">
        <x:v>2</x:v>
      </x:c>
      <x:c r="P79" s="46" t="n">
        <x:v>2</x:v>
      </x:c>
      <x:c r="Q79" s="46" t="n">
        <x:v>3.1880000000819564</x:v>
      </x:c>
      <x:c r="R79" s="46" t="n">
        <x:v>10</x:v>
      </x:c>
      <x:c r="S79" s="46" t="n">
        <x:v>10</x:v>
      </x:c>
      <x:c r="T79" s="46" t="n">
        <x:v>12.094000000040978</x:v>
      </x:c>
      <x:c r="U79" s="46" t="n">
        <x:v>17.265999999828637</x:v>
      </x:c>
      <x:c r="V79" s="46" t="n">
        <x:v>2</x:v>
      </x:c>
      <x:c r="W79" s="46" t="n">
        <x:v>2</x:v>
      </x:c>
      <x:c r="X79" s="46" t="n">
        <x:v>3.0469999997876585</x:v>
      </x:c>
      <x:c r="Y79" s="46" t="n">
        <x:v>10</x:v>
      </x:c>
      <x:c r="Z79" s="46" t="n">
        <x:v>10</x:v>
      </x:c>
      <x:c r="AA79" s="46" t="n">
        <x:v>12.108999999705702</x:v>
      </x:c>
      <x:c r="AB79" s="46" t="n">
        <x:v>16.67199999978766</x:v>
      </x:c>
      <x:c r="AC79" s="61" t="n">
        <x:v>37224448</x:v>
      </x:c>
      <x:c r="AD79" s="61" t="n">
        <x:v>-9216</x:v>
      </x:c>
      <x:c r="AE79" s="45" t="b">
        <x:v>1</x:v>
      </x:c>
      <x:c r="AF79" s="45" t="b">
        <x:v>1</x:v>
      </x:c>
      <x:c r="AG79" s="45" t="b">
        <x:v>1</x:v>
      </x:c>
      <x:c r="AH79" s="45" t="b">
        <x:v>1</x:v>
      </x:c>
      <x:c r="AI79" s="36" t="n">
        <x:v>0</x:v>
      </x:c>
      <x:c r="AJ79" s="59"/>
      <x:c r="AK79" s="45" t="b">
        <x:v>1</x:v>
      </x:c>
    </x:row>
    <x:row r="80" ht="22" customHeight="1">
      <x:c r="A80" s="24" t="str">
        <x:v>article1-unified-v4-2-fb3f101b-20260903-000401-default-f05-p4-caffeine</x:v>
      </x:c>
      <x:c r="B80" s="24" t="str">
        <x:v>default</x:v>
      </x:c>
      <x:c r="C80" s="24" t="str">
        <x:v>caffeine</x:v>
      </x:c>
      <x:c r="D80" s="36" t="n">
        <x:v>5</x:v>
      </x:c>
      <x:c r="E80" s="36" t="n">
        <x:v>5</x:v>
      </x:c>
      <x:c r="F80" s="36" t="n">
        <x:v>4</x:v>
      </x:c>
      <x:c r="G80" s="36" t="n">
        <x:v>5</x:v>
      </x:c>
      <x:c r="H80" s="43" t="n">
        <x:v>6029.767700005323</x:v>
      </x:c>
      <x:c r="I80" s="43" t="n">
        <x:v>4122.383600100875</x:v>
      </x:c>
      <x:c r="J80" s="43" t="n">
        <x:v>5901.058700401336</x:v>
      </x:c>
      <x:c r="K80" s="43" t="n">
        <x:v>4138.022100087255</x:v>
      </x:c>
      <x:c r="L80" s="45" t="b">
        <x:v>1</x:v>
      </x:c>
      <x:c r="M80" s="45" t="b">
        <x:v>1</x:v>
      </x:c>
      <x:c r="N80" s="45" t="b">
        <x:v>1</x:v>
      </x:c>
      <x:c r="O80" s="46" t="n">
        <x:v>2</x:v>
      </x:c>
      <x:c r="P80" s="46" t="n">
        <x:v>2</x:v>
      </x:c>
      <x:c r="Q80" s="46" t="n">
        <x:v>2.891000000294298</x:v>
      </x:c>
      <x:c r="R80" s="46" t="n">
        <x:v>10</x:v>
      </x:c>
      <x:c r="S80" s="46" t="n">
        <x:v>10</x:v>
      </x:c>
      <x:c r="T80" s="46" t="n">
        <x:v>12.094000000040978</x:v>
      </x:c>
      <x:c r="U80" s="46" t="n">
        <x:v>16.813000000081956</x:v>
      </x:c>
      <x:c r="V80" s="46" t="n">
        <x:v>2</x:v>
      </x:c>
      <x:c r="W80" s="46" t="n">
        <x:v>2</x:v>
      </x:c>
      <x:c r="X80" s="46" t="n">
        <x:v>3.280999999959022</x:v>
      </x:c>
      <x:c r="Y80" s="46" t="n">
        <x:v>10</x:v>
      </x:c>
      <x:c r="Z80" s="46" t="n">
        <x:v>10</x:v>
      </x:c>
      <x:c r="AA80" s="46" t="n">
        <x:v>12.125</x:v>
      </x:c>
      <x:c r="AB80" s="46" t="n">
        <x:v>17.25</x:v>
      </x:c>
      <x:c r="AC80" s="61" t="n">
        <x:v>42384384</x:v>
      </x:c>
      <x:c r="AD80" s="61" t="n">
        <x:v>31744</x:v>
      </x:c>
      <x:c r="AE80" s="45" t="b">
        <x:v>1</x:v>
      </x:c>
      <x:c r="AF80" s="45" t="b">
        <x:v>1</x:v>
      </x:c>
      <x:c r="AG80" s="45" t="b">
        <x:v>1</x:v>
      </x:c>
      <x:c r="AH80" s="45" t="b">
        <x:v>1</x:v>
      </x:c>
      <x:c r="AI80" s="36" t="n">
        <x:v>0</x:v>
      </x:c>
      <x:c r="AJ80" s="59"/>
      <x:c r="AK80" s="45" t="b">
        <x:v>1</x:v>
      </x:c>
    </x:row>
    <x:row r="81" ht="22" customHeight="1">
      <x:c r="A81" s="24" t="str">
        <x:v>article1-unified-v4-2-fb3f101b-20260903-000401-default-f06-p2-caffeine</x:v>
      </x:c>
      <x:c r="B81" s="24" t="str">
        <x:v>default</x:v>
      </x:c>
      <x:c r="C81" s="24" t="str">
        <x:v>caffeine</x:v>
      </x:c>
      <x:c r="D81" s="36" t="n">
        <x:v>6</x:v>
      </x:c>
      <x:c r="E81" s="36" t="n">
        <x:v>6</x:v>
      </x:c>
      <x:c r="F81" s="36" t="n">
        <x:v>2</x:v>
      </x:c>
      <x:c r="G81" s="36" t="n">
        <x:v>1</x:v>
      </x:c>
      <x:c r="H81" s="43" t="n">
        <x:v>6808.438899926841</x:v>
      </x:c>
      <x:c r="I81" s="43" t="n">
        <x:v>4122.0493000000715</x:v>
      </x:c>
      <x:c r="J81" s="43" t="n">
        <x:v>6305.811400059611</x:v>
      </x:c>
      <x:c r="K81" s="43" t="n">
        <x:v>4135.764999780804</x:v>
      </x:c>
      <x:c r="L81" s="45" t="b">
        <x:v>1</x:v>
      </x:c>
      <x:c r="M81" s="45" t="b">
        <x:v>1</x:v>
      </x:c>
      <x:c r="N81" s="45" t="b">
        <x:v>1</x:v>
      </x:c>
      <x:c r="O81" s="46" t="n">
        <x:v>2</x:v>
      </x:c>
      <x:c r="P81" s="46" t="n">
        <x:v>2</x:v>
      </x:c>
      <x:c r="Q81" s="46" t="n">
        <x:v>3.469000000040978</x:v>
      </x:c>
      <x:c r="R81" s="46" t="n">
        <x:v>10</x:v>
      </x:c>
      <x:c r="S81" s="46" t="n">
        <x:v>10</x:v>
      </x:c>
      <x:c r="T81" s="46" t="n">
        <x:v>12.078000000212342</x:v>
      </x:c>
      <x:c r="U81" s="46" t="n">
        <x:v>16.92200000025332</x:v>
      </x:c>
      <x:c r="V81" s="46" t="n">
        <x:v>2</x:v>
      </x:c>
      <x:c r="W81" s="46" t="n">
        <x:v>2</x:v>
      </x:c>
      <x:c r="X81" s="46" t="n">
        <x:v>3.030999999959022</x:v>
      </x:c>
      <x:c r="Y81" s="46" t="n">
        <x:v>10</x:v>
      </x:c>
      <x:c r="Z81" s="46" t="n">
        <x:v>10</x:v>
      </x:c>
      <x:c r="AA81" s="46" t="n">
        <x:v>12.07799999974668</x:v>
      </x:c>
      <x:c r="AB81" s="46" t="n">
        <x:v>17.07799999974668</x:v>
      </x:c>
      <x:c r="AC81" s="61" t="n">
        <x:v>185672704</x:v>
      </x:c>
      <x:c r="AD81" s="61" t="n">
        <x:v>-17189888</x:v>
      </x:c>
      <x:c r="AE81" s="45" t="b">
        <x:v>0</x:v>
      </x:c>
      <x:c r="AF81" s="45" t="b">
        <x:v>1</x:v>
      </x:c>
      <x:c r="AG81" s="45" t="b">
        <x:v>1</x:v>
      </x:c>
      <x:c r="AH81" s="45" t="b">
        <x:v>0</x:v>
      </x:c>
      <x:c r="AI81" s="36" t="n">
        <x:v>3</x:v>
      </x:c>
      <x:c r="AJ81" s="59" t="str">
        <x:v>ForkJoinPool.commonPool-worker-1#48 | ForkJoinPool.commonPool-worker-2#49 | ForkJoinPool.commonPool-worker-3#50</x:v>
      </x:c>
      <x:c r="AK81" s="45" t="b">
        <x:v>0</x:v>
      </x:c>
    </x:row>
    <x:row r="82" ht="22" customHeight="1">
      <x:c r="A82" s="24" t="str">
        <x:v>article1-unified-v4-2-fb3f101b-20260903-000401-default-f06-p2-caffeine</x:v>
      </x:c>
      <x:c r="B82" s="24" t="str">
        <x:v>default</x:v>
      </x:c>
      <x:c r="C82" s="24" t="str">
        <x:v>caffeine</x:v>
      </x:c>
      <x:c r="D82" s="36" t="n">
        <x:v>6</x:v>
      </x:c>
      <x:c r="E82" s="36" t="n">
        <x:v>6</x:v>
      </x:c>
      <x:c r="F82" s="36" t="n">
        <x:v>2</x:v>
      </x:c>
      <x:c r="G82" s="36" t="n">
        <x:v>2</x:v>
      </x:c>
      <x:c r="H82" s="43" t="n">
        <x:v>6086.096600163728</x:v>
      </x:c>
      <x:c r="I82" s="43" t="n">
        <x:v>4112.151299603283</x:v>
      </x:c>
      <x:c r="J82" s="43" t="n">
        <x:v>6069.7201997973025</x:v>
      </x:c>
      <x:c r="K82" s="43" t="n">
        <x:v>4124.92430023849</x:v>
      </x:c>
      <x:c r="L82" s="45" t="b">
        <x:v>1</x:v>
      </x:c>
      <x:c r="M82" s="45" t="b">
        <x:v>1</x:v>
      </x:c>
      <x:c r="N82" s="45" t="b">
        <x:v>1</x:v>
      </x:c>
      <x:c r="O82" s="46" t="n">
        <x:v>2</x:v>
      </x:c>
      <x:c r="P82" s="46" t="n">
        <x:v>2</x:v>
      </x:c>
      <x:c r="Q82" s="46" t="n">
        <x:v>3.125</x:v>
      </x:c>
      <x:c r="R82" s="46" t="n">
        <x:v>10</x:v>
      </x:c>
      <x:c r="S82" s="46" t="n">
        <x:v>10</x:v>
      </x:c>
      <x:c r="T82" s="46" t="n">
        <x:v>12.094000000040978</x:v>
      </x:c>
      <x:c r="U82" s="46" t="n">
        <x:v>17.344000000040978</x:v>
      </x:c>
      <x:c r="V82" s="46" t="n">
        <x:v>2</x:v>
      </x:c>
      <x:c r="W82" s="46" t="n">
        <x:v>2</x:v>
      </x:c>
      <x:c r="X82" s="46" t="n">
        <x:v>3.5779999997466803</x:v>
      </x:c>
      <x:c r="Y82" s="46" t="n">
        <x:v>10</x:v>
      </x:c>
      <x:c r="Z82" s="46" t="n">
        <x:v>10</x:v>
      </x:c>
      <x:c r="AA82" s="46" t="n">
        <x:v>12.125</x:v>
      </x:c>
      <x:c r="AB82" s="46" t="n">
        <x:v>17.186999999918044</x:v>
      </x:c>
      <x:c r="AC82" s="61" t="n">
        <x:v>35919872</x:v>
      </x:c>
      <x:c r="AD82" s="61" t="n">
        <x:v>-36864</x:v>
      </x:c>
      <x:c r="AE82" s="45" t="b">
        <x:v>1</x:v>
      </x:c>
      <x:c r="AF82" s="45" t="b">
        <x:v>1</x:v>
      </x:c>
      <x:c r="AG82" s="45" t="b">
        <x:v>1</x:v>
      </x:c>
      <x:c r="AH82" s="45" t="b">
        <x:v>1</x:v>
      </x:c>
      <x:c r="AI82" s="36" t="n">
        <x:v>0</x:v>
      </x:c>
      <x:c r="AJ82" s="59"/>
      <x:c r="AK82" s="45" t="b">
        <x:v>1</x:v>
      </x:c>
    </x:row>
    <x:row r="83" ht="22" customHeight="1">
      <x:c r="A83" s="24" t="str">
        <x:v>article1-unified-v4-2-fb3f101b-20260903-000401-default-f06-p2-caffeine</x:v>
      </x:c>
      <x:c r="B83" s="24" t="str">
        <x:v>default</x:v>
      </x:c>
      <x:c r="C83" s="24" t="str">
        <x:v>caffeine</x:v>
      </x:c>
      <x:c r="D83" s="36" t="n">
        <x:v>6</x:v>
      </x:c>
      <x:c r="E83" s="36" t="n">
        <x:v>6</x:v>
      </x:c>
      <x:c r="F83" s="36" t="n">
        <x:v>2</x:v>
      </x:c>
      <x:c r="G83" s="36" t="n">
        <x:v>3</x:v>
      </x:c>
      <x:c r="H83" s="43" t="n">
        <x:v>6022.792200092226</x:v>
      </x:c>
      <x:c r="I83" s="43" t="n">
        <x:v>4115.912700071931</x:v>
      </x:c>
      <x:c r="J83" s="43" t="n">
        <x:v>6006.672400049865</x:v>
      </x:c>
      <x:c r="K83" s="43" t="n">
        <x:v>4115.250300150365</x:v>
      </x:c>
      <x:c r="L83" s="45" t="b">
        <x:v>1</x:v>
      </x:c>
      <x:c r="M83" s="45" t="b">
        <x:v>1</x:v>
      </x:c>
      <x:c r="N83" s="45" t="b">
        <x:v>1</x:v>
      </x:c>
      <x:c r="O83" s="46" t="n">
        <x:v>2</x:v>
      </x:c>
      <x:c r="P83" s="46" t="n">
        <x:v>2</x:v>
      </x:c>
      <x:c r="Q83" s="46" t="n">
        <x:v>3.359999999869615</x:v>
      </x:c>
      <x:c r="R83" s="46" t="n">
        <x:v>10</x:v>
      </x:c>
      <x:c r="S83" s="46" t="n">
        <x:v>10</x:v>
      </x:c>
      <x:c r="T83" s="46" t="n">
        <x:v>12.094000000040978</x:v>
      </x:c>
      <x:c r="U83" s="46" t="n">
        <x:v>16.95299999974668</x:v>
      </x:c>
      <x:c r="V83" s="46" t="n">
        <x:v>2</x:v>
      </x:c>
      <x:c r="W83" s="46" t="n">
        <x:v>2</x:v>
      </x:c>
      <x:c r="X83" s="46" t="n">
        <x:v>3.2030000002123415</x:v>
      </x:c>
      <x:c r="Y83" s="46" t="n">
        <x:v>10</x:v>
      </x:c>
      <x:c r="Z83" s="46" t="n">
        <x:v>10</x:v>
      </x:c>
      <x:c r="AA83" s="46" t="n">
        <x:v>12.094000000040978</x:v>
      </x:c>
      <x:c r="AB83" s="46" t="n">
        <x:v>16.530999999959022</x:v>
      </x:c>
      <x:c r="AC83" s="61" t="n">
        <x:v>34437120</x:v>
      </x:c>
      <x:c r="AD83" s="61" t="n">
        <x:v>38912</x:v>
      </x:c>
      <x:c r="AE83" s="45" t="b">
        <x:v>1</x:v>
      </x:c>
      <x:c r="AF83" s="45" t="b">
        <x:v>1</x:v>
      </x:c>
      <x:c r="AG83" s="45" t="b">
        <x:v>1</x:v>
      </x:c>
      <x:c r="AH83" s="45" t="b">
        <x:v>1</x:v>
      </x:c>
      <x:c r="AI83" s="36" t="n">
        <x:v>0</x:v>
      </x:c>
      <x:c r="AJ83" s="59"/>
      <x:c r="AK83" s="45" t="b">
        <x:v>1</x:v>
      </x:c>
    </x:row>
    <x:row r="84" ht="22" customHeight="1">
      <x:c r="A84" s="24" t="str">
        <x:v>article1-unified-v4-2-fb3f101b-20260903-000401-default-f06-p2-caffeine</x:v>
      </x:c>
      <x:c r="B84" s="24" t="str">
        <x:v>default</x:v>
      </x:c>
      <x:c r="C84" s="24" t="str">
        <x:v>caffeine</x:v>
      </x:c>
      <x:c r="D84" s="36" t="n">
        <x:v>6</x:v>
      </x:c>
      <x:c r="E84" s="36" t="n">
        <x:v>6</x:v>
      </x:c>
      <x:c r="F84" s="36" t="n">
        <x:v>2</x:v>
      </x:c>
      <x:c r="G84" s="36" t="n">
        <x:v>4</x:v>
      </x:c>
      <x:c r="H84" s="43" t="n">
        <x:v>6092.720499727875</x:v>
      </x:c>
      <x:c r="I84" s="43" t="n">
        <x:v>4110.43110024184</x:v>
      </x:c>
      <x:c r="J84" s="43" t="n">
        <x:v>6063.3684997446835</x:v>
      </x:c>
      <x:c r="K84" s="43" t="n">
        <x:v>4103.988100308925</x:v>
      </x:c>
      <x:c r="L84" s="45" t="b">
        <x:v>1</x:v>
      </x:c>
      <x:c r="M84" s="45" t="b">
        <x:v>1</x:v>
      </x:c>
      <x:c r="N84" s="45" t="b">
        <x:v>1</x:v>
      </x:c>
      <x:c r="O84" s="46" t="n">
        <x:v>2</x:v>
      </x:c>
      <x:c r="P84" s="46" t="n">
        <x:v>2</x:v>
      </x:c>
      <x:c r="Q84" s="46" t="n">
        <x:v>3.1880000000819564</x:v>
      </x:c>
      <x:c r="R84" s="46" t="n">
        <x:v>10</x:v>
      </x:c>
      <x:c r="S84" s="46" t="n">
        <x:v>10</x:v>
      </x:c>
      <x:c r="T84" s="46" t="n">
        <x:v>12.094000000040978</x:v>
      </x:c>
      <x:c r="U84" s="46" t="n">
        <x:v>17.29699999978766</x:v>
      </x:c>
      <x:c r="V84" s="46" t="n">
        <x:v>2</x:v>
      </x:c>
      <x:c r="W84" s="46" t="n">
        <x:v>2</x:v>
      </x:c>
      <x:c r="X84" s="46" t="n">
        <x:v>3.375</x:v>
      </x:c>
      <x:c r="Y84" s="46" t="n">
        <x:v>10</x:v>
      </x:c>
      <x:c r="Z84" s="46" t="n">
        <x:v>10.014999999664724</x:v>
      </x:c>
      <x:c r="AA84" s="46" t="n">
        <x:v>12.108999999705702</x:v>
      </x:c>
      <x:c r="AB84" s="46" t="n">
        <x:v>17.389999999664724</x:v>
      </x:c>
      <x:c r="AC84" s="61" t="n">
        <x:v>43758592</x:v>
      </x:c>
      <x:c r="AD84" s="61" t="n">
        <x:v>16384</x:v>
      </x:c>
      <x:c r="AE84" s="45" t="b">
        <x:v>1</x:v>
      </x:c>
      <x:c r="AF84" s="45" t="b">
        <x:v>1</x:v>
      </x:c>
      <x:c r="AG84" s="45" t="b">
        <x:v>1</x:v>
      </x:c>
      <x:c r="AH84" s="45" t="b">
        <x:v>1</x:v>
      </x:c>
      <x:c r="AI84" s="36" t="n">
        <x:v>0</x:v>
      </x:c>
      <x:c r="AJ84" s="59"/>
      <x:c r="AK84" s="45" t="b">
        <x:v>1</x:v>
      </x:c>
    </x:row>
    <x:row r="85" ht="22" customHeight="1">
      <x:c r="A85" s="24" t="str">
        <x:v>article1-unified-v4-2-fb3f101b-20260903-000401-default-f06-p2-caffeine</x:v>
      </x:c>
      <x:c r="B85" s="24" t="str">
        <x:v>default</x:v>
      </x:c>
      <x:c r="C85" s="24" t="str">
        <x:v>caffeine</x:v>
      </x:c>
      <x:c r="D85" s="36" t="n">
        <x:v>6</x:v>
      </x:c>
      <x:c r="E85" s="36" t="n">
        <x:v>6</x:v>
      </x:c>
      <x:c r="F85" s="36" t="n">
        <x:v>2</x:v>
      </x:c>
      <x:c r="G85" s="36" t="n">
        <x:v>5</x:v>
      </x:c>
      <x:c r="H85" s="43" t="n">
        <x:v>5890.892300289124</x:v>
      </x:c>
      <x:c r="I85" s="43" t="n">
        <x:v>4125.414799898863</x:v>
      </x:c>
      <x:c r="J85" s="43" t="n">
        <x:v>6092.962400056422</x:v>
      </x:c>
      <x:c r="K85" s="43" t="n">
        <x:v>4113.840600010008</x:v>
      </x:c>
      <x:c r="L85" s="45" t="b">
        <x:v>1</x:v>
      </x:c>
      <x:c r="M85" s="45" t="b">
        <x:v>1</x:v>
      </x:c>
      <x:c r="N85" s="45" t="b">
        <x:v>1</x:v>
      </x:c>
      <x:c r="O85" s="46" t="n">
        <x:v>2</x:v>
      </x:c>
      <x:c r="P85" s="46" t="n">
        <x:v>2</x:v>
      </x:c>
      <x:c r="Q85" s="46" t="n">
        <x:v>3.3280000002123415</x:v>
      </x:c>
      <x:c r="R85" s="46" t="n">
        <x:v>10</x:v>
      </x:c>
      <x:c r="S85" s="46" t="n">
        <x:v>10.015000000130385</x:v>
      </x:c>
      <x:c r="T85" s="46" t="n">
        <x:v>12.109000000171363</x:v>
      </x:c>
      <x:c r="U85" s="46" t="n">
        <x:v>17.95300000021234</x:v>
      </x:c>
      <x:c r="V85" s="46" t="n">
        <x:v>2</x:v>
      </x:c>
      <x:c r="W85" s="46" t="n">
        <x:v>2</x:v>
      </x:c>
      <x:c r="X85" s="46" t="n">
        <x:v>3.125</x:v>
      </x:c>
      <x:c r="Y85" s="46" t="n">
        <x:v>10</x:v>
      </x:c>
      <x:c r="Z85" s="46" t="n">
        <x:v>10</x:v>
      </x:c>
      <x:c r="AA85" s="46" t="n">
        <x:v>12.092999999877065</x:v>
      </x:c>
      <x:c r="AB85" s="46" t="n">
        <x:v>17.015000000130385</x:v>
      </x:c>
      <x:c r="AC85" s="61" t="n">
        <x:v>34371584</x:v>
      </x:c>
      <x:c r="AD85" s="61" t="n">
        <x:v>34816</x:v>
      </x:c>
      <x:c r="AE85" s="45" t="b">
        <x:v>1</x:v>
      </x:c>
      <x:c r="AF85" s="45" t="b">
        <x:v>1</x:v>
      </x:c>
      <x:c r="AG85" s="45" t="b">
        <x:v>1</x:v>
      </x:c>
      <x:c r="AH85" s="45" t="b">
        <x:v>1</x:v>
      </x:c>
      <x:c r="AI85" s="36" t="n">
        <x:v>0</x:v>
      </x:c>
      <x:c r="AJ85" s="59"/>
      <x:c r="AK85" s="45" t="b">
        <x:v>1</x:v>
      </x:c>
    </x:row>
    <x:row r="86" ht="22" customHeight="1">
      <x:c r="A86" s="24" t="str">
        <x:v>article1-unified-v4-2-fb3f101b-20260903-000401-default-f01-p2-ehcache</x:v>
      </x:c>
      <x:c r="B86" s="24" t="str">
        <x:v>default</x:v>
      </x:c>
      <x:c r="C86" s="24" t="str">
        <x:v>ehcache</x:v>
      </x:c>
      <x:c r="D86" s="36" t="n">
        <x:v>1</x:v>
      </x:c>
      <x:c r="E86" s="36" t="n">
        <x:v>1</x:v>
      </x:c>
      <x:c r="F86" s="36" t="n">
        <x:v>2</x:v>
      </x:c>
      <x:c r="G86" s="36" t="n">
        <x:v>1</x:v>
      </x:c>
      <x:c r="H86" s="43" t="n">
        <x:v>7229.535200167447</x:v>
      </x:c>
      <x:c r="I86" s="43" t="n">
        <x:v>4122.393900062889</x:v>
      </x:c>
      <x:c r="J86" s="43" t="n">
        <x:v>6268.845499958843</x:v>
      </x:c>
      <x:c r="K86" s="43" t="n">
        <x:v>4104.121999815106</x:v>
      </x:c>
      <x:c r="L86" s="45" t="b">
        <x:v>1</x:v>
      </x:c>
      <x:c r="M86" s="45" t="b">
        <x:v>1</x:v>
      </x:c>
      <x:c r="N86" s="45" t="b">
        <x:v>1</x:v>
      </x:c>
      <x:c r="O86" s="46" t="n">
        <x:v>2</x:v>
      </x:c>
      <x:c r="P86" s="46" t="n">
        <x:v>2</x:v>
      </x:c>
      <x:c r="Q86" s="46" t="n">
        <x:v>3</x:v>
      </x:c>
      <x:c r="R86" s="46" t="n">
        <x:v>10</x:v>
      </x:c>
      <x:c r="S86" s="46" t="n">
        <x:v>10</x:v>
      </x:c>
      <x:c r="T86" s="46" t="n">
        <x:v>12.07799999974668</x:v>
      </x:c>
      <x:c r="U86" s="46" t="n">
        <x:v>16.438000000081956</x:v>
      </x:c>
      <x:c r="V86" s="46" t="n">
        <x:v>2</x:v>
      </x:c>
      <x:c r="W86" s="46" t="n">
        <x:v>2</x:v>
      </x:c>
      <x:c r="X86" s="46" t="n">
        <x:v>3.1869999999180436</x:v>
      </x:c>
      <x:c r="Y86" s="46" t="n">
        <x:v>10</x:v>
      </x:c>
      <x:c r="Z86" s="46" t="n">
        <x:v>10</x:v>
      </x:c>
      <x:c r="AA86" s="46" t="n">
        <x:v>12.108999999705702</x:v>
      </x:c>
      <x:c r="AB86" s="46" t="n">
        <x:v>16.95299999974668</x:v>
      </x:c>
      <x:c r="AC86" s="61" t="n">
        <x:v>194286592</x:v>
      </x:c>
      <x:c r="AD86" s="61" t="n">
        <x:v>-12322816</x:v>
      </x:c>
      <x:c r="AE86" s="45" t="b">
        <x:v>0</x:v>
      </x:c>
      <x:c r="AF86" s="45" t="b">
        <x:v>1</x:v>
      </x:c>
      <x:c r="AG86" s="45" t="b">
        <x:v>1</x:v>
      </x:c>
      <x:c r="AH86" s="45" t="b">
        <x:v>1</x:v>
      </x:c>
      <x:c r="AI86" s="36" t="n">
        <x:v>0</x:v>
      </x:c>
      <x:c r="AJ86" s="59"/>
      <x:c r="AK86" s="45" t="b">
        <x:v>1</x:v>
      </x:c>
    </x:row>
    <x:row r="87" ht="22" customHeight="1">
      <x:c r="A87" s="24" t="str">
        <x:v>article1-unified-v4-2-fb3f101b-20260903-000401-default-f01-p2-ehcache</x:v>
      </x:c>
      <x:c r="B87" s="24" t="str">
        <x:v>default</x:v>
      </x:c>
      <x:c r="C87" s="24" t="str">
        <x:v>ehcache</x:v>
      </x:c>
      <x:c r="D87" s="36" t="n">
        <x:v>1</x:v>
      </x:c>
      <x:c r="E87" s="36" t="n">
        <x:v>1</x:v>
      </x:c>
      <x:c r="F87" s="36" t="n">
        <x:v>2</x:v>
      </x:c>
      <x:c r="G87" s="36" t="n">
        <x:v>2</x:v>
      </x:c>
      <x:c r="H87" s="43" t="n">
        <x:v>6384.661999996752</x:v>
      </x:c>
      <x:c r="I87" s="43" t="n">
        <x:v>4120.981199666858</x:v>
      </x:c>
      <x:c r="J87" s="43" t="n">
        <x:v>6571.131999604404</x:v>
      </x:c>
      <x:c r="K87" s="43" t="n">
        <x:v>4144.67340009287</x:v>
      </x:c>
      <x:c r="L87" s="45" t="b">
        <x:v>1</x:v>
      </x:c>
      <x:c r="M87" s="45" t="b">
        <x:v>1</x:v>
      </x:c>
      <x:c r="N87" s="45" t="b">
        <x:v>1</x:v>
      </x:c>
      <x:c r="O87" s="46" t="n">
        <x:v>2</x:v>
      </x:c>
      <x:c r="P87" s="46" t="n">
        <x:v>2</x:v>
      </x:c>
      <x:c r="Q87" s="46" t="n">
        <x:v>3.1719999997876585</x:v>
      </x:c>
      <x:c r="R87" s="46" t="n">
        <x:v>10</x:v>
      </x:c>
      <x:c r="S87" s="46" t="n">
        <x:v>10</x:v>
      </x:c>
      <x:c r="T87" s="46" t="n">
        <x:v>12.157000000122935</x:v>
      </x:c>
      <x:c r="U87" s="46" t="n">
        <x:v>17.078999999910593</x:v>
      </x:c>
      <x:c r="V87" s="46" t="n">
        <x:v>2</x:v>
      </x:c>
      <x:c r="W87" s="46" t="n">
        <x:v>2</x:v>
      </x:c>
      <x:c r="X87" s="46" t="n">
        <x:v>3.1409999998286366</x:v>
      </x:c>
      <x:c r="Y87" s="46" t="n">
        <x:v>10</x:v>
      </x:c>
      <x:c r="Z87" s="46" t="n">
        <x:v>10</x:v>
      </x:c>
      <x:c r="AA87" s="46" t="n">
        <x:v>12.157000000122935</x:v>
      </x:c>
      <x:c r="AB87" s="46" t="n">
        <x:v>17.328999999910593</x:v>
      </x:c>
      <x:c r="AC87" s="61" t="n">
        <x:v>40636416</x:v>
      </x:c>
      <x:c r="AD87" s="61" t="n">
        <x:v>-4254720</x:v>
      </x:c>
      <x:c r="AE87" s="45" t="b">
        <x:v>1</x:v>
      </x:c>
      <x:c r="AF87" s="45" t="b">
        <x:v>1</x:v>
      </x:c>
      <x:c r="AG87" s="45" t="b">
        <x:v>1</x:v>
      </x:c>
      <x:c r="AH87" s="45" t="b">
        <x:v>1</x:v>
      </x:c>
      <x:c r="AI87" s="36" t="n">
        <x:v>0</x:v>
      </x:c>
      <x:c r="AJ87" s="59"/>
      <x:c r="AK87" s="45" t="b">
        <x:v>1</x:v>
      </x:c>
    </x:row>
    <x:row r="88" ht="22" customHeight="1">
      <x:c r="A88" s="24" t="str">
        <x:v>article1-unified-v4-2-fb3f101b-20260903-000401-default-f01-p2-ehcache</x:v>
      </x:c>
      <x:c r="B88" s="24" t="str">
        <x:v>default</x:v>
      </x:c>
      <x:c r="C88" s="24" t="str">
        <x:v>ehcache</x:v>
      </x:c>
      <x:c r="D88" s="36" t="n">
        <x:v>1</x:v>
      </x:c>
      <x:c r="E88" s="36" t="n">
        <x:v>1</x:v>
      </x:c>
      <x:c r="F88" s="36" t="n">
        <x:v>2</x:v>
      </x:c>
      <x:c r="G88" s="36" t="n">
        <x:v>3</x:v>
      </x:c>
      <x:c r="H88" s="43" t="n">
        <x:v>6176.960499957204</x:v>
      </x:c>
      <x:c r="I88" s="43" t="n">
        <x:v>4107.678500004113</x:v>
      </x:c>
      <x:c r="J88" s="43" t="n">
        <x:v>6519.870600197464</x:v>
      </x:c>
      <x:c r="K88" s="43" t="n">
        <x:v>4102.2695996798575</x:v>
      </x:c>
      <x:c r="L88" s="45" t="b">
        <x:v>1</x:v>
      </x:c>
      <x:c r="M88" s="45" t="b">
        <x:v>1</x:v>
      </x:c>
      <x:c r="N88" s="45" t="b">
        <x:v>1</x:v>
      </x:c>
      <x:c r="O88" s="46" t="n">
        <x:v>2</x:v>
      </x:c>
      <x:c r="P88" s="46" t="n">
        <x:v>2</x:v>
      </x:c>
      <x:c r="Q88" s="46" t="n">
        <x:v>3.030999999959022</x:v>
      </x:c>
      <x:c r="R88" s="46" t="n">
        <x:v>10</x:v>
      </x:c>
      <x:c r="S88" s="46" t="n">
        <x:v>10</x:v>
      </x:c>
      <x:c r="T88" s="46" t="n">
        <x:v>12.109000000171363</x:v>
      </x:c>
      <x:c r="U88" s="46" t="n">
        <x:v>17.359000000171363</x:v>
      </x:c>
      <x:c r="V88" s="46" t="n">
        <x:v>2</x:v>
      </x:c>
      <x:c r="W88" s="46" t="n">
        <x:v>2</x:v>
      </x:c>
      <x:c r="X88" s="46" t="n">
        <x:v>2.9219999997876585</x:v>
      </x:c>
      <x:c r="Y88" s="46" t="n">
        <x:v>10</x:v>
      </x:c>
      <x:c r="Z88" s="46" t="n">
        <x:v>10</x:v>
      </x:c>
      <x:c r="AA88" s="46" t="n">
        <x:v>12.108999999705702</x:v>
      </x:c>
      <x:c r="AB88" s="46" t="n">
        <x:v>17.108999999705702</x:v>
      </x:c>
      <x:c r="AC88" s="61" t="n">
        <x:v>41762816</x:v>
      </x:c>
      <x:c r="AD88" s="61" t="n">
        <x:v>-43008</x:v>
      </x:c>
      <x:c r="AE88" s="45" t="b">
        <x:v>1</x:v>
      </x:c>
      <x:c r="AF88" s="45" t="b">
        <x:v>1</x:v>
      </x:c>
      <x:c r="AG88" s="45" t="b">
        <x:v>1</x:v>
      </x:c>
      <x:c r="AH88" s="45" t="b">
        <x:v>1</x:v>
      </x:c>
      <x:c r="AI88" s="36" t="n">
        <x:v>0</x:v>
      </x:c>
      <x:c r="AJ88" s="59"/>
      <x:c r="AK88" s="45" t="b">
        <x:v>1</x:v>
      </x:c>
    </x:row>
    <x:row r="89" ht="22" customHeight="1">
      <x:c r="A89" s="24" t="str">
        <x:v>article1-unified-v4-2-fb3f101b-20260903-000401-default-f01-p2-ehcache</x:v>
      </x:c>
      <x:c r="B89" s="24" t="str">
        <x:v>default</x:v>
      </x:c>
      <x:c r="C89" s="24" t="str">
        <x:v>ehcache</x:v>
      </x:c>
      <x:c r="D89" s="36" t="n">
        <x:v>1</x:v>
      </x:c>
      <x:c r="E89" s="36" t="n">
        <x:v>1</x:v>
      </x:c>
      <x:c r="F89" s="36" t="n">
        <x:v>2</x:v>
      </x:c>
      <x:c r="G89" s="36" t="n">
        <x:v>4</x:v>
      </x:c>
      <x:c r="H89" s="43" t="n">
        <x:v>6253.317900002003</x:v>
      </x:c>
      <x:c r="I89" s="43" t="n">
        <x:v>4123.494500294328</x:v>
      </x:c>
      <x:c r="J89" s="43" t="n">
        <x:v>6125.235199928284</x:v>
      </x:c>
      <x:c r="K89" s="43" t="n">
        <x:v>4140.305500011891</x:v>
      </x:c>
      <x:c r="L89" s="45" t="b">
        <x:v>1</x:v>
      </x:c>
      <x:c r="M89" s="45" t="b">
        <x:v>1</x:v>
      </x:c>
      <x:c r="N89" s="45" t="b">
        <x:v>1</x:v>
      </x:c>
      <x:c r="O89" s="46" t="n">
        <x:v>2</x:v>
      </x:c>
      <x:c r="P89" s="46" t="n">
        <x:v>2</x:v>
      </x:c>
      <x:c r="Q89" s="46" t="n">
        <x:v>3.0619999999180436</x:v>
      </x:c>
      <x:c r="R89" s="46" t="n">
        <x:v>10</x:v>
      </x:c>
      <x:c r="S89" s="46" t="n">
        <x:v>10.015000000130385</x:v>
      </x:c>
      <x:c r="T89" s="46" t="n">
        <x:v>12.094000000040978</x:v>
      </x:c>
      <x:c r="U89" s="46" t="n">
        <x:v>16.905999999959022</x:v>
      </x:c>
      <x:c r="V89" s="46" t="n">
        <x:v>2</x:v>
      </x:c>
      <x:c r="W89" s="46" t="n">
        <x:v>2</x:v>
      </x:c>
      <x:c r="X89" s="46" t="n">
        <x:v>2.969000000040978</x:v>
      </x:c>
      <x:c r="Y89" s="46" t="n">
        <x:v>10</x:v>
      </x:c>
      <x:c r="Z89" s="46" t="n">
        <x:v>10</x:v>
      </x:c>
      <x:c r="AA89" s="46" t="n">
        <x:v>12.094000000040978</x:v>
      </x:c>
      <x:c r="AB89" s="46" t="n">
        <x:v>16.782000000122935</x:v>
      </x:c>
      <x:c r="AC89" s="61" t="n">
        <x:v>42991616</x:v>
      </x:c>
      <x:c r="AD89" s="61" t="n">
        <x:v>21504</x:v>
      </x:c>
      <x:c r="AE89" s="45" t="b">
        <x:v>1</x:v>
      </x:c>
      <x:c r="AF89" s="45" t="b">
        <x:v>1</x:v>
      </x:c>
      <x:c r="AG89" s="45" t="b">
        <x:v>1</x:v>
      </x:c>
      <x:c r="AH89" s="45" t="b">
        <x:v>1</x:v>
      </x:c>
      <x:c r="AI89" s="36" t="n">
        <x:v>0</x:v>
      </x:c>
      <x:c r="AJ89" s="59"/>
      <x:c r="AK89" s="45" t="b">
        <x:v>1</x:v>
      </x:c>
    </x:row>
    <x:row r="90" ht="22" customHeight="1">
      <x:c r="A90" s="24" t="str">
        <x:v>article1-unified-v4-2-fb3f101b-20260903-000401-default-f01-p2-ehcache</x:v>
      </x:c>
      <x:c r="B90" s="24" t="str">
        <x:v>default</x:v>
      </x:c>
      <x:c r="C90" s="24" t="str">
        <x:v>ehcache</x:v>
      </x:c>
      <x:c r="D90" s="36" t="n">
        <x:v>1</x:v>
      </x:c>
      <x:c r="E90" s="36" t="n">
        <x:v>1</x:v>
      </x:c>
      <x:c r="F90" s="36" t="n">
        <x:v>2</x:v>
      </x:c>
      <x:c r="G90" s="36" t="n">
        <x:v>5</x:v>
      </x:c>
      <x:c r="H90" s="43" t="n">
        <x:v>6069.2321001552045</x:v>
      </x:c>
      <x:c r="I90" s="43" t="n">
        <x:v>4112.231299746782</x:v>
      </x:c>
      <x:c r="J90" s="43" t="n">
        <x:v>6121.962899807841</x:v>
      </x:c>
      <x:c r="K90" s="43" t="n">
        <x:v>4139.047099743038</x:v>
      </x:c>
      <x:c r="L90" s="45" t="b">
        <x:v>1</x:v>
      </x:c>
      <x:c r="M90" s="45" t="b">
        <x:v>1</x:v>
      </x:c>
      <x:c r="N90" s="45" t="b">
        <x:v>1</x:v>
      </x:c>
      <x:c r="O90" s="46" t="n">
        <x:v>2</x:v>
      </x:c>
      <x:c r="P90" s="46" t="n">
        <x:v>2</x:v>
      </x:c>
      <x:c r="Q90" s="46" t="n">
        <x:v>3.0630000000819564</x:v>
      </x:c>
      <x:c r="R90" s="46" t="n">
        <x:v>10</x:v>
      </x:c>
      <x:c r="S90" s="46" t="n">
        <x:v>10</x:v>
      </x:c>
      <x:c r="T90" s="46" t="n">
        <x:v>12.125</x:v>
      </x:c>
      <x:c r="U90" s="46" t="n">
        <x:v>17.109999999869615</x:v>
      </x:c>
      <x:c r="V90" s="46" t="n">
        <x:v>2</x:v>
      </x:c>
      <x:c r="W90" s="46" t="n">
        <x:v>2</x:v>
      </x:c>
      <x:c r="X90" s="46" t="n">
        <x:v>3.2969999997876585</x:v>
      </x:c>
      <x:c r="Y90" s="46" t="n">
        <x:v>10</x:v>
      </x:c>
      <x:c r="Z90" s="46" t="n">
        <x:v>10</x:v>
      </x:c>
      <x:c r="AA90" s="46" t="n">
        <x:v>12.108999999705702</x:v>
      </x:c>
      <x:c r="AB90" s="46" t="n">
        <x:v>17.094000000040978</x:v>
      </x:c>
      <x:c r="AC90" s="61" t="n">
        <x:v>42806272</x:v>
      </x:c>
      <x:c r="AD90" s="61" t="n">
        <x:v>29696</x:v>
      </x:c>
      <x:c r="AE90" s="45" t="b">
        <x:v>1</x:v>
      </x:c>
      <x:c r="AF90" s="45" t="b">
        <x:v>1</x:v>
      </x:c>
      <x:c r="AG90" s="45" t="b">
        <x:v>1</x:v>
      </x:c>
      <x:c r="AH90" s="45" t="b">
        <x:v>1</x:v>
      </x:c>
      <x:c r="AI90" s="36" t="n">
        <x:v>0</x:v>
      </x:c>
      <x:c r="AJ90" s="59"/>
      <x:c r="AK90" s="45" t="b">
        <x:v>1</x:v>
      </x:c>
    </x:row>
    <x:row r="91" ht="22" customHeight="1">
      <x:c r="A91" s="24" t="str">
        <x:v>article1-unified-v4-2-fb3f101b-20260903-000401-default-f02-p1-ehcache</x:v>
      </x:c>
      <x:c r="B91" s="24" t="str">
        <x:v>default</x:v>
      </x:c>
      <x:c r="C91" s="24" t="str">
        <x:v>ehcache</x:v>
      </x:c>
      <x:c r="D91" s="36" t="n">
        <x:v>2</x:v>
      </x:c>
      <x:c r="E91" s="36" t="n">
        <x:v>2</x:v>
      </x:c>
      <x:c r="F91" s="36" t="n">
        <x:v>1</x:v>
      </x:c>
      <x:c r="G91" s="36" t="n">
        <x:v>1</x:v>
      </x:c>
      <x:c r="H91" s="43" t="n">
        <x:v>7381.620799656957</x:v>
      </x:c>
      <x:c r="I91" s="43" t="n">
        <x:v>4125.328799709678</x:v>
      </x:c>
      <x:c r="J91" s="43" t="n">
        <x:v>6385.067599825561</x:v>
      </x:c>
      <x:c r="K91" s="43" t="n">
        <x:v>4115.9796002320945</x:v>
      </x:c>
      <x:c r="L91" s="45" t="b">
        <x:v>1</x:v>
      </x:c>
      <x:c r="M91" s="45" t="b">
        <x:v>1</x:v>
      </x:c>
      <x:c r="N91" s="45" t="b">
        <x:v>1</x:v>
      </x:c>
      <x:c r="O91" s="46" t="n">
        <x:v>2</x:v>
      </x:c>
      <x:c r="P91" s="46" t="n">
        <x:v>2</x:v>
      </x:c>
      <x:c r="Q91" s="46" t="n">
        <x:v>3.266000000294298</x:v>
      </x:c>
      <x:c r="R91" s="46" t="n">
        <x:v>10</x:v>
      </x:c>
      <x:c r="S91" s="46" t="n">
        <x:v>10</x:v>
      </x:c>
      <x:c r="T91" s="46" t="n">
        <x:v>12.125</x:v>
      </x:c>
      <x:c r="U91" s="46" t="n">
        <x:v>17.516000000294298</x:v>
      </x:c>
      <x:c r="V91" s="46" t="n">
        <x:v>2</x:v>
      </x:c>
      <x:c r="W91" s="46" t="n">
        <x:v>2</x:v>
      </x:c>
      <x:c r="X91" s="46" t="n">
        <x:v>3.094000000040978</x:v>
      </x:c>
      <x:c r="Y91" s="46" t="n">
        <x:v>10</x:v>
      </x:c>
      <x:c r="Z91" s="46" t="n">
        <x:v>10</x:v>
      </x:c>
      <x:c r="AA91" s="46" t="n">
        <x:v>12.094000000040978</x:v>
      </x:c>
      <x:c r="AB91" s="46" t="n">
        <x:v>17.25</x:v>
      </x:c>
      <x:c r="AC91" s="61" t="n">
        <x:v>194164736</x:v>
      </x:c>
      <x:c r="AD91" s="61" t="n">
        <x:v>-17335296</x:v>
      </x:c>
      <x:c r="AE91" s="45" t="b">
        <x:v>0</x:v>
      </x:c>
      <x:c r="AF91" s="45" t="b">
        <x:v>1</x:v>
      </x:c>
      <x:c r="AG91" s="45" t="b">
        <x:v>1</x:v>
      </x:c>
      <x:c r="AH91" s="45" t="b">
        <x:v>1</x:v>
      </x:c>
      <x:c r="AI91" s="36" t="n">
        <x:v>0</x:v>
      </x:c>
      <x:c r="AJ91" s="59"/>
      <x:c r="AK91" s="45" t="b">
        <x:v>0</x:v>
      </x:c>
    </x:row>
    <x:row r="92" ht="22" customHeight="1">
      <x:c r="A92" s="24" t="str">
        <x:v>article1-unified-v4-2-fb3f101b-20260903-000401-default-f02-p1-ehcache</x:v>
      </x:c>
      <x:c r="B92" s="24" t="str">
        <x:v>default</x:v>
      </x:c>
      <x:c r="C92" s="24" t="str">
        <x:v>ehcache</x:v>
      </x:c>
      <x:c r="D92" s="36" t="n">
        <x:v>2</x:v>
      </x:c>
      <x:c r="E92" s="36" t="n">
        <x:v>2</x:v>
      </x:c>
      <x:c r="F92" s="36" t="n">
        <x:v>1</x:v>
      </x:c>
      <x:c r="G92" s="36" t="n">
        <x:v>2</x:v>
      </x:c>
      <x:c r="H92" s="43" t="n">
        <x:v>6442.656099796295</x:v>
      </x:c>
      <x:c r="I92" s="43" t="n">
        <x:v>4121.449499856681</x:v>
      </x:c>
      <x:c r="J92" s="43" t="n">
        <x:v>6211.058100219816</x:v>
      </x:c>
      <x:c r="K92" s="43" t="n">
        <x:v>4132.001599762589</x:v>
      </x:c>
      <x:c r="L92" s="45" t="b">
        <x:v>1</x:v>
      </x:c>
      <x:c r="M92" s="45" t="b">
        <x:v>1</x:v>
      </x:c>
      <x:c r="N92" s="45" t="b">
        <x:v>1</x:v>
      </x:c>
      <x:c r="O92" s="46" t="n">
        <x:v>2</x:v>
      </x:c>
      <x:c r="P92" s="46" t="n">
        <x:v>2</x:v>
      </x:c>
      <x:c r="Q92" s="46" t="n">
        <x:v>3.0470000002533197</x:v>
      </x:c>
      <x:c r="R92" s="46" t="n">
        <x:v>10</x:v>
      </x:c>
      <x:c r="S92" s="46" t="n">
        <x:v>10</x:v>
      </x:c>
      <x:c r="T92" s="46" t="n">
        <x:v>12.094000000040978</x:v>
      </x:c>
      <x:c r="U92" s="46" t="n">
        <x:v>17.030999999959022</x:v>
      </x:c>
      <x:c r="V92" s="46" t="n">
        <x:v>2</x:v>
      </x:c>
      <x:c r="W92" s="46" t="n">
        <x:v>2</x:v>
      </x:c>
      <x:c r="X92" s="46" t="n">
        <x:v>2.9380000000819564</x:v>
      </x:c>
      <x:c r="Y92" s="46" t="n">
        <x:v>10</x:v>
      </x:c>
      <x:c r="Z92" s="46" t="n">
        <x:v>10</x:v>
      </x:c>
      <x:c r="AA92" s="46" t="n">
        <x:v>12.109999999869615</x:v>
      </x:c>
      <x:c r="AB92" s="46" t="n">
        <x:v>16.969000000040978</x:v>
      </x:c>
      <x:c r="AC92" s="61" t="n">
        <x:v>38856704</x:v>
      </x:c>
      <x:c r="AD92" s="61" t="n">
        <x:v>46080</x:v>
      </x:c>
      <x:c r="AE92" s="45" t="b">
        <x:v>1</x:v>
      </x:c>
      <x:c r="AF92" s="45" t="b">
        <x:v>1</x:v>
      </x:c>
      <x:c r="AG92" s="45" t="b">
        <x:v>1</x:v>
      </x:c>
      <x:c r="AH92" s="45" t="b">
        <x:v>1</x:v>
      </x:c>
      <x:c r="AI92" s="36" t="n">
        <x:v>0</x:v>
      </x:c>
      <x:c r="AJ92" s="59"/>
      <x:c r="AK92" s="45" t="b">
        <x:v>1</x:v>
      </x:c>
    </x:row>
    <x:row r="93" ht="22" customHeight="1">
      <x:c r="A93" s="24" t="str">
        <x:v>article1-unified-v4-2-fb3f101b-20260903-000401-default-f02-p1-ehcache</x:v>
      </x:c>
      <x:c r="B93" s="24" t="str">
        <x:v>default</x:v>
      </x:c>
      <x:c r="C93" s="24" t="str">
        <x:v>ehcache</x:v>
      </x:c>
      <x:c r="D93" s="36" t="n">
        <x:v>2</x:v>
      </x:c>
      <x:c r="E93" s="36" t="n">
        <x:v>2</x:v>
      </x:c>
      <x:c r="F93" s="36" t="n">
        <x:v>1</x:v>
      </x:c>
      <x:c r="G93" s="36" t="n">
        <x:v>3</x:v>
      </x:c>
      <x:c r="H93" s="43" t="n">
        <x:v>6080.24219982326</x:v>
      </x:c>
      <x:c r="I93" s="43" t="n">
        <x:v>4137.819399591535</x:v>
      </x:c>
      <x:c r="J93" s="43" t="n">
        <x:v>6511.6290003061295</x:v>
      </x:c>
      <x:c r="K93" s="43" t="n">
        <x:v>4121.8898999504745</x:v>
      </x:c>
      <x:c r="L93" s="45" t="b">
        <x:v>1</x:v>
      </x:c>
      <x:c r="M93" s="45" t="b">
        <x:v>1</x:v>
      </x:c>
      <x:c r="N93" s="45" t="b">
        <x:v>1</x:v>
      </x:c>
      <x:c r="O93" s="46" t="n">
        <x:v>2</x:v>
      </x:c>
      <x:c r="P93" s="46" t="n">
        <x:v>2</x:v>
      </x:c>
      <x:c r="Q93" s="46" t="n">
        <x:v>2.9530000002123415</x:v>
      </x:c>
      <x:c r="R93" s="46" t="n">
        <x:v>10</x:v>
      </x:c>
      <x:c r="S93" s="46" t="n">
        <x:v>10</x:v>
      </x:c>
      <x:c r="T93" s="46" t="n">
        <x:v>12.109000000171363</x:v>
      </x:c>
      <x:c r="U93" s="46" t="n">
        <x:v>16.82800000021234</x:v>
      </x:c>
      <x:c r="V93" s="46" t="n">
        <x:v>2</x:v>
      </x:c>
      <x:c r="W93" s="46" t="n">
        <x:v>2</x:v>
      </x:c>
      <x:c r="X93" s="46" t="n">
        <x:v>3.296000000089407</x:v>
      </x:c>
      <x:c r="Y93" s="46" t="n">
        <x:v>10</x:v>
      </x:c>
      <x:c r="Z93" s="46" t="n">
        <x:v>10</x:v>
      </x:c>
      <x:c r="AA93" s="46" t="n">
        <x:v>12.092999999877065</x:v>
      </x:c>
      <x:c r="AB93" s="46" t="n">
        <x:v>16.905999999959022</x:v>
      </x:c>
      <x:c r="AC93" s="61" t="n">
        <x:v>8846336</x:v>
      </x:c>
      <x:c r="AD93" s="61" t="n">
        <x:v>44032</x:v>
      </x:c>
      <x:c r="AE93" s="45" t="b">
        <x:v>1</x:v>
      </x:c>
      <x:c r="AF93" s="45" t="b">
        <x:v>1</x:v>
      </x:c>
      <x:c r="AG93" s="45" t="b">
        <x:v>1</x:v>
      </x:c>
      <x:c r="AH93" s="45" t="b">
        <x:v>1</x:v>
      </x:c>
      <x:c r="AI93" s="36" t="n">
        <x:v>0</x:v>
      </x:c>
      <x:c r="AJ93" s="59"/>
      <x:c r="AK93" s="45" t="b">
        <x:v>1</x:v>
      </x:c>
    </x:row>
    <x:row r="94" ht="22" customHeight="1">
      <x:c r="A94" s="24" t="str">
        <x:v>article1-unified-v4-2-fb3f101b-20260903-000401-default-f02-p1-ehcache</x:v>
      </x:c>
      <x:c r="B94" s="24" t="str">
        <x:v>default</x:v>
      </x:c>
      <x:c r="C94" s="24" t="str">
        <x:v>ehcache</x:v>
      </x:c>
      <x:c r="D94" s="36" t="n">
        <x:v>2</x:v>
      </x:c>
      <x:c r="E94" s="36" t="n">
        <x:v>2</x:v>
      </x:c>
      <x:c r="F94" s="36" t="n">
        <x:v>1</x:v>
      </x:c>
      <x:c r="G94" s="36" t="n">
        <x:v>4</x:v>
      </x:c>
      <x:c r="H94" s="43" t="n">
        <x:v>6326.876499690115</x:v>
      </x:c>
      <x:c r="I94" s="43" t="n">
        <x:v>4095.7653000950813</x:v>
      </x:c>
      <x:c r="J94" s="43" t="n">
        <x:v>6121.390399988741</x:v>
      </x:c>
      <x:c r="K94" s="43" t="n">
        <x:v>4122.281899675727</x:v>
      </x:c>
      <x:c r="L94" s="45" t="b">
        <x:v>1</x:v>
      </x:c>
      <x:c r="M94" s="45" t="b">
        <x:v>1</x:v>
      </x:c>
      <x:c r="N94" s="45" t="b">
        <x:v>1</x:v>
      </x:c>
      <x:c r="O94" s="46" t="n">
        <x:v>2</x:v>
      </x:c>
      <x:c r="P94" s="46" t="n">
        <x:v>2</x:v>
      </x:c>
      <x:c r="Q94" s="46" t="n">
        <x:v>3.25</x:v>
      </x:c>
      <x:c r="R94" s="46" t="n">
        <x:v>10</x:v>
      </x:c>
      <x:c r="S94" s="46" t="n">
        <x:v>10</x:v>
      </x:c>
      <x:c r="T94" s="46" t="n">
        <x:v>12.108999999705702</x:v>
      </x:c>
      <x:c r="U94" s="46" t="n">
        <x:v>17.092999999877065</x:v>
      </x:c>
      <x:c r="V94" s="46" t="n">
        <x:v>2</x:v>
      </x:c>
      <x:c r="W94" s="46" t="n">
        <x:v>2</x:v>
      </x:c>
      <x:c r="X94" s="46" t="n">
        <x:v>3.469000000040978</x:v>
      </x:c>
      <x:c r="Y94" s="46" t="n">
        <x:v>10</x:v>
      </x:c>
      <x:c r="Z94" s="46" t="n">
        <x:v>10</x:v>
      </x:c>
      <x:c r="AA94" s="46" t="n">
        <x:v>12.108999999705702</x:v>
      </x:c>
      <x:c r="AB94" s="46" t="n">
        <x:v>18.469000000040978</x:v>
      </x:c>
      <x:c r="AC94" s="61" t="n">
        <x:v>39884800</x:v>
      </x:c>
      <x:c r="AD94" s="61" t="n">
        <x:v>28672</x:v>
      </x:c>
      <x:c r="AE94" s="45" t="b">
        <x:v>1</x:v>
      </x:c>
      <x:c r="AF94" s="45" t="b">
        <x:v>1</x:v>
      </x:c>
      <x:c r="AG94" s="45" t="b">
        <x:v>1</x:v>
      </x:c>
      <x:c r="AH94" s="45" t="b">
        <x:v>1</x:v>
      </x:c>
      <x:c r="AI94" s="36" t="n">
        <x:v>0</x:v>
      </x:c>
      <x:c r="AJ94" s="59"/>
      <x:c r="AK94" s="45" t="b">
        <x:v>1</x:v>
      </x:c>
    </x:row>
    <x:row r="95" ht="22" customHeight="1">
      <x:c r="A95" s="24" t="str">
        <x:v>article1-unified-v4-2-fb3f101b-20260903-000401-default-f02-p1-ehcache</x:v>
      </x:c>
      <x:c r="B95" s="24" t="str">
        <x:v>default</x:v>
      </x:c>
      <x:c r="C95" s="24" t="str">
        <x:v>ehcache</x:v>
      </x:c>
      <x:c r="D95" s="36" t="n">
        <x:v>2</x:v>
      </x:c>
      <x:c r="E95" s="36" t="n">
        <x:v>2</x:v>
      </x:c>
      <x:c r="F95" s="36" t="n">
        <x:v>1</x:v>
      </x:c>
      <x:c r="G95" s="36" t="n">
        <x:v>5</x:v>
      </x:c>
      <x:c r="H95" s="43" t="n">
        <x:v>6317.160999868065</x:v>
      </x:c>
      <x:c r="I95" s="43" t="n">
        <x:v>4112.985499668866</x:v>
      </x:c>
      <x:c r="J95" s="43" t="n">
        <x:v>5979.565400164574</x:v>
      </x:c>
      <x:c r="K95" s="43" t="n">
        <x:v>4097.142599988729</x:v>
      </x:c>
      <x:c r="L95" s="45" t="b">
        <x:v>1</x:v>
      </x:c>
      <x:c r="M95" s="45" t="b">
        <x:v>1</x:v>
      </x:c>
      <x:c r="N95" s="45" t="b">
        <x:v>1</x:v>
      </x:c>
      <x:c r="O95" s="46" t="n">
        <x:v>2</x:v>
      </x:c>
      <x:c r="P95" s="46" t="n">
        <x:v>2</x:v>
      </x:c>
      <x:c r="Q95" s="46" t="n">
        <x:v>3.3280000002123415</x:v>
      </x:c>
      <x:c r="R95" s="46" t="n">
        <x:v>10</x:v>
      </x:c>
      <x:c r="S95" s="46" t="n">
        <x:v>10</x:v>
      </x:c>
      <x:c r="T95" s="46" t="n">
        <x:v>12.109000000171363</x:v>
      </x:c>
      <x:c r="U95" s="46" t="n">
        <x:v>16.859000000171363</x:v>
      </x:c>
      <x:c r="V95" s="46" t="n">
        <x:v>2</x:v>
      </x:c>
      <x:c r="W95" s="46" t="n">
        <x:v>2</x:v>
      </x:c>
      <x:c r="X95" s="46" t="n">
        <x:v>2.9840000001713634</x:v>
      </x:c>
      <x:c r="Y95" s="46" t="n">
        <x:v>10</x:v>
      </x:c>
      <x:c r="Z95" s="46" t="n">
        <x:v>10</x:v>
      </x:c>
      <x:c r="AA95" s="46" t="n">
        <x:v>12.109000000171363</x:v>
      </x:c>
      <x:c r="AB95" s="46" t="n">
        <x:v>17.375</x:v>
      </x:c>
      <x:c r="AC95" s="61" t="n">
        <x:v>41460736</x:v>
      </x:c>
      <x:c r="AD95" s="61" t="n">
        <x:v>24576</x:v>
      </x:c>
      <x:c r="AE95" s="45" t="b">
        <x:v>1</x:v>
      </x:c>
      <x:c r="AF95" s="45" t="b">
        <x:v>1</x:v>
      </x:c>
      <x:c r="AG95" s="45" t="b">
        <x:v>1</x:v>
      </x:c>
      <x:c r="AH95" s="45" t="b">
        <x:v>1</x:v>
      </x:c>
      <x:c r="AI95" s="36" t="n">
        <x:v>0</x:v>
      </x:c>
      <x:c r="AJ95" s="59"/>
      <x:c r="AK95" s="45" t="b">
        <x:v>1</x:v>
      </x:c>
    </x:row>
    <x:row r="96" ht="22" customHeight="1">
      <x:c r="A96" s="24" t="str">
        <x:v>article1-unified-v4-2-fb3f101b-20260903-000401-default-f03-p3-ehcache</x:v>
      </x:c>
      <x:c r="B96" s="24" t="str">
        <x:v>default</x:v>
      </x:c>
      <x:c r="C96" s="24" t="str">
        <x:v>ehcache</x:v>
      </x:c>
      <x:c r="D96" s="36" t="n">
        <x:v>3</x:v>
      </x:c>
      <x:c r="E96" s="36" t="n">
        <x:v>3</x:v>
      </x:c>
      <x:c r="F96" s="36" t="n">
        <x:v>3</x:v>
      </x:c>
      <x:c r="G96" s="36" t="n">
        <x:v>1</x:v>
      </x:c>
      <x:c r="H96" s="43" t="n">
        <x:v>7140.039399731904</x:v>
      </x:c>
      <x:c r="I96" s="43" t="n">
        <x:v>4110.820099711418</x:v>
      </x:c>
      <x:c r="J96" s="43" t="n">
        <x:v>6400.06269980222</x:v>
      </x:c>
      <x:c r="K96" s="43" t="n">
        <x:v>4091.006299946457</x:v>
      </x:c>
      <x:c r="L96" s="45" t="b">
        <x:v>1</x:v>
      </x:c>
      <x:c r="M96" s="45" t="b">
        <x:v>1</x:v>
      </x:c>
      <x:c r="N96" s="45" t="b">
        <x:v>1</x:v>
      </x:c>
      <x:c r="O96" s="46" t="n">
        <x:v>2</x:v>
      </x:c>
      <x:c r="P96" s="46" t="n">
        <x:v>2</x:v>
      </x:c>
      <x:c r="Q96" s="46" t="n">
        <x:v>3.359999999869615</x:v>
      </x:c>
      <x:c r="R96" s="46" t="n">
        <x:v>10</x:v>
      </x:c>
      <x:c r="S96" s="46" t="n">
        <x:v>10</x:v>
      </x:c>
      <x:c r="T96" s="46" t="n">
        <x:v>12.063000000081956</x:v>
      </x:c>
      <x:c r="U96" s="46" t="n">
        <x:v>16.828999999910593</x:v>
      </x:c>
      <x:c r="V96" s="46" t="n">
        <x:v>2</x:v>
      </x:c>
      <x:c r="W96" s="46" t="n">
        <x:v>2</x:v>
      </x:c>
      <x:c r="X96" s="46" t="n">
        <x:v>3.140000000130385</x:v>
      </x:c>
      <x:c r="Y96" s="46" t="n">
        <x:v>10</x:v>
      </x:c>
      <x:c r="Z96" s="46" t="n">
        <x:v>10</x:v>
      </x:c>
      <x:c r="AA96" s="46" t="n">
        <x:v>12.078000000212342</x:v>
      </x:c>
      <x:c r="AB96" s="46" t="n">
        <x:v>17.905999999959022</x:v>
      </x:c>
      <x:c r="AC96" s="61" t="n">
        <x:v>194331648</x:v>
      </x:c>
      <x:c r="AD96" s="61" t="n">
        <x:v>-17333248</x:v>
      </x:c>
      <x:c r="AE96" s="45" t="b">
        <x:v>0</x:v>
      </x:c>
      <x:c r="AF96" s="45" t="b">
        <x:v>1</x:v>
      </x:c>
      <x:c r="AG96" s="45" t="b">
        <x:v>1</x:v>
      </x:c>
      <x:c r="AH96" s="45" t="b">
        <x:v>1</x:v>
      </x:c>
      <x:c r="AI96" s="36" t="n">
        <x:v>0</x:v>
      </x:c>
      <x:c r="AJ96" s="59"/>
      <x:c r="AK96" s="45" t="b">
        <x:v>1</x:v>
      </x:c>
    </x:row>
    <x:row r="97" ht="22" customHeight="1">
      <x:c r="A97" s="24" t="str">
        <x:v>article1-unified-v4-2-fb3f101b-20260903-000401-default-f03-p3-ehcache</x:v>
      </x:c>
      <x:c r="B97" s="24" t="str">
        <x:v>default</x:v>
      </x:c>
      <x:c r="C97" s="24" t="str">
        <x:v>ehcache</x:v>
      </x:c>
      <x:c r="D97" s="36" t="n">
        <x:v>3</x:v>
      </x:c>
      <x:c r="E97" s="36" t="n">
        <x:v>3</x:v>
      </x:c>
      <x:c r="F97" s="36" t="n">
        <x:v>3</x:v>
      </x:c>
      <x:c r="G97" s="36" t="n">
        <x:v>2</x:v>
      </x:c>
      <x:c r="H97" s="43" t="n">
        <x:v>6241.7902001179755</x:v>
      </x:c>
      <x:c r="I97" s="43" t="n">
        <x:v>4098.360899835825</x:v>
      </x:c>
      <x:c r="J97" s="43" t="n">
        <x:v>6294.993000105023</x:v>
      </x:c>
      <x:c r="K97" s="43" t="n">
        <x:v>4099.289000034332</x:v>
      </x:c>
      <x:c r="L97" s="45" t="b">
        <x:v>1</x:v>
      </x:c>
      <x:c r="M97" s="45" t="b">
        <x:v>1</x:v>
      </x:c>
      <x:c r="N97" s="45" t="b">
        <x:v>1</x:v>
      </x:c>
      <x:c r="O97" s="46" t="n">
        <x:v>2</x:v>
      </x:c>
      <x:c r="P97" s="46" t="n">
        <x:v>2</x:v>
      </x:c>
      <x:c r="Q97" s="46" t="n">
        <x:v>3.3279999997466803</x:v>
      </x:c>
      <x:c r="R97" s="46" t="n">
        <x:v>10</x:v>
      </x:c>
      <x:c r="S97" s="46" t="n">
        <x:v>10</x:v>
      </x:c>
      <x:c r="T97" s="46" t="n">
        <x:v>12.108999999705702</x:v>
      </x:c>
      <x:c r="U97" s="46" t="n">
        <x:v>16.625</x:v>
      </x:c>
      <x:c r="V97" s="46" t="n">
        <x:v>2</x:v>
      </x:c>
      <x:c r="W97" s="46" t="n">
        <x:v>2</x:v>
      </x:c>
      <x:c r="X97" s="46" t="n">
        <x:v>3.0619999999180436</x:v>
      </x:c>
      <x:c r="Y97" s="46" t="n">
        <x:v>10</x:v>
      </x:c>
      <x:c r="Z97" s="46" t="n">
        <x:v>10</x:v>
      </x:c>
      <x:c r="AA97" s="46" t="n">
        <x:v>12.092999999877065</x:v>
      </x:c>
      <x:c r="AB97" s="46" t="n">
        <x:v>17.20299999974668</x:v>
      </x:c>
      <x:c r="AC97" s="61" t="n">
        <x:v>41245696</x:v>
      </x:c>
      <x:c r="AD97" s="61" t="n">
        <x:v>-18432</x:v>
      </x:c>
      <x:c r="AE97" s="45" t="b">
        <x:v>1</x:v>
      </x:c>
      <x:c r="AF97" s="45" t="b">
        <x:v>1</x:v>
      </x:c>
      <x:c r="AG97" s="45" t="b">
        <x:v>1</x:v>
      </x:c>
      <x:c r="AH97" s="45" t="b">
        <x:v>1</x:v>
      </x:c>
      <x:c r="AI97" s="36" t="n">
        <x:v>0</x:v>
      </x:c>
      <x:c r="AJ97" s="59"/>
      <x:c r="AK97" s="45" t="b">
        <x:v>1</x:v>
      </x:c>
    </x:row>
    <x:row r="98" ht="22" customHeight="1">
      <x:c r="A98" s="24" t="str">
        <x:v>article1-unified-v4-2-fb3f101b-20260903-000401-default-f03-p3-ehcache</x:v>
      </x:c>
      <x:c r="B98" s="24" t="str">
        <x:v>default</x:v>
      </x:c>
      <x:c r="C98" s="24" t="str">
        <x:v>ehcache</x:v>
      </x:c>
      <x:c r="D98" s="36" t="n">
        <x:v>3</x:v>
      </x:c>
      <x:c r="E98" s="36" t="n">
        <x:v>3</x:v>
      </x:c>
      <x:c r="F98" s="36" t="n">
        <x:v>3</x:v>
      </x:c>
      <x:c r="G98" s="36" t="n">
        <x:v>3</x:v>
      </x:c>
      <x:c r="H98" s="43" t="n">
        <x:v>6075.1951998099685</x:v>
      </x:c>
      <x:c r="I98" s="43" t="n">
        <x:v>4128.131700213999</x:v>
      </x:c>
      <x:c r="J98" s="43" t="n">
        <x:v>6151.997699867934</x:v>
      </x:c>
      <x:c r="K98" s="43" t="n">
        <x:v>4113.081699702889</x:v>
      </x:c>
      <x:c r="L98" s="45" t="b">
        <x:v>1</x:v>
      </x:c>
      <x:c r="M98" s="45" t="b">
        <x:v>1</x:v>
      </x:c>
      <x:c r="N98" s="45" t="b">
        <x:v>1</x:v>
      </x:c>
      <x:c r="O98" s="46" t="n">
        <x:v>2</x:v>
      </x:c>
      <x:c r="P98" s="46" t="n">
        <x:v>2</x:v>
      </x:c>
      <x:c r="Q98" s="46" t="n">
        <x:v>3.0630000000819564</x:v>
      </x:c>
      <x:c r="R98" s="46" t="n">
        <x:v>10</x:v>
      </x:c>
      <x:c r="S98" s="46" t="n">
        <x:v>10</x:v>
      </x:c>
      <x:c r="T98" s="46" t="n">
        <x:v>12.094000000040978</x:v>
      </x:c>
      <x:c r="U98" s="46" t="n">
        <x:v>16.813000000081956</x:v>
      </x:c>
      <x:c r="V98" s="46" t="n">
        <x:v>2</x:v>
      </x:c>
      <x:c r="W98" s="46" t="n">
        <x:v>2</x:v>
      </x:c>
      <x:c r="X98" s="46" t="n">
        <x:v>3.141000000294298</x:v>
      </x:c>
      <x:c r="Y98" s="46" t="n">
        <x:v>10</x:v>
      </x:c>
      <x:c r="Z98" s="46" t="n">
        <x:v>10</x:v>
      </x:c>
      <x:c r="AA98" s="46" t="n">
        <x:v>12.078000000212342</x:v>
      </x:c>
      <x:c r="AB98" s="46" t="n">
        <x:v>16.70300000021234</x:v>
      </x:c>
      <x:c r="AC98" s="61" t="n">
        <x:v>40370176</x:v>
      </x:c>
      <x:c r="AD98" s="61" t="n">
        <x:v>40960</x:v>
      </x:c>
      <x:c r="AE98" s="45" t="b">
        <x:v>1</x:v>
      </x:c>
      <x:c r="AF98" s="45" t="b">
        <x:v>1</x:v>
      </x:c>
      <x:c r="AG98" s="45" t="b">
        <x:v>1</x:v>
      </x:c>
      <x:c r="AH98" s="45" t="b">
        <x:v>1</x:v>
      </x:c>
      <x:c r="AI98" s="36" t="n">
        <x:v>0</x:v>
      </x:c>
      <x:c r="AJ98" s="59"/>
      <x:c r="AK98" s="45" t="b">
        <x:v>1</x:v>
      </x:c>
    </x:row>
    <x:row r="99" ht="22" customHeight="1">
      <x:c r="A99" s="24" t="str">
        <x:v>article1-unified-v4-2-fb3f101b-20260903-000401-default-f03-p3-ehcache</x:v>
      </x:c>
      <x:c r="B99" s="24" t="str">
        <x:v>default</x:v>
      </x:c>
      <x:c r="C99" s="24" t="str">
        <x:v>ehcache</x:v>
      </x:c>
      <x:c r="D99" s="36" t="n">
        <x:v>3</x:v>
      </x:c>
      <x:c r="E99" s="36" t="n">
        <x:v>3</x:v>
      </x:c>
      <x:c r="F99" s="36" t="n">
        <x:v>3</x:v>
      </x:c>
      <x:c r="G99" s="36" t="n">
        <x:v>4</x:v>
      </x:c>
      <x:c r="H99" s="43" t="n">
        <x:v>6237.352500203997</x:v>
      </x:c>
      <x:c r="I99" s="43" t="n">
        <x:v>4092.4561000429094</x:v>
      </x:c>
      <x:c r="J99" s="43" t="n">
        <x:v>6263.164000120014</x:v>
      </x:c>
      <x:c r="K99" s="43" t="n">
        <x:v>4103.397499769926</x:v>
      </x:c>
      <x:c r="L99" s="45" t="b">
        <x:v>1</x:v>
      </x:c>
      <x:c r="M99" s="45" t="b">
        <x:v>1</x:v>
      </x:c>
      <x:c r="N99" s="45" t="b">
        <x:v>1</x:v>
      </x:c>
      <x:c r="O99" s="46" t="n">
        <x:v>2</x:v>
      </x:c>
      <x:c r="P99" s="46" t="n">
        <x:v>2</x:v>
      </x:c>
      <x:c r="Q99" s="46" t="n">
        <x:v>2.9529999997466803</x:v>
      </x:c>
      <x:c r="R99" s="46" t="n">
        <x:v>10</x:v>
      </x:c>
      <x:c r="S99" s="46" t="n">
        <x:v>10.015999999828637</x:v>
      </x:c>
      <x:c r="T99" s="46" t="n">
        <x:v>12.125</x:v>
      </x:c>
      <x:c r="U99" s="46" t="n">
        <x:v>16.984999999869615</x:v>
      </x:c>
      <x:c r="V99" s="46" t="n">
        <x:v>2</x:v>
      </x:c>
      <x:c r="W99" s="46" t="n">
        <x:v>2</x:v>
      </x:c>
      <x:c r="X99" s="46" t="n">
        <x:v>3.1090000001713634</x:v>
      </x:c>
      <x:c r="Y99" s="46" t="n">
        <x:v>10</x:v>
      </x:c>
      <x:c r="Z99" s="46" t="n">
        <x:v>10</x:v>
      </x:c>
      <x:c r="AA99" s="46" t="n">
        <x:v>12.109000000171363</x:v>
      </x:c>
      <x:c r="AB99" s="46" t="n">
        <x:v>17.45300000021234</x:v>
      </x:c>
      <x:c r="AC99" s="61" t="n">
        <x:v>41763840</x:v>
      </x:c>
      <x:c r="AD99" s="61" t="n">
        <x:v>11264</x:v>
      </x:c>
      <x:c r="AE99" s="45" t="b">
        <x:v>1</x:v>
      </x:c>
      <x:c r="AF99" s="45" t="b">
        <x:v>1</x:v>
      </x:c>
      <x:c r="AG99" s="45" t="b">
        <x:v>1</x:v>
      </x:c>
      <x:c r="AH99" s="45" t="b">
        <x:v>1</x:v>
      </x:c>
      <x:c r="AI99" s="36" t="n">
        <x:v>0</x:v>
      </x:c>
      <x:c r="AJ99" s="59"/>
      <x:c r="AK99" s="45" t="b">
        <x:v>1</x:v>
      </x:c>
    </x:row>
    <x:row r="100" ht="22" customHeight="1">
      <x:c r="A100" s="24" t="str">
        <x:v>article1-unified-v4-2-fb3f101b-20260903-000401-default-f03-p3-ehcache</x:v>
      </x:c>
      <x:c r="B100" s="24" t="str">
        <x:v>default</x:v>
      </x:c>
      <x:c r="C100" s="24" t="str">
        <x:v>ehcache</x:v>
      </x:c>
      <x:c r="D100" s="36" t="n">
        <x:v>3</x:v>
      </x:c>
      <x:c r="E100" s="36" t="n">
        <x:v>3</x:v>
      </x:c>
      <x:c r="F100" s="36" t="n">
        <x:v>3</x:v>
      </x:c>
      <x:c r="G100" s="36" t="n">
        <x:v>5</x:v>
      </x:c>
      <x:c r="H100" s="43" t="n">
        <x:v>6293.504199944437</x:v>
      </x:c>
      <x:c r="I100" s="43" t="n">
        <x:v>4118.923699948937</x:v>
      </x:c>
      <x:c r="J100" s="43" t="n">
        <x:v>6162.32470003888</x:v>
      </x:c>
      <x:c r="K100" s="43" t="n">
        <x:v>4104.189100209624</x:v>
      </x:c>
      <x:c r="L100" s="45" t="b">
        <x:v>1</x:v>
      </x:c>
      <x:c r="M100" s="45" t="b">
        <x:v>1</x:v>
      </x:c>
      <x:c r="N100" s="45" t="b">
        <x:v>1</x:v>
      </x:c>
      <x:c r="O100" s="46" t="n">
        <x:v>2</x:v>
      </x:c>
      <x:c r="P100" s="46" t="n">
        <x:v>2</x:v>
      </x:c>
      <x:c r="Q100" s="46" t="n">
        <x:v>2.875</x:v>
      </x:c>
      <x:c r="R100" s="46" t="n">
        <x:v>10</x:v>
      </x:c>
      <x:c r="S100" s="46" t="n">
        <x:v>10.016000000294298</x:v>
      </x:c>
      <x:c r="T100" s="46" t="n">
        <x:v>12.110000000335276</x:v>
      </x:c>
      <x:c r="U100" s="46" t="n">
        <x:v>16.938000000081956</x:v>
      </x:c>
      <x:c r="V100" s="46" t="n">
        <x:v>2</x:v>
      </x:c>
      <x:c r="W100" s="46" t="n">
        <x:v>2</x:v>
      </x:c>
      <x:c r="X100" s="46" t="n">
        <x:v>3.1090000001713634</x:v>
      </x:c>
      <x:c r="Y100" s="46" t="n">
        <x:v>10</x:v>
      </x:c>
      <x:c r="Z100" s="46" t="n">
        <x:v>10</x:v>
      </x:c>
      <x:c r="AA100" s="46" t="n">
        <x:v>12.109000000171363</x:v>
      </x:c>
      <x:c r="AB100" s="46" t="n">
        <x:v>16.655999999959022</x:v>
      </x:c>
      <x:c r="AC100" s="61" t="n">
        <x:v>42795008</x:v>
      </x:c>
      <x:c r="AD100" s="61" t="n">
        <x:v>31744</x:v>
      </x:c>
      <x:c r="AE100" s="45" t="b">
        <x:v>1</x:v>
      </x:c>
      <x:c r="AF100" s="45" t="b">
        <x:v>1</x:v>
      </x:c>
      <x:c r="AG100" s="45" t="b">
        <x:v>1</x:v>
      </x:c>
      <x:c r="AH100" s="45" t="b">
        <x:v>1</x:v>
      </x:c>
      <x:c r="AI100" s="36" t="n">
        <x:v>0</x:v>
      </x:c>
      <x:c r="AJ100" s="59"/>
      <x:c r="AK100" s="45" t="b">
        <x:v>1</x:v>
      </x:c>
    </x:row>
    <x:row r="101" ht="22" customHeight="1">
      <x:c r="A101" s="24" t="str">
        <x:v>article1-unified-v4-2-fb3f101b-20260903-000401-default-f04-p5-ehcache</x:v>
      </x:c>
      <x:c r="B101" s="24" t="str">
        <x:v>default</x:v>
      </x:c>
      <x:c r="C101" s="24" t="str">
        <x:v>ehcache</x:v>
      </x:c>
      <x:c r="D101" s="36" t="n">
        <x:v>4</x:v>
      </x:c>
      <x:c r="E101" s="36" t="n">
        <x:v>4</x:v>
      </x:c>
      <x:c r="F101" s="36" t="n">
        <x:v>5</x:v>
      </x:c>
      <x:c r="G101" s="36" t="n">
        <x:v>1</x:v>
      </x:c>
      <x:c r="H101" s="43" t="n">
        <x:v>6935.656599700451</x:v>
      </x:c>
      <x:c r="I101" s="43" t="n">
        <x:v>4143.84900033474</x:v>
      </x:c>
      <x:c r="J101" s="43" t="n">
        <x:v>6504.512699786574</x:v>
      </x:c>
      <x:c r="K101" s="43" t="n">
        <x:v>4119.240200147033</x:v>
      </x:c>
      <x:c r="L101" s="45" t="b">
        <x:v>1</x:v>
      </x:c>
      <x:c r="M101" s="45" t="b">
        <x:v>1</x:v>
      </x:c>
      <x:c r="N101" s="45" t="b">
        <x:v>1</x:v>
      </x:c>
      <x:c r="O101" s="46" t="n">
        <x:v>2</x:v>
      </x:c>
      <x:c r="P101" s="46" t="n">
        <x:v>2</x:v>
      </x:c>
      <x:c r="Q101" s="46" t="n">
        <x:v>2.9840000001713634</x:v>
      </x:c>
      <x:c r="R101" s="46" t="n">
        <x:v>10</x:v>
      </x:c>
      <x:c r="S101" s="46" t="n">
        <x:v>10</x:v>
      </x:c>
      <x:c r="T101" s="46" t="n">
        <x:v>12.092999999877065</x:v>
      </x:c>
      <x:c r="U101" s="46" t="n">
        <x:v>16.875</x:v>
      </x:c>
      <x:c r="V101" s="46" t="n">
        <x:v>2</x:v>
      </x:c>
      <x:c r="W101" s="46" t="n">
        <x:v>2</x:v>
      </x:c>
      <x:c r="X101" s="46" t="n">
        <x:v>2.9530000002123415</x:v>
      </x:c>
      <x:c r="Y101" s="46" t="n">
        <x:v>10</x:v>
      </x:c>
      <x:c r="Z101" s="46" t="n">
        <x:v>10.016000000294298</x:v>
      </x:c>
      <x:c r="AA101" s="46" t="n">
        <x:v>12.125</x:v>
      </x:c>
      <x:c r="AB101" s="46" t="n">
        <x:v>16.891000000294298</x:v>
      </x:c>
      <x:c r="AC101" s="61" t="n">
        <x:v>197590016</x:v>
      </x:c>
      <x:c r="AD101" s="61" t="n">
        <x:v>-16839680</x:v>
      </x:c>
      <x:c r="AE101" s="45" t="b">
        <x:v>0</x:v>
      </x:c>
      <x:c r="AF101" s="45" t="b">
        <x:v>1</x:v>
      </x:c>
      <x:c r="AG101" s="45" t="b">
        <x:v>1</x:v>
      </x:c>
      <x:c r="AH101" s="45" t="b">
        <x:v>1</x:v>
      </x:c>
      <x:c r="AI101" s="36" t="n">
        <x:v>0</x:v>
      </x:c>
      <x:c r="AJ101" s="59"/>
      <x:c r="AK101" s="45" t="b">
        <x:v>1</x:v>
      </x:c>
    </x:row>
    <x:row r="102" ht="22" customHeight="1">
      <x:c r="A102" s="24" t="str">
        <x:v>article1-unified-v4-2-fb3f101b-20260903-000401-default-f04-p5-ehcache</x:v>
      </x:c>
      <x:c r="B102" s="24" t="str">
        <x:v>default</x:v>
      </x:c>
      <x:c r="C102" s="24" t="str">
        <x:v>ehcache</x:v>
      </x:c>
      <x:c r="D102" s="36" t="n">
        <x:v>4</x:v>
      </x:c>
      <x:c r="E102" s="36" t="n">
        <x:v>4</x:v>
      </x:c>
      <x:c r="F102" s="36" t="n">
        <x:v>5</x:v>
      </x:c>
      <x:c r="G102" s="36" t="n">
        <x:v>2</x:v>
      </x:c>
      <x:c r="H102" s="43" t="n">
        <x:v>6094.351300038397</x:v>
      </x:c>
      <x:c r="I102" s="43" t="n">
        <x:v>4107.693100348115</x:v>
      </x:c>
      <x:c r="J102" s="43" t="n">
        <x:v>6047.012900002301</x:v>
      </x:c>
      <x:c r="K102" s="43" t="n">
        <x:v>4101.120899897069</x:v>
      </x:c>
      <x:c r="L102" s="45" t="b">
        <x:v>1</x:v>
      </x:c>
      <x:c r="M102" s="45" t="b">
        <x:v>1</x:v>
      </x:c>
      <x:c r="N102" s="45" t="b">
        <x:v>1</x:v>
      </x:c>
      <x:c r="O102" s="46" t="n">
        <x:v>2</x:v>
      </x:c>
      <x:c r="P102" s="46" t="n">
        <x:v>2</x:v>
      </x:c>
      <x:c r="Q102" s="46" t="n">
        <x:v>2.9369999999180436</x:v>
      </x:c>
      <x:c r="R102" s="46" t="n">
        <x:v>10</x:v>
      </x:c>
      <x:c r="S102" s="46" t="n">
        <x:v>10.015999999828637</x:v>
      </x:c>
      <x:c r="T102" s="46" t="n">
        <x:v>12.125</x:v>
      </x:c>
      <x:c r="U102" s="46" t="n">
        <x:v>17.061999999918044</x:v>
      </x:c>
      <x:c r="V102" s="46" t="n">
        <x:v>2</x:v>
      </x:c>
      <x:c r="W102" s="46" t="n">
        <x:v>2</x:v>
      </x:c>
      <x:c r="X102" s="46" t="n">
        <x:v>3.3130000000819564</x:v>
      </x:c>
      <x:c r="Y102" s="46" t="n">
        <x:v>10</x:v>
      </x:c>
      <x:c r="Z102" s="46" t="n">
        <x:v>10</x:v>
      </x:c>
      <x:c r="AA102" s="46" t="n">
        <x:v>12.094000000040978</x:v>
      </x:c>
      <x:c r="AB102" s="46" t="n">
        <x:v>16.484000000171363</x:v>
      </x:c>
      <x:c r="AC102" s="61" t="n">
        <x:v>40911872</x:v>
      </x:c>
      <x:c r="AD102" s="61" t="n">
        <x:v>45056</x:v>
      </x:c>
      <x:c r="AE102" s="45" t="b">
        <x:v>1</x:v>
      </x:c>
      <x:c r="AF102" s="45" t="b">
        <x:v>1</x:v>
      </x:c>
      <x:c r="AG102" s="45" t="b">
        <x:v>1</x:v>
      </x:c>
      <x:c r="AH102" s="45" t="b">
        <x:v>1</x:v>
      </x:c>
      <x:c r="AI102" s="36" t="n">
        <x:v>0</x:v>
      </x:c>
      <x:c r="AJ102" s="59"/>
      <x:c r="AK102" s="45" t="b">
        <x:v>1</x:v>
      </x:c>
    </x:row>
    <x:row r="103" ht="22" customHeight="1">
      <x:c r="A103" s="24" t="str">
        <x:v>article1-unified-v4-2-fb3f101b-20260903-000401-default-f04-p5-ehcache</x:v>
      </x:c>
      <x:c r="B103" s="24" t="str">
        <x:v>default</x:v>
      </x:c>
      <x:c r="C103" s="24" t="str">
        <x:v>ehcache</x:v>
      </x:c>
      <x:c r="D103" s="36" t="n">
        <x:v>4</x:v>
      </x:c>
      <x:c r="E103" s="36" t="n">
        <x:v>4</x:v>
      </x:c>
      <x:c r="F103" s="36" t="n">
        <x:v>5</x:v>
      </x:c>
      <x:c r="G103" s="36" t="n">
        <x:v>3</x:v>
      </x:c>
      <x:c r="H103" s="43" t="n">
        <x:v>6126.104900147766</x:v>
      </x:c>
      <x:c r="I103" s="43" t="n">
        <x:v>4122.844200115651</x:v>
      </x:c>
      <x:c r="J103" s="43" t="n">
        <x:v>6006.530600134283</x:v>
      </x:c>
      <x:c r="K103" s="43" t="n">
        <x:v>4148.986099753529</x:v>
      </x:c>
      <x:c r="L103" s="45" t="b">
        <x:v>1</x:v>
      </x:c>
      <x:c r="M103" s="45" t="b">
        <x:v>1</x:v>
      </x:c>
      <x:c r="N103" s="45" t="b">
        <x:v>1</x:v>
      </x:c>
      <x:c r="O103" s="46" t="n">
        <x:v>2</x:v>
      </x:c>
      <x:c r="P103" s="46" t="n">
        <x:v>2</x:v>
      </x:c>
      <x:c r="Q103" s="46" t="n">
        <x:v>3.0779999997466803</x:v>
      </x:c>
      <x:c r="R103" s="46" t="n">
        <x:v>10</x:v>
      </x:c>
      <x:c r="S103" s="46" t="n">
        <x:v>10</x:v>
      </x:c>
      <x:c r="T103" s="46" t="n">
        <x:v>12.109999999869615</x:v>
      </x:c>
      <x:c r="U103" s="46" t="n">
        <x:v>16.67199999978766</x:v>
      </x:c>
      <x:c r="V103" s="46" t="n">
        <x:v>2</x:v>
      </x:c>
      <x:c r="W103" s="46" t="n">
        <x:v>2.014999999664724</x:v>
      </x:c>
      <x:c r="X103" s="46" t="n">
        <x:v>3.2029999997466803</x:v>
      </x:c>
      <x:c r="Y103" s="46" t="n">
        <x:v>10</x:v>
      </x:c>
      <x:c r="Z103" s="46" t="n">
        <x:v>10</x:v>
      </x:c>
      <x:c r="AA103" s="46" t="n">
        <x:v>12.125</x:v>
      </x:c>
      <x:c r="AB103" s="46" t="n">
        <x:v>16.875</x:v>
      </x:c>
      <x:c r="AC103" s="61" t="n">
        <x:v>44609536</x:v>
      </x:c>
      <x:c r="AD103" s="61" t="n">
        <x:v>34816</x:v>
      </x:c>
      <x:c r="AE103" s="45" t="b">
        <x:v>1</x:v>
      </x:c>
      <x:c r="AF103" s="45" t="b">
        <x:v>1</x:v>
      </x:c>
      <x:c r="AG103" s="45" t="b">
        <x:v>1</x:v>
      </x:c>
      <x:c r="AH103" s="45" t="b">
        <x:v>1</x:v>
      </x:c>
      <x:c r="AI103" s="36" t="n">
        <x:v>0</x:v>
      </x:c>
      <x:c r="AJ103" s="59"/>
      <x:c r="AK103" s="45" t="b">
        <x:v>1</x:v>
      </x:c>
    </x:row>
    <x:row r="104" ht="22" customHeight="1">
      <x:c r="A104" s="24" t="str">
        <x:v>article1-unified-v4-2-fb3f101b-20260903-000401-default-f04-p5-ehcache</x:v>
      </x:c>
      <x:c r="B104" s="24" t="str">
        <x:v>default</x:v>
      </x:c>
      <x:c r="C104" s="24" t="str">
        <x:v>ehcache</x:v>
      </x:c>
      <x:c r="D104" s="36" t="n">
        <x:v>4</x:v>
      </x:c>
      <x:c r="E104" s="36" t="n">
        <x:v>4</x:v>
      </x:c>
      <x:c r="F104" s="36" t="n">
        <x:v>5</x:v>
      </x:c>
      <x:c r="G104" s="36" t="n">
        <x:v>4</x:v>
      </x:c>
      <x:c r="H104" s="43" t="n">
        <x:v>6053.516100160778</x:v>
      </x:c>
      <x:c r="I104" s="43" t="n">
        <x:v>4124.107599724084</x:v>
      </x:c>
      <x:c r="J104" s="43" t="n">
        <x:v>5927.378499880433</x:v>
      </x:c>
      <x:c r="K104" s="43" t="n">
        <x:v>4133.8737001642585</x:v>
      </x:c>
      <x:c r="L104" s="45" t="b">
        <x:v>1</x:v>
      </x:c>
      <x:c r="M104" s="45" t="b">
        <x:v>1</x:v>
      </x:c>
      <x:c r="N104" s="45" t="b">
        <x:v>1</x:v>
      </x:c>
      <x:c r="O104" s="46" t="n">
        <x:v>2</x:v>
      </x:c>
      <x:c r="P104" s="46" t="n">
        <x:v>2</x:v>
      </x:c>
      <x:c r="Q104" s="46" t="n">
        <x:v>2.9380000000819564</x:v>
      </x:c>
      <x:c r="R104" s="46" t="n">
        <x:v>10</x:v>
      </x:c>
      <x:c r="S104" s="46" t="n">
        <x:v>10</x:v>
      </x:c>
      <x:c r="T104" s="46" t="n">
        <x:v>12.094000000040978</x:v>
      </x:c>
      <x:c r="U104" s="46" t="n">
        <x:v>16.42199999978766</x:v>
      </x:c>
      <x:c r="V104" s="46" t="n">
        <x:v>2</x:v>
      </x:c>
      <x:c r="W104" s="46" t="n">
        <x:v>2</x:v>
      </x:c>
      <x:c r="X104" s="46" t="n">
        <x:v>2.9530000002123415</x:v>
      </x:c>
      <x:c r="Y104" s="46" t="n">
        <x:v>10</x:v>
      </x:c>
      <x:c r="Z104" s="46" t="n">
        <x:v>10.016000000294298</x:v>
      </x:c>
      <x:c r="AA104" s="46" t="n">
        <x:v>12.110000000335276</x:v>
      </x:c>
      <x:c r="AB104" s="46" t="n">
        <x:v>16.985000000335276</x:v>
      </x:c>
      <x:c r="AC104" s="61" t="n">
        <x:v>39523328</x:v>
      </x:c>
      <x:c r="AD104" s="61" t="n">
        <x:v>8192</x:v>
      </x:c>
      <x:c r="AE104" s="45" t="b">
        <x:v>1</x:v>
      </x:c>
      <x:c r="AF104" s="45" t="b">
        <x:v>1</x:v>
      </x:c>
      <x:c r="AG104" s="45" t="b">
        <x:v>1</x:v>
      </x:c>
      <x:c r="AH104" s="45" t="b">
        <x:v>1</x:v>
      </x:c>
      <x:c r="AI104" s="36" t="n">
        <x:v>0</x:v>
      </x:c>
      <x:c r="AJ104" s="59"/>
      <x:c r="AK104" s="45" t="b">
        <x:v>1</x:v>
      </x:c>
    </x:row>
    <x:row r="105" ht="22" customHeight="1">
      <x:c r="A105" s="24" t="str">
        <x:v>article1-unified-v4-2-fb3f101b-20260903-000401-default-f04-p5-ehcache</x:v>
      </x:c>
      <x:c r="B105" s="24" t="str">
        <x:v>default</x:v>
      </x:c>
      <x:c r="C105" s="24" t="str">
        <x:v>ehcache</x:v>
      </x:c>
      <x:c r="D105" s="36" t="n">
        <x:v>4</x:v>
      </x:c>
      <x:c r="E105" s="36" t="n">
        <x:v>4</x:v>
      </x:c>
      <x:c r="F105" s="36" t="n">
        <x:v>5</x:v>
      </x:c>
      <x:c r="G105" s="36" t="n">
        <x:v>5</x:v>
      </x:c>
      <x:c r="H105" s="43" t="n">
        <x:v>6254.609799943864</x:v>
      </x:c>
      <x:c r="I105" s="43" t="n">
        <x:v>4118.595700245351</x:v>
      </x:c>
      <x:c r="J105" s="43" t="n">
        <x:v>5908.8949002325535</x:v>
      </x:c>
      <x:c r="K105" s="43" t="n">
        <x:v>4124.363400042057</x:v>
      </x:c>
      <x:c r="L105" s="45" t="b">
        <x:v>1</x:v>
      </x:c>
      <x:c r="M105" s="45" t="b">
        <x:v>1</x:v>
      </x:c>
      <x:c r="N105" s="45" t="b">
        <x:v>1</x:v>
      </x:c>
      <x:c r="O105" s="46" t="n">
        <x:v>2</x:v>
      </x:c>
      <x:c r="P105" s="46" t="n">
        <x:v>2</x:v>
      </x:c>
      <x:c r="Q105" s="46" t="n">
        <x:v>3</x:v>
      </x:c>
      <x:c r="R105" s="46" t="n">
        <x:v>10</x:v>
      </x:c>
      <x:c r="S105" s="46" t="n">
        <x:v>10.015999999828637</x:v>
      </x:c>
      <x:c r="T105" s="46" t="n">
        <x:v>12.125</x:v>
      </x:c>
      <x:c r="U105" s="46" t="n">
        <x:v>16.484999999869615</x:v>
      </x:c>
      <x:c r="V105" s="46" t="n">
        <x:v>2</x:v>
      </x:c>
      <x:c r="W105" s="46" t="n">
        <x:v>2</x:v>
      </x:c>
      <x:c r="X105" s="46" t="n">
        <x:v>3.125</x:v>
      </x:c>
      <x:c r="Y105" s="46" t="n">
        <x:v>10</x:v>
      </x:c>
      <x:c r="Z105" s="46" t="n">
        <x:v>10.015000000130385</x:v>
      </x:c>
      <x:c r="AA105" s="46" t="n">
        <x:v>12.125</x:v>
      </x:c>
      <x:c r="AB105" s="46" t="n">
        <x:v>16.765000000130385</x:v>
      </x:c>
      <x:c r="AC105" s="61" t="n">
        <x:v>0</x:v>
      </x:c>
      <x:c r="AD105" s="61" t="n">
        <x:v>23552</x:v>
      </x:c>
      <x:c r="AE105" s="45" t="b">
        <x:v>1</x:v>
      </x:c>
      <x:c r="AF105" s="45" t="b">
        <x:v>1</x:v>
      </x:c>
      <x:c r="AG105" s="45" t="b">
        <x:v>1</x:v>
      </x:c>
      <x:c r="AH105" s="45" t="b">
        <x:v>1</x:v>
      </x:c>
      <x:c r="AI105" s="36" t="n">
        <x:v>0</x:v>
      </x:c>
      <x:c r="AJ105" s="59"/>
      <x:c r="AK105" s="45" t="b">
        <x:v>1</x:v>
      </x:c>
    </x:row>
    <x:row r="106" ht="22" customHeight="1">
      <x:c r="A106" s="24" t="str">
        <x:v>article1-unified-v4-2-fb3f101b-20260903-000401-default-f05-p6-ehcache</x:v>
      </x:c>
      <x:c r="B106" s="24" t="str">
        <x:v>default</x:v>
      </x:c>
      <x:c r="C106" s="24" t="str">
        <x:v>ehcache</x:v>
      </x:c>
      <x:c r="D106" s="36" t="n">
        <x:v>5</x:v>
      </x:c>
      <x:c r="E106" s="36" t="n">
        <x:v>5</x:v>
      </x:c>
      <x:c r="F106" s="36" t="n">
        <x:v>6</x:v>
      </x:c>
      <x:c r="G106" s="36" t="n">
        <x:v>1</x:v>
      </x:c>
      <x:c r="H106" s="43" t="n">
        <x:v>6947.154500056058</x:v>
      </x:c>
      <x:c r="I106" s="43" t="n">
        <x:v>4144.254599697888</x:v>
      </x:c>
      <x:c r="J106" s="43" t="n">
        <x:v>6306.13679997623</x:v>
      </x:c>
      <x:c r="K106" s="43" t="n">
        <x:v>4146.9920999370515</x:v>
      </x:c>
      <x:c r="L106" s="45" t="b">
        <x:v>1</x:v>
      </x:c>
      <x:c r="M106" s="45" t="b">
        <x:v>1</x:v>
      </x:c>
      <x:c r="N106" s="45" t="b">
        <x:v>1</x:v>
      </x:c>
      <x:c r="O106" s="46" t="n">
        <x:v>2</x:v>
      </x:c>
      <x:c r="P106" s="46" t="n">
        <x:v>2.016000000294298</x:v>
      </x:c>
      <x:c r="Q106" s="46" t="n">
        <x:v>3.0630000000819564</x:v>
      </x:c>
      <x:c r="R106" s="46" t="n">
        <x:v>10</x:v>
      </x:c>
      <x:c r="S106" s="46" t="n">
        <x:v>10.016000000294298</x:v>
      </x:c>
      <x:c r="T106" s="46" t="n">
        <x:v>12.078000000212342</x:v>
      </x:c>
      <x:c r="U106" s="46" t="n">
        <x:v>16.79700000025332</x:v>
      </x:c>
      <x:c r="V106" s="46" t="n">
        <x:v>2</x:v>
      </x:c>
      <x:c r="W106" s="46" t="n">
        <x:v>2</x:v>
      </x:c>
      <x:c r="X106" s="46" t="n">
        <x:v>3.108999999705702</x:v>
      </x:c>
      <x:c r="Y106" s="46" t="n">
        <x:v>10</x:v>
      </x:c>
      <x:c r="Z106" s="46" t="n">
        <x:v>10</x:v>
      </x:c>
      <x:c r="AA106" s="46" t="n">
        <x:v>12.094000000040978</x:v>
      </x:c>
      <x:c r="AB106" s="46" t="n">
        <x:v>16.733999999705702</x:v>
      </x:c>
      <x:c r="AC106" s="61" t="n">
        <x:v>193709056</x:v>
      </x:c>
      <x:c r="AD106" s="61" t="n">
        <x:v>-12897280</x:v>
      </x:c>
      <x:c r="AE106" s="45" t="b">
        <x:v>0</x:v>
      </x:c>
      <x:c r="AF106" s="45" t="b">
        <x:v>1</x:v>
      </x:c>
      <x:c r="AG106" s="45" t="b">
        <x:v>1</x:v>
      </x:c>
      <x:c r="AH106" s="45" t="b">
        <x:v>1</x:v>
      </x:c>
      <x:c r="AI106" s="36" t="n">
        <x:v>0</x:v>
      </x:c>
      <x:c r="AJ106" s="59"/>
      <x:c r="AK106" s="45" t="b">
        <x:v>1</x:v>
      </x:c>
    </x:row>
    <x:row r="107" ht="22" customHeight="1">
      <x:c r="A107" s="24" t="str">
        <x:v>article1-unified-v4-2-fb3f101b-20260903-000401-default-f05-p6-ehcache</x:v>
      </x:c>
      <x:c r="B107" s="24" t="str">
        <x:v>default</x:v>
      </x:c>
      <x:c r="C107" s="24" t="str">
        <x:v>ehcache</x:v>
      </x:c>
      <x:c r="D107" s="36" t="n">
        <x:v>5</x:v>
      </x:c>
      <x:c r="E107" s="36" t="n">
        <x:v>5</x:v>
      </x:c>
      <x:c r="F107" s="36" t="n">
        <x:v>6</x:v>
      </x:c>
      <x:c r="G107" s="36" t="n">
        <x:v>2</x:v>
      </x:c>
      <x:c r="H107" s="43" t="n">
        <x:v>6367.204800248146</x:v>
      </x:c>
      <x:c r="I107" s="43" t="n">
        <x:v>4145.2572997659445</x:v>
      </x:c>
      <x:c r="J107" s="43" t="n">
        <x:v>5959.673900157213</x:v>
      </x:c>
      <x:c r="K107" s="43" t="n">
        <x:v>4109.956199768931</x:v>
      </x:c>
      <x:c r="L107" s="45" t="b">
        <x:v>1</x:v>
      </x:c>
      <x:c r="M107" s="45" t="b">
        <x:v>1</x:v>
      </x:c>
      <x:c r="N107" s="45" t="b">
        <x:v>1</x:v>
      </x:c>
      <x:c r="O107" s="46" t="n">
        <x:v>2</x:v>
      </x:c>
      <x:c r="P107" s="46" t="n">
        <x:v>2</x:v>
      </x:c>
      <x:c r="Q107" s="46" t="n">
        <x:v>3.030999999959022</x:v>
      </x:c>
      <x:c r="R107" s="46" t="n">
        <x:v>10</x:v>
      </x:c>
      <x:c r="S107" s="46" t="n">
        <x:v>10</x:v>
      </x:c>
      <x:c r="T107" s="46" t="n">
        <x:v>12.125</x:v>
      </x:c>
      <x:c r="U107" s="46" t="n">
        <x:v>16.765000000130385</x:v>
      </x:c>
      <x:c r="V107" s="46" t="n">
        <x:v>2</x:v>
      </x:c>
      <x:c r="W107" s="46" t="n">
        <x:v>2</x:v>
      </x:c>
      <x:c r="X107" s="46" t="n">
        <x:v>3.125</x:v>
      </x:c>
      <x:c r="Y107" s="46" t="n">
        <x:v>10</x:v>
      </x:c>
      <x:c r="Z107" s="46" t="n">
        <x:v>10</x:v>
      </x:c>
      <x:c r="AA107" s="46" t="n">
        <x:v>12.109000000171363</x:v>
      </x:c>
      <x:c r="AB107" s="46" t="n">
        <x:v>16.719000000040978</x:v>
      </x:c>
      <x:c r="AC107" s="61" t="n">
        <x:v>41366528</x:v>
      </x:c>
      <x:c r="AD107" s="61" t="n">
        <x:v>-4358144</x:v>
      </x:c>
      <x:c r="AE107" s="45" t="b">
        <x:v>1</x:v>
      </x:c>
      <x:c r="AF107" s="45" t="b">
        <x:v>1</x:v>
      </x:c>
      <x:c r="AG107" s="45" t="b">
        <x:v>1</x:v>
      </x:c>
      <x:c r="AH107" s="45" t="b">
        <x:v>1</x:v>
      </x:c>
      <x:c r="AI107" s="36" t="n">
        <x:v>0</x:v>
      </x:c>
      <x:c r="AJ107" s="59"/>
      <x:c r="AK107" s="45" t="b">
        <x:v>1</x:v>
      </x:c>
    </x:row>
    <x:row r="108" ht="22" customHeight="1">
      <x:c r="A108" s="24" t="str">
        <x:v>article1-unified-v4-2-fb3f101b-20260903-000401-default-f05-p6-ehcache</x:v>
      </x:c>
      <x:c r="B108" s="24" t="str">
        <x:v>default</x:v>
      </x:c>
      <x:c r="C108" s="24" t="str">
        <x:v>ehcache</x:v>
      </x:c>
      <x:c r="D108" s="36" t="n">
        <x:v>5</x:v>
      </x:c>
      <x:c r="E108" s="36" t="n">
        <x:v>5</x:v>
      </x:c>
      <x:c r="F108" s="36" t="n">
        <x:v>6</x:v>
      </x:c>
      <x:c r="G108" s="36" t="n">
        <x:v>3</x:v>
      </x:c>
      <x:c r="H108" s="43" t="n">
        <x:v>6067.736199591309</x:v>
      </x:c>
      <x:c r="I108" s="43" t="n">
        <x:v>4105.802400037646</x:v>
      </x:c>
      <x:c r="J108" s="43" t="n">
        <x:v>6130.65529987216</x:v>
      </x:c>
      <x:c r="K108" s="43" t="n">
        <x:v>4105.0444999709725</x:v>
      </x:c>
      <x:c r="L108" s="45" t="b">
        <x:v>1</x:v>
      </x:c>
      <x:c r="M108" s="45" t="b">
        <x:v>1</x:v>
      </x:c>
      <x:c r="N108" s="45" t="b">
        <x:v>1</x:v>
      </x:c>
      <x:c r="O108" s="46" t="n">
        <x:v>2</x:v>
      </x:c>
      <x:c r="P108" s="46" t="n">
        <x:v>2</x:v>
      </x:c>
      <x:c r="Q108" s="46" t="n">
        <x:v>3.0630000000819564</x:v>
      </x:c>
      <x:c r="R108" s="46" t="n">
        <x:v>10</x:v>
      </x:c>
      <x:c r="S108" s="46" t="n">
        <x:v>10</x:v>
      </x:c>
      <x:c r="T108" s="46" t="n">
        <x:v>12.094000000040978</x:v>
      </x:c>
      <x:c r="U108" s="46" t="n">
        <x:v>17.016000000294298</x:v>
      </x:c>
      <x:c r="V108" s="46" t="n">
        <x:v>2</x:v>
      </x:c>
      <x:c r="W108" s="46" t="n">
        <x:v>2.014999999664724</x:v>
      </x:c>
      <x:c r="X108" s="46" t="n">
        <x:v>3.125</x:v>
      </x:c>
      <x:c r="Y108" s="46" t="n">
        <x:v>10</x:v>
      </x:c>
      <x:c r="Z108" s="46" t="n">
        <x:v>10</x:v>
      </x:c>
      <x:c r="AA108" s="46" t="n">
        <x:v>12.092999999877065</x:v>
      </x:c>
      <x:c r="AB108" s="46" t="n">
        <x:v>16.92199999978766</x:v>
      </x:c>
      <x:c r="AC108" s="61" t="n">
        <x:v>45967360</x:v>
      </x:c>
      <x:c r="AD108" s="61" t="n">
        <x:v>49152</x:v>
      </x:c>
      <x:c r="AE108" s="45" t="b">
        <x:v>1</x:v>
      </x:c>
      <x:c r="AF108" s="45" t="b">
        <x:v>1</x:v>
      </x:c>
      <x:c r="AG108" s="45" t="b">
        <x:v>1</x:v>
      </x:c>
      <x:c r="AH108" s="45" t="b">
        <x:v>1</x:v>
      </x:c>
      <x:c r="AI108" s="36" t="n">
        <x:v>0</x:v>
      </x:c>
      <x:c r="AJ108" s="59"/>
      <x:c r="AK108" s="45" t="b">
        <x:v>1</x:v>
      </x:c>
    </x:row>
    <x:row r="109" ht="22" customHeight="1">
      <x:c r="A109" s="24" t="str">
        <x:v>article1-unified-v4-2-fb3f101b-20260903-000401-default-f05-p6-ehcache</x:v>
      </x:c>
      <x:c r="B109" s="24" t="str">
        <x:v>default</x:v>
      </x:c>
      <x:c r="C109" s="24" t="str">
        <x:v>ehcache</x:v>
      </x:c>
      <x:c r="D109" s="36" t="n">
        <x:v>5</x:v>
      </x:c>
      <x:c r="E109" s="36" t="n">
        <x:v>5</x:v>
      </x:c>
      <x:c r="F109" s="36" t="n">
        <x:v>6</x:v>
      </x:c>
      <x:c r="G109" s="36" t="n">
        <x:v>4</x:v>
      </x:c>
      <x:c r="H109" s="43" t="n">
        <x:v>6093.339299783111</x:v>
      </x:c>
      <x:c r="I109" s="43" t="n">
        <x:v>4107.913400046527</x:v>
      </x:c>
      <x:c r="J109" s="43" t="n">
        <x:v>5994.029700290412</x:v>
      </x:c>
      <x:c r="K109" s="43" t="n">
        <x:v>4118.985000066459</x:v>
      </x:c>
      <x:c r="L109" s="45" t="b">
        <x:v>1</x:v>
      </x:c>
      <x:c r="M109" s="45" t="b">
        <x:v>1</x:v>
      </x:c>
      <x:c r="N109" s="45" t="b">
        <x:v>1</x:v>
      </x:c>
      <x:c r="O109" s="46" t="n">
        <x:v>2</x:v>
      </x:c>
      <x:c r="P109" s="46" t="n">
        <x:v>2</x:v>
      </x:c>
      <x:c r="Q109" s="46" t="n">
        <x:v>3.344000000040978</x:v>
      </x:c>
      <x:c r="R109" s="46" t="n">
        <x:v>10</x:v>
      </x:c>
      <x:c r="S109" s="46" t="n">
        <x:v>10</x:v>
      </x:c>
      <x:c r="T109" s="46" t="n">
        <x:v>12.140999999828637</x:v>
      </x:c>
      <x:c r="U109" s="46" t="n">
        <x:v>16.907000000122935</x:v>
      </x:c>
      <x:c r="V109" s="46" t="n">
        <x:v>2</x:v>
      </x:c>
      <x:c r="W109" s="46" t="n">
        <x:v>2</x:v>
      </x:c>
      <x:c r="X109" s="46" t="n">
        <x:v>3.390000000130385</x:v>
      </x:c>
      <x:c r="Y109" s="46" t="n">
        <x:v>10</x:v>
      </x:c>
      <x:c r="Z109" s="46" t="n">
        <x:v>10</x:v>
      </x:c>
      <x:c r="AA109" s="46" t="n">
        <x:v>12.094000000040978</x:v>
      </x:c>
      <x:c r="AB109" s="46" t="n">
        <x:v>16.905999999959022</x:v>
      </x:c>
      <x:c r="AC109" s="61" t="n">
        <x:v>40949760</x:v>
      </x:c>
      <x:c r="AD109" s="61" t="n">
        <x:v>2048</x:v>
      </x:c>
      <x:c r="AE109" s="45" t="b">
        <x:v>1</x:v>
      </x:c>
      <x:c r="AF109" s="45" t="b">
        <x:v>1</x:v>
      </x:c>
      <x:c r="AG109" s="45" t="b">
        <x:v>1</x:v>
      </x:c>
      <x:c r="AH109" s="45" t="b">
        <x:v>1</x:v>
      </x:c>
      <x:c r="AI109" s="36" t="n">
        <x:v>0</x:v>
      </x:c>
      <x:c r="AJ109" s="59"/>
      <x:c r="AK109" s="45" t="b">
        <x:v>1</x:v>
      </x:c>
    </x:row>
    <x:row r="110" ht="22" customHeight="1">
      <x:c r="A110" s="24" t="str">
        <x:v>article1-unified-v4-2-fb3f101b-20260903-000401-default-f05-p6-ehcache</x:v>
      </x:c>
      <x:c r="B110" s="24" t="str">
        <x:v>default</x:v>
      </x:c>
      <x:c r="C110" s="24" t="str">
        <x:v>ehcache</x:v>
      </x:c>
      <x:c r="D110" s="36" t="n">
        <x:v>5</x:v>
      </x:c>
      <x:c r="E110" s="36" t="n">
        <x:v>5</x:v>
      </x:c>
      <x:c r="F110" s="36" t="n">
        <x:v>6</x:v>
      </x:c>
      <x:c r="G110" s="36" t="n">
        <x:v>5</x:v>
      </x:c>
      <x:c r="H110" s="43" t="n">
        <x:v>5975.404600147158</x:v>
      </x:c>
      <x:c r="I110" s="43" t="n">
        <x:v>4127.453600056469</x:v>
      </x:c>
      <x:c r="J110" s="43" t="n">
        <x:v>6067.67959985882</x:v>
      </x:c>
      <x:c r="K110" s="43" t="n">
        <x:v>4112.152999732643</x:v>
      </x:c>
      <x:c r="L110" s="45" t="b">
        <x:v>1</x:v>
      </x:c>
      <x:c r="M110" s="45" t="b">
        <x:v>1</x:v>
      </x:c>
      <x:c r="N110" s="45" t="b">
        <x:v>1</x:v>
      </x:c>
      <x:c r="O110" s="46" t="n">
        <x:v>2</x:v>
      </x:c>
      <x:c r="P110" s="46" t="n">
        <x:v>2</x:v>
      </x:c>
      <x:c r="Q110" s="46" t="n">
        <x:v>3.1869999999180436</x:v>
      </x:c>
      <x:c r="R110" s="46" t="n">
        <x:v>10</x:v>
      </x:c>
      <x:c r="S110" s="46" t="n">
        <x:v>10</x:v>
      </x:c>
      <x:c r="T110" s="46" t="n">
        <x:v>12.092999999877065</x:v>
      </x:c>
      <x:c r="U110" s="46" t="n">
        <x:v>16.561999999918044</x:v>
      </x:c>
      <x:c r="V110" s="46" t="n">
        <x:v>2</x:v>
      </x:c>
      <x:c r="W110" s="46" t="n">
        <x:v>2</x:v>
      </x:c>
      <x:c r="X110" s="46" t="n">
        <x:v>3.1719999997876585</x:v>
      </x:c>
      <x:c r="Y110" s="46" t="n">
        <x:v>10</x:v>
      </x:c>
      <x:c r="Z110" s="46" t="n">
        <x:v>10</x:v>
      </x:c>
      <x:c r="AA110" s="46" t="n">
        <x:v>12.109999999869615</x:v>
      </x:c>
      <x:c r="AB110" s="46" t="n">
        <x:v>16.984999999869615</x:v>
      </x:c>
      <x:c r="AC110" s="61" t="n">
        <x:v>45153280</x:v>
      </x:c>
      <x:c r="AD110" s="61" t="n">
        <x:v>30720</x:v>
      </x:c>
      <x:c r="AE110" s="45" t="b">
        <x:v>1</x:v>
      </x:c>
      <x:c r="AF110" s="45" t="b">
        <x:v>1</x:v>
      </x:c>
      <x:c r="AG110" s="45" t="b">
        <x:v>1</x:v>
      </x:c>
      <x:c r="AH110" s="45" t="b">
        <x:v>1</x:v>
      </x:c>
      <x:c r="AI110" s="36" t="n">
        <x:v>0</x:v>
      </x:c>
      <x:c r="AJ110" s="59"/>
      <x:c r="AK110" s="45" t="b">
        <x:v>1</x:v>
      </x:c>
    </x:row>
    <x:row r="111" ht="22" customHeight="1">
      <x:c r="A111" s="24" t="str">
        <x:v>article1-unified-v4-2-fb3f101b-20260903-000401-default-f06-p4-ehcache</x:v>
      </x:c>
      <x:c r="B111" s="24" t="str">
        <x:v>default</x:v>
      </x:c>
      <x:c r="C111" s="24" t="str">
        <x:v>ehcache</x:v>
      </x:c>
      <x:c r="D111" s="36" t="n">
        <x:v>6</x:v>
      </x:c>
      <x:c r="E111" s="36" t="n">
        <x:v>6</x:v>
      </x:c>
      <x:c r="F111" s="36" t="n">
        <x:v>4</x:v>
      </x:c>
      <x:c r="G111" s="36" t="n">
        <x:v>1</x:v>
      </x:c>
      <x:c r="H111" s="43" t="n">
        <x:v>6878.444599919021</x:v>
      </x:c>
      <x:c r="I111" s="43" t="n">
        <x:v>4135.5806002393365</x:v>
      </x:c>
      <x:c r="J111" s="43" t="n">
        <x:v>6235.726299695671</x:v>
      </x:c>
      <x:c r="K111" s="43" t="n">
        <x:v>4110.417900141329</x:v>
      </x:c>
      <x:c r="L111" s="45" t="b">
        <x:v>1</x:v>
      </x:c>
      <x:c r="M111" s="45" t="b">
        <x:v>1</x:v>
      </x:c>
      <x:c r="N111" s="45" t="b">
        <x:v>1</x:v>
      </x:c>
      <x:c r="O111" s="46" t="n">
        <x:v>2</x:v>
      </x:c>
      <x:c r="P111" s="46" t="n">
        <x:v>2</x:v>
      </x:c>
      <x:c r="Q111" s="46" t="n">
        <x:v>3.265000000130385</x:v>
      </x:c>
      <x:c r="R111" s="46" t="n">
        <x:v>10</x:v>
      </x:c>
      <x:c r="S111" s="46" t="n">
        <x:v>10</x:v>
      </x:c>
      <x:c r="T111" s="46" t="n">
        <x:v>12.078000000212342</x:v>
      </x:c>
      <x:c r="U111" s="46" t="n">
        <x:v>16.70300000021234</x:v>
      </x:c>
      <x:c r="V111" s="46" t="n">
        <x:v>2</x:v>
      </x:c>
      <x:c r="W111" s="46" t="n">
        <x:v>2</x:v>
      </x:c>
      <x:c r="X111" s="46" t="n">
        <x:v>3.078999999910593</x:v>
      </x:c>
      <x:c r="Y111" s="46" t="n">
        <x:v>10</x:v>
      </x:c>
      <x:c r="Z111" s="46" t="n">
        <x:v>10</x:v>
      </x:c>
      <x:c r="AA111" s="46" t="n">
        <x:v>12.094000000040978</x:v>
      </x:c>
      <x:c r="AB111" s="46" t="n">
        <x:v>17.219000000040978</x:v>
      </x:c>
      <x:c r="AC111" s="61" t="n">
        <x:v>196016128</x:v>
      </x:c>
      <x:c r="AD111" s="61" t="n">
        <x:v>-17287168</x:v>
      </x:c>
      <x:c r="AE111" s="45" t="b">
        <x:v>0</x:v>
      </x:c>
      <x:c r="AF111" s="45" t="b">
        <x:v>1</x:v>
      </x:c>
      <x:c r="AG111" s="45" t="b">
        <x:v>1</x:v>
      </x:c>
      <x:c r="AH111" s="45" t="b">
        <x:v>1</x:v>
      </x:c>
      <x:c r="AI111" s="36" t="n">
        <x:v>0</x:v>
      </x:c>
      <x:c r="AJ111" s="59"/>
      <x:c r="AK111" s="45" t="b">
        <x:v>1</x:v>
      </x:c>
    </x:row>
    <x:row r="112" ht="22" customHeight="1">
      <x:c r="A112" s="24" t="str">
        <x:v>article1-unified-v4-2-fb3f101b-20260903-000401-default-f06-p4-ehcache</x:v>
      </x:c>
      <x:c r="B112" s="24" t="str">
        <x:v>default</x:v>
      </x:c>
      <x:c r="C112" s="24" t="str">
        <x:v>ehcache</x:v>
      </x:c>
      <x:c r="D112" s="36" t="n">
        <x:v>6</x:v>
      </x:c>
      <x:c r="E112" s="36" t="n">
        <x:v>6</x:v>
      </x:c>
      <x:c r="F112" s="36" t="n">
        <x:v>4</x:v>
      </x:c>
      <x:c r="G112" s="36" t="n">
        <x:v>2</x:v>
      </x:c>
      <x:c r="H112" s="43" t="n">
        <x:v>6379.618200007826</x:v>
      </x:c>
      <x:c r="I112" s="43" t="n">
        <x:v>4108.655900228769</x:v>
      </x:c>
      <x:c r="J112" s="43" t="n">
        <x:v>6080.567599739879</x:v>
      </x:c>
      <x:c r="K112" s="43" t="n">
        <x:v>4108.611399773508</x:v>
      </x:c>
      <x:c r="L112" s="45" t="b">
        <x:v>1</x:v>
      </x:c>
      <x:c r="M112" s="45" t="b">
        <x:v>1</x:v>
      </x:c>
      <x:c r="N112" s="45" t="b">
        <x:v>1</x:v>
      </x:c>
      <x:c r="O112" s="46" t="n">
        <x:v>2</x:v>
      </x:c>
      <x:c r="P112" s="46" t="n">
        <x:v>2</x:v>
      </x:c>
      <x:c r="Q112" s="46" t="n">
        <x:v>2.9220000002533197</x:v>
      </x:c>
      <x:c r="R112" s="46" t="n">
        <x:v>10</x:v>
      </x:c>
      <x:c r="S112" s="46" t="n">
        <x:v>10</x:v>
      </x:c>
      <x:c r="T112" s="46" t="n">
        <x:v>12.094000000040978</x:v>
      </x:c>
      <x:c r="U112" s="46" t="n">
        <x:v>17.155999999959022</x:v>
      </x:c>
      <x:c r="V112" s="46" t="n">
        <x:v>2</x:v>
      </x:c>
      <x:c r="W112" s="46" t="n">
        <x:v>2</x:v>
      </x:c>
      <x:c r="X112" s="46" t="n">
        <x:v>3.0470000002533197</x:v>
      </x:c>
      <x:c r="Y112" s="46" t="n">
        <x:v>10</x:v>
      </x:c>
      <x:c r="Z112" s="46" t="n">
        <x:v>10</x:v>
      </x:c>
      <x:c r="AA112" s="46" t="n">
        <x:v>12.125</x:v>
      </x:c>
      <x:c r="AB112" s="46" t="n">
        <x:v>16.844000000040978</x:v>
      </x:c>
      <x:c r="AC112" s="61" t="n">
        <x:v>44899328</x:v>
      </x:c>
      <x:c r="AD112" s="61" t="n">
        <x:v>24576</x:v>
      </x:c>
      <x:c r="AE112" s="45" t="b">
        <x:v>1</x:v>
      </x:c>
      <x:c r="AF112" s="45" t="b">
        <x:v>1</x:v>
      </x:c>
      <x:c r="AG112" s="45" t="b">
        <x:v>1</x:v>
      </x:c>
      <x:c r="AH112" s="45" t="b">
        <x:v>1</x:v>
      </x:c>
      <x:c r="AI112" s="36" t="n">
        <x:v>0</x:v>
      </x:c>
      <x:c r="AJ112" s="59"/>
      <x:c r="AK112" s="45" t="b">
        <x:v>1</x:v>
      </x:c>
    </x:row>
    <x:row r="113" ht="22" customHeight="1">
      <x:c r="A113" s="24" t="str">
        <x:v>article1-unified-v4-2-fb3f101b-20260903-000401-default-f06-p4-ehcache</x:v>
      </x:c>
      <x:c r="B113" s="24" t="str">
        <x:v>default</x:v>
      </x:c>
      <x:c r="C113" s="24" t="str">
        <x:v>ehcache</x:v>
      </x:c>
      <x:c r="D113" s="36" t="n">
        <x:v>6</x:v>
      </x:c>
      <x:c r="E113" s="36" t="n">
        <x:v>6</x:v>
      </x:c>
      <x:c r="F113" s="36" t="n">
        <x:v>4</x:v>
      </x:c>
      <x:c r="G113" s="36" t="n">
        <x:v>3</x:v>
      </x:c>
      <x:c r="H113" s="43" t="n">
        <x:v>6008.880399633199</x:v>
      </x:c>
      <x:c r="I113" s="43" t="n">
        <x:v>4101.3291999697685</x:v>
      </x:c>
      <x:c r="J113" s="43" t="n">
        <x:v>6044.815000146627</x:v>
      </x:c>
      <x:c r="K113" s="43" t="n">
        <x:v>4144.043299835175</x:v>
      </x:c>
      <x:c r="L113" s="45" t="b">
        <x:v>1</x:v>
      </x:c>
      <x:c r="M113" s="45" t="b">
        <x:v>1</x:v>
      </x:c>
      <x:c r="N113" s="45" t="b">
        <x:v>1</x:v>
      </x:c>
      <x:c r="O113" s="46" t="n">
        <x:v>2</x:v>
      </x:c>
      <x:c r="P113" s="46" t="n">
        <x:v>2</x:v>
      </x:c>
      <x:c r="Q113" s="46" t="n">
        <x:v>3.1570000001229346</x:v>
      </x:c>
      <x:c r="R113" s="46" t="n">
        <x:v>10</x:v>
      </x:c>
      <x:c r="S113" s="46" t="n">
        <x:v>10</x:v>
      </x:c>
      <x:c r="T113" s="46" t="n">
        <x:v>12.094000000040978</x:v>
      </x:c>
      <x:c r="U113" s="46" t="n">
        <x:v>16.844000000040978</x:v>
      </x:c>
      <x:c r="V113" s="46" t="n">
        <x:v>2</x:v>
      </x:c>
      <x:c r="W113" s="46" t="n">
        <x:v>2</x:v>
      </x:c>
      <x:c r="X113" s="46" t="n">
        <x:v>3</x:v>
      </x:c>
      <x:c r="Y113" s="46" t="n">
        <x:v>10</x:v>
      </x:c>
      <x:c r="Z113" s="46" t="n">
        <x:v>10</x:v>
      </x:c>
      <x:c r="AA113" s="46" t="n">
        <x:v>12.109999999869615</x:v>
      </x:c>
      <x:c r="AB113" s="46" t="n">
        <x:v>16.875</x:v>
      </x:c>
      <x:c r="AC113" s="61" t="n">
        <x:v>43857920</x:v>
      </x:c>
      <x:c r="AD113" s="61" t="n">
        <x:v>39936</x:v>
      </x:c>
      <x:c r="AE113" s="45" t="b">
        <x:v>1</x:v>
      </x:c>
      <x:c r="AF113" s="45" t="b">
        <x:v>1</x:v>
      </x:c>
      <x:c r="AG113" s="45" t="b">
        <x:v>1</x:v>
      </x:c>
      <x:c r="AH113" s="45" t="b">
        <x:v>1</x:v>
      </x:c>
      <x:c r="AI113" s="36" t="n">
        <x:v>0</x:v>
      </x:c>
      <x:c r="AJ113" s="59"/>
      <x:c r="AK113" s="45" t="b">
        <x:v>1</x:v>
      </x:c>
    </x:row>
    <x:row r="114" ht="22" customHeight="1">
      <x:c r="A114" s="24" t="str">
        <x:v>article1-unified-v4-2-fb3f101b-20260903-000401-default-f06-p4-ehcache</x:v>
      </x:c>
      <x:c r="B114" s="24" t="str">
        <x:v>default</x:v>
      </x:c>
      <x:c r="C114" s="24" t="str">
        <x:v>ehcache</x:v>
      </x:c>
      <x:c r="D114" s="36" t="n">
        <x:v>6</x:v>
      </x:c>
      <x:c r="E114" s="36" t="n">
        <x:v>6</x:v>
      </x:c>
      <x:c r="F114" s="36" t="n">
        <x:v>4</x:v>
      </x:c>
      <x:c r="G114" s="36" t="n">
        <x:v>4</x:v>
      </x:c>
      <x:c r="H114" s="43" t="n">
        <x:v>5953.380699735135</x:v>
      </x:c>
      <x:c r="I114" s="43" t="n">
        <x:v>4122.2991002723575</x:v>
      </x:c>
      <x:c r="J114" s="43" t="n">
        <x:v>6098.801900167018</x:v>
      </x:c>
      <x:c r="K114" s="43" t="n">
        <x:v>4125.262300018221</x:v>
      </x:c>
      <x:c r="L114" s="45" t="b">
        <x:v>1</x:v>
      </x:c>
      <x:c r="M114" s="45" t="b">
        <x:v>1</x:v>
      </x:c>
      <x:c r="N114" s="45" t="b">
        <x:v>1</x:v>
      </x:c>
      <x:c r="O114" s="46" t="n">
        <x:v>2</x:v>
      </x:c>
      <x:c r="P114" s="46" t="n">
        <x:v>2</x:v>
      </x:c>
      <x:c r="Q114" s="46" t="n">
        <x:v>3.235000000335276</x:v>
      </x:c>
      <x:c r="R114" s="46" t="n">
        <x:v>10</x:v>
      </x:c>
      <x:c r="S114" s="46" t="n">
        <x:v>10</x:v>
      </x:c>
      <x:c r="T114" s="46" t="n">
        <x:v>12.110000000335276</x:v>
      </x:c>
      <x:c r="U114" s="46" t="n">
        <x:v>16.70300000021234</x:v>
      </x:c>
      <x:c r="V114" s="46" t="n">
        <x:v>2</x:v>
      </x:c>
      <x:c r="W114" s="46" t="n">
        <x:v>2</x:v>
      </x:c>
      <x:c r="X114" s="46" t="n">
        <x:v>3.094000000040978</x:v>
      </x:c>
      <x:c r="Y114" s="46" t="n">
        <x:v>10</x:v>
      </x:c>
      <x:c r="Z114" s="46" t="n">
        <x:v>10</x:v>
      </x:c>
      <x:c r="AA114" s="46" t="n">
        <x:v>12.109999999869615</x:v>
      </x:c>
      <x:c r="AB114" s="46" t="n">
        <x:v>16.67199999978766</x:v>
      </x:c>
      <x:c r="AC114" s="61" t="n">
        <x:v>40951808</x:v>
      </x:c>
      <x:c r="AD114" s="61" t="n">
        <x:v>19456</x:v>
      </x:c>
      <x:c r="AE114" s="45" t="b">
        <x:v>1</x:v>
      </x:c>
      <x:c r="AF114" s="45" t="b">
        <x:v>1</x:v>
      </x:c>
      <x:c r="AG114" s="45" t="b">
        <x:v>1</x:v>
      </x:c>
      <x:c r="AH114" s="45" t="b">
        <x:v>1</x:v>
      </x:c>
      <x:c r="AI114" s="36" t="n">
        <x:v>0</x:v>
      </x:c>
      <x:c r="AJ114" s="59"/>
      <x:c r="AK114" s="45" t="b">
        <x:v>1</x:v>
      </x:c>
    </x:row>
    <x:row r="115" ht="22" customHeight="1">
      <x:c r="A115" s="24" t="str">
        <x:v>article1-unified-v4-2-fb3f101b-20260903-000401-default-f06-p4-ehcache</x:v>
      </x:c>
      <x:c r="B115" s="24" t="str">
        <x:v>default</x:v>
      </x:c>
      <x:c r="C115" s="24" t="str">
        <x:v>ehcache</x:v>
      </x:c>
      <x:c r="D115" s="36" t="n">
        <x:v>6</x:v>
      </x:c>
      <x:c r="E115" s="36" t="n">
        <x:v>6</x:v>
      </x:c>
      <x:c r="F115" s="36" t="n">
        <x:v>4</x:v>
      </x:c>
      <x:c r="G115" s="36" t="n">
        <x:v>5</x:v>
      </x:c>
      <x:c r="H115" s="43" t="n">
        <x:v>5941.6636996902525</x:v>
      </x:c>
      <x:c r="I115" s="43" t="n">
        <x:v>4117.00229998678</x:v>
      </x:c>
      <x:c r="J115" s="43" t="n">
        <x:v>6039.948900230229</x:v>
      </x:c>
      <x:c r="K115" s="43" t="n">
        <x:v>4124.576199799776</x:v>
      </x:c>
      <x:c r="L115" s="45" t="b">
        <x:v>1</x:v>
      </x:c>
      <x:c r="M115" s="45" t="b">
        <x:v>1</x:v>
      </x:c>
      <x:c r="N115" s="45" t="b">
        <x:v>1</x:v>
      </x:c>
      <x:c r="O115" s="46" t="n">
        <x:v>2</x:v>
      </x:c>
      <x:c r="P115" s="46" t="n">
        <x:v>2</x:v>
      </x:c>
      <x:c r="Q115" s="46" t="n">
        <x:v>3.1720000002533197</x:v>
      </x:c>
      <x:c r="R115" s="46" t="n">
        <x:v>10</x:v>
      </x:c>
      <x:c r="S115" s="46" t="n">
        <x:v>10</x:v>
      </x:c>
      <x:c r="T115" s="46" t="n">
        <x:v>12.141000000294298</x:v>
      </x:c>
      <x:c r="U115" s="46" t="n">
        <x:v>16.655999999959022</x:v>
      </x:c>
      <x:c r="V115" s="46" t="n">
        <x:v>2</x:v>
      </x:c>
      <x:c r="W115" s="46" t="n">
        <x:v>2</x:v>
      </x:c>
      <x:c r="X115" s="46" t="n">
        <x:v>3.1880000000819564</x:v>
      </x:c>
      <x:c r="Y115" s="46" t="n">
        <x:v>10</x:v>
      </x:c>
      <x:c r="Z115" s="46" t="n">
        <x:v>10</x:v>
      </x:c>
      <x:c r="AA115" s="46" t="n">
        <x:v>12.125</x:v>
      </x:c>
      <x:c r="AB115" s="46" t="n">
        <x:v>16.703999999910593</x:v>
      </x:c>
      <x:c r="AC115" s="61" t="n">
        <x:v>42784768</x:v>
      </x:c>
      <x:c r="AD115" s="61" t="n">
        <x:v>26624</x:v>
      </x:c>
      <x:c r="AE115" s="45" t="b">
        <x:v>1</x:v>
      </x:c>
      <x:c r="AF115" s="45" t="b">
        <x:v>1</x:v>
      </x:c>
      <x:c r="AG115" s="45" t="b">
        <x:v>1</x:v>
      </x:c>
      <x:c r="AH115" s="45" t="b">
        <x:v>1</x:v>
      </x:c>
      <x:c r="AI115" s="36" t="n">
        <x:v>0</x:v>
      </x:c>
      <x:c r="AJ115" s="59"/>
      <x:c r="AK115" s="45" t="b">
        <x:v>1</x:v>
      </x:c>
    </x:row>
    <x:row r="116" ht="22" customHeight="1">
      <x:c r="A116" s="24" t="str">
        <x:v>article1-unified-v4-2-fb3f101b-20260903-000401-default-f01-p4-cache2k</x:v>
      </x:c>
      <x:c r="B116" s="24" t="str">
        <x:v>default</x:v>
      </x:c>
      <x:c r="C116" s="24" t="str">
        <x:v>cache2k</x:v>
      </x:c>
      <x:c r="D116" s="36" t="n">
        <x:v>1</x:v>
      </x:c>
      <x:c r="E116" s="36" t="n">
        <x:v>1</x:v>
      </x:c>
      <x:c r="F116" s="36" t="n">
        <x:v>4</x:v>
      </x:c>
      <x:c r="G116" s="36" t="n">
        <x:v>1</x:v>
      </x:c>
      <x:c r="H116" s="43" t="n">
        <x:v>6870.348200201988</x:v>
      </x:c>
      <x:c r="I116" s="43" t="n">
        <x:v>4122.841200325638</x:v>
      </x:c>
      <x:c r="J116" s="43" t="n">
        <x:v>6356.765000149608</x:v>
      </x:c>
      <x:c r="K116" s="43" t="n">
        <x:v>4090.9834997728467</x:v>
      </x:c>
      <x:c r="L116" s="45" t="b">
        <x:v>1</x:v>
      </x:c>
      <x:c r="M116" s="45" t="b">
        <x:v>1</x:v>
      </x:c>
      <x:c r="N116" s="45" t="b">
        <x:v>1</x:v>
      </x:c>
      <x:c r="O116" s="46" t="n">
        <x:v>2</x:v>
      </x:c>
      <x:c r="P116" s="46" t="n">
        <x:v>2</x:v>
      </x:c>
      <x:c r="Q116" s="46" t="n">
        <x:v>3.219000000040978</x:v>
      </x:c>
      <x:c r="R116" s="46" t="n">
        <x:v>10</x:v>
      </x:c>
      <x:c r="S116" s="46" t="n">
        <x:v>10</x:v>
      </x:c>
      <x:c r="T116" s="46" t="n">
        <x:v>12.063000000081956</x:v>
      </x:c>
      <x:c r="U116" s="46" t="n">
        <x:v>16.657000000122935</x:v>
      </x:c>
      <x:c r="V116" s="46" t="n">
        <x:v>2</x:v>
      </x:c>
      <x:c r="W116" s="46" t="n">
        <x:v>2</x:v>
      </x:c>
      <x:c r="X116" s="46" t="n">
        <x:v>3.1570000001229346</x:v>
      </x:c>
      <x:c r="Y116" s="46" t="n">
        <x:v>10</x:v>
      </x:c>
      <x:c r="Z116" s="46" t="n">
        <x:v>10</x:v>
      </x:c>
      <x:c r="AA116" s="46" t="n">
        <x:v>12.094000000040978</x:v>
      </x:c>
      <x:c r="AB116" s="46" t="n">
        <x:v>16.688000000081956</x:v>
      </x:c>
      <x:c r="AC116" s="61" t="n">
        <x:v>195040256</x:v>
      </x:c>
      <x:c r="AD116" s="61" t="n">
        <x:v>-17160192</x:v>
      </x:c>
      <x:c r="AE116" s="45" t="b">
        <x:v>0</x:v>
      </x:c>
      <x:c r="AF116" s="45" t="b">
        <x:v>1</x:v>
      </x:c>
      <x:c r="AG116" s="45" t="b">
        <x:v>1</x:v>
      </x:c>
      <x:c r="AH116" s="45" t="b">
        <x:v>1</x:v>
      </x:c>
      <x:c r="AI116" s="36" t="n">
        <x:v>0</x:v>
      </x:c>
      <x:c r="AJ116" s="59"/>
      <x:c r="AK116" s="45" t="b">
        <x:v>1</x:v>
      </x:c>
    </x:row>
    <x:row r="117" ht="22" customHeight="1">
      <x:c r="A117" s="24" t="str">
        <x:v>article1-unified-v4-2-fb3f101b-20260903-000401-default-f01-p4-cache2k</x:v>
      </x:c>
      <x:c r="B117" s="24" t="str">
        <x:v>default</x:v>
      </x:c>
      <x:c r="C117" s="24" t="str">
        <x:v>cache2k</x:v>
      </x:c>
      <x:c r="D117" s="36" t="n">
        <x:v>1</x:v>
      </x:c>
      <x:c r="E117" s="36" t="n">
        <x:v>1</x:v>
      </x:c>
      <x:c r="F117" s="36" t="n">
        <x:v>4</x:v>
      </x:c>
      <x:c r="G117" s="36" t="n">
        <x:v>2</x:v>
      </x:c>
      <x:c r="H117" s="43" t="n">
        <x:v>6237.847200129181</x:v>
      </x:c>
      <x:c r="I117" s="43" t="n">
        <x:v>4109.571099746972</x:v>
      </x:c>
      <x:c r="J117" s="43" t="n">
        <x:v>6267.234900034964</x:v>
      </x:c>
      <x:c r="K117" s="43" t="n">
        <x:v>4108.531899750233</x:v>
      </x:c>
      <x:c r="L117" s="45" t="b">
        <x:v>1</x:v>
      </x:c>
      <x:c r="M117" s="45" t="b">
        <x:v>1</x:v>
      </x:c>
      <x:c r="N117" s="45" t="b">
        <x:v>1</x:v>
      </x:c>
      <x:c r="O117" s="46" t="n">
        <x:v>2</x:v>
      </x:c>
      <x:c r="P117" s="46" t="n">
        <x:v>2</x:v>
      </x:c>
      <x:c r="Q117" s="46" t="n">
        <x:v>3.4070000001229346</x:v>
      </x:c>
      <x:c r="R117" s="46" t="n">
        <x:v>10</x:v>
      </x:c>
      <x:c r="S117" s="46" t="n">
        <x:v>10</x:v>
      </x:c>
      <x:c r="T117" s="46" t="n">
        <x:v>12.094000000040978</x:v>
      </x:c>
      <x:c r="U117" s="46" t="n">
        <x:v>17.25</x:v>
      </x:c>
      <x:c r="V117" s="46" t="n">
        <x:v>2</x:v>
      </x:c>
      <x:c r="W117" s="46" t="n">
        <x:v>2</x:v>
      </x:c>
      <x:c r="X117" s="46" t="n">
        <x:v>2.9679999998770654</x:v>
      </x:c>
      <x:c r="Y117" s="46" t="n">
        <x:v>10</x:v>
      </x:c>
      <x:c r="Z117" s="46" t="n">
        <x:v>10</x:v>
      </x:c>
      <x:c r="AA117" s="46" t="n">
        <x:v>12.092999999877065</x:v>
      </x:c>
      <x:c r="AB117" s="46" t="n">
        <x:v>16.889999999664724</x:v>
      </x:c>
      <x:c r="AC117" s="61" t="n">
        <x:v>0</x:v>
      </x:c>
      <x:c r="AD117" s="61" t="n">
        <x:v>-71680</x:v>
      </x:c>
      <x:c r="AE117" s="45" t="b">
        <x:v>1</x:v>
      </x:c>
      <x:c r="AF117" s="45" t="b">
        <x:v>1</x:v>
      </x:c>
      <x:c r="AG117" s="45" t="b">
        <x:v>1</x:v>
      </x:c>
      <x:c r="AH117" s="45" t="b">
        <x:v>1</x:v>
      </x:c>
      <x:c r="AI117" s="36" t="n">
        <x:v>0</x:v>
      </x:c>
      <x:c r="AJ117" s="59"/>
      <x:c r="AK117" s="45" t="b">
        <x:v>1</x:v>
      </x:c>
    </x:row>
    <x:row r="118" ht="22" customHeight="1">
      <x:c r="A118" s="24" t="str">
        <x:v>article1-unified-v4-2-fb3f101b-20260903-000401-default-f01-p4-cache2k</x:v>
      </x:c>
      <x:c r="B118" s="24" t="str">
        <x:v>default</x:v>
      </x:c>
      <x:c r="C118" s="24" t="str">
        <x:v>cache2k</x:v>
      </x:c>
      <x:c r="D118" s="36" t="n">
        <x:v>1</x:v>
      </x:c>
      <x:c r="E118" s="36" t="n">
        <x:v>1</x:v>
      </x:c>
      <x:c r="F118" s="36" t="n">
        <x:v>4</x:v>
      </x:c>
      <x:c r="G118" s="36" t="n">
        <x:v>3</x:v>
      </x:c>
      <x:c r="H118" s="43" t="n">
        <x:v>6659.433299675584</x:v>
      </x:c>
      <x:c r="I118" s="43" t="n">
        <x:v>4084.1168998740613</x:v>
      </x:c>
      <x:c r="J118" s="43" t="n">
        <x:v>6191.639999859035</x:v>
      </x:c>
      <x:c r="K118" s="43" t="n">
        <x:v>4111.399600282311</x:v>
      </x:c>
      <x:c r="L118" s="45" t="b">
        <x:v>1</x:v>
      </x:c>
      <x:c r="M118" s="45" t="b">
        <x:v>1</x:v>
      </x:c>
      <x:c r="N118" s="45" t="b">
        <x:v>1</x:v>
      </x:c>
      <x:c r="O118" s="46" t="n">
        <x:v>2</x:v>
      </x:c>
      <x:c r="P118" s="46" t="n">
        <x:v>2</x:v>
      </x:c>
      <x:c r="Q118" s="46" t="n">
        <x:v>3.344000000040978</x:v>
      </x:c>
      <x:c r="R118" s="46" t="n">
        <x:v>10</x:v>
      </x:c>
      <x:c r="S118" s="46" t="n">
        <x:v>10</x:v>
      </x:c>
      <x:c r="T118" s="46" t="n">
        <x:v>12.094000000040978</x:v>
      </x:c>
      <x:c r="U118" s="46" t="n">
        <x:v>16.483999999705702</x:v>
      </x:c>
      <x:c r="V118" s="46" t="n">
        <x:v>2</x:v>
      </x:c>
      <x:c r="W118" s="46" t="n">
        <x:v>2</x:v>
      </x:c>
      <x:c r="X118" s="46" t="n">
        <x:v>2.9369999999180436</x:v>
      </x:c>
      <x:c r="Y118" s="46" t="n">
        <x:v>10</x:v>
      </x:c>
      <x:c r="Z118" s="46" t="n">
        <x:v>10</x:v>
      </x:c>
      <x:c r="AA118" s="46" t="n">
        <x:v>12.092999999877065</x:v>
      </x:c>
      <x:c r="AB118" s="46" t="n">
        <x:v>16.889999999664724</x:v>
      </x:c>
      <x:c r="AC118" s="61" t="n">
        <x:v>0</x:v>
      </x:c>
      <x:c r="AD118" s="61" t="n">
        <x:v>28672</x:v>
      </x:c>
      <x:c r="AE118" s="45" t="b">
        <x:v>1</x:v>
      </x:c>
      <x:c r="AF118" s="45" t="b">
        <x:v>1</x:v>
      </x:c>
      <x:c r="AG118" s="45" t="b">
        <x:v>1</x:v>
      </x:c>
      <x:c r="AH118" s="45" t="b">
        <x:v>1</x:v>
      </x:c>
      <x:c r="AI118" s="36" t="n">
        <x:v>0</x:v>
      </x:c>
      <x:c r="AJ118" s="59"/>
      <x:c r="AK118" s="45" t="b">
        <x:v>1</x:v>
      </x:c>
    </x:row>
    <x:row r="119" ht="22" customHeight="1">
      <x:c r="A119" s="24" t="str">
        <x:v>article1-unified-v4-2-fb3f101b-20260903-000401-default-f01-p4-cache2k</x:v>
      </x:c>
      <x:c r="B119" s="24" t="str">
        <x:v>default</x:v>
      </x:c>
      <x:c r="C119" s="24" t="str">
        <x:v>cache2k</x:v>
      </x:c>
      <x:c r="D119" s="36" t="n">
        <x:v>1</x:v>
      </x:c>
      <x:c r="E119" s="36" t="n">
        <x:v>1</x:v>
      </x:c>
      <x:c r="F119" s="36" t="n">
        <x:v>4</x:v>
      </x:c>
      <x:c r="G119" s="36" t="n">
        <x:v>4</x:v>
      </x:c>
      <x:c r="H119" s="43" t="n">
        <x:v>6302.3246000520885</x:v>
      </x:c>
      <x:c r="I119" s="43" t="n">
        <x:v>4112.161499913782</x:v>
      </x:c>
      <x:c r="J119" s="43" t="n">
        <x:v>6088.881300296634</x:v>
      </x:c>
      <x:c r="K119" s="43" t="n">
        <x:v>4115.618299692869</x:v>
      </x:c>
      <x:c r="L119" s="45" t="b">
        <x:v>1</x:v>
      </x:c>
      <x:c r="M119" s="45" t="b">
        <x:v>1</x:v>
      </x:c>
      <x:c r="N119" s="45" t="b">
        <x:v>1</x:v>
      </x:c>
      <x:c r="O119" s="46" t="n">
        <x:v>2</x:v>
      </x:c>
      <x:c r="P119" s="46" t="n">
        <x:v>2</x:v>
      </x:c>
      <x:c r="Q119" s="46" t="n">
        <x:v>2.969000000040978</x:v>
      </x:c>
      <x:c r="R119" s="46" t="n">
        <x:v>10</x:v>
      </x:c>
      <x:c r="S119" s="46" t="n">
        <x:v>10</x:v>
      </x:c>
      <x:c r="T119" s="46" t="n">
        <x:v>12.109000000171363</x:v>
      </x:c>
      <x:c r="U119" s="46" t="n">
        <x:v>16.766000000294298</x:v>
      </x:c>
      <x:c r="V119" s="46" t="n">
        <x:v>2</x:v>
      </x:c>
      <x:c r="W119" s="46" t="n">
        <x:v>2</x:v>
      </x:c>
      <x:c r="X119" s="46" t="n">
        <x:v>3.2030000002123415</x:v>
      </x:c>
      <x:c r="Y119" s="46" t="n">
        <x:v>10</x:v>
      </x:c>
      <x:c r="Z119" s="46" t="n">
        <x:v>10</x:v>
      </x:c>
      <x:c r="AA119" s="46" t="n">
        <x:v>12.094000000040978</x:v>
      </x:c>
      <x:c r="AB119" s="46" t="n">
        <x:v>16.766000000294298</x:v>
      </x:c>
      <x:c r="AC119" s="61" t="n">
        <x:v>29920256</x:v>
      </x:c>
      <x:c r="AD119" s="61" t="n">
        <x:v>33792</x:v>
      </x:c>
      <x:c r="AE119" s="45" t="b">
        <x:v>1</x:v>
      </x:c>
      <x:c r="AF119" s="45" t="b">
        <x:v>1</x:v>
      </x:c>
      <x:c r="AG119" s="45" t="b">
        <x:v>1</x:v>
      </x:c>
      <x:c r="AH119" s="45" t="b">
        <x:v>1</x:v>
      </x:c>
      <x:c r="AI119" s="36" t="n">
        <x:v>0</x:v>
      </x:c>
      <x:c r="AJ119" s="59"/>
      <x:c r="AK119" s="45" t="b">
        <x:v>1</x:v>
      </x:c>
    </x:row>
    <x:row r="120" ht="22" customHeight="1">
      <x:c r="A120" s="24" t="str">
        <x:v>article1-unified-v4-2-fb3f101b-20260903-000401-default-f01-p4-cache2k</x:v>
      </x:c>
      <x:c r="B120" s="24" t="str">
        <x:v>default</x:v>
      </x:c>
      <x:c r="C120" s="24" t="str">
        <x:v>cache2k</x:v>
      </x:c>
      <x:c r="D120" s="36" t="n">
        <x:v>1</x:v>
      </x:c>
      <x:c r="E120" s="36" t="n">
        <x:v>1</x:v>
      </x:c>
      <x:c r="F120" s="36" t="n">
        <x:v>4</x:v>
      </x:c>
      <x:c r="G120" s="36" t="n">
        <x:v>5</x:v>
      </x:c>
      <x:c r="H120" s="43" t="n">
        <x:v>6198.600700125098</x:v>
      </x:c>
      <x:c r="I120" s="43" t="n">
        <x:v>4113.308100029826</x:v>
      </x:c>
      <x:c r="J120" s="43" t="n">
        <x:v>6060.857600066811</x:v>
      </x:c>
      <x:c r="K120" s="43" t="n">
        <x:v>4128.562200348824</x:v>
      </x:c>
      <x:c r="L120" s="45" t="b">
        <x:v>1</x:v>
      </x:c>
      <x:c r="M120" s="45" t="b">
        <x:v>1</x:v>
      </x:c>
      <x:c r="N120" s="45" t="b">
        <x:v>1</x:v>
      </x:c>
      <x:c r="O120" s="46" t="n">
        <x:v>2</x:v>
      </x:c>
      <x:c r="P120" s="46" t="n">
        <x:v>2</x:v>
      </x:c>
      <x:c r="Q120" s="46" t="n">
        <x:v>3.109999999869615</x:v>
      </x:c>
      <x:c r="R120" s="46" t="n">
        <x:v>10</x:v>
      </x:c>
      <x:c r="S120" s="46" t="n">
        <x:v>10.015999999828637</x:v>
      </x:c>
      <x:c r="T120" s="46" t="n">
        <x:v>12.109999999869615</x:v>
      </x:c>
      <x:c r="U120" s="46" t="n">
        <x:v>16.719000000040978</x:v>
      </x:c>
      <x:c r="V120" s="46" t="n">
        <x:v>2</x:v>
      </x:c>
      <x:c r="W120" s="46" t="n">
        <x:v>2</x:v>
      </x:c>
      <x:c r="X120" s="46" t="n">
        <x:v>2.969000000040978</x:v>
      </x:c>
      <x:c r="Y120" s="46" t="n">
        <x:v>10</x:v>
      </x:c>
      <x:c r="Z120" s="46" t="n">
        <x:v>10</x:v>
      </x:c>
      <x:c r="AA120" s="46" t="n">
        <x:v>12.094000000040978</x:v>
      </x:c>
      <x:c r="AB120" s="46" t="n">
        <x:v>16.95300000021234</x:v>
      </x:c>
      <x:c r="AC120" s="61" t="n">
        <x:v>0</x:v>
      </x:c>
      <x:c r="AD120" s="61" t="n">
        <x:v>27648</x:v>
      </x:c>
      <x:c r="AE120" s="45" t="b">
        <x:v>1</x:v>
      </x:c>
      <x:c r="AF120" s="45" t="b">
        <x:v>1</x:v>
      </x:c>
      <x:c r="AG120" s="45" t="b">
        <x:v>1</x:v>
      </x:c>
      <x:c r="AH120" s="45" t="b">
        <x:v>1</x:v>
      </x:c>
      <x:c r="AI120" s="36" t="n">
        <x:v>0</x:v>
      </x:c>
      <x:c r="AJ120" s="59"/>
      <x:c r="AK120" s="45" t="b">
        <x:v>1</x:v>
      </x:c>
    </x:row>
    <x:row r="121" ht="22" customHeight="1">
      <x:c r="A121" s="24" t="str">
        <x:v>article1-unified-v4-2-fb3f101b-20260903-000401-default-f02-p2-cache2k</x:v>
      </x:c>
      <x:c r="B121" s="24" t="str">
        <x:v>default</x:v>
      </x:c>
      <x:c r="C121" s="24" t="str">
        <x:v>cache2k</x:v>
      </x:c>
      <x:c r="D121" s="36" t="n">
        <x:v>2</x:v>
      </x:c>
      <x:c r="E121" s="36" t="n">
        <x:v>2</x:v>
      </x:c>
      <x:c r="F121" s="36" t="n">
        <x:v>2</x:v>
      </x:c>
      <x:c r="G121" s="36" t="n">
        <x:v>1</x:v>
      </x:c>
      <x:c r="H121" s="43" t="n">
        <x:v>7080.339000094682</x:v>
      </x:c>
      <x:c r="I121" s="43" t="n">
        <x:v>4113.863099832088</x:v>
      </x:c>
      <x:c r="J121" s="43" t="n">
        <x:v>6607.251599896699</x:v>
      </x:c>
      <x:c r="K121" s="43" t="n">
        <x:v>4114.410400390625</x:v>
      </x:c>
      <x:c r="L121" s="45" t="b">
        <x:v>1</x:v>
      </x:c>
      <x:c r="M121" s="45" t="b">
        <x:v>1</x:v>
      </x:c>
      <x:c r="N121" s="45" t="b">
        <x:v>1</x:v>
      </x:c>
      <x:c r="O121" s="46" t="n">
        <x:v>2</x:v>
      </x:c>
      <x:c r="P121" s="46" t="n">
        <x:v>2</x:v>
      </x:c>
      <x:c r="Q121" s="46" t="n">
        <x:v>3.5</x:v>
      </x:c>
      <x:c r="R121" s="46" t="n">
        <x:v>10</x:v>
      </x:c>
      <x:c r="S121" s="46" t="n">
        <x:v>10</x:v>
      </x:c>
      <x:c r="T121" s="46" t="n">
        <x:v>12.078000000212342</x:v>
      </x:c>
      <x:c r="U121" s="46" t="n">
        <x:v>17.266000000294298</x:v>
      </x:c>
      <x:c r="V121" s="46" t="n">
        <x:v>2</x:v>
      </x:c>
      <x:c r="W121" s="46" t="n">
        <x:v>2</x:v>
      </x:c>
      <x:c r="X121" s="46" t="n">
        <x:v>3.0630000000819564</x:v>
      </x:c>
      <x:c r="Y121" s="46" t="n">
        <x:v>10</x:v>
      </x:c>
      <x:c r="Z121" s="46" t="n">
        <x:v>10</x:v>
      </x:c>
      <x:c r="AA121" s="46" t="n">
        <x:v>12.110000000335276</x:v>
      </x:c>
      <x:c r="AB121" s="46" t="n">
        <x:v>16.969000000040978</x:v>
      </x:c>
      <x:c r="AC121" s="61" t="n">
        <x:v>195123200</x:v>
      </x:c>
      <x:c r="AD121" s="61" t="n">
        <x:v>-17147904</x:v>
      </x:c>
      <x:c r="AE121" s="45" t="b">
        <x:v>0</x:v>
      </x:c>
      <x:c r="AF121" s="45" t="b">
        <x:v>1</x:v>
      </x:c>
      <x:c r="AG121" s="45" t="b">
        <x:v>1</x:v>
      </x:c>
      <x:c r="AH121" s="45" t="b">
        <x:v>1</x:v>
      </x:c>
      <x:c r="AI121" s="36" t="n">
        <x:v>0</x:v>
      </x:c>
      <x:c r="AJ121" s="59"/>
      <x:c r="AK121" s="45" t="b">
        <x:v>1</x:v>
      </x:c>
    </x:row>
    <x:row r="122" ht="22" customHeight="1">
      <x:c r="A122" s="24" t="str">
        <x:v>article1-unified-v4-2-fb3f101b-20260903-000401-default-f02-p2-cache2k</x:v>
      </x:c>
      <x:c r="B122" s="24" t="str">
        <x:v>default</x:v>
      </x:c>
      <x:c r="C122" s="24" t="str">
        <x:v>cache2k</x:v>
      </x:c>
      <x:c r="D122" s="36" t="n">
        <x:v>2</x:v>
      </x:c>
      <x:c r="E122" s="36" t="n">
        <x:v>2</x:v>
      </x:c>
      <x:c r="F122" s="36" t="n">
        <x:v>2</x:v>
      </x:c>
      <x:c r="G122" s="36" t="n">
        <x:v>2</x:v>
      </x:c>
      <x:c r="H122" s="43" t="n">
        <x:v>6166.788200382143</x:v>
      </x:c>
      <x:c r="I122" s="43" t="n">
        <x:v>4104.817099869251</x:v>
      </x:c>
      <x:c r="J122" s="43" t="n">
        <x:v>6059.151700232178</x:v>
      </x:c>
      <x:c r="K122" s="43" t="n">
        <x:v>4117.354100104421</x:v>
      </x:c>
      <x:c r="L122" s="45" t="b">
        <x:v>1</x:v>
      </x:c>
      <x:c r="M122" s="45" t="b">
        <x:v>1</x:v>
      </x:c>
      <x:c r="N122" s="45" t="b">
        <x:v>1</x:v>
      </x:c>
      <x:c r="O122" s="46" t="n">
        <x:v>2</x:v>
      </x:c>
      <x:c r="P122" s="46" t="n">
        <x:v>2</x:v>
      </x:c>
      <x:c r="Q122" s="46" t="n">
        <x:v>3.609999999869615</x:v>
      </x:c>
      <x:c r="R122" s="46" t="n">
        <x:v>10</x:v>
      </x:c>
      <x:c r="S122" s="46" t="n">
        <x:v>10</x:v>
      </x:c>
      <x:c r="T122" s="46" t="n">
        <x:v>12.07799999974668</x:v>
      </x:c>
      <x:c r="U122" s="46" t="n">
        <x:v>16.859999999869615</x:v>
      </x:c>
      <x:c r="V122" s="46" t="n">
        <x:v>2</x:v>
      </x:c>
      <x:c r="W122" s="46" t="n">
        <x:v>2</x:v>
      </x:c>
      <x:c r="X122" s="46" t="n">
        <x:v>3.014999999664724</x:v>
      </x:c>
      <x:c r="Y122" s="46" t="n">
        <x:v>10</x:v>
      </x:c>
      <x:c r="Z122" s="46" t="n">
        <x:v>10</x:v>
      </x:c>
      <x:c r="AA122" s="46" t="n">
        <x:v>12.092999999877065</x:v>
      </x:c>
      <x:c r="AB122" s="46" t="n">
        <x:v>17.5</x:v>
      </x:c>
      <x:c r="AC122" s="61" t="n">
        <x:v>0</x:v>
      </x:c>
      <x:c r="AD122" s="61" t="n">
        <x:v>-112640</x:v>
      </x:c>
      <x:c r="AE122" s="45" t="b">
        <x:v>1</x:v>
      </x:c>
      <x:c r="AF122" s="45" t="b">
        <x:v>1</x:v>
      </x:c>
      <x:c r="AG122" s="45" t="b">
        <x:v>1</x:v>
      </x:c>
      <x:c r="AH122" s="45" t="b">
        <x:v>1</x:v>
      </x:c>
      <x:c r="AI122" s="36" t="n">
        <x:v>0</x:v>
      </x:c>
      <x:c r="AJ122" s="59"/>
      <x:c r="AK122" s="45" t="b">
        <x:v>1</x:v>
      </x:c>
    </x:row>
    <x:row r="123" ht="22" customHeight="1">
      <x:c r="A123" s="24" t="str">
        <x:v>article1-unified-v4-2-fb3f101b-20260903-000401-default-f02-p2-cache2k</x:v>
      </x:c>
      <x:c r="B123" s="24" t="str">
        <x:v>default</x:v>
      </x:c>
      <x:c r="C123" s="24" t="str">
        <x:v>cache2k</x:v>
      </x:c>
      <x:c r="D123" s="36" t="n">
        <x:v>2</x:v>
      </x:c>
      <x:c r="E123" s="36" t="n">
        <x:v>2</x:v>
      </x:c>
      <x:c r="F123" s="36" t="n">
        <x:v>2</x:v>
      </x:c>
      <x:c r="G123" s="36" t="n">
        <x:v>3</x:v>
      </x:c>
      <x:c r="H123" s="43" t="n">
        <x:v>6068.941500037909</x:v>
      </x:c>
      <x:c r="I123" s="43" t="n">
        <x:v>4112.617400009185</x:v>
      </x:c>
      <x:c r="J123" s="43" t="n">
        <x:v>6146.931900177151</x:v>
      </x:c>
      <x:c r="K123" s="43" t="n">
        <x:v>4109.35049969703</x:v>
      </x:c>
      <x:c r="L123" s="45" t="b">
        <x:v>1</x:v>
      </x:c>
      <x:c r="M123" s="45" t="b">
        <x:v>1</x:v>
      </x:c>
      <x:c r="N123" s="45" t="b">
        <x:v>1</x:v>
      </x:c>
      <x:c r="O123" s="46" t="n">
        <x:v>2</x:v>
      </x:c>
      <x:c r="P123" s="46" t="n">
        <x:v>2</x:v>
      </x:c>
      <x:c r="Q123" s="46" t="n">
        <x:v>3.109999999869615</x:v>
      </x:c>
      <x:c r="R123" s="46" t="n">
        <x:v>10</x:v>
      </x:c>
      <x:c r="S123" s="46" t="n">
        <x:v>10</x:v>
      </x:c>
      <x:c r="T123" s="46" t="n">
        <x:v>12.094000000040978</x:v>
      </x:c>
      <x:c r="U123" s="46" t="n">
        <x:v>16.92199999978766</x:v>
      </x:c>
      <x:c r="V123" s="46" t="n">
        <x:v>2</x:v>
      </x:c>
      <x:c r="W123" s="46" t="n">
        <x:v>2</x:v>
      </x:c>
      <x:c r="X123" s="46" t="n">
        <x:v>2.9219999997876585</x:v>
      </x:c>
      <x:c r="Y123" s="46" t="n">
        <x:v>10</x:v>
      </x:c>
      <x:c r="Z123" s="46" t="n">
        <x:v>10.015999999828637</x:v>
      </x:c>
      <x:c r="AA123" s="46" t="n">
        <x:v>12.108999999705702</x:v>
      </x:c>
      <x:c r="AB123" s="46" t="n">
        <x:v>17.17199999978766</x:v>
      </x:c>
      <x:c r="AC123" s="61" t="n">
        <x:v>0</x:v>
      </x:c>
      <x:c r="AD123" s="61" t="n">
        <x:v>28672</x:v>
      </x:c>
      <x:c r="AE123" s="45" t="b">
        <x:v>1</x:v>
      </x:c>
      <x:c r="AF123" s="45" t="b">
        <x:v>1</x:v>
      </x:c>
      <x:c r="AG123" s="45" t="b">
        <x:v>1</x:v>
      </x:c>
      <x:c r="AH123" s="45" t="b">
        <x:v>1</x:v>
      </x:c>
      <x:c r="AI123" s="36" t="n">
        <x:v>0</x:v>
      </x:c>
      <x:c r="AJ123" s="59"/>
      <x:c r="AK123" s="45" t="b">
        <x:v>1</x:v>
      </x:c>
    </x:row>
    <x:row r="124" ht="22" customHeight="1">
      <x:c r="A124" s="24" t="str">
        <x:v>article1-unified-v4-2-fb3f101b-20260903-000401-default-f02-p2-cache2k</x:v>
      </x:c>
      <x:c r="B124" s="24" t="str">
        <x:v>default</x:v>
      </x:c>
      <x:c r="C124" s="24" t="str">
        <x:v>cache2k</x:v>
      </x:c>
      <x:c r="D124" s="36" t="n">
        <x:v>2</x:v>
      </x:c>
      <x:c r="E124" s="36" t="n">
        <x:v>2</x:v>
      </x:c>
      <x:c r="F124" s="36" t="n">
        <x:v>2</x:v>
      </x:c>
      <x:c r="G124" s="36" t="n">
        <x:v>4</x:v>
      </x:c>
      <x:c r="H124" s="43" t="n">
        <x:v>6274.755000136793</x:v>
      </x:c>
      <x:c r="I124" s="43" t="n">
        <x:v>4098.611999768764</x:v>
      </x:c>
      <x:c r="J124" s="43" t="n">
        <x:v>6461.829099804163</x:v>
      </x:c>
      <x:c r="K124" s="43" t="n">
        <x:v>4126.141299959272</x:v>
      </x:c>
      <x:c r="L124" s="45" t="b">
        <x:v>1</x:v>
      </x:c>
      <x:c r="M124" s="45" t="b">
        <x:v>1</x:v>
      </x:c>
      <x:c r="N124" s="45" t="b">
        <x:v>1</x:v>
      </x:c>
      <x:c r="O124" s="46" t="n">
        <x:v>2</x:v>
      </x:c>
      <x:c r="P124" s="46" t="n">
        <x:v>2</x:v>
      </x:c>
      <x:c r="Q124" s="46" t="n">
        <x:v>3.234999999869615</x:v>
      </x:c>
      <x:c r="R124" s="46" t="n">
        <x:v>10</x:v>
      </x:c>
      <x:c r="S124" s="46" t="n">
        <x:v>10</x:v>
      </x:c>
      <x:c r="T124" s="46" t="n">
        <x:v>12.140999999828637</x:v>
      </x:c>
      <x:c r="U124" s="46" t="n">
        <x:v>17.359999999869615</x:v>
      </x:c>
      <x:c r="V124" s="46" t="n">
        <x:v>2</x:v>
      </x:c>
      <x:c r="W124" s="46" t="n">
        <x:v>2</x:v>
      </x:c>
      <x:c r="X124" s="46" t="n">
        <x:v>3.2030000002123415</x:v>
      </x:c>
      <x:c r="Y124" s="46" t="n">
        <x:v>10</x:v>
      </x:c>
      <x:c r="Z124" s="46" t="n">
        <x:v>10</x:v>
      </x:c>
      <x:c r="AA124" s="46" t="n">
        <x:v>12.092999999877065</x:v>
      </x:c>
      <x:c r="AB124" s="46" t="n">
        <x:v>17.109000000171363</x:v>
      </x:c>
      <x:c r="AC124" s="61" t="n">
        <x:v>0</x:v>
      </x:c>
      <x:c r="AD124" s="61" t="n">
        <x:v>22528</x:v>
      </x:c>
      <x:c r="AE124" s="45" t="b">
        <x:v>1</x:v>
      </x:c>
      <x:c r="AF124" s="45" t="b">
        <x:v>1</x:v>
      </x:c>
      <x:c r="AG124" s="45" t="b">
        <x:v>1</x:v>
      </x:c>
      <x:c r="AH124" s="45" t="b">
        <x:v>1</x:v>
      </x:c>
      <x:c r="AI124" s="36" t="n">
        <x:v>0</x:v>
      </x:c>
      <x:c r="AJ124" s="59"/>
      <x:c r="AK124" s="45" t="b">
        <x:v>1</x:v>
      </x:c>
    </x:row>
    <x:row r="125" ht="22" customHeight="1">
      <x:c r="A125" s="24" t="str">
        <x:v>article1-unified-v4-2-fb3f101b-20260903-000401-default-f02-p2-cache2k</x:v>
      </x:c>
      <x:c r="B125" s="24" t="str">
        <x:v>default</x:v>
      </x:c>
      <x:c r="C125" s="24" t="str">
        <x:v>cache2k</x:v>
      </x:c>
      <x:c r="D125" s="36" t="n">
        <x:v>2</x:v>
      </x:c>
      <x:c r="E125" s="36" t="n">
        <x:v>2</x:v>
      </x:c>
      <x:c r="F125" s="36" t="n">
        <x:v>2</x:v>
      </x:c>
      <x:c r="G125" s="36" t="n">
        <x:v>5</x:v>
      </x:c>
      <x:c r="H125" s="43" t="n">
        <x:v>6278.058600146323</x:v>
      </x:c>
      <x:c r="I125" s="43" t="n">
        <x:v>4101.433100178838</x:v>
      </x:c>
      <x:c r="J125" s="43" t="n">
        <x:v>6019.725500140339</x:v>
      </x:c>
      <x:c r="K125" s="43" t="n">
        <x:v>4117.682400159538</x:v>
      </x:c>
      <x:c r="L125" s="45" t="b">
        <x:v>1</x:v>
      </x:c>
      <x:c r="M125" s="45" t="b">
        <x:v>1</x:v>
      </x:c>
      <x:c r="N125" s="45" t="b">
        <x:v>1</x:v>
      </x:c>
      <x:c r="O125" s="46" t="n">
        <x:v>2</x:v>
      </x:c>
      <x:c r="P125" s="46" t="n">
        <x:v>2</x:v>
      </x:c>
      <x:c r="Q125" s="46" t="n">
        <x:v>3.014999999664724</x:v>
      </x:c>
      <x:c r="R125" s="46" t="n">
        <x:v>10</x:v>
      </x:c>
      <x:c r="S125" s="46" t="n">
        <x:v>10</x:v>
      </x:c>
      <x:c r="T125" s="46" t="n">
        <x:v>12.139999999664724</x:v>
      </x:c>
      <x:c r="U125" s="46" t="n">
        <x:v>17.125</x:v>
      </x:c>
      <x:c r="V125" s="46" t="n">
        <x:v>2</x:v>
      </x:c>
      <x:c r="W125" s="46" t="n">
        <x:v>2</x:v>
      </x:c>
      <x:c r="X125" s="46" t="n">
        <x:v>3.2970000002533197</x:v>
      </x:c>
      <x:c r="Y125" s="46" t="n">
        <x:v>10</x:v>
      </x:c>
      <x:c r="Z125" s="46" t="n">
        <x:v>10.016000000294298</x:v>
      </x:c>
      <x:c r="AA125" s="46" t="n">
        <x:v>12.094000000040978</x:v>
      </x:c>
      <x:c r="AB125" s="46" t="n">
        <x:v>17.530999999959022</x:v>
      </x:c>
      <x:c r="AC125" s="61" t="n">
        <x:v>0</x:v>
      </x:c>
      <x:c r="AD125" s="61" t="n">
        <x:v>93184</x:v>
      </x:c>
      <x:c r="AE125" s="45" t="b">
        <x:v>1</x:v>
      </x:c>
      <x:c r="AF125" s="45" t="b">
        <x:v>1</x:v>
      </x:c>
      <x:c r="AG125" s="45" t="b">
        <x:v>1</x:v>
      </x:c>
      <x:c r="AH125" s="45" t="b">
        <x:v>1</x:v>
      </x:c>
      <x:c r="AI125" s="36" t="n">
        <x:v>0</x:v>
      </x:c>
      <x:c r="AJ125" s="59"/>
      <x:c r="AK125" s="45" t="b">
        <x:v>1</x:v>
      </x:c>
    </x:row>
    <x:row r="126" ht="22" customHeight="1">
      <x:c r="A126" s="24" t="str">
        <x:v>article1-unified-v4-2-fb3f101b-20260903-000401-default-f03-p1-cache2k</x:v>
      </x:c>
      <x:c r="B126" s="24" t="str">
        <x:v>default</x:v>
      </x:c>
      <x:c r="C126" s="24" t="str">
        <x:v>cache2k</x:v>
      </x:c>
      <x:c r="D126" s="36" t="n">
        <x:v>3</x:v>
      </x:c>
      <x:c r="E126" s="36" t="n">
        <x:v>3</x:v>
      </x:c>
      <x:c r="F126" s="36" t="n">
        <x:v>1</x:v>
      </x:c>
      <x:c r="G126" s="36" t="n">
        <x:v>1</x:v>
      </x:c>
      <x:c r="H126" s="43" t="n">
        <x:v>7275.065300054848</x:v>
      </x:c>
      <x:c r="I126" s="43" t="n">
        <x:v>4124.327699653804</x:v>
      </x:c>
      <x:c r="J126" s="43" t="n">
        <x:v>6385.471899993718</x:v>
      </x:c>
      <x:c r="K126" s="43" t="n">
        <x:v>4107.573300134391</x:v>
      </x:c>
      <x:c r="L126" s="45" t="b">
        <x:v>1</x:v>
      </x:c>
      <x:c r="M126" s="45" t="b">
        <x:v>1</x:v>
      </x:c>
      <x:c r="N126" s="45" t="b">
        <x:v>1</x:v>
      </x:c>
      <x:c r="O126" s="46" t="n">
        <x:v>2</x:v>
      </x:c>
      <x:c r="P126" s="46" t="n">
        <x:v>2</x:v>
      </x:c>
      <x:c r="Q126" s="46" t="n">
        <x:v>3.3279999997466803</x:v>
      </x:c>
      <x:c r="R126" s="46" t="n">
        <x:v>10</x:v>
      </x:c>
      <x:c r="S126" s="46" t="n">
        <x:v>10.014999999664724</x:v>
      </x:c>
      <x:c r="T126" s="46" t="n">
        <x:v>12.092999999877065</x:v>
      </x:c>
      <x:c r="U126" s="46" t="n">
        <x:v>17.17199999978766</x:v>
      </x:c>
      <x:c r="V126" s="46" t="n">
        <x:v>2</x:v>
      </x:c>
      <x:c r="W126" s="46" t="n">
        <x:v>2</x:v>
      </x:c>
      <x:c r="X126" s="46" t="n">
        <x:v>3.108999999705702</x:v>
      </x:c>
      <x:c r="Y126" s="46" t="n">
        <x:v>10</x:v>
      </x:c>
      <x:c r="Z126" s="46" t="n">
        <x:v>10</x:v>
      </x:c>
      <x:c r="AA126" s="46" t="n">
        <x:v>12.07799999974668</x:v>
      </x:c>
      <x:c r="AB126" s="46" t="n">
        <x:v>16.858999999705702</x:v>
      </x:c>
      <x:c r="AC126" s="61" t="n">
        <x:v>194840576</x:v>
      </x:c>
      <x:c r="AD126" s="61" t="n">
        <x:v>-13110272</x:v>
      </x:c>
      <x:c r="AE126" s="45" t="b">
        <x:v>0</x:v>
      </x:c>
      <x:c r="AF126" s="45" t="b">
        <x:v>1</x:v>
      </x:c>
      <x:c r="AG126" s="45" t="b">
        <x:v>1</x:v>
      </x:c>
      <x:c r="AH126" s="45" t="b">
        <x:v>1</x:v>
      </x:c>
      <x:c r="AI126" s="36" t="n">
        <x:v>0</x:v>
      </x:c>
      <x:c r="AJ126" s="59"/>
      <x:c r="AK126" s="45" t="b">
        <x:v>1</x:v>
      </x:c>
    </x:row>
    <x:row r="127" ht="22" customHeight="1">
      <x:c r="A127" s="24" t="str">
        <x:v>article1-unified-v4-2-fb3f101b-20260903-000401-default-f03-p1-cache2k</x:v>
      </x:c>
      <x:c r="B127" s="24" t="str">
        <x:v>default</x:v>
      </x:c>
      <x:c r="C127" s="24" t="str">
        <x:v>cache2k</x:v>
      </x:c>
      <x:c r="D127" s="36" t="n">
        <x:v>3</x:v>
      </x:c>
      <x:c r="E127" s="36" t="n">
        <x:v>3</x:v>
      </x:c>
      <x:c r="F127" s="36" t="n">
        <x:v>1</x:v>
      </x:c>
      <x:c r="G127" s="36" t="n">
        <x:v>2</x:v>
      </x:c>
      <x:c r="H127" s="43" t="n">
        <x:v>6108.508900273591</x:v>
      </x:c>
      <x:c r="I127" s="43" t="n">
        <x:v>4113.348599988967</x:v>
      </x:c>
      <x:c r="J127" s="43" t="n">
        <x:v>6122.761000413448</x:v>
      </x:c>
      <x:c r="K127" s="43" t="n">
        <x:v>4125.682699959725</x:v>
      </x:c>
      <x:c r="L127" s="45" t="b">
        <x:v>1</x:v>
      </x:c>
      <x:c r="M127" s="45" t="b">
        <x:v>1</x:v>
      </x:c>
      <x:c r="N127" s="45" t="b">
        <x:v>1</x:v>
      </x:c>
      <x:c r="O127" s="46" t="n">
        <x:v>2</x:v>
      </x:c>
      <x:c r="P127" s="46" t="n">
        <x:v>2.014999999664724</x:v>
      </x:c>
      <x:c r="Q127" s="46" t="n">
        <x:v>3.3279999997466803</x:v>
      </x:c>
      <x:c r="R127" s="46" t="n">
        <x:v>10</x:v>
      </x:c>
      <x:c r="S127" s="46" t="n">
        <x:v>10.014999999664724</x:v>
      </x:c>
      <x:c r="T127" s="46" t="n">
        <x:v>12.108999999705702</x:v>
      </x:c>
      <x:c r="U127" s="46" t="n">
        <x:v>16.811999999918044</x:v>
      </x:c>
      <x:c r="V127" s="46" t="n">
        <x:v>2</x:v>
      </x:c>
      <x:c r="W127" s="46" t="n">
        <x:v>2</x:v>
      </x:c>
      <x:c r="X127" s="46" t="n">
        <x:v>2.983999999705702</x:v>
      </x:c>
      <x:c r="Y127" s="46" t="n">
        <x:v>10</x:v>
      </x:c>
      <x:c r="Z127" s="46" t="n">
        <x:v>10</x:v>
      </x:c>
      <x:c r="AA127" s="46" t="n">
        <x:v>12.108999999705702</x:v>
      </x:c>
      <x:c r="AB127" s="46" t="n">
        <x:v>16.469000000040978</x:v>
      </x:c>
      <x:c r="AC127" s="61" t="n">
        <x:v>0</x:v>
      </x:c>
      <x:c r="AD127" s="61" t="n">
        <x:v>-4085760</x:v>
      </x:c>
      <x:c r="AE127" s="45" t="b">
        <x:v>1</x:v>
      </x:c>
      <x:c r="AF127" s="45" t="b">
        <x:v>1</x:v>
      </x:c>
      <x:c r="AG127" s="45" t="b">
        <x:v>1</x:v>
      </x:c>
      <x:c r="AH127" s="45" t="b">
        <x:v>1</x:v>
      </x:c>
      <x:c r="AI127" s="36" t="n">
        <x:v>0</x:v>
      </x:c>
      <x:c r="AJ127" s="59"/>
      <x:c r="AK127" s="45" t="b">
        <x:v>1</x:v>
      </x:c>
    </x:row>
    <x:row r="128" ht="22" customHeight="1">
      <x:c r="A128" s="24" t="str">
        <x:v>article1-unified-v4-2-fb3f101b-20260903-000401-default-f03-p1-cache2k</x:v>
      </x:c>
      <x:c r="B128" s="24" t="str">
        <x:v>default</x:v>
      </x:c>
      <x:c r="C128" s="24" t="str">
        <x:v>cache2k</x:v>
      </x:c>
      <x:c r="D128" s="36" t="n">
        <x:v>3</x:v>
      </x:c>
      <x:c r="E128" s="36" t="n">
        <x:v>3</x:v>
      </x:c>
      <x:c r="F128" s="36" t="n">
        <x:v>1</x:v>
      </x:c>
      <x:c r="G128" s="36" t="n">
        <x:v>3</x:v>
      </x:c>
      <x:c r="H128" s="43" t="n">
        <x:v>6119.841999839991</x:v>
      </x:c>
      <x:c r="I128" s="43" t="n">
        <x:v>4110.274599865079</x:v>
      </x:c>
      <x:c r="J128" s="43" t="n">
        <x:v>5967.3870000988245</x:v>
      </x:c>
      <x:c r="K128" s="43" t="n">
        <x:v>4108.047700021416</x:v>
      </x:c>
      <x:c r="L128" s="45" t="b">
        <x:v>1</x:v>
      </x:c>
      <x:c r="M128" s="45" t="b">
        <x:v>1</x:v>
      </x:c>
      <x:c r="N128" s="45" t="b">
        <x:v>1</x:v>
      </x:c>
      <x:c r="O128" s="46" t="n">
        <x:v>2</x:v>
      </x:c>
      <x:c r="P128" s="46" t="n">
        <x:v>2</x:v>
      </x:c>
      <x:c r="Q128" s="46" t="n">
        <x:v>3.0470000002533197</x:v>
      </x:c>
      <x:c r="R128" s="46" t="n">
        <x:v>10</x:v>
      </x:c>
      <x:c r="S128" s="46" t="n">
        <x:v>10</x:v>
      </x:c>
      <x:c r="T128" s="46" t="n">
        <x:v>12.094000000040978</x:v>
      </x:c>
      <x:c r="U128" s="46" t="n">
        <x:v>17.20300000021234</x:v>
      </x:c>
      <x:c r="V128" s="46" t="n">
        <x:v>2</x:v>
      </x:c>
      <x:c r="W128" s="46" t="n">
        <x:v>2</x:v>
      </x:c>
      <x:c r="X128" s="46" t="n">
        <x:v>3.125</x:v>
      </x:c>
      <x:c r="Y128" s="46" t="n">
        <x:v>10</x:v>
      </x:c>
      <x:c r="Z128" s="46" t="n">
        <x:v>10</x:v>
      </x:c>
      <x:c r="AA128" s="46" t="n">
        <x:v>12.094000000040978</x:v>
      </x:c>
      <x:c r="AB128" s="46" t="n">
        <x:v>16.70299999974668</x:v>
      </x:c>
      <x:c r="AC128" s="61" t="n">
        <x:v>0</x:v>
      </x:c>
      <x:c r="AD128" s="61" t="n">
        <x:v>-50176</x:v>
      </x:c>
      <x:c r="AE128" s="45" t="b">
        <x:v>1</x:v>
      </x:c>
      <x:c r="AF128" s="45" t="b">
        <x:v>1</x:v>
      </x:c>
      <x:c r="AG128" s="45" t="b">
        <x:v>1</x:v>
      </x:c>
      <x:c r="AH128" s="45" t="b">
        <x:v>1</x:v>
      </x:c>
      <x:c r="AI128" s="36" t="n">
        <x:v>0</x:v>
      </x:c>
      <x:c r="AJ128" s="59"/>
      <x:c r="AK128" s="45" t="b">
        <x:v>1</x:v>
      </x:c>
    </x:row>
    <x:row r="129" ht="22" customHeight="1">
      <x:c r="A129" s="24" t="str">
        <x:v>article1-unified-v4-2-fb3f101b-20260903-000401-default-f03-p1-cache2k</x:v>
      </x:c>
      <x:c r="B129" s="24" t="str">
        <x:v>default</x:v>
      </x:c>
      <x:c r="C129" s="24" t="str">
        <x:v>cache2k</x:v>
      </x:c>
      <x:c r="D129" s="36" t="n">
        <x:v>3</x:v>
      </x:c>
      <x:c r="E129" s="36" t="n">
        <x:v>3</x:v>
      </x:c>
      <x:c r="F129" s="36" t="n">
        <x:v>1</x:v>
      </x:c>
      <x:c r="G129" s="36" t="n">
        <x:v>4</x:v>
      </x:c>
      <x:c r="H129" s="43" t="n">
        <x:v>6178.016100078821</x:v>
      </x:c>
      <x:c r="I129" s="43" t="n">
        <x:v>4092.9817999713123</x:v>
      </x:c>
      <x:c r="J129" s="43" t="n">
        <x:v>6333.9100000448525</x:v>
      </x:c>
      <x:c r="K129" s="43" t="n">
        <x:v>4122.602299787104</x:v>
      </x:c>
      <x:c r="L129" s="45" t="b">
        <x:v>1</x:v>
      </x:c>
      <x:c r="M129" s="45" t="b">
        <x:v>1</x:v>
      </x:c>
      <x:c r="N129" s="45" t="b">
        <x:v>1</x:v>
      </x:c>
      <x:c r="O129" s="46" t="n">
        <x:v>2</x:v>
      </x:c>
      <x:c r="P129" s="46" t="n">
        <x:v>2</x:v>
      </x:c>
      <x:c r="Q129" s="46" t="n">
        <x:v>3</x:v>
      </x:c>
      <x:c r="R129" s="46" t="n">
        <x:v>10</x:v>
      </x:c>
      <x:c r="S129" s="46" t="n">
        <x:v>10.015000000130385</x:v>
      </x:c>
      <x:c r="T129" s="46" t="n">
        <x:v>12.109000000171363</x:v>
      </x:c>
      <x:c r="U129" s="46" t="n">
        <x:v>17.140000000130385</x:v>
      </x:c>
      <x:c r="V129" s="46" t="n">
        <x:v>2</x:v>
      </x:c>
      <x:c r="W129" s="46" t="n">
        <x:v>2</x:v>
      </x:c>
      <x:c r="X129" s="46" t="n">
        <x:v>3.094000000040978</x:v>
      </x:c>
      <x:c r="Y129" s="46" t="n">
        <x:v>10</x:v>
      </x:c>
      <x:c r="Z129" s="46" t="n">
        <x:v>10</x:v>
      </x:c>
      <x:c r="AA129" s="46" t="n">
        <x:v>12.109000000171363</x:v>
      </x:c>
      <x:c r="AB129" s="46" t="n">
        <x:v>17.280999999959022</x:v>
      </x:c>
      <x:c r="AC129" s="61" t="n">
        <x:v>0</x:v>
      </x:c>
      <x:c r="AD129" s="61" t="n">
        <x:v>30720</x:v>
      </x:c>
      <x:c r="AE129" s="45" t="b">
        <x:v>1</x:v>
      </x:c>
      <x:c r="AF129" s="45" t="b">
        <x:v>1</x:v>
      </x:c>
      <x:c r="AG129" s="45" t="b">
        <x:v>1</x:v>
      </x:c>
      <x:c r="AH129" s="45" t="b">
        <x:v>1</x:v>
      </x:c>
      <x:c r="AI129" s="36" t="n">
        <x:v>0</x:v>
      </x:c>
      <x:c r="AJ129" s="59"/>
      <x:c r="AK129" s="45" t="b">
        <x:v>1</x:v>
      </x:c>
    </x:row>
    <x:row r="130" ht="22" customHeight="1">
      <x:c r="A130" s="24" t="str">
        <x:v>article1-unified-v4-2-fb3f101b-20260903-000401-default-f03-p1-cache2k</x:v>
      </x:c>
      <x:c r="B130" s="24" t="str">
        <x:v>default</x:v>
      </x:c>
      <x:c r="C130" s="24" t="str">
        <x:v>cache2k</x:v>
      </x:c>
      <x:c r="D130" s="36" t="n">
        <x:v>3</x:v>
      </x:c>
      <x:c r="E130" s="36" t="n">
        <x:v>3</x:v>
      </x:c>
      <x:c r="F130" s="36" t="n">
        <x:v>1</x:v>
      </x:c>
      <x:c r="G130" s="36" t="n">
        <x:v>5</x:v>
      </x:c>
      <x:c r="H130" s="43" t="n">
        <x:v>6171.132099814713</x:v>
      </x:c>
      <x:c r="I130" s="43" t="n">
        <x:v>4117.269399575889</x:v>
      </x:c>
      <x:c r="J130" s="43" t="n">
        <x:v>6268.184800166637</x:v>
      </x:c>
      <x:c r="K130" s="43" t="n">
        <x:v>4093.2905999943614</x:v>
      </x:c>
      <x:c r="L130" s="45" t="b">
        <x:v>1</x:v>
      </x:c>
      <x:c r="M130" s="45" t="b">
        <x:v>1</x:v>
      </x:c>
      <x:c r="N130" s="45" t="b">
        <x:v>1</x:v>
      </x:c>
      <x:c r="O130" s="46" t="n">
        <x:v>2</x:v>
      </x:c>
      <x:c r="P130" s="46" t="n">
        <x:v>2</x:v>
      </x:c>
      <x:c r="Q130" s="46" t="n">
        <x:v>3.0320000001229346</x:v>
      </x:c>
      <x:c r="R130" s="46" t="n">
        <x:v>10</x:v>
      </x:c>
      <x:c r="S130" s="46" t="n">
        <x:v>10</x:v>
      </x:c>
      <x:c r="T130" s="46" t="n">
        <x:v>12.078000000212342</x:v>
      </x:c>
      <x:c r="U130" s="46" t="n">
        <x:v>17.157000000122935</x:v>
      </x:c>
      <x:c r="V130" s="46" t="n">
        <x:v>2</x:v>
      </x:c>
      <x:c r="W130" s="46" t="n">
        <x:v>2</x:v>
      </x:c>
      <x:c r="X130" s="46" t="n">
        <x:v>2.953999999910593</x:v>
      </x:c>
      <x:c r="Y130" s="46" t="n">
        <x:v>10</x:v>
      </x:c>
      <x:c r="Z130" s="46" t="n">
        <x:v>10</x:v>
      </x:c>
      <x:c r="AA130" s="46" t="n">
        <x:v>12.109999999869615</x:v>
      </x:c>
      <x:c r="AB130" s="46" t="n">
        <x:v>16.640999999828637</x:v>
      </x:c>
      <x:c r="AC130" s="61" t="n">
        <x:v>0</x:v>
      </x:c>
      <x:c r="AD130" s="61" t="n">
        <x:v>22528</x:v>
      </x:c>
      <x:c r="AE130" s="45" t="b">
        <x:v>1</x:v>
      </x:c>
      <x:c r="AF130" s="45" t="b">
        <x:v>1</x:v>
      </x:c>
      <x:c r="AG130" s="45" t="b">
        <x:v>1</x:v>
      </x:c>
      <x:c r="AH130" s="45" t="b">
        <x:v>1</x:v>
      </x:c>
      <x:c r="AI130" s="36" t="n">
        <x:v>0</x:v>
      </x:c>
      <x:c r="AJ130" s="59"/>
      <x:c r="AK130" s="45" t="b">
        <x:v>1</x:v>
      </x:c>
    </x:row>
    <x:row r="131" ht="22" customHeight="1">
      <x:c r="A131" s="24" t="str">
        <x:v>article1-unified-v4-2-fb3f101b-20260903-000401-default-f04-p3-cache2k</x:v>
      </x:c>
      <x:c r="B131" s="24" t="str">
        <x:v>default</x:v>
      </x:c>
      <x:c r="C131" s="24" t="str">
        <x:v>cache2k</x:v>
      </x:c>
      <x:c r="D131" s="36" t="n">
        <x:v>4</x:v>
      </x:c>
      <x:c r="E131" s="36" t="n">
        <x:v>4</x:v>
      </x:c>
      <x:c r="F131" s="36" t="n">
        <x:v>3</x:v>
      </x:c>
      <x:c r="G131" s="36" t="n">
        <x:v>1</x:v>
      </x:c>
      <x:c r="H131" s="43" t="n">
        <x:v>6858.7806997820735</x:v>
      </x:c>
      <x:c r="I131" s="43" t="n">
        <x:v>4099.262899719179</x:v>
      </x:c>
      <x:c r="J131" s="43" t="n">
        <x:v>6290.43720010668</x:v>
      </x:c>
      <x:c r="K131" s="43" t="n">
        <x:v>4121.823099907488</x:v>
      </x:c>
      <x:c r="L131" s="45" t="b">
        <x:v>1</x:v>
      </x:c>
      <x:c r="M131" s="45" t="b">
        <x:v>1</x:v>
      </x:c>
      <x:c r="N131" s="45" t="b">
        <x:v>1</x:v>
      </x:c>
      <x:c r="O131" s="46" t="n">
        <x:v>2</x:v>
      </x:c>
      <x:c r="P131" s="46" t="n">
        <x:v>2</x:v>
      </x:c>
      <x:c r="Q131" s="46" t="n">
        <x:v>3.155999999959022</x:v>
      </x:c>
      <x:c r="R131" s="46" t="n">
        <x:v>10</x:v>
      </x:c>
      <x:c r="S131" s="46" t="n">
        <x:v>10</x:v>
      </x:c>
      <x:c r="T131" s="46" t="n">
        <x:v>12.07799999974668</x:v>
      </x:c>
      <x:c r="U131" s="46" t="n">
        <x:v>16.858999999705702</x:v>
      </x:c>
      <x:c r="V131" s="46" t="n">
        <x:v>2</x:v>
      </x:c>
      <x:c r="W131" s="46" t="n">
        <x:v>2</x:v>
      </x:c>
      <x:c r="X131" s="46" t="n">
        <x:v>2.8909999998286366</x:v>
      </x:c>
      <x:c r="Y131" s="46" t="n">
        <x:v>10</x:v>
      </x:c>
      <x:c r="Z131" s="46" t="n">
        <x:v>10.015999999828637</x:v>
      </x:c>
      <x:c r="AA131" s="46" t="n">
        <x:v>12.078999999910593</x:v>
      </x:c>
      <x:c r="AB131" s="46" t="n">
        <x:v>17.282000000122935</x:v>
      </x:c>
      <x:c r="AC131" s="61" t="n">
        <x:v>194831360</x:v>
      </x:c>
      <x:c r="AD131" s="61" t="n">
        <x:v>-16717824</x:v>
      </x:c>
      <x:c r="AE131" s="45" t="b">
        <x:v>0</x:v>
      </x:c>
      <x:c r="AF131" s="45" t="b">
        <x:v>1</x:v>
      </x:c>
      <x:c r="AG131" s="45" t="b">
        <x:v>1</x:v>
      </x:c>
      <x:c r="AH131" s="45" t="b">
        <x:v>1</x:v>
      </x:c>
      <x:c r="AI131" s="36" t="n">
        <x:v>0</x:v>
      </x:c>
      <x:c r="AJ131" s="59"/>
      <x:c r="AK131" s="45" t="b">
        <x:v>1</x:v>
      </x:c>
    </x:row>
    <x:row r="132" ht="22" customHeight="1">
      <x:c r="A132" s="24" t="str">
        <x:v>article1-unified-v4-2-fb3f101b-20260903-000401-default-f04-p3-cache2k</x:v>
      </x:c>
      <x:c r="B132" s="24" t="str">
        <x:v>default</x:v>
      </x:c>
      <x:c r="C132" s="24" t="str">
        <x:v>cache2k</x:v>
      </x:c>
      <x:c r="D132" s="36" t="n">
        <x:v>4</x:v>
      </x:c>
      <x:c r="E132" s="36" t="n">
        <x:v>4</x:v>
      </x:c>
      <x:c r="F132" s="36" t="n">
        <x:v>3</x:v>
      </x:c>
      <x:c r="G132" s="36" t="n">
        <x:v>2</x:v>
      </x:c>
      <x:c r="H132" s="43" t="n">
        <x:v>6058.008699677885</x:v>
      </x:c>
      <x:c r="I132" s="43" t="n">
        <x:v>4108.472099993378</x:v>
      </x:c>
      <x:c r="J132" s="43" t="n">
        <x:v>5989.836300257593</x:v>
      </x:c>
      <x:c r="K132" s="43" t="n">
        <x:v>4120.203099679202</x:v>
      </x:c>
      <x:c r="L132" s="45" t="b">
        <x:v>1</x:v>
      </x:c>
      <x:c r="M132" s="45" t="b">
        <x:v>1</x:v>
      </x:c>
      <x:c r="N132" s="45" t="b">
        <x:v>1</x:v>
      </x:c>
      <x:c r="O132" s="46" t="n">
        <x:v>2</x:v>
      </x:c>
      <x:c r="P132" s="46" t="n">
        <x:v>2</x:v>
      </x:c>
      <x:c r="Q132" s="46" t="n">
        <x:v>3</x:v>
      </x:c>
      <x:c r="R132" s="46" t="n">
        <x:v>10</x:v>
      </x:c>
      <x:c r="S132" s="46" t="n">
        <x:v>10</x:v>
      </x:c>
      <x:c r="T132" s="46" t="n">
        <x:v>12.094000000040978</x:v>
      </x:c>
      <x:c r="U132" s="46" t="n">
        <x:v>16.54700000025332</x:v>
      </x:c>
      <x:c r="V132" s="46" t="n">
        <x:v>2</x:v>
      </x:c>
      <x:c r="W132" s="46" t="n">
        <x:v>2</x:v>
      </x:c>
      <x:c r="X132" s="46" t="n">
        <x:v>3.0619999999180436</x:v>
      </x:c>
      <x:c r="Y132" s="46" t="n">
        <x:v>10</x:v>
      </x:c>
      <x:c r="Z132" s="46" t="n">
        <x:v>10</x:v>
      </x:c>
      <x:c r="AA132" s="46" t="n">
        <x:v>12.109000000171363</x:v>
      </x:c>
      <x:c r="AB132" s="46" t="n">
        <x:v>16.936999999918044</x:v>
      </x:c>
      <x:c r="AC132" s="61" t="n">
        <x:v>0</x:v>
      </x:c>
      <x:c r="AD132" s="61" t="n">
        <x:v>-27648</x:v>
      </x:c>
      <x:c r="AE132" s="45" t="b">
        <x:v>1</x:v>
      </x:c>
      <x:c r="AF132" s="45" t="b">
        <x:v>1</x:v>
      </x:c>
      <x:c r="AG132" s="45" t="b">
        <x:v>1</x:v>
      </x:c>
      <x:c r="AH132" s="45" t="b">
        <x:v>1</x:v>
      </x:c>
      <x:c r="AI132" s="36" t="n">
        <x:v>0</x:v>
      </x:c>
      <x:c r="AJ132" s="59"/>
      <x:c r="AK132" s="45" t="b">
        <x:v>1</x:v>
      </x:c>
    </x:row>
    <x:row r="133" ht="22" customHeight="1">
      <x:c r="A133" s="24" t="str">
        <x:v>article1-unified-v4-2-fb3f101b-20260903-000401-default-f04-p3-cache2k</x:v>
      </x:c>
      <x:c r="B133" s="24" t="str">
        <x:v>default</x:v>
      </x:c>
      <x:c r="C133" s="24" t="str">
        <x:v>cache2k</x:v>
      </x:c>
      <x:c r="D133" s="36" t="n">
        <x:v>4</x:v>
      </x:c>
      <x:c r="E133" s="36" t="n">
        <x:v>4</x:v>
      </x:c>
      <x:c r="F133" s="36" t="n">
        <x:v>3</x:v>
      </x:c>
      <x:c r="G133" s="36" t="n">
        <x:v>3</x:v>
      </x:c>
      <x:c r="H133" s="43" t="n">
        <x:v>5995.468799956143</x:v>
      </x:c>
      <x:c r="I133" s="43" t="n">
        <x:v>4113.383400253952</x:v>
      </x:c>
      <x:c r="J133" s="43" t="n">
        <x:v>6057.99389956519</x:v>
      </x:c>
      <x:c r="K133" s="43" t="n">
        <x:v>4100.44729989022</x:v>
      </x:c>
      <x:c r="L133" s="45" t="b">
        <x:v>1</x:v>
      </x:c>
      <x:c r="M133" s="45" t="b">
        <x:v>1</x:v>
      </x:c>
      <x:c r="N133" s="45" t="b">
        <x:v>1</x:v>
      </x:c>
      <x:c r="O133" s="46" t="n">
        <x:v>2</x:v>
      </x:c>
      <x:c r="P133" s="46" t="n">
        <x:v>2</x:v>
      </x:c>
      <x:c r="Q133" s="46" t="n">
        <x:v>3.1880000000819564</x:v>
      </x:c>
      <x:c r="R133" s="46" t="n">
        <x:v>10</x:v>
      </x:c>
      <x:c r="S133" s="46" t="n">
        <x:v>10</x:v>
      </x:c>
      <x:c r="T133" s="46" t="n">
        <x:v>12.094000000040978</x:v>
      </x:c>
      <x:c r="U133" s="46" t="n">
        <x:v>17.109999999869615</x:v>
      </x:c>
      <x:c r="V133" s="46" t="n">
        <x:v>2</x:v>
      </x:c>
      <x:c r="W133" s="46" t="n">
        <x:v>2</x:v>
      </x:c>
      <x:c r="X133" s="46" t="n">
        <x:v>3.4530000002123415</x:v>
      </x:c>
      <x:c r="Y133" s="46" t="n">
        <x:v>10</x:v>
      </x:c>
      <x:c r="Z133" s="46" t="n">
        <x:v>10</x:v>
      </x:c>
      <x:c r="AA133" s="46" t="n">
        <x:v>12.109000000171363</x:v>
      </x:c>
      <x:c r="AB133" s="46" t="n">
        <x:v>16.811999999918044</x:v>
      </x:c>
      <x:c r="AC133" s="61" t="n">
        <x:v>0</x:v>
      </x:c>
      <x:c r="AD133" s="61" t="n">
        <x:v>27648</x:v>
      </x:c>
      <x:c r="AE133" s="45" t="b">
        <x:v>1</x:v>
      </x:c>
      <x:c r="AF133" s="45" t="b">
        <x:v>1</x:v>
      </x:c>
      <x:c r="AG133" s="45" t="b">
        <x:v>1</x:v>
      </x:c>
      <x:c r="AH133" s="45" t="b">
        <x:v>1</x:v>
      </x:c>
      <x:c r="AI133" s="36" t="n">
        <x:v>0</x:v>
      </x:c>
      <x:c r="AJ133" s="59"/>
      <x:c r="AK133" s="45" t="b">
        <x:v>1</x:v>
      </x:c>
    </x:row>
    <x:row r="134" ht="22" customHeight="1">
      <x:c r="A134" s="24" t="str">
        <x:v>article1-unified-v4-2-fb3f101b-20260903-000401-default-f04-p3-cache2k</x:v>
      </x:c>
      <x:c r="B134" s="24" t="str">
        <x:v>default</x:v>
      </x:c>
      <x:c r="C134" s="24" t="str">
        <x:v>cache2k</x:v>
      </x:c>
      <x:c r="D134" s="36" t="n">
        <x:v>4</x:v>
      </x:c>
      <x:c r="E134" s="36" t="n">
        <x:v>4</x:v>
      </x:c>
      <x:c r="F134" s="36" t="n">
        <x:v>3</x:v>
      </x:c>
      <x:c r="G134" s="36" t="n">
        <x:v>4</x:v>
      </x:c>
      <x:c r="H134" s="43" t="n">
        <x:v>6034.944100305438</x:v>
      </x:c>
      <x:c r="I134" s="43" t="n">
        <x:v>4117.221599910408</x:v>
      </x:c>
      <x:c r="J134" s="43" t="n">
        <x:v>6047.148599755019</x:v>
      </x:c>
      <x:c r="K134" s="43" t="n">
        <x:v>4116.408799774945</x:v>
      </x:c>
      <x:c r="L134" s="45" t="b">
        <x:v>1</x:v>
      </x:c>
      <x:c r="M134" s="45" t="b">
        <x:v>1</x:v>
      </x:c>
      <x:c r="N134" s="45" t="b">
        <x:v>1</x:v>
      </x:c>
      <x:c r="O134" s="46" t="n">
        <x:v>2</x:v>
      </x:c>
      <x:c r="P134" s="46" t="n">
        <x:v>2</x:v>
      </x:c>
      <x:c r="Q134" s="46" t="n">
        <x:v>2.9529999997466803</x:v>
      </x:c>
      <x:c r="R134" s="46" t="n">
        <x:v>10</x:v>
      </x:c>
      <x:c r="S134" s="46" t="n">
        <x:v>10</x:v>
      </x:c>
      <x:c r="T134" s="46" t="n">
        <x:v>12.07799999974668</x:v>
      </x:c>
      <x:c r="U134" s="46" t="n">
        <x:v>16.609999999869615</x:v>
      </x:c>
      <x:c r="V134" s="46" t="n">
        <x:v>2</x:v>
      </x:c>
      <x:c r="W134" s="46" t="n">
        <x:v>2</x:v>
      </x:c>
      <x:c r="X134" s="46" t="n">
        <x:v>3.344000000040978</x:v>
      </x:c>
      <x:c r="Y134" s="46" t="n">
        <x:v>10</x:v>
      </x:c>
      <x:c r="Z134" s="46" t="n">
        <x:v>10.015999999828637</x:v>
      </x:c>
      <x:c r="AA134" s="46" t="n">
        <x:v>12.125</x:v>
      </x:c>
      <x:c r="AB134" s="46" t="n">
        <x:v>16.609999999869615</x:v>
      </x:c>
      <x:c r="AC134" s="61" t="n">
        <x:v>0</x:v>
      </x:c>
      <x:c r="AD134" s="61" t="n">
        <x:v>21504</x:v>
      </x:c>
      <x:c r="AE134" s="45" t="b">
        <x:v>1</x:v>
      </x:c>
      <x:c r="AF134" s="45" t="b">
        <x:v>1</x:v>
      </x:c>
      <x:c r="AG134" s="45" t="b">
        <x:v>1</x:v>
      </x:c>
      <x:c r="AH134" s="45" t="b">
        <x:v>1</x:v>
      </x:c>
      <x:c r="AI134" s="36" t="n">
        <x:v>0</x:v>
      </x:c>
      <x:c r="AJ134" s="59"/>
      <x:c r="AK134" s="45" t="b">
        <x:v>1</x:v>
      </x:c>
    </x:row>
    <x:row r="135" ht="22" customHeight="1">
      <x:c r="A135" s="24" t="str">
        <x:v>article1-unified-v4-2-fb3f101b-20260903-000401-default-f04-p3-cache2k</x:v>
      </x:c>
      <x:c r="B135" s="24" t="str">
        <x:v>default</x:v>
      </x:c>
      <x:c r="C135" s="24" t="str">
        <x:v>cache2k</x:v>
      </x:c>
      <x:c r="D135" s="36" t="n">
        <x:v>4</x:v>
      </x:c>
      <x:c r="E135" s="36" t="n">
        <x:v>4</x:v>
      </x:c>
      <x:c r="F135" s="36" t="n">
        <x:v>3</x:v>
      </x:c>
      <x:c r="G135" s="36" t="n">
        <x:v>5</x:v>
      </x:c>
      <x:c r="H135" s="43" t="n">
        <x:v>5979.981699958444</x:v>
      </x:c>
      <x:c r="I135" s="43" t="n">
        <x:v>4132.627800107002</x:v>
      </x:c>
      <x:c r="J135" s="43" t="n">
        <x:v>6095.171299763024</x:v>
      </x:c>
      <x:c r="K135" s="43" t="n">
        <x:v>4101.626200135797</x:v>
      </x:c>
      <x:c r="L135" s="45" t="b">
        <x:v>1</x:v>
      </x:c>
      <x:c r="M135" s="45" t="b">
        <x:v>1</x:v>
      </x:c>
      <x:c r="N135" s="45" t="b">
        <x:v>1</x:v>
      </x:c>
      <x:c r="O135" s="46" t="n">
        <x:v>2</x:v>
      </x:c>
      <x:c r="P135" s="46" t="n">
        <x:v>2</x:v>
      </x:c>
      <x:c r="Q135" s="46" t="n">
        <x:v>3.5</x:v>
      </x:c>
      <x:c r="R135" s="46" t="n">
        <x:v>10</x:v>
      </x:c>
      <x:c r="S135" s="46" t="n">
        <x:v>10</x:v>
      </x:c>
      <x:c r="T135" s="46" t="n">
        <x:v>12.094000000040978</x:v>
      </x:c>
      <x:c r="U135" s="46" t="n">
        <x:v>17.75</x:v>
      </x:c>
      <x:c r="V135" s="46" t="n">
        <x:v>2</x:v>
      </x:c>
      <x:c r="W135" s="46" t="n">
        <x:v>2</x:v>
      </x:c>
      <x:c r="X135" s="46" t="n">
        <x:v>3.2970000002533197</x:v>
      </x:c>
      <x:c r="Y135" s="46" t="n">
        <x:v>10</x:v>
      </x:c>
      <x:c r="Z135" s="46" t="n">
        <x:v>10</x:v>
      </x:c>
      <x:c r="AA135" s="46" t="n">
        <x:v>12.109000000171363</x:v>
      </x:c>
      <x:c r="AB135" s="46" t="n">
        <x:v>16.45300000021234</x:v>
      </x:c>
      <x:c r="AC135" s="61" t="n">
        <x:v>0</x:v>
      </x:c>
      <x:c r="AD135" s="61" t="n">
        <x:v>29696</x:v>
      </x:c>
      <x:c r="AE135" s="45" t="b">
        <x:v>1</x:v>
      </x:c>
      <x:c r="AF135" s="45" t="b">
        <x:v>1</x:v>
      </x:c>
      <x:c r="AG135" s="45" t="b">
        <x:v>1</x:v>
      </x:c>
      <x:c r="AH135" s="45" t="b">
        <x:v>1</x:v>
      </x:c>
      <x:c r="AI135" s="36" t="n">
        <x:v>0</x:v>
      </x:c>
      <x:c r="AJ135" s="59"/>
      <x:c r="AK135" s="45" t="b">
        <x:v>1</x:v>
      </x:c>
    </x:row>
    <x:row r="136" ht="22" customHeight="1">
      <x:c r="A136" s="24" t="str">
        <x:v>article1-unified-v4-2-fb3f101b-20260903-000401-default-f05-p5-cache2k</x:v>
      </x:c>
      <x:c r="B136" s="24" t="str">
        <x:v>default</x:v>
      </x:c>
      <x:c r="C136" s="24" t="str">
        <x:v>cache2k</x:v>
      </x:c>
      <x:c r="D136" s="36" t="n">
        <x:v>5</x:v>
      </x:c>
      <x:c r="E136" s="36" t="n">
        <x:v>5</x:v>
      </x:c>
      <x:c r="F136" s="36" t="n">
        <x:v>5</x:v>
      </x:c>
      <x:c r="G136" s="36" t="n">
        <x:v>1</x:v>
      </x:c>
      <x:c r="H136" s="43" t="n">
        <x:v>7050.791199784726</x:v>
      </x:c>
      <x:c r="I136" s="43" t="n">
        <x:v>4121.690800413489</x:v>
      </x:c>
      <x:c r="J136" s="43" t="n">
        <x:v>6234.175099991262</x:v>
      </x:c>
      <x:c r="K136" s="43" t="n">
        <x:v>4098.988700192422</x:v>
      </x:c>
      <x:c r="L136" s="45" t="b">
        <x:v>1</x:v>
      </x:c>
      <x:c r="M136" s="45" t="b">
        <x:v>1</x:v>
      </x:c>
      <x:c r="N136" s="45" t="b">
        <x:v>1</x:v>
      </x:c>
      <x:c r="O136" s="46" t="n">
        <x:v>2</x:v>
      </x:c>
      <x:c r="P136" s="46" t="n">
        <x:v>2</x:v>
      </x:c>
      <x:c r="Q136" s="46" t="n">
        <x:v>3.0619999999180436</x:v>
      </x:c>
      <x:c r="R136" s="46" t="n">
        <x:v>10</x:v>
      </x:c>
      <x:c r="S136" s="46" t="n">
        <x:v>10.015999999828637</x:v>
      </x:c>
      <x:c r="T136" s="46" t="n">
        <x:v>12.094000000040978</x:v>
      </x:c>
      <x:c r="U136" s="46" t="n">
        <x:v>16.625</x:v>
      </x:c>
      <x:c r="V136" s="46" t="n">
        <x:v>2</x:v>
      </x:c>
      <x:c r="W136" s="46" t="n">
        <x:v>2</x:v>
      </x:c>
      <x:c r="X136" s="46" t="n">
        <x:v>2.985000000335276</x:v>
      </x:c>
      <x:c r="Y136" s="46" t="n">
        <x:v>10</x:v>
      </x:c>
      <x:c r="Z136" s="46" t="n">
        <x:v>10</x:v>
      </x:c>
      <x:c r="AA136" s="46" t="n">
        <x:v>12.110000000335276</x:v>
      </x:c>
      <x:c r="AB136" s="46" t="n">
        <x:v>16.75</x:v>
      </x:c>
      <x:c r="AC136" s="61" t="n">
        <x:v>196267008</x:v>
      </x:c>
      <x:c r="AD136" s="61" t="n">
        <x:v>-17147904</x:v>
      </x:c>
      <x:c r="AE136" s="45" t="b">
        <x:v>0</x:v>
      </x:c>
      <x:c r="AF136" s="45" t="b">
        <x:v>1</x:v>
      </x:c>
      <x:c r="AG136" s="45" t="b">
        <x:v>1</x:v>
      </x:c>
      <x:c r="AH136" s="45" t="b">
        <x:v>1</x:v>
      </x:c>
      <x:c r="AI136" s="36" t="n">
        <x:v>0</x:v>
      </x:c>
      <x:c r="AJ136" s="59"/>
      <x:c r="AK136" s="45" t="b">
        <x:v>1</x:v>
      </x:c>
    </x:row>
    <x:row r="137" ht="22" customHeight="1">
      <x:c r="A137" s="24" t="str">
        <x:v>article1-unified-v4-2-fb3f101b-20260903-000401-default-f05-p5-cache2k</x:v>
      </x:c>
      <x:c r="B137" s="24" t="str">
        <x:v>default</x:v>
      </x:c>
      <x:c r="C137" s="24" t="str">
        <x:v>cache2k</x:v>
      </x:c>
      <x:c r="D137" s="36" t="n">
        <x:v>5</x:v>
      </x:c>
      <x:c r="E137" s="36" t="n">
        <x:v>5</x:v>
      </x:c>
      <x:c r="F137" s="36" t="n">
        <x:v>5</x:v>
      </x:c>
      <x:c r="G137" s="36" t="n">
        <x:v>2</x:v>
      </x:c>
      <x:c r="H137" s="43" t="n">
        <x:v>6114.849200006574</x:v>
      </x:c>
      <x:c r="I137" s="43" t="n">
        <x:v>4116.540000308305</x:v>
      </x:c>
      <x:c r="J137" s="43" t="n">
        <x:v>6047.675400041044</x:v>
      </x:c>
      <x:c r="K137" s="43" t="n">
        <x:v>4125.322200357914</x:v>
      </x:c>
      <x:c r="L137" s="45" t="b">
        <x:v>1</x:v>
      </x:c>
      <x:c r="M137" s="45" t="b">
        <x:v>1</x:v>
      </x:c>
      <x:c r="N137" s="45" t="b">
        <x:v>1</x:v>
      </x:c>
      <x:c r="O137" s="46" t="n">
        <x:v>2</x:v>
      </x:c>
      <x:c r="P137" s="46" t="n">
        <x:v>2</x:v>
      </x:c>
      <x:c r="Q137" s="46" t="n">
        <x:v>3.266000000294298</x:v>
      </x:c>
      <x:c r="R137" s="46" t="n">
        <x:v>10</x:v>
      </x:c>
      <x:c r="S137" s="46" t="n">
        <x:v>10</x:v>
      </x:c>
      <x:c r="T137" s="46" t="n">
        <x:v>12.094000000040978</x:v>
      </x:c>
      <x:c r="U137" s="46" t="n">
        <x:v>16.969000000040978</x:v>
      </x:c>
      <x:c r="V137" s="46" t="n">
        <x:v>2</x:v>
      </x:c>
      <x:c r="W137" s="46" t="n">
        <x:v>2</x:v>
      </x:c>
      <x:c r="X137" s="46" t="n">
        <x:v>2.9679999998770654</x:v>
      </x:c>
      <x:c r="Y137" s="46" t="n">
        <x:v>10</x:v>
      </x:c>
      <x:c r="Z137" s="46" t="n">
        <x:v>10</x:v>
      </x:c>
      <x:c r="AA137" s="46" t="n">
        <x:v>12.061999999918044</x:v>
      </x:c>
      <x:c r="AB137" s="46" t="n">
        <x:v>16.640000000130385</x:v>
      </x:c>
      <x:c r="AC137" s="61" t="n">
        <x:v>0</x:v>
      </x:c>
      <x:c r="AD137" s="61" t="n">
        <x:v>6144</x:v>
      </x:c>
      <x:c r="AE137" s="45" t="b">
        <x:v>1</x:v>
      </x:c>
      <x:c r="AF137" s="45" t="b">
        <x:v>1</x:v>
      </x:c>
      <x:c r="AG137" s="45" t="b">
        <x:v>1</x:v>
      </x:c>
      <x:c r="AH137" s="45" t="b">
        <x:v>1</x:v>
      </x:c>
      <x:c r="AI137" s="36" t="n">
        <x:v>0</x:v>
      </x:c>
      <x:c r="AJ137" s="59"/>
      <x:c r="AK137" s="45" t="b">
        <x:v>1</x:v>
      </x:c>
    </x:row>
    <x:row r="138" ht="22" customHeight="1">
      <x:c r="A138" s="24" t="str">
        <x:v>article1-unified-v4-2-fb3f101b-20260903-000401-default-f05-p5-cache2k</x:v>
      </x:c>
      <x:c r="B138" s="24" t="str">
        <x:v>default</x:v>
      </x:c>
      <x:c r="C138" s="24" t="str">
        <x:v>cache2k</x:v>
      </x:c>
      <x:c r="D138" s="36" t="n">
        <x:v>5</x:v>
      </x:c>
      <x:c r="E138" s="36" t="n">
        <x:v>5</x:v>
      </x:c>
      <x:c r="F138" s="36" t="n">
        <x:v>5</x:v>
      </x:c>
      <x:c r="G138" s="36" t="n">
        <x:v>3</x:v>
      </x:c>
      <x:c r="H138" s="43" t="n">
        <x:v>5991.58569984138</x:v>
      </x:c>
      <x:c r="I138" s="43" t="n">
        <x:v>4102.834899909794</x:v>
      </x:c>
      <x:c r="J138" s="43" t="n">
        <x:v>6133.324499707669</x:v>
      </x:c>
      <x:c r="K138" s="43" t="n">
        <x:v>4119.203000329435</x:v>
      </x:c>
      <x:c r="L138" s="45" t="b">
        <x:v>1</x:v>
      </x:c>
      <x:c r="M138" s="45" t="b">
        <x:v>1</x:v>
      </x:c>
      <x:c r="N138" s="45" t="b">
        <x:v>1</x:v>
      </x:c>
      <x:c r="O138" s="46" t="n">
        <x:v>2</x:v>
      </x:c>
      <x:c r="P138" s="46" t="n">
        <x:v>2</x:v>
      </x:c>
      <x:c r="Q138" s="46" t="n">
        <x:v>3.0470000002533197</x:v>
      </x:c>
      <x:c r="R138" s="46" t="n">
        <x:v>10</x:v>
      </x:c>
      <x:c r="S138" s="46" t="n">
        <x:v>10</x:v>
      </x:c>
      <x:c r="T138" s="46" t="n">
        <x:v>12.109000000171363</x:v>
      </x:c>
      <x:c r="U138" s="46" t="n">
        <x:v>17.04700000025332</x:v>
      </x:c>
      <x:c r="V138" s="46" t="n">
        <x:v>2</x:v>
      </x:c>
      <x:c r="W138" s="46" t="n">
        <x:v>2</x:v>
      </x:c>
      <x:c r="X138" s="46" t="n">
        <x:v>3.703999999910593</x:v>
      </x:c>
      <x:c r="Y138" s="46" t="n">
        <x:v>10</x:v>
      </x:c>
      <x:c r="Z138" s="46" t="n">
        <x:v>10.015999999828637</x:v>
      </x:c>
      <x:c r="AA138" s="46" t="n">
        <x:v>12.078999999910593</x:v>
      </x:c>
      <x:c r="AB138" s="46" t="n">
        <x:v>17.657000000122935</x:v>
      </x:c>
      <x:c r="AC138" s="61" t="n">
        <x:v>0</x:v>
      </x:c>
      <x:c r="AD138" s="61" t="n">
        <x:v>23552</x:v>
      </x:c>
      <x:c r="AE138" s="45" t="b">
        <x:v>1</x:v>
      </x:c>
      <x:c r="AF138" s="45" t="b">
        <x:v>1</x:v>
      </x:c>
      <x:c r="AG138" s="45" t="b">
        <x:v>1</x:v>
      </x:c>
      <x:c r="AH138" s="45" t="b">
        <x:v>1</x:v>
      </x:c>
      <x:c r="AI138" s="36" t="n">
        <x:v>0</x:v>
      </x:c>
      <x:c r="AJ138" s="59"/>
      <x:c r="AK138" s="45" t="b">
        <x:v>1</x:v>
      </x:c>
    </x:row>
    <x:row r="139" ht="22" customHeight="1">
      <x:c r="A139" s="24" t="str">
        <x:v>article1-unified-v4-2-fb3f101b-20260903-000401-default-f05-p5-cache2k</x:v>
      </x:c>
      <x:c r="B139" s="24" t="str">
        <x:v>default</x:v>
      </x:c>
      <x:c r="C139" s="24" t="str">
        <x:v>cache2k</x:v>
      </x:c>
      <x:c r="D139" s="36" t="n">
        <x:v>5</x:v>
      </x:c>
      <x:c r="E139" s="36" t="n">
        <x:v>5</x:v>
      </x:c>
      <x:c r="F139" s="36" t="n">
        <x:v>5</x:v>
      </x:c>
      <x:c r="G139" s="36" t="n">
        <x:v>4</x:v>
      </x:c>
      <x:c r="H139" s="43" t="n">
        <x:v>5987.505500204861</x:v>
      </x:c>
      <x:c r="I139" s="43" t="n">
        <x:v>4110.508099664003</x:v>
      </x:c>
      <x:c r="J139" s="43" t="n">
        <x:v>6060.887599829584</x:v>
      </x:c>
      <x:c r="K139" s="43" t="n">
        <x:v>4107.93949989602</x:v>
      </x:c>
      <x:c r="L139" s="45" t="b">
        <x:v>1</x:v>
      </x:c>
      <x:c r="M139" s="45" t="b">
        <x:v>1</x:v>
      </x:c>
      <x:c r="N139" s="45" t="b">
        <x:v>1</x:v>
      </x:c>
      <x:c r="O139" s="46" t="n">
        <x:v>2</x:v>
      </x:c>
      <x:c r="P139" s="46" t="n">
        <x:v>2</x:v>
      </x:c>
      <x:c r="Q139" s="46" t="n">
        <x:v>3.1409999998286366</x:v>
      </x:c>
      <x:c r="R139" s="46" t="n">
        <x:v>10</x:v>
      </x:c>
      <x:c r="S139" s="46" t="n">
        <x:v>10</x:v>
      </x:c>
      <x:c r="T139" s="46" t="n">
        <x:v>12.108999999705702</x:v>
      </x:c>
      <x:c r="U139" s="46" t="n">
        <x:v>17.5</x:v>
      </x:c>
      <x:c r="V139" s="46" t="n">
        <x:v>2</x:v>
      </x:c>
      <x:c r="W139" s="46" t="n">
        <x:v>2</x:v>
      </x:c>
      <x:c r="X139" s="46" t="n">
        <x:v>3.344000000040978</x:v>
      </x:c>
      <x:c r="Y139" s="46" t="n">
        <x:v>10</x:v>
      </x:c>
      <x:c r="Z139" s="46" t="n">
        <x:v>10</x:v>
      </x:c>
      <x:c r="AA139" s="46" t="n">
        <x:v>12.094000000040978</x:v>
      </x:c>
      <x:c r="AB139" s="46" t="n">
        <x:v>17.094000000040978</x:v>
      </x:c>
      <x:c r="AC139" s="61" t="n">
        <x:v>0</x:v>
      </x:c>
      <x:c r="AD139" s="61" t="n">
        <x:v>20480</x:v>
      </x:c>
      <x:c r="AE139" s="45" t="b">
        <x:v>1</x:v>
      </x:c>
      <x:c r="AF139" s="45" t="b">
        <x:v>1</x:v>
      </x:c>
      <x:c r="AG139" s="45" t="b">
        <x:v>1</x:v>
      </x:c>
      <x:c r="AH139" s="45" t="b">
        <x:v>1</x:v>
      </x:c>
      <x:c r="AI139" s="36" t="n">
        <x:v>0</x:v>
      </x:c>
      <x:c r="AJ139" s="59"/>
      <x:c r="AK139" s="45" t="b">
        <x:v>1</x:v>
      </x:c>
    </x:row>
    <x:row r="140" ht="22" customHeight="1">
      <x:c r="A140" s="24" t="str">
        <x:v>article1-unified-v4-2-fb3f101b-20260903-000401-default-f05-p5-cache2k</x:v>
      </x:c>
      <x:c r="B140" s="24" t="str">
        <x:v>default</x:v>
      </x:c>
      <x:c r="C140" s="24" t="str">
        <x:v>cache2k</x:v>
      </x:c>
      <x:c r="D140" s="36" t="n">
        <x:v>5</x:v>
      </x:c>
      <x:c r="E140" s="36" t="n">
        <x:v>5</x:v>
      </x:c>
      <x:c r="F140" s="36" t="n">
        <x:v>5</x:v>
      </x:c>
      <x:c r="G140" s="36" t="n">
        <x:v>5</x:v>
      </x:c>
      <x:c r="H140" s="43" t="n">
        <x:v>5969.742400106043</x:v>
      </x:c>
      <x:c r="I140" s="43" t="n">
        <x:v>4121.046000160277</x:v>
      </x:c>
      <x:c r="J140" s="43" t="n">
        <x:v>6000.948700122535</x:v>
      </x:c>
      <x:c r="K140" s="43" t="n">
        <x:v>4111.686300020665</x:v>
      </x:c>
      <x:c r="L140" s="45" t="b">
        <x:v>1</x:v>
      </x:c>
      <x:c r="M140" s="45" t="b">
        <x:v>1</x:v>
      </x:c>
      <x:c r="N140" s="45" t="b">
        <x:v>1</x:v>
      </x:c>
      <x:c r="O140" s="46" t="n">
        <x:v>2</x:v>
      </x:c>
      <x:c r="P140" s="46" t="n">
        <x:v>2</x:v>
      </x:c>
      <x:c r="Q140" s="46" t="n">
        <x:v>3.109999999869615</x:v>
      </x:c>
      <x:c r="R140" s="46" t="n">
        <x:v>10</x:v>
      </x:c>
      <x:c r="S140" s="46" t="n">
        <x:v>10</x:v>
      </x:c>
      <x:c r="T140" s="46" t="n">
        <x:v>12.109999999869615</x:v>
      </x:c>
      <x:c r="U140" s="46" t="n">
        <x:v>17.390999999828637</x:v>
      </x:c>
      <x:c r="V140" s="46" t="n">
        <x:v>2</x:v>
      </x:c>
      <x:c r="W140" s="46" t="n">
        <x:v>2</x:v>
      </x:c>
      <x:c r="X140" s="46" t="n">
        <x:v>3.2030000002123415</x:v>
      </x:c>
      <x:c r="Y140" s="46" t="n">
        <x:v>10</x:v>
      </x:c>
      <x:c r="Z140" s="46" t="n">
        <x:v>10</x:v>
      </x:c>
      <x:c r="AA140" s="46" t="n">
        <x:v>12.094000000040978</x:v>
      </x:c>
      <x:c r="AB140" s="46" t="n">
        <x:v>17.061999999918044</x:v>
      </x:c>
      <x:c r="AC140" s="61" t="n">
        <x:v>0</x:v>
      </x:c>
      <x:c r="AD140" s="61" t="n">
        <x:v>32768</x:v>
      </x:c>
      <x:c r="AE140" s="45" t="b">
        <x:v>1</x:v>
      </x:c>
      <x:c r="AF140" s="45" t="b">
        <x:v>1</x:v>
      </x:c>
      <x:c r="AG140" s="45" t="b">
        <x:v>1</x:v>
      </x:c>
      <x:c r="AH140" s="45" t="b">
        <x:v>1</x:v>
      </x:c>
      <x:c r="AI140" s="36" t="n">
        <x:v>0</x:v>
      </x:c>
      <x:c r="AJ140" s="59"/>
      <x:c r="AK140" s="45" t="b">
        <x:v>1</x:v>
      </x:c>
    </x:row>
    <x:row r="141" ht="22" customHeight="1">
      <x:c r="A141" s="24" t="str">
        <x:v>article1-unified-v4-2-fb3f101b-20260903-000401-default-f06-p6-cache2k</x:v>
      </x:c>
      <x:c r="B141" s="24" t="str">
        <x:v>default</x:v>
      </x:c>
      <x:c r="C141" s="24" t="str">
        <x:v>cache2k</x:v>
      </x:c>
      <x:c r="D141" s="36" t="n">
        <x:v>6</x:v>
      </x:c>
      <x:c r="E141" s="36" t="n">
        <x:v>6</x:v>
      </x:c>
      <x:c r="F141" s="36" t="n">
        <x:v>6</x:v>
      </x:c>
      <x:c r="G141" s="36" t="n">
        <x:v>1</x:v>
      </x:c>
      <x:c r="H141" s="43" t="n">
        <x:v>6804.747300222516</x:v>
      </x:c>
      <x:c r="I141" s="43" t="n">
        <x:v>4118.408600334078</x:v>
      </x:c>
      <x:c r="J141" s="43" t="n">
        <x:v>6311.951300129294</x:v>
      </x:c>
      <x:c r="K141" s="43" t="n">
        <x:v>4099.479999858886</x:v>
      </x:c>
      <x:c r="L141" s="45" t="b">
        <x:v>1</x:v>
      </x:c>
      <x:c r="M141" s="45" t="b">
        <x:v>1</x:v>
      </x:c>
      <x:c r="N141" s="45" t="b">
        <x:v>1</x:v>
      </x:c>
      <x:c r="O141" s="46" t="n">
        <x:v>2</x:v>
      </x:c>
      <x:c r="P141" s="46" t="n">
        <x:v>2</x:v>
      </x:c>
      <x:c r="Q141" s="46" t="n">
        <x:v>3.109999999869615</x:v>
      </x:c>
      <x:c r="R141" s="46" t="n">
        <x:v>10</x:v>
      </x:c>
      <x:c r="S141" s="46" t="n">
        <x:v>10</x:v>
      </x:c>
      <x:c r="T141" s="46" t="n">
        <x:v>12.07799999974668</x:v>
      </x:c>
      <x:c r="U141" s="46" t="n">
        <x:v>16.92199999978766</x:v>
      </x:c>
      <x:c r="V141" s="46" t="n">
        <x:v>2</x:v>
      </x:c>
      <x:c r="W141" s="46" t="n">
        <x:v>2</x:v>
      </x:c>
      <x:c r="X141" s="46" t="n">
        <x:v>2.9219999997876585</x:v>
      </x:c>
      <x:c r="Y141" s="46" t="n">
        <x:v>10</x:v>
      </x:c>
      <x:c r="Z141" s="46" t="n">
        <x:v>10.014999999664724</x:v>
      </x:c>
      <x:c r="AA141" s="46" t="n">
        <x:v>12.092999999877065</x:v>
      </x:c>
      <x:c r="AB141" s="46" t="n">
        <x:v>17.936999999918044</x:v>
      </x:c>
      <x:c r="AC141" s="61" t="n">
        <x:v>197362688</x:v>
      </x:c>
      <x:c r="AD141" s="61" t="n">
        <x:v>-17131520</x:v>
      </x:c>
      <x:c r="AE141" s="45" t="b">
        <x:v>0</x:v>
      </x:c>
      <x:c r="AF141" s="45" t="b">
        <x:v>1</x:v>
      </x:c>
      <x:c r="AG141" s="45" t="b">
        <x:v>1</x:v>
      </x:c>
      <x:c r="AH141" s="45" t="b">
        <x:v>1</x:v>
      </x:c>
      <x:c r="AI141" s="36" t="n">
        <x:v>0</x:v>
      </x:c>
      <x:c r="AJ141" s="59"/>
      <x:c r="AK141" s="45" t="b">
        <x:v>1</x:v>
      </x:c>
    </x:row>
    <x:row r="142" ht="22" customHeight="1">
      <x:c r="A142" s="24" t="str">
        <x:v>article1-unified-v4-2-fb3f101b-20260903-000401-default-f06-p6-cache2k</x:v>
      </x:c>
      <x:c r="B142" s="24" t="str">
        <x:v>default</x:v>
      </x:c>
      <x:c r="C142" s="24" t="str">
        <x:v>cache2k</x:v>
      </x:c>
      <x:c r="D142" s="36" t="n">
        <x:v>6</x:v>
      </x:c>
      <x:c r="E142" s="36" t="n">
        <x:v>6</x:v>
      </x:c>
      <x:c r="F142" s="36" t="n">
        <x:v>6</x:v>
      </x:c>
      <x:c r="G142" s="36" t="n">
        <x:v>2</x:v>
      </x:c>
      <x:c r="H142" s="43" t="n">
        <x:v>6104.700699914247</x:v>
      </x:c>
      <x:c r="I142" s="43" t="n">
        <x:v>4109.308299608529</x:v>
      </x:c>
      <x:c r="J142" s="43" t="n">
        <x:v>6063.892100006342</x:v>
      </x:c>
      <x:c r="K142" s="43" t="n">
        <x:v>4112.884700298309</x:v>
      </x:c>
      <x:c r="L142" s="45" t="b">
        <x:v>1</x:v>
      </x:c>
      <x:c r="M142" s="45" t="b">
        <x:v>1</x:v>
      </x:c>
      <x:c r="N142" s="45" t="b">
        <x:v>1</x:v>
      </x:c>
      <x:c r="O142" s="46" t="n">
        <x:v>2</x:v>
      </x:c>
      <x:c r="P142" s="46" t="n">
        <x:v>2</x:v>
      </x:c>
      <x:c r="Q142" s="46" t="n">
        <x:v>3.014999999664724</x:v>
      </x:c>
      <x:c r="R142" s="46" t="n">
        <x:v>10</x:v>
      </x:c>
      <x:c r="S142" s="46" t="n">
        <x:v>10</x:v>
      </x:c>
      <x:c r="T142" s="46" t="n">
        <x:v>12.108999999705702</x:v>
      </x:c>
      <x:c r="U142" s="46" t="n">
        <x:v>17.625</x:v>
      </x:c>
      <x:c r="V142" s="46" t="n">
        <x:v>2</x:v>
      </x:c>
      <x:c r="W142" s="46" t="n">
        <x:v>2</x:v>
      </x:c>
      <x:c r="X142" s="46" t="n">
        <x:v>2.985000000335276</x:v>
      </x:c>
      <x:c r="Y142" s="46" t="n">
        <x:v>10</x:v>
      </x:c>
      <x:c r="Z142" s="46" t="n">
        <x:v>10.016000000294298</x:v>
      </x:c>
      <x:c r="AA142" s="46" t="n">
        <x:v>12.094000000040978</x:v>
      </x:c>
      <x:c r="AB142" s="46" t="n">
        <x:v>16.875</x:v>
      </x:c>
      <x:c r="AC142" s="61" t="n">
        <x:v>0</x:v>
      </x:c>
      <x:c r="AD142" s="61" t="n">
        <x:v>22528</x:v>
      </x:c>
      <x:c r="AE142" s="45" t="b">
        <x:v>1</x:v>
      </x:c>
      <x:c r="AF142" s="45" t="b">
        <x:v>1</x:v>
      </x:c>
      <x:c r="AG142" s="45" t="b">
        <x:v>1</x:v>
      </x:c>
      <x:c r="AH142" s="45" t="b">
        <x:v>1</x:v>
      </x:c>
      <x:c r="AI142" s="36" t="n">
        <x:v>0</x:v>
      </x:c>
      <x:c r="AJ142" s="59"/>
      <x:c r="AK142" s="45" t="b">
        <x:v>1</x:v>
      </x:c>
    </x:row>
    <x:row r="143" ht="22" customHeight="1">
      <x:c r="A143" s="24" t="str">
        <x:v>article1-unified-v4-2-fb3f101b-20260903-000401-default-f06-p6-cache2k</x:v>
      </x:c>
      <x:c r="B143" s="24" t="str">
        <x:v>default</x:v>
      </x:c>
      <x:c r="C143" s="24" t="str">
        <x:v>cache2k</x:v>
      </x:c>
      <x:c r="D143" s="36" t="n">
        <x:v>6</x:v>
      </x:c>
      <x:c r="E143" s="36" t="n">
        <x:v>6</x:v>
      </x:c>
      <x:c r="F143" s="36" t="n">
        <x:v>6</x:v>
      </x:c>
      <x:c r="G143" s="36" t="n">
        <x:v>3</x:v>
      </x:c>
      <x:c r="H143" s="43" t="n">
        <x:v>6051.0400999337435</x:v>
      </x:c>
      <x:c r="I143" s="43" t="n">
        <x:v>4129.443000070751</x:v>
      </x:c>
      <x:c r="J143" s="43" t="n">
        <x:v>6031.82870009914</x:v>
      </x:c>
      <x:c r="K143" s="43" t="n">
        <x:v>4109.701700042933</x:v>
      </x:c>
      <x:c r="L143" s="45" t="b">
        <x:v>1</x:v>
      </x:c>
      <x:c r="M143" s="45" t="b">
        <x:v>1</x:v>
      </x:c>
      <x:c r="N143" s="45" t="b">
        <x:v>1</x:v>
      </x:c>
      <x:c r="O143" s="46" t="n">
        <x:v>2</x:v>
      </x:c>
      <x:c r="P143" s="46" t="n">
        <x:v>2</x:v>
      </x:c>
      <x:c r="Q143" s="46" t="n">
        <x:v>2.9530000002123415</x:v>
      </x:c>
      <x:c r="R143" s="46" t="n">
        <x:v>10</x:v>
      </x:c>
      <x:c r="S143" s="46" t="n">
        <x:v>10</x:v>
      </x:c>
      <x:c r="T143" s="46" t="n">
        <x:v>12.094000000040978</x:v>
      </x:c>
      <x:c r="U143" s="46" t="n">
        <x:v>17.07800000021234</x:v>
      </x:c>
      <x:c r="V143" s="46" t="n">
        <x:v>2</x:v>
      </x:c>
      <x:c r="W143" s="46" t="n">
        <x:v>2</x:v>
      </x:c>
      <x:c r="X143" s="46" t="n">
        <x:v>3.5</x:v>
      </x:c>
      <x:c r="Y143" s="46" t="n">
        <x:v>10</x:v>
      </x:c>
      <x:c r="Z143" s="46" t="n">
        <x:v>10</x:v>
      </x:c>
      <x:c r="AA143" s="46" t="n">
        <x:v>12.094000000040978</x:v>
      </x:c>
      <x:c r="AB143" s="46" t="n">
        <x:v>17.188000000081956</x:v>
      </x:c>
      <x:c r="AC143" s="61" t="n">
        <x:v>0</x:v>
      </x:c>
      <x:c r="AD143" s="61" t="n">
        <x:v>29696</x:v>
      </x:c>
      <x:c r="AE143" s="45" t="b">
        <x:v>1</x:v>
      </x:c>
      <x:c r="AF143" s="45" t="b">
        <x:v>1</x:v>
      </x:c>
      <x:c r="AG143" s="45" t="b">
        <x:v>1</x:v>
      </x:c>
      <x:c r="AH143" s="45" t="b">
        <x:v>1</x:v>
      </x:c>
      <x:c r="AI143" s="36" t="n">
        <x:v>0</x:v>
      </x:c>
      <x:c r="AJ143" s="59"/>
      <x:c r="AK143" s="45" t="b">
        <x:v>1</x:v>
      </x:c>
    </x:row>
    <x:row r="144" ht="22" customHeight="1">
      <x:c r="A144" s="24" t="str">
        <x:v>article1-unified-v4-2-fb3f101b-20260903-000401-default-f06-p6-cache2k</x:v>
      </x:c>
      <x:c r="B144" s="24" t="str">
        <x:v>default</x:v>
      </x:c>
      <x:c r="C144" s="24" t="str">
        <x:v>cache2k</x:v>
      </x:c>
      <x:c r="D144" s="36" t="n">
        <x:v>6</x:v>
      </x:c>
      <x:c r="E144" s="36" t="n">
        <x:v>6</x:v>
      </x:c>
      <x:c r="F144" s="36" t="n">
        <x:v>6</x:v>
      </x:c>
      <x:c r="G144" s="36" t="n">
        <x:v>4</x:v>
      </x:c>
      <x:c r="H144" s="43" t="n">
        <x:v>6056.897799950093</x:v>
      </x:c>
      <x:c r="I144" s="43" t="n">
        <x:v>4108.009099960327</x:v>
      </x:c>
      <x:c r="J144" s="43" t="n">
        <x:v>6062.091100029647</x:v>
      </x:c>
      <x:c r="K144" s="43" t="n">
        <x:v>4099.5267000980675</x:v>
      </x:c>
      <x:c r="L144" s="45" t="b">
        <x:v>1</x:v>
      </x:c>
      <x:c r="M144" s="45" t="b">
        <x:v>1</x:v>
      </x:c>
      <x:c r="N144" s="45" t="b">
        <x:v>1</x:v>
      </x:c>
      <x:c r="O144" s="46" t="n">
        <x:v>2</x:v>
      </x:c>
      <x:c r="P144" s="46" t="n">
        <x:v>2</x:v>
      </x:c>
      <x:c r="Q144" s="46" t="n">
        <x:v>3.3130000000819564</x:v>
      </x:c>
      <x:c r="R144" s="46" t="n">
        <x:v>10</x:v>
      </x:c>
      <x:c r="S144" s="46" t="n">
        <x:v>10</x:v>
      </x:c>
      <x:c r="T144" s="46" t="n">
        <x:v>12.109000000171363</x:v>
      </x:c>
      <x:c r="U144" s="46" t="n">
        <x:v>17.141000000294298</x:v>
      </x:c>
      <x:c r="V144" s="46" t="n">
        <x:v>2</x:v>
      </x:c>
      <x:c r="W144" s="46" t="n">
        <x:v>2</x:v>
      </x:c>
      <x:c r="X144" s="46" t="n">
        <x:v>3.280999999959022</x:v>
      </x:c>
      <x:c r="Y144" s="46" t="n">
        <x:v>10</x:v>
      </x:c>
      <x:c r="Z144" s="46" t="n">
        <x:v>10</x:v>
      </x:c>
      <x:c r="AA144" s="46" t="n">
        <x:v>12.094000000040978</x:v>
      </x:c>
      <x:c r="AB144" s="46" t="n">
        <x:v>17.219000000040978</x:v>
      </x:c>
      <x:c r="AC144" s="61" t="n">
        <x:v>0</x:v>
      </x:c>
      <x:c r="AD144" s="61" t="n">
        <x:v>22528</x:v>
      </x:c>
      <x:c r="AE144" s="45" t="b">
        <x:v>1</x:v>
      </x:c>
      <x:c r="AF144" s="45" t="b">
        <x:v>1</x:v>
      </x:c>
      <x:c r="AG144" s="45" t="b">
        <x:v>1</x:v>
      </x:c>
      <x:c r="AH144" s="45" t="b">
        <x:v>1</x:v>
      </x:c>
      <x:c r="AI144" s="36" t="n">
        <x:v>0</x:v>
      </x:c>
      <x:c r="AJ144" s="59"/>
      <x:c r="AK144" s="45" t="b">
        <x:v>1</x:v>
      </x:c>
    </x:row>
    <x:row r="145" ht="22" customHeight="1">
      <x:c r="A145" s="24" t="str">
        <x:v>article1-unified-v4-2-fb3f101b-20260903-000401-default-f06-p6-cache2k</x:v>
      </x:c>
      <x:c r="B145" s="24" t="str">
        <x:v>default</x:v>
      </x:c>
      <x:c r="C145" s="24" t="str">
        <x:v>cache2k</x:v>
      </x:c>
      <x:c r="D145" s="36" t="n">
        <x:v>6</x:v>
      </x:c>
      <x:c r="E145" s="36" t="n">
        <x:v>6</x:v>
      </x:c>
      <x:c r="F145" s="36" t="n">
        <x:v>6</x:v>
      </x:c>
      <x:c r="G145" s="36" t="n">
        <x:v>5</x:v>
      </x:c>
      <x:c r="H145" s="43" t="n">
        <x:v>5951.774099841714</x:v>
      </x:c>
      <x:c r="I145" s="43" t="n">
        <x:v>4115.43449992314</x:v>
      </x:c>
      <x:c r="J145" s="43" t="n">
        <x:v>6157.409199979156</x:v>
      </x:c>
      <x:c r="K145" s="43" t="n">
        <x:v>4125.54239993915</x:v>
      </x:c>
      <x:c r="L145" s="45" t="b">
        <x:v>1</x:v>
      </x:c>
      <x:c r="M145" s="45" t="b">
        <x:v>1</x:v>
      </x:c>
      <x:c r="N145" s="45" t="b">
        <x:v>1</x:v>
      </x:c>
      <x:c r="O145" s="46" t="n">
        <x:v>2</x:v>
      </x:c>
      <x:c r="P145" s="46" t="n">
        <x:v>2</x:v>
      </x:c>
      <x:c r="Q145" s="46" t="n">
        <x:v>3</x:v>
      </x:c>
      <x:c r="R145" s="46" t="n">
        <x:v>10</x:v>
      </x:c>
      <x:c r="S145" s="46" t="n">
        <x:v>10</x:v>
      </x:c>
      <x:c r="T145" s="46" t="n">
        <x:v>12.125</x:v>
      </x:c>
      <x:c r="U145" s="46" t="n">
        <x:v>17.313000000081956</x:v>
      </x:c>
      <x:c r="V145" s="46" t="n">
        <x:v>2</x:v>
      </x:c>
      <x:c r="W145" s="46" t="n">
        <x:v>2</x:v>
      </x:c>
      <x:c r="X145" s="46" t="n">
        <x:v>3.0469999997876585</x:v>
      </x:c>
      <x:c r="Y145" s="46" t="n">
        <x:v>10</x:v>
      </x:c>
      <x:c r="Z145" s="46" t="n">
        <x:v>10</x:v>
      </x:c>
      <x:c r="AA145" s="46" t="n">
        <x:v>12.109999999869615</x:v>
      </x:c>
      <x:c r="AB145" s="46" t="n">
        <x:v>16.813000000081956</x:v>
      </x:c>
      <x:c r="AC145" s="61" t="n">
        <x:v>0</x:v>
      </x:c>
      <x:c r="AD145" s="61" t="n">
        <x:v>30720</x:v>
      </x:c>
      <x:c r="AE145" s="45" t="b">
        <x:v>1</x:v>
      </x:c>
      <x:c r="AF145" s="45" t="b">
        <x:v>1</x:v>
      </x:c>
      <x:c r="AG145" s="45" t="b">
        <x:v>1</x:v>
      </x:c>
      <x:c r="AH145" s="45" t="b">
        <x:v>1</x:v>
      </x:c>
      <x:c r="AI145" s="36" t="n">
        <x:v>0</x:v>
      </x:c>
      <x:c r="AJ145" s="59"/>
      <x:c r="AK145" s="45" t="b">
        <x:v>1</x:v>
      </x:c>
    </x:row>
    <x:row r="146" ht="22" customHeight="1">
      <x:c r="A146" s="24" t="str">
        <x:v>article1-unified-v4-2-fb3f101b-20260903-000401-default-f01-p6-jcs4</x:v>
      </x:c>
      <x:c r="B146" s="24" t="str">
        <x:v>default</x:v>
      </x:c>
      <x:c r="C146" s="24" t="str">
        <x:v>jcs4</x:v>
      </x:c>
      <x:c r="D146" s="36" t="n">
        <x:v>1</x:v>
      </x:c>
      <x:c r="E146" s="36" t="n">
        <x:v>1</x:v>
      </x:c>
      <x:c r="F146" s="36" t="n">
        <x:v>6</x:v>
      </x:c>
      <x:c r="G146" s="36" t="n">
        <x:v>1</x:v>
      </x:c>
      <x:c r="H146" s="43" t="n">
        <x:v>7201.4922997914255</x:v>
      </x:c>
      <x:c r="I146" s="43" t="n">
        <x:v>4133.242399897426</x:v>
      </x:c>
      <x:c r="J146" s="43" t="n">
        <x:v>6517.21359975636</x:v>
      </x:c>
      <x:c r="K146" s="43" t="n">
        <x:v>4102.809499949217</x:v>
      </x:c>
      <x:c r="L146" s="45" t="b">
        <x:v>1</x:v>
      </x:c>
      <x:c r="M146" s="45" t="b">
        <x:v>1</x:v>
      </x:c>
      <x:c r="N146" s="45" t="b">
        <x:v>1</x:v>
      </x:c>
      <x:c r="O146" s="46" t="n">
        <x:v>2</x:v>
      </x:c>
      <x:c r="P146" s="46" t="n">
        <x:v>2</x:v>
      </x:c>
      <x:c r="Q146" s="46" t="n">
        <x:v>3.0929999998770654</x:v>
      </x:c>
      <x:c r="R146" s="46" t="n">
        <x:v>10</x:v>
      </x:c>
      <x:c r="S146" s="46" t="n">
        <x:v>10</x:v>
      </x:c>
      <x:c r="T146" s="46" t="n">
        <x:v>12.061999999918044</x:v>
      </x:c>
      <x:c r="U146" s="46" t="n">
        <x:v>17.20300000021234</x:v>
      </x:c>
      <x:c r="V146" s="46" t="n">
        <x:v>2</x:v>
      </x:c>
      <x:c r="W146" s="46" t="n">
        <x:v>2</x:v>
      </x:c>
      <x:c r="X146" s="46" t="n">
        <x:v>3.155999999959022</x:v>
      </x:c>
      <x:c r="Y146" s="46" t="n">
        <x:v>10</x:v>
      </x:c>
      <x:c r="Z146" s="46" t="n">
        <x:v>10</x:v>
      </x:c>
      <x:c r="AA146" s="46" t="n">
        <x:v>12.094000000040978</x:v>
      </x:c>
      <x:c r="AB146" s="46" t="n">
        <x:v>16.766000000294298</x:v>
      </x:c>
      <x:c r="AC146" s="61" t="n">
        <x:v>73701376</x:v>
      </x:c>
      <x:c r="AD146" s="61" t="n">
        <x:v>-17064960</x:v>
      </x:c>
      <x:c r="AE146" s="45" t="b">
        <x:v>0</x:v>
      </x:c>
      <x:c r="AF146" s="45" t="b">
        <x:v>1</x:v>
      </x:c>
      <x:c r="AG146" s="45" t="b">
        <x:v>1</x:v>
      </x:c>
      <x:c r="AH146" s="45" t="b">
        <x:v>1</x:v>
      </x:c>
      <x:c r="AI146" s="36" t="n">
        <x:v>0</x:v>
      </x:c>
      <x:c r="AJ146" s="59"/>
      <x:c r="AK146" s="45" t="b">
        <x:v>1</x:v>
      </x:c>
    </x:row>
    <x:row r="147" ht="22" customHeight="1">
      <x:c r="A147" s="24" t="str">
        <x:v>article1-unified-v4-2-fb3f101b-20260903-000401-default-f01-p6-jcs4</x:v>
      </x:c>
      <x:c r="B147" s="24" t="str">
        <x:v>default</x:v>
      </x:c>
      <x:c r="C147" s="24" t="str">
        <x:v>jcs4</x:v>
      </x:c>
      <x:c r="D147" s="36" t="n">
        <x:v>1</x:v>
      </x:c>
      <x:c r="E147" s="36" t="n">
        <x:v>1</x:v>
      </x:c>
      <x:c r="F147" s="36" t="n">
        <x:v>6</x:v>
      </x:c>
      <x:c r="G147" s="36" t="n">
        <x:v>2</x:v>
      </x:c>
      <x:c r="H147" s="43" t="n">
        <x:v>6128.061699680984</x:v>
      </x:c>
      <x:c r="I147" s="43" t="n">
        <x:v>4109.523399733007</x:v>
      </x:c>
      <x:c r="J147" s="43" t="n">
        <x:v>6081.340199802071</x:v>
      </x:c>
      <x:c r="K147" s="43" t="n">
        <x:v>4101.85580002144</x:v>
      </x:c>
      <x:c r="L147" s="45" t="b">
        <x:v>1</x:v>
      </x:c>
      <x:c r="M147" s="45" t="b">
        <x:v>1</x:v>
      </x:c>
      <x:c r="N147" s="45" t="b">
        <x:v>1</x:v>
      </x:c>
      <x:c r="O147" s="46" t="n">
        <x:v>2</x:v>
      </x:c>
      <x:c r="P147" s="46" t="n">
        <x:v>2</x:v>
      </x:c>
      <x:c r="Q147" s="46" t="n">
        <x:v>3.155999999959022</x:v>
      </x:c>
      <x:c r="R147" s="46" t="n">
        <x:v>10</x:v>
      </x:c>
      <x:c r="S147" s="46" t="n">
        <x:v>10</x:v>
      </x:c>
      <x:c r="T147" s="46" t="n">
        <x:v>12.109000000171363</x:v>
      </x:c>
      <x:c r="U147" s="46" t="n">
        <x:v>17.094000000040978</x:v>
      </x:c>
      <x:c r="V147" s="46" t="n">
        <x:v>2</x:v>
      </x:c>
      <x:c r="W147" s="46" t="n">
        <x:v>2</x:v>
      </x:c>
      <x:c r="X147" s="46" t="n">
        <x:v>3.1869999999180436</x:v>
      </x:c>
      <x:c r="Y147" s="46" t="n">
        <x:v>10</x:v>
      </x:c>
      <x:c r="Z147" s="46" t="n">
        <x:v>10</x:v>
      </x:c>
      <x:c r="AA147" s="46" t="n">
        <x:v>12.092999999877065</x:v>
      </x:c>
      <x:c r="AB147" s="46" t="n">
        <x:v>16.734000000171363</x:v>
      </x:c>
      <x:c r="AC147" s="61" t="n">
        <x:v>0</x:v>
      </x:c>
      <x:c r="AD147" s="61" t="n">
        <x:v>31744</x:v>
      </x:c>
      <x:c r="AE147" s="45" t="b">
        <x:v>1</x:v>
      </x:c>
      <x:c r="AF147" s="45" t="b">
        <x:v>1</x:v>
      </x:c>
      <x:c r="AG147" s="45" t="b">
        <x:v>1</x:v>
      </x:c>
      <x:c r="AH147" s="45" t="b">
        <x:v>1</x:v>
      </x:c>
      <x:c r="AI147" s="36" t="n">
        <x:v>0</x:v>
      </x:c>
      <x:c r="AJ147" s="59"/>
      <x:c r="AK147" s="45" t="b">
        <x:v>1</x:v>
      </x:c>
    </x:row>
    <x:row r="148" ht="22" customHeight="1">
      <x:c r="A148" s="24" t="str">
        <x:v>article1-unified-v4-2-fb3f101b-20260903-000401-default-f01-p6-jcs4</x:v>
      </x:c>
      <x:c r="B148" s="24" t="str">
        <x:v>default</x:v>
      </x:c>
      <x:c r="C148" s="24" t="str">
        <x:v>jcs4</x:v>
      </x:c>
      <x:c r="D148" s="36" t="n">
        <x:v>1</x:v>
      </x:c>
      <x:c r="E148" s="36" t="n">
        <x:v>1</x:v>
      </x:c>
      <x:c r="F148" s="36" t="n">
        <x:v>6</x:v>
      </x:c>
      <x:c r="G148" s="36" t="n">
        <x:v>3</x:v>
      </x:c>
      <x:c r="H148" s="43" t="n">
        <x:v>5981.35680006817</x:v>
      </x:c>
      <x:c r="I148" s="43" t="n">
        <x:v>4118.478700052947</x:v>
      </x:c>
      <x:c r="J148" s="43" t="n">
        <x:v>5942.445599939674</x:v>
      </x:c>
      <x:c r="K148" s="43" t="n">
        <x:v>4110.749199986458</x:v>
      </x:c>
      <x:c r="L148" s="45" t="b">
        <x:v>1</x:v>
      </x:c>
      <x:c r="M148" s="45" t="b">
        <x:v>1</x:v>
      </x:c>
      <x:c r="N148" s="45" t="b">
        <x:v>1</x:v>
      </x:c>
      <x:c r="O148" s="46" t="n">
        <x:v>2</x:v>
      </x:c>
      <x:c r="P148" s="46" t="n">
        <x:v>2</x:v>
      </x:c>
      <x:c r="Q148" s="46" t="n">
        <x:v>3.3130000000819564</x:v>
      </x:c>
      <x:c r="R148" s="46" t="n">
        <x:v>10</x:v>
      </x:c>
      <x:c r="S148" s="46" t="n">
        <x:v>10</x:v>
      </x:c>
      <x:c r="T148" s="46" t="n">
        <x:v>12.094000000040978</x:v>
      </x:c>
      <x:c r="U148" s="46" t="n">
        <x:v>16.5</x:v>
      </x:c>
      <x:c r="V148" s="46" t="n">
        <x:v>2</x:v>
      </x:c>
      <x:c r="W148" s="46" t="n">
        <x:v>2</x:v>
      </x:c>
      <x:c r="X148" s="46" t="n">
        <x:v>2.9369999999180436</x:v>
      </x:c>
      <x:c r="Y148" s="46" t="n">
        <x:v>10</x:v>
      </x:c>
      <x:c r="Z148" s="46" t="n">
        <x:v>10</x:v>
      </x:c>
      <x:c r="AA148" s="46" t="n">
        <x:v>12.108999999705702</x:v>
      </x:c>
      <x:c r="AB148" s="46" t="n">
        <x:v>16.5</x:v>
      </x:c>
      <x:c r="AC148" s="61" t="n">
        <x:v>0</x:v>
      </x:c>
      <x:c r="AD148" s="61" t="n">
        <x:v>43008</x:v>
      </x:c>
      <x:c r="AE148" s="45" t="b">
        <x:v>1</x:v>
      </x:c>
      <x:c r="AF148" s="45" t="b">
        <x:v>1</x:v>
      </x:c>
      <x:c r="AG148" s="45" t="b">
        <x:v>1</x:v>
      </x:c>
      <x:c r="AH148" s="45" t="b">
        <x:v>1</x:v>
      </x:c>
      <x:c r="AI148" s="36" t="n">
        <x:v>0</x:v>
      </x:c>
      <x:c r="AJ148" s="59"/>
      <x:c r="AK148" s="45" t="b">
        <x:v>1</x:v>
      </x:c>
    </x:row>
    <x:row r="149" ht="22" customHeight="1">
      <x:c r="A149" s="24" t="str">
        <x:v>article1-unified-v4-2-fb3f101b-20260903-000401-default-f01-p6-jcs4</x:v>
      </x:c>
      <x:c r="B149" s="24" t="str">
        <x:v>default</x:v>
      </x:c>
      <x:c r="C149" s="24" t="str">
        <x:v>jcs4</x:v>
      </x:c>
      <x:c r="D149" s="36" t="n">
        <x:v>1</x:v>
      </x:c>
      <x:c r="E149" s="36" t="n">
        <x:v>1</x:v>
      </x:c>
      <x:c r="F149" s="36" t="n">
        <x:v>6</x:v>
      </x:c>
      <x:c r="G149" s="36" t="n">
        <x:v>4</x:v>
      </x:c>
      <x:c r="H149" s="43" t="n">
        <x:v>5961.8416000157595</x:v>
      </x:c>
      <x:c r="I149" s="43" t="n">
        <x:v>4113.715199753642</x:v>
      </x:c>
      <x:c r="J149" s="43" t="n">
        <x:v>6014.941200148314</x:v>
      </x:c>
      <x:c r="K149" s="43" t="n">
        <x:v>4114.730800036341</x:v>
      </x:c>
      <x:c r="L149" s="45" t="b">
        <x:v>1</x:v>
      </x:c>
      <x:c r="M149" s="45" t="b">
        <x:v>1</x:v>
      </x:c>
      <x:c r="N149" s="45" t="b">
        <x:v>1</x:v>
      </x:c>
      <x:c r="O149" s="46" t="n">
        <x:v>2</x:v>
      </x:c>
      <x:c r="P149" s="46" t="n">
        <x:v>2</x:v>
      </x:c>
      <x:c r="Q149" s="46" t="n">
        <x:v>3.0780000002123415</x:v>
      </x:c>
      <x:c r="R149" s="46" t="n">
        <x:v>10</x:v>
      </x:c>
      <x:c r="S149" s="46" t="n">
        <x:v>10</x:v>
      </x:c>
      <x:c r="T149" s="46" t="n">
        <x:v>12.094000000040978</x:v>
      </x:c>
      <x:c r="U149" s="46" t="n">
        <x:v>16.686999999918044</x:v>
      </x:c>
      <x:c r="V149" s="46" t="n">
        <x:v>2</x:v>
      </x:c>
      <x:c r="W149" s="46" t="n">
        <x:v>2</x:v>
      </x:c>
      <x:c r="X149" s="46" t="n">
        <x:v>3.2970000002533197</x:v>
      </x:c>
      <x:c r="Y149" s="46" t="n">
        <x:v>10</x:v>
      </x:c>
      <x:c r="Z149" s="46" t="n">
        <x:v>10.015000000130385</x:v>
      </x:c>
      <x:c r="AA149" s="46" t="n">
        <x:v>12.125</x:v>
      </x:c>
      <x:c r="AB149" s="46" t="n">
        <x:v>16.811999999918044</x:v>
      </x:c>
      <x:c r="AC149" s="61" t="n">
        <x:v>0</x:v>
      </x:c>
      <x:c r="AD149" s="61" t="n">
        <x:v>28672</x:v>
      </x:c>
      <x:c r="AE149" s="45" t="b">
        <x:v>1</x:v>
      </x:c>
      <x:c r="AF149" s="45" t="b">
        <x:v>1</x:v>
      </x:c>
      <x:c r="AG149" s="45" t="b">
        <x:v>1</x:v>
      </x:c>
      <x:c r="AH149" s="45" t="b">
        <x:v>1</x:v>
      </x:c>
      <x:c r="AI149" s="36" t="n">
        <x:v>0</x:v>
      </x:c>
      <x:c r="AJ149" s="59"/>
      <x:c r="AK149" s="45" t="b">
        <x:v>1</x:v>
      </x:c>
    </x:row>
    <x:row r="150" ht="22" customHeight="1">
      <x:c r="A150" s="24" t="str">
        <x:v>article1-unified-v4-2-fb3f101b-20260903-000401-default-f01-p6-jcs4</x:v>
      </x:c>
      <x:c r="B150" s="24" t="str">
        <x:v>default</x:v>
      </x:c>
      <x:c r="C150" s="24" t="str">
        <x:v>jcs4</x:v>
      </x:c>
      <x:c r="D150" s="36" t="n">
        <x:v>1</x:v>
      </x:c>
      <x:c r="E150" s="36" t="n">
        <x:v>1</x:v>
      </x:c>
      <x:c r="F150" s="36" t="n">
        <x:v>6</x:v>
      </x:c>
      <x:c r="G150" s="36" t="n">
        <x:v>5</x:v>
      </x:c>
      <x:c r="H150" s="43" t="n">
        <x:v>5957.495399750769</x:v>
      </x:c>
      <x:c r="I150" s="43" t="n">
        <x:v>4127.20869993791</x:v>
      </x:c>
      <x:c r="J150" s="43" t="n">
        <x:v>5966.123799793422</x:v>
      </x:c>
      <x:c r="K150" s="43" t="n">
        <x:v>4107.110800221562</x:v>
      </x:c>
      <x:c r="L150" s="45" t="b">
        <x:v>1</x:v>
      </x:c>
      <x:c r="M150" s="45" t="b">
        <x:v>1</x:v>
      </x:c>
      <x:c r="N150" s="45" t="b">
        <x:v>1</x:v>
      </x:c>
      <x:c r="O150" s="46" t="n">
        <x:v>2</x:v>
      </x:c>
      <x:c r="P150" s="46" t="n">
        <x:v>2</x:v>
      </x:c>
      <x:c r="Q150" s="46" t="n">
        <x:v>3.233999999705702</x:v>
      </x:c>
      <x:c r="R150" s="46" t="n">
        <x:v>10</x:v>
      </x:c>
      <x:c r="S150" s="46" t="n">
        <x:v>10.015999999828637</x:v>
      </x:c>
      <x:c r="T150" s="46" t="n">
        <x:v>12.094000000040978</x:v>
      </x:c>
      <x:c r="U150" s="46" t="n">
        <x:v>16.436999999918044</x:v>
      </x:c>
      <x:c r="V150" s="46" t="n">
        <x:v>2</x:v>
      </x:c>
      <x:c r="W150" s="46" t="n">
        <x:v>2</x:v>
      </x:c>
      <x:c r="X150" s="46" t="n">
        <x:v>2.969000000040978</x:v>
      </x:c>
      <x:c r="Y150" s="46" t="n">
        <x:v>10</x:v>
      </x:c>
      <x:c r="Z150" s="46" t="n">
        <x:v>10</x:v>
      </x:c>
      <x:c r="AA150" s="46" t="n">
        <x:v>12.094000000040978</x:v>
      </x:c>
      <x:c r="AB150" s="46" t="n">
        <x:v>16.890999999828637</x:v>
      </x:c>
      <x:c r="AC150" s="61" t="n">
        <x:v>0</x:v>
      </x:c>
      <x:c r="AD150" s="61" t="n">
        <x:v>34816</x:v>
      </x:c>
      <x:c r="AE150" s="45" t="b">
        <x:v>1</x:v>
      </x:c>
      <x:c r="AF150" s="45" t="b">
        <x:v>1</x:v>
      </x:c>
      <x:c r="AG150" s="45" t="b">
        <x:v>1</x:v>
      </x:c>
      <x:c r="AH150" s="45" t="b">
        <x:v>1</x:v>
      </x:c>
      <x:c r="AI150" s="36" t="n">
        <x:v>0</x:v>
      </x:c>
      <x:c r="AJ150" s="59"/>
      <x:c r="AK150" s="45" t="b">
        <x:v>1</x:v>
      </x:c>
    </x:row>
    <x:row r="151" ht="22" customHeight="1">
      <x:c r="A151" s="24" t="str">
        <x:v>article1-unified-v4-2-fb3f101b-20260903-000401-default-f02-p4-jcs4</x:v>
      </x:c>
      <x:c r="B151" s="24" t="str">
        <x:v>default</x:v>
      </x:c>
      <x:c r="C151" s="24" t="str">
        <x:v>jcs4</x:v>
      </x:c>
      <x:c r="D151" s="36" t="n">
        <x:v>2</x:v>
      </x:c>
      <x:c r="E151" s="36" t="n">
        <x:v>2</x:v>
      </x:c>
      <x:c r="F151" s="36" t="n">
        <x:v>4</x:v>
      </x:c>
      <x:c r="G151" s="36" t="n">
        <x:v>1</x:v>
      </x:c>
      <x:c r="H151" s="43" t="n">
        <x:v>7083.417899906635</x:v>
      </x:c>
      <x:c r="I151" s="43" t="n">
        <x:v>4123.122700024396</x:v>
      </x:c>
      <x:c r="J151" s="43" t="n">
        <x:v>6362.349799834192</x:v>
      </x:c>
      <x:c r="K151" s="43" t="n">
        <x:v>4126.518600154668</x:v>
      </x:c>
      <x:c r="L151" s="45" t="b">
        <x:v>1</x:v>
      </x:c>
      <x:c r="M151" s="45" t="b">
        <x:v>1</x:v>
      </x:c>
      <x:c r="N151" s="45" t="b">
        <x:v>1</x:v>
      </x:c>
      <x:c r="O151" s="46" t="n">
        <x:v>2</x:v>
      </x:c>
      <x:c r="P151" s="46" t="n">
        <x:v>2</x:v>
      </x:c>
      <x:c r="Q151" s="46" t="n">
        <x:v>3.280999999959022</x:v>
      </x:c>
      <x:c r="R151" s="46" t="n">
        <x:v>10</x:v>
      </x:c>
      <x:c r="S151" s="46" t="n">
        <x:v>10</x:v>
      </x:c>
      <x:c r="T151" s="46" t="n">
        <x:v>12.07799999974668</x:v>
      </x:c>
      <x:c r="U151" s="46" t="n">
        <x:v>16.655999999959022</x:v>
      </x:c>
      <x:c r="V151" s="46" t="n">
        <x:v>2</x:v>
      </x:c>
      <x:c r="W151" s="46" t="n">
        <x:v>2</x:v>
      </x:c>
      <x:c r="X151" s="46" t="n">
        <x:v>3.125</x:v>
      </x:c>
      <x:c r="Y151" s="46" t="n">
        <x:v>10</x:v>
      </x:c>
      <x:c r="Z151" s="46" t="n">
        <x:v>10</x:v>
      </x:c>
      <x:c r="AA151" s="46" t="n">
        <x:v>12.063000000081956</x:v>
      </x:c>
      <x:c r="AB151" s="46" t="n">
        <x:v>17.328999999910593</x:v>
      </x:c>
      <x:c r="AC151" s="61" t="n">
        <x:v>148998144</x:v>
      </x:c>
      <x:c r="AD151" s="61" t="n">
        <x:v>-12523520</x:v>
      </x:c>
      <x:c r="AE151" s="45" t="b">
        <x:v>0</x:v>
      </x:c>
      <x:c r="AF151" s="45" t="b">
        <x:v>1</x:v>
      </x:c>
      <x:c r="AG151" s="45" t="b">
        <x:v>1</x:v>
      </x:c>
      <x:c r="AH151" s="45" t="b">
        <x:v>1</x:v>
      </x:c>
      <x:c r="AI151" s="36" t="n">
        <x:v>0</x:v>
      </x:c>
      <x:c r="AJ151" s="59"/>
      <x:c r="AK151" s="45" t="b">
        <x:v>1</x:v>
      </x:c>
    </x:row>
    <x:row r="152" ht="22" customHeight="1">
      <x:c r="A152" s="24" t="str">
        <x:v>article1-unified-v4-2-fb3f101b-20260903-000401-default-f02-p4-jcs4</x:v>
      </x:c>
      <x:c r="B152" s="24" t="str">
        <x:v>default</x:v>
      </x:c>
      <x:c r="C152" s="24" t="str">
        <x:v>jcs4</x:v>
      </x:c>
      <x:c r="D152" s="36" t="n">
        <x:v>2</x:v>
      </x:c>
      <x:c r="E152" s="36" t="n">
        <x:v>2</x:v>
      </x:c>
      <x:c r="F152" s="36" t="n">
        <x:v>4</x:v>
      </x:c>
      <x:c r="G152" s="36" t="n">
        <x:v>2</x:v>
      </x:c>
      <x:c r="H152" s="43" t="n">
        <x:v>6195.2064000070095</x:v>
      </x:c>
      <x:c r="I152" s="43" t="n">
        <x:v>4116.838300134987</x:v>
      </x:c>
      <x:c r="J152" s="43" t="n">
        <x:v>6062.967400066555</x:v>
      </x:c>
      <x:c r="K152" s="43" t="n">
        <x:v>4122.617300134152</x:v>
      </x:c>
      <x:c r="L152" s="45" t="b">
        <x:v>1</x:v>
      </x:c>
      <x:c r="M152" s="45" t="b">
        <x:v>1</x:v>
      </x:c>
      <x:c r="N152" s="45" t="b">
        <x:v>1</x:v>
      </x:c>
      <x:c r="O152" s="46" t="n">
        <x:v>2</x:v>
      </x:c>
      <x:c r="P152" s="46" t="n">
        <x:v>2</x:v>
      </x:c>
      <x:c r="Q152" s="46" t="n">
        <x:v>3.125</x:v>
      </x:c>
      <x:c r="R152" s="46" t="n">
        <x:v>10</x:v>
      </x:c>
      <x:c r="S152" s="46" t="n">
        <x:v>10</x:v>
      </x:c>
      <x:c r="T152" s="46" t="n">
        <x:v>12.125</x:v>
      </x:c>
      <x:c r="U152" s="46" t="n">
        <x:v>17.186999999918044</x:v>
      </x:c>
      <x:c r="V152" s="46" t="n">
        <x:v>2</x:v>
      </x:c>
      <x:c r="W152" s="46" t="n">
        <x:v>2</x:v>
      </x:c>
      <x:c r="X152" s="46" t="n">
        <x:v>3.4679999998770654</x:v>
      </x:c>
      <x:c r="Y152" s="46" t="n">
        <x:v>10</x:v>
      </x:c>
      <x:c r="Z152" s="46" t="n">
        <x:v>10</x:v>
      </x:c>
      <x:c r="AA152" s="46" t="n">
        <x:v>12.07799999974668</x:v>
      </x:c>
      <x:c r="AB152" s="46" t="n">
        <x:v>17.45299999974668</x:v>
      </x:c>
      <x:c r="AC152" s="61" t="n">
        <x:v>0</x:v>
      </x:c>
      <x:c r="AD152" s="61" t="n">
        <x:v>-4033536</x:v>
      </x:c>
      <x:c r="AE152" s="45" t="b">
        <x:v>1</x:v>
      </x:c>
      <x:c r="AF152" s="45" t="b">
        <x:v>1</x:v>
      </x:c>
      <x:c r="AG152" s="45" t="b">
        <x:v>1</x:v>
      </x:c>
      <x:c r="AH152" s="45" t="b">
        <x:v>1</x:v>
      </x:c>
      <x:c r="AI152" s="36" t="n">
        <x:v>0</x:v>
      </x:c>
      <x:c r="AJ152" s="59"/>
      <x:c r="AK152" s="45" t="b">
        <x:v>1</x:v>
      </x:c>
    </x:row>
    <x:row r="153" ht="22" customHeight="1">
      <x:c r="A153" s="24" t="str">
        <x:v>article1-unified-v4-2-fb3f101b-20260903-000401-default-f02-p4-jcs4</x:v>
      </x:c>
      <x:c r="B153" s="24" t="str">
        <x:v>default</x:v>
      </x:c>
      <x:c r="C153" s="24" t="str">
        <x:v>jcs4</x:v>
      </x:c>
      <x:c r="D153" s="36" t="n">
        <x:v>2</x:v>
      </x:c>
      <x:c r="E153" s="36" t="n">
        <x:v>2</x:v>
      </x:c>
      <x:c r="F153" s="36" t="n">
        <x:v>4</x:v>
      </x:c>
      <x:c r="G153" s="36" t="n">
        <x:v>3</x:v>
      </x:c>
      <x:c r="H153" s="43" t="n">
        <x:v>6253.811999689788</x:v>
      </x:c>
      <x:c r="I153" s="43" t="n">
        <x:v>4106.862199958414</x:v>
      </x:c>
      <x:c r="J153" s="43" t="n">
        <x:v>6081.101800315082</x:v>
      </x:c>
      <x:c r="K153" s="43" t="n">
        <x:v>4107.857500202954</x:v>
      </x:c>
      <x:c r="L153" s="45" t="b">
        <x:v>1</x:v>
      </x:c>
      <x:c r="M153" s="45" t="b">
        <x:v>1</x:v>
      </x:c>
      <x:c r="N153" s="45" t="b">
        <x:v>1</x:v>
      </x:c>
      <x:c r="O153" s="46" t="n">
        <x:v>2</x:v>
      </x:c>
      <x:c r="P153" s="46" t="n">
        <x:v>2</x:v>
      </x:c>
      <x:c r="Q153" s="46" t="n">
        <x:v>2.9840000001713634</x:v>
      </x:c>
      <x:c r="R153" s="46" t="n">
        <x:v>10</x:v>
      </x:c>
      <x:c r="S153" s="46" t="n">
        <x:v>10</x:v>
      </x:c>
      <x:c r="T153" s="46" t="n">
        <x:v>12.109000000171363</x:v>
      </x:c>
      <x:c r="U153" s="46" t="n">
        <x:v>17.375</x:v>
      </x:c>
      <x:c r="V153" s="46" t="n">
        <x:v>2</x:v>
      </x:c>
      <x:c r="W153" s="46" t="n">
        <x:v>2</x:v>
      </x:c>
      <x:c r="X153" s="46" t="n">
        <x:v>3.4219999997876585</x:v>
      </x:c>
      <x:c r="Y153" s="46" t="n">
        <x:v>10</x:v>
      </x:c>
      <x:c r="Z153" s="46" t="n">
        <x:v>10</x:v>
      </x:c>
      <x:c r="AA153" s="46" t="n">
        <x:v>12.092999999877065</x:v>
      </x:c>
      <x:c r="AB153" s="46" t="n">
        <x:v>17.29699999978766</x:v>
      </x:c>
      <x:c r="AC153" s="61" t="n">
        <x:v>0</x:v>
      </x:c>
      <x:c r="AD153" s="61" t="n">
        <x:v>39936</x:v>
      </x:c>
      <x:c r="AE153" s="45" t="b">
        <x:v>1</x:v>
      </x:c>
      <x:c r="AF153" s="45" t="b">
        <x:v>1</x:v>
      </x:c>
      <x:c r="AG153" s="45" t="b">
        <x:v>1</x:v>
      </x:c>
      <x:c r="AH153" s="45" t="b">
        <x:v>1</x:v>
      </x:c>
      <x:c r="AI153" s="36" t="n">
        <x:v>0</x:v>
      </x:c>
      <x:c r="AJ153" s="59"/>
      <x:c r="AK153" s="45" t="b">
        <x:v>1</x:v>
      </x:c>
    </x:row>
    <x:row r="154" ht="22" customHeight="1">
      <x:c r="A154" s="24" t="str">
        <x:v>article1-unified-v4-2-fb3f101b-20260903-000401-default-f02-p4-jcs4</x:v>
      </x:c>
      <x:c r="B154" s="24" t="str">
        <x:v>default</x:v>
      </x:c>
      <x:c r="C154" s="24" t="str">
        <x:v>jcs4</x:v>
      </x:c>
      <x:c r="D154" s="36" t="n">
        <x:v>2</x:v>
      </x:c>
      <x:c r="E154" s="36" t="n">
        <x:v>2</x:v>
      </x:c>
      <x:c r="F154" s="36" t="n">
        <x:v>4</x:v>
      </x:c>
      <x:c r="G154" s="36" t="n">
        <x:v>4</x:v>
      </x:c>
      <x:c r="H154" s="43" t="n">
        <x:v>6036.285299807787</x:v>
      </x:c>
      <x:c r="I154" s="43" t="n">
        <x:v>4126.610100269318</x:v>
      </x:c>
      <x:c r="J154" s="43" t="n">
        <x:v>6030.934100039303</x:v>
      </x:c>
      <x:c r="K154" s="43" t="n">
        <x:v>4123.885199893266</x:v>
      </x:c>
      <x:c r="L154" s="45" t="b">
        <x:v>1</x:v>
      </x:c>
      <x:c r="M154" s="45" t="b">
        <x:v>1</x:v>
      </x:c>
      <x:c r="N154" s="45" t="b">
        <x:v>1</x:v>
      </x:c>
      <x:c r="O154" s="46" t="n">
        <x:v>2</x:v>
      </x:c>
      <x:c r="P154" s="46" t="n">
        <x:v>2</x:v>
      </x:c>
      <x:c r="Q154" s="46" t="n">
        <x:v>3.0780000002123415</x:v>
      </x:c>
      <x:c r="R154" s="46" t="n">
        <x:v>10</x:v>
      </x:c>
      <x:c r="S154" s="46" t="n">
        <x:v>10</x:v>
      </x:c>
      <x:c r="T154" s="46" t="n">
        <x:v>12.109000000171363</x:v>
      </x:c>
      <x:c r="U154" s="46" t="n">
        <x:v>17.311999999918044</x:v>
      </x:c>
      <x:c r="V154" s="46" t="n">
        <x:v>2</x:v>
      </x:c>
      <x:c r="W154" s="46" t="n">
        <x:v>2</x:v>
      </x:c>
      <x:c r="X154" s="46" t="n">
        <x:v>4.266000000294298</x:v>
      </x:c>
      <x:c r="Y154" s="46" t="n">
        <x:v>10</x:v>
      </x:c>
      <x:c r="Z154" s="46" t="n">
        <x:v>10</x:v>
      </x:c>
      <x:c r="AA154" s="46" t="n">
        <x:v>12.094000000040978</x:v>
      </x:c>
      <x:c r="AB154" s="46" t="n">
        <x:v>17.094000000040978</x:v>
      </x:c>
      <x:c r="AC154" s="61" t="n">
        <x:v>0</x:v>
      </x:c>
      <x:c r="AD154" s="61" t="n">
        <x:v>57344</x:v>
      </x:c>
      <x:c r="AE154" s="45" t="b">
        <x:v>1</x:v>
      </x:c>
      <x:c r="AF154" s="45" t="b">
        <x:v>1</x:v>
      </x:c>
      <x:c r="AG154" s="45" t="b">
        <x:v>1</x:v>
      </x:c>
      <x:c r="AH154" s="45" t="b">
        <x:v>1</x:v>
      </x:c>
      <x:c r="AI154" s="36" t="n">
        <x:v>0</x:v>
      </x:c>
      <x:c r="AJ154" s="59"/>
      <x:c r="AK154" s="45" t="b">
        <x:v>1</x:v>
      </x:c>
    </x:row>
    <x:row r="155" ht="22" customHeight="1">
      <x:c r="A155" s="24" t="str">
        <x:v>article1-unified-v4-2-fb3f101b-20260903-000401-default-f02-p4-jcs4</x:v>
      </x:c>
      <x:c r="B155" s="24" t="str">
        <x:v>default</x:v>
      </x:c>
      <x:c r="C155" s="24" t="str">
        <x:v>jcs4</x:v>
      </x:c>
      <x:c r="D155" s="36" t="n">
        <x:v>2</x:v>
      </x:c>
      <x:c r="E155" s="36" t="n">
        <x:v>2</x:v>
      </x:c>
      <x:c r="F155" s="36" t="n">
        <x:v>4</x:v>
      </x:c>
      <x:c r="G155" s="36" t="n">
        <x:v>5</x:v>
      </x:c>
      <x:c r="H155" s="43" t="n">
        <x:v>6141.315500251949</x:v>
      </x:c>
      <x:c r="I155" s="43" t="n">
        <x:v>4108.966500032693</x:v>
      </x:c>
      <x:c r="J155" s="43" t="n">
        <x:v>6049.292900133878</x:v>
      </x:c>
      <x:c r="K155" s="43" t="n">
        <x:v>4096.168600022793</x:v>
      </x:c>
      <x:c r="L155" s="45" t="b">
        <x:v>1</x:v>
      </x:c>
      <x:c r="M155" s="45" t="b">
        <x:v>1</x:v>
      </x:c>
      <x:c r="N155" s="45" t="b">
        <x:v>1</x:v>
      </x:c>
      <x:c r="O155" s="46" t="n">
        <x:v>2</x:v>
      </x:c>
      <x:c r="P155" s="46" t="n">
        <x:v>2.016000000294298</x:v>
      </x:c>
      <x:c r="Q155" s="46" t="n">
        <x:v>3.25</x:v>
      </x:c>
      <x:c r="R155" s="46" t="n">
        <x:v>10</x:v>
      </x:c>
      <x:c r="S155" s="46" t="n">
        <x:v>10</x:v>
      </x:c>
      <x:c r="T155" s="46" t="n">
        <x:v>12.109000000171363</x:v>
      </x:c>
      <x:c r="U155" s="46" t="n">
        <x:v>17.17200000025332</x:v>
      </x:c>
      <x:c r="V155" s="46" t="n">
        <x:v>2</x:v>
      </x:c>
      <x:c r="W155" s="46" t="n">
        <x:v>2</x:v>
      </x:c>
      <x:c r="X155" s="46" t="n">
        <x:v>3.2179999998770654</x:v>
      </x:c>
      <x:c r="Y155" s="46" t="n">
        <x:v>10</x:v>
      </x:c>
      <x:c r="Z155" s="46" t="n">
        <x:v>10.014999999664724</x:v>
      </x:c>
      <x:c r="AA155" s="46" t="n">
        <x:v>12.092999999877065</x:v>
      </x:c>
      <x:c r="AB155" s="46" t="n">
        <x:v>17.07799999974668</x:v>
      </x:c>
      <x:c r="AC155" s="61" t="n">
        <x:v>0</x:v>
      </x:c>
      <x:c r="AD155" s="61" t="n">
        <x:v>38912</x:v>
      </x:c>
      <x:c r="AE155" s="45" t="b">
        <x:v>1</x:v>
      </x:c>
      <x:c r="AF155" s="45" t="b">
        <x:v>1</x:v>
      </x:c>
      <x:c r="AG155" s="45" t="b">
        <x:v>1</x:v>
      </x:c>
      <x:c r="AH155" s="45" t="b">
        <x:v>1</x:v>
      </x:c>
      <x:c r="AI155" s="36" t="n">
        <x:v>0</x:v>
      </x:c>
      <x:c r="AJ155" s="59"/>
      <x:c r="AK155" s="45" t="b">
        <x:v>1</x:v>
      </x:c>
    </x:row>
    <x:row r="156" ht="22" customHeight="1">
      <x:c r="A156" s="24" t="str">
        <x:v>article1-unified-v4-2-fb3f101b-20260903-000401-default-f03-p2-jcs4</x:v>
      </x:c>
      <x:c r="B156" s="24" t="str">
        <x:v>default</x:v>
      </x:c>
      <x:c r="C156" s="24" t="str">
        <x:v>jcs4</x:v>
      </x:c>
      <x:c r="D156" s="36" t="n">
        <x:v>3</x:v>
      </x:c>
      <x:c r="E156" s="36" t="n">
        <x:v>3</x:v>
      </x:c>
      <x:c r="F156" s="36" t="n">
        <x:v>2</x:v>
      </x:c>
      <x:c r="G156" s="36" t="n">
        <x:v>1</x:v>
      </x:c>
      <x:c r="H156" s="43" t="n">
        <x:v>7190.299400128424</x:v>
      </x:c>
      <x:c r="I156" s="43" t="n">
        <x:v>4110.170800238848</x:v>
      </x:c>
      <x:c r="J156" s="43" t="n">
        <x:v>6359.49350008741</x:v>
      </x:c>
      <x:c r="K156" s="43" t="n">
        <x:v>4125.769000034779</x:v>
      </x:c>
      <x:c r="L156" s="45" t="b">
        <x:v>1</x:v>
      </x:c>
      <x:c r="M156" s="45" t="b">
        <x:v>1</x:v>
      </x:c>
      <x:c r="N156" s="45" t="b">
        <x:v>1</x:v>
      </x:c>
      <x:c r="O156" s="46" t="n">
        <x:v>2</x:v>
      </x:c>
      <x:c r="P156" s="46" t="n">
        <x:v>2</x:v>
      </x:c>
      <x:c r="Q156" s="46" t="n">
        <x:v>3.3590000001713634</x:v>
      </x:c>
      <x:c r="R156" s="46" t="n">
        <x:v>10</x:v>
      </x:c>
      <x:c r="S156" s="46" t="n">
        <x:v>10</x:v>
      </x:c>
      <x:c r="T156" s="46" t="n">
        <x:v>12.061999999918044</x:v>
      </x:c>
      <x:c r="U156" s="46" t="n">
        <x:v>16.484000000171363</x:v>
      </x:c>
      <x:c r="V156" s="46" t="n">
        <x:v>2</x:v>
      </x:c>
      <x:c r="W156" s="46" t="n">
        <x:v>2</x:v>
      </x:c>
      <x:c r="X156" s="46" t="n">
        <x:v>3.125</x:v>
      </x:c>
      <x:c r="Y156" s="46" t="n">
        <x:v>10</x:v>
      </x:c>
      <x:c r="Z156" s="46" t="n">
        <x:v>10</x:v>
      </x:c>
      <x:c r="AA156" s="46" t="n">
        <x:v>12.094000000040978</x:v>
      </x:c>
      <x:c r="AB156" s="46" t="n">
        <x:v>16.92199999978766</x:v>
      </x:c>
      <x:c r="AC156" s="61" t="n">
        <x:v>85427200</x:v>
      </x:c>
      <x:c r="AD156" s="61" t="n">
        <x:v>-17741824</x:v>
      </x:c>
      <x:c r="AE156" s="45" t="b">
        <x:v>0</x:v>
      </x:c>
      <x:c r="AF156" s="45" t="b">
        <x:v>1</x:v>
      </x:c>
      <x:c r="AG156" s="45" t="b">
        <x:v>1</x:v>
      </x:c>
      <x:c r="AH156" s="45" t="b">
        <x:v>1</x:v>
      </x:c>
      <x:c r="AI156" s="36" t="n">
        <x:v>0</x:v>
      </x:c>
      <x:c r="AJ156" s="59"/>
      <x:c r="AK156" s="45" t="b">
        <x:v>1</x:v>
      </x:c>
    </x:row>
    <x:row r="157" ht="22" customHeight="1">
      <x:c r="A157" s="24" t="str">
        <x:v>article1-unified-v4-2-fb3f101b-20260903-000401-default-f03-p2-jcs4</x:v>
      </x:c>
      <x:c r="B157" s="24" t="str">
        <x:v>default</x:v>
      </x:c>
      <x:c r="C157" s="24" t="str">
        <x:v>jcs4</x:v>
      </x:c>
      <x:c r="D157" s="36" t="n">
        <x:v>3</x:v>
      </x:c>
      <x:c r="E157" s="36" t="n">
        <x:v>3</x:v>
      </x:c>
      <x:c r="F157" s="36" t="n">
        <x:v>2</x:v>
      </x:c>
      <x:c r="G157" s="36" t="n">
        <x:v>2</x:v>
      </x:c>
      <x:c r="H157" s="43" t="n">
        <x:v>6294.1470998339355</x:v>
      </x:c>
      <x:c r="I157" s="43" t="n">
        <x:v>4109.081599861383</x:v>
      </x:c>
      <x:c r="J157" s="43" t="n">
        <x:v>6445.563599932939</x:v>
      </x:c>
      <x:c r="K157" s="43" t="n">
        <x:v>4100.059799849987</x:v>
      </x:c>
      <x:c r="L157" s="45" t="b">
        <x:v>1</x:v>
      </x:c>
      <x:c r="M157" s="45" t="b">
        <x:v>1</x:v>
      </x:c>
      <x:c r="N157" s="45" t="b">
        <x:v>1</x:v>
      </x:c>
      <x:c r="O157" s="46" t="n">
        <x:v>2</x:v>
      </x:c>
      <x:c r="P157" s="46" t="n">
        <x:v>2</x:v>
      </x:c>
      <x:c r="Q157" s="46" t="n">
        <x:v>2.9529999997466803</x:v>
      </x:c>
      <x:c r="R157" s="46" t="n">
        <x:v>10</x:v>
      </x:c>
      <x:c r="S157" s="46" t="n">
        <x:v>10</x:v>
      </x:c>
      <x:c r="T157" s="46" t="n">
        <x:v>12.07799999974668</x:v>
      </x:c>
      <x:c r="U157" s="46" t="n">
        <x:v>16.640999999828637</x:v>
      </x:c>
      <x:c r="V157" s="46" t="n">
        <x:v>2</x:v>
      </x:c>
      <x:c r="W157" s="46" t="n">
        <x:v>2</x:v>
      </x:c>
      <x:c r="X157" s="46" t="n">
        <x:v>3</x:v>
      </x:c>
      <x:c r="Y157" s="46" t="n">
        <x:v>10</x:v>
      </x:c>
      <x:c r="Z157" s="46" t="n">
        <x:v>10</x:v>
      </x:c>
      <x:c r="AA157" s="46" t="n">
        <x:v>12.078000000212342</x:v>
      </x:c>
      <x:c r="AB157" s="46" t="n">
        <x:v>16.686999999918044</x:v>
      </x:c>
      <x:c r="AC157" s="61" t="n">
        <x:v>0</x:v>
      </x:c>
      <x:c r="AD157" s="61" t="n">
        <x:v>60416</x:v>
      </x:c>
      <x:c r="AE157" s="45" t="b">
        <x:v>1</x:v>
      </x:c>
      <x:c r="AF157" s="45" t="b">
        <x:v>1</x:v>
      </x:c>
      <x:c r="AG157" s="45" t="b">
        <x:v>1</x:v>
      </x:c>
      <x:c r="AH157" s="45" t="b">
        <x:v>1</x:v>
      </x:c>
      <x:c r="AI157" s="36" t="n">
        <x:v>0</x:v>
      </x:c>
      <x:c r="AJ157" s="59"/>
      <x:c r="AK157" s="45" t="b">
        <x:v>1</x:v>
      </x:c>
    </x:row>
    <x:row r="158" ht="22" customHeight="1">
      <x:c r="A158" s="24" t="str">
        <x:v>article1-unified-v4-2-fb3f101b-20260903-000401-default-f03-p2-jcs4</x:v>
      </x:c>
      <x:c r="B158" s="24" t="str">
        <x:v>default</x:v>
      </x:c>
      <x:c r="C158" s="24" t="str">
        <x:v>jcs4</x:v>
      </x:c>
      <x:c r="D158" s="36" t="n">
        <x:v>3</x:v>
      </x:c>
      <x:c r="E158" s="36" t="n">
        <x:v>3</x:v>
      </x:c>
      <x:c r="F158" s="36" t="n">
        <x:v>2</x:v>
      </x:c>
      <x:c r="G158" s="36" t="n">
        <x:v>3</x:v>
      </x:c>
      <x:c r="H158" s="43" t="n">
        <x:v>6060.7951995916665</x:v>
      </x:c>
      <x:c r="I158" s="43" t="n">
        <x:v>4127.332699950784</x:v>
      </x:c>
      <x:c r="J158" s="43" t="n">
        <x:v>6408.501799684018</x:v>
      </x:c>
      <x:c r="K158" s="43" t="n">
        <x:v>4102.592600043863</x:v>
      </x:c>
      <x:c r="L158" s="45" t="b">
        <x:v>1</x:v>
      </x:c>
      <x:c r="M158" s="45" t="b">
        <x:v>1</x:v>
      </x:c>
      <x:c r="N158" s="45" t="b">
        <x:v>1</x:v>
      </x:c>
      <x:c r="O158" s="46" t="n">
        <x:v>2</x:v>
      </x:c>
      <x:c r="P158" s="46" t="n">
        <x:v>2</x:v>
      </x:c>
      <x:c r="Q158" s="46" t="n">
        <x:v>3.030999999959022</x:v>
      </x:c>
      <x:c r="R158" s="46" t="n">
        <x:v>10</x:v>
      </x:c>
      <x:c r="S158" s="46" t="n">
        <x:v>10</x:v>
      </x:c>
      <x:c r="T158" s="46" t="n">
        <x:v>12.094000000040978</x:v>
      </x:c>
      <x:c r="U158" s="46" t="n">
        <x:v>16.859000000171363</x:v>
      </x:c>
      <x:c r="V158" s="46" t="n">
        <x:v>2</x:v>
      </x:c>
      <x:c r="W158" s="46" t="n">
        <x:v>2</x:v>
      </x:c>
      <x:c r="X158" s="46" t="n">
        <x:v>3.155999999959022</x:v>
      </x:c>
      <x:c r="Y158" s="46" t="n">
        <x:v>10</x:v>
      </x:c>
      <x:c r="Z158" s="46" t="n">
        <x:v>10</x:v>
      </x:c>
      <x:c r="AA158" s="46" t="n">
        <x:v>12.108999999705702</x:v>
      </x:c>
      <x:c r="AB158" s="46" t="n">
        <x:v>16.70299999974668</x:v>
      </x:c>
      <x:c r="AC158" s="61" t="n">
        <x:v>0</x:v>
      </x:c>
      <x:c r="AD158" s="61" t="n">
        <x:v>-11264</x:v>
      </x:c>
      <x:c r="AE158" s="45" t="b">
        <x:v>1</x:v>
      </x:c>
      <x:c r="AF158" s="45" t="b">
        <x:v>1</x:v>
      </x:c>
      <x:c r="AG158" s="45" t="b">
        <x:v>1</x:v>
      </x:c>
      <x:c r="AH158" s="45" t="b">
        <x:v>1</x:v>
      </x:c>
      <x:c r="AI158" s="36" t="n">
        <x:v>0</x:v>
      </x:c>
      <x:c r="AJ158" s="59"/>
      <x:c r="AK158" s="45" t="b">
        <x:v>1</x:v>
      </x:c>
    </x:row>
    <x:row r="159" ht="22" customHeight="1">
      <x:c r="A159" s="24" t="str">
        <x:v>article1-unified-v4-2-fb3f101b-20260903-000401-default-f03-p2-jcs4</x:v>
      </x:c>
      <x:c r="B159" s="24" t="str">
        <x:v>default</x:v>
      </x:c>
      <x:c r="C159" s="24" t="str">
        <x:v>jcs4</x:v>
      </x:c>
      <x:c r="D159" s="36" t="n">
        <x:v>3</x:v>
      </x:c>
      <x:c r="E159" s="36" t="n">
        <x:v>3</x:v>
      </x:c>
      <x:c r="F159" s="36" t="n">
        <x:v>2</x:v>
      </x:c>
      <x:c r="G159" s="36" t="n">
        <x:v>4</x:v>
      </x:c>
      <x:c r="H159" s="43" t="n">
        <x:v>6107.701800297946</x:v>
      </x:c>
      <x:c r="I159" s="43" t="n">
        <x:v>4106.789600104094</x:v>
      </x:c>
      <x:c r="J159" s="43" t="n">
        <x:v>6266.83280011639</x:v>
      </x:c>
      <x:c r="K159" s="43" t="n">
        <x:v>4116.48129997775</x:v>
      </x:c>
      <x:c r="L159" s="45" t="b">
        <x:v>1</x:v>
      </x:c>
      <x:c r="M159" s="45" t="b">
        <x:v>1</x:v>
      </x:c>
      <x:c r="N159" s="45" t="b">
        <x:v>1</x:v>
      </x:c>
      <x:c r="O159" s="46" t="n">
        <x:v>2</x:v>
      </x:c>
      <x:c r="P159" s="46" t="n">
        <x:v>2</x:v>
      </x:c>
      <x:c r="Q159" s="46" t="n">
        <x:v>3</x:v>
      </x:c>
      <x:c r="R159" s="46" t="n">
        <x:v>10</x:v>
      </x:c>
      <x:c r="S159" s="46" t="n">
        <x:v>10</x:v>
      </x:c>
      <x:c r="T159" s="46" t="n">
        <x:v>12.092999999877065</x:v>
      </x:c>
      <x:c r="U159" s="46" t="n">
        <x:v>16.905999999959022</x:v>
      </x:c>
      <x:c r="V159" s="46" t="n">
        <x:v>2</x:v>
      </x:c>
      <x:c r="W159" s="46" t="n">
        <x:v>2</x:v>
      </x:c>
      <x:c r="X159" s="46" t="n">
        <x:v>3.25</x:v>
      </x:c>
      <x:c r="Y159" s="46" t="n">
        <x:v>10</x:v>
      </x:c>
      <x:c r="Z159" s="46" t="n">
        <x:v>10</x:v>
      </x:c>
      <x:c r="AA159" s="46" t="n">
        <x:v>12.108999999705702</x:v>
      </x:c>
      <x:c r="AB159" s="46" t="n">
        <x:v>17.07799999974668</x:v>
      </x:c>
      <x:c r="AC159" s="61" t="n">
        <x:v>0</x:v>
      </x:c>
      <x:c r="AD159" s="61" t="n">
        <x:v>60416</x:v>
      </x:c>
      <x:c r="AE159" s="45" t="b">
        <x:v>1</x:v>
      </x:c>
      <x:c r="AF159" s="45" t="b">
        <x:v>1</x:v>
      </x:c>
      <x:c r="AG159" s="45" t="b">
        <x:v>1</x:v>
      </x:c>
      <x:c r="AH159" s="45" t="b">
        <x:v>1</x:v>
      </x:c>
      <x:c r="AI159" s="36" t="n">
        <x:v>0</x:v>
      </x:c>
      <x:c r="AJ159" s="59"/>
      <x:c r="AK159" s="45" t="b">
        <x:v>1</x:v>
      </x:c>
    </x:row>
    <x:row r="160" ht="22" customHeight="1">
      <x:c r="A160" s="24" t="str">
        <x:v>article1-unified-v4-2-fb3f101b-20260903-000401-default-f03-p2-jcs4</x:v>
      </x:c>
      <x:c r="B160" s="24" t="str">
        <x:v>default</x:v>
      </x:c>
      <x:c r="C160" s="24" t="str">
        <x:v>jcs4</x:v>
      </x:c>
      <x:c r="D160" s="36" t="n">
        <x:v>3</x:v>
      </x:c>
      <x:c r="E160" s="36" t="n">
        <x:v>3</x:v>
      </x:c>
      <x:c r="F160" s="36" t="n">
        <x:v>2</x:v>
      </x:c>
      <x:c r="G160" s="36" t="n">
        <x:v>5</x:v>
      </x:c>
      <x:c r="H160" s="43" t="n">
        <x:v>6186.756399925798</x:v>
      </x:c>
      <x:c r="I160" s="43" t="n">
        <x:v>4111.083400435746</x:v>
      </x:c>
      <x:c r="J160" s="43" t="n">
        <x:v>6078.790700063109</x:v>
      </x:c>
      <x:c r="K160" s="43" t="n">
        <x:v>4092.5353998318315</x:v>
      </x:c>
      <x:c r="L160" s="45" t="b">
        <x:v>1</x:v>
      </x:c>
      <x:c r="M160" s="45" t="b">
        <x:v>1</x:v>
      </x:c>
      <x:c r="N160" s="45" t="b">
        <x:v>1</x:v>
      </x:c>
      <x:c r="O160" s="46" t="n">
        <x:v>2</x:v>
      </x:c>
      <x:c r="P160" s="46" t="n">
        <x:v>2</x:v>
      </x:c>
      <x:c r="Q160" s="46" t="n">
        <x:v>3.1880000000819564</x:v>
      </x:c>
      <x:c r="R160" s="46" t="n">
        <x:v>10</x:v>
      </x:c>
      <x:c r="S160" s="46" t="n">
        <x:v>10</x:v>
      </x:c>
      <x:c r="T160" s="46" t="n">
        <x:v>12.110000000335276</x:v>
      </x:c>
      <x:c r="U160" s="46" t="n">
        <x:v>17.016000000294298</x:v>
      </x:c>
      <x:c r="V160" s="46" t="n">
        <x:v>2</x:v>
      </x:c>
      <x:c r="W160" s="46" t="n">
        <x:v>2</x:v>
      </x:c>
      <x:c r="X160" s="46" t="n">
        <x:v>3.014999999664724</x:v>
      </x:c>
      <x:c r="Y160" s="46" t="n">
        <x:v>10</x:v>
      </x:c>
      <x:c r="Z160" s="46" t="n">
        <x:v>10</x:v>
      </x:c>
      <x:c r="AA160" s="46" t="n">
        <x:v>12.07799999974668</x:v>
      </x:c>
      <x:c r="AB160" s="46" t="n">
        <x:v>16.889999999664724</x:v>
      </x:c>
      <x:c r="AC160" s="61" t="n">
        <x:v>0</x:v>
      </x:c>
      <x:c r="AD160" s="61" t="n">
        <x:v>44032</x:v>
      </x:c>
      <x:c r="AE160" s="45" t="b">
        <x:v>1</x:v>
      </x:c>
      <x:c r="AF160" s="45" t="b">
        <x:v>1</x:v>
      </x:c>
      <x:c r="AG160" s="45" t="b">
        <x:v>1</x:v>
      </x:c>
      <x:c r="AH160" s="45" t="b">
        <x:v>1</x:v>
      </x:c>
      <x:c r="AI160" s="36" t="n">
        <x:v>0</x:v>
      </x:c>
      <x:c r="AJ160" s="59"/>
      <x:c r="AK160" s="45" t="b">
        <x:v>1</x:v>
      </x:c>
    </x:row>
    <x:row r="161" ht="22" customHeight="1">
      <x:c r="A161" s="24" t="str">
        <x:v>article1-unified-v4-2-fb3f101b-20260903-000401-default-f04-p1-jcs4</x:v>
      </x:c>
      <x:c r="B161" s="24" t="str">
        <x:v>default</x:v>
      </x:c>
      <x:c r="C161" s="24" t="str">
        <x:v>jcs4</x:v>
      </x:c>
      <x:c r="D161" s="36" t="n">
        <x:v>4</x:v>
      </x:c>
      <x:c r="E161" s="36" t="n">
        <x:v>4</x:v>
      </x:c>
      <x:c r="F161" s="36" t="n">
        <x:v>1</x:v>
      </x:c>
      <x:c r="G161" s="36" t="n">
        <x:v>1</x:v>
      </x:c>
      <x:c r="H161" s="43" t="n">
        <x:v>6931.198500096798</x:v>
      </x:c>
      <x:c r="I161" s="43" t="n">
        <x:v>4129.363599698991</x:v>
      </x:c>
      <x:c r="J161" s="43" t="n">
        <x:v>6377.564600203186</x:v>
      </x:c>
      <x:c r="K161" s="43" t="n">
        <x:v>4125.378400087357</x:v>
      </x:c>
      <x:c r="L161" s="45" t="b">
        <x:v>1</x:v>
      </x:c>
      <x:c r="M161" s="45" t="b">
        <x:v>1</x:v>
      </x:c>
      <x:c r="N161" s="45" t="b">
        <x:v>1</x:v>
      </x:c>
      <x:c r="O161" s="46" t="n">
        <x:v>2</x:v>
      </x:c>
      <x:c r="P161" s="46" t="n">
        <x:v>2</x:v>
      </x:c>
      <x:c r="Q161" s="46" t="n">
        <x:v>3.3280000002123415</x:v>
      </x:c>
      <x:c r="R161" s="46" t="n">
        <x:v>10</x:v>
      </x:c>
      <x:c r="S161" s="46" t="n">
        <x:v>10</x:v>
      </x:c>
      <x:c r="T161" s="46" t="n">
        <x:v>12.078000000212342</x:v>
      </x:c>
      <x:c r="U161" s="46" t="n">
        <x:v>16.67200000025332</x:v>
      </x:c>
      <x:c r="V161" s="46" t="n">
        <x:v>2</x:v>
      </x:c>
      <x:c r="W161" s="46" t="n">
        <x:v>2</x:v>
      </x:c>
      <x:c r="X161" s="46" t="n">
        <x:v>3.1409999998286366</x:v>
      </x:c>
      <x:c r="Y161" s="46" t="n">
        <x:v>10</x:v>
      </x:c>
      <x:c r="Z161" s="46" t="n">
        <x:v>10</x:v>
      </x:c>
      <x:c r="AA161" s="46" t="n">
        <x:v>12.094000000040978</x:v>
      </x:c>
      <x:c r="AB161" s="46" t="n">
        <x:v>16.79699999978766</x:v>
      </x:c>
      <x:c r="AC161" s="61" t="n">
        <x:v>144352256</x:v>
      </x:c>
      <x:c r="AD161" s="61" t="n">
        <x:v>-17620992</x:v>
      </x:c>
      <x:c r="AE161" s="45" t="b">
        <x:v>0</x:v>
      </x:c>
      <x:c r="AF161" s="45" t="b">
        <x:v>1</x:v>
      </x:c>
      <x:c r="AG161" s="45" t="b">
        <x:v>1</x:v>
      </x:c>
      <x:c r="AH161" s="45" t="b">
        <x:v>1</x:v>
      </x:c>
      <x:c r="AI161" s="36" t="n">
        <x:v>0</x:v>
      </x:c>
      <x:c r="AJ161" s="59"/>
      <x:c r="AK161" s="45" t="b">
        <x:v>1</x:v>
      </x:c>
    </x:row>
    <x:row r="162" ht="22" customHeight="1">
      <x:c r="A162" s="24" t="str">
        <x:v>article1-unified-v4-2-fb3f101b-20260903-000401-default-f04-p1-jcs4</x:v>
      </x:c>
      <x:c r="B162" s="24" t="str">
        <x:v>default</x:v>
      </x:c>
      <x:c r="C162" s="24" t="str">
        <x:v>jcs4</x:v>
      </x:c>
      <x:c r="D162" s="36" t="n">
        <x:v>4</x:v>
      </x:c>
      <x:c r="E162" s="36" t="n">
        <x:v>4</x:v>
      </x:c>
      <x:c r="F162" s="36" t="n">
        <x:v>1</x:v>
      </x:c>
      <x:c r="G162" s="36" t="n">
        <x:v>2</x:v>
      </x:c>
      <x:c r="H162" s="43" t="n">
        <x:v>6050.321499817073</x:v>
      </x:c>
      <x:c r="I162" s="43" t="n">
        <x:v>4100.917899981141</x:v>
      </x:c>
      <x:c r="J162" s="43" t="n">
        <x:v>6167.338899802417</x:v>
      </x:c>
      <x:c r="K162" s="43" t="n">
        <x:v>4128.04999994114</x:v>
      </x:c>
      <x:c r="L162" s="45" t="b">
        <x:v>1</x:v>
      </x:c>
      <x:c r="M162" s="45" t="b">
        <x:v>1</x:v>
      </x:c>
      <x:c r="N162" s="45" t="b">
        <x:v>1</x:v>
      </x:c>
      <x:c r="O162" s="46" t="n">
        <x:v>2</x:v>
      </x:c>
      <x:c r="P162" s="46" t="n">
        <x:v>2</x:v>
      </x:c>
      <x:c r="Q162" s="46" t="n">
        <x:v>3.094000000040978</x:v>
      </x:c>
      <x:c r="R162" s="46" t="n">
        <x:v>10</x:v>
      </x:c>
      <x:c r="S162" s="46" t="n">
        <x:v>10</x:v>
      </x:c>
      <x:c r="T162" s="46" t="n">
        <x:v>12.094000000040978</x:v>
      </x:c>
      <x:c r="U162" s="46" t="n">
        <x:v>17.359999999869615</x:v>
      </x:c>
      <x:c r="V162" s="46" t="n">
        <x:v>2</x:v>
      </x:c>
      <x:c r="W162" s="46" t="n">
        <x:v>2</x:v>
      </x:c>
      <x:c r="X162" s="46" t="n">
        <x:v>2.8909999998286366</x:v>
      </x:c>
      <x:c r="Y162" s="46" t="n">
        <x:v>10</x:v>
      </x:c>
      <x:c r="Z162" s="46" t="n">
        <x:v>10</x:v>
      </x:c>
      <x:c r="AA162" s="46" t="n">
        <x:v>12.109999999869615</x:v>
      </x:c>
      <x:c r="AB162" s="46" t="n">
        <x:v>16.890999999828637</x:v>
      </x:c>
      <x:c r="AC162" s="61" t="n">
        <x:v>0</x:v>
      </x:c>
      <x:c r="AD162" s="61" t="n">
        <x:v>54272</x:v>
      </x:c>
      <x:c r="AE162" s="45" t="b">
        <x:v>1</x:v>
      </x:c>
      <x:c r="AF162" s="45" t="b">
        <x:v>1</x:v>
      </x:c>
      <x:c r="AG162" s="45" t="b">
        <x:v>1</x:v>
      </x:c>
      <x:c r="AH162" s="45" t="b">
        <x:v>1</x:v>
      </x:c>
      <x:c r="AI162" s="36" t="n">
        <x:v>0</x:v>
      </x:c>
      <x:c r="AJ162" s="59"/>
      <x:c r="AK162" s="45" t="b">
        <x:v>1</x:v>
      </x:c>
    </x:row>
    <x:row r="163" ht="22" customHeight="1">
      <x:c r="A163" s="24" t="str">
        <x:v>article1-unified-v4-2-fb3f101b-20260903-000401-default-f04-p1-jcs4</x:v>
      </x:c>
      <x:c r="B163" s="24" t="str">
        <x:v>default</x:v>
      </x:c>
      <x:c r="C163" s="24" t="str">
        <x:v>jcs4</x:v>
      </x:c>
      <x:c r="D163" s="36" t="n">
        <x:v>4</x:v>
      </x:c>
      <x:c r="E163" s="36" t="n">
        <x:v>4</x:v>
      </x:c>
      <x:c r="F163" s="36" t="n">
        <x:v>1</x:v>
      </x:c>
      <x:c r="G163" s="36" t="n">
        <x:v>3</x:v>
      </x:c>
      <x:c r="H163" s="43" t="n">
        <x:v>5996.273499913514</x:v>
      </x:c>
      <x:c r="I163" s="43" t="n">
        <x:v>4109.866899903864</x:v>
      </x:c>
      <x:c r="J163" s="43" t="n">
        <x:v>6780.724500305951</x:v>
      </x:c>
      <x:c r="K163" s="43" t="n">
        <x:v>4135.836000088602</x:v>
      </x:c>
      <x:c r="L163" s="45" t="b">
        <x:v>1</x:v>
      </x:c>
      <x:c r="M163" s="45" t="b">
        <x:v>1</x:v>
      </x:c>
      <x:c r="N163" s="45" t="b">
        <x:v>1</x:v>
      </x:c>
      <x:c r="O163" s="46" t="n">
        <x:v>2</x:v>
      </x:c>
      <x:c r="P163" s="46" t="n">
        <x:v>2</x:v>
      </x:c>
      <x:c r="Q163" s="46" t="n">
        <x:v>2.875</x:v>
      </x:c>
      <x:c r="R163" s="46" t="n">
        <x:v>10</x:v>
      </x:c>
      <x:c r="S163" s="46" t="n">
        <x:v>10</x:v>
      </x:c>
      <x:c r="T163" s="46" t="n">
        <x:v>12.078999999910593</x:v>
      </x:c>
      <x:c r="U163" s="46" t="n">
        <x:v>16.719000000040978</x:v>
      </x:c>
      <x:c r="V163" s="46" t="n">
        <x:v>2</x:v>
      </x:c>
      <x:c r="W163" s="46" t="n">
        <x:v>2</x:v>
      </x:c>
      <x:c r="X163" s="46" t="n">
        <x:v>3.125</x:v>
      </x:c>
      <x:c r="Y163" s="46" t="n">
        <x:v>10</x:v>
      </x:c>
      <x:c r="Z163" s="46" t="n">
        <x:v>10.015999999828637</x:v>
      </x:c>
      <x:c r="AA163" s="46" t="n">
        <x:v>12.109999999869615</x:v>
      </x:c>
      <x:c r="AB163" s="46" t="n">
        <x:v>17.219000000040978</x:v>
      </x:c>
      <x:c r="AC163" s="61" t="n">
        <x:v>0</x:v>
      </x:c>
      <x:c r="AD163" s="61" t="n">
        <x:v>60416</x:v>
      </x:c>
      <x:c r="AE163" s="45" t="b">
        <x:v>1</x:v>
      </x:c>
      <x:c r="AF163" s="45" t="b">
        <x:v>1</x:v>
      </x:c>
      <x:c r="AG163" s="45" t="b">
        <x:v>1</x:v>
      </x:c>
      <x:c r="AH163" s="45" t="b">
        <x:v>1</x:v>
      </x:c>
      <x:c r="AI163" s="36" t="n">
        <x:v>0</x:v>
      </x:c>
      <x:c r="AJ163" s="59"/>
      <x:c r="AK163" s="45" t="b">
        <x:v>1</x:v>
      </x:c>
    </x:row>
    <x:row r="164" ht="22" customHeight="1">
      <x:c r="A164" s="24" t="str">
        <x:v>article1-unified-v4-2-fb3f101b-20260903-000401-default-f04-p1-jcs4</x:v>
      </x:c>
      <x:c r="B164" s="24" t="str">
        <x:v>default</x:v>
      </x:c>
      <x:c r="C164" s="24" t="str">
        <x:v>jcs4</x:v>
      </x:c>
      <x:c r="D164" s="36" t="n">
        <x:v>4</x:v>
      </x:c>
      <x:c r="E164" s="36" t="n">
        <x:v>4</x:v>
      </x:c>
      <x:c r="F164" s="36" t="n">
        <x:v>1</x:v>
      </x:c>
      <x:c r="G164" s="36" t="n">
        <x:v>4</x:v>
      </x:c>
      <x:c r="H164" s="43" t="n">
        <x:v>5970.623400062323</x:v>
      </x:c>
      <x:c r="I164" s="43" t="n">
        <x:v>4130.462900269777</x:v>
      </x:c>
      <x:c r="J164" s="43" t="n">
        <x:v>5987.601399887353</x:v>
      </x:c>
      <x:c r="K164" s="43" t="n">
        <x:v>4133.950599934906</x:v>
      </x:c>
      <x:c r="L164" s="45" t="b">
        <x:v>1</x:v>
      </x:c>
      <x:c r="M164" s="45" t="b">
        <x:v>1</x:v>
      </x:c>
      <x:c r="N164" s="45" t="b">
        <x:v>1</x:v>
      </x:c>
      <x:c r="O164" s="46" t="n">
        <x:v>2</x:v>
      </x:c>
      <x:c r="P164" s="46" t="n">
        <x:v>2</x:v>
      </x:c>
      <x:c r="Q164" s="46" t="n">
        <x:v>2.9840000001713634</x:v>
      </x:c>
      <x:c r="R164" s="46" t="n">
        <x:v>10</x:v>
      </x:c>
      <x:c r="S164" s="46" t="n">
        <x:v>10</x:v>
      </x:c>
      <x:c r="T164" s="46" t="n">
        <x:v>12.094000000040978</x:v>
      </x:c>
      <x:c r="U164" s="46" t="n">
        <x:v>17.141000000294298</x:v>
      </x:c>
      <x:c r="V164" s="46" t="n">
        <x:v>2</x:v>
      </x:c>
      <x:c r="W164" s="46" t="n">
        <x:v>2</x:v>
      </x:c>
      <x:c r="X164" s="46" t="n">
        <x:v>3.546000000089407</x:v>
      </x:c>
      <x:c r="Y164" s="46" t="n">
        <x:v>10</x:v>
      </x:c>
      <x:c r="Z164" s="46" t="n">
        <x:v>10</x:v>
      </x:c>
      <x:c r="AA164" s="46" t="n">
        <x:v>12.092999999877065</x:v>
      </x:c>
      <x:c r="AB164" s="46" t="n">
        <x:v>17.561999999918044</x:v>
      </x:c>
      <x:c r="AC164" s="61" t="n">
        <x:v>0</x:v>
      </x:c>
      <x:c r="AD164" s="61" t="n">
        <x:v>48128</x:v>
      </x:c>
      <x:c r="AE164" s="45" t="b">
        <x:v>1</x:v>
      </x:c>
      <x:c r="AF164" s="45" t="b">
        <x:v>1</x:v>
      </x:c>
      <x:c r="AG164" s="45" t="b">
        <x:v>1</x:v>
      </x:c>
      <x:c r="AH164" s="45" t="b">
        <x:v>1</x:v>
      </x:c>
      <x:c r="AI164" s="36" t="n">
        <x:v>0</x:v>
      </x:c>
      <x:c r="AJ164" s="59"/>
      <x:c r="AK164" s="45" t="b">
        <x:v>1</x:v>
      </x:c>
    </x:row>
    <x:row r="165" ht="22" customHeight="1">
      <x:c r="A165" s="24" t="str">
        <x:v>article1-unified-v4-2-fb3f101b-20260903-000401-default-f04-p1-jcs4</x:v>
      </x:c>
      <x:c r="B165" s="24" t="str">
        <x:v>default</x:v>
      </x:c>
      <x:c r="C165" s="24" t="str">
        <x:v>jcs4</x:v>
      </x:c>
      <x:c r="D165" s="36" t="n">
        <x:v>4</x:v>
      </x:c>
      <x:c r="E165" s="36" t="n">
        <x:v>4</x:v>
      </x:c>
      <x:c r="F165" s="36" t="n">
        <x:v>1</x:v>
      </x:c>
      <x:c r="G165" s="36" t="n">
        <x:v>5</x:v>
      </x:c>
      <x:c r="H165" s="43" t="n">
        <x:v>5946.812599897385</x:v>
      </x:c>
      <x:c r="I165" s="43" t="n">
        <x:v>4104.660599958152</x:v>
      </x:c>
      <x:c r="J165" s="43" t="n">
        <x:v>6062.113000079989</x:v>
      </x:c>
      <x:c r="K165" s="43" t="n">
        <x:v>4120.900500100106</x:v>
      </x:c>
      <x:c r="L165" s="45" t="b">
        <x:v>1</x:v>
      </x:c>
      <x:c r="M165" s="45" t="b">
        <x:v>1</x:v>
      </x:c>
      <x:c r="N165" s="45" t="b">
        <x:v>1</x:v>
      </x:c>
      <x:c r="O165" s="46" t="n">
        <x:v>2</x:v>
      </x:c>
      <x:c r="P165" s="46" t="n">
        <x:v>2</x:v>
      </x:c>
      <x:c r="Q165" s="46" t="n">
        <x:v>3.0779999997466803</x:v>
      </x:c>
      <x:c r="R165" s="46" t="n">
        <x:v>10</x:v>
      </x:c>
      <x:c r="S165" s="46" t="n">
        <x:v>10.015999999828637</x:v>
      </x:c>
      <x:c r="T165" s="46" t="n">
        <x:v>12.108999999705702</x:v>
      </x:c>
      <x:c r="U165" s="46" t="n">
        <x:v>17.29699999978766</x:v>
      </x:c>
      <x:c r="V165" s="46" t="n">
        <x:v>2</x:v>
      </x:c>
      <x:c r="W165" s="46" t="n">
        <x:v>2</x:v>
      </x:c>
      <x:c r="X165" s="46" t="n">
        <x:v>3.1570000001229346</x:v>
      </x:c>
      <x:c r="Y165" s="46" t="n">
        <x:v>10</x:v>
      </x:c>
      <x:c r="Z165" s="46" t="n">
        <x:v>10</x:v>
      </x:c>
      <x:c r="AA165" s="46" t="n">
        <x:v>12.125</x:v>
      </x:c>
      <x:c r="AB165" s="46" t="n">
        <x:v>17.32800000021234</x:v>
      </x:c>
      <x:c r="AC165" s="61" t="n">
        <x:v>0</x:v>
      </x:c>
      <x:c r="AD165" s="61" t="n">
        <x:v>32768</x:v>
      </x:c>
      <x:c r="AE165" s="45" t="b">
        <x:v>1</x:v>
      </x:c>
      <x:c r="AF165" s="45" t="b">
        <x:v>1</x:v>
      </x:c>
      <x:c r="AG165" s="45" t="b">
        <x:v>1</x:v>
      </x:c>
      <x:c r="AH165" s="45" t="b">
        <x:v>1</x:v>
      </x:c>
      <x:c r="AI165" s="36" t="n">
        <x:v>0</x:v>
      </x:c>
      <x:c r="AJ165" s="59"/>
      <x:c r="AK165" s="45" t="b">
        <x:v>1</x:v>
      </x:c>
    </x:row>
    <x:row r="166" ht="22" customHeight="1">
      <x:c r="A166" s="24" t="str">
        <x:v>article1-unified-v4-2-fb3f101b-20260903-000401-default-f05-p3-jcs4</x:v>
      </x:c>
      <x:c r="B166" s="24" t="str">
        <x:v>default</x:v>
      </x:c>
      <x:c r="C166" s="24" t="str">
        <x:v>jcs4</x:v>
      </x:c>
      <x:c r="D166" s="36" t="n">
        <x:v>5</x:v>
      </x:c>
      <x:c r="E166" s="36" t="n">
        <x:v>5</x:v>
      </x:c>
      <x:c r="F166" s="36" t="n">
        <x:v>3</x:v>
      </x:c>
      <x:c r="G166" s="36" t="n">
        <x:v>1</x:v>
      </x:c>
      <x:c r="H166" s="43" t="n">
        <x:v>6814.189699944109</x:v>
      </x:c>
      <x:c r="I166" s="43" t="n">
        <x:v>4119.9707002379</x:v>
      </x:c>
      <x:c r="J166" s="43" t="n">
        <x:v>6222.140800207853</x:v>
      </x:c>
      <x:c r="K166" s="43" t="n">
        <x:v>4110.51689973101</x:v>
      </x:c>
      <x:c r="L166" s="45" t="b">
        <x:v>1</x:v>
      </x:c>
      <x:c r="M166" s="45" t="b">
        <x:v>1</x:v>
      </x:c>
      <x:c r="N166" s="45" t="b">
        <x:v>1</x:v>
      </x:c>
      <x:c r="O166" s="46" t="n">
        <x:v>2</x:v>
      </x:c>
      <x:c r="P166" s="46" t="n">
        <x:v>2</x:v>
      </x:c>
      <x:c r="Q166" s="46" t="n">
        <x:v>3.109999999869615</x:v>
      </x:c>
      <x:c r="R166" s="46" t="n">
        <x:v>10</x:v>
      </x:c>
      <x:c r="S166" s="46" t="n">
        <x:v>10</x:v>
      </x:c>
      <x:c r="T166" s="46" t="n">
        <x:v>12.07799999974668</x:v>
      </x:c>
      <x:c r="U166" s="46" t="n">
        <x:v>16.92199999978766</x:v>
      </x:c>
      <x:c r="V166" s="46" t="n">
        <x:v>2</x:v>
      </x:c>
      <x:c r="W166" s="46" t="n">
        <x:v>2</x:v>
      </x:c>
      <x:c r="X166" s="46" t="n">
        <x:v>3.25</x:v>
      </x:c>
      <x:c r="Y166" s="46" t="n">
        <x:v>10</x:v>
      </x:c>
      <x:c r="Z166" s="46" t="n">
        <x:v>10.015000000130385</x:v>
      </x:c>
      <x:c r="AA166" s="46" t="n">
        <x:v>12.094000000040978</x:v>
      </x:c>
      <x:c r="AB166" s="46" t="n">
        <x:v>16.561999999918044</x:v>
      </x:c>
      <x:c r="AC166" s="61" t="n">
        <x:v>145133568</x:v>
      </x:c>
      <x:c r="AD166" s="61" t="n">
        <x:v>-17010688</x:v>
      </x:c>
      <x:c r="AE166" s="45" t="b">
        <x:v>0</x:v>
      </x:c>
      <x:c r="AF166" s="45" t="b">
        <x:v>1</x:v>
      </x:c>
      <x:c r="AG166" s="45" t="b">
        <x:v>1</x:v>
      </x:c>
      <x:c r="AH166" s="45" t="b">
        <x:v>1</x:v>
      </x:c>
      <x:c r="AI166" s="36" t="n">
        <x:v>0</x:v>
      </x:c>
      <x:c r="AJ166" s="59"/>
      <x:c r="AK166" s="45" t="b">
        <x:v>1</x:v>
      </x:c>
    </x:row>
    <x:row r="167" ht="22" customHeight="1">
      <x:c r="A167" s="24" t="str">
        <x:v>article1-unified-v4-2-fb3f101b-20260903-000401-default-f05-p3-jcs4</x:v>
      </x:c>
      <x:c r="B167" s="24" t="str">
        <x:v>default</x:v>
      </x:c>
      <x:c r="C167" s="24" t="str">
        <x:v>jcs4</x:v>
      </x:c>
      <x:c r="D167" s="36" t="n">
        <x:v>5</x:v>
      </x:c>
      <x:c r="E167" s="36" t="n">
        <x:v>5</x:v>
      </x:c>
      <x:c r="F167" s="36" t="n">
        <x:v>3</x:v>
      </x:c>
      <x:c r="G167" s="36" t="n">
        <x:v>2</x:v>
      </x:c>
      <x:c r="H167" s="43" t="n">
        <x:v>6015.448399819434</x:v>
      </x:c>
      <x:c r="I167" s="43" t="n">
        <x:v>4110.010299831629</x:v>
      </x:c>
      <x:c r="J167" s="43" t="n">
        <x:v>6040.2489001862705</x:v>
      </x:c>
      <x:c r="K167" s="43" t="n">
        <x:v>4134.120699949563</x:v>
      </x:c>
      <x:c r="L167" s="45" t="b">
        <x:v>1</x:v>
      </x:c>
      <x:c r="M167" s="45" t="b">
        <x:v>1</x:v>
      </x:c>
      <x:c r="N167" s="45" t="b">
        <x:v>1</x:v>
      </x:c>
      <x:c r="O167" s="46" t="n">
        <x:v>2</x:v>
      </x:c>
      <x:c r="P167" s="46" t="n">
        <x:v>2</x:v>
      </x:c>
      <x:c r="Q167" s="46" t="n">
        <x:v>2.969000000040978</x:v>
      </x:c>
      <x:c r="R167" s="46" t="n">
        <x:v>10</x:v>
      </x:c>
      <x:c r="S167" s="46" t="n">
        <x:v>10</x:v>
      </x:c>
      <x:c r="T167" s="46" t="n">
        <x:v>12.110000000335276</x:v>
      </x:c>
      <x:c r="U167" s="46" t="n">
        <x:v>16.485000000335276</x:v>
      </x:c>
      <x:c r="V167" s="46" t="n">
        <x:v>2</x:v>
      </x:c>
      <x:c r="W167" s="46" t="n">
        <x:v>2</x:v>
      </x:c>
      <x:c r="X167" s="46" t="n">
        <x:v>3.4219999997876585</x:v>
      </x:c>
      <x:c r="Y167" s="46" t="n">
        <x:v>10</x:v>
      </x:c>
      <x:c r="Z167" s="46" t="n">
        <x:v>10.015999999828637</x:v>
      </x:c>
      <x:c r="AA167" s="46" t="n">
        <x:v>12.094000000040978</x:v>
      </x:c>
      <x:c r="AB167" s="46" t="n">
        <x:v>17.344000000040978</x:v>
      </x:c>
      <x:c r="AC167" s="61" t="n">
        <x:v>0</x:v>
      </x:c>
      <x:c r="AD167" s="61" t="n">
        <x:v>79872</x:v>
      </x:c>
      <x:c r="AE167" s="45" t="b">
        <x:v>1</x:v>
      </x:c>
      <x:c r="AF167" s="45" t="b">
        <x:v>1</x:v>
      </x:c>
      <x:c r="AG167" s="45" t="b">
        <x:v>1</x:v>
      </x:c>
      <x:c r="AH167" s="45" t="b">
        <x:v>1</x:v>
      </x:c>
      <x:c r="AI167" s="36" t="n">
        <x:v>0</x:v>
      </x:c>
      <x:c r="AJ167" s="59"/>
      <x:c r="AK167" s="45" t="b">
        <x:v>1</x:v>
      </x:c>
    </x:row>
    <x:row r="168" ht="22" customHeight="1">
      <x:c r="A168" s="24" t="str">
        <x:v>article1-unified-v4-2-fb3f101b-20260903-000401-default-f05-p3-jcs4</x:v>
      </x:c>
      <x:c r="B168" s="24" t="str">
        <x:v>default</x:v>
      </x:c>
      <x:c r="C168" s="24" t="str">
        <x:v>jcs4</x:v>
      </x:c>
      <x:c r="D168" s="36" t="n">
        <x:v>5</x:v>
      </x:c>
      <x:c r="E168" s="36" t="n">
        <x:v>5</x:v>
      </x:c>
      <x:c r="F168" s="36" t="n">
        <x:v>3</x:v>
      </x:c>
      <x:c r="G168" s="36" t="n">
        <x:v>3</x:v>
      </x:c>
      <x:c r="H168" s="43" t="n">
        <x:v>6121.933399699628</x:v>
      </x:c>
      <x:c r="I168" s="43" t="n">
        <x:v>4139.790900051594</x:v>
      </x:c>
      <x:c r="J168" s="43" t="n">
        <x:v>6221.652300097048</x:v>
      </x:c>
      <x:c r="K168" s="43" t="n">
        <x:v>4144.514999818057</x:v>
      </x:c>
      <x:c r="L168" s="45" t="b">
        <x:v>1</x:v>
      </x:c>
      <x:c r="M168" s="45" t="b">
        <x:v>1</x:v>
      </x:c>
      <x:c r="N168" s="45" t="b">
        <x:v>1</x:v>
      </x:c>
      <x:c r="O168" s="46" t="n">
        <x:v>2</x:v>
      </x:c>
      <x:c r="P168" s="46" t="n">
        <x:v>2</x:v>
      </x:c>
      <x:c r="Q168" s="46" t="n">
        <x:v>3.4529999997466803</x:v>
      </x:c>
      <x:c r="R168" s="46" t="n">
        <x:v>10</x:v>
      </x:c>
      <x:c r="S168" s="46" t="n">
        <x:v>10</x:v>
      </x:c>
      <x:c r="T168" s="46" t="n">
        <x:v>12.092999999877065</x:v>
      </x:c>
      <x:c r="U168" s="46" t="n">
        <x:v>16.764999999664724</x:v>
      </x:c>
      <x:c r="V168" s="46" t="n">
        <x:v>2</x:v>
      </x:c>
      <x:c r="W168" s="46" t="n">
        <x:v>2</x:v>
      </x:c>
      <x:c r="X168" s="46" t="n">
        <x:v>3.094000000040978</x:v>
      </x:c>
      <x:c r="Y168" s="46" t="n">
        <x:v>10</x:v>
      </x:c>
      <x:c r="Z168" s="46" t="n">
        <x:v>10</x:v>
      </x:c>
      <x:c r="AA168" s="46" t="n">
        <x:v>12.108999999705702</x:v>
      </x:c>
      <x:c r="AB168" s="46" t="n">
        <x:v>16.57799999974668</x:v>
      </x:c>
      <x:c r="AC168" s="61" t="n">
        <x:v>0</x:v>
      </x:c>
      <x:c r="AD168" s="61" t="n">
        <x:v>38912</x:v>
      </x:c>
      <x:c r="AE168" s="45" t="b">
        <x:v>1</x:v>
      </x:c>
      <x:c r="AF168" s="45" t="b">
        <x:v>1</x:v>
      </x:c>
      <x:c r="AG168" s="45" t="b">
        <x:v>1</x:v>
      </x:c>
      <x:c r="AH168" s="45" t="b">
        <x:v>1</x:v>
      </x:c>
      <x:c r="AI168" s="36" t="n">
        <x:v>0</x:v>
      </x:c>
      <x:c r="AJ168" s="59"/>
      <x:c r="AK168" s="45" t="b">
        <x:v>1</x:v>
      </x:c>
    </x:row>
    <x:row r="169" ht="22" customHeight="1">
      <x:c r="A169" s="24" t="str">
        <x:v>article1-unified-v4-2-fb3f101b-20260903-000401-default-f05-p3-jcs4</x:v>
      </x:c>
      <x:c r="B169" s="24" t="str">
        <x:v>default</x:v>
      </x:c>
      <x:c r="C169" s="24" t="str">
        <x:v>jcs4</x:v>
      </x:c>
      <x:c r="D169" s="36" t="n">
        <x:v>5</x:v>
      </x:c>
      <x:c r="E169" s="36" t="n">
        <x:v>5</x:v>
      </x:c>
      <x:c r="F169" s="36" t="n">
        <x:v>3</x:v>
      </x:c>
      <x:c r="G169" s="36" t="n">
        <x:v>4</x:v>
      </x:c>
      <x:c r="H169" s="43" t="n">
        <x:v>5992.525099776685</x:v>
      </x:c>
      <x:c r="I169" s="43" t="n">
        <x:v>4138.480700086802</x:v>
      </x:c>
      <x:c r="J169" s="43" t="n">
        <x:v>6091.323399916291</x:v>
      </x:c>
      <x:c r="K169" s="43" t="n">
        <x:v>4106.201100163162</x:v>
      </x:c>
      <x:c r="L169" s="45" t="b">
        <x:v>1</x:v>
      </x:c>
      <x:c r="M169" s="45" t="b">
        <x:v>1</x:v>
      </x:c>
      <x:c r="N169" s="45" t="b">
        <x:v>1</x:v>
      </x:c>
      <x:c r="O169" s="46" t="n">
        <x:v>2</x:v>
      </x:c>
      <x:c r="P169" s="46" t="n">
        <x:v>2</x:v>
      </x:c>
      <x:c r="Q169" s="46" t="n">
        <x:v>2.905999999959022</x:v>
      </x:c>
      <x:c r="R169" s="46" t="n">
        <x:v>10</x:v>
      </x:c>
      <x:c r="S169" s="46" t="n">
        <x:v>10</x:v>
      </x:c>
      <x:c r="T169" s="46" t="n">
        <x:v>12.109000000171363</x:v>
      </x:c>
      <x:c r="U169" s="46" t="n">
        <x:v>17</x:v>
      </x:c>
      <x:c r="V169" s="46" t="n">
        <x:v>2</x:v>
      </x:c>
      <x:c r="W169" s="46" t="n">
        <x:v>2.014999999664724</x:v>
      </x:c>
      <x:c r="X169" s="46" t="n">
        <x:v>3.2969999997876585</x:v>
      </x:c>
      <x:c r="Y169" s="46" t="n">
        <x:v>10</x:v>
      </x:c>
      <x:c r="Z169" s="46" t="n">
        <x:v>10</x:v>
      </x:c>
      <x:c r="AA169" s="46" t="n">
        <x:v>12.092999999877065</x:v>
      </x:c>
      <x:c r="AB169" s="46" t="n">
        <x:v>16.67199999978766</x:v>
      </x:c>
      <x:c r="AC169" s="61" t="n">
        <x:v>0</x:v>
      </x:c>
      <x:c r="AD169" s="61" t="n">
        <x:v>33792</x:v>
      </x:c>
      <x:c r="AE169" s="45" t="b">
        <x:v>1</x:v>
      </x:c>
      <x:c r="AF169" s="45" t="b">
        <x:v>1</x:v>
      </x:c>
      <x:c r="AG169" s="45" t="b">
        <x:v>1</x:v>
      </x:c>
      <x:c r="AH169" s="45" t="b">
        <x:v>1</x:v>
      </x:c>
      <x:c r="AI169" s="36" t="n">
        <x:v>0</x:v>
      </x:c>
      <x:c r="AJ169" s="59"/>
      <x:c r="AK169" s="45" t="b">
        <x:v>1</x:v>
      </x:c>
    </x:row>
    <x:row r="170" ht="22" customHeight="1">
      <x:c r="A170" s="24" t="str">
        <x:v>article1-unified-v4-2-fb3f101b-20260903-000401-default-f05-p3-jcs4</x:v>
      </x:c>
      <x:c r="B170" s="24" t="str">
        <x:v>default</x:v>
      </x:c>
      <x:c r="C170" s="24" t="str">
        <x:v>jcs4</x:v>
      </x:c>
      <x:c r="D170" s="36" t="n">
        <x:v>5</x:v>
      </x:c>
      <x:c r="E170" s="36" t="n">
        <x:v>5</x:v>
      </x:c>
      <x:c r="F170" s="36" t="n">
        <x:v>3</x:v>
      </x:c>
      <x:c r="G170" s="36" t="n">
        <x:v>5</x:v>
      </x:c>
      <x:c r="H170" s="43" t="n">
        <x:v>5941.288300324231</x:v>
      </x:c>
      <x:c r="I170" s="43" t="n">
        <x:v>4127.856200095266</x:v>
      </x:c>
      <x:c r="J170" s="43" t="n">
        <x:v>5903.4692998975515</x:v>
      </x:c>
      <x:c r="K170" s="43" t="n">
        <x:v>4107.121600303799</x:v>
      </x:c>
      <x:c r="L170" s="45" t="b">
        <x:v>1</x:v>
      </x:c>
      <x:c r="M170" s="45" t="b">
        <x:v>1</x:v>
      </x:c>
      <x:c r="N170" s="45" t="b">
        <x:v>1</x:v>
      </x:c>
      <x:c r="O170" s="46" t="n">
        <x:v>2</x:v>
      </x:c>
      <x:c r="P170" s="46" t="n">
        <x:v>2</x:v>
      </x:c>
      <x:c r="Q170" s="46" t="n">
        <x:v>2.9219999997876585</x:v>
      </x:c>
      <x:c r="R170" s="46" t="n">
        <x:v>10</x:v>
      </x:c>
      <x:c r="S170" s="46" t="n">
        <x:v>10</x:v>
      </x:c>
      <x:c r="T170" s="46" t="n">
        <x:v>12.094000000040978</x:v>
      </x:c>
      <x:c r="U170" s="46" t="n">
        <x:v>16.813000000081956</x:v>
      </x:c>
      <x:c r="V170" s="46" t="n">
        <x:v>2</x:v>
      </x:c>
      <x:c r="W170" s="46" t="n">
        <x:v>2</x:v>
      </x:c>
      <x:c r="X170" s="46" t="n">
        <x:v>3.3280000002123415</x:v>
      </x:c>
      <x:c r="Y170" s="46" t="n">
        <x:v>10</x:v>
      </x:c>
      <x:c r="Z170" s="46" t="n">
        <x:v>10</x:v>
      </x:c>
      <x:c r="AA170" s="46" t="n">
        <x:v>12.092999999877065</x:v>
      </x:c>
      <x:c r="AB170" s="46" t="n">
        <x:v>16.75</x:v>
      </x:c>
      <x:c r="AC170" s="61" t="n">
        <x:v>0</x:v>
      </x:c>
      <x:c r="AD170" s="61" t="n">
        <x:v>37888</x:v>
      </x:c>
      <x:c r="AE170" s="45" t="b">
        <x:v>1</x:v>
      </x:c>
      <x:c r="AF170" s="45" t="b">
        <x:v>1</x:v>
      </x:c>
      <x:c r="AG170" s="45" t="b">
        <x:v>1</x:v>
      </x:c>
      <x:c r="AH170" s="45" t="b">
        <x:v>1</x:v>
      </x:c>
      <x:c r="AI170" s="36" t="n">
        <x:v>0</x:v>
      </x:c>
      <x:c r="AJ170" s="59"/>
      <x:c r="AK170" s="45" t="b">
        <x:v>1</x:v>
      </x:c>
    </x:row>
    <x:row r="171" ht="22" customHeight="1">
      <x:c r="A171" s="24" t="str">
        <x:v>article1-unified-v4-2-fb3f101b-20260903-000401-default-f06-p5-jcs4</x:v>
      </x:c>
      <x:c r="B171" s="24" t="str">
        <x:v>default</x:v>
      </x:c>
      <x:c r="C171" s="24" t="str">
        <x:v>jcs4</x:v>
      </x:c>
      <x:c r="D171" s="36" t="n">
        <x:v>6</x:v>
      </x:c>
      <x:c r="E171" s="36" t="n">
        <x:v>6</x:v>
      </x:c>
      <x:c r="F171" s="36" t="n">
        <x:v>5</x:v>
      </x:c>
      <x:c r="G171" s="36" t="n">
        <x:v>1</x:v>
      </x:c>
      <x:c r="H171" s="43" t="n">
        <x:v>7074.966700281948</x:v>
      </x:c>
      <x:c r="I171" s="43" t="n">
        <x:v>4131.994700059295</x:v>
      </x:c>
      <x:c r="J171" s="43" t="n">
        <x:v>6209.862200077623</x:v>
      </x:c>
      <x:c r="K171" s="43" t="n">
        <x:v>4117.485200054944</x:v>
      </x:c>
      <x:c r="L171" s="45" t="b">
        <x:v>1</x:v>
      </x:c>
      <x:c r="M171" s="45" t="b">
        <x:v>1</x:v>
      </x:c>
      <x:c r="N171" s="45" t="b">
        <x:v>1</x:v>
      </x:c>
      <x:c r="O171" s="46" t="n">
        <x:v>2</x:v>
      </x:c>
      <x:c r="P171" s="46" t="n">
        <x:v>2</x:v>
      </x:c>
      <x:c r="Q171" s="46" t="n">
        <x:v>3.1719999997876585</x:v>
      </x:c>
      <x:c r="R171" s="46" t="n">
        <x:v>10</x:v>
      </x:c>
      <x:c r="S171" s="46" t="n">
        <x:v>10</x:v>
      </x:c>
      <x:c r="T171" s="46" t="n">
        <x:v>12.07799999974668</x:v>
      </x:c>
      <x:c r="U171" s="46" t="n">
        <x:v>16.483999999705702</x:v>
      </x:c>
      <x:c r="V171" s="46" t="n">
        <x:v>2</x:v>
      </x:c>
      <x:c r="W171" s="46" t="n">
        <x:v>2</x:v>
      </x:c>
      <x:c r="X171" s="46" t="n">
        <x:v>3.094000000040978</x:v>
      </x:c>
      <x:c r="Y171" s="46" t="n">
        <x:v>10</x:v>
      </x:c>
      <x:c r="Z171" s="46" t="n">
        <x:v>10</x:v>
      </x:c>
      <x:c r="AA171" s="46" t="n">
        <x:v>12.125</x:v>
      </x:c>
      <x:c r="AB171" s="46" t="n">
        <x:v>16.655999999959022</x:v>
      </x:c>
      <x:c r="AC171" s="61" t="n">
        <x:v>149862400</x:v>
      </x:c>
      <x:c r="AD171" s="61" t="n">
        <x:v>-17071104</x:v>
      </x:c>
      <x:c r="AE171" s="45" t="b">
        <x:v>0</x:v>
      </x:c>
      <x:c r="AF171" s="45" t="b">
        <x:v>1</x:v>
      </x:c>
      <x:c r="AG171" s="45" t="b">
        <x:v>1</x:v>
      </x:c>
      <x:c r="AH171" s="45" t="b">
        <x:v>1</x:v>
      </x:c>
      <x:c r="AI171" s="36" t="n">
        <x:v>0</x:v>
      </x:c>
      <x:c r="AJ171" s="59"/>
      <x:c r="AK171" s="45" t="b">
        <x:v>1</x:v>
      </x:c>
    </x:row>
    <x:row r="172" ht="22" customHeight="1">
      <x:c r="A172" s="24" t="str">
        <x:v>article1-unified-v4-2-fb3f101b-20260903-000401-default-f06-p5-jcs4</x:v>
      </x:c>
      <x:c r="B172" s="24" t="str">
        <x:v>default</x:v>
      </x:c>
      <x:c r="C172" s="24" t="str">
        <x:v>jcs4</x:v>
      </x:c>
      <x:c r="D172" s="36" t="n">
        <x:v>6</x:v>
      </x:c>
      <x:c r="E172" s="36" t="n">
        <x:v>6</x:v>
      </x:c>
      <x:c r="F172" s="36" t="n">
        <x:v>5</x:v>
      </x:c>
      <x:c r="G172" s="36" t="n">
        <x:v>2</x:v>
      </x:c>
      <x:c r="H172" s="43" t="n">
        <x:v>6116.605500224978</x:v>
      </x:c>
      <x:c r="I172" s="43" t="n">
        <x:v>4109.414800070226</x:v>
      </x:c>
      <x:c r="J172" s="43" t="n">
        <x:v>6219.703700393438</x:v>
      </x:c>
      <x:c r="K172" s="43" t="n">
        <x:v>4111.302400007844</x:v>
      </x:c>
      <x:c r="L172" s="45" t="b">
        <x:v>1</x:v>
      </x:c>
      <x:c r="M172" s="45" t="b">
        <x:v>1</x:v>
      </x:c>
      <x:c r="N172" s="45" t="b">
        <x:v>1</x:v>
      </x:c>
      <x:c r="O172" s="46" t="n">
        <x:v>2</x:v>
      </x:c>
      <x:c r="P172" s="46" t="n">
        <x:v>2</x:v>
      </x:c>
      <x:c r="Q172" s="46" t="n">
        <x:v>3.25</x:v>
      </x:c>
      <x:c r="R172" s="46" t="n">
        <x:v>10</x:v>
      </x:c>
      <x:c r="S172" s="46" t="n">
        <x:v>10</x:v>
      </x:c>
      <x:c r="T172" s="46" t="n">
        <x:v>12.094000000040978</x:v>
      </x:c>
      <x:c r="U172" s="46" t="n">
        <x:v>16.344000000040978</x:v>
      </x:c>
      <x:c r="V172" s="46" t="n">
        <x:v>2</x:v>
      </x:c>
      <x:c r="W172" s="46" t="n">
        <x:v>2.0159999998286366</x:v>
      </x:c>
      <x:c r="X172" s="46" t="n">
        <x:v>3.344000000040978</x:v>
      </x:c>
      <x:c r="Y172" s="46" t="n">
        <x:v>10</x:v>
      </x:c>
      <x:c r="Z172" s="46" t="n">
        <x:v>10</x:v>
      </x:c>
      <x:c r="AA172" s="46" t="n">
        <x:v>12.094000000040978</x:v>
      </x:c>
      <x:c r="AB172" s="46" t="n">
        <x:v>16.532000000122935</x:v>
      </x:c>
      <x:c r="AC172" s="61" t="n">
        <x:v>0</x:v>
      </x:c>
      <x:c r="AD172" s="61" t="n">
        <x:v>62464</x:v>
      </x:c>
      <x:c r="AE172" s="45" t="b">
        <x:v>1</x:v>
      </x:c>
      <x:c r="AF172" s="45" t="b">
        <x:v>1</x:v>
      </x:c>
      <x:c r="AG172" s="45" t="b">
        <x:v>1</x:v>
      </x:c>
      <x:c r="AH172" s="45" t="b">
        <x:v>1</x:v>
      </x:c>
      <x:c r="AI172" s="36" t="n">
        <x:v>0</x:v>
      </x:c>
      <x:c r="AJ172" s="59"/>
      <x:c r="AK172" s="45" t="b">
        <x:v>1</x:v>
      </x:c>
    </x:row>
    <x:row r="173" ht="22" customHeight="1">
      <x:c r="A173" s="24" t="str">
        <x:v>article1-unified-v4-2-fb3f101b-20260903-000401-default-f06-p5-jcs4</x:v>
      </x:c>
      <x:c r="B173" s="24" t="str">
        <x:v>default</x:v>
      </x:c>
      <x:c r="C173" s="24" t="str">
        <x:v>jcs4</x:v>
      </x:c>
      <x:c r="D173" s="36" t="n">
        <x:v>6</x:v>
      </x:c>
      <x:c r="E173" s="36" t="n">
        <x:v>6</x:v>
      </x:c>
      <x:c r="F173" s="36" t="n">
        <x:v>5</x:v>
      </x:c>
      <x:c r="G173" s="36" t="n">
        <x:v>3</x:v>
      </x:c>
      <x:c r="H173" s="43" t="n">
        <x:v>5981.2249997630715</x:v>
      </x:c>
      <x:c r="I173" s="43" t="n">
        <x:v>4117.749799974263</x:v>
      </x:c>
      <x:c r="J173" s="43" t="n">
        <x:v>6030.6450999341905</x:v>
      </x:c>
      <x:c r="K173" s="43" t="n">
        <x:v>4129.025499802083</x:v>
      </x:c>
      <x:c r="L173" s="45" t="b">
        <x:v>1</x:v>
      </x:c>
      <x:c r="M173" s="45" t="b">
        <x:v>1</x:v>
      </x:c>
      <x:c r="N173" s="45" t="b">
        <x:v>1</x:v>
      </x:c>
      <x:c r="O173" s="46" t="n">
        <x:v>2</x:v>
      </x:c>
      <x:c r="P173" s="46" t="n">
        <x:v>2</x:v>
      </x:c>
      <x:c r="Q173" s="46" t="n">
        <x:v>3</x:v>
      </x:c>
      <x:c r="R173" s="46" t="n">
        <x:v>10</x:v>
      </x:c>
      <x:c r="S173" s="46" t="n">
        <x:v>10</x:v>
      </x:c>
      <x:c r="T173" s="46" t="n">
        <x:v>12.094000000040978</x:v>
      </x:c>
      <x:c r="U173" s="46" t="n">
        <x:v>16.655999999959022</x:v>
      </x:c>
      <x:c r="V173" s="46" t="n">
        <x:v>2</x:v>
      </x:c>
      <x:c r="W173" s="46" t="n">
        <x:v>2</x:v>
      </x:c>
      <x:c r="X173" s="46" t="n">
        <x:v>2.9840000001713634</x:v>
      </x:c>
      <x:c r="Y173" s="46" t="n">
        <x:v>10</x:v>
      </x:c>
      <x:c r="Z173" s="46" t="n">
        <x:v>10</x:v>
      </x:c>
      <x:c r="AA173" s="46" t="n">
        <x:v>12.109000000171363</x:v>
      </x:c>
      <x:c r="AB173" s="46" t="n">
        <x:v>16.842999999877065</x:v>
      </x:c>
      <x:c r="AC173" s="61" t="n">
        <x:v>0</x:v>
      </x:c>
      <x:c r="AD173" s="61" t="n">
        <x:v>76800</x:v>
      </x:c>
      <x:c r="AE173" s="45" t="b">
        <x:v>1</x:v>
      </x:c>
      <x:c r="AF173" s="45" t="b">
        <x:v>1</x:v>
      </x:c>
      <x:c r="AG173" s="45" t="b">
        <x:v>1</x:v>
      </x:c>
      <x:c r="AH173" s="45" t="b">
        <x:v>1</x:v>
      </x:c>
      <x:c r="AI173" s="36" t="n">
        <x:v>0</x:v>
      </x:c>
      <x:c r="AJ173" s="59"/>
      <x:c r="AK173" s="45" t="b">
        <x:v>1</x:v>
      </x:c>
    </x:row>
    <x:row r="174" ht="22" customHeight="1">
      <x:c r="A174" s="24" t="str">
        <x:v>article1-unified-v4-2-fb3f101b-20260903-000401-default-f06-p5-jcs4</x:v>
      </x:c>
      <x:c r="B174" s="24" t="str">
        <x:v>default</x:v>
      </x:c>
      <x:c r="C174" s="24" t="str">
        <x:v>jcs4</x:v>
      </x:c>
      <x:c r="D174" s="36" t="n">
        <x:v>6</x:v>
      </x:c>
      <x:c r="E174" s="36" t="n">
        <x:v>6</x:v>
      </x:c>
      <x:c r="F174" s="36" t="n">
        <x:v>5</x:v>
      </x:c>
      <x:c r="G174" s="36" t="n">
        <x:v>4</x:v>
      </x:c>
      <x:c r="H174" s="43" t="n">
        <x:v>5977.423099800944</x:v>
      </x:c>
      <x:c r="I174" s="43" t="n">
        <x:v>4138.071299996227</x:v>
      </x:c>
      <x:c r="J174" s="43" t="n">
        <x:v>6096.216999925673</x:v>
      </x:c>
      <x:c r="K174" s="43" t="n">
        <x:v>4122.226899955422</x:v>
      </x:c>
      <x:c r="L174" s="45" t="b">
        <x:v>1</x:v>
      </x:c>
      <x:c r="M174" s="45" t="b">
        <x:v>1</x:v>
      </x:c>
      <x:c r="N174" s="45" t="b">
        <x:v>1</x:v>
      </x:c>
      <x:c r="O174" s="46" t="n">
        <x:v>2</x:v>
      </x:c>
      <x:c r="P174" s="46" t="n">
        <x:v>2</x:v>
      </x:c>
      <x:c r="Q174" s="46" t="n">
        <x:v>2.890000000130385</x:v>
      </x:c>
      <x:c r="R174" s="46" t="n">
        <x:v>10</x:v>
      </x:c>
      <x:c r="S174" s="46" t="n">
        <x:v>10.015000000130385</x:v>
      </x:c>
      <x:c r="T174" s="46" t="n">
        <x:v>12.092999999877065</x:v>
      </x:c>
      <x:c r="U174" s="46" t="n">
        <x:v>16.671000000089407</x:v>
      </x:c>
      <x:c r="V174" s="46" t="n">
        <x:v>2</x:v>
      </x:c>
      <x:c r="W174" s="46" t="n">
        <x:v>2</x:v>
      </x:c>
      <x:c r="X174" s="46" t="n">
        <x:v>3.234999999869615</x:v>
      </x:c>
      <x:c r="Y174" s="46" t="n">
        <x:v>10</x:v>
      </x:c>
      <x:c r="Z174" s="46" t="n">
        <x:v>10</x:v>
      </x:c>
      <x:c r="AA174" s="46" t="n">
        <x:v>12.109999999869615</x:v>
      </x:c>
      <x:c r="AB174" s="46" t="n">
        <x:v>16.625</x:v>
      </x:c>
      <x:c r="AC174" s="61" t="n">
        <x:v>24001536</x:v>
      </x:c>
      <x:c r="AD174" s="61" t="n">
        <x:v>-8192</x:v>
      </x:c>
      <x:c r="AE174" s="45" t="b">
        <x:v>1</x:v>
      </x:c>
      <x:c r="AF174" s="45" t="b">
        <x:v>1</x:v>
      </x:c>
      <x:c r="AG174" s="45" t="b">
        <x:v>1</x:v>
      </x:c>
      <x:c r="AH174" s="45" t="b">
        <x:v>1</x:v>
      </x:c>
      <x:c r="AI174" s="36" t="n">
        <x:v>0</x:v>
      </x:c>
      <x:c r="AJ174" s="59"/>
      <x:c r="AK174" s="45" t="b">
        <x:v>1</x:v>
      </x:c>
    </x:row>
    <x:row r="175" ht="22" customHeight="1">
      <x:c r="A175" s="24" t="str">
        <x:v>article1-unified-v4-2-fb3f101b-20260903-000401-default-f06-p5-jcs4</x:v>
      </x:c>
      <x:c r="B175" s="24" t="str">
        <x:v>default</x:v>
      </x:c>
      <x:c r="C175" s="24" t="str">
        <x:v>jcs4</x:v>
      </x:c>
      <x:c r="D175" s="36" t="n">
        <x:v>6</x:v>
      </x:c>
      <x:c r="E175" s="36" t="n">
        <x:v>6</x:v>
      </x:c>
      <x:c r="F175" s="36" t="n">
        <x:v>5</x:v>
      </x:c>
      <x:c r="G175" s="36" t="n">
        <x:v>5</x:v>
      </x:c>
      <x:c r="H175" s="43" t="n">
        <x:v>6061.585899908096</x:v>
      </x:c>
      <x:c r="I175" s="43" t="n">
        <x:v>4127.807999961078</x:v>
      </x:c>
      <x:c r="J175" s="43" t="n">
        <x:v>6038.289399817586</x:v>
      </x:c>
      <x:c r="K175" s="43" t="n">
        <x:v>4124.116699676961</x:v>
      </x:c>
      <x:c r="L175" s="45" t="b">
        <x:v>1</x:v>
      </x:c>
      <x:c r="M175" s="45" t="b">
        <x:v>1</x:v>
      </x:c>
      <x:c r="N175" s="45" t="b">
        <x:v>1</x:v>
      </x:c>
      <x:c r="O175" s="46" t="n">
        <x:v>2</x:v>
      </x:c>
      <x:c r="P175" s="46" t="n">
        <x:v>2</x:v>
      </x:c>
      <x:c r="Q175" s="46" t="n">
        <x:v>2.969000000040978</x:v>
      </x:c>
      <x:c r="R175" s="46" t="n">
        <x:v>10</x:v>
      </x:c>
      <x:c r="S175" s="46" t="n">
        <x:v>10</x:v>
      </x:c>
      <x:c r="T175" s="46" t="n">
        <x:v>12.109000000171363</x:v>
      </x:c>
      <x:c r="U175" s="46" t="n">
        <x:v>16.561999999918044</x:v>
      </x:c>
      <x:c r="V175" s="46" t="n">
        <x:v>2</x:v>
      </x:c>
      <x:c r="W175" s="46" t="n">
        <x:v>2</x:v>
      </x:c>
      <x:c r="X175" s="46" t="n">
        <x:v>3.0320000001229346</x:v>
      </x:c>
      <x:c r="Y175" s="46" t="n">
        <x:v>10</x:v>
      </x:c>
      <x:c r="Z175" s="46" t="n">
        <x:v>10</x:v>
      </x:c>
      <x:c r="AA175" s="46" t="n">
        <x:v>12.094000000040978</x:v>
      </x:c>
      <x:c r="AB175" s="46" t="n">
        <x:v>16.92200000025332</x:v>
      </x:c>
      <x:c r="AC175" s="61" t="n">
        <x:v>15716352</x:v>
      </x:c>
      <x:c r="AD175" s="61" t="n">
        <x:v>69632</x:v>
      </x:c>
      <x:c r="AE175" s="45" t="b">
        <x:v>1</x:v>
      </x:c>
      <x:c r="AF175" s="45" t="b">
        <x:v>1</x:v>
      </x:c>
      <x:c r="AG175" s="45" t="b">
        <x:v>1</x:v>
      </x:c>
      <x:c r="AH175" s="45" t="b">
        <x:v>1</x:v>
      </x:c>
      <x:c r="AI175" s="36" t="n">
        <x:v>0</x:v>
      </x:c>
      <x:c r="AJ175" s="59"/>
      <x:c r="AK175" s="45" t="b">
        <x:v>1</x:v>
      </x:c>
    </x:row>
    <x:row r="176" ht="22" customHeight="1">
      <x:c r="A176" s="24" t="str">
        <x:v>article1-unified-v4-2-fb3f101b-20260903-000401-default-f01-p5-jcs321</x:v>
      </x:c>
      <x:c r="B176" s="24" t="str">
        <x:v>default</x:v>
      </x:c>
      <x:c r="C176" s="24" t="str">
        <x:v>jcs321</x:v>
      </x:c>
      <x:c r="D176" s="36" t="n">
        <x:v>1</x:v>
      </x:c>
      <x:c r="E176" s="36" t="n">
        <x:v>1</x:v>
      </x:c>
      <x:c r="F176" s="36" t="n">
        <x:v>5</x:v>
      </x:c>
      <x:c r="G176" s="36" t="n">
        <x:v>1</x:v>
      </x:c>
      <x:c r="H176" s="43" t="n">
        <x:v>7319.243800360709</x:v>
      </x:c>
      <x:c r="I176" s="43" t="n">
        <x:v>4113.00850007683</x:v>
      </x:c>
      <x:c r="J176" s="43" t="n">
        <x:v>6346.008599735796</x:v>
      </x:c>
      <x:c r="K176" s="43" t="n">
        <x:v>4097.392300143838</x:v>
      </x:c>
      <x:c r="L176" s="45" t="b">
        <x:v>1</x:v>
      </x:c>
      <x:c r="M176" s="45" t="b">
        <x:v>1</x:v>
      </x:c>
      <x:c r="N176" s="45" t="b">
        <x:v>1</x:v>
      </x:c>
      <x:c r="O176" s="46" t="n">
        <x:v>2</x:v>
      </x:c>
      <x:c r="P176" s="46" t="n">
        <x:v>2</x:v>
      </x:c>
      <x:c r="Q176" s="46" t="n">
        <x:v>3.25</x:v>
      </x:c>
      <x:c r="R176" s="46" t="n">
        <x:v>10</x:v>
      </x:c>
      <x:c r="S176" s="46" t="n">
        <x:v>10</x:v>
      </x:c>
      <x:c r="T176" s="46" t="n">
        <x:v>12.078000000212342</x:v>
      </x:c>
      <x:c r="U176" s="46" t="n">
        <x:v>16.782000000122935</x:v>
      </x:c>
      <x:c r="V176" s="46" t="n">
        <x:v>2</x:v>
      </x:c>
      <x:c r="W176" s="46" t="n">
        <x:v>2</x:v>
      </x:c>
      <x:c r="X176" s="46" t="n">
        <x:v>2.9380000000819564</x:v>
      </x:c>
      <x:c r="Y176" s="46" t="n">
        <x:v>10</x:v>
      </x:c>
      <x:c r="Z176" s="46" t="n">
        <x:v>10</x:v>
      </x:c>
      <x:c r="AA176" s="46" t="n">
        <x:v>12.094000000040978</x:v>
      </x:c>
      <x:c r="AB176" s="46" t="n">
        <x:v>17</x:v>
      </x:c>
      <x:c r="AC176" s="61" t="n">
        <x:v>113885184</x:v>
      </x:c>
      <x:c r="AD176" s="61" t="n">
        <x:v>-13617152</x:v>
      </x:c>
      <x:c r="AE176" s="45" t="b">
        <x:v>0</x:v>
      </x:c>
      <x:c r="AF176" s="45" t="b">
        <x:v>1</x:v>
      </x:c>
      <x:c r="AG176" s="45" t="b">
        <x:v>1</x:v>
      </x:c>
      <x:c r="AH176" s="45" t="b">
        <x:v>0</x:v>
      </x:c>
      <x:c r="AI176" s="36" t="n">
        <x:v>2</x:v>
      </x:c>
      <x:c r="AJ176" s="59" t="str">
        <x:v>JCS-ElementEventQueue-Thread-4#49 | JCS-ElementEventQueue-Thread-7#91</x:v>
      </x:c>
      <x:c r="AK176" s="45" t="b">
        <x:v>0</x:v>
      </x:c>
    </x:row>
    <x:row r="177" ht="22" customHeight="1">
      <x:c r="A177" s="24" t="str">
        <x:v>article1-unified-v4-2-fb3f101b-20260903-000401-default-f01-p5-jcs321</x:v>
      </x:c>
      <x:c r="B177" s="24" t="str">
        <x:v>default</x:v>
      </x:c>
      <x:c r="C177" s="24" t="str">
        <x:v>jcs321</x:v>
      </x:c>
      <x:c r="D177" s="36" t="n">
        <x:v>1</x:v>
      </x:c>
      <x:c r="E177" s="36" t="n">
        <x:v>1</x:v>
      </x:c>
      <x:c r="F177" s="36" t="n">
        <x:v>5</x:v>
      </x:c>
      <x:c r="G177" s="36" t="n">
        <x:v>2</x:v>
      </x:c>
      <x:c r="H177" s="43" t="n">
        <x:v>6334.525899961591</x:v>
      </x:c>
      <x:c r="I177" s="43" t="n">
        <x:v>4120.015500113368</x:v>
      </x:c>
      <x:c r="J177" s="43" t="n">
        <x:v>6319.156600162387</x:v>
      </x:c>
      <x:c r="K177" s="43" t="n">
        <x:v>4139.598300214857</x:v>
      </x:c>
      <x:c r="L177" s="45" t="b">
        <x:v>1</x:v>
      </x:c>
      <x:c r="M177" s="45" t="b">
        <x:v>1</x:v>
      </x:c>
      <x:c r="N177" s="45" t="b">
        <x:v>1</x:v>
      </x:c>
      <x:c r="O177" s="46" t="n">
        <x:v>2</x:v>
      </x:c>
      <x:c r="P177" s="46" t="n">
        <x:v>2</x:v>
      </x:c>
      <x:c r="Q177" s="46" t="n">
        <x:v>3.1720000002533197</x:v>
      </x:c>
      <x:c r="R177" s="46" t="n">
        <x:v>10</x:v>
      </x:c>
      <x:c r="S177" s="46" t="n">
        <x:v>10</x:v>
      </x:c>
      <x:c r="T177" s="46" t="n">
        <x:v>12.078000000212342</x:v>
      </x:c>
      <x:c r="U177" s="46" t="n">
        <x:v>16.79700000025332</x:v>
      </x:c>
      <x:c r="V177" s="46" t="n">
        <x:v>2</x:v>
      </x:c>
      <x:c r="W177" s="46" t="n">
        <x:v>2</x:v>
      </x:c>
      <x:c r="X177" s="46" t="n">
        <x:v>3.2029999997466803</x:v>
      </x:c>
      <x:c r="Y177" s="46" t="n">
        <x:v>10</x:v>
      </x:c>
      <x:c r="Z177" s="46" t="n">
        <x:v>10</x:v>
      </x:c>
      <x:c r="AA177" s="46" t="n">
        <x:v>12.092999999877065</x:v>
      </x:c>
      <x:c r="AB177" s="46" t="n">
        <x:v>16.905999999959022</x:v>
      </x:c>
      <x:c r="AC177" s="61" t="n">
        <x:v>0</x:v>
      </x:c>
      <x:c r="AD177" s="61" t="n">
        <x:v>8450048</x:v>
      </x:c>
      <x:c r="AE177" s="45" t="b">
        <x:v>0</x:v>
      </x:c>
      <x:c r="AF177" s="45" t="b">
        <x:v>1</x:v>
      </x:c>
      <x:c r="AG177" s="45" t="b">
        <x:v>1</x:v>
      </x:c>
      <x:c r="AH177" s="45" t="b">
        <x:v>0</x:v>
      </x:c>
      <x:c r="AI177" s="36" t="n">
        <x:v>2</x:v>
      </x:c>
      <x:c r="AJ177" s="59" t="str">
        <x:v>JCS-ElementEventQueue-Thread-10#133 | JCS-ElementEventQueue-Thread-13#176</x:v>
      </x:c>
      <x:c r="AK177" s="45" t="b">
        <x:v>0</x:v>
      </x:c>
    </x:row>
    <x:row r="178" ht="22" customHeight="1">
      <x:c r="A178" s="24" t="str">
        <x:v>article1-unified-v4-2-fb3f101b-20260903-000401-default-f01-p5-jcs321</x:v>
      </x:c>
      <x:c r="B178" s="24" t="str">
        <x:v>default</x:v>
      </x:c>
      <x:c r="C178" s="24" t="str">
        <x:v>jcs321</x:v>
      </x:c>
      <x:c r="D178" s="36" t="n">
        <x:v>1</x:v>
      </x:c>
      <x:c r="E178" s="36" t="n">
        <x:v>1</x:v>
      </x:c>
      <x:c r="F178" s="36" t="n">
        <x:v>5</x:v>
      </x:c>
      <x:c r="G178" s="36" t="n">
        <x:v>3</x:v>
      </x:c>
      <x:c r="H178" s="43" t="n">
        <x:v>6197.794899810106</x:v>
      </x:c>
      <x:c r="I178" s="43" t="n">
        <x:v>4120.696199592203</x:v>
      </x:c>
      <x:c r="J178" s="43" t="n">
        <x:v>6096.990299876779</x:v>
      </x:c>
      <x:c r="K178" s="43" t="n">
        <x:v>4116.058900021017</x:v>
      </x:c>
      <x:c r="L178" s="45" t="b">
        <x:v>1</x:v>
      </x:c>
      <x:c r="M178" s="45" t="b">
        <x:v>1</x:v>
      </x:c>
      <x:c r="N178" s="45" t="b">
        <x:v>1</x:v>
      </x:c>
      <x:c r="O178" s="46" t="n">
        <x:v>2</x:v>
      </x:c>
      <x:c r="P178" s="46" t="n">
        <x:v>2</x:v>
      </x:c>
      <x:c r="Q178" s="46" t="n">
        <x:v>3.125</x:v>
      </x:c>
      <x:c r="R178" s="46" t="n">
        <x:v>10</x:v>
      </x:c>
      <x:c r="S178" s="46" t="n">
        <x:v>10.016000000294298</x:v>
      </x:c>
      <x:c r="T178" s="46" t="n">
        <x:v>12.094000000040978</x:v>
      </x:c>
      <x:c r="U178" s="46" t="n">
        <x:v>16.67200000025332</x:v>
      </x:c>
      <x:c r="V178" s="46" t="n">
        <x:v>2</x:v>
      </x:c>
      <x:c r="W178" s="46" t="n">
        <x:v>2</x:v>
      </x:c>
      <x:c r="X178" s="46" t="n">
        <x:v>3.030999999959022</x:v>
      </x:c>
      <x:c r="Y178" s="46" t="n">
        <x:v>10</x:v>
      </x:c>
      <x:c r="Z178" s="46" t="n">
        <x:v>10</x:v>
      </x:c>
      <x:c r="AA178" s="46" t="n">
        <x:v>12.094000000040978</x:v>
      </x:c>
      <x:c r="AB178" s="46" t="n">
        <x:v>16.936999999918044</x:v>
      </x:c>
      <x:c r="AC178" s="61" t="n">
        <x:v>0</x:v>
      </x:c>
      <x:c r="AD178" s="61" t="n">
        <x:v>8474624</x:v>
      </x:c>
      <x:c r="AE178" s="45" t="b">
        <x:v>0</x:v>
      </x:c>
      <x:c r="AF178" s="45" t="b">
        <x:v>1</x:v>
      </x:c>
      <x:c r="AG178" s="45" t="b">
        <x:v>1</x:v>
      </x:c>
      <x:c r="AH178" s="45" t="b">
        <x:v>0</x:v>
      </x:c>
      <x:c r="AI178" s="36" t="n">
        <x:v>2</x:v>
      </x:c>
      <x:c r="AJ178" s="59" t="str">
        <x:v>JCS-ElementEventQueue-Thread-16#218 | JCS-ElementEventQueue-Thread-19#261</x:v>
      </x:c>
      <x:c r="AK178" s="45" t="b">
        <x:v>0</x:v>
      </x:c>
    </x:row>
    <x:row r="179" ht="22" customHeight="1">
      <x:c r="A179" s="24" t="str">
        <x:v>article1-unified-v4-2-fb3f101b-20260903-000401-default-f01-p5-jcs321</x:v>
      </x:c>
      <x:c r="B179" s="24" t="str">
        <x:v>default</x:v>
      </x:c>
      <x:c r="C179" s="24" t="str">
        <x:v>jcs321</x:v>
      </x:c>
      <x:c r="D179" s="36" t="n">
        <x:v>1</x:v>
      </x:c>
      <x:c r="E179" s="36" t="n">
        <x:v>1</x:v>
      </x:c>
      <x:c r="F179" s="36" t="n">
        <x:v>5</x:v>
      </x:c>
      <x:c r="G179" s="36" t="n">
        <x:v>4</x:v>
      </x:c>
      <x:c r="H179" s="43" t="n">
        <x:v>6044.319100212306</x:v>
      </x:c>
      <x:c r="I179" s="43" t="n">
        <x:v>4117.540100123733</x:v>
      </x:c>
      <x:c r="J179" s="43" t="n">
        <x:v>6040.089000016451</x:v>
      </x:c>
      <x:c r="K179" s="43" t="n">
        <x:v>4108.787200413644</x:v>
      </x:c>
      <x:c r="L179" s="45" t="b">
        <x:v>1</x:v>
      </x:c>
      <x:c r="M179" s="45" t="b">
        <x:v>1</x:v>
      </x:c>
      <x:c r="N179" s="45" t="b">
        <x:v>1</x:v>
      </x:c>
      <x:c r="O179" s="46" t="n">
        <x:v>2</x:v>
      </x:c>
      <x:c r="P179" s="46" t="n">
        <x:v>2</x:v>
      </x:c>
      <x:c r="Q179" s="46" t="n">
        <x:v>3.375</x:v>
      </x:c>
      <x:c r="R179" s="46" t="n">
        <x:v>10</x:v>
      </x:c>
      <x:c r="S179" s="46" t="n">
        <x:v>10</x:v>
      </x:c>
      <x:c r="T179" s="46" t="n">
        <x:v>12.094000000040978</x:v>
      </x:c>
      <x:c r="U179" s="46" t="n">
        <x:v>17.469000000040978</x:v>
      </x:c>
      <x:c r="V179" s="46" t="n">
        <x:v>2</x:v>
      </x:c>
      <x:c r="W179" s="46" t="n">
        <x:v>2</x:v>
      </x:c>
      <x:c r="X179" s="46" t="n">
        <x:v>3.375</x:v>
      </x:c>
      <x:c r="Y179" s="46" t="n">
        <x:v>10</x:v>
      </x:c>
      <x:c r="Z179" s="46" t="n">
        <x:v>10</x:v>
      </x:c>
      <x:c r="AA179" s="46" t="n">
        <x:v>12.110000000335276</x:v>
      </x:c>
      <x:c r="AB179" s="46" t="n">
        <x:v>16.969000000040978</x:v>
      </x:c>
      <x:c r="AC179" s="61" t="n">
        <x:v>0</x:v>
      </x:c>
      <x:c r="AD179" s="61" t="n">
        <x:v>8521728</x:v>
      </x:c>
      <x:c r="AE179" s="45" t="b">
        <x:v>0</x:v>
      </x:c>
      <x:c r="AF179" s="45" t="b">
        <x:v>1</x:v>
      </x:c>
      <x:c r="AG179" s="45" t="b">
        <x:v>1</x:v>
      </x:c>
      <x:c r="AH179" s="45" t="b">
        <x:v>0</x:v>
      </x:c>
      <x:c r="AI179" s="36" t="n">
        <x:v>2</x:v>
      </x:c>
      <x:c r="AJ179" s="59" t="str">
        <x:v>JCS-ElementEventQueue-Thread-22#303 | JCS-ElementEventQueue-Thread-25#346</x:v>
      </x:c>
      <x:c r="AK179" s="45" t="b">
        <x:v>0</x:v>
      </x:c>
    </x:row>
    <x:row r="180" ht="22" customHeight="1">
      <x:c r="A180" s="24" t="str">
        <x:v>article1-unified-v4-2-fb3f101b-20260903-000401-default-f01-p5-jcs321</x:v>
      </x:c>
      <x:c r="B180" s="24" t="str">
        <x:v>default</x:v>
      </x:c>
      <x:c r="C180" s="24" t="str">
        <x:v>jcs321</x:v>
      </x:c>
      <x:c r="D180" s="36" t="n">
        <x:v>1</x:v>
      </x:c>
      <x:c r="E180" s="36" t="n">
        <x:v>1</x:v>
      </x:c>
      <x:c r="F180" s="36" t="n">
        <x:v>5</x:v>
      </x:c>
      <x:c r="G180" s="36" t="n">
        <x:v>5</x:v>
      </x:c>
      <x:c r="H180" s="43" t="n">
        <x:v>6108.829599805176</x:v>
      </x:c>
      <x:c r="I180" s="43" t="n">
        <x:v>4114.153299946338</x:v>
      </x:c>
      <x:c r="J180" s="43" t="n">
        <x:v>7556.3602996990085</x:v>
      </x:c>
      <x:c r="K180" s="43" t="n">
        <x:v>4101.349100004882</x:v>
      </x:c>
      <x:c r="L180" s="45" t="b">
        <x:v>1</x:v>
      </x:c>
      <x:c r="M180" s="45" t="b">
        <x:v>1</x:v>
      </x:c>
      <x:c r="N180" s="45" t="b">
        <x:v>1</x:v>
      </x:c>
      <x:c r="O180" s="46" t="n">
        <x:v>2</x:v>
      </x:c>
      <x:c r="P180" s="46" t="n">
        <x:v>2</x:v>
      </x:c>
      <x:c r="Q180" s="46" t="n">
        <x:v>3.125</x:v>
      </x:c>
      <x:c r="R180" s="46" t="n">
        <x:v>10</x:v>
      </x:c>
      <x:c r="S180" s="46" t="n">
        <x:v>10.015999999828637</x:v>
      </x:c>
      <x:c r="T180" s="46" t="n">
        <x:v>12.125</x:v>
      </x:c>
      <x:c r="U180" s="46" t="n">
        <x:v>17.438000000081956</x:v>
      </x:c>
      <x:c r="V180" s="46" t="n">
        <x:v>2</x:v>
      </x:c>
      <x:c r="W180" s="46" t="n">
        <x:v>2</x:v>
      </x:c>
      <x:c r="X180" s="46" t="n">
        <x:v>3.030999999959022</x:v>
      </x:c>
      <x:c r="Y180" s="46" t="n">
        <x:v>10</x:v>
      </x:c>
      <x:c r="Z180" s="46" t="n">
        <x:v>10.014999999664724</x:v>
      </x:c>
      <x:c r="AA180" s="46" t="n">
        <x:v>12.139999999664724</x:v>
      </x:c>
      <x:c r="AB180" s="46" t="n">
        <x:v>17.139999999664724</x:v>
      </x:c>
      <x:c r="AC180" s="61" t="n">
        <x:v>0</x:v>
      </x:c>
      <x:c r="AD180" s="61" t="n">
        <x:v>8480768</x:v>
      </x:c>
      <x:c r="AE180" s="45" t="b">
        <x:v>0</x:v>
      </x:c>
      <x:c r="AF180" s="45" t="b">
        <x:v>1</x:v>
      </x:c>
      <x:c r="AG180" s="45" t="b">
        <x:v>1</x:v>
      </x:c>
      <x:c r="AH180" s="45" t="b">
        <x:v>0</x:v>
      </x:c>
      <x:c r="AI180" s="36" t="n">
        <x:v>2</x:v>
      </x:c>
      <x:c r="AJ180" s="59" t="str">
        <x:v>JCS-ElementEventQueue-Thread-28#388 | JCS-ElementEventQueue-Thread-31#431</x:v>
      </x:c>
      <x:c r="AK180" s="45" t="b">
        <x:v>0</x:v>
      </x:c>
    </x:row>
    <x:row r="181" ht="22" customHeight="1">
      <x:c r="A181" s="24" t="str">
        <x:v>article1-unified-v4-2-fb3f101b-20260903-000401-default-f02-p6-jcs321</x:v>
      </x:c>
      <x:c r="B181" s="24" t="str">
        <x:v>default</x:v>
      </x:c>
      <x:c r="C181" s="24" t="str">
        <x:v>jcs321</x:v>
      </x:c>
      <x:c r="D181" s="36" t="n">
        <x:v>2</x:v>
      </x:c>
      <x:c r="E181" s="36" t="n">
        <x:v>2</x:v>
      </x:c>
      <x:c r="F181" s="36" t="n">
        <x:v>6</x:v>
      </x:c>
      <x:c r="G181" s="36" t="n">
        <x:v>1</x:v>
      </x:c>
      <x:c r="H181" s="43" t="n">
        <x:v>6929.668900091201</x:v>
      </x:c>
      <x:c r="I181" s="43" t="n">
        <x:v>4123.453399632126</x:v>
      </x:c>
      <x:c r="J181" s="43" t="n">
        <x:v>6839.774900116026</x:v>
      </x:c>
      <x:c r="K181" s="43" t="n">
        <x:v>4117.980799637735</x:v>
      </x:c>
      <x:c r="L181" s="45" t="b">
        <x:v>1</x:v>
      </x:c>
      <x:c r="M181" s="45" t="b">
        <x:v>1</x:v>
      </x:c>
      <x:c r="N181" s="45" t="b">
        <x:v>1</x:v>
      </x:c>
      <x:c r="O181" s="46" t="n">
        <x:v>2</x:v>
      </x:c>
      <x:c r="P181" s="46" t="n">
        <x:v>2</x:v>
      </x:c>
      <x:c r="Q181" s="46" t="n">
        <x:v>3.3280000002123415</x:v>
      </x:c>
      <x:c r="R181" s="46" t="n">
        <x:v>10</x:v>
      </x:c>
      <x:c r="S181" s="46" t="n">
        <x:v>10.015000000130385</x:v>
      </x:c>
      <x:c r="T181" s="46" t="n">
        <x:v>12.094000000040978</x:v>
      </x:c>
      <x:c r="U181" s="46" t="n">
        <x:v>16.625</x:v>
      </x:c>
      <x:c r="V181" s="46" t="n">
        <x:v>2</x:v>
      </x:c>
      <x:c r="W181" s="46" t="n">
        <x:v>2</x:v>
      </x:c>
      <x:c r="X181" s="46" t="n">
        <x:v>3.0469999997876585</x:v>
      </x:c>
      <x:c r="Y181" s="46" t="n">
        <x:v>10</x:v>
      </x:c>
      <x:c r="Z181" s="46" t="n">
        <x:v>10</x:v>
      </x:c>
      <x:c r="AA181" s="46" t="n">
        <x:v>12.07799999974668</x:v>
      </x:c>
      <x:c r="AB181" s="46" t="n">
        <x:v>16.780999999959022</x:v>
      </x:c>
      <x:c r="AC181" s="61" t="n">
        <x:v>116366336</x:v>
      </x:c>
      <x:c r="AD181" s="61" t="n">
        <x:v>-13499392</x:v>
      </x:c>
      <x:c r="AE181" s="45" t="b">
        <x:v>0</x:v>
      </x:c>
      <x:c r="AF181" s="45" t="b">
        <x:v>1</x:v>
      </x:c>
      <x:c r="AG181" s="45" t="b">
        <x:v>1</x:v>
      </x:c>
      <x:c r="AH181" s="45" t="b">
        <x:v>0</x:v>
      </x:c>
      <x:c r="AI181" s="36" t="n">
        <x:v>2</x:v>
      </x:c>
      <x:c r="AJ181" s="59" t="str">
        <x:v>JCS-ElementEventQueue-Thread-4#49 | JCS-ElementEventQueue-Thread-7#91</x:v>
      </x:c>
      <x:c r="AK181" s="45" t="b">
        <x:v>0</x:v>
      </x:c>
    </x:row>
    <x:row r="182" ht="22" customHeight="1">
      <x:c r="A182" s="24" t="str">
        <x:v>article1-unified-v4-2-fb3f101b-20260903-000401-default-f02-p6-jcs321</x:v>
      </x:c>
      <x:c r="B182" s="24" t="str">
        <x:v>default</x:v>
      </x:c>
      <x:c r="C182" s="24" t="str">
        <x:v>jcs321</x:v>
      </x:c>
      <x:c r="D182" s="36" t="n">
        <x:v>2</x:v>
      </x:c>
      <x:c r="E182" s="36" t="n">
        <x:v>2</x:v>
      </x:c>
      <x:c r="F182" s="36" t="n">
        <x:v>6</x:v>
      </x:c>
      <x:c r="G182" s="36" t="n">
        <x:v>2</x:v>
      </x:c>
      <x:c r="H182" s="43" t="n">
        <x:v>6122.409100178629</x:v>
      </x:c>
      <x:c r="I182" s="43" t="n">
        <x:v>4118.87210002169</x:v>
      </x:c>
      <x:c r="J182" s="43" t="n">
        <x:v>6165.26689985767</x:v>
      </x:c>
      <x:c r="K182" s="43" t="n">
        <x:v>4127.472899854183</x:v>
      </x:c>
      <x:c r="L182" s="45" t="b">
        <x:v>1</x:v>
      </x:c>
      <x:c r="M182" s="45" t="b">
        <x:v>1</x:v>
      </x:c>
      <x:c r="N182" s="45" t="b">
        <x:v>1</x:v>
      </x:c>
      <x:c r="O182" s="46" t="n">
        <x:v>2</x:v>
      </x:c>
      <x:c r="P182" s="46" t="n">
        <x:v>2</x:v>
      </x:c>
      <x:c r="Q182" s="46" t="n">
        <x:v>3.0780000002123415</x:v>
      </x:c>
      <x:c r="R182" s="46" t="n">
        <x:v>10</x:v>
      </x:c>
      <x:c r="S182" s="46" t="n">
        <x:v>10</x:v>
      </x:c>
      <x:c r="T182" s="46" t="n">
        <x:v>12.094000000040978</x:v>
      </x:c>
      <x:c r="U182" s="46" t="n">
        <x:v>17.45300000021234</x:v>
      </x:c>
      <x:c r="V182" s="46" t="n">
        <x:v>2</x:v>
      </x:c>
      <x:c r="W182" s="46" t="n">
        <x:v>2</x:v>
      </x:c>
      <x:c r="X182" s="46" t="n">
        <x:v>2.9529999997466803</x:v>
      </x:c>
      <x:c r="Y182" s="46" t="n">
        <x:v>10</x:v>
      </x:c>
      <x:c r="Z182" s="46" t="n">
        <x:v>10</x:v>
      </x:c>
      <x:c r="AA182" s="46" t="n">
        <x:v>12.094000000040978</x:v>
      </x:c>
      <x:c r="AB182" s="46" t="n">
        <x:v>16.844000000040978</x:v>
      </x:c>
      <x:c r="AC182" s="61" t="n">
        <x:v>0</x:v>
      </x:c>
      <x:c r="AD182" s="61" t="n">
        <x:v>8502272</x:v>
      </x:c>
      <x:c r="AE182" s="45" t="b">
        <x:v>0</x:v>
      </x:c>
      <x:c r="AF182" s="45" t="b">
        <x:v>1</x:v>
      </x:c>
      <x:c r="AG182" s="45" t="b">
        <x:v>1</x:v>
      </x:c>
      <x:c r="AH182" s="45" t="b">
        <x:v>0</x:v>
      </x:c>
      <x:c r="AI182" s="36" t="n">
        <x:v>2</x:v>
      </x:c>
      <x:c r="AJ182" s="59" t="str">
        <x:v>JCS-ElementEventQueue-Thread-10#133 | JCS-ElementEventQueue-Thread-13#176</x:v>
      </x:c>
      <x:c r="AK182" s="45" t="b">
        <x:v>0</x:v>
      </x:c>
    </x:row>
    <x:row r="183" ht="22" customHeight="1">
      <x:c r="A183" s="24" t="str">
        <x:v>article1-unified-v4-2-fb3f101b-20260903-000401-default-f02-p6-jcs321</x:v>
      </x:c>
      <x:c r="B183" s="24" t="str">
        <x:v>default</x:v>
      </x:c>
      <x:c r="C183" s="24" t="str">
        <x:v>jcs321</x:v>
      </x:c>
      <x:c r="D183" s="36" t="n">
        <x:v>2</x:v>
      </x:c>
      <x:c r="E183" s="36" t="n">
        <x:v>2</x:v>
      </x:c>
      <x:c r="F183" s="36" t="n">
        <x:v>6</x:v>
      </x:c>
      <x:c r="G183" s="36" t="n">
        <x:v>3</x:v>
      </x:c>
      <x:c r="H183" s="43" t="n">
        <x:v>5976.452199742198</x:v>
      </x:c>
      <x:c r="I183" s="43" t="n">
        <x:v>4122.263099998236</x:v>
      </x:c>
      <x:c r="J183" s="43" t="n">
        <x:v>6172.313699964434</x:v>
      </x:c>
      <x:c r="K183" s="43" t="n">
        <x:v>4109.877999871969</x:v>
      </x:c>
      <x:c r="L183" s="45" t="b">
        <x:v>1</x:v>
      </x:c>
      <x:c r="M183" s="45" t="b">
        <x:v>1</x:v>
      </x:c>
      <x:c r="N183" s="45" t="b">
        <x:v>1</x:v>
      </x:c>
      <x:c r="O183" s="46" t="n">
        <x:v>2</x:v>
      </x:c>
      <x:c r="P183" s="46" t="n">
        <x:v>2</x:v>
      </x:c>
      <x:c r="Q183" s="46" t="n">
        <x:v>3.219000000040978</x:v>
      </x:c>
      <x:c r="R183" s="46" t="n">
        <x:v>10</x:v>
      </x:c>
      <x:c r="S183" s="46" t="n">
        <x:v>10</x:v>
      </x:c>
      <x:c r="T183" s="46" t="n">
        <x:v>12.094000000040978</x:v>
      </x:c>
      <x:c r="U183" s="46" t="n">
        <x:v>17.188000000081956</x:v>
      </x:c>
      <x:c r="V183" s="46" t="n">
        <x:v>2</x:v>
      </x:c>
      <x:c r="W183" s="46" t="n">
        <x:v>2</x:v>
      </x:c>
      <x:c r="X183" s="46" t="n">
        <x:v>3.0929999998770654</x:v>
      </x:c>
      <x:c r="Y183" s="46" t="n">
        <x:v>10</x:v>
      </x:c>
      <x:c r="Z183" s="46" t="n">
        <x:v>10</x:v>
      </x:c>
      <x:c r="AA183" s="46" t="n">
        <x:v>12.108999999705702</x:v>
      </x:c>
      <x:c r="AB183" s="46" t="n">
        <x:v>17.030999999959022</x:v>
      </x:c>
      <x:c r="AC183" s="61" t="n">
        <x:v>0</x:v>
      </x:c>
      <x:c r="AD183" s="61" t="n">
        <x:v>8467456</x:v>
      </x:c>
      <x:c r="AE183" s="45" t="b">
        <x:v>0</x:v>
      </x:c>
      <x:c r="AF183" s="45" t="b">
        <x:v>1</x:v>
      </x:c>
      <x:c r="AG183" s="45" t="b">
        <x:v>1</x:v>
      </x:c>
      <x:c r="AH183" s="45" t="b">
        <x:v>0</x:v>
      </x:c>
      <x:c r="AI183" s="36" t="n">
        <x:v>2</x:v>
      </x:c>
      <x:c r="AJ183" s="59" t="str">
        <x:v>JCS-ElementEventQueue-Thread-16#218 | JCS-ElementEventQueue-Thread-19#261</x:v>
      </x:c>
      <x:c r="AK183" s="45" t="b">
        <x:v>0</x:v>
      </x:c>
    </x:row>
    <x:row r="184" ht="22" customHeight="1">
      <x:c r="A184" s="24" t="str">
        <x:v>article1-unified-v4-2-fb3f101b-20260903-000401-default-f02-p6-jcs321</x:v>
      </x:c>
      <x:c r="B184" s="24" t="str">
        <x:v>default</x:v>
      </x:c>
      <x:c r="C184" s="24" t="str">
        <x:v>jcs321</x:v>
      </x:c>
      <x:c r="D184" s="36" t="n">
        <x:v>2</x:v>
      </x:c>
      <x:c r="E184" s="36" t="n">
        <x:v>2</x:v>
      </x:c>
      <x:c r="F184" s="36" t="n">
        <x:v>6</x:v>
      </x:c>
      <x:c r="G184" s="36" t="n">
        <x:v>4</x:v>
      </x:c>
      <x:c r="H184" s="43" t="n">
        <x:v>5996.241100132465</x:v>
      </x:c>
      <x:c r="I184" s="43" t="n">
        <x:v>4143.128999974579</x:v>
      </x:c>
      <x:c r="J184" s="43" t="n">
        <x:v>6131.448599975556</x:v>
      </x:c>
      <x:c r="K184" s="43" t="n">
        <x:v>4103.707799687982</x:v>
      </x:c>
      <x:c r="L184" s="45" t="b">
        <x:v>1</x:v>
      </x:c>
      <x:c r="M184" s="45" t="b">
        <x:v>1</x:v>
      </x:c>
      <x:c r="N184" s="45" t="b">
        <x:v>1</x:v>
      </x:c>
      <x:c r="O184" s="46" t="n">
        <x:v>2</x:v>
      </x:c>
      <x:c r="P184" s="46" t="n">
        <x:v>2</x:v>
      </x:c>
      <x:c r="Q184" s="46" t="n">
        <x:v>3.2970000002533197</x:v>
      </x:c>
      <x:c r="R184" s="46" t="n">
        <x:v>10</x:v>
      </x:c>
      <x:c r="S184" s="46" t="n">
        <x:v>10</x:v>
      </x:c>
      <x:c r="T184" s="46" t="n">
        <x:v>12.109000000171363</x:v>
      </x:c>
      <x:c r="U184" s="46" t="n">
        <x:v>17.32800000021234</x:v>
      </x:c>
      <x:c r="V184" s="46" t="n">
        <x:v>2</x:v>
      </x:c>
      <x:c r="W184" s="46" t="n">
        <x:v>2</x:v>
      </x:c>
      <x:c r="X184" s="46" t="n">
        <x:v>3</x:v>
      </x:c>
      <x:c r="Y184" s="46" t="n">
        <x:v>10</x:v>
      </x:c>
      <x:c r="Z184" s="46" t="n">
        <x:v>10</x:v>
      </x:c>
      <x:c r="AA184" s="46" t="n">
        <x:v>12.110000000335276</x:v>
      </x:c>
      <x:c r="AB184" s="46" t="n">
        <x:v>17.125</x:v>
      </x:c>
      <x:c r="AC184" s="61" t="n">
        <x:v>0</x:v>
      </x:c>
      <x:c r="AD184" s="61" t="n">
        <x:v>8515584</x:v>
      </x:c>
      <x:c r="AE184" s="45" t="b">
        <x:v>0</x:v>
      </x:c>
      <x:c r="AF184" s="45" t="b">
        <x:v>1</x:v>
      </x:c>
      <x:c r="AG184" s="45" t="b">
        <x:v>1</x:v>
      </x:c>
      <x:c r="AH184" s="45" t="b">
        <x:v>0</x:v>
      </x:c>
      <x:c r="AI184" s="36" t="n">
        <x:v>2</x:v>
      </x:c>
      <x:c r="AJ184" s="59" t="str">
        <x:v>JCS-ElementEventQueue-Thread-22#303 | JCS-ElementEventQueue-Thread-25#346</x:v>
      </x:c>
      <x:c r="AK184" s="45" t="b">
        <x:v>0</x:v>
      </x:c>
    </x:row>
    <x:row r="185" ht="22" customHeight="1">
      <x:c r="A185" s="24" t="str">
        <x:v>article1-unified-v4-2-fb3f101b-20260903-000401-default-f02-p6-jcs321</x:v>
      </x:c>
      <x:c r="B185" s="24" t="str">
        <x:v>default</x:v>
      </x:c>
      <x:c r="C185" s="24" t="str">
        <x:v>jcs321</x:v>
      </x:c>
      <x:c r="D185" s="36" t="n">
        <x:v>2</x:v>
      </x:c>
      <x:c r="E185" s="36" t="n">
        <x:v>2</x:v>
      </x:c>
      <x:c r="F185" s="36" t="n">
        <x:v>6</x:v>
      </x:c>
      <x:c r="G185" s="36" t="n">
        <x:v>5</x:v>
      </x:c>
      <x:c r="H185" s="43" t="n">
        <x:v>6003.94850037992</x:v>
      </x:c>
      <x:c r="I185" s="43" t="n">
        <x:v>4105.238100048155</x:v>
      </x:c>
      <x:c r="J185" s="43" t="n">
        <x:v>6272.957599721849</x:v>
      </x:c>
      <x:c r="K185" s="43" t="n">
        <x:v>4134.665200021118</x:v>
      </x:c>
      <x:c r="L185" s="45" t="b">
        <x:v>1</x:v>
      </x:c>
      <x:c r="M185" s="45" t="b">
        <x:v>1</x:v>
      </x:c>
      <x:c r="N185" s="45" t="b">
        <x:v>1</x:v>
      </x:c>
      <x:c r="O185" s="46" t="n">
        <x:v>2</x:v>
      </x:c>
      <x:c r="P185" s="46" t="n">
        <x:v>2</x:v>
      </x:c>
      <x:c r="Q185" s="46" t="n">
        <x:v>4.875</x:v>
      </x:c>
      <x:c r="R185" s="46" t="n">
        <x:v>10</x:v>
      </x:c>
      <x:c r="S185" s="46" t="n">
        <x:v>10</x:v>
      </x:c>
      <x:c r="T185" s="46" t="n">
        <x:v>12.125</x:v>
      </x:c>
      <x:c r="U185" s="46" t="n">
        <x:v>17.344000000040978</x:v>
      </x:c>
      <x:c r="V185" s="46" t="n">
        <x:v>2</x:v>
      </x:c>
      <x:c r="W185" s="46" t="n">
        <x:v>2</x:v>
      </x:c>
      <x:c r="X185" s="46" t="n">
        <x:v>2.953999999910593</x:v>
      </x:c>
      <x:c r="Y185" s="46" t="n">
        <x:v>10</x:v>
      </x:c>
      <x:c r="Z185" s="46" t="n">
        <x:v>10</x:v>
      </x:c>
      <x:c r="AA185" s="46" t="n">
        <x:v>12.109999999869615</x:v>
      </x:c>
      <x:c r="AB185" s="46" t="n">
        <x:v>17.79699999978766</x:v>
      </x:c>
      <x:c r="AC185" s="61" t="n">
        <x:v>0</x:v>
      </x:c>
      <x:c r="AD185" s="61" t="n">
        <x:v>8465408</x:v>
      </x:c>
      <x:c r="AE185" s="45" t="b">
        <x:v>0</x:v>
      </x:c>
      <x:c r="AF185" s="45" t="b">
        <x:v>1</x:v>
      </x:c>
      <x:c r="AG185" s="45" t="b">
        <x:v>1</x:v>
      </x:c>
      <x:c r="AH185" s="45" t="b">
        <x:v>0</x:v>
      </x:c>
      <x:c r="AI185" s="36" t="n">
        <x:v>2</x:v>
      </x:c>
      <x:c r="AJ185" s="59" t="str">
        <x:v>JCS-ElementEventQueue-Thread-28#388 | JCS-ElementEventQueue-Thread-31#431</x:v>
      </x:c>
      <x:c r="AK185" s="45" t="b">
        <x:v>0</x:v>
      </x:c>
    </x:row>
    <x:row r="186" ht="22" customHeight="1">
      <x:c r="A186" s="24" t="str">
        <x:v>article1-unified-v4-2-fb3f101b-20260903-000401-default-f03-p4-jcs321</x:v>
      </x:c>
      <x:c r="B186" s="24" t="str">
        <x:v>default</x:v>
      </x:c>
      <x:c r="C186" s="24" t="str">
        <x:v>jcs321</x:v>
      </x:c>
      <x:c r="D186" s="36" t="n">
        <x:v>3</x:v>
      </x:c>
      <x:c r="E186" s="36" t="n">
        <x:v>3</x:v>
      </x:c>
      <x:c r="F186" s="36" t="n">
        <x:v>4</x:v>
      </x:c>
      <x:c r="G186" s="36" t="n">
        <x:v>1</x:v>
      </x:c>
      <x:c r="H186" s="43" t="n">
        <x:v>7166.836299933493</x:v>
      </x:c>
      <x:c r="I186" s="43" t="n">
        <x:v>4119.599800091237</x:v>
      </x:c>
      <x:c r="J186" s="43" t="n">
        <x:v>6706.106300000101</x:v>
      </x:c>
      <x:c r="K186" s="43" t="n">
        <x:v>4102.02689981088</x:v>
      </x:c>
      <x:c r="L186" s="45" t="b">
        <x:v>1</x:v>
      </x:c>
      <x:c r="M186" s="45" t="b">
        <x:v>1</x:v>
      </x:c>
      <x:c r="N186" s="45" t="b">
        <x:v>1</x:v>
      </x:c>
      <x:c r="O186" s="46" t="n">
        <x:v>2</x:v>
      </x:c>
      <x:c r="P186" s="46" t="n">
        <x:v>2</x:v>
      </x:c>
      <x:c r="Q186" s="46" t="n">
        <x:v>3.030999999959022</x:v>
      </x:c>
      <x:c r="R186" s="46" t="n">
        <x:v>10</x:v>
      </x:c>
      <x:c r="S186" s="46" t="n">
        <x:v>10</x:v>
      </x:c>
      <x:c r="T186" s="46" t="n">
        <x:v>12.092999999877065</x:v>
      </x:c>
      <x:c r="U186" s="46" t="n">
        <x:v>17.375</x:v>
      </x:c>
      <x:c r="V186" s="46" t="n">
        <x:v>2</x:v>
      </x:c>
      <x:c r="W186" s="46" t="n">
        <x:v>2</x:v>
      </x:c>
      <x:c r="X186" s="46" t="n">
        <x:v>3.1409999998286366</x:v>
      </x:c>
      <x:c r="Y186" s="46" t="n">
        <x:v>10</x:v>
      </x:c>
      <x:c r="Z186" s="46" t="n">
        <x:v>10</x:v>
      </x:c>
      <x:c r="AA186" s="46" t="n">
        <x:v>12.094000000040978</x:v>
      </x:c>
      <x:c r="AB186" s="46" t="n">
        <x:v>17.359999999869615</x:v>
      </x:c>
      <x:c r="AC186" s="61" t="n">
        <x:v>114528256</x:v>
      </x:c>
      <x:c r="AD186" s="61" t="n">
        <x:v>-12995584</x:v>
      </x:c>
      <x:c r="AE186" s="45" t="b">
        <x:v>0</x:v>
      </x:c>
      <x:c r="AF186" s="45" t="b">
        <x:v>1</x:v>
      </x:c>
      <x:c r="AG186" s="45" t="b">
        <x:v>1</x:v>
      </x:c>
      <x:c r="AH186" s="45" t="b">
        <x:v>0</x:v>
      </x:c>
      <x:c r="AI186" s="36" t="n">
        <x:v>2</x:v>
      </x:c>
      <x:c r="AJ186" s="59" t="str">
        <x:v>JCS-ElementEventQueue-Thread-4#49 | JCS-ElementEventQueue-Thread-7#91</x:v>
      </x:c>
      <x:c r="AK186" s="45" t="b">
        <x:v>0</x:v>
      </x:c>
    </x:row>
    <x:row r="187" ht="22" customHeight="1">
      <x:c r="A187" s="24" t="str">
        <x:v>article1-unified-v4-2-fb3f101b-20260903-000401-default-f03-p4-jcs321</x:v>
      </x:c>
      <x:c r="B187" s="24" t="str">
        <x:v>default</x:v>
      </x:c>
      <x:c r="C187" s="24" t="str">
        <x:v>jcs321</x:v>
      </x:c>
      <x:c r="D187" s="36" t="n">
        <x:v>3</x:v>
      </x:c>
      <x:c r="E187" s="36" t="n">
        <x:v>3</x:v>
      </x:c>
      <x:c r="F187" s="36" t="n">
        <x:v>4</x:v>
      </x:c>
      <x:c r="G187" s="36" t="n">
        <x:v>2</x:v>
      </x:c>
      <x:c r="H187" s="43" t="n">
        <x:v>6170.606200117618</x:v>
      </x:c>
      <x:c r="I187" s="43" t="n">
        <x:v>4111.270800232887</x:v>
      </x:c>
      <x:c r="J187" s="43" t="n">
        <x:v>6002.6323003694415</x:v>
      </x:c>
      <x:c r="K187" s="43" t="n">
        <x:v>4105.69590004161</x:v>
      </x:c>
      <x:c r="L187" s="45" t="b">
        <x:v>1</x:v>
      </x:c>
      <x:c r="M187" s="45" t="b">
        <x:v>1</x:v>
      </x:c>
      <x:c r="N187" s="45" t="b">
        <x:v>1</x:v>
      </x:c>
      <x:c r="O187" s="46" t="n">
        <x:v>2</x:v>
      </x:c>
      <x:c r="P187" s="46" t="n">
        <x:v>2</x:v>
      </x:c>
      <x:c r="Q187" s="46" t="n">
        <x:v>3.0630000000819564</x:v>
      </x:c>
      <x:c r="R187" s="46" t="n">
        <x:v>10</x:v>
      </x:c>
      <x:c r="S187" s="46" t="n">
        <x:v>10</x:v>
      </x:c>
      <x:c r="T187" s="46" t="n">
        <x:v>12.094000000040978</x:v>
      </x:c>
      <x:c r="U187" s="46" t="n">
        <x:v>16.578999999910593</x:v>
      </x:c>
      <x:c r="V187" s="46" t="n">
        <x:v>2</x:v>
      </x:c>
      <x:c r="W187" s="46" t="n">
        <x:v>2</x:v>
      </x:c>
      <x:c r="X187" s="46" t="n">
        <x:v>2.9530000002123415</x:v>
      </x:c>
      <x:c r="Y187" s="46" t="n">
        <x:v>10</x:v>
      </x:c>
      <x:c r="Z187" s="46" t="n">
        <x:v>10</x:v>
      </x:c>
      <x:c r="AA187" s="46" t="n">
        <x:v>12.092999999877065</x:v>
      </x:c>
      <x:c r="AB187" s="46" t="n">
        <x:v>17.07800000021234</x:v>
      </x:c>
      <x:c r="AC187" s="61" t="n">
        <x:v>0</x:v>
      </x:c>
      <x:c r="AD187" s="61" t="n">
        <x:v>8394752</x:v>
      </x:c>
      <x:c r="AE187" s="45" t="b">
        <x:v>0</x:v>
      </x:c>
      <x:c r="AF187" s="45" t="b">
        <x:v>1</x:v>
      </x:c>
      <x:c r="AG187" s="45" t="b">
        <x:v>1</x:v>
      </x:c>
      <x:c r="AH187" s="45" t="b">
        <x:v>0</x:v>
      </x:c>
      <x:c r="AI187" s="36" t="n">
        <x:v>2</x:v>
      </x:c>
      <x:c r="AJ187" s="59" t="str">
        <x:v>JCS-ElementEventQueue-Thread-10#133 | JCS-ElementEventQueue-Thread-13#176</x:v>
      </x:c>
      <x:c r="AK187" s="45" t="b">
        <x:v>0</x:v>
      </x:c>
    </x:row>
    <x:row r="188" ht="22" customHeight="1">
      <x:c r="A188" s="24" t="str">
        <x:v>article1-unified-v4-2-fb3f101b-20260903-000401-default-f03-p4-jcs321</x:v>
      </x:c>
      <x:c r="B188" s="24" t="str">
        <x:v>default</x:v>
      </x:c>
      <x:c r="C188" s="24" t="str">
        <x:v>jcs321</x:v>
      </x:c>
      <x:c r="D188" s="36" t="n">
        <x:v>3</x:v>
      </x:c>
      <x:c r="E188" s="36" t="n">
        <x:v>3</x:v>
      </x:c>
      <x:c r="F188" s="36" t="n">
        <x:v>4</x:v>
      </x:c>
      <x:c r="G188" s="36" t="n">
        <x:v>3</x:v>
      </x:c>
      <x:c r="H188" s="43" t="n">
        <x:v>6061.172499787062</x:v>
      </x:c>
      <x:c r="I188" s="43" t="n">
        <x:v>4115.505499765277</x:v>
      </x:c>
      <x:c r="J188" s="43" t="n">
        <x:v>6069.163500331342</x:v>
      </x:c>
      <x:c r="K188" s="43" t="n">
        <x:v>4111.965199932456</x:v>
      </x:c>
      <x:c r="L188" s="45" t="b">
        <x:v>1</x:v>
      </x:c>
      <x:c r="M188" s="45" t="b">
        <x:v>1</x:v>
      </x:c>
      <x:c r="N188" s="45" t="b">
        <x:v>1</x:v>
      </x:c>
      <x:c r="O188" s="46" t="n">
        <x:v>2</x:v>
      </x:c>
      <x:c r="P188" s="46" t="n">
        <x:v>2</x:v>
      </x:c>
      <x:c r="Q188" s="46" t="n">
        <x:v>2.905999999959022</x:v>
      </x:c>
      <x:c r="R188" s="46" t="n">
        <x:v>10</x:v>
      </x:c>
      <x:c r="S188" s="46" t="n">
        <x:v>10</x:v>
      </x:c>
      <x:c r="T188" s="46" t="n">
        <x:v>12.092999999877065</x:v>
      </x:c>
      <x:c r="U188" s="46" t="n">
        <x:v>16.92199999978766</x:v>
      </x:c>
      <x:c r="V188" s="46" t="n">
        <x:v>2</x:v>
      </x:c>
      <x:c r="W188" s="46" t="n">
        <x:v>2</x:v>
      </x:c>
      <x:c r="X188" s="46" t="n">
        <x:v>3</x:v>
      </x:c>
      <x:c r="Y188" s="46" t="n">
        <x:v>10</x:v>
      </x:c>
      <x:c r="Z188" s="46" t="n">
        <x:v>10</x:v>
      </x:c>
      <x:c r="AA188" s="46" t="n">
        <x:v>12.092999999877065</x:v>
      </x:c>
      <x:c r="AB188" s="46" t="n">
        <x:v>16.875</x:v>
      </x:c>
      <x:c r="AC188" s="61" t="n">
        <x:v>0</x:v>
      </x:c>
      <x:c r="AD188" s="61" t="n">
        <x:v>8467456</x:v>
      </x:c>
      <x:c r="AE188" s="45" t="b">
        <x:v>0</x:v>
      </x:c>
      <x:c r="AF188" s="45" t="b">
        <x:v>1</x:v>
      </x:c>
      <x:c r="AG188" s="45" t="b">
        <x:v>1</x:v>
      </x:c>
      <x:c r="AH188" s="45" t="b">
        <x:v>0</x:v>
      </x:c>
      <x:c r="AI188" s="36" t="n">
        <x:v>2</x:v>
      </x:c>
      <x:c r="AJ188" s="59" t="str">
        <x:v>JCS-ElementEventQueue-Thread-16#218 | JCS-ElementEventQueue-Thread-19#261</x:v>
      </x:c>
      <x:c r="AK188" s="45" t="b">
        <x:v>0</x:v>
      </x:c>
    </x:row>
    <x:row r="189" ht="22" customHeight="1">
      <x:c r="A189" s="24" t="str">
        <x:v>article1-unified-v4-2-fb3f101b-20260903-000401-default-f03-p4-jcs321</x:v>
      </x:c>
      <x:c r="B189" s="24" t="str">
        <x:v>default</x:v>
      </x:c>
      <x:c r="C189" s="24" t="str">
        <x:v>jcs321</x:v>
      </x:c>
      <x:c r="D189" s="36" t="n">
        <x:v>3</x:v>
      </x:c>
      <x:c r="E189" s="36" t="n">
        <x:v>3</x:v>
      </x:c>
      <x:c r="F189" s="36" t="n">
        <x:v>4</x:v>
      </x:c>
      <x:c r="G189" s="36" t="n">
        <x:v>4</x:v>
      </x:c>
      <x:c r="H189" s="43" t="n">
        <x:v>6138.998500071466</x:v>
      </x:c>
      <x:c r="I189" s="43" t="n">
        <x:v>4098.500799853355</x:v>
      </x:c>
      <x:c r="J189" s="43" t="n">
        <x:v>5992.045800201595</x:v>
      </x:c>
      <x:c r="K189" s="43" t="n">
        <x:v>4111.918500158936</x:v>
      </x:c>
      <x:c r="L189" s="45" t="b">
        <x:v>1</x:v>
      </x:c>
      <x:c r="M189" s="45" t="b">
        <x:v>1</x:v>
      </x:c>
      <x:c r="N189" s="45" t="b">
        <x:v>1</x:v>
      </x:c>
      <x:c r="O189" s="46" t="n">
        <x:v>2</x:v>
      </x:c>
      <x:c r="P189" s="46" t="n">
        <x:v>2</x:v>
      </x:c>
      <x:c r="Q189" s="46" t="n">
        <x:v>2.9529999997466803</x:v>
      </x:c>
      <x:c r="R189" s="46" t="n">
        <x:v>10</x:v>
      </x:c>
      <x:c r="S189" s="46" t="n">
        <x:v>10</x:v>
      </x:c>
      <x:c r="T189" s="46" t="n">
        <x:v>12.125</x:v>
      </x:c>
      <x:c r="U189" s="46" t="n">
        <x:v>16.844000000040978</x:v>
      </x:c>
      <x:c r="V189" s="46" t="n">
        <x:v>2</x:v>
      </x:c>
      <x:c r="W189" s="46" t="n">
        <x:v>2</x:v>
      </x:c>
      <x:c r="X189" s="46" t="n">
        <x:v>2.9840000001713634</x:v>
      </x:c>
      <x:c r="Y189" s="46" t="n">
        <x:v>10</x:v>
      </x:c>
      <x:c r="Z189" s="46" t="n">
        <x:v>10</x:v>
      </x:c>
      <x:c r="AA189" s="46" t="n">
        <x:v>12.092999999877065</x:v>
      </x:c>
      <x:c r="AB189" s="46" t="n">
        <x:v>16.609000000171363</x:v>
      </x:c>
      <x:c r="AC189" s="61" t="n">
        <x:v>0</x:v>
      </x:c>
      <x:c r="AD189" s="61" t="n">
        <x:v>8505344</x:v>
      </x:c>
      <x:c r="AE189" s="45" t="b">
        <x:v>0</x:v>
      </x:c>
      <x:c r="AF189" s="45" t="b">
        <x:v>1</x:v>
      </x:c>
      <x:c r="AG189" s="45" t="b">
        <x:v>1</x:v>
      </x:c>
      <x:c r="AH189" s="45" t="b">
        <x:v>0</x:v>
      </x:c>
      <x:c r="AI189" s="36" t="n">
        <x:v>2</x:v>
      </x:c>
      <x:c r="AJ189" s="59" t="str">
        <x:v>JCS-ElementEventQueue-Thread-22#303 | JCS-ElementEventQueue-Thread-25#346</x:v>
      </x:c>
      <x:c r="AK189" s="45" t="b">
        <x:v>0</x:v>
      </x:c>
    </x:row>
    <x:row r="190" ht="22" customHeight="1">
      <x:c r="A190" s="24" t="str">
        <x:v>article1-unified-v4-2-fb3f101b-20260903-000401-default-f03-p4-jcs321</x:v>
      </x:c>
      <x:c r="B190" s="24" t="str">
        <x:v>default</x:v>
      </x:c>
      <x:c r="C190" s="24" t="str">
        <x:v>jcs321</x:v>
      </x:c>
      <x:c r="D190" s="36" t="n">
        <x:v>3</x:v>
      </x:c>
      <x:c r="E190" s="36" t="n">
        <x:v>3</x:v>
      </x:c>
      <x:c r="F190" s="36" t="n">
        <x:v>4</x:v>
      </x:c>
      <x:c r="G190" s="36" t="n">
        <x:v>5</x:v>
      </x:c>
      <x:c r="H190" s="43" t="n">
        <x:v>5873.353300150484</x:v>
      </x:c>
      <x:c r="I190" s="43" t="n">
        <x:v>4114.568199962378</x:v>
      </x:c>
      <x:c r="J190" s="43" t="n">
        <x:v>6062.750699929893</x:v>
      </x:c>
      <x:c r="K190" s="43" t="n">
        <x:v>4109.037100337446</x:v>
      </x:c>
      <x:c r="L190" s="45" t="b">
        <x:v>1</x:v>
      </x:c>
      <x:c r="M190" s="45" t="b">
        <x:v>1</x:v>
      </x:c>
      <x:c r="N190" s="45" t="b">
        <x:v>1</x:v>
      </x:c>
      <x:c r="O190" s="46" t="n">
        <x:v>2</x:v>
      </x:c>
      <x:c r="P190" s="46" t="n">
        <x:v>2</x:v>
      </x:c>
      <x:c r="Q190" s="46" t="n">
        <x:v>3.0630000000819564</x:v>
      </x:c>
      <x:c r="R190" s="46" t="n">
        <x:v>10</x:v>
      </x:c>
      <x:c r="S190" s="46" t="n">
        <x:v>10</x:v>
      </x:c>
      <x:c r="T190" s="46" t="n">
        <x:v>12.094000000040978</x:v>
      </x:c>
      <x:c r="U190" s="46" t="n">
        <x:v>17.063000000081956</x:v>
      </x:c>
      <x:c r="V190" s="46" t="n">
        <x:v>2</x:v>
      </x:c>
      <x:c r="W190" s="46" t="n">
        <x:v>2</x:v>
      </x:c>
      <x:c r="X190" s="46" t="n">
        <x:v>2.985000000335276</x:v>
      </x:c>
      <x:c r="Y190" s="46" t="n">
        <x:v>10</x:v>
      </x:c>
      <x:c r="Z190" s="46" t="n">
        <x:v>10</x:v>
      </x:c>
      <x:c r="AA190" s="46" t="n">
        <x:v>12.110000000335276</x:v>
      </x:c>
      <x:c r="AB190" s="46" t="n">
        <x:v>17.157000000122935</x:v>
      </x:c>
      <x:c r="AC190" s="61" t="n">
        <x:v>0</x:v>
      </x:c>
      <x:c r="AD190" s="61" t="n">
        <x:v>8468480</x:v>
      </x:c>
      <x:c r="AE190" s="45" t="b">
        <x:v>0</x:v>
      </x:c>
      <x:c r="AF190" s="45" t="b">
        <x:v>1</x:v>
      </x:c>
      <x:c r="AG190" s="45" t="b">
        <x:v>1</x:v>
      </x:c>
      <x:c r="AH190" s="45" t="b">
        <x:v>0</x:v>
      </x:c>
      <x:c r="AI190" s="36" t="n">
        <x:v>2</x:v>
      </x:c>
      <x:c r="AJ190" s="59" t="str">
        <x:v>JCS-ElementEventQueue-Thread-28#388 | JCS-ElementEventQueue-Thread-31#431</x:v>
      </x:c>
      <x:c r="AK190" s="45" t="b">
        <x:v>0</x:v>
      </x:c>
    </x:row>
    <x:row r="191" ht="22" customHeight="1">
      <x:c r="A191" s="24" t="str">
        <x:v>article1-unified-v4-2-fb3f101b-20260903-000401-default-f04-p2-jcs321</x:v>
      </x:c>
      <x:c r="B191" s="24" t="str">
        <x:v>default</x:v>
      </x:c>
      <x:c r="C191" s="24" t="str">
        <x:v>jcs321</x:v>
      </x:c>
      <x:c r="D191" s="36" t="n">
        <x:v>4</x:v>
      </x:c>
      <x:c r="E191" s="36" t="n">
        <x:v>4</x:v>
      </x:c>
      <x:c r="F191" s="36" t="n">
        <x:v>2</x:v>
      </x:c>
      <x:c r="G191" s="36" t="n">
        <x:v>1</x:v>
      </x:c>
      <x:c r="H191" s="43" t="n">
        <x:v>6853.222799953073</x:v>
      </x:c>
      <x:c r="I191" s="43" t="n">
        <x:v>4156.338000204414</x:v>
      </x:c>
      <x:c r="J191" s="43" t="n">
        <x:v>6277.536599896848</x:v>
      </x:c>
      <x:c r="K191" s="43" t="n">
        <x:v>4118.277700152248</x:v>
      </x:c>
      <x:c r="L191" s="45" t="b">
        <x:v>1</x:v>
      </x:c>
      <x:c r="M191" s="45" t="b">
        <x:v>1</x:v>
      </x:c>
      <x:c r="N191" s="45" t="b">
        <x:v>1</x:v>
      </x:c>
      <x:c r="O191" s="46" t="n">
        <x:v>2</x:v>
      </x:c>
      <x:c r="P191" s="46" t="n">
        <x:v>2</x:v>
      </x:c>
      <x:c r="Q191" s="46" t="n">
        <x:v>3.25</x:v>
      </x:c>
      <x:c r="R191" s="46" t="n">
        <x:v>10</x:v>
      </x:c>
      <x:c r="S191" s="46" t="n">
        <x:v>10</x:v>
      </x:c>
      <x:c r="T191" s="46" t="n">
        <x:v>12.078000000212342</x:v>
      </x:c>
      <x:c r="U191" s="46" t="n">
        <x:v>16.82800000021234</x:v>
      </x:c>
      <x:c r="V191" s="46" t="n">
        <x:v>2</x:v>
      </x:c>
      <x:c r="W191" s="46" t="n">
        <x:v>2</x:v>
      </x:c>
      <x:c r="X191" s="46" t="n">
        <x:v>3.1720000002533197</x:v>
      </x:c>
      <x:c r="Y191" s="46" t="n">
        <x:v>10</x:v>
      </x:c>
      <x:c r="Z191" s="46" t="n">
        <x:v>10.015000000130385</x:v>
      </x:c>
      <x:c r="AA191" s="46" t="n">
        <x:v>12.078000000212342</x:v>
      </x:c>
      <x:c r="AB191" s="46" t="n">
        <x:v>17.140000000130385</x:v>
      </x:c>
      <x:c r="AC191" s="61" t="n">
        <x:v>110697472</x:v>
      </x:c>
      <x:c r="AD191" s="61" t="n">
        <x:v>-13588480</x:v>
      </x:c>
      <x:c r="AE191" s="45" t="b">
        <x:v>0</x:v>
      </x:c>
      <x:c r="AF191" s="45" t="b">
        <x:v>1</x:v>
      </x:c>
      <x:c r="AG191" s="45" t="b">
        <x:v>1</x:v>
      </x:c>
      <x:c r="AH191" s="45" t="b">
        <x:v>0</x:v>
      </x:c>
      <x:c r="AI191" s="36" t="n">
        <x:v>2</x:v>
      </x:c>
      <x:c r="AJ191" s="59" t="str">
        <x:v>JCS-ElementEventQueue-Thread-4#49 | JCS-ElementEventQueue-Thread-7#91</x:v>
      </x:c>
      <x:c r="AK191" s="45" t="b">
        <x:v>0</x:v>
      </x:c>
    </x:row>
    <x:row r="192" ht="22" customHeight="1">
      <x:c r="A192" s="24" t="str">
        <x:v>article1-unified-v4-2-fb3f101b-20260903-000401-default-f04-p2-jcs321</x:v>
      </x:c>
      <x:c r="B192" s="24" t="str">
        <x:v>default</x:v>
      </x:c>
      <x:c r="C192" s="24" t="str">
        <x:v>jcs321</x:v>
      </x:c>
      <x:c r="D192" s="36" t="n">
        <x:v>4</x:v>
      </x:c>
      <x:c r="E192" s="36" t="n">
        <x:v>4</x:v>
      </x:c>
      <x:c r="F192" s="36" t="n">
        <x:v>2</x:v>
      </x:c>
      <x:c r="G192" s="36" t="n">
        <x:v>2</x:v>
      </x:c>
      <x:c r="H192" s="43" t="n">
        <x:v>6061.142700258642</x:v>
      </x:c>
      <x:c r="I192" s="43" t="n">
        <x:v>4137.339700013399</x:v>
      </x:c>
      <x:c r="J192" s="43" t="n">
        <x:v>6165.323399938643</x:v>
      </x:c>
      <x:c r="K192" s="43" t="n">
        <x:v>4129.355899989605</x:v>
      </x:c>
      <x:c r="L192" s="45" t="b">
        <x:v>1</x:v>
      </x:c>
      <x:c r="M192" s="45" t="b">
        <x:v>1</x:v>
      </x:c>
      <x:c r="N192" s="45" t="b">
        <x:v>1</x:v>
      </x:c>
      <x:c r="O192" s="46" t="n">
        <x:v>2</x:v>
      </x:c>
      <x:c r="P192" s="46" t="n">
        <x:v>2</x:v>
      </x:c>
      <x:c r="Q192" s="46" t="n">
        <x:v>3.0159999998286366</x:v>
      </x:c>
      <x:c r="R192" s="46" t="n">
        <x:v>10</x:v>
      </x:c>
      <x:c r="S192" s="46" t="n">
        <x:v>10.015999999828637</x:v>
      </x:c>
      <x:c r="T192" s="46" t="n">
        <x:v>12.108999999705702</x:v>
      </x:c>
      <x:c r="U192" s="46" t="n">
        <x:v>16.890999999828637</x:v>
      </x:c>
      <x:c r="V192" s="46" t="n">
        <x:v>2</x:v>
      </x:c>
      <x:c r="W192" s="46" t="n">
        <x:v>2</x:v>
      </x:c>
      <x:c r="X192" s="46" t="n">
        <x:v>3.1719999997876585</x:v>
      </x:c>
      <x:c r="Y192" s="46" t="n">
        <x:v>10</x:v>
      </x:c>
      <x:c r="Z192" s="46" t="n">
        <x:v>10</x:v>
      </x:c>
      <x:c r="AA192" s="46" t="n">
        <x:v>12.094000000040978</x:v>
      </x:c>
      <x:c r="AB192" s="46" t="n">
        <x:v>16.95299999974668</x:v>
      </x:c>
      <x:c r="AC192" s="61" t="n">
        <x:v>0</x:v>
      </x:c>
      <x:c r="AD192" s="61" t="n">
        <x:v>8497152</x:v>
      </x:c>
      <x:c r="AE192" s="45" t="b">
        <x:v>0</x:v>
      </x:c>
      <x:c r="AF192" s="45" t="b">
        <x:v>1</x:v>
      </x:c>
      <x:c r="AG192" s="45" t="b">
        <x:v>1</x:v>
      </x:c>
      <x:c r="AH192" s="45" t="b">
        <x:v>0</x:v>
      </x:c>
      <x:c r="AI192" s="36" t="n">
        <x:v>2</x:v>
      </x:c>
      <x:c r="AJ192" s="59" t="str">
        <x:v>JCS-ElementEventQueue-Thread-10#133 | JCS-ElementEventQueue-Thread-13#176</x:v>
      </x:c>
      <x:c r="AK192" s="45" t="b">
        <x:v>0</x:v>
      </x:c>
    </x:row>
    <x:row r="193" ht="22" customHeight="1">
      <x:c r="A193" s="24" t="str">
        <x:v>article1-unified-v4-2-fb3f101b-20260903-000401-default-f04-p2-jcs321</x:v>
      </x:c>
      <x:c r="B193" s="24" t="str">
        <x:v>default</x:v>
      </x:c>
      <x:c r="C193" s="24" t="str">
        <x:v>jcs321</x:v>
      </x:c>
      <x:c r="D193" s="36" t="n">
        <x:v>4</x:v>
      </x:c>
      <x:c r="E193" s="36" t="n">
        <x:v>4</x:v>
      </x:c>
      <x:c r="F193" s="36" t="n">
        <x:v>2</x:v>
      </x:c>
      <x:c r="G193" s="36" t="n">
        <x:v>3</x:v>
      </x:c>
      <x:c r="H193" s="43" t="n">
        <x:v>5986.055999994278</x:v>
      </x:c>
      <x:c r="I193" s="43" t="n">
        <x:v>4136.637199670076</x:v>
      </x:c>
      <x:c r="J193" s="43" t="n">
        <x:v>6040.7272996380925</x:v>
      </x:c>
      <x:c r="K193" s="43" t="n">
        <x:v>4123.624799773097</x:v>
      </x:c>
      <x:c r="L193" s="45" t="b">
        <x:v>1</x:v>
      </x:c>
      <x:c r="M193" s="45" t="b">
        <x:v>1</x:v>
      </x:c>
      <x:c r="N193" s="45" t="b">
        <x:v>1</x:v>
      </x:c>
      <x:c r="O193" s="46" t="n">
        <x:v>2</x:v>
      </x:c>
      <x:c r="P193" s="46" t="n">
        <x:v>2</x:v>
      </x:c>
      <x:c r="Q193" s="46" t="n">
        <x:v>3.344000000040978</x:v>
      </x:c>
      <x:c r="R193" s="46" t="n">
        <x:v>10</x:v>
      </x:c>
      <x:c r="S193" s="46" t="n">
        <x:v>10</x:v>
      </x:c>
      <x:c r="T193" s="46" t="n">
        <x:v>12.094000000040978</x:v>
      </x:c>
      <x:c r="U193" s="46" t="n">
        <x:v>17.140999999828637</x:v>
      </x:c>
      <x:c r="V193" s="46" t="n">
        <x:v>2</x:v>
      </x:c>
      <x:c r="W193" s="46" t="n">
        <x:v>2</x:v>
      </x:c>
      <x:c r="X193" s="46" t="n">
        <x:v>3.155999999959022</x:v>
      </x:c>
      <x:c r="Y193" s="46" t="n">
        <x:v>10</x:v>
      </x:c>
      <x:c r="Z193" s="46" t="n">
        <x:v>10</x:v>
      </x:c>
      <x:c r="AA193" s="46" t="n">
        <x:v>12.092999999877065</x:v>
      </x:c>
      <x:c r="AB193" s="46" t="n">
        <x:v>16.875</x:v>
      </x:c>
      <x:c r="AC193" s="61" t="n">
        <x:v>0</x:v>
      </x:c>
      <x:c r="AD193" s="61" t="n">
        <x:v>8463360</x:v>
      </x:c>
      <x:c r="AE193" s="45" t="b">
        <x:v>0</x:v>
      </x:c>
      <x:c r="AF193" s="45" t="b">
        <x:v>1</x:v>
      </x:c>
      <x:c r="AG193" s="45" t="b">
        <x:v>1</x:v>
      </x:c>
      <x:c r="AH193" s="45" t="b">
        <x:v>0</x:v>
      </x:c>
      <x:c r="AI193" s="36" t="n">
        <x:v>2</x:v>
      </x:c>
      <x:c r="AJ193" s="59" t="str">
        <x:v>JCS-ElementEventQueue-Thread-16#218 | JCS-ElementEventQueue-Thread-19#261</x:v>
      </x:c>
      <x:c r="AK193" s="45" t="b">
        <x:v>0</x:v>
      </x:c>
    </x:row>
    <x:row r="194" ht="22" customHeight="1">
      <x:c r="A194" s="24" t="str">
        <x:v>article1-unified-v4-2-fb3f101b-20260903-000401-default-f04-p2-jcs321</x:v>
      </x:c>
      <x:c r="B194" s="24" t="str">
        <x:v>default</x:v>
      </x:c>
      <x:c r="C194" s="24" t="str">
        <x:v>jcs321</x:v>
      </x:c>
      <x:c r="D194" s="36" t="n">
        <x:v>4</x:v>
      </x:c>
      <x:c r="E194" s="36" t="n">
        <x:v>4</x:v>
      </x:c>
      <x:c r="F194" s="36" t="n">
        <x:v>2</x:v>
      </x:c>
      <x:c r="G194" s="36" t="n">
        <x:v>4</x:v>
      </x:c>
      <x:c r="H194" s="43" t="n">
        <x:v>5961.272200103849</x:v>
      </x:c>
      <x:c r="I194" s="43" t="n">
        <x:v>4114.46959991008</x:v>
      </x:c>
      <x:c r="J194" s="43" t="n">
        <x:v>6157.119000330567</x:v>
      </x:c>
      <x:c r="K194" s="43" t="n">
        <x:v>4108.471999876201</x:v>
      </x:c>
      <x:c r="L194" s="45" t="b">
        <x:v>1</x:v>
      </x:c>
      <x:c r="M194" s="45" t="b">
        <x:v>1</x:v>
      </x:c>
      <x:c r="N194" s="45" t="b">
        <x:v>1</x:v>
      </x:c>
      <x:c r="O194" s="46" t="n">
        <x:v>2</x:v>
      </x:c>
      <x:c r="P194" s="46" t="n">
        <x:v>2</x:v>
      </x:c>
      <x:c r="Q194" s="46" t="n">
        <x:v>3.1090000001713634</x:v>
      </x:c>
      <x:c r="R194" s="46" t="n">
        <x:v>10</x:v>
      </x:c>
      <x:c r="S194" s="46" t="n">
        <x:v>10</x:v>
      </x:c>
      <x:c r="T194" s="46" t="n">
        <x:v>12.094000000040978</x:v>
      </x:c>
      <x:c r="U194" s="46" t="n">
        <x:v>17.17200000025332</x:v>
      </x:c>
      <x:c r="V194" s="46" t="n">
        <x:v>2</x:v>
      </x:c>
      <x:c r="W194" s="46" t="n">
        <x:v>2</x:v>
      </x:c>
      <x:c r="X194" s="46" t="n">
        <x:v>3.233999999705702</x:v>
      </x:c>
      <x:c r="Y194" s="46" t="n">
        <x:v>10</x:v>
      </x:c>
      <x:c r="Z194" s="46" t="n">
        <x:v>10</x:v>
      </x:c>
      <x:c r="AA194" s="46" t="n">
        <x:v>12.092999999877065</x:v>
      </x:c>
      <x:c r="AB194" s="46" t="n">
        <x:v>17.217999999877065</x:v>
      </x:c>
      <x:c r="AC194" s="61" t="n">
        <x:v>0</x:v>
      </x:c>
      <x:c r="AD194" s="61" t="n">
        <x:v>8569856</x:v>
      </x:c>
      <x:c r="AE194" s="45" t="b">
        <x:v>0</x:v>
      </x:c>
      <x:c r="AF194" s="45" t="b">
        <x:v>1</x:v>
      </x:c>
      <x:c r="AG194" s="45" t="b">
        <x:v>1</x:v>
      </x:c>
      <x:c r="AH194" s="45" t="b">
        <x:v>0</x:v>
      </x:c>
      <x:c r="AI194" s="36" t="n">
        <x:v>2</x:v>
      </x:c>
      <x:c r="AJ194" s="59" t="str">
        <x:v>JCS-ElementEventQueue-Thread-22#303 | JCS-ElementEventQueue-Thread-25#346</x:v>
      </x:c>
      <x:c r="AK194" s="45" t="b">
        <x:v>0</x:v>
      </x:c>
    </x:row>
    <x:row r="195" ht="22" customHeight="1">
      <x:c r="A195" s="24" t="str">
        <x:v>article1-unified-v4-2-fb3f101b-20260903-000401-default-f04-p2-jcs321</x:v>
      </x:c>
      <x:c r="B195" s="24" t="str">
        <x:v>default</x:v>
      </x:c>
      <x:c r="C195" s="24" t="str">
        <x:v>jcs321</x:v>
      </x:c>
      <x:c r="D195" s="36" t="n">
        <x:v>4</x:v>
      </x:c>
      <x:c r="E195" s="36" t="n">
        <x:v>4</x:v>
      </x:c>
      <x:c r="F195" s="36" t="n">
        <x:v>2</x:v>
      </x:c>
      <x:c r="G195" s="36" t="n">
        <x:v>5</x:v>
      </x:c>
      <x:c r="H195" s="43" t="n">
        <x:v>6002.139799762517</x:v>
      </x:c>
      <x:c r="I195" s="43" t="n">
        <x:v>4108.657999895513</x:v>
      </x:c>
      <x:c r="J195" s="43" t="n">
        <x:v>6044.146900065243</x:v>
      </x:c>
      <x:c r="K195" s="43" t="n">
        <x:v>4106.621700339019</x:v>
      </x:c>
      <x:c r="L195" s="45" t="b">
        <x:v>1</x:v>
      </x:c>
      <x:c r="M195" s="45" t="b">
        <x:v>1</x:v>
      </x:c>
      <x:c r="N195" s="45" t="b">
        <x:v>1</x:v>
      </x:c>
      <x:c r="O195" s="46" t="n">
        <x:v>2</x:v>
      </x:c>
      <x:c r="P195" s="46" t="n">
        <x:v>2</x:v>
      </x:c>
      <x:c r="Q195" s="46" t="n">
        <x:v>3.125</x:v>
      </x:c>
      <x:c r="R195" s="46" t="n">
        <x:v>10</x:v>
      </x:c>
      <x:c r="S195" s="46" t="n">
        <x:v>10</x:v>
      </x:c>
      <x:c r="T195" s="46" t="n">
        <x:v>12.125</x:v>
      </x:c>
      <x:c r="U195" s="46" t="n">
        <x:v>16.92199999978766</x:v>
      </x:c>
      <x:c r="V195" s="46" t="n">
        <x:v>2</x:v>
      </x:c>
      <x:c r="W195" s="46" t="n">
        <x:v>2</x:v>
      </x:c>
      <x:c r="X195" s="46" t="n">
        <x:v>3.0470000002533197</x:v>
      </x:c>
      <x:c r="Y195" s="46" t="n">
        <x:v>10</x:v>
      </x:c>
      <x:c r="Z195" s="46" t="n">
        <x:v>10</x:v>
      </x:c>
      <x:c r="AA195" s="46" t="n">
        <x:v>12.109000000171363</x:v>
      </x:c>
      <x:c r="AB195" s="46" t="n">
        <x:v>17.780999999959022</x:v>
      </x:c>
      <x:c r="AC195" s="61" t="n">
        <x:v>0</x:v>
      </x:c>
      <x:c r="AD195" s="61" t="n">
        <x:v>8478720</x:v>
      </x:c>
      <x:c r="AE195" s="45" t="b">
        <x:v>0</x:v>
      </x:c>
      <x:c r="AF195" s="45" t="b">
        <x:v>1</x:v>
      </x:c>
      <x:c r="AG195" s="45" t="b">
        <x:v>1</x:v>
      </x:c>
      <x:c r="AH195" s="45" t="b">
        <x:v>0</x:v>
      </x:c>
      <x:c r="AI195" s="36" t="n">
        <x:v>2</x:v>
      </x:c>
      <x:c r="AJ195" s="59" t="str">
        <x:v>JCS-ElementEventQueue-Thread-28#388 | JCS-ElementEventQueue-Thread-31#431</x:v>
      </x:c>
      <x:c r="AK195" s="45" t="b">
        <x:v>0</x:v>
      </x:c>
    </x:row>
    <x:row r="196" ht="22" customHeight="1">
      <x:c r="A196" s="24" t="str">
        <x:v>article1-unified-v4-2-fb3f101b-20260903-000401-default-f05-p1-jcs321</x:v>
      </x:c>
      <x:c r="B196" s="24" t="str">
        <x:v>default</x:v>
      </x:c>
      <x:c r="C196" s="24" t="str">
        <x:v>jcs321</x:v>
      </x:c>
      <x:c r="D196" s="36" t="n">
        <x:v>5</x:v>
      </x:c>
      <x:c r="E196" s="36" t="n">
        <x:v>5</x:v>
      </x:c>
      <x:c r="F196" s="36" t="n">
        <x:v>1</x:v>
      </x:c>
      <x:c r="G196" s="36" t="n">
        <x:v>1</x:v>
      </x:c>
      <x:c r="H196" s="43" t="n">
        <x:v>6740.084800403565</x:v>
      </x:c>
      <x:c r="I196" s="43" t="n">
        <x:v>4113.878100179136</x:v>
      </x:c>
      <x:c r="J196" s="43" t="n">
        <x:v>6238.885200116783</x:v>
      </x:c>
      <x:c r="K196" s="43" t="n">
        <x:v>4125.090599991381</x:v>
      </x:c>
      <x:c r="L196" s="45" t="b">
        <x:v>1</x:v>
      </x:c>
      <x:c r="M196" s="45" t="b">
        <x:v>1</x:v>
      </x:c>
      <x:c r="N196" s="45" t="b">
        <x:v>1</x:v>
      </x:c>
      <x:c r="O196" s="46" t="n">
        <x:v>2</x:v>
      </x:c>
      <x:c r="P196" s="46" t="n">
        <x:v>2</x:v>
      </x:c>
      <x:c r="Q196" s="46" t="n">
        <x:v>3.125</x:v>
      </x:c>
      <x:c r="R196" s="46" t="n">
        <x:v>10</x:v>
      </x:c>
      <x:c r="S196" s="46" t="n">
        <x:v>10</x:v>
      </x:c>
      <x:c r="T196" s="46" t="n">
        <x:v>12.094000000040978</x:v>
      </x:c>
      <x:c r="U196" s="46" t="n">
        <x:v>17.125</x:v>
      </x:c>
      <x:c r="V196" s="46" t="n">
        <x:v>2</x:v>
      </x:c>
      <x:c r="W196" s="46" t="n">
        <x:v>2</x:v>
      </x:c>
      <x:c r="X196" s="46" t="n">
        <x:v>3.0469999997876585</x:v>
      </x:c>
      <x:c r="Y196" s="46" t="n">
        <x:v>10</x:v>
      </x:c>
      <x:c r="Z196" s="46" t="n">
        <x:v>10</x:v>
      </x:c>
      <x:c r="AA196" s="46" t="n">
        <x:v>12.078999999910593</x:v>
      </x:c>
      <x:c r="AB196" s="46" t="n">
        <x:v>16.875</x:v>
      </x:c>
      <x:c r="AC196" s="61" t="n">
        <x:v>112497664</x:v>
      </x:c>
      <x:c r="AD196" s="61" t="n">
        <x:v>-12913664</x:v>
      </x:c>
      <x:c r="AE196" s="45" t="b">
        <x:v>0</x:v>
      </x:c>
      <x:c r="AF196" s="45" t="b">
        <x:v>1</x:v>
      </x:c>
      <x:c r="AG196" s="45" t="b">
        <x:v>1</x:v>
      </x:c>
      <x:c r="AH196" s="45" t="b">
        <x:v>0</x:v>
      </x:c>
      <x:c r="AI196" s="36" t="n">
        <x:v>2</x:v>
      </x:c>
      <x:c r="AJ196" s="59" t="str">
        <x:v>JCS-ElementEventQueue-Thread-4#49 | JCS-ElementEventQueue-Thread-7#91</x:v>
      </x:c>
      <x:c r="AK196" s="45" t="b">
        <x:v>0</x:v>
      </x:c>
    </x:row>
    <x:row r="197" ht="22" customHeight="1">
      <x:c r="A197" s="24" t="str">
        <x:v>article1-unified-v4-2-fb3f101b-20260903-000401-default-f05-p1-jcs321</x:v>
      </x:c>
      <x:c r="B197" s="24" t="str">
        <x:v>default</x:v>
      </x:c>
      <x:c r="C197" s="24" t="str">
        <x:v>jcs321</x:v>
      </x:c>
      <x:c r="D197" s="36" t="n">
        <x:v>5</x:v>
      </x:c>
      <x:c r="E197" s="36" t="n">
        <x:v>5</x:v>
      </x:c>
      <x:c r="F197" s="36" t="n">
        <x:v>1</x:v>
      </x:c>
      <x:c r="G197" s="36" t="n">
        <x:v>2</x:v>
      </x:c>
      <x:c r="H197" s="43" t="n">
        <x:v>6145.120000001043</x:v>
      </x:c>
      <x:c r="I197" s="43" t="n">
        <x:v>4102.065999992192</x:v>
      </x:c>
      <x:c r="J197" s="43" t="n">
        <x:v>5988.160100299865</x:v>
      </x:c>
      <x:c r="K197" s="43" t="n">
        <x:v>4119.425600394607</x:v>
      </x:c>
      <x:c r="L197" s="45" t="b">
        <x:v>1</x:v>
      </x:c>
      <x:c r="M197" s="45" t="b">
        <x:v>1</x:v>
      </x:c>
      <x:c r="N197" s="45" t="b">
        <x:v>1</x:v>
      </x:c>
      <x:c r="O197" s="46" t="n">
        <x:v>2</x:v>
      </x:c>
      <x:c r="P197" s="46" t="n">
        <x:v>2</x:v>
      </x:c>
      <x:c r="Q197" s="46" t="n">
        <x:v>3.0779999997466803</x:v>
      </x:c>
      <x:c r="R197" s="46" t="n">
        <x:v>10</x:v>
      </x:c>
      <x:c r="S197" s="46" t="n">
        <x:v>10</x:v>
      </x:c>
      <x:c r="T197" s="46" t="n">
        <x:v>12.07799999974668</x:v>
      </x:c>
      <x:c r="U197" s="46" t="n">
        <x:v>17.014999999664724</x:v>
      </x:c>
      <x:c r="V197" s="46" t="n">
        <x:v>2</x:v>
      </x:c>
      <x:c r="W197" s="46" t="n">
        <x:v>2</x:v>
      </x:c>
      <x:c r="X197" s="46" t="n">
        <x:v>3.1090000001713634</x:v>
      </x:c>
      <x:c r="Y197" s="46" t="n">
        <x:v>10</x:v>
      </x:c>
      <x:c r="Z197" s="46" t="n">
        <x:v>10.015000000130385</x:v>
      </x:c>
      <x:c r="AA197" s="46" t="n">
        <x:v>12.125</x:v>
      </x:c>
      <x:c r="AB197" s="46" t="n">
        <x:v>16.734000000171363</x:v>
      </x:c>
      <x:c r="AC197" s="61" t="n">
        <x:v>0</x:v>
      </x:c>
      <x:c r="AD197" s="61" t="n">
        <x:v>8465408</x:v>
      </x:c>
      <x:c r="AE197" s="45" t="b">
        <x:v>0</x:v>
      </x:c>
      <x:c r="AF197" s="45" t="b">
        <x:v>1</x:v>
      </x:c>
      <x:c r="AG197" s="45" t="b">
        <x:v>1</x:v>
      </x:c>
      <x:c r="AH197" s="45" t="b">
        <x:v>0</x:v>
      </x:c>
      <x:c r="AI197" s="36" t="n">
        <x:v>2</x:v>
      </x:c>
      <x:c r="AJ197" s="59" t="str">
        <x:v>JCS-ElementEventQueue-Thread-10#133 | JCS-ElementEventQueue-Thread-13#176</x:v>
      </x:c>
      <x:c r="AK197" s="45" t="b">
        <x:v>0</x:v>
      </x:c>
    </x:row>
    <x:row r="198" ht="22" customHeight="1">
      <x:c r="A198" s="24" t="str">
        <x:v>article1-unified-v4-2-fb3f101b-20260903-000401-default-f05-p1-jcs321</x:v>
      </x:c>
      <x:c r="B198" s="24" t="str">
        <x:v>default</x:v>
      </x:c>
      <x:c r="C198" s="24" t="str">
        <x:v>jcs321</x:v>
      </x:c>
      <x:c r="D198" s="36" t="n">
        <x:v>5</x:v>
      </x:c>
      <x:c r="E198" s="36" t="n">
        <x:v>5</x:v>
      </x:c>
      <x:c r="F198" s="36" t="n">
        <x:v>1</x:v>
      </x:c>
      <x:c r="G198" s="36" t="n">
        <x:v>3</x:v>
      </x:c>
      <x:c r="H198" s="43" t="n">
        <x:v>6072.478400077671</x:v>
      </x:c>
      <x:c r="I198" s="43" t="n">
        <x:v>4141.467600129545</x:v>
      </x:c>
      <x:c r="J198" s="43" t="n">
        <x:v>6297.722600400448</x:v>
      </x:c>
      <x:c r="K198" s="43" t="n">
        <x:v>4124.365800060332</x:v>
      </x:c>
      <x:c r="L198" s="45" t="b">
        <x:v>1</x:v>
      </x:c>
      <x:c r="M198" s="45" t="b">
        <x:v>1</x:v>
      </x:c>
      <x:c r="N198" s="45" t="b">
        <x:v>1</x:v>
      </x:c>
      <x:c r="O198" s="46" t="n">
        <x:v>2</x:v>
      </x:c>
      <x:c r="P198" s="46" t="n">
        <x:v>2</x:v>
      </x:c>
      <x:c r="Q198" s="46" t="n">
        <x:v>3.0780000002123415</x:v>
      </x:c>
      <x:c r="R198" s="46" t="n">
        <x:v>10</x:v>
      </x:c>
      <x:c r="S198" s="46" t="n">
        <x:v>10</x:v>
      </x:c>
      <x:c r="T198" s="46" t="n">
        <x:v>12.094000000040978</x:v>
      </x:c>
      <x:c r="U198" s="46" t="n">
        <x:v>16.75</x:v>
      </x:c>
      <x:c r="V198" s="46" t="n">
        <x:v>2</x:v>
      </x:c>
      <x:c r="W198" s="46" t="n">
        <x:v>2</x:v>
      </x:c>
      <x:c r="X198" s="46" t="n">
        <x:v>3.0779999997466803</x:v>
      </x:c>
      <x:c r="Y198" s="46" t="n">
        <x:v>10</x:v>
      </x:c>
      <x:c r="Z198" s="46" t="n">
        <x:v>10</x:v>
      </x:c>
      <x:c r="AA198" s="46" t="n">
        <x:v>12.109999999869615</x:v>
      </x:c>
      <x:c r="AB198" s="46" t="n">
        <x:v>16.969000000040978</x:v>
      </x:c>
      <x:c r="AC198" s="61" t="n">
        <x:v>0</x:v>
      </x:c>
      <x:c r="AD198" s="61" t="n">
        <x:v>8463360</x:v>
      </x:c>
      <x:c r="AE198" s="45" t="b">
        <x:v>0</x:v>
      </x:c>
      <x:c r="AF198" s="45" t="b">
        <x:v>1</x:v>
      </x:c>
      <x:c r="AG198" s="45" t="b">
        <x:v>1</x:v>
      </x:c>
      <x:c r="AH198" s="45" t="b">
        <x:v>0</x:v>
      </x:c>
      <x:c r="AI198" s="36" t="n">
        <x:v>2</x:v>
      </x:c>
      <x:c r="AJ198" s="59" t="str">
        <x:v>JCS-ElementEventQueue-Thread-16#218 | JCS-ElementEventQueue-Thread-19#261</x:v>
      </x:c>
      <x:c r="AK198" s="45" t="b">
        <x:v>0</x:v>
      </x:c>
    </x:row>
    <x:row r="199" ht="22" customHeight="1">
      <x:c r="A199" s="24" t="str">
        <x:v>article1-unified-v4-2-fb3f101b-20260903-000401-default-f05-p1-jcs321</x:v>
      </x:c>
      <x:c r="B199" s="24" t="str">
        <x:v>default</x:v>
      </x:c>
      <x:c r="C199" s="24" t="str">
        <x:v>jcs321</x:v>
      </x:c>
      <x:c r="D199" s="36" t="n">
        <x:v>5</x:v>
      </x:c>
      <x:c r="E199" s="36" t="n">
        <x:v>5</x:v>
      </x:c>
      <x:c r="F199" s="36" t="n">
        <x:v>1</x:v>
      </x:c>
      <x:c r="G199" s="36" t="n">
        <x:v>4</x:v>
      </x:c>
      <x:c r="H199" s="43" t="n">
        <x:v>6166.676299646497</x:v>
      </x:c>
      <x:c r="I199" s="43" t="n">
        <x:v>4119.3643999286</x:v>
      </x:c>
      <x:c r="J199" s="43" t="n">
        <x:v>6035.182099789381</x:v>
      </x:c>
      <x:c r="K199" s="43" t="n">
        <x:v>4127.70720012486</x:v>
      </x:c>
      <x:c r="L199" s="45" t="b">
        <x:v>1</x:v>
      </x:c>
      <x:c r="M199" s="45" t="b">
        <x:v>1</x:v>
      </x:c>
      <x:c r="N199" s="45" t="b">
        <x:v>1</x:v>
      </x:c>
      <x:c r="O199" s="46" t="n">
        <x:v>2</x:v>
      </x:c>
      <x:c r="P199" s="46" t="n">
        <x:v>2</x:v>
      </x:c>
      <x:c r="Q199" s="46" t="n">
        <x:v>3.265000000130385</x:v>
      </x:c>
      <x:c r="R199" s="46" t="n">
        <x:v>10</x:v>
      </x:c>
      <x:c r="S199" s="46" t="n">
        <x:v>10</x:v>
      </x:c>
      <x:c r="T199" s="46" t="n">
        <x:v>12.094000000040978</x:v>
      </x:c>
      <x:c r="U199" s="46" t="n">
        <x:v>16.811999999918044</x:v>
      </x:c>
      <x:c r="V199" s="46" t="n">
        <x:v>2</x:v>
      </x:c>
      <x:c r="W199" s="46" t="n">
        <x:v>2</x:v>
      </x:c>
      <x:c r="X199" s="46" t="n">
        <x:v>2.9840000001713634</x:v>
      </x:c>
      <x:c r="Y199" s="46" t="n">
        <x:v>10</x:v>
      </x:c>
      <x:c r="Z199" s="46" t="n">
        <x:v>10</x:v>
      </x:c>
      <x:c r="AA199" s="46" t="n">
        <x:v>12.094000000040978</x:v>
      </x:c>
      <x:c r="AB199" s="46" t="n">
        <x:v>17.344000000040978</x:v>
      </x:c>
      <x:c r="AC199" s="61" t="n">
        <x:v>0</x:v>
      </x:c>
      <x:c r="AD199" s="61" t="n">
        <x:v>8522752</x:v>
      </x:c>
      <x:c r="AE199" s="45" t="b">
        <x:v>0</x:v>
      </x:c>
      <x:c r="AF199" s="45" t="b">
        <x:v>1</x:v>
      </x:c>
      <x:c r="AG199" s="45" t="b">
        <x:v>1</x:v>
      </x:c>
      <x:c r="AH199" s="45" t="b">
        <x:v>0</x:v>
      </x:c>
      <x:c r="AI199" s="36" t="n">
        <x:v>2</x:v>
      </x:c>
      <x:c r="AJ199" s="59" t="str">
        <x:v>JCS-ElementEventQueue-Thread-22#303 | JCS-ElementEventQueue-Thread-25#346</x:v>
      </x:c>
      <x:c r="AK199" s="45" t="b">
        <x:v>0</x:v>
      </x:c>
    </x:row>
    <x:row r="200" ht="22" customHeight="1">
      <x:c r="A200" s="24" t="str">
        <x:v>article1-unified-v4-2-fb3f101b-20260903-000401-default-f05-p1-jcs321</x:v>
      </x:c>
      <x:c r="B200" s="24" t="str">
        <x:v>default</x:v>
      </x:c>
      <x:c r="C200" s="24" t="str">
        <x:v>jcs321</x:v>
      </x:c>
      <x:c r="D200" s="36" t="n">
        <x:v>5</x:v>
      </x:c>
      <x:c r="E200" s="36" t="n">
        <x:v>5</x:v>
      </x:c>
      <x:c r="F200" s="36" t="n">
        <x:v>1</x:v>
      </x:c>
      <x:c r="G200" s="36" t="n">
        <x:v>5</x:v>
      </x:c>
      <x:c r="H200" s="43" t="n">
        <x:v>6001.614000182599</x:v>
      </x:c>
      <x:c r="I200" s="43" t="n">
        <x:v>4102.261300198734</x:v>
      </x:c>
      <x:c r="J200" s="43" t="n">
        <x:v>6002.811900340021</x:v>
      </x:c>
      <x:c r="K200" s="43" t="n">
        <x:v>4114.64470019564</x:v>
      </x:c>
      <x:c r="L200" s="45" t="b">
        <x:v>1</x:v>
      </x:c>
      <x:c r="M200" s="45" t="b">
        <x:v>1</x:v>
      </x:c>
      <x:c r="N200" s="45" t="b">
        <x:v>1</x:v>
      </x:c>
      <x:c r="O200" s="46" t="n">
        <x:v>2</x:v>
      </x:c>
      <x:c r="P200" s="46" t="n">
        <x:v>2</x:v>
      </x:c>
      <x:c r="Q200" s="46" t="n">
        <x:v>3.375</x:v>
      </x:c>
      <x:c r="R200" s="46" t="n">
        <x:v>10</x:v>
      </x:c>
      <x:c r="S200" s="46" t="n">
        <x:v>10.015000000130385</x:v>
      </x:c>
      <x:c r="T200" s="46" t="n">
        <x:v>12.125</x:v>
      </x:c>
      <x:c r="U200" s="46" t="n">
        <x:v>16.717999999877065</x:v>
      </x:c>
      <x:c r="V200" s="46" t="n">
        <x:v>2</x:v>
      </x:c>
      <x:c r="W200" s="46" t="n">
        <x:v>2</x:v>
      </x:c>
      <x:c r="X200" s="46" t="n">
        <x:v>2.9530000002123415</x:v>
      </x:c>
      <x:c r="Y200" s="46" t="n">
        <x:v>10</x:v>
      </x:c>
      <x:c r="Z200" s="46" t="n">
        <x:v>10</x:v>
      </x:c>
      <x:c r="AA200" s="46" t="n">
        <x:v>12.125</x:v>
      </x:c>
      <x:c r="AB200" s="46" t="n">
        <x:v>17.32800000021234</x:v>
      </x:c>
      <x:c r="AC200" s="61" t="n">
        <x:v>0</x:v>
      </x:c>
      <x:c r="AD200" s="61" t="n">
        <x:v>8469504</x:v>
      </x:c>
      <x:c r="AE200" s="45" t="b">
        <x:v>0</x:v>
      </x:c>
      <x:c r="AF200" s="45" t="b">
        <x:v>1</x:v>
      </x:c>
      <x:c r="AG200" s="45" t="b">
        <x:v>1</x:v>
      </x:c>
      <x:c r="AH200" s="45" t="b">
        <x:v>0</x:v>
      </x:c>
      <x:c r="AI200" s="36" t="n">
        <x:v>2</x:v>
      </x:c>
      <x:c r="AJ200" s="59" t="str">
        <x:v>JCS-ElementEventQueue-Thread-28#388 | JCS-ElementEventQueue-Thread-31#431</x:v>
      </x:c>
      <x:c r="AK200" s="45" t="b">
        <x:v>0</x:v>
      </x:c>
    </x:row>
    <x:row r="201" ht="22" customHeight="1">
      <x:c r="A201" s="24" t="str">
        <x:v>article1-unified-v4-2-fb3f101b-20260903-000401-default-f06-p3-jcs321</x:v>
      </x:c>
      <x:c r="B201" s="24" t="str">
        <x:v>default</x:v>
      </x:c>
      <x:c r="C201" s="24" t="str">
        <x:v>jcs321</x:v>
      </x:c>
      <x:c r="D201" s="36" t="n">
        <x:v>6</x:v>
      </x:c>
      <x:c r="E201" s="36" t="n">
        <x:v>6</x:v>
      </x:c>
      <x:c r="F201" s="36" t="n">
        <x:v>3</x:v>
      </x:c>
      <x:c r="G201" s="36" t="n">
        <x:v>1</x:v>
      </x:c>
      <x:c r="H201" s="43" t="n">
        <x:v>7180.681800004095</x:v>
      </x:c>
      <x:c r="I201" s="43" t="n">
        <x:v>4120.124400127679</x:v>
      </x:c>
      <x:c r="J201" s="43" t="n">
        <x:v>6453.281600028276</x:v>
      </x:c>
      <x:c r="K201" s="43" t="n">
        <x:v>4123.225700110197</x:v>
      </x:c>
      <x:c r="L201" s="45" t="b">
        <x:v>1</x:v>
      </x:c>
      <x:c r="M201" s="45" t="b">
        <x:v>1</x:v>
      </x:c>
      <x:c r="N201" s="45" t="b">
        <x:v>1</x:v>
      </x:c>
      <x:c r="O201" s="46" t="n">
        <x:v>2</x:v>
      </x:c>
      <x:c r="P201" s="46" t="n">
        <x:v>2</x:v>
      </x:c>
      <x:c r="Q201" s="46" t="n">
        <x:v>3.3130000000819564</x:v>
      </x:c>
      <x:c r="R201" s="46" t="n">
        <x:v>10</x:v>
      </x:c>
      <x:c r="S201" s="46" t="n">
        <x:v>10</x:v>
      </x:c>
      <x:c r="T201" s="46" t="n">
        <x:v>12.078000000212342</x:v>
      </x:c>
      <x:c r="U201" s="46" t="n">
        <x:v>16.905999999959022</x:v>
      </x:c>
      <x:c r="V201" s="46" t="n">
        <x:v>2</x:v>
      </x:c>
      <x:c r="W201" s="46" t="n">
        <x:v>2</x:v>
      </x:c>
      <x:c r="X201" s="46" t="n">
        <x:v>3.110000000335276</x:v>
      </x:c>
      <x:c r="Y201" s="46" t="n">
        <x:v>10</x:v>
      </x:c>
      <x:c r="Z201" s="46" t="n">
        <x:v>10</x:v>
      </x:c>
      <x:c r="AA201" s="46" t="n">
        <x:v>12.094000000040978</x:v>
      </x:c>
      <x:c r="AB201" s="46" t="n">
        <x:v>16.70300000021234</x:v>
      </x:c>
      <x:c r="AC201" s="61" t="n">
        <x:v>113821696</x:v>
      </x:c>
      <x:c r="AD201" s="61" t="n">
        <x:v>-13556736</x:v>
      </x:c>
      <x:c r="AE201" s="45" t="b">
        <x:v>0</x:v>
      </x:c>
      <x:c r="AF201" s="45" t="b">
        <x:v>1</x:v>
      </x:c>
      <x:c r="AG201" s="45" t="b">
        <x:v>1</x:v>
      </x:c>
      <x:c r="AH201" s="45" t="b">
        <x:v>0</x:v>
      </x:c>
      <x:c r="AI201" s="36" t="n">
        <x:v>2</x:v>
      </x:c>
      <x:c r="AJ201" s="59" t="str">
        <x:v>JCS-ElementEventQueue-Thread-4#49 | JCS-ElementEventQueue-Thread-7#91</x:v>
      </x:c>
      <x:c r="AK201" s="45" t="b">
        <x:v>0</x:v>
      </x:c>
    </x:row>
    <x:row r="202" ht="22" customHeight="1">
      <x:c r="A202" s="24" t="str">
        <x:v>article1-unified-v4-2-fb3f101b-20260903-000401-default-f06-p3-jcs321</x:v>
      </x:c>
      <x:c r="B202" s="24" t="str">
        <x:v>default</x:v>
      </x:c>
      <x:c r="C202" s="24" t="str">
        <x:v>jcs321</x:v>
      </x:c>
      <x:c r="D202" s="36" t="n">
        <x:v>6</x:v>
      </x:c>
      <x:c r="E202" s="36" t="n">
        <x:v>6</x:v>
      </x:c>
      <x:c r="F202" s="36" t="n">
        <x:v>3</x:v>
      </x:c>
      <x:c r="G202" s="36" t="n">
        <x:v>2</x:v>
      </x:c>
      <x:c r="H202" s="43" t="n">
        <x:v>6151.456099934876</x:v>
      </x:c>
      <x:c r="I202" s="43" t="n">
        <x:v>4110.049900133163</x:v>
      </x:c>
      <x:c r="J202" s="43" t="n">
        <x:v>6090.547799598426</x:v>
      </x:c>
      <x:c r="K202" s="43" t="n">
        <x:v>4135.0265997461975</x:v>
      </x:c>
      <x:c r="L202" s="45" t="b">
        <x:v>1</x:v>
      </x:c>
      <x:c r="M202" s="45" t="b">
        <x:v>1</x:v>
      </x:c>
      <x:c r="N202" s="45" t="b">
        <x:v>1</x:v>
      </x:c>
      <x:c r="O202" s="46" t="n">
        <x:v>2</x:v>
      </x:c>
      <x:c r="P202" s="46" t="n">
        <x:v>2</x:v>
      </x:c>
      <x:c r="Q202" s="46" t="n">
        <x:v>3.0619999999180436</x:v>
      </x:c>
      <x:c r="R202" s="46" t="n">
        <x:v>10</x:v>
      </x:c>
      <x:c r="S202" s="46" t="n">
        <x:v>10</x:v>
      </x:c>
      <x:c r="T202" s="46" t="n">
        <x:v>12.094000000040978</x:v>
      </x:c>
      <x:c r="U202" s="46" t="n">
        <x:v>17.20299999974668</x:v>
      </x:c>
      <x:c r="V202" s="46" t="n">
        <x:v>2</x:v>
      </x:c>
      <x:c r="W202" s="46" t="n">
        <x:v>2</x:v>
      </x:c>
      <x:c r="X202" s="46" t="n">
        <x:v>3.0470000002533197</x:v>
      </x:c>
      <x:c r="Y202" s="46" t="n">
        <x:v>10</x:v>
      </x:c>
      <x:c r="Z202" s="46" t="n">
        <x:v>10.016000000294298</x:v>
      </x:c>
      <x:c r="AA202" s="46" t="n">
        <x:v>12.094000000040978</x:v>
      </x:c>
      <x:c r="AB202" s="46" t="n">
        <x:v>17.17200000025332</x:v>
      </x:c>
      <x:c r="AC202" s="61" t="n">
        <x:v>0</x:v>
      </x:c>
      <x:c r="AD202" s="61" t="n">
        <x:v>8515584</x:v>
      </x:c>
      <x:c r="AE202" s="45" t="b">
        <x:v>0</x:v>
      </x:c>
      <x:c r="AF202" s="45" t="b">
        <x:v>1</x:v>
      </x:c>
      <x:c r="AG202" s="45" t="b">
        <x:v>1</x:v>
      </x:c>
      <x:c r="AH202" s="45" t="b">
        <x:v>0</x:v>
      </x:c>
      <x:c r="AI202" s="36" t="n">
        <x:v>2</x:v>
      </x:c>
      <x:c r="AJ202" s="59" t="str">
        <x:v>JCS-ElementEventQueue-Thread-10#133 | JCS-ElementEventQueue-Thread-13#176</x:v>
      </x:c>
      <x:c r="AK202" s="45" t="b">
        <x:v>0</x:v>
      </x:c>
    </x:row>
    <x:row r="203" ht="22" customHeight="1">
      <x:c r="A203" s="24" t="str">
        <x:v>article1-unified-v4-2-fb3f101b-20260903-000401-default-f06-p3-jcs321</x:v>
      </x:c>
      <x:c r="B203" s="24" t="str">
        <x:v>default</x:v>
      </x:c>
      <x:c r="C203" s="24" t="str">
        <x:v>jcs321</x:v>
      </x:c>
      <x:c r="D203" s="36" t="n">
        <x:v>6</x:v>
      </x:c>
      <x:c r="E203" s="36" t="n">
        <x:v>6</x:v>
      </x:c>
      <x:c r="F203" s="36" t="n">
        <x:v>3</x:v>
      </x:c>
      <x:c r="G203" s="36" t="n">
        <x:v>3</x:v>
      </x:c>
      <x:c r="H203" s="43" t="n">
        <x:v>6147.795899771154</x:v>
      </x:c>
      <x:c r="I203" s="43" t="n">
        <x:v>4100.33019958064</x:v>
      </x:c>
      <x:c r="J203" s="43" t="n">
        <x:v>5969.925300218165</x:v>
      </x:c>
      <x:c r="K203" s="43" t="n">
        <x:v>4129.368000198156</x:v>
      </x:c>
      <x:c r="L203" s="45" t="b">
        <x:v>1</x:v>
      </x:c>
      <x:c r="M203" s="45" t="b">
        <x:v>1</x:v>
      </x:c>
      <x:c r="N203" s="45" t="b">
        <x:v>1</x:v>
      </x:c>
      <x:c r="O203" s="46" t="n">
        <x:v>2</x:v>
      </x:c>
      <x:c r="P203" s="46" t="n">
        <x:v>2</x:v>
      </x:c>
      <x:c r="Q203" s="46" t="n">
        <x:v>3</x:v>
      </x:c>
      <x:c r="R203" s="46" t="n">
        <x:v>10</x:v>
      </x:c>
      <x:c r="S203" s="46" t="n">
        <x:v>10</x:v>
      </x:c>
      <x:c r="T203" s="46" t="n">
        <x:v>12.061999999918044</x:v>
      </x:c>
      <x:c r="U203" s="46" t="n">
        <x:v>16.640000000130385</x:v>
      </x:c>
      <x:c r="V203" s="46" t="n">
        <x:v>2</x:v>
      </x:c>
      <x:c r="W203" s="46" t="n">
        <x:v>2</x:v>
      </x:c>
      <x:c r="X203" s="46" t="n">
        <x:v>3.0469999997876585</x:v>
      </x:c>
      <x:c r="Y203" s="46" t="n">
        <x:v>10</x:v>
      </x:c>
      <x:c r="Z203" s="46" t="n">
        <x:v>10.015999999828637</x:v>
      </x:c>
      <x:c r="AA203" s="46" t="n">
        <x:v>12.094000000040978</x:v>
      </x:c>
      <x:c r="AB203" s="46" t="n">
        <x:v>16.890999999828637</x:v>
      </x:c>
      <x:c r="AC203" s="61" t="n">
        <x:v>0</x:v>
      </x:c>
      <x:c r="AD203" s="61" t="n">
        <x:v>8466432</x:v>
      </x:c>
      <x:c r="AE203" s="45" t="b">
        <x:v>0</x:v>
      </x:c>
      <x:c r="AF203" s="45" t="b">
        <x:v>1</x:v>
      </x:c>
      <x:c r="AG203" s="45" t="b">
        <x:v>1</x:v>
      </x:c>
      <x:c r="AH203" s="45" t="b">
        <x:v>0</x:v>
      </x:c>
      <x:c r="AI203" s="36" t="n">
        <x:v>2</x:v>
      </x:c>
      <x:c r="AJ203" s="59" t="str">
        <x:v>JCS-ElementEventQueue-Thread-16#218 | JCS-ElementEventQueue-Thread-19#261</x:v>
      </x:c>
      <x:c r="AK203" s="45" t="b">
        <x:v>0</x:v>
      </x:c>
    </x:row>
    <x:row r="204" ht="22" customHeight="1">
      <x:c r="A204" s="24" t="str">
        <x:v>article1-unified-v4-2-fb3f101b-20260903-000401-default-f06-p3-jcs321</x:v>
      </x:c>
      <x:c r="B204" s="24" t="str">
        <x:v>default</x:v>
      </x:c>
      <x:c r="C204" s="24" t="str">
        <x:v>jcs321</x:v>
      </x:c>
      <x:c r="D204" s="36" t="n">
        <x:v>6</x:v>
      </x:c>
      <x:c r="E204" s="36" t="n">
        <x:v>6</x:v>
      </x:c>
      <x:c r="F204" s="36" t="n">
        <x:v>3</x:v>
      </x:c>
      <x:c r="G204" s="36" t="n">
        <x:v>4</x:v>
      </x:c>
      <x:c r="H204" s="43" t="n">
        <x:v>6085.406800266355</x:v>
      </x:c>
      <x:c r="I204" s="43" t="n">
        <x:v>4109.598600305617</x:v>
      </x:c>
      <x:c r="J204" s="43" t="n">
        <x:v>5990.945000201464</x:v>
      </x:c>
      <x:c r="K204" s="43" t="n">
        <x:v>4130.161200184375</x:v>
      </x:c>
      <x:c r="L204" s="45" t="b">
        <x:v>1</x:v>
      </x:c>
      <x:c r="M204" s="45" t="b">
        <x:v>1</x:v>
      </x:c>
      <x:c r="N204" s="45" t="b">
        <x:v>1</x:v>
      </x:c>
      <x:c r="O204" s="46" t="n">
        <x:v>2</x:v>
      </x:c>
      <x:c r="P204" s="46" t="n">
        <x:v>2</x:v>
      </x:c>
      <x:c r="Q204" s="46" t="n">
        <x:v>3</x:v>
      </x:c>
      <x:c r="R204" s="46" t="n">
        <x:v>10</x:v>
      </x:c>
      <x:c r="S204" s="46" t="n">
        <x:v>10</x:v>
      </x:c>
      <x:c r="T204" s="46" t="n">
        <x:v>12.094000000040978</x:v>
      </x:c>
      <x:c r="U204" s="46" t="n">
        <x:v>16.905999999959022</x:v>
      </x:c>
      <x:c r="V204" s="46" t="n">
        <x:v>2</x:v>
      </x:c>
      <x:c r="W204" s="46" t="n">
        <x:v>2</x:v>
      </x:c>
      <x:c r="X204" s="46" t="n">
        <x:v>3.1880000000819564</x:v>
      </x:c>
      <x:c r="Y204" s="46" t="n">
        <x:v>10</x:v>
      </x:c>
      <x:c r="Z204" s="46" t="n">
        <x:v>10</x:v>
      </x:c>
      <x:c r="AA204" s="46" t="n">
        <x:v>12.094000000040978</x:v>
      </x:c>
      <x:c r="AB204" s="46" t="n">
        <x:v>16.594000000040978</x:v>
      </x:c>
      <x:c r="AC204" s="61" t="n">
        <x:v>0</x:v>
      </x:c>
      <x:c r="AD204" s="61" t="n">
        <x:v>8571904</x:v>
      </x:c>
      <x:c r="AE204" s="45" t="b">
        <x:v>0</x:v>
      </x:c>
      <x:c r="AF204" s="45" t="b">
        <x:v>1</x:v>
      </x:c>
      <x:c r="AG204" s="45" t="b">
        <x:v>1</x:v>
      </x:c>
      <x:c r="AH204" s="45" t="b">
        <x:v>0</x:v>
      </x:c>
      <x:c r="AI204" s="36" t="n">
        <x:v>2</x:v>
      </x:c>
      <x:c r="AJ204" s="59" t="str">
        <x:v>JCS-ElementEventQueue-Thread-22#303 | JCS-ElementEventQueue-Thread-25#346</x:v>
      </x:c>
      <x:c r="AK204" s="45" t="b">
        <x:v>0</x:v>
      </x:c>
    </x:row>
    <x:row r="205" ht="22" customHeight="1">
      <x:c r="A205" s="24" t="str">
        <x:v>article1-unified-v4-2-fb3f101b-20260903-000401-default-f06-p3-jcs321</x:v>
      </x:c>
      <x:c r="B205" s="24" t="str">
        <x:v>default</x:v>
      </x:c>
      <x:c r="C205" s="24" t="str">
        <x:v>jcs321</x:v>
      </x:c>
      <x:c r="D205" s="36" t="n">
        <x:v>6</x:v>
      </x:c>
      <x:c r="E205" s="36" t="n">
        <x:v>6</x:v>
      </x:c>
      <x:c r="F205" s="36" t="n">
        <x:v>3</x:v>
      </x:c>
      <x:c r="G205" s="36" t="n">
        <x:v>5</x:v>
      </x:c>
      <x:c r="H205" s="43" t="n">
        <x:v>6070.665800012648</x:v>
      </x:c>
      <x:c r="I205" s="43" t="n">
        <x:v>4115.23550003767</x:v>
      </x:c>
      <x:c r="J205" s="43" t="n">
        <x:v>5952.799799852073</x:v>
      </x:c>
      <x:c r="K205" s="43" t="n">
        <x:v>4106.651100330055</x:v>
      </x:c>
      <x:c r="L205" s="45" t="b">
        <x:v>1</x:v>
      </x:c>
      <x:c r="M205" s="45" t="b">
        <x:v>1</x:v>
      </x:c>
      <x:c r="N205" s="45" t="b">
        <x:v>1</x:v>
      </x:c>
      <x:c r="O205" s="46" t="n">
        <x:v>2</x:v>
      </x:c>
      <x:c r="P205" s="46" t="n">
        <x:v>2</x:v>
      </x:c>
      <x:c r="Q205" s="46" t="n">
        <x:v>2.905999999959022</x:v>
      </x:c>
      <x:c r="R205" s="46" t="n">
        <x:v>10</x:v>
      </x:c>
      <x:c r="S205" s="46" t="n">
        <x:v>10</x:v>
      </x:c>
      <x:c r="T205" s="46" t="n">
        <x:v>12.125</x:v>
      </x:c>
      <x:c r="U205" s="46" t="n">
        <x:v>17.030999999959022</x:v>
      </x:c>
      <x:c r="V205" s="46" t="n">
        <x:v>2</x:v>
      </x:c>
      <x:c r="W205" s="46" t="n">
        <x:v>2</x:v>
      </x:c>
      <x:c r="X205" s="46" t="n">
        <x:v>3.016000000294298</x:v>
      </x:c>
      <x:c r="Y205" s="46" t="n">
        <x:v>10</x:v>
      </x:c>
      <x:c r="Z205" s="46" t="n">
        <x:v>10</x:v>
      </x:c>
      <x:c r="AA205" s="46" t="n">
        <x:v>12.125</x:v>
      </x:c>
      <x:c r="AB205" s="46" t="n">
        <x:v>17.109000000171363</x:v>
      </x:c>
      <x:c r="AC205" s="61" t="n">
        <x:v>0</x:v>
      </x:c>
      <x:c r="AD205" s="61" t="n">
        <x:v>8455168</x:v>
      </x:c>
      <x:c r="AE205" s="45" t="b">
        <x:v>0</x:v>
      </x:c>
      <x:c r="AF205" s="45" t="b">
        <x:v>1</x:v>
      </x:c>
      <x:c r="AG205" s="45" t="b">
        <x:v>1</x:v>
      </x:c>
      <x:c r="AH205" s="45" t="b">
        <x:v>0</x:v>
      </x:c>
      <x:c r="AI205" s="36" t="n">
        <x:v>2</x:v>
      </x:c>
      <x:c r="AJ205" s="59" t="str">
        <x:v>JCS-ElementEventQueue-Thread-28#388 | JCS-ElementEventQueue-Thread-31#431</x:v>
      </x:c>
      <x:c r="AK205" s="45" t="b">
        <x:v>0</x:v>
      </x:c>
    </x:row>
    <x:row r="206" ht="22" customHeight="1">
      <x:c r="A206" s="24" t="str">
        <x:v>article1-unified-v4-2-fb3f101b-20260903-000401-default-f01-p3-nostore</x:v>
      </x:c>
      <x:c r="B206" s="24" t="str">
        <x:v>default</x:v>
      </x:c>
      <x:c r="C206" s="24" t="str">
        <x:v>nostore</x:v>
      </x:c>
      <x:c r="D206" s="36" t="n">
        <x:v>1</x:v>
      </x:c>
      <x:c r="E206" s="36" t="n">
        <x:v>1</x:v>
      </x:c>
      <x:c r="F206" s="36" t="n">
        <x:v>3</x:v>
      </x:c>
      <x:c r="G206" s="36" t="n">
        <x:v>1</x:v>
      </x:c>
      <x:c r="H206" s="43" t="n">
        <x:v>7602.089500054717</x:v>
      </x:c>
      <x:c r="I206" s="43" t="n">
        <x:v>4104.699099902064</x:v>
      </x:c>
      <x:c r="J206" s="43" t="n">
        <x:v>6639.976100064814</x:v>
      </x:c>
      <x:c r="K206" s="43" t="n">
        <x:v>4087.784900330007</x:v>
      </x:c>
      <x:c r="L206" s="45" t="b">
        <x:v>1</x:v>
      </x:c>
      <x:c r="M206" s="45" t="b">
        <x:v>1</x:v>
      </x:c>
      <x:c r="N206" s="45" t="b">
        <x:v>1</x:v>
      </x:c>
      <x:c r="O206" s="46" t="n">
        <x:v>2</x:v>
      </x:c>
      <x:c r="P206" s="46" t="n">
        <x:v>2</x:v>
      </x:c>
      <x:c r="Q206" s="46" t="n">
        <x:v>3.2659999998286366</x:v>
      </x:c>
      <x:c r="R206" s="46" t="n">
        <x:v>10</x:v>
      </x:c>
      <x:c r="S206" s="46" t="n">
        <x:v>10.015999999828637</x:v>
      </x:c>
      <x:c r="T206" s="46" t="n">
        <x:v>12.078999999910593</x:v>
      </x:c>
      <x:c r="U206" s="46" t="n">
        <x:v>17.469000000040978</x:v>
      </x:c>
      <x:c r="V206" s="46" t="n">
        <x:v>2</x:v>
      </x:c>
      <x:c r="W206" s="46" t="n">
        <x:v>2</x:v>
      </x:c>
      <x:c r="X206" s="46" t="n">
        <x:v>2.9529999997466803</x:v>
      </x:c>
      <x:c r="Y206" s="46" t="n">
        <x:v>10</x:v>
      </x:c>
      <x:c r="Z206" s="46" t="n">
        <x:v>10</x:v>
      </x:c>
      <x:c r="AA206" s="46" t="n">
        <x:v>12.108999999705702</x:v>
      </x:c>
      <x:c r="AB206" s="46" t="n">
        <x:v>16.95299999974668</x:v>
      </x:c>
      <x:c r="AC206" s="61" t="n">
        <x:v>85740544</x:v>
      </x:c>
      <x:c r="AD206" s="61" t="n">
        <x:v>-17545216</x:v>
      </x:c>
      <x:c r="AE206" s="45" t="b">
        <x:v>0</x:v>
      </x:c>
      <x:c r="AF206" s="45" t="b">
        <x:v>1</x:v>
      </x:c>
      <x:c r="AG206" s="45" t="b">
        <x:v>1</x:v>
      </x:c>
      <x:c r="AH206" s="45" t="b">
        <x:v>1</x:v>
      </x:c>
      <x:c r="AI206" s="36" t="n">
        <x:v>0</x:v>
      </x:c>
      <x:c r="AJ206" s="59"/>
      <x:c r="AK206" s="45" t="b">
        <x:v>1</x:v>
      </x:c>
    </x:row>
    <x:row r="207" ht="22" customHeight="1">
      <x:c r="A207" s="24" t="str">
        <x:v>article1-unified-v4-2-fb3f101b-20260903-000401-default-f01-p3-nostore</x:v>
      </x:c>
      <x:c r="B207" s="24" t="str">
        <x:v>default</x:v>
      </x:c>
      <x:c r="C207" s="24" t="str">
        <x:v>nostore</x:v>
      </x:c>
      <x:c r="D207" s="36" t="n">
        <x:v>1</x:v>
      </x:c>
      <x:c r="E207" s="36" t="n">
        <x:v>1</x:v>
      </x:c>
      <x:c r="F207" s="36" t="n">
        <x:v>3</x:v>
      </x:c>
      <x:c r="G207" s="36" t="n">
        <x:v>2</x:v>
      </x:c>
      <x:c r="H207" s="43" t="n">
        <x:v>6214.648200199008</x:v>
      </x:c>
      <x:c r="I207" s="43" t="n">
        <x:v>4101.432200055569</x:v>
      </x:c>
      <x:c r="J207" s="43" t="n">
        <x:v>6070.922200102359</x:v>
      </x:c>
      <x:c r="K207" s="43" t="n">
        <x:v>4121.428799815476</x:v>
      </x:c>
      <x:c r="L207" s="45" t="b">
        <x:v>1</x:v>
      </x:c>
      <x:c r="M207" s="45" t="b">
        <x:v>1</x:v>
      </x:c>
      <x:c r="N207" s="45" t="b">
        <x:v>1</x:v>
      </x:c>
      <x:c r="O207" s="46" t="n">
        <x:v>2</x:v>
      </x:c>
      <x:c r="P207" s="46" t="n">
        <x:v>2</x:v>
      </x:c>
      <x:c r="Q207" s="46" t="n">
        <x:v>2.984999999869615</x:v>
      </x:c>
      <x:c r="R207" s="46" t="n">
        <x:v>10</x:v>
      </x:c>
      <x:c r="S207" s="46" t="n">
        <x:v>10</x:v>
      </x:c>
      <x:c r="T207" s="46" t="n">
        <x:v>12.078999999910593</x:v>
      </x:c>
      <x:c r="U207" s="46" t="n">
        <x:v>16.203999999910593</x:v>
      </x:c>
      <x:c r="V207" s="46" t="n">
        <x:v>2</x:v>
      </x:c>
      <x:c r="W207" s="46" t="n">
        <x:v>2</x:v>
      </x:c>
      <x:c r="X207" s="46" t="n">
        <x:v>3.015000000130385</x:v>
      </x:c>
      <x:c r="Y207" s="46" t="n">
        <x:v>10</x:v>
      </x:c>
      <x:c r="Z207" s="46" t="n">
        <x:v>10.015000000130385</x:v>
      </x:c>
      <x:c r="AA207" s="46" t="n">
        <x:v>12.109000000171363</x:v>
      </x:c>
      <x:c r="AB207" s="46" t="n">
        <x:v>17.015000000130385</x:v>
      </x:c>
      <x:c r="AC207" s="61" t="n">
        <x:v>165532672</x:v>
      </x:c>
      <x:c r="AD207" s="61" t="n">
        <x:v>-7168</x:v>
      </x:c>
      <x:c r="AE207" s="45" t="b">
        <x:v>1</x:v>
      </x:c>
      <x:c r="AF207" s="45" t="b">
        <x:v>1</x:v>
      </x:c>
      <x:c r="AG207" s="45" t="b">
        <x:v>1</x:v>
      </x:c>
      <x:c r="AH207" s="45" t="b">
        <x:v>1</x:v>
      </x:c>
      <x:c r="AI207" s="36" t="n">
        <x:v>0</x:v>
      </x:c>
      <x:c r="AJ207" s="59"/>
      <x:c r="AK207" s="45" t="b">
        <x:v>1</x:v>
      </x:c>
    </x:row>
    <x:row r="208" ht="22" customHeight="1">
      <x:c r="A208" s="24" t="str">
        <x:v>article1-unified-v4-2-fb3f101b-20260903-000401-default-f01-p3-nostore</x:v>
      </x:c>
      <x:c r="B208" s="24" t="str">
        <x:v>default</x:v>
      </x:c>
      <x:c r="C208" s="24" t="str">
        <x:v>nostore</x:v>
      </x:c>
      <x:c r="D208" s="36" t="n">
        <x:v>1</x:v>
      </x:c>
      <x:c r="E208" s="36" t="n">
        <x:v>1</x:v>
      </x:c>
      <x:c r="F208" s="36" t="n">
        <x:v>3</x:v>
      </x:c>
      <x:c r="G208" s="36" t="n">
        <x:v>3</x:v>
      </x:c>
      <x:c r="H208" s="43" t="n">
        <x:v>6111.210499890149</x:v>
      </x:c>
      <x:c r="I208" s="43" t="n">
        <x:v>4108.681800309569</x:v>
      </x:c>
      <x:c r="J208" s="43" t="n">
        <x:v>6169.886100105941</x:v>
      </x:c>
      <x:c r="K208" s="43" t="n">
        <x:v>4105.090500321239</x:v>
      </x:c>
      <x:c r="L208" s="45" t="b">
        <x:v>1</x:v>
      </x:c>
      <x:c r="M208" s="45" t="b">
        <x:v>1</x:v>
      </x:c>
      <x:c r="N208" s="45" t="b">
        <x:v>1</x:v>
      </x:c>
      <x:c r="O208" s="46" t="n">
        <x:v>2</x:v>
      </x:c>
      <x:c r="P208" s="46" t="n">
        <x:v>2</x:v>
      </x:c>
      <x:c r="Q208" s="46" t="n">
        <x:v>3.094000000040978</x:v>
      </x:c>
      <x:c r="R208" s="46" t="n">
        <x:v>10</x:v>
      </x:c>
      <x:c r="S208" s="46" t="n">
        <x:v>10</x:v>
      </x:c>
      <x:c r="T208" s="46" t="n">
        <x:v>12.061999999918044</x:v>
      </x:c>
      <x:c r="U208" s="46" t="n">
        <x:v>16.969000000040978</x:v>
      </x:c>
      <x:c r="V208" s="46" t="n">
        <x:v>2</x:v>
      </x:c>
      <x:c r="W208" s="46" t="n">
        <x:v>2</x:v>
      </x:c>
      <x:c r="X208" s="46" t="n">
        <x:v>3.015000000130385</x:v>
      </x:c>
      <x:c r="Y208" s="46" t="n">
        <x:v>10</x:v>
      </x:c>
      <x:c r="Z208" s="46" t="n">
        <x:v>10.015000000130385</x:v>
      </x:c>
      <x:c r="AA208" s="46" t="n">
        <x:v>12.078000000212342</x:v>
      </x:c>
      <x:c r="AB208" s="46" t="n">
        <x:v>17.094000000040978</x:v>
      </x:c>
      <x:c r="AC208" s="61" t="n">
        <x:v>147607552</x:v>
      </x:c>
      <x:c r="AD208" s="61" t="n">
        <x:v>-87040</x:v>
      </x:c>
      <x:c r="AE208" s="45" t="b">
        <x:v>1</x:v>
      </x:c>
      <x:c r="AF208" s="45" t="b">
        <x:v>1</x:v>
      </x:c>
      <x:c r="AG208" s="45" t="b">
        <x:v>1</x:v>
      </x:c>
      <x:c r="AH208" s="45" t="b">
        <x:v>1</x:v>
      </x:c>
      <x:c r="AI208" s="36" t="n">
        <x:v>0</x:v>
      </x:c>
      <x:c r="AJ208" s="59"/>
      <x:c r="AK208" s="45" t="b">
        <x:v>1</x:v>
      </x:c>
    </x:row>
    <x:row r="209" ht="22" customHeight="1">
      <x:c r="A209" s="24" t="str">
        <x:v>article1-unified-v4-2-fb3f101b-20260903-000401-default-f01-p3-nostore</x:v>
      </x:c>
      <x:c r="B209" s="24" t="str">
        <x:v>default</x:v>
      </x:c>
      <x:c r="C209" s="24" t="str">
        <x:v>nostore</x:v>
      </x:c>
      <x:c r="D209" s="36" t="n">
        <x:v>1</x:v>
      </x:c>
      <x:c r="E209" s="36" t="n">
        <x:v>1</x:v>
      </x:c>
      <x:c r="F209" s="36" t="n">
        <x:v>3</x:v>
      </x:c>
      <x:c r="G209" s="36" t="n">
        <x:v>4</x:v>
      </x:c>
      <x:c r="H209" s="43" t="n">
        <x:v>6067.797900177538</x:v>
      </x:c>
      <x:c r="I209" s="43" t="n">
        <x:v>4107.049699872732</x:v>
      </x:c>
      <x:c r="J209" s="43" t="n">
        <x:v>6053.415299858898</x:v>
      </x:c>
      <x:c r="K209" s="43" t="n">
        <x:v>4110.992799978703</x:v>
      </x:c>
      <x:c r="L209" s="45" t="b">
        <x:v>1</x:v>
      </x:c>
      <x:c r="M209" s="45" t="b">
        <x:v>1</x:v>
      </x:c>
      <x:c r="N209" s="45" t="b">
        <x:v>1</x:v>
      </x:c>
      <x:c r="O209" s="46" t="n">
        <x:v>2</x:v>
      </x:c>
      <x:c r="P209" s="46" t="n">
        <x:v>2</x:v>
      </x:c>
      <x:c r="Q209" s="46" t="n">
        <x:v>3.375</x:v>
      </x:c>
      <x:c r="R209" s="46" t="n">
        <x:v>10</x:v>
      </x:c>
      <x:c r="S209" s="46" t="n">
        <x:v>10</x:v>
      </x:c>
      <x:c r="T209" s="46" t="n">
        <x:v>12.046999999787658</x:v>
      </x:c>
      <x:c r="U209" s="46" t="n">
        <x:v>16.390999999828637</x:v>
      </x:c>
      <x:c r="V209" s="46" t="n">
        <x:v>2</x:v>
      </x:c>
      <x:c r="W209" s="46" t="n">
        <x:v>2</x:v>
      </x:c>
      <x:c r="X209" s="46" t="n">
        <x:v>2.9530000002123415</x:v>
      </x:c>
      <x:c r="Y209" s="46" t="n">
        <x:v>10</x:v>
      </x:c>
      <x:c r="Z209" s="46" t="n">
        <x:v>10</x:v>
      </x:c>
      <x:c r="AA209" s="46" t="n">
        <x:v>12.078000000212342</x:v>
      </x:c>
      <x:c r="AB209" s="46" t="n">
        <x:v>16.640000000130385</x:v>
      </x:c>
      <x:c r="AC209" s="61" t="n">
        <x:v>144551936</x:v>
      </x:c>
      <x:c r="AD209" s="61" t="n">
        <x:v>19456</x:v>
      </x:c>
      <x:c r="AE209" s="45" t="b">
        <x:v>1</x:v>
      </x:c>
      <x:c r="AF209" s="45" t="b">
        <x:v>1</x:v>
      </x:c>
      <x:c r="AG209" s="45" t="b">
        <x:v>1</x:v>
      </x:c>
      <x:c r="AH209" s="45" t="b">
        <x:v>1</x:v>
      </x:c>
      <x:c r="AI209" s="36" t="n">
        <x:v>0</x:v>
      </x:c>
      <x:c r="AJ209" s="59"/>
      <x:c r="AK209" s="45" t="b">
        <x:v>1</x:v>
      </x:c>
    </x:row>
    <x:row r="210" ht="22" customHeight="1">
      <x:c r="A210" s="24" t="str">
        <x:v>article1-unified-v4-2-fb3f101b-20260903-000401-default-f01-p3-nostore</x:v>
      </x:c>
      <x:c r="B210" s="24" t="str">
        <x:v>default</x:v>
      </x:c>
      <x:c r="C210" s="24" t="str">
        <x:v>nostore</x:v>
      </x:c>
      <x:c r="D210" s="36" t="n">
        <x:v>1</x:v>
      </x:c>
      <x:c r="E210" s="36" t="n">
        <x:v>1</x:v>
      </x:c>
      <x:c r="F210" s="36" t="n">
        <x:v>3</x:v>
      </x:c>
      <x:c r="G210" s="36" t="n">
        <x:v>5</x:v>
      </x:c>
      <x:c r="H210" s="43" t="n">
        <x:v>6047.230700030923</x:v>
      </x:c>
      <x:c r="I210" s="43" t="n">
        <x:v>4102.699300274253</x:v>
      </x:c>
      <x:c r="J210" s="43" t="n">
        <x:v>6128.43139981851</x:v>
      </x:c>
      <x:c r="K210" s="43" t="n">
        <x:v>4110.8332998119295</x:v>
      </x:c>
      <x:c r="L210" s="45" t="b">
        <x:v>1</x:v>
      </x:c>
      <x:c r="M210" s="45" t="b">
        <x:v>1</x:v>
      </x:c>
      <x:c r="N210" s="45" t="b">
        <x:v>1</x:v>
      </x:c>
      <x:c r="O210" s="46" t="n">
        <x:v>2</x:v>
      </x:c>
      <x:c r="P210" s="46" t="n">
        <x:v>2</x:v>
      </x:c>
      <x:c r="Q210" s="46" t="n">
        <x:v>3.1869999999180436</x:v>
      </x:c>
      <x:c r="R210" s="46" t="n">
        <x:v>10</x:v>
      </x:c>
      <x:c r="S210" s="46" t="n">
        <x:v>10</x:v>
      </x:c>
      <x:c r="T210" s="46" t="n">
        <x:v>12.061999999918044</x:v>
      </x:c>
      <x:c r="U210" s="46" t="n">
        <x:v>16.655999999959022</x:v>
      </x:c>
      <x:c r="V210" s="46" t="n">
        <x:v>2</x:v>
      </x:c>
      <x:c r="W210" s="46" t="n">
        <x:v>2</x:v>
      </x:c>
      <x:c r="X210" s="46" t="n">
        <x:v>3.0630000000819564</x:v>
      </x:c>
      <x:c r="Y210" s="46" t="n">
        <x:v>10</x:v>
      </x:c>
      <x:c r="Z210" s="46" t="n">
        <x:v>10</x:v>
      </x:c>
      <x:c r="AA210" s="46" t="n">
        <x:v>12.078000000212342</x:v>
      </x:c>
      <x:c r="AB210" s="46" t="n">
        <x:v>16.25</x:v>
      </x:c>
      <x:c r="AC210" s="61" t="n">
        <x:v>132189184</x:v>
      </x:c>
      <x:c r="AD210" s="61" t="n">
        <x:v>38912</x:v>
      </x:c>
      <x:c r="AE210" s="45" t="b">
        <x:v>1</x:v>
      </x:c>
      <x:c r="AF210" s="45" t="b">
        <x:v>1</x:v>
      </x:c>
      <x:c r="AG210" s="45" t="b">
        <x:v>1</x:v>
      </x:c>
      <x:c r="AH210" s="45" t="b">
        <x:v>1</x:v>
      </x:c>
      <x:c r="AI210" s="36" t="n">
        <x:v>0</x:v>
      </x:c>
      <x:c r="AJ210" s="59"/>
      <x:c r="AK210" s="45" t="b">
        <x:v>1</x:v>
      </x:c>
    </x:row>
    <x:row r="211" ht="22" customHeight="1">
      <x:c r="A211" s="24" t="str">
        <x:v>article1-unified-v4-2-fb3f101b-20260903-000401-default-f02-p5-nostore</x:v>
      </x:c>
      <x:c r="B211" s="24" t="str">
        <x:v>default</x:v>
      </x:c>
      <x:c r="C211" s="24" t="str">
        <x:v>nostore</x:v>
      </x:c>
      <x:c r="D211" s="36" t="n">
        <x:v>2</x:v>
      </x:c>
      <x:c r="E211" s="36" t="n">
        <x:v>2</x:v>
      </x:c>
      <x:c r="F211" s="36" t="n">
        <x:v>5</x:v>
      </x:c>
      <x:c r="G211" s="36" t="n">
        <x:v>1</x:v>
      </x:c>
      <x:c r="H211" s="43" t="n">
        <x:v>7020.570000167936</x:v>
      </x:c>
      <x:c r="I211" s="43" t="n">
        <x:v>4103.956100065261</x:v>
      </x:c>
      <x:c r="J211" s="43" t="n">
        <x:v>6260.752200149</x:v>
      </x:c>
      <x:c r="K211" s="43" t="n">
        <x:v>4074.0450001321733</x:v>
      </x:c>
      <x:c r="L211" s="45" t="b">
        <x:v>1</x:v>
      </x:c>
      <x:c r="M211" s="45" t="b">
        <x:v>1</x:v>
      </x:c>
      <x:c r="N211" s="45" t="b">
        <x:v>1</x:v>
      </x:c>
      <x:c r="O211" s="46" t="n">
        <x:v>2</x:v>
      </x:c>
      <x:c r="P211" s="46" t="n">
        <x:v>2</x:v>
      </x:c>
      <x:c r="Q211" s="46" t="n">
        <x:v>3.234999999869615</x:v>
      </x:c>
      <x:c r="R211" s="46" t="n">
        <x:v>10</x:v>
      </x:c>
      <x:c r="S211" s="46" t="n">
        <x:v>10</x:v>
      </x:c>
      <x:c r="T211" s="46" t="n">
        <x:v>12.078999999910593</x:v>
      </x:c>
      <x:c r="U211" s="46" t="n">
        <x:v>16.938000000081956</x:v>
      </x:c>
      <x:c r="V211" s="46" t="n">
        <x:v>2</x:v>
      </x:c>
      <x:c r="W211" s="46" t="n">
        <x:v>2</x:v>
      </x:c>
      <x:c r="X211" s="46" t="n">
        <x:v>3.3130000000819564</x:v>
      </x:c>
      <x:c r="Y211" s="46" t="n">
        <x:v>10</x:v>
      </x:c>
      <x:c r="Z211" s="46" t="n">
        <x:v>10</x:v>
      </x:c>
      <x:c r="AA211" s="46" t="n">
        <x:v>12.110000000335276</x:v>
      </x:c>
      <x:c r="AB211" s="46" t="n">
        <x:v>17.313000000081956</x:v>
      </x:c>
      <x:c r="AC211" s="61" t="n">
        <x:v>83191808</x:v>
      </x:c>
      <x:c r="AD211" s="61" t="n">
        <x:v>-17343488</x:v>
      </x:c>
      <x:c r="AE211" s="45" t="b">
        <x:v>0</x:v>
      </x:c>
      <x:c r="AF211" s="45" t="b">
        <x:v>1</x:v>
      </x:c>
      <x:c r="AG211" s="45" t="b">
        <x:v>1</x:v>
      </x:c>
      <x:c r="AH211" s="45" t="b">
        <x:v>1</x:v>
      </x:c>
      <x:c r="AI211" s="36" t="n">
        <x:v>0</x:v>
      </x:c>
      <x:c r="AJ211" s="59"/>
      <x:c r="AK211" s="45" t="b">
        <x:v>1</x:v>
      </x:c>
    </x:row>
    <x:row r="212" ht="22" customHeight="1">
      <x:c r="A212" s="24" t="str">
        <x:v>article1-unified-v4-2-fb3f101b-20260903-000401-default-f02-p5-nostore</x:v>
      </x:c>
      <x:c r="B212" s="24" t="str">
        <x:v>default</x:v>
      </x:c>
      <x:c r="C212" s="24" t="str">
        <x:v>nostore</x:v>
      </x:c>
      <x:c r="D212" s="36" t="n">
        <x:v>2</x:v>
      </x:c>
      <x:c r="E212" s="36" t="n">
        <x:v>2</x:v>
      </x:c>
      <x:c r="F212" s="36" t="n">
        <x:v>5</x:v>
      </x:c>
      <x:c r="G212" s="36" t="n">
        <x:v>2</x:v>
      </x:c>
      <x:c r="H212" s="43" t="n">
        <x:v>6372.1593003720045</x:v>
      </x:c>
      <x:c r="I212" s="43" t="n">
        <x:v>4105.649000033736</x:v>
      </x:c>
      <x:c r="J212" s="43" t="n">
        <x:v>6060.540500096977</x:v>
      </x:c>
      <x:c r="K212" s="43" t="n">
        <x:v>4109.802599996328</x:v>
      </x:c>
      <x:c r="L212" s="45" t="b">
        <x:v>1</x:v>
      </x:c>
      <x:c r="M212" s="45" t="b">
        <x:v>1</x:v>
      </x:c>
      <x:c r="N212" s="45" t="b">
        <x:v>1</x:v>
      </x:c>
      <x:c r="O212" s="46" t="n">
        <x:v>2</x:v>
      </x:c>
      <x:c r="P212" s="46" t="n">
        <x:v>2</x:v>
      </x:c>
      <x:c r="Q212" s="46" t="n">
        <x:v>2.9530000002123415</x:v>
      </x:c>
      <x:c r="R212" s="46" t="n">
        <x:v>10</x:v>
      </x:c>
      <x:c r="S212" s="46" t="n">
        <x:v>10.015000000130385</x:v>
      </x:c>
      <x:c r="T212" s="46" t="n">
        <x:v>12.092999999877065</x:v>
      </x:c>
      <x:c r="U212" s="46" t="n">
        <x:v>17.092999999877065</x:v>
      </x:c>
      <x:c r="V212" s="46" t="n">
        <x:v>2</x:v>
      </x:c>
      <x:c r="W212" s="46" t="n">
        <x:v>2</x:v>
      </x:c>
      <x:c r="X212" s="46" t="n">
        <x:v>3.7030000002123415</x:v>
      </x:c>
      <x:c r="Y212" s="46" t="n">
        <x:v>10</x:v>
      </x:c>
      <x:c r="Z212" s="46" t="n">
        <x:v>10</x:v>
      </x:c>
      <x:c r="AA212" s="46" t="n">
        <x:v>12.078000000212342</x:v>
      </x:c>
      <x:c r="AB212" s="46" t="n">
        <x:v>17.234000000171363</x:v>
      </x:c>
      <x:c r="AC212" s="61" t="n">
        <x:v>263667712</x:v>
      </x:c>
      <x:c r="AD212" s="61" t="n">
        <x:v>-44032</x:v>
      </x:c>
      <x:c r="AE212" s="45" t="b">
        <x:v>1</x:v>
      </x:c>
      <x:c r="AF212" s="45" t="b">
        <x:v>1</x:v>
      </x:c>
      <x:c r="AG212" s="45" t="b">
        <x:v>1</x:v>
      </x:c>
      <x:c r="AH212" s="45" t="b">
        <x:v>1</x:v>
      </x:c>
      <x:c r="AI212" s="36" t="n">
        <x:v>0</x:v>
      </x:c>
      <x:c r="AJ212" s="59"/>
      <x:c r="AK212" s="45" t="b">
        <x:v>1</x:v>
      </x:c>
    </x:row>
    <x:row r="213" ht="22" customHeight="1">
      <x:c r="A213" s="24" t="str">
        <x:v>article1-unified-v4-2-fb3f101b-20260903-000401-default-f02-p5-nostore</x:v>
      </x:c>
      <x:c r="B213" s="24" t="str">
        <x:v>default</x:v>
      </x:c>
      <x:c r="C213" s="24" t="str">
        <x:v>nostore</x:v>
      </x:c>
      <x:c r="D213" s="36" t="n">
        <x:v>2</x:v>
      </x:c>
      <x:c r="E213" s="36" t="n">
        <x:v>2</x:v>
      </x:c>
      <x:c r="F213" s="36" t="n">
        <x:v>5</x:v>
      </x:c>
      <x:c r="G213" s="36" t="n">
        <x:v>3</x:v>
      </x:c>
      <x:c r="H213" s="43" t="n">
        <x:v>6077.414799947292</x:v>
      </x:c>
      <x:c r="I213" s="43" t="n">
        <x:v>4110.800200141966</x:v>
      </x:c>
      <x:c r="J213" s="43" t="n">
        <x:v>6122.9453003034</x:v>
      </x:c>
      <x:c r="K213" s="43" t="n">
        <x:v>4094.0613001585007</x:v>
      </x:c>
      <x:c r="L213" s="45" t="b">
        <x:v>1</x:v>
      </x:c>
      <x:c r="M213" s="45" t="b">
        <x:v>1</x:v>
      </x:c>
      <x:c r="N213" s="45" t="b">
        <x:v>1</x:v>
      </x:c>
      <x:c r="O213" s="46" t="n">
        <x:v>2</x:v>
      </x:c>
      <x:c r="P213" s="46" t="n">
        <x:v>2</x:v>
      </x:c>
      <x:c r="Q213" s="46" t="n">
        <x:v>3.0320000001229346</x:v>
      </x:c>
      <x:c r="R213" s="46" t="n">
        <x:v>10</x:v>
      </x:c>
      <x:c r="S213" s="46" t="n">
        <x:v>10</x:v>
      </x:c>
      <x:c r="T213" s="46" t="n">
        <x:v>12.063000000081956</x:v>
      </x:c>
      <x:c r="U213" s="46" t="n">
        <x:v>16.969000000040978</x:v>
      </x:c>
      <x:c r="V213" s="46" t="n">
        <x:v>2</x:v>
      </x:c>
      <x:c r="W213" s="46" t="n">
        <x:v>2</x:v>
      </x:c>
      <x:c r="X213" s="46" t="n">
        <x:v>3.2970000002533197</x:v>
      </x:c>
      <x:c r="Y213" s="46" t="n">
        <x:v>10</x:v>
      </x:c>
      <x:c r="Z213" s="46" t="n">
        <x:v>10</x:v>
      </x:c>
      <x:c r="AA213" s="46" t="n">
        <x:v>12.094000000040978</x:v>
      </x:c>
      <x:c r="AB213" s="46" t="n">
        <x:v>16.719000000040978</x:v>
      </x:c>
      <x:c r="AC213" s="61" t="n">
        <x:v>121508864</x:v>
      </x:c>
      <x:c r="AD213" s="61" t="n">
        <x:v>130048</x:v>
      </x:c>
      <x:c r="AE213" s="45" t="b">
        <x:v>1</x:v>
      </x:c>
      <x:c r="AF213" s="45" t="b">
        <x:v>1</x:v>
      </x:c>
      <x:c r="AG213" s="45" t="b">
        <x:v>1</x:v>
      </x:c>
      <x:c r="AH213" s="45" t="b">
        <x:v>1</x:v>
      </x:c>
      <x:c r="AI213" s="36" t="n">
        <x:v>0</x:v>
      </x:c>
      <x:c r="AJ213" s="59"/>
      <x:c r="AK213" s="45" t="b">
        <x:v>1</x:v>
      </x:c>
    </x:row>
    <x:row r="214" ht="22" customHeight="1">
      <x:c r="A214" s="24" t="str">
        <x:v>article1-unified-v4-2-fb3f101b-20260903-000401-default-f02-p5-nostore</x:v>
      </x:c>
      <x:c r="B214" s="24" t="str">
        <x:v>default</x:v>
      </x:c>
      <x:c r="C214" s="24" t="str">
        <x:v>nostore</x:v>
      </x:c>
      <x:c r="D214" s="36" t="n">
        <x:v>2</x:v>
      </x:c>
      <x:c r="E214" s="36" t="n">
        <x:v>2</x:v>
      </x:c>
      <x:c r="F214" s="36" t="n">
        <x:v>5</x:v>
      </x:c>
      <x:c r="G214" s="36" t="n">
        <x:v>4</x:v>
      </x:c>
      <x:c r="H214" s="43" t="n">
        <x:v>6085.382000077516</x:v>
      </x:c>
      <x:c r="I214" s="43" t="n">
        <x:v>4108.962500002235</x:v>
      </x:c>
      <x:c r="J214" s="43" t="n">
        <x:v>6129.118400160223</x:v>
      </x:c>
      <x:c r="K214" s="43" t="n">
        <x:v>4130.058899987489</x:v>
      </x:c>
      <x:c r="L214" s="45" t="b">
        <x:v>1</x:v>
      </x:c>
      <x:c r="M214" s="45" t="b">
        <x:v>1</x:v>
      </x:c>
      <x:c r="N214" s="45" t="b">
        <x:v>1</x:v>
      </x:c>
      <x:c r="O214" s="46" t="n">
        <x:v>2</x:v>
      </x:c>
      <x:c r="P214" s="46" t="n">
        <x:v>2</x:v>
      </x:c>
      <x:c r="Q214" s="46" t="n">
        <x:v>3.0929999998770654</x:v>
      </x:c>
      <x:c r="R214" s="46" t="n">
        <x:v>10</x:v>
      </x:c>
      <x:c r="S214" s="46" t="n">
        <x:v>10</x:v>
      </x:c>
      <x:c r="T214" s="46" t="n">
        <x:v>12.078000000212342</x:v>
      </x:c>
      <x:c r="U214" s="46" t="n">
        <x:v>16.70300000021234</x:v>
      </x:c>
      <x:c r="V214" s="46" t="n">
        <x:v>2</x:v>
      </x:c>
      <x:c r="W214" s="46" t="n">
        <x:v>2</x:v>
      </x:c>
      <x:c r="X214" s="46" t="n">
        <x:v>3.030999999959022</x:v>
      </x:c>
      <x:c r="Y214" s="46" t="n">
        <x:v>10</x:v>
      </x:c>
      <x:c r="Z214" s="46" t="n">
        <x:v>10</x:v>
      </x:c>
      <x:c r="AA214" s="46" t="n">
        <x:v>12.061999999918044</x:v>
      </x:c>
      <x:c r="AB214" s="46" t="n">
        <x:v>16.640999999828637</x:v>
      </x:c>
      <x:c r="AC214" s="61" t="n">
        <x:v>156421120</x:v>
      </x:c>
      <x:c r="AD214" s="61" t="n">
        <x:v>-82944</x:v>
      </x:c>
      <x:c r="AE214" s="45" t="b">
        <x:v>1</x:v>
      </x:c>
      <x:c r="AF214" s="45" t="b">
        <x:v>1</x:v>
      </x:c>
      <x:c r="AG214" s="45" t="b">
        <x:v>1</x:v>
      </x:c>
      <x:c r="AH214" s="45" t="b">
        <x:v>1</x:v>
      </x:c>
      <x:c r="AI214" s="36" t="n">
        <x:v>0</x:v>
      </x:c>
      <x:c r="AJ214" s="59"/>
      <x:c r="AK214" s="45" t="b">
        <x:v>1</x:v>
      </x:c>
    </x:row>
    <x:row r="215" ht="22" customHeight="1">
      <x:c r="A215" s="24" t="str">
        <x:v>article1-unified-v4-2-fb3f101b-20260903-000401-default-f02-p5-nostore</x:v>
      </x:c>
      <x:c r="B215" s="24" t="str">
        <x:v>default</x:v>
      </x:c>
      <x:c r="C215" s="24" t="str">
        <x:v>nostore</x:v>
      </x:c>
      <x:c r="D215" s="36" t="n">
        <x:v>2</x:v>
      </x:c>
      <x:c r="E215" s="36" t="n">
        <x:v>2</x:v>
      </x:c>
      <x:c r="F215" s="36" t="n">
        <x:v>5</x:v>
      </x:c>
      <x:c r="G215" s="36" t="n">
        <x:v>5</x:v>
      </x:c>
      <x:c r="H215" s="43" t="n">
        <x:v>5986.23470030725</x:v>
      </x:c>
      <x:c r="I215" s="43" t="n">
        <x:v>4104.650100227445</x:v>
      </x:c>
      <x:c r="J215" s="43" t="n">
        <x:v>6052.884100005031</x:v>
      </x:c>
      <x:c r="K215" s="43" t="n">
        <x:v>4104.709399864078</x:v>
      </x:c>
      <x:c r="L215" s="45" t="b">
        <x:v>1</x:v>
      </x:c>
      <x:c r="M215" s="45" t="b">
        <x:v>1</x:v>
      </x:c>
      <x:c r="N215" s="45" t="b">
        <x:v>1</x:v>
      </x:c>
      <x:c r="O215" s="46" t="n">
        <x:v>2</x:v>
      </x:c>
      <x:c r="P215" s="46" t="n">
        <x:v>2</x:v>
      </x:c>
      <x:c r="Q215" s="46" t="n">
        <x:v>3.030999999959022</x:v>
      </x:c>
      <x:c r="R215" s="46" t="n">
        <x:v>10</x:v>
      </x:c>
      <x:c r="S215" s="46" t="n">
        <x:v>10</x:v>
      </x:c>
      <x:c r="T215" s="46" t="n">
        <x:v>12.109000000171363</x:v>
      </x:c>
      <x:c r="U215" s="46" t="n">
        <x:v>17.405999999959022</x:v>
      </x:c>
      <x:c r="V215" s="46" t="n">
        <x:v>2</x:v>
      </x:c>
      <x:c r="W215" s="46" t="n">
        <x:v>2</x:v>
      </x:c>
      <x:c r="X215" s="46" t="n">
        <x:v>3.094000000040978</x:v>
      </x:c>
      <x:c r="Y215" s="46" t="n">
        <x:v>10</x:v>
      </x:c>
      <x:c r="Z215" s="46" t="n">
        <x:v>10</x:v>
      </x:c>
      <x:c r="AA215" s="46" t="n">
        <x:v>12.063000000081956</x:v>
      </x:c>
      <x:c r="AB215" s="46" t="n">
        <x:v>17.20300000021234</x:v>
      </x:c>
      <x:c r="AC215" s="61" t="n">
        <x:v>12482560</x:v>
      </x:c>
      <x:c r="AD215" s="61" t="n">
        <x:v>35840</x:v>
      </x:c>
      <x:c r="AE215" s="45" t="b">
        <x:v>1</x:v>
      </x:c>
      <x:c r="AF215" s="45" t="b">
        <x:v>1</x:v>
      </x:c>
      <x:c r="AG215" s="45" t="b">
        <x:v>1</x:v>
      </x:c>
      <x:c r="AH215" s="45" t="b">
        <x:v>1</x:v>
      </x:c>
      <x:c r="AI215" s="36" t="n">
        <x:v>0</x:v>
      </x:c>
      <x:c r="AJ215" s="59"/>
      <x:c r="AK215" s="45" t="b">
        <x:v>1</x:v>
      </x:c>
    </x:row>
    <x:row r="216" ht="22" customHeight="1">
      <x:c r="A216" s="24" t="str">
        <x:v>article1-unified-v4-2-fb3f101b-20260903-000401-default-f03-p6-nostore</x:v>
      </x:c>
      <x:c r="B216" s="24" t="str">
        <x:v>default</x:v>
      </x:c>
      <x:c r="C216" s="24" t="str">
        <x:v>nostore</x:v>
      </x:c>
      <x:c r="D216" s="36" t="n">
        <x:v>3</x:v>
      </x:c>
      <x:c r="E216" s="36" t="n">
        <x:v>3</x:v>
      </x:c>
      <x:c r="F216" s="36" t="n">
        <x:v>6</x:v>
      </x:c>
      <x:c r="G216" s="36" t="n">
        <x:v>1</x:v>
      </x:c>
      <x:c r="H216" s="43" t="n">
        <x:v>7348.037499934435</x:v>
      </x:c>
      <x:c r="I216" s="43" t="n">
        <x:v>4108.9628003537655</x:v>
      </x:c>
      <x:c r="J216" s="43" t="n">
        <x:v>6506.878700107336</x:v>
      </x:c>
      <x:c r="K216" s="43" t="n">
        <x:v>4108.366900123656</x:v>
      </x:c>
      <x:c r="L216" s="45" t="b">
        <x:v>1</x:v>
      </x:c>
      <x:c r="M216" s="45" t="b">
        <x:v>1</x:v>
      </x:c>
      <x:c r="N216" s="45" t="b">
        <x:v>1</x:v>
      </x:c>
      <x:c r="O216" s="46" t="n">
        <x:v>2</x:v>
      </x:c>
      <x:c r="P216" s="46" t="n">
        <x:v>2</x:v>
      </x:c>
      <x:c r="Q216" s="46" t="n">
        <x:v>3.483999999705702</x:v>
      </x:c>
      <x:c r="R216" s="46" t="n">
        <x:v>10</x:v>
      </x:c>
      <x:c r="S216" s="46" t="n">
        <x:v>10</x:v>
      </x:c>
      <x:c r="T216" s="46" t="n">
        <x:v>12.07799999974668</x:v>
      </x:c>
      <x:c r="U216" s="46" t="n">
        <x:v>16.905999999959022</x:v>
      </x:c>
      <x:c r="V216" s="46" t="n">
        <x:v>2</x:v>
      </x:c>
      <x:c r="W216" s="46" t="n">
        <x:v>2</x:v>
      </x:c>
      <x:c r="X216" s="46" t="n">
        <x:v>3.405999999959022</x:v>
      </x:c>
      <x:c r="Y216" s="46" t="n">
        <x:v>10</x:v>
      </x:c>
      <x:c r="Z216" s="46" t="n">
        <x:v>10</x:v>
      </x:c>
      <x:c r="AA216" s="46" t="n">
        <x:v>12.061999999918044</x:v>
      </x:c>
      <x:c r="AB216" s="46" t="n">
        <x:v>17.57799999974668</x:v>
      </x:c>
      <x:c r="AC216" s="61" t="n">
        <x:v>89204736</x:v>
      </x:c>
      <x:c r="AD216" s="61" t="n">
        <x:v>-17412096</x:v>
      </x:c>
      <x:c r="AE216" s="45" t="b">
        <x:v>0</x:v>
      </x:c>
      <x:c r="AF216" s="45" t="b">
        <x:v>1</x:v>
      </x:c>
      <x:c r="AG216" s="45" t="b">
        <x:v>1</x:v>
      </x:c>
      <x:c r="AH216" s="45" t="b">
        <x:v>1</x:v>
      </x:c>
      <x:c r="AI216" s="36" t="n">
        <x:v>0</x:v>
      </x:c>
      <x:c r="AJ216" s="59"/>
      <x:c r="AK216" s="45" t="b">
        <x:v>1</x:v>
      </x:c>
    </x:row>
    <x:row r="217" ht="22" customHeight="1">
      <x:c r="A217" s="24" t="str">
        <x:v>article1-unified-v4-2-fb3f101b-20260903-000401-default-f03-p6-nostore</x:v>
      </x:c>
      <x:c r="B217" s="24" t="str">
        <x:v>default</x:v>
      </x:c>
      <x:c r="C217" s="24" t="str">
        <x:v>nostore</x:v>
      </x:c>
      <x:c r="D217" s="36" t="n">
        <x:v>3</x:v>
      </x:c>
      <x:c r="E217" s="36" t="n">
        <x:v>3</x:v>
      </x:c>
      <x:c r="F217" s="36" t="n">
        <x:v>6</x:v>
      </x:c>
      <x:c r="G217" s="36" t="n">
        <x:v>2</x:v>
      </x:c>
      <x:c r="H217" s="43" t="n">
        <x:v>5988.879300188273</x:v>
      </x:c>
      <x:c r="I217" s="43" t="n">
        <x:v>4098.466099705547</x:v>
      </x:c>
      <x:c r="J217" s="43" t="n">
        <x:v>6067.980200052261</x:v>
      </x:c>
      <x:c r="K217" s="43" t="n">
        <x:v>4101.686200127006</x:v>
      </x:c>
      <x:c r="L217" s="45" t="b">
        <x:v>1</x:v>
      </x:c>
      <x:c r="M217" s="45" t="b">
        <x:v>1</x:v>
      </x:c>
      <x:c r="N217" s="45" t="b">
        <x:v>1</x:v>
      </x:c>
      <x:c r="O217" s="46" t="n">
        <x:v>2</x:v>
      </x:c>
      <x:c r="P217" s="46" t="n">
        <x:v>2</x:v>
      </x:c>
      <x:c r="Q217" s="46" t="n">
        <x:v>3.25</x:v>
      </x:c>
      <x:c r="R217" s="46" t="n">
        <x:v>10</x:v>
      </x:c>
      <x:c r="S217" s="46" t="n">
        <x:v>10</x:v>
      </x:c>
      <x:c r="T217" s="46" t="n">
        <x:v>12.063000000081956</x:v>
      </x:c>
      <x:c r="U217" s="46" t="n">
        <x:v>16.891000000294298</x:v>
      </x:c>
      <x:c r="V217" s="46" t="n">
        <x:v>2</x:v>
      </x:c>
      <x:c r="W217" s="46" t="n">
        <x:v>2</x:v>
      </x:c>
      <x:c r="X217" s="46" t="n">
        <x:v>3.3909999998286366</x:v>
      </x:c>
      <x:c r="Y217" s="46" t="n">
        <x:v>10</x:v>
      </x:c>
      <x:c r="Z217" s="46" t="n">
        <x:v>10</x:v>
      </x:c>
      <x:c r="AA217" s="46" t="n">
        <x:v>12.07799999974668</x:v>
      </x:c>
      <x:c r="AB217" s="46" t="n">
        <x:v>16.5</x:v>
      </x:c>
      <x:c r="AC217" s="61" t="n">
        <x:v>262178816</x:v>
      </x:c>
      <x:c r="AD217" s="61" t="n">
        <x:v>0</x:v>
      </x:c>
      <x:c r="AE217" s="45" t="b">
        <x:v>1</x:v>
      </x:c>
      <x:c r="AF217" s="45" t="b">
        <x:v>1</x:v>
      </x:c>
      <x:c r="AG217" s="45" t="b">
        <x:v>1</x:v>
      </x:c>
      <x:c r="AH217" s="45" t="b">
        <x:v>1</x:v>
      </x:c>
      <x:c r="AI217" s="36" t="n">
        <x:v>0</x:v>
      </x:c>
      <x:c r="AJ217" s="59"/>
      <x:c r="AK217" s="45" t="b">
        <x:v>1</x:v>
      </x:c>
    </x:row>
    <x:row r="218" ht="22" customHeight="1">
      <x:c r="A218" s="24" t="str">
        <x:v>article1-unified-v4-2-fb3f101b-20260903-000401-default-f03-p6-nostore</x:v>
      </x:c>
      <x:c r="B218" s="24" t="str">
        <x:v>default</x:v>
      </x:c>
      <x:c r="C218" s="24" t="str">
        <x:v>nostore</x:v>
      </x:c>
      <x:c r="D218" s="36" t="n">
        <x:v>3</x:v>
      </x:c>
      <x:c r="E218" s="36" t="n">
        <x:v>3</x:v>
      </x:c>
      <x:c r="F218" s="36" t="n">
        <x:v>6</x:v>
      </x:c>
      <x:c r="G218" s="36" t="n">
        <x:v>3</x:v>
      </x:c>
      <x:c r="H218" s="43" t="n">
        <x:v>5966.231000144035</x:v>
      </x:c>
      <x:c r="I218" s="43" t="n">
        <x:v>4135.328899603337</x:v>
      </x:c>
      <x:c r="J218" s="43" t="n">
        <x:v>6217.601700220257</x:v>
      </x:c>
      <x:c r="K218" s="43" t="n">
        <x:v>4122.140699997544</x:v>
      </x:c>
      <x:c r="L218" s="45" t="b">
        <x:v>1</x:v>
      </x:c>
      <x:c r="M218" s="45" t="b">
        <x:v>1</x:v>
      </x:c>
      <x:c r="N218" s="45" t="b">
        <x:v>1</x:v>
      </x:c>
      <x:c r="O218" s="46" t="n">
        <x:v>2</x:v>
      </x:c>
      <x:c r="P218" s="46" t="n">
        <x:v>2</x:v>
      </x:c>
      <x:c r="Q218" s="46" t="n">
        <x:v>3.25</x:v>
      </x:c>
      <x:c r="R218" s="46" t="n">
        <x:v>10</x:v>
      </x:c>
      <x:c r="S218" s="46" t="n">
        <x:v>10</x:v>
      </x:c>
      <x:c r="T218" s="46" t="n">
        <x:v>12.061999999918044</x:v>
      </x:c>
      <x:c r="U218" s="46" t="n">
        <x:v>16.82799999974668</x:v>
      </x:c>
      <x:c r="V218" s="46" t="n">
        <x:v>2</x:v>
      </x:c>
      <x:c r="W218" s="46" t="n">
        <x:v>2</x:v>
      </x:c>
      <x:c r="X218" s="46" t="n">
        <x:v>3</x:v>
      </x:c>
      <x:c r="Y218" s="46" t="n">
        <x:v>10</x:v>
      </x:c>
      <x:c r="Z218" s="46" t="n">
        <x:v>10</x:v>
      </x:c>
      <x:c r="AA218" s="46" t="n">
        <x:v>12.07799999974668</x:v>
      </x:c>
      <x:c r="AB218" s="46" t="n">
        <x:v>16.733999999705702</x:v>
      </x:c>
      <x:c r="AC218" s="61" t="n">
        <x:v>138166272</x:v>
      </x:c>
      <x:c r="AD218" s="61" t="n">
        <x:v>26624</x:v>
      </x:c>
      <x:c r="AE218" s="45" t="b">
        <x:v>1</x:v>
      </x:c>
      <x:c r="AF218" s="45" t="b">
        <x:v>1</x:v>
      </x:c>
      <x:c r="AG218" s="45" t="b">
        <x:v>1</x:v>
      </x:c>
      <x:c r="AH218" s="45" t="b">
        <x:v>1</x:v>
      </x:c>
      <x:c r="AI218" s="36" t="n">
        <x:v>0</x:v>
      </x:c>
      <x:c r="AJ218" s="59"/>
      <x:c r="AK218" s="45" t="b">
        <x:v>1</x:v>
      </x:c>
    </x:row>
    <x:row r="219" ht="22" customHeight="1">
      <x:c r="A219" s="24" t="str">
        <x:v>article1-unified-v4-2-fb3f101b-20260903-000401-default-f03-p6-nostore</x:v>
      </x:c>
      <x:c r="B219" s="24" t="str">
        <x:v>default</x:v>
      </x:c>
      <x:c r="C219" s="24" t="str">
        <x:v>nostore</x:v>
      </x:c>
      <x:c r="D219" s="36" t="n">
        <x:v>3</x:v>
      </x:c>
      <x:c r="E219" s="36" t="n">
        <x:v>3</x:v>
      </x:c>
      <x:c r="F219" s="36" t="n">
        <x:v>6</x:v>
      </x:c>
      <x:c r="G219" s="36" t="n">
        <x:v>4</x:v>
      </x:c>
      <x:c r="H219" s="43" t="n">
        <x:v>5998.339000158012</x:v>
      </x:c>
      <x:c r="I219" s="43" t="n">
        <x:v>4110.64329976216</x:v>
      </x:c>
      <x:c r="J219" s="43" t="n">
        <x:v>5940.929399803281</x:v>
      </x:c>
      <x:c r="K219" s="43" t="n">
        <x:v>4115.14630028978</x:v>
      </x:c>
      <x:c r="L219" s="45" t="b">
        <x:v>1</x:v>
      </x:c>
      <x:c r="M219" s="45" t="b">
        <x:v>1</x:v>
      </x:c>
      <x:c r="N219" s="45" t="b">
        <x:v>1</x:v>
      </x:c>
      <x:c r="O219" s="46" t="n">
        <x:v>2</x:v>
      </x:c>
      <x:c r="P219" s="46" t="n">
        <x:v>2</x:v>
      </x:c>
      <x:c r="Q219" s="46" t="n">
        <x:v>3.484999999869615</x:v>
      </x:c>
      <x:c r="R219" s="46" t="n">
        <x:v>10</x:v>
      </x:c>
      <x:c r="S219" s="46" t="n">
        <x:v>10.015999999828637</x:v>
      </x:c>
      <x:c r="T219" s="46" t="n">
        <x:v>12.094000000040978</x:v>
      </x:c>
      <x:c r="U219" s="46" t="n">
        <x:v>17.030999999959022</x:v>
      </x:c>
      <x:c r="V219" s="46" t="n">
        <x:v>2</x:v>
      </x:c>
      <x:c r="W219" s="46" t="n">
        <x:v>2</x:v>
      </x:c>
      <x:c r="X219" s="46" t="n">
        <x:v>3</x:v>
      </x:c>
      <x:c r="Y219" s="46" t="n">
        <x:v>10</x:v>
      </x:c>
      <x:c r="Z219" s="46" t="n">
        <x:v>10</x:v>
      </x:c>
      <x:c r="AA219" s="46" t="n">
        <x:v>12.078000000212342</x:v>
      </x:c>
      <x:c r="AB219" s="46" t="n">
        <x:v>16.467999999877065</x:v>
      </x:c>
      <x:c r="AC219" s="61" t="n">
        <x:v>146888704</x:v>
      </x:c>
      <x:c r="AD219" s="61" t="n">
        <x:v>1024</x:v>
      </x:c>
      <x:c r="AE219" s="45" t="b">
        <x:v>1</x:v>
      </x:c>
      <x:c r="AF219" s="45" t="b">
        <x:v>1</x:v>
      </x:c>
      <x:c r="AG219" s="45" t="b">
        <x:v>1</x:v>
      </x:c>
      <x:c r="AH219" s="45" t="b">
        <x:v>1</x:v>
      </x:c>
      <x:c r="AI219" s="36" t="n">
        <x:v>0</x:v>
      </x:c>
      <x:c r="AJ219" s="59"/>
      <x:c r="AK219" s="45" t="b">
        <x:v>1</x:v>
      </x:c>
    </x:row>
    <x:row r="220" ht="22" customHeight="1">
      <x:c r="A220" s="24" t="str">
        <x:v>article1-unified-v4-2-fb3f101b-20260903-000401-default-f03-p6-nostore</x:v>
      </x:c>
      <x:c r="B220" s="24" t="str">
        <x:v>default</x:v>
      </x:c>
      <x:c r="C220" s="24" t="str">
        <x:v>nostore</x:v>
      </x:c>
      <x:c r="D220" s="36" t="n">
        <x:v>3</x:v>
      </x:c>
      <x:c r="E220" s="36" t="n">
        <x:v>3</x:v>
      </x:c>
      <x:c r="F220" s="36" t="n">
        <x:v>6</x:v>
      </x:c>
      <x:c r="G220" s="36" t="n">
        <x:v>5</x:v>
      </x:c>
      <x:c r="H220" s="43" t="n">
        <x:v>6028.209199663252</x:v>
      </x:c>
      <x:c r="I220" s="43" t="n">
        <x:v>4118.014700245112</x:v>
      </x:c>
      <x:c r="J220" s="43" t="n">
        <x:v>6228.300699964166</x:v>
      </x:c>
      <x:c r="K220" s="43" t="n">
        <x:v>4104.071300011128</x:v>
      </x:c>
      <x:c r="L220" s="45" t="b">
        <x:v>1</x:v>
      </x:c>
      <x:c r="M220" s="45" t="b">
        <x:v>1</x:v>
      </x:c>
      <x:c r="N220" s="45" t="b">
        <x:v>1</x:v>
      </x:c>
      <x:c r="O220" s="46" t="n">
        <x:v>2</x:v>
      </x:c>
      <x:c r="P220" s="46" t="n">
        <x:v>2</x:v>
      </x:c>
      <x:c r="Q220" s="46" t="n">
        <x:v>3.0159999998286366</x:v>
      </x:c>
      <x:c r="R220" s="46" t="n">
        <x:v>10</x:v>
      </x:c>
      <x:c r="S220" s="46" t="n">
        <x:v>10</x:v>
      </x:c>
      <x:c r="T220" s="46" t="n">
        <x:v>12.094000000040978</x:v>
      </x:c>
      <x:c r="U220" s="46" t="n">
        <x:v>17.140999999828637</x:v>
      </x:c>
      <x:c r="V220" s="46" t="n">
        <x:v>2</x:v>
      </x:c>
      <x:c r="W220" s="46" t="n">
        <x:v>2</x:v>
      </x:c>
      <x:c r="X220" s="46" t="n">
        <x:v>3.125</x:v>
      </x:c>
      <x:c r="Y220" s="46" t="n">
        <x:v>10</x:v>
      </x:c>
      <x:c r="Z220" s="46" t="n">
        <x:v>10</x:v>
      </x:c>
      <x:c r="AA220" s="46" t="n">
        <x:v>12.063000000081956</x:v>
      </x:c>
      <x:c r="AB220" s="46" t="n">
        <x:v>16.79699999978766</x:v>
      </x:c>
      <x:c r="AC220" s="61" t="n">
        <x:v>154272768</x:v>
      </x:c>
      <x:c r="AD220" s="61" t="n">
        <x:v>40960</x:v>
      </x:c>
      <x:c r="AE220" s="45" t="b">
        <x:v>1</x:v>
      </x:c>
      <x:c r="AF220" s="45" t="b">
        <x:v>1</x:v>
      </x:c>
      <x:c r="AG220" s="45" t="b">
        <x:v>1</x:v>
      </x:c>
      <x:c r="AH220" s="45" t="b">
        <x:v>1</x:v>
      </x:c>
      <x:c r="AI220" s="36" t="n">
        <x:v>0</x:v>
      </x:c>
      <x:c r="AJ220" s="59"/>
      <x:c r="AK220" s="45" t="b">
        <x:v>1</x:v>
      </x:c>
    </x:row>
    <x:row r="221" ht="22" customHeight="1">
      <x:c r="A221" s="24" t="str">
        <x:v>article1-unified-v4-2-fb3f101b-20260903-000401-default-f04-p4-nostore</x:v>
      </x:c>
      <x:c r="B221" s="24" t="str">
        <x:v>default</x:v>
      </x:c>
      <x:c r="C221" s="24" t="str">
        <x:v>nostore</x:v>
      </x:c>
      <x:c r="D221" s="36" t="n">
        <x:v>4</x:v>
      </x:c>
      <x:c r="E221" s="36" t="n">
        <x:v>4</x:v>
      </x:c>
      <x:c r="F221" s="36" t="n">
        <x:v>4</x:v>
      </x:c>
      <x:c r="G221" s="36" t="n">
        <x:v>1</x:v>
      </x:c>
      <x:c r="H221" s="43" t="n">
        <x:v>6937.210400123149</x:v>
      </x:c>
      <x:c r="I221" s="43" t="n">
        <x:v>4113.51849976927</x:v>
      </x:c>
      <x:c r="J221" s="43" t="n">
        <x:v>6295.741500332952</x:v>
      </x:c>
      <x:c r="K221" s="43" t="n">
        <x:v>4101.351900026202</x:v>
      </x:c>
      <x:c r="L221" s="45" t="b">
        <x:v>1</x:v>
      </x:c>
      <x:c r="M221" s="45" t="b">
        <x:v>1</x:v>
      </x:c>
      <x:c r="N221" s="45" t="b">
        <x:v>1</x:v>
      </x:c>
      <x:c r="O221" s="46" t="n">
        <x:v>2</x:v>
      </x:c>
      <x:c r="P221" s="46" t="n">
        <x:v>2</x:v>
      </x:c>
      <x:c r="Q221" s="46" t="n">
        <x:v>3</x:v>
      </x:c>
      <x:c r="R221" s="46" t="n">
        <x:v>10</x:v>
      </x:c>
      <x:c r="S221" s="46" t="n">
        <x:v>10</x:v>
      </x:c>
      <x:c r="T221" s="46" t="n">
        <x:v>12.07799999974668</x:v>
      </x:c>
      <x:c r="U221" s="46" t="n">
        <x:v>17.109999999869615</x:v>
      </x:c>
      <x:c r="V221" s="46" t="n">
        <x:v>2</x:v>
      </x:c>
      <x:c r="W221" s="46" t="n">
        <x:v>2</x:v>
      </x:c>
      <x:c r="X221" s="46" t="n">
        <x:v>3.1720000002533197</x:v>
      </x:c>
      <x:c r="Y221" s="46" t="n">
        <x:v>10</x:v>
      </x:c>
      <x:c r="Z221" s="46" t="n">
        <x:v>10</x:v>
      </x:c>
      <x:c r="AA221" s="46" t="n">
        <x:v>12.094000000040978</x:v>
      </x:c>
      <x:c r="AB221" s="46" t="n">
        <x:v>17.125</x:v>
      </x:c>
      <x:c r="AC221" s="61" t="n">
        <x:v>88602624</x:v>
      </x:c>
      <x:c r="AD221" s="61" t="n">
        <x:v>-17378304</x:v>
      </x:c>
      <x:c r="AE221" s="45" t="b">
        <x:v>0</x:v>
      </x:c>
      <x:c r="AF221" s="45" t="b">
        <x:v>1</x:v>
      </x:c>
      <x:c r="AG221" s="45" t="b">
        <x:v>1</x:v>
      </x:c>
      <x:c r="AH221" s="45" t="b">
        <x:v>1</x:v>
      </x:c>
      <x:c r="AI221" s="36" t="n">
        <x:v>0</x:v>
      </x:c>
      <x:c r="AJ221" s="59"/>
      <x:c r="AK221" s="45" t="b">
        <x:v>1</x:v>
      </x:c>
    </x:row>
    <x:row r="222" ht="22" customHeight="1">
      <x:c r="A222" s="24" t="str">
        <x:v>article1-unified-v4-2-fb3f101b-20260903-000401-default-f04-p4-nostore</x:v>
      </x:c>
      <x:c r="B222" s="24" t="str">
        <x:v>default</x:v>
      </x:c>
      <x:c r="C222" s="24" t="str">
        <x:v>nostore</x:v>
      </x:c>
      <x:c r="D222" s="36" t="n">
        <x:v>4</x:v>
      </x:c>
      <x:c r="E222" s="36" t="n">
        <x:v>4</x:v>
      </x:c>
      <x:c r="F222" s="36" t="n">
        <x:v>4</x:v>
      </x:c>
      <x:c r="G222" s="36" t="n">
        <x:v>2</x:v>
      </x:c>
      <x:c r="H222" s="43" t="n">
        <x:v>6073.974600061774</x:v>
      </x:c>
      <x:c r="I222" s="43" t="n">
        <x:v>4120.148899964988</x:v>
      </x:c>
      <x:c r="J222" s="43" t="n">
        <x:v>6173.951699864119</x:v>
      </x:c>
      <x:c r="K222" s="43" t="n">
        <x:v>4101.171699818224</x:v>
      </x:c>
      <x:c r="L222" s="45" t="b">
        <x:v>1</x:v>
      </x:c>
      <x:c r="M222" s="45" t="b">
        <x:v>1</x:v>
      </x:c>
      <x:c r="N222" s="45" t="b">
        <x:v>1</x:v>
      </x:c>
      <x:c r="O222" s="46" t="n">
        <x:v>2</x:v>
      </x:c>
      <x:c r="P222" s="46" t="n">
        <x:v>2</x:v>
      </x:c>
      <x:c r="Q222" s="46" t="n">
        <x:v>3.405999999959022</x:v>
      </x:c>
      <x:c r="R222" s="46" t="n">
        <x:v>10</x:v>
      </x:c>
      <x:c r="S222" s="46" t="n">
        <x:v>10</x:v>
      </x:c>
      <x:c r="T222" s="46" t="n">
        <x:v>12.078000000212342</x:v>
      </x:c>
      <x:c r="U222" s="46" t="n">
        <x:v>16.842999999877065</x:v>
      </x:c>
      <x:c r="V222" s="46" t="n">
        <x:v>2</x:v>
      </x:c>
      <x:c r="W222" s="46" t="n">
        <x:v>2</x:v>
      </x:c>
      <x:c r="X222" s="46" t="n">
        <x:v>3.1880000000819564</x:v>
      </x:c>
      <x:c r="Y222" s="46" t="n">
        <x:v>10</x:v>
      </x:c>
      <x:c r="Z222" s="46" t="n">
        <x:v>10</x:v>
      </x:c>
      <x:c r="AA222" s="46" t="n">
        <x:v>12.094000000040978</x:v>
      </x:c>
      <x:c r="AB222" s="46" t="n">
        <x:v>17.469000000040978</x:v>
      </x:c>
      <x:c r="AC222" s="61" t="n">
        <x:v>129939456</x:v>
      </x:c>
      <x:c r="AD222" s="61" t="n">
        <x:v>-209920</x:v>
      </x:c>
      <x:c r="AE222" s="45" t="b">
        <x:v>1</x:v>
      </x:c>
      <x:c r="AF222" s="45" t="b">
        <x:v>1</x:v>
      </x:c>
      <x:c r="AG222" s="45" t="b">
        <x:v>1</x:v>
      </x:c>
      <x:c r="AH222" s="45" t="b">
        <x:v>1</x:v>
      </x:c>
      <x:c r="AI222" s="36" t="n">
        <x:v>0</x:v>
      </x:c>
      <x:c r="AJ222" s="59"/>
      <x:c r="AK222" s="45" t="b">
        <x:v>1</x:v>
      </x:c>
    </x:row>
    <x:row r="223" ht="22" customHeight="1">
      <x:c r="A223" s="24" t="str">
        <x:v>article1-unified-v4-2-fb3f101b-20260903-000401-default-f04-p4-nostore</x:v>
      </x:c>
      <x:c r="B223" s="24" t="str">
        <x:v>default</x:v>
      </x:c>
      <x:c r="C223" s="24" t="str">
        <x:v>nostore</x:v>
      </x:c>
      <x:c r="D223" s="36" t="n">
        <x:v>4</x:v>
      </x:c>
      <x:c r="E223" s="36" t="n">
        <x:v>4</x:v>
      </x:c>
      <x:c r="F223" s="36" t="n">
        <x:v>4</x:v>
      </x:c>
      <x:c r="G223" s="36" t="n">
        <x:v>3</x:v>
      </x:c>
      <x:c r="H223" s="43" t="n">
        <x:v>6001.301299780607</x:v>
      </x:c>
      <x:c r="I223" s="43" t="n">
        <x:v>4112.2306999750435</x:v>
      </x:c>
      <x:c r="J223" s="43" t="n">
        <x:v>6242.434599902481</x:v>
      </x:c>
      <x:c r="K223" s="43" t="n">
        <x:v>4107.742300257087</x:v>
      </x:c>
      <x:c r="L223" s="45" t="b">
        <x:v>1</x:v>
      </x:c>
      <x:c r="M223" s="45" t="b">
        <x:v>1</x:v>
      </x:c>
      <x:c r="N223" s="45" t="b">
        <x:v>1</x:v>
      </x:c>
      <x:c r="O223" s="46" t="n">
        <x:v>2</x:v>
      </x:c>
      <x:c r="P223" s="46" t="n">
        <x:v>2</x:v>
      </x:c>
      <x:c r="Q223" s="46" t="n">
        <x:v>3.0929999998770654</x:v>
      </x:c>
      <x:c r="R223" s="46" t="n">
        <x:v>10</x:v>
      </x:c>
      <x:c r="S223" s="46" t="n">
        <x:v>10</x:v>
      </x:c>
      <x:c r="T223" s="46" t="n">
        <x:v>12.07799999974668</x:v>
      </x:c>
      <x:c r="U223" s="46" t="n">
        <x:v>17.467999999877065</x:v>
      </x:c>
      <x:c r="V223" s="46" t="n">
        <x:v>2</x:v>
      </x:c>
      <x:c r="W223" s="46" t="n">
        <x:v>2</x:v>
      </x:c>
      <x:c r="X223" s="46" t="n">
        <x:v>3.4530000002123415</x:v>
      </x:c>
      <x:c r="Y223" s="46" t="n">
        <x:v>10</x:v>
      </x:c>
      <x:c r="Z223" s="46" t="n">
        <x:v>10</x:v>
      </x:c>
      <x:c r="AA223" s="46" t="n">
        <x:v>12.078000000212342</x:v>
      </x:c>
      <x:c r="AB223" s="46" t="n">
        <x:v>16.42200000025332</x:v>
      </x:c>
      <x:c r="AC223" s="61" t="n">
        <x:v>142479360</x:v>
      </x:c>
      <x:c r="AD223" s="61" t="n">
        <x:v>15360</x:v>
      </x:c>
      <x:c r="AE223" s="45" t="b">
        <x:v>1</x:v>
      </x:c>
      <x:c r="AF223" s="45" t="b">
        <x:v>1</x:v>
      </x:c>
      <x:c r="AG223" s="45" t="b">
        <x:v>1</x:v>
      </x:c>
      <x:c r="AH223" s="45" t="b">
        <x:v>1</x:v>
      </x:c>
      <x:c r="AI223" s="36" t="n">
        <x:v>0</x:v>
      </x:c>
      <x:c r="AJ223" s="59"/>
      <x:c r="AK223" s="45" t="b">
        <x:v>1</x:v>
      </x:c>
    </x:row>
    <x:row r="224" ht="22" customHeight="1">
      <x:c r="A224" s="24" t="str">
        <x:v>article1-unified-v4-2-fb3f101b-20260903-000401-default-f04-p4-nostore</x:v>
      </x:c>
      <x:c r="B224" s="24" t="str">
        <x:v>default</x:v>
      </x:c>
      <x:c r="C224" s="24" t="str">
        <x:v>nostore</x:v>
      </x:c>
      <x:c r="D224" s="36" t="n">
        <x:v>4</x:v>
      </x:c>
      <x:c r="E224" s="36" t="n">
        <x:v>4</x:v>
      </x:c>
      <x:c r="F224" s="36" t="n">
        <x:v>4</x:v>
      </x:c>
      <x:c r="G224" s="36" t="n">
        <x:v>4</x:v>
      </x:c>
      <x:c r="H224" s="43" t="n">
        <x:v>6084.350899793208</x:v>
      </x:c>
      <x:c r="I224" s="43" t="n">
        <x:v>4145.322300028056</x:v>
      </x:c>
      <x:c r="J224" s="43" t="n">
        <x:v>6074.834699742496</x:v>
      </x:c>
      <x:c r="K224" s="43" t="n">
        <x:v>4101.247100159526</x:v>
      </x:c>
      <x:c r="L224" s="45" t="b">
        <x:v>1</x:v>
      </x:c>
      <x:c r="M224" s="45" t="b">
        <x:v>1</x:v>
      </x:c>
      <x:c r="N224" s="45" t="b">
        <x:v>1</x:v>
      </x:c>
      <x:c r="O224" s="46" t="n">
        <x:v>2</x:v>
      </x:c>
      <x:c r="P224" s="46" t="n">
        <x:v>2</x:v>
      </x:c>
      <x:c r="Q224" s="46" t="n">
        <x:v>3.1090000001713634</x:v>
      </x:c>
      <x:c r="R224" s="46" t="n">
        <x:v>10</x:v>
      </x:c>
      <x:c r="S224" s="46" t="n">
        <x:v>10</x:v>
      </x:c>
      <x:c r="T224" s="46" t="n">
        <x:v>12.092999999877065</x:v>
      </x:c>
      <x:c r="U224" s="46" t="n">
        <x:v>16.717999999877065</x:v>
      </x:c>
      <x:c r="V224" s="46" t="n">
        <x:v>2</x:v>
      </x:c>
      <x:c r="W224" s="46" t="n">
        <x:v>2</x:v>
      </x:c>
      <x:c r="X224" s="46" t="n">
        <x:v>2.9679999998770654</x:v>
      </x:c>
      <x:c r="Y224" s="46" t="n">
        <x:v>10</x:v>
      </x:c>
      <x:c r="Z224" s="46" t="n">
        <x:v>10</x:v>
      </x:c>
      <x:c r="AA224" s="46" t="n">
        <x:v>12.07799999974668</x:v>
      </x:c>
      <x:c r="AB224" s="46" t="n">
        <x:v>16.875</x:v>
      </x:c>
      <x:c r="AC224" s="61" t="n">
        <x:v>146200576</x:v>
      </x:c>
      <x:c r="AD224" s="61" t="n">
        <x:v>45056</x:v>
      </x:c>
      <x:c r="AE224" s="45" t="b">
        <x:v>1</x:v>
      </x:c>
      <x:c r="AF224" s="45" t="b">
        <x:v>1</x:v>
      </x:c>
      <x:c r="AG224" s="45" t="b">
        <x:v>1</x:v>
      </x:c>
      <x:c r="AH224" s="45" t="b">
        <x:v>1</x:v>
      </x:c>
      <x:c r="AI224" s="36" t="n">
        <x:v>0</x:v>
      </x:c>
      <x:c r="AJ224" s="59"/>
      <x:c r="AK224" s="45" t="b">
        <x:v>1</x:v>
      </x:c>
    </x:row>
    <x:row r="225" ht="22" customHeight="1">
      <x:c r="A225" s="24" t="str">
        <x:v>article1-unified-v4-2-fb3f101b-20260903-000401-default-f04-p4-nostore</x:v>
      </x:c>
      <x:c r="B225" s="24" t="str">
        <x:v>default</x:v>
      </x:c>
      <x:c r="C225" s="24" t="str">
        <x:v>nostore</x:v>
      </x:c>
      <x:c r="D225" s="36" t="n">
        <x:v>4</x:v>
      </x:c>
      <x:c r="E225" s="36" t="n">
        <x:v>4</x:v>
      </x:c>
      <x:c r="F225" s="36" t="n">
        <x:v>4</x:v>
      </x:c>
      <x:c r="G225" s="36" t="n">
        <x:v>5</x:v>
      </x:c>
      <x:c r="H225" s="43" t="n">
        <x:v>5998.378399759531</x:v>
      </x:c>
      <x:c r="I225" s="43" t="n">
        <x:v>4123.104100115597</x:v>
      </x:c>
      <x:c r="J225" s="43" t="n">
        <x:v>6029.872499871999</x:v>
      </x:c>
      <x:c r="K225" s="43" t="n">
        <x:v>4133.4978002123535</x:v>
      </x:c>
      <x:c r="L225" s="45" t="b">
        <x:v>1</x:v>
      </x:c>
      <x:c r="M225" s="45" t="b">
        <x:v>1</x:v>
      </x:c>
      <x:c r="N225" s="45" t="b">
        <x:v>1</x:v>
      </x:c>
      <x:c r="O225" s="46" t="n">
        <x:v>2</x:v>
      </x:c>
      <x:c r="P225" s="46" t="n">
        <x:v>2</x:v>
      </x:c>
      <x:c r="Q225" s="46" t="n">
        <x:v>2.891000000294298</x:v>
      </x:c>
      <x:c r="R225" s="46" t="n">
        <x:v>10</x:v>
      </x:c>
      <x:c r="S225" s="46" t="n">
        <x:v>10.016000000294298</x:v>
      </x:c>
      <x:c r="T225" s="46" t="n">
        <x:v>12.078000000212342</x:v>
      </x:c>
      <x:c r="U225" s="46" t="n">
        <x:v>17.063000000081956</x:v>
      </x:c>
      <x:c r="V225" s="46" t="n">
        <x:v>2</x:v>
      </x:c>
      <x:c r="W225" s="46" t="n">
        <x:v>2</x:v>
      </x:c>
      <x:c r="X225" s="46" t="n">
        <x:v>3.2029999997466803</x:v>
      </x:c>
      <x:c r="Y225" s="46" t="n">
        <x:v>10</x:v>
      </x:c>
      <x:c r="Z225" s="46" t="n">
        <x:v>10.015999999828637</x:v>
      </x:c>
      <x:c r="AA225" s="46" t="n">
        <x:v>12.094000000040978</x:v>
      </x:c>
      <x:c r="AB225" s="46" t="n">
        <x:v>16.813000000081956</x:v>
      </x:c>
      <x:c r="AC225" s="61" t="n">
        <x:v>144843776</x:v>
      </x:c>
      <x:c r="AD225" s="61" t="n">
        <x:v>118784</x:v>
      </x:c>
      <x:c r="AE225" s="45" t="b">
        <x:v>1</x:v>
      </x:c>
      <x:c r="AF225" s="45" t="b">
        <x:v>1</x:v>
      </x:c>
      <x:c r="AG225" s="45" t="b">
        <x:v>1</x:v>
      </x:c>
      <x:c r="AH225" s="45" t="b">
        <x:v>1</x:v>
      </x:c>
      <x:c r="AI225" s="36" t="n">
        <x:v>0</x:v>
      </x:c>
      <x:c r="AJ225" s="59"/>
      <x:c r="AK225" s="45" t="b">
        <x:v>1</x:v>
      </x:c>
    </x:row>
    <x:row r="226" ht="22" customHeight="1">
      <x:c r="A226" s="24" t="str">
        <x:v>article1-unified-v4-2-fb3f101b-20260903-000401-default-f05-p2-nostore</x:v>
      </x:c>
      <x:c r="B226" s="24" t="str">
        <x:v>default</x:v>
      </x:c>
      <x:c r="C226" s="24" t="str">
        <x:v>nostore</x:v>
      </x:c>
      <x:c r="D226" s="36" t="n">
        <x:v>5</x:v>
      </x:c>
      <x:c r="E226" s="36" t="n">
        <x:v>5</x:v>
      </x:c>
      <x:c r="F226" s="36" t="n">
        <x:v>2</x:v>
      </x:c>
      <x:c r="G226" s="36" t="n">
        <x:v>1</x:v>
      </x:c>
      <x:c r="H226" s="43" t="n">
        <x:v>6914.2385995946825</x:v>
      </x:c>
      <x:c r="I226" s="43" t="n">
        <x:v>4102.220399770886</x:v>
      </x:c>
      <x:c r="J226" s="43" t="n">
        <x:v>6407.74630010128</x:v>
      </x:c>
      <x:c r="K226" s="43" t="n">
        <x:v>4123.744199983776</x:v>
      </x:c>
      <x:c r="L226" s="45" t="b">
        <x:v>1</x:v>
      </x:c>
      <x:c r="M226" s="45" t="b">
        <x:v>1</x:v>
      </x:c>
      <x:c r="N226" s="45" t="b">
        <x:v>1</x:v>
      </x:c>
      <x:c r="O226" s="46" t="n">
        <x:v>2</x:v>
      </x:c>
      <x:c r="P226" s="46" t="n">
        <x:v>2</x:v>
      </x:c>
      <x:c r="Q226" s="46" t="n">
        <x:v>3.344000000040978</x:v>
      </x:c>
      <x:c r="R226" s="46" t="n">
        <x:v>10</x:v>
      </x:c>
      <x:c r="S226" s="46" t="n">
        <x:v>10</x:v>
      </x:c>
      <x:c r="T226" s="46" t="n">
        <x:v>12.094000000040978</x:v>
      </x:c>
      <x:c r="U226" s="46" t="n">
        <x:v>17.20300000021234</x:v>
      </x:c>
      <x:c r="V226" s="46" t="n">
        <x:v>2</x:v>
      </x:c>
      <x:c r="W226" s="46" t="n">
        <x:v>2</x:v>
      </x:c>
      <x:c r="X226" s="46" t="n">
        <x:v>3.0470000002533197</x:v>
      </x:c>
      <x:c r="Y226" s="46" t="n">
        <x:v>10</x:v>
      </x:c>
      <x:c r="Z226" s="46" t="n">
        <x:v>10</x:v>
      </x:c>
      <x:c r="AA226" s="46" t="n">
        <x:v>12.110000000335276</x:v>
      </x:c>
      <x:c r="AB226" s="46" t="n">
        <x:v>17.32800000021234</x:v>
      </x:c>
      <x:c r="AC226" s="61" t="n">
        <x:v>88543232</x:v>
      </x:c>
      <x:c r="AD226" s="61" t="n">
        <x:v>-17176576</x:v>
      </x:c>
      <x:c r="AE226" s="45" t="b">
        <x:v>0</x:v>
      </x:c>
      <x:c r="AF226" s="45" t="b">
        <x:v>1</x:v>
      </x:c>
      <x:c r="AG226" s="45" t="b">
        <x:v>1</x:v>
      </x:c>
      <x:c r="AH226" s="45" t="b">
        <x:v>1</x:v>
      </x:c>
      <x:c r="AI226" s="36" t="n">
        <x:v>0</x:v>
      </x:c>
      <x:c r="AJ226" s="59"/>
      <x:c r="AK226" s="45" t="b">
        <x:v>1</x:v>
      </x:c>
    </x:row>
    <x:row r="227" ht="22" customHeight="1">
      <x:c r="A227" s="24" t="str">
        <x:v>article1-unified-v4-2-fb3f101b-20260903-000401-default-f05-p2-nostore</x:v>
      </x:c>
      <x:c r="B227" s="24" t="str">
        <x:v>default</x:v>
      </x:c>
      <x:c r="C227" s="24" t="str">
        <x:v>nostore</x:v>
      </x:c>
      <x:c r="D227" s="36" t="n">
        <x:v>5</x:v>
      </x:c>
      <x:c r="E227" s="36" t="n">
        <x:v>5</x:v>
      </x:c>
      <x:c r="F227" s="36" t="n">
        <x:v>2</x:v>
      </x:c>
      <x:c r="G227" s="36" t="n">
        <x:v>2</x:v>
      </x:c>
      <x:c r="H227" s="43" t="n">
        <x:v>6158.734399825335</x:v>
      </x:c>
      <x:c r="I227" s="43" t="n">
        <x:v>4090.5526001006365</x:v>
      </x:c>
      <x:c r="J227" s="43" t="n">
        <x:v>6010.354700032622</x:v>
      </x:c>
      <x:c r="K227" s="43" t="n">
        <x:v>4116.159299854189</x:v>
      </x:c>
      <x:c r="L227" s="45" t="b">
        <x:v>1</x:v>
      </x:c>
      <x:c r="M227" s="45" t="b">
        <x:v>1</x:v>
      </x:c>
      <x:c r="N227" s="45" t="b">
        <x:v>1</x:v>
      </x:c>
      <x:c r="O227" s="46" t="n">
        <x:v>2</x:v>
      </x:c>
      <x:c r="P227" s="46" t="n">
        <x:v>2</x:v>
      </x:c>
      <x:c r="Q227" s="46" t="n">
        <x:v>3.1409999998286366</x:v>
      </x:c>
      <x:c r="R227" s="46" t="n">
        <x:v>10</x:v>
      </x:c>
      <x:c r="S227" s="46" t="n">
        <x:v>10.015999999828637</x:v>
      </x:c>
      <x:c r="T227" s="46" t="n">
        <x:v>12.125</x:v>
      </x:c>
      <x:c r="U227" s="46" t="n">
        <x:v>16.405999999959022</x:v>
      </x:c>
      <x:c r="V227" s="46" t="n">
        <x:v>2</x:v>
      </x:c>
      <x:c r="W227" s="46" t="n">
        <x:v>2</x:v>
      </x:c>
      <x:c r="X227" s="46" t="n">
        <x:v>3.265000000130385</x:v>
      </x:c>
      <x:c r="Y227" s="46" t="n">
        <x:v>10</x:v>
      </x:c>
      <x:c r="Z227" s="46" t="n">
        <x:v>10</x:v>
      </x:c>
      <x:c r="AA227" s="46" t="n">
        <x:v>12.078000000212342</x:v>
      </x:c>
      <x:c r="AB227" s="46" t="n">
        <x:v>17.061999999918044</x:v>
      </x:c>
      <x:c r="AC227" s="61" t="n">
        <x:v>14460928</x:v>
      </x:c>
      <x:c r="AD227" s="61" t="n">
        <x:v>-220160</x:v>
      </x:c>
      <x:c r="AE227" s="45" t="b">
        <x:v>1</x:v>
      </x:c>
      <x:c r="AF227" s="45" t="b">
        <x:v>1</x:v>
      </x:c>
      <x:c r="AG227" s="45" t="b">
        <x:v>1</x:v>
      </x:c>
      <x:c r="AH227" s="45" t="b">
        <x:v>1</x:v>
      </x:c>
      <x:c r="AI227" s="36" t="n">
        <x:v>0</x:v>
      </x:c>
      <x:c r="AJ227" s="59"/>
      <x:c r="AK227" s="45" t="b">
        <x:v>1</x:v>
      </x:c>
    </x:row>
    <x:row r="228" ht="22" customHeight="1">
      <x:c r="A228" s="24" t="str">
        <x:v>article1-unified-v4-2-fb3f101b-20260903-000401-default-f05-p2-nostore</x:v>
      </x:c>
      <x:c r="B228" s="24" t="str">
        <x:v>default</x:v>
      </x:c>
      <x:c r="C228" s="24" t="str">
        <x:v>nostore</x:v>
      </x:c>
      <x:c r="D228" s="36" t="n">
        <x:v>5</x:v>
      </x:c>
      <x:c r="E228" s="36" t="n">
        <x:v>5</x:v>
      </x:c>
      <x:c r="F228" s="36" t="n">
        <x:v>2</x:v>
      </x:c>
      <x:c r="G228" s="36" t="n">
        <x:v>3</x:v>
      </x:c>
      <x:c r="H228" s="43" t="n">
        <x:v>6028.0121001414955</x:v>
      </x:c>
      <x:c r="I228" s="43" t="n">
        <x:v>4144.947600085288</x:v>
      </x:c>
      <x:c r="J228" s="43" t="n">
        <x:v>6077.173099853098</x:v>
      </x:c>
      <x:c r="K228" s="43" t="n">
        <x:v>4096.23959986493</x:v>
      </x:c>
      <x:c r="L228" s="45" t="b">
        <x:v>1</x:v>
      </x:c>
      <x:c r="M228" s="45" t="b">
        <x:v>1</x:v>
      </x:c>
      <x:c r="N228" s="45" t="b">
        <x:v>1</x:v>
      </x:c>
      <x:c r="O228" s="46" t="n">
        <x:v>2</x:v>
      </x:c>
      <x:c r="P228" s="46" t="n">
        <x:v>2</x:v>
      </x:c>
      <x:c r="Q228" s="46" t="n">
        <x:v>3</x:v>
      </x:c>
      <x:c r="R228" s="46" t="n">
        <x:v>10</x:v>
      </x:c>
      <x:c r="S228" s="46" t="n">
        <x:v>10</x:v>
      </x:c>
      <x:c r="T228" s="46" t="n">
        <x:v>12.078000000212342</x:v>
      </x:c>
      <x:c r="U228" s="46" t="n">
        <x:v>16.859000000171363</x:v>
      </x:c>
      <x:c r="V228" s="46" t="n">
        <x:v>2</x:v>
      </x:c>
      <x:c r="W228" s="46" t="n">
        <x:v>2</x:v>
      </x:c>
      <x:c r="X228" s="46" t="n">
        <x:v>3.0469999997876585</x:v>
      </x:c>
      <x:c r="Y228" s="46" t="n">
        <x:v>10</x:v>
      </x:c>
      <x:c r="Z228" s="46" t="n">
        <x:v>10</x:v>
      </x:c>
      <x:c r="AA228" s="46" t="n">
        <x:v>12.061999999918044</x:v>
      </x:c>
      <x:c r="AB228" s="46" t="n">
        <x:v>16.79699999978766</x:v>
      </x:c>
      <x:c r="AC228" s="61" t="n">
        <x:v>144974848</x:v>
      </x:c>
      <x:c r="AD228" s="61" t="n">
        <x:v>55296</x:v>
      </x:c>
      <x:c r="AE228" s="45" t="b">
        <x:v>1</x:v>
      </x:c>
      <x:c r="AF228" s="45" t="b">
        <x:v>1</x:v>
      </x:c>
      <x:c r="AG228" s="45" t="b">
        <x:v>1</x:v>
      </x:c>
      <x:c r="AH228" s="45" t="b">
        <x:v>1</x:v>
      </x:c>
      <x:c r="AI228" s="36" t="n">
        <x:v>0</x:v>
      </x:c>
      <x:c r="AJ228" s="59"/>
      <x:c r="AK228" s="45" t="b">
        <x:v>1</x:v>
      </x:c>
    </x:row>
    <x:row r="229" ht="22" customHeight="1">
      <x:c r="A229" s="24" t="str">
        <x:v>article1-unified-v4-2-fb3f101b-20260903-000401-default-f05-p2-nostore</x:v>
      </x:c>
      <x:c r="B229" s="24" t="str">
        <x:v>default</x:v>
      </x:c>
      <x:c r="C229" s="24" t="str">
        <x:v>nostore</x:v>
      </x:c>
      <x:c r="D229" s="36" t="n">
        <x:v>5</x:v>
      </x:c>
      <x:c r="E229" s="36" t="n">
        <x:v>5</x:v>
      </x:c>
      <x:c r="F229" s="36" t="n">
        <x:v>2</x:v>
      </x:c>
      <x:c r="G229" s="36" t="n">
        <x:v>4</x:v>
      </x:c>
      <x:c r="H229" s="43" t="n">
        <x:v>6246.319400146604</x:v>
      </x:c>
      <x:c r="I229" s="43" t="n">
        <x:v>4093.748999759555</x:v>
      </x:c>
      <x:c r="J229" s="43" t="n">
        <x:v>6022.944599855691</x:v>
      </x:c>
      <x:c r="K229" s="43" t="n">
        <x:v>4116.452599875629</x:v>
      </x:c>
      <x:c r="L229" s="45" t="b">
        <x:v>1</x:v>
      </x:c>
      <x:c r="M229" s="45" t="b">
        <x:v>1</x:v>
      </x:c>
      <x:c r="N229" s="45" t="b">
        <x:v>1</x:v>
      </x:c>
      <x:c r="O229" s="46" t="n">
        <x:v>2</x:v>
      </x:c>
      <x:c r="P229" s="46" t="n">
        <x:v>2</x:v>
      </x:c>
      <x:c r="Q229" s="46" t="n">
        <x:v>2.985000000335276</x:v>
      </x:c>
      <x:c r="R229" s="46" t="n">
        <x:v>10</x:v>
      </x:c>
      <x:c r="S229" s="46" t="n">
        <x:v>10.016000000294298</x:v>
      </x:c>
      <x:c r="T229" s="46" t="n">
        <x:v>12.078000000212342</x:v>
      </x:c>
      <x:c r="U229" s="46" t="n">
        <x:v>16.219000000040978</x:v>
      </x:c>
      <x:c r="V229" s="46" t="n">
        <x:v>2</x:v>
      </x:c>
      <x:c r="W229" s="46" t="n">
        <x:v>2</x:v>
      </x:c>
      <x:c r="X229" s="46" t="n">
        <x:v>2.875</x:v>
      </x:c>
      <x:c r="Y229" s="46" t="n">
        <x:v>10</x:v>
      </x:c>
      <x:c r="Z229" s="46" t="n">
        <x:v>10.015999999828637</x:v>
      </x:c>
      <x:c r="AA229" s="46" t="n">
        <x:v>12.125</x:v>
      </x:c>
      <x:c r="AB229" s="46" t="n">
        <x:v>16.657000000122935</x:v>
      </x:c>
      <x:c r="AC229" s="61" t="n">
        <x:v>157367296</x:v>
      </x:c>
      <x:c r="AD229" s="61" t="n">
        <x:v>131072</x:v>
      </x:c>
      <x:c r="AE229" s="45" t="b">
        <x:v>1</x:v>
      </x:c>
      <x:c r="AF229" s="45" t="b">
        <x:v>1</x:v>
      </x:c>
      <x:c r="AG229" s="45" t="b">
        <x:v>1</x:v>
      </x:c>
      <x:c r="AH229" s="45" t="b">
        <x:v>1</x:v>
      </x:c>
      <x:c r="AI229" s="36" t="n">
        <x:v>0</x:v>
      </x:c>
      <x:c r="AJ229" s="59"/>
      <x:c r="AK229" s="45" t="b">
        <x:v>1</x:v>
      </x:c>
    </x:row>
    <x:row r="230" ht="22" customHeight="1">
      <x:c r="A230" s="24" t="str">
        <x:v>article1-unified-v4-2-fb3f101b-20260903-000401-default-f05-p2-nostore</x:v>
      </x:c>
      <x:c r="B230" s="24" t="str">
        <x:v>default</x:v>
      </x:c>
      <x:c r="C230" s="24" t="str">
        <x:v>nostore</x:v>
      </x:c>
      <x:c r="D230" s="36" t="n">
        <x:v>5</x:v>
      </x:c>
      <x:c r="E230" s="36" t="n">
        <x:v>5</x:v>
      </x:c>
      <x:c r="F230" s="36" t="n">
        <x:v>2</x:v>
      </x:c>
      <x:c r="G230" s="36" t="n">
        <x:v>5</x:v>
      </x:c>
      <x:c r="H230" s="43" t="n">
        <x:v>5947.977499570698</x:v>
      </x:c>
      <x:c r="I230" s="43" t="n">
        <x:v>4125.696300063282</x:v>
      </x:c>
      <x:c r="J230" s="43" t="n">
        <x:v>5981.496300082654</x:v>
      </x:c>
      <x:c r="K230" s="43" t="n">
        <x:v>4110.05249992013</x:v>
      </x:c>
      <x:c r="L230" s="45" t="b">
        <x:v>1</x:v>
      </x:c>
      <x:c r="M230" s="45" t="b">
        <x:v>1</x:v>
      </x:c>
      <x:c r="N230" s="45" t="b">
        <x:v>1</x:v>
      </x:c>
      <x:c r="O230" s="46" t="n">
        <x:v>2</x:v>
      </x:c>
      <x:c r="P230" s="46" t="n">
        <x:v>2</x:v>
      </x:c>
      <x:c r="Q230" s="46" t="n">
        <x:v>3.4530000002123415</x:v>
      </x:c>
      <x:c r="R230" s="46" t="n">
        <x:v>10</x:v>
      </x:c>
      <x:c r="S230" s="46" t="n">
        <x:v>10</x:v>
      </x:c>
      <x:c r="T230" s="46" t="n">
        <x:v>12.078000000212342</x:v>
      </x:c>
      <x:c r="U230" s="46" t="n">
        <x:v>16.75</x:v>
      </x:c>
      <x:c r="V230" s="46" t="n">
        <x:v>2</x:v>
      </x:c>
      <x:c r="W230" s="46" t="n">
        <x:v>2</x:v>
      </x:c>
      <x:c r="X230" s="46" t="n">
        <x:v>2.891000000294298</x:v>
      </x:c>
      <x:c r="Y230" s="46" t="n">
        <x:v>10</x:v>
      </x:c>
      <x:c r="Z230" s="46" t="n">
        <x:v>10</x:v>
      </x:c>
      <x:c r="AA230" s="46" t="n">
        <x:v>12.078000000212342</x:v>
      </x:c>
      <x:c r="AB230" s="46" t="n">
        <x:v>16.57800000021234</x:v>
      </x:c>
      <x:c r="AC230" s="61" t="n">
        <x:v>151379968</x:v>
      </x:c>
      <x:c r="AD230" s="61" t="n">
        <x:v>-82944</x:v>
      </x:c>
      <x:c r="AE230" s="45" t="b">
        <x:v>1</x:v>
      </x:c>
      <x:c r="AF230" s="45" t="b">
        <x:v>1</x:v>
      </x:c>
      <x:c r="AG230" s="45" t="b">
        <x:v>1</x:v>
      </x:c>
      <x:c r="AH230" s="45" t="b">
        <x:v>1</x:v>
      </x:c>
      <x:c r="AI230" s="36" t="n">
        <x:v>0</x:v>
      </x:c>
      <x:c r="AJ230" s="59"/>
      <x:c r="AK230" s="45" t="b">
        <x:v>1</x:v>
      </x:c>
    </x:row>
    <x:row r="231" ht="22" customHeight="1">
      <x:c r="A231" s="24" t="str">
        <x:v>article1-unified-v4-2-fb3f101b-20260903-000401-default-f06-p1-nostore</x:v>
      </x:c>
      <x:c r="B231" s="24" t="str">
        <x:v>default</x:v>
      </x:c>
      <x:c r="C231" s="24" t="str">
        <x:v>nostore</x:v>
      </x:c>
      <x:c r="D231" s="36" t="n">
        <x:v>6</x:v>
      </x:c>
      <x:c r="E231" s="36" t="n">
        <x:v>6</x:v>
      </x:c>
      <x:c r="F231" s="36" t="n">
        <x:v>1</x:v>
      </x:c>
      <x:c r="G231" s="36" t="n">
        <x:v>1</x:v>
      </x:c>
      <x:c r="H231" s="43" t="n">
        <x:v>6907.030200120062</x:v>
      </x:c>
      <x:c r="I231" s="43" t="n">
        <x:v>4124.683199916035</x:v>
      </x:c>
      <x:c r="J231" s="43" t="n">
        <x:v>6209.524199832231</x:v>
      </x:c>
      <x:c r="K231" s="43" t="n">
        <x:v>4107.864700257778</x:v>
      </x:c>
      <x:c r="L231" s="45" t="b">
        <x:v>1</x:v>
      </x:c>
      <x:c r="M231" s="45" t="b">
        <x:v>1</x:v>
      </x:c>
      <x:c r="N231" s="45" t="b">
        <x:v>1</x:v>
      </x:c>
      <x:c r="O231" s="46" t="n">
        <x:v>2</x:v>
      </x:c>
      <x:c r="P231" s="46" t="n">
        <x:v>2</x:v>
      </x:c>
      <x:c r="Q231" s="46" t="n">
        <x:v>3.0470000002533197</x:v>
      </x:c>
      <x:c r="R231" s="46" t="n">
        <x:v>10</x:v>
      </x:c>
      <x:c r="S231" s="46" t="n">
        <x:v>10</x:v>
      </x:c>
      <x:c r="T231" s="46" t="n">
        <x:v>12.094000000040978</x:v>
      </x:c>
      <x:c r="U231" s="46" t="n">
        <x:v>17.04700000025332</x:v>
      </x:c>
      <x:c r="V231" s="46" t="n">
        <x:v>2</x:v>
      </x:c>
      <x:c r="W231" s="46" t="n">
        <x:v>2</x:v>
      </x:c>
      <x:c r="X231" s="46" t="n">
        <x:v>3.1880000000819564</x:v>
      </x:c>
      <x:c r="Y231" s="46" t="n">
        <x:v>10</x:v>
      </x:c>
      <x:c r="Z231" s="46" t="n">
        <x:v>10</x:v>
      </x:c>
      <x:c r="AA231" s="46" t="n">
        <x:v>12.078999999910593</x:v>
      </x:c>
      <x:c r="AB231" s="46" t="n">
        <x:v>16.657000000122935</x:v>
      </x:c>
      <x:c r="AC231" s="61" t="n">
        <x:v>88260608</x:v>
      </x:c>
      <x:c r="AD231" s="61" t="n">
        <x:v>-18002944</x:v>
      </x:c>
      <x:c r="AE231" s="45" t="b">
        <x:v>0</x:v>
      </x:c>
      <x:c r="AF231" s="45" t="b">
        <x:v>1</x:v>
      </x:c>
      <x:c r="AG231" s="45" t="b">
        <x:v>1</x:v>
      </x:c>
      <x:c r="AH231" s="45" t="b">
        <x:v>1</x:v>
      </x:c>
      <x:c r="AI231" s="36" t="n">
        <x:v>0</x:v>
      </x:c>
      <x:c r="AJ231" s="59"/>
      <x:c r="AK231" s="45" t="b">
        <x:v>1</x:v>
      </x:c>
    </x:row>
    <x:row r="232" ht="22" customHeight="1">
      <x:c r="A232" s="24" t="str">
        <x:v>article1-unified-v4-2-fb3f101b-20260903-000401-default-f06-p1-nostore</x:v>
      </x:c>
      <x:c r="B232" s="24" t="str">
        <x:v>default</x:v>
      </x:c>
      <x:c r="C232" s="24" t="str">
        <x:v>nostore</x:v>
      </x:c>
      <x:c r="D232" s="36" t="n">
        <x:v>6</x:v>
      </x:c>
      <x:c r="E232" s="36" t="n">
        <x:v>6</x:v>
      </x:c>
      <x:c r="F232" s="36" t="n">
        <x:v>1</x:v>
      </x:c>
      <x:c r="G232" s="36" t="n">
        <x:v>2</x:v>
      </x:c>
      <x:c r="H232" s="43" t="n">
        <x:v>6157.760600093752</x:v>
      </x:c>
      <x:c r="I232" s="43" t="n">
        <x:v>4159.698999952525</x:v>
      </x:c>
      <x:c r="J232" s="43" t="n">
        <x:v>6283.20789989084</x:v>
      </x:c>
      <x:c r="K232" s="43" t="n">
        <x:v>4102.453100029379</x:v>
      </x:c>
      <x:c r="L232" s="45" t="b">
        <x:v>1</x:v>
      </x:c>
      <x:c r="M232" s="45" t="b">
        <x:v>1</x:v>
      </x:c>
      <x:c r="N232" s="45" t="b">
        <x:v>1</x:v>
      </x:c>
      <x:c r="O232" s="46" t="n">
        <x:v>2</x:v>
      </x:c>
      <x:c r="P232" s="46" t="n">
        <x:v>2</x:v>
      </x:c>
      <x:c r="Q232" s="46" t="n">
        <x:v>3.155999999959022</x:v>
      </x:c>
      <x:c r="R232" s="46" t="n">
        <x:v>10</x:v>
      </x:c>
      <x:c r="S232" s="46" t="n">
        <x:v>10</x:v>
      </x:c>
      <x:c r="T232" s="46" t="n">
        <x:v>12.094000000040978</x:v>
      </x:c>
      <x:c r="U232" s="46" t="n">
        <x:v>17</x:v>
      </x:c>
      <x:c r="V232" s="46" t="n">
        <x:v>2</x:v>
      </x:c>
      <x:c r="W232" s="46" t="n">
        <x:v>2</x:v>
      </x:c>
      <x:c r="X232" s="46" t="n">
        <x:v>3.515000000130385</x:v>
      </x:c>
      <x:c r="Y232" s="46" t="n">
        <x:v>10</x:v>
      </x:c>
      <x:c r="Z232" s="46" t="n">
        <x:v>10</x:v>
      </x:c>
      <x:c r="AA232" s="46" t="n">
        <x:v>12.061999999918044</x:v>
      </x:c>
      <x:c r="AB232" s="46" t="n">
        <x:v>16.82800000021234</x:v>
      </x:c>
      <x:c r="AC232" s="61" t="n">
        <x:v>211815424</x:v>
      </x:c>
      <x:c r="AD232" s="61" t="n">
        <x:v>-8192</x:v>
      </x:c>
      <x:c r="AE232" s="45" t="b">
        <x:v>1</x:v>
      </x:c>
      <x:c r="AF232" s="45" t="b">
        <x:v>1</x:v>
      </x:c>
      <x:c r="AG232" s="45" t="b">
        <x:v>1</x:v>
      </x:c>
      <x:c r="AH232" s="45" t="b">
        <x:v>1</x:v>
      </x:c>
      <x:c r="AI232" s="36" t="n">
        <x:v>0</x:v>
      </x:c>
      <x:c r="AJ232" s="59"/>
      <x:c r="AK232" s="45" t="b">
        <x:v>1</x:v>
      </x:c>
    </x:row>
    <x:row r="233" ht="22" customHeight="1">
      <x:c r="A233" s="24" t="str">
        <x:v>article1-unified-v4-2-fb3f101b-20260903-000401-default-f06-p1-nostore</x:v>
      </x:c>
      <x:c r="B233" s="24" t="str">
        <x:v>default</x:v>
      </x:c>
      <x:c r="C233" s="24" t="str">
        <x:v>nostore</x:v>
      </x:c>
      <x:c r="D233" s="36" t="n">
        <x:v>6</x:v>
      </x:c>
      <x:c r="E233" s="36" t="n">
        <x:v>6</x:v>
      </x:c>
      <x:c r="F233" s="36" t="n">
        <x:v>1</x:v>
      </x:c>
      <x:c r="G233" s="36" t="n">
        <x:v>3</x:v>
      </x:c>
      <x:c r="H233" s="43" t="n">
        <x:v>6143.791300244629</x:v>
      </x:c>
      <x:c r="I233" s="43" t="n">
        <x:v>4125.33689988777</x:v>
      </x:c>
      <x:c r="J233" s="43" t="n">
        <x:v>5951.296899933368</x:v>
      </x:c>
      <x:c r="K233" s="43" t="n">
        <x:v>4119.381899945438</x:v>
      </x:c>
      <x:c r="L233" s="45" t="b">
        <x:v>1</x:v>
      </x:c>
      <x:c r="M233" s="45" t="b">
        <x:v>1</x:v>
      </x:c>
      <x:c r="N233" s="45" t="b">
        <x:v>1</x:v>
      </x:c>
      <x:c r="O233" s="46" t="n">
        <x:v>2</x:v>
      </x:c>
      <x:c r="P233" s="46" t="n">
        <x:v>2</x:v>
      </x:c>
      <x:c r="Q233" s="46" t="n">
        <x:v>3.094000000040978</x:v>
      </x:c>
      <x:c r="R233" s="46" t="n">
        <x:v>10</x:v>
      </x:c>
      <x:c r="S233" s="46" t="n">
        <x:v>10</x:v>
      </x:c>
      <x:c r="T233" s="46" t="n">
        <x:v>12.078000000212342</x:v>
      </x:c>
      <x:c r="U233" s="46" t="n">
        <x:v>16.655999999959022</x:v>
      </x:c>
      <x:c r="V233" s="46" t="n">
        <x:v>2</x:v>
      </x:c>
      <x:c r="W233" s="46" t="n">
        <x:v>2</x:v>
      </x:c>
      <x:c r="X233" s="46" t="n">
        <x:v>3.125</x:v>
      </x:c>
      <x:c r="Y233" s="46" t="n">
        <x:v>10</x:v>
      </x:c>
      <x:c r="Z233" s="46" t="n">
        <x:v>10</x:v>
      </x:c>
      <x:c r="AA233" s="46" t="n">
        <x:v>12.110000000335276</x:v>
      </x:c>
      <x:c r="AB233" s="46" t="n">
        <x:v>17.07800000021234</x:v>
      </x:c>
      <x:c r="AC233" s="61" t="n">
        <x:v>152208384</x:v>
      </x:c>
      <x:c r="AD233" s="61" t="n">
        <x:v>134144</x:v>
      </x:c>
      <x:c r="AE233" s="45" t="b">
        <x:v>1</x:v>
      </x:c>
      <x:c r="AF233" s="45" t="b">
        <x:v>1</x:v>
      </x:c>
      <x:c r="AG233" s="45" t="b">
        <x:v>1</x:v>
      </x:c>
      <x:c r="AH233" s="45" t="b">
        <x:v>1</x:v>
      </x:c>
      <x:c r="AI233" s="36" t="n">
        <x:v>0</x:v>
      </x:c>
      <x:c r="AJ233" s="59"/>
      <x:c r="AK233" s="45" t="b">
        <x:v>1</x:v>
      </x:c>
    </x:row>
    <x:row r="234" ht="22" customHeight="1">
      <x:c r="A234" s="24" t="str">
        <x:v>article1-unified-v4-2-fb3f101b-20260903-000401-default-f06-p1-nostore</x:v>
      </x:c>
      <x:c r="B234" s="24" t="str">
        <x:v>default</x:v>
      </x:c>
      <x:c r="C234" s="24" t="str">
        <x:v>nostore</x:v>
      </x:c>
      <x:c r="D234" s="36" t="n">
        <x:v>6</x:v>
      </x:c>
      <x:c r="E234" s="36" t="n">
        <x:v>6</x:v>
      </x:c>
      <x:c r="F234" s="36" t="n">
        <x:v>1</x:v>
      </x:c>
      <x:c r="G234" s="36" t="n">
        <x:v>4</x:v>
      </x:c>
      <x:c r="H234" s="43" t="n">
        <x:v>6153.617799747735</x:v>
      </x:c>
      <x:c r="I234" s="43" t="n">
        <x:v>4118.652999866754</x:v>
      </x:c>
      <x:c r="J234" s="43" t="n">
        <x:v>5987.4129998497665</x:v>
      </x:c>
      <x:c r="K234" s="43" t="n">
        <x:v>4140.138099901378</x:v>
      </x:c>
      <x:c r="L234" s="45" t="b">
        <x:v>1</x:v>
      </x:c>
      <x:c r="M234" s="45" t="b">
        <x:v>1</x:v>
      </x:c>
      <x:c r="N234" s="45" t="b">
        <x:v>1</x:v>
      </x:c>
      <x:c r="O234" s="46" t="n">
        <x:v>2</x:v>
      </x:c>
      <x:c r="P234" s="46" t="n">
        <x:v>2</x:v>
      </x:c>
      <x:c r="Q234" s="46" t="n">
        <x:v>3.1090000001713634</x:v>
      </x:c>
      <x:c r="R234" s="46" t="n">
        <x:v>10</x:v>
      </x:c>
      <x:c r="S234" s="46" t="n">
        <x:v>10</x:v>
      </x:c>
      <x:c r="T234" s="46" t="n">
        <x:v>12.078000000212342</x:v>
      </x:c>
      <x:c r="U234" s="46" t="n">
        <x:v>16.780999999959022</x:v>
      </x:c>
      <x:c r="V234" s="46" t="n">
        <x:v>2</x:v>
      </x:c>
      <x:c r="W234" s="46" t="n">
        <x:v>2</x:v>
      </x:c>
      <x:c r="X234" s="46" t="n">
        <x:v>2.875</x:v>
      </x:c>
      <x:c r="Y234" s="46" t="n">
        <x:v>10</x:v>
      </x:c>
      <x:c r="Z234" s="46" t="n">
        <x:v>10</x:v>
      </x:c>
      <x:c r="AA234" s="46" t="n">
        <x:v>12.07799999974668</x:v>
      </x:c>
      <x:c r="AB234" s="46" t="n">
        <x:v>16.358999999705702</x:v>
      </x:c>
      <x:c r="AC234" s="61" t="n">
        <x:v>146952192</x:v>
      </x:c>
      <x:c r="AD234" s="61" t="n">
        <x:v>-67584</x:v>
      </x:c>
      <x:c r="AE234" s="45" t="b">
        <x:v>1</x:v>
      </x:c>
      <x:c r="AF234" s="45" t="b">
        <x:v>1</x:v>
      </x:c>
      <x:c r="AG234" s="45" t="b">
        <x:v>1</x:v>
      </x:c>
      <x:c r="AH234" s="45" t="b">
        <x:v>1</x:v>
      </x:c>
      <x:c r="AI234" s="36" t="n">
        <x:v>0</x:v>
      </x:c>
      <x:c r="AJ234" s="59"/>
      <x:c r="AK234" s="45" t="b">
        <x:v>1</x:v>
      </x:c>
    </x:row>
    <x:row r="235" ht="22" customHeight="1">
      <x:c r="A235" s="24" t="str">
        <x:v>article1-unified-v4-2-fb3f101b-20260903-000401-default-f06-p1-nostore</x:v>
      </x:c>
      <x:c r="B235" s="24" t="str">
        <x:v>default</x:v>
      </x:c>
      <x:c r="C235" s="24" t="str">
        <x:v>nostore</x:v>
      </x:c>
      <x:c r="D235" s="36" t="n">
        <x:v>6</x:v>
      </x:c>
      <x:c r="E235" s="36" t="n">
        <x:v>6</x:v>
      </x:c>
      <x:c r="F235" s="36" t="n">
        <x:v>1</x:v>
      </x:c>
      <x:c r="G235" s="36" t="n">
        <x:v>5</x:v>
      </x:c>
      <x:c r="H235" s="43" t="n">
        <x:v>5978.6045998334885</x:v>
      </x:c>
      <x:c r="I235" s="43" t="n">
        <x:v>4110.625499859452</x:v>
      </x:c>
      <x:c r="J235" s="43" t="n">
        <x:v>5927.659399807453</x:v>
      </x:c>
      <x:c r="K235" s="43" t="n">
        <x:v>4103.567200247198</x:v>
      </x:c>
      <x:c r="L235" s="45" t="b">
        <x:v>1</x:v>
      </x:c>
      <x:c r="M235" s="45" t="b">
        <x:v>1</x:v>
      </x:c>
      <x:c r="N235" s="45" t="b">
        <x:v>1</x:v>
      </x:c>
      <x:c r="O235" s="46" t="n">
        <x:v>2</x:v>
      </x:c>
      <x:c r="P235" s="46" t="n">
        <x:v>2</x:v>
      </x:c>
      <x:c r="Q235" s="46" t="n">
        <x:v>2.890000000130385</x:v>
      </x:c>
      <x:c r="R235" s="46" t="n">
        <x:v>10</x:v>
      </x:c>
      <x:c r="S235" s="46" t="n">
        <x:v>10</x:v>
      </x:c>
      <x:c r="T235" s="46" t="n">
        <x:v>12.094000000040978</x:v>
      </x:c>
      <x:c r="U235" s="46" t="n">
        <x:v>17</x:v>
      </x:c>
      <x:c r="V235" s="46" t="n">
        <x:v>2</x:v>
      </x:c>
      <x:c r="W235" s="46" t="n">
        <x:v>2</x:v>
      </x:c>
      <x:c r="X235" s="46" t="n">
        <x:v>3.140000000130385</x:v>
      </x:c>
      <x:c r="Y235" s="46" t="n">
        <x:v>10</x:v>
      </x:c>
      <x:c r="Z235" s="46" t="n">
        <x:v>10</x:v>
      </x:c>
      <x:c r="AA235" s="46" t="n">
        <x:v>12.078000000212342</x:v>
      </x:c>
      <x:c r="AB235" s="46" t="n">
        <x:v>17.859000000171363</x:v>
      </x:c>
      <x:c r="AC235" s="61" t="n">
        <x:v>124180480</x:v>
      </x:c>
      <x:c r="AD235" s="61" t="n">
        <x:v>33792</x:v>
      </x:c>
      <x:c r="AE235" s="45" t="b">
        <x:v>1</x:v>
      </x:c>
      <x:c r="AF235" s="45" t="b">
        <x:v>1</x:v>
      </x:c>
      <x:c r="AG235" s="45" t="b">
        <x:v>1</x:v>
      </x:c>
      <x:c r="AH235" s="45" t="b">
        <x:v>1</x:v>
      </x:c>
      <x:c r="AI235" s="36" t="n">
        <x:v>0</x:v>
      </x:c>
      <x:c r="AJ235" s="59"/>
      <x:c r="AK235" s="45" t="b">
        <x:v>1</x:v>
      </x:c>
    </x:row>
  </x:sheetData>
  <x:mergeCells>
    <x:mergeCell ref="A1:AK1"/>
    <x:mergeCell ref="A2:AK2"/>
    <x:mergeCell ref="A4:AK4"/>
    <x:mergeCell ref="A14:AK14"/>
    <x:mergeCell ref="A54:AK54"/>
  </x:mergeCells>
  <x:pageMargins left="0.7" right="0.7" top="0.75" bottom="0.75" header="0.3" footer="0.3"/>
  <x:tableParts count="3">
    <x:tablePart xmlns:r="http://schemas.openxmlformats.org/officeDocument/2006/relationships" r:id="Rb48ff8ce5e164c20"/>
    <x:tablePart xmlns:r="http://schemas.openxmlformats.org/officeDocument/2006/relationships" r:id="R685ad48fbd53420b"/>
    <x:tablePart xmlns:r="http://schemas.openxmlformats.org/officeDocument/2006/relationships" r:id="R315c9d24e99c48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3" hidden="0" customWidth="1"/>
    <x:col min="3" max="3" width="8" hidden="0" customWidth="1"/>
    <x:col min="4" max="4" width="12" hidden="0" customWidth="1"/>
    <x:col min="5" max="5" width="8" hidden="0" customWidth="1"/>
    <x:col min="6" max="6" width="11" hidden="0" customWidth="1"/>
    <x:col min="7" max="7" width="17" hidden="0" customWidth="1"/>
    <x:col min="8" max="8" width="17" hidden="0" customWidth="1"/>
    <x:col min="9" max="9" width="17" hidden="0" customWidth="1"/>
    <x:col min="10" max="10" width="24" hidden="0" customWidth="1"/>
    <x:col min="11" max="11" width="13" hidden="0" customWidth="1"/>
    <x:col min="12" max="12" width="12" hidden="0" customWidth="1"/>
  </x:cols>
  <x:sheetData>
    <x:row r="1" ht="30" customHeight="1">
      <x:c r="A1" s="3" t="str">
        <x:v>JCS-248 — verifica separata del controllo positivo</x:v>
      </x:c>
      <x:c r="B1" s="3" t="str">
        <x:v>JCS-248 — verifica separata del controllo positivo</x:v>
      </x:c>
      <x:c r="C1" s="3" t="str">
        <x:v>JCS-248 — verifica separata del controllo positivo</x:v>
      </x:c>
      <x:c r="D1" s="3" t="str">
        <x:v>JCS-248 — verifica separata del controllo positivo</x:v>
      </x:c>
      <x:c r="E1" s="3" t="str">
        <x:v>JCS-248 — verifica separata del controllo positivo</x:v>
      </x:c>
      <x:c r="F1" s="3" t="str">
        <x:v>JCS-248 — verifica separata del controllo positivo</x:v>
      </x:c>
      <x:c r="G1" s="3" t="str">
        <x:v>JCS-248 — verifica separata del controllo positivo</x:v>
      </x:c>
      <x:c r="H1" s="3" t="str">
        <x:v>JCS-248 — verifica separata del controllo positivo</x:v>
      </x:c>
      <x:c r="I1" s="3" t="str">
        <x:v>JCS-248 — verifica separata del controllo positivo</x:v>
      </x:c>
      <x:c r="J1" s="3" t="str">
        <x:v>JCS-248 — verifica separata del controllo positivo</x:v>
      </x:c>
      <x:c r="K1" s="3" t="str">
        <x:v>JCS-248 — verifica separata del controllo positivo</x:v>
      </x:c>
      <x:c r="L1" s="3" t="str">
        <x:v>JCS-248 — verifica separata del controllo positivo</x:v>
      </x:c>
    </x:row>
    <x:row r="2" ht="28" customHeight="1">
      <x:c r="A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B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C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D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E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F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G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H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I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J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K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  <x:c r="L2" s="7" t="str">
        <x:v>Apache Commons JCS 3.2.1 (versione distribuita) è il controllo positivo; Apache Commons JCS 4.0.0-SNAPSHOT da main, identificato dal commit nei Runs, è il target. Il contrasto è separato dal benchmark prestazionale e richiede corroborazione.</x:v>
      </x:c>
    </x:row>
    <x:row r="3" ht="27" customHeight="1">
      <x:c r="A3" s="64" t="str">
        <x:v>Issue: https://issues.apache.org/jira/browse/JCS-248 — criterio prespecificato: 6 fork validi e segnale corroborato in almeno 5 fork del controllo positivo.</x:v>
      </x:c>
      <x:c r="B3" s="64" t="str">
        <x:v>Issue: https://issues.apache.org/jira/browse/JCS-248 — criterio prespecificato: 6 fork validi e segnale corroborato in almeno 5 fork del controllo positivo.</x:v>
      </x:c>
      <x:c r="C3" s="64" t="str">
        <x:v>Issue: https://issues.apache.org/jira/browse/JCS-248 — criterio prespecificato: 6 fork validi e segnale corroborato in almeno 5 fork del controllo positivo.</x:v>
      </x:c>
      <x:c r="D3" s="64" t="str">
        <x:v>Issue: https://issues.apache.org/jira/browse/JCS-248 — criterio prespecificato: 6 fork validi e segnale corroborato in almeno 5 fork del controllo positivo.</x:v>
      </x:c>
      <x:c r="E3" s="64" t="str">
        <x:v>Issue: https://issues.apache.org/jira/browse/JCS-248 — criterio prespecificato: 6 fork validi e segnale corroborato in almeno 5 fork del controllo positivo.</x:v>
      </x:c>
      <x:c r="F3" s="64" t="str">
        <x:v>Issue: https://issues.apache.org/jira/browse/JCS-248 — criterio prespecificato: 6 fork validi e segnale corroborato in almeno 5 fork del controllo positivo.</x:v>
      </x:c>
      <x:c r="G3" s="64" t="str">
        <x:v>Issue: https://issues.apache.org/jira/browse/JCS-248 — criterio prespecificato: 6 fork validi e segnale corroborato in almeno 5 fork del controllo positivo.</x:v>
      </x:c>
      <x:c r="H3" s="64" t="str">
        <x:v>Issue: https://issues.apache.org/jira/browse/JCS-248 — criterio prespecificato: 6 fork validi e segnale corroborato in almeno 5 fork del controllo positivo.</x:v>
      </x:c>
      <x:c r="I3" s="64" t="str">
        <x:v>Issue: https://issues.apache.org/jira/browse/JCS-248 — criterio prespecificato: 6 fork validi e segnale corroborato in almeno 5 fork del controllo positivo.</x:v>
      </x:c>
      <x:c r="J3" s="64" t="str">
        <x:v>Issue: https://issues.apache.org/jira/browse/JCS-248 — criterio prespecificato: 6 fork validi e segnale corroborato in almeno 5 fork del controllo positivo.</x:v>
      </x:c>
      <x:c r="K3" s="64" t="str">
        <x:v>Issue: https://issues.apache.org/jira/browse/JCS-248 — criterio prespecificato: 6 fork validi e segnale corroborato in almeno 5 fork del controllo positivo.</x:v>
      </x:c>
      <x:c r="L3" s="64" t="str">
        <x:v>Issue: https://issues.apache.org/jira/browse/JCS-248 — criterio prespecificato: 6 fork validi e segnale corroborato in almeno 5 fork del controllo positivo.</x:v>
      </x:c>
    </x:row>
    <x:row r="5" ht="23" customHeight="1">
      <x:c r="A5" s="10" t="str">
        <x:v>Contrasto di controllo: Apache Commons JCS 3.2.1 vs Apache Commons JCS 4.0.0-SNAPSHOT</x:v>
      </x:c>
      <x:c r="B5" s="10" t="str">
        <x:v>Contrasto di controllo: Apache Commons JCS 3.2.1 vs Apache Commons JCS 4.0.0-SNAPSHOT</x:v>
      </x:c>
      <x:c r="C5" s="10" t="str">
        <x:v>Contrasto di controllo: Apache Commons JCS 3.2.1 vs Apache Commons JCS 4.0.0-SNAPSHOT</x:v>
      </x:c>
      <x:c r="D5" s="10" t="str">
        <x:v>Contrasto di controllo: Apache Commons JCS 3.2.1 vs Apache Commons JCS 4.0.0-SNAPSHOT</x:v>
      </x:c>
      <x:c r="E5" s="10" t="str">
        <x:v>Contrasto di controllo: Apache Commons JCS 3.2.1 vs Apache Commons JCS 4.0.0-SNAPSHOT</x:v>
      </x:c>
      <x:c r="F5" s="10" t="str">
        <x:v>Contrasto di controllo: Apache Commons JCS 3.2.1 vs Apache Commons JCS 4.0.0-SNAPSHOT</x:v>
      </x:c>
      <x:c r="G5" s="10" t="str">
        <x:v>Contrasto di controllo: Apache Commons JCS 3.2.1 vs Apache Commons JCS 4.0.0-SNAPSHOT</x:v>
      </x:c>
      <x:c r="H5" s="10" t="str">
        <x:v>Contrasto di controllo: Apache Commons JCS 3.2.1 vs Apache Commons JCS 4.0.0-SNAPSHOT</x:v>
      </x:c>
      <x:c r="I5" s="10" t="str">
        <x:v>Contrasto di controllo: Apache Commons JCS 3.2.1 vs Apache Commons JCS 4.0.0-SNAPSHOT</x:v>
      </x:c>
      <x:c r="J5" s="10" t="str">
        <x:v>Contrasto di controllo: Apache Commons JCS 3.2.1 vs Apache Commons JCS 4.0.0-SNAPSHOT</x:v>
      </x:c>
      <x:c r="K5" s="10" t="str">
        <x:v>Contrasto di controllo: Apache Commons JCS 3.2.1 vs Apache Commons JCS 4.0.0-SNAPSHOT</x:v>
      </x:c>
    </x:row>
    <x:row r="6" ht="31" customHeight="1">
      <x:c r="A6" s="23" t="str">
        <x:v>provider</x:v>
      </x:c>
      <x:c r="B6" s="23" t="str">
        <x:v>study role</x:v>
      </x:c>
      <x:c r="C6" s="23" t="str">
        <x:v>valid forks</x:v>
      </x:c>
      <x:c r="D6" s="23" t="str">
        <x:v>observed forks</x:v>
      </x:c>
      <x:c r="E6" s="23" t="str">
        <x:v>redeploy-ready forks</x:v>
      </x:c>
      <x:c r="F6" s="23" t="str">
        <x:v>thread-warning forks</x:v>
      </x:c>
      <x:c r="G6" s="23" t="str">
        <x:v>JCS-signature forks</x:v>
      </x:c>
      <x:c r="H6" s="23" t="str">
        <x:v>corroborated-signal forks</x:v>
      </x:c>
      <x:c r="I6" s="23" t="str">
        <x:v>runner criterion</x:v>
      </x:c>
      <x:c r="J6" s="23" t="str">
        <x:v>recomputed criterion</x:v>
      </x:c>
      <x:c r="K6" s="23" t="str">
        <x:v>formula = runner</x:v>
      </x:c>
    </x:row>
    <x:row r="7">
      <x:c r="A7" s="24" t="str">
        <x:v>jcs321</x:v>
      </x:c>
      <x:c r="B7" s="24" t="str">
        <x:f>'Lifecycle'!$D$10</x:f>
        <x:v>JCS-248-positive-control</x:v>
      </x:c>
      <x:c r="C7" s="35" t="n">
        <x:f>'Lifecycle'!$E$10</x:f>
        <x:v>6</x:v>
      </x:c>
      <x:c r="D7" s="35" t="n">
        <x:f>'Lifecycle'!$F$10</x:f>
        <x:v>6</x:v>
      </x:c>
      <x:c r="E7" s="35" t="n">
        <x:f>'Lifecycle'!$H$10</x:f>
        <x:v>6</x:v>
      </x:c>
      <x:c r="F7" s="35" t="n">
        <x:f>'Lifecycle'!$J$10</x:f>
        <x:v>6</x:v>
      </x:c>
      <x:c r="G7" s="35" t="n">
        <x:f>'Lifecycle'!$K$10</x:f>
        <x:v>6</x:v>
      </x:c>
      <x:c r="H7" s="35" t="n">
        <x:f>'Lifecycle'!$L$10</x:f>
        <x:v>6</x:v>
      </x:c>
      <x:c r="I7" s="24" t="b">
        <x:f>'Lifecycle'!$M$10</x:f>
        <x:v>1</x:v>
      </x:c>
      <x:c r="J7" s="24" t="b">
        <x:f>AND(A7="jcs321",C7='Readme-Protocol'!$B$29,H7&gt;='Readme-Protocol'!$B$30)</x:f>
        <x:v>1</x:v>
      </x:c>
      <x:c r="K7" s="24" t="b">
        <x:f>I7=J7</x:f>
        <x:v>1</x:v>
      </x:c>
    </x:row>
    <x:row r="8">
      <x:c r="A8" s="24" t="str">
        <x:v>jcs4</x:v>
      </x:c>
      <x:c r="B8" s="24" t="str">
        <x:f>'Lifecycle'!$D$9</x:f>
        <x:v>current-provider-primary-comparison</x:v>
      </x:c>
      <x:c r="C8" s="35" t="n">
        <x:f>'Lifecycle'!$E$9</x:f>
        <x:v>6</x:v>
      </x:c>
      <x:c r="D8" s="35" t="n">
        <x:f>'Lifecycle'!$F$9</x:f>
        <x:v>6</x:v>
      </x:c>
      <x:c r="E8" s="35" t="n">
        <x:f>'Lifecycle'!$H$9</x:f>
        <x:v>6</x:v>
      </x:c>
      <x:c r="F8" s="35" t="n">
        <x:f>'Lifecycle'!$J$9</x:f>
        <x:v>0</x:v>
      </x:c>
      <x:c r="G8" s="35" t="n">
        <x:f>'Lifecycle'!$K$9</x:f>
        <x:v>0</x:v>
      </x:c>
      <x:c r="H8" s="35" t="n">
        <x:f>'Lifecycle'!$L$9</x:f>
        <x:v>0</x:v>
      </x:c>
      <x:c r="I8" s="24" t="b">
        <x:f>'Lifecycle'!$M$9</x:f>
        <x:v>0</x:v>
      </x:c>
      <x:c r="J8" s="24" t="b">
        <x:f>AND(A8="jcs321",C8='Readme-Protocol'!$B$29,H8&gt;='Readme-Protocol'!$B$30)</x:f>
        <x:v>0</x:v>
      </x:c>
      <x:c r="K8" s="24" t="b">
        <x:f>I8=J8</x:f>
        <x:v>1</x:v>
      </x:c>
    </x:row>
    <x:row r="11" ht="23" customHeight="1">
      <x:c r="A11" s="10" t="str">
        <x:v>Intervalli corroborati per process run</x:v>
      </x:c>
      <x:c r="B11" s="10" t="str">
        <x:v>Intervalli corroborati per process run</x:v>
      </x:c>
      <x:c r="C11" s="10" t="str">
        <x:v>Intervalli corroborati per process run</x:v>
      </x:c>
      <x:c r="D11" s="10" t="str">
        <x:v>Intervalli corroborati per process run</x:v>
      </x:c>
      <x:c r="E11" s="10" t="str">
        <x:v>Intervalli corroborati per process run</x:v>
      </x:c>
      <x:c r="F11" s="10" t="str">
        <x:v>Intervalli corroborati per process run</x:v>
      </x:c>
      <x:c r="G11" s="10" t="str">
        <x:v>Intervalli corroborati per process run</x:v>
      </x:c>
    </x:row>
    <x:row r="12" ht="31" customHeight="1">
      <x:c r="A12" s="23" t="str">
        <x:v>processRunId</x:v>
      </x:c>
      <x:c r="B12" s="23" t="str">
        <x:v>provider</x:v>
      </x:c>
      <x:c r="C12" s="23" t="str">
        <x:v>fork</x:v>
      </x:c>
      <x:c r="D12" s="23" t="str">
        <x:v>Williams block</x:v>
      </x:c>
      <x:c r="E12" s="23" t="str">
        <x:v>corroborated intervals</x:v>
      </x:c>
      <x:c r="F12" s="23" t="str">
        <x:v>corroborated signal observed</x:v>
      </x:c>
      <x:c r="G12" s="23" t="str">
        <x:v>interval details (JSON)</x:v>
      </x:c>
    </x:row>
    <x:row r="13" ht="22" customHeight="1">
      <x:c r="A13" s="24" t="str">
        <x:v>article1-unified-v4-2-fb3f101b-20260903-000401-default-f01-p5-jcs321</x:v>
      </x:c>
      <x:c r="B13" s="24" t="str">
        <x:v>jcs321</x:v>
      </x:c>
      <x:c r="C13" s="36" t="n">
        <x:v>1</x:v>
      </x:c>
      <x:c r="D13" s="36" t="n">
        <x:v>1</x:v>
      </x:c>
      <x:c r="E13" s="36" t="n">
        <x:v>10</x:v>
      </x:c>
      <x:c r="F13" s="45" t="b">
        <x:v>1</x:v>
      </x:c>
      <x:c r="G13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</x:row>
    <x:row r="14" ht="22" customHeight="1">
      <x:c r="A14" s="24" t="str">
        <x:v>article1-unified-v4-2-fb3f101b-20260903-000401-default-f02-p6-jcs321</x:v>
      </x:c>
      <x:c r="B14" s="24" t="str">
        <x:v>jcs321</x:v>
      </x:c>
      <x:c r="C14" s="36" t="n">
        <x:v>2</x:v>
      </x:c>
      <x:c r="D14" s="36" t="n">
        <x:v>2</x:v>
      </x:c>
      <x:c r="E14" s="36" t="n">
        <x:v>10</x:v>
      </x:c>
      <x:c r="F14" s="45" t="b">
        <x:v>1</x:v>
      </x:c>
      <x:c r="G14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</x:row>
    <x:row r="15" ht="22" customHeight="1">
      <x:c r="A15" s="24" t="str">
        <x:v>article1-unified-v4-2-fb3f101b-20260903-000401-default-f03-p4-jcs321</x:v>
      </x:c>
      <x:c r="B15" s="24" t="str">
        <x:v>jcs321</x:v>
      </x:c>
      <x:c r="C15" s="36" t="n">
        <x:v>3</x:v>
      </x:c>
      <x:c r="D15" s="36" t="n">
        <x:v>3</x:v>
      </x:c>
      <x:c r="E15" s="36" t="n">
        <x:v>10</x:v>
      </x:c>
      <x:c r="F15" s="45" t="b">
        <x:v>1</x:v>
      </x:c>
      <x:c r="G15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</x:row>
    <x:row r="16" ht="22" customHeight="1">
      <x:c r="A16" s="24" t="str">
        <x:v>article1-unified-v4-2-fb3f101b-20260903-000401-default-f04-p2-jcs321</x:v>
      </x:c>
      <x:c r="B16" s="24" t="str">
        <x:v>jcs321</x:v>
      </x:c>
      <x:c r="C16" s="36" t="n">
        <x:v>4</x:v>
      </x:c>
      <x:c r="D16" s="36" t="n">
        <x:v>4</x:v>
      </x:c>
      <x:c r="E16" s="36" t="n">
        <x:v>10</x:v>
      </x:c>
      <x:c r="F16" s="45" t="b">
        <x:v>1</x:v>
      </x:c>
      <x:c r="G16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</x:row>
    <x:row r="17" ht="22" customHeight="1">
      <x:c r="A17" s="24" t="str">
        <x:v>article1-unified-v4-2-fb3f101b-20260903-000401-default-f05-p1-jcs321</x:v>
      </x:c>
      <x:c r="B17" s="24" t="str">
        <x:v>jcs321</x:v>
      </x:c>
      <x:c r="C17" s="36" t="n">
        <x:v>5</x:v>
      </x:c>
      <x:c r="D17" s="36" t="n">
        <x:v>5</x:v>
      </x:c>
      <x:c r="E17" s="36" t="n">
        <x:v>10</x:v>
      </x:c>
      <x:c r="F17" s="45" t="b">
        <x:v>1</x:v>
      </x:c>
      <x:c r="G17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</x:row>
    <x:row r="18" ht="22" customHeight="1">
      <x:c r="A18" s="24" t="str">
        <x:v>article1-unified-v4-2-fb3f101b-20260903-000401-default-f06-p3-jcs321</x:v>
      </x:c>
      <x:c r="B18" s="24" t="str">
        <x:v>jcs321</x:v>
      </x:c>
      <x:c r="C18" s="36" t="n">
        <x:v>6</x:v>
      </x:c>
      <x:c r="D18" s="36" t="n">
        <x:v>6</x:v>
      </x:c>
      <x:c r="E18" s="36" t="n">
        <x:v>10</x:v>
      </x:c>
      <x:c r="F18" s="45" t="b">
        <x:v>1</x:v>
      </x:c>
      <x:c r="G18" s="59" t="str">
        <x:v>[{"cycle":1,"phase":"first-undeploy","signatureObservationCount":2,"threadLeakWarningCount":1},{"cycle":1,"phase":"final-undeploy","signatureObservationCount":4,"threadLeakWarningCount":1},{"cycle":2,"phase":"first-undeploy","signatureObservationCount":6,"threadLeakWarningCount":1},{"cycle":2,"phase":"final-undeploy","signatureObservationCount":8,"threadLeakWarningCount":1},{"cycle":3,"phase":"first-undeploy","signatureObservationCount":10,"threadLeakWarningCount":1},{"cycle":3,"phase":"final-undeploy","signatureObservationCount":12,"threadLeakWarningCount":1},{"cycle":4,"phase":"first-undeploy","signatureObservationCount":14,"threadLeakWarningCount":1},{"cycle":4,"phase":"final-undeploy","signatureObservationCount":16,"threadLeakWarningCount":1},{"cycle":5,"phase":"first-undeploy","signatureObservationCount":18,"threadLeakWarningCount":1},{"cycle":5,"phase":"final-undeploy","signatureObservationCount":20,"threadLeakWarningCount":1}]</x:v>
      </x:c>
    </x:row>
    <x:row r="19" ht="22" customHeight="1">
      <x:c r="A19" s="24" t="str">
        <x:v>article1-unified-v4-2-fb3f101b-20260903-000401-default-f01-p6-jcs4</x:v>
      </x:c>
      <x:c r="B19" s="24" t="str">
        <x:v>jcs4</x:v>
      </x:c>
      <x:c r="C19" s="36" t="n">
        <x:v>1</x:v>
      </x:c>
      <x:c r="D19" s="36" t="n">
        <x:v>1</x:v>
      </x:c>
      <x:c r="E19" s="36" t="n">
        <x:v>0</x:v>
      </x:c>
      <x:c r="F19" s="45" t="b">
        <x:v>0</x:v>
      </x:c>
      <x:c r="G19" s="59" t="str">
        <x:v>[]</x:v>
      </x:c>
    </x:row>
    <x:row r="20" ht="22" customHeight="1">
      <x:c r="A20" s="24" t="str">
        <x:v>article1-unified-v4-2-fb3f101b-20260903-000401-default-f02-p4-jcs4</x:v>
      </x:c>
      <x:c r="B20" s="24" t="str">
        <x:v>jcs4</x:v>
      </x:c>
      <x:c r="C20" s="36" t="n">
        <x:v>2</x:v>
      </x:c>
      <x:c r="D20" s="36" t="n">
        <x:v>2</x:v>
      </x:c>
      <x:c r="E20" s="36" t="n">
        <x:v>0</x:v>
      </x:c>
      <x:c r="F20" s="45" t="b">
        <x:v>0</x:v>
      </x:c>
      <x:c r="G20" s="59" t="str">
        <x:v>[]</x:v>
      </x:c>
    </x:row>
    <x:row r="21" ht="22" customHeight="1">
      <x:c r="A21" s="24" t="str">
        <x:v>article1-unified-v4-2-fb3f101b-20260903-000401-default-f03-p2-jcs4</x:v>
      </x:c>
      <x:c r="B21" s="24" t="str">
        <x:v>jcs4</x:v>
      </x:c>
      <x:c r="C21" s="36" t="n">
        <x:v>3</x:v>
      </x:c>
      <x:c r="D21" s="36" t="n">
        <x:v>3</x:v>
      </x:c>
      <x:c r="E21" s="36" t="n">
        <x:v>0</x:v>
      </x:c>
      <x:c r="F21" s="45" t="b">
        <x:v>0</x:v>
      </x:c>
      <x:c r="G21" s="59" t="str">
        <x:v>[]</x:v>
      </x:c>
    </x:row>
    <x:row r="22" ht="22" customHeight="1">
      <x:c r="A22" s="24" t="str">
        <x:v>article1-unified-v4-2-fb3f101b-20260903-000401-default-f04-p1-jcs4</x:v>
      </x:c>
      <x:c r="B22" s="24" t="str">
        <x:v>jcs4</x:v>
      </x:c>
      <x:c r="C22" s="36" t="n">
        <x:v>4</x:v>
      </x:c>
      <x:c r="D22" s="36" t="n">
        <x:v>4</x:v>
      </x:c>
      <x:c r="E22" s="36" t="n">
        <x:v>0</x:v>
      </x:c>
      <x:c r="F22" s="45" t="b">
        <x:v>0</x:v>
      </x:c>
      <x:c r="G22" s="59" t="str">
        <x:v>[]</x:v>
      </x:c>
    </x:row>
    <x:row r="23" ht="22" customHeight="1">
      <x:c r="A23" s="24" t="str">
        <x:v>article1-unified-v4-2-fb3f101b-20260903-000401-default-f05-p3-jcs4</x:v>
      </x:c>
      <x:c r="B23" s="24" t="str">
        <x:v>jcs4</x:v>
      </x:c>
      <x:c r="C23" s="36" t="n">
        <x:v>5</x:v>
      </x:c>
      <x:c r="D23" s="36" t="n">
        <x:v>5</x:v>
      </x:c>
      <x:c r="E23" s="36" t="n">
        <x:v>0</x:v>
      </x:c>
      <x:c r="F23" s="45" t="b">
        <x:v>0</x:v>
      </x:c>
      <x:c r="G23" s="59" t="str">
        <x:v>[]</x:v>
      </x:c>
    </x:row>
    <x:row r="24" ht="22" customHeight="1">
      <x:c r="A24" s="24" t="str">
        <x:v>article1-unified-v4-2-fb3f101b-20260903-000401-default-f06-p5-jcs4</x:v>
      </x:c>
      <x:c r="B24" s="24" t="str">
        <x:v>jcs4</x:v>
      </x:c>
      <x:c r="C24" s="36" t="n">
        <x:v>6</x:v>
      </x:c>
      <x:c r="D24" s="36" t="n">
        <x:v>6</x:v>
      </x:c>
      <x:c r="E24" s="36" t="n">
        <x:v>0</x:v>
      </x:c>
      <x:c r="F24" s="45" t="b">
        <x:v>0</x:v>
      </x:c>
      <x:c r="G24" s="59" t="str">
        <x:v>[]</x:v>
      </x:c>
    </x:row>
    <x:row r="27" ht="23" customHeight="1">
      <x:c r="A27" s="10" t="str">
        <x:v>Evidenza per ciclo e fase</x:v>
      </x:c>
      <x:c r="B27" s="10" t="str">
        <x:v>Evidenza per ciclo e fase</x:v>
      </x:c>
      <x:c r="C27" s="10" t="str">
        <x:v>Evidenza per ciclo e fase</x:v>
      </x:c>
      <x:c r="D27" s="10" t="str">
        <x:v>Evidenza per ciclo e fase</x:v>
      </x:c>
      <x:c r="E27" s="10" t="str">
        <x:v>Evidenza per ciclo e fase</x:v>
      </x:c>
      <x:c r="F27" s="10" t="str">
        <x:v>Evidenza per ciclo e fase</x:v>
      </x:c>
      <x:c r="G27" s="10" t="str">
        <x:v>Evidenza per ciclo e fase</x:v>
      </x:c>
      <x:c r="H27" s="10" t="str">
        <x:v>Evidenza per ciclo e fase</x:v>
      </x:c>
      <x:c r="I27" s="10" t="str">
        <x:v>Evidenza per ciclo e fase</x:v>
      </x:c>
      <x:c r="J27" s="10" t="str">
        <x:v>Evidenza per ciclo e fase</x:v>
      </x:c>
      <x:c r="K27" s="10" t="str">
        <x:v>Evidenza per ciclo e fase</x:v>
      </x:c>
      <x:c r="L27" s="10" t="str">
        <x:v>Evidenza per ciclo e fase</x:v>
      </x:c>
    </x:row>
    <x:row r="28" ht="31" customHeight="1">
      <x:c r="A28" s="23" t="str">
        <x:v>processRunId</x:v>
      </x:c>
      <x:c r="B28" s="23" t="str">
        <x:v>provider</x:v>
      </x:c>
      <x:c r="C28" s="23" t="str">
        <x:v>fork</x:v>
      </x:c>
      <x:c r="D28" s="23" t="str">
        <x:v>Williams block</x:v>
      </x:c>
      <x:c r="E28" s="23" t="str">
        <x:v>cycle</x:v>
      </x:c>
      <x:c r="F28" s="23" t="str">
        <x:v>phase</x:v>
      </x:c>
      <x:c r="G28" s="23" t="str">
        <x:v>early JCS signatures</x:v>
      </x:c>
      <x:c r="H28" s="23" t="str">
        <x:v>final JCS signatures</x:v>
      </x:c>
      <x:c r="I28" s="23" t="str">
        <x:v>thread-leak warnings</x:v>
      </x:c>
      <x:c r="J28" s="23" t="str">
        <x:v>positive findleaks target occurrences</x:v>
      </x:c>
      <x:c r="K28" s="23" t="str">
        <x:v>semantic gate</x:v>
      </x:c>
      <x:c r="L28" s="23" t="str">
        <x:v>block valid</x:v>
      </x:c>
    </x:row>
    <x:row r="29">
      <x:c r="A29" s="24" t="str">
        <x:v>article1-unified-v4-2-fb3f101b-20260903-000401-default-f01-p5-jcs321</x:v>
      </x:c>
      <x:c r="B29" s="24" t="str">
        <x:v>jcs321</x:v>
      </x:c>
      <x:c r="C29" s="36" t="n">
        <x:v>1</x:v>
      </x:c>
      <x:c r="D29" s="36" t="n">
        <x:v>1</x:v>
      </x:c>
      <x:c r="E29" s="36" t="n">
        <x:v>1</x:v>
      </x:c>
      <x:c r="F29" s="24" t="str">
        <x:v>initial</x:v>
      </x:c>
      <x:c r="G29" s="36" t="n">
        <x:v>1</x:v>
      </x:c>
      <x:c r="H29" s="36" t="n">
        <x:v>1</x:v>
      </x:c>
      <x:c r="I29" s="36" t="n">
        <x:v>1</x:v>
      </x:c>
      <x:c r="J29" s="36" t="n">
        <x:v>1</x:v>
      </x:c>
      <x:c r="K29" s="45" t="b">
        <x:v>1</x:v>
      </x:c>
      <x:c r="L29" s="45" t="b">
        <x:v>1</x:v>
      </x:c>
    </x:row>
    <x:row r="30">
      <x:c r="A30" s="24" t="str">
        <x:v>article1-unified-v4-2-fb3f101b-20260903-000401-default-f01-p5-jcs321</x:v>
      </x:c>
      <x:c r="B30" s="24" t="str">
        <x:v>jcs321</x:v>
      </x:c>
      <x:c r="C30" s="36" t="n">
        <x:v>1</x:v>
      </x:c>
      <x:c r="D30" s="36" t="n">
        <x:v>1</x:v>
      </x:c>
      <x:c r="E30" s="36" t="n">
        <x:v>1</x:v>
      </x:c>
      <x:c r="F30" s="24" t="str">
        <x:v>redeploy</x:v>
      </x:c>
      <x:c r="G30" s="36" t="n">
        <x:v>2</x:v>
      </x:c>
      <x:c r="H30" s="36" t="n">
        <x:v>2</x:v>
      </x:c>
      <x:c r="I30" s="36" t="n">
        <x:v>1</x:v>
      </x:c>
      <x:c r="J30" s="36" t="n">
        <x:v>2</x:v>
      </x:c>
      <x:c r="K30" s="45" t="b">
        <x:v>1</x:v>
      </x:c>
      <x:c r="L30" s="45" t="b">
        <x:v>1</x:v>
      </x:c>
    </x:row>
    <x:row r="31">
      <x:c r="A31" s="24" t="str">
        <x:v>article1-unified-v4-2-fb3f101b-20260903-000401-default-f01-p5-jcs321</x:v>
      </x:c>
      <x:c r="B31" s="24" t="str">
        <x:v>jcs321</x:v>
      </x:c>
      <x:c r="C31" s="36" t="n">
        <x:v>1</x:v>
      </x:c>
      <x:c r="D31" s="36" t="n">
        <x:v>1</x:v>
      </x:c>
      <x:c r="E31" s="36" t="n">
        <x:v>2</x:v>
      </x:c>
      <x:c r="F31" s="24" t="str">
        <x:v>initial</x:v>
      </x:c>
      <x:c r="G31" s="36" t="n">
        <x:v>3</x:v>
      </x:c>
      <x:c r="H31" s="36" t="n">
        <x:v>3</x:v>
      </x:c>
      <x:c r="I31" s="36" t="n">
        <x:v>1</x:v>
      </x:c>
      <x:c r="J31" s="36" t="n">
        <x:v>3</x:v>
      </x:c>
      <x:c r="K31" s="45" t="b">
        <x:v>1</x:v>
      </x:c>
      <x:c r="L31" s="45" t="b">
        <x:v>1</x:v>
      </x:c>
    </x:row>
    <x:row r="32">
      <x:c r="A32" s="24" t="str">
        <x:v>article1-unified-v4-2-fb3f101b-20260903-000401-default-f01-p5-jcs321</x:v>
      </x:c>
      <x:c r="B32" s="24" t="str">
        <x:v>jcs321</x:v>
      </x:c>
      <x:c r="C32" s="36" t="n">
        <x:v>1</x:v>
      </x:c>
      <x:c r="D32" s="36" t="n">
        <x:v>1</x:v>
      </x:c>
      <x:c r="E32" s="36" t="n">
        <x:v>2</x:v>
      </x:c>
      <x:c r="F32" s="24" t="str">
        <x:v>redeploy</x:v>
      </x:c>
      <x:c r="G32" s="36" t="n">
        <x:v>4</x:v>
      </x:c>
      <x:c r="H32" s="36" t="n">
        <x:v>4</x:v>
      </x:c>
      <x:c r="I32" s="36" t="n">
        <x:v>1</x:v>
      </x:c>
      <x:c r="J32" s="36" t="n">
        <x:v>4</x:v>
      </x:c>
      <x:c r="K32" s="45" t="b">
        <x:v>1</x:v>
      </x:c>
      <x:c r="L32" s="45" t="b">
        <x:v>1</x:v>
      </x:c>
    </x:row>
    <x:row r="33">
      <x:c r="A33" s="24" t="str">
        <x:v>article1-unified-v4-2-fb3f101b-20260903-000401-default-f01-p5-jcs321</x:v>
      </x:c>
      <x:c r="B33" s="24" t="str">
        <x:v>jcs321</x:v>
      </x:c>
      <x:c r="C33" s="36" t="n">
        <x:v>1</x:v>
      </x:c>
      <x:c r="D33" s="36" t="n">
        <x:v>1</x:v>
      </x:c>
      <x:c r="E33" s="36" t="n">
        <x:v>3</x:v>
      </x:c>
      <x:c r="F33" s="24" t="str">
        <x:v>initial</x:v>
      </x:c>
      <x:c r="G33" s="36" t="n">
        <x:v>5</x:v>
      </x:c>
      <x:c r="H33" s="36" t="n">
        <x:v>5</x:v>
      </x:c>
      <x:c r="I33" s="36" t="n">
        <x:v>1</x:v>
      </x:c>
      <x:c r="J33" s="36" t="n">
        <x:v>5</x:v>
      </x:c>
      <x:c r="K33" s="45" t="b">
        <x:v>1</x:v>
      </x:c>
      <x:c r="L33" s="45" t="b">
        <x:v>1</x:v>
      </x:c>
    </x:row>
    <x:row r="34">
      <x:c r="A34" s="24" t="str">
        <x:v>article1-unified-v4-2-fb3f101b-20260903-000401-default-f01-p5-jcs321</x:v>
      </x:c>
      <x:c r="B34" s="24" t="str">
        <x:v>jcs321</x:v>
      </x:c>
      <x:c r="C34" s="36" t="n">
        <x:v>1</x:v>
      </x:c>
      <x:c r="D34" s="36" t="n">
        <x:v>1</x:v>
      </x:c>
      <x:c r="E34" s="36" t="n">
        <x:v>3</x:v>
      </x:c>
      <x:c r="F34" s="24" t="str">
        <x:v>redeploy</x:v>
      </x:c>
      <x:c r="G34" s="36" t="n">
        <x:v>6</x:v>
      </x:c>
      <x:c r="H34" s="36" t="n">
        <x:v>6</x:v>
      </x:c>
      <x:c r="I34" s="36" t="n">
        <x:v>1</x:v>
      </x:c>
      <x:c r="J34" s="36" t="n">
        <x:v>6</x:v>
      </x:c>
      <x:c r="K34" s="45" t="b">
        <x:v>1</x:v>
      </x:c>
      <x:c r="L34" s="45" t="b">
        <x:v>1</x:v>
      </x:c>
    </x:row>
    <x:row r="35">
      <x:c r="A35" s="24" t="str">
        <x:v>article1-unified-v4-2-fb3f101b-20260903-000401-default-f01-p5-jcs321</x:v>
      </x:c>
      <x:c r="B35" s="24" t="str">
        <x:v>jcs321</x:v>
      </x:c>
      <x:c r="C35" s="36" t="n">
        <x:v>1</x:v>
      </x:c>
      <x:c r="D35" s="36" t="n">
        <x:v>1</x:v>
      </x:c>
      <x:c r="E35" s="36" t="n">
        <x:v>4</x:v>
      </x:c>
      <x:c r="F35" s="24" t="str">
        <x:v>initial</x:v>
      </x:c>
      <x:c r="G35" s="36" t="n">
        <x:v>7</x:v>
      </x:c>
      <x:c r="H35" s="36" t="n">
        <x:v>7</x:v>
      </x:c>
      <x:c r="I35" s="36" t="n">
        <x:v>1</x:v>
      </x:c>
      <x:c r="J35" s="36" t="n">
        <x:v>7</x:v>
      </x:c>
      <x:c r="K35" s="45" t="b">
        <x:v>1</x:v>
      </x:c>
      <x:c r="L35" s="45" t="b">
        <x:v>1</x:v>
      </x:c>
    </x:row>
    <x:row r="36">
      <x:c r="A36" s="24" t="str">
        <x:v>article1-unified-v4-2-fb3f101b-20260903-000401-default-f01-p5-jcs321</x:v>
      </x:c>
      <x:c r="B36" s="24" t="str">
        <x:v>jcs321</x:v>
      </x:c>
      <x:c r="C36" s="36" t="n">
        <x:v>1</x:v>
      </x:c>
      <x:c r="D36" s="36" t="n">
        <x:v>1</x:v>
      </x:c>
      <x:c r="E36" s="36" t="n">
        <x:v>4</x:v>
      </x:c>
      <x:c r="F36" s="24" t="str">
        <x:v>redeploy</x:v>
      </x:c>
      <x:c r="G36" s="36" t="n">
        <x:v>8</x:v>
      </x:c>
      <x:c r="H36" s="36" t="n">
        <x:v>8</x:v>
      </x:c>
      <x:c r="I36" s="36" t="n">
        <x:v>1</x:v>
      </x:c>
      <x:c r="J36" s="36" t="n">
        <x:v>8</x:v>
      </x:c>
      <x:c r="K36" s="45" t="b">
        <x:v>1</x:v>
      </x:c>
      <x:c r="L36" s="45" t="b">
        <x:v>1</x:v>
      </x:c>
    </x:row>
    <x:row r="37">
      <x:c r="A37" s="24" t="str">
        <x:v>article1-unified-v4-2-fb3f101b-20260903-000401-default-f01-p5-jcs321</x:v>
      </x:c>
      <x:c r="B37" s="24" t="str">
        <x:v>jcs321</x:v>
      </x:c>
      <x:c r="C37" s="36" t="n">
        <x:v>1</x:v>
      </x:c>
      <x:c r="D37" s="36" t="n">
        <x:v>1</x:v>
      </x:c>
      <x:c r="E37" s="36" t="n">
        <x:v>5</x:v>
      </x:c>
      <x:c r="F37" s="24" t="str">
        <x:v>initial</x:v>
      </x:c>
      <x:c r="G37" s="36" t="n">
        <x:v>9</x:v>
      </x:c>
      <x:c r="H37" s="36" t="n">
        <x:v>9</x:v>
      </x:c>
      <x:c r="I37" s="36" t="n">
        <x:v>1</x:v>
      </x:c>
      <x:c r="J37" s="36" t="n">
        <x:v>9</x:v>
      </x:c>
      <x:c r="K37" s="45" t="b">
        <x:v>1</x:v>
      </x:c>
      <x:c r="L37" s="45" t="b">
        <x:v>1</x:v>
      </x:c>
    </x:row>
    <x:row r="38">
      <x:c r="A38" s="24" t="str">
        <x:v>article1-unified-v4-2-fb3f101b-20260903-000401-default-f01-p5-jcs321</x:v>
      </x:c>
      <x:c r="B38" s="24" t="str">
        <x:v>jcs321</x:v>
      </x:c>
      <x:c r="C38" s="36" t="n">
        <x:v>1</x:v>
      </x:c>
      <x:c r="D38" s="36" t="n">
        <x:v>1</x:v>
      </x:c>
      <x:c r="E38" s="36" t="n">
        <x:v>5</x:v>
      </x:c>
      <x:c r="F38" s="24" t="str">
        <x:v>redeploy</x:v>
      </x:c>
      <x:c r="G38" s="36" t="n">
        <x:v>10</x:v>
      </x:c>
      <x:c r="H38" s="36" t="n">
        <x:v>10</x:v>
      </x:c>
      <x:c r="I38" s="36" t="n">
        <x:v>1</x:v>
      </x:c>
      <x:c r="J38" s="36" t="n">
        <x:v>10</x:v>
      </x:c>
      <x:c r="K38" s="45" t="b">
        <x:v>1</x:v>
      </x:c>
      <x:c r="L38" s="45" t="b">
        <x:v>1</x:v>
      </x:c>
    </x:row>
    <x:row r="39">
      <x:c r="A39" s="24" t="str">
        <x:v>article1-unified-v4-2-fb3f101b-20260903-000401-default-f02-p6-jcs321</x:v>
      </x:c>
      <x:c r="B39" s="24" t="str">
        <x:v>jcs321</x:v>
      </x:c>
      <x:c r="C39" s="36" t="n">
        <x:v>2</x:v>
      </x:c>
      <x:c r="D39" s="36" t="n">
        <x:v>2</x:v>
      </x:c>
      <x:c r="E39" s="36" t="n">
        <x:v>1</x:v>
      </x:c>
      <x:c r="F39" s="24" t="str">
        <x:v>initial</x:v>
      </x:c>
      <x:c r="G39" s="36" t="n">
        <x:v>1</x:v>
      </x:c>
      <x:c r="H39" s="36" t="n">
        <x:v>1</x:v>
      </x:c>
      <x:c r="I39" s="36" t="n">
        <x:v>1</x:v>
      </x:c>
      <x:c r="J39" s="36" t="n">
        <x:v>1</x:v>
      </x:c>
      <x:c r="K39" s="45" t="b">
        <x:v>1</x:v>
      </x:c>
      <x:c r="L39" s="45" t="b">
        <x:v>1</x:v>
      </x:c>
    </x:row>
    <x:row r="40">
      <x:c r="A40" s="24" t="str">
        <x:v>article1-unified-v4-2-fb3f101b-20260903-000401-default-f02-p6-jcs321</x:v>
      </x:c>
      <x:c r="B40" s="24" t="str">
        <x:v>jcs321</x:v>
      </x:c>
      <x:c r="C40" s="36" t="n">
        <x:v>2</x:v>
      </x:c>
      <x:c r="D40" s="36" t="n">
        <x:v>2</x:v>
      </x:c>
      <x:c r="E40" s="36" t="n">
        <x:v>1</x:v>
      </x:c>
      <x:c r="F40" s="24" t="str">
        <x:v>redeploy</x:v>
      </x:c>
      <x:c r="G40" s="36" t="n">
        <x:v>2</x:v>
      </x:c>
      <x:c r="H40" s="36" t="n">
        <x:v>2</x:v>
      </x:c>
      <x:c r="I40" s="36" t="n">
        <x:v>1</x:v>
      </x:c>
      <x:c r="J40" s="36" t="n">
        <x:v>2</x:v>
      </x:c>
      <x:c r="K40" s="45" t="b">
        <x:v>1</x:v>
      </x:c>
      <x:c r="L40" s="45" t="b">
        <x:v>1</x:v>
      </x:c>
    </x:row>
    <x:row r="41">
      <x:c r="A41" s="24" t="str">
        <x:v>article1-unified-v4-2-fb3f101b-20260903-000401-default-f02-p6-jcs321</x:v>
      </x:c>
      <x:c r="B41" s="24" t="str">
        <x:v>jcs321</x:v>
      </x:c>
      <x:c r="C41" s="36" t="n">
        <x:v>2</x:v>
      </x:c>
      <x:c r="D41" s="36" t="n">
        <x:v>2</x:v>
      </x:c>
      <x:c r="E41" s="36" t="n">
        <x:v>2</x:v>
      </x:c>
      <x:c r="F41" s="24" t="str">
        <x:v>initial</x:v>
      </x:c>
      <x:c r="G41" s="36" t="n">
        <x:v>3</x:v>
      </x:c>
      <x:c r="H41" s="36" t="n">
        <x:v>3</x:v>
      </x:c>
      <x:c r="I41" s="36" t="n">
        <x:v>1</x:v>
      </x:c>
      <x:c r="J41" s="36" t="n">
        <x:v>3</x:v>
      </x:c>
      <x:c r="K41" s="45" t="b">
        <x:v>1</x:v>
      </x:c>
      <x:c r="L41" s="45" t="b">
        <x:v>1</x:v>
      </x:c>
    </x:row>
    <x:row r="42">
      <x:c r="A42" s="24" t="str">
        <x:v>article1-unified-v4-2-fb3f101b-20260903-000401-default-f02-p6-jcs321</x:v>
      </x:c>
      <x:c r="B42" s="24" t="str">
        <x:v>jcs321</x:v>
      </x:c>
      <x:c r="C42" s="36" t="n">
        <x:v>2</x:v>
      </x:c>
      <x:c r="D42" s="36" t="n">
        <x:v>2</x:v>
      </x:c>
      <x:c r="E42" s="36" t="n">
        <x:v>2</x:v>
      </x:c>
      <x:c r="F42" s="24" t="str">
        <x:v>redeploy</x:v>
      </x:c>
      <x:c r="G42" s="36" t="n">
        <x:v>4</x:v>
      </x:c>
      <x:c r="H42" s="36" t="n">
        <x:v>4</x:v>
      </x:c>
      <x:c r="I42" s="36" t="n">
        <x:v>1</x:v>
      </x:c>
      <x:c r="J42" s="36" t="n">
        <x:v>4</x:v>
      </x:c>
      <x:c r="K42" s="45" t="b">
        <x:v>1</x:v>
      </x:c>
      <x:c r="L42" s="45" t="b">
        <x:v>1</x:v>
      </x:c>
    </x:row>
    <x:row r="43">
      <x:c r="A43" s="24" t="str">
        <x:v>article1-unified-v4-2-fb3f101b-20260903-000401-default-f02-p6-jcs321</x:v>
      </x:c>
      <x:c r="B43" s="24" t="str">
        <x:v>jcs321</x:v>
      </x:c>
      <x:c r="C43" s="36" t="n">
        <x:v>2</x:v>
      </x:c>
      <x:c r="D43" s="36" t="n">
        <x:v>2</x:v>
      </x:c>
      <x:c r="E43" s="36" t="n">
        <x:v>3</x:v>
      </x:c>
      <x:c r="F43" s="24" t="str">
        <x:v>initial</x:v>
      </x:c>
      <x:c r="G43" s="36" t="n">
        <x:v>5</x:v>
      </x:c>
      <x:c r="H43" s="36" t="n">
        <x:v>5</x:v>
      </x:c>
      <x:c r="I43" s="36" t="n">
        <x:v>1</x:v>
      </x:c>
      <x:c r="J43" s="36" t="n">
        <x:v>5</x:v>
      </x:c>
      <x:c r="K43" s="45" t="b">
        <x:v>1</x:v>
      </x:c>
      <x:c r="L43" s="45" t="b">
        <x:v>1</x:v>
      </x:c>
    </x:row>
    <x:row r="44">
      <x:c r="A44" s="24" t="str">
        <x:v>article1-unified-v4-2-fb3f101b-20260903-000401-default-f02-p6-jcs321</x:v>
      </x:c>
      <x:c r="B44" s="24" t="str">
        <x:v>jcs321</x:v>
      </x:c>
      <x:c r="C44" s="36" t="n">
        <x:v>2</x:v>
      </x:c>
      <x:c r="D44" s="36" t="n">
        <x:v>2</x:v>
      </x:c>
      <x:c r="E44" s="36" t="n">
        <x:v>3</x:v>
      </x:c>
      <x:c r="F44" s="24" t="str">
        <x:v>redeploy</x:v>
      </x:c>
      <x:c r="G44" s="36" t="n">
        <x:v>6</x:v>
      </x:c>
      <x:c r="H44" s="36" t="n">
        <x:v>6</x:v>
      </x:c>
      <x:c r="I44" s="36" t="n">
        <x:v>1</x:v>
      </x:c>
      <x:c r="J44" s="36" t="n">
        <x:v>6</x:v>
      </x:c>
      <x:c r="K44" s="45" t="b">
        <x:v>1</x:v>
      </x:c>
      <x:c r="L44" s="45" t="b">
        <x:v>1</x:v>
      </x:c>
    </x:row>
    <x:row r="45">
      <x:c r="A45" s="24" t="str">
        <x:v>article1-unified-v4-2-fb3f101b-20260903-000401-default-f02-p6-jcs321</x:v>
      </x:c>
      <x:c r="B45" s="24" t="str">
        <x:v>jcs321</x:v>
      </x:c>
      <x:c r="C45" s="36" t="n">
        <x:v>2</x:v>
      </x:c>
      <x:c r="D45" s="36" t="n">
        <x:v>2</x:v>
      </x:c>
      <x:c r="E45" s="36" t="n">
        <x:v>4</x:v>
      </x:c>
      <x:c r="F45" s="24" t="str">
        <x:v>initial</x:v>
      </x:c>
      <x:c r="G45" s="36" t="n">
        <x:v>7</x:v>
      </x:c>
      <x:c r="H45" s="36" t="n">
        <x:v>7</x:v>
      </x:c>
      <x:c r="I45" s="36" t="n">
        <x:v>1</x:v>
      </x:c>
      <x:c r="J45" s="36" t="n">
        <x:v>7</x:v>
      </x:c>
      <x:c r="K45" s="45" t="b">
        <x:v>1</x:v>
      </x:c>
      <x:c r="L45" s="45" t="b">
        <x:v>1</x:v>
      </x:c>
    </x:row>
    <x:row r="46">
      <x:c r="A46" s="24" t="str">
        <x:v>article1-unified-v4-2-fb3f101b-20260903-000401-default-f02-p6-jcs321</x:v>
      </x:c>
      <x:c r="B46" s="24" t="str">
        <x:v>jcs321</x:v>
      </x:c>
      <x:c r="C46" s="36" t="n">
        <x:v>2</x:v>
      </x:c>
      <x:c r="D46" s="36" t="n">
        <x:v>2</x:v>
      </x:c>
      <x:c r="E46" s="36" t="n">
        <x:v>4</x:v>
      </x:c>
      <x:c r="F46" s="24" t="str">
        <x:v>redeploy</x:v>
      </x:c>
      <x:c r="G46" s="36" t="n">
        <x:v>8</x:v>
      </x:c>
      <x:c r="H46" s="36" t="n">
        <x:v>8</x:v>
      </x:c>
      <x:c r="I46" s="36" t="n">
        <x:v>1</x:v>
      </x:c>
      <x:c r="J46" s="36" t="n">
        <x:v>8</x:v>
      </x:c>
      <x:c r="K46" s="45" t="b">
        <x:v>1</x:v>
      </x:c>
      <x:c r="L46" s="45" t="b">
        <x:v>1</x:v>
      </x:c>
    </x:row>
    <x:row r="47">
      <x:c r="A47" s="24" t="str">
        <x:v>article1-unified-v4-2-fb3f101b-20260903-000401-default-f02-p6-jcs321</x:v>
      </x:c>
      <x:c r="B47" s="24" t="str">
        <x:v>jcs321</x:v>
      </x:c>
      <x:c r="C47" s="36" t="n">
        <x:v>2</x:v>
      </x:c>
      <x:c r="D47" s="36" t="n">
        <x:v>2</x:v>
      </x:c>
      <x:c r="E47" s="36" t="n">
        <x:v>5</x:v>
      </x:c>
      <x:c r="F47" s="24" t="str">
        <x:v>initial</x:v>
      </x:c>
      <x:c r="G47" s="36" t="n">
        <x:v>9</x:v>
      </x:c>
      <x:c r="H47" s="36" t="n">
        <x:v>9</x:v>
      </x:c>
      <x:c r="I47" s="36" t="n">
        <x:v>1</x:v>
      </x:c>
      <x:c r="J47" s="36" t="n">
        <x:v>9</x:v>
      </x:c>
      <x:c r="K47" s="45" t="b">
        <x:v>1</x:v>
      </x:c>
      <x:c r="L47" s="45" t="b">
        <x:v>1</x:v>
      </x:c>
    </x:row>
    <x:row r="48">
      <x:c r="A48" s="24" t="str">
        <x:v>article1-unified-v4-2-fb3f101b-20260903-000401-default-f02-p6-jcs321</x:v>
      </x:c>
      <x:c r="B48" s="24" t="str">
        <x:v>jcs321</x:v>
      </x:c>
      <x:c r="C48" s="36" t="n">
        <x:v>2</x:v>
      </x:c>
      <x:c r="D48" s="36" t="n">
        <x:v>2</x:v>
      </x:c>
      <x:c r="E48" s="36" t="n">
        <x:v>5</x:v>
      </x:c>
      <x:c r="F48" s="24" t="str">
        <x:v>redeploy</x:v>
      </x:c>
      <x:c r="G48" s="36" t="n">
        <x:v>10</x:v>
      </x:c>
      <x:c r="H48" s="36" t="n">
        <x:v>10</x:v>
      </x:c>
      <x:c r="I48" s="36" t="n">
        <x:v>1</x:v>
      </x:c>
      <x:c r="J48" s="36" t="n">
        <x:v>10</x:v>
      </x:c>
      <x:c r="K48" s="45" t="b">
        <x:v>1</x:v>
      </x:c>
      <x:c r="L48" s="45" t="b">
        <x:v>1</x:v>
      </x:c>
    </x:row>
    <x:row r="49">
      <x:c r="A49" s="24" t="str">
        <x:v>article1-unified-v4-2-fb3f101b-20260903-000401-default-f03-p4-jcs321</x:v>
      </x:c>
      <x:c r="B49" s="24" t="str">
        <x:v>jcs321</x:v>
      </x:c>
      <x:c r="C49" s="36" t="n">
        <x:v>3</x:v>
      </x:c>
      <x:c r="D49" s="36" t="n">
        <x:v>3</x:v>
      </x:c>
      <x:c r="E49" s="36" t="n">
        <x:v>1</x:v>
      </x:c>
      <x:c r="F49" s="24" t="str">
        <x:v>initial</x:v>
      </x:c>
      <x:c r="G49" s="36" t="n">
        <x:v>1</x:v>
      </x:c>
      <x:c r="H49" s="36" t="n">
        <x:v>1</x:v>
      </x:c>
      <x:c r="I49" s="36" t="n">
        <x:v>1</x:v>
      </x:c>
      <x:c r="J49" s="36" t="n">
        <x:v>1</x:v>
      </x:c>
      <x:c r="K49" s="45" t="b">
        <x:v>1</x:v>
      </x:c>
      <x:c r="L49" s="45" t="b">
        <x:v>1</x:v>
      </x:c>
    </x:row>
    <x:row r="50">
      <x:c r="A50" s="24" t="str">
        <x:v>article1-unified-v4-2-fb3f101b-20260903-000401-default-f03-p4-jcs321</x:v>
      </x:c>
      <x:c r="B50" s="24" t="str">
        <x:v>jcs321</x:v>
      </x:c>
      <x:c r="C50" s="36" t="n">
        <x:v>3</x:v>
      </x:c>
      <x:c r="D50" s="36" t="n">
        <x:v>3</x:v>
      </x:c>
      <x:c r="E50" s="36" t="n">
        <x:v>1</x:v>
      </x:c>
      <x:c r="F50" s="24" t="str">
        <x:v>redeploy</x:v>
      </x:c>
      <x:c r="G50" s="36" t="n">
        <x:v>2</x:v>
      </x:c>
      <x:c r="H50" s="36" t="n">
        <x:v>2</x:v>
      </x:c>
      <x:c r="I50" s="36" t="n">
        <x:v>1</x:v>
      </x:c>
      <x:c r="J50" s="36" t="n">
        <x:v>2</x:v>
      </x:c>
      <x:c r="K50" s="45" t="b">
        <x:v>1</x:v>
      </x:c>
      <x:c r="L50" s="45" t="b">
        <x:v>1</x:v>
      </x:c>
    </x:row>
    <x:row r="51">
      <x:c r="A51" s="24" t="str">
        <x:v>article1-unified-v4-2-fb3f101b-20260903-000401-default-f03-p4-jcs321</x:v>
      </x:c>
      <x:c r="B51" s="24" t="str">
        <x:v>jcs321</x:v>
      </x:c>
      <x:c r="C51" s="36" t="n">
        <x:v>3</x:v>
      </x:c>
      <x:c r="D51" s="36" t="n">
        <x:v>3</x:v>
      </x:c>
      <x:c r="E51" s="36" t="n">
        <x:v>2</x:v>
      </x:c>
      <x:c r="F51" s="24" t="str">
        <x:v>initial</x:v>
      </x:c>
      <x:c r="G51" s="36" t="n">
        <x:v>3</x:v>
      </x:c>
      <x:c r="H51" s="36" t="n">
        <x:v>3</x:v>
      </x:c>
      <x:c r="I51" s="36" t="n">
        <x:v>1</x:v>
      </x:c>
      <x:c r="J51" s="36" t="n">
        <x:v>3</x:v>
      </x:c>
      <x:c r="K51" s="45" t="b">
        <x:v>1</x:v>
      </x:c>
      <x:c r="L51" s="45" t="b">
        <x:v>1</x:v>
      </x:c>
    </x:row>
    <x:row r="52">
      <x:c r="A52" s="24" t="str">
        <x:v>article1-unified-v4-2-fb3f101b-20260903-000401-default-f03-p4-jcs321</x:v>
      </x:c>
      <x:c r="B52" s="24" t="str">
        <x:v>jcs321</x:v>
      </x:c>
      <x:c r="C52" s="36" t="n">
        <x:v>3</x:v>
      </x:c>
      <x:c r="D52" s="36" t="n">
        <x:v>3</x:v>
      </x:c>
      <x:c r="E52" s="36" t="n">
        <x:v>2</x:v>
      </x:c>
      <x:c r="F52" s="24" t="str">
        <x:v>redeploy</x:v>
      </x:c>
      <x:c r="G52" s="36" t="n">
        <x:v>4</x:v>
      </x:c>
      <x:c r="H52" s="36" t="n">
        <x:v>4</x:v>
      </x:c>
      <x:c r="I52" s="36" t="n">
        <x:v>1</x:v>
      </x:c>
      <x:c r="J52" s="36" t="n">
        <x:v>4</x:v>
      </x:c>
      <x:c r="K52" s="45" t="b">
        <x:v>1</x:v>
      </x:c>
      <x:c r="L52" s="45" t="b">
        <x:v>1</x:v>
      </x:c>
    </x:row>
    <x:row r="53">
      <x:c r="A53" s="24" t="str">
        <x:v>article1-unified-v4-2-fb3f101b-20260903-000401-default-f03-p4-jcs321</x:v>
      </x:c>
      <x:c r="B53" s="24" t="str">
        <x:v>jcs321</x:v>
      </x:c>
      <x:c r="C53" s="36" t="n">
        <x:v>3</x:v>
      </x:c>
      <x:c r="D53" s="36" t="n">
        <x:v>3</x:v>
      </x:c>
      <x:c r="E53" s="36" t="n">
        <x:v>3</x:v>
      </x:c>
      <x:c r="F53" s="24" t="str">
        <x:v>initial</x:v>
      </x:c>
      <x:c r="G53" s="36" t="n">
        <x:v>5</x:v>
      </x:c>
      <x:c r="H53" s="36" t="n">
        <x:v>5</x:v>
      </x:c>
      <x:c r="I53" s="36" t="n">
        <x:v>1</x:v>
      </x:c>
      <x:c r="J53" s="36" t="n">
        <x:v>5</x:v>
      </x:c>
      <x:c r="K53" s="45" t="b">
        <x:v>1</x:v>
      </x:c>
      <x:c r="L53" s="45" t="b">
        <x:v>1</x:v>
      </x:c>
    </x:row>
    <x:row r="54">
      <x:c r="A54" s="24" t="str">
        <x:v>article1-unified-v4-2-fb3f101b-20260903-000401-default-f03-p4-jcs321</x:v>
      </x:c>
      <x:c r="B54" s="24" t="str">
        <x:v>jcs321</x:v>
      </x:c>
      <x:c r="C54" s="36" t="n">
        <x:v>3</x:v>
      </x:c>
      <x:c r="D54" s="36" t="n">
        <x:v>3</x:v>
      </x:c>
      <x:c r="E54" s="36" t="n">
        <x:v>3</x:v>
      </x:c>
      <x:c r="F54" s="24" t="str">
        <x:v>redeploy</x:v>
      </x:c>
      <x:c r="G54" s="36" t="n">
        <x:v>6</x:v>
      </x:c>
      <x:c r="H54" s="36" t="n">
        <x:v>6</x:v>
      </x:c>
      <x:c r="I54" s="36" t="n">
        <x:v>1</x:v>
      </x:c>
      <x:c r="J54" s="36" t="n">
        <x:v>6</x:v>
      </x:c>
      <x:c r="K54" s="45" t="b">
        <x:v>1</x:v>
      </x:c>
      <x:c r="L54" s="45" t="b">
        <x:v>1</x:v>
      </x:c>
    </x:row>
    <x:row r="55">
      <x:c r="A55" s="24" t="str">
        <x:v>article1-unified-v4-2-fb3f101b-20260903-000401-default-f03-p4-jcs321</x:v>
      </x:c>
      <x:c r="B55" s="24" t="str">
        <x:v>jcs321</x:v>
      </x:c>
      <x:c r="C55" s="36" t="n">
        <x:v>3</x:v>
      </x:c>
      <x:c r="D55" s="36" t="n">
        <x:v>3</x:v>
      </x:c>
      <x:c r="E55" s="36" t="n">
        <x:v>4</x:v>
      </x:c>
      <x:c r="F55" s="24" t="str">
        <x:v>initial</x:v>
      </x:c>
      <x:c r="G55" s="36" t="n">
        <x:v>7</x:v>
      </x:c>
      <x:c r="H55" s="36" t="n">
        <x:v>7</x:v>
      </x:c>
      <x:c r="I55" s="36" t="n">
        <x:v>1</x:v>
      </x:c>
      <x:c r="J55" s="36" t="n">
        <x:v>7</x:v>
      </x:c>
      <x:c r="K55" s="45" t="b">
        <x:v>1</x:v>
      </x:c>
      <x:c r="L55" s="45" t="b">
        <x:v>1</x:v>
      </x:c>
    </x:row>
    <x:row r="56">
      <x:c r="A56" s="24" t="str">
        <x:v>article1-unified-v4-2-fb3f101b-20260903-000401-default-f03-p4-jcs321</x:v>
      </x:c>
      <x:c r="B56" s="24" t="str">
        <x:v>jcs321</x:v>
      </x:c>
      <x:c r="C56" s="36" t="n">
        <x:v>3</x:v>
      </x:c>
      <x:c r="D56" s="36" t="n">
        <x:v>3</x:v>
      </x:c>
      <x:c r="E56" s="36" t="n">
        <x:v>4</x:v>
      </x:c>
      <x:c r="F56" s="24" t="str">
        <x:v>redeploy</x:v>
      </x:c>
      <x:c r="G56" s="36" t="n">
        <x:v>8</x:v>
      </x:c>
      <x:c r="H56" s="36" t="n">
        <x:v>8</x:v>
      </x:c>
      <x:c r="I56" s="36" t="n">
        <x:v>1</x:v>
      </x:c>
      <x:c r="J56" s="36" t="n">
        <x:v>8</x:v>
      </x:c>
      <x:c r="K56" s="45" t="b">
        <x:v>1</x:v>
      </x:c>
      <x:c r="L56" s="45" t="b">
        <x:v>1</x:v>
      </x:c>
    </x:row>
    <x:row r="57">
      <x:c r="A57" s="24" t="str">
        <x:v>article1-unified-v4-2-fb3f101b-20260903-000401-default-f03-p4-jcs321</x:v>
      </x:c>
      <x:c r="B57" s="24" t="str">
        <x:v>jcs321</x:v>
      </x:c>
      <x:c r="C57" s="36" t="n">
        <x:v>3</x:v>
      </x:c>
      <x:c r="D57" s="36" t="n">
        <x:v>3</x:v>
      </x:c>
      <x:c r="E57" s="36" t="n">
        <x:v>5</x:v>
      </x:c>
      <x:c r="F57" s="24" t="str">
        <x:v>initial</x:v>
      </x:c>
      <x:c r="G57" s="36" t="n">
        <x:v>9</x:v>
      </x:c>
      <x:c r="H57" s="36" t="n">
        <x:v>9</x:v>
      </x:c>
      <x:c r="I57" s="36" t="n">
        <x:v>1</x:v>
      </x:c>
      <x:c r="J57" s="36" t="n">
        <x:v>9</x:v>
      </x:c>
      <x:c r="K57" s="45" t="b">
        <x:v>1</x:v>
      </x:c>
      <x:c r="L57" s="45" t="b">
        <x:v>1</x:v>
      </x:c>
    </x:row>
    <x:row r="58">
      <x:c r="A58" s="24" t="str">
        <x:v>article1-unified-v4-2-fb3f101b-20260903-000401-default-f03-p4-jcs321</x:v>
      </x:c>
      <x:c r="B58" s="24" t="str">
        <x:v>jcs321</x:v>
      </x:c>
      <x:c r="C58" s="36" t="n">
        <x:v>3</x:v>
      </x:c>
      <x:c r="D58" s="36" t="n">
        <x:v>3</x:v>
      </x:c>
      <x:c r="E58" s="36" t="n">
        <x:v>5</x:v>
      </x:c>
      <x:c r="F58" s="24" t="str">
        <x:v>redeploy</x:v>
      </x:c>
      <x:c r="G58" s="36" t="n">
        <x:v>10</x:v>
      </x:c>
      <x:c r="H58" s="36" t="n">
        <x:v>10</x:v>
      </x:c>
      <x:c r="I58" s="36" t="n">
        <x:v>1</x:v>
      </x:c>
      <x:c r="J58" s="36" t="n">
        <x:v>10</x:v>
      </x:c>
      <x:c r="K58" s="45" t="b">
        <x:v>1</x:v>
      </x:c>
      <x:c r="L58" s="45" t="b">
        <x:v>1</x:v>
      </x:c>
    </x:row>
    <x:row r="59">
      <x:c r="A59" s="24" t="str">
        <x:v>article1-unified-v4-2-fb3f101b-20260903-000401-default-f04-p2-jcs321</x:v>
      </x:c>
      <x:c r="B59" s="24" t="str">
        <x:v>jcs321</x:v>
      </x:c>
      <x:c r="C59" s="36" t="n">
        <x:v>4</x:v>
      </x:c>
      <x:c r="D59" s="36" t="n">
        <x:v>4</x:v>
      </x:c>
      <x:c r="E59" s="36" t="n">
        <x:v>1</x:v>
      </x:c>
      <x:c r="F59" s="24" t="str">
        <x:v>initial</x:v>
      </x:c>
      <x:c r="G59" s="36" t="n">
        <x:v>1</x:v>
      </x:c>
      <x:c r="H59" s="36" t="n">
        <x:v>1</x:v>
      </x:c>
      <x:c r="I59" s="36" t="n">
        <x:v>1</x:v>
      </x:c>
      <x:c r="J59" s="36" t="n">
        <x:v>1</x:v>
      </x:c>
      <x:c r="K59" s="45" t="b">
        <x:v>1</x:v>
      </x:c>
      <x:c r="L59" s="45" t="b">
        <x:v>1</x:v>
      </x:c>
    </x:row>
    <x:row r="60">
      <x:c r="A60" s="24" t="str">
        <x:v>article1-unified-v4-2-fb3f101b-20260903-000401-default-f04-p2-jcs321</x:v>
      </x:c>
      <x:c r="B60" s="24" t="str">
        <x:v>jcs321</x:v>
      </x:c>
      <x:c r="C60" s="36" t="n">
        <x:v>4</x:v>
      </x:c>
      <x:c r="D60" s="36" t="n">
        <x:v>4</x:v>
      </x:c>
      <x:c r="E60" s="36" t="n">
        <x:v>1</x:v>
      </x:c>
      <x:c r="F60" s="24" t="str">
        <x:v>redeploy</x:v>
      </x:c>
      <x:c r="G60" s="36" t="n">
        <x:v>2</x:v>
      </x:c>
      <x:c r="H60" s="36" t="n">
        <x:v>2</x:v>
      </x:c>
      <x:c r="I60" s="36" t="n">
        <x:v>1</x:v>
      </x:c>
      <x:c r="J60" s="36" t="n">
        <x:v>2</x:v>
      </x:c>
      <x:c r="K60" s="45" t="b">
        <x:v>1</x:v>
      </x:c>
      <x:c r="L60" s="45" t="b">
        <x:v>1</x:v>
      </x:c>
    </x:row>
    <x:row r="61">
      <x:c r="A61" s="24" t="str">
        <x:v>article1-unified-v4-2-fb3f101b-20260903-000401-default-f04-p2-jcs321</x:v>
      </x:c>
      <x:c r="B61" s="24" t="str">
        <x:v>jcs321</x:v>
      </x:c>
      <x:c r="C61" s="36" t="n">
        <x:v>4</x:v>
      </x:c>
      <x:c r="D61" s="36" t="n">
        <x:v>4</x:v>
      </x:c>
      <x:c r="E61" s="36" t="n">
        <x:v>2</x:v>
      </x:c>
      <x:c r="F61" s="24" t="str">
        <x:v>initial</x:v>
      </x:c>
      <x:c r="G61" s="36" t="n">
        <x:v>3</x:v>
      </x:c>
      <x:c r="H61" s="36" t="n">
        <x:v>3</x:v>
      </x:c>
      <x:c r="I61" s="36" t="n">
        <x:v>1</x:v>
      </x:c>
      <x:c r="J61" s="36" t="n">
        <x:v>3</x:v>
      </x:c>
      <x:c r="K61" s="45" t="b">
        <x:v>1</x:v>
      </x:c>
      <x:c r="L61" s="45" t="b">
        <x:v>1</x:v>
      </x:c>
    </x:row>
    <x:row r="62">
      <x:c r="A62" s="24" t="str">
        <x:v>article1-unified-v4-2-fb3f101b-20260903-000401-default-f04-p2-jcs321</x:v>
      </x:c>
      <x:c r="B62" s="24" t="str">
        <x:v>jcs321</x:v>
      </x:c>
      <x:c r="C62" s="36" t="n">
        <x:v>4</x:v>
      </x:c>
      <x:c r="D62" s="36" t="n">
        <x:v>4</x:v>
      </x:c>
      <x:c r="E62" s="36" t="n">
        <x:v>2</x:v>
      </x:c>
      <x:c r="F62" s="24" t="str">
        <x:v>redeploy</x:v>
      </x:c>
      <x:c r="G62" s="36" t="n">
        <x:v>4</x:v>
      </x:c>
      <x:c r="H62" s="36" t="n">
        <x:v>4</x:v>
      </x:c>
      <x:c r="I62" s="36" t="n">
        <x:v>1</x:v>
      </x:c>
      <x:c r="J62" s="36" t="n">
        <x:v>4</x:v>
      </x:c>
      <x:c r="K62" s="45" t="b">
        <x:v>1</x:v>
      </x:c>
      <x:c r="L62" s="45" t="b">
        <x:v>1</x:v>
      </x:c>
    </x:row>
    <x:row r="63">
      <x:c r="A63" s="24" t="str">
        <x:v>article1-unified-v4-2-fb3f101b-20260903-000401-default-f04-p2-jcs321</x:v>
      </x:c>
      <x:c r="B63" s="24" t="str">
        <x:v>jcs321</x:v>
      </x:c>
      <x:c r="C63" s="36" t="n">
        <x:v>4</x:v>
      </x:c>
      <x:c r="D63" s="36" t="n">
        <x:v>4</x:v>
      </x:c>
      <x:c r="E63" s="36" t="n">
        <x:v>3</x:v>
      </x:c>
      <x:c r="F63" s="24" t="str">
        <x:v>initial</x:v>
      </x:c>
      <x:c r="G63" s="36" t="n">
        <x:v>5</x:v>
      </x:c>
      <x:c r="H63" s="36" t="n">
        <x:v>5</x:v>
      </x:c>
      <x:c r="I63" s="36" t="n">
        <x:v>1</x:v>
      </x:c>
      <x:c r="J63" s="36" t="n">
        <x:v>5</x:v>
      </x:c>
      <x:c r="K63" s="45" t="b">
        <x:v>1</x:v>
      </x:c>
      <x:c r="L63" s="45" t="b">
        <x:v>1</x:v>
      </x:c>
    </x:row>
    <x:row r="64">
      <x:c r="A64" s="24" t="str">
        <x:v>article1-unified-v4-2-fb3f101b-20260903-000401-default-f04-p2-jcs321</x:v>
      </x:c>
      <x:c r="B64" s="24" t="str">
        <x:v>jcs321</x:v>
      </x:c>
      <x:c r="C64" s="36" t="n">
        <x:v>4</x:v>
      </x:c>
      <x:c r="D64" s="36" t="n">
        <x:v>4</x:v>
      </x:c>
      <x:c r="E64" s="36" t="n">
        <x:v>3</x:v>
      </x:c>
      <x:c r="F64" s="24" t="str">
        <x:v>redeploy</x:v>
      </x:c>
      <x:c r="G64" s="36" t="n">
        <x:v>6</x:v>
      </x:c>
      <x:c r="H64" s="36" t="n">
        <x:v>6</x:v>
      </x:c>
      <x:c r="I64" s="36" t="n">
        <x:v>1</x:v>
      </x:c>
      <x:c r="J64" s="36" t="n">
        <x:v>6</x:v>
      </x:c>
      <x:c r="K64" s="45" t="b">
        <x:v>1</x:v>
      </x:c>
      <x:c r="L64" s="45" t="b">
        <x:v>1</x:v>
      </x:c>
    </x:row>
    <x:row r="65">
      <x:c r="A65" s="24" t="str">
        <x:v>article1-unified-v4-2-fb3f101b-20260903-000401-default-f04-p2-jcs321</x:v>
      </x:c>
      <x:c r="B65" s="24" t="str">
        <x:v>jcs321</x:v>
      </x:c>
      <x:c r="C65" s="36" t="n">
        <x:v>4</x:v>
      </x:c>
      <x:c r="D65" s="36" t="n">
        <x:v>4</x:v>
      </x:c>
      <x:c r="E65" s="36" t="n">
        <x:v>4</x:v>
      </x:c>
      <x:c r="F65" s="24" t="str">
        <x:v>initial</x:v>
      </x:c>
      <x:c r="G65" s="36" t="n">
        <x:v>7</x:v>
      </x:c>
      <x:c r="H65" s="36" t="n">
        <x:v>7</x:v>
      </x:c>
      <x:c r="I65" s="36" t="n">
        <x:v>1</x:v>
      </x:c>
      <x:c r="J65" s="36" t="n">
        <x:v>7</x:v>
      </x:c>
      <x:c r="K65" s="45" t="b">
        <x:v>1</x:v>
      </x:c>
      <x:c r="L65" s="45" t="b">
        <x:v>1</x:v>
      </x:c>
    </x:row>
    <x:row r="66">
      <x:c r="A66" s="24" t="str">
        <x:v>article1-unified-v4-2-fb3f101b-20260903-000401-default-f04-p2-jcs321</x:v>
      </x:c>
      <x:c r="B66" s="24" t="str">
        <x:v>jcs321</x:v>
      </x:c>
      <x:c r="C66" s="36" t="n">
        <x:v>4</x:v>
      </x:c>
      <x:c r="D66" s="36" t="n">
        <x:v>4</x:v>
      </x:c>
      <x:c r="E66" s="36" t="n">
        <x:v>4</x:v>
      </x:c>
      <x:c r="F66" s="24" t="str">
        <x:v>redeploy</x:v>
      </x:c>
      <x:c r="G66" s="36" t="n">
        <x:v>8</x:v>
      </x:c>
      <x:c r="H66" s="36" t="n">
        <x:v>8</x:v>
      </x:c>
      <x:c r="I66" s="36" t="n">
        <x:v>1</x:v>
      </x:c>
      <x:c r="J66" s="36" t="n">
        <x:v>8</x:v>
      </x:c>
      <x:c r="K66" s="45" t="b">
        <x:v>1</x:v>
      </x:c>
      <x:c r="L66" s="45" t="b">
        <x:v>1</x:v>
      </x:c>
    </x:row>
    <x:row r="67">
      <x:c r="A67" s="24" t="str">
        <x:v>article1-unified-v4-2-fb3f101b-20260903-000401-default-f04-p2-jcs321</x:v>
      </x:c>
      <x:c r="B67" s="24" t="str">
        <x:v>jcs321</x:v>
      </x:c>
      <x:c r="C67" s="36" t="n">
        <x:v>4</x:v>
      </x:c>
      <x:c r="D67" s="36" t="n">
        <x:v>4</x:v>
      </x:c>
      <x:c r="E67" s="36" t="n">
        <x:v>5</x:v>
      </x:c>
      <x:c r="F67" s="24" t="str">
        <x:v>initial</x:v>
      </x:c>
      <x:c r="G67" s="36" t="n">
        <x:v>9</x:v>
      </x:c>
      <x:c r="H67" s="36" t="n">
        <x:v>9</x:v>
      </x:c>
      <x:c r="I67" s="36" t="n">
        <x:v>1</x:v>
      </x:c>
      <x:c r="J67" s="36" t="n">
        <x:v>9</x:v>
      </x:c>
      <x:c r="K67" s="45" t="b">
        <x:v>1</x:v>
      </x:c>
      <x:c r="L67" s="45" t="b">
        <x:v>1</x:v>
      </x:c>
    </x:row>
    <x:row r="68">
      <x:c r="A68" s="24" t="str">
        <x:v>article1-unified-v4-2-fb3f101b-20260903-000401-default-f04-p2-jcs321</x:v>
      </x:c>
      <x:c r="B68" s="24" t="str">
        <x:v>jcs321</x:v>
      </x:c>
      <x:c r="C68" s="36" t="n">
        <x:v>4</x:v>
      </x:c>
      <x:c r="D68" s="36" t="n">
        <x:v>4</x:v>
      </x:c>
      <x:c r="E68" s="36" t="n">
        <x:v>5</x:v>
      </x:c>
      <x:c r="F68" s="24" t="str">
        <x:v>redeploy</x:v>
      </x:c>
      <x:c r="G68" s="36" t="n">
        <x:v>10</x:v>
      </x:c>
      <x:c r="H68" s="36" t="n">
        <x:v>10</x:v>
      </x:c>
      <x:c r="I68" s="36" t="n">
        <x:v>1</x:v>
      </x:c>
      <x:c r="J68" s="36" t="n">
        <x:v>10</x:v>
      </x:c>
      <x:c r="K68" s="45" t="b">
        <x:v>1</x:v>
      </x:c>
      <x:c r="L68" s="45" t="b">
        <x:v>1</x:v>
      </x:c>
    </x:row>
    <x:row r="69">
      <x:c r="A69" s="24" t="str">
        <x:v>article1-unified-v4-2-fb3f101b-20260903-000401-default-f05-p1-jcs321</x:v>
      </x:c>
      <x:c r="B69" s="24" t="str">
        <x:v>jcs321</x:v>
      </x:c>
      <x:c r="C69" s="36" t="n">
        <x:v>5</x:v>
      </x:c>
      <x:c r="D69" s="36" t="n">
        <x:v>5</x:v>
      </x:c>
      <x:c r="E69" s="36" t="n">
        <x:v>1</x:v>
      </x:c>
      <x:c r="F69" s="24" t="str">
        <x:v>initial</x:v>
      </x:c>
      <x:c r="G69" s="36" t="n">
        <x:v>1</x:v>
      </x:c>
      <x:c r="H69" s="36" t="n">
        <x:v>1</x:v>
      </x:c>
      <x:c r="I69" s="36" t="n">
        <x:v>1</x:v>
      </x:c>
      <x:c r="J69" s="36" t="n">
        <x:v>1</x:v>
      </x:c>
      <x:c r="K69" s="45" t="b">
        <x:v>1</x:v>
      </x:c>
      <x:c r="L69" s="45" t="b">
        <x:v>1</x:v>
      </x:c>
    </x:row>
    <x:row r="70">
      <x:c r="A70" s="24" t="str">
        <x:v>article1-unified-v4-2-fb3f101b-20260903-000401-default-f05-p1-jcs321</x:v>
      </x:c>
      <x:c r="B70" s="24" t="str">
        <x:v>jcs321</x:v>
      </x:c>
      <x:c r="C70" s="36" t="n">
        <x:v>5</x:v>
      </x:c>
      <x:c r="D70" s="36" t="n">
        <x:v>5</x:v>
      </x:c>
      <x:c r="E70" s="36" t="n">
        <x:v>1</x:v>
      </x:c>
      <x:c r="F70" s="24" t="str">
        <x:v>redeploy</x:v>
      </x:c>
      <x:c r="G70" s="36" t="n">
        <x:v>2</x:v>
      </x:c>
      <x:c r="H70" s="36" t="n">
        <x:v>2</x:v>
      </x:c>
      <x:c r="I70" s="36" t="n">
        <x:v>1</x:v>
      </x:c>
      <x:c r="J70" s="36" t="n">
        <x:v>2</x:v>
      </x:c>
      <x:c r="K70" s="45" t="b">
        <x:v>1</x:v>
      </x:c>
      <x:c r="L70" s="45" t="b">
        <x:v>1</x:v>
      </x:c>
    </x:row>
    <x:row r="71">
      <x:c r="A71" s="24" t="str">
        <x:v>article1-unified-v4-2-fb3f101b-20260903-000401-default-f05-p1-jcs321</x:v>
      </x:c>
      <x:c r="B71" s="24" t="str">
        <x:v>jcs321</x:v>
      </x:c>
      <x:c r="C71" s="36" t="n">
        <x:v>5</x:v>
      </x:c>
      <x:c r="D71" s="36" t="n">
        <x:v>5</x:v>
      </x:c>
      <x:c r="E71" s="36" t="n">
        <x:v>2</x:v>
      </x:c>
      <x:c r="F71" s="24" t="str">
        <x:v>initial</x:v>
      </x:c>
      <x:c r="G71" s="36" t="n">
        <x:v>3</x:v>
      </x:c>
      <x:c r="H71" s="36" t="n">
        <x:v>3</x:v>
      </x:c>
      <x:c r="I71" s="36" t="n">
        <x:v>1</x:v>
      </x:c>
      <x:c r="J71" s="36" t="n">
        <x:v>3</x:v>
      </x:c>
      <x:c r="K71" s="45" t="b">
        <x:v>1</x:v>
      </x:c>
      <x:c r="L71" s="45" t="b">
        <x:v>1</x:v>
      </x:c>
    </x:row>
    <x:row r="72">
      <x:c r="A72" s="24" t="str">
        <x:v>article1-unified-v4-2-fb3f101b-20260903-000401-default-f05-p1-jcs321</x:v>
      </x:c>
      <x:c r="B72" s="24" t="str">
        <x:v>jcs321</x:v>
      </x:c>
      <x:c r="C72" s="36" t="n">
        <x:v>5</x:v>
      </x:c>
      <x:c r="D72" s="36" t="n">
        <x:v>5</x:v>
      </x:c>
      <x:c r="E72" s="36" t="n">
        <x:v>2</x:v>
      </x:c>
      <x:c r="F72" s="24" t="str">
        <x:v>redeploy</x:v>
      </x:c>
      <x:c r="G72" s="36" t="n">
        <x:v>4</x:v>
      </x:c>
      <x:c r="H72" s="36" t="n">
        <x:v>4</x:v>
      </x:c>
      <x:c r="I72" s="36" t="n">
        <x:v>1</x:v>
      </x:c>
      <x:c r="J72" s="36" t="n">
        <x:v>4</x:v>
      </x:c>
      <x:c r="K72" s="45" t="b">
        <x:v>1</x:v>
      </x:c>
      <x:c r="L72" s="45" t="b">
        <x:v>1</x:v>
      </x:c>
    </x:row>
    <x:row r="73">
      <x:c r="A73" s="24" t="str">
        <x:v>article1-unified-v4-2-fb3f101b-20260903-000401-default-f05-p1-jcs321</x:v>
      </x:c>
      <x:c r="B73" s="24" t="str">
        <x:v>jcs321</x:v>
      </x:c>
      <x:c r="C73" s="36" t="n">
        <x:v>5</x:v>
      </x:c>
      <x:c r="D73" s="36" t="n">
        <x:v>5</x:v>
      </x:c>
      <x:c r="E73" s="36" t="n">
        <x:v>3</x:v>
      </x:c>
      <x:c r="F73" s="24" t="str">
        <x:v>initial</x:v>
      </x:c>
      <x:c r="G73" s="36" t="n">
        <x:v>5</x:v>
      </x:c>
      <x:c r="H73" s="36" t="n">
        <x:v>5</x:v>
      </x:c>
      <x:c r="I73" s="36" t="n">
        <x:v>1</x:v>
      </x:c>
      <x:c r="J73" s="36" t="n">
        <x:v>5</x:v>
      </x:c>
      <x:c r="K73" s="45" t="b">
        <x:v>1</x:v>
      </x:c>
      <x:c r="L73" s="45" t="b">
        <x:v>1</x:v>
      </x:c>
    </x:row>
    <x:row r="74">
      <x:c r="A74" s="24" t="str">
        <x:v>article1-unified-v4-2-fb3f101b-20260903-000401-default-f05-p1-jcs321</x:v>
      </x:c>
      <x:c r="B74" s="24" t="str">
        <x:v>jcs321</x:v>
      </x:c>
      <x:c r="C74" s="36" t="n">
        <x:v>5</x:v>
      </x:c>
      <x:c r="D74" s="36" t="n">
        <x:v>5</x:v>
      </x:c>
      <x:c r="E74" s="36" t="n">
        <x:v>3</x:v>
      </x:c>
      <x:c r="F74" s="24" t="str">
        <x:v>redeploy</x:v>
      </x:c>
      <x:c r="G74" s="36" t="n">
        <x:v>6</x:v>
      </x:c>
      <x:c r="H74" s="36" t="n">
        <x:v>6</x:v>
      </x:c>
      <x:c r="I74" s="36" t="n">
        <x:v>1</x:v>
      </x:c>
      <x:c r="J74" s="36" t="n">
        <x:v>6</x:v>
      </x:c>
      <x:c r="K74" s="45" t="b">
        <x:v>1</x:v>
      </x:c>
      <x:c r="L74" s="45" t="b">
        <x:v>1</x:v>
      </x:c>
    </x:row>
    <x:row r="75">
      <x:c r="A75" s="24" t="str">
        <x:v>article1-unified-v4-2-fb3f101b-20260903-000401-default-f05-p1-jcs321</x:v>
      </x:c>
      <x:c r="B75" s="24" t="str">
        <x:v>jcs321</x:v>
      </x:c>
      <x:c r="C75" s="36" t="n">
        <x:v>5</x:v>
      </x:c>
      <x:c r="D75" s="36" t="n">
        <x:v>5</x:v>
      </x:c>
      <x:c r="E75" s="36" t="n">
        <x:v>4</x:v>
      </x:c>
      <x:c r="F75" s="24" t="str">
        <x:v>initial</x:v>
      </x:c>
      <x:c r="G75" s="36" t="n">
        <x:v>7</x:v>
      </x:c>
      <x:c r="H75" s="36" t="n">
        <x:v>7</x:v>
      </x:c>
      <x:c r="I75" s="36" t="n">
        <x:v>1</x:v>
      </x:c>
      <x:c r="J75" s="36" t="n">
        <x:v>7</x:v>
      </x:c>
      <x:c r="K75" s="45" t="b">
        <x:v>1</x:v>
      </x:c>
      <x:c r="L75" s="45" t="b">
        <x:v>1</x:v>
      </x:c>
    </x:row>
    <x:row r="76">
      <x:c r="A76" s="24" t="str">
        <x:v>article1-unified-v4-2-fb3f101b-20260903-000401-default-f05-p1-jcs321</x:v>
      </x:c>
      <x:c r="B76" s="24" t="str">
        <x:v>jcs321</x:v>
      </x:c>
      <x:c r="C76" s="36" t="n">
        <x:v>5</x:v>
      </x:c>
      <x:c r="D76" s="36" t="n">
        <x:v>5</x:v>
      </x:c>
      <x:c r="E76" s="36" t="n">
        <x:v>4</x:v>
      </x:c>
      <x:c r="F76" s="24" t="str">
        <x:v>redeploy</x:v>
      </x:c>
      <x:c r="G76" s="36" t="n">
        <x:v>8</x:v>
      </x:c>
      <x:c r="H76" s="36" t="n">
        <x:v>8</x:v>
      </x:c>
      <x:c r="I76" s="36" t="n">
        <x:v>1</x:v>
      </x:c>
      <x:c r="J76" s="36" t="n">
        <x:v>8</x:v>
      </x:c>
      <x:c r="K76" s="45" t="b">
        <x:v>1</x:v>
      </x:c>
      <x:c r="L76" s="45" t="b">
        <x:v>1</x:v>
      </x:c>
    </x:row>
    <x:row r="77">
      <x:c r="A77" s="24" t="str">
        <x:v>article1-unified-v4-2-fb3f101b-20260903-000401-default-f05-p1-jcs321</x:v>
      </x:c>
      <x:c r="B77" s="24" t="str">
        <x:v>jcs321</x:v>
      </x:c>
      <x:c r="C77" s="36" t="n">
        <x:v>5</x:v>
      </x:c>
      <x:c r="D77" s="36" t="n">
        <x:v>5</x:v>
      </x:c>
      <x:c r="E77" s="36" t="n">
        <x:v>5</x:v>
      </x:c>
      <x:c r="F77" s="24" t="str">
        <x:v>initial</x:v>
      </x:c>
      <x:c r="G77" s="36" t="n">
        <x:v>9</x:v>
      </x:c>
      <x:c r="H77" s="36" t="n">
        <x:v>9</x:v>
      </x:c>
      <x:c r="I77" s="36" t="n">
        <x:v>1</x:v>
      </x:c>
      <x:c r="J77" s="36" t="n">
        <x:v>9</x:v>
      </x:c>
      <x:c r="K77" s="45" t="b">
        <x:v>1</x:v>
      </x:c>
      <x:c r="L77" s="45" t="b">
        <x:v>1</x:v>
      </x:c>
    </x:row>
    <x:row r="78">
      <x:c r="A78" s="24" t="str">
        <x:v>article1-unified-v4-2-fb3f101b-20260903-000401-default-f05-p1-jcs321</x:v>
      </x:c>
      <x:c r="B78" s="24" t="str">
        <x:v>jcs321</x:v>
      </x:c>
      <x:c r="C78" s="36" t="n">
        <x:v>5</x:v>
      </x:c>
      <x:c r="D78" s="36" t="n">
        <x:v>5</x:v>
      </x:c>
      <x:c r="E78" s="36" t="n">
        <x:v>5</x:v>
      </x:c>
      <x:c r="F78" s="24" t="str">
        <x:v>redeploy</x:v>
      </x:c>
      <x:c r="G78" s="36" t="n">
        <x:v>10</x:v>
      </x:c>
      <x:c r="H78" s="36" t="n">
        <x:v>10</x:v>
      </x:c>
      <x:c r="I78" s="36" t="n">
        <x:v>1</x:v>
      </x:c>
      <x:c r="J78" s="36" t="n">
        <x:v>10</x:v>
      </x:c>
      <x:c r="K78" s="45" t="b">
        <x:v>1</x:v>
      </x:c>
      <x:c r="L78" s="45" t="b">
        <x:v>1</x:v>
      </x:c>
    </x:row>
    <x:row r="79">
      <x:c r="A79" s="24" t="str">
        <x:v>article1-unified-v4-2-fb3f101b-20260903-000401-default-f06-p3-jcs321</x:v>
      </x:c>
      <x:c r="B79" s="24" t="str">
        <x:v>jcs321</x:v>
      </x:c>
      <x:c r="C79" s="36" t="n">
        <x:v>6</x:v>
      </x:c>
      <x:c r="D79" s="36" t="n">
        <x:v>6</x:v>
      </x:c>
      <x:c r="E79" s="36" t="n">
        <x:v>1</x:v>
      </x:c>
      <x:c r="F79" s="24" t="str">
        <x:v>initial</x:v>
      </x:c>
      <x:c r="G79" s="36" t="n">
        <x:v>1</x:v>
      </x:c>
      <x:c r="H79" s="36" t="n">
        <x:v>1</x:v>
      </x:c>
      <x:c r="I79" s="36" t="n">
        <x:v>1</x:v>
      </x:c>
      <x:c r="J79" s="36" t="n">
        <x:v>1</x:v>
      </x:c>
      <x:c r="K79" s="45" t="b">
        <x:v>1</x:v>
      </x:c>
      <x:c r="L79" s="45" t="b">
        <x:v>1</x:v>
      </x:c>
    </x:row>
    <x:row r="80">
      <x:c r="A80" s="24" t="str">
        <x:v>article1-unified-v4-2-fb3f101b-20260903-000401-default-f06-p3-jcs321</x:v>
      </x:c>
      <x:c r="B80" s="24" t="str">
        <x:v>jcs321</x:v>
      </x:c>
      <x:c r="C80" s="36" t="n">
        <x:v>6</x:v>
      </x:c>
      <x:c r="D80" s="36" t="n">
        <x:v>6</x:v>
      </x:c>
      <x:c r="E80" s="36" t="n">
        <x:v>1</x:v>
      </x:c>
      <x:c r="F80" s="24" t="str">
        <x:v>redeploy</x:v>
      </x:c>
      <x:c r="G80" s="36" t="n">
        <x:v>2</x:v>
      </x:c>
      <x:c r="H80" s="36" t="n">
        <x:v>2</x:v>
      </x:c>
      <x:c r="I80" s="36" t="n">
        <x:v>1</x:v>
      </x:c>
      <x:c r="J80" s="36" t="n">
        <x:v>2</x:v>
      </x:c>
      <x:c r="K80" s="45" t="b">
        <x:v>1</x:v>
      </x:c>
      <x:c r="L80" s="45" t="b">
        <x:v>1</x:v>
      </x:c>
    </x:row>
    <x:row r="81">
      <x:c r="A81" s="24" t="str">
        <x:v>article1-unified-v4-2-fb3f101b-20260903-000401-default-f06-p3-jcs321</x:v>
      </x:c>
      <x:c r="B81" s="24" t="str">
        <x:v>jcs321</x:v>
      </x:c>
      <x:c r="C81" s="36" t="n">
        <x:v>6</x:v>
      </x:c>
      <x:c r="D81" s="36" t="n">
        <x:v>6</x:v>
      </x:c>
      <x:c r="E81" s="36" t="n">
        <x:v>2</x:v>
      </x:c>
      <x:c r="F81" s="24" t="str">
        <x:v>initial</x:v>
      </x:c>
      <x:c r="G81" s="36" t="n">
        <x:v>3</x:v>
      </x:c>
      <x:c r="H81" s="36" t="n">
        <x:v>3</x:v>
      </x:c>
      <x:c r="I81" s="36" t="n">
        <x:v>1</x:v>
      </x:c>
      <x:c r="J81" s="36" t="n">
        <x:v>3</x:v>
      </x:c>
      <x:c r="K81" s="45" t="b">
        <x:v>1</x:v>
      </x:c>
      <x:c r="L81" s="45" t="b">
        <x:v>1</x:v>
      </x:c>
    </x:row>
    <x:row r="82">
      <x:c r="A82" s="24" t="str">
        <x:v>article1-unified-v4-2-fb3f101b-20260903-000401-default-f06-p3-jcs321</x:v>
      </x:c>
      <x:c r="B82" s="24" t="str">
        <x:v>jcs321</x:v>
      </x:c>
      <x:c r="C82" s="36" t="n">
        <x:v>6</x:v>
      </x:c>
      <x:c r="D82" s="36" t="n">
        <x:v>6</x:v>
      </x:c>
      <x:c r="E82" s="36" t="n">
        <x:v>2</x:v>
      </x:c>
      <x:c r="F82" s="24" t="str">
        <x:v>redeploy</x:v>
      </x:c>
      <x:c r="G82" s="36" t="n">
        <x:v>4</x:v>
      </x:c>
      <x:c r="H82" s="36" t="n">
        <x:v>4</x:v>
      </x:c>
      <x:c r="I82" s="36" t="n">
        <x:v>1</x:v>
      </x:c>
      <x:c r="J82" s="36" t="n">
        <x:v>4</x:v>
      </x:c>
      <x:c r="K82" s="45" t="b">
        <x:v>1</x:v>
      </x:c>
      <x:c r="L82" s="45" t="b">
        <x:v>1</x:v>
      </x:c>
    </x:row>
    <x:row r="83">
      <x:c r="A83" s="24" t="str">
        <x:v>article1-unified-v4-2-fb3f101b-20260903-000401-default-f06-p3-jcs321</x:v>
      </x:c>
      <x:c r="B83" s="24" t="str">
        <x:v>jcs321</x:v>
      </x:c>
      <x:c r="C83" s="36" t="n">
        <x:v>6</x:v>
      </x:c>
      <x:c r="D83" s="36" t="n">
        <x:v>6</x:v>
      </x:c>
      <x:c r="E83" s="36" t="n">
        <x:v>3</x:v>
      </x:c>
      <x:c r="F83" s="24" t="str">
        <x:v>initial</x:v>
      </x:c>
      <x:c r="G83" s="36" t="n">
        <x:v>5</x:v>
      </x:c>
      <x:c r="H83" s="36" t="n">
        <x:v>5</x:v>
      </x:c>
      <x:c r="I83" s="36" t="n">
        <x:v>1</x:v>
      </x:c>
      <x:c r="J83" s="36" t="n">
        <x:v>5</x:v>
      </x:c>
      <x:c r="K83" s="45" t="b">
        <x:v>1</x:v>
      </x:c>
      <x:c r="L83" s="45" t="b">
        <x:v>1</x:v>
      </x:c>
    </x:row>
    <x:row r="84">
      <x:c r="A84" s="24" t="str">
        <x:v>article1-unified-v4-2-fb3f101b-20260903-000401-default-f06-p3-jcs321</x:v>
      </x:c>
      <x:c r="B84" s="24" t="str">
        <x:v>jcs321</x:v>
      </x:c>
      <x:c r="C84" s="36" t="n">
        <x:v>6</x:v>
      </x:c>
      <x:c r="D84" s="36" t="n">
        <x:v>6</x:v>
      </x:c>
      <x:c r="E84" s="36" t="n">
        <x:v>3</x:v>
      </x:c>
      <x:c r="F84" s="24" t="str">
        <x:v>redeploy</x:v>
      </x:c>
      <x:c r="G84" s="36" t="n">
        <x:v>6</x:v>
      </x:c>
      <x:c r="H84" s="36" t="n">
        <x:v>6</x:v>
      </x:c>
      <x:c r="I84" s="36" t="n">
        <x:v>1</x:v>
      </x:c>
      <x:c r="J84" s="36" t="n">
        <x:v>6</x:v>
      </x:c>
      <x:c r="K84" s="45" t="b">
        <x:v>1</x:v>
      </x:c>
      <x:c r="L84" s="45" t="b">
        <x:v>1</x:v>
      </x:c>
    </x:row>
    <x:row r="85">
      <x:c r="A85" s="24" t="str">
        <x:v>article1-unified-v4-2-fb3f101b-20260903-000401-default-f06-p3-jcs321</x:v>
      </x:c>
      <x:c r="B85" s="24" t="str">
        <x:v>jcs321</x:v>
      </x:c>
      <x:c r="C85" s="36" t="n">
        <x:v>6</x:v>
      </x:c>
      <x:c r="D85" s="36" t="n">
        <x:v>6</x:v>
      </x:c>
      <x:c r="E85" s="36" t="n">
        <x:v>4</x:v>
      </x:c>
      <x:c r="F85" s="24" t="str">
        <x:v>initial</x:v>
      </x:c>
      <x:c r="G85" s="36" t="n">
        <x:v>7</x:v>
      </x:c>
      <x:c r="H85" s="36" t="n">
        <x:v>7</x:v>
      </x:c>
      <x:c r="I85" s="36" t="n">
        <x:v>1</x:v>
      </x:c>
      <x:c r="J85" s="36" t="n">
        <x:v>7</x:v>
      </x:c>
      <x:c r="K85" s="45" t="b">
        <x:v>1</x:v>
      </x:c>
      <x:c r="L85" s="45" t="b">
        <x:v>1</x:v>
      </x:c>
    </x:row>
    <x:row r="86">
      <x:c r="A86" s="24" t="str">
        <x:v>article1-unified-v4-2-fb3f101b-20260903-000401-default-f06-p3-jcs321</x:v>
      </x:c>
      <x:c r="B86" s="24" t="str">
        <x:v>jcs321</x:v>
      </x:c>
      <x:c r="C86" s="36" t="n">
        <x:v>6</x:v>
      </x:c>
      <x:c r="D86" s="36" t="n">
        <x:v>6</x:v>
      </x:c>
      <x:c r="E86" s="36" t="n">
        <x:v>4</x:v>
      </x:c>
      <x:c r="F86" s="24" t="str">
        <x:v>redeploy</x:v>
      </x:c>
      <x:c r="G86" s="36" t="n">
        <x:v>8</x:v>
      </x:c>
      <x:c r="H86" s="36" t="n">
        <x:v>8</x:v>
      </x:c>
      <x:c r="I86" s="36" t="n">
        <x:v>1</x:v>
      </x:c>
      <x:c r="J86" s="36" t="n">
        <x:v>8</x:v>
      </x:c>
      <x:c r="K86" s="45" t="b">
        <x:v>1</x:v>
      </x:c>
      <x:c r="L86" s="45" t="b">
        <x:v>1</x:v>
      </x:c>
    </x:row>
    <x:row r="87">
      <x:c r="A87" s="24" t="str">
        <x:v>article1-unified-v4-2-fb3f101b-20260903-000401-default-f06-p3-jcs321</x:v>
      </x:c>
      <x:c r="B87" s="24" t="str">
        <x:v>jcs321</x:v>
      </x:c>
      <x:c r="C87" s="36" t="n">
        <x:v>6</x:v>
      </x:c>
      <x:c r="D87" s="36" t="n">
        <x:v>6</x:v>
      </x:c>
      <x:c r="E87" s="36" t="n">
        <x:v>5</x:v>
      </x:c>
      <x:c r="F87" s="24" t="str">
        <x:v>initial</x:v>
      </x:c>
      <x:c r="G87" s="36" t="n">
        <x:v>9</x:v>
      </x:c>
      <x:c r="H87" s="36" t="n">
        <x:v>9</x:v>
      </x:c>
      <x:c r="I87" s="36" t="n">
        <x:v>1</x:v>
      </x:c>
      <x:c r="J87" s="36" t="n">
        <x:v>9</x:v>
      </x:c>
      <x:c r="K87" s="45" t="b">
        <x:v>1</x:v>
      </x:c>
      <x:c r="L87" s="45" t="b">
        <x:v>1</x:v>
      </x:c>
    </x:row>
    <x:row r="88">
      <x:c r="A88" s="24" t="str">
        <x:v>article1-unified-v4-2-fb3f101b-20260903-000401-default-f06-p3-jcs321</x:v>
      </x:c>
      <x:c r="B88" s="24" t="str">
        <x:v>jcs321</x:v>
      </x:c>
      <x:c r="C88" s="36" t="n">
        <x:v>6</x:v>
      </x:c>
      <x:c r="D88" s="36" t="n">
        <x:v>6</x:v>
      </x:c>
      <x:c r="E88" s="36" t="n">
        <x:v>5</x:v>
      </x:c>
      <x:c r="F88" s="24" t="str">
        <x:v>redeploy</x:v>
      </x:c>
      <x:c r="G88" s="36" t="n">
        <x:v>10</x:v>
      </x:c>
      <x:c r="H88" s="36" t="n">
        <x:v>10</x:v>
      </x:c>
      <x:c r="I88" s="36" t="n">
        <x:v>1</x:v>
      </x:c>
      <x:c r="J88" s="36" t="n">
        <x:v>10</x:v>
      </x:c>
      <x:c r="K88" s="45" t="b">
        <x:v>1</x:v>
      </x:c>
      <x:c r="L88" s="45" t="b">
        <x:v>1</x:v>
      </x:c>
    </x:row>
    <x:row r="89">
      <x:c r="A89" s="24" t="str">
        <x:v>article1-unified-v4-2-fb3f101b-20260903-000401-default-f01-p6-jcs4</x:v>
      </x:c>
      <x:c r="B89" s="24" t="str">
        <x:v>jcs4</x:v>
      </x:c>
      <x:c r="C89" s="36" t="n">
        <x:v>1</x:v>
      </x:c>
      <x:c r="D89" s="36" t="n">
        <x:v>1</x:v>
      </x:c>
      <x:c r="E89" s="36" t="n">
        <x:v>1</x:v>
      </x:c>
      <x:c r="F89" s="24" t="str">
        <x:v>initial</x:v>
      </x:c>
      <x:c r="G89" s="36" t="n">
        <x:v>0</x:v>
      </x:c>
      <x:c r="H89" s="36" t="n">
        <x:v>0</x:v>
      </x:c>
      <x:c r="I89" s="36" t="n">
        <x:v>0</x:v>
      </x:c>
      <x:c r="J89" s="36" t="n">
        <x:v>1</x:v>
      </x:c>
      <x:c r="K89" s="45" t="b">
        <x:v>1</x:v>
      </x:c>
      <x:c r="L89" s="45" t="b">
        <x:v>1</x:v>
      </x:c>
    </x:row>
    <x:row r="90">
      <x:c r="A90" s="24" t="str">
        <x:v>article1-unified-v4-2-fb3f101b-20260903-000401-default-f01-p6-jcs4</x:v>
      </x:c>
      <x:c r="B90" s="24" t="str">
        <x:v>jcs4</x:v>
      </x:c>
      <x:c r="C90" s="36" t="n">
        <x:v>1</x:v>
      </x:c>
      <x:c r="D90" s="36" t="n">
        <x:v>1</x:v>
      </x:c>
      <x:c r="E90" s="36" t="n">
        <x:v>1</x:v>
      </x:c>
      <x:c r="F90" s="24" t="str">
        <x:v>redeploy</x:v>
      </x:c>
      <x:c r="G90" s="36" t="n">
        <x:v>0</x:v>
      </x:c>
      <x:c r="H90" s="36" t="n">
        <x:v>0</x:v>
      </x:c>
      <x:c r="I90" s="36" t="n">
        <x:v>0</x:v>
      </x:c>
      <x:c r="J90" s="36" t="n">
        <x:v>1</x:v>
      </x:c>
      <x:c r="K90" s="45" t="b">
        <x:v>1</x:v>
      </x:c>
      <x:c r="L90" s="45" t="b">
        <x:v>1</x:v>
      </x:c>
    </x:row>
    <x:row r="91">
      <x:c r="A91" s="24" t="str">
        <x:v>article1-unified-v4-2-fb3f101b-20260903-000401-default-f01-p6-jcs4</x:v>
      </x:c>
      <x:c r="B91" s="24" t="str">
        <x:v>jcs4</x:v>
      </x:c>
      <x:c r="C91" s="36" t="n">
        <x:v>1</x:v>
      </x:c>
      <x:c r="D91" s="36" t="n">
        <x:v>1</x:v>
      </x:c>
      <x:c r="E91" s="36" t="n">
        <x:v>2</x:v>
      </x:c>
      <x:c r="F91" s="24" t="str">
        <x:v>initial</x:v>
      </x:c>
      <x:c r="G91" s="36" t="n">
        <x:v>0</x:v>
      </x:c>
      <x:c r="H91" s="36" t="n">
        <x:v>0</x:v>
      </x:c>
      <x:c r="I91" s="36" t="n">
        <x:v>0</x:v>
      </x:c>
      <x:c r="J91" s="36" t="n">
        <x:v>1</x:v>
      </x:c>
      <x:c r="K91" s="45" t="b">
        <x:v>1</x:v>
      </x:c>
      <x:c r="L91" s="45" t="b">
        <x:v>1</x:v>
      </x:c>
    </x:row>
    <x:row r="92">
      <x:c r="A92" s="24" t="str">
        <x:v>article1-unified-v4-2-fb3f101b-20260903-000401-default-f01-p6-jcs4</x:v>
      </x:c>
      <x:c r="B92" s="24" t="str">
        <x:v>jcs4</x:v>
      </x:c>
      <x:c r="C92" s="36" t="n">
        <x:v>1</x:v>
      </x:c>
      <x:c r="D92" s="36" t="n">
        <x:v>1</x:v>
      </x:c>
      <x:c r="E92" s="36" t="n">
        <x:v>2</x:v>
      </x:c>
      <x:c r="F92" s="24" t="str">
        <x:v>redeploy</x:v>
      </x:c>
      <x:c r="G92" s="36" t="n">
        <x:v>0</x:v>
      </x:c>
      <x:c r="H92" s="36" t="n">
        <x:v>0</x:v>
      </x:c>
      <x:c r="I92" s="36" t="n">
        <x:v>0</x:v>
      </x:c>
      <x:c r="J92" s="36" t="n">
        <x:v>1</x:v>
      </x:c>
      <x:c r="K92" s="45" t="b">
        <x:v>1</x:v>
      </x:c>
      <x:c r="L92" s="45" t="b">
        <x:v>1</x:v>
      </x:c>
    </x:row>
    <x:row r="93">
      <x:c r="A93" s="24" t="str">
        <x:v>article1-unified-v4-2-fb3f101b-20260903-000401-default-f01-p6-jcs4</x:v>
      </x:c>
      <x:c r="B93" s="24" t="str">
        <x:v>jcs4</x:v>
      </x:c>
      <x:c r="C93" s="36" t="n">
        <x:v>1</x:v>
      </x:c>
      <x:c r="D93" s="36" t="n">
        <x:v>1</x:v>
      </x:c>
      <x:c r="E93" s="36" t="n">
        <x:v>3</x:v>
      </x:c>
      <x:c r="F93" s="24" t="str">
        <x:v>initial</x:v>
      </x:c>
      <x:c r="G93" s="36" t="n">
        <x:v>0</x:v>
      </x:c>
      <x:c r="H93" s="36" t="n">
        <x:v>0</x:v>
      </x:c>
      <x:c r="I93" s="36" t="n">
        <x:v>0</x:v>
      </x:c>
      <x:c r="J93" s="36" t="n">
        <x:v>1</x:v>
      </x:c>
      <x:c r="K93" s="45" t="b">
        <x:v>1</x:v>
      </x:c>
      <x:c r="L93" s="45" t="b">
        <x:v>1</x:v>
      </x:c>
    </x:row>
    <x:row r="94">
      <x:c r="A94" s="24" t="str">
        <x:v>article1-unified-v4-2-fb3f101b-20260903-000401-default-f01-p6-jcs4</x:v>
      </x:c>
      <x:c r="B94" s="24" t="str">
        <x:v>jcs4</x:v>
      </x:c>
      <x:c r="C94" s="36" t="n">
        <x:v>1</x:v>
      </x:c>
      <x:c r="D94" s="36" t="n">
        <x:v>1</x:v>
      </x:c>
      <x:c r="E94" s="36" t="n">
        <x:v>3</x:v>
      </x:c>
      <x:c r="F94" s="24" t="str">
        <x:v>redeploy</x:v>
      </x:c>
      <x:c r="G94" s="36" t="n">
        <x:v>0</x:v>
      </x:c>
      <x:c r="H94" s="36" t="n">
        <x:v>0</x:v>
      </x:c>
      <x:c r="I94" s="36" t="n">
        <x:v>0</x:v>
      </x:c>
      <x:c r="J94" s="36" t="n">
        <x:v>1</x:v>
      </x:c>
      <x:c r="K94" s="45" t="b">
        <x:v>1</x:v>
      </x:c>
      <x:c r="L94" s="45" t="b">
        <x:v>1</x:v>
      </x:c>
    </x:row>
    <x:row r="95">
      <x:c r="A95" s="24" t="str">
        <x:v>article1-unified-v4-2-fb3f101b-20260903-000401-default-f01-p6-jcs4</x:v>
      </x:c>
      <x:c r="B95" s="24" t="str">
        <x:v>jcs4</x:v>
      </x:c>
      <x:c r="C95" s="36" t="n">
        <x:v>1</x:v>
      </x:c>
      <x:c r="D95" s="36" t="n">
        <x:v>1</x:v>
      </x:c>
      <x:c r="E95" s="36" t="n">
        <x:v>4</x:v>
      </x:c>
      <x:c r="F95" s="24" t="str">
        <x:v>initial</x:v>
      </x:c>
      <x:c r="G95" s="36" t="n">
        <x:v>0</x:v>
      </x:c>
      <x:c r="H95" s="36" t="n">
        <x:v>0</x:v>
      </x:c>
      <x:c r="I95" s="36" t="n">
        <x:v>0</x:v>
      </x:c>
      <x:c r="J95" s="36" t="n">
        <x:v>1</x:v>
      </x:c>
      <x:c r="K95" s="45" t="b">
        <x:v>1</x:v>
      </x:c>
      <x:c r="L95" s="45" t="b">
        <x:v>1</x:v>
      </x:c>
    </x:row>
    <x:row r="96">
      <x:c r="A96" s="24" t="str">
        <x:v>article1-unified-v4-2-fb3f101b-20260903-000401-default-f01-p6-jcs4</x:v>
      </x:c>
      <x:c r="B96" s="24" t="str">
        <x:v>jcs4</x:v>
      </x:c>
      <x:c r="C96" s="36" t="n">
        <x:v>1</x:v>
      </x:c>
      <x:c r="D96" s="36" t="n">
        <x:v>1</x:v>
      </x:c>
      <x:c r="E96" s="36" t="n">
        <x:v>4</x:v>
      </x:c>
      <x:c r="F96" s="24" t="str">
        <x:v>redeploy</x:v>
      </x:c>
      <x:c r="G96" s="36" t="n">
        <x:v>0</x:v>
      </x:c>
      <x:c r="H96" s="36" t="n">
        <x:v>0</x:v>
      </x:c>
      <x:c r="I96" s="36" t="n">
        <x:v>0</x:v>
      </x:c>
      <x:c r="J96" s="36" t="n">
        <x:v>1</x:v>
      </x:c>
      <x:c r="K96" s="45" t="b">
        <x:v>1</x:v>
      </x:c>
      <x:c r="L96" s="45" t="b">
        <x:v>1</x:v>
      </x:c>
    </x:row>
    <x:row r="97">
      <x:c r="A97" s="24" t="str">
        <x:v>article1-unified-v4-2-fb3f101b-20260903-000401-default-f01-p6-jcs4</x:v>
      </x:c>
      <x:c r="B97" s="24" t="str">
        <x:v>jcs4</x:v>
      </x:c>
      <x:c r="C97" s="36" t="n">
        <x:v>1</x:v>
      </x:c>
      <x:c r="D97" s="36" t="n">
        <x:v>1</x:v>
      </x:c>
      <x:c r="E97" s="36" t="n">
        <x:v>5</x:v>
      </x:c>
      <x:c r="F97" s="24" t="str">
        <x:v>initial</x:v>
      </x:c>
      <x:c r="G97" s="36" t="n">
        <x:v>0</x:v>
      </x:c>
      <x:c r="H97" s="36" t="n">
        <x:v>0</x:v>
      </x:c>
      <x:c r="I97" s="36" t="n">
        <x:v>0</x:v>
      </x:c>
      <x:c r="J97" s="36" t="n">
        <x:v>1</x:v>
      </x:c>
      <x:c r="K97" s="45" t="b">
        <x:v>1</x:v>
      </x:c>
      <x:c r="L97" s="45" t="b">
        <x:v>1</x:v>
      </x:c>
    </x:row>
    <x:row r="98">
      <x:c r="A98" s="24" t="str">
        <x:v>article1-unified-v4-2-fb3f101b-20260903-000401-default-f01-p6-jcs4</x:v>
      </x:c>
      <x:c r="B98" s="24" t="str">
        <x:v>jcs4</x:v>
      </x:c>
      <x:c r="C98" s="36" t="n">
        <x:v>1</x:v>
      </x:c>
      <x:c r="D98" s="36" t="n">
        <x:v>1</x:v>
      </x:c>
      <x:c r="E98" s="36" t="n">
        <x:v>5</x:v>
      </x:c>
      <x:c r="F98" s="24" t="str">
        <x:v>redeploy</x:v>
      </x:c>
      <x:c r="G98" s="36" t="n">
        <x:v>0</x:v>
      </x:c>
      <x:c r="H98" s="36" t="n">
        <x:v>0</x:v>
      </x:c>
      <x:c r="I98" s="36" t="n">
        <x:v>0</x:v>
      </x:c>
      <x:c r="J98" s="36" t="n">
        <x:v>1</x:v>
      </x:c>
      <x:c r="K98" s="45" t="b">
        <x:v>1</x:v>
      </x:c>
      <x:c r="L98" s="45" t="b">
        <x:v>1</x:v>
      </x:c>
    </x:row>
    <x:row r="99">
      <x:c r="A99" s="24" t="str">
        <x:v>article1-unified-v4-2-fb3f101b-20260903-000401-default-f02-p4-jcs4</x:v>
      </x:c>
      <x:c r="B99" s="24" t="str">
        <x:v>jcs4</x:v>
      </x:c>
      <x:c r="C99" s="36" t="n">
        <x:v>2</x:v>
      </x:c>
      <x:c r="D99" s="36" t="n">
        <x:v>2</x:v>
      </x:c>
      <x:c r="E99" s="36" t="n">
        <x:v>1</x:v>
      </x:c>
      <x:c r="F99" s="24" t="str">
        <x:v>initial</x:v>
      </x:c>
      <x:c r="G99" s="36" t="n">
        <x:v>0</x:v>
      </x:c>
      <x:c r="H99" s="36" t="n">
        <x:v>0</x:v>
      </x:c>
      <x:c r="I99" s="36" t="n">
        <x:v>0</x:v>
      </x:c>
      <x:c r="J99" s="36" t="n">
        <x:v>1</x:v>
      </x:c>
      <x:c r="K99" s="45" t="b">
        <x:v>1</x:v>
      </x:c>
      <x:c r="L99" s="45" t="b">
        <x:v>1</x:v>
      </x:c>
    </x:row>
    <x:row r="100">
      <x:c r="A100" s="24" t="str">
        <x:v>article1-unified-v4-2-fb3f101b-20260903-000401-default-f02-p4-jcs4</x:v>
      </x:c>
      <x:c r="B100" s="24" t="str">
        <x:v>jcs4</x:v>
      </x:c>
      <x:c r="C100" s="36" t="n">
        <x:v>2</x:v>
      </x:c>
      <x:c r="D100" s="36" t="n">
        <x:v>2</x:v>
      </x:c>
      <x:c r="E100" s="36" t="n">
        <x:v>1</x:v>
      </x:c>
      <x:c r="F100" s="24" t="str">
        <x:v>redeploy</x:v>
      </x:c>
      <x:c r="G100" s="36" t="n">
        <x:v>0</x:v>
      </x:c>
      <x:c r="H100" s="36" t="n">
        <x:v>0</x:v>
      </x:c>
      <x:c r="I100" s="36" t="n">
        <x:v>0</x:v>
      </x:c>
      <x:c r="J100" s="36" t="n">
        <x:v>2</x:v>
      </x:c>
      <x:c r="K100" s="45" t="b">
        <x:v>1</x:v>
      </x:c>
      <x:c r="L100" s="45" t="b">
        <x:v>1</x:v>
      </x:c>
    </x:row>
    <x:row r="101">
      <x:c r="A101" s="24" t="str">
        <x:v>article1-unified-v4-2-fb3f101b-20260903-000401-default-f02-p4-jcs4</x:v>
      </x:c>
      <x:c r="B101" s="24" t="str">
        <x:v>jcs4</x:v>
      </x:c>
      <x:c r="C101" s="36" t="n">
        <x:v>2</x:v>
      </x:c>
      <x:c r="D101" s="36" t="n">
        <x:v>2</x:v>
      </x:c>
      <x:c r="E101" s="36" t="n">
        <x:v>2</x:v>
      </x:c>
      <x:c r="F101" s="24" t="str">
        <x:v>initial</x:v>
      </x:c>
      <x:c r="G101" s="36" t="n">
        <x:v>0</x:v>
      </x:c>
      <x:c r="H101" s="36" t="n">
        <x:v>0</x:v>
      </x:c>
      <x:c r="I101" s="36" t="n">
        <x:v>0</x:v>
      </x:c>
      <x:c r="J101" s="36" t="n">
        <x:v>1</x:v>
      </x:c>
      <x:c r="K101" s="45" t="b">
        <x:v>1</x:v>
      </x:c>
      <x:c r="L101" s="45" t="b">
        <x:v>1</x:v>
      </x:c>
    </x:row>
    <x:row r="102">
      <x:c r="A102" s="24" t="str">
        <x:v>article1-unified-v4-2-fb3f101b-20260903-000401-default-f02-p4-jcs4</x:v>
      </x:c>
      <x:c r="B102" s="24" t="str">
        <x:v>jcs4</x:v>
      </x:c>
      <x:c r="C102" s="36" t="n">
        <x:v>2</x:v>
      </x:c>
      <x:c r="D102" s="36" t="n">
        <x:v>2</x:v>
      </x:c>
      <x:c r="E102" s="36" t="n">
        <x:v>2</x:v>
      </x:c>
      <x:c r="F102" s="24" t="str">
        <x:v>redeploy</x:v>
      </x:c>
      <x:c r="G102" s="36" t="n">
        <x:v>0</x:v>
      </x:c>
      <x:c r="H102" s="36" t="n">
        <x:v>0</x:v>
      </x:c>
      <x:c r="I102" s="36" t="n">
        <x:v>0</x:v>
      </x:c>
      <x:c r="J102" s="36" t="n">
        <x:v>1</x:v>
      </x:c>
      <x:c r="K102" s="45" t="b">
        <x:v>1</x:v>
      </x:c>
      <x:c r="L102" s="45" t="b">
        <x:v>1</x:v>
      </x:c>
    </x:row>
    <x:row r="103">
      <x:c r="A103" s="24" t="str">
        <x:v>article1-unified-v4-2-fb3f101b-20260903-000401-default-f02-p4-jcs4</x:v>
      </x:c>
      <x:c r="B103" s="24" t="str">
        <x:v>jcs4</x:v>
      </x:c>
      <x:c r="C103" s="36" t="n">
        <x:v>2</x:v>
      </x:c>
      <x:c r="D103" s="36" t="n">
        <x:v>2</x:v>
      </x:c>
      <x:c r="E103" s="36" t="n">
        <x:v>3</x:v>
      </x:c>
      <x:c r="F103" s="24" t="str">
        <x:v>initial</x:v>
      </x:c>
      <x:c r="G103" s="36" t="n">
        <x:v>0</x:v>
      </x:c>
      <x:c r="H103" s="36" t="n">
        <x:v>0</x:v>
      </x:c>
      <x:c r="I103" s="36" t="n">
        <x:v>0</x:v>
      </x:c>
      <x:c r="J103" s="36" t="n">
        <x:v>1</x:v>
      </x:c>
      <x:c r="K103" s="45" t="b">
        <x:v>1</x:v>
      </x:c>
      <x:c r="L103" s="45" t="b">
        <x:v>1</x:v>
      </x:c>
    </x:row>
    <x:row r="104">
      <x:c r="A104" s="24" t="str">
        <x:v>article1-unified-v4-2-fb3f101b-20260903-000401-default-f02-p4-jcs4</x:v>
      </x:c>
      <x:c r="B104" s="24" t="str">
        <x:v>jcs4</x:v>
      </x:c>
      <x:c r="C104" s="36" t="n">
        <x:v>2</x:v>
      </x:c>
      <x:c r="D104" s="36" t="n">
        <x:v>2</x:v>
      </x:c>
      <x:c r="E104" s="36" t="n">
        <x:v>3</x:v>
      </x:c>
      <x:c r="F104" s="24" t="str">
        <x:v>redeploy</x:v>
      </x:c>
      <x:c r="G104" s="36" t="n">
        <x:v>0</x:v>
      </x:c>
      <x:c r="H104" s="36" t="n">
        <x:v>0</x:v>
      </x:c>
      <x:c r="I104" s="36" t="n">
        <x:v>0</x:v>
      </x:c>
      <x:c r="J104" s="36" t="n">
        <x:v>1</x:v>
      </x:c>
      <x:c r="K104" s="45" t="b">
        <x:v>1</x:v>
      </x:c>
      <x:c r="L104" s="45" t="b">
        <x:v>1</x:v>
      </x:c>
    </x:row>
    <x:row r="105">
      <x:c r="A105" s="24" t="str">
        <x:v>article1-unified-v4-2-fb3f101b-20260903-000401-default-f02-p4-jcs4</x:v>
      </x:c>
      <x:c r="B105" s="24" t="str">
        <x:v>jcs4</x:v>
      </x:c>
      <x:c r="C105" s="36" t="n">
        <x:v>2</x:v>
      </x:c>
      <x:c r="D105" s="36" t="n">
        <x:v>2</x:v>
      </x:c>
      <x:c r="E105" s="36" t="n">
        <x:v>4</x:v>
      </x:c>
      <x:c r="F105" s="24" t="str">
        <x:v>initial</x:v>
      </x:c>
      <x:c r="G105" s="36" t="n">
        <x:v>0</x:v>
      </x:c>
      <x:c r="H105" s="36" t="n">
        <x:v>0</x:v>
      </x:c>
      <x:c r="I105" s="36" t="n">
        <x:v>0</x:v>
      </x:c>
      <x:c r="J105" s="36" t="n">
        <x:v>1</x:v>
      </x:c>
      <x:c r="K105" s="45" t="b">
        <x:v>1</x:v>
      </x:c>
      <x:c r="L105" s="45" t="b">
        <x:v>1</x:v>
      </x:c>
    </x:row>
    <x:row r="106">
      <x:c r="A106" s="24" t="str">
        <x:v>article1-unified-v4-2-fb3f101b-20260903-000401-default-f02-p4-jcs4</x:v>
      </x:c>
      <x:c r="B106" s="24" t="str">
        <x:v>jcs4</x:v>
      </x:c>
      <x:c r="C106" s="36" t="n">
        <x:v>2</x:v>
      </x:c>
      <x:c r="D106" s="36" t="n">
        <x:v>2</x:v>
      </x:c>
      <x:c r="E106" s="36" t="n">
        <x:v>4</x:v>
      </x:c>
      <x:c r="F106" s="24" t="str">
        <x:v>redeploy</x:v>
      </x:c>
      <x:c r="G106" s="36" t="n">
        <x:v>0</x:v>
      </x:c>
      <x:c r="H106" s="36" t="n">
        <x:v>0</x:v>
      </x:c>
      <x:c r="I106" s="36" t="n">
        <x:v>0</x:v>
      </x:c>
      <x:c r="J106" s="36" t="n">
        <x:v>1</x:v>
      </x:c>
      <x:c r="K106" s="45" t="b">
        <x:v>1</x:v>
      </x:c>
      <x:c r="L106" s="45" t="b">
        <x:v>1</x:v>
      </x:c>
    </x:row>
    <x:row r="107">
      <x:c r="A107" s="24" t="str">
        <x:v>article1-unified-v4-2-fb3f101b-20260903-000401-default-f02-p4-jcs4</x:v>
      </x:c>
      <x:c r="B107" s="24" t="str">
        <x:v>jcs4</x:v>
      </x:c>
      <x:c r="C107" s="36" t="n">
        <x:v>2</x:v>
      </x:c>
      <x:c r="D107" s="36" t="n">
        <x:v>2</x:v>
      </x:c>
      <x:c r="E107" s="36" t="n">
        <x:v>5</x:v>
      </x:c>
      <x:c r="F107" s="24" t="str">
        <x:v>initial</x:v>
      </x:c>
      <x:c r="G107" s="36" t="n">
        <x:v>0</x:v>
      </x:c>
      <x:c r="H107" s="36" t="n">
        <x:v>0</x:v>
      </x:c>
      <x:c r="I107" s="36" t="n">
        <x:v>0</x:v>
      </x:c>
      <x:c r="J107" s="36" t="n">
        <x:v>1</x:v>
      </x:c>
      <x:c r="K107" s="45" t="b">
        <x:v>1</x:v>
      </x:c>
      <x:c r="L107" s="45" t="b">
        <x:v>1</x:v>
      </x:c>
    </x:row>
    <x:row r="108">
      <x:c r="A108" s="24" t="str">
        <x:v>article1-unified-v4-2-fb3f101b-20260903-000401-default-f02-p4-jcs4</x:v>
      </x:c>
      <x:c r="B108" s="24" t="str">
        <x:v>jcs4</x:v>
      </x:c>
      <x:c r="C108" s="36" t="n">
        <x:v>2</x:v>
      </x:c>
      <x:c r="D108" s="36" t="n">
        <x:v>2</x:v>
      </x:c>
      <x:c r="E108" s="36" t="n">
        <x:v>5</x:v>
      </x:c>
      <x:c r="F108" s="24" t="str">
        <x:v>redeploy</x:v>
      </x:c>
      <x:c r="G108" s="36" t="n">
        <x:v>0</x:v>
      </x:c>
      <x:c r="H108" s="36" t="n">
        <x:v>0</x:v>
      </x:c>
      <x:c r="I108" s="36" t="n">
        <x:v>0</x:v>
      </x:c>
      <x:c r="J108" s="36" t="n">
        <x:v>1</x:v>
      </x:c>
      <x:c r="K108" s="45" t="b">
        <x:v>1</x:v>
      </x:c>
      <x:c r="L108" s="45" t="b">
        <x:v>1</x:v>
      </x:c>
    </x:row>
    <x:row r="109">
      <x:c r="A109" s="24" t="str">
        <x:v>article1-unified-v4-2-fb3f101b-20260903-000401-default-f03-p2-jcs4</x:v>
      </x:c>
      <x:c r="B109" s="24" t="str">
        <x:v>jcs4</x:v>
      </x:c>
      <x:c r="C109" s="36" t="n">
        <x:v>3</x:v>
      </x:c>
      <x:c r="D109" s="36" t="n">
        <x:v>3</x:v>
      </x:c>
      <x:c r="E109" s="36" t="n">
        <x:v>1</x:v>
      </x:c>
      <x:c r="F109" s="24" t="str">
        <x:v>initial</x:v>
      </x:c>
      <x:c r="G109" s="36" t="n">
        <x:v>0</x:v>
      </x:c>
      <x:c r="H109" s="36" t="n">
        <x:v>0</x:v>
      </x:c>
      <x:c r="I109" s="36" t="n">
        <x:v>0</x:v>
      </x:c>
      <x:c r="J109" s="36" t="n">
        <x:v>1</x:v>
      </x:c>
      <x:c r="K109" s="45" t="b">
        <x:v>1</x:v>
      </x:c>
      <x:c r="L109" s="45" t="b">
        <x:v>1</x:v>
      </x:c>
    </x:row>
    <x:row r="110">
      <x:c r="A110" s="24" t="str">
        <x:v>article1-unified-v4-2-fb3f101b-20260903-000401-default-f03-p2-jcs4</x:v>
      </x:c>
      <x:c r="B110" s="24" t="str">
        <x:v>jcs4</x:v>
      </x:c>
      <x:c r="C110" s="36" t="n">
        <x:v>3</x:v>
      </x:c>
      <x:c r="D110" s="36" t="n">
        <x:v>3</x:v>
      </x:c>
      <x:c r="E110" s="36" t="n">
        <x:v>1</x:v>
      </x:c>
      <x:c r="F110" s="24" t="str">
        <x:v>redeploy</x:v>
      </x:c>
      <x:c r="G110" s="36" t="n">
        <x:v>0</x:v>
      </x:c>
      <x:c r="H110" s="36" t="n">
        <x:v>0</x:v>
      </x:c>
      <x:c r="I110" s="36" t="n">
        <x:v>0</x:v>
      </x:c>
      <x:c r="J110" s="36" t="n">
        <x:v>1</x:v>
      </x:c>
      <x:c r="K110" s="45" t="b">
        <x:v>1</x:v>
      </x:c>
      <x:c r="L110" s="45" t="b">
        <x:v>1</x:v>
      </x:c>
    </x:row>
    <x:row r="111">
      <x:c r="A111" s="24" t="str">
        <x:v>article1-unified-v4-2-fb3f101b-20260903-000401-default-f03-p2-jcs4</x:v>
      </x:c>
      <x:c r="B111" s="24" t="str">
        <x:v>jcs4</x:v>
      </x:c>
      <x:c r="C111" s="36" t="n">
        <x:v>3</x:v>
      </x:c>
      <x:c r="D111" s="36" t="n">
        <x:v>3</x:v>
      </x:c>
      <x:c r="E111" s="36" t="n">
        <x:v>2</x:v>
      </x:c>
      <x:c r="F111" s="24" t="str">
        <x:v>initial</x:v>
      </x:c>
      <x:c r="G111" s="36" t="n">
        <x:v>0</x:v>
      </x:c>
      <x:c r="H111" s="36" t="n">
        <x:v>0</x:v>
      </x:c>
      <x:c r="I111" s="36" t="n">
        <x:v>0</x:v>
      </x:c>
      <x:c r="J111" s="36" t="n">
        <x:v>1</x:v>
      </x:c>
      <x:c r="K111" s="45" t="b">
        <x:v>1</x:v>
      </x:c>
      <x:c r="L111" s="45" t="b">
        <x:v>1</x:v>
      </x:c>
    </x:row>
    <x:row r="112">
      <x:c r="A112" s="24" t="str">
        <x:v>article1-unified-v4-2-fb3f101b-20260903-000401-default-f03-p2-jcs4</x:v>
      </x:c>
      <x:c r="B112" s="24" t="str">
        <x:v>jcs4</x:v>
      </x:c>
      <x:c r="C112" s="36" t="n">
        <x:v>3</x:v>
      </x:c>
      <x:c r="D112" s="36" t="n">
        <x:v>3</x:v>
      </x:c>
      <x:c r="E112" s="36" t="n">
        <x:v>2</x:v>
      </x:c>
      <x:c r="F112" s="24" t="str">
        <x:v>redeploy</x:v>
      </x:c>
      <x:c r="G112" s="36" t="n">
        <x:v>0</x:v>
      </x:c>
      <x:c r="H112" s="36" t="n">
        <x:v>0</x:v>
      </x:c>
      <x:c r="I112" s="36" t="n">
        <x:v>0</x:v>
      </x:c>
      <x:c r="J112" s="36" t="n">
        <x:v>1</x:v>
      </x:c>
      <x:c r="K112" s="45" t="b">
        <x:v>1</x:v>
      </x:c>
      <x:c r="L112" s="45" t="b">
        <x:v>1</x:v>
      </x:c>
    </x:row>
    <x:row r="113">
      <x:c r="A113" s="24" t="str">
        <x:v>article1-unified-v4-2-fb3f101b-20260903-000401-default-f03-p2-jcs4</x:v>
      </x:c>
      <x:c r="B113" s="24" t="str">
        <x:v>jcs4</x:v>
      </x:c>
      <x:c r="C113" s="36" t="n">
        <x:v>3</x:v>
      </x:c>
      <x:c r="D113" s="36" t="n">
        <x:v>3</x:v>
      </x:c>
      <x:c r="E113" s="36" t="n">
        <x:v>3</x:v>
      </x:c>
      <x:c r="F113" s="24" t="str">
        <x:v>initial</x:v>
      </x:c>
      <x:c r="G113" s="36" t="n">
        <x:v>0</x:v>
      </x:c>
      <x:c r="H113" s="36" t="n">
        <x:v>0</x:v>
      </x:c>
      <x:c r="I113" s="36" t="n">
        <x:v>0</x:v>
      </x:c>
      <x:c r="J113" s="36" t="n">
        <x:v>1</x:v>
      </x:c>
      <x:c r="K113" s="45" t="b">
        <x:v>1</x:v>
      </x:c>
      <x:c r="L113" s="45" t="b">
        <x:v>1</x:v>
      </x:c>
    </x:row>
    <x:row r="114">
      <x:c r="A114" s="24" t="str">
        <x:v>article1-unified-v4-2-fb3f101b-20260903-000401-default-f03-p2-jcs4</x:v>
      </x:c>
      <x:c r="B114" s="24" t="str">
        <x:v>jcs4</x:v>
      </x:c>
      <x:c r="C114" s="36" t="n">
        <x:v>3</x:v>
      </x:c>
      <x:c r="D114" s="36" t="n">
        <x:v>3</x:v>
      </x:c>
      <x:c r="E114" s="36" t="n">
        <x:v>3</x:v>
      </x:c>
      <x:c r="F114" s="24" t="str">
        <x:v>redeploy</x:v>
      </x:c>
      <x:c r="G114" s="36" t="n">
        <x:v>0</x:v>
      </x:c>
      <x:c r="H114" s="36" t="n">
        <x:v>0</x:v>
      </x:c>
      <x:c r="I114" s="36" t="n">
        <x:v>0</x:v>
      </x:c>
      <x:c r="J114" s="36" t="n">
        <x:v>1</x:v>
      </x:c>
      <x:c r="K114" s="45" t="b">
        <x:v>1</x:v>
      </x:c>
      <x:c r="L114" s="45" t="b">
        <x:v>1</x:v>
      </x:c>
    </x:row>
    <x:row r="115">
      <x:c r="A115" s="24" t="str">
        <x:v>article1-unified-v4-2-fb3f101b-20260903-000401-default-f03-p2-jcs4</x:v>
      </x:c>
      <x:c r="B115" s="24" t="str">
        <x:v>jcs4</x:v>
      </x:c>
      <x:c r="C115" s="36" t="n">
        <x:v>3</x:v>
      </x:c>
      <x:c r="D115" s="36" t="n">
        <x:v>3</x:v>
      </x:c>
      <x:c r="E115" s="36" t="n">
        <x:v>4</x:v>
      </x:c>
      <x:c r="F115" s="24" t="str">
        <x:v>initial</x:v>
      </x:c>
      <x:c r="G115" s="36" t="n">
        <x:v>0</x:v>
      </x:c>
      <x:c r="H115" s="36" t="n">
        <x:v>0</x:v>
      </x:c>
      <x:c r="I115" s="36" t="n">
        <x:v>0</x:v>
      </x:c>
      <x:c r="J115" s="36" t="n">
        <x:v>1</x:v>
      </x:c>
      <x:c r="K115" s="45" t="b">
        <x:v>1</x:v>
      </x:c>
      <x:c r="L115" s="45" t="b">
        <x:v>1</x:v>
      </x:c>
    </x:row>
    <x:row r="116">
      <x:c r="A116" s="24" t="str">
        <x:v>article1-unified-v4-2-fb3f101b-20260903-000401-default-f03-p2-jcs4</x:v>
      </x:c>
      <x:c r="B116" s="24" t="str">
        <x:v>jcs4</x:v>
      </x:c>
      <x:c r="C116" s="36" t="n">
        <x:v>3</x:v>
      </x:c>
      <x:c r="D116" s="36" t="n">
        <x:v>3</x:v>
      </x:c>
      <x:c r="E116" s="36" t="n">
        <x:v>4</x:v>
      </x:c>
      <x:c r="F116" s="24" t="str">
        <x:v>redeploy</x:v>
      </x:c>
      <x:c r="G116" s="36" t="n">
        <x:v>0</x:v>
      </x:c>
      <x:c r="H116" s="36" t="n">
        <x:v>0</x:v>
      </x:c>
      <x:c r="I116" s="36" t="n">
        <x:v>0</x:v>
      </x:c>
      <x:c r="J116" s="36" t="n">
        <x:v>1</x:v>
      </x:c>
      <x:c r="K116" s="45" t="b">
        <x:v>1</x:v>
      </x:c>
      <x:c r="L116" s="45" t="b">
        <x:v>1</x:v>
      </x:c>
    </x:row>
    <x:row r="117">
      <x:c r="A117" s="24" t="str">
        <x:v>article1-unified-v4-2-fb3f101b-20260903-000401-default-f03-p2-jcs4</x:v>
      </x:c>
      <x:c r="B117" s="24" t="str">
        <x:v>jcs4</x:v>
      </x:c>
      <x:c r="C117" s="36" t="n">
        <x:v>3</x:v>
      </x:c>
      <x:c r="D117" s="36" t="n">
        <x:v>3</x:v>
      </x:c>
      <x:c r="E117" s="36" t="n">
        <x:v>5</x:v>
      </x:c>
      <x:c r="F117" s="24" t="str">
        <x:v>initial</x:v>
      </x:c>
      <x:c r="G117" s="36" t="n">
        <x:v>0</x:v>
      </x:c>
      <x:c r="H117" s="36" t="n">
        <x:v>0</x:v>
      </x:c>
      <x:c r="I117" s="36" t="n">
        <x:v>0</x:v>
      </x:c>
      <x:c r="J117" s="36" t="n">
        <x:v>1</x:v>
      </x:c>
      <x:c r="K117" s="45" t="b">
        <x:v>1</x:v>
      </x:c>
      <x:c r="L117" s="45" t="b">
        <x:v>1</x:v>
      </x:c>
    </x:row>
    <x:row r="118">
      <x:c r="A118" s="24" t="str">
        <x:v>article1-unified-v4-2-fb3f101b-20260903-000401-default-f03-p2-jcs4</x:v>
      </x:c>
      <x:c r="B118" s="24" t="str">
        <x:v>jcs4</x:v>
      </x:c>
      <x:c r="C118" s="36" t="n">
        <x:v>3</x:v>
      </x:c>
      <x:c r="D118" s="36" t="n">
        <x:v>3</x:v>
      </x:c>
      <x:c r="E118" s="36" t="n">
        <x:v>5</x:v>
      </x:c>
      <x:c r="F118" s="24" t="str">
        <x:v>redeploy</x:v>
      </x:c>
      <x:c r="G118" s="36" t="n">
        <x:v>0</x:v>
      </x:c>
      <x:c r="H118" s="36" t="n">
        <x:v>0</x:v>
      </x:c>
      <x:c r="I118" s="36" t="n">
        <x:v>0</x:v>
      </x:c>
      <x:c r="J118" s="36" t="n">
        <x:v>1</x:v>
      </x:c>
      <x:c r="K118" s="45" t="b">
        <x:v>1</x:v>
      </x:c>
      <x:c r="L118" s="45" t="b">
        <x:v>1</x:v>
      </x:c>
    </x:row>
    <x:row r="119">
      <x:c r="A119" s="24" t="str">
        <x:v>article1-unified-v4-2-fb3f101b-20260903-000401-default-f04-p1-jcs4</x:v>
      </x:c>
      <x:c r="B119" s="24" t="str">
        <x:v>jcs4</x:v>
      </x:c>
      <x:c r="C119" s="36" t="n">
        <x:v>4</x:v>
      </x:c>
      <x:c r="D119" s="36" t="n">
        <x:v>4</x:v>
      </x:c>
      <x:c r="E119" s="36" t="n">
        <x:v>1</x:v>
      </x:c>
      <x:c r="F119" s="24" t="str">
        <x:v>initial</x:v>
      </x:c>
      <x:c r="G119" s="36" t="n">
        <x:v>0</x:v>
      </x:c>
      <x:c r="H119" s="36" t="n">
        <x:v>0</x:v>
      </x:c>
      <x:c r="I119" s="36" t="n">
        <x:v>0</x:v>
      </x:c>
      <x:c r="J119" s="36" t="n">
        <x:v>1</x:v>
      </x:c>
      <x:c r="K119" s="45" t="b">
        <x:v>1</x:v>
      </x:c>
      <x:c r="L119" s="45" t="b">
        <x:v>1</x:v>
      </x:c>
    </x:row>
    <x:row r="120">
      <x:c r="A120" s="24" t="str">
        <x:v>article1-unified-v4-2-fb3f101b-20260903-000401-default-f04-p1-jcs4</x:v>
      </x:c>
      <x:c r="B120" s="24" t="str">
        <x:v>jcs4</x:v>
      </x:c>
      <x:c r="C120" s="36" t="n">
        <x:v>4</x:v>
      </x:c>
      <x:c r="D120" s="36" t="n">
        <x:v>4</x:v>
      </x:c>
      <x:c r="E120" s="36" t="n">
        <x:v>1</x:v>
      </x:c>
      <x:c r="F120" s="24" t="str">
        <x:v>redeploy</x:v>
      </x:c>
      <x:c r="G120" s="36" t="n">
        <x:v>0</x:v>
      </x:c>
      <x:c r="H120" s="36" t="n">
        <x:v>0</x:v>
      </x:c>
      <x:c r="I120" s="36" t="n">
        <x:v>0</x:v>
      </x:c>
      <x:c r="J120" s="36" t="n">
        <x:v>1</x:v>
      </x:c>
      <x:c r="K120" s="45" t="b">
        <x:v>1</x:v>
      </x:c>
      <x:c r="L120" s="45" t="b">
        <x:v>1</x:v>
      </x:c>
    </x:row>
    <x:row r="121">
      <x:c r="A121" s="24" t="str">
        <x:v>article1-unified-v4-2-fb3f101b-20260903-000401-default-f04-p1-jcs4</x:v>
      </x:c>
      <x:c r="B121" s="24" t="str">
        <x:v>jcs4</x:v>
      </x:c>
      <x:c r="C121" s="36" t="n">
        <x:v>4</x:v>
      </x:c>
      <x:c r="D121" s="36" t="n">
        <x:v>4</x:v>
      </x:c>
      <x:c r="E121" s="36" t="n">
        <x:v>2</x:v>
      </x:c>
      <x:c r="F121" s="24" t="str">
        <x:v>initial</x:v>
      </x:c>
      <x:c r="G121" s="36" t="n">
        <x:v>0</x:v>
      </x:c>
      <x:c r="H121" s="36" t="n">
        <x:v>0</x:v>
      </x:c>
      <x:c r="I121" s="36" t="n">
        <x:v>0</x:v>
      </x:c>
      <x:c r="J121" s="36" t="n">
        <x:v>1</x:v>
      </x:c>
      <x:c r="K121" s="45" t="b">
        <x:v>1</x:v>
      </x:c>
      <x:c r="L121" s="45" t="b">
        <x:v>1</x:v>
      </x:c>
    </x:row>
    <x:row r="122">
      <x:c r="A122" s="24" t="str">
        <x:v>article1-unified-v4-2-fb3f101b-20260903-000401-default-f04-p1-jcs4</x:v>
      </x:c>
      <x:c r="B122" s="24" t="str">
        <x:v>jcs4</x:v>
      </x:c>
      <x:c r="C122" s="36" t="n">
        <x:v>4</x:v>
      </x:c>
      <x:c r="D122" s="36" t="n">
        <x:v>4</x:v>
      </x:c>
      <x:c r="E122" s="36" t="n">
        <x:v>2</x:v>
      </x:c>
      <x:c r="F122" s="24" t="str">
        <x:v>redeploy</x:v>
      </x:c>
      <x:c r="G122" s="36" t="n">
        <x:v>0</x:v>
      </x:c>
      <x:c r="H122" s="36" t="n">
        <x:v>0</x:v>
      </x:c>
      <x:c r="I122" s="36" t="n">
        <x:v>0</x:v>
      </x:c>
      <x:c r="J122" s="36" t="n">
        <x:v>1</x:v>
      </x:c>
      <x:c r="K122" s="45" t="b">
        <x:v>1</x:v>
      </x:c>
      <x:c r="L122" s="45" t="b">
        <x:v>1</x:v>
      </x:c>
    </x:row>
    <x:row r="123">
      <x:c r="A123" s="24" t="str">
        <x:v>article1-unified-v4-2-fb3f101b-20260903-000401-default-f04-p1-jcs4</x:v>
      </x:c>
      <x:c r="B123" s="24" t="str">
        <x:v>jcs4</x:v>
      </x:c>
      <x:c r="C123" s="36" t="n">
        <x:v>4</x:v>
      </x:c>
      <x:c r="D123" s="36" t="n">
        <x:v>4</x:v>
      </x:c>
      <x:c r="E123" s="36" t="n">
        <x:v>3</x:v>
      </x:c>
      <x:c r="F123" s="24" t="str">
        <x:v>initial</x:v>
      </x:c>
      <x:c r="G123" s="36" t="n">
        <x:v>0</x:v>
      </x:c>
      <x:c r="H123" s="36" t="n">
        <x:v>0</x:v>
      </x:c>
      <x:c r="I123" s="36" t="n">
        <x:v>0</x:v>
      </x:c>
      <x:c r="J123" s="36" t="n">
        <x:v>1</x:v>
      </x:c>
      <x:c r="K123" s="45" t="b">
        <x:v>1</x:v>
      </x:c>
      <x:c r="L123" s="45" t="b">
        <x:v>1</x:v>
      </x:c>
    </x:row>
    <x:row r="124">
      <x:c r="A124" s="24" t="str">
        <x:v>article1-unified-v4-2-fb3f101b-20260903-000401-default-f04-p1-jcs4</x:v>
      </x:c>
      <x:c r="B124" s="24" t="str">
        <x:v>jcs4</x:v>
      </x:c>
      <x:c r="C124" s="36" t="n">
        <x:v>4</x:v>
      </x:c>
      <x:c r="D124" s="36" t="n">
        <x:v>4</x:v>
      </x:c>
      <x:c r="E124" s="36" t="n">
        <x:v>3</x:v>
      </x:c>
      <x:c r="F124" s="24" t="str">
        <x:v>redeploy</x:v>
      </x:c>
      <x:c r="G124" s="36" t="n">
        <x:v>0</x:v>
      </x:c>
      <x:c r="H124" s="36" t="n">
        <x:v>0</x:v>
      </x:c>
      <x:c r="I124" s="36" t="n">
        <x:v>0</x:v>
      </x:c>
      <x:c r="J124" s="36" t="n">
        <x:v>1</x:v>
      </x:c>
      <x:c r="K124" s="45" t="b">
        <x:v>1</x:v>
      </x:c>
      <x:c r="L124" s="45" t="b">
        <x:v>1</x:v>
      </x:c>
    </x:row>
    <x:row r="125">
      <x:c r="A125" s="24" t="str">
        <x:v>article1-unified-v4-2-fb3f101b-20260903-000401-default-f04-p1-jcs4</x:v>
      </x:c>
      <x:c r="B125" s="24" t="str">
        <x:v>jcs4</x:v>
      </x:c>
      <x:c r="C125" s="36" t="n">
        <x:v>4</x:v>
      </x:c>
      <x:c r="D125" s="36" t="n">
        <x:v>4</x:v>
      </x:c>
      <x:c r="E125" s="36" t="n">
        <x:v>4</x:v>
      </x:c>
      <x:c r="F125" s="24" t="str">
        <x:v>initial</x:v>
      </x:c>
      <x:c r="G125" s="36" t="n">
        <x:v>0</x:v>
      </x:c>
      <x:c r="H125" s="36" t="n">
        <x:v>0</x:v>
      </x:c>
      <x:c r="I125" s="36" t="n">
        <x:v>0</x:v>
      </x:c>
      <x:c r="J125" s="36" t="n">
        <x:v>1</x:v>
      </x:c>
      <x:c r="K125" s="45" t="b">
        <x:v>1</x:v>
      </x:c>
      <x:c r="L125" s="45" t="b">
        <x:v>1</x:v>
      </x:c>
    </x:row>
    <x:row r="126">
      <x:c r="A126" s="24" t="str">
        <x:v>article1-unified-v4-2-fb3f101b-20260903-000401-default-f04-p1-jcs4</x:v>
      </x:c>
      <x:c r="B126" s="24" t="str">
        <x:v>jcs4</x:v>
      </x:c>
      <x:c r="C126" s="36" t="n">
        <x:v>4</x:v>
      </x:c>
      <x:c r="D126" s="36" t="n">
        <x:v>4</x:v>
      </x:c>
      <x:c r="E126" s="36" t="n">
        <x:v>4</x:v>
      </x:c>
      <x:c r="F126" s="24" t="str">
        <x:v>redeploy</x:v>
      </x:c>
      <x:c r="G126" s="36" t="n">
        <x:v>0</x:v>
      </x:c>
      <x:c r="H126" s="36" t="n">
        <x:v>0</x:v>
      </x:c>
      <x:c r="I126" s="36" t="n">
        <x:v>0</x:v>
      </x:c>
      <x:c r="J126" s="36" t="n">
        <x:v>1</x:v>
      </x:c>
      <x:c r="K126" s="45" t="b">
        <x:v>1</x:v>
      </x:c>
      <x:c r="L126" s="45" t="b">
        <x:v>1</x:v>
      </x:c>
    </x:row>
    <x:row r="127">
      <x:c r="A127" s="24" t="str">
        <x:v>article1-unified-v4-2-fb3f101b-20260903-000401-default-f04-p1-jcs4</x:v>
      </x:c>
      <x:c r="B127" s="24" t="str">
        <x:v>jcs4</x:v>
      </x:c>
      <x:c r="C127" s="36" t="n">
        <x:v>4</x:v>
      </x:c>
      <x:c r="D127" s="36" t="n">
        <x:v>4</x:v>
      </x:c>
      <x:c r="E127" s="36" t="n">
        <x:v>5</x:v>
      </x:c>
      <x:c r="F127" s="24" t="str">
        <x:v>initial</x:v>
      </x:c>
      <x:c r="G127" s="36" t="n">
        <x:v>0</x:v>
      </x:c>
      <x:c r="H127" s="36" t="n">
        <x:v>0</x:v>
      </x:c>
      <x:c r="I127" s="36" t="n">
        <x:v>0</x:v>
      </x:c>
      <x:c r="J127" s="36" t="n">
        <x:v>1</x:v>
      </x:c>
      <x:c r="K127" s="45" t="b">
        <x:v>1</x:v>
      </x:c>
      <x:c r="L127" s="45" t="b">
        <x:v>1</x:v>
      </x:c>
    </x:row>
    <x:row r="128">
      <x:c r="A128" s="24" t="str">
        <x:v>article1-unified-v4-2-fb3f101b-20260903-000401-default-f04-p1-jcs4</x:v>
      </x:c>
      <x:c r="B128" s="24" t="str">
        <x:v>jcs4</x:v>
      </x:c>
      <x:c r="C128" s="36" t="n">
        <x:v>4</x:v>
      </x:c>
      <x:c r="D128" s="36" t="n">
        <x:v>4</x:v>
      </x:c>
      <x:c r="E128" s="36" t="n">
        <x:v>5</x:v>
      </x:c>
      <x:c r="F128" s="24" t="str">
        <x:v>redeploy</x:v>
      </x:c>
      <x:c r="G128" s="36" t="n">
        <x:v>0</x:v>
      </x:c>
      <x:c r="H128" s="36" t="n">
        <x:v>0</x:v>
      </x:c>
      <x:c r="I128" s="36" t="n">
        <x:v>0</x:v>
      </x:c>
      <x:c r="J128" s="36" t="n">
        <x:v>1</x:v>
      </x:c>
      <x:c r="K128" s="45" t="b">
        <x:v>1</x:v>
      </x:c>
      <x:c r="L128" s="45" t="b">
        <x:v>1</x:v>
      </x:c>
    </x:row>
    <x:row r="129">
      <x:c r="A129" s="24" t="str">
        <x:v>article1-unified-v4-2-fb3f101b-20260903-000401-default-f05-p3-jcs4</x:v>
      </x:c>
      <x:c r="B129" s="24" t="str">
        <x:v>jcs4</x:v>
      </x:c>
      <x:c r="C129" s="36" t="n">
        <x:v>5</x:v>
      </x:c>
      <x:c r="D129" s="36" t="n">
        <x:v>5</x:v>
      </x:c>
      <x:c r="E129" s="36" t="n">
        <x:v>1</x:v>
      </x:c>
      <x:c r="F129" s="24" t="str">
        <x:v>initial</x:v>
      </x:c>
      <x:c r="G129" s="36" t="n">
        <x:v>0</x:v>
      </x:c>
      <x:c r="H129" s="36" t="n">
        <x:v>0</x:v>
      </x:c>
      <x:c r="I129" s="36" t="n">
        <x:v>0</x:v>
      </x:c>
      <x:c r="J129" s="36" t="n">
        <x:v>1</x:v>
      </x:c>
      <x:c r="K129" s="45" t="b">
        <x:v>1</x:v>
      </x:c>
      <x:c r="L129" s="45" t="b">
        <x:v>1</x:v>
      </x:c>
    </x:row>
    <x:row r="130">
      <x:c r="A130" s="24" t="str">
        <x:v>article1-unified-v4-2-fb3f101b-20260903-000401-default-f05-p3-jcs4</x:v>
      </x:c>
      <x:c r="B130" s="24" t="str">
        <x:v>jcs4</x:v>
      </x:c>
      <x:c r="C130" s="36" t="n">
        <x:v>5</x:v>
      </x:c>
      <x:c r="D130" s="36" t="n">
        <x:v>5</x:v>
      </x:c>
      <x:c r="E130" s="36" t="n">
        <x:v>1</x:v>
      </x:c>
      <x:c r="F130" s="24" t="str">
        <x:v>redeploy</x:v>
      </x:c>
      <x:c r="G130" s="36" t="n">
        <x:v>0</x:v>
      </x:c>
      <x:c r="H130" s="36" t="n">
        <x:v>0</x:v>
      </x:c>
      <x:c r="I130" s="36" t="n">
        <x:v>0</x:v>
      </x:c>
      <x:c r="J130" s="36" t="n">
        <x:v>1</x:v>
      </x:c>
      <x:c r="K130" s="45" t="b">
        <x:v>1</x:v>
      </x:c>
      <x:c r="L130" s="45" t="b">
        <x:v>1</x:v>
      </x:c>
    </x:row>
    <x:row r="131">
      <x:c r="A131" s="24" t="str">
        <x:v>article1-unified-v4-2-fb3f101b-20260903-000401-default-f05-p3-jcs4</x:v>
      </x:c>
      <x:c r="B131" s="24" t="str">
        <x:v>jcs4</x:v>
      </x:c>
      <x:c r="C131" s="36" t="n">
        <x:v>5</x:v>
      </x:c>
      <x:c r="D131" s="36" t="n">
        <x:v>5</x:v>
      </x:c>
      <x:c r="E131" s="36" t="n">
        <x:v>2</x:v>
      </x:c>
      <x:c r="F131" s="24" t="str">
        <x:v>initial</x:v>
      </x:c>
      <x:c r="G131" s="36" t="n">
        <x:v>0</x:v>
      </x:c>
      <x:c r="H131" s="36" t="n">
        <x:v>0</x:v>
      </x:c>
      <x:c r="I131" s="36" t="n">
        <x:v>0</x:v>
      </x:c>
      <x:c r="J131" s="36" t="n">
        <x:v>1</x:v>
      </x:c>
      <x:c r="K131" s="45" t="b">
        <x:v>1</x:v>
      </x:c>
      <x:c r="L131" s="45" t="b">
        <x:v>1</x:v>
      </x:c>
    </x:row>
    <x:row r="132">
      <x:c r="A132" s="24" t="str">
        <x:v>article1-unified-v4-2-fb3f101b-20260903-000401-default-f05-p3-jcs4</x:v>
      </x:c>
      <x:c r="B132" s="24" t="str">
        <x:v>jcs4</x:v>
      </x:c>
      <x:c r="C132" s="36" t="n">
        <x:v>5</x:v>
      </x:c>
      <x:c r="D132" s="36" t="n">
        <x:v>5</x:v>
      </x:c>
      <x:c r="E132" s="36" t="n">
        <x:v>2</x:v>
      </x:c>
      <x:c r="F132" s="24" t="str">
        <x:v>redeploy</x:v>
      </x:c>
      <x:c r="G132" s="36" t="n">
        <x:v>0</x:v>
      </x:c>
      <x:c r="H132" s="36" t="n">
        <x:v>0</x:v>
      </x:c>
      <x:c r="I132" s="36" t="n">
        <x:v>0</x:v>
      </x:c>
      <x:c r="J132" s="36" t="n">
        <x:v>1</x:v>
      </x:c>
      <x:c r="K132" s="45" t="b">
        <x:v>1</x:v>
      </x:c>
      <x:c r="L132" s="45" t="b">
        <x:v>1</x:v>
      </x:c>
    </x:row>
    <x:row r="133">
      <x:c r="A133" s="24" t="str">
        <x:v>article1-unified-v4-2-fb3f101b-20260903-000401-default-f05-p3-jcs4</x:v>
      </x:c>
      <x:c r="B133" s="24" t="str">
        <x:v>jcs4</x:v>
      </x:c>
      <x:c r="C133" s="36" t="n">
        <x:v>5</x:v>
      </x:c>
      <x:c r="D133" s="36" t="n">
        <x:v>5</x:v>
      </x:c>
      <x:c r="E133" s="36" t="n">
        <x:v>3</x:v>
      </x:c>
      <x:c r="F133" s="24" t="str">
        <x:v>initial</x:v>
      </x:c>
      <x:c r="G133" s="36" t="n">
        <x:v>0</x:v>
      </x:c>
      <x:c r="H133" s="36" t="n">
        <x:v>0</x:v>
      </x:c>
      <x:c r="I133" s="36" t="n">
        <x:v>0</x:v>
      </x:c>
      <x:c r="J133" s="36" t="n">
        <x:v>1</x:v>
      </x:c>
      <x:c r="K133" s="45" t="b">
        <x:v>1</x:v>
      </x:c>
      <x:c r="L133" s="45" t="b">
        <x:v>1</x:v>
      </x:c>
    </x:row>
    <x:row r="134">
      <x:c r="A134" s="24" t="str">
        <x:v>article1-unified-v4-2-fb3f101b-20260903-000401-default-f05-p3-jcs4</x:v>
      </x:c>
      <x:c r="B134" s="24" t="str">
        <x:v>jcs4</x:v>
      </x:c>
      <x:c r="C134" s="36" t="n">
        <x:v>5</x:v>
      </x:c>
      <x:c r="D134" s="36" t="n">
        <x:v>5</x:v>
      </x:c>
      <x:c r="E134" s="36" t="n">
        <x:v>3</x:v>
      </x:c>
      <x:c r="F134" s="24" t="str">
        <x:v>redeploy</x:v>
      </x:c>
      <x:c r="G134" s="36" t="n">
        <x:v>0</x:v>
      </x:c>
      <x:c r="H134" s="36" t="n">
        <x:v>0</x:v>
      </x:c>
      <x:c r="I134" s="36" t="n">
        <x:v>0</x:v>
      </x:c>
      <x:c r="J134" s="36" t="n">
        <x:v>1</x:v>
      </x:c>
      <x:c r="K134" s="45" t="b">
        <x:v>1</x:v>
      </x:c>
      <x:c r="L134" s="45" t="b">
        <x:v>1</x:v>
      </x:c>
    </x:row>
    <x:row r="135">
      <x:c r="A135" s="24" t="str">
        <x:v>article1-unified-v4-2-fb3f101b-20260903-000401-default-f05-p3-jcs4</x:v>
      </x:c>
      <x:c r="B135" s="24" t="str">
        <x:v>jcs4</x:v>
      </x:c>
      <x:c r="C135" s="36" t="n">
        <x:v>5</x:v>
      </x:c>
      <x:c r="D135" s="36" t="n">
        <x:v>5</x:v>
      </x:c>
      <x:c r="E135" s="36" t="n">
        <x:v>4</x:v>
      </x:c>
      <x:c r="F135" s="24" t="str">
        <x:v>initial</x:v>
      </x:c>
      <x:c r="G135" s="36" t="n">
        <x:v>0</x:v>
      </x:c>
      <x:c r="H135" s="36" t="n">
        <x:v>0</x:v>
      </x:c>
      <x:c r="I135" s="36" t="n">
        <x:v>0</x:v>
      </x:c>
      <x:c r="J135" s="36" t="n">
        <x:v>1</x:v>
      </x:c>
      <x:c r="K135" s="45" t="b">
        <x:v>1</x:v>
      </x:c>
      <x:c r="L135" s="45" t="b">
        <x:v>1</x:v>
      </x:c>
    </x:row>
    <x:row r="136">
      <x:c r="A136" s="24" t="str">
        <x:v>article1-unified-v4-2-fb3f101b-20260903-000401-default-f05-p3-jcs4</x:v>
      </x:c>
      <x:c r="B136" s="24" t="str">
        <x:v>jcs4</x:v>
      </x:c>
      <x:c r="C136" s="36" t="n">
        <x:v>5</x:v>
      </x:c>
      <x:c r="D136" s="36" t="n">
        <x:v>5</x:v>
      </x:c>
      <x:c r="E136" s="36" t="n">
        <x:v>4</x:v>
      </x:c>
      <x:c r="F136" s="24" t="str">
        <x:v>redeploy</x:v>
      </x:c>
      <x:c r="G136" s="36" t="n">
        <x:v>0</x:v>
      </x:c>
      <x:c r="H136" s="36" t="n">
        <x:v>0</x:v>
      </x:c>
      <x:c r="I136" s="36" t="n">
        <x:v>0</x:v>
      </x:c>
      <x:c r="J136" s="36" t="n">
        <x:v>1</x:v>
      </x:c>
      <x:c r="K136" s="45" t="b">
        <x:v>1</x:v>
      </x:c>
      <x:c r="L136" s="45" t="b">
        <x:v>1</x:v>
      </x:c>
    </x:row>
    <x:row r="137">
      <x:c r="A137" s="24" t="str">
        <x:v>article1-unified-v4-2-fb3f101b-20260903-000401-default-f05-p3-jcs4</x:v>
      </x:c>
      <x:c r="B137" s="24" t="str">
        <x:v>jcs4</x:v>
      </x:c>
      <x:c r="C137" s="36" t="n">
        <x:v>5</x:v>
      </x:c>
      <x:c r="D137" s="36" t="n">
        <x:v>5</x:v>
      </x:c>
      <x:c r="E137" s="36" t="n">
        <x:v>5</x:v>
      </x:c>
      <x:c r="F137" s="24" t="str">
        <x:v>initial</x:v>
      </x:c>
      <x:c r="G137" s="36" t="n">
        <x:v>0</x:v>
      </x:c>
      <x:c r="H137" s="36" t="n">
        <x:v>0</x:v>
      </x:c>
      <x:c r="I137" s="36" t="n">
        <x:v>0</x:v>
      </x:c>
      <x:c r="J137" s="36" t="n">
        <x:v>1</x:v>
      </x:c>
      <x:c r="K137" s="45" t="b">
        <x:v>1</x:v>
      </x:c>
      <x:c r="L137" s="45" t="b">
        <x:v>1</x:v>
      </x:c>
    </x:row>
    <x:row r="138">
      <x:c r="A138" s="24" t="str">
        <x:v>article1-unified-v4-2-fb3f101b-20260903-000401-default-f05-p3-jcs4</x:v>
      </x:c>
      <x:c r="B138" s="24" t="str">
        <x:v>jcs4</x:v>
      </x:c>
      <x:c r="C138" s="36" t="n">
        <x:v>5</x:v>
      </x:c>
      <x:c r="D138" s="36" t="n">
        <x:v>5</x:v>
      </x:c>
      <x:c r="E138" s="36" t="n">
        <x:v>5</x:v>
      </x:c>
      <x:c r="F138" s="24" t="str">
        <x:v>redeploy</x:v>
      </x:c>
      <x:c r="G138" s="36" t="n">
        <x:v>0</x:v>
      </x:c>
      <x:c r="H138" s="36" t="n">
        <x:v>0</x:v>
      </x:c>
      <x:c r="I138" s="36" t="n">
        <x:v>0</x:v>
      </x:c>
      <x:c r="J138" s="36" t="n">
        <x:v>1</x:v>
      </x:c>
      <x:c r="K138" s="45" t="b">
        <x:v>1</x:v>
      </x:c>
      <x:c r="L138" s="45" t="b">
        <x:v>1</x:v>
      </x:c>
    </x:row>
    <x:row r="139">
      <x:c r="A139" s="24" t="str">
        <x:v>article1-unified-v4-2-fb3f101b-20260903-000401-default-f06-p5-jcs4</x:v>
      </x:c>
      <x:c r="B139" s="24" t="str">
        <x:v>jcs4</x:v>
      </x:c>
      <x:c r="C139" s="36" t="n">
        <x:v>6</x:v>
      </x:c>
      <x:c r="D139" s="36" t="n">
        <x:v>6</x:v>
      </x:c>
      <x:c r="E139" s="36" t="n">
        <x:v>1</x:v>
      </x:c>
      <x:c r="F139" s="24" t="str">
        <x:v>initial</x:v>
      </x:c>
      <x:c r="G139" s="36" t="n">
        <x:v>0</x:v>
      </x:c>
      <x:c r="H139" s="36" t="n">
        <x:v>0</x:v>
      </x:c>
      <x:c r="I139" s="36" t="n">
        <x:v>0</x:v>
      </x:c>
      <x:c r="J139" s="36" t="n">
        <x:v>1</x:v>
      </x:c>
      <x:c r="K139" s="45" t="b">
        <x:v>1</x:v>
      </x:c>
      <x:c r="L139" s="45" t="b">
        <x:v>1</x:v>
      </x:c>
    </x:row>
    <x:row r="140">
      <x:c r="A140" s="24" t="str">
        <x:v>article1-unified-v4-2-fb3f101b-20260903-000401-default-f06-p5-jcs4</x:v>
      </x:c>
      <x:c r="B140" s="24" t="str">
        <x:v>jcs4</x:v>
      </x:c>
      <x:c r="C140" s="36" t="n">
        <x:v>6</x:v>
      </x:c>
      <x:c r="D140" s="36" t="n">
        <x:v>6</x:v>
      </x:c>
      <x:c r="E140" s="36" t="n">
        <x:v>1</x:v>
      </x:c>
      <x:c r="F140" s="24" t="str">
        <x:v>redeploy</x:v>
      </x:c>
      <x:c r="G140" s="36" t="n">
        <x:v>0</x:v>
      </x:c>
      <x:c r="H140" s="36" t="n">
        <x:v>0</x:v>
      </x:c>
      <x:c r="I140" s="36" t="n">
        <x:v>0</x:v>
      </x:c>
      <x:c r="J140" s="36" t="n">
        <x:v>1</x:v>
      </x:c>
      <x:c r="K140" s="45" t="b">
        <x:v>1</x:v>
      </x:c>
      <x:c r="L140" s="45" t="b">
        <x:v>1</x:v>
      </x:c>
    </x:row>
    <x:row r="141">
      <x:c r="A141" s="24" t="str">
        <x:v>article1-unified-v4-2-fb3f101b-20260903-000401-default-f06-p5-jcs4</x:v>
      </x:c>
      <x:c r="B141" s="24" t="str">
        <x:v>jcs4</x:v>
      </x:c>
      <x:c r="C141" s="36" t="n">
        <x:v>6</x:v>
      </x:c>
      <x:c r="D141" s="36" t="n">
        <x:v>6</x:v>
      </x:c>
      <x:c r="E141" s="36" t="n">
        <x:v>2</x:v>
      </x:c>
      <x:c r="F141" s="24" t="str">
        <x:v>initial</x:v>
      </x:c>
      <x:c r="G141" s="36" t="n">
        <x:v>0</x:v>
      </x:c>
      <x:c r="H141" s="36" t="n">
        <x:v>0</x:v>
      </x:c>
      <x:c r="I141" s="36" t="n">
        <x:v>0</x:v>
      </x:c>
      <x:c r="J141" s="36" t="n">
        <x:v>1</x:v>
      </x:c>
      <x:c r="K141" s="45" t="b">
        <x:v>1</x:v>
      </x:c>
      <x:c r="L141" s="45" t="b">
        <x:v>1</x:v>
      </x:c>
    </x:row>
    <x:row r="142">
      <x:c r="A142" s="24" t="str">
        <x:v>article1-unified-v4-2-fb3f101b-20260903-000401-default-f06-p5-jcs4</x:v>
      </x:c>
      <x:c r="B142" s="24" t="str">
        <x:v>jcs4</x:v>
      </x:c>
      <x:c r="C142" s="36" t="n">
        <x:v>6</x:v>
      </x:c>
      <x:c r="D142" s="36" t="n">
        <x:v>6</x:v>
      </x:c>
      <x:c r="E142" s="36" t="n">
        <x:v>2</x:v>
      </x:c>
      <x:c r="F142" s="24" t="str">
        <x:v>redeploy</x:v>
      </x:c>
      <x:c r="G142" s="36" t="n">
        <x:v>0</x:v>
      </x:c>
      <x:c r="H142" s="36" t="n">
        <x:v>0</x:v>
      </x:c>
      <x:c r="I142" s="36" t="n">
        <x:v>0</x:v>
      </x:c>
      <x:c r="J142" s="36" t="n">
        <x:v>1</x:v>
      </x:c>
      <x:c r="K142" s="45" t="b">
        <x:v>1</x:v>
      </x:c>
      <x:c r="L142" s="45" t="b">
        <x:v>1</x:v>
      </x:c>
    </x:row>
    <x:row r="143">
      <x:c r="A143" s="24" t="str">
        <x:v>article1-unified-v4-2-fb3f101b-20260903-000401-default-f06-p5-jcs4</x:v>
      </x:c>
      <x:c r="B143" s="24" t="str">
        <x:v>jcs4</x:v>
      </x:c>
      <x:c r="C143" s="36" t="n">
        <x:v>6</x:v>
      </x:c>
      <x:c r="D143" s="36" t="n">
        <x:v>6</x:v>
      </x:c>
      <x:c r="E143" s="36" t="n">
        <x:v>3</x:v>
      </x:c>
      <x:c r="F143" s="24" t="str">
        <x:v>initial</x:v>
      </x:c>
      <x:c r="G143" s="36" t="n">
        <x:v>0</x:v>
      </x:c>
      <x:c r="H143" s="36" t="n">
        <x:v>0</x:v>
      </x:c>
      <x:c r="I143" s="36" t="n">
        <x:v>0</x:v>
      </x:c>
      <x:c r="J143" s="36" t="n">
        <x:v>1</x:v>
      </x:c>
      <x:c r="K143" s="45" t="b">
        <x:v>1</x:v>
      </x:c>
      <x:c r="L143" s="45" t="b">
        <x:v>1</x:v>
      </x:c>
    </x:row>
    <x:row r="144">
      <x:c r="A144" s="24" t="str">
        <x:v>article1-unified-v4-2-fb3f101b-20260903-000401-default-f06-p5-jcs4</x:v>
      </x:c>
      <x:c r="B144" s="24" t="str">
        <x:v>jcs4</x:v>
      </x:c>
      <x:c r="C144" s="36" t="n">
        <x:v>6</x:v>
      </x:c>
      <x:c r="D144" s="36" t="n">
        <x:v>6</x:v>
      </x:c>
      <x:c r="E144" s="36" t="n">
        <x:v>3</x:v>
      </x:c>
      <x:c r="F144" s="24" t="str">
        <x:v>redeploy</x:v>
      </x:c>
      <x:c r="G144" s="36" t="n">
        <x:v>0</x:v>
      </x:c>
      <x:c r="H144" s="36" t="n">
        <x:v>0</x:v>
      </x:c>
      <x:c r="I144" s="36" t="n">
        <x:v>0</x:v>
      </x:c>
      <x:c r="J144" s="36" t="n">
        <x:v>1</x:v>
      </x:c>
      <x:c r="K144" s="45" t="b">
        <x:v>1</x:v>
      </x:c>
      <x:c r="L144" s="45" t="b">
        <x:v>1</x:v>
      </x:c>
    </x:row>
    <x:row r="145">
      <x:c r="A145" s="24" t="str">
        <x:v>article1-unified-v4-2-fb3f101b-20260903-000401-default-f06-p5-jcs4</x:v>
      </x:c>
      <x:c r="B145" s="24" t="str">
        <x:v>jcs4</x:v>
      </x:c>
      <x:c r="C145" s="36" t="n">
        <x:v>6</x:v>
      </x:c>
      <x:c r="D145" s="36" t="n">
        <x:v>6</x:v>
      </x:c>
      <x:c r="E145" s="36" t="n">
        <x:v>4</x:v>
      </x:c>
      <x:c r="F145" s="24" t="str">
        <x:v>initial</x:v>
      </x:c>
      <x:c r="G145" s="36" t="n">
        <x:v>0</x:v>
      </x:c>
      <x:c r="H145" s="36" t="n">
        <x:v>0</x:v>
      </x:c>
      <x:c r="I145" s="36" t="n">
        <x:v>0</x:v>
      </x:c>
      <x:c r="J145" s="36" t="n">
        <x:v>1</x:v>
      </x:c>
      <x:c r="K145" s="45" t="b">
        <x:v>1</x:v>
      </x:c>
      <x:c r="L145" s="45" t="b">
        <x:v>1</x:v>
      </x:c>
    </x:row>
    <x:row r="146">
      <x:c r="A146" s="24" t="str">
        <x:v>article1-unified-v4-2-fb3f101b-20260903-000401-default-f06-p5-jcs4</x:v>
      </x:c>
      <x:c r="B146" s="24" t="str">
        <x:v>jcs4</x:v>
      </x:c>
      <x:c r="C146" s="36" t="n">
        <x:v>6</x:v>
      </x:c>
      <x:c r="D146" s="36" t="n">
        <x:v>6</x:v>
      </x:c>
      <x:c r="E146" s="36" t="n">
        <x:v>4</x:v>
      </x:c>
      <x:c r="F146" s="24" t="str">
        <x:v>redeploy</x:v>
      </x:c>
      <x:c r="G146" s="36" t="n">
        <x:v>0</x:v>
      </x:c>
      <x:c r="H146" s="36" t="n">
        <x:v>0</x:v>
      </x:c>
      <x:c r="I146" s="36" t="n">
        <x:v>0</x:v>
      </x:c>
      <x:c r="J146" s="36" t="n">
        <x:v>1</x:v>
      </x:c>
      <x:c r="K146" s="45" t="b">
        <x:v>1</x:v>
      </x:c>
      <x:c r="L146" s="45" t="b">
        <x:v>1</x:v>
      </x:c>
    </x:row>
    <x:row r="147">
      <x:c r="A147" s="24" t="str">
        <x:v>article1-unified-v4-2-fb3f101b-20260903-000401-default-f06-p5-jcs4</x:v>
      </x:c>
      <x:c r="B147" s="24" t="str">
        <x:v>jcs4</x:v>
      </x:c>
      <x:c r="C147" s="36" t="n">
        <x:v>6</x:v>
      </x:c>
      <x:c r="D147" s="36" t="n">
        <x:v>6</x:v>
      </x:c>
      <x:c r="E147" s="36" t="n">
        <x:v>5</x:v>
      </x:c>
      <x:c r="F147" s="24" t="str">
        <x:v>initial</x:v>
      </x:c>
      <x:c r="G147" s="36" t="n">
        <x:v>0</x:v>
      </x:c>
      <x:c r="H147" s="36" t="n">
        <x:v>0</x:v>
      </x:c>
      <x:c r="I147" s="36" t="n">
        <x:v>0</x:v>
      </x:c>
      <x:c r="J147" s="36" t="n">
        <x:v>1</x:v>
      </x:c>
      <x:c r="K147" s="45" t="b">
        <x:v>1</x:v>
      </x:c>
      <x:c r="L147" s="45" t="b">
        <x:v>1</x:v>
      </x:c>
    </x:row>
    <x:row r="148">
      <x:c r="A148" s="24" t="str">
        <x:v>article1-unified-v4-2-fb3f101b-20260903-000401-default-f06-p5-jcs4</x:v>
      </x:c>
      <x:c r="B148" s="24" t="str">
        <x:v>jcs4</x:v>
      </x:c>
      <x:c r="C148" s="36" t="n">
        <x:v>6</x:v>
      </x:c>
      <x:c r="D148" s="36" t="n">
        <x:v>6</x:v>
      </x:c>
      <x:c r="E148" s="36" t="n">
        <x:v>5</x:v>
      </x:c>
      <x:c r="F148" s="24" t="str">
        <x:v>redeploy</x:v>
      </x:c>
      <x:c r="G148" s="36" t="n">
        <x:v>0</x:v>
      </x:c>
      <x:c r="H148" s="36" t="n">
        <x:v>0</x:v>
      </x:c>
      <x:c r="I148" s="36" t="n">
        <x:v>0</x:v>
      </x:c>
      <x:c r="J148" s="36" t="n">
        <x:v>1</x:v>
      </x:c>
      <x:c r="K148" s="45" t="b">
        <x:v>1</x:v>
      </x:c>
      <x:c r="L148" s="45" t="b">
        <x:v>1</x:v>
      </x:c>
    </x:row>
  </x:sheetData>
  <x:mergeCells>
    <x:mergeCell ref="A1:L1"/>
    <x:mergeCell ref="A2:L2"/>
    <x:mergeCell ref="A3:L3"/>
    <x:mergeCell ref="A5:K5"/>
    <x:mergeCell ref="A11:G11"/>
    <x:mergeCell ref="A27:L27"/>
  </x:mergeCells>
  <x:pageMargins left="0.7" right="0.7" top="0.75" bottom="0.75" header="0.3" footer="0.3"/>
  <x:tableParts count="3">
    <x:tablePart xmlns:r="http://schemas.openxmlformats.org/officeDocument/2006/relationships" r:id="R15f46971fcc64584"/>
    <x:tablePart xmlns:r="http://schemas.openxmlformats.org/officeDocument/2006/relationships" r:id="Rdcb75c9dcfc74a09"/>
    <x:tablePart xmlns:r="http://schemas.openxmlformats.org/officeDocument/2006/relationships" r:id="R366d8578bc2544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</x:cols>
  <x:sheetData>
    <x:row r="1" ht="30" customHeight="1">
      <x:c r="A1" s="3" t="str">
        <x:v>Figure — protocollo primario e diagnostica di lifecycle</x:v>
      </x:c>
      <x:c r="B1" s="3" t="str">
        <x:v>Figure — protocollo primario e diagnostica di lifecycle</x:v>
      </x:c>
      <x:c r="C1" s="3" t="str">
        <x:v>Figure — protocollo primario e diagnostica di lifecycle</x:v>
      </x:c>
      <x:c r="D1" s="3" t="str">
        <x:v>Figure — protocollo primario e diagnostica di lifecycle</x:v>
      </x:c>
      <x:c r="E1" s="3" t="str">
        <x:v>Figure — protocollo primario e diagnostica di lifecycle</x:v>
      </x:c>
      <x:c r="F1" s="3" t="str">
        <x:v>Figure — protocollo primario e diagnostica di lifecycle</x:v>
      </x:c>
      <x:c r="G1" s="3" t="str">
        <x:v>Figure — protocollo primario e diagnostica di lifecycle</x:v>
      </x:c>
      <x:c r="H1" s="3" t="str">
        <x:v>Figure — protocollo primario e diagnostica di lifecycle</x:v>
      </x:c>
      <x:c r="I1" s="3" t="str">
        <x:v>Figure — protocollo primario e diagnostica di lifecycle</x:v>
      </x:c>
      <x:c r="J1" s="3" t="str">
        <x:v>Figure — protocollo primario e diagnostica di lifecycle</x:v>
      </x:c>
      <x:c r="K1" s="3" t="str">
        <x:v>Figure — protocollo primario e diagnostica di lifecycle</x:v>
      </x:c>
      <x:c r="L1" s="3" t="str">
        <x:v>Figure — protocollo primario e diagnostica di lifecycle</x:v>
      </x:c>
      <x:c r="M1" s="3" t="str">
        <x:v>Figure — protocollo primario e diagnostica di lifecycle</x:v>
      </x:c>
      <x:c r="N1" s="3" t="str">
        <x:v>Figure — protocollo primario e diagnostica di lifecycle</x:v>
      </x:c>
      <x:c r="O1" s="3" t="str">
        <x:v>Figure — protocollo primario e diagnostica di lifecycle</x:v>
      </x:c>
      <x:c r="P1" s="3" t="str">
        <x:v>Figure — protocollo primario e diagnostica di lifecycle</x:v>
      </x:c>
      <x:c r="Q1" s="3" t="str">
        <x:v>Figure — protocollo primario e diagnostica di lifecycle</x:v>
      </x:c>
      <x:c r="R1" s="3" t="str">
        <x:v>Figure — protocollo primario e diagnostica di lifecycle</x:v>
      </x:c>
      <x:c r="S1" s="3" t="str">
        <x:v>Figure — protocollo primario e diagnostica di lifecycle</x:v>
      </x:c>
      <x:c r="T1" s="3" t="str">
        <x:v>Figure — protocollo primario e diagnostica di lifecycle</x:v>
      </x:c>
      <x:c r="U1" s="3" t="str">
        <x:v>Figure — protocollo primario e diagnostica di lifecycle</x:v>
      </x:c>
      <x:c r="V1" s="3" t="str">
        <x:v>Figure — protocollo primario e diagnostica di lifecycle</x:v>
      </x:c>
      <x:c r="W1" s="3" t="str">
        <x:v>Figure — protocollo primario e diagnostica di lifecycle</x:v>
      </x:c>
      <x:c r="X1" s="3" t="str">
        <x:v>Figure — protocollo primario e diagnostica di lifecycle</x:v>
      </x:c>
      <x:c r="Y1" s="3" t="str">
        <x:v>Figure — protocollo primario e diagnostica di lifecycle</x:v>
      </x:c>
      <x:c r="Z1" s="3" t="str">
        <x:v>Figure — protocollo primario e diagnostica di lifecycle</x:v>
      </x:c>
      <x:c r="AA1" s="3" t="str">
        <x:v>Figure — protocollo primario e diagnostica di lifecycle</x:v>
      </x:c>
    </x:row>
    <x:row r="2" ht="28" customHeight="1">
      <x:c r="A2" s="7" t="str">
        <x:v>Grafici formula-backed. Le barre confrontano fork distinti; le sole linee collegano i cinque cicli della stessa JVM. Nessuna falsa continuità fra process run e nessun ranking per risultato.</x:v>
      </x:c>
      <x:c r="B2" s="7" t="str">
        <x:v>Grafici formula-backed. Le barre confrontano fork distinti; le sole linee collegano i cinque cicli della stessa JVM. Nessuna falsa continuità fra process run e nessun ranking per risultato.</x:v>
      </x:c>
      <x:c r="C2" s="7" t="str">
        <x:v>Grafici formula-backed. Le barre confrontano fork distinti; le sole linee collegano i cinque cicli della stessa JVM. Nessuna falsa continuità fra process run e nessun ranking per risultato.</x:v>
      </x:c>
      <x:c r="D2" s="7" t="str">
        <x:v>Grafici formula-backed. Le barre confrontano fork distinti; le sole linee collegano i cinque cicli della stessa JVM. Nessuna falsa continuità fra process run e nessun ranking per risultato.</x:v>
      </x:c>
      <x:c r="E2" s="7" t="str">
        <x:v>Grafici formula-backed. Le barre confrontano fork distinti; le sole linee collegano i cinque cicli della stessa JVM. Nessuna falsa continuità fra process run e nessun ranking per risultato.</x:v>
      </x:c>
      <x:c r="F2" s="7" t="str">
        <x:v>Grafici formula-backed. Le barre confrontano fork distinti; le sole linee collegano i cinque cicli della stessa JVM. Nessuna falsa continuità fra process run e nessun ranking per risultato.</x:v>
      </x:c>
      <x:c r="G2" s="7" t="str">
        <x:v>Grafici formula-backed. Le barre confrontano fork distinti; le sole linee collegano i cinque cicli della stessa JVM. Nessuna falsa continuità fra process run e nessun ranking per risultato.</x:v>
      </x:c>
      <x:c r="H2" s="7" t="str">
        <x:v>Grafici formula-backed. Le barre confrontano fork distinti; le sole linee collegano i cinque cicli della stessa JVM. Nessuna falsa continuità fra process run e nessun ranking per risultato.</x:v>
      </x:c>
      <x:c r="I2" s="7" t="str">
        <x:v>Grafici formula-backed. Le barre confrontano fork distinti; le sole linee collegano i cinque cicli della stessa JVM. Nessuna falsa continuità fra process run e nessun ranking per risultato.</x:v>
      </x:c>
      <x:c r="J2" s="7" t="str">
        <x:v>Grafici formula-backed. Le barre confrontano fork distinti; le sole linee collegano i cinque cicli della stessa JVM. Nessuna falsa continuità fra process run e nessun ranking per risultato.</x:v>
      </x:c>
      <x:c r="K2" s="7" t="str">
        <x:v>Grafici formula-backed. Le barre confrontano fork distinti; le sole linee collegano i cinque cicli della stessa JVM. Nessuna falsa continuità fra process run e nessun ranking per risultato.</x:v>
      </x:c>
      <x:c r="L2" s="7" t="str">
        <x:v>Grafici formula-backed. Le barre confrontano fork distinti; le sole linee collegano i cinque cicli della stessa JVM. Nessuna falsa continuità fra process run e nessun ranking per risultato.</x:v>
      </x:c>
      <x:c r="M2" s="7" t="str">
        <x:v>Grafici formula-backed. Le barre confrontano fork distinti; le sole linee collegano i cinque cicli della stessa JVM. Nessuna falsa continuità fra process run e nessun ranking per risultato.</x:v>
      </x:c>
      <x:c r="N2" s="7" t="str">
        <x:v>Grafici formula-backed. Le barre confrontano fork distinti; le sole linee collegano i cinque cicli della stessa JVM. Nessuna falsa continuità fra process run e nessun ranking per risultato.</x:v>
      </x:c>
      <x:c r="O2" s="7" t="str">
        <x:v>Grafici formula-backed. Le barre confrontano fork distinti; le sole linee collegano i cinque cicli della stessa JVM. Nessuna falsa continuità fra process run e nessun ranking per risultato.</x:v>
      </x:c>
      <x:c r="P2" s="7" t="str">
        <x:v>Grafici formula-backed. Le barre confrontano fork distinti; le sole linee collegano i cinque cicli della stessa JVM. Nessuna falsa continuità fra process run e nessun ranking per risultato.</x:v>
      </x:c>
      <x:c r="Q2" s="7" t="str">
        <x:v>Grafici formula-backed. Le barre confrontano fork distinti; le sole linee collegano i cinque cicli della stessa JVM. Nessuna falsa continuità fra process run e nessun ranking per risultato.</x:v>
      </x:c>
      <x:c r="R2" s="7" t="str">
        <x:v>Grafici formula-backed. Le barre confrontano fork distinti; le sole linee collegano i cinque cicli della stessa JVM. Nessuna falsa continuità fra process run e nessun ranking per risultato.</x:v>
      </x:c>
      <x:c r="S2" s="7" t="str">
        <x:v>Grafici formula-backed. Le barre confrontano fork distinti; le sole linee collegano i cinque cicli della stessa JVM. Nessuna falsa continuità fra process run e nessun ranking per risultato.</x:v>
      </x:c>
      <x:c r="T2" s="7" t="str">
        <x:v>Grafici formula-backed. Le barre confrontano fork distinti; le sole linee collegano i cinque cicli della stessa JVM. Nessuna falsa continuità fra process run e nessun ranking per risultato.</x:v>
      </x:c>
      <x:c r="U2" s="7" t="str">
        <x:v>Grafici formula-backed. Le barre confrontano fork distinti; le sole linee collegano i cinque cicli della stessa JVM. Nessuna falsa continuità fra process run e nessun ranking per risultato.</x:v>
      </x:c>
      <x:c r="V2" s="7" t="str">
        <x:v>Grafici formula-backed. Le barre confrontano fork distinti; le sole linee collegano i cinque cicli della stessa JVM. Nessuna falsa continuità fra process run e nessun ranking per risultato.</x:v>
      </x:c>
      <x:c r="W2" s="7" t="str">
        <x:v>Grafici formula-backed. Le barre confrontano fork distinti; le sole linee collegano i cinque cicli della stessa JVM. Nessuna falsa continuità fra process run e nessun ranking per risultato.</x:v>
      </x:c>
      <x:c r="X2" s="7" t="str">
        <x:v>Grafici formula-backed. Le barre confrontano fork distinti; le sole linee collegano i cinque cicli della stessa JVM. Nessuna falsa continuità fra process run e nessun ranking per risultato.</x:v>
      </x:c>
      <x:c r="Y2" s="7" t="str">
        <x:v>Grafici formula-backed. Le barre confrontano fork distinti; le sole linee collegano i cinque cicli della stessa JVM. Nessuna falsa continuità fra process run e nessun ranking per risultato.</x:v>
      </x:c>
      <x:c r="Z2" s="7" t="str">
        <x:v>Grafici formula-backed. Le barre confrontano fork distinti; le sole linee collegano i cinque cicli della stessa JVM. Nessuna falsa continuità fra process run e nessun ranking per risultato.</x:v>
      </x:c>
      <x:c r="AA2" s="7" t="str">
        <x:v>Grafici formula-backed. Le barre confrontano fork distinti; le sole linee collegano i cinque cicli della stessa JVM. Nessuna falsa continuità fra process run e nessun ranking per risultato.</x:v>
      </x:c>
    </x:row>
    <x:row r="4" ht="23" customHeight="1">
      <x:c r="A4" s="10" t="str">
        <x:v>Throughput per fork e fase — primary all cycles</x:v>
      </x:c>
      <x:c r="B4" s="10" t="str">
        <x:v>Throughput per fork e fase — primary all cycles</x:v>
      </x:c>
      <x:c r="C4" s="10" t="str">
        <x:v>Throughput per fork e fase — primary all cycles</x:v>
      </x:c>
    </x:row>
    <x:row r="5" ht="31" customHeight="1">
      <x:c r="A5" s="68" t="str">
        <x:v>provider / fork</x:v>
      </x:c>
      <x:c r="B5" s="68" t="str">
        <x:v>initial (ops/s)</x:v>
      </x:c>
      <x:c r="C5" s="68" t="str">
        <x:v>redeploy (ops/s)</x:v>
      </x:c>
    </x:row>
    <x:row r="6">
      <x:c r="A6" s="24" t="str">
        <x:f>'Performance'!$C$34&amp;" / F"&amp;'Performance'!$D$34</x:f>
        <x:v>caffeine / F1</x:v>
      </x:c>
      <x:c r="B6" s="25" t="n">
        <x:f>'Performance'!$P$34</x:f>
        <x:v>25185288.95959526</x:v>
      </x:c>
      <x:c r="C6" s="25" t="n">
        <x:f>'Performance'!$P$36</x:f>
        <x:v>24719726.27702385</x:v>
      </x:c>
    </x:row>
    <x:row r="7">
      <x:c r="A7" s="24" t="str">
        <x:f>'Performance'!$C$38&amp;" / F"&amp;'Performance'!$D$38</x:f>
        <x:v>caffeine / F2</x:v>
      </x:c>
      <x:c r="B7" s="25" t="n">
        <x:f>'Performance'!$P$38</x:f>
        <x:v>27118600.83305417</x:v>
      </x:c>
      <x:c r="C7" s="25" t="n">
        <x:f>'Performance'!$P$40</x:f>
        <x:v>26224690.272721075</x:v>
      </x:c>
    </x:row>
    <x:row r="8">
      <x:c r="A8" s="24" t="str">
        <x:f>'Performance'!$C$42&amp;" / F"&amp;'Performance'!$D$42</x:f>
        <x:v>caffeine / F3</x:v>
      </x:c>
      <x:c r="B8" s="25" t="n">
        <x:f>'Performance'!$P$42</x:f>
        <x:v>27539688.145286653</x:v>
      </x:c>
      <x:c r="C8" s="25" t="n">
        <x:f>'Performance'!$P$44</x:f>
        <x:v>27568816.009425186</x:v>
      </x:c>
    </x:row>
    <x:row r="9">
      <x:c r="A9" s="24" t="str">
        <x:f>'Performance'!$C$46&amp;" / F"&amp;'Performance'!$D$46</x:f>
        <x:v>caffeine / F4</x:v>
      </x:c>
      <x:c r="B9" s="25" t="n">
        <x:f>'Performance'!$P$46</x:f>
        <x:v>28262514.45876727</x:v>
      </x:c>
      <x:c r="C9" s="25" t="n">
        <x:f>'Performance'!$P$48</x:f>
        <x:v>26936891.992798835</x:v>
      </x:c>
    </x:row>
    <x:row r="10">
      <x:c r="A10" s="24" t="str">
        <x:f>'Performance'!$C$50&amp;" / F"&amp;'Performance'!$D$50</x:f>
        <x:v>caffeine / F5</x:v>
      </x:c>
      <x:c r="B10" s="25" t="n">
        <x:f>'Performance'!$P$50</x:f>
        <x:v>27317948.658922818</x:v>
      </x:c>
      <x:c r="C10" s="25" t="n">
        <x:f>'Performance'!$P$52</x:f>
        <x:v>25957575.99218084</x:v>
      </x:c>
    </x:row>
    <x:row r="11">
      <x:c r="A11" s="24" t="str">
        <x:f>'Performance'!$C$54&amp;" / F"&amp;'Performance'!$D$54</x:f>
        <x:v>caffeine / F6</x:v>
      </x:c>
      <x:c r="B11" s="25" t="n">
        <x:f>'Performance'!$P$54</x:f>
        <x:v>26509572.65647953</x:v>
      </x:c>
      <x:c r="C11" s="25" t="n">
        <x:f>'Performance'!$P$56</x:f>
        <x:v>27131270.89679681</x:v>
      </x:c>
    </x:row>
    <x:row r="12">
      <x:c r="A12" s="24" t="str">
        <x:f>'Performance'!$C$58&amp;" / F"&amp;'Performance'!$D$58</x:f>
        <x:v>ehcache / F1</x:v>
      </x:c>
      <x:c r="B12" s="25" t="n">
        <x:f>'Performance'!$P$58</x:f>
        <x:v>23482757.92055727</x:v>
      </x:c>
      <x:c r="C12" s="25" t="n">
        <x:f>'Performance'!$P$60</x:f>
        <x:v>23507840.561815243</x:v>
      </x:c>
    </x:row>
    <x:row r="13">
      <x:c r="A13" s="24" t="str">
        <x:f>'Performance'!$C$62&amp;" / F"&amp;'Performance'!$D$62</x:f>
        <x:v>ehcache / F2</x:v>
      </x:c>
      <x:c r="B13" s="25" t="n">
        <x:f>'Performance'!$P$62</x:f>
        <x:v>22715674.281386904</x:v>
      </x:c>
      <x:c r="C13" s="25" t="n">
        <x:f>'Performance'!$P$64</x:f>
        <x:v>22523030.08161541</x:v>
      </x:c>
    </x:row>
    <x:row r="14">
      <x:c r="A14" s="24" t="str">
        <x:f>'Performance'!$C$66&amp;" / F"&amp;'Performance'!$D$66</x:f>
        <x:v>ehcache / F3</x:v>
      </x:c>
      <x:c r="B14" s="25" t="n">
        <x:f>'Performance'!$P$66</x:f>
        <x:v>24057634.529491935</x:v>
      </x:c>
      <x:c r="C14" s="25" t="n">
        <x:f>'Performance'!$P$68</x:f>
        <x:v>23323853.70604944</x:v>
      </x:c>
    </x:row>
    <x:row r="15">
      <x:c r="A15" s="24" t="str">
        <x:f>'Performance'!$C$70&amp;" / F"&amp;'Performance'!$D$70</x:f>
        <x:v>ehcache / F4</x:v>
      </x:c>
      <x:c r="B15" s="25" t="n">
        <x:f>'Performance'!$P$70</x:f>
        <x:v>26281226.94114405</x:v>
      </x:c>
      <x:c r="C15" s="25" t="n">
        <x:f>'Performance'!$P$72</x:f>
        <x:v>25744678.53784705</x:v>
      </x:c>
    </x:row>
    <x:row r="16">
      <x:c r="A16" s="24" t="str">
        <x:f>'Performance'!$C$74&amp;" / F"&amp;'Performance'!$D$74</x:f>
        <x:v>ehcache / F5</x:v>
      </x:c>
      <x:c r="B16" s="25" t="n">
        <x:f>'Performance'!$P$74</x:f>
        <x:v>25568981.431689773</x:v>
      </x:c>
      <x:c r="C16" s="25" t="n">
        <x:f>'Performance'!$P$76</x:f>
        <x:v>25838327.287535187</x:v>
      </x:c>
    </x:row>
    <x:row r="17">
      <x:c r="A17" s="24" t="str">
        <x:f>'Performance'!$C$78&amp;" / F"&amp;'Performance'!$D$78</x:f>
        <x:v>ehcache / F6</x:v>
      </x:c>
      <x:c r="B17" s="25" t="n">
        <x:f>'Performance'!$P$78</x:f>
        <x:v>26056675.205439124</x:v>
      </x:c>
      <x:c r="C17" s="25" t="n">
        <x:f>'Performance'!$P$80</x:f>
        <x:v>26800058.89574678</x:v>
      </x:c>
    </x:row>
    <x:row r="18">
      <x:c r="A18" s="24" t="str">
        <x:f>'Performance'!$C$82&amp;" / F"&amp;'Performance'!$D$82</x:f>
        <x:v>cache2k / F1</x:v>
      </x:c>
      <x:c r="B18" s="25" t="n">
        <x:f>'Performance'!$P$82</x:f>
        <x:v>30183092.686770067</x:v>
      </x:c>
      <x:c r="C18" s="25" t="n">
        <x:f>'Performance'!$P$84</x:f>
        <x:v>29802588.72899847</x:v>
      </x:c>
    </x:row>
    <x:row r="19">
      <x:c r="A19" s="24" t="str">
        <x:f>'Performance'!$C$86&amp;" / F"&amp;'Performance'!$D$86</x:f>
        <x:v>cache2k / F2</x:v>
      </x:c>
      <x:c r="B19" s="25" t="n">
        <x:f>'Performance'!$P$86</x:f>
        <x:v>29102944.012429234</x:v>
      </x:c>
      <x:c r="C19" s="25" t="n">
        <x:f>'Performance'!$P$88</x:f>
        <x:v>29544166.822933957</x:v>
      </x:c>
    </x:row>
    <x:row r="20">
      <x:c r="A20" s="24" t="str">
        <x:f>'Performance'!$C$90&amp;" / F"&amp;'Performance'!$D$90</x:f>
        <x:v>cache2k / F3</x:v>
      </x:c>
      <x:c r="B20" s="25" t="n">
        <x:f>'Performance'!$P$90</x:f>
        <x:v>28694693.01226229</x:v>
      </x:c>
      <x:c r="C20" s="25" t="n">
        <x:f>'Performance'!$P$92</x:f>
        <x:v>29641825.821150184</x:v>
      </x:c>
    </x:row>
    <x:row r="21">
      <x:c r="A21" s="24" t="str">
        <x:f>'Performance'!$C$94&amp;" / F"&amp;'Performance'!$D$94</x:f>
        <x:v>cache2k / F4</x:v>
      </x:c>
      <x:c r="B21" s="25" t="n">
        <x:f>'Performance'!$P$94</x:f>
        <x:v>31716201.646903183</x:v>
      </x:c>
      <x:c r="C21" s="25" t="n">
        <x:f>'Performance'!$P$96</x:f>
        <x:v>31578079.23164408</x:v>
      </x:c>
    </x:row>
    <x:row r="22">
      <x:c r="A22" s="24" t="str">
        <x:f>'Performance'!$C$98&amp;" / F"&amp;'Performance'!$D$98</x:f>
        <x:v>cache2k / F5</x:v>
      </x:c>
      <x:c r="B22" s="25" t="n">
        <x:f>'Performance'!$P$98</x:f>
        <x:v>31522505.359142225</x:v>
      </x:c>
      <x:c r="C22" s="25" t="n">
        <x:f>'Performance'!$P$100</x:f>
        <x:v>31375857.034719463</x:v>
      </x:c>
    </x:row>
    <x:row r="23">
      <x:c r="A23" s="24" t="str">
        <x:f>'Performance'!$C$102&amp;" / F"&amp;'Performance'!$D$102</x:f>
        <x:v>cache2k / F6</x:v>
      </x:c>
      <x:c r="B23" s="25" t="n">
        <x:f>'Performance'!$P$102</x:f>
        <x:v>31370951.0847551</x:v>
      </x:c>
      <x:c r="C23" s="25" t="n">
        <x:f>'Performance'!$P$104</x:f>
        <x:v>31469206.09545471</x:v>
      </x:c>
    </x:row>
    <x:row r="24">
      <x:c r="A24" s="24" t="str">
        <x:f>'Performance'!$C$106&amp;" / F"&amp;'Performance'!$D$106</x:f>
        <x:v>jcs4 / F1</x:v>
      </x:c>
      <x:c r="B24" s="25" t="n">
        <x:f>'Performance'!$P$106</x:f>
        <x:v>931353.8599180455</x:v>
      </x:c>
      <x:c r="C24" s="25" t="n">
        <x:f>'Performance'!$P$108</x:f>
        <x:v>905712.8277679406</x:v>
      </x:c>
    </x:row>
    <x:row r="25">
      <x:c r="A25" s="24" t="str">
        <x:f>'Performance'!$C$110&amp;" / F"&amp;'Performance'!$D$110</x:f>
        <x:v>jcs4 / F2</x:v>
      </x:c>
      <x:c r="B25" s="25" t="n">
        <x:f>'Performance'!$P$110</x:f>
        <x:v>856131.3993073169</x:v>
      </x:c>
      <x:c r="C25" s="25" t="n">
        <x:f>'Performance'!$P$112</x:f>
        <x:v>935911.2963568326</x:v>
      </x:c>
    </x:row>
    <x:row r="26">
      <x:c r="A26" s="24" t="str">
        <x:f>'Performance'!$C$114&amp;" / F"&amp;'Performance'!$D$114</x:f>
        <x:v>jcs4 / F3</x:v>
      </x:c>
      <x:c r="B26" s="25" t="n">
        <x:f>'Performance'!$P$114</x:f>
        <x:v>798638.0899947461</x:v>
      </x:c>
      <x:c r="C26" s="25" t="n">
        <x:f>'Performance'!$P$116</x:f>
        <x:v>847153.9073961563</x:v>
      </x:c>
    </x:row>
    <x:row r="27">
      <x:c r="A27" s="24" t="str">
        <x:f>'Performance'!$C$118&amp;" / F"&amp;'Performance'!$D$118</x:f>
        <x:v>jcs4 / F4</x:v>
      </x:c>
      <x:c r="B27" s="25" t="n">
        <x:f>'Performance'!$P$118</x:f>
        <x:v>1043127.983130643</x:v>
      </x:c>
      <x:c r="C27" s="25" t="n">
        <x:f>'Performance'!$P$120</x:f>
        <x:v>1001727.1188527115</x:v>
      </x:c>
    </x:row>
    <x:row r="28">
      <x:c r="A28" s="24" t="str">
        <x:f>'Performance'!$C$122&amp;" / F"&amp;'Performance'!$D$122</x:f>
        <x:v>jcs4 / F5</x:v>
      </x:c>
      <x:c r="B28" s="25" t="n">
        <x:f>'Performance'!$P$122</x:f>
        <x:v>997745.7327914049</x:v>
      </x:c>
      <x:c r="C28" s="25" t="n">
        <x:f>'Performance'!$P$124</x:f>
        <x:v>1059556.8155241455</x:v>
      </x:c>
    </x:row>
    <x:row r="29">
      <x:c r="A29" s="24" t="str">
        <x:f>'Performance'!$C$126&amp;" / F"&amp;'Performance'!$D$126</x:f>
        <x:v>jcs4 / F6</x:v>
      </x:c>
      <x:c r="B29" s="25" t="n">
        <x:f>'Performance'!$P$126</x:f>
        <x:v>1166833.5036317997</x:v>
      </x:c>
      <x:c r="C29" s="25" t="n">
        <x:f>'Performance'!$P$128</x:f>
        <x:v>1124269.4677364654</x:v>
      </x:c>
    </x:row>
    <x:row r="32" ht="23" customHeight="1">
      <x:c r="A32" s="10" t="str">
        <x:v>Latenza p99 per fork e fase — primary all cycles</x:v>
      </x:c>
      <x:c r="B32" s="10" t="str">
        <x:v>Latenza p99 per fork e fase — primary all cycles</x:v>
      </x:c>
      <x:c r="C32" s="10" t="str">
        <x:v>Latenza p99 per fork e fase — primary all cycles</x:v>
      </x:c>
    </x:row>
    <x:row r="33" ht="31" customHeight="1">
      <x:c r="A33" s="68" t="str">
        <x:v>provider / fork</x:v>
      </x:c>
      <x:c r="B33" s="68" t="str">
        <x:v>initial p99 (µs)</x:v>
      </x:c>
      <x:c r="C33" s="68" t="str">
        <x:v>redeploy p99 (µs)</x:v>
      </x:c>
    </x:row>
    <x:row r="34">
      <x:c r="A34" s="24" t="str">
        <x:f>'Performance'!$C$34&amp;" / F"&amp;'Performance'!$D$34</x:f>
        <x:v>caffeine / F1</x:v>
      </x:c>
      <x:c r="B34" s="52" t="n">
        <x:f>'Performance'!$Y$34</x:f>
        <x:v>0.521</x:v>
      </x:c>
      <x:c r="C34" s="52" t="n">
        <x:f>'Performance'!$Y$36</x:f>
        <x:v>0.501</x:v>
      </x:c>
    </x:row>
    <x:row r="35">
      <x:c r="A35" s="24" t="str">
        <x:f>'Performance'!$C$38&amp;" / F"&amp;'Performance'!$D$38</x:f>
        <x:v>caffeine / F2</x:v>
      </x:c>
      <x:c r="B35" s="52" t="n">
        <x:f>'Performance'!$Y$38</x:f>
        <x:v>0.481</x:v>
      </x:c>
      <x:c r="C35" s="52" t="n">
        <x:f>'Performance'!$Y$40</x:f>
        <x:v>0.501</x:v>
      </x:c>
    </x:row>
    <x:row r="36">
      <x:c r="A36" s="24" t="str">
        <x:f>'Performance'!$C$42&amp;" / F"&amp;'Performance'!$D$42</x:f>
        <x:v>caffeine / F3</x:v>
      </x:c>
      <x:c r="B36" s="52" t="n">
        <x:f>'Performance'!$Y$42</x:f>
        <x:v>0.461</x:v>
      </x:c>
      <x:c r="C36" s="52" t="n">
        <x:f>'Performance'!$Y$44</x:f>
        <x:v>0.461</x:v>
      </x:c>
    </x:row>
    <x:row r="37">
      <x:c r="A37" s="24" t="str">
        <x:f>'Performance'!$C$46&amp;" / F"&amp;'Performance'!$D$46</x:f>
        <x:v>caffeine / F4</x:v>
      </x:c>
      <x:c r="B37" s="52" t="n">
        <x:f>'Performance'!$Y$46</x:f>
        <x:v>0.471</x:v>
      </x:c>
      <x:c r="C37" s="52" t="n">
        <x:f>'Performance'!$Y$48</x:f>
        <x:v>0.461</x:v>
      </x:c>
    </x:row>
    <x:row r="38">
      <x:c r="A38" s="24" t="str">
        <x:f>'Performance'!$C$50&amp;" / F"&amp;'Performance'!$D$50</x:f>
        <x:v>caffeine / F5</x:v>
      </x:c>
      <x:c r="B38" s="52" t="n">
        <x:f>'Performance'!$Y$50</x:f>
        <x:v>0.481</x:v>
      </x:c>
      <x:c r="C38" s="52" t="n">
        <x:f>'Performance'!$Y$52</x:f>
        <x:v>0.481</x:v>
      </x:c>
    </x:row>
    <x:row r="39">
      <x:c r="A39" s="24" t="str">
        <x:f>'Performance'!$C$54&amp;" / F"&amp;'Performance'!$D$54</x:f>
        <x:v>caffeine / F6</x:v>
      </x:c>
      <x:c r="B39" s="52" t="n">
        <x:f>'Performance'!$Y$54</x:f>
        <x:v>0.491</x:v>
      </x:c>
      <x:c r="C39" s="52" t="n">
        <x:f>'Performance'!$Y$56</x:f>
        <x:v>0.471</x:v>
      </x:c>
    </x:row>
    <x:row r="40">
      <x:c r="A40" s="24" t="str">
        <x:f>'Performance'!$C$58&amp;" / F"&amp;'Performance'!$D$58</x:f>
        <x:v>ehcache / F1</x:v>
      </x:c>
      <x:c r="B40" s="52" t="n">
        <x:f>'Performance'!$Y$58</x:f>
        <x:v>0.561</x:v>
      </x:c>
      <x:c r="C40" s="52" t="n">
        <x:f>'Performance'!$Y$60</x:f>
        <x:v>0.541</x:v>
      </x:c>
    </x:row>
    <x:row r="41">
      <x:c r="A41" s="24" t="str">
        <x:f>'Performance'!$C$62&amp;" / F"&amp;'Performance'!$D$62</x:f>
        <x:v>ehcache / F2</x:v>
      </x:c>
      <x:c r="B41" s="52" t="n">
        <x:f>'Performance'!$Y$62</x:f>
        <x:v>0.561</x:v>
      </x:c>
      <x:c r="C41" s="52" t="n">
        <x:f>'Performance'!$Y$64</x:f>
        <x:v>0.591</x:v>
      </x:c>
    </x:row>
    <x:row r="42">
      <x:c r="A42" s="24" t="str">
        <x:f>'Performance'!$C$66&amp;" / F"&amp;'Performance'!$D$66</x:f>
        <x:v>ehcache / F3</x:v>
      </x:c>
      <x:c r="B42" s="52" t="n">
        <x:f>'Performance'!$Y$66</x:f>
        <x:v>0.541</x:v>
      </x:c>
      <x:c r="C42" s="52" t="n">
        <x:f>'Performance'!$Y$68</x:f>
        <x:v>0.561</x:v>
      </x:c>
    </x:row>
    <x:row r="43">
      <x:c r="A43" s="24" t="str">
        <x:f>'Performance'!$C$70&amp;" / F"&amp;'Performance'!$D$70</x:f>
        <x:v>ehcache / F4</x:v>
      </x:c>
      <x:c r="B43" s="52" t="n">
        <x:f>'Performance'!$Y$70</x:f>
        <x:v>0.461</x:v>
      </x:c>
      <x:c r="C43" s="52" t="n">
        <x:f>'Performance'!$Y$72</x:f>
        <x:v>0.531</x:v>
      </x:c>
    </x:row>
    <x:row r="44">
      <x:c r="A44" s="24" t="str">
        <x:f>'Performance'!$C$74&amp;" / F"&amp;'Performance'!$D$74</x:f>
        <x:v>ehcache / F5</x:v>
      </x:c>
      <x:c r="B44" s="52" t="n">
        <x:f>'Performance'!$Y$74</x:f>
        <x:v>0.521</x:v>
      </x:c>
      <x:c r="C44" s="52" t="n">
        <x:f>'Performance'!$Y$76</x:f>
        <x:v>0.491</x:v>
      </x:c>
    </x:row>
    <x:row r="45">
      <x:c r="A45" s="24" t="str">
        <x:f>'Performance'!$C$78&amp;" / F"&amp;'Performance'!$D$78</x:f>
        <x:v>ehcache / F6</x:v>
      </x:c>
      <x:c r="B45" s="52" t="n">
        <x:f>'Performance'!$Y$78</x:f>
        <x:v>0.491</x:v>
      </x:c>
      <x:c r="C45" s="52" t="n">
        <x:f>'Performance'!$Y$80</x:f>
        <x:v>0.471</x:v>
      </x:c>
    </x:row>
    <x:row r="46">
      <x:c r="A46" s="24" t="str">
        <x:f>'Performance'!$C$82&amp;" / F"&amp;'Performance'!$D$82</x:f>
        <x:v>cache2k / F1</x:v>
      </x:c>
      <x:c r="B46" s="52" t="n">
        <x:f>'Performance'!$Y$82</x:f>
        <x:v>0.511</x:v>
      </x:c>
      <x:c r="C46" s="52" t="n">
        <x:f>'Performance'!$Y$84</x:f>
        <x:v>0.531</x:v>
      </x:c>
    </x:row>
    <x:row r="47">
      <x:c r="A47" s="24" t="str">
        <x:f>'Performance'!$C$86&amp;" / F"&amp;'Performance'!$D$86</x:f>
        <x:v>cache2k / F2</x:v>
      </x:c>
      <x:c r="B47" s="52" t="n">
        <x:f>'Performance'!$Y$86</x:f>
        <x:v>0.531</x:v>
      </x:c>
      <x:c r="C47" s="52" t="n">
        <x:f>'Performance'!$Y$88</x:f>
        <x:v>0.521</x:v>
      </x:c>
    </x:row>
    <x:row r="48">
      <x:c r="A48" s="24" t="str">
        <x:f>'Performance'!$C$90&amp;" / F"&amp;'Performance'!$D$90</x:f>
        <x:v>cache2k / F3</x:v>
      </x:c>
      <x:c r="B48" s="52" t="n">
        <x:f>'Performance'!$Y$90</x:f>
        <x:v>0.532</x:v>
      </x:c>
      <x:c r="C48" s="52" t="n">
        <x:f>'Performance'!$Y$92</x:f>
        <x:v>0.501</x:v>
      </x:c>
    </x:row>
    <x:row r="49">
      <x:c r="A49" s="24" t="str">
        <x:f>'Performance'!$C$94&amp;" / F"&amp;'Performance'!$D$94</x:f>
        <x:v>cache2k / F4</x:v>
      </x:c>
      <x:c r="B49" s="52" t="n">
        <x:f>'Performance'!$Y$94</x:f>
        <x:v>0.501</x:v>
      </x:c>
      <x:c r="C49" s="52" t="n">
        <x:f>'Performance'!$Y$96</x:f>
        <x:v>0.511</x:v>
      </x:c>
    </x:row>
    <x:row r="50">
      <x:c r="A50" s="24" t="str">
        <x:f>'Performance'!$C$98&amp;" / F"&amp;'Performance'!$D$98</x:f>
        <x:v>cache2k / F5</x:v>
      </x:c>
      <x:c r="B50" s="52" t="n">
        <x:f>'Performance'!$Y$98</x:f>
        <x:v>0.501</x:v>
      </x:c>
      <x:c r="C50" s="52" t="n">
        <x:f>'Performance'!$Y$100</x:f>
        <x:v>0.501</x:v>
      </x:c>
    </x:row>
    <x:row r="51">
      <x:c r="A51" s="24" t="str">
        <x:f>'Performance'!$C$102&amp;" / F"&amp;'Performance'!$D$102</x:f>
        <x:v>cache2k / F6</x:v>
      </x:c>
      <x:c r="B51" s="52" t="n">
        <x:f>'Performance'!$Y$102</x:f>
        <x:v>0.501</x:v>
      </x:c>
      <x:c r="C51" s="52" t="n">
        <x:f>'Performance'!$Y$104</x:f>
        <x:v>0.481</x:v>
      </x:c>
    </x:row>
    <x:row r="52">
      <x:c r="A52" s="24" t="str">
        <x:f>'Performance'!$C$106&amp;" / F"&amp;'Performance'!$D$106</x:f>
        <x:v>jcs4 / F1</x:v>
      </x:c>
      <x:c r="B52" s="52" t="n">
        <x:f>'Performance'!$Y$106</x:f>
        <x:v>287.55</x:v>
      </x:c>
      <x:c r="C52" s="52" t="n">
        <x:f>'Performance'!$Y$108</x:f>
        <x:v>277.051</x:v>
      </x:c>
    </x:row>
    <x:row r="53">
      <x:c r="A53" s="24" t="str">
        <x:f>'Performance'!$C$110&amp;" / F"&amp;'Performance'!$D$110</x:f>
        <x:v>jcs4 / F2</x:v>
      </x:c>
      <x:c r="B53" s="52" t="n">
        <x:f>'Performance'!$Y$110</x:f>
        <x:v>286.01</x:v>
      </x:c>
      <x:c r="C53" s="52" t="n">
        <x:f>'Performance'!$Y$112</x:f>
        <x:v>293.264</x:v>
      </x:c>
    </x:row>
    <x:row r="54">
      <x:c r="A54" s="24" t="str">
        <x:f>'Performance'!$C$114&amp;" / F"&amp;'Performance'!$D$114</x:f>
        <x:v>jcs4 / F3</x:v>
      </x:c>
      <x:c r="B54" s="52" t="n">
        <x:f>'Performance'!$Y$114</x:f>
        <x:v>304.917</x:v>
      </x:c>
      <x:c r="C54" s="52" t="n">
        <x:f>'Performance'!$Y$116</x:f>
        <x:v>286.286</x:v>
      </x:c>
    </x:row>
    <x:row r="55">
      <x:c r="A55" s="24" t="str">
        <x:f>'Performance'!$C$118&amp;" / F"&amp;'Performance'!$D$118</x:f>
        <x:v>jcs4 / F4</x:v>
      </x:c>
      <x:c r="B55" s="52" t="n">
        <x:f>'Performance'!$Y$118</x:f>
        <x:v>277.388</x:v>
      </x:c>
      <x:c r="C55" s="52" t="n">
        <x:f>'Performance'!$Y$120</x:f>
        <x:v>269.67</x:v>
      </x:c>
    </x:row>
    <x:row r="56">
      <x:c r="A56" s="24" t="str">
        <x:f>'Performance'!$C$122&amp;" / F"&amp;'Performance'!$D$122</x:f>
        <x:v>jcs4 / F5</x:v>
      </x:c>
      <x:c r="B56" s="52" t="n">
        <x:f>'Performance'!$Y$122</x:f>
        <x:v>270.272</x:v>
      </x:c>
      <x:c r="C56" s="52" t="n">
        <x:f>'Performance'!$Y$124</x:f>
        <x:v>270.901</x:v>
      </x:c>
    </x:row>
    <x:row r="57">
      <x:c r="A57" s="24" t="str">
        <x:f>'Performance'!$C$126&amp;" / F"&amp;'Performance'!$D$126</x:f>
        <x:v>jcs4 / F6</x:v>
      </x:c>
      <x:c r="B57" s="52" t="n">
        <x:f>'Performance'!$Y$126</x:f>
        <x:v>272.292</x:v>
      </x:c>
      <x:c r="C57" s="52" t="n">
        <x:f>'Performance'!$Y$128</x:f>
        <x:v>267.513</x:v>
      </x:c>
    </x:row>
    <x:row r="60" ht="23" customHeight="1">
      <x:c r="A60" s="10" t="str">
        <x:v>Apache Commons JCS 3.2.1: firme thread al checkpoint finale dopo il secondo undeploy (una serie per JVM)</x:v>
      </x:c>
      <x:c r="B60" s="10" t="str">
        <x:v>Apache Commons JCS 3.2.1: firme thread al checkpoint finale dopo il secondo undeploy (una serie per JVM)</x:v>
      </x:c>
      <x:c r="C60" s="10" t="str">
        <x:v>Apache Commons JCS 3.2.1: firme thread al checkpoint finale dopo il secondo undeploy (una serie per JVM)</x:v>
      </x:c>
      <x:c r="D60" s="10" t="str">
        <x:v>Apache Commons JCS 3.2.1: firme thread al checkpoint finale dopo il secondo undeploy (una serie per JVM)</x:v>
      </x:c>
      <x:c r="E60" s="10" t="str">
        <x:v>Apache Commons JCS 3.2.1: firme thread al checkpoint finale dopo il secondo undeploy (una serie per JVM)</x:v>
      </x:c>
      <x:c r="F60" s="10" t="str">
        <x:v>Apache Commons JCS 3.2.1: firme thread al checkpoint finale dopo il secondo undeploy (una serie per JVM)</x:v>
      </x:c>
      <x:c r="G60" s="10" t="str">
        <x:v>Apache Commons JCS 3.2.1: firme thread al checkpoint finale dopo il secondo undeploy (una serie per JVM)</x:v>
      </x:c>
    </x:row>
    <x:row r="61" ht="31" customHeight="1">
      <x:c r="A61" s="68" t="str">
        <x:v>cycle</x:v>
      </x:c>
      <x:c r="B61" s="68" t="str">
        <x:v>fork 1</x:v>
      </x:c>
      <x:c r="C61" s="68" t="str">
        <x:v>fork 2</x:v>
      </x:c>
      <x:c r="D61" s="68" t="str">
        <x:v>fork 3</x:v>
      </x:c>
      <x:c r="E61" s="68" t="str">
        <x:v>fork 4</x:v>
      </x:c>
      <x:c r="F61" s="68" t="str">
        <x:v>fork 5</x:v>
      </x:c>
      <x:c r="G61" s="68" t="str">
        <x:v>fork 6</x:v>
      </x:c>
    </x:row>
    <x:row r="62">
      <x:c r="A62" s="24" t="n">
        <x:v>1</x:v>
      </x:c>
      <x:c r="B62" s="35" t="n">
        <x:f>'Snapshots Raw'!$V$174</x:f>
        <x:v>2</x:v>
      </x:c>
      <x:c r="C62" s="35" t="n">
        <x:f>'Snapshots Raw'!$V$461</x:f>
        <x:v>2</x:v>
      </x:c>
      <x:c r="D62" s="35" t="n">
        <x:f>'Snapshots Raw'!$V$625</x:f>
        <x:v>2</x:v>
      </x:c>
      <x:c r="E62" s="35" t="n">
        <x:f>'Snapshots Raw'!$V$789</x:f>
        <x:v>2</x:v>
      </x:c>
      <x:c r="F62" s="35" t="n">
        <x:f>'Snapshots Raw'!$V$994</x:f>
        <x:v>2</x:v>
      </x:c>
      <x:c r="G62" s="35" t="n">
        <x:f>'Snapshots Raw'!$V$1322</x:f>
        <x:v>2</x:v>
      </x:c>
    </x:row>
    <x:row r="63">
      <x:c r="A63" s="24" t="n">
        <x:v>2</x:v>
      </x:c>
      <x:c r="B63" s="35" t="n">
        <x:f>'Snapshots Raw'!$V$182</x:f>
        <x:v>4</x:v>
      </x:c>
      <x:c r="C63" s="35" t="n">
        <x:f>'Snapshots Raw'!$V$469</x:f>
        <x:v>4</x:v>
      </x:c>
      <x:c r="D63" s="35" t="n">
        <x:f>'Snapshots Raw'!$V$633</x:f>
        <x:v>4</x:v>
      </x:c>
      <x:c r="E63" s="35" t="n">
        <x:f>'Snapshots Raw'!$V$797</x:f>
        <x:v>4</x:v>
      </x:c>
      <x:c r="F63" s="35" t="n">
        <x:f>'Snapshots Raw'!$V$1002</x:f>
        <x:v>4</x:v>
      </x:c>
      <x:c r="G63" s="35" t="n">
        <x:f>'Snapshots Raw'!$V$1330</x:f>
        <x:v>4</x:v>
      </x:c>
    </x:row>
    <x:row r="64">
      <x:c r="A64" s="24" t="n">
        <x:v>3</x:v>
      </x:c>
      <x:c r="B64" s="35" t="n">
        <x:f>'Snapshots Raw'!$V$190</x:f>
        <x:v>6</x:v>
      </x:c>
      <x:c r="C64" s="35" t="n">
        <x:f>'Snapshots Raw'!$V$477</x:f>
        <x:v>6</x:v>
      </x:c>
      <x:c r="D64" s="35" t="n">
        <x:f>'Snapshots Raw'!$V$641</x:f>
        <x:v>6</x:v>
      </x:c>
      <x:c r="E64" s="35" t="n">
        <x:f>'Snapshots Raw'!$V$805</x:f>
        <x:v>6</x:v>
      </x:c>
      <x:c r="F64" s="35" t="n">
        <x:f>'Snapshots Raw'!$V$1010</x:f>
        <x:v>6</x:v>
      </x:c>
      <x:c r="G64" s="35" t="n">
        <x:f>'Snapshots Raw'!$V$1338</x:f>
        <x:v>6</x:v>
      </x:c>
    </x:row>
    <x:row r="65">
      <x:c r="A65" s="24" t="n">
        <x:v>4</x:v>
      </x:c>
      <x:c r="B65" s="35" t="n">
        <x:f>'Snapshots Raw'!$V$198</x:f>
        <x:v>8</x:v>
      </x:c>
      <x:c r="C65" s="35" t="n">
        <x:f>'Snapshots Raw'!$V$485</x:f>
        <x:v>8</x:v>
      </x:c>
      <x:c r="D65" s="35" t="n">
        <x:f>'Snapshots Raw'!$V$649</x:f>
        <x:v>8</x:v>
      </x:c>
      <x:c r="E65" s="35" t="n">
        <x:f>'Snapshots Raw'!$V$813</x:f>
        <x:v>8</x:v>
      </x:c>
      <x:c r="F65" s="35" t="n">
        <x:f>'Snapshots Raw'!$V$1018</x:f>
        <x:v>8</x:v>
      </x:c>
      <x:c r="G65" s="35" t="n">
        <x:f>'Snapshots Raw'!$V$1346</x:f>
        <x:v>8</x:v>
      </x:c>
    </x:row>
    <x:row r="66">
      <x:c r="A66" s="24" t="n">
        <x:v>5</x:v>
      </x:c>
      <x:c r="B66" s="35" t="n">
        <x:f>'Snapshots Raw'!$V$206</x:f>
        <x:v>10</x:v>
      </x:c>
      <x:c r="C66" s="35" t="n">
        <x:f>'Snapshots Raw'!$V$493</x:f>
        <x:v>10</x:v>
      </x:c>
      <x:c r="D66" s="35" t="n">
        <x:f>'Snapshots Raw'!$V$657</x:f>
        <x:v>10</x:v>
      </x:c>
      <x:c r="E66" s="35" t="n">
        <x:f>'Snapshots Raw'!$V$821</x:f>
        <x:v>10</x:v>
      </x:c>
      <x:c r="F66" s="35" t="n">
        <x:f>'Snapshots Raw'!$V$1026</x:f>
        <x:v>10</x:v>
      </x:c>
      <x:c r="G66" s="35" t="n">
        <x:f>'Snapshots Raw'!$V$1354</x:f>
        <x:v>10</x:v>
      </x:c>
    </x:row>
    <x:row r="69" ht="23" customHeight="1">
      <x:c r="A69" s="10" t="str">
        <x:v>Apache Commons JCS 4.0.0-SNAPSHOT: firme thread al checkpoint finale dopo il secondo undeploy (una serie per JVM)</x:v>
      </x:c>
      <x:c r="B69" s="10" t="str">
        <x:v>Apache Commons JCS 4.0.0-SNAPSHOT: firme thread al checkpoint finale dopo il secondo undeploy (una serie per JVM)</x:v>
      </x:c>
      <x:c r="C69" s="10" t="str">
        <x:v>Apache Commons JCS 4.0.0-SNAPSHOT: firme thread al checkpoint finale dopo il secondo undeploy (una serie per JVM)</x:v>
      </x:c>
      <x:c r="D69" s="10" t="str">
        <x:v>Apache Commons JCS 4.0.0-SNAPSHOT: firme thread al checkpoint finale dopo il secondo undeploy (una serie per JVM)</x:v>
      </x:c>
      <x:c r="E69" s="10" t="str">
        <x:v>Apache Commons JCS 4.0.0-SNAPSHOT: firme thread al checkpoint finale dopo il secondo undeploy (una serie per JVM)</x:v>
      </x:c>
      <x:c r="F69" s="10" t="str">
        <x:v>Apache Commons JCS 4.0.0-SNAPSHOT: firme thread al checkpoint finale dopo il secondo undeploy (una serie per JVM)</x:v>
      </x:c>
      <x:c r="G69" s="10" t="str">
        <x:v>Apache Commons JCS 4.0.0-SNAPSHOT: firme thread al checkpoint finale dopo il secondo undeploy (una serie per JVM)</x:v>
      </x:c>
    </x:row>
    <x:row r="70" ht="31" customHeight="1">
      <x:c r="A70" s="68" t="str">
        <x:v>cycle</x:v>
      </x:c>
      <x:c r="B70" s="68" t="str">
        <x:v>fork 1</x:v>
      </x:c>
      <x:c r="C70" s="68" t="str">
        <x:v>fork 2</x:v>
      </x:c>
      <x:c r="D70" s="68" t="str">
        <x:v>fork 3</x:v>
      </x:c>
      <x:c r="E70" s="68" t="str">
        <x:v>fork 4</x:v>
      </x:c>
      <x:c r="F70" s="68" t="str">
        <x:v>fork 5</x:v>
      </x:c>
      <x:c r="G70" s="68" t="str">
        <x:v>fork 6</x:v>
      </x:c>
    </x:row>
    <x:row r="71">
      <x:c r="A71" s="24" t="n">
        <x:v>1</x:v>
      </x:c>
      <x:c r="B71" s="35" t="n">
        <x:f>'Snapshots Raw'!$V$215</x:f>
        <x:v>0</x:v>
      </x:c>
      <x:c r="C71" s="35" t="n">
        <x:f>'Snapshots Raw'!$V$379</x:f>
        <x:v>0</x:v>
      </x:c>
      <x:c r="D71" s="35" t="n">
        <x:f>'Snapshots Raw'!$V$543</x:f>
        <x:v>0</x:v>
      </x:c>
      <x:c r="E71" s="35" t="n">
        <x:f>'Snapshots Raw'!$V$748</x:f>
        <x:v>0</x:v>
      </x:c>
      <x:c r="F71" s="35" t="n">
        <x:f>'Snapshots Raw'!$V$1076</x:f>
        <x:v>0</x:v>
      </x:c>
      <x:c r="G71" s="35" t="n">
        <x:f>'Snapshots Raw'!$V$1404</x:f>
        <x:v>0</x:v>
      </x:c>
    </x:row>
    <x:row r="72">
      <x:c r="A72" s="24" t="n">
        <x:v>2</x:v>
      </x:c>
      <x:c r="B72" s="35" t="n">
        <x:f>'Snapshots Raw'!$V$223</x:f>
        <x:v>0</x:v>
      </x:c>
      <x:c r="C72" s="35" t="n">
        <x:f>'Snapshots Raw'!$V$387</x:f>
        <x:v>0</x:v>
      </x:c>
      <x:c r="D72" s="35" t="n">
        <x:f>'Snapshots Raw'!$V$551</x:f>
        <x:v>0</x:v>
      </x:c>
      <x:c r="E72" s="35" t="n">
        <x:f>'Snapshots Raw'!$V$756</x:f>
        <x:v>0</x:v>
      </x:c>
      <x:c r="F72" s="35" t="n">
        <x:f>'Snapshots Raw'!$V$1084</x:f>
        <x:v>0</x:v>
      </x:c>
      <x:c r="G72" s="35" t="n">
        <x:f>'Snapshots Raw'!$V$1412</x:f>
        <x:v>0</x:v>
      </x:c>
    </x:row>
    <x:row r="73">
      <x:c r="A73" s="24" t="n">
        <x:v>3</x:v>
      </x:c>
      <x:c r="B73" s="35" t="n">
        <x:f>'Snapshots Raw'!$V$231</x:f>
        <x:v>0</x:v>
      </x:c>
      <x:c r="C73" s="35" t="n">
        <x:f>'Snapshots Raw'!$V$395</x:f>
        <x:v>0</x:v>
      </x:c>
      <x:c r="D73" s="35" t="n">
        <x:f>'Snapshots Raw'!$V$559</x:f>
        <x:v>0</x:v>
      </x:c>
      <x:c r="E73" s="35" t="n">
        <x:f>'Snapshots Raw'!$V$764</x:f>
        <x:v>0</x:v>
      </x:c>
      <x:c r="F73" s="35" t="n">
        <x:f>'Snapshots Raw'!$V$1092</x:f>
        <x:v>0</x:v>
      </x:c>
      <x:c r="G73" s="35" t="n">
        <x:f>'Snapshots Raw'!$V$1420</x:f>
        <x:v>0</x:v>
      </x:c>
    </x:row>
    <x:row r="74">
      <x:c r="A74" s="24" t="n">
        <x:v>4</x:v>
      </x:c>
      <x:c r="B74" s="35" t="n">
        <x:f>'Snapshots Raw'!$V$239</x:f>
        <x:v>0</x:v>
      </x:c>
      <x:c r="C74" s="35" t="n">
        <x:f>'Snapshots Raw'!$V$403</x:f>
        <x:v>0</x:v>
      </x:c>
      <x:c r="D74" s="35" t="n">
        <x:f>'Snapshots Raw'!$V$567</x:f>
        <x:v>0</x:v>
      </x:c>
      <x:c r="E74" s="35" t="n">
        <x:f>'Snapshots Raw'!$V$772</x:f>
        <x:v>0</x:v>
      </x:c>
      <x:c r="F74" s="35" t="n">
        <x:f>'Snapshots Raw'!$V$1100</x:f>
        <x:v>0</x:v>
      </x:c>
      <x:c r="G74" s="35" t="n">
        <x:f>'Snapshots Raw'!$V$1428</x:f>
        <x:v>0</x:v>
      </x:c>
    </x:row>
    <x:row r="75">
      <x:c r="A75" s="24" t="n">
        <x:v>5</x:v>
      </x:c>
      <x:c r="B75" s="35" t="n">
        <x:f>'Snapshots Raw'!$V$247</x:f>
        <x:v>0</x:v>
      </x:c>
      <x:c r="C75" s="35" t="n">
        <x:f>'Snapshots Raw'!$V$411</x:f>
        <x:v>0</x:v>
      </x:c>
      <x:c r="D75" s="35" t="n">
        <x:f>'Snapshots Raw'!$V$575</x:f>
        <x:v>0</x:v>
      </x:c>
      <x:c r="E75" s="35" t="n">
        <x:f>'Snapshots Raw'!$V$780</x:f>
        <x:v>0</x:v>
      </x:c>
      <x:c r="F75" s="35" t="n">
        <x:f>'Snapshots Raw'!$V$1108</x:f>
        <x:v>0</x:v>
      </x:c>
      <x:c r="G75" s="35" t="n">
        <x:f>'Snapshots Raw'!$V$1436</x:f>
        <x:v>0</x:v>
      </x:c>
    </x:row>
    <x:row r="78" ht="23" customHeight="1">
      <x:c r="A78" s="10" t="str">
        <x:v>heap slope (MiB/cycle): una barra per process run indipendente</x:v>
      </x:c>
      <x:c r="B78" s="10" t="str">
        <x:v>heap slope (MiB/cycle): una barra per process run indipendente</x:v>
      </x:c>
    </x:row>
    <x:row r="79" ht="31" customHeight="1">
      <x:c r="A79" s="68" t="str">
        <x:v>provider / fork</x:v>
      </x:c>
      <x:c r="B79" s="68" t="str">
        <x:v>heap slope (MiB/cycle)</x:v>
      </x:c>
    </x:row>
    <x:row r="80">
      <x:c r="A80" s="24" t="str">
        <x:f>'Lifecycle'!$C$16&amp;" / F"&amp;'Lifecycle'!$D$16</x:f>
        <x:v>caffeine / F1</x:v>
      </x:c>
      <x:c r="B80" s="26" t="n">
        <x:f>'Lifecycle'!$U$16/'Readme-Protocol'!$B$26</x:f>
        <x:v>-0.73154296875</x:v>
      </x:c>
    </x:row>
    <x:row r="81">
      <x:c r="A81" s="24" t="str">
        <x:f>'Lifecycle'!$C$17&amp;" / F"&amp;'Lifecycle'!$D$17</x:f>
        <x:v>caffeine / F2</x:v>
      </x:c>
      <x:c r="B81" s="26" t="n">
        <x:f>'Lifecycle'!$U$17/'Readme-Protocol'!$B$26</x:f>
        <x:v>-0.7587890625</x:v>
      </x:c>
    </x:row>
    <x:row r="82">
      <x:c r="A82" s="24" t="str">
        <x:f>'Lifecycle'!$C$18&amp;" / F"&amp;'Lifecycle'!$D$18</x:f>
        <x:v>caffeine / F3</x:v>
      </x:c>
      <x:c r="B82" s="26" t="n">
        <x:f>'Lifecycle'!$U$18/'Readme-Protocol'!$B$26</x:f>
        <x:v>0.031640625</x:v>
      </x:c>
    </x:row>
    <x:row r="83">
      <x:c r="A83" s="24" t="str">
        <x:f>'Lifecycle'!$C$19&amp;" / F"&amp;'Lifecycle'!$D$19</x:f>
        <x:v>caffeine / F4</x:v>
      </x:c>
      <x:c r="B83" s="26" t="n">
        <x:f>'Lifecycle'!$U$19/'Readme-Protocol'!$B$26</x:f>
        <x:v>-0.748828125</x:v>
      </x:c>
    </x:row>
    <x:row r="84">
      <x:c r="A84" s="24" t="str">
        <x:f>'Lifecycle'!$C$20&amp;" / F"&amp;'Lifecycle'!$D$20</x:f>
        <x:v>caffeine / F5</x:v>
      </x:c>
      <x:c r="B84" s="26" t="n">
        <x:f>'Lifecycle'!$U$20/'Readme-Protocol'!$B$26</x:f>
        <x:v>-0.771875</x:v>
      </x:c>
    </x:row>
    <x:row r="85">
      <x:c r="A85" s="24" t="str">
        <x:f>'Lifecycle'!$C$21&amp;" / F"&amp;'Lifecycle'!$D$21</x:f>
        <x:v>caffeine / F6</x:v>
      </x:c>
      <x:c r="B85" s="26" t="n">
        <x:f>'Lifecycle'!$U$21/'Readme-Protocol'!$B$26</x:f>
        <x:v>0.0298828125</x:v>
      </x:c>
    </x:row>
    <x:row r="86">
      <x:c r="A86" s="24" t="str">
        <x:f>'Lifecycle'!$C$22&amp;" / F"&amp;'Lifecycle'!$D$22</x:f>
        <x:v>ehcache / F1</x:v>
      </x:c>
      <x:c r="B86" s="26" t="n">
        <x:f>'Lifecycle'!$U$22/'Readme-Protocol'!$B$26</x:f>
        <x:v>-0.81162109375</x:v>
      </x:c>
    </x:row>
    <x:row r="87">
      <x:c r="A87" s="24" t="str">
        <x:f>'Lifecycle'!$C$23&amp;" / F"&amp;'Lifecycle'!$D$23</x:f>
        <x:v>ehcache / F2</x:v>
      </x:c>
      <x:c r="B87" s="26" t="n">
        <x:f>'Lifecycle'!$U$23/'Readme-Protocol'!$B$26</x:f>
        <x:v>0.0271484375</x:v>
      </x:c>
    </x:row>
    <x:row r="88">
      <x:c r="A88" s="24" t="str">
        <x:f>'Lifecycle'!$C$24&amp;" / F"&amp;'Lifecycle'!$D$24</x:f>
        <x:v>ehcache / F3</x:v>
      </x:c>
      <x:c r="B88" s="26" t="n">
        <x:f>'Lifecycle'!$U$24/'Readme-Protocol'!$B$26</x:f>
        <x:v>0.01953125</x:v>
      </x:c>
    </x:row>
    <x:row r="89">
      <x:c r="A89" s="24" t="str">
        <x:f>'Lifecycle'!$C$25&amp;" / F"&amp;'Lifecycle'!$D$25</x:f>
        <x:v>ehcache / F4</x:v>
      </x:c>
      <x:c r="B89" s="26" t="n">
        <x:f>'Lifecycle'!$U$25/'Readme-Protocol'!$B$26</x:f>
        <x:v>0.025390625</x:v>
      </x:c>
    </x:row>
    <x:row r="90">
      <x:c r="A90" s="24" t="str">
        <x:f>'Lifecycle'!$C$26&amp;" / F"&amp;'Lifecycle'!$D$26</x:f>
        <x:v>ehcache / F5</x:v>
      </x:c>
      <x:c r="B90" s="26" t="n">
        <x:f>'Lifecycle'!$U$26/'Readme-Protocol'!$B$26</x:f>
        <x:v>-0.80986328125</x:v>
      </x:c>
    </x:row>
    <x:row r="91">
      <x:c r="A91" s="24" t="str">
        <x:f>'Lifecycle'!$C$27&amp;" / F"&amp;'Lifecycle'!$D$27</x:f>
        <x:v>ehcache / F6</x:v>
      </x:c>
      <x:c r="B91" s="26" t="n">
        <x:f>'Lifecycle'!$U$27/'Readme-Protocol'!$B$26</x:f>
        <x:v>0.027734375</x:v>
      </x:c>
    </x:row>
    <x:row r="92">
      <x:c r="A92" s="24" t="str">
        <x:f>'Lifecycle'!$C$28&amp;" / F"&amp;'Lifecycle'!$D$28</x:f>
        <x:v>cache2k / F1</x:v>
      </x:c>
      <x:c r="B92" s="26" t="n">
        <x:f>'Lifecycle'!$U$28/'Readme-Protocol'!$B$26</x:f>
        <x:v>0.02646484375</x:v>
      </x:c>
    </x:row>
    <x:row r="93">
      <x:c r="A93" s="24" t="str">
        <x:f>'Lifecycle'!$C$29&amp;" / F"&amp;'Lifecycle'!$D$29</x:f>
        <x:v>cache2k / F2</x:v>
      </x:c>
      <x:c r="B93" s="26" t="n">
        <x:f>'Lifecycle'!$U$29/'Readme-Protocol'!$B$26</x:f>
        <x:v>0.012109375</x:v>
      </x:c>
    </x:row>
    <x:row r="94">
      <x:c r="A94" s="24" t="str">
        <x:f>'Lifecycle'!$C$30&amp;" / F"&amp;'Lifecycle'!$D$30</x:f>
        <x:v>cache2k / F3</x:v>
      </x:c>
      <x:c r="B94" s="26" t="n">
        <x:f>'Lifecycle'!$U$30/'Readme-Protocol'!$B$26</x:f>
        <x:v>-0.75615234375</x:v>
      </x:c>
    </x:row>
    <x:row r="95">
      <x:c r="A95" s="24" t="str">
        <x:f>'Lifecycle'!$C$31&amp;" / F"&amp;'Lifecycle'!$D$31</x:f>
        <x:v>cache2k / F4</x:v>
      </x:c>
      <x:c r="B95" s="26" t="n">
        <x:f>'Lifecycle'!$U$31/'Readme-Protocol'!$B$26</x:f>
        <x:v>0.014453125</x:v>
      </x:c>
    </x:row>
    <x:row r="96">
      <x:c r="A96" s="24" t="str">
        <x:f>'Lifecycle'!$C$32&amp;" / F"&amp;'Lifecycle'!$D$32</x:f>
        <x:v>cache2k / F5</x:v>
      </x:c>
      <x:c r="B96" s="26" t="n">
        <x:f>'Lifecycle'!$U$32/'Readme-Protocol'!$B$26</x:f>
        <x:v>0.02060546875</x:v>
      </x:c>
    </x:row>
    <x:row r="97">
      <x:c r="A97" s="24" t="str">
        <x:f>'Lifecycle'!$C$33&amp;" / F"&amp;'Lifecycle'!$D$33</x:f>
        <x:v>cache2k / F6</x:v>
      </x:c>
      <x:c r="B97" s="26" t="n">
        <x:f>'Lifecycle'!$U$33/'Readme-Protocol'!$B$26</x:f>
        <x:v>0.02685546875</x:v>
      </x:c>
    </x:row>
    <x:row r="98">
      <x:c r="A98" s="24" t="str">
        <x:f>'Lifecycle'!$C$34&amp;" / F"&amp;'Lifecycle'!$D$34</x:f>
        <x:v>jcs4 / F1</x:v>
      </x:c>
      <x:c r="B98" s="26" t="n">
        <x:f>'Lifecycle'!$U$34/'Readme-Protocol'!$B$26</x:f>
        <x:v>0.03525390625</x:v>
      </x:c>
    </x:row>
    <x:row r="99">
      <x:c r="A99" s="24" t="str">
        <x:f>'Lifecycle'!$C$35&amp;" / F"&amp;'Lifecycle'!$D$35</x:f>
        <x:v>jcs4 / F2</x:v>
      </x:c>
      <x:c r="B99" s="26" t="n">
        <x:f>'Lifecycle'!$U$35/'Readme-Protocol'!$B$26</x:f>
        <x:v>-0.7279296875</x:v>
      </x:c>
    </x:row>
    <x:row r="100">
      <x:c r="A100" s="24" t="str">
        <x:f>'Lifecycle'!$C$36&amp;" / F"&amp;'Lifecycle'!$D$36</x:f>
        <x:v>jcs4 / F3</x:v>
      </x:c>
      <x:c r="B100" s="26" t="n">
        <x:f>'Lifecycle'!$U$36/'Readme-Protocol'!$B$26</x:f>
        <x:v>0.03486328125</x:v>
      </x:c>
    </x:row>
    <x:row r="101">
      <x:c r="A101" s="24" t="str">
        <x:f>'Lifecycle'!$C$37&amp;" / F"&amp;'Lifecycle'!$D$37</x:f>
        <x:v>jcs4 / F4</x:v>
      </x:c>
      <x:c r="B101" s="26" t="n">
        <x:f>'Lifecycle'!$U$37/'Readme-Protocol'!$B$26</x:f>
        <x:v>0.04912109375</x:v>
      </x:c>
    </x:row>
    <x:row r="102">
      <x:c r="A102" s="24" t="str">
        <x:f>'Lifecycle'!$C$38&amp;" / F"&amp;'Lifecycle'!$D$38</x:f>
        <x:v>jcs4 / F5</x:v>
      </x:c>
      <x:c r="B102" s="26" t="n">
        <x:f>'Lifecycle'!$U$38/'Readme-Protocol'!$B$26</x:f>
        <x:v>0.04765625</x:v>
      </x:c>
    </x:row>
    <x:row r="103">
      <x:c r="A103" s="24" t="str">
        <x:f>'Lifecycle'!$C$39&amp;" / F"&amp;'Lifecycle'!$D$39</x:f>
        <x:v>jcs4 / F6</x:v>
      </x:c>
      <x:c r="B103" s="26" t="n">
        <x:f>'Lifecycle'!$U$39/'Readme-Protocol'!$B$26</x:f>
        <x:v>0.0513671875</x:v>
      </x:c>
    </x:row>
    <x:row r="104">
      <x:c r="A104" s="24" t="str">
        <x:f>'Lifecycle'!$C$40&amp;" / F"&amp;'Lifecycle'!$D$40</x:f>
        <x:v>jcs321 / F1</x:v>
      </x:c>
      <x:c r="B104" s="26" t="n">
        <x:f>'Lifecycle'!$U$40/'Readme-Protocol'!$B$26</x:f>
        <x:v>8.11181640625</x:v>
      </x:c>
    </x:row>
    <x:row r="105">
      <x:c r="A105" s="24" t="str">
        <x:f>'Lifecycle'!$C$41&amp;" / F"&amp;'Lifecycle'!$D$41</x:f>
        <x:v>jcs321 / F2</x:v>
      </x:c>
      <x:c r="B105" s="26" t="n">
        <x:f>'Lifecycle'!$U$41/'Readme-Protocol'!$B$26</x:f>
        <x:v>8.09814453125</x:v>
      </x:c>
    </x:row>
    <x:row r="106">
      <x:c r="A106" s="24" t="str">
        <x:f>'Lifecycle'!$C$42&amp;" / F"&amp;'Lifecycle'!$D$42</x:f>
        <x:v>jcs321 / F3</x:v>
      </x:c>
      <x:c r="B106" s="26" t="n">
        <x:f>'Lifecycle'!$U$42/'Readme-Protocol'!$B$26</x:f>
        <x:v>8.07421875</x:v>
      </x:c>
    </x:row>
    <x:row r="107">
      <x:c r="A107" s="24" t="str">
        <x:f>'Lifecycle'!$C$43&amp;" / F"&amp;'Lifecycle'!$D$43</x:f>
        <x:v>jcs321 / F4</x:v>
      </x:c>
      <x:c r="B107" s="26" t="n">
        <x:f>'Lifecycle'!$U$43/'Readme-Protocol'!$B$26</x:f>
        <x:v>8.12373046875</x:v>
      </x:c>
    </x:row>
    <x:row r="108">
      <x:c r="A108" s="24" t="str">
        <x:f>'Lifecycle'!$C$44&amp;" / F"&amp;'Lifecycle'!$D$44</x:f>
        <x:v>jcs321 / F5</x:v>
      </x:c>
      <x:c r="B108" s="26" t="n">
        <x:f>'Lifecycle'!$U$44/'Readme-Protocol'!$B$26</x:f>
        <x:v>8.0916015625</x:v>
      </x:c>
    </x:row>
    <x:row r="109">
      <x:c r="A109" s="24" t="str">
        <x:f>'Lifecycle'!$C$45&amp;" / F"&amp;'Lifecycle'!$D$45</x:f>
        <x:v>jcs321 / F6</x:v>
      </x:c>
      <x:c r="B109" s="26" t="n">
        <x:f>'Lifecycle'!$U$45/'Readme-Protocol'!$B$26</x:f>
        <x:v>8.11220703125</x:v>
      </x:c>
    </x:row>
    <x:row r="110">
      <x:c r="A110" s="24" t="str">
        <x:f>'Lifecycle'!$C$46&amp;" / F"&amp;'Lifecycle'!$D$46</x:f>
        <x:v>nostore / F1</x:v>
      </x:c>
      <x:c r="B110" s="26" t="n">
        <x:f>'Lifecycle'!$U$46/'Readme-Protocol'!$B$26</x:f>
        <x:v>-0.00263671875</x:v>
      </x:c>
    </x:row>
    <x:row r="111">
      <x:c r="A111" s="24" t="str">
        <x:f>'Lifecycle'!$C$47&amp;" / F"&amp;'Lifecycle'!$D$47</x:f>
        <x:v>nostore / F2</x:v>
      </x:c>
      <x:c r="B111" s="26" t="n">
        <x:f>'Lifecycle'!$U$47/'Readme-Protocol'!$B$26</x:f>
        <x:v>0.02568359375</x:v>
      </x:c>
    </x:row>
    <x:row r="112">
      <x:c r="A112" s="24" t="str">
        <x:f>'Lifecycle'!$C$48&amp;" / F"&amp;'Lifecycle'!$D$48</x:f>
        <x:v>nostore / F3</x:v>
      </x:c>
      <x:c r="B112" s="26" t="n">
        <x:f>'Lifecycle'!$U$48/'Readme-Protocol'!$B$26</x:f>
        <x:v>0.02890625</x:v>
      </x:c>
    </x:row>
    <x:row r="113">
      <x:c r="A113" s="24" t="str">
        <x:f>'Lifecycle'!$C$49&amp;" / F"&amp;'Lifecycle'!$D$49</x:f>
        <x:v>nostore / F4</x:v>
      </x:c>
      <x:c r="B113" s="26" t="n">
        <x:f>'Lifecycle'!$U$49/'Readme-Protocol'!$B$26</x:f>
        <x:v>-0.00009765625</x:v>
      </x:c>
    </x:row>
    <x:row r="114">
      <x:c r="A114" s="24" t="str">
        <x:f>'Lifecycle'!$C$50&amp;" / F"&amp;'Lifecycle'!$D$50</x:f>
        <x:v>nostore / F5</x:v>
      </x:c>
      <x:c r="B114" s="26" t="n">
        <x:f>'Lifecycle'!$U$50/'Readme-Protocol'!$B$26</x:f>
        <x:v>0.001953125</x:v>
      </x:c>
    </x:row>
    <x:row r="115">
      <x:c r="A115" s="24" t="str">
        <x:f>'Lifecycle'!$C$51&amp;" / F"&amp;'Lifecycle'!$D$51</x:f>
        <x:v>nostore / F6</x:v>
      </x:c>
      <x:c r="B115" s="26" t="n">
        <x:f>'Lifecycle'!$U$51/'Readme-Protocol'!$B$26</x:f>
        <x:v>0.02978515625</x:v>
      </x:c>
    </x:row>
    <x:row r="118" ht="23" customHeight="1">
      <x:c r="A118" s="10" t="str">
        <x:v>NMT slope (MiB/cycle): una barra per process run indipendente</x:v>
      </x:c>
      <x:c r="B118" s="10" t="str">
        <x:v>NMT slope (MiB/cycle): una barra per process run indipendente</x:v>
      </x:c>
    </x:row>
    <x:row r="119" ht="31" customHeight="1">
      <x:c r="A119" s="68" t="str">
        <x:v>provider / fork</x:v>
      </x:c>
      <x:c r="B119" s="68" t="str">
        <x:v>NMT slope (MiB/cycle)</x:v>
      </x:c>
    </x:row>
    <x:row r="120">
      <x:c r="A120" s="24" t="str">
        <x:f>'Lifecycle'!$C$16&amp;" / F"&amp;'Lifecycle'!$D$16</x:f>
        <x:v>caffeine / F1</x:v>
      </x:c>
      <x:c r="B120" s="26" t="n">
        <x:f>'Lifecycle'!$V$16/'Readme-Protocol'!$B$26</x:f>
        <x:v>-1.52021484375</x:v>
      </x:c>
    </x:row>
    <x:row r="121">
      <x:c r="A121" s="24" t="str">
        <x:f>'Lifecycle'!$C$17&amp;" / F"&amp;'Lifecycle'!$D$17</x:f>
        <x:v>caffeine / F2</x:v>
      </x:c>
      <x:c r="B121" s="26" t="n">
        <x:f>'Lifecycle'!$V$17/'Readme-Protocol'!$B$26</x:f>
        <x:v>-0.525390625</x:v>
      </x:c>
    </x:row>
    <x:row r="122">
      <x:c r="A122" s="24" t="str">
        <x:f>'Lifecycle'!$C$18&amp;" / F"&amp;'Lifecycle'!$D$18</x:f>
        <x:v>caffeine / F3</x:v>
      </x:c>
      <x:c r="B122" s="26" t="n">
        <x:f>'Lifecycle'!$V$18/'Readme-Protocol'!$B$26</x:f>
        <x:v>2.731640625</x:v>
      </x:c>
    </x:row>
    <x:row r="123">
      <x:c r="A123" s="24" t="str">
        <x:f>'Lifecycle'!$C$19&amp;" / F"&amp;'Lifecycle'!$D$19</x:f>
        <x:v>caffeine / F4</x:v>
      </x:c>
      <x:c r="B123" s="26" t="n">
        <x:f>'Lifecycle'!$V$19/'Readme-Protocol'!$B$26</x:f>
        <x:v>-1.5134765625</x:v>
      </x:c>
    </x:row>
    <x:row r="124">
      <x:c r="A124" s="24" t="str">
        <x:f>'Lifecycle'!$C$20&amp;" / F"&amp;'Lifecycle'!$D$20</x:f>
        <x:v>caffeine / F5</x:v>
      </x:c>
      <x:c r="B124" s="26" t="n">
        <x:f>'Lifecycle'!$V$20/'Readme-Protocol'!$B$26</x:f>
        <x:v>-2.06416015625</x:v>
      </x:c>
    </x:row>
    <x:row r="125">
      <x:c r="A125" s="24" t="str">
        <x:f>'Lifecycle'!$C$21&amp;" / F"&amp;'Lifecycle'!$D$21</x:f>
        <x:v>caffeine / F6</x:v>
      </x:c>
      <x:c r="B125" s="26" t="n">
        <x:f>'Lifecycle'!$V$21/'Readme-Protocol'!$B$26</x:f>
        <x:v>2.7615234375</x:v>
      </x:c>
    </x:row>
    <x:row r="126">
      <x:c r="A126" s="24" t="str">
        <x:f>'Lifecycle'!$C$22&amp;" / F"&amp;'Lifecycle'!$D$22</x:f>
        <x:v>ehcache / F1</x:v>
      </x:c>
      <x:c r="B126" s="26" t="n">
        <x:f>'Lifecycle'!$V$22/'Readme-Protocol'!$B$26</x:f>
        <x:v>-1.12841796875</x:v>
      </x:c>
    </x:row>
    <x:row r="127">
      <x:c r="A127" s="24" t="str">
        <x:f>'Lifecycle'!$C$23&amp;" / F"&amp;'Lifecycle'!$D$23</x:f>
        <x:v>ehcache / F2</x:v>
      </x:c>
      <x:c r="B127" s="26" t="n">
        <x:f>'Lifecycle'!$V$23/'Readme-Protocol'!$B$26</x:f>
        <x:v>2.73046875</x:v>
      </x:c>
    </x:row>
    <x:row r="128">
      <x:c r="A128" s="24" t="str">
        <x:f>'Lifecycle'!$C$24&amp;" / F"&amp;'Lifecycle'!$D$24</x:f>
        <x:v>ehcache / F3</x:v>
      </x:c>
      <x:c r="B128" s="26" t="n">
        <x:f>'Lifecycle'!$V$24/'Readme-Protocol'!$B$26</x:f>
        <x:v>2.83642578125</x:v>
      </x:c>
    </x:row>
    <x:row r="129">
      <x:c r="A129" s="24" t="str">
        <x:f>'Lifecycle'!$C$25&amp;" / F"&amp;'Lifecycle'!$D$25</x:f>
        <x:v>ehcache / F4</x:v>
      </x:c>
      <x:c r="B129" s="26" t="n">
        <x:f>'Lifecycle'!$V$25/'Readme-Protocol'!$B$26</x:f>
        <x:v>2.6296875</x:v>
      </x:c>
    </x:row>
    <x:row r="130">
      <x:c r="A130" s="24" t="str">
        <x:f>'Lifecycle'!$C$26&amp;" / F"&amp;'Lifecycle'!$D$26</x:f>
        <x:v>ehcache / F5</x:v>
      </x:c>
      <x:c r="B130" s="26" t="n">
        <x:f>'Lifecycle'!$V$26/'Readme-Protocol'!$B$26</x:f>
        <x:v>-1.77197265625</x:v>
      </x:c>
    </x:row>
    <x:row r="131">
      <x:c r="A131" s="24" t="str">
        <x:f>'Lifecycle'!$C$27&amp;" / F"&amp;'Lifecycle'!$D$27</x:f>
        <x:v>ehcache / F6</x:v>
      </x:c>
      <x:c r="B131" s="26" t="n">
        <x:f>'Lifecycle'!$V$27/'Readme-Protocol'!$B$26</x:f>
        <x:v>2.80263671875</x:v>
      </x:c>
    </x:row>
    <x:row r="132">
      <x:c r="A132" s="24" t="str">
        <x:f>'Lifecycle'!$C$28&amp;" / F"&amp;'Lifecycle'!$D$28</x:f>
        <x:v>cache2k / F1</x:v>
      </x:c>
      <x:c r="B132" s="26" t="n">
        <x:f>'Lifecycle'!$V$28/'Readme-Protocol'!$B$26</x:f>
        <x:v>2.81083984375</x:v>
      </x:c>
    </x:row>
    <x:row r="133">
      <x:c r="A133" s="24" t="str">
        <x:f>'Lifecycle'!$C$29&amp;" / F"&amp;'Lifecycle'!$D$29</x:f>
        <x:v>cache2k / F2</x:v>
      </x:c>
      <x:c r="B133" s="26" t="n">
        <x:f>'Lifecycle'!$V$29/'Readme-Protocol'!$B$26</x:f>
        <x:v>2.6873046875</x:v>
      </x:c>
    </x:row>
    <x:row r="134">
      <x:c r="A134" s="24" t="str">
        <x:f>'Lifecycle'!$C$30&amp;" / F"&amp;'Lifecycle'!$D$30</x:f>
        <x:v>cache2k / F3</x:v>
      </x:c>
      <x:c r="B134" s="26" t="n">
        <x:f>'Lifecycle'!$V$30/'Readme-Protocol'!$B$26</x:f>
        <x:v>-0.6525390625</x:v>
      </x:c>
    </x:row>
    <x:row r="135">
      <x:c r="A135" s="24" t="str">
        <x:f>'Lifecycle'!$C$31&amp;" / F"&amp;'Lifecycle'!$D$31</x:f>
        <x:v>cache2k / F4</x:v>
      </x:c>
      <x:c r="B135" s="26" t="n">
        <x:f>'Lifecycle'!$V$31/'Readme-Protocol'!$B$26</x:f>
        <x:v>2.76904296875</x:v>
      </x:c>
    </x:row>
    <x:row r="136">
      <x:c r="A136" s="24" t="str">
        <x:f>'Lifecycle'!$C$32&amp;" / F"&amp;'Lifecycle'!$D$32</x:f>
        <x:v>cache2k / F5</x:v>
      </x:c>
      <x:c r="B136" s="26" t="n">
        <x:f>'Lifecycle'!$V$32/'Readme-Protocol'!$B$26</x:f>
        <x:v>2.18779296875</x:v>
      </x:c>
    </x:row>
    <x:row r="137">
      <x:c r="A137" s="24" t="str">
        <x:f>'Lifecycle'!$C$33&amp;" / F"&amp;'Lifecycle'!$D$33</x:f>
        <x:v>cache2k / F6</x:v>
      </x:c>
      <x:c r="B137" s="26" t="n">
        <x:f>'Lifecycle'!$V$33/'Readme-Protocol'!$B$26</x:f>
        <x:v>2.41572265625</x:v>
      </x:c>
    </x:row>
    <x:row r="138">
      <x:c r="A138" s="24" t="str">
        <x:f>'Lifecycle'!$C$34&amp;" / F"&amp;'Lifecycle'!$D$34</x:f>
        <x:v>jcs4 / F1</x:v>
      </x:c>
      <x:c r="B138" s="26" t="n">
        <x:f>'Lifecycle'!$V$34/'Readme-Protocol'!$B$26</x:f>
        <x:v>2.79423828125</x:v>
      </x:c>
    </x:row>
    <x:row r="139">
      <x:c r="A139" s="24" t="str">
        <x:f>'Lifecycle'!$C$35&amp;" / F"&amp;'Lifecycle'!$D$35</x:f>
        <x:v>jcs4 / F2</x:v>
      </x:c>
      <x:c r="B139" s="26" t="n">
        <x:f>'Lifecycle'!$V$35/'Readme-Protocol'!$B$26</x:f>
        <x:v>-1.75263671875</x:v>
      </x:c>
    </x:row>
    <x:row r="140">
      <x:c r="A140" s="24" t="str">
        <x:f>'Lifecycle'!$C$36&amp;" / F"&amp;'Lifecycle'!$D$36</x:f>
        <x:v>jcs4 / F3</x:v>
      </x:c>
      <x:c r="B140" s="26" t="n">
        <x:f>'Lifecycle'!$V$36/'Readme-Protocol'!$B$26</x:f>
        <x:v>2.85849609375</x:v>
      </x:c>
    </x:row>
    <x:row r="141">
      <x:c r="A141" s="24" t="str">
        <x:f>'Lifecycle'!$C$37&amp;" / F"&amp;'Lifecycle'!$D$37</x:f>
        <x:v>jcs4 / F4</x:v>
      </x:c>
      <x:c r="B141" s="26" t="n">
        <x:f>'Lifecycle'!$V$37/'Readme-Protocol'!$B$26</x:f>
        <x:v>2.71748046875</x:v>
      </x:c>
    </x:row>
    <x:row r="142">
      <x:c r="A142" s="24" t="str">
        <x:f>'Lifecycle'!$C$38&amp;" / F"&amp;'Lifecycle'!$D$38</x:f>
        <x:v>jcs4 / F5</x:v>
      </x:c>
      <x:c r="B142" s="26" t="n">
        <x:f>'Lifecycle'!$V$38/'Readme-Protocol'!$B$26</x:f>
        <x:v>2.63818359375</x:v>
      </x:c>
    </x:row>
    <x:row r="143">
      <x:c r="A143" s="24" t="str">
        <x:f>'Lifecycle'!$C$39&amp;" / F"&amp;'Lifecycle'!$D$39</x:f>
        <x:v>jcs4 / F6</x:v>
      </x:c>
      <x:c r="B143" s="26" t="n">
        <x:f>'Lifecycle'!$V$39/'Readme-Protocol'!$B$26</x:f>
        <x:v>3.08681640625</x:v>
      </x:c>
    </x:row>
    <x:row r="144">
      <x:c r="A144" s="24" t="str">
        <x:f>'Lifecycle'!$C$40&amp;" / F"&amp;'Lifecycle'!$D$40</x:f>
        <x:v>jcs321 / F1</x:v>
      </x:c>
      <x:c r="B144" s="26" t="n">
        <x:f>'Lifecycle'!$V$40/'Readme-Protocol'!$B$26</x:f>
        <x:v>49.40576171875</x:v>
      </x:c>
    </x:row>
    <x:row r="145">
      <x:c r="A145" s="24" t="str">
        <x:f>'Lifecycle'!$C$41&amp;" / F"&amp;'Lifecycle'!$D$41</x:f>
        <x:v>jcs321 / F2</x:v>
      </x:c>
      <x:c r="B145" s="26" t="n">
        <x:f>'Lifecycle'!$V$41/'Readme-Protocol'!$B$26</x:f>
        <x:v>47.4078125</x:v>
      </x:c>
    </x:row>
    <x:row r="146">
      <x:c r="A146" s="24" t="str">
        <x:f>'Lifecycle'!$C$42&amp;" / F"&amp;'Lifecycle'!$D$42</x:f>
        <x:v>jcs321 / F3</x:v>
      </x:c>
      <x:c r="B146" s="26" t="n">
        <x:f>'Lifecycle'!$V$42/'Readme-Protocol'!$B$26</x:f>
        <x:v>46.005078125</x:v>
      </x:c>
    </x:row>
    <x:row r="147">
      <x:c r="A147" s="24" t="str">
        <x:f>'Lifecycle'!$C$43&amp;" / F"&amp;'Lifecycle'!$D$43</x:f>
        <x:v>jcs321 / F4</x:v>
      </x:c>
      <x:c r="B147" s="26" t="n">
        <x:f>'Lifecycle'!$V$43/'Readme-Protocol'!$B$26</x:f>
        <x:v>47.35771484375</x:v>
      </x:c>
    </x:row>
    <x:row r="148">
      <x:c r="A148" s="24" t="str">
        <x:f>'Lifecycle'!$C$44&amp;" / F"&amp;'Lifecycle'!$D$44</x:f>
        <x:v>jcs321 / F5</x:v>
      </x:c>
      <x:c r="B148" s="26" t="n">
        <x:f>'Lifecycle'!$V$44/'Readme-Protocol'!$B$26</x:f>
        <x:v>47.4576171875</x:v>
      </x:c>
    </x:row>
    <x:row r="149">
      <x:c r="A149" s="24" t="str">
        <x:f>'Lifecycle'!$C$45&amp;" / F"&amp;'Lifecycle'!$D$45</x:f>
        <x:v>jcs321 / F6</x:v>
      </x:c>
      <x:c r="B149" s="26" t="n">
        <x:f>'Lifecycle'!$V$45/'Readme-Protocol'!$B$26</x:f>
        <x:v>47.9517578125</x:v>
      </x:c>
    </x:row>
    <x:row r="150">
      <x:c r="A150" s="24" t="str">
        <x:f>'Lifecycle'!$C$46&amp;" / F"&amp;'Lifecycle'!$D$46</x:f>
        <x:v>nostore / F1</x:v>
      </x:c>
      <x:c r="B150" s="26" t="n">
        <x:f>'Lifecycle'!$V$46/'Readme-Protocol'!$B$26</x:f>
        <x:v>2.62900390625</x:v>
      </x:c>
    </x:row>
    <x:row r="151">
      <x:c r="A151" s="24" t="str">
        <x:f>'Lifecycle'!$C$47&amp;" / F"&amp;'Lifecycle'!$D$47</x:f>
        <x:v>nostore / F2</x:v>
      </x:c>
      <x:c r="B151" s="26" t="n">
        <x:f>'Lifecycle'!$V$47/'Readme-Protocol'!$B$26</x:f>
        <x:v>2.61513671875</x:v>
      </x:c>
    </x:row>
    <x:row r="152">
      <x:c r="A152" s="24" t="str">
        <x:f>'Lifecycle'!$C$48&amp;" / F"&amp;'Lifecycle'!$D$48</x:f>
        <x:v>nostore / F3</x:v>
      </x:c>
      <x:c r="B152" s="26" t="n">
        <x:f>'Lifecycle'!$V$48/'Readme-Protocol'!$B$26</x:f>
        <x:v>2.68701171875</x:v>
      </x:c>
    </x:row>
    <x:row r="153">
      <x:c r="A153" s="24" t="str">
        <x:f>'Lifecycle'!$C$49&amp;" / F"&amp;'Lifecycle'!$D$49</x:f>
        <x:v>nostore / F4</x:v>
      </x:c>
      <x:c r="B153" s="26" t="n">
        <x:f>'Lifecycle'!$V$49/'Readme-Protocol'!$B$26</x:f>
        <x:v>2.7125</x:v>
      </x:c>
    </x:row>
    <x:row r="154">
      <x:c r="A154" s="24" t="str">
        <x:f>'Lifecycle'!$C$50&amp;" / F"&amp;'Lifecycle'!$D$50</x:f>
        <x:v>nostore / F5</x:v>
      </x:c>
      <x:c r="B154" s="26" t="n">
        <x:f>'Lifecycle'!$V$50/'Readme-Protocol'!$B$26</x:f>
        <x:v>2.6984375</x:v>
      </x:c>
    </x:row>
    <x:row r="155">
      <x:c r="A155" s="24" t="str">
        <x:f>'Lifecycle'!$C$51&amp;" / F"&amp;'Lifecycle'!$D$51</x:f>
        <x:v>nostore / F6</x:v>
      </x:c>
      <x:c r="B155" s="26" t="n">
        <x:f>'Lifecycle'!$V$51/'Readme-Protocol'!$B$26</x:f>
        <x:v>2.8978515625</x:v>
      </x:c>
    </x:row>
    <x:row r="158" ht="23" customHeight="1">
      <x:c r="A158" s="10" t="str">
        <x:v>classloader-row slope (rows/cycle): una barra per process run indipendente</x:v>
      </x:c>
      <x:c r="B158" s="10" t="str">
        <x:v>classloader-row slope (rows/cycle): una barra per process run indipendente</x:v>
      </x:c>
    </x:row>
    <x:row r="159" ht="31" customHeight="1">
      <x:c r="A159" s="68" t="str">
        <x:v>provider / fork</x:v>
      </x:c>
      <x:c r="B159" s="68" t="str">
        <x:v>classloader-row slope (rows/cycle)</x:v>
      </x:c>
    </x:row>
    <x:row r="160">
      <x:c r="A160" s="24" t="str">
        <x:f>'Lifecycle'!$C$16&amp;" / F"&amp;'Lifecycle'!$D$16</x:f>
        <x:v>caffeine / F1</x:v>
      </x:c>
      <x:c r="B160" s="26" t="n">
        <x:f>'Lifecycle'!$W$16</x:f>
        <x:v>-0.2</x:v>
      </x:c>
    </x:row>
    <x:row r="161">
      <x:c r="A161" s="24" t="str">
        <x:f>'Lifecycle'!$C$17&amp;" / F"&amp;'Lifecycle'!$D$17</x:f>
        <x:v>caffeine / F2</x:v>
      </x:c>
      <x:c r="B161" s="26" t="n">
        <x:f>'Lifecycle'!$W$17</x:f>
        <x:v>-0.2</x:v>
      </x:c>
    </x:row>
    <x:row r="162">
      <x:c r="A162" s="24" t="str">
        <x:f>'Lifecycle'!$C$18&amp;" / F"&amp;'Lifecycle'!$D$18</x:f>
        <x:v>caffeine / F3</x:v>
      </x:c>
      <x:c r="B162" s="26" t="n">
        <x:f>'Lifecycle'!$W$18</x:f>
        <x:v>0</x:v>
      </x:c>
    </x:row>
    <x:row r="163">
      <x:c r="A163" s="24" t="str">
        <x:f>'Lifecycle'!$C$19&amp;" / F"&amp;'Lifecycle'!$D$19</x:f>
        <x:v>caffeine / F4</x:v>
      </x:c>
      <x:c r="B163" s="26" t="n">
        <x:f>'Lifecycle'!$W$19</x:f>
        <x:v>-0.2</x:v>
      </x:c>
    </x:row>
    <x:row r="164">
      <x:c r="A164" s="24" t="str">
        <x:f>'Lifecycle'!$C$20&amp;" / F"&amp;'Lifecycle'!$D$20</x:f>
        <x:v>caffeine / F5</x:v>
      </x:c>
      <x:c r="B164" s="26" t="n">
        <x:f>'Lifecycle'!$W$20</x:f>
        <x:v>-0.2</x:v>
      </x:c>
    </x:row>
    <x:row r="165">
      <x:c r="A165" s="24" t="str">
        <x:f>'Lifecycle'!$C$21&amp;" / F"&amp;'Lifecycle'!$D$21</x:f>
        <x:v>caffeine / F6</x:v>
      </x:c>
      <x:c r="B165" s="26" t="n">
        <x:f>'Lifecycle'!$W$21</x:f>
        <x:v>0</x:v>
      </x:c>
    </x:row>
    <x:row r="166">
      <x:c r="A166" s="24" t="str">
        <x:f>'Lifecycle'!$C$22&amp;" / F"&amp;'Lifecycle'!$D$22</x:f>
        <x:v>ehcache / F1</x:v>
      </x:c>
      <x:c r="B166" s="26" t="n">
        <x:f>'Lifecycle'!$W$22</x:f>
        <x:v>-0.2</x:v>
      </x:c>
    </x:row>
    <x:row r="167">
      <x:c r="A167" s="24" t="str">
        <x:f>'Lifecycle'!$C$23&amp;" / F"&amp;'Lifecycle'!$D$23</x:f>
        <x:v>ehcache / F2</x:v>
      </x:c>
      <x:c r="B167" s="26" t="n">
        <x:f>'Lifecycle'!$W$23</x:f>
        <x:v>0</x:v>
      </x:c>
    </x:row>
    <x:row r="168">
      <x:c r="A168" s="24" t="str">
        <x:f>'Lifecycle'!$C$24&amp;" / F"&amp;'Lifecycle'!$D$24</x:f>
        <x:v>ehcache / F3</x:v>
      </x:c>
      <x:c r="B168" s="26" t="n">
        <x:f>'Lifecycle'!$W$24</x:f>
        <x:v>0</x:v>
      </x:c>
    </x:row>
    <x:row r="169">
      <x:c r="A169" s="24" t="str">
        <x:f>'Lifecycle'!$C$25&amp;" / F"&amp;'Lifecycle'!$D$25</x:f>
        <x:v>ehcache / F4</x:v>
      </x:c>
      <x:c r="B169" s="26" t="n">
        <x:f>'Lifecycle'!$W$25</x:f>
        <x:v>0</x:v>
      </x:c>
    </x:row>
    <x:row r="170">
      <x:c r="A170" s="24" t="str">
        <x:f>'Lifecycle'!$C$26&amp;" / F"&amp;'Lifecycle'!$D$26</x:f>
        <x:v>ehcache / F5</x:v>
      </x:c>
      <x:c r="B170" s="26" t="n">
        <x:f>'Lifecycle'!$W$26</x:f>
        <x:v>-0.2</x:v>
      </x:c>
    </x:row>
    <x:row r="171">
      <x:c r="A171" s="24" t="str">
        <x:f>'Lifecycle'!$C$27&amp;" / F"&amp;'Lifecycle'!$D$27</x:f>
        <x:v>ehcache / F6</x:v>
      </x:c>
      <x:c r="B171" s="26" t="n">
        <x:f>'Lifecycle'!$W$27</x:f>
        <x:v>0</x:v>
      </x:c>
    </x:row>
    <x:row r="172">
      <x:c r="A172" s="24" t="str">
        <x:f>'Lifecycle'!$C$28&amp;" / F"&amp;'Lifecycle'!$D$28</x:f>
        <x:v>cache2k / F1</x:v>
      </x:c>
      <x:c r="B172" s="26" t="n">
        <x:f>'Lifecycle'!$W$28</x:f>
        <x:v>0</x:v>
      </x:c>
    </x:row>
    <x:row r="173">
      <x:c r="A173" s="24" t="str">
        <x:f>'Lifecycle'!$C$29&amp;" / F"&amp;'Lifecycle'!$D$29</x:f>
        <x:v>cache2k / F2</x:v>
      </x:c>
      <x:c r="B173" s="26" t="n">
        <x:f>'Lifecycle'!$W$29</x:f>
        <x:v>0</x:v>
      </x:c>
    </x:row>
    <x:row r="174">
      <x:c r="A174" s="24" t="str">
        <x:f>'Lifecycle'!$C$30&amp;" / F"&amp;'Lifecycle'!$D$30</x:f>
        <x:v>cache2k / F3</x:v>
      </x:c>
      <x:c r="B174" s="26" t="n">
        <x:f>'Lifecycle'!$W$30</x:f>
        <x:v>-0.2</x:v>
      </x:c>
    </x:row>
    <x:row r="175">
      <x:c r="A175" s="24" t="str">
        <x:f>'Lifecycle'!$C$31&amp;" / F"&amp;'Lifecycle'!$D$31</x:f>
        <x:v>cache2k / F4</x:v>
      </x:c>
      <x:c r="B175" s="26" t="n">
        <x:f>'Lifecycle'!$W$31</x:f>
        <x:v>0</x:v>
      </x:c>
    </x:row>
    <x:row r="176">
      <x:c r="A176" s="24" t="str">
        <x:f>'Lifecycle'!$C$32&amp;" / F"&amp;'Lifecycle'!$D$32</x:f>
        <x:v>cache2k / F5</x:v>
      </x:c>
      <x:c r="B176" s="26" t="n">
        <x:f>'Lifecycle'!$W$32</x:f>
        <x:v>0</x:v>
      </x:c>
    </x:row>
    <x:row r="177">
      <x:c r="A177" s="24" t="str">
        <x:f>'Lifecycle'!$C$33&amp;" / F"&amp;'Lifecycle'!$D$33</x:f>
        <x:v>cache2k / F6</x:v>
      </x:c>
      <x:c r="B177" s="26" t="n">
        <x:f>'Lifecycle'!$W$33</x:f>
        <x:v>0</x:v>
      </x:c>
    </x:row>
    <x:row r="178">
      <x:c r="A178" s="24" t="str">
        <x:f>'Lifecycle'!$C$34&amp;" / F"&amp;'Lifecycle'!$D$34</x:f>
        <x:v>jcs4 / F1</x:v>
      </x:c>
      <x:c r="B178" s="26" t="n">
        <x:f>'Lifecycle'!$W$34</x:f>
        <x:v>0</x:v>
      </x:c>
    </x:row>
    <x:row r="179">
      <x:c r="A179" s="24" t="str">
        <x:f>'Lifecycle'!$C$35&amp;" / F"&amp;'Lifecycle'!$D$35</x:f>
        <x:v>jcs4 / F2</x:v>
      </x:c>
      <x:c r="B179" s="26" t="n">
        <x:f>'Lifecycle'!$W$35</x:f>
        <x:v>-0.2</x:v>
      </x:c>
    </x:row>
    <x:row r="180">
      <x:c r="A180" s="24" t="str">
        <x:f>'Lifecycle'!$C$36&amp;" / F"&amp;'Lifecycle'!$D$36</x:f>
        <x:v>jcs4 / F3</x:v>
      </x:c>
      <x:c r="B180" s="26" t="n">
        <x:f>'Lifecycle'!$W$36</x:f>
        <x:v>0</x:v>
      </x:c>
    </x:row>
    <x:row r="181">
      <x:c r="A181" s="24" t="str">
        <x:f>'Lifecycle'!$C$37&amp;" / F"&amp;'Lifecycle'!$D$37</x:f>
        <x:v>jcs4 / F4</x:v>
      </x:c>
      <x:c r="B181" s="26" t="n">
        <x:f>'Lifecycle'!$W$37</x:f>
        <x:v>0</x:v>
      </x:c>
    </x:row>
    <x:row r="182">
      <x:c r="A182" s="24" t="str">
        <x:f>'Lifecycle'!$C$38&amp;" / F"&amp;'Lifecycle'!$D$38</x:f>
        <x:v>jcs4 / F5</x:v>
      </x:c>
      <x:c r="B182" s="26" t="n">
        <x:f>'Lifecycle'!$W$38</x:f>
        <x:v>0</x:v>
      </x:c>
    </x:row>
    <x:row r="183">
      <x:c r="A183" s="24" t="str">
        <x:f>'Lifecycle'!$C$39&amp;" / F"&amp;'Lifecycle'!$D$39</x:f>
        <x:v>jcs4 / F6</x:v>
      </x:c>
      <x:c r="B183" s="26" t="n">
        <x:f>'Lifecycle'!$W$39</x:f>
        <x:v>0</x:v>
      </x:c>
    </x:row>
    <x:row r="184">
      <x:c r="A184" s="24" t="str">
        <x:f>'Lifecycle'!$C$40&amp;" / F"&amp;'Lifecycle'!$D$40</x:f>
        <x:v>jcs321 / F1</x:v>
      </x:c>
      <x:c r="B184" s="26" t="n">
        <x:f>'Lifecycle'!$W$40</x:f>
        <x:v>2</x:v>
      </x:c>
    </x:row>
    <x:row r="185">
      <x:c r="A185" s="24" t="str">
        <x:f>'Lifecycle'!$C$41&amp;" / F"&amp;'Lifecycle'!$D$41</x:f>
        <x:v>jcs321 / F2</x:v>
      </x:c>
      <x:c r="B185" s="26" t="n">
        <x:f>'Lifecycle'!$W$41</x:f>
        <x:v>2</x:v>
      </x:c>
    </x:row>
    <x:row r="186">
      <x:c r="A186" s="24" t="str">
        <x:f>'Lifecycle'!$C$42&amp;" / F"&amp;'Lifecycle'!$D$42</x:f>
        <x:v>jcs321 / F3</x:v>
      </x:c>
      <x:c r="B186" s="26" t="n">
        <x:f>'Lifecycle'!$W$42</x:f>
        <x:v>2</x:v>
      </x:c>
    </x:row>
    <x:row r="187">
      <x:c r="A187" s="24" t="str">
        <x:f>'Lifecycle'!$C$43&amp;" / F"&amp;'Lifecycle'!$D$43</x:f>
        <x:v>jcs321 / F4</x:v>
      </x:c>
      <x:c r="B187" s="26" t="n">
        <x:f>'Lifecycle'!$W$43</x:f>
        <x:v>2</x:v>
      </x:c>
    </x:row>
    <x:row r="188">
      <x:c r="A188" s="24" t="str">
        <x:f>'Lifecycle'!$C$44&amp;" / F"&amp;'Lifecycle'!$D$44</x:f>
        <x:v>jcs321 / F5</x:v>
      </x:c>
      <x:c r="B188" s="26" t="n">
        <x:f>'Lifecycle'!$W$44</x:f>
        <x:v>2</x:v>
      </x:c>
    </x:row>
    <x:row r="189">
      <x:c r="A189" s="24" t="str">
        <x:f>'Lifecycle'!$C$45&amp;" / F"&amp;'Lifecycle'!$D$45</x:f>
        <x:v>jcs321 / F6</x:v>
      </x:c>
      <x:c r="B189" s="26" t="n">
        <x:f>'Lifecycle'!$W$45</x:f>
        <x:v>2</x:v>
      </x:c>
    </x:row>
    <x:row r="190">
      <x:c r="A190" s="24" t="str">
        <x:f>'Lifecycle'!$C$46&amp;" / F"&amp;'Lifecycle'!$D$46</x:f>
        <x:v>nostore / F1</x:v>
      </x:c>
      <x:c r="B190" s="26" t="n">
        <x:f>'Lifecycle'!$W$46</x:f>
        <x:v>0</x:v>
      </x:c>
    </x:row>
    <x:row r="191">
      <x:c r="A191" s="24" t="str">
        <x:f>'Lifecycle'!$C$47&amp;" / F"&amp;'Lifecycle'!$D$47</x:f>
        <x:v>nostore / F2</x:v>
      </x:c>
      <x:c r="B191" s="26" t="n">
        <x:f>'Lifecycle'!$W$47</x:f>
        <x:v>0</x:v>
      </x:c>
    </x:row>
    <x:row r="192">
      <x:c r="A192" s="24" t="str">
        <x:f>'Lifecycle'!$C$48&amp;" / F"&amp;'Lifecycle'!$D$48</x:f>
        <x:v>nostore / F3</x:v>
      </x:c>
      <x:c r="B192" s="26" t="n">
        <x:f>'Lifecycle'!$W$48</x:f>
        <x:v>0</x:v>
      </x:c>
    </x:row>
    <x:row r="193">
      <x:c r="A193" s="24" t="str">
        <x:f>'Lifecycle'!$C$49&amp;" / F"&amp;'Lifecycle'!$D$49</x:f>
        <x:v>nostore / F4</x:v>
      </x:c>
      <x:c r="B193" s="26" t="n">
        <x:f>'Lifecycle'!$W$49</x:f>
        <x:v>0</x:v>
      </x:c>
    </x:row>
    <x:row r="194">
      <x:c r="A194" s="24" t="str">
        <x:f>'Lifecycle'!$C$50&amp;" / F"&amp;'Lifecycle'!$D$50</x:f>
        <x:v>nostore / F5</x:v>
      </x:c>
      <x:c r="B194" s="26" t="n">
        <x:f>'Lifecycle'!$W$50</x:f>
        <x:v>0</x:v>
      </x:c>
    </x:row>
    <x:row r="195">
      <x:c r="A195" s="24" t="str">
        <x:f>'Lifecycle'!$C$51&amp;" / F"&amp;'Lifecycle'!$D$51</x:f>
        <x:v>nostore / F6</x:v>
      </x:c>
      <x:c r="B195" s="26" t="n">
        <x:f>'Lifecycle'!$W$51</x:f>
        <x:v>0</x:v>
      </x:c>
    </x:row>
    <x:row r="198" ht="23" customHeight="1">
      <x:c r="A198" s="10" t="str">
        <x:v>JCS-248: intervalli corroborati per singola process run</x:v>
      </x:c>
      <x:c r="B198" s="10" t="str">
        <x:v>JCS-248: intervalli corroborati per singola process run</x:v>
      </x:c>
    </x:row>
    <x:row r="199" ht="31" customHeight="1">
      <x:c r="A199" s="68" t="str">
        <x:v>provider / fork</x:v>
      </x:c>
      <x:c r="B199" s="68" t="str">
        <x:v>corroborated undeploy intervals</x:v>
      </x:c>
    </x:row>
    <x:row r="200">
      <x:c r="A200" s="24" t="str">
        <x:f>'Lifecycle'!$C$34&amp;" / F"&amp;'Lifecycle'!$D$34</x:f>
        <x:v>jcs4 / F1</x:v>
      </x:c>
      <x:c r="B200" s="35" t="n">
        <x:f>'Lifecycle'!$R$34</x:f>
        <x:v>0</x:v>
      </x:c>
    </x:row>
    <x:row r="201">
      <x:c r="A201" s="24" t="str">
        <x:f>'Lifecycle'!$C$35&amp;" / F"&amp;'Lifecycle'!$D$35</x:f>
        <x:v>jcs4 / F2</x:v>
      </x:c>
      <x:c r="B201" s="35" t="n">
        <x:f>'Lifecycle'!$R$35</x:f>
        <x:v>0</x:v>
      </x:c>
    </x:row>
    <x:row r="202">
      <x:c r="A202" s="24" t="str">
        <x:f>'Lifecycle'!$C$36&amp;" / F"&amp;'Lifecycle'!$D$36</x:f>
        <x:v>jcs4 / F3</x:v>
      </x:c>
      <x:c r="B202" s="35" t="n">
        <x:f>'Lifecycle'!$R$36</x:f>
        <x:v>0</x:v>
      </x:c>
    </x:row>
    <x:row r="203">
      <x:c r="A203" s="24" t="str">
        <x:f>'Lifecycle'!$C$37&amp;" / F"&amp;'Lifecycle'!$D$37</x:f>
        <x:v>jcs4 / F4</x:v>
      </x:c>
      <x:c r="B203" s="35" t="n">
        <x:f>'Lifecycle'!$R$37</x:f>
        <x:v>0</x:v>
      </x:c>
    </x:row>
    <x:row r="204">
      <x:c r="A204" s="24" t="str">
        <x:f>'Lifecycle'!$C$38&amp;" / F"&amp;'Lifecycle'!$D$38</x:f>
        <x:v>jcs4 / F5</x:v>
      </x:c>
      <x:c r="B204" s="35" t="n">
        <x:f>'Lifecycle'!$R$38</x:f>
        <x:v>0</x:v>
      </x:c>
    </x:row>
    <x:row r="205">
      <x:c r="A205" s="24" t="str">
        <x:f>'Lifecycle'!$C$39&amp;" / F"&amp;'Lifecycle'!$D$39</x:f>
        <x:v>jcs4 / F6</x:v>
      </x:c>
      <x:c r="B205" s="35" t="n">
        <x:f>'Lifecycle'!$R$39</x:f>
        <x:v>0</x:v>
      </x:c>
    </x:row>
    <x:row r="206">
      <x:c r="A206" s="24" t="str">
        <x:f>'Lifecycle'!$C$40&amp;" / F"&amp;'Lifecycle'!$D$40</x:f>
        <x:v>jcs321 / F1</x:v>
      </x:c>
      <x:c r="B206" s="35" t="n">
        <x:f>'Lifecycle'!$R$40</x:f>
        <x:v>10</x:v>
      </x:c>
    </x:row>
    <x:row r="207">
      <x:c r="A207" s="24" t="str">
        <x:f>'Lifecycle'!$C$41&amp;" / F"&amp;'Lifecycle'!$D$41</x:f>
        <x:v>jcs321 / F2</x:v>
      </x:c>
      <x:c r="B207" s="35" t="n">
        <x:f>'Lifecycle'!$R$41</x:f>
        <x:v>10</x:v>
      </x:c>
    </x:row>
    <x:row r="208">
      <x:c r="A208" s="24" t="str">
        <x:f>'Lifecycle'!$C$42&amp;" / F"&amp;'Lifecycle'!$D$42</x:f>
        <x:v>jcs321 / F3</x:v>
      </x:c>
      <x:c r="B208" s="35" t="n">
        <x:f>'Lifecycle'!$R$42</x:f>
        <x:v>10</x:v>
      </x:c>
    </x:row>
    <x:row r="209">
      <x:c r="A209" s="24" t="str">
        <x:f>'Lifecycle'!$C$43&amp;" / F"&amp;'Lifecycle'!$D$43</x:f>
        <x:v>jcs321 / F4</x:v>
      </x:c>
      <x:c r="B209" s="35" t="n">
        <x:f>'Lifecycle'!$R$43</x:f>
        <x:v>10</x:v>
      </x:c>
    </x:row>
    <x:row r="210">
      <x:c r="A210" s="24" t="str">
        <x:f>'Lifecycle'!$C$44&amp;" / F"&amp;'Lifecycle'!$D$44</x:f>
        <x:v>jcs321 / F5</x:v>
      </x:c>
      <x:c r="B210" s="35" t="n">
        <x:f>'Lifecycle'!$R$44</x:f>
        <x:v>10</x:v>
      </x:c>
    </x:row>
    <x:row r="211">
      <x:c r="A211" s="24" t="str">
        <x:f>'Lifecycle'!$C$45&amp;" / F"&amp;'Lifecycle'!$D$45</x:f>
        <x:v>jcs321 / F6</x:v>
      </x:c>
      <x:c r="B211" s="35" t="n">
        <x:f>'Lifecycle'!$R$45</x:f>
        <x:v>10</x:v>
      </x:c>
    </x:row>
  </x:sheetData>
  <x:mergeCells>
    <x:mergeCell ref="A1:AA1"/>
    <x:mergeCell ref="A2:AA2"/>
    <x:mergeCell ref="A4:C4"/>
    <x:mergeCell ref="A32:C32"/>
    <x:mergeCell ref="A60:G60"/>
    <x:mergeCell ref="A69:G69"/>
    <x:mergeCell ref="A78:B78"/>
    <x:mergeCell ref="A118:B118"/>
    <x:mergeCell ref="A158:B158"/>
    <x:mergeCell ref="A198:B198"/>
  </x:mergeCells>
  <x:pageMargins left="0.7" right="0.7" top="0.75" bottom="0.75" header="0.3" footer="0.3"/>
  <x:drawing xmlns:r="http://schemas.openxmlformats.org/officeDocument/2006/relationships" r:id="R7ccd1cac7dc240a0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8" hidden="0" customWidth="1"/>
    <x:col min="4" max="4" width="44" hidden="0" customWidth="1"/>
    <x:col min="5" max="5" width="18" hidden="0" customWidth="1"/>
    <x:col min="6" max="6" width="15" hidden="0" customWidth="1"/>
    <x:col min="7" max="7" width="22" hidden="0" customWidth="1"/>
    <x:col min="8" max="8" width="76" hidden="0" customWidth="1"/>
  </x:cols>
  <x:sheetData>
    <x:row r="1" ht="31" customHeight="1">
      <x:c r="A1" s="23" t="str">
        <x:v>sheet</x:v>
      </x:c>
      <x:c r="B1" s="23" t="str">
        <x:v>table / section</x:v>
      </x:c>
      <x:c r="C1" s="23" t="str">
        <x:v>column header</x:v>
      </x:c>
      <x:c r="D1" s="23" t="str">
        <x:v>JSON field / formula key</x:v>
      </x:c>
      <x:c r="E1" s="23" t="str">
        <x:v>unit</x:v>
      </x:c>
      <x:c r="F1" s="23" t="str">
        <x:v>data type</x:v>
      </x:c>
      <x:c r="G1" s="23" t="str">
        <x:v>source</x:v>
      </x:c>
      <x:c r="H1" s="23" t="str">
        <x:v>definition / interpretation</x:v>
      </x:c>
    </x:row>
    <x:row r="2">
      <x:c r="A2" s="34" t="str">
        <x:v>Runs</x:v>
      </x:c>
      <x:c r="B2" s="34" t="str">
        <x:v>RunsV4</x:v>
      </x:c>
      <x:c r="C2" s="34" t="str">
        <x:v>processRunId</x:v>
      </x:c>
      <x:c r="D2" s="34" t="str">
        <x:v>processRunId</x:v>
      </x:c>
      <x:c r="E2" s="34" t="str"/>
      <x:c r="F2" s="34" t="str">
        <x:v>text</x:v>
      </x:c>
      <x:c r="G2" s="34" t="str">
        <x:v>results.json</x:v>
      </x:c>
      <x:c r="H2" s="44" t="str">
        <x:v>Identificativo univoco della JVM/container indipendente.</x:v>
      </x:c>
    </x:row>
    <x:row r="3">
      <x:c r="A3" s="34" t="str">
        <x:v>Runs</x:v>
      </x:c>
      <x:c r="B3" s="34" t="str">
        <x:v>RunsV4</x:v>
      </x:c>
      <x:c r="C3" s="34" t="str">
        <x:v>scenario</x:v>
      </x:c>
      <x:c r="D3" s="34" t="str">
        <x:v>scenario</x:v>
      </x:c>
      <x:c r="E3" s="34" t="str"/>
      <x:c r="F3" s="34" t="str">
        <x:v>text</x:v>
      </x:c>
      <x:c r="G3" s="34" t="str">
        <x:v>results.json</x:v>
      </x:c>
      <x:c r="H3" s="44" t="str">
        <x:v>Valore scenario come registrato dalla campagna v4.2 (JSON schemaVersion 4).</x:v>
      </x:c>
    </x:row>
    <x:row r="4">
      <x:c r="A4" s="34" t="str">
        <x:v>Runs</x:v>
      </x:c>
      <x:c r="B4" s="34" t="str">
        <x:v>RunsV4</x:v>
      </x:c>
      <x:c r="C4" s="34" t="str">
        <x:v>provider</x:v>
      </x:c>
      <x:c r="D4" s="34" t="str">
        <x:v>provider</x:v>
      </x:c>
      <x:c r="E4" s="34" t="str"/>
      <x:c r="F4" s="34" t="str">
        <x:v>text</x:v>
      </x:c>
      <x:c r="G4" s="34" t="str">
        <x:v>results.json</x:v>
      </x:c>
      <x:c r="H4" s="44" t="str">
        <x:v>Condizione sperimentale richiesta.</x:v>
      </x:c>
    </x:row>
    <x:row r="5">
      <x:c r="A5" s="34" t="str">
        <x:v>Runs</x:v>
      </x:c>
      <x:c r="B5" s="34" t="str">
        <x:v>RunsV4</x:v>
      </x:c>
      <x:c r="C5" s="34" t="str">
        <x:v>engineProvider</x:v>
      </x:c>
      <x:c r="D5" s="34" t="str">
        <x:v>engineProvider</x:v>
      </x:c>
      <x:c r="E5" s="34" t="str"/>
      <x:c r="F5" s="34" t="str">
        <x:v>text</x:v>
      </x:c>
      <x:c r="G5" s="34" t="str">
        <x:v>results.json</x:v>
      </x:c>
      <x:c r="H5" s="44" t="str">
        <x:v>Adapter/motore attivato nella web application.</x:v>
      </x:c>
    </x:row>
    <x:row r="6">
      <x:c r="A6" s="34" t="str">
        <x:v>Runs</x:v>
      </x:c>
      <x:c r="B6" s="34" t="str">
        <x:v>RunsV4</x:v>
      </x:c>
      <x:c r="C6" s="34" t="str">
        <x:v>studyRole</x:v>
      </x:c>
      <x:c r="D6" s="34" t="str">
        <x:v>studyRole</x:v>
      </x:c>
      <x:c r="E6" s="34" t="str"/>
      <x:c r="F6" s="34" t="str">
        <x:v>text</x:v>
      </x:c>
      <x:c r="G6" s="34" t="str">
        <x:v>results.json</x:v>
      </x:c>
      <x:c r="H6" s="44" t="str">
        <x:v>Ruolo prespecificato della condizione nello studio.</x:v>
      </x:c>
    </x:row>
    <x:row r="7">
      <x:c r="A7" s="34" t="str">
        <x:v>Runs</x:v>
      </x:c>
      <x:c r="B7" s="34" t="str">
        <x:v>RunsV4</x:v>
      </x:c>
      <x:c r="C7" s="34" t="str">
        <x:v>fork</x:v>
      </x:c>
      <x:c r="D7" s="34" t="str">
        <x:v>fork</x:v>
      </x:c>
      <x:c r="E7" s="34" t="str"/>
      <x:c r="F7" s="34" t="str">
        <x:v>integer</x:v>
      </x:c>
      <x:c r="G7" s="34" t="str">
        <x:v>results.json</x:v>
      </x:c>
      <x:c r="H7" s="44" t="str">
        <x:v>Indice della JVM indipendente.</x:v>
      </x:c>
    </x:row>
    <x:row r="8">
      <x:c r="A8" s="34" t="str">
        <x:v>Runs</x:v>
      </x:c>
      <x:c r="B8" s="34" t="str">
        <x:v>RunsV4</x:v>
      </x:c>
      <x:c r="C8" s="34" t="str">
        <x:v>Williams block</x:v>
      </x:c>
      <x:c r="D8" s="34" t="str">
        <x:v>block</x:v>
      </x:c>
      <x:c r="E8" s="34" t="str"/>
      <x:c r="F8" s="34" t="str">
        <x:v>integer</x:v>
      </x:c>
      <x:c r="G8" s="34" t="str">
        <x:v>results.json</x:v>
      </x:c>
      <x:c r="H8" s="44" t="str">
        <x:v>Blocco appaiato del disegno Williams.</x:v>
      </x:c>
    </x:row>
    <x:row r="9">
      <x:c r="A9" s="34" t="str">
        <x:v>Runs</x:v>
      </x:c>
      <x:c r="B9" s="34" t="str">
        <x:v>RunsV4</x:v>
      </x:c>
      <x:c r="C9" s="34" t="str">
        <x:v>orderPosition</x:v>
      </x:c>
      <x:c r="D9" s="34" t="str">
        <x:v>orderPosition</x:v>
      </x:c>
      <x:c r="E9" s="34" t="str"/>
      <x:c r="F9" s="34" t="str">
        <x:v>integer</x:v>
      </x:c>
      <x:c r="G9" s="34" t="str">
        <x:v>results.json</x:v>
      </x:c>
      <x:c r="H9" s="44" t="str">
        <x:v>Posizione del provider nel blocco.</x:v>
      </x:c>
    </x:row>
    <x:row r="10">
      <x:c r="A10" s="34" t="str">
        <x:v>Runs</x:v>
      </x:c>
      <x:c r="B10" s="34" t="str">
        <x:v>RunsV4</x:v>
      </x:c>
      <x:c r="C10" s="34" t="str">
        <x:v>Williams row</x:v>
      </x:c>
      <x:c r="D10" s="34" t="str">
        <x:v>williamsRow</x:v>
      </x:c>
      <x:c r="E10" s="34" t="str"/>
      <x:c r="F10" s="34" t="str">
        <x:v>integer</x:v>
      </x:c>
      <x:c r="G10" s="34" t="str">
        <x:v>results.json</x:v>
      </x:c>
      <x:c r="H10" s="44" t="str">
        <x:v>Valore williamsRow come registrato dalla campagna v4.2 (JSON schemaVersion 4).</x:v>
      </x:c>
    </x:row>
    <x:row r="11">
      <x:c r="A11" s="34" t="str">
        <x:v>Runs</x:v>
      </x:c>
      <x:c r="B11" s="34" t="str">
        <x:v>RunsV4</x:v>
      </x:c>
      <x:c r="C11" s="34" t="str">
        <x:v>startedAt (UTC)</x:v>
      </x:c>
      <x:c r="D11" s="34" t="str">
        <x:v>startedAt</x:v>
      </x:c>
      <x:c r="E11" s="34" t="str"/>
      <x:c r="F11" s="34" t="str">
        <x:v>date</x:v>
      </x:c>
      <x:c r="G11" s="34" t="str">
        <x:v>results.json</x:v>
      </x:c>
      <x:c r="H11" s="44" t="str">
        <x:v>Valore startedAt come registrato dalla campagna v4.2 (JSON schemaVersion 4).</x:v>
      </x:c>
    </x:row>
    <x:row r="12">
      <x:c r="A12" s="34" t="str">
        <x:v>Runs</x:v>
      </x:c>
      <x:c r="B12" s="34" t="str">
        <x:v>RunsV4</x:v>
      </x:c>
      <x:c r="C12" s="34" t="str">
        <x:v>finishedAt (UTC)</x:v>
      </x:c>
      <x:c r="D12" s="34" t="str">
        <x:v>finishedAt</x:v>
      </x:c>
      <x:c r="E12" s="34" t="str"/>
      <x:c r="F12" s="34" t="str">
        <x:v>date</x:v>
      </x:c>
      <x:c r="G12" s="34" t="str">
        <x:v>results.json</x:v>
      </x:c>
      <x:c r="H12" s="44" t="str">
        <x:v>Valore finishedAt come registrato dalla campagna v4.2 (JSON schemaVersion 4).</x:v>
      </x:c>
    </x:row>
    <x:row r="13">
      <x:c r="A13" s="34" t="str">
        <x:v>Runs</x:v>
      </x:c>
      <x:c r="B13" s="34" t="str">
        <x:v>RunsV4</x:v>
      </x:c>
      <x:c r="C13" s="34" t="str">
        <x:v>duration (s, formula)</x:v>
      </x:c>
      <x:c r="D13" s="34" t="str">
        <x:v>durationSecondsFormula</x:v>
      </x:c>
      <x:c r="E13" s="34" t="str"/>
      <x:c r="F13" s="34" t="str">
        <x:v>duration</x:v>
      </x:c>
      <x:c r="G13" s="34" t="str">
        <x:v>Formula workbook</x:v>
      </x:c>
      <x:c r="H13" s="44" t="str">
        <x:v>Durata della process run calcolata da finishedAt - startedAt.</x:v>
      </x:c>
    </x:row>
    <x:row r="14">
      <x:c r="A14" s="34" t="str">
        <x:v>Runs</x:v>
      </x:c>
      <x:c r="B14" s="34" t="str">
        <x:v>RunsV4</x:v>
      </x:c>
      <x:c r="C14" s="34" t="str">
        <x:v>containerId</x:v>
      </x:c>
      <x:c r="D14" s="34" t="str">
        <x:v>containerId</x:v>
      </x:c>
      <x:c r="E14" s="34" t="str"/>
      <x:c r="F14" s="34" t="str">
        <x:v>text</x:v>
      </x:c>
      <x:c r="G14" s="34" t="str">
        <x:v>results.json</x:v>
      </x:c>
      <x:c r="H14" s="44" t="str">
        <x:v>Valore containerId come registrato dalla campagna v4.2 (JSON schemaVersion 4).</x:v>
      </x:c>
    </x:row>
    <x:row r="15">
      <x:c r="A15" s="34" t="str">
        <x:v>Runs</x:v>
      </x:c>
      <x:c r="B15" s="34" t="str">
        <x:v>RunsV4</x:v>
      </x:c>
      <x:c r="C15" s="34" t="str">
        <x:v>dockerImageId</x:v>
      </x:c>
      <x:c r="D15" s="34" t="str">
        <x:v>dockerImageId</x:v>
      </x:c>
      <x:c r="E15" s="34" t="str"/>
      <x:c r="F15" s="34" t="str">
        <x:v>text</x:v>
      </x:c>
      <x:c r="G15" s="34" t="str">
        <x:v>results.json</x:v>
      </x:c>
      <x:c r="H15" s="44" t="str">
        <x:v>Valore dockerImageId come registrato dalla campagna v4.2 (JSON schemaVersion 4).</x:v>
      </x:c>
    </x:row>
    <x:row r="16">
      <x:c r="A16" s="34" t="str">
        <x:v>Runs</x:v>
      </x:c>
      <x:c r="B16" s="34" t="str">
        <x:v>RunsV4</x:v>
      </x:c>
      <x:c r="C16" s="34" t="str">
        <x:v>container image</x:v>
      </x:c>
      <x:c r="D16" s="34" t="str">
        <x:v>containerImageName</x:v>
      </x:c>
      <x:c r="E16" s="34" t="str"/>
      <x:c r="F16" s="34" t="str">
        <x:v>text</x:v>
      </x:c>
      <x:c r="G16" s="34" t="str">
        <x:v>results.json</x:v>
      </x:c>
      <x:c r="H16" s="44" t="str">
        <x:v>Valore containerImageName come registrato dalla campagna v4.2 (JSON schemaVersion 4).</x:v>
      </x:c>
    </x:row>
    <x:row r="17">
      <x:c r="A17" s="34" t="str">
        <x:v>Runs</x:v>
      </x:c>
      <x:c r="B17" s="34" t="str">
        <x:v>RunsV4</x:v>
      </x:c>
      <x:c r="C17" s="34" t="str">
        <x:v>containerStartedAt (UTC)</x:v>
      </x:c>
      <x:c r="D17" s="34" t="str">
        <x:v>containerStartedAt</x:v>
      </x:c>
      <x:c r="E17" s="34" t="str"/>
      <x:c r="F17" s="34" t="str">
        <x:v>date</x:v>
      </x:c>
      <x:c r="G17" s="34" t="str">
        <x:v>results.json</x:v>
      </x:c>
      <x:c r="H17" s="44" t="str">
        <x:v>Valore containerStartedAt come registrato dalla campagna v4.2 (JSON schemaVersion 4).</x:v>
      </x:c>
    </x:row>
    <x:row r="18">
      <x:c r="A18" s="34" t="str">
        <x:v>Runs</x:v>
      </x:c>
      <x:c r="B18" s="34" t="str">
        <x:v>RunsV4</x:v>
      </x:c>
      <x:c r="C18" s="34" t="str">
        <x:v>CPU limit (cores)</x:v>
      </x:c>
      <x:c r="D18" s="34" t="str">
        <x:v>containerCpuLimit</x:v>
      </x:c>
      <x:c r="E18" s="34" t="str">
        <x:v>core</x:v>
      </x:c>
      <x:c r="F18" s="34" t="str">
        <x:v>number</x:v>
      </x:c>
      <x:c r="G18" s="34" t="str">
        <x:v>results.json</x:v>
      </x:c>
      <x:c r="H18" s="44" t="str">
        <x:v>Valore containerCpuLimit come registrato dalla campagna v4.2 (JSON schemaVersion 4).</x:v>
      </x:c>
    </x:row>
    <x:row r="19">
      <x:c r="A19" s="34" t="str">
        <x:v>Runs</x:v>
      </x:c>
      <x:c r="B19" s="34" t="str">
        <x:v>RunsV4</x:v>
      </x:c>
      <x:c r="C19" s="34" t="str">
        <x:v>CPU model</x:v>
      </x:c>
      <x:c r="D19" s="34" t="str">
        <x:v>containerCpuModel</x:v>
      </x:c>
      <x:c r="E19" s="34" t="str"/>
      <x:c r="F19" s="34" t="str">
        <x:v>text</x:v>
      </x:c>
      <x:c r="G19" s="34" t="str">
        <x:v>results.json</x:v>
      </x:c>
      <x:c r="H19" s="44" t="str">
        <x:v>Modello CPU visibile all'interno del container.</x:v>
      </x:c>
    </x:row>
    <x:row r="20">
      <x:c r="A20" s="34" t="str">
        <x:v>Runs</x:v>
      </x:c>
      <x:c r="B20" s="34" t="str">
        <x:v>RunsV4</x:v>
      </x:c>
      <x:c r="C20" s="34" t="str">
        <x:v>visible processors</x:v>
      </x:c>
      <x:c r="D20" s="34" t="str">
        <x:v>containerVisibleProcessors</x:v>
      </x:c>
      <x:c r="E20" s="34" t="str">
        <x:v>logical processor</x:v>
      </x:c>
      <x:c r="F20" s="34" t="str">
        <x:v>integer</x:v>
      </x:c>
      <x:c r="G20" s="34" t="str">
        <x:v>results.json</x:v>
      </x:c>
      <x:c r="H20" s="44" t="str">
        <x:v>Valore containerVisibleProcessors come registrato dalla campagna v4.2 (JSON schemaVersion 4).</x:v>
      </x:c>
    </x:row>
    <x:row r="21">
      <x:c r="A21" s="34" t="str">
        <x:v>Runs</x:v>
      </x:c>
      <x:c r="B21" s="34" t="str">
        <x:v>RunsV4</x:v>
      </x:c>
      <x:c r="C21" s="34" t="str">
        <x:v>memory limit (bytes)</x:v>
      </x:c>
      <x:c r="D21" s="34" t="str">
        <x:v>containerMemoryLimitBytes</x:v>
      </x:c>
      <x:c r="E21" s="34" t="str">
        <x:v>byte</x:v>
      </x:c>
      <x:c r="F21" s="34" t="str">
        <x:v>bytes</x:v>
      </x:c>
      <x:c r="G21" s="34" t="str">
        <x:v>results.json</x:v>
      </x:c>
      <x:c r="H21" s="44" t="str">
        <x:v>Valore containerMemoryLimitBytes come registrato dalla campagna v4.2 (JSON schemaVersion 4).</x:v>
      </x:c>
    </x:row>
    <x:row r="22">
      <x:c r="A22" s="34" t="str">
        <x:v>Runs</x:v>
      </x:c>
      <x:c r="B22" s="34" t="str">
        <x:v>RunsV4</x:v>
      </x:c>
      <x:c r="C22" s="34" t="str">
        <x:v>memory limit (MiB, formula)</x:v>
      </x:c>
      <x:c r="D22" s="34" t="str">
        <x:v>containerMemoryLimitMiBFormula</x:v>
      </x:c>
      <x:c r="E22" s="34" t="str">
        <x:v>MiB</x:v>
      </x:c>
      <x:c r="F22" s="34" t="str">
        <x:v>number</x:v>
      </x:c>
      <x:c r="G22" s="34" t="str">
        <x:v>Formula workbook</x:v>
      </x:c>
      <x:c r="H22" s="44" t="str">
        <x:v>Limite memoria convertito da byte a MiB.</x:v>
      </x:c>
    </x:row>
    <x:row r="23">
      <x:c r="A23" s="34" t="str">
        <x:v>Runs</x:v>
      </x:c>
      <x:c r="B23" s="34" t="str">
        <x:v>RunsV4</x:v>
      </x:c>
      <x:c r="C23" s="34" t="str">
        <x:v>container OS</x:v>
      </x:c>
      <x:c r="D23" s="34" t="str">
        <x:v>containerOS</x:v>
      </x:c>
      <x:c r="E23" s="34" t="str"/>
      <x:c r="F23" s="34" t="str">
        <x:v>text</x:v>
      </x:c>
      <x:c r="G23" s="34" t="str">
        <x:v>results.json</x:v>
      </x:c>
      <x:c r="H23" s="44" t="str">
        <x:v>Valore containerOS come registrato dalla campagna v4.2 (JSON schemaVersion 4).</x:v>
      </x:c>
    </x:row>
    <x:row r="24">
      <x:c r="A24" s="34" t="str">
        <x:v>Runs</x:v>
      </x:c>
      <x:c r="B24" s="34" t="str">
        <x:v>RunsV4</x:v>
      </x:c>
      <x:c r="C24" s="34" t="str">
        <x:v>container kernel (uname -a)</x:v>
      </x:c>
      <x:c r="D24" s="34" t="str">
        <x:v>containerKernel</x:v>
      </x:c>
      <x:c r="E24" s="34" t="str"/>
      <x:c r="F24" s="34" t="str">
        <x:v>text</x:v>
      </x:c>
      <x:c r="G24" s="34" t="str">
        <x:v>results.json</x:v>
      </x:c>
      <x:c r="H24" s="44" t="str">
        <x:v>Valore containerKernel come registrato dalla campagna v4.2 (JSON schemaVersion 4).</x:v>
      </x:c>
    </x:row>
    <x:row r="25">
      <x:c r="A25" s="34" t="str">
        <x:v>Runs</x:v>
      </x:c>
      <x:c r="B25" s="34" t="str">
        <x:v>RunsV4</x:v>
      </x:c>
      <x:c r="C25" s="34" t="str">
        <x:v>Docker server version</x:v>
      </x:c>
      <x:c r="D25" s="34" t="str">
        <x:v>dockerServerVersion</x:v>
      </x:c>
      <x:c r="E25" s="34" t="str"/>
      <x:c r="F25" s="34" t="str">
        <x:v>text</x:v>
      </x:c>
      <x:c r="G25" s="34" t="str">
        <x:v>results.json</x:v>
      </x:c>
      <x:c r="H25" s="44" t="str">
        <x:v>Valore dockerServerVersion come registrato dalla campagna v4.2 (JSON schemaVersion 4).</x:v>
      </x:c>
    </x:row>
    <x:row r="26">
      <x:c r="A26" s="34" t="str">
        <x:v>Runs</x:v>
      </x:c>
      <x:c r="B26" s="34" t="str">
        <x:v>RunsV4</x:v>
      </x:c>
      <x:c r="C26" s="34" t="str">
        <x:v>Docker server OS</x:v>
      </x:c>
      <x:c r="D26" s="34" t="str">
        <x:v>dockerServerOperatingSystem</x:v>
      </x:c>
      <x:c r="E26" s="34" t="str"/>
      <x:c r="F26" s="34" t="str">
        <x:v>text</x:v>
      </x:c>
      <x:c r="G26" s="34" t="str">
        <x:v>results.json</x:v>
      </x:c>
      <x:c r="H26" s="44" t="str">
        <x:v>Valore dockerServerOperatingSystem come registrato dalla campagna v4.2 (JSON schemaVersion 4).</x:v>
      </x:c>
    </x:row>
    <x:row r="27">
      <x:c r="A27" s="34" t="str">
        <x:v>Runs</x:v>
      </x:c>
      <x:c r="B27" s="34" t="str">
        <x:v>RunsV4</x:v>
      </x:c>
      <x:c r="C27" s="34" t="str">
        <x:v>Docker server kernel</x:v>
      </x:c>
      <x:c r="D27" s="34" t="str">
        <x:v>dockerServerKernelVersion</x:v>
      </x:c>
      <x:c r="E27" s="34" t="str"/>
      <x:c r="F27" s="34" t="str">
        <x:v>text</x:v>
      </x:c>
      <x:c r="G27" s="34" t="str">
        <x:v>results.json</x:v>
      </x:c>
      <x:c r="H27" s="44" t="str">
        <x:v>Valore dockerServerKernelVersion come registrato dalla campagna v4.2 (JSON schemaVersion 4).</x:v>
      </x:c>
    </x:row>
    <x:row r="28">
      <x:c r="A28" s="34" t="str">
        <x:v>Runs</x:v>
      </x:c>
      <x:c r="B28" s="34" t="str">
        <x:v>RunsV4</x:v>
      </x:c>
      <x:c r="C28" s="34" t="str">
        <x:v>Docker server architecture</x:v>
      </x:c>
      <x:c r="D28" s="34" t="str">
        <x:v>dockerServerArchitecture</x:v>
      </x:c>
      <x:c r="E28" s="34" t="str"/>
      <x:c r="F28" s="34" t="str">
        <x:v>text</x:v>
      </x:c>
      <x:c r="G28" s="34" t="str">
        <x:v>results.json</x:v>
      </x:c>
      <x:c r="H28" s="44" t="str">
        <x:v>Valore dockerServerArchitecture come registrato dalla campagna v4.2 (JSON schemaVersion 4).</x:v>
      </x:c>
    </x:row>
    <x:row r="29">
      <x:c r="A29" s="34" t="str">
        <x:v>Runs</x:v>
      </x:c>
      <x:c r="B29" s="34" t="str">
        <x:v>RunsV4</x:v>
      </x:c>
      <x:c r="C29" s="34" t="str">
        <x:v>Docker server name</x:v>
      </x:c>
      <x:c r="D29" s="34" t="str">
        <x:v>dockerServerName</x:v>
      </x:c>
      <x:c r="E29" s="34" t="str"/>
      <x:c r="F29" s="34" t="str">
        <x:v>text</x:v>
      </x:c>
      <x:c r="G29" s="34" t="str">
        <x:v>results.json</x:v>
      </x:c>
      <x:c r="H29" s="44" t="str">
        <x:v>Valore dockerServerName come registrato dalla campagna v4.2 (JSON schemaVersion 4).</x:v>
      </x:c>
    </x:row>
    <x:row r="30">
      <x:c r="A30" s="34" t="str">
        <x:v>Runs</x:v>
      </x:c>
      <x:c r="B30" s="34" t="str">
        <x:v>RunsV4</x:v>
      </x:c>
      <x:c r="C30" s="34" t="str">
        <x:v>Tomcat version</x:v>
      </x:c>
      <x:c r="D30" s="34" t="str">
        <x:v>tomcatVersion</x:v>
      </x:c>
      <x:c r="E30" s="34" t="str"/>
      <x:c r="F30" s="34" t="str">
        <x:v>text</x:v>
      </x:c>
      <x:c r="G30" s="34" t="str">
        <x:v>results.json</x:v>
      </x:c>
      <x:c r="H30" s="44" t="str">
        <x:v>Valore tomcatVersion come registrato dalla campagna v4.2 (JSON schemaVersion 4).</x:v>
      </x:c>
    </x:row>
    <x:row r="31">
      <x:c r="A31" s="34" t="str">
        <x:v>Runs</x:v>
      </x:c>
      <x:c r="B31" s="34" t="str">
        <x:v>RunsV4</x:v>
      </x:c>
      <x:c r="C31" s="34" t="str">
        <x:v>kernel OS</x:v>
      </x:c>
      <x:c r="D31" s="34" t="str">
        <x:v>osName</x:v>
      </x:c>
      <x:c r="E31" s="34" t="str"/>
      <x:c r="F31" s="34" t="str">
        <x:v>text</x:v>
      </x:c>
      <x:c r="G31" s="34" t="str">
        <x:v>results.json</x:v>
      </x:c>
      <x:c r="H31" s="44" t="str">
        <x:v>Valore osName come registrato dalla campagna v4.2 (JSON schemaVersion 4).</x:v>
      </x:c>
    </x:row>
    <x:row r="32">
      <x:c r="A32" s="34" t="str">
        <x:v>Runs</x:v>
      </x:c>
      <x:c r="B32" s="34" t="str">
        <x:v>RunsV4</x:v>
      </x:c>
      <x:c r="C32" s="34" t="str">
        <x:v>kernel version</x:v>
      </x:c>
      <x:c r="D32" s="34" t="str">
        <x:v>osVersion</x:v>
      </x:c>
      <x:c r="E32" s="34" t="str"/>
      <x:c r="F32" s="34" t="str">
        <x:v>text</x:v>
      </x:c>
      <x:c r="G32" s="34" t="str">
        <x:v>results.json</x:v>
      </x:c>
      <x:c r="H32" s="44" t="str">
        <x:v>Valore osVersion come registrato dalla campagna v4.2 (JSON schemaVersion 4).</x:v>
      </x:c>
    </x:row>
    <x:row r="33">
      <x:c r="A33" s="34" t="str">
        <x:v>Runs</x:v>
      </x:c>
      <x:c r="B33" s="34" t="str">
        <x:v>RunsV4</x:v>
      </x:c>
      <x:c r="C33" s="34" t="str">
        <x:v>architecture</x:v>
      </x:c>
      <x:c r="D33" s="34" t="str">
        <x:v>osArchitecture</x:v>
      </x:c>
      <x:c r="E33" s="34" t="str"/>
      <x:c r="F33" s="34" t="str">
        <x:v>text</x:v>
      </x:c>
      <x:c r="G33" s="34" t="str">
        <x:v>results.json</x:v>
      </x:c>
      <x:c r="H33" s="44" t="str">
        <x:v>Valore osArchitecture come registrato dalla campagna v4.2 (JSON schemaVersion 4).</x:v>
      </x:c>
    </x:row>
    <x:row r="34">
      <x:c r="A34" s="34" t="str">
        <x:v>Runs</x:v>
      </x:c>
      <x:c r="B34" s="34" t="str">
        <x:v>RunsV4</x:v>
      </x:c>
      <x:c r="C34" s="34" t="str">
        <x:v>JVM version</x:v>
      </x:c>
      <x:c r="D34" s="34" t="str">
        <x:v>jvmVersion</x:v>
      </x:c>
      <x:c r="E34" s="34" t="str"/>
      <x:c r="F34" s="34" t="str">
        <x:v>text</x:v>
      </x:c>
      <x:c r="G34" s="34" t="str">
        <x:v>results.json</x:v>
      </x:c>
      <x:c r="H34" s="44" t="str">
        <x:v>Valore jvmVersion come registrato dalla campagna v4.2 (JSON schemaVersion 4).</x:v>
      </x:c>
    </x:row>
    <x:row r="35">
      <x:c r="A35" s="34" t="str">
        <x:v>Runs</x:v>
      </x:c>
      <x:c r="B35" s="34" t="str">
        <x:v>RunsV4</x:v>
      </x:c>
      <x:c r="C35" s="34" t="str">
        <x:v>JVM vendor</x:v>
      </x:c>
      <x:c r="D35" s="34" t="str">
        <x:v>jvmVendor</x:v>
      </x:c>
      <x:c r="E35" s="34" t="str"/>
      <x:c r="F35" s="34" t="str">
        <x:v>text</x:v>
      </x:c>
      <x:c r="G35" s="34" t="str">
        <x:v>results.json</x:v>
      </x:c>
      <x:c r="H35" s="44" t="str">
        <x:v>Valore jvmVendor come registrato dalla campagna v4.2 (JSON schemaVersion 4).</x:v>
      </x:c>
    </x:row>
    <x:row r="36">
      <x:c r="A36" s="34" t="str">
        <x:v>Runs</x:v>
      </x:c>
      <x:c r="B36" s="34" t="str">
        <x:v>RunsV4</x:v>
      </x:c>
      <x:c r="C36" s="34" t="str">
        <x:v>Java options</x:v>
      </x:c>
      <x:c r="D36" s="34" t="str">
        <x:v>javaOptions</x:v>
      </x:c>
      <x:c r="E36" s="34" t="str"/>
      <x:c r="F36" s="34" t="str">
        <x:v>text</x:v>
      </x:c>
      <x:c r="G36" s="34" t="str">
        <x:v>results.json</x:v>
      </x:c>
      <x:c r="H36" s="44" t="str">
        <x:v>Valore javaOptions come registrato dalla campagna v4.2 (JSON schemaVersion 4).</x:v>
      </x:c>
    </x:row>
    <x:row r="37">
      <x:c r="A37" s="34" t="str">
        <x:v>Runs</x:v>
      </x:c>
      <x:c r="B37" s="34" t="str">
        <x:v>RunsV4</x:v>
      </x:c>
      <x:c r="C37" s="34" t="str">
        <x:v>JVM command line</x:v>
      </x:c>
      <x:c r="D37" s="34" t="str">
        <x:v>jvmCommandLine</x:v>
      </x:c>
      <x:c r="E37" s="34" t="str"/>
      <x:c r="F37" s="34" t="str">
        <x:v>text</x:v>
      </x:c>
      <x:c r="G37" s="34" t="str">
        <x:v>results.json</x:v>
      </x:c>
      <x:c r="H37" s="44" t="str">
        <x:v>Output JVM archiviato; testo integrale registrato dalla process run.</x:v>
      </x:c>
    </x:row>
    <x:row r="38">
      <x:c r="A38" s="34" t="str">
        <x:v>Runs</x:v>
      </x:c>
      <x:c r="B38" s="34" t="str">
        <x:v>RunsV4</x:v>
      </x:c>
      <x:c r="C38" s="34" t="str">
        <x:v>JVM flags</x:v>
      </x:c>
      <x:c r="D38" s="34" t="str">
        <x:v>jvmFlags</x:v>
      </x:c>
      <x:c r="E38" s="34" t="str"/>
      <x:c r="F38" s="34" t="str">
        <x:v>text</x:v>
      </x:c>
      <x:c r="G38" s="34" t="str">
        <x:v>results.json</x:v>
      </x:c>
      <x:c r="H38" s="44" t="str">
        <x:v>Flag effettivi della JVM registrati dalla process run.</x:v>
      </x:c>
    </x:row>
    <x:row r="39">
      <x:c r="A39" s="34" t="str">
        <x:v>Runs</x:v>
      </x:c>
      <x:c r="B39" s="34" t="str">
        <x:v>RunsV4</x:v>
      </x:c>
      <x:c r="C39" s="34" t="str">
        <x:v>provider version (runtime field)</x:v>
      </x:c>
      <x:c r="D39" s="34" t="str">
        <x:v>providerVersionRuntime</x:v>
      </x:c>
      <x:c r="E39" s="34" t="str"/>
      <x:c r="F39" s="34" t="str">
        <x:v>text</x:v>
      </x:c>
      <x:c r="G39" s="34" t="str">
        <x:v>results.json</x:v>
      </x:c>
      <x:c r="H39" s="44" t="str">
        <x:v>Valore runtime disponibile nel JSON solo per JCS4/JCS 3.2.1; vuoto per gli altri provider.</x:v>
      </x:c>
    </x:row>
    <x:row r="40">
      <x:c r="A40" s="34" t="str">
        <x:v>Runs</x:v>
      </x:c>
      <x:c r="B40" s="34" t="str">
        <x:v>RunsV4</x:v>
      </x:c>
      <x:c r="C40" s="34" t="str">
        <x:v>provider version (prespecificata)</x:v>
      </x:c>
      <x:c r="D40" s="34" t="str">
        <x:v>providerVersionPrespecified</x:v>
      </x:c>
      <x:c r="E40" s="34" t="str"/>
      <x:c r="F40" s="34" t="str">
        <x:v>text</x:v>
      </x:c>
      <x:c r="G40" s="34" t="str">
        <x:v>Protocollo v4.2</x:v>
      </x:c>
      <x:c r="H40" s="44" t="str">
        <x:v>Versione dichiarata prima della campagna; non viene presentata come rilevazione runtime quando il JSON non la espone.</x:v>
      </x:c>
    </x:row>
    <x:row r="41">
      <x:c r="A41" s="34" t="str">
        <x:v>Runs</x:v>
      </x:c>
      <x:c r="B41" s="34" t="str">
        <x:v>RunsV4</x:v>
      </x:c>
      <x:c r="C41" s="34" t="str">
        <x:v>provider-version evidence</x:v>
      </x:c>
      <x:c r="D41" s="34" t="str">
        <x:v>providerVersionEvidence</x:v>
      </x:c>
      <x:c r="E41" s="34" t="str"/>
      <x:c r="F41" s="34" t="str">
        <x:v>text</x:v>
      </x:c>
      <x:c r="G41" s="34" t="str">
        <x:v>Protocollo v4.2</x:v>
      </x:c>
      <x:c r="H41" s="44" t="str">
        <x:v>Origine e limite dell'informazione di versione.</x:v>
      </x:c>
    </x:row>
    <x:row r="42">
      <x:c r="A42" s="34" t="str">
        <x:v>Runs</x:v>
      </x:c>
      <x:c r="B42" s="34" t="str">
        <x:v>RunsV4</x:v>
      </x:c>
      <x:c r="C42" s="34" t="str">
        <x:v>image JCS4 revision label</x:v>
      </x:c>
      <x:c r="D42" s="34" t="str">
        <x:v>imageJcs4RevisionLabel</x:v>
      </x:c>
      <x:c r="E42" s="34" t="str"/>
      <x:c r="F42" s="34" t="str">
        <x:v>text</x:v>
      </x:c>
      <x:c r="G42" s="34" t="str">
        <x:v>results.json</x:v>
      </x:c>
      <x:c r="H42" s="44" t="str">
        <x:v>Valore imageJcs4RevisionLabel come registrato dalla campagna v4.2 (JSON schemaVersion 4).</x:v>
      </x:c>
    </x:row>
    <x:row r="43">
      <x:c r="A43" s="34" t="str">
        <x:v>Runs</x:v>
      </x:c>
      <x:c r="B43" s="34" t="str">
        <x:v>RunsV4</x:v>
      </x:c>
      <x:c r="C43" s="34" t="str">
        <x:v>requested runtime image</x:v>
      </x:c>
      <x:c r="D43" s="34" t="str">
        <x:v>requestedRuntimeImage</x:v>
      </x:c>
      <x:c r="E43" s="34" t="str"/>
      <x:c r="F43" s="34" t="str">
        <x:v>text</x:v>
      </x:c>
      <x:c r="G43" s="34" t="str">
        <x:v>results.json</x:v>
      </x:c>
      <x:c r="H43" s="44" t="str">
        <x:v>Valore requestedRuntimeImage come registrato dalla campagna v4.2 (JSON schemaVersion 4).</x:v>
      </x:c>
    </x:row>
    <x:row r="44">
      <x:c r="A44" s="34" t="str">
        <x:v>Runs</x:v>
      </x:c>
      <x:c r="B44" s="34" t="str">
        <x:v>RunsV4</x:v>
      </x:c>
      <x:c r="C44" s="34" t="str">
        <x:v>runtime image immutable reference</x:v>
      </x:c>
      <x:c r="D44" s="34" t="str">
        <x:v>runtimeBaseImageReference</x:v>
      </x:c>
      <x:c r="E44" s="34" t="str"/>
      <x:c r="F44" s="34" t="str">
        <x:v>text</x:v>
      </x:c>
      <x:c r="G44" s="34" t="str">
        <x:v>results.json</x:v>
      </x:c>
      <x:c r="H44" s="44" t="str">
        <x:v>Valore runtimeBaseImageReference come registrato dalla campagna v4.2 (JSON schemaVersion 4).</x:v>
      </x:c>
    </x:row>
    <x:row r="45">
      <x:c r="A45" s="34" t="str">
        <x:v>Runs</x:v>
      </x:c>
      <x:c r="B45" s="34" t="str">
        <x:v>RunsV4</x:v>
      </x:c>
      <x:c r="C45" s="34" t="str">
        <x:v>runtime image pinned digest</x:v>
      </x:c>
      <x:c r="D45" s="34" t="str">
        <x:v>runtimeBaseImagePinnedDigest</x:v>
      </x:c>
      <x:c r="E45" s="34" t="str"/>
      <x:c r="F45" s="34" t="str">
        <x:v>text</x:v>
      </x:c>
      <x:c r="G45" s="34" t="str">
        <x:v>results.json</x:v>
      </x:c>
      <x:c r="H45" s="44" t="str">
        <x:v>Valore runtimeBaseImagePinnedDigest come registrato dalla campagna v4.2 (JSON schemaVersion 4).</x:v>
      </x:c>
    </x:row>
    <x:row r="46">
      <x:c r="A46" s="34" t="str">
        <x:v>Runs</x:v>
      </x:c>
      <x:c r="B46" s="34" t="str">
        <x:v>RunsV4</x:v>
      </x:c>
      <x:c r="C46" s="34" t="str">
        <x:v>runtime image inspected</x:v>
      </x:c>
      <x:c r="D46" s="34" t="str">
        <x:v>runtimeBaseImageInspectionAvailable</x:v>
      </x:c>
      <x:c r="E46" s="34" t="str"/>
      <x:c r="F46" s="34" t="str">
        <x:v>boolean</x:v>
      </x:c>
      <x:c r="G46" s="34" t="str">
        <x:v>results.json</x:v>
      </x:c>
      <x:c r="H46" s="44" t="str">
        <x:v>Valore runtimeBaseImageInspectionAvailable come registrato dalla campagna v4.2 (JSON schemaVersion 4).</x:v>
      </x:c>
    </x:row>
    <x:row r="47">
      <x:c r="A47" s="34" t="str">
        <x:v>Runs</x:v>
      </x:c>
      <x:c r="B47" s="34" t="str">
        <x:v>RunsV4</x:v>
      </x:c>
      <x:c r="C47" s="34" t="str">
        <x:v>runtime base image ID</x:v>
      </x:c>
      <x:c r="D47" s="34" t="str">
        <x:v>runtimeBaseImageId</x:v>
      </x:c>
      <x:c r="E47" s="34" t="str"/>
      <x:c r="F47" s="34" t="str">
        <x:v>text</x:v>
      </x:c>
      <x:c r="G47" s="34" t="str">
        <x:v>results.json</x:v>
      </x:c>
      <x:c r="H47" s="44" t="str">
        <x:v>Valore runtimeBaseImageId come registrato dalla campagna v4.2 (JSON schemaVersion 4).</x:v>
      </x:c>
    </x:row>
    <x:row r="48">
      <x:c r="A48" s="34" t="str">
        <x:v>Runs</x:v>
      </x:c>
      <x:c r="B48" s="34" t="str">
        <x:v>RunsV4</x:v>
      </x:c>
      <x:c r="C48" s="34" t="str">
        <x:v>requested build image</x:v>
      </x:c>
      <x:c r="D48" s="34" t="str">
        <x:v>requestedBuildImage</x:v>
      </x:c>
      <x:c r="E48" s="34" t="str"/>
      <x:c r="F48" s="34" t="str">
        <x:v>text</x:v>
      </x:c>
      <x:c r="G48" s="34" t="str">
        <x:v>results.json</x:v>
      </x:c>
      <x:c r="H48" s="44" t="str">
        <x:v>Valore requestedBuildImage come registrato dalla campagna v4.2 (JSON schemaVersion 4).</x:v>
      </x:c>
    </x:row>
    <x:row r="49">
      <x:c r="A49" s="34" t="str">
        <x:v>Runs</x:v>
      </x:c>
      <x:c r="B49" s="34" t="str">
        <x:v>RunsV4</x:v>
      </x:c>
      <x:c r="C49" s="34" t="str">
        <x:v>build image immutable reference</x:v>
      </x:c>
      <x:c r="D49" s="34" t="str">
        <x:v>buildBaseImageReference</x:v>
      </x:c>
      <x:c r="E49" s="34" t="str"/>
      <x:c r="F49" s="34" t="str">
        <x:v>text</x:v>
      </x:c>
      <x:c r="G49" s="34" t="str">
        <x:v>results.json</x:v>
      </x:c>
      <x:c r="H49" s="44" t="str">
        <x:v>Valore buildBaseImageReference come registrato dalla campagna v4.2 (JSON schemaVersion 4).</x:v>
      </x:c>
    </x:row>
    <x:row r="50">
      <x:c r="A50" s="34" t="str">
        <x:v>Runs</x:v>
      </x:c>
      <x:c r="B50" s="34" t="str">
        <x:v>RunsV4</x:v>
      </x:c>
      <x:c r="C50" s="34" t="str">
        <x:v>build image pinned digest</x:v>
      </x:c>
      <x:c r="D50" s="34" t="str">
        <x:v>buildBaseImagePinnedDigest</x:v>
      </x:c>
      <x:c r="E50" s="34" t="str"/>
      <x:c r="F50" s="34" t="str">
        <x:v>text</x:v>
      </x:c>
      <x:c r="G50" s="34" t="str">
        <x:v>results.json</x:v>
      </x:c>
      <x:c r="H50" s="44" t="str">
        <x:v>Valore buildBaseImagePinnedDigest come registrato dalla campagna v4.2 (JSON schemaVersion 4).</x:v>
      </x:c>
    </x:row>
    <x:row r="51">
      <x:c r="A51" s="34" t="str">
        <x:v>Runs</x:v>
      </x:c>
      <x:c r="B51" s="34" t="str">
        <x:v>RunsV4</x:v>
      </x:c>
      <x:c r="C51" s="34" t="str">
        <x:v>build image inspected</x:v>
      </x:c>
      <x:c r="D51" s="34" t="str">
        <x:v>buildBaseImageInspectionAvailable</x:v>
      </x:c>
      <x:c r="E51" s="34" t="str"/>
      <x:c r="F51" s="34" t="str">
        <x:v>boolean</x:v>
      </x:c>
      <x:c r="G51" s="34" t="str">
        <x:v>results.json</x:v>
      </x:c>
      <x:c r="H51" s="44" t="str">
        <x:v>Valore buildBaseImageInspectionAvailable come registrato dalla campagna v4.2 (JSON schemaVersion 4).</x:v>
      </x:c>
    </x:row>
    <x:row r="52">
      <x:c r="A52" s="34" t="str">
        <x:v>Runs</x:v>
      </x:c>
      <x:c r="B52" s="34" t="str">
        <x:v>RunsV4</x:v>
      </x:c>
      <x:c r="C52" s="34" t="str">
        <x:v>build base image ID</x:v>
      </x:c>
      <x:c r="D52" s="34" t="str">
        <x:v>buildBaseImageId</x:v>
      </x:c>
      <x:c r="E52" s="34" t="str"/>
      <x:c r="F52" s="34" t="str">
        <x:v>text</x:v>
      </x:c>
      <x:c r="G52" s="34" t="str">
        <x:v>results.json</x:v>
      </x:c>
      <x:c r="H52" s="44" t="str">
        <x:v>Valore buildBaseImageId come registrato dalla campagna v4.2 (JSON schemaVersion 4).</x:v>
      </x:c>
    </x:row>
    <x:row r="53">
      <x:c r="A53" s="34" t="str">
        <x:v>Runs</x:v>
      </x:c>
      <x:c r="B53" s="34" t="str">
        <x:v>RunsV4</x:v>
      </x:c>
      <x:c r="C53" s="34" t="str">
        <x:v>JCS4 version</x:v>
      </x:c>
      <x:c r="D53" s="34" t="str">
        <x:v>jcs4Version</x:v>
      </x:c>
      <x:c r="E53" s="34" t="str"/>
      <x:c r="F53" s="34" t="str">
        <x:v>text</x:v>
      </x:c>
      <x:c r="G53" s="34" t="str">
        <x:v>results.json</x:v>
      </x:c>
      <x:c r="H53" s="44" t="str">
        <x:v>Valore jcs4Version come registrato dalla campagna v4.2 (JSON schemaVersion 4).</x:v>
      </x:c>
    </x:row>
    <x:row r="54">
      <x:c r="A54" s="34" t="str">
        <x:v>Runs</x:v>
      </x:c>
      <x:c r="B54" s="34" t="str">
        <x:v>RunsV4</x:v>
      </x:c>
      <x:c r="C54" s="34" t="str">
        <x:v>JCS4 source commit</x:v>
      </x:c>
      <x:c r="D54" s="34" t="str">
        <x:v>jcs4SourceCommit</x:v>
      </x:c>
      <x:c r="E54" s="34" t="str"/>
      <x:c r="F54" s="34" t="str">
        <x:v>text</x:v>
      </x:c>
      <x:c r="G54" s="34" t="str">
        <x:v>results.json</x:v>
      </x:c>
      <x:c r="H54" s="44" t="str">
        <x:v>Valore jcs4SourceCommit come registrato dalla campagna v4.2 (JSON schemaVersion 4).</x:v>
      </x:c>
    </x:row>
    <x:row r="55">
      <x:c r="A55" s="34" t="str">
        <x:v>Runs</x:v>
      </x:c>
      <x:c r="B55" s="34" t="str">
        <x:v>RunsV4</x:v>
      </x:c>
      <x:c r="C55" s="34" t="str">
        <x:v>JCS4 artifact SHA-256</x:v>
      </x:c>
      <x:c r="D55" s="34" t="str">
        <x:v>jcs4ArtifactSha256</x:v>
      </x:c>
      <x:c r="E55" s="34" t="str"/>
      <x:c r="F55" s="34" t="str">
        <x:v>text</x:v>
      </x:c>
      <x:c r="G55" s="34" t="str">
        <x:v>results.json</x:v>
      </x:c>
      <x:c r="H55" s="44" t="str">
        <x:v>Valore jcs4ArtifactSha256 come registrato dalla campagna v4.2 (JSON schemaVersion 4).</x:v>
      </x:c>
    </x:row>
    <x:row r="56">
      <x:c r="A56" s="34" t="str">
        <x:v>Runs</x:v>
      </x:c>
      <x:c r="B56" s="34" t="str">
        <x:v>RunsV4</x:v>
      </x:c>
      <x:c r="C56" s="34" t="str">
        <x:v>JCS 3 version</x:v>
      </x:c>
      <x:c r="D56" s="34" t="str">
        <x:v>jcs321Version</x:v>
      </x:c>
      <x:c r="E56" s="34" t="str"/>
      <x:c r="F56" s="34" t="str">
        <x:v>text</x:v>
      </x:c>
      <x:c r="G56" s="34" t="str">
        <x:v>results.json</x:v>
      </x:c>
      <x:c r="H56" s="44" t="str">
        <x:v>Valore jcs321Version come registrato dalla campagna v4.2 (JSON schemaVersion 4).</x:v>
      </x:c>
    </x:row>
    <x:row r="57">
      <x:c r="A57" s="34" t="str">
        <x:v>Runs</x:v>
      </x:c>
      <x:c r="B57" s="34" t="str">
        <x:v>RunsV4</x:v>
      </x:c>
      <x:c r="C57" s="34" t="str">
        <x:v>JCS 3 artifact SHA-256</x:v>
      </x:c>
      <x:c r="D57" s="34" t="str">
        <x:v>jcs321ArtifactSha256</x:v>
      </x:c>
      <x:c r="E57" s="34" t="str"/>
      <x:c r="F57" s="34" t="str">
        <x:v>text</x:v>
      </x:c>
      <x:c r="G57" s="34" t="str">
        <x:v>results.json</x:v>
      </x:c>
      <x:c r="H57" s="44" t="str">
        <x:v>Valore jcs321ArtifactSha256 come registrato dalla campagna v4.2 (JSON schemaVersion 4).</x:v>
      </x:c>
    </x:row>
    <x:row r="58">
      <x:c r="A58" s="34" t="str">
        <x:v>Runs</x:v>
      </x:c>
      <x:c r="B58" s="34" t="str">
        <x:v>RunsV4</x:v>
      </x:c>
      <x:c r="C58" s="34" t="str">
        <x:v>WAR SHA-256</x:v>
      </x:c>
      <x:c r="D58" s="34" t="str">
        <x:v>warSha256</x:v>
      </x:c>
      <x:c r="E58" s="34" t="str"/>
      <x:c r="F58" s="34" t="str">
        <x:v>text</x:v>
      </x:c>
      <x:c r="G58" s="34" t="str">
        <x:v>results.json</x:v>
      </x:c>
      <x:c r="H58" s="44" t="str">
        <x:v>Valore warSha256 come registrato dalla campagna v4.2 (JSON schemaVersion 4).</x:v>
      </x:c>
    </x:row>
    <x:row r="59">
      <x:c r="A59" s="34" t="str">
        <x:v>Runs</x:v>
      </x:c>
      <x:c r="B59" s="34" t="str">
        <x:v>RunsV4</x:v>
      </x:c>
      <x:c r="C59" s="34" t="str">
        <x:v>artifact manifest: basename + SHA-256 (JSON)</x:v>
      </x:c>
      <x:c r="D59" s="34" t="str">
        <x:v>artifactManifestJson</x:v>
      </x:c>
      <x:c r="E59" s="34" t="str"/>
      <x:c r="F59" s="34" t="str">
        <x:v>text</x:v>
      </x:c>
      <x:c r="G59" s="34" t="str">
        <x:v>results.json</x:v>
      </x:c>
      <x:c r="H59" s="44" t="str">
        <x:v>Manifest appiattito a basename e checksum; i containerPath completi restano nel JSON autorevole.</x:v>
      </x:c>
    </x:row>
    <x:row r="60">
      <x:c r="A60" s="34" t="str">
        <x:v>Runs</x:v>
      </x:c>
      <x:c r="B60" s="34" t="str">
        <x:v>RunsV4</x:v>
      </x:c>
      <x:c r="C60" s="34" t="str">
        <x:v>effective POM file</x:v>
      </x:c>
      <x:c r="D60" s="34" t="str">
        <x:v>effectivePomFile</x:v>
      </x:c>
      <x:c r="E60" s="34" t="str"/>
      <x:c r="F60" s="34" t="str">
        <x:v>text</x:v>
      </x:c>
      <x:c r="G60" s="34" t="str">
        <x:v>results.json</x:v>
      </x:c>
      <x:c r="H60" s="44" t="str">
        <x:v>Valore effectivePomFile come registrato dalla campagna v4.2 (JSON schemaVersion 4).</x:v>
      </x:c>
    </x:row>
    <x:row r="61">
      <x:c r="A61" s="34" t="str">
        <x:v>Runs</x:v>
      </x:c>
      <x:c r="B61" s="34" t="str">
        <x:v>RunsV4</x:v>
      </x:c>
      <x:c r="C61" s="34" t="str">
        <x:v>effective POM SHA-256</x:v>
      </x:c>
      <x:c r="D61" s="34" t="str">
        <x:v>effectivePomSha256</x:v>
      </x:c>
      <x:c r="E61" s="34" t="str"/>
      <x:c r="F61" s="34" t="str">
        <x:v>text</x:v>
      </x:c>
      <x:c r="G61" s="34" t="str">
        <x:v>results.json</x:v>
      </x:c>
      <x:c r="H61" s="44" t="str">
        <x:v>Valore effectivePomSha256 come registrato dalla campagna v4.2 (JSON schemaVersion 4).</x:v>
      </x:c>
    </x:row>
    <x:row r="62">
      <x:c r="A62" s="34" t="str">
        <x:v>Runs</x:v>
      </x:c>
      <x:c r="B62" s="34" t="str">
        <x:v>RunsV4</x:v>
      </x:c>
      <x:c r="C62" s="34" t="str">
        <x:v>effective POM size (bytes)</x:v>
      </x:c>
      <x:c r="D62" s="34" t="str">
        <x:v>effectivePomSizeBytes</x:v>
      </x:c>
      <x:c r="E62" s="34" t="str">
        <x:v>byte</x:v>
      </x:c>
      <x:c r="F62" s="34" t="str">
        <x:v>bytes</x:v>
      </x:c>
      <x:c r="G62" s="34" t="str">
        <x:v>results.json</x:v>
      </x:c>
      <x:c r="H62" s="44" t="str">
        <x:v>Valore effectivePomSizeBytes come registrato dalla campagna v4.2 (JSON schemaVersion 4).</x:v>
      </x:c>
    </x:row>
    <x:row r="63">
      <x:c r="A63" s="34" t="str">
        <x:v>Runs</x:v>
      </x:c>
      <x:c r="B63" s="34" t="str">
        <x:v>RunsV4</x:v>
      </x:c>
      <x:c r="C63" s="34" t="str">
        <x:v>dependency tree file</x:v>
      </x:c>
      <x:c r="D63" s="34" t="str">
        <x:v>dependencyTreeFile</x:v>
      </x:c>
      <x:c r="E63" s="34" t="str"/>
      <x:c r="F63" s="34" t="str">
        <x:v>text</x:v>
      </x:c>
      <x:c r="G63" s="34" t="str">
        <x:v>results.json</x:v>
      </x:c>
      <x:c r="H63" s="44" t="str">
        <x:v>Valore dependencyTreeFile come registrato dalla campagna v4.2 (JSON schemaVersion 4).</x:v>
      </x:c>
    </x:row>
    <x:row r="64">
      <x:c r="A64" s="34" t="str">
        <x:v>Runs</x:v>
      </x:c>
      <x:c r="B64" s="34" t="str">
        <x:v>RunsV4</x:v>
      </x:c>
      <x:c r="C64" s="34" t="str">
        <x:v>dependency tree SHA-256</x:v>
      </x:c>
      <x:c r="D64" s="34" t="str">
        <x:v>dependencyTreeSha256</x:v>
      </x:c>
      <x:c r="E64" s="34" t="str"/>
      <x:c r="F64" s="34" t="str">
        <x:v>text</x:v>
      </x:c>
      <x:c r="G64" s="34" t="str">
        <x:v>results.json</x:v>
      </x:c>
      <x:c r="H64" s="44" t="str">
        <x:v>Valore dependencyTreeSha256 come registrato dalla campagna v4.2 (JSON schemaVersion 4).</x:v>
      </x:c>
    </x:row>
    <x:row r="65">
      <x:c r="A65" s="34" t="str">
        <x:v>Runs</x:v>
      </x:c>
      <x:c r="B65" s="34" t="str">
        <x:v>RunsV4</x:v>
      </x:c>
      <x:c r="C65" s="34" t="str">
        <x:v>dependency tree size (bytes)</x:v>
      </x:c>
      <x:c r="D65" s="34" t="str">
        <x:v>dependencyTreeSizeBytes</x:v>
      </x:c>
      <x:c r="E65" s="34" t="str">
        <x:v>byte</x:v>
      </x:c>
      <x:c r="F65" s="34" t="str">
        <x:v>bytes</x:v>
      </x:c>
      <x:c r="G65" s="34" t="str">
        <x:v>results.json</x:v>
      </x:c>
      <x:c r="H65" s="44" t="str">
        <x:v>Valore dependencyTreeSizeBytes come registrato dalla campagna v4.2 (JSON schemaVersion 4).</x:v>
      </x:c>
    </x:row>
    <x:row r="66">
      <x:c r="A66" s="34" t="str">
        <x:v>Runs</x:v>
      </x:c>
      <x:c r="B66" s="34" t="str">
        <x:v>RunsV4</x:v>
      </x:c>
      <x:c r="C66" s="34" t="str">
        <x:v>build provenance file</x:v>
      </x:c>
      <x:c r="D66" s="34" t="str">
        <x:v>buildProvenanceFile</x:v>
      </x:c>
      <x:c r="E66" s="34" t="str"/>
      <x:c r="F66" s="34" t="str">
        <x:v>text</x:v>
      </x:c>
      <x:c r="G66" s="34" t="str">
        <x:v>results.json</x:v>
      </x:c>
      <x:c r="H66" s="44" t="str">
        <x:v>Valore buildProvenanceFile come registrato dalla campagna v4.2 (JSON schemaVersion 4).</x:v>
      </x:c>
    </x:row>
    <x:row r="67">
      <x:c r="A67" s="34" t="str">
        <x:v>Runs</x:v>
      </x:c>
      <x:c r="B67" s="34" t="str">
        <x:v>RunsV4</x:v>
      </x:c>
      <x:c r="C67" s="34" t="str">
        <x:v>build provenance SHA-256</x:v>
      </x:c>
      <x:c r="D67" s="34" t="str">
        <x:v>buildProvenanceSha256</x:v>
      </x:c>
      <x:c r="E67" s="34" t="str"/>
      <x:c r="F67" s="34" t="str">
        <x:v>text</x:v>
      </x:c>
      <x:c r="G67" s="34" t="str">
        <x:v>results.json</x:v>
      </x:c>
      <x:c r="H67" s="44" t="str">
        <x:v>Valore buildProvenanceSha256 come registrato dalla campagna v4.2 (JSON schemaVersion 4).</x:v>
      </x:c>
    </x:row>
    <x:row r="68">
      <x:c r="A68" s="34" t="str">
        <x:v>Runs</x:v>
      </x:c>
      <x:c r="B68" s="34" t="str">
        <x:v>RunsV4</x:v>
      </x:c>
      <x:c r="C68" s="34" t="str">
        <x:v>build provenance size (bytes)</x:v>
      </x:c>
      <x:c r="D68" s="34" t="str">
        <x:v>buildProvenanceSizeBytes</x:v>
      </x:c>
      <x:c r="E68" s="34" t="str">
        <x:v>byte</x:v>
      </x:c>
      <x:c r="F68" s="34" t="str">
        <x:v>bytes</x:v>
      </x:c>
      <x:c r="G68" s="34" t="str">
        <x:v>results.json</x:v>
      </x:c>
      <x:c r="H68" s="44" t="str">
        <x:v>Valore buildProvenanceSizeBytes come registrato dalla campagna v4.2 (JSON schemaVersion 4).</x:v>
      </x:c>
    </x:row>
    <x:row r="69">
      <x:c r="A69" s="34" t="str">
        <x:v>Runs</x:v>
      </x:c>
      <x:c r="B69" s="34" t="str">
        <x:v>RunsV4</x:v>
      </x:c>
      <x:c r="C69" s="34" t="str">
        <x:v>provenance valid</x:v>
      </x:c>
      <x:c r="D69" s="34" t="str">
        <x:v>provenanceValidationPassed</x:v>
      </x:c>
      <x:c r="E69" s="34" t="str"/>
      <x:c r="F69" s="34" t="str">
        <x:v>boolean</x:v>
      </x:c>
      <x:c r="G69" s="34" t="str">
        <x:v>results.json</x:v>
      </x:c>
      <x:c r="H69" s="44" t="str">
        <x:v>Esito dei controlli su immagine, commit e artefatti incorporati.</x:v>
      </x:c>
    </x:row>
    <x:row r="70">
      <x:c r="A70" s="34" t="str">
        <x:v>Runs</x:v>
      </x:c>
      <x:c r="B70" s="34" t="str">
        <x:v>RunsV4</x:v>
      </x:c>
      <x:c r="C70" s="34" t="str">
        <x:v>provenance errors</x:v>
      </x:c>
      <x:c r="D70" s="34" t="str">
        <x:v>provenanceValidationErrors</x:v>
      </x:c>
      <x:c r="E70" s="34" t="str"/>
      <x:c r="F70" s="34" t="str">
        <x:v>text</x:v>
      </x:c>
      <x:c r="G70" s="34" t="str">
        <x:v>results.json</x:v>
      </x:c>
      <x:c r="H70" s="44" t="str">
        <x:v>Valore provenanceValidationErrors come registrato dalla campagna v4.2 (JSON schemaVersion 4).</x:v>
      </x:c>
    </x:row>
    <x:row r="71">
      <x:c r="A71" s="34" t="str">
        <x:v>Runs</x:v>
      </x:c>
      <x:c r="B71" s="34" t="str">
        <x:v>RunsV4</x:v>
      </x:c>
      <x:c r="C71" s="34" t="str">
        <x:v>cycles</x:v>
      </x:c>
      <x:c r="D71" s="34" t="str">
        <x:v>cycleCount</x:v>
      </x:c>
      <x:c r="E71" s="34" t="str"/>
      <x:c r="F71" s="34" t="str">
        <x:v>integer</x:v>
      </x:c>
      <x:c r="G71" s="34" t="str">
        <x:v>results.json</x:v>
      </x:c>
      <x:c r="H71" s="44" t="str">
        <x:v>Valore cycleCount come registrato dalla campagna v4.2 (JSON schemaVersion 4).</x:v>
      </x:c>
    </x:row>
    <x:row r="72">
      <x:c r="A72" s="34" t="str">
        <x:v>Runs</x:v>
      </x:c>
      <x:c r="B72" s="34" t="str">
        <x:v>RunsV4</x:v>
      </x:c>
      <x:c r="C72" s="34" t="str">
        <x:v>warnings</x:v>
      </x:c>
      <x:c r="D72" s="34" t="str">
        <x:v>warningCount</x:v>
      </x:c>
      <x:c r="E72" s="34" t="str"/>
      <x:c r="F72" s="34" t="str">
        <x:v>integer</x:v>
      </x:c>
      <x:c r="G72" s="34" t="str">
        <x:v>results.json</x:v>
      </x:c>
      <x:c r="H72" s="44" t="str">
        <x:v>Valore warningCount come registrato dalla campagna v4.2 (JSON schemaVersion 4).</x:v>
      </x:c>
    </x:row>
    <x:row r="73">
      <x:c r="A73" s="34" t="str">
        <x:v>Runs</x:v>
      </x:c>
      <x:c r="B73" s="34" t="str">
        <x:v>RunsV4</x:v>
      </x:c>
      <x:c r="C73" s="34" t="str">
        <x:v>leak warnings</x:v>
      </x:c>
      <x:c r="D73" s="34" t="str">
        <x:v>leakWarningCount</x:v>
      </x:c>
      <x:c r="E73" s="34" t="str"/>
      <x:c r="F73" s="34" t="str">
        <x:v>integer</x:v>
      </x:c>
      <x:c r="G73" s="34" t="str">
        <x:v>results.json</x:v>
      </x:c>
      <x:c r="H73" s="44" t="str">
        <x:v>Valore leakWarningCount come registrato dalla campagna v4.2 (JSON schemaVersion 4).</x:v>
      </x:c>
    </x:row>
    <x:row r="74">
      <x:c r="A74" s="34" t="str">
        <x:v>Runs</x:v>
      </x:c>
      <x:c r="B74" s="34" t="str">
        <x:v>RunsV4</x:v>
      </x:c>
      <x:c r="C74" s="34" t="str">
        <x:v>thread-leak warnings</x:v>
      </x:c>
      <x:c r="D74" s="34" t="str">
        <x:v>threadLeakWarningCount</x:v>
      </x:c>
      <x:c r="E74" s="34" t="str"/>
      <x:c r="F74" s="34" t="str">
        <x:v>integer</x:v>
      </x:c>
      <x:c r="G74" s="34" t="str">
        <x:v>results.json</x:v>
      </x:c>
      <x:c r="H74" s="44" t="str">
        <x:v>Valore threadLeakWarningCount come registrato dalla campagna v4.2 (JSON schemaVersion 4).</x:v>
      </x:c>
    </x:row>
    <x:row r="75">
      <x:c r="A75" s="34" t="str">
        <x:v>Runs</x:v>
      </x:c>
      <x:c r="B75" s="34" t="str">
        <x:v>RunsV4</x:v>
      </x:c>
      <x:c r="C75" s="34" t="str">
        <x:v>heap-dump policy</x:v>
      </x:c>
      <x:c r="D75" s="34" t="str">
        <x:v>finalHeapDumpPolicy</x:v>
      </x:c>
      <x:c r="E75" s="34" t="str"/>
      <x:c r="F75" s="34" t="str">
        <x:v>text</x:v>
      </x:c>
      <x:c r="G75" s="34" t="str">
        <x:v>results.json</x:v>
      </x:c>
      <x:c r="H75" s="44" t="str">
        <x:v>Valore finalHeapDumpPolicy come registrato dalla campagna v4.2 (JSON schemaVersion 4).</x:v>
      </x:c>
    </x:row>
    <x:row r="76">
      <x:c r="A76" s="34" t="str">
        <x:v>Runs</x:v>
      </x:c>
      <x:c r="B76" s="34" t="str">
        <x:v>RunsV4</x:v>
      </x:c>
      <x:c r="C76" s="34" t="str">
        <x:v>final heap dump</x:v>
      </x:c>
      <x:c r="D76" s="34" t="str">
        <x:v>finalHeapDumpFile</x:v>
      </x:c>
      <x:c r="E76" s="34" t="str"/>
      <x:c r="F76" s="34" t="str">
        <x:v>text</x:v>
      </x:c>
      <x:c r="G76" s="34" t="str">
        <x:v>results.json</x:v>
      </x:c>
      <x:c r="H76" s="44" t="str">
        <x:v>Valore finalHeapDumpFile come registrato dalla campagna v4.2 (JSON schemaVersion 4).</x:v>
      </x:c>
    </x:row>
    <x:row r="77">
      <x:c r="A77" s="34" t="str">
        <x:v>Runs</x:v>
      </x:c>
      <x:c r="B77" s="34" t="str">
        <x:v>RunsV4</x:v>
      </x:c>
      <x:c r="C77" s="34" t="str">
        <x:v>heap dump SHA-256</x:v>
      </x:c>
      <x:c r="D77" s="34" t="str">
        <x:v>finalHeapDumpSha256</x:v>
      </x:c>
      <x:c r="E77" s="34" t="str"/>
      <x:c r="F77" s="34" t="str">
        <x:v>text</x:v>
      </x:c>
      <x:c r="G77" s="34" t="str">
        <x:v>results.json</x:v>
      </x:c>
      <x:c r="H77" s="44" t="str">
        <x:v>Valore finalHeapDumpSha256 come registrato dalla campagna v4.2 (JSON schemaVersion 4).</x:v>
      </x:c>
    </x:row>
    <x:row r="78">
      <x:c r="A78" s="34" t="str">
        <x:v>Runs</x:v>
      </x:c>
      <x:c r="B78" s="34" t="str">
        <x:v>RunsV4</x:v>
      </x:c>
      <x:c r="C78" s="34" t="str">
        <x:v>heap dump size (bytes)</x:v>
      </x:c>
      <x:c r="D78" s="34" t="str">
        <x:v>finalHeapDumpSizeBytes</x:v>
      </x:c>
      <x:c r="E78" s="34" t="str">
        <x:v>byte</x:v>
      </x:c>
      <x:c r="F78" s="34" t="str">
        <x:v>bytes</x:v>
      </x:c>
      <x:c r="G78" s="34" t="str">
        <x:v>results.json</x:v>
      </x:c>
      <x:c r="H78" s="44" t="str">
        <x:v>Valore finalHeapDumpSizeBytes come registrato dalla campagna v4.2 (JSON schemaVersion 4).</x:v>
      </x:c>
    </x:row>
    <x:row r="79">
      <x:c r="A79" s="34" t="str">
        <x:v>Workloads Raw</x:v>
      </x:c>
      <x:c r="B79" s="34" t="str">
        <x:v>WorkloadsRawV4</x:v>
      </x:c>
      <x:c r="C79" s="34" t="str">
        <x:v>processRunId</x:v>
      </x:c>
      <x:c r="D79" s="34" t="str">
        <x:v>processRunId</x:v>
      </x:c>
      <x:c r="E79" s="34" t="str"/>
      <x:c r="F79" s="34" t="str">
        <x:v>text</x:v>
      </x:c>
      <x:c r="G79" s="34" t="str">
        <x:v>results.json</x:v>
      </x:c>
      <x:c r="H79" s="44" t="str">
        <x:v>Valore processRunId come registrato dalla campagna v4.2 (JSON schemaVersion 4).</x:v>
      </x:c>
    </x:row>
    <x:row r="80">
      <x:c r="A80" s="34" t="str">
        <x:v>Workloads Raw</x:v>
      </x:c>
      <x:c r="B80" s="34" t="str">
        <x:v>WorkloadsRawV4</x:v>
      </x:c>
      <x:c r="C80" s="34" t="str">
        <x:v>scenario</x:v>
      </x:c>
      <x:c r="D80" s="34" t="str">
        <x:v>scenario</x:v>
      </x:c>
      <x:c r="E80" s="34" t="str"/>
      <x:c r="F80" s="34" t="str">
        <x:v>text</x:v>
      </x:c>
      <x:c r="G80" s="34" t="str">
        <x:v>results.json</x:v>
      </x:c>
      <x:c r="H80" s="44" t="str">
        <x:v>Valore scenario come registrato dalla campagna v4.2 (JSON schemaVersion 4).</x:v>
      </x:c>
    </x:row>
    <x:row r="81">
      <x:c r="A81" s="34" t="str">
        <x:v>Workloads Raw</x:v>
      </x:c>
      <x:c r="B81" s="34" t="str">
        <x:v>WorkloadsRawV4</x:v>
      </x:c>
      <x:c r="C81" s="34" t="str">
        <x:v>provider</x:v>
      </x:c>
      <x:c r="D81" s="34" t="str">
        <x:v>provider</x:v>
      </x:c>
      <x:c r="E81" s="34" t="str"/>
      <x:c r="F81" s="34" t="str">
        <x:v>text</x:v>
      </x:c>
      <x:c r="G81" s="34" t="str">
        <x:v>results.json</x:v>
      </x:c>
      <x:c r="H81" s="44" t="str">
        <x:v>Valore provider come registrato dalla campagna v4.2 (JSON schemaVersion 4).</x:v>
      </x:c>
    </x:row>
    <x:row r="82">
      <x:c r="A82" s="34" t="str">
        <x:v>Workloads Raw</x:v>
      </x:c>
      <x:c r="B82" s="34" t="str">
        <x:v>WorkloadsRawV4</x:v>
      </x:c>
      <x:c r="C82" s="34" t="str">
        <x:v>engineProvider</x:v>
      </x:c>
      <x:c r="D82" s="34" t="str">
        <x:v>engineProvider</x:v>
      </x:c>
      <x:c r="E82" s="34" t="str"/>
      <x:c r="F82" s="34" t="str">
        <x:v>text</x:v>
      </x:c>
      <x:c r="G82" s="34" t="str">
        <x:v>results.json</x:v>
      </x:c>
      <x:c r="H82" s="44" t="str">
        <x:v>Valore engineProvider come registrato dalla campagna v4.2 (JSON schemaVersion 4).</x:v>
      </x:c>
    </x:row>
    <x:row r="83">
      <x:c r="A83" s="34" t="str">
        <x:v>Workloads Raw</x:v>
      </x:c>
      <x:c r="B83" s="34" t="str">
        <x:v>WorkloadsRawV4</x:v>
      </x:c>
      <x:c r="C83" s="34" t="str">
        <x:v>studyRole</x:v>
      </x:c>
      <x:c r="D83" s="34" t="str">
        <x:v>studyRole</x:v>
      </x:c>
      <x:c r="E83" s="34" t="str"/>
      <x:c r="F83" s="34" t="str">
        <x:v>text</x:v>
      </x:c>
      <x:c r="G83" s="34" t="str">
        <x:v>results.json</x:v>
      </x:c>
      <x:c r="H83" s="44" t="str">
        <x:v>Valore studyRole come registrato dalla campagna v4.2 (JSON schemaVersion 4).</x:v>
      </x:c>
    </x:row>
    <x:row r="84">
      <x:c r="A84" s="34" t="str">
        <x:v>Workloads Raw</x:v>
      </x:c>
      <x:c r="B84" s="34" t="str">
        <x:v>WorkloadsRawV4</x:v>
      </x:c>
      <x:c r="C84" s="34" t="str">
        <x:v>fork</x:v>
      </x:c>
      <x:c r="D84" s="34" t="str">
        <x:v>fork</x:v>
      </x:c>
      <x:c r="E84" s="34" t="str"/>
      <x:c r="F84" s="34" t="str">
        <x:v>integer</x:v>
      </x:c>
      <x:c r="G84" s="34" t="str">
        <x:v>results.json</x:v>
      </x:c>
      <x:c r="H84" s="44" t="str">
        <x:v>Valore fork come registrato dalla campagna v4.2 (JSON schemaVersion 4).</x:v>
      </x:c>
    </x:row>
    <x:row r="85">
      <x:c r="A85" s="34" t="str">
        <x:v>Workloads Raw</x:v>
      </x:c>
      <x:c r="B85" s="34" t="str">
        <x:v>WorkloadsRawV4</x:v>
      </x:c>
      <x:c r="C85" s="34" t="str">
        <x:v>Williams block</x:v>
      </x:c>
      <x:c r="D85" s="34" t="str">
        <x:v>block</x:v>
      </x:c>
      <x:c r="E85" s="34" t="str"/>
      <x:c r="F85" s="34" t="str">
        <x:v>integer</x:v>
      </x:c>
      <x:c r="G85" s="34" t="str">
        <x:v>results.json</x:v>
      </x:c>
      <x:c r="H85" s="44" t="str">
        <x:v>Valore block come registrato dalla campagna v4.2 (JSON schemaVersion 4).</x:v>
      </x:c>
    </x:row>
    <x:row r="86">
      <x:c r="A86" s="34" t="str">
        <x:v>Workloads Raw</x:v>
      </x:c>
      <x:c r="B86" s="34" t="str">
        <x:v>WorkloadsRawV4</x:v>
      </x:c>
      <x:c r="C86" s="34" t="str">
        <x:v>orderPosition</x:v>
      </x:c>
      <x:c r="D86" s="34" t="str">
        <x:v>orderPosition</x:v>
      </x:c>
      <x:c r="E86" s="34" t="str"/>
      <x:c r="F86" s="34" t="str">
        <x:v>integer</x:v>
      </x:c>
      <x:c r="G86" s="34" t="str">
        <x:v>results.json</x:v>
      </x:c>
      <x:c r="H86" s="44" t="str">
        <x:v>Valore orderPosition come registrato dalla campagna v4.2 (JSON schemaVersion 4).</x:v>
      </x:c>
    </x:row>
    <x:row r="87">
      <x:c r="A87" s="34" t="str">
        <x:v>Workloads Raw</x:v>
      </x:c>
      <x:c r="B87" s="34" t="str">
        <x:v>WorkloadsRawV4</x:v>
      </x:c>
      <x:c r="C87" s="34" t="str">
        <x:v>cycle</x:v>
      </x:c>
      <x:c r="D87" s="34" t="str">
        <x:v>cycle</x:v>
      </x:c>
      <x:c r="E87" s="34" t="str"/>
      <x:c r="F87" s="34" t="str">
        <x:v>integer</x:v>
      </x:c>
      <x:c r="G87" s="34" t="str">
        <x:v>results.json</x:v>
      </x:c>
      <x:c r="H87" s="44" t="str">
        <x:v>Valore cycle come registrato dalla campagna v4.2 (JSON schemaVersion 4).</x:v>
      </x:c>
    </x:row>
    <x:row r="88">
      <x:c r="A88" s="34" t="str">
        <x:v>Workloads Raw</x:v>
      </x:c>
      <x:c r="B88" s="34" t="str">
        <x:v>WorkloadsRawV4</x:v>
      </x:c>
      <x:c r="C88" s="34" t="str">
        <x:v>phase</x:v>
      </x:c>
      <x:c r="D88" s="34" t="str">
        <x:v>phase</x:v>
      </x:c>
      <x:c r="E88" s="34" t="str"/>
      <x:c r="F88" s="34" t="str">
        <x:v>text</x:v>
      </x:c>
      <x:c r="G88" s="34" t="str">
        <x:v>results.json</x:v>
      </x:c>
      <x:c r="H88" s="44" t="str">
        <x:v>Finestra iniziale o successiva al redeploy.</x:v>
      </x:c>
    </x:row>
    <x:row r="89">
      <x:c r="A89" s="34" t="str">
        <x:v>Workloads Raw</x:v>
      </x:c>
      <x:c r="B89" s="34" t="str">
        <x:v>WorkloadsRawV4</x:v>
      </x:c>
      <x:c r="C89" s="34" t="str">
        <x:v>gateType</x:v>
      </x:c>
      <x:c r="D89" s="34" t="str">
        <x:v>gateType</x:v>
      </x:c>
      <x:c r="E89" s="34" t="str"/>
      <x:c r="F89" s="34" t="str">
        <x:v>text</x:v>
      </x:c>
      <x:c r="G89" s="34" t="str">
        <x:v>results.json</x:v>
      </x:c>
      <x:c r="H89" s="44" t="str">
        <x:v>Valore gateType come registrato dalla campagna v4.2 (JSON schemaVersion 4).</x:v>
      </x:c>
    </x:row>
    <x:row r="90">
      <x:c r="A90" s="34" t="str">
        <x:v>Workloads Raw</x:v>
      </x:c>
      <x:c r="B90" s="34" t="str">
        <x:v>WorkloadsRawV4</x:v>
      </x:c>
      <x:c r="C90" s="34" t="str">
        <x:v>performance eligible</x:v>
      </x:c>
      <x:c r="D90" s="34" t="str">
        <x:v>performanceComparisonEligible</x:v>
      </x:c>
      <x:c r="E90" s="34" t="str"/>
      <x:c r="F90" s="34" t="str">
        <x:v>boolean</x:v>
      </x:c>
      <x:c r="G90" s="34" t="str">
        <x:v>results.json</x:v>
      </x:c>
      <x:c r="H90" s="44" t="str">
        <x:v>Valore performanceComparisonEligible come registrato dalla campagna v4.2 (JSON schemaVersion 4).</x:v>
      </x:c>
    </x:row>
    <x:row r="91">
      <x:c r="A91" s="34" t="str">
        <x:v>Workloads Raw</x:v>
      </x:c>
      <x:c r="B91" s="34" t="str">
        <x:v>WorkloadsRawV4</x:v>
      </x:c>
      <x:c r="C91" s="34" t="str">
        <x:v>requestSeed</x:v>
      </x:c>
      <x:c r="D91" s="34" t="str">
        <x:v>requestSeed</x:v>
      </x:c>
      <x:c r="E91" s="34" t="str"/>
      <x:c r="F91" s="34" t="str">
        <x:v>integer</x:v>
      </x:c>
      <x:c r="G91" s="34" t="str">
        <x:v>results.json</x:v>
      </x:c>
      <x:c r="H91" s="44" t="str">
        <x:v>Seed appaiato per blocco e ciclo.</x:v>
      </x:c>
    </x:row>
    <x:row r="92">
      <x:c r="A92" s="34" t="str">
        <x:v>Workloads Raw</x:v>
      </x:c>
      <x:c r="B92" s="34" t="str">
        <x:v>WorkloadsRawV4</x:v>
      </x:c>
      <x:c r="C92" s="34" t="str">
        <x:v>access-plan SHA-256</x:v>
      </x:c>
      <x:c r="D92" s="34" t="str">
        <x:v>accessPlanSha256</x:v>
      </x:c>
      <x:c r="E92" s="34" t="str"/>
      <x:c r="F92" s="34" t="str">
        <x:v>text</x:v>
      </x:c>
      <x:c r="G92" s="34" t="str">
        <x:v>results.json</x:v>
      </x:c>
      <x:c r="H92" s="44" t="str">
        <x:v>Hash del piano di accesso deterministico.</x:v>
      </x:c>
    </x:row>
    <x:row r="93">
      <x:c r="A93" s="34" t="str">
        <x:v>Workloads Raw</x:v>
      </x:c>
      <x:c r="B93" s="34" t="str">
        <x:v>WorkloadsRawV4</x:v>
      </x:c>
      <x:c r="C93" s="34" t="str">
        <x:v>cache size (entries)</x:v>
      </x:c>
      <x:c r="D93" s="34" t="str">
        <x:v>entries</x:v>
      </x:c>
      <x:c r="E93" s="34" t="str">
        <x:v>entry</x:v>
      </x:c>
      <x:c r="F93" s="34" t="str">
        <x:v>integer</x:v>
      </x:c>
      <x:c r="G93" s="34" t="str">
        <x:v>results.json</x:v>
      </x:c>
      <x:c r="H93" s="44" t="str">
        <x:v>Valore entries come registrato dalla campagna v4.2 (JSON schemaVersion 4).</x:v>
      </x:c>
    </x:row>
    <x:row r="94">
      <x:c r="A94" s="34" t="str">
        <x:v>Workloads Raw</x:v>
      </x:c>
      <x:c r="B94" s="34" t="str">
        <x:v>WorkloadsRawV4</x:v>
      </x:c>
      <x:c r="C94" s="34" t="str">
        <x:v>operation-plan size (configured)</x:v>
      </x:c>
      <x:c r="D94" s="34" t="str">
        <x:v>operationsRequested</x:v>
      </x:c>
      <x:c r="E94" s="34" t="str">
        <x:v>operation</x:v>
      </x:c>
      <x:c r="F94" s="34" t="str">
        <x:v>integer</x:v>
      </x:c>
      <x:c r="G94" s="34" t="str">
        <x:v>results.json</x:v>
      </x:c>
      <x:c r="H94" s="44" t="str">
        <x:v>Dimensione prespecificata del piano (400000). Il runner a durata ripete il piano, quindi measuredOperations può essere maggiore.</x:v>
      </x:c>
    </x:row>
    <x:row r="95">
      <x:c r="A95" s="34" t="str">
        <x:v>Workloads Raw</x:v>
      </x:c>
      <x:c r="B95" s="34" t="str">
        <x:v>WorkloadsRawV4</x:v>
      </x:c>
      <x:c r="C95" s="34" t="str">
        <x:v>client workers</x:v>
      </x:c>
      <x:c r="D95" s="34" t="str">
        <x:v>threads</x:v>
      </x:c>
      <x:c r="E95" s="34" t="str">
        <x:v>thread</x:v>
      </x:c>
      <x:c r="F95" s="34" t="str">
        <x:v>integer</x:v>
      </x:c>
      <x:c r="G95" s="34" t="str">
        <x:v>results.json</x:v>
      </x:c>
      <x:c r="H95" s="44" t="str">
        <x:v>Valore threads come registrato dalla campagna v4.2 (JSON schemaVersion 4).</x:v>
      </x:c>
    </x:row>
    <x:row r="96">
      <x:c r="A96" s="34" t="str">
        <x:v>Workloads Raw</x:v>
      </x:c>
      <x:c r="B96" s="34" t="str">
        <x:v>WorkloadsRawV4</x:v>
      </x:c>
      <x:c r="C96" s="34" t="str">
        <x:v>target hit rate (%)</x:v>
      </x:c>
      <x:c r="D96" s="34" t="str">
        <x:v>hitPercent</x:v>
      </x:c>
      <x:c r="E96" s="34" t="str">
        <x:v>%</x:v>
      </x:c>
      <x:c r="F96" s="34" t="str">
        <x:v>number</x:v>
      </x:c>
      <x:c r="G96" s="34" t="str">
        <x:v>results.json</x:v>
      </x:c>
      <x:c r="H96" s="44" t="str">
        <x:v>Valore hitPercent come registrato dalla campagna v4.2 (JSON schemaVersion 4).</x:v>
      </x:c>
    </x:row>
    <x:row r="97">
      <x:c r="A97" s="34" t="str">
        <x:v>Workloads Raw</x:v>
      </x:c>
      <x:c r="B97" s="34" t="str">
        <x:v>WorkloadsRawV4</x:v>
      </x:c>
      <x:c r="C97" s="34" t="str">
        <x:v>payload (bytes)</x:v>
      </x:c>
      <x:c r="D97" s="34" t="str">
        <x:v>payloadBytes</x:v>
      </x:c>
      <x:c r="E97" s="34" t="str">
        <x:v>byte</x:v>
      </x:c>
      <x:c r="F97" s="34" t="str">
        <x:v>bytes</x:v>
      </x:c>
      <x:c r="G97" s="34" t="str">
        <x:v>results.json</x:v>
      </x:c>
      <x:c r="H97" s="44" t="str">
        <x:v>Valore payloadBytes come registrato dalla campagna v4.2 (JSON schemaVersion 4).</x:v>
      </x:c>
    </x:row>
    <x:row r="98">
      <x:c r="A98" s="34" t="str">
        <x:v>Workloads Raw</x:v>
      </x:c>
      <x:c r="B98" s="34" t="str">
        <x:v>WorkloadsRawV4</x:v>
      </x:c>
      <x:c r="C98" s="34" t="str">
        <x:v>warmup operations requested</x:v>
      </x:c>
      <x:c r="D98" s="34" t="str">
        <x:v>warmupOperationsRequested</x:v>
      </x:c>
      <x:c r="E98" s="34" t="str">
        <x:v>operation</x:v>
      </x:c>
      <x:c r="F98" s="34" t="str">
        <x:v>integer</x:v>
      </x:c>
      <x:c r="G98" s="34" t="str">
        <x:v>results.json</x:v>
      </x:c>
      <x:c r="H98" s="44" t="str">
        <x:v>Valore warmupOperationsRequested come registrato dalla campagna v4.2 (JSON schemaVersion 4).</x:v>
      </x:c>
    </x:row>
    <x:row r="99">
      <x:c r="A99" s="34" t="str">
        <x:v>Workloads Raw</x:v>
      </x:c>
      <x:c r="B99" s="34" t="str">
        <x:v>WorkloadsRawV4</x:v>
      </x:c>
      <x:c r="C99" s="34" t="str">
        <x:v>warmup requested (s)</x:v>
      </x:c>
      <x:c r="D99" s="34" t="str">
        <x:v>warmupSecondsRequested</x:v>
      </x:c>
      <x:c r="E99" s="34" t="str">
        <x:v>s</x:v>
      </x:c>
      <x:c r="F99" s="34" t="str">
        <x:v>duration</x:v>
      </x:c>
      <x:c r="G99" s="34" t="str">
        <x:v>results.json</x:v>
      </x:c>
      <x:c r="H99" s="44" t="str">
        <x:v>Valore warmupSecondsRequested come registrato dalla campagna v4.2 (JSON schemaVersion 4).</x:v>
      </x:c>
    </x:row>
    <x:row r="100">
      <x:c r="A100" s="34" t="str">
        <x:v>Workloads Raw</x:v>
      </x:c>
      <x:c r="B100" s="34" t="str">
        <x:v>WorkloadsRawV4</x:v>
      </x:c>
      <x:c r="C100" s="34" t="str">
        <x:v>measurement requested (s)</x:v>
      </x:c>
      <x:c r="D100" s="34" t="str">
        <x:v>measurementSecondsRequested</x:v>
      </x:c>
      <x:c r="E100" s="34" t="str">
        <x:v>s</x:v>
      </x:c>
      <x:c r="F100" s="34" t="str">
        <x:v>duration</x:v>
      </x:c>
      <x:c r="G100" s="34" t="str">
        <x:v>results.json</x:v>
      </x:c>
      <x:c r="H100" s="44" t="str">
        <x:v>Valore measurementSecondsRequested come registrato dalla campagna v4.2 (JSON schemaVersion 4).</x:v>
      </x:c>
    </x:row>
    <x:row r="101">
      <x:c r="A101" s="34" t="str">
        <x:v>Workloads Raw</x:v>
      </x:c>
      <x:c r="B101" s="34" t="str">
        <x:v>WorkloadsRawV4</x:v>
      </x:c>
      <x:c r="C101" s="34" t="str">
        <x:v>TTL (s)</x:v>
      </x:c>
      <x:c r="D101" s="34" t="str">
        <x:v>ttlSeconds</x:v>
      </x:c>
      <x:c r="E101" s="34" t="str">
        <x:v>s</x:v>
      </x:c>
      <x:c r="F101" s="34" t="str">
        <x:v>duration</x:v>
      </x:c>
      <x:c r="G101" s="34" t="str">
        <x:v>results.json</x:v>
      </x:c>
      <x:c r="H101" s="44" t="str">
        <x:v>Valore ttlSeconds come registrato dalla campagna v4.2 (JSON schemaVersion 4).</x:v>
      </x:c>
    </x:row>
    <x:row r="102">
      <x:c r="A102" s="34" t="str">
        <x:v>Workloads Raw</x:v>
      </x:c>
      <x:c r="B102" s="34" t="str">
        <x:v>WorkloadsRawV4</x:v>
      </x:c>
      <x:c r="C102" s="34" t="str">
        <x:v>workload</x:v>
      </x:c>
      <x:c r="D102" s="34" t="str">
        <x:v>workloadType</x:v>
      </x:c>
      <x:c r="E102" s="34" t="str"/>
      <x:c r="F102" s="34" t="str">
        <x:v>text</x:v>
      </x:c>
      <x:c r="G102" s="34" t="str">
        <x:v>results.json</x:v>
      </x:c>
      <x:c r="H102" s="44" t="str">
        <x:v>Valore workloadType come registrato dalla campagna v4.2 (JSON schemaVersion 4).</x:v>
      </x:c>
    </x:row>
    <x:row r="103">
      <x:c r="A103" s="34" t="str">
        <x:v>Workloads Raw</x:v>
      </x:c>
      <x:c r="B103" s="34" t="str">
        <x:v>WorkloadsRawV4</x:v>
      </x:c>
      <x:c r="C103" s="34" t="str">
        <x:v>writePercent configured (%)</x:v>
      </x:c>
      <x:c r="D103" s="34" t="str">
        <x:v>writePercent</x:v>
      </x:c>
      <x:c r="E103" s="34" t="str">
        <x:v>%</x:v>
      </x:c>
      <x:c r="F103" s="34" t="str">
        <x:v>number</x:v>
      </x:c>
      <x:c r="G103" s="34" t="str">
        <x:v>results.json</x:v>
      </x:c>
      <x:c r="H103" s="44" t="str">
        <x:v>Parametro conservato nella richiesta; con workload=uniform non viene applicato alla finestra cronometrata.</x:v>
      </x:c>
    </x:row>
    <x:row r="104">
      <x:c r="A104" s="34" t="str">
        <x:v>Workloads Raw</x:v>
      </x:c>
      <x:c r="B104" s="34" t="str">
        <x:v>WorkloadsRawV4</x:v>
      </x:c>
      <x:c r="C104" s="34" t="str">
        <x:v>JCS memory mode</x:v>
      </x:c>
      <x:c r="D104" s="34" t="str">
        <x:v>jcsMemoryMode</x:v>
      </x:c>
      <x:c r="E104" s="34" t="str"/>
      <x:c r="F104" s="34" t="str">
        <x:v>text</x:v>
      </x:c>
      <x:c r="G104" s="34" t="str">
        <x:v>results.json</x:v>
      </x:c>
      <x:c r="H104" s="44" t="str">
        <x:v>Valore jcsMemoryMode come registrato dalla campagna v4.2 (JSON schemaVersion 4).</x:v>
      </x:c>
    </x:row>
    <x:row r="105">
      <x:c r="A105" s="34" t="str">
        <x:v>Workloads Raw</x:v>
      </x:c>
      <x:c r="B105" s="34" t="str">
        <x:v>WorkloadsRawV4</x:v>
      </x:c>
      <x:c r="C105" s="34" t="str">
        <x:v>latency sample 1/N</x:v>
      </x:c>
      <x:c r="D105" s="34" t="str">
        <x:v>latencySampleRate</x:v>
      </x:c>
      <x:c r="E105" s="34" t="str"/>
      <x:c r="F105" s="34" t="str">
        <x:v>integer</x:v>
      </x:c>
      <x:c r="G105" s="34" t="str">
        <x:v>results.json</x:v>
      </x:c>
      <x:c r="H105" s="44" t="str">
        <x:v>Valore latencySampleRate come registrato dalla campagna v4.2 (JSON schemaVersion 4).</x:v>
      </x:c>
    </x:row>
    <x:row r="106">
      <x:c r="A106" s="34" t="str">
        <x:v>Workloads Raw</x:v>
      </x:c>
      <x:c r="B106" s="34" t="str">
        <x:v>WorkloadsRawV4</x:v>
      </x:c>
      <x:c r="C106" s="34" t="str">
        <x:v>warmup operations executed</x:v>
      </x:c>
      <x:c r="D106" s="34" t="str">
        <x:v>warmupOperationsExecuted</x:v>
      </x:c>
      <x:c r="E106" s="34" t="str">
        <x:v>operation</x:v>
      </x:c>
      <x:c r="F106" s="34" t="str">
        <x:v>integer</x:v>
      </x:c>
      <x:c r="G106" s="34" t="str">
        <x:v>results.json</x:v>
      </x:c>
      <x:c r="H106" s="44" t="str">
        <x:v>Valore warmupOperationsExecuted come registrato dalla campagna v4.2 (JSON schemaVersion 4).</x:v>
      </x:c>
    </x:row>
    <x:row r="107">
      <x:c r="A107" s="34" t="str">
        <x:v>Workloads Raw</x:v>
      </x:c>
      <x:c r="B107" s="34" t="str">
        <x:v>WorkloadsRawV4</x:v>
      </x:c>
      <x:c r="C107" s="34" t="str">
        <x:v>warmup (ns)</x:v>
      </x:c>
      <x:c r="D107" s="34" t="str">
        <x:v>warmupNanos</x:v>
      </x:c>
      <x:c r="E107" s="34" t="str">
        <x:v>ns</x:v>
      </x:c>
      <x:c r="F107" s="34" t="str">
        <x:v>duration</x:v>
      </x:c>
      <x:c r="G107" s="34" t="str">
        <x:v>results.json</x:v>
      </x:c>
      <x:c r="H107" s="44" t="str">
        <x:v>Valore warmupNanos come registrato dalla campagna v4.2 (JSON schemaVersion 4).</x:v>
      </x:c>
    </x:row>
    <x:row r="108">
      <x:c r="A108" s="34" t="str">
        <x:v>Workloads Raw</x:v>
      </x:c>
      <x:c r="B108" s="34" t="str">
        <x:v>WorkloadsRawV4</x:v>
      </x:c>
      <x:c r="C108" s="34" t="str">
        <x:v>warmup overshoot (ns)</x:v>
      </x:c>
      <x:c r="D108" s="34" t="str">
        <x:v>warmupOvershootNanos</x:v>
      </x:c>
      <x:c r="E108" s="34" t="str">
        <x:v>ns</x:v>
      </x:c>
      <x:c r="F108" s="34" t="str">
        <x:v>duration</x:v>
      </x:c>
      <x:c r="G108" s="34" t="str">
        <x:v>results.json</x:v>
      </x:c>
      <x:c r="H108" s="44" t="str">
        <x:v>Valore warmupOvershootNanos come registrato dalla campagna v4.2 (JSON schemaVersion 4).</x:v>
      </x:c>
    </x:row>
    <x:row r="109">
      <x:c r="A109" s="34" t="str">
        <x:v>Workloads Raw</x:v>
      </x:c>
      <x:c r="B109" s="34" t="str">
        <x:v>WorkloadsRawV4</x:v>
      </x:c>
      <x:c r="C109" s="34" t="str">
        <x:v>fill throughput (ops/s)</x:v>
      </x:c>
      <x:c r="D109" s="34" t="str">
        <x:v>fillOperationsPerSecond</x:v>
      </x:c>
      <x:c r="E109" s="34" t="str">
        <x:v>operation/s</x:v>
      </x:c>
      <x:c r="F109" s="34" t="str">
        <x:v>number</x:v>
      </x:c>
      <x:c r="G109" s="34" t="str">
        <x:v>results.json</x:v>
      </x:c>
      <x:c r="H109" s="44" t="str">
        <x:v>Valore fillOperationsPerSecond come registrato dalla campagna v4.2 (JSON schemaVersion 4).</x:v>
      </x:c>
    </x:row>
    <x:row r="110">
      <x:c r="A110" s="34" t="str">
        <x:v>Workloads Raw</x:v>
      </x:c>
      <x:c r="B110" s="34" t="str">
        <x:v>WorkloadsRawV4</x:v>
      </x:c>
      <x:c r="C110" s="34" t="str">
        <x:v>throughput (ops/s)</x:v>
      </x:c>
      <x:c r="D110" s="34" t="str">
        <x:v>operationsPerSecond</x:v>
      </x:c>
      <x:c r="E110" s="34" t="str">
        <x:v>operation/s</x:v>
      </x:c>
      <x:c r="F110" s="34" t="str">
        <x:v>number</x:v>
      </x:c>
      <x:c r="G110" s="34" t="str">
        <x:v>results.json</x:v>
      </x:c>
      <x:c r="H110" s="44" t="str">
        <x:v>Throughput totale osservato nella finestra cronometrata.</x:v>
      </x:c>
    </x:row>
    <x:row r="111">
      <x:c r="A111" s="34" t="str">
        <x:v>Workloads Raw</x:v>
      </x:c>
      <x:c r="B111" s="34" t="str">
        <x:v>WorkloadsRawV4</x:v>
      </x:c>
      <x:c r="C111" s="34" t="str">
        <x:v>measured operations</x:v>
      </x:c>
      <x:c r="D111" s="34" t="str">
        <x:v>measuredOperations</x:v>
      </x:c>
      <x:c r="E111" s="34" t="str">
        <x:v>operation</x:v>
      </x:c>
      <x:c r="F111" s="34" t="str">
        <x:v>integer</x:v>
      </x:c>
      <x:c r="G111" s="34" t="str">
        <x:v>results.json</x:v>
      </x:c>
      <x:c r="H111" s="44" t="str">
        <x:v>Valore measuredOperations come registrato dalla campagna v4.2 (JSON schemaVersion 4).</x:v>
      </x:c>
    </x:row>
    <x:row r="112">
      <x:c r="A112" s="34" t="str">
        <x:v>Workloads Raw</x:v>
      </x:c>
      <x:c r="B112" s="34" t="str">
        <x:v>WorkloadsRawV4</x:v>
      </x:c>
      <x:c r="C112" s="34" t="str">
        <x:v>measurement (ns)</x:v>
      </x:c>
      <x:c r="D112" s="34" t="str">
        <x:v>measurementNanos</x:v>
      </x:c>
      <x:c r="E112" s="34" t="str">
        <x:v>ns</x:v>
      </x:c>
      <x:c r="F112" s="34" t="str">
        <x:v>duration</x:v>
      </x:c>
      <x:c r="G112" s="34" t="str">
        <x:v>results.json</x:v>
      </x:c>
      <x:c r="H112" s="44" t="str">
        <x:v>Valore measurementNanos come registrato dalla campagna v4.2 (JSON schemaVersion 4).</x:v>
      </x:c>
    </x:row>
    <x:row r="113">
      <x:c r="A113" s="34" t="str">
        <x:v>Workloads Raw</x:v>
      </x:c>
      <x:c r="B113" s="34" t="str">
        <x:v>WorkloadsRawV4</x:v>
      </x:c>
      <x:c r="C113" s="34" t="str">
        <x:v>measurement overshoot (ns)</x:v>
      </x:c>
      <x:c r="D113" s="34" t="str">
        <x:v>measurementOvershootNanos</x:v>
      </x:c>
      <x:c r="E113" s="34" t="str">
        <x:v>ns</x:v>
      </x:c>
      <x:c r="F113" s="34" t="str">
        <x:v>duration</x:v>
      </x:c>
      <x:c r="G113" s="34" t="str">
        <x:v>results.json</x:v>
      </x:c>
      <x:c r="H113" s="44" t="str">
        <x:v>Valore measurementOvershootNanos come registrato dalla campagna v4.2 (JSON schemaVersion 4).</x:v>
      </x:c>
    </x:row>
    <x:row r="114">
      <x:c r="A114" s="34" t="str">
        <x:v>Workloads Raw</x:v>
      </x:c>
      <x:c r="B114" s="34" t="str">
        <x:v>WorkloadsRawV4</x:v>
      </x:c>
      <x:c r="C114" s="34" t="str">
        <x:v>read throughput (ops/s)</x:v>
      </x:c>
      <x:c r="D114" s="34" t="str">
        <x:v>readOperationsPerSecond</x:v>
      </x:c>
      <x:c r="E114" s="34" t="str">
        <x:v>operation/s</x:v>
      </x:c>
      <x:c r="F114" s="34" t="str">
        <x:v>number</x:v>
      </x:c>
      <x:c r="G114" s="34" t="str">
        <x:v>results.json</x:v>
      </x:c>
      <x:c r="H114" s="44" t="str">
        <x:v>Valore readOperationsPerSecond come registrato dalla campagna v4.2 (JSON schemaVersion 4).</x:v>
      </x:c>
    </x:row>
    <x:row r="115">
      <x:c r="A115" s="34" t="str">
        <x:v>Workloads Raw</x:v>
      </x:c>
      <x:c r="B115" s="34" t="str">
        <x:v>WorkloadsRawV4</x:v>
      </x:c>
      <x:c r="C115" s="34" t="str">
        <x:v>read operations</x:v>
      </x:c>
      <x:c r="D115" s="34" t="str">
        <x:v>readOperations</x:v>
      </x:c>
      <x:c r="E115" s="34" t="str">
        <x:v>operation</x:v>
      </x:c>
      <x:c r="F115" s="34" t="str">
        <x:v>integer</x:v>
      </x:c>
      <x:c r="G115" s="34" t="str">
        <x:v>results.json</x:v>
      </x:c>
      <x:c r="H115" s="44" t="str">
        <x:v>Valore readOperations come registrato dalla campagna v4.2 (JSON schemaVersion 4).</x:v>
      </x:c>
    </x:row>
    <x:row r="116">
      <x:c r="A116" s="34" t="str">
        <x:v>Workloads Raw</x:v>
      </x:c>
      <x:c r="B116" s="34" t="str">
        <x:v>WorkloadsRawV4</x:v>
      </x:c>
      <x:c r="C116" s="34" t="str">
        <x:v>timed concurrent writes (uniform=0)</x:v>
      </x:c>
      <x:c r="D116" s="34" t="str">
        <x:v>concurrentWriteOperations</x:v>
      </x:c>
      <x:c r="E116" s="34" t="str">
        <x:v>operation</x:v>
      </x:c>
      <x:c r="F116" s="34" t="str">
        <x:v>integer</x:v>
      </x:c>
      <x:c r="G116" s="34" t="str">
        <x:v>results.json</x:v>
      </x:c>
      <x:c r="H116" s="44" t="str">
        <x:v>Deve essere zero nella campagna uniforme; le scritture della sonda semantica sono separate.</x:v>
      </x:c>
    </x:row>
    <x:row r="117">
      <x:c r="A117" s="34" t="str">
        <x:v>Workloads Raw</x:v>
      </x:c>
      <x:c r="B117" s="34" t="str">
        <x:v>WorkloadsRawV4</x:v>
      </x:c>
      <x:c r="C117" s="34" t="str">
        <x:v>write-probe throughput (ops/s)</x:v>
      </x:c>
      <x:c r="D117" s="34" t="str">
        <x:v>writeProbeOperationsPerSecond</x:v>
      </x:c>
      <x:c r="E117" s="34" t="str">
        <x:v>operation/s</x:v>
      </x:c>
      <x:c r="F117" s="34" t="str">
        <x:v>number</x:v>
      </x:c>
      <x:c r="G117" s="34" t="str">
        <x:v>results.json</x:v>
      </x:c>
      <x:c r="H117" s="44" t="str">
        <x:v>Sonda separata; non entra nel confronto prestazionale primario.</x:v>
      </x:c>
    </x:row>
    <x:row r="118">
      <x:c r="A118" s="34" t="str">
        <x:v>Workloads Raw</x:v>
      </x:c>
      <x:c r="B118" s="34" t="str">
        <x:v>WorkloadsRawV4</x:v>
      </x:c>
      <x:c r="C118" s="34" t="str">
        <x:v>latency p50 (ns)</x:v>
      </x:c>
      <x:c r="D118" s="34" t="str">
        <x:v>latencyP50Nanos</x:v>
      </x:c>
      <x:c r="E118" s="34" t="str">
        <x:v>ns</x:v>
      </x:c>
      <x:c r="F118" s="34" t="str">
        <x:v>duration</x:v>
      </x:c>
      <x:c r="G118" s="34" t="str">
        <x:v>results.json</x:v>
      </x:c>
      <x:c r="H118" s="44" t="str">
        <x:v>Valore latencyP50Nanos come registrato dalla campagna v4.2 (JSON schemaVersion 4).</x:v>
      </x:c>
    </x:row>
    <x:row r="119">
      <x:c r="A119" s="34" t="str">
        <x:v>Workloads Raw</x:v>
      </x:c>
      <x:c r="B119" s="34" t="str">
        <x:v>WorkloadsRawV4</x:v>
      </x:c>
      <x:c r="C119" s="34" t="str">
        <x:v>latency p95 (ns)</x:v>
      </x:c>
      <x:c r="D119" s="34" t="str">
        <x:v>latencyP95Nanos</x:v>
      </x:c>
      <x:c r="E119" s="34" t="str">
        <x:v>ns</x:v>
      </x:c>
      <x:c r="F119" s="34" t="str">
        <x:v>duration</x:v>
      </x:c>
      <x:c r="G119" s="34" t="str">
        <x:v>results.json</x:v>
      </x:c>
      <x:c r="H119" s="44" t="str">
        <x:v>Valore latencyP95Nanos come registrato dalla campagna v4.2 (JSON schemaVersion 4).</x:v>
      </x:c>
    </x:row>
    <x:row r="120">
      <x:c r="A120" s="34" t="str">
        <x:v>Workloads Raw</x:v>
      </x:c>
      <x:c r="B120" s="34" t="str">
        <x:v>WorkloadsRawV4</x:v>
      </x:c>
      <x:c r="C120" s="34" t="str">
        <x:v>latency p99 (ns)</x:v>
      </x:c>
      <x:c r="D120" s="34" t="str">
        <x:v>latencyP99Nanos</x:v>
      </x:c>
      <x:c r="E120" s="34" t="str">
        <x:v>ns</x:v>
      </x:c>
      <x:c r="F120" s="34" t="str">
        <x:v>duration</x:v>
      </x:c>
      <x:c r="G120" s="34" t="str">
        <x:v>results.json</x:v>
      </x:c>
      <x:c r="H120" s="44" t="str">
        <x:v>Valore latencyP99Nanos come registrato dalla campagna v4.2 (JSON schemaVersion 4).</x:v>
      </x:c>
    </x:row>
    <x:row r="121">
      <x:c r="A121" s="34" t="str">
        <x:v>Workloads Raw</x:v>
      </x:c>
      <x:c r="B121" s="34" t="str">
        <x:v>WorkloadsRawV4</x:v>
      </x:c>
      <x:c r="C121" s="34" t="str">
        <x:v>latency samples</x:v>
      </x:c>
      <x:c r="D121" s="34" t="str">
        <x:v>measuredLatencySamples</x:v>
      </x:c>
      <x:c r="E121" s="34" t="str">
        <x:v>sample</x:v>
      </x:c>
      <x:c r="F121" s="34" t="str">
        <x:v>integer</x:v>
      </x:c>
      <x:c r="G121" s="34" t="str">
        <x:v>results.json</x:v>
      </x:c>
      <x:c r="H121" s="44" t="str">
        <x:v>Valore measuredLatencySamples come registrato dalla campagna v4.2 (JSON schemaVersion 4).</x:v>
      </x:c>
    </x:row>
    <x:row r="122">
      <x:c r="A122" s="34" t="str">
        <x:v>Workloads Raw</x:v>
      </x:c>
      <x:c r="B122" s="34" t="str">
        <x:v>WorkloadsRawV4</x:v>
      </x:c>
      <x:c r="C122" s="34" t="str">
        <x:v>loader calls under contention</x:v>
      </x:c>
      <x:c r="D122" s="34" t="str">
        <x:v>loaderInvocationsUnderContention</x:v>
      </x:c>
      <x:c r="E122" s="34" t="str">
        <x:v>call</x:v>
      </x:c>
      <x:c r="F122" s="34" t="str">
        <x:v>integer</x:v>
      </x:c>
      <x:c r="G122" s="34" t="str">
        <x:v>results.json</x:v>
      </x:c>
      <x:c r="H122" s="44" t="str">
        <x:v>Valore loaderInvocationsUnderContention come registrato dalla campagna v4.2 (JSON schemaVersion 4).</x:v>
      </x:c>
    </x:row>
    <x:row r="123">
      <x:c r="A123" s="34" t="str">
        <x:v>Workloads Raw</x:v>
      </x:c>
      <x:c r="B123" s="34" t="str">
        <x:v>WorkloadsRawV4</x:v>
      </x:c>
      <x:c r="C123" s="34" t="str">
        <x:v>single-flight passed</x:v>
      </x:c>
      <x:c r="D123" s="34" t="str">
        <x:v>singleFlightPassed</x:v>
      </x:c>
      <x:c r="E123" s="34" t="str"/>
      <x:c r="F123" s="34" t="str">
        <x:v>boolean</x:v>
      </x:c>
      <x:c r="G123" s="34" t="str">
        <x:v>results.json</x:v>
      </x:c>
      <x:c r="H123" s="44" t="str">
        <x:v>Valore singleFlightPassed come registrato dalla campagna v4.2 (JSON schemaVersion 4).</x:v>
      </x:c>
    </x:row>
    <x:row r="124">
      <x:c r="A124" s="34" t="str">
        <x:v>Workloads Raw</x:v>
      </x:c>
      <x:c r="B124" s="34" t="str">
        <x:v>WorkloadsRawV4</x:v>
      </x:c>
      <x:c r="C124" s="34" t="str">
        <x:v>entries after workload</x:v>
      </x:c>
      <x:c r="D124" s="34" t="str">
        <x:v>observedEntriesAfterWorkload</x:v>
      </x:c>
      <x:c r="E124" s="34" t="str">
        <x:v>entry</x:v>
      </x:c>
      <x:c r="F124" s="34" t="str">
        <x:v>integer</x:v>
      </x:c>
      <x:c r="G124" s="34" t="str">
        <x:v>results.json</x:v>
      </x:c>
      <x:c r="H124" s="44" t="str">
        <x:v>Primo checkpoint v4.2, acquisito prima della write probe.</x:v>
      </x:c>
    </x:row>
    <x:row r="125">
      <x:c r="A125" s="34" t="str">
        <x:v>Workloads Raw</x:v>
      </x:c>
      <x:c r="B125" s="34" t="str">
        <x:v>WorkloadsRawV4</x:v>
      </x:c>
      <x:c r="C125" s="34" t="str">
        <x:v>hit rate after workload</x:v>
      </x:c>
      <x:c r="D125" s="34" t="str">
        <x:v>observedHitRateAfterWorkload</x:v>
      </x:c>
      <x:c r="E125" s="34" t="str">
        <x:v>fraction</x:v>
      </x:c>
      <x:c r="F125" s="34" t="str">
        <x:v>percent</x:v>
      </x:c>
      <x:c r="G125" s="34" t="str">
        <x:v>results.json</x:v>
      </x:c>
      <x:c r="H125" s="44" t="str">
        <x:v>Hit rate usato dal gate semantico v4.2, prima della write probe.</x:v>
      </x:c>
    </x:row>
    <x:row r="126">
      <x:c r="A126" s="34" t="str">
        <x:v>Workloads Raw</x:v>
      </x:c>
      <x:c r="B126" s="34" t="str">
        <x:v>WorkloadsRawV4</x:v>
      </x:c>
      <x:c r="C126" s="34" t="str">
        <x:v>entries after write probe</x:v>
      </x:c>
      <x:c r="D126" s="34" t="str">
        <x:v>observedEntriesAfterWriteProbe</x:v>
      </x:c>
      <x:c r="E126" s="34" t="str">
        <x:v>entry</x:v>
      </x:c>
      <x:c r="F126" s="34" t="str">
        <x:v>integer</x:v>
      </x:c>
      <x:c r="G126" s="34" t="str">
        <x:v>results.json</x:v>
      </x:c>
      <x:c r="H126" s="44" t="str">
        <x:v>Secondo checkpoint v4.2, acquisito dopo la sonda di scrittura separata.</x:v>
      </x:c>
    </x:row>
    <x:row r="127">
      <x:c r="A127" s="34" t="str">
        <x:v>Workloads Raw</x:v>
      </x:c>
      <x:c r="B127" s="34" t="str">
        <x:v>WorkloadsRawV4</x:v>
      </x:c>
      <x:c r="C127" s="34" t="str">
        <x:v>hit rate after write probe</x:v>
      </x:c>
      <x:c r="D127" s="34" t="str">
        <x:v>observedHitRateAfterWriteProbe</x:v>
      </x:c>
      <x:c r="E127" s="34" t="str">
        <x:v>fraction</x:v>
      </x:c>
      <x:c r="F127" s="34" t="str">
        <x:v>percent</x:v>
      </x:c>
      <x:c r="G127" s="34" t="str">
        <x:v>results.json</x:v>
      </x:c>
      <x:c r="H127" s="44" t="str">
        <x:v>Valore observedHitRateAfterWriteProbe come registrato dalla campagna v4.2 (JSON schemaVersion 4).</x:v>
      </x:c>
    </x:row>
    <x:row r="128">
      <x:c r="A128" s="34" t="str">
        <x:v>Workloads Raw</x:v>
      </x:c>
      <x:c r="B128" s="34" t="str">
        <x:v>WorkloadsRawV4</x:v>
      </x:c>
      <x:c r="C128" s="34" t="str">
        <x:v>legacy metrics = post-write</x:v>
      </x:c>
      <x:c r="D128" s="34" t="str">
        <x:v>providerMetricsAliasMatchesPostWrite</x:v>
      </x:c>
      <x:c r="E128" s="34" t="str"/>
      <x:c r="F128" s="34" t="str">
        <x:v>boolean</x:v>
      </x:c>
      <x:c r="G128" s="34" t="str">
        <x:v>results.json</x:v>
      </x:c>
      <x:c r="H128" s="44" t="str">
        <x:v>Verifica che providerMetrics conservi il significato storico di alias del checkpoint post-write.</x:v>
      </x:c>
    </x:row>
    <x:row r="129">
      <x:c r="A129" s="34" t="str">
        <x:v>Workloads Raw</x:v>
      </x:c>
      <x:c r="B129" s="34" t="str">
        <x:v>WorkloadsRawV4</x:v>
      </x:c>
      <x:c r="C129" s="34" t="str">
        <x:v>metrics after workload (JSON)</x:v>
      </x:c>
      <x:c r="D129" s="34" t="str">
        <x:v>providerMetricsAfterWorkloadJson</x:v>
      </x:c>
      <x:c r="E129" s="34" t="str"/>
      <x:c r="F129" s="34" t="str">
        <x:v>text</x:v>
      </x:c>
      <x:c r="G129" s="34" t="str">
        <x:v>results.json</x:v>
      </x:c>
      <x:c r="H129" s="44" t="str">
        <x:v>Checkpoint completo prima della write probe.</x:v>
      </x:c>
    </x:row>
    <x:row r="130">
      <x:c r="A130" s="34" t="str">
        <x:v>Workloads Raw</x:v>
      </x:c>
      <x:c r="B130" s="34" t="str">
        <x:v>WorkloadsRawV4</x:v>
      </x:c>
      <x:c r="C130" s="34" t="str">
        <x:v>metrics after write probe (JSON)</x:v>
      </x:c>
      <x:c r="D130" s="34" t="str">
        <x:v>providerMetricsAfterWriteProbeJson</x:v>
      </x:c>
      <x:c r="E130" s="34" t="str"/>
      <x:c r="F130" s="34" t="str">
        <x:v>text</x:v>
      </x:c>
      <x:c r="G130" s="34" t="str">
        <x:v>results.json</x:v>
      </x:c>
      <x:c r="H130" s="44" t="str">
        <x:v>Checkpoint completo dopo la write probe.</x:v>
      </x:c>
    </x:row>
    <x:row r="131">
      <x:c r="A131" s="34" t="str">
        <x:v>Workloads Raw</x:v>
      </x:c>
      <x:c r="B131" s="34" t="str">
        <x:v>WorkloadsRawV4</x:v>
      </x:c>
      <x:c r="C131" s="34" t="str">
        <x:v>legacy alias entries (post-write)</x:v>
      </x:c>
      <x:c r="D131" s="34" t="str">
        <x:v>currentEntries</x:v>
      </x:c>
      <x:c r="E131" s="34" t="str">
        <x:v>entry</x:v>
      </x:c>
      <x:c r="F131" s="34" t="str">
        <x:v>integer</x:v>
      </x:c>
      <x:c r="G131" s="34" t="str">
        <x:v>results.json</x:v>
      </x:c>
      <x:c r="H131" s="44" t="str">
        <x:v>Valore currentEntries come registrato dalla campagna v4.2 (JSON schemaVersion 4).</x:v>
      </x:c>
    </x:row>
    <x:row r="132">
      <x:c r="A132" s="34" t="str">
        <x:v>Workloads Raw</x:v>
      </x:c>
      <x:c r="B132" s="34" t="str">
        <x:v>WorkloadsRawV4</x:v>
      </x:c>
      <x:c r="C132" s="34" t="str">
        <x:v>provider requests</x:v>
      </x:c>
      <x:c r="D132" s="34" t="str">
        <x:v>requestCount</x:v>
      </x:c>
      <x:c r="E132" s="34" t="str">
        <x:v>request</x:v>
      </x:c>
      <x:c r="F132" s="34" t="str">
        <x:v>integer</x:v>
      </x:c>
      <x:c r="G132" s="34" t="str">
        <x:v>results.json</x:v>
      </x:c>
      <x:c r="H132" s="44" t="str">
        <x:v>Valore requestCount come registrato dalla campagna v4.2 (JSON schemaVersion 4).</x:v>
      </x:c>
    </x:row>
    <x:row r="133">
      <x:c r="A133" s="34" t="str">
        <x:v>Workloads Raw</x:v>
      </x:c>
      <x:c r="B133" s="34" t="str">
        <x:v>WorkloadsRawV4</x:v>
      </x:c>
      <x:c r="C133" s="34" t="str">
        <x:v>hits</x:v>
      </x:c>
      <x:c r="D133" s="34" t="str">
        <x:v>hitCount</x:v>
      </x:c>
      <x:c r="E133" s="34" t="str">
        <x:v>request</x:v>
      </x:c>
      <x:c r="F133" s="34" t="str">
        <x:v>integer</x:v>
      </x:c>
      <x:c r="G133" s="34" t="str">
        <x:v>results.json</x:v>
      </x:c>
      <x:c r="H133" s="44" t="str">
        <x:v>Valore hitCount come registrato dalla campagna v4.2 (JSON schemaVersion 4).</x:v>
      </x:c>
    </x:row>
    <x:row r="134">
      <x:c r="A134" s="34" t="str">
        <x:v>Workloads Raw</x:v>
      </x:c>
      <x:c r="B134" s="34" t="str">
        <x:v>WorkloadsRawV4</x:v>
      </x:c>
      <x:c r="C134" s="34" t="str">
        <x:v>misses</x:v>
      </x:c>
      <x:c r="D134" s="34" t="str">
        <x:v>missCount</x:v>
      </x:c>
      <x:c r="E134" s="34" t="str">
        <x:v>request</x:v>
      </x:c>
      <x:c r="F134" s="34" t="str">
        <x:v>integer</x:v>
      </x:c>
      <x:c r="G134" s="34" t="str">
        <x:v>results.json</x:v>
      </x:c>
      <x:c r="H134" s="44" t="str">
        <x:v>Valore missCount come registrato dalla campagna v4.2 (JSON schemaVersion 4).</x:v>
      </x:c>
    </x:row>
    <x:row r="135">
      <x:c r="A135" s="34" t="str">
        <x:v>Workloads Raw</x:v>
      </x:c>
      <x:c r="B135" s="34" t="str">
        <x:v>WorkloadsRawV4</x:v>
      </x:c>
      <x:c r="C135" s="34" t="str">
        <x:v>legacy alias hit rate (post-write)</x:v>
      </x:c>
      <x:c r="D135" s="34" t="str">
        <x:v>hitRate</x:v>
      </x:c>
      <x:c r="E135" s="34" t="str">
        <x:v>fraction</x:v>
      </x:c>
      <x:c r="F135" s="34" t="str">
        <x:v>percent</x:v>
      </x:c>
      <x:c r="G135" s="34" t="str">
        <x:v>results.json</x:v>
      </x:c>
      <x:c r="H135" s="44" t="str">
        <x:v>Valore hitRate come registrato dalla campagna v4.2 (JSON schemaVersion 4).</x:v>
      </x:c>
    </x:row>
    <x:row r="136">
      <x:c r="A136" s="34" t="str">
        <x:v>Workloads Raw</x:v>
      </x:c>
      <x:c r="B136" s="34" t="str">
        <x:v>WorkloadsRawV4</x:v>
      </x:c>
      <x:c r="C136" s="34" t="str">
        <x:v>load successes</x:v>
      </x:c>
      <x:c r="D136" s="34" t="str">
        <x:v>loadSuccessCount</x:v>
      </x:c>
      <x:c r="E136" s="34" t="str">
        <x:v>event</x:v>
      </x:c>
      <x:c r="F136" s="34" t="str">
        <x:v>integer</x:v>
      </x:c>
      <x:c r="G136" s="34" t="str">
        <x:v>results.json</x:v>
      </x:c>
      <x:c r="H136" s="44" t="str">
        <x:v>Valore loadSuccessCount come registrato dalla campagna v4.2 (JSON schemaVersion 4).</x:v>
      </x:c>
    </x:row>
    <x:row r="137">
      <x:c r="A137" s="34" t="str">
        <x:v>Workloads Raw</x:v>
      </x:c>
      <x:c r="B137" s="34" t="str">
        <x:v>WorkloadsRawV4</x:v>
      </x:c>
      <x:c r="C137" s="34" t="str">
        <x:v>load failures</x:v>
      </x:c>
      <x:c r="D137" s="34" t="str">
        <x:v>loadFailureCount</x:v>
      </x:c>
      <x:c r="E137" s="34" t="str">
        <x:v>event</x:v>
      </x:c>
      <x:c r="F137" s="34" t="str">
        <x:v>integer</x:v>
      </x:c>
      <x:c r="G137" s="34" t="str">
        <x:v>results.json</x:v>
      </x:c>
      <x:c r="H137" s="44" t="str">
        <x:v>Valore loadFailureCount come registrato dalla campagna v4.2 (JSON schemaVersion 4).</x:v>
      </x:c>
    </x:row>
    <x:row r="138">
      <x:c r="A138" s="34" t="str">
        <x:v>Workloads Raw</x:v>
      </x:c>
      <x:c r="B138" s="34" t="str">
        <x:v>WorkloadsRawV4</x:v>
      </x:c>
      <x:c r="C138" s="34" t="str">
        <x:v>total load time (ns)</x:v>
      </x:c>
      <x:c r="D138" s="34" t="str">
        <x:v>totalLoadTimeNanos</x:v>
      </x:c>
      <x:c r="E138" s="34" t="str">
        <x:v>ns</x:v>
      </x:c>
      <x:c r="F138" s="34" t="str">
        <x:v>duration</x:v>
      </x:c>
      <x:c r="G138" s="34" t="str">
        <x:v>results.json</x:v>
      </x:c>
      <x:c r="H138" s="44" t="str">
        <x:v>Valore totalLoadTimeNanos come registrato dalla campagna v4.2 (JSON schemaVersion 4).</x:v>
      </x:c>
    </x:row>
    <x:row r="139">
      <x:c r="A139" s="34" t="str">
        <x:v>Workloads Raw</x:v>
      </x:c>
      <x:c r="B139" s="34" t="str">
        <x:v>WorkloadsRawV4</x:v>
      </x:c>
      <x:c r="C139" s="34" t="str">
        <x:v>evictions</x:v>
      </x:c>
      <x:c r="D139" s="34" t="str">
        <x:v>evictionCount</x:v>
      </x:c>
      <x:c r="E139" s="34" t="str">
        <x:v>event</x:v>
      </x:c>
      <x:c r="F139" s="34" t="str">
        <x:v>integer</x:v>
      </x:c>
      <x:c r="G139" s="34" t="str">
        <x:v>results.json</x:v>
      </x:c>
      <x:c r="H139" s="44" t="str">
        <x:v>Valore evictionCount come registrato dalla campagna v4.2 (JSON schemaVersion 4).</x:v>
      </x:c>
    </x:row>
    <x:row r="140">
      <x:c r="A140" s="34" t="str">
        <x:v>Workloads Raw</x:v>
      </x:c>
      <x:c r="B140" s="34" t="str">
        <x:v>WorkloadsRawV4</x:v>
      </x:c>
      <x:c r="C140" s="34" t="str">
        <x:v>expirations</x:v>
      </x:c>
      <x:c r="D140" s="34" t="str">
        <x:v>expirationCount</x:v>
      </x:c>
      <x:c r="E140" s="34" t="str">
        <x:v>event</x:v>
      </x:c>
      <x:c r="F140" s="34" t="str">
        <x:v>integer</x:v>
      </x:c>
      <x:c r="G140" s="34" t="str">
        <x:v>results.json</x:v>
      </x:c>
      <x:c r="H140" s="44" t="str">
        <x:v>Valore expirationCount come registrato dalla campagna v4.2 (JSON schemaVersion 4).</x:v>
      </x:c>
    </x:row>
    <x:row r="141">
      <x:c r="A141" s="34" t="str">
        <x:v>Workloads Raw</x:v>
      </x:c>
      <x:c r="B141" s="34" t="str">
        <x:v>WorkloadsRawV4</x:v>
      </x:c>
      <x:c r="C141" s="34" t="str">
        <x:v>puts</x:v>
      </x:c>
      <x:c r="D141" s="34" t="str">
        <x:v>putCount</x:v>
      </x:c>
      <x:c r="E141" s="34" t="str">
        <x:v>event</x:v>
      </x:c>
      <x:c r="F141" s="34" t="str">
        <x:v>integer</x:v>
      </x:c>
      <x:c r="G141" s="34" t="str">
        <x:v>results.json</x:v>
      </x:c>
      <x:c r="H141" s="44" t="str">
        <x:v>Valore putCount come registrato dalla campagna v4.2 (JSON schemaVersion 4).</x:v>
      </x:c>
    </x:row>
    <x:row r="142">
      <x:c r="A142" s="34" t="str">
        <x:v>Workloads Raw</x:v>
      </x:c>
      <x:c r="B142" s="34" t="str">
        <x:v>WorkloadsRawV4</x:v>
      </x:c>
      <x:c r="C142" s="34" t="str">
        <x:v>removes</x:v>
      </x:c>
      <x:c r="D142" s="34" t="str">
        <x:v>removeCount</x:v>
      </x:c>
      <x:c r="E142" s="34" t="str">
        <x:v>event</x:v>
      </x:c>
      <x:c r="F142" s="34" t="str">
        <x:v>integer</x:v>
      </x:c>
      <x:c r="G142" s="34" t="str">
        <x:v>results.json</x:v>
      </x:c>
      <x:c r="H142" s="44" t="str">
        <x:v>Valore removeCount come registrato dalla campagna v4.2 (JSON schemaVersion 4).</x:v>
      </x:c>
    </x:row>
    <x:row r="143">
      <x:c r="A143" s="34" t="str">
        <x:v>Workloads Raw</x:v>
      </x:c>
      <x:c r="B143" s="34" t="str">
        <x:v>WorkloadsRawV4</x:v>
      </x:c>
      <x:c r="C143" s="34" t="str">
        <x:v>native provider metrics (JSON)</x:v>
      </x:c>
      <x:c r="D143" s="34" t="str">
        <x:v>nativeMetricsJson</x:v>
      </x:c>
      <x:c r="E143" s="34" t="str"/>
      <x:c r="F143" s="34" t="str">
        <x:v>text</x:v>
      </x:c>
      <x:c r="G143" s="34" t="str">
        <x:v>results.json</x:v>
      </x:c>
      <x:c r="H143" s="44" t="str">
        <x:v>Valore nativeMetricsJson come registrato dalla campagna v4.2 (JSON schemaVersion 4).</x:v>
      </x:c>
    </x:row>
    <x:row r="144">
      <x:c r="A144" s="34" t="str">
        <x:v>Snapshots Raw</x:v>
      </x:c>
      <x:c r="B144" s="34" t="str">
        <x:v>SnapshotsRawV4</x:v>
      </x:c>
      <x:c r="C144" s="34" t="str">
        <x:v>processRunId</x:v>
      </x:c>
      <x:c r="D144" s="34" t="str">
        <x:v>processRunId</x:v>
      </x:c>
      <x:c r="E144" s="34" t="str"/>
      <x:c r="F144" s="34" t="str">
        <x:v>text</x:v>
      </x:c>
      <x:c r="G144" s="34" t="str">
        <x:v>results.json</x:v>
      </x:c>
      <x:c r="H144" s="44" t="str">
        <x:v>Valore processRunId come registrato dalla campagna v4.2 (JSON schemaVersion 4).</x:v>
      </x:c>
    </x:row>
    <x:row r="145">
      <x:c r="A145" s="34" t="str">
        <x:v>Snapshots Raw</x:v>
      </x:c>
      <x:c r="B145" s="34" t="str">
        <x:v>SnapshotsRawV4</x:v>
      </x:c>
      <x:c r="C145" s="34" t="str">
        <x:v>scenario</x:v>
      </x:c>
      <x:c r="D145" s="34" t="str">
        <x:v>scenario</x:v>
      </x:c>
      <x:c r="E145" s="34" t="str"/>
      <x:c r="F145" s="34" t="str">
        <x:v>text</x:v>
      </x:c>
      <x:c r="G145" s="34" t="str">
        <x:v>results.json</x:v>
      </x:c>
      <x:c r="H145" s="44" t="str">
        <x:v>Valore scenario come registrato dalla campagna v4.2 (JSON schemaVersion 4).</x:v>
      </x:c>
    </x:row>
    <x:row r="146">
      <x:c r="A146" s="34" t="str">
        <x:v>Snapshots Raw</x:v>
      </x:c>
      <x:c r="B146" s="34" t="str">
        <x:v>SnapshotsRawV4</x:v>
      </x:c>
      <x:c r="C146" s="34" t="str">
        <x:v>provider</x:v>
      </x:c>
      <x:c r="D146" s="34" t="str">
        <x:v>provider</x:v>
      </x:c>
      <x:c r="E146" s="34" t="str"/>
      <x:c r="F146" s="34" t="str">
        <x:v>text</x:v>
      </x:c>
      <x:c r="G146" s="34" t="str">
        <x:v>results.json</x:v>
      </x:c>
      <x:c r="H146" s="44" t="str">
        <x:v>Valore provider come registrato dalla campagna v4.2 (JSON schemaVersion 4).</x:v>
      </x:c>
    </x:row>
    <x:row r="147">
      <x:c r="A147" s="34" t="str">
        <x:v>Snapshots Raw</x:v>
      </x:c>
      <x:c r="B147" s="34" t="str">
        <x:v>SnapshotsRawV4</x:v>
      </x:c>
      <x:c r="C147" s="34" t="str">
        <x:v>engineProvider</x:v>
      </x:c>
      <x:c r="D147" s="34" t="str">
        <x:v>engineProvider</x:v>
      </x:c>
      <x:c r="E147" s="34" t="str"/>
      <x:c r="F147" s="34" t="str">
        <x:v>text</x:v>
      </x:c>
      <x:c r="G147" s="34" t="str">
        <x:v>results.json</x:v>
      </x:c>
      <x:c r="H147" s="44" t="str">
        <x:v>Valore engineProvider come registrato dalla campagna v4.2 (JSON schemaVersion 4).</x:v>
      </x:c>
    </x:row>
    <x:row r="148">
      <x:c r="A148" s="34" t="str">
        <x:v>Snapshots Raw</x:v>
      </x:c>
      <x:c r="B148" s="34" t="str">
        <x:v>SnapshotsRawV4</x:v>
      </x:c>
      <x:c r="C148" s="34" t="str">
        <x:v>fork</x:v>
      </x:c>
      <x:c r="D148" s="34" t="str">
        <x:v>fork</x:v>
      </x:c>
      <x:c r="E148" s="34" t="str"/>
      <x:c r="F148" s="34" t="str">
        <x:v>integer</x:v>
      </x:c>
      <x:c r="G148" s="34" t="str">
        <x:v>results.json</x:v>
      </x:c>
      <x:c r="H148" s="44" t="str">
        <x:v>Valore fork come registrato dalla campagna v4.2 (JSON schemaVersion 4).</x:v>
      </x:c>
    </x:row>
    <x:row r="149">
      <x:c r="A149" s="34" t="str">
        <x:v>Snapshots Raw</x:v>
      </x:c>
      <x:c r="B149" s="34" t="str">
        <x:v>SnapshotsRawV4</x:v>
      </x:c>
      <x:c r="C149" s="34" t="str">
        <x:v>Williams block</x:v>
      </x:c>
      <x:c r="D149" s="34" t="str">
        <x:v>block</x:v>
      </x:c>
      <x:c r="E149" s="34" t="str"/>
      <x:c r="F149" s="34" t="str">
        <x:v>integer</x:v>
      </x:c>
      <x:c r="G149" s="34" t="str">
        <x:v>results.json</x:v>
      </x:c>
      <x:c r="H149" s="44" t="str">
        <x:v>Valore block come registrato dalla campagna v4.2 (JSON schemaVersion 4).</x:v>
      </x:c>
    </x:row>
    <x:row r="150">
      <x:c r="A150" s="34" t="str">
        <x:v>Snapshots Raw</x:v>
      </x:c>
      <x:c r="B150" s="34" t="str">
        <x:v>SnapshotsRawV4</x:v>
      </x:c>
      <x:c r="C150" s="34" t="str">
        <x:v>orderPosition</x:v>
      </x:c>
      <x:c r="D150" s="34" t="str">
        <x:v>orderPosition</x:v>
      </x:c>
      <x:c r="E150" s="34" t="str"/>
      <x:c r="F150" s="34" t="str">
        <x:v>integer</x:v>
      </x:c>
      <x:c r="G150" s="34" t="str">
        <x:v>results.json</x:v>
      </x:c>
      <x:c r="H150" s="44" t="str">
        <x:v>Valore orderPosition come registrato dalla campagna v4.2 (JSON schemaVersion 4).</x:v>
      </x:c>
    </x:row>
    <x:row r="151">
      <x:c r="A151" s="34" t="str">
        <x:v>Snapshots Raw</x:v>
      </x:c>
      <x:c r="B151" s="34" t="str">
        <x:v>SnapshotsRawV4</x:v>
      </x:c>
      <x:c r="C151" s="34" t="str">
        <x:v>cycle</x:v>
      </x:c>
      <x:c r="D151" s="34" t="str">
        <x:v>cycle</x:v>
      </x:c>
      <x:c r="E151" s="34" t="str"/>
      <x:c r="F151" s="34" t="str">
        <x:v>integer</x:v>
      </x:c>
      <x:c r="G151" s="34" t="str">
        <x:v>results.json</x:v>
      </x:c>
      <x:c r="H151" s="44" t="str">
        <x:v>Valore cycle come registrato dalla campagna v4.2 (JSON schemaVersion 4).</x:v>
      </x:c>
    </x:row>
    <x:row r="152">
      <x:c r="A152" s="34" t="str">
        <x:v>Snapshots Raw</x:v>
      </x:c>
      <x:c r="B152" s="34" t="str">
        <x:v>SnapshotsRawV4</x:v>
      </x:c>
      <x:c r="C152" s="34" t="str">
        <x:v>snapshot JSON key</x:v>
      </x:c>
      <x:c r="D152" s="34" t="str">
        <x:v>snapshotName</x:v>
      </x:c>
      <x:c r="E152" s="34" t="str"/>
      <x:c r="F152" s="34" t="str">
        <x:v>text</x:v>
      </x:c>
      <x:c r="G152" s="34" t="str">
        <x:v>results.json</x:v>
      </x:c>
      <x:c r="H152" s="44" t="str">
        <x:v>Nome strutturale del campo nel JSON; non è il nome completo della cattura.</x:v>
      </x:c>
    </x:row>
    <x:row r="153">
      <x:c r="A153" s="34" t="str">
        <x:v>Snapshots Raw</x:v>
      </x:c>
      <x:c r="B153" s="34" t="str">
        <x:v>SnapshotsRawV4</x:v>
      </x:c>
      <x:c r="C153" s="34" t="str">
        <x:v>lifecycle stage</x:v>
      </x:c>
      <x:c r="D153" s="34" t="str">
        <x:v>lifecycleStage</x:v>
      </x:c>
      <x:c r="E153" s="34" t="str"/>
      <x:c r="F153" s="34" t="str">
        <x:v>text</x:v>
      </x:c>
      <x:c r="G153" s="34" t="str">
        <x:v>results.json</x:v>
      </x:c>
      <x:c r="H153" s="44" t="str">
        <x:v>Valore lifecycleStage come registrato dalla campagna v4.2 (JSON schemaVersion 4).</x:v>
      </x:c>
    </x:row>
    <x:row r="154">
      <x:c r="A154" s="34" t="str">
        <x:v>Snapshots Raw</x:v>
      </x:c>
      <x:c r="B154" s="34" t="str">
        <x:v>SnapshotsRawV4</x:v>
      </x:c>
      <x:c r="C154" s="34" t="str">
        <x:v>undeploy ordinal</x:v>
      </x:c>
      <x:c r="D154" s="34" t="str">
        <x:v>undeployOrdinal</x:v>
      </x:c>
      <x:c r="E154" s="34" t="str"/>
      <x:c r="F154" s="34" t="str">
        <x:v>integer</x:v>
      </x:c>
      <x:c r="G154" s="34" t="str">
        <x:v>results.json</x:v>
      </x:c>
      <x:c r="H154" s="44" t="str">
        <x:v>Valore undeployOrdinal come registrato dalla campagna v4.2 (JSON schemaVersion 4).</x:v>
      </x:c>
    </x:row>
    <x:row r="155">
      <x:c r="A155" s="34" t="str">
        <x:v>Snapshots Raw</x:v>
      </x:c>
      <x:c r="B155" s="34" t="str">
        <x:v>SnapshotsRawV4</x:v>
      </x:c>
      <x:c r="C155" s="34" t="str">
        <x:v>observation timing</x:v>
      </x:c>
      <x:c r="D155" s="34" t="str">
        <x:v>observationTiming</x:v>
      </x:c>
      <x:c r="E155" s="34" t="str"/>
      <x:c r="F155" s="34" t="str">
        <x:v>text</x:v>
      </x:c>
      <x:c r="G155" s="34" t="str">
        <x:v>results.json</x:v>
      </x:c>
      <x:c r="H155" s="44" t="str">
        <x:v>Valore observationTiming come registrato dalla campagna v4.2 (JSON schemaVersion 4).</x:v>
      </x:c>
    </x:row>
    <x:row r="156">
      <x:c r="A156" s="34" t="str">
        <x:v>Snapshots Raw</x:v>
      </x:c>
      <x:c r="B156" s="34" t="str">
        <x:v>SnapshotsRawV4</x:v>
      </x:c>
      <x:c r="C156" s="34" t="str">
        <x:v>full snapshot label</x:v>
      </x:c>
      <x:c r="D156" s="34" t="str">
        <x:v>label</x:v>
      </x:c>
      <x:c r="E156" s="34" t="str"/>
      <x:c r="F156" s="34" t="str">
        <x:v>text</x:v>
      </x:c>
      <x:c r="G156" s="34" t="str">
        <x:v>results.json</x:v>
      </x:c>
      <x:c r="H156" s="44" t="str">
        <x:v>Identificativo completo emesso dal runner, comprendente campagna, process run, ciclo e checkpoint.</x:v>
      </x:c>
    </x:row>
    <x:row r="157">
      <x:c r="A157" s="34" t="str">
        <x:v>Snapshots Raw</x:v>
      </x:c>
      <x:c r="B157" s="34" t="str">
        <x:v>SnapshotsRawV4</x:v>
      </x:c>
      <x:c r="C157" s="34" t="str">
        <x:v>capturedAt (UTC)</x:v>
      </x:c>
      <x:c r="D157" s="34" t="str">
        <x:v>capturedAt</x:v>
      </x:c>
      <x:c r="E157" s="34" t="str"/>
      <x:c r="F157" s="34" t="str">
        <x:v>date</x:v>
      </x:c>
      <x:c r="G157" s="34" t="str">
        <x:v>results.json</x:v>
      </x:c>
      <x:c r="H157" s="44" t="str">
        <x:v>Valore capturedAt come registrato dalla campagna v4.2 (JSON schemaVersion 4).</x:v>
      </x:c>
    </x:row>
    <x:row r="158">
      <x:c r="A158" s="34" t="str">
        <x:v>Snapshots Raw</x:v>
      </x:c>
      <x:c r="B158" s="34" t="str">
        <x:v>SnapshotsRawV4</x:v>
      </x:c>
      <x:c r="C158" s="34" t="str">
        <x:v>forced GC count</x:v>
      </x:c>
      <x:c r="D158" s="34" t="str">
        <x:v>forcedGcCount</x:v>
      </x:c>
      <x:c r="E158" s="34" t="str">
        <x:v>event</x:v>
      </x:c>
      <x:c r="F158" s="34" t="str">
        <x:v>integer</x:v>
      </x:c>
      <x:c r="G158" s="34" t="str">
        <x:v>results.json</x:v>
      </x:c>
      <x:c r="H158" s="44" t="str">
        <x:v>Valore forcedGcCount come registrato dalla campagna v4.2 (JSON schemaVersion 4).</x:v>
      </x:c>
    </x:row>
    <x:row r="159">
      <x:c r="A159" s="34" t="str">
        <x:v>Snapshots Raw</x:v>
      </x:c>
      <x:c r="B159" s="34" t="str">
        <x:v>SnapshotsRawV4</x:v>
      </x:c>
      <x:c r="C159" s="34" t="str">
        <x:v>heap used (bytes)</x:v>
      </x:c>
      <x:c r="D159" s="34" t="str">
        <x:v>heapUsedBytes</x:v>
      </x:c>
      <x:c r="E159" s="34" t="str">
        <x:v>byte</x:v>
      </x:c>
      <x:c r="F159" s="34" t="str">
        <x:v>bytes</x:v>
      </x:c>
      <x:c r="G159" s="34" t="str">
        <x:v>results.json</x:v>
      </x:c>
      <x:c r="H159" s="44" t="str">
        <x:v>Valore heapUsedBytes come registrato dalla campagna v4.2 (JSON schemaVersion 4).</x:v>
      </x:c>
    </x:row>
    <x:row r="160">
      <x:c r="A160" s="34" t="str">
        <x:v>Snapshots Raw</x:v>
      </x:c>
      <x:c r="B160" s="34" t="str">
        <x:v>SnapshotsRawV4</x:v>
      </x:c>
      <x:c r="C160" s="34" t="str">
        <x:v>heap committed (bytes)</x:v>
      </x:c>
      <x:c r="D160" s="34" t="str">
        <x:v>heapCommittedBytes</x:v>
      </x:c>
      <x:c r="E160" s="34" t="str">
        <x:v>byte</x:v>
      </x:c>
      <x:c r="F160" s="34" t="str">
        <x:v>bytes</x:v>
      </x:c>
      <x:c r="G160" s="34" t="str">
        <x:v>results.json</x:v>
      </x:c>
      <x:c r="H160" s="44" t="str">
        <x:v>Valore heapCommittedBytes come registrato dalla campagna v4.2 (JSON schemaVersion 4).</x:v>
      </x:c>
    </x:row>
    <x:row r="161">
      <x:c r="A161" s="34" t="str">
        <x:v>Snapshots Raw</x:v>
      </x:c>
      <x:c r="B161" s="34" t="str">
        <x:v>SnapshotsRawV4</x:v>
      </x:c>
      <x:c r="C161" s="34" t="str">
        <x:v>NMT committed (bytes)</x:v>
      </x:c>
      <x:c r="D161" s="34" t="str">
        <x:v>nativeCommittedBytes</x:v>
      </x:c>
      <x:c r="E161" s="34" t="str">
        <x:v>byte</x:v>
      </x:c>
      <x:c r="F161" s="34" t="str">
        <x:v>bytes</x:v>
      </x:c>
      <x:c r="G161" s="34" t="str">
        <x:v>results.json</x:v>
      </x:c>
      <x:c r="H161" s="44" t="str">
        <x:v>Committed totale da VM.native_memory summary.</x:v>
      </x:c>
    </x:row>
    <x:row r="162">
      <x:c r="A162" s="34" t="str">
        <x:v>Snapshots Raw</x:v>
      </x:c>
      <x:c r="B162" s="34" t="str">
        <x:v>SnapshotsRawV4</x:v>
      </x:c>
      <x:c r="C162" s="34" t="str">
        <x:v>webapp classloader rows</x:v>
      </x:c>
      <x:c r="D162" s="34" t="str">
        <x:v>webappClassloaderCount</x:v>
      </x:c>
      <x:c r="E162" s="34" t="str">
        <x:v>row</x:v>
      </x:c>
      <x:c r="F162" s="34" t="str">
        <x:v>integer</x:v>
      </x:c>
      <x:c r="G162" s="34" t="str">
        <x:v>results.json</x:v>
      </x:c>
      <x:c r="H162" s="44" t="str">
        <x:v>Conteggio testuale delle righe ParallelWebappClassLoader, non conteggio diretto degli oggetti trattenuti.</x:v>
      </x:c>
    </x:row>
    <x:row r="163">
      <x:c r="A163" s="34" t="str">
        <x:v>Snapshots Raw</x:v>
      </x:c>
      <x:c r="B163" s="34" t="str">
        <x:v>SnapshotsRawV4</x:v>
      </x:c>
      <x:c r="C163" s="34" t="str">
        <x:v>classloader rows (text)</x:v>
      </x:c>
      <x:c r="D163" s="34" t="str">
        <x:v>webappClassloaderRows</x:v>
      </x:c>
      <x:c r="E163" s="34" t="str"/>
      <x:c r="F163" s="34" t="str">
        <x:v>text</x:v>
      </x:c>
      <x:c r="G163" s="34" t="str">
        <x:v>results.json</x:v>
      </x:c>
      <x:c r="H163" s="44" t="str">
        <x:v>Valore webappClassloaderRows come registrato dalla campagna v4.2 (JSON schemaVersion 4).</x:v>
      </x:c>
    </x:row>
    <x:row r="164">
      <x:c r="A164" s="34" t="str">
        <x:v>Snapshots Raw</x:v>
      </x:c>
      <x:c r="B164" s="34" t="str">
        <x:v>SnapshotsRawV4</x:v>
      </x:c>
      <x:c r="C164" s="34" t="str">
        <x:v>live threads</x:v>
      </x:c>
      <x:c r="D164" s="34" t="str">
        <x:v>liveThreadCount</x:v>
      </x:c>
      <x:c r="E164" s="34" t="str">
        <x:v>thread</x:v>
      </x:c>
      <x:c r="F164" s="34" t="str">
        <x:v>integer</x:v>
      </x:c>
      <x:c r="G164" s="34" t="str">
        <x:v>results.json</x:v>
      </x:c>
      <x:c r="H164" s="44" t="str">
        <x:v>Valore liveThreadCount come registrato dalla campagna v4.2 (JSON schemaVersion 4).</x:v>
      </x:c>
    </x:row>
    <x:row r="165">
      <x:c r="A165" s="34" t="str">
        <x:v>Snapshots Raw</x:v>
      </x:c>
      <x:c r="B165" s="34" t="str">
        <x:v>SnapshotsRawV4</x:v>
      </x:c>
      <x:c r="C165" s="34" t="str">
        <x:v>JCS thread signatures</x:v>
      </x:c>
      <x:c r="D165" s="34" t="str">
        <x:v>jcsThreadSignatureCount</x:v>
      </x:c>
      <x:c r="E165" s="34" t="str">
        <x:v>thread</x:v>
      </x:c>
      <x:c r="F165" s="34" t="str">
        <x:v>integer</x:v>
      </x:c>
      <x:c r="G165" s="34" t="str">
        <x:v>results.json</x:v>
      </x:c>
      <x:c r="H165" s="44" t="str">
        <x:v>Valore jcsThreadSignatureCount come registrato dalla campagna v4.2 (JSON schemaVersion 4).</x:v>
      </x:c>
    </x:row>
    <x:row r="166">
      <x:c r="A166" s="34" t="str">
        <x:v>Snapshots Raw</x:v>
      </x:c>
      <x:c r="B166" s="34" t="str">
        <x:v>SnapshotsRawV4</x:v>
      </x:c>
      <x:c r="C166" s="34" t="str">
        <x:v>JCS thread evidence</x:v>
      </x:c>
      <x:c r="D166" s="34" t="str">
        <x:v>jcsThreadSignatures</x:v>
      </x:c>
      <x:c r="E166" s="34" t="str"/>
      <x:c r="F166" s="34" t="str">
        <x:v>text</x:v>
      </x:c>
      <x:c r="G166" s="34" t="str">
        <x:v>results.json</x:v>
      </x:c>
      <x:c r="H166" s="44" t="str">
        <x:v>Valore jcsThreadSignatures come registrato dalla campagna v4.2 (JSON schemaVersion 4).</x:v>
      </x:c>
    </x:row>
    <x:row r="167">
      <x:c r="A167" s="34" t="str">
        <x:v>Snapshots Raw</x:v>
      </x:c>
      <x:c r="B167" s="34" t="str">
        <x:v>SnapshotsRawV4</x:v>
      </x:c>
      <x:c r="C167" s="34" t="str">
        <x:v>findleaks checkpoint occurrences</x:v>
      </x:c>
      <x:c r="D167" s="34" t="str">
        <x:v>tomcatFindLeaksOccurrenceCount</x:v>
      </x:c>
      <x:c r="E167" s="34" t="str">
        <x:v>occurrence</x:v>
      </x:c>
      <x:c r="F167" s="34" t="str">
        <x:v>integer</x:v>
      </x:c>
      <x:c r="G167" s="34" t="str">
        <x:v>results.json</x:v>
      </x:c>
      <x:c r="H167" s="44" t="str">
        <x:v>Valore tomcatFindLeaksOccurrenceCount come registrato dalla campagna v4.2 (JSON schemaVersion 4).</x:v>
      </x:c>
    </x:row>
    <x:row r="168">
      <x:c r="A168" s="34" t="str">
        <x:v>Snapshots Raw</x:v>
      </x:c>
      <x:c r="B168" s="34" t="str">
        <x:v>SnapshotsRawV4</x:v>
      </x:c>
      <x:c r="C168" s="34" t="str">
        <x:v>positive target-context occurrences</x:v>
      </x:c>
      <x:c r="D168" s="34" t="str">
        <x:v>tomcatFindLeaksTargetContextCount</x:v>
      </x:c>
      <x:c r="E168" s="34" t="str">
        <x:v>occurrence</x:v>
      </x:c>
      <x:c r="F168" s="34" t="str">
        <x:v>integer</x:v>
      </x:c>
      <x:c r="G168" s="34" t="str">
        <x:v>results.json</x:v>
      </x:c>
      <x:c r="H168" s="44" t="str">
        <x:v>Valore tomcatFindLeaksTargetContextCount come registrato dalla campagna v4.2 (JSON schemaVersion 4).</x:v>
      </x:c>
    </x:row>
    <x:row r="169">
      <x:c r="A169" s="34" t="str">
        <x:v>Snapshots Raw</x:v>
      </x:c>
      <x:c r="B169" s="34" t="str">
        <x:v>SnapshotsRawV4</x:v>
      </x:c>
      <x:c r="C169" s="34" t="str">
        <x:v>positive findleaks contexts</x:v>
      </x:c>
      <x:c r="D169" s="34" t="str">
        <x:v>tomcatFindLeaksContexts</x:v>
      </x:c>
      <x:c r="E169" s="34" t="str"/>
      <x:c r="F169" s="34" t="str">
        <x:v>text</x:v>
      </x:c>
      <x:c r="G169" s="34" t="str">
        <x:v>results.json</x:v>
      </x:c>
      <x:c r="H169" s="44" t="str">
        <x:v>Valore tomcatFindLeaksContexts come registrato dalla campagna v4.2 (JSON schemaVersion 4).</x:v>
      </x:c>
    </x:row>
    <x:row r="170">
      <x:c r="A170" s="34" t="str">
        <x:v>Snapshots Raw</x:v>
      </x:c>
      <x:c r="B170" s="34" t="str">
        <x:v>SnapshotsRawV4</x:v>
      </x:c>
      <x:c r="C170" s="34" t="str">
        <x:v>findleaks checkpoint positive</x:v>
      </x:c>
      <x:c r="D170" s="34" t="str">
        <x:v>tomcatFindLeaksDetected</x:v>
      </x:c>
      <x:c r="E170" s="34" t="str"/>
      <x:c r="F170" s="34" t="str">
        <x:v>boolean</x:v>
      </x:c>
      <x:c r="G170" s="34" t="str">
        <x:v>results.json</x:v>
      </x:c>
      <x:c r="H170" s="44" t="str">
        <x:v>TRUE indica che il checkpoint diagnostico ha restituito almeno un'occorrenza; non è da solo un verdetto causale di leak.</x:v>
      </x:c>
    </x:row>
    <x:row r="171">
      <x:c r="A171" s="34" t="str">
        <x:v>Snapshots Raw</x:v>
      </x:c>
      <x:c r="B171" s="34" t="str">
        <x:v>SnapshotsRawV4</x:v>
      </x:c>
      <x:c r="C171" s="34" t="str">
        <x:v>Tomcat log lines since undeploy</x:v>
      </x:c>
      <x:c r="D171" s="34" t="str">
        <x:v>tomcatLogLineCountSinceUndeploy</x:v>
      </x:c>
      <x:c r="E171" s="34" t="str">
        <x:v>line</x:v>
      </x:c>
      <x:c r="F171" s="34" t="str">
        <x:v>integer</x:v>
      </x:c>
      <x:c r="G171" s="34" t="str">
        <x:v>results.json</x:v>
      </x:c>
      <x:c r="H171" s="44" t="str">
        <x:v>Valore tomcatLogLineCountSinceUndeploy come registrato dalla campagna v4.2 (JSON schemaVersion 4).</x:v>
      </x:c>
    </x:row>
    <x:row r="172">
      <x:c r="A172" s="34" t="str">
        <x:v>Snapshots Raw</x:v>
      </x:c>
      <x:c r="B172" s="34" t="str">
        <x:v>SnapshotsRawV4</x:v>
      </x:c>
      <x:c r="C172" s="34" t="str">
        <x:v>heap-info artifact</x:v>
      </x:c>
      <x:c r="D172" s="34" t="str">
        <x:v>heapInfoArtifact</x:v>
      </x:c>
      <x:c r="E172" s="34" t="str"/>
      <x:c r="F172" s="34" t="str">
        <x:v>text</x:v>
      </x:c>
      <x:c r="G172" s="34" t="str">
        <x:v>results.json</x:v>
      </x:c>
      <x:c r="H172" s="44" t="str">
        <x:v>Valore heapInfoArtifact come registrato dalla campagna v4.2 (JSON schemaVersion 4).</x:v>
      </x:c>
    </x:row>
    <x:row r="173">
      <x:c r="A173" s="34" t="str">
        <x:v>Snapshots Raw</x:v>
      </x:c>
      <x:c r="B173" s="34" t="str">
        <x:v>SnapshotsRawV4</x:v>
      </x:c>
      <x:c r="C173" s="34" t="str">
        <x:v>classloader artifact</x:v>
      </x:c>
      <x:c r="D173" s="34" t="str">
        <x:v>classloaderStatsArtifact</x:v>
      </x:c>
      <x:c r="E173" s="34" t="str"/>
      <x:c r="F173" s="34" t="str">
        <x:v>text</x:v>
      </x:c>
      <x:c r="G173" s="34" t="str">
        <x:v>results.json</x:v>
      </x:c>
      <x:c r="H173" s="44" t="str">
        <x:v>Valore classloaderStatsArtifact come registrato dalla campagna v4.2 (JSON schemaVersion 4).</x:v>
      </x:c>
    </x:row>
    <x:row r="174">
      <x:c r="A174" s="34" t="str">
        <x:v>Snapshots Raw</x:v>
      </x:c>
      <x:c r="B174" s="34" t="str">
        <x:v>SnapshotsRawV4</x:v>
      </x:c>
      <x:c r="C174" s="34" t="str">
        <x:v>thread-dump artifact</x:v>
      </x:c>
      <x:c r="D174" s="34" t="str">
        <x:v>threadDumpArtifact</x:v>
      </x:c>
      <x:c r="E174" s="34" t="str"/>
      <x:c r="F174" s="34" t="str">
        <x:v>text</x:v>
      </x:c>
      <x:c r="G174" s="34" t="str">
        <x:v>results.json</x:v>
      </x:c>
      <x:c r="H174" s="44" t="str">
        <x:v>Valore threadDumpArtifact come registrato dalla campagna v4.2 (JSON schemaVersion 4).</x:v>
      </x:c>
    </x:row>
    <x:row r="175">
      <x:c r="A175" s="34" t="str">
        <x:v>Snapshots Raw</x:v>
      </x:c>
      <x:c r="B175" s="34" t="str">
        <x:v>SnapshotsRawV4</x:v>
      </x:c>
      <x:c r="C175" s="34" t="str">
        <x:v>Tomcat log artifact</x:v>
      </x:c>
      <x:c r="D175" s="34" t="str">
        <x:v>tomcatLogArtifact</x:v>
      </x:c>
      <x:c r="E175" s="34" t="str"/>
      <x:c r="F175" s="34" t="str">
        <x:v>text</x:v>
      </x:c>
      <x:c r="G175" s="34" t="str">
        <x:v>results.json</x:v>
      </x:c>
      <x:c r="H175" s="44" t="str">
        <x:v>Basename del log Tomcat archiviato per il checkpoint precoce; il JSON autorevole conserva il riferimento originale.</x:v>
      </x:c>
    </x:row>
    <x:row r="176">
      <x:c r="A176" s="34" t="str">
        <x:v>Snapshots Raw</x:v>
      </x:c>
      <x:c r="B176" s="34" t="str">
        <x:v>SnapshotsRawV4</x:v>
      </x:c>
      <x:c r="C176" s="34" t="str">
        <x:v>NMT artifact</x:v>
      </x:c>
      <x:c r="D176" s="34" t="str">
        <x:v>nativeMemoryArtifact</x:v>
      </x:c>
      <x:c r="E176" s="34" t="str"/>
      <x:c r="F176" s="34" t="str">
        <x:v>text</x:v>
      </x:c>
      <x:c r="G176" s="34" t="str">
        <x:v>results.json</x:v>
      </x:c>
      <x:c r="H176" s="44" t="str">
        <x:v>Valore nativeMemoryArtifact come registrato dalla campagna v4.2 (JSON schemaVersion 4).</x:v>
      </x:c>
    </x:row>
    <x:row r="177">
      <x:c r="A177" s="34" t="str">
        <x:v>Snapshots Raw</x:v>
      </x:c>
      <x:c r="B177" s="34" t="str">
        <x:v>SnapshotsRawV4</x:v>
      </x:c>
      <x:c r="C177" s="34" t="str">
        <x:v>class-histogram artifact</x:v>
      </x:c>
      <x:c r="D177" s="34" t="str">
        <x:v>classHistogramArtifact</x:v>
      </x:c>
      <x:c r="E177" s="34" t="str"/>
      <x:c r="F177" s="34" t="str">
        <x:v>text</x:v>
      </x:c>
      <x:c r="G177" s="34" t="str">
        <x:v>results.json</x:v>
      </x:c>
      <x:c r="H177" s="44" t="str">
        <x:v>Valore classHistogramArtifact come registrato dalla campagna v4.2 (JSON schemaVersion 4).</x:v>
      </x:c>
    </x:row>
    <x:row r="178">
      <x:c r="A178" s="34" t="str">
        <x:v>Snapshots Raw</x:v>
      </x:c>
      <x:c r="B178" s="34" t="str">
        <x:v>SnapshotsRawV4</x:v>
      </x:c>
      <x:c r="C178" s="34" t="str">
        <x:v>findleaks artifact</x:v>
      </x:c>
      <x:c r="D178" s="34" t="str">
        <x:v>tomcatFindLeaksArtifact</x:v>
      </x:c>
      <x:c r="E178" s="34" t="str"/>
      <x:c r="F178" s="34" t="str">
        <x:v>text</x:v>
      </x:c>
      <x:c r="G178" s="34" t="str">
        <x:v>results.json</x:v>
      </x:c>
      <x:c r="H178" s="44" t="str">
        <x:v>Valore tomcatFindLeaksArtifact come registrato dalla campagna v4.2 (JSON schemaVersion 4).</x:v>
      </x:c>
    </x:row>
    <x:row r="179">
      <x:c r="A179" s="34" t="str">
        <x:v>Thread Evidence</x:v>
      </x:c>
      <x:c r="B179" s="34" t="str">
        <x:v>ThreadEvidenceV4</x:v>
      </x:c>
      <x:c r="C179" s="34" t="str">
        <x:v>processRunId</x:v>
      </x:c>
      <x:c r="D179" s="34" t="str">
        <x:v>processRunId</x:v>
      </x:c>
      <x:c r="E179" s="34" t="str"/>
      <x:c r="F179" s="34" t="str">
        <x:v>text</x:v>
      </x:c>
      <x:c r="G179" s="34" t="str">
        <x:v>results.json</x:v>
      </x:c>
      <x:c r="H179" s="44" t="str">
        <x:v>Valore processRunId come registrato dalla campagna v4.2 (JSON schemaVersion 4).</x:v>
      </x:c>
    </x:row>
    <x:row r="180">
      <x:c r="A180" s="34" t="str">
        <x:v>Thread Evidence</x:v>
      </x:c>
      <x:c r="B180" s="34" t="str">
        <x:v>ThreadEvidenceV4</x:v>
      </x:c>
      <x:c r="C180" s="34" t="str">
        <x:v>scenario</x:v>
      </x:c>
      <x:c r="D180" s="34" t="str">
        <x:v>scenario</x:v>
      </x:c>
      <x:c r="E180" s="34" t="str"/>
      <x:c r="F180" s="34" t="str">
        <x:v>text</x:v>
      </x:c>
      <x:c r="G180" s="34" t="str">
        <x:v>results.json</x:v>
      </x:c>
      <x:c r="H180" s="44" t="str">
        <x:v>Valore scenario come registrato dalla campagna v4.2 (JSON schemaVersion 4).</x:v>
      </x:c>
    </x:row>
    <x:row r="181">
      <x:c r="A181" s="34" t="str">
        <x:v>Thread Evidence</x:v>
      </x:c>
      <x:c r="B181" s="34" t="str">
        <x:v>ThreadEvidenceV4</x:v>
      </x:c>
      <x:c r="C181" s="34" t="str">
        <x:v>provider</x:v>
      </x:c>
      <x:c r="D181" s="34" t="str">
        <x:v>provider</x:v>
      </x:c>
      <x:c r="E181" s="34" t="str"/>
      <x:c r="F181" s="34" t="str">
        <x:v>text</x:v>
      </x:c>
      <x:c r="G181" s="34" t="str">
        <x:v>results.json</x:v>
      </x:c>
      <x:c r="H181" s="44" t="str">
        <x:v>Valore provider come registrato dalla campagna v4.2 (JSON schemaVersion 4).</x:v>
      </x:c>
    </x:row>
    <x:row r="182">
      <x:c r="A182" s="34" t="str">
        <x:v>Thread Evidence</x:v>
      </x:c>
      <x:c r="B182" s="34" t="str">
        <x:v>ThreadEvidenceV4</x:v>
      </x:c>
      <x:c r="C182" s="34" t="str">
        <x:v>fork</x:v>
      </x:c>
      <x:c r="D182" s="34" t="str">
        <x:v>fork</x:v>
      </x:c>
      <x:c r="E182" s="34" t="str"/>
      <x:c r="F182" s="34" t="str">
        <x:v>integer</x:v>
      </x:c>
      <x:c r="G182" s="34" t="str">
        <x:v>results.json</x:v>
      </x:c>
      <x:c r="H182" s="44" t="str">
        <x:v>Valore fork come registrato dalla campagna v4.2 (JSON schemaVersion 4).</x:v>
      </x:c>
    </x:row>
    <x:row r="183">
      <x:c r="A183" s="34" t="str">
        <x:v>Thread Evidence</x:v>
      </x:c>
      <x:c r="B183" s="34" t="str">
        <x:v>ThreadEvidenceV4</x:v>
      </x:c>
      <x:c r="C183" s="34" t="str">
        <x:v>Williams block</x:v>
      </x:c>
      <x:c r="D183" s="34" t="str">
        <x:v>block</x:v>
      </x:c>
      <x:c r="E183" s="34" t="str"/>
      <x:c r="F183" s="34" t="str">
        <x:v>integer</x:v>
      </x:c>
      <x:c r="G183" s="34" t="str">
        <x:v>results.json</x:v>
      </x:c>
      <x:c r="H183" s="44" t="str">
        <x:v>Valore block come registrato dalla campagna v4.2 (JSON schemaVersion 4).</x:v>
      </x:c>
    </x:row>
    <x:row r="184">
      <x:c r="A184" s="34" t="str">
        <x:v>Thread Evidence</x:v>
      </x:c>
      <x:c r="B184" s="34" t="str">
        <x:v>ThreadEvidenceV4</x:v>
      </x:c>
      <x:c r="C184" s="34" t="str">
        <x:v>orderPosition</x:v>
      </x:c>
      <x:c r="D184" s="34" t="str">
        <x:v>orderPosition</x:v>
      </x:c>
      <x:c r="E184" s="34" t="str"/>
      <x:c r="F184" s="34" t="str">
        <x:v>integer</x:v>
      </x:c>
      <x:c r="G184" s="34" t="str">
        <x:v>results.json</x:v>
      </x:c>
      <x:c r="H184" s="44" t="str">
        <x:v>Valore orderPosition come registrato dalla campagna v4.2 (JSON schemaVersion 4).</x:v>
      </x:c>
    </x:row>
    <x:row r="185">
      <x:c r="A185" s="34" t="str">
        <x:v>Thread Evidence</x:v>
      </x:c>
      <x:c r="B185" s="34" t="str">
        <x:v>ThreadEvidenceV4</x:v>
      </x:c>
      <x:c r="C185" s="34" t="str">
        <x:v>cycle</x:v>
      </x:c>
      <x:c r="D185" s="34" t="str">
        <x:v>cycle</x:v>
      </x:c>
      <x:c r="E185" s="34" t="str"/>
      <x:c r="F185" s="34" t="str">
        <x:v>integer</x:v>
      </x:c>
      <x:c r="G185" s="34" t="str">
        <x:v>results.json</x:v>
      </x:c>
      <x:c r="H185" s="44" t="str">
        <x:v>Valore cycle come registrato dalla campagna v4.2 (JSON schemaVersion 4).</x:v>
      </x:c>
    </x:row>
    <x:row r="186">
      <x:c r="A186" s="34" t="str">
        <x:v>Thread Evidence</x:v>
      </x:c>
      <x:c r="B186" s="34" t="str">
        <x:v>ThreadEvidenceV4</x:v>
      </x:c>
      <x:c r="C186" s="34" t="str">
        <x:v>evidence source</x:v>
      </x:c>
      <x:c r="D186" s="34" t="str">
        <x:v>sourceField</x:v>
      </x:c>
      <x:c r="E186" s="34" t="str"/>
      <x:c r="F186" s="34" t="str">
        <x:v>text</x:v>
      </x:c>
      <x:c r="G186" s="34" t="str">
        <x:v>results.json</x:v>
      </x:c>
      <x:c r="H186" s="44" t="str">
        <x:v>Valore sourceField come registrato dalla campagna v4.2 (JSON schemaVersion 4).</x:v>
      </x:c>
    </x:row>
    <x:row r="187">
      <x:c r="A187" s="34" t="str">
        <x:v>Thread Evidence</x:v>
      </x:c>
      <x:c r="B187" s="34" t="str">
        <x:v>ThreadEvidenceV4</x:v>
      </x:c>
      <x:c r="C187" s="34" t="str">
        <x:v>undeploy ordinal</x:v>
      </x:c>
      <x:c r="D187" s="34" t="str">
        <x:v>undeployOrdinal</x:v>
      </x:c>
      <x:c r="E187" s="34" t="str"/>
      <x:c r="F187" s="34" t="str">
        <x:v>integer</x:v>
      </x:c>
      <x:c r="G187" s="34" t="str">
        <x:v>results.json</x:v>
      </x:c>
      <x:c r="H187" s="44" t="str">
        <x:v>Valore undeployOrdinal come registrato dalla campagna v4.2 (JSON schemaVersion 4).</x:v>
      </x:c>
    </x:row>
    <x:row r="188">
      <x:c r="A188" s="34" t="str">
        <x:v>Thread Evidence</x:v>
      </x:c>
      <x:c r="B188" s="34" t="str">
        <x:v>ThreadEvidenceV4</x:v>
      </x:c>
      <x:c r="C188" s="34" t="str">
        <x:v>timing</x:v>
      </x:c>
      <x:c r="D188" s="34" t="str">
        <x:v>observationTiming</x:v>
      </x:c>
      <x:c r="E188" s="34" t="str"/>
      <x:c r="F188" s="34" t="str">
        <x:v>text</x:v>
      </x:c>
      <x:c r="G188" s="34" t="str">
        <x:v>results.json</x:v>
      </x:c>
      <x:c r="H188" s="44" t="str">
        <x:v>Valore observationTiming come registrato dalla campagna v4.2 (JSON schemaVersion 4).</x:v>
      </x:c>
    </x:row>
    <x:row r="189">
      <x:c r="A189" s="34" t="str">
        <x:v>Thread Evidence</x:v>
      </x:c>
      <x:c r="B189" s="34" t="str">
        <x:v>ThreadEvidenceV4</x:v>
      </x:c>
      <x:c r="C189" s="34" t="str">
        <x:v>thread stock</x:v>
      </x:c>
      <x:c r="D189" s="34" t="str">
        <x:v>threadStock</x:v>
      </x:c>
      <x:c r="E189" s="34" t="str">
        <x:v>thread</x:v>
      </x:c>
      <x:c r="F189" s="34" t="str">
        <x:v>integer</x:v>
      </x:c>
      <x:c r="G189" s="34" t="str">
        <x:v>results.json</x:v>
      </x:c>
      <x:c r="H189" s="44" t="str">
        <x:v>Valore threadStock come registrato dalla campagna v4.2 (JSON schemaVersion 4).</x:v>
      </x:c>
    </x:row>
    <x:row r="190">
      <x:c r="A190" s="34" t="str">
        <x:v>Thread Evidence</x:v>
      </x:c>
      <x:c r="B190" s="34" t="str">
        <x:v>ThreadEvidenceV4</x:v>
      </x:c>
      <x:c r="C190" s="34" t="str">
        <x:v>Δ threads vs process baseline</x:v>
      </x:c>
      <x:c r="D190" s="34" t="str">
        <x:v>threadStockDeltaVsProcessBaseline</x:v>
      </x:c>
      <x:c r="E190" s="34" t="str">
        <x:v>thread</x:v>
      </x:c>
      <x:c r="F190" s="34" t="str">
        <x:v>integer</x:v>
      </x:c>
      <x:c r="G190" s="34" t="str">
        <x:v>results.json</x:v>
      </x:c>
      <x:c r="H190" s="44" t="str">
        <x:v>Valore threadStockDeltaVsProcessBaseline come registrato dalla campagna v4.2 (JSON schemaVersion 4).</x:v>
      </x:c>
    </x:row>
    <x:row r="191">
      <x:c r="A191" s="34" t="str">
        <x:v>Thread Evidence</x:v>
      </x:c>
      <x:c r="B191" s="34" t="str">
        <x:v>ThreadEvidenceV4</x:v>
      </x:c>
      <x:c r="C191" s="34" t="str">
        <x:v>Δ threads vs cycle baseline</x:v>
      </x:c>
      <x:c r="D191" s="34" t="str">
        <x:v>threadStockDeltaVsCycleBaseline</x:v>
      </x:c>
      <x:c r="E191" s="34" t="str">
        <x:v>thread</x:v>
      </x:c>
      <x:c r="F191" s="34" t="str">
        <x:v>integer</x:v>
      </x:c>
      <x:c r="G191" s="34" t="str">
        <x:v>results.json</x:v>
      </x:c>
      <x:c r="H191" s="44" t="str">
        <x:v>Valore threadStockDeltaVsCycleBaseline come registrato dalla campagna v4.2 (JSON schemaVersion 4).</x:v>
      </x:c>
    </x:row>
    <x:row r="192">
      <x:c r="A192" s="34" t="str">
        <x:v>Thread Evidence</x:v>
      </x:c>
      <x:c r="B192" s="34" t="str">
        <x:v>ThreadEvidenceV4</x:v>
      </x:c>
      <x:c r="C192" s="34" t="str">
        <x:v>new vs process count</x:v>
      </x:c>
      <x:c r="D192" s="34" t="str">
        <x:v>threadsNotPresentAtProcessBaselineCount</x:v>
      </x:c>
      <x:c r="E192" s="34" t="str">
        <x:v>thread</x:v>
      </x:c>
      <x:c r="F192" s="34" t="str">
        <x:v>integer</x:v>
      </x:c>
      <x:c r="G192" s="34" t="str">
        <x:v>results.json</x:v>
      </x:c>
      <x:c r="H192" s="44" t="str">
        <x:v>Valore threadsNotPresentAtProcessBaselineCount come registrato dalla campagna v4.2 (JSON schemaVersion 4).</x:v>
      </x:c>
    </x:row>
    <x:row r="193">
      <x:c r="A193" s="34" t="str">
        <x:v>Thread Evidence</x:v>
      </x:c>
      <x:c r="B193" s="34" t="str">
        <x:v>ThreadEvidenceV4</x:v>
      </x:c>
      <x:c r="C193" s="34" t="str">
        <x:v>new vs process threads</x:v>
      </x:c>
      <x:c r="D193" s="34" t="str">
        <x:v>threadsNotPresentAtProcessBaseline</x:v>
      </x:c>
      <x:c r="E193" s="34" t="str"/>
      <x:c r="F193" s="34" t="str">
        <x:v>text</x:v>
      </x:c>
      <x:c r="G193" s="34" t="str">
        <x:v>results.json</x:v>
      </x:c>
      <x:c r="H193" s="44" t="str">
        <x:v>Valore threadsNotPresentAtProcessBaseline come registrato dalla campagna v4.2 (JSON schemaVersion 4).</x:v>
      </x:c>
    </x:row>
    <x:row r="194">
      <x:c r="A194" s="34" t="str">
        <x:v>Thread Evidence</x:v>
      </x:c>
      <x:c r="B194" s="34" t="str">
        <x:v>ThreadEvidenceV4</x:v>
      </x:c>
      <x:c r="C194" s="34" t="str">
        <x:v>new vs cycle count</x:v>
      </x:c>
      <x:c r="D194" s="34" t="str">
        <x:v>threadsNotPresentAtCycleBaselineCount</x:v>
      </x:c>
      <x:c r="E194" s="34" t="str">
        <x:v>thread</x:v>
      </x:c>
      <x:c r="F194" s="34" t="str">
        <x:v>integer</x:v>
      </x:c>
      <x:c r="G194" s="34" t="str">
        <x:v>results.json</x:v>
      </x:c>
      <x:c r="H194" s="44" t="str">
        <x:v>Valore threadsNotPresentAtCycleBaselineCount come registrato dalla campagna v4.2 (JSON schemaVersion 4).</x:v>
      </x:c>
    </x:row>
    <x:row r="195">
      <x:c r="A195" s="34" t="str">
        <x:v>Thread Evidence</x:v>
      </x:c>
      <x:c r="B195" s="34" t="str">
        <x:v>ThreadEvidenceV4</x:v>
      </x:c>
      <x:c r="C195" s="34" t="str">
        <x:v>new vs cycle threads</x:v>
      </x:c>
      <x:c r="D195" s="34" t="str">
        <x:v>threadsNotPresentAtCycleBaseline</x:v>
      </x:c>
      <x:c r="E195" s="34" t="str"/>
      <x:c r="F195" s="34" t="str">
        <x:v>text</x:v>
      </x:c>
      <x:c r="G195" s="34" t="str">
        <x:v>results.json</x:v>
      </x:c>
      <x:c r="H195" s="44" t="str">
        <x:v>Valore threadsNotPresentAtCycleBaseline come registrato dalla campagna v4.2 (JSON schemaVersion 4).</x:v>
      </x:c>
    </x:row>
    <x:row r="196">
      <x:c r="A196" s="34" t="str">
        <x:v>Thread Evidence</x:v>
      </x:c>
      <x:c r="B196" s="34" t="str">
        <x:v>ThreadEvidenceV4</x:v>
      </x:c>
      <x:c r="C196" s="34" t="str">
        <x:v>candidate app threads vs process</x:v>
      </x:c>
      <x:c r="D196" s="34" t="str">
        <x:v>candidateApplicationThreadsVsProcessBaselineCount</x:v>
      </x:c>
      <x:c r="E196" s="34" t="str">
        <x:v>thread</x:v>
      </x:c>
      <x:c r="F196" s="34" t="str">
        <x:v>integer</x:v>
      </x:c>
      <x:c r="G196" s="34" t="str">
        <x:v>results.json</x:v>
      </x:c>
      <x:c r="H196" s="44" t="str">
        <x:v>Valore candidateApplicationThreadsVsProcessBaselineCount come registrato dalla campagna v4.2 (JSON schemaVersion 4).</x:v>
      </x:c>
    </x:row>
    <x:row r="197">
      <x:c r="A197" s="34" t="str">
        <x:v>Thread Evidence</x:v>
      </x:c>
      <x:c r="B197" s="34" t="str">
        <x:v>ThreadEvidenceV4</x:v>
      </x:c>
      <x:c r="C197" s="34" t="str">
        <x:v>candidate app thread names vs process</x:v>
      </x:c>
      <x:c r="D197" s="34" t="str">
        <x:v>candidateApplicationThreadsVsProcessBaseline</x:v>
      </x:c>
      <x:c r="E197" s="34" t="str"/>
      <x:c r="F197" s="34" t="str">
        <x:v>text</x:v>
      </x:c>
      <x:c r="G197" s="34" t="str">
        <x:v>results.json</x:v>
      </x:c>
      <x:c r="H197" s="44" t="str">
        <x:v>Valore candidateApplicationThreadsVsProcessBaseline come registrato dalla campagna v4.2 (JSON schemaVersion 4).</x:v>
      </x:c>
    </x:row>
    <x:row r="198">
      <x:c r="A198" s="34" t="str">
        <x:v>Thread Evidence</x:v>
      </x:c>
      <x:c r="B198" s="34" t="str">
        <x:v>ThreadEvidenceV4</x:v>
      </x:c>
      <x:c r="C198" s="34" t="str">
        <x:v>candidate app threads vs cycle</x:v>
      </x:c>
      <x:c r="D198" s="34" t="str">
        <x:v>candidateApplicationThreadsVsCycleBaselineCount</x:v>
      </x:c>
      <x:c r="E198" s="34" t="str">
        <x:v>thread</x:v>
      </x:c>
      <x:c r="F198" s="34" t="str">
        <x:v>integer</x:v>
      </x:c>
      <x:c r="G198" s="34" t="str">
        <x:v>results.json</x:v>
      </x:c>
      <x:c r="H198" s="44" t="str">
        <x:v>Valore candidateApplicationThreadsVsCycleBaselineCount come registrato dalla campagna v4.2 (JSON schemaVersion 4).</x:v>
      </x:c>
    </x:row>
    <x:row r="199">
      <x:c r="A199" s="34" t="str">
        <x:v>Thread Evidence</x:v>
      </x:c>
      <x:c r="B199" s="34" t="str">
        <x:v>ThreadEvidenceV4</x:v>
      </x:c>
      <x:c r="C199" s="34" t="str">
        <x:v>candidate app thread names vs cycle</x:v>
      </x:c>
      <x:c r="D199" s="34" t="str">
        <x:v>candidateApplicationThreadsVsCycleBaseline</x:v>
      </x:c>
      <x:c r="E199" s="34" t="str"/>
      <x:c r="F199" s="34" t="str">
        <x:v>text</x:v>
      </x:c>
      <x:c r="G199" s="34" t="str">
        <x:v>results.json</x:v>
      </x:c>
      <x:c r="H199" s="44" t="str">
        <x:v>Valore candidateApplicationThreadsVsCycleBaseline come registrato dalla campagna v4.2 (JSON schemaVersion 4).</x:v>
      </x:c>
    </x:row>
    <x:row r="200">
      <x:c r="A200" s="34" t="str">
        <x:v>Thread Evidence</x:v>
      </x:c>
      <x:c r="B200" s="34" t="str">
        <x:v>ThreadEvidenceV4</x:v>
      </x:c>
      <x:c r="C200" s="34" t="str">
        <x:v>JCS signature count</x:v>
      </x:c>
      <x:c r="D200" s="34" t="str">
        <x:v>jcsThreadSignatureCount</x:v>
      </x:c>
      <x:c r="E200" s="34" t="str">
        <x:v>thread</x:v>
      </x:c>
      <x:c r="F200" s="34" t="str">
        <x:v>integer</x:v>
      </x:c>
      <x:c r="G200" s="34" t="str">
        <x:v>results.json</x:v>
      </x:c>
      <x:c r="H200" s="44" t="str">
        <x:v>Valore jcsThreadSignatureCount come registrato dalla campagna v4.2 (JSON schemaVersion 4).</x:v>
      </x:c>
    </x:row>
    <x:row r="201">
      <x:c r="A201" s="34" t="str">
        <x:v>Thread Evidence</x:v>
      </x:c>
      <x:c r="B201" s="34" t="str">
        <x:v>ThreadEvidenceV4</x:v>
      </x:c>
      <x:c r="C201" s="34" t="str">
        <x:v>JCS signatures</x:v>
      </x:c>
      <x:c r="D201" s="34" t="str">
        <x:v>jcsThreadSignatures</x:v>
      </x:c>
      <x:c r="E201" s="34" t="str"/>
      <x:c r="F201" s="34" t="str">
        <x:v>text</x:v>
      </x:c>
      <x:c r="G201" s="34" t="str">
        <x:v>results.json</x:v>
      </x:c>
      <x:c r="H201" s="44" t="str">
        <x:v>Valore jcsThreadSignatures come registrato dalla campagna v4.2 (JSON schemaVersion 4).</x:v>
      </x:c>
    </x:row>
    <x:row r="202">
      <x:c r="A202" s="34" t="str">
        <x:v>Thread Evidence</x:v>
      </x:c>
      <x:c r="B202" s="34" t="str">
        <x:v>ThreadEvidenceV4</x:v>
      </x:c>
      <x:c r="C202" s="34" t="str">
        <x:v>classification</x:v>
      </x:c>
      <x:c r="D202" s="34" t="str">
        <x:v>classification</x:v>
      </x:c>
      <x:c r="E202" s="34" t="str"/>
      <x:c r="F202" s="34" t="str">
        <x:v>text</x:v>
      </x:c>
      <x:c r="G202" s="34" t="str">
        <x:v>results.json</x:v>
      </x:c>
      <x:c r="H202" s="44" t="str">
        <x:v>Valore classification come registrato dalla campagna v4.2 (JSON schemaVersion 4).</x:v>
      </x:c>
    </x:row>
    <x:row r="203">
      <x:c r="A203" s="34" t="str">
        <x:v>Thread Evidence</x:v>
      </x:c>
      <x:c r="B203" s="34" t="str">
        <x:v>ThreadEvidenceV4</x:v>
      </x:c>
      <x:c r="C203" s="34" t="str">
        <x:v>classification basis</x:v>
      </x:c>
      <x:c r="D203" s="34" t="str">
        <x:v>classificationBasis</x:v>
      </x:c>
      <x:c r="E203" s="34" t="str"/>
      <x:c r="F203" s="34" t="str">
        <x:v>text</x:v>
      </x:c>
      <x:c r="G203" s="34" t="str">
        <x:v>results.json</x:v>
      </x:c>
      <x:c r="H203" s="44" t="str">
        <x:v>Valore classificationBasis come registrato dalla campagna v4.2 (JSON schemaVersion 4).</x:v>
      </x:c>
    </x:row>
    <x:row r="204">
      <x:c r="A204" s="34" t="str">
        <x:v>Events-Warnings</x:v>
      </x:c>
      <x:c r="B204" s="34" t="str">
        <x:v>EventsWarningsV4</x:v>
      </x:c>
      <x:c r="C204" s="34" t="str">
        <x:v>eventId</x:v>
      </x:c>
      <x:c r="D204" s="34" t="str">
        <x:v>eventId</x:v>
      </x:c>
      <x:c r="E204" s="34" t="str"/>
      <x:c r="F204" s="34" t="str">
        <x:v>integer</x:v>
      </x:c>
      <x:c r="G204" s="34" t="str">
        <x:v>results.json</x:v>
      </x:c>
      <x:c r="H204" s="44" t="str">
        <x:v>Valore eventId come registrato dalla campagna v4.2 (JSON schemaVersion 4).</x:v>
      </x:c>
    </x:row>
    <x:row r="205">
      <x:c r="A205" s="34" t="str">
        <x:v>Events-Warnings</x:v>
      </x:c>
      <x:c r="B205" s="34" t="str">
        <x:v>EventsWarningsV4</x:v>
      </x:c>
      <x:c r="C205" s="34" t="str">
        <x:v>processRunId</x:v>
      </x:c>
      <x:c r="D205" s="34" t="str">
        <x:v>processRunId</x:v>
      </x:c>
      <x:c r="E205" s="34" t="str"/>
      <x:c r="F205" s="34" t="str">
        <x:v>text</x:v>
      </x:c>
      <x:c r="G205" s="34" t="str">
        <x:v>results.json</x:v>
      </x:c>
      <x:c r="H205" s="44" t="str">
        <x:v>Valore processRunId come registrato dalla campagna v4.2 (JSON schemaVersion 4).</x:v>
      </x:c>
    </x:row>
    <x:row r="206">
      <x:c r="A206" s="34" t="str">
        <x:v>Events-Warnings</x:v>
      </x:c>
      <x:c r="B206" s="34" t="str">
        <x:v>EventsWarningsV4</x:v>
      </x:c>
      <x:c r="C206" s="34" t="str">
        <x:v>scenario</x:v>
      </x:c>
      <x:c r="D206" s="34" t="str">
        <x:v>scenario</x:v>
      </x:c>
      <x:c r="E206" s="34" t="str"/>
      <x:c r="F206" s="34" t="str">
        <x:v>text</x:v>
      </x:c>
      <x:c r="G206" s="34" t="str">
        <x:v>results.json</x:v>
      </x:c>
      <x:c r="H206" s="44" t="str">
        <x:v>Valore scenario come registrato dalla campagna v4.2 (JSON schemaVersion 4).</x:v>
      </x:c>
    </x:row>
    <x:row r="207">
      <x:c r="A207" s="34" t="str">
        <x:v>Events-Warnings</x:v>
      </x:c>
      <x:c r="B207" s="34" t="str">
        <x:v>EventsWarningsV4</x:v>
      </x:c>
      <x:c r="C207" s="34" t="str">
        <x:v>provider</x:v>
      </x:c>
      <x:c r="D207" s="34" t="str">
        <x:v>provider</x:v>
      </x:c>
      <x:c r="E207" s="34" t="str"/>
      <x:c r="F207" s="34" t="str">
        <x:v>text</x:v>
      </x:c>
      <x:c r="G207" s="34" t="str">
        <x:v>results.json</x:v>
      </x:c>
      <x:c r="H207" s="44" t="str">
        <x:v>Valore provider come registrato dalla campagna v4.2 (JSON schemaVersion 4).</x:v>
      </x:c>
    </x:row>
    <x:row r="208">
      <x:c r="A208" s="34" t="str">
        <x:v>Events-Warnings</x:v>
      </x:c>
      <x:c r="B208" s="34" t="str">
        <x:v>EventsWarningsV4</x:v>
      </x:c>
      <x:c r="C208" s="34" t="str">
        <x:v>fork</x:v>
      </x:c>
      <x:c r="D208" s="34" t="str">
        <x:v>fork</x:v>
      </x:c>
      <x:c r="E208" s="34" t="str"/>
      <x:c r="F208" s="34" t="str">
        <x:v>integer</x:v>
      </x:c>
      <x:c r="G208" s="34" t="str">
        <x:v>results.json</x:v>
      </x:c>
      <x:c r="H208" s="44" t="str">
        <x:v>Valore fork come registrato dalla campagna v4.2 (JSON schemaVersion 4).</x:v>
      </x:c>
    </x:row>
    <x:row r="209">
      <x:c r="A209" s="34" t="str">
        <x:v>Events-Warnings</x:v>
      </x:c>
      <x:c r="B209" s="34" t="str">
        <x:v>EventsWarningsV4</x:v>
      </x:c>
      <x:c r="C209" s="34" t="str">
        <x:v>Williams block</x:v>
      </x:c>
      <x:c r="D209" s="34" t="str">
        <x:v>block</x:v>
      </x:c>
      <x:c r="E209" s="34" t="str"/>
      <x:c r="F209" s="34" t="str">
        <x:v>integer</x:v>
      </x:c>
      <x:c r="G209" s="34" t="str">
        <x:v>results.json</x:v>
      </x:c>
      <x:c r="H209" s="44" t="str">
        <x:v>Valore block come registrato dalla campagna v4.2 (JSON schemaVersion 4).</x:v>
      </x:c>
    </x:row>
    <x:row r="210">
      <x:c r="A210" s="34" t="str">
        <x:v>Events-Warnings</x:v>
      </x:c>
      <x:c r="B210" s="34" t="str">
        <x:v>EventsWarningsV4</x:v>
      </x:c>
      <x:c r="C210" s="34" t="str">
        <x:v>cycle</x:v>
      </x:c>
      <x:c r="D210" s="34" t="str">
        <x:v>cycle</x:v>
      </x:c>
      <x:c r="E210" s="34" t="str"/>
      <x:c r="F210" s="34" t="str">
        <x:v>integer</x:v>
      </x:c>
      <x:c r="G210" s="34" t="str">
        <x:v>results.json</x:v>
      </x:c>
      <x:c r="H210" s="44" t="str">
        <x:v>Valore cycle come registrato dalla campagna v4.2 (JSON schemaVersion 4).</x:v>
      </x:c>
    </x:row>
    <x:row r="211">
      <x:c r="A211" s="34" t="str">
        <x:v>Events-Warnings</x:v>
      </x:c>
      <x:c r="B211" s="34" t="str">
        <x:v>EventsWarningsV4</x:v>
      </x:c>
      <x:c r="C211" s="34" t="str">
        <x:v>aggregation level</x:v>
      </x:c>
      <x:c r="D211" s="34" t="str">
        <x:v>aggregationLevel</x:v>
      </x:c>
      <x:c r="E211" s="34" t="str"/>
      <x:c r="F211" s="34" t="str">
        <x:v>text</x:v>
      </x:c>
      <x:c r="G211" s="34" t="str">
        <x:v>results.json</x:v>
      </x:c>
      <x:c r="H211" s="44" t="str">
        <x:v>Distingue occorrenze di finestra, aggregati di process run e fallimenti di campagna.</x:v>
      </x:c>
    </x:row>
    <x:row r="212">
      <x:c r="A212" s="34" t="str">
        <x:v>Events-Warnings</x:v>
      </x:c>
      <x:c r="B212" s="34" t="str">
        <x:v>EventsWarningsV4</x:v>
      </x:c>
      <x:c r="C212" s="34" t="str">
        <x:v>undeploy ordinal</x:v>
      </x:c>
      <x:c r="D212" s="34" t="str">
        <x:v>undeployOrdinal</x:v>
      </x:c>
      <x:c r="E212" s="34" t="str"/>
      <x:c r="F212" s="34" t="str">
        <x:v>integer</x:v>
      </x:c>
      <x:c r="G212" s="34" t="str">
        <x:v>results.json</x:v>
      </x:c>
      <x:c r="H212" s="44" t="str">
        <x:v>Valore undeployOrdinal come registrato dalla campagna v4.2 (JSON schemaVersion 4).</x:v>
      </x:c>
    </x:row>
    <x:row r="213">
      <x:c r="A213" s="34" t="str">
        <x:v>Events-Warnings</x:v>
      </x:c>
      <x:c r="B213" s="34" t="str">
        <x:v>EventsWarningsV4</x:v>
      </x:c>
      <x:c r="C213" s="34" t="str">
        <x:v>event category</x:v>
      </x:c>
      <x:c r="D213" s="34" t="str">
        <x:v>category</x:v>
      </x:c>
      <x:c r="E213" s="34" t="str"/>
      <x:c r="F213" s="34" t="str">
        <x:v>text</x:v>
      </x:c>
      <x:c r="G213" s="34" t="str">
        <x:v>results.json</x:v>
      </x:c>
      <x:c r="H213" s="44" t="str">
        <x:v>Valore category come registrato dalla campagna v4.2 (JSON schemaVersion 4).</x:v>
      </x:c>
    </x:row>
    <x:row r="214">
      <x:c r="A214" s="34" t="str">
        <x:v>Events-Warnings</x:v>
      </x:c>
      <x:c r="B214" s="34" t="str">
        <x:v>EventsWarningsV4</x:v>
      </x:c>
      <x:c r="C214" s="34" t="str">
        <x:v>source field</x:v>
      </x:c>
      <x:c r="D214" s="34" t="str">
        <x:v>sourceField</x:v>
      </x:c>
      <x:c r="E214" s="34" t="str"/>
      <x:c r="F214" s="34" t="str">
        <x:v>text</x:v>
      </x:c>
      <x:c r="G214" s="34" t="str">
        <x:v>results.json</x:v>
      </x:c>
      <x:c r="H214" s="44" t="str">
        <x:v>Valore sourceField come registrato dalla campagna v4.2 (JSON schemaVersion 4).</x:v>
      </x:c>
    </x:row>
    <x:row r="215">
      <x:c r="A215" s="34" t="str">
        <x:v>Events-Warnings</x:v>
      </x:c>
      <x:c r="B215" s="34" t="str">
        <x:v>EventsWarningsV4</x:v>
      </x:c>
      <x:c r="C215" s="34" t="str">
        <x:v>occurrence index</x:v>
      </x:c>
      <x:c r="D215" s="34" t="str">
        <x:v>occurrenceIndex</x:v>
      </x:c>
      <x:c r="E215" s="34" t="str"/>
      <x:c r="F215" s="34" t="str">
        <x:v>integer</x:v>
      </x:c>
      <x:c r="G215" s="34" t="str">
        <x:v>results.json</x:v>
      </x:c>
      <x:c r="H215" s="44" t="str">
        <x:v>Valore occurrenceIndex come registrato dalla campagna v4.2 (JSON schemaVersion 4).</x:v>
      </x:c>
    </x:row>
    <x:row r="216">
      <x:c r="A216" s="34" t="str">
        <x:v>Events-Warnings</x:v>
      </x:c>
      <x:c r="B216" s="34" t="str">
        <x:v>EventsWarningsV4</x:v>
      </x:c>
      <x:c r="C216" s="34" t="str">
        <x:v>context</x:v>
      </x:c>
      <x:c r="D216" s="34" t="str">
        <x:v>context</x:v>
      </x:c>
      <x:c r="E216" s="34" t="str"/>
      <x:c r="F216" s="34" t="str">
        <x:v>text</x:v>
      </x:c>
      <x:c r="G216" s="34" t="str">
        <x:v>results.json</x:v>
      </x:c>
      <x:c r="H216" s="44" t="str">
        <x:v>Valore context come registrato dalla campagna v4.2 (JSON schemaVersion 4).</x:v>
      </x:c>
    </x:row>
    <x:row r="217">
      <x:c r="A217" s="34" t="str">
        <x:v>Events-Warnings</x:v>
      </x:c>
      <x:c r="B217" s="34" t="str">
        <x:v>EventsWarningsV4</x:v>
      </x:c>
      <x:c r="C217" s="34" t="str">
        <x:v>raw message / payload</x:v>
      </x:c>
      <x:c r="D217" s="34" t="str">
        <x:v>message</x:v>
      </x:c>
      <x:c r="E217" s="34" t="str"/>
      <x:c r="F217" s="34" t="str">
        <x:v>text</x:v>
      </x:c>
      <x:c r="G217" s="34" t="str">
        <x:v>results.json</x:v>
      </x:c>
      <x:c r="H217" s="44" t="str">
        <x:v>Testo preservato; categorie aggregate possono ripetere la stessa riga intenzionalmente.</x:v>
      </x:c>
    </x:row>
    <x:row r="218">
      <x:c r="A218" s="34" t="str">
        <x:v>QC Gates</x:v>
      </x:c>
      <x:c r="B218" s="34" t="str">
        <x:v>QualityGatesV4</x:v>
      </x:c>
      <x:c r="C218" s="34" t="str">
        <x:v>processRunId</x:v>
      </x:c>
      <x:c r="D218" s="34" t="str">
        <x:v>processRunId</x:v>
      </x:c>
      <x:c r="E218" s="34" t="str"/>
      <x:c r="F218" s="34" t="str">
        <x:v>text</x:v>
      </x:c>
      <x:c r="G218" s="34" t="str">
        <x:v>results.json</x:v>
      </x:c>
      <x:c r="H218" s="44" t="str">
        <x:v>Valore processRunId come registrato dalla campagna v4.2 (JSON schemaVersion 4).</x:v>
      </x:c>
    </x:row>
    <x:row r="219">
      <x:c r="A219" s="34" t="str">
        <x:v>QC Gates</x:v>
      </x:c>
      <x:c r="B219" s="34" t="str">
        <x:v>QualityGatesV4</x:v>
      </x:c>
      <x:c r="C219" s="34" t="str">
        <x:v>scenario</x:v>
      </x:c>
      <x:c r="D219" s="34" t="str">
        <x:v>scenario</x:v>
      </x:c>
      <x:c r="E219" s="34" t="str"/>
      <x:c r="F219" s="34" t="str">
        <x:v>text</x:v>
      </x:c>
      <x:c r="G219" s="34" t="str">
        <x:v>results.json</x:v>
      </x:c>
      <x:c r="H219" s="44" t="str">
        <x:v>Valore scenario come registrato dalla campagna v4.2 (JSON schemaVersion 4).</x:v>
      </x:c>
    </x:row>
    <x:row r="220">
      <x:c r="A220" s="34" t="str">
        <x:v>QC Gates</x:v>
      </x:c>
      <x:c r="B220" s="34" t="str">
        <x:v>QualityGatesV4</x:v>
      </x:c>
      <x:c r="C220" s="34" t="str">
        <x:v>provider</x:v>
      </x:c>
      <x:c r="D220" s="34" t="str">
        <x:v>provider</x:v>
      </x:c>
      <x:c r="E220" s="34" t="str"/>
      <x:c r="F220" s="34" t="str">
        <x:v>text</x:v>
      </x:c>
      <x:c r="G220" s="34" t="str">
        <x:v>results.json</x:v>
      </x:c>
      <x:c r="H220" s="44" t="str">
        <x:v>Valore provider come registrato dalla campagna v4.2 (JSON schemaVersion 4).</x:v>
      </x:c>
    </x:row>
    <x:row r="221">
      <x:c r="A221" s="34" t="str">
        <x:v>QC Gates</x:v>
      </x:c>
      <x:c r="B221" s="34" t="str">
        <x:v>QualityGatesV4</x:v>
      </x:c>
      <x:c r="C221" s="34" t="str">
        <x:v>fork</x:v>
      </x:c>
      <x:c r="D221" s="34" t="str">
        <x:v>fork</x:v>
      </x:c>
      <x:c r="E221" s="34" t="str"/>
      <x:c r="F221" s="34" t="str">
        <x:v>integer</x:v>
      </x:c>
      <x:c r="G221" s="34" t="str">
        <x:v>results.json</x:v>
      </x:c>
      <x:c r="H221" s="44" t="str">
        <x:v>Valore fork come registrato dalla campagna v4.2 (JSON schemaVersion 4).</x:v>
      </x:c>
    </x:row>
    <x:row r="222">
      <x:c r="A222" s="34" t="str">
        <x:v>QC Gates</x:v>
      </x:c>
      <x:c r="B222" s="34" t="str">
        <x:v>QualityGatesV4</x:v>
      </x:c>
      <x:c r="C222" s="34" t="str">
        <x:v>Williams block</x:v>
      </x:c>
      <x:c r="D222" s="34" t="str">
        <x:v>block</x:v>
      </x:c>
      <x:c r="E222" s="34" t="str"/>
      <x:c r="F222" s="34" t="str">
        <x:v>integer</x:v>
      </x:c>
      <x:c r="G222" s="34" t="str">
        <x:v>results.json</x:v>
      </x:c>
      <x:c r="H222" s="44" t="str">
        <x:v>Valore block come registrato dalla campagna v4.2 (JSON schemaVersion 4).</x:v>
      </x:c>
    </x:row>
    <x:row r="223">
      <x:c r="A223" s="34" t="str">
        <x:v>QC Gates</x:v>
      </x:c>
      <x:c r="B223" s="34" t="str">
        <x:v>QualityGatesV4</x:v>
      </x:c>
      <x:c r="C223" s="34" t="str">
        <x:v>orderPosition</x:v>
      </x:c>
      <x:c r="D223" s="34" t="str">
        <x:v>orderPosition</x:v>
      </x:c>
      <x:c r="E223" s="34" t="str"/>
      <x:c r="F223" s="34" t="str">
        <x:v>integer</x:v>
      </x:c>
      <x:c r="G223" s="34" t="str">
        <x:v>results.json</x:v>
      </x:c>
      <x:c r="H223" s="44" t="str">
        <x:v>Valore orderPosition come registrato dalla campagna v4.2 (JSON schemaVersion 4).</x:v>
      </x:c>
    </x:row>
    <x:row r="224">
      <x:c r="A224" s="34" t="str">
        <x:v>QC Gates</x:v>
      </x:c>
      <x:c r="B224" s="34" t="str">
        <x:v>QualityGatesV4</x:v>
      </x:c>
      <x:c r="C224" s="34" t="str">
        <x:v>cycle</x:v>
      </x:c>
      <x:c r="D224" s="34" t="str">
        <x:v>cycle</x:v>
      </x:c>
      <x:c r="E224" s="34" t="str"/>
      <x:c r="F224" s="34" t="str">
        <x:v>integer</x:v>
      </x:c>
      <x:c r="G224" s="34" t="str">
        <x:v>results.json</x:v>
      </x:c>
      <x:c r="H224" s="44" t="str">
        <x:v>Valore cycle come registrato dalla campagna v4.2 (JSON schemaVersion 4).</x:v>
      </x:c>
    </x:row>
    <x:row r="225">
      <x:c r="A225" s="34" t="str">
        <x:v>QC Gates</x:v>
      </x:c>
      <x:c r="B225" s="34" t="str">
        <x:v>QualityGatesV4</x:v>
      </x:c>
      <x:c r="C225" s="34" t="str">
        <x:v>phase</x:v>
      </x:c>
      <x:c r="D225" s="34" t="str">
        <x:v>phase</x:v>
      </x:c>
      <x:c r="E225" s="34" t="str"/>
      <x:c r="F225" s="34" t="str">
        <x:v>text</x:v>
      </x:c>
      <x:c r="G225" s="34" t="str">
        <x:v>results.json</x:v>
      </x:c>
      <x:c r="H225" s="44" t="str">
        <x:v>Valore phase come registrato dalla campagna v4.2 (JSON schemaVersion 4).</x:v>
      </x:c>
    </x:row>
    <x:row r="226">
      <x:c r="A226" s="34" t="str">
        <x:v>QC Gates</x:v>
      </x:c>
      <x:c r="B226" s="34" t="str">
        <x:v>QualityGatesV4</x:v>
      </x:c>
      <x:c r="C226" s="34" t="str">
        <x:v>gateType</x:v>
      </x:c>
      <x:c r="D226" s="34" t="str">
        <x:v>gateType</x:v>
      </x:c>
      <x:c r="E226" s="34" t="str"/>
      <x:c r="F226" s="34" t="str">
        <x:v>text</x:v>
      </x:c>
      <x:c r="G226" s="34" t="str">
        <x:v>results.json</x:v>
      </x:c>
      <x:c r="H226" s="44" t="str">
        <x:v>Valore gateType come registrato dalla campagna v4.2 (JSON schemaVersion 4).</x:v>
      </x:c>
    </x:row>
    <x:row r="227">
      <x:c r="A227" s="34" t="str">
        <x:v>QC Gates</x:v>
      </x:c>
      <x:c r="B227" s="34" t="str">
        <x:v>QualityGatesV4</x:v>
      </x:c>
      <x:c r="C227" s="34" t="str">
        <x:v>block valid</x:v>
      </x:c>
      <x:c r="D227" s="34" t="str">
        <x:v>blockValid</x:v>
      </x:c>
      <x:c r="E227" s="34" t="str"/>
      <x:c r="F227" s="34" t="str">
        <x:v>boolean</x:v>
      </x:c>
      <x:c r="G227" s="34" t="str">
        <x:v>analysis.json</x:v>
      </x:c>
      <x:c r="H227" s="44" t="str">
        <x:v>Valore blockValid come registrato dalla campagna v4.2 (JSON schemaVersion 4).</x:v>
      </x:c>
    </x:row>
    <x:row r="228">
      <x:c r="A228" s="34" t="str">
        <x:v>QC Gates</x:v>
      </x:c>
      <x:c r="B228" s="34" t="str">
        <x:v>QualityGatesV4</x:v>
      </x:c>
      <x:c r="C228" s="34" t="str">
        <x:v>performance eligible</x:v>
      </x:c>
      <x:c r="D228" s="34" t="str">
        <x:v>performanceComparisonEligible</x:v>
      </x:c>
      <x:c r="E228" s="34" t="str"/>
      <x:c r="F228" s="34" t="str">
        <x:v>boolean</x:v>
      </x:c>
      <x:c r="G228" s="34" t="str">
        <x:v>results.json</x:v>
      </x:c>
      <x:c r="H228" s="44" t="str">
        <x:v>Valore performanceComparisonEligible come registrato dalla campagna v4.2 (JSON schemaVersion 4).</x:v>
      </x:c>
    </x:row>
    <x:row r="229">
      <x:c r="A229" s="34" t="str">
        <x:v>QC Gates</x:v>
      </x:c>
      <x:c r="B229" s="34" t="str">
        <x:v>QualityGatesV4</x:v>
      </x:c>
      <x:c r="C229" s="34" t="str">
        <x:v>operations completed (runner)</x:v>
      </x:c>
      <x:c r="D229" s="34" t="str">
        <x:v>completedOperations</x:v>
      </x:c>
      <x:c r="E229" s="34" t="str"/>
      <x:c r="F229" s="34" t="str">
        <x:v>boolean</x:v>
      </x:c>
      <x:c r="G229" s="34" t="str">
        <x:v>results.json</x:v>
      </x:c>
      <x:c r="H229" s="44" t="str">
        <x:v>Valore completedOperations come registrato dalla campagna v4.2 (JSON schemaVersion 4).</x:v>
      </x:c>
    </x:row>
    <x:row r="230">
      <x:c r="A230" s="34" t="str">
        <x:v>QC Gates</x:v>
      </x:c>
      <x:c r="B230" s="34" t="str">
        <x:v>QualityGatesV4</x:v>
      </x:c>
      <x:c r="C230" s="34" t="str">
        <x:v>required operations (runner)</x:v>
      </x:c>
      <x:c r="D230" s="34" t="str">
        <x:v>requiredOperations</x:v>
      </x:c>
      <x:c r="E230" s="34" t="str">
        <x:v>operation</x:v>
      </x:c>
      <x:c r="F230" s="34" t="str">
        <x:v>integer</x:v>
      </x:c>
      <x:c r="G230" s="34" t="str">
        <x:v>results.json</x:v>
      </x:c>
      <x:c r="H230" s="44" t="str">
        <x:v>Valore requiredOperations come registrato dalla campagna v4.2 (JSON schemaVersion 4).</x:v>
      </x:c>
    </x:row>
    <x:row r="231">
      <x:c r="A231" s="34" t="str">
        <x:v>QC Gates</x:v>
      </x:c>
      <x:c r="B231" s="34" t="str">
        <x:v>QualityGatesV4</x:v>
      </x:c>
      <x:c r="C231" s="34" t="str">
        <x:v>measured operations</x:v>
      </x:c>
      <x:c r="D231" s="34" t="str">
        <x:v>measuredOperations</x:v>
      </x:c>
      <x:c r="E231" s="34" t="str">
        <x:v>operation</x:v>
      </x:c>
      <x:c r="F231" s="34" t="str">
        <x:v>integer</x:v>
      </x:c>
      <x:c r="G231" s="34" t="str">
        <x:v>results.json</x:v>
      </x:c>
      <x:c r="H231" s="44" t="str">
        <x:v>Valore measuredOperations come registrato dalla campagna v4.2 (JSON schemaVersion 4).</x:v>
      </x:c>
    </x:row>
    <x:row r="232">
      <x:c r="A232" s="34" t="str">
        <x:v>QC Gates</x:v>
      </x:c>
      <x:c r="B232" s="34" t="str">
        <x:v>QualityGatesV4</x:v>
      </x:c>
      <x:c r="C232" s="34" t="str">
        <x:v>throughput (ops/s)</x:v>
      </x:c>
      <x:c r="D232" s="34" t="str">
        <x:v>operationsPerSecond</x:v>
      </x:c>
      <x:c r="E232" s="34" t="str">
        <x:v>operation/s</x:v>
      </x:c>
      <x:c r="F232" s="34" t="str">
        <x:v>number</x:v>
      </x:c>
      <x:c r="G232" s="34" t="str">
        <x:v>results.json</x:v>
      </x:c>
      <x:c r="H232" s="44" t="str">
        <x:v>Valore operationsPerSecond come registrato dalla campagna v4.2 (JSON schemaVersion 4).</x:v>
      </x:c>
    </x:row>
    <x:row r="233">
      <x:c r="A233" s="34" t="str">
        <x:v>QC Gates</x:v>
      </x:c>
      <x:c r="B233" s="34" t="str">
        <x:v>QualityGatesV4</x:v>
      </x:c>
      <x:c r="C233" s="34" t="str">
        <x:v>operation measurements valid (runner)</x:v>
      </x:c>
      <x:c r="D233" s="34" t="str">
        <x:v>operationMeasurementsValid</x:v>
      </x:c>
      <x:c r="E233" s="34" t="str"/>
      <x:c r="F233" s="34" t="str">
        <x:v>boolean</x:v>
      </x:c>
      <x:c r="G233" s="34" t="str">
        <x:v>results.json</x:v>
      </x:c>
      <x:c r="H233" s="44" t="str">
        <x:v>Valore operationMeasurementsValid come registrato dalla campagna v4.2 (JSON schemaVersion 4).</x:v>
      </x:c>
    </x:row>
    <x:row r="234">
      <x:c r="A234" s="34" t="str">
        <x:v>QC Gates</x:v>
      </x:c>
      <x:c r="B234" s="34" t="str">
        <x:v>QualityGatesV4</x:v>
      </x:c>
      <x:c r="C234" s="34" t="str">
        <x:v>metric checkpoints valid (runner)</x:v>
      </x:c>
      <x:c r="D234" s="34" t="str">
        <x:v>providerMetricCheckpointsValid</x:v>
      </x:c>
      <x:c r="E234" s="34" t="str"/>
      <x:c r="F234" s="34" t="str">
        <x:v>boolean</x:v>
      </x:c>
      <x:c r="G234" s="34" t="str">
        <x:v>results.json</x:v>
      </x:c>
      <x:c r="H234" s="44" t="str">
        <x:v>Valore providerMetricCheckpointsValid come registrato dalla campagna v4.2 (JSON schemaVersion 4).</x:v>
      </x:c>
    </x:row>
    <x:row r="235">
      <x:c r="A235" s="34" t="str">
        <x:v>QC Gates</x:v>
      </x:c>
      <x:c r="B235" s="34" t="str">
        <x:v>QualityGatesV4</x:v>
      </x:c>
      <x:c r="C235" s="34" t="str">
        <x:v>legacy metrics = post-write</x:v>
      </x:c>
      <x:c r="D235" s="34" t="str">
        <x:v>providerMetricsAliasMatchesPostWrite</x:v>
      </x:c>
      <x:c r="E235" s="34" t="str"/>
      <x:c r="F235" s="34" t="str">
        <x:v>boolean</x:v>
      </x:c>
      <x:c r="G235" s="34" t="str">
        <x:v>results.json</x:v>
      </x:c>
      <x:c r="H235" s="44" t="str">
        <x:v>Controllo strutturale del builder sull'alias providerMetrics.</x:v>
      </x:c>
    </x:row>
    <x:row r="236">
      <x:c r="A236" s="34" t="str">
        <x:v>QC Gates</x:v>
      </x:c>
      <x:c r="B236" s="34" t="str">
        <x:v>QualityGatesV4</x:v>
      </x:c>
      <x:c r="C236" s="34" t="str">
        <x:v>requested duration (ns)</x:v>
      </x:c>
      <x:c r="D236" s="34" t="str">
        <x:v>requestedMeasurementNanos</x:v>
      </x:c>
      <x:c r="E236" s="34" t="str">
        <x:v>ns</x:v>
      </x:c>
      <x:c r="F236" s="34" t="str">
        <x:v>duration</x:v>
      </x:c>
      <x:c r="G236" s="34" t="str">
        <x:v>results.json</x:v>
      </x:c>
      <x:c r="H236" s="44" t="str">
        <x:v>Valore requestedMeasurementNanos come registrato dalla campagna v4.2 (JSON schemaVersion 4).</x:v>
      </x:c>
    </x:row>
    <x:row r="237">
      <x:c r="A237" s="34" t="str">
        <x:v>QC Gates</x:v>
      </x:c>
      <x:c r="B237" s="34" t="str">
        <x:v>QualityGatesV4</x:v>
      </x:c>
      <x:c r="C237" s="34" t="str">
        <x:v>observed duration (ns)</x:v>
      </x:c>
      <x:c r="D237" s="34" t="str">
        <x:v>observedMeasurementNanos</x:v>
      </x:c>
      <x:c r="E237" s="34" t="str">
        <x:v>ns</x:v>
      </x:c>
      <x:c r="F237" s="34" t="str">
        <x:v>duration</x:v>
      </x:c>
      <x:c r="G237" s="34" t="str">
        <x:v>results.json</x:v>
      </x:c>
      <x:c r="H237" s="44" t="str">
        <x:v>Valore observedMeasurementNanos come registrato dalla campagna v4.2 (JSON schemaVersion 4).</x:v>
      </x:c>
    </x:row>
    <x:row r="238">
      <x:c r="A238" s="34" t="str">
        <x:v>QC Gates</x:v>
      </x:c>
      <x:c r="B238" s="34" t="str">
        <x:v>QualityGatesV4</x:v>
      </x:c>
      <x:c r="C238" s="34" t="str">
        <x:v>duration gate (runner)</x:v>
      </x:c>
      <x:c r="D238" s="34" t="str">
        <x:v>measurementDurationPassed</x:v>
      </x:c>
      <x:c r="E238" s="34" t="str"/>
      <x:c r="F238" s="34" t="str">
        <x:v>boolean</x:v>
      </x:c>
      <x:c r="G238" s="34" t="str">
        <x:v>results.json</x:v>
      </x:c>
      <x:c r="H238" s="44" t="str">
        <x:v>Valore measurementDurationPassed come registrato dalla campagna v4.2 (JSON schemaVersion 4).</x:v>
      </x:c>
    </x:row>
    <x:row r="239">
      <x:c r="A239" s="34" t="str">
        <x:v>QC Gates</x:v>
      </x:c>
      <x:c r="B239" s="34" t="str">
        <x:v>QualityGatesV4</x:v>
      </x:c>
      <x:c r="C239" s="34" t="str">
        <x:v>workload</x:v>
      </x:c>
      <x:c r="D239" s="34" t="str">
        <x:v>workloadType</x:v>
      </x:c>
      <x:c r="E239" s="34" t="str"/>
      <x:c r="F239" s="34" t="str">
        <x:v>text</x:v>
      </x:c>
      <x:c r="G239" s="34" t="str">
        <x:v>results.json</x:v>
      </x:c>
      <x:c r="H239" s="44" t="str">
        <x:v>Valore workloadType come registrato dalla campagna v4.2 (JSON schemaVersion 4).</x:v>
      </x:c>
    </x:row>
    <x:row r="240">
      <x:c r="A240" s="34" t="str">
        <x:v>QC Gates</x:v>
      </x:c>
      <x:c r="B240" s="34" t="str">
        <x:v>QualityGatesV4</x:v>
      </x:c>
      <x:c r="C240" s="34" t="str">
        <x:v>target hit rate (%)</x:v>
      </x:c>
      <x:c r="D240" s="34" t="str">
        <x:v>configuredHitPercent</x:v>
      </x:c>
      <x:c r="E240" s="34" t="str">
        <x:v>%</x:v>
      </x:c>
      <x:c r="F240" s="34" t="str">
        <x:v>number</x:v>
      </x:c>
      <x:c r="G240" s="34" t="str">
        <x:v>results.json</x:v>
      </x:c>
      <x:c r="H240" s="44" t="str">
        <x:v>Valore configuredHitPercent come registrato dalla campagna v4.2 (JSON schemaVersion 4).</x:v>
      </x:c>
    </x:row>
    <x:row r="241">
      <x:c r="A241" s="34" t="str">
        <x:v>QC Gates</x:v>
      </x:c>
      <x:c r="B241" s="34" t="str">
        <x:v>QualityGatesV4</x:v>
      </x:c>
      <x:c r="C241" s="34" t="str">
        <x:v>expected hit rate</x:v>
      </x:c>
      <x:c r="D241" s="34" t="str">
        <x:v>expectedHitRate</x:v>
      </x:c>
      <x:c r="E241" s="34" t="str">
        <x:v>fraction</x:v>
      </x:c>
      <x:c r="F241" s="34" t="str">
        <x:v>percent</x:v>
      </x:c>
      <x:c r="G241" s="34" t="str">
        <x:v>results.json</x:v>
      </x:c>
      <x:c r="H241" s="44" t="str">
        <x:v>Valore expectedHitRate come registrato dalla campagna v4.2 (JSON schemaVersion 4).</x:v>
      </x:c>
    </x:row>
    <x:row r="242">
      <x:c r="A242" s="34" t="str">
        <x:v>QC Gates</x:v>
      </x:c>
      <x:c r="B242" s="34" t="str">
        <x:v>QualityGatesV4</x:v>
      </x:c>
      <x:c r="C242" s="34" t="str">
        <x:v>observed hit rate</x:v>
      </x:c>
      <x:c r="D242" s="34" t="str">
        <x:v>observedHitRate</x:v>
      </x:c>
      <x:c r="E242" s="34" t="str">
        <x:v>fraction</x:v>
      </x:c>
      <x:c r="F242" s="34" t="str">
        <x:v>percent</x:v>
      </x:c>
      <x:c r="G242" s="34" t="str">
        <x:v>results.json</x:v>
      </x:c>
      <x:c r="H242" s="44" t="str">
        <x:v>Valore observedHitRate come registrato dalla campagna v4.2 (JSON schemaVersion 4).</x:v>
      </x:c>
    </x:row>
    <x:row r="243">
      <x:c r="A243" s="34" t="str">
        <x:v>QC Gates</x:v>
      </x:c>
      <x:c r="B243" s="34" t="str">
        <x:v>QualityGatesV4</x:v>
      </x:c>
      <x:c r="C243" s="34" t="str">
        <x:v>hit-rate gate (runner)</x:v>
      </x:c>
      <x:c r="D243" s="34" t="str">
        <x:v>hitRateWithinHalfPercentagePoint</x:v>
      </x:c>
      <x:c r="E243" s="34" t="str"/>
      <x:c r="F243" s="34" t="str">
        <x:v>boolean</x:v>
      </x:c>
      <x:c r="G243" s="34" t="str">
        <x:v>results.json</x:v>
      </x:c>
      <x:c r="H243" s="44" t="str">
        <x:v>Valore hitRateWithinHalfPercentagePoint come registrato dalla campagna v4.2 (JSON schemaVersion 4).</x:v>
      </x:c>
    </x:row>
    <x:row r="244">
      <x:c r="A244" s="34" t="str">
        <x:v>QC Gates</x:v>
      </x:c>
      <x:c r="B244" s="34" t="str">
        <x:v>QualityGatesV4</x:v>
      </x:c>
      <x:c r="C244" s="34" t="str">
        <x:v>configured entries</x:v>
      </x:c>
      <x:c r="D244" s="34" t="str">
        <x:v>configuredEntries</x:v>
      </x:c>
      <x:c r="E244" s="34" t="str">
        <x:v>entry</x:v>
      </x:c>
      <x:c r="F244" s="34" t="str">
        <x:v>integer</x:v>
      </x:c>
      <x:c r="G244" s="34" t="str">
        <x:v>results.json</x:v>
      </x:c>
      <x:c r="H244" s="44" t="str">
        <x:v>Valore configuredEntries come registrato dalla campagna v4.2 (JSON schemaVersion 4).</x:v>
      </x:c>
    </x:row>
    <x:row r="245">
      <x:c r="A245" s="34" t="str">
        <x:v>QC Gates</x:v>
      </x:c>
      <x:c r="B245" s="34" t="str">
        <x:v>QualityGatesV4</x:v>
      </x:c>
      <x:c r="C245" s="34" t="str">
        <x:v>minimum entries after workload</x:v>
      </x:c>
      <x:c r="D245" s="34" t="str">
        <x:v>minimumExpectedEntriesAfterWorkload</x:v>
      </x:c>
      <x:c r="E245" s="34" t="str">
        <x:v>entry</x:v>
      </x:c>
      <x:c r="F245" s="34" t="str">
        <x:v>integer</x:v>
      </x:c>
      <x:c r="G245" s="34" t="str">
        <x:v>results.json</x:v>
      </x:c>
      <x:c r="H245" s="44" t="str">
        <x:v>Valore minimumExpectedEntriesAfterWorkload come registrato dalla campagna v4.2 (JSON schemaVersion 4).</x:v>
      </x:c>
    </x:row>
    <x:row r="246">
      <x:c r="A246" s="34" t="str">
        <x:v>QC Gates</x:v>
      </x:c>
      <x:c r="B246" s="34" t="str">
        <x:v>QualityGatesV4</x:v>
      </x:c>
      <x:c r="C246" s="34" t="str">
        <x:v>entries after workload</x:v>
      </x:c>
      <x:c r="D246" s="34" t="str">
        <x:v>observedEntriesAfterWorkload</x:v>
      </x:c>
      <x:c r="E246" s="34" t="str">
        <x:v>entry</x:v>
      </x:c>
      <x:c r="F246" s="34" t="str">
        <x:v>integer</x:v>
      </x:c>
      <x:c r="G246" s="34" t="str">
        <x:v>results.json</x:v>
      </x:c>
      <x:c r="H246" s="44" t="str">
        <x:v>Valore observedEntriesAfterWorkload come registrato dalla campagna v4.2 (JSON schemaVersion 4).</x:v>
      </x:c>
    </x:row>
    <x:row r="247">
      <x:c r="A247" s="34" t="str">
        <x:v>QC Gates</x:v>
      </x:c>
      <x:c r="B247" s="34" t="str">
        <x:v>QualityGatesV4</x:v>
      </x:c>
      <x:c r="C247" s="34" t="str">
        <x:v>post-workload capacity (runner)</x:v>
      </x:c>
      <x:c r="D247" s="34" t="str">
        <x:v>capacityAfterWorkloadPassed</x:v>
      </x:c>
      <x:c r="E247" s="34" t="str"/>
      <x:c r="F247" s="34" t="str">
        <x:v>boolean</x:v>
      </x:c>
      <x:c r="G247" s="34" t="str">
        <x:v>results.json</x:v>
      </x:c>
      <x:c r="H247" s="44" t="str">
        <x:v>Valore capacityAfterWorkloadPassed come registrato dalla campagna v4.2 (JSON schemaVersion 4).</x:v>
      </x:c>
    </x:row>
    <x:row r="248">
      <x:c r="A248" s="34" t="str">
        <x:v>QC Gates</x:v>
      </x:c>
      <x:c r="B248" s="34" t="str">
        <x:v>QualityGatesV4</x:v>
      </x:c>
      <x:c r="C248" s="34" t="str">
        <x:v>minimum entries after write probe</x:v>
      </x:c>
      <x:c r="D248" s="34" t="str">
        <x:v>minimumExpectedEntriesAfterWriteProbe</x:v>
      </x:c>
      <x:c r="E248" s="34" t="str">
        <x:v>entry</x:v>
      </x:c>
      <x:c r="F248" s="34" t="str">
        <x:v>integer</x:v>
      </x:c>
      <x:c r="G248" s="34" t="str">
        <x:v>results.json</x:v>
      </x:c>
      <x:c r="H248" s="44" t="str">
        <x:v>Valore minimumExpectedEntriesAfterWriteProbe come registrato dalla campagna v4.2 (JSON schemaVersion 4).</x:v>
      </x:c>
    </x:row>
    <x:row r="249">
      <x:c r="A249" s="34" t="str">
        <x:v>QC Gates</x:v>
      </x:c>
      <x:c r="B249" s="34" t="str">
        <x:v>QualityGatesV4</x:v>
      </x:c>
      <x:c r="C249" s="34" t="str">
        <x:v>expected stored entries</x:v>
      </x:c>
      <x:c r="D249" s="34" t="str">
        <x:v>expectedStoredEntries</x:v>
      </x:c>
      <x:c r="E249" s="34" t="str">
        <x:v>entry</x:v>
      </x:c>
      <x:c r="F249" s="34" t="str">
        <x:v>integer</x:v>
      </x:c>
      <x:c r="G249" s="34" t="str">
        <x:v>results.json</x:v>
      </x:c>
      <x:c r="H249" s="44" t="str">
        <x:v>Valore expectedStoredEntries come registrato dalla campagna v4.2 (JSON schemaVersion 4).</x:v>
      </x:c>
    </x:row>
    <x:row r="250">
      <x:c r="A250" s="34" t="str">
        <x:v>QC Gates</x:v>
      </x:c>
      <x:c r="B250" s="34" t="str">
        <x:v>QualityGatesV4</x:v>
      </x:c>
      <x:c r="C250" s="34" t="str">
        <x:v>entries after write probe</x:v>
      </x:c>
      <x:c r="D250" s="34" t="str">
        <x:v>observedEntriesAfterWriteProbe</x:v>
      </x:c>
      <x:c r="E250" s="34" t="str">
        <x:v>entry</x:v>
      </x:c>
      <x:c r="F250" s="34" t="str">
        <x:v>integer</x:v>
      </x:c>
      <x:c r="G250" s="34" t="str">
        <x:v>results.json</x:v>
      </x:c>
      <x:c r="H250" s="44" t="str">
        <x:v>Valore observedEntriesAfterWriteProbe come registrato dalla campagna v4.2 (JSON schemaVersion 4).</x:v>
      </x:c>
    </x:row>
    <x:row r="251">
      <x:c r="A251" s="34" t="str">
        <x:v>QC Gates</x:v>
      </x:c>
      <x:c r="B251" s="34" t="str">
        <x:v>QualityGatesV4</x:v>
      </x:c>
      <x:c r="C251" s="34" t="str">
        <x:v>post-write capacity (runner)</x:v>
      </x:c>
      <x:c r="D251" s="34" t="str">
        <x:v>capacityAfterWriteProbePassed</x:v>
      </x:c>
      <x:c r="E251" s="34" t="str"/>
      <x:c r="F251" s="34" t="str">
        <x:v>boolean</x:v>
      </x:c>
      <x:c r="G251" s="34" t="str">
        <x:v>results.json</x:v>
      </x:c>
      <x:c r="H251" s="44" t="str">
        <x:v>Valore capacityAfterWriteProbePassed come registrato dalla campagna v4.2 (JSON schemaVersion 4).</x:v>
      </x:c>
    </x:row>
    <x:row r="252">
      <x:c r="A252" s="34" t="str">
        <x:v>QC Gates</x:v>
      </x:c>
      <x:c r="B252" s="34" t="str">
        <x:v>QualityGatesV4</x:v>
      </x:c>
      <x:c r="C252" s="34" t="str">
        <x:v>both capacity gates (runner)</x:v>
      </x:c>
      <x:c r="D252" s="34" t="str">
        <x:v>capacityCheckPassed</x:v>
      </x:c>
      <x:c r="E252" s="34" t="str"/>
      <x:c r="F252" s="34" t="str">
        <x:v>boolean</x:v>
      </x:c>
      <x:c r="G252" s="34" t="str">
        <x:v>results.json</x:v>
      </x:c>
      <x:c r="H252" s="44" t="str">
        <x:v>AND dei checkpoint post-workload e post-write.</x:v>
      </x:c>
    </x:row>
    <x:row r="253">
      <x:c r="A253" s="34" t="str">
        <x:v>QC Gates</x:v>
      </x:c>
      <x:c r="B253" s="34" t="str">
        <x:v>QualityGatesV4</x:v>
      </x:c>
      <x:c r="C253" s="34" t="str">
        <x:v>no entries retained (runner)</x:v>
      </x:c>
      <x:c r="D253" s="34" t="str">
        <x:v>noEntriesRetained</x:v>
      </x:c>
      <x:c r="E253" s="34" t="str"/>
      <x:c r="F253" s="34" t="str">
        <x:v>boolean</x:v>
      </x:c>
      <x:c r="G253" s="34" t="str">
        <x:v>results.json</x:v>
      </x:c>
      <x:c r="H253" s="44" t="str">
        <x:v>Valore noEntriesRetained come registrato dalla campagna v4.2 (JSON schemaVersion 4).</x:v>
      </x:c>
    </x:row>
    <x:row r="254">
      <x:c r="A254" s="34" t="str">
        <x:v>QC Gates</x:v>
      </x:c>
      <x:c r="B254" s="34" t="str">
        <x:v>QualityGatesV4</x:v>
      </x:c>
      <x:c r="C254" s="34" t="str">
        <x:v>no-store hit rate</x:v>
      </x:c>
      <x:c r="D254" s="34" t="str">
        <x:v>noStoreHitRate</x:v>
      </x:c>
      <x:c r="E254" s="34" t="str">
        <x:v>fraction</x:v>
      </x:c>
      <x:c r="F254" s="34" t="str">
        <x:v>percent</x:v>
      </x:c>
      <x:c r="G254" s="34" t="str">
        <x:v>results.json</x:v>
      </x:c>
      <x:c r="H254" s="44" t="str">
        <x:v>Valore noStoreHitRate come registrato dalla campagna v4.2 (JSON schemaVersion 4).</x:v>
      </x:c>
    </x:row>
    <x:row r="255">
      <x:c r="A255" s="34" t="str">
        <x:v>QC Gates</x:v>
      </x:c>
      <x:c r="B255" s="34" t="str">
        <x:v>QualityGatesV4</x:v>
      </x:c>
      <x:c r="C255" s="34" t="str">
        <x:v>zero-hits gate (runner)</x:v>
      </x:c>
      <x:c r="D255" s="34" t="str">
        <x:v>zeroHits</x:v>
      </x:c>
      <x:c r="E255" s="34" t="str"/>
      <x:c r="F255" s="34" t="str">
        <x:v>boolean</x:v>
      </x:c>
      <x:c r="G255" s="34" t="str">
        <x:v>results.json</x:v>
      </x:c>
      <x:c r="H255" s="44" t="str">
        <x:v>Valore zeroHits come registrato dalla campagna v4.2 (JSON schemaVersion 4).</x:v>
      </x:c>
    </x:row>
    <x:row r="256">
      <x:c r="A256" s="34" t="str">
        <x:v>QC Gates</x:v>
      </x:c>
      <x:c r="B256" s="34" t="str">
        <x:v>QualityGatesV4</x:v>
      </x:c>
      <x:c r="C256" s="34" t="str">
        <x:v>single-flight applicable</x:v>
      </x:c>
      <x:c r="D256" s="34" t="str">
        <x:v>singleFlightGateApplicable</x:v>
      </x:c>
      <x:c r="E256" s="34" t="str"/>
      <x:c r="F256" s="34" t="str">
        <x:v>boolean</x:v>
      </x:c>
      <x:c r="G256" s="34" t="str">
        <x:v>results.json</x:v>
      </x:c>
      <x:c r="H256" s="44" t="str">
        <x:v>Valore singleFlightGateApplicable come registrato dalla campagna v4.2 (JSON schemaVersion 4).</x:v>
      </x:c>
    </x:row>
    <x:row r="257">
      <x:c r="A257" s="34" t="str">
        <x:v>QC Gates</x:v>
      </x:c>
      <x:c r="B257" s="34" t="str">
        <x:v>QualityGatesV4</x:v>
      </x:c>
      <x:c r="C257" s="34" t="str">
        <x:v>loader calls under contention</x:v>
      </x:c>
      <x:c r="D257" s="34" t="str">
        <x:v>loaderInvocationsUnderContention</x:v>
      </x:c>
      <x:c r="E257" s="34" t="str">
        <x:v>call</x:v>
      </x:c>
      <x:c r="F257" s="34" t="str">
        <x:v>integer</x:v>
      </x:c>
      <x:c r="G257" s="34" t="str">
        <x:v>results.json</x:v>
      </x:c>
      <x:c r="H257" s="44" t="str">
        <x:v>Valore loaderInvocationsUnderContention come registrato dalla campagna v4.2 (JSON schemaVersion 4).</x:v>
      </x:c>
    </x:row>
    <x:row r="258">
      <x:c r="A258" s="34" t="str">
        <x:v>QC Gates</x:v>
      </x:c>
      <x:c r="B258" s="34" t="str">
        <x:v>QualityGatesV4</x:v>
      </x:c>
      <x:c r="C258" s="34" t="str">
        <x:v>single-flight gate (runner)</x:v>
      </x:c>
      <x:c r="D258" s="34" t="str">
        <x:v>singleFlightPassed</x:v>
      </x:c>
      <x:c r="E258" s="34" t="str"/>
      <x:c r="F258" s="34" t="str">
        <x:v>boolean</x:v>
      </x:c>
      <x:c r="G258" s="34" t="str">
        <x:v>results.json</x:v>
      </x:c>
      <x:c r="H258" s="44" t="str">
        <x:v>Valore singleFlightPassed come registrato dalla campagna v4.2 (JSON schemaVersion 4).</x:v>
      </x:c>
    </x:row>
    <x:row r="259">
      <x:c r="A259" s="34" t="str">
        <x:v>QC Gates</x:v>
      </x:c>
      <x:c r="B259" s="34" t="str">
        <x:v>QualityGatesV4</x:v>
      </x:c>
      <x:c r="C259" s="34" t="str">
        <x:v>runner gate result</x:v>
      </x:c>
      <x:c r="D259" s="34" t="str">
        <x:v>runnerPassed</x:v>
      </x:c>
      <x:c r="E259" s="34" t="str"/>
      <x:c r="F259" s="34" t="str">
        <x:v>boolean</x:v>
      </x:c>
      <x:c r="G259" s="34" t="str">
        <x:v>results.json</x:v>
      </x:c>
      <x:c r="H259" s="44" t="str">
        <x:v>Valore runnerPassed come registrato dalla campagna v4.2 (JSON schemaVersion 4).</x:v>
      </x:c>
    </x:row>
    <x:row r="260">
      <x:c r="A260" s="34" t="str">
        <x:v>QC Gates</x:v>
      </x:c>
      <x:c r="B260" s="34" t="str">
        <x:v>QualityGatesV4</x:v>
      </x:c>
      <x:c r="C260" s="34" t="str">
        <x:v>observed duration (s, formula)</x:v>
      </x:c>
      <x:c r="D260" s="34" t="str">
        <x:v>observedMeasurementSecondsFormula</x:v>
      </x:c>
      <x:c r="E260" s="34" t="str">
        <x:v>s</x:v>
      </x:c>
      <x:c r="F260" s="34" t="str">
        <x:v>duration</x:v>
      </x:c>
      <x:c r="G260" s="34" t="str">
        <x:v>Formula workbook</x:v>
      </x:c>
      <x:c r="H260" s="44" t="str">
        <x:v>Valore observedMeasurementSecondsFormula come registrato dalla campagna v4.2 (JSON schemaVersion 4).</x:v>
      </x:c>
    </x:row>
    <x:row r="261">
      <x:c r="A261" s="34" t="str">
        <x:v>QC Gates</x:v>
      </x:c>
      <x:c r="B261" s="34" t="str">
        <x:v>QualityGatesV4</x:v>
      </x:c>
      <x:c r="C261" s="34" t="str">
        <x:v>observed/requested (formula)</x:v>
      </x:c>
      <x:c r="D261" s="34" t="str">
        <x:v>durationRatioFormula</x:v>
      </x:c>
      <x:c r="E261" s="34" t="str"/>
      <x:c r="F261" s="34" t="str">
        <x:v>number</x:v>
      </x:c>
      <x:c r="G261" s="34" t="str">
        <x:v>Formula workbook</x:v>
      </x:c>
      <x:c r="H261" s="44" t="str">
        <x:v>Valore durationRatioFormula come registrato dalla campagna v4.2 (JSON schemaVersion 4).</x:v>
      </x:c>
    </x:row>
    <x:row r="262">
      <x:c r="A262" s="34" t="str">
        <x:v>QC Gates</x:v>
      </x:c>
      <x:c r="B262" s="34" t="str">
        <x:v>QualityGatesV4</x:v>
      </x:c>
      <x:c r="C262" s="34" t="str">
        <x:v>|hit-rate Δ| (pp, formula)</x:v>
      </x:c>
      <x:c r="D262" s="34" t="str">
        <x:v>absoluteHitRateDeltaPpFormula</x:v>
      </x:c>
      <x:c r="E262" s="34" t="str">
        <x:v>percentage point</x:v>
      </x:c>
      <x:c r="F262" s="34" t="str">
        <x:v>number</x:v>
      </x:c>
      <x:c r="G262" s="34" t="str">
        <x:v>Formula workbook</x:v>
      </x:c>
      <x:c r="H262" s="44" t="str">
        <x:v>Valore absoluteHitRateDeltaPpFormula come registrato dalla campagna v4.2 (JSON schemaVersion 4).</x:v>
      </x:c>
    </x:row>
    <x:row r="263">
      <x:c r="A263" s="34" t="str">
        <x:v>QC Gates</x:v>
      </x:c>
      <x:c r="B263" s="34" t="str">
        <x:v>QualityGatesV4</x:v>
      </x:c>
      <x:c r="C263" s="34" t="str">
        <x:v>operation measurements valid (formula)</x:v>
      </x:c>
      <x:c r="D263" s="34" t="str">
        <x:v>operationMeasurementsValidRecomputedFormula</x:v>
      </x:c>
      <x:c r="E263" s="34" t="str"/>
      <x:c r="F263" s="34" t="str">
        <x:v>boolean</x:v>
      </x:c>
      <x:c r="G263" s="34" t="str">
        <x:v>Formula workbook</x:v>
      </x:c>
      <x:c r="H263" s="44" t="str">
        <x:v>Richieste &gt; 0, misurate &gt;= 0 e throughput finito positivo.</x:v>
      </x:c>
    </x:row>
    <x:row r="264">
      <x:c r="A264" s="34" t="str">
        <x:v>QC Gates</x:v>
      </x:c>
      <x:c r="B264" s="34" t="str">
        <x:v>QualityGatesV4</x:v>
      </x:c>
      <x:c r="C264" s="34" t="str">
        <x:v>operations completed (numeric formula)</x:v>
      </x:c>
      <x:c r="D264" s="34" t="str">
        <x:v>completedOperationsRecomputedFormula</x:v>
      </x:c>
      <x:c r="E264" s="34" t="str"/>
      <x:c r="F264" s="34" t="str">
        <x:v>boolean</x:v>
      </x:c>
      <x:c r="G264" s="34" t="str">
        <x:v>Formula workbook</x:v>
      </x:c>
      <x:c r="H264" s="44" t="str">
        <x:v>Misurazioni valide e measuredOperations &gt;= requiredOperations.</x:v>
      </x:c>
    </x:row>
    <x:row r="265">
      <x:c r="A265" s="34" t="str">
        <x:v>QC Gates</x:v>
      </x:c>
      <x:c r="B265" s="34" t="str">
        <x:v>QualityGatesV4</x:v>
      </x:c>
      <x:c r="C265" s="34" t="str">
        <x:v>duration gate (numeric formula)</x:v>
      </x:c>
      <x:c r="D265" s="34" t="str">
        <x:v>durationGateRecomputedFormula</x:v>
      </x:c>
      <x:c r="E265" s="34" t="str"/>
      <x:c r="F265" s="34" t="str">
        <x:v>boolean</x:v>
      </x:c>
      <x:c r="G265" s="34" t="str">
        <x:v>Formula workbook</x:v>
      </x:c>
      <x:c r="H265" s="44" t="str">
        <x:v>requested=0 oppure observed&gt;=requested.</x:v>
      </x:c>
    </x:row>
    <x:row r="266">
      <x:c r="A266" s="34" t="str">
        <x:v>QC Gates</x:v>
      </x:c>
      <x:c r="B266" s="34" t="str">
        <x:v>QualityGatesV4</x:v>
      </x:c>
      <x:c r="C266" s="34" t="str">
        <x:v>hit-rate gate (numeric formula)</x:v>
      </x:c>
      <x:c r="D266" s="34" t="str">
        <x:v>hitRateGateRecomputedFormula</x:v>
      </x:c>
      <x:c r="E266" s="34" t="str"/>
      <x:c r="F266" s="34" t="str">
        <x:v>boolean</x:v>
      </x:c>
      <x:c r="G266" s="34" t="str">
        <x:v>Formula workbook</x:v>
      </x:c>
      <x:c r="H266" s="44" t="str">
        <x:v>Per uniform: scarto assoluto dal target &lt;= 0,005; per altri workload il controllo è non applicabile e restituisce TRUE.</x:v>
      </x:c>
    </x:row>
    <x:row r="267">
      <x:c r="A267" s="34" t="str">
        <x:v>QC Gates</x:v>
      </x:c>
      <x:c r="B267" s="34" t="str">
        <x:v>QualityGatesV4</x:v>
      </x:c>
      <x:c r="C267" s="34" t="str">
        <x:v>minimum entries (numeric formula)</x:v>
      </x:c>
      <x:c r="D267" s="34" t="str">
        <x:v>minimumEntriesRecomputedFormula</x:v>
      </x:c>
      <x:c r="E267" s="34" t="str">
        <x:v>entry</x:v>
      </x:c>
      <x:c r="F267" s="34" t="str">
        <x:v>integer</x:v>
      </x:c>
      <x:c r="G267" s="34" t="str">
        <x:v>Formula workbook</x:v>
      </x:c>
      <x:c r="H267" s="44" t="str">
        <x:v>INT(configuredEntries*0,99).</x:v>
      </x:c>
    </x:row>
    <x:row r="268">
      <x:c r="A268" s="34" t="str">
        <x:v>QC Gates</x:v>
      </x:c>
      <x:c r="B268" s="34" t="str">
        <x:v>QualityGatesV4</x:v>
      </x:c>
      <x:c r="C268" s="34" t="str">
        <x:v>post-workload minimum = runner</x:v>
      </x:c>
      <x:c r="D268" s="34" t="str">
        <x:v>minimumEntriesAfterWorkloadMatchesRunnerFormula</x:v>
      </x:c>
      <x:c r="E268" s="34" t="str"/>
      <x:c r="F268" s="34" t="str">
        <x:v>boolean</x:v>
      </x:c>
      <x:c r="G268" s="34" t="str">
        <x:v>Formula workbook</x:v>
      </x:c>
      <x:c r="H268" s="44" t="str">
        <x:v>Valore minimumEntriesAfterWorkloadMatchesRunnerFormula come registrato dalla campagna v4.2 (JSON schemaVersion 4).</x:v>
      </x:c>
    </x:row>
    <x:row r="269">
      <x:c r="A269" s="34" t="str">
        <x:v>QC Gates</x:v>
      </x:c>
      <x:c r="B269" s="34" t="str">
        <x:v>QualityGatesV4</x:v>
      </x:c>
      <x:c r="C269" s="34" t="str">
        <x:v>post-write minimum = runner</x:v>
      </x:c>
      <x:c r="D269" s="34" t="str">
        <x:v>minimumEntriesAfterWriteProbeMatchesRunnerFormula</x:v>
      </x:c>
      <x:c r="E269" s="34" t="str"/>
      <x:c r="F269" s="34" t="str">
        <x:v>boolean</x:v>
      </x:c>
      <x:c r="G269" s="34" t="str">
        <x:v>Formula workbook</x:v>
      </x:c>
      <x:c r="H269" s="44" t="str">
        <x:v>Valore minimumEntriesAfterWriteProbeMatchesRunnerFormula come registrato dalla campagna v4.2 (JSON schemaVersion 4).</x:v>
      </x:c>
    </x:row>
    <x:row r="270">
      <x:c r="A270" s="34" t="str">
        <x:v>QC Gates</x:v>
      </x:c>
      <x:c r="B270" s="34" t="str">
        <x:v>QualityGatesV4</x:v>
      </x:c>
      <x:c r="C270" s="34" t="str">
        <x:v>post-workload capacity (formula)</x:v>
      </x:c>
      <x:c r="D270" s="34" t="str">
        <x:v>capacityAfterWorkloadRecomputedFormula</x:v>
      </x:c>
      <x:c r="E270" s="34" t="str"/>
      <x:c r="F270" s="34" t="str">
        <x:v>boolean</x:v>
      </x:c>
      <x:c r="G270" s="34" t="str">
        <x:v>Formula workbook</x:v>
      </x:c>
      <x:c r="H270" s="44" t="str">
        <x:v>Valore capacityAfterWorkloadRecomputedFormula come registrato dalla campagna v4.2 (JSON schemaVersion 4).</x:v>
      </x:c>
    </x:row>
    <x:row r="271">
      <x:c r="A271" s="34" t="str">
        <x:v>QC Gates</x:v>
      </x:c>
      <x:c r="B271" s="34" t="str">
        <x:v>QualityGatesV4</x:v>
      </x:c>
      <x:c r="C271" s="34" t="str">
        <x:v>post-write capacity (formula)</x:v>
      </x:c>
      <x:c r="D271" s="34" t="str">
        <x:v>capacityAfterWriteProbeRecomputedFormula</x:v>
      </x:c>
      <x:c r="E271" s="34" t="str"/>
      <x:c r="F271" s="34" t="str">
        <x:v>boolean</x:v>
      </x:c>
      <x:c r="G271" s="34" t="str">
        <x:v>Formula workbook</x:v>
      </x:c>
      <x:c r="H271" s="44" t="str">
        <x:v>Valore capacityAfterWriteProbeRecomputedFormula come registrato dalla campagna v4.2 (JSON schemaVersion 4).</x:v>
      </x:c>
    </x:row>
    <x:row r="272">
      <x:c r="A272" s="34" t="str">
        <x:v>QC Gates</x:v>
      </x:c>
      <x:c r="B272" s="34" t="str">
        <x:v>QualityGatesV4</x:v>
      </x:c>
      <x:c r="C272" s="34" t="str">
        <x:v>both capacity gates (formula)</x:v>
      </x:c>
      <x:c r="D272" s="34" t="str">
        <x:v>capacityGateRecomputedFormula</x:v>
      </x:c>
      <x:c r="E272" s="34" t="str"/>
      <x:c r="F272" s="34" t="str">
        <x:v>boolean</x:v>
      </x:c>
      <x:c r="G272" s="34" t="str">
        <x:v>Formula workbook</x:v>
      </x:c>
      <x:c r="H272" s="44" t="str">
        <x:v>AND dei due checkpoint di capacità.</x:v>
      </x:c>
    </x:row>
    <x:row r="273">
      <x:c r="A273" s="34" t="str">
        <x:v>QC Gates</x:v>
      </x:c>
      <x:c r="B273" s="34" t="str">
        <x:v>QualityGatesV4</x:v>
      </x:c>
      <x:c r="C273" s="34" t="str">
        <x:v>no-store empty at both checkpoints (formula)</x:v>
      </x:c>
      <x:c r="D273" s="34" t="str">
        <x:v>noEntriesRecomputedFormula</x:v>
      </x:c>
      <x:c r="E273" s="34" t="str"/>
      <x:c r="F273" s="34" t="str">
        <x:v>boolean</x:v>
      </x:c>
      <x:c r="G273" s="34" t="str">
        <x:v>Formula workbook</x:v>
      </x:c>
      <x:c r="H273" s="44" t="str">
        <x:v>Valore noEntriesRecomputedFormula come registrato dalla campagna v4.2 (JSON schemaVersion 4).</x:v>
      </x:c>
    </x:row>
    <x:row r="274">
      <x:c r="A274" s="34" t="str">
        <x:v>QC Gates</x:v>
      </x:c>
      <x:c r="B274" s="34" t="str">
        <x:v>QualityGatesV4</x:v>
      </x:c>
      <x:c r="C274" s="34" t="str">
        <x:v>no-store zero hits (numeric formula)</x:v>
      </x:c>
      <x:c r="D274" s="34" t="str">
        <x:v>zeroHitsRecomputedFormula</x:v>
      </x:c>
      <x:c r="E274" s="34" t="str"/>
      <x:c r="F274" s="34" t="str">
        <x:v>boolean</x:v>
      </x:c>
      <x:c r="G274" s="34" t="str">
        <x:v>Formula workbook</x:v>
      </x:c>
      <x:c r="H274" s="44" t="str">
        <x:v>Valore zeroHitsRecomputedFormula come registrato dalla campagna v4.2 (JSON schemaVersion 4).</x:v>
      </x:c>
    </x:row>
    <x:row r="275">
      <x:c r="A275" s="34" t="str">
        <x:v>QC Gates</x:v>
      </x:c>
      <x:c r="B275" s="34" t="str">
        <x:v>QualityGatesV4</x:v>
      </x:c>
      <x:c r="C275" s="34" t="str">
        <x:v>single-flight (numeric formula)</x:v>
      </x:c>
      <x:c r="D275" s="34" t="str">
        <x:v>singleFlightRecomputedFormula</x:v>
      </x:c>
      <x:c r="E275" s="34" t="str"/>
      <x:c r="F275" s="34" t="str">
        <x:v>boolean</x:v>
      </x:c>
      <x:c r="G275" s="34" t="str">
        <x:v>Formula workbook</x:v>
      </x:c>
      <x:c r="H275" s="44" t="str">
        <x:v>loaderInvocationsUnderContention = 1.</x:v>
      </x:c>
    </x:row>
    <x:row r="276">
      <x:c r="A276" s="34" t="str">
        <x:v>QC Gates</x:v>
      </x:c>
      <x:c r="B276" s="34" t="str">
        <x:v>QualityGatesV4</x:v>
      </x:c>
      <x:c r="C276" s="34" t="str">
        <x:v>recomputed gate (numeric formula)</x:v>
      </x:c>
      <x:c r="D276" s="34" t="str">
        <x:v>recomputedPassFormula</x:v>
      </x:c>
      <x:c r="E276" s="34" t="str"/>
      <x:c r="F276" s="34" t="str">
        <x:v>boolean</x:v>
      </x:c>
      <x:c r="G276" s="34" t="str">
        <x:v>Formula workbook</x:v>
      </x:c>
      <x:c r="H276" s="44" t="str">
        <x:v>Ricostruzione esclusivamente numerica dell'esito complessivo.</x:v>
      </x:c>
    </x:row>
    <x:row r="277">
      <x:c r="A277" s="34" t="str">
        <x:v>QC Gates</x:v>
      </x:c>
      <x:c r="B277" s="34" t="str">
        <x:v>QualityGatesV4</x:v>
      </x:c>
      <x:c r="C277" s="34" t="str">
        <x:v>all numeric gates = runner</x:v>
      </x:c>
      <x:c r="D277" s="34" t="str">
        <x:v>formulaMatchesRunner</x:v>
      </x:c>
      <x:c r="E277" s="34" t="str"/>
      <x:c r="F277" s="34" t="str">
        <x:v>boolean</x:v>
      </x:c>
      <x:c r="G277" s="34" t="str">
        <x:v>Formula workbook</x:v>
      </x:c>
      <x:c r="H277" s="44" t="str">
        <x:v>Confronta ogni sotto-gate ricalcolato e il risultato complessivo con i flag del runner; ogni riga deve essere TRUE prima dell'export.</x:v>
      </x:c>
    </x:row>
    <x:row r="278">
      <x:c r="A278" s="34" t="str">
        <x:v>QC Gates</x:v>
      </x:c>
      <x:c r="B278" s="34" t="str">
        <x:v>QualityGatesV4</x:v>
      </x:c>
      <x:c r="C278" s="34" t="str">
        <x:v>expected performance inclusion</x:v>
      </x:c>
      <x:c r="D278" s="34" t="str">
        <x:v>expectedPerformanceInclusionFormula</x:v>
      </x:c>
      <x:c r="E278" s="34" t="str"/>
      <x:c r="F278" s="34" t="str">
        <x:v>boolean</x:v>
      </x:c>
      <x:c r="G278" s="34" t="str">
        <x:v>Formula workbook</x:v>
      </x:c>
      <x:c r="H278" s="44" t="str">
        <x:v>TRUE solo se blocco valido, provider eleggibile e gate superato.</x:v>
      </x:c>
    </x:row>
    <x:row r="279">
      <x:c r="A279" s="34" t="str">
        <x:v>Performance</x:v>
      </x:c>
      <x:c r="B279" s="34" t="str">
        <x:v>PerformanceSummaryV4</x:v>
      </x:c>
      <x:c r="C279" s="34" t="str">
        <x:v>scenario</x:v>
      </x:c>
      <x:c r="D279" s="34" t="str">
        <x:v>scenario</x:v>
      </x:c>
      <x:c r="E279" s="34" t="str"/>
      <x:c r="F279" s="34" t="str">
        <x:v>text</x:v>
      </x:c>
      <x:c r="G279" s="34" t="str">
        <x:v>analysis.json</x:v>
      </x:c>
      <x:c r="H279" s="44" t="str">
        <x:v>Valore scenario come registrato dalla campagna v4.2 (JSON schemaVersion 4).</x:v>
      </x:c>
    </x:row>
    <x:row r="280">
      <x:c r="A280" s="34" t="str">
        <x:v>Performance</x:v>
      </x:c>
      <x:c r="B280" s="34" t="str">
        <x:v>PerformanceSummaryV4</x:v>
      </x:c>
      <x:c r="C280" s="34" t="str">
        <x:v>provider</x:v>
      </x:c>
      <x:c r="D280" s="34" t="str">
        <x:v>provider</x:v>
      </x:c>
      <x:c r="E280" s="34" t="str"/>
      <x:c r="F280" s="34" t="str">
        <x:v>text</x:v>
      </x:c>
      <x:c r="G280" s="34" t="str">
        <x:v>analysis.json</x:v>
      </x:c>
      <x:c r="H280" s="44" t="str">
        <x:v>Valore provider come registrato dalla campagna v4.2 (JSON schemaVersion 4).</x:v>
      </x:c>
    </x:row>
    <x:row r="281">
      <x:c r="A281" s="34" t="str">
        <x:v>Performance</x:v>
      </x:c>
      <x:c r="B281" s="34" t="str">
        <x:v>PerformanceSummaryV4</x:v>
      </x:c>
      <x:c r="C281" s="34" t="str">
        <x:v>phase</x:v>
      </x:c>
      <x:c r="D281" s="34" t="str">
        <x:v>phase</x:v>
      </x:c>
      <x:c r="E281" s="34" t="str"/>
      <x:c r="F281" s="34" t="str">
        <x:v>text</x:v>
      </x:c>
      <x:c r="G281" s="34" t="str">
        <x:v>analysis.json</x:v>
      </x:c>
      <x:c r="H281" s="44" t="str">
        <x:v>Valore phase come registrato dalla campagna v4.2 (JSON schemaVersion 4).</x:v>
      </x:c>
    </x:row>
    <x:row r="282">
      <x:c r="A282" s="34" t="str">
        <x:v>Performance</x:v>
      </x:c>
      <x:c r="B282" s="34" t="str">
        <x:v>PerformanceSummaryV4</x:v>
      </x:c>
      <x:c r="C282" s="34" t="str">
        <x:v>analysis set</x:v>
      </x:c>
      <x:c r="D282" s="34" t="str">
        <x:v>analysisSet</x:v>
      </x:c>
      <x:c r="E282" s="34" t="str"/>
      <x:c r="F282" s="34" t="str">
        <x:v>text</x:v>
      </x:c>
      <x:c r="G282" s="34" t="str">
        <x:v>analysis.json</x:v>
      </x:c>
      <x:c r="H282" s="44" t="str">
        <x:v>Valore analysisSet come registrato dalla campagna v4.2 (JSON schemaVersion 4).</x:v>
      </x:c>
    </x:row>
    <x:row r="283">
      <x:c r="A283" s="34" t="str">
        <x:v>Performance</x:v>
      </x:c>
      <x:c r="B283" s="34" t="str">
        <x:v>PerformanceSummaryV4</x:v>
      </x:c>
      <x:c r="C283" s="34" t="str">
        <x:v>statistical unit</x:v>
      </x:c>
      <x:c r="D283" s="34" t="str">
        <x:v>statisticalUnit</x:v>
      </x:c>
      <x:c r="E283" s="34" t="str"/>
      <x:c r="F283" s="34" t="str">
        <x:v>text</x:v>
      </x:c>
      <x:c r="G283" s="34" t="str">
        <x:v>analysis.json</x:v>
      </x:c>
      <x:c r="H283" s="44" t="str">
        <x:v>Valore statisticalUnit come registrato dalla campagna v4.2 (JSON schemaVersion 4).</x:v>
      </x:c>
    </x:row>
    <x:row r="284">
      <x:c r="A284" s="34" t="str">
        <x:v>Performance</x:v>
      </x:c>
      <x:c r="B284" s="34" t="str">
        <x:v>PerformanceSummaryV4</x:v>
      </x:c>
      <x:c r="C284" s="34" t="str">
        <x:v>study role</x:v>
      </x:c>
      <x:c r="D284" s="34" t="str">
        <x:v>studyRole</x:v>
      </x:c>
      <x:c r="E284" s="34" t="str"/>
      <x:c r="F284" s="34" t="str">
        <x:v>text</x:v>
      </x:c>
      <x:c r="G284" s="34" t="str">
        <x:v>analysis.json</x:v>
      </x:c>
      <x:c r="H284" s="44" t="str">
        <x:v>Valore studyRole come registrato dalla campagna v4.2 (JSON schemaVersion 4).</x:v>
      </x:c>
    </x:row>
    <x:row r="285">
      <x:c r="A285" s="34" t="str">
        <x:v>Performance</x:v>
      </x:c>
      <x:c r="B285" s="34" t="str">
        <x:v>PerformanceSummaryV4</x:v>
      </x:c>
      <x:c r="C285" s="34" t="str">
        <x:v>valid forks</x:v>
      </x:c>
      <x:c r="D285" s="34" t="str">
        <x:v>forkCount</x:v>
      </x:c>
      <x:c r="E285" s="34" t="str"/>
      <x:c r="F285" s="34" t="str">
        <x:v>integer</x:v>
      </x:c>
      <x:c r="G285" s="34" t="str">
        <x:v>analysis.json</x:v>
      </x:c>
      <x:c r="H285" s="44" t="str">
        <x:v>Valore forkCount come registrato dalla campagna v4.2 (JSON schemaVersion 4).</x:v>
      </x:c>
    </x:row>
    <x:row r="286">
      <x:c r="A286" s="34" t="str">
        <x:v>Performance</x:v>
      </x:c>
      <x:c r="B286" s="34" t="str">
        <x:v>PerformanceSummaryV4</x:v>
      </x:c>
      <x:c r="C286" s="34" t="str">
        <x:v>observed forks</x:v>
      </x:c>
      <x:c r="D286" s="34" t="str">
        <x:v>observedForkCount</x:v>
      </x:c>
      <x:c r="E286" s="34" t="str"/>
      <x:c r="F286" s="34" t="str">
        <x:v>integer</x:v>
      </x:c>
      <x:c r="G286" s="34" t="str">
        <x:v>analysis.json</x:v>
      </x:c>
      <x:c r="H286" s="44" t="str">
        <x:v>Valore observedForkCount come registrato dalla campagna v4.2 (JSON schemaVersion 4).</x:v>
      </x:c>
    </x:row>
    <x:row r="287">
      <x:c r="A287" s="34" t="str">
        <x:v>Performance</x:v>
      </x:c>
      <x:c r="B287" s="34" t="str">
        <x:v>PerformanceSummaryV4</x:v>
      </x:c>
      <x:c r="C287" s="34" t="str">
        <x:v>invalid-block forks</x:v>
      </x:c>
      <x:c r="D287" s="34" t="str">
        <x:v>invalidBlockForkCount</x:v>
      </x:c>
      <x:c r="E287" s="34" t="str"/>
      <x:c r="F287" s="34" t="str">
        <x:v>integer</x:v>
      </x:c>
      <x:c r="G287" s="34" t="str">
        <x:v>analysis.json</x:v>
      </x:c>
      <x:c r="H287" s="44" t="str">
        <x:v>Valore invalidBlockForkCount come registrato dalla campagna v4.2 (JSON schemaVersion 4).</x:v>
      </x:c>
    </x:row>
    <x:row r="288">
      <x:c r="A288" s="34" t="str">
        <x:v>Performance</x:v>
      </x:c>
      <x:c r="B288" s="34" t="str">
        <x:v>PerformanceSummaryV4</x:v>
      </x:c>
      <x:c r="C288" s="34" t="str">
        <x:v>semantic-gate forks</x:v>
      </x:c>
      <x:c r="D288" s="34" t="str">
        <x:v>semanticGatePassForkCount</x:v>
      </x:c>
      <x:c r="E288" s="34" t="str"/>
      <x:c r="F288" s="34" t="str">
        <x:v>integer</x:v>
      </x:c>
      <x:c r="G288" s="34" t="str">
        <x:v>analysis.json</x:v>
      </x:c>
      <x:c r="H288" s="44" t="str">
        <x:v>Valore semanticGatePassForkCount come registrato dalla campagna v4.2 (JSON schemaVersion 4).</x:v>
      </x:c>
    </x:row>
    <x:row r="289">
      <x:c r="A289" s="34" t="str">
        <x:v>Performance</x:v>
      </x:c>
      <x:c r="B289" s="34" t="str">
        <x:v>PerformanceSummaryV4</x:v>
      </x:c>
      <x:c r="C289" s="34" t="str">
        <x:v>performance eligible</x:v>
      </x:c>
      <x:c r="D289" s="34" t="str">
        <x:v>performanceComparisonEligible</x:v>
      </x:c>
      <x:c r="E289" s="34" t="str"/>
      <x:c r="F289" s="34" t="str">
        <x:v>boolean</x:v>
      </x:c>
      <x:c r="G289" s="34" t="str">
        <x:v>analysis.json</x:v>
      </x:c>
      <x:c r="H289" s="44" t="str">
        <x:v>Valore performanceComparisonEligible come registrato dalla campagna v4.2 (JSON schemaVersion 4).</x:v>
      </x:c>
    </x:row>
    <x:row r="290">
      <x:c r="A290" s="34" t="str">
        <x:v>Performance</x:v>
      </x:c>
      <x:c r="B290" s="34" t="str">
        <x:v>PerformanceSummaryV4</x:v>
      </x:c>
      <x:c r="C290" s="34" t="str">
        <x:v>included forks</x:v>
      </x:c>
      <x:c r="D290" s="34" t="str">
        <x:v>performanceIncludedForkCount</x:v>
      </x:c>
      <x:c r="E290" s="34" t="str"/>
      <x:c r="F290" s="34" t="str">
        <x:v>integer</x:v>
      </x:c>
      <x:c r="G290" s="34" t="str">
        <x:v>analysis.json</x:v>
      </x:c>
      <x:c r="H290" s="44" t="str">
        <x:v>Valore performanceIncludedForkCount come registrato dalla campagna v4.2 (JSON schemaVersion 4).</x:v>
      </x:c>
    </x:row>
    <x:row r="291">
      <x:c r="A291" s="34" t="str">
        <x:v>Performance</x:v>
      </x:c>
      <x:c r="B291" s="34" t="str">
        <x:v>PerformanceSummaryV4</x:v>
      </x:c>
      <x:c r="C291" s="34" t="str">
        <x:v>throughput N</x:v>
      </x:c>
      <x:c r="D291" s="34" t="str">
        <x:v>operationsPerSecondN</x:v>
      </x:c>
      <x:c r="E291" s="34" t="str">
        <x:v>fork</x:v>
      </x:c>
      <x:c r="F291" s="34" t="str">
        <x:v>integer</x:v>
      </x:c>
      <x:c r="G291" s="34" t="str">
        <x:v>analysis.json</x:v>
      </x:c>
      <x:c r="H291" s="44" t="str">
        <x:v>Valore operationsPerSecondN come registrato dalla campagna v4.2 (JSON schemaVersion 4).</x:v>
      </x:c>
    </x:row>
    <x:row r="292">
      <x:c r="A292" s="34" t="str">
        <x:v>Performance</x:v>
      </x:c>
      <x:c r="B292" s="34" t="str">
        <x:v>PerformanceSummaryV4</x:v>
      </x:c>
      <x:c r="C292" s="34" t="str">
        <x:v>throughput median (ops/s)</x:v>
      </x:c>
      <x:c r="D292" s="34" t="str">
        <x:v>operationsPerSecondMedian</x:v>
      </x:c>
      <x:c r="E292" s="34" t="str">
        <x:v>operation/s</x:v>
      </x:c>
      <x:c r="F292" s="34" t="str">
        <x:v>number</x:v>
      </x:c>
      <x:c r="G292" s="34" t="str">
        <x:v>analysis.json</x:v>
      </x:c>
      <x:c r="H292" s="44" t="str">
        <x:v>Valore operationsPerSecondMedian come registrato dalla campagna v4.2 (JSON schemaVersion 4).</x:v>
      </x:c>
    </x:row>
    <x:row r="293">
      <x:c r="A293" s="34" t="str">
        <x:v>Performance</x:v>
      </x:c>
      <x:c r="B293" s="34" t="str">
        <x:v>PerformanceSummaryV4</x:v>
      </x:c>
      <x:c r="C293" s="34" t="str">
        <x:v>throughput mean (ops/s)</x:v>
      </x:c>
      <x:c r="D293" s="34" t="str">
        <x:v>operationsPerSecondMean</x:v>
      </x:c>
      <x:c r="E293" s="34" t="str">
        <x:v>operation/s</x:v>
      </x:c>
      <x:c r="F293" s="34" t="str">
        <x:v>number</x:v>
      </x:c>
      <x:c r="G293" s="34" t="str">
        <x:v>analysis.json</x:v>
      </x:c>
      <x:c r="H293" s="44" t="str">
        <x:v>Valore operationsPerSecondMean come registrato dalla campagna v4.2 (JSON schemaVersion 4).</x:v>
      </x:c>
    </x:row>
    <x:row r="294">
      <x:c r="A294" s="34" t="str">
        <x:v>Performance</x:v>
      </x:c>
      <x:c r="B294" s="34" t="str">
        <x:v>PerformanceSummaryV4</x:v>
      </x:c>
      <x:c r="C294" s="34" t="str">
        <x:v>throughput sample SD</x:v>
      </x:c>
      <x:c r="D294" s="34" t="str">
        <x:v>operationsPerSecondSampleStandardDeviation</x:v>
      </x:c>
      <x:c r="E294" s="34" t="str">
        <x:v>operation/s</x:v>
      </x:c>
      <x:c r="F294" s="34" t="str">
        <x:v>number</x:v>
      </x:c>
      <x:c r="G294" s="34" t="str">
        <x:v>analysis.json</x:v>
      </x:c>
      <x:c r="H294" s="44" t="str">
        <x:v>Valore operationsPerSecondSampleStandardDeviation come registrato dalla campagna v4.2 (JSON schemaVersion 4).</x:v>
      </x:c>
    </x:row>
    <x:row r="295">
      <x:c r="A295" s="34" t="str">
        <x:v>Performance</x:v>
      </x:c>
      <x:c r="B295" s="34" t="str">
        <x:v>PerformanceSummaryV4</x:v>
      </x:c>
      <x:c r="C295" s="34" t="str">
        <x:v>throughput Q1 (ops/s)</x:v>
      </x:c>
      <x:c r="D295" s="34" t="str">
        <x:v>operationsPerSecondFirstQuartile</x:v>
      </x:c>
      <x:c r="E295" s="34" t="str">
        <x:v>operation/s</x:v>
      </x:c>
      <x:c r="F295" s="34" t="str">
        <x:v>number</x:v>
      </x:c>
      <x:c r="G295" s="34" t="str">
        <x:v>analysis.json</x:v>
      </x:c>
      <x:c r="H295" s="44" t="str">
        <x:v>Valore operationsPerSecondFirstQuartile come registrato dalla campagna v4.2 (JSON schemaVersion 4).</x:v>
      </x:c>
    </x:row>
    <x:row r="296">
      <x:c r="A296" s="34" t="str">
        <x:v>Performance</x:v>
      </x:c>
      <x:c r="B296" s="34" t="str">
        <x:v>PerformanceSummaryV4</x:v>
      </x:c>
      <x:c r="C296" s="34" t="str">
        <x:v>throughput Q3 (ops/s)</x:v>
      </x:c>
      <x:c r="D296" s="34" t="str">
        <x:v>operationsPerSecondThirdQuartile</x:v>
      </x:c>
      <x:c r="E296" s="34" t="str">
        <x:v>operation/s</x:v>
      </x:c>
      <x:c r="F296" s="34" t="str">
        <x:v>number</x:v>
      </x:c>
      <x:c r="G296" s="34" t="str">
        <x:v>analysis.json</x:v>
      </x:c>
      <x:c r="H296" s="44" t="str">
        <x:v>Valore operationsPerSecondThirdQuartile come registrato dalla campagna v4.2 (JSON schemaVersion 4).</x:v>
      </x:c>
    </x:row>
    <x:row r="297">
      <x:c r="A297" s="34" t="str">
        <x:v>Performance</x:v>
      </x:c>
      <x:c r="B297" s="34" t="str">
        <x:v>PerformanceSummaryV4</x:v>
      </x:c>
      <x:c r="C297" s="34" t="str">
        <x:v>throughput min (ops/s)</x:v>
      </x:c>
      <x:c r="D297" s="34" t="str">
        <x:v>operationsPerSecondMinimum</x:v>
      </x:c>
      <x:c r="E297" s="34" t="str">
        <x:v>operation/s</x:v>
      </x:c>
      <x:c r="F297" s="34" t="str">
        <x:v>number</x:v>
      </x:c>
      <x:c r="G297" s="34" t="str">
        <x:v>analysis.json</x:v>
      </x:c>
      <x:c r="H297" s="44" t="str">
        <x:v>Valore operationsPerSecondMinimum come registrato dalla campagna v4.2 (JSON schemaVersion 4).</x:v>
      </x:c>
    </x:row>
    <x:row r="298">
      <x:c r="A298" s="34" t="str">
        <x:v>Performance</x:v>
      </x:c>
      <x:c r="B298" s="34" t="str">
        <x:v>PerformanceSummaryV4</x:v>
      </x:c>
      <x:c r="C298" s="34" t="str">
        <x:v>throughput max (ops/s)</x:v>
      </x:c>
      <x:c r="D298" s="34" t="str">
        <x:v>operationsPerSecondMaximum</x:v>
      </x:c>
      <x:c r="E298" s="34" t="str">
        <x:v>operation/s</x:v>
      </x:c>
      <x:c r="F298" s="34" t="str">
        <x:v>number</x:v>
      </x:c>
      <x:c r="G298" s="34" t="str">
        <x:v>analysis.json</x:v>
      </x:c>
      <x:c r="H298" s="44" t="str">
        <x:v>Valore operationsPerSecondMaximum come registrato dalla campagna v4.2 (JSON schemaVersion 4).</x:v>
      </x:c>
    </x:row>
    <x:row r="299">
      <x:c r="A299" s="34" t="str">
        <x:v>Performance</x:v>
      </x:c>
      <x:c r="B299" s="34" t="str">
        <x:v>PerformanceSummaryV4</x:v>
      </x:c>
      <x:c r="C299" s="34" t="str">
        <x:v>fill median (ops/s)</x:v>
      </x:c>
      <x:c r="D299" s="34" t="str">
        <x:v>fillOperationsPerSecondMedian</x:v>
      </x:c>
      <x:c r="E299" s="34" t="str">
        <x:v>operation/s</x:v>
      </x:c>
      <x:c r="F299" s="34" t="str">
        <x:v>number</x:v>
      </x:c>
      <x:c r="G299" s="34" t="str">
        <x:v>analysis.json</x:v>
      </x:c>
      <x:c r="H299" s="44" t="str">
        <x:v>Valore fillOperationsPerSecondMedian come registrato dalla campagna v4.2 (JSON schemaVersion 4).</x:v>
      </x:c>
    </x:row>
    <x:row r="300">
      <x:c r="A300" s="34" t="str">
        <x:v>Performance</x:v>
      </x:c>
      <x:c r="B300" s="34" t="str">
        <x:v>PerformanceSummaryV4</x:v>
      </x:c>
      <x:c r="C300" s="34" t="str">
        <x:v>p50 median (ns)</x:v>
      </x:c>
      <x:c r="D300" s="34" t="str">
        <x:v>latencyP50NanosMedian</x:v>
      </x:c>
      <x:c r="E300" s="34" t="str">
        <x:v>ns</x:v>
      </x:c>
      <x:c r="F300" s="34" t="str">
        <x:v>number</x:v>
      </x:c>
      <x:c r="G300" s="34" t="str">
        <x:v>analysis.json</x:v>
      </x:c>
      <x:c r="H300" s="44" t="str">
        <x:v>Valore latencyP50NanosMedian come registrato dalla campagna v4.2 (JSON schemaVersion 4).</x:v>
      </x:c>
    </x:row>
    <x:row r="301">
      <x:c r="A301" s="34" t="str">
        <x:v>Performance</x:v>
      </x:c>
      <x:c r="B301" s="34" t="str">
        <x:v>PerformanceSummaryV4</x:v>
      </x:c>
      <x:c r="C301" s="34" t="str">
        <x:v>p95 median (ns)</x:v>
      </x:c>
      <x:c r="D301" s="34" t="str">
        <x:v>latencyP95NanosMedian</x:v>
      </x:c>
      <x:c r="E301" s="34" t="str">
        <x:v>ns</x:v>
      </x:c>
      <x:c r="F301" s="34" t="str">
        <x:v>number</x:v>
      </x:c>
      <x:c r="G301" s="34" t="str">
        <x:v>analysis.json</x:v>
      </x:c>
      <x:c r="H301" s="44" t="str">
        <x:v>Valore latencyP95NanosMedian come registrato dalla campagna v4.2 (JSON schemaVersion 4).</x:v>
      </x:c>
    </x:row>
    <x:row r="302">
      <x:c r="A302" s="34" t="str">
        <x:v>Performance</x:v>
      </x:c>
      <x:c r="B302" s="34" t="str">
        <x:v>PerformanceSummaryV4</x:v>
      </x:c>
      <x:c r="C302" s="34" t="str">
        <x:v>p99 N</x:v>
      </x:c>
      <x:c r="D302" s="34" t="str">
        <x:v>latencyP99NanosN</x:v>
      </x:c>
      <x:c r="E302" s="34" t="str">
        <x:v>fork</x:v>
      </x:c>
      <x:c r="F302" s="34" t="str">
        <x:v>integer</x:v>
      </x:c>
      <x:c r="G302" s="34" t="str">
        <x:v>analysis.json</x:v>
      </x:c>
      <x:c r="H302" s="44" t="str">
        <x:v>Valore latencyP99NanosN come registrato dalla campagna v4.2 (JSON schemaVersion 4).</x:v>
      </x:c>
    </x:row>
    <x:row r="303">
      <x:c r="A303" s="34" t="str">
        <x:v>Performance</x:v>
      </x:c>
      <x:c r="B303" s="34" t="str">
        <x:v>PerformanceSummaryV4</x:v>
      </x:c>
      <x:c r="C303" s="34" t="str">
        <x:v>p99 median (raw ns)</x:v>
      </x:c>
      <x:c r="D303" s="34" t="str">
        <x:v>latencyP99NanosMedian</x:v>
      </x:c>
      <x:c r="E303" s="34" t="str">
        <x:v>ns</x:v>
      </x:c>
      <x:c r="F303" s="34" t="str">
        <x:v>number</x:v>
      </x:c>
      <x:c r="G303" s="34" t="str">
        <x:v>analysis.json</x:v>
      </x:c>
      <x:c r="H303" s="44" t="str">
        <x:v>Valore latencyP99NanosMedian come registrato dalla campagna v4.2 (JSON schemaVersion 4).</x:v>
      </x:c>
    </x:row>
    <x:row r="304">
      <x:c r="A304" s="34" t="str">
        <x:v>Performance</x:v>
      </x:c>
      <x:c r="B304" s="34" t="str">
        <x:v>PerformanceSummaryV4</x:v>
      </x:c>
      <x:c r="C304" s="34" t="str">
        <x:v>p99 median (µs, formula)</x:v>
      </x:c>
      <x:c r="D304" s="34" t="str">
        <x:v>latencyP99MicrosMedianFormula</x:v>
      </x:c>
      <x:c r="E304" s="34" t="str">
        <x:v>µs</x:v>
      </x:c>
      <x:c r="F304" s="34" t="str">
        <x:v>number</x:v>
      </x:c>
      <x:c r="G304" s="34" t="str">
        <x:v>Formula workbook</x:v>
      </x:c>
      <x:c r="H304" s="44" t="str">
        <x:v>Conversione da nanosecondi usando la costante visibile nel foglio Readme-Protocol.</x:v>
      </x:c>
    </x:row>
    <x:row r="305">
      <x:c r="A305" s="34" t="str">
        <x:v>Performance</x:v>
      </x:c>
      <x:c r="B305" s="34" t="str">
        <x:v>PerformanceSummaryV4</x:v>
      </x:c>
      <x:c r="C305" s="34" t="str">
        <x:v>p99 mean (ns)</x:v>
      </x:c>
      <x:c r="D305" s="34" t="str">
        <x:v>latencyP99NanosMean</x:v>
      </x:c>
      <x:c r="E305" s="34" t="str">
        <x:v>ns</x:v>
      </x:c>
      <x:c r="F305" s="34" t="str">
        <x:v>number</x:v>
      </x:c>
      <x:c r="G305" s="34" t="str">
        <x:v>analysis.json</x:v>
      </x:c>
      <x:c r="H305" s="44" t="str">
        <x:v>Valore latencyP99NanosMean come registrato dalla campagna v4.2 (JSON schemaVersion 4).</x:v>
      </x:c>
    </x:row>
    <x:row r="306">
      <x:c r="A306" s="34" t="str">
        <x:v>Performance</x:v>
      </x:c>
      <x:c r="B306" s="34" t="str">
        <x:v>PerformanceSummaryV4</x:v>
      </x:c>
      <x:c r="C306" s="34" t="str">
        <x:v>p99 sample SD (ns)</x:v>
      </x:c>
      <x:c r="D306" s="34" t="str">
        <x:v>latencyP99NanosSampleStandardDeviation</x:v>
      </x:c>
      <x:c r="E306" s="34" t="str">
        <x:v>ns</x:v>
      </x:c>
      <x:c r="F306" s="34" t="str">
        <x:v>number</x:v>
      </x:c>
      <x:c r="G306" s="34" t="str">
        <x:v>analysis.json</x:v>
      </x:c>
      <x:c r="H306" s="44" t="str">
        <x:v>Valore latencyP99NanosSampleStandardDeviation come registrato dalla campagna v4.2 (JSON schemaVersion 4).</x:v>
      </x:c>
    </x:row>
    <x:row r="307">
      <x:c r="A307" s="34" t="str">
        <x:v>Performance</x:v>
      </x:c>
      <x:c r="B307" s="34" t="str">
        <x:v>PerformanceSummaryV4</x:v>
      </x:c>
      <x:c r="C307" s="34" t="str">
        <x:v>p99 Q1 (ns)</x:v>
      </x:c>
      <x:c r="D307" s="34" t="str">
        <x:v>latencyP99NanosFirstQuartile</x:v>
      </x:c>
      <x:c r="E307" s="34" t="str">
        <x:v>ns</x:v>
      </x:c>
      <x:c r="F307" s="34" t="str">
        <x:v>number</x:v>
      </x:c>
      <x:c r="G307" s="34" t="str">
        <x:v>analysis.json</x:v>
      </x:c>
      <x:c r="H307" s="44" t="str">
        <x:v>Valore latencyP99NanosFirstQuartile come registrato dalla campagna v4.2 (JSON schemaVersion 4).</x:v>
      </x:c>
    </x:row>
    <x:row r="308">
      <x:c r="A308" s="34" t="str">
        <x:v>Performance</x:v>
      </x:c>
      <x:c r="B308" s="34" t="str">
        <x:v>PerformanceSummaryV4</x:v>
      </x:c>
      <x:c r="C308" s="34" t="str">
        <x:v>p99 Q3 (ns)</x:v>
      </x:c>
      <x:c r="D308" s="34" t="str">
        <x:v>latencyP99NanosThirdQuartile</x:v>
      </x:c>
      <x:c r="E308" s="34" t="str">
        <x:v>ns</x:v>
      </x:c>
      <x:c r="F308" s="34" t="str">
        <x:v>number</x:v>
      </x:c>
      <x:c r="G308" s="34" t="str">
        <x:v>analysis.json</x:v>
      </x:c>
      <x:c r="H308" s="44" t="str">
        <x:v>Valore latencyP99NanosThirdQuartile come registrato dalla campagna v4.2 (JSON schemaVersion 4).</x:v>
      </x:c>
    </x:row>
    <x:row r="309">
      <x:c r="A309" s="34" t="str">
        <x:v>Performance</x:v>
      </x:c>
      <x:c r="B309" s="34" t="str">
        <x:v>PerformanceSummaryV4</x:v>
      </x:c>
      <x:c r="C309" s="34" t="str">
        <x:v>p99 min (ns)</x:v>
      </x:c>
      <x:c r="D309" s="34" t="str">
        <x:v>latencyP99NanosMinimum</x:v>
      </x:c>
      <x:c r="E309" s="34" t="str">
        <x:v>ns</x:v>
      </x:c>
      <x:c r="F309" s="34" t="str">
        <x:v>number</x:v>
      </x:c>
      <x:c r="G309" s="34" t="str">
        <x:v>analysis.json</x:v>
      </x:c>
      <x:c r="H309" s="44" t="str">
        <x:v>Valore latencyP99NanosMinimum come registrato dalla campagna v4.2 (JSON schemaVersion 4).</x:v>
      </x:c>
    </x:row>
    <x:row r="310">
      <x:c r="A310" s="34" t="str">
        <x:v>Performance</x:v>
      </x:c>
      <x:c r="B310" s="34" t="str">
        <x:v>PerformanceSummaryV4</x:v>
      </x:c>
      <x:c r="C310" s="34" t="str">
        <x:v>p99 max (ns)</x:v>
      </x:c>
      <x:c r="D310" s="34" t="str">
        <x:v>latencyP99NanosMaximum</x:v>
      </x:c>
      <x:c r="E310" s="34" t="str">
        <x:v>ns</x:v>
      </x:c>
      <x:c r="F310" s="34" t="str">
        <x:v>number</x:v>
      </x:c>
      <x:c r="G310" s="34" t="str">
        <x:v>analysis.json</x:v>
      </x:c>
      <x:c r="H310" s="44" t="str">
        <x:v>Valore latencyP99NanosMaximum come registrato dalla campagna v4.2 (JSON schemaVersion 4).</x:v>
      </x:c>
    </x:row>
    <x:row r="311">
      <x:c r="A311" s="34" t="str">
        <x:v>Performance</x:v>
      </x:c>
      <x:c r="B311" s="34" t="str">
        <x:v>PerformanceSummaryV4</x:v>
      </x:c>
      <x:c r="C311" s="34" t="str">
        <x:v>latency samples median</x:v>
      </x:c>
      <x:c r="D311" s="34" t="str">
        <x:v>measuredLatencySamplesMedian</x:v>
      </x:c>
      <x:c r="E311" s="34" t="str">
        <x:v>sample</x:v>
      </x:c>
      <x:c r="F311" s="34" t="str">
        <x:v>number</x:v>
      </x:c>
      <x:c r="G311" s="34" t="str">
        <x:v>analysis.json</x:v>
      </x:c>
      <x:c r="H311" s="44" t="str">
        <x:v>Valore measuredLatencySamplesMedian come registrato dalla campagna v4.2 (JSON schemaVersion 4).</x:v>
      </x:c>
    </x:row>
    <x:row r="312">
      <x:c r="A312" s="34" t="str">
        <x:v>Performance</x:v>
      </x:c>
      <x:c r="B312" s="34" t="str">
        <x:v>PerformanceForksV4</x:v>
      </x:c>
      <x:c r="C312" s="34" t="str">
        <x:v>processRunId</x:v>
      </x:c>
      <x:c r="D312" s="34" t="str">
        <x:v>processRunId</x:v>
      </x:c>
      <x:c r="E312" s="34" t="str"/>
      <x:c r="F312" s="34" t="str">
        <x:v>text</x:v>
      </x:c>
      <x:c r="G312" s="34" t="str">
        <x:v>analysis.json</x:v>
      </x:c>
      <x:c r="H312" s="44" t="str">
        <x:v>Valore processRunId come registrato dalla campagna v4.2 (JSON schemaVersion 4).</x:v>
      </x:c>
    </x:row>
    <x:row r="313">
      <x:c r="A313" s="34" t="str">
        <x:v>Performance</x:v>
      </x:c>
      <x:c r="B313" s="34" t="str">
        <x:v>PerformanceForksV4</x:v>
      </x:c>
      <x:c r="C313" s="34" t="str">
        <x:v>scenario</x:v>
      </x:c>
      <x:c r="D313" s="34" t="str">
        <x:v>scenario</x:v>
      </x:c>
      <x:c r="E313" s="34" t="str"/>
      <x:c r="F313" s="34" t="str">
        <x:v>text</x:v>
      </x:c>
      <x:c r="G313" s="34" t="str">
        <x:v>analysis.json</x:v>
      </x:c>
      <x:c r="H313" s="44" t="str">
        <x:v>Valore scenario come registrato dalla campagna v4.2 (JSON schemaVersion 4).</x:v>
      </x:c>
    </x:row>
    <x:row r="314">
      <x:c r="A314" s="34" t="str">
        <x:v>Performance</x:v>
      </x:c>
      <x:c r="B314" s="34" t="str">
        <x:v>PerformanceForksV4</x:v>
      </x:c>
      <x:c r="C314" s="34" t="str">
        <x:v>provider</x:v>
      </x:c>
      <x:c r="D314" s="34" t="str">
        <x:v>provider</x:v>
      </x:c>
      <x:c r="E314" s="34" t="str"/>
      <x:c r="F314" s="34" t="str">
        <x:v>text</x:v>
      </x:c>
      <x:c r="G314" s="34" t="str">
        <x:v>analysis.json</x:v>
      </x:c>
      <x:c r="H314" s="44" t="str">
        <x:v>Valore provider come registrato dalla campagna v4.2 (JSON schemaVersion 4).</x:v>
      </x:c>
    </x:row>
    <x:row r="315">
      <x:c r="A315" s="34" t="str">
        <x:v>Performance</x:v>
      </x:c>
      <x:c r="B315" s="34" t="str">
        <x:v>PerformanceForksV4</x:v>
      </x:c>
      <x:c r="C315" s="34" t="str">
        <x:v>fork</x:v>
      </x:c>
      <x:c r="D315" s="34" t="str">
        <x:v>fork</x:v>
      </x:c>
      <x:c r="E315" s="34" t="str"/>
      <x:c r="F315" s="34" t="str">
        <x:v>integer</x:v>
      </x:c>
      <x:c r="G315" s="34" t="str">
        <x:v>analysis.json</x:v>
      </x:c>
      <x:c r="H315" s="44" t="str">
        <x:v>Valore fork come registrato dalla campagna v4.2 (JSON schemaVersion 4).</x:v>
      </x:c>
    </x:row>
    <x:row r="316">
      <x:c r="A316" s="34" t="str">
        <x:v>Performance</x:v>
      </x:c>
      <x:c r="B316" s="34" t="str">
        <x:v>PerformanceForksV4</x:v>
      </x:c>
      <x:c r="C316" s="34" t="str">
        <x:v>Williams block</x:v>
      </x:c>
      <x:c r="D316" s="34" t="str">
        <x:v>block</x:v>
      </x:c>
      <x:c r="E316" s="34" t="str"/>
      <x:c r="F316" s="34" t="str">
        <x:v>integer</x:v>
      </x:c>
      <x:c r="G316" s="34" t="str">
        <x:v>analysis.json</x:v>
      </x:c>
      <x:c r="H316" s="44" t="str">
        <x:v>Valore block come registrato dalla campagna v4.2 (JSON schemaVersion 4).</x:v>
      </x:c>
    </x:row>
    <x:row r="317">
      <x:c r="A317" s="34" t="str">
        <x:v>Performance</x:v>
      </x:c>
      <x:c r="B317" s="34" t="str">
        <x:v>PerformanceForksV4</x:v>
      </x:c>
      <x:c r="C317" s="34" t="str">
        <x:v>orderPosition</x:v>
      </x:c>
      <x:c r="D317" s="34" t="str">
        <x:v>orderPosition</x:v>
      </x:c>
      <x:c r="E317" s="34" t="str"/>
      <x:c r="F317" s="34" t="str">
        <x:v>integer</x:v>
      </x:c>
      <x:c r="G317" s="34" t="str">
        <x:v>analysis.json</x:v>
      </x:c>
      <x:c r="H317" s="44" t="str">
        <x:v>Valore orderPosition come registrato dalla campagna v4.2 (JSON schemaVersion 4).</x:v>
      </x:c>
    </x:row>
    <x:row r="318">
      <x:c r="A318" s="34" t="str">
        <x:v>Performance</x:v>
      </x:c>
      <x:c r="B318" s="34" t="str">
        <x:v>PerformanceForksV4</x:v>
      </x:c>
      <x:c r="C318" s="34" t="str">
        <x:v>phase</x:v>
      </x:c>
      <x:c r="D318" s="34" t="str">
        <x:v>phase</x:v>
      </x:c>
      <x:c r="E318" s="34" t="str"/>
      <x:c r="F318" s="34" t="str">
        <x:v>text</x:v>
      </x:c>
      <x:c r="G318" s="34" t="str">
        <x:v>analysis.json</x:v>
      </x:c>
      <x:c r="H318" s="44" t="str">
        <x:v>Valore phase come registrato dalla campagna v4.2 (JSON schemaVersion 4).</x:v>
      </x:c>
    </x:row>
    <x:row r="319">
      <x:c r="A319" s="34" t="str">
        <x:v>Performance</x:v>
      </x:c>
      <x:c r="B319" s="34" t="str">
        <x:v>PerformanceForksV4</x:v>
      </x:c>
      <x:c r="C319" s="34" t="str">
        <x:v>analysis set</x:v>
      </x:c>
      <x:c r="D319" s="34" t="str">
        <x:v>analysisSet</x:v>
      </x:c>
      <x:c r="E319" s="34" t="str"/>
      <x:c r="F319" s="34" t="str">
        <x:v>text</x:v>
      </x:c>
      <x:c r="G319" s="34" t="str">
        <x:v>analysis.json</x:v>
      </x:c>
      <x:c r="H319" s="44" t="str">
        <x:v>Valore analysisSet come registrato dalla campagna v4.2 (JSON schemaVersion 4).</x:v>
      </x:c>
    </x:row>
    <x:row r="320">
      <x:c r="A320" s="34" t="str">
        <x:v>Performance</x:v>
      </x:c>
      <x:c r="B320" s="34" t="str">
        <x:v>PerformanceForksV4</x:v>
      </x:c>
      <x:c r="C320" s="34" t="str">
        <x:v>cycle observations</x:v>
      </x:c>
      <x:c r="D320" s="34" t="str">
        <x:v>cycleObservationCount</x:v>
      </x:c>
      <x:c r="E320" s="34" t="str"/>
      <x:c r="F320" s="34" t="str">
        <x:v>integer</x:v>
      </x:c>
      <x:c r="G320" s="34" t="str">
        <x:v>analysis.json</x:v>
      </x:c>
      <x:c r="H320" s="44" t="str">
        <x:v>Valore cycleObservationCount come registrato dalla campagna v4.2 (JSON schemaVersion 4).</x:v>
      </x:c>
    </x:row>
    <x:row r="321">
      <x:c r="A321" s="34" t="str">
        <x:v>Performance</x:v>
      </x:c>
      <x:c r="B321" s="34" t="str">
        <x:v>PerformanceForksV4</x:v>
      </x:c>
      <x:c r="C321" s="34" t="str">
        <x:v>block valid</x:v>
      </x:c>
      <x:c r="D321" s="34" t="str">
        <x:v>blockValid</x:v>
      </x:c>
      <x:c r="E321" s="34" t="str"/>
      <x:c r="F321" s="34" t="str">
        <x:v>boolean</x:v>
      </x:c>
      <x:c r="G321" s="34" t="str">
        <x:v>analysis.json</x:v>
      </x:c>
      <x:c r="H321" s="44" t="str">
        <x:v>Valore blockValid come registrato dalla campagna v4.2 (JSON schemaVersion 4).</x:v>
      </x:c>
    </x:row>
    <x:row r="322">
      <x:c r="A322" s="34" t="str">
        <x:v>Performance</x:v>
      </x:c>
      <x:c r="B322" s="34" t="str">
        <x:v>PerformanceForksV4</x:v>
      </x:c>
      <x:c r="C322" s="34" t="str">
        <x:v>semantic gate</x:v>
      </x:c>
      <x:c r="D322" s="34" t="str">
        <x:v>semanticGatePassed</x:v>
      </x:c>
      <x:c r="E322" s="34" t="str"/>
      <x:c r="F322" s="34" t="str">
        <x:v>boolean</x:v>
      </x:c>
      <x:c r="G322" s="34" t="str">
        <x:v>analysis.json</x:v>
      </x:c>
      <x:c r="H322" s="44" t="str">
        <x:v>Valore semanticGatePassed come registrato dalla campagna v4.2 (JSON schemaVersion 4).</x:v>
      </x:c>
    </x:row>
    <x:row r="323">
      <x:c r="A323" s="34" t="str">
        <x:v>Performance</x:v>
      </x:c>
      <x:c r="B323" s="34" t="str">
        <x:v>PerformanceForksV4</x:v>
      </x:c>
      <x:c r="C323" s="34" t="str">
        <x:v>performance eligible</x:v>
      </x:c>
      <x:c r="D323" s="34" t="str">
        <x:v>performanceComparisonEligible</x:v>
      </x:c>
      <x:c r="E323" s="34" t="str"/>
      <x:c r="F323" s="34" t="str">
        <x:v>boolean</x:v>
      </x:c>
      <x:c r="G323" s="34" t="str">
        <x:v>analysis.json</x:v>
      </x:c>
      <x:c r="H323" s="44" t="str">
        <x:v>Valore performanceComparisonEligible come registrato dalla campagna v4.2 (JSON schemaVersion 4).</x:v>
      </x:c>
    </x:row>
    <x:row r="324">
      <x:c r="A324" s="34" t="str">
        <x:v>Performance</x:v>
      </x:c>
      <x:c r="B324" s="34" t="str">
        <x:v>PerformanceForksV4</x:v>
      </x:c>
      <x:c r="C324" s="34" t="str">
        <x:v>included in summary</x:v>
      </x:c>
      <x:c r="D324" s="34" t="str">
        <x:v>includedInPerformanceSummary</x:v>
      </x:c>
      <x:c r="E324" s="34" t="str"/>
      <x:c r="F324" s="34" t="str">
        <x:v>boolean</x:v>
      </x:c>
      <x:c r="G324" s="34" t="str">
        <x:v>analysis.json</x:v>
      </x:c>
      <x:c r="H324" s="44" t="str">
        <x:v>Valore includedInPerformanceSummary come registrato dalla campagna v4.2 (JSON schemaVersion 4).</x:v>
      </x:c>
    </x:row>
    <x:row r="325">
      <x:c r="A325" s="34" t="str">
        <x:v>Performance</x:v>
      </x:c>
      <x:c r="B325" s="34" t="str">
        <x:v>PerformanceForksV4</x:v>
      </x:c>
      <x:c r="C325" s="34" t="str">
        <x:v>redeploy ready all cycles</x:v>
      </x:c>
      <x:c r="D325" s="34" t="str">
        <x:v>redeployReadyAllCycles</x:v>
      </x:c>
      <x:c r="E325" s="34" t="str"/>
      <x:c r="F325" s="34" t="str">
        <x:v>boolean</x:v>
      </x:c>
      <x:c r="G325" s="34" t="str">
        <x:v>analysis.json</x:v>
      </x:c>
      <x:c r="H325" s="44" t="str">
        <x:v>Valore redeployReadyAllCycles come registrato dalla campagna v4.2 (JSON schemaVersion 4).</x:v>
      </x:c>
    </x:row>
    <x:row r="326">
      <x:c r="A326" s="34" t="str">
        <x:v>Performance</x:v>
      </x:c>
      <x:c r="B326" s="34" t="str">
        <x:v>PerformanceForksV4</x:v>
      </x:c>
      <x:c r="C326" s="34" t="str">
        <x:v>observed median throughput (ops/s)</x:v>
      </x:c>
      <x:c r="D326" s="34" t="str">
        <x:v>observedMedian_operationsPerSecond</x:v>
      </x:c>
      <x:c r="E326" s="34" t="str">
        <x:v>operation/s</x:v>
      </x:c>
      <x:c r="F326" s="34" t="str">
        <x:v>number</x:v>
      </x:c>
      <x:c r="G326" s="34" t="str">
        <x:v>analysis.json</x:v>
      </x:c>
      <x:c r="H326" s="44" t="str">
        <x:v>Valore observedMedian_operationsPerSecond come registrato dalla campagna v4.2 (JSON schemaVersion 4).</x:v>
      </x:c>
    </x:row>
    <x:row r="327">
      <x:c r="A327" s="34" t="str">
        <x:v>Performance</x:v>
      </x:c>
      <x:c r="B327" s="34" t="str">
        <x:v>PerformanceForksV4</x:v>
      </x:c>
      <x:c r="C327" s="34" t="str">
        <x:v>comparison median throughput (ops/s)</x:v>
      </x:c>
      <x:c r="D327" s="34" t="str">
        <x:v>comparisonMedian_operationsPerSecond</x:v>
      </x:c>
      <x:c r="E327" s="34" t="str">
        <x:v>operation/s</x:v>
      </x:c>
      <x:c r="F327" s="34" t="str">
        <x:v>number</x:v>
      </x:c>
      <x:c r="G327" s="34" t="str">
        <x:v>analysis.json</x:v>
      </x:c>
      <x:c r="H327" s="44" t="str">
        <x:v>Valore comparisonMedian_operationsPerSecond come registrato dalla campagna v4.2 (JSON schemaVersion 4).</x:v>
      </x:c>
    </x:row>
    <x:row r="328">
      <x:c r="A328" s="34" t="str">
        <x:v>Performance</x:v>
      </x:c>
      <x:c r="B328" s="34" t="str">
        <x:v>PerformanceForksV4</x:v>
      </x:c>
      <x:c r="C328" s="34" t="str">
        <x:v>observed fill median (ops/s)</x:v>
      </x:c>
      <x:c r="D328" s="34" t="str">
        <x:v>observedMedian_fillOperationsPerSecond</x:v>
      </x:c>
      <x:c r="E328" s="34" t="str">
        <x:v>operation/s</x:v>
      </x:c>
      <x:c r="F328" s="34" t="str">
        <x:v>number</x:v>
      </x:c>
      <x:c r="G328" s="34" t="str">
        <x:v>analysis.json</x:v>
      </x:c>
      <x:c r="H328" s="44" t="str">
        <x:v>Valore observedMedian_fillOperationsPerSecond come registrato dalla campagna v4.2 (JSON schemaVersion 4).</x:v>
      </x:c>
    </x:row>
    <x:row r="329">
      <x:c r="A329" s="34" t="str">
        <x:v>Performance</x:v>
      </x:c>
      <x:c r="B329" s="34" t="str">
        <x:v>PerformanceForksV4</x:v>
      </x:c>
      <x:c r="C329" s="34" t="str">
        <x:v>comparison fill median (ops/s)</x:v>
      </x:c>
      <x:c r="D329" s="34" t="str">
        <x:v>comparisonMedian_fillOperationsPerSecond</x:v>
      </x:c>
      <x:c r="E329" s="34" t="str">
        <x:v>operation/s</x:v>
      </x:c>
      <x:c r="F329" s="34" t="str">
        <x:v>number</x:v>
      </x:c>
      <x:c r="G329" s="34" t="str">
        <x:v>analysis.json</x:v>
      </x:c>
      <x:c r="H329" s="44" t="str">
        <x:v>Valore comparisonMedian_fillOperationsPerSecond come registrato dalla campagna v4.2 (JSON schemaVersion 4).</x:v>
      </x:c>
    </x:row>
    <x:row r="330">
      <x:c r="A330" s="34" t="str">
        <x:v>Performance</x:v>
      </x:c>
      <x:c r="B330" s="34" t="str">
        <x:v>PerformanceForksV4</x:v>
      </x:c>
      <x:c r="C330" s="34" t="str">
        <x:v>observed p50 median (ns)</x:v>
      </x:c>
      <x:c r="D330" s="34" t="str">
        <x:v>observedMedian_latencyP50Nanos</x:v>
      </x:c>
      <x:c r="E330" s="34" t="str">
        <x:v>ns</x:v>
      </x:c>
      <x:c r="F330" s="34" t="str">
        <x:v>number</x:v>
      </x:c>
      <x:c r="G330" s="34" t="str">
        <x:v>analysis.json</x:v>
      </x:c>
      <x:c r="H330" s="44" t="str">
        <x:v>Valore observedMedian_latencyP50Nanos come registrato dalla campagna v4.2 (JSON schemaVersion 4).</x:v>
      </x:c>
    </x:row>
    <x:row r="331">
      <x:c r="A331" s="34" t="str">
        <x:v>Performance</x:v>
      </x:c>
      <x:c r="B331" s="34" t="str">
        <x:v>PerformanceForksV4</x:v>
      </x:c>
      <x:c r="C331" s="34" t="str">
        <x:v>comparison p50 median (ns)</x:v>
      </x:c>
      <x:c r="D331" s="34" t="str">
        <x:v>comparisonMedian_latencyP50Nanos</x:v>
      </x:c>
      <x:c r="E331" s="34" t="str">
        <x:v>ns</x:v>
      </x:c>
      <x:c r="F331" s="34" t="str">
        <x:v>number</x:v>
      </x:c>
      <x:c r="G331" s="34" t="str">
        <x:v>analysis.json</x:v>
      </x:c>
      <x:c r="H331" s="44" t="str">
        <x:v>Valore comparisonMedian_latencyP50Nanos come registrato dalla campagna v4.2 (JSON schemaVersion 4).</x:v>
      </x:c>
    </x:row>
    <x:row r="332">
      <x:c r="A332" s="34" t="str">
        <x:v>Performance</x:v>
      </x:c>
      <x:c r="B332" s="34" t="str">
        <x:v>PerformanceForksV4</x:v>
      </x:c>
      <x:c r="C332" s="34" t="str">
        <x:v>observed p95 median (ns)</x:v>
      </x:c>
      <x:c r="D332" s="34" t="str">
        <x:v>observedMedian_latencyP95Nanos</x:v>
      </x:c>
      <x:c r="E332" s="34" t="str">
        <x:v>ns</x:v>
      </x:c>
      <x:c r="F332" s="34" t="str">
        <x:v>number</x:v>
      </x:c>
      <x:c r="G332" s="34" t="str">
        <x:v>analysis.json</x:v>
      </x:c>
      <x:c r="H332" s="44" t="str">
        <x:v>Valore observedMedian_latencyP95Nanos come registrato dalla campagna v4.2 (JSON schemaVersion 4).</x:v>
      </x:c>
    </x:row>
    <x:row r="333">
      <x:c r="A333" s="34" t="str">
        <x:v>Performance</x:v>
      </x:c>
      <x:c r="B333" s="34" t="str">
        <x:v>PerformanceForksV4</x:v>
      </x:c>
      <x:c r="C333" s="34" t="str">
        <x:v>comparison p95 median (ns)</x:v>
      </x:c>
      <x:c r="D333" s="34" t="str">
        <x:v>comparisonMedian_latencyP95Nanos</x:v>
      </x:c>
      <x:c r="E333" s="34" t="str">
        <x:v>ns</x:v>
      </x:c>
      <x:c r="F333" s="34" t="str">
        <x:v>number</x:v>
      </x:c>
      <x:c r="G333" s="34" t="str">
        <x:v>analysis.json</x:v>
      </x:c>
      <x:c r="H333" s="44" t="str">
        <x:v>Valore comparisonMedian_latencyP95Nanos come registrato dalla campagna v4.2 (JSON schemaVersion 4).</x:v>
      </x:c>
    </x:row>
    <x:row r="334">
      <x:c r="A334" s="34" t="str">
        <x:v>Performance</x:v>
      </x:c>
      <x:c r="B334" s="34" t="str">
        <x:v>PerformanceForksV4</x:v>
      </x:c>
      <x:c r="C334" s="34" t="str">
        <x:v>observed p99 median (ns)</x:v>
      </x:c>
      <x:c r="D334" s="34" t="str">
        <x:v>observedMedian_latencyP99Nanos</x:v>
      </x:c>
      <x:c r="E334" s="34" t="str">
        <x:v>ns</x:v>
      </x:c>
      <x:c r="F334" s="34" t="str">
        <x:v>number</x:v>
      </x:c>
      <x:c r="G334" s="34" t="str">
        <x:v>analysis.json</x:v>
      </x:c>
      <x:c r="H334" s="44" t="str">
        <x:v>Valore observedMedian_latencyP99Nanos come registrato dalla campagna v4.2 (JSON schemaVersion 4).</x:v>
      </x:c>
    </x:row>
    <x:row r="335">
      <x:c r="A335" s="34" t="str">
        <x:v>Performance</x:v>
      </x:c>
      <x:c r="B335" s="34" t="str">
        <x:v>PerformanceForksV4</x:v>
      </x:c>
      <x:c r="C335" s="34" t="str">
        <x:v>comparison p99 median (raw ns)</x:v>
      </x:c>
      <x:c r="D335" s="34" t="str">
        <x:v>comparisonMedian_latencyP99Nanos</x:v>
      </x:c>
      <x:c r="E335" s="34" t="str">
        <x:v>ns</x:v>
      </x:c>
      <x:c r="F335" s="34" t="str">
        <x:v>number</x:v>
      </x:c>
      <x:c r="G335" s="34" t="str">
        <x:v>analysis.json</x:v>
      </x:c>
      <x:c r="H335" s="44" t="str">
        <x:v>Valore comparisonMedian_latencyP99Nanos come registrato dalla campagna v4.2 (JSON schemaVersion 4).</x:v>
      </x:c>
    </x:row>
    <x:row r="336">
      <x:c r="A336" s="34" t="str">
        <x:v>Performance</x:v>
      </x:c>
      <x:c r="B336" s="34" t="str">
        <x:v>PerformanceForksV4</x:v>
      </x:c>
      <x:c r="C336" s="34" t="str">
        <x:v>comparison p99 median (µs, formula)</x:v>
      </x:c>
      <x:c r="D336" s="34" t="str">
        <x:v>comparisonMedian_latencyP99MicrosFormula</x:v>
      </x:c>
      <x:c r="E336" s="34" t="str">
        <x:v>µs</x:v>
      </x:c>
      <x:c r="F336" s="34" t="str">
        <x:v>number</x:v>
      </x:c>
      <x:c r="G336" s="34" t="str">
        <x:v>Formula workbook</x:v>
      </x:c>
      <x:c r="H336" s="44" t="str">
        <x:v>P99 per fork convertito da nanosecondi a microsecondi.</x:v>
      </x:c>
    </x:row>
    <x:row r="337">
      <x:c r="A337" s="34" t="str">
        <x:v>Performance</x:v>
      </x:c>
      <x:c r="B337" s="34" t="str">
        <x:v>PerformanceForksV4</x:v>
      </x:c>
      <x:c r="C337" s="34" t="str">
        <x:v>observed latency samples median</x:v>
      </x:c>
      <x:c r="D337" s="34" t="str">
        <x:v>observedMedian_measuredLatencySamples</x:v>
      </x:c>
      <x:c r="E337" s="34" t="str">
        <x:v>sample</x:v>
      </x:c>
      <x:c r="F337" s="34" t="str">
        <x:v>number</x:v>
      </x:c>
      <x:c r="G337" s="34" t="str">
        <x:v>analysis.json</x:v>
      </x:c>
      <x:c r="H337" s="44" t="str">
        <x:v>Valore observedMedian_measuredLatencySamples come registrato dalla campagna v4.2 (JSON schemaVersion 4).</x:v>
      </x:c>
    </x:row>
    <x:row r="338">
      <x:c r="A338" s="34" t="str">
        <x:v>Performance</x:v>
      </x:c>
      <x:c r="B338" s="34" t="str">
        <x:v>PerformanceForksV4</x:v>
      </x:c>
      <x:c r="C338" s="34" t="str">
        <x:v>comparison latency samples median</x:v>
      </x:c>
      <x:c r="D338" s="34" t="str">
        <x:v>comparisonMedian_measuredLatencySamples</x:v>
      </x:c>
      <x:c r="E338" s="34" t="str">
        <x:v>sample</x:v>
      </x:c>
      <x:c r="F338" s="34" t="str">
        <x:v>number</x:v>
      </x:c>
      <x:c r="G338" s="34" t="str">
        <x:v>analysis.json</x:v>
      </x:c>
      <x:c r="H338" s="44" t="str">
        <x:v>Valore comparisonMedian_measuredLatencySamples come registrato dalla campagna v4.2 (JSON schemaVersion 4).</x:v>
      </x:c>
    </x:row>
    <x:row r="339">
      <x:c r="A339" s="34" t="str">
        <x:v>Performance</x:v>
      </x:c>
      <x:c r="B339" s="34" t="str">
        <x:v>PairedRatiosV4</x:v>
      </x:c>
      <x:c r="C339" s="34" t="str">
        <x:v>scenario</x:v>
      </x:c>
      <x:c r="D339" s="34" t="str">
        <x:v>scenario</x:v>
      </x:c>
      <x:c r="E339" s="34" t="str"/>
      <x:c r="F339" s="34" t="str">
        <x:v>text</x:v>
      </x:c>
      <x:c r="G339" s="34" t="str">
        <x:v>analysis.json</x:v>
      </x:c>
      <x:c r="H339" s="44" t="str">
        <x:v>Valore scenario come registrato dalla campagna v4.2 (JSON schemaVersion 4).</x:v>
      </x:c>
    </x:row>
    <x:row r="340">
      <x:c r="A340" s="34" t="str">
        <x:v>Performance</x:v>
      </x:c>
      <x:c r="B340" s="34" t="str">
        <x:v>PairedRatiosV4</x:v>
      </x:c>
      <x:c r="C340" s="34" t="str">
        <x:v>provider</x:v>
      </x:c>
      <x:c r="D340" s="34" t="str">
        <x:v>provider</x:v>
      </x:c>
      <x:c r="E340" s="34" t="str"/>
      <x:c r="F340" s="34" t="str">
        <x:v>text</x:v>
      </x:c>
      <x:c r="G340" s="34" t="str">
        <x:v>analysis.json</x:v>
      </x:c>
      <x:c r="H340" s="44" t="str">
        <x:v>Valore provider come registrato dalla campagna v4.2 (JSON schemaVersion 4).</x:v>
      </x:c>
    </x:row>
    <x:row r="341">
      <x:c r="A341" s="34" t="str">
        <x:v>Performance</x:v>
      </x:c>
      <x:c r="B341" s="34" t="str">
        <x:v>PairedRatiosV4</x:v>
      </x:c>
      <x:c r="C341" s="34" t="str">
        <x:v>reference provider</x:v>
      </x:c>
      <x:c r="D341" s="34" t="str">
        <x:v>referenceProvider</x:v>
      </x:c>
      <x:c r="E341" s="34" t="str"/>
      <x:c r="F341" s="34" t="str">
        <x:v>text</x:v>
      </x:c>
      <x:c r="G341" s="34" t="str">
        <x:v>analysis.json</x:v>
      </x:c>
      <x:c r="H341" s="44" t="str">
        <x:v>Valore referenceProvider come registrato dalla campagna v4.2 (JSON schemaVersion 4).</x:v>
      </x:c>
    </x:row>
    <x:row r="342">
      <x:c r="A342" s="34" t="str">
        <x:v>Performance</x:v>
      </x:c>
      <x:c r="B342" s="34" t="str">
        <x:v>PairedRatiosV4</x:v>
      </x:c>
      <x:c r="C342" s="34" t="str">
        <x:v>phase</x:v>
      </x:c>
      <x:c r="D342" s="34" t="str">
        <x:v>phase</x:v>
      </x:c>
      <x:c r="E342" s="34" t="str"/>
      <x:c r="F342" s="34" t="str">
        <x:v>text</x:v>
      </x:c>
      <x:c r="G342" s="34" t="str">
        <x:v>analysis.json</x:v>
      </x:c>
      <x:c r="H342" s="44" t="str">
        <x:v>Valore phase come registrato dalla campagna v4.2 (JSON schemaVersion 4).</x:v>
      </x:c>
    </x:row>
    <x:row r="343">
      <x:c r="A343" s="34" t="str">
        <x:v>Performance</x:v>
      </x:c>
      <x:c r="B343" s="34" t="str">
        <x:v>PairedRatiosV4</x:v>
      </x:c>
      <x:c r="C343" s="34" t="str">
        <x:v>analysis set</x:v>
      </x:c>
      <x:c r="D343" s="34" t="str">
        <x:v>analysisSet</x:v>
      </x:c>
      <x:c r="E343" s="34" t="str"/>
      <x:c r="F343" s="34" t="str">
        <x:v>text</x:v>
      </x:c>
      <x:c r="G343" s="34" t="str">
        <x:v>analysis.json</x:v>
      </x:c>
      <x:c r="H343" s="44" t="str">
        <x:v>Valore analysisSet come registrato dalla campagna v4.2 (JSON schemaVersion 4).</x:v>
      </x:c>
    </x:row>
    <x:row r="344">
      <x:c r="A344" s="34" t="str">
        <x:v>Performance</x:v>
      </x:c>
      <x:c r="B344" s="34" t="str">
        <x:v>PairedRatiosV4</x:v>
      </x:c>
      <x:c r="C344" s="34" t="str">
        <x:v>pairing unit</x:v>
      </x:c>
      <x:c r="D344" s="34" t="str">
        <x:v>pairingUnit</x:v>
      </x:c>
      <x:c r="E344" s="34" t="str"/>
      <x:c r="F344" s="34" t="str">
        <x:v>text</x:v>
      </x:c>
      <x:c r="G344" s="34" t="str">
        <x:v>analysis.json</x:v>
      </x:c>
      <x:c r="H344" s="44" t="str">
        <x:v>Valore pairingUnit come registrato dalla campagna v4.2 (JSON schemaVersion 4).</x:v>
      </x:c>
    </x:row>
    <x:row r="345">
      <x:c r="A345" s="34" t="str">
        <x:v>Performance</x:v>
      </x:c>
      <x:c r="B345" s="34" t="str">
        <x:v>PairedRatiosV4</x:v>
      </x:c>
      <x:c r="C345" s="34" t="str">
        <x:v>provider/JCS4 ratio metric</x:v>
      </x:c>
      <x:c r="D345" s="34" t="str">
        <x:v>ratioMetric</x:v>
      </x:c>
      <x:c r="E345" s="34" t="str"/>
      <x:c r="F345" s="34" t="str">
        <x:v>text</x:v>
      </x:c>
      <x:c r="G345" s="34" t="str">
        <x:v>analysis.json</x:v>
      </x:c>
      <x:c r="H345" s="44" t="str">
        <x:v>Metrica del rapporto appaiato: valore del provider diviso per il valore JCS4 nello stesso Williams block.</x:v>
      </x:c>
    </x:row>
    <x:row r="346">
      <x:c r="A346" s="34" t="str">
        <x:v>Performance</x:v>
      </x:c>
      <x:c r="B346" s="34" t="str">
        <x:v>PairedRatiosV4</x:v>
      </x:c>
      <x:c r="C346" s="34" t="str">
        <x:v>paired N</x:v>
      </x:c>
      <x:c r="D346" s="34" t="str">
        <x:v>ratioToJcs4N</x:v>
      </x:c>
      <x:c r="E346" s="34" t="str"/>
      <x:c r="F346" s="34" t="str">
        <x:v>integer</x:v>
      </x:c>
      <x:c r="G346" s="34" t="str">
        <x:v>analysis.json</x:v>
      </x:c>
      <x:c r="H346" s="44" t="str">
        <x:v>Valore ratioToJcs4N come registrato dalla campagna v4.2 (JSON schemaVersion 4).</x:v>
      </x:c>
    </x:row>
    <x:row r="347">
      <x:c r="A347" s="34" t="str">
        <x:v>Performance</x:v>
      </x:c>
      <x:c r="B347" s="34" t="str">
        <x:v>PairedRatiosV4</x:v>
      </x:c>
      <x:c r="C347" s="34" t="str">
        <x:v>provider/JCS4 median</x:v>
      </x:c>
      <x:c r="D347" s="34" t="str">
        <x:v>ratioToJcs4Median</x:v>
      </x:c>
      <x:c r="E347" s="34" t="str">
        <x:v>×</x:v>
      </x:c>
      <x:c r="F347" s="34" t="str">
        <x:v>number</x:v>
      </x:c>
      <x:c r="G347" s="34" t="str">
        <x:v>analysis.json</x:v>
      </x:c>
      <x:c r="H347" s="44" t="str">
        <x:v>Mediana dei sei rapporti appaiati provider ÷ JCS4.</x:v>
      </x:c>
    </x:row>
    <x:row r="348">
      <x:c r="A348" s="34" t="str">
        <x:v>Performance</x:v>
      </x:c>
      <x:c r="B348" s="34" t="str">
        <x:v>PairedRatiosV4</x:v>
      </x:c>
      <x:c r="C348" s="34" t="str">
        <x:v>provider/JCS4 mean</x:v>
      </x:c>
      <x:c r="D348" s="34" t="str">
        <x:v>ratioToJcs4Mean</x:v>
      </x:c>
      <x:c r="E348" s="34" t="str">
        <x:v>×</x:v>
      </x:c>
      <x:c r="F348" s="34" t="str">
        <x:v>number</x:v>
      </x:c>
      <x:c r="G348" s="34" t="str">
        <x:v>analysis.json</x:v>
      </x:c>
      <x:c r="H348" s="44" t="str">
        <x:v>Valore ratioToJcs4Mean come registrato dalla campagna v4.2 (JSON schemaVersion 4).</x:v>
      </x:c>
    </x:row>
    <x:row r="349">
      <x:c r="A349" s="34" t="str">
        <x:v>Performance</x:v>
      </x:c>
      <x:c r="B349" s="34" t="str">
        <x:v>PairedRatiosV4</x:v>
      </x:c>
      <x:c r="C349" s="34" t="str">
        <x:v>provider/JCS4 sample SD</x:v>
      </x:c>
      <x:c r="D349" s="34" t="str">
        <x:v>ratioToJcs4SampleStandardDeviation</x:v>
      </x:c>
      <x:c r="E349" s="34" t="str">
        <x:v>×</x:v>
      </x:c>
      <x:c r="F349" s="34" t="str">
        <x:v>number</x:v>
      </x:c>
      <x:c r="G349" s="34" t="str">
        <x:v>analysis.json</x:v>
      </x:c>
      <x:c r="H349" s="44" t="str">
        <x:v>Valore ratioToJcs4SampleStandardDeviation come registrato dalla campagna v4.2 (JSON schemaVersion 4).</x:v>
      </x:c>
    </x:row>
    <x:row r="350">
      <x:c r="A350" s="34" t="str">
        <x:v>Performance</x:v>
      </x:c>
      <x:c r="B350" s="34" t="str">
        <x:v>PairedRatiosV4</x:v>
      </x:c>
      <x:c r="C350" s="34" t="str">
        <x:v>provider/JCS4 Q1</x:v>
      </x:c>
      <x:c r="D350" s="34" t="str">
        <x:v>ratioToJcs4FirstQuartile</x:v>
      </x:c>
      <x:c r="E350" s="34" t="str">
        <x:v>×</x:v>
      </x:c>
      <x:c r="F350" s="34" t="str">
        <x:v>number</x:v>
      </x:c>
      <x:c r="G350" s="34" t="str">
        <x:v>analysis.json</x:v>
      </x:c>
      <x:c r="H350" s="44" t="str">
        <x:v>Valore ratioToJcs4FirstQuartile come registrato dalla campagna v4.2 (JSON schemaVersion 4).</x:v>
      </x:c>
    </x:row>
    <x:row r="351">
      <x:c r="A351" s="34" t="str">
        <x:v>Performance</x:v>
      </x:c>
      <x:c r="B351" s="34" t="str">
        <x:v>PairedRatiosV4</x:v>
      </x:c>
      <x:c r="C351" s="34" t="str">
        <x:v>provider/JCS4 Q3</x:v>
      </x:c>
      <x:c r="D351" s="34" t="str">
        <x:v>ratioToJcs4ThirdQuartile</x:v>
      </x:c>
      <x:c r="E351" s="34" t="str">
        <x:v>×</x:v>
      </x:c>
      <x:c r="F351" s="34" t="str">
        <x:v>number</x:v>
      </x:c>
      <x:c r="G351" s="34" t="str">
        <x:v>analysis.json</x:v>
      </x:c>
      <x:c r="H351" s="44" t="str">
        <x:v>Valore ratioToJcs4ThirdQuartile come registrato dalla campagna v4.2 (JSON schemaVersion 4).</x:v>
      </x:c>
    </x:row>
    <x:row r="352">
      <x:c r="A352" s="34" t="str">
        <x:v>Performance</x:v>
      </x:c>
      <x:c r="B352" s="34" t="str">
        <x:v>PairedRatiosV4</x:v>
      </x:c>
      <x:c r="C352" s="34" t="str">
        <x:v>provider/JCS4 min</x:v>
      </x:c>
      <x:c r="D352" s="34" t="str">
        <x:v>ratioToJcs4Minimum</x:v>
      </x:c>
      <x:c r="E352" s="34" t="str">
        <x:v>×</x:v>
      </x:c>
      <x:c r="F352" s="34" t="str">
        <x:v>number</x:v>
      </x:c>
      <x:c r="G352" s="34" t="str">
        <x:v>analysis.json</x:v>
      </x:c>
      <x:c r="H352" s="44" t="str">
        <x:v>Valore ratioToJcs4Minimum come registrato dalla campagna v4.2 (JSON schemaVersion 4).</x:v>
      </x:c>
    </x:row>
    <x:row r="353">
      <x:c r="A353" s="34" t="str">
        <x:v>Performance</x:v>
      </x:c>
      <x:c r="B353" s="34" t="str">
        <x:v>PairedRatiosV4</x:v>
      </x:c>
      <x:c r="C353" s="34" t="str">
        <x:v>provider/JCS4 max</x:v>
      </x:c>
      <x:c r="D353" s="34" t="str">
        <x:v>ratioToJcs4Maximum</x:v>
      </x:c>
      <x:c r="E353" s="34" t="str">
        <x:v>×</x:v>
      </x:c>
      <x:c r="F353" s="34" t="str">
        <x:v>number</x:v>
      </x:c>
      <x:c r="G353" s="34" t="str">
        <x:v>analysis.json</x:v>
      </x:c>
      <x:c r="H353" s="44" t="str">
        <x:v>Valore ratioToJcs4Maximum come registrato dalla campagna v4.2 (JSON schemaVersion 4).</x:v>
      </x:c>
    </x:row>
    <x:row r="354">
      <x:c r="A354" s="34" t="str">
        <x:v>Performance</x:v>
      </x:c>
      <x:c r="B354" s="34" t="str">
        <x:v>PairedRatiosV4</x:v>
      </x:c>
      <x:c r="C354" s="34" t="str">
        <x:v>values by Williams block (JSON)</x:v>
      </x:c>
      <x:c r="D354" s="34" t="str">
        <x:v>valuesByBlock</x:v>
      </x:c>
      <x:c r="E354" s="34" t="str"/>
      <x:c r="F354" s="34" t="str">
        <x:v>text</x:v>
      </x:c>
      <x:c r="G354" s="34" t="str">
        <x:v>analysis.json</x:v>
      </x:c>
      <x:c r="H354" s="44" t="str">
        <x:v>Valore valuesByBlock come registrato dalla campagna v4.2 (JSON schemaVersion 4).</x:v>
      </x:c>
    </x:row>
    <x:row r="355">
      <x:c r="A355" s="34" t="str">
        <x:v>Lifecycle</x:v>
      </x:c>
      <x:c r="B355" s="34" t="str">
        <x:v>LifecycleSummaryV4</x:v>
      </x:c>
      <x:c r="C355" s="34" t="str">
        <x:v>scenario</x:v>
      </x:c>
      <x:c r="D355" s="34" t="str">
        <x:v>scenario</x:v>
      </x:c>
      <x:c r="E355" s="34" t="str"/>
      <x:c r="F355" s="34" t="str">
        <x:v>text</x:v>
      </x:c>
      <x:c r="G355" s="34" t="str">
        <x:v>analysis.json</x:v>
      </x:c>
      <x:c r="H355" s="44" t="str">
        <x:v>Valore scenario come registrato dalla campagna v4.2 (JSON schemaVersion 4).</x:v>
      </x:c>
    </x:row>
    <x:row r="356">
      <x:c r="A356" s="34" t="str">
        <x:v>Lifecycle</x:v>
      </x:c>
      <x:c r="B356" s="34" t="str">
        <x:v>LifecycleSummaryV4</x:v>
      </x:c>
      <x:c r="C356" s="34" t="str">
        <x:v>provider</x:v>
      </x:c>
      <x:c r="D356" s="34" t="str">
        <x:v>provider</x:v>
      </x:c>
      <x:c r="E356" s="34" t="str"/>
      <x:c r="F356" s="34" t="str">
        <x:v>text</x:v>
      </x:c>
      <x:c r="G356" s="34" t="str">
        <x:v>analysis.json</x:v>
      </x:c>
      <x:c r="H356" s="44" t="str">
        <x:v>Valore provider come registrato dalla campagna v4.2 (JSON schemaVersion 4).</x:v>
      </x:c>
    </x:row>
    <x:row r="357">
      <x:c r="A357" s="34" t="str">
        <x:v>Lifecycle</x:v>
      </x:c>
      <x:c r="B357" s="34" t="str">
        <x:v>LifecycleSummaryV4</x:v>
      </x:c>
      <x:c r="C357" s="34" t="str">
        <x:v>statistical unit</x:v>
      </x:c>
      <x:c r="D357" s="34" t="str">
        <x:v>statisticalUnit</x:v>
      </x:c>
      <x:c r="E357" s="34" t="str"/>
      <x:c r="F357" s="34" t="str">
        <x:v>text</x:v>
      </x:c>
      <x:c r="G357" s="34" t="str">
        <x:v>analysis.json</x:v>
      </x:c>
      <x:c r="H357" s="44" t="str">
        <x:v>Valore statisticalUnit come registrato dalla campagna v4.2 (JSON schemaVersion 4).</x:v>
      </x:c>
    </x:row>
    <x:row r="358">
      <x:c r="A358" s="34" t="str">
        <x:v>Lifecycle</x:v>
      </x:c>
      <x:c r="B358" s="34" t="str">
        <x:v>LifecycleSummaryV4</x:v>
      </x:c>
      <x:c r="C358" s="34" t="str">
        <x:v>study role</x:v>
      </x:c>
      <x:c r="D358" s="34" t="str">
        <x:v>studyRole</x:v>
      </x:c>
      <x:c r="E358" s="34" t="str"/>
      <x:c r="F358" s="34" t="str">
        <x:v>text</x:v>
      </x:c>
      <x:c r="G358" s="34" t="str">
        <x:v>analysis.json</x:v>
      </x:c>
      <x:c r="H358" s="44" t="str">
        <x:v>Valore studyRole come registrato dalla campagna v4.2 (JSON schemaVersion 4).</x:v>
      </x:c>
    </x:row>
    <x:row r="359">
      <x:c r="A359" s="34" t="str">
        <x:v>Lifecycle</x:v>
      </x:c>
      <x:c r="B359" s="34" t="str">
        <x:v>LifecycleSummaryV4</x:v>
      </x:c>
      <x:c r="C359" s="34" t="str">
        <x:v>valid forks</x:v>
      </x:c>
      <x:c r="D359" s="34" t="str">
        <x:v>forkCount</x:v>
      </x:c>
      <x:c r="E359" s="34" t="str"/>
      <x:c r="F359" s="34" t="str">
        <x:v>integer</x:v>
      </x:c>
      <x:c r="G359" s="34" t="str">
        <x:v>analysis.json</x:v>
      </x:c>
      <x:c r="H359" s="44" t="str">
        <x:v>Valore forkCount come registrato dalla campagna v4.2 (JSON schemaVersion 4).</x:v>
      </x:c>
    </x:row>
    <x:row r="360">
      <x:c r="A360" s="34" t="str">
        <x:v>Lifecycle</x:v>
      </x:c>
      <x:c r="B360" s="34" t="str">
        <x:v>LifecycleSummaryV4</x:v>
      </x:c>
      <x:c r="C360" s="34" t="str">
        <x:v>observed forks</x:v>
      </x:c>
      <x:c r="D360" s="34" t="str">
        <x:v>observedForkCount</x:v>
      </x:c>
      <x:c r="E360" s="34" t="str"/>
      <x:c r="F360" s="34" t="str">
        <x:v>integer</x:v>
      </x:c>
      <x:c r="G360" s="34" t="str">
        <x:v>analysis.json</x:v>
      </x:c>
      <x:c r="H360" s="44" t="str">
        <x:v>Valore observedForkCount come registrato dalla campagna v4.2 (JSON schemaVersion 4).</x:v>
      </x:c>
    </x:row>
    <x:row r="361">
      <x:c r="A361" s="34" t="str">
        <x:v>Lifecycle</x:v>
      </x:c>
      <x:c r="B361" s="34" t="str">
        <x:v>LifecycleSummaryV4</x:v>
      </x:c>
      <x:c r="C361" s="34" t="str">
        <x:v>invalid-block forks</x:v>
      </x:c>
      <x:c r="D361" s="34" t="str">
        <x:v>invalidBlockForkCount</x:v>
      </x:c>
      <x:c r="E361" s="34" t="str"/>
      <x:c r="F361" s="34" t="str">
        <x:v>integer</x:v>
      </x:c>
      <x:c r="G361" s="34" t="str">
        <x:v>analysis.json</x:v>
      </x:c>
      <x:c r="H361" s="44" t="str">
        <x:v>Valore invalidBlockForkCount come registrato dalla campagna v4.2 (JSON schemaVersion 4).</x:v>
      </x:c>
    </x:row>
    <x:row r="362">
      <x:c r="A362" s="34" t="str">
        <x:v>Lifecycle</x:v>
      </x:c>
      <x:c r="B362" s="34" t="str">
        <x:v>LifecycleSummaryV4</x:v>
      </x:c>
      <x:c r="C362" s="34" t="str">
        <x:v>redeploy-ready forks</x:v>
      </x:c>
      <x:c r="D362" s="34" t="str">
        <x:v>redeployReadyForkCount</x:v>
      </x:c>
      <x:c r="E362" s="34" t="str"/>
      <x:c r="F362" s="34" t="str">
        <x:v>integer</x:v>
      </x:c>
      <x:c r="G362" s="34" t="str">
        <x:v>analysis.json</x:v>
      </x:c>
      <x:c r="H362" s="44" t="str">
        <x:v>Valore redeployReadyForkCount come registrato dalla campagna v4.2 (JSON schemaVersion 4).</x:v>
      </x:c>
    </x:row>
    <x:row r="363">
      <x:c r="A363" s="34" t="str">
        <x:v>Lifecycle</x:v>
      </x:c>
      <x:c r="B363" s="34" t="str">
        <x:v>LifecycleSummaryV4</x:v>
      </x:c>
      <x:c r="C363" s="34" t="str">
        <x:v>forks with positive findleaks checkpoint</x:v>
      </x:c>
      <x:c r="D363" s="34" t="str">
        <x:v>forksWithTargetFindleaksObservation</x:v>
      </x:c>
      <x:c r="E363" s="34" t="str"/>
      <x:c r="F363" s="34" t="str">
        <x:v>integer</x:v>
      </x:c>
      <x:c r="G363" s="34" t="str">
        <x:v>analysis.json</x:v>
      </x:c>
      <x:c r="H363" s="44" t="str">
        <x:v>Valore forksWithTargetFindleaksObservation come registrato dalla campagna v4.2 (JSON schemaVersion 4).</x:v>
      </x:c>
    </x:row>
    <x:row r="364">
      <x:c r="A364" s="34" t="str">
        <x:v>Lifecycle</x:v>
      </x:c>
      <x:c r="B364" s="34" t="str">
        <x:v>LifecycleSummaryV4</x:v>
      </x:c>
      <x:c r="C364" s="34" t="str">
        <x:v>forks with thread-leak warning</x:v>
      </x:c>
      <x:c r="D364" s="34" t="str">
        <x:v>forksWithThreadLeakWarning</x:v>
      </x:c>
      <x:c r="E364" s="34" t="str"/>
      <x:c r="F364" s="34" t="str">
        <x:v>integer</x:v>
      </x:c>
      <x:c r="G364" s="34" t="str">
        <x:v>analysis.json</x:v>
      </x:c>
      <x:c r="H364" s="44" t="str">
        <x:v>Valore forksWithThreadLeakWarning come registrato dalla campagna v4.2 (JSON schemaVersion 4).</x:v>
      </x:c>
    </x:row>
    <x:row r="365">
      <x:c r="A365" s="34" t="str">
        <x:v>Lifecycle</x:v>
      </x:c>
      <x:c r="B365" s="34" t="str">
        <x:v>LifecycleSummaryV4</x:v>
      </x:c>
      <x:c r="C365" s="34" t="str">
        <x:v>forks with JCS signature</x:v>
      </x:c>
      <x:c r="D365" s="34" t="str">
        <x:v>forksWithJcsThreadSignature</x:v>
      </x:c>
      <x:c r="E365" s="34" t="str"/>
      <x:c r="F365" s="34" t="str">
        <x:v>integer</x:v>
      </x:c>
      <x:c r="G365" s="34" t="str">
        <x:v>analysis.json</x:v>
      </x:c>
      <x:c r="H365" s="44" t="str">
        <x:v>Valore forksWithJcsThreadSignature come registrato dalla campagna v4.2 (JSON schemaVersion 4).</x:v>
      </x:c>
    </x:row>
    <x:row r="366">
      <x:c r="A366" s="34" t="str">
        <x:v>Lifecycle</x:v>
      </x:c>
      <x:c r="B366" s="34" t="str">
        <x:v>LifecycleSummaryV4</x:v>
      </x:c>
      <x:c r="C366" s="34" t="str">
        <x:v>forks with corroborated JCS-248 signal</x:v>
      </x:c>
      <x:c r="D366" s="34" t="str">
        <x:v>forksWithJcs248CorroboratedSignal</x:v>
      </x:c>
      <x:c r="E366" s="34" t="str"/>
      <x:c r="F366" s="34" t="str">
        <x:v>integer</x:v>
      </x:c>
      <x:c r="G366" s="34" t="str">
        <x:v>analysis.json</x:v>
      </x:c>
      <x:c r="H366" s="44" t="str">
        <x:v>Valore forksWithJcs248CorroboratedSignal come registrato dalla campagna v4.2 (JSON schemaVersion 4).</x:v>
      </x:c>
    </x:row>
    <x:row r="367">
      <x:c r="A367" s="34" t="str">
        <x:v>Lifecycle</x:v>
      </x:c>
      <x:c r="B367" s="34" t="str">
        <x:v>LifecycleSummaryV4</x:v>
      </x:c>
      <x:c r="C367" s="34" t="str">
        <x:v>JCS-248 positive-control criterion</x:v>
      </x:c>
      <x:c r="D367" s="34" t="str">
        <x:v>jcs248PositiveControlCriterionMet</x:v>
      </x:c>
      <x:c r="E367" s="34" t="str"/>
      <x:c r="F367" s="34" t="str">
        <x:v>boolean</x:v>
      </x:c>
      <x:c r="G367" s="34" t="str">
        <x:v>analysis.json</x:v>
      </x:c>
      <x:c r="H367" s="44" t="str">
        <x:v>Valore jcs248PositiveControlCriterionMet come registrato dalla campagna v4.2 (JSON schemaVersion 4).</x:v>
      </x:c>
    </x:row>
    <x:row r="368">
      <x:c r="A368" s="34" t="str">
        <x:v>Lifecycle</x:v>
      </x:c>
      <x:c r="B368" s="34" t="str">
        <x:v>LifecycleSummaryV4</x:v>
      </x:c>
      <x:c r="C368" s="34" t="str">
        <x:v>positive findleaks checkpoints median</x:v>
      </x:c>
      <x:c r="D368" s="34" t="str">
        <x:v>targetFindleaksObservationCountMedian</x:v>
      </x:c>
      <x:c r="E368" s="34" t="str">
        <x:v>checkpoint/fork</x:v>
      </x:c>
      <x:c r="F368" s="34" t="str">
        <x:v>number</x:v>
      </x:c>
      <x:c r="G368" s="34" t="str">
        <x:v>analysis.json</x:v>
      </x:c>
      <x:c r="H368" s="44" t="str">
        <x:v>Valore targetFindleaksObservationCountMedian come registrato dalla campagna v4.2 (JSON schemaVersion 4).</x:v>
      </x:c>
    </x:row>
    <x:row r="369">
      <x:c r="A369" s="34" t="str">
        <x:v>Lifecycle</x:v>
      </x:c>
      <x:c r="B369" s="34" t="str">
        <x:v>LifecycleSummaryV4</x:v>
      </x:c>
      <x:c r="C369" s="34" t="str">
        <x:v>thread-leak warning median</x:v>
      </x:c>
      <x:c r="D369" s="34" t="str">
        <x:v>threadLeakWarningCountMedian</x:v>
      </x:c>
      <x:c r="E369" s="34" t="str">
        <x:v>warning/fork</x:v>
      </x:c>
      <x:c r="F369" s="34" t="str">
        <x:v>number</x:v>
      </x:c>
      <x:c r="G369" s="34" t="str">
        <x:v>analysis.json</x:v>
      </x:c>
      <x:c r="H369" s="44" t="str">
        <x:v>Valore threadLeakWarningCountMedian come registrato dalla campagna v4.2 (JSON schemaVersion 4).</x:v>
      </x:c>
    </x:row>
    <x:row r="370">
      <x:c r="A370" s="34" t="str">
        <x:v>Lifecycle</x:v>
      </x:c>
      <x:c r="B370" s="34" t="str">
        <x:v>LifecycleSummaryV4</x:v>
      </x:c>
      <x:c r="C370" s="34" t="str">
        <x:v>JCS signature median</x:v>
      </x:c>
      <x:c r="D370" s="34" t="str">
        <x:v>jcsThreadSignatureObservationCountMedian</x:v>
      </x:c>
      <x:c r="E370" s="34" t="str">
        <x:v>observation/fork</x:v>
      </x:c>
      <x:c r="F370" s="34" t="str">
        <x:v>number</x:v>
      </x:c>
      <x:c r="G370" s="34" t="str">
        <x:v>analysis.json</x:v>
      </x:c>
      <x:c r="H370" s="44" t="str">
        <x:v>Valore jcsThreadSignatureObservationCountMedian come registrato dalla campagna v4.2 (JSON schemaVersion 4).</x:v>
      </x:c>
    </x:row>
    <x:row r="371">
      <x:c r="A371" s="34" t="str">
        <x:v>Lifecycle</x:v>
      </x:c>
      <x:c r="B371" s="34" t="str">
        <x:v>LifecycleSummaryV4</x:v>
      </x:c>
      <x:c r="C371" s="34" t="str">
        <x:v>heap slope median (bytes/cycle)</x:v>
      </x:c>
      <x:c r="D371" s="34" t="str">
        <x:v>absoluteFinalHeapSlopeBytesPerCycleMedian</x:v>
      </x:c>
      <x:c r="E371" s="34" t="str">
        <x:v>byte/cycle</x:v>
      </x:c>
      <x:c r="F371" s="34" t="str">
        <x:v>number</x:v>
      </x:c>
      <x:c r="G371" s="34" t="str">
        <x:v>analysis.json</x:v>
      </x:c>
      <x:c r="H371" s="44" t="str">
        <x:v>Valore absoluteFinalHeapSlopeBytesPerCycleMedian come registrato dalla campagna v4.2 (JSON schemaVersion 4).</x:v>
      </x:c>
    </x:row>
    <x:row r="372">
      <x:c r="A372" s="34" t="str">
        <x:v>Lifecycle</x:v>
      </x:c>
      <x:c r="B372" s="34" t="str">
        <x:v>LifecycleSummaryV4</x:v>
      </x:c>
      <x:c r="C372" s="34" t="str">
        <x:v>NMT slope median (bytes/cycle)</x:v>
      </x:c>
      <x:c r="D372" s="34" t="str">
        <x:v>absoluteFinalNativeCommittedSlopeBytesPerCycleMedian</x:v>
      </x:c>
      <x:c r="E372" s="34" t="str">
        <x:v>byte/cycle</x:v>
      </x:c>
      <x:c r="F372" s="34" t="str">
        <x:v>number</x:v>
      </x:c>
      <x:c r="G372" s="34" t="str">
        <x:v>analysis.json</x:v>
      </x:c>
      <x:c r="H372" s="44" t="str">
        <x:v>Valore absoluteFinalNativeCommittedSlopeBytesPerCycleMedian come registrato dalla campagna v4.2 (JSON schemaVersion 4).</x:v>
      </x:c>
    </x:row>
    <x:row r="373">
      <x:c r="A373" s="34" t="str">
        <x:v>Lifecycle</x:v>
      </x:c>
      <x:c r="B373" s="34" t="str">
        <x:v>LifecycleSummaryV4</x:v>
      </x:c>
      <x:c r="C373" s="34" t="str">
        <x:v>classloader-row slope median</x:v>
      </x:c>
      <x:c r="D373" s="34" t="str">
        <x:v>absoluteFinalWebappClassloaderSlopePerCycleMedian</x:v>
      </x:c>
      <x:c r="E373" s="34" t="str">
        <x:v>row/cycle</x:v>
      </x:c>
      <x:c r="F373" s="34" t="str">
        <x:v>number</x:v>
      </x:c>
      <x:c r="G373" s="34" t="str">
        <x:v>analysis.json</x:v>
      </x:c>
      <x:c r="H373" s="44" t="str">
        <x:v>Valore absoluteFinalWebappClassloaderSlopePerCycleMedian come registrato dalla campagna v4.2 (JSON schemaVersion 4).</x:v>
      </x:c>
    </x:row>
    <x:row r="374">
      <x:c r="A374" s="34" t="str">
        <x:v>Lifecycle</x:v>
      </x:c>
      <x:c r="B374" s="34" t="str">
        <x:v>LifecycleSummaryV4</x:v>
      </x:c>
      <x:c r="C374" s="34" t="str">
        <x:v>thread slope median</x:v>
      </x:c>
      <x:c r="D374" s="34" t="str">
        <x:v>absoluteFinalLiveThreadSlopePerCycleMedian</x:v>
      </x:c>
      <x:c r="E374" s="34" t="str">
        <x:v>thread/cycle</x:v>
      </x:c>
      <x:c r="F374" s="34" t="str">
        <x:v>number</x:v>
      </x:c>
      <x:c r="G374" s="34" t="str">
        <x:v>analysis.json</x:v>
      </x:c>
      <x:c r="H374" s="44" t="str">
        <x:v>Valore absoluteFinalLiveThreadSlopePerCycleMedian come registrato dalla campagna v4.2 (JSON schemaVersion 4).</x:v>
      </x:c>
    </x:row>
    <x:row r="375">
      <x:c r="A375" s="34" t="str">
        <x:v>Lifecycle</x:v>
      </x:c>
      <x:c r="B375" s="34" t="str">
        <x:v>LifecycleSummaryV4</x:v>
      </x:c>
      <x:c r="C375" s="34" t="str">
        <x:v>redeploy-ready rate (formula)</x:v>
      </x:c>
      <x:c r="D375" s="34" t="str">
        <x:v>redeployReadyRateFormula</x:v>
      </x:c>
      <x:c r="E375" s="34" t="str"/>
      <x:c r="F375" s="34" t="str">
        <x:v>percent</x:v>
      </x:c>
      <x:c r="G375" s="34" t="str">
        <x:v>Formula workbook</x:v>
      </x:c>
      <x:c r="H375" s="44" t="str">
        <x:v>Valore redeployReadyRateFormula come registrato dalla campagna v4.2 (JSON schemaVersion 4).</x:v>
      </x:c>
    </x:row>
    <x:row r="376">
      <x:c r="A376" s="34" t="str">
        <x:v>Lifecycle</x:v>
      </x:c>
      <x:c r="B376" s="34" t="str">
        <x:v>LifecycleSummaryV4</x:v>
      </x:c>
      <x:c r="C376" s="34" t="str">
        <x:v>JCS-signature fork rate (formula)</x:v>
      </x:c>
      <x:c r="D376" s="34" t="str">
        <x:v>jcsSignatureForkRateFormula</x:v>
      </x:c>
      <x:c r="E376" s="34" t="str"/>
      <x:c r="F376" s="34" t="str">
        <x:v>percent</x:v>
      </x:c>
      <x:c r="G376" s="34" t="str">
        <x:v>Formula workbook</x:v>
      </x:c>
      <x:c r="H376" s="44" t="str">
        <x:v>Valore jcsSignatureForkRateFormula come registrato dalla campagna v4.2 (JSON schemaVersion 4).</x:v>
      </x:c>
    </x:row>
    <x:row r="377">
      <x:c r="A377" s="34" t="str">
        <x:v>Lifecycle</x:v>
      </x:c>
      <x:c r="B377" s="34" t="str">
        <x:v>LifecycleForksV4</x:v>
      </x:c>
      <x:c r="C377" s="34" t="str">
        <x:v>processRunId</x:v>
      </x:c>
      <x:c r="D377" s="34" t="str">
        <x:v>processRunId</x:v>
      </x:c>
      <x:c r="E377" s="34" t="str"/>
      <x:c r="F377" s="34" t="str">
        <x:v>text</x:v>
      </x:c>
      <x:c r="G377" s="34" t="str">
        <x:v>analysis.json</x:v>
      </x:c>
      <x:c r="H377" s="44" t="str">
        <x:v>Valore processRunId come registrato dalla campagna v4.2 (JSON schemaVersion 4).</x:v>
      </x:c>
    </x:row>
    <x:row r="378">
      <x:c r="A378" s="34" t="str">
        <x:v>Lifecycle</x:v>
      </x:c>
      <x:c r="B378" s="34" t="str">
        <x:v>LifecycleForksV4</x:v>
      </x:c>
      <x:c r="C378" s="34" t="str">
        <x:v>scenario</x:v>
      </x:c>
      <x:c r="D378" s="34" t="str">
        <x:v>scenario</x:v>
      </x:c>
      <x:c r="E378" s="34" t="str"/>
      <x:c r="F378" s="34" t="str">
        <x:v>text</x:v>
      </x:c>
      <x:c r="G378" s="34" t="str">
        <x:v>analysis.json</x:v>
      </x:c>
      <x:c r="H378" s="44" t="str">
        <x:v>Valore scenario come registrato dalla campagna v4.2 (JSON schemaVersion 4).</x:v>
      </x:c>
    </x:row>
    <x:row r="379">
      <x:c r="A379" s="34" t="str">
        <x:v>Lifecycle</x:v>
      </x:c>
      <x:c r="B379" s="34" t="str">
        <x:v>LifecycleForksV4</x:v>
      </x:c>
      <x:c r="C379" s="34" t="str">
        <x:v>provider</x:v>
      </x:c>
      <x:c r="D379" s="34" t="str">
        <x:v>provider</x:v>
      </x:c>
      <x:c r="E379" s="34" t="str"/>
      <x:c r="F379" s="34" t="str">
        <x:v>text</x:v>
      </x:c>
      <x:c r="G379" s="34" t="str">
        <x:v>analysis.json</x:v>
      </x:c>
      <x:c r="H379" s="44" t="str">
        <x:v>Valore provider come registrato dalla campagna v4.2 (JSON schemaVersion 4).</x:v>
      </x:c>
    </x:row>
    <x:row r="380">
      <x:c r="A380" s="34" t="str">
        <x:v>Lifecycle</x:v>
      </x:c>
      <x:c r="B380" s="34" t="str">
        <x:v>LifecycleForksV4</x:v>
      </x:c>
      <x:c r="C380" s="34" t="str">
        <x:v>fork</x:v>
      </x:c>
      <x:c r="D380" s="34" t="str">
        <x:v>fork</x:v>
      </x:c>
      <x:c r="E380" s="34" t="str"/>
      <x:c r="F380" s="34" t="str">
        <x:v>integer</x:v>
      </x:c>
      <x:c r="G380" s="34" t="str">
        <x:v>analysis.json</x:v>
      </x:c>
      <x:c r="H380" s="44" t="str">
        <x:v>Valore fork come registrato dalla campagna v4.2 (JSON schemaVersion 4).</x:v>
      </x:c>
    </x:row>
    <x:row r="381">
      <x:c r="A381" s="34" t="str">
        <x:v>Lifecycle</x:v>
      </x:c>
      <x:c r="B381" s="34" t="str">
        <x:v>LifecycleForksV4</x:v>
      </x:c>
      <x:c r="C381" s="34" t="str">
        <x:v>Williams block</x:v>
      </x:c>
      <x:c r="D381" s="34" t="str">
        <x:v>block</x:v>
      </x:c>
      <x:c r="E381" s="34" t="str"/>
      <x:c r="F381" s="34" t="str">
        <x:v>integer</x:v>
      </x:c>
      <x:c r="G381" s="34" t="str">
        <x:v>analysis.json</x:v>
      </x:c>
      <x:c r="H381" s="44" t="str">
        <x:v>Valore block come registrato dalla campagna v4.2 (JSON schemaVersion 4).</x:v>
      </x:c>
    </x:row>
    <x:row r="382">
      <x:c r="A382" s="34" t="str">
        <x:v>Lifecycle</x:v>
      </x:c>
      <x:c r="B382" s="34" t="str">
        <x:v>LifecycleForksV4</x:v>
      </x:c>
      <x:c r="C382" s="34" t="str">
        <x:v>orderPosition</x:v>
      </x:c>
      <x:c r="D382" s="34" t="str">
        <x:v>orderPosition</x:v>
      </x:c>
      <x:c r="E382" s="34" t="str"/>
      <x:c r="F382" s="34" t="str">
        <x:v>integer</x:v>
      </x:c>
      <x:c r="G382" s="34" t="str">
        <x:v>analysis.json</x:v>
      </x:c>
      <x:c r="H382" s="44" t="str">
        <x:v>Valore orderPosition come registrato dalla campagna v4.2 (JSON schemaVersion 4).</x:v>
      </x:c>
    </x:row>
    <x:row r="383">
      <x:c r="A383" s="34" t="str">
        <x:v>Lifecycle</x:v>
      </x:c>
      <x:c r="B383" s="34" t="str">
        <x:v>LifecycleForksV4</x:v>
      </x:c>
      <x:c r="C383" s="34" t="str">
        <x:v>block valid</x:v>
      </x:c>
      <x:c r="D383" s="34" t="str">
        <x:v>blockValid</x:v>
      </x:c>
      <x:c r="E383" s="34" t="str"/>
      <x:c r="F383" s="34" t="str">
        <x:v>boolean</x:v>
      </x:c>
      <x:c r="G383" s="34" t="str">
        <x:v>analysis.json</x:v>
      </x:c>
      <x:c r="H383" s="44" t="str">
        <x:v>Valore blockValid come registrato dalla campagna v4.2 (JSON schemaVersion 4).</x:v>
      </x:c>
    </x:row>
    <x:row r="384">
      <x:c r="A384" s="34" t="str">
        <x:v>Lifecycle</x:v>
      </x:c>
      <x:c r="B384" s="34" t="str">
        <x:v>LifecycleForksV4</x:v>
      </x:c>
      <x:c r="C384" s="34" t="str">
        <x:v>cycles</x:v>
      </x:c>
      <x:c r="D384" s="34" t="str">
        <x:v>cycleCount</x:v>
      </x:c>
      <x:c r="E384" s="34" t="str"/>
      <x:c r="F384" s="34" t="str">
        <x:v>integer</x:v>
      </x:c>
      <x:c r="G384" s="34" t="str">
        <x:v>analysis.json</x:v>
      </x:c>
      <x:c r="H384" s="44" t="str">
        <x:v>Valore cycleCount come registrato dalla campagna v4.2 (JSON schemaVersion 4).</x:v>
      </x:c>
    </x:row>
    <x:row r="385">
      <x:c r="A385" s="34" t="str">
        <x:v>Lifecycle</x:v>
      </x:c>
      <x:c r="B385" s="34" t="str">
        <x:v>LifecycleForksV4</x:v>
      </x:c>
      <x:c r="C385" s="34" t="str">
        <x:v>redeploy ready all cycles</x:v>
      </x:c>
      <x:c r="D385" s="34" t="str">
        <x:v>redeployReadyAllCycles</x:v>
      </x:c>
      <x:c r="E385" s="34" t="str"/>
      <x:c r="F385" s="34" t="str">
        <x:v>boolean</x:v>
      </x:c>
      <x:c r="G385" s="34" t="str">
        <x:v>analysis.json</x:v>
      </x:c>
      <x:c r="H385" s="44" t="str">
        <x:v>Valore redeployReadyAllCycles come registrato dalla campagna v4.2 (JSON schemaVersion 4).</x:v>
      </x:c>
    </x:row>
    <x:row r="386">
      <x:c r="A386" s="34" t="str">
        <x:v>Lifecycle</x:v>
      </x:c>
      <x:c r="B386" s="34" t="str">
        <x:v>LifecycleForksV4</x:v>
      </x:c>
      <x:c r="C386" s="34" t="str">
        <x:v>positive findleaks checkpoints: first undeploy</x:v>
      </x:c>
      <x:c r="D386" s="34" t="str">
        <x:v>firstUndeployTargetFindleaksObservationCount</x:v>
      </x:c>
      <x:c r="E386" s="34" t="str"/>
      <x:c r="F386" s="34" t="str">
        <x:v>integer</x:v>
      </x:c>
      <x:c r="G386" s="34" t="str">
        <x:v>analysis.json</x:v>
      </x:c>
      <x:c r="H386" s="44" t="str">
        <x:v>Numero di checkpoint nei quali il contesto target compare nell'output findleaks dopo il primo undeploy.</x:v>
      </x:c>
    </x:row>
    <x:row r="387">
      <x:c r="A387" s="34" t="str">
        <x:v>Lifecycle</x:v>
      </x:c>
      <x:c r="B387" s="34" t="str">
        <x:v>LifecycleForksV4</x:v>
      </x:c>
      <x:c r="C387" s="34" t="str">
        <x:v>positive findleaks checkpoints: final undeploy</x:v>
      </x:c>
      <x:c r="D387" s="34" t="str">
        <x:v>finalUndeployTargetFindleaksObservationCount</x:v>
      </x:c>
      <x:c r="E387" s="34" t="str"/>
      <x:c r="F387" s="34" t="str">
        <x:v>integer</x:v>
      </x:c>
      <x:c r="G387" s="34" t="str">
        <x:v>analysis.json</x:v>
      </x:c>
      <x:c r="H387" s="44" t="str">
        <x:v>Numero di checkpoint nei quali il contesto target compare nell'output findleaks dopo l'undeploy finale.</x:v>
      </x:c>
    </x:row>
    <x:row r="388">
      <x:c r="A388" s="34" t="str">
        <x:v>Lifecycle</x:v>
      </x:c>
      <x:c r="B388" s="34" t="str">
        <x:v>LifecycleForksV4</x:v>
      </x:c>
      <x:c r="C388" s="34" t="str">
        <x:v>positive findleaks checkpoints: total</x:v>
      </x:c>
      <x:c r="D388" s="34" t="str">
        <x:v>targetFindleaksObservationCount</x:v>
      </x:c>
      <x:c r="E388" s="34" t="str"/>
      <x:c r="F388" s="34" t="str">
        <x:v>integer</x:v>
      </x:c>
      <x:c r="G388" s="34" t="str">
        <x:v>analysis.json</x:v>
      </x:c>
      <x:c r="H388" s="44" t="str">
        <x:v>Valore targetFindleaksObservationCount come registrato dalla campagna v4.2 (JSON schemaVersion 4).</x:v>
      </x:c>
    </x:row>
    <x:row r="389">
      <x:c r="A389" s="34" t="str">
        <x:v>Lifecycle</x:v>
      </x:c>
      <x:c r="B389" s="34" t="str">
        <x:v>LifecycleForksV4</x:v>
      </x:c>
      <x:c r="C389" s="34" t="str">
        <x:v>thread warnings first</x:v>
      </x:c>
      <x:c r="D389" s="34" t="str">
        <x:v>firstUndeployThreadLeakWarningCount</x:v>
      </x:c>
      <x:c r="E389" s="34" t="str"/>
      <x:c r="F389" s="34" t="str">
        <x:v>integer</x:v>
      </x:c>
      <x:c r="G389" s="34" t="str">
        <x:v>analysis.json</x:v>
      </x:c>
      <x:c r="H389" s="44" t="str">
        <x:v>Valore firstUndeployThreadLeakWarningCount come registrato dalla campagna v4.2 (JSON schemaVersion 4).</x:v>
      </x:c>
    </x:row>
    <x:row r="390">
      <x:c r="A390" s="34" t="str">
        <x:v>Lifecycle</x:v>
      </x:c>
      <x:c r="B390" s="34" t="str">
        <x:v>LifecycleForksV4</x:v>
      </x:c>
      <x:c r="C390" s="34" t="str">
        <x:v>thread warnings final</x:v>
      </x:c>
      <x:c r="D390" s="34" t="str">
        <x:v>finalUndeployThreadLeakWarningCount</x:v>
      </x:c>
      <x:c r="E390" s="34" t="str"/>
      <x:c r="F390" s="34" t="str">
        <x:v>integer</x:v>
      </x:c>
      <x:c r="G390" s="34" t="str">
        <x:v>analysis.json</x:v>
      </x:c>
      <x:c r="H390" s="44" t="str">
        <x:v>Valore finalUndeployThreadLeakWarningCount come registrato dalla campagna v4.2 (JSON schemaVersion 4).</x:v>
      </x:c>
    </x:row>
    <x:row r="391">
      <x:c r="A391" s="34" t="str">
        <x:v>Lifecycle</x:v>
      </x:c>
      <x:c r="B391" s="34" t="str">
        <x:v>LifecycleForksV4</x:v>
      </x:c>
      <x:c r="C391" s="34" t="str">
        <x:v>thread warnings total</x:v>
      </x:c>
      <x:c r="D391" s="34" t="str">
        <x:v>threadLeakWarningCount</x:v>
      </x:c>
      <x:c r="E391" s="34" t="str"/>
      <x:c r="F391" s="34" t="str">
        <x:v>integer</x:v>
      </x:c>
      <x:c r="G391" s="34" t="str">
        <x:v>analysis.json</x:v>
      </x:c>
      <x:c r="H391" s="44" t="str">
        <x:v>Valore threadLeakWarningCount come registrato dalla campagna v4.2 (JSON schemaVersion 4).</x:v>
      </x:c>
    </x:row>
    <x:row r="392">
      <x:c r="A392" s="34" t="str">
        <x:v>Lifecycle</x:v>
      </x:c>
      <x:c r="B392" s="34" t="str">
        <x:v>LifecycleForksV4</x:v>
      </x:c>
      <x:c r="C392" s="34" t="str">
        <x:v>JCS signature observations</x:v>
      </x:c>
      <x:c r="D392" s="34" t="str">
        <x:v>jcsThreadSignatureObservationCount</x:v>
      </x:c>
      <x:c r="E392" s="34" t="str"/>
      <x:c r="F392" s="34" t="str">
        <x:v>integer</x:v>
      </x:c>
      <x:c r="G392" s="34" t="str">
        <x:v>analysis.json</x:v>
      </x:c>
      <x:c r="H392" s="44" t="str">
        <x:v>Valore jcsThreadSignatureObservationCount come registrato dalla campagna v4.2 (JSON schemaVersion 4).</x:v>
      </x:c>
    </x:row>
    <x:row r="393">
      <x:c r="A393" s="34" t="str">
        <x:v>Lifecycle</x:v>
      </x:c>
      <x:c r="B393" s="34" t="str">
        <x:v>LifecycleForksV4</x:v>
      </x:c>
      <x:c r="C393" s="34" t="str">
        <x:v>JCS signature observed</x:v>
      </x:c>
      <x:c r="D393" s="34" t="str">
        <x:v>jcsThreadSignatureObserved</x:v>
      </x:c>
      <x:c r="E393" s="34" t="str"/>
      <x:c r="F393" s="34" t="str">
        <x:v>boolean</x:v>
      </x:c>
      <x:c r="G393" s="34" t="str">
        <x:v>analysis.json</x:v>
      </x:c>
      <x:c r="H393" s="44" t="str">
        <x:v>Valore jcsThreadSignatureObserved come registrato dalla campagna v4.2 (JSON schemaVersion 4).</x:v>
      </x:c>
    </x:row>
    <x:row r="394">
      <x:c r="A394" s="34" t="str">
        <x:v>Lifecycle</x:v>
      </x:c>
      <x:c r="B394" s="34" t="str">
        <x:v>LifecycleForksV4</x:v>
      </x:c>
      <x:c r="C394" s="34" t="str">
        <x:v>corroborated undeploy intervals</x:v>
      </x:c>
      <x:c r="D394" s="34" t="str">
        <x:v>jcs248CorroboratedUndeployCount</x:v>
      </x:c>
      <x:c r="E394" s="34" t="str">
        <x:v>interval</x:v>
      </x:c>
      <x:c r="F394" s="34" t="str">
        <x:v>integer</x:v>
      </x:c>
      <x:c r="G394" s="34" t="str">
        <x:v>analysis.json</x:v>
      </x:c>
      <x:c r="H394" s="44" t="str">
        <x:v>Numero di intervalli di undeploy nei quali coesistono firma thread JCS e warning Tomcat.</x:v>
      </x:c>
    </x:row>
    <x:row r="395">
      <x:c r="A395" s="34" t="str">
        <x:v>Lifecycle</x:v>
      </x:c>
      <x:c r="B395" s="34" t="str">
        <x:v>LifecycleForksV4</x:v>
      </x:c>
      <x:c r="C395" s="34" t="str">
        <x:v>corroborated interval details (JSON)</x:v>
      </x:c>
      <x:c r="D395" s="34" t="str">
        <x:v>jcs248CorroboratedIntervals</x:v>
      </x:c>
      <x:c r="E395" s="34" t="str"/>
      <x:c r="F395" s="34" t="str">
        <x:v>text</x:v>
      </x:c>
      <x:c r="G395" s="34" t="str">
        <x:v>analysis.json</x:v>
      </x:c>
      <x:c r="H395" s="44" t="str">
        <x:v>Dettaglio preservato di ciclo, fase e conteggi che formano ciascun segnale corroborato.</x:v>
      </x:c>
    </x:row>
    <x:row r="396">
      <x:c r="A396" s="34" t="str">
        <x:v>Lifecycle</x:v>
      </x:c>
      <x:c r="B396" s="34" t="str">
        <x:v>LifecycleForksV4</x:v>
      </x:c>
      <x:c r="C396" s="34" t="str">
        <x:v>JCS-248 signal corroborated</x:v>
      </x:c>
      <x:c r="D396" s="34" t="str">
        <x:v>jcs248CorroboratedSignalObserved</x:v>
      </x:c>
      <x:c r="E396" s="34" t="str"/>
      <x:c r="F396" s="34" t="str">
        <x:v>boolean</x:v>
      </x:c>
      <x:c r="G396" s="34" t="str">
        <x:v>analysis.json</x:v>
      </x:c>
      <x:c r="H396" s="44" t="str">
        <x:v>Valore jcs248CorroboratedSignalObserved come registrato dalla campagna v4.2 (JSON schemaVersion 4).</x:v>
      </x:c>
    </x:row>
    <x:row r="397">
      <x:c r="A397" s="34" t="str">
        <x:v>Lifecycle</x:v>
      </x:c>
      <x:c r="B397" s="34" t="str">
        <x:v>LifecycleForksV4</x:v>
      </x:c>
      <x:c r="C397" s="34" t="str">
        <x:v>heap slope (bytes/cycle)</x:v>
      </x:c>
      <x:c r="D397" s="34" t="str">
        <x:v>absoluteFinalHeapSlopeBytesPerCycle</x:v>
      </x:c>
      <x:c r="E397" s="34" t="str">
        <x:v>byte/cycle</x:v>
      </x:c>
      <x:c r="F397" s="34" t="str">
        <x:v>number</x:v>
      </x:c>
      <x:c r="G397" s="34" t="str">
        <x:v>analysis.json</x:v>
      </x:c>
      <x:c r="H397" s="44" t="str">
        <x:v>Valore absoluteFinalHeapSlopeBytesPerCycle come registrato dalla campagna v4.2 (JSON schemaVersion 4).</x:v>
      </x:c>
    </x:row>
    <x:row r="398">
      <x:c r="A398" s="34" t="str">
        <x:v>Lifecycle</x:v>
      </x:c>
      <x:c r="B398" s="34" t="str">
        <x:v>LifecycleForksV4</x:v>
      </x:c>
      <x:c r="C398" s="34" t="str">
        <x:v>NMT slope (bytes/cycle)</x:v>
      </x:c>
      <x:c r="D398" s="34" t="str">
        <x:v>absoluteFinalNativeCommittedSlopeBytesPerCycle</x:v>
      </x:c>
      <x:c r="E398" s="34" t="str">
        <x:v>byte/cycle</x:v>
      </x:c>
      <x:c r="F398" s="34" t="str">
        <x:v>number</x:v>
      </x:c>
      <x:c r="G398" s="34" t="str">
        <x:v>analysis.json</x:v>
      </x:c>
      <x:c r="H398" s="44" t="str">
        <x:v>Valore absoluteFinalNativeCommittedSlopeBytesPerCycle come registrato dalla campagna v4.2 (JSON schemaVersion 4).</x:v>
      </x:c>
    </x:row>
    <x:row r="399">
      <x:c r="A399" s="34" t="str">
        <x:v>Lifecycle</x:v>
      </x:c>
      <x:c r="B399" s="34" t="str">
        <x:v>LifecycleForksV4</x:v>
      </x:c>
      <x:c r="C399" s="34" t="str">
        <x:v>classloader-row slope</x:v>
      </x:c>
      <x:c r="D399" s="34" t="str">
        <x:v>absoluteFinalWebappClassloaderSlopePerCycle</x:v>
      </x:c>
      <x:c r="E399" s="34" t="str">
        <x:v>row/cycle</x:v>
      </x:c>
      <x:c r="F399" s="34" t="str">
        <x:v>number</x:v>
      </x:c>
      <x:c r="G399" s="34" t="str">
        <x:v>analysis.json</x:v>
      </x:c>
      <x:c r="H399" s="44" t="str">
        <x:v>Valore absoluteFinalWebappClassloaderSlopePerCycle come registrato dalla campagna v4.2 (JSON schemaVersion 4).</x:v>
      </x:c>
    </x:row>
    <x:row r="400">
      <x:c r="A400" s="34" t="str">
        <x:v>Lifecycle</x:v>
      </x:c>
      <x:c r="B400" s="34" t="str">
        <x:v>LifecycleForksV4</x:v>
      </x:c>
      <x:c r="C400" s="34" t="str">
        <x:v>thread slope</x:v>
      </x:c>
      <x:c r="D400" s="34" t="str">
        <x:v>absoluteFinalLiveThreadSlopePerCycle</x:v>
      </x:c>
      <x:c r="E400" s="34" t="str">
        <x:v>thread/cycle</x:v>
      </x:c>
      <x:c r="F400" s="34" t="str">
        <x:v>number</x:v>
      </x:c>
      <x:c r="G400" s="34" t="str">
        <x:v>analysis.json</x:v>
      </x:c>
      <x:c r="H400" s="44" t="str">
        <x:v>Valore absoluteFinalLiveThreadSlopePerCycle come registrato dalla campagna v4.2 (JSON schemaVersion 4).</x:v>
      </x:c>
    </x:row>
    <x:row r="401">
      <x:c r="A401" s="34" t="str">
        <x:v>Lifecycle</x:v>
      </x:c>
      <x:c r="B401" s="34" t="str">
        <x:v>LifecycleForksV4</x:v>
      </x:c>
      <x:c r="C401" s="34" t="str">
        <x:v>heap first (bytes)</x:v>
      </x:c>
      <x:c r="D401" s="34" t="str">
        <x:v>absoluteFinalHeapFirstBytes</x:v>
      </x:c>
      <x:c r="E401" s="34" t="str">
        <x:v>byte</x:v>
      </x:c>
      <x:c r="F401" s="34" t="str">
        <x:v>bytes</x:v>
      </x:c>
      <x:c r="G401" s="34" t="str">
        <x:v>analysis.json</x:v>
      </x:c>
      <x:c r="H401" s="44" t="str">
        <x:v>Valore absoluteFinalHeapFirstBytes come registrato dalla campagna v4.2 (JSON schemaVersion 4).</x:v>
      </x:c>
    </x:row>
    <x:row r="402">
      <x:c r="A402" s="34" t="str">
        <x:v>Lifecycle</x:v>
      </x:c>
      <x:c r="B402" s="34" t="str">
        <x:v>LifecycleForksV4</x:v>
      </x:c>
      <x:c r="C402" s="34" t="str">
        <x:v>heap last (bytes)</x:v>
      </x:c>
      <x:c r="D402" s="34" t="str">
        <x:v>absoluteFinalHeapLastBytes</x:v>
      </x:c>
      <x:c r="E402" s="34" t="str">
        <x:v>byte</x:v>
      </x:c>
      <x:c r="F402" s="34" t="str">
        <x:v>bytes</x:v>
      </x:c>
      <x:c r="G402" s="34" t="str">
        <x:v>analysis.json</x:v>
      </x:c>
      <x:c r="H402" s="44" t="str">
        <x:v>Valore absoluteFinalHeapLastBytes come registrato dalla campagna v4.2 (JSON schemaVersion 4).</x:v>
      </x:c>
    </x:row>
    <x:row r="403">
      <x:c r="A403" s="34" t="str">
        <x:v>Lifecycle</x:v>
      </x:c>
      <x:c r="B403" s="34" t="str">
        <x:v>LifecycleForksV4</x:v>
      </x:c>
      <x:c r="C403" s="34" t="str">
        <x:v>NMT first (bytes)</x:v>
      </x:c>
      <x:c r="D403" s="34" t="str">
        <x:v>absoluteFinalNativeCommittedFirstBytes</x:v>
      </x:c>
      <x:c r="E403" s="34" t="str">
        <x:v>byte</x:v>
      </x:c>
      <x:c r="F403" s="34" t="str">
        <x:v>bytes</x:v>
      </x:c>
      <x:c r="G403" s="34" t="str">
        <x:v>analysis.json</x:v>
      </x:c>
      <x:c r="H403" s="44" t="str">
        <x:v>Valore absoluteFinalNativeCommittedFirstBytes come registrato dalla campagna v4.2 (JSON schemaVersion 4).</x:v>
      </x:c>
    </x:row>
    <x:row r="404">
      <x:c r="A404" s="34" t="str">
        <x:v>Lifecycle</x:v>
      </x:c>
      <x:c r="B404" s="34" t="str">
        <x:v>LifecycleForksV4</x:v>
      </x:c>
      <x:c r="C404" s="34" t="str">
        <x:v>NMT last (bytes)</x:v>
      </x:c>
      <x:c r="D404" s="34" t="str">
        <x:v>absoluteFinalNativeCommittedLastBytes</x:v>
      </x:c>
      <x:c r="E404" s="34" t="str">
        <x:v>byte</x:v>
      </x:c>
      <x:c r="F404" s="34" t="str">
        <x:v>bytes</x:v>
      </x:c>
      <x:c r="G404" s="34" t="str">
        <x:v>analysis.json</x:v>
      </x:c>
      <x:c r="H404" s="44" t="str">
        <x:v>Valore absoluteFinalNativeCommittedLastBytes come registrato dalla campagna v4.2 (JSON schemaVersion 4).</x:v>
      </x:c>
    </x:row>
    <x:row r="405">
      <x:c r="A405" s="34" t="str">
        <x:v>Lifecycle</x:v>
      </x:c>
      <x:c r="B405" s="34" t="str">
        <x:v>LifecycleForksV4</x:v>
      </x:c>
      <x:c r="C405" s="34" t="str">
        <x:v>classloader rows first</x:v>
      </x:c>
      <x:c r="D405" s="34" t="str">
        <x:v>absoluteFinalWebappClassloaderFirst</x:v>
      </x:c>
      <x:c r="E405" s="34" t="str">
        <x:v>row</x:v>
      </x:c>
      <x:c r="F405" s="34" t="str">
        <x:v>integer</x:v>
      </x:c>
      <x:c r="G405" s="34" t="str">
        <x:v>analysis.json</x:v>
      </x:c>
      <x:c r="H405" s="44" t="str">
        <x:v>Valore absoluteFinalWebappClassloaderFirst come registrato dalla campagna v4.2 (JSON schemaVersion 4).</x:v>
      </x:c>
    </x:row>
    <x:row r="406">
      <x:c r="A406" s="34" t="str">
        <x:v>Lifecycle</x:v>
      </x:c>
      <x:c r="B406" s="34" t="str">
        <x:v>LifecycleForksV4</x:v>
      </x:c>
      <x:c r="C406" s="34" t="str">
        <x:v>classloader rows last</x:v>
      </x:c>
      <x:c r="D406" s="34" t="str">
        <x:v>absoluteFinalWebappClassloaderLast</x:v>
      </x:c>
      <x:c r="E406" s="34" t="str">
        <x:v>row</x:v>
      </x:c>
      <x:c r="F406" s="34" t="str">
        <x:v>integer</x:v>
      </x:c>
      <x:c r="G406" s="34" t="str">
        <x:v>analysis.json</x:v>
      </x:c>
      <x:c r="H406" s="44" t="str">
        <x:v>Valore absoluteFinalWebappClassloaderLast come registrato dalla campagna v4.2 (JSON schemaVersion 4).</x:v>
      </x:c>
    </x:row>
    <x:row r="407">
      <x:c r="A407" s="34" t="str">
        <x:v>Lifecycle</x:v>
      </x:c>
      <x:c r="B407" s="34" t="str">
        <x:v>LifecycleForksV4</x:v>
      </x:c>
      <x:c r="C407" s="34" t="str">
        <x:v>threads first</x:v>
      </x:c>
      <x:c r="D407" s="34" t="str">
        <x:v>absoluteFinalLiveThreadFirst</x:v>
      </x:c>
      <x:c r="E407" s="34" t="str">
        <x:v>thread</x:v>
      </x:c>
      <x:c r="F407" s="34" t="str">
        <x:v>integer</x:v>
      </x:c>
      <x:c r="G407" s="34" t="str">
        <x:v>analysis.json</x:v>
      </x:c>
      <x:c r="H407" s="44" t="str">
        <x:v>Valore absoluteFinalLiveThreadFirst come registrato dalla campagna v4.2 (JSON schemaVersion 4).</x:v>
      </x:c>
    </x:row>
    <x:row r="408">
      <x:c r="A408" s="34" t="str">
        <x:v>Lifecycle</x:v>
      </x:c>
      <x:c r="B408" s="34" t="str">
        <x:v>LifecycleForksV4</x:v>
      </x:c>
      <x:c r="C408" s="34" t="str">
        <x:v>threads last</x:v>
      </x:c>
      <x:c r="D408" s="34" t="str">
        <x:v>absoluteFinalLiveThreadLast</x:v>
      </x:c>
      <x:c r="E408" s="34" t="str">
        <x:v>thread</x:v>
      </x:c>
      <x:c r="F408" s="34" t="str">
        <x:v>integer</x:v>
      </x:c>
      <x:c r="G408" s="34" t="str">
        <x:v>analysis.json</x:v>
      </x:c>
      <x:c r="H408" s="44" t="str">
        <x:v>Valore absoluteFinalLiveThreadLast come registrato dalla campagna v4.2 (JSON schemaVersion 4).</x:v>
      </x:c>
    </x:row>
    <x:row r="409">
      <x:c r="A409" s="34" t="str">
        <x:v>Lifecycle</x:v>
      </x:c>
      <x:c r="B409" s="34" t="str">
        <x:v>LifecycleCyclesV4</x:v>
      </x:c>
      <x:c r="C409" s="34" t="str">
        <x:v>processRunId</x:v>
      </x:c>
      <x:c r="D409" s="34" t="str">
        <x:v>processRunId</x:v>
      </x:c>
      <x:c r="E409" s="34" t="str"/>
      <x:c r="F409" s="34" t="str">
        <x:v>text</x:v>
      </x:c>
      <x:c r="G409" s="34" t="str">
        <x:v>results.json</x:v>
      </x:c>
      <x:c r="H409" s="44" t="str">
        <x:v>Valore processRunId come registrato dalla campagna v4.2 (JSON schemaVersion 4).</x:v>
      </x:c>
    </x:row>
    <x:row r="410">
      <x:c r="A410" s="34" t="str">
        <x:v>Lifecycle</x:v>
      </x:c>
      <x:c r="B410" s="34" t="str">
        <x:v>LifecycleCyclesV4</x:v>
      </x:c>
      <x:c r="C410" s="34" t="str">
        <x:v>scenario</x:v>
      </x:c>
      <x:c r="D410" s="34" t="str">
        <x:v>scenario</x:v>
      </x:c>
      <x:c r="E410" s="34" t="str"/>
      <x:c r="F410" s="34" t="str">
        <x:v>text</x:v>
      </x:c>
      <x:c r="G410" s="34" t="str">
        <x:v>results.json</x:v>
      </x:c>
      <x:c r="H410" s="44" t="str">
        <x:v>Valore scenario come registrato dalla campagna v4.2 (JSON schemaVersion 4).</x:v>
      </x:c>
    </x:row>
    <x:row r="411">
      <x:c r="A411" s="34" t="str">
        <x:v>Lifecycle</x:v>
      </x:c>
      <x:c r="B411" s="34" t="str">
        <x:v>LifecycleCyclesV4</x:v>
      </x:c>
      <x:c r="C411" s="34" t="str">
        <x:v>provider</x:v>
      </x:c>
      <x:c r="D411" s="34" t="str">
        <x:v>provider</x:v>
      </x:c>
      <x:c r="E411" s="34" t="str"/>
      <x:c r="F411" s="34" t="str">
        <x:v>text</x:v>
      </x:c>
      <x:c r="G411" s="34" t="str">
        <x:v>results.json</x:v>
      </x:c>
      <x:c r="H411" s="44" t="str">
        <x:v>Valore provider come registrato dalla campagna v4.2 (JSON schemaVersion 4).</x:v>
      </x:c>
    </x:row>
    <x:row r="412">
      <x:c r="A412" s="34" t="str">
        <x:v>Lifecycle</x:v>
      </x:c>
      <x:c r="B412" s="34" t="str">
        <x:v>LifecycleCyclesV4</x:v>
      </x:c>
      <x:c r="C412" s="34" t="str">
        <x:v>fork</x:v>
      </x:c>
      <x:c r="D412" s="34" t="str">
        <x:v>fork</x:v>
      </x:c>
      <x:c r="E412" s="34" t="str"/>
      <x:c r="F412" s="34" t="str">
        <x:v>integer</x:v>
      </x:c>
      <x:c r="G412" s="34" t="str">
        <x:v>results.json</x:v>
      </x:c>
      <x:c r="H412" s="44" t="str">
        <x:v>Valore fork come registrato dalla campagna v4.2 (JSON schemaVersion 4).</x:v>
      </x:c>
    </x:row>
    <x:row r="413">
      <x:c r="A413" s="34" t="str">
        <x:v>Lifecycle</x:v>
      </x:c>
      <x:c r="B413" s="34" t="str">
        <x:v>LifecycleCyclesV4</x:v>
      </x:c>
      <x:c r="C413" s="34" t="str">
        <x:v>Williams block</x:v>
      </x:c>
      <x:c r="D413" s="34" t="str">
        <x:v>block</x:v>
      </x:c>
      <x:c r="E413" s="34" t="str"/>
      <x:c r="F413" s="34" t="str">
        <x:v>integer</x:v>
      </x:c>
      <x:c r="G413" s="34" t="str">
        <x:v>results.json</x:v>
      </x:c>
      <x:c r="H413" s="44" t="str">
        <x:v>Valore block come registrato dalla campagna v4.2 (JSON schemaVersion 4).</x:v>
      </x:c>
    </x:row>
    <x:row r="414">
      <x:c r="A414" s="34" t="str">
        <x:v>Lifecycle</x:v>
      </x:c>
      <x:c r="B414" s="34" t="str">
        <x:v>LifecycleCyclesV4</x:v>
      </x:c>
      <x:c r="C414" s="34" t="str">
        <x:v>orderPosition</x:v>
      </x:c>
      <x:c r="D414" s="34" t="str">
        <x:v>orderPosition</x:v>
      </x:c>
      <x:c r="E414" s="34" t="str"/>
      <x:c r="F414" s="34" t="str">
        <x:v>integer</x:v>
      </x:c>
      <x:c r="G414" s="34" t="str">
        <x:v>results.json</x:v>
      </x:c>
      <x:c r="H414" s="44" t="str">
        <x:v>Valore orderPosition come registrato dalla campagna v4.2 (JSON schemaVersion 4).</x:v>
      </x:c>
    </x:row>
    <x:row r="415">
      <x:c r="A415" s="34" t="str">
        <x:v>Lifecycle</x:v>
      </x:c>
      <x:c r="B415" s="34" t="str">
        <x:v>LifecycleCyclesV4</x:v>
      </x:c>
      <x:c r="C415" s="34" t="str">
        <x:v>cycle</x:v>
      </x:c>
      <x:c r="D415" s="34" t="str">
        <x:v>cycle</x:v>
      </x:c>
      <x:c r="E415" s="34" t="str"/>
      <x:c r="F415" s="34" t="str">
        <x:v>integer</x:v>
      </x:c>
      <x:c r="G415" s="34" t="str">
        <x:v>results.json</x:v>
      </x:c>
      <x:c r="H415" s="44" t="str">
        <x:v>Valore cycle come registrato dalla campagna v4.2 (JSON schemaVersion 4).</x:v>
      </x:c>
    </x:row>
    <x:row r="416">
      <x:c r="A416" s="34" t="str">
        <x:v>Lifecycle</x:v>
      </x:c>
      <x:c r="B416" s="34" t="str">
        <x:v>LifecycleCyclesV4</x:v>
      </x:c>
      <x:c r="C416" s="34" t="str">
        <x:v>deploy (ms)</x:v>
      </x:c>
      <x:c r="D416" s="34" t="str">
        <x:v>deployMs</x:v>
      </x:c>
      <x:c r="E416" s="34" t="str">
        <x:v>ms</x:v>
      </x:c>
      <x:c r="F416" s="34" t="str">
        <x:v>duration</x:v>
      </x:c>
      <x:c r="G416" s="34" t="str">
        <x:v>results.json</x:v>
      </x:c>
      <x:c r="H416" s="44" t="str">
        <x:v>Valore deployMs come registrato dalla campagna v4.2 (JSON schemaVersion 4).</x:v>
      </x:c>
    </x:row>
    <x:row r="417">
      <x:c r="A417" s="34" t="str">
        <x:v>Lifecycle</x:v>
      </x:c>
      <x:c r="B417" s="34" t="str">
        <x:v>LifecycleCyclesV4</x:v>
      </x:c>
      <x:c r="C417" s="34" t="str">
        <x:v>undeploy (ms)</x:v>
      </x:c>
      <x:c r="D417" s="34" t="str">
        <x:v>undeployMs</x:v>
      </x:c>
      <x:c r="E417" s="34" t="str">
        <x:v>ms</x:v>
      </x:c>
      <x:c r="F417" s="34" t="str">
        <x:v>duration</x:v>
      </x:c>
      <x:c r="G417" s="34" t="str">
        <x:v>results.json</x:v>
      </x:c>
      <x:c r="H417" s="44" t="str">
        <x:v>Valore undeployMs come registrato dalla campagna v4.2 (JSON schemaVersion 4).</x:v>
      </x:c>
    </x:row>
    <x:row r="418">
      <x:c r="A418" s="34" t="str">
        <x:v>Lifecycle</x:v>
      </x:c>
      <x:c r="B418" s="34" t="str">
        <x:v>LifecycleCyclesV4</x:v>
      </x:c>
      <x:c r="C418" s="34" t="str">
        <x:v>redeploy (ms)</x:v>
      </x:c>
      <x:c r="D418" s="34" t="str">
        <x:v>redeployMs</x:v>
      </x:c>
      <x:c r="E418" s="34" t="str">
        <x:v>ms</x:v>
      </x:c>
      <x:c r="F418" s="34" t="str">
        <x:v>duration</x:v>
      </x:c>
      <x:c r="G418" s="34" t="str">
        <x:v>results.json</x:v>
      </x:c>
      <x:c r="H418" s="44" t="str">
        <x:v>Valore redeployMs come registrato dalla campagna v4.2 (JSON schemaVersion 4).</x:v>
      </x:c>
    </x:row>
    <x:row r="419">
      <x:c r="A419" s="34" t="str">
        <x:v>Lifecycle</x:v>
      </x:c>
      <x:c r="B419" s="34" t="str">
        <x:v>LifecycleCyclesV4</x:v>
      </x:c>
      <x:c r="C419" s="34" t="str">
        <x:v>second undeploy (ms)</x:v>
      </x:c>
      <x:c r="D419" s="34" t="str">
        <x:v>secondUndeployMs</x:v>
      </x:c>
      <x:c r="E419" s="34" t="str">
        <x:v>ms</x:v>
      </x:c>
      <x:c r="F419" s="34" t="str">
        <x:v>duration</x:v>
      </x:c>
      <x:c r="G419" s="34" t="str">
        <x:v>results.json</x:v>
      </x:c>
      <x:c r="H419" s="44" t="str">
        <x:v>Valore secondUndeployMs come registrato dalla campagna v4.2 (JSON schemaVersion 4).</x:v>
      </x:c>
    </x:row>
    <x:row r="420">
      <x:c r="A420" s="34" t="str">
        <x:v>Lifecycle</x:v>
      </x:c>
      <x:c r="B420" s="34" t="str">
        <x:v>LifecycleCyclesV4</x:v>
      </x:c>
      <x:c r="C420" s="34" t="str">
        <x:v>redeploy ready</x:v>
      </x:c>
      <x:c r="D420" s="34" t="str">
        <x:v>redeployReady</x:v>
      </x:c>
      <x:c r="E420" s="34" t="str"/>
      <x:c r="F420" s="34" t="str">
        <x:v>boolean</x:v>
      </x:c>
      <x:c r="G420" s="34" t="str">
        <x:v>results.json</x:v>
      </x:c>
      <x:c r="H420" s="44" t="str">
        <x:v>Valore redeployReady come registrato dalla campagna v4.2 (JSON schemaVersion 4).</x:v>
      </x:c>
    </x:row>
    <x:row r="421">
      <x:c r="A421" s="34" t="str">
        <x:v>Lifecycle</x:v>
      </x:c>
      <x:c r="B421" s="34" t="str">
        <x:v>LifecycleCyclesV4</x:v>
      </x:c>
      <x:c r="C421" s="34" t="str">
        <x:v>redeploy workload gate</x:v>
      </x:c>
      <x:c r="D421" s="34" t="str">
        <x:v>redeployWorkloadPassed</x:v>
      </x:c>
      <x:c r="E421" s="34" t="str"/>
      <x:c r="F421" s="34" t="str">
        <x:v>boolean</x:v>
      </x:c>
      <x:c r="G421" s="34" t="str">
        <x:v>results.json</x:v>
      </x:c>
      <x:c r="H421" s="44" t="str">
        <x:v>Valore redeployWorkloadPassed come registrato dalla campagna v4.2 (JSON schemaVersion 4).</x:v>
      </x:c>
    </x:row>
    <x:row r="422">
      <x:c r="A422" s="34" t="str">
        <x:v>Lifecycle</x:v>
      </x:c>
      <x:c r="B422" s="34" t="str">
        <x:v>LifecycleCyclesV4</x:v>
      </x:c>
      <x:c r="C422" s="34" t="str">
        <x:v>redeploy passed</x:v>
      </x:c>
      <x:c r="D422" s="34" t="str">
        <x:v>redeployPassed</x:v>
      </x:c>
      <x:c r="E422" s="34" t="str"/>
      <x:c r="F422" s="34" t="str">
        <x:v>boolean</x:v>
      </x:c>
      <x:c r="G422" s="34" t="str">
        <x:v>results.json</x:v>
      </x:c>
      <x:c r="H422" s="44" t="str">
        <x:v>Valore redeployPassed come registrato dalla campagna v4.2 (JSON schemaVersion 4).</x:v>
      </x:c>
    </x:row>
    <x:row r="423">
      <x:c r="A423" s="34" t="str">
        <x:v>Lifecycle</x:v>
      </x:c>
      <x:c r="B423" s="34" t="str">
        <x:v>LifecycleCyclesV4</x:v>
      </x:c>
      <x:c r="C423" s="34" t="str">
        <x:v>first undeploy: early target (s)</x:v>
      </x:c>
      <x:c r="D423" s="34" t="str">
        <x:v>firstEarlyTargetSeconds</x:v>
      </x:c>
      <x:c r="E423" s="34" t="str">
        <x:v>s after undeploy</x:v>
      </x:c>
      <x:c r="F423" s="34" t="str">
        <x:v>duration</x:v>
      </x:c>
      <x:c r="G423" s="34" t="str">
        <x:v>results.json</x:v>
      </x:c>
      <x:c r="H423" s="44" t="str">
        <x:v>Soglia temporale minima configurata, non istante esatto di campionamento.</x:v>
      </x:c>
    </x:row>
    <x:row r="424">
      <x:c r="A424" s="34" t="str">
        <x:v>Lifecycle</x:v>
      </x:c>
      <x:c r="B424" s="34" t="str">
        <x:v>LifecycleCyclesV4</x:v>
      </x:c>
      <x:c r="C424" s="34" t="str">
        <x:v>first undeploy: early start (s)</x:v>
      </x:c>
      <x:c r="D424" s="34" t="str">
        <x:v>firstEarlyStartedSeconds</x:v>
      </x:c>
      <x:c r="E424" s="34" t="str">
        <x:v>s after undeploy</x:v>
      </x:c>
      <x:c r="F424" s="34" t="str">
        <x:v>duration</x:v>
      </x:c>
      <x:c r="G424" s="34" t="str">
        <x:v>results.json</x:v>
      </x:c>
      <x:c r="H424" s="44" t="str">
        <x:v>Tempo monotonic effettivo di avvio della raccolta thread precoce.</x:v>
      </x:c>
    </x:row>
    <x:row r="425">
      <x:c r="A425" s="34" t="str">
        <x:v>Lifecycle</x:v>
      </x:c>
      <x:c r="B425" s="34" t="str">
        <x:v>LifecycleCyclesV4</x:v>
      </x:c>
      <x:c r="C425" s="34" t="str">
        <x:v>first undeploy: early complete (s)</x:v>
      </x:c>
      <x:c r="D425" s="34" t="str">
        <x:v>firstEarlyCompletedSeconds</x:v>
      </x:c>
      <x:c r="E425" s="34" t="str">
        <x:v>s after undeploy</x:v>
      </x:c>
      <x:c r="F425" s="34" t="str">
        <x:v>duration</x:v>
      </x:c>
      <x:c r="G425" s="34" t="str">
        <x:v>results.json</x:v>
      </x:c>
      <x:c r="H425" s="44" t="str">
        <x:v>Valore firstEarlyCompletedSeconds come registrato dalla campagna v4.2 (JSON schemaVersion 4).</x:v>
      </x:c>
    </x:row>
    <x:row r="426">
      <x:c r="A426" s="34" t="str">
        <x:v>Lifecycle</x:v>
      </x:c>
      <x:c r="B426" s="34" t="str">
        <x:v>LifecycleCyclesV4</x:v>
      </x:c>
      <x:c r="C426" s="34" t="str">
        <x:v>first undeploy: final target (s)</x:v>
      </x:c>
      <x:c r="D426" s="34" t="str">
        <x:v>firstFinalTargetSeconds</x:v>
      </x:c>
      <x:c r="E426" s="34" t="str">
        <x:v>s after undeploy</x:v>
      </x:c>
      <x:c r="F426" s="34" t="str">
        <x:v>duration</x:v>
      </x:c>
      <x:c r="G426" s="34" t="str">
        <x:v>results.json</x:v>
      </x:c>
      <x:c r="H426" s="44" t="str">
        <x:v>Soglia temporale minima configurata per la diagnostica finale.</x:v>
      </x:c>
    </x:row>
    <x:row r="427">
      <x:c r="A427" s="34" t="str">
        <x:v>Lifecycle</x:v>
      </x:c>
      <x:c r="B427" s="34" t="str">
        <x:v>LifecycleCyclesV4</x:v>
      </x:c>
      <x:c r="C427" s="34" t="str">
        <x:v>first undeploy: final start (s)</x:v>
      </x:c>
      <x:c r="D427" s="34" t="str">
        <x:v>firstFinalStartedSeconds</x:v>
      </x:c>
      <x:c r="E427" s="34" t="str">
        <x:v>s after undeploy</x:v>
      </x:c>
      <x:c r="F427" s="34" t="str">
        <x:v>duration</x:v>
      </x:c>
      <x:c r="G427" s="34" t="str">
        <x:v>results.json</x:v>
      </x:c>
      <x:c r="H427" s="44" t="str">
        <x:v>Valore firstFinalStartedSeconds come registrato dalla campagna v4.2 (JSON schemaVersion 4).</x:v>
      </x:c>
    </x:row>
    <x:row r="428">
      <x:c r="A428" s="34" t="str">
        <x:v>Lifecycle</x:v>
      </x:c>
      <x:c r="B428" s="34" t="str">
        <x:v>LifecycleCyclesV4</x:v>
      </x:c>
      <x:c r="C428" s="34" t="str">
        <x:v>first undeploy: findleaks complete (s)</x:v>
      </x:c>
      <x:c r="D428" s="34" t="str">
        <x:v>firstFindLeaksCompletedSeconds</x:v>
      </x:c>
      <x:c r="E428" s="34" t="str">
        <x:v>s after undeploy</x:v>
      </x:c>
      <x:c r="F428" s="34" t="str">
        <x:v>duration</x:v>
      </x:c>
      <x:c r="G428" s="34" t="str">
        <x:v>results.json</x:v>
      </x:c>
      <x:c r="H428" s="44" t="str">
        <x:v>Valore firstFindLeaksCompletedSeconds come registrato dalla campagna v4.2 (JSON schemaVersion 4).</x:v>
      </x:c>
    </x:row>
    <x:row r="429">
      <x:c r="A429" s="34" t="str">
        <x:v>Lifecycle</x:v>
      </x:c>
      <x:c r="B429" s="34" t="str">
        <x:v>LifecycleCyclesV4</x:v>
      </x:c>
      <x:c r="C429" s="34" t="str">
        <x:v>first undeploy: snapshot complete (s)</x:v>
      </x:c>
      <x:c r="D429" s="34" t="str">
        <x:v>firstSnapshotCompletedSeconds</x:v>
      </x:c>
      <x:c r="E429" s="34" t="str">
        <x:v>s after undeploy</x:v>
      </x:c>
      <x:c r="F429" s="34" t="str">
        <x:v>duration</x:v>
      </x:c>
      <x:c r="G429" s="34" t="str">
        <x:v>results.json</x:v>
      </x:c>
      <x:c r="H429" s="44" t="str">
        <x:v>Valore firstSnapshotCompletedSeconds come registrato dalla campagna v4.2 (JSON schemaVersion 4).</x:v>
      </x:c>
    </x:row>
    <x:row r="430">
      <x:c r="A430" s="34" t="str">
        <x:v>Lifecycle</x:v>
      </x:c>
      <x:c r="B430" s="34" t="str">
        <x:v>LifecycleCyclesV4</x:v>
      </x:c>
      <x:c r="C430" s="34" t="str">
        <x:v>final undeploy: early target (s)</x:v>
      </x:c>
      <x:c r="D430" s="34" t="str">
        <x:v>finalEarlyTargetSeconds</x:v>
      </x:c>
      <x:c r="E430" s="34" t="str">
        <x:v>s after undeploy</x:v>
      </x:c>
      <x:c r="F430" s="34" t="str">
        <x:v>duration</x:v>
      </x:c>
      <x:c r="G430" s="34" t="str">
        <x:v>results.json</x:v>
      </x:c>
      <x:c r="H430" s="44" t="str">
        <x:v>Soglia temporale minima configurata, non istante esatto di campionamento.</x:v>
      </x:c>
    </x:row>
    <x:row r="431">
      <x:c r="A431" s="34" t="str">
        <x:v>Lifecycle</x:v>
      </x:c>
      <x:c r="B431" s="34" t="str">
        <x:v>LifecycleCyclesV4</x:v>
      </x:c>
      <x:c r="C431" s="34" t="str">
        <x:v>final undeploy: early start (s)</x:v>
      </x:c>
      <x:c r="D431" s="34" t="str">
        <x:v>finalEarlyStartedSeconds</x:v>
      </x:c>
      <x:c r="E431" s="34" t="str">
        <x:v>s after undeploy</x:v>
      </x:c>
      <x:c r="F431" s="34" t="str">
        <x:v>duration</x:v>
      </x:c>
      <x:c r="G431" s="34" t="str">
        <x:v>results.json</x:v>
      </x:c>
      <x:c r="H431" s="44" t="str">
        <x:v>Valore finalEarlyStartedSeconds come registrato dalla campagna v4.2 (JSON schemaVersion 4).</x:v>
      </x:c>
    </x:row>
    <x:row r="432">
      <x:c r="A432" s="34" t="str">
        <x:v>Lifecycle</x:v>
      </x:c>
      <x:c r="B432" s="34" t="str">
        <x:v>LifecycleCyclesV4</x:v>
      </x:c>
      <x:c r="C432" s="34" t="str">
        <x:v>final undeploy: early complete (s)</x:v>
      </x:c>
      <x:c r="D432" s="34" t="str">
        <x:v>finalEarlyCompletedSeconds</x:v>
      </x:c>
      <x:c r="E432" s="34" t="str">
        <x:v>s after undeploy</x:v>
      </x:c>
      <x:c r="F432" s="34" t="str">
        <x:v>duration</x:v>
      </x:c>
      <x:c r="G432" s="34" t="str">
        <x:v>results.json</x:v>
      </x:c>
      <x:c r="H432" s="44" t="str">
        <x:v>Valore finalEarlyCompletedSeconds come registrato dalla campagna v4.2 (JSON schemaVersion 4).</x:v>
      </x:c>
    </x:row>
    <x:row r="433">
      <x:c r="A433" s="34" t="str">
        <x:v>Lifecycle</x:v>
      </x:c>
      <x:c r="B433" s="34" t="str">
        <x:v>LifecycleCyclesV4</x:v>
      </x:c>
      <x:c r="C433" s="34" t="str">
        <x:v>final undeploy: final target (s)</x:v>
      </x:c>
      <x:c r="D433" s="34" t="str">
        <x:v>finalFinalTargetSeconds</x:v>
      </x:c>
      <x:c r="E433" s="34" t="str">
        <x:v>s after undeploy</x:v>
      </x:c>
      <x:c r="F433" s="34" t="str">
        <x:v>duration</x:v>
      </x:c>
      <x:c r="G433" s="34" t="str">
        <x:v>results.json</x:v>
      </x:c>
      <x:c r="H433" s="44" t="str">
        <x:v>Soglia temporale minima configurata per la diagnostica finale.</x:v>
      </x:c>
    </x:row>
    <x:row r="434">
      <x:c r="A434" s="34" t="str">
        <x:v>Lifecycle</x:v>
      </x:c>
      <x:c r="B434" s="34" t="str">
        <x:v>LifecycleCyclesV4</x:v>
      </x:c>
      <x:c r="C434" s="34" t="str">
        <x:v>final undeploy: final start (s)</x:v>
      </x:c>
      <x:c r="D434" s="34" t="str">
        <x:v>finalFinalStartedSeconds</x:v>
      </x:c>
      <x:c r="E434" s="34" t="str">
        <x:v>s after undeploy</x:v>
      </x:c>
      <x:c r="F434" s="34" t="str">
        <x:v>duration</x:v>
      </x:c>
      <x:c r="G434" s="34" t="str">
        <x:v>results.json</x:v>
      </x:c>
      <x:c r="H434" s="44" t="str">
        <x:v>Valore finalFinalStartedSeconds come registrato dalla campagna v4.2 (JSON schemaVersion 4).</x:v>
      </x:c>
    </x:row>
    <x:row r="435">
      <x:c r="A435" s="34" t="str">
        <x:v>Lifecycle</x:v>
      </x:c>
      <x:c r="B435" s="34" t="str">
        <x:v>LifecycleCyclesV4</x:v>
      </x:c>
      <x:c r="C435" s="34" t="str">
        <x:v>final undeploy: findleaks complete (s)</x:v>
      </x:c>
      <x:c r="D435" s="34" t="str">
        <x:v>finalFindLeaksCompletedSeconds</x:v>
      </x:c>
      <x:c r="E435" s="34" t="str">
        <x:v>s after undeploy</x:v>
      </x:c>
      <x:c r="F435" s="34" t="str">
        <x:v>duration</x:v>
      </x:c>
      <x:c r="G435" s="34" t="str">
        <x:v>results.json</x:v>
      </x:c>
      <x:c r="H435" s="44" t="str">
        <x:v>Valore finalFindLeaksCompletedSeconds come registrato dalla campagna v4.2 (JSON schemaVersion 4).</x:v>
      </x:c>
    </x:row>
    <x:row r="436">
      <x:c r="A436" s="34" t="str">
        <x:v>Lifecycle</x:v>
      </x:c>
      <x:c r="B436" s="34" t="str">
        <x:v>LifecycleCyclesV4</x:v>
      </x:c>
      <x:c r="C436" s="34" t="str">
        <x:v>final undeploy: snapshot complete (s)</x:v>
      </x:c>
      <x:c r="D436" s="34" t="str">
        <x:v>finalSnapshotCompletedSeconds</x:v>
      </x:c>
      <x:c r="E436" s="34" t="str">
        <x:v>s after undeploy</x:v>
      </x:c>
      <x:c r="F436" s="34" t="str">
        <x:v>duration</x:v>
      </x:c>
      <x:c r="G436" s="34" t="str">
        <x:v>results.json</x:v>
      </x:c>
      <x:c r="H436" s="44" t="str">
        <x:v>Valore finalSnapshotCompletedSeconds come registrato dalla campagna v4.2 (JSON schemaVersion 4).</x:v>
      </x:c>
    </x:row>
    <x:row r="437">
      <x:c r="A437" s="34" t="str">
        <x:v>Lifecycle</x:v>
      </x:c>
      <x:c r="B437" s="34" t="str">
        <x:v>LifecycleCyclesV4</x:v>
      </x:c>
      <x:c r="C437" s="34" t="str">
        <x:v>loaded-idle heap Δ (bytes)</x:v>
      </x:c>
      <x:c r="D437" s="34" t="str">
        <x:v>cacheHeapDeltaBytes</x:v>
      </x:c>
      <x:c r="E437" s="34" t="str">
        <x:v>byte</x:v>
      </x:c>
      <x:c r="F437" s="34" t="str">
        <x:v>bytes</x:v>
      </x:c>
      <x:c r="G437" s="34" t="str">
        <x:v>results.json</x:v>
      </x:c>
      <x:c r="H437" s="44" t="str">
        <x:v>Valore cacheHeapDeltaBytes come registrato dalla campagna v4.2 (JSON schemaVersion 4).</x:v>
      </x:c>
    </x:row>
    <x:row r="438">
      <x:c r="A438" s="34" t="str">
        <x:v>Lifecycle</x:v>
      </x:c>
      <x:c r="B438" s="34" t="str">
        <x:v>LifecycleCyclesV4</x:v>
      </x:c>
      <x:c r="C438" s="34" t="str">
        <x:v>final-baseline heap Δ (bytes)</x:v>
      </x:c>
      <x:c r="D438" s="34" t="str">
        <x:v>retainedHeapBytes</x:v>
      </x:c>
      <x:c r="E438" s="34" t="str">
        <x:v>byte</x:v>
      </x:c>
      <x:c r="F438" s="34" t="str">
        <x:v>bytes</x:v>
      </x:c>
      <x:c r="G438" s="34" t="str">
        <x:v>results.json</x:v>
      </x:c>
      <x:c r="H438" s="44" t="str">
        <x:v>Valore retainedHeapBytes come registrato dalla campagna v4.2 (JSON schemaVersion 4).</x:v>
      </x:c>
    </x:row>
    <x:row r="439">
      <x:c r="A439" s="34" t="str">
        <x:v>Lifecycle</x:v>
      </x:c>
      <x:c r="B439" s="34" t="str">
        <x:v>LifecycleCyclesV4</x:v>
      </x:c>
      <x:c r="C439" s="34" t="str">
        <x:v>final classloader rows ≤ baseline</x:v>
      </x:c>
      <x:c r="D439" s="34" t="str">
        <x:v>finalClassloaderCountAtOrBelowCycleBaseline</x:v>
      </x:c>
      <x:c r="E439" s="34" t="str"/>
      <x:c r="F439" s="34" t="str">
        <x:v>boolean</x:v>
      </x:c>
      <x:c r="G439" s="34" t="str">
        <x:v>results.json</x:v>
      </x:c>
      <x:c r="H439" s="44" t="str">
        <x:v>Valore finalClassloaderCountAtOrBelowCycleBaseline come registrato dalla campagna v4.2 (JSON schemaVersion 4).</x:v>
      </x:c>
    </x:row>
    <x:row r="440">
      <x:c r="A440" s="34" t="str">
        <x:v>Lifecycle</x:v>
      </x:c>
      <x:c r="B440" s="34" t="str">
        <x:v>LifecycleCyclesV4</x:v>
      </x:c>
      <x:c r="C440" s="34" t="str">
        <x:v>findleaks checkpoint positive after first</x:v>
      </x:c>
      <x:c r="D440" s="34" t="str">
        <x:v>firstUndeployTargetFindleaksObserved</x:v>
      </x:c>
      <x:c r="E440" s="34" t="str"/>
      <x:c r="F440" s="34" t="str">
        <x:v>boolean</x:v>
      </x:c>
      <x:c r="G440" s="34" t="str">
        <x:v>results.json</x:v>
      </x:c>
      <x:c r="H440" s="44" t="str">
        <x:v>Segnale diagnostico positivo al checkpoint; non è un verdetto causale isolato.</x:v>
      </x:c>
    </x:row>
    <x:row r="441">
      <x:c r="A441" s="34" t="str">
        <x:v>Lifecycle</x:v>
      </x:c>
      <x:c r="B441" s="34" t="str">
        <x:v>LifecycleCyclesV4</x:v>
      </x:c>
      <x:c r="C441" s="34" t="str">
        <x:v>findleaks checkpoint positive after final</x:v>
      </x:c>
      <x:c r="D441" s="34" t="str">
        <x:v>finalUndeployTargetFindleaksObserved</x:v>
      </x:c>
      <x:c r="E441" s="34" t="str"/>
      <x:c r="F441" s="34" t="str">
        <x:v>boolean</x:v>
      </x:c>
      <x:c r="G441" s="34" t="str">
        <x:v>results.json</x:v>
      </x:c>
      <x:c r="H441" s="44" t="str">
        <x:v>Segnale diagnostico positivo al checkpoint; non è un verdetto causale isolato.</x:v>
      </x:c>
    </x:row>
    <x:row r="442">
      <x:c r="A442" s="34" t="str">
        <x:v>Lifecycle</x:v>
      </x:c>
      <x:c r="B442" s="34" t="str">
        <x:v>LifecycleCyclesV4</x:v>
      </x:c>
      <x:c r="C442" s="34" t="str">
        <x:v>final threads ≤ baseline</x:v>
      </x:c>
      <x:c r="D442" s="34" t="str">
        <x:v>finalThreadCountAtOrBelowCycleBaseline</x:v>
      </x:c>
      <x:c r="E442" s="34" t="str"/>
      <x:c r="F442" s="34" t="str">
        <x:v>boolean</x:v>
      </x:c>
      <x:c r="G442" s="34" t="str">
        <x:v>results.json</x:v>
      </x:c>
      <x:c r="H442" s="44" t="str">
        <x:v>Valore finalThreadCountAtOrBelowCycleBaseline come registrato dalla campagna v4.2 (JSON schemaVersion 4).</x:v>
      </x:c>
    </x:row>
    <x:row r="443">
      <x:c r="A443" s="34" t="str">
        <x:v>Lifecycle</x:v>
      </x:c>
      <x:c r="B443" s="34" t="str">
        <x:v>LifecycleCyclesV4</x:v>
      </x:c>
      <x:c r="C443" s="34" t="str">
        <x:v>candidate app thread count</x:v>
      </x:c>
      <x:c r="D443" s="34" t="str">
        <x:v>candidateApplicationThreadCountAfterFinalUndeploy</x:v>
      </x:c>
      <x:c r="E443" s="34" t="str">
        <x:v>thread</x:v>
      </x:c>
      <x:c r="F443" s="34" t="str">
        <x:v>integer</x:v>
      </x:c>
      <x:c r="G443" s="34" t="str">
        <x:v>results.json</x:v>
      </x:c>
      <x:c r="H443" s="44" t="str">
        <x:v>Valore candidateApplicationThreadCountAfterFinalUndeploy come registrato dalla campagna v4.2 (JSON schemaVersion 4).</x:v>
      </x:c>
    </x:row>
    <x:row r="444">
      <x:c r="A444" s="34" t="str">
        <x:v>Lifecycle</x:v>
      </x:c>
      <x:c r="B444" s="34" t="str">
        <x:v>LifecycleCyclesV4</x:v>
      </x:c>
      <x:c r="C444" s="34" t="str">
        <x:v>candidate app thread names</x:v>
      </x:c>
      <x:c r="D444" s="34" t="str">
        <x:v>candidateApplicationThreadsAfterFinalUndeploy</x:v>
      </x:c>
      <x:c r="E444" s="34" t="str"/>
      <x:c r="F444" s="34" t="str">
        <x:v>text</x:v>
      </x:c>
      <x:c r="G444" s="34" t="str">
        <x:v>results.json</x:v>
      </x:c>
      <x:c r="H444" s="44" t="str">
        <x:v>Valore candidateApplicationThreadsAfterFinalUndeploy come registrato dalla campagna v4.2 (JSON schemaVersion 4).</x:v>
      </x:c>
    </x:row>
    <x:row r="445">
      <x:c r="A445" s="34" t="str">
        <x:v>Lifecycle</x:v>
      </x:c>
      <x:c r="B445" s="34" t="str">
        <x:v>LifecycleCyclesV4</x:v>
      </x:c>
      <x:c r="C445" s="34" t="str">
        <x:v>no candidate-thread signal</x:v>
      </x:c>
      <x:c r="D445" s="34" t="str">
        <x:v>noCandidateApplicationThreadSignalAfterFinalUndeploy</x:v>
      </x:c>
      <x:c r="E445" s="34" t="str"/>
      <x:c r="F445" s="34" t="str">
        <x:v>boolean</x:v>
      </x:c>
      <x:c r="G445" s="34" t="str">
        <x:v>results.json</x:v>
      </x:c>
      <x:c r="H445" s="44" t="str">
        <x:v>Valore noCandidateApplicationThreadSignalAfterFinalUndeploy come registrato dalla campagna v4.2 (JSON schemaVersion 4).</x:v>
      </x:c>
    </x:row>
    <x:row r="446">
      <x:c r="A446" s="34" t="str">
        <x:v>JCS-248</x:v>
      </x:c>
      <x:c r="B446" s="34" t="str">
        <x:v>Jcs248ControlContrastV4</x:v>
      </x:c>
      <x:c r="C446" s="34" t="str">
        <x:v>provider</x:v>
      </x:c>
      <x:c r="D446" s="34" t="str">
        <x:v>provider</x:v>
      </x:c>
      <x:c r="E446" s="34" t="str"/>
      <x:c r="F446" s="34" t="str">
        <x:v>text</x:v>
      </x:c>
      <x:c r="G446" s="34" t="str">
        <x:v>analysis.json</x:v>
      </x:c>
      <x:c r="H446" s="44" t="str">
        <x:v>Valore provider come registrato dalla campagna v4.2 (JSON schemaVersion 4).</x:v>
      </x:c>
    </x:row>
    <x:row r="447">
      <x:c r="A447" s="34" t="str">
        <x:v>JCS-248</x:v>
      </x:c>
      <x:c r="B447" s="34" t="str">
        <x:v>Jcs248ControlContrastV4</x:v>
      </x:c>
      <x:c r="C447" s="34" t="str">
        <x:v>study role</x:v>
      </x:c>
      <x:c r="D447" s="34" t="str">
        <x:v>studyRole</x:v>
      </x:c>
      <x:c r="E447" s="34" t="str"/>
      <x:c r="F447" s="34" t="str">
        <x:v>text</x:v>
      </x:c>
      <x:c r="G447" s="34" t="str">
        <x:v>analysis.json</x:v>
      </x:c>
      <x:c r="H447" s="44" t="str">
        <x:v>Ruolo prespecificato nel contrasto di controllo JCS-248.</x:v>
      </x:c>
    </x:row>
    <x:row r="448">
      <x:c r="A448" s="34" t="str">
        <x:v>JCS-248</x:v>
      </x:c>
      <x:c r="B448" s="34" t="str">
        <x:v>Jcs248ControlContrastV4</x:v>
      </x:c>
      <x:c r="C448" s="34" t="str">
        <x:v>valid forks</x:v>
      </x:c>
      <x:c r="D448" s="34" t="str">
        <x:v>forkCount</x:v>
      </x:c>
      <x:c r="E448" s="34" t="str"/>
      <x:c r="F448" s="34" t="str">
        <x:v>integer</x:v>
      </x:c>
      <x:c r="G448" s="34" t="str">
        <x:v>analysis.json</x:v>
      </x:c>
      <x:c r="H448" s="44" t="str">
        <x:v>Valore forkCount come registrato dalla campagna v4.2 (JSON schemaVersion 4).</x:v>
      </x:c>
    </x:row>
    <x:row r="449">
      <x:c r="A449" s="34" t="str">
        <x:v>JCS-248</x:v>
      </x:c>
      <x:c r="B449" s="34" t="str">
        <x:v>Jcs248ControlContrastV4</x:v>
      </x:c>
      <x:c r="C449" s="34" t="str">
        <x:v>observed forks</x:v>
      </x:c>
      <x:c r="D449" s="34" t="str">
        <x:v>observedForkCount</x:v>
      </x:c>
      <x:c r="E449" s="34" t="str"/>
      <x:c r="F449" s="34" t="str">
        <x:v>integer</x:v>
      </x:c>
      <x:c r="G449" s="34" t="str">
        <x:v>analysis.json</x:v>
      </x:c>
      <x:c r="H449" s="44" t="str">
        <x:v>Valore observedForkCount come registrato dalla campagna v4.2 (JSON schemaVersion 4).</x:v>
      </x:c>
    </x:row>
    <x:row r="450">
      <x:c r="A450" s="34" t="str">
        <x:v>JCS-248</x:v>
      </x:c>
      <x:c r="B450" s="34" t="str">
        <x:v>Jcs248ControlContrastV4</x:v>
      </x:c>
      <x:c r="C450" s="34" t="str">
        <x:v>redeploy-ready forks</x:v>
      </x:c>
      <x:c r="D450" s="34" t="str">
        <x:v>redeployReadyForkCount</x:v>
      </x:c>
      <x:c r="E450" s="34" t="str"/>
      <x:c r="F450" s="34" t="str">
        <x:v>integer</x:v>
      </x:c>
      <x:c r="G450" s="34" t="str">
        <x:v>analysis.json</x:v>
      </x:c>
      <x:c r="H450" s="44" t="str">
        <x:v>Valore redeployReadyForkCount come registrato dalla campagna v4.2 (JSON schemaVersion 4).</x:v>
      </x:c>
    </x:row>
    <x:row r="451">
      <x:c r="A451" s="34" t="str">
        <x:v>JCS-248</x:v>
      </x:c>
      <x:c r="B451" s="34" t="str">
        <x:v>Jcs248ControlContrastV4</x:v>
      </x:c>
      <x:c r="C451" s="34" t="str">
        <x:v>thread-warning forks</x:v>
      </x:c>
      <x:c r="D451" s="34" t="str">
        <x:v>forksWithThreadLeakWarning</x:v>
      </x:c>
      <x:c r="E451" s="34" t="str"/>
      <x:c r="F451" s="34" t="str">
        <x:v>integer</x:v>
      </x:c>
      <x:c r="G451" s="34" t="str">
        <x:v>analysis.json</x:v>
      </x:c>
      <x:c r="H451" s="44" t="str">
        <x:v>Valore forksWithThreadLeakWarning come registrato dalla campagna v4.2 (JSON schemaVersion 4).</x:v>
      </x:c>
    </x:row>
    <x:row r="452">
      <x:c r="A452" s="34" t="str">
        <x:v>JCS-248</x:v>
      </x:c>
      <x:c r="B452" s="34" t="str">
        <x:v>Jcs248ControlContrastV4</x:v>
      </x:c>
      <x:c r="C452" s="34" t="str">
        <x:v>JCS-signature forks</x:v>
      </x:c>
      <x:c r="D452" s="34" t="str">
        <x:v>forksWithJcsThreadSignature</x:v>
      </x:c>
      <x:c r="E452" s="34" t="str"/>
      <x:c r="F452" s="34" t="str">
        <x:v>integer</x:v>
      </x:c>
      <x:c r="G452" s="34" t="str">
        <x:v>analysis.json</x:v>
      </x:c>
      <x:c r="H452" s="44" t="str">
        <x:v>Valore forksWithJcsThreadSignature come registrato dalla campagna v4.2 (JSON schemaVersion 4).</x:v>
      </x:c>
    </x:row>
    <x:row r="453">
      <x:c r="A453" s="34" t="str">
        <x:v>JCS-248</x:v>
      </x:c>
      <x:c r="B453" s="34" t="str">
        <x:v>Jcs248ControlContrastV4</x:v>
      </x:c>
      <x:c r="C453" s="34" t="str">
        <x:v>corroborated-signal forks</x:v>
      </x:c>
      <x:c r="D453" s="34" t="str">
        <x:v>forksWithJcs248CorroboratedSignal</x:v>
      </x:c>
      <x:c r="E453" s="34" t="str"/>
      <x:c r="F453" s="34" t="str">
        <x:v>integer</x:v>
      </x:c>
      <x:c r="G453" s="34" t="str">
        <x:v>analysis.json</x:v>
      </x:c>
      <x:c r="H453" s="44" t="str">
        <x:v>Valore forksWithJcs248CorroboratedSignal come registrato dalla campagna v4.2 (JSON schemaVersion 4).</x:v>
      </x:c>
    </x:row>
    <x:row r="454">
      <x:c r="A454" s="34" t="str">
        <x:v>JCS-248</x:v>
      </x:c>
      <x:c r="B454" s="34" t="str">
        <x:v>Jcs248ControlContrastV4</x:v>
      </x:c>
      <x:c r="C454" s="34" t="str">
        <x:v>runner criterion</x:v>
      </x:c>
      <x:c r="D454" s="34" t="str">
        <x:v>jcs248PositiveControlCriterionMet</x:v>
      </x:c>
      <x:c r="E454" s="34" t="str"/>
      <x:c r="F454" s="34" t="str">
        <x:v>boolean</x:v>
      </x:c>
      <x:c r="G454" s="34" t="str">
        <x:v>analysis.json</x:v>
      </x:c>
      <x:c r="H454" s="44" t="str">
        <x:v>Criterio prodotto dall'analisi: applicabile come controllo positivo a JCS 3.2.1.</x:v>
      </x:c>
    </x:row>
    <x:row r="455">
      <x:c r="A455" s="34" t="str">
        <x:v>JCS-248</x:v>
      </x:c>
      <x:c r="B455" s="34" t="str">
        <x:v>Jcs248ControlContrastV4</x:v>
      </x:c>
      <x:c r="C455" s="34" t="str">
        <x:v>recomputed criterion</x:v>
      </x:c>
      <x:c r="D455" s="34" t="str">
        <x:v>recomputedCriterionFormula</x:v>
      </x:c>
      <x:c r="E455" s="34" t="str"/>
      <x:c r="F455" s="34" t="str">
        <x:v>boolean</x:v>
      </x:c>
      <x:c r="G455" s="34" t="str">
        <x:v>Formula workbook</x:v>
      </x:c>
      <x:c r="H455" s="44" t="str">
        <x:v>TRUE solo per JCS 3.2.1 con 6 fork validi e almeno 5 fork con segnale corroborato.</x:v>
      </x:c>
    </x:row>
    <x:row r="456">
      <x:c r="A456" s="34" t="str">
        <x:v>JCS-248</x:v>
      </x:c>
      <x:c r="B456" s="34" t="str">
        <x:v>Jcs248ControlContrastV4</x:v>
      </x:c>
      <x:c r="C456" s="34" t="str">
        <x:v>formula = runner</x:v>
      </x:c>
      <x:c r="D456" s="34" t="str">
        <x:v>formulaMatchesRunner</x:v>
      </x:c>
      <x:c r="E456" s="34" t="str"/>
      <x:c r="F456" s="34" t="str">
        <x:v>boolean</x:v>
      </x:c>
      <x:c r="G456" s="34" t="str">
        <x:v>Formula workbook</x:v>
      </x:c>
      <x:c r="H456" s="44" t="str">
        <x:v>Valore formulaMatchesRunner come registrato dalla campagna v4.2 (JSON schemaVersion 4).</x:v>
      </x:c>
    </x:row>
    <x:row r="457">
      <x:c r="A457" s="34" t="str">
        <x:v>JCS-248</x:v>
      </x:c>
      <x:c r="B457" s="34" t="str">
        <x:v>Jcs248IntervalsV4</x:v>
      </x:c>
      <x:c r="C457" s="34" t="str">
        <x:v>processRunId</x:v>
      </x:c>
      <x:c r="D457" s="34" t="str">
        <x:v>processRunId</x:v>
      </x:c>
      <x:c r="E457" s="34" t="str"/>
      <x:c r="F457" s="34" t="str">
        <x:v>text</x:v>
      </x:c>
      <x:c r="G457" s="34" t="str">
        <x:v>analysis.json</x:v>
      </x:c>
      <x:c r="H457" s="44" t="str">
        <x:v>Valore processRunId come registrato dalla campagna v4.2 (JSON schemaVersion 4).</x:v>
      </x:c>
    </x:row>
    <x:row r="458">
      <x:c r="A458" s="34" t="str">
        <x:v>JCS-248</x:v>
      </x:c>
      <x:c r="B458" s="34" t="str">
        <x:v>Jcs248IntervalsV4</x:v>
      </x:c>
      <x:c r="C458" s="34" t="str">
        <x:v>provider</x:v>
      </x:c>
      <x:c r="D458" s="34" t="str">
        <x:v>provider</x:v>
      </x:c>
      <x:c r="E458" s="34" t="str"/>
      <x:c r="F458" s="34" t="str">
        <x:v>text</x:v>
      </x:c>
      <x:c r="G458" s="34" t="str">
        <x:v>analysis.json</x:v>
      </x:c>
      <x:c r="H458" s="44" t="str">
        <x:v>Valore provider come registrato dalla campagna v4.2 (JSON schemaVersion 4).</x:v>
      </x:c>
    </x:row>
    <x:row r="459">
      <x:c r="A459" s="34" t="str">
        <x:v>JCS-248</x:v>
      </x:c>
      <x:c r="B459" s="34" t="str">
        <x:v>Jcs248IntervalsV4</x:v>
      </x:c>
      <x:c r="C459" s="34" t="str">
        <x:v>fork</x:v>
      </x:c>
      <x:c r="D459" s="34" t="str">
        <x:v>fork</x:v>
      </x:c>
      <x:c r="E459" s="34" t="str"/>
      <x:c r="F459" s="34" t="str">
        <x:v>integer</x:v>
      </x:c>
      <x:c r="G459" s="34" t="str">
        <x:v>analysis.json</x:v>
      </x:c>
      <x:c r="H459" s="44" t="str">
        <x:v>Valore fork come registrato dalla campagna v4.2 (JSON schemaVersion 4).</x:v>
      </x:c>
    </x:row>
    <x:row r="460">
      <x:c r="A460" s="34" t="str">
        <x:v>JCS-248</x:v>
      </x:c>
      <x:c r="B460" s="34" t="str">
        <x:v>Jcs248IntervalsV4</x:v>
      </x:c>
      <x:c r="C460" s="34" t="str">
        <x:v>Williams block</x:v>
      </x:c>
      <x:c r="D460" s="34" t="str">
        <x:v>block</x:v>
      </x:c>
      <x:c r="E460" s="34" t="str"/>
      <x:c r="F460" s="34" t="str">
        <x:v>integer</x:v>
      </x:c>
      <x:c r="G460" s="34" t="str">
        <x:v>analysis.json</x:v>
      </x:c>
      <x:c r="H460" s="44" t="str">
        <x:v>Valore block come registrato dalla campagna v4.2 (JSON schemaVersion 4).</x:v>
      </x:c>
    </x:row>
    <x:row r="461">
      <x:c r="A461" s="34" t="str">
        <x:v>JCS-248</x:v>
      </x:c>
      <x:c r="B461" s="34" t="str">
        <x:v>Jcs248IntervalsV4</x:v>
      </x:c>
      <x:c r="C461" s="34" t="str">
        <x:v>corroborated intervals</x:v>
      </x:c>
      <x:c r="D461" s="34" t="str">
        <x:v>jcs248CorroboratedUndeployCount</x:v>
      </x:c>
      <x:c r="E461" s="34" t="str">
        <x:v>interval</x:v>
      </x:c>
      <x:c r="F461" s="34" t="str">
        <x:v>integer</x:v>
      </x:c>
      <x:c r="G461" s="34" t="str">
        <x:v>analysis.json</x:v>
      </x:c>
      <x:c r="H461" s="44" t="str">
        <x:v>Valore jcs248CorroboratedUndeployCount come registrato dalla campagna v4.2 (JSON schemaVersion 4).</x:v>
      </x:c>
    </x:row>
    <x:row r="462">
      <x:c r="A462" s="34" t="str">
        <x:v>JCS-248</x:v>
      </x:c>
      <x:c r="B462" s="34" t="str">
        <x:v>Jcs248IntervalsV4</x:v>
      </x:c>
      <x:c r="C462" s="34" t="str">
        <x:v>corroborated signal observed</x:v>
      </x:c>
      <x:c r="D462" s="34" t="str">
        <x:v>jcs248CorroboratedSignalObserved</x:v>
      </x:c>
      <x:c r="E462" s="34" t="str"/>
      <x:c r="F462" s="34" t="str">
        <x:v>boolean</x:v>
      </x:c>
      <x:c r="G462" s="34" t="str">
        <x:v>analysis.json</x:v>
      </x:c>
      <x:c r="H462" s="44" t="str">
        <x:v>Valore jcs248CorroboratedSignalObserved come registrato dalla campagna v4.2 (JSON schemaVersion 4).</x:v>
      </x:c>
    </x:row>
    <x:row r="463">
      <x:c r="A463" s="34" t="str">
        <x:v>JCS-248</x:v>
      </x:c>
      <x:c r="B463" s="34" t="str">
        <x:v>Jcs248IntervalsV4</x:v>
      </x:c>
      <x:c r="C463" s="34" t="str">
        <x:v>interval details (JSON)</x:v>
      </x:c>
      <x:c r="D463" s="34" t="str">
        <x:v>jcs248CorroboratedIntervals</x:v>
      </x:c>
      <x:c r="E463" s="34" t="str"/>
      <x:c r="F463" s="34" t="str">
        <x:v>text</x:v>
      </x:c>
      <x:c r="G463" s="34" t="str">
        <x:v>analysis.json</x:v>
      </x:c>
      <x:c r="H463" s="44" t="str">
        <x:v>Ogni record identifica ciclo, primo/finale undeploy, firme osservate e warning concorrenti.</x:v>
      </x:c>
    </x:row>
    <x:row r="464">
      <x:c r="A464" s="34" t="str">
        <x:v>JCS-248</x:v>
      </x:c>
      <x:c r="B464" s="34" t="str">
        <x:v>Jcs248EvidenceV4</x:v>
      </x:c>
      <x:c r="C464" s="34" t="str">
        <x:v>processRunId</x:v>
      </x:c>
      <x:c r="D464" s="34" t="str">
        <x:v>processRunId</x:v>
      </x:c>
      <x:c r="E464" s="34" t="str"/>
      <x:c r="F464" s="34" t="str">
        <x:v>text</x:v>
      </x:c>
      <x:c r="G464" s="34" t="str">
        <x:v>analysis.json</x:v>
      </x:c>
      <x:c r="H464" s="44" t="str">
        <x:v>Valore processRunId come registrato dalla campagna v4.2 (JSON schemaVersion 4).</x:v>
      </x:c>
    </x:row>
    <x:row r="465">
      <x:c r="A465" s="34" t="str">
        <x:v>JCS-248</x:v>
      </x:c>
      <x:c r="B465" s="34" t="str">
        <x:v>Jcs248EvidenceV4</x:v>
      </x:c>
      <x:c r="C465" s="34" t="str">
        <x:v>provider</x:v>
      </x:c>
      <x:c r="D465" s="34" t="str">
        <x:v>provider</x:v>
      </x:c>
      <x:c r="E465" s="34" t="str"/>
      <x:c r="F465" s="34" t="str">
        <x:v>text</x:v>
      </x:c>
      <x:c r="G465" s="34" t="str">
        <x:v>analysis.json</x:v>
      </x:c>
      <x:c r="H465" s="44" t="str">
        <x:v>Valore provider come registrato dalla campagna v4.2 (JSON schemaVersion 4).</x:v>
      </x:c>
    </x:row>
    <x:row r="466">
      <x:c r="A466" s="34" t="str">
        <x:v>JCS-248</x:v>
      </x:c>
      <x:c r="B466" s="34" t="str">
        <x:v>Jcs248EvidenceV4</x:v>
      </x:c>
      <x:c r="C466" s="34" t="str">
        <x:v>fork</x:v>
      </x:c>
      <x:c r="D466" s="34" t="str">
        <x:v>fork</x:v>
      </x:c>
      <x:c r="E466" s="34" t="str"/>
      <x:c r="F466" s="34" t="str">
        <x:v>integer</x:v>
      </x:c>
      <x:c r="G466" s="34" t="str">
        <x:v>analysis.json</x:v>
      </x:c>
      <x:c r="H466" s="44" t="str">
        <x:v>Valore fork come registrato dalla campagna v4.2 (JSON schemaVersion 4).</x:v>
      </x:c>
    </x:row>
    <x:row r="467">
      <x:c r="A467" s="34" t="str">
        <x:v>JCS-248</x:v>
      </x:c>
      <x:c r="B467" s="34" t="str">
        <x:v>Jcs248EvidenceV4</x:v>
      </x:c>
      <x:c r="C467" s="34" t="str">
        <x:v>Williams block</x:v>
      </x:c>
      <x:c r="D467" s="34" t="str">
        <x:v>block</x:v>
      </x:c>
      <x:c r="E467" s="34" t="str"/>
      <x:c r="F467" s="34" t="str">
        <x:v>integer</x:v>
      </x:c>
      <x:c r="G467" s="34" t="str">
        <x:v>analysis.json</x:v>
      </x:c>
      <x:c r="H467" s="44" t="str">
        <x:v>Valore block come registrato dalla campagna v4.2 (JSON schemaVersion 4).</x:v>
      </x:c>
    </x:row>
    <x:row r="468">
      <x:c r="A468" s="34" t="str">
        <x:v>JCS-248</x:v>
      </x:c>
      <x:c r="B468" s="34" t="str">
        <x:v>Jcs248EvidenceV4</x:v>
      </x:c>
      <x:c r="C468" s="34" t="str">
        <x:v>cycle</x:v>
      </x:c>
      <x:c r="D468" s="34" t="str">
        <x:v>cycle</x:v>
      </x:c>
      <x:c r="E468" s="34" t="str"/>
      <x:c r="F468" s="34" t="str">
        <x:v>integer</x:v>
      </x:c>
      <x:c r="G468" s="34" t="str">
        <x:v>analysis.json</x:v>
      </x:c>
      <x:c r="H468" s="44" t="str">
        <x:v>Valore cycle come registrato dalla campagna v4.2 (JSON schemaVersion 4).</x:v>
      </x:c>
    </x:row>
    <x:row r="469">
      <x:c r="A469" s="34" t="str">
        <x:v>JCS-248</x:v>
      </x:c>
      <x:c r="B469" s="34" t="str">
        <x:v>Jcs248EvidenceV4</x:v>
      </x:c>
      <x:c r="C469" s="34" t="str">
        <x:v>phase</x:v>
      </x:c>
      <x:c r="D469" s="34" t="str">
        <x:v>phase</x:v>
      </x:c>
      <x:c r="E469" s="34" t="str"/>
      <x:c r="F469" s="34" t="str">
        <x:v>text</x:v>
      </x:c>
      <x:c r="G469" s="34" t="str">
        <x:v>analysis.json</x:v>
      </x:c>
      <x:c r="H469" s="44" t="str">
        <x:v>Valore phase come registrato dalla campagna v4.2 (JSON schemaVersion 4).</x:v>
      </x:c>
    </x:row>
    <x:row r="470">
      <x:c r="A470" s="34" t="str">
        <x:v>JCS-248</x:v>
      </x:c>
      <x:c r="B470" s="34" t="str">
        <x:v>Jcs248EvidenceV4</x:v>
      </x:c>
      <x:c r="C470" s="34" t="str">
        <x:v>early JCS signatures</x:v>
      </x:c>
      <x:c r="D470" s="34" t="str">
        <x:v>earlyJcsThreadSignatureCount</x:v>
      </x:c>
      <x:c r="E470" s="34" t="str"/>
      <x:c r="F470" s="34" t="str">
        <x:v>integer</x:v>
      </x:c>
      <x:c r="G470" s="34" t="str">
        <x:v>analysis.json</x:v>
      </x:c>
      <x:c r="H470" s="44" t="str">
        <x:v>Valore earlyJcsThreadSignatureCount come registrato dalla campagna v4.2 (JSON schemaVersion 4).</x:v>
      </x:c>
    </x:row>
    <x:row r="471">
      <x:c r="A471" s="34" t="str">
        <x:v>JCS-248</x:v>
      </x:c>
      <x:c r="B471" s="34" t="str">
        <x:v>Jcs248EvidenceV4</x:v>
      </x:c>
      <x:c r="C471" s="34" t="str">
        <x:v>final JCS signatures</x:v>
      </x:c>
      <x:c r="D471" s="34" t="str">
        <x:v>finalJcsThreadSignatureCount</x:v>
      </x:c>
      <x:c r="E471" s="34" t="str"/>
      <x:c r="F471" s="34" t="str">
        <x:v>integer</x:v>
      </x:c>
      <x:c r="G471" s="34" t="str">
        <x:v>analysis.json</x:v>
      </x:c>
      <x:c r="H471" s="44" t="str">
        <x:v>Valore finalJcsThreadSignatureCount come registrato dalla campagna v4.2 (JSON schemaVersion 4).</x:v>
      </x:c>
    </x:row>
    <x:row r="472">
      <x:c r="A472" s="34" t="str">
        <x:v>JCS-248</x:v>
      </x:c>
      <x:c r="B472" s="34" t="str">
        <x:v>Jcs248EvidenceV4</x:v>
      </x:c>
      <x:c r="C472" s="34" t="str">
        <x:v>thread-leak warnings</x:v>
      </x:c>
      <x:c r="D472" s="34" t="str">
        <x:v>threadLeakWarningCount</x:v>
      </x:c>
      <x:c r="E472" s="34" t="str"/>
      <x:c r="F472" s="34" t="str">
        <x:v>integer</x:v>
      </x:c>
      <x:c r="G472" s="34" t="str">
        <x:v>analysis.json</x:v>
      </x:c>
      <x:c r="H472" s="44" t="str">
        <x:v>Valore threadLeakWarningCount come registrato dalla campagna v4.2 (JSON schemaVersion 4).</x:v>
      </x:c>
    </x:row>
    <x:row r="473">
      <x:c r="A473" s="34" t="str">
        <x:v>JCS-248</x:v>
      </x:c>
      <x:c r="B473" s="34" t="str">
        <x:v>Jcs248EvidenceV4</x:v>
      </x:c>
      <x:c r="C473" s="34" t="str">
        <x:v>positive findleaks target occurrences</x:v>
      </x:c>
      <x:c r="D473" s="34" t="str">
        <x:v>tomcatFindLeaksTargetContextCount</x:v>
      </x:c>
      <x:c r="E473" s="34" t="str"/>
      <x:c r="F473" s="34" t="str">
        <x:v>integer</x:v>
      </x:c>
      <x:c r="G473" s="34" t="str">
        <x:v>analysis.json</x:v>
      </x:c>
      <x:c r="H473" s="44" t="str">
        <x:v>Valore tomcatFindLeaksTargetContextCount come registrato dalla campagna v4.2 (JSON schemaVersion 4).</x:v>
      </x:c>
    </x:row>
    <x:row r="474">
      <x:c r="A474" s="34" t="str">
        <x:v>JCS-248</x:v>
      </x:c>
      <x:c r="B474" s="34" t="str">
        <x:v>Jcs248EvidenceV4</x:v>
      </x:c>
      <x:c r="C474" s="34" t="str">
        <x:v>semantic gate</x:v>
      </x:c>
      <x:c r="D474" s="34" t="str">
        <x:v>semanticGatePassed</x:v>
      </x:c>
      <x:c r="E474" s="34" t="str"/>
      <x:c r="F474" s="34" t="str">
        <x:v>boolean</x:v>
      </x:c>
      <x:c r="G474" s="34" t="str">
        <x:v>analysis.json</x:v>
      </x:c>
      <x:c r="H474" s="44" t="str">
        <x:v>Valore semanticGatePassed come registrato dalla campagna v4.2 (JSON schemaVersion 4).</x:v>
      </x:c>
    </x:row>
    <x:row r="475">
      <x:c r="A475" s="34" t="str">
        <x:v>JCS-248</x:v>
      </x:c>
      <x:c r="B475" s="34" t="str">
        <x:v>Jcs248EvidenceV4</x:v>
      </x:c>
      <x:c r="C475" s="34" t="str">
        <x:v>block valid</x:v>
      </x:c>
      <x:c r="D475" s="34" t="str">
        <x:v>blockValid</x:v>
      </x:c>
      <x:c r="E475" s="34" t="str"/>
      <x:c r="F475" s="34" t="str">
        <x:v>boolean</x:v>
      </x:c>
      <x:c r="G475" s="34" t="str">
        <x:v>analysis.json</x:v>
      </x:c>
      <x:c r="H475" s="44" t="str">
        <x:v>Valore blockValid come registrato dalla campagna v4.2 (JSON schemaVersion 4).</x:v>
      </x:c>
    </x:row>
    <x:row r="476">
      <x:c r="A476" s="34" t="str">
        <x:v>All</x:v>
      </x:c>
      <x:c r="B476" s="34" t="str">
        <x:v>Glossary</x:v>
      </x:c>
      <x:c r="C476" s="34" t="str">
        <x:v>fork</x:v>
      </x:c>
      <x:c r="D476" s="34" t="str">
        <x:v>fork</x:v>
      </x:c>
      <x:c r="E476" s="34" t="str">
        <x:v>JVM</x:v>
      </x:c>
      <x:c r="F476" s="34" t="str">
        <x:v>identifier</x:v>
      </x:c>
      <x:c r="G476" s="34" t="str">
        <x:v>Protocollo v4.2</x:v>
      </x:c>
      <x:c r="H476" s="44" t="str">
        <x:v>Una process run in un container/JVM indipendente; è l'unità statistica.</x:v>
      </x:c>
    </x:row>
    <x:row r="477">
      <x:c r="A477" s="34" t="str">
        <x:v>All</x:v>
      </x:c>
      <x:c r="B477" s="34" t="str">
        <x:v>Glossary</x:v>
      </x:c>
      <x:c r="C477" s="34" t="str">
        <x:v>cycle</x:v>
      </x:c>
      <x:c r="D477" s="34" t="str">
        <x:v>cycle</x:v>
      </x:c>
      <x:c r="E477" s="34" t="str">
        <x:v>cycle</x:v>
      </x:c>
      <x:c r="F477" s="34" t="str">
        <x:v>identifier</x:v>
      </x:c>
      <x:c r="G477" s="34" t="str">
        <x:v>Protocollo v4.2</x:v>
      </x:c>
      <x:c r="H477" s="44" t="str">
        <x:v>Ripetizione interna alla stessa JVM; non è una replica statistica indipendente.</x:v>
      </x:c>
    </x:row>
    <x:row r="478">
      <x:c r="A478" s="34" t="str">
        <x:v>All</x:v>
      </x:c>
      <x:c r="B478" s="34" t="str">
        <x:v>Glossary</x:v>
      </x:c>
      <x:c r="C478" s="34" t="str">
        <x:v>primary-all-cycles</x:v>
      </x:c>
      <x:c r="D478" s="34" t="str">
        <x:v>analysisSet</x:v>
      </x:c>
      <x:c r="E478" s="34" t="str"/>
      <x:c r="F478" s="34" t="str">
        <x:v>category</x:v>
      </x:c>
      <x:c r="G478" s="34" t="str">
        <x:v>Protocollo v4.2</x:v>
      </x:c>
      <x:c r="H478" s="44" t="str">
        <x:v>Analisi primaria prespecificata: mediana dei cicli 1–5 dentro ciascuna JVM, poi descrizione fra JVM.</x:v>
      </x:c>
    </x:row>
    <x:row r="479">
      <x:c r="A479" s="34" t="str">
        <x:v>All</x:v>
      </x:c>
      <x:c r="B479" s="34" t="str">
        <x:v>Glossary</x:v>
      </x:c>
      <x:c r="C479" s="34" t="str">
        <x:v>sensitivity-without-cycle-1</x:v>
      </x:c>
      <x:c r="D479" s="34" t="str">
        <x:v>analysisSet</x:v>
      </x:c>
      <x:c r="E479" s="34" t="str"/>
      <x:c r="F479" s="34" t="str">
        <x:v>category</x:v>
      </x:c>
      <x:c r="G479" s="34" t="str">
        <x:v>Protocollo v4.2</x:v>
      </x:c>
      <x:c r="H479" s="44" t="str">
        <x:v>Analisi di sensibilità prespecificata: omette il ciclo 1 prima di calcolare la mediana interna alla JVM.</x:v>
      </x:c>
    </x:row>
    <x:row r="480">
      <x:c r="A480" s="34" t="str">
        <x:v>All</x:v>
      </x:c>
      <x:c r="B480" s="34" t="str">
        <x:v>Glossary</x:v>
      </x:c>
      <x:c r="C480" s="34" t="str">
        <x:v>findleaks occurrence</x:v>
      </x:c>
      <x:c r="D480" s="34" t="str">
        <x:v>tomcatFindLeaksOccurrences</x:v>
      </x:c>
      <x:c r="E480" s="34" t="str">
        <x:v>occurrence</x:v>
      </x:c>
      <x:c r="F480" s="34" t="str">
        <x:v>diagnostic</x:v>
      </x:c>
      <x:c r="G480" s="34" t="str">
        <x:v>Tomcat Manager findleaks</x:v>
      </x:c>
      <x:c r="H480" s="44" t="str">
        <x:v>Occorrenza testuale conservata con molteplicità; non è da sola prova causale di leak.</x:v>
      </x:c>
    </x:row>
    <x:row r="481">
      <x:c r="A481" s="34" t="str">
        <x:v>All</x:v>
      </x:c>
      <x:c r="B481" s="34" t="str">
        <x:v>Glossary</x:v>
      </x:c>
      <x:c r="C481" s="34" t="str">
        <x:v>raw worksheets</x:v>
      </x:c>
      <x:c r="D481" s="34" t="str">
        <x:v>flattened views</x:v>
      </x:c>
      <x:c r="E481" s="34" t="str"/>
      <x:c r="F481" s="34" t="str">
        <x:v>provenance</x:v>
      </x:c>
      <x:c r="G481" s="34" t="str">
        <x:v>Builder</x:v>
      </x:c>
      <x:c r="H481" s="44" t="str">
        <x:v>Viste appiattite di comodo. La struttura e i JSON identificati dai checksum restano autorevoli.</x:v>
      </x:c>
    </x:row>
  </x:sheetData>
  <x:pageMargins left="0.7" right="0.7" top="0.75" bottom="0.75" header="0.3" footer="0.3"/>
  <x:tableParts count="1">
    <x:tablePart xmlns:r="http://schemas.openxmlformats.org/officeDocument/2006/relationships" r:id="R11743437e219413e"/>
  </x:tableParts>
</x:worksheet>
</file>